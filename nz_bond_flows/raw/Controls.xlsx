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binary" PartName="/xl/metadata"/>
  <Override ContentType="application/binary" PartName="/xl/commentsmeta0"/>
  <Override ContentType="application/binary" PartName="/xl/commentsmeta1"/>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ummary" sheetId="1" r:id="rId4"/>
    <sheet state="visible" name="Notes" sheetId="2" r:id="rId5"/>
    <sheet state="visible" name="Regression Control Panel" sheetId="3" r:id="rId6"/>
    <sheet state="visible" name="Daily_Data" sheetId="4" r:id="rId7"/>
    <sheet state="visible" name="Release_Calendar" sheetId="5" r:id="rId8"/>
    <sheet state="visible" name="Splice_Check" sheetId="6" r:id="rId9"/>
  </sheets>
  <definedNames>
    <definedName hidden="1" localSheetId="3" name="_xlnm._FilterDatabase">Daily_Data!$A$1:$P$6989</definedName>
    <definedName hidden="1" localSheetId="4" name="_xlnm._FilterDatabase">Release_Calendar!$A$1:$I$755</definedName>
  </definedNames>
  <calcPr/>
  <extLst>
    <ext uri="GoogleSheetsCustomDataVersion2">
      <go:sheetsCustomData xmlns:go="http://customooxmlschemas.google.com/" r:id="rId10" roundtripDataChecksum="pduxMG+DQCWtLHZUKSjrrMCYT8mJm7MQ7cGxulQD8pY="/>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B5">
      <text>
        <t xml:space="preserve">======
ID#AAACIn-raWw
Unknown Author    (2026-10-14 23:42:22)
Input. First date covered by the Stats NZ release list. Move it earlier only after adding older NZ release dates to Release_Calendar.</t>
      </text>
    </comment>
  </commentList>
  <extLst>
    <ext uri="GoogleSheetsCustomDataVersion2">
      <go:sheetsCustomData xmlns:go="http://customooxmlschemas.google.com/" r:id="rId1" roundtripDataSignature="AMtx7mh3nvNncPBwy7gz5pb/7ltlSATDwA=="/>
    </ext>
  </extL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C1">
      <text>
        <t xml:space="preserve">======
ID#AAACIn-raW4
Unknown Author    (2026-10-14 23:42:22)
RBNZ B2 INM.DS02.NZZC (daily close). Starts 5 Jan 2011.</t>
      </text>
    </comment>
    <comment authorId="0" ref="D1">
      <text>
        <t xml:space="preserve">======
ID#AAACIn-raW0
Unknown Author    (2026-10-14 23:42:22)
RBNZ legacy B2 INM.DG102.N (about 11am), 2000–2017. Used before 5 Jan 2011 in the splice.</t>
      </text>
    </comment>
    <comment authorId="0" ref="H1">
      <text>
        <t xml:space="preserve">======
ID#AAACIn-raXA
Unknown Author    (2026-10-14 23:42:22)
1 = NZ leg of the spliced differential is the government bond yield (before 5 Jan 2011).</t>
      </text>
    </comment>
    <comment authorId="0" ref="M1">
      <text>
        <t xml:space="preserve">======
ID#AAACIn-raW8
Unknown Author    (2026-10-14 23:42:22)
Blank before the NZ calendar coverage date in Notes!B5 (dates unknown, not "no release").</t>
      </text>
    </comment>
  </commentList>
  <extLst>
    <ext uri="GoogleSheetsCustomDataVersion2">
      <go:sheetsCustomData xmlns:go="http://customooxmlschemas.google.com/" r:id="rId1" roundtripDataSignature="AMtx7miGO4NuvRg5XNg4WBRsMlPqnul2vQ=="/>
    </ext>
  </extLst>
</comments>
</file>

<file path=xl/sharedStrings.xml><?xml version="1.0" encoding="utf-8"?>
<sst xmlns="http://schemas.openxmlformats.org/spreadsheetml/2006/main" count="3276" uniqueCount="190">
  <si>
    <t>FX control variables: summary</t>
  </si>
  <si>
    <t>Daily time series, January 2000 to 14 October 2026. Prepared 14 Oct 2026 for the Fintech Practicum.</t>
  </si>
  <si>
    <t>What's done</t>
  </si>
  <si>
    <t>• Downloaded the source files from FRED, the RBNZ, ALFRED (St. Louis Fed) and Stats NZ through the Claude desktop browser, then read and processed them.</t>
  </si>
  <si>
    <t>• Built one row per weekday from 3 Jan 2000 to 14 Oct 2026. Missing values are left blank, not filled in.</t>
  </si>
  <si>
    <t>• Wrote the differentials and release-day dummies as Excel formulas, so they update if inputs change.</t>
  </si>
  <si>
    <t>• Checked the workbook: formulas recalculate with no errors; the differentials match the source data exactly; release counts are 321 US CPI, 321 payrolls and 112 NZ releases.</t>
  </si>
  <si>
    <t>What's in the workbook</t>
  </si>
  <si>
    <t>Summary</t>
  </si>
  <si>
    <t>This page.</t>
  </si>
  <si>
    <t>Daily_Data</t>
  </si>
  <si>
    <t>The time series: one row per weekday with the US 2y, NZ 2y swap, NZ 2y government yields, both differentials, VIX and the release-day dummies.</t>
  </si>
  <si>
    <t>Notes</t>
  </si>
  <si>
    <t>Source, coverage and caveats for each column, plus the NZ calendar coverage-start setting (cell B5).</t>
  </si>
  <si>
    <t>Release_Calendar</t>
  </si>
  <si>
    <t>Every release date found, with local, UTC and New York times. The release-day dummies read from this sheet.</t>
  </si>
  <si>
    <t>Splice_Check</t>
  </si>
  <si>
    <t>How closely the NZ swap and NZ government bond yield match over 2011–2017.</t>
  </si>
  <si>
    <t>Status by variable</t>
  </si>
  <si>
    <t>VIX</t>
  </si>
  <si>
    <t>COMPLETE. 3 Jan 2000 to 13 Oct 2026. The only blanks are US market holidays.</t>
  </si>
  <si>
    <t>US 2-year Treasury</t>
  </si>
  <si>
    <t>COMPLETE. 3 Jan 2000 to 9 Oct 2026. The only blanks are US market holidays.</t>
  </si>
  <si>
    <t>NZ–US 2y differential</t>
  </si>
  <si>
    <t>PARTIAL. Arman's version (NZ swap minus US Treasury) starts 5 Jan 2011, because the RBNZ has no free daily swap data before then. For 2000–2010 the NZ 2y government bond yield is spliced in, and nz_leg_is_govt_bond = 1 marks those rows. Caveats: the bond yield's daily moves track the swap less closely (correlation 0.53 vs 0.96 in levels), and the bond flows we study could move it. Bloomberg or LSEG would have the real pre-2011 swap history.</t>
  </si>
  <si>
    <t>US release days</t>
  </si>
  <si>
    <t>COMPLETE. CPI and payrolls from 2000, including the 2025 shutdown delays.</t>
  </si>
  <si>
    <t>NZ release days</t>
  </si>
  <si>
    <t>PARTIAL. GDP, CPI and labour market from mid-2017 only. Before 15 Jun 2017 the NZ columns are blank, not 0. Stats NZ closed its archive site; no free source found for 2000–2007. Bloomberg release-date history would fill the whole gap.</t>
  </si>
  <si>
    <t>Timing</t>
  </si>
  <si>
    <t>NZ data comes out at 10:45am NZ time, which is the previous evening in New York. If NZD/USD prices are taken at the New York close, consider moving the NZ release dummies one day earlier. Release_Calendar has UTC and New York timestamps for this.</t>
  </si>
  <si>
    <t>Text for the team</t>
  </si>
  <si>
    <t>VIX and US release days (CPI and payrolls) are complete for Jan 2000 to present. The NZ–US 2y differential has gaps: the RBNZ's daily NZ 2y swap only starts in Jan 2011. I've filled 2000–2010 with the NZ 2y government bond yield and flagged those rows, with caveats in the file. NZ release dates (GDP, CPI, labour market) only exist from mid-2017 because Stats NZ closed its archive. Does anyone have Bloomberg access? It would give us the pre-2011 NZD 2y swap and the NZ release dates for 2000–2017.</t>
  </si>
  <si>
    <t>Sources</t>
  </si>
  <si>
    <t>FRED DGS2</t>
  </si>
  <si>
    <t>https://fred.stlouisfed.org/series/DGS2</t>
  </si>
  <si>
    <t>FRED VIXCLS</t>
  </si>
  <si>
    <t>https://fred.stlouisfed.org/series/VIXCLS</t>
  </si>
  <si>
    <t>RBNZ B2 wholesale interest rates</t>
  </si>
  <si>
    <t>https://www.rbnz.govt.nz/statistics/series/exchange-and-interest-rates/wholesale-interest-rates</t>
  </si>
  <si>
    <t>ALFRED PAYEMS (payrolls release dates)</t>
  </si>
  <si>
    <t>https://alfred.stlouisfed.org/series?seid=PAYEMS</t>
  </si>
  <si>
    <t>ALFRED CPIAUCNS (CPI release dates)</t>
  </si>
  <si>
    <t>https://alfred.stlouisfed.org/series?seid=CPIAUCNS</t>
  </si>
  <si>
    <t>Stats NZ A–Z of information releases</t>
  </si>
  <si>
    <t>https://www.stats.govt.nz/az-of-information-releases</t>
  </si>
  <si>
    <t>Stats NZ archive website notice</t>
  </si>
  <si>
    <t>https://www.stats.govt.nz/about-us/stats-nz-archive-website/</t>
  </si>
  <si>
    <t>FX control variables: data pull, January 2000 to 14 October 2026</t>
  </si>
  <si>
    <t>Prepared 14 Oct 2026 for the Fintech Practicum. Sources and gaps are listed below.</t>
  </si>
  <si>
    <t>Settings</t>
  </si>
  <si>
    <t>NZ release calendar coverage start (NZ dummies are blank before this date)</t>
  </si>
  <si>
    <t>Variable</t>
  </si>
  <si>
    <t>Status / source / notes</t>
  </si>
  <si>
    <t>1. Monetary policy: NZ–US 2-year differential</t>
  </si>
  <si>
    <t>us_2y_treasury</t>
  </si>
  <si>
    <t>COMPLETE 3 Jan 2000 to 9 Oct 2026. FRED DGS2 (Board of Governors H.15), daily. Blank days are US market holidays.</t>
  </si>
  <si>
    <t>nz_2y_swap</t>
  </si>
  <si>
    <t>PARTIAL: 5 Jan 2011 to 13 Oct 2026. RBNZ B2 "Daily close" files (1985–2017 and 2018–current), series INM.DS02.NZZC. RBNZ publishes no daily 2-year swap before 5 Jan 2011. We checked the current files and the unlinked legacy B2 files (hb2-daily.xlsx, hb2-daily-1985-2017.xlsx, hb2-monthly.xlsx); none has swaps before 2011.</t>
  </si>
  <si>
    <t>nz_2y_govt_11am</t>
  </si>
  <si>
    <t>Fallback for 2000–2010: RBNZ legacy B2 daily file (hb2-daily-1985-2017.xlsx), series INM.DG102.N, the 2-year government bond yield at about 11am. Covers 2000–2017 (4,232 of 4,523 days).</t>
  </si>
  <si>
    <t>nz_2y_govt_close</t>
  </si>
  <si>
    <t>Reference only: RBNZ B2 closing 2-year government bond yield (INM.DG102.NZZCF), 29 Jan 2009 onward, with gaps.</t>
  </si>
  <si>
    <t>diff_2y_swap_minus_ust</t>
  </si>
  <si>
    <t>Arman's specification: NZ 2y swap minus US 2y Treasury. Available from 5 Jan 2011 only. Excel formula.</t>
  </si>
  <si>
    <t>nz_2y_spliced / diff_2y_spliced</t>
  </si>
  <si>
    <t>PROPOSED MERGE for the full window: NZ 2y swap from 5 Jan 2011, NZ 2y government bond yield (11am) before that, minus the US 2y. nz_leg_is_govt_bond = 1 marks the pre-2011 rows. See the Splice_Check sheet.</t>
  </si>
  <si>
    <t>Why the merge is defensible</t>
  </si>
  <si>
    <t>Over the 2011–2017 overlap the two NZ series move almost one-for-one in levels (correlation 0.96) and both track RBNZ policy expectations at the 2-year horizon. Include nz_leg_is_govt_bond in the regression (or interact it with the differential): it absorbs the level gap between the instruments, which averaged +0.21 pp (sd 0.14) in 2011–2017.</t>
  </si>
  <si>
    <t>Caveats on the merge</t>
  </si>
  <si>
    <t>(a) Daily changes match less well: correlation 0.53 for the 11am govt yield vs the swap close, 0.78 close-to-close. So the pre-2011 series is noisier as a daily control. (b) Arman preferred the swap because government bond yields can be moved by the bond flows we study. That concern applies to 2000–2010 under the merge. (c) Robustness check: re-run on the 2011+ sample with the pure swap differential.</t>
  </si>
  <si>
    <t>Better fix if the team has Bloomberg/LSEG</t>
  </si>
  <si>
    <t>A daily NZD 2y swap history before 2011 exists in Bloomberg and LSEG (Refinitiv); LSEG is RBNZ's own data source. Pulling it there would remove the need for the merge.</t>
  </si>
  <si>
    <t>2. Real growth: major data release day</t>
  </si>
  <si>
    <t>rel_us_cpi</t>
  </si>
  <si>
    <t>COMPLETE 2000 to 14 Oct 2026. Release dates are the ALFRED vintage dates of CPIAUCNS (non-seasonally-adjusted CPI is only revised when a new CPI comes out, so each vintage date is a release day). One duplicate vintage that was not a release was removed: 28 Sep 2000. The 2025 shutdown is reflected: there was no October 2025 CPI release, and the 24 Oct and 18 Dec 2025 releases are included.</t>
  </si>
  <si>
    <t>rel_us_nfp</t>
  </si>
  <si>
    <t>COMPLETE 2000 to 2 Oct 2026. Release dates are the ALFRED vintage dates of PAYEMS (Employment Situation report). Three correction vintages that were not report days were removed: 9 Dec 2002, 10 Oct 2003, 11 May 2020. The delayed shutdown reports (20 Nov and 16 Dec 2025) are included.</t>
  </si>
  <si>
    <t>rel_nz_cpi / rel_nz_gdp / rel_nz_labour</t>
  </si>
  <si>
    <t>PARTIAL: mid-2017 to Sep 2026 only (GDP from 15 Jun 2017, CPI from 18 Jul 2017, labour market from 2 Aug 2017). Source: Stats NZ information-release listings, with dates and 10:45am NZT times. Before 15 Jun 2017 these columns are BLANK, not 0, so missing dates are not mistaken for "no release".</t>
  </si>
  <si>
    <t>Why NZ 2000–2017 is missing</t>
  </si>
  <si>
    <t>Stats NZ has closed its archive website (archive.stats.govt.nz), where the pre-2017 releases lived. Internet Archive copies of the release pages exist for about 2008–2017 and include the embargo date, but the archive limits how fast pages can be requested, and that pull was stopped. For 2000–2007 we found no free source.</t>
  </si>
  <si>
    <t>Options to fill NZ 2000–2017</t>
  </si>
  <si>
    <t>(1) Bloomberg: the release-date history field (ECO_RELEASE_DT) for the NZ CPI, GDP and unemployment-rate tickers covers back to the 1990s. This is the cleanest fix. (2) Resume the Internet Archive pull for 2008–2017 (slow; leaves 2000–2007 open). (3) Ask Stats NZ (info@stats.govt.nz) for its historical release calendar.</t>
  </si>
  <si>
    <t>major_release_day</t>
  </si>
  <si>
    <t>Equals 1 if any US or NZ release falls on that date. Before 15 Jun 2017 it reflects US releases only, so use the NZ-specific columns or restrict the sample when NZ releases matter.</t>
  </si>
  <si>
    <t>Timing caution</t>
  </si>
  <si>
    <t>NZ releases come out at 10:45am NZT, which is the previous evening in New York (about 5:45pm EDT or 4:45pm EST). Dummies are dated by the local release date. If NZD/USD is measured at the New York close, consider shifting the NZ dummies one day earlier. Release_Calendar includes UTC and New York timestamps for this.</t>
  </si>
  <si>
    <t>3. Currency risk: VIX</t>
  </si>
  <si>
    <t>vix</t>
  </si>
  <si>
    <t>COMPLETE 3 Jan 2000 to 13 Oct 2026. FRED VIXCLS (CBOE), daily close. Blank days are US market holidays.</t>
  </si>
  <si>
    <t>General</t>
  </si>
  <si>
    <t>Daily_Data has one row per weekday. Blanks are left blank: no forward-filling or interpolation, so the team can choose its own rule. The differential and release-day columns are Excel formulas.</t>
  </si>
  <si>
    <t>Raw files</t>
  </si>
  <si>
    <t>FRED CSVs (DGS2, VIXCLS), RBNZ B2 xlsx files, ALFRED vintage-date lists and the Stats NZ release list were downloaded on 14 Oct 2026 and are available on request.</t>
  </si>
  <si>
    <t>date</t>
  </si>
  <si>
    <t>treasury_swap_merged</t>
  </si>
  <si>
    <t>us_release</t>
  </si>
  <si>
    <t>nz_2y_spliced</t>
  </si>
  <si>
    <t>nz_leg_is_govt_bond</t>
  </si>
  <si>
    <t>diff_2y_spliced</t>
  </si>
  <si>
    <t>rel_nz_cpi</t>
  </si>
  <si>
    <t>rel_nz_gdp</t>
  </si>
  <si>
    <t>rel_nz_labour</t>
  </si>
  <si>
    <t>indicator</t>
  </si>
  <si>
    <t>local_release_date</t>
  </si>
  <si>
    <t>local_time</t>
  </si>
  <si>
    <t>time_zone</t>
  </si>
  <si>
    <t>release_time_utc</t>
  </si>
  <si>
    <t>release_time_new_york</t>
  </si>
  <si>
    <t>us_eastern_date</t>
  </si>
  <si>
    <t>reference_period</t>
  </si>
  <si>
    <t>source</t>
  </si>
  <si>
    <t>US_NFP</t>
  </si>
  <si>
    <t>08:30</t>
  </si>
  <si>
    <t>America/New_York</t>
  </si>
  <si>
    <t>ALFRED vintage dates for PAYEMS (St. Louis Fed)</t>
  </si>
  <si>
    <t>US_CPI</t>
  </si>
  <si>
    <t>ALFRED vintage dates for CPIAUCNS (St. Louis Fed)</t>
  </si>
  <si>
    <t>NZ_GDP</t>
  </si>
  <si>
    <t>10:45</t>
  </si>
  <si>
    <t>Pacific/Auckland</t>
  </si>
  <si>
    <t>March 2017 quarter</t>
  </si>
  <si>
    <t>Stats NZ information releases (stats.govt.nz)</t>
  </si>
  <si>
    <t>NZ_CPI</t>
  </si>
  <si>
    <t>June 2017 quarter</t>
  </si>
  <si>
    <t>NZ_LABOUR</t>
  </si>
  <si>
    <t>September 2017 quarter</t>
  </si>
  <si>
    <t>December 2017 quarter</t>
  </si>
  <si>
    <t>March 2018 quarter</t>
  </si>
  <si>
    <t>June 2018 quarter</t>
  </si>
  <si>
    <t>September 2018 quarter</t>
  </si>
  <si>
    <t>December 2018 quarter</t>
  </si>
  <si>
    <t>March 2019 quarter</t>
  </si>
  <si>
    <t>June 2019 quarter</t>
  </si>
  <si>
    <t>September 2019 quarter</t>
  </si>
  <si>
    <t>December 2019 quarter</t>
  </si>
  <si>
    <t>March 2020 quarter</t>
  </si>
  <si>
    <t>June 2020 quarter</t>
  </si>
  <si>
    <t>September 2020 quarter</t>
  </si>
  <si>
    <t>December 2020 quarter</t>
  </si>
  <si>
    <t>March 2021 quarter</t>
  </si>
  <si>
    <t>June 2021 quarter</t>
  </si>
  <si>
    <t>June 2021 quarter \u2013 corrected</t>
  </si>
  <si>
    <t>September 2021 quarter</t>
  </si>
  <si>
    <t>September 2021 quarter\u00a0</t>
  </si>
  <si>
    <t>December 2021 quarter</t>
  </si>
  <si>
    <t>March 2022 quarter</t>
  </si>
  <si>
    <t>March 2022 quarter\u00a0</t>
  </si>
  <si>
    <t>June 2022 quarter</t>
  </si>
  <si>
    <t>September 2022 quarter</t>
  </si>
  <si>
    <t>December 2022 quarter</t>
  </si>
  <si>
    <t>March 2023 quarter</t>
  </si>
  <si>
    <t>June 2023 quarter</t>
  </si>
  <si>
    <t>September 2023 quarter</t>
  </si>
  <si>
    <t>December 2023 quarter</t>
  </si>
  <si>
    <t>March 2024 quarter</t>
  </si>
  <si>
    <t>June 2024 quarter</t>
  </si>
  <si>
    <t>September 2024 quarter</t>
  </si>
  <si>
    <t>December 2024 quarter</t>
  </si>
  <si>
    <t>March 2025 quarter</t>
  </si>
  <si>
    <t>June 2025 quarter</t>
  </si>
  <si>
    <t>September 2025 quarter</t>
  </si>
  <si>
    <t>December 2025 quarter</t>
  </si>
  <si>
    <t>March 2026 quarter</t>
  </si>
  <si>
    <t>June 2026 quarter</t>
  </si>
  <si>
    <t>Overlap check for splicing NZ 2y government bond yield (pre-2011) with NZ 2y swap</t>
  </si>
  <si>
    <t>Overlap window</t>
  </si>
  <si>
    <t>5 Jan 2011 to 29 Dec 2017 (both NZ series available)</t>
  </si>
  <si>
    <t>Days with both swap and govt 11am</t>
  </si>
  <si>
    <t>Mean spread swap minus govt 11am (pp)</t>
  </si>
  <si>
    <t>Std dev of spread (pp)</t>
  </si>
  <si>
    <t>Min / max spread (pp)</t>
  </si>
  <si>
    <t>-0.27 / 0.55</t>
  </si>
  <si>
    <t>Level correlation swap vs govt 11am</t>
  </si>
  <si>
    <t>Daily-change correlation swap vs govt 11am</t>
  </si>
  <si>
    <t>Daily-change correlation swap vs govt close</t>
  </si>
  <si>
    <t>Spread at splice: 5 Jan 2011 (swap 3.78, govt 3.97)</t>
  </si>
  <si>
    <t>Spread by year (swap minus govt 11am, pp)</t>
  </si>
  <si>
    <t>year</t>
  </si>
  <si>
    <t>mean</t>
  </si>
  <si>
    <t>std dev</t>
  </si>
  <si>
    <t>days</t>
  </si>
  <si>
    <t>2011</t>
  </si>
  <si>
    <t>2012</t>
  </si>
  <si>
    <t>2013</t>
  </si>
  <si>
    <t>2014</t>
  </si>
  <si>
    <t>2015</t>
  </si>
  <si>
    <t>2016</t>
  </si>
  <si>
    <t>2017</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</si>
</sst>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yyyy\-mm\-dd"/>
    <numFmt numFmtId="165" formatCode="yyyy\-mm\-dd\ hh:mm"/>
  </numFmts>
  <fonts count="10">
    <font>
      <sz val="11.0"/>
      <color theme="1"/>
      <name val="Calibri"/>
      <scheme val="minor"/>
    </font>
    <font>
      <b/>
      <sz val="14.0"/>
      <color theme="1"/>
      <name val="Arial"/>
    </font>
    <font>
      <sz val="11.0"/>
      <color theme="1"/>
      <name val="Arial"/>
    </font>
    <font>
      <b/>
      <sz val="11.0"/>
      <color rgb="FFFFFFFF"/>
      <name val="Arial"/>
    </font>
    <font>
      <sz val="11.0"/>
      <color theme="1"/>
      <name val="Calibri"/>
    </font>
    <font>
      <b/>
      <sz val="11.0"/>
      <color theme="1"/>
      <name val="Arial"/>
    </font>
    <font>
      <u/>
      <sz val="11.0"/>
      <color rgb="FF0563C1"/>
      <name val="Arial"/>
    </font>
    <font>
      <sz val="11.0"/>
      <color rgb="FF0000FF"/>
      <name val="Arial"/>
    </font>
    <font>
      <color theme="1"/>
      <name val="Calibri"/>
      <scheme val="minor"/>
    </font>
    <font>
      <b/>
      <sz val="12.0"/>
      <color theme="1"/>
      <name val="Arial"/>
    </font>
  </fonts>
  <fills count="4">
    <fill>
      <patternFill patternType="none"/>
    </fill>
    <fill>
      <patternFill patternType="lightGray"/>
    </fill>
    <fill>
      <patternFill patternType="solid">
        <fgColor rgb="FF1F3864"/>
        <bgColor rgb="FF1F3864"/>
      </patternFill>
    </fill>
    <fill>
      <patternFill patternType="solid">
        <fgColor rgb="FFFFFF00"/>
        <bgColor rgb="FFFFFF00"/>
      </patternFill>
    </fill>
  </fills>
  <borders count="2">
    <border/>
    <border>
      <left/>
      <right/>
      <top/>
      <bottom/>
    </border>
  </borders>
  <cellStyleXfs count="1">
    <xf borderId="0" fillId="0" fontId="0" numFmtId="0" applyAlignment="1" applyFont="1"/>
  </cellStyleXfs>
  <cellXfs count="20">
    <xf borderId="0" fillId="0" fontId="0" numFmtId="0" xfId="0" applyAlignment="1" applyFont="1">
      <alignment readingOrder="0" shrinkToFit="0" vertical="bottom" wrapText="0"/>
    </xf>
    <xf borderId="0" fillId="0" fontId="1" numFmtId="0" xfId="0" applyFont="1"/>
    <xf borderId="0" fillId="0" fontId="2" numFmtId="0" xfId="0" applyAlignment="1" applyFont="1">
      <alignment shrinkToFit="0" vertical="top" wrapText="1"/>
    </xf>
    <xf borderId="1" fillId="2" fontId="3" numFmtId="0" xfId="0" applyBorder="1" applyFill="1" applyFont="1"/>
    <xf borderId="1" fillId="2" fontId="4" numFmtId="0" xfId="0" applyBorder="1" applyFill="1" applyFont="1"/>
    <xf borderId="0" fillId="0" fontId="5" numFmtId="0" xfId="0" applyAlignment="1" applyFont="1">
      <alignment shrinkToFit="0" vertical="top" wrapText="1"/>
    </xf>
    <xf borderId="0" fillId="0" fontId="6" numFmtId="0" xfId="0" applyAlignment="1" applyFont="1">
      <alignment shrinkToFit="0" vertical="top" wrapText="1"/>
    </xf>
    <xf borderId="0" fillId="0" fontId="1" numFmtId="0" xfId="0" applyAlignment="1" applyFont="1">
      <alignment shrinkToFit="0" vertical="top" wrapText="1"/>
    </xf>
    <xf borderId="1" fillId="3" fontId="7" numFmtId="164" xfId="0" applyAlignment="1" applyBorder="1" applyFill="1" applyFont="1" applyNumberFormat="1">
      <alignment shrinkToFit="0" vertical="top" wrapText="1"/>
    </xf>
    <xf borderId="0" fillId="0" fontId="8" numFmtId="0" xfId="0" applyAlignment="1" applyFont="1">
      <alignment readingOrder="0"/>
    </xf>
    <xf borderId="0" fillId="0" fontId="8" numFmtId="164" xfId="0" applyFont="1" applyNumberFormat="1"/>
    <xf borderId="0" fillId="0" fontId="8" numFmtId="2" xfId="0" applyFont="1" applyNumberFormat="1"/>
    <xf borderId="0" fillId="0" fontId="8" numFmtId="0" xfId="0" applyFont="1"/>
    <xf borderId="1" fillId="2" fontId="3" numFmtId="0" xfId="0" applyAlignment="1" applyBorder="1" applyFill="1" applyFont="1">
      <alignment shrinkToFit="0" wrapText="1"/>
    </xf>
    <xf borderId="0" fillId="0" fontId="2" numFmtId="164" xfId="0" applyFont="1" applyNumberFormat="1"/>
    <xf borderId="0" fillId="0" fontId="2" numFmtId="2" xfId="0" applyFont="1" applyNumberFormat="1"/>
    <xf borderId="0" fillId="0" fontId="2" numFmtId="0" xfId="0" applyFont="1"/>
    <xf borderId="0" fillId="0" fontId="2" numFmtId="165" xfId="0" applyFont="1" applyNumberFormat="1"/>
    <xf borderId="0" fillId="0" fontId="9" numFmtId="0" xfId="0" applyFont="1"/>
    <xf borderId="0" fillId="0" fontId="5" numFmtId="0" xfId="0" applyFont="1"/>
  </cellXfs>
  <cellStyles count="1">
    <cellStyle xfId="0" name="Normal" builtinId="0"/>
  </cellStyles>
  <dxfs count="0"/>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comments2.xml.rels><?xml version="1.0" encoding="UTF-8" standalone="yes"?><Relationships xmlns="http://schemas.openxmlformats.org/package/2006/relationships"><Relationship Id="rId1" Type="http://customschemas.google.com/relationships/workbookmetadata" Target="commentsmeta1"/></Relationships>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0" Type="http://customschemas.google.com/relationships/workbookmetadata" Target="metadata"/><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fred.stlouisfed.org/series/DGS2" TargetMode="External"/><Relationship Id="rId2" Type="http://schemas.openxmlformats.org/officeDocument/2006/relationships/hyperlink" Target="https://fred.stlouisfed.org/series/VIXCLS" TargetMode="External"/><Relationship Id="rId3" Type="http://schemas.openxmlformats.org/officeDocument/2006/relationships/hyperlink" Target="https://www.rbnz.govt.nz/statistics/series/exchange-and-interest-rates/wholesale-interest-rates" TargetMode="External"/><Relationship Id="rId4" Type="http://schemas.openxmlformats.org/officeDocument/2006/relationships/hyperlink" Target="https://alfred.stlouisfed.org/series?seid=PAYEMS" TargetMode="External"/><Relationship Id="rId5" Type="http://schemas.openxmlformats.org/officeDocument/2006/relationships/hyperlink" Target="https://alfred.stlouisfed.org/series?seid=CPIAUCNS" TargetMode="External"/><Relationship Id="rId6" Type="http://schemas.openxmlformats.org/officeDocument/2006/relationships/hyperlink" Target="https://www.stats.govt.nz/az-of-information-releases" TargetMode="External"/><Relationship Id="rId7" Type="http://schemas.openxmlformats.org/officeDocument/2006/relationships/hyperlink" Target="https://www.stats.govt.nz/about-us/stats-nz-archive-website/" TargetMode="External"/><Relationship Id="rId8"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2.xml"/><Relationship Id="rId3"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4.xml"/><Relationship Id="rId3" Type="http://schemas.openxmlformats.org/officeDocument/2006/relationships/vmlDrawing" Target="../drawings/vmlDrawing2.v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6.0"/>
    <col customWidth="1" min="2" max="2" width="130.0"/>
    <col customWidth="1" min="3" max="26" width="8.71"/>
  </cols>
  <sheetData>
    <row r="1">
      <c r="A1" s="1" t="s">
        <v>0</v>
      </c>
    </row>
    <row r="2" ht="15.0" customHeight="1">
      <c r="A2" s="2" t="s">
        <v>1</v>
      </c>
    </row>
    <row r="4">
      <c r="A4" s="3" t="s">
        <v>2</v>
      </c>
      <c r="B4" s="4"/>
    </row>
    <row r="5" ht="30.0" customHeight="1">
      <c r="A5" s="2" t="s">
        <v>3</v>
      </c>
    </row>
    <row r="6" ht="15.0" customHeight="1">
      <c r="A6" s="2" t="s">
        <v>4</v>
      </c>
    </row>
    <row r="7" ht="15.0" customHeight="1">
      <c r="A7" s="2" t="s">
        <v>5</v>
      </c>
    </row>
    <row r="8" ht="30.0" customHeight="1">
      <c r="A8" s="2" t="s">
        <v>6</v>
      </c>
    </row>
    <row r="10">
      <c r="A10" s="3" t="s">
        <v>7</v>
      </c>
      <c r="B10" s="4"/>
    </row>
    <row r="11" ht="15.0" customHeight="1">
      <c r="A11" s="5" t="s">
        <v>8</v>
      </c>
      <c r="B11" s="2" t="s">
        <v>9</v>
      </c>
    </row>
    <row r="12" ht="30.0" customHeight="1">
      <c r="A12" s="5" t="s">
        <v>10</v>
      </c>
      <c r="B12" s="2" t="s">
        <v>11</v>
      </c>
    </row>
    <row r="13" ht="15.0" customHeight="1">
      <c r="A13" s="5" t="s">
        <v>12</v>
      </c>
      <c r="B13" s="2" t="s">
        <v>13</v>
      </c>
    </row>
    <row r="14" ht="15.0" customHeight="1">
      <c r="A14" s="5" t="s">
        <v>14</v>
      </c>
      <c r="B14" s="2" t="s">
        <v>15</v>
      </c>
    </row>
    <row r="15" ht="15.0" customHeight="1">
      <c r="A15" s="5" t="s">
        <v>16</v>
      </c>
      <c r="B15" s="2" t="s">
        <v>17</v>
      </c>
    </row>
    <row r="17">
      <c r="A17" s="3" t="s">
        <v>18</v>
      </c>
      <c r="B17" s="4"/>
    </row>
    <row r="18" ht="15.0" customHeight="1">
      <c r="A18" s="5" t="s">
        <v>19</v>
      </c>
      <c r="B18" s="2" t="s">
        <v>20</v>
      </c>
    </row>
    <row r="19" ht="15.0" customHeight="1">
      <c r="A19" s="5" t="s">
        <v>21</v>
      </c>
      <c r="B19" s="2" t="s">
        <v>22</v>
      </c>
    </row>
    <row r="20" ht="60.0" customHeight="1">
      <c r="A20" s="5" t="s">
        <v>23</v>
      </c>
      <c r="B20" s="2" t="s">
        <v>24</v>
      </c>
    </row>
    <row r="21" ht="15.0" customHeight="1">
      <c r="A21" s="5" t="s">
        <v>25</v>
      </c>
      <c r="B21" s="2" t="s">
        <v>26</v>
      </c>
    </row>
    <row r="22" ht="30.0" customHeight="1">
      <c r="A22" s="5" t="s">
        <v>27</v>
      </c>
      <c r="B22" s="2" t="s">
        <v>28</v>
      </c>
    </row>
    <row r="23" ht="15.75" customHeight="1"/>
    <row r="24" ht="15.75" customHeight="1">
      <c r="A24" s="3" t="s">
        <v>29</v>
      </c>
      <c r="B24" s="4"/>
    </row>
    <row r="25" ht="30.0" customHeight="1">
      <c r="A25" s="2" t="s">
        <v>30</v>
      </c>
    </row>
    <row r="26" ht="15.75" customHeight="1"/>
    <row r="27" ht="15.75" customHeight="1">
      <c r="A27" s="3" t="s">
        <v>31</v>
      </c>
      <c r="B27" s="4"/>
    </row>
    <row r="28" ht="60.0" customHeight="1">
      <c r="A28" s="2" t="s">
        <v>32</v>
      </c>
    </row>
    <row r="29" ht="15.75" customHeight="1"/>
    <row r="30" ht="15.75" customHeight="1">
      <c r="A30" s="3" t="s">
        <v>33</v>
      </c>
      <c r="B30" s="4"/>
    </row>
    <row r="31" ht="15.0" customHeight="1">
      <c r="A31" s="5" t="s">
        <v>34</v>
      </c>
      <c r="B31" s="6" t="s">
        <v>35</v>
      </c>
    </row>
    <row r="32" ht="15.0" customHeight="1">
      <c r="A32" s="5" t="s">
        <v>36</v>
      </c>
      <c r="B32" s="6" t="s">
        <v>37</v>
      </c>
    </row>
    <row r="33" ht="15.0" customHeight="1">
      <c r="A33" s="5" t="s">
        <v>38</v>
      </c>
      <c r="B33" s="6" t="s">
        <v>39</v>
      </c>
    </row>
    <row r="34" ht="15.0" customHeight="1">
      <c r="A34" s="5" t="s">
        <v>40</v>
      </c>
      <c r="B34" s="6" t="s">
        <v>41</v>
      </c>
    </row>
    <row r="35" ht="15.0" customHeight="1">
      <c r="A35" s="5" t="s">
        <v>42</v>
      </c>
      <c r="B35" s="6" t="s">
        <v>43</v>
      </c>
    </row>
    <row r="36" ht="15.0" customHeight="1">
      <c r="A36" s="5" t="s">
        <v>44</v>
      </c>
      <c r="B36" s="6" t="s">
        <v>45</v>
      </c>
    </row>
    <row r="37" ht="15.0" customHeight="1">
      <c r="A37" s="5" t="s">
        <v>46</v>
      </c>
      <c r="B37" s="6" t="s">
        <v>47</v>
      </c>
    </row>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7">
    <mergeCell ref="A2:B2"/>
    <mergeCell ref="A5:B5"/>
    <mergeCell ref="A6:B6"/>
    <mergeCell ref="A7:B7"/>
    <mergeCell ref="A8:B8"/>
    <mergeCell ref="A25:B25"/>
    <mergeCell ref="A28:B28"/>
  </mergeCells>
  <hyperlinks>
    <hyperlink r:id="rId1" ref="B31"/>
    <hyperlink r:id="rId2" ref="B32"/>
    <hyperlink r:id="rId3" ref="B33"/>
    <hyperlink r:id="rId4" ref="B34"/>
    <hyperlink r:id="rId5" ref="B35"/>
    <hyperlink r:id="rId6" ref="B36"/>
    <hyperlink r:id="rId7" ref="B37"/>
  </hyperlinks>
  <printOptions/>
  <pageMargins bottom="1.0" footer="0.0" header="0.0" left="0.75" right="0.75" top="1.0"/>
  <pageSetup paperSize="9" orientation="portrait"/>
  <drawing r:id="rId8"/>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44.0"/>
    <col customWidth="1" min="2" max="2" width="120.0"/>
    <col customWidth="1" min="3" max="26" width="8.71"/>
  </cols>
  <sheetData>
    <row r="1">
      <c r="A1" s="7" t="s">
        <v>48</v>
      </c>
      <c r="B1" s="2"/>
    </row>
    <row r="2">
      <c r="A2" s="2" t="s">
        <v>49</v>
      </c>
      <c r="B2" s="2"/>
    </row>
    <row r="3">
      <c r="A3" s="2"/>
      <c r="B3" s="2"/>
    </row>
    <row r="4">
      <c r="A4" s="5" t="s">
        <v>50</v>
      </c>
      <c r="B4" s="5"/>
    </row>
    <row r="5">
      <c r="A5" s="2" t="s">
        <v>51</v>
      </c>
      <c r="B5" s="8">
        <v>42901.0</v>
      </c>
    </row>
    <row r="6">
      <c r="A6" s="2"/>
      <c r="B6" s="2"/>
    </row>
    <row r="7">
      <c r="A7" s="5" t="s">
        <v>52</v>
      </c>
      <c r="B7" s="5" t="s">
        <v>53</v>
      </c>
    </row>
    <row r="8">
      <c r="A8" s="5" t="s">
        <v>54</v>
      </c>
      <c r="B8" s="2"/>
    </row>
    <row r="9">
      <c r="A9" s="2" t="s">
        <v>55</v>
      </c>
      <c r="B9" s="2" t="s">
        <v>56</v>
      </c>
    </row>
    <row r="10">
      <c r="A10" s="2" t="s">
        <v>57</v>
      </c>
      <c r="B10" s="2" t="s">
        <v>58</v>
      </c>
    </row>
    <row r="11">
      <c r="A11" s="2" t="s">
        <v>59</v>
      </c>
      <c r="B11" s="2" t="s">
        <v>60</v>
      </c>
    </row>
    <row r="12">
      <c r="A12" s="2" t="s">
        <v>61</v>
      </c>
      <c r="B12" s="2" t="s">
        <v>62</v>
      </c>
    </row>
    <row r="13">
      <c r="A13" s="2" t="s">
        <v>63</v>
      </c>
      <c r="B13" s="2" t="s">
        <v>64</v>
      </c>
    </row>
    <row r="14">
      <c r="A14" s="2" t="s">
        <v>65</v>
      </c>
      <c r="B14" s="2" t="s">
        <v>66</v>
      </c>
    </row>
    <row r="15">
      <c r="A15" s="2" t="s">
        <v>67</v>
      </c>
      <c r="B15" s="2" t="s">
        <v>68</v>
      </c>
    </row>
    <row r="16">
      <c r="A16" s="2" t="s">
        <v>69</v>
      </c>
      <c r="B16" s="2" t="s">
        <v>70</v>
      </c>
    </row>
    <row r="17">
      <c r="A17" s="2" t="s">
        <v>71</v>
      </c>
      <c r="B17" s="2" t="s">
        <v>72</v>
      </c>
    </row>
    <row r="18">
      <c r="A18" s="5" t="s">
        <v>73</v>
      </c>
      <c r="B18" s="2"/>
    </row>
    <row r="19">
      <c r="A19" s="2" t="s">
        <v>74</v>
      </c>
      <c r="B19" s="2" t="s">
        <v>75</v>
      </c>
    </row>
    <row r="20">
      <c r="A20" s="2" t="s">
        <v>76</v>
      </c>
      <c r="B20" s="2" t="s">
        <v>77</v>
      </c>
    </row>
    <row r="21" ht="15.75" customHeight="1">
      <c r="A21" s="2" t="s">
        <v>78</v>
      </c>
      <c r="B21" s="2" t="s">
        <v>79</v>
      </c>
    </row>
    <row r="22" ht="15.75" customHeight="1">
      <c r="A22" s="2" t="s">
        <v>80</v>
      </c>
      <c r="B22" s="2" t="s">
        <v>81</v>
      </c>
    </row>
    <row r="23" ht="15.75" customHeight="1">
      <c r="A23" s="2" t="s">
        <v>82</v>
      </c>
      <c r="B23" s="2" t="s">
        <v>83</v>
      </c>
    </row>
    <row r="24" ht="15.75" customHeight="1">
      <c r="A24" s="2" t="s">
        <v>84</v>
      </c>
      <c r="B24" s="2" t="s">
        <v>85</v>
      </c>
    </row>
    <row r="25" ht="15.75" customHeight="1">
      <c r="A25" s="2" t="s">
        <v>86</v>
      </c>
      <c r="B25" s="2" t="s">
        <v>87</v>
      </c>
    </row>
    <row r="26" ht="15.75" customHeight="1">
      <c r="A26" s="5" t="s">
        <v>88</v>
      </c>
      <c r="B26" s="2"/>
    </row>
    <row r="27" ht="15.75" customHeight="1">
      <c r="A27" s="2" t="s">
        <v>89</v>
      </c>
      <c r="B27" s="2" t="s">
        <v>90</v>
      </c>
    </row>
    <row r="28" ht="15.75" customHeight="1">
      <c r="A28" s="2"/>
      <c r="B28" s="2"/>
    </row>
    <row r="29" ht="15.75" customHeight="1">
      <c r="A29" s="2" t="s">
        <v>91</v>
      </c>
      <c r="B29" s="2" t="s">
        <v>92</v>
      </c>
    </row>
    <row r="30" ht="15.75" customHeight="1">
      <c r="A30" s="2" t="s">
        <v>93</v>
      </c>
      <c r="B30" s="2" t="s">
        <v>94</v>
      </c>
    </row>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paperSize="9" orientation="portrait"/>
  <drawing r:id="rId2"/>
  <legacy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row r="1">
      <c r="A1" s="9" t="s">
        <v>95</v>
      </c>
      <c r="B1" s="9" t="s">
        <v>89</v>
      </c>
      <c r="C1" s="9" t="s">
        <v>96</v>
      </c>
      <c r="D1" s="9" t="s">
        <v>97</v>
      </c>
    </row>
    <row r="2">
      <c r="A2" s="10">
        <f>Daily_Data!A2</f>
        <v>36528</v>
      </c>
      <c r="B2" s="11">
        <f>Daily_Data!J2</f>
        <v>24.21</v>
      </c>
      <c r="C2" s="11" t="str">
        <f>Daily_Data!I2</f>
        <v/>
      </c>
      <c r="D2" s="12">
        <f>if(sum(Daily_Data!K2:L2)&gt;0,1,0)</f>
        <v>0</v>
      </c>
    </row>
    <row r="3">
      <c r="A3" s="10">
        <f>Daily_Data!A3</f>
        <v>36529</v>
      </c>
      <c r="B3" s="11">
        <f>Daily_Data!J3</f>
        <v>27.01</v>
      </c>
      <c r="C3" s="11" t="str">
        <f>Daily_Data!I3</f>
        <v/>
      </c>
      <c r="D3" s="12">
        <f>if(sum(Daily_Data!K3:L3)&gt;0,1,0)</f>
        <v>0</v>
      </c>
    </row>
    <row r="4">
      <c r="A4" s="10">
        <f>Daily_Data!A4</f>
        <v>36530</v>
      </c>
      <c r="B4" s="11">
        <f>Daily_Data!J4</f>
        <v>26.41</v>
      </c>
      <c r="C4" s="11">
        <f>Daily_Data!I4</f>
        <v>0.31</v>
      </c>
      <c r="D4" s="12">
        <f>if(sum(Daily_Data!K4:L4)&gt;0,1,0)</f>
        <v>0</v>
      </c>
    </row>
    <row r="5">
      <c r="A5" s="10">
        <f>Daily_Data!A5</f>
        <v>36531</v>
      </c>
      <c r="B5" s="11">
        <f>Daily_Data!J5</f>
        <v>25.73</v>
      </c>
      <c r="C5" s="11">
        <f>Daily_Data!I5</f>
        <v>0.41</v>
      </c>
      <c r="D5" s="12">
        <f>if(sum(Daily_Data!K5:L5)&gt;0,1,0)</f>
        <v>0</v>
      </c>
    </row>
    <row r="6">
      <c r="A6" s="10">
        <f>Daily_Data!A6</f>
        <v>36532</v>
      </c>
      <c r="B6" s="11">
        <f>Daily_Data!J6</f>
        <v>21.72</v>
      </c>
      <c r="C6" s="11">
        <f>Daily_Data!I6</f>
        <v>0.47</v>
      </c>
      <c r="D6" s="12">
        <f>if(sum(Daily_Data!K6:L6)&gt;0,1,0)</f>
        <v>1</v>
      </c>
    </row>
    <row r="7">
      <c r="A7" s="10">
        <f>Daily_Data!A7</f>
        <v>36535</v>
      </c>
      <c r="B7" s="11">
        <f>Daily_Data!J7</f>
        <v>21.71</v>
      </c>
      <c r="C7" s="11">
        <f>Daily_Data!I7</f>
        <v>0.38</v>
      </c>
      <c r="D7" s="12">
        <f>if(sum(Daily_Data!K7:L7)&gt;0,1,0)</f>
        <v>0</v>
      </c>
    </row>
    <row r="8">
      <c r="A8" s="10">
        <f>Daily_Data!A8</f>
        <v>36536</v>
      </c>
      <c r="B8" s="11">
        <f>Daily_Data!J8</f>
        <v>22.5</v>
      </c>
      <c r="C8" s="11">
        <f>Daily_Data!I8</f>
        <v>0.31</v>
      </c>
      <c r="D8" s="12">
        <f>if(sum(Daily_Data!K8:L8)&gt;0,1,0)</f>
        <v>0</v>
      </c>
    </row>
    <row r="9">
      <c r="A9" s="10">
        <f>Daily_Data!A9</f>
        <v>36537</v>
      </c>
      <c r="B9" s="11">
        <f>Daily_Data!J9</f>
        <v>22.84</v>
      </c>
      <c r="C9" s="11">
        <f>Daily_Data!I9</f>
        <v>0.39</v>
      </c>
      <c r="D9" s="12">
        <f>if(sum(Daily_Data!K9:L9)&gt;0,1,0)</f>
        <v>0</v>
      </c>
    </row>
    <row r="10">
      <c r="A10" s="10">
        <f>Daily_Data!A10</f>
        <v>36538</v>
      </c>
      <c r="B10" s="11">
        <f>Daily_Data!J10</f>
        <v>21.71</v>
      </c>
      <c r="C10" s="11">
        <f>Daily_Data!I10</f>
        <v>0.48</v>
      </c>
      <c r="D10" s="12">
        <f>if(sum(Daily_Data!K10:L10)&gt;0,1,0)</f>
        <v>0</v>
      </c>
    </row>
    <row r="11">
      <c r="A11" s="10">
        <f>Daily_Data!A11</f>
        <v>36539</v>
      </c>
      <c r="B11" s="11">
        <f>Daily_Data!J11</f>
        <v>19.66</v>
      </c>
      <c r="C11" s="11">
        <f>Daily_Data!I11</f>
        <v>0.38</v>
      </c>
      <c r="D11" s="12">
        <f>if(sum(Daily_Data!K11:L11)&gt;0,1,0)</f>
        <v>1</v>
      </c>
    </row>
    <row r="12">
      <c r="A12" s="10">
        <f>Daily_Data!A12</f>
        <v>36542</v>
      </c>
      <c r="B12" s="11" t="str">
        <f>Daily_Data!J12</f>
        <v/>
      </c>
      <c r="C12" s="11" t="str">
        <f>Daily_Data!I12</f>
        <v/>
      </c>
      <c r="D12" s="12">
        <f>if(sum(Daily_Data!K12:L12)&gt;0,1,0)</f>
        <v>0</v>
      </c>
    </row>
    <row r="13">
      <c r="A13" s="10">
        <f>Daily_Data!A13</f>
        <v>36543</v>
      </c>
      <c r="B13" s="11">
        <f>Daily_Data!J13</f>
        <v>21.5</v>
      </c>
      <c r="C13" s="11">
        <f>Daily_Data!I13</f>
        <v>0.42</v>
      </c>
      <c r="D13" s="12">
        <f>if(sum(Daily_Data!K13:L13)&gt;0,1,0)</f>
        <v>0</v>
      </c>
    </row>
    <row r="14">
      <c r="A14" s="10">
        <f>Daily_Data!A14</f>
        <v>36544</v>
      </c>
      <c r="B14" s="11">
        <f>Daily_Data!J14</f>
        <v>21.72</v>
      </c>
      <c r="C14" s="11">
        <f>Daily_Data!I14</f>
        <v>0.56</v>
      </c>
      <c r="D14" s="12">
        <f>if(sum(Daily_Data!K14:L14)&gt;0,1,0)</f>
        <v>0</v>
      </c>
    </row>
    <row r="15">
      <c r="A15" s="10">
        <f>Daily_Data!A15</f>
        <v>36545</v>
      </c>
      <c r="B15" s="11">
        <f>Daily_Data!J15</f>
        <v>21.75</v>
      </c>
      <c r="C15" s="11">
        <f>Daily_Data!I15</f>
        <v>0.46</v>
      </c>
      <c r="D15" s="12">
        <f>if(sum(Daily_Data!K15:L15)&gt;0,1,0)</f>
        <v>0</v>
      </c>
    </row>
    <row r="16">
      <c r="A16" s="10">
        <f>Daily_Data!A16</f>
        <v>36546</v>
      </c>
      <c r="B16" s="11">
        <f>Daily_Data!J16</f>
        <v>20.82</v>
      </c>
      <c r="C16" s="11">
        <f>Daily_Data!I16</f>
        <v>0.48</v>
      </c>
      <c r="D16" s="12">
        <f>if(sum(Daily_Data!K16:L16)&gt;0,1,0)</f>
        <v>0</v>
      </c>
    </row>
    <row r="17">
      <c r="A17" s="10">
        <f>Daily_Data!A17</f>
        <v>36549</v>
      </c>
      <c r="B17" s="11">
        <f>Daily_Data!J17</f>
        <v>24.07</v>
      </c>
      <c r="C17" s="11">
        <f>Daily_Data!I17</f>
        <v>0.53</v>
      </c>
      <c r="D17" s="12">
        <f>if(sum(Daily_Data!K17:L17)&gt;0,1,0)</f>
        <v>0</v>
      </c>
    </row>
    <row r="18">
      <c r="A18" s="10">
        <f>Daily_Data!A18</f>
        <v>36550</v>
      </c>
      <c r="B18" s="11">
        <f>Daily_Data!J18</f>
        <v>23.02</v>
      </c>
      <c r="C18" s="11">
        <f>Daily_Data!I18</f>
        <v>0.52</v>
      </c>
      <c r="D18" s="12">
        <f>if(sum(Daily_Data!K18:L18)&gt;0,1,0)</f>
        <v>0</v>
      </c>
    </row>
    <row r="19">
      <c r="A19" s="10">
        <f>Daily_Data!A19</f>
        <v>36551</v>
      </c>
      <c r="B19" s="11">
        <f>Daily_Data!J19</f>
        <v>23.03</v>
      </c>
      <c r="C19" s="11">
        <f>Daily_Data!I19</f>
        <v>0.5</v>
      </c>
      <c r="D19" s="12">
        <f>if(sum(Daily_Data!K19:L19)&gt;0,1,0)</f>
        <v>0</v>
      </c>
    </row>
    <row r="20">
      <c r="A20" s="10">
        <f>Daily_Data!A20</f>
        <v>36552</v>
      </c>
      <c r="B20" s="11">
        <f>Daily_Data!J20</f>
        <v>23.54</v>
      </c>
      <c r="C20" s="11">
        <f>Daily_Data!I20</f>
        <v>0.4</v>
      </c>
      <c r="D20" s="12">
        <f>if(sum(Daily_Data!K20:L20)&gt;0,1,0)</f>
        <v>0</v>
      </c>
    </row>
    <row r="21">
      <c r="A21" s="10">
        <f>Daily_Data!A21</f>
        <v>36553</v>
      </c>
      <c r="B21" s="11">
        <f>Daily_Data!J21</f>
        <v>26.14</v>
      </c>
      <c r="C21" s="11">
        <f>Daily_Data!I21</f>
        <v>0.34</v>
      </c>
      <c r="D21" s="12">
        <f>if(sum(Daily_Data!K21:L21)&gt;0,1,0)</f>
        <v>0</v>
      </c>
    </row>
    <row r="22">
      <c r="A22" s="10">
        <f>Daily_Data!A22</f>
        <v>36556</v>
      </c>
      <c r="B22" s="11">
        <f>Daily_Data!J22</f>
        <v>24.95</v>
      </c>
      <c r="C22" s="11">
        <f>Daily_Data!I22</f>
        <v>0.39</v>
      </c>
      <c r="D22" s="12">
        <f>if(sum(Daily_Data!K22:L22)&gt;0,1,0)</f>
        <v>0</v>
      </c>
    </row>
    <row r="23">
      <c r="A23" s="10">
        <f>Daily_Data!A23</f>
        <v>36557</v>
      </c>
      <c r="B23" s="11">
        <f>Daily_Data!J23</f>
        <v>23.45</v>
      </c>
      <c r="C23" s="11">
        <f>Daily_Data!I23</f>
        <v>0.41</v>
      </c>
      <c r="D23" s="12">
        <f>if(sum(Daily_Data!K23:L23)&gt;0,1,0)</f>
        <v>0</v>
      </c>
    </row>
    <row r="24">
      <c r="A24" s="10">
        <f>Daily_Data!A24</f>
        <v>36558</v>
      </c>
      <c r="B24" s="11">
        <f>Daily_Data!J24</f>
        <v>23.12</v>
      </c>
      <c r="C24" s="11">
        <f>Daily_Data!I24</f>
        <v>0.37</v>
      </c>
      <c r="D24" s="12">
        <f>if(sum(Daily_Data!K24:L24)&gt;0,1,0)</f>
        <v>0</v>
      </c>
    </row>
    <row r="25">
      <c r="A25" s="10">
        <f>Daily_Data!A25</f>
        <v>36559</v>
      </c>
      <c r="B25" s="11">
        <f>Daily_Data!J25</f>
        <v>22.01</v>
      </c>
      <c r="C25" s="11">
        <f>Daily_Data!I25</f>
        <v>0.54</v>
      </c>
      <c r="D25" s="12">
        <f>if(sum(Daily_Data!K25:L25)&gt;0,1,0)</f>
        <v>0</v>
      </c>
    </row>
    <row r="26">
      <c r="A26" s="10">
        <f>Daily_Data!A26</f>
        <v>36560</v>
      </c>
      <c r="B26" s="11">
        <f>Daily_Data!J26</f>
        <v>21.54</v>
      </c>
      <c r="C26" s="11">
        <f>Daily_Data!I26</f>
        <v>0.43</v>
      </c>
      <c r="D26" s="12">
        <f>if(sum(Daily_Data!K26:L26)&gt;0,1,0)</f>
        <v>1</v>
      </c>
    </row>
    <row r="27">
      <c r="A27" s="10">
        <f>Daily_Data!A27</f>
        <v>36563</v>
      </c>
      <c r="B27" s="11">
        <f>Daily_Data!J27</f>
        <v>22.79</v>
      </c>
      <c r="C27" s="11">
        <f>Daily_Data!I27</f>
        <v>0.42</v>
      </c>
      <c r="D27" s="12">
        <f>if(sum(Daily_Data!K27:L27)&gt;0,1,0)</f>
        <v>0</v>
      </c>
    </row>
    <row r="28">
      <c r="A28" s="10">
        <f>Daily_Data!A28</f>
        <v>36564</v>
      </c>
      <c r="B28" s="11">
        <f>Daily_Data!J28</f>
        <v>21.25</v>
      </c>
      <c r="C28" s="11">
        <f>Daily_Data!I28</f>
        <v>0.46</v>
      </c>
      <c r="D28" s="12">
        <f>if(sum(Daily_Data!K28:L28)&gt;0,1,0)</f>
        <v>0</v>
      </c>
    </row>
    <row r="29">
      <c r="A29" s="10">
        <f>Daily_Data!A29</f>
        <v>36565</v>
      </c>
      <c r="B29" s="11">
        <f>Daily_Data!J29</f>
        <v>22.9</v>
      </c>
      <c r="C29" s="11">
        <f>Daily_Data!I29</f>
        <v>0.48</v>
      </c>
      <c r="D29" s="12">
        <f>if(sum(Daily_Data!K29:L29)&gt;0,1,0)</f>
        <v>0</v>
      </c>
    </row>
    <row r="30">
      <c r="A30" s="10">
        <f>Daily_Data!A30</f>
        <v>36566</v>
      </c>
      <c r="B30" s="11">
        <f>Daily_Data!J30</f>
        <v>23.07</v>
      </c>
      <c r="C30" s="11">
        <f>Daily_Data!I30</f>
        <v>0.52</v>
      </c>
      <c r="D30" s="12">
        <f>if(sum(Daily_Data!K30:L30)&gt;0,1,0)</f>
        <v>0</v>
      </c>
    </row>
    <row r="31">
      <c r="A31" s="10">
        <f>Daily_Data!A31</f>
        <v>36567</v>
      </c>
      <c r="B31" s="11">
        <f>Daily_Data!J31</f>
        <v>24.42</v>
      </c>
      <c r="C31" s="11">
        <f>Daily_Data!I31</f>
        <v>0.54</v>
      </c>
      <c r="D31" s="12">
        <f>if(sum(Daily_Data!K31:L31)&gt;0,1,0)</f>
        <v>0</v>
      </c>
    </row>
    <row r="32">
      <c r="A32" s="10">
        <f>Daily_Data!A32</f>
        <v>36570</v>
      </c>
      <c r="B32" s="11">
        <f>Daily_Data!J32</f>
        <v>24.38</v>
      </c>
      <c r="C32" s="11">
        <f>Daily_Data!I32</f>
        <v>0.5</v>
      </c>
      <c r="D32" s="12">
        <f>if(sum(Daily_Data!K32:L32)&gt;0,1,0)</f>
        <v>0</v>
      </c>
    </row>
    <row r="33">
      <c r="A33" s="10">
        <f>Daily_Data!A33</f>
        <v>36571</v>
      </c>
      <c r="B33" s="11">
        <f>Daily_Data!J33</f>
        <v>22.92</v>
      </c>
      <c r="C33" s="11">
        <f>Daily_Data!I33</f>
        <v>0.47</v>
      </c>
      <c r="D33" s="12">
        <f>if(sum(Daily_Data!K33:L33)&gt;0,1,0)</f>
        <v>0</v>
      </c>
    </row>
    <row r="34">
      <c r="A34" s="10">
        <f>Daily_Data!A34</f>
        <v>36572</v>
      </c>
      <c r="B34" s="11">
        <f>Daily_Data!J34</f>
        <v>23.51</v>
      </c>
      <c r="C34" s="11">
        <f>Daily_Data!I34</f>
        <v>0.51</v>
      </c>
      <c r="D34" s="12">
        <f>if(sum(Daily_Data!K34:L34)&gt;0,1,0)</f>
        <v>0</v>
      </c>
    </row>
    <row r="35">
      <c r="A35" s="10">
        <f>Daily_Data!A35</f>
        <v>36573</v>
      </c>
      <c r="B35" s="11">
        <f>Daily_Data!J35</f>
        <v>23.17</v>
      </c>
      <c r="C35" s="11">
        <f>Daily_Data!I35</f>
        <v>0.4</v>
      </c>
      <c r="D35" s="12">
        <f>if(sum(Daily_Data!K35:L35)&gt;0,1,0)</f>
        <v>0</v>
      </c>
    </row>
    <row r="36">
      <c r="A36" s="10">
        <f>Daily_Data!A36</f>
        <v>36574</v>
      </c>
      <c r="B36" s="11">
        <f>Daily_Data!J36</f>
        <v>26</v>
      </c>
      <c r="C36" s="11">
        <f>Daily_Data!I36</f>
        <v>0.41</v>
      </c>
      <c r="D36" s="12">
        <f>if(sum(Daily_Data!K36:L36)&gt;0,1,0)</f>
        <v>1</v>
      </c>
    </row>
    <row r="37">
      <c r="A37" s="10">
        <f>Daily_Data!A37</f>
        <v>36577</v>
      </c>
      <c r="B37" s="11" t="str">
        <f>Daily_Data!J37</f>
        <v/>
      </c>
      <c r="C37" s="11" t="str">
        <f>Daily_Data!I37</f>
        <v/>
      </c>
      <c r="D37" s="12">
        <f>if(sum(Daily_Data!K37:L37)&gt;0,1,0)</f>
        <v>0</v>
      </c>
    </row>
    <row r="38">
      <c r="A38" s="10">
        <f>Daily_Data!A38</f>
        <v>36578</v>
      </c>
      <c r="B38" s="11">
        <f>Daily_Data!J38</f>
        <v>25.86</v>
      </c>
      <c r="C38" s="11">
        <f>Daily_Data!I38</f>
        <v>0.46</v>
      </c>
      <c r="D38" s="12">
        <f>if(sum(Daily_Data!K38:L38)&gt;0,1,0)</f>
        <v>0</v>
      </c>
    </row>
    <row r="39">
      <c r="A39" s="10">
        <f>Daily_Data!A39</f>
        <v>36579</v>
      </c>
      <c r="B39" s="11">
        <f>Daily_Data!J39</f>
        <v>23.89</v>
      </c>
      <c r="C39" s="11">
        <f>Daily_Data!I39</f>
        <v>0.37</v>
      </c>
      <c r="D39" s="12">
        <f>if(sum(Daily_Data!K39:L39)&gt;0,1,0)</f>
        <v>0</v>
      </c>
    </row>
    <row r="40">
      <c r="A40" s="10">
        <f>Daily_Data!A40</f>
        <v>36580</v>
      </c>
      <c r="B40" s="11">
        <f>Daily_Data!J40</f>
        <v>24.38</v>
      </c>
      <c r="C40" s="11">
        <f>Daily_Data!I40</f>
        <v>0.5</v>
      </c>
      <c r="D40" s="12">
        <f>if(sum(Daily_Data!K40:L40)&gt;0,1,0)</f>
        <v>0</v>
      </c>
    </row>
    <row r="41">
      <c r="A41" s="10">
        <f>Daily_Data!A41</f>
        <v>36581</v>
      </c>
      <c r="B41" s="11">
        <f>Daily_Data!J41</f>
        <v>25.2</v>
      </c>
      <c r="C41" s="11">
        <f>Daily_Data!I41</f>
        <v>0.56</v>
      </c>
      <c r="D41" s="12">
        <f>if(sum(Daily_Data!K41:L41)&gt;0,1,0)</f>
        <v>0</v>
      </c>
    </row>
    <row r="42">
      <c r="A42" s="10">
        <f>Daily_Data!A42</f>
        <v>36584</v>
      </c>
      <c r="B42" s="11">
        <f>Daily_Data!J42</f>
        <v>24.68</v>
      </c>
      <c r="C42" s="11">
        <f>Daily_Data!I42</f>
        <v>0.48</v>
      </c>
      <c r="D42" s="12">
        <f>if(sum(Daily_Data!K42:L42)&gt;0,1,0)</f>
        <v>0</v>
      </c>
    </row>
    <row r="43">
      <c r="A43" s="10">
        <f>Daily_Data!A43</f>
        <v>36585</v>
      </c>
      <c r="B43" s="11">
        <f>Daily_Data!J43</f>
        <v>23.37</v>
      </c>
      <c r="C43" s="11">
        <f>Daily_Data!I43</f>
        <v>0.5</v>
      </c>
      <c r="D43" s="12">
        <f>if(sum(Daily_Data!K43:L43)&gt;0,1,0)</f>
        <v>0</v>
      </c>
    </row>
    <row r="44">
      <c r="A44" s="10">
        <f>Daily_Data!A44</f>
        <v>36586</v>
      </c>
      <c r="B44" s="11">
        <f>Daily_Data!J44</f>
        <v>21.64</v>
      </c>
      <c r="C44" s="11">
        <f>Daily_Data!I44</f>
        <v>0.49</v>
      </c>
      <c r="D44" s="12">
        <f>if(sum(Daily_Data!K44:L44)&gt;0,1,0)</f>
        <v>0</v>
      </c>
    </row>
    <row r="45">
      <c r="A45" s="10">
        <f>Daily_Data!A45</f>
        <v>36587</v>
      </c>
      <c r="B45" s="11">
        <f>Daily_Data!J45</f>
        <v>21.06</v>
      </c>
      <c r="C45" s="11">
        <f>Daily_Data!I45</f>
        <v>0.46</v>
      </c>
      <c r="D45" s="12">
        <f>if(sum(Daily_Data!K45:L45)&gt;0,1,0)</f>
        <v>0</v>
      </c>
    </row>
    <row r="46">
      <c r="A46" s="10">
        <f>Daily_Data!A46</f>
        <v>36588</v>
      </c>
      <c r="B46" s="11">
        <f>Daily_Data!J46</f>
        <v>19.21</v>
      </c>
      <c r="C46" s="11">
        <f>Daily_Data!I46</f>
        <v>0.5</v>
      </c>
      <c r="D46" s="12">
        <f>if(sum(Daily_Data!K46:L46)&gt;0,1,0)</f>
        <v>1</v>
      </c>
    </row>
    <row r="47">
      <c r="A47" s="10">
        <f>Daily_Data!A47</f>
        <v>36591</v>
      </c>
      <c r="B47" s="11">
        <f>Daily_Data!J47</f>
        <v>21.5</v>
      </c>
      <c r="C47" s="11">
        <f>Daily_Data!I47</f>
        <v>0.43</v>
      </c>
      <c r="D47" s="12">
        <f>if(sum(Daily_Data!K47:L47)&gt;0,1,0)</f>
        <v>0</v>
      </c>
    </row>
    <row r="48">
      <c r="A48" s="10">
        <f>Daily_Data!A48</f>
        <v>36592</v>
      </c>
      <c r="B48" s="11">
        <f>Daily_Data!J48</f>
        <v>24.31</v>
      </c>
      <c r="C48" s="11">
        <f>Daily_Data!I48</f>
        <v>0.56</v>
      </c>
      <c r="D48" s="12">
        <f>if(sum(Daily_Data!K48:L48)&gt;0,1,0)</f>
        <v>0</v>
      </c>
    </row>
    <row r="49">
      <c r="A49" s="10">
        <f>Daily_Data!A49</f>
        <v>36593</v>
      </c>
      <c r="B49" s="11">
        <f>Daily_Data!J49</f>
        <v>23.82</v>
      </c>
      <c r="C49" s="11">
        <f>Daily_Data!I49</f>
        <v>0.51</v>
      </c>
      <c r="D49" s="12">
        <f>if(sum(Daily_Data!K49:L49)&gt;0,1,0)</f>
        <v>0</v>
      </c>
    </row>
    <row r="50">
      <c r="A50" s="10">
        <f>Daily_Data!A50</f>
        <v>36594</v>
      </c>
      <c r="B50" s="11">
        <f>Daily_Data!J50</f>
        <v>22.21</v>
      </c>
      <c r="C50" s="11">
        <f>Daily_Data!I50</f>
        <v>0.55</v>
      </c>
      <c r="D50" s="12">
        <f>if(sum(Daily_Data!K50:L50)&gt;0,1,0)</f>
        <v>0</v>
      </c>
    </row>
    <row r="51">
      <c r="A51" s="10">
        <f>Daily_Data!A51</f>
        <v>36595</v>
      </c>
      <c r="B51" s="11">
        <f>Daily_Data!J51</f>
        <v>21.24</v>
      </c>
      <c r="C51" s="11">
        <f>Daily_Data!I51</f>
        <v>0.5</v>
      </c>
      <c r="D51" s="12">
        <f>if(sum(Daily_Data!K51:L51)&gt;0,1,0)</f>
        <v>0</v>
      </c>
    </row>
    <row r="52">
      <c r="A52" s="10">
        <f>Daily_Data!A52</f>
        <v>36598</v>
      </c>
      <c r="B52" s="11">
        <f>Daily_Data!J52</f>
        <v>22.85</v>
      </c>
      <c r="C52" s="11">
        <f>Daily_Data!I52</f>
        <v>0.54</v>
      </c>
      <c r="D52" s="12">
        <f>if(sum(Daily_Data!K52:L52)&gt;0,1,0)</f>
        <v>0</v>
      </c>
    </row>
    <row r="53">
      <c r="A53" s="10">
        <f>Daily_Data!A53</f>
        <v>36599</v>
      </c>
      <c r="B53" s="11">
        <f>Daily_Data!J53</f>
        <v>24.41</v>
      </c>
      <c r="C53" s="11">
        <f>Daily_Data!I53</f>
        <v>0.6</v>
      </c>
      <c r="D53" s="12">
        <f>if(sum(Daily_Data!K53:L53)&gt;0,1,0)</f>
        <v>0</v>
      </c>
    </row>
    <row r="54">
      <c r="A54" s="10">
        <f>Daily_Data!A54</f>
        <v>36600</v>
      </c>
      <c r="B54" s="11">
        <f>Daily_Data!J54</f>
        <v>22.34</v>
      </c>
      <c r="C54" s="11">
        <f>Daily_Data!I54</f>
        <v>0.42</v>
      </c>
      <c r="D54" s="12">
        <f>if(sum(Daily_Data!K54:L54)&gt;0,1,0)</f>
        <v>0</v>
      </c>
    </row>
    <row r="55">
      <c r="A55" s="10">
        <f>Daily_Data!A55</f>
        <v>36601</v>
      </c>
      <c r="B55" s="11">
        <f>Daily_Data!J55</f>
        <v>20.77</v>
      </c>
      <c r="C55" s="11">
        <f>Daily_Data!I55</f>
        <v>0.39</v>
      </c>
      <c r="D55" s="12">
        <f>if(sum(Daily_Data!K55:L55)&gt;0,1,0)</f>
        <v>0</v>
      </c>
    </row>
    <row r="56">
      <c r="A56" s="10">
        <f>Daily_Data!A56</f>
        <v>36602</v>
      </c>
      <c r="B56" s="11">
        <f>Daily_Data!J56</f>
        <v>22.37</v>
      </c>
      <c r="C56" s="11">
        <f>Daily_Data!I56</f>
        <v>0.34</v>
      </c>
      <c r="D56" s="12">
        <f>if(sum(Daily_Data!K56:L56)&gt;0,1,0)</f>
        <v>1</v>
      </c>
    </row>
    <row r="57">
      <c r="A57" s="10">
        <f>Daily_Data!A57</f>
        <v>36605</v>
      </c>
      <c r="B57" s="11">
        <f>Daily_Data!J57</f>
        <v>22.96</v>
      </c>
      <c r="C57" s="11">
        <f>Daily_Data!I57</f>
        <v>0.33</v>
      </c>
      <c r="D57" s="12">
        <f>if(sum(Daily_Data!K57:L57)&gt;0,1,0)</f>
        <v>0</v>
      </c>
    </row>
    <row r="58">
      <c r="A58" s="10">
        <f>Daily_Data!A58</f>
        <v>36606</v>
      </c>
      <c r="B58" s="11">
        <f>Daily_Data!J58</f>
        <v>21.7</v>
      </c>
      <c r="C58" s="11">
        <f>Daily_Data!I58</f>
        <v>0.37</v>
      </c>
      <c r="D58" s="12">
        <f>if(sum(Daily_Data!K58:L58)&gt;0,1,0)</f>
        <v>0</v>
      </c>
    </row>
    <row r="59">
      <c r="A59" s="10">
        <f>Daily_Data!A59</f>
        <v>36607</v>
      </c>
      <c r="B59" s="11">
        <f>Daily_Data!J59</f>
        <v>21.49</v>
      </c>
      <c r="C59" s="11">
        <f>Daily_Data!I59</f>
        <v>0.3</v>
      </c>
      <c r="D59" s="12">
        <f>if(sum(Daily_Data!K59:L59)&gt;0,1,0)</f>
        <v>0</v>
      </c>
    </row>
    <row r="60">
      <c r="A60" s="10">
        <f>Daily_Data!A60</f>
        <v>36608</v>
      </c>
      <c r="B60" s="11">
        <f>Daily_Data!J60</f>
        <v>22.26</v>
      </c>
      <c r="C60" s="11">
        <f>Daily_Data!I60</f>
        <v>0.34</v>
      </c>
      <c r="D60" s="12">
        <f>if(sum(Daily_Data!K60:L60)&gt;0,1,0)</f>
        <v>0</v>
      </c>
    </row>
    <row r="61">
      <c r="A61" s="10">
        <f>Daily_Data!A61</f>
        <v>36609</v>
      </c>
      <c r="B61" s="11">
        <f>Daily_Data!J61</f>
        <v>23.31</v>
      </c>
      <c r="C61" s="11">
        <f>Daily_Data!I61</f>
        <v>0.23</v>
      </c>
      <c r="D61" s="12">
        <f>if(sum(Daily_Data!K61:L61)&gt;0,1,0)</f>
        <v>0</v>
      </c>
    </row>
    <row r="62">
      <c r="A62" s="10">
        <f>Daily_Data!A62</f>
        <v>36612</v>
      </c>
      <c r="B62" s="11">
        <f>Daily_Data!J62</f>
        <v>24.53</v>
      </c>
      <c r="C62" s="11">
        <f>Daily_Data!I62</f>
        <v>0.36</v>
      </c>
      <c r="D62" s="12">
        <f>if(sum(Daily_Data!K62:L62)&gt;0,1,0)</f>
        <v>0</v>
      </c>
    </row>
    <row r="63">
      <c r="A63" s="10">
        <f>Daily_Data!A63</f>
        <v>36613</v>
      </c>
      <c r="B63" s="11">
        <f>Daily_Data!J63</f>
        <v>24.86</v>
      </c>
      <c r="C63" s="11">
        <f>Daily_Data!I63</f>
        <v>0.36</v>
      </c>
      <c r="D63" s="12">
        <f>if(sum(Daily_Data!K63:L63)&gt;0,1,0)</f>
        <v>0</v>
      </c>
    </row>
    <row r="64">
      <c r="A64" s="10">
        <f>Daily_Data!A64</f>
        <v>36614</v>
      </c>
      <c r="B64" s="11">
        <f>Daily_Data!J64</f>
        <v>24.1</v>
      </c>
      <c r="C64" s="11">
        <f>Daily_Data!I64</f>
        <v>0.32</v>
      </c>
      <c r="D64" s="12">
        <f>if(sum(Daily_Data!K64:L64)&gt;0,1,0)</f>
        <v>0</v>
      </c>
    </row>
    <row r="65">
      <c r="A65" s="10">
        <f>Daily_Data!A65</f>
        <v>36615</v>
      </c>
      <c r="B65" s="11">
        <f>Daily_Data!J65</f>
        <v>25.47</v>
      </c>
      <c r="C65" s="11">
        <f>Daily_Data!I65</f>
        <v>0.49</v>
      </c>
      <c r="D65" s="12">
        <f>if(sum(Daily_Data!K65:L65)&gt;0,1,0)</f>
        <v>0</v>
      </c>
    </row>
    <row r="66">
      <c r="A66" s="10">
        <f>Daily_Data!A66</f>
        <v>36616</v>
      </c>
      <c r="B66" s="11">
        <f>Daily_Data!J66</f>
        <v>24.11</v>
      </c>
      <c r="C66" s="11">
        <f>Daily_Data!I66</f>
        <v>0.49</v>
      </c>
      <c r="D66" s="12">
        <f>if(sum(Daily_Data!K66:L66)&gt;0,1,0)</f>
        <v>0</v>
      </c>
    </row>
    <row r="67">
      <c r="A67" s="10">
        <f>Daily_Data!A67</f>
        <v>36619</v>
      </c>
      <c r="B67" s="11">
        <f>Daily_Data!J67</f>
        <v>24.03</v>
      </c>
      <c r="C67" s="11">
        <f>Daily_Data!I67</f>
        <v>0.49</v>
      </c>
      <c r="D67" s="12">
        <f>if(sum(Daily_Data!K67:L67)&gt;0,1,0)</f>
        <v>0</v>
      </c>
    </row>
    <row r="68">
      <c r="A68" s="10">
        <f>Daily_Data!A68</f>
        <v>36620</v>
      </c>
      <c r="B68" s="11">
        <f>Daily_Data!J68</f>
        <v>27.12</v>
      </c>
      <c r="C68" s="11">
        <f>Daily_Data!I68</f>
        <v>0.6</v>
      </c>
      <c r="D68" s="12">
        <f>if(sum(Daily_Data!K68:L68)&gt;0,1,0)</f>
        <v>0</v>
      </c>
    </row>
    <row r="69">
      <c r="A69" s="10">
        <f>Daily_Data!A69</f>
        <v>36621</v>
      </c>
      <c r="B69" s="11">
        <f>Daily_Data!J69</f>
        <v>28.41</v>
      </c>
      <c r="C69" s="11">
        <f>Daily_Data!I69</f>
        <v>0.58</v>
      </c>
      <c r="D69" s="12">
        <f>if(sum(Daily_Data!K69:L69)&gt;0,1,0)</f>
        <v>0</v>
      </c>
    </row>
    <row r="70">
      <c r="A70" s="10">
        <f>Daily_Data!A70</f>
        <v>36622</v>
      </c>
      <c r="B70" s="11">
        <f>Daily_Data!J70</f>
        <v>27.15</v>
      </c>
      <c r="C70" s="11">
        <f>Daily_Data!I70</f>
        <v>0.53</v>
      </c>
      <c r="D70" s="12">
        <f>if(sum(Daily_Data!K70:L70)&gt;0,1,0)</f>
        <v>0</v>
      </c>
    </row>
    <row r="71">
      <c r="A71" s="10">
        <f>Daily_Data!A71</f>
        <v>36623</v>
      </c>
      <c r="B71" s="11">
        <f>Daily_Data!J71</f>
        <v>24.39</v>
      </c>
      <c r="C71" s="11">
        <f>Daily_Data!I71</f>
        <v>0.53</v>
      </c>
      <c r="D71" s="12">
        <f>if(sum(Daily_Data!K71:L71)&gt;0,1,0)</f>
        <v>1</v>
      </c>
    </row>
    <row r="72">
      <c r="A72" s="10">
        <f>Daily_Data!A72</f>
        <v>36626</v>
      </c>
      <c r="B72" s="11">
        <f>Daily_Data!J72</f>
        <v>25.99</v>
      </c>
      <c r="C72" s="11">
        <f>Daily_Data!I72</f>
        <v>0.59</v>
      </c>
      <c r="D72" s="12">
        <f>if(sum(Daily_Data!K72:L72)&gt;0,1,0)</f>
        <v>0</v>
      </c>
    </row>
    <row r="73">
      <c r="A73" s="10">
        <f>Daily_Data!A73</f>
        <v>36627</v>
      </c>
      <c r="B73" s="11">
        <f>Daily_Data!J73</f>
        <v>27.25</v>
      </c>
      <c r="C73" s="11">
        <f>Daily_Data!I73</f>
        <v>0.51</v>
      </c>
      <c r="D73" s="12">
        <f>if(sum(Daily_Data!K73:L73)&gt;0,1,0)</f>
        <v>0</v>
      </c>
    </row>
    <row r="74">
      <c r="A74" s="10">
        <f>Daily_Data!A74</f>
        <v>36628</v>
      </c>
      <c r="B74" s="11">
        <f>Daily_Data!J74</f>
        <v>28.98</v>
      </c>
      <c r="C74" s="11">
        <f>Daily_Data!I74</f>
        <v>0.47</v>
      </c>
      <c r="D74" s="12">
        <f>if(sum(Daily_Data!K74:L74)&gt;0,1,0)</f>
        <v>0</v>
      </c>
    </row>
    <row r="75">
      <c r="A75" s="10">
        <f>Daily_Data!A75</f>
        <v>36629</v>
      </c>
      <c r="B75" s="11">
        <f>Daily_Data!J75</f>
        <v>29.4</v>
      </c>
      <c r="C75" s="11">
        <f>Daily_Data!I75</f>
        <v>0.47</v>
      </c>
      <c r="D75" s="12">
        <f>if(sum(Daily_Data!K75:L75)&gt;0,1,0)</f>
        <v>0</v>
      </c>
    </row>
    <row r="76">
      <c r="A76" s="10">
        <f>Daily_Data!A76</f>
        <v>36630</v>
      </c>
      <c r="B76" s="11">
        <f>Daily_Data!J76</f>
        <v>33.49</v>
      </c>
      <c r="C76" s="11">
        <f>Daily_Data!I76</f>
        <v>0.53</v>
      </c>
      <c r="D76" s="12">
        <f>if(sum(Daily_Data!K76:L76)&gt;0,1,0)</f>
        <v>1</v>
      </c>
    </row>
    <row r="77">
      <c r="A77" s="10">
        <f>Daily_Data!A77</f>
        <v>36633</v>
      </c>
      <c r="B77" s="11">
        <f>Daily_Data!J77</f>
        <v>28.95</v>
      </c>
      <c r="C77" s="11">
        <f>Daily_Data!I77</f>
        <v>0.37</v>
      </c>
      <c r="D77" s="12">
        <f>if(sum(Daily_Data!K77:L77)&gt;0,1,0)</f>
        <v>0</v>
      </c>
    </row>
    <row r="78">
      <c r="A78" s="10">
        <f>Daily_Data!A78</f>
        <v>36634</v>
      </c>
      <c r="B78" s="11">
        <f>Daily_Data!J78</f>
        <v>26.12</v>
      </c>
      <c r="C78" s="11">
        <f>Daily_Data!I78</f>
        <v>0.41</v>
      </c>
      <c r="D78" s="12">
        <f>if(sum(Daily_Data!K78:L78)&gt;0,1,0)</f>
        <v>0</v>
      </c>
    </row>
    <row r="79">
      <c r="A79" s="10">
        <f>Daily_Data!A79</f>
        <v>36635</v>
      </c>
      <c r="B79" s="11">
        <f>Daily_Data!J79</f>
        <v>27.02</v>
      </c>
      <c r="C79" s="11">
        <f>Daily_Data!I79</f>
        <v>0.46</v>
      </c>
      <c r="D79" s="12">
        <f>if(sum(Daily_Data!K79:L79)&gt;0,1,0)</f>
        <v>0</v>
      </c>
    </row>
    <row r="80">
      <c r="A80" s="10">
        <f>Daily_Data!A80</f>
        <v>36636</v>
      </c>
      <c r="B80" s="11">
        <f>Daily_Data!J80</f>
        <v>25.85</v>
      </c>
      <c r="C80" s="11">
        <f>Daily_Data!I80</f>
        <v>0.42</v>
      </c>
      <c r="D80" s="12">
        <f>if(sum(Daily_Data!K80:L80)&gt;0,1,0)</f>
        <v>0</v>
      </c>
    </row>
    <row r="81">
      <c r="A81" s="10">
        <f>Daily_Data!A81</f>
        <v>36637</v>
      </c>
      <c r="B81" s="11" t="str">
        <f>Daily_Data!J81</f>
        <v/>
      </c>
      <c r="C81" s="11" t="str">
        <f>Daily_Data!I81</f>
        <v/>
      </c>
      <c r="D81" s="12">
        <f>if(sum(Daily_Data!K81:L81)&gt;0,1,0)</f>
        <v>0</v>
      </c>
    </row>
    <row r="82">
      <c r="A82" s="10">
        <f>Daily_Data!A82</f>
        <v>36640</v>
      </c>
      <c r="B82" s="11">
        <f>Daily_Data!J82</f>
        <v>27.37</v>
      </c>
      <c r="C82" s="11" t="str">
        <f>Daily_Data!I82</f>
        <v/>
      </c>
      <c r="D82" s="12">
        <f>if(sum(Daily_Data!K82:L82)&gt;0,1,0)</f>
        <v>0</v>
      </c>
    </row>
    <row r="83">
      <c r="A83" s="10">
        <f>Daily_Data!A83</f>
        <v>36641</v>
      </c>
      <c r="B83" s="11">
        <f>Daily_Data!J83</f>
        <v>25.24</v>
      </c>
      <c r="C83" s="11" t="str">
        <f>Daily_Data!I83</f>
        <v/>
      </c>
      <c r="D83" s="12">
        <f>if(sum(Daily_Data!K83:L83)&gt;0,1,0)</f>
        <v>0</v>
      </c>
    </row>
    <row r="84">
      <c r="A84" s="10">
        <f>Daily_Data!A84</f>
        <v>36642</v>
      </c>
      <c r="B84" s="11">
        <f>Daily_Data!J84</f>
        <v>26.97</v>
      </c>
      <c r="C84" s="11">
        <f>Daily_Data!I84</f>
        <v>0.41</v>
      </c>
      <c r="D84" s="12">
        <f>if(sum(Daily_Data!K84:L84)&gt;0,1,0)</f>
        <v>0</v>
      </c>
    </row>
    <row r="85">
      <c r="A85" s="10">
        <f>Daily_Data!A85</f>
        <v>36643</v>
      </c>
      <c r="B85" s="11">
        <f>Daily_Data!J85</f>
        <v>26.19</v>
      </c>
      <c r="C85" s="11">
        <f>Daily_Data!I85</f>
        <v>0.3</v>
      </c>
      <c r="D85" s="12">
        <f>if(sum(Daily_Data!K85:L85)&gt;0,1,0)</f>
        <v>0</v>
      </c>
    </row>
    <row r="86">
      <c r="A86" s="10">
        <f>Daily_Data!A86</f>
        <v>36644</v>
      </c>
      <c r="B86" s="11">
        <f>Daily_Data!J86</f>
        <v>26.2</v>
      </c>
      <c r="C86" s="11">
        <f>Daily_Data!I86</f>
        <v>0.29</v>
      </c>
      <c r="D86" s="12">
        <f>if(sum(Daily_Data!K86:L86)&gt;0,1,0)</f>
        <v>0</v>
      </c>
    </row>
    <row r="87">
      <c r="A87" s="10">
        <f>Daily_Data!A87</f>
        <v>36647</v>
      </c>
      <c r="B87" s="11">
        <f>Daily_Data!J87</f>
        <v>25.88</v>
      </c>
      <c r="C87" s="11">
        <f>Daily_Data!I87</f>
        <v>0.23</v>
      </c>
      <c r="D87" s="12">
        <f>if(sum(Daily_Data!K87:L87)&gt;0,1,0)</f>
        <v>0</v>
      </c>
    </row>
    <row r="88">
      <c r="A88" s="10">
        <f>Daily_Data!A88</f>
        <v>36648</v>
      </c>
      <c r="B88" s="11">
        <f>Daily_Data!J88</f>
        <v>28.5</v>
      </c>
      <c r="C88" s="11">
        <f>Daily_Data!I88</f>
        <v>0.32</v>
      </c>
      <c r="D88" s="12">
        <f>if(sum(Daily_Data!K88:L88)&gt;0,1,0)</f>
        <v>0</v>
      </c>
    </row>
    <row r="89">
      <c r="A89" s="10">
        <f>Daily_Data!A89</f>
        <v>36649</v>
      </c>
      <c r="B89" s="11">
        <f>Daily_Data!J89</f>
        <v>31.63</v>
      </c>
      <c r="C89" s="11">
        <f>Daily_Data!I89</f>
        <v>0.27</v>
      </c>
      <c r="D89" s="12">
        <f>if(sum(Daily_Data!K89:L89)&gt;0,1,0)</f>
        <v>0</v>
      </c>
    </row>
    <row r="90">
      <c r="A90" s="10">
        <f>Daily_Data!A90</f>
        <v>36650</v>
      </c>
      <c r="B90" s="11">
        <f>Daily_Data!J90</f>
        <v>30.77</v>
      </c>
      <c r="C90" s="11">
        <f>Daily_Data!I90</f>
        <v>0.24</v>
      </c>
      <c r="D90" s="12">
        <f>if(sum(Daily_Data!K90:L90)&gt;0,1,0)</f>
        <v>0</v>
      </c>
    </row>
    <row r="91">
      <c r="A91" s="10">
        <f>Daily_Data!A91</f>
        <v>36651</v>
      </c>
      <c r="B91" s="11">
        <f>Daily_Data!J91</f>
        <v>27.53</v>
      </c>
      <c r="C91" s="11">
        <f>Daily_Data!I91</f>
        <v>0.13</v>
      </c>
      <c r="D91" s="12">
        <f>if(sum(Daily_Data!K91:L91)&gt;0,1,0)</f>
        <v>1</v>
      </c>
    </row>
    <row r="92">
      <c r="A92" s="10">
        <f>Daily_Data!A92</f>
        <v>36654</v>
      </c>
      <c r="B92" s="11">
        <f>Daily_Data!J92</f>
        <v>28.2</v>
      </c>
      <c r="C92" s="11">
        <f>Daily_Data!I92</f>
        <v>0.12</v>
      </c>
      <c r="D92" s="12">
        <f>if(sum(Daily_Data!K92:L92)&gt;0,1,0)</f>
        <v>0</v>
      </c>
    </row>
    <row r="93">
      <c r="A93" s="10">
        <f>Daily_Data!A93</f>
        <v>36655</v>
      </c>
      <c r="B93" s="11">
        <f>Daily_Data!J93</f>
        <v>28.93</v>
      </c>
      <c r="C93" s="11">
        <f>Daily_Data!I93</f>
        <v>0.14</v>
      </c>
      <c r="D93" s="12">
        <f>if(sum(Daily_Data!K93:L93)&gt;0,1,0)</f>
        <v>0</v>
      </c>
    </row>
    <row r="94">
      <c r="A94" s="10">
        <f>Daily_Data!A94</f>
        <v>36656</v>
      </c>
      <c r="B94" s="11">
        <f>Daily_Data!J94</f>
        <v>29.87</v>
      </c>
      <c r="C94" s="11">
        <f>Daily_Data!I94</f>
        <v>0.16</v>
      </c>
      <c r="D94" s="12">
        <f>if(sum(Daily_Data!K94:L94)&gt;0,1,0)</f>
        <v>0</v>
      </c>
    </row>
    <row r="95">
      <c r="A95" s="10">
        <f>Daily_Data!A95</f>
        <v>36657</v>
      </c>
      <c r="B95" s="11">
        <f>Daily_Data!J95</f>
        <v>27.76</v>
      </c>
      <c r="C95" s="11">
        <f>Daily_Data!I95</f>
        <v>0.16</v>
      </c>
      <c r="D95" s="12">
        <f>if(sum(Daily_Data!K95:L95)&gt;0,1,0)</f>
        <v>0</v>
      </c>
    </row>
    <row r="96">
      <c r="A96" s="10">
        <f>Daily_Data!A96</f>
        <v>36658</v>
      </c>
      <c r="B96" s="11">
        <f>Daily_Data!J96</f>
        <v>26.05</v>
      </c>
      <c r="C96" s="11">
        <f>Daily_Data!I96</f>
        <v>0.08</v>
      </c>
      <c r="D96" s="12">
        <f>if(sum(Daily_Data!K96:L96)&gt;0,1,0)</f>
        <v>0</v>
      </c>
    </row>
    <row r="97">
      <c r="A97" s="10">
        <f>Daily_Data!A97</f>
        <v>36661</v>
      </c>
      <c r="B97" s="11">
        <f>Daily_Data!J97</f>
        <v>24.86</v>
      </c>
      <c r="C97" s="11">
        <f>Daily_Data!I97</f>
        <v>0.15</v>
      </c>
      <c r="D97" s="12">
        <f>if(sum(Daily_Data!K97:L97)&gt;0,1,0)</f>
        <v>0</v>
      </c>
    </row>
    <row r="98">
      <c r="A98" s="10">
        <f>Daily_Data!A98</f>
        <v>36662</v>
      </c>
      <c r="B98" s="11">
        <f>Daily_Data!J98</f>
        <v>24.34</v>
      </c>
      <c r="C98" s="11">
        <f>Daily_Data!I98</f>
        <v>0.12</v>
      </c>
      <c r="D98" s="12">
        <f>if(sum(Daily_Data!K98:L98)&gt;0,1,0)</f>
        <v>1</v>
      </c>
    </row>
    <row r="99">
      <c r="A99" s="10">
        <f>Daily_Data!A99</f>
        <v>36663</v>
      </c>
      <c r="B99" s="11">
        <f>Daily_Data!J99</f>
        <v>23.98</v>
      </c>
      <c r="C99" s="11">
        <f>Daily_Data!I99</f>
        <v>0.18</v>
      </c>
      <c r="D99" s="12">
        <f>if(sum(Daily_Data!K99:L99)&gt;0,1,0)</f>
        <v>0</v>
      </c>
    </row>
    <row r="100">
      <c r="A100" s="10">
        <f>Daily_Data!A100</f>
        <v>36664</v>
      </c>
      <c r="B100" s="11">
        <f>Daily_Data!J100</f>
        <v>23.96</v>
      </c>
      <c r="C100" s="11">
        <f>Daily_Data!I100</f>
        <v>0.27</v>
      </c>
      <c r="D100" s="12">
        <f>if(sum(Daily_Data!K100:L100)&gt;0,1,0)</f>
        <v>0</v>
      </c>
    </row>
    <row r="101">
      <c r="A101" s="10">
        <f>Daily_Data!A101</f>
        <v>36665</v>
      </c>
      <c r="B101" s="11">
        <f>Daily_Data!J101</f>
        <v>25.44</v>
      </c>
      <c r="C101" s="11">
        <f>Daily_Data!I101</f>
        <v>0.37</v>
      </c>
      <c r="D101" s="12">
        <f>if(sum(Daily_Data!K101:L101)&gt;0,1,0)</f>
        <v>0</v>
      </c>
    </row>
    <row r="102">
      <c r="A102" s="10">
        <f>Daily_Data!A102</f>
        <v>36668</v>
      </c>
      <c r="B102" s="11">
        <f>Daily_Data!J102</f>
        <v>26</v>
      </c>
      <c r="C102" s="11">
        <f>Daily_Data!I102</f>
        <v>0.36</v>
      </c>
      <c r="D102" s="12">
        <f>if(sum(Daily_Data!K102:L102)&gt;0,1,0)</f>
        <v>0</v>
      </c>
    </row>
    <row r="103">
      <c r="A103" s="10">
        <f>Daily_Data!A103</f>
        <v>36669</v>
      </c>
      <c r="B103" s="11">
        <f>Daily_Data!J103</f>
        <v>25.87</v>
      </c>
      <c r="C103" s="11">
        <f>Daily_Data!I103</f>
        <v>0.33</v>
      </c>
      <c r="D103" s="12">
        <f>if(sum(Daily_Data!K103:L103)&gt;0,1,0)</f>
        <v>0</v>
      </c>
    </row>
    <row r="104">
      <c r="A104" s="10">
        <f>Daily_Data!A104</f>
        <v>36670</v>
      </c>
      <c r="B104" s="11">
        <f>Daily_Data!J104</f>
        <v>24.32</v>
      </c>
      <c r="C104" s="11">
        <f>Daily_Data!I104</f>
        <v>0.37</v>
      </c>
      <c r="D104" s="12">
        <f>if(sum(Daily_Data!K104:L104)&gt;0,1,0)</f>
        <v>0</v>
      </c>
    </row>
    <row r="105">
      <c r="A105" s="10">
        <f>Daily_Data!A105</f>
        <v>36671</v>
      </c>
      <c r="B105" s="11">
        <f>Daily_Data!J105</f>
        <v>24.58</v>
      </c>
      <c r="C105" s="11">
        <f>Daily_Data!I105</f>
        <v>0.54</v>
      </c>
      <c r="D105" s="12">
        <f>if(sum(Daily_Data!K105:L105)&gt;0,1,0)</f>
        <v>0</v>
      </c>
    </row>
    <row r="106">
      <c r="A106" s="10">
        <f>Daily_Data!A106</f>
        <v>36672</v>
      </c>
      <c r="B106" s="11">
        <f>Daily_Data!J106</f>
        <v>24.47</v>
      </c>
      <c r="C106" s="11">
        <f>Daily_Data!I106</f>
        <v>0.52</v>
      </c>
      <c r="D106" s="12">
        <f>if(sum(Daily_Data!K106:L106)&gt;0,1,0)</f>
        <v>0</v>
      </c>
    </row>
    <row r="107">
      <c r="A107" s="10">
        <f>Daily_Data!A107</f>
        <v>36675</v>
      </c>
      <c r="B107" s="11" t="str">
        <f>Daily_Data!J107</f>
        <v/>
      </c>
      <c r="C107" s="11" t="str">
        <f>Daily_Data!I107</f>
        <v/>
      </c>
      <c r="D107" s="12">
        <f>if(sum(Daily_Data!K107:L107)&gt;0,1,0)</f>
        <v>0</v>
      </c>
    </row>
    <row r="108">
      <c r="A108" s="10">
        <f>Daily_Data!A108</f>
        <v>36676</v>
      </c>
      <c r="B108" s="11">
        <f>Daily_Data!J108</f>
        <v>23.62</v>
      </c>
      <c r="C108" s="11">
        <f>Daily_Data!I108</f>
        <v>0.45</v>
      </c>
      <c r="D108" s="12">
        <f>if(sum(Daily_Data!K108:L108)&gt;0,1,0)</f>
        <v>0</v>
      </c>
    </row>
    <row r="109">
      <c r="A109" s="10">
        <f>Daily_Data!A109</f>
        <v>36677</v>
      </c>
      <c r="B109" s="11">
        <f>Daily_Data!J109</f>
        <v>23.65</v>
      </c>
      <c r="C109" s="11">
        <f>Daily_Data!I109</f>
        <v>0.51</v>
      </c>
      <c r="D109" s="12">
        <f>if(sum(Daily_Data!K109:L109)&gt;0,1,0)</f>
        <v>0</v>
      </c>
    </row>
    <row r="110">
      <c r="A110" s="10">
        <f>Daily_Data!A110</f>
        <v>36678</v>
      </c>
      <c r="B110" s="11">
        <f>Daily_Data!J110</f>
        <v>22.36</v>
      </c>
      <c r="C110" s="11">
        <f>Daily_Data!I110</f>
        <v>0.48</v>
      </c>
      <c r="D110" s="12">
        <f>if(sum(Daily_Data!K110:L110)&gt;0,1,0)</f>
        <v>0</v>
      </c>
    </row>
    <row r="111">
      <c r="A111" s="10">
        <f>Daily_Data!A111</f>
        <v>36679</v>
      </c>
      <c r="B111" s="11">
        <f>Daily_Data!J111</f>
        <v>21.48</v>
      </c>
      <c r="C111" s="11">
        <f>Daily_Data!I111</f>
        <v>0.58</v>
      </c>
      <c r="D111" s="12">
        <f>if(sum(Daily_Data!K111:L111)&gt;0,1,0)</f>
        <v>1</v>
      </c>
    </row>
    <row r="112">
      <c r="A112" s="10">
        <f>Daily_Data!A112</f>
        <v>36682</v>
      </c>
      <c r="B112" s="11">
        <f>Daily_Data!J112</f>
        <v>22.71</v>
      </c>
      <c r="C112" s="11" t="str">
        <f>Daily_Data!I112</f>
        <v/>
      </c>
      <c r="D112" s="12">
        <f>if(sum(Daily_Data!K112:L112)&gt;0,1,0)</f>
        <v>0</v>
      </c>
    </row>
    <row r="113">
      <c r="A113" s="10">
        <f>Daily_Data!A113</f>
        <v>36683</v>
      </c>
      <c r="B113" s="11">
        <f>Daily_Data!J113</f>
        <v>23.05</v>
      </c>
      <c r="C113" s="11">
        <f>Daily_Data!I113</f>
        <v>0.53</v>
      </c>
      <c r="D113" s="12">
        <f>if(sum(Daily_Data!K113:L113)&gt;0,1,0)</f>
        <v>0</v>
      </c>
    </row>
    <row r="114">
      <c r="A114" s="10">
        <f>Daily_Data!A114</f>
        <v>36684</v>
      </c>
      <c r="B114" s="11">
        <f>Daily_Data!J114</f>
        <v>22.48</v>
      </c>
      <c r="C114" s="11">
        <f>Daily_Data!I114</f>
        <v>0.44</v>
      </c>
      <c r="D114" s="12">
        <f>if(sum(Daily_Data!K114:L114)&gt;0,1,0)</f>
        <v>0</v>
      </c>
    </row>
    <row r="115">
      <c r="A115" s="10">
        <f>Daily_Data!A115</f>
        <v>36685</v>
      </c>
      <c r="B115" s="11">
        <f>Daily_Data!J115</f>
        <v>22.77</v>
      </c>
      <c r="C115" s="11">
        <f>Daily_Data!I115</f>
        <v>0.44</v>
      </c>
      <c r="D115" s="12">
        <f>if(sum(Daily_Data!K115:L115)&gt;0,1,0)</f>
        <v>0</v>
      </c>
    </row>
    <row r="116">
      <c r="A116" s="10">
        <f>Daily_Data!A116</f>
        <v>36686</v>
      </c>
      <c r="B116" s="11">
        <f>Daily_Data!J116</f>
        <v>22.14</v>
      </c>
      <c r="C116" s="11">
        <f>Daily_Data!I116</f>
        <v>0.46</v>
      </c>
      <c r="D116" s="12">
        <f>if(sum(Daily_Data!K116:L116)&gt;0,1,0)</f>
        <v>0</v>
      </c>
    </row>
    <row r="117">
      <c r="A117" s="10">
        <f>Daily_Data!A117</f>
        <v>36689</v>
      </c>
      <c r="B117" s="11">
        <f>Daily_Data!J117</f>
        <v>22.32</v>
      </c>
      <c r="C117" s="11">
        <f>Daily_Data!I117</f>
        <v>0.48</v>
      </c>
      <c r="D117" s="12">
        <f>if(sum(Daily_Data!K117:L117)&gt;0,1,0)</f>
        <v>0</v>
      </c>
    </row>
    <row r="118">
      <c r="A118" s="10">
        <f>Daily_Data!A118</f>
        <v>36690</v>
      </c>
      <c r="B118" s="11">
        <f>Daily_Data!J118</f>
        <v>21.67</v>
      </c>
      <c r="C118" s="11">
        <f>Daily_Data!I118</f>
        <v>0.5</v>
      </c>
      <c r="D118" s="12">
        <f>if(sum(Daily_Data!K118:L118)&gt;0,1,0)</f>
        <v>0</v>
      </c>
    </row>
    <row r="119">
      <c r="A119" s="10">
        <f>Daily_Data!A119</f>
        <v>36691</v>
      </c>
      <c r="B119" s="11">
        <f>Daily_Data!J119</f>
        <v>21.48</v>
      </c>
      <c r="C119" s="11">
        <f>Daily_Data!I119</f>
        <v>0.53</v>
      </c>
      <c r="D119" s="12">
        <f>if(sum(Daily_Data!K119:L119)&gt;0,1,0)</f>
        <v>1</v>
      </c>
    </row>
    <row r="120">
      <c r="A120" s="10">
        <f>Daily_Data!A120</f>
        <v>36692</v>
      </c>
      <c r="B120" s="11">
        <f>Daily_Data!J120</f>
        <v>20.68</v>
      </c>
      <c r="C120" s="11">
        <f>Daily_Data!I120</f>
        <v>0.58</v>
      </c>
      <c r="D120" s="12">
        <f>if(sum(Daily_Data!K120:L120)&gt;0,1,0)</f>
        <v>0</v>
      </c>
    </row>
    <row r="121">
      <c r="A121" s="10">
        <f>Daily_Data!A121</f>
        <v>36693</v>
      </c>
      <c r="B121" s="11">
        <f>Daily_Data!J121</f>
        <v>20.5</v>
      </c>
      <c r="C121" s="11">
        <f>Daily_Data!I121</f>
        <v>0.63</v>
      </c>
      <c r="D121" s="12">
        <f>if(sum(Daily_Data!K121:L121)&gt;0,1,0)</f>
        <v>0</v>
      </c>
    </row>
    <row r="122">
      <c r="A122" s="10">
        <f>Daily_Data!A122</f>
        <v>36696</v>
      </c>
      <c r="B122" s="11">
        <f>Daily_Data!J122</f>
        <v>20.63</v>
      </c>
      <c r="C122" s="11">
        <f>Daily_Data!I122</f>
        <v>0.54</v>
      </c>
      <c r="D122" s="12">
        <f>if(sum(Daily_Data!K122:L122)&gt;0,1,0)</f>
        <v>0</v>
      </c>
    </row>
    <row r="123">
      <c r="A123" s="10">
        <f>Daily_Data!A123</f>
        <v>36697</v>
      </c>
      <c r="B123" s="11">
        <f>Daily_Data!J123</f>
        <v>20.88</v>
      </c>
      <c r="C123" s="11">
        <f>Daily_Data!I123</f>
        <v>0.57</v>
      </c>
      <c r="D123" s="12">
        <f>if(sum(Daily_Data!K123:L123)&gt;0,1,0)</f>
        <v>0</v>
      </c>
    </row>
    <row r="124">
      <c r="A124" s="10">
        <f>Daily_Data!A124</f>
        <v>36698</v>
      </c>
      <c r="B124" s="11">
        <f>Daily_Data!J124</f>
        <v>20.61</v>
      </c>
      <c r="C124" s="11">
        <f>Daily_Data!I124</f>
        <v>0.53</v>
      </c>
      <c r="D124" s="12">
        <f>if(sum(Daily_Data!K124:L124)&gt;0,1,0)</f>
        <v>0</v>
      </c>
    </row>
    <row r="125">
      <c r="A125" s="10">
        <f>Daily_Data!A125</f>
        <v>36699</v>
      </c>
      <c r="B125" s="11">
        <f>Daily_Data!J125</f>
        <v>22</v>
      </c>
      <c r="C125" s="11">
        <f>Daily_Data!I125</f>
        <v>0.54</v>
      </c>
      <c r="D125" s="12">
        <f>if(sum(Daily_Data!K125:L125)&gt;0,1,0)</f>
        <v>0</v>
      </c>
    </row>
    <row r="126">
      <c r="A126" s="10">
        <f>Daily_Data!A126</f>
        <v>36700</v>
      </c>
      <c r="B126" s="11">
        <f>Daily_Data!J126</f>
        <v>22.34</v>
      </c>
      <c r="C126" s="11">
        <f>Daily_Data!I126</f>
        <v>0.51</v>
      </c>
      <c r="D126" s="12">
        <f>if(sum(Daily_Data!K126:L126)&gt;0,1,0)</f>
        <v>0</v>
      </c>
    </row>
    <row r="127">
      <c r="A127" s="10">
        <f>Daily_Data!A127</f>
        <v>36703</v>
      </c>
      <c r="B127" s="11">
        <f>Daily_Data!J127</f>
        <v>22.45</v>
      </c>
      <c r="C127" s="11">
        <f>Daily_Data!I127</f>
        <v>0.55</v>
      </c>
      <c r="D127" s="12">
        <f>if(sum(Daily_Data!K127:L127)&gt;0,1,0)</f>
        <v>0</v>
      </c>
    </row>
    <row r="128">
      <c r="A128" s="10">
        <f>Daily_Data!A128</f>
        <v>36704</v>
      </c>
      <c r="B128" s="11">
        <f>Daily_Data!J128</f>
        <v>21.8</v>
      </c>
      <c r="C128" s="11">
        <f>Daily_Data!I128</f>
        <v>0.48</v>
      </c>
      <c r="D128" s="12">
        <f>if(sum(Daily_Data!K128:L128)&gt;0,1,0)</f>
        <v>0</v>
      </c>
    </row>
    <row r="129">
      <c r="A129" s="10">
        <f>Daily_Data!A129</f>
        <v>36705</v>
      </c>
      <c r="B129" s="11">
        <f>Daily_Data!J129</f>
        <v>20.29</v>
      </c>
      <c r="C129" s="11">
        <f>Daily_Data!I129</f>
        <v>0.44</v>
      </c>
      <c r="D129" s="12">
        <f>if(sum(Daily_Data!K129:L129)&gt;0,1,0)</f>
        <v>0</v>
      </c>
    </row>
    <row r="130">
      <c r="A130" s="10">
        <f>Daily_Data!A130</f>
        <v>36706</v>
      </c>
      <c r="B130" s="11">
        <f>Daily_Data!J130</f>
        <v>19.7</v>
      </c>
      <c r="C130" s="11">
        <f>Daily_Data!I130</f>
        <v>0.51</v>
      </c>
      <c r="D130" s="12">
        <f>if(sum(Daily_Data!K130:L130)&gt;0,1,0)</f>
        <v>0</v>
      </c>
    </row>
    <row r="131">
      <c r="A131" s="10">
        <f>Daily_Data!A131</f>
        <v>36707</v>
      </c>
      <c r="B131" s="11">
        <f>Daily_Data!J131</f>
        <v>19.54</v>
      </c>
      <c r="C131" s="11">
        <f>Daily_Data!I131</f>
        <v>0.47</v>
      </c>
      <c r="D131" s="12">
        <f>if(sum(Daily_Data!K131:L131)&gt;0,1,0)</f>
        <v>0</v>
      </c>
    </row>
    <row r="132">
      <c r="A132" s="10">
        <f>Daily_Data!A132</f>
        <v>36710</v>
      </c>
      <c r="B132" s="11">
        <f>Daily_Data!J132</f>
        <v>19.83</v>
      </c>
      <c r="C132" s="11">
        <f>Daily_Data!I132</f>
        <v>0.53</v>
      </c>
      <c r="D132" s="12">
        <f>if(sum(Daily_Data!K132:L132)&gt;0,1,0)</f>
        <v>0</v>
      </c>
    </row>
    <row r="133">
      <c r="A133" s="10">
        <f>Daily_Data!A133</f>
        <v>36711</v>
      </c>
      <c r="B133" s="11" t="str">
        <f>Daily_Data!J133</f>
        <v/>
      </c>
      <c r="C133" s="11" t="str">
        <f>Daily_Data!I133</f>
        <v/>
      </c>
      <c r="D133" s="12">
        <f>if(sum(Daily_Data!K133:L133)&gt;0,1,0)</f>
        <v>0</v>
      </c>
    </row>
    <row r="134">
      <c r="A134" s="10">
        <f>Daily_Data!A134</f>
        <v>36712</v>
      </c>
      <c r="B134" s="11">
        <f>Daily_Data!J134</f>
        <v>21.16</v>
      </c>
      <c r="C134" s="11">
        <f>Daily_Data!I134</f>
        <v>0.4</v>
      </c>
      <c r="D134" s="12">
        <f>if(sum(Daily_Data!K134:L134)&gt;0,1,0)</f>
        <v>0</v>
      </c>
    </row>
    <row r="135">
      <c r="A135" s="10">
        <f>Daily_Data!A135</f>
        <v>36713</v>
      </c>
      <c r="B135" s="11">
        <f>Daily_Data!J135</f>
        <v>20.94</v>
      </c>
      <c r="C135" s="11">
        <f>Daily_Data!I135</f>
        <v>0.43</v>
      </c>
      <c r="D135" s="12">
        <f>if(sum(Daily_Data!K135:L135)&gt;0,1,0)</f>
        <v>0</v>
      </c>
    </row>
    <row r="136">
      <c r="A136" s="10">
        <f>Daily_Data!A136</f>
        <v>36714</v>
      </c>
      <c r="B136" s="11">
        <f>Daily_Data!J136</f>
        <v>19.22</v>
      </c>
      <c r="C136" s="11">
        <f>Daily_Data!I136</f>
        <v>0.52</v>
      </c>
      <c r="D136" s="12">
        <f>if(sum(Daily_Data!K136:L136)&gt;0,1,0)</f>
        <v>1</v>
      </c>
    </row>
    <row r="137">
      <c r="A137" s="10">
        <f>Daily_Data!A137</f>
        <v>36717</v>
      </c>
      <c r="B137" s="11">
        <f>Daily_Data!J137</f>
        <v>20.33</v>
      </c>
      <c r="C137" s="11">
        <f>Daily_Data!I137</f>
        <v>0.47</v>
      </c>
      <c r="D137" s="12">
        <f>if(sum(Daily_Data!K137:L137)&gt;0,1,0)</f>
        <v>0</v>
      </c>
    </row>
    <row r="138">
      <c r="A138" s="10">
        <f>Daily_Data!A138</f>
        <v>36718</v>
      </c>
      <c r="B138" s="11">
        <f>Daily_Data!J138</f>
        <v>20.11</v>
      </c>
      <c r="C138" s="11">
        <f>Daily_Data!I138</f>
        <v>0.47</v>
      </c>
      <c r="D138" s="12">
        <f>if(sum(Daily_Data!K138:L138)&gt;0,1,0)</f>
        <v>0</v>
      </c>
    </row>
    <row r="139">
      <c r="A139" s="10">
        <f>Daily_Data!A139</f>
        <v>36719</v>
      </c>
      <c r="B139" s="11">
        <f>Daily_Data!J139</f>
        <v>20.03</v>
      </c>
      <c r="C139" s="11">
        <f>Daily_Data!I139</f>
        <v>0.46</v>
      </c>
      <c r="D139" s="12">
        <f>if(sum(Daily_Data!K139:L139)&gt;0,1,0)</f>
        <v>0</v>
      </c>
    </row>
    <row r="140">
      <c r="A140" s="10">
        <f>Daily_Data!A140</f>
        <v>36720</v>
      </c>
      <c r="B140" s="11">
        <f>Daily_Data!J140</f>
        <v>20.03</v>
      </c>
      <c r="C140" s="11">
        <f>Daily_Data!I140</f>
        <v>0.47</v>
      </c>
      <c r="D140" s="12">
        <f>if(sum(Daily_Data!K140:L140)&gt;0,1,0)</f>
        <v>0</v>
      </c>
    </row>
    <row r="141">
      <c r="A141" s="10">
        <f>Daily_Data!A141</f>
        <v>36721</v>
      </c>
      <c r="B141" s="11">
        <f>Daily_Data!J141</f>
        <v>19.32</v>
      </c>
      <c r="C141" s="11">
        <f>Daily_Data!I141</f>
        <v>0.38</v>
      </c>
      <c r="D141" s="12">
        <f>if(sum(Daily_Data!K141:L141)&gt;0,1,0)</f>
        <v>0</v>
      </c>
    </row>
    <row r="142">
      <c r="A142" s="10">
        <f>Daily_Data!A142</f>
        <v>36724</v>
      </c>
      <c r="B142" s="11">
        <f>Daily_Data!J142</f>
        <v>19.45</v>
      </c>
      <c r="C142" s="11">
        <f>Daily_Data!I142</f>
        <v>0.35</v>
      </c>
      <c r="D142" s="12">
        <f>if(sum(Daily_Data!K142:L142)&gt;0,1,0)</f>
        <v>0</v>
      </c>
    </row>
    <row r="143">
      <c r="A143" s="10">
        <f>Daily_Data!A143</f>
        <v>36725</v>
      </c>
      <c r="B143" s="11">
        <f>Daily_Data!J143</f>
        <v>19.75</v>
      </c>
      <c r="C143" s="11">
        <f>Daily_Data!I143</f>
        <v>0.34</v>
      </c>
      <c r="D143" s="12">
        <f>if(sum(Daily_Data!K143:L143)&gt;0,1,0)</f>
        <v>1</v>
      </c>
    </row>
    <row r="144">
      <c r="A144" s="10">
        <f>Daily_Data!A144</f>
        <v>36726</v>
      </c>
      <c r="B144" s="11">
        <f>Daily_Data!J144</f>
        <v>19.65</v>
      </c>
      <c r="C144" s="11">
        <f>Daily_Data!I144</f>
        <v>0.32</v>
      </c>
      <c r="D144" s="12">
        <f>if(sum(Daily_Data!K144:L144)&gt;0,1,0)</f>
        <v>0</v>
      </c>
    </row>
    <row r="145">
      <c r="A145" s="10">
        <f>Daily_Data!A145</f>
        <v>36727</v>
      </c>
      <c r="B145" s="11">
        <f>Daily_Data!J145</f>
        <v>18.94</v>
      </c>
      <c r="C145" s="11">
        <f>Daily_Data!I145</f>
        <v>0.49</v>
      </c>
      <c r="D145" s="12">
        <f>if(sum(Daily_Data!K145:L145)&gt;0,1,0)</f>
        <v>0</v>
      </c>
    </row>
    <row r="146">
      <c r="A146" s="10">
        <f>Daily_Data!A146</f>
        <v>36728</v>
      </c>
      <c r="B146" s="11">
        <f>Daily_Data!J146</f>
        <v>18.94</v>
      </c>
      <c r="C146" s="11">
        <f>Daily_Data!I146</f>
        <v>0.39</v>
      </c>
      <c r="D146" s="12">
        <f>if(sum(Daily_Data!K146:L146)&gt;0,1,0)</f>
        <v>0</v>
      </c>
    </row>
    <row r="147">
      <c r="A147" s="10">
        <f>Daily_Data!A147</f>
        <v>36731</v>
      </c>
      <c r="B147" s="11">
        <f>Daily_Data!J147</f>
        <v>19.92</v>
      </c>
      <c r="C147" s="11">
        <f>Daily_Data!I147</f>
        <v>0.37</v>
      </c>
      <c r="D147" s="12">
        <f>if(sum(Daily_Data!K147:L147)&gt;0,1,0)</f>
        <v>0</v>
      </c>
    </row>
    <row r="148">
      <c r="A148" s="10">
        <f>Daily_Data!A148</f>
        <v>36732</v>
      </c>
      <c r="B148" s="11">
        <f>Daily_Data!J148</f>
        <v>19.39</v>
      </c>
      <c r="C148" s="11">
        <f>Daily_Data!I148</f>
        <v>0.4</v>
      </c>
      <c r="D148" s="12">
        <f>if(sum(Daily_Data!K148:L148)&gt;0,1,0)</f>
        <v>0</v>
      </c>
    </row>
    <row r="149">
      <c r="A149" s="10">
        <f>Daily_Data!A149</f>
        <v>36733</v>
      </c>
      <c r="B149" s="11">
        <f>Daily_Data!J149</f>
        <v>19.67</v>
      </c>
      <c r="C149" s="11">
        <f>Daily_Data!I149</f>
        <v>0.48</v>
      </c>
      <c r="D149" s="12">
        <f>if(sum(Daily_Data!K149:L149)&gt;0,1,0)</f>
        <v>0</v>
      </c>
    </row>
    <row r="150">
      <c r="A150" s="10">
        <f>Daily_Data!A150</f>
        <v>36734</v>
      </c>
      <c r="B150" s="11">
        <f>Daily_Data!J150</f>
        <v>19.6</v>
      </c>
      <c r="C150" s="11">
        <f>Daily_Data!I150</f>
        <v>0.49</v>
      </c>
      <c r="D150" s="12">
        <f>if(sum(Daily_Data!K150:L150)&gt;0,1,0)</f>
        <v>0</v>
      </c>
    </row>
    <row r="151">
      <c r="A151" s="10">
        <f>Daily_Data!A151</f>
        <v>36735</v>
      </c>
      <c r="B151" s="11">
        <f>Daily_Data!J151</f>
        <v>20.84</v>
      </c>
      <c r="C151" s="11">
        <f>Daily_Data!I151</f>
        <v>0.5</v>
      </c>
      <c r="D151" s="12">
        <f>if(sum(Daily_Data!K151:L151)&gt;0,1,0)</f>
        <v>0</v>
      </c>
    </row>
    <row r="152">
      <c r="A152" s="10">
        <f>Daily_Data!A152</f>
        <v>36738</v>
      </c>
      <c r="B152" s="11">
        <f>Daily_Data!J152</f>
        <v>20.74</v>
      </c>
      <c r="C152" s="11">
        <f>Daily_Data!I152</f>
        <v>0.51</v>
      </c>
      <c r="D152" s="12">
        <f>if(sum(Daily_Data!K152:L152)&gt;0,1,0)</f>
        <v>0</v>
      </c>
    </row>
    <row r="153">
      <c r="A153" s="10">
        <f>Daily_Data!A153</f>
        <v>36739</v>
      </c>
      <c r="B153" s="11">
        <f>Daily_Data!J153</f>
        <v>20.55</v>
      </c>
      <c r="C153" s="11">
        <f>Daily_Data!I153</f>
        <v>0.56</v>
      </c>
      <c r="D153" s="12">
        <f>if(sum(Daily_Data!K153:L153)&gt;0,1,0)</f>
        <v>0</v>
      </c>
    </row>
    <row r="154">
      <c r="A154" s="10">
        <f>Daily_Data!A154</f>
        <v>36740</v>
      </c>
      <c r="B154" s="11">
        <f>Daily_Data!J154</f>
        <v>20</v>
      </c>
      <c r="C154" s="11">
        <f>Daily_Data!I154</f>
        <v>0.59</v>
      </c>
      <c r="D154" s="12">
        <f>if(sum(Daily_Data!K154:L154)&gt;0,1,0)</f>
        <v>0</v>
      </c>
    </row>
    <row r="155">
      <c r="A155" s="10">
        <f>Daily_Data!A155</f>
        <v>36741</v>
      </c>
      <c r="B155" s="11">
        <f>Daily_Data!J155</f>
        <v>19.99</v>
      </c>
      <c r="C155" s="11">
        <f>Daily_Data!I155</f>
        <v>0.6</v>
      </c>
      <c r="D155" s="12">
        <f>if(sum(Daily_Data!K155:L155)&gt;0,1,0)</f>
        <v>0</v>
      </c>
    </row>
    <row r="156">
      <c r="A156" s="10">
        <f>Daily_Data!A156</f>
        <v>36742</v>
      </c>
      <c r="B156" s="11">
        <f>Daily_Data!J156</f>
        <v>18.62</v>
      </c>
      <c r="C156" s="11">
        <f>Daily_Data!I156</f>
        <v>0.62</v>
      </c>
      <c r="D156" s="12">
        <f>if(sum(Daily_Data!K156:L156)&gt;0,1,0)</f>
        <v>1</v>
      </c>
    </row>
    <row r="157">
      <c r="A157" s="10">
        <f>Daily_Data!A157</f>
        <v>36745</v>
      </c>
      <c r="B157" s="11">
        <f>Daily_Data!J157</f>
        <v>19.03</v>
      </c>
      <c r="C157" s="11">
        <f>Daily_Data!I157</f>
        <v>0.55</v>
      </c>
      <c r="D157" s="12">
        <f>if(sum(Daily_Data!K157:L157)&gt;0,1,0)</f>
        <v>0</v>
      </c>
    </row>
    <row r="158">
      <c r="A158" s="10">
        <f>Daily_Data!A158</f>
        <v>36746</v>
      </c>
      <c r="B158" s="11">
        <f>Daily_Data!J158</f>
        <v>18.79</v>
      </c>
      <c r="C158" s="11">
        <f>Daily_Data!I158</f>
        <v>0.61</v>
      </c>
      <c r="D158" s="12">
        <f>if(sum(Daily_Data!K158:L158)&gt;0,1,0)</f>
        <v>0</v>
      </c>
    </row>
    <row r="159">
      <c r="A159" s="10">
        <f>Daily_Data!A159</f>
        <v>36747</v>
      </c>
      <c r="B159" s="11">
        <f>Daily_Data!J159</f>
        <v>19.18</v>
      </c>
      <c r="C159" s="11">
        <f>Daily_Data!I159</f>
        <v>0.56</v>
      </c>
      <c r="D159" s="12">
        <f>if(sum(Daily_Data!K159:L159)&gt;0,1,0)</f>
        <v>0</v>
      </c>
    </row>
    <row r="160">
      <c r="A160" s="10">
        <f>Daily_Data!A160</f>
        <v>36748</v>
      </c>
      <c r="B160" s="11">
        <f>Daily_Data!J160</f>
        <v>19.19</v>
      </c>
      <c r="C160" s="11">
        <f>Daily_Data!I160</f>
        <v>0.59</v>
      </c>
      <c r="D160" s="12">
        <f>if(sum(Daily_Data!K160:L160)&gt;0,1,0)</f>
        <v>0</v>
      </c>
    </row>
    <row r="161">
      <c r="A161" s="10">
        <f>Daily_Data!A161</f>
        <v>36749</v>
      </c>
      <c r="B161" s="11">
        <f>Daily_Data!J161</f>
        <v>18.55</v>
      </c>
      <c r="C161" s="11">
        <f>Daily_Data!I161</f>
        <v>0.55</v>
      </c>
      <c r="D161" s="12">
        <f>if(sum(Daily_Data!K161:L161)&gt;0,1,0)</f>
        <v>0</v>
      </c>
    </row>
    <row r="162">
      <c r="A162" s="10">
        <f>Daily_Data!A162</f>
        <v>36752</v>
      </c>
      <c r="B162" s="11">
        <f>Daily_Data!J162</f>
        <v>17.88</v>
      </c>
      <c r="C162" s="11">
        <f>Daily_Data!I162</f>
        <v>0.57</v>
      </c>
      <c r="D162" s="12">
        <f>if(sum(Daily_Data!K162:L162)&gt;0,1,0)</f>
        <v>0</v>
      </c>
    </row>
    <row r="163">
      <c r="A163" s="10">
        <f>Daily_Data!A163</f>
        <v>36753</v>
      </c>
      <c r="B163" s="11">
        <f>Daily_Data!J163</f>
        <v>17.98</v>
      </c>
      <c r="C163" s="11">
        <f>Daily_Data!I163</f>
        <v>0.57</v>
      </c>
      <c r="D163" s="12">
        <f>if(sum(Daily_Data!K163:L163)&gt;0,1,0)</f>
        <v>0</v>
      </c>
    </row>
    <row r="164">
      <c r="A164" s="10">
        <f>Daily_Data!A164</f>
        <v>36754</v>
      </c>
      <c r="B164" s="11">
        <f>Daily_Data!J164</f>
        <v>18.02</v>
      </c>
      <c r="C164" s="11">
        <f>Daily_Data!I164</f>
        <v>0.42</v>
      </c>
      <c r="D164" s="12">
        <f>if(sum(Daily_Data!K164:L164)&gt;0,1,0)</f>
        <v>1</v>
      </c>
    </row>
    <row r="165">
      <c r="A165" s="10">
        <f>Daily_Data!A165</f>
        <v>36755</v>
      </c>
      <c r="B165" s="11">
        <f>Daily_Data!J165</f>
        <v>17.48</v>
      </c>
      <c r="C165" s="11">
        <f>Daily_Data!I165</f>
        <v>0.41</v>
      </c>
      <c r="D165" s="12">
        <f>if(sum(Daily_Data!K165:L165)&gt;0,1,0)</f>
        <v>0</v>
      </c>
    </row>
    <row r="166">
      <c r="A166" s="10">
        <f>Daily_Data!A166</f>
        <v>36756</v>
      </c>
      <c r="B166" s="11">
        <f>Daily_Data!J166</f>
        <v>17.05</v>
      </c>
      <c r="C166" s="11">
        <f>Daily_Data!I166</f>
        <v>0.43</v>
      </c>
      <c r="D166" s="12">
        <f>if(sum(Daily_Data!K166:L166)&gt;0,1,0)</f>
        <v>0</v>
      </c>
    </row>
    <row r="167">
      <c r="A167" s="10">
        <f>Daily_Data!A167</f>
        <v>36759</v>
      </c>
      <c r="B167" s="11">
        <f>Daily_Data!J167</f>
        <v>17.35</v>
      </c>
      <c r="C167" s="11">
        <f>Daily_Data!I167</f>
        <v>0.39</v>
      </c>
      <c r="D167" s="12">
        <f>if(sum(Daily_Data!K167:L167)&gt;0,1,0)</f>
        <v>0</v>
      </c>
    </row>
    <row r="168">
      <c r="A168" s="10">
        <f>Daily_Data!A168</f>
        <v>36760</v>
      </c>
      <c r="B168" s="11">
        <f>Daily_Data!J168</f>
        <v>17.47</v>
      </c>
      <c r="C168" s="11">
        <f>Daily_Data!I168</f>
        <v>0.42</v>
      </c>
      <c r="D168" s="12">
        <f>if(sum(Daily_Data!K168:L168)&gt;0,1,0)</f>
        <v>0</v>
      </c>
    </row>
    <row r="169">
      <c r="A169" s="10">
        <f>Daily_Data!A169</f>
        <v>36761</v>
      </c>
      <c r="B169" s="11">
        <f>Daily_Data!J169</f>
        <v>17.38</v>
      </c>
      <c r="C169" s="11">
        <f>Daily_Data!I169</f>
        <v>0.57</v>
      </c>
      <c r="D169" s="12">
        <f>if(sum(Daily_Data!K169:L169)&gt;0,1,0)</f>
        <v>0</v>
      </c>
    </row>
    <row r="170">
      <c r="A170" s="10">
        <f>Daily_Data!A170</f>
        <v>36762</v>
      </c>
      <c r="B170" s="11">
        <f>Daily_Data!J170</f>
        <v>17.04</v>
      </c>
      <c r="C170" s="11">
        <f>Daily_Data!I170</f>
        <v>0.62</v>
      </c>
      <c r="D170" s="12">
        <f>if(sum(Daily_Data!K170:L170)&gt;0,1,0)</f>
        <v>0</v>
      </c>
    </row>
    <row r="171">
      <c r="A171" s="10">
        <f>Daily_Data!A171</f>
        <v>36763</v>
      </c>
      <c r="B171" s="11">
        <f>Daily_Data!J171</f>
        <v>16.53</v>
      </c>
      <c r="C171" s="11">
        <f>Daily_Data!I171</f>
        <v>0.6</v>
      </c>
      <c r="D171" s="12">
        <f>if(sum(Daily_Data!K171:L171)&gt;0,1,0)</f>
        <v>0</v>
      </c>
    </row>
    <row r="172">
      <c r="A172" s="10">
        <f>Daily_Data!A172</f>
        <v>36766</v>
      </c>
      <c r="B172" s="11">
        <f>Daily_Data!J172</f>
        <v>16.54</v>
      </c>
      <c r="C172" s="11">
        <f>Daily_Data!I172</f>
        <v>0.59</v>
      </c>
      <c r="D172" s="12">
        <f>if(sum(Daily_Data!K172:L172)&gt;0,1,0)</f>
        <v>0</v>
      </c>
    </row>
    <row r="173">
      <c r="A173" s="10">
        <f>Daily_Data!A173</f>
        <v>36767</v>
      </c>
      <c r="B173" s="11">
        <f>Daily_Data!J173</f>
        <v>16.89</v>
      </c>
      <c r="C173" s="11">
        <f>Daily_Data!I173</f>
        <v>0.61</v>
      </c>
      <c r="D173" s="12">
        <f>if(sum(Daily_Data!K173:L173)&gt;0,1,0)</f>
        <v>0</v>
      </c>
    </row>
    <row r="174">
      <c r="A174" s="10">
        <f>Daily_Data!A174</f>
        <v>36768</v>
      </c>
      <c r="B174" s="11">
        <f>Daily_Data!J174</f>
        <v>17.69</v>
      </c>
      <c r="C174" s="11">
        <f>Daily_Data!I174</f>
        <v>0.63</v>
      </c>
      <c r="D174" s="12">
        <f>if(sum(Daily_Data!K174:L174)&gt;0,1,0)</f>
        <v>0</v>
      </c>
    </row>
    <row r="175">
      <c r="A175" s="10">
        <f>Daily_Data!A175</f>
        <v>36769</v>
      </c>
      <c r="B175" s="11">
        <f>Daily_Data!J175</f>
        <v>16.84</v>
      </c>
      <c r="C175" s="11">
        <f>Daily_Data!I175</f>
        <v>0.63</v>
      </c>
      <c r="D175" s="12">
        <f>if(sum(Daily_Data!K175:L175)&gt;0,1,0)</f>
        <v>0</v>
      </c>
    </row>
    <row r="176">
      <c r="A176" s="10">
        <f>Daily_Data!A176</f>
        <v>36770</v>
      </c>
      <c r="B176" s="11">
        <f>Daily_Data!J176</f>
        <v>17.53</v>
      </c>
      <c r="C176" s="11">
        <f>Daily_Data!I176</f>
        <v>0.68</v>
      </c>
      <c r="D176" s="12">
        <f>if(sum(Daily_Data!K176:L176)&gt;0,1,0)</f>
        <v>1</v>
      </c>
    </row>
    <row r="177">
      <c r="A177" s="10">
        <f>Daily_Data!A177</f>
        <v>36773</v>
      </c>
      <c r="B177" s="11" t="str">
        <f>Daily_Data!J177</f>
        <v/>
      </c>
      <c r="C177" s="11" t="str">
        <f>Daily_Data!I177</f>
        <v/>
      </c>
      <c r="D177" s="12">
        <f>if(sum(Daily_Data!K177:L177)&gt;0,1,0)</f>
        <v>0</v>
      </c>
    </row>
    <row r="178">
      <c r="A178" s="10">
        <f>Daily_Data!A178</f>
        <v>36774</v>
      </c>
      <c r="B178" s="11">
        <f>Daily_Data!J178</f>
        <v>19.82</v>
      </c>
      <c r="C178" s="11">
        <f>Daily_Data!I178</f>
        <v>0.62</v>
      </c>
      <c r="D178" s="12">
        <f>if(sum(Daily_Data!K178:L178)&gt;0,1,0)</f>
        <v>0</v>
      </c>
    </row>
    <row r="179">
      <c r="A179" s="10">
        <f>Daily_Data!A179</f>
        <v>36775</v>
      </c>
      <c r="B179" s="11">
        <f>Daily_Data!J179</f>
        <v>20.79</v>
      </c>
      <c r="C179" s="11">
        <f>Daily_Data!I179</f>
        <v>0.64</v>
      </c>
      <c r="D179" s="12">
        <f>if(sum(Daily_Data!K179:L179)&gt;0,1,0)</f>
        <v>0</v>
      </c>
    </row>
    <row r="180">
      <c r="A180" s="10">
        <f>Daily_Data!A180</f>
        <v>36776</v>
      </c>
      <c r="B180" s="11">
        <f>Daily_Data!J180</f>
        <v>19.42</v>
      </c>
      <c r="C180" s="11">
        <f>Daily_Data!I180</f>
        <v>0.69</v>
      </c>
      <c r="D180" s="12">
        <f>if(sum(Daily_Data!K180:L180)&gt;0,1,0)</f>
        <v>0</v>
      </c>
    </row>
    <row r="181">
      <c r="A181" s="10">
        <f>Daily_Data!A181</f>
        <v>36777</v>
      </c>
      <c r="B181" s="11">
        <f>Daily_Data!J181</f>
        <v>18.46</v>
      </c>
      <c r="C181" s="11">
        <f>Daily_Data!I181</f>
        <v>0.71</v>
      </c>
      <c r="D181" s="12">
        <f>if(sum(Daily_Data!K181:L181)&gt;0,1,0)</f>
        <v>0</v>
      </c>
    </row>
    <row r="182">
      <c r="A182" s="10">
        <f>Daily_Data!A182</f>
        <v>36780</v>
      </c>
      <c r="B182" s="11">
        <f>Daily_Data!J182</f>
        <v>18.4</v>
      </c>
      <c r="C182" s="11">
        <f>Daily_Data!I182</f>
        <v>0.67</v>
      </c>
      <c r="D182" s="12">
        <f>if(sum(Daily_Data!K182:L182)&gt;0,1,0)</f>
        <v>0</v>
      </c>
    </row>
    <row r="183">
      <c r="A183" s="10">
        <f>Daily_Data!A183</f>
        <v>36781</v>
      </c>
      <c r="B183" s="11">
        <f>Daily_Data!J183</f>
        <v>18.59</v>
      </c>
      <c r="C183" s="11">
        <f>Daily_Data!I183</f>
        <v>0.67</v>
      </c>
      <c r="D183" s="12">
        <f>if(sum(Daily_Data!K183:L183)&gt;0,1,0)</f>
        <v>0</v>
      </c>
    </row>
    <row r="184">
      <c r="A184" s="10">
        <f>Daily_Data!A184</f>
        <v>36782</v>
      </c>
      <c r="B184" s="11">
        <f>Daily_Data!J184</f>
        <v>18.32</v>
      </c>
      <c r="C184" s="11">
        <f>Daily_Data!I184</f>
        <v>0.7</v>
      </c>
      <c r="D184" s="12">
        <f>if(sum(Daily_Data!K184:L184)&gt;0,1,0)</f>
        <v>0</v>
      </c>
    </row>
    <row r="185">
      <c r="A185" s="10">
        <f>Daily_Data!A185</f>
        <v>36783</v>
      </c>
      <c r="B185" s="11">
        <f>Daily_Data!J185</f>
        <v>18.26</v>
      </c>
      <c r="C185" s="11">
        <f>Daily_Data!I185</f>
        <v>0.66</v>
      </c>
      <c r="D185" s="12">
        <f>if(sum(Daily_Data!K185:L185)&gt;0,1,0)</f>
        <v>0</v>
      </c>
    </row>
    <row r="186">
      <c r="A186" s="10">
        <f>Daily_Data!A186</f>
        <v>36784</v>
      </c>
      <c r="B186" s="11">
        <f>Daily_Data!J186</f>
        <v>18.52</v>
      </c>
      <c r="C186" s="11">
        <f>Daily_Data!I186</f>
        <v>0.75</v>
      </c>
      <c r="D186" s="12">
        <f>if(sum(Daily_Data!K186:L186)&gt;0,1,0)</f>
        <v>1</v>
      </c>
    </row>
    <row r="187">
      <c r="A187" s="10">
        <f>Daily_Data!A187</f>
        <v>36787</v>
      </c>
      <c r="B187" s="11">
        <f>Daily_Data!J187</f>
        <v>20.25</v>
      </c>
      <c r="C187" s="11">
        <f>Daily_Data!I187</f>
        <v>0.8</v>
      </c>
      <c r="D187" s="12">
        <f>if(sum(Daily_Data!K187:L187)&gt;0,1,0)</f>
        <v>0</v>
      </c>
    </row>
    <row r="188">
      <c r="A188" s="10">
        <f>Daily_Data!A188</f>
        <v>36788</v>
      </c>
      <c r="B188" s="11">
        <f>Daily_Data!J188</f>
        <v>19.54</v>
      </c>
      <c r="C188" s="11">
        <f>Daily_Data!I188</f>
        <v>0.82</v>
      </c>
      <c r="D188" s="12">
        <f>if(sum(Daily_Data!K188:L188)&gt;0,1,0)</f>
        <v>0</v>
      </c>
    </row>
    <row r="189">
      <c r="A189" s="10">
        <f>Daily_Data!A189</f>
        <v>36789</v>
      </c>
      <c r="B189" s="11">
        <f>Daily_Data!J189</f>
        <v>19.93</v>
      </c>
      <c r="C189" s="11">
        <f>Daily_Data!I189</f>
        <v>0.72</v>
      </c>
      <c r="D189" s="12">
        <f>if(sum(Daily_Data!K189:L189)&gt;0,1,0)</f>
        <v>0</v>
      </c>
    </row>
    <row r="190">
      <c r="A190" s="10">
        <f>Daily_Data!A190</f>
        <v>36790</v>
      </c>
      <c r="B190" s="11">
        <f>Daily_Data!J190</f>
        <v>20.18</v>
      </c>
      <c r="C190" s="11">
        <f>Daily_Data!I190</f>
        <v>0.74</v>
      </c>
      <c r="D190" s="12">
        <f>if(sum(Daily_Data!K190:L190)&gt;0,1,0)</f>
        <v>0</v>
      </c>
    </row>
    <row r="191">
      <c r="A191" s="10">
        <f>Daily_Data!A191</f>
        <v>36791</v>
      </c>
      <c r="B191" s="11">
        <f>Daily_Data!J191</f>
        <v>20.74</v>
      </c>
      <c r="C191" s="11">
        <f>Daily_Data!I191</f>
        <v>0.69</v>
      </c>
      <c r="D191" s="12">
        <f>if(sum(Daily_Data!K191:L191)&gt;0,1,0)</f>
        <v>0</v>
      </c>
    </row>
    <row r="192">
      <c r="A192" s="10">
        <f>Daily_Data!A192</f>
        <v>36794</v>
      </c>
      <c r="B192" s="11">
        <f>Daily_Data!J192</f>
        <v>21.41</v>
      </c>
      <c r="C192" s="11">
        <f>Daily_Data!I192</f>
        <v>0.67</v>
      </c>
      <c r="D192" s="12">
        <f>if(sum(Daily_Data!K192:L192)&gt;0,1,0)</f>
        <v>0</v>
      </c>
    </row>
    <row r="193">
      <c r="A193" s="10">
        <f>Daily_Data!A193</f>
        <v>36795</v>
      </c>
      <c r="B193" s="11">
        <f>Daily_Data!J193</f>
        <v>21.88</v>
      </c>
      <c r="C193" s="11">
        <f>Daily_Data!I193</f>
        <v>0.71</v>
      </c>
      <c r="D193" s="12">
        <f>if(sum(Daily_Data!K193:L193)&gt;0,1,0)</f>
        <v>0</v>
      </c>
    </row>
    <row r="194">
      <c r="A194" s="10">
        <f>Daily_Data!A194</f>
        <v>36796</v>
      </c>
      <c r="B194" s="11">
        <f>Daily_Data!J194</f>
        <v>21.67</v>
      </c>
      <c r="C194" s="11">
        <f>Daily_Data!I194</f>
        <v>0.76</v>
      </c>
      <c r="D194" s="12">
        <f>if(sum(Daily_Data!K194:L194)&gt;0,1,0)</f>
        <v>0</v>
      </c>
    </row>
    <row r="195">
      <c r="A195" s="10">
        <f>Daily_Data!A195</f>
        <v>36797</v>
      </c>
      <c r="B195" s="11">
        <f>Daily_Data!J195</f>
        <v>19.47</v>
      </c>
      <c r="C195" s="11">
        <f>Daily_Data!I195</f>
        <v>0.76</v>
      </c>
      <c r="D195" s="12">
        <f>if(sum(Daily_Data!K195:L195)&gt;0,1,0)</f>
        <v>0</v>
      </c>
    </row>
    <row r="196">
      <c r="A196" s="10">
        <f>Daily_Data!A196</f>
        <v>36798</v>
      </c>
      <c r="B196" s="11">
        <f>Daily_Data!J196</f>
        <v>20.57</v>
      </c>
      <c r="C196" s="11">
        <f>Daily_Data!I196</f>
        <v>0.77</v>
      </c>
      <c r="D196" s="12">
        <f>if(sum(Daily_Data!K196:L196)&gt;0,1,0)</f>
        <v>0</v>
      </c>
    </row>
    <row r="197">
      <c r="A197" s="10">
        <f>Daily_Data!A197</f>
        <v>36801</v>
      </c>
      <c r="B197" s="11">
        <f>Daily_Data!J197</f>
        <v>21.23</v>
      </c>
      <c r="C197" s="11">
        <f>Daily_Data!I197</f>
        <v>0.77</v>
      </c>
      <c r="D197" s="12">
        <f>if(sum(Daily_Data!K197:L197)&gt;0,1,0)</f>
        <v>0</v>
      </c>
    </row>
    <row r="198">
      <c r="A198" s="10">
        <f>Daily_Data!A198</f>
        <v>36802</v>
      </c>
      <c r="B198" s="11">
        <f>Daily_Data!J198</f>
        <v>21.85</v>
      </c>
      <c r="C198" s="11">
        <f>Daily_Data!I198</f>
        <v>0.74</v>
      </c>
      <c r="D198" s="12">
        <f>if(sum(Daily_Data!K198:L198)&gt;0,1,0)</f>
        <v>0</v>
      </c>
    </row>
    <row r="199">
      <c r="A199" s="10">
        <f>Daily_Data!A199</f>
        <v>36803</v>
      </c>
      <c r="B199" s="11">
        <f>Daily_Data!J199</f>
        <v>21.54</v>
      </c>
      <c r="C199" s="11">
        <f>Daily_Data!I199</f>
        <v>0.73</v>
      </c>
      <c r="D199" s="12">
        <f>if(sum(Daily_Data!K199:L199)&gt;0,1,0)</f>
        <v>0</v>
      </c>
    </row>
    <row r="200">
      <c r="A200" s="10">
        <f>Daily_Data!A200</f>
        <v>36804</v>
      </c>
      <c r="B200" s="11">
        <f>Daily_Data!J200</f>
        <v>21.03</v>
      </c>
      <c r="C200" s="11">
        <f>Daily_Data!I200</f>
        <v>0.74</v>
      </c>
      <c r="D200" s="12">
        <f>if(sum(Daily_Data!K200:L200)&gt;0,1,0)</f>
        <v>0</v>
      </c>
    </row>
    <row r="201">
      <c r="A201" s="10">
        <f>Daily_Data!A201</f>
        <v>36805</v>
      </c>
      <c r="B201" s="11">
        <f>Daily_Data!J201</f>
        <v>22.71</v>
      </c>
      <c r="C201" s="11">
        <f>Daily_Data!I201</f>
        <v>0.78</v>
      </c>
      <c r="D201" s="12">
        <f>if(sum(Daily_Data!K201:L201)&gt;0,1,0)</f>
        <v>1</v>
      </c>
    </row>
    <row r="202">
      <c r="A202" s="10">
        <f>Daily_Data!A202</f>
        <v>36808</v>
      </c>
      <c r="B202" s="11">
        <f>Daily_Data!J202</f>
        <v>24.02</v>
      </c>
      <c r="C202" s="11" t="str">
        <f>Daily_Data!I202</f>
        <v/>
      </c>
      <c r="D202" s="12">
        <f>if(sum(Daily_Data!K202:L202)&gt;0,1,0)</f>
        <v>0</v>
      </c>
    </row>
    <row r="203">
      <c r="A203" s="10">
        <f>Daily_Data!A203</f>
        <v>36809</v>
      </c>
      <c r="B203" s="11">
        <f>Daily_Data!J203</f>
        <v>24.86</v>
      </c>
      <c r="C203" s="11">
        <f>Daily_Data!I203</f>
        <v>0.72</v>
      </c>
      <c r="D203" s="12">
        <f>if(sum(Daily_Data!K203:L203)&gt;0,1,0)</f>
        <v>0</v>
      </c>
    </row>
    <row r="204">
      <c r="A204" s="10">
        <f>Daily_Data!A204</f>
        <v>36810</v>
      </c>
      <c r="B204" s="11">
        <f>Daily_Data!J204</f>
        <v>26.57</v>
      </c>
      <c r="C204" s="11">
        <f>Daily_Data!I204</f>
        <v>0.79</v>
      </c>
      <c r="D204" s="12">
        <f>if(sum(Daily_Data!K204:L204)&gt;0,1,0)</f>
        <v>0</v>
      </c>
    </row>
    <row r="205">
      <c r="A205" s="10">
        <f>Daily_Data!A205</f>
        <v>36811</v>
      </c>
      <c r="B205" s="11">
        <f>Daily_Data!J205</f>
        <v>30.51</v>
      </c>
      <c r="C205" s="11">
        <f>Daily_Data!I205</f>
        <v>0.87</v>
      </c>
      <c r="D205" s="12">
        <f>if(sum(Daily_Data!K205:L205)&gt;0,1,0)</f>
        <v>0</v>
      </c>
    </row>
    <row r="206">
      <c r="A206" s="10">
        <f>Daily_Data!A206</f>
        <v>36812</v>
      </c>
      <c r="B206" s="11">
        <f>Daily_Data!J206</f>
        <v>27.6</v>
      </c>
      <c r="C206" s="11">
        <f>Daily_Data!I206</f>
        <v>0.87</v>
      </c>
      <c r="D206" s="12">
        <f>if(sum(Daily_Data!K206:L206)&gt;0,1,0)</f>
        <v>0</v>
      </c>
    </row>
    <row r="207">
      <c r="A207" s="10">
        <f>Daily_Data!A207</f>
        <v>36815</v>
      </c>
      <c r="B207" s="11">
        <f>Daily_Data!J207</f>
        <v>26.79</v>
      </c>
      <c r="C207" s="11">
        <f>Daily_Data!I207</f>
        <v>0.85</v>
      </c>
      <c r="D207" s="12">
        <f>if(sum(Daily_Data!K207:L207)&gt;0,1,0)</f>
        <v>0</v>
      </c>
    </row>
    <row r="208">
      <c r="A208" s="10">
        <f>Daily_Data!A208</f>
        <v>36816</v>
      </c>
      <c r="B208" s="11">
        <f>Daily_Data!J208</f>
        <v>27.84</v>
      </c>
      <c r="C208" s="11">
        <f>Daily_Data!I208</f>
        <v>0.91</v>
      </c>
      <c r="D208" s="12">
        <f>if(sum(Daily_Data!K208:L208)&gt;0,1,0)</f>
        <v>0</v>
      </c>
    </row>
    <row r="209">
      <c r="A209" s="10">
        <f>Daily_Data!A209</f>
        <v>36817</v>
      </c>
      <c r="B209" s="11">
        <f>Daily_Data!J209</f>
        <v>28.72</v>
      </c>
      <c r="C209" s="11">
        <f>Daily_Data!I209</f>
        <v>0.9</v>
      </c>
      <c r="D209" s="12">
        <f>if(sum(Daily_Data!K209:L209)&gt;0,1,0)</f>
        <v>1</v>
      </c>
    </row>
    <row r="210">
      <c r="A210" s="10">
        <f>Daily_Data!A210</f>
        <v>36818</v>
      </c>
      <c r="B210" s="11">
        <f>Daily_Data!J210</f>
        <v>25.09</v>
      </c>
      <c r="C210" s="11">
        <f>Daily_Data!I210</f>
        <v>0.85</v>
      </c>
      <c r="D210" s="12">
        <f>if(sum(Daily_Data!K210:L210)&gt;0,1,0)</f>
        <v>0</v>
      </c>
    </row>
    <row r="211">
      <c r="A211" s="10">
        <f>Daily_Data!A211</f>
        <v>36819</v>
      </c>
      <c r="B211" s="11">
        <f>Daily_Data!J211</f>
        <v>24.24</v>
      </c>
      <c r="C211" s="11">
        <f>Daily_Data!I211</f>
        <v>0.86</v>
      </c>
      <c r="D211" s="12">
        <f>if(sum(Daily_Data!K211:L211)&gt;0,1,0)</f>
        <v>0</v>
      </c>
    </row>
    <row r="212">
      <c r="A212" s="10">
        <f>Daily_Data!A212</f>
        <v>36822</v>
      </c>
      <c r="B212" s="11">
        <f>Daily_Data!J212</f>
        <v>24.69</v>
      </c>
      <c r="C212" s="11" t="str">
        <f>Daily_Data!I212</f>
        <v/>
      </c>
      <c r="D212" s="12">
        <f>if(sum(Daily_Data!K212:L212)&gt;0,1,0)</f>
        <v>0</v>
      </c>
    </row>
    <row r="213">
      <c r="A213" s="10">
        <f>Daily_Data!A213</f>
        <v>36823</v>
      </c>
      <c r="B213" s="11">
        <f>Daily_Data!J213</f>
        <v>24.28</v>
      </c>
      <c r="C213" s="11">
        <f>Daily_Data!I213</f>
        <v>0.74</v>
      </c>
      <c r="D213" s="12">
        <f>if(sum(Daily_Data!K213:L213)&gt;0,1,0)</f>
        <v>0</v>
      </c>
    </row>
    <row r="214">
      <c r="A214" s="10">
        <f>Daily_Data!A214</f>
        <v>36824</v>
      </c>
      <c r="B214" s="11">
        <f>Daily_Data!J214</f>
        <v>26.65</v>
      </c>
      <c r="C214" s="11">
        <f>Daily_Data!I214</f>
        <v>0.72</v>
      </c>
      <c r="D214" s="12">
        <f>if(sum(Daily_Data!K214:L214)&gt;0,1,0)</f>
        <v>0</v>
      </c>
    </row>
    <row r="215">
      <c r="A215" s="10">
        <f>Daily_Data!A215</f>
        <v>36825</v>
      </c>
      <c r="B215" s="11">
        <f>Daily_Data!J215</f>
        <v>28.62</v>
      </c>
      <c r="C215" s="11">
        <f>Daily_Data!I215</f>
        <v>0.69</v>
      </c>
      <c r="D215" s="12">
        <f>if(sum(Daily_Data!K215:L215)&gt;0,1,0)</f>
        <v>0</v>
      </c>
    </row>
    <row r="216">
      <c r="A216" s="10">
        <f>Daily_Data!A216</f>
        <v>36826</v>
      </c>
      <c r="B216" s="11">
        <f>Daily_Data!J216</f>
        <v>26.47</v>
      </c>
      <c r="C216" s="11">
        <f>Daily_Data!I216</f>
        <v>0.65</v>
      </c>
      <c r="D216" s="12">
        <f>if(sum(Daily_Data!K216:L216)&gt;0,1,0)</f>
        <v>0</v>
      </c>
    </row>
    <row r="217">
      <c r="A217" s="10">
        <f>Daily_Data!A217</f>
        <v>36829</v>
      </c>
      <c r="B217" s="11">
        <f>Daily_Data!J217</f>
        <v>25.46</v>
      </c>
      <c r="C217" s="11">
        <f>Daily_Data!I217</f>
        <v>0.63</v>
      </c>
      <c r="D217" s="12">
        <f>if(sum(Daily_Data!K217:L217)&gt;0,1,0)</f>
        <v>0</v>
      </c>
    </row>
    <row r="218">
      <c r="A218" s="10">
        <f>Daily_Data!A218</f>
        <v>36830</v>
      </c>
      <c r="B218" s="11">
        <f>Daily_Data!J218</f>
        <v>23.63</v>
      </c>
      <c r="C218" s="11">
        <f>Daily_Data!I218</f>
        <v>0.66</v>
      </c>
      <c r="D218" s="12">
        <f>if(sum(Daily_Data!K218:L218)&gt;0,1,0)</f>
        <v>0</v>
      </c>
    </row>
    <row r="219">
      <c r="A219" s="10">
        <f>Daily_Data!A219</f>
        <v>36831</v>
      </c>
      <c r="B219" s="11">
        <f>Daily_Data!J219</f>
        <v>24.28</v>
      </c>
      <c r="C219" s="11">
        <f>Daily_Data!I219</f>
        <v>0.72</v>
      </c>
      <c r="D219" s="12">
        <f>if(sum(Daily_Data!K219:L219)&gt;0,1,0)</f>
        <v>0</v>
      </c>
    </row>
    <row r="220">
      <c r="A220" s="10">
        <f>Daily_Data!A220</f>
        <v>36832</v>
      </c>
      <c r="B220" s="11">
        <f>Daily_Data!J220</f>
        <v>23.92</v>
      </c>
      <c r="C220" s="11">
        <f>Daily_Data!I220</f>
        <v>0.71</v>
      </c>
      <c r="D220" s="12">
        <f>if(sum(Daily_Data!K220:L220)&gt;0,1,0)</f>
        <v>0</v>
      </c>
    </row>
    <row r="221">
      <c r="A221" s="10">
        <f>Daily_Data!A221</f>
        <v>36833</v>
      </c>
      <c r="B221" s="11">
        <f>Daily_Data!J221</f>
        <v>23.67</v>
      </c>
      <c r="C221" s="11">
        <f>Daily_Data!I221</f>
        <v>0.66</v>
      </c>
      <c r="D221" s="12">
        <f>if(sum(Daily_Data!K221:L221)&gt;0,1,0)</f>
        <v>1</v>
      </c>
    </row>
    <row r="222">
      <c r="A222" s="10">
        <f>Daily_Data!A222</f>
        <v>36836</v>
      </c>
      <c r="B222" s="11">
        <f>Daily_Data!J222</f>
        <v>24.52</v>
      </c>
      <c r="C222" s="11">
        <f>Daily_Data!I222</f>
        <v>0.64</v>
      </c>
      <c r="D222" s="12">
        <f>if(sum(Daily_Data!K222:L222)&gt;0,1,0)</f>
        <v>0</v>
      </c>
    </row>
    <row r="223">
      <c r="A223" s="10">
        <f>Daily_Data!A223</f>
        <v>36837</v>
      </c>
      <c r="B223" s="11">
        <f>Daily_Data!J223</f>
        <v>24.91</v>
      </c>
      <c r="C223" s="11">
        <f>Daily_Data!I223</f>
        <v>0.65</v>
      </c>
      <c r="D223" s="12">
        <f>if(sum(Daily_Data!K223:L223)&gt;0,1,0)</f>
        <v>0</v>
      </c>
    </row>
    <row r="224">
      <c r="A224" s="10">
        <f>Daily_Data!A224</f>
        <v>36838</v>
      </c>
      <c r="B224" s="11">
        <f>Daily_Data!J224</f>
        <v>25.66</v>
      </c>
      <c r="C224" s="11">
        <f>Daily_Data!I224</f>
        <v>0.66</v>
      </c>
      <c r="D224" s="12">
        <f>if(sum(Daily_Data!K224:L224)&gt;0,1,0)</f>
        <v>0</v>
      </c>
    </row>
    <row r="225">
      <c r="A225" s="10">
        <f>Daily_Data!A225</f>
        <v>36839</v>
      </c>
      <c r="B225" s="11">
        <f>Daily_Data!J225</f>
        <v>27.2</v>
      </c>
      <c r="C225" s="11">
        <f>Daily_Data!I225</f>
        <v>0.68</v>
      </c>
      <c r="D225" s="12">
        <f>if(sum(Daily_Data!K225:L225)&gt;0,1,0)</f>
        <v>0</v>
      </c>
    </row>
    <row r="226">
      <c r="A226" s="10">
        <f>Daily_Data!A226</f>
        <v>36840</v>
      </c>
      <c r="B226" s="11">
        <f>Daily_Data!J226</f>
        <v>28.53</v>
      </c>
      <c r="C226" s="11">
        <f>Daily_Data!I226</f>
        <v>0.64</v>
      </c>
      <c r="D226" s="12">
        <f>if(sum(Daily_Data!K226:L226)&gt;0,1,0)</f>
        <v>0</v>
      </c>
    </row>
    <row r="227">
      <c r="A227" s="10">
        <f>Daily_Data!A227</f>
        <v>36843</v>
      </c>
      <c r="B227" s="11">
        <f>Daily_Data!J227</f>
        <v>29.06</v>
      </c>
      <c r="C227" s="11">
        <f>Daily_Data!I227</f>
        <v>0.67</v>
      </c>
      <c r="D227" s="12">
        <f>if(sum(Daily_Data!K227:L227)&gt;0,1,0)</f>
        <v>0</v>
      </c>
    </row>
    <row r="228">
      <c r="A228" s="10">
        <f>Daily_Data!A228</f>
        <v>36844</v>
      </c>
      <c r="B228" s="11">
        <f>Daily_Data!J228</f>
        <v>26.81</v>
      </c>
      <c r="C228" s="11">
        <f>Daily_Data!I228</f>
        <v>0.64</v>
      </c>
      <c r="D228" s="12">
        <f>if(sum(Daily_Data!K228:L228)&gt;0,1,0)</f>
        <v>0</v>
      </c>
    </row>
    <row r="229">
      <c r="A229" s="10">
        <f>Daily_Data!A229</f>
        <v>36845</v>
      </c>
      <c r="B229" s="11">
        <f>Daily_Data!J229</f>
        <v>26.15</v>
      </c>
      <c r="C229" s="11">
        <f>Daily_Data!I229</f>
        <v>0.67</v>
      </c>
      <c r="D229" s="12">
        <f>if(sum(Daily_Data!K229:L229)&gt;0,1,0)</f>
        <v>0</v>
      </c>
    </row>
    <row r="230">
      <c r="A230" s="10">
        <f>Daily_Data!A230</f>
        <v>36846</v>
      </c>
      <c r="B230" s="11">
        <f>Daily_Data!J230</f>
        <v>25.05</v>
      </c>
      <c r="C230" s="11">
        <f>Daily_Data!I230</f>
        <v>0.71</v>
      </c>
      <c r="D230" s="12">
        <f>if(sum(Daily_Data!K230:L230)&gt;0,1,0)</f>
        <v>1</v>
      </c>
    </row>
    <row r="231">
      <c r="A231" s="10">
        <f>Daily_Data!A231</f>
        <v>36847</v>
      </c>
      <c r="B231" s="11">
        <f>Daily_Data!J231</f>
        <v>24.81</v>
      </c>
      <c r="C231" s="11">
        <f>Daily_Data!I231</f>
        <v>0.67</v>
      </c>
      <c r="D231" s="12">
        <f>if(sum(Daily_Data!K231:L231)&gt;0,1,0)</f>
        <v>0</v>
      </c>
    </row>
    <row r="232">
      <c r="A232" s="10">
        <f>Daily_Data!A232</f>
        <v>36850</v>
      </c>
      <c r="B232" s="11">
        <f>Daily_Data!J232</f>
        <v>27.43</v>
      </c>
      <c r="C232" s="11">
        <f>Daily_Data!I232</f>
        <v>0.66</v>
      </c>
      <c r="D232" s="12">
        <f>if(sum(Daily_Data!K232:L232)&gt;0,1,0)</f>
        <v>0</v>
      </c>
    </row>
    <row r="233">
      <c r="A233" s="10">
        <f>Daily_Data!A233</f>
        <v>36851</v>
      </c>
      <c r="B233" s="11">
        <f>Daily_Data!J233</f>
        <v>26.62</v>
      </c>
      <c r="C233" s="11">
        <f>Daily_Data!I233</f>
        <v>0.68</v>
      </c>
      <c r="D233" s="12">
        <f>if(sum(Daily_Data!K233:L233)&gt;0,1,0)</f>
        <v>0</v>
      </c>
    </row>
    <row r="234">
      <c r="A234" s="10">
        <f>Daily_Data!A234</f>
        <v>36852</v>
      </c>
      <c r="B234" s="11">
        <f>Daily_Data!J234</f>
        <v>27.71</v>
      </c>
      <c r="C234" s="11">
        <f>Daily_Data!I234</f>
        <v>0.7</v>
      </c>
      <c r="D234" s="12">
        <f>if(sum(Daily_Data!K234:L234)&gt;0,1,0)</f>
        <v>0</v>
      </c>
    </row>
    <row r="235">
      <c r="A235" s="10">
        <f>Daily_Data!A235</f>
        <v>36853</v>
      </c>
      <c r="B235" s="11" t="str">
        <f>Daily_Data!J235</f>
        <v/>
      </c>
      <c r="C235" s="11" t="str">
        <f>Daily_Data!I235</f>
        <v/>
      </c>
      <c r="D235" s="12">
        <f>if(sum(Daily_Data!K235:L235)&gt;0,1,0)</f>
        <v>0</v>
      </c>
    </row>
    <row r="236">
      <c r="A236" s="10">
        <f>Daily_Data!A236</f>
        <v>36854</v>
      </c>
      <c r="B236" s="11">
        <f>Daily_Data!J236</f>
        <v>26</v>
      </c>
      <c r="C236" s="11">
        <f>Daily_Data!I236</f>
        <v>0.67</v>
      </c>
      <c r="D236" s="12">
        <f>if(sum(Daily_Data!K236:L236)&gt;0,1,0)</f>
        <v>0</v>
      </c>
    </row>
    <row r="237">
      <c r="A237" s="10">
        <f>Daily_Data!A237</f>
        <v>36857</v>
      </c>
      <c r="B237" s="11">
        <f>Daily_Data!J237</f>
        <v>26.93</v>
      </c>
      <c r="C237" s="11">
        <f>Daily_Data!I237</f>
        <v>0.71</v>
      </c>
      <c r="D237" s="12">
        <f>if(sum(Daily_Data!K237:L237)&gt;0,1,0)</f>
        <v>0</v>
      </c>
    </row>
    <row r="238">
      <c r="A238" s="10">
        <f>Daily_Data!A238</f>
        <v>36858</v>
      </c>
      <c r="B238" s="11">
        <f>Daily_Data!J238</f>
        <v>27.64</v>
      </c>
      <c r="C238" s="11">
        <f>Daily_Data!I238</f>
        <v>0.78</v>
      </c>
      <c r="D238" s="12">
        <f>if(sum(Daily_Data!K238:L238)&gt;0,1,0)</f>
        <v>0</v>
      </c>
    </row>
    <row r="239">
      <c r="A239" s="10">
        <f>Daily_Data!A239</f>
        <v>36859</v>
      </c>
      <c r="B239" s="11">
        <f>Daily_Data!J239</f>
        <v>27.49</v>
      </c>
      <c r="C239" s="11">
        <f>Daily_Data!I239</f>
        <v>0.87</v>
      </c>
      <c r="D239" s="12">
        <f>if(sum(Daily_Data!K239:L239)&gt;0,1,0)</f>
        <v>0</v>
      </c>
    </row>
    <row r="240">
      <c r="A240" s="10">
        <f>Daily_Data!A240</f>
        <v>36860</v>
      </c>
      <c r="B240" s="11">
        <f>Daily_Data!J240</f>
        <v>29.65</v>
      </c>
      <c r="C240" s="11">
        <f>Daily_Data!I240</f>
        <v>0.9</v>
      </c>
      <c r="D240" s="12">
        <f>if(sum(Daily_Data!K240:L240)&gt;0,1,0)</f>
        <v>0</v>
      </c>
    </row>
    <row r="241">
      <c r="A241" s="10">
        <f>Daily_Data!A241</f>
        <v>36861</v>
      </c>
      <c r="B241" s="11">
        <f>Daily_Data!J241</f>
        <v>27.48</v>
      </c>
      <c r="C241" s="11">
        <f>Daily_Data!I241</f>
        <v>0.84</v>
      </c>
      <c r="D241" s="12">
        <f>if(sum(Daily_Data!K241:L241)&gt;0,1,0)</f>
        <v>0</v>
      </c>
    </row>
    <row r="242">
      <c r="A242" s="10">
        <f>Daily_Data!A242</f>
        <v>36864</v>
      </c>
      <c r="B242" s="11">
        <f>Daily_Data!J242</f>
        <v>27.78</v>
      </c>
      <c r="C242" s="11">
        <f>Daily_Data!I242</f>
        <v>0.88</v>
      </c>
      <c r="D242" s="12">
        <f>if(sum(Daily_Data!K242:L242)&gt;0,1,0)</f>
        <v>0</v>
      </c>
    </row>
    <row r="243">
      <c r="A243" s="10">
        <f>Daily_Data!A243</f>
        <v>36865</v>
      </c>
      <c r="B243" s="11">
        <f>Daily_Data!J243</f>
        <v>24.99</v>
      </c>
      <c r="C243" s="11">
        <f>Daily_Data!I243</f>
        <v>0.95</v>
      </c>
      <c r="D243" s="12">
        <f>if(sum(Daily_Data!K243:L243)&gt;0,1,0)</f>
        <v>0</v>
      </c>
    </row>
    <row r="244">
      <c r="A244" s="10">
        <f>Daily_Data!A244</f>
        <v>36866</v>
      </c>
      <c r="B244" s="11">
        <f>Daily_Data!J244</f>
        <v>25.07</v>
      </c>
      <c r="C244" s="11">
        <f>Daily_Data!I244</f>
        <v>0.97</v>
      </c>
      <c r="D244" s="12">
        <f>if(sum(Daily_Data!K244:L244)&gt;0,1,0)</f>
        <v>0</v>
      </c>
    </row>
    <row r="245">
      <c r="A245" s="10">
        <f>Daily_Data!A245</f>
        <v>36867</v>
      </c>
      <c r="B245" s="11">
        <f>Daily_Data!J245</f>
        <v>25.34</v>
      </c>
      <c r="C245" s="11">
        <f>Daily_Data!I245</f>
        <v>0.88</v>
      </c>
      <c r="D245" s="12">
        <f>if(sum(Daily_Data!K245:L245)&gt;0,1,0)</f>
        <v>0</v>
      </c>
    </row>
    <row r="246">
      <c r="A246" s="10">
        <f>Daily_Data!A246</f>
        <v>36868</v>
      </c>
      <c r="B246" s="11">
        <f>Daily_Data!J246</f>
        <v>22.41</v>
      </c>
      <c r="C246" s="11">
        <f>Daily_Data!I246</f>
        <v>0.83</v>
      </c>
      <c r="D246" s="12">
        <f>if(sum(Daily_Data!K246:L246)&gt;0,1,0)</f>
        <v>1</v>
      </c>
    </row>
    <row r="247">
      <c r="A247" s="10">
        <f>Daily_Data!A247</f>
        <v>36871</v>
      </c>
      <c r="B247" s="11">
        <f>Daily_Data!J247</f>
        <v>23.51</v>
      </c>
      <c r="C247" s="11">
        <f>Daily_Data!I247</f>
        <v>0.78</v>
      </c>
      <c r="D247" s="12">
        <f>if(sum(Daily_Data!K247:L247)&gt;0,1,0)</f>
        <v>0</v>
      </c>
    </row>
    <row r="248">
      <c r="A248" s="10">
        <f>Daily_Data!A248</f>
        <v>36872</v>
      </c>
      <c r="B248" s="11">
        <f>Daily_Data!J248</f>
        <v>24.88</v>
      </c>
      <c r="C248" s="11">
        <f>Daily_Data!I248</f>
        <v>0.79</v>
      </c>
      <c r="D248" s="12">
        <f>if(sum(Daily_Data!K248:L248)&gt;0,1,0)</f>
        <v>0</v>
      </c>
    </row>
    <row r="249">
      <c r="A249" s="10">
        <f>Daily_Data!A249</f>
        <v>36873</v>
      </c>
      <c r="B249" s="11">
        <f>Daily_Data!J249</f>
        <v>23.63</v>
      </c>
      <c r="C249" s="11">
        <f>Daily_Data!I249</f>
        <v>0.88</v>
      </c>
      <c r="D249" s="12">
        <f>if(sum(Daily_Data!K249:L249)&gt;0,1,0)</f>
        <v>0</v>
      </c>
    </row>
    <row r="250">
      <c r="A250" s="10">
        <f>Daily_Data!A250</f>
        <v>36874</v>
      </c>
      <c r="B250" s="11">
        <f>Daily_Data!J250</f>
        <v>24.86</v>
      </c>
      <c r="C250" s="11">
        <f>Daily_Data!I250</f>
        <v>0.86</v>
      </c>
      <c r="D250" s="12">
        <f>if(sum(Daily_Data!K250:L250)&gt;0,1,0)</f>
        <v>0</v>
      </c>
    </row>
    <row r="251">
      <c r="A251" s="10">
        <f>Daily_Data!A251</f>
        <v>36875</v>
      </c>
      <c r="B251" s="11">
        <f>Daily_Data!J251</f>
        <v>26.55</v>
      </c>
      <c r="C251" s="11">
        <f>Daily_Data!I251</f>
        <v>0.88</v>
      </c>
      <c r="D251" s="12">
        <f>if(sum(Daily_Data!K251:L251)&gt;0,1,0)</f>
        <v>1</v>
      </c>
    </row>
    <row r="252">
      <c r="A252" s="10">
        <f>Daily_Data!A252</f>
        <v>36878</v>
      </c>
      <c r="B252" s="11">
        <f>Daily_Data!J252</f>
        <v>27.7</v>
      </c>
      <c r="C252" s="11">
        <f>Daily_Data!I252</f>
        <v>0.88</v>
      </c>
      <c r="D252" s="12">
        <f>if(sum(Daily_Data!K252:L252)&gt;0,1,0)</f>
        <v>0</v>
      </c>
    </row>
    <row r="253">
      <c r="A253" s="10">
        <f>Daily_Data!A253</f>
        <v>36879</v>
      </c>
      <c r="B253" s="11">
        <f>Daily_Data!J253</f>
        <v>27.17</v>
      </c>
      <c r="C253" s="11">
        <f>Daily_Data!I253</f>
        <v>0.89</v>
      </c>
      <c r="D253" s="12">
        <f>if(sum(Daily_Data!K253:L253)&gt;0,1,0)</f>
        <v>0</v>
      </c>
    </row>
    <row r="254">
      <c r="A254" s="10">
        <f>Daily_Data!A254</f>
        <v>36880</v>
      </c>
      <c r="B254" s="11">
        <f>Daily_Data!J254</f>
        <v>31.74</v>
      </c>
      <c r="C254" s="11">
        <f>Daily_Data!I254</f>
        <v>1.06</v>
      </c>
      <c r="D254" s="12">
        <f>if(sum(Daily_Data!K254:L254)&gt;0,1,0)</f>
        <v>0</v>
      </c>
    </row>
    <row r="255">
      <c r="A255" s="10">
        <f>Daily_Data!A255</f>
        <v>36881</v>
      </c>
      <c r="B255" s="11">
        <f>Daily_Data!J255</f>
        <v>29.66</v>
      </c>
      <c r="C255" s="11">
        <f>Daily_Data!I255</f>
        <v>1.08</v>
      </c>
      <c r="D255" s="12">
        <f>if(sum(Daily_Data!K255:L255)&gt;0,1,0)</f>
        <v>0</v>
      </c>
    </row>
    <row r="256">
      <c r="A256" s="10">
        <f>Daily_Data!A256</f>
        <v>36882</v>
      </c>
      <c r="B256" s="11">
        <f>Daily_Data!J256</f>
        <v>27.55</v>
      </c>
      <c r="C256" s="11">
        <f>Daily_Data!I256</f>
        <v>1.01</v>
      </c>
      <c r="D256" s="12">
        <f>if(sum(Daily_Data!K256:L256)&gt;0,1,0)</f>
        <v>0</v>
      </c>
    </row>
    <row r="257">
      <c r="A257" s="10">
        <f>Daily_Data!A257</f>
        <v>36885</v>
      </c>
      <c r="B257" s="11" t="str">
        <f>Daily_Data!J257</f>
        <v/>
      </c>
      <c r="C257" s="11" t="str">
        <f>Daily_Data!I257</f>
        <v/>
      </c>
      <c r="D257" s="12">
        <f>if(sum(Daily_Data!K257:L257)&gt;0,1,0)</f>
        <v>0</v>
      </c>
    </row>
    <row r="258">
      <c r="A258" s="10">
        <f>Daily_Data!A258</f>
        <v>36886</v>
      </c>
      <c r="B258" s="11">
        <f>Daily_Data!J258</f>
        <v>28.73</v>
      </c>
      <c r="C258" s="11" t="str">
        <f>Daily_Data!I258</f>
        <v/>
      </c>
      <c r="D258" s="12">
        <f>if(sum(Daily_Data!K258:L258)&gt;0,1,0)</f>
        <v>0</v>
      </c>
    </row>
    <row r="259">
      <c r="A259" s="10">
        <f>Daily_Data!A259</f>
        <v>36887</v>
      </c>
      <c r="B259" s="11">
        <f>Daily_Data!J259</f>
        <v>28.14</v>
      </c>
      <c r="C259" s="11">
        <f>Daily_Data!I259</f>
        <v>0.98</v>
      </c>
      <c r="D259" s="12">
        <f>if(sum(Daily_Data!K259:L259)&gt;0,1,0)</f>
        <v>0</v>
      </c>
    </row>
    <row r="260">
      <c r="A260" s="10">
        <f>Daily_Data!A260</f>
        <v>36888</v>
      </c>
      <c r="B260" s="11">
        <f>Daily_Data!J260</f>
        <v>26.57</v>
      </c>
      <c r="C260" s="11">
        <f>Daily_Data!I260</f>
        <v>0.94</v>
      </c>
      <c r="D260" s="12">
        <f>if(sum(Daily_Data!K260:L260)&gt;0,1,0)</f>
        <v>0</v>
      </c>
    </row>
    <row r="261">
      <c r="A261" s="10">
        <f>Daily_Data!A261</f>
        <v>36889</v>
      </c>
      <c r="B261" s="11">
        <f>Daily_Data!J261</f>
        <v>26.85</v>
      </c>
      <c r="C261" s="11">
        <f>Daily_Data!I261</f>
        <v>1.03</v>
      </c>
      <c r="D261" s="12">
        <f>if(sum(Daily_Data!K261:L261)&gt;0,1,0)</f>
        <v>0</v>
      </c>
    </row>
    <row r="262">
      <c r="A262" s="10">
        <f>Daily_Data!A262</f>
        <v>36892</v>
      </c>
      <c r="B262" s="11" t="str">
        <f>Daily_Data!J262</f>
        <v/>
      </c>
      <c r="C262" s="11" t="str">
        <f>Daily_Data!I262</f>
        <v/>
      </c>
      <c r="D262" s="12">
        <f>if(sum(Daily_Data!K262:L262)&gt;0,1,0)</f>
        <v>0</v>
      </c>
    </row>
    <row r="263">
      <c r="A263" s="10">
        <f>Daily_Data!A263</f>
        <v>36893</v>
      </c>
      <c r="B263" s="11">
        <f>Daily_Data!J263</f>
        <v>29.99</v>
      </c>
      <c r="C263" s="11" t="str">
        <f>Daily_Data!I263</f>
        <v/>
      </c>
      <c r="D263" s="12">
        <f>if(sum(Daily_Data!K263:L263)&gt;0,1,0)</f>
        <v>0</v>
      </c>
    </row>
    <row r="264">
      <c r="A264" s="10">
        <f>Daily_Data!A264</f>
        <v>36894</v>
      </c>
      <c r="B264" s="11">
        <f>Daily_Data!J264</f>
        <v>26.6</v>
      </c>
      <c r="C264" s="11">
        <f>Daily_Data!I264</f>
        <v>1.07</v>
      </c>
      <c r="D264" s="12">
        <f>if(sum(Daily_Data!K264:L264)&gt;0,1,0)</f>
        <v>0</v>
      </c>
    </row>
    <row r="265">
      <c r="A265" s="10">
        <f>Daily_Data!A265</f>
        <v>36895</v>
      </c>
      <c r="B265" s="11">
        <f>Daily_Data!J265</f>
        <v>26.97</v>
      </c>
      <c r="C265" s="11">
        <f>Daily_Data!I265</f>
        <v>1.23</v>
      </c>
      <c r="D265" s="12">
        <f>if(sum(Daily_Data!K265:L265)&gt;0,1,0)</f>
        <v>0</v>
      </c>
    </row>
    <row r="266">
      <c r="A266" s="10">
        <f>Daily_Data!A266</f>
        <v>36896</v>
      </c>
      <c r="B266" s="11">
        <f>Daily_Data!J266</f>
        <v>28.67</v>
      </c>
      <c r="C266" s="11">
        <f>Daily_Data!I266</f>
        <v>1.29</v>
      </c>
      <c r="D266" s="12">
        <f>if(sum(Daily_Data!K266:L266)&gt;0,1,0)</f>
        <v>1</v>
      </c>
    </row>
    <row r="267">
      <c r="A267" s="10">
        <f>Daily_Data!A267</f>
        <v>36899</v>
      </c>
      <c r="B267" s="11">
        <f>Daily_Data!J267</f>
        <v>29.84</v>
      </c>
      <c r="C267" s="11">
        <f>Daily_Data!I267</f>
        <v>1.09</v>
      </c>
      <c r="D267" s="12">
        <f>if(sum(Daily_Data!K267:L267)&gt;0,1,0)</f>
        <v>0</v>
      </c>
    </row>
    <row r="268">
      <c r="A268" s="10">
        <f>Daily_Data!A268</f>
        <v>36900</v>
      </c>
      <c r="B268" s="11">
        <f>Daily_Data!J268</f>
        <v>27.99</v>
      </c>
      <c r="C268" s="11">
        <f>Daily_Data!I268</f>
        <v>1.1</v>
      </c>
      <c r="D268" s="12">
        <f>if(sum(Daily_Data!K268:L268)&gt;0,1,0)</f>
        <v>0</v>
      </c>
    </row>
    <row r="269">
      <c r="A269" s="10">
        <f>Daily_Data!A269</f>
        <v>36901</v>
      </c>
      <c r="B269" s="11">
        <f>Daily_Data!J269</f>
        <v>26.8</v>
      </c>
      <c r="C269" s="11">
        <f>Daily_Data!I269</f>
        <v>1.01</v>
      </c>
      <c r="D269" s="12">
        <f>if(sum(Daily_Data!K269:L269)&gt;0,1,0)</f>
        <v>0</v>
      </c>
    </row>
    <row r="270">
      <c r="A270" s="10">
        <f>Daily_Data!A270</f>
        <v>36902</v>
      </c>
      <c r="B270" s="11">
        <f>Daily_Data!J270</f>
        <v>25.79</v>
      </c>
      <c r="C270" s="11">
        <f>Daily_Data!I270</f>
        <v>1.09</v>
      </c>
      <c r="D270" s="12">
        <f>if(sum(Daily_Data!K270:L270)&gt;0,1,0)</f>
        <v>0</v>
      </c>
    </row>
    <row r="271">
      <c r="A271" s="10">
        <f>Daily_Data!A271</f>
        <v>36903</v>
      </c>
      <c r="B271" s="11">
        <f>Daily_Data!J271</f>
        <v>24.56</v>
      </c>
      <c r="C271" s="11">
        <f>Daily_Data!I271</f>
        <v>0.89</v>
      </c>
      <c r="D271" s="12">
        <f>if(sum(Daily_Data!K271:L271)&gt;0,1,0)</f>
        <v>0</v>
      </c>
    </row>
    <row r="272">
      <c r="A272" s="10">
        <f>Daily_Data!A272</f>
        <v>36906</v>
      </c>
      <c r="B272" s="11" t="str">
        <f>Daily_Data!J272</f>
        <v/>
      </c>
      <c r="C272" s="11" t="str">
        <f>Daily_Data!I272</f>
        <v/>
      </c>
      <c r="D272" s="12">
        <f>if(sum(Daily_Data!K272:L272)&gt;0,1,0)</f>
        <v>0</v>
      </c>
    </row>
    <row r="273">
      <c r="A273" s="10">
        <f>Daily_Data!A273</f>
        <v>36907</v>
      </c>
      <c r="B273" s="11">
        <f>Daily_Data!J273</f>
        <v>25.28</v>
      </c>
      <c r="C273" s="11">
        <f>Daily_Data!I273</f>
        <v>1</v>
      </c>
      <c r="D273" s="12">
        <f>if(sum(Daily_Data!K273:L273)&gt;0,1,0)</f>
        <v>0</v>
      </c>
    </row>
    <row r="274">
      <c r="A274" s="10">
        <f>Daily_Data!A274</f>
        <v>36908</v>
      </c>
      <c r="B274" s="11">
        <f>Daily_Data!J274</f>
        <v>24.93</v>
      </c>
      <c r="C274" s="11">
        <f>Daily_Data!I274</f>
        <v>1.07</v>
      </c>
      <c r="D274" s="12">
        <f>if(sum(Daily_Data!K274:L274)&gt;0,1,0)</f>
        <v>1</v>
      </c>
    </row>
    <row r="275">
      <c r="A275" s="10">
        <f>Daily_Data!A275</f>
        <v>36909</v>
      </c>
      <c r="B275" s="11">
        <f>Daily_Data!J275</f>
        <v>23.37</v>
      </c>
      <c r="C275" s="11">
        <f>Daily_Data!I275</f>
        <v>1.18</v>
      </c>
      <c r="D275" s="12">
        <f>if(sum(Daily_Data!K275:L275)&gt;0,1,0)</f>
        <v>0</v>
      </c>
    </row>
    <row r="276">
      <c r="A276" s="10">
        <f>Daily_Data!A276</f>
        <v>36910</v>
      </c>
      <c r="B276" s="11">
        <f>Daily_Data!J276</f>
        <v>23.24</v>
      </c>
      <c r="C276" s="11">
        <f>Daily_Data!I276</f>
        <v>1.06</v>
      </c>
      <c r="D276" s="12">
        <f>if(sum(Daily_Data!K276:L276)&gt;0,1,0)</f>
        <v>0</v>
      </c>
    </row>
    <row r="277">
      <c r="A277" s="10">
        <f>Daily_Data!A277</f>
        <v>36913</v>
      </c>
      <c r="B277" s="11">
        <f>Daily_Data!J277</f>
        <v>23.25</v>
      </c>
      <c r="C277" s="11">
        <f>Daily_Data!I277</f>
        <v>1.12</v>
      </c>
      <c r="D277" s="12">
        <f>if(sum(Daily_Data!K277:L277)&gt;0,1,0)</f>
        <v>0</v>
      </c>
    </row>
    <row r="278">
      <c r="A278" s="10">
        <f>Daily_Data!A278</f>
        <v>36914</v>
      </c>
      <c r="B278" s="11">
        <f>Daily_Data!J278</f>
        <v>21.57</v>
      </c>
      <c r="C278" s="11">
        <f>Daily_Data!I278</f>
        <v>1.1</v>
      </c>
      <c r="D278" s="12">
        <f>if(sum(Daily_Data!K278:L278)&gt;0,1,0)</f>
        <v>0</v>
      </c>
    </row>
    <row r="279">
      <c r="A279" s="10">
        <f>Daily_Data!A279</f>
        <v>36915</v>
      </c>
      <c r="B279" s="11">
        <f>Daily_Data!J279</f>
        <v>22.03</v>
      </c>
      <c r="C279" s="11">
        <f>Daily_Data!I279</f>
        <v>1.07</v>
      </c>
      <c r="D279" s="12">
        <f>if(sum(Daily_Data!K279:L279)&gt;0,1,0)</f>
        <v>0</v>
      </c>
    </row>
    <row r="280">
      <c r="A280" s="10">
        <f>Daily_Data!A280</f>
        <v>36916</v>
      </c>
      <c r="B280" s="11">
        <f>Daily_Data!J280</f>
        <v>22.64</v>
      </c>
      <c r="C280" s="11">
        <f>Daily_Data!I280</f>
        <v>1.02</v>
      </c>
      <c r="D280" s="12">
        <f>if(sum(Daily_Data!K280:L280)&gt;0,1,0)</f>
        <v>0</v>
      </c>
    </row>
    <row r="281">
      <c r="A281" s="10">
        <f>Daily_Data!A281</f>
        <v>36917</v>
      </c>
      <c r="B281" s="11">
        <f>Daily_Data!J281</f>
        <v>22.57</v>
      </c>
      <c r="C281" s="11">
        <f>Daily_Data!I281</f>
        <v>0.99</v>
      </c>
      <c r="D281" s="12">
        <f>if(sum(Daily_Data!K281:L281)&gt;0,1,0)</f>
        <v>0</v>
      </c>
    </row>
    <row r="282">
      <c r="A282" s="10">
        <f>Daily_Data!A282</f>
        <v>36920</v>
      </c>
      <c r="B282" s="11">
        <f>Daily_Data!J282</f>
        <v>22.61</v>
      </c>
      <c r="C282" s="11">
        <f>Daily_Data!I282</f>
        <v>0.97</v>
      </c>
      <c r="D282" s="12">
        <f>if(sum(Daily_Data!K282:L282)&gt;0,1,0)</f>
        <v>0</v>
      </c>
    </row>
    <row r="283">
      <c r="A283" s="10">
        <f>Daily_Data!A283</f>
        <v>36921</v>
      </c>
      <c r="B283" s="11">
        <f>Daily_Data!J283</f>
        <v>22.57</v>
      </c>
      <c r="C283" s="11">
        <f>Daily_Data!I283</f>
        <v>1.04</v>
      </c>
      <c r="D283" s="12">
        <f>if(sum(Daily_Data!K283:L283)&gt;0,1,0)</f>
        <v>0</v>
      </c>
    </row>
    <row r="284">
      <c r="A284" s="10">
        <f>Daily_Data!A284</f>
        <v>36922</v>
      </c>
      <c r="B284" s="11">
        <f>Daily_Data!J284</f>
        <v>22.02</v>
      </c>
      <c r="C284" s="11">
        <f>Daily_Data!I284</f>
        <v>1.06</v>
      </c>
      <c r="D284" s="12">
        <f>if(sum(Daily_Data!K284:L284)&gt;0,1,0)</f>
        <v>0</v>
      </c>
    </row>
    <row r="285">
      <c r="A285" s="10">
        <f>Daily_Data!A285</f>
        <v>36923</v>
      </c>
      <c r="B285" s="11">
        <f>Daily_Data!J285</f>
        <v>21.66</v>
      </c>
      <c r="C285" s="11">
        <f>Daily_Data!I285</f>
        <v>1.04</v>
      </c>
      <c r="D285" s="12">
        <f>if(sum(Daily_Data!K285:L285)&gt;0,1,0)</f>
        <v>0</v>
      </c>
    </row>
    <row r="286">
      <c r="A286" s="10">
        <f>Daily_Data!A286</f>
        <v>36924</v>
      </c>
      <c r="B286" s="11">
        <f>Daily_Data!J286</f>
        <v>21.95</v>
      </c>
      <c r="C286" s="11">
        <f>Daily_Data!I286</f>
        <v>0.99</v>
      </c>
      <c r="D286" s="12">
        <f>if(sum(Daily_Data!K286:L286)&gt;0,1,0)</f>
        <v>1</v>
      </c>
    </row>
    <row r="287">
      <c r="A287" s="10">
        <f>Daily_Data!A287</f>
        <v>36927</v>
      </c>
      <c r="B287" s="11">
        <f>Daily_Data!J287</f>
        <v>22.19</v>
      </c>
      <c r="C287" s="11">
        <f>Daily_Data!I287</f>
        <v>0.98</v>
      </c>
      <c r="D287" s="12">
        <f>if(sum(Daily_Data!K287:L287)&gt;0,1,0)</f>
        <v>0</v>
      </c>
    </row>
    <row r="288">
      <c r="A288" s="10">
        <f>Daily_Data!A288</f>
        <v>36928</v>
      </c>
      <c r="B288" s="11">
        <f>Daily_Data!J288</f>
        <v>21.98</v>
      </c>
      <c r="C288" s="11" t="str">
        <f>Daily_Data!I288</f>
        <v/>
      </c>
      <c r="D288" s="12">
        <f>if(sum(Daily_Data!K288:L288)&gt;0,1,0)</f>
        <v>0</v>
      </c>
    </row>
    <row r="289">
      <c r="A289" s="10">
        <f>Daily_Data!A289</f>
        <v>36929</v>
      </c>
      <c r="B289" s="11">
        <f>Daily_Data!J289</f>
        <v>21.67</v>
      </c>
      <c r="C289" s="11">
        <f>Daily_Data!I289</f>
        <v>0.99</v>
      </c>
      <c r="D289" s="12">
        <f>if(sum(Daily_Data!K289:L289)&gt;0,1,0)</f>
        <v>0</v>
      </c>
    </row>
    <row r="290">
      <c r="A290" s="10">
        <f>Daily_Data!A290</f>
        <v>36930</v>
      </c>
      <c r="B290" s="11">
        <f>Daily_Data!J290</f>
        <v>21.46</v>
      </c>
      <c r="C290" s="11">
        <f>Daily_Data!I290</f>
        <v>1.02</v>
      </c>
      <c r="D290" s="12">
        <f>if(sum(Daily_Data!K290:L290)&gt;0,1,0)</f>
        <v>0</v>
      </c>
    </row>
    <row r="291">
      <c r="A291" s="10">
        <f>Daily_Data!A291</f>
        <v>36931</v>
      </c>
      <c r="B291" s="11">
        <f>Daily_Data!J291</f>
        <v>22.03</v>
      </c>
      <c r="C291" s="11">
        <f>Daily_Data!I291</f>
        <v>1.15</v>
      </c>
      <c r="D291" s="12">
        <f>if(sum(Daily_Data!K291:L291)&gt;0,1,0)</f>
        <v>0</v>
      </c>
    </row>
    <row r="292">
      <c r="A292" s="10">
        <f>Daily_Data!A292</f>
        <v>36934</v>
      </c>
      <c r="B292" s="11">
        <f>Daily_Data!J292</f>
        <v>21.92</v>
      </c>
      <c r="C292" s="11">
        <f>Daily_Data!I292</f>
        <v>1.13</v>
      </c>
      <c r="D292" s="12">
        <f>if(sum(Daily_Data!K292:L292)&gt;0,1,0)</f>
        <v>0</v>
      </c>
    </row>
    <row r="293">
      <c r="A293" s="10">
        <f>Daily_Data!A293</f>
        <v>36935</v>
      </c>
      <c r="B293" s="11">
        <f>Daily_Data!J293</f>
        <v>21.37</v>
      </c>
      <c r="C293" s="11">
        <f>Daily_Data!I293</f>
        <v>1.04</v>
      </c>
      <c r="D293" s="12">
        <f>if(sum(Daily_Data!K293:L293)&gt;0,1,0)</f>
        <v>0</v>
      </c>
    </row>
    <row r="294">
      <c r="A294" s="10">
        <f>Daily_Data!A294</f>
        <v>36936</v>
      </c>
      <c r="B294" s="11">
        <f>Daily_Data!J294</f>
        <v>21.52</v>
      </c>
      <c r="C294" s="11">
        <f>Daily_Data!I294</f>
        <v>1.03</v>
      </c>
      <c r="D294" s="12">
        <f>if(sum(Daily_Data!K294:L294)&gt;0,1,0)</f>
        <v>0</v>
      </c>
    </row>
    <row r="295">
      <c r="A295" s="10">
        <f>Daily_Data!A295</f>
        <v>36937</v>
      </c>
      <c r="B295" s="11">
        <f>Daily_Data!J295</f>
        <v>20.27</v>
      </c>
      <c r="C295" s="11">
        <f>Daily_Data!I295</f>
        <v>1.1</v>
      </c>
      <c r="D295" s="12">
        <f>if(sum(Daily_Data!K295:L295)&gt;0,1,0)</f>
        <v>0</v>
      </c>
    </row>
    <row r="296">
      <c r="A296" s="10">
        <f>Daily_Data!A296</f>
        <v>36938</v>
      </c>
      <c r="B296" s="11">
        <f>Daily_Data!J296</f>
        <v>22.12</v>
      </c>
      <c r="C296" s="11">
        <f>Daily_Data!I296</f>
        <v>1.26</v>
      </c>
      <c r="D296" s="12">
        <f>if(sum(Daily_Data!K296:L296)&gt;0,1,0)</f>
        <v>0</v>
      </c>
    </row>
    <row r="297">
      <c r="A297" s="10">
        <f>Daily_Data!A297</f>
        <v>36941</v>
      </c>
      <c r="B297" s="11" t="str">
        <f>Daily_Data!J297</f>
        <v/>
      </c>
      <c r="C297" s="11" t="str">
        <f>Daily_Data!I297</f>
        <v/>
      </c>
      <c r="D297" s="12">
        <f>if(sum(Daily_Data!K297:L297)&gt;0,1,0)</f>
        <v>0</v>
      </c>
    </row>
    <row r="298">
      <c r="A298" s="10">
        <f>Daily_Data!A298</f>
        <v>36942</v>
      </c>
      <c r="B298" s="11">
        <f>Daily_Data!J298</f>
        <v>24.69</v>
      </c>
      <c r="C298" s="11">
        <f>Daily_Data!I298</f>
        <v>1.12</v>
      </c>
      <c r="D298" s="12">
        <f>if(sum(Daily_Data!K298:L298)&gt;0,1,0)</f>
        <v>0</v>
      </c>
    </row>
    <row r="299">
      <c r="A299" s="10">
        <f>Daily_Data!A299</f>
        <v>36943</v>
      </c>
      <c r="B299" s="11">
        <f>Daily_Data!J299</f>
        <v>25.75</v>
      </c>
      <c r="C299" s="11">
        <f>Daily_Data!I299</f>
        <v>1.19</v>
      </c>
      <c r="D299" s="12">
        <f>if(sum(Daily_Data!K299:L299)&gt;0,1,0)</f>
        <v>1</v>
      </c>
    </row>
    <row r="300">
      <c r="A300" s="10">
        <f>Daily_Data!A300</f>
        <v>36944</v>
      </c>
      <c r="B300" s="11">
        <f>Daily_Data!J300</f>
        <v>26.76</v>
      </c>
      <c r="C300" s="11">
        <f>Daily_Data!I300</f>
        <v>1.23</v>
      </c>
      <c r="D300" s="12">
        <f>if(sum(Daily_Data!K300:L300)&gt;0,1,0)</f>
        <v>0</v>
      </c>
    </row>
    <row r="301">
      <c r="A301" s="10">
        <f>Daily_Data!A301</f>
        <v>36945</v>
      </c>
      <c r="B301" s="11">
        <f>Daily_Data!J301</f>
        <v>27.21</v>
      </c>
      <c r="C301" s="11">
        <f>Daily_Data!I301</f>
        <v>1.29</v>
      </c>
      <c r="D301" s="12">
        <f>if(sum(Daily_Data!K301:L301)&gt;0,1,0)</f>
        <v>0</v>
      </c>
    </row>
    <row r="302">
      <c r="A302" s="10">
        <f>Daily_Data!A302</f>
        <v>36948</v>
      </c>
      <c r="B302" s="11">
        <f>Daily_Data!J302</f>
        <v>25.43</v>
      </c>
      <c r="C302" s="11">
        <f>Daily_Data!I302</f>
        <v>1.3</v>
      </c>
      <c r="D302" s="12">
        <f>if(sum(Daily_Data!K302:L302)&gt;0,1,0)</f>
        <v>0</v>
      </c>
    </row>
    <row r="303">
      <c r="A303" s="10">
        <f>Daily_Data!A303</f>
        <v>36949</v>
      </c>
      <c r="B303" s="11">
        <f>Daily_Data!J303</f>
        <v>26.49</v>
      </c>
      <c r="C303" s="11">
        <f>Daily_Data!I303</f>
        <v>1.32</v>
      </c>
      <c r="D303" s="12">
        <f>if(sum(Daily_Data!K303:L303)&gt;0,1,0)</f>
        <v>0</v>
      </c>
    </row>
    <row r="304">
      <c r="A304" s="10">
        <f>Daily_Data!A304</f>
        <v>36950</v>
      </c>
      <c r="B304" s="11">
        <f>Daily_Data!J304</f>
        <v>28.35</v>
      </c>
      <c r="C304" s="11">
        <f>Daily_Data!I304</f>
        <v>1.38</v>
      </c>
      <c r="D304" s="12">
        <f>if(sum(Daily_Data!K304:L304)&gt;0,1,0)</f>
        <v>0</v>
      </c>
    </row>
    <row r="305">
      <c r="A305" s="10">
        <f>Daily_Data!A305</f>
        <v>36951</v>
      </c>
      <c r="B305" s="11">
        <f>Daily_Data!J305</f>
        <v>28.08</v>
      </c>
      <c r="C305" s="11">
        <f>Daily_Data!I305</f>
        <v>1.37</v>
      </c>
      <c r="D305" s="12">
        <f>if(sum(Daily_Data!K305:L305)&gt;0,1,0)</f>
        <v>0</v>
      </c>
    </row>
    <row r="306">
      <c r="A306" s="10">
        <f>Daily_Data!A306</f>
        <v>36952</v>
      </c>
      <c r="B306" s="11">
        <f>Daily_Data!J306</f>
        <v>27.43</v>
      </c>
      <c r="C306" s="11">
        <f>Daily_Data!I306</f>
        <v>1.31</v>
      </c>
      <c r="D306" s="12">
        <f>if(sum(Daily_Data!K306:L306)&gt;0,1,0)</f>
        <v>0</v>
      </c>
    </row>
    <row r="307">
      <c r="A307" s="10">
        <f>Daily_Data!A307</f>
        <v>36955</v>
      </c>
      <c r="B307" s="11">
        <f>Daily_Data!J307</f>
        <v>27.12</v>
      </c>
      <c r="C307" s="11">
        <f>Daily_Data!I307</f>
        <v>1.27</v>
      </c>
      <c r="D307" s="12">
        <f>if(sum(Daily_Data!K307:L307)&gt;0,1,0)</f>
        <v>0</v>
      </c>
    </row>
    <row r="308">
      <c r="A308" s="10">
        <f>Daily_Data!A308</f>
        <v>36956</v>
      </c>
      <c r="B308" s="11">
        <f>Daily_Data!J308</f>
        <v>25.89</v>
      </c>
      <c r="C308" s="11">
        <f>Daily_Data!I308</f>
        <v>1.25</v>
      </c>
      <c r="D308" s="12">
        <f>if(sum(Daily_Data!K308:L308)&gt;0,1,0)</f>
        <v>0</v>
      </c>
    </row>
    <row r="309">
      <c r="A309" s="10">
        <f>Daily_Data!A309</f>
        <v>36957</v>
      </c>
      <c r="B309" s="11">
        <f>Daily_Data!J309</f>
        <v>24.12</v>
      </c>
      <c r="C309" s="11">
        <f>Daily_Data!I309</f>
        <v>1.32</v>
      </c>
      <c r="D309" s="12">
        <f>if(sum(Daily_Data!K309:L309)&gt;0,1,0)</f>
        <v>0</v>
      </c>
    </row>
    <row r="310">
      <c r="A310" s="10">
        <f>Daily_Data!A310</f>
        <v>36958</v>
      </c>
      <c r="B310" s="11">
        <f>Daily_Data!J310</f>
        <v>24.29</v>
      </c>
      <c r="C310" s="11">
        <f>Daily_Data!I310</f>
        <v>1.23</v>
      </c>
      <c r="D310" s="12">
        <f>if(sum(Daily_Data!K310:L310)&gt;0,1,0)</f>
        <v>0</v>
      </c>
    </row>
    <row r="311">
      <c r="A311" s="10">
        <f>Daily_Data!A311</f>
        <v>36959</v>
      </c>
      <c r="B311" s="11">
        <f>Daily_Data!J311</f>
        <v>25.62</v>
      </c>
      <c r="C311" s="11">
        <f>Daily_Data!I311</f>
        <v>1.19</v>
      </c>
      <c r="D311" s="12">
        <f>if(sum(Daily_Data!K311:L311)&gt;0,1,0)</f>
        <v>1</v>
      </c>
    </row>
    <row r="312">
      <c r="A312" s="10">
        <f>Daily_Data!A312</f>
        <v>36962</v>
      </c>
      <c r="B312" s="11">
        <f>Daily_Data!J312</f>
        <v>30.32</v>
      </c>
      <c r="C312" s="11">
        <f>Daily_Data!I312</f>
        <v>1.21</v>
      </c>
      <c r="D312" s="12">
        <f>if(sum(Daily_Data!K312:L312)&gt;0,1,0)</f>
        <v>0</v>
      </c>
    </row>
    <row r="313">
      <c r="A313" s="10">
        <f>Daily_Data!A313</f>
        <v>36963</v>
      </c>
      <c r="B313" s="11">
        <f>Daily_Data!J313</f>
        <v>27.55</v>
      </c>
      <c r="C313" s="11">
        <f>Daily_Data!I313</f>
        <v>1.18</v>
      </c>
      <c r="D313" s="12">
        <f>if(sum(Daily_Data!K313:L313)&gt;0,1,0)</f>
        <v>0</v>
      </c>
    </row>
    <row r="314">
      <c r="A314" s="10">
        <f>Daily_Data!A314</f>
        <v>36964</v>
      </c>
      <c r="B314" s="11">
        <f>Daily_Data!J314</f>
        <v>29.61</v>
      </c>
      <c r="C314" s="11">
        <f>Daily_Data!I314</f>
        <v>1.27</v>
      </c>
      <c r="D314" s="12">
        <f>if(sum(Daily_Data!K314:L314)&gt;0,1,0)</f>
        <v>0</v>
      </c>
    </row>
    <row r="315">
      <c r="A315" s="10">
        <f>Daily_Data!A315</f>
        <v>36965</v>
      </c>
      <c r="B315" s="11">
        <f>Daily_Data!J315</f>
        <v>28.56</v>
      </c>
      <c r="C315" s="11">
        <f>Daily_Data!I315</f>
        <v>1.23</v>
      </c>
      <c r="D315" s="12">
        <f>if(sum(Daily_Data!K315:L315)&gt;0,1,0)</f>
        <v>0</v>
      </c>
    </row>
    <row r="316">
      <c r="A316" s="10">
        <f>Daily_Data!A316</f>
        <v>36966</v>
      </c>
      <c r="B316" s="11">
        <f>Daily_Data!J316</f>
        <v>29.91</v>
      </c>
      <c r="C316" s="11">
        <f>Daily_Data!I316</f>
        <v>1.2</v>
      </c>
      <c r="D316" s="12">
        <f>if(sum(Daily_Data!K316:L316)&gt;0,1,0)</f>
        <v>0</v>
      </c>
    </row>
    <row r="317">
      <c r="A317" s="10">
        <f>Daily_Data!A317</f>
        <v>36969</v>
      </c>
      <c r="B317" s="11">
        <f>Daily_Data!J317</f>
        <v>29.78</v>
      </c>
      <c r="C317" s="11">
        <f>Daily_Data!I317</f>
        <v>1.14</v>
      </c>
      <c r="D317" s="12">
        <f>if(sum(Daily_Data!K317:L317)&gt;0,1,0)</f>
        <v>0</v>
      </c>
    </row>
    <row r="318">
      <c r="A318" s="10">
        <f>Daily_Data!A318</f>
        <v>36970</v>
      </c>
      <c r="B318" s="11">
        <f>Daily_Data!J318</f>
        <v>30.96</v>
      </c>
      <c r="C318" s="11">
        <f>Daily_Data!I318</f>
        <v>1.26</v>
      </c>
      <c r="D318" s="12">
        <f>if(sum(Daily_Data!K318:L318)&gt;0,1,0)</f>
        <v>0</v>
      </c>
    </row>
    <row r="319">
      <c r="A319" s="10">
        <f>Daily_Data!A319</f>
        <v>36971</v>
      </c>
      <c r="B319" s="11">
        <f>Daily_Data!J319</f>
        <v>31.93</v>
      </c>
      <c r="C319" s="11">
        <f>Daily_Data!I319</f>
        <v>1.22</v>
      </c>
      <c r="D319" s="12">
        <f>if(sum(Daily_Data!K319:L319)&gt;0,1,0)</f>
        <v>1</v>
      </c>
    </row>
    <row r="320">
      <c r="A320" s="10">
        <f>Daily_Data!A320</f>
        <v>36972</v>
      </c>
      <c r="B320" s="11">
        <f>Daily_Data!J320</f>
        <v>32.84</v>
      </c>
      <c r="C320" s="11">
        <f>Daily_Data!I320</f>
        <v>1.31</v>
      </c>
      <c r="D320" s="12">
        <f>if(sum(Daily_Data!K320:L320)&gt;0,1,0)</f>
        <v>0</v>
      </c>
    </row>
    <row r="321">
      <c r="A321" s="10">
        <f>Daily_Data!A321</f>
        <v>36973</v>
      </c>
      <c r="B321" s="11">
        <f>Daily_Data!J321</f>
        <v>30.45</v>
      </c>
      <c r="C321" s="11">
        <f>Daily_Data!I321</f>
        <v>1.34</v>
      </c>
      <c r="D321" s="12">
        <f>if(sum(Daily_Data!K321:L321)&gt;0,1,0)</f>
        <v>0</v>
      </c>
    </row>
    <row r="322">
      <c r="A322" s="10">
        <f>Daily_Data!A322</f>
        <v>36976</v>
      </c>
      <c r="B322" s="11">
        <f>Daily_Data!J322</f>
        <v>29.04</v>
      </c>
      <c r="C322" s="11">
        <f>Daily_Data!I322</f>
        <v>1.4</v>
      </c>
      <c r="D322" s="12">
        <f>if(sum(Daily_Data!K322:L322)&gt;0,1,0)</f>
        <v>0</v>
      </c>
    </row>
    <row r="323">
      <c r="A323" s="10">
        <f>Daily_Data!A323</f>
        <v>36977</v>
      </c>
      <c r="B323" s="11">
        <f>Daily_Data!J323</f>
        <v>27.04</v>
      </c>
      <c r="C323" s="11">
        <f>Daily_Data!I323</f>
        <v>1.28</v>
      </c>
      <c r="D323" s="12">
        <f>if(sum(Daily_Data!K323:L323)&gt;0,1,0)</f>
        <v>0</v>
      </c>
    </row>
    <row r="324">
      <c r="A324" s="10">
        <f>Daily_Data!A324</f>
        <v>36978</v>
      </c>
      <c r="B324" s="11">
        <f>Daily_Data!J324</f>
        <v>28.58</v>
      </c>
      <c r="C324" s="11">
        <f>Daily_Data!I324</f>
        <v>1.52</v>
      </c>
      <c r="D324" s="12">
        <f>if(sum(Daily_Data!K324:L324)&gt;0,1,0)</f>
        <v>0</v>
      </c>
    </row>
    <row r="325">
      <c r="A325" s="10">
        <f>Daily_Data!A325</f>
        <v>36979</v>
      </c>
      <c r="B325" s="11">
        <f>Daily_Data!J325</f>
        <v>29.17</v>
      </c>
      <c r="C325" s="11">
        <f>Daily_Data!I325</f>
        <v>1.52</v>
      </c>
      <c r="D325" s="12">
        <f>if(sum(Daily_Data!K325:L325)&gt;0,1,0)</f>
        <v>0</v>
      </c>
    </row>
    <row r="326">
      <c r="A326" s="10">
        <f>Daily_Data!A326</f>
        <v>36980</v>
      </c>
      <c r="B326" s="11">
        <f>Daily_Data!J326</f>
        <v>28.64</v>
      </c>
      <c r="C326" s="11">
        <f>Daily_Data!I326</f>
        <v>1.56</v>
      </c>
      <c r="D326" s="12">
        <f>if(sum(Daily_Data!K326:L326)&gt;0,1,0)</f>
        <v>0</v>
      </c>
    </row>
    <row r="327">
      <c r="A327" s="10">
        <f>Daily_Data!A327</f>
        <v>36983</v>
      </c>
      <c r="B327" s="11">
        <f>Daily_Data!J327</f>
        <v>31.21</v>
      </c>
      <c r="C327" s="11">
        <f>Daily_Data!I327</f>
        <v>1.42</v>
      </c>
      <c r="D327" s="12">
        <f>if(sum(Daily_Data!K327:L327)&gt;0,1,0)</f>
        <v>0</v>
      </c>
    </row>
    <row r="328">
      <c r="A328" s="10">
        <f>Daily_Data!A328</f>
        <v>36984</v>
      </c>
      <c r="B328" s="11">
        <f>Daily_Data!J328</f>
        <v>34.72</v>
      </c>
      <c r="C328" s="11">
        <f>Daily_Data!I328</f>
        <v>1.55</v>
      </c>
      <c r="D328" s="12">
        <f>if(sum(Daily_Data!K328:L328)&gt;0,1,0)</f>
        <v>0</v>
      </c>
    </row>
    <row r="329">
      <c r="A329" s="10">
        <f>Daily_Data!A329</f>
        <v>36985</v>
      </c>
      <c r="B329" s="11">
        <f>Daily_Data!J329</f>
        <v>34.07</v>
      </c>
      <c r="C329" s="11">
        <f>Daily_Data!I329</f>
        <v>1.56</v>
      </c>
      <c r="D329" s="12">
        <f>if(sum(Daily_Data!K329:L329)&gt;0,1,0)</f>
        <v>0</v>
      </c>
    </row>
    <row r="330">
      <c r="A330" s="10">
        <f>Daily_Data!A330</f>
        <v>36986</v>
      </c>
      <c r="B330" s="11">
        <f>Daily_Data!J330</f>
        <v>29.94</v>
      </c>
      <c r="C330" s="11">
        <f>Daily_Data!I330</f>
        <v>1.43</v>
      </c>
      <c r="D330" s="12">
        <f>if(sum(Daily_Data!K330:L330)&gt;0,1,0)</f>
        <v>0</v>
      </c>
    </row>
    <row r="331">
      <c r="A331" s="10">
        <f>Daily_Data!A331</f>
        <v>36987</v>
      </c>
      <c r="B331" s="11">
        <f>Daily_Data!J331</f>
        <v>31.69</v>
      </c>
      <c r="C331" s="11">
        <f>Daily_Data!I331</f>
        <v>1.69</v>
      </c>
      <c r="D331" s="12">
        <f>if(sum(Daily_Data!K331:L331)&gt;0,1,0)</f>
        <v>1</v>
      </c>
    </row>
    <row r="332">
      <c r="A332" s="10">
        <f>Daily_Data!A332</f>
        <v>36990</v>
      </c>
      <c r="B332" s="11">
        <f>Daily_Data!J332</f>
        <v>31.91</v>
      </c>
      <c r="C332" s="11">
        <f>Daily_Data!I332</f>
        <v>1.6</v>
      </c>
      <c r="D332" s="12">
        <f>if(sum(Daily_Data!K332:L332)&gt;0,1,0)</f>
        <v>0</v>
      </c>
    </row>
    <row r="333">
      <c r="A333" s="10">
        <f>Daily_Data!A333</f>
        <v>36991</v>
      </c>
      <c r="B333" s="11">
        <f>Daily_Data!J333</f>
        <v>29.44</v>
      </c>
      <c r="C333" s="11">
        <f>Daily_Data!I333</f>
        <v>1.38</v>
      </c>
      <c r="D333" s="12">
        <f>if(sum(Daily_Data!K333:L333)&gt;0,1,0)</f>
        <v>0</v>
      </c>
    </row>
    <row r="334">
      <c r="A334" s="10">
        <f>Daily_Data!A334</f>
        <v>36992</v>
      </c>
      <c r="B334" s="11">
        <f>Daily_Data!J334</f>
        <v>28.46</v>
      </c>
      <c r="C334" s="11">
        <f>Daily_Data!I334</f>
        <v>1.43</v>
      </c>
      <c r="D334" s="12">
        <f>if(sum(Daily_Data!K334:L334)&gt;0,1,0)</f>
        <v>0</v>
      </c>
    </row>
    <row r="335">
      <c r="A335" s="10">
        <f>Daily_Data!A335</f>
        <v>36993</v>
      </c>
      <c r="B335" s="11">
        <f>Daily_Data!J335</f>
        <v>26.12</v>
      </c>
      <c r="C335" s="11">
        <f>Daily_Data!I335</f>
        <v>1.4</v>
      </c>
      <c r="D335" s="12">
        <f>if(sum(Daily_Data!K335:L335)&gt;0,1,0)</f>
        <v>0</v>
      </c>
    </row>
    <row r="336">
      <c r="A336" s="10">
        <f>Daily_Data!A336</f>
        <v>36994</v>
      </c>
      <c r="B336" s="11" t="str">
        <f>Daily_Data!J336</f>
        <v/>
      </c>
      <c r="C336" s="11" t="str">
        <f>Daily_Data!I336</f>
        <v/>
      </c>
      <c r="D336" s="12">
        <f>if(sum(Daily_Data!K336:L336)&gt;0,1,0)</f>
        <v>0</v>
      </c>
    </row>
    <row r="337">
      <c r="A337" s="10">
        <f>Daily_Data!A337</f>
        <v>36997</v>
      </c>
      <c r="B337" s="11">
        <f>Daily_Data!J337</f>
        <v>26.33</v>
      </c>
      <c r="C337" s="11" t="str">
        <f>Daily_Data!I337</f>
        <v/>
      </c>
      <c r="D337" s="12">
        <f>if(sum(Daily_Data!K337:L337)&gt;0,1,0)</f>
        <v>0</v>
      </c>
    </row>
    <row r="338">
      <c r="A338" s="10">
        <f>Daily_Data!A338</f>
        <v>36998</v>
      </c>
      <c r="B338" s="11">
        <f>Daily_Data!J338</f>
        <v>25.61</v>
      </c>
      <c r="C338" s="11">
        <f>Daily_Data!I338</f>
        <v>1.48</v>
      </c>
      <c r="D338" s="12">
        <f>if(sum(Daily_Data!K338:L338)&gt;0,1,0)</f>
        <v>1</v>
      </c>
    </row>
    <row r="339">
      <c r="A339" s="10">
        <f>Daily_Data!A339</f>
        <v>36999</v>
      </c>
      <c r="B339" s="11">
        <f>Daily_Data!J339</f>
        <v>24.13</v>
      </c>
      <c r="C339" s="11">
        <f>Daily_Data!I339</f>
        <v>1.55</v>
      </c>
      <c r="D339" s="12">
        <f>if(sum(Daily_Data!K339:L339)&gt;0,1,0)</f>
        <v>0</v>
      </c>
    </row>
    <row r="340">
      <c r="A340" s="10">
        <f>Daily_Data!A340</f>
        <v>37000</v>
      </c>
      <c r="B340" s="11">
        <f>Daily_Data!J340</f>
        <v>24.16</v>
      </c>
      <c r="C340" s="11">
        <f>Daily_Data!I340</f>
        <v>1.36</v>
      </c>
      <c r="D340" s="12">
        <f>if(sum(Daily_Data!K340:L340)&gt;0,1,0)</f>
        <v>0</v>
      </c>
    </row>
    <row r="341">
      <c r="A341" s="10">
        <f>Daily_Data!A341</f>
        <v>37001</v>
      </c>
      <c r="B341" s="11">
        <f>Daily_Data!J341</f>
        <v>25.38</v>
      </c>
      <c r="C341" s="11">
        <f>Daily_Data!I341</f>
        <v>1.49</v>
      </c>
      <c r="D341" s="12">
        <f>if(sum(Daily_Data!K341:L341)&gt;0,1,0)</f>
        <v>0</v>
      </c>
    </row>
    <row r="342">
      <c r="A342" s="10">
        <f>Daily_Data!A342</f>
        <v>37004</v>
      </c>
      <c r="B342" s="11">
        <f>Daily_Data!J342</f>
        <v>28.16</v>
      </c>
      <c r="C342" s="11">
        <f>Daily_Data!I342</f>
        <v>1.58</v>
      </c>
      <c r="D342" s="12">
        <f>if(sum(Daily_Data!K342:L342)&gt;0,1,0)</f>
        <v>0</v>
      </c>
    </row>
    <row r="343">
      <c r="A343" s="10">
        <f>Daily_Data!A343</f>
        <v>37005</v>
      </c>
      <c r="B343" s="11">
        <f>Daily_Data!J343</f>
        <v>28.49</v>
      </c>
      <c r="C343" s="11">
        <f>Daily_Data!I343</f>
        <v>1.5</v>
      </c>
      <c r="D343" s="12">
        <f>if(sum(Daily_Data!K343:L343)&gt;0,1,0)</f>
        <v>0</v>
      </c>
    </row>
    <row r="344">
      <c r="A344" s="10">
        <f>Daily_Data!A344</f>
        <v>37006</v>
      </c>
      <c r="B344" s="11">
        <f>Daily_Data!J344</f>
        <v>27.4</v>
      </c>
      <c r="C344" s="11" t="str">
        <f>Daily_Data!I344</f>
        <v/>
      </c>
      <c r="D344" s="12">
        <f>if(sum(Daily_Data!K344:L344)&gt;0,1,0)</f>
        <v>0</v>
      </c>
    </row>
    <row r="345">
      <c r="A345" s="10">
        <f>Daily_Data!A345</f>
        <v>37007</v>
      </c>
      <c r="B345" s="11">
        <f>Daily_Data!J345</f>
        <v>25.96</v>
      </c>
      <c r="C345" s="11">
        <f>Daily_Data!I345</f>
        <v>1.64</v>
      </c>
      <c r="D345" s="12">
        <f>if(sum(Daily_Data!K345:L345)&gt;0,1,0)</f>
        <v>0</v>
      </c>
    </row>
    <row r="346">
      <c r="A346" s="10">
        <f>Daily_Data!A346</f>
        <v>37008</v>
      </c>
      <c r="B346" s="11">
        <f>Daily_Data!J346</f>
        <v>24.02</v>
      </c>
      <c r="C346" s="11">
        <f>Daily_Data!I346</f>
        <v>1.41</v>
      </c>
      <c r="D346" s="12">
        <f>if(sum(Daily_Data!K346:L346)&gt;0,1,0)</f>
        <v>0</v>
      </c>
    </row>
    <row r="347">
      <c r="A347" s="10">
        <f>Daily_Data!A347</f>
        <v>37011</v>
      </c>
      <c r="B347" s="11">
        <f>Daily_Data!J347</f>
        <v>25.48</v>
      </c>
      <c r="C347" s="11">
        <f>Daily_Data!I347</f>
        <v>1.52</v>
      </c>
      <c r="D347" s="12">
        <f>if(sum(Daily_Data!K347:L347)&gt;0,1,0)</f>
        <v>0</v>
      </c>
    </row>
    <row r="348">
      <c r="A348" s="10">
        <f>Daily_Data!A348</f>
        <v>37012</v>
      </c>
      <c r="B348" s="11">
        <f>Daily_Data!J348</f>
        <v>24.2</v>
      </c>
      <c r="C348" s="11">
        <f>Daily_Data!I348</f>
        <v>1.57</v>
      </c>
      <c r="D348" s="12">
        <f>if(sum(Daily_Data!K348:L348)&gt;0,1,0)</f>
        <v>0</v>
      </c>
    </row>
    <row r="349">
      <c r="A349" s="10">
        <f>Daily_Data!A349</f>
        <v>37013</v>
      </c>
      <c r="B349" s="11">
        <f>Daily_Data!J349</f>
        <v>24.23</v>
      </c>
      <c r="C349" s="11">
        <f>Daily_Data!I349</f>
        <v>1.52</v>
      </c>
      <c r="D349" s="12">
        <f>if(sum(Daily_Data!K349:L349)&gt;0,1,0)</f>
        <v>0</v>
      </c>
    </row>
    <row r="350">
      <c r="A350" s="10">
        <f>Daily_Data!A350</f>
        <v>37014</v>
      </c>
      <c r="B350" s="11">
        <f>Daily_Data!J350</f>
        <v>25.78</v>
      </c>
      <c r="C350" s="11">
        <f>Daily_Data!I350</f>
        <v>1.62</v>
      </c>
      <c r="D350" s="12">
        <f>if(sum(Daily_Data!K350:L350)&gt;0,1,0)</f>
        <v>0</v>
      </c>
    </row>
    <row r="351">
      <c r="A351" s="10">
        <f>Daily_Data!A351</f>
        <v>37015</v>
      </c>
      <c r="B351" s="11">
        <f>Daily_Data!J351</f>
        <v>23.91</v>
      </c>
      <c r="C351" s="11">
        <f>Daily_Data!I351</f>
        <v>1.58</v>
      </c>
      <c r="D351" s="12">
        <f>if(sum(Daily_Data!K351:L351)&gt;0,1,0)</f>
        <v>1</v>
      </c>
    </row>
    <row r="352">
      <c r="A352" s="10">
        <f>Daily_Data!A352</f>
        <v>37018</v>
      </c>
      <c r="B352" s="11">
        <f>Daily_Data!J352</f>
        <v>24.86</v>
      </c>
      <c r="C352" s="11">
        <f>Daily_Data!I352</f>
        <v>1.55</v>
      </c>
      <c r="D352" s="12">
        <f>if(sum(Daily_Data!K352:L352)&gt;0,1,0)</f>
        <v>0</v>
      </c>
    </row>
    <row r="353">
      <c r="A353" s="10">
        <f>Daily_Data!A353</f>
        <v>37019</v>
      </c>
      <c r="B353" s="11">
        <f>Daily_Data!J353</f>
        <v>24.44</v>
      </c>
      <c r="C353" s="11">
        <f>Daily_Data!I353</f>
        <v>1.59</v>
      </c>
      <c r="D353" s="12">
        <f>if(sum(Daily_Data!K353:L353)&gt;0,1,0)</f>
        <v>0</v>
      </c>
    </row>
    <row r="354">
      <c r="A354" s="10">
        <f>Daily_Data!A354</f>
        <v>37020</v>
      </c>
      <c r="B354" s="11">
        <f>Daily_Data!J354</f>
        <v>24.35</v>
      </c>
      <c r="C354" s="11">
        <f>Daily_Data!I354</f>
        <v>1.61</v>
      </c>
      <c r="D354" s="12">
        <f>if(sum(Daily_Data!K354:L354)&gt;0,1,0)</f>
        <v>0</v>
      </c>
    </row>
    <row r="355">
      <c r="A355" s="10">
        <f>Daily_Data!A355</f>
        <v>37021</v>
      </c>
      <c r="B355" s="11">
        <f>Daily_Data!J355</f>
        <v>24</v>
      </c>
      <c r="C355" s="11">
        <f>Daily_Data!I355</f>
        <v>1.47</v>
      </c>
      <c r="D355" s="12">
        <f>if(sum(Daily_Data!K355:L355)&gt;0,1,0)</f>
        <v>0</v>
      </c>
    </row>
    <row r="356">
      <c r="A356" s="10">
        <f>Daily_Data!A356</f>
        <v>37022</v>
      </c>
      <c r="B356" s="11">
        <f>Daily_Data!J356</f>
        <v>23.54</v>
      </c>
      <c r="C356" s="11">
        <f>Daily_Data!I356</f>
        <v>1.33</v>
      </c>
      <c r="D356" s="12">
        <f>if(sum(Daily_Data!K356:L356)&gt;0,1,0)</f>
        <v>0</v>
      </c>
    </row>
    <row r="357">
      <c r="A357" s="10">
        <f>Daily_Data!A357</f>
        <v>37025</v>
      </c>
      <c r="B357" s="11">
        <f>Daily_Data!J357</f>
        <v>24.26</v>
      </c>
      <c r="C357" s="11">
        <f>Daily_Data!I357</f>
        <v>1.58</v>
      </c>
      <c r="D357" s="12">
        <f>if(sum(Daily_Data!K357:L357)&gt;0,1,0)</f>
        <v>0</v>
      </c>
    </row>
    <row r="358">
      <c r="A358" s="10">
        <f>Daily_Data!A358</f>
        <v>37026</v>
      </c>
      <c r="B358" s="11">
        <f>Daily_Data!J358</f>
        <v>23.71</v>
      </c>
      <c r="C358" s="11">
        <f>Daily_Data!I358</f>
        <v>1.62</v>
      </c>
      <c r="D358" s="12">
        <f>if(sum(Daily_Data!K358:L358)&gt;0,1,0)</f>
        <v>0</v>
      </c>
    </row>
    <row r="359">
      <c r="A359" s="10">
        <f>Daily_Data!A359</f>
        <v>37027</v>
      </c>
      <c r="B359" s="11">
        <f>Daily_Data!J359</f>
        <v>21.89</v>
      </c>
      <c r="C359" s="11">
        <f>Daily_Data!I359</f>
        <v>1.62</v>
      </c>
      <c r="D359" s="12">
        <f>if(sum(Daily_Data!K359:L359)&gt;0,1,0)</f>
        <v>1</v>
      </c>
    </row>
    <row r="360">
      <c r="A360" s="10">
        <f>Daily_Data!A360</f>
        <v>37028</v>
      </c>
      <c r="B360" s="11">
        <f>Daily_Data!J360</f>
        <v>21.47</v>
      </c>
      <c r="C360" s="11">
        <f>Daily_Data!I360</f>
        <v>1.6</v>
      </c>
      <c r="D360" s="12">
        <f>if(sum(Daily_Data!K360:L360)&gt;0,1,0)</f>
        <v>0</v>
      </c>
    </row>
    <row r="361">
      <c r="A361" s="10">
        <f>Daily_Data!A361</f>
        <v>37029</v>
      </c>
      <c r="B361" s="11">
        <f>Daily_Data!J361</f>
        <v>21.23</v>
      </c>
      <c r="C361" s="11">
        <f>Daily_Data!I361</f>
        <v>1.66</v>
      </c>
      <c r="D361" s="12">
        <f>if(sum(Daily_Data!K361:L361)&gt;0,1,0)</f>
        <v>0</v>
      </c>
    </row>
    <row r="362">
      <c r="A362" s="10">
        <f>Daily_Data!A362</f>
        <v>37032</v>
      </c>
      <c r="B362" s="11">
        <f>Daily_Data!J362</f>
        <v>20.76</v>
      </c>
      <c r="C362" s="11">
        <f>Daily_Data!I362</f>
        <v>1.68</v>
      </c>
      <c r="D362" s="12">
        <f>if(sum(Daily_Data!K362:L362)&gt;0,1,0)</f>
        <v>0</v>
      </c>
    </row>
    <row r="363">
      <c r="A363" s="10">
        <f>Daily_Data!A363</f>
        <v>37033</v>
      </c>
      <c r="B363" s="11">
        <f>Daily_Data!J363</f>
        <v>21.35</v>
      </c>
      <c r="C363" s="11">
        <f>Daily_Data!I363</f>
        <v>1.76</v>
      </c>
      <c r="D363" s="12">
        <f>if(sum(Daily_Data!K363:L363)&gt;0,1,0)</f>
        <v>0</v>
      </c>
    </row>
    <row r="364">
      <c r="A364" s="10">
        <f>Daily_Data!A364</f>
        <v>37034</v>
      </c>
      <c r="B364" s="11">
        <f>Daily_Data!J364</f>
        <v>22.08</v>
      </c>
      <c r="C364" s="11">
        <f>Daily_Data!I364</f>
        <v>1.76</v>
      </c>
      <c r="D364" s="12">
        <f>if(sum(Daily_Data!K364:L364)&gt;0,1,0)</f>
        <v>0</v>
      </c>
    </row>
    <row r="365">
      <c r="A365" s="10">
        <f>Daily_Data!A365</f>
        <v>37035</v>
      </c>
      <c r="B365" s="11">
        <f>Daily_Data!J365</f>
        <v>20.57</v>
      </c>
      <c r="C365" s="11">
        <f>Daily_Data!I365</f>
        <v>1.67</v>
      </c>
      <c r="D365" s="12">
        <f>if(sum(Daily_Data!K365:L365)&gt;0,1,0)</f>
        <v>0</v>
      </c>
    </row>
    <row r="366">
      <c r="A366" s="10">
        <f>Daily_Data!A366</f>
        <v>37036</v>
      </c>
      <c r="B366" s="11">
        <f>Daily_Data!J366</f>
        <v>20.6</v>
      </c>
      <c r="C366" s="11">
        <f>Daily_Data!I366</f>
        <v>1.79</v>
      </c>
      <c r="D366" s="12">
        <f>if(sum(Daily_Data!K366:L366)&gt;0,1,0)</f>
        <v>0</v>
      </c>
    </row>
    <row r="367">
      <c r="A367" s="10">
        <f>Daily_Data!A367</f>
        <v>37039</v>
      </c>
      <c r="B367" s="11" t="str">
        <f>Daily_Data!J367</f>
        <v/>
      </c>
      <c r="C367" s="11" t="str">
        <f>Daily_Data!I367</f>
        <v/>
      </c>
      <c r="D367" s="12">
        <f>if(sum(Daily_Data!K367:L367)&gt;0,1,0)</f>
        <v>0</v>
      </c>
    </row>
    <row r="368">
      <c r="A368" s="10">
        <f>Daily_Data!A368</f>
        <v>37040</v>
      </c>
      <c r="B368" s="11">
        <f>Daily_Data!J368</f>
        <v>22.14</v>
      </c>
      <c r="C368" s="11">
        <f>Daily_Data!I368</f>
        <v>1.72</v>
      </c>
      <c r="D368" s="12">
        <f>if(sum(Daily_Data!K368:L368)&gt;0,1,0)</f>
        <v>0</v>
      </c>
    </row>
    <row r="369">
      <c r="A369" s="10">
        <f>Daily_Data!A369</f>
        <v>37041</v>
      </c>
      <c r="B369" s="11">
        <f>Daily_Data!J369</f>
        <v>22.76</v>
      </c>
      <c r="C369" s="11">
        <f>Daily_Data!I369</f>
        <v>1.74</v>
      </c>
      <c r="D369" s="12">
        <f>if(sum(Daily_Data!K369:L369)&gt;0,1,0)</f>
        <v>0</v>
      </c>
    </row>
    <row r="370">
      <c r="A370" s="10">
        <f>Daily_Data!A370</f>
        <v>37042</v>
      </c>
      <c r="B370" s="11">
        <f>Daily_Data!J370</f>
        <v>22.64</v>
      </c>
      <c r="C370" s="11">
        <f>Daily_Data!I370</f>
        <v>1.86</v>
      </c>
      <c r="D370" s="12">
        <f>if(sum(Daily_Data!K370:L370)&gt;0,1,0)</f>
        <v>0</v>
      </c>
    </row>
    <row r="371">
      <c r="A371" s="10">
        <f>Daily_Data!A371</f>
        <v>37043</v>
      </c>
      <c r="B371" s="11">
        <f>Daily_Data!J371</f>
        <v>21.59</v>
      </c>
      <c r="C371" s="11">
        <f>Daily_Data!I371</f>
        <v>1.82</v>
      </c>
      <c r="D371" s="12">
        <f>if(sum(Daily_Data!K371:L371)&gt;0,1,0)</f>
        <v>1</v>
      </c>
    </row>
    <row r="372">
      <c r="A372" s="10">
        <f>Daily_Data!A372</f>
        <v>37046</v>
      </c>
      <c r="B372" s="11">
        <f>Daily_Data!J372</f>
        <v>21.38</v>
      </c>
      <c r="C372" s="11" t="str">
        <f>Daily_Data!I372</f>
        <v/>
      </c>
      <c r="D372" s="12">
        <f>if(sum(Daily_Data!K372:L372)&gt;0,1,0)</f>
        <v>0</v>
      </c>
    </row>
    <row r="373">
      <c r="A373" s="10">
        <f>Daily_Data!A373</f>
        <v>37047</v>
      </c>
      <c r="B373" s="11">
        <f>Daily_Data!J373</f>
        <v>19.58</v>
      </c>
      <c r="C373" s="11">
        <f>Daily_Data!I373</f>
        <v>1.91</v>
      </c>
      <c r="D373" s="12">
        <f>if(sum(Daily_Data!K373:L373)&gt;0,1,0)</f>
        <v>0</v>
      </c>
    </row>
    <row r="374">
      <c r="A374" s="10">
        <f>Daily_Data!A374</f>
        <v>37048</v>
      </c>
      <c r="B374" s="11">
        <f>Daily_Data!J374</f>
        <v>20.39</v>
      </c>
      <c r="C374" s="11">
        <f>Daily_Data!I374</f>
        <v>1.88</v>
      </c>
      <c r="D374" s="12">
        <f>if(sum(Daily_Data!K374:L374)&gt;0,1,0)</f>
        <v>0</v>
      </c>
    </row>
    <row r="375">
      <c r="A375" s="10">
        <f>Daily_Data!A375</f>
        <v>37049</v>
      </c>
      <c r="B375" s="11">
        <f>Daily_Data!J375</f>
        <v>19.67</v>
      </c>
      <c r="C375" s="11">
        <f>Daily_Data!I375</f>
        <v>2.01</v>
      </c>
      <c r="D375" s="12">
        <f>if(sum(Daily_Data!K375:L375)&gt;0,1,0)</f>
        <v>0</v>
      </c>
    </row>
    <row r="376">
      <c r="A376" s="10">
        <f>Daily_Data!A376</f>
        <v>37050</v>
      </c>
      <c r="B376" s="11">
        <f>Daily_Data!J376</f>
        <v>19.92</v>
      </c>
      <c r="C376" s="11">
        <f>Daily_Data!I376</f>
        <v>1.98</v>
      </c>
      <c r="D376" s="12">
        <f>if(sum(Daily_Data!K376:L376)&gt;0,1,0)</f>
        <v>0</v>
      </c>
    </row>
    <row r="377">
      <c r="A377" s="10">
        <f>Daily_Data!A377</f>
        <v>37053</v>
      </c>
      <c r="B377" s="11">
        <f>Daily_Data!J377</f>
        <v>20.7</v>
      </c>
      <c r="C377" s="11">
        <f>Daily_Data!I377</f>
        <v>2.06</v>
      </c>
      <c r="D377" s="12">
        <f>if(sum(Daily_Data!K377:L377)&gt;0,1,0)</f>
        <v>0</v>
      </c>
    </row>
    <row r="378">
      <c r="A378" s="10">
        <f>Daily_Data!A378</f>
        <v>37054</v>
      </c>
      <c r="B378" s="11">
        <f>Daily_Data!J378</f>
        <v>20.7</v>
      </c>
      <c r="C378" s="11">
        <f>Daily_Data!I378</f>
        <v>2.04</v>
      </c>
      <c r="D378" s="12">
        <f>if(sum(Daily_Data!K378:L378)&gt;0,1,0)</f>
        <v>0</v>
      </c>
    </row>
    <row r="379">
      <c r="A379" s="10">
        <f>Daily_Data!A379</f>
        <v>37055</v>
      </c>
      <c r="B379" s="11">
        <f>Daily_Data!J379</f>
        <v>21.45</v>
      </c>
      <c r="C379" s="11">
        <f>Daily_Data!I379</f>
        <v>2.06</v>
      </c>
      <c r="D379" s="12">
        <f>if(sum(Daily_Data!K379:L379)&gt;0,1,0)</f>
        <v>0</v>
      </c>
    </row>
    <row r="380">
      <c r="A380" s="10">
        <f>Daily_Data!A380</f>
        <v>37056</v>
      </c>
      <c r="B380" s="11">
        <f>Daily_Data!J380</f>
        <v>23.12</v>
      </c>
      <c r="C380" s="11">
        <f>Daily_Data!I380</f>
        <v>2.06</v>
      </c>
      <c r="D380" s="12">
        <f>if(sum(Daily_Data!K380:L380)&gt;0,1,0)</f>
        <v>0</v>
      </c>
    </row>
    <row r="381">
      <c r="A381" s="10">
        <f>Daily_Data!A381</f>
        <v>37057</v>
      </c>
      <c r="B381" s="11">
        <f>Daily_Data!J381</f>
        <v>22.81</v>
      </c>
      <c r="C381" s="11">
        <f>Daily_Data!I381</f>
        <v>2.05</v>
      </c>
      <c r="D381" s="12">
        <f>if(sum(Daily_Data!K381:L381)&gt;0,1,0)</f>
        <v>1</v>
      </c>
    </row>
    <row r="382">
      <c r="A382" s="10">
        <f>Daily_Data!A382</f>
        <v>37060</v>
      </c>
      <c r="B382" s="11">
        <f>Daily_Data!J382</f>
        <v>23.17</v>
      </c>
      <c r="C382" s="11">
        <f>Daily_Data!I382</f>
        <v>2.06</v>
      </c>
      <c r="D382" s="12">
        <f>if(sum(Daily_Data!K382:L382)&gt;0,1,0)</f>
        <v>0</v>
      </c>
    </row>
    <row r="383">
      <c r="A383" s="10">
        <f>Daily_Data!A383</f>
        <v>37061</v>
      </c>
      <c r="B383" s="11">
        <f>Daily_Data!J383</f>
        <v>22.34</v>
      </c>
      <c r="C383" s="11">
        <f>Daily_Data!I383</f>
        <v>2.05</v>
      </c>
      <c r="D383" s="12">
        <f>if(sum(Daily_Data!K383:L383)&gt;0,1,0)</f>
        <v>0</v>
      </c>
    </row>
    <row r="384">
      <c r="A384" s="10">
        <f>Daily_Data!A384</f>
        <v>37062</v>
      </c>
      <c r="B384" s="11">
        <f>Daily_Data!J384</f>
        <v>21.71</v>
      </c>
      <c r="C384" s="11">
        <f>Daily_Data!I384</f>
        <v>2.05</v>
      </c>
      <c r="D384" s="12">
        <f>if(sum(Daily_Data!K384:L384)&gt;0,1,0)</f>
        <v>0</v>
      </c>
    </row>
    <row r="385">
      <c r="A385" s="10">
        <f>Daily_Data!A385</f>
        <v>37063</v>
      </c>
      <c r="B385" s="11">
        <f>Daily_Data!J385</f>
        <v>19.38</v>
      </c>
      <c r="C385" s="11">
        <f>Daily_Data!I385</f>
        <v>2.05</v>
      </c>
      <c r="D385" s="12">
        <f>if(sum(Daily_Data!K385:L385)&gt;0,1,0)</f>
        <v>0</v>
      </c>
    </row>
    <row r="386">
      <c r="A386" s="10">
        <f>Daily_Data!A386</f>
        <v>37064</v>
      </c>
      <c r="B386" s="11">
        <f>Daily_Data!J386</f>
        <v>20.02</v>
      </c>
      <c r="C386" s="11">
        <f>Daily_Data!I386</f>
        <v>2.11</v>
      </c>
      <c r="D386" s="12">
        <f>if(sum(Daily_Data!K386:L386)&gt;0,1,0)</f>
        <v>0</v>
      </c>
    </row>
    <row r="387">
      <c r="A387" s="10">
        <f>Daily_Data!A387</f>
        <v>37067</v>
      </c>
      <c r="B387" s="11">
        <f>Daily_Data!J387</f>
        <v>20.67</v>
      </c>
      <c r="C387" s="11">
        <f>Daily_Data!I387</f>
        <v>2.04</v>
      </c>
      <c r="D387" s="12">
        <f>if(sum(Daily_Data!K387:L387)&gt;0,1,0)</f>
        <v>0</v>
      </c>
    </row>
    <row r="388">
      <c r="A388" s="10">
        <f>Daily_Data!A388</f>
        <v>37068</v>
      </c>
      <c r="B388" s="11">
        <f>Daily_Data!J388</f>
        <v>21.2</v>
      </c>
      <c r="C388" s="11">
        <f>Daily_Data!I388</f>
        <v>1.98</v>
      </c>
      <c r="D388" s="12">
        <f>if(sum(Daily_Data!K388:L388)&gt;0,1,0)</f>
        <v>0</v>
      </c>
    </row>
    <row r="389">
      <c r="A389" s="10">
        <f>Daily_Data!A389</f>
        <v>37069</v>
      </c>
      <c r="B389" s="11">
        <f>Daily_Data!J389</f>
        <v>20.88</v>
      </c>
      <c r="C389" s="11">
        <f>Daily_Data!I389</f>
        <v>2.02</v>
      </c>
      <c r="D389" s="12">
        <f>if(sum(Daily_Data!K389:L389)&gt;0,1,0)</f>
        <v>0</v>
      </c>
    </row>
    <row r="390">
      <c r="A390" s="10">
        <f>Daily_Data!A390</f>
        <v>37070</v>
      </c>
      <c r="B390" s="11">
        <f>Daily_Data!J390</f>
        <v>20.01</v>
      </c>
      <c r="C390" s="11">
        <f>Daily_Data!I390</f>
        <v>2.01</v>
      </c>
      <c r="D390" s="12">
        <f>if(sum(Daily_Data!K390:L390)&gt;0,1,0)</f>
        <v>0</v>
      </c>
    </row>
    <row r="391">
      <c r="A391" s="10">
        <f>Daily_Data!A391</f>
        <v>37071</v>
      </c>
      <c r="B391" s="11">
        <f>Daily_Data!J391</f>
        <v>19.06</v>
      </c>
      <c r="C391" s="11">
        <f>Daily_Data!I391</f>
        <v>1.97</v>
      </c>
      <c r="D391" s="12">
        <f>if(sum(Daily_Data!K391:L391)&gt;0,1,0)</f>
        <v>0</v>
      </c>
    </row>
    <row r="392">
      <c r="A392" s="10">
        <f>Daily_Data!A392</f>
        <v>37074</v>
      </c>
      <c r="B392" s="11">
        <f>Daily_Data!J392</f>
        <v>18.76</v>
      </c>
      <c r="C392" s="11">
        <f>Daily_Data!I392</f>
        <v>2.04</v>
      </c>
      <c r="D392" s="12">
        <f>if(sum(Daily_Data!K392:L392)&gt;0,1,0)</f>
        <v>0</v>
      </c>
    </row>
    <row r="393">
      <c r="A393" s="10">
        <f>Daily_Data!A393</f>
        <v>37075</v>
      </c>
      <c r="B393" s="11">
        <f>Daily_Data!J393</f>
        <v>18.92</v>
      </c>
      <c r="C393" s="11">
        <f>Daily_Data!I393</f>
        <v>1.95</v>
      </c>
      <c r="D393" s="12">
        <f>if(sum(Daily_Data!K393:L393)&gt;0,1,0)</f>
        <v>0</v>
      </c>
    </row>
    <row r="394">
      <c r="A394" s="10">
        <f>Daily_Data!A394</f>
        <v>37076</v>
      </c>
      <c r="B394" s="11" t="str">
        <f>Daily_Data!J394</f>
        <v/>
      </c>
      <c r="C394" s="11" t="str">
        <f>Daily_Data!I394</f>
        <v/>
      </c>
      <c r="D394" s="12">
        <f>if(sum(Daily_Data!K394:L394)&gt;0,1,0)</f>
        <v>0</v>
      </c>
    </row>
    <row r="395">
      <c r="A395" s="10">
        <f>Daily_Data!A395</f>
        <v>37077</v>
      </c>
      <c r="B395" s="11">
        <f>Daily_Data!J395</f>
        <v>20.09</v>
      </c>
      <c r="C395" s="11">
        <f>Daily_Data!I395</f>
        <v>2.01</v>
      </c>
      <c r="D395" s="12">
        <f>if(sum(Daily_Data!K395:L395)&gt;0,1,0)</f>
        <v>0</v>
      </c>
    </row>
    <row r="396">
      <c r="A396" s="10">
        <f>Daily_Data!A396</f>
        <v>37078</v>
      </c>
      <c r="B396" s="11">
        <f>Daily_Data!J396</f>
        <v>21.63</v>
      </c>
      <c r="C396" s="11">
        <f>Daily_Data!I396</f>
        <v>2.05</v>
      </c>
      <c r="D396" s="12">
        <f>if(sum(Daily_Data!K396:L396)&gt;0,1,0)</f>
        <v>1</v>
      </c>
    </row>
    <row r="397">
      <c r="A397" s="10">
        <f>Daily_Data!A397</f>
        <v>37081</v>
      </c>
      <c r="B397" s="11">
        <f>Daily_Data!J397</f>
        <v>22.48</v>
      </c>
      <c r="C397" s="11">
        <f>Daily_Data!I397</f>
        <v>2.03</v>
      </c>
      <c r="D397" s="12">
        <f>if(sum(Daily_Data!K397:L397)&gt;0,1,0)</f>
        <v>0</v>
      </c>
    </row>
    <row r="398">
      <c r="A398" s="10">
        <f>Daily_Data!A398</f>
        <v>37082</v>
      </c>
      <c r="B398" s="11">
        <f>Daily_Data!J398</f>
        <v>23.25</v>
      </c>
      <c r="C398" s="11">
        <f>Daily_Data!I398</f>
        <v>2.13</v>
      </c>
      <c r="D398" s="12">
        <f>if(sum(Daily_Data!K398:L398)&gt;0,1,0)</f>
        <v>0</v>
      </c>
    </row>
    <row r="399">
      <c r="A399" s="10">
        <f>Daily_Data!A399</f>
        <v>37083</v>
      </c>
      <c r="B399" s="11">
        <f>Daily_Data!J399</f>
        <v>24.01</v>
      </c>
      <c r="C399" s="11">
        <f>Daily_Data!I399</f>
        <v>2.09</v>
      </c>
      <c r="D399" s="12">
        <f>if(sum(Daily_Data!K399:L399)&gt;0,1,0)</f>
        <v>0</v>
      </c>
    </row>
    <row r="400">
      <c r="A400" s="10">
        <f>Daily_Data!A400</f>
        <v>37084</v>
      </c>
      <c r="B400" s="11">
        <f>Daily_Data!J400</f>
        <v>22.09</v>
      </c>
      <c r="C400" s="11">
        <f>Daily_Data!I400</f>
        <v>2.12</v>
      </c>
      <c r="D400" s="12">
        <f>if(sum(Daily_Data!K400:L400)&gt;0,1,0)</f>
        <v>0</v>
      </c>
    </row>
    <row r="401">
      <c r="A401" s="10">
        <f>Daily_Data!A401</f>
        <v>37085</v>
      </c>
      <c r="B401" s="11">
        <f>Daily_Data!J401</f>
        <v>21.14</v>
      </c>
      <c r="C401" s="11">
        <f>Daily_Data!I401</f>
        <v>2.1</v>
      </c>
      <c r="D401" s="12">
        <f>if(sum(Daily_Data!K401:L401)&gt;0,1,0)</f>
        <v>0</v>
      </c>
    </row>
    <row r="402">
      <c r="A402" s="10">
        <f>Daily_Data!A402</f>
        <v>37088</v>
      </c>
      <c r="B402" s="11">
        <f>Daily_Data!J402</f>
        <v>22.91</v>
      </c>
      <c r="C402" s="11">
        <f>Daily_Data!I402</f>
        <v>2.15</v>
      </c>
      <c r="D402" s="12">
        <f>if(sum(Daily_Data!K402:L402)&gt;0,1,0)</f>
        <v>0</v>
      </c>
    </row>
    <row r="403">
      <c r="A403" s="10">
        <f>Daily_Data!A403</f>
        <v>37089</v>
      </c>
      <c r="B403" s="11">
        <f>Daily_Data!J403</f>
        <v>22.61</v>
      </c>
      <c r="C403" s="11">
        <f>Daily_Data!I403</f>
        <v>2.09</v>
      </c>
      <c r="D403" s="12">
        <f>if(sum(Daily_Data!K403:L403)&gt;0,1,0)</f>
        <v>0</v>
      </c>
    </row>
    <row r="404">
      <c r="A404" s="10">
        <f>Daily_Data!A404</f>
        <v>37090</v>
      </c>
      <c r="B404" s="11">
        <f>Daily_Data!J404</f>
        <v>23.6</v>
      </c>
      <c r="C404" s="11">
        <f>Daily_Data!I404</f>
        <v>2.24</v>
      </c>
      <c r="D404" s="12">
        <f>if(sum(Daily_Data!K404:L404)&gt;0,1,0)</f>
        <v>1</v>
      </c>
    </row>
    <row r="405">
      <c r="A405" s="10">
        <f>Daily_Data!A405</f>
        <v>37091</v>
      </c>
      <c r="B405" s="11">
        <f>Daily_Data!J405</f>
        <v>22.51</v>
      </c>
      <c r="C405" s="11">
        <f>Daily_Data!I405</f>
        <v>2.12</v>
      </c>
      <c r="D405" s="12">
        <f>if(sum(Daily_Data!K405:L405)&gt;0,1,0)</f>
        <v>0</v>
      </c>
    </row>
    <row r="406">
      <c r="A406" s="10">
        <f>Daily_Data!A406</f>
        <v>37092</v>
      </c>
      <c r="B406" s="11">
        <f>Daily_Data!J406</f>
        <v>22.34</v>
      </c>
      <c r="C406" s="11">
        <f>Daily_Data!I406</f>
        <v>2.09</v>
      </c>
      <c r="D406" s="12">
        <f>if(sum(Daily_Data!K406:L406)&gt;0,1,0)</f>
        <v>0</v>
      </c>
    </row>
    <row r="407">
      <c r="A407" s="10">
        <f>Daily_Data!A407</f>
        <v>37095</v>
      </c>
      <c r="B407" s="11">
        <f>Daily_Data!J407</f>
        <v>23.74</v>
      </c>
      <c r="C407" s="11">
        <f>Daily_Data!I407</f>
        <v>2.07</v>
      </c>
      <c r="D407" s="12">
        <f>if(sum(Daily_Data!K407:L407)&gt;0,1,0)</f>
        <v>0</v>
      </c>
    </row>
    <row r="408">
      <c r="A408" s="10">
        <f>Daily_Data!A408</f>
        <v>37096</v>
      </c>
      <c r="B408" s="11">
        <f>Daily_Data!J408</f>
        <v>25.24</v>
      </c>
      <c r="C408" s="11">
        <f>Daily_Data!I408</f>
        <v>2.08</v>
      </c>
      <c r="D408" s="12">
        <f>if(sum(Daily_Data!K408:L408)&gt;0,1,0)</f>
        <v>0</v>
      </c>
    </row>
    <row r="409">
      <c r="A409" s="10">
        <f>Daily_Data!A409</f>
        <v>37097</v>
      </c>
      <c r="B409" s="11">
        <f>Daily_Data!J409</f>
        <v>24</v>
      </c>
      <c r="C409" s="11">
        <f>Daily_Data!I409</f>
        <v>2.07</v>
      </c>
      <c r="D409" s="12">
        <f>if(sum(Daily_Data!K409:L409)&gt;0,1,0)</f>
        <v>0</v>
      </c>
    </row>
    <row r="410">
      <c r="A410" s="10">
        <f>Daily_Data!A410</f>
        <v>37098</v>
      </c>
      <c r="B410" s="11">
        <f>Daily_Data!J410</f>
        <v>23.01</v>
      </c>
      <c r="C410" s="11">
        <f>Daily_Data!I410</f>
        <v>2.22</v>
      </c>
      <c r="D410" s="12">
        <f>if(sum(Daily_Data!K410:L410)&gt;0,1,0)</f>
        <v>0</v>
      </c>
    </row>
    <row r="411">
      <c r="A411" s="10">
        <f>Daily_Data!A411</f>
        <v>37099</v>
      </c>
      <c r="B411" s="11">
        <f>Daily_Data!J411</f>
        <v>22</v>
      </c>
      <c r="C411" s="11">
        <f>Daily_Data!I411</f>
        <v>2.27</v>
      </c>
      <c r="D411" s="12">
        <f>if(sum(Daily_Data!K411:L411)&gt;0,1,0)</f>
        <v>0</v>
      </c>
    </row>
    <row r="412">
      <c r="A412" s="10">
        <f>Daily_Data!A412</f>
        <v>37102</v>
      </c>
      <c r="B412" s="11">
        <f>Daily_Data!J412</f>
        <v>22.69</v>
      </c>
      <c r="C412" s="11">
        <f>Daily_Data!I412</f>
        <v>2.24</v>
      </c>
      <c r="D412" s="12">
        <f>if(sum(Daily_Data!K412:L412)&gt;0,1,0)</f>
        <v>0</v>
      </c>
    </row>
    <row r="413">
      <c r="A413" s="10">
        <f>Daily_Data!A413</f>
        <v>37103</v>
      </c>
      <c r="B413" s="11">
        <f>Daily_Data!J413</f>
        <v>21.62</v>
      </c>
      <c r="C413" s="11">
        <f>Daily_Data!I413</f>
        <v>2.29</v>
      </c>
      <c r="D413" s="12">
        <f>if(sum(Daily_Data!K413:L413)&gt;0,1,0)</f>
        <v>0</v>
      </c>
    </row>
    <row r="414">
      <c r="A414" s="10">
        <f>Daily_Data!A414</f>
        <v>37104</v>
      </c>
      <c r="B414" s="11">
        <f>Daily_Data!J414</f>
        <v>20.56</v>
      </c>
      <c r="C414" s="11">
        <f>Daily_Data!I414</f>
        <v>2.23</v>
      </c>
      <c r="D414" s="12">
        <f>if(sum(Daily_Data!K414:L414)&gt;0,1,0)</f>
        <v>0</v>
      </c>
    </row>
    <row r="415">
      <c r="A415" s="10">
        <f>Daily_Data!A415</f>
        <v>37105</v>
      </c>
      <c r="B415" s="11">
        <f>Daily_Data!J415</f>
        <v>20.09</v>
      </c>
      <c r="C415" s="11">
        <f>Daily_Data!I415</f>
        <v>2.15</v>
      </c>
      <c r="D415" s="12">
        <f>if(sum(Daily_Data!K415:L415)&gt;0,1,0)</f>
        <v>0</v>
      </c>
    </row>
    <row r="416">
      <c r="A416" s="10">
        <f>Daily_Data!A416</f>
        <v>37106</v>
      </c>
      <c r="B416" s="11">
        <f>Daily_Data!J416</f>
        <v>19.89</v>
      </c>
      <c r="C416" s="11">
        <f>Daily_Data!I416</f>
        <v>2.14</v>
      </c>
      <c r="D416" s="12">
        <f>if(sum(Daily_Data!K416:L416)&gt;0,1,0)</f>
        <v>1</v>
      </c>
    </row>
    <row r="417">
      <c r="A417" s="10">
        <f>Daily_Data!A417</f>
        <v>37109</v>
      </c>
      <c r="B417" s="11">
        <f>Daily_Data!J417</f>
        <v>21.89</v>
      </c>
      <c r="C417" s="11">
        <f>Daily_Data!I417</f>
        <v>2.15</v>
      </c>
      <c r="D417" s="12">
        <f>if(sum(Daily_Data!K417:L417)&gt;0,1,0)</f>
        <v>0</v>
      </c>
    </row>
    <row r="418">
      <c r="A418" s="10">
        <f>Daily_Data!A418</f>
        <v>37110</v>
      </c>
      <c r="B418" s="11">
        <f>Daily_Data!J418</f>
        <v>21.01</v>
      </c>
      <c r="C418" s="11">
        <f>Daily_Data!I418</f>
        <v>2.11</v>
      </c>
      <c r="D418" s="12">
        <f>if(sum(Daily_Data!K418:L418)&gt;0,1,0)</f>
        <v>0</v>
      </c>
    </row>
    <row r="419">
      <c r="A419" s="10">
        <f>Daily_Data!A419</f>
        <v>37111</v>
      </c>
      <c r="B419" s="11">
        <f>Daily_Data!J419</f>
        <v>22.32</v>
      </c>
      <c r="C419" s="11">
        <f>Daily_Data!I419</f>
        <v>2.24</v>
      </c>
      <c r="D419" s="12">
        <f>if(sum(Daily_Data!K419:L419)&gt;0,1,0)</f>
        <v>0</v>
      </c>
    </row>
    <row r="420">
      <c r="A420" s="10">
        <f>Daily_Data!A420</f>
        <v>37112</v>
      </c>
      <c r="B420" s="11">
        <f>Daily_Data!J420</f>
        <v>21.75</v>
      </c>
      <c r="C420" s="11">
        <f>Daily_Data!I420</f>
        <v>2.23</v>
      </c>
      <c r="D420" s="12">
        <f>if(sum(Daily_Data!K420:L420)&gt;0,1,0)</f>
        <v>0</v>
      </c>
    </row>
    <row r="421">
      <c r="A421" s="10">
        <f>Daily_Data!A421</f>
        <v>37113</v>
      </c>
      <c r="B421" s="11">
        <f>Daily_Data!J421</f>
        <v>20.55</v>
      </c>
      <c r="C421" s="11">
        <f>Daily_Data!I421</f>
        <v>2.18</v>
      </c>
      <c r="D421" s="12">
        <f>if(sum(Daily_Data!K421:L421)&gt;0,1,0)</f>
        <v>0</v>
      </c>
    </row>
    <row r="422">
      <c r="A422" s="10">
        <f>Daily_Data!A422</f>
        <v>37116</v>
      </c>
      <c r="B422" s="11">
        <f>Daily_Data!J422</f>
        <v>20.42</v>
      </c>
      <c r="C422" s="11">
        <f>Daily_Data!I422</f>
        <v>2.25</v>
      </c>
      <c r="D422" s="12">
        <f>if(sum(Daily_Data!K422:L422)&gt;0,1,0)</f>
        <v>0</v>
      </c>
    </row>
    <row r="423">
      <c r="A423" s="10">
        <f>Daily_Data!A423</f>
        <v>37117</v>
      </c>
      <c r="B423" s="11">
        <f>Daily_Data!J423</f>
        <v>20.48</v>
      </c>
      <c r="C423" s="11">
        <f>Daily_Data!I423</f>
        <v>2.21</v>
      </c>
      <c r="D423" s="12">
        <f>if(sum(Daily_Data!K423:L423)&gt;0,1,0)</f>
        <v>0</v>
      </c>
    </row>
    <row r="424">
      <c r="A424" s="10">
        <f>Daily_Data!A424</f>
        <v>37118</v>
      </c>
      <c r="B424" s="11">
        <f>Daily_Data!J424</f>
        <v>20.91</v>
      </c>
      <c r="C424" s="11">
        <f>Daily_Data!I424</f>
        <v>2.29</v>
      </c>
      <c r="D424" s="12">
        <f>if(sum(Daily_Data!K424:L424)&gt;0,1,0)</f>
        <v>0</v>
      </c>
    </row>
    <row r="425">
      <c r="A425" s="10">
        <f>Daily_Data!A425</f>
        <v>37119</v>
      </c>
      <c r="B425" s="11">
        <f>Daily_Data!J425</f>
        <v>21.54</v>
      </c>
      <c r="C425" s="11">
        <f>Daily_Data!I425</f>
        <v>2.44</v>
      </c>
      <c r="D425" s="12">
        <f>if(sum(Daily_Data!K425:L425)&gt;0,1,0)</f>
        <v>1</v>
      </c>
    </row>
    <row r="426">
      <c r="A426" s="10">
        <f>Daily_Data!A426</f>
        <v>37120</v>
      </c>
      <c r="B426" s="11">
        <f>Daily_Data!J426</f>
        <v>23.84</v>
      </c>
      <c r="C426" s="11">
        <f>Daily_Data!I426</f>
        <v>2.45</v>
      </c>
      <c r="D426" s="12">
        <f>if(sum(Daily_Data!K426:L426)&gt;0,1,0)</f>
        <v>0</v>
      </c>
    </row>
    <row r="427">
      <c r="A427" s="10">
        <f>Daily_Data!A427</f>
        <v>37123</v>
      </c>
      <c r="B427" s="11">
        <f>Daily_Data!J427</f>
        <v>22.87</v>
      </c>
      <c r="C427" s="11">
        <f>Daily_Data!I427</f>
        <v>2.33</v>
      </c>
      <c r="D427" s="12">
        <f>if(sum(Daily_Data!K427:L427)&gt;0,1,0)</f>
        <v>0</v>
      </c>
    </row>
    <row r="428">
      <c r="A428" s="10">
        <f>Daily_Data!A428</f>
        <v>37124</v>
      </c>
      <c r="B428" s="11">
        <f>Daily_Data!J428</f>
        <v>24.4</v>
      </c>
      <c r="C428" s="11">
        <f>Daily_Data!I428</f>
        <v>2.43</v>
      </c>
      <c r="D428" s="12">
        <f>if(sum(Daily_Data!K428:L428)&gt;0,1,0)</f>
        <v>0</v>
      </c>
    </row>
    <row r="429">
      <c r="A429" s="10">
        <f>Daily_Data!A429</f>
        <v>37125</v>
      </c>
      <c r="B429" s="11">
        <f>Daily_Data!J429</f>
        <v>22.44</v>
      </c>
      <c r="C429" s="11">
        <f>Daily_Data!I429</f>
        <v>2.26</v>
      </c>
      <c r="D429" s="12">
        <f>if(sum(Daily_Data!K429:L429)&gt;0,1,0)</f>
        <v>0</v>
      </c>
    </row>
    <row r="430">
      <c r="A430" s="10">
        <f>Daily_Data!A430</f>
        <v>37126</v>
      </c>
      <c r="B430" s="11">
        <f>Daily_Data!J430</f>
        <v>22.23</v>
      </c>
      <c r="C430" s="11">
        <f>Daily_Data!I430</f>
        <v>2.36</v>
      </c>
      <c r="D430" s="12">
        <f>if(sum(Daily_Data!K430:L430)&gt;0,1,0)</f>
        <v>0</v>
      </c>
    </row>
    <row r="431">
      <c r="A431" s="10">
        <f>Daily_Data!A431</f>
        <v>37127</v>
      </c>
      <c r="B431" s="11">
        <f>Daily_Data!J431</f>
        <v>19.71</v>
      </c>
      <c r="C431" s="11">
        <f>Daily_Data!I431</f>
        <v>2.29</v>
      </c>
      <c r="D431" s="12">
        <f>if(sum(Daily_Data!K431:L431)&gt;0,1,0)</f>
        <v>0</v>
      </c>
    </row>
    <row r="432">
      <c r="A432" s="10">
        <f>Daily_Data!A432</f>
        <v>37130</v>
      </c>
      <c r="B432" s="11">
        <f>Daily_Data!J432</f>
        <v>20.56</v>
      </c>
      <c r="C432" s="11">
        <f>Daily_Data!I432</f>
        <v>2.24</v>
      </c>
      <c r="D432" s="12">
        <f>if(sum(Daily_Data!K432:L432)&gt;0,1,0)</f>
        <v>0</v>
      </c>
    </row>
    <row r="433">
      <c r="A433" s="10">
        <f>Daily_Data!A433</f>
        <v>37131</v>
      </c>
      <c r="B433" s="11">
        <f>Daily_Data!J433</f>
        <v>22</v>
      </c>
      <c r="C433" s="11">
        <f>Daily_Data!I433</f>
        <v>2.22</v>
      </c>
      <c r="D433" s="12">
        <f>if(sum(Daily_Data!K433:L433)&gt;0,1,0)</f>
        <v>0</v>
      </c>
    </row>
    <row r="434">
      <c r="A434" s="10">
        <f>Daily_Data!A434</f>
        <v>37132</v>
      </c>
      <c r="B434" s="11">
        <f>Daily_Data!J434</f>
        <v>23.03</v>
      </c>
      <c r="C434" s="11">
        <f>Daily_Data!I434</f>
        <v>2.2</v>
      </c>
      <c r="D434" s="12">
        <f>if(sum(Daily_Data!K434:L434)&gt;0,1,0)</f>
        <v>0</v>
      </c>
    </row>
    <row r="435">
      <c r="A435" s="10">
        <f>Daily_Data!A435</f>
        <v>37133</v>
      </c>
      <c r="B435" s="11">
        <f>Daily_Data!J435</f>
        <v>25.41</v>
      </c>
      <c r="C435" s="11">
        <f>Daily_Data!I435</f>
        <v>2.27</v>
      </c>
      <c r="D435" s="12">
        <f>if(sum(Daily_Data!K435:L435)&gt;0,1,0)</f>
        <v>0</v>
      </c>
    </row>
    <row r="436">
      <c r="A436" s="10">
        <f>Daily_Data!A436</f>
        <v>37134</v>
      </c>
      <c r="B436" s="11">
        <f>Daily_Data!J436</f>
        <v>24.92</v>
      </c>
      <c r="C436" s="11">
        <f>Daily_Data!I436</f>
        <v>2.22</v>
      </c>
      <c r="D436" s="12">
        <f>if(sum(Daily_Data!K436:L436)&gt;0,1,0)</f>
        <v>0</v>
      </c>
    </row>
    <row r="437">
      <c r="A437" s="10">
        <f>Daily_Data!A437</f>
        <v>37137</v>
      </c>
      <c r="B437" s="11" t="str">
        <f>Daily_Data!J437</f>
        <v/>
      </c>
      <c r="C437" s="11" t="str">
        <f>Daily_Data!I437</f>
        <v/>
      </c>
      <c r="D437" s="12">
        <f>if(sum(Daily_Data!K437:L437)&gt;0,1,0)</f>
        <v>0</v>
      </c>
    </row>
    <row r="438">
      <c r="A438" s="10">
        <f>Daily_Data!A438</f>
        <v>37138</v>
      </c>
      <c r="B438" s="11">
        <f>Daily_Data!J438</f>
        <v>25.85</v>
      </c>
      <c r="C438" s="11">
        <f>Daily_Data!I438</f>
        <v>2.05</v>
      </c>
      <c r="D438" s="12">
        <f>if(sum(Daily_Data!K438:L438)&gt;0,1,0)</f>
        <v>0</v>
      </c>
    </row>
    <row r="439">
      <c r="A439" s="10">
        <f>Daily_Data!A439</f>
        <v>37139</v>
      </c>
      <c r="B439" s="11">
        <f>Daily_Data!J439</f>
        <v>26.35</v>
      </c>
      <c r="C439" s="11">
        <f>Daily_Data!I439</f>
        <v>2.29</v>
      </c>
      <c r="D439" s="12">
        <f>if(sum(Daily_Data!K439:L439)&gt;0,1,0)</f>
        <v>0</v>
      </c>
    </row>
    <row r="440">
      <c r="A440" s="10">
        <f>Daily_Data!A440</f>
        <v>37140</v>
      </c>
      <c r="B440" s="11">
        <f>Daily_Data!J440</f>
        <v>28.61</v>
      </c>
      <c r="C440" s="11">
        <f>Daily_Data!I440</f>
        <v>2.46</v>
      </c>
      <c r="D440" s="12">
        <f>if(sum(Daily_Data!K440:L440)&gt;0,1,0)</f>
        <v>0</v>
      </c>
    </row>
    <row r="441">
      <c r="A441" s="10">
        <f>Daily_Data!A441</f>
        <v>37141</v>
      </c>
      <c r="B441" s="11">
        <f>Daily_Data!J441</f>
        <v>30.99</v>
      </c>
      <c r="C441" s="11">
        <f>Daily_Data!I441</f>
        <v>2.51</v>
      </c>
      <c r="D441" s="12">
        <f>if(sum(Daily_Data!K441:L441)&gt;0,1,0)</f>
        <v>1</v>
      </c>
    </row>
    <row r="442">
      <c r="A442" s="10">
        <f>Daily_Data!A442</f>
        <v>37144</v>
      </c>
      <c r="B442" s="11">
        <f>Daily_Data!J442</f>
        <v>31.84</v>
      </c>
      <c r="C442" s="11">
        <f>Daily_Data!I442</f>
        <v>2.36</v>
      </c>
      <c r="D442" s="12">
        <f>if(sum(Daily_Data!K442:L442)&gt;0,1,0)</f>
        <v>0</v>
      </c>
    </row>
    <row r="443">
      <c r="A443" s="10">
        <f>Daily_Data!A443</f>
        <v>37145</v>
      </c>
      <c r="B443" s="11" t="str">
        <f>Daily_Data!J443</f>
        <v/>
      </c>
      <c r="C443" s="11" t="str">
        <f>Daily_Data!I443</f>
        <v/>
      </c>
      <c r="D443" s="12">
        <f>if(sum(Daily_Data!K443:L443)&gt;0,1,0)</f>
        <v>0</v>
      </c>
    </row>
    <row r="444">
      <c r="A444" s="10">
        <f>Daily_Data!A444</f>
        <v>37146</v>
      </c>
      <c r="B444" s="11" t="str">
        <f>Daily_Data!J444</f>
        <v/>
      </c>
      <c r="C444" s="11" t="str">
        <f>Daily_Data!I444</f>
        <v/>
      </c>
      <c r="D444" s="12">
        <f>if(sum(Daily_Data!K444:L444)&gt;0,1,0)</f>
        <v>0</v>
      </c>
    </row>
    <row r="445">
      <c r="A445" s="10">
        <f>Daily_Data!A445</f>
        <v>37147</v>
      </c>
      <c r="B445" s="11" t="str">
        <f>Daily_Data!J445</f>
        <v/>
      </c>
      <c r="C445" s="11">
        <f>Daily_Data!I445</f>
        <v>2.52</v>
      </c>
      <c r="D445" s="12">
        <f>if(sum(Daily_Data!K445:L445)&gt;0,1,0)</f>
        <v>0</v>
      </c>
    </row>
    <row r="446">
      <c r="A446" s="10">
        <f>Daily_Data!A446</f>
        <v>37148</v>
      </c>
      <c r="B446" s="11" t="str">
        <f>Daily_Data!J446</f>
        <v/>
      </c>
      <c r="C446" s="11">
        <f>Daily_Data!I446</f>
        <v>2.7</v>
      </c>
      <c r="D446" s="12">
        <f>if(sum(Daily_Data!K446:L446)&gt;0,1,0)</f>
        <v>0</v>
      </c>
    </row>
    <row r="447">
      <c r="A447" s="10">
        <f>Daily_Data!A447</f>
        <v>37151</v>
      </c>
      <c r="B447" s="11">
        <f>Daily_Data!J447</f>
        <v>41.76</v>
      </c>
      <c r="C447" s="11">
        <f>Daily_Data!I447</f>
        <v>2.52</v>
      </c>
      <c r="D447" s="12">
        <f>if(sum(Daily_Data!K447:L447)&gt;0,1,0)</f>
        <v>0</v>
      </c>
    </row>
    <row r="448">
      <c r="A448" s="10">
        <f>Daily_Data!A448</f>
        <v>37152</v>
      </c>
      <c r="B448" s="11">
        <f>Daily_Data!J448</f>
        <v>38.87</v>
      </c>
      <c r="C448" s="11">
        <f>Daily_Data!I448</f>
        <v>2.55</v>
      </c>
      <c r="D448" s="12">
        <f>if(sum(Daily_Data!K448:L448)&gt;0,1,0)</f>
        <v>1</v>
      </c>
    </row>
    <row r="449">
      <c r="A449" s="10">
        <f>Daily_Data!A449</f>
        <v>37153</v>
      </c>
      <c r="B449" s="11">
        <f>Daily_Data!J449</f>
        <v>40.56</v>
      </c>
      <c r="C449" s="11">
        <f>Daily_Data!I449</f>
        <v>2.56</v>
      </c>
      <c r="D449" s="12">
        <f>if(sum(Daily_Data!K449:L449)&gt;0,1,0)</f>
        <v>0</v>
      </c>
    </row>
    <row r="450">
      <c r="A450" s="10">
        <f>Daily_Data!A450</f>
        <v>37154</v>
      </c>
      <c r="B450" s="11">
        <f>Daily_Data!J450</f>
        <v>43.74</v>
      </c>
      <c r="C450" s="11">
        <f>Daily_Data!I450</f>
        <v>2.43</v>
      </c>
      <c r="D450" s="12">
        <f>if(sum(Daily_Data!K450:L450)&gt;0,1,0)</f>
        <v>0</v>
      </c>
    </row>
    <row r="451">
      <c r="A451" s="10">
        <f>Daily_Data!A451</f>
        <v>37155</v>
      </c>
      <c r="B451" s="11">
        <f>Daily_Data!J451</f>
        <v>42.66</v>
      </c>
      <c r="C451" s="11">
        <f>Daily_Data!I451</f>
        <v>2.46</v>
      </c>
      <c r="D451" s="12">
        <f>if(sum(Daily_Data!K451:L451)&gt;0,1,0)</f>
        <v>0</v>
      </c>
    </row>
    <row r="452">
      <c r="A452" s="10">
        <f>Daily_Data!A452</f>
        <v>37158</v>
      </c>
      <c r="B452" s="11">
        <f>Daily_Data!J452</f>
        <v>37.75</v>
      </c>
      <c r="C452" s="11">
        <f>Daily_Data!I452</f>
        <v>2.38</v>
      </c>
      <c r="D452" s="12">
        <f>if(sum(Daily_Data!K452:L452)&gt;0,1,0)</f>
        <v>0</v>
      </c>
    </row>
    <row r="453">
      <c r="A453" s="10">
        <f>Daily_Data!A453</f>
        <v>37159</v>
      </c>
      <c r="B453" s="11">
        <f>Daily_Data!J453</f>
        <v>35.81</v>
      </c>
      <c r="C453" s="11">
        <f>Daily_Data!I453</f>
        <v>2.45</v>
      </c>
      <c r="D453" s="12">
        <f>if(sum(Daily_Data!K453:L453)&gt;0,1,0)</f>
        <v>0</v>
      </c>
    </row>
    <row r="454">
      <c r="A454" s="10">
        <f>Daily_Data!A454</f>
        <v>37160</v>
      </c>
      <c r="B454" s="11">
        <f>Daily_Data!J454</f>
        <v>35.26</v>
      </c>
      <c r="C454" s="11">
        <f>Daily_Data!I454</f>
        <v>2.47</v>
      </c>
      <c r="D454" s="12">
        <f>if(sum(Daily_Data!K454:L454)&gt;0,1,0)</f>
        <v>0</v>
      </c>
    </row>
    <row r="455">
      <c r="A455" s="10">
        <f>Daily_Data!A455</f>
        <v>37161</v>
      </c>
      <c r="B455" s="11">
        <f>Daily_Data!J455</f>
        <v>34</v>
      </c>
      <c r="C455" s="11">
        <f>Daily_Data!I455</f>
        <v>2.42</v>
      </c>
      <c r="D455" s="12">
        <f>if(sum(Daily_Data!K455:L455)&gt;0,1,0)</f>
        <v>0</v>
      </c>
    </row>
    <row r="456">
      <c r="A456" s="10">
        <f>Daily_Data!A456</f>
        <v>37162</v>
      </c>
      <c r="B456" s="11">
        <f>Daily_Data!J456</f>
        <v>31.93</v>
      </c>
      <c r="C456" s="11">
        <f>Daily_Data!I456</f>
        <v>2.31</v>
      </c>
      <c r="D456" s="12">
        <f>if(sum(Daily_Data!K456:L456)&gt;0,1,0)</f>
        <v>0</v>
      </c>
    </row>
    <row r="457">
      <c r="A457" s="10">
        <f>Daily_Data!A457</f>
        <v>37165</v>
      </c>
      <c r="B457" s="11">
        <f>Daily_Data!J457</f>
        <v>32.32</v>
      </c>
      <c r="C457" s="11">
        <f>Daily_Data!I457</f>
        <v>2.38</v>
      </c>
      <c r="D457" s="12">
        <f>if(sum(Daily_Data!K457:L457)&gt;0,1,0)</f>
        <v>0</v>
      </c>
    </row>
    <row r="458">
      <c r="A458" s="10">
        <f>Daily_Data!A458</f>
        <v>37166</v>
      </c>
      <c r="B458" s="11">
        <f>Daily_Data!J458</f>
        <v>31.18</v>
      </c>
      <c r="C458" s="11">
        <f>Daily_Data!I458</f>
        <v>2.37</v>
      </c>
      <c r="D458" s="12">
        <f>if(sum(Daily_Data!K458:L458)&gt;0,1,0)</f>
        <v>0</v>
      </c>
    </row>
    <row r="459">
      <c r="A459" s="10">
        <f>Daily_Data!A459</f>
        <v>37167</v>
      </c>
      <c r="B459" s="11">
        <f>Daily_Data!J459</f>
        <v>31.34</v>
      </c>
      <c r="C459" s="11">
        <f>Daily_Data!I459</f>
        <v>2.28</v>
      </c>
      <c r="D459" s="12">
        <f>if(sum(Daily_Data!K459:L459)&gt;0,1,0)</f>
        <v>0</v>
      </c>
    </row>
    <row r="460">
      <c r="A460" s="10">
        <f>Daily_Data!A460</f>
        <v>37168</v>
      </c>
      <c r="B460" s="11">
        <f>Daily_Data!J460</f>
        <v>31.97</v>
      </c>
      <c r="C460" s="11">
        <f>Daily_Data!I460</f>
        <v>2.35</v>
      </c>
      <c r="D460" s="12">
        <f>if(sum(Daily_Data!K460:L460)&gt;0,1,0)</f>
        <v>0</v>
      </c>
    </row>
    <row r="461">
      <c r="A461" s="10">
        <f>Daily_Data!A461</f>
        <v>37169</v>
      </c>
      <c r="B461" s="11">
        <f>Daily_Data!J461</f>
        <v>33.39</v>
      </c>
      <c r="C461" s="11">
        <f>Daily_Data!I461</f>
        <v>2.38</v>
      </c>
      <c r="D461" s="12">
        <f>if(sum(Daily_Data!K461:L461)&gt;0,1,0)</f>
        <v>1</v>
      </c>
    </row>
    <row r="462">
      <c r="A462" s="10">
        <f>Daily_Data!A462</f>
        <v>37172</v>
      </c>
      <c r="B462" s="11">
        <f>Daily_Data!J462</f>
        <v>35.12</v>
      </c>
      <c r="C462" s="11" t="str">
        <f>Daily_Data!I462</f>
        <v/>
      </c>
      <c r="D462" s="12">
        <f>if(sum(Daily_Data!K462:L462)&gt;0,1,0)</f>
        <v>0</v>
      </c>
    </row>
    <row r="463">
      <c r="A463" s="10">
        <f>Daily_Data!A463</f>
        <v>37173</v>
      </c>
      <c r="B463" s="11">
        <f>Daily_Data!J463</f>
        <v>34.83</v>
      </c>
      <c r="C463" s="11">
        <f>Daily_Data!I463</f>
        <v>2.22</v>
      </c>
      <c r="D463" s="12">
        <f>if(sum(Daily_Data!K463:L463)&gt;0,1,0)</f>
        <v>0</v>
      </c>
    </row>
    <row r="464">
      <c r="A464" s="10">
        <f>Daily_Data!A464</f>
        <v>37174</v>
      </c>
      <c r="B464" s="11">
        <f>Daily_Data!J464</f>
        <v>31.6</v>
      </c>
      <c r="C464" s="11">
        <f>Daily_Data!I464</f>
        <v>2.24</v>
      </c>
      <c r="D464" s="12">
        <f>if(sum(Daily_Data!K464:L464)&gt;0,1,0)</f>
        <v>0</v>
      </c>
    </row>
    <row r="465">
      <c r="A465" s="10">
        <f>Daily_Data!A465</f>
        <v>37175</v>
      </c>
      <c r="B465" s="11">
        <f>Daily_Data!J465</f>
        <v>31.5</v>
      </c>
      <c r="C465" s="11">
        <f>Daily_Data!I465</f>
        <v>2.07</v>
      </c>
      <c r="D465" s="12">
        <f>if(sum(Daily_Data!K465:L465)&gt;0,1,0)</f>
        <v>0</v>
      </c>
    </row>
    <row r="466">
      <c r="A466" s="10">
        <f>Daily_Data!A466</f>
        <v>37176</v>
      </c>
      <c r="B466" s="11">
        <f>Daily_Data!J466</f>
        <v>35.27</v>
      </c>
      <c r="C466" s="11">
        <f>Daily_Data!I466</f>
        <v>2.21</v>
      </c>
      <c r="D466" s="12">
        <f>if(sum(Daily_Data!K466:L466)&gt;0,1,0)</f>
        <v>0</v>
      </c>
    </row>
    <row r="467">
      <c r="A467" s="10">
        <f>Daily_Data!A467</f>
        <v>37179</v>
      </c>
      <c r="B467" s="11">
        <f>Daily_Data!J467</f>
        <v>35.31</v>
      </c>
      <c r="C467" s="11">
        <f>Daily_Data!I467</f>
        <v>2.17</v>
      </c>
      <c r="D467" s="12">
        <f>if(sum(Daily_Data!K467:L467)&gt;0,1,0)</f>
        <v>0</v>
      </c>
    </row>
    <row r="468">
      <c r="A468" s="10">
        <f>Daily_Data!A468</f>
        <v>37180</v>
      </c>
      <c r="B468" s="11">
        <f>Daily_Data!J468</f>
        <v>32.88</v>
      </c>
      <c r="C468" s="11">
        <f>Daily_Data!I468</f>
        <v>2.13</v>
      </c>
      <c r="D468" s="12">
        <f>if(sum(Daily_Data!K468:L468)&gt;0,1,0)</f>
        <v>0</v>
      </c>
    </row>
    <row r="469">
      <c r="A469" s="10">
        <f>Daily_Data!A469</f>
        <v>37181</v>
      </c>
      <c r="B469" s="11">
        <f>Daily_Data!J469</f>
        <v>35.08</v>
      </c>
      <c r="C469" s="11">
        <f>Daily_Data!I469</f>
        <v>2.13</v>
      </c>
      <c r="D469" s="12">
        <f>if(sum(Daily_Data!K469:L469)&gt;0,1,0)</f>
        <v>0</v>
      </c>
    </row>
    <row r="470">
      <c r="A470" s="10">
        <f>Daily_Data!A470</f>
        <v>37182</v>
      </c>
      <c r="B470" s="11">
        <f>Daily_Data!J470</f>
        <v>34.95</v>
      </c>
      <c r="C470" s="11">
        <f>Daily_Data!I470</f>
        <v>2.12</v>
      </c>
      <c r="D470" s="12">
        <f>if(sum(Daily_Data!K470:L470)&gt;0,1,0)</f>
        <v>0</v>
      </c>
    </row>
    <row r="471">
      <c r="A471" s="10">
        <f>Daily_Data!A471</f>
        <v>37183</v>
      </c>
      <c r="B471" s="11">
        <f>Daily_Data!J471</f>
        <v>34.11</v>
      </c>
      <c r="C471" s="11">
        <f>Daily_Data!I471</f>
        <v>2.08</v>
      </c>
      <c r="D471" s="12">
        <f>if(sum(Daily_Data!K471:L471)&gt;0,1,0)</f>
        <v>1</v>
      </c>
    </row>
    <row r="472">
      <c r="A472" s="10">
        <f>Daily_Data!A472</f>
        <v>37186</v>
      </c>
      <c r="B472" s="11">
        <f>Daily_Data!J472</f>
        <v>32.25</v>
      </c>
      <c r="C472" s="11" t="str">
        <f>Daily_Data!I472</f>
        <v/>
      </c>
      <c r="D472" s="12">
        <f>if(sum(Daily_Data!K472:L472)&gt;0,1,0)</f>
        <v>0</v>
      </c>
    </row>
    <row r="473">
      <c r="A473" s="10">
        <f>Daily_Data!A473</f>
        <v>37187</v>
      </c>
      <c r="B473" s="11">
        <f>Daily_Data!J473</f>
        <v>32</v>
      </c>
      <c r="C473" s="11">
        <f>Daily_Data!I473</f>
        <v>2.06</v>
      </c>
      <c r="D473" s="12">
        <f>if(sum(Daily_Data!K473:L473)&gt;0,1,0)</f>
        <v>0</v>
      </c>
    </row>
    <row r="474">
      <c r="A474" s="10">
        <f>Daily_Data!A474</f>
        <v>37188</v>
      </c>
      <c r="B474" s="11">
        <f>Daily_Data!J474</f>
        <v>30.95</v>
      </c>
      <c r="C474" s="11">
        <f>Daily_Data!I474</f>
        <v>2.18</v>
      </c>
      <c r="D474" s="12">
        <f>if(sum(Daily_Data!K474:L474)&gt;0,1,0)</f>
        <v>0</v>
      </c>
    </row>
    <row r="475">
      <c r="A475" s="10">
        <f>Daily_Data!A475</f>
        <v>37189</v>
      </c>
      <c r="B475" s="11">
        <f>Daily_Data!J475</f>
        <v>29.46</v>
      </c>
      <c r="C475" s="11">
        <f>Daily_Data!I475</f>
        <v>2.13</v>
      </c>
      <c r="D475" s="12">
        <f>if(sum(Daily_Data!K475:L475)&gt;0,1,0)</f>
        <v>0</v>
      </c>
    </row>
    <row r="476">
      <c r="A476" s="10">
        <f>Daily_Data!A476</f>
        <v>37190</v>
      </c>
      <c r="B476" s="11">
        <f>Daily_Data!J476</f>
        <v>28.42</v>
      </c>
      <c r="C476" s="11">
        <f>Daily_Data!I476</f>
        <v>2.08</v>
      </c>
      <c r="D476" s="12">
        <f>if(sum(Daily_Data!K476:L476)&gt;0,1,0)</f>
        <v>0</v>
      </c>
    </row>
    <row r="477">
      <c r="A477" s="10">
        <f>Daily_Data!A477</f>
        <v>37193</v>
      </c>
      <c r="B477" s="11">
        <f>Daily_Data!J477</f>
        <v>31.64</v>
      </c>
      <c r="C477" s="11">
        <f>Daily_Data!I477</f>
        <v>2.2</v>
      </c>
      <c r="D477" s="12">
        <f>if(sum(Daily_Data!K477:L477)&gt;0,1,0)</f>
        <v>0</v>
      </c>
    </row>
    <row r="478">
      <c r="A478" s="10">
        <f>Daily_Data!A478</f>
        <v>37194</v>
      </c>
      <c r="B478" s="11">
        <f>Daily_Data!J478</f>
        <v>33.46</v>
      </c>
      <c r="C478" s="11">
        <f>Daily_Data!I478</f>
        <v>2.24</v>
      </c>
      <c r="D478" s="12">
        <f>if(sum(Daily_Data!K478:L478)&gt;0,1,0)</f>
        <v>0</v>
      </c>
    </row>
    <row r="479">
      <c r="A479" s="10">
        <f>Daily_Data!A479</f>
        <v>37195</v>
      </c>
      <c r="B479" s="11">
        <f>Daily_Data!J479</f>
        <v>33.56</v>
      </c>
      <c r="C479" s="11">
        <f>Daily_Data!I479</f>
        <v>2.25</v>
      </c>
      <c r="D479" s="12">
        <f>if(sum(Daily_Data!K479:L479)&gt;0,1,0)</f>
        <v>0</v>
      </c>
    </row>
    <row r="480">
      <c r="A480" s="10">
        <f>Daily_Data!A480</f>
        <v>37196</v>
      </c>
      <c r="B480" s="11">
        <f>Daily_Data!J480</f>
        <v>32.31</v>
      </c>
      <c r="C480" s="11">
        <f>Daily_Data!I480</f>
        <v>2.21</v>
      </c>
      <c r="D480" s="12">
        <f>if(sum(Daily_Data!K480:L480)&gt;0,1,0)</f>
        <v>0</v>
      </c>
    </row>
    <row r="481">
      <c r="A481" s="10">
        <f>Daily_Data!A481</f>
        <v>37197</v>
      </c>
      <c r="B481" s="11">
        <f>Daily_Data!J481</f>
        <v>30.71</v>
      </c>
      <c r="C481" s="11">
        <f>Daily_Data!I481</f>
        <v>2.34</v>
      </c>
      <c r="D481" s="12">
        <f>if(sum(Daily_Data!K481:L481)&gt;0,1,0)</f>
        <v>1</v>
      </c>
    </row>
    <row r="482">
      <c r="A482" s="10">
        <f>Daily_Data!A482</f>
        <v>37200</v>
      </c>
      <c r="B482" s="11">
        <f>Daily_Data!J482</f>
        <v>30.5</v>
      </c>
      <c r="C482" s="11">
        <f>Daily_Data!I482</f>
        <v>2.32</v>
      </c>
      <c r="D482" s="12">
        <f>if(sum(Daily_Data!K482:L482)&gt;0,1,0)</f>
        <v>0</v>
      </c>
    </row>
    <row r="483">
      <c r="A483" s="10">
        <f>Daily_Data!A483</f>
        <v>37201</v>
      </c>
      <c r="B483" s="11">
        <f>Daily_Data!J483</f>
        <v>28.8</v>
      </c>
      <c r="C483" s="11">
        <f>Daily_Data!I483</f>
        <v>2.35</v>
      </c>
      <c r="D483" s="12">
        <f>if(sum(Daily_Data!K483:L483)&gt;0,1,0)</f>
        <v>0</v>
      </c>
    </row>
    <row r="484">
      <c r="A484" s="10">
        <f>Daily_Data!A484</f>
        <v>37202</v>
      </c>
      <c r="B484" s="11">
        <f>Daily_Data!J484</f>
        <v>29.13</v>
      </c>
      <c r="C484" s="11">
        <f>Daily_Data!I484</f>
        <v>2.34</v>
      </c>
      <c r="D484" s="12">
        <f>if(sum(Daily_Data!K484:L484)&gt;0,1,0)</f>
        <v>0</v>
      </c>
    </row>
    <row r="485">
      <c r="A485" s="10">
        <f>Daily_Data!A485</f>
        <v>37203</v>
      </c>
      <c r="B485" s="11">
        <f>Daily_Data!J485</f>
        <v>28.62</v>
      </c>
      <c r="C485" s="11">
        <f>Daily_Data!I485</f>
        <v>2.18</v>
      </c>
      <c r="D485" s="12">
        <f>if(sum(Daily_Data!K485:L485)&gt;0,1,0)</f>
        <v>0</v>
      </c>
    </row>
    <row r="486">
      <c r="A486" s="10">
        <f>Daily_Data!A486</f>
        <v>37204</v>
      </c>
      <c r="B486" s="11">
        <f>Daily_Data!J486</f>
        <v>27.44</v>
      </c>
      <c r="C486" s="11">
        <f>Daily_Data!I486</f>
        <v>2.24</v>
      </c>
      <c r="D486" s="12">
        <f>if(sum(Daily_Data!K486:L486)&gt;0,1,0)</f>
        <v>0</v>
      </c>
    </row>
    <row r="487">
      <c r="A487" s="10">
        <f>Daily_Data!A487</f>
        <v>37207</v>
      </c>
      <c r="B487" s="11">
        <f>Daily_Data!J487</f>
        <v>29.35</v>
      </c>
      <c r="C487" s="11" t="str">
        <f>Daily_Data!I487</f>
        <v/>
      </c>
      <c r="D487" s="12">
        <f>if(sum(Daily_Data!K487:L487)&gt;0,1,0)</f>
        <v>0</v>
      </c>
    </row>
    <row r="488">
      <c r="A488" s="10">
        <f>Daily_Data!A488</f>
        <v>37208</v>
      </c>
      <c r="B488" s="11">
        <f>Daily_Data!J488</f>
        <v>26.47</v>
      </c>
      <c r="C488" s="11">
        <f>Daily_Data!I488</f>
        <v>2.18</v>
      </c>
      <c r="D488" s="12">
        <f>if(sum(Daily_Data!K488:L488)&gt;0,1,0)</f>
        <v>0</v>
      </c>
    </row>
    <row r="489">
      <c r="A489" s="10">
        <f>Daily_Data!A489</f>
        <v>37209</v>
      </c>
      <c r="B489" s="11">
        <f>Daily_Data!J489</f>
        <v>26.56</v>
      </c>
      <c r="C489" s="11">
        <f>Daily_Data!I489</f>
        <v>2.02</v>
      </c>
      <c r="D489" s="12">
        <f>if(sum(Daily_Data!K489:L489)&gt;0,1,0)</f>
        <v>0</v>
      </c>
    </row>
    <row r="490">
      <c r="A490" s="10">
        <f>Daily_Data!A490</f>
        <v>37210</v>
      </c>
      <c r="B490" s="11">
        <f>Daily_Data!J490</f>
        <v>25.56</v>
      </c>
      <c r="C490" s="11">
        <f>Daily_Data!I490</f>
        <v>1.85</v>
      </c>
      <c r="D490" s="12">
        <f>if(sum(Daily_Data!K490:L490)&gt;0,1,0)</f>
        <v>0</v>
      </c>
    </row>
    <row r="491">
      <c r="A491" s="10">
        <f>Daily_Data!A491</f>
        <v>37211</v>
      </c>
      <c r="B491" s="11">
        <f>Daily_Data!J491</f>
        <v>25.07</v>
      </c>
      <c r="C491" s="11">
        <f>Daily_Data!I491</f>
        <v>1.83</v>
      </c>
      <c r="D491" s="12">
        <f>if(sum(Daily_Data!K491:L491)&gt;0,1,0)</f>
        <v>1</v>
      </c>
    </row>
    <row r="492">
      <c r="A492" s="10">
        <f>Daily_Data!A492</f>
        <v>37214</v>
      </c>
      <c r="B492" s="11">
        <f>Daily_Data!J492</f>
        <v>24.46</v>
      </c>
      <c r="C492" s="11">
        <f>Daily_Data!I492</f>
        <v>2.01</v>
      </c>
      <c r="D492" s="12">
        <f>if(sum(Daily_Data!K492:L492)&gt;0,1,0)</f>
        <v>0</v>
      </c>
    </row>
    <row r="493">
      <c r="A493" s="10">
        <f>Daily_Data!A493</f>
        <v>37215</v>
      </c>
      <c r="B493" s="11">
        <f>Daily_Data!J493</f>
        <v>24.12</v>
      </c>
      <c r="C493" s="11">
        <f>Daily_Data!I493</f>
        <v>1.87</v>
      </c>
      <c r="D493" s="12">
        <f>if(sum(Daily_Data!K493:L493)&gt;0,1,0)</f>
        <v>0</v>
      </c>
    </row>
    <row r="494">
      <c r="A494" s="10">
        <f>Daily_Data!A494</f>
        <v>37216</v>
      </c>
      <c r="B494" s="11">
        <f>Daily_Data!J494</f>
        <v>24.19</v>
      </c>
      <c r="C494" s="11">
        <f>Daily_Data!I494</f>
        <v>1.76</v>
      </c>
      <c r="D494" s="12">
        <f>if(sum(Daily_Data!K494:L494)&gt;0,1,0)</f>
        <v>0</v>
      </c>
    </row>
    <row r="495">
      <c r="A495" s="10">
        <f>Daily_Data!A495</f>
        <v>37217</v>
      </c>
      <c r="B495" s="11" t="str">
        <f>Daily_Data!J495</f>
        <v/>
      </c>
      <c r="C495" s="11" t="str">
        <f>Daily_Data!I495</f>
        <v/>
      </c>
      <c r="D495" s="12">
        <f>if(sum(Daily_Data!K495:L495)&gt;0,1,0)</f>
        <v>0</v>
      </c>
    </row>
    <row r="496">
      <c r="A496" s="10">
        <f>Daily_Data!A496</f>
        <v>37218</v>
      </c>
      <c r="B496" s="11">
        <f>Daily_Data!J496</f>
        <v>23.25</v>
      </c>
      <c r="C496" s="11">
        <f>Daily_Data!I496</f>
        <v>1.71</v>
      </c>
      <c r="D496" s="12">
        <f>if(sum(Daily_Data!K496:L496)&gt;0,1,0)</f>
        <v>0</v>
      </c>
    </row>
    <row r="497">
      <c r="A497" s="10">
        <f>Daily_Data!A497</f>
        <v>37221</v>
      </c>
      <c r="B497" s="11">
        <f>Daily_Data!J497</f>
        <v>23.79</v>
      </c>
      <c r="C497" s="11">
        <f>Daily_Data!I497</f>
        <v>1.73</v>
      </c>
      <c r="D497" s="12">
        <f>if(sum(Daily_Data!K497:L497)&gt;0,1,0)</f>
        <v>0</v>
      </c>
    </row>
    <row r="498">
      <c r="A498" s="10">
        <f>Daily_Data!A498</f>
        <v>37222</v>
      </c>
      <c r="B498" s="11">
        <f>Daily_Data!J498</f>
        <v>24</v>
      </c>
      <c r="C498" s="11">
        <f>Daily_Data!I498</f>
        <v>1.83</v>
      </c>
      <c r="D498" s="12">
        <f>if(sum(Daily_Data!K498:L498)&gt;0,1,0)</f>
        <v>0</v>
      </c>
    </row>
    <row r="499">
      <c r="A499" s="10">
        <f>Daily_Data!A499</f>
        <v>37223</v>
      </c>
      <c r="B499" s="11">
        <f>Daily_Data!J499</f>
        <v>25.9</v>
      </c>
      <c r="C499" s="11">
        <f>Daily_Data!I499</f>
        <v>1.7</v>
      </c>
      <c r="D499" s="12">
        <f>if(sum(Daily_Data!K499:L499)&gt;0,1,0)</f>
        <v>0</v>
      </c>
    </row>
    <row r="500">
      <c r="A500" s="10">
        <f>Daily_Data!A500</f>
        <v>37224</v>
      </c>
      <c r="B500" s="11">
        <f>Daily_Data!J500</f>
        <v>25.18</v>
      </c>
      <c r="C500" s="11">
        <f>Daily_Data!I500</f>
        <v>1.86</v>
      </c>
      <c r="D500" s="12">
        <f>if(sum(Daily_Data!K500:L500)&gt;0,1,0)</f>
        <v>0</v>
      </c>
    </row>
    <row r="501">
      <c r="A501" s="10">
        <f>Daily_Data!A501</f>
        <v>37225</v>
      </c>
      <c r="B501" s="11">
        <f>Daily_Data!J501</f>
        <v>23.84</v>
      </c>
      <c r="C501" s="11">
        <f>Daily_Data!I501</f>
        <v>1.78</v>
      </c>
      <c r="D501" s="12">
        <f>if(sum(Daily_Data!K501:L501)&gt;0,1,0)</f>
        <v>0</v>
      </c>
    </row>
    <row r="502">
      <c r="A502" s="10">
        <f>Daily_Data!A502</f>
        <v>37228</v>
      </c>
      <c r="B502" s="11">
        <f>Daily_Data!J502</f>
        <v>25.77</v>
      </c>
      <c r="C502" s="11">
        <f>Daily_Data!I502</f>
        <v>1.77</v>
      </c>
      <c r="D502" s="12">
        <f>if(sum(Daily_Data!K502:L502)&gt;0,1,0)</f>
        <v>0</v>
      </c>
    </row>
    <row r="503">
      <c r="A503" s="10">
        <f>Daily_Data!A503</f>
        <v>37229</v>
      </c>
      <c r="B503" s="11">
        <f>Daily_Data!J503</f>
        <v>24.08</v>
      </c>
      <c r="C503" s="11">
        <f>Daily_Data!I503</f>
        <v>1.77</v>
      </c>
      <c r="D503" s="12">
        <f>if(sum(Daily_Data!K503:L503)&gt;0,1,0)</f>
        <v>0</v>
      </c>
    </row>
    <row r="504">
      <c r="A504" s="10">
        <f>Daily_Data!A504</f>
        <v>37230</v>
      </c>
      <c r="B504" s="11">
        <f>Daily_Data!J504</f>
        <v>23.02</v>
      </c>
      <c r="C504" s="11">
        <f>Daily_Data!I504</f>
        <v>1.59</v>
      </c>
      <c r="D504" s="12">
        <f>if(sum(Daily_Data!K504:L504)&gt;0,1,0)</f>
        <v>0</v>
      </c>
    </row>
    <row r="505">
      <c r="A505" s="10">
        <f>Daily_Data!A505</f>
        <v>37231</v>
      </c>
      <c r="B505" s="11">
        <f>Daily_Data!J505</f>
        <v>23.71</v>
      </c>
      <c r="C505" s="11">
        <f>Daily_Data!I505</f>
        <v>1.65</v>
      </c>
      <c r="D505" s="12">
        <f>if(sum(Daily_Data!K505:L505)&gt;0,1,0)</f>
        <v>0</v>
      </c>
    </row>
    <row r="506">
      <c r="A506" s="10">
        <f>Daily_Data!A506</f>
        <v>37232</v>
      </c>
      <c r="B506" s="11">
        <f>Daily_Data!J506</f>
        <v>23.49</v>
      </c>
      <c r="C506" s="11">
        <f>Daily_Data!I506</f>
        <v>1.61</v>
      </c>
      <c r="D506" s="12">
        <f>if(sum(Daily_Data!K506:L506)&gt;0,1,0)</f>
        <v>1</v>
      </c>
    </row>
    <row r="507">
      <c r="A507" s="10">
        <f>Daily_Data!A507</f>
        <v>37235</v>
      </c>
      <c r="B507" s="11">
        <f>Daily_Data!J507</f>
        <v>25.62</v>
      </c>
      <c r="C507" s="11">
        <f>Daily_Data!I507</f>
        <v>1.65</v>
      </c>
      <c r="D507" s="12">
        <f>if(sum(Daily_Data!K507:L507)&gt;0,1,0)</f>
        <v>0</v>
      </c>
    </row>
    <row r="508">
      <c r="A508" s="10">
        <f>Daily_Data!A508</f>
        <v>37236</v>
      </c>
      <c r="B508" s="11">
        <f>Daily_Data!J508</f>
        <v>25.3</v>
      </c>
      <c r="C508" s="11">
        <f>Daily_Data!I508</f>
        <v>1.64</v>
      </c>
      <c r="D508" s="12">
        <f>if(sum(Daily_Data!K508:L508)&gt;0,1,0)</f>
        <v>0</v>
      </c>
    </row>
    <row r="509">
      <c r="A509" s="10">
        <f>Daily_Data!A509</f>
        <v>37237</v>
      </c>
      <c r="B509" s="11">
        <f>Daily_Data!J509</f>
        <v>24.87</v>
      </c>
      <c r="C509" s="11">
        <f>Daily_Data!I509</f>
        <v>1.67</v>
      </c>
      <c r="D509" s="12">
        <f>if(sum(Daily_Data!K509:L509)&gt;0,1,0)</f>
        <v>0</v>
      </c>
    </row>
    <row r="510">
      <c r="A510" s="10">
        <f>Daily_Data!A510</f>
        <v>37238</v>
      </c>
      <c r="B510" s="11">
        <f>Daily_Data!J510</f>
        <v>25.91</v>
      </c>
      <c r="C510" s="11">
        <f>Daily_Data!I510</f>
        <v>1.53</v>
      </c>
      <c r="D510" s="12">
        <f>if(sum(Daily_Data!K510:L510)&gt;0,1,0)</f>
        <v>0</v>
      </c>
    </row>
    <row r="511">
      <c r="A511" s="10">
        <f>Daily_Data!A511</f>
        <v>37239</v>
      </c>
      <c r="B511" s="11">
        <f>Daily_Data!J511</f>
        <v>24.63</v>
      </c>
      <c r="C511" s="11">
        <f>Daily_Data!I511</f>
        <v>1.41</v>
      </c>
      <c r="D511" s="12">
        <f>if(sum(Daily_Data!K511:L511)&gt;0,1,0)</f>
        <v>1</v>
      </c>
    </row>
    <row r="512">
      <c r="A512" s="10">
        <f>Daily_Data!A512</f>
        <v>37242</v>
      </c>
      <c r="B512" s="11">
        <f>Daily_Data!J512</f>
        <v>24.26</v>
      </c>
      <c r="C512" s="11">
        <f>Daily_Data!I512</f>
        <v>1.44</v>
      </c>
      <c r="D512" s="12">
        <f>if(sum(Daily_Data!K512:L512)&gt;0,1,0)</f>
        <v>0</v>
      </c>
    </row>
    <row r="513">
      <c r="A513" s="10">
        <f>Daily_Data!A513</f>
        <v>37243</v>
      </c>
      <c r="B513" s="11">
        <f>Daily_Data!J513</f>
        <v>23.29</v>
      </c>
      <c r="C513" s="11">
        <f>Daily_Data!I513</f>
        <v>1.49</v>
      </c>
      <c r="D513" s="12">
        <f>if(sum(Daily_Data!K513:L513)&gt;0,1,0)</f>
        <v>0</v>
      </c>
    </row>
    <row r="514">
      <c r="A514" s="10">
        <f>Daily_Data!A514</f>
        <v>37244</v>
      </c>
      <c r="B514" s="11">
        <f>Daily_Data!J514</f>
        <v>22.58</v>
      </c>
      <c r="C514" s="11">
        <f>Daily_Data!I514</f>
        <v>1.45</v>
      </c>
      <c r="D514" s="12">
        <f>if(sum(Daily_Data!K514:L514)&gt;0,1,0)</f>
        <v>0</v>
      </c>
    </row>
    <row r="515">
      <c r="A515" s="10">
        <f>Daily_Data!A515</f>
        <v>37245</v>
      </c>
      <c r="B515" s="11">
        <f>Daily_Data!J515</f>
        <v>23.67</v>
      </c>
      <c r="C515" s="11">
        <f>Daily_Data!I515</f>
        <v>1.38</v>
      </c>
      <c r="D515" s="12">
        <f>if(sum(Daily_Data!K515:L515)&gt;0,1,0)</f>
        <v>0</v>
      </c>
    </row>
    <row r="516">
      <c r="A516" s="10">
        <f>Daily_Data!A516</f>
        <v>37246</v>
      </c>
      <c r="B516" s="11">
        <f>Daily_Data!J516</f>
        <v>22.5</v>
      </c>
      <c r="C516" s="11">
        <f>Daily_Data!I516</f>
        <v>1.4</v>
      </c>
      <c r="D516" s="12">
        <f>if(sum(Daily_Data!K516:L516)&gt;0,1,0)</f>
        <v>0</v>
      </c>
    </row>
    <row r="517">
      <c r="A517" s="10">
        <f>Daily_Data!A517</f>
        <v>37249</v>
      </c>
      <c r="B517" s="11">
        <f>Daily_Data!J517</f>
        <v>22.62</v>
      </c>
      <c r="C517" s="11">
        <f>Daily_Data!I517</f>
        <v>1.38</v>
      </c>
      <c r="D517" s="12">
        <f>if(sum(Daily_Data!K517:L517)&gt;0,1,0)</f>
        <v>0</v>
      </c>
    </row>
    <row r="518">
      <c r="A518" s="10">
        <f>Daily_Data!A518</f>
        <v>37250</v>
      </c>
      <c r="B518" s="11" t="str">
        <f>Daily_Data!J518</f>
        <v/>
      </c>
      <c r="C518" s="11" t="str">
        <f>Daily_Data!I518</f>
        <v/>
      </c>
      <c r="D518" s="12">
        <f>if(sum(Daily_Data!K518:L518)&gt;0,1,0)</f>
        <v>0</v>
      </c>
    </row>
    <row r="519">
      <c r="A519" s="10">
        <f>Daily_Data!A519</f>
        <v>37251</v>
      </c>
      <c r="B519" s="11">
        <f>Daily_Data!J519</f>
        <v>22.29</v>
      </c>
      <c r="C519" s="11" t="str">
        <f>Daily_Data!I519</f>
        <v/>
      </c>
      <c r="D519" s="12">
        <f>if(sum(Daily_Data!K519:L519)&gt;0,1,0)</f>
        <v>0</v>
      </c>
    </row>
    <row r="520">
      <c r="A520" s="10">
        <f>Daily_Data!A520</f>
        <v>37252</v>
      </c>
      <c r="B520" s="11">
        <f>Daily_Data!J520</f>
        <v>21.59</v>
      </c>
      <c r="C520" s="11">
        <f>Daily_Data!I520</f>
        <v>1.49</v>
      </c>
      <c r="D520" s="12">
        <f>if(sum(Daily_Data!K520:L520)&gt;0,1,0)</f>
        <v>0</v>
      </c>
    </row>
    <row r="521">
      <c r="A521" s="10">
        <f>Daily_Data!A521</f>
        <v>37253</v>
      </c>
      <c r="B521" s="11">
        <f>Daily_Data!J521</f>
        <v>21.4</v>
      </c>
      <c r="C521" s="11">
        <f>Daily_Data!I521</f>
        <v>1.45</v>
      </c>
      <c r="D521" s="12">
        <f>if(sum(Daily_Data!K521:L521)&gt;0,1,0)</f>
        <v>0</v>
      </c>
    </row>
    <row r="522">
      <c r="A522" s="10">
        <f>Daily_Data!A522</f>
        <v>37256</v>
      </c>
      <c r="B522" s="11">
        <f>Daily_Data!J522</f>
        <v>23.8</v>
      </c>
      <c r="C522" s="11">
        <f>Daily_Data!I522</f>
        <v>1.59</v>
      </c>
      <c r="D522" s="12">
        <f>if(sum(Daily_Data!K522:L522)&gt;0,1,0)</f>
        <v>0</v>
      </c>
    </row>
    <row r="523">
      <c r="A523" s="10">
        <f>Daily_Data!A523</f>
        <v>37257</v>
      </c>
      <c r="B523" s="11" t="str">
        <f>Daily_Data!J523</f>
        <v/>
      </c>
      <c r="C523" s="11" t="str">
        <f>Daily_Data!I523</f>
        <v/>
      </c>
      <c r="D523" s="12">
        <f>if(sum(Daily_Data!K523:L523)&gt;0,1,0)</f>
        <v>0</v>
      </c>
    </row>
    <row r="524">
      <c r="A524" s="10">
        <f>Daily_Data!A524</f>
        <v>37258</v>
      </c>
      <c r="B524" s="11">
        <f>Daily_Data!J524</f>
        <v>22.71</v>
      </c>
      <c r="C524" s="11" t="str">
        <f>Daily_Data!I524</f>
        <v/>
      </c>
      <c r="D524" s="12">
        <f>if(sum(Daily_Data!K524:L524)&gt;0,1,0)</f>
        <v>0</v>
      </c>
    </row>
    <row r="525">
      <c r="A525" s="10">
        <f>Daily_Data!A525</f>
        <v>37259</v>
      </c>
      <c r="B525" s="11">
        <f>Daily_Data!J525</f>
        <v>21.34</v>
      </c>
      <c r="C525" s="11">
        <f>Daily_Data!I525</f>
        <v>1.5</v>
      </c>
      <c r="D525" s="12">
        <f>if(sum(Daily_Data!K525:L525)&gt;0,1,0)</f>
        <v>0</v>
      </c>
    </row>
    <row r="526">
      <c r="A526" s="10">
        <f>Daily_Data!A526</f>
        <v>37260</v>
      </c>
      <c r="B526" s="11">
        <f>Daily_Data!J526</f>
        <v>20.45</v>
      </c>
      <c r="C526" s="11">
        <f>Daily_Data!I526</f>
        <v>1.49</v>
      </c>
      <c r="D526" s="12">
        <f>if(sum(Daily_Data!K526:L526)&gt;0,1,0)</f>
        <v>1</v>
      </c>
    </row>
    <row r="527">
      <c r="A527" s="10">
        <f>Daily_Data!A527</f>
        <v>37263</v>
      </c>
      <c r="B527" s="11">
        <f>Daily_Data!J527</f>
        <v>21.94</v>
      </c>
      <c r="C527" s="11">
        <f>Daily_Data!I527</f>
        <v>1.63</v>
      </c>
      <c r="D527" s="12">
        <f>if(sum(Daily_Data!K527:L527)&gt;0,1,0)</f>
        <v>0</v>
      </c>
    </row>
    <row r="528">
      <c r="A528" s="10">
        <f>Daily_Data!A528</f>
        <v>37264</v>
      </c>
      <c r="B528" s="11">
        <f>Daily_Data!J528</f>
        <v>21.83</v>
      </c>
      <c r="C528" s="11">
        <f>Daily_Data!I528</f>
        <v>1.6</v>
      </c>
      <c r="D528" s="12">
        <f>if(sum(Daily_Data!K528:L528)&gt;0,1,0)</f>
        <v>0</v>
      </c>
    </row>
    <row r="529">
      <c r="A529" s="10">
        <f>Daily_Data!A529</f>
        <v>37265</v>
      </c>
      <c r="B529" s="11">
        <f>Daily_Data!J529</f>
        <v>22.13</v>
      </c>
      <c r="C529" s="11">
        <f>Daily_Data!I529</f>
        <v>1.73</v>
      </c>
      <c r="D529" s="12">
        <f>if(sum(Daily_Data!K529:L529)&gt;0,1,0)</f>
        <v>0</v>
      </c>
    </row>
    <row r="530">
      <c r="A530" s="10">
        <f>Daily_Data!A530</f>
        <v>37266</v>
      </c>
      <c r="B530" s="11">
        <f>Daily_Data!J530</f>
        <v>22.36</v>
      </c>
      <c r="C530" s="11">
        <f>Daily_Data!I530</f>
        <v>1.76</v>
      </c>
      <c r="D530" s="12">
        <f>if(sum(Daily_Data!K530:L530)&gt;0,1,0)</f>
        <v>0</v>
      </c>
    </row>
    <row r="531">
      <c r="A531" s="10">
        <f>Daily_Data!A531</f>
        <v>37267</v>
      </c>
      <c r="B531" s="11">
        <f>Daily_Data!J531</f>
        <v>22.6</v>
      </c>
      <c r="C531" s="11">
        <f>Daily_Data!I531</f>
        <v>1.88</v>
      </c>
      <c r="D531" s="12">
        <f>if(sum(Daily_Data!K531:L531)&gt;0,1,0)</f>
        <v>0</v>
      </c>
    </row>
    <row r="532">
      <c r="A532" s="10">
        <f>Daily_Data!A532</f>
        <v>37270</v>
      </c>
      <c r="B532" s="11">
        <f>Daily_Data!J532</f>
        <v>23.58</v>
      </c>
      <c r="C532" s="11">
        <f>Daily_Data!I532</f>
        <v>1.8</v>
      </c>
      <c r="D532" s="12">
        <f>if(sum(Daily_Data!K532:L532)&gt;0,1,0)</f>
        <v>0</v>
      </c>
    </row>
    <row r="533">
      <c r="A533" s="10">
        <f>Daily_Data!A533</f>
        <v>37271</v>
      </c>
      <c r="B533" s="11">
        <f>Daily_Data!J533</f>
        <v>22.7</v>
      </c>
      <c r="C533" s="11">
        <f>Daily_Data!I533</f>
        <v>1.81</v>
      </c>
      <c r="D533" s="12">
        <f>if(sum(Daily_Data!K533:L533)&gt;0,1,0)</f>
        <v>0</v>
      </c>
    </row>
    <row r="534">
      <c r="A534" s="10">
        <f>Daily_Data!A534</f>
        <v>37272</v>
      </c>
      <c r="B534" s="11">
        <f>Daily_Data!J534</f>
        <v>23.45</v>
      </c>
      <c r="C534" s="11">
        <f>Daily_Data!I534</f>
        <v>1.73</v>
      </c>
      <c r="D534" s="12">
        <f>if(sum(Daily_Data!K534:L534)&gt;0,1,0)</f>
        <v>1</v>
      </c>
    </row>
    <row r="535">
      <c r="A535" s="10">
        <f>Daily_Data!A535</f>
        <v>37273</v>
      </c>
      <c r="B535" s="11">
        <f>Daily_Data!J535</f>
        <v>22.25</v>
      </c>
      <c r="C535" s="11">
        <f>Daily_Data!I535</f>
        <v>1.6</v>
      </c>
      <c r="D535" s="12">
        <f>if(sum(Daily_Data!K535:L535)&gt;0,1,0)</f>
        <v>0</v>
      </c>
    </row>
    <row r="536">
      <c r="A536" s="10">
        <f>Daily_Data!A536</f>
        <v>37274</v>
      </c>
      <c r="B536" s="11">
        <f>Daily_Data!J536</f>
        <v>22.52</v>
      </c>
      <c r="C536" s="11">
        <f>Daily_Data!I536</f>
        <v>1.7</v>
      </c>
      <c r="D536" s="12">
        <f>if(sum(Daily_Data!K536:L536)&gt;0,1,0)</f>
        <v>0</v>
      </c>
    </row>
    <row r="537">
      <c r="A537" s="10">
        <f>Daily_Data!A537</f>
        <v>37277</v>
      </c>
      <c r="B537" s="11" t="str">
        <f>Daily_Data!J537</f>
        <v/>
      </c>
      <c r="C537" s="11" t="str">
        <f>Daily_Data!I537</f>
        <v/>
      </c>
      <c r="D537" s="12">
        <f>if(sum(Daily_Data!K537:L537)&gt;0,1,0)</f>
        <v>0</v>
      </c>
    </row>
    <row r="538">
      <c r="A538" s="10">
        <f>Daily_Data!A538</f>
        <v>37278</v>
      </c>
      <c r="B538" s="11">
        <f>Daily_Data!J538</f>
        <v>23.61</v>
      </c>
      <c r="C538" s="11">
        <f>Daily_Data!I538</f>
        <v>1.66</v>
      </c>
      <c r="D538" s="12">
        <f>if(sum(Daily_Data!K538:L538)&gt;0,1,0)</f>
        <v>0</v>
      </c>
    </row>
    <row r="539">
      <c r="A539" s="10">
        <f>Daily_Data!A539</f>
        <v>37279</v>
      </c>
      <c r="B539" s="11">
        <f>Daily_Data!J539</f>
        <v>21.88</v>
      </c>
      <c r="C539" s="11">
        <f>Daily_Data!I539</f>
        <v>1.53</v>
      </c>
      <c r="D539" s="12">
        <f>if(sum(Daily_Data!K539:L539)&gt;0,1,0)</f>
        <v>0</v>
      </c>
    </row>
    <row r="540">
      <c r="A540" s="10">
        <f>Daily_Data!A540</f>
        <v>37280</v>
      </c>
      <c r="B540" s="11">
        <f>Daily_Data!J540</f>
        <v>21.15</v>
      </c>
      <c r="C540" s="11">
        <f>Daily_Data!I540</f>
        <v>1.62</v>
      </c>
      <c r="D540" s="12">
        <f>if(sum(Daily_Data!K540:L540)&gt;0,1,0)</f>
        <v>0</v>
      </c>
    </row>
    <row r="541">
      <c r="A541" s="10">
        <f>Daily_Data!A541</f>
        <v>37281</v>
      </c>
      <c r="B541" s="11">
        <f>Daily_Data!J541</f>
        <v>21.01</v>
      </c>
      <c r="C541" s="11">
        <f>Daily_Data!I541</f>
        <v>1.59</v>
      </c>
      <c r="D541" s="12">
        <f>if(sum(Daily_Data!K541:L541)&gt;0,1,0)</f>
        <v>0</v>
      </c>
    </row>
    <row r="542">
      <c r="A542" s="10">
        <f>Daily_Data!A542</f>
        <v>37284</v>
      </c>
      <c r="B542" s="11">
        <f>Daily_Data!J542</f>
        <v>21.14</v>
      </c>
      <c r="C542" s="11">
        <f>Daily_Data!I542</f>
        <v>1.5</v>
      </c>
      <c r="D542" s="12">
        <f>if(sum(Daily_Data!K542:L542)&gt;0,1,0)</f>
        <v>0</v>
      </c>
    </row>
    <row r="543">
      <c r="A543" s="10">
        <f>Daily_Data!A543</f>
        <v>37285</v>
      </c>
      <c r="B543" s="11">
        <f>Daily_Data!J543</f>
        <v>24.35</v>
      </c>
      <c r="C543" s="11">
        <f>Daily_Data!I543</f>
        <v>1.67</v>
      </c>
      <c r="D543" s="12">
        <f>if(sum(Daily_Data!K543:L543)&gt;0,1,0)</f>
        <v>0</v>
      </c>
    </row>
    <row r="544">
      <c r="A544" s="10">
        <f>Daily_Data!A544</f>
        <v>37286</v>
      </c>
      <c r="B544" s="11">
        <f>Daily_Data!J544</f>
        <v>23.22</v>
      </c>
      <c r="C544" s="11">
        <f>Daily_Data!I544</f>
        <v>1.6</v>
      </c>
      <c r="D544" s="12">
        <f>if(sum(Daily_Data!K544:L544)&gt;0,1,0)</f>
        <v>0</v>
      </c>
    </row>
    <row r="545">
      <c r="A545" s="10">
        <f>Daily_Data!A545</f>
        <v>37287</v>
      </c>
      <c r="B545" s="11">
        <f>Daily_Data!J545</f>
        <v>21.09</v>
      </c>
      <c r="C545" s="11">
        <f>Daily_Data!I545</f>
        <v>1.49</v>
      </c>
      <c r="D545" s="12">
        <f>if(sum(Daily_Data!K545:L545)&gt;0,1,0)</f>
        <v>0</v>
      </c>
    </row>
    <row r="546">
      <c r="A546" s="10">
        <f>Daily_Data!A546</f>
        <v>37288</v>
      </c>
      <c r="B546" s="11">
        <f>Daily_Data!J546</f>
        <v>21.12</v>
      </c>
      <c r="C546" s="11">
        <f>Daily_Data!I546</f>
        <v>1.5</v>
      </c>
      <c r="D546" s="12">
        <f>if(sum(Daily_Data!K546:L546)&gt;0,1,0)</f>
        <v>1</v>
      </c>
    </row>
    <row r="547">
      <c r="A547" s="10">
        <f>Daily_Data!A547</f>
        <v>37291</v>
      </c>
      <c r="B547" s="11">
        <f>Daily_Data!J547</f>
        <v>24.87</v>
      </c>
      <c r="C547" s="11">
        <f>Daily_Data!I547</f>
        <v>2.85</v>
      </c>
      <c r="D547" s="12">
        <f>if(sum(Daily_Data!K547:L547)&gt;0,1,0)</f>
        <v>0</v>
      </c>
    </row>
    <row r="548">
      <c r="A548" s="10">
        <f>Daily_Data!A548</f>
        <v>37292</v>
      </c>
      <c r="B548" s="11">
        <f>Daily_Data!J548</f>
        <v>25.45</v>
      </c>
      <c r="C548" s="11">
        <f>Daily_Data!I548</f>
        <v>2.79</v>
      </c>
      <c r="D548" s="12">
        <f>if(sum(Daily_Data!K548:L548)&gt;0,1,0)</f>
        <v>0</v>
      </c>
    </row>
    <row r="549">
      <c r="A549" s="10">
        <f>Daily_Data!A549</f>
        <v>37293</v>
      </c>
      <c r="B549" s="11">
        <f>Daily_Data!J549</f>
        <v>26.09</v>
      </c>
      <c r="C549" s="11" t="str">
        <f>Daily_Data!I549</f>
        <v/>
      </c>
      <c r="D549" s="12">
        <f>if(sum(Daily_Data!K549:L549)&gt;0,1,0)</f>
        <v>0</v>
      </c>
    </row>
    <row r="550">
      <c r="A550" s="10">
        <f>Daily_Data!A550</f>
        <v>37294</v>
      </c>
      <c r="B550" s="11">
        <f>Daily_Data!J550</f>
        <v>25.11</v>
      </c>
      <c r="C550" s="11">
        <f>Daily_Data!I550</f>
        <v>2.79</v>
      </c>
      <c r="D550" s="12">
        <f>if(sum(Daily_Data!K550:L550)&gt;0,1,0)</f>
        <v>0</v>
      </c>
    </row>
    <row r="551">
      <c r="A551" s="10">
        <f>Daily_Data!A551</f>
        <v>37295</v>
      </c>
      <c r="B551" s="11">
        <f>Daily_Data!J551</f>
        <v>23.26</v>
      </c>
      <c r="C551" s="11">
        <f>Daily_Data!I551</f>
        <v>2.83</v>
      </c>
      <c r="D551" s="12">
        <f>if(sum(Daily_Data!K551:L551)&gt;0,1,0)</f>
        <v>0</v>
      </c>
    </row>
    <row r="552">
      <c r="A552" s="10">
        <f>Daily_Data!A552</f>
        <v>37298</v>
      </c>
      <c r="B552" s="11">
        <f>Daily_Data!J552</f>
        <v>21.78</v>
      </c>
      <c r="C552" s="11">
        <f>Daily_Data!I552</f>
        <v>2.82</v>
      </c>
      <c r="D552" s="12">
        <f>if(sum(Daily_Data!K552:L552)&gt;0,1,0)</f>
        <v>0</v>
      </c>
    </row>
    <row r="553">
      <c r="A553" s="10">
        <f>Daily_Data!A553</f>
        <v>37299</v>
      </c>
      <c r="B553" s="11">
        <f>Daily_Data!J553</f>
        <v>21.62</v>
      </c>
      <c r="C553" s="11">
        <f>Daily_Data!I553</f>
        <v>2.8</v>
      </c>
      <c r="D553" s="12">
        <f>if(sum(Daily_Data!K553:L553)&gt;0,1,0)</f>
        <v>0</v>
      </c>
    </row>
    <row r="554">
      <c r="A554" s="10">
        <f>Daily_Data!A554</f>
        <v>37300</v>
      </c>
      <c r="B554" s="11">
        <f>Daily_Data!J554</f>
        <v>20.85</v>
      </c>
      <c r="C554" s="11">
        <f>Daily_Data!I554</f>
        <v>2.78</v>
      </c>
      <c r="D554" s="12">
        <f>if(sum(Daily_Data!K554:L554)&gt;0,1,0)</f>
        <v>0</v>
      </c>
    </row>
    <row r="555">
      <c r="A555" s="10">
        <f>Daily_Data!A555</f>
        <v>37301</v>
      </c>
      <c r="B555" s="11">
        <f>Daily_Data!J555</f>
        <v>21.77</v>
      </c>
      <c r="C555" s="11">
        <f>Daily_Data!I555</f>
        <v>2.8</v>
      </c>
      <c r="D555" s="12">
        <f>if(sum(Daily_Data!K555:L555)&gt;0,1,0)</f>
        <v>0</v>
      </c>
    </row>
    <row r="556">
      <c r="A556" s="10">
        <f>Daily_Data!A556</f>
        <v>37302</v>
      </c>
      <c r="B556" s="11">
        <f>Daily_Data!J556</f>
        <v>22.37</v>
      </c>
      <c r="C556" s="11">
        <f>Daily_Data!I556</f>
        <v>2.88</v>
      </c>
      <c r="D556" s="12">
        <f>if(sum(Daily_Data!K556:L556)&gt;0,1,0)</f>
        <v>0</v>
      </c>
    </row>
    <row r="557">
      <c r="A557" s="10">
        <f>Daily_Data!A557</f>
        <v>37305</v>
      </c>
      <c r="B557" s="11" t="str">
        <f>Daily_Data!J557</f>
        <v/>
      </c>
      <c r="C557" s="11" t="str">
        <f>Daily_Data!I557</f>
        <v/>
      </c>
      <c r="D557" s="12">
        <f>if(sum(Daily_Data!K557:L557)&gt;0,1,0)</f>
        <v>0</v>
      </c>
    </row>
    <row r="558">
      <c r="A558" s="10">
        <f>Daily_Data!A558</f>
        <v>37306</v>
      </c>
      <c r="B558" s="11">
        <f>Daily_Data!J558</f>
        <v>24.43</v>
      </c>
      <c r="C558" s="11">
        <f>Daily_Data!I558</f>
        <v>2.7</v>
      </c>
      <c r="D558" s="12">
        <f>if(sum(Daily_Data!K558:L558)&gt;0,1,0)</f>
        <v>0</v>
      </c>
    </row>
    <row r="559">
      <c r="A559" s="10">
        <f>Daily_Data!A559</f>
        <v>37307</v>
      </c>
      <c r="B559" s="11">
        <f>Daily_Data!J559</f>
        <v>22.66</v>
      </c>
      <c r="C559" s="11">
        <f>Daily_Data!I559</f>
        <v>2.68</v>
      </c>
      <c r="D559" s="12">
        <f>if(sum(Daily_Data!K559:L559)&gt;0,1,0)</f>
        <v>1</v>
      </c>
    </row>
    <row r="560">
      <c r="A560" s="10">
        <f>Daily_Data!A560</f>
        <v>37308</v>
      </c>
      <c r="B560" s="11">
        <f>Daily_Data!J560</f>
        <v>23.8</v>
      </c>
      <c r="C560" s="11">
        <f>Daily_Data!I560</f>
        <v>2.67</v>
      </c>
      <c r="D560" s="12">
        <f>if(sum(Daily_Data!K560:L560)&gt;0,1,0)</f>
        <v>0</v>
      </c>
    </row>
    <row r="561">
      <c r="A561" s="10">
        <f>Daily_Data!A561</f>
        <v>37309</v>
      </c>
      <c r="B561" s="11">
        <f>Daily_Data!J561</f>
        <v>22.86</v>
      </c>
      <c r="C561" s="11">
        <f>Daily_Data!I561</f>
        <v>2.67</v>
      </c>
      <c r="D561" s="12">
        <f>if(sum(Daily_Data!K561:L561)&gt;0,1,0)</f>
        <v>0</v>
      </c>
    </row>
    <row r="562">
      <c r="A562" s="10">
        <f>Daily_Data!A562</f>
        <v>37312</v>
      </c>
      <c r="B562" s="11">
        <f>Daily_Data!J562</f>
        <v>21.84</v>
      </c>
      <c r="C562" s="11">
        <f>Daily_Data!I562</f>
        <v>2.6</v>
      </c>
      <c r="D562" s="12">
        <f>if(sum(Daily_Data!K562:L562)&gt;0,1,0)</f>
        <v>0</v>
      </c>
    </row>
    <row r="563">
      <c r="A563" s="10">
        <f>Daily_Data!A563</f>
        <v>37313</v>
      </c>
      <c r="B563" s="11">
        <f>Daily_Data!J563</f>
        <v>21.68</v>
      </c>
      <c r="C563" s="11">
        <f>Daily_Data!I563</f>
        <v>2.59</v>
      </c>
      <c r="D563" s="12">
        <f>if(sum(Daily_Data!K563:L563)&gt;0,1,0)</f>
        <v>0</v>
      </c>
    </row>
    <row r="564">
      <c r="A564" s="10">
        <f>Daily_Data!A564</f>
        <v>37314</v>
      </c>
      <c r="B564" s="11">
        <f>Daily_Data!J564</f>
        <v>21.49</v>
      </c>
      <c r="C564" s="11">
        <f>Daily_Data!I564</f>
        <v>2.73</v>
      </c>
      <c r="D564" s="12">
        <f>if(sum(Daily_Data!K564:L564)&gt;0,1,0)</f>
        <v>0</v>
      </c>
    </row>
    <row r="565">
      <c r="A565" s="10">
        <f>Daily_Data!A565</f>
        <v>37315</v>
      </c>
      <c r="B565" s="11">
        <f>Daily_Data!J565</f>
        <v>21.59</v>
      </c>
      <c r="C565" s="11">
        <f>Daily_Data!I565</f>
        <v>2.64</v>
      </c>
      <c r="D565" s="12">
        <f>if(sum(Daily_Data!K565:L565)&gt;0,1,0)</f>
        <v>0</v>
      </c>
    </row>
    <row r="566">
      <c r="A566" s="10">
        <f>Daily_Data!A566</f>
        <v>37316</v>
      </c>
      <c r="B566" s="11">
        <f>Daily_Data!J566</f>
        <v>19.96</v>
      </c>
      <c r="C566" s="11">
        <f>Daily_Data!I566</f>
        <v>2.62</v>
      </c>
      <c r="D566" s="12">
        <f>if(sum(Daily_Data!K566:L566)&gt;0,1,0)</f>
        <v>0</v>
      </c>
    </row>
    <row r="567">
      <c r="A567" s="10">
        <f>Daily_Data!A567</f>
        <v>37319</v>
      </c>
      <c r="B567" s="11">
        <f>Daily_Data!J567</f>
        <v>20.5</v>
      </c>
      <c r="C567" s="11">
        <f>Daily_Data!I567</f>
        <v>2.7</v>
      </c>
      <c r="D567" s="12">
        <f>if(sum(Daily_Data!K567:L567)&gt;0,1,0)</f>
        <v>0</v>
      </c>
    </row>
    <row r="568">
      <c r="A568" s="10">
        <f>Daily_Data!A568</f>
        <v>37320</v>
      </c>
      <c r="B568" s="11">
        <f>Daily_Data!J568</f>
        <v>20.3</v>
      </c>
      <c r="C568" s="11">
        <f>Daily_Data!I568</f>
        <v>2.67</v>
      </c>
      <c r="D568" s="12">
        <f>if(sum(Daily_Data!K568:L568)&gt;0,1,0)</f>
        <v>0</v>
      </c>
    </row>
    <row r="569">
      <c r="A569" s="10">
        <f>Daily_Data!A569</f>
        <v>37321</v>
      </c>
      <c r="B569" s="11">
        <f>Daily_Data!J569</f>
        <v>19.94</v>
      </c>
      <c r="C569" s="11">
        <f>Daily_Data!I569</f>
        <v>2.59</v>
      </c>
      <c r="D569" s="12">
        <f>if(sum(Daily_Data!K569:L569)&gt;0,1,0)</f>
        <v>0</v>
      </c>
    </row>
    <row r="570">
      <c r="A570" s="10">
        <f>Daily_Data!A570</f>
        <v>37322</v>
      </c>
      <c r="B570" s="11">
        <f>Daily_Data!J570</f>
        <v>20.04</v>
      </c>
      <c r="C570" s="11">
        <f>Daily_Data!I570</f>
        <v>2.49</v>
      </c>
      <c r="D570" s="12">
        <f>if(sum(Daily_Data!K570:L570)&gt;0,1,0)</f>
        <v>0</v>
      </c>
    </row>
    <row r="571">
      <c r="A571" s="10">
        <f>Daily_Data!A571</f>
        <v>37323</v>
      </c>
      <c r="B571" s="11">
        <f>Daily_Data!J571</f>
        <v>19.27</v>
      </c>
      <c r="C571" s="11">
        <f>Daily_Data!I571</f>
        <v>2.36</v>
      </c>
      <c r="D571" s="12">
        <f>if(sum(Daily_Data!K571:L571)&gt;0,1,0)</f>
        <v>1</v>
      </c>
    </row>
    <row r="572">
      <c r="A572" s="10">
        <f>Daily_Data!A572</f>
        <v>37326</v>
      </c>
      <c r="B572" s="11">
        <f>Daily_Data!J572</f>
        <v>19.84</v>
      </c>
      <c r="C572" s="11">
        <f>Daily_Data!I572</f>
        <v>2.4</v>
      </c>
      <c r="D572" s="12">
        <f>if(sum(Daily_Data!K572:L572)&gt;0,1,0)</f>
        <v>0</v>
      </c>
    </row>
    <row r="573">
      <c r="A573" s="10">
        <f>Daily_Data!A573</f>
        <v>37327</v>
      </c>
      <c r="B573" s="11">
        <f>Daily_Data!J573</f>
        <v>19.59</v>
      </c>
      <c r="C573" s="11">
        <f>Daily_Data!I573</f>
        <v>2.39</v>
      </c>
      <c r="D573" s="12">
        <f>if(sum(Daily_Data!K573:L573)&gt;0,1,0)</f>
        <v>0</v>
      </c>
    </row>
    <row r="574">
      <c r="A574" s="10">
        <f>Daily_Data!A574</f>
        <v>37328</v>
      </c>
      <c r="B574" s="11">
        <f>Daily_Data!J574</f>
        <v>19.46</v>
      </c>
      <c r="C574" s="11">
        <f>Daily_Data!I574</f>
        <v>2.48</v>
      </c>
      <c r="D574" s="12">
        <f>if(sum(Daily_Data!K574:L574)&gt;0,1,0)</f>
        <v>0</v>
      </c>
    </row>
    <row r="575">
      <c r="A575" s="10">
        <f>Daily_Data!A575</f>
        <v>37329</v>
      </c>
      <c r="B575" s="11">
        <f>Daily_Data!J575</f>
        <v>19.2</v>
      </c>
      <c r="C575" s="11">
        <f>Daily_Data!I575</f>
        <v>2.32</v>
      </c>
      <c r="D575" s="12">
        <f>if(sum(Daily_Data!K575:L575)&gt;0,1,0)</f>
        <v>0</v>
      </c>
    </row>
    <row r="576">
      <c r="A576" s="10">
        <f>Daily_Data!A576</f>
        <v>37330</v>
      </c>
      <c r="B576" s="11">
        <f>Daily_Data!J576</f>
        <v>18.42</v>
      </c>
      <c r="C576" s="11">
        <f>Daily_Data!I576</f>
        <v>2.47</v>
      </c>
      <c r="D576" s="12">
        <f>if(sum(Daily_Data!K576:L576)&gt;0,1,0)</f>
        <v>0</v>
      </c>
    </row>
    <row r="577">
      <c r="A577" s="10">
        <f>Daily_Data!A577</f>
        <v>37333</v>
      </c>
      <c r="B577" s="11">
        <f>Daily_Data!J577</f>
        <v>18.93</v>
      </c>
      <c r="C577" s="11">
        <f>Daily_Data!I577</f>
        <v>2.35</v>
      </c>
      <c r="D577" s="12">
        <f>if(sum(Daily_Data!K577:L577)&gt;0,1,0)</f>
        <v>0</v>
      </c>
    </row>
    <row r="578">
      <c r="A578" s="10">
        <f>Daily_Data!A578</f>
        <v>37334</v>
      </c>
      <c r="B578" s="11">
        <f>Daily_Data!J578</f>
        <v>18.16</v>
      </c>
      <c r="C578" s="11">
        <f>Daily_Data!I578</f>
        <v>2.41</v>
      </c>
      <c r="D578" s="12">
        <f>if(sum(Daily_Data!K578:L578)&gt;0,1,0)</f>
        <v>0</v>
      </c>
    </row>
    <row r="579">
      <c r="A579" s="10">
        <f>Daily_Data!A579</f>
        <v>37335</v>
      </c>
      <c r="B579" s="11">
        <f>Daily_Data!J579</f>
        <v>18.46</v>
      </c>
      <c r="C579" s="11">
        <f>Daily_Data!I579</f>
        <v>2.56</v>
      </c>
      <c r="D579" s="12">
        <f>if(sum(Daily_Data!K579:L579)&gt;0,1,0)</f>
        <v>0</v>
      </c>
    </row>
    <row r="580">
      <c r="A580" s="10">
        <f>Daily_Data!A580</f>
        <v>37336</v>
      </c>
      <c r="B580" s="11">
        <f>Daily_Data!J580</f>
        <v>18.15</v>
      </c>
      <c r="C580" s="11">
        <f>Daily_Data!I580</f>
        <v>2.64</v>
      </c>
      <c r="D580" s="12">
        <f>if(sum(Daily_Data!K580:L580)&gt;0,1,0)</f>
        <v>1</v>
      </c>
    </row>
    <row r="581">
      <c r="A581" s="10">
        <f>Daily_Data!A581</f>
        <v>37337</v>
      </c>
      <c r="B581" s="11">
        <f>Daily_Data!J581</f>
        <v>17.77</v>
      </c>
      <c r="C581" s="11">
        <f>Daily_Data!I581</f>
        <v>2.56</v>
      </c>
      <c r="D581" s="12">
        <f>if(sum(Daily_Data!K581:L581)&gt;0,1,0)</f>
        <v>0</v>
      </c>
    </row>
    <row r="582">
      <c r="A582" s="10">
        <f>Daily_Data!A582</f>
        <v>37340</v>
      </c>
      <c r="B582" s="11">
        <f>Daily_Data!J582</f>
        <v>18.48</v>
      </c>
      <c r="C582" s="11">
        <f>Daily_Data!I582</f>
        <v>2.62</v>
      </c>
      <c r="D582" s="12">
        <f>if(sum(Daily_Data!K582:L582)&gt;0,1,0)</f>
        <v>0</v>
      </c>
    </row>
    <row r="583">
      <c r="A583" s="10">
        <f>Daily_Data!A583</f>
        <v>37341</v>
      </c>
      <c r="B583" s="11">
        <f>Daily_Data!J583</f>
        <v>18.13</v>
      </c>
      <c r="C583" s="11">
        <f>Daily_Data!I583</f>
        <v>2.7</v>
      </c>
      <c r="D583" s="12">
        <f>if(sum(Daily_Data!K583:L583)&gt;0,1,0)</f>
        <v>0</v>
      </c>
    </row>
    <row r="584">
      <c r="A584" s="10">
        <f>Daily_Data!A584</f>
        <v>37342</v>
      </c>
      <c r="B584" s="11">
        <f>Daily_Data!J584</f>
        <v>17.7</v>
      </c>
      <c r="C584" s="11">
        <f>Daily_Data!I584</f>
        <v>2.67</v>
      </c>
      <c r="D584" s="12">
        <f>if(sum(Daily_Data!K584:L584)&gt;0,1,0)</f>
        <v>0</v>
      </c>
    </row>
    <row r="585">
      <c r="A585" s="10">
        <f>Daily_Data!A585</f>
        <v>37343</v>
      </c>
      <c r="B585" s="11">
        <f>Daily_Data!J585</f>
        <v>17.4</v>
      </c>
      <c r="C585" s="11">
        <f>Daily_Data!I585</f>
        <v>2.59</v>
      </c>
      <c r="D585" s="12">
        <f>if(sum(Daily_Data!K585:L585)&gt;0,1,0)</f>
        <v>0</v>
      </c>
    </row>
    <row r="586">
      <c r="A586" s="10">
        <f>Daily_Data!A586</f>
        <v>37344</v>
      </c>
      <c r="B586" s="11" t="str">
        <f>Daily_Data!J586</f>
        <v/>
      </c>
      <c r="C586" s="11" t="str">
        <f>Daily_Data!I586</f>
        <v/>
      </c>
      <c r="D586" s="12">
        <f>if(sum(Daily_Data!K586:L586)&gt;0,1,0)</f>
        <v>0</v>
      </c>
    </row>
    <row r="587">
      <c r="A587" s="10">
        <f>Daily_Data!A587</f>
        <v>37347</v>
      </c>
      <c r="B587" s="11">
        <f>Daily_Data!J587</f>
        <v>18.73</v>
      </c>
      <c r="C587" s="11" t="str">
        <f>Daily_Data!I587</f>
        <v/>
      </c>
      <c r="D587" s="12">
        <f>if(sum(Daily_Data!K587:L587)&gt;0,1,0)</f>
        <v>0</v>
      </c>
    </row>
    <row r="588">
      <c r="A588" s="10">
        <f>Daily_Data!A588</f>
        <v>37348</v>
      </c>
      <c r="B588" s="11">
        <f>Daily_Data!J588</f>
        <v>19.16</v>
      </c>
      <c r="C588" s="11">
        <f>Daily_Data!I588</f>
        <v>2.71</v>
      </c>
      <c r="D588" s="12">
        <f>if(sum(Daily_Data!K588:L588)&gt;0,1,0)</f>
        <v>0</v>
      </c>
    </row>
    <row r="589">
      <c r="A589" s="10">
        <f>Daily_Data!A589</f>
        <v>37349</v>
      </c>
      <c r="B589" s="11">
        <f>Daily_Data!J589</f>
        <v>20.2</v>
      </c>
      <c r="C589" s="11">
        <f>Daily_Data!I589</f>
        <v>2.76</v>
      </c>
      <c r="D589" s="12">
        <f>if(sum(Daily_Data!K589:L589)&gt;0,1,0)</f>
        <v>0</v>
      </c>
    </row>
    <row r="590">
      <c r="A590" s="10">
        <f>Daily_Data!A590</f>
        <v>37350</v>
      </c>
      <c r="B590" s="11">
        <f>Daily_Data!J590</f>
        <v>19.78</v>
      </c>
      <c r="C590" s="11">
        <f>Daily_Data!I590</f>
        <v>2.68</v>
      </c>
      <c r="D590" s="12">
        <f>if(sum(Daily_Data!K590:L590)&gt;0,1,0)</f>
        <v>0</v>
      </c>
    </row>
    <row r="591">
      <c r="A591" s="10">
        <f>Daily_Data!A591</f>
        <v>37351</v>
      </c>
      <c r="B591" s="11">
        <f>Daily_Data!J591</f>
        <v>19.13</v>
      </c>
      <c r="C591" s="11">
        <f>Daily_Data!I591</f>
        <v>2.74</v>
      </c>
      <c r="D591" s="12">
        <f>if(sum(Daily_Data!K591:L591)&gt;0,1,0)</f>
        <v>1</v>
      </c>
    </row>
    <row r="592">
      <c r="A592" s="10">
        <f>Daily_Data!A592</f>
        <v>37354</v>
      </c>
      <c r="B592" s="11">
        <f>Daily_Data!J592</f>
        <v>19.61</v>
      </c>
      <c r="C592" s="11">
        <f>Daily_Data!I592</f>
        <v>2.66</v>
      </c>
      <c r="D592" s="12">
        <f>if(sum(Daily_Data!K592:L592)&gt;0,1,0)</f>
        <v>0</v>
      </c>
    </row>
    <row r="593">
      <c r="A593" s="10">
        <f>Daily_Data!A593</f>
        <v>37355</v>
      </c>
      <c r="B593" s="11">
        <f>Daily_Data!J593</f>
        <v>19.47</v>
      </c>
      <c r="C593" s="11">
        <f>Daily_Data!I593</f>
        <v>2.86</v>
      </c>
      <c r="D593" s="12">
        <f>if(sum(Daily_Data!K593:L593)&gt;0,1,0)</f>
        <v>0</v>
      </c>
    </row>
    <row r="594">
      <c r="A594" s="10">
        <f>Daily_Data!A594</f>
        <v>37356</v>
      </c>
      <c r="B594" s="11">
        <f>Daily_Data!J594</f>
        <v>18.19</v>
      </c>
      <c r="C594" s="11">
        <f>Daily_Data!I594</f>
        <v>2.87</v>
      </c>
      <c r="D594" s="12">
        <f>if(sum(Daily_Data!K594:L594)&gt;0,1,0)</f>
        <v>0</v>
      </c>
    </row>
    <row r="595">
      <c r="A595" s="10">
        <f>Daily_Data!A595</f>
        <v>37357</v>
      </c>
      <c r="B595" s="11">
        <f>Daily_Data!J595</f>
        <v>20.3</v>
      </c>
      <c r="C595" s="11">
        <f>Daily_Data!I595</f>
        <v>2.91</v>
      </c>
      <c r="D595" s="12">
        <f>if(sum(Daily_Data!K595:L595)&gt;0,1,0)</f>
        <v>0</v>
      </c>
    </row>
    <row r="596">
      <c r="A596" s="10">
        <f>Daily_Data!A596</f>
        <v>37358</v>
      </c>
      <c r="B596" s="11">
        <f>Daily_Data!J596</f>
        <v>19.42</v>
      </c>
      <c r="C596" s="11">
        <f>Daily_Data!I596</f>
        <v>3.04</v>
      </c>
      <c r="D596" s="12">
        <f>if(sum(Daily_Data!K596:L596)&gt;0,1,0)</f>
        <v>0</v>
      </c>
    </row>
    <row r="597">
      <c r="A597" s="10">
        <f>Daily_Data!A597</f>
        <v>37361</v>
      </c>
      <c r="B597" s="11">
        <f>Daily_Data!J597</f>
        <v>19.82</v>
      </c>
      <c r="C597" s="11">
        <f>Daily_Data!I597</f>
        <v>3.01</v>
      </c>
      <c r="D597" s="12">
        <f>if(sum(Daily_Data!K597:L597)&gt;0,1,0)</f>
        <v>0</v>
      </c>
    </row>
    <row r="598">
      <c r="A598" s="10">
        <f>Daily_Data!A598</f>
        <v>37362</v>
      </c>
      <c r="B598" s="11">
        <f>Daily_Data!J598</f>
        <v>18.11</v>
      </c>
      <c r="C598" s="11">
        <f>Daily_Data!I598</f>
        <v>2.9</v>
      </c>
      <c r="D598" s="12">
        <f>if(sum(Daily_Data!K598:L598)&gt;0,1,0)</f>
        <v>1</v>
      </c>
    </row>
    <row r="599">
      <c r="A599" s="10">
        <f>Daily_Data!A599</f>
        <v>37363</v>
      </c>
      <c r="B599" s="11">
        <f>Daily_Data!J599</f>
        <v>18.43</v>
      </c>
      <c r="C599" s="11">
        <f>Daily_Data!I599</f>
        <v>2.9</v>
      </c>
      <c r="D599" s="12">
        <f>if(sum(Daily_Data!K599:L599)&gt;0,1,0)</f>
        <v>0</v>
      </c>
    </row>
    <row r="600">
      <c r="A600" s="10">
        <f>Daily_Data!A600</f>
        <v>37364</v>
      </c>
      <c r="B600" s="11">
        <f>Daily_Data!J600</f>
        <v>19.29</v>
      </c>
      <c r="C600" s="11">
        <f>Daily_Data!I600</f>
        <v>2.81</v>
      </c>
      <c r="D600" s="12">
        <f>if(sum(Daily_Data!K600:L600)&gt;0,1,0)</f>
        <v>0</v>
      </c>
    </row>
    <row r="601">
      <c r="A601" s="10">
        <f>Daily_Data!A601</f>
        <v>37365</v>
      </c>
      <c r="B601" s="11">
        <f>Daily_Data!J601</f>
        <v>18.3</v>
      </c>
      <c r="C601" s="11">
        <f>Daily_Data!I601</f>
        <v>2.8</v>
      </c>
      <c r="D601" s="12">
        <f>if(sum(Daily_Data!K601:L601)&gt;0,1,0)</f>
        <v>0</v>
      </c>
    </row>
    <row r="602">
      <c r="A602" s="10">
        <f>Daily_Data!A602</f>
        <v>37368</v>
      </c>
      <c r="B602" s="11">
        <f>Daily_Data!J602</f>
        <v>19.77</v>
      </c>
      <c r="C602" s="11">
        <f>Daily_Data!I602</f>
        <v>2.87</v>
      </c>
      <c r="D602" s="12">
        <f>if(sum(Daily_Data!K602:L602)&gt;0,1,0)</f>
        <v>0</v>
      </c>
    </row>
    <row r="603">
      <c r="A603" s="10">
        <f>Daily_Data!A603</f>
        <v>37369</v>
      </c>
      <c r="B603" s="11">
        <f>Daily_Data!J603</f>
        <v>20.28</v>
      </c>
      <c r="C603" s="11">
        <f>Daily_Data!I603</f>
        <v>2.83</v>
      </c>
      <c r="D603" s="12">
        <f>if(sum(Daily_Data!K603:L603)&gt;0,1,0)</f>
        <v>0</v>
      </c>
    </row>
    <row r="604">
      <c r="A604" s="10">
        <f>Daily_Data!A604</f>
        <v>37370</v>
      </c>
      <c r="B604" s="11">
        <f>Daily_Data!J604</f>
        <v>20.77</v>
      </c>
      <c r="C604" s="11">
        <f>Daily_Data!I604</f>
        <v>2.94</v>
      </c>
      <c r="D604" s="12">
        <f>if(sum(Daily_Data!K604:L604)&gt;0,1,0)</f>
        <v>0</v>
      </c>
    </row>
    <row r="605">
      <c r="A605" s="10">
        <f>Daily_Data!A605</f>
        <v>37371</v>
      </c>
      <c r="B605" s="11">
        <f>Daily_Data!J605</f>
        <v>20.95</v>
      </c>
      <c r="C605" s="11" t="str">
        <f>Daily_Data!I605</f>
        <v/>
      </c>
      <c r="D605" s="12">
        <f>if(sum(Daily_Data!K605:L605)&gt;0,1,0)</f>
        <v>0</v>
      </c>
    </row>
    <row r="606">
      <c r="A606" s="10">
        <f>Daily_Data!A606</f>
        <v>37372</v>
      </c>
      <c r="B606" s="11">
        <f>Daily_Data!J606</f>
        <v>22.14</v>
      </c>
      <c r="C606" s="11">
        <f>Daily_Data!I606</f>
        <v>2.85</v>
      </c>
      <c r="D606" s="12">
        <f>if(sum(Daily_Data!K606:L606)&gt;0,1,0)</f>
        <v>0</v>
      </c>
    </row>
    <row r="607">
      <c r="A607" s="10">
        <f>Daily_Data!A607</f>
        <v>37375</v>
      </c>
      <c r="B607" s="11">
        <f>Daily_Data!J607</f>
        <v>24.05</v>
      </c>
      <c r="C607" s="11">
        <f>Daily_Data!I607</f>
        <v>2.75</v>
      </c>
      <c r="D607" s="12">
        <f>if(sum(Daily_Data!K607:L607)&gt;0,1,0)</f>
        <v>0</v>
      </c>
    </row>
    <row r="608">
      <c r="A608" s="10">
        <f>Daily_Data!A608</f>
        <v>37376</v>
      </c>
      <c r="B608" s="11">
        <f>Daily_Data!J608</f>
        <v>21.91</v>
      </c>
      <c r="C608" s="11">
        <f>Daily_Data!I608</f>
        <v>2.84</v>
      </c>
      <c r="D608" s="12">
        <f>if(sum(Daily_Data!K608:L608)&gt;0,1,0)</f>
        <v>0</v>
      </c>
    </row>
    <row r="609">
      <c r="A609" s="10">
        <f>Daily_Data!A609</f>
        <v>37377</v>
      </c>
      <c r="B609" s="11">
        <f>Daily_Data!J609</f>
        <v>20.06</v>
      </c>
      <c r="C609" s="11">
        <f>Daily_Data!I609</f>
        <v>2.89</v>
      </c>
      <c r="D609" s="12">
        <f>if(sum(Daily_Data!K609:L609)&gt;0,1,0)</f>
        <v>0</v>
      </c>
    </row>
    <row r="610">
      <c r="A610" s="10">
        <f>Daily_Data!A610</f>
        <v>37378</v>
      </c>
      <c r="B610" s="11">
        <f>Daily_Data!J610</f>
        <v>20.07</v>
      </c>
      <c r="C610" s="11">
        <f>Daily_Data!I610</f>
        <v>2.82</v>
      </c>
      <c r="D610" s="12">
        <f>if(sum(Daily_Data!K610:L610)&gt;0,1,0)</f>
        <v>0</v>
      </c>
    </row>
    <row r="611">
      <c r="A611" s="10">
        <f>Daily_Data!A611</f>
        <v>37379</v>
      </c>
      <c r="B611" s="11">
        <f>Daily_Data!J611</f>
        <v>20.19</v>
      </c>
      <c r="C611" s="11">
        <f>Daily_Data!I611</f>
        <v>2.98</v>
      </c>
      <c r="D611" s="12">
        <f>if(sum(Daily_Data!K611:L611)&gt;0,1,0)</f>
        <v>1</v>
      </c>
    </row>
    <row r="612">
      <c r="A612" s="10">
        <f>Daily_Data!A612</f>
        <v>37382</v>
      </c>
      <c r="B612" s="11">
        <f>Daily_Data!J612</f>
        <v>22.56</v>
      </c>
      <c r="C612" s="11">
        <f>Daily_Data!I612</f>
        <v>2.93</v>
      </c>
      <c r="D612" s="12">
        <f>if(sum(Daily_Data!K612:L612)&gt;0,1,0)</f>
        <v>0</v>
      </c>
    </row>
    <row r="613">
      <c r="A613" s="10">
        <f>Daily_Data!A613</f>
        <v>37383</v>
      </c>
      <c r="B613" s="11">
        <f>Daily_Data!J613</f>
        <v>21.94</v>
      </c>
      <c r="C613" s="11">
        <f>Daily_Data!I613</f>
        <v>2.91</v>
      </c>
      <c r="D613" s="12">
        <f>if(sum(Daily_Data!K613:L613)&gt;0,1,0)</f>
        <v>0</v>
      </c>
    </row>
    <row r="614">
      <c r="A614" s="10">
        <f>Daily_Data!A614</f>
        <v>37384</v>
      </c>
      <c r="B614" s="11">
        <f>Daily_Data!J614</f>
        <v>20.39</v>
      </c>
      <c r="C614" s="11">
        <f>Daily_Data!I614</f>
        <v>2.72</v>
      </c>
      <c r="D614" s="12">
        <f>if(sum(Daily_Data!K614:L614)&gt;0,1,0)</f>
        <v>0</v>
      </c>
    </row>
    <row r="615">
      <c r="A615" s="10">
        <f>Daily_Data!A615</f>
        <v>37385</v>
      </c>
      <c r="B615" s="11">
        <f>Daily_Data!J615</f>
        <v>21.56</v>
      </c>
      <c r="C615" s="11">
        <f>Daily_Data!I615</f>
        <v>2.91</v>
      </c>
      <c r="D615" s="12">
        <f>if(sum(Daily_Data!K615:L615)&gt;0,1,0)</f>
        <v>0</v>
      </c>
    </row>
    <row r="616">
      <c r="A616" s="10">
        <f>Daily_Data!A616</f>
        <v>37386</v>
      </c>
      <c r="B616" s="11">
        <f>Daily_Data!J616</f>
        <v>22.41</v>
      </c>
      <c r="C616" s="11">
        <f>Daily_Data!I616</f>
        <v>2.96</v>
      </c>
      <c r="D616" s="12">
        <f>if(sum(Daily_Data!K616:L616)&gt;0,1,0)</f>
        <v>0</v>
      </c>
    </row>
    <row r="617">
      <c r="A617" s="10">
        <f>Daily_Data!A617</f>
        <v>37389</v>
      </c>
      <c r="B617" s="11">
        <f>Daily_Data!J617</f>
        <v>20.72</v>
      </c>
      <c r="C617" s="11">
        <f>Daily_Data!I617</f>
        <v>2.87</v>
      </c>
      <c r="D617" s="12">
        <f>if(sum(Daily_Data!K617:L617)&gt;0,1,0)</f>
        <v>0</v>
      </c>
    </row>
    <row r="618">
      <c r="A618" s="10">
        <f>Daily_Data!A618</f>
        <v>37390</v>
      </c>
      <c r="B618" s="11">
        <f>Daily_Data!J618</f>
        <v>19.35</v>
      </c>
      <c r="C618" s="11">
        <f>Daily_Data!I618</f>
        <v>2.83</v>
      </c>
      <c r="D618" s="12">
        <f>if(sum(Daily_Data!K618:L618)&gt;0,1,0)</f>
        <v>0</v>
      </c>
    </row>
    <row r="619">
      <c r="A619" s="10">
        <f>Daily_Data!A619</f>
        <v>37391</v>
      </c>
      <c r="B619" s="11">
        <f>Daily_Data!J619</f>
        <v>19.19</v>
      </c>
      <c r="C619" s="11">
        <f>Daily_Data!I619</f>
        <v>2.92</v>
      </c>
      <c r="D619" s="12">
        <f>if(sum(Daily_Data!K619:L619)&gt;0,1,0)</f>
        <v>1</v>
      </c>
    </row>
    <row r="620">
      <c r="A620" s="10">
        <f>Daily_Data!A620</f>
        <v>37392</v>
      </c>
      <c r="B620" s="11">
        <f>Daily_Data!J620</f>
        <v>18.5</v>
      </c>
      <c r="C620" s="11">
        <f>Daily_Data!I620</f>
        <v>2.95</v>
      </c>
      <c r="D620" s="12">
        <f>if(sum(Daily_Data!K620:L620)&gt;0,1,0)</f>
        <v>0</v>
      </c>
    </row>
    <row r="621">
      <c r="A621" s="10">
        <f>Daily_Data!A621</f>
        <v>37393</v>
      </c>
      <c r="B621" s="11">
        <f>Daily_Data!J621</f>
        <v>17.7</v>
      </c>
      <c r="C621" s="11">
        <f>Daily_Data!I621</f>
        <v>2.78</v>
      </c>
      <c r="D621" s="12">
        <f>if(sum(Daily_Data!K621:L621)&gt;0,1,0)</f>
        <v>0</v>
      </c>
    </row>
    <row r="622">
      <c r="A622" s="10">
        <f>Daily_Data!A622</f>
        <v>37396</v>
      </c>
      <c r="B622" s="11">
        <f>Daily_Data!J622</f>
        <v>19.24</v>
      </c>
      <c r="C622" s="11">
        <f>Daily_Data!I622</f>
        <v>2.89</v>
      </c>
      <c r="D622" s="12">
        <f>if(sum(Daily_Data!K622:L622)&gt;0,1,0)</f>
        <v>0</v>
      </c>
    </row>
    <row r="623">
      <c r="A623" s="10">
        <f>Daily_Data!A623</f>
        <v>37397</v>
      </c>
      <c r="B623" s="11">
        <f>Daily_Data!J623</f>
        <v>20.05</v>
      </c>
      <c r="C623" s="11">
        <f>Daily_Data!I623</f>
        <v>2.86</v>
      </c>
      <c r="D623" s="12">
        <f>if(sum(Daily_Data!K623:L623)&gt;0,1,0)</f>
        <v>0</v>
      </c>
    </row>
    <row r="624">
      <c r="A624" s="10">
        <f>Daily_Data!A624</f>
        <v>37398</v>
      </c>
      <c r="B624" s="11">
        <f>Daily_Data!J624</f>
        <v>19.58</v>
      </c>
      <c r="C624" s="11">
        <f>Daily_Data!I624</f>
        <v>2.87</v>
      </c>
      <c r="D624" s="12">
        <f>if(sum(Daily_Data!K624:L624)&gt;0,1,0)</f>
        <v>0</v>
      </c>
    </row>
    <row r="625">
      <c r="A625" s="10">
        <f>Daily_Data!A625</f>
        <v>37399</v>
      </c>
      <c r="B625" s="11">
        <f>Daily_Data!J625</f>
        <v>18.23</v>
      </c>
      <c r="C625" s="11">
        <f>Daily_Data!I625</f>
        <v>2.79</v>
      </c>
      <c r="D625" s="12">
        <f>if(sum(Daily_Data!K625:L625)&gt;0,1,0)</f>
        <v>0</v>
      </c>
    </row>
    <row r="626">
      <c r="A626" s="10">
        <f>Daily_Data!A626</f>
        <v>37400</v>
      </c>
      <c r="B626" s="11">
        <f>Daily_Data!J626</f>
        <v>18.9</v>
      </c>
      <c r="C626" s="11">
        <f>Daily_Data!I626</f>
        <v>2.82</v>
      </c>
      <c r="D626" s="12">
        <f>if(sum(Daily_Data!K626:L626)&gt;0,1,0)</f>
        <v>0</v>
      </c>
    </row>
    <row r="627">
      <c r="A627" s="10">
        <f>Daily_Data!A627</f>
        <v>37403</v>
      </c>
      <c r="B627" s="11" t="str">
        <f>Daily_Data!J627</f>
        <v/>
      </c>
      <c r="C627" s="11" t="str">
        <f>Daily_Data!I627</f>
        <v/>
      </c>
      <c r="D627" s="12">
        <f>if(sum(Daily_Data!K627:L627)&gt;0,1,0)</f>
        <v>0</v>
      </c>
    </row>
    <row r="628">
      <c r="A628" s="10">
        <f>Daily_Data!A628</f>
        <v>37404</v>
      </c>
      <c r="B628" s="11">
        <f>Daily_Data!J628</f>
        <v>20.31</v>
      </c>
      <c r="C628" s="11">
        <f>Daily_Data!I628</f>
        <v>2.85</v>
      </c>
      <c r="D628" s="12">
        <f>if(sum(Daily_Data!K628:L628)&gt;0,1,0)</f>
        <v>0</v>
      </c>
    </row>
    <row r="629">
      <c r="A629" s="10">
        <f>Daily_Data!A629</f>
        <v>37405</v>
      </c>
      <c r="B629" s="11">
        <f>Daily_Data!J629</f>
        <v>20.39</v>
      </c>
      <c r="C629" s="11">
        <f>Daily_Data!I629</f>
        <v>2.87</v>
      </c>
      <c r="D629" s="12">
        <f>if(sum(Daily_Data!K629:L629)&gt;0,1,0)</f>
        <v>0</v>
      </c>
    </row>
    <row r="630">
      <c r="A630" s="10">
        <f>Daily_Data!A630</f>
        <v>37406</v>
      </c>
      <c r="B630" s="11">
        <f>Daily_Data!J630</f>
        <v>20.61</v>
      </c>
      <c r="C630" s="11">
        <f>Daily_Data!I630</f>
        <v>2.91</v>
      </c>
      <c r="D630" s="12">
        <f>if(sum(Daily_Data!K630:L630)&gt;0,1,0)</f>
        <v>0</v>
      </c>
    </row>
    <row r="631">
      <c r="A631" s="10">
        <f>Daily_Data!A631</f>
        <v>37407</v>
      </c>
      <c r="B631" s="11">
        <f>Daily_Data!J631</f>
        <v>19.98</v>
      </c>
      <c r="C631" s="11">
        <f>Daily_Data!I631</f>
        <v>2.84</v>
      </c>
      <c r="D631" s="12">
        <f>if(sum(Daily_Data!K631:L631)&gt;0,1,0)</f>
        <v>0</v>
      </c>
    </row>
    <row r="632">
      <c r="A632" s="10">
        <f>Daily_Data!A632</f>
        <v>37410</v>
      </c>
      <c r="B632" s="11">
        <f>Daily_Data!J632</f>
        <v>23.37</v>
      </c>
      <c r="C632" s="11" t="str">
        <f>Daily_Data!I632</f>
        <v/>
      </c>
      <c r="D632" s="12">
        <f>if(sum(Daily_Data!K632:L632)&gt;0,1,0)</f>
        <v>0</v>
      </c>
    </row>
    <row r="633">
      <c r="A633" s="10">
        <f>Daily_Data!A633</f>
        <v>37411</v>
      </c>
      <c r="B633" s="11">
        <f>Daily_Data!J633</f>
        <v>23.89</v>
      </c>
      <c r="C633" s="11">
        <f>Daily_Data!I633</f>
        <v>3.02</v>
      </c>
      <c r="D633" s="12">
        <f>if(sum(Daily_Data!K633:L633)&gt;0,1,0)</f>
        <v>0</v>
      </c>
    </row>
    <row r="634">
      <c r="A634" s="10">
        <f>Daily_Data!A634</f>
        <v>37412</v>
      </c>
      <c r="B634" s="11">
        <f>Daily_Data!J634</f>
        <v>22.61</v>
      </c>
      <c r="C634" s="11">
        <f>Daily_Data!I634</f>
        <v>2.99</v>
      </c>
      <c r="D634" s="12">
        <f>if(sum(Daily_Data!K634:L634)&gt;0,1,0)</f>
        <v>0</v>
      </c>
    </row>
    <row r="635">
      <c r="A635" s="10">
        <f>Daily_Data!A635</f>
        <v>37413</v>
      </c>
      <c r="B635" s="11">
        <f>Daily_Data!J635</f>
        <v>24.16</v>
      </c>
      <c r="C635" s="11">
        <f>Daily_Data!I635</f>
        <v>3.01</v>
      </c>
      <c r="D635" s="12">
        <f>if(sum(Daily_Data!K635:L635)&gt;0,1,0)</f>
        <v>0</v>
      </c>
    </row>
    <row r="636">
      <c r="A636" s="10">
        <f>Daily_Data!A636</f>
        <v>37414</v>
      </c>
      <c r="B636" s="11">
        <f>Daily_Data!J636</f>
        <v>23.51</v>
      </c>
      <c r="C636" s="11">
        <f>Daily_Data!I636</f>
        <v>2.93</v>
      </c>
      <c r="D636" s="12">
        <f>if(sum(Daily_Data!K636:L636)&gt;0,1,0)</f>
        <v>1</v>
      </c>
    </row>
    <row r="637">
      <c r="A637" s="10">
        <f>Daily_Data!A637</f>
        <v>37417</v>
      </c>
      <c r="B637" s="11">
        <f>Daily_Data!J637</f>
        <v>23.72</v>
      </c>
      <c r="C637" s="11">
        <f>Daily_Data!I637</f>
        <v>2.99</v>
      </c>
      <c r="D637" s="12">
        <f>if(sum(Daily_Data!K637:L637)&gt;0,1,0)</f>
        <v>0</v>
      </c>
    </row>
    <row r="638">
      <c r="A638" s="10">
        <f>Daily_Data!A638</f>
        <v>37418</v>
      </c>
      <c r="B638" s="11">
        <f>Daily_Data!J638</f>
        <v>24.45</v>
      </c>
      <c r="C638" s="11">
        <f>Daily_Data!I638</f>
        <v>3.01</v>
      </c>
      <c r="D638" s="12">
        <f>if(sum(Daily_Data!K638:L638)&gt;0,1,0)</f>
        <v>0</v>
      </c>
    </row>
    <row r="639">
      <c r="A639" s="10">
        <f>Daily_Data!A639</f>
        <v>37419</v>
      </c>
      <c r="B639" s="11">
        <f>Daily_Data!J639</f>
        <v>24.15</v>
      </c>
      <c r="C639" s="11">
        <f>Daily_Data!I639</f>
        <v>3</v>
      </c>
      <c r="D639" s="12">
        <f>if(sum(Daily_Data!K639:L639)&gt;0,1,0)</f>
        <v>0</v>
      </c>
    </row>
    <row r="640">
      <c r="A640" s="10">
        <f>Daily_Data!A640</f>
        <v>37420</v>
      </c>
      <c r="B640" s="11">
        <f>Daily_Data!J640</f>
        <v>25.02</v>
      </c>
      <c r="C640" s="11">
        <f>Daily_Data!I640</f>
        <v>3.07</v>
      </c>
      <c r="D640" s="12">
        <f>if(sum(Daily_Data!K640:L640)&gt;0,1,0)</f>
        <v>0</v>
      </c>
    </row>
    <row r="641">
      <c r="A641" s="10">
        <f>Daily_Data!A641</f>
        <v>37421</v>
      </c>
      <c r="B641" s="11">
        <f>Daily_Data!J641</f>
        <v>25.96</v>
      </c>
      <c r="C641" s="11">
        <f>Daily_Data!I641</f>
        <v>3.11</v>
      </c>
      <c r="D641" s="12">
        <f>if(sum(Daily_Data!K641:L641)&gt;0,1,0)</f>
        <v>0</v>
      </c>
    </row>
    <row r="642">
      <c r="A642" s="10">
        <f>Daily_Data!A642</f>
        <v>37424</v>
      </c>
      <c r="B642" s="11">
        <f>Daily_Data!J642</f>
        <v>24.64</v>
      </c>
      <c r="C642" s="11">
        <f>Daily_Data!I642</f>
        <v>3.02</v>
      </c>
      <c r="D642" s="12">
        <f>if(sum(Daily_Data!K642:L642)&gt;0,1,0)</f>
        <v>0</v>
      </c>
    </row>
    <row r="643">
      <c r="A643" s="10">
        <f>Daily_Data!A643</f>
        <v>37425</v>
      </c>
      <c r="B643" s="11">
        <f>Daily_Data!J643</f>
        <v>24.24</v>
      </c>
      <c r="C643" s="11">
        <f>Daily_Data!I643</f>
        <v>3.1</v>
      </c>
      <c r="D643" s="12">
        <f>if(sum(Daily_Data!K643:L643)&gt;0,1,0)</f>
        <v>1</v>
      </c>
    </row>
    <row r="644">
      <c r="A644" s="10">
        <f>Daily_Data!A644</f>
        <v>37426</v>
      </c>
      <c r="B644" s="11">
        <f>Daily_Data!J644</f>
        <v>26.06</v>
      </c>
      <c r="C644" s="11">
        <f>Daily_Data!I644</f>
        <v>3.2</v>
      </c>
      <c r="D644" s="12">
        <f>if(sum(Daily_Data!K644:L644)&gt;0,1,0)</f>
        <v>0</v>
      </c>
    </row>
    <row r="645">
      <c r="A645" s="10">
        <f>Daily_Data!A645</f>
        <v>37427</v>
      </c>
      <c r="B645" s="11">
        <f>Daily_Data!J645</f>
        <v>27.48</v>
      </c>
      <c r="C645" s="11">
        <f>Daily_Data!I645</f>
        <v>3.02</v>
      </c>
      <c r="D645" s="12">
        <f>if(sum(Daily_Data!K645:L645)&gt;0,1,0)</f>
        <v>0</v>
      </c>
    </row>
    <row r="646">
      <c r="A646" s="10">
        <f>Daily_Data!A646</f>
        <v>37428</v>
      </c>
      <c r="B646" s="11">
        <f>Daily_Data!J646</f>
        <v>27.23</v>
      </c>
      <c r="C646" s="11">
        <f>Daily_Data!I646</f>
        <v>3.14</v>
      </c>
      <c r="D646" s="12">
        <f>if(sum(Daily_Data!K646:L646)&gt;0,1,0)</f>
        <v>0</v>
      </c>
    </row>
    <row r="647">
      <c r="A647" s="10">
        <f>Daily_Data!A647</f>
        <v>37431</v>
      </c>
      <c r="B647" s="11">
        <f>Daily_Data!J647</f>
        <v>26.98</v>
      </c>
      <c r="C647" s="11">
        <f>Daily_Data!I647</f>
        <v>3.04</v>
      </c>
      <c r="D647" s="12">
        <f>if(sum(Daily_Data!K647:L647)&gt;0,1,0)</f>
        <v>0</v>
      </c>
    </row>
    <row r="648">
      <c r="A648" s="10">
        <f>Daily_Data!A648</f>
        <v>37432</v>
      </c>
      <c r="B648" s="11">
        <f>Daily_Data!J648</f>
        <v>27.84</v>
      </c>
      <c r="C648" s="11">
        <f>Daily_Data!I648</f>
        <v>3.11</v>
      </c>
      <c r="D648" s="12">
        <f>if(sum(Daily_Data!K648:L648)&gt;0,1,0)</f>
        <v>0</v>
      </c>
    </row>
    <row r="649">
      <c r="A649" s="10">
        <f>Daily_Data!A649</f>
        <v>37433</v>
      </c>
      <c r="B649" s="11">
        <f>Daily_Data!J649</f>
        <v>28.42</v>
      </c>
      <c r="C649" s="11">
        <f>Daily_Data!I649</f>
        <v>3.16</v>
      </c>
      <c r="D649" s="12">
        <f>if(sum(Daily_Data!K649:L649)&gt;0,1,0)</f>
        <v>0</v>
      </c>
    </row>
    <row r="650">
      <c r="A650" s="10">
        <f>Daily_Data!A650</f>
        <v>37434</v>
      </c>
      <c r="B650" s="11">
        <f>Daily_Data!J650</f>
        <v>26.29</v>
      </c>
      <c r="C650" s="11">
        <f>Daily_Data!I650</f>
        <v>3.14</v>
      </c>
      <c r="D650" s="12">
        <f>if(sum(Daily_Data!K650:L650)&gt;0,1,0)</f>
        <v>0</v>
      </c>
    </row>
    <row r="651">
      <c r="A651" s="10">
        <f>Daily_Data!A651</f>
        <v>37435</v>
      </c>
      <c r="B651" s="11">
        <f>Daily_Data!J651</f>
        <v>25.4</v>
      </c>
      <c r="C651" s="11">
        <f>Daily_Data!I651</f>
        <v>3.16</v>
      </c>
      <c r="D651" s="12">
        <f>if(sum(Daily_Data!K651:L651)&gt;0,1,0)</f>
        <v>0</v>
      </c>
    </row>
    <row r="652">
      <c r="A652" s="10">
        <f>Daily_Data!A652</f>
        <v>37438</v>
      </c>
      <c r="B652" s="11">
        <f>Daily_Data!J652</f>
        <v>27.11</v>
      </c>
      <c r="C652" s="11">
        <f>Daily_Data!I652</f>
        <v>3.17</v>
      </c>
      <c r="D652" s="12">
        <f>if(sum(Daily_Data!K652:L652)&gt;0,1,0)</f>
        <v>0</v>
      </c>
    </row>
    <row r="653">
      <c r="A653" s="10">
        <f>Daily_Data!A653</f>
        <v>37439</v>
      </c>
      <c r="B653" s="11">
        <f>Daily_Data!J653</f>
        <v>28.96</v>
      </c>
      <c r="C653" s="11">
        <f>Daily_Data!I653</f>
        <v>3.24</v>
      </c>
      <c r="D653" s="12">
        <f>if(sum(Daily_Data!K653:L653)&gt;0,1,0)</f>
        <v>0</v>
      </c>
    </row>
    <row r="654">
      <c r="A654" s="10">
        <f>Daily_Data!A654</f>
        <v>37440</v>
      </c>
      <c r="B654" s="11">
        <f>Daily_Data!J654</f>
        <v>29.42</v>
      </c>
      <c r="C654" s="11">
        <f>Daily_Data!I654</f>
        <v>3.2</v>
      </c>
      <c r="D654" s="12">
        <f>if(sum(Daily_Data!K654:L654)&gt;0,1,0)</f>
        <v>0</v>
      </c>
    </row>
    <row r="655">
      <c r="A655" s="10">
        <f>Daily_Data!A655</f>
        <v>37441</v>
      </c>
      <c r="B655" s="11" t="str">
        <f>Daily_Data!J655</f>
        <v/>
      </c>
      <c r="C655" s="11" t="str">
        <f>Daily_Data!I655</f>
        <v/>
      </c>
      <c r="D655" s="12">
        <f>if(sum(Daily_Data!K655:L655)&gt;0,1,0)</f>
        <v>0</v>
      </c>
    </row>
    <row r="656">
      <c r="A656" s="10">
        <f>Daily_Data!A656</f>
        <v>37442</v>
      </c>
      <c r="B656" s="11">
        <f>Daily_Data!J656</f>
        <v>27.11</v>
      </c>
      <c r="C656" s="11">
        <f>Daily_Data!I656</f>
        <v>3.07</v>
      </c>
      <c r="D656" s="12">
        <f>if(sum(Daily_Data!K656:L656)&gt;0,1,0)</f>
        <v>1</v>
      </c>
    </row>
    <row r="657">
      <c r="A657" s="10">
        <f>Daily_Data!A657</f>
        <v>37445</v>
      </c>
      <c r="B657" s="11">
        <f>Daily_Data!J657</f>
        <v>28.25</v>
      </c>
      <c r="C657" s="11">
        <f>Daily_Data!I657</f>
        <v>3.2</v>
      </c>
      <c r="D657" s="12">
        <f>if(sum(Daily_Data!K657:L657)&gt;0,1,0)</f>
        <v>0</v>
      </c>
    </row>
    <row r="658">
      <c r="A658" s="10">
        <f>Daily_Data!A658</f>
        <v>37446</v>
      </c>
      <c r="B658" s="11">
        <f>Daily_Data!J658</f>
        <v>30.22</v>
      </c>
      <c r="C658" s="11">
        <f>Daily_Data!I658</f>
        <v>3.23</v>
      </c>
      <c r="D658" s="12">
        <f>if(sum(Daily_Data!K658:L658)&gt;0,1,0)</f>
        <v>0</v>
      </c>
    </row>
    <row r="659">
      <c r="A659" s="10">
        <f>Daily_Data!A659</f>
        <v>37447</v>
      </c>
      <c r="B659" s="11">
        <f>Daily_Data!J659</f>
        <v>34.1</v>
      </c>
      <c r="C659" s="11">
        <f>Daily_Data!I659</f>
        <v>3.28</v>
      </c>
      <c r="D659" s="12">
        <f>if(sum(Daily_Data!K659:L659)&gt;0,1,0)</f>
        <v>0</v>
      </c>
    </row>
    <row r="660">
      <c r="A660" s="10">
        <f>Daily_Data!A660</f>
        <v>37448</v>
      </c>
      <c r="B660" s="11">
        <f>Daily_Data!J660</f>
        <v>33.85</v>
      </c>
      <c r="C660" s="11">
        <f>Daily_Data!I660</f>
        <v>3.24</v>
      </c>
      <c r="D660" s="12">
        <f>if(sum(Daily_Data!K660:L660)&gt;0,1,0)</f>
        <v>0</v>
      </c>
    </row>
    <row r="661">
      <c r="A661" s="10">
        <f>Daily_Data!A661</f>
        <v>37449</v>
      </c>
      <c r="B661" s="11">
        <f>Daily_Data!J661</f>
        <v>32.94</v>
      </c>
      <c r="C661" s="11">
        <f>Daily_Data!I661</f>
        <v>3.32</v>
      </c>
      <c r="D661" s="12">
        <f>if(sum(Daily_Data!K661:L661)&gt;0,1,0)</f>
        <v>0</v>
      </c>
    </row>
    <row r="662">
      <c r="A662" s="10">
        <f>Daily_Data!A662</f>
        <v>37452</v>
      </c>
      <c r="B662" s="11">
        <f>Daily_Data!J662</f>
        <v>35.03</v>
      </c>
      <c r="C662" s="11">
        <f>Daily_Data!I662</f>
        <v>3.25</v>
      </c>
      <c r="D662" s="12">
        <f>if(sum(Daily_Data!K662:L662)&gt;0,1,0)</f>
        <v>0</v>
      </c>
    </row>
    <row r="663">
      <c r="A663" s="10">
        <f>Daily_Data!A663</f>
        <v>37453</v>
      </c>
      <c r="B663" s="11">
        <f>Daily_Data!J663</f>
        <v>36.65</v>
      </c>
      <c r="C663" s="11">
        <f>Daily_Data!I663</f>
        <v>3.2</v>
      </c>
      <c r="D663" s="12">
        <f>if(sum(Daily_Data!K663:L663)&gt;0,1,0)</f>
        <v>0</v>
      </c>
    </row>
    <row r="664">
      <c r="A664" s="10">
        <f>Daily_Data!A664</f>
        <v>37454</v>
      </c>
      <c r="B664" s="11">
        <f>Daily_Data!J664</f>
        <v>35.45</v>
      </c>
      <c r="C664" s="11">
        <f>Daily_Data!I664</f>
        <v>3.25</v>
      </c>
      <c r="D664" s="12">
        <f>if(sum(Daily_Data!K664:L664)&gt;0,1,0)</f>
        <v>0</v>
      </c>
    </row>
    <row r="665">
      <c r="A665" s="10">
        <f>Daily_Data!A665</f>
        <v>37455</v>
      </c>
      <c r="B665" s="11">
        <f>Daily_Data!J665</f>
        <v>35.12</v>
      </c>
      <c r="C665" s="11">
        <f>Daily_Data!I665</f>
        <v>3.32</v>
      </c>
      <c r="D665" s="12">
        <f>if(sum(Daily_Data!K665:L665)&gt;0,1,0)</f>
        <v>0</v>
      </c>
    </row>
    <row r="666">
      <c r="A666" s="10">
        <f>Daily_Data!A666</f>
        <v>37456</v>
      </c>
      <c r="B666" s="11">
        <f>Daily_Data!J666</f>
        <v>38.17</v>
      </c>
      <c r="C666" s="11">
        <f>Daily_Data!I666</f>
        <v>3.29</v>
      </c>
      <c r="D666" s="12">
        <f>if(sum(Daily_Data!K666:L666)&gt;0,1,0)</f>
        <v>1</v>
      </c>
    </row>
    <row r="667">
      <c r="A667" s="10">
        <f>Daily_Data!A667</f>
        <v>37459</v>
      </c>
      <c r="B667" s="11">
        <f>Daily_Data!J667</f>
        <v>41.87</v>
      </c>
      <c r="C667" s="11">
        <f>Daily_Data!I667</f>
        <v>3.3</v>
      </c>
      <c r="D667" s="12">
        <f>if(sum(Daily_Data!K667:L667)&gt;0,1,0)</f>
        <v>0</v>
      </c>
    </row>
    <row r="668">
      <c r="A668" s="10">
        <f>Daily_Data!A668</f>
        <v>37460</v>
      </c>
      <c r="B668" s="11">
        <f>Daily_Data!J668</f>
        <v>44.92</v>
      </c>
      <c r="C668" s="11">
        <f>Daily_Data!I668</f>
        <v>3.33</v>
      </c>
      <c r="D668" s="12">
        <f>if(sum(Daily_Data!K668:L668)&gt;0,1,0)</f>
        <v>0</v>
      </c>
    </row>
    <row r="669">
      <c r="A669" s="10">
        <f>Daily_Data!A669</f>
        <v>37461</v>
      </c>
      <c r="B669" s="11">
        <f>Daily_Data!J669</f>
        <v>39.86</v>
      </c>
      <c r="C669" s="11">
        <f>Daily_Data!I669</f>
        <v>3.24</v>
      </c>
      <c r="D669" s="12">
        <f>if(sum(Daily_Data!K669:L669)&gt;0,1,0)</f>
        <v>0</v>
      </c>
    </row>
    <row r="670">
      <c r="A670" s="10">
        <f>Daily_Data!A670</f>
        <v>37462</v>
      </c>
      <c r="B670" s="11">
        <f>Daily_Data!J670</f>
        <v>39.27</v>
      </c>
      <c r="C670" s="11">
        <f>Daily_Data!I670</f>
        <v>3.28</v>
      </c>
      <c r="D670" s="12">
        <f>if(sum(Daily_Data!K670:L670)&gt;0,1,0)</f>
        <v>0</v>
      </c>
    </row>
    <row r="671">
      <c r="A671" s="10">
        <f>Daily_Data!A671</f>
        <v>37463</v>
      </c>
      <c r="B671" s="11">
        <f>Daily_Data!J671</f>
        <v>35.51</v>
      </c>
      <c r="C671" s="11">
        <f>Daily_Data!I671</f>
        <v>3.35</v>
      </c>
      <c r="D671" s="12">
        <f>if(sum(Daily_Data!K671:L671)&gt;0,1,0)</f>
        <v>0</v>
      </c>
    </row>
    <row r="672">
      <c r="A672" s="10">
        <f>Daily_Data!A672</f>
        <v>37466</v>
      </c>
      <c r="B672" s="11">
        <f>Daily_Data!J672</f>
        <v>31.33</v>
      </c>
      <c r="C672" s="11">
        <f>Daily_Data!I672</f>
        <v>3.15</v>
      </c>
      <c r="D672" s="12">
        <f>if(sum(Daily_Data!K672:L672)&gt;0,1,0)</f>
        <v>0</v>
      </c>
    </row>
    <row r="673">
      <c r="A673" s="10">
        <f>Daily_Data!A673</f>
        <v>37467</v>
      </c>
      <c r="B673" s="11">
        <f>Daily_Data!J673</f>
        <v>31.92</v>
      </c>
      <c r="C673" s="11">
        <f>Daily_Data!I673</f>
        <v>3.18</v>
      </c>
      <c r="D673" s="12">
        <f>if(sum(Daily_Data!K673:L673)&gt;0,1,0)</f>
        <v>0</v>
      </c>
    </row>
    <row r="674">
      <c r="A674" s="10">
        <f>Daily_Data!A674</f>
        <v>37468</v>
      </c>
      <c r="B674" s="11">
        <f>Daily_Data!J674</f>
        <v>32.03</v>
      </c>
      <c r="C674" s="11">
        <f>Daily_Data!I674</f>
        <v>3.38</v>
      </c>
      <c r="D674" s="12">
        <f>if(sum(Daily_Data!K674:L674)&gt;0,1,0)</f>
        <v>0</v>
      </c>
    </row>
    <row r="675">
      <c r="A675" s="10">
        <f>Daily_Data!A675</f>
        <v>37469</v>
      </c>
      <c r="B675" s="11">
        <f>Daily_Data!J675</f>
        <v>36.95</v>
      </c>
      <c r="C675" s="11">
        <f>Daily_Data!I675</f>
        <v>3.42</v>
      </c>
      <c r="D675" s="12">
        <f>if(sum(Daily_Data!K675:L675)&gt;0,1,0)</f>
        <v>0</v>
      </c>
    </row>
    <row r="676">
      <c r="A676" s="10">
        <f>Daily_Data!A676</f>
        <v>37470</v>
      </c>
      <c r="B676" s="11">
        <f>Daily_Data!J676</f>
        <v>41.29</v>
      </c>
      <c r="C676" s="11">
        <f>Daily_Data!I676</f>
        <v>3.55</v>
      </c>
      <c r="D676" s="12">
        <f>if(sum(Daily_Data!K676:L676)&gt;0,1,0)</f>
        <v>1</v>
      </c>
    </row>
    <row r="677">
      <c r="A677" s="10">
        <f>Daily_Data!A677</f>
        <v>37473</v>
      </c>
      <c r="B677" s="11">
        <f>Daily_Data!J677</f>
        <v>45.08</v>
      </c>
      <c r="C677" s="11">
        <f>Daily_Data!I677</f>
        <v>3.55</v>
      </c>
      <c r="D677" s="12">
        <f>if(sum(Daily_Data!K677:L677)&gt;0,1,0)</f>
        <v>0</v>
      </c>
    </row>
    <row r="678">
      <c r="A678" s="10">
        <f>Daily_Data!A678</f>
        <v>37474</v>
      </c>
      <c r="B678" s="11">
        <f>Daily_Data!J678</f>
        <v>42.03</v>
      </c>
      <c r="C678" s="11">
        <f>Daily_Data!I678</f>
        <v>3.38</v>
      </c>
      <c r="D678" s="12">
        <f>if(sum(Daily_Data!K678:L678)&gt;0,1,0)</f>
        <v>0</v>
      </c>
    </row>
    <row r="679">
      <c r="A679" s="10">
        <f>Daily_Data!A679</f>
        <v>37475</v>
      </c>
      <c r="B679" s="11">
        <f>Daily_Data!J679</f>
        <v>38.73</v>
      </c>
      <c r="C679" s="11">
        <f>Daily_Data!I679</f>
        <v>3.59</v>
      </c>
      <c r="D679" s="12">
        <f>if(sum(Daily_Data!K679:L679)&gt;0,1,0)</f>
        <v>0</v>
      </c>
    </row>
    <row r="680">
      <c r="A680" s="10">
        <f>Daily_Data!A680</f>
        <v>37476</v>
      </c>
      <c r="B680" s="11">
        <f>Daily_Data!J680</f>
        <v>36.33</v>
      </c>
      <c r="C680" s="11">
        <f>Daily_Data!I680</f>
        <v>3.45</v>
      </c>
      <c r="D680" s="12">
        <f>if(sum(Daily_Data!K680:L680)&gt;0,1,0)</f>
        <v>0</v>
      </c>
    </row>
    <row r="681">
      <c r="A681" s="10">
        <f>Daily_Data!A681</f>
        <v>37477</v>
      </c>
      <c r="B681" s="11">
        <f>Daily_Data!J681</f>
        <v>35.33</v>
      </c>
      <c r="C681" s="11">
        <f>Daily_Data!I681</f>
        <v>3.48</v>
      </c>
      <c r="D681" s="12">
        <f>if(sum(Daily_Data!K681:L681)&gt;0,1,0)</f>
        <v>0</v>
      </c>
    </row>
    <row r="682">
      <c r="A682" s="10">
        <f>Daily_Data!A682</f>
        <v>37480</v>
      </c>
      <c r="B682" s="11">
        <f>Daily_Data!J682</f>
        <v>37.05</v>
      </c>
      <c r="C682" s="11">
        <f>Daily_Data!I682</f>
        <v>3.49</v>
      </c>
      <c r="D682" s="12">
        <f>if(sum(Daily_Data!K682:L682)&gt;0,1,0)</f>
        <v>0</v>
      </c>
    </row>
    <row r="683">
      <c r="A683" s="10">
        <f>Daily_Data!A683</f>
        <v>37481</v>
      </c>
      <c r="B683" s="11">
        <f>Daily_Data!J683</f>
        <v>35.82</v>
      </c>
      <c r="C683" s="11">
        <f>Daily_Data!I683</f>
        <v>3.66</v>
      </c>
      <c r="D683" s="12">
        <f>if(sum(Daily_Data!K683:L683)&gt;0,1,0)</f>
        <v>0</v>
      </c>
    </row>
    <row r="684">
      <c r="A684" s="10">
        <f>Daily_Data!A684</f>
        <v>37482</v>
      </c>
      <c r="B684" s="11">
        <f>Daily_Data!J684</f>
        <v>32.36</v>
      </c>
      <c r="C684" s="11">
        <f>Daily_Data!I684</f>
        <v>3.47</v>
      </c>
      <c r="D684" s="12">
        <f>if(sum(Daily_Data!K684:L684)&gt;0,1,0)</f>
        <v>0</v>
      </c>
    </row>
    <row r="685">
      <c r="A685" s="10">
        <f>Daily_Data!A685</f>
        <v>37483</v>
      </c>
      <c r="B685" s="11">
        <f>Daily_Data!J685</f>
        <v>29.43</v>
      </c>
      <c r="C685" s="11">
        <f>Daily_Data!I685</f>
        <v>3.48</v>
      </c>
      <c r="D685" s="12">
        <f>if(sum(Daily_Data!K685:L685)&gt;0,1,0)</f>
        <v>0</v>
      </c>
    </row>
    <row r="686">
      <c r="A686" s="10">
        <f>Daily_Data!A686</f>
        <v>37484</v>
      </c>
      <c r="B686" s="11">
        <f>Daily_Data!J686</f>
        <v>28.81</v>
      </c>
      <c r="C686" s="11">
        <f>Daily_Data!I686</f>
        <v>3.46</v>
      </c>
      <c r="D686" s="12">
        <f>if(sum(Daily_Data!K686:L686)&gt;0,1,0)</f>
        <v>1</v>
      </c>
    </row>
    <row r="687">
      <c r="A687" s="10">
        <f>Daily_Data!A687</f>
        <v>37487</v>
      </c>
      <c r="B687" s="11">
        <f>Daily_Data!J687</f>
        <v>28.61</v>
      </c>
      <c r="C687" s="11">
        <f>Daily_Data!I687</f>
        <v>3.52</v>
      </c>
      <c r="D687" s="12">
        <f>if(sum(Daily_Data!K687:L687)&gt;0,1,0)</f>
        <v>0</v>
      </c>
    </row>
    <row r="688">
      <c r="A688" s="10">
        <f>Daily_Data!A688</f>
        <v>37488</v>
      </c>
      <c r="B688" s="11">
        <f>Daily_Data!J688</f>
        <v>29.59</v>
      </c>
      <c r="C688" s="11">
        <f>Daily_Data!I688</f>
        <v>3.63</v>
      </c>
      <c r="D688" s="12">
        <f>if(sum(Daily_Data!K688:L688)&gt;0,1,0)</f>
        <v>0</v>
      </c>
    </row>
    <row r="689">
      <c r="A689" s="10">
        <f>Daily_Data!A689</f>
        <v>37489</v>
      </c>
      <c r="B689" s="11">
        <f>Daily_Data!J689</f>
        <v>28.23</v>
      </c>
      <c r="C689" s="11">
        <f>Daily_Data!I689</f>
        <v>3.58</v>
      </c>
      <c r="D689" s="12">
        <f>if(sum(Daily_Data!K689:L689)&gt;0,1,0)</f>
        <v>0</v>
      </c>
    </row>
    <row r="690">
      <c r="A690" s="10">
        <f>Daily_Data!A690</f>
        <v>37490</v>
      </c>
      <c r="B690" s="11">
        <f>Daily_Data!J690</f>
        <v>27.75</v>
      </c>
      <c r="C690" s="11">
        <f>Daily_Data!I690</f>
        <v>3.53</v>
      </c>
      <c r="D690" s="12">
        <f>if(sum(Daily_Data!K690:L690)&gt;0,1,0)</f>
        <v>0</v>
      </c>
    </row>
    <row r="691">
      <c r="A691" s="10">
        <f>Daily_Data!A691</f>
        <v>37491</v>
      </c>
      <c r="B691" s="11">
        <f>Daily_Data!J691</f>
        <v>29.32</v>
      </c>
      <c r="C691" s="11">
        <f>Daily_Data!I691</f>
        <v>3.56</v>
      </c>
      <c r="D691" s="12">
        <f>if(sum(Daily_Data!K691:L691)&gt;0,1,0)</f>
        <v>0</v>
      </c>
    </row>
    <row r="692">
      <c r="A692" s="10">
        <f>Daily_Data!A692</f>
        <v>37494</v>
      </c>
      <c r="B692" s="11">
        <f>Daily_Data!J692</f>
        <v>29.89</v>
      </c>
      <c r="C692" s="11">
        <f>Daily_Data!I692</f>
        <v>3.53</v>
      </c>
      <c r="D692" s="12">
        <f>if(sum(Daily_Data!K692:L692)&gt;0,1,0)</f>
        <v>0</v>
      </c>
    </row>
    <row r="693">
      <c r="A693" s="10">
        <f>Daily_Data!A693</f>
        <v>37495</v>
      </c>
      <c r="B693" s="11">
        <f>Daily_Data!J693</f>
        <v>30.11</v>
      </c>
      <c r="C693" s="11">
        <f>Daily_Data!I693</f>
        <v>3.49</v>
      </c>
      <c r="D693" s="12">
        <f>if(sum(Daily_Data!K693:L693)&gt;0,1,0)</f>
        <v>0</v>
      </c>
    </row>
    <row r="694">
      <c r="A694" s="10">
        <f>Daily_Data!A694</f>
        <v>37496</v>
      </c>
      <c r="B694" s="11">
        <f>Daily_Data!J694</f>
        <v>33.32</v>
      </c>
      <c r="C694" s="11">
        <f>Daily_Data!I694</f>
        <v>3.54</v>
      </c>
      <c r="D694" s="12">
        <f>if(sum(Daily_Data!K694:L694)&gt;0,1,0)</f>
        <v>0</v>
      </c>
    </row>
    <row r="695">
      <c r="A695" s="10">
        <f>Daily_Data!A695</f>
        <v>37497</v>
      </c>
      <c r="B695" s="11">
        <f>Daily_Data!J695</f>
        <v>33.67</v>
      </c>
      <c r="C695" s="11">
        <f>Daily_Data!I695</f>
        <v>3.62</v>
      </c>
      <c r="D695" s="12">
        <f>if(sum(Daily_Data!K695:L695)&gt;0,1,0)</f>
        <v>0</v>
      </c>
    </row>
    <row r="696">
      <c r="A696" s="10">
        <f>Daily_Data!A696</f>
        <v>37498</v>
      </c>
      <c r="B696" s="11">
        <f>Daily_Data!J696</f>
        <v>32.64</v>
      </c>
      <c r="C696" s="11">
        <f>Daily_Data!I696</f>
        <v>3.57</v>
      </c>
      <c r="D696" s="12">
        <f>if(sum(Daily_Data!K696:L696)&gt;0,1,0)</f>
        <v>0</v>
      </c>
    </row>
    <row r="697">
      <c r="A697" s="10">
        <f>Daily_Data!A697</f>
        <v>37501</v>
      </c>
      <c r="B697" s="11" t="str">
        <f>Daily_Data!J697</f>
        <v/>
      </c>
      <c r="C697" s="11" t="str">
        <f>Daily_Data!I697</f>
        <v/>
      </c>
      <c r="D697" s="12">
        <f>if(sum(Daily_Data!K697:L697)&gt;0,1,0)</f>
        <v>0</v>
      </c>
    </row>
    <row r="698">
      <c r="A698" s="10">
        <f>Daily_Data!A698</f>
        <v>37502</v>
      </c>
      <c r="B698" s="11">
        <f>Daily_Data!J698</f>
        <v>39.97</v>
      </c>
      <c r="C698" s="11">
        <f>Daily_Data!I698</f>
        <v>3.66</v>
      </c>
      <c r="D698" s="12">
        <f>if(sum(Daily_Data!K698:L698)&gt;0,1,0)</f>
        <v>0</v>
      </c>
    </row>
    <row r="699">
      <c r="A699" s="10">
        <f>Daily_Data!A699</f>
        <v>37503</v>
      </c>
      <c r="B699" s="11">
        <f>Daily_Data!J699</f>
        <v>37.44</v>
      </c>
      <c r="C699" s="11">
        <f>Daily_Data!I699</f>
        <v>3.53</v>
      </c>
      <c r="D699" s="12">
        <f>if(sum(Daily_Data!K699:L699)&gt;0,1,0)</f>
        <v>0</v>
      </c>
    </row>
    <row r="700">
      <c r="A700" s="10">
        <f>Daily_Data!A700</f>
        <v>37504</v>
      </c>
      <c r="B700" s="11">
        <f>Daily_Data!J700</f>
        <v>38.86</v>
      </c>
      <c r="C700" s="11">
        <f>Daily_Data!I700</f>
        <v>3.63</v>
      </c>
      <c r="D700" s="12">
        <f>if(sum(Daily_Data!K700:L700)&gt;0,1,0)</f>
        <v>0</v>
      </c>
    </row>
    <row r="701">
      <c r="A701" s="10">
        <f>Daily_Data!A701</f>
        <v>37505</v>
      </c>
      <c r="B701" s="11">
        <f>Daily_Data!J701</f>
        <v>36.33</v>
      </c>
      <c r="C701" s="11">
        <f>Daily_Data!I701</f>
        <v>3.45</v>
      </c>
      <c r="D701" s="12">
        <f>if(sum(Daily_Data!K701:L701)&gt;0,1,0)</f>
        <v>1</v>
      </c>
    </row>
    <row r="702">
      <c r="A702" s="10">
        <f>Daily_Data!A702</f>
        <v>37508</v>
      </c>
      <c r="B702" s="11">
        <f>Daily_Data!J702</f>
        <v>36.45</v>
      </c>
      <c r="C702" s="11">
        <f>Daily_Data!I702</f>
        <v>3.44</v>
      </c>
      <c r="D702" s="12">
        <f>if(sum(Daily_Data!K702:L702)&gt;0,1,0)</f>
        <v>0</v>
      </c>
    </row>
    <row r="703">
      <c r="A703" s="10">
        <f>Daily_Data!A703</f>
        <v>37509</v>
      </c>
      <c r="B703" s="11">
        <f>Daily_Data!J703</f>
        <v>35.08</v>
      </c>
      <c r="C703" s="11">
        <f>Daily_Data!I703</f>
        <v>3.49</v>
      </c>
      <c r="D703" s="12">
        <f>if(sum(Daily_Data!K703:L703)&gt;0,1,0)</f>
        <v>0</v>
      </c>
    </row>
    <row r="704">
      <c r="A704" s="10">
        <f>Daily_Data!A704</f>
        <v>37510</v>
      </c>
      <c r="B704" s="11">
        <f>Daily_Data!J704</f>
        <v>34.81</v>
      </c>
      <c r="C704" s="11">
        <f>Daily_Data!I704</f>
        <v>3.44</v>
      </c>
      <c r="D704" s="12">
        <f>if(sum(Daily_Data!K704:L704)&gt;0,1,0)</f>
        <v>0</v>
      </c>
    </row>
    <row r="705">
      <c r="A705" s="10">
        <f>Daily_Data!A705</f>
        <v>37511</v>
      </c>
      <c r="B705" s="11">
        <f>Daily_Data!J705</f>
        <v>37.5</v>
      </c>
      <c r="C705" s="11">
        <f>Daily_Data!I705</f>
        <v>3.54</v>
      </c>
      <c r="D705" s="12">
        <f>if(sum(Daily_Data!K705:L705)&gt;0,1,0)</f>
        <v>0</v>
      </c>
    </row>
    <row r="706">
      <c r="A706" s="10">
        <f>Daily_Data!A706</f>
        <v>37512</v>
      </c>
      <c r="B706" s="11">
        <f>Daily_Data!J706</f>
        <v>35.82</v>
      </c>
      <c r="C706" s="11">
        <f>Daily_Data!I706</f>
        <v>3.55</v>
      </c>
      <c r="D706" s="12">
        <f>if(sum(Daily_Data!K706:L706)&gt;0,1,0)</f>
        <v>0</v>
      </c>
    </row>
    <row r="707">
      <c r="A707" s="10">
        <f>Daily_Data!A707</f>
        <v>37515</v>
      </c>
      <c r="B707" s="11">
        <f>Daily_Data!J707</f>
        <v>36.74</v>
      </c>
      <c r="C707" s="11">
        <f>Daily_Data!I707</f>
        <v>3.55</v>
      </c>
      <c r="D707" s="12">
        <f>if(sum(Daily_Data!K707:L707)&gt;0,1,0)</f>
        <v>0</v>
      </c>
    </row>
    <row r="708">
      <c r="A708" s="10">
        <f>Daily_Data!A708</f>
        <v>37516</v>
      </c>
      <c r="B708" s="11">
        <f>Daily_Data!J708</f>
        <v>38.01</v>
      </c>
      <c r="C708" s="11">
        <f>Daily_Data!I708</f>
        <v>3.64</v>
      </c>
      <c r="D708" s="12">
        <f>if(sum(Daily_Data!K708:L708)&gt;0,1,0)</f>
        <v>0</v>
      </c>
    </row>
    <row r="709">
      <c r="A709" s="10">
        <f>Daily_Data!A709</f>
        <v>37517</v>
      </c>
      <c r="B709" s="11">
        <f>Daily_Data!J709</f>
        <v>37.52</v>
      </c>
      <c r="C709" s="11">
        <f>Daily_Data!I709</f>
        <v>3.58</v>
      </c>
      <c r="D709" s="12">
        <f>if(sum(Daily_Data!K709:L709)&gt;0,1,0)</f>
        <v>1</v>
      </c>
    </row>
    <row r="710">
      <c r="A710" s="10">
        <f>Daily_Data!A710</f>
        <v>37518</v>
      </c>
      <c r="B710" s="11">
        <f>Daily_Data!J710</f>
        <v>40.65</v>
      </c>
      <c r="C710" s="11">
        <f>Daily_Data!I710</f>
        <v>3.71</v>
      </c>
      <c r="D710" s="12">
        <f>if(sum(Daily_Data!K710:L710)&gt;0,1,0)</f>
        <v>0</v>
      </c>
    </row>
    <row r="711">
      <c r="A711" s="10">
        <f>Daily_Data!A711</f>
        <v>37519</v>
      </c>
      <c r="B711" s="11">
        <f>Daily_Data!J711</f>
        <v>38.98</v>
      </c>
      <c r="C711" s="11">
        <f>Daily_Data!I711</f>
        <v>3.63</v>
      </c>
      <c r="D711" s="12">
        <f>if(sum(Daily_Data!K711:L711)&gt;0,1,0)</f>
        <v>0</v>
      </c>
    </row>
    <row r="712">
      <c r="A712" s="10">
        <f>Daily_Data!A712</f>
        <v>37522</v>
      </c>
      <c r="B712" s="11">
        <f>Daily_Data!J712</f>
        <v>39.68</v>
      </c>
      <c r="C712" s="11">
        <f>Daily_Data!I712</f>
        <v>3.63</v>
      </c>
      <c r="D712" s="12">
        <f>if(sum(Daily_Data!K712:L712)&gt;0,1,0)</f>
        <v>0</v>
      </c>
    </row>
    <row r="713">
      <c r="A713" s="10">
        <f>Daily_Data!A713</f>
        <v>37523</v>
      </c>
      <c r="B713" s="11">
        <f>Daily_Data!J713</f>
        <v>40.52</v>
      </c>
      <c r="C713" s="11">
        <f>Daily_Data!I713</f>
        <v>3.6</v>
      </c>
      <c r="D713" s="12">
        <f>if(sum(Daily_Data!K713:L713)&gt;0,1,0)</f>
        <v>0</v>
      </c>
    </row>
    <row r="714">
      <c r="A714" s="10">
        <f>Daily_Data!A714</f>
        <v>37524</v>
      </c>
      <c r="B714" s="11">
        <f>Daily_Data!J714</f>
        <v>37.33</v>
      </c>
      <c r="C714" s="11">
        <f>Daily_Data!I714</f>
        <v>3.53</v>
      </c>
      <c r="D714" s="12">
        <f>if(sum(Daily_Data!K714:L714)&gt;0,1,0)</f>
        <v>0</v>
      </c>
    </row>
    <row r="715">
      <c r="A715" s="10">
        <f>Daily_Data!A715</f>
        <v>37525</v>
      </c>
      <c r="B715" s="11">
        <f>Daily_Data!J715</f>
        <v>34.6</v>
      </c>
      <c r="C715" s="11">
        <f>Daily_Data!I715</f>
        <v>3.7</v>
      </c>
      <c r="D715" s="12">
        <f>if(sum(Daily_Data!K715:L715)&gt;0,1,0)</f>
        <v>0</v>
      </c>
    </row>
    <row r="716">
      <c r="A716" s="10">
        <f>Daily_Data!A716</f>
        <v>37526</v>
      </c>
      <c r="B716" s="11">
        <f>Daily_Data!J716</f>
        <v>36.97</v>
      </c>
      <c r="C716" s="11">
        <f>Daily_Data!I716</f>
        <v>3.87</v>
      </c>
      <c r="D716" s="12">
        <f>if(sum(Daily_Data!K716:L716)&gt;0,1,0)</f>
        <v>0</v>
      </c>
    </row>
    <row r="717">
      <c r="A717" s="10">
        <f>Daily_Data!A717</f>
        <v>37529</v>
      </c>
      <c r="B717" s="11">
        <f>Daily_Data!J717</f>
        <v>39.69</v>
      </c>
      <c r="C717" s="11">
        <f>Daily_Data!I717</f>
        <v>3.86</v>
      </c>
      <c r="D717" s="12">
        <f>if(sum(Daily_Data!K717:L717)&gt;0,1,0)</f>
        <v>0</v>
      </c>
    </row>
    <row r="718">
      <c r="A718" s="10">
        <f>Daily_Data!A718</f>
        <v>37530</v>
      </c>
      <c r="B718" s="11">
        <f>Daily_Data!J718</f>
        <v>34.12</v>
      </c>
      <c r="C718" s="11">
        <f>Daily_Data!I718</f>
        <v>3.77</v>
      </c>
      <c r="D718" s="12">
        <f>if(sum(Daily_Data!K718:L718)&gt;0,1,0)</f>
        <v>0</v>
      </c>
    </row>
    <row r="719">
      <c r="A719" s="10">
        <f>Daily_Data!A719</f>
        <v>37531</v>
      </c>
      <c r="B719" s="11">
        <f>Daily_Data!J719</f>
        <v>36.83</v>
      </c>
      <c r="C719" s="11">
        <f>Daily_Data!I719</f>
        <v>3.92</v>
      </c>
      <c r="D719" s="12">
        <f>if(sum(Daily_Data!K719:L719)&gt;0,1,0)</f>
        <v>0</v>
      </c>
    </row>
    <row r="720">
      <c r="A720" s="10">
        <f>Daily_Data!A720</f>
        <v>37532</v>
      </c>
      <c r="B720" s="11">
        <f>Daily_Data!J720</f>
        <v>37.31</v>
      </c>
      <c r="C720" s="11">
        <f>Daily_Data!I720</f>
        <v>3.89</v>
      </c>
      <c r="D720" s="12">
        <f>if(sum(Daily_Data!K720:L720)&gt;0,1,0)</f>
        <v>0</v>
      </c>
    </row>
    <row r="721">
      <c r="A721" s="10">
        <f>Daily_Data!A721</f>
        <v>37533</v>
      </c>
      <c r="B721" s="11">
        <f>Daily_Data!J721</f>
        <v>39.46</v>
      </c>
      <c r="C721" s="11">
        <f>Daily_Data!I721</f>
        <v>3.84</v>
      </c>
      <c r="D721" s="12">
        <f>if(sum(Daily_Data!K721:L721)&gt;0,1,0)</f>
        <v>1</v>
      </c>
    </row>
    <row r="722">
      <c r="A722" s="10">
        <f>Daily_Data!A722</f>
        <v>37536</v>
      </c>
      <c r="B722" s="11">
        <f>Daily_Data!J722</f>
        <v>42.64</v>
      </c>
      <c r="C722" s="11">
        <f>Daily_Data!I722</f>
        <v>3.86</v>
      </c>
      <c r="D722" s="12">
        <f>if(sum(Daily_Data!K722:L722)&gt;0,1,0)</f>
        <v>0</v>
      </c>
    </row>
    <row r="723">
      <c r="A723" s="10">
        <f>Daily_Data!A723</f>
        <v>37537</v>
      </c>
      <c r="B723" s="11">
        <f>Daily_Data!J723</f>
        <v>41.02</v>
      </c>
      <c r="C723" s="11">
        <f>Daily_Data!I723</f>
        <v>3.76</v>
      </c>
      <c r="D723" s="12">
        <f>if(sum(Daily_Data!K723:L723)&gt;0,1,0)</f>
        <v>0</v>
      </c>
    </row>
    <row r="724">
      <c r="A724" s="10">
        <f>Daily_Data!A724</f>
        <v>37538</v>
      </c>
      <c r="B724" s="11">
        <f>Daily_Data!J724</f>
        <v>42.13</v>
      </c>
      <c r="C724" s="11">
        <f>Daily_Data!I724</f>
        <v>3.87</v>
      </c>
      <c r="D724" s="12">
        <f>if(sum(Daily_Data!K724:L724)&gt;0,1,0)</f>
        <v>0</v>
      </c>
    </row>
    <row r="725">
      <c r="A725" s="10">
        <f>Daily_Data!A725</f>
        <v>37539</v>
      </c>
      <c r="B725" s="11">
        <f>Daily_Data!J725</f>
        <v>37.55</v>
      </c>
      <c r="C725" s="11">
        <f>Daily_Data!I725</f>
        <v>3.84</v>
      </c>
      <c r="D725" s="12">
        <f>if(sum(Daily_Data!K725:L725)&gt;0,1,0)</f>
        <v>0</v>
      </c>
    </row>
    <row r="726">
      <c r="A726" s="10">
        <f>Daily_Data!A726</f>
        <v>37540</v>
      </c>
      <c r="B726" s="11">
        <f>Daily_Data!J726</f>
        <v>35.7</v>
      </c>
      <c r="C726" s="11">
        <f>Daily_Data!I726</f>
        <v>3.75</v>
      </c>
      <c r="D726" s="12">
        <f>if(sum(Daily_Data!K726:L726)&gt;0,1,0)</f>
        <v>0</v>
      </c>
    </row>
    <row r="727">
      <c r="A727" s="10">
        <f>Daily_Data!A727</f>
        <v>37543</v>
      </c>
      <c r="B727" s="11">
        <f>Daily_Data!J727</f>
        <v>36.04</v>
      </c>
      <c r="C727" s="11" t="str">
        <f>Daily_Data!I727</f>
        <v/>
      </c>
      <c r="D727" s="12">
        <f>if(sum(Daily_Data!K727:L727)&gt;0,1,0)</f>
        <v>0</v>
      </c>
    </row>
    <row r="728">
      <c r="A728" s="10">
        <f>Daily_Data!A728</f>
        <v>37544</v>
      </c>
      <c r="B728" s="11">
        <f>Daily_Data!J728</f>
        <v>34.02</v>
      </c>
      <c r="C728" s="11">
        <f>Daily_Data!I728</f>
        <v>3.57</v>
      </c>
      <c r="D728" s="12">
        <f>if(sum(Daily_Data!K728:L728)&gt;0,1,0)</f>
        <v>0</v>
      </c>
    </row>
    <row r="729">
      <c r="A729" s="10">
        <f>Daily_Data!A729</f>
        <v>37545</v>
      </c>
      <c r="B729" s="11">
        <f>Daily_Data!J729</f>
        <v>36</v>
      </c>
      <c r="C729" s="11">
        <f>Daily_Data!I729</f>
        <v>3.84</v>
      </c>
      <c r="D729" s="12">
        <f>if(sum(Daily_Data!K729:L729)&gt;0,1,0)</f>
        <v>0</v>
      </c>
    </row>
    <row r="730">
      <c r="A730" s="10">
        <f>Daily_Data!A730</f>
        <v>37546</v>
      </c>
      <c r="B730" s="11">
        <f>Daily_Data!J730</f>
        <v>34.1</v>
      </c>
      <c r="C730" s="11">
        <f>Daily_Data!I730</f>
        <v>3.81</v>
      </c>
      <c r="D730" s="12">
        <f>if(sum(Daily_Data!K730:L730)&gt;0,1,0)</f>
        <v>0</v>
      </c>
    </row>
    <row r="731">
      <c r="A731" s="10">
        <f>Daily_Data!A731</f>
        <v>37547</v>
      </c>
      <c r="B731" s="11">
        <f>Daily_Data!J731</f>
        <v>33.53</v>
      </c>
      <c r="C731" s="11">
        <f>Daily_Data!I731</f>
        <v>3.86</v>
      </c>
      <c r="D731" s="12">
        <f>if(sum(Daily_Data!K731:L731)&gt;0,1,0)</f>
        <v>1</v>
      </c>
    </row>
    <row r="732">
      <c r="A732" s="10">
        <f>Daily_Data!A732</f>
        <v>37550</v>
      </c>
      <c r="B732" s="11">
        <f>Daily_Data!J732</f>
        <v>33.11</v>
      </c>
      <c r="C732" s="11">
        <f>Daily_Data!I732</f>
        <v>3.66</v>
      </c>
      <c r="D732" s="12">
        <f>if(sum(Daily_Data!K732:L732)&gt;0,1,0)</f>
        <v>0</v>
      </c>
    </row>
    <row r="733">
      <c r="A733" s="10">
        <f>Daily_Data!A733</f>
        <v>37551</v>
      </c>
      <c r="B733" s="11">
        <f>Daily_Data!J733</f>
        <v>34.09</v>
      </c>
      <c r="C733" s="11">
        <f>Daily_Data!I733</f>
        <v>3.75</v>
      </c>
      <c r="D733" s="12">
        <f>if(sum(Daily_Data!K733:L733)&gt;0,1,0)</f>
        <v>0</v>
      </c>
    </row>
    <row r="734">
      <c r="A734" s="10">
        <f>Daily_Data!A734</f>
        <v>37552</v>
      </c>
      <c r="B734" s="11">
        <f>Daily_Data!J734</f>
        <v>33.2</v>
      </c>
      <c r="C734" s="11">
        <f>Daily_Data!I734</f>
        <v>3.76</v>
      </c>
      <c r="D734" s="12">
        <f>if(sum(Daily_Data!K734:L734)&gt;0,1,0)</f>
        <v>0</v>
      </c>
    </row>
    <row r="735">
      <c r="A735" s="10">
        <f>Daily_Data!A735</f>
        <v>37553</v>
      </c>
      <c r="B735" s="11">
        <f>Daily_Data!J735</f>
        <v>34.03</v>
      </c>
      <c r="C735" s="11">
        <f>Daily_Data!I735</f>
        <v>3.85</v>
      </c>
      <c r="D735" s="12">
        <f>if(sum(Daily_Data!K735:L735)&gt;0,1,0)</f>
        <v>0</v>
      </c>
    </row>
    <row r="736">
      <c r="A736" s="10">
        <f>Daily_Data!A736</f>
        <v>37554</v>
      </c>
      <c r="B736" s="11">
        <f>Daily_Data!J736</f>
        <v>30</v>
      </c>
      <c r="C736" s="11">
        <f>Daily_Data!I736</f>
        <v>3.89</v>
      </c>
      <c r="D736" s="12">
        <f>if(sum(Daily_Data!K736:L736)&gt;0,1,0)</f>
        <v>0</v>
      </c>
    </row>
    <row r="737">
      <c r="A737" s="10">
        <f>Daily_Data!A737</f>
        <v>37557</v>
      </c>
      <c r="B737" s="11">
        <f>Daily_Data!J737</f>
        <v>31.07</v>
      </c>
      <c r="C737" s="11" t="str">
        <f>Daily_Data!I737</f>
        <v/>
      </c>
      <c r="D737" s="12">
        <f>if(sum(Daily_Data!K737:L737)&gt;0,1,0)</f>
        <v>0</v>
      </c>
    </row>
    <row r="738">
      <c r="A738" s="10">
        <f>Daily_Data!A738</f>
        <v>37558</v>
      </c>
      <c r="B738" s="11">
        <f>Daily_Data!J738</f>
        <v>32.27</v>
      </c>
      <c r="C738" s="11">
        <f>Daily_Data!I738</f>
        <v>4.02</v>
      </c>
      <c r="D738" s="12">
        <f>if(sum(Daily_Data!K738:L738)&gt;0,1,0)</f>
        <v>0</v>
      </c>
    </row>
    <row r="739">
      <c r="A739" s="10">
        <f>Daily_Data!A739</f>
        <v>37559</v>
      </c>
      <c r="B739" s="11">
        <f>Daily_Data!J739</f>
        <v>31.23</v>
      </c>
      <c r="C739" s="11">
        <f>Daily_Data!I739</f>
        <v>3.99</v>
      </c>
      <c r="D739" s="12">
        <f>if(sum(Daily_Data!K739:L739)&gt;0,1,0)</f>
        <v>0</v>
      </c>
    </row>
    <row r="740">
      <c r="A740" s="10">
        <f>Daily_Data!A740</f>
        <v>37560</v>
      </c>
      <c r="B740" s="11">
        <f>Daily_Data!J740</f>
        <v>31.14</v>
      </c>
      <c r="C740" s="11">
        <f>Daily_Data!I740</f>
        <v>4.08</v>
      </c>
      <c r="D740" s="12">
        <f>if(sum(Daily_Data!K740:L740)&gt;0,1,0)</f>
        <v>0</v>
      </c>
    </row>
    <row r="741">
      <c r="A741" s="10">
        <f>Daily_Data!A741</f>
        <v>37561</v>
      </c>
      <c r="B741" s="11">
        <f>Daily_Data!J741</f>
        <v>29.3</v>
      </c>
      <c r="C741" s="11">
        <f>Daily_Data!I741</f>
        <v>3.94</v>
      </c>
      <c r="D741" s="12">
        <f>if(sum(Daily_Data!K741:L741)&gt;0,1,0)</f>
        <v>1</v>
      </c>
    </row>
    <row r="742">
      <c r="A742" s="10">
        <f>Daily_Data!A742</f>
        <v>37564</v>
      </c>
      <c r="B742" s="11">
        <f>Daily_Data!J742</f>
        <v>30.82</v>
      </c>
      <c r="C742" s="11">
        <f>Daily_Data!I742</f>
        <v>3.97</v>
      </c>
      <c r="D742" s="12">
        <f>if(sum(Daily_Data!K742:L742)&gt;0,1,0)</f>
        <v>0</v>
      </c>
    </row>
    <row r="743">
      <c r="A743" s="10">
        <f>Daily_Data!A743</f>
        <v>37565</v>
      </c>
      <c r="B743" s="11">
        <f>Daily_Data!J743</f>
        <v>31.23</v>
      </c>
      <c r="C743" s="11">
        <f>Daily_Data!I743</f>
        <v>3.97</v>
      </c>
      <c r="D743" s="12">
        <f>if(sum(Daily_Data!K743:L743)&gt;0,1,0)</f>
        <v>0</v>
      </c>
    </row>
    <row r="744">
      <c r="A744" s="10">
        <f>Daily_Data!A744</f>
        <v>37566</v>
      </c>
      <c r="B744" s="11">
        <f>Daily_Data!J744</f>
        <v>30.73</v>
      </c>
      <c r="C744" s="11">
        <f>Daily_Data!I744</f>
        <v>3.93</v>
      </c>
      <c r="D744" s="12">
        <f>if(sum(Daily_Data!K744:L744)&gt;0,1,0)</f>
        <v>0</v>
      </c>
    </row>
    <row r="745">
      <c r="A745" s="10">
        <f>Daily_Data!A745</f>
        <v>37567</v>
      </c>
      <c r="B745" s="11">
        <f>Daily_Data!J745</f>
        <v>31.42</v>
      </c>
      <c r="C745" s="11">
        <f>Daily_Data!I745</f>
        <v>3.94</v>
      </c>
      <c r="D745" s="12">
        <f>if(sum(Daily_Data!K745:L745)&gt;0,1,0)</f>
        <v>0</v>
      </c>
    </row>
    <row r="746">
      <c r="A746" s="10">
        <f>Daily_Data!A746</f>
        <v>37568</v>
      </c>
      <c r="B746" s="11">
        <f>Daily_Data!J746</f>
        <v>29.41</v>
      </c>
      <c r="C746" s="11">
        <f>Daily_Data!I746</f>
        <v>3.86</v>
      </c>
      <c r="D746" s="12">
        <f>if(sum(Daily_Data!K746:L746)&gt;0,1,0)</f>
        <v>0</v>
      </c>
    </row>
    <row r="747">
      <c r="A747" s="10">
        <f>Daily_Data!A747</f>
        <v>37571</v>
      </c>
      <c r="B747" s="11">
        <f>Daily_Data!J747</f>
        <v>31.3</v>
      </c>
      <c r="C747" s="11" t="str">
        <f>Daily_Data!I747</f>
        <v/>
      </c>
      <c r="D747" s="12">
        <f>if(sum(Daily_Data!K747:L747)&gt;0,1,0)</f>
        <v>0</v>
      </c>
    </row>
    <row r="748">
      <c r="A748" s="10">
        <f>Daily_Data!A748</f>
        <v>37572</v>
      </c>
      <c r="B748" s="11">
        <f>Daily_Data!J748</f>
        <v>30.58</v>
      </c>
      <c r="C748" s="11">
        <f>Daily_Data!I748</f>
        <v>3.84</v>
      </c>
      <c r="D748" s="12">
        <f>if(sum(Daily_Data!K748:L748)&gt;0,1,0)</f>
        <v>0</v>
      </c>
    </row>
    <row r="749">
      <c r="A749" s="10">
        <f>Daily_Data!A749</f>
        <v>37573</v>
      </c>
      <c r="B749" s="11">
        <f>Daily_Data!J749</f>
        <v>31.24</v>
      </c>
      <c r="C749" s="11">
        <f>Daily_Data!I749</f>
        <v>3.93</v>
      </c>
      <c r="D749" s="12">
        <f>if(sum(Daily_Data!K749:L749)&gt;0,1,0)</f>
        <v>0</v>
      </c>
    </row>
    <row r="750">
      <c r="A750" s="10">
        <f>Daily_Data!A750</f>
        <v>37574</v>
      </c>
      <c r="B750" s="11">
        <f>Daily_Data!J750</f>
        <v>28.67</v>
      </c>
      <c r="C750" s="11">
        <f>Daily_Data!I750</f>
        <v>3.77</v>
      </c>
      <c r="D750" s="12">
        <f>if(sum(Daily_Data!K750:L750)&gt;0,1,0)</f>
        <v>0</v>
      </c>
    </row>
    <row r="751">
      <c r="A751" s="10">
        <f>Daily_Data!A751</f>
        <v>37575</v>
      </c>
      <c r="B751" s="11">
        <f>Daily_Data!J751</f>
        <v>26.65</v>
      </c>
      <c r="C751" s="11">
        <f>Daily_Data!I751</f>
        <v>3.82</v>
      </c>
      <c r="D751" s="12">
        <f>if(sum(Daily_Data!K751:L751)&gt;0,1,0)</f>
        <v>0</v>
      </c>
    </row>
    <row r="752">
      <c r="A752" s="10">
        <f>Daily_Data!A752</f>
        <v>37578</v>
      </c>
      <c r="B752" s="11">
        <f>Daily_Data!J752</f>
        <v>27.66</v>
      </c>
      <c r="C752" s="11">
        <f>Daily_Data!I752</f>
        <v>3.82</v>
      </c>
      <c r="D752" s="12">
        <f>if(sum(Daily_Data!K752:L752)&gt;0,1,0)</f>
        <v>0</v>
      </c>
    </row>
    <row r="753">
      <c r="A753" s="10">
        <f>Daily_Data!A753</f>
        <v>37579</v>
      </c>
      <c r="B753" s="11">
        <f>Daily_Data!J753</f>
        <v>27.41</v>
      </c>
      <c r="C753" s="11">
        <f>Daily_Data!I753</f>
        <v>3.82</v>
      </c>
      <c r="D753" s="12">
        <f>if(sum(Daily_Data!K753:L753)&gt;0,1,0)</f>
        <v>1</v>
      </c>
    </row>
    <row r="754">
      <c r="A754" s="10">
        <f>Daily_Data!A754</f>
        <v>37580</v>
      </c>
      <c r="B754" s="11">
        <f>Daily_Data!J754</f>
        <v>25.32</v>
      </c>
      <c r="C754" s="11">
        <f>Daily_Data!I754</f>
        <v>3.8</v>
      </c>
      <c r="D754" s="12">
        <f>if(sum(Daily_Data!K754:L754)&gt;0,1,0)</f>
        <v>0</v>
      </c>
    </row>
    <row r="755">
      <c r="A755" s="10">
        <f>Daily_Data!A755</f>
        <v>37581</v>
      </c>
      <c r="B755" s="11">
        <f>Daily_Data!J755</f>
        <v>23.81</v>
      </c>
      <c r="C755" s="11">
        <f>Daily_Data!I755</f>
        <v>3.81</v>
      </c>
      <c r="D755" s="12">
        <f>if(sum(Daily_Data!K755:L755)&gt;0,1,0)</f>
        <v>0</v>
      </c>
    </row>
    <row r="756">
      <c r="A756" s="10">
        <f>Daily_Data!A756</f>
        <v>37582</v>
      </c>
      <c r="B756" s="11">
        <f>Daily_Data!J756</f>
        <v>23.16</v>
      </c>
      <c r="C756" s="11">
        <f>Daily_Data!I756</f>
        <v>3.74</v>
      </c>
      <c r="D756" s="12">
        <f>if(sum(Daily_Data!K756:L756)&gt;0,1,0)</f>
        <v>0</v>
      </c>
    </row>
    <row r="757">
      <c r="A757" s="10">
        <f>Daily_Data!A757</f>
        <v>37585</v>
      </c>
      <c r="B757" s="11">
        <f>Daily_Data!J757</f>
        <v>24.07</v>
      </c>
      <c r="C757" s="11">
        <f>Daily_Data!I757</f>
        <v>3.7</v>
      </c>
      <c r="D757" s="12">
        <f>if(sum(Daily_Data!K757:L757)&gt;0,1,0)</f>
        <v>0</v>
      </c>
    </row>
    <row r="758">
      <c r="A758" s="10">
        <f>Daily_Data!A758</f>
        <v>37586</v>
      </c>
      <c r="B758" s="11">
        <f>Daily_Data!J758</f>
        <v>25.97</v>
      </c>
      <c r="C758" s="11">
        <f>Daily_Data!I758</f>
        <v>3.82</v>
      </c>
      <c r="D758" s="12">
        <f>if(sum(Daily_Data!K758:L758)&gt;0,1,0)</f>
        <v>0</v>
      </c>
    </row>
    <row r="759">
      <c r="A759" s="10">
        <f>Daily_Data!A759</f>
        <v>37587</v>
      </c>
      <c r="B759" s="11">
        <f>Daily_Data!J759</f>
        <v>27.25</v>
      </c>
      <c r="C759" s="11">
        <f>Daily_Data!I759</f>
        <v>3.61</v>
      </c>
      <c r="D759" s="12">
        <f>if(sum(Daily_Data!K759:L759)&gt;0,1,0)</f>
        <v>0</v>
      </c>
    </row>
    <row r="760">
      <c r="A760" s="10">
        <f>Daily_Data!A760</f>
        <v>37588</v>
      </c>
      <c r="B760" s="11" t="str">
        <f>Daily_Data!J760</f>
        <v/>
      </c>
      <c r="C760" s="11" t="str">
        <f>Daily_Data!I760</f>
        <v/>
      </c>
      <c r="D760" s="12">
        <f>if(sum(Daily_Data!K760:L760)&gt;0,1,0)</f>
        <v>0</v>
      </c>
    </row>
    <row r="761">
      <c r="A761" s="10">
        <f>Daily_Data!A761</f>
        <v>37589</v>
      </c>
      <c r="B761" s="11">
        <f>Daily_Data!J761</f>
        <v>27.5</v>
      </c>
      <c r="C761" s="11">
        <f>Daily_Data!I761</f>
        <v>3.73</v>
      </c>
      <c r="D761" s="12">
        <f>if(sum(Daily_Data!K761:L761)&gt;0,1,0)</f>
        <v>0</v>
      </c>
    </row>
    <row r="762">
      <c r="A762" s="10">
        <f>Daily_Data!A762</f>
        <v>37592</v>
      </c>
      <c r="B762" s="11">
        <f>Daily_Data!J762</f>
        <v>27.46</v>
      </c>
      <c r="C762" s="11">
        <f>Daily_Data!I762</f>
        <v>3.72</v>
      </c>
      <c r="D762" s="12">
        <f>if(sum(Daily_Data!K762:L762)&gt;0,1,0)</f>
        <v>0</v>
      </c>
    </row>
    <row r="763">
      <c r="A763" s="10">
        <f>Daily_Data!A763</f>
        <v>37593</v>
      </c>
      <c r="B763" s="11">
        <f>Daily_Data!J763</f>
        <v>28.33</v>
      </c>
      <c r="C763" s="11">
        <f>Daily_Data!I763</f>
        <v>3.73</v>
      </c>
      <c r="D763" s="12">
        <f>if(sum(Daily_Data!K763:L763)&gt;0,1,0)</f>
        <v>0</v>
      </c>
    </row>
    <row r="764">
      <c r="A764" s="10">
        <f>Daily_Data!A764</f>
        <v>37594</v>
      </c>
      <c r="B764" s="11">
        <f>Daily_Data!J764</f>
        <v>28.92</v>
      </c>
      <c r="C764" s="11">
        <f>Daily_Data!I764</f>
        <v>3.79</v>
      </c>
      <c r="D764" s="12">
        <f>if(sum(Daily_Data!K764:L764)&gt;0,1,0)</f>
        <v>0</v>
      </c>
    </row>
    <row r="765">
      <c r="A765" s="10">
        <f>Daily_Data!A765</f>
        <v>37595</v>
      </c>
      <c r="B765" s="11">
        <f>Daily_Data!J765</f>
        <v>30.1</v>
      </c>
      <c r="C765" s="11">
        <f>Daily_Data!I765</f>
        <v>3.82</v>
      </c>
      <c r="D765" s="12">
        <f>if(sum(Daily_Data!K765:L765)&gt;0,1,0)</f>
        <v>0</v>
      </c>
    </row>
    <row r="766">
      <c r="A766" s="10">
        <f>Daily_Data!A766</f>
        <v>37596</v>
      </c>
      <c r="B766" s="11">
        <f>Daily_Data!J766</f>
        <v>28.88</v>
      </c>
      <c r="C766" s="11">
        <f>Daily_Data!I766</f>
        <v>3.9</v>
      </c>
      <c r="D766" s="12">
        <f>if(sum(Daily_Data!K766:L766)&gt;0,1,0)</f>
        <v>1</v>
      </c>
    </row>
    <row r="767">
      <c r="A767" s="10">
        <f>Daily_Data!A767</f>
        <v>37599</v>
      </c>
      <c r="B767" s="11">
        <f>Daily_Data!J767</f>
        <v>30.78</v>
      </c>
      <c r="C767" s="11">
        <f>Daily_Data!I767</f>
        <v>3.89</v>
      </c>
      <c r="D767" s="12">
        <f>if(sum(Daily_Data!K767:L767)&gt;0,1,0)</f>
        <v>0</v>
      </c>
    </row>
    <row r="768">
      <c r="A768" s="10">
        <f>Daily_Data!A768</f>
        <v>37600</v>
      </c>
      <c r="B768" s="11">
        <f>Daily_Data!J768</f>
        <v>28.76</v>
      </c>
      <c r="C768" s="11">
        <f>Daily_Data!I768</f>
        <v>3.87</v>
      </c>
      <c r="D768" s="12">
        <f>if(sum(Daily_Data!K768:L768)&gt;0,1,0)</f>
        <v>0</v>
      </c>
    </row>
    <row r="769">
      <c r="A769" s="10">
        <f>Daily_Data!A769</f>
        <v>37601</v>
      </c>
      <c r="B769" s="11">
        <f>Daily_Data!J769</f>
        <v>27.76</v>
      </c>
      <c r="C769" s="11">
        <f>Daily_Data!I769</f>
        <v>3.97</v>
      </c>
      <c r="D769" s="12">
        <f>if(sum(Daily_Data!K769:L769)&gt;0,1,0)</f>
        <v>0</v>
      </c>
    </row>
    <row r="770">
      <c r="A770" s="10">
        <f>Daily_Data!A770</f>
        <v>37602</v>
      </c>
      <c r="B770" s="11">
        <f>Daily_Data!J770</f>
        <v>27.29</v>
      </c>
      <c r="C770" s="11">
        <f>Daily_Data!I770</f>
        <v>3.93</v>
      </c>
      <c r="D770" s="12">
        <f>if(sum(Daily_Data!K770:L770)&gt;0,1,0)</f>
        <v>0</v>
      </c>
    </row>
    <row r="771">
      <c r="A771" s="10">
        <f>Daily_Data!A771</f>
        <v>37603</v>
      </c>
      <c r="B771" s="11">
        <f>Daily_Data!J771</f>
        <v>28.18</v>
      </c>
      <c r="C771" s="11">
        <f>Daily_Data!I771</f>
        <v>3.92</v>
      </c>
      <c r="D771" s="12">
        <f>if(sum(Daily_Data!K771:L771)&gt;0,1,0)</f>
        <v>0</v>
      </c>
    </row>
    <row r="772">
      <c r="A772" s="10">
        <f>Daily_Data!A772</f>
        <v>37606</v>
      </c>
      <c r="B772" s="11">
        <f>Daily_Data!J772</f>
        <v>26.24</v>
      </c>
      <c r="C772" s="11">
        <f>Daily_Data!I772</f>
        <v>3.86</v>
      </c>
      <c r="D772" s="12">
        <f>if(sum(Daily_Data!K772:L772)&gt;0,1,0)</f>
        <v>0</v>
      </c>
    </row>
    <row r="773">
      <c r="A773" s="10">
        <f>Daily_Data!A773</f>
        <v>37607</v>
      </c>
      <c r="B773" s="11">
        <f>Daily_Data!J773</f>
        <v>26.66</v>
      </c>
      <c r="C773" s="11">
        <f>Daily_Data!I773</f>
        <v>3.97</v>
      </c>
      <c r="D773" s="12">
        <f>if(sum(Daily_Data!K773:L773)&gt;0,1,0)</f>
        <v>1</v>
      </c>
    </row>
    <row r="774">
      <c r="A774" s="10">
        <f>Daily_Data!A774</f>
        <v>37608</v>
      </c>
      <c r="B774" s="11">
        <f>Daily_Data!J774</f>
        <v>28.29</v>
      </c>
      <c r="C774" s="11">
        <f>Daily_Data!I774</f>
        <v>3.99</v>
      </c>
      <c r="D774" s="12">
        <f>if(sum(Daily_Data!K774:L774)&gt;0,1,0)</f>
        <v>0</v>
      </c>
    </row>
    <row r="775">
      <c r="A775" s="10">
        <f>Daily_Data!A775</f>
        <v>37609</v>
      </c>
      <c r="B775" s="11">
        <f>Daily_Data!J775</f>
        <v>30.21</v>
      </c>
      <c r="C775" s="11">
        <f>Daily_Data!I775</f>
        <v>4.01</v>
      </c>
      <c r="D775" s="12">
        <f>if(sum(Daily_Data!K775:L775)&gt;0,1,0)</f>
        <v>0</v>
      </c>
    </row>
    <row r="776">
      <c r="A776" s="10">
        <f>Daily_Data!A776</f>
        <v>37610</v>
      </c>
      <c r="B776" s="11">
        <f>Daily_Data!J776</f>
        <v>26.71</v>
      </c>
      <c r="C776" s="11">
        <f>Daily_Data!I776</f>
        <v>3.98</v>
      </c>
      <c r="D776" s="12">
        <f>if(sum(Daily_Data!K776:L776)&gt;0,1,0)</f>
        <v>0</v>
      </c>
    </row>
    <row r="777">
      <c r="A777" s="10">
        <f>Daily_Data!A777</f>
        <v>37613</v>
      </c>
      <c r="B777" s="11">
        <f>Daily_Data!J777</f>
        <v>26.2</v>
      </c>
      <c r="C777" s="11">
        <f>Daily_Data!I777</f>
        <v>3.97</v>
      </c>
      <c r="D777" s="12">
        <f>if(sum(Daily_Data!K777:L777)&gt;0,1,0)</f>
        <v>0</v>
      </c>
    </row>
    <row r="778">
      <c r="A778" s="10">
        <f>Daily_Data!A778</f>
        <v>37614</v>
      </c>
      <c r="B778" s="11">
        <f>Daily_Data!J778</f>
        <v>26.49</v>
      </c>
      <c r="C778" s="11">
        <f>Daily_Data!I778</f>
        <v>4.04</v>
      </c>
      <c r="D778" s="12">
        <f>if(sum(Daily_Data!K778:L778)&gt;0,1,0)</f>
        <v>0</v>
      </c>
    </row>
    <row r="779">
      <c r="A779" s="10">
        <f>Daily_Data!A779</f>
        <v>37615</v>
      </c>
      <c r="B779" s="11" t="str">
        <f>Daily_Data!J779</f>
        <v/>
      </c>
      <c r="C779" s="11" t="str">
        <f>Daily_Data!I779</f>
        <v/>
      </c>
      <c r="D779" s="12">
        <f>if(sum(Daily_Data!K779:L779)&gt;0,1,0)</f>
        <v>0</v>
      </c>
    </row>
    <row r="780">
      <c r="A780" s="10">
        <f>Daily_Data!A780</f>
        <v>37616</v>
      </c>
      <c r="B780" s="11">
        <f>Daily_Data!J780</f>
        <v>27.37</v>
      </c>
      <c r="C780" s="11" t="str">
        <f>Daily_Data!I780</f>
        <v/>
      </c>
      <c r="D780" s="12">
        <f>if(sum(Daily_Data!K780:L780)&gt;0,1,0)</f>
        <v>0</v>
      </c>
    </row>
    <row r="781">
      <c r="A781" s="10">
        <f>Daily_Data!A781</f>
        <v>37617</v>
      </c>
      <c r="B781" s="11">
        <f>Daily_Data!J781</f>
        <v>29.55</v>
      </c>
      <c r="C781" s="11">
        <f>Daily_Data!I781</f>
        <v>4.14</v>
      </c>
      <c r="D781" s="12">
        <f>if(sum(Daily_Data!K781:L781)&gt;0,1,0)</f>
        <v>0</v>
      </c>
    </row>
    <row r="782">
      <c r="A782" s="10">
        <f>Daily_Data!A782</f>
        <v>37620</v>
      </c>
      <c r="B782" s="11">
        <f>Daily_Data!J782</f>
        <v>29.62</v>
      </c>
      <c r="C782" s="11">
        <f>Daily_Data!I782</f>
        <v>4.11</v>
      </c>
      <c r="D782" s="12">
        <f>if(sum(Daily_Data!K782:L782)&gt;0,1,0)</f>
        <v>0</v>
      </c>
    </row>
    <row r="783">
      <c r="A783" s="10">
        <f>Daily_Data!A783</f>
        <v>37621</v>
      </c>
      <c r="B783" s="11">
        <f>Daily_Data!J783</f>
        <v>28.62</v>
      </c>
      <c r="C783" s="11">
        <f>Daily_Data!I783</f>
        <v>4.11</v>
      </c>
      <c r="D783" s="12">
        <f>if(sum(Daily_Data!K783:L783)&gt;0,1,0)</f>
        <v>0</v>
      </c>
    </row>
    <row r="784">
      <c r="A784" s="10">
        <f>Daily_Data!A784</f>
        <v>37622</v>
      </c>
      <c r="B784" s="11" t="str">
        <f>Daily_Data!J784</f>
        <v/>
      </c>
      <c r="C784" s="11" t="str">
        <f>Daily_Data!I784</f>
        <v/>
      </c>
      <c r="D784" s="12">
        <f>if(sum(Daily_Data!K784:L784)&gt;0,1,0)</f>
        <v>0</v>
      </c>
    </row>
    <row r="785">
      <c r="A785" s="10">
        <f>Daily_Data!A785</f>
        <v>37623</v>
      </c>
      <c r="B785" s="11">
        <f>Daily_Data!J785</f>
        <v>25.39</v>
      </c>
      <c r="C785" s="11" t="str">
        <f>Daily_Data!I785</f>
        <v/>
      </c>
      <c r="D785" s="12">
        <f>if(sum(Daily_Data!K785:L785)&gt;0,1,0)</f>
        <v>0</v>
      </c>
    </row>
    <row r="786">
      <c r="A786" s="10">
        <f>Daily_Data!A786</f>
        <v>37624</v>
      </c>
      <c r="B786" s="11">
        <f>Daily_Data!J786</f>
        <v>24.68</v>
      </c>
      <c r="C786" s="11">
        <f>Daily_Data!I786</f>
        <v>4.03</v>
      </c>
      <c r="D786" s="12">
        <f>if(sum(Daily_Data!K786:L786)&gt;0,1,0)</f>
        <v>0</v>
      </c>
    </row>
    <row r="787">
      <c r="A787" s="10">
        <f>Daily_Data!A787</f>
        <v>37627</v>
      </c>
      <c r="B787" s="11">
        <f>Daily_Data!J787</f>
        <v>24.91</v>
      </c>
      <c r="C787" s="11">
        <f>Daily_Data!I787</f>
        <v>3.99</v>
      </c>
      <c r="D787" s="12">
        <f>if(sum(Daily_Data!K787:L787)&gt;0,1,0)</f>
        <v>0</v>
      </c>
    </row>
    <row r="788">
      <c r="A788" s="10">
        <f>Daily_Data!A788</f>
        <v>37628</v>
      </c>
      <c r="B788" s="11">
        <f>Daily_Data!J788</f>
        <v>25.13</v>
      </c>
      <c r="C788" s="11">
        <f>Daily_Data!I788</f>
        <v>4.08</v>
      </c>
      <c r="D788" s="12">
        <f>if(sum(Daily_Data!K788:L788)&gt;0,1,0)</f>
        <v>0</v>
      </c>
    </row>
    <row r="789">
      <c r="A789" s="10">
        <f>Daily_Data!A789</f>
        <v>37629</v>
      </c>
      <c r="B789" s="11">
        <f>Daily_Data!J789</f>
        <v>25.53</v>
      </c>
      <c r="C789" s="11">
        <f>Daily_Data!I789</f>
        <v>4.1</v>
      </c>
      <c r="D789" s="12">
        <f>if(sum(Daily_Data!K789:L789)&gt;0,1,0)</f>
        <v>0</v>
      </c>
    </row>
    <row r="790">
      <c r="A790" s="10">
        <f>Daily_Data!A790</f>
        <v>37630</v>
      </c>
      <c r="B790" s="11">
        <f>Daily_Data!J790</f>
        <v>24.25</v>
      </c>
      <c r="C790" s="11">
        <f>Daily_Data!I790</f>
        <v>3.93</v>
      </c>
      <c r="D790" s="12">
        <f>if(sum(Daily_Data!K790:L790)&gt;0,1,0)</f>
        <v>0</v>
      </c>
    </row>
    <row r="791">
      <c r="A791" s="10">
        <f>Daily_Data!A791</f>
        <v>37631</v>
      </c>
      <c r="B791" s="11">
        <f>Daily_Data!J791</f>
        <v>24.32</v>
      </c>
      <c r="C791" s="11">
        <f>Daily_Data!I791</f>
        <v>4.05</v>
      </c>
      <c r="D791" s="12">
        <f>if(sum(Daily_Data!K791:L791)&gt;0,1,0)</f>
        <v>1</v>
      </c>
    </row>
    <row r="792">
      <c r="A792" s="10">
        <f>Daily_Data!A792</f>
        <v>37634</v>
      </c>
      <c r="B792" s="11">
        <f>Daily_Data!J792</f>
        <v>24.9</v>
      </c>
      <c r="C792" s="11">
        <f>Daily_Data!I792</f>
        <v>3.98</v>
      </c>
      <c r="D792" s="12">
        <f>if(sum(Daily_Data!K792:L792)&gt;0,1,0)</f>
        <v>0</v>
      </c>
    </row>
    <row r="793">
      <c r="A793" s="10">
        <f>Daily_Data!A793</f>
        <v>37635</v>
      </c>
      <c r="B793" s="11">
        <f>Daily_Data!J793</f>
        <v>24.57</v>
      </c>
      <c r="C793" s="11">
        <f>Daily_Data!I793</f>
        <v>4.01</v>
      </c>
      <c r="D793" s="12">
        <f>if(sum(Daily_Data!K793:L793)&gt;0,1,0)</f>
        <v>0</v>
      </c>
    </row>
    <row r="794">
      <c r="A794" s="10">
        <f>Daily_Data!A794</f>
        <v>37636</v>
      </c>
      <c r="B794" s="11">
        <f>Daily_Data!J794</f>
        <v>25.51</v>
      </c>
      <c r="C794" s="11">
        <f>Daily_Data!I794</f>
        <v>3.96</v>
      </c>
      <c r="D794" s="12">
        <f>if(sum(Daily_Data!K794:L794)&gt;0,1,0)</f>
        <v>0</v>
      </c>
    </row>
    <row r="795">
      <c r="A795" s="10">
        <f>Daily_Data!A795</f>
        <v>37637</v>
      </c>
      <c r="B795" s="11">
        <f>Daily_Data!J795</f>
        <v>25.01</v>
      </c>
      <c r="C795" s="11">
        <f>Daily_Data!I795</f>
        <v>3.91</v>
      </c>
      <c r="D795" s="12">
        <f>if(sum(Daily_Data!K795:L795)&gt;0,1,0)</f>
        <v>1</v>
      </c>
    </row>
    <row r="796">
      <c r="A796" s="10">
        <f>Daily_Data!A796</f>
        <v>37638</v>
      </c>
      <c r="B796" s="11">
        <f>Daily_Data!J796</f>
        <v>25.7</v>
      </c>
      <c r="C796" s="11">
        <f>Daily_Data!I796</f>
        <v>3.96</v>
      </c>
      <c r="D796" s="12">
        <f>if(sum(Daily_Data!K796:L796)&gt;0,1,0)</f>
        <v>0</v>
      </c>
    </row>
    <row r="797">
      <c r="A797" s="10">
        <f>Daily_Data!A797</f>
        <v>37641</v>
      </c>
      <c r="B797" s="11" t="str">
        <f>Daily_Data!J797</f>
        <v/>
      </c>
      <c r="C797" s="11" t="str">
        <f>Daily_Data!I797</f>
        <v/>
      </c>
      <c r="D797" s="12">
        <f>if(sum(Daily_Data!K797:L797)&gt;0,1,0)</f>
        <v>0</v>
      </c>
    </row>
    <row r="798">
      <c r="A798" s="10">
        <f>Daily_Data!A798</f>
        <v>37642</v>
      </c>
      <c r="B798" s="11">
        <f>Daily_Data!J798</f>
        <v>27.59</v>
      </c>
      <c r="C798" s="11">
        <f>Daily_Data!I798</f>
        <v>3.92</v>
      </c>
      <c r="D798" s="12">
        <f>if(sum(Daily_Data!K798:L798)&gt;0,1,0)</f>
        <v>0</v>
      </c>
    </row>
    <row r="799">
      <c r="A799" s="10">
        <f>Daily_Data!A799</f>
        <v>37643</v>
      </c>
      <c r="B799" s="11">
        <f>Daily_Data!J799</f>
        <v>29.01</v>
      </c>
      <c r="C799" s="11">
        <f>Daily_Data!I799</f>
        <v>3.93</v>
      </c>
      <c r="D799" s="12">
        <f>if(sum(Daily_Data!K799:L799)&gt;0,1,0)</f>
        <v>0</v>
      </c>
    </row>
    <row r="800">
      <c r="A800" s="10">
        <f>Daily_Data!A800</f>
        <v>37644</v>
      </c>
      <c r="B800" s="11">
        <f>Daily_Data!J800</f>
        <v>27.53</v>
      </c>
      <c r="C800" s="11">
        <f>Daily_Data!I800</f>
        <v>3.81</v>
      </c>
      <c r="D800" s="12">
        <f>if(sum(Daily_Data!K800:L800)&gt;0,1,0)</f>
        <v>0</v>
      </c>
    </row>
    <row r="801">
      <c r="A801" s="10">
        <f>Daily_Data!A801</f>
        <v>37645</v>
      </c>
      <c r="B801" s="11">
        <f>Daily_Data!J801</f>
        <v>31.51</v>
      </c>
      <c r="C801" s="11">
        <f>Daily_Data!I801</f>
        <v>3.85</v>
      </c>
      <c r="D801" s="12">
        <f>if(sum(Daily_Data!K801:L801)&gt;0,1,0)</f>
        <v>0</v>
      </c>
    </row>
    <row r="802">
      <c r="A802" s="10">
        <f>Daily_Data!A802</f>
        <v>37648</v>
      </c>
      <c r="B802" s="11">
        <f>Daily_Data!J802</f>
        <v>34.69</v>
      </c>
      <c r="C802" s="11">
        <f>Daily_Data!I802</f>
        <v>3.82</v>
      </c>
      <c r="D802" s="12">
        <f>if(sum(Daily_Data!K802:L802)&gt;0,1,0)</f>
        <v>0</v>
      </c>
    </row>
    <row r="803">
      <c r="A803" s="10">
        <f>Daily_Data!A803</f>
        <v>37649</v>
      </c>
      <c r="B803" s="11">
        <f>Daily_Data!J803</f>
        <v>31.93</v>
      </c>
      <c r="C803" s="11">
        <f>Daily_Data!I803</f>
        <v>3.81</v>
      </c>
      <c r="D803" s="12">
        <f>if(sum(Daily_Data!K803:L803)&gt;0,1,0)</f>
        <v>0</v>
      </c>
    </row>
    <row r="804">
      <c r="A804" s="10">
        <f>Daily_Data!A804</f>
        <v>37650</v>
      </c>
      <c r="B804" s="11">
        <f>Daily_Data!J804</f>
        <v>31.26</v>
      </c>
      <c r="C804" s="11">
        <f>Daily_Data!I804</f>
        <v>3.72</v>
      </c>
      <c r="D804" s="12">
        <f>if(sum(Daily_Data!K804:L804)&gt;0,1,0)</f>
        <v>0</v>
      </c>
    </row>
    <row r="805">
      <c r="A805" s="10">
        <f>Daily_Data!A805</f>
        <v>37651</v>
      </c>
      <c r="B805" s="11">
        <f>Daily_Data!J805</f>
        <v>31.32</v>
      </c>
      <c r="C805" s="11">
        <f>Daily_Data!I805</f>
        <v>3.79</v>
      </c>
      <c r="D805" s="12">
        <f>if(sum(Daily_Data!K805:L805)&gt;0,1,0)</f>
        <v>0</v>
      </c>
    </row>
    <row r="806">
      <c r="A806" s="10">
        <f>Daily_Data!A806</f>
        <v>37652</v>
      </c>
      <c r="B806" s="11">
        <f>Daily_Data!J806</f>
        <v>31.17</v>
      </c>
      <c r="C806" s="11">
        <f>Daily_Data!I806</f>
        <v>3.76</v>
      </c>
      <c r="D806" s="12">
        <f>if(sum(Daily_Data!K806:L806)&gt;0,1,0)</f>
        <v>0</v>
      </c>
    </row>
    <row r="807">
      <c r="A807" s="10">
        <f>Daily_Data!A807</f>
        <v>37655</v>
      </c>
      <c r="B807" s="11">
        <f>Daily_Data!J807</f>
        <v>31.02</v>
      </c>
      <c r="C807" s="11">
        <f>Daily_Data!I807</f>
        <v>3.75</v>
      </c>
      <c r="D807" s="12">
        <f>if(sum(Daily_Data!K807:L807)&gt;0,1,0)</f>
        <v>0</v>
      </c>
    </row>
    <row r="808">
      <c r="A808" s="10">
        <f>Daily_Data!A808</f>
        <v>37656</v>
      </c>
      <c r="B808" s="11">
        <f>Daily_Data!J808</f>
        <v>32.76</v>
      </c>
      <c r="C808" s="11">
        <f>Daily_Data!I808</f>
        <v>3.84</v>
      </c>
      <c r="D808" s="12">
        <f>if(sum(Daily_Data!K808:L808)&gt;0,1,0)</f>
        <v>0</v>
      </c>
    </row>
    <row r="809">
      <c r="A809" s="10">
        <f>Daily_Data!A809</f>
        <v>37657</v>
      </c>
      <c r="B809" s="11">
        <f>Daily_Data!J809</f>
        <v>33.04</v>
      </c>
      <c r="C809" s="11">
        <f>Daily_Data!I809</f>
        <v>3.73</v>
      </c>
      <c r="D809" s="12">
        <f>if(sum(Daily_Data!K809:L809)&gt;0,1,0)</f>
        <v>0</v>
      </c>
    </row>
    <row r="810">
      <c r="A810" s="10">
        <f>Daily_Data!A810</f>
        <v>37658</v>
      </c>
      <c r="B810" s="11">
        <f>Daily_Data!J810</f>
        <v>33.35</v>
      </c>
      <c r="C810" s="11" t="str">
        <f>Daily_Data!I810</f>
        <v/>
      </c>
      <c r="D810" s="12">
        <f>if(sum(Daily_Data!K810:L810)&gt;0,1,0)</f>
        <v>0</v>
      </c>
    </row>
    <row r="811">
      <c r="A811" s="10">
        <f>Daily_Data!A811</f>
        <v>37659</v>
      </c>
      <c r="B811" s="11">
        <f>Daily_Data!J811</f>
        <v>34.01</v>
      </c>
      <c r="C811" s="11">
        <f>Daily_Data!I811</f>
        <v>3.8</v>
      </c>
      <c r="D811" s="12">
        <f>if(sum(Daily_Data!K811:L811)&gt;0,1,0)</f>
        <v>1</v>
      </c>
    </row>
    <row r="812">
      <c r="A812" s="10">
        <f>Daily_Data!A812</f>
        <v>37662</v>
      </c>
      <c r="B812" s="11">
        <f>Daily_Data!J812</f>
        <v>33.99</v>
      </c>
      <c r="C812" s="11">
        <f>Daily_Data!I812</f>
        <v>3.74</v>
      </c>
      <c r="D812" s="12">
        <f>if(sum(Daily_Data!K812:L812)&gt;0,1,0)</f>
        <v>0</v>
      </c>
    </row>
    <row r="813">
      <c r="A813" s="10">
        <f>Daily_Data!A813</f>
        <v>37663</v>
      </c>
      <c r="B813" s="11">
        <f>Daily_Data!J813</f>
        <v>33.68</v>
      </c>
      <c r="C813" s="11">
        <f>Daily_Data!I813</f>
        <v>3.81</v>
      </c>
      <c r="D813" s="12">
        <f>if(sum(Daily_Data!K813:L813)&gt;0,1,0)</f>
        <v>0</v>
      </c>
    </row>
    <row r="814">
      <c r="A814" s="10">
        <f>Daily_Data!A814</f>
        <v>37664</v>
      </c>
      <c r="B814" s="11">
        <f>Daily_Data!J814</f>
        <v>34.33</v>
      </c>
      <c r="C814" s="11">
        <f>Daily_Data!I814</f>
        <v>3.83</v>
      </c>
      <c r="D814" s="12">
        <f>if(sum(Daily_Data!K814:L814)&gt;0,1,0)</f>
        <v>0</v>
      </c>
    </row>
    <row r="815">
      <c r="A815" s="10">
        <f>Daily_Data!A815</f>
        <v>37665</v>
      </c>
      <c r="B815" s="11">
        <f>Daily_Data!J815</f>
        <v>33.7</v>
      </c>
      <c r="C815" s="11">
        <f>Daily_Data!I815</f>
        <v>3.87</v>
      </c>
      <c r="D815" s="12">
        <f>if(sum(Daily_Data!K815:L815)&gt;0,1,0)</f>
        <v>0</v>
      </c>
    </row>
    <row r="816">
      <c r="A816" s="10">
        <f>Daily_Data!A816</f>
        <v>37666</v>
      </c>
      <c r="B816" s="11">
        <f>Daily_Data!J816</f>
        <v>32.62</v>
      </c>
      <c r="C816" s="11">
        <f>Daily_Data!I816</f>
        <v>3.8</v>
      </c>
      <c r="D816" s="12">
        <f>if(sum(Daily_Data!K816:L816)&gt;0,1,0)</f>
        <v>0</v>
      </c>
    </row>
    <row r="817">
      <c r="A817" s="10">
        <f>Daily_Data!A817</f>
        <v>37669</v>
      </c>
      <c r="B817" s="11" t="str">
        <f>Daily_Data!J817</f>
        <v/>
      </c>
      <c r="C817" s="11" t="str">
        <f>Daily_Data!I817</f>
        <v/>
      </c>
      <c r="D817" s="12">
        <f>if(sum(Daily_Data!K817:L817)&gt;0,1,0)</f>
        <v>0</v>
      </c>
    </row>
    <row r="818">
      <c r="A818" s="10">
        <f>Daily_Data!A818</f>
        <v>37670</v>
      </c>
      <c r="B818" s="11">
        <f>Daily_Data!J818</f>
        <v>31.11</v>
      </c>
      <c r="C818" s="11">
        <f>Daily_Data!I818</f>
        <v>3.81</v>
      </c>
      <c r="D818" s="12">
        <f>if(sum(Daily_Data!K818:L818)&gt;0,1,0)</f>
        <v>0</v>
      </c>
    </row>
    <row r="819">
      <c r="A819" s="10">
        <f>Daily_Data!A819</f>
        <v>37671</v>
      </c>
      <c r="B819" s="11">
        <f>Daily_Data!J819</f>
        <v>31.31</v>
      </c>
      <c r="C819" s="11">
        <f>Daily_Data!I819</f>
        <v>3.85</v>
      </c>
      <c r="D819" s="12">
        <f>if(sum(Daily_Data!K819:L819)&gt;0,1,0)</f>
        <v>0</v>
      </c>
    </row>
    <row r="820">
      <c r="A820" s="10">
        <f>Daily_Data!A820</f>
        <v>37672</v>
      </c>
      <c r="B820" s="11">
        <f>Daily_Data!J820</f>
        <v>31.16</v>
      </c>
      <c r="C820" s="11">
        <f>Daily_Data!I820</f>
        <v>3.85</v>
      </c>
      <c r="D820" s="12">
        <f>if(sum(Daily_Data!K820:L820)&gt;0,1,0)</f>
        <v>0</v>
      </c>
    </row>
    <row r="821">
      <c r="A821" s="10">
        <f>Daily_Data!A821</f>
        <v>37673</v>
      </c>
      <c r="B821" s="11">
        <f>Daily_Data!J821</f>
        <v>30.25</v>
      </c>
      <c r="C821" s="11">
        <f>Daily_Data!I821</f>
        <v>3.78</v>
      </c>
      <c r="D821" s="12">
        <f>if(sum(Daily_Data!K821:L821)&gt;0,1,0)</f>
        <v>1</v>
      </c>
    </row>
    <row r="822">
      <c r="A822" s="10">
        <f>Daily_Data!A822</f>
        <v>37676</v>
      </c>
      <c r="B822" s="11">
        <f>Daily_Data!J822</f>
        <v>31.98</v>
      </c>
      <c r="C822" s="11">
        <f>Daily_Data!I822</f>
        <v>3.83</v>
      </c>
      <c r="D822" s="12">
        <f>if(sum(Daily_Data!K822:L822)&gt;0,1,0)</f>
        <v>0</v>
      </c>
    </row>
    <row r="823">
      <c r="A823" s="10">
        <f>Daily_Data!A823</f>
        <v>37677</v>
      </c>
      <c r="B823" s="11">
        <f>Daily_Data!J823</f>
        <v>31.74</v>
      </c>
      <c r="C823" s="11">
        <f>Daily_Data!I823</f>
        <v>3.82</v>
      </c>
      <c r="D823" s="12">
        <f>if(sum(Daily_Data!K823:L823)&gt;0,1,0)</f>
        <v>0</v>
      </c>
    </row>
    <row r="824">
      <c r="A824" s="10">
        <f>Daily_Data!A824</f>
        <v>37678</v>
      </c>
      <c r="B824" s="11">
        <f>Daily_Data!J824</f>
        <v>31.94</v>
      </c>
      <c r="C824" s="11">
        <f>Daily_Data!I824</f>
        <v>3.79</v>
      </c>
      <c r="D824" s="12">
        <f>if(sum(Daily_Data!K824:L824)&gt;0,1,0)</f>
        <v>0</v>
      </c>
    </row>
    <row r="825">
      <c r="A825" s="10">
        <f>Daily_Data!A825</f>
        <v>37679</v>
      </c>
      <c r="B825" s="11">
        <f>Daily_Data!J825</f>
        <v>30.53</v>
      </c>
      <c r="C825" s="11">
        <f>Daily_Data!I825</f>
        <v>3.74</v>
      </c>
      <c r="D825" s="12">
        <f>if(sum(Daily_Data!K825:L825)&gt;0,1,0)</f>
        <v>0</v>
      </c>
    </row>
    <row r="826">
      <c r="A826" s="10">
        <f>Daily_Data!A826</f>
        <v>37680</v>
      </c>
      <c r="B826" s="11">
        <f>Daily_Data!J826</f>
        <v>29.63</v>
      </c>
      <c r="C826" s="11">
        <f>Daily_Data!I826</f>
        <v>3.76</v>
      </c>
      <c r="D826" s="12">
        <f>if(sum(Daily_Data!K826:L826)&gt;0,1,0)</f>
        <v>0</v>
      </c>
    </row>
    <row r="827">
      <c r="A827" s="10">
        <f>Daily_Data!A827</f>
        <v>37683</v>
      </c>
      <c r="B827" s="11">
        <f>Daily_Data!J827</f>
        <v>30.43</v>
      </c>
      <c r="C827" s="11">
        <f>Daily_Data!I827</f>
        <v>3.77</v>
      </c>
      <c r="D827" s="12">
        <f>if(sum(Daily_Data!K827:L827)&gt;0,1,0)</f>
        <v>0</v>
      </c>
    </row>
    <row r="828">
      <c r="A828" s="10">
        <f>Daily_Data!A828</f>
        <v>37684</v>
      </c>
      <c r="B828" s="11">
        <f>Daily_Data!J828</f>
        <v>31.83</v>
      </c>
      <c r="C828" s="11">
        <f>Daily_Data!I828</f>
        <v>3.75</v>
      </c>
      <c r="D828" s="12">
        <f>if(sum(Daily_Data!K828:L828)&gt;0,1,0)</f>
        <v>0</v>
      </c>
    </row>
    <row r="829">
      <c r="A829" s="10">
        <f>Daily_Data!A829</f>
        <v>37685</v>
      </c>
      <c r="B829" s="11">
        <f>Daily_Data!J829</f>
        <v>30.38</v>
      </c>
      <c r="C829" s="11">
        <f>Daily_Data!I829</f>
        <v>3.78</v>
      </c>
      <c r="D829" s="12">
        <f>if(sum(Daily_Data!K829:L829)&gt;0,1,0)</f>
        <v>0</v>
      </c>
    </row>
    <row r="830">
      <c r="A830" s="10">
        <f>Daily_Data!A830</f>
        <v>37686</v>
      </c>
      <c r="B830" s="11">
        <f>Daily_Data!J830</f>
        <v>31.37</v>
      </c>
      <c r="C830" s="11">
        <f>Daily_Data!I830</f>
        <v>3.82</v>
      </c>
      <c r="D830" s="12">
        <f>if(sum(Daily_Data!K830:L830)&gt;0,1,0)</f>
        <v>0</v>
      </c>
    </row>
    <row r="831">
      <c r="A831" s="10">
        <f>Daily_Data!A831</f>
        <v>37687</v>
      </c>
      <c r="B831" s="11">
        <f>Daily_Data!J831</f>
        <v>31.08</v>
      </c>
      <c r="C831" s="11">
        <f>Daily_Data!I831</f>
        <v>3.89</v>
      </c>
      <c r="D831" s="12">
        <f>if(sum(Daily_Data!K831:L831)&gt;0,1,0)</f>
        <v>1</v>
      </c>
    </row>
    <row r="832">
      <c r="A832" s="10">
        <f>Daily_Data!A832</f>
        <v>37690</v>
      </c>
      <c r="B832" s="11">
        <f>Daily_Data!J832</f>
        <v>33.31</v>
      </c>
      <c r="C832" s="11">
        <f>Daily_Data!I832</f>
        <v>3.9</v>
      </c>
      <c r="D832" s="12">
        <f>if(sum(Daily_Data!K832:L832)&gt;0,1,0)</f>
        <v>0</v>
      </c>
    </row>
    <row r="833">
      <c r="A833" s="10">
        <f>Daily_Data!A833</f>
        <v>37691</v>
      </c>
      <c r="B833" s="11">
        <f>Daily_Data!J833</f>
        <v>33.61</v>
      </c>
      <c r="C833" s="11">
        <f>Daily_Data!I833</f>
        <v>3.81</v>
      </c>
      <c r="D833" s="12">
        <f>if(sum(Daily_Data!K833:L833)&gt;0,1,0)</f>
        <v>0</v>
      </c>
    </row>
    <row r="834">
      <c r="A834" s="10">
        <f>Daily_Data!A834</f>
        <v>37692</v>
      </c>
      <c r="B834" s="11">
        <f>Daily_Data!J834</f>
        <v>33.51</v>
      </c>
      <c r="C834" s="11">
        <f>Daily_Data!I834</f>
        <v>3.78</v>
      </c>
      <c r="D834" s="12">
        <f>if(sum(Daily_Data!K834:L834)&gt;0,1,0)</f>
        <v>0</v>
      </c>
    </row>
    <row r="835">
      <c r="A835" s="10">
        <f>Daily_Data!A835</f>
        <v>37693</v>
      </c>
      <c r="B835" s="11">
        <f>Daily_Data!J835</f>
        <v>31.76</v>
      </c>
      <c r="C835" s="11">
        <f>Daily_Data!I835</f>
        <v>3.67</v>
      </c>
      <c r="D835" s="12">
        <f>if(sum(Daily_Data!K835:L835)&gt;0,1,0)</f>
        <v>0</v>
      </c>
    </row>
    <row r="836">
      <c r="A836" s="10">
        <f>Daily_Data!A836</f>
        <v>37694</v>
      </c>
      <c r="B836" s="11">
        <f>Daily_Data!J836</f>
        <v>30.98</v>
      </c>
      <c r="C836" s="11">
        <f>Daily_Data!I836</f>
        <v>3.88</v>
      </c>
      <c r="D836" s="12">
        <f>if(sum(Daily_Data!K836:L836)&gt;0,1,0)</f>
        <v>0</v>
      </c>
    </row>
    <row r="837">
      <c r="A837" s="10">
        <f>Daily_Data!A837</f>
        <v>37697</v>
      </c>
      <c r="B837" s="11">
        <f>Daily_Data!J837</f>
        <v>31.75</v>
      </c>
      <c r="C837" s="11">
        <f>Daily_Data!I837</f>
        <v>3.73</v>
      </c>
      <c r="D837" s="12">
        <f>if(sum(Daily_Data!K837:L837)&gt;0,1,0)</f>
        <v>0</v>
      </c>
    </row>
    <row r="838">
      <c r="A838" s="10">
        <f>Daily_Data!A838</f>
        <v>37698</v>
      </c>
      <c r="B838" s="11">
        <f>Daily_Data!J838</f>
        <v>30.43</v>
      </c>
      <c r="C838" s="11">
        <f>Daily_Data!I838</f>
        <v>3.76</v>
      </c>
      <c r="D838" s="12">
        <f>if(sum(Daily_Data!K838:L838)&gt;0,1,0)</f>
        <v>0</v>
      </c>
    </row>
    <row r="839">
      <c r="A839" s="10">
        <f>Daily_Data!A839</f>
        <v>37699</v>
      </c>
      <c r="B839" s="11">
        <f>Daily_Data!J839</f>
        <v>31.54</v>
      </c>
      <c r="C839" s="11">
        <f>Daily_Data!I839</f>
        <v>3.84</v>
      </c>
      <c r="D839" s="12">
        <f>if(sum(Daily_Data!K839:L839)&gt;0,1,0)</f>
        <v>0</v>
      </c>
    </row>
    <row r="840">
      <c r="A840" s="10">
        <f>Daily_Data!A840</f>
        <v>37700</v>
      </c>
      <c r="B840" s="11">
        <f>Daily_Data!J840</f>
        <v>30.44</v>
      </c>
      <c r="C840" s="11">
        <f>Daily_Data!I840</f>
        <v>3.86</v>
      </c>
      <c r="D840" s="12">
        <f>if(sum(Daily_Data!K840:L840)&gt;0,1,0)</f>
        <v>0</v>
      </c>
    </row>
    <row r="841">
      <c r="A841" s="10">
        <f>Daily_Data!A841</f>
        <v>37701</v>
      </c>
      <c r="B841" s="11">
        <f>Daily_Data!J841</f>
        <v>28.67</v>
      </c>
      <c r="C841" s="11">
        <f>Daily_Data!I841</f>
        <v>3.77</v>
      </c>
      <c r="D841" s="12">
        <f>if(sum(Daily_Data!K841:L841)&gt;0,1,0)</f>
        <v>1</v>
      </c>
    </row>
    <row r="842">
      <c r="A842" s="10">
        <f>Daily_Data!A842</f>
        <v>37704</v>
      </c>
      <c r="B842" s="11">
        <f>Daily_Data!J842</f>
        <v>30.39</v>
      </c>
      <c r="C842" s="11">
        <f>Daily_Data!I842</f>
        <v>3.89</v>
      </c>
      <c r="D842" s="12">
        <f>if(sum(Daily_Data!K842:L842)&gt;0,1,0)</f>
        <v>0</v>
      </c>
    </row>
    <row r="843">
      <c r="A843" s="10">
        <f>Daily_Data!A843</f>
        <v>37705</v>
      </c>
      <c r="B843" s="11">
        <f>Daily_Data!J843</f>
        <v>28.75</v>
      </c>
      <c r="C843" s="11">
        <f>Daily_Data!I843</f>
        <v>3.85</v>
      </c>
      <c r="D843" s="12">
        <f>if(sum(Daily_Data!K843:L843)&gt;0,1,0)</f>
        <v>0</v>
      </c>
    </row>
    <row r="844">
      <c r="A844" s="10">
        <f>Daily_Data!A844</f>
        <v>37706</v>
      </c>
      <c r="B844" s="11">
        <f>Daily_Data!J844</f>
        <v>28.23</v>
      </c>
      <c r="C844" s="11">
        <f>Daily_Data!I844</f>
        <v>3.87</v>
      </c>
      <c r="D844" s="12">
        <f>if(sum(Daily_Data!K844:L844)&gt;0,1,0)</f>
        <v>0</v>
      </c>
    </row>
    <row r="845">
      <c r="A845" s="10">
        <f>Daily_Data!A845</f>
        <v>37707</v>
      </c>
      <c r="B845" s="11">
        <f>Daily_Data!J845</f>
        <v>27.96</v>
      </c>
      <c r="C845" s="11">
        <f>Daily_Data!I845</f>
        <v>3.86</v>
      </c>
      <c r="D845" s="12">
        <f>if(sum(Daily_Data!K845:L845)&gt;0,1,0)</f>
        <v>0</v>
      </c>
    </row>
    <row r="846">
      <c r="A846" s="10">
        <f>Daily_Data!A846</f>
        <v>37708</v>
      </c>
      <c r="B846" s="11">
        <f>Daily_Data!J846</f>
        <v>27.75</v>
      </c>
      <c r="C846" s="11">
        <f>Daily_Data!I846</f>
        <v>3.87</v>
      </c>
      <c r="D846" s="12">
        <f>if(sum(Daily_Data!K846:L846)&gt;0,1,0)</f>
        <v>0</v>
      </c>
    </row>
    <row r="847">
      <c r="A847" s="10">
        <f>Daily_Data!A847</f>
        <v>37711</v>
      </c>
      <c r="B847" s="11">
        <f>Daily_Data!J847</f>
        <v>29.15</v>
      </c>
      <c r="C847" s="11">
        <f>Daily_Data!I847</f>
        <v>3.88</v>
      </c>
      <c r="D847" s="12">
        <f>if(sum(Daily_Data!K847:L847)&gt;0,1,0)</f>
        <v>0</v>
      </c>
    </row>
    <row r="848">
      <c r="A848" s="10">
        <f>Daily_Data!A848</f>
        <v>37712</v>
      </c>
      <c r="B848" s="11">
        <f>Daily_Data!J848</f>
        <v>28.36</v>
      </c>
      <c r="C848" s="11">
        <f>Daily_Data!I848</f>
        <v>3.87</v>
      </c>
      <c r="D848" s="12">
        <f>if(sum(Daily_Data!K848:L848)&gt;0,1,0)</f>
        <v>0</v>
      </c>
    </row>
    <row r="849">
      <c r="A849" s="10">
        <f>Daily_Data!A849</f>
        <v>37713</v>
      </c>
      <c r="B849" s="11">
        <f>Daily_Data!J849</f>
        <v>28.02</v>
      </c>
      <c r="C849" s="11">
        <f>Daily_Data!I849</f>
        <v>3.83</v>
      </c>
      <c r="D849" s="12">
        <f>if(sum(Daily_Data!K849:L849)&gt;0,1,0)</f>
        <v>0</v>
      </c>
    </row>
    <row r="850">
      <c r="A850" s="10">
        <f>Daily_Data!A850</f>
        <v>37714</v>
      </c>
      <c r="B850" s="11">
        <f>Daily_Data!J850</f>
        <v>28.21</v>
      </c>
      <c r="C850" s="11">
        <f>Daily_Data!I850</f>
        <v>3.92</v>
      </c>
      <c r="D850" s="12">
        <f>if(sum(Daily_Data!K850:L850)&gt;0,1,0)</f>
        <v>0</v>
      </c>
    </row>
    <row r="851">
      <c r="A851" s="10">
        <f>Daily_Data!A851</f>
        <v>37715</v>
      </c>
      <c r="B851" s="11">
        <f>Daily_Data!J851</f>
        <v>29.13</v>
      </c>
      <c r="C851" s="11">
        <f>Daily_Data!I851</f>
        <v>3.89</v>
      </c>
      <c r="D851" s="12">
        <f>if(sum(Daily_Data!K851:L851)&gt;0,1,0)</f>
        <v>1</v>
      </c>
    </row>
    <row r="852">
      <c r="A852" s="10">
        <f>Daily_Data!A852</f>
        <v>37718</v>
      </c>
      <c r="B852" s="11">
        <f>Daily_Data!J852</f>
        <v>28.45</v>
      </c>
      <c r="C852" s="11">
        <f>Daily_Data!I852</f>
        <v>3.84</v>
      </c>
      <c r="D852" s="12">
        <f>if(sum(Daily_Data!K852:L852)&gt;0,1,0)</f>
        <v>0</v>
      </c>
    </row>
    <row r="853">
      <c r="A853" s="10">
        <f>Daily_Data!A853</f>
        <v>37719</v>
      </c>
      <c r="B853" s="11">
        <f>Daily_Data!J853</f>
        <v>27.13</v>
      </c>
      <c r="C853" s="11">
        <f>Daily_Data!I853</f>
        <v>3.9</v>
      </c>
      <c r="D853" s="12">
        <f>if(sum(Daily_Data!K853:L853)&gt;0,1,0)</f>
        <v>0</v>
      </c>
    </row>
    <row r="854">
      <c r="A854" s="10">
        <f>Daily_Data!A854</f>
        <v>37720</v>
      </c>
      <c r="B854" s="11">
        <f>Daily_Data!J854</f>
        <v>27.11</v>
      </c>
      <c r="C854" s="11">
        <f>Daily_Data!I854</f>
        <v>3.9</v>
      </c>
      <c r="D854" s="12">
        <f>if(sum(Daily_Data!K854:L854)&gt;0,1,0)</f>
        <v>0</v>
      </c>
    </row>
    <row r="855">
      <c r="A855" s="10">
        <f>Daily_Data!A855</f>
        <v>37721</v>
      </c>
      <c r="B855" s="11">
        <f>Daily_Data!J855</f>
        <v>25.6</v>
      </c>
      <c r="C855" s="11">
        <f>Daily_Data!I855</f>
        <v>3.8</v>
      </c>
      <c r="D855" s="12">
        <f>if(sum(Daily_Data!K855:L855)&gt;0,1,0)</f>
        <v>0</v>
      </c>
    </row>
    <row r="856">
      <c r="A856" s="10">
        <f>Daily_Data!A856</f>
        <v>37722</v>
      </c>
      <c r="B856" s="11">
        <f>Daily_Data!J856</f>
        <v>24.44</v>
      </c>
      <c r="C856" s="11">
        <f>Daily_Data!I856</f>
        <v>3.76</v>
      </c>
      <c r="D856" s="12">
        <f>if(sum(Daily_Data!K856:L856)&gt;0,1,0)</f>
        <v>0</v>
      </c>
    </row>
    <row r="857">
      <c r="A857" s="10">
        <f>Daily_Data!A857</f>
        <v>37725</v>
      </c>
      <c r="B857" s="11">
        <f>Daily_Data!J857</f>
        <v>23.41</v>
      </c>
      <c r="C857" s="11">
        <f>Daily_Data!I857</f>
        <v>3.74</v>
      </c>
      <c r="D857" s="12">
        <f>if(sum(Daily_Data!K857:L857)&gt;0,1,0)</f>
        <v>0</v>
      </c>
    </row>
    <row r="858">
      <c r="A858" s="10">
        <f>Daily_Data!A858</f>
        <v>37726</v>
      </c>
      <c r="B858" s="11">
        <f>Daily_Data!J858</f>
        <v>22.56</v>
      </c>
      <c r="C858" s="11">
        <f>Daily_Data!I858</f>
        <v>3.8</v>
      </c>
      <c r="D858" s="12">
        <f>if(sum(Daily_Data!K858:L858)&gt;0,1,0)</f>
        <v>0</v>
      </c>
    </row>
    <row r="859">
      <c r="A859" s="10">
        <f>Daily_Data!A859</f>
        <v>37727</v>
      </c>
      <c r="B859" s="11">
        <f>Daily_Data!J859</f>
        <v>22.52</v>
      </c>
      <c r="C859" s="11">
        <f>Daily_Data!I859</f>
        <v>3.81</v>
      </c>
      <c r="D859" s="12">
        <f>if(sum(Daily_Data!K859:L859)&gt;0,1,0)</f>
        <v>1</v>
      </c>
    </row>
    <row r="860">
      <c r="A860" s="10">
        <f>Daily_Data!A860</f>
        <v>37728</v>
      </c>
      <c r="B860" s="11">
        <f>Daily_Data!J860</f>
        <v>21.5</v>
      </c>
      <c r="C860" s="11">
        <f>Daily_Data!I860</f>
        <v>3.71</v>
      </c>
      <c r="D860" s="12">
        <f>if(sum(Daily_Data!K860:L860)&gt;0,1,0)</f>
        <v>0</v>
      </c>
    </row>
    <row r="861">
      <c r="A861" s="10">
        <f>Daily_Data!A861</f>
        <v>37729</v>
      </c>
      <c r="B861" s="11" t="str">
        <f>Daily_Data!J861</f>
        <v/>
      </c>
      <c r="C861" s="11" t="str">
        <f>Daily_Data!I861</f>
        <v/>
      </c>
      <c r="D861" s="12">
        <f>if(sum(Daily_Data!K861:L861)&gt;0,1,0)</f>
        <v>0</v>
      </c>
    </row>
    <row r="862">
      <c r="A862" s="10">
        <f>Daily_Data!A862</f>
        <v>37732</v>
      </c>
      <c r="B862" s="11">
        <f>Daily_Data!J862</f>
        <v>21.95</v>
      </c>
      <c r="C862" s="11" t="str">
        <f>Daily_Data!I862</f>
        <v/>
      </c>
      <c r="D862" s="12">
        <f>if(sum(Daily_Data!K862:L862)&gt;0,1,0)</f>
        <v>0</v>
      </c>
    </row>
    <row r="863">
      <c r="A863" s="10">
        <f>Daily_Data!A863</f>
        <v>37733</v>
      </c>
      <c r="B863" s="11">
        <f>Daily_Data!J863</f>
        <v>20.7</v>
      </c>
      <c r="C863" s="11">
        <f>Daily_Data!I863</f>
        <v>3.75</v>
      </c>
      <c r="D863" s="12">
        <f>if(sum(Daily_Data!K863:L863)&gt;0,1,0)</f>
        <v>0</v>
      </c>
    </row>
    <row r="864">
      <c r="A864" s="10">
        <f>Daily_Data!A864</f>
        <v>37734</v>
      </c>
      <c r="B864" s="11">
        <f>Daily_Data!J864</f>
        <v>20.8</v>
      </c>
      <c r="C864" s="11">
        <f>Daily_Data!I864</f>
        <v>3.74</v>
      </c>
      <c r="D864" s="12">
        <f>if(sum(Daily_Data!K864:L864)&gt;0,1,0)</f>
        <v>0</v>
      </c>
    </row>
    <row r="865">
      <c r="A865" s="10">
        <f>Daily_Data!A865</f>
        <v>37735</v>
      </c>
      <c r="B865" s="11">
        <f>Daily_Data!J865</f>
        <v>20.33</v>
      </c>
      <c r="C865" s="11">
        <f>Daily_Data!I865</f>
        <v>3.65</v>
      </c>
      <c r="D865" s="12">
        <f>if(sum(Daily_Data!K865:L865)&gt;0,1,0)</f>
        <v>0</v>
      </c>
    </row>
    <row r="866">
      <c r="A866" s="10">
        <f>Daily_Data!A866</f>
        <v>37736</v>
      </c>
      <c r="B866" s="11">
        <f>Daily_Data!J866</f>
        <v>20.8</v>
      </c>
      <c r="C866" s="11" t="str">
        <f>Daily_Data!I866</f>
        <v/>
      </c>
      <c r="D866" s="12">
        <f>if(sum(Daily_Data!K866:L866)&gt;0,1,0)</f>
        <v>0</v>
      </c>
    </row>
    <row r="867">
      <c r="A867" s="10">
        <f>Daily_Data!A867</f>
        <v>37739</v>
      </c>
      <c r="B867" s="11">
        <f>Daily_Data!J867</f>
        <v>20.84</v>
      </c>
      <c r="C867" s="11">
        <f>Daily_Data!I867</f>
        <v>3.57</v>
      </c>
      <c r="D867" s="12">
        <f>if(sum(Daily_Data!K867:L867)&gt;0,1,0)</f>
        <v>0</v>
      </c>
    </row>
    <row r="868">
      <c r="A868" s="10">
        <f>Daily_Data!A868</f>
        <v>37740</v>
      </c>
      <c r="B868" s="11">
        <f>Daily_Data!J868</f>
        <v>20.76</v>
      </c>
      <c r="C868" s="11">
        <f>Daily_Data!I868</f>
        <v>3.58</v>
      </c>
      <c r="D868" s="12">
        <f>if(sum(Daily_Data!K868:L868)&gt;0,1,0)</f>
        <v>0</v>
      </c>
    </row>
    <row r="869">
      <c r="A869" s="10">
        <f>Daily_Data!A869</f>
        <v>37741</v>
      </c>
      <c r="B869" s="11">
        <f>Daily_Data!J869</f>
        <v>21.21</v>
      </c>
      <c r="C869" s="11">
        <f>Daily_Data!I869</f>
        <v>3.68</v>
      </c>
      <c r="D869" s="12">
        <f>if(sum(Daily_Data!K869:L869)&gt;0,1,0)</f>
        <v>0</v>
      </c>
    </row>
    <row r="870">
      <c r="A870" s="10">
        <f>Daily_Data!A870</f>
        <v>37742</v>
      </c>
      <c r="B870" s="11">
        <f>Daily_Data!J870</f>
        <v>21.59</v>
      </c>
      <c r="C870" s="11">
        <f>Daily_Data!I870</f>
        <v>3.64</v>
      </c>
      <c r="D870" s="12">
        <f>if(sum(Daily_Data!K870:L870)&gt;0,1,0)</f>
        <v>0</v>
      </c>
    </row>
    <row r="871">
      <c r="A871" s="10">
        <f>Daily_Data!A871</f>
        <v>37743</v>
      </c>
      <c r="B871" s="11">
        <f>Daily_Data!J871</f>
        <v>20.63</v>
      </c>
      <c r="C871" s="11">
        <f>Daily_Data!I871</f>
        <v>3.56</v>
      </c>
      <c r="D871" s="12">
        <f>if(sum(Daily_Data!K871:L871)&gt;0,1,0)</f>
        <v>1</v>
      </c>
    </row>
    <row r="872">
      <c r="A872" s="10">
        <f>Daily_Data!A872</f>
        <v>37746</v>
      </c>
      <c r="B872" s="11">
        <f>Daily_Data!J872</f>
        <v>21.13</v>
      </c>
      <c r="C872" s="11">
        <f>Daily_Data!I872</f>
        <v>3.65</v>
      </c>
      <c r="D872" s="12">
        <f>if(sum(Daily_Data!K872:L872)&gt;0,1,0)</f>
        <v>0</v>
      </c>
    </row>
    <row r="873">
      <c r="A873" s="10">
        <f>Daily_Data!A873</f>
        <v>37747</v>
      </c>
      <c r="B873" s="11">
        <f>Daily_Data!J873</f>
        <v>20.8</v>
      </c>
      <c r="C873" s="11">
        <f>Daily_Data!I873</f>
        <v>3.72</v>
      </c>
      <c r="D873" s="12">
        <f>if(sum(Daily_Data!K873:L873)&gt;0,1,0)</f>
        <v>0</v>
      </c>
    </row>
    <row r="874">
      <c r="A874" s="10">
        <f>Daily_Data!A874</f>
        <v>37748</v>
      </c>
      <c r="B874" s="11">
        <f>Daily_Data!J874</f>
        <v>21</v>
      </c>
      <c r="C874" s="11">
        <f>Daily_Data!I874</f>
        <v>3.64</v>
      </c>
      <c r="D874" s="12">
        <f>if(sum(Daily_Data!K874:L874)&gt;0,1,0)</f>
        <v>0</v>
      </c>
    </row>
    <row r="875">
      <c r="A875" s="10">
        <f>Daily_Data!A875</f>
        <v>37749</v>
      </c>
      <c r="B875" s="11">
        <f>Daily_Data!J875</f>
        <v>21.24</v>
      </c>
      <c r="C875" s="11">
        <f>Daily_Data!I875</f>
        <v>3.58</v>
      </c>
      <c r="D875" s="12">
        <f>if(sum(Daily_Data!K875:L875)&gt;0,1,0)</f>
        <v>0</v>
      </c>
    </row>
    <row r="876">
      <c r="A876" s="10">
        <f>Daily_Data!A876</f>
        <v>37750</v>
      </c>
      <c r="B876" s="11">
        <f>Daily_Data!J876</f>
        <v>19.69</v>
      </c>
      <c r="C876" s="11">
        <f>Daily_Data!I876</f>
        <v>3.67</v>
      </c>
      <c r="D876" s="12">
        <f>if(sum(Daily_Data!K876:L876)&gt;0,1,0)</f>
        <v>0</v>
      </c>
    </row>
    <row r="877">
      <c r="A877" s="10">
        <f>Daily_Data!A877</f>
        <v>37753</v>
      </c>
      <c r="B877" s="11">
        <f>Daily_Data!J877</f>
        <v>19.52</v>
      </c>
      <c r="C877" s="11">
        <f>Daily_Data!I877</f>
        <v>3.65</v>
      </c>
      <c r="D877" s="12">
        <f>if(sum(Daily_Data!K877:L877)&gt;0,1,0)</f>
        <v>0</v>
      </c>
    </row>
    <row r="878">
      <c r="A878" s="10">
        <f>Daily_Data!A878</f>
        <v>37754</v>
      </c>
      <c r="B878" s="11">
        <f>Daily_Data!J878</f>
        <v>19.91</v>
      </c>
      <c r="C878" s="11">
        <f>Daily_Data!I878</f>
        <v>3.63</v>
      </c>
      <c r="D878" s="12">
        <f>if(sum(Daily_Data!K878:L878)&gt;0,1,0)</f>
        <v>0</v>
      </c>
    </row>
    <row r="879">
      <c r="A879" s="10">
        <f>Daily_Data!A879</f>
        <v>37755</v>
      </c>
      <c r="B879" s="11">
        <f>Daily_Data!J879</f>
        <v>20</v>
      </c>
      <c r="C879" s="11">
        <f>Daily_Data!I879</f>
        <v>3.66</v>
      </c>
      <c r="D879" s="12">
        <f>if(sum(Daily_Data!K879:L879)&gt;0,1,0)</f>
        <v>0</v>
      </c>
    </row>
    <row r="880">
      <c r="A880" s="10">
        <f>Daily_Data!A880</f>
        <v>37756</v>
      </c>
      <c r="B880" s="11">
        <f>Daily_Data!J880</f>
        <v>19.24</v>
      </c>
      <c r="C880" s="11">
        <f>Daily_Data!I880</f>
        <v>3.57</v>
      </c>
      <c r="D880" s="12">
        <f>if(sum(Daily_Data!K880:L880)&gt;0,1,0)</f>
        <v>0</v>
      </c>
    </row>
    <row r="881">
      <c r="A881" s="10">
        <f>Daily_Data!A881</f>
        <v>37757</v>
      </c>
      <c r="B881" s="11">
        <f>Daily_Data!J881</f>
        <v>18.4</v>
      </c>
      <c r="C881" s="11">
        <f>Daily_Data!I881</f>
        <v>3.69</v>
      </c>
      <c r="D881" s="12">
        <f>if(sum(Daily_Data!K881:L881)&gt;0,1,0)</f>
        <v>1</v>
      </c>
    </row>
    <row r="882">
      <c r="A882" s="10">
        <f>Daily_Data!A882</f>
        <v>37760</v>
      </c>
      <c r="B882" s="11">
        <f>Daily_Data!J882</f>
        <v>20.51</v>
      </c>
      <c r="C882" s="11">
        <f>Daily_Data!I882</f>
        <v>3.62</v>
      </c>
      <c r="D882" s="12">
        <f>if(sum(Daily_Data!K882:L882)&gt;0,1,0)</f>
        <v>0</v>
      </c>
    </row>
    <row r="883">
      <c r="A883" s="10">
        <f>Daily_Data!A883</f>
        <v>37761</v>
      </c>
      <c r="B883" s="11">
        <f>Daily_Data!J883</f>
        <v>21.29</v>
      </c>
      <c r="C883" s="11">
        <f>Daily_Data!I883</f>
        <v>3.67</v>
      </c>
      <c r="D883" s="12">
        <f>if(sum(Daily_Data!K883:L883)&gt;0,1,0)</f>
        <v>0</v>
      </c>
    </row>
    <row r="884">
      <c r="A884" s="10">
        <f>Daily_Data!A884</f>
        <v>37762</v>
      </c>
      <c r="B884" s="11">
        <f>Daily_Data!J884</f>
        <v>21.21</v>
      </c>
      <c r="C884" s="11">
        <f>Daily_Data!I884</f>
        <v>3.53</v>
      </c>
      <c r="D884" s="12">
        <f>if(sum(Daily_Data!K884:L884)&gt;0,1,0)</f>
        <v>0</v>
      </c>
    </row>
    <row r="885">
      <c r="A885" s="10">
        <f>Daily_Data!A885</f>
        <v>37763</v>
      </c>
      <c r="B885" s="11">
        <f>Daily_Data!J885</f>
        <v>19.78</v>
      </c>
      <c r="C885" s="11">
        <f>Daily_Data!I885</f>
        <v>3.58</v>
      </c>
      <c r="D885" s="12">
        <f>if(sum(Daily_Data!K885:L885)&gt;0,1,0)</f>
        <v>0</v>
      </c>
    </row>
    <row r="886">
      <c r="A886" s="10">
        <f>Daily_Data!A886</f>
        <v>37764</v>
      </c>
      <c r="B886" s="11">
        <f>Daily_Data!J886</f>
        <v>19.17</v>
      </c>
      <c r="C886" s="11">
        <f>Daily_Data!I886</f>
        <v>3.54</v>
      </c>
      <c r="D886" s="12">
        <f>if(sum(Daily_Data!K886:L886)&gt;0,1,0)</f>
        <v>0</v>
      </c>
    </row>
    <row r="887">
      <c r="A887" s="10">
        <f>Daily_Data!A887</f>
        <v>37767</v>
      </c>
      <c r="B887" s="11" t="str">
        <f>Daily_Data!J887</f>
        <v/>
      </c>
      <c r="C887" s="11" t="str">
        <f>Daily_Data!I887</f>
        <v/>
      </c>
      <c r="D887" s="12">
        <f>if(sum(Daily_Data!K887:L887)&gt;0,1,0)</f>
        <v>0</v>
      </c>
    </row>
    <row r="888">
      <c r="A888" s="10">
        <f>Daily_Data!A888</f>
        <v>37768</v>
      </c>
      <c r="B888" s="11">
        <f>Daily_Data!J888</f>
        <v>19.99</v>
      </c>
      <c r="C888" s="11">
        <f>Daily_Data!I888</f>
        <v>3.56</v>
      </c>
      <c r="D888" s="12">
        <f>if(sum(Daily_Data!K888:L888)&gt;0,1,0)</f>
        <v>0</v>
      </c>
    </row>
    <row r="889">
      <c r="A889" s="10">
        <f>Daily_Data!A889</f>
        <v>37769</v>
      </c>
      <c r="B889" s="11">
        <f>Daily_Data!J889</f>
        <v>20.03</v>
      </c>
      <c r="C889" s="11">
        <f>Daily_Data!I889</f>
        <v>3.55</v>
      </c>
      <c r="D889" s="12">
        <f>if(sum(Daily_Data!K889:L889)&gt;0,1,0)</f>
        <v>0</v>
      </c>
    </row>
    <row r="890">
      <c r="A890" s="10">
        <f>Daily_Data!A890</f>
        <v>37770</v>
      </c>
      <c r="B890" s="11">
        <f>Daily_Data!J890</f>
        <v>20.43</v>
      </c>
      <c r="C890" s="11">
        <f>Daily_Data!I890</f>
        <v>3.59</v>
      </c>
      <c r="D890" s="12">
        <f>if(sum(Daily_Data!K890:L890)&gt;0,1,0)</f>
        <v>0</v>
      </c>
    </row>
    <row r="891">
      <c r="A891" s="10">
        <f>Daily_Data!A891</f>
        <v>37771</v>
      </c>
      <c r="B891" s="11">
        <f>Daily_Data!J891</f>
        <v>19.47</v>
      </c>
      <c r="C891" s="11">
        <f>Daily_Data!I891</f>
        <v>3.55</v>
      </c>
      <c r="D891" s="12">
        <f>if(sum(Daily_Data!K891:L891)&gt;0,1,0)</f>
        <v>0</v>
      </c>
    </row>
    <row r="892">
      <c r="A892" s="10">
        <f>Daily_Data!A892</f>
        <v>37774</v>
      </c>
      <c r="B892" s="11">
        <f>Daily_Data!J892</f>
        <v>20.85</v>
      </c>
      <c r="C892" s="11" t="str">
        <f>Daily_Data!I892</f>
        <v/>
      </c>
      <c r="D892" s="12">
        <f>if(sum(Daily_Data!K892:L892)&gt;0,1,0)</f>
        <v>0</v>
      </c>
    </row>
    <row r="893">
      <c r="A893" s="10">
        <f>Daily_Data!A893</f>
        <v>37775</v>
      </c>
      <c r="B893" s="11">
        <f>Daily_Data!J893</f>
        <v>20.84</v>
      </c>
      <c r="C893" s="11">
        <f>Daily_Data!I893</f>
        <v>3.7</v>
      </c>
      <c r="D893" s="12">
        <f>if(sum(Daily_Data!K893:L893)&gt;0,1,0)</f>
        <v>0</v>
      </c>
    </row>
    <row r="894">
      <c r="A894" s="10">
        <f>Daily_Data!A894</f>
        <v>37776</v>
      </c>
      <c r="B894" s="11">
        <f>Daily_Data!J894</f>
        <v>20.62</v>
      </c>
      <c r="C894" s="11">
        <f>Daily_Data!I894</f>
        <v>3.66</v>
      </c>
      <c r="D894" s="12">
        <f>if(sum(Daily_Data!K894:L894)&gt;0,1,0)</f>
        <v>0</v>
      </c>
    </row>
    <row r="895">
      <c r="A895" s="10">
        <f>Daily_Data!A895</f>
        <v>37777</v>
      </c>
      <c r="B895" s="11">
        <f>Daily_Data!J895</f>
        <v>20.83</v>
      </c>
      <c r="C895" s="11">
        <f>Daily_Data!I895</f>
        <v>3.66</v>
      </c>
      <c r="D895" s="12">
        <f>if(sum(Daily_Data!K895:L895)&gt;0,1,0)</f>
        <v>0</v>
      </c>
    </row>
    <row r="896">
      <c r="A896" s="10">
        <f>Daily_Data!A896</f>
        <v>37778</v>
      </c>
      <c r="B896" s="11">
        <f>Daily_Data!J896</f>
        <v>21.25</v>
      </c>
      <c r="C896" s="11">
        <f>Daily_Data!I896</f>
        <v>3.6</v>
      </c>
      <c r="D896" s="12">
        <f>if(sum(Daily_Data!K896:L896)&gt;0,1,0)</f>
        <v>1</v>
      </c>
    </row>
    <row r="897">
      <c r="A897" s="10">
        <f>Daily_Data!A897</f>
        <v>37781</v>
      </c>
      <c r="B897" s="11">
        <f>Daily_Data!J897</f>
        <v>22.15</v>
      </c>
      <c r="C897" s="11">
        <f>Daily_Data!I897</f>
        <v>3.66</v>
      </c>
      <c r="D897" s="12">
        <f>if(sum(Daily_Data!K897:L897)&gt;0,1,0)</f>
        <v>0</v>
      </c>
    </row>
    <row r="898">
      <c r="A898" s="10">
        <f>Daily_Data!A898</f>
        <v>37782</v>
      </c>
      <c r="B898" s="11">
        <f>Daily_Data!J898</f>
        <v>20.64</v>
      </c>
      <c r="C898" s="11">
        <f>Daily_Data!I898</f>
        <v>3.65</v>
      </c>
      <c r="D898" s="12">
        <f>if(sum(Daily_Data!K898:L898)&gt;0,1,0)</f>
        <v>0</v>
      </c>
    </row>
    <row r="899">
      <c r="A899" s="10">
        <f>Daily_Data!A899</f>
        <v>37783</v>
      </c>
      <c r="B899" s="11">
        <f>Daily_Data!J899</f>
        <v>20.21</v>
      </c>
      <c r="C899" s="11">
        <f>Daily_Data!I899</f>
        <v>3.57</v>
      </c>
      <c r="D899" s="12">
        <f>if(sum(Daily_Data!K899:L899)&gt;0,1,0)</f>
        <v>0</v>
      </c>
    </row>
    <row r="900">
      <c r="A900" s="10">
        <f>Daily_Data!A900</f>
        <v>37784</v>
      </c>
      <c r="B900" s="11">
        <f>Daily_Data!J900</f>
        <v>20.41</v>
      </c>
      <c r="C900" s="11">
        <f>Daily_Data!I900</f>
        <v>3.63</v>
      </c>
      <c r="D900" s="12">
        <f>if(sum(Daily_Data!K900:L900)&gt;0,1,0)</f>
        <v>0</v>
      </c>
    </row>
    <row r="901">
      <c r="A901" s="10">
        <f>Daily_Data!A901</f>
        <v>37785</v>
      </c>
      <c r="B901" s="11">
        <f>Daily_Data!J901</f>
        <v>20.66</v>
      </c>
      <c r="C901" s="11">
        <f>Daily_Data!I901</f>
        <v>3.62</v>
      </c>
      <c r="D901" s="12">
        <f>if(sum(Daily_Data!K901:L901)&gt;0,1,0)</f>
        <v>0</v>
      </c>
    </row>
    <row r="902">
      <c r="A902" s="10">
        <f>Daily_Data!A902</f>
        <v>37788</v>
      </c>
      <c r="B902" s="11">
        <f>Daily_Data!J902</f>
        <v>20.22</v>
      </c>
      <c r="C902" s="11">
        <f>Daily_Data!I902</f>
        <v>3.48</v>
      </c>
      <c r="D902" s="12">
        <f>if(sum(Daily_Data!K902:L902)&gt;0,1,0)</f>
        <v>0</v>
      </c>
    </row>
    <row r="903">
      <c r="A903" s="10">
        <f>Daily_Data!A903</f>
        <v>37789</v>
      </c>
      <c r="B903" s="11">
        <f>Daily_Data!J903</f>
        <v>20.01</v>
      </c>
      <c r="C903" s="11">
        <f>Daily_Data!I903</f>
        <v>3.5</v>
      </c>
      <c r="D903" s="12">
        <f>if(sum(Daily_Data!K903:L903)&gt;0,1,0)</f>
        <v>1</v>
      </c>
    </row>
    <row r="904">
      <c r="A904" s="10">
        <f>Daily_Data!A904</f>
        <v>37790</v>
      </c>
      <c r="B904" s="11">
        <f>Daily_Data!J904</f>
        <v>19.76</v>
      </c>
      <c r="C904" s="11">
        <f>Daily_Data!I904</f>
        <v>3.49</v>
      </c>
      <c r="D904" s="12">
        <f>if(sum(Daily_Data!K904:L904)&gt;0,1,0)</f>
        <v>0</v>
      </c>
    </row>
    <row r="905">
      <c r="A905" s="10">
        <f>Daily_Data!A905</f>
        <v>37791</v>
      </c>
      <c r="B905" s="11">
        <f>Daily_Data!J905</f>
        <v>19.8</v>
      </c>
      <c r="C905" s="11">
        <f>Daily_Data!I905</f>
        <v>3.59</v>
      </c>
      <c r="D905" s="12">
        <f>if(sum(Daily_Data!K905:L905)&gt;0,1,0)</f>
        <v>0</v>
      </c>
    </row>
    <row r="906">
      <c r="A906" s="10">
        <f>Daily_Data!A906</f>
        <v>37792</v>
      </c>
      <c r="B906" s="11">
        <f>Daily_Data!J906</f>
        <v>19.14</v>
      </c>
      <c r="C906" s="11">
        <f>Daily_Data!I906</f>
        <v>3.51</v>
      </c>
      <c r="D906" s="12">
        <f>if(sum(Daily_Data!K906:L906)&gt;0,1,0)</f>
        <v>0</v>
      </c>
    </row>
    <row r="907">
      <c r="A907" s="10">
        <f>Daily_Data!A907</f>
        <v>37795</v>
      </c>
      <c r="B907" s="11">
        <f>Daily_Data!J907</f>
        <v>20.58</v>
      </c>
      <c r="C907" s="11">
        <f>Daily_Data!I907</f>
        <v>3.58</v>
      </c>
      <c r="D907" s="12">
        <f>if(sum(Daily_Data!K907:L907)&gt;0,1,0)</f>
        <v>0</v>
      </c>
    </row>
    <row r="908">
      <c r="A908" s="10">
        <f>Daily_Data!A908</f>
        <v>37796</v>
      </c>
      <c r="B908" s="11">
        <f>Daily_Data!J908</f>
        <v>20.75</v>
      </c>
      <c r="C908" s="11">
        <f>Daily_Data!I908</f>
        <v>3.58</v>
      </c>
      <c r="D908" s="12">
        <f>if(sum(Daily_Data!K908:L908)&gt;0,1,0)</f>
        <v>0</v>
      </c>
    </row>
    <row r="909">
      <c r="A909" s="10">
        <f>Daily_Data!A909</f>
        <v>37797</v>
      </c>
      <c r="B909" s="11">
        <f>Daily_Data!J909</f>
        <v>20.81</v>
      </c>
      <c r="C909" s="11">
        <f>Daily_Data!I909</f>
        <v>3.45</v>
      </c>
      <c r="D909" s="12">
        <f>if(sum(Daily_Data!K909:L909)&gt;0,1,0)</f>
        <v>0</v>
      </c>
    </row>
    <row r="910">
      <c r="A910" s="10">
        <f>Daily_Data!A910</f>
        <v>37798</v>
      </c>
      <c r="B910" s="11">
        <f>Daily_Data!J910</f>
        <v>19.4</v>
      </c>
      <c r="C910" s="11">
        <f>Daily_Data!I910</f>
        <v>3.5</v>
      </c>
      <c r="D910" s="12">
        <f>if(sum(Daily_Data!K910:L910)&gt;0,1,0)</f>
        <v>0</v>
      </c>
    </row>
    <row r="911">
      <c r="A911" s="10">
        <f>Daily_Data!A911</f>
        <v>37799</v>
      </c>
      <c r="B911" s="11">
        <f>Daily_Data!J911</f>
        <v>19.16</v>
      </c>
      <c r="C911" s="11">
        <f>Daily_Data!I911</f>
        <v>3.53</v>
      </c>
      <c r="D911" s="12">
        <f>if(sum(Daily_Data!K911:L911)&gt;0,1,0)</f>
        <v>0</v>
      </c>
    </row>
    <row r="912">
      <c r="A912" s="10">
        <f>Daily_Data!A912</f>
        <v>37802</v>
      </c>
      <c r="B912" s="11">
        <f>Daily_Data!J912</f>
        <v>19.52</v>
      </c>
      <c r="C912" s="11">
        <f>Daily_Data!I912</f>
        <v>3.57</v>
      </c>
      <c r="D912" s="12">
        <f>if(sum(Daily_Data!K912:L912)&gt;0,1,0)</f>
        <v>0</v>
      </c>
    </row>
    <row r="913">
      <c r="A913" s="10">
        <f>Daily_Data!A913</f>
        <v>37803</v>
      </c>
      <c r="B913" s="11">
        <f>Daily_Data!J913</f>
        <v>19.46</v>
      </c>
      <c r="C913" s="11">
        <f>Daily_Data!I913</f>
        <v>3.57</v>
      </c>
      <c r="D913" s="12">
        <f>if(sum(Daily_Data!K913:L913)&gt;0,1,0)</f>
        <v>0</v>
      </c>
    </row>
    <row r="914">
      <c r="A914" s="10">
        <f>Daily_Data!A914</f>
        <v>37804</v>
      </c>
      <c r="B914" s="11">
        <f>Daily_Data!J914</f>
        <v>19.03</v>
      </c>
      <c r="C914" s="11">
        <f>Daily_Data!I914</f>
        <v>3.56</v>
      </c>
      <c r="D914" s="12">
        <f>if(sum(Daily_Data!K914:L914)&gt;0,1,0)</f>
        <v>0</v>
      </c>
    </row>
    <row r="915">
      <c r="A915" s="10">
        <f>Daily_Data!A915</f>
        <v>37805</v>
      </c>
      <c r="B915" s="11">
        <f>Daily_Data!J915</f>
        <v>19.39</v>
      </c>
      <c r="C915" s="11">
        <f>Daily_Data!I915</f>
        <v>3.5</v>
      </c>
      <c r="D915" s="12">
        <f>if(sum(Daily_Data!K915:L915)&gt;0,1,0)</f>
        <v>1</v>
      </c>
    </row>
    <row r="916">
      <c r="A916" s="10">
        <f>Daily_Data!A916</f>
        <v>37806</v>
      </c>
      <c r="B916" s="11" t="str">
        <f>Daily_Data!J916</f>
        <v/>
      </c>
      <c r="C916" s="11" t="str">
        <f>Daily_Data!I916</f>
        <v/>
      </c>
      <c r="D916" s="12">
        <f>if(sum(Daily_Data!K916:L916)&gt;0,1,0)</f>
        <v>0</v>
      </c>
    </row>
    <row r="917">
      <c r="A917" s="10">
        <f>Daily_Data!A917</f>
        <v>37809</v>
      </c>
      <c r="B917" s="11">
        <f>Daily_Data!J917</f>
        <v>20.06</v>
      </c>
      <c r="C917" s="11">
        <f>Daily_Data!I917</f>
        <v>3.48</v>
      </c>
      <c r="D917" s="12">
        <f>if(sum(Daily_Data!K917:L917)&gt;0,1,0)</f>
        <v>0</v>
      </c>
    </row>
    <row r="918">
      <c r="A918" s="10">
        <f>Daily_Data!A918</f>
        <v>37810</v>
      </c>
      <c r="B918" s="11">
        <f>Daily_Data!J918</f>
        <v>19.48</v>
      </c>
      <c r="C918" s="11">
        <f>Daily_Data!I918</f>
        <v>3.48</v>
      </c>
      <c r="D918" s="12">
        <f>if(sum(Daily_Data!K918:L918)&gt;0,1,0)</f>
        <v>0</v>
      </c>
    </row>
    <row r="919">
      <c r="A919" s="10">
        <f>Daily_Data!A919</f>
        <v>37811</v>
      </c>
      <c r="B919" s="11">
        <f>Daily_Data!J919</f>
        <v>18.93</v>
      </c>
      <c r="C919" s="11">
        <f>Daily_Data!I919</f>
        <v>3.5</v>
      </c>
      <c r="D919" s="12">
        <f>if(sum(Daily_Data!K919:L919)&gt;0,1,0)</f>
        <v>0</v>
      </c>
    </row>
    <row r="920">
      <c r="A920" s="10">
        <f>Daily_Data!A920</f>
        <v>37812</v>
      </c>
      <c r="B920" s="11">
        <f>Daily_Data!J920</f>
        <v>19.19</v>
      </c>
      <c r="C920" s="11">
        <f>Daily_Data!I920</f>
        <v>3.53</v>
      </c>
      <c r="D920" s="12">
        <f>if(sum(Daily_Data!K920:L920)&gt;0,1,0)</f>
        <v>0</v>
      </c>
    </row>
    <row r="921">
      <c r="A921" s="10">
        <f>Daily_Data!A921</f>
        <v>37813</v>
      </c>
      <c r="B921" s="11">
        <f>Daily_Data!J921</f>
        <v>18.47</v>
      </c>
      <c r="C921" s="11">
        <f>Daily_Data!I921</f>
        <v>3.54</v>
      </c>
      <c r="D921" s="12">
        <f>if(sum(Daily_Data!K921:L921)&gt;0,1,0)</f>
        <v>0</v>
      </c>
    </row>
    <row r="922">
      <c r="A922" s="10">
        <f>Daily_Data!A922</f>
        <v>37816</v>
      </c>
      <c r="B922" s="11">
        <f>Daily_Data!J922</f>
        <v>19.59</v>
      </c>
      <c r="C922" s="11">
        <f>Daily_Data!I922</f>
        <v>3.45</v>
      </c>
      <c r="D922" s="12">
        <f>if(sum(Daily_Data!K922:L922)&gt;0,1,0)</f>
        <v>0</v>
      </c>
    </row>
    <row r="923">
      <c r="A923" s="10">
        <f>Daily_Data!A923</f>
        <v>37817</v>
      </c>
      <c r="B923" s="11">
        <f>Daily_Data!J923</f>
        <v>19.55</v>
      </c>
      <c r="C923" s="11">
        <f>Daily_Data!I923</f>
        <v>3.33</v>
      </c>
      <c r="D923" s="12">
        <f>if(sum(Daily_Data!K923:L923)&gt;0,1,0)</f>
        <v>0</v>
      </c>
    </row>
    <row r="924">
      <c r="A924" s="10">
        <f>Daily_Data!A924</f>
        <v>37818</v>
      </c>
      <c r="B924" s="11">
        <f>Daily_Data!J924</f>
        <v>19.76</v>
      </c>
      <c r="C924" s="11">
        <f>Daily_Data!I924</f>
        <v>3.39</v>
      </c>
      <c r="D924" s="12">
        <f>if(sum(Daily_Data!K924:L924)&gt;0,1,0)</f>
        <v>1</v>
      </c>
    </row>
    <row r="925">
      <c r="A925" s="10">
        <f>Daily_Data!A925</f>
        <v>37819</v>
      </c>
      <c r="B925" s="11">
        <f>Daily_Data!J925</f>
        <v>20.22</v>
      </c>
      <c r="C925" s="11">
        <f>Daily_Data!I925</f>
        <v>3.43</v>
      </c>
      <c r="D925" s="12">
        <f>if(sum(Daily_Data!K925:L925)&gt;0,1,0)</f>
        <v>0</v>
      </c>
    </row>
    <row r="926">
      <c r="A926" s="10">
        <f>Daily_Data!A926</f>
        <v>37820</v>
      </c>
      <c r="B926" s="11">
        <f>Daily_Data!J926</f>
        <v>19.11</v>
      </c>
      <c r="C926" s="11">
        <f>Daily_Data!I926</f>
        <v>3.42</v>
      </c>
      <c r="D926" s="12">
        <f>if(sum(Daily_Data!K926:L926)&gt;0,1,0)</f>
        <v>0</v>
      </c>
    </row>
    <row r="927">
      <c r="A927" s="10">
        <f>Daily_Data!A927</f>
        <v>37823</v>
      </c>
      <c r="B927" s="11">
        <f>Daily_Data!J927</f>
        <v>19.78</v>
      </c>
      <c r="C927" s="11">
        <f>Daily_Data!I927</f>
        <v>3.34</v>
      </c>
      <c r="D927" s="12">
        <f>if(sum(Daily_Data!K927:L927)&gt;0,1,0)</f>
        <v>0</v>
      </c>
    </row>
    <row r="928">
      <c r="A928" s="10">
        <f>Daily_Data!A928</f>
        <v>37824</v>
      </c>
      <c r="B928" s="11">
        <f>Daily_Data!J928</f>
        <v>19.17</v>
      </c>
      <c r="C928" s="11">
        <f>Daily_Data!I928</f>
        <v>3.47</v>
      </c>
      <c r="D928" s="12">
        <f>if(sum(Daily_Data!K928:L928)&gt;0,1,0)</f>
        <v>0</v>
      </c>
    </row>
    <row r="929">
      <c r="A929" s="10">
        <f>Daily_Data!A929</f>
        <v>37825</v>
      </c>
      <c r="B929" s="11">
        <f>Daily_Data!J929</f>
        <v>18.64</v>
      </c>
      <c r="C929" s="11">
        <f>Daily_Data!I929</f>
        <v>3.46</v>
      </c>
      <c r="D929" s="12">
        <f>if(sum(Daily_Data!K929:L929)&gt;0,1,0)</f>
        <v>0</v>
      </c>
    </row>
    <row r="930">
      <c r="A930" s="10">
        <f>Daily_Data!A930</f>
        <v>37826</v>
      </c>
      <c r="B930" s="11">
        <f>Daily_Data!J930</f>
        <v>18.6</v>
      </c>
      <c r="C930" s="11">
        <f>Daily_Data!I930</f>
        <v>3.42</v>
      </c>
      <c r="D930" s="12">
        <f>if(sum(Daily_Data!K930:L930)&gt;0,1,0)</f>
        <v>0</v>
      </c>
    </row>
    <row r="931">
      <c r="A931" s="10">
        <f>Daily_Data!A931</f>
        <v>37827</v>
      </c>
      <c r="B931" s="11">
        <f>Daily_Data!J931</f>
        <v>17.75</v>
      </c>
      <c r="C931" s="11">
        <f>Daily_Data!I931</f>
        <v>3.4</v>
      </c>
      <c r="D931" s="12">
        <f>if(sum(Daily_Data!K931:L931)&gt;0,1,0)</f>
        <v>0</v>
      </c>
    </row>
    <row r="932">
      <c r="A932" s="10">
        <f>Daily_Data!A932</f>
        <v>37830</v>
      </c>
      <c r="B932" s="11">
        <f>Daily_Data!J932</f>
        <v>18.36</v>
      </c>
      <c r="C932" s="11">
        <f>Daily_Data!I932</f>
        <v>3.35</v>
      </c>
      <c r="D932" s="12">
        <f>if(sum(Daily_Data!K932:L932)&gt;0,1,0)</f>
        <v>0</v>
      </c>
    </row>
    <row r="933">
      <c r="A933" s="10">
        <f>Daily_Data!A933</f>
        <v>37831</v>
      </c>
      <c r="B933" s="11">
        <f>Daily_Data!J933</f>
        <v>18.67</v>
      </c>
      <c r="C933" s="11">
        <f>Daily_Data!I933</f>
        <v>3.33</v>
      </c>
      <c r="D933" s="12">
        <f>if(sum(Daily_Data!K933:L933)&gt;0,1,0)</f>
        <v>0</v>
      </c>
    </row>
    <row r="934">
      <c r="A934" s="10">
        <f>Daily_Data!A934</f>
        <v>37832</v>
      </c>
      <c r="B934" s="11">
        <f>Daily_Data!J934</f>
        <v>18.85</v>
      </c>
      <c r="C934" s="11">
        <f>Daily_Data!I934</f>
        <v>3.39</v>
      </c>
      <c r="D934" s="12">
        <f>if(sum(Daily_Data!K934:L934)&gt;0,1,0)</f>
        <v>0</v>
      </c>
    </row>
    <row r="935">
      <c r="A935" s="10">
        <f>Daily_Data!A935</f>
        <v>37833</v>
      </c>
      <c r="B935" s="11">
        <f>Daily_Data!J935</f>
        <v>19.49</v>
      </c>
      <c r="C935" s="11">
        <f>Daily_Data!I935</f>
        <v>3.19</v>
      </c>
      <c r="D935" s="12">
        <f>if(sum(Daily_Data!K935:L935)&gt;0,1,0)</f>
        <v>0</v>
      </c>
    </row>
    <row r="936">
      <c r="A936" s="10">
        <f>Daily_Data!A936</f>
        <v>37834</v>
      </c>
      <c r="B936" s="11">
        <f>Daily_Data!J936</f>
        <v>20.75</v>
      </c>
      <c r="C936" s="11">
        <f>Daily_Data!I936</f>
        <v>3.18</v>
      </c>
      <c r="D936" s="12">
        <f>if(sum(Daily_Data!K936:L936)&gt;0,1,0)</f>
        <v>1</v>
      </c>
    </row>
    <row r="937">
      <c r="A937" s="10">
        <f>Daily_Data!A937</f>
        <v>37837</v>
      </c>
      <c r="B937" s="11">
        <f>Daily_Data!J937</f>
        <v>21.27</v>
      </c>
      <c r="C937" s="11">
        <f>Daily_Data!I937</f>
        <v>3.35</v>
      </c>
      <c r="D937" s="12">
        <f>if(sum(Daily_Data!K937:L937)&gt;0,1,0)</f>
        <v>0</v>
      </c>
    </row>
    <row r="938">
      <c r="A938" s="10">
        <f>Daily_Data!A938</f>
        <v>37838</v>
      </c>
      <c r="B938" s="11">
        <f>Daily_Data!J938</f>
        <v>22.68</v>
      </c>
      <c r="C938" s="11">
        <f>Daily_Data!I938</f>
        <v>3.19</v>
      </c>
      <c r="D938" s="12">
        <f>if(sum(Daily_Data!K938:L938)&gt;0,1,0)</f>
        <v>0</v>
      </c>
    </row>
    <row r="939">
      <c r="A939" s="10">
        <f>Daily_Data!A939</f>
        <v>37839</v>
      </c>
      <c r="B939" s="11">
        <f>Daily_Data!J939</f>
        <v>21.5</v>
      </c>
      <c r="C939" s="11">
        <f>Daily_Data!I939</f>
        <v>3.33</v>
      </c>
      <c r="D939" s="12">
        <f>if(sum(Daily_Data!K939:L939)&gt;0,1,0)</f>
        <v>0</v>
      </c>
    </row>
    <row r="940">
      <c r="A940" s="10">
        <f>Daily_Data!A940</f>
        <v>37840</v>
      </c>
      <c r="B940" s="11">
        <f>Daily_Data!J940</f>
        <v>20.26</v>
      </c>
      <c r="C940" s="11">
        <f>Daily_Data!I940</f>
        <v>3.37</v>
      </c>
      <c r="D940" s="12">
        <f>if(sum(Daily_Data!K940:L940)&gt;0,1,0)</f>
        <v>0</v>
      </c>
    </row>
    <row r="941">
      <c r="A941" s="10">
        <f>Daily_Data!A941</f>
        <v>37841</v>
      </c>
      <c r="B941" s="11">
        <f>Daily_Data!J941</f>
        <v>19.59</v>
      </c>
      <c r="C941" s="11">
        <f>Daily_Data!I941</f>
        <v>3.39</v>
      </c>
      <c r="D941" s="12">
        <f>if(sum(Daily_Data!K941:L941)&gt;0,1,0)</f>
        <v>0</v>
      </c>
    </row>
    <row r="942">
      <c r="A942" s="10">
        <f>Daily_Data!A942</f>
        <v>37844</v>
      </c>
      <c r="B942" s="11">
        <f>Daily_Data!J942</f>
        <v>19.75</v>
      </c>
      <c r="C942" s="11">
        <f>Daily_Data!I942</f>
        <v>3.37</v>
      </c>
      <c r="D942" s="12">
        <f>if(sum(Daily_Data!K942:L942)&gt;0,1,0)</f>
        <v>0</v>
      </c>
    </row>
    <row r="943">
      <c r="A943" s="10">
        <f>Daily_Data!A943</f>
        <v>37845</v>
      </c>
      <c r="B943" s="11">
        <f>Daily_Data!J943</f>
        <v>17.94</v>
      </c>
      <c r="C943" s="11">
        <f>Daily_Data!I943</f>
        <v>3.61</v>
      </c>
      <c r="D943" s="12">
        <f>if(sum(Daily_Data!K943:L943)&gt;0,1,0)</f>
        <v>0</v>
      </c>
    </row>
    <row r="944">
      <c r="A944" s="10">
        <f>Daily_Data!A944</f>
        <v>37846</v>
      </c>
      <c r="B944" s="11">
        <f>Daily_Data!J944</f>
        <v>18.77</v>
      </c>
      <c r="C944" s="11">
        <f>Daily_Data!I944</f>
        <v>3.42</v>
      </c>
      <c r="D944" s="12">
        <f>if(sum(Daily_Data!K944:L944)&gt;0,1,0)</f>
        <v>0</v>
      </c>
    </row>
    <row r="945">
      <c r="A945" s="10">
        <f>Daily_Data!A945</f>
        <v>37847</v>
      </c>
      <c r="B945" s="11">
        <f>Daily_Data!J945</f>
        <v>18.47</v>
      </c>
      <c r="C945" s="11">
        <f>Daily_Data!I945</f>
        <v>3.46</v>
      </c>
      <c r="D945" s="12">
        <f>if(sum(Daily_Data!K945:L945)&gt;0,1,0)</f>
        <v>0</v>
      </c>
    </row>
    <row r="946">
      <c r="A946" s="10">
        <f>Daily_Data!A946</f>
        <v>37848</v>
      </c>
      <c r="B946" s="11">
        <f>Daily_Data!J946</f>
        <v>18.27</v>
      </c>
      <c r="C946" s="11">
        <f>Daily_Data!I946</f>
        <v>3.41</v>
      </c>
      <c r="D946" s="12">
        <f>if(sum(Daily_Data!K946:L946)&gt;0,1,0)</f>
        <v>1</v>
      </c>
    </row>
    <row r="947">
      <c r="A947" s="10">
        <f>Daily_Data!A947</f>
        <v>37851</v>
      </c>
      <c r="B947" s="11">
        <f>Daily_Data!J947</f>
        <v>18.18</v>
      </c>
      <c r="C947" s="11">
        <f>Daily_Data!I947</f>
        <v>3.39</v>
      </c>
      <c r="D947" s="12">
        <f>if(sum(Daily_Data!K947:L947)&gt;0,1,0)</f>
        <v>0</v>
      </c>
    </row>
    <row r="948">
      <c r="A948" s="10">
        <f>Daily_Data!A948</f>
        <v>37852</v>
      </c>
      <c r="B948" s="11">
        <f>Daily_Data!J948</f>
        <v>17.86</v>
      </c>
      <c r="C948" s="11">
        <f>Daily_Data!I948</f>
        <v>3.42</v>
      </c>
      <c r="D948" s="12">
        <f>if(sum(Daily_Data!K948:L948)&gt;0,1,0)</f>
        <v>0</v>
      </c>
    </row>
    <row r="949">
      <c r="A949" s="10">
        <f>Daily_Data!A949</f>
        <v>37853</v>
      </c>
      <c r="B949" s="11">
        <f>Daily_Data!J949</f>
        <v>17.82</v>
      </c>
      <c r="C949" s="11">
        <f>Daily_Data!I949</f>
        <v>3.42</v>
      </c>
      <c r="D949" s="12">
        <f>if(sum(Daily_Data!K949:L949)&gt;0,1,0)</f>
        <v>0</v>
      </c>
    </row>
    <row r="950">
      <c r="A950" s="10">
        <f>Daily_Data!A950</f>
        <v>37854</v>
      </c>
      <c r="B950" s="11">
        <f>Daily_Data!J950</f>
        <v>17.84</v>
      </c>
      <c r="C950" s="11">
        <f>Daily_Data!I950</f>
        <v>3.3</v>
      </c>
      <c r="D950" s="12">
        <f>if(sum(Daily_Data!K950:L950)&gt;0,1,0)</f>
        <v>0</v>
      </c>
    </row>
    <row r="951">
      <c r="A951" s="10">
        <f>Daily_Data!A951</f>
        <v>37855</v>
      </c>
      <c r="B951" s="11">
        <f>Daily_Data!J951</f>
        <v>18.55</v>
      </c>
      <c r="C951" s="11">
        <f>Daily_Data!I951</f>
        <v>3.31</v>
      </c>
      <c r="D951" s="12">
        <f>if(sum(Daily_Data!K951:L951)&gt;0,1,0)</f>
        <v>0</v>
      </c>
    </row>
    <row r="952">
      <c r="A952" s="10">
        <f>Daily_Data!A952</f>
        <v>37858</v>
      </c>
      <c r="B952" s="11">
        <f>Daily_Data!J952</f>
        <v>19.53</v>
      </c>
      <c r="C952" s="11">
        <f>Daily_Data!I952</f>
        <v>3.25</v>
      </c>
      <c r="D952" s="12">
        <f>if(sum(Daily_Data!K952:L952)&gt;0,1,0)</f>
        <v>0</v>
      </c>
    </row>
    <row r="953">
      <c r="A953" s="10">
        <f>Daily_Data!A953</f>
        <v>37859</v>
      </c>
      <c r="B953" s="11">
        <f>Daily_Data!J953</f>
        <v>19.49</v>
      </c>
      <c r="C953" s="11">
        <f>Daily_Data!I953</f>
        <v>3.34</v>
      </c>
      <c r="D953" s="12">
        <f>if(sum(Daily_Data!K953:L953)&gt;0,1,0)</f>
        <v>0</v>
      </c>
    </row>
    <row r="954">
      <c r="A954" s="10">
        <f>Daily_Data!A954</f>
        <v>37860</v>
      </c>
      <c r="B954" s="11">
        <f>Daily_Data!J954</f>
        <v>19.13</v>
      </c>
      <c r="C954" s="11">
        <f>Daily_Data!I954</f>
        <v>3.23</v>
      </c>
      <c r="D954" s="12">
        <f>if(sum(Daily_Data!K954:L954)&gt;0,1,0)</f>
        <v>0</v>
      </c>
    </row>
    <row r="955">
      <c r="A955" s="10">
        <f>Daily_Data!A955</f>
        <v>37861</v>
      </c>
      <c r="B955" s="11">
        <f>Daily_Data!J955</f>
        <v>18.48</v>
      </c>
      <c r="C955" s="11">
        <f>Daily_Data!I955</f>
        <v>3.4</v>
      </c>
      <c r="D955" s="12">
        <f>if(sum(Daily_Data!K955:L955)&gt;0,1,0)</f>
        <v>0</v>
      </c>
    </row>
    <row r="956">
      <c r="A956" s="10">
        <f>Daily_Data!A956</f>
        <v>37862</v>
      </c>
      <c r="B956" s="11">
        <f>Daily_Data!J956</f>
        <v>18.63</v>
      </c>
      <c r="C956" s="11">
        <f>Daily_Data!I956</f>
        <v>3.32</v>
      </c>
      <c r="D956" s="12">
        <f>if(sum(Daily_Data!K956:L956)&gt;0,1,0)</f>
        <v>0</v>
      </c>
    </row>
    <row r="957">
      <c r="A957" s="10">
        <f>Daily_Data!A957</f>
        <v>37865</v>
      </c>
      <c r="B957" s="11" t="str">
        <f>Daily_Data!J957</f>
        <v/>
      </c>
      <c r="C957" s="11" t="str">
        <f>Daily_Data!I957</f>
        <v/>
      </c>
      <c r="D957" s="12">
        <f>if(sum(Daily_Data!K957:L957)&gt;0,1,0)</f>
        <v>0</v>
      </c>
    </row>
    <row r="958">
      <c r="A958" s="10">
        <f>Daily_Data!A958</f>
        <v>37866</v>
      </c>
      <c r="B958" s="11">
        <f>Daily_Data!J958</f>
        <v>19.02</v>
      </c>
      <c r="C958" s="11">
        <f>Daily_Data!I958</f>
        <v>3.29</v>
      </c>
      <c r="D958" s="12">
        <f>if(sum(Daily_Data!K958:L958)&gt;0,1,0)</f>
        <v>0</v>
      </c>
    </row>
    <row r="959">
      <c r="A959" s="10">
        <f>Daily_Data!A959</f>
        <v>37867</v>
      </c>
      <c r="B959" s="11">
        <f>Daily_Data!J959</f>
        <v>19.44</v>
      </c>
      <c r="C959" s="11">
        <f>Daily_Data!I959</f>
        <v>3.39</v>
      </c>
      <c r="D959" s="12">
        <f>if(sum(Daily_Data!K959:L959)&gt;0,1,0)</f>
        <v>0</v>
      </c>
    </row>
    <row r="960">
      <c r="A960" s="10">
        <f>Daily_Data!A960</f>
        <v>37868</v>
      </c>
      <c r="B960" s="11">
        <f>Daily_Data!J960</f>
        <v>18.71</v>
      </c>
      <c r="C960" s="11">
        <f>Daily_Data!I960</f>
        <v>3.5</v>
      </c>
      <c r="D960" s="12">
        <f>if(sum(Daily_Data!K960:L960)&gt;0,1,0)</f>
        <v>0</v>
      </c>
    </row>
    <row r="961">
      <c r="A961" s="10">
        <f>Daily_Data!A961</f>
        <v>37869</v>
      </c>
      <c r="B961" s="11">
        <f>Daily_Data!J961</f>
        <v>18.17</v>
      </c>
      <c r="C961" s="11">
        <f>Daily_Data!I961</f>
        <v>3.7</v>
      </c>
      <c r="D961" s="12">
        <f>if(sum(Daily_Data!K961:L961)&gt;0,1,0)</f>
        <v>1</v>
      </c>
    </row>
    <row r="962">
      <c r="A962" s="10">
        <f>Daily_Data!A962</f>
        <v>37872</v>
      </c>
      <c r="B962" s="11">
        <f>Daily_Data!J962</f>
        <v>18.26</v>
      </c>
      <c r="C962" s="11">
        <f>Daily_Data!I962</f>
        <v>3.58</v>
      </c>
      <c r="D962" s="12">
        <f>if(sum(Daily_Data!K962:L962)&gt;0,1,0)</f>
        <v>0</v>
      </c>
    </row>
    <row r="963">
      <c r="A963" s="10">
        <f>Daily_Data!A963</f>
        <v>37873</v>
      </c>
      <c r="B963" s="11">
        <f>Daily_Data!J963</f>
        <v>18.85</v>
      </c>
      <c r="C963" s="11">
        <f>Daily_Data!I963</f>
        <v>3.69</v>
      </c>
      <c r="D963" s="12">
        <f>if(sum(Daily_Data!K963:L963)&gt;0,1,0)</f>
        <v>0</v>
      </c>
    </row>
    <row r="964">
      <c r="A964" s="10">
        <f>Daily_Data!A964</f>
        <v>37874</v>
      </c>
      <c r="B964" s="11">
        <f>Daily_Data!J964</f>
        <v>20.01</v>
      </c>
      <c r="C964" s="11">
        <f>Daily_Data!I964</f>
        <v>3.69</v>
      </c>
      <c r="D964" s="12">
        <f>if(sum(Daily_Data!K964:L964)&gt;0,1,0)</f>
        <v>0</v>
      </c>
    </row>
    <row r="965">
      <c r="A965" s="10">
        <f>Daily_Data!A965</f>
        <v>37875</v>
      </c>
      <c r="B965" s="11">
        <f>Daily_Data!J965</f>
        <v>19.25</v>
      </c>
      <c r="C965" s="11">
        <f>Daily_Data!I965</f>
        <v>3.59</v>
      </c>
      <c r="D965" s="12">
        <f>if(sum(Daily_Data!K965:L965)&gt;0,1,0)</f>
        <v>0</v>
      </c>
    </row>
    <row r="966">
      <c r="A966" s="10">
        <f>Daily_Data!A966</f>
        <v>37876</v>
      </c>
      <c r="B966" s="11">
        <f>Daily_Data!J966</f>
        <v>18.68</v>
      </c>
      <c r="C966" s="11">
        <f>Daily_Data!I966</f>
        <v>3.71</v>
      </c>
      <c r="D966" s="12">
        <f>if(sum(Daily_Data!K966:L966)&gt;0,1,0)</f>
        <v>0</v>
      </c>
    </row>
    <row r="967">
      <c r="A967" s="10">
        <f>Daily_Data!A967</f>
        <v>37879</v>
      </c>
      <c r="B967" s="11">
        <f>Daily_Data!J967</f>
        <v>19.28</v>
      </c>
      <c r="C967" s="11">
        <f>Daily_Data!I967</f>
        <v>3.7</v>
      </c>
      <c r="D967" s="12">
        <f>if(sum(Daily_Data!K967:L967)&gt;0,1,0)</f>
        <v>0</v>
      </c>
    </row>
    <row r="968">
      <c r="A968" s="10">
        <f>Daily_Data!A968</f>
        <v>37880</v>
      </c>
      <c r="B968" s="11">
        <f>Daily_Data!J968</f>
        <v>18.03</v>
      </c>
      <c r="C968" s="11">
        <f>Daily_Data!I968</f>
        <v>3.69</v>
      </c>
      <c r="D968" s="12">
        <f>if(sum(Daily_Data!K968:L968)&gt;0,1,0)</f>
        <v>1</v>
      </c>
    </row>
    <row r="969">
      <c r="A969" s="10">
        <f>Daily_Data!A969</f>
        <v>37881</v>
      </c>
      <c r="B969" s="11">
        <f>Daily_Data!J969</f>
        <v>18.15</v>
      </c>
      <c r="C969" s="11">
        <f>Daily_Data!I969</f>
        <v>3.7</v>
      </c>
      <c r="D969" s="12">
        <f>if(sum(Daily_Data!K969:L969)&gt;0,1,0)</f>
        <v>0</v>
      </c>
    </row>
    <row r="970">
      <c r="A970" s="10">
        <f>Daily_Data!A970</f>
        <v>37882</v>
      </c>
      <c r="B970" s="11">
        <f>Daily_Data!J970</f>
        <v>17.57</v>
      </c>
      <c r="C970" s="11">
        <f>Daily_Data!I970</f>
        <v>3.61</v>
      </c>
      <c r="D970" s="12">
        <f>if(sum(Daily_Data!K970:L970)&gt;0,1,0)</f>
        <v>0</v>
      </c>
    </row>
    <row r="971">
      <c r="A971" s="10">
        <f>Daily_Data!A971</f>
        <v>37883</v>
      </c>
      <c r="B971" s="11">
        <f>Daily_Data!J971</f>
        <v>17.54</v>
      </c>
      <c r="C971" s="11">
        <f>Daily_Data!I971</f>
        <v>3.61</v>
      </c>
      <c r="D971" s="12">
        <f>if(sum(Daily_Data!K971:L971)&gt;0,1,0)</f>
        <v>0</v>
      </c>
    </row>
    <row r="972">
      <c r="A972" s="10">
        <f>Daily_Data!A972</f>
        <v>37886</v>
      </c>
      <c r="B972" s="11">
        <f>Daily_Data!J972</f>
        <v>19.65</v>
      </c>
      <c r="C972" s="11">
        <f>Daily_Data!I972</f>
        <v>3.58</v>
      </c>
      <c r="D972" s="12">
        <f>if(sum(Daily_Data!K972:L972)&gt;0,1,0)</f>
        <v>0</v>
      </c>
    </row>
    <row r="973">
      <c r="A973" s="10">
        <f>Daily_Data!A973</f>
        <v>37887</v>
      </c>
      <c r="B973" s="11">
        <f>Daily_Data!J973</f>
        <v>19.47</v>
      </c>
      <c r="C973" s="11">
        <f>Daily_Data!I973</f>
        <v>3.54</v>
      </c>
      <c r="D973" s="12">
        <f>if(sum(Daily_Data!K973:L973)&gt;0,1,0)</f>
        <v>0</v>
      </c>
    </row>
    <row r="974">
      <c r="A974" s="10">
        <f>Daily_Data!A974</f>
        <v>37888</v>
      </c>
      <c r="B974" s="11">
        <f>Daily_Data!J974</f>
        <v>21.22</v>
      </c>
      <c r="C974" s="11">
        <f>Daily_Data!I974</f>
        <v>3.59</v>
      </c>
      <c r="D974" s="12">
        <f>if(sum(Daily_Data!K974:L974)&gt;0,1,0)</f>
        <v>0</v>
      </c>
    </row>
    <row r="975">
      <c r="A975" s="10">
        <f>Daily_Data!A975</f>
        <v>37889</v>
      </c>
      <c r="B975" s="11">
        <f>Daily_Data!J975</f>
        <v>22.26</v>
      </c>
      <c r="C975" s="11">
        <f>Daily_Data!I975</f>
        <v>3.55</v>
      </c>
      <c r="D975" s="12">
        <f>if(sum(Daily_Data!K975:L975)&gt;0,1,0)</f>
        <v>0</v>
      </c>
    </row>
    <row r="976">
      <c r="A976" s="10">
        <f>Daily_Data!A976</f>
        <v>37890</v>
      </c>
      <c r="B976" s="11">
        <f>Daily_Data!J976</f>
        <v>22.23</v>
      </c>
      <c r="C976" s="11">
        <f>Daily_Data!I976</f>
        <v>3.57</v>
      </c>
      <c r="D976" s="12">
        <f>if(sum(Daily_Data!K976:L976)&gt;0,1,0)</f>
        <v>0</v>
      </c>
    </row>
    <row r="977">
      <c r="A977" s="10">
        <f>Daily_Data!A977</f>
        <v>37893</v>
      </c>
      <c r="B977" s="11">
        <f>Daily_Data!J977</f>
        <v>21.67</v>
      </c>
      <c r="C977" s="11">
        <f>Daily_Data!I977</f>
        <v>3.56</v>
      </c>
      <c r="D977" s="12">
        <f>if(sum(Daily_Data!K977:L977)&gt;0,1,0)</f>
        <v>0</v>
      </c>
    </row>
    <row r="978">
      <c r="A978" s="10">
        <f>Daily_Data!A978</f>
        <v>37894</v>
      </c>
      <c r="B978" s="11">
        <f>Daily_Data!J978</f>
        <v>22.72</v>
      </c>
      <c r="C978" s="11">
        <f>Daily_Data!I978</f>
        <v>3.7</v>
      </c>
      <c r="D978" s="12">
        <f>if(sum(Daily_Data!K978:L978)&gt;0,1,0)</f>
        <v>0</v>
      </c>
    </row>
    <row r="979">
      <c r="A979" s="10">
        <f>Daily_Data!A979</f>
        <v>37895</v>
      </c>
      <c r="B979" s="11">
        <f>Daily_Data!J979</f>
        <v>21.07</v>
      </c>
      <c r="C979" s="11">
        <f>Daily_Data!I979</f>
        <v>3.7</v>
      </c>
      <c r="D979" s="12">
        <f>if(sum(Daily_Data!K979:L979)&gt;0,1,0)</f>
        <v>0</v>
      </c>
    </row>
    <row r="980">
      <c r="A980" s="10">
        <f>Daily_Data!A980</f>
        <v>37896</v>
      </c>
      <c r="B980" s="11">
        <f>Daily_Data!J980</f>
        <v>20.8</v>
      </c>
      <c r="C980" s="11">
        <f>Daily_Data!I980</f>
        <v>3.8</v>
      </c>
      <c r="D980" s="12">
        <f>if(sum(Daily_Data!K980:L980)&gt;0,1,0)</f>
        <v>0</v>
      </c>
    </row>
    <row r="981">
      <c r="A981" s="10">
        <f>Daily_Data!A981</f>
        <v>37897</v>
      </c>
      <c r="B981" s="11">
        <f>Daily_Data!J981</f>
        <v>19.5</v>
      </c>
      <c r="C981" s="11">
        <f>Daily_Data!I981</f>
        <v>3.67</v>
      </c>
      <c r="D981" s="12">
        <f>if(sum(Daily_Data!K981:L981)&gt;0,1,0)</f>
        <v>1</v>
      </c>
    </row>
    <row r="982">
      <c r="A982" s="10">
        <f>Daily_Data!A982</f>
        <v>37900</v>
      </c>
      <c r="B982" s="11">
        <f>Daily_Data!J982</f>
        <v>19.51</v>
      </c>
      <c r="C982" s="11">
        <f>Daily_Data!I982</f>
        <v>3.82</v>
      </c>
      <c r="D982" s="12">
        <f>if(sum(Daily_Data!K982:L982)&gt;0,1,0)</f>
        <v>0</v>
      </c>
    </row>
    <row r="983">
      <c r="A983" s="10">
        <f>Daily_Data!A983</f>
        <v>37901</v>
      </c>
      <c r="B983" s="11">
        <f>Daily_Data!J983</f>
        <v>19.41</v>
      </c>
      <c r="C983" s="11">
        <f>Daily_Data!I983</f>
        <v>3.74</v>
      </c>
      <c r="D983" s="12">
        <f>if(sum(Daily_Data!K983:L983)&gt;0,1,0)</f>
        <v>0</v>
      </c>
    </row>
    <row r="984">
      <c r="A984" s="10">
        <f>Daily_Data!A984</f>
        <v>37902</v>
      </c>
      <c r="B984" s="11">
        <f>Daily_Data!J984</f>
        <v>19.18</v>
      </c>
      <c r="C984" s="11">
        <f>Daily_Data!I984</f>
        <v>3.86</v>
      </c>
      <c r="D984" s="12">
        <f>if(sum(Daily_Data!K984:L984)&gt;0,1,0)</f>
        <v>0</v>
      </c>
    </row>
    <row r="985">
      <c r="A985" s="10">
        <f>Daily_Data!A985</f>
        <v>37903</v>
      </c>
      <c r="B985" s="11">
        <f>Daily_Data!J985</f>
        <v>18.82</v>
      </c>
      <c r="C985" s="11">
        <f>Daily_Data!I985</f>
        <v>3.82</v>
      </c>
      <c r="D985" s="12">
        <f>if(sum(Daily_Data!K985:L985)&gt;0,1,0)</f>
        <v>0</v>
      </c>
    </row>
    <row r="986">
      <c r="A986" s="10">
        <f>Daily_Data!A986</f>
        <v>37904</v>
      </c>
      <c r="B986" s="11">
        <f>Daily_Data!J986</f>
        <v>18.45</v>
      </c>
      <c r="C986" s="11">
        <f>Daily_Data!I986</f>
        <v>3.89</v>
      </c>
      <c r="D986" s="12">
        <f>if(sum(Daily_Data!K986:L986)&gt;0,1,0)</f>
        <v>0</v>
      </c>
    </row>
    <row r="987">
      <c r="A987" s="10">
        <f>Daily_Data!A987</f>
        <v>37907</v>
      </c>
      <c r="B987" s="11">
        <f>Daily_Data!J987</f>
        <v>17.55</v>
      </c>
      <c r="C987" s="11" t="str">
        <f>Daily_Data!I987</f>
        <v/>
      </c>
      <c r="D987" s="12">
        <f>if(sum(Daily_Data!K987:L987)&gt;0,1,0)</f>
        <v>0</v>
      </c>
    </row>
    <row r="988">
      <c r="A988" s="10">
        <f>Daily_Data!A988</f>
        <v>37908</v>
      </c>
      <c r="B988" s="11">
        <f>Daily_Data!J988</f>
        <v>17.37</v>
      </c>
      <c r="C988" s="11">
        <f>Daily_Data!I988</f>
        <v>3.84</v>
      </c>
      <c r="D988" s="12">
        <f>if(sum(Daily_Data!K988:L988)&gt;0,1,0)</f>
        <v>0</v>
      </c>
    </row>
    <row r="989">
      <c r="A989" s="10">
        <f>Daily_Data!A989</f>
        <v>37909</v>
      </c>
      <c r="B989" s="11">
        <f>Daily_Data!J989</f>
        <v>17.69</v>
      </c>
      <c r="C989" s="11">
        <f>Daily_Data!I989</f>
        <v>3.81</v>
      </c>
      <c r="D989" s="12">
        <f>if(sum(Daily_Data!K989:L989)&gt;0,1,0)</f>
        <v>0</v>
      </c>
    </row>
    <row r="990">
      <c r="A990" s="10">
        <f>Daily_Data!A990</f>
        <v>37910</v>
      </c>
      <c r="B990" s="11">
        <f>Daily_Data!J990</f>
        <v>17.19</v>
      </c>
      <c r="C990" s="11">
        <f>Daily_Data!I990</f>
        <v>3.65</v>
      </c>
      <c r="D990" s="12">
        <f>if(sum(Daily_Data!K990:L990)&gt;0,1,0)</f>
        <v>1</v>
      </c>
    </row>
    <row r="991">
      <c r="A991" s="10">
        <f>Daily_Data!A991</f>
        <v>37911</v>
      </c>
      <c r="B991" s="11">
        <f>Daily_Data!J991</f>
        <v>17.62</v>
      </c>
      <c r="C991" s="11">
        <f>Daily_Data!I991</f>
        <v>3.75</v>
      </c>
      <c r="D991" s="12">
        <f>if(sum(Daily_Data!K991:L991)&gt;0,1,0)</f>
        <v>0</v>
      </c>
    </row>
    <row r="992">
      <c r="A992" s="10">
        <f>Daily_Data!A992</f>
        <v>37914</v>
      </c>
      <c r="B992" s="11">
        <f>Daily_Data!J992</f>
        <v>17.04</v>
      </c>
      <c r="C992" s="11">
        <f>Daily_Data!I992</f>
        <v>3.71</v>
      </c>
      <c r="D992" s="12">
        <f>if(sum(Daily_Data!K992:L992)&gt;0,1,0)</f>
        <v>0</v>
      </c>
    </row>
    <row r="993">
      <c r="A993" s="10">
        <f>Daily_Data!A993</f>
        <v>37915</v>
      </c>
      <c r="B993" s="11">
        <f>Daily_Data!J993</f>
        <v>16.55</v>
      </c>
      <c r="C993" s="11">
        <f>Daily_Data!I993</f>
        <v>3.73</v>
      </c>
      <c r="D993" s="12">
        <f>if(sum(Daily_Data!K993:L993)&gt;0,1,0)</f>
        <v>0</v>
      </c>
    </row>
    <row r="994">
      <c r="A994" s="10">
        <f>Daily_Data!A994</f>
        <v>37916</v>
      </c>
      <c r="B994" s="11">
        <f>Daily_Data!J994</f>
        <v>17.67</v>
      </c>
      <c r="C994" s="11">
        <f>Daily_Data!I994</f>
        <v>3.86</v>
      </c>
      <c r="D994" s="12">
        <f>if(sum(Daily_Data!K994:L994)&gt;0,1,0)</f>
        <v>0</v>
      </c>
    </row>
    <row r="995">
      <c r="A995" s="10">
        <f>Daily_Data!A995</f>
        <v>37917</v>
      </c>
      <c r="B995" s="11">
        <f>Daily_Data!J995</f>
        <v>17.68</v>
      </c>
      <c r="C995" s="11">
        <f>Daily_Data!I995</f>
        <v>3.77</v>
      </c>
      <c r="D995" s="12">
        <f>if(sum(Daily_Data!K995:L995)&gt;0,1,0)</f>
        <v>0</v>
      </c>
    </row>
    <row r="996">
      <c r="A996" s="10">
        <f>Daily_Data!A996</f>
        <v>37918</v>
      </c>
      <c r="B996" s="11">
        <f>Daily_Data!J996</f>
        <v>17.71</v>
      </c>
      <c r="C996" s="11">
        <f>Daily_Data!I996</f>
        <v>3.93</v>
      </c>
      <c r="D996" s="12">
        <f>if(sum(Daily_Data!K996:L996)&gt;0,1,0)</f>
        <v>0</v>
      </c>
    </row>
    <row r="997">
      <c r="A997" s="10">
        <f>Daily_Data!A997</f>
        <v>37921</v>
      </c>
      <c r="B997" s="11">
        <f>Daily_Data!J997</f>
        <v>18.05</v>
      </c>
      <c r="C997" s="11" t="str">
        <f>Daily_Data!I997</f>
        <v/>
      </c>
      <c r="D997" s="12">
        <f>if(sum(Daily_Data!K997:L997)&gt;0,1,0)</f>
        <v>0</v>
      </c>
    </row>
    <row r="998">
      <c r="A998" s="10">
        <f>Daily_Data!A998</f>
        <v>37922</v>
      </c>
      <c r="B998" s="11">
        <f>Daily_Data!J998</f>
        <v>16.82</v>
      </c>
      <c r="C998" s="11">
        <f>Daily_Data!I998</f>
        <v>4</v>
      </c>
      <c r="D998" s="12">
        <f>if(sum(Daily_Data!K998:L998)&gt;0,1,0)</f>
        <v>0</v>
      </c>
    </row>
    <row r="999">
      <c r="A999" s="10">
        <f>Daily_Data!A999</f>
        <v>37923</v>
      </c>
      <c r="B999" s="11">
        <f>Daily_Data!J999</f>
        <v>16.43</v>
      </c>
      <c r="C999" s="11">
        <f>Daily_Data!I999</f>
        <v>3.84</v>
      </c>
      <c r="D999" s="12">
        <f>if(sum(Daily_Data!K999:L999)&gt;0,1,0)</f>
        <v>0</v>
      </c>
    </row>
    <row r="1000">
      <c r="A1000" s="10">
        <f>Daily_Data!A1000</f>
        <v>37924</v>
      </c>
      <c r="B1000" s="11">
        <f>Daily_Data!J1000</f>
        <v>16.33</v>
      </c>
      <c r="C1000" s="11">
        <f>Daily_Data!I1000</f>
        <v>3.85</v>
      </c>
      <c r="D1000" s="12">
        <f>if(sum(Daily_Data!K1000:L1000)&gt;0,1,0)</f>
        <v>0</v>
      </c>
    </row>
    <row r="1001">
      <c r="A1001" s="10">
        <f>Daily_Data!A1001</f>
        <v>37925</v>
      </c>
      <c r="B1001" s="11">
        <f>Daily_Data!J1001</f>
        <v>16.1</v>
      </c>
      <c r="C1001" s="11">
        <f>Daily_Data!I1001</f>
        <v>3.87</v>
      </c>
      <c r="D1001" s="12">
        <f>if(sum(Daily_Data!K1001:L1001)&gt;0,1,0)</f>
        <v>0</v>
      </c>
    </row>
    <row r="1002">
      <c r="A1002" s="10">
        <f>Daily_Data!A1002</f>
        <v>37928</v>
      </c>
      <c r="B1002" s="11">
        <f>Daily_Data!J1002</f>
        <v>16.55</v>
      </c>
      <c r="C1002" s="11">
        <f>Daily_Data!I1002</f>
        <v>3.87</v>
      </c>
      <c r="D1002" s="12">
        <f>if(sum(Daily_Data!K1002:L1002)&gt;0,1,0)</f>
        <v>0</v>
      </c>
    </row>
    <row r="1003">
      <c r="A1003" s="10">
        <f>Daily_Data!A1003</f>
        <v>37929</v>
      </c>
      <c r="B1003" s="11">
        <f>Daily_Data!J1003</f>
        <v>16.55</v>
      </c>
      <c r="C1003" s="11">
        <f>Daily_Data!I1003</f>
        <v>3.92</v>
      </c>
      <c r="D1003" s="12">
        <f>if(sum(Daily_Data!K1003:L1003)&gt;0,1,0)</f>
        <v>0</v>
      </c>
    </row>
    <row r="1004">
      <c r="A1004" s="10">
        <f>Daily_Data!A1004</f>
        <v>37930</v>
      </c>
      <c r="B1004" s="11">
        <f>Daily_Data!J1004</f>
        <v>16.86</v>
      </c>
      <c r="C1004" s="11">
        <f>Daily_Data!I1004</f>
        <v>3.8</v>
      </c>
      <c r="D1004" s="12">
        <f>if(sum(Daily_Data!K1004:L1004)&gt;0,1,0)</f>
        <v>0</v>
      </c>
    </row>
    <row r="1005">
      <c r="A1005" s="10">
        <f>Daily_Data!A1005</f>
        <v>37931</v>
      </c>
      <c r="B1005" s="11">
        <f>Daily_Data!J1005</f>
        <v>16.74</v>
      </c>
      <c r="C1005" s="11">
        <f>Daily_Data!I1005</f>
        <v>3.87</v>
      </c>
      <c r="D1005" s="12">
        <f>if(sum(Daily_Data!K1005:L1005)&gt;0,1,0)</f>
        <v>0</v>
      </c>
    </row>
    <row r="1006">
      <c r="A1006" s="10">
        <f>Daily_Data!A1006</f>
        <v>37932</v>
      </c>
      <c r="B1006" s="11">
        <f>Daily_Data!J1006</f>
        <v>16.93</v>
      </c>
      <c r="C1006" s="11">
        <f>Daily_Data!I1006</f>
        <v>3.86</v>
      </c>
      <c r="D1006" s="12">
        <f>if(sum(Daily_Data!K1006:L1006)&gt;0,1,0)</f>
        <v>1</v>
      </c>
    </row>
    <row r="1007">
      <c r="A1007" s="10">
        <f>Daily_Data!A1007</f>
        <v>37935</v>
      </c>
      <c r="B1007" s="11">
        <f>Daily_Data!J1007</f>
        <v>17.62</v>
      </c>
      <c r="C1007" s="11">
        <f>Daily_Data!I1007</f>
        <v>3.83</v>
      </c>
      <c r="D1007" s="12">
        <f>if(sum(Daily_Data!K1007:L1007)&gt;0,1,0)</f>
        <v>0</v>
      </c>
    </row>
    <row r="1008">
      <c r="A1008" s="10">
        <f>Daily_Data!A1008</f>
        <v>37936</v>
      </c>
      <c r="B1008" s="11">
        <f>Daily_Data!J1008</f>
        <v>17.54</v>
      </c>
      <c r="C1008" s="11" t="str">
        <f>Daily_Data!I1008</f>
        <v/>
      </c>
      <c r="D1008" s="12">
        <f>if(sum(Daily_Data!K1008:L1008)&gt;0,1,0)</f>
        <v>0</v>
      </c>
    </row>
    <row r="1009">
      <c r="A1009" s="10">
        <f>Daily_Data!A1009</f>
        <v>37937</v>
      </c>
      <c r="B1009" s="11">
        <f>Daily_Data!J1009</f>
        <v>16.75</v>
      </c>
      <c r="C1009" s="11">
        <f>Daily_Data!I1009</f>
        <v>3.9</v>
      </c>
      <c r="D1009" s="12">
        <f>if(sum(Daily_Data!K1009:L1009)&gt;0,1,0)</f>
        <v>0</v>
      </c>
    </row>
    <row r="1010">
      <c r="A1010" s="10">
        <f>Daily_Data!A1010</f>
        <v>37938</v>
      </c>
      <c r="B1010" s="11">
        <f>Daily_Data!J1010</f>
        <v>16.47</v>
      </c>
      <c r="C1010" s="11">
        <f>Daily_Data!I1010</f>
        <v>3.96</v>
      </c>
      <c r="D1010" s="12">
        <f>if(sum(Daily_Data!K1010:L1010)&gt;0,1,0)</f>
        <v>0</v>
      </c>
    </row>
    <row r="1011">
      <c r="A1011" s="10">
        <f>Daily_Data!A1011</f>
        <v>37939</v>
      </c>
      <c r="B1011" s="11">
        <f>Daily_Data!J1011</f>
        <v>16.94</v>
      </c>
      <c r="C1011" s="11">
        <f>Daily_Data!I1011</f>
        <v>3.92</v>
      </c>
      <c r="D1011" s="12">
        <f>if(sum(Daily_Data!K1011:L1011)&gt;0,1,0)</f>
        <v>0</v>
      </c>
    </row>
    <row r="1012">
      <c r="A1012" s="10">
        <f>Daily_Data!A1012</f>
        <v>37942</v>
      </c>
      <c r="B1012" s="11">
        <f>Daily_Data!J1012</f>
        <v>18.6</v>
      </c>
      <c r="C1012" s="11">
        <f>Daily_Data!I1012</f>
        <v>3.95</v>
      </c>
      <c r="D1012" s="12">
        <f>if(sum(Daily_Data!K1012:L1012)&gt;0,1,0)</f>
        <v>0</v>
      </c>
    </row>
    <row r="1013">
      <c r="A1013" s="10">
        <f>Daily_Data!A1013</f>
        <v>37943</v>
      </c>
      <c r="B1013" s="11">
        <f>Daily_Data!J1013</f>
        <v>19.11</v>
      </c>
      <c r="C1013" s="11">
        <f>Daily_Data!I1013</f>
        <v>3.93</v>
      </c>
      <c r="D1013" s="12">
        <f>if(sum(Daily_Data!K1013:L1013)&gt;0,1,0)</f>
        <v>1</v>
      </c>
    </row>
    <row r="1014">
      <c r="A1014" s="10">
        <f>Daily_Data!A1014</f>
        <v>37944</v>
      </c>
      <c r="B1014" s="11">
        <f>Daily_Data!J1014</f>
        <v>18.8</v>
      </c>
      <c r="C1014" s="11">
        <f>Daily_Data!I1014</f>
        <v>3.85</v>
      </c>
      <c r="D1014" s="12">
        <f>if(sum(Daily_Data!K1014:L1014)&gt;0,1,0)</f>
        <v>0</v>
      </c>
    </row>
    <row r="1015">
      <c r="A1015" s="10">
        <f>Daily_Data!A1015</f>
        <v>37945</v>
      </c>
      <c r="B1015" s="11">
        <f>Daily_Data!J1015</f>
        <v>19.48</v>
      </c>
      <c r="C1015" s="11">
        <f>Daily_Data!I1015</f>
        <v>3.94</v>
      </c>
      <c r="D1015" s="12">
        <f>if(sum(Daily_Data!K1015:L1015)&gt;0,1,0)</f>
        <v>0</v>
      </c>
    </row>
    <row r="1016">
      <c r="A1016" s="10">
        <f>Daily_Data!A1016</f>
        <v>37946</v>
      </c>
      <c r="B1016" s="11">
        <f>Daily_Data!J1016</f>
        <v>18.98</v>
      </c>
      <c r="C1016" s="11">
        <f>Daily_Data!I1016</f>
        <v>3.86</v>
      </c>
      <c r="D1016" s="12">
        <f>if(sum(Daily_Data!K1016:L1016)&gt;0,1,0)</f>
        <v>0</v>
      </c>
    </row>
    <row r="1017">
      <c r="A1017" s="10">
        <f>Daily_Data!A1017</f>
        <v>37949</v>
      </c>
      <c r="B1017" s="11">
        <f>Daily_Data!J1017</f>
        <v>17.44</v>
      </c>
      <c r="C1017" s="11">
        <f>Daily_Data!I1017</f>
        <v>3.79</v>
      </c>
      <c r="D1017" s="12">
        <f>if(sum(Daily_Data!K1017:L1017)&gt;0,1,0)</f>
        <v>0</v>
      </c>
    </row>
    <row r="1018">
      <c r="A1018" s="10">
        <f>Daily_Data!A1018</f>
        <v>37950</v>
      </c>
      <c r="B1018" s="11">
        <f>Daily_Data!J1018</f>
        <v>16.71</v>
      </c>
      <c r="C1018" s="11">
        <f>Daily_Data!I1018</f>
        <v>3.89</v>
      </c>
      <c r="D1018" s="12">
        <f>if(sum(Daily_Data!K1018:L1018)&gt;0,1,0)</f>
        <v>0</v>
      </c>
    </row>
    <row r="1019">
      <c r="A1019" s="10">
        <f>Daily_Data!A1019</f>
        <v>37951</v>
      </c>
      <c r="B1019" s="11">
        <f>Daily_Data!J1019</f>
        <v>16.23</v>
      </c>
      <c r="C1019" s="11">
        <f>Daily_Data!I1019</f>
        <v>3.8</v>
      </c>
      <c r="D1019" s="12">
        <f>if(sum(Daily_Data!K1019:L1019)&gt;0,1,0)</f>
        <v>0</v>
      </c>
    </row>
    <row r="1020">
      <c r="A1020" s="10">
        <f>Daily_Data!A1020</f>
        <v>37952</v>
      </c>
      <c r="B1020" s="11" t="str">
        <f>Daily_Data!J1020</f>
        <v/>
      </c>
      <c r="C1020" s="11" t="str">
        <f>Daily_Data!I1020</f>
        <v/>
      </c>
      <c r="D1020" s="12">
        <f>if(sum(Daily_Data!K1020:L1020)&gt;0,1,0)</f>
        <v>0</v>
      </c>
    </row>
    <row r="1021">
      <c r="A1021" s="10">
        <f>Daily_Data!A1021</f>
        <v>37953</v>
      </c>
      <c r="B1021" s="11">
        <f>Daily_Data!J1021</f>
        <v>16.32</v>
      </c>
      <c r="C1021" s="11">
        <f>Daily_Data!I1021</f>
        <v>3.8</v>
      </c>
      <c r="D1021" s="12">
        <f>if(sum(Daily_Data!K1021:L1021)&gt;0,1,0)</f>
        <v>0</v>
      </c>
    </row>
    <row r="1022">
      <c r="A1022" s="10">
        <f>Daily_Data!A1022</f>
        <v>37956</v>
      </c>
      <c r="B1022" s="11">
        <f>Daily_Data!J1022</f>
        <v>16.77</v>
      </c>
      <c r="C1022" s="11">
        <f>Daily_Data!I1022</f>
        <v>3.74</v>
      </c>
      <c r="D1022" s="12">
        <f>if(sum(Daily_Data!K1022:L1022)&gt;0,1,0)</f>
        <v>0</v>
      </c>
    </row>
    <row r="1023">
      <c r="A1023" s="10">
        <f>Daily_Data!A1023</f>
        <v>37957</v>
      </c>
      <c r="B1023" s="11">
        <f>Daily_Data!J1023</f>
        <v>16.27</v>
      </c>
      <c r="C1023" s="11">
        <f>Daily_Data!I1023</f>
        <v>3.79</v>
      </c>
      <c r="D1023" s="12">
        <f>if(sum(Daily_Data!K1023:L1023)&gt;0,1,0)</f>
        <v>0</v>
      </c>
    </row>
    <row r="1024">
      <c r="A1024" s="10">
        <f>Daily_Data!A1024</f>
        <v>37958</v>
      </c>
      <c r="B1024" s="11">
        <f>Daily_Data!J1024</f>
        <v>16.63</v>
      </c>
      <c r="C1024" s="11">
        <f>Daily_Data!I1024</f>
        <v>3.75</v>
      </c>
      <c r="D1024" s="12">
        <f>if(sum(Daily_Data!K1024:L1024)&gt;0,1,0)</f>
        <v>0</v>
      </c>
    </row>
    <row r="1025">
      <c r="A1025" s="10">
        <f>Daily_Data!A1025</f>
        <v>37959</v>
      </c>
      <c r="B1025" s="11">
        <f>Daily_Data!J1025</f>
        <v>16.3</v>
      </c>
      <c r="C1025" s="11">
        <f>Daily_Data!I1025</f>
        <v>3.66</v>
      </c>
      <c r="D1025" s="12">
        <f>if(sum(Daily_Data!K1025:L1025)&gt;0,1,0)</f>
        <v>0</v>
      </c>
    </row>
    <row r="1026">
      <c r="A1026" s="10">
        <f>Daily_Data!A1026</f>
        <v>37960</v>
      </c>
      <c r="B1026" s="11">
        <f>Daily_Data!J1026</f>
        <v>17.09</v>
      </c>
      <c r="C1026" s="11">
        <f>Daily_Data!I1026</f>
        <v>3.82</v>
      </c>
      <c r="D1026" s="12">
        <f>if(sum(Daily_Data!K1026:L1026)&gt;0,1,0)</f>
        <v>1</v>
      </c>
    </row>
    <row r="1027">
      <c r="A1027" s="10">
        <f>Daily_Data!A1027</f>
        <v>37963</v>
      </c>
      <c r="B1027" s="11">
        <f>Daily_Data!J1027</f>
        <v>16.54</v>
      </c>
      <c r="C1027" s="11">
        <f>Daily_Data!I1027</f>
        <v>3.66</v>
      </c>
      <c r="D1027" s="12">
        <f>if(sum(Daily_Data!K1027:L1027)&gt;0,1,0)</f>
        <v>0</v>
      </c>
    </row>
    <row r="1028">
      <c r="A1028" s="10">
        <f>Daily_Data!A1028</f>
        <v>37964</v>
      </c>
      <c r="B1028" s="11">
        <f>Daily_Data!J1028</f>
        <v>17.63</v>
      </c>
      <c r="C1028" s="11">
        <f>Daily_Data!I1028</f>
        <v>3.64</v>
      </c>
      <c r="D1028" s="12">
        <f>if(sum(Daily_Data!K1028:L1028)&gt;0,1,0)</f>
        <v>0</v>
      </c>
    </row>
    <row r="1029">
      <c r="A1029" s="10">
        <f>Daily_Data!A1029</f>
        <v>37965</v>
      </c>
      <c r="B1029" s="11">
        <f>Daily_Data!J1029</f>
        <v>17.87</v>
      </c>
      <c r="C1029" s="11">
        <f>Daily_Data!I1029</f>
        <v>3.72</v>
      </c>
      <c r="D1029" s="12">
        <f>if(sum(Daily_Data!K1029:L1029)&gt;0,1,0)</f>
        <v>0</v>
      </c>
    </row>
    <row r="1030">
      <c r="A1030" s="10">
        <f>Daily_Data!A1030</f>
        <v>37966</v>
      </c>
      <c r="B1030" s="11">
        <f>Daily_Data!J1030</f>
        <v>16.73</v>
      </c>
      <c r="C1030" s="11">
        <f>Daily_Data!I1030</f>
        <v>3.83</v>
      </c>
      <c r="D1030" s="12">
        <f>if(sum(Daily_Data!K1030:L1030)&gt;0,1,0)</f>
        <v>0</v>
      </c>
    </row>
    <row r="1031">
      <c r="A1031" s="10">
        <f>Daily_Data!A1031</f>
        <v>37967</v>
      </c>
      <c r="B1031" s="11">
        <f>Daily_Data!J1031</f>
        <v>16.41</v>
      </c>
      <c r="C1031" s="11">
        <f>Daily_Data!I1031</f>
        <v>3.76</v>
      </c>
      <c r="D1031" s="12">
        <f>if(sum(Daily_Data!K1031:L1031)&gt;0,1,0)</f>
        <v>0</v>
      </c>
    </row>
    <row r="1032">
      <c r="A1032" s="10">
        <f>Daily_Data!A1032</f>
        <v>37970</v>
      </c>
      <c r="B1032" s="11">
        <f>Daily_Data!J1032</f>
        <v>17.23</v>
      </c>
      <c r="C1032" s="11">
        <f>Daily_Data!I1032</f>
        <v>3.79</v>
      </c>
      <c r="D1032" s="12">
        <f>if(sum(Daily_Data!K1032:L1032)&gt;0,1,0)</f>
        <v>0</v>
      </c>
    </row>
    <row r="1033">
      <c r="A1033" s="10">
        <f>Daily_Data!A1033</f>
        <v>37971</v>
      </c>
      <c r="B1033" s="11">
        <f>Daily_Data!J1033</f>
        <v>15.93</v>
      </c>
      <c r="C1033" s="11">
        <f>Daily_Data!I1033</f>
        <v>3.79</v>
      </c>
      <c r="D1033" s="12">
        <f>if(sum(Daily_Data!K1033:L1033)&gt;0,1,0)</f>
        <v>1</v>
      </c>
    </row>
    <row r="1034">
      <c r="A1034" s="10">
        <f>Daily_Data!A1034</f>
        <v>37972</v>
      </c>
      <c r="B1034" s="11">
        <f>Daily_Data!J1034</f>
        <v>15.58</v>
      </c>
      <c r="C1034" s="11">
        <f>Daily_Data!I1034</f>
        <v>3.76</v>
      </c>
      <c r="D1034" s="12">
        <f>if(sum(Daily_Data!K1034:L1034)&gt;0,1,0)</f>
        <v>0</v>
      </c>
    </row>
    <row r="1035">
      <c r="A1035" s="10">
        <f>Daily_Data!A1035</f>
        <v>37973</v>
      </c>
      <c r="B1035" s="11">
        <f>Daily_Data!J1035</f>
        <v>16.16</v>
      </c>
      <c r="C1035" s="11">
        <f>Daily_Data!I1035</f>
        <v>3.71</v>
      </c>
      <c r="D1035" s="12">
        <f>if(sum(Daily_Data!K1035:L1035)&gt;0,1,0)</f>
        <v>0</v>
      </c>
    </row>
    <row r="1036">
      <c r="A1036" s="10">
        <f>Daily_Data!A1036</f>
        <v>37974</v>
      </c>
      <c r="B1036" s="11">
        <f>Daily_Data!J1036</f>
        <v>16.42</v>
      </c>
      <c r="C1036" s="11">
        <f>Daily_Data!I1036</f>
        <v>3.76</v>
      </c>
      <c r="D1036" s="12">
        <f>if(sum(Daily_Data!K1036:L1036)&gt;0,1,0)</f>
        <v>0</v>
      </c>
    </row>
    <row r="1037">
      <c r="A1037" s="10">
        <f>Daily_Data!A1037</f>
        <v>37977</v>
      </c>
      <c r="B1037" s="11">
        <f>Daily_Data!J1037</f>
        <v>16.94</v>
      </c>
      <c r="C1037" s="11">
        <f>Daily_Data!I1037</f>
        <v>3.73</v>
      </c>
      <c r="D1037" s="12">
        <f>if(sum(Daily_Data!K1037:L1037)&gt;0,1,0)</f>
        <v>0</v>
      </c>
    </row>
    <row r="1038">
      <c r="A1038" s="10">
        <f>Daily_Data!A1038</f>
        <v>37978</v>
      </c>
      <c r="B1038" s="11">
        <f>Daily_Data!J1038</f>
        <v>16.49</v>
      </c>
      <c r="C1038" s="11">
        <f>Daily_Data!I1038</f>
        <v>3.63</v>
      </c>
      <c r="D1038" s="12">
        <f>if(sum(Daily_Data!K1038:L1038)&gt;0,1,0)</f>
        <v>0</v>
      </c>
    </row>
    <row r="1039">
      <c r="A1039" s="10">
        <f>Daily_Data!A1039</f>
        <v>37979</v>
      </c>
      <c r="B1039" s="11">
        <f>Daily_Data!J1039</f>
        <v>16.66</v>
      </c>
      <c r="C1039" s="11">
        <f>Daily_Data!I1039</f>
        <v>3.8</v>
      </c>
      <c r="D1039" s="12">
        <f>if(sum(Daily_Data!K1039:L1039)&gt;0,1,0)</f>
        <v>0</v>
      </c>
    </row>
    <row r="1040">
      <c r="A1040" s="10">
        <f>Daily_Data!A1040</f>
        <v>37980</v>
      </c>
      <c r="B1040" s="11" t="str">
        <f>Daily_Data!J1040</f>
        <v/>
      </c>
      <c r="C1040" s="11" t="str">
        <f>Daily_Data!I1040</f>
        <v/>
      </c>
      <c r="D1040" s="12">
        <f>if(sum(Daily_Data!K1040:L1040)&gt;0,1,0)</f>
        <v>0</v>
      </c>
    </row>
    <row r="1041">
      <c r="A1041" s="10">
        <f>Daily_Data!A1041</f>
        <v>37981</v>
      </c>
      <c r="B1041" s="11">
        <f>Daily_Data!J1041</f>
        <v>17.45</v>
      </c>
      <c r="C1041" s="11" t="str">
        <f>Daily_Data!I1041</f>
        <v/>
      </c>
      <c r="D1041" s="12">
        <f>if(sum(Daily_Data!K1041:L1041)&gt;0,1,0)</f>
        <v>0</v>
      </c>
    </row>
    <row r="1042">
      <c r="A1042" s="10">
        <f>Daily_Data!A1042</f>
        <v>37984</v>
      </c>
      <c r="B1042" s="11">
        <f>Daily_Data!J1042</f>
        <v>17.09</v>
      </c>
      <c r="C1042" s="11">
        <f>Daily_Data!I1042</f>
        <v>3.72</v>
      </c>
      <c r="D1042" s="12">
        <f>if(sum(Daily_Data!K1042:L1042)&gt;0,1,0)</f>
        <v>0</v>
      </c>
    </row>
    <row r="1043">
      <c r="A1043" s="10">
        <f>Daily_Data!A1043</f>
        <v>37985</v>
      </c>
      <c r="B1043" s="11">
        <f>Daily_Data!J1043</f>
        <v>17.68</v>
      </c>
      <c r="C1043" s="11">
        <f>Daily_Data!I1043</f>
        <v>3.76</v>
      </c>
      <c r="D1043" s="12">
        <f>if(sum(Daily_Data!K1043:L1043)&gt;0,1,0)</f>
        <v>0</v>
      </c>
    </row>
    <row r="1044">
      <c r="A1044" s="10">
        <f>Daily_Data!A1044</f>
        <v>37986</v>
      </c>
      <c r="B1044" s="11">
        <f>Daily_Data!J1044</f>
        <v>18.31</v>
      </c>
      <c r="C1044" s="11">
        <f>Daily_Data!I1044</f>
        <v>3.77</v>
      </c>
      <c r="D1044" s="12">
        <f>if(sum(Daily_Data!K1044:L1044)&gt;0,1,0)</f>
        <v>0</v>
      </c>
    </row>
    <row r="1045">
      <c r="A1045" s="10">
        <f>Daily_Data!A1045</f>
        <v>37987</v>
      </c>
      <c r="B1045" s="11" t="str">
        <f>Daily_Data!J1045</f>
        <v/>
      </c>
      <c r="C1045" s="11" t="str">
        <f>Daily_Data!I1045</f>
        <v/>
      </c>
      <c r="D1045" s="12">
        <f>if(sum(Daily_Data!K1045:L1045)&gt;0,1,0)</f>
        <v>0</v>
      </c>
    </row>
    <row r="1046">
      <c r="A1046" s="10">
        <f>Daily_Data!A1046</f>
        <v>37988</v>
      </c>
      <c r="B1046" s="11">
        <f>Daily_Data!J1046</f>
        <v>18.22</v>
      </c>
      <c r="C1046" s="11" t="str">
        <f>Daily_Data!I1046</f>
        <v/>
      </c>
      <c r="D1046" s="12">
        <f>if(sum(Daily_Data!K1046:L1046)&gt;0,1,0)</f>
        <v>0</v>
      </c>
    </row>
    <row r="1047">
      <c r="A1047" s="10">
        <f>Daily_Data!A1047</f>
        <v>37991</v>
      </c>
      <c r="B1047" s="11">
        <f>Daily_Data!J1047</f>
        <v>17.49</v>
      </c>
      <c r="C1047" s="11">
        <f>Daily_Data!I1047</f>
        <v>3.75</v>
      </c>
      <c r="D1047" s="12">
        <f>if(sum(Daily_Data!K1047:L1047)&gt;0,1,0)</f>
        <v>0</v>
      </c>
    </row>
    <row r="1048">
      <c r="A1048" s="10">
        <f>Daily_Data!A1048</f>
        <v>37992</v>
      </c>
      <c r="B1048" s="11">
        <f>Daily_Data!J1048</f>
        <v>16.73</v>
      </c>
      <c r="C1048" s="11">
        <f>Daily_Data!I1048</f>
        <v>3.81</v>
      </c>
      <c r="D1048" s="12">
        <f>if(sum(Daily_Data!K1048:L1048)&gt;0,1,0)</f>
        <v>0</v>
      </c>
    </row>
    <row r="1049">
      <c r="A1049" s="10">
        <f>Daily_Data!A1049</f>
        <v>37993</v>
      </c>
      <c r="B1049" s="11">
        <f>Daily_Data!J1049</f>
        <v>15.5</v>
      </c>
      <c r="C1049" s="11">
        <f>Daily_Data!I1049</f>
        <v>3.75</v>
      </c>
      <c r="D1049" s="12">
        <f>if(sum(Daily_Data!K1049:L1049)&gt;0,1,0)</f>
        <v>0</v>
      </c>
    </row>
    <row r="1050">
      <c r="A1050" s="10">
        <f>Daily_Data!A1050</f>
        <v>37994</v>
      </c>
      <c r="B1050" s="11">
        <f>Daily_Data!J1050</f>
        <v>15.61</v>
      </c>
      <c r="C1050" s="11">
        <f>Daily_Data!I1050</f>
        <v>3.72</v>
      </c>
      <c r="D1050" s="12">
        <f>if(sum(Daily_Data!K1050:L1050)&gt;0,1,0)</f>
        <v>0</v>
      </c>
    </row>
    <row r="1051">
      <c r="A1051" s="10">
        <f>Daily_Data!A1051</f>
        <v>37995</v>
      </c>
      <c r="B1051" s="11">
        <f>Daily_Data!J1051</f>
        <v>16.75</v>
      </c>
      <c r="C1051" s="11">
        <f>Daily_Data!I1051</f>
        <v>3.92</v>
      </c>
      <c r="D1051" s="12">
        <f>if(sum(Daily_Data!K1051:L1051)&gt;0,1,0)</f>
        <v>1</v>
      </c>
    </row>
    <row r="1052">
      <c r="A1052" s="10">
        <f>Daily_Data!A1052</f>
        <v>37998</v>
      </c>
      <c r="B1052" s="11">
        <f>Daily_Data!J1052</f>
        <v>16.82</v>
      </c>
      <c r="C1052" s="11">
        <f>Daily_Data!I1052</f>
        <v>3.77</v>
      </c>
      <c r="D1052" s="12">
        <f>if(sum(Daily_Data!K1052:L1052)&gt;0,1,0)</f>
        <v>0</v>
      </c>
    </row>
    <row r="1053">
      <c r="A1053" s="10">
        <f>Daily_Data!A1053</f>
        <v>37999</v>
      </c>
      <c r="B1053" s="11">
        <f>Daily_Data!J1053</f>
        <v>18.04</v>
      </c>
      <c r="C1053" s="11">
        <f>Daily_Data!I1053</f>
        <v>3.82</v>
      </c>
      <c r="D1053" s="12">
        <f>if(sum(Daily_Data!K1053:L1053)&gt;0,1,0)</f>
        <v>0</v>
      </c>
    </row>
    <row r="1054">
      <c r="A1054" s="10">
        <f>Daily_Data!A1054</f>
        <v>38000</v>
      </c>
      <c r="B1054" s="11">
        <f>Daily_Data!J1054</f>
        <v>16.75</v>
      </c>
      <c r="C1054" s="11">
        <f>Daily_Data!I1054</f>
        <v>3.75</v>
      </c>
      <c r="D1054" s="12">
        <f>if(sum(Daily_Data!K1054:L1054)&gt;0,1,0)</f>
        <v>0</v>
      </c>
    </row>
    <row r="1055">
      <c r="A1055" s="10">
        <f>Daily_Data!A1055</f>
        <v>38001</v>
      </c>
      <c r="B1055" s="11">
        <f>Daily_Data!J1055</f>
        <v>15.56</v>
      </c>
      <c r="C1055" s="11">
        <f>Daily_Data!I1055</f>
        <v>3.72</v>
      </c>
      <c r="D1055" s="12">
        <f>if(sum(Daily_Data!K1055:L1055)&gt;0,1,0)</f>
        <v>1</v>
      </c>
    </row>
    <row r="1056">
      <c r="A1056" s="10">
        <f>Daily_Data!A1056</f>
        <v>38002</v>
      </c>
      <c r="B1056" s="11">
        <f>Daily_Data!J1056</f>
        <v>15</v>
      </c>
      <c r="C1056" s="11">
        <f>Daily_Data!I1056</f>
        <v>3.7</v>
      </c>
      <c r="D1056" s="12">
        <f>if(sum(Daily_Data!K1056:L1056)&gt;0,1,0)</f>
        <v>0</v>
      </c>
    </row>
    <row r="1057">
      <c r="A1057" s="10">
        <f>Daily_Data!A1057</f>
        <v>38005</v>
      </c>
      <c r="B1057" s="11" t="str">
        <f>Daily_Data!J1057</f>
        <v/>
      </c>
      <c r="C1057" s="11" t="str">
        <f>Daily_Data!I1057</f>
        <v/>
      </c>
      <c r="D1057" s="12">
        <f>if(sum(Daily_Data!K1057:L1057)&gt;0,1,0)</f>
        <v>0</v>
      </c>
    </row>
    <row r="1058">
      <c r="A1058" s="10">
        <f>Daily_Data!A1058</f>
        <v>38006</v>
      </c>
      <c r="B1058" s="11">
        <f>Daily_Data!J1058</f>
        <v>15.21</v>
      </c>
      <c r="C1058" s="11">
        <f>Daily_Data!I1058</f>
        <v>3.8</v>
      </c>
      <c r="D1058" s="12">
        <f>if(sum(Daily_Data!K1058:L1058)&gt;0,1,0)</f>
        <v>0</v>
      </c>
    </row>
    <row r="1059">
      <c r="A1059" s="10">
        <f>Daily_Data!A1059</f>
        <v>38007</v>
      </c>
      <c r="B1059" s="11">
        <f>Daily_Data!J1059</f>
        <v>14.34</v>
      </c>
      <c r="C1059" s="11">
        <f>Daily_Data!I1059</f>
        <v>3.8</v>
      </c>
      <c r="D1059" s="12">
        <f>if(sum(Daily_Data!K1059:L1059)&gt;0,1,0)</f>
        <v>0</v>
      </c>
    </row>
    <row r="1060">
      <c r="A1060" s="10">
        <f>Daily_Data!A1060</f>
        <v>38008</v>
      </c>
      <c r="B1060" s="11">
        <f>Daily_Data!J1060</f>
        <v>14.71</v>
      </c>
      <c r="C1060" s="11">
        <f>Daily_Data!I1060</f>
        <v>3.81</v>
      </c>
      <c r="D1060" s="12">
        <f>if(sum(Daily_Data!K1060:L1060)&gt;0,1,0)</f>
        <v>0</v>
      </c>
    </row>
    <row r="1061">
      <c r="A1061" s="10">
        <f>Daily_Data!A1061</f>
        <v>38009</v>
      </c>
      <c r="B1061" s="11">
        <f>Daily_Data!J1061</f>
        <v>14.84</v>
      </c>
      <c r="C1061" s="11">
        <f>Daily_Data!I1061</f>
        <v>3.72</v>
      </c>
      <c r="D1061" s="12">
        <f>if(sum(Daily_Data!K1061:L1061)&gt;0,1,0)</f>
        <v>0</v>
      </c>
    </row>
    <row r="1062">
      <c r="A1062" s="10">
        <f>Daily_Data!A1062</f>
        <v>38012</v>
      </c>
      <c r="B1062" s="11">
        <f>Daily_Data!J1062</f>
        <v>14.55</v>
      </c>
      <c r="C1062" s="11">
        <f>Daily_Data!I1062</f>
        <v>3.69</v>
      </c>
      <c r="D1062" s="12">
        <f>if(sum(Daily_Data!K1062:L1062)&gt;0,1,0)</f>
        <v>0</v>
      </c>
    </row>
    <row r="1063">
      <c r="A1063" s="10">
        <f>Daily_Data!A1063</f>
        <v>38013</v>
      </c>
      <c r="B1063" s="11">
        <f>Daily_Data!J1063</f>
        <v>15.35</v>
      </c>
      <c r="C1063" s="11">
        <f>Daily_Data!I1063</f>
        <v>3.85</v>
      </c>
      <c r="D1063" s="12">
        <f>if(sum(Daily_Data!K1063:L1063)&gt;0,1,0)</f>
        <v>0</v>
      </c>
    </row>
    <row r="1064">
      <c r="A1064" s="10">
        <f>Daily_Data!A1064</f>
        <v>38014</v>
      </c>
      <c r="B1064" s="11">
        <f>Daily_Data!J1064</f>
        <v>16.78</v>
      </c>
      <c r="C1064" s="11">
        <f>Daily_Data!I1064</f>
        <v>3.65</v>
      </c>
      <c r="D1064" s="12">
        <f>if(sum(Daily_Data!K1064:L1064)&gt;0,1,0)</f>
        <v>0</v>
      </c>
    </row>
    <row r="1065">
      <c r="A1065" s="10">
        <f>Daily_Data!A1065</f>
        <v>38015</v>
      </c>
      <c r="B1065" s="11">
        <f>Daily_Data!J1065</f>
        <v>17.14</v>
      </c>
      <c r="C1065" s="11">
        <f>Daily_Data!I1065</f>
        <v>3.84</v>
      </c>
      <c r="D1065" s="12">
        <f>if(sum(Daily_Data!K1065:L1065)&gt;0,1,0)</f>
        <v>0</v>
      </c>
    </row>
    <row r="1066">
      <c r="A1066" s="10">
        <f>Daily_Data!A1066</f>
        <v>38016</v>
      </c>
      <c r="B1066" s="11">
        <f>Daily_Data!J1066</f>
        <v>16.63</v>
      </c>
      <c r="C1066" s="11">
        <f>Daily_Data!I1066</f>
        <v>3.84</v>
      </c>
      <c r="D1066" s="12">
        <f>if(sum(Daily_Data!K1066:L1066)&gt;0,1,0)</f>
        <v>0</v>
      </c>
    </row>
    <row r="1067">
      <c r="A1067" s="10">
        <f>Daily_Data!A1067</f>
        <v>38019</v>
      </c>
      <c r="B1067" s="11">
        <f>Daily_Data!J1067</f>
        <v>17.11</v>
      </c>
      <c r="C1067" s="11">
        <f>Daily_Data!I1067</f>
        <v>3.83</v>
      </c>
      <c r="D1067" s="12">
        <f>if(sum(Daily_Data!K1067:L1067)&gt;0,1,0)</f>
        <v>0</v>
      </c>
    </row>
    <row r="1068">
      <c r="A1068" s="10">
        <f>Daily_Data!A1068</f>
        <v>38020</v>
      </c>
      <c r="B1068" s="11">
        <f>Daily_Data!J1068</f>
        <v>17.34</v>
      </c>
      <c r="C1068" s="11">
        <f>Daily_Data!I1068</f>
        <v>3.89</v>
      </c>
      <c r="D1068" s="12">
        <f>if(sum(Daily_Data!K1068:L1068)&gt;0,1,0)</f>
        <v>0</v>
      </c>
    </row>
    <row r="1069">
      <c r="A1069" s="10">
        <f>Daily_Data!A1069</f>
        <v>38021</v>
      </c>
      <c r="B1069" s="11">
        <f>Daily_Data!J1069</f>
        <v>17.87</v>
      </c>
      <c r="C1069" s="11">
        <f>Daily_Data!I1069</f>
        <v>3.85</v>
      </c>
      <c r="D1069" s="12">
        <f>if(sum(Daily_Data!K1069:L1069)&gt;0,1,0)</f>
        <v>0</v>
      </c>
    </row>
    <row r="1070">
      <c r="A1070" s="10">
        <f>Daily_Data!A1070</f>
        <v>38022</v>
      </c>
      <c r="B1070" s="11">
        <f>Daily_Data!J1070</f>
        <v>17.71</v>
      </c>
      <c r="C1070" s="11">
        <f>Daily_Data!I1070</f>
        <v>3.76</v>
      </c>
      <c r="D1070" s="12">
        <f>if(sum(Daily_Data!K1070:L1070)&gt;0,1,0)</f>
        <v>0</v>
      </c>
    </row>
    <row r="1071">
      <c r="A1071" s="10">
        <f>Daily_Data!A1071</f>
        <v>38023</v>
      </c>
      <c r="B1071" s="11">
        <f>Daily_Data!J1071</f>
        <v>16</v>
      </c>
      <c r="C1071" s="11" t="str">
        <f>Daily_Data!I1071</f>
        <v/>
      </c>
      <c r="D1071" s="12">
        <f>if(sum(Daily_Data!K1071:L1071)&gt;0,1,0)</f>
        <v>1</v>
      </c>
    </row>
    <row r="1072">
      <c r="A1072" s="10">
        <f>Daily_Data!A1072</f>
        <v>38026</v>
      </c>
      <c r="B1072" s="11">
        <f>Daily_Data!J1072</f>
        <v>16.39</v>
      </c>
      <c r="C1072" s="11">
        <f>Daily_Data!I1072</f>
        <v>3.82</v>
      </c>
      <c r="D1072" s="12">
        <f>if(sum(Daily_Data!K1072:L1072)&gt;0,1,0)</f>
        <v>0</v>
      </c>
    </row>
    <row r="1073">
      <c r="A1073" s="10">
        <f>Daily_Data!A1073</f>
        <v>38027</v>
      </c>
      <c r="B1073" s="11">
        <f>Daily_Data!J1073</f>
        <v>15.94</v>
      </c>
      <c r="C1073" s="11">
        <f>Daily_Data!I1073</f>
        <v>3.73</v>
      </c>
      <c r="D1073" s="12">
        <f>if(sum(Daily_Data!K1073:L1073)&gt;0,1,0)</f>
        <v>0</v>
      </c>
    </row>
    <row r="1074">
      <c r="A1074" s="10">
        <f>Daily_Data!A1074</f>
        <v>38028</v>
      </c>
      <c r="B1074" s="11">
        <f>Daily_Data!J1074</f>
        <v>15.39</v>
      </c>
      <c r="C1074" s="11">
        <f>Daily_Data!I1074</f>
        <v>3.82</v>
      </c>
      <c r="D1074" s="12">
        <f>if(sum(Daily_Data!K1074:L1074)&gt;0,1,0)</f>
        <v>0</v>
      </c>
    </row>
    <row r="1075">
      <c r="A1075" s="10">
        <f>Daily_Data!A1075</f>
        <v>38029</v>
      </c>
      <c r="B1075" s="11">
        <f>Daily_Data!J1075</f>
        <v>15.31</v>
      </c>
      <c r="C1075" s="11">
        <f>Daily_Data!I1075</f>
        <v>3.7</v>
      </c>
      <c r="D1075" s="12">
        <f>if(sum(Daily_Data!K1075:L1075)&gt;0,1,0)</f>
        <v>0</v>
      </c>
    </row>
    <row r="1076">
      <c r="A1076" s="10">
        <f>Daily_Data!A1076</f>
        <v>38030</v>
      </c>
      <c r="B1076" s="11">
        <f>Daily_Data!J1076</f>
        <v>15.58</v>
      </c>
      <c r="C1076" s="11">
        <f>Daily_Data!I1076</f>
        <v>3.78</v>
      </c>
      <c r="D1076" s="12">
        <f>if(sum(Daily_Data!K1076:L1076)&gt;0,1,0)</f>
        <v>0</v>
      </c>
    </row>
    <row r="1077">
      <c r="A1077" s="10">
        <f>Daily_Data!A1077</f>
        <v>38033</v>
      </c>
      <c r="B1077" s="11" t="str">
        <f>Daily_Data!J1077</f>
        <v/>
      </c>
      <c r="C1077" s="11" t="str">
        <f>Daily_Data!I1077</f>
        <v/>
      </c>
      <c r="D1077" s="12">
        <f>if(sum(Daily_Data!K1077:L1077)&gt;0,1,0)</f>
        <v>0</v>
      </c>
    </row>
    <row r="1078">
      <c r="A1078" s="10">
        <f>Daily_Data!A1078</f>
        <v>38034</v>
      </c>
      <c r="B1078" s="11">
        <f>Daily_Data!J1078</f>
        <v>15.4</v>
      </c>
      <c r="C1078" s="11">
        <f>Daily_Data!I1078</f>
        <v>3.76</v>
      </c>
      <c r="D1078" s="12">
        <f>if(sum(Daily_Data!K1078:L1078)&gt;0,1,0)</f>
        <v>0</v>
      </c>
    </row>
    <row r="1079">
      <c r="A1079" s="10">
        <f>Daily_Data!A1079</f>
        <v>38035</v>
      </c>
      <c r="B1079" s="11">
        <f>Daily_Data!J1079</f>
        <v>15.59</v>
      </c>
      <c r="C1079" s="11">
        <f>Daily_Data!I1079</f>
        <v>3.76</v>
      </c>
      <c r="D1079" s="12">
        <f>if(sum(Daily_Data!K1079:L1079)&gt;0,1,0)</f>
        <v>0</v>
      </c>
    </row>
    <row r="1080">
      <c r="A1080" s="10">
        <f>Daily_Data!A1080</f>
        <v>38036</v>
      </c>
      <c r="B1080" s="11">
        <f>Daily_Data!J1080</f>
        <v>15.8</v>
      </c>
      <c r="C1080" s="11">
        <f>Daily_Data!I1080</f>
        <v>3.8</v>
      </c>
      <c r="D1080" s="12">
        <f>if(sum(Daily_Data!K1080:L1080)&gt;0,1,0)</f>
        <v>0</v>
      </c>
    </row>
    <row r="1081">
      <c r="A1081" s="10">
        <f>Daily_Data!A1081</f>
        <v>38037</v>
      </c>
      <c r="B1081" s="11">
        <f>Daily_Data!J1081</f>
        <v>16.04</v>
      </c>
      <c r="C1081" s="11">
        <f>Daily_Data!I1081</f>
        <v>3.77</v>
      </c>
      <c r="D1081" s="12">
        <f>if(sum(Daily_Data!K1081:L1081)&gt;0,1,0)</f>
        <v>1</v>
      </c>
    </row>
    <row r="1082">
      <c r="A1082" s="10">
        <f>Daily_Data!A1082</f>
        <v>38040</v>
      </c>
      <c r="B1082" s="11">
        <f>Daily_Data!J1082</f>
        <v>16.29</v>
      </c>
      <c r="C1082" s="11">
        <f>Daily_Data!I1082</f>
        <v>3.89</v>
      </c>
      <c r="D1082" s="12">
        <f>if(sum(Daily_Data!K1082:L1082)&gt;0,1,0)</f>
        <v>0</v>
      </c>
    </row>
    <row r="1083">
      <c r="A1083" s="10">
        <f>Daily_Data!A1083</f>
        <v>38041</v>
      </c>
      <c r="B1083" s="11">
        <f>Daily_Data!J1083</f>
        <v>15.9</v>
      </c>
      <c r="C1083" s="11">
        <f>Daily_Data!I1083</f>
        <v>3.88</v>
      </c>
      <c r="D1083" s="12">
        <f>if(sum(Daily_Data!K1083:L1083)&gt;0,1,0)</f>
        <v>0</v>
      </c>
    </row>
    <row r="1084">
      <c r="A1084" s="10">
        <f>Daily_Data!A1084</f>
        <v>38042</v>
      </c>
      <c r="B1084" s="11">
        <f>Daily_Data!J1084</f>
        <v>14.93</v>
      </c>
      <c r="C1084" s="11">
        <f>Daily_Data!I1084</f>
        <v>3.88</v>
      </c>
      <c r="D1084" s="12">
        <f>if(sum(Daily_Data!K1084:L1084)&gt;0,1,0)</f>
        <v>0</v>
      </c>
    </row>
    <row r="1085">
      <c r="A1085" s="10">
        <f>Daily_Data!A1085</f>
        <v>38043</v>
      </c>
      <c r="B1085" s="11">
        <f>Daily_Data!J1085</f>
        <v>14.83</v>
      </c>
      <c r="C1085" s="11">
        <f>Daily_Data!I1085</f>
        <v>3.85</v>
      </c>
      <c r="D1085" s="12">
        <f>if(sum(Daily_Data!K1085:L1085)&gt;0,1,0)</f>
        <v>0</v>
      </c>
    </row>
    <row r="1086">
      <c r="A1086" s="10">
        <f>Daily_Data!A1086</f>
        <v>38044</v>
      </c>
      <c r="B1086" s="11">
        <f>Daily_Data!J1086</f>
        <v>14.55</v>
      </c>
      <c r="C1086" s="11">
        <f>Daily_Data!I1086</f>
        <v>3.85</v>
      </c>
      <c r="D1086" s="12">
        <f>if(sum(Daily_Data!K1086:L1086)&gt;0,1,0)</f>
        <v>0</v>
      </c>
    </row>
    <row r="1087">
      <c r="A1087" s="10">
        <f>Daily_Data!A1087</f>
        <v>38047</v>
      </c>
      <c r="B1087" s="11">
        <f>Daily_Data!J1087</f>
        <v>14.44</v>
      </c>
      <c r="C1087" s="11">
        <f>Daily_Data!I1087</f>
        <v>3.81</v>
      </c>
      <c r="D1087" s="12">
        <f>if(sum(Daily_Data!K1087:L1087)&gt;0,1,0)</f>
        <v>0</v>
      </c>
    </row>
    <row r="1088">
      <c r="A1088" s="10">
        <f>Daily_Data!A1088</f>
        <v>38048</v>
      </c>
      <c r="B1088" s="11">
        <f>Daily_Data!J1088</f>
        <v>14.86</v>
      </c>
      <c r="C1088" s="11">
        <f>Daily_Data!I1088</f>
        <v>3.75</v>
      </c>
      <c r="D1088" s="12">
        <f>if(sum(Daily_Data!K1088:L1088)&gt;0,1,0)</f>
        <v>0</v>
      </c>
    </row>
    <row r="1089">
      <c r="A1089" s="10">
        <f>Daily_Data!A1089</f>
        <v>38049</v>
      </c>
      <c r="B1089" s="11">
        <f>Daily_Data!J1089</f>
        <v>14.55</v>
      </c>
      <c r="C1089" s="11">
        <f>Daily_Data!I1089</f>
        <v>3.78</v>
      </c>
      <c r="D1089" s="12">
        <f>if(sum(Daily_Data!K1089:L1089)&gt;0,1,0)</f>
        <v>0</v>
      </c>
    </row>
    <row r="1090">
      <c r="A1090" s="10">
        <f>Daily_Data!A1090</f>
        <v>38050</v>
      </c>
      <c r="B1090" s="11">
        <f>Daily_Data!J1090</f>
        <v>14.4</v>
      </c>
      <c r="C1090" s="11">
        <f>Daily_Data!I1090</f>
        <v>3.83</v>
      </c>
      <c r="D1090" s="12">
        <f>if(sum(Daily_Data!K1090:L1090)&gt;0,1,0)</f>
        <v>0</v>
      </c>
    </row>
    <row r="1091">
      <c r="A1091" s="10">
        <f>Daily_Data!A1091</f>
        <v>38051</v>
      </c>
      <c r="B1091" s="11">
        <f>Daily_Data!J1091</f>
        <v>14.48</v>
      </c>
      <c r="C1091" s="11">
        <f>Daily_Data!I1091</f>
        <v>4</v>
      </c>
      <c r="D1091" s="12">
        <f>if(sum(Daily_Data!K1091:L1091)&gt;0,1,0)</f>
        <v>1</v>
      </c>
    </row>
    <row r="1092">
      <c r="A1092" s="10">
        <f>Daily_Data!A1092</f>
        <v>38054</v>
      </c>
      <c r="B1092" s="11">
        <f>Daily_Data!J1092</f>
        <v>15.79</v>
      </c>
      <c r="C1092" s="11">
        <f>Daily_Data!I1092</f>
        <v>4</v>
      </c>
      <c r="D1092" s="12">
        <f>if(sum(Daily_Data!K1092:L1092)&gt;0,1,0)</f>
        <v>0</v>
      </c>
    </row>
    <row r="1093">
      <c r="A1093" s="10">
        <f>Daily_Data!A1093</f>
        <v>38055</v>
      </c>
      <c r="B1093" s="11">
        <f>Daily_Data!J1093</f>
        <v>16.6</v>
      </c>
      <c r="C1093" s="11">
        <f>Daily_Data!I1093</f>
        <v>3.99</v>
      </c>
      <c r="D1093" s="12">
        <f>if(sum(Daily_Data!K1093:L1093)&gt;0,1,0)</f>
        <v>0</v>
      </c>
    </row>
    <row r="1094">
      <c r="A1094" s="10">
        <f>Daily_Data!A1094</f>
        <v>38056</v>
      </c>
      <c r="B1094" s="11">
        <f>Daily_Data!J1094</f>
        <v>18.67</v>
      </c>
      <c r="C1094" s="11">
        <f>Daily_Data!I1094</f>
        <v>3.95</v>
      </c>
      <c r="D1094" s="12">
        <f>if(sum(Daily_Data!K1094:L1094)&gt;0,1,0)</f>
        <v>0</v>
      </c>
    </row>
    <row r="1095">
      <c r="A1095" s="10">
        <f>Daily_Data!A1095</f>
        <v>38057</v>
      </c>
      <c r="B1095" s="11">
        <f>Daily_Data!J1095</f>
        <v>20.67</v>
      </c>
      <c r="C1095" s="11">
        <f>Daily_Data!I1095</f>
        <v>3.84</v>
      </c>
      <c r="D1095" s="12">
        <f>if(sum(Daily_Data!K1095:L1095)&gt;0,1,0)</f>
        <v>0</v>
      </c>
    </row>
    <row r="1096">
      <c r="A1096" s="10">
        <f>Daily_Data!A1096</f>
        <v>38058</v>
      </c>
      <c r="B1096" s="11">
        <f>Daily_Data!J1096</f>
        <v>18.3</v>
      </c>
      <c r="C1096" s="11">
        <f>Daily_Data!I1096</f>
        <v>3.73</v>
      </c>
      <c r="D1096" s="12">
        <f>if(sum(Daily_Data!K1096:L1096)&gt;0,1,0)</f>
        <v>0</v>
      </c>
    </row>
    <row r="1097">
      <c r="A1097" s="10">
        <f>Daily_Data!A1097</f>
        <v>38061</v>
      </c>
      <c r="B1097" s="11">
        <f>Daily_Data!J1097</f>
        <v>21.13</v>
      </c>
      <c r="C1097" s="11">
        <f>Daily_Data!I1097</f>
        <v>3.72</v>
      </c>
      <c r="D1097" s="12">
        <f>if(sum(Daily_Data!K1097:L1097)&gt;0,1,0)</f>
        <v>0</v>
      </c>
    </row>
    <row r="1098">
      <c r="A1098" s="10">
        <f>Daily_Data!A1098</f>
        <v>38062</v>
      </c>
      <c r="B1098" s="11">
        <f>Daily_Data!J1098</f>
        <v>20.34</v>
      </c>
      <c r="C1098" s="11">
        <f>Daily_Data!I1098</f>
        <v>3.79</v>
      </c>
      <c r="D1098" s="12">
        <f>if(sum(Daily_Data!K1098:L1098)&gt;0,1,0)</f>
        <v>0</v>
      </c>
    </row>
    <row r="1099">
      <c r="A1099" s="10">
        <f>Daily_Data!A1099</f>
        <v>38063</v>
      </c>
      <c r="B1099" s="11">
        <f>Daily_Data!J1099</f>
        <v>18.11</v>
      </c>
      <c r="C1099" s="11">
        <f>Daily_Data!I1099</f>
        <v>3.73</v>
      </c>
      <c r="D1099" s="12">
        <f>if(sum(Daily_Data!K1099:L1099)&gt;0,1,0)</f>
        <v>1</v>
      </c>
    </row>
    <row r="1100">
      <c r="A1100" s="10">
        <f>Daily_Data!A1100</f>
        <v>38064</v>
      </c>
      <c r="B1100" s="11">
        <f>Daily_Data!J1100</f>
        <v>18.53</v>
      </c>
      <c r="C1100" s="11">
        <f>Daily_Data!I1100</f>
        <v>3.75</v>
      </c>
      <c r="D1100" s="12">
        <f>if(sum(Daily_Data!K1100:L1100)&gt;0,1,0)</f>
        <v>0</v>
      </c>
    </row>
    <row r="1101">
      <c r="A1101" s="10">
        <f>Daily_Data!A1101</f>
        <v>38065</v>
      </c>
      <c r="B1101" s="11">
        <f>Daily_Data!J1101</f>
        <v>19.15</v>
      </c>
      <c r="C1101" s="11">
        <f>Daily_Data!I1101</f>
        <v>3.78</v>
      </c>
      <c r="D1101" s="12">
        <f>if(sum(Daily_Data!K1101:L1101)&gt;0,1,0)</f>
        <v>0</v>
      </c>
    </row>
    <row r="1102">
      <c r="A1102" s="10">
        <f>Daily_Data!A1102</f>
        <v>38068</v>
      </c>
      <c r="B1102" s="11">
        <f>Daily_Data!J1102</f>
        <v>21.58</v>
      </c>
      <c r="C1102" s="11">
        <f>Daily_Data!I1102</f>
        <v>3.81</v>
      </c>
      <c r="D1102" s="12">
        <f>if(sum(Daily_Data!K1102:L1102)&gt;0,1,0)</f>
        <v>0</v>
      </c>
    </row>
    <row r="1103">
      <c r="A1103" s="10">
        <f>Daily_Data!A1103</f>
        <v>38069</v>
      </c>
      <c r="B1103" s="11">
        <f>Daily_Data!J1103</f>
        <v>20.67</v>
      </c>
      <c r="C1103" s="11">
        <f>Daily_Data!I1103</f>
        <v>3.76</v>
      </c>
      <c r="D1103" s="12">
        <f>if(sum(Daily_Data!K1103:L1103)&gt;0,1,0)</f>
        <v>0</v>
      </c>
    </row>
    <row r="1104">
      <c r="A1104" s="10">
        <f>Daily_Data!A1104</f>
        <v>38070</v>
      </c>
      <c r="B1104" s="11">
        <f>Daily_Data!J1104</f>
        <v>19.81</v>
      </c>
      <c r="C1104" s="11">
        <f>Daily_Data!I1104</f>
        <v>3.78</v>
      </c>
      <c r="D1104" s="12">
        <f>if(sum(Daily_Data!K1104:L1104)&gt;0,1,0)</f>
        <v>0</v>
      </c>
    </row>
    <row r="1105">
      <c r="A1105" s="10">
        <f>Daily_Data!A1105</f>
        <v>38071</v>
      </c>
      <c r="B1105" s="11">
        <f>Daily_Data!J1105</f>
        <v>17.88</v>
      </c>
      <c r="C1105" s="11">
        <f>Daily_Data!I1105</f>
        <v>3.76</v>
      </c>
      <c r="D1105" s="12">
        <f>if(sum(Daily_Data!K1105:L1105)&gt;0,1,0)</f>
        <v>0</v>
      </c>
    </row>
    <row r="1106">
      <c r="A1106" s="10">
        <f>Daily_Data!A1106</f>
        <v>38072</v>
      </c>
      <c r="B1106" s="11">
        <f>Daily_Data!J1106</f>
        <v>17.33</v>
      </c>
      <c r="C1106" s="11">
        <f>Daily_Data!I1106</f>
        <v>3.69</v>
      </c>
      <c r="D1106" s="12">
        <f>if(sum(Daily_Data!K1106:L1106)&gt;0,1,0)</f>
        <v>0</v>
      </c>
    </row>
    <row r="1107">
      <c r="A1107" s="10">
        <f>Daily_Data!A1107</f>
        <v>38075</v>
      </c>
      <c r="B1107" s="11">
        <f>Daily_Data!J1107</f>
        <v>16.5</v>
      </c>
      <c r="C1107" s="11">
        <f>Daily_Data!I1107</f>
        <v>3.71</v>
      </c>
      <c r="D1107" s="12">
        <f>if(sum(Daily_Data!K1107:L1107)&gt;0,1,0)</f>
        <v>0</v>
      </c>
    </row>
    <row r="1108">
      <c r="A1108" s="10">
        <f>Daily_Data!A1108</f>
        <v>38076</v>
      </c>
      <c r="B1108" s="11">
        <f>Daily_Data!J1108</f>
        <v>16.28</v>
      </c>
      <c r="C1108" s="11">
        <f>Daily_Data!I1108</f>
        <v>3.72</v>
      </c>
      <c r="D1108" s="12">
        <f>if(sum(Daily_Data!K1108:L1108)&gt;0,1,0)</f>
        <v>0</v>
      </c>
    </row>
    <row r="1109">
      <c r="A1109" s="10">
        <f>Daily_Data!A1109</f>
        <v>38077</v>
      </c>
      <c r="B1109" s="11">
        <f>Daily_Data!J1109</f>
        <v>16.74</v>
      </c>
      <c r="C1109" s="11">
        <f>Daily_Data!I1109</f>
        <v>3.74</v>
      </c>
      <c r="D1109" s="12">
        <f>if(sum(Daily_Data!K1109:L1109)&gt;0,1,0)</f>
        <v>0</v>
      </c>
    </row>
    <row r="1110">
      <c r="A1110" s="10">
        <f>Daily_Data!A1110</f>
        <v>38078</v>
      </c>
      <c r="B1110" s="11">
        <f>Daily_Data!J1110</f>
        <v>16.65</v>
      </c>
      <c r="C1110" s="11">
        <f>Daily_Data!I1110</f>
        <v>3.65</v>
      </c>
      <c r="D1110" s="12">
        <f>if(sum(Daily_Data!K1110:L1110)&gt;0,1,0)</f>
        <v>0</v>
      </c>
    </row>
    <row r="1111">
      <c r="A1111" s="10">
        <f>Daily_Data!A1111</f>
        <v>38079</v>
      </c>
      <c r="B1111" s="11">
        <f>Daily_Data!J1111</f>
        <v>15.64</v>
      </c>
      <c r="C1111" s="11">
        <f>Daily_Data!I1111</f>
        <v>3.46</v>
      </c>
      <c r="D1111" s="12">
        <f>if(sum(Daily_Data!K1111:L1111)&gt;0,1,0)</f>
        <v>1</v>
      </c>
    </row>
    <row r="1112">
      <c r="A1112" s="10">
        <f>Daily_Data!A1112</f>
        <v>38082</v>
      </c>
      <c r="B1112" s="11">
        <f>Daily_Data!J1112</f>
        <v>14.97</v>
      </c>
      <c r="C1112" s="11">
        <f>Daily_Data!I1112</f>
        <v>3.59</v>
      </c>
      <c r="D1112" s="12">
        <f>if(sum(Daily_Data!K1112:L1112)&gt;0,1,0)</f>
        <v>0</v>
      </c>
    </row>
    <row r="1113">
      <c r="A1113" s="10">
        <f>Daily_Data!A1113</f>
        <v>38083</v>
      </c>
      <c r="B1113" s="11">
        <f>Daily_Data!J1113</f>
        <v>15.32</v>
      </c>
      <c r="C1113" s="11">
        <f>Daily_Data!I1113</f>
        <v>3.64</v>
      </c>
      <c r="D1113" s="12">
        <f>if(sum(Daily_Data!K1113:L1113)&gt;0,1,0)</f>
        <v>0</v>
      </c>
    </row>
    <row r="1114">
      <c r="A1114" s="10">
        <f>Daily_Data!A1114</f>
        <v>38084</v>
      </c>
      <c r="B1114" s="11">
        <f>Daily_Data!J1114</f>
        <v>15.76</v>
      </c>
      <c r="C1114" s="11">
        <f>Daily_Data!I1114</f>
        <v>3.58</v>
      </c>
      <c r="D1114" s="12">
        <f>if(sum(Daily_Data!K1114:L1114)&gt;0,1,0)</f>
        <v>0</v>
      </c>
    </row>
    <row r="1115">
      <c r="A1115" s="10">
        <f>Daily_Data!A1115</f>
        <v>38085</v>
      </c>
      <c r="B1115" s="11">
        <f>Daily_Data!J1115</f>
        <v>16.26</v>
      </c>
      <c r="C1115" s="11">
        <f>Daily_Data!I1115</f>
        <v>3.57</v>
      </c>
      <c r="D1115" s="12">
        <f>if(sum(Daily_Data!K1115:L1115)&gt;0,1,0)</f>
        <v>0</v>
      </c>
    </row>
    <row r="1116">
      <c r="A1116" s="10">
        <f>Daily_Data!A1116</f>
        <v>38086</v>
      </c>
      <c r="B1116" s="11" t="str">
        <f>Daily_Data!J1116</f>
        <v/>
      </c>
      <c r="C1116" s="11" t="str">
        <f>Daily_Data!I1116</f>
        <v/>
      </c>
      <c r="D1116" s="12">
        <f>if(sum(Daily_Data!K1116:L1116)&gt;0,1,0)</f>
        <v>0</v>
      </c>
    </row>
    <row r="1117">
      <c r="A1117" s="10">
        <f>Daily_Data!A1117</f>
        <v>38089</v>
      </c>
      <c r="B1117" s="11">
        <f>Daily_Data!J1117</f>
        <v>15.28</v>
      </c>
      <c r="C1117" s="11" t="str">
        <f>Daily_Data!I1117</f>
        <v/>
      </c>
      <c r="D1117" s="12">
        <f>if(sum(Daily_Data!K1117:L1117)&gt;0,1,0)</f>
        <v>0</v>
      </c>
    </row>
    <row r="1118">
      <c r="A1118" s="10">
        <f>Daily_Data!A1118</f>
        <v>38090</v>
      </c>
      <c r="B1118" s="11">
        <f>Daily_Data!J1118</f>
        <v>17.26</v>
      </c>
      <c r="C1118" s="11">
        <f>Daily_Data!I1118</f>
        <v>3.51</v>
      </c>
      <c r="D1118" s="12">
        <f>if(sum(Daily_Data!K1118:L1118)&gt;0,1,0)</f>
        <v>0</v>
      </c>
    </row>
    <row r="1119">
      <c r="A1119" s="10">
        <f>Daily_Data!A1119</f>
        <v>38091</v>
      </c>
      <c r="B1119" s="11">
        <f>Daily_Data!J1119</f>
        <v>15.62</v>
      </c>
      <c r="C1119" s="11">
        <f>Daily_Data!I1119</f>
        <v>3.41</v>
      </c>
      <c r="D1119" s="12">
        <f>if(sum(Daily_Data!K1119:L1119)&gt;0,1,0)</f>
        <v>1</v>
      </c>
    </row>
    <row r="1120">
      <c r="A1120" s="10">
        <f>Daily_Data!A1120</f>
        <v>38092</v>
      </c>
      <c r="B1120" s="11">
        <f>Daily_Data!J1120</f>
        <v>15.74</v>
      </c>
      <c r="C1120" s="11">
        <f>Daily_Data!I1120</f>
        <v>3.44</v>
      </c>
      <c r="D1120" s="12">
        <f>if(sum(Daily_Data!K1120:L1120)&gt;0,1,0)</f>
        <v>0</v>
      </c>
    </row>
    <row r="1121">
      <c r="A1121" s="10">
        <f>Daily_Data!A1121</f>
        <v>38093</v>
      </c>
      <c r="B1121" s="11">
        <f>Daily_Data!J1121</f>
        <v>14.94</v>
      </c>
      <c r="C1121" s="11">
        <f>Daily_Data!I1121</f>
        <v>3.53</v>
      </c>
      <c r="D1121" s="12">
        <f>if(sum(Daily_Data!K1121:L1121)&gt;0,1,0)</f>
        <v>0</v>
      </c>
    </row>
    <row r="1122">
      <c r="A1122" s="10">
        <f>Daily_Data!A1122</f>
        <v>38096</v>
      </c>
      <c r="B1122" s="11">
        <f>Daily_Data!J1122</f>
        <v>15.42</v>
      </c>
      <c r="C1122" s="11">
        <f>Daily_Data!I1122</f>
        <v>3.43</v>
      </c>
      <c r="D1122" s="12">
        <f>if(sum(Daily_Data!K1122:L1122)&gt;0,1,0)</f>
        <v>0</v>
      </c>
    </row>
    <row r="1123">
      <c r="A1123" s="10">
        <f>Daily_Data!A1123</f>
        <v>38097</v>
      </c>
      <c r="B1123" s="11">
        <f>Daily_Data!J1123</f>
        <v>16.67</v>
      </c>
      <c r="C1123" s="11">
        <f>Daily_Data!I1123</f>
        <v>3.44</v>
      </c>
      <c r="D1123" s="12">
        <f>if(sum(Daily_Data!K1123:L1123)&gt;0,1,0)</f>
        <v>0</v>
      </c>
    </row>
    <row r="1124">
      <c r="A1124" s="10">
        <f>Daily_Data!A1124</f>
        <v>38098</v>
      </c>
      <c r="B1124" s="11">
        <f>Daily_Data!J1124</f>
        <v>15.6</v>
      </c>
      <c r="C1124" s="11">
        <f>Daily_Data!I1124</f>
        <v>3.37</v>
      </c>
      <c r="D1124" s="12">
        <f>if(sum(Daily_Data!K1124:L1124)&gt;0,1,0)</f>
        <v>0</v>
      </c>
    </row>
    <row r="1125">
      <c r="A1125" s="10">
        <f>Daily_Data!A1125</f>
        <v>38099</v>
      </c>
      <c r="B1125" s="11">
        <f>Daily_Data!J1125</f>
        <v>14.61</v>
      </c>
      <c r="C1125" s="11">
        <f>Daily_Data!I1125</f>
        <v>3.43</v>
      </c>
      <c r="D1125" s="12">
        <f>if(sum(Daily_Data!K1125:L1125)&gt;0,1,0)</f>
        <v>0</v>
      </c>
    </row>
    <row r="1126">
      <c r="A1126" s="10">
        <f>Daily_Data!A1126</f>
        <v>38100</v>
      </c>
      <c r="B1126" s="11">
        <f>Daily_Data!J1126</f>
        <v>14.01</v>
      </c>
      <c r="C1126" s="11">
        <f>Daily_Data!I1126</f>
        <v>3.29</v>
      </c>
      <c r="D1126" s="12">
        <f>if(sum(Daily_Data!K1126:L1126)&gt;0,1,0)</f>
        <v>0</v>
      </c>
    </row>
    <row r="1127">
      <c r="A1127" s="10">
        <f>Daily_Data!A1127</f>
        <v>38103</v>
      </c>
      <c r="B1127" s="11">
        <f>Daily_Data!J1127</f>
        <v>14.77</v>
      </c>
      <c r="C1127" s="11">
        <f>Daily_Data!I1127</f>
        <v>3.34</v>
      </c>
      <c r="D1127" s="12">
        <f>if(sum(Daily_Data!K1127:L1127)&gt;0,1,0)</f>
        <v>0</v>
      </c>
    </row>
    <row r="1128">
      <c r="A1128" s="10">
        <f>Daily_Data!A1128</f>
        <v>38104</v>
      </c>
      <c r="B1128" s="11">
        <f>Daily_Data!J1128</f>
        <v>15.07</v>
      </c>
      <c r="C1128" s="11">
        <f>Daily_Data!I1128</f>
        <v>3.4</v>
      </c>
      <c r="D1128" s="12">
        <f>if(sum(Daily_Data!K1128:L1128)&gt;0,1,0)</f>
        <v>0</v>
      </c>
    </row>
    <row r="1129">
      <c r="A1129" s="10">
        <f>Daily_Data!A1129</f>
        <v>38105</v>
      </c>
      <c r="B1129" s="11">
        <f>Daily_Data!J1129</f>
        <v>16.29</v>
      </c>
      <c r="C1129" s="11">
        <f>Daily_Data!I1129</f>
        <v>3.28</v>
      </c>
      <c r="D1129" s="12">
        <f>if(sum(Daily_Data!K1129:L1129)&gt;0,1,0)</f>
        <v>0</v>
      </c>
    </row>
    <row r="1130">
      <c r="A1130" s="10">
        <f>Daily_Data!A1130</f>
        <v>38106</v>
      </c>
      <c r="B1130" s="11">
        <f>Daily_Data!J1130</f>
        <v>16.6</v>
      </c>
      <c r="C1130" s="11">
        <f>Daily_Data!I1130</f>
        <v>3.42</v>
      </c>
      <c r="D1130" s="12">
        <f>if(sum(Daily_Data!K1130:L1130)&gt;0,1,0)</f>
        <v>0</v>
      </c>
    </row>
    <row r="1131">
      <c r="A1131" s="10">
        <f>Daily_Data!A1131</f>
        <v>38107</v>
      </c>
      <c r="B1131" s="11">
        <f>Daily_Data!J1131</f>
        <v>17.19</v>
      </c>
      <c r="C1131" s="11">
        <f>Daily_Data!I1131</f>
        <v>3.41</v>
      </c>
      <c r="D1131" s="12">
        <f>if(sum(Daily_Data!K1131:L1131)&gt;0,1,0)</f>
        <v>0</v>
      </c>
    </row>
    <row r="1132">
      <c r="A1132" s="10">
        <f>Daily_Data!A1132</f>
        <v>38110</v>
      </c>
      <c r="B1132" s="11">
        <f>Daily_Data!J1132</f>
        <v>16.62</v>
      </c>
      <c r="C1132" s="11">
        <f>Daily_Data!I1132</f>
        <v>3.37</v>
      </c>
      <c r="D1132" s="12">
        <f>if(sum(Daily_Data!K1132:L1132)&gt;0,1,0)</f>
        <v>0</v>
      </c>
    </row>
    <row r="1133">
      <c r="A1133" s="10">
        <f>Daily_Data!A1133</f>
        <v>38111</v>
      </c>
      <c r="B1133" s="11">
        <f>Daily_Data!J1133</f>
        <v>16.55</v>
      </c>
      <c r="C1133" s="11">
        <f>Daily_Data!I1133</f>
        <v>3.4</v>
      </c>
      <c r="D1133" s="12">
        <f>if(sum(Daily_Data!K1133:L1133)&gt;0,1,0)</f>
        <v>0</v>
      </c>
    </row>
    <row r="1134">
      <c r="A1134" s="10">
        <f>Daily_Data!A1134</f>
        <v>38112</v>
      </c>
      <c r="B1134" s="11">
        <f>Daily_Data!J1134</f>
        <v>15.77</v>
      </c>
      <c r="C1134" s="11">
        <f>Daily_Data!I1134</f>
        <v>3.41</v>
      </c>
      <c r="D1134" s="12">
        <f>if(sum(Daily_Data!K1134:L1134)&gt;0,1,0)</f>
        <v>0</v>
      </c>
    </row>
    <row r="1135">
      <c r="A1135" s="10">
        <f>Daily_Data!A1135</f>
        <v>38113</v>
      </c>
      <c r="B1135" s="11">
        <f>Daily_Data!J1135</f>
        <v>17.05</v>
      </c>
      <c r="C1135" s="11">
        <f>Daily_Data!I1135</f>
        <v>3.35</v>
      </c>
      <c r="D1135" s="12">
        <f>if(sum(Daily_Data!K1135:L1135)&gt;0,1,0)</f>
        <v>0</v>
      </c>
    </row>
    <row r="1136">
      <c r="A1136" s="10">
        <f>Daily_Data!A1136</f>
        <v>38114</v>
      </c>
      <c r="B1136" s="11">
        <f>Daily_Data!J1136</f>
        <v>18.13</v>
      </c>
      <c r="C1136" s="11">
        <f>Daily_Data!I1136</f>
        <v>3.15</v>
      </c>
      <c r="D1136" s="12">
        <f>if(sum(Daily_Data!K1136:L1136)&gt;0,1,0)</f>
        <v>1</v>
      </c>
    </row>
    <row r="1137">
      <c r="A1137" s="10">
        <f>Daily_Data!A1137</f>
        <v>38117</v>
      </c>
      <c r="B1137" s="11">
        <f>Daily_Data!J1137</f>
        <v>19.77</v>
      </c>
      <c r="C1137" s="11">
        <f>Daily_Data!I1137</f>
        <v>3.22</v>
      </c>
      <c r="D1137" s="12">
        <f>if(sum(Daily_Data!K1137:L1137)&gt;0,1,0)</f>
        <v>0</v>
      </c>
    </row>
    <row r="1138">
      <c r="A1138" s="10">
        <f>Daily_Data!A1138</f>
        <v>38118</v>
      </c>
      <c r="B1138" s="11">
        <f>Daily_Data!J1138</f>
        <v>18.57</v>
      </c>
      <c r="C1138" s="11">
        <f>Daily_Data!I1138</f>
        <v>3.2</v>
      </c>
      <c r="D1138" s="12">
        <f>if(sum(Daily_Data!K1138:L1138)&gt;0,1,0)</f>
        <v>0</v>
      </c>
    </row>
    <row r="1139">
      <c r="A1139" s="10">
        <f>Daily_Data!A1139</f>
        <v>38119</v>
      </c>
      <c r="B1139" s="11">
        <f>Daily_Data!J1139</f>
        <v>18.14</v>
      </c>
      <c r="C1139" s="11">
        <f>Daily_Data!I1139</f>
        <v>3.22</v>
      </c>
      <c r="D1139" s="12">
        <f>if(sum(Daily_Data!K1139:L1139)&gt;0,1,0)</f>
        <v>0</v>
      </c>
    </row>
    <row r="1140">
      <c r="A1140" s="10">
        <f>Daily_Data!A1140</f>
        <v>38120</v>
      </c>
      <c r="B1140" s="11">
        <f>Daily_Data!J1140</f>
        <v>18.86</v>
      </c>
      <c r="C1140" s="11">
        <f>Daily_Data!I1140</f>
        <v>3.22</v>
      </c>
      <c r="D1140" s="12">
        <f>if(sum(Daily_Data!K1140:L1140)&gt;0,1,0)</f>
        <v>0</v>
      </c>
    </row>
    <row r="1141">
      <c r="A1141" s="10">
        <f>Daily_Data!A1141</f>
        <v>38121</v>
      </c>
      <c r="B1141" s="11">
        <f>Daily_Data!J1141</f>
        <v>18.47</v>
      </c>
      <c r="C1141" s="11">
        <f>Daily_Data!I1141</f>
        <v>3.38</v>
      </c>
      <c r="D1141" s="12">
        <f>if(sum(Daily_Data!K1141:L1141)&gt;0,1,0)</f>
        <v>1</v>
      </c>
    </row>
    <row r="1142">
      <c r="A1142" s="10">
        <f>Daily_Data!A1142</f>
        <v>38124</v>
      </c>
      <c r="B1142" s="11">
        <f>Daily_Data!J1142</f>
        <v>19.96</v>
      </c>
      <c r="C1142" s="11">
        <f>Daily_Data!I1142</f>
        <v>3.4</v>
      </c>
      <c r="D1142" s="12">
        <f>if(sum(Daily_Data!K1142:L1142)&gt;0,1,0)</f>
        <v>0</v>
      </c>
    </row>
    <row r="1143">
      <c r="A1143" s="10">
        <f>Daily_Data!A1143</f>
        <v>38125</v>
      </c>
      <c r="B1143" s="11">
        <f>Daily_Data!J1143</f>
        <v>19.33</v>
      </c>
      <c r="C1143" s="11">
        <f>Daily_Data!I1143</f>
        <v>3.31</v>
      </c>
      <c r="D1143" s="12">
        <f>if(sum(Daily_Data!K1143:L1143)&gt;0,1,0)</f>
        <v>0</v>
      </c>
    </row>
    <row r="1144">
      <c r="A1144" s="10">
        <f>Daily_Data!A1144</f>
        <v>38126</v>
      </c>
      <c r="B1144" s="11">
        <f>Daily_Data!J1144</f>
        <v>18.93</v>
      </c>
      <c r="C1144" s="11">
        <f>Daily_Data!I1144</f>
        <v>3.31</v>
      </c>
      <c r="D1144" s="12">
        <f>if(sum(Daily_Data!K1144:L1144)&gt;0,1,0)</f>
        <v>0</v>
      </c>
    </row>
    <row r="1145">
      <c r="A1145" s="10">
        <f>Daily_Data!A1145</f>
        <v>38127</v>
      </c>
      <c r="B1145" s="11">
        <f>Daily_Data!J1145</f>
        <v>18.67</v>
      </c>
      <c r="C1145" s="11">
        <f>Daily_Data!I1145</f>
        <v>3.4</v>
      </c>
      <c r="D1145" s="12">
        <f>if(sum(Daily_Data!K1145:L1145)&gt;0,1,0)</f>
        <v>0</v>
      </c>
    </row>
    <row r="1146">
      <c r="A1146" s="10">
        <f>Daily_Data!A1146</f>
        <v>38128</v>
      </c>
      <c r="B1146" s="11">
        <f>Daily_Data!J1146</f>
        <v>18.49</v>
      </c>
      <c r="C1146" s="11">
        <f>Daily_Data!I1146</f>
        <v>3.31</v>
      </c>
      <c r="D1146" s="12">
        <f>if(sum(Daily_Data!K1146:L1146)&gt;0,1,0)</f>
        <v>0</v>
      </c>
    </row>
    <row r="1147">
      <c r="A1147" s="10">
        <f>Daily_Data!A1147</f>
        <v>38131</v>
      </c>
      <c r="B1147" s="11">
        <f>Daily_Data!J1147</f>
        <v>18.08</v>
      </c>
      <c r="C1147" s="11">
        <f>Daily_Data!I1147</f>
        <v>3.36</v>
      </c>
      <c r="D1147" s="12">
        <f>if(sum(Daily_Data!K1147:L1147)&gt;0,1,0)</f>
        <v>0</v>
      </c>
    </row>
    <row r="1148">
      <c r="A1148" s="10">
        <f>Daily_Data!A1148</f>
        <v>38132</v>
      </c>
      <c r="B1148" s="11">
        <f>Daily_Data!J1148</f>
        <v>15.96</v>
      </c>
      <c r="C1148" s="11">
        <f>Daily_Data!I1148</f>
        <v>3.35</v>
      </c>
      <c r="D1148" s="12">
        <f>if(sum(Daily_Data!K1148:L1148)&gt;0,1,0)</f>
        <v>0</v>
      </c>
    </row>
    <row r="1149">
      <c r="A1149" s="10">
        <f>Daily_Data!A1149</f>
        <v>38133</v>
      </c>
      <c r="B1149" s="11">
        <f>Daily_Data!J1149</f>
        <v>15.97</v>
      </c>
      <c r="C1149" s="11">
        <f>Daily_Data!I1149</f>
        <v>3.41</v>
      </c>
      <c r="D1149" s="12">
        <f>if(sum(Daily_Data!K1149:L1149)&gt;0,1,0)</f>
        <v>0</v>
      </c>
    </row>
    <row r="1150">
      <c r="A1150" s="10">
        <f>Daily_Data!A1150</f>
        <v>38134</v>
      </c>
      <c r="B1150" s="11">
        <f>Daily_Data!J1150</f>
        <v>15.28</v>
      </c>
      <c r="C1150" s="11">
        <f>Daily_Data!I1150</f>
        <v>3.4</v>
      </c>
      <c r="D1150" s="12">
        <f>if(sum(Daily_Data!K1150:L1150)&gt;0,1,0)</f>
        <v>0</v>
      </c>
    </row>
    <row r="1151">
      <c r="A1151" s="10">
        <f>Daily_Data!A1151</f>
        <v>38135</v>
      </c>
      <c r="B1151" s="11">
        <f>Daily_Data!J1151</f>
        <v>15.5</v>
      </c>
      <c r="C1151" s="11">
        <f>Daily_Data!I1151</f>
        <v>3.29</v>
      </c>
      <c r="D1151" s="12">
        <f>if(sum(Daily_Data!K1151:L1151)&gt;0,1,0)</f>
        <v>0</v>
      </c>
    </row>
    <row r="1152">
      <c r="A1152" s="10">
        <f>Daily_Data!A1152</f>
        <v>38138</v>
      </c>
      <c r="B1152" s="11" t="str">
        <f>Daily_Data!J1152</f>
        <v/>
      </c>
      <c r="C1152" s="11" t="str">
        <f>Daily_Data!I1152</f>
        <v/>
      </c>
      <c r="D1152" s="12">
        <f>if(sum(Daily_Data!K1152:L1152)&gt;0,1,0)</f>
        <v>0</v>
      </c>
    </row>
    <row r="1153">
      <c r="A1153" s="10">
        <f>Daily_Data!A1153</f>
        <v>38139</v>
      </c>
      <c r="B1153" s="11">
        <f>Daily_Data!J1153</f>
        <v>16.3</v>
      </c>
      <c r="C1153" s="11">
        <f>Daily_Data!I1153</f>
        <v>3.28</v>
      </c>
      <c r="D1153" s="12">
        <f>if(sum(Daily_Data!K1153:L1153)&gt;0,1,0)</f>
        <v>0</v>
      </c>
    </row>
    <row r="1154">
      <c r="A1154" s="10">
        <f>Daily_Data!A1154</f>
        <v>38140</v>
      </c>
      <c r="B1154" s="11">
        <f>Daily_Data!J1154</f>
        <v>16.08</v>
      </c>
      <c r="C1154" s="11">
        <f>Daily_Data!I1154</f>
        <v>3.25</v>
      </c>
      <c r="D1154" s="12">
        <f>if(sum(Daily_Data!K1154:L1154)&gt;0,1,0)</f>
        <v>0</v>
      </c>
    </row>
    <row r="1155">
      <c r="A1155" s="10">
        <f>Daily_Data!A1155</f>
        <v>38141</v>
      </c>
      <c r="B1155" s="11">
        <f>Daily_Data!J1155</f>
        <v>17.03</v>
      </c>
      <c r="C1155" s="11">
        <f>Daily_Data!I1155</f>
        <v>3.25</v>
      </c>
      <c r="D1155" s="12">
        <f>if(sum(Daily_Data!K1155:L1155)&gt;0,1,0)</f>
        <v>0</v>
      </c>
    </row>
    <row r="1156">
      <c r="A1156" s="10">
        <f>Daily_Data!A1156</f>
        <v>38142</v>
      </c>
      <c r="B1156" s="11">
        <f>Daily_Data!J1156</f>
        <v>16.78</v>
      </c>
      <c r="C1156" s="11">
        <f>Daily_Data!I1156</f>
        <v>3.17</v>
      </c>
      <c r="D1156" s="12">
        <f>if(sum(Daily_Data!K1156:L1156)&gt;0,1,0)</f>
        <v>1</v>
      </c>
    </row>
    <row r="1157">
      <c r="A1157" s="10">
        <f>Daily_Data!A1157</f>
        <v>38145</v>
      </c>
      <c r="B1157" s="11">
        <f>Daily_Data!J1157</f>
        <v>15.39</v>
      </c>
      <c r="C1157" s="11" t="str">
        <f>Daily_Data!I1157</f>
        <v/>
      </c>
      <c r="D1157" s="12">
        <f>if(sum(Daily_Data!K1157:L1157)&gt;0,1,0)</f>
        <v>0</v>
      </c>
    </row>
    <row r="1158">
      <c r="A1158" s="10">
        <f>Daily_Data!A1158</f>
        <v>38146</v>
      </c>
      <c r="B1158" s="11">
        <f>Daily_Data!J1158</f>
        <v>15.01</v>
      </c>
      <c r="C1158" s="11">
        <f>Daily_Data!I1158</f>
        <v>3.16</v>
      </c>
      <c r="D1158" s="12">
        <f>if(sum(Daily_Data!K1158:L1158)&gt;0,1,0)</f>
        <v>0</v>
      </c>
    </row>
    <row r="1159">
      <c r="A1159" s="10">
        <f>Daily_Data!A1159</f>
        <v>38147</v>
      </c>
      <c r="B1159" s="11">
        <f>Daily_Data!J1159</f>
        <v>15.39</v>
      </c>
      <c r="C1159" s="11">
        <f>Daily_Data!I1159</f>
        <v>3.1</v>
      </c>
      <c r="D1159" s="12">
        <f>if(sum(Daily_Data!K1159:L1159)&gt;0,1,0)</f>
        <v>0</v>
      </c>
    </row>
    <row r="1160">
      <c r="A1160" s="10">
        <f>Daily_Data!A1160</f>
        <v>38148</v>
      </c>
      <c r="B1160" s="11">
        <f>Daily_Data!J1160</f>
        <v>15.04</v>
      </c>
      <c r="C1160" s="11">
        <f>Daily_Data!I1160</f>
        <v>3.2</v>
      </c>
      <c r="D1160" s="12">
        <f>if(sum(Daily_Data!K1160:L1160)&gt;0,1,0)</f>
        <v>0</v>
      </c>
    </row>
    <row r="1161">
      <c r="A1161" s="10">
        <f>Daily_Data!A1161</f>
        <v>38149</v>
      </c>
      <c r="B1161" s="11">
        <f>Daily_Data!J1161</f>
        <v>15.04</v>
      </c>
      <c r="C1161" s="11" t="str">
        <f>Daily_Data!I1161</f>
        <v/>
      </c>
      <c r="D1161" s="12">
        <f>if(sum(Daily_Data!K1161:L1161)&gt;0,1,0)</f>
        <v>0</v>
      </c>
    </row>
    <row r="1162">
      <c r="A1162" s="10">
        <f>Daily_Data!A1162</f>
        <v>38152</v>
      </c>
      <c r="B1162" s="11">
        <f>Daily_Data!J1162</f>
        <v>16.07</v>
      </c>
      <c r="C1162" s="11">
        <f>Daily_Data!I1162</f>
        <v>3.04</v>
      </c>
      <c r="D1162" s="12">
        <f>if(sum(Daily_Data!K1162:L1162)&gt;0,1,0)</f>
        <v>0</v>
      </c>
    </row>
    <row r="1163">
      <c r="A1163" s="10">
        <f>Daily_Data!A1163</f>
        <v>38153</v>
      </c>
      <c r="B1163" s="11">
        <f>Daily_Data!J1163</f>
        <v>15.05</v>
      </c>
      <c r="C1163" s="11">
        <f>Daily_Data!I1163</f>
        <v>3.27</v>
      </c>
      <c r="D1163" s="12">
        <f>if(sum(Daily_Data!K1163:L1163)&gt;0,1,0)</f>
        <v>1</v>
      </c>
    </row>
    <row r="1164">
      <c r="A1164" s="10">
        <f>Daily_Data!A1164</f>
        <v>38154</v>
      </c>
      <c r="B1164" s="11">
        <f>Daily_Data!J1164</f>
        <v>14.79</v>
      </c>
      <c r="C1164" s="11">
        <f>Daily_Data!I1164</f>
        <v>3.11</v>
      </c>
      <c r="D1164" s="12">
        <f>if(sum(Daily_Data!K1164:L1164)&gt;0,1,0)</f>
        <v>0</v>
      </c>
    </row>
    <row r="1165">
      <c r="A1165" s="10">
        <f>Daily_Data!A1165</f>
        <v>38155</v>
      </c>
      <c r="B1165" s="11">
        <f>Daily_Data!J1165</f>
        <v>15.15</v>
      </c>
      <c r="C1165" s="11">
        <f>Daily_Data!I1165</f>
        <v>3.17</v>
      </c>
      <c r="D1165" s="12">
        <f>if(sum(Daily_Data!K1165:L1165)&gt;0,1,0)</f>
        <v>0</v>
      </c>
    </row>
    <row r="1166">
      <c r="A1166" s="10">
        <f>Daily_Data!A1166</f>
        <v>38156</v>
      </c>
      <c r="B1166" s="11">
        <f>Daily_Data!J1166</f>
        <v>14.99</v>
      </c>
      <c r="C1166" s="11">
        <f>Daily_Data!I1166</f>
        <v>3.17</v>
      </c>
      <c r="D1166" s="12">
        <f>if(sum(Daily_Data!K1166:L1166)&gt;0,1,0)</f>
        <v>0</v>
      </c>
    </row>
    <row r="1167">
      <c r="A1167" s="10">
        <f>Daily_Data!A1167</f>
        <v>38159</v>
      </c>
      <c r="B1167" s="11">
        <f>Daily_Data!J1167</f>
        <v>15.26</v>
      </c>
      <c r="C1167" s="11">
        <f>Daily_Data!I1167</f>
        <v>3.19</v>
      </c>
      <c r="D1167" s="12">
        <f>if(sum(Daily_Data!K1167:L1167)&gt;0,1,0)</f>
        <v>0</v>
      </c>
    </row>
    <row r="1168">
      <c r="A1168" s="10">
        <f>Daily_Data!A1168</f>
        <v>38160</v>
      </c>
      <c r="B1168" s="11">
        <f>Daily_Data!J1168</f>
        <v>14.31</v>
      </c>
      <c r="C1168" s="11">
        <f>Daily_Data!I1168</f>
        <v>3.19</v>
      </c>
      <c r="D1168" s="12">
        <f>if(sum(Daily_Data!K1168:L1168)&gt;0,1,0)</f>
        <v>0</v>
      </c>
    </row>
    <row r="1169">
      <c r="A1169" s="10">
        <f>Daily_Data!A1169</f>
        <v>38161</v>
      </c>
      <c r="B1169" s="11">
        <f>Daily_Data!J1169</f>
        <v>13.98</v>
      </c>
      <c r="C1169" s="11">
        <f>Daily_Data!I1169</f>
        <v>3.23</v>
      </c>
      <c r="D1169" s="12">
        <f>if(sum(Daily_Data!K1169:L1169)&gt;0,1,0)</f>
        <v>0</v>
      </c>
    </row>
    <row r="1170">
      <c r="A1170" s="10">
        <f>Daily_Data!A1170</f>
        <v>38162</v>
      </c>
      <c r="B1170" s="11">
        <f>Daily_Data!J1170</f>
        <v>14.81</v>
      </c>
      <c r="C1170" s="11">
        <f>Daily_Data!I1170</f>
        <v>3.28</v>
      </c>
      <c r="D1170" s="12">
        <f>if(sum(Daily_Data!K1170:L1170)&gt;0,1,0)</f>
        <v>0</v>
      </c>
    </row>
    <row r="1171">
      <c r="A1171" s="10">
        <f>Daily_Data!A1171</f>
        <v>38163</v>
      </c>
      <c r="B1171" s="11">
        <f>Daily_Data!J1171</f>
        <v>15.19</v>
      </c>
      <c r="C1171" s="11">
        <f>Daily_Data!I1171</f>
        <v>3.29</v>
      </c>
      <c r="D1171" s="12">
        <f>if(sum(Daily_Data!K1171:L1171)&gt;0,1,0)</f>
        <v>0</v>
      </c>
    </row>
    <row r="1172">
      <c r="A1172" s="10">
        <f>Daily_Data!A1172</f>
        <v>38166</v>
      </c>
      <c r="B1172" s="11">
        <f>Daily_Data!J1172</f>
        <v>16.07</v>
      </c>
      <c r="C1172" s="11">
        <f>Daily_Data!I1172</f>
        <v>3.18</v>
      </c>
      <c r="D1172" s="12">
        <f>if(sum(Daily_Data!K1172:L1172)&gt;0,1,0)</f>
        <v>0</v>
      </c>
    </row>
    <row r="1173">
      <c r="A1173" s="10">
        <f>Daily_Data!A1173</f>
        <v>38167</v>
      </c>
      <c r="B1173" s="11">
        <f>Daily_Data!J1173</f>
        <v>15.47</v>
      </c>
      <c r="C1173" s="11">
        <f>Daily_Data!I1173</f>
        <v>3.22</v>
      </c>
      <c r="D1173" s="12">
        <f>if(sum(Daily_Data!K1173:L1173)&gt;0,1,0)</f>
        <v>0</v>
      </c>
    </row>
    <row r="1174">
      <c r="A1174" s="10">
        <f>Daily_Data!A1174</f>
        <v>38168</v>
      </c>
      <c r="B1174" s="11">
        <f>Daily_Data!J1174</f>
        <v>14.34</v>
      </c>
      <c r="C1174" s="11">
        <f>Daily_Data!I1174</f>
        <v>3.35</v>
      </c>
      <c r="D1174" s="12">
        <f>if(sum(Daily_Data!K1174:L1174)&gt;0,1,0)</f>
        <v>0</v>
      </c>
    </row>
    <row r="1175">
      <c r="A1175" s="10">
        <f>Daily_Data!A1175</f>
        <v>38169</v>
      </c>
      <c r="B1175" s="11">
        <f>Daily_Data!J1175</f>
        <v>15.2</v>
      </c>
      <c r="C1175" s="11">
        <f>Daily_Data!I1175</f>
        <v>3.37</v>
      </c>
      <c r="D1175" s="12">
        <f>if(sum(Daily_Data!K1175:L1175)&gt;0,1,0)</f>
        <v>0</v>
      </c>
    </row>
    <row r="1176">
      <c r="A1176" s="10">
        <f>Daily_Data!A1176</f>
        <v>38170</v>
      </c>
      <c r="B1176" s="11">
        <f>Daily_Data!J1176</f>
        <v>15.08</v>
      </c>
      <c r="C1176" s="11">
        <f>Daily_Data!I1176</f>
        <v>3.49</v>
      </c>
      <c r="D1176" s="12">
        <f>if(sum(Daily_Data!K1176:L1176)&gt;0,1,0)</f>
        <v>1</v>
      </c>
    </row>
    <row r="1177">
      <c r="A1177" s="10">
        <f>Daily_Data!A1177</f>
        <v>38173</v>
      </c>
      <c r="B1177" s="11" t="str">
        <f>Daily_Data!J1177</f>
        <v/>
      </c>
      <c r="C1177" s="11" t="str">
        <f>Daily_Data!I1177</f>
        <v/>
      </c>
      <c r="D1177" s="12">
        <f>if(sum(Daily_Data!K1177:L1177)&gt;0,1,0)</f>
        <v>0</v>
      </c>
    </row>
    <row r="1178">
      <c r="A1178" s="10">
        <f>Daily_Data!A1178</f>
        <v>38174</v>
      </c>
      <c r="B1178" s="11">
        <f>Daily_Data!J1178</f>
        <v>16.25</v>
      </c>
      <c r="C1178" s="11">
        <f>Daily_Data!I1178</f>
        <v>3.47</v>
      </c>
      <c r="D1178" s="12">
        <f>if(sum(Daily_Data!K1178:L1178)&gt;0,1,0)</f>
        <v>0</v>
      </c>
    </row>
    <row r="1179">
      <c r="A1179" s="10">
        <f>Daily_Data!A1179</f>
        <v>38175</v>
      </c>
      <c r="B1179" s="11">
        <f>Daily_Data!J1179</f>
        <v>15.81</v>
      </c>
      <c r="C1179" s="11">
        <f>Daily_Data!I1179</f>
        <v>3.47</v>
      </c>
      <c r="D1179" s="12">
        <f>if(sum(Daily_Data!K1179:L1179)&gt;0,1,0)</f>
        <v>0</v>
      </c>
    </row>
    <row r="1180">
      <c r="A1180" s="10">
        <f>Daily_Data!A1180</f>
        <v>38176</v>
      </c>
      <c r="B1180" s="11">
        <f>Daily_Data!J1180</f>
        <v>16.2</v>
      </c>
      <c r="C1180" s="11">
        <f>Daily_Data!I1180</f>
        <v>3.46</v>
      </c>
      <c r="D1180" s="12">
        <f>if(sum(Daily_Data!K1180:L1180)&gt;0,1,0)</f>
        <v>0</v>
      </c>
    </row>
    <row r="1181">
      <c r="A1181" s="10">
        <f>Daily_Data!A1181</f>
        <v>38177</v>
      </c>
      <c r="B1181" s="11">
        <f>Daily_Data!J1181</f>
        <v>15.78</v>
      </c>
      <c r="C1181" s="11">
        <f>Daily_Data!I1181</f>
        <v>3.42</v>
      </c>
      <c r="D1181" s="12">
        <f>if(sum(Daily_Data!K1181:L1181)&gt;0,1,0)</f>
        <v>0</v>
      </c>
    </row>
    <row r="1182">
      <c r="A1182" s="10">
        <f>Daily_Data!A1182</f>
        <v>38180</v>
      </c>
      <c r="B1182" s="11">
        <f>Daily_Data!J1182</f>
        <v>14.96</v>
      </c>
      <c r="C1182" s="11">
        <f>Daily_Data!I1182</f>
        <v>3.45</v>
      </c>
      <c r="D1182" s="12">
        <f>if(sum(Daily_Data!K1182:L1182)&gt;0,1,0)</f>
        <v>0</v>
      </c>
    </row>
    <row r="1183">
      <c r="A1183" s="10">
        <f>Daily_Data!A1183</f>
        <v>38181</v>
      </c>
      <c r="B1183" s="11">
        <f>Daily_Data!J1183</f>
        <v>14.46</v>
      </c>
      <c r="C1183" s="11">
        <f>Daily_Data!I1183</f>
        <v>3.39</v>
      </c>
      <c r="D1183" s="12">
        <f>if(sum(Daily_Data!K1183:L1183)&gt;0,1,0)</f>
        <v>0</v>
      </c>
    </row>
    <row r="1184">
      <c r="A1184" s="10">
        <f>Daily_Data!A1184</f>
        <v>38182</v>
      </c>
      <c r="B1184" s="11">
        <f>Daily_Data!J1184</f>
        <v>13.76</v>
      </c>
      <c r="C1184" s="11">
        <f>Daily_Data!I1184</f>
        <v>3.37</v>
      </c>
      <c r="D1184" s="12">
        <f>if(sum(Daily_Data!K1184:L1184)&gt;0,1,0)</f>
        <v>0</v>
      </c>
    </row>
    <row r="1185">
      <c r="A1185" s="10">
        <f>Daily_Data!A1185</f>
        <v>38183</v>
      </c>
      <c r="B1185" s="11">
        <f>Daily_Data!J1185</f>
        <v>14.71</v>
      </c>
      <c r="C1185" s="11">
        <f>Daily_Data!I1185</f>
        <v>3.37</v>
      </c>
      <c r="D1185" s="12">
        <f>if(sum(Daily_Data!K1185:L1185)&gt;0,1,0)</f>
        <v>0</v>
      </c>
    </row>
    <row r="1186">
      <c r="A1186" s="10">
        <f>Daily_Data!A1186</f>
        <v>38184</v>
      </c>
      <c r="B1186" s="11">
        <f>Daily_Data!J1186</f>
        <v>14.34</v>
      </c>
      <c r="C1186" s="11">
        <f>Daily_Data!I1186</f>
        <v>3.47</v>
      </c>
      <c r="D1186" s="12">
        <f>if(sum(Daily_Data!K1186:L1186)&gt;0,1,0)</f>
        <v>1</v>
      </c>
    </row>
    <row r="1187">
      <c r="A1187" s="10">
        <f>Daily_Data!A1187</f>
        <v>38187</v>
      </c>
      <c r="B1187" s="11">
        <f>Daily_Data!J1187</f>
        <v>15.17</v>
      </c>
      <c r="C1187" s="11">
        <f>Daily_Data!I1187</f>
        <v>3.4</v>
      </c>
      <c r="D1187" s="12">
        <f>if(sum(Daily_Data!K1187:L1187)&gt;0,1,0)</f>
        <v>0</v>
      </c>
    </row>
    <row r="1188">
      <c r="A1188" s="10">
        <f>Daily_Data!A1188</f>
        <v>38188</v>
      </c>
      <c r="B1188" s="11">
        <f>Daily_Data!J1188</f>
        <v>14.17</v>
      </c>
      <c r="C1188" s="11">
        <f>Daily_Data!I1188</f>
        <v>3.3</v>
      </c>
      <c r="D1188" s="12">
        <f>if(sum(Daily_Data!K1188:L1188)&gt;0,1,0)</f>
        <v>0</v>
      </c>
    </row>
    <row r="1189">
      <c r="A1189" s="10">
        <f>Daily_Data!A1189</f>
        <v>38189</v>
      </c>
      <c r="B1189" s="11">
        <f>Daily_Data!J1189</f>
        <v>16.41</v>
      </c>
      <c r="C1189" s="11">
        <f>Daily_Data!I1189</f>
        <v>3.31</v>
      </c>
      <c r="D1189" s="12">
        <f>if(sum(Daily_Data!K1189:L1189)&gt;0,1,0)</f>
        <v>0</v>
      </c>
    </row>
    <row r="1190">
      <c r="A1190" s="10">
        <f>Daily_Data!A1190</f>
        <v>38190</v>
      </c>
      <c r="B1190" s="11">
        <f>Daily_Data!J1190</f>
        <v>15.75</v>
      </c>
      <c r="C1190" s="11">
        <f>Daily_Data!I1190</f>
        <v>3.31</v>
      </c>
      <c r="D1190" s="12">
        <f>if(sum(Daily_Data!K1190:L1190)&gt;0,1,0)</f>
        <v>0</v>
      </c>
    </row>
    <row r="1191">
      <c r="A1191" s="10">
        <f>Daily_Data!A1191</f>
        <v>38191</v>
      </c>
      <c r="B1191" s="11">
        <f>Daily_Data!J1191</f>
        <v>16.5</v>
      </c>
      <c r="C1191" s="11">
        <f>Daily_Data!I1191</f>
        <v>3.28</v>
      </c>
      <c r="D1191" s="12">
        <f>if(sum(Daily_Data!K1191:L1191)&gt;0,1,0)</f>
        <v>0</v>
      </c>
    </row>
    <row r="1192">
      <c r="A1192" s="10">
        <f>Daily_Data!A1192</f>
        <v>38194</v>
      </c>
      <c r="B1192" s="11">
        <f>Daily_Data!J1192</f>
        <v>17.3</v>
      </c>
      <c r="C1192" s="11">
        <f>Daily_Data!I1192</f>
        <v>3.22</v>
      </c>
      <c r="D1192" s="12">
        <f>if(sum(Daily_Data!K1192:L1192)&gt;0,1,0)</f>
        <v>0</v>
      </c>
    </row>
    <row r="1193">
      <c r="A1193" s="10">
        <f>Daily_Data!A1193</f>
        <v>38195</v>
      </c>
      <c r="B1193" s="11">
        <f>Daily_Data!J1193</f>
        <v>16.55</v>
      </c>
      <c r="C1193" s="11">
        <f>Daily_Data!I1193</f>
        <v>3.21</v>
      </c>
      <c r="D1193" s="12">
        <f>if(sum(Daily_Data!K1193:L1193)&gt;0,1,0)</f>
        <v>0</v>
      </c>
    </row>
    <row r="1194">
      <c r="A1194" s="10">
        <f>Daily_Data!A1194</f>
        <v>38196</v>
      </c>
      <c r="B1194" s="11">
        <f>Daily_Data!J1194</f>
        <v>16.15</v>
      </c>
      <c r="C1194" s="11">
        <f>Daily_Data!I1194</f>
        <v>3.26</v>
      </c>
      <c r="D1194" s="12">
        <f>if(sum(Daily_Data!K1194:L1194)&gt;0,1,0)</f>
        <v>0</v>
      </c>
    </row>
    <row r="1195">
      <c r="A1195" s="10">
        <f>Daily_Data!A1195</f>
        <v>38197</v>
      </c>
      <c r="B1195" s="11">
        <f>Daily_Data!J1195</f>
        <v>15.68</v>
      </c>
      <c r="C1195" s="11">
        <f>Daily_Data!I1195</f>
        <v>3.34</v>
      </c>
      <c r="D1195" s="12">
        <f>if(sum(Daily_Data!K1195:L1195)&gt;0,1,0)</f>
        <v>0</v>
      </c>
    </row>
    <row r="1196">
      <c r="A1196" s="10">
        <f>Daily_Data!A1196</f>
        <v>38198</v>
      </c>
      <c r="B1196" s="11">
        <f>Daily_Data!J1196</f>
        <v>15.32</v>
      </c>
      <c r="C1196" s="11">
        <f>Daily_Data!I1196</f>
        <v>3.44</v>
      </c>
      <c r="D1196" s="12">
        <f>if(sum(Daily_Data!K1196:L1196)&gt;0,1,0)</f>
        <v>0</v>
      </c>
    </row>
    <row r="1197">
      <c r="A1197" s="10">
        <f>Daily_Data!A1197</f>
        <v>38201</v>
      </c>
      <c r="B1197" s="11">
        <f>Daily_Data!J1197</f>
        <v>15.37</v>
      </c>
      <c r="C1197" s="11">
        <f>Daily_Data!I1197</f>
        <v>3.45</v>
      </c>
      <c r="D1197" s="12">
        <f>if(sum(Daily_Data!K1197:L1197)&gt;0,1,0)</f>
        <v>0</v>
      </c>
    </row>
    <row r="1198">
      <c r="A1198" s="10">
        <f>Daily_Data!A1198</f>
        <v>38202</v>
      </c>
      <c r="B1198" s="11">
        <f>Daily_Data!J1198</f>
        <v>16.03</v>
      </c>
      <c r="C1198" s="11">
        <f>Daily_Data!I1198</f>
        <v>3.46</v>
      </c>
      <c r="D1198" s="12">
        <f>if(sum(Daily_Data!K1198:L1198)&gt;0,1,0)</f>
        <v>0</v>
      </c>
    </row>
    <row r="1199">
      <c r="A1199" s="10">
        <f>Daily_Data!A1199</f>
        <v>38203</v>
      </c>
      <c r="B1199" s="11">
        <f>Daily_Data!J1199</f>
        <v>16.21</v>
      </c>
      <c r="C1199" s="11">
        <f>Daily_Data!I1199</f>
        <v>3.45</v>
      </c>
      <c r="D1199" s="12">
        <f>if(sum(Daily_Data!K1199:L1199)&gt;0,1,0)</f>
        <v>0</v>
      </c>
    </row>
    <row r="1200">
      <c r="A1200" s="10">
        <f>Daily_Data!A1200</f>
        <v>38204</v>
      </c>
      <c r="B1200" s="11">
        <f>Daily_Data!J1200</f>
        <v>18.32</v>
      </c>
      <c r="C1200" s="11">
        <f>Daily_Data!I1200</f>
        <v>3.49</v>
      </c>
      <c r="D1200" s="12">
        <f>if(sum(Daily_Data!K1200:L1200)&gt;0,1,0)</f>
        <v>0</v>
      </c>
    </row>
    <row r="1201">
      <c r="A1201" s="10">
        <f>Daily_Data!A1201</f>
        <v>38205</v>
      </c>
      <c r="B1201" s="11">
        <f>Daily_Data!J1201</f>
        <v>19.34</v>
      </c>
      <c r="C1201" s="11">
        <f>Daily_Data!I1201</f>
        <v>3.71</v>
      </c>
      <c r="D1201" s="12">
        <f>if(sum(Daily_Data!K1201:L1201)&gt;0,1,0)</f>
        <v>1</v>
      </c>
    </row>
    <row r="1202">
      <c r="A1202" s="10">
        <f>Daily_Data!A1202</f>
        <v>38208</v>
      </c>
      <c r="B1202" s="11">
        <f>Daily_Data!J1202</f>
        <v>18.89</v>
      </c>
      <c r="C1202" s="11">
        <f>Daily_Data!I1202</f>
        <v>3.6</v>
      </c>
      <c r="D1202" s="12">
        <f>if(sum(Daily_Data!K1202:L1202)&gt;0,1,0)</f>
        <v>0</v>
      </c>
    </row>
    <row r="1203">
      <c r="A1203" s="10">
        <f>Daily_Data!A1203</f>
        <v>38209</v>
      </c>
      <c r="B1203" s="11">
        <f>Daily_Data!J1203</f>
        <v>17.47</v>
      </c>
      <c r="C1203" s="11">
        <f>Daily_Data!I1203</f>
        <v>3.57</v>
      </c>
      <c r="D1203" s="12">
        <f>if(sum(Daily_Data!K1203:L1203)&gt;0,1,0)</f>
        <v>0</v>
      </c>
    </row>
    <row r="1204">
      <c r="A1204" s="10">
        <f>Daily_Data!A1204</f>
        <v>38210</v>
      </c>
      <c r="B1204" s="11">
        <f>Daily_Data!J1204</f>
        <v>18.04</v>
      </c>
      <c r="C1204" s="11">
        <f>Daily_Data!I1204</f>
        <v>3.6</v>
      </c>
      <c r="D1204" s="12">
        <f>if(sum(Daily_Data!K1204:L1204)&gt;0,1,0)</f>
        <v>0</v>
      </c>
    </row>
    <row r="1205">
      <c r="A1205" s="10">
        <f>Daily_Data!A1205</f>
        <v>38211</v>
      </c>
      <c r="B1205" s="11">
        <f>Daily_Data!J1205</f>
        <v>19.08</v>
      </c>
      <c r="C1205" s="11">
        <f>Daily_Data!I1205</f>
        <v>3.63</v>
      </c>
      <c r="D1205" s="12">
        <f>if(sum(Daily_Data!K1205:L1205)&gt;0,1,0)</f>
        <v>0</v>
      </c>
    </row>
    <row r="1206">
      <c r="A1206" s="10">
        <f>Daily_Data!A1206</f>
        <v>38212</v>
      </c>
      <c r="B1206" s="11">
        <f>Daily_Data!J1206</f>
        <v>17.98</v>
      </c>
      <c r="C1206" s="11">
        <f>Daily_Data!I1206</f>
        <v>3.67</v>
      </c>
      <c r="D1206" s="12">
        <f>if(sum(Daily_Data!K1206:L1206)&gt;0,1,0)</f>
        <v>0</v>
      </c>
    </row>
    <row r="1207">
      <c r="A1207" s="10">
        <f>Daily_Data!A1207</f>
        <v>38215</v>
      </c>
      <c r="B1207" s="11">
        <f>Daily_Data!J1207</f>
        <v>17.57</v>
      </c>
      <c r="C1207" s="11">
        <f>Daily_Data!I1207</f>
        <v>3.6</v>
      </c>
      <c r="D1207" s="12">
        <f>if(sum(Daily_Data!K1207:L1207)&gt;0,1,0)</f>
        <v>0</v>
      </c>
    </row>
    <row r="1208">
      <c r="A1208" s="10">
        <f>Daily_Data!A1208</f>
        <v>38216</v>
      </c>
      <c r="B1208" s="11">
        <f>Daily_Data!J1208</f>
        <v>17.02</v>
      </c>
      <c r="C1208" s="11">
        <f>Daily_Data!I1208</f>
        <v>3.75</v>
      </c>
      <c r="D1208" s="12">
        <f>if(sum(Daily_Data!K1208:L1208)&gt;0,1,0)</f>
        <v>1</v>
      </c>
    </row>
    <row r="1209">
      <c r="A1209" s="10">
        <f>Daily_Data!A1209</f>
        <v>38217</v>
      </c>
      <c r="B1209" s="11">
        <f>Daily_Data!J1209</f>
        <v>16.23</v>
      </c>
      <c r="C1209" s="11">
        <f>Daily_Data!I1209</f>
        <v>3.7</v>
      </c>
      <c r="D1209" s="12">
        <f>if(sum(Daily_Data!K1209:L1209)&gt;0,1,0)</f>
        <v>0</v>
      </c>
    </row>
    <row r="1210">
      <c r="A1210" s="10">
        <f>Daily_Data!A1210</f>
        <v>38218</v>
      </c>
      <c r="B1210" s="11">
        <f>Daily_Data!J1210</f>
        <v>16.96</v>
      </c>
      <c r="C1210" s="11">
        <f>Daily_Data!I1210</f>
        <v>3.74</v>
      </c>
      <c r="D1210" s="12">
        <f>if(sum(Daily_Data!K1210:L1210)&gt;0,1,0)</f>
        <v>0</v>
      </c>
    </row>
    <row r="1211">
      <c r="A1211" s="10">
        <f>Daily_Data!A1211</f>
        <v>38219</v>
      </c>
      <c r="B1211" s="11">
        <f>Daily_Data!J1211</f>
        <v>16</v>
      </c>
      <c r="C1211" s="11">
        <f>Daily_Data!I1211</f>
        <v>3.68</v>
      </c>
      <c r="D1211" s="12">
        <f>if(sum(Daily_Data!K1211:L1211)&gt;0,1,0)</f>
        <v>0</v>
      </c>
    </row>
    <row r="1212">
      <c r="A1212" s="10">
        <f>Daily_Data!A1212</f>
        <v>38222</v>
      </c>
      <c r="B1212" s="11">
        <f>Daily_Data!J1212</f>
        <v>15.88</v>
      </c>
      <c r="C1212" s="11">
        <f>Daily_Data!I1212</f>
        <v>3.64</v>
      </c>
      <c r="D1212" s="12">
        <f>if(sum(Daily_Data!K1212:L1212)&gt;0,1,0)</f>
        <v>0</v>
      </c>
    </row>
    <row r="1213">
      <c r="A1213" s="10">
        <f>Daily_Data!A1213</f>
        <v>38223</v>
      </c>
      <c r="B1213" s="11">
        <f>Daily_Data!J1213</f>
        <v>15.33</v>
      </c>
      <c r="C1213" s="11">
        <f>Daily_Data!I1213</f>
        <v>3.71</v>
      </c>
      <c r="D1213" s="12">
        <f>if(sum(Daily_Data!K1213:L1213)&gt;0,1,0)</f>
        <v>0</v>
      </c>
    </row>
    <row r="1214">
      <c r="A1214" s="10">
        <f>Daily_Data!A1214</f>
        <v>38224</v>
      </c>
      <c r="B1214" s="11">
        <f>Daily_Data!J1214</f>
        <v>14.98</v>
      </c>
      <c r="C1214" s="11">
        <f>Daily_Data!I1214</f>
        <v>3.69</v>
      </c>
      <c r="D1214" s="12">
        <f>if(sum(Daily_Data!K1214:L1214)&gt;0,1,0)</f>
        <v>0</v>
      </c>
    </row>
    <row r="1215">
      <c r="A1215" s="10">
        <f>Daily_Data!A1215</f>
        <v>38225</v>
      </c>
      <c r="B1215" s="11">
        <f>Daily_Data!J1215</f>
        <v>14.91</v>
      </c>
      <c r="C1215" s="11">
        <f>Daily_Data!I1215</f>
        <v>3.71</v>
      </c>
      <c r="D1215" s="12">
        <f>if(sum(Daily_Data!K1215:L1215)&gt;0,1,0)</f>
        <v>0</v>
      </c>
    </row>
    <row r="1216">
      <c r="A1216" s="10">
        <f>Daily_Data!A1216</f>
        <v>38226</v>
      </c>
      <c r="B1216" s="11">
        <f>Daily_Data!J1216</f>
        <v>14.71</v>
      </c>
      <c r="C1216" s="11">
        <f>Daily_Data!I1216</f>
        <v>3.69</v>
      </c>
      <c r="D1216" s="12">
        <f>if(sum(Daily_Data!K1216:L1216)&gt;0,1,0)</f>
        <v>0</v>
      </c>
    </row>
    <row r="1217">
      <c r="A1217" s="10">
        <f>Daily_Data!A1217</f>
        <v>38229</v>
      </c>
      <c r="B1217" s="11">
        <f>Daily_Data!J1217</f>
        <v>15.44</v>
      </c>
      <c r="C1217" s="11">
        <f>Daily_Data!I1217</f>
        <v>3.71</v>
      </c>
      <c r="D1217" s="12">
        <f>if(sum(Daily_Data!K1217:L1217)&gt;0,1,0)</f>
        <v>0</v>
      </c>
    </row>
    <row r="1218">
      <c r="A1218" s="10">
        <f>Daily_Data!A1218</f>
        <v>38230</v>
      </c>
      <c r="B1218" s="11">
        <f>Daily_Data!J1218</f>
        <v>15.29</v>
      </c>
      <c r="C1218" s="11">
        <f>Daily_Data!I1218</f>
        <v>3.76</v>
      </c>
      <c r="D1218" s="12">
        <f>if(sum(Daily_Data!K1218:L1218)&gt;0,1,0)</f>
        <v>0</v>
      </c>
    </row>
    <row r="1219">
      <c r="A1219" s="10">
        <f>Daily_Data!A1219</f>
        <v>38231</v>
      </c>
      <c r="B1219" s="11">
        <f>Daily_Data!J1219</f>
        <v>14.91</v>
      </c>
      <c r="C1219" s="11">
        <f>Daily_Data!I1219</f>
        <v>3.76</v>
      </c>
      <c r="D1219" s="12">
        <f>if(sum(Daily_Data!K1219:L1219)&gt;0,1,0)</f>
        <v>0</v>
      </c>
    </row>
    <row r="1220">
      <c r="A1220" s="10">
        <f>Daily_Data!A1220</f>
        <v>38232</v>
      </c>
      <c r="B1220" s="11">
        <f>Daily_Data!J1220</f>
        <v>14.28</v>
      </c>
      <c r="C1220" s="11">
        <f>Daily_Data!I1220</f>
        <v>3.69</v>
      </c>
      <c r="D1220" s="12">
        <f>if(sum(Daily_Data!K1220:L1220)&gt;0,1,0)</f>
        <v>0</v>
      </c>
    </row>
    <row r="1221">
      <c r="A1221" s="10">
        <f>Daily_Data!A1221</f>
        <v>38233</v>
      </c>
      <c r="B1221" s="11">
        <f>Daily_Data!J1221</f>
        <v>13.91</v>
      </c>
      <c r="C1221" s="11">
        <f>Daily_Data!I1221</f>
        <v>3.55</v>
      </c>
      <c r="D1221" s="12">
        <f>if(sum(Daily_Data!K1221:L1221)&gt;0,1,0)</f>
        <v>1</v>
      </c>
    </row>
    <row r="1222">
      <c r="A1222" s="10">
        <f>Daily_Data!A1222</f>
        <v>38236</v>
      </c>
      <c r="B1222" s="11" t="str">
        <f>Daily_Data!J1222</f>
        <v/>
      </c>
      <c r="C1222" s="11" t="str">
        <f>Daily_Data!I1222</f>
        <v/>
      </c>
      <c r="D1222" s="12">
        <f>if(sum(Daily_Data!K1222:L1222)&gt;0,1,0)</f>
        <v>0</v>
      </c>
    </row>
    <row r="1223">
      <c r="A1223" s="10">
        <f>Daily_Data!A1223</f>
        <v>38237</v>
      </c>
      <c r="B1223" s="11">
        <f>Daily_Data!J1223</f>
        <v>14.07</v>
      </c>
      <c r="C1223" s="11">
        <f>Daily_Data!I1223</f>
        <v>3.65</v>
      </c>
      <c r="D1223" s="12">
        <f>if(sum(Daily_Data!K1223:L1223)&gt;0,1,0)</f>
        <v>0</v>
      </c>
    </row>
    <row r="1224">
      <c r="A1224" s="10">
        <f>Daily_Data!A1224</f>
        <v>38238</v>
      </c>
      <c r="B1224" s="11">
        <f>Daily_Data!J1224</f>
        <v>14.06</v>
      </c>
      <c r="C1224" s="11">
        <f>Daily_Data!I1224</f>
        <v>3.71</v>
      </c>
      <c r="D1224" s="12">
        <f>if(sum(Daily_Data!K1224:L1224)&gt;0,1,0)</f>
        <v>0</v>
      </c>
    </row>
    <row r="1225">
      <c r="A1225" s="10">
        <f>Daily_Data!A1225</f>
        <v>38239</v>
      </c>
      <c r="B1225" s="11">
        <f>Daily_Data!J1225</f>
        <v>14.01</v>
      </c>
      <c r="C1225" s="11">
        <f>Daily_Data!I1225</f>
        <v>3.76</v>
      </c>
      <c r="D1225" s="12">
        <f>if(sum(Daily_Data!K1225:L1225)&gt;0,1,0)</f>
        <v>0</v>
      </c>
    </row>
    <row r="1226">
      <c r="A1226" s="10">
        <f>Daily_Data!A1226</f>
        <v>38240</v>
      </c>
      <c r="B1226" s="11">
        <f>Daily_Data!J1226</f>
        <v>13.76</v>
      </c>
      <c r="C1226" s="11">
        <f>Daily_Data!I1226</f>
        <v>3.77</v>
      </c>
      <c r="D1226" s="12">
        <f>if(sum(Daily_Data!K1226:L1226)&gt;0,1,0)</f>
        <v>0</v>
      </c>
    </row>
    <row r="1227">
      <c r="A1227" s="10">
        <f>Daily_Data!A1227</f>
        <v>38243</v>
      </c>
      <c r="B1227" s="11">
        <f>Daily_Data!J1227</f>
        <v>13.17</v>
      </c>
      <c r="C1227" s="11">
        <f>Daily_Data!I1227</f>
        <v>3.78</v>
      </c>
      <c r="D1227" s="12">
        <f>if(sum(Daily_Data!K1227:L1227)&gt;0,1,0)</f>
        <v>0</v>
      </c>
    </row>
    <row r="1228">
      <c r="A1228" s="10">
        <f>Daily_Data!A1228</f>
        <v>38244</v>
      </c>
      <c r="B1228" s="11">
        <f>Daily_Data!J1228</f>
        <v>13.56</v>
      </c>
      <c r="C1228" s="11">
        <f>Daily_Data!I1228</f>
        <v>3.8</v>
      </c>
      <c r="D1228" s="12">
        <f>if(sum(Daily_Data!K1228:L1228)&gt;0,1,0)</f>
        <v>0</v>
      </c>
    </row>
    <row r="1229">
      <c r="A1229" s="10">
        <f>Daily_Data!A1229</f>
        <v>38245</v>
      </c>
      <c r="B1229" s="11">
        <f>Daily_Data!J1229</f>
        <v>14.64</v>
      </c>
      <c r="C1229" s="11">
        <f>Daily_Data!I1229</f>
        <v>3.73</v>
      </c>
      <c r="D1229" s="12">
        <f>if(sum(Daily_Data!K1229:L1229)&gt;0,1,0)</f>
        <v>0</v>
      </c>
    </row>
    <row r="1230">
      <c r="A1230" s="10">
        <f>Daily_Data!A1230</f>
        <v>38246</v>
      </c>
      <c r="B1230" s="11">
        <f>Daily_Data!J1230</f>
        <v>14.39</v>
      </c>
      <c r="C1230" s="11">
        <f>Daily_Data!I1230</f>
        <v>3.86</v>
      </c>
      <c r="D1230" s="12">
        <f>if(sum(Daily_Data!K1230:L1230)&gt;0,1,0)</f>
        <v>1</v>
      </c>
    </row>
    <row r="1231">
      <c r="A1231" s="10">
        <f>Daily_Data!A1231</f>
        <v>38247</v>
      </c>
      <c r="B1231" s="11">
        <f>Daily_Data!J1231</f>
        <v>14.03</v>
      </c>
      <c r="C1231" s="11">
        <f>Daily_Data!I1231</f>
        <v>3.74</v>
      </c>
      <c r="D1231" s="12">
        <f>if(sum(Daily_Data!K1231:L1231)&gt;0,1,0)</f>
        <v>0</v>
      </c>
    </row>
    <row r="1232">
      <c r="A1232" s="10">
        <f>Daily_Data!A1232</f>
        <v>38250</v>
      </c>
      <c r="B1232" s="11">
        <f>Daily_Data!J1232</f>
        <v>14.43</v>
      </c>
      <c r="C1232" s="11">
        <f>Daily_Data!I1232</f>
        <v>3.87</v>
      </c>
      <c r="D1232" s="12">
        <f>if(sum(Daily_Data!K1232:L1232)&gt;0,1,0)</f>
        <v>0</v>
      </c>
    </row>
    <row r="1233">
      <c r="A1233" s="10">
        <f>Daily_Data!A1233</f>
        <v>38251</v>
      </c>
      <c r="B1233" s="11">
        <f>Daily_Data!J1233</f>
        <v>13.66</v>
      </c>
      <c r="C1233" s="11">
        <f>Daily_Data!I1233</f>
        <v>3.82</v>
      </c>
      <c r="D1233" s="12">
        <f>if(sum(Daily_Data!K1233:L1233)&gt;0,1,0)</f>
        <v>0</v>
      </c>
    </row>
    <row r="1234">
      <c r="A1234" s="10">
        <f>Daily_Data!A1234</f>
        <v>38252</v>
      </c>
      <c r="B1234" s="11">
        <f>Daily_Data!J1234</f>
        <v>14.74</v>
      </c>
      <c r="C1234" s="11">
        <f>Daily_Data!I1234</f>
        <v>3.82</v>
      </c>
      <c r="D1234" s="12">
        <f>if(sum(Daily_Data!K1234:L1234)&gt;0,1,0)</f>
        <v>0</v>
      </c>
    </row>
    <row r="1235">
      <c r="A1235" s="10">
        <f>Daily_Data!A1235</f>
        <v>38253</v>
      </c>
      <c r="B1235" s="11">
        <f>Daily_Data!J1235</f>
        <v>14.8</v>
      </c>
      <c r="C1235" s="11">
        <f>Daily_Data!I1235</f>
        <v>3.75</v>
      </c>
      <c r="D1235" s="12">
        <f>if(sum(Daily_Data!K1235:L1235)&gt;0,1,0)</f>
        <v>0</v>
      </c>
    </row>
    <row r="1236">
      <c r="A1236" s="10">
        <f>Daily_Data!A1236</f>
        <v>38254</v>
      </c>
      <c r="B1236" s="11">
        <f>Daily_Data!J1236</f>
        <v>14.28</v>
      </c>
      <c r="C1236" s="11">
        <f>Daily_Data!I1236</f>
        <v>3.73</v>
      </c>
      <c r="D1236" s="12">
        <f>if(sum(Daily_Data!K1236:L1236)&gt;0,1,0)</f>
        <v>0</v>
      </c>
    </row>
    <row r="1237">
      <c r="A1237" s="10">
        <f>Daily_Data!A1237</f>
        <v>38257</v>
      </c>
      <c r="B1237" s="11">
        <f>Daily_Data!J1237</f>
        <v>14.62</v>
      </c>
      <c r="C1237" s="11">
        <f>Daily_Data!I1237</f>
        <v>3.75</v>
      </c>
      <c r="D1237" s="12">
        <f>if(sum(Daily_Data!K1237:L1237)&gt;0,1,0)</f>
        <v>0</v>
      </c>
    </row>
    <row r="1238">
      <c r="A1238" s="10">
        <f>Daily_Data!A1238</f>
        <v>38258</v>
      </c>
      <c r="B1238" s="11">
        <f>Daily_Data!J1238</f>
        <v>13.83</v>
      </c>
      <c r="C1238" s="11">
        <f>Daily_Data!I1238</f>
        <v>3.76</v>
      </c>
      <c r="D1238" s="12">
        <f>if(sum(Daily_Data!K1238:L1238)&gt;0,1,0)</f>
        <v>0</v>
      </c>
    </row>
    <row r="1239">
      <c r="A1239" s="10">
        <f>Daily_Data!A1239</f>
        <v>38259</v>
      </c>
      <c r="B1239" s="11">
        <f>Daily_Data!J1239</f>
        <v>13.21</v>
      </c>
      <c r="C1239" s="11">
        <f>Daily_Data!I1239</f>
        <v>3.65</v>
      </c>
      <c r="D1239" s="12">
        <f>if(sum(Daily_Data!K1239:L1239)&gt;0,1,0)</f>
        <v>0</v>
      </c>
    </row>
    <row r="1240">
      <c r="A1240" s="10">
        <f>Daily_Data!A1240</f>
        <v>38260</v>
      </c>
      <c r="B1240" s="11">
        <f>Daily_Data!J1240</f>
        <v>13.34</v>
      </c>
      <c r="C1240" s="11">
        <f>Daily_Data!I1240</f>
        <v>3.63</v>
      </c>
      <c r="D1240" s="12">
        <f>if(sum(Daily_Data!K1240:L1240)&gt;0,1,0)</f>
        <v>0</v>
      </c>
    </row>
    <row r="1241">
      <c r="A1241" s="10">
        <f>Daily_Data!A1241</f>
        <v>38261</v>
      </c>
      <c r="B1241" s="11">
        <f>Daily_Data!J1241</f>
        <v>12.75</v>
      </c>
      <c r="C1241" s="11">
        <f>Daily_Data!I1241</f>
        <v>3.64</v>
      </c>
      <c r="D1241" s="12">
        <f>if(sum(Daily_Data!K1241:L1241)&gt;0,1,0)</f>
        <v>0</v>
      </c>
    </row>
    <row r="1242">
      <c r="A1242" s="10">
        <f>Daily_Data!A1242</f>
        <v>38264</v>
      </c>
      <c r="B1242" s="11">
        <f>Daily_Data!J1242</f>
        <v>13.41</v>
      </c>
      <c r="C1242" s="11">
        <f>Daily_Data!I1242</f>
        <v>3.64</v>
      </c>
      <c r="D1242" s="12">
        <f>if(sum(Daily_Data!K1242:L1242)&gt;0,1,0)</f>
        <v>0</v>
      </c>
    </row>
    <row r="1243">
      <c r="A1243" s="10">
        <f>Daily_Data!A1243</f>
        <v>38265</v>
      </c>
      <c r="B1243" s="11">
        <f>Daily_Data!J1243</f>
        <v>13.95</v>
      </c>
      <c r="C1243" s="11">
        <f>Daily_Data!I1243</f>
        <v>3.61</v>
      </c>
      <c r="D1243" s="12">
        <f>if(sum(Daily_Data!K1243:L1243)&gt;0,1,0)</f>
        <v>0</v>
      </c>
    </row>
    <row r="1244">
      <c r="A1244" s="10">
        <f>Daily_Data!A1244</f>
        <v>38266</v>
      </c>
      <c r="B1244" s="11">
        <f>Daily_Data!J1244</f>
        <v>13.28</v>
      </c>
      <c r="C1244" s="11">
        <f>Daily_Data!I1244</f>
        <v>3.58</v>
      </c>
      <c r="D1244" s="12">
        <f>if(sum(Daily_Data!K1244:L1244)&gt;0,1,0)</f>
        <v>0</v>
      </c>
    </row>
    <row r="1245">
      <c r="A1245" s="10">
        <f>Daily_Data!A1245</f>
        <v>38267</v>
      </c>
      <c r="B1245" s="11">
        <f>Daily_Data!J1245</f>
        <v>14.5</v>
      </c>
      <c r="C1245" s="11">
        <f>Daily_Data!I1245</f>
        <v>3.56</v>
      </c>
      <c r="D1245" s="12">
        <f>if(sum(Daily_Data!K1245:L1245)&gt;0,1,0)</f>
        <v>0</v>
      </c>
    </row>
    <row r="1246">
      <c r="A1246" s="10">
        <f>Daily_Data!A1246</f>
        <v>38268</v>
      </c>
      <c r="B1246" s="11">
        <f>Daily_Data!J1246</f>
        <v>15.05</v>
      </c>
      <c r="C1246" s="11">
        <f>Daily_Data!I1246</f>
        <v>3.64</v>
      </c>
      <c r="D1246" s="12">
        <f>if(sum(Daily_Data!K1246:L1246)&gt;0,1,0)</f>
        <v>1</v>
      </c>
    </row>
    <row r="1247">
      <c r="A1247" s="10">
        <f>Daily_Data!A1247</f>
        <v>38271</v>
      </c>
      <c r="B1247" s="11">
        <f>Daily_Data!J1247</f>
        <v>14.71</v>
      </c>
      <c r="C1247" s="11" t="str">
        <f>Daily_Data!I1247</f>
        <v/>
      </c>
      <c r="D1247" s="12">
        <f>if(sum(Daily_Data!K1247:L1247)&gt;0,1,0)</f>
        <v>0</v>
      </c>
    </row>
    <row r="1248">
      <c r="A1248" s="10">
        <f>Daily_Data!A1248</f>
        <v>38272</v>
      </c>
      <c r="B1248" s="11">
        <f>Daily_Data!J1248</f>
        <v>15.05</v>
      </c>
      <c r="C1248" s="11">
        <f>Daily_Data!I1248</f>
        <v>3.59</v>
      </c>
      <c r="D1248" s="12">
        <f>if(sum(Daily_Data!K1248:L1248)&gt;0,1,0)</f>
        <v>0</v>
      </c>
    </row>
    <row r="1249">
      <c r="A1249" s="10">
        <f>Daily_Data!A1249</f>
        <v>38273</v>
      </c>
      <c r="B1249" s="11">
        <f>Daily_Data!J1249</f>
        <v>15.42</v>
      </c>
      <c r="C1249" s="11">
        <f>Daily_Data!I1249</f>
        <v>3.62</v>
      </c>
      <c r="D1249" s="12">
        <f>if(sum(Daily_Data!K1249:L1249)&gt;0,1,0)</f>
        <v>0</v>
      </c>
    </row>
    <row r="1250">
      <c r="A1250" s="10">
        <f>Daily_Data!A1250</f>
        <v>38274</v>
      </c>
      <c r="B1250" s="11">
        <f>Daily_Data!J1250</f>
        <v>16.43</v>
      </c>
      <c r="C1250" s="11">
        <f>Daily_Data!I1250</f>
        <v>3.64</v>
      </c>
      <c r="D1250" s="12">
        <f>if(sum(Daily_Data!K1250:L1250)&gt;0,1,0)</f>
        <v>0</v>
      </c>
    </row>
    <row r="1251">
      <c r="A1251" s="10">
        <f>Daily_Data!A1251</f>
        <v>38275</v>
      </c>
      <c r="B1251" s="11">
        <f>Daily_Data!J1251</f>
        <v>15.04</v>
      </c>
      <c r="C1251" s="11">
        <f>Daily_Data!I1251</f>
        <v>3.57</v>
      </c>
      <c r="D1251" s="12">
        <f>if(sum(Daily_Data!K1251:L1251)&gt;0,1,0)</f>
        <v>0</v>
      </c>
    </row>
    <row r="1252">
      <c r="A1252" s="10">
        <f>Daily_Data!A1252</f>
        <v>38278</v>
      </c>
      <c r="B1252" s="11">
        <f>Daily_Data!J1252</f>
        <v>14.71</v>
      </c>
      <c r="C1252" s="11">
        <f>Daily_Data!I1252</f>
        <v>3.55</v>
      </c>
      <c r="D1252" s="12">
        <f>if(sum(Daily_Data!K1252:L1252)&gt;0,1,0)</f>
        <v>0</v>
      </c>
    </row>
    <row r="1253">
      <c r="A1253" s="10">
        <f>Daily_Data!A1253</f>
        <v>38279</v>
      </c>
      <c r="B1253" s="11">
        <f>Daily_Data!J1253</f>
        <v>15.13</v>
      </c>
      <c r="C1253" s="11">
        <f>Daily_Data!I1253</f>
        <v>3.51</v>
      </c>
      <c r="D1253" s="12">
        <f>if(sum(Daily_Data!K1253:L1253)&gt;0,1,0)</f>
        <v>1</v>
      </c>
    </row>
    <row r="1254">
      <c r="A1254" s="10">
        <f>Daily_Data!A1254</f>
        <v>38280</v>
      </c>
      <c r="B1254" s="11">
        <f>Daily_Data!J1254</f>
        <v>14.85</v>
      </c>
      <c r="C1254" s="11">
        <f>Daily_Data!I1254</f>
        <v>3.55</v>
      </c>
      <c r="D1254" s="12">
        <f>if(sum(Daily_Data!K1254:L1254)&gt;0,1,0)</f>
        <v>0</v>
      </c>
    </row>
    <row r="1255">
      <c r="A1255" s="10">
        <f>Daily_Data!A1255</f>
        <v>38281</v>
      </c>
      <c r="B1255" s="11">
        <f>Daily_Data!J1255</f>
        <v>14.54</v>
      </c>
      <c r="C1255" s="11">
        <f>Daily_Data!I1255</f>
        <v>3.51</v>
      </c>
      <c r="D1255" s="12">
        <f>if(sum(Daily_Data!K1255:L1255)&gt;0,1,0)</f>
        <v>0</v>
      </c>
    </row>
    <row r="1256">
      <c r="A1256" s="10">
        <f>Daily_Data!A1256</f>
        <v>38282</v>
      </c>
      <c r="B1256" s="11">
        <f>Daily_Data!J1256</f>
        <v>15.28</v>
      </c>
      <c r="C1256" s="11">
        <f>Daily_Data!I1256</f>
        <v>3.55</v>
      </c>
      <c r="D1256" s="12">
        <f>if(sum(Daily_Data!K1256:L1256)&gt;0,1,0)</f>
        <v>0</v>
      </c>
    </row>
    <row r="1257">
      <c r="A1257" s="10">
        <f>Daily_Data!A1257</f>
        <v>38285</v>
      </c>
      <c r="B1257" s="11">
        <f>Daily_Data!J1257</f>
        <v>16.58</v>
      </c>
      <c r="C1257" s="11" t="str">
        <f>Daily_Data!I1257</f>
        <v/>
      </c>
      <c r="D1257" s="12">
        <f>if(sum(Daily_Data!K1257:L1257)&gt;0,1,0)</f>
        <v>0</v>
      </c>
    </row>
    <row r="1258">
      <c r="A1258" s="10">
        <f>Daily_Data!A1258</f>
        <v>38286</v>
      </c>
      <c r="B1258" s="11">
        <f>Daily_Data!J1258</f>
        <v>16.39</v>
      </c>
      <c r="C1258" s="11">
        <f>Daily_Data!I1258</f>
        <v>3.53</v>
      </c>
      <c r="D1258" s="12">
        <f>if(sum(Daily_Data!K1258:L1258)&gt;0,1,0)</f>
        <v>0</v>
      </c>
    </row>
    <row r="1259">
      <c r="A1259" s="10">
        <f>Daily_Data!A1259</f>
        <v>38287</v>
      </c>
      <c r="B1259" s="11">
        <f>Daily_Data!J1259</f>
        <v>15.72</v>
      </c>
      <c r="C1259" s="11">
        <f>Daily_Data!I1259</f>
        <v>3.46</v>
      </c>
      <c r="D1259" s="12">
        <f>if(sum(Daily_Data!K1259:L1259)&gt;0,1,0)</f>
        <v>0</v>
      </c>
    </row>
    <row r="1260">
      <c r="A1260" s="10">
        <f>Daily_Data!A1260</f>
        <v>38288</v>
      </c>
      <c r="B1260" s="11">
        <f>Daily_Data!J1260</f>
        <v>15.39</v>
      </c>
      <c r="C1260" s="11">
        <f>Daily_Data!I1260</f>
        <v>3.46</v>
      </c>
      <c r="D1260" s="12">
        <f>if(sum(Daily_Data!K1260:L1260)&gt;0,1,0)</f>
        <v>0</v>
      </c>
    </row>
    <row r="1261">
      <c r="A1261" s="10">
        <f>Daily_Data!A1261</f>
        <v>38289</v>
      </c>
      <c r="B1261" s="11">
        <f>Daily_Data!J1261</f>
        <v>16.27</v>
      </c>
      <c r="C1261" s="11">
        <f>Daily_Data!I1261</f>
        <v>3.49</v>
      </c>
      <c r="D1261" s="12">
        <f>if(sum(Daily_Data!K1261:L1261)&gt;0,1,0)</f>
        <v>0</v>
      </c>
    </row>
    <row r="1262">
      <c r="A1262" s="10">
        <f>Daily_Data!A1262</f>
        <v>38292</v>
      </c>
      <c r="B1262" s="11">
        <f>Daily_Data!J1262</f>
        <v>16.27</v>
      </c>
      <c r="C1262" s="11">
        <f>Daily_Data!I1262</f>
        <v>3.41</v>
      </c>
      <c r="D1262" s="12">
        <f>if(sum(Daily_Data!K1262:L1262)&gt;0,1,0)</f>
        <v>0</v>
      </c>
    </row>
    <row r="1263">
      <c r="A1263" s="10">
        <f>Daily_Data!A1263</f>
        <v>38293</v>
      </c>
      <c r="B1263" s="11">
        <f>Daily_Data!J1263</f>
        <v>16.18</v>
      </c>
      <c r="C1263" s="11">
        <f>Daily_Data!I1263</f>
        <v>3.46</v>
      </c>
      <c r="D1263" s="12">
        <f>if(sum(Daily_Data!K1263:L1263)&gt;0,1,0)</f>
        <v>0</v>
      </c>
    </row>
    <row r="1264">
      <c r="A1264" s="10">
        <f>Daily_Data!A1264</f>
        <v>38294</v>
      </c>
      <c r="B1264" s="11">
        <f>Daily_Data!J1264</f>
        <v>14.04</v>
      </c>
      <c r="C1264" s="11">
        <f>Daily_Data!I1264</f>
        <v>3.46</v>
      </c>
      <c r="D1264" s="12">
        <f>if(sum(Daily_Data!K1264:L1264)&gt;0,1,0)</f>
        <v>0</v>
      </c>
    </row>
    <row r="1265">
      <c r="A1265" s="10">
        <f>Daily_Data!A1265</f>
        <v>38295</v>
      </c>
      <c r="B1265" s="11">
        <f>Daily_Data!J1265</f>
        <v>13.97</v>
      </c>
      <c r="C1265" s="11">
        <f>Daily_Data!I1265</f>
        <v>3.44</v>
      </c>
      <c r="D1265" s="12">
        <f>if(sum(Daily_Data!K1265:L1265)&gt;0,1,0)</f>
        <v>0</v>
      </c>
    </row>
    <row r="1266">
      <c r="A1266" s="10">
        <f>Daily_Data!A1266</f>
        <v>38296</v>
      </c>
      <c r="B1266" s="11">
        <f>Daily_Data!J1266</f>
        <v>13.84</v>
      </c>
      <c r="C1266" s="11">
        <f>Daily_Data!I1266</f>
        <v>3.28</v>
      </c>
      <c r="D1266" s="12">
        <f>if(sum(Daily_Data!K1266:L1266)&gt;0,1,0)</f>
        <v>1</v>
      </c>
    </row>
    <row r="1267">
      <c r="A1267" s="10">
        <f>Daily_Data!A1267</f>
        <v>38299</v>
      </c>
      <c r="B1267" s="11">
        <f>Daily_Data!J1267</f>
        <v>13.8</v>
      </c>
      <c r="C1267" s="11">
        <f>Daily_Data!I1267</f>
        <v>3.34</v>
      </c>
      <c r="D1267" s="12">
        <f>if(sum(Daily_Data!K1267:L1267)&gt;0,1,0)</f>
        <v>0</v>
      </c>
    </row>
    <row r="1268">
      <c r="A1268" s="10">
        <f>Daily_Data!A1268</f>
        <v>38300</v>
      </c>
      <c r="B1268" s="11">
        <f>Daily_Data!J1268</f>
        <v>13.61</v>
      </c>
      <c r="C1268" s="11">
        <f>Daily_Data!I1268</f>
        <v>3.33</v>
      </c>
      <c r="D1268" s="12">
        <f>if(sum(Daily_Data!K1268:L1268)&gt;0,1,0)</f>
        <v>0</v>
      </c>
    </row>
    <row r="1269">
      <c r="A1269" s="10">
        <f>Daily_Data!A1269</f>
        <v>38301</v>
      </c>
      <c r="B1269" s="11">
        <f>Daily_Data!J1269</f>
        <v>13.08</v>
      </c>
      <c r="C1269" s="11">
        <f>Daily_Data!I1269</f>
        <v>3.31</v>
      </c>
      <c r="D1269" s="12">
        <f>if(sum(Daily_Data!K1269:L1269)&gt;0,1,0)</f>
        <v>0</v>
      </c>
    </row>
    <row r="1270">
      <c r="A1270" s="10">
        <f>Daily_Data!A1270</f>
        <v>38302</v>
      </c>
      <c r="B1270" s="11">
        <f>Daily_Data!J1270</f>
        <v>13.04</v>
      </c>
      <c r="C1270" s="11" t="str">
        <f>Daily_Data!I1270</f>
        <v/>
      </c>
      <c r="D1270" s="12">
        <f>if(sum(Daily_Data!K1270:L1270)&gt;0,1,0)</f>
        <v>0</v>
      </c>
    </row>
    <row r="1271">
      <c r="A1271" s="10">
        <f>Daily_Data!A1271</f>
        <v>38303</v>
      </c>
      <c r="B1271" s="11">
        <f>Daily_Data!J1271</f>
        <v>13.33</v>
      </c>
      <c r="C1271" s="11">
        <f>Daily_Data!I1271</f>
        <v>3.28</v>
      </c>
      <c r="D1271" s="12">
        <f>if(sum(Daily_Data!K1271:L1271)&gt;0,1,0)</f>
        <v>0</v>
      </c>
    </row>
    <row r="1272">
      <c r="A1272" s="10">
        <f>Daily_Data!A1272</f>
        <v>38306</v>
      </c>
      <c r="B1272" s="11">
        <f>Daily_Data!J1272</f>
        <v>13.38</v>
      </c>
      <c r="C1272" s="11">
        <f>Daily_Data!I1272</f>
        <v>3.21</v>
      </c>
      <c r="D1272" s="12">
        <f>if(sum(Daily_Data!K1272:L1272)&gt;0,1,0)</f>
        <v>0</v>
      </c>
    </row>
    <row r="1273">
      <c r="A1273" s="10">
        <f>Daily_Data!A1273</f>
        <v>38307</v>
      </c>
      <c r="B1273" s="11">
        <f>Daily_Data!J1273</f>
        <v>13.21</v>
      </c>
      <c r="C1273" s="11">
        <f>Daily_Data!I1273</f>
        <v>3.2</v>
      </c>
      <c r="D1273" s="12">
        <f>if(sum(Daily_Data!K1273:L1273)&gt;0,1,0)</f>
        <v>0</v>
      </c>
    </row>
    <row r="1274">
      <c r="A1274" s="10">
        <f>Daily_Data!A1274</f>
        <v>38308</v>
      </c>
      <c r="B1274" s="11">
        <f>Daily_Data!J1274</f>
        <v>13.21</v>
      </c>
      <c r="C1274" s="11">
        <f>Daily_Data!I1274</f>
        <v>3.26</v>
      </c>
      <c r="D1274" s="12">
        <f>if(sum(Daily_Data!K1274:L1274)&gt;0,1,0)</f>
        <v>1</v>
      </c>
    </row>
    <row r="1275">
      <c r="A1275" s="10">
        <f>Daily_Data!A1275</f>
        <v>38309</v>
      </c>
      <c r="B1275" s="11">
        <f>Daily_Data!J1275</f>
        <v>12.98</v>
      </c>
      <c r="C1275" s="11">
        <f>Daily_Data!I1275</f>
        <v>3.22</v>
      </c>
      <c r="D1275" s="12">
        <f>if(sum(Daily_Data!K1275:L1275)&gt;0,1,0)</f>
        <v>0</v>
      </c>
    </row>
    <row r="1276">
      <c r="A1276" s="10">
        <f>Daily_Data!A1276</f>
        <v>38310</v>
      </c>
      <c r="B1276" s="11">
        <f>Daily_Data!J1276</f>
        <v>13.5</v>
      </c>
      <c r="C1276" s="11">
        <f>Daily_Data!I1276</f>
        <v>3.14</v>
      </c>
      <c r="D1276" s="12">
        <f>if(sum(Daily_Data!K1276:L1276)&gt;0,1,0)</f>
        <v>0</v>
      </c>
    </row>
    <row r="1277">
      <c r="A1277" s="10">
        <f>Daily_Data!A1277</f>
        <v>38313</v>
      </c>
      <c r="B1277" s="11">
        <f>Daily_Data!J1277</f>
        <v>12.97</v>
      </c>
      <c r="C1277" s="11">
        <f>Daily_Data!I1277</f>
        <v>3.16</v>
      </c>
      <c r="D1277" s="12">
        <f>if(sum(Daily_Data!K1277:L1277)&gt;0,1,0)</f>
        <v>0</v>
      </c>
    </row>
    <row r="1278">
      <c r="A1278" s="10">
        <f>Daily_Data!A1278</f>
        <v>38314</v>
      </c>
      <c r="B1278" s="11">
        <f>Daily_Data!J1278</f>
        <v>12.67</v>
      </c>
      <c r="C1278" s="11">
        <f>Daily_Data!I1278</f>
        <v>3.14</v>
      </c>
      <c r="D1278" s="12">
        <f>if(sum(Daily_Data!K1278:L1278)&gt;0,1,0)</f>
        <v>0</v>
      </c>
    </row>
    <row r="1279">
      <c r="A1279" s="10">
        <f>Daily_Data!A1279</f>
        <v>38315</v>
      </c>
      <c r="B1279" s="11">
        <f>Daily_Data!J1279</f>
        <v>12.72</v>
      </c>
      <c r="C1279" s="11">
        <f>Daily_Data!I1279</f>
        <v>3.11</v>
      </c>
      <c r="D1279" s="12">
        <f>if(sum(Daily_Data!K1279:L1279)&gt;0,1,0)</f>
        <v>0</v>
      </c>
    </row>
    <row r="1280">
      <c r="A1280" s="10">
        <f>Daily_Data!A1280</f>
        <v>38316</v>
      </c>
      <c r="B1280" s="11" t="str">
        <f>Daily_Data!J1280</f>
        <v/>
      </c>
      <c r="C1280" s="11" t="str">
        <f>Daily_Data!I1280</f>
        <v/>
      </c>
      <c r="D1280" s="12">
        <f>if(sum(Daily_Data!K1280:L1280)&gt;0,1,0)</f>
        <v>0</v>
      </c>
    </row>
    <row r="1281">
      <c r="A1281" s="10">
        <f>Daily_Data!A1281</f>
        <v>38317</v>
      </c>
      <c r="B1281" s="11">
        <f>Daily_Data!J1281</f>
        <v>12.79</v>
      </c>
      <c r="C1281" s="11">
        <f>Daily_Data!I1281</f>
        <v>3.03</v>
      </c>
      <c r="D1281" s="12">
        <f>if(sum(Daily_Data!K1281:L1281)&gt;0,1,0)</f>
        <v>0</v>
      </c>
    </row>
    <row r="1282">
      <c r="A1282" s="10">
        <f>Daily_Data!A1282</f>
        <v>38320</v>
      </c>
      <c r="B1282" s="11">
        <f>Daily_Data!J1282</f>
        <v>13.3</v>
      </c>
      <c r="C1282" s="11">
        <f>Daily_Data!I1282</f>
        <v>2.99</v>
      </c>
      <c r="D1282" s="12">
        <f>if(sum(Daily_Data!K1282:L1282)&gt;0,1,0)</f>
        <v>0</v>
      </c>
    </row>
    <row r="1283">
      <c r="A1283" s="10">
        <f>Daily_Data!A1283</f>
        <v>38321</v>
      </c>
      <c r="B1283" s="11">
        <f>Daily_Data!J1283</f>
        <v>13.24</v>
      </c>
      <c r="C1283" s="11">
        <f>Daily_Data!I1283</f>
        <v>3.04</v>
      </c>
      <c r="D1283" s="12">
        <f>if(sum(Daily_Data!K1283:L1283)&gt;0,1,0)</f>
        <v>0</v>
      </c>
    </row>
    <row r="1284">
      <c r="A1284" s="10">
        <f>Daily_Data!A1284</f>
        <v>38322</v>
      </c>
      <c r="B1284" s="11">
        <f>Daily_Data!J1284</f>
        <v>12.97</v>
      </c>
      <c r="C1284" s="11">
        <f>Daily_Data!I1284</f>
        <v>3.02</v>
      </c>
      <c r="D1284" s="12">
        <f>if(sum(Daily_Data!K1284:L1284)&gt;0,1,0)</f>
        <v>0</v>
      </c>
    </row>
    <row r="1285">
      <c r="A1285" s="10">
        <f>Daily_Data!A1285</f>
        <v>38323</v>
      </c>
      <c r="B1285" s="11">
        <f>Daily_Data!J1285</f>
        <v>12.98</v>
      </c>
      <c r="C1285" s="11">
        <f>Daily_Data!I1285</f>
        <v>3</v>
      </c>
      <c r="D1285" s="12">
        <f>if(sum(Daily_Data!K1285:L1285)&gt;0,1,0)</f>
        <v>0</v>
      </c>
    </row>
    <row r="1286">
      <c r="A1286" s="10">
        <f>Daily_Data!A1286</f>
        <v>38324</v>
      </c>
      <c r="B1286" s="11">
        <f>Daily_Data!J1286</f>
        <v>12.96</v>
      </c>
      <c r="C1286" s="11">
        <f>Daily_Data!I1286</f>
        <v>3.11</v>
      </c>
      <c r="D1286" s="12">
        <f>if(sum(Daily_Data!K1286:L1286)&gt;0,1,0)</f>
        <v>1</v>
      </c>
    </row>
    <row r="1287">
      <c r="A1287" s="10">
        <f>Daily_Data!A1287</f>
        <v>38327</v>
      </c>
      <c r="B1287" s="11">
        <f>Daily_Data!J1287</f>
        <v>13.19</v>
      </c>
      <c r="C1287" s="11">
        <f>Daily_Data!I1287</f>
        <v>3.1</v>
      </c>
      <c r="D1287" s="12">
        <f>if(sum(Daily_Data!K1287:L1287)&gt;0,1,0)</f>
        <v>0</v>
      </c>
    </row>
    <row r="1288">
      <c r="A1288" s="10">
        <f>Daily_Data!A1288</f>
        <v>38328</v>
      </c>
      <c r="B1288" s="11">
        <f>Daily_Data!J1288</f>
        <v>13.67</v>
      </c>
      <c r="C1288" s="11">
        <f>Daily_Data!I1288</f>
        <v>3.09</v>
      </c>
      <c r="D1288" s="12">
        <f>if(sum(Daily_Data!K1288:L1288)&gt;0,1,0)</f>
        <v>0</v>
      </c>
    </row>
    <row r="1289">
      <c r="A1289" s="10">
        <f>Daily_Data!A1289</f>
        <v>38329</v>
      </c>
      <c r="B1289" s="11">
        <f>Daily_Data!J1289</f>
        <v>13.19</v>
      </c>
      <c r="C1289" s="11">
        <f>Daily_Data!I1289</f>
        <v>3.14</v>
      </c>
      <c r="D1289" s="12">
        <f>if(sum(Daily_Data!K1289:L1289)&gt;0,1,0)</f>
        <v>0</v>
      </c>
    </row>
    <row r="1290">
      <c r="A1290" s="10">
        <f>Daily_Data!A1290</f>
        <v>38330</v>
      </c>
      <c r="B1290" s="11">
        <f>Daily_Data!J1290</f>
        <v>12.88</v>
      </c>
      <c r="C1290" s="11">
        <f>Daily_Data!I1290</f>
        <v>3.16</v>
      </c>
      <c r="D1290" s="12">
        <f>if(sum(Daily_Data!K1290:L1290)&gt;0,1,0)</f>
        <v>0</v>
      </c>
    </row>
    <row r="1291">
      <c r="A1291" s="10">
        <f>Daily_Data!A1291</f>
        <v>38331</v>
      </c>
      <c r="B1291" s="11">
        <f>Daily_Data!J1291</f>
        <v>12.76</v>
      </c>
      <c r="C1291" s="11">
        <f>Daily_Data!I1291</f>
        <v>3.16</v>
      </c>
      <c r="D1291" s="12">
        <f>if(sum(Daily_Data!K1291:L1291)&gt;0,1,0)</f>
        <v>0</v>
      </c>
    </row>
    <row r="1292">
      <c r="A1292" s="10">
        <f>Daily_Data!A1292</f>
        <v>38334</v>
      </c>
      <c r="B1292" s="11">
        <f>Daily_Data!J1292</f>
        <v>12.54</v>
      </c>
      <c r="C1292" s="11">
        <f>Daily_Data!I1292</f>
        <v>3.13</v>
      </c>
      <c r="D1292" s="12">
        <f>if(sum(Daily_Data!K1292:L1292)&gt;0,1,0)</f>
        <v>0</v>
      </c>
    </row>
    <row r="1293">
      <c r="A1293" s="10">
        <f>Daily_Data!A1293</f>
        <v>38335</v>
      </c>
      <c r="B1293" s="11">
        <f>Daily_Data!J1293</f>
        <v>12.73</v>
      </c>
      <c r="C1293" s="11">
        <f>Daily_Data!I1293</f>
        <v>3.13</v>
      </c>
      <c r="D1293" s="12">
        <f>if(sum(Daily_Data!K1293:L1293)&gt;0,1,0)</f>
        <v>0</v>
      </c>
    </row>
    <row r="1294">
      <c r="A1294" s="10">
        <f>Daily_Data!A1294</f>
        <v>38336</v>
      </c>
      <c r="B1294" s="11">
        <f>Daily_Data!J1294</f>
        <v>12.35</v>
      </c>
      <c r="C1294" s="11">
        <f>Daily_Data!I1294</f>
        <v>3.14</v>
      </c>
      <c r="D1294" s="12">
        <f>if(sum(Daily_Data!K1294:L1294)&gt;0,1,0)</f>
        <v>0</v>
      </c>
    </row>
    <row r="1295">
      <c r="A1295" s="10">
        <f>Daily_Data!A1295</f>
        <v>38337</v>
      </c>
      <c r="B1295" s="11">
        <f>Daily_Data!J1295</f>
        <v>12.27</v>
      </c>
      <c r="C1295" s="11">
        <f>Daily_Data!I1295</f>
        <v>3.1</v>
      </c>
      <c r="D1295" s="12">
        <f>if(sum(Daily_Data!K1295:L1295)&gt;0,1,0)</f>
        <v>0</v>
      </c>
    </row>
    <row r="1296">
      <c r="A1296" s="10">
        <f>Daily_Data!A1296</f>
        <v>38338</v>
      </c>
      <c r="B1296" s="11">
        <f>Daily_Data!J1296</f>
        <v>11.95</v>
      </c>
      <c r="C1296" s="11">
        <f>Daily_Data!I1296</f>
        <v>3.1</v>
      </c>
      <c r="D1296" s="12">
        <f>if(sum(Daily_Data!K1296:L1296)&gt;0,1,0)</f>
        <v>1</v>
      </c>
    </row>
    <row r="1297">
      <c r="A1297" s="10">
        <f>Daily_Data!A1297</f>
        <v>38341</v>
      </c>
      <c r="B1297" s="11">
        <f>Daily_Data!J1297</f>
        <v>11.83</v>
      </c>
      <c r="C1297" s="11">
        <f>Daily_Data!I1297</f>
        <v>3.06</v>
      </c>
      <c r="D1297" s="12">
        <f>if(sum(Daily_Data!K1297:L1297)&gt;0,1,0)</f>
        <v>0</v>
      </c>
    </row>
    <row r="1298">
      <c r="A1298" s="10">
        <f>Daily_Data!A1298</f>
        <v>38342</v>
      </c>
      <c r="B1298" s="11">
        <f>Daily_Data!J1298</f>
        <v>11.55</v>
      </c>
      <c r="C1298" s="11">
        <f>Daily_Data!I1298</f>
        <v>3.05</v>
      </c>
      <c r="D1298" s="12">
        <f>if(sum(Daily_Data!K1298:L1298)&gt;0,1,0)</f>
        <v>0</v>
      </c>
    </row>
    <row r="1299">
      <c r="A1299" s="10">
        <f>Daily_Data!A1299</f>
        <v>38343</v>
      </c>
      <c r="B1299" s="11">
        <f>Daily_Data!J1299</f>
        <v>11.45</v>
      </c>
      <c r="C1299" s="11">
        <f>Daily_Data!I1299</f>
        <v>3.11</v>
      </c>
      <c r="D1299" s="12">
        <f>if(sum(Daily_Data!K1299:L1299)&gt;0,1,0)</f>
        <v>0</v>
      </c>
    </row>
    <row r="1300">
      <c r="A1300" s="10">
        <f>Daily_Data!A1300</f>
        <v>38344</v>
      </c>
      <c r="B1300" s="11">
        <f>Daily_Data!J1300</f>
        <v>11.23</v>
      </c>
      <c r="C1300" s="11">
        <f>Daily_Data!I1300</f>
        <v>3.14</v>
      </c>
      <c r="D1300" s="12">
        <f>if(sum(Daily_Data!K1300:L1300)&gt;0,1,0)</f>
        <v>0</v>
      </c>
    </row>
    <row r="1301">
      <c r="A1301" s="10">
        <f>Daily_Data!A1301</f>
        <v>38345</v>
      </c>
      <c r="B1301" s="11" t="str">
        <f>Daily_Data!J1301</f>
        <v/>
      </c>
      <c r="C1301" s="11" t="str">
        <f>Daily_Data!I1301</f>
        <v/>
      </c>
      <c r="D1301" s="12">
        <f>if(sum(Daily_Data!K1301:L1301)&gt;0,1,0)</f>
        <v>0</v>
      </c>
    </row>
    <row r="1302">
      <c r="A1302" s="10">
        <f>Daily_Data!A1302</f>
        <v>38348</v>
      </c>
      <c r="B1302" s="11">
        <f>Daily_Data!J1302</f>
        <v>12.14</v>
      </c>
      <c r="C1302" s="11" t="str">
        <f>Daily_Data!I1302</f>
        <v/>
      </c>
      <c r="D1302" s="12">
        <f>if(sum(Daily_Data!K1302:L1302)&gt;0,1,0)</f>
        <v>0</v>
      </c>
    </row>
    <row r="1303">
      <c r="A1303" s="10">
        <f>Daily_Data!A1303</f>
        <v>38349</v>
      </c>
      <c r="B1303" s="11">
        <f>Daily_Data!J1303</f>
        <v>12</v>
      </c>
      <c r="C1303" s="11" t="str">
        <f>Daily_Data!I1303</f>
        <v/>
      </c>
      <c r="D1303" s="12">
        <f>if(sum(Daily_Data!K1303:L1303)&gt;0,1,0)</f>
        <v>0</v>
      </c>
    </row>
    <row r="1304">
      <c r="A1304" s="10">
        <f>Daily_Data!A1304</f>
        <v>38350</v>
      </c>
      <c r="B1304" s="11">
        <f>Daily_Data!J1304</f>
        <v>11.62</v>
      </c>
      <c r="C1304" s="11">
        <f>Daily_Data!I1304</f>
        <v>3.07</v>
      </c>
      <c r="D1304" s="12">
        <f>if(sum(Daily_Data!K1304:L1304)&gt;0,1,0)</f>
        <v>0</v>
      </c>
    </row>
    <row r="1305">
      <c r="A1305" s="10">
        <f>Daily_Data!A1305</f>
        <v>38351</v>
      </c>
      <c r="B1305" s="11">
        <f>Daily_Data!J1305</f>
        <v>12.56</v>
      </c>
      <c r="C1305" s="11">
        <f>Daily_Data!I1305</f>
        <v>3.1</v>
      </c>
      <c r="D1305" s="12">
        <f>if(sum(Daily_Data!K1305:L1305)&gt;0,1,0)</f>
        <v>0</v>
      </c>
    </row>
    <row r="1306">
      <c r="A1306" s="10">
        <f>Daily_Data!A1306</f>
        <v>38352</v>
      </c>
      <c r="B1306" s="11">
        <f>Daily_Data!J1306</f>
        <v>13.29</v>
      </c>
      <c r="C1306" s="11">
        <f>Daily_Data!I1306</f>
        <v>3.1</v>
      </c>
      <c r="D1306" s="12">
        <f>if(sum(Daily_Data!K1306:L1306)&gt;0,1,0)</f>
        <v>0</v>
      </c>
    </row>
    <row r="1307">
      <c r="A1307" s="10">
        <f>Daily_Data!A1307</f>
        <v>38355</v>
      </c>
      <c r="B1307" s="11">
        <f>Daily_Data!J1307</f>
        <v>14.08</v>
      </c>
      <c r="C1307" s="11" t="str">
        <f>Daily_Data!I1307</f>
        <v/>
      </c>
      <c r="D1307" s="12">
        <f>if(sum(Daily_Data!K1307:L1307)&gt;0,1,0)</f>
        <v>0</v>
      </c>
    </row>
    <row r="1308">
      <c r="A1308" s="10">
        <f>Daily_Data!A1308</f>
        <v>38356</v>
      </c>
      <c r="B1308" s="11">
        <f>Daily_Data!J1308</f>
        <v>13.98</v>
      </c>
      <c r="C1308" s="11" t="str">
        <f>Daily_Data!I1308</f>
        <v/>
      </c>
      <c r="D1308" s="12">
        <f>if(sum(Daily_Data!K1308:L1308)&gt;0,1,0)</f>
        <v>0</v>
      </c>
    </row>
    <row r="1309">
      <c r="A1309" s="10">
        <f>Daily_Data!A1309</f>
        <v>38357</v>
      </c>
      <c r="B1309" s="11">
        <f>Daily_Data!J1309</f>
        <v>14.09</v>
      </c>
      <c r="C1309" s="11">
        <f>Daily_Data!I1309</f>
        <v>3.03</v>
      </c>
      <c r="D1309" s="12">
        <f>if(sum(Daily_Data!K1309:L1309)&gt;0,1,0)</f>
        <v>0</v>
      </c>
    </row>
    <row r="1310">
      <c r="A1310" s="10">
        <f>Daily_Data!A1310</f>
        <v>38358</v>
      </c>
      <c r="B1310" s="11">
        <f>Daily_Data!J1310</f>
        <v>13.58</v>
      </c>
      <c r="C1310" s="11">
        <f>Daily_Data!I1310</f>
        <v>3.05</v>
      </c>
      <c r="D1310" s="12">
        <f>if(sum(Daily_Data!K1310:L1310)&gt;0,1,0)</f>
        <v>0</v>
      </c>
    </row>
    <row r="1311">
      <c r="A1311" s="10">
        <f>Daily_Data!A1311</f>
        <v>38359</v>
      </c>
      <c r="B1311" s="11">
        <f>Daily_Data!J1311</f>
        <v>13.49</v>
      </c>
      <c r="C1311" s="11">
        <f>Daily_Data!I1311</f>
        <v>3.02</v>
      </c>
      <c r="D1311" s="12">
        <f>if(sum(Daily_Data!K1311:L1311)&gt;0,1,0)</f>
        <v>1</v>
      </c>
    </row>
    <row r="1312">
      <c r="A1312" s="10">
        <f>Daily_Data!A1312</f>
        <v>38362</v>
      </c>
      <c r="B1312" s="11">
        <f>Daily_Data!J1312</f>
        <v>13.23</v>
      </c>
      <c r="C1312" s="11">
        <f>Daily_Data!I1312</f>
        <v>2.98</v>
      </c>
      <c r="D1312" s="12">
        <f>if(sum(Daily_Data!K1312:L1312)&gt;0,1,0)</f>
        <v>0</v>
      </c>
    </row>
    <row r="1313">
      <c r="A1313" s="10">
        <f>Daily_Data!A1313</f>
        <v>38363</v>
      </c>
      <c r="B1313" s="11">
        <f>Daily_Data!J1313</f>
        <v>13.19</v>
      </c>
      <c r="C1313" s="11">
        <f>Daily_Data!I1313</f>
        <v>2.95</v>
      </c>
      <c r="D1313" s="12">
        <f>if(sum(Daily_Data!K1313:L1313)&gt;0,1,0)</f>
        <v>0</v>
      </c>
    </row>
    <row r="1314">
      <c r="A1314" s="10">
        <f>Daily_Data!A1314</f>
        <v>38364</v>
      </c>
      <c r="B1314" s="11">
        <f>Daily_Data!J1314</f>
        <v>12.56</v>
      </c>
      <c r="C1314" s="11">
        <f>Daily_Data!I1314</f>
        <v>2.92</v>
      </c>
      <c r="D1314" s="12">
        <f>if(sum(Daily_Data!K1314:L1314)&gt;0,1,0)</f>
        <v>0</v>
      </c>
    </row>
    <row r="1315">
      <c r="A1315" s="10">
        <f>Daily_Data!A1315</f>
        <v>38365</v>
      </c>
      <c r="B1315" s="11">
        <f>Daily_Data!J1315</f>
        <v>12.84</v>
      </c>
      <c r="C1315" s="11">
        <f>Daily_Data!I1315</f>
        <v>2.93</v>
      </c>
      <c r="D1315" s="12">
        <f>if(sum(Daily_Data!K1315:L1315)&gt;0,1,0)</f>
        <v>0</v>
      </c>
    </row>
    <row r="1316">
      <c r="A1316" s="10">
        <f>Daily_Data!A1316</f>
        <v>38366</v>
      </c>
      <c r="B1316" s="11">
        <f>Daily_Data!J1316</f>
        <v>12.43</v>
      </c>
      <c r="C1316" s="11">
        <f>Daily_Data!I1316</f>
        <v>2.87</v>
      </c>
      <c r="D1316" s="12">
        <f>if(sum(Daily_Data!K1316:L1316)&gt;0,1,0)</f>
        <v>0</v>
      </c>
    </row>
    <row r="1317">
      <c r="A1317" s="10">
        <f>Daily_Data!A1317</f>
        <v>38369</v>
      </c>
      <c r="B1317" s="11" t="str">
        <f>Daily_Data!J1317</f>
        <v/>
      </c>
      <c r="C1317" s="11" t="str">
        <f>Daily_Data!I1317</f>
        <v/>
      </c>
      <c r="D1317" s="12">
        <f>if(sum(Daily_Data!K1317:L1317)&gt;0,1,0)</f>
        <v>0</v>
      </c>
    </row>
    <row r="1318">
      <c r="A1318" s="10">
        <f>Daily_Data!A1318</f>
        <v>38370</v>
      </c>
      <c r="B1318" s="11">
        <f>Daily_Data!J1318</f>
        <v>12.47</v>
      </c>
      <c r="C1318" s="11">
        <f>Daily_Data!I1318</f>
        <v>2.91</v>
      </c>
      <c r="D1318" s="12">
        <f>if(sum(Daily_Data!K1318:L1318)&gt;0,1,0)</f>
        <v>0</v>
      </c>
    </row>
    <row r="1319">
      <c r="A1319" s="10">
        <f>Daily_Data!A1319</f>
        <v>38371</v>
      </c>
      <c r="B1319" s="11">
        <f>Daily_Data!J1319</f>
        <v>13.18</v>
      </c>
      <c r="C1319" s="11">
        <f>Daily_Data!I1319</f>
        <v>2.95</v>
      </c>
      <c r="D1319" s="12">
        <f>if(sum(Daily_Data!K1319:L1319)&gt;0,1,0)</f>
        <v>1</v>
      </c>
    </row>
    <row r="1320">
      <c r="A1320" s="10">
        <f>Daily_Data!A1320</f>
        <v>38372</v>
      </c>
      <c r="B1320" s="11">
        <f>Daily_Data!J1320</f>
        <v>13.83</v>
      </c>
      <c r="C1320" s="11">
        <f>Daily_Data!I1320</f>
        <v>3.03</v>
      </c>
      <c r="D1320" s="12">
        <f>if(sum(Daily_Data!K1320:L1320)&gt;0,1,0)</f>
        <v>0</v>
      </c>
    </row>
    <row r="1321">
      <c r="A1321" s="10">
        <f>Daily_Data!A1321</f>
        <v>38373</v>
      </c>
      <c r="B1321" s="11">
        <f>Daily_Data!J1321</f>
        <v>14.36</v>
      </c>
      <c r="C1321" s="11">
        <f>Daily_Data!I1321</f>
        <v>3.11</v>
      </c>
      <c r="D1321" s="12">
        <f>if(sum(Daily_Data!K1321:L1321)&gt;0,1,0)</f>
        <v>0</v>
      </c>
    </row>
    <row r="1322">
      <c r="A1322" s="10">
        <f>Daily_Data!A1322</f>
        <v>38376</v>
      </c>
      <c r="B1322" s="11">
        <f>Daily_Data!J1322</f>
        <v>14.65</v>
      </c>
      <c r="C1322" s="11">
        <f>Daily_Data!I1322</f>
        <v>3.1</v>
      </c>
      <c r="D1322" s="12">
        <f>if(sum(Daily_Data!K1322:L1322)&gt;0,1,0)</f>
        <v>0</v>
      </c>
    </row>
    <row r="1323">
      <c r="A1323" s="10">
        <f>Daily_Data!A1323</f>
        <v>38377</v>
      </c>
      <c r="B1323" s="11">
        <f>Daily_Data!J1323</f>
        <v>14.06</v>
      </c>
      <c r="C1323" s="11">
        <f>Daily_Data!I1323</f>
        <v>3.08</v>
      </c>
      <c r="D1323" s="12">
        <f>if(sum(Daily_Data!K1323:L1323)&gt;0,1,0)</f>
        <v>0</v>
      </c>
    </row>
    <row r="1324">
      <c r="A1324" s="10">
        <f>Daily_Data!A1324</f>
        <v>38378</v>
      </c>
      <c r="B1324" s="11">
        <f>Daily_Data!J1324</f>
        <v>13.44</v>
      </c>
      <c r="C1324" s="11">
        <f>Daily_Data!I1324</f>
        <v>3.07</v>
      </c>
      <c r="D1324" s="12">
        <f>if(sum(Daily_Data!K1324:L1324)&gt;0,1,0)</f>
        <v>0</v>
      </c>
    </row>
    <row r="1325">
      <c r="A1325" s="10">
        <f>Daily_Data!A1325</f>
        <v>38379</v>
      </c>
      <c r="B1325" s="11">
        <f>Daily_Data!J1325</f>
        <v>13.24</v>
      </c>
      <c r="C1325" s="11">
        <f>Daily_Data!I1325</f>
        <v>3.03</v>
      </c>
      <c r="D1325" s="12">
        <f>if(sum(Daily_Data!K1325:L1325)&gt;0,1,0)</f>
        <v>0</v>
      </c>
    </row>
    <row r="1326">
      <c r="A1326" s="10">
        <f>Daily_Data!A1326</f>
        <v>38380</v>
      </c>
      <c r="B1326" s="11">
        <f>Daily_Data!J1326</f>
        <v>13.24</v>
      </c>
      <c r="C1326" s="11">
        <f>Daily_Data!I1326</f>
        <v>3.08</v>
      </c>
      <c r="D1326" s="12">
        <f>if(sum(Daily_Data!K1326:L1326)&gt;0,1,0)</f>
        <v>0</v>
      </c>
    </row>
    <row r="1327">
      <c r="A1327" s="10">
        <f>Daily_Data!A1327</f>
        <v>38383</v>
      </c>
      <c r="B1327" s="11">
        <f>Daily_Data!J1327</f>
        <v>12.82</v>
      </c>
      <c r="C1327" s="11">
        <f>Daily_Data!I1327</f>
        <v>3.04</v>
      </c>
      <c r="D1327" s="12">
        <f>if(sum(Daily_Data!K1327:L1327)&gt;0,1,0)</f>
        <v>0</v>
      </c>
    </row>
    <row r="1328">
      <c r="A1328" s="10">
        <f>Daily_Data!A1328</f>
        <v>38384</v>
      </c>
      <c r="B1328" s="11">
        <f>Daily_Data!J1328</f>
        <v>12.03</v>
      </c>
      <c r="C1328" s="11">
        <f>Daily_Data!I1328</f>
        <v>3.04</v>
      </c>
      <c r="D1328" s="12">
        <f>if(sum(Daily_Data!K1328:L1328)&gt;0,1,0)</f>
        <v>0</v>
      </c>
    </row>
    <row r="1329">
      <c r="A1329" s="10">
        <f>Daily_Data!A1329</f>
        <v>38385</v>
      </c>
      <c r="B1329" s="11">
        <f>Daily_Data!J1329</f>
        <v>11.66</v>
      </c>
      <c r="C1329" s="11">
        <f>Daily_Data!I1329</f>
        <v>2.98</v>
      </c>
      <c r="D1329" s="12">
        <f>if(sum(Daily_Data!K1329:L1329)&gt;0,1,0)</f>
        <v>0</v>
      </c>
    </row>
    <row r="1330">
      <c r="A1330" s="10">
        <f>Daily_Data!A1330</f>
        <v>38386</v>
      </c>
      <c r="B1330" s="11">
        <f>Daily_Data!J1330</f>
        <v>11.79</v>
      </c>
      <c r="C1330" s="11">
        <f>Daily_Data!I1330</f>
        <v>2.97</v>
      </c>
      <c r="D1330" s="12">
        <f>if(sum(Daily_Data!K1330:L1330)&gt;0,1,0)</f>
        <v>0</v>
      </c>
    </row>
    <row r="1331">
      <c r="A1331" s="10">
        <f>Daily_Data!A1331</f>
        <v>38387</v>
      </c>
      <c r="B1331" s="11">
        <f>Daily_Data!J1331</f>
        <v>11.21</v>
      </c>
      <c r="C1331" s="11">
        <f>Daily_Data!I1331</f>
        <v>3.03</v>
      </c>
      <c r="D1331" s="12">
        <f>if(sum(Daily_Data!K1331:L1331)&gt;0,1,0)</f>
        <v>1</v>
      </c>
    </row>
    <row r="1332">
      <c r="A1332" s="10">
        <f>Daily_Data!A1332</f>
        <v>38390</v>
      </c>
      <c r="B1332" s="11">
        <f>Daily_Data!J1332</f>
        <v>11.73</v>
      </c>
      <c r="C1332" s="11">
        <f>Daily_Data!I1332</f>
        <v>2.97</v>
      </c>
      <c r="D1332" s="12">
        <f>if(sum(Daily_Data!K1332:L1332)&gt;0,1,0)</f>
        <v>0</v>
      </c>
    </row>
    <row r="1333">
      <c r="A1333" s="10">
        <f>Daily_Data!A1333</f>
        <v>38391</v>
      </c>
      <c r="B1333" s="11">
        <f>Daily_Data!J1333</f>
        <v>11.6</v>
      </c>
      <c r="C1333" s="11">
        <f>Daily_Data!I1333</f>
        <v>3.03</v>
      </c>
      <c r="D1333" s="12">
        <f>if(sum(Daily_Data!K1333:L1333)&gt;0,1,0)</f>
        <v>0</v>
      </c>
    </row>
    <row r="1334">
      <c r="A1334" s="10">
        <f>Daily_Data!A1334</f>
        <v>38392</v>
      </c>
      <c r="B1334" s="11">
        <f>Daily_Data!J1334</f>
        <v>12</v>
      </c>
      <c r="C1334" s="11">
        <f>Daily_Data!I1334</f>
        <v>3.12</v>
      </c>
      <c r="D1334" s="12">
        <f>if(sum(Daily_Data!K1334:L1334)&gt;0,1,0)</f>
        <v>0</v>
      </c>
    </row>
    <row r="1335">
      <c r="A1335" s="10">
        <f>Daily_Data!A1335</f>
        <v>38393</v>
      </c>
      <c r="B1335" s="11">
        <f>Daily_Data!J1335</f>
        <v>11.51</v>
      </c>
      <c r="C1335" s="11">
        <f>Daily_Data!I1335</f>
        <v>3.04</v>
      </c>
      <c r="D1335" s="12">
        <f>if(sum(Daily_Data!K1335:L1335)&gt;0,1,0)</f>
        <v>0</v>
      </c>
    </row>
    <row r="1336">
      <c r="A1336" s="10">
        <f>Daily_Data!A1336</f>
        <v>38394</v>
      </c>
      <c r="B1336" s="11">
        <f>Daily_Data!J1336</f>
        <v>11.43</v>
      </c>
      <c r="C1336" s="11">
        <f>Daily_Data!I1336</f>
        <v>3.04</v>
      </c>
      <c r="D1336" s="12">
        <f>if(sum(Daily_Data!K1336:L1336)&gt;0,1,0)</f>
        <v>0</v>
      </c>
    </row>
    <row r="1337">
      <c r="A1337" s="10">
        <f>Daily_Data!A1337</f>
        <v>38397</v>
      </c>
      <c r="B1337" s="11">
        <f>Daily_Data!J1337</f>
        <v>11.52</v>
      </c>
      <c r="C1337" s="11">
        <f>Daily_Data!I1337</f>
        <v>2.97</v>
      </c>
      <c r="D1337" s="12">
        <f>if(sum(Daily_Data!K1337:L1337)&gt;0,1,0)</f>
        <v>0</v>
      </c>
    </row>
    <row r="1338">
      <c r="A1338" s="10">
        <f>Daily_Data!A1338</f>
        <v>38398</v>
      </c>
      <c r="B1338" s="11">
        <f>Daily_Data!J1338</f>
        <v>11.27</v>
      </c>
      <c r="C1338" s="11">
        <f>Daily_Data!I1338</f>
        <v>2.88</v>
      </c>
      <c r="D1338" s="12">
        <f>if(sum(Daily_Data!K1338:L1338)&gt;0,1,0)</f>
        <v>0</v>
      </c>
    </row>
    <row r="1339">
      <c r="A1339" s="10">
        <f>Daily_Data!A1339</f>
        <v>38399</v>
      </c>
      <c r="B1339" s="11">
        <f>Daily_Data!J1339</f>
        <v>11.1</v>
      </c>
      <c r="C1339" s="11">
        <f>Daily_Data!I1339</f>
        <v>2.79</v>
      </c>
      <c r="D1339" s="12">
        <f>if(sum(Daily_Data!K1339:L1339)&gt;0,1,0)</f>
        <v>0</v>
      </c>
    </row>
    <row r="1340">
      <c r="A1340" s="10">
        <f>Daily_Data!A1340</f>
        <v>38400</v>
      </c>
      <c r="B1340" s="11">
        <f>Daily_Data!J1340</f>
        <v>11.77</v>
      </c>
      <c r="C1340" s="11">
        <f>Daily_Data!I1340</f>
        <v>2.86</v>
      </c>
      <c r="D1340" s="12">
        <f>if(sum(Daily_Data!K1340:L1340)&gt;0,1,0)</f>
        <v>0</v>
      </c>
    </row>
    <row r="1341">
      <c r="A1341" s="10">
        <f>Daily_Data!A1341</f>
        <v>38401</v>
      </c>
      <c r="B1341" s="11">
        <f>Daily_Data!J1341</f>
        <v>11.18</v>
      </c>
      <c r="C1341" s="11">
        <f>Daily_Data!I1341</f>
        <v>2.79</v>
      </c>
      <c r="D1341" s="12">
        <f>if(sum(Daily_Data!K1341:L1341)&gt;0,1,0)</f>
        <v>0</v>
      </c>
    </row>
    <row r="1342">
      <c r="A1342" s="10">
        <f>Daily_Data!A1342</f>
        <v>38404</v>
      </c>
      <c r="B1342" s="11" t="str">
        <f>Daily_Data!J1342</f>
        <v/>
      </c>
      <c r="C1342" s="11" t="str">
        <f>Daily_Data!I1342</f>
        <v/>
      </c>
      <c r="D1342" s="12">
        <f>if(sum(Daily_Data!K1342:L1342)&gt;0,1,0)</f>
        <v>0</v>
      </c>
    </row>
    <row r="1343">
      <c r="A1343" s="10">
        <f>Daily_Data!A1343</f>
        <v>38405</v>
      </c>
      <c r="B1343" s="11">
        <f>Daily_Data!J1343</f>
        <v>13.14</v>
      </c>
      <c r="C1343" s="11">
        <f>Daily_Data!I1343</f>
        <v>2.85</v>
      </c>
      <c r="D1343" s="12">
        <f>if(sum(Daily_Data!K1343:L1343)&gt;0,1,0)</f>
        <v>0</v>
      </c>
    </row>
    <row r="1344">
      <c r="A1344" s="10">
        <f>Daily_Data!A1344</f>
        <v>38406</v>
      </c>
      <c r="B1344" s="11">
        <f>Daily_Data!J1344</f>
        <v>12.39</v>
      </c>
      <c r="C1344" s="11">
        <f>Daily_Data!I1344</f>
        <v>2.7</v>
      </c>
      <c r="D1344" s="12">
        <f>if(sum(Daily_Data!K1344:L1344)&gt;0,1,0)</f>
        <v>1</v>
      </c>
    </row>
    <row r="1345">
      <c r="A1345" s="10">
        <f>Daily_Data!A1345</f>
        <v>38407</v>
      </c>
      <c r="B1345" s="11">
        <f>Daily_Data!J1345</f>
        <v>11.57</v>
      </c>
      <c r="C1345" s="11">
        <f>Daily_Data!I1345</f>
        <v>2.79</v>
      </c>
      <c r="D1345" s="12">
        <f>if(sum(Daily_Data!K1345:L1345)&gt;0,1,0)</f>
        <v>0</v>
      </c>
    </row>
    <row r="1346">
      <c r="A1346" s="10">
        <f>Daily_Data!A1346</f>
        <v>38408</v>
      </c>
      <c r="B1346" s="11">
        <f>Daily_Data!J1346</f>
        <v>11.49</v>
      </c>
      <c r="C1346" s="11">
        <f>Daily_Data!I1346</f>
        <v>2.78</v>
      </c>
      <c r="D1346" s="12">
        <f>if(sum(Daily_Data!K1346:L1346)&gt;0,1,0)</f>
        <v>0</v>
      </c>
    </row>
    <row r="1347">
      <c r="A1347" s="10">
        <f>Daily_Data!A1347</f>
        <v>38411</v>
      </c>
      <c r="B1347" s="11">
        <f>Daily_Data!J1347</f>
        <v>12.08</v>
      </c>
      <c r="C1347" s="11">
        <f>Daily_Data!I1347</f>
        <v>2.74</v>
      </c>
      <c r="D1347" s="12">
        <f>if(sum(Daily_Data!K1347:L1347)&gt;0,1,0)</f>
        <v>0</v>
      </c>
    </row>
    <row r="1348">
      <c r="A1348" s="10">
        <f>Daily_Data!A1348</f>
        <v>38412</v>
      </c>
      <c r="B1348" s="11">
        <f>Daily_Data!J1348</f>
        <v>12.04</v>
      </c>
      <c r="C1348" s="11">
        <f>Daily_Data!I1348</f>
        <v>2.8</v>
      </c>
      <c r="D1348" s="12">
        <f>if(sum(Daily_Data!K1348:L1348)&gt;0,1,0)</f>
        <v>0</v>
      </c>
    </row>
    <row r="1349">
      <c r="A1349" s="10">
        <f>Daily_Data!A1349</f>
        <v>38413</v>
      </c>
      <c r="B1349" s="11">
        <f>Daily_Data!J1349</f>
        <v>12.5</v>
      </c>
      <c r="C1349" s="11">
        <f>Daily_Data!I1349</f>
        <v>2.81</v>
      </c>
      <c r="D1349" s="12">
        <f>if(sum(Daily_Data!K1349:L1349)&gt;0,1,0)</f>
        <v>0</v>
      </c>
    </row>
    <row r="1350">
      <c r="A1350" s="10">
        <f>Daily_Data!A1350</f>
        <v>38414</v>
      </c>
      <c r="B1350" s="11">
        <f>Daily_Data!J1350</f>
        <v>12.93</v>
      </c>
      <c r="C1350" s="11">
        <f>Daily_Data!I1350</f>
        <v>2.78</v>
      </c>
      <c r="D1350" s="12">
        <f>if(sum(Daily_Data!K1350:L1350)&gt;0,1,0)</f>
        <v>0</v>
      </c>
    </row>
    <row r="1351">
      <c r="A1351" s="10">
        <f>Daily_Data!A1351</f>
        <v>38415</v>
      </c>
      <c r="B1351" s="11">
        <f>Daily_Data!J1351</f>
        <v>11.94</v>
      </c>
      <c r="C1351" s="11">
        <f>Daily_Data!I1351</f>
        <v>2.82</v>
      </c>
      <c r="D1351" s="12">
        <f>if(sum(Daily_Data!K1351:L1351)&gt;0,1,0)</f>
        <v>1</v>
      </c>
    </row>
    <row r="1352">
      <c r="A1352" s="10">
        <f>Daily_Data!A1352</f>
        <v>38418</v>
      </c>
      <c r="B1352" s="11">
        <f>Daily_Data!J1352</f>
        <v>12.26</v>
      </c>
      <c r="C1352" s="11">
        <f>Daily_Data!I1352</f>
        <v>2.77</v>
      </c>
      <c r="D1352" s="12">
        <f>if(sum(Daily_Data!K1352:L1352)&gt;0,1,0)</f>
        <v>0</v>
      </c>
    </row>
    <row r="1353">
      <c r="A1353" s="10">
        <f>Daily_Data!A1353</f>
        <v>38419</v>
      </c>
      <c r="B1353" s="11">
        <f>Daily_Data!J1353</f>
        <v>12.4</v>
      </c>
      <c r="C1353" s="11">
        <f>Daily_Data!I1353</f>
        <v>2.77</v>
      </c>
      <c r="D1353" s="12">
        <f>if(sum(Daily_Data!K1353:L1353)&gt;0,1,0)</f>
        <v>0</v>
      </c>
    </row>
    <row r="1354">
      <c r="A1354" s="10">
        <f>Daily_Data!A1354</f>
        <v>38420</v>
      </c>
      <c r="B1354" s="11">
        <f>Daily_Data!J1354</f>
        <v>12.7</v>
      </c>
      <c r="C1354" s="11">
        <f>Daily_Data!I1354</f>
        <v>2.73</v>
      </c>
      <c r="D1354" s="12">
        <f>if(sum(Daily_Data!K1354:L1354)&gt;0,1,0)</f>
        <v>0</v>
      </c>
    </row>
    <row r="1355">
      <c r="A1355" s="10">
        <f>Daily_Data!A1355</f>
        <v>38421</v>
      </c>
      <c r="B1355" s="11">
        <f>Daily_Data!J1355</f>
        <v>12.49</v>
      </c>
      <c r="C1355" s="11">
        <f>Daily_Data!I1355</f>
        <v>2.76</v>
      </c>
      <c r="D1355" s="12">
        <f>if(sum(Daily_Data!K1355:L1355)&gt;0,1,0)</f>
        <v>0</v>
      </c>
    </row>
    <row r="1356">
      <c r="A1356" s="10">
        <f>Daily_Data!A1356</f>
        <v>38422</v>
      </c>
      <c r="B1356" s="11">
        <f>Daily_Data!J1356</f>
        <v>12.8</v>
      </c>
      <c r="C1356" s="11">
        <f>Daily_Data!I1356</f>
        <v>2.71</v>
      </c>
      <c r="D1356" s="12">
        <f>if(sum(Daily_Data!K1356:L1356)&gt;0,1,0)</f>
        <v>0</v>
      </c>
    </row>
    <row r="1357">
      <c r="A1357" s="10">
        <f>Daily_Data!A1357</f>
        <v>38425</v>
      </c>
      <c r="B1357" s="11">
        <f>Daily_Data!J1357</f>
        <v>12.39</v>
      </c>
      <c r="C1357" s="11">
        <f>Daily_Data!I1357</f>
        <v>2.69</v>
      </c>
      <c r="D1357" s="12">
        <f>if(sum(Daily_Data!K1357:L1357)&gt;0,1,0)</f>
        <v>0</v>
      </c>
    </row>
    <row r="1358">
      <c r="A1358" s="10">
        <f>Daily_Data!A1358</f>
        <v>38426</v>
      </c>
      <c r="B1358" s="11">
        <f>Daily_Data!J1358</f>
        <v>13.15</v>
      </c>
      <c r="C1358" s="11">
        <f>Daily_Data!I1358</f>
        <v>2.7</v>
      </c>
      <c r="D1358" s="12">
        <f>if(sum(Daily_Data!K1358:L1358)&gt;0,1,0)</f>
        <v>0</v>
      </c>
    </row>
    <row r="1359">
      <c r="A1359" s="10">
        <f>Daily_Data!A1359</f>
        <v>38427</v>
      </c>
      <c r="B1359" s="11">
        <f>Daily_Data!J1359</f>
        <v>13.49</v>
      </c>
      <c r="C1359" s="11">
        <f>Daily_Data!I1359</f>
        <v>2.71</v>
      </c>
      <c r="D1359" s="12">
        <f>if(sum(Daily_Data!K1359:L1359)&gt;0,1,0)</f>
        <v>0</v>
      </c>
    </row>
    <row r="1360">
      <c r="A1360" s="10">
        <f>Daily_Data!A1360</f>
        <v>38428</v>
      </c>
      <c r="B1360" s="11">
        <f>Daily_Data!J1360</f>
        <v>13.29</v>
      </c>
      <c r="C1360" s="11">
        <f>Daily_Data!I1360</f>
        <v>2.73</v>
      </c>
      <c r="D1360" s="12">
        <f>if(sum(Daily_Data!K1360:L1360)&gt;0,1,0)</f>
        <v>0</v>
      </c>
    </row>
    <row r="1361">
      <c r="A1361" s="10">
        <f>Daily_Data!A1361</f>
        <v>38429</v>
      </c>
      <c r="B1361" s="11">
        <f>Daily_Data!J1361</f>
        <v>13.14</v>
      </c>
      <c r="C1361" s="11">
        <f>Daily_Data!I1361</f>
        <v>2.71</v>
      </c>
      <c r="D1361" s="12">
        <f>if(sum(Daily_Data!K1361:L1361)&gt;0,1,0)</f>
        <v>0</v>
      </c>
    </row>
    <row r="1362">
      <c r="A1362" s="10">
        <f>Daily_Data!A1362</f>
        <v>38432</v>
      </c>
      <c r="B1362" s="11">
        <f>Daily_Data!J1362</f>
        <v>13.61</v>
      </c>
      <c r="C1362" s="11">
        <f>Daily_Data!I1362</f>
        <v>2.67</v>
      </c>
      <c r="D1362" s="12">
        <f>if(sum(Daily_Data!K1362:L1362)&gt;0,1,0)</f>
        <v>0</v>
      </c>
    </row>
    <row r="1363">
      <c r="A1363" s="10">
        <f>Daily_Data!A1363</f>
        <v>38433</v>
      </c>
      <c r="B1363" s="11">
        <f>Daily_Data!J1363</f>
        <v>14.27</v>
      </c>
      <c r="C1363" s="11">
        <f>Daily_Data!I1363</f>
        <v>2.53</v>
      </c>
      <c r="D1363" s="12">
        <f>if(sum(Daily_Data!K1363:L1363)&gt;0,1,0)</f>
        <v>0</v>
      </c>
    </row>
    <row r="1364">
      <c r="A1364" s="10">
        <f>Daily_Data!A1364</f>
        <v>38434</v>
      </c>
      <c r="B1364" s="11">
        <f>Daily_Data!J1364</f>
        <v>14.06</v>
      </c>
      <c r="C1364" s="11">
        <f>Daily_Data!I1364</f>
        <v>2.58</v>
      </c>
      <c r="D1364" s="12">
        <f>if(sum(Daily_Data!K1364:L1364)&gt;0,1,0)</f>
        <v>1</v>
      </c>
    </row>
    <row r="1365">
      <c r="A1365" s="10">
        <f>Daily_Data!A1365</f>
        <v>38435</v>
      </c>
      <c r="B1365" s="11">
        <f>Daily_Data!J1365</f>
        <v>13.42</v>
      </c>
      <c r="C1365" s="11">
        <f>Daily_Data!I1365</f>
        <v>2.47</v>
      </c>
      <c r="D1365" s="12">
        <f>if(sum(Daily_Data!K1365:L1365)&gt;0,1,0)</f>
        <v>0</v>
      </c>
    </row>
    <row r="1366">
      <c r="A1366" s="10">
        <f>Daily_Data!A1366</f>
        <v>38436</v>
      </c>
      <c r="B1366" s="11" t="str">
        <f>Daily_Data!J1366</f>
        <v/>
      </c>
      <c r="C1366" s="11" t="str">
        <f>Daily_Data!I1366</f>
        <v/>
      </c>
      <c r="D1366" s="12">
        <f>if(sum(Daily_Data!K1366:L1366)&gt;0,1,0)</f>
        <v>0</v>
      </c>
    </row>
    <row r="1367">
      <c r="A1367" s="10">
        <f>Daily_Data!A1367</f>
        <v>38439</v>
      </c>
      <c r="B1367" s="11">
        <f>Daily_Data!J1367</f>
        <v>13.75</v>
      </c>
      <c r="C1367" s="11" t="str">
        <f>Daily_Data!I1367</f>
        <v/>
      </c>
      <c r="D1367" s="12">
        <f>if(sum(Daily_Data!K1367:L1367)&gt;0,1,0)</f>
        <v>0</v>
      </c>
    </row>
    <row r="1368">
      <c r="A1368" s="10">
        <f>Daily_Data!A1368</f>
        <v>38440</v>
      </c>
      <c r="B1368" s="11">
        <f>Daily_Data!J1368</f>
        <v>14.49</v>
      </c>
      <c r="C1368" s="11">
        <f>Daily_Data!I1368</f>
        <v>2.44</v>
      </c>
      <c r="D1368" s="12">
        <f>if(sum(Daily_Data!K1368:L1368)&gt;0,1,0)</f>
        <v>0</v>
      </c>
    </row>
    <row r="1369">
      <c r="A1369" s="10">
        <f>Daily_Data!A1369</f>
        <v>38441</v>
      </c>
      <c r="B1369" s="11">
        <f>Daily_Data!J1369</f>
        <v>13.64</v>
      </c>
      <c r="C1369" s="11">
        <f>Daily_Data!I1369</f>
        <v>2.46</v>
      </c>
      <c r="D1369" s="12">
        <f>if(sum(Daily_Data!K1369:L1369)&gt;0,1,0)</f>
        <v>0</v>
      </c>
    </row>
    <row r="1370">
      <c r="A1370" s="10">
        <f>Daily_Data!A1370</f>
        <v>38442</v>
      </c>
      <c r="B1370" s="11">
        <f>Daily_Data!J1370</f>
        <v>14.02</v>
      </c>
      <c r="C1370" s="11">
        <f>Daily_Data!I1370</f>
        <v>2.56</v>
      </c>
      <c r="D1370" s="12">
        <f>if(sum(Daily_Data!K1370:L1370)&gt;0,1,0)</f>
        <v>0</v>
      </c>
    </row>
    <row r="1371">
      <c r="A1371" s="10">
        <f>Daily_Data!A1371</f>
        <v>38443</v>
      </c>
      <c r="B1371" s="11">
        <f>Daily_Data!J1371</f>
        <v>14.09</v>
      </c>
      <c r="C1371" s="11">
        <f>Daily_Data!I1371</f>
        <v>2.57</v>
      </c>
      <c r="D1371" s="12">
        <f>if(sum(Daily_Data!K1371:L1371)&gt;0,1,0)</f>
        <v>1</v>
      </c>
    </row>
    <row r="1372">
      <c r="A1372" s="10">
        <f>Daily_Data!A1372</f>
        <v>38446</v>
      </c>
      <c r="B1372" s="11">
        <f>Daily_Data!J1372</f>
        <v>14.11</v>
      </c>
      <c r="C1372" s="11">
        <f>Daily_Data!I1372</f>
        <v>2.59</v>
      </c>
      <c r="D1372" s="12">
        <f>if(sum(Daily_Data!K1372:L1372)&gt;0,1,0)</f>
        <v>0</v>
      </c>
    </row>
    <row r="1373">
      <c r="A1373" s="10">
        <f>Daily_Data!A1373</f>
        <v>38447</v>
      </c>
      <c r="B1373" s="11">
        <f>Daily_Data!J1373</f>
        <v>13.68</v>
      </c>
      <c r="C1373" s="11">
        <f>Daily_Data!I1373</f>
        <v>2.61</v>
      </c>
      <c r="D1373" s="12">
        <f>if(sum(Daily_Data!K1373:L1373)&gt;0,1,0)</f>
        <v>0</v>
      </c>
    </row>
    <row r="1374">
      <c r="A1374" s="10">
        <f>Daily_Data!A1374</f>
        <v>38448</v>
      </c>
      <c r="B1374" s="11">
        <f>Daily_Data!J1374</f>
        <v>13.15</v>
      </c>
      <c r="C1374" s="11">
        <f>Daily_Data!I1374</f>
        <v>2.65</v>
      </c>
      <c r="D1374" s="12">
        <f>if(sum(Daily_Data!K1374:L1374)&gt;0,1,0)</f>
        <v>0</v>
      </c>
    </row>
    <row r="1375">
      <c r="A1375" s="10">
        <f>Daily_Data!A1375</f>
        <v>38449</v>
      </c>
      <c r="B1375" s="11">
        <f>Daily_Data!J1375</f>
        <v>12.33</v>
      </c>
      <c r="C1375" s="11">
        <f>Daily_Data!I1375</f>
        <v>2.62</v>
      </c>
      <c r="D1375" s="12">
        <f>if(sum(Daily_Data!K1375:L1375)&gt;0,1,0)</f>
        <v>0</v>
      </c>
    </row>
    <row r="1376">
      <c r="A1376" s="10">
        <f>Daily_Data!A1376</f>
        <v>38450</v>
      </c>
      <c r="B1376" s="11">
        <f>Daily_Data!J1376</f>
        <v>12.62</v>
      </c>
      <c r="C1376" s="11">
        <f>Daily_Data!I1376</f>
        <v>2.61</v>
      </c>
      <c r="D1376" s="12">
        <f>if(sum(Daily_Data!K1376:L1376)&gt;0,1,0)</f>
        <v>0</v>
      </c>
    </row>
    <row r="1377">
      <c r="A1377" s="10">
        <f>Daily_Data!A1377</f>
        <v>38453</v>
      </c>
      <c r="B1377" s="11">
        <f>Daily_Data!J1377</f>
        <v>11.98</v>
      </c>
      <c r="C1377" s="11">
        <f>Daily_Data!I1377</f>
        <v>2.64</v>
      </c>
      <c r="D1377" s="12">
        <f>if(sum(Daily_Data!K1377:L1377)&gt;0,1,0)</f>
        <v>0</v>
      </c>
    </row>
    <row r="1378">
      <c r="A1378" s="10">
        <f>Daily_Data!A1378</f>
        <v>38454</v>
      </c>
      <c r="B1378" s="11">
        <f>Daily_Data!J1378</f>
        <v>11.3</v>
      </c>
      <c r="C1378" s="11">
        <f>Daily_Data!I1378</f>
        <v>2.66</v>
      </c>
      <c r="D1378" s="12">
        <f>if(sum(Daily_Data!K1378:L1378)&gt;0,1,0)</f>
        <v>0</v>
      </c>
    </row>
    <row r="1379">
      <c r="A1379" s="10">
        <f>Daily_Data!A1379</f>
        <v>38455</v>
      </c>
      <c r="B1379" s="11">
        <f>Daily_Data!J1379</f>
        <v>13.31</v>
      </c>
      <c r="C1379" s="11">
        <f>Daily_Data!I1379</f>
        <v>2.65</v>
      </c>
      <c r="D1379" s="12">
        <f>if(sum(Daily_Data!K1379:L1379)&gt;0,1,0)</f>
        <v>0</v>
      </c>
    </row>
    <row r="1380">
      <c r="A1380" s="10">
        <f>Daily_Data!A1380</f>
        <v>38456</v>
      </c>
      <c r="B1380" s="11">
        <f>Daily_Data!J1380</f>
        <v>14.53</v>
      </c>
      <c r="C1380" s="11">
        <f>Daily_Data!I1380</f>
        <v>2.72</v>
      </c>
      <c r="D1380" s="12">
        <f>if(sum(Daily_Data!K1380:L1380)&gt;0,1,0)</f>
        <v>0</v>
      </c>
    </row>
    <row r="1381">
      <c r="A1381" s="10">
        <f>Daily_Data!A1381</f>
        <v>38457</v>
      </c>
      <c r="B1381" s="11">
        <f>Daily_Data!J1381</f>
        <v>17.74</v>
      </c>
      <c r="C1381" s="11">
        <f>Daily_Data!I1381</f>
        <v>2.73</v>
      </c>
      <c r="D1381" s="12">
        <f>if(sum(Daily_Data!K1381:L1381)&gt;0,1,0)</f>
        <v>0</v>
      </c>
    </row>
    <row r="1382">
      <c r="A1382" s="10">
        <f>Daily_Data!A1382</f>
        <v>38460</v>
      </c>
      <c r="B1382" s="11">
        <f>Daily_Data!J1382</f>
        <v>16.56</v>
      </c>
      <c r="C1382" s="11">
        <f>Daily_Data!I1382</f>
        <v>2.66</v>
      </c>
      <c r="D1382" s="12">
        <f>if(sum(Daily_Data!K1382:L1382)&gt;0,1,0)</f>
        <v>0</v>
      </c>
    </row>
    <row r="1383">
      <c r="A1383" s="10">
        <f>Daily_Data!A1383</f>
        <v>38461</v>
      </c>
      <c r="B1383" s="11">
        <f>Daily_Data!J1383</f>
        <v>14.96</v>
      </c>
      <c r="C1383" s="11">
        <f>Daily_Data!I1383</f>
        <v>2.72</v>
      </c>
      <c r="D1383" s="12">
        <f>if(sum(Daily_Data!K1383:L1383)&gt;0,1,0)</f>
        <v>0</v>
      </c>
    </row>
    <row r="1384">
      <c r="A1384" s="10">
        <f>Daily_Data!A1384</f>
        <v>38462</v>
      </c>
      <c r="B1384" s="11">
        <f>Daily_Data!J1384</f>
        <v>16.92</v>
      </c>
      <c r="C1384" s="11">
        <f>Daily_Data!I1384</f>
        <v>2.64</v>
      </c>
      <c r="D1384" s="12">
        <f>if(sum(Daily_Data!K1384:L1384)&gt;0,1,0)</f>
        <v>1</v>
      </c>
    </row>
    <row r="1385">
      <c r="A1385" s="10">
        <f>Daily_Data!A1385</f>
        <v>38463</v>
      </c>
      <c r="B1385" s="11">
        <f>Daily_Data!J1385</f>
        <v>14.41</v>
      </c>
      <c r="C1385" s="11">
        <f>Daily_Data!I1385</f>
        <v>2.52</v>
      </c>
      <c r="D1385" s="12">
        <f>if(sum(Daily_Data!K1385:L1385)&gt;0,1,0)</f>
        <v>0</v>
      </c>
    </row>
    <row r="1386">
      <c r="A1386" s="10">
        <f>Daily_Data!A1386</f>
        <v>38464</v>
      </c>
      <c r="B1386" s="11">
        <f>Daily_Data!J1386</f>
        <v>15.38</v>
      </c>
      <c r="C1386" s="11">
        <f>Daily_Data!I1386</f>
        <v>2.58</v>
      </c>
      <c r="D1386" s="12">
        <f>if(sum(Daily_Data!K1386:L1386)&gt;0,1,0)</f>
        <v>0</v>
      </c>
    </row>
    <row r="1387">
      <c r="A1387" s="10">
        <f>Daily_Data!A1387</f>
        <v>38467</v>
      </c>
      <c r="B1387" s="11">
        <f>Daily_Data!J1387</f>
        <v>14.62</v>
      </c>
      <c r="C1387" s="11" t="str">
        <f>Daily_Data!I1387</f>
        <v/>
      </c>
      <c r="D1387" s="12">
        <f>if(sum(Daily_Data!K1387:L1387)&gt;0,1,0)</f>
        <v>0</v>
      </c>
    </row>
    <row r="1388">
      <c r="A1388" s="10">
        <f>Daily_Data!A1388</f>
        <v>38468</v>
      </c>
      <c r="B1388" s="11">
        <f>Daily_Data!J1388</f>
        <v>14.91</v>
      </c>
      <c r="C1388" s="11">
        <f>Daily_Data!I1388</f>
        <v>2.54</v>
      </c>
      <c r="D1388" s="12">
        <f>if(sum(Daily_Data!K1388:L1388)&gt;0,1,0)</f>
        <v>0</v>
      </c>
    </row>
    <row r="1389">
      <c r="A1389" s="10">
        <f>Daily_Data!A1389</f>
        <v>38469</v>
      </c>
      <c r="B1389" s="11">
        <f>Daily_Data!J1389</f>
        <v>14.87</v>
      </c>
      <c r="C1389" s="11">
        <f>Daily_Data!I1389</f>
        <v>2.54</v>
      </c>
      <c r="D1389" s="12">
        <f>if(sum(Daily_Data!K1389:L1389)&gt;0,1,0)</f>
        <v>0</v>
      </c>
    </row>
    <row r="1390">
      <c r="A1390" s="10">
        <f>Daily_Data!A1390</f>
        <v>38470</v>
      </c>
      <c r="B1390" s="11">
        <f>Daily_Data!J1390</f>
        <v>16.86</v>
      </c>
      <c r="C1390" s="11">
        <f>Daily_Data!I1390</f>
        <v>2.6</v>
      </c>
      <c r="D1390" s="12">
        <f>if(sum(Daily_Data!K1390:L1390)&gt;0,1,0)</f>
        <v>0</v>
      </c>
    </row>
    <row r="1391">
      <c r="A1391" s="10">
        <f>Daily_Data!A1391</f>
        <v>38471</v>
      </c>
      <c r="B1391" s="11">
        <f>Daily_Data!J1391</f>
        <v>15.31</v>
      </c>
      <c r="C1391" s="11">
        <f>Daily_Data!I1391</f>
        <v>2.5</v>
      </c>
      <c r="D1391" s="12">
        <f>if(sum(Daily_Data!K1391:L1391)&gt;0,1,0)</f>
        <v>0</v>
      </c>
    </row>
    <row r="1392">
      <c r="A1392" s="10">
        <f>Daily_Data!A1392</f>
        <v>38474</v>
      </c>
      <c r="B1392" s="11">
        <f>Daily_Data!J1392</f>
        <v>15.12</v>
      </c>
      <c r="C1392" s="11">
        <f>Daily_Data!I1392</f>
        <v>2.57</v>
      </c>
      <c r="D1392" s="12">
        <f>if(sum(Daily_Data!K1392:L1392)&gt;0,1,0)</f>
        <v>0</v>
      </c>
    </row>
    <row r="1393">
      <c r="A1393" s="10">
        <f>Daily_Data!A1393</f>
        <v>38475</v>
      </c>
      <c r="B1393" s="11">
        <f>Daily_Data!J1393</f>
        <v>14.53</v>
      </c>
      <c r="C1393" s="11">
        <f>Daily_Data!I1393</f>
        <v>2.54</v>
      </c>
      <c r="D1393" s="12">
        <f>if(sum(Daily_Data!K1393:L1393)&gt;0,1,0)</f>
        <v>0</v>
      </c>
    </row>
    <row r="1394">
      <c r="A1394" s="10">
        <f>Daily_Data!A1394</f>
        <v>38476</v>
      </c>
      <c r="B1394" s="11">
        <f>Daily_Data!J1394</f>
        <v>13.85</v>
      </c>
      <c r="C1394" s="11">
        <f>Daily_Data!I1394</f>
        <v>2.61</v>
      </c>
      <c r="D1394" s="12">
        <f>if(sum(Daily_Data!K1394:L1394)&gt;0,1,0)</f>
        <v>0</v>
      </c>
    </row>
    <row r="1395">
      <c r="A1395" s="10">
        <f>Daily_Data!A1395</f>
        <v>38477</v>
      </c>
      <c r="B1395" s="11">
        <f>Daily_Data!J1395</f>
        <v>13.98</v>
      </c>
      <c r="C1395" s="11">
        <f>Daily_Data!I1395</f>
        <v>2.66</v>
      </c>
      <c r="D1395" s="12">
        <f>if(sum(Daily_Data!K1395:L1395)&gt;0,1,0)</f>
        <v>0</v>
      </c>
    </row>
    <row r="1396">
      <c r="A1396" s="10">
        <f>Daily_Data!A1396</f>
        <v>38478</v>
      </c>
      <c r="B1396" s="11">
        <f>Daily_Data!J1396</f>
        <v>14.05</v>
      </c>
      <c r="C1396" s="11">
        <f>Daily_Data!I1396</f>
        <v>2.51</v>
      </c>
      <c r="D1396" s="12">
        <f>if(sum(Daily_Data!K1396:L1396)&gt;0,1,0)</f>
        <v>1</v>
      </c>
    </row>
    <row r="1397">
      <c r="A1397" s="10">
        <f>Daily_Data!A1397</f>
        <v>38481</v>
      </c>
      <c r="B1397" s="11">
        <f>Daily_Data!J1397</f>
        <v>13.75</v>
      </c>
      <c r="C1397" s="11">
        <f>Daily_Data!I1397</f>
        <v>2.53</v>
      </c>
      <c r="D1397" s="12">
        <f>if(sum(Daily_Data!K1397:L1397)&gt;0,1,0)</f>
        <v>0</v>
      </c>
    </row>
    <row r="1398">
      <c r="A1398" s="10">
        <f>Daily_Data!A1398</f>
        <v>38482</v>
      </c>
      <c r="B1398" s="11">
        <f>Daily_Data!J1398</f>
        <v>14.91</v>
      </c>
      <c r="C1398" s="11">
        <f>Daily_Data!I1398</f>
        <v>2.59</v>
      </c>
      <c r="D1398" s="12">
        <f>if(sum(Daily_Data!K1398:L1398)&gt;0,1,0)</f>
        <v>0</v>
      </c>
    </row>
    <row r="1399">
      <c r="A1399" s="10">
        <f>Daily_Data!A1399</f>
        <v>38483</v>
      </c>
      <c r="B1399" s="11">
        <f>Daily_Data!J1399</f>
        <v>14.45</v>
      </c>
      <c r="C1399" s="11">
        <f>Daily_Data!I1399</f>
        <v>2.57</v>
      </c>
      <c r="D1399" s="12">
        <f>if(sum(Daily_Data!K1399:L1399)&gt;0,1,0)</f>
        <v>0</v>
      </c>
    </row>
    <row r="1400">
      <c r="A1400" s="10">
        <f>Daily_Data!A1400</f>
        <v>38484</v>
      </c>
      <c r="B1400" s="11">
        <f>Daily_Data!J1400</f>
        <v>16.12</v>
      </c>
      <c r="C1400" s="11">
        <f>Daily_Data!I1400</f>
        <v>2.54</v>
      </c>
      <c r="D1400" s="12">
        <f>if(sum(Daily_Data!K1400:L1400)&gt;0,1,0)</f>
        <v>0</v>
      </c>
    </row>
    <row r="1401">
      <c r="A1401" s="10">
        <f>Daily_Data!A1401</f>
        <v>38485</v>
      </c>
      <c r="B1401" s="11">
        <f>Daily_Data!J1401</f>
        <v>16.32</v>
      </c>
      <c r="C1401" s="11">
        <f>Daily_Data!I1401</f>
        <v>2.58</v>
      </c>
      <c r="D1401" s="12">
        <f>if(sum(Daily_Data!K1401:L1401)&gt;0,1,0)</f>
        <v>0</v>
      </c>
    </row>
    <row r="1402">
      <c r="A1402" s="10">
        <f>Daily_Data!A1402</f>
        <v>38488</v>
      </c>
      <c r="B1402" s="11">
        <f>Daily_Data!J1402</f>
        <v>15.68</v>
      </c>
      <c r="C1402" s="11">
        <f>Daily_Data!I1402</f>
        <v>2.5</v>
      </c>
      <c r="D1402" s="12">
        <f>if(sum(Daily_Data!K1402:L1402)&gt;0,1,0)</f>
        <v>0</v>
      </c>
    </row>
    <row r="1403">
      <c r="A1403" s="10">
        <f>Daily_Data!A1403</f>
        <v>38489</v>
      </c>
      <c r="B1403" s="11">
        <f>Daily_Data!J1403</f>
        <v>14.57</v>
      </c>
      <c r="C1403" s="11">
        <f>Daily_Data!I1403</f>
        <v>2.54</v>
      </c>
      <c r="D1403" s="12">
        <f>if(sum(Daily_Data!K1403:L1403)&gt;0,1,0)</f>
        <v>0</v>
      </c>
    </row>
    <row r="1404">
      <c r="A1404" s="10">
        <f>Daily_Data!A1404</f>
        <v>38490</v>
      </c>
      <c r="B1404" s="11">
        <f>Daily_Data!J1404</f>
        <v>13.63</v>
      </c>
      <c r="C1404" s="11">
        <f>Daily_Data!I1404</f>
        <v>2.6</v>
      </c>
      <c r="D1404" s="12">
        <f>if(sum(Daily_Data!K1404:L1404)&gt;0,1,0)</f>
        <v>1</v>
      </c>
    </row>
    <row r="1405">
      <c r="A1405" s="10">
        <f>Daily_Data!A1405</f>
        <v>38491</v>
      </c>
      <c r="B1405" s="11">
        <f>Daily_Data!J1405</f>
        <v>13.32</v>
      </c>
      <c r="C1405" s="11">
        <f>Daily_Data!I1405</f>
        <v>2.51</v>
      </c>
      <c r="D1405" s="12">
        <f>if(sum(Daily_Data!K1405:L1405)&gt;0,1,0)</f>
        <v>0</v>
      </c>
    </row>
    <row r="1406">
      <c r="A1406" s="10">
        <f>Daily_Data!A1406</f>
        <v>38492</v>
      </c>
      <c r="B1406" s="11">
        <f>Daily_Data!J1406</f>
        <v>13.14</v>
      </c>
      <c r="C1406" s="11">
        <f>Daily_Data!I1406</f>
        <v>2.49</v>
      </c>
      <c r="D1406" s="12">
        <f>if(sum(Daily_Data!K1406:L1406)&gt;0,1,0)</f>
        <v>0</v>
      </c>
    </row>
    <row r="1407">
      <c r="A1407" s="10">
        <f>Daily_Data!A1407</f>
        <v>38495</v>
      </c>
      <c r="B1407" s="11">
        <f>Daily_Data!J1407</f>
        <v>12.95</v>
      </c>
      <c r="C1407" s="11">
        <f>Daily_Data!I1407</f>
        <v>2.55</v>
      </c>
      <c r="D1407" s="12">
        <f>if(sum(Daily_Data!K1407:L1407)&gt;0,1,0)</f>
        <v>0</v>
      </c>
    </row>
    <row r="1408">
      <c r="A1408" s="10">
        <f>Daily_Data!A1408</f>
        <v>38496</v>
      </c>
      <c r="B1408" s="11">
        <f>Daily_Data!J1408</f>
        <v>12.69</v>
      </c>
      <c r="C1408" s="11">
        <f>Daily_Data!I1408</f>
        <v>2.58</v>
      </c>
      <c r="D1408" s="12">
        <f>if(sum(Daily_Data!K1408:L1408)&gt;0,1,0)</f>
        <v>0</v>
      </c>
    </row>
    <row r="1409">
      <c r="A1409" s="10">
        <f>Daily_Data!A1409</f>
        <v>38497</v>
      </c>
      <c r="B1409" s="11">
        <f>Daily_Data!J1409</f>
        <v>12.58</v>
      </c>
      <c r="C1409" s="11">
        <f>Daily_Data!I1409</f>
        <v>2.55</v>
      </c>
      <c r="D1409" s="12">
        <f>if(sum(Daily_Data!K1409:L1409)&gt;0,1,0)</f>
        <v>0</v>
      </c>
    </row>
    <row r="1410">
      <c r="A1410" s="10">
        <f>Daily_Data!A1410</f>
        <v>38498</v>
      </c>
      <c r="B1410" s="11">
        <f>Daily_Data!J1410</f>
        <v>12.24</v>
      </c>
      <c r="C1410" s="11">
        <f>Daily_Data!I1410</f>
        <v>2.53</v>
      </c>
      <c r="D1410" s="12">
        <f>if(sum(Daily_Data!K1410:L1410)&gt;0,1,0)</f>
        <v>0</v>
      </c>
    </row>
    <row r="1411">
      <c r="A1411" s="10">
        <f>Daily_Data!A1411</f>
        <v>38499</v>
      </c>
      <c r="B1411" s="11">
        <f>Daily_Data!J1411</f>
        <v>12.15</v>
      </c>
      <c r="C1411" s="11">
        <f>Daily_Data!I1411</f>
        <v>2.52</v>
      </c>
      <c r="D1411" s="12">
        <f>if(sum(Daily_Data!K1411:L1411)&gt;0,1,0)</f>
        <v>0</v>
      </c>
    </row>
    <row r="1412">
      <c r="A1412" s="10">
        <f>Daily_Data!A1412</f>
        <v>38502</v>
      </c>
      <c r="B1412" s="11" t="str">
        <f>Daily_Data!J1412</f>
        <v/>
      </c>
      <c r="C1412" s="11" t="str">
        <f>Daily_Data!I1412</f>
        <v/>
      </c>
      <c r="D1412" s="12">
        <f>if(sum(Daily_Data!K1412:L1412)&gt;0,1,0)</f>
        <v>0</v>
      </c>
    </row>
    <row r="1413">
      <c r="A1413" s="10">
        <f>Daily_Data!A1413</f>
        <v>38503</v>
      </c>
      <c r="B1413" s="11">
        <f>Daily_Data!J1413</f>
        <v>13.29</v>
      </c>
      <c r="C1413" s="11">
        <f>Daily_Data!I1413</f>
        <v>2.46</v>
      </c>
      <c r="D1413" s="12">
        <f>if(sum(Daily_Data!K1413:L1413)&gt;0,1,0)</f>
        <v>0</v>
      </c>
    </row>
    <row r="1414">
      <c r="A1414" s="10">
        <f>Daily_Data!A1414</f>
        <v>38504</v>
      </c>
      <c r="B1414" s="11">
        <f>Daily_Data!J1414</f>
        <v>12.36</v>
      </c>
      <c r="C1414" s="11">
        <f>Daily_Data!I1414</f>
        <v>2.52</v>
      </c>
      <c r="D1414" s="12">
        <f>if(sum(Daily_Data!K1414:L1414)&gt;0,1,0)</f>
        <v>0</v>
      </c>
    </row>
    <row r="1415">
      <c r="A1415" s="10">
        <f>Daily_Data!A1415</f>
        <v>38505</v>
      </c>
      <c r="B1415" s="11">
        <f>Daily_Data!J1415</f>
        <v>11.84</v>
      </c>
      <c r="C1415" s="11">
        <f>Daily_Data!I1415</f>
        <v>2.47</v>
      </c>
      <c r="D1415" s="12">
        <f>if(sum(Daily_Data!K1415:L1415)&gt;0,1,0)</f>
        <v>0</v>
      </c>
    </row>
    <row r="1416">
      <c r="A1416" s="10">
        <f>Daily_Data!A1416</f>
        <v>38506</v>
      </c>
      <c r="B1416" s="11">
        <f>Daily_Data!J1416</f>
        <v>12.15</v>
      </c>
      <c r="C1416" s="11">
        <f>Daily_Data!I1416</f>
        <v>2.43</v>
      </c>
      <c r="D1416" s="12">
        <f>if(sum(Daily_Data!K1416:L1416)&gt;0,1,0)</f>
        <v>1</v>
      </c>
    </row>
    <row r="1417">
      <c r="A1417" s="10">
        <f>Daily_Data!A1417</f>
        <v>38509</v>
      </c>
      <c r="B1417" s="11">
        <f>Daily_Data!J1417</f>
        <v>12.28</v>
      </c>
      <c r="C1417" s="11" t="str">
        <f>Daily_Data!I1417</f>
        <v/>
      </c>
      <c r="D1417" s="12">
        <f>if(sum(Daily_Data!K1417:L1417)&gt;0,1,0)</f>
        <v>0</v>
      </c>
    </row>
    <row r="1418">
      <c r="A1418" s="10">
        <f>Daily_Data!A1418</f>
        <v>38510</v>
      </c>
      <c r="B1418" s="11">
        <f>Daily_Data!J1418</f>
        <v>12.39</v>
      </c>
      <c r="C1418" s="11">
        <f>Daily_Data!I1418</f>
        <v>2.37</v>
      </c>
      <c r="D1418" s="12">
        <f>if(sum(Daily_Data!K1418:L1418)&gt;0,1,0)</f>
        <v>0</v>
      </c>
    </row>
    <row r="1419">
      <c r="A1419" s="10">
        <f>Daily_Data!A1419</f>
        <v>38511</v>
      </c>
      <c r="B1419" s="11">
        <f>Daily_Data!J1419</f>
        <v>12.7</v>
      </c>
      <c r="C1419" s="11">
        <f>Daily_Data!I1419</f>
        <v>2.3</v>
      </c>
      <c r="D1419" s="12">
        <f>if(sum(Daily_Data!K1419:L1419)&gt;0,1,0)</f>
        <v>0</v>
      </c>
    </row>
    <row r="1420">
      <c r="A1420" s="10">
        <f>Daily_Data!A1420</f>
        <v>38512</v>
      </c>
      <c r="B1420" s="11">
        <f>Daily_Data!J1420</f>
        <v>12.08</v>
      </c>
      <c r="C1420" s="11">
        <f>Daily_Data!I1420</f>
        <v>2.34</v>
      </c>
      <c r="D1420" s="12">
        <f>if(sum(Daily_Data!K1420:L1420)&gt;0,1,0)</f>
        <v>0</v>
      </c>
    </row>
    <row r="1421">
      <c r="A1421" s="10">
        <f>Daily_Data!A1421</f>
        <v>38513</v>
      </c>
      <c r="B1421" s="11">
        <f>Daily_Data!J1421</f>
        <v>11.96</v>
      </c>
      <c r="C1421" s="11">
        <f>Daily_Data!I1421</f>
        <v>2.31</v>
      </c>
      <c r="D1421" s="12">
        <f>if(sum(Daily_Data!K1421:L1421)&gt;0,1,0)</f>
        <v>0</v>
      </c>
    </row>
    <row r="1422">
      <c r="A1422" s="10">
        <f>Daily_Data!A1422</f>
        <v>38516</v>
      </c>
      <c r="B1422" s="11">
        <f>Daily_Data!J1422</f>
        <v>11.65</v>
      </c>
      <c r="C1422" s="11">
        <f>Daily_Data!I1422</f>
        <v>2.37</v>
      </c>
      <c r="D1422" s="12">
        <f>if(sum(Daily_Data!K1422:L1422)&gt;0,1,0)</f>
        <v>0</v>
      </c>
    </row>
    <row r="1423">
      <c r="A1423" s="10">
        <f>Daily_Data!A1423</f>
        <v>38517</v>
      </c>
      <c r="B1423" s="11">
        <f>Daily_Data!J1423</f>
        <v>11.79</v>
      </c>
      <c r="C1423" s="11">
        <f>Daily_Data!I1423</f>
        <v>2.41</v>
      </c>
      <c r="D1423" s="12">
        <f>if(sum(Daily_Data!K1423:L1423)&gt;0,1,0)</f>
        <v>0</v>
      </c>
    </row>
    <row r="1424">
      <c r="A1424" s="10">
        <f>Daily_Data!A1424</f>
        <v>38518</v>
      </c>
      <c r="B1424" s="11">
        <f>Daily_Data!J1424</f>
        <v>11.46</v>
      </c>
      <c r="C1424" s="11">
        <f>Daily_Data!I1424</f>
        <v>2.43</v>
      </c>
      <c r="D1424" s="12">
        <f>if(sum(Daily_Data!K1424:L1424)&gt;0,1,0)</f>
        <v>1</v>
      </c>
    </row>
    <row r="1425">
      <c r="A1425" s="10">
        <f>Daily_Data!A1425</f>
        <v>38519</v>
      </c>
      <c r="B1425" s="11">
        <f>Daily_Data!J1425</f>
        <v>11.15</v>
      </c>
      <c r="C1425" s="11">
        <f>Daily_Data!I1425</f>
        <v>2.43</v>
      </c>
      <c r="D1425" s="12">
        <f>if(sum(Daily_Data!K1425:L1425)&gt;0,1,0)</f>
        <v>0</v>
      </c>
    </row>
    <row r="1426">
      <c r="A1426" s="10">
        <f>Daily_Data!A1426</f>
        <v>38520</v>
      </c>
      <c r="B1426" s="11">
        <f>Daily_Data!J1426</f>
        <v>11.48</v>
      </c>
      <c r="C1426" s="11">
        <f>Daily_Data!I1426</f>
        <v>2.39</v>
      </c>
      <c r="D1426" s="12">
        <f>if(sum(Daily_Data!K1426:L1426)&gt;0,1,0)</f>
        <v>0</v>
      </c>
    </row>
    <row r="1427">
      <c r="A1427" s="10">
        <f>Daily_Data!A1427</f>
        <v>38523</v>
      </c>
      <c r="B1427" s="11">
        <f>Daily_Data!J1427</f>
        <v>11.47</v>
      </c>
      <c r="C1427" s="11">
        <f>Daily_Data!I1427</f>
        <v>2.4</v>
      </c>
      <c r="D1427" s="12">
        <f>if(sum(Daily_Data!K1427:L1427)&gt;0,1,0)</f>
        <v>0</v>
      </c>
    </row>
    <row r="1428">
      <c r="A1428" s="10">
        <f>Daily_Data!A1428</f>
        <v>38524</v>
      </c>
      <c r="B1428" s="11">
        <f>Daily_Data!J1428</f>
        <v>11.08</v>
      </c>
      <c r="C1428" s="11">
        <f>Daily_Data!I1428</f>
        <v>2.43</v>
      </c>
      <c r="D1428" s="12">
        <f>if(sum(Daily_Data!K1428:L1428)&gt;0,1,0)</f>
        <v>0</v>
      </c>
    </row>
    <row r="1429">
      <c r="A1429" s="10">
        <f>Daily_Data!A1429</f>
        <v>38525</v>
      </c>
      <c r="B1429" s="11">
        <f>Daily_Data!J1429</f>
        <v>11.05</v>
      </c>
      <c r="C1429" s="11">
        <f>Daily_Data!I1429</f>
        <v>2.5</v>
      </c>
      <c r="D1429" s="12">
        <f>if(sum(Daily_Data!K1429:L1429)&gt;0,1,0)</f>
        <v>0</v>
      </c>
    </row>
    <row r="1430">
      <c r="A1430" s="10">
        <f>Daily_Data!A1430</f>
        <v>38526</v>
      </c>
      <c r="B1430" s="11">
        <f>Daily_Data!J1430</f>
        <v>12.13</v>
      </c>
      <c r="C1430" s="11">
        <f>Daily_Data!I1430</f>
        <v>2.48</v>
      </c>
      <c r="D1430" s="12">
        <f>if(sum(Daily_Data!K1430:L1430)&gt;0,1,0)</f>
        <v>0</v>
      </c>
    </row>
    <row r="1431">
      <c r="A1431" s="10">
        <f>Daily_Data!A1431</f>
        <v>38527</v>
      </c>
      <c r="B1431" s="11">
        <f>Daily_Data!J1431</f>
        <v>12.18</v>
      </c>
      <c r="C1431" s="11">
        <f>Daily_Data!I1431</f>
        <v>2.46</v>
      </c>
      <c r="D1431" s="12">
        <f>if(sum(Daily_Data!K1431:L1431)&gt;0,1,0)</f>
        <v>0</v>
      </c>
    </row>
    <row r="1432">
      <c r="A1432" s="10">
        <f>Daily_Data!A1432</f>
        <v>38530</v>
      </c>
      <c r="B1432" s="11">
        <f>Daily_Data!J1432</f>
        <v>12.52</v>
      </c>
      <c r="C1432" s="11">
        <f>Daily_Data!I1432</f>
        <v>2.37</v>
      </c>
      <c r="D1432" s="12">
        <f>if(sum(Daily_Data!K1432:L1432)&gt;0,1,0)</f>
        <v>0</v>
      </c>
    </row>
    <row r="1433">
      <c r="A1433" s="10">
        <f>Daily_Data!A1433</f>
        <v>38531</v>
      </c>
      <c r="B1433" s="11">
        <f>Daily_Data!J1433</f>
        <v>11.58</v>
      </c>
      <c r="C1433" s="11">
        <f>Daily_Data!I1433</f>
        <v>2.35</v>
      </c>
      <c r="D1433" s="12">
        <f>if(sum(Daily_Data!K1433:L1433)&gt;0,1,0)</f>
        <v>0</v>
      </c>
    </row>
    <row r="1434">
      <c r="A1434" s="10">
        <f>Daily_Data!A1434</f>
        <v>38532</v>
      </c>
      <c r="B1434" s="11">
        <f>Daily_Data!J1434</f>
        <v>11.77</v>
      </c>
      <c r="C1434" s="11">
        <f>Daily_Data!I1434</f>
        <v>2.38</v>
      </c>
      <c r="D1434" s="12">
        <f>if(sum(Daily_Data!K1434:L1434)&gt;0,1,0)</f>
        <v>0</v>
      </c>
    </row>
    <row r="1435">
      <c r="A1435" s="10">
        <f>Daily_Data!A1435</f>
        <v>38533</v>
      </c>
      <c r="B1435" s="11">
        <f>Daily_Data!J1435</f>
        <v>12.04</v>
      </c>
      <c r="C1435" s="11">
        <f>Daily_Data!I1435</f>
        <v>2.38</v>
      </c>
      <c r="D1435" s="12">
        <f>if(sum(Daily_Data!K1435:L1435)&gt;0,1,0)</f>
        <v>0</v>
      </c>
    </row>
    <row r="1436">
      <c r="A1436" s="10">
        <f>Daily_Data!A1436</f>
        <v>38534</v>
      </c>
      <c r="B1436" s="11">
        <f>Daily_Data!J1436</f>
        <v>11.4</v>
      </c>
      <c r="C1436" s="11">
        <f>Daily_Data!I1436</f>
        <v>2.24</v>
      </c>
      <c r="D1436" s="12">
        <f>if(sum(Daily_Data!K1436:L1436)&gt;0,1,0)</f>
        <v>0</v>
      </c>
    </row>
    <row r="1437">
      <c r="A1437" s="10">
        <f>Daily_Data!A1437</f>
        <v>38537</v>
      </c>
      <c r="B1437" s="11" t="str">
        <f>Daily_Data!J1437</f>
        <v/>
      </c>
      <c r="C1437" s="11" t="str">
        <f>Daily_Data!I1437</f>
        <v/>
      </c>
      <c r="D1437" s="12">
        <f>if(sum(Daily_Data!K1437:L1437)&gt;0,1,0)</f>
        <v>0</v>
      </c>
    </row>
    <row r="1438">
      <c r="A1438" s="10">
        <f>Daily_Data!A1438</f>
        <v>38538</v>
      </c>
      <c r="B1438" s="11">
        <f>Daily_Data!J1438</f>
        <v>11.68</v>
      </c>
      <c r="C1438" s="11">
        <f>Daily_Data!I1438</f>
        <v>2.28</v>
      </c>
      <c r="D1438" s="12">
        <f>if(sum(Daily_Data!K1438:L1438)&gt;0,1,0)</f>
        <v>0</v>
      </c>
    </row>
    <row r="1439">
      <c r="A1439" s="10">
        <f>Daily_Data!A1439</f>
        <v>38539</v>
      </c>
      <c r="B1439" s="11">
        <f>Daily_Data!J1439</f>
        <v>12.27</v>
      </c>
      <c r="C1439" s="11">
        <f>Daily_Data!I1439</f>
        <v>2.31</v>
      </c>
      <c r="D1439" s="12">
        <f>if(sum(Daily_Data!K1439:L1439)&gt;0,1,0)</f>
        <v>0</v>
      </c>
    </row>
    <row r="1440">
      <c r="A1440" s="10">
        <f>Daily_Data!A1440</f>
        <v>38540</v>
      </c>
      <c r="B1440" s="11">
        <f>Daily_Data!J1440</f>
        <v>12.49</v>
      </c>
      <c r="C1440" s="11">
        <f>Daily_Data!I1440</f>
        <v>2.34</v>
      </c>
      <c r="D1440" s="12">
        <f>if(sum(Daily_Data!K1440:L1440)&gt;0,1,0)</f>
        <v>0</v>
      </c>
    </row>
    <row r="1441">
      <c r="A1441" s="10">
        <f>Daily_Data!A1441</f>
        <v>38541</v>
      </c>
      <c r="B1441" s="11">
        <f>Daily_Data!J1441</f>
        <v>11.45</v>
      </c>
      <c r="C1441" s="11">
        <f>Daily_Data!I1441</f>
        <v>2.24</v>
      </c>
      <c r="D1441" s="12">
        <f>if(sum(Daily_Data!K1441:L1441)&gt;0,1,0)</f>
        <v>1</v>
      </c>
    </row>
    <row r="1442">
      <c r="A1442" s="10">
        <f>Daily_Data!A1442</f>
        <v>38544</v>
      </c>
      <c r="B1442" s="11">
        <f>Daily_Data!J1442</f>
        <v>11.28</v>
      </c>
      <c r="C1442" s="11">
        <f>Daily_Data!I1442</f>
        <v>2.25</v>
      </c>
      <c r="D1442" s="12">
        <f>if(sum(Daily_Data!K1442:L1442)&gt;0,1,0)</f>
        <v>0</v>
      </c>
    </row>
    <row r="1443">
      <c r="A1443" s="10">
        <f>Daily_Data!A1443</f>
        <v>38545</v>
      </c>
      <c r="B1443" s="11">
        <f>Daily_Data!J1443</f>
        <v>10.95</v>
      </c>
      <c r="C1443" s="11">
        <f>Daily_Data!I1443</f>
        <v>2.21</v>
      </c>
      <c r="D1443" s="12">
        <f>if(sum(Daily_Data!K1443:L1443)&gt;0,1,0)</f>
        <v>0</v>
      </c>
    </row>
    <row r="1444">
      <c r="A1444" s="10">
        <f>Daily_Data!A1444</f>
        <v>38546</v>
      </c>
      <c r="B1444" s="11">
        <f>Daily_Data!J1444</f>
        <v>10.84</v>
      </c>
      <c r="C1444" s="11">
        <f>Daily_Data!I1444</f>
        <v>2.16</v>
      </c>
      <c r="D1444" s="12">
        <f>if(sum(Daily_Data!K1444:L1444)&gt;0,1,0)</f>
        <v>0</v>
      </c>
    </row>
    <row r="1445">
      <c r="A1445" s="10">
        <f>Daily_Data!A1445</f>
        <v>38547</v>
      </c>
      <c r="B1445" s="11">
        <f>Daily_Data!J1445</f>
        <v>10.81</v>
      </c>
      <c r="C1445" s="11">
        <f>Daily_Data!I1445</f>
        <v>2.03</v>
      </c>
      <c r="D1445" s="12">
        <f>if(sum(Daily_Data!K1445:L1445)&gt;0,1,0)</f>
        <v>1</v>
      </c>
    </row>
    <row r="1446">
      <c r="A1446" s="10">
        <f>Daily_Data!A1446</f>
        <v>38548</v>
      </c>
      <c r="B1446" s="11">
        <f>Daily_Data!J1446</f>
        <v>10.33</v>
      </c>
      <c r="C1446" s="11">
        <f>Daily_Data!I1446</f>
        <v>2.03</v>
      </c>
      <c r="D1446" s="12">
        <f>if(sum(Daily_Data!K1446:L1446)&gt;0,1,0)</f>
        <v>0</v>
      </c>
    </row>
    <row r="1447">
      <c r="A1447" s="10">
        <f>Daily_Data!A1447</f>
        <v>38551</v>
      </c>
      <c r="B1447" s="11">
        <f>Daily_Data!J1447</f>
        <v>10.77</v>
      </c>
      <c r="C1447" s="11">
        <f>Daily_Data!I1447</f>
        <v>2.02</v>
      </c>
      <c r="D1447" s="12">
        <f>if(sum(Daily_Data!K1447:L1447)&gt;0,1,0)</f>
        <v>0</v>
      </c>
    </row>
    <row r="1448">
      <c r="A1448" s="10">
        <f>Daily_Data!A1448</f>
        <v>38552</v>
      </c>
      <c r="B1448" s="11">
        <f>Daily_Data!J1448</f>
        <v>10.45</v>
      </c>
      <c r="C1448" s="11">
        <f>Daily_Data!I1448</f>
        <v>2.06</v>
      </c>
      <c r="D1448" s="12">
        <f>if(sum(Daily_Data!K1448:L1448)&gt;0,1,0)</f>
        <v>0</v>
      </c>
    </row>
    <row r="1449">
      <c r="A1449" s="10">
        <f>Daily_Data!A1449</f>
        <v>38553</v>
      </c>
      <c r="B1449" s="11">
        <f>Daily_Data!J1449</f>
        <v>10.23</v>
      </c>
      <c r="C1449" s="11">
        <f>Daily_Data!I1449</f>
        <v>2.04</v>
      </c>
      <c r="D1449" s="12">
        <f>if(sum(Daily_Data!K1449:L1449)&gt;0,1,0)</f>
        <v>0</v>
      </c>
    </row>
    <row r="1450">
      <c r="A1450" s="10">
        <f>Daily_Data!A1450</f>
        <v>38554</v>
      </c>
      <c r="B1450" s="11">
        <f>Daily_Data!J1450</f>
        <v>10.97</v>
      </c>
      <c r="C1450" s="11">
        <f>Daily_Data!I1450</f>
        <v>2</v>
      </c>
      <c r="D1450" s="12">
        <f>if(sum(Daily_Data!K1450:L1450)&gt;0,1,0)</f>
        <v>0</v>
      </c>
    </row>
    <row r="1451">
      <c r="A1451" s="10">
        <f>Daily_Data!A1451</f>
        <v>38555</v>
      </c>
      <c r="B1451" s="11">
        <f>Daily_Data!J1451</f>
        <v>10.52</v>
      </c>
      <c r="C1451" s="11">
        <f>Daily_Data!I1451</f>
        <v>2.12</v>
      </c>
      <c r="D1451" s="12">
        <f>if(sum(Daily_Data!K1451:L1451)&gt;0,1,0)</f>
        <v>0</v>
      </c>
    </row>
    <row r="1452">
      <c r="A1452" s="10">
        <f>Daily_Data!A1452</f>
        <v>38558</v>
      </c>
      <c r="B1452" s="11">
        <f>Daily_Data!J1452</f>
        <v>11.1</v>
      </c>
      <c r="C1452" s="11">
        <f>Daily_Data!I1452</f>
        <v>2.03</v>
      </c>
      <c r="D1452" s="12">
        <f>if(sum(Daily_Data!K1452:L1452)&gt;0,1,0)</f>
        <v>0</v>
      </c>
    </row>
    <row r="1453">
      <c r="A1453" s="10">
        <f>Daily_Data!A1453</f>
        <v>38559</v>
      </c>
      <c r="B1453" s="11">
        <f>Daily_Data!J1453</f>
        <v>10.99</v>
      </c>
      <c r="C1453" s="11">
        <f>Daily_Data!I1453</f>
        <v>2.05</v>
      </c>
      <c r="D1453" s="12">
        <f>if(sum(Daily_Data!K1453:L1453)&gt;0,1,0)</f>
        <v>0</v>
      </c>
    </row>
    <row r="1454">
      <c r="A1454" s="10">
        <f>Daily_Data!A1454</f>
        <v>38560</v>
      </c>
      <c r="B1454" s="11">
        <f>Daily_Data!J1454</f>
        <v>10.36</v>
      </c>
      <c r="C1454" s="11">
        <f>Daily_Data!I1454</f>
        <v>2</v>
      </c>
      <c r="D1454" s="12">
        <f>if(sum(Daily_Data!K1454:L1454)&gt;0,1,0)</f>
        <v>0</v>
      </c>
    </row>
    <row r="1455">
      <c r="A1455" s="10">
        <f>Daily_Data!A1455</f>
        <v>38561</v>
      </c>
      <c r="B1455" s="11">
        <f>Daily_Data!J1455</f>
        <v>10.52</v>
      </c>
      <c r="C1455" s="11">
        <f>Daily_Data!I1455</f>
        <v>2.01</v>
      </c>
      <c r="D1455" s="12">
        <f>if(sum(Daily_Data!K1455:L1455)&gt;0,1,0)</f>
        <v>0</v>
      </c>
    </row>
    <row r="1456">
      <c r="A1456" s="10">
        <f>Daily_Data!A1456</f>
        <v>38562</v>
      </c>
      <c r="B1456" s="11">
        <f>Daily_Data!J1456</f>
        <v>11.57</v>
      </c>
      <c r="C1456" s="11">
        <f>Daily_Data!I1456</f>
        <v>1.94</v>
      </c>
      <c r="D1456" s="12">
        <f>if(sum(Daily_Data!K1456:L1456)&gt;0,1,0)</f>
        <v>0</v>
      </c>
    </row>
    <row r="1457">
      <c r="A1457" s="10">
        <f>Daily_Data!A1457</f>
        <v>38565</v>
      </c>
      <c r="B1457" s="11">
        <f>Daily_Data!J1457</f>
        <v>12.08</v>
      </c>
      <c r="C1457" s="11">
        <f>Daily_Data!I1457</f>
        <v>1.94</v>
      </c>
      <c r="D1457" s="12">
        <f>if(sum(Daily_Data!K1457:L1457)&gt;0,1,0)</f>
        <v>0</v>
      </c>
    </row>
    <row r="1458">
      <c r="A1458" s="10">
        <f>Daily_Data!A1458</f>
        <v>38566</v>
      </c>
      <c r="B1458" s="11">
        <f>Daily_Data!J1458</f>
        <v>11.75</v>
      </c>
      <c r="C1458" s="11">
        <f>Daily_Data!I1458</f>
        <v>1.94</v>
      </c>
      <c r="D1458" s="12">
        <f>if(sum(Daily_Data!K1458:L1458)&gt;0,1,0)</f>
        <v>0</v>
      </c>
    </row>
    <row r="1459">
      <c r="A1459" s="10">
        <f>Daily_Data!A1459</f>
        <v>38567</v>
      </c>
      <c r="B1459" s="11">
        <f>Daily_Data!J1459</f>
        <v>11.83</v>
      </c>
      <c r="C1459" s="11">
        <f>Daily_Data!I1459</f>
        <v>2</v>
      </c>
      <c r="D1459" s="12">
        <f>if(sum(Daily_Data!K1459:L1459)&gt;0,1,0)</f>
        <v>0</v>
      </c>
    </row>
    <row r="1460">
      <c r="A1460" s="10">
        <f>Daily_Data!A1460</f>
        <v>38568</v>
      </c>
      <c r="B1460" s="11">
        <f>Daily_Data!J1460</f>
        <v>12.52</v>
      </c>
      <c r="C1460" s="11">
        <f>Daily_Data!I1460</f>
        <v>1.97</v>
      </c>
      <c r="D1460" s="12">
        <f>if(sum(Daily_Data!K1460:L1460)&gt;0,1,0)</f>
        <v>0</v>
      </c>
    </row>
    <row r="1461">
      <c r="A1461" s="10">
        <f>Daily_Data!A1461</f>
        <v>38569</v>
      </c>
      <c r="B1461" s="11">
        <f>Daily_Data!J1461</f>
        <v>12.48</v>
      </c>
      <c r="C1461" s="11">
        <f>Daily_Data!I1461</f>
        <v>1.91</v>
      </c>
      <c r="D1461" s="12">
        <f>if(sum(Daily_Data!K1461:L1461)&gt;0,1,0)</f>
        <v>1</v>
      </c>
    </row>
    <row r="1462">
      <c r="A1462" s="10">
        <f>Daily_Data!A1462</f>
        <v>38572</v>
      </c>
      <c r="B1462" s="11">
        <f>Daily_Data!J1462</f>
        <v>13.21</v>
      </c>
      <c r="C1462" s="11">
        <f>Daily_Data!I1462</f>
        <v>1.9</v>
      </c>
      <c r="D1462" s="12">
        <f>if(sum(Daily_Data!K1462:L1462)&gt;0,1,0)</f>
        <v>0</v>
      </c>
    </row>
    <row r="1463">
      <c r="A1463" s="10">
        <f>Daily_Data!A1463</f>
        <v>38573</v>
      </c>
      <c r="B1463" s="11">
        <f>Daily_Data!J1463</f>
        <v>12.4</v>
      </c>
      <c r="C1463" s="11">
        <f>Daily_Data!I1463</f>
        <v>1.91</v>
      </c>
      <c r="D1463" s="12">
        <f>if(sum(Daily_Data!K1463:L1463)&gt;0,1,0)</f>
        <v>0</v>
      </c>
    </row>
    <row r="1464">
      <c r="A1464" s="10">
        <f>Daily_Data!A1464</f>
        <v>38574</v>
      </c>
      <c r="B1464" s="11">
        <f>Daily_Data!J1464</f>
        <v>12.38</v>
      </c>
      <c r="C1464" s="11">
        <f>Daily_Data!I1464</f>
        <v>1.89</v>
      </c>
      <c r="D1464" s="12">
        <f>if(sum(Daily_Data!K1464:L1464)&gt;0,1,0)</f>
        <v>0</v>
      </c>
    </row>
    <row r="1465">
      <c r="A1465" s="10">
        <f>Daily_Data!A1465</f>
        <v>38575</v>
      </c>
      <c r="B1465" s="11">
        <f>Daily_Data!J1465</f>
        <v>12.42</v>
      </c>
      <c r="C1465" s="11">
        <f>Daily_Data!I1465</f>
        <v>1.95</v>
      </c>
      <c r="D1465" s="12">
        <f>if(sum(Daily_Data!K1465:L1465)&gt;0,1,0)</f>
        <v>0</v>
      </c>
    </row>
    <row r="1466">
      <c r="A1466" s="10">
        <f>Daily_Data!A1466</f>
        <v>38576</v>
      </c>
      <c r="B1466" s="11">
        <f>Daily_Data!J1466</f>
        <v>12.74</v>
      </c>
      <c r="C1466" s="11">
        <f>Daily_Data!I1466</f>
        <v>1.98</v>
      </c>
      <c r="D1466" s="12">
        <f>if(sum(Daily_Data!K1466:L1466)&gt;0,1,0)</f>
        <v>0</v>
      </c>
    </row>
    <row r="1467">
      <c r="A1467" s="10">
        <f>Daily_Data!A1467</f>
        <v>38579</v>
      </c>
      <c r="B1467" s="11">
        <f>Daily_Data!J1467</f>
        <v>12.26</v>
      </c>
      <c r="C1467" s="11">
        <f>Daily_Data!I1467</f>
        <v>1.92</v>
      </c>
      <c r="D1467" s="12">
        <f>if(sum(Daily_Data!K1467:L1467)&gt;0,1,0)</f>
        <v>0</v>
      </c>
    </row>
    <row r="1468">
      <c r="A1468" s="10">
        <f>Daily_Data!A1468</f>
        <v>38580</v>
      </c>
      <c r="B1468" s="11">
        <f>Daily_Data!J1468</f>
        <v>13.52</v>
      </c>
      <c r="C1468" s="11">
        <f>Daily_Data!I1468</f>
        <v>1.97</v>
      </c>
      <c r="D1468" s="12">
        <f>if(sum(Daily_Data!K1468:L1468)&gt;0,1,0)</f>
        <v>1</v>
      </c>
    </row>
    <row r="1469">
      <c r="A1469" s="10">
        <f>Daily_Data!A1469</f>
        <v>38581</v>
      </c>
      <c r="B1469" s="11">
        <f>Daily_Data!J1469</f>
        <v>13.3</v>
      </c>
      <c r="C1469" s="11">
        <f>Daily_Data!I1469</f>
        <v>1.91</v>
      </c>
      <c r="D1469" s="12">
        <f>if(sum(Daily_Data!K1469:L1469)&gt;0,1,0)</f>
        <v>0</v>
      </c>
    </row>
    <row r="1470">
      <c r="A1470" s="10">
        <f>Daily_Data!A1470</f>
        <v>38582</v>
      </c>
      <c r="B1470" s="11">
        <f>Daily_Data!J1470</f>
        <v>13.42</v>
      </c>
      <c r="C1470" s="11">
        <f>Daily_Data!I1470</f>
        <v>1.99</v>
      </c>
      <c r="D1470" s="12">
        <f>if(sum(Daily_Data!K1470:L1470)&gt;0,1,0)</f>
        <v>0</v>
      </c>
    </row>
    <row r="1471">
      <c r="A1471" s="10">
        <f>Daily_Data!A1471</f>
        <v>38583</v>
      </c>
      <c r="B1471" s="11">
        <f>Daily_Data!J1471</f>
        <v>13.42</v>
      </c>
      <c r="C1471" s="11">
        <f>Daily_Data!I1471</f>
        <v>1.95</v>
      </c>
      <c r="D1471" s="12">
        <f>if(sum(Daily_Data!K1471:L1471)&gt;0,1,0)</f>
        <v>0</v>
      </c>
    </row>
    <row r="1472">
      <c r="A1472" s="10">
        <f>Daily_Data!A1472</f>
        <v>38586</v>
      </c>
      <c r="B1472" s="11">
        <f>Daily_Data!J1472</f>
        <v>13.42</v>
      </c>
      <c r="C1472" s="11">
        <f>Daily_Data!I1472</f>
        <v>1.95</v>
      </c>
      <c r="D1472" s="12">
        <f>if(sum(Daily_Data!K1472:L1472)&gt;0,1,0)</f>
        <v>0</v>
      </c>
    </row>
    <row r="1473">
      <c r="A1473" s="10">
        <f>Daily_Data!A1473</f>
        <v>38587</v>
      </c>
      <c r="B1473" s="11">
        <f>Daily_Data!J1473</f>
        <v>13.34</v>
      </c>
      <c r="C1473" s="11">
        <f>Daily_Data!I1473</f>
        <v>1.99</v>
      </c>
      <c r="D1473" s="12">
        <f>if(sum(Daily_Data!K1473:L1473)&gt;0,1,0)</f>
        <v>0</v>
      </c>
    </row>
    <row r="1474">
      <c r="A1474" s="10">
        <f>Daily_Data!A1474</f>
        <v>38588</v>
      </c>
      <c r="B1474" s="11">
        <f>Daily_Data!J1474</f>
        <v>14.17</v>
      </c>
      <c r="C1474" s="11">
        <f>Daily_Data!I1474</f>
        <v>2</v>
      </c>
      <c r="D1474" s="12">
        <f>if(sum(Daily_Data!K1474:L1474)&gt;0,1,0)</f>
        <v>0</v>
      </c>
    </row>
    <row r="1475">
      <c r="A1475" s="10">
        <f>Daily_Data!A1475</f>
        <v>38589</v>
      </c>
      <c r="B1475" s="11">
        <f>Daily_Data!J1475</f>
        <v>13.73</v>
      </c>
      <c r="C1475" s="11">
        <f>Daily_Data!I1475</f>
        <v>2</v>
      </c>
      <c r="D1475" s="12">
        <f>if(sum(Daily_Data!K1475:L1475)&gt;0,1,0)</f>
        <v>0</v>
      </c>
    </row>
    <row r="1476">
      <c r="A1476" s="10">
        <f>Daily_Data!A1476</f>
        <v>38590</v>
      </c>
      <c r="B1476" s="11">
        <f>Daily_Data!J1476</f>
        <v>13.72</v>
      </c>
      <c r="C1476" s="11">
        <f>Daily_Data!I1476</f>
        <v>1.93</v>
      </c>
      <c r="D1476" s="12">
        <f>if(sum(Daily_Data!K1476:L1476)&gt;0,1,0)</f>
        <v>0</v>
      </c>
    </row>
    <row r="1477">
      <c r="A1477" s="10">
        <f>Daily_Data!A1477</f>
        <v>38593</v>
      </c>
      <c r="B1477" s="11">
        <f>Daily_Data!J1477</f>
        <v>13.52</v>
      </c>
      <c r="C1477" s="11">
        <f>Daily_Data!I1477</f>
        <v>1.9</v>
      </c>
      <c r="D1477" s="12">
        <f>if(sum(Daily_Data!K1477:L1477)&gt;0,1,0)</f>
        <v>0</v>
      </c>
    </row>
    <row r="1478">
      <c r="A1478" s="10">
        <f>Daily_Data!A1478</f>
        <v>38594</v>
      </c>
      <c r="B1478" s="11">
        <f>Daily_Data!J1478</f>
        <v>13.65</v>
      </c>
      <c r="C1478" s="11">
        <f>Daily_Data!I1478</f>
        <v>1.96</v>
      </c>
      <c r="D1478" s="12">
        <f>if(sum(Daily_Data!K1478:L1478)&gt;0,1,0)</f>
        <v>0</v>
      </c>
    </row>
    <row r="1479">
      <c r="A1479" s="10">
        <f>Daily_Data!A1479</f>
        <v>38595</v>
      </c>
      <c r="B1479" s="11">
        <f>Daily_Data!J1479</f>
        <v>12.6</v>
      </c>
      <c r="C1479" s="11">
        <f>Daily_Data!I1479</f>
        <v>2.05</v>
      </c>
      <c r="D1479" s="12">
        <f>if(sum(Daily_Data!K1479:L1479)&gt;0,1,0)</f>
        <v>0</v>
      </c>
    </row>
    <row r="1480">
      <c r="A1480" s="10">
        <f>Daily_Data!A1480</f>
        <v>38596</v>
      </c>
      <c r="B1480" s="11">
        <f>Daily_Data!J1480</f>
        <v>13.15</v>
      </c>
      <c r="C1480" s="11">
        <f>Daily_Data!I1480</f>
        <v>2.14</v>
      </c>
      <c r="D1480" s="12">
        <f>if(sum(Daily_Data!K1480:L1480)&gt;0,1,0)</f>
        <v>0</v>
      </c>
    </row>
    <row r="1481">
      <c r="A1481" s="10">
        <f>Daily_Data!A1481</f>
        <v>38597</v>
      </c>
      <c r="B1481" s="11">
        <f>Daily_Data!J1481</f>
        <v>13.57</v>
      </c>
      <c r="C1481" s="11">
        <f>Daily_Data!I1481</f>
        <v>2.11</v>
      </c>
      <c r="D1481" s="12">
        <f>if(sum(Daily_Data!K1481:L1481)&gt;0,1,0)</f>
        <v>1</v>
      </c>
    </row>
    <row r="1482">
      <c r="A1482" s="10">
        <f>Daily_Data!A1482</f>
        <v>38600</v>
      </c>
      <c r="B1482" s="11" t="str">
        <f>Daily_Data!J1482</f>
        <v/>
      </c>
      <c r="C1482" s="11" t="str">
        <f>Daily_Data!I1482</f>
        <v/>
      </c>
      <c r="D1482" s="12">
        <f>if(sum(Daily_Data!K1482:L1482)&gt;0,1,0)</f>
        <v>0</v>
      </c>
    </row>
    <row r="1483">
      <c r="A1483" s="10">
        <f>Daily_Data!A1483</f>
        <v>38601</v>
      </c>
      <c r="B1483" s="11">
        <f>Daily_Data!J1483</f>
        <v>12.93</v>
      </c>
      <c r="C1483" s="11">
        <f>Daily_Data!I1483</f>
        <v>2.05</v>
      </c>
      <c r="D1483" s="12">
        <f>if(sum(Daily_Data!K1483:L1483)&gt;0,1,0)</f>
        <v>0</v>
      </c>
    </row>
    <row r="1484">
      <c r="A1484" s="10">
        <f>Daily_Data!A1484</f>
        <v>38602</v>
      </c>
      <c r="B1484" s="11">
        <f>Daily_Data!J1484</f>
        <v>12.52</v>
      </c>
      <c r="C1484" s="11">
        <f>Daily_Data!I1484</f>
        <v>2.02</v>
      </c>
      <c r="D1484" s="12">
        <f>if(sum(Daily_Data!K1484:L1484)&gt;0,1,0)</f>
        <v>0</v>
      </c>
    </row>
    <row r="1485">
      <c r="A1485" s="10">
        <f>Daily_Data!A1485</f>
        <v>38603</v>
      </c>
      <c r="B1485" s="11">
        <f>Daily_Data!J1485</f>
        <v>12.93</v>
      </c>
      <c r="C1485" s="11">
        <f>Daily_Data!I1485</f>
        <v>2.04</v>
      </c>
      <c r="D1485" s="12">
        <f>if(sum(Daily_Data!K1485:L1485)&gt;0,1,0)</f>
        <v>0</v>
      </c>
    </row>
    <row r="1486">
      <c r="A1486" s="10">
        <f>Daily_Data!A1486</f>
        <v>38604</v>
      </c>
      <c r="B1486" s="11">
        <f>Daily_Data!J1486</f>
        <v>11.98</v>
      </c>
      <c r="C1486" s="11">
        <f>Daily_Data!I1486</f>
        <v>2.04</v>
      </c>
      <c r="D1486" s="12">
        <f>if(sum(Daily_Data!K1486:L1486)&gt;0,1,0)</f>
        <v>0</v>
      </c>
    </row>
    <row r="1487">
      <c r="A1487" s="10">
        <f>Daily_Data!A1487</f>
        <v>38607</v>
      </c>
      <c r="B1487" s="11">
        <f>Daily_Data!J1487</f>
        <v>11.65</v>
      </c>
      <c r="C1487" s="11">
        <f>Daily_Data!I1487</f>
        <v>1.99</v>
      </c>
      <c r="D1487" s="12">
        <f>if(sum(Daily_Data!K1487:L1487)&gt;0,1,0)</f>
        <v>0</v>
      </c>
    </row>
    <row r="1488">
      <c r="A1488" s="10">
        <f>Daily_Data!A1488</f>
        <v>38608</v>
      </c>
      <c r="B1488" s="11">
        <f>Daily_Data!J1488</f>
        <v>12.39</v>
      </c>
      <c r="C1488" s="11">
        <f>Daily_Data!I1488</f>
        <v>2.05</v>
      </c>
      <c r="D1488" s="12">
        <f>if(sum(Daily_Data!K1488:L1488)&gt;0,1,0)</f>
        <v>0</v>
      </c>
    </row>
    <row r="1489">
      <c r="A1489" s="10">
        <f>Daily_Data!A1489</f>
        <v>38609</v>
      </c>
      <c r="B1489" s="11">
        <f>Daily_Data!J1489</f>
        <v>12.91</v>
      </c>
      <c r="C1489" s="11">
        <f>Daily_Data!I1489</f>
        <v>2.03</v>
      </c>
      <c r="D1489" s="12">
        <f>if(sum(Daily_Data!K1489:L1489)&gt;0,1,0)</f>
        <v>0</v>
      </c>
    </row>
    <row r="1490">
      <c r="A1490" s="10">
        <f>Daily_Data!A1490</f>
        <v>38610</v>
      </c>
      <c r="B1490" s="11">
        <f>Daily_Data!J1490</f>
        <v>12.49</v>
      </c>
      <c r="C1490" s="11">
        <f>Daily_Data!I1490</f>
        <v>2.08</v>
      </c>
      <c r="D1490" s="12">
        <f>if(sum(Daily_Data!K1490:L1490)&gt;0,1,0)</f>
        <v>1</v>
      </c>
    </row>
    <row r="1491">
      <c r="A1491" s="10">
        <f>Daily_Data!A1491</f>
        <v>38611</v>
      </c>
      <c r="B1491" s="11">
        <f>Daily_Data!J1491</f>
        <v>11.22</v>
      </c>
      <c r="C1491" s="11">
        <f>Daily_Data!I1491</f>
        <v>2.03</v>
      </c>
      <c r="D1491" s="12">
        <f>if(sum(Daily_Data!K1491:L1491)&gt;0,1,0)</f>
        <v>0</v>
      </c>
    </row>
    <row r="1492">
      <c r="A1492" s="10">
        <f>Daily_Data!A1492</f>
        <v>38614</v>
      </c>
      <c r="B1492" s="11">
        <f>Daily_Data!J1492</f>
        <v>12.14</v>
      </c>
      <c r="C1492" s="11">
        <f>Daily_Data!I1492</f>
        <v>2.11</v>
      </c>
      <c r="D1492" s="12">
        <f>if(sum(Daily_Data!K1492:L1492)&gt;0,1,0)</f>
        <v>0</v>
      </c>
    </row>
    <row r="1493">
      <c r="A1493" s="10">
        <f>Daily_Data!A1493</f>
        <v>38615</v>
      </c>
      <c r="B1493" s="11">
        <f>Daily_Data!J1493</f>
        <v>12.64</v>
      </c>
      <c r="C1493" s="11">
        <f>Daily_Data!I1493</f>
        <v>1.99</v>
      </c>
      <c r="D1493" s="12">
        <f>if(sum(Daily_Data!K1493:L1493)&gt;0,1,0)</f>
        <v>0</v>
      </c>
    </row>
    <row r="1494">
      <c r="A1494" s="10">
        <f>Daily_Data!A1494</f>
        <v>38616</v>
      </c>
      <c r="B1494" s="11">
        <f>Daily_Data!J1494</f>
        <v>13.79</v>
      </c>
      <c r="C1494" s="11">
        <f>Daily_Data!I1494</f>
        <v>2.05</v>
      </c>
      <c r="D1494" s="12">
        <f>if(sum(Daily_Data!K1494:L1494)&gt;0,1,0)</f>
        <v>0</v>
      </c>
    </row>
    <row r="1495">
      <c r="A1495" s="10">
        <f>Daily_Data!A1495</f>
        <v>38617</v>
      </c>
      <c r="B1495" s="11">
        <f>Daily_Data!J1495</f>
        <v>13.33</v>
      </c>
      <c r="C1495" s="11">
        <f>Daily_Data!I1495</f>
        <v>2.01</v>
      </c>
      <c r="D1495" s="12">
        <f>if(sum(Daily_Data!K1495:L1495)&gt;0,1,0)</f>
        <v>0</v>
      </c>
    </row>
    <row r="1496">
      <c r="A1496" s="10">
        <f>Daily_Data!A1496</f>
        <v>38618</v>
      </c>
      <c r="B1496" s="11">
        <f>Daily_Data!J1496</f>
        <v>12.96</v>
      </c>
      <c r="C1496" s="11">
        <f>Daily_Data!I1496</f>
        <v>1.94</v>
      </c>
      <c r="D1496" s="12">
        <f>if(sum(Daily_Data!K1496:L1496)&gt;0,1,0)</f>
        <v>0</v>
      </c>
    </row>
    <row r="1497">
      <c r="A1497" s="10">
        <f>Daily_Data!A1497</f>
        <v>38621</v>
      </c>
      <c r="B1497" s="11">
        <f>Daily_Data!J1497</f>
        <v>13.04</v>
      </c>
      <c r="C1497" s="11">
        <f>Daily_Data!I1497</f>
        <v>1.94</v>
      </c>
      <c r="D1497" s="12">
        <f>if(sum(Daily_Data!K1497:L1497)&gt;0,1,0)</f>
        <v>0</v>
      </c>
    </row>
    <row r="1498">
      <c r="A1498" s="10">
        <f>Daily_Data!A1498</f>
        <v>38622</v>
      </c>
      <c r="B1498" s="11">
        <f>Daily_Data!J1498</f>
        <v>12.76</v>
      </c>
      <c r="C1498" s="11">
        <f>Daily_Data!I1498</f>
        <v>1.94</v>
      </c>
      <c r="D1498" s="12">
        <f>if(sum(Daily_Data!K1498:L1498)&gt;0,1,0)</f>
        <v>0</v>
      </c>
    </row>
    <row r="1499">
      <c r="A1499" s="10">
        <f>Daily_Data!A1499</f>
        <v>38623</v>
      </c>
      <c r="B1499" s="11">
        <f>Daily_Data!J1499</f>
        <v>12.63</v>
      </c>
      <c r="C1499" s="11">
        <f>Daily_Data!I1499</f>
        <v>1.92</v>
      </c>
      <c r="D1499" s="12">
        <f>if(sum(Daily_Data!K1499:L1499)&gt;0,1,0)</f>
        <v>0</v>
      </c>
    </row>
    <row r="1500">
      <c r="A1500" s="10">
        <f>Daily_Data!A1500</f>
        <v>38624</v>
      </c>
      <c r="B1500" s="11">
        <f>Daily_Data!J1500</f>
        <v>12.24</v>
      </c>
      <c r="C1500" s="11">
        <f>Daily_Data!I1500</f>
        <v>1.92</v>
      </c>
      <c r="D1500" s="12">
        <f>if(sum(Daily_Data!K1500:L1500)&gt;0,1,0)</f>
        <v>0</v>
      </c>
    </row>
    <row r="1501">
      <c r="A1501" s="10">
        <f>Daily_Data!A1501</f>
        <v>38625</v>
      </c>
      <c r="B1501" s="11">
        <f>Daily_Data!J1501</f>
        <v>11.92</v>
      </c>
      <c r="C1501" s="11">
        <f>Daily_Data!I1501</f>
        <v>1.9</v>
      </c>
      <c r="D1501" s="12">
        <f>if(sum(Daily_Data!K1501:L1501)&gt;0,1,0)</f>
        <v>0</v>
      </c>
    </row>
    <row r="1502">
      <c r="A1502" s="10">
        <f>Daily_Data!A1502</f>
        <v>38628</v>
      </c>
      <c r="B1502" s="11">
        <f>Daily_Data!J1502</f>
        <v>12.46</v>
      </c>
      <c r="C1502" s="11">
        <f>Daily_Data!I1502</f>
        <v>1.9</v>
      </c>
      <c r="D1502" s="12">
        <f>if(sum(Daily_Data!K1502:L1502)&gt;0,1,0)</f>
        <v>0</v>
      </c>
    </row>
    <row r="1503">
      <c r="A1503" s="10">
        <f>Daily_Data!A1503</f>
        <v>38629</v>
      </c>
      <c r="B1503" s="11">
        <f>Daily_Data!J1503</f>
        <v>13.2</v>
      </c>
      <c r="C1503" s="11">
        <f>Daily_Data!I1503</f>
        <v>1.91</v>
      </c>
      <c r="D1503" s="12">
        <f>if(sum(Daily_Data!K1503:L1503)&gt;0,1,0)</f>
        <v>0</v>
      </c>
    </row>
    <row r="1504">
      <c r="A1504" s="10">
        <f>Daily_Data!A1504</f>
        <v>38630</v>
      </c>
      <c r="B1504" s="11">
        <f>Daily_Data!J1504</f>
        <v>14.55</v>
      </c>
      <c r="C1504" s="11">
        <f>Daily_Data!I1504</f>
        <v>1.89</v>
      </c>
      <c r="D1504" s="12">
        <f>if(sum(Daily_Data!K1504:L1504)&gt;0,1,0)</f>
        <v>0</v>
      </c>
    </row>
    <row r="1505">
      <c r="A1505" s="10">
        <f>Daily_Data!A1505</f>
        <v>38631</v>
      </c>
      <c r="B1505" s="11">
        <f>Daily_Data!J1505</f>
        <v>14.96</v>
      </c>
      <c r="C1505" s="11">
        <f>Daily_Data!I1505</f>
        <v>1.88</v>
      </c>
      <c r="D1505" s="12">
        <f>if(sum(Daily_Data!K1505:L1505)&gt;0,1,0)</f>
        <v>0</v>
      </c>
    </row>
    <row r="1506">
      <c r="A1506" s="10">
        <f>Daily_Data!A1506</f>
        <v>38632</v>
      </c>
      <c r="B1506" s="11">
        <f>Daily_Data!J1506</f>
        <v>14.59</v>
      </c>
      <c r="C1506" s="11">
        <f>Daily_Data!I1506</f>
        <v>1.93</v>
      </c>
      <c r="D1506" s="12">
        <f>if(sum(Daily_Data!K1506:L1506)&gt;0,1,0)</f>
        <v>1</v>
      </c>
    </row>
    <row r="1507">
      <c r="A1507" s="10">
        <f>Daily_Data!A1507</f>
        <v>38635</v>
      </c>
      <c r="B1507" s="11">
        <f>Daily_Data!J1507</f>
        <v>15.55</v>
      </c>
      <c r="C1507" s="11" t="str">
        <f>Daily_Data!I1507</f>
        <v/>
      </c>
      <c r="D1507" s="12">
        <f>if(sum(Daily_Data!K1507:L1507)&gt;0,1,0)</f>
        <v>0</v>
      </c>
    </row>
    <row r="1508">
      <c r="A1508" s="10">
        <f>Daily_Data!A1508</f>
        <v>38636</v>
      </c>
      <c r="B1508" s="11">
        <f>Daily_Data!J1508</f>
        <v>15.63</v>
      </c>
      <c r="C1508" s="11">
        <f>Daily_Data!I1508</f>
        <v>1.89</v>
      </c>
      <c r="D1508" s="12">
        <f>if(sum(Daily_Data!K1508:L1508)&gt;0,1,0)</f>
        <v>0</v>
      </c>
    </row>
    <row r="1509">
      <c r="A1509" s="10">
        <f>Daily_Data!A1509</f>
        <v>38637</v>
      </c>
      <c r="B1509" s="11">
        <f>Daily_Data!J1509</f>
        <v>16.22</v>
      </c>
      <c r="C1509" s="11">
        <f>Daily_Data!I1509</f>
        <v>1.87</v>
      </c>
      <c r="D1509" s="12">
        <f>if(sum(Daily_Data!K1509:L1509)&gt;0,1,0)</f>
        <v>0</v>
      </c>
    </row>
    <row r="1510">
      <c r="A1510" s="10">
        <f>Daily_Data!A1510</f>
        <v>38638</v>
      </c>
      <c r="B1510" s="11">
        <f>Daily_Data!J1510</f>
        <v>16.47</v>
      </c>
      <c r="C1510" s="11">
        <f>Daily_Data!I1510</f>
        <v>1.87</v>
      </c>
      <c r="D1510" s="12">
        <f>if(sum(Daily_Data!K1510:L1510)&gt;0,1,0)</f>
        <v>0</v>
      </c>
    </row>
    <row r="1511">
      <c r="A1511" s="10">
        <f>Daily_Data!A1511</f>
        <v>38639</v>
      </c>
      <c r="B1511" s="11">
        <f>Daily_Data!J1511</f>
        <v>14.87</v>
      </c>
      <c r="C1511" s="11">
        <f>Daily_Data!I1511</f>
        <v>1.83</v>
      </c>
      <c r="D1511" s="12">
        <f>if(sum(Daily_Data!K1511:L1511)&gt;0,1,0)</f>
        <v>1</v>
      </c>
    </row>
    <row r="1512">
      <c r="A1512" s="10">
        <f>Daily_Data!A1512</f>
        <v>38642</v>
      </c>
      <c r="B1512" s="11">
        <f>Daily_Data!J1512</f>
        <v>14.67</v>
      </c>
      <c r="C1512" s="11">
        <f>Daily_Data!I1512</f>
        <v>1.86</v>
      </c>
      <c r="D1512" s="12">
        <f>if(sum(Daily_Data!K1512:L1512)&gt;0,1,0)</f>
        <v>0</v>
      </c>
    </row>
    <row r="1513">
      <c r="A1513" s="10">
        <f>Daily_Data!A1513</f>
        <v>38643</v>
      </c>
      <c r="B1513" s="11">
        <f>Daily_Data!J1513</f>
        <v>15.33</v>
      </c>
      <c r="C1513" s="11">
        <f>Daily_Data!I1513</f>
        <v>1.87</v>
      </c>
      <c r="D1513" s="12">
        <f>if(sum(Daily_Data!K1513:L1513)&gt;0,1,0)</f>
        <v>0</v>
      </c>
    </row>
    <row r="1514">
      <c r="A1514" s="10">
        <f>Daily_Data!A1514</f>
        <v>38644</v>
      </c>
      <c r="B1514" s="11">
        <f>Daily_Data!J1514</f>
        <v>13.5</v>
      </c>
      <c r="C1514" s="11">
        <f>Daily_Data!I1514</f>
        <v>1.89</v>
      </c>
      <c r="D1514" s="12">
        <f>if(sum(Daily_Data!K1514:L1514)&gt;0,1,0)</f>
        <v>0</v>
      </c>
    </row>
    <row r="1515">
      <c r="A1515" s="10">
        <f>Daily_Data!A1515</f>
        <v>38645</v>
      </c>
      <c r="B1515" s="11">
        <f>Daily_Data!J1515</f>
        <v>16.11</v>
      </c>
      <c r="C1515" s="11">
        <f>Daily_Data!I1515</f>
        <v>1.89</v>
      </c>
      <c r="D1515" s="12">
        <f>if(sum(Daily_Data!K1515:L1515)&gt;0,1,0)</f>
        <v>0</v>
      </c>
    </row>
    <row r="1516">
      <c r="A1516" s="10">
        <f>Daily_Data!A1516</f>
        <v>38646</v>
      </c>
      <c r="B1516" s="11">
        <f>Daily_Data!J1516</f>
        <v>16.13</v>
      </c>
      <c r="C1516" s="11">
        <f>Daily_Data!I1516</f>
        <v>1.97</v>
      </c>
      <c r="D1516" s="12">
        <f>if(sum(Daily_Data!K1516:L1516)&gt;0,1,0)</f>
        <v>0</v>
      </c>
    </row>
    <row r="1517">
      <c r="A1517" s="10">
        <f>Daily_Data!A1517</f>
        <v>38649</v>
      </c>
      <c r="B1517" s="11">
        <f>Daily_Data!J1517</f>
        <v>14.74</v>
      </c>
      <c r="C1517" s="11" t="str">
        <f>Daily_Data!I1517</f>
        <v/>
      </c>
      <c r="D1517" s="12">
        <f>if(sum(Daily_Data!K1517:L1517)&gt;0,1,0)</f>
        <v>0</v>
      </c>
    </row>
    <row r="1518">
      <c r="A1518" s="10">
        <f>Daily_Data!A1518</f>
        <v>38650</v>
      </c>
      <c r="B1518" s="11">
        <f>Daily_Data!J1518</f>
        <v>14.53</v>
      </c>
      <c r="C1518" s="11">
        <f>Daily_Data!I1518</f>
        <v>1.91</v>
      </c>
      <c r="D1518" s="12">
        <f>if(sum(Daily_Data!K1518:L1518)&gt;0,1,0)</f>
        <v>0</v>
      </c>
    </row>
    <row r="1519">
      <c r="A1519" s="10">
        <f>Daily_Data!A1519</f>
        <v>38651</v>
      </c>
      <c r="B1519" s="11">
        <f>Daily_Data!J1519</f>
        <v>14.59</v>
      </c>
      <c r="C1519" s="11">
        <f>Daily_Data!I1519</f>
        <v>1.89</v>
      </c>
      <c r="D1519" s="12">
        <f>if(sum(Daily_Data!K1519:L1519)&gt;0,1,0)</f>
        <v>0</v>
      </c>
    </row>
    <row r="1520">
      <c r="A1520" s="10">
        <f>Daily_Data!A1520</f>
        <v>38652</v>
      </c>
      <c r="B1520" s="11">
        <f>Daily_Data!J1520</f>
        <v>16.02</v>
      </c>
      <c r="C1520" s="11">
        <f>Daily_Data!I1520</f>
        <v>1.94</v>
      </c>
      <c r="D1520" s="12">
        <f>if(sum(Daily_Data!K1520:L1520)&gt;0,1,0)</f>
        <v>0</v>
      </c>
    </row>
    <row r="1521">
      <c r="A1521" s="10">
        <f>Daily_Data!A1521</f>
        <v>38653</v>
      </c>
      <c r="B1521" s="11">
        <f>Daily_Data!J1521</f>
        <v>14.25</v>
      </c>
      <c r="C1521" s="11">
        <f>Daily_Data!I1521</f>
        <v>1.89</v>
      </c>
      <c r="D1521" s="12">
        <f>if(sum(Daily_Data!K1521:L1521)&gt;0,1,0)</f>
        <v>0</v>
      </c>
    </row>
    <row r="1522">
      <c r="A1522" s="10">
        <f>Daily_Data!A1522</f>
        <v>38656</v>
      </c>
      <c r="B1522" s="11">
        <f>Daily_Data!J1522</f>
        <v>15.32</v>
      </c>
      <c r="C1522" s="11">
        <f>Daily_Data!I1522</f>
        <v>1.95</v>
      </c>
      <c r="D1522" s="12">
        <f>if(sum(Daily_Data!K1522:L1522)&gt;0,1,0)</f>
        <v>0</v>
      </c>
    </row>
    <row r="1523">
      <c r="A1523" s="10">
        <f>Daily_Data!A1523</f>
        <v>38657</v>
      </c>
      <c r="B1523" s="11">
        <f>Daily_Data!J1523</f>
        <v>14.85</v>
      </c>
      <c r="C1523" s="11">
        <f>Daily_Data!I1523</f>
        <v>1.97</v>
      </c>
      <c r="D1523" s="12">
        <f>if(sum(Daily_Data!K1523:L1523)&gt;0,1,0)</f>
        <v>0</v>
      </c>
    </row>
    <row r="1524">
      <c r="A1524" s="10">
        <f>Daily_Data!A1524</f>
        <v>38658</v>
      </c>
      <c r="B1524" s="11">
        <f>Daily_Data!J1524</f>
        <v>13.48</v>
      </c>
      <c r="C1524" s="11">
        <f>Daily_Data!I1524</f>
        <v>1.98</v>
      </c>
      <c r="D1524" s="12">
        <f>if(sum(Daily_Data!K1524:L1524)&gt;0,1,0)</f>
        <v>0</v>
      </c>
    </row>
    <row r="1525">
      <c r="A1525" s="10">
        <f>Daily_Data!A1525</f>
        <v>38659</v>
      </c>
      <c r="B1525" s="11">
        <f>Daily_Data!J1525</f>
        <v>13</v>
      </c>
      <c r="C1525" s="11">
        <f>Daily_Data!I1525</f>
        <v>1.97</v>
      </c>
      <c r="D1525" s="12">
        <f>if(sum(Daily_Data!K1525:L1525)&gt;0,1,0)</f>
        <v>0</v>
      </c>
    </row>
    <row r="1526">
      <c r="A1526" s="10">
        <f>Daily_Data!A1526</f>
        <v>38660</v>
      </c>
      <c r="B1526" s="11">
        <f>Daily_Data!J1526</f>
        <v>13.17</v>
      </c>
      <c r="C1526" s="11">
        <f>Daily_Data!I1526</f>
        <v>2.02</v>
      </c>
      <c r="D1526" s="12">
        <f>if(sum(Daily_Data!K1526:L1526)&gt;0,1,0)</f>
        <v>1</v>
      </c>
    </row>
    <row r="1527">
      <c r="A1527" s="10">
        <f>Daily_Data!A1527</f>
        <v>38663</v>
      </c>
      <c r="B1527" s="11">
        <f>Daily_Data!J1527</f>
        <v>13.1</v>
      </c>
      <c r="C1527" s="11">
        <f>Daily_Data!I1527</f>
        <v>2.03</v>
      </c>
      <c r="D1527" s="12">
        <f>if(sum(Daily_Data!K1527:L1527)&gt;0,1,0)</f>
        <v>0</v>
      </c>
    </row>
    <row r="1528">
      <c r="A1528" s="10">
        <f>Daily_Data!A1528</f>
        <v>38664</v>
      </c>
      <c r="B1528" s="11">
        <f>Daily_Data!J1528</f>
        <v>13.08</v>
      </c>
      <c r="C1528" s="11">
        <f>Daily_Data!I1528</f>
        <v>2.05</v>
      </c>
      <c r="D1528" s="12">
        <f>if(sum(Daily_Data!K1528:L1528)&gt;0,1,0)</f>
        <v>0</v>
      </c>
    </row>
    <row r="1529">
      <c r="A1529" s="10">
        <f>Daily_Data!A1529</f>
        <v>38665</v>
      </c>
      <c r="B1529" s="11">
        <f>Daily_Data!J1529</f>
        <v>12.8</v>
      </c>
      <c r="C1529" s="11">
        <f>Daily_Data!I1529</f>
        <v>2.04</v>
      </c>
      <c r="D1529" s="12">
        <f>if(sum(Daily_Data!K1529:L1529)&gt;0,1,0)</f>
        <v>0</v>
      </c>
    </row>
    <row r="1530">
      <c r="A1530" s="10">
        <f>Daily_Data!A1530</f>
        <v>38666</v>
      </c>
      <c r="B1530" s="11">
        <f>Daily_Data!J1530</f>
        <v>11.9</v>
      </c>
      <c r="C1530" s="11">
        <f>Daily_Data!I1530</f>
        <v>2.16</v>
      </c>
      <c r="D1530" s="12">
        <f>if(sum(Daily_Data!K1530:L1530)&gt;0,1,0)</f>
        <v>0</v>
      </c>
    </row>
    <row r="1531">
      <c r="A1531" s="10">
        <f>Daily_Data!A1531</f>
        <v>38667</v>
      </c>
      <c r="B1531" s="11">
        <f>Daily_Data!J1531</f>
        <v>11.63</v>
      </c>
      <c r="C1531" s="11" t="str">
        <f>Daily_Data!I1531</f>
        <v/>
      </c>
      <c r="D1531" s="12">
        <f>if(sum(Daily_Data!K1531:L1531)&gt;0,1,0)</f>
        <v>0</v>
      </c>
    </row>
    <row r="1532">
      <c r="A1532" s="10">
        <f>Daily_Data!A1532</f>
        <v>38670</v>
      </c>
      <c r="B1532" s="11">
        <f>Daily_Data!J1532</f>
        <v>12.18</v>
      </c>
      <c r="C1532" s="11">
        <f>Daily_Data!I1532</f>
        <v>2.18</v>
      </c>
      <c r="D1532" s="12">
        <f>if(sum(Daily_Data!K1532:L1532)&gt;0,1,0)</f>
        <v>0</v>
      </c>
    </row>
    <row r="1533">
      <c r="A1533" s="10">
        <f>Daily_Data!A1533</f>
        <v>38671</v>
      </c>
      <c r="B1533" s="11">
        <f>Daily_Data!J1533</f>
        <v>12.23</v>
      </c>
      <c r="C1533" s="11">
        <f>Daily_Data!I1533</f>
        <v>2.23</v>
      </c>
      <c r="D1533" s="12">
        <f>if(sum(Daily_Data!K1533:L1533)&gt;0,1,0)</f>
        <v>0</v>
      </c>
    </row>
    <row r="1534">
      <c r="A1534" s="10">
        <f>Daily_Data!A1534</f>
        <v>38672</v>
      </c>
      <c r="B1534" s="11">
        <f>Daily_Data!J1534</f>
        <v>12.26</v>
      </c>
      <c r="C1534" s="11">
        <f>Daily_Data!I1534</f>
        <v>2.33</v>
      </c>
      <c r="D1534" s="12">
        <f>if(sum(Daily_Data!K1534:L1534)&gt;0,1,0)</f>
        <v>1</v>
      </c>
    </row>
    <row r="1535">
      <c r="A1535" s="10">
        <f>Daily_Data!A1535</f>
        <v>38673</v>
      </c>
      <c r="B1535" s="11">
        <f>Daily_Data!J1535</f>
        <v>11.25</v>
      </c>
      <c r="C1535" s="11">
        <f>Daily_Data!I1535</f>
        <v>2.4</v>
      </c>
      <c r="D1535" s="12">
        <f>if(sum(Daily_Data!K1535:L1535)&gt;0,1,0)</f>
        <v>0</v>
      </c>
    </row>
    <row r="1536">
      <c r="A1536" s="10">
        <f>Daily_Data!A1536</f>
        <v>38674</v>
      </c>
      <c r="B1536" s="11">
        <f>Daily_Data!J1536</f>
        <v>11.12</v>
      </c>
      <c r="C1536" s="11">
        <f>Daily_Data!I1536</f>
        <v>2.38</v>
      </c>
      <c r="D1536" s="12">
        <f>if(sum(Daily_Data!K1536:L1536)&gt;0,1,0)</f>
        <v>0</v>
      </c>
    </row>
    <row r="1537">
      <c r="A1537" s="10">
        <f>Daily_Data!A1537</f>
        <v>38677</v>
      </c>
      <c r="B1537" s="11">
        <f>Daily_Data!J1537</f>
        <v>10.82</v>
      </c>
      <c r="C1537" s="11">
        <f>Daily_Data!I1537</f>
        <v>2.41</v>
      </c>
      <c r="D1537" s="12">
        <f>if(sum(Daily_Data!K1537:L1537)&gt;0,1,0)</f>
        <v>0</v>
      </c>
    </row>
    <row r="1538">
      <c r="A1538" s="10">
        <f>Daily_Data!A1538</f>
        <v>38678</v>
      </c>
      <c r="B1538" s="11">
        <f>Daily_Data!J1538</f>
        <v>10.6</v>
      </c>
      <c r="C1538" s="11">
        <f>Daily_Data!I1538</f>
        <v>2.47</v>
      </c>
      <c r="D1538" s="12">
        <f>if(sum(Daily_Data!K1538:L1538)&gt;0,1,0)</f>
        <v>0</v>
      </c>
    </row>
    <row r="1539">
      <c r="A1539" s="10">
        <f>Daily_Data!A1539</f>
        <v>38679</v>
      </c>
      <c r="B1539" s="11">
        <f>Daily_Data!J1539</f>
        <v>10.96</v>
      </c>
      <c r="C1539" s="11">
        <f>Daily_Data!I1539</f>
        <v>2.44</v>
      </c>
      <c r="D1539" s="12">
        <f>if(sum(Daily_Data!K1539:L1539)&gt;0,1,0)</f>
        <v>0</v>
      </c>
    </row>
    <row r="1540">
      <c r="A1540" s="10">
        <f>Daily_Data!A1540</f>
        <v>38680</v>
      </c>
      <c r="B1540" s="11" t="str">
        <f>Daily_Data!J1540</f>
        <v/>
      </c>
      <c r="C1540" s="11" t="str">
        <f>Daily_Data!I1540</f>
        <v/>
      </c>
      <c r="D1540" s="12">
        <f>if(sum(Daily_Data!K1540:L1540)&gt;0,1,0)</f>
        <v>0</v>
      </c>
    </row>
    <row r="1541">
      <c r="A1541" s="10">
        <f>Daily_Data!A1541</f>
        <v>38681</v>
      </c>
      <c r="B1541" s="11">
        <f>Daily_Data!J1541</f>
        <v>10.88</v>
      </c>
      <c r="C1541" s="11">
        <f>Daily_Data!I1541</f>
        <v>2.57</v>
      </c>
      <c r="D1541" s="12">
        <f>if(sum(Daily_Data!K1541:L1541)&gt;0,1,0)</f>
        <v>0</v>
      </c>
    </row>
    <row r="1542">
      <c r="A1542" s="10">
        <f>Daily_Data!A1542</f>
        <v>38684</v>
      </c>
      <c r="B1542" s="11">
        <f>Daily_Data!J1542</f>
        <v>11.84</v>
      </c>
      <c r="C1542" s="11">
        <f>Daily_Data!I1542</f>
        <v>2.56</v>
      </c>
      <c r="D1542" s="12">
        <f>if(sum(Daily_Data!K1542:L1542)&gt;0,1,0)</f>
        <v>0</v>
      </c>
    </row>
    <row r="1543">
      <c r="A1543" s="10">
        <f>Daily_Data!A1543</f>
        <v>38685</v>
      </c>
      <c r="B1543" s="11">
        <f>Daily_Data!J1543</f>
        <v>11.89</v>
      </c>
      <c r="C1543" s="11">
        <f>Daily_Data!I1543</f>
        <v>2.49</v>
      </c>
      <c r="D1543" s="12">
        <f>if(sum(Daily_Data!K1543:L1543)&gt;0,1,0)</f>
        <v>0</v>
      </c>
    </row>
    <row r="1544">
      <c r="A1544" s="10">
        <f>Daily_Data!A1544</f>
        <v>38686</v>
      </c>
      <c r="B1544" s="11">
        <f>Daily_Data!J1544</f>
        <v>12.06</v>
      </c>
      <c r="C1544" s="11">
        <f>Daily_Data!I1544</f>
        <v>2.49</v>
      </c>
      <c r="D1544" s="12">
        <f>if(sum(Daily_Data!K1544:L1544)&gt;0,1,0)</f>
        <v>0</v>
      </c>
    </row>
    <row r="1545">
      <c r="A1545" s="10">
        <f>Daily_Data!A1545</f>
        <v>38687</v>
      </c>
      <c r="B1545" s="11">
        <f>Daily_Data!J1545</f>
        <v>11.24</v>
      </c>
      <c r="C1545" s="11">
        <f>Daily_Data!I1545</f>
        <v>2.46</v>
      </c>
      <c r="D1545" s="12">
        <f>if(sum(Daily_Data!K1545:L1545)&gt;0,1,0)</f>
        <v>0</v>
      </c>
    </row>
    <row r="1546">
      <c r="A1546" s="10">
        <f>Daily_Data!A1546</f>
        <v>38688</v>
      </c>
      <c r="B1546" s="11">
        <f>Daily_Data!J1546</f>
        <v>11.01</v>
      </c>
      <c r="C1546" s="11">
        <f>Daily_Data!I1546</f>
        <v>2.5</v>
      </c>
      <c r="D1546" s="12">
        <f>if(sum(Daily_Data!K1546:L1546)&gt;0,1,0)</f>
        <v>1</v>
      </c>
    </row>
    <row r="1547">
      <c r="A1547" s="10">
        <f>Daily_Data!A1547</f>
        <v>38691</v>
      </c>
      <c r="B1547" s="11">
        <f>Daily_Data!J1547</f>
        <v>11.6</v>
      </c>
      <c r="C1547" s="11">
        <f>Daily_Data!I1547</f>
        <v>2.44</v>
      </c>
      <c r="D1547" s="12">
        <f>if(sum(Daily_Data!K1547:L1547)&gt;0,1,0)</f>
        <v>0</v>
      </c>
    </row>
    <row r="1548">
      <c r="A1548" s="10">
        <f>Daily_Data!A1548</f>
        <v>38692</v>
      </c>
      <c r="B1548" s="11">
        <f>Daily_Data!J1548</f>
        <v>11.52</v>
      </c>
      <c r="C1548" s="11">
        <f>Daily_Data!I1548</f>
        <v>1.82</v>
      </c>
      <c r="D1548" s="12">
        <f>if(sum(Daily_Data!K1548:L1548)&gt;0,1,0)</f>
        <v>0</v>
      </c>
    </row>
    <row r="1549">
      <c r="A1549" s="10">
        <f>Daily_Data!A1549</f>
        <v>38693</v>
      </c>
      <c r="B1549" s="11">
        <f>Daily_Data!J1549</f>
        <v>12.18</v>
      </c>
      <c r="C1549" s="11">
        <f>Daily_Data!I1549</f>
        <v>1.77</v>
      </c>
      <c r="D1549" s="12">
        <f>if(sum(Daily_Data!K1549:L1549)&gt;0,1,0)</f>
        <v>0</v>
      </c>
    </row>
    <row r="1550">
      <c r="A1550" s="10">
        <f>Daily_Data!A1550</f>
        <v>38694</v>
      </c>
      <c r="B1550" s="11">
        <f>Daily_Data!J1550</f>
        <v>12.21</v>
      </c>
      <c r="C1550" s="11">
        <f>Daily_Data!I1550</f>
        <v>1.77</v>
      </c>
      <c r="D1550" s="12">
        <f>if(sum(Daily_Data!K1550:L1550)&gt;0,1,0)</f>
        <v>0</v>
      </c>
    </row>
    <row r="1551">
      <c r="A1551" s="10">
        <f>Daily_Data!A1551</f>
        <v>38695</v>
      </c>
      <c r="B1551" s="11">
        <f>Daily_Data!J1551</f>
        <v>11.69</v>
      </c>
      <c r="C1551" s="11">
        <f>Daily_Data!I1551</f>
        <v>1.75</v>
      </c>
      <c r="D1551" s="12">
        <f>if(sum(Daily_Data!K1551:L1551)&gt;0,1,0)</f>
        <v>0</v>
      </c>
    </row>
    <row r="1552">
      <c r="A1552" s="10">
        <f>Daily_Data!A1552</f>
        <v>38698</v>
      </c>
      <c r="B1552" s="11">
        <f>Daily_Data!J1552</f>
        <v>11.47</v>
      </c>
      <c r="C1552" s="11">
        <f>Daily_Data!I1552</f>
        <v>1.74</v>
      </c>
      <c r="D1552" s="12">
        <f>if(sum(Daily_Data!K1552:L1552)&gt;0,1,0)</f>
        <v>0</v>
      </c>
    </row>
    <row r="1553">
      <c r="A1553" s="10">
        <f>Daily_Data!A1553</f>
        <v>38699</v>
      </c>
      <c r="B1553" s="11">
        <f>Daily_Data!J1553</f>
        <v>11.11</v>
      </c>
      <c r="C1553" s="11">
        <f>Daily_Data!I1553</f>
        <v>1.75</v>
      </c>
      <c r="D1553" s="12">
        <f>if(sum(Daily_Data!K1553:L1553)&gt;0,1,0)</f>
        <v>0</v>
      </c>
    </row>
    <row r="1554">
      <c r="A1554" s="10">
        <f>Daily_Data!A1554</f>
        <v>38700</v>
      </c>
      <c r="B1554" s="11">
        <f>Daily_Data!J1554</f>
        <v>10.48</v>
      </c>
      <c r="C1554" s="11">
        <f>Daily_Data!I1554</f>
        <v>1.79</v>
      </c>
      <c r="D1554" s="12">
        <f>if(sum(Daily_Data!K1554:L1554)&gt;0,1,0)</f>
        <v>0</v>
      </c>
    </row>
    <row r="1555">
      <c r="A1555" s="10">
        <f>Daily_Data!A1555</f>
        <v>38701</v>
      </c>
      <c r="B1555" s="11">
        <f>Daily_Data!J1555</f>
        <v>10.73</v>
      </c>
      <c r="C1555" s="11">
        <f>Daily_Data!I1555</f>
        <v>1.75</v>
      </c>
      <c r="D1555" s="12">
        <f>if(sum(Daily_Data!K1555:L1555)&gt;0,1,0)</f>
        <v>1</v>
      </c>
    </row>
    <row r="1556">
      <c r="A1556" s="10">
        <f>Daily_Data!A1556</f>
        <v>38702</v>
      </c>
      <c r="B1556" s="11">
        <f>Daily_Data!J1556</f>
        <v>10.68</v>
      </c>
      <c r="C1556" s="11">
        <f>Daily_Data!I1556</f>
        <v>1.73</v>
      </c>
      <c r="D1556" s="12">
        <f>if(sum(Daily_Data!K1556:L1556)&gt;0,1,0)</f>
        <v>0</v>
      </c>
    </row>
    <row r="1557">
      <c r="A1557" s="10">
        <f>Daily_Data!A1557</f>
        <v>38705</v>
      </c>
      <c r="B1557" s="11">
        <f>Daily_Data!J1557</f>
        <v>11.38</v>
      </c>
      <c r="C1557" s="11">
        <f>Daily_Data!I1557</f>
        <v>1.69</v>
      </c>
      <c r="D1557" s="12">
        <f>if(sum(Daily_Data!K1557:L1557)&gt;0,1,0)</f>
        <v>0</v>
      </c>
    </row>
    <row r="1558">
      <c r="A1558" s="10">
        <f>Daily_Data!A1558</f>
        <v>38706</v>
      </c>
      <c r="B1558" s="11">
        <f>Daily_Data!J1558</f>
        <v>11.19</v>
      </c>
      <c r="C1558" s="11">
        <f>Daily_Data!I1558</f>
        <v>1.71</v>
      </c>
      <c r="D1558" s="12">
        <f>if(sum(Daily_Data!K1558:L1558)&gt;0,1,0)</f>
        <v>0</v>
      </c>
    </row>
    <row r="1559">
      <c r="A1559" s="10">
        <f>Daily_Data!A1559</f>
        <v>38707</v>
      </c>
      <c r="B1559" s="11">
        <f>Daily_Data!J1559</f>
        <v>10.81</v>
      </c>
      <c r="C1559" s="11">
        <f>Daily_Data!I1559</f>
        <v>1.68</v>
      </c>
      <c r="D1559" s="12">
        <f>if(sum(Daily_Data!K1559:L1559)&gt;0,1,0)</f>
        <v>0</v>
      </c>
    </row>
    <row r="1560">
      <c r="A1560" s="10">
        <f>Daily_Data!A1560</f>
        <v>38708</v>
      </c>
      <c r="B1560" s="11">
        <f>Daily_Data!J1560</f>
        <v>10.29</v>
      </c>
      <c r="C1560" s="11">
        <f>Daily_Data!I1560</f>
        <v>1.67</v>
      </c>
      <c r="D1560" s="12">
        <f>if(sum(Daily_Data!K1560:L1560)&gt;0,1,0)</f>
        <v>0</v>
      </c>
    </row>
    <row r="1561">
      <c r="A1561" s="10">
        <f>Daily_Data!A1561</f>
        <v>38709</v>
      </c>
      <c r="B1561" s="11">
        <f>Daily_Data!J1561</f>
        <v>10.27</v>
      </c>
      <c r="C1561" s="11">
        <f>Daily_Data!I1561</f>
        <v>1.65</v>
      </c>
      <c r="D1561" s="12">
        <f>if(sum(Daily_Data!K1561:L1561)&gt;0,1,0)</f>
        <v>0</v>
      </c>
    </row>
    <row r="1562">
      <c r="A1562" s="10">
        <f>Daily_Data!A1562</f>
        <v>38712</v>
      </c>
      <c r="B1562" s="11" t="str">
        <f>Daily_Data!J1562</f>
        <v/>
      </c>
      <c r="C1562" s="11" t="str">
        <f>Daily_Data!I1562</f>
        <v/>
      </c>
      <c r="D1562" s="12">
        <f>if(sum(Daily_Data!K1562:L1562)&gt;0,1,0)</f>
        <v>0</v>
      </c>
    </row>
    <row r="1563">
      <c r="A1563" s="10">
        <f>Daily_Data!A1563</f>
        <v>38713</v>
      </c>
      <c r="B1563" s="11">
        <f>Daily_Data!J1563</f>
        <v>11.57</v>
      </c>
      <c r="C1563" s="11" t="str">
        <f>Daily_Data!I1563</f>
        <v/>
      </c>
      <c r="D1563" s="12">
        <f>if(sum(Daily_Data!K1563:L1563)&gt;0,1,0)</f>
        <v>0</v>
      </c>
    </row>
    <row r="1564">
      <c r="A1564" s="10">
        <f>Daily_Data!A1564</f>
        <v>38714</v>
      </c>
      <c r="B1564" s="11">
        <f>Daily_Data!J1564</f>
        <v>11.35</v>
      </c>
      <c r="C1564" s="11">
        <f>Daily_Data!I1564</f>
        <v>1.6</v>
      </c>
      <c r="D1564" s="12">
        <f>if(sum(Daily_Data!K1564:L1564)&gt;0,1,0)</f>
        <v>0</v>
      </c>
    </row>
    <row r="1565">
      <c r="A1565" s="10">
        <f>Daily_Data!A1565</f>
        <v>38715</v>
      </c>
      <c r="B1565" s="11">
        <f>Daily_Data!J1565</f>
        <v>11.61</v>
      </c>
      <c r="C1565" s="11">
        <f>Daily_Data!I1565</f>
        <v>1.61</v>
      </c>
      <c r="D1565" s="12">
        <f>if(sum(Daily_Data!K1565:L1565)&gt;0,1,0)</f>
        <v>0</v>
      </c>
    </row>
    <row r="1566">
      <c r="A1566" s="10">
        <f>Daily_Data!A1566</f>
        <v>38716</v>
      </c>
      <c r="B1566" s="11">
        <f>Daily_Data!J1566</f>
        <v>12.07</v>
      </c>
      <c r="C1566" s="11">
        <f>Daily_Data!I1566</f>
        <v>1.55</v>
      </c>
      <c r="D1566" s="12">
        <f>if(sum(Daily_Data!K1566:L1566)&gt;0,1,0)</f>
        <v>0</v>
      </c>
    </row>
    <row r="1567">
      <c r="A1567" s="10">
        <f>Daily_Data!A1567</f>
        <v>38719</v>
      </c>
      <c r="B1567" s="11" t="str">
        <f>Daily_Data!J1567</f>
        <v/>
      </c>
      <c r="C1567" s="11" t="str">
        <f>Daily_Data!I1567</f>
        <v/>
      </c>
      <c r="D1567" s="12">
        <f>if(sum(Daily_Data!K1567:L1567)&gt;0,1,0)</f>
        <v>0</v>
      </c>
    </row>
    <row r="1568">
      <c r="A1568" s="10">
        <f>Daily_Data!A1568</f>
        <v>38720</v>
      </c>
      <c r="B1568" s="11">
        <f>Daily_Data!J1568</f>
        <v>11.14</v>
      </c>
      <c r="C1568" s="11" t="str">
        <f>Daily_Data!I1568</f>
        <v/>
      </c>
      <c r="D1568" s="12">
        <f>if(sum(Daily_Data!K1568:L1568)&gt;0,1,0)</f>
        <v>0</v>
      </c>
    </row>
    <row r="1569">
      <c r="A1569" s="10">
        <f>Daily_Data!A1569</f>
        <v>38721</v>
      </c>
      <c r="B1569" s="11">
        <f>Daily_Data!J1569</f>
        <v>11.37</v>
      </c>
      <c r="C1569" s="11">
        <f>Daily_Data!I1569</f>
        <v>1.64</v>
      </c>
      <c r="D1569" s="12">
        <f>if(sum(Daily_Data!K1569:L1569)&gt;0,1,0)</f>
        <v>0</v>
      </c>
    </row>
    <row r="1570">
      <c r="A1570" s="10">
        <f>Daily_Data!A1570</f>
        <v>38722</v>
      </c>
      <c r="B1570" s="11">
        <f>Daily_Data!J1570</f>
        <v>11.31</v>
      </c>
      <c r="C1570" s="11">
        <f>Daily_Data!I1570</f>
        <v>1.62</v>
      </c>
      <c r="D1570" s="12">
        <f>if(sum(Daily_Data!K1570:L1570)&gt;0,1,0)</f>
        <v>0</v>
      </c>
    </row>
    <row r="1571">
      <c r="A1571" s="10">
        <f>Daily_Data!A1571</f>
        <v>38723</v>
      </c>
      <c r="B1571" s="11">
        <f>Daily_Data!J1571</f>
        <v>11</v>
      </c>
      <c r="C1571" s="11">
        <f>Daily_Data!I1571</f>
        <v>1.59</v>
      </c>
      <c r="D1571" s="12">
        <f>if(sum(Daily_Data!K1571:L1571)&gt;0,1,0)</f>
        <v>1</v>
      </c>
    </row>
    <row r="1572">
      <c r="A1572" s="10">
        <f>Daily_Data!A1572</f>
        <v>38726</v>
      </c>
      <c r="B1572" s="11">
        <f>Daily_Data!J1572</f>
        <v>11.13</v>
      </c>
      <c r="C1572" s="11">
        <f>Daily_Data!I1572</f>
        <v>1.6</v>
      </c>
      <c r="D1572" s="12">
        <f>if(sum(Daily_Data!K1572:L1572)&gt;0,1,0)</f>
        <v>0</v>
      </c>
    </row>
    <row r="1573">
      <c r="A1573" s="10">
        <f>Daily_Data!A1573</f>
        <v>38727</v>
      </c>
      <c r="B1573" s="11">
        <f>Daily_Data!J1573</f>
        <v>10.86</v>
      </c>
      <c r="C1573" s="11">
        <f>Daily_Data!I1573</f>
        <v>1.57</v>
      </c>
      <c r="D1573" s="12">
        <f>if(sum(Daily_Data!K1573:L1573)&gt;0,1,0)</f>
        <v>0</v>
      </c>
    </row>
    <row r="1574">
      <c r="A1574" s="10">
        <f>Daily_Data!A1574</f>
        <v>38728</v>
      </c>
      <c r="B1574" s="11">
        <f>Daily_Data!J1574</f>
        <v>10.94</v>
      </c>
      <c r="C1574" s="11">
        <f>Daily_Data!I1574</f>
        <v>1.59</v>
      </c>
      <c r="D1574" s="12">
        <f>if(sum(Daily_Data!K1574:L1574)&gt;0,1,0)</f>
        <v>0</v>
      </c>
    </row>
    <row r="1575">
      <c r="A1575" s="10">
        <f>Daily_Data!A1575</f>
        <v>38729</v>
      </c>
      <c r="B1575" s="11">
        <f>Daily_Data!J1575</f>
        <v>11.2</v>
      </c>
      <c r="C1575" s="11">
        <f>Daily_Data!I1575</f>
        <v>1.66</v>
      </c>
      <c r="D1575" s="12">
        <f>if(sum(Daily_Data!K1575:L1575)&gt;0,1,0)</f>
        <v>0</v>
      </c>
    </row>
    <row r="1576">
      <c r="A1576" s="10">
        <f>Daily_Data!A1576</f>
        <v>38730</v>
      </c>
      <c r="B1576" s="11">
        <f>Daily_Data!J1576</f>
        <v>11.23</v>
      </c>
      <c r="C1576" s="11">
        <f>Daily_Data!I1576</f>
        <v>1.68</v>
      </c>
      <c r="D1576" s="12">
        <f>if(sum(Daily_Data!K1576:L1576)&gt;0,1,0)</f>
        <v>0</v>
      </c>
    </row>
    <row r="1577">
      <c r="A1577" s="10">
        <f>Daily_Data!A1577</f>
        <v>38733</v>
      </c>
      <c r="B1577" s="11" t="str">
        <f>Daily_Data!J1577</f>
        <v/>
      </c>
      <c r="C1577" s="11" t="str">
        <f>Daily_Data!I1577</f>
        <v/>
      </c>
      <c r="D1577" s="12">
        <f>if(sum(Daily_Data!K1577:L1577)&gt;0,1,0)</f>
        <v>0</v>
      </c>
    </row>
    <row r="1578">
      <c r="A1578" s="10">
        <f>Daily_Data!A1578</f>
        <v>38734</v>
      </c>
      <c r="B1578" s="11">
        <f>Daily_Data!J1578</f>
        <v>11.91</v>
      </c>
      <c r="C1578" s="11">
        <f>Daily_Data!I1578</f>
        <v>1.67</v>
      </c>
      <c r="D1578" s="12">
        <f>if(sum(Daily_Data!K1578:L1578)&gt;0,1,0)</f>
        <v>0</v>
      </c>
    </row>
    <row r="1579">
      <c r="A1579" s="10">
        <f>Daily_Data!A1579</f>
        <v>38735</v>
      </c>
      <c r="B1579" s="11">
        <f>Daily_Data!J1579</f>
        <v>12.25</v>
      </c>
      <c r="C1579" s="11">
        <f>Daily_Data!I1579</f>
        <v>1.6</v>
      </c>
      <c r="D1579" s="12">
        <f>if(sum(Daily_Data!K1579:L1579)&gt;0,1,0)</f>
        <v>1</v>
      </c>
    </row>
    <row r="1580">
      <c r="A1580" s="10">
        <f>Daily_Data!A1580</f>
        <v>38736</v>
      </c>
      <c r="B1580" s="11">
        <f>Daily_Data!J1580</f>
        <v>11.98</v>
      </c>
      <c r="C1580" s="11">
        <f>Daily_Data!I1580</f>
        <v>1.51</v>
      </c>
      <c r="D1580" s="12">
        <f>if(sum(Daily_Data!K1580:L1580)&gt;0,1,0)</f>
        <v>0</v>
      </c>
    </row>
    <row r="1581">
      <c r="A1581" s="10">
        <f>Daily_Data!A1581</f>
        <v>38737</v>
      </c>
      <c r="B1581" s="11">
        <f>Daily_Data!J1581</f>
        <v>14.56</v>
      </c>
      <c r="C1581" s="11">
        <f>Daily_Data!I1581</f>
        <v>1.51</v>
      </c>
      <c r="D1581" s="12">
        <f>if(sum(Daily_Data!K1581:L1581)&gt;0,1,0)</f>
        <v>0</v>
      </c>
    </row>
    <row r="1582">
      <c r="A1582" s="10">
        <f>Daily_Data!A1582</f>
        <v>38740</v>
      </c>
      <c r="B1582" s="11">
        <f>Daily_Data!J1582</f>
        <v>13.93</v>
      </c>
      <c r="C1582" s="11">
        <f>Daily_Data!I1582</f>
        <v>1.54</v>
      </c>
      <c r="D1582" s="12">
        <f>if(sum(Daily_Data!K1582:L1582)&gt;0,1,0)</f>
        <v>0</v>
      </c>
    </row>
    <row r="1583">
      <c r="A1583" s="10">
        <f>Daily_Data!A1583</f>
        <v>38741</v>
      </c>
      <c r="B1583" s="11">
        <f>Daily_Data!J1583</f>
        <v>13.31</v>
      </c>
      <c r="C1583" s="11">
        <f>Daily_Data!I1583</f>
        <v>1.5</v>
      </c>
      <c r="D1583" s="12">
        <f>if(sum(Daily_Data!K1583:L1583)&gt;0,1,0)</f>
        <v>0</v>
      </c>
    </row>
    <row r="1584">
      <c r="A1584" s="10">
        <f>Daily_Data!A1584</f>
        <v>38742</v>
      </c>
      <c r="B1584" s="11">
        <f>Daily_Data!J1584</f>
        <v>12.87</v>
      </c>
      <c r="C1584" s="11">
        <f>Daily_Data!I1584</f>
        <v>1.34</v>
      </c>
      <c r="D1584" s="12">
        <f>if(sum(Daily_Data!K1584:L1584)&gt;0,1,0)</f>
        <v>0</v>
      </c>
    </row>
    <row r="1585">
      <c r="A1585" s="10">
        <f>Daily_Data!A1585</f>
        <v>38743</v>
      </c>
      <c r="B1585" s="11">
        <f>Daily_Data!J1585</f>
        <v>12.42</v>
      </c>
      <c r="C1585" s="11">
        <f>Daily_Data!I1585</f>
        <v>1.34</v>
      </c>
      <c r="D1585" s="12">
        <f>if(sum(Daily_Data!K1585:L1585)&gt;0,1,0)</f>
        <v>0</v>
      </c>
    </row>
    <row r="1586">
      <c r="A1586" s="10">
        <f>Daily_Data!A1586</f>
        <v>38744</v>
      </c>
      <c r="B1586" s="11">
        <f>Daily_Data!J1586</f>
        <v>11.97</v>
      </c>
      <c r="C1586" s="11">
        <f>Daily_Data!I1586</f>
        <v>1.32</v>
      </c>
      <c r="D1586" s="12">
        <f>if(sum(Daily_Data!K1586:L1586)&gt;0,1,0)</f>
        <v>0</v>
      </c>
    </row>
    <row r="1587">
      <c r="A1587" s="10">
        <f>Daily_Data!A1587</f>
        <v>38747</v>
      </c>
      <c r="B1587" s="11">
        <f>Daily_Data!J1587</f>
        <v>12.39</v>
      </c>
      <c r="C1587" s="11">
        <f>Daily_Data!I1587</f>
        <v>1.31</v>
      </c>
      <c r="D1587" s="12">
        <f>if(sum(Daily_Data!K1587:L1587)&gt;0,1,0)</f>
        <v>0</v>
      </c>
    </row>
    <row r="1588">
      <c r="A1588" s="10">
        <f>Daily_Data!A1588</f>
        <v>38748</v>
      </c>
      <c r="B1588" s="11">
        <f>Daily_Data!J1588</f>
        <v>12.95</v>
      </c>
      <c r="C1588" s="11">
        <f>Daily_Data!I1588</f>
        <v>1.28</v>
      </c>
      <c r="D1588" s="12">
        <f>if(sum(Daily_Data!K1588:L1588)&gt;0,1,0)</f>
        <v>0</v>
      </c>
    </row>
    <row r="1589">
      <c r="A1589" s="10">
        <f>Daily_Data!A1589</f>
        <v>38749</v>
      </c>
      <c r="B1589" s="11">
        <f>Daily_Data!J1589</f>
        <v>12.36</v>
      </c>
      <c r="C1589" s="11">
        <f>Daily_Data!I1589</f>
        <v>1.21</v>
      </c>
      <c r="D1589" s="12">
        <f>if(sum(Daily_Data!K1589:L1589)&gt;0,1,0)</f>
        <v>0</v>
      </c>
    </row>
    <row r="1590">
      <c r="A1590" s="10">
        <f>Daily_Data!A1590</f>
        <v>38750</v>
      </c>
      <c r="B1590" s="11">
        <f>Daily_Data!J1590</f>
        <v>13.23</v>
      </c>
      <c r="C1590" s="11">
        <f>Daily_Data!I1590</f>
        <v>1.22</v>
      </c>
      <c r="D1590" s="12">
        <f>if(sum(Daily_Data!K1590:L1590)&gt;0,1,0)</f>
        <v>0</v>
      </c>
    </row>
    <row r="1591">
      <c r="A1591" s="10">
        <f>Daily_Data!A1591</f>
        <v>38751</v>
      </c>
      <c r="B1591" s="11">
        <f>Daily_Data!J1591</f>
        <v>12.96</v>
      </c>
      <c r="C1591" s="11">
        <f>Daily_Data!I1591</f>
        <v>1.24</v>
      </c>
      <c r="D1591" s="12">
        <f>if(sum(Daily_Data!K1591:L1591)&gt;0,1,0)</f>
        <v>1</v>
      </c>
    </row>
    <row r="1592">
      <c r="A1592" s="10">
        <f>Daily_Data!A1592</f>
        <v>38754</v>
      </c>
      <c r="B1592" s="11">
        <f>Daily_Data!J1592</f>
        <v>13.04</v>
      </c>
      <c r="C1592" s="11" t="str">
        <f>Daily_Data!I1592</f>
        <v/>
      </c>
      <c r="D1592" s="12">
        <f>if(sum(Daily_Data!K1592:L1592)&gt;0,1,0)</f>
        <v>0</v>
      </c>
    </row>
    <row r="1593">
      <c r="A1593" s="10">
        <f>Daily_Data!A1593</f>
        <v>38755</v>
      </c>
      <c r="B1593" s="11">
        <f>Daily_Data!J1593</f>
        <v>13.59</v>
      </c>
      <c r="C1593" s="11">
        <f>Daily_Data!I1593</f>
        <v>1.19</v>
      </c>
      <c r="D1593" s="12">
        <f>if(sum(Daily_Data!K1593:L1593)&gt;0,1,0)</f>
        <v>0</v>
      </c>
    </row>
    <row r="1594">
      <c r="A1594" s="10">
        <f>Daily_Data!A1594</f>
        <v>38756</v>
      </c>
      <c r="B1594" s="11">
        <f>Daily_Data!J1594</f>
        <v>12.83</v>
      </c>
      <c r="C1594" s="11">
        <f>Daily_Data!I1594</f>
        <v>1.15</v>
      </c>
      <c r="D1594" s="12">
        <f>if(sum(Daily_Data!K1594:L1594)&gt;0,1,0)</f>
        <v>0</v>
      </c>
    </row>
    <row r="1595">
      <c r="A1595" s="10">
        <f>Daily_Data!A1595</f>
        <v>38757</v>
      </c>
      <c r="B1595" s="11">
        <f>Daily_Data!J1595</f>
        <v>13.12</v>
      </c>
      <c r="C1595" s="11">
        <f>Daily_Data!I1595</f>
        <v>1.11</v>
      </c>
      <c r="D1595" s="12">
        <f>if(sum(Daily_Data!K1595:L1595)&gt;0,1,0)</f>
        <v>0</v>
      </c>
    </row>
    <row r="1596">
      <c r="A1596" s="10">
        <f>Daily_Data!A1596</f>
        <v>38758</v>
      </c>
      <c r="B1596" s="11">
        <f>Daily_Data!J1596</f>
        <v>12.87</v>
      </c>
      <c r="C1596" s="11">
        <f>Daily_Data!I1596</f>
        <v>1.07</v>
      </c>
      <c r="D1596" s="12">
        <f>if(sum(Daily_Data!K1596:L1596)&gt;0,1,0)</f>
        <v>0</v>
      </c>
    </row>
    <row r="1597">
      <c r="A1597" s="10">
        <f>Daily_Data!A1597</f>
        <v>38761</v>
      </c>
      <c r="B1597" s="11">
        <f>Daily_Data!J1597</f>
        <v>13.35</v>
      </c>
      <c r="C1597" s="11">
        <f>Daily_Data!I1597</f>
        <v>1.1</v>
      </c>
      <c r="D1597" s="12">
        <f>if(sum(Daily_Data!K1597:L1597)&gt;0,1,0)</f>
        <v>0</v>
      </c>
    </row>
    <row r="1598">
      <c r="A1598" s="10">
        <f>Daily_Data!A1598</f>
        <v>38762</v>
      </c>
      <c r="B1598" s="11">
        <f>Daily_Data!J1598</f>
        <v>12.25</v>
      </c>
      <c r="C1598" s="11">
        <f>Daily_Data!I1598</f>
        <v>1.07</v>
      </c>
      <c r="D1598" s="12">
        <f>if(sum(Daily_Data!K1598:L1598)&gt;0,1,0)</f>
        <v>0</v>
      </c>
    </row>
    <row r="1599">
      <c r="A1599" s="10">
        <f>Daily_Data!A1599</f>
        <v>38763</v>
      </c>
      <c r="B1599" s="11">
        <f>Daily_Data!J1599</f>
        <v>12.31</v>
      </c>
      <c r="C1599" s="11">
        <f>Daily_Data!I1599</f>
        <v>1.04</v>
      </c>
      <c r="D1599" s="12">
        <f>if(sum(Daily_Data!K1599:L1599)&gt;0,1,0)</f>
        <v>0</v>
      </c>
    </row>
    <row r="1600">
      <c r="A1600" s="10">
        <f>Daily_Data!A1600</f>
        <v>38764</v>
      </c>
      <c r="B1600" s="11">
        <f>Daily_Data!J1600</f>
        <v>11.48</v>
      </c>
      <c r="C1600" s="11">
        <f>Daily_Data!I1600</f>
        <v>1.08</v>
      </c>
      <c r="D1600" s="12">
        <f>if(sum(Daily_Data!K1600:L1600)&gt;0,1,0)</f>
        <v>0</v>
      </c>
    </row>
    <row r="1601">
      <c r="A1601" s="10">
        <f>Daily_Data!A1601</f>
        <v>38765</v>
      </c>
      <c r="B1601" s="11">
        <f>Daily_Data!J1601</f>
        <v>12.01</v>
      </c>
      <c r="C1601" s="11">
        <f>Daily_Data!I1601</f>
        <v>1.1</v>
      </c>
      <c r="D1601" s="12">
        <f>if(sum(Daily_Data!K1601:L1601)&gt;0,1,0)</f>
        <v>0</v>
      </c>
    </row>
    <row r="1602">
      <c r="A1602" s="10">
        <f>Daily_Data!A1602</f>
        <v>38768</v>
      </c>
      <c r="B1602" s="11" t="str">
        <f>Daily_Data!J1602</f>
        <v/>
      </c>
      <c r="C1602" s="11" t="str">
        <f>Daily_Data!I1602</f>
        <v/>
      </c>
      <c r="D1602" s="12">
        <f>if(sum(Daily_Data!K1602:L1602)&gt;0,1,0)</f>
        <v>0</v>
      </c>
    </row>
    <row r="1603">
      <c r="A1603" s="10">
        <f>Daily_Data!A1603</f>
        <v>38769</v>
      </c>
      <c r="B1603" s="11">
        <f>Daily_Data!J1603</f>
        <v>12.41</v>
      </c>
      <c r="C1603" s="11">
        <f>Daily_Data!I1603</f>
        <v>1.04</v>
      </c>
      <c r="D1603" s="12">
        <f>if(sum(Daily_Data!K1603:L1603)&gt;0,1,0)</f>
        <v>0</v>
      </c>
    </row>
    <row r="1604">
      <c r="A1604" s="10">
        <f>Daily_Data!A1604</f>
        <v>38770</v>
      </c>
      <c r="B1604" s="11">
        <f>Daily_Data!J1604</f>
        <v>11.88</v>
      </c>
      <c r="C1604" s="11">
        <f>Daily_Data!I1604</f>
        <v>1.11</v>
      </c>
      <c r="D1604" s="12">
        <f>if(sum(Daily_Data!K1604:L1604)&gt;0,1,0)</f>
        <v>1</v>
      </c>
    </row>
    <row r="1605">
      <c r="A1605" s="10">
        <f>Daily_Data!A1605</f>
        <v>38771</v>
      </c>
      <c r="B1605" s="11">
        <f>Daily_Data!J1605</f>
        <v>11.87</v>
      </c>
      <c r="C1605" s="11">
        <f>Daily_Data!I1605</f>
        <v>1.07</v>
      </c>
      <c r="D1605" s="12">
        <f>if(sum(Daily_Data!K1605:L1605)&gt;0,1,0)</f>
        <v>0</v>
      </c>
    </row>
    <row r="1606">
      <c r="A1606" s="10">
        <f>Daily_Data!A1606</f>
        <v>38772</v>
      </c>
      <c r="B1606" s="11">
        <f>Daily_Data!J1606</f>
        <v>11.46</v>
      </c>
      <c r="C1606" s="11">
        <f>Daily_Data!I1606</f>
        <v>1.13</v>
      </c>
      <c r="D1606" s="12">
        <f>if(sum(Daily_Data!K1606:L1606)&gt;0,1,0)</f>
        <v>0</v>
      </c>
    </row>
    <row r="1607">
      <c r="A1607" s="10">
        <f>Daily_Data!A1607</f>
        <v>38775</v>
      </c>
      <c r="B1607" s="11">
        <f>Daily_Data!J1607</f>
        <v>11.59</v>
      </c>
      <c r="C1607" s="11">
        <f>Daily_Data!I1607</f>
        <v>1.13</v>
      </c>
      <c r="D1607" s="12">
        <f>if(sum(Daily_Data!K1607:L1607)&gt;0,1,0)</f>
        <v>0</v>
      </c>
    </row>
    <row r="1608">
      <c r="A1608" s="10">
        <f>Daily_Data!A1608</f>
        <v>38776</v>
      </c>
      <c r="B1608" s="11">
        <f>Daily_Data!J1608</f>
        <v>12.34</v>
      </c>
      <c r="C1608" s="11">
        <f>Daily_Data!I1608</f>
        <v>1.23</v>
      </c>
      <c r="D1608" s="12">
        <f>if(sum(Daily_Data!K1608:L1608)&gt;0,1,0)</f>
        <v>0</v>
      </c>
    </row>
    <row r="1609">
      <c r="A1609" s="10">
        <f>Daily_Data!A1609</f>
        <v>38777</v>
      </c>
      <c r="B1609" s="11">
        <f>Daily_Data!J1609</f>
        <v>11.54</v>
      </c>
      <c r="C1609" s="11">
        <f>Daily_Data!I1609</f>
        <v>1.18</v>
      </c>
      <c r="D1609" s="12">
        <f>if(sum(Daily_Data!K1609:L1609)&gt;0,1,0)</f>
        <v>0</v>
      </c>
    </row>
    <row r="1610">
      <c r="A1610" s="10">
        <f>Daily_Data!A1610</f>
        <v>38778</v>
      </c>
      <c r="B1610" s="11">
        <f>Daily_Data!J1610</f>
        <v>11.72</v>
      </c>
      <c r="C1610" s="11">
        <f>Daily_Data!I1610</f>
        <v>1.16</v>
      </c>
      <c r="D1610" s="12">
        <f>if(sum(Daily_Data!K1610:L1610)&gt;0,1,0)</f>
        <v>0</v>
      </c>
    </row>
    <row r="1611">
      <c r="A1611" s="10">
        <f>Daily_Data!A1611</f>
        <v>38779</v>
      </c>
      <c r="B1611" s="11">
        <f>Daily_Data!J1611</f>
        <v>11.96</v>
      </c>
      <c r="C1611" s="11">
        <f>Daily_Data!I1611</f>
        <v>1.14</v>
      </c>
      <c r="D1611" s="12">
        <f>if(sum(Daily_Data!K1611:L1611)&gt;0,1,0)</f>
        <v>0</v>
      </c>
    </row>
    <row r="1612">
      <c r="A1612" s="10">
        <f>Daily_Data!A1612</f>
        <v>38782</v>
      </c>
      <c r="B1612" s="11">
        <f>Daily_Data!J1612</f>
        <v>12.74</v>
      </c>
      <c r="C1612" s="11">
        <f>Daily_Data!I1612</f>
        <v>1.15</v>
      </c>
      <c r="D1612" s="12">
        <f>if(sum(Daily_Data!K1612:L1612)&gt;0,1,0)</f>
        <v>0</v>
      </c>
    </row>
    <row r="1613">
      <c r="A1613" s="10">
        <f>Daily_Data!A1613</f>
        <v>38783</v>
      </c>
      <c r="B1613" s="11">
        <f>Daily_Data!J1613</f>
        <v>12.66</v>
      </c>
      <c r="C1613" s="11">
        <f>Daily_Data!I1613</f>
        <v>1.2</v>
      </c>
      <c r="D1613" s="12">
        <f>if(sum(Daily_Data!K1613:L1613)&gt;0,1,0)</f>
        <v>0</v>
      </c>
    </row>
    <row r="1614">
      <c r="A1614" s="10">
        <f>Daily_Data!A1614</f>
        <v>38784</v>
      </c>
      <c r="B1614" s="11">
        <f>Daily_Data!J1614</f>
        <v>12.32</v>
      </c>
      <c r="C1614" s="11">
        <f>Daily_Data!I1614</f>
        <v>1.23</v>
      </c>
      <c r="D1614" s="12">
        <f>if(sum(Daily_Data!K1614:L1614)&gt;0,1,0)</f>
        <v>0</v>
      </c>
    </row>
    <row r="1615">
      <c r="A1615" s="10">
        <f>Daily_Data!A1615</f>
        <v>38785</v>
      </c>
      <c r="B1615" s="11">
        <f>Daily_Data!J1615</f>
        <v>12.68</v>
      </c>
      <c r="C1615" s="11">
        <f>Daily_Data!I1615</f>
        <v>1.25</v>
      </c>
      <c r="D1615" s="12">
        <f>if(sum(Daily_Data!K1615:L1615)&gt;0,1,0)</f>
        <v>0</v>
      </c>
    </row>
    <row r="1616">
      <c r="A1616" s="10">
        <f>Daily_Data!A1616</f>
        <v>38786</v>
      </c>
      <c r="B1616" s="11">
        <f>Daily_Data!J1616</f>
        <v>11.85</v>
      </c>
      <c r="C1616" s="11">
        <f>Daily_Data!I1616</f>
        <v>1.23</v>
      </c>
      <c r="D1616" s="12">
        <f>if(sum(Daily_Data!K1616:L1616)&gt;0,1,0)</f>
        <v>1</v>
      </c>
    </row>
    <row r="1617">
      <c r="A1617" s="10">
        <f>Daily_Data!A1617</f>
        <v>38789</v>
      </c>
      <c r="B1617" s="11">
        <f>Daily_Data!J1617</f>
        <v>11.37</v>
      </c>
      <c r="C1617" s="11">
        <f>Daily_Data!I1617</f>
        <v>1.22</v>
      </c>
      <c r="D1617" s="12">
        <f>if(sum(Daily_Data!K1617:L1617)&gt;0,1,0)</f>
        <v>0</v>
      </c>
    </row>
    <row r="1618">
      <c r="A1618" s="10">
        <f>Daily_Data!A1618</f>
        <v>38790</v>
      </c>
      <c r="B1618" s="11">
        <f>Daily_Data!J1618</f>
        <v>10.74</v>
      </c>
      <c r="C1618" s="11">
        <f>Daily_Data!I1618</f>
        <v>1.34</v>
      </c>
      <c r="D1618" s="12">
        <f>if(sum(Daily_Data!K1618:L1618)&gt;0,1,0)</f>
        <v>0</v>
      </c>
    </row>
    <row r="1619">
      <c r="A1619" s="10">
        <f>Daily_Data!A1619</f>
        <v>38791</v>
      </c>
      <c r="B1619" s="11">
        <f>Daily_Data!J1619</f>
        <v>11.35</v>
      </c>
      <c r="C1619" s="11">
        <f>Daily_Data!I1619</f>
        <v>1.24</v>
      </c>
      <c r="D1619" s="12">
        <f>if(sum(Daily_Data!K1619:L1619)&gt;0,1,0)</f>
        <v>0</v>
      </c>
    </row>
    <row r="1620">
      <c r="A1620" s="10">
        <f>Daily_Data!A1620</f>
        <v>38792</v>
      </c>
      <c r="B1620" s="11">
        <f>Daily_Data!J1620</f>
        <v>11.98</v>
      </c>
      <c r="C1620" s="11">
        <f>Daily_Data!I1620</f>
        <v>1.33</v>
      </c>
      <c r="D1620" s="12">
        <f>if(sum(Daily_Data!K1620:L1620)&gt;0,1,0)</f>
        <v>1</v>
      </c>
    </row>
    <row r="1621">
      <c r="A1621" s="10">
        <f>Daily_Data!A1621</f>
        <v>38793</v>
      </c>
      <c r="B1621" s="11">
        <f>Daily_Data!J1621</f>
        <v>12.12</v>
      </c>
      <c r="C1621" s="11">
        <f>Daily_Data!I1621</f>
        <v>1.35</v>
      </c>
      <c r="D1621" s="12">
        <f>if(sum(Daily_Data!K1621:L1621)&gt;0,1,0)</f>
        <v>0</v>
      </c>
    </row>
    <row r="1622">
      <c r="A1622" s="10">
        <f>Daily_Data!A1622</f>
        <v>38796</v>
      </c>
      <c r="B1622" s="11">
        <f>Daily_Data!J1622</f>
        <v>11.79</v>
      </c>
      <c r="C1622" s="11">
        <f>Daily_Data!I1622</f>
        <v>1.48</v>
      </c>
      <c r="D1622" s="12">
        <f>if(sum(Daily_Data!K1622:L1622)&gt;0,1,0)</f>
        <v>0</v>
      </c>
    </row>
    <row r="1623">
      <c r="A1623" s="10">
        <f>Daily_Data!A1623</f>
        <v>38797</v>
      </c>
      <c r="B1623" s="11">
        <f>Daily_Data!J1623</f>
        <v>11.62</v>
      </c>
      <c r="C1623" s="11">
        <f>Daily_Data!I1623</f>
        <v>1.44</v>
      </c>
      <c r="D1623" s="12">
        <f>if(sum(Daily_Data!K1623:L1623)&gt;0,1,0)</f>
        <v>0</v>
      </c>
    </row>
    <row r="1624">
      <c r="A1624" s="10">
        <f>Daily_Data!A1624</f>
        <v>38798</v>
      </c>
      <c r="B1624" s="11">
        <f>Daily_Data!J1624</f>
        <v>11.21</v>
      </c>
      <c r="C1624" s="11">
        <f>Daily_Data!I1624</f>
        <v>1.44</v>
      </c>
      <c r="D1624" s="12">
        <f>if(sum(Daily_Data!K1624:L1624)&gt;0,1,0)</f>
        <v>0</v>
      </c>
    </row>
    <row r="1625">
      <c r="A1625" s="10">
        <f>Daily_Data!A1625</f>
        <v>38799</v>
      </c>
      <c r="B1625" s="11">
        <f>Daily_Data!J1625</f>
        <v>11.17</v>
      </c>
      <c r="C1625" s="11">
        <f>Daily_Data!I1625</f>
        <v>1.41</v>
      </c>
      <c r="D1625" s="12">
        <f>if(sum(Daily_Data!K1625:L1625)&gt;0,1,0)</f>
        <v>0</v>
      </c>
    </row>
    <row r="1626">
      <c r="A1626" s="10">
        <f>Daily_Data!A1626</f>
        <v>38800</v>
      </c>
      <c r="B1626" s="11">
        <f>Daily_Data!J1626</f>
        <v>11.19</v>
      </c>
      <c r="C1626" s="11">
        <f>Daily_Data!I1626</f>
        <v>1.38</v>
      </c>
      <c r="D1626" s="12">
        <f>if(sum(Daily_Data!K1626:L1626)&gt;0,1,0)</f>
        <v>0</v>
      </c>
    </row>
    <row r="1627">
      <c r="A1627" s="10">
        <f>Daily_Data!A1627</f>
        <v>38803</v>
      </c>
      <c r="B1627" s="11">
        <f>Daily_Data!J1627</f>
        <v>11.46</v>
      </c>
      <c r="C1627" s="11">
        <f>Daily_Data!I1627</f>
        <v>1.19</v>
      </c>
      <c r="D1627" s="12">
        <f>if(sum(Daily_Data!K1627:L1627)&gt;0,1,0)</f>
        <v>0</v>
      </c>
    </row>
    <row r="1628">
      <c r="A1628" s="10">
        <f>Daily_Data!A1628</f>
        <v>38804</v>
      </c>
      <c r="B1628" s="11">
        <f>Daily_Data!J1628</f>
        <v>11.58</v>
      </c>
      <c r="C1628" s="11">
        <f>Daily_Data!I1628</f>
        <v>1.14</v>
      </c>
      <c r="D1628" s="12">
        <f>if(sum(Daily_Data!K1628:L1628)&gt;0,1,0)</f>
        <v>0</v>
      </c>
    </row>
    <row r="1629">
      <c r="A1629" s="10">
        <f>Daily_Data!A1629</f>
        <v>38805</v>
      </c>
      <c r="B1629" s="11">
        <f>Daily_Data!J1629</f>
        <v>10.95</v>
      </c>
      <c r="C1629" s="11">
        <f>Daily_Data!I1629</f>
        <v>1.18</v>
      </c>
      <c r="D1629" s="12">
        <f>if(sum(Daily_Data!K1629:L1629)&gt;0,1,0)</f>
        <v>0</v>
      </c>
    </row>
    <row r="1630">
      <c r="A1630" s="10">
        <f>Daily_Data!A1630</f>
        <v>38806</v>
      </c>
      <c r="B1630" s="11">
        <f>Daily_Data!J1630</f>
        <v>11.57</v>
      </c>
      <c r="C1630" s="11">
        <f>Daily_Data!I1630</f>
        <v>1.19</v>
      </c>
      <c r="D1630" s="12">
        <f>if(sum(Daily_Data!K1630:L1630)&gt;0,1,0)</f>
        <v>0</v>
      </c>
    </row>
    <row r="1631">
      <c r="A1631" s="10">
        <f>Daily_Data!A1631</f>
        <v>38807</v>
      </c>
      <c r="B1631" s="11">
        <f>Daily_Data!J1631</f>
        <v>11.39</v>
      </c>
      <c r="C1631" s="11">
        <f>Daily_Data!I1631</f>
        <v>1.22</v>
      </c>
      <c r="D1631" s="12">
        <f>if(sum(Daily_Data!K1631:L1631)&gt;0,1,0)</f>
        <v>0</v>
      </c>
    </row>
    <row r="1632">
      <c r="A1632" s="10">
        <f>Daily_Data!A1632</f>
        <v>38810</v>
      </c>
      <c r="B1632" s="11">
        <f>Daily_Data!J1632</f>
        <v>11.57</v>
      </c>
      <c r="C1632" s="11">
        <f>Daily_Data!I1632</f>
        <v>1.17</v>
      </c>
      <c r="D1632" s="12">
        <f>if(sum(Daily_Data!K1632:L1632)&gt;0,1,0)</f>
        <v>0</v>
      </c>
    </row>
    <row r="1633">
      <c r="A1633" s="10">
        <f>Daily_Data!A1633</f>
        <v>38811</v>
      </c>
      <c r="B1633" s="11">
        <f>Daily_Data!J1633</f>
        <v>11.14</v>
      </c>
      <c r="C1633" s="11">
        <f>Daily_Data!I1633</f>
        <v>1.18</v>
      </c>
      <c r="D1633" s="12">
        <f>if(sum(Daily_Data!K1633:L1633)&gt;0,1,0)</f>
        <v>0</v>
      </c>
    </row>
    <row r="1634">
      <c r="A1634" s="10">
        <f>Daily_Data!A1634</f>
        <v>38812</v>
      </c>
      <c r="B1634" s="11">
        <f>Daily_Data!J1634</f>
        <v>11.13</v>
      </c>
      <c r="C1634" s="11">
        <f>Daily_Data!I1634</f>
        <v>1.25</v>
      </c>
      <c r="D1634" s="12">
        <f>if(sum(Daily_Data!K1634:L1634)&gt;0,1,0)</f>
        <v>0</v>
      </c>
    </row>
    <row r="1635">
      <c r="A1635" s="10">
        <f>Daily_Data!A1635</f>
        <v>38813</v>
      </c>
      <c r="B1635" s="11">
        <f>Daily_Data!J1635</f>
        <v>11.45</v>
      </c>
      <c r="C1635" s="11">
        <f>Daily_Data!I1635</f>
        <v>1.22</v>
      </c>
      <c r="D1635" s="12">
        <f>if(sum(Daily_Data!K1635:L1635)&gt;0,1,0)</f>
        <v>0</v>
      </c>
    </row>
    <row r="1636">
      <c r="A1636" s="10">
        <f>Daily_Data!A1636</f>
        <v>38814</v>
      </c>
      <c r="B1636" s="11">
        <f>Daily_Data!J1636</f>
        <v>12.26</v>
      </c>
      <c r="C1636" s="11">
        <f>Daily_Data!I1636</f>
        <v>1.2</v>
      </c>
      <c r="D1636" s="12">
        <f>if(sum(Daily_Data!K1636:L1636)&gt;0,1,0)</f>
        <v>1</v>
      </c>
    </row>
    <row r="1637">
      <c r="A1637" s="10">
        <f>Daily_Data!A1637</f>
        <v>38817</v>
      </c>
      <c r="B1637" s="11">
        <f>Daily_Data!J1637</f>
        <v>12.19</v>
      </c>
      <c r="C1637" s="11">
        <f>Daily_Data!I1637</f>
        <v>1.26</v>
      </c>
      <c r="D1637" s="12">
        <f>if(sum(Daily_Data!K1637:L1637)&gt;0,1,0)</f>
        <v>0</v>
      </c>
    </row>
    <row r="1638">
      <c r="A1638" s="10">
        <f>Daily_Data!A1638</f>
        <v>38818</v>
      </c>
      <c r="B1638" s="11">
        <f>Daily_Data!J1638</f>
        <v>13</v>
      </c>
      <c r="C1638" s="11">
        <f>Daily_Data!I1638</f>
        <v>1.2</v>
      </c>
      <c r="D1638" s="12">
        <f>if(sum(Daily_Data!K1638:L1638)&gt;0,1,0)</f>
        <v>0</v>
      </c>
    </row>
    <row r="1639">
      <c r="A1639" s="10">
        <f>Daily_Data!A1639</f>
        <v>38819</v>
      </c>
      <c r="B1639" s="11">
        <f>Daily_Data!J1639</f>
        <v>12.76</v>
      </c>
      <c r="C1639" s="11">
        <f>Daily_Data!I1639</f>
        <v>1.15</v>
      </c>
      <c r="D1639" s="12">
        <f>if(sum(Daily_Data!K1639:L1639)&gt;0,1,0)</f>
        <v>0</v>
      </c>
    </row>
    <row r="1640">
      <c r="A1640" s="10">
        <f>Daily_Data!A1640</f>
        <v>38820</v>
      </c>
      <c r="B1640" s="11">
        <f>Daily_Data!J1640</f>
        <v>12.38</v>
      </c>
      <c r="C1640" s="11">
        <f>Daily_Data!I1640</f>
        <v>1.17</v>
      </c>
      <c r="D1640" s="12">
        <f>if(sum(Daily_Data!K1640:L1640)&gt;0,1,0)</f>
        <v>0</v>
      </c>
    </row>
    <row r="1641">
      <c r="A1641" s="10">
        <f>Daily_Data!A1641</f>
        <v>38821</v>
      </c>
      <c r="B1641" s="11" t="str">
        <f>Daily_Data!J1641</f>
        <v/>
      </c>
      <c r="C1641" s="11" t="str">
        <f>Daily_Data!I1641</f>
        <v/>
      </c>
      <c r="D1641" s="12">
        <f>if(sum(Daily_Data!K1641:L1641)&gt;0,1,0)</f>
        <v>0</v>
      </c>
    </row>
    <row r="1642">
      <c r="A1642" s="10">
        <f>Daily_Data!A1642</f>
        <v>38824</v>
      </c>
      <c r="B1642" s="11">
        <f>Daily_Data!J1642</f>
        <v>12.58</v>
      </c>
      <c r="C1642" s="11" t="str">
        <f>Daily_Data!I1642</f>
        <v/>
      </c>
      <c r="D1642" s="12">
        <f>if(sum(Daily_Data!K1642:L1642)&gt;0,1,0)</f>
        <v>0</v>
      </c>
    </row>
    <row r="1643">
      <c r="A1643" s="10">
        <f>Daily_Data!A1643</f>
        <v>38825</v>
      </c>
      <c r="B1643" s="11">
        <f>Daily_Data!J1643</f>
        <v>11.4</v>
      </c>
      <c r="C1643" s="11">
        <f>Daily_Data!I1643</f>
        <v>1.3</v>
      </c>
      <c r="D1643" s="12">
        <f>if(sum(Daily_Data!K1643:L1643)&gt;0,1,0)</f>
        <v>0</v>
      </c>
    </row>
    <row r="1644">
      <c r="A1644" s="10">
        <f>Daily_Data!A1644</f>
        <v>38826</v>
      </c>
      <c r="B1644" s="11">
        <f>Daily_Data!J1644</f>
        <v>11.32</v>
      </c>
      <c r="C1644" s="11">
        <f>Daily_Data!I1644</f>
        <v>1.27</v>
      </c>
      <c r="D1644" s="12">
        <f>if(sum(Daily_Data!K1644:L1644)&gt;0,1,0)</f>
        <v>1</v>
      </c>
    </row>
    <row r="1645">
      <c r="A1645" s="10">
        <f>Daily_Data!A1645</f>
        <v>38827</v>
      </c>
      <c r="B1645" s="11">
        <f>Daily_Data!J1645</f>
        <v>11.64</v>
      </c>
      <c r="C1645" s="11">
        <f>Daily_Data!I1645</f>
        <v>1.25</v>
      </c>
      <c r="D1645" s="12">
        <f>if(sum(Daily_Data!K1645:L1645)&gt;0,1,0)</f>
        <v>0</v>
      </c>
    </row>
    <row r="1646">
      <c r="A1646" s="10">
        <f>Daily_Data!A1646</f>
        <v>38828</v>
      </c>
      <c r="B1646" s="11">
        <f>Daily_Data!J1646</f>
        <v>11.59</v>
      </c>
      <c r="C1646" s="11">
        <f>Daily_Data!I1646</f>
        <v>1.23</v>
      </c>
      <c r="D1646" s="12">
        <f>if(sum(Daily_Data!K1646:L1646)&gt;0,1,0)</f>
        <v>0</v>
      </c>
    </row>
    <row r="1647">
      <c r="A1647" s="10">
        <f>Daily_Data!A1647</f>
        <v>38831</v>
      </c>
      <c r="B1647" s="11">
        <f>Daily_Data!J1647</f>
        <v>11.75</v>
      </c>
      <c r="C1647" s="11">
        <f>Daily_Data!I1647</f>
        <v>1.2</v>
      </c>
      <c r="D1647" s="12">
        <f>if(sum(Daily_Data!K1647:L1647)&gt;0,1,0)</f>
        <v>0</v>
      </c>
    </row>
    <row r="1648">
      <c r="A1648" s="10">
        <f>Daily_Data!A1648</f>
        <v>38832</v>
      </c>
      <c r="B1648" s="11">
        <f>Daily_Data!J1648</f>
        <v>11.75</v>
      </c>
      <c r="C1648" s="11" t="str">
        <f>Daily_Data!I1648</f>
        <v/>
      </c>
      <c r="D1648" s="12">
        <f>if(sum(Daily_Data!K1648:L1648)&gt;0,1,0)</f>
        <v>0</v>
      </c>
    </row>
    <row r="1649">
      <c r="A1649" s="10">
        <f>Daily_Data!A1649</f>
        <v>38833</v>
      </c>
      <c r="B1649" s="11">
        <f>Daily_Data!J1649</f>
        <v>11.76</v>
      </c>
      <c r="C1649" s="11">
        <f>Daily_Data!I1649</f>
        <v>1.1</v>
      </c>
      <c r="D1649" s="12">
        <f>if(sum(Daily_Data!K1649:L1649)&gt;0,1,0)</f>
        <v>0</v>
      </c>
    </row>
    <row r="1650">
      <c r="A1650" s="10">
        <f>Daily_Data!A1650</f>
        <v>38834</v>
      </c>
      <c r="B1650" s="11">
        <f>Daily_Data!J1650</f>
        <v>11.84</v>
      </c>
      <c r="C1650" s="11">
        <f>Daily_Data!I1650</f>
        <v>1.32</v>
      </c>
      <c r="D1650" s="12">
        <f>if(sum(Daily_Data!K1650:L1650)&gt;0,1,0)</f>
        <v>0</v>
      </c>
    </row>
    <row r="1651">
      <c r="A1651" s="10">
        <f>Daily_Data!A1651</f>
        <v>38835</v>
      </c>
      <c r="B1651" s="11">
        <f>Daily_Data!J1651</f>
        <v>11.59</v>
      </c>
      <c r="C1651" s="11">
        <f>Daily_Data!I1651</f>
        <v>1.32</v>
      </c>
      <c r="D1651" s="12">
        <f>if(sum(Daily_Data!K1651:L1651)&gt;0,1,0)</f>
        <v>0</v>
      </c>
    </row>
    <row r="1652">
      <c r="A1652" s="10">
        <f>Daily_Data!A1652</f>
        <v>38838</v>
      </c>
      <c r="B1652" s="11">
        <f>Daily_Data!J1652</f>
        <v>12.54</v>
      </c>
      <c r="C1652" s="11">
        <f>Daily_Data!I1652</f>
        <v>1.22</v>
      </c>
      <c r="D1652" s="12">
        <f>if(sum(Daily_Data!K1652:L1652)&gt;0,1,0)</f>
        <v>0</v>
      </c>
    </row>
    <row r="1653">
      <c r="A1653" s="10">
        <f>Daily_Data!A1653</f>
        <v>38839</v>
      </c>
      <c r="B1653" s="11">
        <f>Daily_Data!J1653</f>
        <v>11.99</v>
      </c>
      <c r="C1653" s="11">
        <f>Daily_Data!I1653</f>
        <v>1.27</v>
      </c>
      <c r="D1653" s="12">
        <f>if(sum(Daily_Data!K1653:L1653)&gt;0,1,0)</f>
        <v>0</v>
      </c>
    </row>
    <row r="1654">
      <c r="A1654" s="10">
        <f>Daily_Data!A1654</f>
        <v>38840</v>
      </c>
      <c r="B1654" s="11">
        <f>Daily_Data!J1654</f>
        <v>11.99</v>
      </c>
      <c r="C1654" s="11">
        <f>Daily_Data!I1654</f>
        <v>1.25</v>
      </c>
      <c r="D1654" s="12">
        <f>if(sum(Daily_Data!K1654:L1654)&gt;0,1,0)</f>
        <v>0</v>
      </c>
    </row>
    <row r="1655">
      <c r="A1655" s="10">
        <f>Daily_Data!A1655</f>
        <v>38841</v>
      </c>
      <c r="B1655" s="11">
        <f>Daily_Data!J1655</f>
        <v>11.86</v>
      </c>
      <c r="C1655" s="11">
        <f>Daily_Data!I1655</f>
        <v>1.27</v>
      </c>
      <c r="D1655" s="12">
        <f>if(sum(Daily_Data!K1655:L1655)&gt;0,1,0)</f>
        <v>0</v>
      </c>
    </row>
    <row r="1656">
      <c r="A1656" s="10">
        <f>Daily_Data!A1656</f>
        <v>38842</v>
      </c>
      <c r="B1656" s="11">
        <f>Daily_Data!J1656</f>
        <v>11.62</v>
      </c>
      <c r="C1656" s="11">
        <f>Daily_Data!I1656</f>
        <v>1.31</v>
      </c>
      <c r="D1656" s="12">
        <f>if(sum(Daily_Data!K1656:L1656)&gt;0,1,0)</f>
        <v>1</v>
      </c>
    </row>
    <row r="1657">
      <c r="A1657" s="10">
        <f>Daily_Data!A1657</f>
        <v>38845</v>
      </c>
      <c r="B1657" s="11">
        <f>Daily_Data!J1657</f>
        <v>12</v>
      </c>
      <c r="C1657" s="11">
        <f>Daily_Data!I1657</f>
        <v>1.26</v>
      </c>
      <c r="D1657" s="12">
        <f>if(sum(Daily_Data!K1657:L1657)&gt;0,1,0)</f>
        <v>0</v>
      </c>
    </row>
    <row r="1658">
      <c r="A1658" s="10">
        <f>Daily_Data!A1658</f>
        <v>38846</v>
      </c>
      <c r="B1658" s="11">
        <f>Daily_Data!J1658</f>
        <v>11.99</v>
      </c>
      <c r="C1658" s="11">
        <f>Daily_Data!I1658</f>
        <v>1.26</v>
      </c>
      <c r="D1658" s="12">
        <f>if(sum(Daily_Data!K1658:L1658)&gt;0,1,0)</f>
        <v>0</v>
      </c>
    </row>
    <row r="1659">
      <c r="A1659" s="10">
        <f>Daily_Data!A1659</f>
        <v>38847</v>
      </c>
      <c r="B1659" s="11">
        <f>Daily_Data!J1659</f>
        <v>11.78</v>
      </c>
      <c r="C1659" s="11">
        <f>Daily_Data!I1659</f>
        <v>1.29</v>
      </c>
      <c r="D1659" s="12">
        <f>if(sum(Daily_Data!K1659:L1659)&gt;0,1,0)</f>
        <v>0</v>
      </c>
    </row>
    <row r="1660">
      <c r="A1660" s="10">
        <f>Daily_Data!A1660</f>
        <v>38848</v>
      </c>
      <c r="B1660" s="11">
        <f>Daily_Data!J1660</f>
        <v>12.49</v>
      </c>
      <c r="C1660" s="11">
        <f>Daily_Data!I1660</f>
        <v>1.31</v>
      </c>
      <c r="D1660" s="12">
        <f>if(sum(Daily_Data!K1660:L1660)&gt;0,1,0)</f>
        <v>0</v>
      </c>
    </row>
    <row r="1661">
      <c r="A1661" s="10">
        <f>Daily_Data!A1661</f>
        <v>38849</v>
      </c>
      <c r="B1661" s="11">
        <f>Daily_Data!J1661</f>
        <v>14.19</v>
      </c>
      <c r="C1661" s="11">
        <f>Daily_Data!I1661</f>
        <v>1.3</v>
      </c>
      <c r="D1661" s="12">
        <f>if(sum(Daily_Data!K1661:L1661)&gt;0,1,0)</f>
        <v>0</v>
      </c>
    </row>
    <row r="1662">
      <c r="A1662" s="10">
        <f>Daily_Data!A1662</f>
        <v>38852</v>
      </c>
      <c r="B1662" s="11">
        <f>Daily_Data!J1662</f>
        <v>13.57</v>
      </c>
      <c r="C1662" s="11">
        <f>Daily_Data!I1662</f>
        <v>1.34</v>
      </c>
      <c r="D1662" s="12">
        <f>if(sum(Daily_Data!K1662:L1662)&gt;0,1,0)</f>
        <v>0</v>
      </c>
    </row>
    <row r="1663">
      <c r="A1663" s="10">
        <f>Daily_Data!A1663</f>
        <v>38853</v>
      </c>
      <c r="B1663" s="11">
        <f>Daily_Data!J1663</f>
        <v>13.35</v>
      </c>
      <c r="C1663" s="11">
        <f>Daily_Data!I1663</f>
        <v>1.35</v>
      </c>
      <c r="D1663" s="12">
        <f>if(sum(Daily_Data!K1663:L1663)&gt;0,1,0)</f>
        <v>0</v>
      </c>
    </row>
    <row r="1664">
      <c r="A1664" s="10">
        <f>Daily_Data!A1664</f>
        <v>38854</v>
      </c>
      <c r="B1664" s="11">
        <f>Daily_Data!J1664</f>
        <v>16.26</v>
      </c>
      <c r="C1664" s="11">
        <f>Daily_Data!I1664</f>
        <v>1.31</v>
      </c>
      <c r="D1664" s="12">
        <f>if(sum(Daily_Data!K1664:L1664)&gt;0,1,0)</f>
        <v>1</v>
      </c>
    </row>
    <row r="1665">
      <c r="A1665" s="10">
        <f>Daily_Data!A1665</f>
        <v>38855</v>
      </c>
      <c r="B1665" s="11">
        <f>Daily_Data!J1665</f>
        <v>16.99</v>
      </c>
      <c r="C1665" s="11">
        <f>Daily_Data!I1665</f>
        <v>1.38</v>
      </c>
      <c r="D1665" s="12">
        <f>if(sum(Daily_Data!K1665:L1665)&gt;0,1,0)</f>
        <v>0</v>
      </c>
    </row>
    <row r="1666">
      <c r="A1666" s="10">
        <f>Daily_Data!A1666</f>
        <v>38856</v>
      </c>
      <c r="B1666" s="11">
        <f>Daily_Data!J1666</f>
        <v>17.18</v>
      </c>
      <c r="C1666" s="11">
        <f>Daily_Data!I1666</f>
        <v>1.35</v>
      </c>
      <c r="D1666" s="12">
        <f>if(sum(Daily_Data!K1666:L1666)&gt;0,1,0)</f>
        <v>0</v>
      </c>
    </row>
    <row r="1667">
      <c r="A1667" s="10">
        <f>Daily_Data!A1667</f>
        <v>38859</v>
      </c>
      <c r="B1667" s="11">
        <f>Daily_Data!J1667</f>
        <v>17.72</v>
      </c>
      <c r="C1667" s="11">
        <f>Daily_Data!I1667</f>
        <v>1.34</v>
      </c>
      <c r="D1667" s="12">
        <f>if(sum(Daily_Data!K1667:L1667)&gt;0,1,0)</f>
        <v>0</v>
      </c>
    </row>
    <row r="1668">
      <c r="A1668" s="10">
        <f>Daily_Data!A1668</f>
        <v>38860</v>
      </c>
      <c r="B1668" s="11">
        <f>Daily_Data!J1668</f>
        <v>18.26</v>
      </c>
      <c r="C1668" s="11">
        <f>Daily_Data!I1668</f>
        <v>1.31</v>
      </c>
      <c r="D1668" s="12">
        <f>if(sum(Daily_Data!K1668:L1668)&gt;0,1,0)</f>
        <v>0</v>
      </c>
    </row>
    <row r="1669">
      <c r="A1669" s="10">
        <f>Daily_Data!A1669</f>
        <v>38861</v>
      </c>
      <c r="B1669" s="11">
        <f>Daily_Data!J1669</f>
        <v>17.36</v>
      </c>
      <c r="C1669" s="11">
        <f>Daily_Data!I1669</f>
        <v>1.34</v>
      </c>
      <c r="D1669" s="12">
        <f>if(sum(Daily_Data!K1669:L1669)&gt;0,1,0)</f>
        <v>0</v>
      </c>
    </row>
    <row r="1670">
      <c r="A1670" s="10">
        <f>Daily_Data!A1670</f>
        <v>38862</v>
      </c>
      <c r="B1670" s="11">
        <f>Daily_Data!J1670</f>
        <v>15.5</v>
      </c>
      <c r="C1670" s="11">
        <f>Daily_Data!I1670</f>
        <v>1.3</v>
      </c>
      <c r="D1670" s="12">
        <f>if(sum(Daily_Data!K1670:L1670)&gt;0,1,0)</f>
        <v>0</v>
      </c>
    </row>
    <row r="1671">
      <c r="A1671" s="10">
        <f>Daily_Data!A1671</f>
        <v>38863</v>
      </c>
      <c r="B1671" s="11">
        <f>Daily_Data!J1671</f>
        <v>14.26</v>
      </c>
      <c r="C1671" s="11">
        <f>Daily_Data!I1671</f>
        <v>1.3</v>
      </c>
      <c r="D1671" s="12">
        <f>if(sum(Daily_Data!K1671:L1671)&gt;0,1,0)</f>
        <v>0</v>
      </c>
    </row>
    <row r="1672">
      <c r="A1672" s="10">
        <f>Daily_Data!A1672</f>
        <v>38866</v>
      </c>
      <c r="B1672" s="11" t="str">
        <f>Daily_Data!J1672</f>
        <v/>
      </c>
      <c r="C1672" s="11" t="str">
        <f>Daily_Data!I1672</f>
        <v/>
      </c>
      <c r="D1672" s="12">
        <f>if(sum(Daily_Data!K1672:L1672)&gt;0,1,0)</f>
        <v>0</v>
      </c>
    </row>
    <row r="1673">
      <c r="A1673" s="10">
        <f>Daily_Data!A1673</f>
        <v>38867</v>
      </c>
      <c r="B1673" s="11">
        <f>Daily_Data!J1673</f>
        <v>18.66</v>
      </c>
      <c r="C1673" s="11">
        <f>Daily_Data!I1673</f>
        <v>1.28</v>
      </c>
      <c r="D1673" s="12">
        <f>if(sum(Daily_Data!K1673:L1673)&gt;0,1,0)</f>
        <v>0</v>
      </c>
    </row>
    <row r="1674">
      <c r="A1674" s="10">
        <f>Daily_Data!A1674</f>
        <v>38868</v>
      </c>
      <c r="B1674" s="11">
        <f>Daily_Data!J1674</f>
        <v>16.44</v>
      </c>
      <c r="C1674" s="11">
        <f>Daily_Data!I1674</f>
        <v>1.24</v>
      </c>
      <c r="D1674" s="12">
        <f>if(sum(Daily_Data!K1674:L1674)&gt;0,1,0)</f>
        <v>0</v>
      </c>
    </row>
    <row r="1675">
      <c r="A1675" s="10">
        <f>Daily_Data!A1675</f>
        <v>38869</v>
      </c>
      <c r="B1675" s="11">
        <f>Daily_Data!J1675</f>
        <v>14.52</v>
      </c>
      <c r="C1675" s="11">
        <f>Daily_Data!I1675</f>
        <v>1.25</v>
      </c>
      <c r="D1675" s="12">
        <f>if(sum(Daily_Data!K1675:L1675)&gt;0,1,0)</f>
        <v>0</v>
      </c>
    </row>
    <row r="1676">
      <c r="A1676" s="10">
        <f>Daily_Data!A1676</f>
        <v>38870</v>
      </c>
      <c r="B1676" s="11">
        <f>Daily_Data!J1676</f>
        <v>14.32</v>
      </c>
      <c r="C1676" s="11">
        <f>Daily_Data!I1676</f>
        <v>1.36</v>
      </c>
      <c r="D1676" s="12">
        <f>if(sum(Daily_Data!K1676:L1676)&gt;0,1,0)</f>
        <v>1</v>
      </c>
    </row>
    <row r="1677">
      <c r="A1677" s="10">
        <f>Daily_Data!A1677</f>
        <v>38873</v>
      </c>
      <c r="B1677" s="11">
        <f>Daily_Data!J1677</f>
        <v>16.65</v>
      </c>
      <c r="C1677" s="11" t="str">
        <f>Daily_Data!I1677</f>
        <v/>
      </c>
      <c r="D1677" s="12">
        <f>if(sum(Daily_Data!K1677:L1677)&gt;0,1,0)</f>
        <v>0</v>
      </c>
    </row>
    <row r="1678">
      <c r="A1678" s="10">
        <f>Daily_Data!A1678</f>
        <v>38874</v>
      </c>
      <c r="B1678" s="11">
        <f>Daily_Data!J1678</f>
        <v>17.34</v>
      </c>
      <c r="C1678" s="11">
        <f>Daily_Data!I1678</f>
        <v>1.28</v>
      </c>
      <c r="D1678" s="12">
        <f>if(sum(Daily_Data!K1678:L1678)&gt;0,1,0)</f>
        <v>0</v>
      </c>
    </row>
    <row r="1679">
      <c r="A1679" s="10">
        <f>Daily_Data!A1679</f>
        <v>38875</v>
      </c>
      <c r="B1679" s="11">
        <f>Daily_Data!J1679</f>
        <v>17.8</v>
      </c>
      <c r="C1679" s="11">
        <f>Daily_Data!I1679</f>
        <v>1.27</v>
      </c>
      <c r="D1679" s="12">
        <f>if(sum(Daily_Data!K1679:L1679)&gt;0,1,0)</f>
        <v>0</v>
      </c>
    </row>
    <row r="1680">
      <c r="A1680" s="10">
        <f>Daily_Data!A1680</f>
        <v>38876</v>
      </c>
      <c r="B1680" s="11">
        <f>Daily_Data!J1680</f>
        <v>18.35</v>
      </c>
      <c r="C1680" s="11">
        <f>Daily_Data!I1680</f>
        <v>1.36</v>
      </c>
      <c r="D1680" s="12">
        <f>if(sum(Daily_Data!K1680:L1680)&gt;0,1,0)</f>
        <v>0</v>
      </c>
    </row>
    <row r="1681">
      <c r="A1681" s="10">
        <f>Daily_Data!A1681</f>
        <v>38877</v>
      </c>
      <c r="B1681" s="11">
        <f>Daily_Data!J1681</f>
        <v>18.12</v>
      </c>
      <c r="C1681" s="11">
        <f>Daily_Data!I1681</f>
        <v>1.38</v>
      </c>
      <c r="D1681" s="12">
        <f>if(sum(Daily_Data!K1681:L1681)&gt;0,1,0)</f>
        <v>0</v>
      </c>
    </row>
    <row r="1682">
      <c r="A1682" s="10">
        <f>Daily_Data!A1682</f>
        <v>38880</v>
      </c>
      <c r="B1682" s="11">
        <f>Daily_Data!J1682</f>
        <v>20.96</v>
      </c>
      <c r="C1682" s="11">
        <f>Daily_Data!I1682</f>
        <v>1.36</v>
      </c>
      <c r="D1682" s="12">
        <f>if(sum(Daily_Data!K1682:L1682)&gt;0,1,0)</f>
        <v>0</v>
      </c>
    </row>
    <row r="1683">
      <c r="A1683" s="10">
        <f>Daily_Data!A1683</f>
        <v>38881</v>
      </c>
      <c r="B1683" s="11">
        <f>Daily_Data!J1683</f>
        <v>23.81</v>
      </c>
      <c r="C1683" s="11">
        <f>Daily_Data!I1683</f>
        <v>1.34</v>
      </c>
      <c r="D1683" s="12">
        <f>if(sum(Daily_Data!K1683:L1683)&gt;0,1,0)</f>
        <v>0</v>
      </c>
    </row>
    <row r="1684">
      <c r="A1684" s="10">
        <f>Daily_Data!A1684</f>
        <v>38882</v>
      </c>
      <c r="B1684" s="11">
        <f>Daily_Data!J1684</f>
        <v>21.46</v>
      </c>
      <c r="C1684" s="11">
        <f>Daily_Data!I1684</f>
        <v>1.23</v>
      </c>
      <c r="D1684" s="12">
        <f>if(sum(Daily_Data!K1684:L1684)&gt;0,1,0)</f>
        <v>1</v>
      </c>
    </row>
    <row r="1685">
      <c r="A1685" s="10">
        <f>Daily_Data!A1685</f>
        <v>38883</v>
      </c>
      <c r="B1685" s="11">
        <f>Daily_Data!J1685</f>
        <v>15.9</v>
      </c>
      <c r="C1685" s="11">
        <f>Daily_Data!I1685</f>
        <v>1.21</v>
      </c>
      <c r="D1685" s="12">
        <f>if(sum(Daily_Data!K1685:L1685)&gt;0,1,0)</f>
        <v>0</v>
      </c>
    </row>
    <row r="1686">
      <c r="A1686" s="10">
        <f>Daily_Data!A1686</f>
        <v>38884</v>
      </c>
      <c r="B1686" s="11">
        <f>Daily_Data!J1686</f>
        <v>17.25</v>
      </c>
      <c r="C1686" s="11">
        <f>Daily_Data!I1686</f>
        <v>1.2</v>
      </c>
      <c r="D1686" s="12">
        <f>if(sum(Daily_Data!K1686:L1686)&gt;0,1,0)</f>
        <v>0</v>
      </c>
    </row>
    <row r="1687">
      <c r="A1687" s="10">
        <f>Daily_Data!A1687</f>
        <v>38887</v>
      </c>
      <c r="B1687" s="11">
        <f>Daily_Data!J1687</f>
        <v>17.83</v>
      </c>
      <c r="C1687" s="11">
        <f>Daily_Data!I1687</f>
        <v>1.21</v>
      </c>
      <c r="D1687" s="12">
        <f>if(sum(Daily_Data!K1687:L1687)&gt;0,1,0)</f>
        <v>0</v>
      </c>
    </row>
    <row r="1688">
      <c r="A1688" s="10">
        <f>Daily_Data!A1688</f>
        <v>38888</v>
      </c>
      <c r="B1688" s="11">
        <f>Daily_Data!J1688</f>
        <v>16.69</v>
      </c>
      <c r="C1688" s="11">
        <f>Daily_Data!I1688</f>
        <v>1.23</v>
      </c>
      <c r="D1688" s="12">
        <f>if(sum(Daily_Data!K1688:L1688)&gt;0,1,0)</f>
        <v>0</v>
      </c>
    </row>
    <row r="1689">
      <c r="A1689" s="10">
        <f>Daily_Data!A1689</f>
        <v>38889</v>
      </c>
      <c r="B1689" s="11">
        <f>Daily_Data!J1689</f>
        <v>15.52</v>
      </c>
      <c r="C1689" s="11">
        <f>Daily_Data!I1689</f>
        <v>1.22</v>
      </c>
      <c r="D1689" s="12">
        <f>if(sum(Daily_Data!K1689:L1689)&gt;0,1,0)</f>
        <v>0</v>
      </c>
    </row>
    <row r="1690">
      <c r="A1690" s="10">
        <f>Daily_Data!A1690</f>
        <v>38890</v>
      </c>
      <c r="B1690" s="11">
        <f>Daily_Data!J1690</f>
        <v>15.88</v>
      </c>
      <c r="C1690" s="11">
        <f>Daily_Data!I1690</f>
        <v>1.17</v>
      </c>
      <c r="D1690" s="12">
        <f>if(sum(Daily_Data!K1690:L1690)&gt;0,1,0)</f>
        <v>0</v>
      </c>
    </row>
    <row r="1691">
      <c r="A1691" s="10">
        <f>Daily_Data!A1691</f>
        <v>38891</v>
      </c>
      <c r="B1691" s="11">
        <f>Daily_Data!J1691</f>
        <v>15.89</v>
      </c>
      <c r="C1691" s="11">
        <f>Daily_Data!I1691</f>
        <v>1.15</v>
      </c>
      <c r="D1691" s="12">
        <f>if(sum(Daily_Data!K1691:L1691)&gt;0,1,0)</f>
        <v>0</v>
      </c>
    </row>
    <row r="1692">
      <c r="A1692" s="10">
        <f>Daily_Data!A1692</f>
        <v>38894</v>
      </c>
      <c r="B1692" s="11">
        <f>Daily_Data!J1692</f>
        <v>15.62</v>
      </c>
      <c r="C1692" s="11">
        <f>Daily_Data!I1692</f>
        <v>1.16</v>
      </c>
      <c r="D1692" s="12">
        <f>if(sum(Daily_Data!K1692:L1692)&gt;0,1,0)</f>
        <v>0</v>
      </c>
    </row>
    <row r="1693">
      <c r="A1693" s="10">
        <f>Daily_Data!A1693</f>
        <v>38895</v>
      </c>
      <c r="B1693" s="11">
        <f>Daily_Data!J1693</f>
        <v>16.4</v>
      </c>
      <c r="C1693" s="11">
        <f>Daily_Data!I1693</f>
        <v>1.18</v>
      </c>
      <c r="D1693" s="12">
        <f>if(sum(Daily_Data!K1693:L1693)&gt;0,1,0)</f>
        <v>0</v>
      </c>
    </row>
    <row r="1694">
      <c r="A1694" s="10">
        <f>Daily_Data!A1694</f>
        <v>38896</v>
      </c>
      <c r="B1694" s="11">
        <f>Daily_Data!J1694</f>
        <v>15.79</v>
      </c>
      <c r="C1694" s="11">
        <f>Daily_Data!I1694</f>
        <v>1.1</v>
      </c>
      <c r="D1694" s="12">
        <f>if(sum(Daily_Data!K1694:L1694)&gt;0,1,0)</f>
        <v>0</v>
      </c>
    </row>
    <row r="1695">
      <c r="A1695" s="10">
        <f>Daily_Data!A1695</f>
        <v>38897</v>
      </c>
      <c r="B1695" s="11">
        <f>Daily_Data!J1695</f>
        <v>13.03</v>
      </c>
      <c r="C1695" s="11">
        <f>Daily_Data!I1695</f>
        <v>1.2</v>
      </c>
      <c r="D1695" s="12">
        <f>if(sum(Daily_Data!K1695:L1695)&gt;0,1,0)</f>
        <v>0</v>
      </c>
    </row>
    <row r="1696">
      <c r="A1696" s="10">
        <f>Daily_Data!A1696</f>
        <v>38898</v>
      </c>
      <c r="B1696" s="11">
        <f>Daily_Data!J1696</f>
        <v>13.08</v>
      </c>
      <c r="C1696" s="11">
        <f>Daily_Data!I1696</f>
        <v>1.24</v>
      </c>
      <c r="D1696" s="12">
        <f>if(sum(Daily_Data!K1696:L1696)&gt;0,1,0)</f>
        <v>0</v>
      </c>
    </row>
    <row r="1697">
      <c r="A1697" s="10">
        <f>Daily_Data!A1697</f>
        <v>38901</v>
      </c>
      <c r="B1697" s="11">
        <f>Daily_Data!J1697</f>
        <v>13.05</v>
      </c>
      <c r="C1697" s="11">
        <f>Daily_Data!I1697</f>
        <v>1.24</v>
      </c>
      <c r="D1697" s="12">
        <f>if(sum(Daily_Data!K1697:L1697)&gt;0,1,0)</f>
        <v>0</v>
      </c>
    </row>
    <row r="1698">
      <c r="A1698" s="10">
        <f>Daily_Data!A1698</f>
        <v>38902</v>
      </c>
      <c r="B1698" s="11" t="str">
        <f>Daily_Data!J1698</f>
        <v/>
      </c>
      <c r="C1698" s="11" t="str">
        <f>Daily_Data!I1698</f>
        <v/>
      </c>
      <c r="D1698" s="12">
        <f>if(sum(Daily_Data!K1698:L1698)&gt;0,1,0)</f>
        <v>0</v>
      </c>
    </row>
    <row r="1699">
      <c r="A1699" s="10">
        <f>Daily_Data!A1699</f>
        <v>38903</v>
      </c>
      <c r="B1699" s="11">
        <f>Daily_Data!J1699</f>
        <v>14.15</v>
      </c>
      <c r="C1699" s="11">
        <f>Daily_Data!I1699</f>
        <v>1.22</v>
      </c>
      <c r="D1699" s="12">
        <f>if(sum(Daily_Data!K1699:L1699)&gt;0,1,0)</f>
        <v>0</v>
      </c>
    </row>
    <row r="1700">
      <c r="A1700" s="10">
        <f>Daily_Data!A1700</f>
        <v>38904</v>
      </c>
      <c r="B1700" s="11">
        <f>Daily_Data!J1700</f>
        <v>13.65</v>
      </c>
      <c r="C1700" s="11">
        <f>Daily_Data!I1700</f>
        <v>1.31</v>
      </c>
      <c r="D1700" s="12">
        <f>if(sum(Daily_Data!K1700:L1700)&gt;0,1,0)</f>
        <v>0</v>
      </c>
    </row>
    <row r="1701">
      <c r="A1701" s="10">
        <f>Daily_Data!A1701</f>
        <v>38905</v>
      </c>
      <c r="B1701" s="11">
        <f>Daily_Data!J1701</f>
        <v>13.97</v>
      </c>
      <c r="C1701" s="11">
        <f>Daily_Data!I1701</f>
        <v>1.34</v>
      </c>
      <c r="D1701" s="12">
        <f>if(sum(Daily_Data!K1701:L1701)&gt;0,1,0)</f>
        <v>1</v>
      </c>
    </row>
    <row r="1702">
      <c r="A1702" s="10">
        <f>Daily_Data!A1702</f>
        <v>38908</v>
      </c>
      <c r="B1702" s="11">
        <f>Daily_Data!J1702</f>
        <v>14.02</v>
      </c>
      <c r="C1702" s="11">
        <f>Daily_Data!I1702</f>
        <v>1.34</v>
      </c>
      <c r="D1702" s="12">
        <f>if(sum(Daily_Data!K1702:L1702)&gt;0,1,0)</f>
        <v>0</v>
      </c>
    </row>
    <row r="1703">
      <c r="A1703" s="10">
        <f>Daily_Data!A1703</f>
        <v>38909</v>
      </c>
      <c r="B1703" s="11">
        <f>Daily_Data!J1703</f>
        <v>13.14</v>
      </c>
      <c r="C1703" s="11">
        <f>Daily_Data!I1703</f>
        <v>1.34</v>
      </c>
      <c r="D1703" s="12">
        <f>if(sum(Daily_Data!K1703:L1703)&gt;0,1,0)</f>
        <v>0</v>
      </c>
    </row>
    <row r="1704">
      <c r="A1704" s="10">
        <f>Daily_Data!A1704</f>
        <v>38910</v>
      </c>
      <c r="B1704" s="11">
        <f>Daily_Data!J1704</f>
        <v>14.49</v>
      </c>
      <c r="C1704" s="11">
        <f>Daily_Data!I1704</f>
        <v>1.37</v>
      </c>
      <c r="D1704" s="12">
        <f>if(sum(Daily_Data!K1704:L1704)&gt;0,1,0)</f>
        <v>0</v>
      </c>
    </row>
    <row r="1705">
      <c r="A1705" s="10">
        <f>Daily_Data!A1705</f>
        <v>38911</v>
      </c>
      <c r="B1705" s="11">
        <f>Daily_Data!J1705</f>
        <v>17.79</v>
      </c>
      <c r="C1705" s="11">
        <f>Daily_Data!I1705</f>
        <v>1.48</v>
      </c>
      <c r="D1705" s="12">
        <f>if(sum(Daily_Data!K1705:L1705)&gt;0,1,0)</f>
        <v>0</v>
      </c>
    </row>
    <row r="1706">
      <c r="A1706" s="10">
        <f>Daily_Data!A1706</f>
        <v>38912</v>
      </c>
      <c r="B1706" s="11">
        <f>Daily_Data!J1706</f>
        <v>18.05</v>
      </c>
      <c r="C1706" s="11">
        <f>Daily_Data!I1706</f>
        <v>1.52</v>
      </c>
      <c r="D1706" s="12">
        <f>if(sum(Daily_Data!K1706:L1706)&gt;0,1,0)</f>
        <v>0</v>
      </c>
    </row>
    <row r="1707">
      <c r="A1707" s="10">
        <f>Daily_Data!A1707</f>
        <v>38915</v>
      </c>
      <c r="B1707" s="11">
        <f>Daily_Data!J1707</f>
        <v>18.64</v>
      </c>
      <c r="C1707" s="11">
        <f>Daily_Data!I1707</f>
        <v>1.49</v>
      </c>
      <c r="D1707" s="12">
        <f>if(sum(Daily_Data!K1707:L1707)&gt;0,1,0)</f>
        <v>0</v>
      </c>
    </row>
    <row r="1708">
      <c r="A1708" s="10">
        <f>Daily_Data!A1708</f>
        <v>38916</v>
      </c>
      <c r="B1708" s="11">
        <f>Daily_Data!J1708</f>
        <v>17.74</v>
      </c>
      <c r="C1708" s="11">
        <f>Daily_Data!I1708</f>
        <v>1.47</v>
      </c>
      <c r="D1708" s="12">
        <f>if(sum(Daily_Data!K1708:L1708)&gt;0,1,0)</f>
        <v>0</v>
      </c>
    </row>
    <row r="1709">
      <c r="A1709" s="10">
        <f>Daily_Data!A1709</f>
        <v>38917</v>
      </c>
      <c r="B1709" s="11">
        <f>Daily_Data!J1709</f>
        <v>15.55</v>
      </c>
      <c r="C1709" s="11">
        <f>Daily_Data!I1709</f>
        <v>1.54</v>
      </c>
      <c r="D1709" s="12">
        <f>if(sum(Daily_Data!K1709:L1709)&gt;0,1,0)</f>
        <v>1</v>
      </c>
    </row>
    <row r="1710">
      <c r="A1710" s="10">
        <f>Daily_Data!A1710</f>
        <v>38918</v>
      </c>
      <c r="B1710" s="11">
        <f>Daily_Data!J1710</f>
        <v>16.21</v>
      </c>
      <c r="C1710" s="11">
        <f>Daily_Data!I1710</f>
        <v>1.57</v>
      </c>
      <c r="D1710" s="12">
        <f>if(sum(Daily_Data!K1710:L1710)&gt;0,1,0)</f>
        <v>0</v>
      </c>
    </row>
    <row r="1711">
      <c r="A1711" s="10">
        <f>Daily_Data!A1711</f>
        <v>38919</v>
      </c>
      <c r="B1711" s="11">
        <f>Daily_Data!J1711</f>
        <v>17.4</v>
      </c>
      <c r="C1711" s="11">
        <f>Daily_Data!I1711</f>
        <v>1.6</v>
      </c>
      <c r="D1711" s="12">
        <f>if(sum(Daily_Data!K1711:L1711)&gt;0,1,0)</f>
        <v>0</v>
      </c>
    </row>
    <row r="1712">
      <c r="A1712" s="10">
        <f>Daily_Data!A1712</f>
        <v>38922</v>
      </c>
      <c r="B1712" s="11">
        <f>Daily_Data!J1712</f>
        <v>14.98</v>
      </c>
      <c r="C1712" s="11">
        <f>Daily_Data!I1712</f>
        <v>1.57</v>
      </c>
      <c r="D1712" s="12">
        <f>if(sum(Daily_Data!K1712:L1712)&gt;0,1,0)</f>
        <v>0</v>
      </c>
    </row>
    <row r="1713">
      <c r="A1713" s="10">
        <f>Daily_Data!A1713</f>
        <v>38923</v>
      </c>
      <c r="B1713" s="11">
        <f>Daily_Data!J1713</f>
        <v>14.85</v>
      </c>
      <c r="C1713" s="11">
        <f>Daily_Data!I1713</f>
        <v>1.6</v>
      </c>
      <c r="D1713" s="12">
        <f>if(sum(Daily_Data!K1713:L1713)&gt;0,1,0)</f>
        <v>0</v>
      </c>
    </row>
    <row r="1714">
      <c r="A1714" s="10">
        <f>Daily_Data!A1714</f>
        <v>38924</v>
      </c>
      <c r="B1714" s="11">
        <f>Daily_Data!J1714</f>
        <v>14.62</v>
      </c>
      <c r="C1714" s="11">
        <f>Daily_Data!I1714</f>
        <v>1.63</v>
      </c>
      <c r="D1714" s="12">
        <f>if(sum(Daily_Data!K1714:L1714)&gt;0,1,0)</f>
        <v>0</v>
      </c>
    </row>
    <row r="1715">
      <c r="A1715" s="10">
        <f>Daily_Data!A1715</f>
        <v>38925</v>
      </c>
      <c r="B1715" s="11">
        <f>Daily_Data!J1715</f>
        <v>14.94</v>
      </c>
      <c r="C1715" s="11">
        <f>Daily_Data!I1715</f>
        <v>1.58</v>
      </c>
      <c r="D1715" s="12">
        <f>if(sum(Daily_Data!K1715:L1715)&gt;0,1,0)</f>
        <v>0</v>
      </c>
    </row>
    <row r="1716">
      <c r="A1716" s="10">
        <f>Daily_Data!A1716</f>
        <v>38926</v>
      </c>
      <c r="B1716" s="11">
        <f>Daily_Data!J1716</f>
        <v>14.33</v>
      </c>
      <c r="C1716" s="11">
        <f>Daily_Data!I1716</f>
        <v>1.67</v>
      </c>
      <c r="D1716" s="12">
        <f>if(sum(Daily_Data!K1716:L1716)&gt;0,1,0)</f>
        <v>0</v>
      </c>
    </row>
    <row r="1717">
      <c r="A1717" s="10">
        <f>Daily_Data!A1717</f>
        <v>38929</v>
      </c>
      <c r="B1717" s="11">
        <f>Daily_Data!J1717</f>
        <v>14.95</v>
      </c>
      <c r="C1717" s="11">
        <f>Daily_Data!I1717</f>
        <v>1.66</v>
      </c>
      <c r="D1717" s="12">
        <f>if(sum(Daily_Data!K1717:L1717)&gt;0,1,0)</f>
        <v>0</v>
      </c>
    </row>
    <row r="1718">
      <c r="A1718" s="10">
        <f>Daily_Data!A1718</f>
        <v>38930</v>
      </c>
      <c r="B1718" s="11">
        <f>Daily_Data!J1718</f>
        <v>15.05</v>
      </c>
      <c r="C1718" s="11">
        <f>Daily_Data!I1718</f>
        <v>1.63</v>
      </c>
      <c r="D1718" s="12">
        <f>if(sum(Daily_Data!K1718:L1718)&gt;0,1,0)</f>
        <v>0</v>
      </c>
    </row>
    <row r="1719">
      <c r="A1719" s="10">
        <f>Daily_Data!A1719</f>
        <v>38931</v>
      </c>
      <c r="B1719" s="11">
        <f>Daily_Data!J1719</f>
        <v>14.34</v>
      </c>
      <c r="C1719" s="11">
        <f>Daily_Data!I1719</f>
        <v>1.63</v>
      </c>
      <c r="D1719" s="12">
        <f>if(sum(Daily_Data!K1719:L1719)&gt;0,1,0)</f>
        <v>0</v>
      </c>
    </row>
    <row r="1720">
      <c r="A1720" s="10">
        <f>Daily_Data!A1720</f>
        <v>38932</v>
      </c>
      <c r="B1720" s="11">
        <f>Daily_Data!J1720</f>
        <v>14.46</v>
      </c>
      <c r="C1720" s="11">
        <f>Daily_Data!I1720</f>
        <v>1.61</v>
      </c>
      <c r="D1720" s="12">
        <f>if(sum(Daily_Data!K1720:L1720)&gt;0,1,0)</f>
        <v>0</v>
      </c>
    </row>
    <row r="1721">
      <c r="A1721" s="10">
        <f>Daily_Data!A1721</f>
        <v>38933</v>
      </c>
      <c r="B1721" s="11">
        <f>Daily_Data!J1721</f>
        <v>14.34</v>
      </c>
      <c r="C1721" s="11">
        <f>Daily_Data!I1721</f>
        <v>1.68</v>
      </c>
      <c r="D1721" s="12">
        <f>if(sum(Daily_Data!K1721:L1721)&gt;0,1,0)</f>
        <v>1</v>
      </c>
    </row>
    <row r="1722">
      <c r="A1722" s="10">
        <f>Daily_Data!A1722</f>
        <v>38936</v>
      </c>
      <c r="B1722" s="11">
        <f>Daily_Data!J1722</f>
        <v>15.23</v>
      </c>
      <c r="C1722" s="11">
        <f>Daily_Data!I1722</f>
        <v>1.61</v>
      </c>
      <c r="D1722" s="12">
        <f>if(sum(Daily_Data!K1722:L1722)&gt;0,1,0)</f>
        <v>0</v>
      </c>
    </row>
    <row r="1723">
      <c r="A1723" s="10">
        <f>Daily_Data!A1723</f>
        <v>38937</v>
      </c>
      <c r="B1723" s="11">
        <f>Daily_Data!J1723</f>
        <v>15.23</v>
      </c>
      <c r="C1723" s="11">
        <f>Daily_Data!I1723</f>
        <v>1.66</v>
      </c>
      <c r="D1723" s="12">
        <f>if(sum(Daily_Data!K1723:L1723)&gt;0,1,0)</f>
        <v>0</v>
      </c>
    </row>
    <row r="1724">
      <c r="A1724" s="10">
        <f>Daily_Data!A1724</f>
        <v>38938</v>
      </c>
      <c r="B1724" s="11">
        <f>Daily_Data!J1724</f>
        <v>15.2</v>
      </c>
      <c r="C1724" s="11">
        <f>Daily_Data!I1724</f>
        <v>1.66</v>
      </c>
      <c r="D1724" s="12">
        <f>if(sum(Daily_Data!K1724:L1724)&gt;0,1,0)</f>
        <v>0</v>
      </c>
    </row>
    <row r="1725">
      <c r="A1725" s="10">
        <f>Daily_Data!A1725</f>
        <v>38939</v>
      </c>
      <c r="B1725" s="11">
        <f>Daily_Data!J1725</f>
        <v>14.46</v>
      </c>
      <c r="C1725" s="11">
        <f>Daily_Data!I1725</f>
        <v>1.71</v>
      </c>
      <c r="D1725" s="12">
        <f>if(sum(Daily_Data!K1725:L1725)&gt;0,1,0)</f>
        <v>0</v>
      </c>
    </row>
    <row r="1726">
      <c r="A1726" s="10">
        <f>Daily_Data!A1726</f>
        <v>38940</v>
      </c>
      <c r="B1726" s="11">
        <f>Daily_Data!J1726</f>
        <v>14.3</v>
      </c>
      <c r="C1726" s="11">
        <f>Daily_Data!I1726</f>
        <v>1.69</v>
      </c>
      <c r="D1726" s="12">
        <f>if(sum(Daily_Data!K1726:L1726)&gt;0,1,0)</f>
        <v>0</v>
      </c>
    </row>
    <row r="1727">
      <c r="A1727" s="10">
        <f>Daily_Data!A1727</f>
        <v>38943</v>
      </c>
      <c r="B1727" s="11">
        <f>Daily_Data!J1727</f>
        <v>14.26</v>
      </c>
      <c r="C1727" s="11">
        <f>Daily_Data!I1727</f>
        <v>1.66</v>
      </c>
      <c r="D1727" s="12">
        <f>if(sum(Daily_Data!K1727:L1727)&gt;0,1,0)</f>
        <v>0</v>
      </c>
    </row>
    <row r="1728">
      <c r="A1728" s="10">
        <f>Daily_Data!A1728</f>
        <v>38944</v>
      </c>
      <c r="B1728" s="11">
        <f>Daily_Data!J1728</f>
        <v>13.42</v>
      </c>
      <c r="C1728" s="11">
        <f>Daily_Data!I1728</f>
        <v>1.8</v>
      </c>
      <c r="D1728" s="12">
        <f>if(sum(Daily_Data!K1728:L1728)&gt;0,1,0)</f>
        <v>0</v>
      </c>
    </row>
    <row r="1729">
      <c r="A1729" s="10">
        <f>Daily_Data!A1729</f>
        <v>38945</v>
      </c>
      <c r="B1729" s="11">
        <f>Daily_Data!J1729</f>
        <v>12.41</v>
      </c>
      <c r="C1729" s="11">
        <f>Daily_Data!I1729</f>
        <v>1.85</v>
      </c>
      <c r="D1729" s="12">
        <f>if(sum(Daily_Data!K1729:L1729)&gt;0,1,0)</f>
        <v>1</v>
      </c>
    </row>
    <row r="1730">
      <c r="A1730" s="10">
        <f>Daily_Data!A1730</f>
        <v>38946</v>
      </c>
      <c r="B1730" s="11">
        <f>Daily_Data!J1730</f>
        <v>12.24</v>
      </c>
      <c r="C1730" s="11">
        <f>Daily_Data!I1730</f>
        <v>1.84</v>
      </c>
      <c r="D1730" s="12">
        <f>if(sum(Daily_Data!K1730:L1730)&gt;0,1,0)</f>
        <v>0</v>
      </c>
    </row>
    <row r="1731">
      <c r="A1731" s="10">
        <f>Daily_Data!A1731</f>
        <v>38947</v>
      </c>
      <c r="B1731" s="11">
        <f>Daily_Data!J1731</f>
        <v>11.64</v>
      </c>
      <c r="C1731" s="11">
        <f>Daily_Data!I1731</f>
        <v>1.86</v>
      </c>
      <c r="D1731" s="12">
        <f>if(sum(Daily_Data!K1731:L1731)&gt;0,1,0)</f>
        <v>0</v>
      </c>
    </row>
    <row r="1732">
      <c r="A1732" s="10">
        <f>Daily_Data!A1732</f>
        <v>38950</v>
      </c>
      <c r="B1732" s="11">
        <f>Daily_Data!J1732</f>
        <v>12.22</v>
      </c>
      <c r="C1732" s="11">
        <f>Daily_Data!I1732</f>
        <v>1.86</v>
      </c>
      <c r="D1732" s="12">
        <f>if(sum(Daily_Data!K1732:L1732)&gt;0,1,0)</f>
        <v>0</v>
      </c>
    </row>
    <row r="1733">
      <c r="A1733" s="10">
        <f>Daily_Data!A1733</f>
        <v>38951</v>
      </c>
      <c r="B1733" s="11">
        <f>Daily_Data!J1733</f>
        <v>12.19</v>
      </c>
      <c r="C1733" s="11">
        <f>Daily_Data!I1733</f>
        <v>1.81</v>
      </c>
      <c r="D1733" s="12">
        <f>if(sum(Daily_Data!K1733:L1733)&gt;0,1,0)</f>
        <v>0</v>
      </c>
    </row>
    <row r="1734">
      <c r="A1734" s="10">
        <f>Daily_Data!A1734</f>
        <v>38952</v>
      </c>
      <c r="B1734" s="11">
        <f>Daily_Data!J1734</f>
        <v>12.4</v>
      </c>
      <c r="C1734" s="11">
        <f>Daily_Data!I1734</f>
        <v>1.82</v>
      </c>
      <c r="D1734" s="12">
        <f>if(sum(Daily_Data!K1734:L1734)&gt;0,1,0)</f>
        <v>0</v>
      </c>
    </row>
    <row r="1735">
      <c r="A1735" s="10">
        <f>Daily_Data!A1735</f>
        <v>38953</v>
      </c>
      <c r="B1735" s="11">
        <f>Daily_Data!J1735</f>
        <v>12.4</v>
      </c>
      <c r="C1735" s="11">
        <f>Daily_Data!I1735</f>
        <v>1.8</v>
      </c>
      <c r="D1735" s="12">
        <f>if(sum(Daily_Data!K1735:L1735)&gt;0,1,0)</f>
        <v>0</v>
      </c>
    </row>
    <row r="1736">
      <c r="A1736" s="10">
        <f>Daily_Data!A1736</f>
        <v>38954</v>
      </c>
      <c r="B1736" s="11">
        <f>Daily_Data!J1736</f>
        <v>12.31</v>
      </c>
      <c r="C1736" s="11">
        <f>Daily_Data!I1736</f>
        <v>1.81</v>
      </c>
      <c r="D1736" s="12">
        <f>if(sum(Daily_Data!K1736:L1736)&gt;0,1,0)</f>
        <v>0</v>
      </c>
    </row>
    <row r="1737">
      <c r="A1737" s="10">
        <f>Daily_Data!A1737</f>
        <v>38957</v>
      </c>
      <c r="B1737" s="11">
        <f>Daily_Data!J1737</f>
        <v>12.18</v>
      </c>
      <c r="C1737" s="11">
        <f>Daily_Data!I1737</f>
        <v>1.77</v>
      </c>
      <c r="D1737" s="12">
        <f>if(sum(Daily_Data!K1737:L1737)&gt;0,1,0)</f>
        <v>0</v>
      </c>
    </row>
    <row r="1738">
      <c r="A1738" s="10">
        <f>Daily_Data!A1738</f>
        <v>38958</v>
      </c>
      <c r="B1738" s="11">
        <f>Daily_Data!J1738</f>
        <v>12.28</v>
      </c>
      <c r="C1738" s="11">
        <f>Daily_Data!I1738</f>
        <v>1.78</v>
      </c>
      <c r="D1738" s="12">
        <f>if(sum(Daily_Data!K1738:L1738)&gt;0,1,0)</f>
        <v>0</v>
      </c>
    </row>
    <row r="1739">
      <c r="A1739" s="10">
        <f>Daily_Data!A1739</f>
        <v>38959</v>
      </c>
      <c r="B1739" s="11">
        <f>Daily_Data!J1739</f>
        <v>12.22</v>
      </c>
      <c r="C1739" s="11">
        <f>Daily_Data!I1739</f>
        <v>1.81</v>
      </c>
      <c r="D1739" s="12">
        <f>if(sum(Daily_Data!K1739:L1739)&gt;0,1,0)</f>
        <v>0</v>
      </c>
    </row>
    <row r="1740">
      <c r="A1740" s="10">
        <f>Daily_Data!A1740</f>
        <v>38960</v>
      </c>
      <c r="B1740" s="11">
        <f>Daily_Data!J1740</f>
        <v>12.31</v>
      </c>
      <c r="C1740" s="11">
        <f>Daily_Data!I1740</f>
        <v>1.84</v>
      </c>
      <c r="D1740" s="12">
        <f>if(sum(Daily_Data!K1740:L1740)&gt;0,1,0)</f>
        <v>0</v>
      </c>
    </row>
    <row r="1741">
      <c r="A1741" s="10">
        <f>Daily_Data!A1741</f>
        <v>38961</v>
      </c>
      <c r="B1741" s="11">
        <f>Daily_Data!J1741</f>
        <v>11.96</v>
      </c>
      <c r="C1741" s="11">
        <f>Daily_Data!I1741</f>
        <v>1.85</v>
      </c>
      <c r="D1741" s="12">
        <f>if(sum(Daily_Data!K1741:L1741)&gt;0,1,0)</f>
        <v>1</v>
      </c>
    </row>
    <row r="1742">
      <c r="A1742" s="10">
        <f>Daily_Data!A1742</f>
        <v>38964</v>
      </c>
      <c r="B1742" s="11" t="str">
        <f>Daily_Data!J1742</f>
        <v/>
      </c>
      <c r="C1742" s="11" t="str">
        <f>Daily_Data!I1742</f>
        <v/>
      </c>
      <c r="D1742" s="12">
        <f>if(sum(Daily_Data!K1742:L1742)&gt;0,1,0)</f>
        <v>0</v>
      </c>
    </row>
    <row r="1743">
      <c r="A1743" s="10">
        <f>Daily_Data!A1743</f>
        <v>38965</v>
      </c>
      <c r="B1743" s="11">
        <f>Daily_Data!J1743</f>
        <v>12.63</v>
      </c>
      <c r="C1743" s="11">
        <f>Daily_Data!I1743</f>
        <v>1.84</v>
      </c>
      <c r="D1743" s="12">
        <f>if(sum(Daily_Data!K1743:L1743)&gt;0,1,0)</f>
        <v>0</v>
      </c>
    </row>
    <row r="1744">
      <c r="A1744" s="10">
        <f>Daily_Data!A1744</f>
        <v>38966</v>
      </c>
      <c r="B1744" s="11">
        <f>Daily_Data!J1744</f>
        <v>13.74</v>
      </c>
      <c r="C1744" s="11">
        <f>Daily_Data!I1744</f>
        <v>1.86</v>
      </c>
      <c r="D1744" s="12">
        <f>if(sum(Daily_Data!K1744:L1744)&gt;0,1,0)</f>
        <v>0</v>
      </c>
    </row>
    <row r="1745">
      <c r="A1745" s="10">
        <f>Daily_Data!A1745</f>
        <v>38967</v>
      </c>
      <c r="B1745" s="11">
        <f>Daily_Data!J1745</f>
        <v>13.88</v>
      </c>
      <c r="C1745" s="11">
        <f>Daily_Data!I1745</f>
        <v>1.85</v>
      </c>
      <c r="D1745" s="12">
        <f>if(sum(Daily_Data!K1745:L1745)&gt;0,1,0)</f>
        <v>0</v>
      </c>
    </row>
    <row r="1746">
      <c r="A1746" s="10">
        <f>Daily_Data!A1746</f>
        <v>38968</v>
      </c>
      <c r="B1746" s="11">
        <f>Daily_Data!J1746</f>
        <v>13.16</v>
      </c>
      <c r="C1746" s="11">
        <f>Daily_Data!I1746</f>
        <v>1.86</v>
      </c>
      <c r="D1746" s="12">
        <f>if(sum(Daily_Data!K1746:L1746)&gt;0,1,0)</f>
        <v>0</v>
      </c>
    </row>
    <row r="1747">
      <c r="A1747" s="10">
        <f>Daily_Data!A1747</f>
        <v>38971</v>
      </c>
      <c r="B1747" s="11">
        <f>Daily_Data!J1747</f>
        <v>12.99</v>
      </c>
      <c r="C1747" s="11">
        <f>Daily_Data!I1747</f>
        <v>1.79</v>
      </c>
      <c r="D1747" s="12">
        <f>if(sum(Daily_Data!K1747:L1747)&gt;0,1,0)</f>
        <v>0</v>
      </c>
    </row>
    <row r="1748">
      <c r="A1748" s="10">
        <f>Daily_Data!A1748</f>
        <v>38972</v>
      </c>
      <c r="B1748" s="11">
        <f>Daily_Data!J1748</f>
        <v>11.92</v>
      </c>
      <c r="C1748" s="11">
        <f>Daily_Data!I1748</f>
        <v>1.81</v>
      </c>
      <c r="D1748" s="12">
        <f>if(sum(Daily_Data!K1748:L1748)&gt;0,1,0)</f>
        <v>0</v>
      </c>
    </row>
    <row r="1749">
      <c r="A1749" s="10">
        <f>Daily_Data!A1749</f>
        <v>38973</v>
      </c>
      <c r="B1749" s="11">
        <f>Daily_Data!J1749</f>
        <v>11.18</v>
      </c>
      <c r="C1749" s="11">
        <f>Daily_Data!I1749</f>
        <v>1.81</v>
      </c>
      <c r="D1749" s="12">
        <f>if(sum(Daily_Data!K1749:L1749)&gt;0,1,0)</f>
        <v>0</v>
      </c>
    </row>
    <row r="1750">
      <c r="A1750" s="10">
        <f>Daily_Data!A1750</f>
        <v>38974</v>
      </c>
      <c r="B1750" s="11">
        <f>Daily_Data!J1750</f>
        <v>11.55</v>
      </c>
      <c r="C1750" s="11">
        <f>Daily_Data!I1750</f>
        <v>1.78</v>
      </c>
      <c r="D1750" s="12">
        <f>if(sum(Daily_Data!K1750:L1750)&gt;0,1,0)</f>
        <v>0</v>
      </c>
    </row>
    <row r="1751">
      <c r="A1751" s="10">
        <f>Daily_Data!A1751</f>
        <v>38975</v>
      </c>
      <c r="B1751" s="11">
        <f>Daily_Data!J1751</f>
        <v>11.76</v>
      </c>
      <c r="C1751" s="11">
        <f>Daily_Data!I1751</f>
        <v>1.85</v>
      </c>
      <c r="D1751" s="12">
        <f>if(sum(Daily_Data!K1751:L1751)&gt;0,1,0)</f>
        <v>1</v>
      </c>
    </row>
    <row r="1752">
      <c r="A1752" s="10">
        <f>Daily_Data!A1752</f>
        <v>38978</v>
      </c>
      <c r="B1752" s="11">
        <f>Daily_Data!J1752</f>
        <v>11.78</v>
      </c>
      <c r="C1752" s="11">
        <f>Daily_Data!I1752</f>
        <v>1.83</v>
      </c>
      <c r="D1752" s="12">
        <f>if(sum(Daily_Data!K1752:L1752)&gt;0,1,0)</f>
        <v>0</v>
      </c>
    </row>
    <row r="1753">
      <c r="A1753" s="10">
        <f>Daily_Data!A1753</f>
        <v>38979</v>
      </c>
      <c r="B1753" s="11">
        <f>Daily_Data!J1753</f>
        <v>11.98</v>
      </c>
      <c r="C1753" s="11">
        <f>Daily_Data!I1753</f>
        <v>1.94</v>
      </c>
      <c r="D1753" s="12">
        <f>if(sum(Daily_Data!K1753:L1753)&gt;0,1,0)</f>
        <v>0</v>
      </c>
    </row>
    <row r="1754">
      <c r="A1754" s="10">
        <f>Daily_Data!A1754</f>
        <v>38980</v>
      </c>
      <c r="B1754" s="11">
        <f>Daily_Data!J1754</f>
        <v>11.39</v>
      </c>
      <c r="C1754" s="11">
        <f>Daily_Data!I1754</f>
        <v>1.89</v>
      </c>
      <c r="D1754" s="12">
        <f>if(sum(Daily_Data!K1754:L1754)&gt;0,1,0)</f>
        <v>0</v>
      </c>
    </row>
    <row r="1755">
      <c r="A1755" s="10">
        <f>Daily_Data!A1755</f>
        <v>38981</v>
      </c>
      <c r="B1755" s="11">
        <f>Daily_Data!J1755</f>
        <v>12.25</v>
      </c>
      <c r="C1755" s="11">
        <f>Daily_Data!I1755</f>
        <v>1.95</v>
      </c>
      <c r="D1755" s="12">
        <f>if(sum(Daily_Data!K1755:L1755)&gt;0,1,0)</f>
        <v>0</v>
      </c>
    </row>
    <row r="1756">
      <c r="A1756" s="10">
        <f>Daily_Data!A1756</f>
        <v>38982</v>
      </c>
      <c r="B1756" s="11">
        <f>Daily_Data!J1756</f>
        <v>12.59</v>
      </c>
      <c r="C1756" s="11">
        <f>Daily_Data!I1756</f>
        <v>1.93</v>
      </c>
      <c r="D1756" s="12">
        <f>if(sum(Daily_Data!K1756:L1756)&gt;0,1,0)</f>
        <v>0</v>
      </c>
    </row>
    <row r="1757">
      <c r="A1757" s="10">
        <f>Daily_Data!A1757</f>
        <v>38985</v>
      </c>
      <c r="B1757" s="11">
        <f>Daily_Data!J1757</f>
        <v>12.12</v>
      </c>
      <c r="C1757" s="11">
        <f>Daily_Data!I1757</f>
        <v>1.95</v>
      </c>
      <c r="D1757" s="12">
        <f>if(sum(Daily_Data!K1757:L1757)&gt;0,1,0)</f>
        <v>0</v>
      </c>
    </row>
    <row r="1758">
      <c r="A1758" s="10">
        <f>Daily_Data!A1758</f>
        <v>38986</v>
      </c>
      <c r="B1758" s="11">
        <f>Daily_Data!J1758</f>
        <v>11.53</v>
      </c>
      <c r="C1758" s="11">
        <f>Daily_Data!I1758</f>
        <v>1.92</v>
      </c>
      <c r="D1758" s="12">
        <f>if(sum(Daily_Data!K1758:L1758)&gt;0,1,0)</f>
        <v>0</v>
      </c>
    </row>
    <row r="1759">
      <c r="A1759" s="10">
        <f>Daily_Data!A1759</f>
        <v>38987</v>
      </c>
      <c r="B1759" s="11">
        <f>Daily_Data!J1759</f>
        <v>11.58</v>
      </c>
      <c r="C1759" s="11">
        <f>Daily_Data!I1759</f>
        <v>1.98</v>
      </c>
      <c r="D1759" s="12">
        <f>if(sum(Daily_Data!K1759:L1759)&gt;0,1,0)</f>
        <v>0</v>
      </c>
    </row>
    <row r="1760">
      <c r="A1760" s="10">
        <f>Daily_Data!A1760</f>
        <v>38988</v>
      </c>
      <c r="B1760" s="11">
        <f>Daily_Data!J1760</f>
        <v>11.72</v>
      </c>
      <c r="C1760" s="11">
        <f>Daily_Data!I1760</f>
        <v>1.96</v>
      </c>
      <c r="D1760" s="12">
        <f>if(sum(Daily_Data!K1760:L1760)&gt;0,1,0)</f>
        <v>0</v>
      </c>
    </row>
    <row r="1761">
      <c r="A1761" s="10">
        <f>Daily_Data!A1761</f>
        <v>38989</v>
      </c>
      <c r="B1761" s="11">
        <f>Daily_Data!J1761</f>
        <v>11.98</v>
      </c>
      <c r="C1761" s="11">
        <f>Daily_Data!I1761</f>
        <v>1.91</v>
      </c>
      <c r="D1761" s="12">
        <f>if(sum(Daily_Data!K1761:L1761)&gt;0,1,0)</f>
        <v>0</v>
      </c>
    </row>
    <row r="1762">
      <c r="A1762" s="10">
        <f>Daily_Data!A1762</f>
        <v>38992</v>
      </c>
      <c r="B1762" s="11">
        <f>Daily_Data!J1762</f>
        <v>12.57</v>
      </c>
      <c r="C1762" s="11">
        <f>Daily_Data!I1762</f>
        <v>1.97</v>
      </c>
      <c r="D1762" s="12">
        <f>if(sum(Daily_Data!K1762:L1762)&gt;0,1,0)</f>
        <v>0</v>
      </c>
    </row>
    <row r="1763">
      <c r="A1763" s="10">
        <f>Daily_Data!A1763</f>
        <v>38993</v>
      </c>
      <c r="B1763" s="11">
        <f>Daily_Data!J1763</f>
        <v>12.24</v>
      </c>
      <c r="C1763" s="11">
        <f>Daily_Data!I1763</f>
        <v>1.95</v>
      </c>
      <c r="D1763" s="12">
        <f>if(sum(Daily_Data!K1763:L1763)&gt;0,1,0)</f>
        <v>0</v>
      </c>
    </row>
    <row r="1764">
      <c r="A1764" s="10">
        <f>Daily_Data!A1764</f>
        <v>38994</v>
      </c>
      <c r="B1764" s="11">
        <f>Daily_Data!J1764</f>
        <v>11.86</v>
      </c>
      <c r="C1764" s="11">
        <f>Daily_Data!I1764</f>
        <v>2.05</v>
      </c>
      <c r="D1764" s="12">
        <f>if(sum(Daily_Data!K1764:L1764)&gt;0,1,0)</f>
        <v>0</v>
      </c>
    </row>
    <row r="1765">
      <c r="A1765" s="10">
        <f>Daily_Data!A1765</f>
        <v>38995</v>
      </c>
      <c r="B1765" s="11">
        <f>Daily_Data!J1765</f>
        <v>11.98</v>
      </c>
      <c r="C1765" s="11">
        <f>Daily_Data!I1765</f>
        <v>1.98</v>
      </c>
      <c r="D1765" s="12">
        <f>if(sum(Daily_Data!K1765:L1765)&gt;0,1,0)</f>
        <v>0</v>
      </c>
    </row>
    <row r="1766">
      <c r="A1766" s="10">
        <f>Daily_Data!A1766</f>
        <v>38996</v>
      </c>
      <c r="B1766" s="11">
        <f>Daily_Data!J1766</f>
        <v>11.56</v>
      </c>
      <c r="C1766" s="11">
        <f>Daily_Data!I1766</f>
        <v>1.92</v>
      </c>
      <c r="D1766" s="12">
        <f>if(sum(Daily_Data!K1766:L1766)&gt;0,1,0)</f>
        <v>1</v>
      </c>
    </row>
    <row r="1767">
      <c r="A1767" s="10">
        <f>Daily_Data!A1767</f>
        <v>38999</v>
      </c>
      <c r="B1767" s="11">
        <f>Daily_Data!J1767</f>
        <v>11.68</v>
      </c>
      <c r="C1767" s="11" t="str">
        <f>Daily_Data!I1767</f>
        <v/>
      </c>
      <c r="D1767" s="12">
        <f>if(sum(Daily_Data!K1767:L1767)&gt;0,1,0)</f>
        <v>0</v>
      </c>
    </row>
    <row r="1768">
      <c r="A1768" s="10">
        <f>Daily_Data!A1768</f>
        <v>39000</v>
      </c>
      <c r="B1768" s="11">
        <f>Daily_Data!J1768</f>
        <v>11.52</v>
      </c>
      <c r="C1768" s="11">
        <f>Daily_Data!I1768</f>
        <v>1.93</v>
      </c>
      <c r="D1768" s="12">
        <f>if(sum(Daily_Data!K1768:L1768)&gt;0,1,0)</f>
        <v>0</v>
      </c>
    </row>
    <row r="1769">
      <c r="A1769" s="10">
        <f>Daily_Data!A1769</f>
        <v>39001</v>
      </c>
      <c r="B1769" s="11">
        <f>Daily_Data!J1769</f>
        <v>11.62</v>
      </c>
      <c r="C1769" s="11">
        <f>Daily_Data!I1769</f>
        <v>1.93</v>
      </c>
      <c r="D1769" s="12">
        <f>if(sum(Daily_Data!K1769:L1769)&gt;0,1,0)</f>
        <v>0</v>
      </c>
    </row>
    <row r="1770">
      <c r="A1770" s="10">
        <f>Daily_Data!A1770</f>
        <v>39002</v>
      </c>
      <c r="B1770" s="11">
        <f>Daily_Data!J1770</f>
        <v>11.09</v>
      </c>
      <c r="C1770" s="11">
        <f>Daily_Data!I1770</f>
        <v>1.9</v>
      </c>
      <c r="D1770" s="12">
        <f>if(sum(Daily_Data!K1770:L1770)&gt;0,1,0)</f>
        <v>0</v>
      </c>
    </row>
    <row r="1771">
      <c r="A1771" s="10">
        <f>Daily_Data!A1771</f>
        <v>39003</v>
      </c>
      <c r="B1771" s="11">
        <f>Daily_Data!J1771</f>
        <v>10.75</v>
      </c>
      <c r="C1771" s="11">
        <f>Daily_Data!I1771</f>
        <v>1.88</v>
      </c>
      <c r="D1771" s="12">
        <f>if(sum(Daily_Data!K1771:L1771)&gt;0,1,0)</f>
        <v>0</v>
      </c>
    </row>
    <row r="1772">
      <c r="A1772" s="10">
        <f>Daily_Data!A1772</f>
        <v>39006</v>
      </c>
      <c r="B1772" s="11">
        <f>Daily_Data!J1772</f>
        <v>11.09</v>
      </c>
      <c r="C1772" s="11">
        <f>Daily_Data!I1772</f>
        <v>1.87</v>
      </c>
      <c r="D1772" s="12">
        <f>if(sum(Daily_Data!K1772:L1772)&gt;0,1,0)</f>
        <v>0</v>
      </c>
    </row>
    <row r="1773">
      <c r="A1773" s="10">
        <f>Daily_Data!A1773</f>
        <v>39007</v>
      </c>
      <c r="B1773" s="11">
        <f>Daily_Data!J1773</f>
        <v>11.73</v>
      </c>
      <c r="C1773" s="11">
        <f>Daily_Data!I1773</f>
        <v>1.89</v>
      </c>
      <c r="D1773" s="12">
        <f>if(sum(Daily_Data!K1773:L1773)&gt;0,1,0)</f>
        <v>0</v>
      </c>
    </row>
    <row r="1774">
      <c r="A1774" s="10">
        <f>Daily_Data!A1774</f>
        <v>39008</v>
      </c>
      <c r="B1774" s="11">
        <f>Daily_Data!J1774</f>
        <v>11.34</v>
      </c>
      <c r="C1774" s="11">
        <f>Daily_Data!I1774</f>
        <v>1.85</v>
      </c>
      <c r="D1774" s="12">
        <f>if(sum(Daily_Data!K1774:L1774)&gt;0,1,0)</f>
        <v>1</v>
      </c>
    </row>
    <row r="1775">
      <c r="A1775" s="10">
        <f>Daily_Data!A1775</f>
        <v>39009</v>
      </c>
      <c r="B1775" s="11">
        <f>Daily_Data!J1775</f>
        <v>10.9</v>
      </c>
      <c r="C1775" s="11">
        <f>Daily_Data!I1775</f>
        <v>1.83</v>
      </c>
      <c r="D1775" s="12">
        <f>if(sum(Daily_Data!K1775:L1775)&gt;0,1,0)</f>
        <v>0</v>
      </c>
    </row>
    <row r="1776">
      <c r="A1776" s="10">
        <f>Daily_Data!A1776</f>
        <v>39010</v>
      </c>
      <c r="B1776" s="11">
        <f>Daily_Data!J1776</f>
        <v>10.63</v>
      </c>
      <c r="C1776" s="11">
        <f>Daily_Data!I1776</f>
        <v>1.82</v>
      </c>
      <c r="D1776" s="12">
        <f>if(sum(Daily_Data!K1776:L1776)&gt;0,1,0)</f>
        <v>0</v>
      </c>
    </row>
    <row r="1777">
      <c r="A1777" s="10">
        <f>Daily_Data!A1777</f>
        <v>39013</v>
      </c>
      <c r="B1777" s="11">
        <f>Daily_Data!J1777</f>
        <v>11.08</v>
      </c>
      <c r="C1777" s="11" t="str">
        <f>Daily_Data!I1777</f>
        <v/>
      </c>
      <c r="D1777" s="12">
        <f>if(sum(Daily_Data!K1777:L1777)&gt;0,1,0)</f>
        <v>0</v>
      </c>
    </row>
    <row r="1778">
      <c r="A1778" s="10">
        <f>Daily_Data!A1778</f>
        <v>39014</v>
      </c>
      <c r="B1778" s="11">
        <f>Daily_Data!J1778</f>
        <v>10.78</v>
      </c>
      <c r="C1778" s="11">
        <f>Daily_Data!I1778</f>
        <v>1.81</v>
      </c>
      <c r="D1778" s="12">
        <f>if(sum(Daily_Data!K1778:L1778)&gt;0,1,0)</f>
        <v>0</v>
      </c>
    </row>
    <row r="1779">
      <c r="A1779" s="10">
        <f>Daily_Data!A1779</f>
        <v>39015</v>
      </c>
      <c r="B1779" s="11">
        <f>Daily_Data!J1779</f>
        <v>10.66</v>
      </c>
      <c r="C1779" s="11">
        <f>Daily_Data!I1779</f>
        <v>1.84</v>
      </c>
      <c r="D1779" s="12">
        <f>if(sum(Daily_Data!K1779:L1779)&gt;0,1,0)</f>
        <v>0</v>
      </c>
    </row>
    <row r="1780">
      <c r="A1780" s="10">
        <f>Daily_Data!A1780</f>
        <v>39016</v>
      </c>
      <c r="B1780" s="11">
        <f>Daily_Data!J1780</f>
        <v>10.56</v>
      </c>
      <c r="C1780" s="11">
        <f>Daily_Data!I1780</f>
        <v>1.79</v>
      </c>
      <c r="D1780" s="12">
        <f>if(sum(Daily_Data!K1780:L1780)&gt;0,1,0)</f>
        <v>0</v>
      </c>
    </row>
    <row r="1781">
      <c r="A1781" s="10">
        <f>Daily_Data!A1781</f>
        <v>39017</v>
      </c>
      <c r="B1781" s="11">
        <f>Daily_Data!J1781</f>
        <v>10.8</v>
      </c>
      <c r="C1781" s="11">
        <f>Daily_Data!I1781</f>
        <v>1.84</v>
      </c>
      <c r="D1781" s="12">
        <f>if(sum(Daily_Data!K1781:L1781)&gt;0,1,0)</f>
        <v>0</v>
      </c>
    </row>
    <row r="1782">
      <c r="A1782" s="10">
        <f>Daily_Data!A1782</f>
        <v>39020</v>
      </c>
      <c r="B1782" s="11">
        <f>Daily_Data!J1782</f>
        <v>11.2</v>
      </c>
      <c r="C1782" s="11">
        <f>Daily_Data!I1782</f>
        <v>1.8</v>
      </c>
      <c r="D1782" s="12">
        <f>if(sum(Daily_Data!K1782:L1782)&gt;0,1,0)</f>
        <v>0</v>
      </c>
    </row>
    <row r="1783">
      <c r="A1783" s="10">
        <f>Daily_Data!A1783</f>
        <v>39021</v>
      </c>
      <c r="B1783" s="11">
        <f>Daily_Data!J1783</f>
        <v>11.1</v>
      </c>
      <c r="C1783" s="11">
        <f>Daily_Data!I1783</f>
        <v>1.85</v>
      </c>
      <c r="D1783" s="12">
        <f>if(sum(Daily_Data!K1783:L1783)&gt;0,1,0)</f>
        <v>0</v>
      </c>
    </row>
    <row r="1784">
      <c r="A1784" s="10">
        <f>Daily_Data!A1784</f>
        <v>39022</v>
      </c>
      <c r="B1784" s="11">
        <f>Daily_Data!J1784</f>
        <v>11.51</v>
      </c>
      <c r="C1784" s="11">
        <f>Daily_Data!I1784</f>
        <v>1.87</v>
      </c>
      <c r="D1784" s="12">
        <f>if(sum(Daily_Data!K1784:L1784)&gt;0,1,0)</f>
        <v>0</v>
      </c>
    </row>
    <row r="1785">
      <c r="A1785" s="10">
        <f>Daily_Data!A1785</f>
        <v>39023</v>
      </c>
      <c r="B1785" s="11">
        <f>Daily_Data!J1785</f>
        <v>11.42</v>
      </c>
      <c r="C1785" s="11">
        <f>Daily_Data!I1785</f>
        <v>1.83</v>
      </c>
      <c r="D1785" s="12">
        <f>if(sum(Daily_Data!K1785:L1785)&gt;0,1,0)</f>
        <v>0</v>
      </c>
    </row>
    <row r="1786">
      <c r="A1786" s="10">
        <f>Daily_Data!A1786</f>
        <v>39024</v>
      </c>
      <c r="B1786" s="11">
        <f>Daily_Data!J1786</f>
        <v>11.16</v>
      </c>
      <c r="C1786" s="11">
        <f>Daily_Data!I1786</f>
        <v>1.65</v>
      </c>
      <c r="D1786" s="12">
        <f>if(sum(Daily_Data!K1786:L1786)&gt;0,1,0)</f>
        <v>1</v>
      </c>
    </row>
    <row r="1787">
      <c r="A1787" s="10">
        <f>Daily_Data!A1787</f>
        <v>39027</v>
      </c>
      <c r="B1787" s="11">
        <f>Daily_Data!J1787</f>
        <v>11.16</v>
      </c>
      <c r="C1787" s="11">
        <f>Daily_Data!I1787</f>
        <v>1.69</v>
      </c>
      <c r="D1787" s="12">
        <f>if(sum(Daily_Data!K1787:L1787)&gt;0,1,0)</f>
        <v>0</v>
      </c>
    </row>
    <row r="1788">
      <c r="A1788" s="10">
        <f>Daily_Data!A1788</f>
        <v>39028</v>
      </c>
      <c r="B1788" s="11">
        <f>Daily_Data!J1788</f>
        <v>11.09</v>
      </c>
      <c r="C1788" s="11">
        <f>Daily_Data!I1788</f>
        <v>1.72</v>
      </c>
      <c r="D1788" s="12">
        <f>if(sum(Daily_Data!K1788:L1788)&gt;0,1,0)</f>
        <v>0</v>
      </c>
    </row>
    <row r="1789">
      <c r="A1789" s="10">
        <f>Daily_Data!A1789</f>
        <v>39029</v>
      </c>
      <c r="B1789" s="11">
        <f>Daily_Data!J1789</f>
        <v>10.75</v>
      </c>
      <c r="C1789" s="11">
        <f>Daily_Data!I1789</f>
        <v>1.71</v>
      </c>
      <c r="D1789" s="12">
        <f>if(sum(Daily_Data!K1789:L1789)&gt;0,1,0)</f>
        <v>0</v>
      </c>
    </row>
    <row r="1790">
      <c r="A1790" s="10">
        <f>Daily_Data!A1790</f>
        <v>39030</v>
      </c>
      <c r="B1790" s="11">
        <f>Daily_Data!J1790</f>
        <v>11.01</v>
      </c>
      <c r="C1790" s="11">
        <f>Daily_Data!I1790</f>
        <v>1.64</v>
      </c>
      <c r="D1790" s="12">
        <f>if(sum(Daily_Data!K1790:L1790)&gt;0,1,0)</f>
        <v>0</v>
      </c>
    </row>
    <row r="1791">
      <c r="A1791" s="10">
        <f>Daily_Data!A1791</f>
        <v>39031</v>
      </c>
      <c r="B1791" s="11">
        <f>Daily_Data!J1791</f>
        <v>10.79</v>
      </c>
      <c r="C1791" s="11">
        <f>Daily_Data!I1791</f>
        <v>1.63</v>
      </c>
      <c r="D1791" s="12">
        <f>if(sum(Daily_Data!K1791:L1791)&gt;0,1,0)</f>
        <v>0</v>
      </c>
    </row>
    <row r="1792">
      <c r="A1792" s="10">
        <f>Daily_Data!A1792</f>
        <v>39034</v>
      </c>
      <c r="B1792" s="11">
        <f>Daily_Data!J1792</f>
        <v>10.86</v>
      </c>
      <c r="C1792" s="11">
        <f>Daily_Data!I1792</f>
        <v>1.57</v>
      </c>
      <c r="D1792" s="12">
        <f>if(sum(Daily_Data!K1792:L1792)&gt;0,1,0)</f>
        <v>0</v>
      </c>
    </row>
    <row r="1793">
      <c r="A1793" s="10">
        <f>Daily_Data!A1793</f>
        <v>39035</v>
      </c>
      <c r="B1793" s="11">
        <f>Daily_Data!J1793</f>
        <v>10.5</v>
      </c>
      <c r="C1793" s="11">
        <f>Daily_Data!I1793</f>
        <v>1.58</v>
      </c>
      <c r="D1793" s="12">
        <f>if(sum(Daily_Data!K1793:L1793)&gt;0,1,0)</f>
        <v>0</v>
      </c>
    </row>
    <row r="1794">
      <c r="A1794" s="10">
        <f>Daily_Data!A1794</f>
        <v>39036</v>
      </c>
      <c r="B1794" s="11">
        <f>Daily_Data!J1794</f>
        <v>10.31</v>
      </c>
      <c r="C1794" s="11">
        <f>Daily_Data!I1794</f>
        <v>1.63</v>
      </c>
      <c r="D1794" s="12">
        <f>if(sum(Daily_Data!K1794:L1794)&gt;0,1,0)</f>
        <v>0</v>
      </c>
    </row>
    <row r="1795">
      <c r="A1795" s="10">
        <f>Daily_Data!A1795</f>
        <v>39037</v>
      </c>
      <c r="B1795" s="11">
        <f>Daily_Data!J1795</f>
        <v>10.16</v>
      </c>
      <c r="C1795" s="11">
        <f>Daily_Data!I1795</f>
        <v>1.59</v>
      </c>
      <c r="D1795" s="12">
        <f>if(sum(Daily_Data!K1795:L1795)&gt;0,1,0)</f>
        <v>1</v>
      </c>
    </row>
    <row r="1796">
      <c r="A1796" s="10">
        <f>Daily_Data!A1796</f>
        <v>39038</v>
      </c>
      <c r="B1796" s="11">
        <f>Daily_Data!J1796</f>
        <v>10.05</v>
      </c>
      <c r="C1796" s="11">
        <f>Daily_Data!I1796</f>
        <v>1.74</v>
      </c>
      <c r="D1796" s="12">
        <f>if(sum(Daily_Data!K1796:L1796)&gt;0,1,0)</f>
        <v>0</v>
      </c>
    </row>
    <row r="1797">
      <c r="A1797" s="10">
        <f>Daily_Data!A1797</f>
        <v>39041</v>
      </c>
      <c r="B1797" s="11">
        <f>Daily_Data!J1797</f>
        <v>9.97</v>
      </c>
      <c r="C1797" s="11">
        <f>Daily_Data!I1797</f>
        <v>1.7</v>
      </c>
      <c r="D1797" s="12">
        <f>if(sum(Daily_Data!K1797:L1797)&gt;0,1,0)</f>
        <v>0</v>
      </c>
    </row>
    <row r="1798">
      <c r="A1798" s="10">
        <f>Daily_Data!A1798</f>
        <v>39042</v>
      </c>
      <c r="B1798" s="11">
        <f>Daily_Data!J1798</f>
        <v>9.9</v>
      </c>
      <c r="C1798" s="11">
        <f>Daily_Data!I1798</f>
        <v>1.69</v>
      </c>
      <c r="D1798" s="12">
        <f>if(sum(Daily_Data!K1798:L1798)&gt;0,1,0)</f>
        <v>0</v>
      </c>
    </row>
    <row r="1799">
      <c r="A1799" s="10">
        <f>Daily_Data!A1799</f>
        <v>39043</v>
      </c>
      <c r="B1799" s="11">
        <f>Daily_Data!J1799</f>
        <v>10.14</v>
      </c>
      <c r="C1799" s="11">
        <f>Daily_Data!I1799</f>
        <v>1.69</v>
      </c>
      <c r="D1799" s="12">
        <f>if(sum(Daily_Data!K1799:L1799)&gt;0,1,0)</f>
        <v>0</v>
      </c>
    </row>
    <row r="1800">
      <c r="A1800" s="10">
        <f>Daily_Data!A1800</f>
        <v>39044</v>
      </c>
      <c r="B1800" s="11" t="str">
        <f>Daily_Data!J1800</f>
        <v/>
      </c>
      <c r="C1800" s="11" t="str">
        <f>Daily_Data!I1800</f>
        <v/>
      </c>
      <c r="D1800" s="12">
        <f>if(sum(Daily_Data!K1800:L1800)&gt;0,1,0)</f>
        <v>0</v>
      </c>
    </row>
    <row r="1801">
      <c r="A1801" s="10">
        <f>Daily_Data!A1801</f>
        <v>39045</v>
      </c>
      <c r="B1801" s="11">
        <f>Daily_Data!J1801</f>
        <v>10.73</v>
      </c>
      <c r="C1801" s="11">
        <f>Daily_Data!I1801</f>
        <v>1.7</v>
      </c>
      <c r="D1801" s="12">
        <f>if(sum(Daily_Data!K1801:L1801)&gt;0,1,0)</f>
        <v>0</v>
      </c>
    </row>
    <row r="1802">
      <c r="A1802" s="10">
        <f>Daily_Data!A1802</f>
        <v>39048</v>
      </c>
      <c r="B1802" s="11">
        <f>Daily_Data!J1802</f>
        <v>12.3</v>
      </c>
      <c r="C1802" s="11">
        <f>Daily_Data!I1802</f>
        <v>1.73</v>
      </c>
      <c r="D1802" s="12">
        <f>if(sum(Daily_Data!K1802:L1802)&gt;0,1,0)</f>
        <v>0</v>
      </c>
    </row>
    <row r="1803">
      <c r="A1803" s="10">
        <f>Daily_Data!A1803</f>
        <v>39049</v>
      </c>
      <c r="B1803" s="11">
        <f>Daily_Data!J1803</f>
        <v>11.62</v>
      </c>
      <c r="C1803" s="11">
        <f>Daily_Data!I1803</f>
        <v>1.79</v>
      </c>
      <c r="D1803" s="12">
        <f>if(sum(Daily_Data!K1803:L1803)&gt;0,1,0)</f>
        <v>0</v>
      </c>
    </row>
    <row r="1804">
      <c r="A1804" s="10">
        <f>Daily_Data!A1804</f>
        <v>39050</v>
      </c>
      <c r="B1804" s="11">
        <f>Daily_Data!J1804</f>
        <v>10.83</v>
      </c>
      <c r="C1804" s="11">
        <f>Daily_Data!I1804</f>
        <v>1.77</v>
      </c>
      <c r="D1804" s="12">
        <f>if(sum(Daily_Data!K1804:L1804)&gt;0,1,0)</f>
        <v>0</v>
      </c>
    </row>
    <row r="1805">
      <c r="A1805" s="10">
        <f>Daily_Data!A1805</f>
        <v>39051</v>
      </c>
      <c r="B1805" s="11">
        <f>Daily_Data!J1805</f>
        <v>10.91</v>
      </c>
      <c r="C1805" s="11">
        <f>Daily_Data!I1805</f>
        <v>1.84</v>
      </c>
      <c r="D1805" s="12">
        <f>if(sum(Daily_Data!K1805:L1805)&gt;0,1,0)</f>
        <v>0</v>
      </c>
    </row>
    <row r="1806">
      <c r="A1806" s="10">
        <f>Daily_Data!A1806</f>
        <v>39052</v>
      </c>
      <c r="B1806" s="11">
        <f>Daily_Data!J1806</f>
        <v>11.66</v>
      </c>
      <c r="C1806" s="11">
        <f>Daily_Data!I1806</f>
        <v>1.95</v>
      </c>
      <c r="D1806" s="12">
        <f>if(sum(Daily_Data!K1806:L1806)&gt;0,1,0)</f>
        <v>0</v>
      </c>
    </row>
    <row r="1807">
      <c r="A1807" s="10">
        <f>Daily_Data!A1807</f>
        <v>39055</v>
      </c>
      <c r="B1807" s="11">
        <f>Daily_Data!J1807</f>
        <v>11.23</v>
      </c>
      <c r="C1807" s="11">
        <f>Daily_Data!I1807</f>
        <v>1.92</v>
      </c>
      <c r="D1807" s="12">
        <f>if(sum(Daily_Data!K1807:L1807)&gt;0,1,0)</f>
        <v>0</v>
      </c>
    </row>
    <row r="1808">
      <c r="A1808" s="10">
        <f>Daily_Data!A1808</f>
        <v>39056</v>
      </c>
      <c r="B1808" s="11">
        <f>Daily_Data!J1808</f>
        <v>11.27</v>
      </c>
      <c r="C1808" s="11">
        <f>Daily_Data!I1808</f>
        <v>1.92</v>
      </c>
      <c r="D1808" s="12">
        <f>if(sum(Daily_Data!K1808:L1808)&gt;0,1,0)</f>
        <v>0</v>
      </c>
    </row>
    <row r="1809">
      <c r="A1809" s="10">
        <f>Daily_Data!A1809</f>
        <v>39057</v>
      </c>
      <c r="B1809" s="11">
        <f>Daily_Data!J1809</f>
        <v>11.33</v>
      </c>
      <c r="C1809" s="11">
        <f>Daily_Data!I1809</f>
        <v>1.86</v>
      </c>
      <c r="D1809" s="12">
        <f>if(sum(Daily_Data!K1809:L1809)&gt;0,1,0)</f>
        <v>0</v>
      </c>
    </row>
    <row r="1810">
      <c r="A1810" s="10">
        <f>Daily_Data!A1810</f>
        <v>39058</v>
      </c>
      <c r="B1810" s="11">
        <f>Daily_Data!J1810</f>
        <v>12.67</v>
      </c>
      <c r="C1810" s="11">
        <f>Daily_Data!I1810</f>
        <v>1.92</v>
      </c>
      <c r="D1810" s="12">
        <f>if(sum(Daily_Data!K1810:L1810)&gt;0,1,0)</f>
        <v>0</v>
      </c>
    </row>
    <row r="1811">
      <c r="A1811" s="10">
        <f>Daily_Data!A1811</f>
        <v>39059</v>
      </c>
      <c r="B1811" s="11">
        <f>Daily_Data!J1811</f>
        <v>12.07</v>
      </c>
      <c r="C1811" s="11">
        <f>Daily_Data!I1811</f>
        <v>1.8</v>
      </c>
      <c r="D1811" s="12">
        <f>if(sum(Daily_Data!K1811:L1811)&gt;0,1,0)</f>
        <v>1</v>
      </c>
    </row>
    <row r="1812">
      <c r="A1812" s="10">
        <f>Daily_Data!A1812</f>
        <v>39062</v>
      </c>
      <c r="B1812" s="11">
        <f>Daily_Data!J1812</f>
        <v>10.71</v>
      </c>
      <c r="C1812" s="11">
        <f>Daily_Data!I1812</f>
        <v>1.81</v>
      </c>
      <c r="D1812" s="12">
        <f>if(sum(Daily_Data!K1812:L1812)&gt;0,1,0)</f>
        <v>0</v>
      </c>
    </row>
    <row r="1813">
      <c r="A1813" s="10">
        <f>Daily_Data!A1813</f>
        <v>39063</v>
      </c>
      <c r="B1813" s="11">
        <f>Daily_Data!J1813</f>
        <v>10.65</v>
      </c>
      <c r="C1813" s="11">
        <f>Daily_Data!I1813</f>
        <v>1.87</v>
      </c>
      <c r="D1813" s="12">
        <f>if(sum(Daily_Data!K1813:L1813)&gt;0,1,0)</f>
        <v>0</v>
      </c>
    </row>
    <row r="1814">
      <c r="A1814" s="10">
        <f>Daily_Data!A1814</f>
        <v>39064</v>
      </c>
      <c r="B1814" s="11">
        <f>Daily_Data!J1814</f>
        <v>10.18</v>
      </c>
      <c r="C1814" s="11">
        <f>Daily_Data!I1814</f>
        <v>1.76</v>
      </c>
      <c r="D1814" s="12">
        <f>if(sum(Daily_Data!K1814:L1814)&gt;0,1,0)</f>
        <v>0</v>
      </c>
    </row>
    <row r="1815">
      <c r="A1815" s="10">
        <f>Daily_Data!A1815</f>
        <v>39065</v>
      </c>
      <c r="B1815" s="11">
        <f>Daily_Data!J1815</f>
        <v>9.97</v>
      </c>
      <c r="C1815" s="11">
        <f>Daily_Data!I1815</f>
        <v>1.78</v>
      </c>
      <c r="D1815" s="12">
        <f>if(sum(Daily_Data!K1815:L1815)&gt;0,1,0)</f>
        <v>0</v>
      </c>
    </row>
    <row r="1816">
      <c r="A1816" s="10">
        <f>Daily_Data!A1816</f>
        <v>39066</v>
      </c>
      <c r="B1816" s="11">
        <f>Daily_Data!J1816</f>
        <v>10.05</v>
      </c>
      <c r="C1816" s="11">
        <f>Daily_Data!I1816</f>
        <v>1.76</v>
      </c>
      <c r="D1816" s="12">
        <f>if(sum(Daily_Data!K1816:L1816)&gt;0,1,0)</f>
        <v>1</v>
      </c>
    </row>
    <row r="1817">
      <c r="A1817" s="10">
        <f>Daily_Data!A1817</f>
        <v>39069</v>
      </c>
      <c r="B1817" s="11">
        <f>Daily_Data!J1817</f>
        <v>10.6</v>
      </c>
      <c r="C1817" s="11">
        <f>Daily_Data!I1817</f>
        <v>1.78</v>
      </c>
      <c r="D1817" s="12">
        <f>if(sum(Daily_Data!K1817:L1817)&gt;0,1,0)</f>
        <v>0</v>
      </c>
    </row>
    <row r="1818">
      <c r="A1818" s="10">
        <f>Daily_Data!A1818</f>
        <v>39070</v>
      </c>
      <c r="B1818" s="11">
        <f>Daily_Data!J1818</f>
        <v>10.3</v>
      </c>
      <c r="C1818" s="11">
        <f>Daily_Data!I1818</f>
        <v>1.77</v>
      </c>
      <c r="D1818" s="12">
        <f>if(sum(Daily_Data!K1818:L1818)&gt;0,1,0)</f>
        <v>0</v>
      </c>
    </row>
    <row r="1819">
      <c r="A1819" s="10">
        <f>Daily_Data!A1819</f>
        <v>39071</v>
      </c>
      <c r="B1819" s="11">
        <f>Daily_Data!J1819</f>
        <v>10.26</v>
      </c>
      <c r="C1819" s="11">
        <f>Daily_Data!I1819</f>
        <v>1.77</v>
      </c>
      <c r="D1819" s="12">
        <f>if(sum(Daily_Data!K1819:L1819)&gt;0,1,0)</f>
        <v>0</v>
      </c>
    </row>
    <row r="1820">
      <c r="A1820" s="10">
        <f>Daily_Data!A1820</f>
        <v>39072</v>
      </c>
      <c r="B1820" s="11">
        <f>Daily_Data!J1820</f>
        <v>10.53</v>
      </c>
      <c r="C1820" s="11">
        <f>Daily_Data!I1820</f>
        <v>1.84</v>
      </c>
      <c r="D1820" s="12">
        <f>if(sum(Daily_Data!K1820:L1820)&gt;0,1,0)</f>
        <v>0</v>
      </c>
    </row>
    <row r="1821">
      <c r="A1821" s="10">
        <f>Daily_Data!A1821</f>
        <v>39073</v>
      </c>
      <c r="B1821" s="11">
        <f>Daily_Data!J1821</f>
        <v>11.36</v>
      </c>
      <c r="C1821" s="11">
        <f>Daily_Data!I1821</f>
        <v>1.8</v>
      </c>
      <c r="D1821" s="12">
        <f>if(sum(Daily_Data!K1821:L1821)&gt;0,1,0)</f>
        <v>0</v>
      </c>
    </row>
    <row r="1822">
      <c r="A1822" s="10">
        <f>Daily_Data!A1822</f>
        <v>39076</v>
      </c>
      <c r="B1822" s="11" t="str">
        <f>Daily_Data!J1822</f>
        <v/>
      </c>
      <c r="C1822" s="11" t="str">
        <f>Daily_Data!I1822</f>
        <v/>
      </c>
      <c r="D1822" s="12">
        <f>if(sum(Daily_Data!K1822:L1822)&gt;0,1,0)</f>
        <v>0</v>
      </c>
    </row>
    <row r="1823">
      <c r="A1823" s="10">
        <f>Daily_Data!A1823</f>
        <v>39077</v>
      </c>
      <c r="B1823" s="11">
        <f>Daily_Data!J1823</f>
        <v>11.26</v>
      </c>
      <c r="C1823" s="11" t="str">
        <f>Daily_Data!I1823</f>
        <v/>
      </c>
      <c r="D1823" s="12">
        <f>if(sum(Daily_Data!K1823:L1823)&gt;0,1,0)</f>
        <v>0</v>
      </c>
    </row>
    <row r="1824">
      <c r="A1824" s="10">
        <f>Daily_Data!A1824</f>
        <v>39078</v>
      </c>
      <c r="B1824" s="11">
        <f>Daily_Data!J1824</f>
        <v>10.64</v>
      </c>
      <c r="C1824" s="11">
        <f>Daily_Data!I1824</f>
        <v>1.76</v>
      </c>
      <c r="D1824" s="12">
        <f>if(sum(Daily_Data!K1824:L1824)&gt;0,1,0)</f>
        <v>0</v>
      </c>
    </row>
    <row r="1825">
      <c r="A1825" s="10">
        <f>Daily_Data!A1825</f>
        <v>39079</v>
      </c>
      <c r="B1825" s="11">
        <f>Daily_Data!J1825</f>
        <v>10.99</v>
      </c>
      <c r="C1825" s="11">
        <f>Daily_Data!I1825</f>
        <v>1.79</v>
      </c>
      <c r="D1825" s="12">
        <f>if(sum(Daily_Data!K1825:L1825)&gt;0,1,0)</f>
        <v>0</v>
      </c>
    </row>
    <row r="1826">
      <c r="A1826" s="10">
        <f>Daily_Data!A1826</f>
        <v>39080</v>
      </c>
      <c r="B1826" s="11">
        <f>Daily_Data!J1826</f>
        <v>11.56</v>
      </c>
      <c r="C1826" s="11">
        <f>Daily_Data!I1826</f>
        <v>1.81</v>
      </c>
      <c r="D1826" s="12">
        <f>if(sum(Daily_Data!K1826:L1826)&gt;0,1,0)</f>
        <v>0</v>
      </c>
    </row>
    <row r="1827">
      <c r="A1827" s="10">
        <f>Daily_Data!A1827</f>
        <v>39083</v>
      </c>
      <c r="B1827" s="11" t="str">
        <f>Daily_Data!J1827</f>
        <v/>
      </c>
      <c r="C1827" s="11" t="str">
        <f>Daily_Data!I1827</f>
        <v/>
      </c>
      <c r="D1827" s="12">
        <f>if(sum(Daily_Data!K1827:L1827)&gt;0,1,0)</f>
        <v>0</v>
      </c>
    </row>
    <row r="1828">
      <c r="A1828" s="10">
        <f>Daily_Data!A1828</f>
        <v>39084</v>
      </c>
      <c r="B1828" s="11" t="str">
        <f>Daily_Data!J1828</f>
        <v/>
      </c>
      <c r="C1828" s="11" t="str">
        <f>Daily_Data!I1828</f>
        <v/>
      </c>
      <c r="D1828" s="12">
        <f>if(sum(Daily_Data!K1828:L1828)&gt;0,1,0)</f>
        <v>0</v>
      </c>
    </row>
    <row r="1829">
      <c r="A1829" s="10">
        <f>Daily_Data!A1829</f>
        <v>39085</v>
      </c>
      <c r="B1829" s="11">
        <f>Daily_Data!J1829</f>
        <v>12.04</v>
      </c>
      <c r="C1829" s="11">
        <f>Daily_Data!I1829</f>
        <v>1.85</v>
      </c>
      <c r="D1829" s="12">
        <f>if(sum(Daily_Data!K1829:L1829)&gt;0,1,0)</f>
        <v>0</v>
      </c>
    </row>
    <row r="1830">
      <c r="A1830" s="10">
        <f>Daily_Data!A1830</f>
        <v>39086</v>
      </c>
      <c r="B1830" s="11">
        <f>Daily_Data!J1830</f>
        <v>11.51</v>
      </c>
      <c r="C1830" s="11">
        <f>Daily_Data!I1830</f>
        <v>1.89</v>
      </c>
      <c r="D1830" s="12">
        <f>if(sum(Daily_Data!K1830:L1830)&gt;0,1,0)</f>
        <v>0</v>
      </c>
    </row>
    <row r="1831">
      <c r="A1831" s="10">
        <f>Daily_Data!A1831</f>
        <v>39087</v>
      </c>
      <c r="B1831" s="11">
        <f>Daily_Data!J1831</f>
        <v>12.14</v>
      </c>
      <c r="C1831" s="11">
        <f>Daily_Data!I1831</f>
        <v>1.81</v>
      </c>
      <c r="D1831" s="12">
        <f>if(sum(Daily_Data!K1831:L1831)&gt;0,1,0)</f>
        <v>1</v>
      </c>
    </row>
    <row r="1832">
      <c r="A1832" s="10">
        <f>Daily_Data!A1832</f>
        <v>39090</v>
      </c>
      <c r="B1832" s="11">
        <f>Daily_Data!J1832</f>
        <v>12</v>
      </c>
      <c r="C1832" s="11">
        <f>Daily_Data!I1832</f>
        <v>1.83</v>
      </c>
      <c r="D1832" s="12">
        <f>if(sum(Daily_Data!K1832:L1832)&gt;0,1,0)</f>
        <v>0</v>
      </c>
    </row>
    <row r="1833">
      <c r="A1833" s="10">
        <f>Daily_Data!A1833</f>
        <v>39091</v>
      </c>
      <c r="B1833" s="11">
        <f>Daily_Data!J1833</f>
        <v>11.91</v>
      </c>
      <c r="C1833" s="11">
        <f>Daily_Data!I1833</f>
        <v>1.8</v>
      </c>
      <c r="D1833" s="12">
        <f>if(sum(Daily_Data!K1833:L1833)&gt;0,1,0)</f>
        <v>0</v>
      </c>
    </row>
    <row r="1834">
      <c r="A1834" s="10">
        <f>Daily_Data!A1834</f>
        <v>39092</v>
      </c>
      <c r="B1834" s="11">
        <f>Daily_Data!J1834</f>
        <v>11.47</v>
      </c>
      <c r="C1834" s="11">
        <f>Daily_Data!I1834</f>
        <v>1.76</v>
      </c>
      <c r="D1834" s="12">
        <f>if(sum(Daily_Data!K1834:L1834)&gt;0,1,0)</f>
        <v>0</v>
      </c>
    </row>
    <row r="1835">
      <c r="A1835" s="10">
        <f>Daily_Data!A1835</f>
        <v>39093</v>
      </c>
      <c r="B1835" s="11">
        <f>Daily_Data!J1835</f>
        <v>10.87</v>
      </c>
      <c r="C1835" s="11">
        <f>Daily_Data!I1835</f>
        <v>1.71</v>
      </c>
      <c r="D1835" s="12">
        <f>if(sum(Daily_Data!K1835:L1835)&gt;0,1,0)</f>
        <v>0</v>
      </c>
    </row>
    <row r="1836">
      <c r="A1836" s="10">
        <f>Daily_Data!A1836</f>
        <v>39094</v>
      </c>
      <c r="B1836" s="11">
        <f>Daily_Data!J1836</f>
        <v>10.15</v>
      </c>
      <c r="C1836" s="11">
        <f>Daily_Data!I1836</f>
        <v>1.65</v>
      </c>
      <c r="D1836" s="12">
        <f>if(sum(Daily_Data!K1836:L1836)&gt;0,1,0)</f>
        <v>0</v>
      </c>
    </row>
    <row r="1837">
      <c r="A1837" s="10">
        <f>Daily_Data!A1837</f>
        <v>39097</v>
      </c>
      <c r="B1837" s="11" t="str">
        <f>Daily_Data!J1837</f>
        <v/>
      </c>
      <c r="C1837" s="11" t="str">
        <f>Daily_Data!I1837</f>
        <v/>
      </c>
      <c r="D1837" s="12">
        <f>if(sum(Daily_Data!K1837:L1837)&gt;0,1,0)</f>
        <v>0</v>
      </c>
    </row>
    <row r="1838">
      <c r="A1838" s="10">
        <f>Daily_Data!A1838</f>
        <v>39098</v>
      </c>
      <c r="B1838" s="11">
        <f>Daily_Data!J1838</f>
        <v>10.74</v>
      </c>
      <c r="C1838" s="11">
        <f>Daily_Data!I1838</f>
        <v>1.64</v>
      </c>
      <c r="D1838" s="12">
        <f>if(sum(Daily_Data!K1838:L1838)&gt;0,1,0)</f>
        <v>0</v>
      </c>
    </row>
    <row r="1839">
      <c r="A1839" s="10">
        <f>Daily_Data!A1839</f>
        <v>39099</v>
      </c>
      <c r="B1839" s="11">
        <f>Daily_Data!J1839</f>
        <v>10.59</v>
      </c>
      <c r="C1839" s="11">
        <f>Daily_Data!I1839</f>
        <v>1.56</v>
      </c>
      <c r="D1839" s="12">
        <f>if(sum(Daily_Data!K1839:L1839)&gt;0,1,0)</f>
        <v>0</v>
      </c>
    </row>
    <row r="1840">
      <c r="A1840" s="10">
        <f>Daily_Data!A1840</f>
        <v>39100</v>
      </c>
      <c r="B1840" s="11">
        <f>Daily_Data!J1840</f>
        <v>10.85</v>
      </c>
      <c r="C1840" s="11">
        <f>Daily_Data!I1840</f>
        <v>1.54</v>
      </c>
      <c r="D1840" s="12">
        <f>if(sum(Daily_Data!K1840:L1840)&gt;0,1,0)</f>
        <v>1</v>
      </c>
    </row>
    <row r="1841">
      <c r="A1841" s="10">
        <f>Daily_Data!A1841</f>
        <v>39101</v>
      </c>
      <c r="B1841" s="11">
        <f>Daily_Data!J1841</f>
        <v>10.4</v>
      </c>
      <c r="C1841" s="11">
        <f>Daily_Data!I1841</f>
        <v>1.5</v>
      </c>
      <c r="D1841" s="12">
        <f>if(sum(Daily_Data!K1841:L1841)&gt;0,1,0)</f>
        <v>0</v>
      </c>
    </row>
    <row r="1842">
      <c r="A1842" s="10">
        <f>Daily_Data!A1842</f>
        <v>39104</v>
      </c>
      <c r="B1842" s="11">
        <f>Daily_Data!J1842</f>
        <v>10.77</v>
      </c>
      <c r="C1842" s="11">
        <f>Daily_Data!I1842</f>
        <v>1.52</v>
      </c>
      <c r="D1842" s="12">
        <f>if(sum(Daily_Data!K1842:L1842)&gt;0,1,0)</f>
        <v>0</v>
      </c>
    </row>
    <row r="1843">
      <c r="A1843" s="10">
        <f>Daily_Data!A1843</f>
        <v>39105</v>
      </c>
      <c r="B1843" s="11">
        <f>Daily_Data!J1843</f>
        <v>10.34</v>
      </c>
      <c r="C1843" s="11">
        <f>Daily_Data!I1843</f>
        <v>1.5</v>
      </c>
      <c r="D1843" s="12">
        <f>if(sum(Daily_Data!K1843:L1843)&gt;0,1,0)</f>
        <v>0</v>
      </c>
    </row>
    <row r="1844">
      <c r="A1844" s="10">
        <f>Daily_Data!A1844</f>
        <v>39106</v>
      </c>
      <c r="B1844" s="11">
        <f>Daily_Data!J1844</f>
        <v>9.89</v>
      </c>
      <c r="C1844" s="11">
        <f>Daily_Data!I1844</f>
        <v>1.52</v>
      </c>
      <c r="D1844" s="12">
        <f>if(sum(Daily_Data!K1844:L1844)&gt;0,1,0)</f>
        <v>0</v>
      </c>
    </row>
    <row r="1845">
      <c r="A1845" s="10">
        <f>Daily_Data!A1845</f>
        <v>39107</v>
      </c>
      <c r="B1845" s="11">
        <f>Daily_Data!J1845</f>
        <v>11.22</v>
      </c>
      <c r="C1845" s="11">
        <f>Daily_Data!I1845</f>
        <v>1.49</v>
      </c>
      <c r="D1845" s="12">
        <f>if(sum(Daily_Data!K1845:L1845)&gt;0,1,0)</f>
        <v>0</v>
      </c>
    </row>
    <row r="1846">
      <c r="A1846" s="10">
        <f>Daily_Data!A1846</f>
        <v>39108</v>
      </c>
      <c r="B1846" s="11">
        <f>Daily_Data!J1846</f>
        <v>11.13</v>
      </c>
      <c r="C1846" s="11">
        <f>Daily_Data!I1846</f>
        <v>1.54</v>
      </c>
      <c r="D1846" s="12">
        <f>if(sum(Daily_Data!K1846:L1846)&gt;0,1,0)</f>
        <v>0</v>
      </c>
    </row>
    <row r="1847">
      <c r="A1847" s="10">
        <f>Daily_Data!A1847</f>
        <v>39111</v>
      </c>
      <c r="B1847" s="11">
        <f>Daily_Data!J1847</f>
        <v>11.45</v>
      </c>
      <c r="C1847" s="11">
        <f>Daily_Data!I1847</f>
        <v>1.55</v>
      </c>
      <c r="D1847" s="12">
        <f>if(sum(Daily_Data!K1847:L1847)&gt;0,1,0)</f>
        <v>0</v>
      </c>
    </row>
    <row r="1848">
      <c r="A1848" s="10">
        <f>Daily_Data!A1848</f>
        <v>39112</v>
      </c>
      <c r="B1848" s="11">
        <f>Daily_Data!J1848</f>
        <v>10.96</v>
      </c>
      <c r="C1848" s="11">
        <f>Daily_Data!I1848</f>
        <v>1.57</v>
      </c>
      <c r="D1848" s="12">
        <f>if(sum(Daily_Data!K1848:L1848)&gt;0,1,0)</f>
        <v>0</v>
      </c>
    </row>
    <row r="1849">
      <c r="A1849" s="10">
        <f>Daily_Data!A1849</f>
        <v>39113</v>
      </c>
      <c r="B1849" s="11">
        <f>Daily_Data!J1849</f>
        <v>10.42</v>
      </c>
      <c r="C1849" s="11">
        <f>Daily_Data!I1849</f>
        <v>1.63</v>
      </c>
      <c r="D1849" s="12">
        <f>if(sum(Daily_Data!K1849:L1849)&gt;0,1,0)</f>
        <v>0</v>
      </c>
    </row>
    <row r="1850">
      <c r="A1850" s="10">
        <f>Daily_Data!A1850</f>
        <v>39114</v>
      </c>
      <c r="B1850" s="11">
        <f>Daily_Data!J1850</f>
        <v>10.31</v>
      </c>
      <c r="C1850" s="11">
        <f>Daily_Data!I1850</f>
        <v>1.6</v>
      </c>
      <c r="D1850" s="12">
        <f>if(sum(Daily_Data!K1850:L1850)&gt;0,1,0)</f>
        <v>0</v>
      </c>
    </row>
    <row r="1851">
      <c r="A1851" s="10">
        <f>Daily_Data!A1851</f>
        <v>39115</v>
      </c>
      <c r="B1851" s="11">
        <f>Daily_Data!J1851</f>
        <v>10.08</v>
      </c>
      <c r="C1851" s="11">
        <f>Daily_Data!I1851</f>
        <v>1.61</v>
      </c>
      <c r="D1851" s="12">
        <f>if(sum(Daily_Data!K1851:L1851)&gt;0,1,0)</f>
        <v>1</v>
      </c>
    </row>
    <row r="1852">
      <c r="A1852" s="10">
        <f>Daily_Data!A1852</f>
        <v>39118</v>
      </c>
      <c r="B1852" s="11">
        <f>Daily_Data!J1852</f>
        <v>10.55</v>
      </c>
      <c r="C1852" s="11">
        <f>Daily_Data!I1852</f>
        <v>1.67</v>
      </c>
      <c r="D1852" s="12">
        <f>if(sum(Daily_Data!K1852:L1852)&gt;0,1,0)</f>
        <v>0</v>
      </c>
    </row>
    <row r="1853">
      <c r="A1853" s="10">
        <f>Daily_Data!A1853</f>
        <v>39119</v>
      </c>
      <c r="B1853" s="11">
        <f>Daily_Data!J1853</f>
        <v>10.65</v>
      </c>
      <c r="C1853" s="11" t="str">
        <f>Daily_Data!I1853</f>
        <v/>
      </c>
      <c r="D1853" s="12">
        <f>if(sum(Daily_Data!K1853:L1853)&gt;0,1,0)</f>
        <v>0</v>
      </c>
    </row>
    <row r="1854">
      <c r="A1854" s="10">
        <f>Daily_Data!A1854</f>
        <v>39120</v>
      </c>
      <c r="B1854" s="11">
        <f>Daily_Data!J1854</f>
        <v>10.32</v>
      </c>
      <c r="C1854" s="11">
        <f>Daily_Data!I1854</f>
        <v>1.7</v>
      </c>
      <c r="D1854" s="12">
        <f>if(sum(Daily_Data!K1854:L1854)&gt;0,1,0)</f>
        <v>0</v>
      </c>
    </row>
    <row r="1855">
      <c r="A1855" s="10">
        <f>Daily_Data!A1855</f>
        <v>39121</v>
      </c>
      <c r="B1855" s="11">
        <f>Daily_Data!J1855</f>
        <v>10.44</v>
      </c>
      <c r="C1855" s="11">
        <f>Daily_Data!I1855</f>
        <v>1.7</v>
      </c>
      <c r="D1855" s="12">
        <f>if(sum(Daily_Data!K1855:L1855)&gt;0,1,0)</f>
        <v>0</v>
      </c>
    </row>
    <row r="1856">
      <c r="A1856" s="10">
        <f>Daily_Data!A1856</f>
        <v>39122</v>
      </c>
      <c r="B1856" s="11">
        <f>Daily_Data!J1856</f>
        <v>11.1</v>
      </c>
      <c r="C1856" s="11">
        <f>Daily_Data!I1856</f>
        <v>1.64</v>
      </c>
      <c r="D1856" s="12">
        <f>if(sum(Daily_Data!K1856:L1856)&gt;0,1,0)</f>
        <v>0</v>
      </c>
    </row>
    <row r="1857">
      <c r="A1857" s="10">
        <f>Daily_Data!A1857</f>
        <v>39125</v>
      </c>
      <c r="B1857" s="11">
        <f>Daily_Data!J1857</f>
        <v>11.61</v>
      </c>
      <c r="C1857" s="11">
        <f>Daily_Data!I1857</f>
        <v>1.64</v>
      </c>
      <c r="D1857" s="12">
        <f>if(sum(Daily_Data!K1857:L1857)&gt;0,1,0)</f>
        <v>0</v>
      </c>
    </row>
    <row r="1858">
      <c r="A1858" s="10">
        <f>Daily_Data!A1858</f>
        <v>39126</v>
      </c>
      <c r="B1858" s="11">
        <f>Daily_Data!J1858</f>
        <v>10.34</v>
      </c>
      <c r="C1858" s="11">
        <f>Daily_Data!I1858</f>
        <v>1.64</v>
      </c>
      <c r="D1858" s="12">
        <f>if(sum(Daily_Data!K1858:L1858)&gt;0,1,0)</f>
        <v>0</v>
      </c>
    </row>
    <row r="1859">
      <c r="A1859" s="10">
        <f>Daily_Data!A1859</f>
        <v>39127</v>
      </c>
      <c r="B1859" s="11">
        <f>Daily_Data!J1859</f>
        <v>10.23</v>
      </c>
      <c r="C1859" s="11">
        <f>Daily_Data!I1859</f>
        <v>1.73</v>
      </c>
      <c r="D1859" s="12">
        <f>if(sum(Daily_Data!K1859:L1859)&gt;0,1,0)</f>
        <v>0</v>
      </c>
    </row>
    <row r="1860">
      <c r="A1860" s="10">
        <f>Daily_Data!A1860</f>
        <v>39128</v>
      </c>
      <c r="B1860" s="11">
        <f>Daily_Data!J1860</f>
        <v>10.22</v>
      </c>
      <c r="C1860" s="11">
        <f>Daily_Data!I1860</f>
        <v>1.76</v>
      </c>
      <c r="D1860" s="12">
        <f>if(sum(Daily_Data!K1860:L1860)&gt;0,1,0)</f>
        <v>0</v>
      </c>
    </row>
    <row r="1861">
      <c r="A1861" s="10">
        <f>Daily_Data!A1861</f>
        <v>39129</v>
      </c>
      <c r="B1861" s="11">
        <f>Daily_Data!J1861</f>
        <v>10.02</v>
      </c>
      <c r="C1861" s="11">
        <f>Daily_Data!I1861</f>
        <v>1.74</v>
      </c>
      <c r="D1861" s="12">
        <f>if(sum(Daily_Data!K1861:L1861)&gt;0,1,0)</f>
        <v>0</v>
      </c>
    </row>
    <row r="1862">
      <c r="A1862" s="10">
        <f>Daily_Data!A1862</f>
        <v>39132</v>
      </c>
      <c r="B1862" s="11" t="str">
        <f>Daily_Data!J1862</f>
        <v/>
      </c>
      <c r="C1862" s="11" t="str">
        <f>Daily_Data!I1862</f>
        <v/>
      </c>
      <c r="D1862" s="12">
        <f>if(sum(Daily_Data!K1862:L1862)&gt;0,1,0)</f>
        <v>0</v>
      </c>
    </row>
    <row r="1863">
      <c r="A1863" s="10">
        <f>Daily_Data!A1863</f>
        <v>39133</v>
      </c>
      <c r="B1863" s="11">
        <f>Daily_Data!J1863</f>
        <v>10.24</v>
      </c>
      <c r="C1863" s="11">
        <f>Daily_Data!I1863</f>
        <v>1.77</v>
      </c>
      <c r="D1863" s="12">
        <f>if(sum(Daily_Data!K1863:L1863)&gt;0,1,0)</f>
        <v>0</v>
      </c>
    </row>
    <row r="1864">
      <c r="A1864" s="10">
        <f>Daily_Data!A1864</f>
        <v>39134</v>
      </c>
      <c r="B1864" s="11">
        <f>Daily_Data!J1864</f>
        <v>10.2</v>
      </c>
      <c r="C1864" s="11">
        <f>Daily_Data!I1864</f>
        <v>1.77</v>
      </c>
      <c r="D1864" s="12">
        <f>if(sum(Daily_Data!K1864:L1864)&gt;0,1,0)</f>
        <v>1</v>
      </c>
    </row>
    <row r="1865">
      <c r="A1865" s="10">
        <f>Daily_Data!A1865</f>
        <v>39135</v>
      </c>
      <c r="B1865" s="11">
        <f>Daily_Data!J1865</f>
        <v>10.18</v>
      </c>
      <c r="C1865" s="11">
        <f>Daily_Data!I1865</f>
        <v>1.75</v>
      </c>
      <c r="D1865" s="12">
        <f>if(sum(Daily_Data!K1865:L1865)&gt;0,1,0)</f>
        <v>0</v>
      </c>
    </row>
    <row r="1866">
      <c r="A1866" s="10">
        <f>Daily_Data!A1866</f>
        <v>39136</v>
      </c>
      <c r="B1866" s="11">
        <f>Daily_Data!J1866</f>
        <v>10.58</v>
      </c>
      <c r="C1866" s="11">
        <f>Daily_Data!I1866</f>
        <v>1.81</v>
      </c>
      <c r="D1866" s="12">
        <f>if(sum(Daily_Data!K1866:L1866)&gt;0,1,0)</f>
        <v>0</v>
      </c>
    </row>
    <row r="1867">
      <c r="A1867" s="10">
        <f>Daily_Data!A1867</f>
        <v>39139</v>
      </c>
      <c r="B1867" s="11">
        <f>Daily_Data!J1867</f>
        <v>11.15</v>
      </c>
      <c r="C1867" s="11">
        <f>Daily_Data!I1867</f>
        <v>1.86</v>
      </c>
      <c r="D1867" s="12">
        <f>if(sum(Daily_Data!K1867:L1867)&gt;0,1,0)</f>
        <v>0</v>
      </c>
    </row>
    <row r="1868">
      <c r="A1868" s="10">
        <f>Daily_Data!A1868</f>
        <v>39140</v>
      </c>
      <c r="B1868" s="11">
        <f>Daily_Data!J1868</f>
        <v>18.31</v>
      </c>
      <c r="C1868" s="11">
        <f>Daily_Data!I1868</f>
        <v>2.06</v>
      </c>
      <c r="D1868" s="12">
        <f>if(sum(Daily_Data!K1868:L1868)&gt;0,1,0)</f>
        <v>0</v>
      </c>
    </row>
    <row r="1869">
      <c r="A1869" s="10">
        <f>Daily_Data!A1869</f>
        <v>39141</v>
      </c>
      <c r="B1869" s="11">
        <f>Daily_Data!J1869</f>
        <v>15.42</v>
      </c>
      <c r="C1869" s="11">
        <f>Daily_Data!I1869</f>
        <v>1.97</v>
      </c>
      <c r="D1869" s="12">
        <f>if(sum(Daily_Data!K1869:L1869)&gt;0,1,0)</f>
        <v>0</v>
      </c>
    </row>
    <row r="1870">
      <c r="A1870" s="10">
        <f>Daily_Data!A1870</f>
        <v>39142</v>
      </c>
      <c r="B1870" s="11">
        <f>Daily_Data!J1870</f>
        <v>15.82</v>
      </c>
      <c r="C1870" s="11">
        <f>Daily_Data!I1870</f>
        <v>2.03</v>
      </c>
      <c r="D1870" s="12">
        <f>if(sum(Daily_Data!K1870:L1870)&gt;0,1,0)</f>
        <v>0</v>
      </c>
    </row>
    <row r="1871">
      <c r="A1871" s="10">
        <f>Daily_Data!A1871</f>
        <v>39143</v>
      </c>
      <c r="B1871" s="11">
        <f>Daily_Data!J1871</f>
        <v>18.61</v>
      </c>
      <c r="C1871" s="11">
        <f>Daily_Data!I1871</f>
        <v>2.11</v>
      </c>
      <c r="D1871" s="12">
        <f>if(sum(Daily_Data!K1871:L1871)&gt;0,1,0)</f>
        <v>0</v>
      </c>
    </row>
    <row r="1872">
      <c r="A1872" s="10">
        <f>Daily_Data!A1872</f>
        <v>39146</v>
      </c>
      <c r="B1872" s="11">
        <f>Daily_Data!J1872</f>
        <v>19.63</v>
      </c>
      <c r="C1872" s="11">
        <f>Daily_Data!I1872</f>
        <v>2.12</v>
      </c>
      <c r="D1872" s="12">
        <f>if(sum(Daily_Data!K1872:L1872)&gt;0,1,0)</f>
        <v>0</v>
      </c>
    </row>
    <row r="1873">
      <c r="A1873" s="10">
        <f>Daily_Data!A1873</f>
        <v>39147</v>
      </c>
      <c r="B1873" s="11">
        <f>Daily_Data!J1873</f>
        <v>15.96</v>
      </c>
      <c r="C1873" s="11">
        <f>Daily_Data!I1873</f>
        <v>2.07</v>
      </c>
      <c r="D1873" s="12">
        <f>if(sum(Daily_Data!K1873:L1873)&gt;0,1,0)</f>
        <v>0</v>
      </c>
    </row>
    <row r="1874">
      <c r="A1874" s="10">
        <f>Daily_Data!A1874</f>
        <v>39148</v>
      </c>
      <c r="B1874" s="11">
        <f>Daily_Data!J1874</f>
        <v>15.24</v>
      </c>
      <c r="C1874" s="11">
        <f>Daily_Data!I1874</f>
        <v>2.13</v>
      </c>
      <c r="D1874" s="12">
        <f>if(sum(Daily_Data!K1874:L1874)&gt;0,1,0)</f>
        <v>0</v>
      </c>
    </row>
    <row r="1875">
      <c r="A1875" s="10">
        <f>Daily_Data!A1875</f>
        <v>39149</v>
      </c>
      <c r="B1875" s="11">
        <f>Daily_Data!J1875</f>
        <v>14.29</v>
      </c>
      <c r="C1875" s="11">
        <f>Daily_Data!I1875</f>
        <v>2.09</v>
      </c>
      <c r="D1875" s="12">
        <f>if(sum(Daily_Data!K1875:L1875)&gt;0,1,0)</f>
        <v>0</v>
      </c>
    </row>
    <row r="1876">
      <c r="A1876" s="10">
        <f>Daily_Data!A1876</f>
        <v>39150</v>
      </c>
      <c r="B1876" s="11">
        <f>Daily_Data!J1876</f>
        <v>14.09</v>
      </c>
      <c r="C1876" s="11">
        <f>Daily_Data!I1876</f>
        <v>2.01</v>
      </c>
      <c r="D1876" s="12">
        <f>if(sum(Daily_Data!K1876:L1876)&gt;0,1,0)</f>
        <v>1</v>
      </c>
    </row>
    <row r="1877">
      <c r="A1877" s="10">
        <f>Daily_Data!A1877</f>
        <v>39153</v>
      </c>
      <c r="B1877" s="11">
        <f>Daily_Data!J1877</f>
        <v>13.99</v>
      </c>
      <c r="C1877" s="11">
        <f>Daily_Data!I1877</f>
        <v>2.13</v>
      </c>
      <c r="D1877" s="12">
        <f>if(sum(Daily_Data!K1877:L1877)&gt;0,1,0)</f>
        <v>0</v>
      </c>
    </row>
    <row r="1878">
      <c r="A1878" s="10">
        <f>Daily_Data!A1878</f>
        <v>39154</v>
      </c>
      <c r="B1878" s="11">
        <f>Daily_Data!J1878</f>
        <v>18.13</v>
      </c>
      <c r="C1878" s="11">
        <f>Daily_Data!I1878</f>
        <v>2.23</v>
      </c>
      <c r="D1878" s="12">
        <f>if(sum(Daily_Data!K1878:L1878)&gt;0,1,0)</f>
        <v>0</v>
      </c>
    </row>
    <row r="1879">
      <c r="A1879" s="10">
        <f>Daily_Data!A1879</f>
        <v>39155</v>
      </c>
      <c r="B1879" s="11">
        <f>Daily_Data!J1879</f>
        <v>17.27</v>
      </c>
      <c r="C1879" s="11">
        <f>Daily_Data!I1879</f>
        <v>2.21</v>
      </c>
      <c r="D1879" s="12">
        <f>if(sum(Daily_Data!K1879:L1879)&gt;0,1,0)</f>
        <v>0</v>
      </c>
    </row>
    <row r="1880">
      <c r="A1880" s="10">
        <f>Daily_Data!A1880</f>
        <v>39156</v>
      </c>
      <c r="B1880" s="11">
        <f>Daily_Data!J1880</f>
        <v>16.43</v>
      </c>
      <c r="C1880" s="11">
        <f>Daily_Data!I1880</f>
        <v>2.22</v>
      </c>
      <c r="D1880" s="12">
        <f>if(sum(Daily_Data!K1880:L1880)&gt;0,1,0)</f>
        <v>0</v>
      </c>
    </row>
    <row r="1881">
      <c r="A1881" s="10">
        <f>Daily_Data!A1881</f>
        <v>39157</v>
      </c>
      <c r="B1881" s="11">
        <f>Daily_Data!J1881</f>
        <v>16.79</v>
      </c>
      <c r="C1881" s="11">
        <f>Daily_Data!I1881</f>
        <v>2.24</v>
      </c>
      <c r="D1881" s="12">
        <f>if(sum(Daily_Data!K1881:L1881)&gt;0,1,0)</f>
        <v>1</v>
      </c>
    </row>
    <row r="1882">
      <c r="A1882" s="10">
        <f>Daily_Data!A1882</f>
        <v>39160</v>
      </c>
      <c r="B1882" s="11">
        <f>Daily_Data!J1882</f>
        <v>14.59</v>
      </c>
      <c r="C1882" s="11">
        <f>Daily_Data!I1882</f>
        <v>2.23</v>
      </c>
      <c r="D1882" s="12">
        <f>if(sum(Daily_Data!K1882:L1882)&gt;0,1,0)</f>
        <v>0</v>
      </c>
    </row>
    <row r="1883">
      <c r="A1883" s="10">
        <f>Daily_Data!A1883</f>
        <v>39161</v>
      </c>
      <c r="B1883" s="11">
        <f>Daily_Data!J1883</f>
        <v>13.27</v>
      </c>
      <c r="C1883" s="11">
        <f>Daily_Data!I1883</f>
        <v>2.27</v>
      </c>
      <c r="D1883" s="12">
        <f>if(sum(Daily_Data!K1883:L1883)&gt;0,1,0)</f>
        <v>0</v>
      </c>
    </row>
    <row r="1884">
      <c r="A1884" s="10">
        <f>Daily_Data!A1884</f>
        <v>39162</v>
      </c>
      <c r="B1884" s="11">
        <f>Daily_Data!J1884</f>
        <v>12.19</v>
      </c>
      <c r="C1884" s="11">
        <f>Daily_Data!I1884</f>
        <v>2.38</v>
      </c>
      <c r="D1884" s="12">
        <f>if(sum(Daily_Data!K1884:L1884)&gt;0,1,0)</f>
        <v>0</v>
      </c>
    </row>
    <row r="1885">
      <c r="A1885" s="10">
        <f>Daily_Data!A1885</f>
        <v>39163</v>
      </c>
      <c r="B1885" s="11">
        <f>Daily_Data!J1885</f>
        <v>12.93</v>
      </c>
      <c r="C1885" s="11">
        <f>Daily_Data!I1885</f>
        <v>2.31</v>
      </c>
      <c r="D1885" s="12">
        <f>if(sum(Daily_Data!K1885:L1885)&gt;0,1,0)</f>
        <v>0</v>
      </c>
    </row>
    <row r="1886">
      <c r="A1886" s="10">
        <f>Daily_Data!A1886</f>
        <v>39164</v>
      </c>
      <c r="B1886" s="11">
        <f>Daily_Data!J1886</f>
        <v>12.95</v>
      </c>
      <c r="C1886" s="11">
        <f>Daily_Data!I1886</f>
        <v>2.3</v>
      </c>
      <c r="D1886" s="12">
        <f>if(sum(Daily_Data!K1886:L1886)&gt;0,1,0)</f>
        <v>0</v>
      </c>
    </row>
    <row r="1887">
      <c r="A1887" s="10">
        <f>Daily_Data!A1887</f>
        <v>39167</v>
      </c>
      <c r="B1887" s="11">
        <f>Daily_Data!J1887</f>
        <v>13.16</v>
      </c>
      <c r="C1887" s="11">
        <f>Daily_Data!I1887</f>
        <v>2.36</v>
      </c>
      <c r="D1887" s="12">
        <f>if(sum(Daily_Data!K1887:L1887)&gt;0,1,0)</f>
        <v>0</v>
      </c>
    </row>
    <row r="1888">
      <c r="A1888" s="10">
        <f>Daily_Data!A1888</f>
        <v>39168</v>
      </c>
      <c r="B1888" s="11">
        <f>Daily_Data!J1888</f>
        <v>13.48</v>
      </c>
      <c r="C1888" s="11">
        <f>Daily_Data!I1888</f>
        <v>2.34</v>
      </c>
      <c r="D1888" s="12">
        <f>if(sum(Daily_Data!K1888:L1888)&gt;0,1,0)</f>
        <v>0</v>
      </c>
    </row>
    <row r="1889">
      <c r="A1889" s="10">
        <f>Daily_Data!A1889</f>
        <v>39169</v>
      </c>
      <c r="B1889" s="11">
        <f>Daily_Data!J1889</f>
        <v>14.98</v>
      </c>
      <c r="C1889" s="11">
        <f>Daily_Data!I1889</f>
        <v>2.38</v>
      </c>
      <c r="D1889" s="12">
        <f>if(sum(Daily_Data!K1889:L1889)&gt;0,1,0)</f>
        <v>0</v>
      </c>
    </row>
    <row r="1890">
      <c r="A1890" s="10">
        <f>Daily_Data!A1890</f>
        <v>39170</v>
      </c>
      <c r="B1890" s="11">
        <f>Daily_Data!J1890</f>
        <v>15.14</v>
      </c>
      <c r="C1890" s="11">
        <f>Daily_Data!I1890</f>
        <v>2.33</v>
      </c>
      <c r="D1890" s="12">
        <f>if(sum(Daily_Data!K1890:L1890)&gt;0,1,0)</f>
        <v>0</v>
      </c>
    </row>
    <row r="1891">
      <c r="A1891" s="10">
        <f>Daily_Data!A1891</f>
        <v>39171</v>
      </c>
      <c r="B1891" s="11">
        <f>Daily_Data!J1891</f>
        <v>14.64</v>
      </c>
      <c r="C1891" s="11">
        <f>Daily_Data!I1891</f>
        <v>2.35</v>
      </c>
      <c r="D1891" s="12">
        <f>if(sum(Daily_Data!K1891:L1891)&gt;0,1,0)</f>
        <v>0</v>
      </c>
    </row>
    <row r="1892">
      <c r="A1892" s="10">
        <f>Daily_Data!A1892</f>
        <v>39174</v>
      </c>
      <c r="B1892" s="11">
        <f>Daily_Data!J1892</f>
        <v>14.53</v>
      </c>
      <c r="C1892" s="11">
        <f>Daily_Data!I1892</f>
        <v>2.32</v>
      </c>
      <c r="D1892" s="12">
        <f>if(sum(Daily_Data!K1892:L1892)&gt;0,1,0)</f>
        <v>0</v>
      </c>
    </row>
    <row r="1893">
      <c r="A1893" s="10">
        <f>Daily_Data!A1893</f>
        <v>39175</v>
      </c>
      <c r="B1893" s="11">
        <f>Daily_Data!J1893</f>
        <v>13.46</v>
      </c>
      <c r="C1893" s="11">
        <f>Daily_Data!I1893</f>
        <v>2.31</v>
      </c>
      <c r="D1893" s="12">
        <f>if(sum(Daily_Data!K1893:L1893)&gt;0,1,0)</f>
        <v>0</v>
      </c>
    </row>
    <row r="1894">
      <c r="A1894" s="10">
        <f>Daily_Data!A1894</f>
        <v>39176</v>
      </c>
      <c r="B1894" s="11">
        <f>Daily_Data!J1894</f>
        <v>13.24</v>
      </c>
      <c r="C1894" s="11">
        <f>Daily_Data!I1894</f>
        <v>2.32</v>
      </c>
      <c r="D1894" s="12">
        <f>if(sum(Daily_Data!K1894:L1894)&gt;0,1,0)</f>
        <v>0</v>
      </c>
    </row>
    <row r="1895">
      <c r="A1895" s="10">
        <f>Daily_Data!A1895</f>
        <v>39177</v>
      </c>
      <c r="B1895" s="11">
        <f>Daily_Data!J1895</f>
        <v>13.23</v>
      </c>
      <c r="C1895" s="11">
        <f>Daily_Data!I1895</f>
        <v>2.27</v>
      </c>
      <c r="D1895" s="12">
        <f>if(sum(Daily_Data!K1895:L1895)&gt;0,1,0)</f>
        <v>0</v>
      </c>
    </row>
    <row r="1896">
      <c r="A1896" s="10">
        <f>Daily_Data!A1896</f>
        <v>39178</v>
      </c>
      <c r="B1896" s="11" t="str">
        <f>Daily_Data!J1896</f>
        <v/>
      </c>
      <c r="C1896" s="11" t="str">
        <f>Daily_Data!I1896</f>
        <v/>
      </c>
      <c r="D1896" s="12">
        <f>if(sum(Daily_Data!K1896:L1896)&gt;0,1,0)</f>
        <v>1</v>
      </c>
    </row>
    <row r="1897">
      <c r="A1897" s="10">
        <f>Daily_Data!A1897</f>
        <v>39181</v>
      </c>
      <c r="B1897" s="11">
        <f>Daily_Data!J1897</f>
        <v>13.14</v>
      </c>
      <c r="C1897" s="11" t="str">
        <f>Daily_Data!I1897</f>
        <v/>
      </c>
      <c r="D1897" s="12">
        <f>if(sum(Daily_Data!K1897:L1897)&gt;0,1,0)</f>
        <v>0</v>
      </c>
    </row>
    <row r="1898">
      <c r="A1898" s="10">
        <f>Daily_Data!A1898</f>
        <v>39182</v>
      </c>
      <c r="B1898" s="11">
        <f>Daily_Data!J1898</f>
        <v>12.68</v>
      </c>
      <c r="C1898" s="11">
        <f>Daily_Data!I1898</f>
        <v>2.23</v>
      </c>
      <c r="D1898" s="12">
        <f>if(sum(Daily_Data!K1898:L1898)&gt;0,1,0)</f>
        <v>0</v>
      </c>
    </row>
    <row r="1899">
      <c r="A1899" s="10">
        <f>Daily_Data!A1899</f>
        <v>39183</v>
      </c>
      <c r="B1899" s="11">
        <f>Daily_Data!J1899</f>
        <v>13.49</v>
      </c>
      <c r="C1899" s="11">
        <f>Daily_Data!I1899</f>
        <v>2.22</v>
      </c>
      <c r="D1899" s="12">
        <f>if(sum(Daily_Data!K1899:L1899)&gt;0,1,0)</f>
        <v>0</v>
      </c>
    </row>
    <row r="1900">
      <c r="A1900" s="10">
        <f>Daily_Data!A1900</f>
        <v>39184</v>
      </c>
      <c r="B1900" s="11">
        <f>Daily_Data!J1900</f>
        <v>12.71</v>
      </c>
      <c r="C1900" s="11">
        <f>Daily_Data!I1900</f>
        <v>2.24</v>
      </c>
      <c r="D1900" s="12">
        <f>if(sum(Daily_Data!K1900:L1900)&gt;0,1,0)</f>
        <v>0</v>
      </c>
    </row>
    <row r="1901">
      <c r="A1901" s="10">
        <f>Daily_Data!A1901</f>
        <v>39185</v>
      </c>
      <c r="B1901" s="11">
        <f>Daily_Data!J1901</f>
        <v>12.2</v>
      </c>
      <c r="C1901" s="11">
        <f>Daily_Data!I1901</f>
        <v>2.28</v>
      </c>
      <c r="D1901" s="12">
        <f>if(sum(Daily_Data!K1901:L1901)&gt;0,1,0)</f>
        <v>0</v>
      </c>
    </row>
    <row r="1902">
      <c r="A1902" s="10">
        <f>Daily_Data!A1902</f>
        <v>39188</v>
      </c>
      <c r="B1902" s="11">
        <f>Daily_Data!J1902</f>
        <v>11.98</v>
      </c>
      <c r="C1902" s="11">
        <f>Daily_Data!I1902</f>
        <v>2.37</v>
      </c>
      <c r="D1902" s="12">
        <f>if(sum(Daily_Data!K1902:L1902)&gt;0,1,0)</f>
        <v>0</v>
      </c>
    </row>
    <row r="1903">
      <c r="A1903" s="10">
        <f>Daily_Data!A1903</f>
        <v>39189</v>
      </c>
      <c r="B1903" s="11">
        <f>Daily_Data!J1903</f>
        <v>12.14</v>
      </c>
      <c r="C1903" s="11">
        <f>Daily_Data!I1903</f>
        <v>2.44</v>
      </c>
      <c r="D1903" s="12">
        <f>if(sum(Daily_Data!K1903:L1903)&gt;0,1,0)</f>
        <v>1</v>
      </c>
    </row>
    <row r="1904">
      <c r="A1904" s="10">
        <f>Daily_Data!A1904</f>
        <v>39190</v>
      </c>
      <c r="B1904" s="11">
        <f>Daily_Data!J1904</f>
        <v>12.42</v>
      </c>
      <c r="C1904" s="11">
        <f>Daily_Data!I1904</f>
        <v>2.48</v>
      </c>
      <c r="D1904" s="12">
        <f>if(sum(Daily_Data!K1904:L1904)&gt;0,1,0)</f>
        <v>0</v>
      </c>
    </row>
    <row r="1905">
      <c r="A1905" s="10">
        <f>Daily_Data!A1905</f>
        <v>39191</v>
      </c>
      <c r="B1905" s="11">
        <f>Daily_Data!J1905</f>
        <v>12.54</v>
      </c>
      <c r="C1905" s="11">
        <f>Daily_Data!I1905</f>
        <v>2.53</v>
      </c>
      <c r="D1905" s="12">
        <f>if(sum(Daily_Data!K1905:L1905)&gt;0,1,0)</f>
        <v>0</v>
      </c>
    </row>
    <row r="1906">
      <c r="A1906" s="10">
        <f>Daily_Data!A1906</f>
        <v>39192</v>
      </c>
      <c r="B1906" s="11">
        <f>Daily_Data!J1906</f>
        <v>12.07</v>
      </c>
      <c r="C1906" s="11">
        <f>Daily_Data!I1906</f>
        <v>2.52</v>
      </c>
      <c r="D1906" s="12">
        <f>if(sum(Daily_Data!K1906:L1906)&gt;0,1,0)</f>
        <v>0</v>
      </c>
    </row>
    <row r="1907">
      <c r="A1907" s="10">
        <f>Daily_Data!A1907</f>
        <v>39195</v>
      </c>
      <c r="B1907" s="11">
        <f>Daily_Data!J1907</f>
        <v>13.04</v>
      </c>
      <c r="C1907" s="11">
        <f>Daily_Data!I1907</f>
        <v>2.55</v>
      </c>
      <c r="D1907" s="12">
        <f>if(sum(Daily_Data!K1907:L1907)&gt;0,1,0)</f>
        <v>0</v>
      </c>
    </row>
    <row r="1908">
      <c r="A1908" s="10">
        <f>Daily_Data!A1908</f>
        <v>39196</v>
      </c>
      <c r="B1908" s="11">
        <f>Daily_Data!J1908</f>
        <v>13.12</v>
      </c>
      <c r="C1908" s="11">
        <f>Daily_Data!I1908</f>
        <v>2.58</v>
      </c>
      <c r="D1908" s="12">
        <f>if(sum(Daily_Data!K1908:L1908)&gt;0,1,0)</f>
        <v>0</v>
      </c>
    </row>
    <row r="1909">
      <c r="A1909" s="10">
        <f>Daily_Data!A1909</f>
        <v>39197</v>
      </c>
      <c r="B1909" s="11">
        <f>Daily_Data!J1909</f>
        <v>13.21</v>
      </c>
      <c r="C1909" s="11" t="str">
        <f>Daily_Data!I1909</f>
        <v/>
      </c>
      <c r="D1909" s="12">
        <f>if(sum(Daily_Data!K1909:L1909)&gt;0,1,0)</f>
        <v>0</v>
      </c>
    </row>
    <row r="1910">
      <c r="A1910" s="10">
        <f>Daily_Data!A1910</f>
        <v>39198</v>
      </c>
      <c r="B1910" s="11">
        <f>Daily_Data!J1910</f>
        <v>12.79</v>
      </c>
      <c r="C1910" s="11">
        <f>Daily_Data!I1910</f>
        <v>2.48</v>
      </c>
      <c r="D1910" s="12">
        <f>if(sum(Daily_Data!K1910:L1910)&gt;0,1,0)</f>
        <v>0</v>
      </c>
    </row>
    <row r="1911">
      <c r="A1911" s="10">
        <f>Daily_Data!A1911</f>
        <v>39199</v>
      </c>
      <c r="B1911" s="11">
        <f>Daily_Data!J1911</f>
        <v>12.45</v>
      </c>
      <c r="C1911" s="11">
        <f>Daily_Data!I1911</f>
        <v>2.49</v>
      </c>
      <c r="D1911" s="12">
        <f>if(sum(Daily_Data!K1911:L1911)&gt;0,1,0)</f>
        <v>0</v>
      </c>
    </row>
    <row r="1912">
      <c r="A1912" s="10">
        <f>Daily_Data!A1912</f>
        <v>39202</v>
      </c>
      <c r="B1912" s="11">
        <f>Daily_Data!J1912</f>
        <v>14.22</v>
      </c>
      <c r="C1912" s="11">
        <f>Daily_Data!I1912</f>
        <v>2.55</v>
      </c>
      <c r="D1912" s="12">
        <f>if(sum(Daily_Data!K1912:L1912)&gt;0,1,0)</f>
        <v>0</v>
      </c>
    </row>
    <row r="1913">
      <c r="A1913" s="10">
        <f>Daily_Data!A1913</f>
        <v>39203</v>
      </c>
      <c r="B1913" s="11">
        <f>Daily_Data!J1913</f>
        <v>13.51</v>
      </c>
      <c r="C1913" s="11">
        <f>Daily_Data!I1913</f>
        <v>2.48</v>
      </c>
      <c r="D1913" s="12">
        <f>if(sum(Daily_Data!K1913:L1913)&gt;0,1,0)</f>
        <v>0</v>
      </c>
    </row>
    <row r="1914">
      <c r="A1914" s="10">
        <f>Daily_Data!A1914</f>
        <v>39204</v>
      </c>
      <c r="B1914" s="11">
        <f>Daily_Data!J1914</f>
        <v>13.08</v>
      </c>
      <c r="C1914" s="11">
        <f>Daily_Data!I1914</f>
        <v>2.48</v>
      </c>
      <c r="D1914" s="12">
        <f>if(sum(Daily_Data!K1914:L1914)&gt;0,1,0)</f>
        <v>0</v>
      </c>
    </row>
    <row r="1915">
      <c r="A1915" s="10">
        <f>Daily_Data!A1915</f>
        <v>39205</v>
      </c>
      <c r="B1915" s="11">
        <f>Daily_Data!J1915</f>
        <v>13.09</v>
      </c>
      <c r="C1915" s="11">
        <f>Daily_Data!I1915</f>
        <v>2.42</v>
      </c>
      <c r="D1915" s="12">
        <f>if(sum(Daily_Data!K1915:L1915)&gt;0,1,0)</f>
        <v>0</v>
      </c>
    </row>
    <row r="1916">
      <c r="A1916" s="10">
        <f>Daily_Data!A1916</f>
        <v>39206</v>
      </c>
      <c r="B1916" s="11">
        <f>Daily_Data!J1916</f>
        <v>12.91</v>
      </c>
      <c r="C1916" s="11">
        <f>Daily_Data!I1916</f>
        <v>2.47</v>
      </c>
      <c r="D1916" s="12">
        <f>if(sum(Daily_Data!K1916:L1916)&gt;0,1,0)</f>
        <v>1</v>
      </c>
    </row>
    <row r="1917">
      <c r="A1917" s="10">
        <f>Daily_Data!A1917</f>
        <v>39209</v>
      </c>
      <c r="B1917" s="11">
        <f>Daily_Data!J1917</f>
        <v>13.15</v>
      </c>
      <c r="C1917" s="11">
        <f>Daily_Data!I1917</f>
        <v>2.46</v>
      </c>
      <c r="D1917" s="12">
        <f>if(sum(Daily_Data!K1917:L1917)&gt;0,1,0)</f>
        <v>0</v>
      </c>
    </row>
    <row r="1918">
      <c r="A1918" s="10">
        <f>Daily_Data!A1918</f>
        <v>39210</v>
      </c>
      <c r="B1918" s="11">
        <f>Daily_Data!J1918</f>
        <v>13.21</v>
      </c>
      <c r="C1918" s="11">
        <f>Daily_Data!I1918</f>
        <v>2.46</v>
      </c>
      <c r="D1918" s="12">
        <f>if(sum(Daily_Data!K1918:L1918)&gt;0,1,0)</f>
        <v>0</v>
      </c>
    </row>
    <row r="1919">
      <c r="A1919" s="10">
        <f>Daily_Data!A1919</f>
        <v>39211</v>
      </c>
      <c r="B1919" s="11">
        <f>Daily_Data!J1919</f>
        <v>12.88</v>
      </c>
      <c r="C1919" s="11">
        <f>Daily_Data!I1919</f>
        <v>2.41</v>
      </c>
      <c r="D1919" s="12">
        <f>if(sum(Daily_Data!K1919:L1919)&gt;0,1,0)</f>
        <v>0</v>
      </c>
    </row>
    <row r="1920">
      <c r="A1920" s="10">
        <f>Daily_Data!A1920</f>
        <v>39212</v>
      </c>
      <c r="B1920" s="11">
        <f>Daily_Data!J1920</f>
        <v>13.6</v>
      </c>
      <c r="C1920" s="11">
        <f>Daily_Data!I1920</f>
        <v>2.45</v>
      </c>
      <c r="D1920" s="12">
        <f>if(sum(Daily_Data!K1920:L1920)&gt;0,1,0)</f>
        <v>0</v>
      </c>
    </row>
    <row r="1921">
      <c r="A1921" s="10">
        <f>Daily_Data!A1921</f>
        <v>39213</v>
      </c>
      <c r="B1921" s="11">
        <f>Daily_Data!J1921</f>
        <v>12.95</v>
      </c>
      <c r="C1921" s="11">
        <f>Daily_Data!I1921</f>
        <v>2.44</v>
      </c>
      <c r="D1921" s="12">
        <f>if(sum(Daily_Data!K1921:L1921)&gt;0,1,0)</f>
        <v>0</v>
      </c>
    </row>
    <row r="1922">
      <c r="A1922" s="10">
        <f>Daily_Data!A1922</f>
        <v>39216</v>
      </c>
      <c r="B1922" s="11">
        <f>Daily_Data!J1922</f>
        <v>13.96</v>
      </c>
      <c r="C1922" s="11">
        <f>Daily_Data!I1922</f>
        <v>2.45</v>
      </c>
      <c r="D1922" s="12">
        <f>if(sum(Daily_Data!K1922:L1922)&gt;0,1,0)</f>
        <v>0</v>
      </c>
    </row>
    <row r="1923">
      <c r="A1923" s="10">
        <f>Daily_Data!A1923</f>
        <v>39217</v>
      </c>
      <c r="B1923" s="11">
        <f>Daily_Data!J1923</f>
        <v>14.01</v>
      </c>
      <c r="C1923" s="11">
        <f>Daily_Data!I1923</f>
        <v>2.4</v>
      </c>
      <c r="D1923" s="12">
        <f>if(sum(Daily_Data!K1923:L1923)&gt;0,1,0)</f>
        <v>1</v>
      </c>
    </row>
    <row r="1924">
      <c r="A1924" s="10">
        <f>Daily_Data!A1924</f>
        <v>39218</v>
      </c>
      <c r="B1924" s="11">
        <f>Daily_Data!J1924</f>
        <v>13.5</v>
      </c>
      <c r="C1924" s="11">
        <f>Daily_Data!I1924</f>
        <v>2.4</v>
      </c>
      <c r="D1924" s="12">
        <f>if(sum(Daily_Data!K1924:L1924)&gt;0,1,0)</f>
        <v>0</v>
      </c>
    </row>
    <row r="1925">
      <c r="A1925" s="10">
        <f>Daily_Data!A1925</f>
        <v>39219</v>
      </c>
      <c r="B1925" s="11">
        <f>Daily_Data!J1925</f>
        <v>13.51</v>
      </c>
      <c r="C1925" s="11">
        <f>Daily_Data!I1925</f>
        <v>2.34</v>
      </c>
      <c r="D1925" s="12">
        <f>if(sum(Daily_Data!K1925:L1925)&gt;0,1,0)</f>
        <v>0</v>
      </c>
    </row>
    <row r="1926">
      <c r="A1926" s="10">
        <f>Daily_Data!A1926</f>
        <v>39220</v>
      </c>
      <c r="B1926" s="11">
        <f>Daily_Data!J1926</f>
        <v>12.76</v>
      </c>
      <c r="C1926" s="11">
        <f>Daily_Data!I1926</f>
        <v>2.31</v>
      </c>
      <c r="D1926" s="12">
        <f>if(sum(Daily_Data!K1926:L1926)&gt;0,1,0)</f>
        <v>0</v>
      </c>
    </row>
    <row r="1927">
      <c r="A1927" s="10">
        <f>Daily_Data!A1927</f>
        <v>39223</v>
      </c>
      <c r="B1927" s="11">
        <f>Daily_Data!J1927</f>
        <v>13.3</v>
      </c>
      <c r="C1927" s="11">
        <f>Daily_Data!I1927</f>
        <v>2.32</v>
      </c>
      <c r="D1927" s="12">
        <f>if(sum(Daily_Data!K1927:L1927)&gt;0,1,0)</f>
        <v>0</v>
      </c>
    </row>
    <row r="1928">
      <c r="A1928" s="10">
        <f>Daily_Data!A1928</f>
        <v>39224</v>
      </c>
      <c r="B1928" s="11">
        <f>Daily_Data!J1928</f>
        <v>13.06</v>
      </c>
      <c r="C1928" s="11">
        <f>Daily_Data!I1928</f>
        <v>2.3</v>
      </c>
      <c r="D1928" s="12">
        <f>if(sum(Daily_Data!K1928:L1928)&gt;0,1,0)</f>
        <v>0</v>
      </c>
    </row>
    <row r="1929">
      <c r="A1929" s="10">
        <f>Daily_Data!A1929</f>
        <v>39225</v>
      </c>
      <c r="B1929" s="11">
        <f>Daily_Data!J1929</f>
        <v>13.24</v>
      </c>
      <c r="C1929" s="11">
        <f>Daily_Data!I1929</f>
        <v>2.28</v>
      </c>
      <c r="D1929" s="12">
        <f>if(sum(Daily_Data!K1929:L1929)&gt;0,1,0)</f>
        <v>0</v>
      </c>
    </row>
    <row r="1930">
      <c r="A1930" s="10">
        <f>Daily_Data!A1930</f>
        <v>39226</v>
      </c>
      <c r="B1930" s="11">
        <f>Daily_Data!J1930</f>
        <v>14.08</v>
      </c>
      <c r="C1930" s="11">
        <f>Daily_Data!I1930</f>
        <v>2.29</v>
      </c>
      <c r="D1930" s="12">
        <f>if(sum(Daily_Data!K1930:L1930)&gt;0,1,0)</f>
        <v>0</v>
      </c>
    </row>
    <row r="1931">
      <c r="A1931" s="10">
        <f>Daily_Data!A1931</f>
        <v>39227</v>
      </c>
      <c r="B1931" s="11">
        <f>Daily_Data!J1931</f>
        <v>13.34</v>
      </c>
      <c r="C1931" s="11">
        <f>Daily_Data!I1931</f>
        <v>2.32</v>
      </c>
      <c r="D1931" s="12">
        <f>if(sum(Daily_Data!K1931:L1931)&gt;0,1,0)</f>
        <v>0</v>
      </c>
    </row>
    <row r="1932">
      <c r="A1932" s="10">
        <f>Daily_Data!A1932</f>
        <v>39230</v>
      </c>
      <c r="B1932" s="11" t="str">
        <f>Daily_Data!J1932</f>
        <v/>
      </c>
      <c r="C1932" s="11" t="str">
        <f>Daily_Data!I1932</f>
        <v/>
      </c>
      <c r="D1932" s="12">
        <f>if(sum(Daily_Data!K1932:L1932)&gt;0,1,0)</f>
        <v>0</v>
      </c>
    </row>
    <row r="1933">
      <c r="A1933" s="10">
        <f>Daily_Data!A1933</f>
        <v>39231</v>
      </c>
      <c r="B1933" s="11">
        <f>Daily_Data!J1933</f>
        <v>13.53</v>
      </c>
      <c r="C1933" s="11">
        <f>Daily_Data!I1933</f>
        <v>2.31</v>
      </c>
      <c r="D1933" s="12">
        <f>if(sum(Daily_Data!K1933:L1933)&gt;0,1,0)</f>
        <v>0</v>
      </c>
    </row>
    <row r="1934">
      <c r="A1934" s="10">
        <f>Daily_Data!A1934</f>
        <v>39232</v>
      </c>
      <c r="B1934" s="11">
        <f>Daily_Data!J1934</f>
        <v>12.83</v>
      </c>
      <c r="C1934" s="11">
        <f>Daily_Data!I1934</f>
        <v>2.33</v>
      </c>
      <c r="D1934" s="12">
        <f>if(sum(Daily_Data!K1934:L1934)&gt;0,1,0)</f>
        <v>0</v>
      </c>
    </row>
    <row r="1935">
      <c r="A1935" s="10">
        <f>Daily_Data!A1935</f>
        <v>39233</v>
      </c>
      <c r="B1935" s="11">
        <f>Daily_Data!J1935</f>
        <v>13.05</v>
      </c>
      <c r="C1935" s="11">
        <f>Daily_Data!I1935</f>
        <v>2.31</v>
      </c>
      <c r="D1935" s="12">
        <f>if(sum(Daily_Data!K1935:L1935)&gt;0,1,0)</f>
        <v>0</v>
      </c>
    </row>
    <row r="1936">
      <c r="A1936" s="10">
        <f>Daily_Data!A1936</f>
        <v>39234</v>
      </c>
      <c r="B1936" s="11">
        <f>Daily_Data!J1936</f>
        <v>12.78</v>
      </c>
      <c r="C1936" s="11">
        <f>Daily_Data!I1936</f>
        <v>2.27</v>
      </c>
      <c r="D1936" s="12">
        <f>if(sum(Daily_Data!K1936:L1936)&gt;0,1,0)</f>
        <v>1</v>
      </c>
    </row>
    <row r="1937">
      <c r="A1937" s="10">
        <f>Daily_Data!A1937</f>
        <v>39237</v>
      </c>
      <c r="B1937" s="11">
        <f>Daily_Data!J1937</f>
        <v>13.29</v>
      </c>
      <c r="C1937" s="11" t="str">
        <f>Daily_Data!I1937</f>
        <v/>
      </c>
      <c r="D1937" s="12">
        <f>if(sum(Daily_Data!K1937:L1937)&gt;0,1,0)</f>
        <v>0</v>
      </c>
    </row>
    <row r="1938">
      <c r="A1938" s="10">
        <f>Daily_Data!A1938</f>
        <v>39238</v>
      </c>
      <c r="B1938" s="11">
        <f>Daily_Data!J1938</f>
        <v>13.63</v>
      </c>
      <c r="C1938" s="11">
        <f>Daily_Data!I1938</f>
        <v>2.28</v>
      </c>
      <c r="D1938" s="12">
        <f>if(sum(Daily_Data!K1938:L1938)&gt;0,1,0)</f>
        <v>0</v>
      </c>
    </row>
    <row r="1939">
      <c r="A1939" s="10">
        <f>Daily_Data!A1939</f>
        <v>39239</v>
      </c>
      <c r="B1939" s="11">
        <f>Daily_Data!J1939</f>
        <v>14.87</v>
      </c>
      <c r="C1939" s="11">
        <f>Daily_Data!I1939</f>
        <v>2.38</v>
      </c>
      <c r="D1939" s="12">
        <f>if(sum(Daily_Data!K1939:L1939)&gt;0,1,0)</f>
        <v>0</v>
      </c>
    </row>
    <row r="1940">
      <c r="A1940" s="10">
        <f>Daily_Data!A1940</f>
        <v>39240</v>
      </c>
      <c r="B1940" s="11">
        <f>Daily_Data!J1940</f>
        <v>17.06</v>
      </c>
      <c r="C1940" s="11">
        <f>Daily_Data!I1940</f>
        <v>2.38</v>
      </c>
      <c r="D1940" s="12">
        <f>if(sum(Daily_Data!K1940:L1940)&gt;0,1,0)</f>
        <v>0</v>
      </c>
    </row>
    <row r="1941">
      <c r="A1941" s="10">
        <f>Daily_Data!A1941</f>
        <v>39241</v>
      </c>
      <c r="B1941" s="11">
        <f>Daily_Data!J1941</f>
        <v>14.84</v>
      </c>
      <c r="C1941" s="11">
        <f>Daily_Data!I1941</f>
        <v>2.44</v>
      </c>
      <c r="D1941" s="12">
        <f>if(sum(Daily_Data!K1941:L1941)&gt;0,1,0)</f>
        <v>0</v>
      </c>
    </row>
    <row r="1942">
      <c r="A1942" s="10">
        <f>Daily_Data!A1942</f>
        <v>39244</v>
      </c>
      <c r="B1942" s="11">
        <f>Daily_Data!J1942</f>
        <v>14.71</v>
      </c>
      <c r="C1942" s="11">
        <f>Daily_Data!I1942</f>
        <v>2.4</v>
      </c>
      <c r="D1942" s="12">
        <f>if(sum(Daily_Data!K1942:L1942)&gt;0,1,0)</f>
        <v>0</v>
      </c>
    </row>
    <row r="1943">
      <c r="A1943" s="10">
        <f>Daily_Data!A1943</f>
        <v>39245</v>
      </c>
      <c r="B1943" s="11">
        <f>Daily_Data!J1943</f>
        <v>16.67</v>
      </c>
      <c r="C1943" s="11">
        <f>Daily_Data!I1943</f>
        <v>2.25</v>
      </c>
      <c r="D1943" s="12">
        <f>if(sum(Daily_Data!K1943:L1943)&gt;0,1,0)</f>
        <v>0</v>
      </c>
    </row>
    <row r="1944">
      <c r="A1944" s="10">
        <f>Daily_Data!A1944</f>
        <v>39246</v>
      </c>
      <c r="B1944" s="11">
        <f>Daily_Data!J1944</f>
        <v>14.73</v>
      </c>
      <c r="C1944" s="11">
        <f>Daily_Data!I1944</f>
        <v>2.27</v>
      </c>
      <c r="D1944" s="12">
        <f>if(sum(Daily_Data!K1944:L1944)&gt;0,1,0)</f>
        <v>0</v>
      </c>
    </row>
    <row r="1945">
      <c r="A1945" s="10">
        <f>Daily_Data!A1945</f>
        <v>39247</v>
      </c>
      <c r="B1945" s="11">
        <f>Daily_Data!J1945</f>
        <v>13.64</v>
      </c>
      <c r="C1945" s="11">
        <f>Daily_Data!I1945</f>
        <v>2.23</v>
      </c>
      <c r="D1945" s="12">
        <f>if(sum(Daily_Data!K1945:L1945)&gt;0,1,0)</f>
        <v>0</v>
      </c>
    </row>
    <row r="1946">
      <c r="A1946" s="10">
        <f>Daily_Data!A1946</f>
        <v>39248</v>
      </c>
      <c r="B1946" s="11">
        <f>Daily_Data!J1946</f>
        <v>13.94</v>
      </c>
      <c r="C1946" s="11">
        <f>Daily_Data!I1946</f>
        <v>2.29</v>
      </c>
      <c r="D1946" s="12">
        <f>if(sum(Daily_Data!K1946:L1946)&gt;0,1,0)</f>
        <v>1</v>
      </c>
    </row>
    <row r="1947">
      <c r="A1947" s="10">
        <f>Daily_Data!A1947</f>
        <v>39251</v>
      </c>
      <c r="B1947" s="11">
        <f>Daily_Data!J1947</f>
        <v>13.42</v>
      </c>
      <c r="C1947" s="11">
        <f>Daily_Data!I1947</f>
        <v>2.29</v>
      </c>
      <c r="D1947" s="12">
        <f>if(sum(Daily_Data!K1947:L1947)&gt;0,1,0)</f>
        <v>0</v>
      </c>
    </row>
    <row r="1948">
      <c r="A1948" s="10">
        <f>Daily_Data!A1948</f>
        <v>39252</v>
      </c>
      <c r="B1948" s="11">
        <f>Daily_Data!J1948</f>
        <v>12.85</v>
      </c>
      <c r="C1948" s="11">
        <f>Daily_Data!I1948</f>
        <v>2.34</v>
      </c>
      <c r="D1948" s="12">
        <f>if(sum(Daily_Data!K1948:L1948)&gt;0,1,0)</f>
        <v>0</v>
      </c>
    </row>
    <row r="1949">
      <c r="A1949" s="10">
        <f>Daily_Data!A1949</f>
        <v>39253</v>
      </c>
      <c r="B1949" s="11">
        <f>Daily_Data!J1949</f>
        <v>14.67</v>
      </c>
      <c r="C1949" s="11">
        <f>Daily_Data!I1949</f>
        <v>2.29</v>
      </c>
      <c r="D1949" s="12">
        <f>if(sum(Daily_Data!K1949:L1949)&gt;0,1,0)</f>
        <v>0</v>
      </c>
    </row>
    <row r="1950">
      <c r="A1950" s="10">
        <f>Daily_Data!A1950</f>
        <v>39254</v>
      </c>
      <c r="B1950" s="11">
        <f>Daily_Data!J1950</f>
        <v>14.21</v>
      </c>
      <c r="C1950" s="11">
        <f>Daily_Data!I1950</f>
        <v>2.32</v>
      </c>
      <c r="D1950" s="12">
        <f>if(sum(Daily_Data!K1950:L1950)&gt;0,1,0)</f>
        <v>0</v>
      </c>
    </row>
    <row r="1951">
      <c r="A1951" s="10">
        <f>Daily_Data!A1951</f>
        <v>39255</v>
      </c>
      <c r="B1951" s="11">
        <f>Daily_Data!J1951</f>
        <v>15.75</v>
      </c>
      <c r="C1951" s="11">
        <f>Daily_Data!I1951</f>
        <v>2.43</v>
      </c>
      <c r="D1951" s="12">
        <f>if(sum(Daily_Data!K1951:L1951)&gt;0,1,0)</f>
        <v>0</v>
      </c>
    </row>
    <row r="1952">
      <c r="A1952" s="10">
        <f>Daily_Data!A1952</f>
        <v>39258</v>
      </c>
      <c r="B1952" s="11">
        <f>Daily_Data!J1952</f>
        <v>16.65</v>
      </c>
      <c r="C1952" s="11">
        <f>Daily_Data!I1952</f>
        <v>2.46</v>
      </c>
      <c r="D1952" s="12">
        <f>if(sum(Daily_Data!K1952:L1952)&gt;0,1,0)</f>
        <v>0</v>
      </c>
    </row>
    <row r="1953">
      <c r="A1953" s="10">
        <f>Daily_Data!A1953</f>
        <v>39259</v>
      </c>
      <c r="B1953" s="11">
        <f>Daily_Data!J1953</f>
        <v>18.89</v>
      </c>
      <c r="C1953" s="11">
        <f>Daily_Data!I1953</f>
        <v>2.42</v>
      </c>
      <c r="D1953" s="12">
        <f>if(sum(Daily_Data!K1953:L1953)&gt;0,1,0)</f>
        <v>0</v>
      </c>
    </row>
    <row r="1954">
      <c r="A1954" s="10">
        <f>Daily_Data!A1954</f>
        <v>39260</v>
      </c>
      <c r="B1954" s="11">
        <f>Daily_Data!J1954</f>
        <v>15.53</v>
      </c>
      <c r="C1954" s="11">
        <f>Daily_Data!I1954</f>
        <v>2.41</v>
      </c>
      <c r="D1954" s="12">
        <f>if(sum(Daily_Data!K1954:L1954)&gt;0,1,0)</f>
        <v>0</v>
      </c>
    </row>
    <row r="1955">
      <c r="A1955" s="10">
        <f>Daily_Data!A1955</f>
        <v>39261</v>
      </c>
      <c r="B1955" s="11">
        <f>Daily_Data!J1955</f>
        <v>15.54</v>
      </c>
      <c r="C1955" s="11">
        <f>Daily_Data!I1955</f>
        <v>2.35</v>
      </c>
      <c r="D1955" s="12">
        <f>if(sum(Daily_Data!K1955:L1955)&gt;0,1,0)</f>
        <v>0</v>
      </c>
    </row>
    <row r="1956">
      <c r="A1956" s="10">
        <f>Daily_Data!A1956</f>
        <v>39262</v>
      </c>
      <c r="B1956" s="11">
        <f>Daily_Data!J1956</f>
        <v>16.23</v>
      </c>
      <c r="C1956" s="11">
        <f>Daily_Data!I1956</f>
        <v>2.45</v>
      </c>
      <c r="D1956" s="12">
        <f>if(sum(Daily_Data!K1956:L1956)&gt;0,1,0)</f>
        <v>0</v>
      </c>
    </row>
    <row r="1957">
      <c r="A1957" s="10">
        <f>Daily_Data!A1957</f>
        <v>39265</v>
      </c>
      <c r="B1957" s="11">
        <f>Daily_Data!J1957</f>
        <v>15.4</v>
      </c>
      <c r="C1957" s="11">
        <f>Daily_Data!I1957</f>
        <v>2.46</v>
      </c>
      <c r="D1957" s="12">
        <f>if(sum(Daily_Data!K1957:L1957)&gt;0,1,0)</f>
        <v>0</v>
      </c>
    </row>
    <row r="1958">
      <c r="A1958" s="10">
        <f>Daily_Data!A1958</f>
        <v>39266</v>
      </c>
      <c r="B1958" s="11">
        <f>Daily_Data!J1958</f>
        <v>14.92</v>
      </c>
      <c r="C1958" s="11">
        <f>Daily_Data!I1958</f>
        <v>2.42</v>
      </c>
      <c r="D1958" s="12">
        <f>if(sum(Daily_Data!K1958:L1958)&gt;0,1,0)</f>
        <v>0</v>
      </c>
    </row>
    <row r="1959">
      <c r="A1959" s="10">
        <f>Daily_Data!A1959</f>
        <v>39267</v>
      </c>
      <c r="B1959" s="11" t="str">
        <f>Daily_Data!J1959</f>
        <v/>
      </c>
      <c r="C1959" s="11" t="str">
        <f>Daily_Data!I1959</f>
        <v/>
      </c>
      <c r="D1959" s="12">
        <f>if(sum(Daily_Data!K1959:L1959)&gt;0,1,0)</f>
        <v>0</v>
      </c>
    </row>
    <row r="1960">
      <c r="A1960" s="10">
        <f>Daily_Data!A1960</f>
        <v>39268</v>
      </c>
      <c r="B1960" s="11">
        <f>Daily_Data!J1960</f>
        <v>15.48</v>
      </c>
      <c r="C1960" s="11">
        <f>Daily_Data!I1960</f>
        <v>2.34</v>
      </c>
      <c r="D1960" s="12">
        <f>if(sum(Daily_Data!K1960:L1960)&gt;0,1,0)</f>
        <v>0</v>
      </c>
    </row>
    <row r="1961">
      <c r="A1961" s="10">
        <f>Daily_Data!A1961</f>
        <v>39269</v>
      </c>
      <c r="B1961" s="11">
        <f>Daily_Data!J1961</f>
        <v>14.72</v>
      </c>
      <c r="C1961" s="11">
        <f>Daily_Data!I1961</f>
        <v>2.39</v>
      </c>
      <c r="D1961" s="12">
        <f>if(sum(Daily_Data!K1961:L1961)&gt;0,1,0)</f>
        <v>1</v>
      </c>
    </row>
    <row r="1962">
      <c r="A1962" s="10">
        <f>Daily_Data!A1962</f>
        <v>39272</v>
      </c>
      <c r="B1962" s="11">
        <f>Daily_Data!J1962</f>
        <v>15.16</v>
      </c>
      <c r="C1962" s="11">
        <f>Daily_Data!I1962</f>
        <v>2.43</v>
      </c>
      <c r="D1962" s="12">
        <f>if(sum(Daily_Data!K1962:L1962)&gt;0,1,0)</f>
        <v>0</v>
      </c>
    </row>
    <row r="1963">
      <c r="A1963" s="10">
        <f>Daily_Data!A1963</f>
        <v>39273</v>
      </c>
      <c r="B1963" s="11">
        <f>Daily_Data!J1963</f>
        <v>17.57</v>
      </c>
      <c r="C1963" s="11">
        <f>Daily_Data!I1963</f>
        <v>2.53</v>
      </c>
      <c r="D1963" s="12">
        <f>if(sum(Daily_Data!K1963:L1963)&gt;0,1,0)</f>
        <v>0</v>
      </c>
    </row>
    <row r="1964">
      <c r="A1964" s="10">
        <f>Daily_Data!A1964</f>
        <v>39274</v>
      </c>
      <c r="B1964" s="11">
        <f>Daily_Data!J1964</f>
        <v>16.64</v>
      </c>
      <c r="C1964" s="11">
        <f>Daily_Data!I1964</f>
        <v>2.59</v>
      </c>
      <c r="D1964" s="12">
        <f>if(sum(Daily_Data!K1964:L1964)&gt;0,1,0)</f>
        <v>0</v>
      </c>
    </row>
    <row r="1965">
      <c r="A1965" s="10">
        <f>Daily_Data!A1965</f>
        <v>39275</v>
      </c>
      <c r="B1965" s="11">
        <f>Daily_Data!J1965</f>
        <v>15.54</v>
      </c>
      <c r="C1965" s="11">
        <f>Daily_Data!I1965</f>
        <v>2.57</v>
      </c>
      <c r="D1965" s="12">
        <f>if(sum(Daily_Data!K1965:L1965)&gt;0,1,0)</f>
        <v>0</v>
      </c>
    </row>
    <row r="1966">
      <c r="A1966" s="10">
        <f>Daily_Data!A1966</f>
        <v>39276</v>
      </c>
      <c r="B1966" s="11">
        <f>Daily_Data!J1966</f>
        <v>15.15</v>
      </c>
      <c r="C1966" s="11">
        <f>Daily_Data!I1966</f>
        <v>2.64</v>
      </c>
      <c r="D1966" s="12">
        <f>if(sum(Daily_Data!K1966:L1966)&gt;0,1,0)</f>
        <v>0</v>
      </c>
    </row>
    <row r="1967">
      <c r="A1967" s="10">
        <f>Daily_Data!A1967</f>
        <v>39279</v>
      </c>
      <c r="B1967" s="11">
        <f>Daily_Data!J1967</f>
        <v>15.59</v>
      </c>
      <c r="C1967" s="11">
        <f>Daily_Data!I1967</f>
        <v>2.77</v>
      </c>
      <c r="D1967" s="12">
        <f>if(sum(Daily_Data!K1967:L1967)&gt;0,1,0)</f>
        <v>0</v>
      </c>
    </row>
    <row r="1968">
      <c r="A1968" s="10">
        <f>Daily_Data!A1968</f>
        <v>39280</v>
      </c>
      <c r="B1968" s="11">
        <f>Daily_Data!J1968</f>
        <v>15.63</v>
      </c>
      <c r="C1968" s="11">
        <f>Daily_Data!I1968</f>
        <v>2.79</v>
      </c>
      <c r="D1968" s="12">
        <f>if(sum(Daily_Data!K1968:L1968)&gt;0,1,0)</f>
        <v>0</v>
      </c>
    </row>
    <row r="1969">
      <c r="A1969" s="10">
        <f>Daily_Data!A1969</f>
        <v>39281</v>
      </c>
      <c r="B1969" s="11">
        <f>Daily_Data!J1969</f>
        <v>16</v>
      </c>
      <c r="C1969" s="11">
        <f>Daily_Data!I1969</f>
        <v>2.92</v>
      </c>
      <c r="D1969" s="12">
        <f>if(sum(Daily_Data!K1969:L1969)&gt;0,1,0)</f>
        <v>1</v>
      </c>
    </row>
    <row r="1970">
      <c r="A1970" s="10">
        <f>Daily_Data!A1970</f>
        <v>39282</v>
      </c>
      <c r="B1970" s="11">
        <f>Daily_Data!J1970</f>
        <v>15.23</v>
      </c>
      <c r="C1970" s="11">
        <f>Daily_Data!I1970</f>
        <v>2.91</v>
      </c>
      <c r="D1970" s="12">
        <f>if(sum(Daily_Data!K1970:L1970)&gt;0,1,0)</f>
        <v>0</v>
      </c>
    </row>
    <row r="1971">
      <c r="A1971" s="10">
        <f>Daily_Data!A1971</f>
        <v>39283</v>
      </c>
      <c r="B1971" s="11">
        <f>Daily_Data!J1971</f>
        <v>16.95</v>
      </c>
      <c r="C1971" s="11">
        <f>Daily_Data!I1971</f>
        <v>2.99</v>
      </c>
      <c r="D1971" s="12">
        <f>if(sum(Daily_Data!K1971:L1971)&gt;0,1,0)</f>
        <v>0</v>
      </c>
    </row>
    <row r="1972">
      <c r="A1972" s="10">
        <f>Daily_Data!A1972</f>
        <v>39286</v>
      </c>
      <c r="B1972" s="11">
        <f>Daily_Data!J1972</f>
        <v>16.81</v>
      </c>
      <c r="C1972" s="11">
        <f>Daily_Data!I1972</f>
        <v>2.96</v>
      </c>
      <c r="D1972" s="12">
        <f>if(sum(Daily_Data!K1972:L1972)&gt;0,1,0)</f>
        <v>0</v>
      </c>
    </row>
    <row r="1973">
      <c r="A1973" s="10">
        <f>Daily_Data!A1973</f>
        <v>39287</v>
      </c>
      <c r="B1973" s="11">
        <f>Daily_Data!J1973</f>
        <v>18.55</v>
      </c>
      <c r="C1973" s="11">
        <f>Daily_Data!I1973</f>
        <v>3.03</v>
      </c>
      <c r="D1973" s="12">
        <f>if(sum(Daily_Data!K1973:L1973)&gt;0,1,0)</f>
        <v>0</v>
      </c>
    </row>
    <row r="1974">
      <c r="A1974" s="10">
        <f>Daily_Data!A1974</f>
        <v>39288</v>
      </c>
      <c r="B1974" s="11">
        <f>Daily_Data!J1974</f>
        <v>18.1</v>
      </c>
      <c r="C1974" s="11">
        <f>Daily_Data!I1974</f>
        <v>3.06</v>
      </c>
      <c r="D1974" s="12">
        <f>if(sum(Daily_Data!K1974:L1974)&gt;0,1,0)</f>
        <v>0</v>
      </c>
    </row>
    <row r="1975">
      <c r="A1975" s="10">
        <f>Daily_Data!A1975</f>
        <v>39289</v>
      </c>
      <c r="B1975" s="11">
        <f>Daily_Data!J1975</f>
        <v>20.74</v>
      </c>
      <c r="C1975" s="11">
        <f>Daily_Data!I1975</f>
        <v>3.25</v>
      </c>
      <c r="D1975" s="12">
        <f>if(sum(Daily_Data!K1975:L1975)&gt;0,1,0)</f>
        <v>0</v>
      </c>
    </row>
    <row r="1976">
      <c r="A1976" s="10">
        <f>Daily_Data!A1976</f>
        <v>39290</v>
      </c>
      <c r="B1976" s="11">
        <f>Daily_Data!J1976</f>
        <v>24.17</v>
      </c>
      <c r="C1976" s="11">
        <f>Daily_Data!I1976</f>
        <v>3.19</v>
      </c>
      <c r="D1976" s="12">
        <f>if(sum(Daily_Data!K1976:L1976)&gt;0,1,0)</f>
        <v>0</v>
      </c>
    </row>
    <row r="1977">
      <c r="A1977" s="10">
        <f>Daily_Data!A1977</f>
        <v>39293</v>
      </c>
      <c r="B1977" s="11">
        <f>Daily_Data!J1977</f>
        <v>20.87</v>
      </c>
      <c r="C1977" s="11">
        <f>Daily_Data!I1977</f>
        <v>3.18</v>
      </c>
      <c r="D1977" s="12">
        <f>if(sum(Daily_Data!K1977:L1977)&gt;0,1,0)</f>
        <v>0</v>
      </c>
    </row>
    <row r="1978">
      <c r="A1978" s="10">
        <f>Daily_Data!A1978</f>
        <v>39294</v>
      </c>
      <c r="B1978" s="11">
        <f>Daily_Data!J1978</f>
        <v>23.52</v>
      </c>
      <c r="C1978" s="11">
        <f>Daily_Data!I1978</f>
        <v>3.26</v>
      </c>
      <c r="D1978" s="12">
        <f>if(sum(Daily_Data!K1978:L1978)&gt;0,1,0)</f>
        <v>0</v>
      </c>
    </row>
    <row r="1979">
      <c r="A1979" s="10">
        <f>Daily_Data!A1979</f>
        <v>39295</v>
      </c>
      <c r="B1979" s="11">
        <f>Daily_Data!J1979</f>
        <v>23.67</v>
      </c>
      <c r="C1979" s="11">
        <f>Daily_Data!I1979</f>
        <v>3.29</v>
      </c>
      <c r="D1979" s="12">
        <f>if(sum(Daily_Data!K1979:L1979)&gt;0,1,0)</f>
        <v>0</v>
      </c>
    </row>
    <row r="1980">
      <c r="A1980" s="10">
        <f>Daily_Data!A1980</f>
        <v>39296</v>
      </c>
      <c r="B1980" s="11">
        <f>Daily_Data!J1980</f>
        <v>21.22</v>
      </c>
      <c r="C1980" s="11">
        <f>Daily_Data!I1980</f>
        <v>3.27</v>
      </c>
      <c r="D1980" s="12">
        <f>if(sum(Daily_Data!K1980:L1980)&gt;0,1,0)</f>
        <v>0</v>
      </c>
    </row>
    <row r="1981">
      <c r="A1981" s="10">
        <f>Daily_Data!A1981</f>
        <v>39297</v>
      </c>
      <c r="B1981" s="11">
        <f>Daily_Data!J1981</f>
        <v>25.16</v>
      </c>
      <c r="C1981" s="11">
        <f>Daily_Data!I1981</f>
        <v>3.34</v>
      </c>
      <c r="D1981" s="12">
        <f>if(sum(Daily_Data!K1981:L1981)&gt;0,1,0)</f>
        <v>1</v>
      </c>
    </row>
    <row r="1982">
      <c r="A1982" s="10">
        <f>Daily_Data!A1982</f>
        <v>39300</v>
      </c>
      <c r="B1982" s="11">
        <f>Daily_Data!J1982</f>
        <v>22.94</v>
      </c>
      <c r="C1982" s="11">
        <f>Daily_Data!I1982</f>
        <v>3.3</v>
      </c>
      <c r="D1982" s="12">
        <f>if(sum(Daily_Data!K1982:L1982)&gt;0,1,0)</f>
        <v>0</v>
      </c>
    </row>
    <row r="1983">
      <c r="A1983" s="10">
        <f>Daily_Data!A1983</f>
        <v>39301</v>
      </c>
      <c r="B1983" s="11">
        <f>Daily_Data!J1983</f>
        <v>21.56</v>
      </c>
      <c r="C1983" s="11">
        <f>Daily_Data!I1983</f>
        <v>3.22</v>
      </c>
      <c r="D1983" s="12">
        <f>if(sum(Daily_Data!K1983:L1983)&gt;0,1,0)</f>
        <v>0</v>
      </c>
    </row>
    <row r="1984">
      <c r="A1984" s="10">
        <f>Daily_Data!A1984</f>
        <v>39302</v>
      </c>
      <c r="B1984" s="11">
        <f>Daily_Data!J1984</f>
        <v>21.45</v>
      </c>
      <c r="C1984" s="11">
        <f>Daily_Data!I1984</f>
        <v>3.16</v>
      </c>
      <c r="D1984" s="12">
        <f>if(sum(Daily_Data!K1984:L1984)&gt;0,1,0)</f>
        <v>0</v>
      </c>
    </row>
    <row r="1985">
      <c r="A1985" s="10">
        <f>Daily_Data!A1985</f>
        <v>39303</v>
      </c>
      <c r="B1985" s="11">
        <f>Daily_Data!J1985</f>
        <v>26.48</v>
      </c>
      <c r="C1985" s="11">
        <f>Daily_Data!I1985</f>
        <v>3.33</v>
      </c>
      <c r="D1985" s="12">
        <f>if(sum(Daily_Data!K1985:L1985)&gt;0,1,0)</f>
        <v>0</v>
      </c>
    </row>
    <row r="1986">
      <c r="A1986" s="10">
        <f>Daily_Data!A1986</f>
        <v>39304</v>
      </c>
      <c r="B1986" s="11">
        <f>Daily_Data!J1986</f>
        <v>28.3</v>
      </c>
      <c r="C1986" s="11">
        <f>Daily_Data!I1986</f>
        <v>3.18</v>
      </c>
      <c r="D1986" s="12">
        <f>if(sum(Daily_Data!K1986:L1986)&gt;0,1,0)</f>
        <v>0</v>
      </c>
    </row>
    <row r="1987">
      <c r="A1987" s="10">
        <f>Daily_Data!A1987</f>
        <v>39307</v>
      </c>
      <c r="B1987" s="11">
        <f>Daily_Data!J1987</f>
        <v>26.57</v>
      </c>
      <c r="C1987" s="11">
        <f>Daily_Data!I1987</f>
        <v>3.2</v>
      </c>
      <c r="D1987" s="12">
        <f>if(sum(Daily_Data!K1987:L1987)&gt;0,1,0)</f>
        <v>0</v>
      </c>
    </row>
    <row r="1988">
      <c r="A1988" s="10">
        <f>Daily_Data!A1988</f>
        <v>39308</v>
      </c>
      <c r="B1988" s="11">
        <f>Daily_Data!J1988</f>
        <v>27.68</v>
      </c>
      <c r="C1988" s="11">
        <f>Daily_Data!I1988</f>
        <v>3.23</v>
      </c>
      <c r="D1988" s="12">
        <f>if(sum(Daily_Data!K1988:L1988)&gt;0,1,0)</f>
        <v>0</v>
      </c>
    </row>
    <row r="1989">
      <c r="A1989" s="10">
        <f>Daily_Data!A1989</f>
        <v>39309</v>
      </c>
      <c r="B1989" s="11">
        <f>Daily_Data!J1989</f>
        <v>30.67</v>
      </c>
      <c r="C1989" s="11">
        <f>Daily_Data!I1989</f>
        <v>3.35</v>
      </c>
      <c r="D1989" s="12">
        <f>if(sum(Daily_Data!K1989:L1989)&gt;0,1,0)</f>
        <v>1</v>
      </c>
    </row>
    <row r="1990">
      <c r="A1990" s="10">
        <f>Daily_Data!A1990</f>
        <v>39310</v>
      </c>
      <c r="B1990" s="11">
        <f>Daily_Data!J1990</f>
        <v>30.83</v>
      </c>
      <c r="C1990" s="11">
        <f>Daily_Data!I1990</f>
        <v>3.4</v>
      </c>
      <c r="D1990" s="12">
        <f>if(sum(Daily_Data!K1990:L1990)&gt;0,1,0)</f>
        <v>0</v>
      </c>
    </row>
    <row r="1991">
      <c r="A1991" s="10">
        <f>Daily_Data!A1991</f>
        <v>39311</v>
      </c>
      <c r="B1991" s="11">
        <f>Daily_Data!J1991</f>
        <v>29.99</v>
      </c>
      <c r="C1991" s="11">
        <f>Daily_Data!I1991</f>
        <v>3.17</v>
      </c>
      <c r="D1991" s="12">
        <f>if(sum(Daily_Data!K1991:L1991)&gt;0,1,0)</f>
        <v>0</v>
      </c>
    </row>
    <row r="1992">
      <c r="A1992" s="10">
        <f>Daily_Data!A1992</f>
        <v>39314</v>
      </c>
      <c r="B1992" s="11">
        <f>Daily_Data!J1992</f>
        <v>26.33</v>
      </c>
      <c r="C1992" s="11">
        <f>Daily_Data!I1992</f>
        <v>3.32</v>
      </c>
      <c r="D1992" s="12">
        <f>if(sum(Daily_Data!K1992:L1992)&gt;0,1,0)</f>
        <v>0</v>
      </c>
    </row>
    <row r="1993">
      <c r="A1993" s="10">
        <f>Daily_Data!A1993</f>
        <v>39315</v>
      </c>
      <c r="B1993" s="11">
        <f>Daily_Data!J1993</f>
        <v>25.25</v>
      </c>
      <c r="C1993" s="11">
        <f>Daily_Data!I1993</f>
        <v>3.32</v>
      </c>
      <c r="D1993" s="12">
        <f>if(sum(Daily_Data!K1993:L1993)&gt;0,1,0)</f>
        <v>0</v>
      </c>
    </row>
    <row r="1994">
      <c r="A1994" s="10">
        <f>Daily_Data!A1994</f>
        <v>39316</v>
      </c>
      <c r="B1994" s="11">
        <f>Daily_Data!J1994</f>
        <v>22.89</v>
      </c>
      <c r="C1994" s="11">
        <f>Daily_Data!I1994</f>
        <v>3.01</v>
      </c>
      <c r="D1994" s="12">
        <f>if(sum(Daily_Data!K1994:L1994)&gt;0,1,0)</f>
        <v>0</v>
      </c>
    </row>
    <row r="1995">
      <c r="A1995" s="10">
        <f>Daily_Data!A1995</f>
        <v>39317</v>
      </c>
      <c r="B1995" s="11">
        <f>Daily_Data!J1995</f>
        <v>22.62</v>
      </c>
      <c r="C1995" s="11">
        <f>Daily_Data!I1995</f>
        <v>3.29</v>
      </c>
      <c r="D1995" s="12">
        <f>if(sum(Daily_Data!K1995:L1995)&gt;0,1,0)</f>
        <v>0</v>
      </c>
    </row>
    <row r="1996">
      <c r="A1996" s="10">
        <f>Daily_Data!A1996</f>
        <v>39318</v>
      </c>
      <c r="B1996" s="11">
        <f>Daily_Data!J1996</f>
        <v>20.72</v>
      </c>
      <c r="C1996" s="11">
        <f>Daily_Data!I1996</f>
        <v>3.15</v>
      </c>
      <c r="D1996" s="12">
        <f>if(sum(Daily_Data!K1996:L1996)&gt;0,1,0)</f>
        <v>0</v>
      </c>
    </row>
    <row r="1997">
      <c r="A1997" s="10">
        <f>Daily_Data!A1997</f>
        <v>39321</v>
      </c>
      <c r="B1997" s="11">
        <f>Daily_Data!J1997</f>
        <v>22.72</v>
      </c>
      <c r="C1997" s="11">
        <f>Daily_Data!I1997</f>
        <v>3.19</v>
      </c>
      <c r="D1997" s="12">
        <f>if(sum(Daily_Data!K1997:L1997)&gt;0,1,0)</f>
        <v>0</v>
      </c>
    </row>
    <row r="1998">
      <c r="A1998" s="10">
        <f>Daily_Data!A1998</f>
        <v>39322</v>
      </c>
      <c r="B1998" s="11">
        <f>Daily_Data!J1998</f>
        <v>26.3</v>
      </c>
      <c r="C1998" s="11">
        <f>Daily_Data!I1998</f>
        <v>3.33</v>
      </c>
      <c r="D1998" s="12">
        <f>if(sum(Daily_Data!K1998:L1998)&gt;0,1,0)</f>
        <v>0</v>
      </c>
    </row>
    <row r="1999">
      <c r="A1999" s="10">
        <f>Daily_Data!A1999</f>
        <v>39323</v>
      </c>
      <c r="B1999" s="11">
        <f>Daily_Data!J1999</f>
        <v>23.81</v>
      </c>
      <c r="C1999" s="11">
        <f>Daily_Data!I1999</f>
        <v>3.26</v>
      </c>
      <c r="D1999" s="12">
        <f>if(sum(Daily_Data!K1999:L1999)&gt;0,1,0)</f>
        <v>0</v>
      </c>
    </row>
    <row r="2000">
      <c r="A2000" s="10">
        <f>Daily_Data!A2000</f>
        <v>39324</v>
      </c>
      <c r="B2000" s="11">
        <f>Daily_Data!J2000</f>
        <v>25.06</v>
      </c>
      <c r="C2000" s="11">
        <f>Daily_Data!I2000</f>
        <v>3.26</v>
      </c>
      <c r="D2000" s="12">
        <f>if(sum(Daily_Data!K2000:L2000)&gt;0,1,0)</f>
        <v>0</v>
      </c>
    </row>
    <row r="2001">
      <c r="A2001" s="10">
        <f>Daily_Data!A2001</f>
        <v>39325</v>
      </c>
      <c r="B2001" s="11">
        <f>Daily_Data!J2001</f>
        <v>23.38</v>
      </c>
      <c r="C2001" s="11">
        <f>Daily_Data!I2001</f>
        <v>3.05</v>
      </c>
      <c r="D2001" s="12">
        <f>if(sum(Daily_Data!K2001:L2001)&gt;0,1,0)</f>
        <v>0</v>
      </c>
    </row>
    <row r="2002">
      <c r="A2002" s="10">
        <f>Daily_Data!A2002</f>
        <v>39328</v>
      </c>
      <c r="B2002" s="11" t="str">
        <f>Daily_Data!J2002</f>
        <v/>
      </c>
      <c r="C2002" s="11" t="str">
        <f>Daily_Data!I2002</f>
        <v/>
      </c>
      <c r="D2002" s="12">
        <f>if(sum(Daily_Data!K2002:L2002)&gt;0,1,0)</f>
        <v>0</v>
      </c>
    </row>
    <row r="2003">
      <c r="A2003" s="10">
        <f>Daily_Data!A2003</f>
        <v>39329</v>
      </c>
      <c r="B2003" s="11">
        <f>Daily_Data!J2003</f>
        <v>22.78</v>
      </c>
      <c r="C2003" s="11">
        <f>Daily_Data!I2003</f>
        <v>2.96</v>
      </c>
      <c r="D2003" s="12">
        <f>if(sum(Daily_Data!K2003:L2003)&gt;0,1,0)</f>
        <v>0</v>
      </c>
    </row>
    <row r="2004">
      <c r="A2004" s="10">
        <f>Daily_Data!A2004</f>
        <v>39330</v>
      </c>
      <c r="B2004" s="11">
        <f>Daily_Data!J2004</f>
        <v>24.58</v>
      </c>
      <c r="C2004" s="11">
        <f>Daily_Data!I2004</f>
        <v>3.06</v>
      </c>
      <c r="D2004" s="12">
        <f>if(sum(Daily_Data!K2004:L2004)&gt;0,1,0)</f>
        <v>0</v>
      </c>
    </row>
    <row r="2005">
      <c r="A2005" s="10">
        <f>Daily_Data!A2005</f>
        <v>39331</v>
      </c>
      <c r="B2005" s="11">
        <f>Daily_Data!J2005</f>
        <v>23.99</v>
      </c>
      <c r="C2005" s="11">
        <f>Daily_Data!I2005</f>
        <v>2.77</v>
      </c>
      <c r="D2005" s="12">
        <f>if(sum(Daily_Data!K2005:L2005)&gt;0,1,0)</f>
        <v>0</v>
      </c>
    </row>
    <row r="2006">
      <c r="A2006" s="10">
        <f>Daily_Data!A2006</f>
        <v>39332</v>
      </c>
      <c r="B2006" s="11">
        <f>Daily_Data!J2006</f>
        <v>26.23</v>
      </c>
      <c r="C2006" s="11">
        <f>Daily_Data!I2006</f>
        <v>2.95</v>
      </c>
      <c r="D2006" s="12">
        <f>if(sum(Daily_Data!K2006:L2006)&gt;0,1,0)</f>
        <v>1</v>
      </c>
    </row>
    <row r="2007">
      <c r="A2007" s="10">
        <f>Daily_Data!A2007</f>
        <v>39335</v>
      </c>
      <c r="B2007" s="11">
        <f>Daily_Data!J2007</f>
        <v>27.38</v>
      </c>
      <c r="C2007" s="11">
        <f>Daily_Data!I2007</f>
        <v>2.91</v>
      </c>
      <c r="D2007" s="12">
        <f>if(sum(Daily_Data!K2007:L2007)&gt;0,1,0)</f>
        <v>0</v>
      </c>
    </row>
    <row r="2008">
      <c r="A2008" s="10">
        <f>Daily_Data!A2008</f>
        <v>39336</v>
      </c>
      <c r="B2008" s="11">
        <f>Daily_Data!J2008</f>
        <v>25.27</v>
      </c>
      <c r="C2008" s="11">
        <f>Daily_Data!I2008</f>
        <v>2.77</v>
      </c>
      <c r="D2008" s="12">
        <f>if(sum(Daily_Data!K2008:L2008)&gt;0,1,0)</f>
        <v>0</v>
      </c>
    </row>
    <row r="2009">
      <c r="A2009" s="10">
        <f>Daily_Data!A2009</f>
        <v>39337</v>
      </c>
      <c r="B2009" s="11">
        <f>Daily_Data!J2009</f>
        <v>24.96</v>
      </c>
      <c r="C2009" s="11">
        <f>Daily_Data!I2009</f>
        <v>2.81</v>
      </c>
      <c r="D2009" s="12">
        <f>if(sum(Daily_Data!K2009:L2009)&gt;0,1,0)</f>
        <v>0</v>
      </c>
    </row>
    <row r="2010">
      <c r="A2010" s="10">
        <f>Daily_Data!A2010</f>
        <v>39338</v>
      </c>
      <c r="B2010" s="11">
        <f>Daily_Data!J2010</f>
        <v>24.76</v>
      </c>
      <c r="C2010" s="11">
        <f>Daily_Data!I2010</f>
        <v>2.76</v>
      </c>
      <c r="D2010" s="12">
        <f>if(sum(Daily_Data!K2010:L2010)&gt;0,1,0)</f>
        <v>0</v>
      </c>
    </row>
    <row r="2011">
      <c r="A2011" s="10">
        <f>Daily_Data!A2011</f>
        <v>39339</v>
      </c>
      <c r="B2011" s="11">
        <f>Daily_Data!J2011</f>
        <v>24.92</v>
      </c>
      <c r="C2011" s="11">
        <f>Daily_Data!I2011</f>
        <v>2.82</v>
      </c>
      <c r="D2011" s="12">
        <f>if(sum(Daily_Data!K2011:L2011)&gt;0,1,0)</f>
        <v>0</v>
      </c>
    </row>
    <row r="2012">
      <c r="A2012" s="10">
        <f>Daily_Data!A2012</f>
        <v>39342</v>
      </c>
      <c r="B2012" s="11">
        <f>Daily_Data!J2012</f>
        <v>26.48</v>
      </c>
      <c r="C2012" s="11">
        <f>Daily_Data!I2012</f>
        <v>2.76</v>
      </c>
      <c r="D2012" s="12">
        <f>if(sum(Daily_Data!K2012:L2012)&gt;0,1,0)</f>
        <v>0</v>
      </c>
    </row>
    <row r="2013">
      <c r="A2013" s="10">
        <f>Daily_Data!A2013</f>
        <v>39343</v>
      </c>
      <c r="B2013" s="11">
        <f>Daily_Data!J2013</f>
        <v>20.35</v>
      </c>
      <c r="C2013" s="11">
        <f>Daily_Data!I2013</f>
        <v>2.93</v>
      </c>
      <c r="D2013" s="12">
        <f>if(sum(Daily_Data!K2013:L2013)&gt;0,1,0)</f>
        <v>0</v>
      </c>
    </row>
    <row r="2014">
      <c r="A2014" s="10">
        <f>Daily_Data!A2014</f>
        <v>39344</v>
      </c>
      <c r="B2014" s="11">
        <f>Daily_Data!J2014</f>
        <v>20.03</v>
      </c>
      <c r="C2014" s="11">
        <f>Daily_Data!I2014</f>
        <v>2.92</v>
      </c>
      <c r="D2014" s="12">
        <f>if(sum(Daily_Data!K2014:L2014)&gt;0,1,0)</f>
        <v>1</v>
      </c>
    </row>
    <row r="2015">
      <c r="A2015" s="10">
        <f>Daily_Data!A2015</f>
        <v>39345</v>
      </c>
      <c r="B2015" s="11">
        <f>Daily_Data!J2015</f>
        <v>20.45</v>
      </c>
      <c r="C2015" s="11">
        <f>Daily_Data!I2015</f>
        <v>2.92</v>
      </c>
      <c r="D2015" s="12">
        <f>if(sum(Daily_Data!K2015:L2015)&gt;0,1,0)</f>
        <v>0</v>
      </c>
    </row>
    <row r="2016">
      <c r="A2016" s="10">
        <f>Daily_Data!A2016</f>
        <v>39346</v>
      </c>
      <c r="B2016" s="11">
        <f>Daily_Data!J2016</f>
        <v>19</v>
      </c>
      <c r="C2016" s="11">
        <f>Daily_Data!I2016</f>
        <v>3</v>
      </c>
      <c r="D2016" s="12">
        <f>if(sum(Daily_Data!K2016:L2016)&gt;0,1,0)</f>
        <v>0</v>
      </c>
    </row>
    <row r="2017">
      <c r="A2017" s="10">
        <f>Daily_Data!A2017</f>
        <v>39349</v>
      </c>
      <c r="B2017" s="11">
        <f>Daily_Data!J2017</f>
        <v>19.37</v>
      </c>
      <c r="C2017" s="11">
        <f>Daily_Data!I2017</f>
        <v>2.97</v>
      </c>
      <c r="D2017" s="12">
        <f>if(sum(Daily_Data!K2017:L2017)&gt;0,1,0)</f>
        <v>0</v>
      </c>
    </row>
    <row r="2018">
      <c r="A2018" s="10">
        <f>Daily_Data!A2018</f>
        <v>39350</v>
      </c>
      <c r="B2018" s="11">
        <f>Daily_Data!J2018</f>
        <v>18.6</v>
      </c>
      <c r="C2018" s="11">
        <f>Daily_Data!I2018</f>
        <v>3.03</v>
      </c>
      <c r="D2018" s="12">
        <f>if(sum(Daily_Data!K2018:L2018)&gt;0,1,0)</f>
        <v>0</v>
      </c>
    </row>
    <row r="2019">
      <c r="A2019" s="10">
        <f>Daily_Data!A2019</f>
        <v>39351</v>
      </c>
      <c r="B2019" s="11">
        <f>Daily_Data!J2019</f>
        <v>17.63</v>
      </c>
      <c r="C2019" s="11">
        <f>Daily_Data!I2019</f>
        <v>3.02</v>
      </c>
      <c r="D2019" s="12">
        <f>if(sum(Daily_Data!K2019:L2019)&gt;0,1,0)</f>
        <v>0</v>
      </c>
    </row>
    <row r="2020">
      <c r="A2020" s="10">
        <f>Daily_Data!A2020</f>
        <v>39352</v>
      </c>
      <c r="B2020" s="11">
        <f>Daily_Data!J2020</f>
        <v>17</v>
      </c>
      <c r="C2020" s="11">
        <f>Daily_Data!I2020</f>
        <v>3.02</v>
      </c>
      <c r="D2020" s="12">
        <f>if(sum(Daily_Data!K2020:L2020)&gt;0,1,0)</f>
        <v>0</v>
      </c>
    </row>
    <row r="2021">
      <c r="A2021" s="10">
        <f>Daily_Data!A2021</f>
        <v>39353</v>
      </c>
      <c r="B2021" s="11">
        <f>Daily_Data!J2021</f>
        <v>18</v>
      </c>
      <c r="C2021" s="11">
        <f>Daily_Data!I2021</f>
        <v>3</v>
      </c>
      <c r="D2021" s="12">
        <f>if(sum(Daily_Data!K2021:L2021)&gt;0,1,0)</f>
        <v>0</v>
      </c>
    </row>
    <row r="2022">
      <c r="A2022" s="10">
        <f>Daily_Data!A2022</f>
        <v>39356</v>
      </c>
      <c r="B2022" s="11">
        <f>Daily_Data!J2022</f>
        <v>17.84</v>
      </c>
      <c r="C2022" s="11">
        <f>Daily_Data!I2022</f>
        <v>2.94</v>
      </c>
      <c r="D2022" s="12">
        <f>if(sum(Daily_Data!K2022:L2022)&gt;0,1,0)</f>
        <v>0</v>
      </c>
    </row>
    <row r="2023">
      <c r="A2023" s="10">
        <f>Daily_Data!A2023</f>
        <v>39357</v>
      </c>
      <c r="B2023" s="11">
        <f>Daily_Data!J2023</f>
        <v>18.49</v>
      </c>
      <c r="C2023" s="11">
        <f>Daily_Data!I2023</f>
        <v>3</v>
      </c>
      <c r="D2023" s="12">
        <f>if(sum(Daily_Data!K2023:L2023)&gt;0,1,0)</f>
        <v>0</v>
      </c>
    </row>
    <row r="2024">
      <c r="A2024" s="10">
        <f>Daily_Data!A2024</f>
        <v>39358</v>
      </c>
      <c r="B2024" s="11">
        <f>Daily_Data!J2024</f>
        <v>18.8</v>
      </c>
      <c r="C2024" s="11">
        <f>Daily_Data!I2024</f>
        <v>2.97</v>
      </c>
      <c r="D2024" s="12">
        <f>if(sum(Daily_Data!K2024:L2024)&gt;0,1,0)</f>
        <v>0</v>
      </c>
    </row>
    <row r="2025">
      <c r="A2025" s="10">
        <f>Daily_Data!A2025</f>
        <v>39359</v>
      </c>
      <c r="B2025" s="11">
        <f>Daily_Data!J2025</f>
        <v>18.44</v>
      </c>
      <c r="C2025" s="11">
        <f>Daily_Data!I2025</f>
        <v>2.98</v>
      </c>
      <c r="D2025" s="12">
        <f>if(sum(Daily_Data!K2025:L2025)&gt;0,1,0)</f>
        <v>0</v>
      </c>
    </row>
    <row r="2026">
      <c r="A2026" s="10">
        <f>Daily_Data!A2026</f>
        <v>39360</v>
      </c>
      <c r="B2026" s="11">
        <f>Daily_Data!J2026</f>
        <v>16.91</v>
      </c>
      <c r="C2026" s="11">
        <f>Daily_Data!I2026</f>
        <v>2.9</v>
      </c>
      <c r="D2026" s="12">
        <f>if(sum(Daily_Data!K2026:L2026)&gt;0,1,0)</f>
        <v>1</v>
      </c>
    </row>
    <row r="2027">
      <c r="A2027" s="10">
        <f>Daily_Data!A2027</f>
        <v>39363</v>
      </c>
      <c r="B2027" s="11">
        <f>Daily_Data!J2027</f>
        <v>17.46</v>
      </c>
      <c r="C2027" s="11" t="str">
        <f>Daily_Data!I2027</f>
        <v/>
      </c>
      <c r="D2027" s="12">
        <f>if(sum(Daily_Data!K2027:L2027)&gt;0,1,0)</f>
        <v>0</v>
      </c>
    </row>
    <row r="2028">
      <c r="A2028" s="10">
        <f>Daily_Data!A2028</f>
        <v>39364</v>
      </c>
      <c r="B2028" s="11">
        <f>Daily_Data!J2028</f>
        <v>16.12</v>
      </c>
      <c r="C2028" s="11">
        <f>Daily_Data!I2028</f>
        <v>2.87</v>
      </c>
      <c r="D2028" s="12">
        <f>if(sum(Daily_Data!K2028:L2028)&gt;0,1,0)</f>
        <v>0</v>
      </c>
    </row>
    <row r="2029">
      <c r="A2029" s="10">
        <f>Daily_Data!A2029</f>
        <v>39365</v>
      </c>
      <c r="B2029" s="11">
        <f>Daily_Data!J2029</f>
        <v>16.67</v>
      </c>
      <c r="C2029" s="11">
        <f>Daily_Data!I2029</f>
        <v>2.85</v>
      </c>
      <c r="D2029" s="12">
        <f>if(sum(Daily_Data!K2029:L2029)&gt;0,1,0)</f>
        <v>0</v>
      </c>
    </row>
    <row r="2030">
      <c r="A2030" s="10">
        <f>Daily_Data!A2030</f>
        <v>39366</v>
      </c>
      <c r="B2030" s="11">
        <f>Daily_Data!J2030</f>
        <v>18.88</v>
      </c>
      <c r="C2030" s="11">
        <f>Daily_Data!I2030</f>
        <v>2.87</v>
      </c>
      <c r="D2030" s="12">
        <f>if(sum(Daily_Data!K2030:L2030)&gt;0,1,0)</f>
        <v>0</v>
      </c>
    </row>
    <row r="2031">
      <c r="A2031" s="10">
        <f>Daily_Data!A2031</f>
        <v>39367</v>
      </c>
      <c r="B2031" s="11">
        <f>Daily_Data!J2031</f>
        <v>17.73</v>
      </c>
      <c r="C2031" s="11">
        <f>Daily_Data!I2031</f>
        <v>2.78</v>
      </c>
      <c r="D2031" s="12">
        <f>if(sum(Daily_Data!K2031:L2031)&gt;0,1,0)</f>
        <v>0</v>
      </c>
    </row>
    <row r="2032">
      <c r="A2032" s="10">
        <f>Daily_Data!A2032</f>
        <v>39370</v>
      </c>
      <c r="B2032" s="11">
        <f>Daily_Data!J2032</f>
        <v>19.25</v>
      </c>
      <c r="C2032" s="11">
        <f>Daily_Data!I2032</f>
        <v>2.84</v>
      </c>
      <c r="D2032" s="12">
        <f>if(sum(Daily_Data!K2032:L2032)&gt;0,1,0)</f>
        <v>0</v>
      </c>
    </row>
    <row r="2033">
      <c r="A2033" s="10">
        <f>Daily_Data!A2033</f>
        <v>39371</v>
      </c>
      <c r="B2033" s="11">
        <f>Daily_Data!J2033</f>
        <v>20.02</v>
      </c>
      <c r="C2033" s="11">
        <f>Daily_Data!I2033</f>
        <v>2.94</v>
      </c>
      <c r="D2033" s="12">
        <f>if(sum(Daily_Data!K2033:L2033)&gt;0,1,0)</f>
        <v>0</v>
      </c>
    </row>
    <row r="2034">
      <c r="A2034" s="10">
        <f>Daily_Data!A2034</f>
        <v>39372</v>
      </c>
      <c r="B2034" s="11">
        <f>Daily_Data!J2034</f>
        <v>18.54</v>
      </c>
      <c r="C2034" s="11">
        <f>Daily_Data!I2034</f>
        <v>3.13</v>
      </c>
      <c r="D2034" s="12">
        <f>if(sum(Daily_Data!K2034:L2034)&gt;0,1,0)</f>
        <v>1</v>
      </c>
    </row>
    <row r="2035">
      <c r="A2035" s="10">
        <f>Daily_Data!A2035</f>
        <v>39373</v>
      </c>
      <c r="B2035" s="11">
        <f>Daily_Data!J2035</f>
        <v>18.5</v>
      </c>
      <c r="C2035" s="11">
        <f>Daily_Data!I2035</f>
        <v>3.18</v>
      </c>
      <c r="D2035" s="12">
        <f>if(sum(Daily_Data!K2035:L2035)&gt;0,1,0)</f>
        <v>0</v>
      </c>
    </row>
    <row r="2036">
      <c r="A2036" s="10">
        <f>Daily_Data!A2036</f>
        <v>39374</v>
      </c>
      <c r="B2036" s="11">
        <f>Daily_Data!J2036</f>
        <v>22.96</v>
      </c>
      <c r="C2036" s="11">
        <f>Daily_Data!I2036</f>
        <v>3.23</v>
      </c>
      <c r="D2036" s="12">
        <f>if(sum(Daily_Data!K2036:L2036)&gt;0,1,0)</f>
        <v>0</v>
      </c>
    </row>
    <row r="2037">
      <c r="A2037" s="10">
        <f>Daily_Data!A2037</f>
        <v>39377</v>
      </c>
      <c r="B2037" s="11">
        <f>Daily_Data!J2037</f>
        <v>21.64</v>
      </c>
      <c r="C2037" s="11" t="str">
        <f>Daily_Data!I2037</f>
        <v/>
      </c>
      <c r="D2037" s="12">
        <f>if(sum(Daily_Data!K2037:L2037)&gt;0,1,0)</f>
        <v>0</v>
      </c>
    </row>
    <row r="2038">
      <c r="A2038" s="10">
        <f>Daily_Data!A2038</f>
        <v>39378</v>
      </c>
      <c r="B2038" s="11">
        <f>Daily_Data!J2038</f>
        <v>20.41</v>
      </c>
      <c r="C2038" s="11">
        <f>Daily_Data!I2038</f>
        <v>3.19</v>
      </c>
      <c r="D2038" s="12">
        <f>if(sum(Daily_Data!K2038:L2038)&gt;0,1,0)</f>
        <v>0</v>
      </c>
    </row>
    <row r="2039">
      <c r="A2039" s="10">
        <f>Daily_Data!A2039</f>
        <v>39379</v>
      </c>
      <c r="B2039" s="11">
        <f>Daily_Data!J2039</f>
        <v>20.8</v>
      </c>
      <c r="C2039" s="11">
        <f>Daily_Data!I2039</f>
        <v>3.25</v>
      </c>
      <c r="D2039" s="12">
        <f>if(sum(Daily_Data!K2039:L2039)&gt;0,1,0)</f>
        <v>0</v>
      </c>
    </row>
    <row r="2040">
      <c r="A2040" s="10">
        <f>Daily_Data!A2040</f>
        <v>39380</v>
      </c>
      <c r="B2040" s="11">
        <f>Daily_Data!J2040</f>
        <v>21.17</v>
      </c>
      <c r="C2040" s="11">
        <f>Daily_Data!I2040</f>
        <v>3.28</v>
      </c>
      <c r="D2040" s="12">
        <f>if(sum(Daily_Data!K2040:L2040)&gt;0,1,0)</f>
        <v>0</v>
      </c>
    </row>
    <row r="2041">
      <c r="A2041" s="10">
        <f>Daily_Data!A2041</f>
        <v>39381</v>
      </c>
      <c r="B2041" s="11">
        <f>Daily_Data!J2041</f>
        <v>19.56</v>
      </c>
      <c r="C2041" s="11">
        <f>Daily_Data!I2041</f>
        <v>3.25</v>
      </c>
      <c r="D2041" s="12">
        <f>if(sum(Daily_Data!K2041:L2041)&gt;0,1,0)</f>
        <v>0</v>
      </c>
    </row>
    <row r="2042">
      <c r="A2042" s="10">
        <f>Daily_Data!A2042</f>
        <v>39384</v>
      </c>
      <c r="B2042" s="11">
        <f>Daily_Data!J2042</f>
        <v>19.87</v>
      </c>
      <c r="C2042" s="11">
        <f>Daily_Data!I2042</f>
        <v>3.32</v>
      </c>
      <c r="D2042" s="12">
        <f>if(sum(Daily_Data!K2042:L2042)&gt;0,1,0)</f>
        <v>0</v>
      </c>
    </row>
    <row r="2043">
      <c r="A2043" s="10">
        <f>Daily_Data!A2043</f>
        <v>39385</v>
      </c>
      <c r="B2043" s="11">
        <f>Daily_Data!J2043</f>
        <v>21.07</v>
      </c>
      <c r="C2043" s="11">
        <f>Daily_Data!I2043</f>
        <v>3.3</v>
      </c>
      <c r="D2043" s="12">
        <f>if(sum(Daily_Data!K2043:L2043)&gt;0,1,0)</f>
        <v>0</v>
      </c>
    </row>
    <row r="2044">
      <c r="A2044" s="10">
        <f>Daily_Data!A2044</f>
        <v>39386</v>
      </c>
      <c r="B2044" s="11">
        <f>Daily_Data!J2044</f>
        <v>18.53</v>
      </c>
      <c r="C2044" s="11">
        <f>Daily_Data!I2044</f>
        <v>3.23</v>
      </c>
      <c r="D2044" s="12">
        <f>if(sum(Daily_Data!K2044:L2044)&gt;0,1,0)</f>
        <v>0</v>
      </c>
    </row>
    <row r="2045">
      <c r="A2045" s="10">
        <f>Daily_Data!A2045</f>
        <v>39387</v>
      </c>
      <c r="B2045" s="11">
        <f>Daily_Data!J2045</f>
        <v>23.21</v>
      </c>
      <c r="C2045" s="11">
        <f>Daily_Data!I2045</f>
        <v>3.46</v>
      </c>
      <c r="D2045" s="12">
        <f>if(sum(Daily_Data!K2045:L2045)&gt;0,1,0)</f>
        <v>0</v>
      </c>
    </row>
    <row r="2046">
      <c r="A2046" s="10">
        <f>Daily_Data!A2046</f>
        <v>39388</v>
      </c>
      <c r="B2046" s="11">
        <f>Daily_Data!J2046</f>
        <v>23.01</v>
      </c>
      <c r="C2046" s="11">
        <f>Daily_Data!I2046</f>
        <v>3.55</v>
      </c>
      <c r="D2046" s="12">
        <f>if(sum(Daily_Data!K2046:L2046)&gt;0,1,0)</f>
        <v>1</v>
      </c>
    </row>
    <row r="2047">
      <c r="A2047" s="10">
        <f>Daily_Data!A2047</f>
        <v>39391</v>
      </c>
      <c r="B2047" s="11">
        <f>Daily_Data!J2047</f>
        <v>24.31</v>
      </c>
      <c r="C2047" s="11">
        <f>Daily_Data!I2047</f>
        <v>3.53</v>
      </c>
      <c r="D2047" s="12">
        <f>if(sum(Daily_Data!K2047:L2047)&gt;0,1,0)</f>
        <v>0</v>
      </c>
    </row>
    <row r="2048">
      <c r="A2048" s="10">
        <f>Daily_Data!A2048</f>
        <v>39392</v>
      </c>
      <c r="B2048" s="11">
        <f>Daily_Data!J2048</f>
        <v>21.39</v>
      </c>
      <c r="C2048" s="11">
        <f>Daily_Data!I2048</f>
        <v>3.64</v>
      </c>
      <c r="D2048" s="12">
        <f>if(sum(Daily_Data!K2048:L2048)&gt;0,1,0)</f>
        <v>0</v>
      </c>
    </row>
    <row r="2049">
      <c r="A2049" s="10">
        <f>Daily_Data!A2049</f>
        <v>39393</v>
      </c>
      <c r="B2049" s="11">
        <f>Daily_Data!J2049</f>
        <v>26.49</v>
      </c>
      <c r="C2049" s="11">
        <f>Daily_Data!I2049</f>
        <v>3.73</v>
      </c>
      <c r="D2049" s="12">
        <f>if(sum(Daily_Data!K2049:L2049)&gt;0,1,0)</f>
        <v>0</v>
      </c>
    </row>
    <row r="2050">
      <c r="A2050" s="10">
        <f>Daily_Data!A2050</f>
        <v>39394</v>
      </c>
      <c r="B2050" s="11">
        <f>Daily_Data!J2050</f>
        <v>26.16</v>
      </c>
      <c r="C2050" s="11">
        <f>Daily_Data!I2050</f>
        <v>3.86</v>
      </c>
      <c r="D2050" s="12">
        <f>if(sum(Daily_Data!K2050:L2050)&gt;0,1,0)</f>
        <v>0</v>
      </c>
    </row>
    <row r="2051">
      <c r="A2051" s="10">
        <f>Daily_Data!A2051</f>
        <v>39395</v>
      </c>
      <c r="B2051" s="11">
        <f>Daily_Data!J2051</f>
        <v>28.5</v>
      </c>
      <c r="C2051" s="11">
        <f>Daily_Data!I2051</f>
        <v>3.82</v>
      </c>
      <c r="D2051" s="12">
        <f>if(sum(Daily_Data!K2051:L2051)&gt;0,1,0)</f>
        <v>0</v>
      </c>
    </row>
    <row r="2052">
      <c r="A2052" s="10">
        <f>Daily_Data!A2052</f>
        <v>39398</v>
      </c>
      <c r="B2052" s="11">
        <f>Daily_Data!J2052</f>
        <v>31.09</v>
      </c>
      <c r="C2052" s="11" t="str">
        <f>Daily_Data!I2052</f>
        <v/>
      </c>
      <c r="D2052" s="12">
        <f>if(sum(Daily_Data!K2052:L2052)&gt;0,1,0)</f>
        <v>0</v>
      </c>
    </row>
    <row r="2053">
      <c r="A2053" s="10">
        <f>Daily_Data!A2053</f>
        <v>39399</v>
      </c>
      <c r="B2053" s="11">
        <f>Daily_Data!J2053</f>
        <v>24.1</v>
      </c>
      <c r="C2053" s="11">
        <f>Daily_Data!I2053</f>
        <v>3.66</v>
      </c>
      <c r="D2053" s="12">
        <f>if(sum(Daily_Data!K2053:L2053)&gt;0,1,0)</f>
        <v>0</v>
      </c>
    </row>
    <row r="2054">
      <c r="A2054" s="10">
        <f>Daily_Data!A2054</f>
        <v>39400</v>
      </c>
      <c r="B2054" s="11">
        <f>Daily_Data!J2054</f>
        <v>25.94</v>
      </c>
      <c r="C2054" s="11">
        <f>Daily_Data!I2054</f>
        <v>3.8</v>
      </c>
      <c r="D2054" s="12">
        <f>if(sum(Daily_Data!K2054:L2054)&gt;0,1,0)</f>
        <v>0</v>
      </c>
    </row>
    <row r="2055">
      <c r="A2055" s="10">
        <f>Daily_Data!A2055</f>
        <v>39401</v>
      </c>
      <c r="B2055" s="11">
        <f>Daily_Data!J2055</f>
        <v>28.06</v>
      </c>
      <c r="C2055" s="11">
        <f>Daily_Data!I2055</f>
        <v>4</v>
      </c>
      <c r="D2055" s="12">
        <f>if(sum(Daily_Data!K2055:L2055)&gt;0,1,0)</f>
        <v>1</v>
      </c>
    </row>
    <row r="2056">
      <c r="A2056" s="10">
        <f>Daily_Data!A2056</f>
        <v>39402</v>
      </c>
      <c r="B2056" s="11">
        <f>Daily_Data!J2056</f>
        <v>25.49</v>
      </c>
      <c r="C2056" s="11">
        <f>Daily_Data!I2056</f>
        <v>4.08</v>
      </c>
      <c r="D2056" s="12">
        <f>if(sum(Daily_Data!K2056:L2056)&gt;0,1,0)</f>
        <v>0</v>
      </c>
    </row>
    <row r="2057">
      <c r="A2057" s="10">
        <f>Daily_Data!A2057</f>
        <v>39405</v>
      </c>
      <c r="B2057" s="11">
        <f>Daily_Data!J2057</f>
        <v>26.01</v>
      </c>
      <c r="C2057" s="11">
        <f>Daily_Data!I2057</f>
        <v>4.22</v>
      </c>
      <c r="D2057" s="12">
        <f>if(sum(Daily_Data!K2057:L2057)&gt;0,1,0)</f>
        <v>0</v>
      </c>
    </row>
    <row r="2058">
      <c r="A2058" s="10">
        <f>Daily_Data!A2058</f>
        <v>39406</v>
      </c>
      <c r="B2058" s="11">
        <f>Daily_Data!J2058</f>
        <v>24.88</v>
      </c>
      <c r="C2058" s="11">
        <f>Daily_Data!I2058</f>
        <v>4.23</v>
      </c>
      <c r="D2058" s="12">
        <f>if(sum(Daily_Data!K2058:L2058)&gt;0,1,0)</f>
        <v>0</v>
      </c>
    </row>
    <row r="2059">
      <c r="A2059" s="10">
        <f>Daily_Data!A2059</f>
        <v>39407</v>
      </c>
      <c r="B2059" s="11">
        <f>Daily_Data!J2059</f>
        <v>26.84</v>
      </c>
      <c r="C2059" s="11">
        <f>Daily_Data!I2059</f>
        <v>4.35</v>
      </c>
      <c r="D2059" s="12">
        <f>if(sum(Daily_Data!K2059:L2059)&gt;0,1,0)</f>
        <v>0</v>
      </c>
    </row>
    <row r="2060">
      <c r="A2060" s="10">
        <f>Daily_Data!A2060</f>
        <v>39408</v>
      </c>
      <c r="B2060" s="11" t="str">
        <f>Daily_Data!J2060</f>
        <v/>
      </c>
      <c r="C2060" s="11" t="str">
        <f>Daily_Data!I2060</f>
        <v/>
      </c>
      <c r="D2060" s="12">
        <f>if(sum(Daily_Data!K2060:L2060)&gt;0,1,0)</f>
        <v>0</v>
      </c>
    </row>
    <row r="2061">
      <c r="A2061" s="10">
        <f>Daily_Data!A2061</f>
        <v>39409</v>
      </c>
      <c r="B2061" s="11">
        <f>Daily_Data!J2061</f>
        <v>25.61</v>
      </c>
      <c r="C2061" s="11">
        <f>Daily_Data!I2061</f>
        <v>4.26</v>
      </c>
      <c r="D2061" s="12">
        <f>if(sum(Daily_Data!K2061:L2061)&gt;0,1,0)</f>
        <v>0</v>
      </c>
    </row>
    <row r="2062">
      <c r="A2062" s="10">
        <f>Daily_Data!A2062</f>
        <v>39412</v>
      </c>
      <c r="B2062" s="11">
        <f>Daily_Data!J2062</f>
        <v>28.91</v>
      </c>
      <c r="C2062" s="11">
        <f>Daily_Data!I2062</f>
        <v>4.43</v>
      </c>
      <c r="D2062" s="12">
        <f>if(sum(Daily_Data!K2062:L2062)&gt;0,1,0)</f>
        <v>0</v>
      </c>
    </row>
    <row r="2063">
      <c r="A2063" s="10">
        <f>Daily_Data!A2063</f>
        <v>39413</v>
      </c>
      <c r="B2063" s="11">
        <f>Daily_Data!J2063</f>
        <v>26.28</v>
      </c>
      <c r="C2063" s="11">
        <f>Daily_Data!I2063</f>
        <v>4.27</v>
      </c>
      <c r="D2063" s="12">
        <f>if(sum(Daily_Data!K2063:L2063)&gt;0,1,0)</f>
        <v>0</v>
      </c>
    </row>
    <row r="2064">
      <c r="A2064" s="10">
        <f>Daily_Data!A2064</f>
        <v>39414</v>
      </c>
      <c r="B2064" s="11">
        <f>Daily_Data!J2064</f>
        <v>24.11</v>
      </c>
      <c r="C2064" s="11">
        <f>Daily_Data!I2064</f>
        <v>4.2</v>
      </c>
      <c r="D2064" s="12">
        <f>if(sum(Daily_Data!K2064:L2064)&gt;0,1,0)</f>
        <v>0</v>
      </c>
    </row>
    <row r="2065">
      <c r="A2065" s="10">
        <f>Daily_Data!A2065</f>
        <v>39415</v>
      </c>
      <c r="B2065" s="11">
        <f>Daily_Data!J2065</f>
        <v>23.97</v>
      </c>
      <c r="C2065" s="11">
        <f>Daily_Data!I2065</f>
        <v>4.35</v>
      </c>
      <c r="D2065" s="12">
        <f>if(sum(Daily_Data!K2065:L2065)&gt;0,1,0)</f>
        <v>0</v>
      </c>
    </row>
    <row r="2066">
      <c r="A2066" s="10">
        <f>Daily_Data!A2066</f>
        <v>39416</v>
      </c>
      <c r="B2066" s="11">
        <f>Daily_Data!J2066</f>
        <v>22.87</v>
      </c>
      <c r="C2066" s="11">
        <f>Daily_Data!I2066</f>
        <v>4.36</v>
      </c>
      <c r="D2066" s="12">
        <f>if(sum(Daily_Data!K2066:L2066)&gt;0,1,0)</f>
        <v>0</v>
      </c>
    </row>
    <row r="2067">
      <c r="A2067" s="10">
        <f>Daily_Data!A2067</f>
        <v>39419</v>
      </c>
      <c r="B2067" s="11">
        <f>Daily_Data!J2067</f>
        <v>23.61</v>
      </c>
      <c r="C2067" s="11">
        <f>Daily_Data!I2067</f>
        <v>4.53</v>
      </c>
      <c r="D2067" s="12">
        <f>if(sum(Daily_Data!K2067:L2067)&gt;0,1,0)</f>
        <v>0</v>
      </c>
    </row>
    <row r="2068">
      <c r="A2068" s="10">
        <f>Daily_Data!A2068</f>
        <v>39420</v>
      </c>
      <c r="B2068" s="11">
        <f>Daily_Data!J2068</f>
        <v>23.79</v>
      </c>
      <c r="C2068" s="11">
        <f>Daily_Data!I2068</f>
        <v>4.54</v>
      </c>
      <c r="D2068" s="12">
        <f>if(sum(Daily_Data!K2068:L2068)&gt;0,1,0)</f>
        <v>0</v>
      </c>
    </row>
    <row r="2069">
      <c r="A2069" s="10">
        <f>Daily_Data!A2069</f>
        <v>39421</v>
      </c>
      <c r="B2069" s="11">
        <f>Daily_Data!J2069</f>
        <v>22.53</v>
      </c>
      <c r="C2069" s="11">
        <f>Daily_Data!I2069</f>
        <v>4.55</v>
      </c>
      <c r="D2069" s="12">
        <f>if(sum(Daily_Data!K2069:L2069)&gt;0,1,0)</f>
        <v>0</v>
      </c>
    </row>
    <row r="2070">
      <c r="A2070" s="10">
        <f>Daily_Data!A2070</f>
        <v>39422</v>
      </c>
      <c r="B2070" s="11">
        <f>Daily_Data!J2070</f>
        <v>20.96</v>
      </c>
      <c r="C2070" s="11">
        <f>Daily_Data!I2070</f>
        <v>4.5</v>
      </c>
      <c r="D2070" s="12">
        <f>if(sum(Daily_Data!K2070:L2070)&gt;0,1,0)</f>
        <v>0</v>
      </c>
    </row>
    <row r="2071">
      <c r="A2071" s="10">
        <f>Daily_Data!A2071</f>
        <v>39423</v>
      </c>
      <c r="B2071" s="11">
        <f>Daily_Data!J2071</f>
        <v>20.85</v>
      </c>
      <c r="C2071" s="11">
        <f>Daily_Data!I2071</f>
        <v>4.46</v>
      </c>
      <c r="D2071" s="12">
        <f>if(sum(Daily_Data!K2071:L2071)&gt;0,1,0)</f>
        <v>1</v>
      </c>
    </row>
    <row r="2072">
      <c r="A2072" s="10">
        <f>Daily_Data!A2072</f>
        <v>39426</v>
      </c>
      <c r="B2072" s="11">
        <f>Daily_Data!J2072</f>
        <v>20.74</v>
      </c>
      <c r="C2072" s="11">
        <f>Daily_Data!I2072</f>
        <v>4.43</v>
      </c>
      <c r="D2072" s="12">
        <f>if(sum(Daily_Data!K2072:L2072)&gt;0,1,0)</f>
        <v>0</v>
      </c>
    </row>
    <row r="2073">
      <c r="A2073" s="10">
        <f>Daily_Data!A2073</f>
        <v>39427</v>
      </c>
      <c r="B2073" s="11">
        <f>Daily_Data!J2073</f>
        <v>23.59</v>
      </c>
      <c r="C2073" s="11">
        <f>Daily_Data!I2073</f>
        <v>4.67</v>
      </c>
      <c r="D2073" s="12">
        <f>if(sum(Daily_Data!K2073:L2073)&gt;0,1,0)</f>
        <v>0</v>
      </c>
    </row>
    <row r="2074">
      <c r="A2074" s="10">
        <f>Daily_Data!A2074</f>
        <v>39428</v>
      </c>
      <c r="B2074" s="11">
        <f>Daily_Data!J2074</f>
        <v>22.47</v>
      </c>
      <c r="C2074" s="11">
        <f>Daily_Data!I2074</f>
        <v>4.49</v>
      </c>
      <c r="D2074" s="12">
        <f>if(sum(Daily_Data!K2074:L2074)&gt;0,1,0)</f>
        <v>0</v>
      </c>
    </row>
    <row r="2075">
      <c r="A2075" s="10">
        <f>Daily_Data!A2075</f>
        <v>39429</v>
      </c>
      <c r="B2075" s="11">
        <f>Daily_Data!J2075</f>
        <v>22.56</v>
      </c>
      <c r="C2075" s="11">
        <f>Daily_Data!I2075</f>
        <v>4.38</v>
      </c>
      <c r="D2075" s="12">
        <f>if(sum(Daily_Data!K2075:L2075)&gt;0,1,0)</f>
        <v>0</v>
      </c>
    </row>
    <row r="2076">
      <c r="A2076" s="10">
        <f>Daily_Data!A2076</f>
        <v>39430</v>
      </c>
      <c r="B2076" s="11">
        <f>Daily_Data!J2076</f>
        <v>23.27</v>
      </c>
      <c r="C2076" s="11">
        <f>Daily_Data!I2076</f>
        <v>4.14</v>
      </c>
      <c r="D2076" s="12">
        <f>if(sum(Daily_Data!K2076:L2076)&gt;0,1,0)</f>
        <v>1</v>
      </c>
    </row>
    <row r="2077">
      <c r="A2077" s="10">
        <f>Daily_Data!A2077</f>
        <v>39433</v>
      </c>
      <c r="B2077" s="11">
        <f>Daily_Data!J2077</f>
        <v>24.52</v>
      </c>
      <c r="C2077" s="11">
        <f>Daily_Data!I2077</f>
        <v>4.22</v>
      </c>
      <c r="D2077" s="12">
        <f>if(sum(Daily_Data!K2077:L2077)&gt;0,1,0)</f>
        <v>0</v>
      </c>
    </row>
    <row r="2078">
      <c r="A2078" s="10">
        <f>Daily_Data!A2078</f>
        <v>39434</v>
      </c>
      <c r="B2078" s="11">
        <f>Daily_Data!J2078</f>
        <v>22.64</v>
      </c>
      <c r="C2078" s="11">
        <f>Daily_Data!I2078</f>
        <v>4.24</v>
      </c>
      <c r="D2078" s="12">
        <f>if(sum(Daily_Data!K2078:L2078)&gt;0,1,0)</f>
        <v>0</v>
      </c>
    </row>
    <row r="2079">
      <c r="A2079" s="10">
        <f>Daily_Data!A2079</f>
        <v>39435</v>
      </c>
      <c r="B2079" s="11">
        <f>Daily_Data!J2079</f>
        <v>21.68</v>
      </c>
      <c r="C2079" s="11">
        <f>Daily_Data!I2079</f>
        <v>4.31</v>
      </c>
      <c r="D2079" s="12">
        <f>if(sum(Daily_Data!K2079:L2079)&gt;0,1,0)</f>
        <v>0</v>
      </c>
    </row>
    <row r="2080">
      <c r="A2080" s="10">
        <f>Daily_Data!A2080</f>
        <v>39436</v>
      </c>
      <c r="B2080" s="11">
        <f>Daily_Data!J2080</f>
        <v>20.58</v>
      </c>
      <c r="C2080" s="11">
        <f>Daily_Data!I2080</f>
        <v>4.29</v>
      </c>
      <c r="D2080" s="12">
        <f>if(sum(Daily_Data!K2080:L2080)&gt;0,1,0)</f>
        <v>0</v>
      </c>
    </row>
    <row r="2081">
      <c r="A2081" s="10">
        <f>Daily_Data!A2081</f>
        <v>39437</v>
      </c>
      <c r="B2081" s="11">
        <f>Daily_Data!J2081</f>
        <v>18.47</v>
      </c>
      <c r="C2081" s="11">
        <f>Daily_Data!I2081</f>
        <v>4.22</v>
      </c>
      <c r="D2081" s="12">
        <f>if(sum(Daily_Data!K2081:L2081)&gt;0,1,0)</f>
        <v>0</v>
      </c>
    </row>
    <row r="2082">
      <c r="A2082" s="10">
        <f>Daily_Data!A2082</f>
        <v>39440</v>
      </c>
      <c r="B2082" s="11">
        <f>Daily_Data!J2082</f>
        <v>18.6</v>
      </c>
      <c r="C2082" s="11">
        <f>Daily_Data!I2082</f>
        <v>4.17</v>
      </c>
      <c r="D2082" s="12">
        <f>if(sum(Daily_Data!K2082:L2082)&gt;0,1,0)</f>
        <v>0</v>
      </c>
    </row>
    <row r="2083">
      <c r="A2083" s="10">
        <f>Daily_Data!A2083</f>
        <v>39441</v>
      </c>
      <c r="B2083" s="11" t="str">
        <f>Daily_Data!J2083</f>
        <v/>
      </c>
      <c r="C2083" s="11" t="str">
        <f>Daily_Data!I2083</f>
        <v/>
      </c>
      <c r="D2083" s="12">
        <f>if(sum(Daily_Data!K2083:L2083)&gt;0,1,0)</f>
        <v>0</v>
      </c>
    </row>
    <row r="2084">
      <c r="A2084" s="10">
        <f>Daily_Data!A2084</f>
        <v>39442</v>
      </c>
      <c r="B2084" s="11">
        <f>Daily_Data!J2084</f>
        <v>18.66</v>
      </c>
      <c r="C2084" s="11" t="str">
        <f>Daily_Data!I2084</f>
        <v/>
      </c>
      <c r="D2084" s="12">
        <f>if(sum(Daily_Data!K2084:L2084)&gt;0,1,0)</f>
        <v>0</v>
      </c>
    </row>
    <row r="2085">
      <c r="A2085" s="10">
        <f>Daily_Data!A2085</f>
        <v>39443</v>
      </c>
      <c r="B2085" s="11">
        <f>Daily_Data!J2085</f>
        <v>20.26</v>
      </c>
      <c r="C2085" s="11">
        <f>Daily_Data!I2085</f>
        <v>4.21</v>
      </c>
      <c r="D2085" s="12">
        <f>if(sum(Daily_Data!K2085:L2085)&gt;0,1,0)</f>
        <v>0</v>
      </c>
    </row>
    <row r="2086">
      <c r="A2086" s="10">
        <f>Daily_Data!A2086</f>
        <v>39444</v>
      </c>
      <c r="B2086" s="11">
        <f>Daily_Data!J2086</f>
        <v>20.74</v>
      </c>
      <c r="C2086" s="11">
        <f>Daily_Data!I2086</f>
        <v>4.24</v>
      </c>
      <c r="D2086" s="12">
        <f>if(sum(Daily_Data!K2086:L2086)&gt;0,1,0)</f>
        <v>0</v>
      </c>
    </row>
    <row r="2087">
      <c r="A2087" s="10">
        <f>Daily_Data!A2087</f>
        <v>39447</v>
      </c>
      <c r="B2087" s="11">
        <f>Daily_Data!J2087</f>
        <v>22.5</v>
      </c>
      <c r="C2087" s="11">
        <f>Daily_Data!I2087</f>
        <v>4.3</v>
      </c>
      <c r="D2087" s="12">
        <f>if(sum(Daily_Data!K2087:L2087)&gt;0,1,0)</f>
        <v>0</v>
      </c>
    </row>
    <row r="2088">
      <c r="A2088" s="10">
        <f>Daily_Data!A2088</f>
        <v>39448</v>
      </c>
      <c r="B2088" s="11" t="str">
        <f>Daily_Data!J2088</f>
        <v/>
      </c>
      <c r="C2088" s="11" t="str">
        <f>Daily_Data!I2088</f>
        <v/>
      </c>
      <c r="D2088" s="12">
        <f>if(sum(Daily_Data!K2088:L2088)&gt;0,1,0)</f>
        <v>0</v>
      </c>
    </row>
    <row r="2089">
      <c r="A2089" s="10">
        <f>Daily_Data!A2089</f>
        <v>39449</v>
      </c>
      <c r="B2089" s="11">
        <f>Daily_Data!J2089</f>
        <v>23.17</v>
      </c>
      <c r="C2089" s="11" t="str">
        <f>Daily_Data!I2089</f>
        <v/>
      </c>
      <c r="D2089" s="12">
        <f>if(sum(Daily_Data!K2089:L2089)&gt;0,1,0)</f>
        <v>0</v>
      </c>
    </row>
    <row r="2090">
      <c r="A2090" s="10">
        <f>Daily_Data!A2090</f>
        <v>39450</v>
      </c>
      <c r="B2090" s="11">
        <f>Daily_Data!J2090</f>
        <v>22.49</v>
      </c>
      <c r="C2090" s="11">
        <f>Daily_Data!I2090</f>
        <v>4.52</v>
      </c>
      <c r="D2090" s="12">
        <f>if(sum(Daily_Data!K2090:L2090)&gt;0,1,0)</f>
        <v>0</v>
      </c>
    </row>
    <row r="2091">
      <c r="A2091" s="10">
        <f>Daily_Data!A2091</f>
        <v>39451</v>
      </c>
      <c r="B2091" s="11">
        <f>Daily_Data!J2091</f>
        <v>23.94</v>
      </c>
      <c r="C2091" s="11">
        <f>Daily_Data!I2091</f>
        <v>4.56</v>
      </c>
      <c r="D2091" s="12">
        <f>if(sum(Daily_Data!K2091:L2091)&gt;0,1,0)</f>
        <v>1</v>
      </c>
    </row>
    <row r="2092">
      <c r="A2092" s="10">
        <f>Daily_Data!A2092</f>
        <v>39454</v>
      </c>
      <c r="B2092" s="11">
        <f>Daily_Data!J2092</f>
        <v>23.79</v>
      </c>
      <c r="C2092" s="11">
        <f>Daily_Data!I2092</f>
        <v>4.48</v>
      </c>
      <c r="D2092" s="12">
        <f>if(sum(Daily_Data!K2092:L2092)&gt;0,1,0)</f>
        <v>0</v>
      </c>
    </row>
    <row r="2093">
      <c r="A2093" s="10">
        <f>Daily_Data!A2093</f>
        <v>39455</v>
      </c>
      <c r="B2093" s="11">
        <f>Daily_Data!J2093</f>
        <v>25.43</v>
      </c>
      <c r="C2093" s="11">
        <f>Daily_Data!I2093</f>
        <v>4.47</v>
      </c>
      <c r="D2093" s="12">
        <f>if(sum(Daily_Data!K2093:L2093)&gt;0,1,0)</f>
        <v>0</v>
      </c>
    </row>
    <row r="2094">
      <c r="A2094" s="10">
        <f>Daily_Data!A2094</f>
        <v>39456</v>
      </c>
      <c r="B2094" s="11">
        <f>Daily_Data!J2094</f>
        <v>24.12</v>
      </c>
      <c r="C2094" s="11">
        <f>Daily_Data!I2094</f>
        <v>4.56</v>
      </c>
      <c r="D2094" s="12">
        <f>if(sum(Daily_Data!K2094:L2094)&gt;0,1,0)</f>
        <v>0</v>
      </c>
    </row>
    <row r="2095">
      <c r="A2095" s="10">
        <f>Daily_Data!A2095</f>
        <v>39457</v>
      </c>
      <c r="B2095" s="11">
        <f>Daily_Data!J2095</f>
        <v>23.45</v>
      </c>
      <c r="C2095" s="11">
        <f>Daily_Data!I2095</f>
        <v>4.55</v>
      </c>
      <c r="D2095" s="12">
        <f>if(sum(Daily_Data!K2095:L2095)&gt;0,1,0)</f>
        <v>0</v>
      </c>
    </row>
    <row r="2096">
      <c r="A2096" s="10">
        <f>Daily_Data!A2096</f>
        <v>39458</v>
      </c>
      <c r="B2096" s="11">
        <f>Daily_Data!J2096</f>
        <v>23.68</v>
      </c>
      <c r="C2096" s="11">
        <f>Daily_Data!I2096</f>
        <v>4.7</v>
      </c>
      <c r="D2096" s="12">
        <f>if(sum(Daily_Data!K2096:L2096)&gt;0,1,0)</f>
        <v>0</v>
      </c>
    </row>
    <row r="2097">
      <c r="A2097" s="10">
        <f>Daily_Data!A2097</f>
        <v>39461</v>
      </c>
      <c r="B2097" s="11">
        <f>Daily_Data!J2097</f>
        <v>22.9</v>
      </c>
      <c r="C2097" s="11">
        <f>Daily_Data!I2097</f>
        <v>4.68</v>
      </c>
      <c r="D2097" s="12">
        <f>if(sum(Daily_Data!K2097:L2097)&gt;0,1,0)</f>
        <v>0</v>
      </c>
    </row>
    <row r="2098">
      <c r="A2098" s="10">
        <f>Daily_Data!A2098</f>
        <v>39462</v>
      </c>
      <c r="B2098" s="11">
        <f>Daily_Data!J2098</f>
        <v>23.34</v>
      </c>
      <c r="C2098" s="11">
        <f>Daily_Data!I2098</f>
        <v>4.74</v>
      </c>
      <c r="D2098" s="12">
        <f>if(sum(Daily_Data!K2098:L2098)&gt;0,1,0)</f>
        <v>0</v>
      </c>
    </row>
    <row r="2099">
      <c r="A2099" s="10">
        <f>Daily_Data!A2099</f>
        <v>39463</v>
      </c>
      <c r="B2099" s="11">
        <f>Daily_Data!J2099</f>
        <v>24.38</v>
      </c>
      <c r="C2099" s="11">
        <f>Daily_Data!I2099</f>
        <v>4.8</v>
      </c>
      <c r="D2099" s="12">
        <f>if(sum(Daily_Data!K2099:L2099)&gt;0,1,0)</f>
        <v>1</v>
      </c>
    </row>
    <row r="2100">
      <c r="A2100" s="10">
        <f>Daily_Data!A2100</f>
        <v>39464</v>
      </c>
      <c r="B2100" s="11">
        <f>Daily_Data!J2100</f>
        <v>28.46</v>
      </c>
      <c r="C2100" s="11">
        <f>Daily_Data!I2100</f>
        <v>4.88</v>
      </c>
      <c r="D2100" s="12">
        <f>if(sum(Daily_Data!K2100:L2100)&gt;0,1,0)</f>
        <v>0</v>
      </c>
    </row>
    <row r="2101">
      <c r="A2101" s="10">
        <f>Daily_Data!A2101</f>
        <v>39465</v>
      </c>
      <c r="B2101" s="11">
        <f>Daily_Data!J2101</f>
        <v>27.18</v>
      </c>
      <c r="C2101" s="11">
        <f>Daily_Data!I2101</f>
        <v>4.92</v>
      </c>
      <c r="D2101" s="12">
        <f>if(sum(Daily_Data!K2101:L2101)&gt;0,1,0)</f>
        <v>0</v>
      </c>
    </row>
    <row r="2102">
      <c r="A2102" s="10">
        <f>Daily_Data!A2102</f>
        <v>39468</v>
      </c>
      <c r="B2102" s="11" t="str">
        <f>Daily_Data!J2102</f>
        <v/>
      </c>
      <c r="C2102" s="11" t="str">
        <f>Daily_Data!I2102</f>
        <v/>
      </c>
      <c r="D2102" s="12">
        <f>if(sum(Daily_Data!K2102:L2102)&gt;0,1,0)</f>
        <v>0</v>
      </c>
    </row>
    <row r="2103">
      <c r="A2103" s="10">
        <f>Daily_Data!A2103</f>
        <v>39469</v>
      </c>
      <c r="B2103" s="11">
        <f>Daily_Data!J2103</f>
        <v>31.01</v>
      </c>
      <c r="C2103" s="11">
        <f>Daily_Data!I2103</f>
        <v>5.08</v>
      </c>
      <c r="D2103" s="12">
        <f>if(sum(Daily_Data!K2103:L2103)&gt;0,1,0)</f>
        <v>0</v>
      </c>
    </row>
    <row r="2104">
      <c r="A2104" s="10">
        <f>Daily_Data!A2104</f>
        <v>39470</v>
      </c>
      <c r="B2104" s="11">
        <f>Daily_Data!J2104</f>
        <v>29.02</v>
      </c>
      <c r="C2104" s="11">
        <f>Daily_Data!I2104</f>
        <v>5.06</v>
      </c>
      <c r="D2104" s="12">
        <f>if(sum(Daily_Data!K2104:L2104)&gt;0,1,0)</f>
        <v>0</v>
      </c>
    </row>
    <row r="2105">
      <c r="A2105" s="10">
        <f>Daily_Data!A2105</f>
        <v>39471</v>
      </c>
      <c r="B2105" s="11">
        <f>Daily_Data!J2105</f>
        <v>27.78</v>
      </c>
      <c r="C2105" s="11">
        <f>Daily_Data!I2105</f>
        <v>4.95</v>
      </c>
      <c r="D2105" s="12">
        <f>if(sum(Daily_Data!K2105:L2105)&gt;0,1,0)</f>
        <v>0</v>
      </c>
    </row>
    <row r="2106">
      <c r="A2106" s="10">
        <f>Daily_Data!A2106</f>
        <v>39472</v>
      </c>
      <c r="B2106" s="11">
        <f>Daily_Data!J2106</f>
        <v>29.08</v>
      </c>
      <c r="C2106" s="11">
        <f>Daily_Data!I2106</f>
        <v>5.01</v>
      </c>
      <c r="D2106" s="12">
        <f>if(sum(Daily_Data!K2106:L2106)&gt;0,1,0)</f>
        <v>0</v>
      </c>
    </row>
    <row r="2107">
      <c r="A2107" s="10">
        <f>Daily_Data!A2107</f>
        <v>39475</v>
      </c>
      <c r="B2107" s="11">
        <f>Daily_Data!J2107</f>
        <v>27.78</v>
      </c>
      <c r="C2107" s="11">
        <f>Daily_Data!I2107</f>
        <v>4.99</v>
      </c>
      <c r="D2107" s="12">
        <f>if(sum(Daily_Data!K2107:L2107)&gt;0,1,0)</f>
        <v>0</v>
      </c>
    </row>
    <row r="2108">
      <c r="A2108" s="10">
        <f>Daily_Data!A2108</f>
        <v>39476</v>
      </c>
      <c r="B2108" s="11">
        <f>Daily_Data!J2108</f>
        <v>27.32</v>
      </c>
      <c r="C2108" s="11">
        <f>Daily_Data!I2108</f>
        <v>4.88</v>
      </c>
      <c r="D2108" s="12">
        <f>if(sum(Daily_Data!K2108:L2108)&gt;0,1,0)</f>
        <v>0</v>
      </c>
    </row>
    <row r="2109">
      <c r="A2109" s="10">
        <f>Daily_Data!A2109</f>
        <v>39477</v>
      </c>
      <c r="B2109" s="11">
        <f>Daily_Data!J2109</f>
        <v>27.62</v>
      </c>
      <c r="C2109" s="11">
        <f>Daily_Data!I2109</f>
        <v>4.86</v>
      </c>
      <c r="D2109" s="12">
        <f>if(sum(Daily_Data!K2109:L2109)&gt;0,1,0)</f>
        <v>0</v>
      </c>
    </row>
    <row r="2110">
      <c r="A2110" s="10">
        <f>Daily_Data!A2110</f>
        <v>39478</v>
      </c>
      <c r="B2110" s="11">
        <f>Daily_Data!J2110</f>
        <v>26.2</v>
      </c>
      <c r="C2110" s="11">
        <f>Daily_Data!I2110</f>
        <v>5.04</v>
      </c>
      <c r="D2110" s="12">
        <f>if(sum(Daily_Data!K2110:L2110)&gt;0,1,0)</f>
        <v>0</v>
      </c>
    </row>
    <row r="2111">
      <c r="A2111" s="10">
        <f>Daily_Data!A2111</f>
        <v>39479</v>
      </c>
      <c r="B2111" s="11">
        <f>Daily_Data!J2111</f>
        <v>24.02</v>
      </c>
      <c r="C2111" s="11">
        <f>Daily_Data!I2111</f>
        <v>4.84</v>
      </c>
      <c r="D2111" s="12">
        <f>if(sum(Daily_Data!K2111:L2111)&gt;0,1,0)</f>
        <v>1</v>
      </c>
    </row>
    <row r="2112">
      <c r="A2112" s="10">
        <f>Daily_Data!A2112</f>
        <v>39482</v>
      </c>
      <c r="B2112" s="11">
        <f>Daily_Data!J2112</f>
        <v>25.99</v>
      </c>
      <c r="C2112" s="11">
        <f>Daily_Data!I2112</f>
        <v>4.89</v>
      </c>
      <c r="D2112" s="12">
        <f>if(sum(Daily_Data!K2112:L2112)&gt;0,1,0)</f>
        <v>0</v>
      </c>
    </row>
    <row r="2113">
      <c r="A2113" s="10">
        <f>Daily_Data!A2113</f>
        <v>39483</v>
      </c>
      <c r="B2113" s="11">
        <f>Daily_Data!J2113</f>
        <v>28.24</v>
      </c>
      <c r="C2113" s="11">
        <f>Daily_Data!I2113</f>
        <v>5.04</v>
      </c>
      <c r="D2113" s="12">
        <f>if(sum(Daily_Data!K2113:L2113)&gt;0,1,0)</f>
        <v>0</v>
      </c>
    </row>
    <row r="2114">
      <c r="A2114" s="10">
        <f>Daily_Data!A2114</f>
        <v>39484</v>
      </c>
      <c r="B2114" s="11">
        <f>Daily_Data!J2114</f>
        <v>28.97</v>
      </c>
      <c r="C2114" s="11" t="str">
        <f>Daily_Data!I2114</f>
        <v/>
      </c>
      <c r="D2114" s="12">
        <f>if(sum(Daily_Data!K2114:L2114)&gt;0,1,0)</f>
        <v>0</v>
      </c>
    </row>
    <row r="2115">
      <c r="A2115" s="10">
        <f>Daily_Data!A2115</f>
        <v>39485</v>
      </c>
      <c r="B2115" s="11">
        <f>Daily_Data!J2115</f>
        <v>27.66</v>
      </c>
      <c r="C2115" s="11">
        <f>Daily_Data!I2115</f>
        <v>5</v>
      </c>
      <c r="D2115" s="12">
        <f>if(sum(Daily_Data!K2115:L2115)&gt;0,1,0)</f>
        <v>0</v>
      </c>
    </row>
    <row r="2116">
      <c r="A2116" s="10">
        <f>Daily_Data!A2116</f>
        <v>39486</v>
      </c>
      <c r="B2116" s="11">
        <f>Daily_Data!J2116</f>
        <v>28.01</v>
      </c>
      <c r="C2116" s="11">
        <f>Daily_Data!I2116</f>
        <v>5.09</v>
      </c>
      <c r="D2116" s="12">
        <f>if(sum(Daily_Data!K2116:L2116)&gt;0,1,0)</f>
        <v>0</v>
      </c>
    </row>
    <row r="2117">
      <c r="A2117" s="10">
        <f>Daily_Data!A2117</f>
        <v>39489</v>
      </c>
      <c r="B2117" s="11">
        <f>Daily_Data!J2117</f>
        <v>27.6</v>
      </c>
      <c r="C2117" s="11">
        <f>Daily_Data!I2117</f>
        <v>5.07</v>
      </c>
      <c r="D2117" s="12">
        <f>if(sum(Daily_Data!K2117:L2117)&gt;0,1,0)</f>
        <v>0</v>
      </c>
    </row>
    <row r="2118">
      <c r="A2118" s="10">
        <f>Daily_Data!A2118</f>
        <v>39490</v>
      </c>
      <c r="B2118" s="11">
        <f>Daily_Data!J2118</f>
        <v>26.33</v>
      </c>
      <c r="C2118" s="11">
        <f>Daily_Data!I2118</f>
        <v>5.11</v>
      </c>
      <c r="D2118" s="12">
        <f>if(sum(Daily_Data!K2118:L2118)&gt;0,1,0)</f>
        <v>0</v>
      </c>
    </row>
    <row r="2119">
      <c r="A2119" s="10">
        <f>Daily_Data!A2119</f>
        <v>39491</v>
      </c>
      <c r="B2119" s="11">
        <f>Daily_Data!J2119</f>
        <v>24.88</v>
      </c>
      <c r="C2119" s="11">
        <f>Daily_Data!I2119</f>
        <v>5.13</v>
      </c>
      <c r="D2119" s="12">
        <f>if(sum(Daily_Data!K2119:L2119)&gt;0,1,0)</f>
        <v>0</v>
      </c>
    </row>
    <row r="2120">
      <c r="A2120" s="10">
        <f>Daily_Data!A2120</f>
        <v>39492</v>
      </c>
      <c r="B2120" s="11">
        <f>Daily_Data!J2120</f>
        <v>25.54</v>
      </c>
      <c r="C2120" s="11">
        <f>Daily_Data!I2120</f>
        <v>5.1</v>
      </c>
      <c r="D2120" s="12">
        <f>if(sum(Daily_Data!K2120:L2120)&gt;0,1,0)</f>
        <v>0</v>
      </c>
    </row>
    <row r="2121">
      <c r="A2121" s="10">
        <f>Daily_Data!A2121</f>
        <v>39493</v>
      </c>
      <c r="B2121" s="11">
        <f>Daily_Data!J2121</f>
        <v>25.02</v>
      </c>
      <c r="C2121" s="11">
        <f>Daily_Data!I2121</f>
        <v>5.16</v>
      </c>
      <c r="D2121" s="12">
        <f>if(sum(Daily_Data!K2121:L2121)&gt;0,1,0)</f>
        <v>0</v>
      </c>
    </row>
    <row r="2122">
      <c r="A2122" s="10">
        <f>Daily_Data!A2122</f>
        <v>39496</v>
      </c>
      <c r="B2122" s="11" t="str">
        <f>Daily_Data!J2122</f>
        <v/>
      </c>
      <c r="C2122" s="11" t="str">
        <f>Daily_Data!I2122</f>
        <v/>
      </c>
      <c r="D2122" s="12">
        <f>if(sum(Daily_Data!K2122:L2122)&gt;0,1,0)</f>
        <v>0</v>
      </c>
    </row>
    <row r="2123">
      <c r="A2123" s="10">
        <f>Daily_Data!A2123</f>
        <v>39497</v>
      </c>
      <c r="B2123" s="11">
        <f>Daily_Data!J2123</f>
        <v>25.59</v>
      </c>
      <c r="C2123" s="11">
        <f>Daily_Data!I2123</f>
        <v>5.03</v>
      </c>
      <c r="D2123" s="12">
        <f>if(sum(Daily_Data!K2123:L2123)&gt;0,1,0)</f>
        <v>0</v>
      </c>
    </row>
    <row r="2124">
      <c r="A2124" s="10">
        <f>Daily_Data!A2124</f>
        <v>39498</v>
      </c>
      <c r="B2124" s="11">
        <f>Daily_Data!J2124</f>
        <v>24.4</v>
      </c>
      <c r="C2124" s="11">
        <f>Daily_Data!I2124</f>
        <v>5.01</v>
      </c>
      <c r="D2124" s="12">
        <f>if(sum(Daily_Data!K2124:L2124)&gt;0,1,0)</f>
        <v>1</v>
      </c>
    </row>
    <row r="2125">
      <c r="A2125" s="10">
        <f>Daily_Data!A2125</f>
        <v>39499</v>
      </c>
      <c r="B2125" s="11">
        <f>Daily_Data!J2125</f>
        <v>25.12</v>
      </c>
      <c r="C2125" s="11">
        <f>Daily_Data!I2125</f>
        <v>5.14</v>
      </c>
      <c r="D2125" s="12">
        <f>if(sum(Daily_Data!K2125:L2125)&gt;0,1,0)</f>
        <v>0</v>
      </c>
    </row>
    <row r="2126">
      <c r="A2126" s="10">
        <f>Daily_Data!A2126</f>
        <v>39500</v>
      </c>
      <c r="B2126" s="11">
        <f>Daily_Data!J2126</f>
        <v>24.06</v>
      </c>
      <c r="C2126" s="11">
        <f>Daily_Data!I2126</f>
        <v>5.09</v>
      </c>
      <c r="D2126" s="12">
        <f>if(sum(Daily_Data!K2126:L2126)&gt;0,1,0)</f>
        <v>0</v>
      </c>
    </row>
    <row r="2127">
      <c r="A2127" s="10">
        <f>Daily_Data!A2127</f>
        <v>39503</v>
      </c>
      <c r="B2127" s="11">
        <f>Daily_Data!J2127</f>
        <v>23.03</v>
      </c>
      <c r="C2127" s="11">
        <f>Daily_Data!I2127</f>
        <v>4.96</v>
      </c>
      <c r="D2127" s="12">
        <f>if(sum(Daily_Data!K2127:L2127)&gt;0,1,0)</f>
        <v>0</v>
      </c>
    </row>
    <row r="2128">
      <c r="A2128" s="10">
        <f>Daily_Data!A2128</f>
        <v>39504</v>
      </c>
      <c r="B2128" s="11">
        <f>Daily_Data!J2128</f>
        <v>21.9</v>
      </c>
      <c r="C2128" s="11">
        <f>Daily_Data!I2128</f>
        <v>5.13</v>
      </c>
      <c r="D2128" s="12">
        <f>if(sum(Daily_Data!K2128:L2128)&gt;0,1,0)</f>
        <v>0</v>
      </c>
    </row>
    <row r="2129">
      <c r="A2129" s="10">
        <f>Daily_Data!A2129</f>
        <v>39505</v>
      </c>
      <c r="B2129" s="11">
        <f>Daily_Data!J2129</f>
        <v>22.69</v>
      </c>
      <c r="C2129" s="11">
        <f>Daily_Data!I2129</f>
        <v>5.15</v>
      </c>
      <c r="D2129" s="12">
        <f>if(sum(Daily_Data!K2129:L2129)&gt;0,1,0)</f>
        <v>0</v>
      </c>
    </row>
    <row r="2130">
      <c r="A2130" s="10">
        <f>Daily_Data!A2130</f>
        <v>39506</v>
      </c>
      <c r="B2130" s="11">
        <f>Daily_Data!J2130</f>
        <v>23.53</v>
      </c>
      <c r="C2130" s="11">
        <f>Daily_Data!I2130</f>
        <v>5.24</v>
      </c>
      <c r="D2130" s="12">
        <f>if(sum(Daily_Data!K2130:L2130)&gt;0,1,0)</f>
        <v>0</v>
      </c>
    </row>
    <row r="2131">
      <c r="A2131" s="10">
        <f>Daily_Data!A2131</f>
        <v>39507</v>
      </c>
      <c r="B2131" s="11">
        <f>Daily_Data!J2131</f>
        <v>26.54</v>
      </c>
      <c r="C2131" s="11">
        <f>Daily_Data!I2131</f>
        <v>5.4</v>
      </c>
      <c r="D2131" s="12">
        <f>if(sum(Daily_Data!K2131:L2131)&gt;0,1,0)</f>
        <v>0</v>
      </c>
    </row>
    <row r="2132">
      <c r="A2132" s="10">
        <f>Daily_Data!A2132</f>
        <v>39510</v>
      </c>
      <c r="B2132" s="11">
        <f>Daily_Data!J2132</f>
        <v>26.28</v>
      </c>
      <c r="C2132" s="11">
        <f>Daily_Data!I2132</f>
        <v>5.39</v>
      </c>
      <c r="D2132" s="12">
        <f>if(sum(Daily_Data!K2132:L2132)&gt;0,1,0)</f>
        <v>0</v>
      </c>
    </row>
    <row r="2133">
      <c r="A2133" s="10">
        <f>Daily_Data!A2133</f>
        <v>39511</v>
      </c>
      <c r="B2133" s="11">
        <f>Daily_Data!J2133</f>
        <v>25.52</v>
      </c>
      <c r="C2133" s="11">
        <f>Daily_Data!I2133</f>
        <v>5.37</v>
      </c>
      <c r="D2133" s="12">
        <f>if(sum(Daily_Data!K2133:L2133)&gt;0,1,0)</f>
        <v>0</v>
      </c>
    </row>
    <row r="2134">
      <c r="A2134" s="10">
        <f>Daily_Data!A2134</f>
        <v>39512</v>
      </c>
      <c r="B2134" s="11">
        <f>Daily_Data!J2134</f>
        <v>24.6</v>
      </c>
      <c r="C2134" s="11">
        <f>Daily_Data!I2134</f>
        <v>5.3</v>
      </c>
      <c r="D2134" s="12">
        <f>if(sum(Daily_Data!K2134:L2134)&gt;0,1,0)</f>
        <v>0</v>
      </c>
    </row>
    <row r="2135">
      <c r="A2135" s="10">
        <f>Daily_Data!A2135</f>
        <v>39513</v>
      </c>
      <c r="B2135" s="11">
        <f>Daily_Data!J2135</f>
        <v>27.55</v>
      </c>
      <c r="C2135" s="11">
        <f>Daily_Data!I2135</f>
        <v>5.39</v>
      </c>
      <c r="D2135" s="12">
        <f>if(sum(Daily_Data!K2135:L2135)&gt;0,1,0)</f>
        <v>0</v>
      </c>
    </row>
    <row r="2136">
      <c r="A2136" s="10">
        <f>Daily_Data!A2136</f>
        <v>39514</v>
      </c>
      <c r="B2136" s="11">
        <f>Daily_Data!J2136</f>
        <v>27.49</v>
      </c>
      <c r="C2136" s="11">
        <f>Daily_Data!I2136</f>
        <v>5.31</v>
      </c>
      <c r="D2136" s="12">
        <f>if(sum(Daily_Data!K2136:L2136)&gt;0,1,0)</f>
        <v>1</v>
      </c>
    </row>
    <row r="2137">
      <c r="A2137" s="10">
        <f>Daily_Data!A2137</f>
        <v>39517</v>
      </c>
      <c r="B2137" s="11">
        <f>Daily_Data!J2137</f>
        <v>29.38</v>
      </c>
      <c r="C2137" s="11">
        <f>Daily_Data!I2137</f>
        <v>5.29</v>
      </c>
      <c r="D2137" s="12">
        <f>if(sum(Daily_Data!K2137:L2137)&gt;0,1,0)</f>
        <v>0</v>
      </c>
    </row>
    <row r="2138">
      <c r="A2138" s="10">
        <f>Daily_Data!A2138</f>
        <v>39518</v>
      </c>
      <c r="B2138" s="11">
        <f>Daily_Data!J2138</f>
        <v>26.36</v>
      </c>
      <c r="C2138" s="11">
        <f>Daily_Data!I2138</f>
        <v>5.01</v>
      </c>
      <c r="D2138" s="12">
        <f>if(sum(Daily_Data!K2138:L2138)&gt;0,1,0)</f>
        <v>0</v>
      </c>
    </row>
    <row r="2139">
      <c r="A2139" s="10">
        <f>Daily_Data!A2139</f>
        <v>39519</v>
      </c>
      <c r="B2139" s="11">
        <f>Daily_Data!J2139</f>
        <v>27.22</v>
      </c>
      <c r="C2139" s="11">
        <f>Daily_Data!I2139</f>
        <v>5.16</v>
      </c>
      <c r="D2139" s="12">
        <f>if(sum(Daily_Data!K2139:L2139)&gt;0,1,0)</f>
        <v>0</v>
      </c>
    </row>
    <row r="2140">
      <c r="A2140" s="10">
        <f>Daily_Data!A2140</f>
        <v>39520</v>
      </c>
      <c r="B2140" s="11">
        <f>Daily_Data!J2140</f>
        <v>27.29</v>
      </c>
      <c r="C2140" s="11">
        <f>Daily_Data!I2140</f>
        <v>5.13</v>
      </c>
      <c r="D2140" s="12">
        <f>if(sum(Daily_Data!K2140:L2140)&gt;0,1,0)</f>
        <v>0</v>
      </c>
    </row>
    <row r="2141">
      <c r="A2141" s="10">
        <f>Daily_Data!A2141</f>
        <v>39521</v>
      </c>
      <c r="B2141" s="11">
        <f>Daily_Data!J2141</f>
        <v>31.16</v>
      </c>
      <c r="C2141" s="11">
        <f>Daily_Data!I2141</f>
        <v>5.31</v>
      </c>
      <c r="D2141" s="12">
        <f>if(sum(Daily_Data!K2141:L2141)&gt;0,1,0)</f>
        <v>1</v>
      </c>
    </row>
    <row r="2142">
      <c r="A2142" s="10">
        <f>Daily_Data!A2142</f>
        <v>39524</v>
      </c>
      <c r="B2142" s="11">
        <f>Daily_Data!J2142</f>
        <v>32.24</v>
      </c>
      <c r="C2142" s="11">
        <f>Daily_Data!I2142</f>
        <v>5.41</v>
      </c>
      <c r="D2142" s="12">
        <f>if(sum(Daily_Data!K2142:L2142)&gt;0,1,0)</f>
        <v>0</v>
      </c>
    </row>
    <row r="2143">
      <c r="A2143" s="10">
        <f>Daily_Data!A2143</f>
        <v>39525</v>
      </c>
      <c r="B2143" s="11">
        <f>Daily_Data!J2143</f>
        <v>25.79</v>
      </c>
      <c r="C2143" s="11">
        <f>Daily_Data!I2143</f>
        <v>5.08</v>
      </c>
      <c r="D2143" s="12">
        <f>if(sum(Daily_Data!K2143:L2143)&gt;0,1,0)</f>
        <v>0</v>
      </c>
    </row>
    <row r="2144">
      <c r="A2144" s="10">
        <f>Daily_Data!A2144</f>
        <v>39526</v>
      </c>
      <c r="B2144" s="11">
        <f>Daily_Data!J2144</f>
        <v>29.84</v>
      </c>
      <c r="C2144" s="11">
        <f>Daily_Data!I2144</f>
        <v>5.21</v>
      </c>
      <c r="D2144" s="12">
        <f>if(sum(Daily_Data!K2144:L2144)&gt;0,1,0)</f>
        <v>0</v>
      </c>
    </row>
    <row r="2145">
      <c r="A2145" s="10">
        <f>Daily_Data!A2145</f>
        <v>39527</v>
      </c>
      <c r="B2145" s="11">
        <f>Daily_Data!J2145</f>
        <v>26.62</v>
      </c>
      <c r="C2145" s="11">
        <f>Daily_Data!I2145</f>
        <v>5.04</v>
      </c>
      <c r="D2145" s="12">
        <f>if(sum(Daily_Data!K2145:L2145)&gt;0,1,0)</f>
        <v>0</v>
      </c>
    </row>
    <row r="2146">
      <c r="A2146" s="10">
        <f>Daily_Data!A2146</f>
        <v>39528</v>
      </c>
      <c r="B2146" s="11" t="str">
        <f>Daily_Data!J2146</f>
        <v/>
      </c>
      <c r="C2146" s="11" t="str">
        <f>Daily_Data!I2146</f>
        <v/>
      </c>
      <c r="D2146" s="12">
        <f>if(sum(Daily_Data!K2146:L2146)&gt;0,1,0)</f>
        <v>0</v>
      </c>
    </row>
    <row r="2147">
      <c r="A2147" s="10">
        <f>Daily_Data!A2147</f>
        <v>39531</v>
      </c>
      <c r="B2147" s="11">
        <f>Daily_Data!J2147</f>
        <v>25.73</v>
      </c>
      <c r="C2147" s="11" t="str">
        <f>Daily_Data!I2147</f>
        <v/>
      </c>
      <c r="D2147" s="12">
        <f>if(sum(Daily_Data!K2147:L2147)&gt;0,1,0)</f>
        <v>0</v>
      </c>
    </row>
    <row r="2148">
      <c r="A2148" s="10">
        <f>Daily_Data!A2148</f>
        <v>39532</v>
      </c>
      <c r="B2148" s="11">
        <f>Daily_Data!J2148</f>
        <v>25.72</v>
      </c>
      <c r="C2148" s="11">
        <f>Daily_Data!I2148</f>
        <v>4.84</v>
      </c>
      <c r="D2148" s="12">
        <f>if(sum(Daily_Data!K2148:L2148)&gt;0,1,0)</f>
        <v>0</v>
      </c>
    </row>
    <row r="2149">
      <c r="A2149" s="10">
        <f>Daily_Data!A2149</f>
        <v>39533</v>
      </c>
      <c r="B2149" s="11">
        <f>Daily_Data!J2149</f>
        <v>26.08</v>
      </c>
      <c r="C2149" s="11">
        <f>Daily_Data!I2149</f>
        <v>4.82</v>
      </c>
      <c r="D2149" s="12">
        <f>if(sum(Daily_Data!K2149:L2149)&gt;0,1,0)</f>
        <v>0</v>
      </c>
    </row>
    <row r="2150">
      <c r="A2150" s="10">
        <f>Daily_Data!A2150</f>
        <v>39534</v>
      </c>
      <c r="B2150" s="11">
        <f>Daily_Data!J2150</f>
        <v>25.88</v>
      </c>
      <c r="C2150" s="11">
        <f>Daily_Data!I2150</f>
        <v>4.79</v>
      </c>
      <c r="D2150" s="12">
        <f>if(sum(Daily_Data!K2150:L2150)&gt;0,1,0)</f>
        <v>0</v>
      </c>
    </row>
    <row r="2151">
      <c r="A2151" s="10">
        <f>Daily_Data!A2151</f>
        <v>39535</v>
      </c>
      <c r="B2151" s="11">
        <f>Daily_Data!J2151</f>
        <v>25.71</v>
      </c>
      <c r="C2151" s="11">
        <f>Daily_Data!I2151</f>
        <v>4.86</v>
      </c>
      <c r="D2151" s="12">
        <f>if(sum(Daily_Data!K2151:L2151)&gt;0,1,0)</f>
        <v>0</v>
      </c>
    </row>
    <row r="2152">
      <c r="A2152" s="10">
        <f>Daily_Data!A2152</f>
        <v>39538</v>
      </c>
      <c r="B2152" s="11">
        <f>Daily_Data!J2152</f>
        <v>25.61</v>
      </c>
      <c r="C2152" s="11">
        <f>Daily_Data!I2152</f>
        <v>4.9</v>
      </c>
      <c r="D2152" s="12">
        <f>if(sum(Daily_Data!K2152:L2152)&gt;0,1,0)</f>
        <v>0</v>
      </c>
    </row>
    <row r="2153">
      <c r="A2153" s="10">
        <f>Daily_Data!A2153</f>
        <v>39539</v>
      </c>
      <c r="B2153" s="11">
        <f>Daily_Data!J2153</f>
        <v>22.68</v>
      </c>
      <c r="C2153" s="11">
        <f>Daily_Data!I2153</f>
        <v>4.6</v>
      </c>
      <c r="D2153" s="12">
        <f>if(sum(Daily_Data!K2153:L2153)&gt;0,1,0)</f>
        <v>0</v>
      </c>
    </row>
    <row r="2154">
      <c r="A2154" s="10">
        <f>Daily_Data!A2154</f>
        <v>39540</v>
      </c>
      <c r="B2154" s="11">
        <f>Daily_Data!J2154</f>
        <v>23.43</v>
      </c>
      <c r="C2154" s="11">
        <f>Daily_Data!I2154</f>
        <v>4.57</v>
      </c>
      <c r="D2154" s="12">
        <f>if(sum(Daily_Data!K2154:L2154)&gt;0,1,0)</f>
        <v>0</v>
      </c>
    </row>
    <row r="2155">
      <c r="A2155" s="10">
        <f>Daily_Data!A2155</f>
        <v>39541</v>
      </c>
      <c r="B2155" s="11">
        <f>Daily_Data!J2155</f>
        <v>23.21</v>
      </c>
      <c r="C2155" s="11">
        <f>Daily_Data!I2155</f>
        <v>4.57</v>
      </c>
      <c r="D2155" s="12">
        <f>if(sum(Daily_Data!K2155:L2155)&gt;0,1,0)</f>
        <v>0</v>
      </c>
    </row>
    <row r="2156">
      <c r="A2156" s="10">
        <f>Daily_Data!A2156</f>
        <v>39542</v>
      </c>
      <c r="B2156" s="11">
        <f>Daily_Data!J2156</f>
        <v>22.45</v>
      </c>
      <c r="C2156" s="11">
        <f>Daily_Data!I2156</f>
        <v>4.63</v>
      </c>
      <c r="D2156" s="12">
        <f>if(sum(Daily_Data!K2156:L2156)&gt;0,1,0)</f>
        <v>1</v>
      </c>
    </row>
    <row r="2157">
      <c r="A2157" s="10">
        <f>Daily_Data!A2157</f>
        <v>39545</v>
      </c>
      <c r="B2157" s="11">
        <f>Daily_Data!J2157</f>
        <v>22.42</v>
      </c>
      <c r="C2157" s="11">
        <f>Daily_Data!I2157</f>
        <v>4.51</v>
      </c>
      <c r="D2157" s="12">
        <f>if(sum(Daily_Data!K2157:L2157)&gt;0,1,0)</f>
        <v>0</v>
      </c>
    </row>
    <row r="2158">
      <c r="A2158" s="10">
        <f>Daily_Data!A2158</f>
        <v>39546</v>
      </c>
      <c r="B2158" s="11">
        <f>Daily_Data!J2158</f>
        <v>22.36</v>
      </c>
      <c r="C2158" s="11">
        <f>Daily_Data!I2158</f>
        <v>4.6</v>
      </c>
      <c r="D2158" s="12">
        <f>if(sum(Daily_Data!K2158:L2158)&gt;0,1,0)</f>
        <v>0</v>
      </c>
    </row>
    <row r="2159">
      <c r="A2159" s="10">
        <f>Daily_Data!A2159</f>
        <v>39547</v>
      </c>
      <c r="B2159" s="11">
        <f>Daily_Data!J2159</f>
        <v>22.81</v>
      </c>
      <c r="C2159" s="11">
        <f>Daily_Data!I2159</f>
        <v>4.71</v>
      </c>
      <c r="D2159" s="12">
        <f>if(sum(Daily_Data!K2159:L2159)&gt;0,1,0)</f>
        <v>0</v>
      </c>
    </row>
    <row r="2160">
      <c r="A2160" s="10">
        <f>Daily_Data!A2160</f>
        <v>39548</v>
      </c>
      <c r="B2160" s="11">
        <f>Daily_Data!J2160</f>
        <v>21.98</v>
      </c>
      <c r="C2160" s="11">
        <f>Daily_Data!I2160</f>
        <v>4.61</v>
      </c>
      <c r="D2160" s="12">
        <f>if(sum(Daily_Data!K2160:L2160)&gt;0,1,0)</f>
        <v>0</v>
      </c>
    </row>
    <row r="2161">
      <c r="A2161" s="10">
        <f>Daily_Data!A2161</f>
        <v>39549</v>
      </c>
      <c r="B2161" s="11">
        <f>Daily_Data!J2161</f>
        <v>23.46</v>
      </c>
      <c r="C2161" s="11">
        <f>Daily_Data!I2161</f>
        <v>4.89</v>
      </c>
      <c r="D2161" s="12">
        <f>if(sum(Daily_Data!K2161:L2161)&gt;0,1,0)</f>
        <v>0</v>
      </c>
    </row>
    <row r="2162">
      <c r="A2162" s="10">
        <f>Daily_Data!A2162</f>
        <v>39552</v>
      </c>
      <c r="B2162" s="11">
        <f>Daily_Data!J2162</f>
        <v>23.82</v>
      </c>
      <c r="C2162" s="11">
        <f>Daily_Data!I2162</f>
        <v>4.89</v>
      </c>
      <c r="D2162" s="12">
        <f>if(sum(Daily_Data!K2162:L2162)&gt;0,1,0)</f>
        <v>0</v>
      </c>
    </row>
    <row r="2163">
      <c r="A2163" s="10">
        <f>Daily_Data!A2163</f>
        <v>39553</v>
      </c>
      <c r="B2163" s="11">
        <f>Daily_Data!J2163</f>
        <v>22.78</v>
      </c>
      <c r="C2163" s="11">
        <f>Daily_Data!I2163</f>
        <v>4.92</v>
      </c>
      <c r="D2163" s="12">
        <f>if(sum(Daily_Data!K2163:L2163)&gt;0,1,0)</f>
        <v>0</v>
      </c>
    </row>
    <row r="2164">
      <c r="A2164" s="10">
        <f>Daily_Data!A2164</f>
        <v>39554</v>
      </c>
      <c r="B2164" s="11">
        <f>Daily_Data!J2164</f>
        <v>20.53</v>
      </c>
      <c r="C2164" s="11">
        <f>Daily_Data!I2164</f>
        <v>4.75</v>
      </c>
      <c r="D2164" s="12">
        <f>if(sum(Daily_Data!K2164:L2164)&gt;0,1,0)</f>
        <v>1</v>
      </c>
    </row>
    <row r="2165">
      <c r="A2165" s="10">
        <f>Daily_Data!A2165</f>
        <v>39555</v>
      </c>
      <c r="B2165" s="11">
        <f>Daily_Data!J2165</f>
        <v>20.37</v>
      </c>
      <c r="C2165" s="11">
        <f>Daily_Data!I2165</f>
        <v>4.6</v>
      </c>
      <c r="D2165" s="12">
        <f>if(sum(Daily_Data!K2165:L2165)&gt;0,1,0)</f>
        <v>0</v>
      </c>
    </row>
    <row r="2166">
      <c r="A2166" s="10">
        <f>Daily_Data!A2166</f>
        <v>39556</v>
      </c>
      <c r="B2166" s="11">
        <f>Daily_Data!J2166</f>
        <v>20.13</v>
      </c>
      <c r="C2166" s="11">
        <f>Daily_Data!I2166</f>
        <v>4.51</v>
      </c>
      <c r="D2166" s="12">
        <f>if(sum(Daily_Data!K2166:L2166)&gt;0,1,0)</f>
        <v>0</v>
      </c>
    </row>
    <row r="2167">
      <c r="A2167" s="10">
        <f>Daily_Data!A2167</f>
        <v>39559</v>
      </c>
      <c r="B2167" s="11">
        <f>Daily_Data!J2167</f>
        <v>20.5</v>
      </c>
      <c r="C2167" s="11">
        <f>Daily_Data!I2167</f>
        <v>4.51</v>
      </c>
      <c r="D2167" s="12">
        <f>if(sum(Daily_Data!K2167:L2167)&gt;0,1,0)</f>
        <v>0</v>
      </c>
    </row>
    <row r="2168">
      <c r="A2168" s="10">
        <f>Daily_Data!A2168</f>
        <v>39560</v>
      </c>
      <c r="B2168" s="11">
        <f>Daily_Data!J2168</f>
        <v>20.87</v>
      </c>
      <c r="C2168" s="11">
        <f>Daily_Data!I2168</f>
        <v>4.45</v>
      </c>
      <c r="D2168" s="12">
        <f>if(sum(Daily_Data!K2168:L2168)&gt;0,1,0)</f>
        <v>0</v>
      </c>
    </row>
    <row r="2169">
      <c r="A2169" s="10">
        <f>Daily_Data!A2169</f>
        <v>39561</v>
      </c>
      <c r="B2169" s="11">
        <f>Daily_Data!J2169</f>
        <v>20.26</v>
      </c>
      <c r="C2169" s="11">
        <f>Daily_Data!I2169</f>
        <v>4.49</v>
      </c>
      <c r="D2169" s="12">
        <f>if(sum(Daily_Data!K2169:L2169)&gt;0,1,0)</f>
        <v>0</v>
      </c>
    </row>
    <row r="2170">
      <c r="A2170" s="10">
        <f>Daily_Data!A2170</f>
        <v>39562</v>
      </c>
      <c r="B2170" s="11">
        <f>Daily_Data!J2170</f>
        <v>20.06</v>
      </c>
      <c r="C2170" s="11">
        <f>Daily_Data!I2170</f>
        <v>4.29</v>
      </c>
      <c r="D2170" s="12">
        <f>if(sum(Daily_Data!K2170:L2170)&gt;0,1,0)</f>
        <v>0</v>
      </c>
    </row>
    <row r="2171">
      <c r="A2171" s="10">
        <f>Daily_Data!A2171</f>
        <v>39563</v>
      </c>
      <c r="B2171" s="11">
        <f>Daily_Data!J2171</f>
        <v>19.59</v>
      </c>
      <c r="C2171" s="11" t="str">
        <f>Daily_Data!I2171</f>
        <v/>
      </c>
      <c r="D2171" s="12">
        <f>if(sum(Daily_Data!K2171:L2171)&gt;0,1,0)</f>
        <v>0</v>
      </c>
    </row>
    <row r="2172">
      <c r="A2172" s="10">
        <f>Daily_Data!A2172</f>
        <v>39566</v>
      </c>
      <c r="B2172" s="11">
        <f>Daily_Data!J2172</f>
        <v>19.64</v>
      </c>
      <c r="C2172" s="11">
        <f>Daily_Data!I2172</f>
        <v>4.35</v>
      </c>
      <c r="D2172" s="12">
        <f>if(sum(Daily_Data!K2172:L2172)&gt;0,1,0)</f>
        <v>0</v>
      </c>
    </row>
    <row r="2173">
      <c r="A2173" s="10">
        <f>Daily_Data!A2173</f>
        <v>39567</v>
      </c>
      <c r="B2173" s="11">
        <f>Daily_Data!J2173</f>
        <v>20.24</v>
      </c>
      <c r="C2173" s="11">
        <f>Daily_Data!I2173</f>
        <v>4.41</v>
      </c>
      <c r="D2173" s="12">
        <f>if(sum(Daily_Data!K2173:L2173)&gt;0,1,0)</f>
        <v>0</v>
      </c>
    </row>
    <row r="2174">
      <c r="A2174" s="10">
        <f>Daily_Data!A2174</f>
        <v>39568</v>
      </c>
      <c r="B2174" s="11">
        <f>Daily_Data!J2174</f>
        <v>20.79</v>
      </c>
      <c r="C2174" s="11">
        <f>Daily_Data!I2174</f>
        <v>4.47</v>
      </c>
      <c r="D2174" s="12">
        <f>if(sum(Daily_Data!K2174:L2174)&gt;0,1,0)</f>
        <v>0</v>
      </c>
    </row>
    <row r="2175">
      <c r="A2175" s="10">
        <f>Daily_Data!A2175</f>
        <v>39569</v>
      </c>
      <c r="B2175" s="11">
        <f>Daily_Data!J2175</f>
        <v>18.88</v>
      </c>
      <c r="C2175" s="11">
        <f>Daily_Data!I2175</f>
        <v>4.35</v>
      </c>
      <c r="D2175" s="12">
        <f>if(sum(Daily_Data!K2175:L2175)&gt;0,1,0)</f>
        <v>0</v>
      </c>
    </row>
    <row r="2176">
      <c r="A2176" s="10">
        <f>Daily_Data!A2176</f>
        <v>39570</v>
      </c>
      <c r="B2176" s="11">
        <f>Daily_Data!J2176</f>
        <v>18.18</v>
      </c>
      <c r="C2176" s="11">
        <f>Daily_Data!I2176</f>
        <v>4.18</v>
      </c>
      <c r="D2176" s="12">
        <f>if(sum(Daily_Data!K2176:L2176)&gt;0,1,0)</f>
        <v>1</v>
      </c>
    </row>
    <row r="2177">
      <c r="A2177" s="10">
        <f>Daily_Data!A2177</f>
        <v>39573</v>
      </c>
      <c r="B2177" s="11">
        <f>Daily_Data!J2177</f>
        <v>18.9</v>
      </c>
      <c r="C2177" s="11">
        <f>Daily_Data!I2177</f>
        <v>4.26</v>
      </c>
      <c r="D2177" s="12">
        <f>if(sum(Daily_Data!K2177:L2177)&gt;0,1,0)</f>
        <v>0</v>
      </c>
    </row>
    <row r="2178">
      <c r="A2178" s="10">
        <f>Daily_Data!A2178</f>
        <v>39574</v>
      </c>
      <c r="B2178" s="11">
        <f>Daily_Data!J2178</f>
        <v>18.21</v>
      </c>
      <c r="C2178" s="11">
        <f>Daily_Data!I2178</f>
        <v>4.3</v>
      </c>
      <c r="D2178" s="12">
        <f>if(sum(Daily_Data!K2178:L2178)&gt;0,1,0)</f>
        <v>0</v>
      </c>
    </row>
    <row r="2179">
      <c r="A2179" s="10">
        <f>Daily_Data!A2179</f>
        <v>39575</v>
      </c>
      <c r="B2179" s="11">
        <f>Daily_Data!J2179</f>
        <v>19.73</v>
      </c>
      <c r="C2179" s="11">
        <f>Daily_Data!I2179</f>
        <v>4.35</v>
      </c>
      <c r="D2179" s="12">
        <f>if(sum(Daily_Data!K2179:L2179)&gt;0,1,0)</f>
        <v>0</v>
      </c>
    </row>
    <row r="2180">
      <c r="A2180" s="10">
        <f>Daily_Data!A2180</f>
        <v>39576</v>
      </c>
      <c r="B2180" s="11">
        <f>Daily_Data!J2180</f>
        <v>19.4</v>
      </c>
      <c r="C2180" s="11">
        <f>Daily_Data!I2180</f>
        <v>4.33</v>
      </c>
      <c r="D2180" s="12">
        <f>if(sum(Daily_Data!K2180:L2180)&gt;0,1,0)</f>
        <v>0</v>
      </c>
    </row>
    <row r="2181">
      <c r="A2181" s="10">
        <f>Daily_Data!A2181</f>
        <v>39577</v>
      </c>
      <c r="B2181" s="11">
        <f>Daily_Data!J2181</f>
        <v>19.41</v>
      </c>
      <c r="C2181" s="11">
        <f>Daily_Data!I2181</f>
        <v>4.24</v>
      </c>
      <c r="D2181" s="12">
        <f>if(sum(Daily_Data!K2181:L2181)&gt;0,1,0)</f>
        <v>0</v>
      </c>
    </row>
    <row r="2182">
      <c r="A2182" s="10">
        <f>Daily_Data!A2182</f>
        <v>39580</v>
      </c>
      <c r="B2182" s="11">
        <f>Daily_Data!J2182</f>
        <v>17.79</v>
      </c>
      <c r="C2182" s="11">
        <f>Daily_Data!I2182</f>
        <v>4.21</v>
      </c>
      <c r="D2182" s="12">
        <f>if(sum(Daily_Data!K2182:L2182)&gt;0,1,0)</f>
        <v>0</v>
      </c>
    </row>
    <row r="2183">
      <c r="A2183" s="10">
        <f>Daily_Data!A2183</f>
        <v>39581</v>
      </c>
      <c r="B2183" s="11">
        <f>Daily_Data!J2183</f>
        <v>17.98</v>
      </c>
      <c r="C2183" s="11">
        <f>Daily_Data!I2183</f>
        <v>4.03</v>
      </c>
      <c r="D2183" s="12">
        <f>if(sum(Daily_Data!K2183:L2183)&gt;0,1,0)</f>
        <v>0</v>
      </c>
    </row>
    <row r="2184">
      <c r="A2184" s="10">
        <f>Daily_Data!A2184</f>
        <v>39582</v>
      </c>
      <c r="B2184" s="11">
        <f>Daily_Data!J2184</f>
        <v>17.66</v>
      </c>
      <c r="C2184" s="11">
        <f>Daily_Data!I2184</f>
        <v>3.97</v>
      </c>
      <c r="D2184" s="12">
        <f>if(sum(Daily_Data!K2184:L2184)&gt;0,1,0)</f>
        <v>1</v>
      </c>
    </row>
    <row r="2185">
      <c r="A2185" s="10">
        <f>Daily_Data!A2185</f>
        <v>39583</v>
      </c>
      <c r="B2185" s="11">
        <f>Daily_Data!J2185</f>
        <v>16.3</v>
      </c>
      <c r="C2185" s="11">
        <f>Daily_Data!I2185</f>
        <v>4.03</v>
      </c>
      <c r="D2185" s="12">
        <f>if(sum(Daily_Data!K2185:L2185)&gt;0,1,0)</f>
        <v>0</v>
      </c>
    </row>
    <row r="2186">
      <c r="A2186" s="10">
        <f>Daily_Data!A2186</f>
        <v>39584</v>
      </c>
      <c r="B2186" s="11">
        <f>Daily_Data!J2186</f>
        <v>16.47</v>
      </c>
      <c r="C2186" s="11">
        <f>Daily_Data!I2186</f>
        <v>3.88</v>
      </c>
      <c r="D2186" s="12">
        <f>if(sum(Daily_Data!K2186:L2186)&gt;0,1,0)</f>
        <v>0</v>
      </c>
    </row>
    <row r="2187">
      <c r="A2187" s="10">
        <f>Daily_Data!A2187</f>
        <v>39587</v>
      </c>
      <c r="B2187" s="11">
        <f>Daily_Data!J2187</f>
        <v>17.01</v>
      </c>
      <c r="C2187" s="11">
        <f>Daily_Data!I2187</f>
        <v>3.99</v>
      </c>
      <c r="D2187" s="12">
        <f>if(sum(Daily_Data!K2187:L2187)&gt;0,1,0)</f>
        <v>0</v>
      </c>
    </row>
    <row r="2188">
      <c r="A2188" s="10">
        <f>Daily_Data!A2188</f>
        <v>39588</v>
      </c>
      <c r="B2188" s="11">
        <f>Daily_Data!J2188</f>
        <v>17.58</v>
      </c>
      <c r="C2188" s="11">
        <f>Daily_Data!I2188</f>
        <v>4.06</v>
      </c>
      <c r="D2188" s="12">
        <f>if(sum(Daily_Data!K2188:L2188)&gt;0,1,0)</f>
        <v>0</v>
      </c>
    </row>
    <row r="2189">
      <c r="A2189" s="10">
        <f>Daily_Data!A2189</f>
        <v>39589</v>
      </c>
      <c r="B2189" s="11">
        <f>Daily_Data!J2189</f>
        <v>18.59</v>
      </c>
      <c r="C2189" s="11">
        <f>Daily_Data!I2189</f>
        <v>4.01</v>
      </c>
      <c r="D2189" s="12">
        <f>if(sum(Daily_Data!K2189:L2189)&gt;0,1,0)</f>
        <v>0</v>
      </c>
    </row>
    <row r="2190">
      <c r="A2190" s="10">
        <f>Daily_Data!A2190</f>
        <v>39590</v>
      </c>
      <c r="B2190" s="11">
        <f>Daily_Data!J2190</f>
        <v>18.05</v>
      </c>
      <c r="C2190" s="11">
        <f>Daily_Data!I2190</f>
        <v>3.88</v>
      </c>
      <c r="D2190" s="12">
        <f>if(sum(Daily_Data!K2190:L2190)&gt;0,1,0)</f>
        <v>0</v>
      </c>
    </row>
    <row r="2191">
      <c r="A2191" s="10">
        <f>Daily_Data!A2191</f>
        <v>39591</v>
      </c>
      <c r="B2191" s="11">
        <f>Daily_Data!J2191</f>
        <v>19.55</v>
      </c>
      <c r="C2191" s="11">
        <f>Daily_Data!I2191</f>
        <v>4.38</v>
      </c>
      <c r="D2191" s="12">
        <f>if(sum(Daily_Data!K2191:L2191)&gt;0,1,0)</f>
        <v>0</v>
      </c>
    </row>
    <row r="2192">
      <c r="A2192" s="10">
        <f>Daily_Data!A2192</f>
        <v>39594</v>
      </c>
      <c r="B2192" s="11" t="str">
        <f>Daily_Data!J2192</f>
        <v/>
      </c>
      <c r="C2192" s="11" t="str">
        <f>Daily_Data!I2192</f>
        <v/>
      </c>
      <c r="D2192" s="12">
        <f>if(sum(Daily_Data!K2192:L2192)&gt;0,1,0)</f>
        <v>0</v>
      </c>
    </row>
    <row r="2193">
      <c r="A2193" s="10">
        <f>Daily_Data!A2193</f>
        <v>39595</v>
      </c>
      <c r="B2193" s="11">
        <f>Daily_Data!J2193</f>
        <v>19.64</v>
      </c>
      <c r="C2193" s="11">
        <f>Daily_Data!I2193</f>
        <v>4.25</v>
      </c>
      <c r="D2193" s="12">
        <f>if(sum(Daily_Data!K2193:L2193)&gt;0,1,0)</f>
        <v>0</v>
      </c>
    </row>
    <row r="2194">
      <c r="A2194" s="10">
        <f>Daily_Data!A2194</f>
        <v>39596</v>
      </c>
      <c r="B2194" s="11">
        <f>Daily_Data!J2194</f>
        <v>19.07</v>
      </c>
      <c r="C2194" s="11">
        <f>Daily_Data!I2194</f>
        <v>4.07</v>
      </c>
      <c r="D2194" s="12">
        <f>if(sum(Daily_Data!K2194:L2194)&gt;0,1,0)</f>
        <v>0</v>
      </c>
    </row>
    <row r="2195">
      <c r="A2195" s="10">
        <f>Daily_Data!A2195</f>
        <v>39597</v>
      </c>
      <c r="B2195" s="11">
        <f>Daily_Data!J2195</f>
        <v>18.14</v>
      </c>
      <c r="C2195" s="11">
        <f>Daily_Data!I2195</f>
        <v>4.02</v>
      </c>
      <c r="D2195" s="12">
        <f>if(sum(Daily_Data!K2195:L2195)&gt;0,1,0)</f>
        <v>0</v>
      </c>
    </row>
    <row r="2196">
      <c r="A2196" s="10">
        <f>Daily_Data!A2196</f>
        <v>39598</v>
      </c>
      <c r="B2196" s="11">
        <f>Daily_Data!J2196</f>
        <v>17.83</v>
      </c>
      <c r="C2196" s="11">
        <f>Daily_Data!I2196</f>
        <v>4.04</v>
      </c>
      <c r="D2196" s="12">
        <f>if(sum(Daily_Data!K2196:L2196)&gt;0,1,0)</f>
        <v>0</v>
      </c>
    </row>
    <row r="2197">
      <c r="A2197" s="10">
        <f>Daily_Data!A2197</f>
        <v>39601</v>
      </c>
      <c r="B2197" s="11">
        <f>Daily_Data!J2197</f>
        <v>19.83</v>
      </c>
      <c r="C2197" s="11" t="str">
        <f>Daily_Data!I2197</f>
        <v/>
      </c>
      <c r="D2197" s="12">
        <f>if(sum(Daily_Data!K2197:L2197)&gt;0,1,0)</f>
        <v>0</v>
      </c>
    </row>
    <row r="2198">
      <c r="A2198" s="10">
        <f>Daily_Data!A2198</f>
        <v>39602</v>
      </c>
      <c r="B2198" s="11">
        <f>Daily_Data!J2198</f>
        <v>20.24</v>
      </c>
      <c r="C2198" s="11">
        <f>Daily_Data!I2198</f>
        <v>4.26</v>
      </c>
      <c r="D2198" s="12">
        <f>if(sum(Daily_Data!K2198:L2198)&gt;0,1,0)</f>
        <v>0</v>
      </c>
    </row>
    <row r="2199">
      <c r="A2199" s="10">
        <f>Daily_Data!A2199</f>
        <v>39603</v>
      </c>
      <c r="B2199" s="11">
        <f>Daily_Data!J2199</f>
        <v>20.8</v>
      </c>
      <c r="C2199" s="11">
        <f>Daily_Data!I2199</f>
        <v>4.24</v>
      </c>
      <c r="D2199" s="12">
        <f>if(sum(Daily_Data!K2199:L2199)&gt;0,1,0)</f>
        <v>0</v>
      </c>
    </row>
    <row r="2200">
      <c r="A2200" s="10">
        <f>Daily_Data!A2200</f>
        <v>39604</v>
      </c>
      <c r="B2200" s="11">
        <f>Daily_Data!J2200</f>
        <v>18.63</v>
      </c>
      <c r="C2200" s="11">
        <f>Daily_Data!I2200</f>
        <v>4.09</v>
      </c>
      <c r="D2200" s="12">
        <f>if(sum(Daily_Data!K2200:L2200)&gt;0,1,0)</f>
        <v>0</v>
      </c>
    </row>
    <row r="2201">
      <c r="A2201" s="10">
        <f>Daily_Data!A2201</f>
        <v>39605</v>
      </c>
      <c r="B2201" s="11">
        <f>Daily_Data!J2201</f>
        <v>23.56</v>
      </c>
      <c r="C2201" s="11">
        <f>Daily_Data!I2201</f>
        <v>4.15</v>
      </c>
      <c r="D2201" s="12">
        <f>if(sum(Daily_Data!K2201:L2201)&gt;0,1,0)</f>
        <v>1</v>
      </c>
    </row>
    <row r="2202">
      <c r="A2202" s="10">
        <f>Daily_Data!A2202</f>
        <v>39608</v>
      </c>
      <c r="B2202" s="11">
        <f>Daily_Data!J2202</f>
        <v>23.12</v>
      </c>
      <c r="C2202" s="11">
        <f>Daily_Data!I2202</f>
        <v>3.86</v>
      </c>
      <c r="D2202" s="12">
        <f>if(sum(Daily_Data!K2202:L2202)&gt;0,1,0)</f>
        <v>0</v>
      </c>
    </row>
    <row r="2203">
      <c r="A2203" s="10">
        <f>Daily_Data!A2203</f>
        <v>39609</v>
      </c>
      <c r="B2203" s="11">
        <f>Daily_Data!J2203</f>
        <v>23.18</v>
      </c>
      <c r="C2203" s="11">
        <f>Daily_Data!I2203</f>
        <v>3.7</v>
      </c>
      <c r="D2203" s="12">
        <f>if(sum(Daily_Data!K2203:L2203)&gt;0,1,0)</f>
        <v>0</v>
      </c>
    </row>
    <row r="2204">
      <c r="A2204" s="10">
        <f>Daily_Data!A2204</f>
        <v>39610</v>
      </c>
      <c r="B2204" s="11">
        <f>Daily_Data!J2204</f>
        <v>24.12</v>
      </c>
      <c r="C2204" s="11">
        <f>Daily_Data!I2204</f>
        <v>3.86</v>
      </c>
      <c r="D2204" s="12">
        <f>if(sum(Daily_Data!K2204:L2204)&gt;0,1,0)</f>
        <v>0</v>
      </c>
    </row>
    <row r="2205">
      <c r="A2205" s="10">
        <f>Daily_Data!A2205</f>
        <v>39611</v>
      </c>
      <c r="B2205" s="11">
        <f>Daily_Data!J2205</f>
        <v>23.33</v>
      </c>
      <c r="C2205" s="11">
        <f>Daily_Data!I2205</f>
        <v>3.69</v>
      </c>
      <c r="D2205" s="12">
        <f>if(sum(Daily_Data!K2205:L2205)&gt;0,1,0)</f>
        <v>0</v>
      </c>
    </row>
    <row r="2206">
      <c r="A2206" s="10">
        <f>Daily_Data!A2206</f>
        <v>39612</v>
      </c>
      <c r="B2206" s="11">
        <f>Daily_Data!J2206</f>
        <v>21.22</v>
      </c>
      <c r="C2206" s="11">
        <f>Daily_Data!I2206</f>
        <v>3.58</v>
      </c>
      <c r="D2206" s="12">
        <f>if(sum(Daily_Data!K2206:L2206)&gt;0,1,0)</f>
        <v>1</v>
      </c>
    </row>
    <row r="2207">
      <c r="A2207" s="10">
        <f>Daily_Data!A2207</f>
        <v>39615</v>
      </c>
      <c r="B2207" s="11">
        <f>Daily_Data!J2207</f>
        <v>20.95</v>
      </c>
      <c r="C2207" s="11">
        <f>Daily_Data!I2207</f>
        <v>3.64</v>
      </c>
      <c r="D2207" s="12">
        <f>if(sum(Daily_Data!K2207:L2207)&gt;0,1,0)</f>
        <v>0</v>
      </c>
    </row>
    <row r="2208">
      <c r="A2208" s="10">
        <f>Daily_Data!A2208</f>
        <v>39616</v>
      </c>
      <c r="B2208" s="11">
        <f>Daily_Data!J2208</f>
        <v>21.13</v>
      </c>
      <c r="C2208" s="11">
        <f>Daily_Data!I2208</f>
        <v>3.71</v>
      </c>
      <c r="D2208" s="12">
        <f>if(sum(Daily_Data!K2208:L2208)&gt;0,1,0)</f>
        <v>0</v>
      </c>
    </row>
    <row r="2209">
      <c r="A2209" s="10">
        <f>Daily_Data!A2209</f>
        <v>39617</v>
      </c>
      <c r="B2209" s="11">
        <f>Daily_Data!J2209</f>
        <v>22.24</v>
      </c>
      <c r="C2209" s="11">
        <f>Daily_Data!I2209</f>
        <v>3.71</v>
      </c>
      <c r="D2209" s="12">
        <f>if(sum(Daily_Data!K2209:L2209)&gt;0,1,0)</f>
        <v>0</v>
      </c>
    </row>
    <row r="2210">
      <c r="A2210" s="10">
        <f>Daily_Data!A2210</f>
        <v>39618</v>
      </c>
      <c r="B2210" s="11">
        <f>Daily_Data!J2210</f>
        <v>21.58</v>
      </c>
      <c r="C2210" s="11">
        <f>Daily_Data!I2210</f>
        <v>3.59</v>
      </c>
      <c r="D2210" s="12">
        <f>if(sum(Daily_Data!K2210:L2210)&gt;0,1,0)</f>
        <v>0</v>
      </c>
    </row>
    <row r="2211">
      <c r="A2211" s="10">
        <f>Daily_Data!A2211</f>
        <v>39619</v>
      </c>
      <c r="B2211" s="11">
        <f>Daily_Data!J2211</f>
        <v>22.87</v>
      </c>
      <c r="C2211" s="11">
        <f>Daily_Data!I2211</f>
        <v>3.62</v>
      </c>
      <c r="D2211" s="12">
        <f>if(sum(Daily_Data!K2211:L2211)&gt;0,1,0)</f>
        <v>0</v>
      </c>
    </row>
    <row r="2212">
      <c r="A2212" s="10">
        <f>Daily_Data!A2212</f>
        <v>39622</v>
      </c>
      <c r="B2212" s="11">
        <f>Daily_Data!J2212</f>
        <v>22.64</v>
      </c>
      <c r="C2212" s="11">
        <f>Daily_Data!I2212</f>
        <v>3.52</v>
      </c>
      <c r="D2212" s="12">
        <f>if(sum(Daily_Data!K2212:L2212)&gt;0,1,0)</f>
        <v>0</v>
      </c>
    </row>
    <row r="2213">
      <c r="A2213" s="10">
        <f>Daily_Data!A2213</f>
        <v>39623</v>
      </c>
      <c r="B2213" s="11">
        <f>Daily_Data!J2213</f>
        <v>22.42</v>
      </c>
      <c r="C2213" s="11">
        <f>Daily_Data!I2213</f>
        <v>3.63</v>
      </c>
      <c r="D2213" s="12">
        <f>if(sum(Daily_Data!K2213:L2213)&gt;0,1,0)</f>
        <v>0</v>
      </c>
    </row>
    <row r="2214">
      <c r="A2214" s="10">
        <f>Daily_Data!A2214</f>
        <v>39624</v>
      </c>
      <c r="B2214" s="11">
        <f>Daily_Data!J2214</f>
        <v>21.14</v>
      </c>
      <c r="C2214" s="11">
        <f>Daily_Data!I2214</f>
        <v>3.66</v>
      </c>
      <c r="D2214" s="12">
        <f>if(sum(Daily_Data!K2214:L2214)&gt;0,1,0)</f>
        <v>0</v>
      </c>
    </row>
    <row r="2215">
      <c r="A2215" s="10">
        <f>Daily_Data!A2215</f>
        <v>39625</v>
      </c>
      <c r="B2215" s="11">
        <f>Daily_Data!J2215</f>
        <v>23.93</v>
      </c>
      <c r="C2215" s="11">
        <f>Daily_Data!I2215</f>
        <v>3.8</v>
      </c>
      <c r="D2215" s="12">
        <f>if(sum(Daily_Data!K2215:L2215)&gt;0,1,0)</f>
        <v>0</v>
      </c>
    </row>
    <row r="2216">
      <c r="A2216" s="10">
        <f>Daily_Data!A2216</f>
        <v>39626</v>
      </c>
      <c r="B2216" s="11">
        <f>Daily_Data!J2216</f>
        <v>23.44</v>
      </c>
      <c r="C2216" s="11">
        <f>Daily_Data!I2216</f>
        <v>3.77</v>
      </c>
      <c r="D2216" s="12">
        <f>if(sum(Daily_Data!K2216:L2216)&gt;0,1,0)</f>
        <v>0</v>
      </c>
    </row>
    <row r="2217">
      <c r="A2217" s="10">
        <f>Daily_Data!A2217</f>
        <v>39629</v>
      </c>
      <c r="B2217" s="11">
        <f>Daily_Data!J2217</f>
        <v>23.95</v>
      </c>
      <c r="C2217" s="11">
        <f>Daily_Data!I2217</f>
        <v>3.75</v>
      </c>
      <c r="D2217" s="12">
        <f>if(sum(Daily_Data!K2217:L2217)&gt;0,1,0)</f>
        <v>0</v>
      </c>
    </row>
    <row r="2218">
      <c r="A2218" s="10">
        <f>Daily_Data!A2218</f>
        <v>39630</v>
      </c>
      <c r="B2218" s="11">
        <f>Daily_Data!J2218</f>
        <v>23.65</v>
      </c>
      <c r="C2218" s="11">
        <f>Daily_Data!I2218</f>
        <v>3.72</v>
      </c>
      <c r="D2218" s="12">
        <f>if(sum(Daily_Data!K2218:L2218)&gt;0,1,0)</f>
        <v>0</v>
      </c>
    </row>
    <row r="2219">
      <c r="A2219" s="10">
        <f>Daily_Data!A2219</f>
        <v>39631</v>
      </c>
      <c r="B2219" s="11">
        <f>Daily_Data!J2219</f>
        <v>25.92</v>
      </c>
      <c r="C2219" s="11">
        <f>Daily_Data!I2219</f>
        <v>3.7</v>
      </c>
      <c r="D2219" s="12">
        <f>if(sum(Daily_Data!K2219:L2219)&gt;0,1,0)</f>
        <v>0</v>
      </c>
    </row>
    <row r="2220">
      <c r="A2220" s="10">
        <f>Daily_Data!A2220</f>
        <v>39632</v>
      </c>
      <c r="B2220" s="11">
        <f>Daily_Data!J2220</f>
        <v>24.79</v>
      </c>
      <c r="C2220" s="11">
        <f>Daily_Data!I2220</f>
        <v>3.75</v>
      </c>
      <c r="D2220" s="12">
        <f>if(sum(Daily_Data!K2220:L2220)&gt;0,1,0)</f>
        <v>1</v>
      </c>
    </row>
    <row r="2221">
      <c r="A2221" s="10">
        <f>Daily_Data!A2221</f>
        <v>39633</v>
      </c>
      <c r="B2221" s="11" t="str">
        <f>Daily_Data!J2221</f>
        <v/>
      </c>
      <c r="C2221" s="11" t="str">
        <f>Daily_Data!I2221</f>
        <v/>
      </c>
      <c r="D2221" s="12">
        <f>if(sum(Daily_Data!K2221:L2221)&gt;0,1,0)</f>
        <v>0</v>
      </c>
    </row>
    <row r="2222">
      <c r="A2222" s="10">
        <f>Daily_Data!A2222</f>
        <v>39636</v>
      </c>
      <c r="B2222" s="11">
        <f>Daily_Data!J2222</f>
        <v>25.78</v>
      </c>
      <c r="C2222" s="11">
        <f>Daily_Data!I2222</f>
        <v>3.8</v>
      </c>
      <c r="D2222" s="12">
        <f>if(sum(Daily_Data!K2222:L2222)&gt;0,1,0)</f>
        <v>0</v>
      </c>
    </row>
    <row r="2223">
      <c r="A2223" s="10">
        <f>Daily_Data!A2223</f>
        <v>39637</v>
      </c>
      <c r="B2223" s="11">
        <f>Daily_Data!J2223</f>
        <v>23.15</v>
      </c>
      <c r="C2223" s="11">
        <f>Daily_Data!I2223</f>
        <v>3.76</v>
      </c>
      <c r="D2223" s="12">
        <f>if(sum(Daily_Data!K2223:L2223)&gt;0,1,0)</f>
        <v>0</v>
      </c>
    </row>
    <row r="2224">
      <c r="A2224" s="10">
        <f>Daily_Data!A2224</f>
        <v>39638</v>
      </c>
      <c r="B2224" s="11">
        <f>Daily_Data!J2224</f>
        <v>25.23</v>
      </c>
      <c r="C2224" s="11">
        <f>Daily_Data!I2224</f>
        <v>3.81</v>
      </c>
      <c r="D2224" s="12">
        <f>if(sum(Daily_Data!K2224:L2224)&gt;0,1,0)</f>
        <v>0</v>
      </c>
    </row>
    <row r="2225">
      <c r="A2225" s="10">
        <f>Daily_Data!A2225</f>
        <v>39639</v>
      </c>
      <c r="B2225" s="11">
        <f>Daily_Data!J2225</f>
        <v>25.59</v>
      </c>
      <c r="C2225" s="11">
        <f>Daily_Data!I2225</f>
        <v>3.75</v>
      </c>
      <c r="D2225" s="12">
        <f>if(sum(Daily_Data!K2225:L2225)&gt;0,1,0)</f>
        <v>0</v>
      </c>
    </row>
    <row r="2226">
      <c r="A2226" s="10">
        <f>Daily_Data!A2226</f>
        <v>39640</v>
      </c>
      <c r="B2226" s="11">
        <f>Daily_Data!J2226</f>
        <v>27.49</v>
      </c>
      <c r="C2226" s="11">
        <f>Daily_Data!I2226</f>
        <v>3.55</v>
      </c>
      <c r="D2226" s="12">
        <f>if(sum(Daily_Data!K2226:L2226)&gt;0,1,0)</f>
        <v>0</v>
      </c>
    </row>
    <row r="2227">
      <c r="A2227" s="10">
        <f>Daily_Data!A2227</f>
        <v>39643</v>
      </c>
      <c r="B2227" s="11">
        <f>Daily_Data!J2227</f>
        <v>28.48</v>
      </c>
      <c r="C2227" s="11">
        <f>Daily_Data!I2227</f>
        <v>3.59</v>
      </c>
      <c r="D2227" s="12">
        <f>if(sum(Daily_Data!K2227:L2227)&gt;0,1,0)</f>
        <v>0</v>
      </c>
    </row>
    <row r="2228">
      <c r="A2228" s="10">
        <f>Daily_Data!A2228</f>
        <v>39644</v>
      </c>
      <c r="B2228" s="11">
        <f>Daily_Data!J2228</f>
        <v>28.54</v>
      </c>
      <c r="C2228" s="11">
        <f>Daily_Data!I2228</f>
        <v>3.62</v>
      </c>
      <c r="D2228" s="12">
        <f>if(sum(Daily_Data!K2228:L2228)&gt;0,1,0)</f>
        <v>0</v>
      </c>
    </row>
    <row r="2229">
      <c r="A2229" s="10">
        <f>Daily_Data!A2229</f>
        <v>39645</v>
      </c>
      <c r="B2229" s="11">
        <f>Daily_Data!J2229</f>
        <v>25.1</v>
      </c>
      <c r="C2229" s="11">
        <f>Daily_Data!I2229</f>
        <v>3.65</v>
      </c>
      <c r="D2229" s="12">
        <f>if(sum(Daily_Data!K2229:L2229)&gt;0,1,0)</f>
        <v>1</v>
      </c>
    </row>
    <row r="2230">
      <c r="A2230" s="10">
        <f>Daily_Data!A2230</f>
        <v>39646</v>
      </c>
      <c r="B2230" s="11">
        <f>Daily_Data!J2230</f>
        <v>25.01</v>
      </c>
      <c r="C2230" s="11">
        <f>Daily_Data!I2230</f>
        <v>3.43</v>
      </c>
      <c r="D2230" s="12">
        <f>if(sum(Daily_Data!K2230:L2230)&gt;0,1,0)</f>
        <v>0</v>
      </c>
    </row>
    <row r="2231">
      <c r="A2231" s="10">
        <f>Daily_Data!A2231</f>
        <v>39647</v>
      </c>
      <c r="B2231" s="11">
        <f>Daily_Data!J2231</f>
        <v>24.05</v>
      </c>
      <c r="C2231" s="11">
        <f>Daily_Data!I2231</f>
        <v>3.44</v>
      </c>
      <c r="D2231" s="12">
        <f>if(sum(Daily_Data!K2231:L2231)&gt;0,1,0)</f>
        <v>0</v>
      </c>
    </row>
    <row r="2232">
      <c r="A2232" s="10">
        <f>Daily_Data!A2232</f>
        <v>39650</v>
      </c>
      <c r="B2232" s="11">
        <f>Daily_Data!J2232</f>
        <v>23.05</v>
      </c>
      <c r="C2232" s="11">
        <f>Daily_Data!I2232</f>
        <v>3.54</v>
      </c>
      <c r="D2232" s="12">
        <f>if(sum(Daily_Data!K2232:L2232)&gt;0,1,0)</f>
        <v>0</v>
      </c>
    </row>
    <row r="2233">
      <c r="A2233" s="10">
        <f>Daily_Data!A2233</f>
        <v>39651</v>
      </c>
      <c r="B2233" s="11">
        <f>Daily_Data!J2233</f>
        <v>21.18</v>
      </c>
      <c r="C2233" s="11">
        <f>Daily_Data!I2233</f>
        <v>3.47</v>
      </c>
      <c r="D2233" s="12">
        <f>if(sum(Daily_Data!K2233:L2233)&gt;0,1,0)</f>
        <v>0</v>
      </c>
    </row>
    <row r="2234">
      <c r="A2234" s="10">
        <f>Daily_Data!A2234</f>
        <v>39652</v>
      </c>
      <c r="B2234" s="11">
        <f>Daily_Data!J2234</f>
        <v>21.31</v>
      </c>
      <c r="C2234" s="11">
        <f>Daily_Data!I2234</f>
        <v>3.46</v>
      </c>
      <c r="D2234" s="12">
        <f>if(sum(Daily_Data!K2234:L2234)&gt;0,1,0)</f>
        <v>0</v>
      </c>
    </row>
    <row r="2235">
      <c r="A2235" s="10">
        <f>Daily_Data!A2235</f>
        <v>39653</v>
      </c>
      <c r="B2235" s="11">
        <f>Daily_Data!J2235</f>
        <v>23.44</v>
      </c>
      <c r="C2235" s="11">
        <f>Daily_Data!I2235</f>
        <v>3.56</v>
      </c>
      <c r="D2235" s="12">
        <f>if(sum(Daily_Data!K2235:L2235)&gt;0,1,0)</f>
        <v>0</v>
      </c>
    </row>
    <row r="2236">
      <c r="A2236" s="10">
        <f>Daily_Data!A2236</f>
        <v>39654</v>
      </c>
      <c r="B2236" s="11">
        <f>Daily_Data!J2236</f>
        <v>22.91</v>
      </c>
      <c r="C2236" s="11">
        <f>Daily_Data!I2236</f>
        <v>3.44</v>
      </c>
      <c r="D2236" s="12">
        <f>if(sum(Daily_Data!K2236:L2236)&gt;0,1,0)</f>
        <v>0</v>
      </c>
    </row>
    <row r="2237">
      <c r="A2237" s="10">
        <f>Daily_Data!A2237</f>
        <v>39657</v>
      </c>
      <c r="B2237" s="11">
        <f>Daily_Data!J2237</f>
        <v>24.23</v>
      </c>
      <c r="C2237" s="11">
        <f>Daily_Data!I2237</f>
        <v>3.59</v>
      </c>
      <c r="D2237" s="12">
        <f>if(sum(Daily_Data!K2237:L2237)&gt;0,1,0)</f>
        <v>0</v>
      </c>
    </row>
    <row r="2238">
      <c r="A2238" s="10">
        <f>Daily_Data!A2238</f>
        <v>39658</v>
      </c>
      <c r="B2238" s="11">
        <f>Daily_Data!J2238</f>
        <v>22.03</v>
      </c>
      <c r="C2238" s="11">
        <f>Daily_Data!I2238</f>
        <v>3.57</v>
      </c>
      <c r="D2238" s="12">
        <f>if(sum(Daily_Data!K2238:L2238)&gt;0,1,0)</f>
        <v>0</v>
      </c>
    </row>
    <row r="2239">
      <c r="A2239" s="10">
        <f>Daily_Data!A2239</f>
        <v>39659</v>
      </c>
      <c r="B2239" s="11">
        <f>Daily_Data!J2239</f>
        <v>21.21</v>
      </c>
      <c r="C2239" s="11">
        <f>Daily_Data!I2239</f>
        <v>3.59</v>
      </c>
      <c r="D2239" s="12">
        <f>if(sum(Daily_Data!K2239:L2239)&gt;0,1,0)</f>
        <v>0</v>
      </c>
    </row>
    <row r="2240">
      <c r="A2240" s="10">
        <f>Daily_Data!A2240</f>
        <v>39660</v>
      </c>
      <c r="B2240" s="11">
        <f>Daily_Data!J2240</f>
        <v>22.94</v>
      </c>
      <c r="C2240" s="11">
        <f>Daily_Data!I2240</f>
        <v>3.67</v>
      </c>
      <c r="D2240" s="12">
        <f>if(sum(Daily_Data!K2240:L2240)&gt;0,1,0)</f>
        <v>0</v>
      </c>
    </row>
    <row r="2241">
      <c r="A2241" s="10">
        <f>Daily_Data!A2241</f>
        <v>39661</v>
      </c>
      <c r="B2241" s="11">
        <f>Daily_Data!J2241</f>
        <v>22.57</v>
      </c>
      <c r="C2241" s="11">
        <f>Daily_Data!I2241</f>
        <v>3.61</v>
      </c>
      <c r="D2241" s="12">
        <f>if(sum(Daily_Data!K2241:L2241)&gt;0,1,0)</f>
        <v>1</v>
      </c>
    </row>
    <row r="2242">
      <c r="A2242" s="10">
        <f>Daily_Data!A2242</f>
        <v>39664</v>
      </c>
      <c r="B2242" s="11">
        <f>Daily_Data!J2242</f>
        <v>23.49</v>
      </c>
      <c r="C2242" s="11">
        <f>Daily_Data!I2242</f>
        <v>3.6</v>
      </c>
      <c r="D2242" s="12">
        <f>if(sum(Daily_Data!K2242:L2242)&gt;0,1,0)</f>
        <v>0</v>
      </c>
    </row>
    <row r="2243">
      <c r="A2243" s="10">
        <f>Daily_Data!A2243</f>
        <v>39665</v>
      </c>
      <c r="B2243" s="11">
        <f>Daily_Data!J2243</f>
        <v>21.14</v>
      </c>
      <c r="C2243" s="11">
        <f>Daily_Data!I2243</f>
        <v>3.6</v>
      </c>
      <c r="D2243" s="12">
        <f>if(sum(Daily_Data!K2243:L2243)&gt;0,1,0)</f>
        <v>0</v>
      </c>
    </row>
    <row r="2244">
      <c r="A2244" s="10">
        <f>Daily_Data!A2244</f>
        <v>39666</v>
      </c>
      <c r="B2244" s="11">
        <f>Daily_Data!J2244</f>
        <v>20.23</v>
      </c>
      <c r="C2244" s="11">
        <f>Daily_Data!I2244</f>
        <v>3.55</v>
      </c>
      <c r="D2244" s="12">
        <f>if(sum(Daily_Data!K2244:L2244)&gt;0,1,0)</f>
        <v>0</v>
      </c>
    </row>
    <row r="2245">
      <c r="A2245" s="10">
        <f>Daily_Data!A2245</f>
        <v>39667</v>
      </c>
      <c r="B2245" s="11">
        <f>Daily_Data!J2245</f>
        <v>21.15</v>
      </c>
      <c r="C2245" s="11">
        <f>Daily_Data!I2245</f>
        <v>3.75</v>
      </c>
      <c r="D2245" s="12">
        <f>if(sum(Daily_Data!K2245:L2245)&gt;0,1,0)</f>
        <v>0</v>
      </c>
    </row>
    <row r="2246">
      <c r="A2246" s="10">
        <f>Daily_Data!A2246</f>
        <v>39668</v>
      </c>
      <c r="B2246" s="11">
        <f>Daily_Data!J2246</f>
        <v>20.66</v>
      </c>
      <c r="C2246" s="11">
        <f>Daily_Data!I2246</f>
        <v>3.64</v>
      </c>
      <c r="D2246" s="12">
        <f>if(sum(Daily_Data!K2246:L2246)&gt;0,1,0)</f>
        <v>0</v>
      </c>
    </row>
    <row r="2247">
      <c r="A2247" s="10">
        <f>Daily_Data!A2247</f>
        <v>39671</v>
      </c>
      <c r="B2247" s="11">
        <f>Daily_Data!J2247</f>
        <v>20.12</v>
      </c>
      <c r="C2247" s="11">
        <f>Daily_Data!I2247</f>
        <v>3.64</v>
      </c>
      <c r="D2247" s="12">
        <f>if(sum(Daily_Data!K2247:L2247)&gt;0,1,0)</f>
        <v>0</v>
      </c>
    </row>
    <row r="2248">
      <c r="A2248" s="10">
        <f>Daily_Data!A2248</f>
        <v>39672</v>
      </c>
      <c r="B2248" s="11">
        <f>Daily_Data!J2248</f>
        <v>21.17</v>
      </c>
      <c r="C2248" s="11">
        <f>Daily_Data!I2248</f>
        <v>3.79</v>
      </c>
      <c r="D2248" s="12">
        <f>if(sum(Daily_Data!K2248:L2248)&gt;0,1,0)</f>
        <v>0</v>
      </c>
    </row>
    <row r="2249">
      <c r="A2249" s="10">
        <f>Daily_Data!A2249</f>
        <v>39673</v>
      </c>
      <c r="B2249" s="11">
        <f>Daily_Data!J2249</f>
        <v>21.55</v>
      </c>
      <c r="C2249" s="11">
        <f>Daily_Data!I2249</f>
        <v>3.74</v>
      </c>
      <c r="D2249" s="12">
        <f>if(sum(Daily_Data!K2249:L2249)&gt;0,1,0)</f>
        <v>0</v>
      </c>
    </row>
    <row r="2250">
      <c r="A2250" s="10">
        <f>Daily_Data!A2250</f>
        <v>39674</v>
      </c>
      <c r="B2250" s="11">
        <f>Daily_Data!J2250</f>
        <v>20.34</v>
      </c>
      <c r="C2250" s="11">
        <f>Daily_Data!I2250</f>
        <v>3.82</v>
      </c>
      <c r="D2250" s="12">
        <f>if(sum(Daily_Data!K2250:L2250)&gt;0,1,0)</f>
        <v>1</v>
      </c>
    </row>
    <row r="2251">
      <c r="A2251" s="10">
        <f>Daily_Data!A2251</f>
        <v>39675</v>
      </c>
      <c r="B2251" s="11">
        <f>Daily_Data!J2251</f>
        <v>19.58</v>
      </c>
      <c r="C2251" s="11">
        <f>Daily_Data!I2251</f>
        <v>3.86</v>
      </c>
      <c r="D2251" s="12">
        <f>if(sum(Daily_Data!K2251:L2251)&gt;0,1,0)</f>
        <v>0</v>
      </c>
    </row>
    <row r="2252">
      <c r="A2252" s="10">
        <f>Daily_Data!A2252</f>
        <v>39678</v>
      </c>
      <c r="B2252" s="11">
        <f>Daily_Data!J2252</f>
        <v>20.98</v>
      </c>
      <c r="C2252" s="11">
        <f>Daily_Data!I2252</f>
        <v>3.9</v>
      </c>
      <c r="D2252" s="12">
        <f>if(sum(Daily_Data!K2252:L2252)&gt;0,1,0)</f>
        <v>0</v>
      </c>
    </row>
    <row r="2253">
      <c r="A2253" s="10">
        <f>Daily_Data!A2253</f>
        <v>39679</v>
      </c>
      <c r="B2253" s="11">
        <f>Daily_Data!J2253</f>
        <v>21.28</v>
      </c>
      <c r="C2253" s="11">
        <f>Daily_Data!I2253</f>
        <v>3.93</v>
      </c>
      <c r="D2253" s="12">
        <f>if(sum(Daily_Data!K2253:L2253)&gt;0,1,0)</f>
        <v>0</v>
      </c>
    </row>
    <row r="2254">
      <c r="A2254" s="10">
        <f>Daily_Data!A2254</f>
        <v>39680</v>
      </c>
      <c r="B2254" s="11">
        <f>Daily_Data!J2254</f>
        <v>20.42</v>
      </c>
      <c r="C2254" s="11">
        <f>Daily_Data!I2254</f>
        <v>4</v>
      </c>
      <c r="D2254" s="12">
        <f>if(sum(Daily_Data!K2254:L2254)&gt;0,1,0)</f>
        <v>0</v>
      </c>
    </row>
    <row r="2255">
      <c r="A2255" s="10">
        <f>Daily_Data!A2255</f>
        <v>39681</v>
      </c>
      <c r="B2255" s="11">
        <f>Daily_Data!J2255</f>
        <v>19.82</v>
      </c>
      <c r="C2255" s="11">
        <f>Daily_Data!I2255</f>
        <v>3.91</v>
      </c>
      <c r="D2255" s="12">
        <f>if(sum(Daily_Data!K2255:L2255)&gt;0,1,0)</f>
        <v>0</v>
      </c>
    </row>
    <row r="2256">
      <c r="A2256" s="10">
        <f>Daily_Data!A2256</f>
        <v>39682</v>
      </c>
      <c r="B2256" s="11">
        <f>Daily_Data!J2256</f>
        <v>18.81</v>
      </c>
      <c r="C2256" s="11">
        <f>Daily_Data!I2256</f>
        <v>3.76</v>
      </c>
      <c r="D2256" s="12">
        <f>if(sum(Daily_Data!K2256:L2256)&gt;0,1,0)</f>
        <v>0</v>
      </c>
    </row>
    <row r="2257">
      <c r="A2257" s="10">
        <f>Daily_Data!A2257</f>
        <v>39685</v>
      </c>
      <c r="B2257" s="11">
        <f>Daily_Data!J2257</f>
        <v>20.97</v>
      </c>
      <c r="C2257" s="11">
        <f>Daily_Data!I2257</f>
        <v>3.85</v>
      </c>
      <c r="D2257" s="12">
        <f>if(sum(Daily_Data!K2257:L2257)&gt;0,1,0)</f>
        <v>0</v>
      </c>
    </row>
    <row r="2258">
      <c r="A2258" s="10">
        <f>Daily_Data!A2258</f>
        <v>39686</v>
      </c>
      <c r="B2258" s="11">
        <f>Daily_Data!J2258</f>
        <v>20.49</v>
      </c>
      <c r="C2258" s="11">
        <f>Daily_Data!I2258</f>
        <v>3.82</v>
      </c>
      <c r="D2258" s="12">
        <f>if(sum(Daily_Data!K2258:L2258)&gt;0,1,0)</f>
        <v>0</v>
      </c>
    </row>
    <row r="2259">
      <c r="A2259" s="10">
        <f>Daily_Data!A2259</f>
        <v>39687</v>
      </c>
      <c r="B2259" s="11">
        <f>Daily_Data!J2259</f>
        <v>19.76</v>
      </c>
      <c r="C2259" s="11">
        <f>Daily_Data!I2259</f>
        <v>3.82</v>
      </c>
      <c r="D2259" s="12">
        <f>if(sum(Daily_Data!K2259:L2259)&gt;0,1,0)</f>
        <v>0</v>
      </c>
    </row>
    <row r="2260">
      <c r="A2260" s="10">
        <f>Daily_Data!A2260</f>
        <v>39688</v>
      </c>
      <c r="B2260" s="11">
        <f>Daily_Data!J2260</f>
        <v>19.43</v>
      </c>
      <c r="C2260" s="11">
        <f>Daily_Data!I2260</f>
        <v>3.76</v>
      </c>
      <c r="D2260" s="12">
        <f>if(sum(Daily_Data!K2260:L2260)&gt;0,1,0)</f>
        <v>0</v>
      </c>
    </row>
    <row r="2261">
      <c r="A2261" s="10">
        <f>Daily_Data!A2261</f>
        <v>39689</v>
      </c>
      <c r="B2261" s="11">
        <f>Daily_Data!J2261</f>
        <v>20.65</v>
      </c>
      <c r="C2261" s="11">
        <f>Daily_Data!I2261</f>
        <v>3.74</v>
      </c>
      <c r="D2261" s="12">
        <f>if(sum(Daily_Data!K2261:L2261)&gt;0,1,0)</f>
        <v>0</v>
      </c>
    </row>
    <row r="2262">
      <c r="A2262" s="10">
        <f>Daily_Data!A2262</f>
        <v>39692</v>
      </c>
      <c r="B2262" s="11" t="str">
        <f>Daily_Data!J2262</f>
        <v/>
      </c>
      <c r="C2262" s="11" t="str">
        <f>Daily_Data!I2262</f>
        <v/>
      </c>
      <c r="D2262" s="12">
        <f>if(sum(Daily_Data!K2262:L2262)&gt;0,1,0)</f>
        <v>0</v>
      </c>
    </row>
    <row r="2263">
      <c r="A2263" s="10">
        <f>Daily_Data!A2263</f>
        <v>39693</v>
      </c>
      <c r="B2263" s="11">
        <f>Daily_Data!J2263</f>
        <v>21.99</v>
      </c>
      <c r="C2263" s="11">
        <f>Daily_Data!I2263</f>
        <v>3.79</v>
      </c>
      <c r="D2263" s="12">
        <f>if(sum(Daily_Data!K2263:L2263)&gt;0,1,0)</f>
        <v>0</v>
      </c>
    </row>
    <row r="2264">
      <c r="A2264" s="10">
        <f>Daily_Data!A2264</f>
        <v>39694</v>
      </c>
      <c r="B2264" s="11">
        <f>Daily_Data!J2264</f>
        <v>21.43</v>
      </c>
      <c r="C2264" s="11">
        <f>Daily_Data!I2264</f>
        <v>3.78</v>
      </c>
      <c r="D2264" s="12">
        <f>if(sum(Daily_Data!K2264:L2264)&gt;0,1,0)</f>
        <v>0</v>
      </c>
    </row>
    <row r="2265">
      <c r="A2265" s="10">
        <f>Daily_Data!A2265</f>
        <v>39695</v>
      </c>
      <c r="B2265" s="11">
        <f>Daily_Data!J2265</f>
        <v>24.03</v>
      </c>
      <c r="C2265" s="11">
        <f>Daily_Data!I2265</f>
        <v>3.81</v>
      </c>
      <c r="D2265" s="12">
        <f>if(sum(Daily_Data!K2265:L2265)&gt;0,1,0)</f>
        <v>0</v>
      </c>
    </row>
    <row r="2266">
      <c r="A2266" s="10">
        <f>Daily_Data!A2266</f>
        <v>39696</v>
      </c>
      <c r="B2266" s="11">
        <f>Daily_Data!J2266</f>
        <v>23.06</v>
      </c>
      <c r="C2266" s="11">
        <f>Daily_Data!I2266</f>
        <v>3.74</v>
      </c>
      <c r="D2266" s="12">
        <f>if(sum(Daily_Data!K2266:L2266)&gt;0,1,0)</f>
        <v>1</v>
      </c>
    </row>
    <row r="2267">
      <c r="A2267" s="10">
        <f>Daily_Data!A2267</f>
        <v>39699</v>
      </c>
      <c r="B2267" s="11">
        <f>Daily_Data!J2267</f>
        <v>22.64</v>
      </c>
      <c r="C2267" s="11">
        <f>Daily_Data!I2267</f>
        <v>3.75</v>
      </c>
      <c r="D2267" s="12">
        <f>if(sum(Daily_Data!K2267:L2267)&gt;0,1,0)</f>
        <v>0</v>
      </c>
    </row>
    <row r="2268">
      <c r="A2268" s="10">
        <f>Daily_Data!A2268</f>
        <v>39700</v>
      </c>
      <c r="B2268" s="11">
        <f>Daily_Data!J2268</f>
        <v>25.47</v>
      </c>
      <c r="C2268" s="11">
        <f>Daily_Data!I2268</f>
        <v>3.8</v>
      </c>
      <c r="D2268" s="12">
        <f>if(sum(Daily_Data!K2268:L2268)&gt;0,1,0)</f>
        <v>0</v>
      </c>
    </row>
    <row r="2269">
      <c r="A2269" s="10">
        <f>Daily_Data!A2269</f>
        <v>39701</v>
      </c>
      <c r="B2269" s="11">
        <f>Daily_Data!J2269</f>
        <v>24.52</v>
      </c>
      <c r="C2269" s="11">
        <f>Daily_Data!I2269</f>
        <v>3.68</v>
      </c>
      <c r="D2269" s="12">
        <f>if(sum(Daily_Data!K2269:L2269)&gt;0,1,0)</f>
        <v>0</v>
      </c>
    </row>
    <row r="2270">
      <c r="A2270" s="10">
        <f>Daily_Data!A2270</f>
        <v>39702</v>
      </c>
      <c r="B2270" s="11">
        <f>Daily_Data!J2270</f>
        <v>24.39</v>
      </c>
      <c r="C2270" s="11">
        <f>Daily_Data!I2270</f>
        <v>3.54</v>
      </c>
      <c r="D2270" s="12">
        <f>if(sum(Daily_Data!K2270:L2270)&gt;0,1,0)</f>
        <v>0</v>
      </c>
    </row>
    <row r="2271">
      <c r="A2271" s="10">
        <f>Daily_Data!A2271</f>
        <v>39703</v>
      </c>
      <c r="B2271" s="11">
        <f>Daily_Data!J2271</f>
        <v>25.66</v>
      </c>
      <c r="C2271" s="11">
        <f>Daily_Data!I2271</f>
        <v>3.48</v>
      </c>
      <c r="D2271" s="12">
        <f>if(sum(Daily_Data!K2271:L2271)&gt;0,1,0)</f>
        <v>0</v>
      </c>
    </row>
    <row r="2272">
      <c r="A2272" s="10">
        <f>Daily_Data!A2272</f>
        <v>39706</v>
      </c>
      <c r="B2272" s="11">
        <f>Daily_Data!J2272</f>
        <v>31.7</v>
      </c>
      <c r="C2272" s="11">
        <f>Daily_Data!I2272</f>
        <v>3.87</v>
      </c>
      <c r="D2272" s="12">
        <f>if(sum(Daily_Data!K2272:L2272)&gt;0,1,0)</f>
        <v>0</v>
      </c>
    </row>
    <row r="2273">
      <c r="A2273" s="10">
        <f>Daily_Data!A2273</f>
        <v>39707</v>
      </c>
      <c r="B2273" s="11">
        <f>Daily_Data!J2273</f>
        <v>30.3</v>
      </c>
      <c r="C2273" s="11">
        <f>Daily_Data!I2273</f>
        <v>3.71</v>
      </c>
      <c r="D2273" s="12">
        <f>if(sum(Daily_Data!K2273:L2273)&gt;0,1,0)</f>
        <v>1</v>
      </c>
    </row>
    <row r="2274">
      <c r="A2274" s="10">
        <f>Daily_Data!A2274</f>
        <v>39708</v>
      </c>
      <c r="B2274" s="11">
        <f>Daily_Data!J2274</f>
        <v>36.22</v>
      </c>
      <c r="C2274" s="11">
        <f>Daily_Data!I2274</f>
        <v>4.01</v>
      </c>
      <c r="D2274" s="12">
        <f>if(sum(Daily_Data!K2274:L2274)&gt;0,1,0)</f>
        <v>0</v>
      </c>
    </row>
    <row r="2275">
      <c r="A2275" s="10">
        <f>Daily_Data!A2275</f>
        <v>39709</v>
      </c>
      <c r="B2275" s="11">
        <f>Daily_Data!J2275</f>
        <v>33.1</v>
      </c>
      <c r="C2275" s="11">
        <f>Daily_Data!I2275</f>
        <v>3.87</v>
      </c>
      <c r="D2275" s="12">
        <f>if(sum(Daily_Data!K2275:L2275)&gt;0,1,0)</f>
        <v>0</v>
      </c>
    </row>
    <row r="2276">
      <c r="A2276" s="10">
        <f>Daily_Data!A2276</f>
        <v>39710</v>
      </c>
      <c r="B2276" s="11">
        <f>Daily_Data!J2276</f>
        <v>32.07</v>
      </c>
      <c r="C2276" s="11">
        <f>Daily_Data!I2276</f>
        <v>3.39</v>
      </c>
      <c r="D2276" s="12">
        <f>if(sum(Daily_Data!K2276:L2276)&gt;0,1,0)</f>
        <v>0</v>
      </c>
    </row>
    <row r="2277">
      <c r="A2277" s="10">
        <f>Daily_Data!A2277</f>
        <v>39713</v>
      </c>
      <c r="B2277" s="11">
        <f>Daily_Data!J2277</f>
        <v>33.85</v>
      </c>
      <c r="C2277" s="11">
        <f>Daily_Data!I2277</f>
        <v>3.55</v>
      </c>
      <c r="D2277" s="12">
        <f>if(sum(Daily_Data!K2277:L2277)&gt;0,1,0)</f>
        <v>0</v>
      </c>
    </row>
    <row r="2278">
      <c r="A2278" s="10">
        <f>Daily_Data!A2278</f>
        <v>39714</v>
      </c>
      <c r="B2278" s="11">
        <f>Daily_Data!J2278</f>
        <v>35.72</v>
      </c>
      <c r="C2278" s="11">
        <f>Daily_Data!I2278</f>
        <v>3.63</v>
      </c>
      <c r="D2278" s="12">
        <f>if(sum(Daily_Data!K2278:L2278)&gt;0,1,0)</f>
        <v>0</v>
      </c>
    </row>
    <row r="2279">
      <c r="A2279" s="10">
        <f>Daily_Data!A2279</f>
        <v>39715</v>
      </c>
      <c r="B2279" s="11">
        <f>Daily_Data!J2279</f>
        <v>35.19</v>
      </c>
      <c r="C2279" s="11">
        <f>Daily_Data!I2279</f>
        <v>3.66</v>
      </c>
      <c r="D2279" s="12">
        <f>if(sum(Daily_Data!K2279:L2279)&gt;0,1,0)</f>
        <v>0</v>
      </c>
    </row>
    <row r="2280">
      <c r="A2280" s="10">
        <f>Daily_Data!A2280</f>
        <v>39716</v>
      </c>
      <c r="B2280" s="11">
        <f>Daily_Data!J2280</f>
        <v>32.82</v>
      </c>
      <c r="C2280" s="11">
        <f>Daily_Data!I2280</f>
        <v>3.35</v>
      </c>
      <c r="D2280" s="12">
        <f>if(sum(Daily_Data!K2280:L2280)&gt;0,1,0)</f>
        <v>0</v>
      </c>
    </row>
    <row r="2281">
      <c r="A2281" s="10">
        <f>Daily_Data!A2281</f>
        <v>39717</v>
      </c>
      <c r="B2281" s="11">
        <f>Daily_Data!J2281</f>
        <v>34.74</v>
      </c>
      <c r="C2281" s="11">
        <f>Daily_Data!I2281</f>
        <v>3.49</v>
      </c>
      <c r="D2281" s="12">
        <f>if(sum(Daily_Data!K2281:L2281)&gt;0,1,0)</f>
        <v>0</v>
      </c>
    </row>
    <row r="2282">
      <c r="A2282" s="10">
        <f>Daily_Data!A2282</f>
        <v>39720</v>
      </c>
      <c r="B2282" s="11">
        <f>Daily_Data!J2282</f>
        <v>46.72</v>
      </c>
      <c r="C2282" s="11">
        <f>Daily_Data!I2282</f>
        <v>3.9</v>
      </c>
      <c r="D2282" s="12">
        <f>if(sum(Daily_Data!K2282:L2282)&gt;0,1,0)</f>
        <v>0</v>
      </c>
    </row>
    <row r="2283">
      <c r="A2283" s="10">
        <f>Daily_Data!A2283</f>
        <v>39721</v>
      </c>
      <c r="B2283" s="11">
        <f>Daily_Data!J2283</f>
        <v>39.39</v>
      </c>
      <c r="C2283" s="11">
        <f>Daily_Data!I2283</f>
        <v>3.53</v>
      </c>
      <c r="D2283" s="12">
        <f>if(sum(Daily_Data!K2283:L2283)&gt;0,1,0)</f>
        <v>0</v>
      </c>
    </row>
    <row r="2284">
      <c r="A2284" s="10">
        <f>Daily_Data!A2284</f>
        <v>39722</v>
      </c>
      <c r="B2284" s="11">
        <f>Daily_Data!J2284</f>
        <v>39.81</v>
      </c>
      <c r="C2284" s="11">
        <f>Daily_Data!I2284</f>
        <v>3.74</v>
      </c>
      <c r="D2284" s="12">
        <f>if(sum(Daily_Data!K2284:L2284)&gt;0,1,0)</f>
        <v>0</v>
      </c>
    </row>
    <row r="2285">
      <c r="A2285" s="10">
        <f>Daily_Data!A2285</f>
        <v>39723</v>
      </c>
      <c r="B2285" s="11">
        <f>Daily_Data!J2285</f>
        <v>45.26</v>
      </c>
      <c r="C2285" s="11">
        <f>Daily_Data!I2285</f>
        <v>4.03</v>
      </c>
      <c r="D2285" s="12">
        <f>if(sum(Daily_Data!K2285:L2285)&gt;0,1,0)</f>
        <v>0</v>
      </c>
    </row>
    <row r="2286">
      <c r="A2286" s="10">
        <f>Daily_Data!A2286</f>
        <v>39724</v>
      </c>
      <c r="B2286" s="11">
        <f>Daily_Data!J2286</f>
        <v>45.14</v>
      </c>
      <c r="C2286" s="11">
        <f>Daily_Data!I2286</f>
        <v>3.97</v>
      </c>
      <c r="D2286" s="12">
        <f>if(sum(Daily_Data!K2286:L2286)&gt;0,1,0)</f>
        <v>1</v>
      </c>
    </row>
    <row r="2287">
      <c r="A2287" s="10">
        <f>Daily_Data!A2287</f>
        <v>39727</v>
      </c>
      <c r="B2287" s="11">
        <f>Daily_Data!J2287</f>
        <v>52.05</v>
      </c>
      <c r="C2287" s="11">
        <f>Daily_Data!I2287</f>
        <v>4.07</v>
      </c>
      <c r="D2287" s="12">
        <f>if(sum(Daily_Data!K2287:L2287)&gt;0,1,0)</f>
        <v>0</v>
      </c>
    </row>
    <row r="2288">
      <c r="A2288" s="10">
        <f>Daily_Data!A2288</f>
        <v>39728</v>
      </c>
      <c r="B2288" s="11">
        <f>Daily_Data!J2288</f>
        <v>53.68</v>
      </c>
      <c r="C2288" s="11">
        <f>Daily_Data!I2288</f>
        <v>4.07</v>
      </c>
      <c r="D2288" s="12">
        <f>if(sum(Daily_Data!K2288:L2288)&gt;0,1,0)</f>
        <v>0</v>
      </c>
    </row>
    <row r="2289">
      <c r="A2289" s="10">
        <f>Daily_Data!A2289</f>
        <v>39729</v>
      </c>
      <c r="B2289" s="11">
        <f>Daily_Data!J2289</f>
        <v>57.53</v>
      </c>
      <c r="C2289" s="11">
        <f>Daily_Data!I2289</f>
        <v>3.71</v>
      </c>
      <c r="D2289" s="12">
        <f>if(sum(Daily_Data!K2289:L2289)&gt;0,1,0)</f>
        <v>0</v>
      </c>
    </row>
    <row r="2290">
      <c r="A2290" s="10">
        <f>Daily_Data!A2290</f>
        <v>39730</v>
      </c>
      <c r="B2290" s="11">
        <f>Daily_Data!J2290</f>
        <v>63.92</v>
      </c>
      <c r="C2290" s="11">
        <f>Daily_Data!I2290</f>
        <v>3.61</v>
      </c>
      <c r="D2290" s="12">
        <f>if(sum(Daily_Data!K2290:L2290)&gt;0,1,0)</f>
        <v>0</v>
      </c>
    </row>
    <row r="2291">
      <c r="A2291" s="10">
        <f>Daily_Data!A2291</f>
        <v>39731</v>
      </c>
      <c r="B2291" s="11">
        <f>Daily_Data!J2291</f>
        <v>69.95</v>
      </c>
      <c r="C2291" s="11">
        <f>Daily_Data!I2291</f>
        <v>3.72</v>
      </c>
      <c r="D2291" s="12">
        <f>if(sum(Daily_Data!K2291:L2291)&gt;0,1,0)</f>
        <v>0</v>
      </c>
    </row>
    <row r="2292">
      <c r="A2292" s="10">
        <f>Daily_Data!A2292</f>
        <v>39734</v>
      </c>
      <c r="B2292" s="11">
        <f>Daily_Data!J2292</f>
        <v>54.99</v>
      </c>
      <c r="C2292" s="11" t="str">
        <f>Daily_Data!I2292</f>
        <v/>
      </c>
      <c r="D2292" s="12">
        <f>if(sum(Daily_Data!K2292:L2292)&gt;0,1,0)</f>
        <v>0</v>
      </c>
    </row>
    <row r="2293">
      <c r="A2293" s="10">
        <f>Daily_Data!A2293</f>
        <v>39735</v>
      </c>
      <c r="B2293" s="11">
        <f>Daily_Data!J2293</f>
        <v>55.13</v>
      </c>
      <c r="C2293" s="11">
        <f>Daily_Data!I2293</f>
        <v>4.03</v>
      </c>
      <c r="D2293" s="12">
        <f>if(sum(Daily_Data!K2293:L2293)&gt;0,1,0)</f>
        <v>0</v>
      </c>
    </row>
    <row r="2294">
      <c r="A2294" s="10">
        <f>Daily_Data!A2294</f>
        <v>39736</v>
      </c>
      <c r="B2294" s="11">
        <f>Daily_Data!J2294</f>
        <v>69.25</v>
      </c>
      <c r="C2294" s="11">
        <f>Daily_Data!I2294</f>
        <v>4.23</v>
      </c>
      <c r="D2294" s="12">
        <f>if(sum(Daily_Data!K2294:L2294)&gt;0,1,0)</f>
        <v>0</v>
      </c>
    </row>
    <row r="2295">
      <c r="A2295" s="10">
        <f>Daily_Data!A2295</f>
        <v>39737</v>
      </c>
      <c r="B2295" s="11">
        <f>Daily_Data!J2295</f>
        <v>67.61</v>
      </c>
      <c r="C2295" s="11">
        <f>Daily_Data!I2295</f>
        <v>4</v>
      </c>
      <c r="D2295" s="12">
        <f>if(sum(Daily_Data!K2295:L2295)&gt;0,1,0)</f>
        <v>1</v>
      </c>
    </row>
    <row r="2296">
      <c r="A2296" s="10">
        <f>Daily_Data!A2296</f>
        <v>39738</v>
      </c>
      <c r="B2296" s="11">
        <f>Daily_Data!J2296</f>
        <v>70.33</v>
      </c>
      <c r="C2296" s="11">
        <f>Daily_Data!I2296</f>
        <v>3.96</v>
      </c>
      <c r="D2296" s="12">
        <f>if(sum(Daily_Data!K2296:L2296)&gt;0,1,0)</f>
        <v>0</v>
      </c>
    </row>
    <row r="2297">
      <c r="A2297" s="10">
        <f>Daily_Data!A2297</f>
        <v>39741</v>
      </c>
      <c r="B2297" s="11">
        <f>Daily_Data!J2297</f>
        <v>52.97</v>
      </c>
      <c r="C2297" s="11">
        <f>Daily_Data!I2297</f>
        <v>3.93</v>
      </c>
      <c r="D2297" s="12">
        <f>if(sum(Daily_Data!K2297:L2297)&gt;0,1,0)</f>
        <v>0</v>
      </c>
    </row>
    <row r="2298">
      <c r="A2298" s="10">
        <f>Daily_Data!A2298</f>
        <v>39742</v>
      </c>
      <c r="B2298" s="11">
        <f>Daily_Data!J2298</f>
        <v>53.11</v>
      </c>
      <c r="C2298" s="11">
        <f>Daily_Data!I2298</f>
        <v>4.02</v>
      </c>
      <c r="D2298" s="12">
        <f>if(sum(Daily_Data!K2298:L2298)&gt;0,1,0)</f>
        <v>0</v>
      </c>
    </row>
    <row r="2299">
      <c r="A2299" s="10">
        <f>Daily_Data!A2299</f>
        <v>39743</v>
      </c>
      <c r="B2299" s="11">
        <f>Daily_Data!J2299</f>
        <v>69.65</v>
      </c>
      <c r="C2299" s="11">
        <f>Daily_Data!I2299</f>
        <v>4.07</v>
      </c>
      <c r="D2299" s="12">
        <f>if(sum(Daily_Data!K2299:L2299)&gt;0,1,0)</f>
        <v>0</v>
      </c>
    </row>
    <row r="2300">
      <c r="A2300" s="10">
        <f>Daily_Data!A2300</f>
        <v>39744</v>
      </c>
      <c r="B2300" s="11">
        <f>Daily_Data!J2300</f>
        <v>67.8</v>
      </c>
      <c r="C2300" s="11">
        <f>Daily_Data!I2300</f>
        <v>4.03</v>
      </c>
      <c r="D2300" s="12">
        <f>if(sum(Daily_Data!K2300:L2300)&gt;0,1,0)</f>
        <v>0</v>
      </c>
    </row>
    <row r="2301">
      <c r="A2301" s="10">
        <f>Daily_Data!A2301</f>
        <v>39745</v>
      </c>
      <c r="B2301" s="11">
        <f>Daily_Data!J2301</f>
        <v>79.13</v>
      </c>
      <c r="C2301" s="11">
        <f>Daily_Data!I2301</f>
        <v>4.03</v>
      </c>
      <c r="D2301" s="12">
        <f>if(sum(Daily_Data!K2301:L2301)&gt;0,1,0)</f>
        <v>0</v>
      </c>
    </row>
    <row r="2302">
      <c r="A2302" s="10">
        <f>Daily_Data!A2302</f>
        <v>39748</v>
      </c>
      <c r="B2302" s="11">
        <f>Daily_Data!J2302</f>
        <v>80.06</v>
      </c>
      <c r="C2302" s="11" t="str">
        <f>Daily_Data!I2302</f>
        <v/>
      </c>
      <c r="D2302" s="12">
        <f>if(sum(Daily_Data!K2302:L2302)&gt;0,1,0)</f>
        <v>0</v>
      </c>
    </row>
    <row r="2303">
      <c r="A2303" s="10">
        <f>Daily_Data!A2303</f>
        <v>39749</v>
      </c>
      <c r="B2303" s="11">
        <f>Daily_Data!J2303</f>
        <v>66.96</v>
      </c>
      <c r="C2303" s="11">
        <f>Daily_Data!I2303</f>
        <v>3.94</v>
      </c>
      <c r="D2303" s="12">
        <f>if(sum(Daily_Data!K2303:L2303)&gt;0,1,0)</f>
        <v>0</v>
      </c>
    </row>
    <row r="2304">
      <c r="A2304" s="10">
        <f>Daily_Data!A2304</f>
        <v>39750</v>
      </c>
      <c r="B2304" s="11">
        <f>Daily_Data!J2304</f>
        <v>69.96</v>
      </c>
      <c r="C2304" s="11">
        <f>Daily_Data!I2304</f>
        <v>4.04</v>
      </c>
      <c r="D2304" s="12">
        <f>if(sum(Daily_Data!K2304:L2304)&gt;0,1,0)</f>
        <v>0</v>
      </c>
    </row>
    <row r="2305">
      <c r="A2305" s="10">
        <f>Daily_Data!A2305</f>
        <v>39751</v>
      </c>
      <c r="B2305" s="11">
        <f>Daily_Data!J2305</f>
        <v>62.9</v>
      </c>
      <c r="C2305" s="11">
        <f>Daily_Data!I2305</f>
        <v>4.06</v>
      </c>
      <c r="D2305" s="12">
        <f>if(sum(Daily_Data!K2305:L2305)&gt;0,1,0)</f>
        <v>0</v>
      </c>
    </row>
    <row r="2306">
      <c r="A2306" s="10">
        <f>Daily_Data!A2306</f>
        <v>39752</v>
      </c>
      <c r="B2306" s="11">
        <f>Daily_Data!J2306</f>
        <v>59.89</v>
      </c>
      <c r="C2306" s="11">
        <f>Daily_Data!I2306</f>
        <v>4.14</v>
      </c>
      <c r="D2306" s="12">
        <f>if(sum(Daily_Data!K2306:L2306)&gt;0,1,0)</f>
        <v>0</v>
      </c>
    </row>
    <row r="2307">
      <c r="A2307" s="10">
        <f>Daily_Data!A2307</f>
        <v>39755</v>
      </c>
      <c r="B2307" s="11">
        <f>Daily_Data!J2307</f>
        <v>53.68</v>
      </c>
      <c r="C2307" s="11">
        <f>Daily_Data!I2307</f>
        <v>4.27</v>
      </c>
      <c r="D2307" s="12">
        <f>if(sum(Daily_Data!K2307:L2307)&gt;0,1,0)</f>
        <v>0</v>
      </c>
    </row>
    <row r="2308">
      <c r="A2308" s="10">
        <f>Daily_Data!A2308</f>
        <v>39756</v>
      </c>
      <c r="B2308" s="11">
        <f>Daily_Data!J2308</f>
        <v>47.73</v>
      </c>
      <c r="C2308" s="11">
        <f>Daily_Data!I2308</f>
        <v>4.41</v>
      </c>
      <c r="D2308" s="12">
        <f>if(sum(Daily_Data!K2308:L2308)&gt;0,1,0)</f>
        <v>0</v>
      </c>
    </row>
    <row r="2309">
      <c r="A2309" s="10">
        <f>Daily_Data!A2309</f>
        <v>39757</v>
      </c>
      <c r="B2309" s="11">
        <f>Daily_Data!J2309</f>
        <v>54.56</v>
      </c>
      <c r="C2309" s="11">
        <f>Daily_Data!I2309</f>
        <v>4.22</v>
      </c>
      <c r="D2309" s="12">
        <f>if(sum(Daily_Data!K2309:L2309)&gt;0,1,0)</f>
        <v>0</v>
      </c>
    </row>
    <row r="2310">
      <c r="A2310" s="10">
        <f>Daily_Data!A2310</f>
        <v>39758</v>
      </c>
      <c r="B2310" s="11">
        <f>Daily_Data!J2310</f>
        <v>63.68</v>
      </c>
      <c r="C2310" s="11">
        <f>Daily_Data!I2310</f>
        <v>4.33</v>
      </c>
      <c r="D2310" s="12">
        <f>if(sum(Daily_Data!K2310:L2310)&gt;0,1,0)</f>
        <v>0</v>
      </c>
    </row>
    <row r="2311">
      <c r="A2311" s="10">
        <f>Daily_Data!A2311</f>
        <v>39759</v>
      </c>
      <c r="B2311" s="11">
        <f>Daily_Data!J2311</f>
        <v>56.1</v>
      </c>
      <c r="C2311" s="11">
        <f>Daily_Data!I2311</f>
        <v>4.17</v>
      </c>
      <c r="D2311" s="12">
        <f>if(sum(Daily_Data!K2311:L2311)&gt;0,1,0)</f>
        <v>1</v>
      </c>
    </row>
    <row r="2312">
      <c r="A2312" s="10">
        <f>Daily_Data!A2312</f>
        <v>39762</v>
      </c>
      <c r="B2312" s="11">
        <f>Daily_Data!J2312</f>
        <v>59.98</v>
      </c>
      <c r="C2312" s="11">
        <f>Daily_Data!I2312</f>
        <v>4.38</v>
      </c>
      <c r="D2312" s="12">
        <f>if(sum(Daily_Data!K2312:L2312)&gt;0,1,0)</f>
        <v>0</v>
      </c>
    </row>
    <row r="2313">
      <c r="A2313" s="10">
        <f>Daily_Data!A2313</f>
        <v>39763</v>
      </c>
      <c r="B2313" s="11">
        <f>Daily_Data!J2313</f>
        <v>61.44</v>
      </c>
      <c r="C2313" s="11" t="str">
        <f>Daily_Data!I2313</f>
        <v/>
      </c>
      <c r="D2313" s="12">
        <f>if(sum(Daily_Data!K2313:L2313)&gt;0,1,0)</f>
        <v>0</v>
      </c>
    </row>
    <row r="2314">
      <c r="A2314" s="10">
        <f>Daily_Data!A2314</f>
        <v>39764</v>
      </c>
      <c r="B2314" s="11">
        <f>Daily_Data!J2314</f>
        <v>66.46</v>
      </c>
      <c r="C2314" s="11">
        <f>Daily_Data!I2314</f>
        <v>4.3</v>
      </c>
      <c r="D2314" s="12">
        <f>if(sum(Daily_Data!K2314:L2314)&gt;0,1,0)</f>
        <v>0</v>
      </c>
    </row>
    <row r="2315">
      <c r="A2315" s="10">
        <f>Daily_Data!A2315</f>
        <v>39765</v>
      </c>
      <c r="B2315" s="11">
        <f>Daily_Data!J2315</f>
        <v>59.83</v>
      </c>
      <c r="C2315" s="11">
        <f>Daily_Data!I2315</f>
        <v>4.18</v>
      </c>
      <c r="D2315" s="12">
        <f>if(sum(Daily_Data!K2315:L2315)&gt;0,1,0)</f>
        <v>0</v>
      </c>
    </row>
    <row r="2316">
      <c r="A2316" s="10">
        <f>Daily_Data!A2316</f>
        <v>39766</v>
      </c>
      <c r="B2316" s="11">
        <f>Daily_Data!J2316</f>
        <v>66.31</v>
      </c>
      <c r="C2316" s="11">
        <f>Daily_Data!I2316</f>
        <v>4.24</v>
      </c>
      <c r="D2316" s="12">
        <f>if(sum(Daily_Data!K2316:L2316)&gt;0,1,0)</f>
        <v>0</v>
      </c>
    </row>
    <row r="2317">
      <c r="A2317" s="10">
        <f>Daily_Data!A2317</f>
        <v>39769</v>
      </c>
      <c r="B2317" s="11">
        <f>Daily_Data!J2317</f>
        <v>69.15</v>
      </c>
      <c r="C2317" s="11">
        <f>Daily_Data!I2317</f>
        <v>4.22</v>
      </c>
      <c r="D2317" s="12">
        <f>if(sum(Daily_Data!K2317:L2317)&gt;0,1,0)</f>
        <v>0</v>
      </c>
    </row>
    <row r="2318">
      <c r="A2318" s="10">
        <f>Daily_Data!A2318</f>
        <v>39770</v>
      </c>
      <c r="B2318" s="11">
        <f>Daily_Data!J2318</f>
        <v>67.64</v>
      </c>
      <c r="C2318" s="11">
        <f>Daily_Data!I2318</f>
        <v>4.08</v>
      </c>
      <c r="D2318" s="12">
        <f>if(sum(Daily_Data!K2318:L2318)&gt;0,1,0)</f>
        <v>0</v>
      </c>
    </row>
    <row r="2319">
      <c r="A2319" s="10">
        <f>Daily_Data!A2319</f>
        <v>39771</v>
      </c>
      <c r="B2319" s="11">
        <f>Daily_Data!J2319</f>
        <v>74.26</v>
      </c>
      <c r="C2319" s="11">
        <f>Daily_Data!I2319</f>
        <v>4.03</v>
      </c>
      <c r="D2319" s="12">
        <f>if(sum(Daily_Data!K2319:L2319)&gt;0,1,0)</f>
        <v>1</v>
      </c>
    </row>
    <row r="2320">
      <c r="A2320" s="10">
        <f>Daily_Data!A2320</f>
        <v>39772</v>
      </c>
      <c r="B2320" s="11">
        <f>Daily_Data!J2320</f>
        <v>80.86</v>
      </c>
      <c r="C2320" s="11">
        <f>Daily_Data!I2320</f>
        <v>4.08</v>
      </c>
      <c r="D2320" s="12">
        <f>if(sum(Daily_Data!K2320:L2320)&gt;0,1,0)</f>
        <v>0</v>
      </c>
    </row>
    <row r="2321">
      <c r="A2321" s="10">
        <f>Daily_Data!A2321</f>
        <v>39773</v>
      </c>
      <c r="B2321" s="11">
        <f>Daily_Data!J2321</f>
        <v>72.67</v>
      </c>
      <c r="C2321" s="11">
        <f>Daily_Data!I2321</f>
        <v>3.91</v>
      </c>
      <c r="D2321" s="12">
        <f>if(sum(Daily_Data!K2321:L2321)&gt;0,1,0)</f>
        <v>0</v>
      </c>
    </row>
    <row r="2322">
      <c r="A2322" s="10">
        <f>Daily_Data!A2322</f>
        <v>39776</v>
      </c>
      <c r="B2322" s="11">
        <f>Daily_Data!J2322</f>
        <v>64.7</v>
      </c>
      <c r="C2322" s="11">
        <f>Daily_Data!I2322</f>
        <v>3.61</v>
      </c>
      <c r="D2322" s="12">
        <f>if(sum(Daily_Data!K2322:L2322)&gt;0,1,0)</f>
        <v>0</v>
      </c>
    </row>
    <row r="2323">
      <c r="A2323" s="10">
        <f>Daily_Data!A2323</f>
        <v>39777</v>
      </c>
      <c r="B2323" s="11">
        <f>Daily_Data!J2323</f>
        <v>60.9</v>
      </c>
      <c r="C2323" s="11">
        <f>Daily_Data!I2323</f>
        <v>3.78</v>
      </c>
      <c r="D2323" s="12">
        <f>if(sum(Daily_Data!K2323:L2323)&gt;0,1,0)</f>
        <v>0</v>
      </c>
    </row>
    <row r="2324">
      <c r="A2324" s="10">
        <f>Daily_Data!A2324</f>
        <v>39778</v>
      </c>
      <c r="B2324" s="11">
        <f>Daily_Data!J2324</f>
        <v>54.92</v>
      </c>
      <c r="C2324" s="11">
        <f>Daily_Data!I2324</f>
        <v>3.81</v>
      </c>
      <c r="D2324" s="12">
        <f>if(sum(Daily_Data!K2324:L2324)&gt;0,1,0)</f>
        <v>0</v>
      </c>
    </row>
    <row r="2325">
      <c r="A2325" s="10">
        <f>Daily_Data!A2325</f>
        <v>39779</v>
      </c>
      <c r="B2325" s="11" t="str">
        <f>Daily_Data!J2325</f>
        <v/>
      </c>
      <c r="C2325" s="11" t="str">
        <f>Daily_Data!I2325</f>
        <v/>
      </c>
      <c r="D2325" s="12">
        <f>if(sum(Daily_Data!K2325:L2325)&gt;0,1,0)</f>
        <v>0</v>
      </c>
    </row>
    <row r="2326">
      <c r="A2326" s="10">
        <f>Daily_Data!A2326</f>
        <v>39780</v>
      </c>
      <c r="B2326" s="11">
        <f>Daily_Data!J2326</f>
        <v>55.84</v>
      </c>
      <c r="C2326" s="11">
        <f>Daily_Data!I2326</f>
        <v>3.74</v>
      </c>
      <c r="D2326" s="12">
        <f>if(sum(Daily_Data!K2326:L2326)&gt;0,1,0)</f>
        <v>0</v>
      </c>
    </row>
    <row r="2327">
      <c r="A2327" s="10">
        <f>Daily_Data!A2327</f>
        <v>39783</v>
      </c>
      <c r="B2327" s="11">
        <f>Daily_Data!J2327</f>
        <v>68.51</v>
      </c>
      <c r="C2327" s="11">
        <f>Daily_Data!I2327</f>
        <v>3.74</v>
      </c>
      <c r="D2327" s="12">
        <f>if(sum(Daily_Data!K2327:L2327)&gt;0,1,0)</f>
        <v>0</v>
      </c>
    </row>
    <row r="2328">
      <c r="A2328" s="10">
        <f>Daily_Data!A2328</f>
        <v>39784</v>
      </c>
      <c r="B2328" s="11">
        <f>Daily_Data!J2328</f>
        <v>62.98</v>
      </c>
      <c r="C2328" s="11">
        <f>Daily_Data!I2328</f>
        <v>3.57</v>
      </c>
      <c r="D2328" s="12">
        <f>if(sum(Daily_Data!K2328:L2328)&gt;0,1,0)</f>
        <v>0</v>
      </c>
    </row>
    <row r="2329">
      <c r="A2329" s="10">
        <f>Daily_Data!A2329</f>
        <v>39785</v>
      </c>
      <c r="B2329" s="11">
        <f>Daily_Data!J2329</f>
        <v>60.72</v>
      </c>
      <c r="C2329" s="11">
        <f>Daily_Data!I2329</f>
        <v>3.62</v>
      </c>
      <c r="D2329" s="12">
        <f>if(sum(Daily_Data!K2329:L2329)&gt;0,1,0)</f>
        <v>0</v>
      </c>
    </row>
    <row r="2330">
      <c r="A2330" s="10">
        <f>Daily_Data!A2330</f>
        <v>39786</v>
      </c>
      <c r="B2330" s="11">
        <f>Daily_Data!J2330</f>
        <v>63.64</v>
      </c>
      <c r="C2330" s="11">
        <f>Daily_Data!I2330</f>
        <v>3.58</v>
      </c>
      <c r="D2330" s="12">
        <f>if(sum(Daily_Data!K2330:L2330)&gt;0,1,0)</f>
        <v>0</v>
      </c>
    </row>
    <row r="2331">
      <c r="A2331" s="10">
        <f>Daily_Data!A2331</f>
        <v>39787</v>
      </c>
      <c r="B2331" s="11">
        <f>Daily_Data!J2331</f>
        <v>59.93</v>
      </c>
      <c r="C2331" s="11">
        <f>Daily_Data!I2331</f>
        <v>3.54</v>
      </c>
      <c r="D2331" s="12">
        <f>if(sum(Daily_Data!K2331:L2331)&gt;0,1,0)</f>
        <v>1</v>
      </c>
    </row>
    <row r="2332">
      <c r="A2332" s="10">
        <f>Daily_Data!A2332</f>
        <v>39790</v>
      </c>
      <c r="B2332" s="11">
        <f>Daily_Data!J2332</f>
        <v>58.49</v>
      </c>
      <c r="C2332" s="11">
        <f>Daily_Data!I2332</f>
        <v>3.53</v>
      </c>
      <c r="D2332" s="12">
        <f>if(sum(Daily_Data!K2332:L2332)&gt;0,1,0)</f>
        <v>0</v>
      </c>
    </row>
    <row r="2333">
      <c r="A2333" s="10">
        <f>Daily_Data!A2333</f>
        <v>39791</v>
      </c>
      <c r="B2333" s="11">
        <f>Daily_Data!J2333</f>
        <v>58.91</v>
      </c>
      <c r="C2333" s="11">
        <f>Daily_Data!I2333</f>
        <v>3.71</v>
      </c>
      <c r="D2333" s="12">
        <f>if(sum(Daily_Data!K2333:L2333)&gt;0,1,0)</f>
        <v>0</v>
      </c>
    </row>
    <row r="2334">
      <c r="A2334" s="10">
        <f>Daily_Data!A2334</f>
        <v>39792</v>
      </c>
      <c r="B2334" s="11">
        <f>Daily_Data!J2334</f>
        <v>55.73</v>
      </c>
      <c r="C2334" s="11">
        <f>Daily_Data!I2334</f>
        <v>3.71</v>
      </c>
      <c r="D2334" s="12">
        <f>if(sum(Daily_Data!K2334:L2334)&gt;0,1,0)</f>
        <v>0</v>
      </c>
    </row>
    <row r="2335">
      <c r="A2335" s="10">
        <f>Daily_Data!A2335</f>
        <v>39793</v>
      </c>
      <c r="B2335" s="11">
        <f>Daily_Data!J2335</f>
        <v>55.78</v>
      </c>
      <c r="C2335" s="11">
        <f>Daily_Data!I2335</f>
        <v>3.79</v>
      </c>
      <c r="D2335" s="12">
        <f>if(sum(Daily_Data!K2335:L2335)&gt;0,1,0)</f>
        <v>0</v>
      </c>
    </row>
    <row r="2336">
      <c r="A2336" s="10">
        <f>Daily_Data!A2336</f>
        <v>39794</v>
      </c>
      <c r="B2336" s="11">
        <f>Daily_Data!J2336</f>
        <v>54.28</v>
      </c>
      <c r="C2336" s="11">
        <f>Daily_Data!I2336</f>
        <v>3.83</v>
      </c>
      <c r="D2336" s="12">
        <f>if(sum(Daily_Data!K2336:L2336)&gt;0,1,0)</f>
        <v>0</v>
      </c>
    </row>
    <row r="2337">
      <c r="A2337" s="10">
        <f>Daily_Data!A2337</f>
        <v>39797</v>
      </c>
      <c r="B2337" s="11">
        <f>Daily_Data!J2337</f>
        <v>56.76</v>
      </c>
      <c r="C2337" s="11">
        <f>Daily_Data!I2337</f>
        <v>3.86</v>
      </c>
      <c r="D2337" s="12">
        <f>if(sum(Daily_Data!K2337:L2337)&gt;0,1,0)</f>
        <v>0</v>
      </c>
    </row>
    <row r="2338">
      <c r="A2338" s="10">
        <f>Daily_Data!A2338</f>
        <v>39798</v>
      </c>
      <c r="B2338" s="11">
        <f>Daily_Data!J2338</f>
        <v>52.37</v>
      </c>
      <c r="C2338" s="11">
        <f>Daily_Data!I2338</f>
        <v>3.98</v>
      </c>
      <c r="D2338" s="12">
        <f>if(sum(Daily_Data!K2338:L2338)&gt;0,1,0)</f>
        <v>1</v>
      </c>
    </row>
    <row r="2339">
      <c r="A2339" s="10">
        <f>Daily_Data!A2339</f>
        <v>39799</v>
      </c>
      <c r="B2339" s="11">
        <f>Daily_Data!J2339</f>
        <v>49.84</v>
      </c>
      <c r="C2339" s="11">
        <f>Daily_Data!I2339</f>
        <v>3.89</v>
      </c>
      <c r="D2339" s="12">
        <f>if(sum(Daily_Data!K2339:L2339)&gt;0,1,0)</f>
        <v>0</v>
      </c>
    </row>
    <row r="2340">
      <c r="A2340" s="10">
        <f>Daily_Data!A2340</f>
        <v>39800</v>
      </c>
      <c r="B2340" s="11">
        <f>Daily_Data!J2340</f>
        <v>47.34</v>
      </c>
      <c r="C2340" s="11">
        <f>Daily_Data!I2340</f>
        <v>3.88</v>
      </c>
      <c r="D2340" s="12">
        <f>if(sum(Daily_Data!K2340:L2340)&gt;0,1,0)</f>
        <v>0</v>
      </c>
    </row>
    <row r="2341">
      <c r="A2341" s="10">
        <f>Daily_Data!A2341</f>
        <v>39801</v>
      </c>
      <c r="B2341" s="11">
        <f>Daily_Data!J2341</f>
        <v>44.93</v>
      </c>
      <c r="C2341" s="11">
        <f>Daily_Data!I2341</f>
        <v>3.85</v>
      </c>
      <c r="D2341" s="12">
        <f>if(sum(Daily_Data!K2341:L2341)&gt;0,1,0)</f>
        <v>0</v>
      </c>
    </row>
    <row r="2342">
      <c r="A2342" s="10">
        <f>Daily_Data!A2342</f>
        <v>39804</v>
      </c>
      <c r="B2342" s="11">
        <f>Daily_Data!J2342</f>
        <v>44.56</v>
      </c>
      <c r="C2342" s="11">
        <f>Daily_Data!I2342</f>
        <v>3.67</v>
      </c>
      <c r="D2342" s="12">
        <f>if(sum(Daily_Data!K2342:L2342)&gt;0,1,0)</f>
        <v>0</v>
      </c>
    </row>
    <row r="2343">
      <c r="A2343" s="10">
        <f>Daily_Data!A2343</f>
        <v>39805</v>
      </c>
      <c r="B2343" s="11">
        <f>Daily_Data!J2343</f>
        <v>45.02</v>
      </c>
      <c r="C2343" s="11">
        <f>Daily_Data!I2343</f>
        <v>3.64</v>
      </c>
      <c r="D2343" s="12">
        <f>if(sum(Daily_Data!K2343:L2343)&gt;0,1,0)</f>
        <v>0</v>
      </c>
    </row>
    <row r="2344">
      <c r="A2344" s="10">
        <f>Daily_Data!A2344</f>
        <v>39806</v>
      </c>
      <c r="B2344" s="11">
        <f>Daily_Data!J2344</f>
        <v>44.21</v>
      </c>
      <c r="C2344" s="11">
        <f>Daily_Data!I2344</f>
        <v>3.58</v>
      </c>
      <c r="D2344" s="12">
        <f>if(sum(Daily_Data!K2344:L2344)&gt;0,1,0)</f>
        <v>0</v>
      </c>
    </row>
    <row r="2345">
      <c r="A2345" s="10">
        <f>Daily_Data!A2345</f>
        <v>39807</v>
      </c>
      <c r="B2345" s="11" t="str">
        <f>Daily_Data!J2345</f>
        <v/>
      </c>
      <c r="C2345" s="11" t="str">
        <f>Daily_Data!I2345</f>
        <v/>
      </c>
      <c r="D2345" s="12">
        <f>if(sum(Daily_Data!K2345:L2345)&gt;0,1,0)</f>
        <v>0</v>
      </c>
    </row>
    <row r="2346">
      <c r="A2346" s="10">
        <f>Daily_Data!A2346</f>
        <v>39808</v>
      </c>
      <c r="B2346" s="11">
        <f>Daily_Data!J2346</f>
        <v>43.38</v>
      </c>
      <c r="C2346" s="11" t="str">
        <f>Daily_Data!I2346</f>
        <v/>
      </c>
      <c r="D2346" s="12">
        <f>if(sum(Daily_Data!K2346:L2346)&gt;0,1,0)</f>
        <v>0</v>
      </c>
    </row>
    <row r="2347">
      <c r="A2347" s="10">
        <f>Daily_Data!A2347</f>
        <v>39811</v>
      </c>
      <c r="B2347" s="11">
        <f>Daily_Data!J2347</f>
        <v>43.9</v>
      </c>
      <c r="C2347" s="11">
        <f>Daily_Data!I2347</f>
        <v>3.7</v>
      </c>
      <c r="D2347" s="12">
        <f>if(sum(Daily_Data!K2347:L2347)&gt;0,1,0)</f>
        <v>0</v>
      </c>
    </row>
    <row r="2348">
      <c r="A2348" s="10">
        <f>Daily_Data!A2348</f>
        <v>39812</v>
      </c>
      <c r="B2348" s="11">
        <f>Daily_Data!J2348</f>
        <v>41.63</v>
      </c>
      <c r="C2348" s="11">
        <f>Daily_Data!I2348</f>
        <v>3.62</v>
      </c>
      <c r="D2348" s="12">
        <f>if(sum(Daily_Data!K2348:L2348)&gt;0,1,0)</f>
        <v>0</v>
      </c>
    </row>
    <row r="2349">
      <c r="A2349" s="10">
        <f>Daily_Data!A2349</f>
        <v>39813</v>
      </c>
      <c r="B2349" s="11">
        <f>Daily_Data!J2349</f>
        <v>40</v>
      </c>
      <c r="C2349" s="11">
        <f>Daily_Data!I2349</f>
        <v>3.41</v>
      </c>
      <c r="D2349" s="12">
        <f>if(sum(Daily_Data!K2349:L2349)&gt;0,1,0)</f>
        <v>0</v>
      </c>
    </row>
    <row r="2350">
      <c r="A2350" s="10">
        <f>Daily_Data!A2350</f>
        <v>39814</v>
      </c>
      <c r="B2350" s="11" t="str">
        <f>Daily_Data!J2350</f>
        <v/>
      </c>
      <c r="C2350" s="11" t="str">
        <f>Daily_Data!I2350</f>
        <v/>
      </c>
      <c r="D2350" s="12">
        <f>if(sum(Daily_Data!K2350:L2350)&gt;0,1,0)</f>
        <v>0</v>
      </c>
    </row>
    <row r="2351">
      <c r="A2351" s="10">
        <f>Daily_Data!A2351</f>
        <v>39815</v>
      </c>
      <c r="B2351" s="11">
        <f>Daily_Data!J2351</f>
        <v>39.19</v>
      </c>
      <c r="C2351" s="11" t="str">
        <f>Daily_Data!I2351</f>
        <v/>
      </c>
      <c r="D2351" s="12">
        <f>if(sum(Daily_Data!K2351:L2351)&gt;0,1,0)</f>
        <v>0</v>
      </c>
    </row>
    <row r="2352">
      <c r="A2352" s="10">
        <f>Daily_Data!A2352</f>
        <v>39818</v>
      </c>
      <c r="B2352" s="11">
        <f>Daily_Data!J2352</f>
        <v>39.08</v>
      </c>
      <c r="C2352" s="11">
        <f>Daily_Data!I2352</f>
        <v>3.38</v>
      </c>
      <c r="D2352" s="12">
        <f>if(sum(Daily_Data!K2352:L2352)&gt;0,1,0)</f>
        <v>0</v>
      </c>
    </row>
    <row r="2353">
      <c r="A2353" s="10">
        <f>Daily_Data!A2353</f>
        <v>39819</v>
      </c>
      <c r="B2353" s="11">
        <f>Daily_Data!J2353</f>
        <v>38.56</v>
      </c>
      <c r="C2353" s="11">
        <f>Daily_Data!I2353</f>
        <v>3.42</v>
      </c>
      <c r="D2353" s="12">
        <f>if(sum(Daily_Data!K2353:L2353)&gt;0,1,0)</f>
        <v>0</v>
      </c>
    </row>
    <row r="2354">
      <c r="A2354" s="10">
        <f>Daily_Data!A2354</f>
        <v>39820</v>
      </c>
      <c r="B2354" s="11">
        <f>Daily_Data!J2354</f>
        <v>43.39</v>
      </c>
      <c r="C2354" s="11">
        <f>Daily_Data!I2354</f>
        <v>3.37</v>
      </c>
      <c r="D2354" s="12">
        <f>if(sum(Daily_Data!K2354:L2354)&gt;0,1,0)</f>
        <v>0</v>
      </c>
    </row>
    <row r="2355">
      <c r="A2355" s="10">
        <f>Daily_Data!A2355</f>
        <v>39821</v>
      </c>
      <c r="B2355" s="11">
        <f>Daily_Data!J2355</f>
        <v>42.56</v>
      </c>
      <c r="C2355" s="11">
        <f>Daily_Data!I2355</f>
        <v>3.38</v>
      </c>
      <c r="D2355" s="12">
        <f>if(sum(Daily_Data!K2355:L2355)&gt;0,1,0)</f>
        <v>0</v>
      </c>
    </row>
    <row r="2356">
      <c r="A2356" s="10">
        <f>Daily_Data!A2356</f>
        <v>39822</v>
      </c>
      <c r="B2356" s="11">
        <f>Daily_Data!J2356</f>
        <v>42.82</v>
      </c>
      <c r="C2356" s="11">
        <f>Daily_Data!I2356</f>
        <v>3.45</v>
      </c>
      <c r="D2356" s="12">
        <f>if(sum(Daily_Data!K2356:L2356)&gt;0,1,0)</f>
        <v>1</v>
      </c>
    </row>
    <row r="2357">
      <c r="A2357" s="10">
        <f>Daily_Data!A2357</f>
        <v>39825</v>
      </c>
      <c r="B2357" s="11">
        <f>Daily_Data!J2357</f>
        <v>45.84</v>
      </c>
      <c r="C2357" s="11">
        <f>Daily_Data!I2357</f>
        <v>3.41</v>
      </c>
      <c r="D2357" s="12">
        <f>if(sum(Daily_Data!K2357:L2357)&gt;0,1,0)</f>
        <v>0</v>
      </c>
    </row>
    <row r="2358">
      <c r="A2358" s="10">
        <f>Daily_Data!A2358</f>
        <v>39826</v>
      </c>
      <c r="B2358" s="11">
        <f>Daily_Data!J2358</f>
        <v>43.27</v>
      </c>
      <c r="C2358" s="11">
        <f>Daily_Data!I2358</f>
        <v>3.3</v>
      </c>
      <c r="D2358" s="12">
        <f>if(sum(Daily_Data!K2358:L2358)&gt;0,1,0)</f>
        <v>0</v>
      </c>
    </row>
    <row r="2359">
      <c r="A2359" s="10">
        <f>Daily_Data!A2359</f>
        <v>39827</v>
      </c>
      <c r="B2359" s="11">
        <f>Daily_Data!J2359</f>
        <v>49.14</v>
      </c>
      <c r="C2359" s="11">
        <f>Daily_Data!I2359</f>
        <v>3.31</v>
      </c>
      <c r="D2359" s="12">
        <f>if(sum(Daily_Data!K2359:L2359)&gt;0,1,0)</f>
        <v>0</v>
      </c>
    </row>
    <row r="2360">
      <c r="A2360" s="10">
        <f>Daily_Data!A2360</f>
        <v>39828</v>
      </c>
      <c r="B2360" s="11">
        <f>Daily_Data!J2360</f>
        <v>51</v>
      </c>
      <c r="C2360" s="11">
        <f>Daily_Data!I2360</f>
        <v>3.29</v>
      </c>
      <c r="D2360" s="12">
        <f>if(sum(Daily_Data!K2360:L2360)&gt;0,1,0)</f>
        <v>0</v>
      </c>
    </row>
    <row r="2361">
      <c r="A2361" s="10">
        <f>Daily_Data!A2361</f>
        <v>39829</v>
      </c>
      <c r="B2361" s="11">
        <f>Daily_Data!J2361</f>
        <v>46.11</v>
      </c>
      <c r="C2361" s="11">
        <f>Daily_Data!I2361</f>
        <v>2.98</v>
      </c>
      <c r="D2361" s="12">
        <f>if(sum(Daily_Data!K2361:L2361)&gt;0,1,0)</f>
        <v>1</v>
      </c>
    </row>
    <row r="2362">
      <c r="A2362" s="10">
        <f>Daily_Data!A2362</f>
        <v>39832</v>
      </c>
      <c r="B2362" s="11" t="str">
        <f>Daily_Data!J2362</f>
        <v/>
      </c>
      <c r="C2362" s="11" t="str">
        <f>Daily_Data!I2362</f>
        <v/>
      </c>
      <c r="D2362" s="12">
        <f>if(sum(Daily_Data!K2362:L2362)&gt;0,1,0)</f>
        <v>0</v>
      </c>
    </row>
    <row r="2363">
      <c r="A2363" s="10">
        <f>Daily_Data!A2363</f>
        <v>39833</v>
      </c>
      <c r="B2363" s="11">
        <f>Daily_Data!J2363</f>
        <v>56.65</v>
      </c>
      <c r="C2363" s="11">
        <f>Daily_Data!I2363</f>
        <v>2.89</v>
      </c>
      <c r="D2363" s="12">
        <f>if(sum(Daily_Data!K2363:L2363)&gt;0,1,0)</f>
        <v>0</v>
      </c>
    </row>
    <row r="2364">
      <c r="A2364" s="10">
        <f>Daily_Data!A2364</f>
        <v>39834</v>
      </c>
      <c r="B2364" s="11">
        <f>Daily_Data!J2364</f>
        <v>46.42</v>
      </c>
      <c r="C2364" s="11">
        <f>Daily_Data!I2364</f>
        <v>2.78</v>
      </c>
      <c r="D2364" s="12">
        <f>if(sum(Daily_Data!K2364:L2364)&gt;0,1,0)</f>
        <v>0</v>
      </c>
    </row>
    <row r="2365">
      <c r="A2365" s="10">
        <f>Daily_Data!A2365</f>
        <v>39835</v>
      </c>
      <c r="B2365" s="11">
        <f>Daily_Data!J2365</f>
        <v>47.29</v>
      </c>
      <c r="C2365" s="11">
        <f>Daily_Data!I2365</f>
        <v>2.78</v>
      </c>
      <c r="D2365" s="12">
        <f>if(sum(Daily_Data!K2365:L2365)&gt;0,1,0)</f>
        <v>0</v>
      </c>
    </row>
    <row r="2366">
      <c r="A2366" s="10">
        <f>Daily_Data!A2366</f>
        <v>39836</v>
      </c>
      <c r="B2366" s="11">
        <f>Daily_Data!J2366</f>
        <v>47.27</v>
      </c>
      <c r="C2366" s="11">
        <f>Daily_Data!I2366</f>
        <v>2.66</v>
      </c>
      <c r="D2366" s="12">
        <f>if(sum(Daily_Data!K2366:L2366)&gt;0,1,0)</f>
        <v>0</v>
      </c>
    </row>
    <row r="2367">
      <c r="A2367" s="10">
        <f>Daily_Data!A2367</f>
        <v>39839</v>
      </c>
      <c r="B2367" s="11">
        <f>Daily_Data!J2367</f>
        <v>45.69</v>
      </c>
      <c r="C2367" s="11">
        <f>Daily_Data!I2367</f>
        <v>2.58</v>
      </c>
      <c r="D2367" s="12">
        <f>if(sum(Daily_Data!K2367:L2367)&gt;0,1,0)</f>
        <v>0</v>
      </c>
    </row>
    <row r="2368">
      <c r="A2368" s="10">
        <f>Daily_Data!A2368</f>
        <v>39840</v>
      </c>
      <c r="B2368" s="11">
        <f>Daily_Data!J2368</f>
        <v>42.25</v>
      </c>
      <c r="C2368" s="11">
        <f>Daily_Data!I2368</f>
        <v>2.56</v>
      </c>
      <c r="D2368" s="12">
        <f>if(sum(Daily_Data!K2368:L2368)&gt;0,1,0)</f>
        <v>0</v>
      </c>
    </row>
    <row r="2369">
      <c r="A2369" s="10">
        <f>Daily_Data!A2369</f>
        <v>39841</v>
      </c>
      <c r="B2369" s="11">
        <f>Daily_Data!J2369</f>
        <v>39.66</v>
      </c>
      <c r="C2369" s="11">
        <f>Daily_Data!I2369</f>
        <v>2.54</v>
      </c>
      <c r="D2369" s="12">
        <f>if(sum(Daily_Data!K2369:L2369)&gt;0,1,0)</f>
        <v>0</v>
      </c>
    </row>
    <row r="2370">
      <c r="A2370" s="10">
        <f>Daily_Data!A2370</f>
        <v>39842</v>
      </c>
      <c r="B2370" s="11">
        <f>Daily_Data!J2370</f>
        <v>42.63</v>
      </c>
      <c r="C2370" s="11">
        <f>Daily_Data!I2370</f>
        <v>2.41</v>
      </c>
      <c r="D2370" s="12">
        <f>if(sum(Daily_Data!K2370:L2370)&gt;0,1,0)</f>
        <v>0</v>
      </c>
    </row>
    <row r="2371">
      <c r="A2371" s="10">
        <f>Daily_Data!A2371</f>
        <v>39843</v>
      </c>
      <c r="B2371" s="11">
        <f>Daily_Data!J2371</f>
        <v>44.84</v>
      </c>
      <c r="C2371" s="11">
        <f>Daily_Data!I2371</f>
        <v>2.45</v>
      </c>
      <c r="D2371" s="12">
        <f>if(sum(Daily_Data!K2371:L2371)&gt;0,1,0)</f>
        <v>0</v>
      </c>
    </row>
    <row r="2372">
      <c r="A2372" s="10">
        <f>Daily_Data!A2372</f>
        <v>39846</v>
      </c>
      <c r="B2372" s="11">
        <f>Daily_Data!J2372</f>
        <v>45.52</v>
      </c>
      <c r="C2372" s="11">
        <f>Daily_Data!I2372</f>
        <v>2.45</v>
      </c>
      <c r="D2372" s="12">
        <f>if(sum(Daily_Data!K2372:L2372)&gt;0,1,0)</f>
        <v>0</v>
      </c>
    </row>
    <row r="2373">
      <c r="A2373" s="10">
        <f>Daily_Data!A2373</f>
        <v>39847</v>
      </c>
      <c r="B2373" s="11">
        <f>Daily_Data!J2373</f>
        <v>43.06</v>
      </c>
      <c r="C2373" s="11">
        <f>Daily_Data!I2373</f>
        <v>2.38</v>
      </c>
      <c r="D2373" s="12">
        <f>if(sum(Daily_Data!K2373:L2373)&gt;0,1,0)</f>
        <v>0</v>
      </c>
    </row>
    <row r="2374">
      <c r="A2374" s="10">
        <f>Daily_Data!A2374</f>
        <v>39848</v>
      </c>
      <c r="B2374" s="11">
        <f>Daily_Data!J2374</f>
        <v>43.85</v>
      </c>
      <c r="C2374" s="11">
        <f>Daily_Data!I2374</f>
        <v>2.42</v>
      </c>
      <c r="D2374" s="12">
        <f>if(sum(Daily_Data!K2374:L2374)&gt;0,1,0)</f>
        <v>0</v>
      </c>
    </row>
    <row r="2375">
      <c r="A2375" s="10">
        <f>Daily_Data!A2375</f>
        <v>39849</v>
      </c>
      <c r="B2375" s="11">
        <f>Daily_Data!J2375</f>
        <v>43.73</v>
      </c>
      <c r="C2375" s="11">
        <f>Daily_Data!I2375</f>
        <v>2.45</v>
      </c>
      <c r="D2375" s="12">
        <f>if(sum(Daily_Data!K2375:L2375)&gt;0,1,0)</f>
        <v>0</v>
      </c>
    </row>
    <row r="2376">
      <c r="A2376" s="10">
        <f>Daily_Data!A2376</f>
        <v>39850</v>
      </c>
      <c r="B2376" s="11">
        <f>Daily_Data!J2376</f>
        <v>43.37</v>
      </c>
      <c r="C2376" s="11" t="str">
        <f>Daily_Data!I2376</f>
        <v/>
      </c>
      <c r="D2376" s="12">
        <f>if(sum(Daily_Data!K2376:L2376)&gt;0,1,0)</f>
        <v>1</v>
      </c>
    </row>
    <row r="2377">
      <c r="A2377" s="10">
        <f>Daily_Data!A2377</f>
        <v>39853</v>
      </c>
      <c r="B2377" s="11">
        <f>Daily_Data!J2377</f>
        <v>43.64</v>
      </c>
      <c r="C2377" s="11">
        <f>Daily_Data!I2377</f>
        <v>2.47</v>
      </c>
      <c r="D2377" s="12">
        <f>if(sum(Daily_Data!K2377:L2377)&gt;0,1,0)</f>
        <v>0</v>
      </c>
    </row>
    <row r="2378">
      <c r="A2378" s="10">
        <f>Daily_Data!A2378</f>
        <v>39854</v>
      </c>
      <c r="B2378" s="11">
        <f>Daily_Data!J2378</f>
        <v>46.67</v>
      </c>
      <c r="C2378" s="11">
        <f>Daily_Data!I2378</f>
        <v>2.61</v>
      </c>
      <c r="D2378" s="12">
        <f>if(sum(Daily_Data!K2378:L2378)&gt;0,1,0)</f>
        <v>0</v>
      </c>
    </row>
    <row r="2379">
      <c r="A2379" s="10">
        <f>Daily_Data!A2379</f>
        <v>39855</v>
      </c>
      <c r="B2379" s="11">
        <f>Daily_Data!J2379</f>
        <v>44.53</v>
      </c>
      <c r="C2379" s="11">
        <f>Daily_Data!I2379</f>
        <v>2.57</v>
      </c>
      <c r="D2379" s="12">
        <f>if(sum(Daily_Data!K2379:L2379)&gt;0,1,0)</f>
        <v>0</v>
      </c>
    </row>
    <row r="2380">
      <c r="A2380" s="10">
        <f>Daily_Data!A2380</f>
        <v>39856</v>
      </c>
      <c r="B2380" s="11">
        <f>Daily_Data!J2380</f>
        <v>41.25</v>
      </c>
      <c r="C2380" s="11">
        <f>Daily_Data!I2380</f>
        <v>2.54</v>
      </c>
      <c r="D2380" s="12">
        <f>if(sum(Daily_Data!K2380:L2380)&gt;0,1,0)</f>
        <v>0</v>
      </c>
    </row>
    <row r="2381">
      <c r="A2381" s="10">
        <f>Daily_Data!A2381</f>
        <v>39857</v>
      </c>
      <c r="B2381" s="11">
        <f>Daily_Data!J2381</f>
        <v>42.93</v>
      </c>
      <c r="C2381" s="11">
        <f>Daily_Data!I2381</f>
        <v>2.48</v>
      </c>
      <c r="D2381" s="12">
        <f>if(sum(Daily_Data!K2381:L2381)&gt;0,1,0)</f>
        <v>0</v>
      </c>
    </row>
    <row r="2382">
      <c r="A2382" s="10">
        <f>Daily_Data!A2382</f>
        <v>39860</v>
      </c>
      <c r="B2382" s="11" t="str">
        <f>Daily_Data!J2382</f>
        <v/>
      </c>
      <c r="C2382" s="11" t="str">
        <f>Daily_Data!I2382</f>
        <v/>
      </c>
      <c r="D2382" s="12">
        <f>if(sum(Daily_Data!K2382:L2382)&gt;0,1,0)</f>
        <v>0</v>
      </c>
    </row>
    <row r="2383">
      <c r="A2383" s="10">
        <f>Daily_Data!A2383</f>
        <v>39861</v>
      </c>
      <c r="B2383" s="11">
        <f>Daily_Data!J2383</f>
        <v>48.66</v>
      </c>
      <c r="C2383" s="11">
        <f>Daily_Data!I2383</f>
        <v>2.71</v>
      </c>
      <c r="D2383" s="12">
        <f>if(sum(Daily_Data!K2383:L2383)&gt;0,1,0)</f>
        <v>0</v>
      </c>
    </row>
    <row r="2384">
      <c r="A2384" s="10">
        <f>Daily_Data!A2384</f>
        <v>39862</v>
      </c>
      <c r="B2384" s="11">
        <f>Daily_Data!J2384</f>
        <v>48.46</v>
      </c>
      <c r="C2384" s="11">
        <f>Daily_Data!I2384</f>
        <v>2.56</v>
      </c>
      <c r="D2384" s="12">
        <f>if(sum(Daily_Data!K2384:L2384)&gt;0,1,0)</f>
        <v>0</v>
      </c>
    </row>
    <row r="2385">
      <c r="A2385" s="10">
        <f>Daily_Data!A2385</f>
        <v>39863</v>
      </c>
      <c r="B2385" s="11">
        <f>Daily_Data!J2385</f>
        <v>47.08</v>
      </c>
      <c r="C2385" s="11">
        <f>Daily_Data!I2385</f>
        <v>2.54</v>
      </c>
      <c r="D2385" s="12">
        <f>if(sum(Daily_Data!K2385:L2385)&gt;0,1,0)</f>
        <v>0</v>
      </c>
    </row>
    <row r="2386">
      <c r="A2386" s="10">
        <f>Daily_Data!A2386</f>
        <v>39864</v>
      </c>
      <c r="B2386" s="11">
        <f>Daily_Data!J2386</f>
        <v>49.3</v>
      </c>
      <c r="C2386" s="11">
        <f>Daily_Data!I2386</f>
        <v>2.59</v>
      </c>
      <c r="D2386" s="12">
        <f>if(sum(Daily_Data!K2386:L2386)&gt;0,1,0)</f>
        <v>1</v>
      </c>
    </row>
    <row r="2387">
      <c r="A2387" s="10">
        <f>Daily_Data!A2387</f>
        <v>39867</v>
      </c>
      <c r="B2387" s="11">
        <f>Daily_Data!J2387</f>
        <v>52.62</v>
      </c>
      <c r="C2387" s="11">
        <f>Daily_Data!I2387</f>
        <v>2.56</v>
      </c>
      <c r="D2387" s="12">
        <f>if(sum(Daily_Data!K2387:L2387)&gt;0,1,0)</f>
        <v>0</v>
      </c>
    </row>
    <row r="2388">
      <c r="A2388" s="10">
        <f>Daily_Data!A2388</f>
        <v>39868</v>
      </c>
      <c r="B2388" s="11">
        <f>Daily_Data!J2388</f>
        <v>45.49</v>
      </c>
      <c r="C2388" s="11">
        <f>Daily_Data!I2388</f>
        <v>2.51</v>
      </c>
      <c r="D2388" s="12">
        <f>if(sum(Daily_Data!K2388:L2388)&gt;0,1,0)</f>
        <v>0</v>
      </c>
    </row>
    <row r="2389">
      <c r="A2389" s="10">
        <f>Daily_Data!A2389</f>
        <v>39869</v>
      </c>
      <c r="B2389" s="11">
        <f>Daily_Data!J2389</f>
        <v>44.67</v>
      </c>
      <c r="C2389" s="11">
        <f>Daily_Data!I2389</f>
        <v>2.43</v>
      </c>
      <c r="D2389" s="12">
        <f>if(sum(Daily_Data!K2389:L2389)&gt;0,1,0)</f>
        <v>0</v>
      </c>
    </row>
    <row r="2390">
      <c r="A2390" s="10">
        <f>Daily_Data!A2390</f>
        <v>39870</v>
      </c>
      <c r="B2390" s="11">
        <f>Daily_Data!J2390</f>
        <v>44.66</v>
      </c>
      <c r="C2390" s="11">
        <f>Daily_Data!I2390</f>
        <v>2.47</v>
      </c>
      <c r="D2390" s="12">
        <f>if(sum(Daily_Data!K2390:L2390)&gt;0,1,0)</f>
        <v>0</v>
      </c>
    </row>
    <row r="2391">
      <c r="A2391" s="10">
        <f>Daily_Data!A2391</f>
        <v>39871</v>
      </c>
      <c r="B2391" s="11">
        <f>Daily_Data!J2391</f>
        <v>46.35</v>
      </c>
      <c r="C2391" s="11">
        <f>Daily_Data!I2391</f>
        <v>2.5</v>
      </c>
      <c r="D2391" s="12">
        <f>if(sum(Daily_Data!K2391:L2391)&gt;0,1,0)</f>
        <v>0</v>
      </c>
    </row>
    <row r="2392">
      <c r="A2392" s="10">
        <f>Daily_Data!A2392</f>
        <v>39874</v>
      </c>
      <c r="B2392" s="11">
        <f>Daily_Data!J2392</f>
        <v>52.65</v>
      </c>
      <c r="C2392" s="11">
        <f>Daily_Data!I2392</f>
        <v>2.64</v>
      </c>
      <c r="D2392" s="12">
        <f>if(sum(Daily_Data!K2392:L2392)&gt;0,1,0)</f>
        <v>0</v>
      </c>
    </row>
    <row r="2393">
      <c r="A2393" s="10">
        <f>Daily_Data!A2393</f>
        <v>39875</v>
      </c>
      <c r="B2393" s="11">
        <f>Daily_Data!J2393</f>
        <v>50.93</v>
      </c>
      <c r="C2393" s="11">
        <f>Daily_Data!I2393</f>
        <v>2.5</v>
      </c>
      <c r="D2393" s="12">
        <f>if(sum(Daily_Data!K2393:L2393)&gt;0,1,0)</f>
        <v>0</v>
      </c>
    </row>
    <row r="2394">
      <c r="A2394" s="10">
        <f>Daily_Data!A2394</f>
        <v>39876</v>
      </c>
      <c r="B2394" s="11">
        <f>Daily_Data!J2394</f>
        <v>47.56</v>
      </c>
      <c r="C2394" s="11">
        <f>Daily_Data!I2394</f>
        <v>2.45</v>
      </c>
      <c r="D2394" s="12">
        <f>if(sum(Daily_Data!K2394:L2394)&gt;0,1,0)</f>
        <v>0</v>
      </c>
    </row>
    <row r="2395">
      <c r="A2395" s="10">
        <f>Daily_Data!A2395</f>
        <v>39877</v>
      </c>
      <c r="B2395" s="11">
        <f>Daily_Data!J2395</f>
        <v>50.17</v>
      </c>
      <c r="C2395" s="11">
        <f>Daily_Data!I2395</f>
        <v>2.55</v>
      </c>
      <c r="D2395" s="12">
        <f>if(sum(Daily_Data!K2395:L2395)&gt;0,1,0)</f>
        <v>0</v>
      </c>
    </row>
    <row r="2396">
      <c r="A2396" s="10">
        <f>Daily_Data!A2396</f>
        <v>39878</v>
      </c>
      <c r="B2396" s="11">
        <f>Daily_Data!J2396</f>
        <v>49.33</v>
      </c>
      <c r="C2396" s="11">
        <f>Daily_Data!I2396</f>
        <v>2.46</v>
      </c>
      <c r="D2396" s="12">
        <f>if(sum(Daily_Data!K2396:L2396)&gt;0,1,0)</f>
        <v>1</v>
      </c>
    </row>
    <row r="2397">
      <c r="A2397" s="10">
        <f>Daily_Data!A2397</f>
        <v>39881</v>
      </c>
      <c r="B2397" s="11">
        <f>Daily_Data!J2397</f>
        <v>49.68</v>
      </c>
      <c r="C2397" s="11">
        <f>Daily_Data!I2397</f>
        <v>2.38</v>
      </c>
      <c r="D2397" s="12">
        <f>if(sum(Daily_Data!K2397:L2397)&gt;0,1,0)</f>
        <v>0</v>
      </c>
    </row>
    <row r="2398">
      <c r="A2398" s="10">
        <f>Daily_Data!A2398</f>
        <v>39882</v>
      </c>
      <c r="B2398" s="11">
        <f>Daily_Data!J2398</f>
        <v>44.37</v>
      </c>
      <c r="C2398" s="11">
        <f>Daily_Data!I2398</f>
        <v>2.3</v>
      </c>
      <c r="D2398" s="12">
        <f>if(sum(Daily_Data!K2398:L2398)&gt;0,1,0)</f>
        <v>0</v>
      </c>
    </row>
    <row r="2399">
      <c r="A2399" s="10">
        <f>Daily_Data!A2399</f>
        <v>39883</v>
      </c>
      <c r="B2399" s="11">
        <f>Daily_Data!J2399</f>
        <v>43.61</v>
      </c>
      <c r="C2399" s="11">
        <f>Daily_Data!I2399</f>
        <v>2.34</v>
      </c>
      <c r="D2399" s="12">
        <f>if(sum(Daily_Data!K2399:L2399)&gt;0,1,0)</f>
        <v>0</v>
      </c>
    </row>
    <row r="2400">
      <c r="A2400" s="10">
        <f>Daily_Data!A2400</f>
        <v>39884</v>
      </c>
      <c r="B2400" s="11">
        <f>Daily_Data!J2400</f>
        <v>41.18</v>
      </c>
      <c r="C2400" s="11">
        <f>Daily_Data!I2400</f>
        <v>2.44</v>
      </c>
      <c r="D2400" s="12">
        <f>if(sum(Daily_Data!K2400:L2400)&gt;0,1,0)</f>
        <v>0</v>
      </c>
    </row>
    <row r="2401">
      <c r="A2401" s="10">
        <f>Daily_Data!A2401</f>
        <v>39885</v>
      </c>
      <c r="B2401" s="11">
        <f>Daily_Data!J2401</f>
        <v>42.36</v>
      </c>
      <c r="C2401" s="11">
        <f>Daily_Data!I2401</f>
        <v>2.49</v>
      </c>
      <c r="D2401" s="12">
        <f>if(sum(Daily_Data!K2401:L2401)&gt;0,1,0)</f>
        <v>0</v>
      </c>
    </row>
    <row r="2402">
      <c r="A2402" s="10">
        <f>Daily_Data!A2402</f>
        <v>39888</v>
      </c>
      <c r="B2402" s="11">
        <f>Daily_Data!J2402</f>
        <v>43.74</v>
      </c>
      <c r="C2402" s="11">
        <f>Daily_Data!I2402</f>
        <v>2.45</v>
      </c>
      <c r="D2402" s="12">
        <f>if(sum(Daily_Data!K2402:L2402)&gt;0,1,0)</f>
        <v>0</v>
      </c>
    </row>
    <row r="2403">
      <c r="A2403" s="10">
        <f>Daily_Data!A2403</f>
        <v>39889</v>
      </c>
      <c r="B2403" s="11">
        <f>Daily_Data!J2403</f>
        <v>40.8</v>
      </c>
      <c r="C2403" s="11">
        <f>Daily_Data!I2403</f>
        <v>2.45</v>
      </c>
      <c r="D2403" s="12">
        <f>if(sum(Daily_Data!K2403:L2403)&gt;0,1,0)</f>
        <v>0</v>
      </c>
    </row>
    <row r="2404">
      <c r="A2404" s="10">
        <f>Daily_Data!A2404</f>
        <v>39890</v>
      </c>
      <c r="B2404" s="11">
        <f>Daily_Data!J2404</f>
        <v>40.06</v>
      </c>
      <c r="C2404" s="11">
        <f>Daily_Data!I2404</f>
        <v>2.63</v>
      </c>
      <c r="D2404" s="12">
        <f>if(sum(Daily_Data!K2404:L2404)&gt;0,1,0)</f>
        <v>1</v>
      </c>
    </row>
    <row r="2405">
      <c r="A2405" s="10">
        <f>Daily_Data!A2405</f>
        <v>39891</v>
      </c>
      <c r="B2405" s="11">
        <f>Daily_Data!J2405</f>
        <v>43.68</v>
      </c>
      <c r="C2405" s="11">
        <f>Daily_Data!I2405</f>
        <v>2.47</v>
      </c>
      <c r="D2405" s="12">
        <f>if(sum(Daily_Data!K2405:L2405)&gt;0,1,0)</f>
        <v>0</v>
      </c>
    </row>
    <row r="2406">
      <c r="A2406" s="10">
        <f>Daily_Data!A2406</f>
        <v>39892</v>
      </c>
      <c r="B2406" s="11">
        <f>Daily_Data!J2406</f>
        <v>45.89</v>
      </c>
      <c r="C2406" s="11">
        <f>Daily_Data!I2406</f>
        <v>2.52</v>
      </c>
      <c r="D2406" s="12">
        <f>if(sum(Daily_Data!K2406:L2406)&gt;0,1,0)</f>
        <v>0</v>
      </c>
    </row>
    <row r="2407">
      <c r="A2407" s="10">
        <f>Daily_Data!A2407</f>
        <v>39895</v>
      </c>
      <c r="B2407" s="11">
        <f>Daily_Data!J2407</f>
        <v>43.23</v>
      </c>
      <c r="C2407" s="11">
        <f>Daily_Data!I2407</f>
        <v>2.49</v>
      </c>
      <c r="D2407" s="12">
        <f>if(sum(Daily_Data!K2407:L2407)&gt;0,1,0)</f>
        <v>0</v>
      </c>
    </row>
    <row r="2408">
      <c r="A2408" s="10">
        <f>Daily_Data!A2408</f>
        <v>39896</v>
      </c>
      <c r="B2408" s="11">
        <f>Daily_Data!J2408</f>
        <v>42.93</v>
      </c>
      <c r="C2408" s="11">
        <f>Daily_Data!I2408</f>
        <v>2.6</v>
      </c>
      <c r="D2408" s="12">
        <f>if(sum(Daily_Data!K2408:L2408)&gt;0,1,0)</f>
        <v>0</v>
      </c>
    </row>
    <row r="2409">
      <c r="A2409" s="10">
        <f>Daily_Data!A2409</f>
        <v>39897</v>
      </c>
      <c r="B2409" s="11">
        <f>Daily_Data!J2409</f>
        <v>42.25</v>
      </c>
      <c r="C2409" s="11">
        <f>Daily_Data!I2409</f>
        <v>2.65</v>
      </c>
      <c r="D2409" s="12">
        <f>if(sum(Daily_Data!K2409:L2409)&gt;0,1,0)</f>
        <v>0</v>
      </c>
    </row>
    <row r="2410">
      <c r="A2410" s="10">
        <f>Daily_Data!A2410</f>
        <v>39898</v>
      </c>
      <c r="B2410" s="11">
        <f>Daily_Data!J2410</f>
        <v>40.36</v>
      </c>
      <c r="C2410" s="11">
        <f>Daily_Data!I2410</f>
        <v>3.3</v>
      </c>
      <c r="D2410" s="12">
        <f>if(sum(Daily_Data!K2410:L2410)&gt;0,1,0)</f>
        <v>0</v>
      </c>
    </row>
    <row r="2411">
      <c r="A2411" s="10">
        <f>Daily_Data!A2411</f>
        <v>39899</v>
      </c>
      <c r="B2411" s="11">
        <f>Daily_Data!J2411</f>
        <v>41.04</v>
      </c>
      <c r="C2411" s="11">
        <f>Daily_Data!I2411</f>
        <v>2.86</v>
      </c>
      <c r="D2411" s="12">
        <f>if(sum(Daily_Data!K2411:L2411)&gt;0,1,0)</f>
        <v>0</v>
      </c>
    </row>
    <row r="2412">
      <c r="A2412" s="10">
        <f>Daily_Data!A2412</f>
        <v>39902</v>
      </c>
      <c r="B2412" s="11">
        <f>Daily_Data!J2412</f>
        <v>45.54</v>
      </c>
      <c r="C2412" s="11">
        <f>Daily_Data!I2412</f>
        <v>3.11</v>
      </c>
      <c r="D2412" s="12">
        <f>if(sum(Daily_Data!K2412:L2412)&gt;0,1,0)</f>
        <v>0</v>
      </c>
    </row>
    <row r="2413">
      <c r="A2413" s="10">
        <f>Daily_Data!A2413</f>
        <v>39903</v>
      </c>
      <c r="B2413" s="11">
        <f>Daily_Data!J2413</f>
        <v>44.14</v>
      </c>
      <c r="C2413" s="11">
        <f>Daily_Data!I2413</f>
        <v>3.15</v>
      </c>
      <c r="D2413" s="12">
        <f>if(sum(Daily_Data!K2413:L2413)&gt;0,1,0)</f>
        <v>0</v>
      </c>
    </row>
    <row r="2414">
      <c r="A2414" s="10">
        <f>Daily_Data!A2414</f>
        <v>39904</v>
      </c>
      <c r="B2414" s="11">
        <f>Daily_Data!J2414</f>
        <v>42.28</v>
      </c>
      <c r="C2414" s="11">
        <f>Daily_Data!I2414</f>
        <v>3.01</v>
      </c>
      <c r="D2414" s="12">
        <f>if(sum(Daily_Data!K2414:L2414)&gt;0,1,0)</f>
        <v>0</v>
      </c>
    </row>
    <row r="2415">
      <c r="A2415" s="10">
        <f>Daily_Data!A2415</f>
        <v>39905</v>
      </c>
      <c r="B2415" s="11">
        <f>Daily_Data!J2415</f>
        <v>42.04</v>
      </c>
      <c r="C2415" s="11">
        <f>Daily_Data!I2415</f>
        <v>2.83</v>
      </c>
      <c r="D2415" s="12">
        <f>if(sum(Daily_Data!K2415:L2415)&gt;0,1,0)</f>
        <v>0</v>
      </c>
    </row>
    <row r="2416">
      <c r="A2416" s="10">
        <f>Daily_Data!A2416</f>
        <v>39906</v>
      </c>
      <c r="B2416" s="11">
        <f>Daily_Data!J2416</f>
        <v>39.7</v>
      </c>
      <c r="C2416" s="11">
        <f>Daily_Data!I2416</f>
        <v>2.9</v>
      </c>
      <c r="D2416" s="12">
        <f>if(sum(Daily_Data!K2416:L2416)&gt;0,1,0)</f>
        <v>1</v>
      </c>
    </row>
    <row r="2417">
      <c r="A2417" s="10">
        <f>Daily_Data!A2417</f>
        <v>39909</v>
      </c>
      <c r="B2417" s="11">
        <f>Daily_Data!J2417</f>
        <v>40.93</v>
      </c>
      <c r="C2417" s="11">
        <f>Daily_Data!I2417</f>
        <v>2.95</v>
      </c>
      <c r="D2417" s="12">
        <f>if(sum(Daily_Data!K2417:L2417)&gt;0,1,0)</f>
        <v>0</v>
      </c>
    </row>
    <row r="2418">
      <c r="A2418" s="10">
        <f>Daily_Data!A2418</f>
        <v>39910</v>
      </c>
      <c r="B2418" s="11">
        <f>Daily_Data!J2418</f>
        <v>40.39</v>
      </c>
      <c r="C2418" s="11">
        <f>Daily_Data!I2418</f>
        <v>2.89</v>
      </c>
      <c r="D2418" s="12">
        <f>if(sum(Daily_Data!K2418:L2418)&gt;0,1,0)</f>
        <v>0</v>
      </c>
    </row>
    <row r="2419">
      <c r="A2419" s="10">
        <f>Daily_Data!A2419</f>
        <v>39911</v>
      </c>
      <c r="B2419" s="11">
        <f>Daily_Data!J2419</f>
        <v>38.85</v>
      </c>
      <c r="C2419" s="11">
        <f>Daily_Data!I2419</f>
        <v>2.98</v>
      </c>
      <c r="D2419" s="12">
        <f>if(sum(Daily_Data!K2419:L2419)&gt;0,1,0)</f>
        <v>0</v>
      </c>
    </row>
    <row r="2420">
      <c r="A2420" s="10">
        <f>Daily_Data!A2420</f>
        <v>39912</v>
      </c>
      <c r="B2420" s="11">
        <f>Daily_Data!J2420</f>
        <v>36.53</v>
      </c>
      <c r="C2420" s="11">
        <f>Daily_Data!I2420</f>
        <v>2.95</v>
      </c>
      <c r="D2420" s="12">
        <f>if(sum(Daily_Data!K2420:L2420)&gt;0,1,0)</f>
        <v>0</v>
      </c>
    </row>
    <row r="2421">
      <c r="A2421" s="10">
        <f>Daily_Data!A2421</f>
        <v>39913</v>
      </c>
      <c r="B2421" s="11" t="str">
        <f>Daily_Data!J2421</f>
        <v/>
      </c>
      <c r="C2421" s="11" t="str">
        <f>Daily_Data!I2421</f>
        <v/>
      </c>
      <c r="D2421" s="12">
        <f>if(sum(Daily_Data!K2421:L2421)&gt;0,1,0)</f>
        <v>0</v>
      </c>
    </row>
    <row r="2422">
      <c r="A2422" s="10">
        <f>Daily_Data!A2422</f>
        <v>39916</v>
      </c>
      <c r="B2422" s="11">
        <f>Daily_Data!J2422</f>
        <v>37.81</v>
      </c>
      <c r="C2422" s="11" t="str">
        <f>Daily_Data!I2422</f>
        <v/>
      </c>
      <c r="D2422" s="12">
        <f>if(sum(Daily_Data!K2422:L2422)&gt;0,1,0)</f>
        <v>0</v>
      </c>
    </row>
    <row r="2423">
      <c r="A2423" s="10">
        <f>Daily_Data!A2423</f>
        <v>39917</v>
      </c>
      <c r="B2423" s="11">
        <f>Daily_Data!J2423</f>
        <v>37.67</v>
      </c>
      <c r="C2423" s="11">
        <f>Daily_Data!I2423</f>
        <v>3.02</v>
      </c>
      <c r="D2423" s="12">
        <f>if(sum(Daily_Data!K2423:L2423)&gt;0,1,0)</f>
        <v>0</v>
      </c>
    </row>
    <row r="2424">
      <c r="A2424" s="10">
        <f>Daily_Data!A2424</f>
        <v>39918</v>
      </c>
      <c r="B2424" s="11">
        <f>Daily_Data!J2424</f>
        <v>36.17</v>
      </c>
      <c r="C2424" s="11">
        <f>Daily_Data!I2424</f>
        <v>2.91</v>
      </c>
      <c r="D2424" s="12">
        <f>if(sum(Daily_Data!K2424:L2424)&gt;0,1,0)</f>
        <v>1</v>
      </c>
    </row>
    <row r="2425">
      <c r="A2425" s="10">
        <f>Daily_Data!A2425</f>
        <v>39919</v>
      </c>
      <c r="B2425" s="11">
        <f>Daily_Data!J2425</f>
        <v>35.79</v>
      </c>
      <c r="C2425" s="11">
        <f>Daily_Data!I2425</f>
        <v>2.81</v>
      </c>
      <c r="D2425" s="12">
        <f>if(sum(Daily_Data!K2425:L2425)&gt;0,1,0)</f>
        <v>0</v>
      </c>
    </row>
    <row r="2426">
      <c r="A2426" s="10">
        <f>Daily_Data!A2426</f>
        <v>39920</v>
      </c>
      <c r="B2426" s="11">
        <f>Daily_Data!J2426</f>
        <v>33.94</v>
      </c>
      <c r="C2426" s="11">
        <f>Daily_Data!I2426</f>
        <v>2.67</v>
      </c>
      <c r="D2426" s="12">
        <f>if(sum(Daily_Data!K2426:L2426)&gt;0,1,0)</f>
        <v>0</v>
      </c>
    </row>
    <row r="2427">
      <c r="A2427" s="10">
        <f>Daily_Data!A2427</f>
        <v>39923</v>
      </c>
      <c r="B2427" s="11">
        <f>Daily_Data!J2427</f>
        <v>39.18</v>
      </c>
      <c r="C2427" s="11">
        <f>Daily_Data!I2427</f>
        <v>2.74</v>
      </c>
      <c r="D2427" s="12">
        <f>if(sum(Daily_Data!K2427:L2427)&gt;0,1,0)</f>
        <v>0</v>
      </c>
    </row>
    <row r="2428">
      <c r="A2428" s="10">
        <f>Daily_Data!A2428</f>
        <v>39924</v>
      </c>
      <c r="B2428" s="11">
        <f>Daily_Data!J2428</f>
        <v>37.14</v>
      </c>
      <c r="C2428" s="11">
        <f>Daily_Data!I2428</f>
        <v>2.66</v>
      </c>
      <c r="D2428" s="12">
        <f>if(sum(Daily_Data!K2428:L2428)&gt;0,1,0)</f>
        <v>0</v>
      </c>
    </row>
    <row r="2429">
      <c r="A2429" s="10">
        <f>Daily_Data!A2429</f>
        <v>39925</v>
      </c>
      <c r="B2429" s="11">
        <f>Daily_Data!J2429</f>
        <v>38.1</v>
      </c>
      <c r="C2429" s="11">
        <f>Daily_Data!I2429</f>
        <v>2.52</v>
      </c>
      <c r="D2429" s="12">
        <f>if(sum(Daily_Data!K2429:L2429)&gt;0,1,0)</f>
        <v>0</v>
      </c>
    </row>
    <row r="2430">
      <c r="A2430" s="10">
        <f>Daily_Data!A2430</f>
        <v>39926</v>
      </c>
      <c r="B2430" s="11">
        <f>Daily_Data!J2430</f>
        <v>37.15</v>
      </c>
      <c r="C2430" s="11">
        <f>Daily_Data!I2430</f>
        <v>2.53</v>
      </c>
      <c r="D2430" s="12">
        <f>if(sum(Daily_Data!K2430:L2430)&gt;0,1,0)</f>
        <v>0</v>
      </c>
    </row>
    <row r="2431">
      <c r="A2431" s="10">
        <f>Daily_Data!A2431</f>
        <v>39927</v>
      </c>
      <c r="B2431" s="11">
        <f>Daily_Data!J2431</f>
        <v>36.82</v>
      </c>
      <c r="C2431" s="11">
        <f>Daily_Data!I2431</f>
        <v>2.57</v>
      </c>
      <c r="D2431" s="12">
        <f>if(sum(Daily_Data!K2431:L2431)&gt;0,1,0)</f>
        <v>0</v>
      </c>
    </row>
    <row r="2432">
      <c r="A2432" s="10">
        <f>Daily_Data!A2432</f>
        <v>39930</v>
      </c>
      <c r="B2432" s="11">
        <f>Daily_Data!J2432</f>
        <v>38.32</v>
      </c>
      <c r="C2432" s="11">
        <f>Daily_Data!I2432</f>
        <v>2.78</v>
      </c>
      <c r="D2432" s="12">
        <f>if(sum(Daily_Data!K2432:L2432)&gt;0,1,0)</f>
        <v>0</v>
      </c>
    </row>
    <row r="2433">
      <c r="A2433" s="10">
        <f>Daily_Data!A2433</f>
        <v>39931</v>
      </c>
      <c r="B2433" s="11">
        <f>Daily_Data!J2433</f>
        <v>37.95</v>
      </c>
      <c r="C2433" s="11">
        <f>Daily_Data!I2433</f>
        <v>2.68</v>
      </c>
      <c r="D2433" s="12">
        <f>if(sum(Daily_Data!K2433:L2433)&gt;0,1,0)</f>
        <v>0</v>
      </c>
    </row>
    <row r="2434">
      <c r="A2434" s="10">
        <f>Daily_Data!A2434</f>
        <v>39932</v>
      </c>
      <c r="B2434" s="11">
        <f>Daily_Data!J2434</f>
        <v>36.08</v>
      </c>
      <c r="C2434" s="11">
        <f>Daily_Data!I2434</f>
        <v>2.74</v>
      </c>
      <c r="D2434" s="12">
        <f>if(sum(Daily_Data!K2434:L2434)&gt;0,1,0)</f>
        <v>0</v>
      </c>
    </row>
    <row r="2435">
      <c r="A2435" s="10">
        <f>Daily_Data!A2435</f>
        <v>39933</v>
      </c>
      <c r="B2435" s="11">
        <f>Daily_Data!J2435</f>
        <v>36.5</v>
      </c>
      <c r="C2435" s="11">
        <f>Daily_Data!I2435</f>
        <v>2.52</v>
      </c>
      <c r="D2435" s="12">
        <f>if(sum(Daily_Data!K2435:L2435)&gt;0,1,0)</f>
        <v>0</v>
      </c>
    </row>
    <row r="2436">
      <c r="A2436" s="10">
        <f>Daily_Data!A2436</f>
        <v>39934</v>
      </c>
      <c r="B2436" s="11">
        <f>Daily_Data!J2436</f>
        <v>35.3</v>
      </c>
      <c r="C2436" s="11">
        <f>Daily_Data!I2436</f>
        <v>2.53</v>
      </c>
      <c r="D2436" s="12">
        <f>if(sum(Daily_Data!K2436:L2436)&gt;0,1,0)</f>
        <v>0</v>
      </c>
    </row>
    <row r="2437">
      <c r="A2437" s="10">
        <f>Daily_Data!A2437</f>
        <v>39937</v>
      </c>
      <c r="B2437" s="11">
        <f>Daily_Data!J2437</f>
        <v>34.53</v>
      </c>
      <c r="C2437" s="11">
        <f>Daily_Data!I2437</f>
        <v>2.56</v>
      </c>
      <c r="D2437" s="12">
        <f>if(sum(Daily_Data!K2437:L2437)&gt;0,1,0)</f>
        <v>0</v>
      </c>
    </row>
    <row r="2438">
      <c r="A2438" s="10">
        <f>Daily_Data!A2438</f>
        <v>39938</v>
      </c>
      <c r="B2438" s="11">
        <f>Daily_Data!J2438</f>
        <v>33.36</v>
      </c>
      <c r="C2438" s="11">
        <f>Daily_Data!I2438</f>
        <v>2.58</v>
      </c>
      <c r="D2438" s="12">
        <f>if(sum(Daily_Data!K2438:L2438)&gt;0,1,0)</f>
        <v>0</v>
      </c>
    </row>
    <row r="2439">
      <c r="A2439" s="10">
        <f>Daily_Data!A2439</f>
        <v>39939</v>
      </c>
      <c r="B2439" s="11">
        <f>Daily_Data!J2439</f>
        <v>32.45</v>
      </c>
      <c r="C2439" s="11">
        <f>Daily_Data!I2439</f>
        <v>2.67</v>
      </c>
      <c r="D2439" s="12">
        <f>if(sum(Daily_Data!K2439:L2439)&gt;0,1,0)</f>
        <v>0</v>
      </c>
    </row>
    <row r="2440">
      <c r="A2440" s="10">
        <f>Daily_Data!A2440</f>
        <v>39940</v>
      </c>
      <c r="B2440" s="11">
        <f>Daily_Data!J2440</f>
        <v>33.44</v>
      </c>
      <c r="C2440" s="11">
        <f>Daily_Data!I2440</f>
        <v>2.69</v>
      </c>
      <c r="D2440" s="12">
        <f>if(sum(Daily_Data!K2440:L2440)&gt;0,1,0)</f>
        <v>0</v>
      </c>
    </row>
    <row r="2441">
      <c r="A2441" s="10">
        <f>Daily_Data!A2441</f>
        <v>39941</v>
      </c>
      <c r="B2441" s="11">
        <f>Daily_Data!J2441</f>
        <v>32.05</v>
      </c>
      <c r="C2441" s="11">
        <f>Daily_Data!I2441</f>
        <v>2.71</v>
      </c>
      <c r="D2441" s="12">
        <f>if(sum(Daily_Data!K2441:L2441)&gt;0,1,0)</f>
        <v>1</v>
      </c>
    </row>
    <row r="2442">
      <c r="A2442" s="10">
        <f>Daily_Data!A2442</f>
        <v>39944</v>
      </c>
      <c r="B2442" s="11">
        <f>Daily_Data!J2442</f>
        <v>32.87</v>
      </c>
      <c r="C2442" s="11">
        <f>Daily_Data!I2442</f>
        <v>2.78</v>
      </c>
      <c r="D2442" s="12">
        <f>if(sum(Daily_Data!K2442:L2442)&gt;0,1,0)</f>
        <v>0</v>
      </c>
    </row>
    <row r="2443">
      <c r="A2443" s="10">
        <f>Daily_Data!A2443</f>
        <v>39945</v>
      </c>
      <c r="B2443" s="11">
        <f>Daily_Data!J2443</f>
        <v>31.8</v>
      </c>
      <c r="C2443" s="11">
        <f>Daily_Data!I2443</f>
        <v>2.74</v>
      </c>
      <c r="D2443" s="12">
        <f>if(sum(Daily_Data!K2443:L2443)&gt;0,1,0)</f>
        <v>0</v>
      </c>
    </row>
    <row r="2444">
      <c r="A2444" s="10">
        <f>Daily_Data!A2444</f>
        <v>39946</v>
      </c>
      <c r="B2444" s="11">
        <f>Daily_Data!J2444</f>
        <v>33.65</v>
      </c>
      <c r="C2444" s="11">
        <f>Daily_Data!I2444</f>
        <v>2.71</v>
      </c>
      <c r="D2444" s="12">
        <f>if(sum(Daily_Data!K2444:L2444)&gt;0,1,0)</f>
        <v>0</v>
      </c>
    </row>
    <row r="2445">
      <c r="A2445" s="10">
        <f>Daily_Data!A2445</f>
        <v>39947</v>
      </c>
      <c r="B2445" s="11">
        <f>Daily_Data!J2445</f>
        <v>31.37</v>
      </c>
      <c r="C2445" s="11">
        <f>Daily_Data!I2445</f>
        <v>2.68</v>
      </c>
      <c r="D2445" s="12">
        <f>if(sum(Daily_Data!K2445:L2445)&gt;0,1,0)</f>
        <v>0</v>
      </c>
    </row>
    <row r="2446">
      <c r="A2446" s="10">
        <f>Daily_Data!A2446</f>
        <v>39948</v>
      </c>
      <c r="B2446" s="11">
        <f>Daily_Data!J2446</f>
        <v>33.12</v>
      </c>
      <c r="C2446" s="11">
        <f>Daily_Data!I2446</f>
        <v>2.61</v>
      </c>
      <c r="D2446" s="12">
        <f>if(sum(Daily_Data!K2446:L2446)&gt;0,1,0)</f>
        <v>1</v>
      </c>
    </row>
    <row r="2447">
      <c r="A2447" s="10">
        <f>Daily_Data!A2447</f>
        <v>39951</v>
      </c>
      <c r="B2447" s="11">
        <f>Daily_Data!J2447</f>
        <v>30.24</v>
      </c>
      <c r="C2447" s="11">
        <f>Daily_Data!I2447</f>
        <v>2.59</v>
      </c>
      <c r="D2447" s="12">
        <f>if(sum(Daily_Data!K2447:L2447)&gt;0,1,0)</f>
        <v>0</v>
      </c>
    </row>
    <row r="2448">
      <c r="A2448" s="10">
        <f>Daily_Data!A2448</f>
        <v>39952</v>
      </c>
      <c r="B2448" s="11">
        <f>Daily_Data!J2448</f>
        <v>28.8</v>
      </c>
      <c r="C2448" s="11">
        <f>Daily_Data!I2448</f>
        <v>2.68</v>
      </c>
      <c r="D2448" s="12">
        <f>if(sum(Daily_Data!K2448:L2448)&gt;0,1,0)</f>
        <v>0</v>
      </c>
    </row>
    <row r="2449">
      <c r="A2449" s="10">
        <f>Daily_Data!A2449</f>
        <v>39953</v>
      </c>
      <c r="B2449" s="11">
        <f>Daily_Data!J2449</f>
        <v>29.03</v>
      </c>
      <c r="C2449" s="11">
        <f>Daily_Data!I2449</f>
        <v>2.79</v>
      </c>
      <c r="D2449" s="12">
        <f>if(sum(Daily_Data!K2449:L2449)&gt;0,1,0)</f>
        <v>0</v>
      </c>
    </row>
    <row r="2450">
      <c r="A2450" s="10">
        <f>Daily_Data!A2450</f>
        <v>39954</v>
      </c>
      <c r="B2450" s="11">
        <f>Daily_Data!J2450</f>
        <v>31.35</v>
      </c>
      <c r="C2450" s="11">
        <f>Daily_Data!I2450</f>
        <v>2.74</v>
      </c>
      <c r="D2450" s="12">
        <f>if(sum(Daily_Data!K2450:L2450)&gt;0,1,0)</f>
        <v>0</v>
      </c>
    </row>
    <row r="2451">
      <c r="A2451" s="10">
        <f>Daily_Data!A2451</f>
        <v>39955</v>
      </c>
      <c r="B2451" s="11">
        <f>Daily_Data!J2451</f>
        <v>32.63</v>
      </c>
      <c r="C2451" s="11">
        <f>Daily_Data!I2451</f>
        <v>2.74</v>
      </c>
      <c r="D2451" s="12">
        <f>if(sum(Daily_Data!K2451:L2451)&gt;0,1,0)</f>
        <v>0</v>
      </c>
    </row>
    <row r="2452">
      <c r="A2452" s="10">
        <f>Daily_Data!A2452</f>
        <v>39958</v>
      </c>
      <c r="B2452" s="11" t="str">
        <f>Daily_Data!J2452</f>
        <v/>
      </c>
      <c r="C2452" s="11" t="str">
        <f>Daily_Data!I2452</f>
        <v/>
      </c>
      <c r="D2452" s="12">
        <f>if(sum(Daily_Data!K2452:L2452)&gt;0,1,0)</f>
        <v>0</v>
      </c>
    </row>
    <row r="2453">
      <c r="A2453" s="10">
        <f>Daily_Data!A2453</f>
        <v>39959</v>
      </c>
      <c r="B2453" s="11">
        <f>Daily_Data!J2453</f>
        <v>30.62</v>
      </c>
      <c r="C2453" s="11">
        <f>Daily_Data!I2453</f>
        <v>2.73</v>
      </c>
      <c r="D2453" s="12">
        <f>if(sum(Daily_Data!K2453:L2453)&gt;0,1,0)</f>
        <v>0</v>
      </c>
    </row>
    <row r="2454">
      <c r="A2454" s="10">
        <f>Daily_Data!A2454</f>
        <v>39960</v>
      </c>
      <c r="B2454" s="11">
        <f>Daily_Data!J2454</f>
        <v>32.36</v>
      </c>
      <c r="C2454" s="11">
        <f>Daily_Data!I2454</f>
        <v>2.77</v>
      </c>
      <c r="D2454" s="12">
        <f>if(sum(Daily_Data!K2454:L2454)&gt;0,1,0)</f>
        <v>0</v>
      </c>
    </row>
    <row r="2455">
      <c r="A2455" s="10">
        <f>Daily_Data!A2455</f>
        <v>39961</v>
      </c>
      <c r="B2455" s="11">
        <f>Daily_Data!J2455</f>
        <v>31.67</v>
      </c>
      <c r="C2455" s="11">
        <f>Daily_Data!I2455</f>
        <v>2.83</v>
      </c>
      <c r="D2455" s="12">
        <f>if(sum(Daily_Data!K2455:L2455)&gt;0,1,0)</f>
        <v>0</v>
      </c>
    </row>
    <row r="2456">
      <c r="A2456" s="10">
        <f>Daily_Data!A2456</f>
        <v>39962</v>
      </c>
      <c r="B2456" s="11">
        <f>Daily_Data!J2456</f>
        <v>28.92</v>
      </c>
      <c r="C2456" s="11">
        <f>Daily_Data!I2456</f>
        <v>2.67</v>
      </c>
      <c r="D2456" s="12">
        <f>if(sum(Daily_Data!K2456:L2456)&gt;0,1,0)</f>
        <v>0</v>
      </c>
    </row>
    <row r="2457">
      <c r="A2457" s="10">
        <f>Daily_Data!A2457</f>
        <v>39965</v>
      </c>
      <c r="B2457" s="11">
        <f>Daily_Data!J2457</f>
        <v>30.04</v>
      </c>
      <c r="C2457" s="11" t="str">
        <f>Daily_Data!I2457</f>
        <v/>
      </c>
      <c r="D2457" s="12">
        <f>if(sum(Daily_Data!K2457:L2457)&gt;0,1,0)</f>
        <v>0</v>
      </c>
    </row>
    <row r="2458">
      <c r="A2458" s="10">
        <f>Daily_Data!A2458</f>
        <v>39966</v>
      </c>
      <c r="B2458" s="11">
        <f>Daily_Data!J2458</f>
        <v>29.63</v>
      </c>
      <c r="C2458" s="11">
        <f>Daily_Data!I2458</f>
        <v>2.63</v>
      </c>
      <c r="D2458" s="12">
        <f>if(sum(Daily_Data!K2458:L2458)&gt;0,1,0)</f>
        <v>0</v>
      </c>
    </row>
    <row r="2459">
      <c r="A2459" s="10">
        <f>Daily_Data!A2459</f>
        <v>39967</v>
      </c>
      <c r="B2459" s="11">
        <f>Daily_Data!J2459</f>
        <v>31.02</v>
      </c>
      <c r="C2459" s="11">
        <f>Daily_Data!I2459</f>
        <v>2.75</v>
      </c>
      <c r="D2459" s="12">
        <f>if(sum(Daily_Data!K2459:L2459)&gt;0,1,0)</f>
        <v>0</v>
      </c>
    </row>
    <row r="2460">
      <c r="A2460" s="10">
        <f>Daily_Data!A2460</f>
        <v>39968</v>
      </c>
      <c r="B2460" s="11">
        <f>Daily_Data!J2460</f>
        <v>30.18</v>
      </c>
      <c r="C2460" s="11">
        <f>Daily_Data!I2460</f>
        <v>2.69</v>
      </c>
      <c r="D2460" s="12">
        <f>if(sum(Daily_Data!K2460:L2460)&gt;0,1,0)</f>
        <v>0</v>
      </c>
    </row>
    <row r="2461">
      <c r="A2461" s="10">
        <f>Daily_Data!A2461</f>
        <v>39969</v>
      </c>
      <c r="B2461" s="11">
        <f>Daily_Data!J2461</f>
        <v>29.62</v>
      </c>
      <c r="C2461" s="11">
        <f>Daily_Data!I2461</f>
        <v>2.35</v>
      </c>
      <c r="D2461" s="12">
        <f>if(sum(Daily_Data!K2461:L2461)&gt;0,1,0)</f>
        <v>1</v>
      </c>
    </row>
    <row r="2462">
      <c r="A2462" s="10">
        <f>Daily_Data!A2462</f>
        <v>39972</v>
      </c>
      <c r="B2462" s="11">
        <f>Daily_Data!J2462</f>
        <v>29.77</v>
      </c>
      <c r="C2462" s="11">
        <f>Daily_Data!I2462</f>
        <v>2.35</v>
      </c>
      <c r="D2462" s="12">
        <f>if(sum(Daily_Data!K2462:L2462)&gt;0,1,0)</f>
        <v>0</v>
      </c>
    </row>
    <row r="2463">
      <c r="A2463" s="10">
        <f>Daily_Data!A2463</f>
        <v>39973</v>
      </c>
      <c r="B2463" s="11">
        <f>Daily_Data!J2463</f>
        <v>28.27</v>
      </c>
      <c r="C2463" s="11">
        <f>Daily_Data!I2463</f>
        <v>2.39</v>
      </c>
      <c r="D2463" s="12">
        <f>if(sum(Daily_Data!K2463:L2463)&gt;0,1,0)</f>
        <v>0</v>
      </c>
    </row>
    <row r="2464">
      <c r="A2464" s="10">
        <f>Daily_Data!A2464</f>
        <v>39974</v>
      </c>
      <c r="B2464" s="11">
        <f>Daily_Data!J2464</f>
        <v>28.46</v>
      </c>
      <c r="C2464" s="11">
        <f>Daily_Data!I2464</f>
        <v>2.31</v>
      </c>
      <c r="D2464" s="12">
        <f>if(sum(Daily_Data!K2464:L2464)&gt;0,1,0)</f>
        <v>0</v>
      </c>
    </row>
    <row r="2465">
      <c r="A2465" s="10">
        <f>Daily_Data!A2465</f>
        <v>39975</v>
      </c>
      <c r="B2465" s="11">
        <f>Daily_Data!J2465</f>
        <v>28.11</v>
      </c>
      <c r="C2465" s="11">
        <f>Daily_Data!I2465</f>
        <v>2.49</v>
      </c>
      <c r="D2465" s="12">
        <f>if(sum(Daily_Data!K2465:L2465)&gt;0,1,0)</f>
        <v>0</v>
      </c>
    </row>
    <row r="2466">
      <c r="A2466" s="10">
        <f>Daily_Data!A2466</f>
        <v>39976</v>
      </c>
      <c r="B2466" s="11">
        <f>Daily_Data!J2466</f>
        <v>28.15</v>
      </c>
      <c r="C2466" s="11">
        <f>Daily_Data!I2466</f>
        <v>2.58</v>
      </c>
      <c r="D2466" s="12">
        <f>if(sum(Daily_Data!K2466:L2466)&gt;0,1,0)</f>
        <v>0</v>
      </c>
    </row>
    <row r="2467">
      <c r="A2467" s="10">
        <f>Daily_Data!A2467</f>
        <v>39979</v>
      </c>
      <c r="B2467" s="11">
        <f>Daily_Data!J2467</f>
        <v>30.81</v>
      </c>
      <c r="C2467" s="11">
        <f>Daily_Data!I2467</f>
        <v>2.53</v>
      </c>
      <c r="D2467" s="12">
        <f>if(sum(Daily_Data!K2467:L2467)&gt;0,1,0)</f>
        <v>0</v>
      </c>
    </row>
    <row r="2468">
      <c r="A2468" s="10">
        <f>Daily_Data!A2468</f>
        <v>39980</v>
      </c>
      <c r="B2468" s="11">
        <f>Daily_Data!J2468</f>
        <v>32.68</v>
      </c>
      <c r="C2468" s="11">
        <f>Daily_Data!I2468</f>
        <v>2.53</v>
      </c>
      <c r="D2468" s="12">
        <f>if(sum(Daily_Data!K2468:L2468)&gt;0,1,0)</f>
        <v>0</v>
      </c>
    </row>
    <row r="2469">
      <c r="A2469" s="10">
        <f>Daily_Data!A2469</f>
        <v>39981</v>
      </c>
      <c r="B2469" s="11">
        <f>Daily_Data!J2469</f>
        <v>31.54</v>
      </c>
      <c r="C2469" s="11">
        <f>Daily_Data!I2469</f>
        <v>2.56</v>
      </c>
      <c r="D2469" s="12">
        <f>if(sum(Daily_Data!K2469:L2469)&gt;0,1,0)</f>
        <v>1</v>
      </c>
    </row>
    <row r="2470">
      <c r="A2470" s="10">
        <f>Daily_Data!A2470</f>
        <v>39982</v>
      </c>
      <c r="B2470" s="11">
        <f>Daily_Data!J2470</f>
        <v>30.03</v>
      </c>
      <c r="C2470" s="11">
        <f>Daily_Data!I2470</f>
        <v>2.51</v>
      </c>
      <c r="D2470" s="12">
        <f>if(sum(Daily_Data!K2470:L2470)&gt;0,1,0)</f>
        <v>0</v>
      </c>
    </row>
    <row r="2471">
      <c r="A2471" s="10">
        <f>Daily_Data!A2471</f>
        <v>39983</v>
      </c>
      <c r="B2471" s="11">
        <f>Daily_Data!J2471</f>
        <v>27.99</v>
      </c>
      <c r="C2471" s="11">
        <f>Daily_Data!I2471</f>
        <v>2.61</v>
      </c>
      <c r="D2471" s="12">
        <f>if(sum(Daily_Data!K2471:L2471)&gt;0,1,0)</f>
        <v>0</v>
      </c>
    </row>
    <row r="2472">
      <c r="A2472" s="10">
        <f>Daily_Data!A2472</f>
        <v>39986</v>
      </c>
      <c r="B2472" s="11">
        <f>Daily_Data!J2472</f>
        <v>31.17</v>
      </c>
      <c r="C2472" s="11">
        <f>Daily_Data!I2472</f>
        <v>2.73</v>
      </c>
      <c r="D2472" s="12">
        <f>if(sum(Daily_Data!K2472:L2472)&gt;0,1,0)</f>
        <v>0</v>
      </c>
    </row>
    <row r="2473">
      <c r="A2473" s="10">
        <f>Daily_Data!A2473</f>
        <v>39987</v>
      </c>
      <c r="B2473" s="11">
        <f>Daily_Data!J2473</f>
        <v>30.58</v>
      </c>
      <c r="C2473" s="11">
        <f>Daily_Data!I2473</f>
        <v>2.71</v>
      </c>
      <c r="D2473" s="12">
        <f>if(sum(Daily_Data!K2473:L2473)&gt;0,1,0)</f>
        <v>0</v>
      </c>
    </row>
    <row r="2474">
      <c r="A2474" s="10">
        <f>Daily_Data!A2474</f>
        <v>39988</v>
      </c>
      <c r="B2474" s="11">
        <f>Daily_Data!J2474</f>
        <v>29.05</v>
      </c>
      <c r="C2474" s="11">
        <f>Daily_Data!I2474</f>
        <v>2.66</v>
      </c>
      <c r="D2474" s="12">
        <f>if(sum(Daily_Data!K2474:L2474)&gt;0,1,0)</f>
        <v>0</v>
      </c>
    </row>
    <row r="2475">
      <c r="A2475" s="10">
        <f>Daily_Data!A2475</f>
        <v>39989</v>
      </c>
      <c r="B2475" s="11">
        <f>Daily_Data!J2475</f>
        <v>26.36</v>
      </c>
      <c r="C2475" s="11">
        <f>Daily_Data!I2475</f>
        <v>2.77</v>
      </c>
      <c r="D2475" s="12">
        <f>if(sum(Daily_Data!K2475:L2475)&gt;0,1,0)</f>
        <v>0</v>
      </c>
    </row>
    <row r="2476">
      <c r="A2476" s="10">
        <f>Daily_Data!A2476</f>
        <v>39990</v>
      </c>
      <c r="B2476" s="11">
        <f>Daily_Data!J2476</f>
        <v>25.93</v>
      </c>
      <c r="C2476" s="11">
        <f>Daily_Data!I2476</f>
        <v>2.78</v>
      </c>
      <c r="D2476" s="12">
        <f>if(sum(Daily_Data!K2476:L2476)&gt;0,1,0)</f>
        <v>0</v>
      </c>
    </row>
    <row r="2477">
      <c r="A2477" s="10">
        <f>Daily_Data!A2477</f>
        <v>39993</v>
      </c>
      <c r="B2477" s="11">
        <f>Daily_Data!J2477</f>
        <v>25.35</v>
      </c>
      <c r="C2477" s="11">
        <f>Daily_Data!I2477</f>
        <v>2.77</v>
      </c>
      <c r="D2477" s="12">
        <f>if(sum(Daily_Data!K2477:L2477)&gt;0,1,0)</f>
        <v>0</v>
      </c>
    </row>
    <row r="2478">
      <c r="A2478" s="10">
        <f>Daily_Data!A2478</f>
        <v>39994</v>
      </c>
      <c r="B2478" s="11">
        <f>Daily_Data!J2478</f>
        <v>26.35</v>
      </c>
      <c r="C2478" s="11">
        <f>Daily_Data!I2478</f>
        <v>2.71</v>
      </c>
      <c r="D2478" s="12">
        <f>if(sum(Daily_Data!K2478:L2478)&gt;0,1,0)</f>
        <v>0</v>
      </c>
    </row>
    <row r="2479">
      <c r="A2479" s="10">
        <f>Daily_Data!A2479</f>
        <v>39995</v>
      </c>
      <c r="B2479" s="11">
        <f>Daily_Data!J2479</f>
        <v>26.22</v>
      </c>
      <c r="C2479" s="11">
        <f>Daily_Data!I2479</f>
        <v>2.75</v>
      </c>
      <c r="D2479" s="12">
        <f>if(sum(Daily_Data!K2479:L2479)&gt;0,1,0)</f>
        <v>0</v>
      </c>
    </row>
    <row r="2480">
      <c r="A2480" s="10">
        <f>Daily_Data!A2480</f>
        <v>39996</v>
      </c>
      <c r="B2480" s="11">
        <f>Daily_Data!J2480</f>
        <v>27.95</v>
      </c>
      <c r="C2480" s="11">
        <f>Daily_Data!I2480</f>
        <v>2.78</v>
      </c>
      <c r="D2480" s="12">
        <f>if(sum(Daily_Data!K2480:L2480)&gt;0,1,0)</f>
        <v>1</v>
      </c>
    </row>
    <row r="2481">
      <c r="A2481" s="10">
        <f>Daily_Data!A2481</f>
        <v>39997</v>
      </c>
      <c r="B2481" s="11" t="str">
        <f>Daily_Data!J2481</f>
        <v/>
      </c>
      <c r="C2481" s="11" t="str">
        <f>Daily_Data!I2481</f>
        <v/>
      </c>
      <c r="D2481" s="12">
        <f>if(sum(Daily_Data!K2481:L2481)&gt;0,1,0)</f>
        <v>0</v>
      </c>
    </row>
    <row r="2482">
      <c r="A2482" s="10">
        <f>Daily_Data!A2482</f>
        <v>40000</v>
      </c>
      <c r="B2482" s="11">
        <f>Daily_Data!J2482</f>
        <v>29</v>
      </c>
      <c r="C2482" s="11">
        <f>Daily_Data!I2482</f>
        <v>2.73</v>
      </c>
      <c r="D2482" s="12">
        <f>if(sum(Daily_Data!K2482:L2482)&gt;0,1,0)</f>
        <v>0</v>
      </c>
    </row>
    <row r="2483">
      <c r="A2483" s="10">
        <f>Daily_Data!A2483</f>
        <v>40001</v>
      </c>
      <c r="B2483" s="11">
        <f>Daily_Data!J2483</f>
        <v>30.85</v>
      </c>
      <c r="C2483" s="11">
        <f>Daily_Data!I2483</f>
        <v>2.65</v>
      </c>
      <c r="D2483" s="12">
        <f>if(sum(Daily_Data!K2483:L2483)&gt;0,1,0)</f>
        <v>0</v>
      </c>
    </row>
    <row r="2484">
      <c r="A2484" s="10">
        <f>Daily_Data!A2484</f>
        <v>40002</v>
      </c>
      <c r="B2484" s="11">
        <f>Daily_Data!J2484</f>
        <v>31.3</v>
      </c>
      <c r="C2484" s="11">
        <f>Daily_Data!I2484</f>
        <v>2.68</v>
      </c>
      <c r="D2484" s="12">
        <f>if(sum(Daily_Data!K2484:L2484)&gt;0,1,0)</f>
        <v>0</v>
      </c>
    </row>
    <row r="2485">
      <c r="A2485" s="10">
        <f>Daily_Data!A2485</f>
        <v>40003</v>
      </c>
      <c r="B2485" s="11">
        <f>Daily_Data!J2485</f>
        <v>29.78</v>
      </c>
      <c r="C2485" s="11">
        <f>Daily_Data!I2485</f>
        <v>2.64</v>
      </c>
      <c r="D2485" s="12">
        <f>if(sum(Daily_Data!K2485:L2485)&gt;0,1,0)</f>
        <v>0</v>
      </c>
    </row>
    <row r="2486">
      <c r="A2486" s="10">
        <f>Daily_Data!A2486</f>
        <v>40004</v>
      </c>
      <c r="B2486" s="11">
        <f>Daily_Data!J2486</f>
        <v>29.02</v>
      </c>
      <c r="C2486" s="11">
        <f>Daily_Data!I2486</f>
        <v>2.74</v>
      </c>
      <c r="D2486" s="12">
        <f>if(sum(Daily_Data!K2486:L2486)&gt;0,1,0)</f>
        <v>0</v>
      </c>
    </row>
    <row r="2487">
      <c r="A2487" s="10">
        <f>Daily_Data!A2487</f>
        <v>40007</v>
      </c>
      <c r="B2487" s="11">
        <f>Daily_Data!J2487</f>
        <v>26.31</v>
      </c>
      <c r="C2487" s="11">
        <f>Daily_Data!I2487</f>
        <v>2.71</v>
      </c>
      <c r="D2487" s="12">
        <f>if(sum(Daily_Data!K2487:L2487)&gt;0,1,0)</f>
        <v>0</v>
      </c>
    </row>
    <row r="2488">
      <c r="A2488" s="10">
        <f>Daily_Data!A2488</f>
        <v>40008</v>
      </c>
      <c r="B2488" s="11">
        <f>Daily_Data!J2488</f>
        <v>25.02</v>
      </c>
      <c r="C2488" s="11">
        <f>Daily_Data!I2488</f>
        <v>2.74</v>
      </c>
      <c r="D2488" s="12">
        <f>if(sum(Daily_Data!K2488:L2488)&gt;0,1,0)</f>
        <v>0</v>
      </c>
    </row>
    <row r="2489">
      <c r="A2489" s="10">
        <f>Daily_Data!A2489</f>
        <v>40009</v>
      </c>
      <c r="B2489" s="11">
        <f>Daily_Data!J2489</f>
        <v>25.89</v>
      </c>
      <c r="C2489" s="11">
        <f>Daily_Data!I2489</f>
        <v>2.78</v>
      </c>
      <c r="D2489" s="12">
        <f>if(sum(Daily_Data!K2489:L2489)&gt;0,1,0)</f>
        <v>1</v>
      </c>
    </row>
    <row r="2490">
      <c r="A2490" s="10">
        <f>Daily_Data!A2490</f>
        <v>40010</v>
      </c>
      <c r="B2490" s="11">
        <f>Daily_Data!J2490</f>
        <v>25.42</v>
      </c>
      <c r="C2490" s="11">
        <f>Daily_Data!I2490</f>
        <v>2.84</v>
      </c>
      <c r="D2490" s="12">
        <f>if(sum(Daily_Data!K2490:L2490)&gt;0,1,0)</f>
        <v>0</v>
      </c>
    </row>
    <row r="2491">
      <c r="A2491" s="10">
        <f>Daily_Data!A2491</f>
        <v>40011</v>
      </c>
      <c r="B2491" s="11">
        <f>Daily_Data!J2491</f>
        <v>24.34</v>
      </c>
      <c r="C2491" s="11">
        <f>Daily_Data!I2491</f>
        <v>2.76</v>
      </c>
      <c r="D2491" s="12">
        <f>if(sum(Daily_Data!K2491:L2491)&gt;0,1,0)</f>
        <v>0</v>
      </c>
    </row>
    <row r="2492">
      <c r="A2492" s="10">
        <f>Daily_Data!A2492</f>
        <v>40014</v>
      </c>
      <c r="B2492" s="11">
        <f>Daily_Data!J2492</f>
        <v>24.4</v>
      </c>
      <c r="C2492" s="11">
        <f>Daily_Data!I2492</f>
        <v>2.79</v>
      </c>
      <c r="D2492" s="12">
        <f>if(sum(Daily_Data!K2492:L2492)&gt;0,1,0)</f>
        <v>0</v>
      </c>
    </row>
    <row r="2493">
      <c r="A2493" s="10">
        <f>Daily_Data!A2493</f>
        <v>40015</v>
      </c>
      <c r="B2493" s="11">
        <f>Daily_Data!J2493</f>
        <v>23.87</v>
      </c>
      <c r="C2493" s="11">
        <f>Daily_Data!I2493</f>
        <v>2.83</v>
      </c>
      <c r="D2493" s="12">
        <f>if(sum(Daily_Data!K2493:L2493)&gt;0,1,0)</f>
        <v>0</v>
      </c>
    </row>
    <row r="2494">
      <c r="A2494" s="10">
        <f>Daily_Data!A2494</f>
        <v>40016</v>
      </c>
      <c r="B2494" s="11">
        <f>Daily_Data!J2494</f>
        <v>23.47</v>
      </c>
      <c r="C2494" s="11">
        <f>Daily_Data!I2494</f>
        <v>2.82</v>
      </c>
      <c r="D2494" s="12">
        <f>if(sum(Daily_Data!K2494:L2494)&gt;0,1,0)</f>
        <v>0</v>
      </c>
    </row>
    <row r="2495">
      <c r="A2495" s="10">
        <f>Daily_Data!A2495</f>
        <v>40017</v>
      </c>
      <c r="B2495" s="11">
        <f>Daily_Data!J2495</f>
        <v>23.43</v>
      </c>
      <c r="C2495" s="11">
        <f>Daily_Data!I2495</f>
        <v>2.77</v>
      </c>
      <c r="D2495" s="12">
        <f>if(sum(Daily_Data!K2495:L2495)&gt;0,1,0)</f>
        <v>0</v>
      </c>
    </row>
    <row r="2496">
      <c r="A2496" s="10">
        <f>Daily_Data!A2496</f>
        <v>40018</v>
      </c>
      <c r="B2496" s="11">
        <f>Daily_Data!J2496</f>
        <v>23.09</v>
      </c>
      <c r="C2496" s="11">
        <f>Daily_Data!I2496</f>
        <v>2.78</v>
      </c>
      <c r="D2496" s="12">
        <f>if(sum(Daily_Data!K2496:L2496)&gt;0,1,0)</f>
        <v>0</v>
      </c>
    </row>
    <row r="2497">
      <c r="A2497" s="10">
        <f>Daily_Data!A2497</f>
        <v>40021</v>
      </c>
      <c r="B2497" s="11">
        <f>Daily_Data!J2497</f>
        <v>24.28</v>
      </c>
      <c r="C2497" s="11">
        <f>Daily_Data!I2497</f>
        <v>2.75</v>
      </c>
      <c r="D2497" s="12">
        <f>if(sum(Daily_Data!K2497:L2497)&gt;0,1,0)</f>
        <v>0</v>
      </c>
    </row>
    <row r="2498">
      <c r="A2498" s="10">
        <f>Daily_Data!A2498</f>
        <v>40022</v>
      </c>
      <c r="B2498" s="11">
        <f>Daily_Data!J2498</f>
        <v>25.01</v>
      </c>
      <c r="C2498" s="11">
        <f>Daily_Data!I2498</f>
        <v>2.7</v>
      </c>
      <c r="D2498" s="12">
        <f>if(sum(Daily_Data!K2498:L2498)&gt;0,1,0)</f>
        <v>0</v>
      </c>
    </row>
    <row r="2499">
      <c r="A2499" s="10">
        <f>Daily_Data!A2499</f>
        <v>40023</v>
      </c>
      <c r="B2499" s="11">
        <f>Daily_Data!J2499</f>
        <v>25.61</v>
      </c>
      <c r="C2499" s="11">
        <f>Daily_Data!I2499</f>
        <v>2.67</v>
      </c>
      <c r="D2499" s="12">
        <f>if(sum(Daily_Data!K2499:L2499)&gt;0,1,0)</f>
        <v>0</v>
      </c>
    </row>
    <row r="2500">
      <c r="A2500" s="10">
        <f>Daily_Data!A2500</f>
        <v>40024</v>
      </c>
      <c r="B2500" s="11">
        <f>Daily_Data!J2500</f>
        <v>25.4</v>
      </c>
      <c r="C2500" s="11">
        <f>Daily_Data!I2500</f>
        <v>2.62</v>
      </c>
      <c r="D2500" s="12">
        <f>if(sum(Daily_Data!K2500:L2500)&gt;0,1,0)</f>
        <v>0</v>
      </c>
    </row>
    <row r="2501">
      <c r="A2501" s="10">
        <f>Daily_Data!A2501</f>
        <v>40025</v>
      </c>
      <c r="B2501" s="11">
        <f>Daily_Data!J2501</f>
        <v>25.92</v>
      </c>
      <c r="C2501" s="11">
        <f>Daily_Data!I2501</f>
        <v>2.73</v>
      </c>
      <c r="D2501" s="12">
        <f>if(sum(Daily_Data!K2501:L2501)&gt;0,1,0)</f>
        <v>0</v>
      </c>
    </row>
    <row r="2502">
      <c r="A2502" s="10">
        <f>Daily_Data!A2502</f>
        <v>40028</v>
      </c>
      <c r="B2502" s="11">
        <f>Daily_Data!J2502</f>
        <v>25.56</v>
      </c>
      <c r="C2502" s="11">
        <f>Daily_Data!I2502</f>
        <v>2.63</v>
      </c>
      <c r="D2502" s="12">
        <f>if(sum(Daily_Data!K2502:L2502)&gt;0,1,0)</f>
        <v>0</v>
      </c>
    </row>
    <row r="2503">
      <c r="A2503" s="10">
        <f>Daily_Data!A2503</f>
        <v>40029</v>
      </c>
      <c r="B2503" s="11">
        <f>Daily_Data!J2503</f>
        <v>24.89</v>
      </c>
      <c r="C2503" s="11">
        <f>Daily_Data!I2503</f>
        <v>2.65</v>
      </c>
      <c r="D2503" s="12">
        <f>if(sum(Daily_Data!K2503:L2503)&gt;0,1,0)</f>
        <v>0</v>
      </c>
    </row>
    <row r="2504">
      <c r="A2504" s="10">
        <f>Daily_Data!A2504</f>
        <v>40030</v>
      </c>
      <c r="B2504" s="11">
        <f>Daily_Data!J2504</f>
        <v>24.9</v>
      </c>
      <c r="C2504" s="11">
        <f>Daily_Data!I2504</f>
        <v>2.67</v>
      </c>
      <c r="D2504" s="12">
        <f>if(sum(Daily_Data!K2504:L2504)&gt;0,1,0)</f>
        <v>0</v>
      </c>
    </row>
    <row r="2505">
      <c r="A2505" s="10">
        <f>Daily_Data!A2505</f>
        <v>40031</v>
      </c>
      <c r="B2505" s="11">
        <f>Daily_Data!J2505</f>
        <v>25.67</v>
      </c>
      <c r="C2505" s="11">
        <f>Daily_Data!I2505</f>
        <v>2.71</v>
      </c>
      <c r="D2505" s="12">
        <f>if(sum(Daily_Data!K2505:L2505)&gt;0,1,0)</f>
        <v>0</v>
      </c>
    </row>
    <row r="2506">
      <c r="A2506" s="10">
        <f>Daily_Data!A2506</f>
        <v>40032</v>
      </c>
      <c r="B2506" s="11">
        <f>Daily_Data!J2506</f>
        <v>24.76</v>
      </c>
      <c r="C2506" s="11">
        <f>Daily_Data!I2506</f>
        <v>2.59</v>
      </c>
      <c r="D2506" s="12">
        <f>if(sum(Daily_Data!K2506:L2506)&gt;0,1,0)</f>
        <v>1</v>
      </c>
    </row>
    <row r="2507">
      <c r="A2507" s="10">
        <f>Daily_Data!A2507</f>
        <v>40035</v>
      </c>
      <c r="B2507" s="11">
        <f>Daily_Data!J2507</f>
        <v>24.99</v>
      </c>
      <c r="C2507" s="11">
        <f>Daily_Data!I2507</f>
        <v>2.7</v>
      </c>
      <c r="D2507" s="12">
        <f>if(sum(Daily_Data!K2507:L2507)&gt;0,1,0)</f>
        <v>0</v>
      </c>
    </row>
    <row r="2508">
      <c r="A2508" s="10">
        <f>Daily_Data!A2508</f>
        <v>40036</v>
      </c>
      <c r="B2508" s="11">
        <f>Daily_Data!J2508</f>
        <v>25.99</v>
      </c>
      <c r="C2508" s="11">
        <f>Daily_Data!I2508</f>
        <v>2.76</v>
      </c>
      <c r="D2508" s="12">
        <f>if(sum(Daily_Data!K2508:L2508)&gt;0,1,0)</f>
        <v>0</v>
      </c>
    </row>
    <row r="2509">
      <c r="A2509" s="10">
        <f>Daily_Data!A2509</f>
        <v>40037</v>
      </c>
      <c r="B2509" s="11">
        <f>Daily_Data!J2509</f>
        <v>25.45</v>
      </c>
      <c r="C2509" s="11">
        <f>Daily_Data!I2509</f>
        <v>2.8</v>
      </c>
      <c r="D2509" s="12">
        <f>if(sum(Daily_Data!K2509:L2509)&gt;0,1,0)</f>
        <v>0</v>
      </c>
    </row>
    <row r="2510">
      <c r="A2510" s="10">
        <f>Daily_Data!A2510</f>
        <v>40038</v>
      </c>
      <c r="B2510" s="11">
        <f>Daily_Data!J2510</f>
        <v>24.71</v>
      </c>
      <c r="C2510" s="11">
        <f>Daily_Data!I2510</f>
        <v>2.88</v>
      </c>
      <c r="D2510" s="12">
        <f>if(sum(Daily_Data!K2510:L2510)&gt;0,1,0)</f>
        <v>0</v>
      </c>
    </row>
    <row r="2511">
      <c r="A2511" s="10">
        <f>Daily_Data!A2511</f>
        <v>40039</v>
      </c>
      <c r="B2511" s="11">
        <f>Daily_Data!J2511</f>
        <v>24.27</v>
      </c>
      <c r="C2511" s="11">
        <f>Daily_Data!I2511</f>
        <v>2.93</v>
      </c>
      <c r="D2511" s="12">
        <f>if(sum(Daily_Data!K2511:L2511)&gt;0,1,0)</f>
        <v>1</v>
      </c>
    </row>
    <row r="2512">
      <c r="A2512" s="10">
        <f>Daily_Data!A2512</f>
        <v>40042</v>
      </c>
      <c r="B2512" s="11">
        <f>Daily_Data!J2512</f>
        <v>27.89</v>
      </c>
      <c r="C2512" s="11">
        <f>Daily_Data!I2512</f>
        <v>2.97</v>
      </c>
      <c r="D2512" s="12">
        <f>if(sum(Daily_Data!K2512:L2512)&gt;0,1,0)</f>
        <v>0</v>
      </c>
    </row>
    <row r="2513">
      <c r="A2513" s="10">
        <f>Daily_Data!A2513</f>
        <v>40043</v>
      </c>
      <c r="B2513" s="11">
        <f>Daily_Data!J2513</f>
        <v>26.18</v>
      </c>
      <c r="C2513" s="11">
        <f>Daily_Data!I2513</f>
        <v>2.94</v>
      </c>
      <c r="D2513" s="12">
        <f>if(sum(Daily_Data!K2513:L2513)&gt;0,1,0)</f>
        <v>0</v>
      </c>
    </row>
    <row r="2514">
      <c r="A2514" s="10">
        <f>Daily_Data!A2514</f>
        <v>40044</v>
      </c>
      <c r="B2514" s="11">
        <f>Daily_Data!J2514</f>
        <v>26.26</v>
      </c>
      <c r="C2514" s="11">
        <f>Daily_Data!I2514</f>
        <v>3.04</v>
      </c>
      <c r="D2514" s="12">
        <f>if(sum(Daily_Data!K2514:L2514)&gt;0,1,0)</f>
        <v>0</v>
      </c>
    </row>
    <row r="2515">
      <c r="A2515" s="10">
        <f>Daily_Data!A2515</f>
        <v>40045</v>
      </c>
      <c r="B2515" s="11">
        <f>Daily_Data!J2515</f>
        <v>25.09</v>
      </c>
      <c r="C2515" s="11">
        <f>Daily_Data!I2515</f>
        <v>3</v>
      </c>
      <c r="D2515" s="12">
        <f>if(sum(Daily_Data!K2515:L2515)&gt;0,1,0)</f>
        <v>0</v>
      </c>
    </row>
    <row r="2516">
      <c r="A2516" s="10">
        <f>Daily_Data!A2516</f>
        <v>40046</v>
      </c>
      <c r="B2516" s="11">
        <f>Daily_Data!J2516</f>
        <v>25.01</v>
      </c>
      <c r="C2516" s="11">
        <f>Daily_Data!I2516</f>
        <v>2.88</v>
      </c>
      <c r="D2516" s="12">
        <f>if(sum(Daily_Data!K2516:L2516)&gt;0,1,0)</f>
        <v>0</v>
      </c>
    </row>
    <row r="2517">
      <c r="A2517" s="10">
        <f>Daily_Data!A2517</f>
        <v>40049</v>
      </c>
      <c r="B2517" s="11">
        <f>Daily_Data!J2517</f>
        <v>25.14</v>
      </c>
      <c r="C2517" s="11">
        <f>Daily_Data!I2517</f>
        <v>3</v>
      </c>
      <c r="D2517" s="12">
        <f>if(sum(Daily_Data!K2517:L2517)&gt;0,1,0)</f>
        <v>0</v>
      </c>
    </row>
    <row r="2518">
      <c r="A2518" s="10">
        <f>Daily_Data!A2518</f>
        <v>40050</v>
      </c>
      <c r="B2518" s="11">
        <f>Daily_Data!J2518</f>
        <v>24.92</v>
      </c>
      <c r="C2518" s="11">
        <f>Daily_Data!I2518</f>
        <v>3</v>
      </c>
      <c r="D2518" s="12">
        <f>if(sum(Daily_Data!K2518:L2518)&gt;0,1,0)</f>
        <v>0</v>
      </c>
    </row>
    <row r="2519">
      <c r="A2519" s="10">
        <f>Daily_Data!A2519</f>
        <v>40051</v>
      </c>
      <c r="B2519" s="11">
        <f>Daily_Data!J2519</f>
        <v>24.95</v>
      </c>
      <c r="C2519" s="11">
        <f>Daily_Data!I2519</f>
        <v>2.97</v>
      </c>
      <c r="D2519" s="12">
        <f>if(sum(Daily_Data!K2519:L2519)&gt;0,1,0)</f>
        <v>0</v>
      </c>
    </row>
    <row r="2520">
      <c r="A2520" s="10">
        <f>Daily_Data!A2520</f>
        <v>40052</v>
      </c>
      <c r="B2520" s="11">
        <f>Daily_Data!J2520</f>
        <v>24.68</v>
      </c>
      <c r="C2520" s="11">
        <f>Daily_Data!I2520</f>
        <v>2.98</v>
      </c>
      <c r="D2520" s="12">
        <f>if(sum(Daily_Data!K2520:L2520)&gt;0,1,0)</f>
        <v>0</v>
      </c>
    </row>
    <row r="2521">
      <c r="A2521" s="10">
        <f>Daily_Data!A2521</f>
        <v>40053</v>
      </c>
      <c r="B2521" s="11">
        <f>Daily_Data!J2521</f>
        <v>24.76</v>
      </c>
      <c r="C2521" s="11">
        <f>Daily_Data!I2521</f>
        <v>3.03</v>
      </c>
      <c r="D2521" s="12">
        <f>if(sum(Daily_Data!K2521:L2521)&gt;0,1,0)</f>
        <v>0</v>
      </c>
    </row>
    <row r="2522">
      <c r="A2522" s="10">
        <f>Daily_Data!A2522</f>
        <v>40056</v>
      </c>
      <c r="B2522" s="11">
        <f>Daily_Data!J2522</f>
        <v>26.01</v>
      </c>
      <c r="C2522" s="11">
        <f>Daily_Data!I2522</f>
        <v>3.08</v>
      </c>
      <c r="D2522" s="12">
        <f>if(sum(Daily_Data!K2522:L2522)&gt;0,1,0)</f>
        <v>0</v>
      </c>
    </row>
    <row r="2523">
      <c r="A2523" s="10">
        <f>Daily_Data!A2523</f>
        <v>40057</v>
      </c>
      <c r="B2523" s="11">
        <f>Daily_Data!J2523</f>
        <v>29.15</v>
      </c>
      <c r="C2523" s="11">
        <f>Daily_Data!I2523</f>
        <v>3.13</v>
      </c>
      <c r="D2523" s="12">
        <f>if(sum(Daily_Data!K2523:L2523)&gt;0,1,0)</f>
        <v>0</v>
      </c>
    </row>
    <row r="2524">
      <c r="A2524" s="10">
        <f>Daily_Data!A2524</f>
        <v>40058</v>
      </c>
      <c r="B2524" s="11">
        <f>Daily_Data!J2524</f>
        <v>28.9</v>
      </c>
      <c r="C2524" s="11">
        <f>Daily_Data!I2524</f>
        <v>3.11</v>
      </c>
      <c r="D2524" s="12">
        <f>if(sum(Daily_Data!K2524:L2524)&gt;0,1,0)</f>
        <v>0</v>
      </c>
    </row>
    <row r="2525">
      <c r="A2525" s="10">
        <f>Daily_Data!A2525</f>
        <v>40059</v>
      </c>
      <c r="B2525" s="11">
        <f>Daily_Data!J2525</f>
        <v>27.1</v>
      </c>
      <c r="C2525" s="11">
        <f>Daily_Data!I2525</f>
        <v>3.08</v>
      </c>
      <c r="D2525" s="12">
        <f>if(sum(Daily_Data!K2525:L2525)&gt;0,1,0)</f>
        <v>0</v>
      </c>
    </row>
    <row r="2526">
      <c r="A2526" s="10">
        <f>Daily_Data!A2526</f>
        <v>40060</v>
      </c>
      <c r="B2526" s="11">
        <f>Daily_Data!J2526</f>
        <v>25.26</v>
      </c>
      <c r="C2526" s="11">
        <f>Daily_Data!I2526</f>
        <v>3.05</v>
      </c>
      <c r="D2526" s="12">
        <f>if(sum(Daily_Data!K2526:L2526)&gt;0,1,0)</f>
        <v>1</v>
      </c>
    </row>
    <row r="2527">
      <c r="A2527" s="10">
        <f>Daily_Data!A2527</f>
        <v>40063</v>
      </c>
      <c r="B2527" s="11" t="str">
        <f>Daily_Data!J2527</f>
        <v/>
      </c>
      <c r="C2527" s="11" t="str">
        <f>Daily_Data!I2527</f>
        <v/>
      </c>
      <c r="D2527" s="12">
        <f>if(sum(Daily_Data!K2527:L2527)&gt;0,1,0)</f>
        <v>0</v>
      </c>
    </row>
    <row r="2528">
      <c r="A2528" s="10">
        <f>Daily_Data!A2528</f>
        <v>40064</v>
      </c>
      <c r="B2528" s="11">
        <f>Daily_Data!J2528</f>
        <v>25.62</v>
      </c>
      <c r="C2528" s="11">
        <f>Daily_Data!I2528</f>
        <v>3.08</v>
      </c>
      <c r="D2528" s="12">
        <f>if(sum(Daily_Data!K2528:L2528)&gt;0,1,0)</f>
        <v>0</v>
      </c>
    </row>
    <row r="2529">
      <c r="A2529" s="10">
        <f>Daily_Data!A2529</f>
        <v>40065</v>
      </c>
      <c r="B2529" s="11">
        <f>Daily_Data!J2529</f>
        <v>24.32</v>
      </c>
      <c r="C2529" s="11">
        <f>Daily_Data!I2529</f>
        <v>3.06</v>
      </c>
      <c r="D2529" s="12">
        <f>if(sum(Daily_Data!K2529:L2529)&gt;0,1,0)</f>
        <v>0</v>
      </c>
    </row>
    <row r="2530">
      <c r="A2530" s="10">
        <f>Daily_Data!A2530</f>
        <v>40066</v>
      </c>
      <c r="B2530" s="11">
        <f>Daily_Data!J2530</f>
        <v>23.55</v>
      </c>
      <c r="C2530" s="11">
        <f>Daily_Data!I2530</f>
        <v>3.06</v>
      </c>
      <c r="D2530" s="12">
        <f>if(sum(Daily_Data!K2530:L2530)&gt;0,1,0)</f>
        <v>0</v>
      </c>
    </row>
    <row r="2531">
      <c r="A2531" s="10">
        <f>Daily_Data!A2531</f>
        <v>40067</v>
      </c>
      <c r="B2531" s="11">
        <f>Daily_Data!J2531</f>
        <v>24.15</v>
      </c>
      <c r="C2531" s="11">
        <f>Daily_Data!I2531</f>
        <v>3.05</v>
      </c>
      <c r="D2531" s="12">
        <f>if(sum(Daily_Data!K2531:L2531)&gt;0,1,0)</f>
        <v>0</v>
      </c>
    </row>
    <row r="2532">
      <c r="A2532" s="10">
        <f>Daily_Data!A2532</f>
        <v>40070</v>
      </c>
      <c r="B2532" s="11">
        <f>Daily_Data!J2532</f>
        <v>23.86</v>
      </c>
      <c r="C2532" s="11">
        <f>Daily_Data!I2532</f>
        <v>2.99</v>
      </c>
      <c r="D2532" s="12">
        <f>if(sum(Daily_Data!K2532:L2532)&gt;0,1,0)</f>
        <v>0</v>
      </c>
    </row>
    <row r="2533">
      <c r="A2533" s="10">
        <f>Daily_Data!A2533</f>
        <v>40071</v>
      </c>
      <c r="B2533" s="11">
        <f>Daily_Data!J2533</f>
        <v>23.42</v>
      </c>
      <c r="C2533" s="11">
        <f>Daily_Data!I2533</f>
        <v>2.98</v>
      </c>
      <c r="D2533" s="12">
        <f>if(sum(Daily_Data!K2533:L2533)&gt;0,1,0)</f>
        <v>0</v>
      </c>
    </row>
    <row r="2534">
      <c r="A2534" s="10">
        <f>Daily_Data!A2534</f>
        <v>40072</v>
      </c>
      <c r="B2534" s="11">
        <f>Daily_Data!J2534</f>
        <v>23.69</v>
      </c>
      <c r="C2534" s="11">
        <f>Daily_Data!I2534</f>
        <v>3.01</v>
      </c>
      <c r="D2534" s="12">
        <f>if(sum(Daily_Data!K2534:L2534)&gt;0,1,0)</f>
        <v>1</v>
      </c>
    </row>
    <row r="2535">
      <c r="A2535" s="10">
        <f>Daily_Data!A2535</f>
        <v>40073</v>
      </c>
      <c r="B2535" s="11">
        <f>Daily_Data!J2535</f>
        <v>23.65</v>
      </c>
      <c r="C2535" s="11">
        <f>Daily_Data!I2535</f>
        <v>3.08</v>
      </c>
      <c r="D2535" s="12">
        <f>if(sum(Daily_Data!K2535:L2535)&gt;0,1,0)</f>
        <v>0</v>
      </c>
    </row>
    <row r="2536">
      <c r="A2536" s="10">
        <f>Daily_Data!A2536</f>
        <v>40074</v>
      </c>
      <c r="B2536" s="11">
        <f>Daily_Data!J2536</f>
        <v>23.92</v>
      </c>
      <c r="C2536" s="11">
        <f>Daily_Data!I2536</f>
        <v>2.96</v>
      </c>
      <c r="D2536" s="12">
        <f>if(sum(Daily_Data!K2536:L2536)&gt;0,1,0)</f>
        <v>0</v>
      </c>
    </row>
    <row r="2537">
      <c r="A2537" s="10">
        <f>Daily_Data!A2537</f>
        <v>40077</v>
      </c>
      <c r="B2537" s="11">
        <f>Daily_Data!J2537</f>
        <v>24.06</v>
      </c>
      <c r="C2537" s="11">
        <f>Daily_Data!I2537</f>
        <v>2.94</v>
      </c>
      <c r="D2537" s="12">
        <f>if(sum(Daily_Data!K2537:L2537)&gt;0,1,0)</f>
        <v>0</v>
      </c>
    </row>
    <row r="2538">
      <c r="A2538" s="10">
        <f>Daily_Data!A2538</f>
        <v>40078</v>
      </c>
      <c r="B2538" s="11">
        <f>Daily_Data!J2538</f>
        <v>23.08</v>
      </c>
      <c r="C2538" s="11">
        <f>Daily_Data!I2538</f>
        <v>2.94</v>
      </c>
      <c r="D2538" s="12">
        <f>if(sum(Daily_Data!K2538:L2538)&gt;0,1,0)</f>
        <v>0</v>
      </c>
    </row>
    <row r="2539">
      <c r="A2539" s="10">
        <f>Daily_Data!A2539</f>
        <v>40079</v>
      </c>
      <c r="B2539" s="11">
        <f>Daily_Data!J2539</f>
        <v>23.49</v>
      </c>
      <c r="C2539" s="11">
        <f>Daily_Data!I2539</f>
        <v>3.13</v>
      </c>
      <c r="D2539" s="12">
        <f>if(sum(Daily_Data!K2539:L2539)&gt;0,1,0)</f>
        <v>0</v>
      </c>
    </row>
    <row r="2540">
      <c r="A2540" s="10">
        <f>Daily_Data!A2540</f>
        <v>40080</v>
      </c>
      <c r="B2540" s="11">
        <f>Daily_Data!J2540</f>
        <v>24.95</v>
      </c>
      <c r="C2540" s="11">
        <f>Daily_Data!I2540</f>
        <v>3.2</v>
      </c>
      <c r="D2540" s="12">
        <f>if(sum(Daily_Data!K2540:L2540)&gt;0,1,0)</f>
        <v>0</v>
      </c>
    </row>
    <row r="2541">
      <c r="A2541" s="10">
        <f>Daily_Data!A2541</f>
        <v>40081</v>
      </c>
      <c r="B2541" s="11">
        <f>Daily_Data!J2541</f>
        <v>25.61</v>
      </c>
      <c r="C2541" s="11">
        <f>Daily_Data!I2541</f>
        <v>3.1</v>
      </c>
      <c r="D2541" s="12">
        <f>if(sum(Daily_Data!K2541:L2541)&gt;0,1,0)</f>
        <v>0</v>
      </c>
    </row>
    <row r="2542">
      <c r="A2542" s="10">
        <f>Daily_Data!A2542</f>
        <v>40084</v>
      </c>
      <c r="B2542" s="11">
        <f>Daily_Data!J2542</f>
        <v>24.88</v>
      </c>
      <c r="C2542" s="11">
        <f>Daily_Data!I2542</f>
        <v>3.06</v>
      </c>
      <c r="D2542" s="12">
        <f>if(sum(Daily_Data!K2542:L2542)&gt;0,1,0)</f>
        <v>0</v>
      </c>
    </row>
    <row r="2543">
      <c r="A2543" s="10">
        <f>Daily_Data!A2543</f>
        <v>40085</v>
      </c>
      <c r="B2543" s="11">
        <f>Daily_Data!J2543</f>
        <v>25.19</v>
      </c>
      <c r="C2543" s="11">
        <f>Daily_Data!I2543</f>
        <v>3.09</v>
      </c>
      <c r="D2543" s="12">
        <f>if(sum(Daily_Data!K2543:L2543)&gt;0,1,0)</f>
        <v>0</v>
      </c>
    </row>
    <row r="2544">
      <c r="A2544" s="10">
        <f>Daily_Data!A2544</f>
        <v>40086</v>
      </c>
      <c r="B2544" s="11">
        <f>Daily_Data!J2544</f>
        <v>25.61</v>
      </c>
      <c r="C2544" s="11">
        <f>Daily_Data!I2544</f>
        <v>3.14</v>
      </c>
      <c r="D2544" s="12">
        <f>if(sum(Daily_Data!K2544:L2544)&gt;0,1,0)</f>
        <v>0</v>
      </c>
    </row>
    <row r="2545">
      <c r="A2545" s="10">
        <f>Daily_Data!A2545</f>
        <v>40087</v>
      </c>
      <c r="B2545" s="11">
        <f>Daily_Data!J2545</f>
        <v>28.27</v>
      </c>
      <c r="C2545" s="11">
        <f>Daily_Data!I2545</f>
        <v>3.3</v>
      </c>
      <c r="D2545" s="12">
        <f>if(sum(Daily_Data!K2545:L2545)&gt;0,1,0)</f>
        <v>0</v>
      </c>
    </row>
    <row r="2546">
      <c r="A2546" s="10">
        <f>Daily_Data!A2546</f>
        <v>40088</v>
      </c>
      <c r="B2546" s="11">
        <f>Daily_Data!J2546</f>
        <v>28.68</v>
      </c>
      <c r="C2546" s="11">
        <f>Daily_Data!I2546</f>
        <v>3.21</v>
      </c>
      <c r="D2546" s="12">
        <f>if(sum(Daily_Data!K2546:L2546)&gt;0,1,0)</f>
        <v>1</v>
      </c>
    </row>
    <row r="2547">
      <c r="A2547" s="10">
        <f>Daily_Data!A2547</f>
        <v>40091</v>
      </c>
      <c r="B2547" s="11">
        <f>Daily_Data!J2547</f>
        <v>26.84</v>
      </c>
      <c r="C2547" s="11">
        <f>Daily_Data!I2547</f>
        <v>3.19</v>
      </c>
      <c r="D2547" s="12">
        <f>if(sum(Daily_Data!K2547:L2547)&gt;0,1,0)</f>
        <v>0</v>
      </c>
    </row>
    <row r="2548">
      <c r="A2548" s="10">
        <f>Daily_Data!A2548</f>
        <v>40092</v>
      </c>
      <c r="B2548" s="11">
        <f>Daily_Data!J2548</f>
        <v>25.7</v>
      </c>
      <c r="C2548" s="11">
        <f>Daily_Data!I2548</f>
        <v>3.21</v>
      </c>
      <c r="D2548" s="12">
        <f>if(sum(Daily_Data!K2548:L2548)&gt;0,1,0)</f>
        <v>0</v>
      </c>
    </row>
    <row r="2549">
      <c r="A2549" s="10">
        <f>Daily_Data!A2549</f>
        <v>40093</v>
      </c>
      <c r="B2549" s="11">
        <f>Daily_Data!J2549</f>
        <v>24.68</v>
      </c>
      <c r="C2549" s="11">
        <f>Daily_Data!I2549</f>
        <v>3.28</v>
      </c>
      <c r="D2549" s="12">
        <f>if(sum(Daily_Data!K2549:L2549)&gt;0,1,0)</f>
        <v>0</v>
      </c>
    </row>
    <row r="2550">
      <c r="A2550" s="10">
        <f>Daily_Data!A2550</f>
        <v>40094</v>
      </c>
      <c r="B2550" s="11">
        <f>Daily_Data!J2550</f>
        <v>24.18</v>
      </c>
      <c r="C2550" s="11">
        <f>Daily_Data!I2550</f>
        <v>3.25</v>
      </c>
      <c r="D2550" s="12">
        <f>if(sum(Daily_Data!K2550:L2550)&gt;0,1,0)</f>
        <v>0</v>
      </c>
    </row>
    <row r="2551">
      <c r="A2551" s="10">
        <f>Daily_Data!A2551</f>
        <v>40095</v>
      </c>
      <c r="B2551" s="11">
        <f>Daily_Data!J2551</f>
        <v>23.12</v>
      </c>
      <c r="C2551" s="11">
        <f>Daily_Data!I2551</f>
        <v>3.21</v>
      </c>
      <c r="D2551" s="12">
        <f>if(sum(Daily_Data!K2551:L2551)&gt;0,1,0)</f>
        <v>0</v>
      </c>
    </row>
    <row r="2552">
      <c r="A2552" s="10">
        <f>Daily_Data!A2552</f>
        <v>40098</v>
      </c>
      <c r="B2552" s="11">
        <f>Daily_Data!J2552</f>
        <v>23.01</v>
      </c>
      <c r="C2552" s="11" t="str">
        <f>Daily_Data!I2552</f>
        <v/>
      </c>
      <c r="D2552" s="12">
        <f>if(sum(Daily_Data!K2552:L2552)&gt;0,1,0)</f>
        <v>0</v>
      </c>
    </row>
    <row r="2553">
      <c r="A2553" s="10">
        <f>Daily_Data!A2553</f>
        <v>40099</v>
      </c>
      <c r="B2553" s="11">
        <f>Daily_Data!J2553</f>
        <v>22.99</v>
      </c>
      <c r="C2553" s="11">
        <f>Daily_Data!I2553</f>
        <v>3.25</v>
      </c>
      <c r="D2553" s="12">
        <f>if(sum(Daily_Data!K2553:L2553)&gt;0,1,0)</f>
        <v>0</v>
      </c>
    </row>
    <row r="2554">
      <c r="A2554" s="10">
        <f>Daily_Data!A2554</f>
        <v>40100</v>
      </c>
      <c r="B2554" s="11">
        <f>Daily_Data!J2554</f>
        <v>22.86</v>
      </c>
      <c r="C2554" s="11">
        <f>Daily_Data!I2554</f>
        <v>3.19</v>
      </c>
      <c r="D2554" s="12">
        <f>if(sum(Daily_Data!K2554:L2554)&gt;0,1,0)</f>
        <v>0</v>
      </c>
    </row>
    <row r="2555">
      <c r="A2555" s="10">
        <f>Daily_Data!A2555</f>
        <v>40101</v>
      </c>
      <c r="B2555" s="11">
        <f>Daily_Data!J2555</f>
        <v>21.72</v>
      </c>
      <c r="C2555" s="11">
        <f>Daily_Data!I2555</f>
        <v>3.29</v>
      </c>
      <c r="D2555" s="12">
        <f>if(sum(Daily_Data!K2555:L2555)&gt;0,1,0)</f>
        <v>1</v>
      </c>
    </row>
    <row r="2556">
      <c r="A2556" s="10">
        <f>Daily_Data!A2556</f>
        <v>40102</v>
      </c>
      <c r="B2556" s="11">
        <f>Daily_Data!J2556</f>
        <v>21.43</v>
      </c>
      <c r="C2556" s="11">
        <f>Daily_Data!I2556</f>
        <v>3.43</v>
      </c>
      <c r="D2556" s="12">
        <f>if(sum(Daily_Data!K2556:L2556)&gt;0,1,0)</f>
        <v>0</v>
      </c>
    </row>
    <row r="2557">
      <c r="A2557" s="10">
        <f>Daily_Data!A2557</f>
        <v>40105</v>
      </c>
      <c r="B2557" s="11">
        <f>Daily_Data!J2557</f>
        <v>21.49</v>
      </c>
      <c r="C2557" s="11">
        <f>Daily_Data!I2557</f>
        <v>3.39</v>
      </c>
      <c r="D2557" s="12">
        <f>if(sum(Daily_Data!K2557:L2557)&gt;0,1,0)</f>
        <v>0</v>
      </c>
    </row>
    <row r="2558">
      <c r="A2558" s="10">
        <f>Daily_Data!A2558</f>
        <v>40106</v>
      </c>
      <c r="B2558" s="11">
        <f>Daily_Data!J2558</f>
        <v>20.9</v>
      </c>
      <c r="C2558" s="11">
        <f>Daily_Data!I2558</f>
        <v>3.46</v>
      </c>
      <c r="D2558" s="12">
        <f>if(sum(Daily_Data!K2558:L2558)&gt;0,1,0)</f>
        <v>0</v>
      </c>
    </row>
    <row r="2559">
      <c r="A2559" s="10">
        <f>Daily_Data!A2559</f>
        <v>40107</v>
      </c>
      <c r="B2559" s="11">
        <f>Daily_Data!J2559</f>
        <v>22.22</v>
      </c>
      <c r="C2559" s="11">
        <f>Daily_Data!I2559</f>
        <v>3.36</v>
      </c>
      <c r="D2559" s="12">
        <f>if(sum(Daily_Data!K2559:L2559)&gt;0,1,0)</f>
        <v>0</v>
      </c>
    </row>
    <row r="2560">
      <c r="A2560" s="10">
        <f>Daily_Data!A2560</f>
        <v>40108</v>
      </c>
      <c r="B2560" s="11">
        <f>Daily_Data!J2560</f>
        <v>20.69</v>
      </c>
      <c r="C2560" s="11">
        <f>Daily_Data!I2560</f>
        <v>3.48</v>
      </c>
      <c r="D2560" s="12">
        <f>if(sum(Daily_Data!K2560:L2560)&gt;0,1,0)</f>
        <v>0</v>
      </c>
    </row>
    <row r="2561">
      <c r="A2561" s="10">
        <f>Daily_Data!A2561</f>
        <v>40109</v>
      </c>
      <c r="B2561" s="11">
        <f>Daily_Data!J2561</f>
        <v>22.27</v>
      </c>
      <c r="C2561" s="11">
        <f>Daily_Data!I2561</f>
        <v>3.43</v>
      </c>
      <c r="D2561" s="12">
        <f>if(sum(Daily_Data!K2561:L2561)&gt;0,1,0)</f>
        <v>0</v>
      </c>
    </row>
    <row r="2562">
      <c r="A2562" s="10">
        <f>Daily_Data!A2562</f>
        <v>40112</v>
      </c>
      <c r="B2562" s="11">
        <f>Daily_Data!J2562</f>
        <v>24.31</v>
      </c>
      <c r="C2562" s="11" t="str">
        <f>Daily_Data!I2562</f>
        <v/>
      </c>
      <c r="D2562" s="12">
        <f>if(sum(Daily_Data!K2562:L2562)&gt;0,1,0)</f>
        <v>0</v>
      </c>
    </row>
    <row r="2563">
      <c r="A2563" s="10">
        <f>Daily_Data!A2563</f>
        <v>40113</v>
      </c>
      <c r="B2563" s="11">
        <f>Daily_Data!J2563</f>
        <v>24.83</v>
      </c>
      <c r="C2563" s="11">
        <f>Daily_Data!I2563</f>
        <v>3.56</v>
      </c>
      <c r="D2563" s="12">
        <f>if(sum(Daily_Data!K2563:L2563)&gt;0,1,0)</f>
        <v>0</v>
      </c>
    </row>
    <row r="2564">
      <c r="A2564" s="10">
        <f>Daily_Data!A2564</f>
        <v>40114</v>
      </c>
      <c r="B2564" s="11">
        <f>Daily_Data!J2564</f>
        <v>27.91</v>
      </c>
      <c r="C2564" s="11">
        <f>Daily_Data!I2564</f>
        <v>3.56</v>
      </c>
      <c r="D2564" s="12">
        <f>if(sum(Daily_Data!K2564:L2564)&gt;0,1,0)</f>
        <v>0</v>
      </c>
    </row>
    <row r="2565">
      <c r="A2565" s="10">
        <f>Daily_Data!A2565</f>
        <v>40115</v>
      </c>
      <c r="B2565" s="11">
        <f>Daily_Data!J2565</f>
        <v>24.76</v>
      </c>
      <c r="C2565" s="11">
        <f>Daily_Data!I2565</f>
        <v>3.39</v>
      </c>
      <c r="D2565" s="12">
        <f>if(sum(Daily_Data!K2565:L2565)&gt;0,1,0)</f>
        <v>0</v>
      </c>
    </row>
    <row r="2566">
      <c r="A2566" s="10">
        <f>Daily_Data!A2566</f>
        <v>40116</v>
      </c>
      <c r="B2566" s="11">
        <f>Daily_Data!J2566</f>
        <v>30.69</v>
      </c>
      <c r="C2566" s="11">
        <f>Daily_Data!I2566</f>
        <v>3.45</v>
      </c>
      <c r="D2566" s="12">
        <f>if(sum(Daily_Data!K2566:L2566)&gt;0,1,0)</f>
        <v>0</v>
      </c>
    </row>
    <row r="2567">
      <c r="A2567" s="10">
        <f>Daily_Data!A2567</f>
        <v>40119</v>
      </c>
      <c r="B2567" s="11">
        <f>Daily_Data!J2567</f>
        <v>29.78</v>
      </c>
      <c r="C2567" s="11">
        <f>Daily_Data!I2567</f>
        <v>3.37</v>
      </c>
      <c r="D2567" s="12">
        <f>if(sum(Daily_Data!K2567:L2567)&gt;0,1,0)</f>
        <v>0</v>
      </c>
    </row>
    <row r="2568">
      <c r="A2568" s="10">
        <f>Daily_Data!A2568</f>
        <v>40120</v>
      </c>
      <c r="B2568" s="11">
        <f>Daily_Data!J2568</f>
        <v>28.81</v>
      </c>
      <c r="C2568" s="11">
        <f>Daily_Data!I2568</f>
        <v>3.35</v>
      </c>
      <c r="D2568" s="12">
        <f>if(sum(Daily_Data!K2568:L2568)&gt;0,1,0)</f>
        <v>0</v>
      </c>
    </row>
    <row r="2569">
      <c r="A2569" s="10">
        <f>Daily_Data!A2569</f>
        <v>40121</v>
      </c>
      <c r="B2569" s="11">
        <f>Daily_Data!J2569</f>
        <v>27.72</v>
      </c>
      <c r="C2569" s="11">
        <f>Daily_Data!I2569</f>
        <v>3.34</v>
      </c>
      <c r="D2569" s="12">
        <f>if(sum(Daily_Data!K2569:L2569)&gt;0,1,0)</f>
        <v>0</v>
      </c>
    </row>
    <row r="2570">
      <c r="A2570" s="10">
        <f>Daily_Data!A2570</f>
        <v>40122</v>
      </c>
      <c r="B2570" s="11">
        <f>Daily_Data!J2570</f>
        <v>25.43</v>
      </c>
      <c r="C2570" s="11">
        <f>Daily_Data!I2570</f>
        <v>3.37</v>
      </c>
      <c r="D2570" s="12">
        <f>if(sum(Daily_Data!K2570:L2570)&gt;0,1,0)</f>
        <v>0</v>
      </c>
    </row>
    <row r="2571">
      <c r="A2571" s="10">
        <f>Daily_Data!A2571</f>
        <v>40123</v>
      </c>
      <c r="B2571" s="11">
        <f>Daily_Data!J2571</f>
        <v>24.19</v>
      </c>
      <c r="C2571" s="11">
        <f>Daily_Data!I2571</f>
        <v>3.4</v>
      </c>
      <c r="D2571" s="12">
        <f>if(sum(Daily_Data!K2571:L2571)&gt;0,1,0)</f>
        <v>1</v>
      </c>
    </row>
    <row r="2572">
      <c r="A2572" s="10">
        <f>Daily_Data!A2572</f>
        <v>40126</v>
      </c>
      <c r="B2572" s="11">
        <f>Daily_Data!J2572</f>
        <v>23.15</v>
      </c>
      <c r="C2572" s="11">
        <f>Daily_Data!I2572</f>
        <v>3.48</v>
      </c>
      <c r="D2572" s="12">
        <f>if(sum(Daily_Data!K2572:L2572)&gt;0,1,0)</f>
        <v>0</v>
      </c>
    </row>
    <row r="2573">
      <c r="A2573" s="10">
        <f>Daily_Data!A2573</f>
        <v>40127</v>
      </c>
      <c r="B2573" s="11">
        <f>Daily_Data!J2573</f>
        <v>22.84</v>
      </c>
      <c r="C2573" s="11">
        <f>Daily_Data!I2573</f>
        <v>3.52</v>
      </c>
      <c r="D2573" s="12">
        <f>if(sum(Daily_Data!K2573:L2573)&gt;0,1,0)</f>
        <v>0</v>
      </c>
    </row>
    <row r="2574">
      <c r="A2574" s="10">
        <f>Daily_Data!A2574</f>
        <v>40128</v>
      </c>
      <c r="B2574" s="11">
        <f>Daily_Data!J2574</f>
        <v>23.04</v>
      </c>
      <c r="C2574" s="11" t="str">
        <f>Daily_Data!I2574</f>
        <v/>
      </c>
      <c r="D2574" s="12">
        <f>if(sum(Daily_Data!K2574:L2574)&gt;0,1,0)</f>
        <v>0</v>
      </c>
    </row>
    <row r="2575">
      <c r="A2575" s="10">
        <f>Daily_Data!A2575</f>
        <v>40129</v>
      </c>
      <c r="B2575" s="11">
        <f>Daily_Data!J2575</f>
        <v>24.24</v>
      </c>
      <c r="C2575" s="11">
        <f>Daily_Data!I2575</f>
        <v>3.58</v>
      </c>
      <c r="D2575" s="12">
        <f>if(sum(Daily_Data!K2575:L2575)&gt;0,1,0)</f>
        <v>0</v>
      </c>
    </row>
    <row r="2576">
      <c r="A2576" s="10">
        <f>Daily_Data!A2576</f>
        <v>40130</v>
      </c>
      <c r="B2576" s="11">
        <f>Daily_Data!J2576</f>
        <v>23.36</v>
      </c>
      <c r="C2576" s="11">
        <f>Daily_Data!I2576</f>
        <v>3.52</v>
      </c>
      <c r="D2576" s="12">
        <f>if(sum(Daily_Data!K2576:L2576)&gt;0,1,0)</f>
        <v>0</v>
      </c>
    </row>
    <row r="2577">
      <c r="A2577" s="10">
        <f>Daily_Data!A2577</f>
        <v>40133</v>
      </c>
      <c r="B2577" s="11">
        <f>Daily_Data!J2577</f>
        <v>22.89</v>
      </c>
      <c r="C2577" s="11">
        <f>Daily_Data!I2577</f>
        <v>3.55</v>
      </c>
      <c r="D2577" s="12">
        <f>if(sum(Daily_Data!K2577:L2577)&gt;0,1,0)</f>
        <v>0</v>
      </c>
    </row>
    <row r="2578">
      <c r="A2578" s="10">
        <f>Daily_Data!A2578</f>
        <v>40134</v>
      </c>
      <c r="B2578" s="11">
        <f>Daily_Data!J2578</f>
        <v>22.41</v>
      </c>
      <c r="C2578" s="11">
        <f>Daily_Data!I2578</f>
        <v>3.48</v>
      </c>
      <c r="D2578" s="12">
        <f>if(sum(Daily_Data!K2578:L2578)&gt;0,1,0)</f>
        <v>0</v>
      </c>
    </row>
    <row r="2579">
      <c r="A2579" s="10">
        <f>Daily_Data!A2579</f>
        <v>40135</v>
      </c>
      <c r="B2579" s="11">
        <f>Daily_Data!J2579</f>
        <v>21.63</v>
      </c>
      <c r="C2579" s="11">
        <f>Daily_Data!I2579</f>
        <v>3.44</v>
      </c>
      <c r="D2579" s="12">
        <f>if(sum(Daily_Data!K2579:L2579)&gt;0,1,0)</f>
        <v>1</v>
      </c>
    </row>
    <row r="2580">
      <c r="A2580" s="10">
        <f>Daily_Data!A2580</f>
        <v>40136</v>
      </c>
      <c r="B2580" s="11">
        <f>Daily_Data!J2580</f>
        <v>22.63</v>
      </c>
      <c r="C2580" s="11">
        <f>Daily_Data!I2580</f>
        <v>3.49</v>
      </c>
      <c r="D2580" s="12">
        <f>if(sum(Daily_Data!K2580:L2580)&gt;0,1,0)</f>
        <v>0</v>
      </c>
    </row>
    <row r="2581">
      <c r="A2581" s="10">
        <f>Daily_Data!A2581</f>
        <v>40137</v>
      </c>
      <c r="B2581" s="11">
        <f>Daily_Data!J2581</f>
        <v>22.19</v>
      </c>
      <c r="C2581" s="11">
        <f>Daily_Data!I2581</f>
        <v>3.34</v>
      </c>
      <c r="D2581" s="12">
        <f>if(sum(Daily_Data!K2581:L2581)&gt;0,1,0)</f>
        <v>0</v>
      </c>
    </row>
    <row r="2582">
      <c r="A2582" s="10">
        <f>Daily_Data!A2582</f>
        <v>40140</v>
      </c>
      <c r="B2582" s="11">
        <f>Daily_Data!J2582</f>
        <v>21.16</v>
      </c>
      <c r="C2582" s="11">
        <f>Daily_Data!I2582</f>
        <v>3.35</v>
      </c>
      <c r="D2582" s="12">
        <f>if(sum(Daily_Data!K2582:L2582)&gt;0,1,0)</f>
        <v>0</v>
      </c>
    </row>
    <row r="2583">
      <c r="A2583" s="10">
        <f>Daily_Data!A2583</f>
        <v>40141</v>
      </c>
      <c r="B2583" s="11">
        <f>Daily_Data!J2583</f>
        <v>20.47</v>
      </c>
      <c r="C2583" s="11">
        <f>Daily_Data!I2583</f>
        <v>3.39</v>
      </c>
      <c r="D2583" s="12">
        <f>if(sum(Daily_Data!K2583:L2583)&gt;0,1,0)</f>
        <v>0</v>
      </c>
    </row>
    <row r="2584">
      <c r="A2584" s="10">
        <f>Daily_Data!A2584</f>
        <v>40142</v>
      </c>
      <c r="B2584" s="11">
        <f>Daily_Data!J2584</f>
        <v>20.48</v>
      </c>
      <c r="C2584" s="11">
        <f>Daily_Data!I2584</f>
        <v>3.4</v>
      </c>
      <c r="D2584" s="12">
        <f>if(sum(Daily_Data!K2584:L2584)&gt;0,1,0)</f>
        <v>0</v>
      </c>
    </row>
    <row r="2585">
      <c r="A2585" s="10">
        <f>Daily_Data!A2585</f>
        <v>40143</v>
      </c>
      <c r="B2585" s="11" t="str">
        <f>Daily_Data!J2585</f>
        <v/>
      </c>
      <c r="C2585" s="11" t="str">
        <f>Daily_Data!I2585</f>
        <v/>
      </c>
      <c r="D2585" s="12">
        <f>if(sum(Daily_Data!K2585:L2585)&gt;0,1,0)</f>
        <v>0</v>
      </c>
    </row>
    <row r="2586">
      <c r="A2586" s="10">
        <f>Daily_Data!A2586</f>
        <v>40144</v>
      </c>
      <c r="B2586" s="11">
        <f>Daily_Data!J2586</f>
        <v>24.85</v>
      </c>
      <c r="C2586" s="11">
        <f>Daily_Data!I2586</f>
        <v>3.37</v>
      </c>
      <c r="D2586" s="12">
        <f>if(sum(Daily_Data!K2586:L2586)&gt;0,1,0)</f>
        <v>0</v>
      </c>
    </row>
    <row r="2587">
      <c r="A2587" s="10">
        <f>Daily_Data!A2587</f>
        <v>40147</v>
      </c>
      <c r="B2587" s="11">
        <f>Daily_Data!J2587</f>
        <v>24.51</v>
      </c>
      <c r="C2587" s="11">
        <f>Daily_Data!I2587</f>
        <v>3.36</v>
      </c>
      <c r="D2587" s="12">
        <f>if(sum(Daily_Data!K2587:L2587)&gt;0,1,0)</f>
        <v>0</v>
      </c>
    </row>
    <row r="2588">
      <c r="A2588" s="10">
        <f>Daily_Data!A2588</f>
        <v>40148</v>
      </c>
      <c r="B2588" s="11">
        <f>Daily_Data!J2588</f>
        <v>21.92</v>
      </c>
      <c r="C2588" s="11">
        <f>Daily_Data!I2588</f>
        <v>3.37</v>
      </c>
      <c r="D2588" s="12">
        <f>if(sum(Daily_Data!K2588:L2588)&gt;0,1,0)</f>
        <v>0</v>
      </c>
    </row>
    <row r="2589">
      <c r="A2589" s="10">
        <f>Daily_Data!A2589</f>
        <v>40149</v>
      </c>
      <c r="B2589" s="11">
        <f>Daily_Data!J2589</f>
        <v>21.12</v>
      </c>
      <c r="C2589" s="11">
        <f>Daily_Data!I2589</f>
        <v>3.32</v>
      </c>
      <c r="D2589" s="12">
        <f>if(sum(Daily_Data!K2589:L2589)&gt;0,1,0)</f>
        <v>0</v>
      </c>
    </row>
    <row r="2590">
      <c r="A2590" s="10">
        <f>Daily_Data!A2590</f>
        <v>40150</v>
      </c>
      <c r="B2590" s="11">
        <f>Daily_Data!J2590</f>
        <v>22.46</v>
      </c>
      <c r="C2590" s="11">
        <f>Daily_Data!I2590</f>
        <v>3.31</v>
      </c>
      <c r="D2590" s="12">
        <f>if(sum(Daily_Data!K2590:L2590)&gt;0,1,0)</f>
        <v>0</v>
      </c>
    </row>
    <row r="2591">
      <c r="A2591" s="10">
        <f>Daily_Data!A2591</f>
        <v>40151</v>
      </c>
      <c r="B2591" s="11">
        <f>Daily_Data!J2591</f>
        <v>21.25</v>
      </c>
      <c r="C2591" s="11">
        <f>Daily_Data!I2591</f>
        <v>3.21</v>
      </c>
      <c r="D2591" s="12">
        <f>if(sum(Daily_Data!K2591:L2591)&gt;0,1,0)</f>
        <v>1</v>
      </c>
    </row>
    <row r="2592">
      <c r="A2592" s="10">
        <f>Daily_Data!A2592</f>
        <v>40154</v>
      </c>
      <c r="B2592" s="11">
        <f>Daily_Data!J2592</f>
        <v>22.1</v>
      </c>
      <c r="C2592" s="11">
        <f>Daily_Data!I2592</f>
        <v>3.35</v>
      </c>
      <c r="D2592" s="12">
        <f>if(sum(Daily_Data!K2592:L2592)&gt;0,1,0)</f>
        <v>0</v>
      </c>
    </row>
    <row r="2593">
      <c r="A2593" s="10">
        <f>Daily_Data!A2593</f>
        <v>40155</v>
      </c>
      <c r="B2593" s="11">
        <f>Daily_Data!J2593</f>
        <v>23.69</v>
      </c>
      <c r="C2593" s="11">
        <f>Daily_Data!I2593</f>
        <v>3.37</v>
      </c>
      <c r="D2593" s="12">
        <f>if(sum(Daily_Data!K2593:L2593)&gt;0,1,0)</f>
        <v>0</v>
      </c>
    </row>
    <row r="2594">
      <c r="A2594" s="10">
        <f>Daily_Data!A2594</f>
        <v>40156</v>
      </c>
      <c r="B2594" s="11">
        <f>Daily_Data!J2594</f>
        <v>22.66</v>
      </c>
      <c r="C2594" s="11">
        <f>Daily_Data!I2594</f>
        <v>3.29</v>
      </c>
      <c r="D2594" s="12">
        <f>if(sum(Daily_Data!K2594:L2594)&gt;0,1,0)</f>
        <v>0</v>
      </c>
    </row>
    <row r="2595">
      <c r="A2595" s="10">
        <f>Daily_Data!A2595</f>
        <v>40157</v>
      </c>
      <c r="B2595" s="11">
        <f>Daily_Data!J2595</f>
        <v>22.32</v>
      </c>
      <c r="C2595" s="11">
        <f>Daily_Data!I2595</f>
        <v>3.43</v>
      </c>
      <c r="D2595" s="12">
        <f>if(sum(Daily_Data!K2595:L2595)&gt;0,1,0)</f>
        <v>0</v>
      </c>
    </row>
    <row r="2596">
      <c r="A2596" s="10">
        <f>Daily_Data!A2596</f>
        <v>40158</v>
      </c>
      <c r="B2596" s="11">
        <f>Daily_Data!J2596</f>
        <v>21.59</v>
      </c>
      <c r="C2596" s="11">
        <f>Daily_Data!I2596</f>
        <v>3.46</v>
      </c>
      <c r="D2596" s="12">
        <f>if(sum(Daily_Data!K2596:L2596)&gt;0,1,0)</f>
        <v>0</v>
      </c>
    </row>
    <row r="2597">
      <c r="A2597" s="10">
        <f>Daily_Data!A2597</f>
        <v>40161</v>
      </c>
      <c r="B2597" s="11">
        <f>Daily_Data!J2597</f>
        <v>21.15</v>
      </c>
      <c r="C2597" s="11">
        <f>Daily_Data!I2597</f>
        <v>3.47</v>
      </c>
      <c r="D2597" s="12">
        <f>if(sum(Daily_Data!K2597:L2597)&gt;0,1,0)</f>
        <v>0</v>
      </c>
    </row>
    <row r="2598">
      <c r="A2598" s="10">
        <f>Daily_Data!A2598</f>
        <v>40162</v>
      </c>
      <c r="B2598" s="11">
        <f>Daily_Data!J2598</f>
        <v>21.49</v>
      </c>
      <c r="C2598" s="11">
        <f>Daily_Data!I2598</f>
        <v>3.48</v>
      </c>
      <c r="D2598" s="12">
        <f>if(sum(Daily_Data!K2598:L2598)&gt;0,1,0)</f>
        <v>0</v>
      </c>
    </row>
    <row r="2599">
      <c r="A2599" s="10">
        <f>Daily_Data!A2599</f>
        <v>40163</v>
      </c>
      <c r="B2599" s="11">
        <f>Daily_Data!J2599</f>
        <v>20.54</v>
      </c>
      <c r="C2599" s="11">
        <f>Daily_Data!I2599</f>
        <v>3.48</v>
      </c>
      <c r="D2599" s="12">
        <f>if(sum(Daily_Data!K2599:L2599)&gt;0,1,0)</f>
        <v>1</v>
      </c>
    </row>
    <row r="2600">
      <c r="A2600" s="10">
        <f>Daily_Data!A2600</f>
        <v>40164</v>
      </c>
      <c r="B2600" s="11">
        <f>Daily_Data!J2600</f>
        <v>22.51</v>
      </c>
      <c r="C2600" s="11">
        <f>Daily_Data!I2600</f>
        <v>3.5</v>
      </c>
      <c r="D2600" s="12">
        <f>if(sum(Daily_Data!K2600:L2600)&gt;0,1,0)</f>
        <v>0</v>
      </c>
    </row>
    <row r="2601">
      <c r="A2601" s="10">
        <f>Daily_Data!A2601</f>
        <v>40165</v>
      </c>
      <c r="B2601" s="11">
        <f>Daily_Data!J2601</f>
        <v>21.68</v>
      </c>
      <c r="C2601" s="11">
        <f>Daily_Data!I2601</f>
        <v>3.43</v>
      </c>
      <c r="D2601" s="12">
        <f>if(sum(Daily_Data!K2601:L2601)&gt;0,1,0)</f>
        <v>0</v>
      </c>
    </row>
    <row r="2602">
      <c r="A2602" s="10">
        <f>Daily_Data!A2602</f>
        <v>40168</v>
      </c>
      <c r="B2602" s="11">
        <f>Daily_Data!J2602</f>
        <v>20.49</v>
      </c>
      <c r="C2602" s="11">
        <f>Daily_Data!I2602</f>
        <v>3.33</v>
      </c>
      <c r="D2602" s="12">
        <f>if(sum(Daily_Data!K2602:L2602)&gt;0,1,0)</f>
        <v>0</v>
      </c>
    </row>
    <row r="2603">
      <c r="A2603" s="10">
        <f>Daily_Data!A2603</f>
        <v>40169</v>
      </c>
      <c r="B2603" s="11">
        <f>Daily_Data!J2603</f>
        <v>19.54</v>
      </c>
      <c r="C2603" s="11">
        <f>Daily_Data!I2603</f>
        <v>3.31</v>
      </c>
      <c r="D2603" s="12">
        <f>if(sum(Daily_Data!K2603:L2603)&gt;0,1,0)</f>
        <v>0</v>
      </c>
    </row>
    <row r="2604">
      <c r="A2604" s="10">
        <f>Daily_Data!A2604</f>
        <v>40170</v>
      </c>
      <c r="B2604" s="11">
        <f>Daily_Data!J2604</f>
        <v>19.71</v>
      </c>
      <c r="C2604" s="11">
        <f>Daily_Data!I2604</f>
        <v>3.3</v>
      </c>
      <c r="D2604" s="12">
        <f>if(sum(Daily_Data!K2604:L2604)&gt;0,1,0)</f>
        <v>0</v>
      </c>
    </row>
    <row r="2605">
      <c r="A2605" s="10">
        <f>Daily_Data!A2605</f>
        <v>40171</v>
      </c>
      <c r="B2605" s="11">
        <f>Daily_Data!J2605</f>
        <v>19.47</v>
      </c>
      <c r="C2605" s="11">
        <f>Daily_Data!I2605</f>
        <v>3.25</v>
      </c>
      <c r="D2605" s="12">
        <f>if(sum(Daily_Data!K2605:L2605)&gt;0,1,0)</f>
        <v>0</v>
      </c>
    </row>
    <row r="2606">
      <c r="A2606" s="10">
        <f>Daily_Data!A2606</f>
        <v>40172</v>
      </c>
      <c r="B2606" s="11" t="str">
        <f>Daily_Data!J2606</f>
        <v/>
      </c>
      <c r="C2606" s="11" t="str">
        <f>Daily_Data!I2606</f>
        <v/>
      </c>
      <c r="D2606" s="12">
        <f>if(sum(Daily_Data!K2606:L2606)&gt;0,1,0)</f>
        <v>0</v>
      </c>
    </row>
    <row r="2607">
      <c r="A2607" s="10">
        <f>Daily_Data!A2607</f>
        <v>40175</v>
      </c>
      <c r="B2607" s="11">
        <f>Daily_Data!J2607</f>
        <v>19.93</v>
      </c>
      <c r="C2607" s="11" t="str">
        <f>Daily_Data!I2607</f>
        <v/>
      </c>
      <c r="D2607" s="12">
        <f>if(sum(Daily_Data!K2607:L2607)&gt;0,1,0)</f>
        <v>0</v>
      </c>
    </row>
    <row r="2608">
      <c r="A2608" s="10">
        <f>Daily_Data!A2608</f>
        <v>40176</v>
      </c>
      <c r="B2608" s="11">
        <f>Daily_Data!J2608</f>
        <v>20.01</v>
      </c>
      <c r="C2608" s="11">
        <f>Daily_Data!I2608</f>
        <v>3.18</v>
      </c>
      <c r="D2608" s="12">
        <f>if(sum(Daily_Data!K2608:L2608)&gt;0,1,0)</f>
        <v>0</v>
      </c>
    </row>
    <row r="2609">
      <c r="A2609" s="10">
        <f>Daily_Data!A2609</f>
        <v>40177</v>
      </c>
      <c r="B2609" s="11">
        <f>Daily_Data!J2609</f>
        <v>19.96</v>
      </c>
      <c r="C2609" s="11">
        <f>Daily_Data!I2609</f>
        <v>3.25</v>
      </c>
      <c r="D2609" s="12">
        <f>if(sum(Daily_Data!K2609:L2609)&gt;0,1,0)</f>
        <v>0</v>
      </c>
    </row>
    <row r="2610">
      <c r="A2610" s="10">
        <f>Daily_Data!A2610</f>
        <v>40178</v>
      </c>
      <c r="B2610" s="11">
        <f>Daily_Data!J2610</f>
        <v>21.68</v>
      </c>
      <c r="C2610" s="11">
        <f>Daily_Data!I2610</f>
        <v>3.16</v>
      </c>
      <c r="D2610" s="12">
        <f>if(sum(Daily_Data!K2610:L2610)&gt;0,1,0)</f>
        <v>0</v>
      </c>
    </row>
    <row r="2611">
      <c r="A2611" s="10">
        <f>Daily_Data!A2611</f>
        <v>40179</v>
      </c>
      <c r="B2611" s="11" t="str">
        <f>Daily_Data!J2611</f>
        <v/>
      </c>
      <c r="C2611" s="11" t="str">
        <f>Daily_Data!I2611</f>
        <v/>
      </c>
      <c r="D2611" s="12">
        <f>if(sum(Daily_Data!K2611:L2611)&gt;0,1,0)</f>
        <v>0</v>
      </c>
    </row>
    <row r="2612">
      <c r="A2612" s="10">
        <f>Daily_Data!A2612</f>
        <v>40182</v>
      </c>
      <c r="B2612" s="11">
        <f>Daily_Data!J2612</f>
        <v>20.04</v>
      </c>
      <c r="C2612" s="11" t="str">
        <f>Daily_Data!I2612</f>
        <v/>
      </c>
      <c r="D2612" s="12">
        <f>if(sum(Daily_Data!K2612:L2612)&gt;0,1,0)</f>
        <v>0</v>
      </c>
    </row>
    <row r="2613">
      <c r="A2613" s="10">
        <f>Daily_Data!A2613</f>
        <v>40183</v>
      </c>
      <c r="B2613" s="11">
        <f>Daily_Data!J2613</f>
        <v>19.35</v>
      </c>
      <c r="C2613" s="11">
        <f>Daily_Data!I2613</f>
        <v>3.31</v>
      </c>
      <c r="D2613" s="12">
        <f>if(sum(Daily_Data!K2613:L2613)&gt;0,1,0)</f>
        <v>0</v>
      </c>
    </row>
    <row r="2614">
      <c r="A2614" s="10">
        <f>Daily_Data!A2614</f>
        <v>40184</v>
      </c>
      <c r="B2614" s="11">
        <f>Daily_Data!J2614</f>
        <v>19.16</v>
      </c>
      <c r="C2614" s="11">
        <f>Daily_Data!I2614</f>
        <v>3.24</v>
      </c>
      <c r="D2614" s="12">
        <f>if(sum(Daily_Data!K2614:L2614)&gt;0,1,0)</f>
        <v>0</v>
      </c>
    </row>
    <row r="2615">
      <c r="A2615" s="10">
        <f>Daily_Data!A2615</f>
        <v>40185</v>
      </c>
      <c r="B2615" s="11">
        <f>Daily_Data!J2615</f>
        <v>19.06</v>
      </c>
      <c r="C2615" s="11">
        <f>Daily_Data!I2615</f>
        <v>3.22</v>
      </c>
      <c r="D2615" s="12">
        <f>if(sum(Daily_Data!K2615:L2615)&gt;0,1,0)</f>
        <v>0</v>
      </c>
    </row>
    <row r="2616">
      <c r="A2616" s="10">
        <f>Daily_Data!A2616</f>
        <v>40186</v>
      </c>
      <c r="B2616" s="11">
        <f>Daily_Data!J2616</f>
        <v>18.13</v>
      </c>
      <c r="C2616" s="11">
        <f>Daily_Data!I2616</f>
        <v>3.28</v>
      </c>
      <c r="D2616" s="12">
        <f>if(sum(Daily_Data!K2616:L2616)&gt;0,1,0)</f>
        <v>1</v>
      </c>
    </row>
    <row r="2617">
      <c r="A2617" s="10">
        <f>Daily_Data!A2617</f>
        <v>40189</v>
      </c>
      <c r="B2617" s="11">
        <f>Daily_Data!J2617</f>
        <v>17.55</v>
      </c>
      <c r="C2617" s="11">
        <f>Daily_Data!I2617</f>
        <v>3.26</v>
      </c>
      <c r="D2617" s="12">
        <f>if(sum(Daily_Data!K2617:L2617)&gt;0,1,0)</f>
        <v>0</v>
      </c>
    </row>
    <row r="2618">
      <c r="A2618" s="10">
        <f>Daily_Data!A2618</f>
        <v>40190</v>
      </c>
      <c r="B2618" s="11">
        <f>Daily_Data!J2618</f>
        <v>18.25</v>
      </c>
      <c r="C2618" s="11">
        <f>Daily_Data!I2618</f>
        <v>3.36</v>
      </c>
      <c r="D2618" s="12">
        <f>if(sum(Daily_Data!K2618:L2618)&gt;0,1,0)</f>
        <v>0</v>
      </c>
    </row>
    <row r="2619">
      <c r="A2619" s="10">
        <f>Daily_Data!A2619</f>
        <v>40191</v>
      </c>
      <c r="B2619" s="11">
        <f>Daily_Data!J2619</f>
        <v>17.85</v>
      </c>
      <c r="C2619" s="11">
        <f>Daily_Data!I2619</f>
        <v>3.26</v>
      </c>
      <c r="D2619" s="12">
        <f>if(sum(Daily_Data!K2619:L2619)&gt;0,1,0)</f>
        <v>0</v>
      </c>
    </row>
    <row r="2620">
      <c r="A2620" s="10">
        <f>Daily_Data!A2620</f>
        <v>40192</v>
      </c>
      <c r="B2620" s="11">
        <f>Daily_Data!J2620</f>
        <v>17.63</v>
      </c>
      <c r="C2620" s="11">
        <f>Daily_Data!I2620</f>
        <v>3.29</v>
      </c>
      <c r="D2620" s="12">
        <f>if(sum(Daily_Data!K2620:L2620)&gt;0,1,0)</f>
        <v>0</v>
      </c>
    </row>
    <row r="2621">
      <c r="A2621" s="10">
        <f>Daily_Data!A2621</f>
        <v>40193</v>
      </c>
      <c r="B2621" s="11">
        <f>Daily_Data!J2621</f>
        <v>17.91</v>
      </c>
      <c r="C2621" s="11">
        <f>Daily_Data!I2621</f>
        <v>3.32</v>
      </c>
      <c r="D2621" s="12">
        <f>if(sum(Daily_Data!K2621:L2621)&gt;0,1,0)</f>
        <v>1</v>
      </c>
    </row>
    <row r="2622">
      <c r="A2622" s="10">
        <f>Daily_Data!A2622</f>
        <v>40196</v>
      </c>
      <c r="B2622" s="11" t="str">
        <f>Daily_Data!J2622</f>
        <v/>
      </c>
      <c r="C2622" s="11" t="str">
        <f>Daily_Data!I2622</f>
        <v/>
      </c>
      <c r="D2622" s="12">
        <f>if(sum(Daily_Data!K2622:L2622)&gt;0,1,0)</f>
        <v>0</v>
      </c>
    </row>
    <row r="2623">
      <c r="A2623" s="10">
        <f>Daily_Data!A2623</f>
        <v>40197</v>
      </c>
      <c r="B2623" s="11">
        <f>Daily_Data!J2623</f>
        <v>17.58</v>
      </c>
      <c r="C2623" s="11">
        <f>Daily_Data!I2623</f>
        <v>3.26</v>
      </c>
      <c r="D2623" s="12">
        <f>if(sum(Daily_Data!K2623:L2623)&gt;0,1,0)</f>
        <v>0</v>
      </c>
    </row>
    <row r="2624">
      <c r="A2624" s="10">
        <f>Daily_Data!A2624</f>
        <v>40198</v>
      </c>
      <c r="B2624" s="11">
        <f>Daily_Data!J2624</f>
        <v>18.68</v>
      </c>
      <c r="C2624" s="11">
        <f>Daily_Data!I2624</f>
        <v>3.23</v>
      </c>
      <c r="D2624" s="12">
        <f>if(sum(Daily_Data!K2624:L2624)&gt;0,1,0)</f>
        <v>0</v>
      </c>
    </row>
    <row r="2625">
      <c r="A2625" s="10">
        <f>Daily_Data!A2625</f>
        <v>40199</v>
      </c>
      <c r="B2625" s="11">
        <f>Daily_Data!J2625</f>
        <v>22.27</v>
      </c>
      <c r="C2625" s="11">
        <f>Daily_Data!I2625</f>
        <v>3.25</v>
      </c>
      <c r="D2625" s="12">
        <f>if(sum(Daily_Data!K2625:L2625)&gt;0,1,0)</f>
        <v>0</v>
      </c>
    </row>
    <row r="2626">
      <c r="A2626" s="10">
        <f>Daily_Data!A2626</f>
        <v>40200</v>
      </c>
      <c r="B2626" s="11">
        <f>Daily_Data!J2626</f>
        <v>27.31</v>
      </c>
      <c r="C2626" s="11">
        <f>Daily_Data!I2626</f>
        <v>3.22</v>
      </c>
      <c r="D2626" s="12">
        <f>if(sum(Daily_Data!K2626:L2626)&gt;0,1,0)</f>
        <v>0</v>
      </c>
    </row>
    <row r="2627">
      <c r="A2627" s="10">
        <f>Daily_Data!A2627</f>
        <v>40203</v>
      </c>
      <c r="B2627" s="11">
        <f>Daily_Data!J2627</f>
        <v>25.41</v>
      </c>
      <c r="C2627" s="11">
        <f>Daily_Data!I2627</f>
        <v>3.19</v>
      </c>
      <c r="D2627" s="12">
        <f>if(sum(Daily_Data!K2627:L2627)&gt;0,1,0)</f>
        <v>0</v>
      </c>
    </row>
    <row r="2628">
      <c r="A2628" s="10">
        <f>Daily_Data!A2628</f>
        <v>40204</v>
      </c>
      <c r="B2628" s="11">
        <f>Daily_Data!J2628</f>
        <v>24.55</v>
      </c>
      <c r="C2628" s="11">
        <f>Daily_Data!I2628</f>
        <v>3.17</v>
      </c>
      <c r="D2628" s="12">
        <f>if(sum(Daily_Data!K2628:L2628)&gt;0,1,0)</f>
        <v>0</v>
      </c>
    </row>
    <row r="2629">
      <c r="A2629" s="10">
        <f>Daily_Data!A2629</f>
        <v>40205</v>
      </c>
      <c r="B2629" s="11">
        <f>Daily_Data!J2629</f>
        <v>23.14</v>
      </c>
      <c r="C2629" s="11">
        <f>Daily_Data!I2629</f>
        <v>3.11</v>
      </c>
      <c r="D2629" s="12">
        <f>if(sum(Daily_Data!K2629:L2629)&gt;0,1,0)</f>
        <v>0</v>
      </c>
    </row>
    <row r="2630">
      <c r="A2630" s="10">
        <f>Daily_Data!A2630</f>
        <v>40206</v>
      </c>
      <c r="B2630" s="11">
        <f>Daily_Data!J2630</f>
        <v>23.73</v>
      </c>
      <c r="C2630" s="11">
        <f>Daily_Data!I2630</f>
        <v>3.16</v>
      </c>
      <c r="D2630" s="12">
        <f>if(sum(Daily_Data!K2630:L2630)&gt;0,1,0)</f>
        <v>0</v>
      </c>
    </row>
    <row r="2631">
      <c r="A2631" s="10">
        <f>Daily_Data!A2631</f>
        <v>40207</v>
      </c>
      <c r="B2631" s="11">
        <f>Daily_Data!J2631</f>
        <v>24.62</v>
      </c>
      <c r="C2631" s="11">
        <f>Daily_Data!I2631</f>
        <v>3.23</v>
      </c>
      <c r="D2631" s="12">
        <f>if(sum(Daily_Data!K2631:L2631)&gt;0,1,0)</f>
        <v>0</v>
      </c>
    </row>
    <row r="2632">
      <c r="A2632" s="10">
        <f>Daily_Data!A2632</f>
        <v>40210</v>
      </c>
      <c r="B2632" s="11">
        <f>Daily_Data!J2632</f>
        <v>22.59</v>
      </c>
      <c r="C2632" s="11">
        <f>Daily_Data!I2632</f>
        <v>3.13</v>
      </c>
      <c r="D2632" s="12">
        <f>if(sum(Daily_Data!K2632:L2632)&gt;0,1,0)</f>
        <v>0</v>
      </c>
    </row>
    <row r="2633">
      <c r="A2633" s="10">
        <f>Daily_Data!A2633</f>
        <v>40211</v>
      </c>
      <c r="B2633" s="11">
        <f>Daily_Data!J2633</f>
        <v>21.48</v>
      </c>
      <c r="C2633" s="11">
        <f>Daily_Data!I2633</f>
        <v>3.14</v>
      </c>
      <c r="D2633" s="12">
        <f>if(sum(Daily_Data!K2633:L2633)&gt;0,1,0)</f>
        <v>0</v>
      </c>
    </row>
    <row r="2634">
      <c r="A2634" s="10">
        <f>Daily_Data!A2634</f>
        <v>40212</v>
      </c>
      <c r="B2634" s="11">
        <f>Daily_Data!J2634</f>
        <v>21.6</v>
      </c>
      <c r="C2634" s="11">
        <f>Daily_Data!I2634</f>
        <v>3.08</v>
      </c>
      <c r="D2634" s="12">
        <f>if(sum(Daily_Data!K2634:L2634)&gt;0,1,0)</f>
        <v>0</v>
      </c>
    </row>
    <row r="2635">
      <c r="A2635" s="10">
        <f>Daily_Data!A2635</f>
        <v>40213</v>
      </c>
      <c r="B2635" s="11">
        <f>Daily_Data!J2635</f>
        <v>26.08</v>
      </c>
      <c r="C2635" s="11">
        <f>Daily_Data!I2635</f>
        <v>3.1</v>
      </c>
      <c r="D2635" s="12">
        <f>if(sum(Daily_Data!K2635:L2635)&gt;0,1,0)</f>
        <v>0</v>
      </c>
    </row>
    <row r="2636">
      <c r="A2636" s="10">
        <f>Daily_Data!A2636</f>
        <v>40214</v>
      </c>
      <c r="B2636" s="11">
        <f>Daily_Data!J2636</f>
        <v>26.11</v>
      </c>
      <c r="C2636" s="11">
        <f>Daily_Data!I2636</f>
        <v>3.07</v>
      </c>
      <c r="D2636" s="12">
        <f>if(sum(Daily_Data!K2636:L2636)&gt;0,1,0)</f>
        <v>1</v>
      </c>
    </row>
    <row r="2637">
      <c r="A2637" s="10">
        <f>Daily_Data!A2637</f>
        <v>40217</v>
      </c>
      <c r="B2637" s="11">
        <f>Daily_Data!J2637</f>
        <v>26.51</v>
      </c>
      <c r="C2637" s="11">
        <f>Daily_Data!I2637</f>
        <v>3.04</v>
      </c>
      <c r="D2637" s="12">
        <f>if(sum(Daily_Data!K2637:L2637)&gt;0,1,0)</f>
        <v>0</v>
      </c>
    </row>
    <row r="2638">
      <c r="A2638" s="10">
        <f>Daily_Data!A2638</f>
        <v>40218</v>
      </c>
      <c r="B2638" s="11">
        <f>Daily_Data!J2638</f>
        <v>26</v>
      </c>
      <c r="C2638" s="11">
        <f>Daily_Data!I2638</f>
        <v>2.99</v>
      </c>
      <c r="D2638" s="12">
        <f>if(sum(Daily_Data!K2638:L2638)&gt;0,1,0)</f>
        <v>0</v>
      </c>
    </row>
    <row r="2639">
      <c r="A2639" s="10">
        <f>Daily_Data!A2639</f>
        <v>40219</v>
      </c>
      <c r="B2639" s="11">
        <f>Daily_Data!J2639</f>
        <v>25.4</v>
      </c>
      <c r="C2639" s="11">
        <f>Daily_Data!I2639</f>
        <v>2.94</v>
      </c>
      <c r="D2639" s="12">
        <f>if(sum(Daily_Data!K2639:L2639)&gt;0,1,0)</f>
        <v>0</v>
      </c>
    </row>
    <row r="2640">
      <c r="A2640" s="10">
        <f>Daily_Data!A2640</f>
        <v>40220</v>
      </c>
      <c r="B2640" s="11">
        <f>Daily_Data!J2640</f>
        <v>23.96</v>
      </c>
      <c r="C2640" s="11">
        <f>Daily_Data!I2640</f>
        <v>2.95</v>
      </c>
      <c r="D2640" s="12">
        <f>if(sum(Daily_Data!K2640:L2640)&gt;0,1,0)</f>
        <v>0</v>
      </c>
    </row>
    <row r="2641">
      <c r="A2641" s="10">
        <f>Daily_Data!A2641</f>
        <v>40221</v>
      </c>
      <c r="B2641" s="11">
        <f>Daily_Data!J2641</f>
        <v>22.73</v>
      </c>
      <c r="C2641" s="11">
        <f>Daily_Data!I2641</f>
        <v>3.04</v>
      </c>
      <c r="D2641" s="12">
        <f>if(sum(Daily_Data!K2641:L2641)&gt;0,1,0)</f>
        <v>0</v>
      </c>
    </row>
    <row r="2642">
      <c r="A2642" s="10">
        <f>Daily_Data!A2642</f>
        <v>40224</v>
      </c>
      <c r="B2642" s="11" t="str">
        <f>Daily_Data!J2642</f>
        <v/>
      </c>
      <c r="C2642" s="11" t="str">
        <f>Daily_Data!I2642</f>
        <v/>
      </c>
      <c r="D2642" s="12">
        <f>if(sum(Daily_Data!K2642:L2642)&gt;0,1,0)</f>
        <v>0</v>
      </c>
    </row>
    <row r="2643">
      <c r="A2643" s="10">
        <f>Daily_Data!A2643</f>
        <v>40225</v>
      </c>
      <c r="B2643" s="11">
        <f>Daily_Data!J2643</f>
        <v>22.25</v>
      </c>
      <c r="C2643" s="11">
        <f>Daily_Data!I2643</f>
        <v>3</v>
      </c>
      <c r="D2643" s="12">
        <f>if(sum(Daily_Data!K2643:L2643)&gt;0,1,0)</f>
        <v>0</v>
      </c>
    </row>
    <row r="2644">
      <c r="A2644" s="10">
        <f>Daily_Data!A2644</f>
        <v>40226</v>
      </c>
      <c r="B2644" s="11">
        <f>Daily_Data!J2644</f>
        <v>21.72</v>
      </c>
      <c r="C2644" s="11">
        <f>Daily_Data!I2644</f>
        <v>2.94</v>
      </c>
      <c r="D2644" s="12">
        <f>if(sum(Daily_Data!K2644:L2644)&gt;0,1,0)</f>
        <v>0</v>
      </c>
    </row>
    <row r="2645">
      <c r="A2645" s="10">
        <f>Daily_Data!A2645</f>
        <v>40227</v>
      </c>
      <c r="B2645" s="11">
        <f>Daily_Data!J2645</f>
        <v>20.63</v>
      </c>
      <c r="C2645" s="11">
        <f>Daily_Data!I2645</f>
        <v>2.92</v>
      </c>
      <c r="D2645" s="12">
        <f>if(sum(Daily_Data!K2645:L2645)&gt;0,1,0)</f>
        <v>0</v>
      </c>
    </row>
    <row r="2646">
      <c r="A2646" s="10">
        <f>Daily_Data!A2646</f>
        <v>40228</v>
      </c>
      <c r="B2646" s="11">
        <f>Daily_Data!J2646</f>
        <v>20.02</v>
      </c>
      <c r="C2646" s="11">
        <f>Daily_Data!I2646</f>
        <v>2.87</v>
      </c>
      <c r="D2646" s="12">
        <f>if(sum(Daily_Data!K2646:L2646)&gt;0,1,0)</f>
        <v>1</v>
      </c>
    </row>
    <row r="2647">
      <c r="A2647" s="10">
        <f>Daily_Data!A2647</f>
        <v>40231</v>
      </c>
      <c r="B2647" s="11">
        <f>Daily_Data!J2647</f>
        <v>19.94</v>
      </c>
      <c r="C2647" s="11">
        <f>Daily_Data!I2647</f>
        <v>2.91</v>
      </c>
      <c r="D2647" s="12">
        <f>if(sum(Daily_Data!K2647:L2647)&gt;0,1,0)</f>
        <v>0</v>
      </c>
    </row>
    <row r="2648">
      <c r="A2648" s="10">
        <f>Daily_Data!A2648</f>
        <v>40232</v>
      </c>
      <c r="B2648" s="11">
        <f>Daily_Data!J2648</f>
        <v>21.37</v>
      </c>
      <c r="C2648" s="11">
        <f>Daily_Data!I2648</f>
        <v>2.93</v>
      </c>
      <c r="D2648" s="12">
        <f>if(sum(Daily_Data!K2648:L2648)&gt;0,1,0)</f>
        <v>0</v>
      </c>
    </row>
    <row r="2649">
      <c r="A2649" s="10">
        <f>Daily_Data!A2649</f>
        <v>40233</v>
      </c>
      <c r="B2649" s="11">
        <f>Daily_Data!J2649</f>
        <v>20.27</v>
      </c>
      <c r="C2649" s="11">
        <f>Daily_Data!I2649</f>
        <v>2.86</v>
      </c>
      <c r="D2649" s="12">
        <f>if(sum(Daily_Data!K2649:L2649)&gt;0,1,0)</f>
        <v>0</v>
      </c>
    </row>
    <row r="2650">
      <c r="A2650" s="10">
        <f>Daily_Data!A2650</f>
        <v>40234</v>
      </c>
      <c r="B2650" s="11">
        <f>Daily_Data!J2650</f>
        <v>20.1</v>
      </c>
      <c r="C2650" s="11">
        <f>Daily_Data!I2650</f>
        <v>2.93</v>
      </c>
      <c r="D2650" s="12">
        <f>if(sum(Daily_Data!K2650:L2650)&gt;0,1,0)</f>
        <v>0</v>
      </c>
    </row>
    <row r="2651">
      <c r="A2651" s="10">
        <f>Daily_Data!A2651</f>
        <v>40235</v>
      </c>
      <c r="B2651" s="11">
        <f>Daily_Data!J2651</f>
        <v>19.5</v>
      </c>
      <c r="C2651" s="11">
        <f>Daily_Data!I2651</f>
        <v>2.89</v>
      </c>
      <c r="D2651" s="12">
        <f>if(sum(Daily_Data!K2651:L2651)&gt;0,1,0)</f>
        <v>0</v>
      </c>
    </row>
    <row r="2652">
      <c r="A2652" s="10">
        <f>Daily_Data!A2652</f>
        <v>40238</v>
      </c>
      <c r="B2652" s="11">
        <f>Daily_Data!J2652</f>
        <v>19.26</v>
      </c>
      <c r="C2652" s="11">
        <f>Daily_Data!I2652</f>
        <v>2.89</v>
      </c>
      <c r="D2652" s="12">
        <f>if(sum(Daily_Data!K2652:L2652)&gt;0,1,0)</f>
        <v>0</v>
      </c>
    </row>
    <row r="2653">
      <c r="A2653" s="10">
        <f>Daily_Data!A2653</f>
        <v>40239</v>
      </c>
      <c r="B2653" s="11">
        <f>Daily_Data!J2653</f>
        <v>19.06</v>
      </c>
      <c r="C2653" s="11">
        <f>Daily_Data!I2653</f>
        <v>2.89</v>
      </c>
      <c r="D2653" s="12">
        <f>if(sum(Daily_Data!K2653:L2653)&gt;0,1,0)</f>
        <v>0</v>
      </c>
    </row>
    <row r="2654">
      <c r="A2654" s="10">
        <f>Daily_Data!A2654</f>
        <v>40240</v>
      </c>
      <c r="B2654" s="11">
        <f>Daily_Data!J2654</f>
        <v>18.83</v>
      </c>
      <c r="C2654" s="11">
        <f>Daily_Data!I2654</f>
        <v>2.82</v>
      </c>
      <c r="D2654" s="12">
        <f>if(sum(Daily_Data!K2654:L2654)&gt;0,1,0)</f>
        <v>0</v>
      </c>
    </row>
    <row r="2655">
      <c r="A2655" s="10">
        <f>Daily_Data!A2655</f>
        <v>40241</v>
      </c>
      <c r="B2655" s="11">
        <f>Daily_Data!J2655</f>
        <v>18.72</v>
      </c>
      <c r="C2655" s="11">
        <f>Daily_Data!I2655</f>
        <v>2.82</v>
      </c>
      <c r="D2655" s="12">
        <f>if(sum(Daily_Data!K2655:L2655)&gt;0,1,0)</f>
        <v>0</v>
      </c>
    </row>
    <row r="2656">
      <c r="A2656" s="10">
        <f>Daily_Data!A2656</f>
        <v>40242</v>
      </c>
      <c r="B2656" s="11">
        <f>Daily_Data!J2656</f>
        <v>17.42</v>
      </c>
      <c r="C2656" s="11">
        <f>Daily_Data!I2656</f>
        <v>2.76</v>
      </c>
      <c r="D2656" s="12">
        <f>if(sum(Daily_Data!K2656:L2656)&gt;0,1,0)</f>
        <v>1</v>
      </c>
    </row>
    <row r="2657">
      <c r="A2657" s="10">
        <f>Daily_Data!A2657</f>
        <v>40245</v>
      </c>
      <c r="B2657" s="11">
        <f>Daily_Data!J2657</f>
        <v>17.79</v>
      </c>
      <c r="C2657" s="11">
        <f>Daily_Data!I2657</f>
        <v>2.79</v>
      </c>
      <c r="D2657" s="12">
        <f>if(sum(Daily_Data!K2657:L2657)&gt;0,1,0)</f>
        <v>0</v>
      </c>
    </row>
    <row r="2658">
      <c r="A2658" s="10">
        <f>Daily_Data!A2658</f>
        <v>40246</v>
      </c>
      <c r="B2658" s="11">
        <f>Daily_Data!J2658</f>
        <v>17.92</v>
      </c>
      <c r="C2658" s="11">
        <f>Daily_Data!I2658</f>
        <v>2.82</v>
      </c>
      <c r="D2658" s="12">
        <f>if(sum(Daily_Data!K2658:L2658)&gt;0,1,0)</f>
        <v>0</v>
      </c>
    </row>
    <row r="2659">
      <c r="A2659" s="10">
        <f>Daily_Data!A2659</f>
        <v>40247</v>
      </c>
      <c r="B2659" s="11">
        <f>Daily_Data!J2659</f>
        <v>18.57</v>
      </c>
      <c r="C2659" s="11">
        <f>Daily_Data!I2659</f>
        <v>2.8</v>
      </c>
      <c r="D2659" s="12">
        <f>if(sum(Daily_Data!K2659:L2659)&gt;0,1,0)</f>
        <v>0</v>
      </c>
    </row>
    <row r="2660">
      <c r="A2660" s="10">
        <f>Daily_Data!A2660</f>
        <v>40248</v>
      </c>
      <c r="B2660" s="11">
        <f>Daily_Data!J2660</f>
        <v>18.06</v>
      </c>
      <c r="C2660" s="11">
        <f>Daily_Data!I2660</f>
        <v>2.75</v>
      </c>
      <c r="D2660" s="12">
        <f>if(sum(Daily_Data!K2660:L2660)&gt;0,1,0)</f>
        <v>0</v>
      </c>
    </row>
    <row r="2661">
      <c r="A2661" s="10">
        <f>Daily_Data!A2661</f>
        <v>40249</v>
      </c>
      <c r="B2661" s="11">
        <f>Daily_Data!J2661</f>
        <v>17.58</v>
      </c>
      <c r="C2661" s="11">
        <f>Daily_Data!I2661</f>
        <v>2.77</v>
      </c>
      <c r="D2661" s="12">
        <f>if(sum(Daily_Data!K2661:L2661)&gt;0,1,0)</f>
        <v>0</v>
      </c>
    </row>
    <row r="2662">
      <c r="A2662" s="10">
        <f>Daily_Data!A2662</f>
        <v>40252</v>
      </c>
      <c r="B2662" s="11">
        <f>Daily_Data!J2662</f>
        <v>18</v>
      </c>
      <c r="C2662" s="11">
        <f>Daily_Data!I2662</f>
        <v>2.78</v>
      </c>
      <c r="D2662" s="12">
        <f>if(sum(Daily_Data!K2662:L2662)&gt;0,1,0)</f>
        <v>0</v>
      </c>
    </row>
    <row r="2663">
      <c r="A2663" s="10">
        <f>Daily_Data!A2663</f>
        <v>40253</v>
      </c>
      <c r="B2663" s="11">
        <f>Daily_Data!J2663</f>
        <v>17.69</v>
      </c>
      <c r="C2663" s="11">
        <f>Daily_Data!I2663</f>
        <v>2.8</v>
      </c>
      <c r="D2663" s="12">
        <f>if(sum(Daily_Data!K2663:L2663)&gt;0,1,0)</f>
        <v>0</v>
      </c>
    </row>
    <row r="2664">
      <c r="A2664" s="10">
        <f>Daily_Data!A2664</f>
        <v>40254</v>
      </c>
      <c r="B2664" s="11">
        <f>Daily_Data!J2664</f>
        <v>16.91</v>
      </c>
      <c r="C2664" s="11">
        <f>Daily_Data!I2664</f>
        <v>2.75</v>
      </c>
      <c r="D2664" s="12">
        <f>if(sum(Daily_Data!K2664:L2664)&gt;0,1,0)</f>
        <v>0</v>
      </c>
    </row>
    <row r="2665">
      <c r="A2665" s="10">
        <f>Daily_Data!A2665</f>
        <v>40255</v>
      </c>
      <c r="B2665" s="11">
        <f>Daily_Data!J2665</f>
        <v>16.62</v>
      </c>
      <c r="C2665" s="11">
        <f>Daily_Data!I2665</f>
        <v>2.73</v>
      </c>
      <c r="D2665" s="12">
        <f>if(sum(Daily_Data!K2665:L2665)&gt;0,1,0)</f>
        <v>1</v>
      </c>
    </row>
    <row r="2666">
      <c r="A2666" s="10">
        <f>Daily_Data!A2666</f>
        <v>40256</v>
      </c>
      <c r="B2666" s="11">
        <f>Daily_Data!J2666</f>
        <v>16.97</v>
      </c>
      <c r="C2666" s="11">
        <f>Daily_Data!I2666</f>
        <v>2.72</v>
      </c>
      <c r="D2666" s="12">
        <f>if(sum(Daily_Data!K2666:L2666)&gt;0,1,0)</f>
        <v>0</v>
      </c>
    </row>
    <row r="2667">
      <c r="A2667" s="10">
        <f>Daily_Data!A2667</f>
        <v>40259</v>
      </c>
      <c r="B2667" s="11">
        <f>Daily_Data!J2667</f>
        <v>16.87</v>
      </c>
      <c r="C2667" s="11">
        <f>Daily_Data!I2667</f>
        <v>2.72</v>
      </c>
      <c r="D2667" s="12">
        <f>if(sum(Daily_Data!K2667:L2667)&gt;0,1,0)</f>
        <v>0</v>
      </c>
    </row>
    <row r="2668">
      <c r="A2668" s="10">
        <f>Daily_Data!A2668</f>
        <v>40260</v>
      </c>
      <c r="B2668" s="11">
        <f>Daily_Data!J2668</f>
        <v>16.35</v>
      </c>
      <c r="C2668" s="11">
        <f>Daily_Data!I2668</f>
        <v>2.71</v>
      </c>
      <c r="D2668" s="12">
        <f>if(sum(Daily_Data!K2668:L2668)&gt;0,1,0)</f>
        <v>0</v>
      </c>
    </row>
    <row r="2669">
      <c r="A2669" s="10">
        <f>Daily_Data!A2669</f>
        <v>40261</v>
      </c>
      <c r="B2669" s="11">
        <f>Daily_Data!J2669</f>
        <v>17.55</v>
      </c>
      <c r="C2669" s="11">
        <f>Daily_Data!I2669</f>
        <v>2.67</v>
      </c>
      <c r="D2669" s="12">
        <f>if(sum(Daily_Data!K2669:L2669)&gt;0,1,0)</f>
        <v>0</v>
      </c>
    </row>
    <row r="2670">
      <c r="A2670" s="10">
        <f>Daily_Data!A2670</f>
        <v>40262</v>
      </c>
      <c r="B2670" s="11">
        <f>Daily_Data!J2670</f>
        <v>18.4</v>
      </c>
      <c r="C2670" s="11">
        <f>Daily_Data!I2670</f>
        <v>2.72</v>
      </c>
      <c r="D2670" s="12">
        <f>if(sum(Daily_Data!K2670:L2670)&gt;0,1,0)</f>
        <v>0</v>
      </c>
    </row>
    <row r="2671">
      <c r="A2671" s="10">
        <f>Daily_Data!A2671</f>
        <v>40263</v>
      </c>
      <c r="B2671" s="11">
        <f>Daily_Data!J2671</f>
        <v>17.77</v>
      </c>
      <c r="C2671" s="11">
        <f>Daily_Data!I2671</f>
        <v>2.78</v>
      </c>
      <c r="D2671" s="12">
        <f>if(sum(Daily_Data!K2671:L2671)&gt;0,1,0)</f>
        <v>0</v>
      </c>
    </row>
    <row r="2672">
      <c r="A2672" s="10">
        <f>Daily_Data!A2672</f>
        <v>40266</v>
      </c>
      <c r="B2672" s="11">
        <f>Daily_Data!J2672</f>
        <v>17.59</v>
      </c>
      <c r="C2672" s="11">
        <f>Daily_Data!I2672</f>
        <v>2.76</v>
      </c>
      <c r="D2672" s="12">
        <f>if(sum(Daily_Data!K2672:L2672)&gt;0,1,0)</f>
        <v>0</v>
      </c>
    </row>
    <row r="2673">
      <c r="A2673" s="10">
        <f>Daily_Data!A2673</f>
        <v>40267</v>
      </c>
      <c r="B2673" s="11">
        <f>Daily_Data!J2673</f>
        <v>17.13</v>
      </c>
      <c r="C2673" s="11">
        <f>Daily_Data!I2673</f>
        <v>2.77</v>
      </c>
      <c r="D2673" s="12">
        <f>if(sum(Daily_Data!K2673:L2673)&gt;0,1,0)</f>
        <v>0</v>
      </c>
    </row>
    <row r="2674">
      <c r="A2674" s="10">
        <f>Daily_Data!A2674</f>
        <v>40268</v>
      </c>
      <c r="B2674" s="11">
        <f>Daily_Data!J2674</f>
        <v>17.59</v>
      </c>
      <c r="C2674" s="11">
        <f>Daily_Data!I2674</f>
        <v>2.78</v>
      </c>
      <c r="D2674" s="12">
        <f>if(sum(Daily_Data!K2674:L2674)&gt;0,1,0)</f>
        <v>0</v>
      </c>
    </row>
    <row r="2675">
      <c r="A2675" s="10">
        <f>Daily_Data!A2675</f>
        <v>40269</v>
      </c>
      <c r="B2675" s="11">
        <f>Daily_Data!J2675</f>
        <v>17.47</v>
      </c>
      <c r="C2675" s="11">
        <f>Daily_Data!I2675</f>
        <v>2.7</v>
      </c>
      <c r="D2675" s="12">
        <f>if(sum(Daily_Data!K2675:L2675)&gt;0,1,0)</f>
        <v>0</v>
      </c>
    </row>
    <row r="2676">
      <c r="A2676" s="10">
        <f>Daily_Data!A2676</f>
        <v>40270</v>
      </c>
      <c r="B2676" s="11" t="str">
        <f>Daily_Data!J2676</f>
        <v/>
      </c>
      <c r="C2676" s="11" t="str">
        <f>Daily_Data!I2676</f>
        <v/>
      </c>
      <c r="D2676" s="12">
        <f>if(sum(Daily_Data!K2676:L2676)&gt;0,1,0)</f>
        <v>1</v>
      </c>
    </row>
    <row r="2677">
      <c r="A2677" s="10">
        <f>Daily_Data!A2677</f>
        <v>40273</v>
      </c>
      <c r="B2677" s="11">
        <f>Daily_Data!J2677</f>
        <v>17.02</v>
      </c>
      <c r="C2677" s="11" t="str">
        <f>Daily_Data!I2677</f>
        <v/>
      </c>
      <c r="D2677" s="12">
        <f>if(sum(Daily_Data!K2677:L2677)&gt;0,1,0)</f>
        <v>0</v>
      </c>
    </row>
    <row r="2678">
      <c r="A2678" s="10">
        <f>Daily_Data!A2678</f>
        <v>40274</v>
      </c>
      <c r="B2678" s="11">
        <f>Daily_Data!J2678</f>
        <v>16.23</v>
      </c>
      <c r="C2678" s="11">
        <f>Daily_Data!I2678</f>
        <v>2.66</v>
      </c>
      <c r="D2678" s="12">
        <f>if(sum(Daily_Data!K2678:L2678)&gt;0,1,0)</f>
        <v>0</v>
      </c>
    </row>
    <row r="2679">
      <c r="A2679" s="10">
        <f>Daily_Data!A2679</f>
        <v>40275</v>
      </c>
      <c r="B2679" s="11">
        <f>Daily_Data!J2679</f>
        <v>16.62</v>
      </c>
      <c r="C2679" s="11">
        <f>Daily_Data!I2679</f>
        <v>2.73</v>
      </c>
      <c r="D2679" s="12">
        <f>if(sum(Daily_Data!K2679:L2679)&gt;0,1,0)</f>
        <v>0</v>
      </c>
    </row>
    <row r="2680">
      <c r="A2680" s="10">
        <f>Daily_Data!A2680</f>
        <v>40276</v>
      </c>
      <c r="B2680" s="11">
        <f>Daily_Data!J2680</f>
        <v>16.48</v>
      </c>
      <c r="C2680" s="11">
        <f>Daily_Data!I2680</f>
        <v>2.67</v>
      </c>
      <c r="D2680" s="12">
        <f>if(sum(Daily_Data!K2680:L2680)&gt;0,1,0)</f>
        <v>0</v>
      </c>
    </row>
    <row r="2681">
      <c r="A2681" s="10">
        <f>Daily_Data!A2681</f>
        <v>40277</v>
      </c>
      <c r="B2681" s="11">
        <f>Daily_Data!J2681</f>
        <v>16.14</v>
      </c>
      <c r="C2681" s="11">
        <f>Daily_Data!I2681</f>
        <v>2.66</v>
      </c>
      <c r="D2681" s="12">
        <f>if(sum(Daily_Data!K2681:L2681)&gt;0,1,0)</f>
        <v>0</v>
      </c>
    </row>
    <row r="2682">
      <c r="A2682" s="10">
        <f>Daily_Data!A2682</f>
        <v>40280</v>
      </c>
      <c r="B2682" s="11">
        <f>Daily_Data!J2682</f>
        <v>15.58</v>
      </c>
      <c r="C2682" s="11">
        <f>Daily_Data!I2682</f>
        <v>2.73</v>
      </c>
      <c r="D2682" s="12">
        <f>if(sum(Daily_Data!K2682:L2682)&gt;0,1,0)</f>
        <v>0</v>
      </c>
    </row>
    <row r="2683">
      <c r="A2683" s="10">
        <f>Daily_Data!A2683</f>
        <v>40281</v>
      </c>
      <c r="B2683" s="11">
        <f>Daily_Data!J2683</f>
        <v>16.2</v>
      </c>
      <c r="C2683" s="11">
        <f>Daily_Data!I2683</f>
        <v>2.72</v>
      </c>
      <c r="D2683" s="12">
        <f>if(sum(Daily_Data!K2683:L2683)&gt;0,1,0)</f>
        <v>0</v>
      </c>
    </row>
    <row r="2684">
      <c r="A2684" s="10">
        <f>Daily_Data!A2684</f>
        <v>40282</v>
      </c>
      <c r="B2684" s="11">
        <f>Daily_Data!J2684</f>
        <v>15.59</v>
      </c>
      <c r="C2684" s="11">
        <f>Daily_Data!I2684</f>
        <v>2.7</v>
      </c>
      <c r="D2684" s="12">
        <f>if(sum(Daily_Data!K2684:L2684)&gt;0,1,0)</f>
        <v>1</v>
      </c>
    </row>
    <row r="2685">
      <c r="A2685" s="10">
        <f>Daily_Data!A2685</f>
        <v>40283</v>
      </c>
      <c r="B2685" s="11">
        <f>Daily_Data!J2685</f>
        <v>15.89</v>
      </c>
      <c r="C2685" s="11">
        <f>Daily_Data!I2685</f>
        <v>2.7</v>
      </c>
      <c r="D2685" s="12">
        <f>if(sum(Daily_Data!K2685:L2685)&gt;0,1,0)</f>
        <v>0</v>
      </c>
    </row>
    <row r="2686">
      <c r="A2686" s="10">
        <f>Daily_Data!A2686</f>
        <v>40284</v>
      </c>
      <c r="B2686" s="11">
        <f>Daily_Data!J2686</f>
        <v>18.36</v>
      </c>
      <c r="C2686" s="11">
        <f>Daily_Data!I2686</f>
        <v>2.76</v>
      </c>
      <c r="D2686" s="12">
        <f>if(sum(Daily_Data!K2686:L2686)&gt;0,1,0)</f>
        <v>0</v>
      </c>
    </row>
    <row r="2687">
      <c r="A2687" s="10">
        <f>Daily_Data!A2687</f>
        <v>40287</v>
      </c>
      <c r="B2687" s="11">
        <f>Daily_Data!J2687</f>
        <v>17.34</v>
      </c>
      <c r="C2687" s="11">
        <f>Daily_Data!I2687</f>
        <v>2.71</v>
      </c>
      <c r="D2687" s="12">
        <f>if(sum(Daily_Data!K2687:L2687)&gt;0,1,0)</f>
        <v>0</v>
      </c>
    </row>
    <row r="2688">
      <c r="A2688" s="10">
        <f>Daily_Data!A2688</f>
        <v>40288</v>
      </c>
      <c r="B2688" s="11">
        <f>Daily_Data!J2688</f>
        <v>15.73</v>
      </c>
      <c r="C2688" s="11">
        <f>Daily_Data!I2688</f>
        <v>2.63</v>
      </c>
      <c r="D2688" s="12">
        <f>if(sum(Daily_Data!K2688:L2688)&gt;0,1,0)</f>
        <v>0</v>
      </c>
    </row>
    <row r="2689">
      <c r="A2689" s="10">
        <f>Daily_Data!A2689</f>
        <v>40289</v>
      </c>
      <c r="B2689" s="11">
        <f>Daily_Data!J2689</f>
        <v>16.32</v>
      </c>
      <c r="C2689" s="11">
        <f>Daily_Data!I2689</f>
        <v>2.68</v>
      </c>
      <c r="D2689" s="12">
        <f>if(sum(Daily_Data!K2689:L2689)&gt;0,1,0)</f>
        <v>0</v>
      </c>
    </row>
    <row r="2690">
      <c r="A2690" s="10">
        <f>Daily_Data!A2690</f>
        <v>40290</v>
      </c>
      <c r="B2690" s="11">
        <f>Daily_Data!J2690</f>
        <v>16.47</v>
      </c>
      <c r="C2690" s="11">
        <f>Daily_Data!I2690</f>
        <v>2.69</v>
      </c>
      <c r="D2690" s="12">
        <f>if(sum(Daily_Data!K2690:L2690)&gt;0,1,0)</f>
        <v>0</v>
      </c>
    </row>
    <row r="2691">
      <c r="A2691" s="10">
        <f>Daily_Data!A2691</f>
        <v>40291</v>
      </c>
      <c r="B2691" s="11">
        <f>Daily_Data!J2691</f>
        <v>16.62</v>
      </c>
      <c r="C2691" s="11">
        <f>Daily_Data!I2691</f>
        <v>2.69</v>
      </c>
      <c r="D2691" s="12">
        <f>if(sum(Daily_Data!K2691:L2691)&gt;0,1,0)</f>
        <v>0</v>
      </c>
    </row>
    <row r="2692">
      <c r="A2692" s="10">
        <f>Daily_Data!A2692</f>
        <v>40294</v>
      </c>
      <c r="B2692" s="11">
        <f>Daily_Data!J2692</f>
        <v>17.47</v>
      </c>
      <c r="C2692" s="11">
        <f>Daily_Data!I2692</f>
        <v>2.68</v>
      </c>
      <c r="D2692" s="12">
        <f>if(sum(Daily_Data!K2692:L2692)&gt;0,1,0)</f>
        <v>0</v>
      </c>
    </row>
    <row r="2693">
      <c r="A2693" s="10">
        <f>Daily_Data!A2693</f>
        <v>40295</v>
      </c>
      <c r="B2693" s="11">
        <f>Daily_Data!J2693</f>
        <v>22.81</v>
      </c>
      <c r="C2693" s="11">
        <f>Daily_Data!I2693</f>
        <v>2.76</v>
      </c>
      <c r="D2693" s="12">
        <f>if(sum(Daily_Data!K2693:L2693)&gt;0,1,0)</f>
        <v>0</v>
      </c>
    </row>
    <row r="2694">
      <c r="A2694" s="10">
        <f>Daily_Data!A2694</f>
        <v>40296</v>
      </c>
      <c r="B2694" s="11">
        <f>Daily_Data!J2694</f>
        <v>21.08</v>
      </c>
      <c r="C2694" s="11">
        <f>Daily_Data!I2694</f>
        <v>2.75</v>
      </c>
      <c r="D2694" s="12">
        <f>if(sum(Daily_Data!K2694:L2694)&gt;0,1,0)</f>
        <v>0</v>
      </c>
    </row>
    <row r="2695">
      <c r="A2695" s="10">
        <f>Daily_Data!A2695</f>
        <v>40297</v>
      </c>
      <c r="B2695" s="11">
        <f>Daily_Data!J2695</f>
        <v>18.44</v>
      </c>
      <c r="C2695" s="11">
        <f>Daily_Data!I2695</f>
        <v>2.84</v>
      </c>
      <c r="D2695" s="12">
        <f>if(sum(Daily_Data!K2695:L2695)&gt;0,1,0)</f>
        <v>0</v>
      </c>
    </row>
    <row r="2696">
      <c r="A2696" s="10">
        <f>Daily_Data!A2696</f>
        <v>40298</v>
      </c>
      <c r="B2696" s="11">
        <f>Daily_Data!J2696</f>
        <v>22.05</v>
      </c>
      <c r="C2696" s="11">
        <f>Daily_Data!I2696</f>
        <v>2.86</v>
      </c>
      <c r="D2696" s="12">
        <f>if(sum(Daily_Data!K2696:L2696)&gt;0,1,0)</f>
        <v>0</v>
      </c>
    </row>
    <row r="2697">
      <c r="A2697" s="10">
        <f>Daily_Data!A2697</f>
        <v>40301</v>
      </c>
      <c r="B2697" s="11">
        <f>Daily_Data!J2697</f>
        <v>20.19</v>
      </c>
      <c r="C2697" s="11">
        <f>Daily_Data!I2697</f>
        <v>2.89</v>
      </c>
      <c r="D2697" s="12">
        <f>if(sum(Daily_Data!K2697:L2697)&gt;0,1,0)</f>
        <v>0</v>
      </c>
    </row>
    <row r="2698">
      <c r="A2698" s="10">
        <f>Daily_Data!A2698</f>
        <v>40302</v>
      </c>
      <c r="B2698" s="11">
        <f>Daily_Data!J2698</f>
        <v>23.84</v>
      </c>
      <c r="C2698" s="11">
        <f>Daily_Data!I2698</f>
        <v>2.96</v>
      </c>
      <c r="D2698" s="12">
        <f>if(sum(Daily_Data!K2698:L2698)&gt;0,1,0)</f>
        <v>0</v>
      </c>
    </row>
    <row r="2699">
      <c r="A2699" s="10">
        <f>Daily_Data!A2699</f>
        <v>40303</v>
      </c>
      <c r="B2699" s="11">
        <f>Daily_Data!J2699</f>
        <v>24.91</v>
      </c>
      <c r="C2699" s="11">
        <f>Daily_Data!I2699</f>
        <v>3</v>
      </c>
      <c r="D2699" s="12">
        <f>if(sum(Daily_Data!K2699:L2699)&gt;0,1,0)</f>
        <v>0</v>
      </c>
    </row>
    <row r="2700">
      <c r="A2700" s="10">
        <f>Daily_Data!A2700</f>
        <v>40304</v>
      </c>
      <c r="B2700" s="11">
        <f>Daily_Data!J2700</f>
        <v>32.8</v>
      </c>
      <c r="C2700" s="11">
        <f>Daily_Data!I2700</f>
        <v>3.32</v>
      </c>
      <c r="D2700" s="12">
        <f>if(sum(Daily_Data!K2700:L2700)&gt;0,1,0)</f>
        <v>0</v>
      </c>
    </row>
    <row r="2701">
      <c r="A2701" s="10">
        <f>Daily_Data!A2701</f>
        <v>40305</v>
      </c>
      <c r="B2701" s="11">
        <f>Daily_Data!J2701</f>
        <v>40.95</v>
      </c>
      <c r="C2701" s="11">
        <f>Daily_Data!I2701</f>
        <v>3.07</v>
      </c>
      <c r="D2701" s="12">
        <f>if(sum(Daily_Data!K2701:L2701)&gt;0,1,0)</f>
        <v>1</v>
      </c>
    </row>
    <row r="2702">
      <c r="A2702" s="10">
        <f>Daily_Data!A2702</f>
        <v>40308</v>
      </c>
      <c r="B2702" s="11">
        <f>Daily_Data!J2702</f>
        <v>28.84</v>
      </c>
      <c r="C2702" s="11">
        <f>Daily_Data!I2702</f>
        <v>3.09</v>
      </c>
      <c r="D2702" s="12">
        <f>if(sum(Daily_Data!K2702:L2702)&gt;0,1,0)</f>
        <v>0</v>
      </c>
    </row>
    <row r="2703">
      <c r="A2703" s="10">
        <f>Daily_Data!A2703</f>
        <v>40309</v>
      </c>
      <c r="B2703" s="11">
        <f>Daily_Data!J2703</f>
        <v>28.32</v>
      </c>
      <c r="C2703" s="11">
        <f>Daily_Data!I2703</f>
        <v>3.13</v>
      </c>
      <c r="D2703" s="12">
        <f>if(sum(Daily_Data!K2703:L2703)&gt;0,1,0)</f>
        <v>0</v>
      </c>
    </row>
    <row r="2704">
      <c r="A2704" s="10">
        <f>Daily_Data!A2704</f>
        <v>40310</v>
      </c>
      <c r="B2704" s="11">
        <f>Daily_Data!J2704</f>
        <v>25.52</v>
      </c>
      <c r="C2704" s="11">
        <f>Daily_Data!I2704</f>
        <v>3.06</v>
      </c>
      <c r="D2704" s="12">
        <f>if(sum(Daily_Data!K2704:L2704)&gt;0,1,0)</f>
        <v>0</v>
      </c>
    </row>
    <row r="2705">
      <c r="A2705" s="10">
        <f>Daily_Data!A2705</f>
        <v>40311</v>
      </c>
      <c r="B2705" s="11">
        <f>Daily_Data!J2705</f>
        <v>26.68</v>
      </c>
      <c r="C2705" s="11">
        <f>Daily_Data!I2705</f>
        <v>3.09</v>
      </c>
      <c r="D2705" s="12">
        <f>if(sum(Daily_Data!K2705:L2705)&gt;0,1,0)</f>
        <v>0</v>
      </c>
    </row>
    <row r="2706">
      <c r="A2706" s="10">
        <f>Daily_Data!A2706</f>
        <v>40312</v>
      </c>
      <c r="B2706" s="11">
        <f>Daily_Data!J2706</f>
        <v>31.24</v>
      </c>
      <c r="C2706" s="11">
        <f>Daily_Data!I2706</f>
        <v>3.15</v>
      </c>
      <c r="D2706" s="12">
        <f>if(sum(Daily_Data!K2706:L2706)&gt;0,1,0)</f>
        <v>0</v>
      </c>
    </row>
    <row r="2707">
      <c r="A2707" s="10">
        <f>Daily_Data!A2707</f>
        <v>40315</v>
      </c>
      <c r="B2707" s="11">
        <f>Daily_Data!J2707</f>
        <v>30.84</v>
      </c>
      <c r="C2707" s="11">
        <f>Daily_Data!I2707</f>
        <v>3.09</v>
      </c>
      <c r="D2707" s="12">
        <f>if(sum(Daily_Data!K2707:L2707)&gt;0,1,0)</f>
        <v>0</v>
      </c>
    </row>
    <row r="2708">
      <c r="A2708" s="10">
        <f>Daily_Data!A2708</f>
        <v>40316</v>
      </c>
      <c r="B2708" s="11">
        <f>Daily_Data!J2708</f>
        <v>33.55</v>
      </c>
      <c r="C2708" s="11">
        <f>Daily_Data!I2708</f>
        <v>3.14</v>
      </c>
      <c r="D2708" s="12">
        <f>if(sum(Daily_Data!K2708:L2708)&gt;0,1,0)</f>
        <v>0</v>
      </c>
    </row>
    <row r="2709">
      <c r="A2709" s="10">
        <f>Daily_Data!A2709</f>
        <v>40317</v>
      </c>
      <c r="B2709" s="11">
        <f>Daily_Data!J2709</f>
        <v>35.32</v>
      </c>
      <c r="C2709" s="11">
        <f>Daily_Data!I2709</f>
        <v>2.95</v>
      </c>
      <c r="D2709" s="12">
        <f>if(sum(Daily_Data!K2709:L2709)&gt;0,1,0)</f>
        <v>1</v>
      </c>
    </row>
    <row r="2710">
      <c r="A2710" s="10">
        <f>Daily_Data!A2710</f>
        <v>40318</v>
      </c>
      <c r="B2710" s="11">
        <f>Daily_Data!J2710</f>
        <v>45.79</v>
      </c>
      <c r="C2710" s="11">
        <f>Daily_Data!I2710</f>
        <v>2.99</v>
      </c>
      <c r="D2710" s="12">
        <f>if(sum(Daily_Data!K2710:L2710)&gt;0,1,0)</f>
        <v>0</v>
      </c>
    </row>
    <row r="2711">
      <c r="A2711" s="10">
        <f>Daily_Data!A2711</f>
        <v>40319</v>
      </c>
      <c r="B2711" s="11">
        <f>Daily_Data!J2711</f>
        <v>40.1</v>
      </c>
      <c r="C2711" s="11">
        <f>Daily_Data!I2711</f>
        <v>2.89</v>
      </c>
      <c r="D2711" s="12">
        <f>if(sum(Daily_Data!K2711:L2711)&gt;0,1,0)</f>
        <v>0</v>
      </c>
    </row>
    <row r="2712">
      <c r="A2712" s="10">
        <f>Daily_Data!A2712</f>
        <v>40322</v>
      </c>
      <c r="B2712" s="11">
        <f>Daily_Data!J2712</f>
        <v>38.32</v>
      </c>
      <c r="C2712" s="11">
        <f>Daily_Data!I2712</f>
        <v>2.94</v>
      </c>
      <c r="D2712" s="12">
        <f>if(sum(Daily_Data!K2712:L2712)&gt;0,1,0)</f>
        <v>0</v>
      </c>
    </row>
    <row r="2713">
      <c r="A2713" s="10">
        <f>Daily_Data!A2713</f>
        <v>40323</v>
      </c>
      <c r="B2713" s="11">
        <f>Daily_Data!J2713</f>
        <v>34.61</v>
      </c>
      <c r="C2713" s="11">
        <f>Daily_Data!I2713</f>
        <v>2.85</v>
      </c>
      <c r="D2713" s="12">
        <f>if(sum(Daily_Data!K2713:L2713)&gt;0,1,0)</f>
        <v>0</v>
      </c>
    </row>
    <row r="2714">
      <c r="A2714" s="10">
        <f>Daily_Data!A2714</f>
        <v>40324</v>
      </c>
      <c r="B2714" s="11">
        <f>Daily_Data!J2714</f>
        <v>35.02</v>
      </c>
      <c r="C2714" s="11">
        <f>Daily_Data!I2714</f>
        <v>2.83</v>
      </c>
      <c r="D2714" s="12">
        <f>if(sum(Daily_Data!K2714:L2714)&gt;0,1,0)</f>
        <v>0</v>
      </c>
    </row>
    <row r="2715">
      <c r="A2715" s="10">
        <f>Daily_Data!A2715</f>
        <v>40325</v>
      </c>
      <c r="B2715" s="11">
        <f>Daily_Data!J2715</f>
        <v>29.68</v>
      </c>
      <c r="C2715" s="11">
        <f>Daily_Data!I2715</f>
        <v>2.76</v>
      </c>
      <c r="D2715" s="12">
        <f>if(sum(Daily_Data!K2715:L2715)&gt;0,1,0)</f>
        <v>0</v>
      </c>
    </row>
    <row r="2716">
      <c r="A2716" s="10">
        <f>Daily_Data!A2716</f>
        <v>40326</v>
      </c>
      <c r="B2716" s="11">
        <f>Daily_Data!J2716</f>
        <v>32.07</v>
      </c>
      <c r="C2716" s="11">
        <f>Daily_Data!I2716</f>
        <v>2.96</v>
      </c>
      <c r="D2716" s="12">
        <f>if(sum(Daily_Data!K2716:L2716)&gt;0,1,0)</f>
        <v>0</v>
      </c>
    </row>
    <row r="2717">
      <c r="A2717" s="10">
        <f>Daily_Data!A2717</f>
        <v>40329</v>
      </c>
      <c r="B2717" s="11" t="str">
        <f>Daily_Data!J2717</f>
        <v/>
      </c>
      <c r="C2717" s="11" t="str">
        <f>Daily_Data!I2717</f>
        <v/>
      </c>
      <c r="D2717" s="12">
        <f>if(sum(Daily_Data!K2717:L2717)&gt;0,1,0)</f>
        <v>0</v>
      </c>
    </row>
    <row r="2718">
      <c r="A2718" s="10">
        <f>Daily_Data!A2718</f>
        <v>40330</v>
      </c>
      <c r="B2718" s="11">
        <f>Daily_Data!J2718</f>
        <v>35.54</v>
      </c>
      <c r="C2718" s="11">
        <f>Daily_Data!I2718</f>
        <v>2.93</v>
      </c>
      <c r="D2718" s="12">
        <f>if(sum(Daily_Data!K2718:L2718)&gt;0,1,0)</f>
        <v>0</v>
      </c>
    </row>
    <row r="2719">
      <c r="A2719" s="10">
        <f>Daily_Data!A2719</f>
        <v>40331</v>
      </c>
      <c r="B2719" s="11">
        <f>Daily_Data!J2719</f>
        <v>30.17</v>
      </c>
      <c r="C2719" s="11">
        <f>Daily_Data!I2719</f>
        <v>2.88</v>
      </c>
      <c r="D2719" s="12">
        <f>if(sum(Daily_Data!K2719:L2719)&gt;0,1,0)</f>
        <v>0</v>
      </c>
    </row>
    <row r="2720">
      <c r="A2720" s="10">
        <f>Daily_Data!A2720</f>
        <v>40332</v>
      </c>
      <c r="B2720" s="11">
        <f>Daily_Data!J2720</f>
        <v>29.46</v>
      </c>
      <c r="C2720" s="11">
        <f>Daily_Data!I2720</f>
        <v>2.95</v>
      </c>
      <c r="D2720" s="12">
        <f>if(sum(Daily_Data!K2720:L2720)&gt;0,1,0)</f>
        <v>0</v>
      </c>
    </row>
    <row r="2721">
      <c r="A2721" s="10">
        <f>Daily_Data!A2721</f>
        <v>40333</v>
      </c>
      <c r="B2721" s="11">
        <f>Daily_Data!J2721</f>
        <v>35.48</v>
      </c>
      <c r="C2721" s="11">
        <f>Daily_Data!I2721</f>
        <v>3.09</v>
      </c>
      <c r="D2721" s="12">
        <f>if(sum(Daily_Data!K2721:L2721)&gt;0,1,0)</f>
        <v>1</v>
      </c>
    </row>
    <row r="2722">
      <c r="A2722" s="10">
        <f>Daily_Data!A2722</f>
        <v>40336</v>
      </c>
      <c r="B2722" s="11">
        <f>Daily_Data!J2722</f>
        <v>36.57</v>
      </c>
      <c r="C2722" s="11" t="str">
        <f>Daily_Data!I2722</f>
        <v/>
      </c>
      <c r="D2722" s="12">
        <f>if(sum(Daily_Data!K2722:L2722)&gt;0,1,0)</f>
        <v>0</v>
      </c>
    </row>
    <row r="2723">
      <c r="A2723" s="10">
        <f>Daily_Data!A2723</f>
        <v>40337</v>
      </c>
      <c r="B2723" s="11">
        <f>Daily_Data!J2723</f>
        <v>33.7</v>
      </c>
      <c r="C2723" s="11">
        <f>Daily_Data!I2723</f>
        <v>2.94</v>
      </c>
      <c r="D2723" s="12">
        <f>if(sum(Daily_Data!K2723:L2723)&gt;0,1,0)</f>
        <v>0</v>
      </c>
    </row>
    <row r="2724">
      <c r="A2724" s="10">
        <f>Daily_Data!A2724</f>
        <v>40338</v>
      </c>
      <c r="B2724" s="11">
        <f>Daily_Data!J2724</f>
        <v>33.73</v>
      </c>
      <c r="C2724" s="11">
        <f>Daily_Data!I2724</f>
        <v>2.96</v>
      </c>
      <c r="D2724" s="12">
        <f>if(sum(Daily_Data!K2724:L2724)&gt;0,1,0)</f>
        <v>0</v>
      </c>
    </row>
    <row r="2725">
      <c r="A2725" s="10">
        <f>Daily_Data!A2725</f>
        <v>40339</v>
      </c>
      <c r="B2725" s="11">
        <f>Daily_Data!J2725</f>
        <v>30.57</v>
      </c>
      <c r="C2725" s="11">
        <f>Daily_Data!I2725</f>
        <v>2.95</v>
      </c>
      <c r="D2725" s="12">
        <f>if(sum(Daily_Data!K2725:L2725)&gt;0,1,0)</f>
        <v>0</v>
      </c>
    </row>
    <row r="2726">
      <c r="A2726" s="10">
        <f>Daily_Data!A2726</f>
        <v>40340</v>
      </c>
      <c r="B2726" s="11">
        <f>Daily_Data!J2726</f>
        <v>28.79</v>
      </c>
      <c r="C2726" s="11">
        <f>Daily_Data!I2726</f>
        <v>3.01</v>
      </c>
      <c r="D2726" s="12">
        <f>if(sum(Daily_Data!K2726:L2726)&gt;0,1,0)</f>
        <v>0</v>
      </c>
    </row>
    <row r="2727">
      <c r="A2727" s="10">
        <f>Daily_Data!A2727</f>
        <v>40343</v>
      </c>
      <c r="B2727" s="11">
        <f>Daily_Data!J2727</f>
        <v>28.58</v>
      </c>
      <c r="C2727" s="11">
        <f>Daily_Data!I2727</f>
        <v>2.99</v>
      </c>
      <c r="D2727" s="12">
        <f>if(sum(Daily_Data!K2727:L2727)&gt;0,1,0)</f>
        <v>0</v>
      </c>
    </row>
    <row r="2728">
      <c r="A2728" s="10">
        <f>Daily_Data!A2728</f>
        <v>40344</v>
      </c>
      <c r="B2728" s="11">
        <f>Daily_Data!J2728</f>
        <v>25.87</v>
      </c>
      <c r="C2728" s="11">
        <f>Daily_Data!I2728</f>
        <v>2.94</v>
      </c>
      <c r="D2728" s="12">
        <f>if(sum(Daily_Data!K2728:L2728)&gt;0,1,0)</f>
        <v>0</v>
      </c>
    </row>
    <row r="2729">
      <c r="A2729" s="10">
        <f>Daily_Data!A2729</f>
        <v>40345</v>
      </c>
      <c r="B2729" s="11">
        <f>Daily_Data!J2729</f>
        <v>25.92</v>
      </c>
      <c r="C2729" s="11">
        <f>Daily_Data!I2729</f>
        <v>3.03</v>
      </c>
      <c r="D2729" s="12">
        <f>if(sum(Daily_Data!K2729:L2729)&gt;0,1,0)</f>
        <v>0</v>
      </c>
    </row>
    <row r="2730">
      <c r="A2730" s="10">
        <f>Daily_Data!A2730</f>
        <v>40346</v>
      </c>
      <c r="B2730" s="11">
        <f>Daily_Data!J2730</f>
        <v>25.05</v>
      </c>
      <c r="C2730" s="11">
        <f>Daily_Data!I2730</f>
        <v>3.06</v>
      </c>
      <c r="D2730" s="12">
        <f>if(sum(Daily_Data!K2730:L2730)&gt;0,1,0)</f>
        <v>1</v>
      </c>
    </row>
    <row r="2731">
      <c r="A2731" s="10">
        <f>Daily_Data!A2731</f>
        <v>40347</v>
      </c>
      <c r="B2731" s="11">
        <f>Daily_Data!J2731</f>
        <v>23.95</v>
      </c>
      <c r="C2731" s="11">
        <f>Daily_Data!I2731</f>
        <v>3.03</v>
      </c>
      <c r="D2731" s="12">
        <f>if(sum(Daily_Data!K2731:L2731)&gt;0,1,0)</f>
        <v>0</v>
      </c>
    </row>
    <row r="2732">
      <c r="A2732" s="10">
        <f>Daily_Data!A2732</f>
        <v>40350</v>
      </c>
      <c r="B2732" s="11">
        <f>Daily_Data!J2732</f>
        <v>24.88</v>
      </c>
      <c r="C2732" s="11">
        <f>Daily_Data!I2732</f>
        <v>3.06</v>
      </c>
      <c r="D2732" s="12">
        <f>if(sum(Daily_Data!K2732:L2732)&gt;0,1,0)</f>
        <v>0</v>
      </c>
    </row>
    <row r="2733">
      <c r="A2733" s="10">
        <f>Daily_Data!A2733</f>
        <v>40351</v>
      </c>
      <c r="B2733" s="11">
        <f>Daily_Data!J2733</f>
        <v>27.05</v>
      </c>
      <c r="C2733" s="11">
        <f>Daily_Data!I2733</f>
        <v>3.1</v>
      </c>
      <c r="D2733" s="12">
        <f>if(sum(Daily_Data!K2733:L2733)&gt;0,1,0)</f>
        <v>0</v>
      </c>
    </row>
    <row r="2734">
      <c r="A2734" s="10">
        <f>Daily_Data!A2734</f>
        <v>40352</v>
      </c>
      <c r="B2734" s="11">
        <f>Daily_Data!J2734</f>
        <v>26.91</v>
      </c>
      <c r="C2734" s="11">
        <f>Daily_Data!I2734</f>
        <v>3.12</v>
      </c>
      <c r="D2734" s="12">
        <f>if(sum(Daily_Data!K2734:L2734)&gt;0,1,0)</f>
        <v>0</v>
      </c>
    </row>
    <row r="2735">
      <c r="A2735" s="10">
        <f>Daily_Data!A2735</f>
        <v>40353</v>
      </c>
      <c r="B2735" s="11">
        <f>Daily_Data!J2735</f>
        <v>29.74</v>
      </c>
      <c r="C2735" s="11">
        <f>Daily_Data!I2735</f>
        <v>3.12</v>
      </c>
      <c r="D2735" s="12">
        <f>if(sum(Daily_Data!K2735:L2735)&gt;0,1,0)</f>
        <v>0</v>
      </c>
    </row>
    <row r="2736">
      <c r="A2736" s="10">
        <f>Daily_Data!A2736</f>
        <v>40354</v>
      </c>
      <c r="B2736" s="11">
        <f>Daily_Data!J2736</f>
        <v>28.53</v>
      </c>
      <c r="C2736" s="11">
        <f>Daily_Data!I2736</f>
        <v>3.13</v>
      </c>
      <c r="D2736" s="12">
        <f>if(sum(Daily_Data!K2736:L2736)&gt;0,1,0)</f>
        <v>0</v>
      </c>
    </row>
    <row r="2737">
      <c r="A2737" s="10">
        <f>Daily_Data!A2737</f>
        <v>40357</v>
      </c>
      <c r="B2737" s="11">
        <f>Daily_Data!J2737</f>
        <v>29</v>
      </c>
      <c r="C2737" s="11">
        <f>Daily_Data!I2737</f>
        <v>3.16</v>
      </c>
      <c r="D2737" s="12">
        <f>if(sum(Daily_Data!K2737:L2737)&gt;0,1,0)</f>
        <v>0</v>
      </c>
    </row>
    <row r="2738">
      <c r="A2738" s="10">
        <f>Daily_Data!A2738</f>
        <v>40358</v>
      </c>
      <c r="B2738" s="11">
        <f>Daily_Data!J2738</f>
        <v>34.13</v>
      </c>
      <c r="C2738" s="11">
        <f>Daily_Data!I2738</f>
        <v>3.13</v>
      </c>
      <c r="D2738" s="12">
        <f>if(sum(Daily_Data!K2738:L2738)&gt;0,1,0)</f>
        <v>0</v>
      </c>
    </row>
    <row r="2739">
      <c r="A2739" s="10">
        <f>Daily_Data!A2739</f>
        <v>40359</v>
      </c>
      <c r="B2739" s="11">
        <f>Daily_Data!J2739</f>
        <v>34.54</v>
      </c>
      <c r="C2739" s="11">
        <f>Daily_Data!I2739</f>
        <v>3.08</v>
      </c>
      <c r="D2739" s="12">
        <f>if(sum(Daily_Data!K2739:L2739)&gt;0,1,0)</f>
        <v>0</v>
      </c>
    </row>
    <row r="2740">
      <c r="A2740" s="10">
        <f>Daily_Data!A2740</f>
        <v>40360</v>
      </c>
      <c r="B2740" s="11">
        <f>Daily_Data!J2740</f>
        <v>32.86</v>
      </c>
      <c r="C2740" s="11">
        <f>Daily_Data!I2740</f>
        <v>3.05</v>
      </c>
      <c r="D2740" s="12">
        <f>if(sum(Daily_Data!K2740:L2740)&gt;0,1,0)</f>
        <v>0</v>
      </c>
    </row>
    <row r="2741">
      <c r="A2741" s="10">
        <f>Daily_Data!A2741</f>
        <v>40361</v>
      </c>
      <c r="B2741" s="11">
        <f>Daily_Data!J2741</f>
        <v>30.12</v>
      </c>
      <c r="C2741" s="11">
        <f>Daily_Data!I2741</f>
        <v>3.1</v>
      </c>
      <c r="D2741" s="12">
        <f>if(sum(Daily_Data!K2741:L2741)&gt;0,1,0)</f>
        <v>1</v>
      </c>
    </row>
    <row r="2742">
      <c r="A2742" s="10">
        <f>Daily_Data!A2742</f>
        <v>40364</v>
      </c>
      <c r="B2742" s="11" t="str">
        <f>Daily_Data!J2742</f>
        <v/>
      </c>
      <c r="C2742" s="11" t="str">
        <f>Daily_Data!I2742</f>
        <v/>
      </c>
      <c r="D2742" s="12">
        <f>if(sum(Daily_Data!K2742:L2742)&gt;0,1,0)</f>
        <v>0</v>
      </c>
    </row>
    <row r="2743">
      <c r="A2743" s="10">
        <f>Daily_Data!A2743</f>
        <v>40365</v>
      </c>
      <c r="B2743" s="11">
        <f>Daily_Data!J2743</f>
        <v>29.65</v>
      </c>
      <c r="C2743" s="11">
        <f>Daily_Data!I2743</f>
        <v>3.11</v>
      </c>
      <c r="D2743" s="12">
        <f>if(sum(Daily_Data!K2743:L2743)&gt;0,1,0)</f>
        <v>0</v>
      </c>
    </row>
    <row r="2744">
      <c r="A2744" s="10">
        <f>Daily_Data!A2744</f>
        <v>40366</v>
      </c>
      <c r="B2744" s="11">
        <f>Daily_Data!J2744</f>
        <v>26.84</v>
      </c>
      <c r="C2744" s="11">
        <f>Daily_Data!I2744</f>
        <v>3.09</v>
      </c>
      <c r="D2744" s="12">
        <f>if(sum(Daily_Data!K2744:L2744)&gt;0,1,0)</f>
        <v>0</v>
      </c>
    </row>
    <row r="2745">
      <c r="A2745" s="10">
        <f>Daily_Data!A2745</f>
        <v>40367</v>
      </c>
      <c r="B2745" s="11">
        <f>Daily_Data!J2745</f>
        <v>25.71</v>
      </c>
      <c r="C2745" s="11">
        <f>Daily_Data!I2745</f>
        <v>3.1</v>
      </c>
      <c r="D2745" s="12">
        <f>if(sum(Daily_Data!K2745:L2745)&gt;0,1,0)</f>
        <v>0</v>
      </c>
    </row>
    <row r="2746">
      <c r="A2746" s="10">
        <f>Daily_Data!A2746</f>
        <v>40368</v>
      </c>
      <c r="B2746" s="11">
        <f>Daily_Data!J2746</f>
        <v>24.98</v>
      </c>
      <c r="C2746" s="11">
        <f>Daily_Data!I2746</f>
        <v>3.12</v>
      </c>
      <c r="D2746" s="12">
        <f>if(sum(Daily_Data!K2746:L2746)&gt;0,1,0)</f>
        <v>0</v>
      </c>
    </row>
    <row r="2747">
      <c r="A2747" s="10">
        <f>Daily_Data!A2747</f>
        <v>40371</v>
      </c>
      <c r="B2747" s="11">
        <f>Daily_Data!J2747</f>
        <v>24.43</v>
      </c>
      <c r="C2747" s="11">
        <f>Daily_Data!I2747</f>
        <v>3.11</v>
      </c>
      <c r="D2747" s="12">
        <f>if(sum(Daily_Data!K2747:L2747)&gt;0,1,0)</f>
        <v>0</v>
      </c>
    </row>
    <row r="2748">
      <c r="A2748" s="10">
        <f>Daily_Data!A2748</f>
        <v>40372</v>
      </c>
      <c r="B2748" s="11">
        <f>Daily_Data!J2748</f>
        <v>24.56</v>
      </c>
      <c r="C2748" s="11">
        <f>Daily_Data!I2748</f>
        <v>3.11</v>
      </c>
      <c r="D2748" s="12">
        <f>if(sum(Daily_Data!K2748:L2748)&gt;0,1,0)</f>
        <v>0</v>
      </c>
    </row>
    <row r="2749">
      <c r="A2749" s="10">
        <f>Daily_Data!A2749</f>
        <v>40373</v>
      </c>
      <c r="B2749" s="11">
        <f>Daily_Data!J2749</f>
        <v>24.89</v>
      </c>
      <c r="C2749" s="11">
        <f>Daily_Data!I2749</f>
        <v>3.18</v>
      </c>
      <c r="D2749" s="12">
        <f>if(sum(Daily_Data!K2749:L2749)&gt;0,1,0)</f>
        <v>0</v>
      </c>
    </row>
    <row r="2750">
      <c r="A2750" s="10">
        <f>Daily_Data!A2750</f>
        <v>40374</v>
      </c>
      <c r="B2750" s="11">
        <f>Daily_Data!J2750</f>
        <v>25.14</v>
      </c>
      <c r="C2750" s="11">
        <f>Daily_Data!I2750</f>
        <v>3.19</v>
      </c>
      <c r="D2750" s="12">
        <f>if(sum(Daily_Data!K2750:L2750)&gt;0,1,0)</f>
        <v>0</v>
      </c>
    </row>
    <row r="2751">
      <c r="A2751" s="10">
        <f>Daily_Data!A2751</f>
        <v>40375</v>
      </c>
      <c r="B2751" s="11">
        <f>Daily_Data!J2751</f>
        <v>26.25</v>
      </c>
      <c r="C2751" s="11">
        <f>Daily_Data!I2751</f>
        <v>3.14</v>
      </c>
      <c r="D2751" s="12">
        <f>if(sum(Daily_Data!K2751:L2751)&gt;0,1,0)</f>
        <v>1</v>
      </c>
    </row>
    <row r="2752">
      <c r="A2752" s="10">
        <f>Daily_Data!A2752</f>
        <v>40378</v>
      </c>
      <c r="B2752" s="11">
        <f>Daily_Data!J2752</f>
        <v>25.97</v>
      </c>
      <c r="C2752" s="11">
        <f>Daily_Data!I2752</f>
        <v>3.12</v>
      </c>
      <c r="D2752" s="12">
        <f>if(sum(Daily_Data!K2752:L2752)&gt;0,1,0)</f>
        <v>0</v>
      </c>
    </row>
    <row r="2753">
      <c r="A2753" s="10">
        <f>Daily_Data!A2753</f>
        <v>40379</v>
      </c>
      <c r="B2753" s="11">
        <f>Daily_Data!J2753</f>
        <v>23.93</v>
      </c>
      <c r="C2753" s="11">
        <f>Daily_Data!I2753</f>
        <v>3.13</v>
      </c>
      <c r="D2753" s="12">
        <f>if(sum(Daily_Data!K2753:L2753)&gt;0,1,0)</f>
        <v>0</v>
      </c>
    </row>
    <row r="2754">
      <c r="A2754" s="10">
        <f>Daily_Data!A2754</f>
        <v>40380</v>
      </c>
      <c r="B2754" s="11">
        <f>Daily_Data!J2754</f>
        <v>25.64</v>
      </c>
      <c r="C2754" s="11">
        <f>Daily_Data!I2754</f>
        <v>3.22</v>
      </c>
      <c r="D2754" s="12">
        <f>if(sum(Daily_Data!K2754:L2754)&gt;0,1,0)</f>
        <v>0</v>
      </c>
    </row>
    <row r="2755">
      <c r="A2755" s="10">
        <f>Daily_Data!A2755</f>
        <v>40381</v>
      </c>
      <c r="B2755" s="11">
        <f>Daily_Data!J2755</f>
        <v>24.63</v>
      </c>
      <c r="C2755" s="11">
        <f>Daily_Data!I2755</f>
        <v>3.19</v>
      </c>
      <c r="D2755" s="12">
        <f>if(sum(Daily_Data!K2755:L2755)&gt;0,1,0)</f>
        <v>0</v>
      </c>
    </row>
    <row r="2756">
      <c r="A2756" s="10">
        <f>Daily_Data!A2756</f>
        <v>40382</v>
      </c>
      <c r="B2756" s="11">
        <f>Daily_Data!J2756</f>
        <v>23.47</v>
      </c>
      <c r="C2756" s="11">
        <f>Daily_Data!I2756</f>
        <v>3.18</v>
      </c>
      <c r="D2756" s="12">
        <f>if(sum(Daily_Data!K2756:L2756)&gt;0,1,0)</f>
        <v>0</v>
      </c>
    </row>
    <row r="2757">
      <c r="A2757" s="10">
        <f>Daily_Data!A2757</f>
        <v>40385</v>
      </c>
      <c r="B2757" s="11">
        <f>Daily_Data!J2757</f>
        <v>22.73</v>
      </c>
      <c r="C2757" s="11">
        <f>Daily_Data!I2757</f>
        <v>3.2</v>
      </c>
      <c r="D2757" s="12">
        <f>if(sum(Daily_Data!K2757:L2757)&gt;0,1,0)</f>
        <v>0</v>
      </c>
    </row>
    <row r="2758">
      <c r="A2758" s="10">
        <f>Daily_Data!A2758</f>
        <v>40386</v>
      </c>
      <c r="B2758" s="11">
        <f>Daily_Data!J2758</f>
        <v>23.19</v>
      </c>
      <c r="C2758" s="11">
        <f>Daily_Data!I2758</f>
        <v>3.15</v>
      </c>
      <c r="D2758" s="12">
        <f>if(sum(Daily_Data!K2758:L2758)&gt;0,1,0)</f>
        <v>0</v>
      </c>
    </row>
    <row r="2759">
      <c r="A2759" s="10">
        <f>Daily_Data!A2759</f>
        <v>40387</v>
      </c>
      <c r="B2759" s="11">
        <f>Daily_Data!J2759</f>
        <v>24.25</v>
      </c>
      <c r="C2759" s="11">
        <f>Daily_Data!I2759</f>
        <v>3.2</v>
      </c>
      <c r="D2759" s="12">
        <f>if(sum(Daily_Data!K2759:L2759)&gt;0,1,0)</f>
        <v>0</v>
      </c>
    </row>
    <row r="2760">
      <c r="A2760" s="10">
        <f>Daily_Data!A2760</f>
        <v>40388</v>
      </c>
      <c r="B2760" s="11">
        <f>Daily_Data!J2760</f>
        <v>24.13</v>
      </c>
      <c r="C2760" s="11">
        <f>Daily_Data!I2760</f>
        <v>3.13</v>
      </c>
      <c r="D2760" s="12">
        <f>if(sum(Daily_Data!K2760:L2760)&gt;0,1,0)</f>
        <v>0</v>
      </c>
    </row>
    <row r="2761">
      <c r="A2761" s="10">
        <f>Daily_Data!A2761</f>
        <v>40389</v>
      </c>
      <c r="B2761" s="11">
        <f>Daily_Data!J2761</f>
        <v>23.5</v>
      </c>
      <c r="C2761" s="11">
        <f>Daily_Data!I2761</f>
        <v>3.1</v>
      </c>
      <c r="D2761" s="12">
        <f>if(sum(Daily_Data!K2761:L2761)&gt;0,1,0)</f>
        <v>0</v>
      </c>
    </row>
    <row r="2762">
      <c r="A2762" s="10">
        <f>Daily_Data!A2762</f>
        <v>40392</v>
      </c>
      <c r="B2762" s="11">
        <f>Daily_Data!J2762</f>
        <v>22.01</v>
      </c>
      <c r="C2762" s="11">
        <f>Daily_Data!I2762</f>
        <v>3.57</v>
      </c>
      <c r="D2762" s="12">
        <f>if(sum(Daily_Data!K2762:L2762)&gt;0,1,0)</f>
        <v>0</v>
      </c>
    </row>
    <row r="2763">
      <c r="A2763" s="10">
        <f>Daily_Data!A2763</f>
        <v>40393</v>
      </c>
      <c r="B2763" s="11">
        <f>Daily_Data!J2763</f>
        <v>22.63</v>
      </c>
      <c r="C2763" s="11">
        <f>Daily_Data!I2763</f>
        <v>3.64</v>
      </c>
      <c r="D2763" s="12">
        <f>if(sum(Daily_Data!K2763:L2763)&gt;0,1,0)</f>
        <v>0</v>
      </c>
    </row>
    <row r="2764">
      <c r="A2764" s="10">
        <f>Daily_Data!A2764</f>
        <v>40394</v>
      </c>
      <c r="B2764" s="11">
        <f>Daily_Data!J2764</f>
        <v>22.21</v>
      </c>
      <c r="C2764" s="11">
        <f>Daily_Data!I2764</f>
        <v>3.59</v>
      </c>
      <c r="D2764" s="12">
        <f>if(sum(Daily_Data!K2764:L2764)&gt;0,1,0)</f>
        <v>0</v>
      </c>
    </row>
    <row r="2765">
      <c r="A2765" s="10">
        <f>Daily_Data!A2765</f>
        <v>40395</v>
      </c>
      <c r="B2765" s="11">
        <f>Daily_Data!J2765</f>
        <v>22.1</v>
      </c>
      <c r="C2765" s="11">
        <f>Daily_Data!I2765</f>
        <v>3.57</v>
      </c>
      <c r="D2765" s="12">
        <f>if(sum(Daily_Data!K2765:L2765)&gt;0,1,0)</f>
        <v>0</v>
      </c>
    </row>
    <row r="2766">
      <c r="A2766" s="10">
        <f>Daily_Data!A2766</f>
        <v>40396</v>
      </c>
      <c r="B2766" s="11">
        <f>Daily_Data!J2766</f>
        <v>21.74</v>
      </c>
      <c r="C2766" s="11">
        <f>Daily_Data!I2766</f>
        <v>3.62</v>
      </c>
      <c r="D2766" s="12">
        <f>if(sum(Daily_Data!K2766:L2766)&gt;0,1,0)</f>
        <v>1</v>
      </c>
    </row>
    <row r="2767">
      <c r="A2767" s="10">
        <f>Daily_Data!A2767</f>
        <v>40399</v>
      </c>
      <c r="B2767" s="11">
        <f>Daily_Data!J2767</f>
        <v>22.14</v>
      </c>
      <c r="C2767" s="11">
        <f>Daily_Data!I2767</f>
        <v>3.57</v>
      </c>
      <c r="D2767" s="12">
        <f>if(sum(Daily_Data!K2767:L2767)&gt;0,1,0)</f>
        <v>0</v>
      </c>
    </row>
    <row r="2768">
      <c r="A2768" s="10">
        <f>Daily_Data!A2768</f>
        <v>40400</v>
      </c>
      <c r="B2768" s="11">
        <f>Daily_Data!J2768</f>
        <v>22.37</v>
      </c>
      <c r="C2768" s="11">
        <f>Daily_Data!I2768</f>
        <v>3.6</v>
      </c>
      <c r="D2768" s="12">
        <f>if(sum(Daily_Data!K2768:L2768)&gt;0,1,0)</f>
        <v>0</v>
      </c>
    </row>
    <row r="2769">
      <c r="A2769" s="10">
        <f>Daily_Data!A2769</f>
        <v>40401</v>
      </c>
      <c r="B2769" s="11">
        <f>Daily_Data!J2769</f>
        <v>25.39</v>
      </c>
      <c r="C2769" s="11">
        <f>Daily_Data!I2769</f>
        <v>3.61</v>
      </c>
      <c r="D2769" s="12">
        <f>if(sum(Daily_Data!K2769:L2769)&gt;0,1,0)</f>
        <v>0</v>
      </c>
    </row>
    <row r="2770">
      <c r="A2770" s="10">
        <f>Daily_Data!A2770</f>
        <v>40402</v>
      </c>
      <c r="B2770" s="11">
        <f>Daily_Data!J2770</f>
        <v>25.73</v>
      </c>
      <c r="C2770" s="11">
        <f>Daily_Data!I2770</f>
        <v>3.51</v>
      </c>
      <c r="D2770" s="12">
        <f>if(sum(Daily_Data!K2770:L2770)&gt;0,1,0)</f>
        <v>0</v>
      </c>
    </row>
    <row r="2771">
      <c r="A2771" s="10">
        <f>Daily_Data!A2771</f>
        <v>40403</v>
      </c>
      <c r="B2771" s="11">
        <f>Daily_Data!J2771</f>
        <v>26.24</v>
      </c>
      <c r="C2771" s="11">
        <f>Daily_Data!I2771</f>
        <v>3.52</v>
      </c>
      <c r="D2771" s="12">
        <f>if(sum(Daily_Data!K2771:L2771)&gt;0,1,0)</f>
        <v>1</v>
      </c>
    </row>
    <row r="2772">
      <c r="A2772" s="10">
        <f>Daily_Data!A2772</f>
        <v>40406</v>
      </c>
      <c r="B2772" s="11">
        <f>Daily_Data!J2772</f>
        <v>26.1</v>
      </c>
      <c r="C2772" s="11">
        <f>Daily_Data!I2772</f>
        <v>3.45</v>
      </c>
      <c r="D2772" s="12">
        <f>if(sum(Daily_Data!K2772:L2772)&gt;0,1,0)</f>
        <v>0</v>
      </c>
    </row>
    <row r="2773">
      <c r="A2773" s="10">
        <f>Daily_Data!A2773</f>
        <v>40407</v>
      </c>
      <c r="B2773" s="11">
        <f>Daily_Data!J2773</f>
        <v>24.33</v>
      </c>
      <c r="C2773" s="11">
        <f>Daily_Data!I2773</f>
        <v>3.4</v>
      </c>
      <c r="D2773" s="12">
        <f>if(sum(Daily_Data!K2773:L2773)&gt;0,1,0)</f>
        <v>0</v>
      </c>
    </row>
    <row r="2774">
      <c r="A2774" s="10">
        <f>Daily_Data!A2774</f>
        <v>40408</v>
      </c>
      <c r="B2774" s="11">
        <f>Daily_Data!J2774</f>
        <v>24.59</v>
      </c>
      <c r="C2774" s="11">
        <f>Daily_Data!I2774</f>
        <v>3.5</v>
      </c>
      <c r="D2774" s="12">
        <f>if(sum(Daily_Data!K2774:L2774)&gt;0,1,0)</f>
        <v>0</v>
      </c>
    </row>
    <row r="2775">
      <c r="A2775" s="10">
        <f>Daily_Data!A2775</f>
        <v>40409</v>
      </c>
      <c r="B2775" s="11">
        <f>Daily_Data!J2775</f>
        <v>26.44</v>
      </c>
      <c r="C2775" s="11">
        <f>Daily_Data!I2775</f>
        <v>3.52</v>
      </c>
      <c r="D2775" s="12">
        <f>if(sum(Daily_Data!K2775:L2775)&gt;0,1,0)</f>
        <v>0</v>
      </c>
    </row>
    <row r="2776">
      <c r="A2776" s="10">
        <f>Daily_Data!A2776</f>
        <v>40410</v>
      </c>
      <c r="B2776" s="11">
        <f>Daily_Data!J2776</f>
        <v>25.49</v>
      </c>
      <c r="C2776" s="11">
        <f>Daily_Data!I2776</f>
        <v>3.49</v>
      </c>
      <c r="D2776" s="12">
        <f>if(sum(Daily_Data!K2776:L2776)&gt;0,1,0)</f>
        <v>0</v>
      </c>
    </row>
    <row r="2777">
      <c r="A2777" s="10">
        <f>Daily_Data!A2777</f>
        <v>40413</v>
      </c>
      <c r="B2777" s="11">
        <f>Daily_Data!J2777</f>
        <v>25.66</v>
      </c>
      <c r="C2777" s="11">
        <f>Daily_Data!I2777</f>
        <v>3.5</v>
      </c>
      <c r="D2777" s="12">
        <f>if(sum(Daily_Data!K2777:L2777)&gt;0,1,0)</f>
        <v>0</v>
      </c>
    </row>
    <row r="2778">
      <c r="A2778" s="10">
        <f>Daily_Data!A2778</f>
        <v>40414</v>
      </c>
      <c r="B2778" s="11">
        <f>Daily_Data!J2778</f>
        <v>27.46</v>
      </c>
      <c r="C2778" s="11">
        <f>Daily_Data!I2778</f>
        <v>3.49</v>
      </c>
      <c r="D2778" s="12">
        <f>if(sum(Daily_Data!K2778:L2778)&gt;0,1,0)</f>
        <v>0</v>
      </c>
    </row>
    <row r="2779">
      <c r="A2779" s="10">
        <f>Daily_Data!A2779</f>
        <v>40415</v>
      </c>
      <c r="B2779" s="11">
        <f>Daily_Data!J2779</f>
        <v>26.7</v>
      </c>
      <c r="C2779" s="11">
        <f>Daily_Data!I2779</f>
        <v>3.43</v>
      </c>
      <c r="D2779" s="12">
        <f>if(sum(Daily_Data!K2779:L2779)&gt;0,1,0)</f>
        <v>0</v>
      </c>
    </row>
    <row r="2780">
      <c r="A2780" s="10">
        <f>Daily_Data!A2780</f>
        <v>40416</v>
      </c>
      <c r="B2780" s="11">
        <f>Daily_Data!J2780</f>
        <v>27.37</v>
      </c>
      <c r="C2780" s="11">
        <f>Daily_Data!I2780</f>
        <v>3.49</v>
      </c>
      <c r="D2780" s="12">
        <f>if(sum(Daily_Data!K2780:L2780)&gt;0,1,0)</f>
        <v>0</v>
      </c>
    </row>
    <row r="2781">
      <c r="A2781" s="10">
        <f>Daily_Data!A2781</f>
        <v>40417</v>
      </c>
      <c r="B2781" s="11">
        <f>Daily_Data!J2781</f>
        <v>24.45</v>
      </c>
      <c r="C2781" s="11">
        <f>Daily_Data!I2781</f>
        <v>3.43</v>
      </c>
      <c r="D2781" s="12">
        <f>if(sum(Daily_Data!K2781:L2781)&gt;0,1,0)</f>
        <v>0</v>
      </c>
    </row>
    <row r="2782">
      <c r="A2782" s="10">
        <f>Daily_Data!A2782</f>
        <v>40420</v>
      </c>
      <c r="B2782" s="11">
        <f>Daily_Data!J2782</f>
        <v>27.21</v>
      </c>
      <c r="C2782" s="11">
        <f>Daily_Data!I2782</f>
        <v>3.48</v>
      </c>
      <c r="D2782" s="12">
        <f>if(sum(Daily_Data!K2782:L2782)&gt;0,1,0)</f>
        <v>0</v>
      </c>
    </row>
    <row r="2783">
      <c r="A2783" s="10">
        <f>Daily_Data!A2783</f>
        <v>40421</v>
      </c>
      <c r="B2783" s="11">
        <f>Daily_Data!J2783</f>
        <v>26.05</v>
      </c>
      <c r="C2783" s="11">
        <f>Daily_Data!I2783</f>
        <v>3.47</v>
      </c>
      <c r="D2783" s="12">
        <f>if(sum(Daily_Data!K2783:L2783)&gt;0,1,0)</f>
        <v>0</v>
      </c>
    </row>
    <row r="2784">
      <c r="A2784" s="10">
        <f>Daily_Data!A2784</f>
        <v>40422</v>
      </c>
      <c r="B2784" s="11">
        <f>Daily_Data!J2784</f>
        <v>23.89</v>
      </c>
      <c r="C2784" s="11">
        <f>Daily_Data!I2784</f>
        <v>3.46</v>
      </c>
      <c r="D2784" s="12">
        <f>if(sum(Daily_Data!K2784:L2784)&gt;0,1,0)</f>
        <v>0</v>
      </c>
    </row>
    <row r="2785">
      <c r="A2785" s="10">
        <f>Daily_Data!A2785</f>
        <v>40423</v>
      </c>
      <c r="B2785" s="11">
        <f>Daily_Data!J2785</f>
        <v>23.19</v>
      </c>
      <c r="C2785" s="11">
        <f>Daily_Data!I2785</f>
        <v>3.6</v>
      </c>
      <c r="D2785" s="12">
        <f>if(sum(Daily_Data!K2785:L2785)&gt;0,1,0)</f>
        <v>0</v>
      </c>
    </row>
    <row r="2786">
      <c r="A2786" s="10">
        <f>Daily_Data!A2786</f>
        <v>40424</v>
      </c>
      <c r="B2786" s="11">
        <f>Daily_Data!J2786</f>
        <v>21.31</v>
      </c>
      <c r="C2786" s="11">
        <f>Daily_Data!I2786</f>
        <v>3.57</v>
      </c>
      <c r="D2786" s="12">
        <f>if(sum(Daily_Data!K2786:L2786)&gt;0,1,0)</f>
        <v>1</v>
      </c>
    </row>
    <row r="2787">
      <c r="A2787" s="10">
        <f>Daily_Data!A2787</f>
        <v>40427</v>
      </c>
      <c r="B2787" s="11" t="str">
        <f>Daily_Data!J2787</f>
        <v/>
      </c>
      <c r="C2787" s="11" t="str">
        <f>Daily_Data!I2787</f>
        <v/>
      </c>
      <c r="D2787" s="12">
        <f>if(sum(Daily_Data!K2787:L2787)&gt;0,1,0)</f>
        <v>0</v>
      </c>
    </row>
    <row r="2788">
      <c r="A2788" s="10">
        <f>Daily_Data!A2788</f>
        <v>40428</v>
      </c>
      <c r="B2788" s="11">
        <f>Daily_Data!J2788</f>
        <v>23.8</v>
      </c>
      <c r="C2788" s="11">
        <f>Daily_Data!I2788</f>
        <v>3.67</v>
      </c>
      <c r="D2788" s="12">
        <f>if(sum(Daily_Data!K2788:L2788)&gt;0,1,0)</f>
        <v>0</v>
      </c>
    </row>
    <row r="2789">
      <c r="A2789" s="10">
        <f>Daily_Data!A2789</f>
        <v>40429</v>
      </c>
      <c r="B2789" s="11">
        <f>Daily_Data!J2789</f>
        <v>23.25</v>
      </c>
      <c r="C2789" s="11">
        <f>Daily_Data!I2789</f>
        <v>3.65</v>
      </c>
      <c r="D2789" s="12">
        <f>if(sum(Daily_Data!K2789:L2789)&gt;0,1,0)</f>
        <v>0</v>
      </c>
    </row>
    <row r="2790">
      <c r="A2790" s="10">
        <f>Daily_Data!A2790</f>
        <v>40430</v>
      </c>
      <c r="B2790" s="11">
        <f>Daily_Data!J2790</f>
        <v>22.81</v>
      </c>
      <c r="C2790" s="11">
        <f>Daily_Data!I2790</f>
        <v>3.63</v>
      </c>
      <c r="D2790" s="12">
        <f>if(sum(Daily_Data!K2790:L2790)&gt;0,1,0)</f>
        <v>0</v>
      </c>
    </row>
    <row r="2791">
      <c r="A2791" s="10">
        <f>Daily_Data!A2791</f>
        <v>40431</v>
      </c>
      <c r="B2791" s="11">
        <f>Daily_Data!J2791</f>
        <v>21.99</v>
      </c>
      <c r="C2791" s="11">
        <f>Daily_Data!I2791</f>
        <v>3.62</v>
      </c>
      <c r="D2791" s="12">
        <f>if(sum(Daily_Data!K2791:L2791)&gt;0,1,0)</f>
        <v>0</v>
      </c>
    </row>
    <row r="2792">
      <c r="A2792" s="10">
        <f>Daily_Data!A2792</f>
        <v>40434</v>
      </c>
      <c r="B2792" s="11">
        <f>Daily_Data!J2792</f>
        <v>21.21</v>
      </c>
      <c r="C2792" s="11">
        <f>Daily_Data!I2792</f>
        <v>3.73</v>
      </c>
      <c r="D2792" s="12">
        <f>if(sum(Daily_Data!K2792:L2792)&gt;0,1,0)</f>
        <v>0</v>
      </c>
    </row>
    <row r="2793">
      <c r="A2793" s="10">
        <f>Daily_Data!A2793</f>
        <v>40435</v>
      </c>
      <c r="B2793" s="11">
        <f>Daily_Data!J2793</f>
        <v>21.56</v>
      </c>
      <c r="C2793" s="11">
        <f>Daily_Data!I2793</f>
        <v>3.73</v>
      </c>
      <c r="D2793" s="12">
        <f>if(sum(Daily_Data!K2793:L2793)&gt;0,1,0)</f>
        <v>0</v>
      </c>
    </row>
    <row r="2794">
      <c r="A2794" s="10">
        <f>Daily_Data!A2794</f>
        <v>40436</v>
      </c>
      <c r="B2794" s="11">
        <f>Daily_Data!J2794</f>
        <v>22.1</v>
      </c>
      <c r="C2794" s="11">
        <f>Daily_Data!I2794</f>
        <v>3.68</v>
      </c>
      <c r="D2794" s="12">
        <f>if(sum(Daily_Data!K2794:L2794)&gt;0,1,0)</f>
        <v>0</v>
      </c>
    </row>
    <row r="2795">
      <c r="A2795" s="10">
        <f>Daily_Data!A2795</f>
        <v>40437</v>
      </c>
      <c r="B2795" s="11">
        <f>Daily_Data!J2795</f>
        <v>21.72</v>
      </c>
      <c r="C2795" s="11">
        <f>Daily_Data!I2795</f>
        <v>3.64</v>
      </c>
      <c r="D2795" s="12">
        <f>if(sum(Daily_Data!K2795:L2795)&gt;0,1,0)</f>
        <v>0</v>
      </c>
    </row>
    <row r="2796">
      <c r="A2796" s="10">
        <f>Daily_Data!A2796</f>
        <v>40438</v>
      </c>
      <c r="B2796" s="11">
        <f>Daily_Data!J2796</f>
        <v>22.01</v>
      </c>
      <c r="C2796" s="11">
        <f>Daily_Data!I2796</f>
        <v>3.65</v>
      </c>
      <c r="D2796" s="12">
        <f>if(sum(Daily_Data!K2796:L2796)&gt;0,1,0)</f>
        <v>1</v>
      </c>
    </row>
    <row r="2797">
      <c r="A2797" s="10">
        <f>Daily_Data!A2797</f>
        <v>40441</v>
      </c>
      <c r="B2797" s="11">
        <f>Daily_Data!J2797</f>
        <v>21.5</v>
      </c>
      <c r="C2797" s="11">
        <f>Daily_Data!I2797</f>
        <v>3.58</v>
      </c>
      <c r="D2797" s="12">
        <f>if(sum(Daily_Data!K2797:L2797)&gt;0,1,0)</f>
        <v>0</v>
      </c>
    </row>
    <row r="2798">
      <c r="A2798" s="10">
        <f>Daily_Data!A2798</f>
        <v>40442</v>
      </c>
      <c r="B2798" s="11">
        <f>Daily_Data!J2798</f>
        <v>22.35</v>
      </c>
      <c r="C2798" s="11">
        <f>Daily_Data!I2798</f>
        <v>3.64</v>
      </c>
      <c r="D2798" s="12">
        <f>if(sum(Daily_Data!K2798:L2798)&gt;0,1,0)</f>
        <v>0</v>
      </c>
    </row>
    <row r="2799">
      <c r="A2799" s="10">
        <f>Daily_Data!A2799</f>
        <v>40443</v>
      </c>
      <c r="B2799" s="11">
        <f>Daily_Data!J2799</f>
        <v>22.51</v>
      </c>
      <c r="C2799" s="11">
        <f>Daily_Data!I2799</f>
        <v>3.58</v>
      </c>
      <c r="D2799" s="12">
        <f>if(sum(Daily_Data!K2799:L2799)&gt;0,1,0)</f>
        <v>0</v>
      </c>
    </row>
    <row r="2800">
      <c r="A2800" s="10">
        <f>Daily_Data!A2800</f>
        <v>40444</v>
      </c>
      <c r="B2800" s="11">
        <f>Daily_Data!J2800</f>
        <v>23.87</v>
      </c>
      <c r="C2800" s="11">
        <f>Daily_Data!I2800</f>
        <v>3.5</v>
      </c>
      <c r="D2800" s="12">
        <f>if(sum(Daily_Data!K2800:L2800)&gt;0,1,0)</f>
        <v>0</v>
      </c>
    </row>
    <row r="2801">
      <c r="A2801" s="10">
        <f>Daily_Data!A2801</f>
        <v>40445</v>
      </c>
      <c r="B2801" s="11">
        <f>Daily_Data!J2801</f>
        <v>21.71</v>
      </c>
      <c r="C2801" s="11">
        <f>Daily_Data!I2801</f>
        <v>3.47</v>
      </c>
      <c r="D2801" s="12">
        <f>if(sum(Daily_Data!K2801:L2801)&gt;0,1,0)</f>
        <v>0</v>
      </c>
    </row>
    <row r="2802">
      <c r="A2802" s="10">
        <f>Daily_Data!A2802</f>
        <v>40448</v>
      </c>
      <c r="B2802" s="11">
        <f>Daily_Data!J2802</f>
        <v>22.54</v>
      </c>
      <c r="C2802" s="11">
        <f>Daily_Data!I2802</f>
        <v>3.48</v>
      </c>
      <c r="D2802" s="12">
        <f>if(sum(Daily_Data!K2802:L2802)&gt;0,1,0)</f>
        <v>0</v>
      </c>
    </row>
    <row r="2803">
      <c r="A2803" s="10">
        <f>Daily_Data!A2803</f>
        <v>40449</v>
      </c>
      <c r="B2803" s="11">
        <f>Daily_Data!J2803</f>
        <v>22.6</v>
      </c>
      <c r="C2803" s="11">
        <f>Daily_Data!I2803</f>
        <v>3.5</v>
      </c>
      <c r="D2803" s="12">
        <f>if(sum(Daily_Data!K2803:L2803)&gt;0,1,0)</f>
        <v>0</v>
      </c>
    </row>
    <row r="2804">
      <c r="A2804" s="10">
        <f>Daily_Data!A2804</f>
        <v>40450</v>
      </c>
      <c r="B2804" s="11">
        <f>Daily_Data!J2804</f>
        <v>23.25</v>
      </c>
      <c r="C2804" s="11">
        <f>Daily_Data!I2804</f>
        <v>3.37</v>
      </c>
      <c r="D2804" s="12">
        <f>if(sum(Daily_Data!K2804:L2804)&gt;0,1,0)</f>
        <v>0</v>
      </c>
    </row>
    <row r="2805">
      <c r="A2805" s="10">
        <f>Daily_Data!A2805</f>
        <v>40451</v>
      </c>
      <c r="B2805" s="11">
        <f>Daily_Data!J2805</f>
        <v>23.7</v>
      </c>
      <c r="C2805" s="11">
        <f>Daily_Data!I2805</f>
        <v>3.38</v>
      </c>
      <c r="D2805" s="12">
        <f>if(sum(Daily_Data!K2805:L2805)&gt;0,1,0)</f>
        <v>0</v>
      </c>
    </row>
    <row r="2806">
      <c r="A2806" s="10">
        <f>Daily_Data!A2806</f>
        <v>40452</v>
      </c>
      <c r="B2806" s="11">
        <f>Daily_Data!J2806</f>
        <v>22.5</v>
      </c>
      <c r="C2806" s="11">
        <f>Daily_Data!I2806</f>
        <v>3.4</v>
      </c>
      <c r="D2806" s="12">
        <f>if(sum(Daily_Data!K2806:L2806)&gt;0,1,0)</f>
        <v>0</v>
      </c>
    </row>
    <row r="2807">
      <c r="A2807" s="10">
        <f>Daily_Data!A2807</f>
        <v>40455</v>
      </c>
      <c r="B2807" s="11">
        <f>Daily_Data!J2807</f>
        <v>23.53</v>
      </c>
      <c r="C2807" s="11">
        <f>Daily_Data!I2807</f>
        <v>3.42</v>
      </c>
      <c r="D2807" s="12">
        <f>if(sum(Daily_Data!K2807:L2807)&gt;0,1,0)</f>
        <v>0</v>
      </c>
    </row>
    <row r="2808">
      <c r="A2808" s="10">
        <f>Daily_Data!A2808</f>
        <v>40456</v>
      </c>
      <c r="B2808" s="11">
        <f>Daily_Data!J2808</f>
        <v>21.76</v>
      </c>
      <c r="C2808" s="11">
        <f>Daily_Data!I2808</f>
        <v>3.43</v>
      </c>
      <c r="D2808" s="12">
        <f>if(sum(Daily_Data!K2808:L2808)&gt;0,1,0)</f>
        <v>0</v>
      </c>
    </row>
    <row r="2809">
      <c r="A2809" s="10">
        <f>Daily_Data!A2809</f>
        <v>40457</v>
      </c>
      <c r="B2809" s="11">
        <f>Daily_Data!J2809</f>
        <v>21.49</v>
      </c>
      <c r="C2809" s="11">
        <f>Daily_Data!I2809</f>
        <v>3.47</v>
      </c>
      <c r="D2809" s="12">
        <f>if(sum(Daily_Data!K2809:L2809)&gt;0,1,0)</f>
        <v>0</v>
      </c>
    </row>
    <row r="2810">
      <c r="A2810" s="10">
        <f>Daily_Data!A2810</f>
        <v>40458</v>
      </c>
      <c r="B2810" s="11">
        <f>Daily_Data!J2810</f>
        <v>21.56</v>
      </c>
      <c r="C2810" s="11">
        <f>Daily_Data!I2810</f>
        <v>3.53</v>
      </c>
      <c r="D2810" s="12">
        <f>if(sum(Daily_Data!K2810:L2810)&gt;0,1,0)</f>
        <v>0</v>
      </c>
    </row>
    <row r="2811">
      <c r="A2811" s="10">
        <f>Daily_Data!A2811</f>
        <v>40459</v>
      </c>
      <c r="B2811" s="11">
        <f>Daily_Data!J2811</f>
        <v>20.71</v>
      </c>
      <c r="C2811" s="11">
        <f>Daily_Data!I2811</f>
        <v>3.58</v>
      </c>
      <c r="D2811" s="12">
        <f>if(sum(Daily_Data!K2811:L2811)&gt;0,1,0)</f>
        <v>1</v>
      </c>
    </row>
    <row r="2812">
      <c r="A2812" s="10">
        <f>Daily_Data!A2812</f>
        <v>40462</v>
      </c>
      <c r="B2812" s="11">
        <f>Daily_Data!J2812</f>
        <v>18.96</v>
      </c>
      <c r="C2812" s="11" t="str">
        <f>Daily_Data!I2812</f>
        <v/>
      </c>
      <c r="D2812" s="12">
        <f>if(sum(Daily_Data!K2812:L2812)&gt;0,1,0)</f>
        <v>0</v>
      </c>
    </row>
    <row r="2813">
      <c r="A2813" s="10">
        <f>Daily_Data!A2813</f>
        <v>40463</v>
      </c>
      <c r="B2813" s="11">
        <f>Daily_Data!J2813</f>
        <v>18.93</v>
      </c>
      <c r="C2813" s="11">
        <f>Daily_Data!I2813</f>
        <v>3.53</v>
      </c>
      <c r="D2813" s="12">
        <f>if(sum(Daily_Data!K2813:L2813)&gt;0,1,0)</f>
        <v>0</v>
      </c>
    </row>
    <row r="2814">
      <c r="A2814" s="10">
        <f>Daily_Data!A2814</f>
        <v>40464</v>
      </c>
      <c r="B2814" s="11">
        <f>Daily_Data!J2814</f>
        <v>19.07</v>
      </c>
      <c r="C2814" s="11">
        <f>Daily_Data!I2814</f>
        <v>3.51</v>
      </c>
      <c r="D2814" s="12">
        <f>if(sum(Daily_Data!K2814:L2814)&gt;0,1,0)</f>
        <v>0</v>
      </c>
    </row>
    <row r="2815">
      <c r="A2815" s="10">
        <f>Daily_Data!A2815</f>
        <v>40465</v>
      </c>
      <c r="B2815" s="11">
        <f>Daily_Data!J2815</f>
        <v>19.88</v>
      </c>
      <c r="C2815" s="11">
        <f>Daily_Data!I2815</f>
        <v>3.46</v>
      </c>
      <c r="D2815" s="12">
        <f>if(sum(Daily_Data!K2815:L2815)&gt;0,1,0)</f>
        <v>0</v>
      </c>
    </row>
    <row r="2816">
      <c r="A2816" s="10">
        <f>Daily_Data!A2816</f>
        <v>40466</v>
      </c>
      <c r="B2816" s="11">
        <f>Daily_Data!J2816</f>
        <v>19.03</v>
      </c>
      <c r="C2816" s="11">
        <f>Daily_Data!I2816</f>
        <v>3.5</v>
      </c>
      <c r="D2816" s="12">
        <f>if(sum(Daily_Data!K2816:L2816)&gt;0,1,0)</f>
        <v>1</v>
      </c>
    </row>
    <row r="2817">
      <c r="A2817" s="10">
        <f>Daily_Data!A2817</f>
        <v>40469</v>
      </c>
      <c r="B2817" s="11">
        <f>Daily_Data!J2817</f>
        <v>19.09</v>
      </c>
      <c r="C2817" s="11">
        <f>Daily_Data!I2817</f>
        <v>3.5</v>
      </c>
      <c r="D2817" s="12">
        <f>if(sum(Daily_Data!K2817:L2817)&gt;0,1,0)</f>
        <v>0</v>
      </c>
    </row>
    <row r="2818">
      <c r="A2818" s="10">
        <f>Daily_Data!A2818</f>
        <v>40470</v>
      </c>
      <c r="B2818" s="11">
        <f>Daily_Data!J2818</f>
        <v>20.63</v>
      </c>
      <c r="C2818" s="11">
        <f>Daily_Data!I2818</f>
        <v>3.53</v>
      </c>
      <c r="D2818" s="12">
        <f>if(sum(Daily_Data!K2818:L2818)&gt;0,1,0)</f>
        <v>0</v>
      </c>
    </row>
    <row r="2819">
      <c r="A2819" s="10">
        <f>Daily_Data!A2819</f>
        <v>40471</v>
      </c>
      <c r="B2819" s="11">
        <f>Daily_Data!J2819</f>
        <v>19.79</v>
      </c>
      <c r="C2819" s="11">
        <f>Daily_Data!I2819</f>
        <v>3.53</v>
      </c>
      <c r="D2819" s="12">
        <f>if(sum(Daily_Data!K2819:L2819)&gt;0,1,0)</f>
        <v>0</v>
      </c>
    </row>
    <row r="2820">
      <c r="A2820" s="10">
        <f>Daily_Data!A2820</f>
        <v>40472</v>
      </c>
      <c r="B2820" s="11">
        <f>Daily_Data!J2820</f>
        <v>19.27</v>
      </c>
      <c r="C2820" s="11">
        <f>Daily_Data!I2820</f>
        <v>3.53</v>
      </c>
      <c r="D2820" s="12">
        <f>if(sum(Daily_Data!K2820:L2820)&gt;0,1,0)</f>
        <v>0</v>
      </c>
    </row>
    <row r="2821">
      <c r="A2821" s="10">
        <f>Daily_Data!A2821</f>
        <v>40473</v>
      </c>
      <c r="B2821" s="11">
        <f>Daily_Data!J2821</f>
        <v>18.78</v>
      </c>
      <c r="C2821" s="11">
        <f>Daily_Data!I2821</f>
        <v>3.56</v>
      </c>
      <c r="D2821" s="12">
        <f>if(sum(Daily_Data!K2821:L2821)&gt;0,1,0)</f>
        <v>0</v>
      </c>
    </row>
    <row r="2822">
      <c r="A2822" s="10">
        <f>Daily_Data!A2822</f>
        <v>40476</v>
      </c>
      <c r="B2822" s="11">
        <f>Daily_Data!J2822</f>
        <v>19.85</v>
      </c>
      <c r="C2822" s="11" t="str">
        <f>Daily_Data!I2822</f>
        <v/>
      </c>
      <c r="D2822" s="12">
        <f>if(sum(Daily_Data!K2822:L2822)&gt;0,1,0)</f>
        <v>0</v>
      </c>
    </row>
    <row r="2823">
      <c r="A2823" s="10">
        <f>Daily_Data!A2823</f>
        <v>40477</v>
      </c>
      <c r="B2823" s="11">
        <f>Daily_Data!J2823</f>
        <v>20.22</v>
      </c>
      <c r="C2823" s="11">
        <f>Daily_Data!I2823</f>
        <v>3.53</v>
      </c>
      <c r="D2823" s="12">
        <f>if(sum(Daily_Data!K2823:L2823)&gt;0,1,0)</f>
        <v>0</v>
      </c>
    </row>
    <row r="2824">
      <c r="A2824" s="10">
        <f>Daily_Data!A2824</f>
        <v>40478</v>
      </c>
      <c r="B2824" s="11">
        <f>Daily_Data!J2824</f>
        <v>20.71</v>
      </c>
      <c r="C2824" s="11">
        <f>Daily_Data!I2824</f>
        <v>3.55</v>
      </c>
      <c r="D2824" s="12">
        <f>if(sum(Daily_Data!K2824:L2824)&gt;0,1,0)</f>
        <v>0</v>
      </c>
    </row>
    <row r="2825">
      <c r="A2825" s="10">
        <f>Daily_Data!A2825</f>
        <v>40479</v>
      </c>
      <c r="B2825" s="11">
        <f>Daily_Data!J2825</f>
        <v>20.88</v>
      </c>
      <c r="C2825" s="11">
        <f>Daily_Data!I2825</f>
        <v>3.62</v>
      </c>
      <c r="D2825" s="12">
        <f>if(sum(Daily_Data!K2825:L2825)&gt;0,1,0)</f>
        <v>0</v>
      </c>
    </row>
    <row r="2826">
      <c r="A2826" s="10">
        <f>Daily_Data!A2826</f>
        <v>40480</v>
      </c>
      <c r="B2826" s="11">
        <f>Daily_Data!J2826</f>
        <v>21.2</v>
      </c>
      <c r="C2826" s="11">
        <f>Daily_Data!I2826</f>
        <v>3.71</v>
      </c>
      <c r="D2826" s="12">
        <f>if(sum(Daily_Data!K2826:L2826)&gt;0,1,0)</f>
        <v>0</v>
      </c>
    </row>
    <row r="2827">
      <c r="A2827" s="10">
        <f>Daily_Data!A2827</f>
        <v>40483</v>
      </c>
      <c r="B2827" s="11">
        <f>Daily_Data!J2827</f>
        <v>21.83</v>
      </c>
      <c r="C2827" s="11">
        <f>Daily_Data!I2827</f>
        <v>3.72</v>
      </c>
      <c r="D2827" s="12">
        <f>if(sum(Daily_Data!K2827:L2827)&gt;0,1,0)</f>
        <v>0</v>
      </c>
    </row>
    <row r="2828">
      <c r="A2828" s="10">
        <f>Daily_Data!A2828</f>
        <v>40484</v>
      </c>
      <c r="B2828" s="11">
        <f>Daily_Data!J2828</f>
        <v>21.57</v>
      </c>
      <c r="C2828" s="11">
        <f>Daily_Data!I2828</f>
        <v>3.76</v>
      </c>
      <c r="D2828" s="12">
        <f>if(sum(Daily_Data!K2828:L2828)&gt;0,1,0)</f>
        <v>0</v>
      </c>
    </row>
    <row r="2829">
      <c r="A2829" s="10">
        <f>Daily_Data!A2829</f>
        <v>40485</v>
      </c>
      <c r="B2829" s="11">
        <f>Daily_Data!J2829</f>
        <v>19.56</v>
      </c>
      <c r="C2829" s="11">
        <f>Daily_Data!I2829</f>
        <v>3.82</v>
      </c>
      <c r="D2829" s="12">
        <f>if(sum(Daily_Data!K2829:L2829)&gt;0,1,0)</f>
        <v>0</v>
      </c>
    </row>
    <row r="2830">
      <c r="A2830" s="10">
        <f>Daily_Data!A2830</f>
        <v>40486</v>
      </c>
      <c r="B2830" s="11">
        <f>Daily_Data!J2830</f>
        <v>18.52</v>
      </c>
      <c r="C2830" s="11">
        <f>Daily_Data!I2830</f>
        <v>3.86</v>
      </c>
      <c r="D2830" s="12">
        <f>if(sum(Daily_Data!K2830:L2830)&gt;0,1,0)</f>
        <v>0</v>
      </c>
    </row>
    <row r="2831">
      <c r="A2831" s="10">
        <f>Daily_Data!A2831</f>
        <v>40487</v>
      </c>
      <c r="B2831" s="11">
        <f>Daily_Data!J2831</f>
        <v>18.26</v>
      </c>
      <c r="C2831" s="11">
        <f>Daily_Data!I2831</f>
        <v>3.76</v>
      </c>
      <c r="D2831" s="12">
        <f>if(sum(Daily_Data!K2831:L2831)&gt;0,1,0)</f>
        <v>1</v>
      </c>
    </row>
    <row r="2832">
      <c r="A2832" s="10">
        <f>Daily_Data!A2832</f>
        <v>40490</v>
      </c>
      <c r="B2832" s="11">
        <f>Daily_Data!J2832</f>
        <v>18.29</v>
      </c>
      <c r="C2832" s="11">
        <f>Daily_Data!I2832</f>
        <v>3.75</v>
      </c>
      <c r="D2832" s="12">
        <f>if(sum(Daily_Data!K2832:L2832)&gt;0,1,0)</f>
        <v>0</v>
      </c>
    </row>
    <row r="2833">
      <c r="A2833" s="10">
        <f>Daily_Data!A2833</f>
        <v>40491</v>
      </c>
      <c r="B2833" s="11">
        <f>Daily_Data!J2833</f>
        <v>19.08</v>
      </c>
      <c r="C2833" s="11">
        <f>Daily_Data!I2833</f>
        <v>3.75</v>
      </c>
      <c r="D2833" s="12">
        <f>if(sum(Daily_Data!K2833:L2833)&gt;0,1,0)</f>
        <v>0</v>
      </c>
    </row>
    <row r="2834">
      <c r="A2834" s="10">
        <f>Daily_Data!A2834</f>
        <v>40492</v>
      </c>
      <c r="B2834" s="11">
        <f>Daily_Data!J2834</f>
        <v>18.47</v>
      </c>
      <c r="C2834" s="11">
        <f>Daily_Data!I2834</f>
        <v>3.71</v>
      </c>
      <c r="D2834" s="12">
        <f>if(sum(Daily_Data!K2834:L2834)&gt;0,1,0)</f>
        <v>0</v>
      </c>
    </row>
    <row r="2835">
      <c r="A2835" s="10">
        <f>Daily_Data!A2835</f>
        <v>40493</v>
      </c>
      <c r="B2835" s="11">
        <f>Daily_Data!J2835</f>
        <v>18.64</v>
      </c>
      <c r="C2835" s="11" t="str">
        <f>Daily_Data!I2835</f>
        <v/>
      </c>
      <c r="D2835" s="12">
        <f>if(sum(Daily_Data!K2835:L2835)&gt;0,1,0)</f>
        <v>0</v>
      </c>
    </row>
    <row r="2836">
      <c r="A2836" s="10">
        <f>Daily_Data!A2836</f>
        <v>40494</v>
      </c>
      <c r="B2836" s="11">
        <f>Daily_Data!J2836</f>
        <v>20.61</v>
      </c>
      <c r="C2836" s="11">
        <f>Daily_Data!I2836</f>
        <v>3.65</v>
      </c>
      <c r="D2836" s="12">
        <f>if(sum(Daily_Data!K2836:L2836)&gt;0,1,0)</f>
        <v>0</v>
      </c>
    </row>
    <row r="2837">
      <c r="A2837" s="10">
        <f>Daily_Data!A2837</f>
        <v>40497</v>
      </c>
      <c r="B2837" s="11">
        <f>Daily_Data!J2837</f>
        <v>20.2</v>
      </c>
      <c r="C2837" s="11">
        <f>Daily_Data!I2837</f>
        <v>3.63</v>
      </c>
      <c r="D2837" s="12">
        <f>if(sum(Daily_Data!K2837:L2837)&gt;0,1,0)</f>
        <v>0</v>
      </c>
    </row>
    <row r="2838">
      <c r="A2838" s="10">
        <f>Daily_Data!A2838</f>
        <v>40498</v>
      </c>
      <c r="B2838" s="11">
        <f>Daily_Data!J2838</f>
        <v>22.58</v>
      </c>
      <c r="C2838" s="11">
        <f>Daily_Data!I2838</f>
        <v>3.69</v>
      </c>
      <c r="D2838" s="12">
        <f>if(sum(Daily_Data!K2838:L2838)&gt;0,1,0)</f>
        <v>0</v>
      </c>
    </row>
    <row r="2839">
      <c r="A2839" s="10">
        <f>Daily_Data!A2839</f>
        <v>40499</v>
      </c>
      <c r="B2839" s="11">
        <f>Daily_Data!J2839</f>
        <v>21.76</v>
      </c>
      <c r="C2839" s="11">
        <f>Daily_Data!I2839</f>
        <v>3.69</v>
      </c>
      <c r="D2839" s="12">
        <f>if(sum(Daily_Data!K2839:L2839)&gt;0,1,0)</f>
        <v>1</v>
      </c>
    </row>
    <row r="2840">
      <c r="A2840" s="10">
        <f>Daily_Data!A2840</f>
        <v>40500</v>
      </c>
      <c r="B2840" s="11">
        <f>Daily_Data!J2840</f>
        <v>18.75</v>
      </c>
      <c r="C2840" s="11">
        <f>Daily_Data!I2840</f>
        <v>3.72</v>
      </c>
      <c r="D2840" s="12">
        <f>if(sum(Daily_Data!K2840:L2840)&gt;0,1,0)</f>
        <v>0</v>
      </c>
    </row>
    <row r="2841">
      <c r="A2841" s="10">
        <f>Daily_Data!A2841</f>
        <v>40501</v>
      </c>
      <c r="B2841" s="11">
        <f>Daily_Data!J2841</f>
        <v>18.04</v>
      </c>
      <c r="C2841" s="11">
        <f>Daily_Data!I2841</f>
        <v>3.76</v>
      </c>
      <c r="D2841" s="12">
        <f>if(sum(Daily_Data!K2841:L2841)&gt;0,1,0)</f>
        <v>0</v>
      </c>
    </row>
    <row r="2842">
      <c r="A2842" s="10">
        <f>Daily_Data!A2842</f>
        <v>40504</v>
      </c>
      <c r="B2842" s="11">
        <f>Daily_Data!J2842</f>
        <v>18.37</v>
      </c>
      <c r="C2842" s="11">
        <f>Daily_Data!I2842</f>
        <v>3.78</v>
      </c>
      <c r="D2842" s="12">
        <f>if(sum(Daily_Data!K2842:L2842)&gt;0,1,0)</f>
        <v>0</v>
      </c>
    </row>
    <row r="2843">
      <c r="A2843" s="10">
        <f>Daily_Data!A2843</f>
        <v>40505</v>
      </c>
      <c r="B2843" s="11">
        <f>Daily_Data!J2843</f>
        <v>20.63</v>
      </c>
      <c r="C2843" s="11">
        <f>Daily_Data!I2843</f>
        <v>3.81</v>
      </c>
      <c r="D2843" s="12">
        <f>if(sum(Daily_Data!K2843:L2843)&gt;0,1,0)</f>
        <v>0</v>
      </c>
    </row>
    <row r="2844">
      <c r="A2844" s="10">
        <f>Daily_Data!A2844</f>
        <v>40506</v>
      </c>
      <c r="B2844" s="11">
        <f>Daily_Data!J2844</f>
        <v>19.56</v>
      </c>
      <c r="C2844" s="11">
        <f>Daily_Data!I2844</f>
        <v>3.73</v>
      </c>
      <c r="D2844" s="12">
        <f>if(sum(Daily_Data!K2844:L2844)&gt;0,1,0)</f>
        <v>0</v>
      </c>
    </row>
    <row r="2845">
      <c r="A2845" s="10">
        <f>Daily_Data!A2845</f>
        <v>40507</v>
      </c>
      <c r="B2845" s="11" t="str">
        <f>Daily_Data!J2845</f>
        <v/>
      </c>
      <c r="C2845" s="11" t="str">
        <f>Daily_Data!I2845</f>
        <v/>
      </c>
      <c r="D2845" s="12">
        <f>if(sum(Daily_Data!K2845:L2845)&gt;0,1,0)</f>
        <v>0</v>
      </c>
    </row>
    <row r="2846">
      <c r="A2846" s="10">
        <f>Daily_Data!A2846</f>
        <v>40508</v>
      </c>
      <c r="B2846" s="11">
        <f>Daily_Data!J2846</f>
        <v>22.22</v>
      </c>
      <c r="C2846" s="11">
        <f>Daily_Data!I2846</f>
        <v>3.73</v>
      </c>
      <c r="D2846" s="12">
        <f>if(sum(Daily_Data!K2846:L2846)&gt;0,1,0)</f>
        <v>0</v>
      </c>
    </row>
    <row r="2847">
      <c r="A2847" s="10">
        <f>Daily_Data!A2847</f>
        <v>40511</v>
      </c>
      <c r="B2847" s="11">
        <f>Daily_Data!J2847</f>
        <v>21.53</v>
      </c>
      <c r="C2847" s="11">
        <f>Daily_Data!I2847</f>
        <v>3.65</v>
      </c>
      <c r="D2847" s="12">
        <f>if(sum(Daily_Data!K2847:L2847)&gt;0,1,0)</f>
        <v>0</v>
      </c>
    </row>
    <row r="2848">
      <c r="A2848" s="10">
        <f>Daily_Data!A2848</f>
        <v>40512</v>
      </c>
      <c r="B2848" s="11">
        <f>Daily_Data!J2848</f>
        <v>23.54</v>
      </c>
      <c r="C2848" s="11">
        <f>Daily_Data!I2848</f>
        <v>3.72</v>
      </c>
      <c r="D2848" s="12">
        <f>if(sum(Daily_Data!K2848:L2848)&gt;0,1,0)</f>
        <v>0</v>
      </c>
    </row>
    <row r="2849">
      <c r="A2849" s="10">
        <f>Daily_Data!A2849</f>
        <v>40513</v>
      </c>
      <c r="B2849" s="11">
        <f>Daily_Data!J2849</f>
        <v>21.36</v>
      </c>
      <c r="C2849" s="11">
        <f>Daily_Data!I2849</f>
        <v>3.65</v>
      </c>
      <c r="D2849" s="12">
        <f>if(sum(Daily_Data!K2849:L2849)&gt;0,1,0)</f>
        <v>0</v>
      </c>
    </row>
    <row r="2850">
      <c r="A2850" s="10">
        <f>Daily_Data!A2850</f>
        <v>40514</v>
      </c>
      <c r="B2850" s="11">
        <f>Daily_Data!J2850</f>
        <v>19.39</v>
      </c>
      <c r="C2850" s="11">
        <f>Daily_Data!I2850</f>
        <v>3.68</v>
      </c>
      <c r="D2850" s="12">
        <f>if(sum(Daily_Data!K2850:L2850)&gt;0,1,0)</f>
        <v>0</v>
      </c>
    </row>
    <row r="2851">
      <c r="A2851" s="10">
        <f>Daily_Data!A2851</f>
        <v>40515</v>
      </c>
      <c r="B2851" s="11">
        <f>Daily_Data!J2851</f>
        <v>18.01</v>
      </c>
      <c r="C2851" s="11">
        <f>Daily_Data!I2851</f>
        <v>3.68</v>
      </c>
      <c r="D2851" s="12">
        <f>if(sum(Daily_Data!K2851:L2851)&gt;0,1,0)</f>
        <v>1</v>
      </c>
    </row>
    <row r="2852">
      <c r="A2852" s="10">
        <f>Daily_Data!A2852</f>
        <v>40518</v>
      </c>
      <c r="B2852" s="11">
        <f>Daily_Data!J2852</f>
        <v>18.02</v>
      </c>
      <c r="C2852" s="11">
        <f>Daily_Data!I2852</f>
        <v>3.72</v>
      </c>
      <c r="D2852" s="12">
        <f>if(sum(Daily_Data!K2852:L2852)&gt;0,1,0)</f>
        <v>0</v>
      </c>
    </row>
    <row r="2853">
      <c r="A2853" s="10">
        <f>Daily_Data!A2853</f>
        <v>40519</v>
      </c>
      <c r="B2853" s="11">
        <f>Daily_Data!J2853</f>
        <v>17.99</v>
      </c>
      <c r="C2853" s="11">
        <f>Daily_Data!I2853</f>
        <v>3.55</v>
      </c>
      <c r="D2853" s="12">
        <f>if(sum(Daily_Data!K2853:L2853)&gt;0,1,0)</f>
        <v>0</v>
      </c>
    </row>
    <row r="2854">
      <c r="A2854" s="10">
        <f>Daily_Data!A2854</f>
        <v>40520</v>
      </c>
      <c r="B2854" s="11">
        <f>Daily_Data!J2854</f>
        <v>17.74</v>
      </c>
      <c r="C2854" s="11">
        <f>Daily_Data!I2854</f>
        <v>3.48</v>
      </c>
      <c r="D2854" s="12">
        <f>if(sum(Daily_Data!K2854:L2854)&gt;0,1,0)</f>
        <v>0</v>
      </c>
    </row>
    <row r="2855">
      <c r="A2855" s="10">
        <f>Daily_Data!A2855</f>
        <v>40521</v>
      </c>
      <c r="B2855" s="11">
        <f>Daily_Data!J2855</f>
        <v>17.25</v>
      </c>
      <c r="C2855" s="11">
        <f>Daily_Data!I2855</f>
        <v>3.41</v>
      </c>
      <c r="D2855" s="12">
        <f>if(sum(Daily_Data!K2855:L2855)&gt;0,1,0)</f>
        <v>0</v>
      </c>
    </row>
    <row r="2856">
      <c r="A2856" s="10">
        <f>Daily_Data!A2856</f>
        <v>40522</v>
      </c>
      <c r="B2856" s="11">
        <f>Daily_Data!J2856</f>
        <v>17.61</v>
      </c>
      <c r="C2856" s="11">
        <f>Daily_Data!I2856</f>
        <v>3.46</v>
      </c>
      <c r="D2856" s="12">
        <f>if(sum(Daily_Data!K2856:L2856)&gt;0,1,0)</f>
        <v>0</v>
      </c>
    </row>
    <row r="2857">
      <c r="A2857" s="10">
        <f>Daily_Data!A2857</f>
        <v>40525</v>
      </c>
      <c r="B2857" s="11">
        <f>Daily_Data!J2857</f>
        <v>17.55</v>
      </c>
      <c r="C2857" s="11">
        <f>Daily_Data!I2857</f>
        <v>3.47</v>
      </c>
      <c r="D2857" s="12">
        <f>if(sum(Daily_Data!K2857:L2857)&gt;0,1,0)</f>
        <v>0</v>
      </c>
    </row>
    <row r="2858">
      <c r="A2858" s="10">
        <f>Daily_Data!A2858</f>
        <v>40526</v>
      </c>
      <c r="B2858" s="11">
        <f>Daily_Data!J2858</f>
        <v>17.61</v>
      </c>
      <c r="C2858" s="11">
        <f>Daily_Data!I2858</f>
        <v>3.42</v>
      </c>
      <c r="D2858" s="12">
        <f>if(sum(Daily_Data!K2858:L2858)&gt;0,1,0)</f>
        <v>0</v>
      </c>
    </row>
    <row r="2859">
      <c r="A2859" s="10">
        <f>Daily_Data!A2859</f>
        <v>40527</v>
      </c>
      <c r="B2859" s="11">
        <f>Daily_Data!J2859</f>
        <v>17.94</v>
      </c>
      <c r="C2859" s="11">
        <f>Daily_Data!I2859</f>
        <v>3.43</v>
      </c>
      <c r="D2859" s="12">
        <f>if(sum(Daily_Data!K2859:L2859)&gt;0,1,0)</f>
        <v>1</v>
      </c>
    </row>
    <row r="2860">
      <c r="A2860" s="10">
        <f>Daily_Data!A2860</f>
        <v>40528</v>
      </c>
      <c r="B2860" s="11">
        <f>Daily_Data!J2860</f>
        <v>17.39</v>
      </c>
      <c r="C2860" s="11">
        <f>Daily_Data!I2860</f>
        <v>3.45</v>
      </c>
      <c r="D2860" s="12">
        <f>if(sum(Daily_Data!K2860:L2860)&gt;0,1,0)</f>
        <v>0</v>
      </c>
    </row>
    <row r="2861">
      <c r="A2861" s="10">
        <f>Daily_Data!A2861</f>
        <v>40529</v>
      </c>
      <c r="B2861" s="11">
        <f>Daily_Data!J2861</f>
        <v>16.11</v>
      </c>
      <c r="C2861" s="11">
        <f>Daily_Data!I2861</f>
        <v>3.48</v>
      </c>
      <c r="D2861" s="12">
        <f>if(sum(Daily_Data!K2861:L2861)&gt;0,1,0)</f>
        <v>0</v>
      </c>
    </row>
    <row r="2862">
      <c r="A2862" s="10">
        <f>Daily_Data!A2862</f>
        <v>40532</v>
      </c>
      <c r="B2862" s="11">
        <f>Daily_Data!J2862</f>
        <v>16.41</v>
      </c>
      <c r="C2862" s="11">
        <f>Daily_Data!I2862</f>
        <v>3.43</v>
      </c>
      <c r="D2862" s="12">
        <f>if(sum(Daily_Data!K2862:L2862)&gt;0,1,0)</f>
        <v>0</v>
      </c>
    </row>
    <row r="2863">
      <c r="A2863" s="10">
        <f>Daily_Data!A2863</f>
        <v>40533</v>
      </c>
      <c r="B2863" s="11">
        <f>Daily_Data!J2863</f>
        <v>16.49</v>
      </c>
      <c r="C2863" s="11">
        <f>Daily_Data!I2863</f>
        <v>3.4</v>
      </c>
      <c r="D2863" s="12">
        <f>if(sum(Daily_Data!K2863:L2863)&gt;0,1,0)</f>
        <v>0</v>
      </c>
    </row>
    <row r="2864">
      <c r="A2864" s="10">
        <f>Daily_Data!A2864</f>
        <v>40534</v>
      </c>
      <c r="B2864" s="11">
        <f>Daily_Data!J2864</f>
        <v>15.45</v>
      </c>
      <c r="C2864" s="11">
        <f>Daily_Data!I2864</f>
        <v>3.41</v>
      </c>
      <c r="D2864" s="12">
        <f>if(sum(Daily_Data!K2864:L2864)&gt;0,1,0)</f>
        <v>0</v>
      </c>
    </row>
    <row r="2865">
      <c r="A2865" s="10">
        <f>Daily_Data!A2865</f>
        <v>40535</v>
      </c>
      <c r="B2865" s="11">
        <f>Daily_Data!J2865</f>
        <v>16.47</v>
      </c>
      <c r="C2865" s="11">
        <f>Daily_Data!I2865</f>
        <v>3.37</v>
      </c>
      <c r="D2865" s="12">
        <f>if(sum(Daily_Data!K2865:L2865)&gt;0,1,0)</f>
        <v>0</v>
      </c>
    </row>
    <row r="2866">
      <c r="A2866" s="10">
        <f>Daily_Data!A2866</f>
        <v>40536</v>
      </c>
      <c r="B2866" s="11" t="str">
        <f>Daily_Data!J2866</f>
        <v/>
      </c>
      <c r="C2866" s="11" t="str">
        <f>Daily_Data!I2866</f>
        <v/>
      </c>
      <c r="D2866" s="12">
        <f>if(sum(Daily_Data!K2866:L2866)&gt;0,1,0)</f>
        <v>0</v>
      </c>
    </row>
    <row r="2867">
      <c r="A2867" s="10">
        <f>Daily_Data!A2867</f>
        <v>40539</v>
      </c>
      <c r="B2867" s="11">
        <f>Daily_Data!J2867</f>
        <v>17.67</v>
      </c>
      <c r="C2867" s="11" t="str">
        <f>Daily_Data!I2867</f>
        <v/>
      </c>
      <c r="D2867" s="12">
        <f>if(sum(Daily_Data!K2867:L2867)&gt;0,1,0)</f>
        <v>0</v>
      </c>
    </row>
    <row r="2868">
      <c r="A2868" s="10">
        <f>Daily_Data!A2868</f>
        <v>40540</v>
      </c>
      <c r="B2868" s="11">
        <f>Daily_Data!J2868</f>
        <v>17.52</v>
      </c>
      <c r="C2868" s="11" t="str">
        <f>Daily_Data!I2868</f>
        <v/>
      </c>
      <c r="D2868" s="12">
        <f>if(sum(Daily_Data!K2868:L2868)&gt;0,1,0)</f>
        <v>0</v>
      </c>
    </row>
    <row r="2869">
      <c r="A2869" s="10">
        <f>Daily_Data!A2869</f>
        <v>40541</v>
      </c>
      <c r="B2869" s="11">
        <f>Daily_Data!J2869</f>
        <v>17.28</v>
      </c>
      <c r="C2869" s="11">
        <f>Daily_Data!I2869</f>
        <v>3.36</v>
      </c>
      <c r="D2869" s="12">
        <f>if(sum(Daily_Data!K2869:L2869)&gt;0,1,0)</f>
        <v>0</v>
      </c>
    </row>
    <row r="2870">
      <c r="A2870" s="10">
        <f>Daily_Data!A2870</f>
        <v>40542</v>
      </c>
      <c r="B2870" s="11">
        <f>Daily_Data!J2870</f>
        <v>17.52</v>
      </c>
      <c r="C2870" s="11">
        <f>Daily_Data!I2870</f>
        <v>3.34</v>
      </c>
      <c r="D2870" s="12">
        <f>if(sum(Daily_Data!K2870:L2870)&gt;0,1,0)</f>
        <v>0</v>
      </c>
    </row>
    <row r="2871">
      <c r="A2871" s="10">
        <f>Daily_Data!A2871</f>
        <v>40543</v>
      </c>
      <c r="B2871" s="11">
        <f>Daily_Data!J2871</f>
        <v>17.75</v>
      </c>
      <c r="C2871" s="11">
        <f>Daily_Data!I2871</f>
        <v>3.39</v>
      </c>
      <c r="D2871" s="12">
        <f>if(sum(Daily_Data!K2871:L2871)&gt;0,1,0)</f>
        <v>0</v>
      </c>
    </row>
    <row r="2872">
      <c r="A2872" s="10">
        <f>Daily_Data!A2872</f>
        <v>40546</v>
      </c>
      <c r="B2872" s="11">
        <f>Daily_Data!J2872</f>
        <v>17.61</v>
      </c>
      <c r="C2872" s="11" t="str">
        <f>Daily_Data!I2872</f>
        <v/>
      </c>
      <c r="D2872" s="12">
        <f>if(sum(Daily_Data!K2872:L2872)&gt;0,1,0)</f>
        <v>0</v>
      </c>
    </row>
    <row r="2873">
      <c r="A2873" s="10">
        <f>Daily_Data!A2873</f>
        <v>40547</v>
      </c>
      <c r="B2873" s="11">
        <f>Daily_Data!J2873</f>
        <v>17.38</v>
      </c>
      <c r="C2873" s="11" t="str">
        <f>Daily_Data!I2873</f>
        <v/>
      </c>
      <c r="D2873" s="12">
        <f>if(sum(Daily_Data!K2873:L2873)&gt;0,1,0)</f>
        <v>0</v>
      </c>
    </row>
    <row r="2874">
      <c r="A2874" s="10">
        <f>Daily_Data!A2874</f>
        <v>40548</v>
      </c>
      <c r="B2874" s="11">
        <f>Daily_Data!J2874</f>
        <v>17.02</v>
      </c>
      <c r="C2874" s="11">
        <f>Daily_Data!I2874</f>
        <v>3.07</v>
      </c>
      <c r="D2874" s="12">
        <f>if(sum(Daily_Data!K2874:L2874)&gt;0,1,0)</f>
        <v>0</v>
      </c>
    </row>
    <row r="2875">
      <c r="A2875" s="10">
        <f>Daily_Data!A2875</f>
        <v>40549</v>
      </c>
      <c r="B2875" s="11">
        <f>Daily_Data!J2875</f>
        <v>17.4</v>
      </c>
      <c r="C2875" s="11">
        <f>Daily_Data!I2875</f>
        <v>3.11</v>
      </c>
      <c r="D2875" s="12">
        <f>if(sum(Daily_Data!K2875:L2875)&gt;0,1,0)</f>
        <v>0</v>
      </c>
    </row>
    <row r="2876">
      <c r="A2876" s="10">
        <f>Daily_Data!A2876</f>
        <v>40550</v>
      </c>
      <c r="B2876" s="11">
        <f>Daily_Data!J2876</f>
        <v>17.14</v>
      </c>
      <c r="C2876" s="11">
        <f>Daily_Data!I2876</f>
        <v>3.19</v>
      </c>
      <c r="D2876" s="12">
        <f>if(sum(Daily_Data!K2876:L2876)&gt;0,1,0)</f>
        <v>1</v>
      </c>
    </row>
    <row r="2877">
      <c r="A2877" s="10">
        <f>Daily_Data!A2877</f>
        <v>40553</v>
      </c>
      <c r="B2877" s="11">
        <f>Daily_Data!J2877</f>
        <v>17.54</v>
      </c>
      <c r="C2877" s="11">
        <f>Daily_Data!I2877</f>
        <v>3.19</v>
      </c>
      <c r="D2877" s="12">
        <f>if(sum(Daily_Data!K2877:L2877)&gt;0,1,0)</f>
        <v>0</v>
      </c>
    </row>
    <row r="2878">
      <c r="A2878" s="10">
        <f>Daily_Data!A2878</f>
        <v>40554</v>
      </c>
      <c r="B2878" s="11">
        <f>Daily_Data!J2878</f>
        <v>16.89</v>
      </c>
      <c r="C2878" s="11">
        <f>Daily_Data!I2878</f>
        <v>3.15</v>
      </c>
      <c r="D2878" s="12">
        <f>if(sum(Daily_Data!K2878:L2878)&gt;0,1,0)</f>
        <v>0</v>
      </c>
    </row>
    <row r="2879">
      <c r="A2879" s="10">
        <f>Daily_Data!A2879</f>
        <v>40555</v>
      </c>
      <c r="B2879" s="11">
        <f>Daily_Data!J2879</f>
        <v>16.24</v>
      </c>
      <c r="C2879" s="11">
        <f>Daily_Data!I2879</f>
        <v>3.17</v>
      </c>
      <c r="D2879" s="12">
        <f>if(sum(Daily_Data!K2879:L2879)&gt;0,1,0)</f>
        <v>0</v>
      </c>
    </row>
    <row r="2880">
      <c r="A2880" s="10">
        <f>Daily_Data!A2880</f>
        <v>40556</v>
      </c>
      <c r="B2880" s="11">
        <f>Daily_Data!J2880</f>
        <v>16.39</v>
      </c>
      <c r="C2880" s="11">
        <f>Daily_Data!I2880</f>
        <v>3.28</v>
      </c>
      <c r="D2880" s="12">
        <f>if(sum(Daily_Data!K2880:L2880)&gt;0,1,0)</f>
        <v>0</v>
      </c>
    </row>
    <row r="2881">
      <c r="A2881" s="10">
        <f>Daily_Data!A2881</f>
        <v>40557</v>
      </c>
      <c r="B2881" s="11">
        <f>Daily_Data!J2881</f>
        <v>15.46</v>
      </c>
      <c r="C2881" s="11">
        <f>Daily_Data!I2881</f>
        <v>3.32</v>
      </c>
      <c r="D2881" s="12">
        <f>if(sum(Daily_Data!K2881:L2881)&gt;0,1,0)</f>
        <v>1</v>
      </c>
    </row>
    <row r="2882">
      <c r="A2882" s="10">
        <f>Daily_Data!A2882</f>
        <v>40560</v>
      </c>
      <c r="B2882" s="11" t="str">
        <f>Daily_Data!J2882</f>
        <v/>
      </c>
      <c r="C2882" s="11" t="str">
        <f>Daily_Data!I2882</f>
        <v/>
      </c>
      <c r="D2882" s="12">
        <f>if(sum(Daily_Data!K2882:L2882)&gt;0,1,0)</f>
        <v>0</v>
      </c>
    </row>
    <row r="2883">
      <c r="A2883" s="10">
        <f>Daily_Data!A2883</f>
        <v>40561</v>
      </c>
      <c r="B2883" s="11">
        <f>Daily_Data!J2883</f>
        <v>15.87</v>
      </c>
      <c r="C2883" s="11">
        <f>Daily_Data!I2883</f>
        <v>3.28</v>
      </c>
      <c r="D2883" s="12">
        <f>if(sum(Daily_Data!K2883:L2883)&gt;0,1,0)</f>
        <v>0</v>
      </c>
    </row>
    <row r="2884">
      <c r="A2884" s="10">
        <f>Daily_Data!A2884</f>
        <v>40562</v>
      </c>
      <c r="B2884" s="11">
        <f>Daily_Data!J2884</f>
        <v>17.31</v>
      </c>
      <c r="C2884" s="11">
        <f>Daily_Data!I2884</f>
        <v>3.29</v>
      </c>
      <c r="D2884" s="12">
        <f>if(sum(Daily_Data!K2884:L2884)&gt;0,1,0)</f>
        <v>0</v>
      </c>
    </row>
    <row r="2885">
      <c r="A2885" s="10">
        <f>Daily_Data!A2885</f>
        <v>40563</v>
      </c>
      <c r="B2885" s="11">
        <f>Daily_Data!J2885</f>
        <v>17.99</v>
      </c>
      <c r="C2885" s="11">
        <f>Daily_Data!I2885</f>
        <v>3.21</v>
      </c>
      <c r="D2885" s="12">
        <f>if(sum(Daily_Data!K2885:L2885)&gt;0,1,0)</f>
        <v>0</v>
      </c>
    </row>
    <row r="2886">
      <c r="A2886" s="10">
        <f>Daily_Data!A2886</f>
        <v>40564</v>
      </c>
      <c r="B2886" s="11">
        <f>Daily_Data!J2886</f>
        <v>18.47</v>
      </c>
      <c r="C2886" s="11">
        <f>Daily_Data!I2886</f>
        <v>3.24</v>
      </c>
      <c r="D2886" s="12">
        <f>if(sum(Daily_Data!K2886:L2886)&gt;0,1,0)</f>
        <v>0</v>
      </c>
    </row>
    <row r="2887">
      <c r="A2887" s="10">
        <f>Daily_Data!A2887</f>
        <v>40567</v>
      </c>
      <c r="B2887" s="11">
        <f>Daily_Data!J2887</f>
        <v>17.65</v>
      </c>
      <c r="C2887" s="11">
        <f>Daily_Data!I2887</f>
        <v>3.22</v>
      </c>
      <c r="D2887" s="12">
        <f>if(sum(Daily_Data!K2887:L2887)&gt;0,1,0)</f>
        <v>0</v>
      </c>
    </row>
    <row r="2888">
      <c r="A2888" s="10">
        <f>Daily_Data!A2888</f>
        <v>40568</v>
      </c>
      <c r="B2888" s="11">
        <f>Daily_Data!J2888</f>
        <v>17.59</v>
      </c>
      <c r="C2888" s="11">
        <f>Daily_Data!I2888</f>
        <v>3.24</v>
      </c>
      <c r="D2888" s="12">
        <f>if(sum(Daily_Data!K2888:L2888)&gt;0,1,0)</f>
        <v>0</v>
      </c>
    </row>
    <row r="2889">
      <c r="A2889" s="10">
        <f>Daily_Data!A2889</f>
        <v>40569</v>
      </c>
      <c r="B2889" s="11">
        <f>Daily_Data!J2889</f>
        <v>16.64</v>
      </c>
      <c r="C2889" s="11">
        <f>Daily_Data!I2889</f>
        <v>3.23</v>
      </c>
      <c r="D2889" s="12">
        <f>if(sum(Daily_Data!K2889:L2889)&gt;0,1,0)</f>
        <v>0</v>
      </c>
    </row>
    <row r="2890">
      <c r="A2890" s="10">
        <f>Daily_Data!A2890</f>
        <v>40570</v>
      </c>
      <c r="B2890" s="11">
        <f>Daily_Data!J2890</f>
        <v>16.15</v>
      </c>
      <c r="C2890" s="11">
        <f>Daily_Data!I2890</f>
        <v>3.29</v>
      </c>
      <c r="D2890" s="12">
        <f>if(sum(Daily_Data!K2890:L2890)&gt;0,1,0)</f>
        <v>0</v>
      </c>
    </row>
    <row r="2891">
      <c r="A2891" s="10">
        <f>Daily_Data!A2891</f>
        <v>40571</v>
      </c>
      <c r="B2891" s="11">
        <f>Daily_Data!J2891</f>
        <v>20.04</v>
      </c>
      <c r="C2891" s="11">
        <f>Daily_Data!I2891</f>
        <v>3.32</v>
      </c>
      <c r="D2891" s="12">
        <f>if(sum(Daily_Data!K2891:L2891)&gt;0,1,0)</f>
        <v>0</v>
      </c>
    </row>
    <row r="2892">
      <c r="A2892" s="10">
        <f>Daily_Data!A2892</f>
        <v>40574</v>
      </c>
      <c r="B2892" s="11">
        <f>Daily_Data!J2892</f>
        <v>19.53</v>
      </c>
      <c r="C2892" s="11">
        <f>Daily_Data!I2892</f>
        <v>3.28</v>
      </c>
      <c r="D2892" s="12">
        <f>if(sum(Daily_Data!K2892:L2892)&gt;0,1,0)</f>
        <v>0</v>
      </c>
    </row>
    <row r="2893">
      <c r="A2893" s="10">
        <f>Daily_Data!A2893</f>
        <v>40575</v>
      </c>
      <c r="B2893" s="11">
        <f>Daily_Data!J2893</f>
        <v>17.63</v>
      </c>
      <c r="C2893" s="11">
        <f>Daily_Data!I2893</f>
        <v>3.24</v>
      </c>
      <c r="D2893" s="12">
        <f>if(sum(Daily_Data!K2893:L2893)&gt;0,1,0)</f>
        <v>0</v>
      </c>
    </row>
    <row r="2894">
      <c r="A2894" s="10">
        <f>Daily_Data!A2894</f>
        <v>40576</v>
      </c>
      <c r="B2894" s="11">
        <f>Daily_Data!J2894</f>
        <v>17.3</v>
      </c>
      <c r="C2894" s="11">
        <f>Daily_Data!I2894</f>
        <v>3.18</v>
      </c>
      <c r="D2894" s="12">
        <f>if(sum(Daily_Data!K2894:L2894)&gt;0,1,0)</f>
        <v>0</v>
      </c>
    </row>
    <row r="2895">
      <c r="A2895" s="10">
        <f>Daily_Data!A2895</f>
        <v>40577</v>
      </c>
      <c r="B2895" s="11">
        <f>Daily_Data!J2895</f>
        <v>16.69</v>
      </c>
      <c r="C2895" s="11">
        <f>Daily_Data!I2895</f>
        <v>3.09</v>
      </c>
      <c r="D2895" s="12">
        <f>if(sum(Daily_Data!K2895:L2895)&gt;0,1,0)</f>
        <v>0</v>
      </c>
    </row>
    <row r="2896">
      <c r="A2896" s="10">
        <f>Daily_Data!A2896</f>
        <v>40578</v>
      </c>
      <c r="B2896" s="11">
        <f>Daily_Data!J2896</f>
        <v>15.93</v>
      </c>
      <c r="C2896" s="11">
        <f>Daily_Data!I2896</f>
        <v>3.04</v>
      </c>
      <c r="D2896" s="12">
        <f>if(sum(Daily_Data!K2896:L2896)&gt;0,1,0)</f>
        <v>1</v>
      </c>
    </row>
    <row r="2897">
      <c r="A2897" s="10">
        <f>Daily_Data!A2897</f>
        <v>40581</v>
      </c>
      <c r="B2897" s="11">
        <f>Daily_Data!J2897</f>
        <v>16.28</v>
      </c>
      <c r="C2897" s="11">
        <f>Daily_Data!I2897</f>
        <v>3.04</v>
      </c>
      <c r="D2897" s="12">
        <f>if(sum(Daily_Data!K2897:L2897)&gt;0,1,0)</f>
        <v>0</v>
      </c>
    </row>
    <row r="2898">
      <c r="A2898" s="10">
        <f>Daily_Data!A2898</f>
        <v>40582</v>
      </c>
      <c r="B2898" s="11">
        <f>Daily_Data!J2898</f>
        <v>15.81</v>
      </c>
      <c r="C2898" s="11">
        <f>Daily_Data!I2898</f>
        <v>2.95</v>
      </c>
      <c r="D2898" s="12">
        <f>if(sum(Daily_Data!K2898:L2898)&gt;0,1,0)</f>
        <v>0</v>
      </c>
    </row>
    <row r="2899">
      <c r="A2899" s="10">
        <f>Daily_Data!A2899</f>
        <v>40583</v>
      </c>
      <c r="B2899" s="11">
        <f>Daily_Data!J2899</f>
        <v>15.87</v>
      </c>
      <c r="C2899" s="11">
        <f>Daily_Data!I2899</f>
        <v>3.03</v>
      </c>
      <c r="D2899" s="12">
        <f>if(sum(Daily_Data!K2899:L2899)&gt;0,1,0)</f>
        <v>0</v>
      </c>
    </row>
    <row r="2900">
      <c r="A2900" s="10">
        <f>Daily_Data!A2900</f>
        <v>40584</v>
      </c>
      <c r="B2900" s="11">
        <f>Daily_Data!J2900</f>
        <v>16.09</v>
      </c>
      <c r="C2900" s="11">
        <f>Daily_Data!I2900</f>
        <v>3</v>
      </c>
      <c r="D2900" s="12">
        <f>if(sum(Daily_Data!K2900:L2900)&gt;0,1,0)</f>
        <v>0</v>
      </c>
    </row>
    <row r="2901">
      <c r="A2901" s="10">
        <f>Daily_Data!A2901</f>
        <v>40585</v>
      </c>
      <c r="B2901" s="11">
        <f>Daily_Data!J2901</f>
        <v>15.69</v>
      </c>
      <c r="C2901" s="11">
        <f>Daily_Data!I2901</f>
        <v>2.97</v>
      </c>
      <c r="D2901" s="12">
        <f>if(sum(Daily_Data!K2901:L2901)&gt;0,1,0)</f>
        <v>0</v>
      </c>
    </row>
    <row r="2902">
      <c r="A2902" s="10">
        <f>Daily_Data!A2902</f>
        <v>40588</v>
      </c>
      <c r="B2902" s="11">
        <f>Daily_Data!J2902</f>
        <v>15.95</v>
      </c>
      <c r="C2902" s="11">
        <f>Daily_Data!I2902</f>
        <v>2.92</v>
      </c>
      <c r="D2902" s="12">
        <f>if(sum(Daily_Data!K2902:L2902)&gt;0,1,0)</f>
        <v>0</v>
      </c>
    </row>
    <row r="2903">
      <c r="A2903" s="10">
        <f>Daily_Data!A2903</f>
        <v>40589</v>
      </c>
      <c r="B2903" s="11">
        <f>Daily_Data!J2903</f>
        <v>16.37</v>
      </c>
      <c r="C2903" s="11">
        <f>Daily_Data!I2903</f>
        <v>2.93</v>
      </c>
      <c r="D2903" s="12">
        <f>if(sum(Daily_Data!K2903:L2903)&gt;0,1,0)</f>
        <v>0</v>
      </c>
    </row>
    <row r="2904">
      <c r="A2904" s="10">
        <f>Daily_Data!A2904</f>
        <v>40590</v>
      </c>
      <c r="B2904" s="11">
        <f>Daily_Data!J2904</f>
        <v>16.72</v>
      </c>
      <c r="C2904" s="11">
        <f>Daily_Data!I2904</f>
        <v>2.92</v>
      </c>
      <c r="D2904" s="12">
        <f>if(sum(Daily_Data!K2904:L2904)&gt;0,1,0)</f>
        <v>0</v>
      </c>
    </row>
    <row r="2905">
      <c r="A2905" s="10">
        <f>Daily_Data!A2905</f>
        <v>40591</v>
      </c>
      <c r="B2905" s="11">
        <f>Daily_Data!J2905</f>
        <v>16.59</v>
      </c>
      <c r="C2905" s="11">
        <f>Daily_Data!I2905</f>
        <v>2.98</v>
      </c>
      <c r="D2905" s="12">
        <f>if(sum(Daily_Data!K2905:L2905)&gt;0,1,0)</f>
        <v>1</v>
      </c>
    </row>
    <row r="2906">
      <c r="A2906" s="10">
        <f>Daily_Data!A2906</f>
        <v>40592</v>
      </c>
      <c r="B2906" s="11">
        <f>Daily_Data!J2906</f>
        <v>16.43</v>
      </c>
      <c r="C2906" s="11">
        <f>Daily_Data!I2906</f>
        <v>3</v>
      </c>
      <c r="D2906" s="12">
        <f>if(sum(Daily_Data!K2906:L2906)&gt;0,1,0)</f>
        <v>0</v>
      </c>
    </row>
    <row r="2907">
      <c r="A2907" s="10">
        <f>Daily_Data!A2907</f>
        <v>40595</v>
      </c>
      <c r="B2907" s="11" t="str">
        <f>Daily_Data!J2907</f>
        <v/>
      </c>
      <c r="C2907" s="11" t="str">
        <f>Daily_Data!I2907</f>
        <v/>
      </c>
      <c r="D2907" s="12">
        <f>if(sum(Daily_Data!K2907:L2907)&gt;0,1,0)</f>
        <v>0</v>
      </c>
    </row>
    <row r="2908">
      <c r="A2908" s="10">
        <f>Daily_Data!A2908</f>
        <v>40596</v>
      </c>
      <c r="B2908" s="11">
        <f>Daily_Data!J2908</f>
        <v>20.8</v>
      </c>
      <c r="C2908" s="11">
        <f>Daily_Data!I2908</f>
        <v>2.92</v>
      </c>
      <c r="D2908" s="12">
        <f>if(sum(Daily_Data!K2908:L2908)&gt;0,1,0)</f>
        <v>0</v>
      </c>
    </row>
    <row r="2909">
      <c r="A2909" s="10">
        <f>Daily_Data!A2909</f>
        <v>40597</v>
      </c>
      <c r="B2909" s="11">
        <f>Daily_Data!J2909</f>
        <v>22.13</v>
      </c>
      <c r="C2909" s="11">
        <f>Daily_Data!I2909</f>
        <v>2.81</v>
      </c>
      <c r="D2909" s="12">
        <f>if(sum(Daily_Data!K2909:L2909)&gt;0,1,0)</f>
        <v>0</v>
      </c>
    </row>
    <row r="2910">
      <c r="A2910" s="10">
        <f>Daily_Data!A2910</f>
        <v>40598</v>
      </c>
      <c r="B2910" s="11">
        <f>Daily_Data!J2910</f>
        <v>21.32</v>
      </c>
      <c r="C2910" s="11">
        <f>Daily_Data!I2910</f>
        <v>2.71</v>
      </c>
      <c r="D2910" s="12">
        <f>if(sum(Daily_Data!K2910:L2910)&gt;0,1,0)</f>
        <v>0</v>
      </c>
    </row>
    <row r="2911">
      <c r="A2911" s="10">
        <f>Daily_Data!A2911</f>
        <v>40599</v>
      </c>
      <c r="B2911" s="11">
        <f>Daily_Data!J2911</f>
        <v>19.22</v>
      </c>
      <c r="C2911" s="11">
        <f>Daily_Data!I2911</f>
        <v>2.64</v>
      </c>
      <c r="D2911" s="12">
        <f>if(sum(Daily_Data!K2911:L2911)&gt;0,1,0)</f>
        <v>0</v>
      </c>
    </row>
    <row r="2912">
      <c r="A2912" s="10">
        <f>Daily_Data!A2912</f>
        <v>40602</v>
      </c>
      <c r="B2912" s="11">
        <f>Daily_Data!J2912</f>
        <v>18.35</v>
      </c>
      <c r="C2912" s="11">
        <f>Daily_Data!I2912</f>
        <v>2.69</v>
      </c>
      <c r="D2912" s="12">
        <f>if(sum(Daily_Data!K2912:L2912)&gt;0,1,0)</f>
        <v>0</v>
      </c>
    </row>
    <row r="2913">
      <c r="A2913" s="10">
        <f>Daily_Data!A2913</f>
        <v>40603</v>
      </c>
      <c r="B2913" s="11">
        <f>Daily_Data!J2913</f>
        <v>21.01</v>
      </c>
      <c r="C2913" s="11">
        <f>Daily_Data!I2913</f>
        <v>2.76</v>
      </c>
      <c r="D2913" s="12">
        <f>if(sum(Daily_Data!K2913:L2913)&gt;0,1,0)</f>
        <v>0</v>
      </c>
    </row>
    <row r="2914">
      <c r="A2914" s="10">
        <f>Daily_Data!A2914</f>
        <v>40604</v>
      </c>
      <c r="B2914" s="11">
        <f>Daily_Data!J2914</f>
        <v>20.7</v>
      </c>
      <c r="C2914" s="11">
        <f>Daily_Data!I2914</f>
        <v>2.62</v>
      </c>
      <c r="D2914" s="12">
        <f>if(sum(Daily_Data!K2914:L2914)&gt;0,1,0)</f>
        <v>0</v>
      </c>
    </row>
    <row r="2915">
      <c r="A2915" s="10">
        <f>Daily_Data!A2915</f>
        <v>40605</v>
      </c>
      <c r="B2915" s="11">
        <f>Daily_Data!J2915</f>
        <v>18.6</v>
      </c>
      <c r="C2915" s="11">
        <f>Daily_Data!I2915</f>
        <v>2.56</v>
      </c>
      <c r="D2915" s="12">
        <f>if(sum(Daily_Data!K2915:L2915)&gt;0,1,0)</f>
        <v>0</v>
      </c>
    </row>
    <row r="2916">
      <c r="A2916" s="10">
        <f>Daily_Data!A2916</f>
        <v>40606</v>
      </c>
      <c r="B2916" s="11">
        <f>Daily_Data!J2916</f>
        <v>19.06</v>
      </c>
      <c r="C2916" s="11">
        <f>Daily_Data!I2916</f>
        <v>2.68</v>
      </c>
      <c r="D2916" s="12">
        <f>if(sum(Daily_Data!K2916:L2916)&gt;0,1,0)</f>
        <v>1</v>
      </c>
    </row>
    <row r="2917">
      <c r="A2917" s="10">
        <f>Daily_Data!A2917</f>
        <v>40609</v>
      </c>
      <c r="B2917" s="11">
        <f>Daily_Data!J2917</f>
        <v>20.66</v>
      </c>
      <c r="C2917" s="11">
        <f>Daily_Data!I2917</f>
        <v>2.62</v>
      </c>
      <c r="D2917" s="12">
        <f>if(sum(Daily_Data!K2917:L2917)&gt;0,1,0)</f>
        <v>0</v>
      </c>
    </row>
    <row r="2918">
      <c r="A2918" s="10">
        <f>Daily_Data!A2918</f>
        <v>40610</v>
      </c>
      <c r="B2918" s="11">
        <f>Daily_Data!J2918</f>
        <v>19.82</v>
      </c>
      <c r="C2918" s="11">
        <f>Daily_Data!I2918</f>
        <v>2.63</v>
      </c>
      <c r="D2918" s="12">
        <f>if(sum(Daily_Data!K2918:L2918)&gt;0,1,0)</f>
        <v>0</v>
      </c>
    </row>
    <row r="2919">
      <c r="A2919" s="10">
        <f>Daily_Data!A2919</f>
        <v>40611</v>
      </c>
      <c r="B2919" s="11">
        <f>Daily_Data!J2919</f>
        <v>20.22</v>
      </c>
      <c r="C2919" s="11">
        <f>Daily_Data!I2919</f>
        <v>2.68</v>
      </c>
      <c r="D2919" s="12">
        <f>if(sum(Daily_Data!K2919:L2919)&gt;0,1,0)</f>
        <v>0</v>
      </c>
    </row>
    <row r="2920">
      <c r="A2920" s="10">
        <f>Daily_Data!A2920</f>
        <v>40612</v>
      </c>
      <c r="B2920" s="11">
        <f>Daily_Data!J2920</f>
        <v>21.88</v>
      </c>
      <c r="C2920" s="11">
        <f>Daily_Data!I2920</f>
        <v>2.63</v>
      </c>
      <c r="D2920" s="12">
        <f>if(sum(Daily_Data!K2920:L2920)&gt;0,1,0)</f>
        <v>0</v>
      </c>
    </row>
    <row r="2921">
      <c r="A2921" s="10">
        <f>Daily_Data!A2921</f>
        <v>40613</v>
      </c>
      <c r="B2921" s="11">
        <f>Daily_Data!J2921</f>
        <v>20.08</v>
      </c>
      <c r="C2921" s="11">
        <f>Daily_Data!I2921</f>
        <v>2.63</v>
      </c>
      <c r="D2921" s="12">
        <f>if(sum(Daily_Data!K2921:L2921)&gt;0,1,0)</f>
        <v>0</v>
      </c>
    </row>
    <row r="2922">
      <c r="A2922" s="10">
        <f>Daily_Data!A2922</f>
        <v>40616</v>
      </c>
      <c r="B2922" s="11">
        <f>Daily_Data!J2922</f>
        <v>21.13</v>
      </c>
      <c r="C2922" s="11">
        <f>Daily_Data!I2922</f>
        <v>2.61</v>
      </c>
      <c r="D2922" s="12">
        <f>if(sum(Daily_Data!K2922:L2922)&gt;0,1,0)</f>
        <v>0</v>
      </c>
    </row>
    <row r="2923">
      <c r="A2923" s="10">
        <f>Daily_Data!A2923</f>
        <v>40617</v>
      </c>
      <c r="B2923" s="11">
        <f>Daily_Data!J2923</f>
        <v>24.32</v>
      </c>
      <c r="C2923" s="11">
        <f>Daily_Data!I2923</f>
        <v>2.53</v>
      </c>
      <c r="D2923" s="12">
        <f>if(sum(Daily_Data!K2923:L2923)&gt;0,1,0)</f>
        <v>0</v>
      </c>
    </row>
    <row r="2924">
      <c r="A2924" s="10">
        <f>Daily_Data!A2924</f>
        <v>40618</v>
      </c>
      <c r="B2924" s="11">
        <f>Daily_Data!J2924</f>
        <v>29.4</v>
      </c>
      <c r="C2924" s="11">
        <f>Daily_Data!I2924</f>
        <v>2.6</v>
      </c>
      <c r="D2924" s="12">
        <f>if(sum(Daily_Data!K2924:L2924)&gt;0,1,0)</f>
        <v>0</v>
      </c>
    </row>
    <row r="2925">
      <c r="A2925" s="10">
        <f>Daily_Data!A2925</f>
        <v>40619</v>
      </c>
      <c r="B2925" s="11">
        <f>Daily_Data!J2925</f>
        <v>26.37</v>
      </c>
      <c r="C2925" s="11">
        <f>Daily_Data!I2925</f>
        <v>2.58</v>
      </c>
      <c r="D2925" s="12">
        <f>if(sum(Daily_Data!K2925:L2925)&gt;0,1,0)</f>
        <v>1</v>
      </c>
    </row>
    <row r="2926">
      <c r="A2926" s="10">
        <f>Daily_Data!A2926</f>
        <v>40620</v>
      </c>
      <c r="B2926" s="11">
        <f>Daily_Data!J2926</f>
        <v>24.44</v>
      </c>
      <c r="C2926" s="11">
        <f>Daily_Data!I2926</f>
        <v>2.62</v>
      </c>
      <c r="D2926" s="12">
        <f>if(sum(Daily_Data!K2926:L2926)&gt;0,1,0)</f>
        <v>0</v>
      </c>
    </row>
    <row r="2927">
      <c r="A2927" s="10">
        <f>Daily_Data!A2927</f>
        <v>40623</v>
      </c>
      <c r="B2927" s="11">
        <f>Daily_Data!J2927</f>
        <v>20.61</v>
      </c>
      <c r="C2927" s="11">
        <f>Daily_Data!I2927</f>
        <v>2.61</v>
      </c>
      <c r="D2927" s="12">
        <f>if(sum(Daily_Data!K2927:L2927)&gt;0,1,0)</f>
        <v>0</v>
      </c>
    </row>
    <row r="2928">
      <c r="A2928" s="10">
        <f>Daily_Data!A2928</f>
        <v>40624</v>
      </c>
      <c r="B2928" s="11">
        <f>Daily_Data!J2928</f>
        <v>20.21</v>
      </c>
      <c r="C2928" s="11">
        <f>Daily_Data!I2928</f>
        <v>2.59</v>
      </c>
      <c r="D2928" s="12">
        <f>if(sum(Daily_Data!K2928:L2928)&gt;0,1,0)</f>
        <v>0</v>
      </c>
    </row>
    <row r="2929">
      <c r="A2929" s="10">
        <f>Daily_Data!A2929</f>
        <v>40625</v>
      </c>
      <c r="B2929" s="11">
        <f>Daily_Data!J2929</f>
        <v>19.17</v>
      </c>
      <c r="C2929" s="11">
        <f>Daily_Data!I2929</f>
        <v>2.56</v>
      </c>
      <c r="D2929" s="12">
        <f>if(sum(Daily_Data!K2929:L2929)&gt;0,1,0)</f>
        <v>0</v>
      </c>
    </row>
    <row r="2930">
      <c r="A2930" s="10">
        <f>Daily_Data!A2930</f>
        <v>40626</v>
      </c>
      <c r="B2930" s="11">
        <f>Daily_Data!J2930</f>
        <v>18</v>
      </c>
      <c r="C2930" s="11">
        <f>Daily_Data!I2930</f>
        <v>2.54</v>
      </c>
      <c r="D2930" s="12">
        <f>if(sum(Daily_Data!K2930:L2930)&gt;0,1,0)</f>
        <v>0</v>
      </c>
    </row>
    <row r="2931">
      <c r="A2931" s="10">
        <f>Daily_Data!A2931</f>
        <v>40627</v>
      </c>
      <c r="B2931" s="11">
        <f>Daily_Data!J2931</f>
        <v>17.91</v>
      </c>
      <c r="C2931" s="11">
        <f>Daily_Data!I2931</f>
        <v>2.5</v>
      </c>
      <c r="D2931" s="12">
        <f>if(sum(Daily_Data!K2931:L2931)&gt;0,1,0)</f>
        <v>0</v>
      </c>
    </row>
    <row r="2932">
      <c r="A2932" s="10">
        <f>Daily_Data!A2932</f>
        <v>40630</v>
      </c>
      <c r="B2932" s="11">
        <f>Daily_Data!J2932</f>
        <v>19.44</v>
      </c>
      <c r="C2932" s="11">
        <f>Daily_Data!I2932</f>
        <v>2.52</v>
      </c>
      <c r="D2932" s="12">
        <f>if(sum(Daily_Data!K2932:L2932)&gt;0,1,0)</f>
        <v>0</v>
      </c>
    </row>
    <row r="2933">
      <c r="A2933" s="10">
        <f>Daily_Data!A2933</f>
        <v>40631</v>
      </c>
      <c r="B2933" s="11">
        <f>Daily_Data!J2933</f>
        <v>18.16</v>
      </c>
      <c r="C2933" s="11">
        <f>Daily_Data!I2933</f>
        <v>2.48</v>
      </c>
      <c r="D2933" s="12">
        <f>if(sum(Daily_Data!K2933:L2933)&gt;0,1,0)</f>
        <v>0</v>
      </c>
    </row>
    <row r="2934">
      <c r="A2934" s="10">
        <f>Daily_Data!A2934</f>
        <v>40632</v>
      </c>
      <c r="B2934" s="11">
        <f>Daily_Data!J2934</f>
        <v>17.71</v>
      </c>
      <c r="C2934" s="11">
        <f>Daily_Data!I2934</f>
        <v>2.5</v>
      </c>
      <c r="D2934" s="12">
        <f>if(sum(Daily_Data!K2934:L2934)&gt;0,1,0)</f>
        <v>0</v>
      </c>
    </row>
    <row r="2935">
      <c r="A2935" s="10">
        <f>Daily_Data!A2935</f>
        <v>40633</v>
      </c>
      <c r="B2935" s="11">
        <f>Daily_Data!J2935</f>
        <v>17.74</v>
      </c>
      <c r="C2935" s="11">
        <f>Daily_Data!I2935</f>
        <v>2.5</v>
      </c>
      <c r="D2935" s="12">
        <f>if(sum(Daily_Data!K2935:L2935)&gt;0,1,0)</f>
        <v>0</v>
      </c>
    </row>
    <row r="2936">
      <c r="A2936" s="10">
        <f>Daily_Data!A2936</f>
        <v>40634</v>
      </c>
      <c r="B2936" s="11">
        <f>Daily_Data!J2936</f>
        <v>17.4</v>
      </c>
      <c r="C2936" s="11">
        <f>Daily_Data!I2936</f>
        <v>2.52</v>
      </c>
      <c r="D2936" s="12">
        <f>if(sum(Daily_Data!K2936:L2936)&gt;0,1,0)</f>
        <v>1</v>
      </c>
    </row>
    <row r="2937">
      <c r="A2937" s="10">
        <f>Daily_Data!A2937</f>
        <v>40637</v>
      </c>
      <c r="B2937" s="11">
        <f>Daily_Data!J2937</f>
        <v>17.5</v>
      </c>
      <c r="C2937" s="11">
        <f>Daily_Data!I2937</f>
        <v>2.53</v>
      </c>
      <c r="D2937" s="12">
        <f>if(sum(Daily_Data!K2937:L2937)&gt;0,1,0)</f>
        <v>0</v>
      </c>
    </row>
    <row r="2938">
      <c r="A2938" s="10">
        <f>Daily_Data!A2938</f>
        <v>40638</v>
      </c>
      <c r="B2938" s="11">
        <f>Daily_Data!J2938</f>
        <v>17.25</v>
      </c>
      <c r="C2938" s="11">
        <f>Daily_Data!I2938</f>
        <v>2.45</v>
      </c>
      <c r="D2938" s="12">
        <f>if(sum(Daily_Data!K2938:L2938)&gt;0,1,0)</f>
        <v>0</v>
      </c>
    </row>
    <row r="2939">
      <c r="A2939" s="10">
        <f>Daily_Data!A2939</f>
        <v>40639</v>
      </c>
      <c r="B2939" s="11">
        <f>Daily_Data!J2939</f>
        <v>16.9</v>
      </c>
      <c r="C2939" s="11">
        <f>Daily_Data!I2939</f>
        <v>2.46</v>
      </c>
      <c r="D2939" s="12">
        <f>if(sum(Daily_Data!K2939:L2939)&gt;0,1,0)</f>
        <v>0</v>
      </c>
    </row>
    <row r="2940">
      <c r="A2940" s="10">
        <f>Daily_Data!A2940</f>
        <v>40640</v>
      </c>
      <c r="B2940" s="11">
        <f>Daily_Data!J2940</f>
        <v>17.11</v>
      </c>
      <c r="C2940" s="11">
        <f>Daily_Data!I2940</f>
        <v>2.52</v>
      </c>
      <c r="D2940" s="12">
        <f>if(sum(Daily_Data!K2940:L2940)&gt;0,1,0)</f>
        <v>0</v>
      </c>
    </row>
    <row r="2941">
      <c r="A2941" s="10">
        <f>Daily_Data!A2941</f>
        <v>40641</v>
      </c>
      <c r="B2941" s="11">
        <f>Daily_Data!J2941</f>
        <v>17.87</v>
      </c>
      <c r="C2941" s="11">
        <f>Daily_Data!I2941</f>
        <v>2.49</v>
      </c>
      <c r="D2941" s="12">
        <f>if(sum(Daily_Data!K2941:L2941)&gt;0,1,0)</f>
        <v>0</v>
      </c>
    </row>
    <row r="2942">
      <c r="A2942" s="10">
        <f>Daily_Data!A2942</f>
        <v>40644</v>
      </c>
      <c r="B2942" s="11">
        <f>Daily_Data!J2942</f>
        <v>16.59</v>
      </c>
      <c r="C2942" s="11">
        <f>Daily_Data!I2942</f>
        <v>2.5</v>
      </c>
      <c r="D2942" s="12">
        <f>if(sum(Daily_Data!K2942:L2942)&gt;0,1,0)</f>
        <v>0</v>
      </c>
    </row>
    <row r="2943">
      <c r="A2943" s="10">
        <f>Daily_Data!A2943</f>
        <v>40645</v>
      </c>
      <c r="B2943" s="11">
        <f>Daily_Data!J2943</f>
        <v>17.09</v>
      </c>
      <c r="C2943" s="11">
        <f>Daily_Data!I2943</f>
        <v>2.63</v>
      </c>
      <c r="D2943" s="12">
        <f>if(sum(Daily_Data!K2943:L2943)&gt;0,1,0)</f>
        <v>0</v>
      </c>
    </row>
    <row r="2944">
      <c r="A2944" s="10">
        <f>Daily_Data!A2944</f>
        <v>40646</v>
      </c>
      <c r="B2944" s="11">
        <f>Daily_Data!J2944</f>
        <v>16.92</v>
      </c>
      <c r="C2944" s="11">
        <f>Daily_Data!I2944</f>
        <v>2.7</v>
      </c>
      <c r="D2944" s="12">
        <f>if(sum(Daily_Data!K2944:L2944)&gt;0,1,0)</f>
        <v>0</v>
      </c>
    </row>
    <row r="2945">
      <c r="A2945" s="10">
        <f>Daily_Data!A2945</f>
        <v>40647</v>
      </c>
      <c r="B2945" s="11">
        <f>Daily_Data!J2945</f>
        <v>16.27</v>
      </c>
      <c r="C2945" s="11">
        <f>Daily_Data!I2945</f>
        <v>2.67</v>
      </c>
      <c r="D2945" s="12">
        <f>if(sum(Daily_Data!K2945:L2945)&gt;0,1,0)</f>
        <v>0</v>
      </c>
    </row>
    <row r="2946">
      <c r="A2946" s="10">
        <f>Daily_Data!A2946</f>
        <v>40648</v>
      </c>
      <c r="B2946" s="11">
        <f>Daily_Data!J2946</f>
        <v>15.32</v>
      </c>
      <c r="C2946" s="11">
        <f>Daily_Data!I2946</f>
        <v>2.75</v>
      </c>
      <c r="D2946" s="12">
        <f>if(sum(Daily_Data!K2946:L2946)&gt;0,1,0)</f>
        <v>1</v>
      </c>
    </row>
    <row r="2947">
      <c r="A2947" s="10">
        <f>Daily_Data!A2947</f>
        <v>40651</v>
      </c>
      <c r="B2947" s="11">
        <f>Daily_Data!J2947</f>
        <v>16.96</v>
      </c>
      <c r="C2947" s="11">
        <f>Daily_Data!I2947</f>
        <v>2.7</v>
      </c>
      <c r="D2947" s="12">
        <f>if(sum(Daily_Data!K2947:L2947)&gt;0,1,0)</f>
        <v>0</v>
      </c>
    </row>
    <row r="2948">
      <c r="A2948" s="10">
        <f>Daily_Data!A2948</f>
        <v>40652</v>
      </c>
      <c r="B2948" s="11">
        <f>Daily_Data!J2948</f>
        <v>15.83</v>
      </c>
      <c r="C2948" s="11">
        <f>Daily_Data!I2948</f>
        <v>2.66</v>
      </c>
      <c r="D2948" s="12">
        <f>if(sum(Daily_Data!K2948:L2948)&gt;0,1,0)</f>
        <v>0</v>
      </c>
    </row>
    <row r="2949">
      <c r="A2949" s="10">
        <f>Daily_Data!A2949</f>
        <v>40653</v>
      </c>
      <c r="B2949" s="11">
        <f>Daily_Data!J2949</f>
        <v>15.07</v>
      </c>
      <c r="C2949" s="11">
        <f>Daily_Data!I2949</f>
        <v>2.7</v>
      </c>
      <c r="D2949" s="12">
        <f>if(sum(Daily_Data!K2949:L2949)&gt;0,1,0)</f>
        <v>0</v>
      </c>
    </row>
    <row r="2950">
      <c r="A2950" s="10">
        <f>Daily_Data!A2950</f>
        <v>40654</v>
      </c>
      <c r="B2950" s="11">
        <f>Daily_Data!J2950</f>
        <v>14.69</v>
      </c>
      <c r="C2950" s="11">
        <f>Daily_Data!I2950</f>
        <v>2.68</v>
      </c>
      <c r="D2950" s="12">
        <f>if(sum(Daily_Data!K2950:L2950)&gt;0,1,0)</f>
        <v>0</v>
      </c>
    </row>
    <row r="2951">
      <c r="A2951" s="10">
        <f>Daily_Data!A2951</f>
        <v>40655</v>
      </c>
      <c r="B2951" s="11" t="str">
        <f>Daily_Data!J2951</f>
        <v/>
      </c>
      <c r="C2951" s="11" t="str">
        <f>Daily_Data!I2951</f>
        <v/>
      </c>
      <c r="D2951" s="12">
        <f>if(sum(Daily_Data!K2951:L2951)&gt;0,1,0)</f>
        <v>0</v>
      </c>
    </row>
    <row r="2952">
      <c r="A2952" s="10">
        <f>Daily_Data!A2952</f>
        <v>40658</v>
      </c>
      <c r="B2952" s="11">
        <f>Daily_Data!J2952</f>
        <v>15.77</v>
      </c>
      <c r="C2952" s="11" t="str">
        <f>Daily_Data!I2952</f>
        <v/>
      </c>
      <c r="D2952" s="12">
        <f>if(sum(Daily_Data!K2952:L2952)&gt;0,1,0)</f>
        <v>0</v>
      </c>
    </row>
    <row r="2953">
      <c r="A2953" s="10">
        <f>Daily_Data!A2953</f>
        <v>40659</v>
      </c>
      <c r="B2953" s="11">
        <f>Daily_Data!J2953</f>
        <v>15.62</v>
      </c>
      <c r="C2953" s="11">
        <f>Daily_Data!I2953</f>
        <v>2.69</v>
      </c>
      <c r="D2953" s="12">
        <f>if(sum(Daily_Data!K2953:L2953)&gt;0,1,0)</f>
        <v>0</v>
      </c>
    </row>
    <row r="2954">
      <c r="A2954" s="10">
        <f>Daily_Data!A2954</f>
        <v>40660</v>
      </c>
      <c r="B2954" s="11">
        <f>Daily_Data!J2954</f>
        <v>15.35</v>
      </c>
      <c r="C2954" s="11">
        <f>Daily_Data!I2954</f>
        <v>2.73</v>
      </c>
      <c r="D2954" s="12">
        <f>if(sum(Daily_Data!K2954:L2954)&gt;0,1,0)</f>
        <v>0</v>
      </c>
    </row>
    <row r="2955">
      <c r="A2955" s="10">
        <f>Daily_Data!A2955</f>
        <v>40661</v>
      </c>
      <c r="B2955" s="11">
        <f>Daily_Data!J2955</f>
        <v>14.62</v>
      </c>
      <c r="C2955" s="11">
        <f>Daily_Data!I2955</f>
        <v>2.72</v>
      </c>
      <c r="D2955" s="12">
        <f>if(sum(Daily_Data!K2955:L2955)&gt;0,1,0)</f>
        <v>0</v>
      </c>
    </row>
    <row r="2956">
      <c r="A2956" s="10">
        <f>Daily_Data!A2956</f>
        <v>40662</v>
      </c>
      <c r="B2956" s="11">
        <f>Daily_Data!J2956</f>
        <v>14.75</v>
      </c>
      <c r="C2956" s="11">
        <f>Daily_Data!I2956</f>
        <v>2.73</v>
      </c>
      <c r="D2956" s="12">
        <f>if(sum(Daily_Data!K2956:L2956)&gt;0,1,0)</f>
        <v>0</v>
      </c>
    </row>
    <row r="2957">
      <c r="A2957" s="10">
        <f>Daily_Data!A2957</f>
        <v>40665</v>
      </c>
      <c r="B2957" s="11">
        <f>Daily_Data!J2957</f>
        <v>15.99</v>
      </c>
      <c r="C2957" s="11">
        <f>Daily_Data!I2957</f>
        <v>2.76</v>
      </c>
      <c r="D2957" s="12">
        <f>if(sum(Daily_Data!K2957:L2957)&gt;0,1,0)</f>
        <v>0</v>
      </c>
    </row>
    <row r="2958">
      <c r="A2958" s="10">
        <f>Daily_Data!A2958</f>
        <v>40666</v>
      </c>
      <c r="B2958" s="11">
        <f>Daily_Data!J2958</f>
        <v>16.7</v>
      </c>
      <c r="C2958" s="11">
        <f>Daily_Data!I2958</f>
        <v>2.75</v>
      </c>
      <c r="D2958" s="12">
        <f>if(sum(Daily_Data!K2958:L2958)&gt;0,1,0)</f>
        <v>0</v>
      </c>
    </row>
    <row r="2959">
      <c r="A2959" s="10">
        <f>Daily_Data!A2959</f>
        <v>40667</v>
      </c>
      <c r="B2959" s="11">
        <f>Daily_Data!J2959</f>
        <v>17.08</v>
      </c>
      <c r="C2959" s="11">
        <f>Daily_Data!I2959</f>
        <v>2.74</v>
      </c>
      <c r="D2959" s="12">
        <f>if(sum(Daily_Data!K2959:L2959)&gt;0,1,0)</f>
        <v>0</v>
      </c>
    </row>
    <row r="2960">
      <c r="A2960" s="10">
        <f>Daily_Data!A2960</f>
        <v>40668</v>
      </c>
      <c r="B2960" s="11">
        <f>Daily_Data!J2960</f>
        <v>18.2</v>
      </c>
      <c r="C2960" s="11">
        <f>Daily_Data!I2960</f>
        <v>2.76</v>
      </c>
      <c r="D2960" s="12">
        <f>if(sum(Daily_Data!K2960:L2960)&gt;0,1,0)</f>
        <v>0</v>
      </c>
    </row>
    <row r="2961">
      <c r="A2961" s="10">
        <f>Daily_Data!A2961</f>
        <v>40669</v>
      </c>
      <c r="B2961" s="11">
        <f>Daily_Data!J2961</f>
        <v>18.4</v>
      </c>
      <c r="C2961" s="11">
        <f>Daily_Data!I2961</f>
        <v>2.79</v>
      </c>
      <c r="D2961" s="12">
        <f>if(sum(Daily_Data!K2961:L2961)&gt;0,1,0)</f>
        <v>1</v>
      </c>
    </row>
    <row r="2962">
      <c r="A2962" s="10">
        <f>Daily_Data!A2962</f>
        <v>40672</v>
      </c>
      <c r="B2962" s="11">
        <f>Daily_Data!J2962</f>
        <v>17.16</v>
      </c>
      <c r="C2962" s="11">
        <f>Daily_Data!I2962</f>
        <v>2.79</v>
      </c>
      <c r="D2962" s="12">
        <f>if(sum(Daily_Data!K2962:L2962)&gt;0,1,0)</f>
        <v>0</v>
      </c>
    </row>
    <row r="2963">
      <c r="A2963" s="10">
        <f>Daily_Data!A2963</f>
        <v>40673</v>
      </c>
      <c r="B2963" s="11">
        <f>Daily_Data!J2963</f>
        <v>15.91</v>
      </c>
      <c r="C2963" s="11">
        <f>Daily_Data!I2963</f>
        <v>2.76</v>
      </c>
      <c r="D2963" s="12">
        <f>if(sum(Daily_Data!K2963:L2963)&gt;0,1,0)</f>
        <v>0</v>
      </c>
    </row>
    <row r="2964">
      <c r="A2964" s="10">
        <f>Daily_Data!A2964</f>
        <v>40674</v>
      </c>
      <c r="B2964" s="11">
        <f>Daily_Data!J2964</f>
        <v>16.95</v>
      </c>
      <c r="C2964" s="11">
        <f>Daily_Data!I2964</f>
        <v>2.8</v>
      </c>
      <c r="D2964" s="12">
        <f>if(sum(Daily_Data!K2964:L2964)&gt;0,1,0)</f>
        <v>0</v>
      </c>
    </row>
    <row r="2965">
      <c r="A2965" s="10">
        <f>Daily_Data!A2965</f>
        <v>40675</v>
      </c>
      <c r="B2965" s="11">
        <f>Daily_Data!J2965</f>
        <v>16.03</v>
      </c>
      <c r="C2965" s="11">
        <f>Daily_Data!I2965</f>
        <v>2.78</v>
      </c>
      <c r="D2965" s="12">
        <f>if(sum(Daily_Data!K2965:L2965)&gt;0,1,0)</f>
        <v>0</v>
      </c>
    </row>
    <row r="2966">
      <c r="A2966" s="10">
        <f>Daily_Data!A2966</f>
        <v>40676</v>
      </c>
      <c r="B2966" s="11">
        <f>Daily_Data!J2966</f>
        <v>17.07</v>
      </c>
      <c r="C2966" s="11">
        <f>Daily_Data!I2966</f>
        <v>2.76</v>
      </c>
      <c r="D2966" s="12">
        <f>if(sum(Daily_Data!K2966:L2966)&gt;0,1,0)</f>
        <v>1</v>
      </c>
    </row>
    <row r="2967">
      <c r="A2967" s="10">
        <f>Daily_Data!A2967</f>
        <v>40679</v>
      </c>
      <c r="B2967" s="11">
        <f>Daily_Data!J2967</f>
        <v>18.24</v>
      </c>
      <c r="C2967" s="11">
        <f>Daily_Data!I2967</f>
        <v>2.76</v>
      </c>
      <c r="D2967" s="12">
        <f>if(sum(Daily_Data!K2967:L2967)&gt;0,1,0)</f>
        <v>0</v>
      </c>
    </row>
    <row r="2968">
      <c r="A2968" s="10">
        <f>Daily_Data!A2968</f>
        <v>40680</v>
      </c>
      <c r="B2968" s="11">
        <f>Daily_Data!J2968</f>
        <v>17.55</v>
      </c>
      <c r="C2968" s="11">
        <f>Daily_Data!I2968</f>
        <v>2.75</v>
      </c>
      <c r="D2968" s="12">
        <f>if(sum(Daily_Data!K2968:L2968)&gt;0,1,0)</f>
        <v>0</v>
      </c>
    </row>
    <row r="2969">
      <c r="A2969" s="10">
        <f>Daily_Data!A2969</f>
        <v>40681</v>
      </c>
      <c r="B2969" s="11">
        <f>Daily_Data!J2969</f>
        <v>16.23</v>
      </c>
      <c r="C2969" s="11">
        <f>Daily_Data!I2969</f>
        <v>2.71</v>
      </c>
      <c r="D2969" s="12">
        <f>if(sum(Daily_Data!K2969:L2969)&gt;0,1,0)</f>
        <v>0</v>
      </c>
    </row>
    <row r="2970">
      <c r="A2970" s="10">
        <f>Daily_Data!A2970</f>
        <v>40682</v>
      </c>
      <c r="B2970" s="11">
        <f>Daily_Data!J2970</f>
        <v>15.52</v>
      </c>
      <c r="C2970" s="11">
        <f>Daily_Data!I2970</f>
        <v>2.74</v>
      </c>
      <c r="D2970" s="12">
        <f>if(sum(Daily_Data!K2970:L2970)&gt;0,1,0)</f>
        <v>0</v>
      </c>
    </row>
    <row r="2971">
      <c r="A2971" s="10">
        <f>Daily_Data!A2971</f>
        <v>40683</v>
      </c>
      <c r="B2971" s="11">
        <f>Daily_Data!J2971</f>
        <v>17.43</v>
      </c>
      <c r="C2971" s="11">
        <f>Daily_Data!I2971</f>
        <v>2.76</v>
      </c>
      <c r="D2971" s="12">
        <f>if(sum(Daily_Data!K2971:L2971)&gt;0,1,0)</f>
        <v>0</v>
      </c>
    </row>
    <row r="2972">
      <c r="A2972" s="10">
        <f>Daily_Data!A2972</f>
        <v>40686</v>
      </c>
      <c r="B2972" s="11">
        <f>Daily_Data!J2972</f>
        <v>18.27</v>
      </c>
      <c r="C2972" s="11">
        <f>Daily_Data!I2972</f>
        <v>2.72</v>
      </c>
      <c r="D2972" s="12">
        <f>if(sum(Daily_Data!K2972:L2972)&gt;0,1,0)</f>
        <v>0</v>
      </c>
    </row>
    <row r="2973">
      <c r="A2973" s="10">
        <f>Daily_Data!A2973</f>
        <v>40687</v>
      </c>
      <c r="B2973" s="11">
        <f>Daily_Data!J2973</f>
        <v>17.82</v>
      </c>
      <c r="C2973" s="11">
        <f>Daily_Data!I2973</f>
        <v>2.77</v>
      </c>
      <c r="D2973" s="12">
        <f>if(sum(Daily_Data!K2973:L2973)&gt;0,1,0)</f>
        <v>0</v>
      </c>
    </row>
    <row r="2974">
      <c r="A2974" s="10">
        <f>Daily_Data!A2974</f>
        <v>40688</v>
      </c>
      <c r="B2974" s="11">
        <f>Daily_Data!J2974</f>
        <v>17.07</v>
      </c>
      <c r="C2974" s="11">
        <f>Daily_Data!I2974</f>
        <v>2.81</v>
      </c>
      <c r="D2974" s="12">
        <f>if(sum(Daily_Data!K2974:L2974)&gt;0,1,0)</f>
        <v>0</v>
      </c>
    </row>
    <row r="2975">
      <c r="A2975" s="10">
        <f>Daily_Data!A2975</f>
        <v>40689</v>
      </c>
      <c r="B2975" s="11">
        <f>Daily_Data!J2975</f>
        <v>16.09</v>
      </c>
      <c r="C2975" s="11">
        <f>Daily_Data!I2975</f>
        <v>2.92</v>
      </c>
      <c r="D2975" s="12">
        <f>if(sum(Daily_Data!K2975:L2975)&gt;0,1,0)</f>
        <v>0</v>
      </c>
    </row>
    <row r="2976">
      <c r="A2976" s="10">
        <f>Daily_Data!A2976</f>
        <v>40690</v>
      </c>
      <c r="B2976" s="11">
        <f>Daily_Data!J2976</f>
        <v>15.98</v>
      </c>
      <c r="C2976" s="11">
        <f>Daily_Data!I2976</f>
        <v>2.9</v>
      </c>
      <c r="D2976" s="12">
        <f>if(sum(Daily_Data!K2976:L2976)&gt;0,1,0)</f>
        <v>0</v>
      </c>
    </row>
    <row r="2977">
      <c r="A2977" s="10">
        <f>Daily_Data!A2977</f>
        <v>40693</v>
      </c>
      <c r="B2977" s="11" t="str">
        <f>Daily_Data!J2977</f>
        <v/>
      </c>
      <c r="C2977" s="11" t="str">
        <f>Daily_Data!I2977</f>
        <v/>
      </c>
      <c r="D2977" s="12">
        <f>if(sum(Daily_Data!K2977:L2977)&gt;0,1,0)</f>
        <v>0</v>
      </c>
    </row>
    <row r="2978">
      <c r="A2978" s="10">
        <f>Daily_Data!A2978</f>
        <v>40694</v>
      </c>
      <c r="B2978" s="11">
        <f>Daily_Data!J2978</f>
        <v>15.45</v>
      </c>
      <c r="C2978" s="11">
        <f>Daily_Data!I2978</f>
        <v>2.98</v>
      </c>
      <c r="D2978" s="12">
        <f>if(sum(Daily_Data!K2978:L2978)&gt;0,1,0)</f>
        <v>0</v>
      </c>
    </row>
    <row r="2979">
      <c r="A2979" s="10">
        <f>Daily_Data!A2979</f>
        <v>40695</v>
      </c>
      <c r="B2979" s="11">
        <f>Daily_Data!J2979</f>
        <v>18.3</v>
      </c>
      <c r="C2979" s="11">
        <f>Daily_Data!I2979</f>
        <v>3.02</v>
      </c>
      <c r="D2979" s="12">
        <f>if(sum(Daily_Data!K2979:L2979)&gt;0,1,0)</f>
        <v>0</v>
      </c>
    </row>
    <row r="2980">
      <c r="A2980" s="10">
        <f>Daily_Data!A2980</f>
        <v>40696</v>
      </c>
      <c r="B2980" s="11">
        <f>Daily_Data!J2980</f>
        <v>18.09</v>
      </c>
      <c r="C2980" s="11">
        <f>Daily_Data!I2980</f>
        <v>2.96</v>
      </c>
      <c r="D2980" s="12">
        <f>if(sum(Daily_Data!K2980:L2980)&gt;0,1,0)</f>
        <v>0</v>
      </c>
    </row>
    <row r="2981">
      <c r="A2981" s="10">
        <f>Daily_Data!A2981</f>
        <v>40697</v>
      </c>
      <c r="B2981" s="11">
        <f>Daily_Data!J2981</f>
        <v>17.95</v>
      </c>
      <c r="C2981" s="11">
        <f>Daily_Data!I2981</f>
        <v>2.95</v>
      </c>
      <c r="D2981" s="12">
        <f>if(sum(Daily_Data!K2981:L2981)&gt;0,1,0)</f>
        <v>1</v>
      </c>
    </row>
    <row r="2982">
      <c r="A2982" s="10">
        <f>Daily_Data!A2982</f>
        <v>40700</v>
      </c>
      <c r="B2982" s="11">
        <f>Daily_Data!J2982</f>
        <v>18.49</v>
      </c>
      <c r="C2982" s="11" t="str">
        <f>Daily_Data!I2982</f>
        <v/>
      </c>
      <c r="D2982" s="12">
        <f>if(sum(Daily_Data!K2982:L2982)&gt;0,1,0)</f>
        <v>0</v>
      </c>
    </row>
    <row r="2983">
      <c r="A2983" s="10">
        <f>Daily_Data!A2983</f>
        <v>40701</v>
      </c>
      <c r="B2983" s="11">
        <f>Daily_Data!J2983</f>
        <v>18.07</v>
      </c>
      <c r="C2983" s="11">
        <f>Daily_Data!I2983</f>
        <v>3</v>
      </c>
      <c r="D2983" s="12">
        <f>if(sum(Daily_Data!K2983:L2983)&gt;0,1,0)</f>
        <v>0</v>
      </c>
    </row>
    <row r="2984">
      <c r="A2984" s="10">
        <f>Daily_Data!A2984</f>
        <v>40702</v>
      </c>
      <c r="B2984" s="11">
        <f>Daily_Data!J2984</f>
        <v>18.79</v>
      </c>
      <c r="C2984" s="11">
        <f>Daily_Data!I2984</f>
        <v>2.97</v>
      </c>
      <c r="D2984" s="12">
        <f>if(sum(Daily_Data!K2984:L2984)&gt;0,1,0)</f>
        <v>0</v>
      </c>
    </row>
    <row r="2985">
      <c r="A2985" s="10">
        <f>Daily_Data!A2985</f>
        <v>40703</v>
      </c>
      <c r="B2985" s="11">
        <f>Daily_Data!J2985</f>
        <v>17.77</v>
      </c>
      <c r="C2985" s="11">
        <f>Daily_Data!I2985</f>
        <v>3</v>
      </c>
      <c r="D2985" s="12">
        <f>if(sum(Daily_Data!K2985:L2985)&gt;0,1,0)</f>
        <v>0</v>
      </c>
    </row>
    <row r="2986">
      <c r="A2986" s="10">
        <f>Daily_Data!A2986</f>
        <v>40704</v>
      </c>
      <c r="B2986" s="11">
        <f>Daily_Data!J2986</f>
        <v>18.86</v>
      </c>
      <c r="C2986" s="11">
        <f>Daily_Data!I2986</f>
        <v>3</v>
      </c>
      <c r="D2986" s="12">
        <f>if(sum(Daily_Data!K2986:L2986)&gt;0,1,0)</f>
        <v>0</v>
      </c>
    </row>
    <row r="2987">
      <c r="A2987" s="10">
        <f>Daily_Data!A2987</f>
        <v>40707</v>
      </c>
      <c r="B2987" s="11">
        <f>Daily_Data!J2987</f>
        <v>19.61</v>
      </c>
      <c r="C2987" s="11">
        <f>Daily_Data!I2987</f>
        <v>2.94</v>
      </c>
      <c r="D2987" s="12">
        <f>if(sum(Daily_Data!K2987:L2987)&gt;0,1,0)</f>
        <v>0</v>
      </c>
    </row>
    <row r="2988">
      <c r="A2988" s="10">
        <f>Daily_Data!A2988</f>
        <v>40708</v>
      </c>
      <c r="B2988" s="11">
        <f>Daily_Data!J2988</f>
        <v>18.26</v>
      </c>
      <c r="C2988" s="11">
        <f>Daily_Data!I2988</f>
        <v>2.89</v>
      </c>
      <c r="D2988" s="12">
        <f>if(sum(Daily_Data!K2988:L2988)&gt;0,1,0)</f>
        <v>0</v>
      </c>
    </row>
    <row r="2989">
      <c r="A2989" s="10">
        <f>Daily_Data!A2989</f>
        <v>40709</v>
      </c>
      <c r="B2989" s="11">
        <f>Daily_Data!J2989</f>
        <v>21.32</v>
      </c>
      <c r="C2989" s="11">
        <f>Daily_Data!I2989</f>
        <v>2.98</v>
      </c>
      <c r="D2989" s="12">
        <f>if(sum(Daily_Data!K2989:L2989)&gt;0,1,0)</f>
        <v>1</v>
      </c>
    </row>
    <row r="2990">
      <c r="A2990" s="10">
        <f>Daily_Data!A2990</f>
        <v>40710</v>
      </c>
      <c r="B2990" s="11">
        <f>Daily_Data!J2990</f>
        <v>22.73</v>
      </c>
      <c r="C2990" s="11">
        <f>Daily_Data!I2990</f>
        <v>2.94</v>
      </c>
      <c r="D2990" s="12">
        <f>if(sum(Daily_Data!K2990:L2990)&gt;0,1,0)</f>
        <v>0</v>
      </c>
    </row>
    <row r="2991">
      <c r="A2991" s="10">
        <f>Daily_Data!A2991</f>
        <v>40711</v>
      </c>
      <c r="B2991" s="11">
        <f>Daily_Data!J2991</f>
        <v>21.85</v>
      </c>
      <c r="C2991" s="11">
        <f>Daily_Data!I2991</f>
        <v>2.93</v>
      </c>
      <c r="D2991" s="12">
        <f>if(sum(Daily_Data!K2991:L2991)&gt;0,1,0)</f>
        <v>0</v>
      </c>
    </row>
    <row r="2992">
      <c r="A2992" s="10">
        <f>Daily_Data!A2992</f>
        <v>40714</v>
      </c>
      <c r="B2992" s="11">
        <f>Daily_Data!J2992</f>
        <v>19.99</v>
      </c>
      <c r="C2992" s="11">
        <f>Daily_Data!I2992</f>
        <v>2.93</v>
      </c>
      <c r="D2992" s="12">
        <f>if(sum(Daily_Data!K2992:L2992)&gt;0,1,0)</f>
        <v>0</v>
      </c>
    </row>
    <row r="2993">
      <c r="A2993" s="10">
        <f>Daily_Data!A2993</f>
        <v>40715</v>
      </c>
      <c r="B2993" s="11">
        <f>Daily_Data!J2993</f>
        <v>18.86</v>
      </c>
      <c r="C2993" s="11">
        <f>Daily_Data!I2993</f>
        <v>2.9</v>
      </c>
      <c r="D2993" s="12">
        <f>if(sum(Daily_Data!K2993:L2993)&gt;0,1,0)</f>
        <v>0</v>
      </c>
    </row>
    <row r="2994">
      <c r="A2994" s="10">
        <f>Daily_Data!A2994</f>
        <v>40716</v>
      </c>
      <c r="B2994" s="11">
        <f>Daily_Data!J2994</f>
        <v>18.52</v>
      </c>
      <c r="C2994" s="11">
        <f>Daily_Data!I2994</f>
        <v>2.94</v>
      </c>
      <c r="D2994" s="12">
        <f>if(sum(Daily_Data!K2994:L2994)&gt;0,1,0)</f>
        <v>0</v>
      </c>
    </row>
    <row r="2995">
      <c r="A2995" s="10">
        <f>Daily_Data!A2995</f>
        <v>40717</v>
      </c>
      <c r="B2995" s="11">
        <f>Daily_Data!J2995</f>
        <v>19.29</v>
      </c>
      <c r="C2995" s="11">
        <f>Daily_Data!I2995</f>
        <v>3.02</v>
      </c>
      <c r="D2995" s="12">
        <f>if(sum(Daily_Data!K2995:L2995)&gt;0,1,0)</f>
        <v>0</v>
      </c>
    </row>
    <row r="2996">
      <c r="A2996" s="10">
        <f>Daily_Data!A2996</f>
        <v>40718</v>
      </c>
      <c r="B2996" s="11">
        <f>Daily_Data!J2996</f>
        <v>21.1</v>
      </c>
      <c r="C2996" s="11">
        <f>Daily_Data!I2996</f>
        <v>3.02</v>
      </c>
      <c r="D2996" s="12">
        <f>if(sum(Daily_Data!K2996:L2996)&gt;0,1,0)</f>
        <v>0</v>
      </c>
    </row>
    <row r="2997">
      <c r="A2997" s="10">
        <f>Daily_Data!A2997</f>
        <v>40721</v>
      </c>
      <c r="B2997" s="11">
        <f>Daily_Data!J2997</f>
        <v>20.56</v>
      </c>
      <c r="C2997" s="11">
        <f>Daily_Data!I2997</f>
        <v>2.9</v>
      </c>
      <c r="D2997" s="12">
        <f>if(sum(Daily_Data!K2997:L2997)&gt;0,1,0)</f>
        <v>0</v>
      </c>
    </row>
    <row r="2998">
      <c r="A2998" s="10">
        <f>Daily_Data!A2998</f>
        <v>40722</v>
      </c>
      <c r="B2998" s="11">
        <f>Daily_Data!J2998</f>
        <v>19.17</v>
      </c>
      <c r="C2998" s="11">
        <f>Daily_Data!I2998</f>
        <v>2.83</v>
      </c>
      <c r="D2998" s="12">
        <f>if(sum(Daily_Data!K2998:L2998)&gt;0,1,0)</f>
        <v>0</v>
      </c>
    </row>
    <row r="2999">
      <c r="A2999" s="10">
        <f>Daily_Data!A2999</f>
        <v>40723</v>
      </c>
      <c r="B2999" s="11">
        <f>Daily_Data!J2999</f>
        <v>17.27</v>
      </c>
      <c r="C2999" s="11">
        <f>Daily_Data!I2999</f>
        <v>2.86</v>
      </c>
      <c r="D2999" s="12">
        <f>if(sum(Daily_Data!K2999:L2999)&gt;0,1,0)</f>
        <v>0</v>
      </c>
    </row>
    <row r="3000">
      <c r="A3000" s="10">
        <f>Daily_Data!A3000</f>
        <v>40724</v>
      </c>
      <c r="B3000" s="11">
        <f>Daily_Data!J3000</f>
        <v>16.52</v>
      </c>
      <c r="C3000" s="11">
        <f>Daily_Data!I3000</f>
        <v>2.91</v>
      </c>
      <c r="D3000" s="12">
        <f>if(sum(Daily_Data!K3000:L3000)&gt;0,1,0)</f>
        <v>0</v>
      </c>
    </row>
    <row r="3001">
      <c r="A3001" s="10">
        <f>Daily_Data!A3001</f>
        <v>40725</v>
      </c>
      <c r="B3001" s="11">
        <f>Daily_Data!J3001</f>
        <v>15.87</v>
      </c>
      <c r="C3001" s="11">
        <f>Daily_Data!I3001</f>
        <v>2.88</v>
      </c>
      <c r="D3001" s="12">
        <f>if(sum(Daily_Data!K3001:L3001)&gt;0,1,0)</f>
        <v>0</v>
      </c>
    </row>
    <row r="3002">
      <c r="A3002" s="10">
        <f>Daily_Data!A3002</f>
        <v>40728</v>
      </c>
      <c r="B3002" s="11" t="str">
        <f>Daily_Data!J3002</f>
        <v/>
      </c>
      <c r="C3002" s="11" t="str">
        <f>Daily_Data!I3002</f>
        <v/>
      </c>
      <c r="D3002" s="12">
        <f>if(sum(Daily_Data!K3002:L3002)&gt;0,1,0)</f>
        <v>0</v>
      </c>
    </row>
    <row r="3003">
      <c r="A3003" s="10">
        <f>Daily_Data!A3003</f>
        <v>40729</v>
      </c>
      <c r="B3003" s="11">
        <f>Daily_Data!J3003</f>
        <v>16.06</v>
      </c>
      <c r="C3003" s="11">
        <f>Daily_Data!I3003</f>
        <v>2.96</v>
      </c>
      <c r="D3003" s="12">
        <f>if(sum(Daily_Data!K3003:L3003)&gt;0,1,0)</f>
        <v>0</v>
      </c>
    </row>
    <row r="3004">
      <c r="A3004" s="10">
        <f>Daily_Data!A3004</f>
        <v>40730</v>
      </c>
      <c r="B3004" s="11">
        <f>Daily_Data!J3004</f>
        <v>16.34</v>
      </c>
      <c r="C3004" s="11">
        <f>Daily_Data!I3004</f>
        <v>2.95</v>
      </c>
      <c r="D3004" s="12">
        <f>if(sum(Daily_Data!K3004:L3004)&gt;0,1,0)</f>
        <v>0</v>
      </c>
    </row>
    <row r="3005">
      <c r="A3005" s="10">
        <f>Daily_Data!A3005</f>
        <v>40731</v>
      </c>
      <c r="B3005" s="11">
        <f>Daily_Data!J3005</f>
        <v>15.95</v>
      </c>
      <c r="C3005" s="11">
        <f>Daily_Data!I3005</f>
        <v>2.89</v>
      </c>
      <c r="D3005" s="12">
        <f>if(sum(Daily_Data!K3005:L3005)&gt;0,1,0)</f>
        <v>0</v>
      </c>
    </row>
    <row r="3006">
      <c r="A3006" s="10">
        <f>Daily_Data!A3006</f>
        <v>40732</v>
      </c>
      <c r="B3006" s="11">
        <f>Daily_Data!J3006</f>
        <v>15.95</v>
      </c>
      <c r="C3006" s="11">
        <f>Daily_Data!I3006</f>
        <v>3</v>
      </c>
      <c r="D3006" s="12">
        <f>if(sum(Daily_Data!K3006:L3006)&gt;0,1,0)</f>
        <v>1</v>
      </c>
    </row>
    <row r="3007">
      <c r="A3007" s="10">
        <f>Daily_Data!A3007</f>
        <v>40735</v>
      </c>
      <c r="B3007" s="11">
        <f>Daily_Data!J3007</f>
        <v>18.39</v>
      </c>
      <c r="C3007" s="11">
        <f>Daily_Data!I3007</f>
        <v>3</v>
      </c>
      <c r="D3007" s="12">
        <f>if(sum(Daily_Data!K3007:L3007)&gt;0,1,0)</f>
        <v>0</v>
      </c>
    </row>
    <row r="3008">
      <c r="A3008" s="10">
        <f>Daily_Data!A3008</f>
        <v>40736</v>
      </c>
      <c r="B3008" s="11">
        <f>Daily_Data!J3008</f>
        <v>19.87</v>
      </c>
      <c r="C3008" s="11">
        <f>Daily_Data!I3008</f>
        <v>2.95</v>
      </c>
      <c r="D3008" s="12">
        <f>if(sum(Daily_Data!K3008:L3008)&gt;0,1,0)</f>
        <v>0</v>
      </c>
    </row>
    <row r="3009">
      <c r="A3009" s="10">
        <f>Daily_Data!A3009</f>
        <v>40737</v>
      </c>
      <c r="B3009" s="11">
        <f>Daily_Data!J3009</f>
        <v>19.91</v>
      </c>
      <c r="C3009" s="11">
        <f>Daily_Data!I3009</f>
        <v>2.97</v>
      </c>
      <c r="D3009" s="12">
        <f>if(sum(Daily_Data!K3009:L3009)&gt;0,1,0)</f>
        <v>0</v>
      </c>
    </row>
    <row r="3010">
      <c r="A3010" s="10">
        <f>Daily_Data!A3010</f>
        <v>40738</v>
      </c>
      <c r="B3010" s="11">
        <f>Daily_Data!J3010</f>
        <v>20.8</v>
      </c>
      <c r="C3010" s="11">
        <f>Daily_Data!I3010</f>
        <v>3.03</v>
      </c>
      <c r="D3010" s="12">
        <f>if(sum(Daily_Data!K3010:L3010)&gt;0,1,0)</f>
        <v>0</v>
      </c>
    </row>
    <row r="3011">
      <c r="A3011" s="10">
        <f>Daily_Data!A3011</f>
        <v>40739</v>
      </c>
      <c r="B3011" s="11">
        <f>Daily_Data!J3011</f>
        <v>19.53</v>
      </c>
      <c r="C3011" s="11">
        <f>Daily_Data!I3011</f>
        <v>3.05</v>
      </c>
      <c r="D3011" s="12">
        <f>if(sum(Daily_Data!K3011:L3011)&gt;0,1,0)</f>
        <v>1</v>
      </c>
    </row>
    <row r="3012">
      <c r="A3012" s="10">
        <f>Daily_Data!A3012</f>
        <v>40742</v>
      </c>
      <c r="B3012" s="11">
        <f>Daily_Data!J3012</f>
        <v>20.95</v>
      </c>
      <c r="C3012" s="11">
        <f>Daily_Data!I3012</f>
        <v>3.12</v>
      </c>
      <c r="D3012" s="12">
        <f>if(sum(Daily_Data!K3012:L3012)&gt;0,1,0)</f>
        <v>0</v>
      </c>
    </row>
    <row r="3013">
      <c r="A3013" s="10">
        <f>Daily_Data!A3013</f>
        <v>40743</v>
      </c>
      <c r="B3013" s="11">
        <f>Daily_Data!J3013</f>
        <v>19.21</v>
      </c>
      <c r="C3013" s="11">
        <f>Daily_Data!I3013</f>
        <v>3.12</v>
      </c>
      <c r="D3013" s="12">
        <f>if(sum(Daily_Data!K3013:L3013)&gt;0,1,0)</f>
        <v>0</v>
      </c>
    </row>
    <row r="3014">
      <c r="A3014" s="10">
        <f>Daily_Data!A3014</f>
        <v>40744</v>
      </c>
      <c r="B3014" s="11">
        <f>Daily_Data!J3014</f>
        <v>19.09</v>
      </c>
      <c r="C3014" s="11">
        <f>Daily_Data!I3014</f>
        <v>3.18</v>
      </c>
      <c r="D3014" s="12">
        <f>if(sum(Daily_Data!K3014:L3014)&gt;0,1,0)</f>
        <v>0</v>
      </c>
    </row>
    <row r="3015">
      <c r="A3015" s="10">
        <f>Daily_Data!A3015</f>
        <v>40745</v>
      </c>
      <c r="B3015" s="11">
        <f>Daily_Data!J3015</f>
        <v>17.56</v>
      </c>
      <c r="C3015" s="11">
        <f>Daily_Data!I3015</f>
        <v>3.23</v>
      </c>
      <c r="D3015" s="12">
        <f>if(sum(Daily_Data!K3015:L3015)&gt;0,1,0)</f>
        <v>0</v>
      </c>
    </row>
    <row r="3016">
      <c r="A3016" s="10">
        <f>Daily_Data!A3016</f>
        <v>40746</v>
      </c>
      <c r="B3016" s="11">
        <f>Daily_Data!J3016</f>
        <v>17.52</v>
      </c>
      <c r="C3016" s="11">
        <f>Daily_Data!I3016</f>
        <v>3.29</v>
      </c>
      <c r="D3016" s="12">
        <f>if(sum(Daily_Data!K3016:L3016)&gt;0,1,0)</f>
        <v>0</v>
      </c>
    </row>
    <row r="3017">
      <c r="A3017" s="10">
        <f>Daily_Data!A3017</f>
        <v>40749</v>
      </c>
      <c r="B3017" s="11">
        <f>Daily_Data!J3017</f>
        <v>19.35</v>
      </c>
      <c r="C3017" s="11">
        <f>Daily_Data!I3017</f>
        <v>3.25</v>
      </c>
      <c r="D3017" s="12">
        <f>if(sum(Daily_Data!K3017:L3017)&gt;0,1,0)</f>
        <v>0</v>
      </c>
    </row>
    <row r="3018">
      <c r="A3018" s="10">
        <f>Daily_Data!A3018</f>
        <v>40750</v>
      </c>
      <c r="B3018" s="11">
        <f>Daily_Data!J3018</f>
        <v>20.23</v>
      </c>
      <c r="C3018" s="11">
        <f>Daily_Data!I3018</f>
        <v>3.23</v>
      </c>
      <c r="D3018" s="12">
        <f>if(sum(Daily_Data!K3018:L3018)&gt;0,1,0)</f>
        <v>0</v>
      </c>
    </row>
    <row r="3019">
      <c r="A3019" s="10">
        <f>Daily_Data!A3019</f>
        <v>40751</v>
      </c>
      <c r="B3019" s="11">
        <f>Daily_Data!J3019</f>
        <v>22.98</v>
      </c>
      <c r="C3019" s="11">
        <f>Daily_Data!I3019</f>
        <v>3.23</v>
      </c>
      <c r="D3019" s="12">
        <f>if(sum(Daily_Data!K3019:L3019)&gt;0,1,0)</f>
        <v>0</v>
      </c>
    </row>
    <row r="3020">
      <c r="A3020" s="10">
        <f>Daily_Data!A3020</f>
        <v>40752</v>
      </c>
      <c r="B3020" s="11">
        <f>Daily_Data!J3020</f>
        <v>23.74</v>
      </c>
      <c r="C3020" s="11">
        <f>Daily_Data!I3020</f>
        <v>3.34</v>
      </c>
      <c r="D3020" s="12">
        <f>if(sum(Daily_Data!K3020:L3020)&gt;0,1,0)</f>
        <v>0</v>
      </c>
    </row>
    <row r="3021">
      <c r="A3021" s="10">
        <f>Daily_Data!A3021</f>
        <v>40753</v>
      </c>
      <c r="B3021" s="11">
        <f>Daily_Data!J3021</f>
        <v>25.25</v>
      </c>
      <c r="C3021" s="11">
        <f>Daily_Data!I3021</f>
        <v>3.35</v>
      </c>
      <c r="D3021" s="12">
        <f>if(sum(Daily_Data!K3021:L3021)&gt;0,1,0)</f>
        <v>0</v>
      </c>
    </row>
    <row r="3022">
      <c r="A3022" s="10">
        <f>Daily_Data!A3022</f>
        <v>40756</v>
      </c>
      <c r="B3022" s="11">
        <f>Daily_Data!J3022</f>
        <v>23.66</v>
      </c>
      <c r="C3022" s="11">
        <f>Daily_Data!I3022</f>
        <v>3.34</v>
      </c>
      <c r="D3022" s="12">
        <f>if(sum(Daily_Data!K3022:L3022)&gt;0,1,0)</f>
        <v>0</v>
      </c>
    </row>
    <row r="3023">
      <c r="A3023" s="10">
        <f>Daily_Data!A3023</f>
        <v>40757</v>
      </c>
      <c r="B3023" s="11">
        <f>Daily_Data!J3023</f>
        <v>24.79</v>
      </c>
      <c r="C3023" s="11">
        <f>Daily_Data!I3023</f>
        <v>3.34</v>
      </c>
      <c r="D3023" s="12">
        <f>if(sum(Daily_Data!K3023:L3023)&gt;0,1,0)</f>
        <v>0</v>
      </c>
    </row>
    <row r="3024">
      <c r="A3024" s="10">
        <f>Daily_Data!A3024</f>
        <v>40758</v>
      </c>
      <c r="B3024" s="11">
        <f>Daily_Data!J3024</f>
        <v>23.38</v>
      </c>
      <c r="C3024" s="11">
        <f>Daily_Data!I3024</f>
        <v>3.22</v>
      </c>
      <c r="D3024" s="12">
        <f>if(sum(Daily_Data!K3024:L3024)&gt;0,1,0)</f>
        <v>0</v>
      </c>
    </row>
    <row r="3025">
      <c r="A3025" s="10">
        <f>Daily_Data!A3025</f>
        <v>40759</v>
      </c>
      <c r="B3025" s="11">
        <f>Daily_Data!J3025</f>
        <v>31.66</v>
      </c>
      <c r="C3025" s="11">
        <f>Daily_Data!I3025</f>
        <v>3.3</v>
      </c>
      <c r="D3025" s="12">
        <f>if(sum(Daily_Data!K3025:L3025)&gt;0,1,0)</f>
        <v>0</v>
      </c>
    </row>
    <row r="3026">
      <c r="A3026" s="10">
        <f>Daily_Data!A3026</f>
        <v>40760</v>
      </c>
      <c r="B3026" s="11">
        <f>Daily_Data!J3026</f>
        <v>32</v>
      </c>
      <c r="C3026" s="11">
        <f>Daily_Data!I3026</f>
        <v>3.08</v>
      </c>
      <c r="D3026" s="12">
        <f>if(sum(Daily_Data!K3026:L3026)&gt;0,1,0)</f>
        <v>1</v>
      </c>
    </row>
    <row r="3027">
      <c r="A3027" s="10">
        <f>Daily_Data!A3027</f>
        <v>40763</v>
      </c>
      <c r="B3027" s="11">
        <f>Daily_Data!J3027</f>
        <v>48</v>
      </c>
      <c r="C3027" s="11">
        <f>Daily_Data!I3027</f>
        <v>2.98</v>
      </c>
      <c r="D3027" s="12">
        <f>if(sum(Daily_Data!K3027:L3027)&gt;0,1,0)</f>
        <v>0</v>
      </c>
    </row>
    <row r="3028">
      <c r="A3028" s="10">
        <f>Daily_Data!A3028</f>
        <v>40764</v>
      </c>
      <c r="B3028" s="11">
        <f>Daily_Data!J3028</f>
        <v>35.06</v>
      </c>
      <c r="C3028" s="11">
        <f>Daily_Data!I3028</f>
        <v>3</v>
      </c>
      <c r="D3028" s="12">
        <f>if(sum(Daily_Data!K3028:L3028)&gt;0,1,0)</f>
        <v>0</v>
      </c>
    </row>
    <row r="3029">
      <c r="A3029" s="10">
        <f>Daily_Data!A3029</f>
        <v>40765</v>
      </c>
      <c r="B3029" s="11">
        <f>Daily_Data!J3029</f>
        <v>42.99</v>
      </c>
      <c r="C3029" s="11">
        <f>Daily_Data!I3029</f>
        <v>3.16</v>
      </c>
      <c r="D3029" s="12">
        <f>if(sum(Daily_Data!K3029:L3029)&gt;0,1,0)</f>
        <v>0</v>
      </c>
    </row>
    <row r="3030">
      <c r="A3030" s="10">
        <f>Daily_Data!A3030</f>
        <v>40766</v>
      </c>
      <c r="B3030" s="11">
        <f>Daily_Data!J3030</f>
        <v>39</v>
      </c>
      <c r="C3030" s="11">
        <f>Daily_Data!I3030</f>
        <v>3.11</v>
      </c>
      <c r="D3030" s="12">
        <f>if(sum(Daily_Data!K3030:L3030)&gt;0,1,0)</f>
        <v>0</v>
      </c>
    </row>
    <row r="3031">
      <c r="A3031" s="10">
        <f>Daily_Data!A3031</f>
        <v>40767</v>
      </c>
      <c r="B3031" s="11">
        <f>Daily_Data!J3031</f>
        <v>36.36</v>
      </c>
      <c r="C3031" s="11">
        <f>Daily_Data!I3031</f>
        <v>3.14</v>
      </c>
      <c r="D3031" s="12">
        <f>if(sum(Daily_Data!K3031:L3031)&gt;0,1,0)</f>
        <v>0</v>
      </c>
    </row>
    <row r="3032">
      <c r="A3032" s="10">
        <f>Daily_Data!A3032</f>
        <v>40770</v>
      </c>
      <c r="B3032" s="11">
        <f>Daily_Data!J3032</f>
        <v>31.87</v>
      </c>
      <c r="C3032" s="11">
        <f>Daily_Data!I3032</f>
        <v>3.18</v>
      </c>
      <c r="D3032" s="12">
        <f>if(sum(Daily_Data!K3032:L3032)&gt;0,1,0)</f>
        <v>0</v>
      </c>
    </row>
    <row r="3033">
      <c r="A3033" s="10">
        <f>Daily_Data!A3033</f>
        <v>40771</v>
      </c>
      <c r="B3033" s="11">
        <f>Daily_Data!J3033</f>
        <v>32.85</v>
      </c>
      <c r="C3033" s="11">
        <f>Daily_Data!I3033</f>
        <v>3.21</v>
      </c>
      <c r="D3033" s="12">
        <f>if(sum(Daily_Data!K3033:L3033)&gt;0,1,0)</f>
        <v>0</v>
      </c>
    </row>
    <row r="3034">
      <c r="A3034" s="10">
        <f>Daily_Data!A3034</f>
        <v>40772</v>
      </c>
      <c r="B3034" s="11">
        <f>Daily_Data!J3034</f>
        <v>31.58</v>
      </c>
      <c r="C3034" s="11">
        <f>Daily_Data!I3034</f>
        <v>3.19</v>
      </c>
      <c r="D3034" s="12">
        <f>if(sum(Daily_Data!K3034:L3034)&gt;0,1,0)</f>
        <v>0</v>
      </c>
    </row>
    <row r="3035">
      <c r="A3035" s="10">
        <f>Daily_Data!A3035</f>
        <v>40773</v>
      </c>
      <c r="B3035" s="11">
        <f>Daily_Data!J3035</f>
        <v>42.67</v>
      </c>
      <c r="C3035" s="11">
        <f>Daily_Data!I3035</f>
        <v>3.15</v>
      </c>
      <c r="D3035" s="12">
        <f>if(sum(Daily_Data!K3035:L3035)&gt;0,1,0)</f>
        <v>1</v>
      </c>
    </row>
    <row r="3036">
      <c r="A3036" s="10">
        <f>Daily_Data!A3036</f>
        <v>40774</v>
      </c>
      <c r="B3036" s="11">
        <f>Daily_Data!J3036</f>
        <v>43.05</v>
      </c>
      <c r="C3036" s="11">
        <f>Daily_Data!I3036</f>
        <v>3.07</v>
      </c>
      <c r="D3036" s="12">
        <f>if(sum(Daily_Data!K3036:L3036)&gt;0,1,0)</f>
        <v>0</v>
      </c>
    </row>
    <row r="3037">
      <c r="A3037" s="10">
        <f>Daily_Data!A3037</f>
        <v>40777</v>
      </c>
      <c r="B3037" s="11">
        <f>Daily_Data!J3037</f>
        <v>42.44</v>
      </c>
      <c r="C3037" s="11">
        <f>Daily_Data!I3037</f>
        <v>3.05</v>
      </c>
      <c r="D3037" s="12">
        <f>if(sum(Daily_Data!K3037:L3037)&gt;0,1,0)</f>
        <v>0</v>
      </c>
    </row>
    <row r="3038">
      <c r="A3038" s="10">
        <f>Daily_Data!A3038</f>
        <v>40778</v>
      </c>
      <c r="B3038" s="11">
        <f>Daily_Data!J3038</f>
        <v>36.27</v>
      </c>
      <c r="C3038" s="11">
        <f>Daily_Data!I3038</f>
        <v>3.09</v>
      </c>
      <c r="D3038" s="12">
        <f>if(sum(Daily_Data!K3038:L3038)&gt;0,1,0)</f>
        <v>0</v>
      </c>
    </row>
    <row r="3039">
      <c r="A3039" s="10">
        <f>Daily_Data!A3039</f>
        <v>40779</v>
      </c>
      <c r="B3039" s="11">
        <f>Daily_Data!J3039</f>
        <v>35.9</v>
      </c>
      <c r="C3039" s="11">
        <f>Daily_Data!I3039</f>
        <v>3.1</v>
      </c>
      <c r="D3039" s="12">
        <f>if(sum(Daily_Data!K3039:L3039)&gt;0,1,0)</f>
        <v>0</v>
      </c>
    </row>
    <row r="3040">
      <c r="A3040" s="10">
        <f>Daily_Data!A3040</f>
        <v>40780</v>
      </c>
      <c r="B3040" s="11">
        <f>Daily_Data!J3040</f>
        <v>39.76</v>
      </c>
      <c r="C3040" s="11">
        <f>Daily_Data!I3040</f>
        <v>3.15</v>
      </c>
      <c r="D3040" s="12">
        <f>if(sum(Daily_Data!K3040:L3040)&gt;0,1,0)</f>
        <v>0</v>
      </c>
    </row>
    <row r="3041">
      <c r="A3041" s="10">
        <f>Daily_Data!A3041</f>
        <v>40781</v>
      </c>
      <c r="B3041" s="11">
        <f>Daily_Data!J3041</f>
        <v>35.59</v>
      </c>
      <c r="C3041" s="11">
        <f>Daily_Data!I3041</f>
        <v>3.17</v>
      </c>
      <c r="D3041" s="12">
        <f>if(sum(Daily_Data!K3041:L3041)&gt;0,1,0)</f>
        <v>0</v>
      </c>
    </row>
    <row r="3042">
      <c r="A3042" s="10">
        <f>Daily_Data!A3042</f>
        <v>40784</v>
      </c>
      <c r="B3042" s="11">
        <f>Daily_Data!J3042</f>
        <v>32.28</v>
      </c>
      <c r="C3042" s="11">
        <f>Daily_Data!I3042</f>
        <v>3.18</v>
      </c>
      <c r="D3042" s="12">
        <f>if(sum(Daily_Data!K3042:L3042)&gt;0,1,0)</f>
        <v>0</v>
      </c>
    </row>
    <row r="3043">
      <c r="A3043" s="10">
        <f>Daily_Data!A3043</f>
        <v>40785</v>
      </c>
      <c r="B3043" s="11">
        <f>Daily_Data!J3043</f>
        <v>32.89</v>
      </c>
      <c r="C3043" s="11">
        <f>Daily_Data!I3043</f>
        <v>3.21</v>
      </c>
      <c r="D3043" s="12">
        <f>if(sum(Daily_Data!K3043:L3043)&gt;0,1,0)</f>
        <v>0</v>
      </c>
    </row>
    <row r="3044">
      <c r="A3044" s="10">
        <f>Daily_Data!A3044</f>
        <v>40786</v>
      </c>
      <c r="B3044" s="11">
        <f>Daily_Data!J3044</f>
        <v>31.62</v>
      </c>
      <c r="C3044" s="11">
        <f>Daily_Data!I3044</f>
        <v>3.19</v>
      </c>
      <c r="D3044" s="12">
        <f>if(sum(Daily_Data!K3044:L3044)&gt;0,1,0)</f>
        <v>0</v>
      </c>
    </row>
    <row r="3045">
      <c r="A3045" s="10">
        <f>Daily_Data!A3045</f>
        <v>40787</v>
      </c>
      <c r="B3045" s="11">
        <f>Daily_Data!J3045</f>
        <v>31.82</v>
      </c>
      <c r="C3045" s="11">
        <f>Daily_Data!I3045</f>
        <v>3.23</v>
      </c>
      <c r="D3045" s="12">
        <f>if(sum(Daily_Data!K3045:L3045)&gt;0,1,0)</f>
        <v>0</v>
      </c>
    </row>
    <row r="3046">
      <c r="A3046" s="10">
        <f>Daily_Data!A3046</f>
        <v>40788</v>
      </c>
      <c r="B3046" s="11">
        <f>Daily_Data!J3046</f>
        <v>33.92</v>
      </c>
      <c r="C3046" s="11">
        <f>Daily_Data!I3046</f>
        <v>3.17</v>
      </c>
      <c r="D3046" s="12">
        <f>if(sum(Daily_Data!K3046:L3046)&gt;0,1,0)</f>
        <v>1</v>
      </c>
    </row>
    <row r="3047">
      <c r="A3047" s="10">
        <f>Daily_Data!A3047</f>
        <v>40791</v>
      </c>
      <c r="B3047" s="11" t="str">
        <f>Daily_Data!J3047</f>
        <v/>
      </c>
      <c r="C3047" s="11" t="str">
        <f>Daily_Data!I3047</f>
        <v/>
      </c>
      <c r="D3047" s="12">
        <f>if(sum(Daily_Data!K3047:L3047)&gt;0,1,0)</f>
        <v>0</v>
      </c>
    </row>
    <row r="3048">
      <c r="A3048" s="10">
        <f>Daily_Data!A3048</f>
        <v>40792</v>
      </c>
      <c r="B3048" s="11">
        <f>Daily_Data!J3048</f>
        <v>37</v>
      </c>
      <c r="C3048" s="11">
        <f>Daily_Data!I3048</f>
        <v>3.04</v>
      </c>
      <c r="D3048" s="12">
        <f>if(sum(Daily_Data!K3048:L3048)&gt;0,1,0)</f>
        <v>0</v>
      </c>
    </row>
    <row r="3049">
      <c r="A3049" s="10">
        <f>Daily_Data!A3049</f>
        <v>40793</v>
      </c>
      <c r="B3049" s="11">
        <f>Daily_Data!J3049</f>
        <v>33.38</v>
      </c>
      <c r="C3049" s="11">
        <f>Daily_Data!I3049</f>
        <v>3.1</v>
      </c>
      <c r="D3049" s="12">
        <f>if(sum(Daily_Data!K3049:L3049)&gt;0,1,0)</f>
        <v>0</v>
      </c>
    </row>
    <row r="3050">
      <c r="A3050" s="10">
        <f>Daily_Data!A3050</f>
        <v>40794</v>
      </c>
      <c r="B3050" s="11">
        <f>Daily_Data!J3050</f>
        <v>34.32</v>
      </c>
      <c r="C3050" s="11">
        <f>Daily_Data!I3050</f>
        <v>3.09</v>
      </c>
      <c r="D3050" s="12">
        <f>if(sum(Daily_Data!K3050:L3050)&gt;0,1,0)</f>
        <v>0</v>
      </c>
    </row>
    <row r="3051">
      <c r="A3051" s="10">
        <f>Daily_Data!A3051</f>
        <v>40795</v>
      </c>
      <c r="B3051" s="11">
        <f>Daily_Data!J3051</f>
        <v>38.52</v>
      </c>
      <c r="C3051" s="11">
        <f>Daily_Data!I3051</f>
        <v>3.12</v>
      </c>
      <c r="D3051" s="12">
        <f>if(sum(Daily_Data!K3051:L3051)&gt;0,1,0)</f>
        <v>0</v>
      </c>
    </row>
    <row r="3052">
      <c r="A3052" s="10">
        <f>Daily_Data!A3052</f>
        <v>40798</v>
      </c>
      <c r="B3052" s="11">
        <f>Daily_Data!J3052</f>
        <v>38.59</v>
      </c>
      <c r="C3052" s="11">
        <f>Daily_Data!I3052</f>
        <v>3.03</v>
      </c>
      <c r="D3052" s="12">
        <f>if(sum(Daily_Data!K3052:L3052)&gt;0,1,0)</f>
        <v>0</v>
      </c>
    </row>
    <row r="3053">
      <c r="A3053" s="10">
        <f>Daily_Data!A3053</f>
        <v>40799</v>
      </c>
      <c r="B3053" s="11">
        <f>Daily_Data!J3053</f>
        <v>36.91</v>
      </c>
      <c r="C3053" s="11">
        <f>Daily_Data!I3053</f>
        <v>3.03</v>
      </c>
      <c r="D3053" s="12">
        <f>if(sum(Daily_Data!K3053:L3053)&gt;0,1,0)</f>
        <v>0</v>
      </c>
    </row>
    <row r="3054">
      <c r="A3054" s="10">
        <f>Daily_Data!A3054</f>
        <v>40800</v>
      </c>
      <c r="B3054" s="11">
        <f>Daily_Data!J3054</f>
        <v>34.6</v>
      </c>
      <c r="C3054" s="11">
        <f>Daily_Data!I3054</f>
        <v>3.07</v>
      </c>
      <c r="D3054" s="12">
        <f>if(sum(Daily_Data!K3054:L3054)&gt;0,1,0)</f>
        <v>0</v>
      </c>
    </row>
    <row r="3055">
      <c r="A3055" s="10">
        <f>Daily_Data!A3055</f>
        <v>40801</v>
      </c>
      <c r="B3055" s="11">
        <f>Daily_Data!J3055</f>
        <v>31.97</v>
      </c>
      <c r="C3055" s="11">
        <f>Daily_Data!I3055</f>
        <v>3.02</v>
      </c>
      <c r="D3055" s="12">
        <f>if(sum(Daily_Data!K3055:L3055)&gt;0,1,0)</f>
        <v>1</v>
      </c>
    </row>
    <row r="3056">
      <c r="A3056" s="10">
        <f>Daily_Data!A3056</f>
        <v>40802</v>
      </c>
      <c r="B3056" s="11">
        <f>Daily_Data!J3056</f>
        <v>30.98</v>
      </c>
      <c r="C3056" s="11">
        <f>Daily_Data!I3056</f>
        <v>3.11</v>
      </c>
      <c r="D3056" s="12">
        <f>if(sum(Daily_Data!K3056:L3056)&gt;0,1,0)</f>
        <v>0</v>
      </c>
    </row>
    <row r="3057">
      <c r="A3057" s="10">
        <f>Daily_Data!A3057</f>
        <v>40805</v>
      </c>
      <c r="B3057" s="11">
        <f>Daily_Data!J3057</f>
        <v>32.73</v>
      </c>
      <c r="C3057" s="11">
        <f>Daily_Data!I3057</f>
        <v>3.08</v>
      </c>
      <c r="D3057" s="12">
        <f>if(sum(Daily_Data!K3057:L3057)&gt;0,1,0)</f>
        <v>0</v>
      </c>
    </row>
    <row r="3058">
      <c r="A3058" s="10">
        <f>Daily_Data!A3058</f>
        <v>40806</v>
      </c>
      <c r="B3058" s="11">
        <f>Daily_Data!J3058</f>
        <v>32.86</v>
      </c>
      <c r="C3058" s="11">
        <f>Daily_Data!I3058</f>
        <v>3.01</v>
      </c>
      <c r="D3058" s="12">
        <f>if(sum(Daily_Data!K3058:L3058)&gt;0,1,0)</f>
        <v>0</v>
      </c>
    </row>
    <row r="3059">
      <c r="A3059" s="10">
        <f>Daily_Data!A3059</f>
        <v>40807</v>
      </c>
      <c r="B3059" s="11">
        <f>Daily_Data!J3059</f>
        <v>37.32</v>
      </c>
      <c r="C3059" s="11">
        <f>Daily_Data!I3059</f>
        <v>3.01</v>
      </c>
      <c r="D3059" s="12">
        <f>if(sum(Daily_Data!K3059:L3059)&gt;0,1,0)</f>
        <v>0</v>
      </c>
    </row>
    <row r="3060">
      <c r="A3060" s="10">
        <f>Daily_Data!A3060</f>
        <v>40808</v>
      </c>
      <c r="B3060" s="11">
        <f>Daily_Data!J3060</f>
        <v>41.35</v>
      </c>
      <c r="C3060" s="11">
        <f>Daily_Data!I3060</f>
        <v>2.9</v>
      </c>
      <c r="D3060" s="12">
        <f>if(sum(Daily_Data!K3060:L3060)&gt;0,1,0)</f>
        <v>0</v>
      </c>
    </row>
    <row r="3061">
      <c r="A3061" s="10">
        <f>Daily_Data!A3061</f>
        <v>40809</v>
      </c>
      <c r="B3061" s="11">
        <f>Daily_Data!J3061</f>
        <v>41.25</v>
      </c>
      <c r="C3061" s="11">
        <f>Daily_Data!I3061</f>
        <v>2.82</v>
      </c>
      <c r="D3061" s="12">
        <f>if(sum(Daily_Data!K3061:L3061)&gt;0,1,0)</f>
        <v>0</v>
      </c>
    </row>
    <row r="3062">
      <c r="A3062" s="10">
        <f>Daily_Data!A3062</f>
        <v>40812</v>
      </c>
      <c r="B3062" s="11">
        <f>Daily_Data!J3062</f>
        <v>39.02</v>
      </c>
      <c r="C3062" s="11">
        <f>Daily_Data!I3062</f>
        <v>2.81</v>
      </c>
      <c r="D3062" s="12">
        <f>if(sum(Daily_Data!K3062:L3062)&gt;0,1,0)</f>
        <v>0</v>
      </c>
    </row>
    <row r="3063">
      <c r="A3063" s="10">
        <f>Daily_Data!A3063</f>
        <v>40813</v>
      </c>
      <c r="B3063" s="11">
        <f>Daily_Data!J3063</f>
        <v>37.71</v>
      </c>
      <c r="C3063" s="11">
        <f>Daily_Data!I3063</f>
        <v>2.86</v>
      </c>
      <c r="D3063" s="12">
        <f>if(sum(Daily_Data!K3063:L3063)&gt;0,1,0)</f>
        <v>0</v>
      </c>
    </row>
    <row r="3064">
      <c r="A3064" s="10">
        <f>Daily_Data!A3064</f>
        <v>40814</v>
      </c>
      <c r="B3064" s="11">
        <f>Daily_Data!J3064</f>
        <v>41.08</v>
      </c>
      <c r="C3064" s="11">
        <f>Daily_Data!I3064</f>
        <v>2.86</v>
      </c>
      <c r="D3064" s="12">
        <f>if(sum(Daily_Data!K3064:L3064)&gt;0,1,0)</f>
        <v>0</v>
      </c>
    </row>
    <row r="3065">
      <c r="A3065" s="10">
        <f>Daily_Data!A3065</f>
        <v>40815</v>
      </c>
      <c r="B3065" s="11">
        <f>Daily_Data!J3065</f>
        <v>38.84</v>
      </c>
      <c r="C3065" s="11">
        <f>Daily_Data!I3065</f>
        <v>2.83</v>
      </c>
      <c r="D3065" s="12">
        <f>if(sum(Daily_Data!K3065:L3065)&gt;0,1,0)</f>
        <v>0</v>
      </c>
    </row>
    <row r="3066">
      <c r="A3066" s="10">
        <f>Daily_Data!A3066</f>
        <v>40816</v>
      </c>
      <c r="B3066" s="11">
        <f>Daily_Data!J3066</f>
        <v>42.96</v>
      </c>
      <c r="C3066" s="11">
        <f>Daily_Data!I3066</f>
        <v>2.87</v>
      </c>
      <c r="D3066" s="12">
        <f>if(sum(Daily_Data!K3066:L3066)&gt;0,1,0)</f>
        <v>0</v>
      </c>
    </row>
    <row r="3067">
      <c r="A3067" s="10">
        <f>Daily_Data!A3067</f>
        <v>40819</v>
      </c>
      <c r="B3067" s="11">
        <f>Daily_Data!J3067</f>
        <v>45.45</v>
      </c>
      <c r="C3067" s="11">
        <f>Daily_Data!I3067</f>
        <v>2.85</v>
      </c>
      <c r="D3067" s="12">
        <f>if(sum(Daily_Data!K3067:L3067)&gt;0,1,0)</f>
        <v>0</v>
      </c>
    </row>
    <row r="3068">
      <c r="A3068" s="10">
        <f>Daily_Data!A3068</f>
        <v>40820</v>
      </c>
      <c r="B3068" s="11">
        <f>Daily_Data!J3068</f>
        <v>40.82</v>
      </c>
      <c r="C3068" s="11">
        <f>Daily_Data!I3068</f>
        <v>2.77</v>
      </c>
      <c r="D3068" s="12">
        <f>if(sum(Daily_Data!K3068:L3068)&gt;0,1,0)</f>
        <v>0</v>
      </c>
    </row>
    <row r="3069">
      <c r="A3069" s="10">
        <f>Daily_Data!A3069</f>
        <v>40821</v>
      </c>
      <c r="B3069" s="11">
        <f>Daily_Data!J3069</f>
        <v>37.81</v>
      </c>
      <c r="C3069" s="11">
        <f>Daily_Data!I3069</f>
        <v>2.73</v>
      </c>
      <c r="D3069" s="12">
        <f>if(sum(Daily_Data!K3069:L3069)&gt;0,1,0)</f>
        <v>0</v>
      </c>
    </row>
    <row r="3070">
      <c r="A3070" s="10">
        <f>Daily_Data!A3070</f>
        <v>40822</v>
      </c>
      <c r="B3070" s="11">
        <f>Daily_Data!J3070</f>
        <v>36.27</v>
      </c>
      <c r="C3070" s="11">
        <f>Daily_Data!I3070</f>
        <v>2.76</v>
      </c>
      <c r="D3070" s="12">
        <f>if(sum(Daily_Data!K3070:L3070)&gt;0,1,0)</f>
        <v>0</v>
      </c>
    </row>
    <row r="3071">
      <c r="A3071" s="10">
        <f>Daily_Data!A3071</f>
        <v>40823</v>
      </c>
      <c r="B3071" s="11">
        <f>Daily_Data!J3071</f>
        <v>36.2</v>
      </c>
      <c r="C3071" s="11">
        <f>Daily_Data!I3071</f>
        <v>2.79</v>
      </c>
      <c r="D3071" s="12">
        <f>if(sum(Daily_Data!K3071:L3071)&gt;0,1,0)</f>
        <v>1</v>
      </c>
    </row>
    <row r="3072">
      <c r="A3072" s="10">
        <f>Daily_Data!A3072</f>
        <v>40826</v>
      </c>
      <c r="B3072" s="11">
        <f>Daily_Data!J3072</f>
        <v>33.02</v>
      </c>
      <c r="C3072" s="11" t="str">
        <f>Daily_Data!I3072</f>
        <v/>
      </c>
      <c r="D3072" s="12">
        <f>if(sum(Daily_Data!K3072:L3072)&gt;0,1,0)</f>
        <v>0</v>
      </c>
    </row>
    <row r="3073">
      <c r="A3073" s="10">
        <f>Daily_Data!A3073</f>
        <v>40827</v>
      </c>
      <c r="B3073" s="11">
        <f>Daily_Data!J3073</f>
        <v>32.86</v>
      </c>
      <c r="C3073" s="11">
        <f>Daily_Data!I3073</f>
        <v>2.83</v>
      </c>
      <c r="D3073" s="12">
        <f>if(sum(Daily_Data!K3073:L3073)&gt;0,1,0)</f>
        <v>0</v>
      </c>
    </row>
    <row r="3074">
      <c r="A3074" s="10">
        <f>Daily_Data!A3074</f>
        <v>40828</v>
      </c>
      <c r="B3074" s="11">
        <f>Daily_Data!J3074</f>
        <v>31.26</v>
      </c>
      <c r="C3074" s="11">
        <f>Daily_Data!I3074</f>
        <v>2.84</v>
      </c>
      <c r="D3074" s="12">
        <f>if(sum(Daily_Data!K3074:L3074)&gt;0,1,0)</f>
        <v>0</v>
      </c>
    </row>
    <row r="3075">
      <c r="A3075" s="10">
        <f>Daily_Data!A3075</f>
        <v>40829</v>
      </c>
      <c r="B3075" s="11">
        <f>Daily_Data!J3075</f>
        <v>30.7</v>
      </c>
      <c r="C3075" s="11">
        <f>Daily_Data!I3075</f>
        <v>2.88</v>
      </c>
      <c r="D3075" s="12">
        <f>if(sum(Daily_Data!K3075:L3075)&gt;0,1,0)</f>
        <v>0</v>
      </c>
    </row>
    <row r="3076">
      <c r="A3076" s="10">
        <f>Daily_Data!A3076</f>
        <v>40830</v>
      </c>
      <c r="B3076" s="11">
        <f>Daily_Data!J3076</f>
        <v>28.24</v>
      </c>
      <c r="C3076" s="11">
        <f>Daily_Data!I3076</f>
        <v>2.84</v>
      </c>
      <c r="D3076" s="12">
        <f>if(sum(Daily_Data!K3076:L3076)&gt;0,1,0)</f>
        <v>0</v>
      </c>
    </row>
    <row r="3077">
      <c r="A3077" s="10">
        <f>Daily_Data!A3077</f>
        <v>40833</v>
      </c>
      <c r="B3077" s="11">
        <f>Daily_Data!J3077</f>
        <v>33.39</v>
      </c>
      <c r="C3077" s="11">
        <f>Daily_Data!I3077</f>
        <v>2.91</v>
      </c>
      <c r="D3077" s="12">
        <f>if(sum(Daily_Data!K3077:L3077)&gt;0,1,0)</f>
        <v>0</v>
      </c>
    </row>
    <row r="3078">
      <c r="A3078" s="10">
        <f>Daily_Data!A3078</f>
        <v>40834</v>
      </c>
      <c r="B3078" s="11">
        <f>Daily_Data!J3078</f>
        <v>31.56</v>
      </c>
      <c r="C3078" s="11">
        <f>Daily_Data!I3078</f>
        <v>2.88</v>
      </c>
      <c r="D3078" s="12">
        <f>if(sum(Daily_Data!K3078:L3078)&gt;0,1,0)</f>
        <v>0</v>
      </c>
    </row>
    <row r="3079">
      <c r="A3079" s="10">
        <f>Daily_Data!A3079</f>
        <v>40835</v>
      </c>
      <c r="B3079" s="11">
        <f>Daily_Data!J3079</f>
        <v>34.44</v>
      </c>
      <c r="C3079" s="11">
        <f>Daily_Data!I3079</f>
        <v>2.89</v>
      </c>
      <c r="D3079" s="12">
        <f>if(sum(Daily_Data!K3079:L3079)&gt;0,1,0)</f>
        <v>1</v>
      </c>
    </row>
    <row r="3080">
      <c r="A3080" s="10">
        <f>Daily_Data!A3080</f>
        <v>40836</v>
      </c>
      <c r="B3080" s="11">
        <f>Daily_Data!J3080</f>
        <v>34.78</v>
      </c>
      <c r="C3080" s="11">
        <f>Daily_Data!I3080</f>
        <v>2.89</v>
      </c>
      <c r="D3080" s="12">
        <f>if(sum(Daily_Data!K3080:L3080)&gt;0,1,0)</f>
        <v>0</v>
      </c>
    </row>
    <row r="3081">
      <c r="A3081" s="10">
        <f>Daily_Data!A3081</f>
        <v>40837</v>
      </c>
      <c r="B3081" s="11">
        <f>Daily_Data!J3081</f>
        <v>31.32</v>
      </c>
      <c r="C3081" s="11">
        <f>Daily_Data!I3081</f>
        <v>2.87</v>
      </c>
      <c r="D3081" s="12">
        <f>if(sum(Daily_Data!K3081:L3081)&gt;0,1,0)</f>
        <v>0</v>
      </c>
    </row>
    <row r="3082">
      <c r="A3082" s="10">
        <f>Daily_Data!A3082</f>
        <v>40840</v>
      </c>
      <c r="B3082" s="11">
        <f>Daily_Data!J3082</f>
        <v>29.26</v>
      </c>
      <c r="C3082" s="11" t="str">
        <f>Daily_Data!I3082</f>
        <v/>
      </c>
      <c r="D3082" s="12">
        <f>if(sum(Daily_Data!K3082:L3082)&gt;0,1,0)</f>
        <v>0</v>
      </c>
    </row>
    <row r="3083">
      <c r="A3083" s="10">
        <f>Daily_Data!A3083</f>
        <v>40841</v>
      </c>
      <c r="B3083" s="11">
        <f>Daily_Data!J3083</f>
        <v>32.22</v>
      </c>
      <c r="C3083" s="11">
        <f>Daily_Data!I3083</f>
        <v>2.89</v>
      </c>
      <c r="D3083" s="12">
        <f>if(sum(Daily_Data!K3083:L3083)&gt;0,1,0)</f>
        <v>0</v>
      </c>
    </row>
    <row r="3084">
      <c r="A3084" s="10">
        <f>Daily_Data!A3084</f>
        <v>40842</v>
      </c>
      <c r="B3084" s="11">
        <f>Daily_Data!J3084</f>
        <v>29.86</v>
      </c>
      <c r="C3084" s="11">
        <f>Daily_Data!I3084</f>
        <v>2.79</v>
      </c>
      <c r="D3084" s="12">
        <f>if(sum(Daily_Data!K3084:L3084)&gt;0,1,0)</f>
        <v>0</v>
      </c>
    </row>
    <row r="3085">
      <c r="A3085" s="10">
        <f>Daily_Data!A3085</f>
        <v>40843</v>
      </c>
      <c r="B3085" s="11">
        <f>Daily_Data!J3085</f>
        <v>25.46</v>
      </c>
      <c r="C3085" s="11">
        <f>Daily_Data!I3085</f>
        <v>2.83</v>
      </c>
      <c r="D3085" s="12">
        <f>if(sum(Daily_Data!K3085:L3085)&gt;0,1,0)</f>
        <v>0</v>
      </c>
    </row>
    <row r="3086">
      <c r="A3086" s="10">
        <f>Daily_Data!A3086</f>
        <v>40844</v>
      </c>
      <c r="B3086" s="11">
        <f>Daily_Data!J3086</f>
        <v>24.53</v>
      </c>
      <c r="C3086" s="11">
        <f>Daily_Data!I3086</f>
        <v>2.91</v>
      </c>
      <c r="D3086" s="12">
        <f>if(sum(Daily_Data!K3086:L3086)&gt;0,1,0)</f>
        <v>0</v>
      </c>
    </row>
    <row r="3087">
      <c r="A3087" s="10">
        <f>Daily_Data!A3087</f>
        <v>40847</v>
      </c>
      <c r="B3087" s="11">
        <f>Daily_Data!J3087</f>
        <v>29.96</v>
      </c>
      <c r="C3087" s="11">
        <f>Daily_Data!I3087</f>
        <v>2.9</v>
      </c>
      <c r="D3087" s="12">
        <f>if(sum(Daily_Data!K3087:L3087)&gt;0,1,0)</f>
        <v>0</v>
      </c>
    </row>
    <row r="3088">
      <c r="A3088" s="10">
        <f>Daily_Data!A3088</f>
        <v>40848</v>
      </c>
      <c r="B3088" s="11">
        <f>Daily_Data!J3088</f>
        <v>34.77</v>
      </c>
      <c r="C3088" s="11">
        <f>Daily_Data!I3088</f>
        <v>2.88</v>
      </c>
      <c r="D3088" s="12">
        <f>if(sum(Daily_Data!K3088:L3088)&gt;0,1,0)</f>
        <v>0</v>
      </c>
    </row>
    <row r="3089">
      <c r="A3089" s="10">
        <f>Daily_Data!A3089</f>
        <v>40849</v>
      </c>
      <c r="B3089" s="11">
        <f>Daily_Data!J3089</f>
        <v>32.74</v>
      </c>
      <c r="C3089" s="11">
        <f>Daily_Data!I3089</f>
        <v>2.87</v>
      </c>
      <c r="D3089" s="12">
        <f>if(sum(Daily_Data!K3089:L3089)&gt;0,1,0)</f>
        <v>0</v>
      </c>
    </row>
    <row r="3090">
      <c r="A3090" s="10">
        <f>Daily_Data!A3090</f>
        <v>40850</v>
      </c>
      <c r="B3090" s="11">
        <f>Daily_Data!J3090</f>
        <v>30.5</v>
      </c>
      <c r="C3090" s="11">
        <f>Daily_Data!I3090</f>
        <v>2.83</v>
      </c>
      <c r="D3090" s="12">
        <f>if(sum(Daily_Data!K3090:L3090)&gt;0,1,0)</f>
        <v>0</v>
      </c>
    </row>
    <row r="3091">
      <c r="A3091" s="10">
        <f>Daily_Data!A3091</f>
        <v>40851</v>
      </c>
      <c r="B3091" s="11">
        <f>Daily_Data!J3091</f>
        <v>30.16</v>
      </c>
      <c r="C3091" s="11">
        <f>Daily_Data!I3091</f>
        <v>2.88</v>
      </c>
      <c r="D3091" s="12">
        <f>if(sum(Daily_Data!K3091:L3091)&gt;0,1,0)</f>
        <v>1</v>
      </c>
    </row>
    <row r="3092">
      <c r="A3092" s="10">
        <f>Daily_Data!A3092</f>
        <v>40854</v>
      </c>
      <c r="B3092" s="11">
        <f>Daily_Data!J3092</f>
        <v>29.85</v>
      </c>
      <c r="C3092" s="11">
        <f>Daily_Data!I3092</f>
        <v>2.83</v>
      </c>
      <c r="D3092" s="12">
        <f>if(sum(Daily_Data!K3092:L3092)&gt;0,1,0)</f>
        <v>0</v>
      </c>
    </row>
    <row r="3093">
      <c r="A3093" s="10">
        <f>Daily_Data!A3093</f>
        <v>40855</v>
      </c>
      <c r="B3093" s="11">
        <f>Daily_Data!J3093</f>
        <v>27.48</v>
      </c>
      <c r="C3093" s="11">
        <f>Daily_Data!I3093</f>
        <v>2.82</v>
      </c>
      <c r="D3093" s="12">
        <f>if(sum(Daily_Data!K3093:L3093)&gt;0,1,0)</f>
        <v>0</v>
      </c>
    </row>
    <row r="3094">
      <c r="A3094" s="10">
        <f>Daily_Data!A3094</f>
        <v>40856</v>
      </c>
      <c r="B3094" s="11">
        <f>Daily_Data!J3094</f>
        <v>36.16</v>
      </c>
      <c r="C3094" s="11">
        <f>Daily_Data!I3094</f>
        <v>2.82</v>
      </c>
      <c r="D3094" s="12">
        <f>if(sum(Daily_Data!K3094:L3094)&gt;0,1,0)</f>
        <v>0</v>
      </c>
    </row>
    <row r="3095">
      <c r="A3095" s="10">
        <f>Daily_Data!A3095</f>
        <v>40857</v>
      </c>
      <c r="B3095" s="11">
        <f>Daily_Data!J3095</f>
        <v>32.81</v>
      </c>
      <c r="C3095" s="11">
        <f>Daily_Data!I3095</f>
        <v>2.71</v>
      </c>
      <c r="D3095" s="12">
        <f>if(sum(Daily_Data!K3095:L3095)&gt;0,1,0)</f>
        <v>0</v>
      </c>
    </row>
    <row r="3096">
      <c r="A3096" s="10">
        <f>Daily_Data!A3096</f>
        <v>40858</v>
      </c>
      <c r="B3096" s="11">
        <f>Daily_Data!J3096</f>
        <v>30.04</v>
      </c>
      <c r="C3096" s="11" t="str">
        <f>Daily_Data!I3096</f>
        <v/>
      </c>
      <c r="D3096" s="12">
        <f>if(sum(Daily_Data!K3096:L3096)&gt;0,1,0)</f>
        <v>0</v>
      </c>
    </row>
    <row r="3097">
      <c r="A3097" s="10">
        <f>Daily_Data!A3097</f>
        <v>40861</v>
      </c>
      <c r="B3097" s="11">
        <f>Daily_Data!J3097</f>
        <v>31.13</v>
      </c>
      <c r="C3097" s="11">
        <f>Daily_Data!I3097</f>
        <v>2.71</v>
      </c>
      <c r="D3097" s="12">
        <f>if(sum(Daily_Data!K3097:L3097)&gt;0,1,0)</f>
        <v>0</v>
      </c>
    </row>
    <row r="3098">
      <c r="A3098" s="10">
        <f>Daily_Data!A3098</f>
        <v>40862</v>
      </c>
      <c r="B3098" s="11">
        <f>Daily_Data!J3098</f>
        <v>31.22</v>
      </c>
      <c r="C3098" s="11">
        <f>Daily_Data!I3098</f>
        <v>2.59</v>
      </c>
      <c r="D3098" s="12">
        <f>if(sum(Daily_Data!K3098:L3098)&gt;0,1,0)</f>
        <v>0</v>
      </c>
    </row>
    <row r="3099">
      <c r="A3099" s="10">
        <f>Daily_Data!A3099</f>
        <v>40863</v>
      </c>
      <c r="B3099" s="11">
        <f>Daily_Data!J3099</f>
        <v>33.51</v>
      </c>
      <c r="C3099" s="11">
        <f>Daily_Data!I3099</f>
        <v>2.53</v>
      </c>
      <c r="D3099" s="12">
        <f>if(sum(Daily_Data!K3099:L3099)&gt;0,1,0)</f>
        <v>1</v>
      </c>
    </row>
    <row r="3100">
      <c r="A3100" s="10">
        <f>Daily_Data!A3100</f>
        <v>40864</v>
      </c>
      <c r="B3100" s="11">
        <f>Daily_Data!J3100</f>
        <v>34.51</v>
      </c>
      <c r="C3100" s="11">
        <f>Daily_Data!I3100</f>
        <v>2.46</v>
      </c>
      <c r="D3100" s="12">
        <f>if(sum(Daily_Data!K3100:L3100)&gt;0,1,0)</f>
        <v>0</v>
      </c>
    </row>
    <row r="3101">
      <c r="A3101" s="10">
        <f>Daily_Data!A3101</f>
        <v>40865</v>
      </c>
      <c r="B3101" s="11">
        <f>Daily_Data!J3101</f>
        <v>32</v>
      </c>
      <c r="C3101" s="11">
        <f>Daily_Data!I3101</f>
        <v>2.42</v>
      </c>
      <c r="D3101" s="12">
        <f>if(sum(Daily_Data!K3101:L3101)&gt;0,1,0)</f>
        <v>0</v>
      </c>
    </row>
    <row r="3102">
      <c r="A3102" s="10">
        <f>Daily_Data!A3102</f>
        <v>40868</v>
      </c>
      <c r="B3102" s="11">
        <f>Daily_Data!J3102</f>
        <v>32.91</v>
      </c>
      <c r="C3102" s="11">
        <f>Daily_Data!I3102</f>
        <v>2.43</v>
      </c>
      <c r="D3102" s="12">
        <f>if(sum(Daily_Data!K3102:L3102)&gt;0,1,0)</f>
        <v>0</v>
      </c>
    </row>
    <row r="3103">
      <c r="A3103" s="10">
        <f>Daily_Data!A3103</f>
        <v>40869</v>
      </c>
      <c r="B3103" s="11">
        <f>Daily_Data!J3103</f>
        <v>31.97</v>
      </c>
      <c r="C3103" s="11">
        <f>Daily_Data!I3103</f>
        <v>2.44</v>
      </c>
      <c r="D3103" s="12">
        <f>if(sum(Daily_Data!K3103:L3103)&gt;0,1,0)</f>
        <v>0</v>
      </c>
    </row>
    <row r="3104">
      <c r="A3104" s="10">
        <f>Daily_Data!A3104</f>
        <v>40870</v>
      </c>
      <c r="B3104" s="11">
        <f>Daily_Data!J3104</f>
        <v>33.98</v>
      </c>
      <c r="C3104" s="11">
        <f>Daily_Data!I3104</f>
        <v>2.39</v>
      </c>
      <c r="D3104" s="12">
        <f>if(sum(Daily_Data!K3104:L3104)&gt;0,1,0)</f>
        <v>0</v>
      </c>
    </row>
    <row r="3105">
      <c r="A3105" s="10">
        <f>Daily_Data!A3105</f>
        <v>40871</v>
      </c>
      <c r="B3105" s="11" t="str">
        <f>Daily_Data!J3105</f>
        <v/>
      </c>
      <c r="C3105" s="11" t="str">
        <f>Daily_Data!I3105</f>
        <v/>
      </c>
      <c r="D3105" s="12">
        <f>if(sum(Daily_Data!K3105:L3105)&gt;0,1,0)</f>
        <v>0</v>
      </c>
    </row>
    <row r="3106">
      <c r="A3106" s="10">
        <f>Daily_Data!A3106</f>
        <v>40872</v>
      </c>
      <c r="B3106" s="11">
        <f>Daily_Data!J3106</f>
        <v>34.47</v>
      </c>
      <c r="C3106" s="11">
        <f>Daily_Data!I3106</f>
        <v>2.38</v>
      </c>
      <c r="D3106" s="12">
        <f>if(sum(Daily_Data!K3106:L3106)&gt;0,1,0)</f>
        <v>0</v>
      </c>
    </row>
    <row r="3107">
      <c r="A3107" s="10">
        <f>Daily_Data!A3107</f>
        <v>40875</v>
      </c>
      <c r="B3107" s="11">
        <f>Daily_Data!J3107</f>
        <v>32.13</v>
      </c>
      <c r="C3107" s="11">
        <f>Daily_Data!I3107</f>
        <v>2.46</v>
      </c>
      <c r="D3107" s="12">
        <f>if(sum(Daily_Data!K3107:L3107)&gt;0,1,0)</f>
        <v>0</v>
      </c>
    </row>
    <row r="3108">
      <c r="A3108" s="10">
        <f>Daily_Data!A3108</f>
        <v>40876</v>
      </c>
      <c r="B3108" s="11">
        <f>Daily_Data!J3108</f>
        <v>30.64</v>
      </c>
      <c r="C3108" s="11">
        <f>Daily_Data!I3108</f>
        <v>2.52</v>
      </c>
      <c r="D3108" s="12">
        <f>if(sum(Daily_Data!K3108:L3108)&gt;0,1,0)</f>
        <v>0</v>
      </c>
    </row>
    <row r="3109">
      <c r="A3109" s="10">
        <f>Daily_Data!A3109</f>
        <v>40877</v>
      </c>
      <c r="B3109" s="11">
        <f>Daily_Data!J3109</f>
        <v>27.8</v>
      </c>
      <c r="C3109" s="11">
        <f>Daily_Data!I3109</f>
        <v>2.55</v>
      </c>
      <c r="D3109" s="12">
        <f>if(sum(Daily_Data!K3109:L3109)&gt;0,1,0)</f>
        <v>0</v>
      </c>
    </row>
    <row r="3110">
      <c r="A3110" s="10">
        <f>Daily_Data!A3110</f>
        <v>40878</v>
      </c>
      <c r="B3110" s="11">
        <f>Daily_Data!J3110</f>
        <v>27.41</v>
      </c>
      <c r="C3110" s="11">
        <f>Daily_Data!I3110</f>
        <v>2.59</v>
      </c>
      <c r="D3110" s="12">
        <f>if(sum(Daily_Data!K3110:L3110)&gt;0,1,0)</f>
        <v>0</v>
      </c>
    </row>
    <row r="3111">
      <c r="A3111" s="10">
        <f>Daily_Data!A3111</f>
        <v>40879</v>
      </c>
      <c r="B3111" s="11">
        <f>Daily_Data!J3111</f>
        <v>27.52</v>
      </c>
      <c r="C3111" s="11">
        <f>Daily_Data!I3111</f>
        <v>2.63</v>
      </c>
      <c r="D3111" s="12">
        <f>if(sum(Daily_Data!K3111:L3111)&gt;0,1,0)</f>
        <v>1</v>
      </c>
    </row>
    <row r="3112">
      <c r="A3112" s="10">
        <f>Daily_Data!A3112</f>
        <v>40882</v>
      </c>
      <c r="B3112" s="11">
        <f>Daily_Data!J3112</f>
        <v>27.84</v>
      </c>
      <c r="C3112" s="11">
        <f>Daily_Data!I3112</f>
        <v>2.6</v>
      </c>
      <c r="D3112" s="12">
        <f>if(sum(Daily_Data!K3112:L3112)&gt;0,1,0)</f>
        <v>0</v>
      </c>
    </row>
    <row r="3113">
      <c r="A3113" s="10">
        <f>Daily_Data!A3113</f>
        <v>40883</v>
      </c>
      <c r="B3113" s="11">
        <f>Daily_Data!J3113</f>
        <v>28.13</v>
      </c>
      <c r="C3113" s="11">
        <f>Daily_Data!I3113</f>
        <v>2.59</v>
      </c>
      <c r="D3113" s="12">
        <f>if(sum(Daily_Data!K3113:L3113)&gt;0,1,0)</f>
        <v>0</v>
      </c>
    </row>
    <row r="3114">
      <c r="A3114" s="10">
        <f>Daily_Data!A3114</f>
        <v>40884</v>
      </c>
      <c r="B3114" s="11">
        <f>Daily_Data!J3114</f>
        <v>28.67</v>
      </c>
      <c r="C3114" s="11">
        <f>Daily_Data!I3114</f>
        <v>2.56</v>
      </c>
      <c r="D3114" s="12">
        <f>if(sum(Daily_Data!K3114:L3114)&gt;0,1,0)</f>
        <v>0</v>
      </c>
    </row>
    <row r="3115">
      <c r="A3115" s="10">
        <f>Daily_Data!A3115</f>
        <v>40885</v>
      </c>
      <c r="B3115" s="11">
        <f>Daily_Data!J3115</f>
        <v>30.59</v>
      </c>
      <c r="C3115" s="11">
        <f>Daily_Data!I3115</f>
        <v>2.55</v>
      </c>
      <c r="D3115" s="12">
        <f>if(sum(Daily_Data!K3115:L3115)&gt;0,1,0)</f>
        <v>0</v>
      </c>
    </row>
    <row r="3116">
      <c r="A3116" s="10">
        <f>Daily_Data!A3116</f>
        <v>40886</v>
      </c>
      <c r="B3116" s="11">
        <f>Daily_Data!J3116</f>
        <v>26.38</v>
      </c>
      <c r="C3116" s="11">
        <f>Daily_Data!I3116</f>
        <v>2.53</v>
      </c>
      <c r="D3116" s="12">
        <f>if(sum(Daily_Data!K3116:L3116)&gt;0,1,0)</f>
        <v>0</v>
      </c>
    </row>
    <row r="3117">
      <c r="A3117" s="10">
        <f>Daily_Data!A3117</f>
        <v>40889</v>
      </c>
      <c r="B3117" s="11">
        <f>Daily_Data!J3117</f>
        <v>25.67</v>
      </c>
      <c r="C3117" s="11">
        <f>Daily_Data!I3117</f>
        <v>2.52</v>
      </c>
      <c r="D3117" s="12">
        <f>if(sum(Daily_Data!K3117:L3117)&gt;0,1,0)</f>
        <v>0</v>
      </c>
    </row>
    <row r="3118">
      <c r="A3118" s="10">
        <f>Daily_Data!A3118</f>
        <v>40890</v>
      </c>
      <c r="B3118" s="11">
        <f>Daily_Data!J3118</f>
        <v>25.41</v>
      </c>
      <c r="C3118" s="11">
        <f>Daily_Data!I3118</f>
        <v>2.49</v>
      </c>
      <c r="D3118" s="12">
        <f>if(sum(Daily_Data!K3118:L3118)&gt;0,1,0)</f>
        <v>0</v>
      </c>
    </row>
    <row r="3119">
      <c r="A3119" s="10">
        <f>Daily_Data!A3119</f>
        <v>40891</v>
      </c>
      <c r="B3119" s="11">
        <f>Daily_Data!J3119</f>
        <v>26.04</v>
      </c>
      <c r="C3119" s="11">
        <f>Daily_Data!I3119</f>
        <v>2.46</v>
      </c>
      <c r="D3119" s="12">
        <f>if(sum(Daily_Data!K3119:L3119)&gt;0,1,0)</f>
        <v>0</v>
      </c>
    </row>
    <row r="3120">
      <c r="A3120" s="10">
        <f>Daily_Data!A3120</f>
        <v>40892</v>
      </c>
      <c r="B3120" s="11">
        <f>Daily_Data!J3120</f>
        <v>25.11</v>
      </c>
      <c r="C3120" s="11">
        <f>Daily_Data!I3120</f>
        <v>2.37</v>
      </c>
      <c r="D3120" s="12">
        <f>if(sum(Daily_Data!K3120:L3120)&gt;0,1,0)</f>
        <v>0</v>
      </c>
    </row>
    <row r="3121">
      <c r="A3121" s="10">
        <f>Daily_Data!A3121</f>
        <v>40893</v>
      </c>
      <c r="B3121" s="11">
        <f>Daily_Data!J3121</f>
        <v>24.29</v>
      </c>
      <c r="C3121" s="11">
        <f>Daily_Data!I3121</f>
        <v>2.45</v>
      </c>
      <c r="D3121" s="12">
        <f>if(sum(Daily_Data!K3121:L3121)&gt;0,1,0)</f>
        <v>1</v>
      </c>
    </row>
    <row r="3122">
      <c r="A3122" s="10">
        <f>Daily_Data!A3122</f>
        <v>40896</v>
      </c>
      <c r="B3122" s="11">
        <f>Daily_Data!J3122</f>
        <v>24.92</v>
      </c>
      <c r="C3122" s="11">
        <f>Daily_Data!I3122</f>
        <v>2.41</v>
      </c>
      <c r="D3122" s="12">
        <f>if(sum(Daily_Data!K3122:L3122)&gt;0,1,0)</f>
        <v>0</v>
      </c>
    </row>
    <row r="3123">
      <c r="A3123" s="10">
        <f>Daily_Data!A3123</f>
        <v>40897</v>
      </c>
      <c r="B3123" s="11">
        <f>Daily_Data!J3123</f>
        <v>23.22</v>
      </c>
      <c r="C3123" s="11">
        <f>Daily_Data!I3123</f>
        <v>2.4</v>
      </c>
      <c r="D3123" s="12">
        <f>if(sum(Daily_Data!K3123:L3123)&gt;0,1,0)</f>
        <v>0</v>
      </c>
    </row>
    <row r="3124">
      <c r="A3124" s="10">
        <f>Daily_Data!A3124</f>
        <v>40898</v>
      </c>
      <c r="B3124" s="11">
        <f>Daily_Data!J3124</f>
        <v>21.43</v>
      </c>
      <c r="C3124" s="11">
        <f>Daily_Data!I3124</f>
        <v>2.44</v>
      </c>
      <c r="D3124" s="12">
        <f>if(sum(Daily_Data!K3124:L3124)&gt;0,1,0)</f>
        <v>0</v>
      </c>
    </row>
    <row r="3125">
      <c r="A3125" s="10">
        <f>Daily_Data!A3125</f>
        <v>40899</v>
      </c>
      <c r="B3125" s="11">
        <f>Daily_Data!J3125</f>
        <v>21.16</v>
      </c>
      <c r="C3125" s="11">
        <f>Daily_Data!I3125</f>
        <v>2.44</v>
      </c>
      <c r="D3125" s="12">
        <f>if(sum(Daily_Data!K3125:L3125)&gt;0,1,0)</f>
        <v>0</v>
      </c>
    </row>
    <row r="3126">
      <c r="A3126" s="10">
        <f>Daily_Data!A3126</f>
        <v>40900</v>
      </c>
      <c r="B3126" s="11">
        <f>Daily_Data!J3126</f>
        <v>20.73</v>
      </c>
      <c r="C3126" s="11">
        <f>Daily_Data!I3126</f>
        <v>2.44</v>
      </c>
      <c r="D3126" s="12">
        <f>if(sum(Daily_Data!K3126:L3126)&gt;0,1,0)</f>
        <v>0</v>
      </c>
    </row>
    <row r="3127">
      <c r="A3127" s="10">
        <f>Daily_Data!A3127</f>
        <v>40903</v>
      </c>
      <c r="B3127" s="11" t="str">
        <f>Daily_Data!J3127</f>
        <v/>
      </c>
      <c r="C3127" s="11" t="str">
        <f>Daily_Data!I3127</f>
        <v/>
      </c>
      <c r="D3127" s="12">
        <f>if(sum(Daily_Data!K3127:L3127)&gt;0,1,0)</f>
        <v>0</v>
      </c>
    </row>
    <row r="3128">
      <c r="A3128" s="10">
        <f>Daily_Data!A3128</f>
        <v>40904</v>
      </c>
      <c r="B3128" s="11">
        <f>Daily_Data!J3128</f>
        <v>21.91</v>
      </c>
      <c r="C3128" s="11" t="str">
        <f>Daily_Data!I3128</f>
        <v/>
      </c>
      <c r="D3128" s="12">
        <f>if(sum(Daily_Data!K3128:L3128)&gt;0,1,0)</f>
        <v>0</v>
      </c>
    </row>
    <row r="3129">
      <c r="A3129" s="10">
        <f>Daily_Data!A3129</f>
        <v>40905</v>
      </c>
      <c r="B3129" s="11">
        <f>Daily_Data!J3129</f>
        <v>23.52</v>
      </c>
      <c r="C3129" s="11">
        <f>Daily_Data!I3129</f>
        <v>2.44</v>
      </c>
      <c r="D3129" s="12">
        <f>if(sum(Daily_Data!K3129:L3129)&gt;0,1,0)</f>
        <v>0</v>
      </c>
    </row>
    <row r="3130">
      <c r="A3130" s="10">
        <f>Daily_Data!A3130</f>
        <v>40906</v>
      </c>
      <c r="B3130" s="11">
        <f>Daily_Data!J3130</f>
        <v>22.65</v>
      </c>
      <c r="C3130" s="11">
        <f>Daily_Data!I3130</f>
        <v>2.42</v>
      </c>
      <c r="D3130" s="12">
        <f>if(sum(Daily_Data!K3130:L3130)&gt;0,1,0)</f>
        <v>0</v>
      </c>
    </row>
    <row r="3131">
      <c r="A3131" s="10">
        <f>Daily_Data!A3131</f>
        <v>40907</v>
      </c>
      <c r="B3131" s="11">
        <f>Daily_Data!J3131</f>
        <v>23.4</v>
      </c>
      <c r="C3131" s="11">
        <f>Daily_Data!I3131</f>
        <v>2.47</v>
      </c>
      <c r="D3131" s="12">
        <f>if(sum(Daily_Data!K3131:L3131)&gt;0,1,0)</f>
        <v>0</v>
      </c>
    </row>
    <row r="3132">
      <c r="A3132" s="10">
        <f>Daily_Data!A3132</f>
        <v>40910</v>
      </c>
      <c r="B3132" s="11" t="str">
        <f>Daily_Data!J3132</f>
        <v/>
      </c>
      <c r="C3132" s="11" t="str">
        <f>Daily_Data!I3132</f>
        <v/>
      </c>
      <c r="D3132" s="12">
        <f>if(sum(Daily_Data!K3132:L3132)&gt;0,1,0)</f>
        <v>0</v>
      </c>
    </row>
    <row r="3133">
      <c r="A3133" s="10">
        <f>Daily_Data!A3133</f>
        <v>40911</v>
      </c>
      <c r="B3133" s="11">
        <f>Daily_Data!J3133</f>
        <v>22.97</v>
      </c>
      <c r="C3133" s="11" t="str">
        <f>Daily_Data!I3133</f>
        <v/>
      </c>
      <c r="D3133" s="12">
        <f>if(sum(Daily_Data!K3133:L3133)&gt;0,1,0)</f>
        <v>0</v>
      </c>
    </row>
    <row r="3134">
      <c r="A3134" s="10">
        <f>Daily_Data!A3134</f>
        <v>40912</v>
      </c>
      <c r="B3134" s="11">
        <f>Daily_Data!J3134</f>
        <v>22.22</v>
      </c>
      <c r="C3134" s="11">
        <f>Daily_Data!I3134</f>
        <v>2.54</v>
      </c>
      <c r="D3134" s="12">
        <f>if(sum(Daily_Data!K3134:L3134)&gt;0,1,0)</f>
        <v>0</v>
      </c>
    </row>
    <row r="3135">
      <c r="A3135" s="10">
        <f>Daily_Data!A3135</f>
        <v>40913</v>
      </c>
      <c r="B3135" s="11">
        <f>Daily_Data!J3135</f>
        <v>21.48</v>
      </c>
      <c r="C3135" s="11">
        <f>Daily_Data!I3135</f>
        <v>2.52</v>
      </c>
      <c r="D3135" s="12">
        <f>if(sum(Daily_Data!K3135:L3135)&gt;0,1,0)</f>
        <v>0</v>
      </c>
    </row>
    <row r="3136">
      <c r="A3136" s="10">
        <f>Daily_Data!A3136</f>
        <v>40914</v>
      </c>
      <c r="B3136" s="11">
        <f>Daily_Data!J3136</f>
        <v>20.63</v>
      </c>
      <c r="C3136" s="11">
        <f>Daily_Data!I3136</f>
        <v>2.54</v>
      </c>
      <c r="D3136" s="12">
        <f>if(sum(Daily_Data!K3136:L3136)&gt;0,1,0)</f>
        <v>1</v>
      </c>
    </row>
    <row r="3137">
      <c r="A3137" s="10">
        <f>Daily_Data!A3137</f>
        <v>40917</v>
      </c>
      <c r="B3137" s="11">
        <f>Daily_Data!J3137</f>
        <v>21.07</v>
      </c>
      <c r="C3137" s="11">
        <f>Daily_Data!I3137</f>
        <v>2.54</v>
      </c>
      <c r="D3137" s="12">
        <f>if(sum(Daily_Data!K3137:L3137)&gt;0,1,0)</f>
        <v>0</v>
      </c>
    </row>
    <row r="3138">
      <c r="A3138" s="10">
        <f>Daily_Data!A3138</f>
        <v>40918</v>
      </c>
      <c r="B3138" s="11">
        <f>Daily_Data!J3138</f>
        <v>20.69</v>
      </c>
      <c r="C3138" s="11">
        <f>Daily_Data!I3138</f>
        <v>2.59</v>
      </c>
      <c r="D3138" s="12">
        <f>if(sum(Daily_Data!K3138:L3138)&gt;0,1,0)</f>
        <v>0</v>
      </c>
    </row>
    <row r="3139">
      <c r="A3139" s="10">
        <f>Daily_Data!A3139</f>
        <v>40919</v>
      </c>
      <c r="B3139" s="11">
        <f>Daily_Data!J3139</f>
        <v>21.05</v>
      </c>
      <c r="C3139" s="11">
        <f>Daily_Data!I3139</f>
        <v>2.61</v>
      </c>
      <c r="D3139" s="12">
        <f>if(sum(Daily_Data!K3139:L3139)&gt;0,1,0)</f>
        <v>0</v>
      </c>
    </row>
    <row r="3140">
      <c r="A3140" s="10">
        <f>Daily_Data!A3140</f>
        <v>40920</v>
      </c>
      <c r="B3140" s="11">
        <f>Daily_Data!J3140</f>
        <v>20.47</v>
      </c>
      <c r="C3140" s="11">
        <f>Daily_Data!I3140</f>
        <v>2.62</v>
      </c>
      <c r="D3140" s="12">
        <f>if(sum(Daily_Data!K3140:L3140)&gt;0,1,0)</f>
        <v>0</v>
      </c>
    </row>
    <row r="3141">
      <c r="A3141" s="10">
        <f>Daily_Data!A3141</f>
        <v>40921</v>
      </c>
      <c r="B3141" s="11">
        <f>Daily_Data!J3141</f>
        <v>20.91</v>
      </c>
      <c r="C3141" s="11">
        <f>Daily_Data!I3141</f>
        <v>2.65</v>
      </c>
      <c r="D3141" s="12">
        <f>if(sum(Daily_Data!K3141:L3141)&gt;0,1,0)</f>
        <v>0</v>
      </c>
    </row>
    <row r="3142">
      <c r="A3142" s="10">
        <f>Daily_Data!A3142</f>
        <v>40924</v>
      </c>
      <c r="B3142" s="11" t="str">
        <f>Daily_Data!J3142</f>
        <v/>
      </c>
      <c r="C3142" s="11" t="str">
        <f>Daily_Data!I3142</f>
        <v/>
      </c>
      <c r="D3142" s="12">
        <f>if(sum(Daily_Data!K3142:L3142)&gt;0,1,0)</f>
        <v>0</v>
      </c>
    </row>
    <row r="3143">
      <c r="A3143" s="10">
        <f>Daily_Data!A3143</f>
        <v>40925</v>
      </c>
      <c r="B3143" s="11">
        <f>Daily_Data!J3143</f>
        <v>22.2</v>
      </c>
      <c r="C3143" s="11">
        <f>Daily_Data!I3143</f>
        <v>2.65</v>
      </c>
      <c r="D3143" s="12">
        <f>if(sum(Daily_Data!K3143:L3143)&gt;0,1,0)</f>
        <v>0</v>
      </c>
    </row>
    <row r="3144">
      <c r="A3144" s="10">
        <f>Daily_Data!A3144</f>
        <v>40926</v>
      </c>
      <c r="B3144" s="11">
        <f>Daily_Data!J3144</f>
        <v>20.89</v>
      </c>
      <c r="C3144" s="11">
        <f>Daily_Data!I3144</f>
        <v>2.62</v>
      </c>
      <c r="D3144" s="12">
        <f>if(sum(Daily_Data!K3144:L3144)&gt;0,1,0)</f>
        <v>0</v>
      </c>
    </row>
    <row r="3145">
      <c r="A3145" s="10">
        <f>Daily_Data!A3145</f>
        <v>40927</v>
      </c>
      <c r="B3145" s="11">
        <f>Daily_Data!J3145</f>
        <v>19.87</v>
      </c>
      <c r="C3145" s="11">
        <f>Daily_Data!I3145</f>
        <v>2.52</v>
      </c>
      <c r="D3145" s="12">
        <f>if(sum(Daily_Data!K3145:L3145)&gt;0,1,0)</f>
        <v>1</v>
      </c>
    </row>
    <row r="3146">
      <c r="A3146" s="10">
        <f>Daily_Data!A3146</f>
        <v>40928</v>
      </c>
      <c r="B3146" s="11">
        <f>Daily_Data!J3146</f>
        <v>18.28</v>
      </c>
      <c r="C3146" s="11">
        <f>Daily_Data!I3146</f>
        <v>2.55</v>
      </c>
      <c r="D3146" s="12">
        <f>if(sum(Daily_Data!K3146:L3146)&gt;0,1,0)</f>
        <v>0</v>
      </c>
    </row>
    <row r="3147">
      <c r="A3147" s="10">
        <f>Daily_Data!A3147</f>
        <v>40931</v>
      </c>
      <c r="B3147" s="11">
        <f>Daily_Data!J3147</f>
        <v>18.67</v>
      </c>
      <c r="C3147" s="11">
        <f>Daily_Data!I3147</f>
        <v>2.56</v>
      </c>
      <c r="D3147" s="12">
        <f>if(sum(Daily_Data!K3147:L3147)&gt;0,1,0)</f>
        <v>0</v>
      </c>
    </row>
    <row r="3148">
      <c r="A3148" s="10">
        <f>Daily_Data!A3148</f>
        <v>40932</v>
      </c>
      <c r="B3148" s="11">
        <f>Daily_Data!J3148</f>
        <v>18.91</v>
      </c>
      <c r="C3148" s="11">
        <f>Daily_Data!I3148</f>
        <v>2.58</v>
      </c>
      <c r="D3148" s="12">
        <f>if(sum(Daily_Data!K3148:L3148)&gt;0,1,0)</f>
        <v>0</v>
      </c>
    </row>
    <row r="3149">
      <c r="A3149" s="10">
        <f>Daily_Data!A3149</f>
        <v>40933</v>
      </c>
      <c r="B3149" s="11">
        <f>Daily_Data!J3149</f>
        <v>18.31</v>
      </c>
      <c r="C3149" s="11">
        <f>Daily_Data!I3149</f>
        <v>2.64</v>
      </c>
      <c r="D3149" s="12">
        <f>if(sum(Daily_Data!K3149:L3149)&gt;0,1,0)</f>
        <v>0</v>
      </c>
    </row>
    <row r="3150">
      <c r="A3150" s="10">
        <f>Daily_Data!A3150</f>
        <v>40934</v>
      </c>
      <c r="B3150" s="11">
        <f>Daily_Data!J3150</f>
        <v>18.57</v>
      </c>
      <c r="C3150" s="11">
        <f>Daily_Data!I3150</f>
        <v>2.59</v>
      </c>
      <c r="D3150" s="12">
        <f>if(sum(Daily_Data!K3150:L3150)&gt;0,1,0)</f>
        <v>0</v>
      </c>
    </row>
    <row r="3151">
      <c r="A3151" s="10">
        <f>Daily_Data!A3151</f>
        <v>40935</v>
      </c>
      <c r="B3151" s="11">
        <f>Daily_Data!J3151</f>
        <v>18.53</v>
      </c>
      <c r="C3151" s="11">
        <f>Daily_Data!I3151</f>
        <v>2.58</v>
      </c>
      <c r="D3151" s="12">
        <f>if(sum(Daily_Data!K3151:L3151)&gt;0,1,0)</f>
        <v>0</v>
      </c>
    </row>
    <row r="3152">
      <c r="A3152" s="10">
        <f>Daily_Data!A3152</f>
        <v>40938</v>
      </c>
      <c r="B3152" s="11">
        <f>Daily_Data!J3152</f>
        <v>19.4</v>
      </c>
      <c r="C3152" s="11">
        <f>Daily_Data!I3152</f>
        <v>2.55</v>
      </c>
      <c r="D3152" s="12">
        <f>if(sum(Daily_Data!K3152:L3152)&gt;0,1,0)</f>
        <v>0</v>
      </c>
    </row>
    <row r="3153">
      <c r="A3153" s="10">
        <f>Daily_Data!A3153</f>
        <v>40939</v>
      </c>
      <c r="B3153" s="11">
        <f>Daily_Data!J3153</f>
        <v>19.44</v>
      </c>
      <c r="C3153" s="11">
        <f>Daily_Data!I3153</f>
        <v>2.54</v>
      </c>
      <c r="D3153" s="12">
        <f>if(sum(Daily_Data!K3153:L3153)&gt;0,1,0)</f>
        <v>0</v>
      </c>
    </row>
    <row r="3154">
      <c r="A3154" s="10">
        <f>Daily_Data!A3154</f>
        <v>40940</v>
      </c>
      <c r="B3154" s="11">
        <f>Daily_Data!J3154</f>
        <v>18.55</v>
      </c>
      <c r="C3154" s="11">
        <f>Daily_Data!I3154</f>
        <v>2.51</v>
      </c>
      <c r="D3154" s="12">
        <f>if(sum(Daily_Data!K3154:L3154)&gt;0,1,0)</f>
        <v>0</v>
      </c>
    </row>
    <row r="3155">
      <c r="A3155" s="10">
        <f>Daily_Data!A3155</f>
        <v>40941</v>
      </c>
      <c r="B3155" s="11">
        <f>Daily_Data!J3155</f>
        <v>17.98</v>
      </c>
      <c r="C3155" s="11">
        <f>Daily_Data!I3155</f>
        <v>2.56</v>
      </c>
      <c r="D3155" s="12">
        <f>if(sum(Daily_Data!K3155:L3155)&gt;0,1,0)</f>
        <v>0</v>
      </c>
    </row>
    <row r="3156">
      <c r="A3156" s="10">
        <f>Daily_Data!A3156</f>
        <v>40942</v>
      </c>
      <c r="B3156" s="11">
        <f>Daily_Data!J3156</f>
        <v>17.1</v>
      </c>
      <c r="C3156" s="11">
        <f>Daily_Data!I3156</f>
        <v>2.55</v>
      </c>
      <c r="D3156" s="12">
        <f>if(sum(Daily_Data!K3156:L3156)&gt;0,1,0)</f>
        <v>1</v>
      </c>
    </row>
    <row r="3157">
      <c r="A3157" s="10">
        <f>Daily_Data!A3157</f>
        <v>40945</v>
      </c>
      <c r="B3157" s="11">
        <f>Daily_Data!J3157</f>
        <v>17.76</v>
      </c>
      <c r="C3157" s="11" t="str">
        <f>Daily_Data!I3157</f>
        <v/>
      </c>
      <c r="D3157" s="12">
        <f>if(sum(Daily_Data!K3157:L3157)&gt;0,1,0)</f>
        <v>0</v>
      </c>
    </row>
    <row r="3158">
      <c r="A3158" s="10">
        <f>Daily_Data!A3158</f>
        <v>40946</v>
      </c>
      <c r="B3158" s="11">
        <f>Daily_Data!J3158</f>
        <v>17.65</v>
      </c>
      <c r="C3158" s="11">
        <f>Daily_Data!I3158</f>
        <v>2.57</v>
      </c>
      <c r="D3158" s="12">
        <f>if(sum(Daily_Data!K3158:L3158)&gt;0,1,0)</f>
        <v>0</v>
      </c>
    </row>
    <row r="3159">
      <c r="A3159" s="10">
        <f>Daily_Data!A3159</f>
        <v>40947</v>
      </c>
      <c r="B3159" s="11">
        <f>Daily_Data!J3159</f>
        <v>18.16</v>
      </c>
      <c r="C3159" s="11">
        <f>Daily_Data!I3159</f>
        <v>2.61</v>
      </c>
      <c r="D3159" s="12">
        <f>if(sum(Daily_Data!K3159:L3159)&gt;0,1,0)</f>
        <v>0</v>
      </c>
    </row>
    <row r="3160">
      <c r="A3160" s="10">
        <f>Daily_Data!A3160</f>
        <v>40948</v>
      </c>
      <c r="B3160" s="11">
        <f>Daily_Data!J3160</f>
        <v>18.63</v>
      </c>
      <c r="C3160" s="11">
        <f>Daily_Data!I3160</f>
        <v>2.64</v>
      </c>
      <c r="D3160" s="12">
        <f>if(sum(Daily_Data!K3160:L3160)&gt;0,1,0)</f>
        <v>0</v>
      </c>
    </row>
    <row r="3161">
      <c r="A3161" s="10">
        <f>Daily_Data!A3161</f>
        <v>40949</v>
      </c>
      <c r="B3161" s="11">
        <f>Daily_Data!J3161</f>
        <v>20.79</v>
      </c>
      <c r="C3161" s="11">
        <f>Daily_Data!I3161</f>
        <v>2.62</v>
      </c>
      <c r="D3161" s="12">
        <f>if(sum(Daily_Data!K3161:L3161)&gt;0,1,0)</f>
        <v>0</v>
      </c>
    </row>
    <row r="3162">
      <c r="A3162" s="10">
        <f>Daily_Data!A3162</f>
        <v>40952</v>
      </c>
      <c r="B3162" s="11">
        <f>Daily_Data!J3162</f>
        <v>19.04</v>
      </c>
      <c r="C3162" s="11">
        <f>Daily_Data!I3162</f>
        <v>2.61</v>
      </c>
      <c r="D3162" s="12">
        <f>if(sum(Daily_Data!K3162:L3162)&gt;0,1,0)</f>
        <v>0</v>
      </c>
    </row>
    <row r="3163">
      <c r="A3163" s="10">
        <f>Daily_Data!A3163</f>
        <v>40953</v>
      </c>
      <c r="B3163" s="11">
        <f>Daily_Data!J3163</f>
        <v>19.54</v>
      </c>
      <c r="C3163" s="11">
        <f>Daily_Data!I3163</f>
        <v>2.59</v>
      </c>
      <c r="D3163" s="12">
        <f>if(sum(Daily_Data!K3163:L3163)&gt;0,1,0)</f>
        <v>0</v>
      </c>
    </row>
    <row r="3164">
      <c r="A3164" s="10">
        <f>Daily_Data!A3164</f>
        <v>40954</v>
      </c>
      <c r="B3164" s="11">
        <f>Daily_Data!J3164</f>
        <v>21.14</v>
      </c>
      <c r="C3164" s="11">
        <f>Daily_Data!I3164</f>
        <v>2.64</v>
      </c>
      <c r="D3164" s="12">
        <f>if(sum(Daily_Data!K3164:L3164)&gt;0,1,0)</f>
        <v>0</v>
      </c>
    </row>
    <row r="3165">
      <c r="A3165" s="10">
        <f>Daily_Data!A3165</f>
        <v>40955</v>
      </c>
      <c r="B3165" s="11">
        <f>Daily_Data!J3165</f>
        <v>19.22</v>
      </c>
      <c r="C3165" s="11">
        <f>Daily_Data!I3165</f>
        <v>2.58</v>
      </c>
      <c r="D3165" s="12">
        <f>if(sum(Daily_Data!K3165:L3165)&gt;0,1,0)</f>
        <v>0</v>
      </c>
    </row>
    <row r="3166">
      <c r="A3166" s="10">
        <f>Daily_Data!A3166</f>
        <v>40956</v>
      </c>
      <c r="B3166" s="11">
        <f>Daily_Data!J3166</f>
        <v>17.78</v>
      </c>
      <c r="C3166" s="11">
        <f>Daily_Data!I3166</f>
        <v>2.67</v>
      </c>
      <c r="D3166" s="12">
        <f>if(sum(Daily_Data!K3166:L3166)&gt;0,1,0)</f>
        <v>1</v>
      </c>
    </row>
    <row r="3167">
      <c r="A3167" s="10">
        <f>Daily_Data!A3167</f>
        <v>40959</v>
      </c>
      <c r="B3167" s="11" t="str">
        <f>Daily_Data!J3167</f>
        <v/>
      </c>
      <c r="C3167" s="11" t="str">
        <f>Daily_Data!I3167</f>
        <v/>
      </c>
      <c r="D3167" s="12">
        <f>if(sum(Daily_Data!K3167:L3167)&gt;0,1,0)</f>
        <v>0</v>
      </c>
    </row>
    <row r="3168">
      <c r="A3168" s="10">
        <f>Daily_Data!A3168</f>
        <v>40960</v>
      </c>
      <c r="B3168" s="11">
        <f>Daily_Data!J3168</f>
        <v>18.19</v>
      </c>
      <c r="C3168" s="11">
        <f>Daily_Data!I3168</f>
        <v>2.73</v>
      </c>
      <c r="D3168" s="12">
        <f>if(sum(Daily_Data!K3168:L3168)&gt;0,1,0)</f>
        <v>0</v>
      </c>
    </row>
    <row r="3169">
      <c r="A3169" s="10">
        <f>Daily_Data!A3169</f>
        <v>40961</v>
      </c>
      <c r="B3169" s="11">
        <f>Daily_Data!J3169</f>
        <v>18.19</v>
      </c>
      <c r="C3169" s="11">
        <f>Daily_Data!I3169</f>
        <v>2.71</v>
      </c>
      <c r="D3169" s="12">
        <f>if(sum(Daily_Data!K3169:L3169)&gt;0,1,0)</f>
        <v>0</v>
      </c>
    </row>
    <row r="3170">
      <c r="A3170" s="10">
        <f>Daily_Data!A3170</f>
        <v>40962</v>
      </c>
      <c r="B3170" s="11">
        <f>Daily_Data!J3170</f>
        <v>16.8</v>
      </c>
      <c r="C3170" s="11">
        <f>Daily_Data!I3170</f>
        <v>2.73</v>
      </c>
      <c r="D3170" s="12">
        <f>if(sum(Daily_Data!K3170:L3170)&gt;0,1,0)</f>
        <v>0</v>
      </c>
    </row>
    <row r="3171">
      <c r="A3171" s="10">
        <f>Daily_Data!A3171</f>
        <v>40963</v>
      </c>
      <c r="B3171" s="11">
        <f>Daily_Data!J3171</f>
        <v>17.31</v>
      </c>
      <c r="C3171" s="11">
        <f>Daily_Data!I3171</f>
        <v>2.78</v>
      </c>
      <c r="D3171" s="12">
        <f>if(sum(Daily_Data!K3171:L3171)&gt;0,1,0)</f>
        <v>0</v>
      </c>
    </row>
    <row r="3172">
      <c r="A3172" s="10">
        <f>Daily_Data!A3172</f>
        <v>40966</v>
      </c>
      <c r="B3172" s="11">
        <f>Daily_Data!J3172</f>
        <v>18.19</v>
      </c>
      <c r="C3172" s="11">
        <f>Daily_Data!I3172</f>
        <v>2.78</v>
      </c>
      <c r="D3172" s="12">
        <f>if(sum(Daily_Data!K3172:L3172)&gt;0,1,0)</f>
        <v>0</v>
      </c>
    </row>
    <row r="3173">
      <c r="A3173" s="10">
        <f>Daily_Data!A3173</f>
        <v>40967</v>
      </c>
      <c r="B3173" s="11">
        <f>Daily_Data!J3173</f>
        <v>17.96</v>
      </c>
      <c r="C3173" s="11">
        <f>Daily_Data!I3173</f>
        <v>2.76</v>
      </c>
      <c r="D3173" s="12">
        <f>if(sum(Daily_Data!K3173:L3173)&gt;0,1,0)</f>
        <v>0</v>
      </c>
    </row>
    <row r="3174">
      <c r="A3174" s="10">
        <f>Daily_Data!A3174</f>
        <v>40968</v>
      </c>
      <c r="B3174" s="11">
        <f>Daily_Data!J3174</f>
        <v>18.43</v>
      </c>
      <c r="C3174" s="11">
        <f>Daily_Data!I3174</f>
        <v>2.78</v>
      </c>
      <c r="D3174" s="12">
        <f>if(sum(Daily_Data!K3174:L3174)&gt;0,1,0)</f>
        <v>0</v>
      </c>
    </row>
    <row r="3175">
      <c r="A3175" s="10">
        <f>Daily_Data!A3175</f>
        <v>40969</v>
      </c>
      <c r="B3175" s="11">
        <f>Daily_Data!J3175</f>
        <v>17.26</v>
      </c>
      <c r="C3175" s="11">
        <f>Daily_Data!I3175</f>
        <v>2.8</v>
      </c>
      <c r="D3175" s="12">
        <f>if(sum(Daily_Data!K3175:L3175)&gt;0,1,0)</f>
        <v>0</v>
      </c>
    </row>
    <row r="3176">
      <c r="A3176" s="10">
        <f>Daily_Data!A3176</f>
        <v>40970</v>
      </c>
      <c r="B3176" s="11">
        <f>Daily_Data!J3176</f>
        <v>17.29</v>
      </c>
      <c r="C3176" s="11">
        <f>Daily_Data!I3176</f>
        <v>2.82</v>
      </c>
      <c r="D3176" s="12">
        <f>if(sum(Daily_Data!K3176:L3176)&gt;0,1,0)</f>
        <v>0</v>
      </c>
    </row>
    <row r="3177">
      <c r="A3177" s="10">
        <f>Daily_Data!A3177</f>
        <v>40973</v>
      </c>
      <c r="B3177" s="11">
        <f>Daily_Data!J3177</f>
        <v>18.05</v>
      </c>
      <c r="C3177" s="11">
        <f>Daily_Data!I3177</f>
        <v>2.77</v>
      </c>
      <c r="D3177" s="12">
        <f>if(sum(Daily_Data!K3177:L3177)&gt;0,1,0)</f>
        <v>0</v>
      </c>
    </row>
    <row r="3178">
      <c r="A3178" s="10">
        <f>Daily_Data!A3178</f>
        <v>40974</v>
      </c>
      <c r="B3178" s="11">
        <f>Daily_Data!J3178</f>
        <v>20.87</v>
      </c>
      <c r="C3178" s="11">
        <f>Daily_Data!I3178</f>
        <v>2.75</v>
      </c>
      <c r="D3178" s="12">
        <f>if(sum(Daily_Data!K3178:L3178)&gt;0,1,0)</f>
        <v>0</v>
      </c>
    </row>
    <row r="3179">
      <c r="A3179" s="10">
        <f>Daily_Data!A3179</f>
        <v>40975</v>
      </c>
      <c r="B3179" s="11">
        <f>Daily_Data!J3179</f>
        <v>19.07</v>
      </c>
      <c r="C3179" s="11">
        <f>Daily_Data!I3179</f>
        <v>2.74</v>
      </c>
      <c r="D3179" s="12">
        <f>if(sum(Daily_Data!K3179:L3179)&gt;0,1,0)</f>
        <v>0</v>
      </c>
    </row>
    <row r="3180">
      <c r="A3180" s="10">
        <f>Daily_Data!A3180</f>
        <v>40976</v>
      </c>
      <c r="B3180" s="11">
        <f>Daily_Data!J3180</f>
        <v>17.95</v>
      </c>
      <c r="C3180" s="11">
        <f>Daily_Data!I3180</f>
        <v>2.71</v>
      </c>
      <c r="D3180" s="12">
        <f>if(sum(Daily_Data!K3180:L3180)&gt;0,1,0)</f>
        <v>0</v>
      </c>
    </row>
    <row r="3181">
      <c r="A3181" s="10">
        <f>Daily_Data!A3181</f>
        <v>40977</v>
      </c>
      <c r="B3181" s="11">
        <f>Daily_Data!J3181</f>
        <v>17.11</v>
      </c>
      <c r="C3181" s="11">
        <f>Daily_Data!I3181</f>
        <v>2.71</v>
      </c>
      <c r="D3181" s="12">
        <f>if(sum(Daily_Data!K3181:L3181)&gt;0,1,0)</f>
        <v>1</v>
      </c>
    </row>
    <row r="3182">
      <c r="A3182" s="10">
        <f>Daily_Data!A3182</f>
        <v>40980</v>
      </c>
      <c r="B3182" s="11">
        <f>Daily_Data!J3182</f>
        <v>15.64</v>
      </c>
      <c r="C3182" s="11">
        <f>Daily_Data!I3182</f>
        <v>2.69</v>
      </c>
      <c r="D3182" s="12">
        <f>if(sum(Daily_Data!K3182:L3182)&gt;0,1,0)</f>
        <v>0</v>
      </c>
    </row>
    <row r="3183">
      <c r="A3183" s="10">
        <f>Daily_Data!A3183</f>
        <v>40981</v>
      </c>
      <c r="B3183" s="11">
        <f>Daily_Data!J3183</f>
        <v>14.8</v>
      </c>
      <c r="C3183" s="11">
        <f>Daily_Data!I3183</f>
        <v>2.7</v>
      </c>
      <c r="D3183" s="12">
        <f>if(sum(Daily_Data!K3183:L3183)&gt;0,1,0)</f>
        <v>0</v>
      </c>
    </row>
    <row r="3184">
      <c r="A3184" s="10">
        <f>Daily_Data!A3184</f>
        <v>40982</v>
      </c>
      <c r="B3184" s="11">
        <f>Daily_Data!J3184</f>
        <v>15.31</v>
      </c>
      <c r="C3184" s="11">
        <f>Daily_Data!I3184</f>
        <v>2.67</v>
      </c>
      <c r="D3184" s="12">
        <f>if(sum(Daily_Data!K3184:L3184)&gt;0,1,0)</f>
        <v>0</v>
      </c>
    </row>
    <row r="3185">
      <c r="A3185" s="10">
        <f>Daily_Data!A3185</f>
        <v>40983</v>
      </c>
      <c r="B3185" s="11">
        <f>Daily_Data!J3185</f>
        <v>15.42</v>
      </c>
      <c r="C3185" s="11">
        <f>Daily_Data!I3185</f>
        <v>2.75</v>
      </c>
      <c r="D3185" s="12">
        <f>if(sum(Daily_Data!K3185:L3185)&gt;0,1,0)</f>
        <v>0</v>
      </c>
    </row>
    <row r="3186">
      <c r="A3186" s="10">
        <f>Daily_Data!A3186</f>
        <v>40984</v>
      </c>
      <c r="B3186" s="11">
        <f>Daily_Data!J3186</f>
        <v>14.47</v>
      </c>
      <c r="C3186" s="11">
        <f>Daily_Data!I3186</f>
        <v>2.72</v>
      </c>
      <c r="D3186" s="12">
        <f>if(sum(Daily_Data!K3186:L3186)&gt;0,1,0)</f>
        <v>1</v>
      </c>
    </row>
    <row r="3187">
      <c r="A3187" s="10">
        <f>Daily_Data!A3187</f>
        <v>40987</v>
      </c>
      <c r="B3187" s="11">
        <f>Daily_Data!J3187</f>
        <v>15.04</v>
      </c>
      <c r="C3187" s="11">
        <f>Daily_Data!I3187</f>
        <v>2.75</v>
      </c>
      <c r="D3187" s="12">
        <f>if(sum(Daily_Data!K3187:L3187)&gt;0,1,0)</f>
        <v>0</v>
      </c>
    </row>
    <row r="3188">
      <c r="A3188" s="10">
        <f>Daily_Data!A3188</f>
        <v>40988</v>
      </c>
      <c r="B3188" s="11">
        <f>Daily_Data!J3188</f>
        <v>15.58</v>
      </c>
      <c r="C3188" s="11">
        <f>Daily_Data!I3188</f>
        <v>2.71</v>
      </c>
      <c r="D3188" s="12">
        <f>if(sum(Daily_Data!K3188:L3188)&gt;0,1,0)</f>
        <v>0</v>
      </c>
    </row>
    <row r="3189">
      <c r="A3189" s="10">
        <f>Daily_Data!A3189</f>
        <v>40989</v>
      </c>
      <c r="B3189" s="11">
        <f>Daily_Data!J3189</f>
        <v>15.13</v>
      </c>
      <c r="C3189" s="11">
        <f>Daily_Data!I3189</f>
        <v>2.74</v>
      </c>
      <c r="D3189" s="12">
        <f>if(sum(Daily_Data!K3189:L3189)&gt;0,1,0)</f>
        <v>0</v>
      </c>
    </row>
    <row r="3190">
      <c r="A3190" s="10">
        <f>Daily_Data!A3190</f>
        <v>40990</v>
      </c>
      <c r="B3190" s="11">
        <f>Daily_Data!J3190</f>
        <v>15.57</v>
      </c>
      <c r="C3190" s="11">
        <f>Daily_Data!I3190</f>
        <v>2.71</v>
      </c>
      <c r="D3190" s="12">
        <f>if(sum(Daily_Data!K3190:L3190)&gt;0,1,0)</f>
        <v>0</v>
      </c>
    </row>
    <row r="3191">
      <c r="A3191" s="10">
        <f>Daily_Data!A3191</f>
        <v>40991</v>
      </c>
      <c r="B3191" s="11">
        <f>Daily_Data!J3191</f>
        <v>14.82</v>
      </c>
      <c r="C3191" s="11">
        <f>Daily_Data!I3191</f>
        <v>2.69</v>
      </c>
      <c r="D3191" s="12">
        <f>if(sum(Daily_Data!K3191:L3191)&gt;0,1,0)</f>
        <v>0</v>
      </c>
    </row>
    <row r="3192">
      <c r="A3192" s="10">
        <f>Daily_Data!A3192</f>
        <v>40994</v>
      </c>
      <c r="B3192" s="11">
        <f>Daily_Data!J3192</f>
        <v>14.26</v>
      </c>
      <c r="C3192" s="11">
        <f>Daily_Data!I3192</f>
        <v>2.72</v>
      </c>
      <c r="D3192" s="12">
        <f>if(sum(Daily_Data!K3192:L3192)&gt;0,1,0)</f>
        <v>0</v>
      </c>
    </row>
    <row r="3193">
      <c r="A3193" s="10">
        <f>Daily_Data!A3193</f>
        <v>40995</v>
      </c>
      <c r="B3193" s="11">
        <f>Daily_Data!J3193</f>
        <v>15.59</v>
      </c>
      <c r="C3193" s="11">
        <f>Daily_Data!I3193</f>
        <v>2.76</v>
      </c>
      <c r="D3193" s="12">
        <f>if(sum(Daily_Data!K3193:L3193)&gt;0,1,0)</f>
        <v>0</v>
      </c>
    </row>
    <row r="3194">
      <c r="A3194" s="10">
        <f>Daily_Data!A3194</f>
        <v>40996</v>
      </c>
      <c r="B3194" s="11">
        <f>Daily_Data!J3194</f>
        <v>15.47</v>
      </c>
      <c r="C3194" s="11">
        <f>Daily_Data!I3194</f>
        <v>2.73</v>
      </c>
      <c r="D3194" s="12">
        <f>if(sum(Daily_Data!K3194:L3194)&gt;0,1,0)</f>
        <v>0</v>
      </c>
    </row>
    <row r="3195">
      <c r="A3195" s="10">
        <f>Daily_Data!A3195</f>
        <v>40997</v>
      </c>
      <c r="B3195" s="11">
        <f>Daily_Data!J3195</f>
        <v>15.48</v>
      </c>
      <c r="C3195" s="11">
        <f>Daily_Data!I3195</f>
        <v>2.73</v>
      </c>
      <c r="D3195" s="12">
        <f>if(sum(Daily_Data!K3195:L3195)&gt;0,1,0)</f>
        <v>0</v>
      </c>
    </row>
    <row r="3196">
      <c r="A3196" s="10">
        <f>Daily_Data!A3196</f>
        <v>40998</v>
      </c>
      <c r="B3196" s="11">
        <f>Daily_Data!J3196</f>
        <v>15.5</v>
      </c>
      <c r="C3196" s="11">
        <f>Daily_Data!I3196</f>
        <v>2.71</v>
      </c>
      <c r="D3196" s="12">
        <f>if(sum(Daily_Data!K3196:L3196)&gt;0,1,0)</f>
        <v>0</v>
      </c>
    </row>
    <row r="3197">
      <c r="A3197" s="10">
        <f>Daily_Data!A3197</f>
        <v>41001</v>
      </c>
      <c r="B3197" s="11">
        <f>Daily_Data!J3197</f>
        <v>15.64</v>
      </c>
      <c r="C3197" s="11">
        <f>Daily_Data!I3197</f>
        <v>2.72</v>
      </c>
      <c r="D3197" s="12">
        <f>if(sum(Daily_Data!K3197:L3197)&gt;0,1,0)</f>
        <v>0</v>
      </c>
    </row>
    <row r="3198">
      <c r="A3198" s="10">
        <f>Daily_Data!A3198</f>
        <v>41002</v>
      </c>
      <c r="B3198" s="11">
        <f>Daily_Data!J3198</f>
        <v>15.66</v>
      </c>
      <c r="C3198" s="11">
        <f>Daily_Data!I3198</f>
        <v>2.66</v>
      </c>
      <c r="D3198" s="12">
        <f>if(sum(Daily_Data!K3198:L3198)&gt;0,1,0)</f>
        <v>0</v>
      </c>
    </row>
    <row r="3199">
      <c r="A3199" s="10">
        <f>Daily_Data!A3199</f>
        <v>41003</v>
      </c>
      <c r="B3199" s="11">
        <f>Daily_Data!J3199</f>
        <v>16.44</v>
      </c>
      <c r="C3199" s="11">
        <f>Daily_Data!I3199</f>
        <v>2.66</v>
      </c>
      <c r="D3199" s="12">
        <f>if(sum(Daily_Data!K3199:L3199)&gt;0,1,0)</f>
        <v>0</v>
      </c>
    </row>
    <row r="3200">
      <c r="A3200" s="10">
        <f>Daily_Data!A3200</f>
        <v>41004</v>
      </c>
      <c r="B3200" s="11">
        <f>Daily_Data!J3200</f>
        <v>16.7</v>
      </c>
      <c r="C3200" s="11">
        <f>Daily_Data!I3200</f>
        <v>2.66</v>
      </c>
      <c r="D3200" s="12">
        <f>if(sum(Daily_Data!K3200:L3200)&gt;0,1,0)</f>
        <v>0</v>
      </c>
    </row>
    <row r="3201">
      <c r="A3201" s="10">
        <f>Daily_Data!A3201</f>
        <v>41005</v>
      </c>
      <c r="B3201" s="11" t="str">
        <f>Daily_Data!J3201</f>
        <v/>
      </c>
      <c r="C3201" s="11" t="str">
        <f>Daily_Data!I3201</f>
        <v/>
      </c>
      <c r="D3201" s="12">
        <f>if(sum(Daily_Data!K3201:L3201)&gt;0,1,0)</f>
        <v>1</v>
      </c>
    </row>
    <row r="3202">
      <c r="A3202" s="10">
        <f>Daily_Data!A3202</f>
        <v>41008</v>
      </c>
      <c r="B3202" s="11">
        <f>Daily_Data!J3202</f>
        <v>18.81</v>
      </c>
      <c r="C3202" s="11" t="str">
        <f>Daily_Data!I3202</f>
        <v/>
      </c>
      <c r="D3202" s="12">
        <f>if(sum(Daily_Data!K3202:L3202)&gt;0,1,0)</f>
        <v>0</v>
      </c>
    </row>
    <row r="3203">
      <c r="A3203" s="10">
        <f>Daily_Data!A3203</f>
        <v>41009</v>
      </c>
      <c r="B3203" s="11">
        <f>Daily_Data!J3203</f>
        <v>20.39</v>
      </c>
      <c r="C3203" s="11">
        <f>Daily_Data!I3203</f>
        <v>2.68</v>
      </c>
      <c r="D3203" s="12">
        <f>if(sum(Daily_Data!K3203:L3203)&gt;0,1,0)</f>
        <v>0</v>
      </c>
    </row>
    <row r="3204">
      <c r="A3204" s="10">
        <f>Daily_Data!A3204</f>
        <v>41010</v>
      </c>
      <c r="B3204" s="11">
        <f>Daily_Data!J3204</f>
        <v>20.02</v>
      </c>
      <c r="C3204" s="11">
        <f>Daily_Data!I3204</f>
        <v>2.64</v>
      </c>
      <c r="D3204" s="12">
        <f>if(sum(Daily_Data!K3204:L3204)&gt;0,1,0)</f>
        <v>0</v>
      </c>
    </row>
    <row r="3205">
      <c r="A3205" s="10">
        <f>Daily_Data!A3205</f>
        <v>41011</v>
      </c>
      <c r="B3205" s="11">
        <f>Daily_Data!J3205</f>
        <v>17.2</v>
      </c>
      <c r="C3205" s="11">
        <f>Daily_Data!I3205</f>
        <v>2.68</v>
      </c>
      <c r="D3205" s="12">
        <f>if(sum(Daily_Data!K3205:L3205)&gt;0,1,0)</f>
        <v>0</v>
      </c>
    </row>
    <row r="3206">
      <c r="A3206" s="10">
        <f>Daily_Data!A3206</f>
        <v>41012</v>
      </c>
      <c r="B3206" s="11">
        <f>Daily_Data!J3206</f>
        <v>19.55</v>
      </c>
      <c r="C3206" s="11">
        <f>Daily_Data!I3206</f>
        <v>2.68</v>
      </c>
      <c r="D3206" s="12">
        <f>if(sum(Daily_Data!K3206:L3206)&gt;0,1,0)</f>
        <v>1</v>
      </c>
    </row>
    <row r="3207">
      <c r="A3207" s="10">
        <f>Daily_Data!A3207</f>
        <v>41015</v>
      </c>
      <c r="B3207" s="11">
        <f>Daily_Data!J3207</f>
        <v>19.55</v>
      </c>
      <c r="C3207" s="11">
        <f>Daily_Data!I3207</f>
        <v>2.64</v>
      </c>
      <c r="D3207" s="12">
        <f>if(sum(Daily_Data!K3207:L3207)&gt;0,1,0)</f>
        <v>0</v>
      </c>
    </row>
    <row r="3208">
      <c r="A3208" s="10">
        <f>Daily_Data!A3208</f>
        <v>41016</v>
      </c>
      <c r="B3208" s="11">
        <f>Daily_Data!J3208</f>
        <v>18.46</v>
      </c>
      <c r="C3208" s="11">
        <f>Daily_Data!I3208</f>
        <v>2.63</v>
      </c>
      <c r="D3208" s="12">
        <f>if(sum(Daily_Data!K3208:L3208)&gt;0,1,0)</f>
        <v>0</v>
      </c>
    </row>
    <row r="3209">
      <c r="A3209" s="10">
        <f>Daily_Data!A3209</f>
        <v>41017</v>
      </c>
      <c r="B3209" s="11">
        <f>Daily_Data!J3209</f>
        <v>18.64</v>
      </c>
      <c r="C3209" s="11">
        <f>Daily_Data!I3209</f>
        <v>2.68</v>
      </c>
      <c r="D3209" s="12">
        <f>if(sum(Daily_Data!K3209:L3209)&gt;0,1,0)</f>
        <v>0</v>
      </c>
    </row>
    <row r="3210">
      <c r="A3210" s="10">
        <f>Daily_Data!A3210</f>
        <v>41018</v>
      </c>
      <c r="B3210" s="11">
        <f>Daily_Data!J3210</f>
        <v>18.36</v>
      </c>
      <c r="C3210" s="11">
        <f>Daily_Data!I3210</f>
        <v>2.64</v>
      </c>
      <c r="D3210" s="12">
        <f>if(sum(Daily_Data!K3210:L3210)&gt;0,1,0)</f>
        <v>0</v>
      </c>
    </row>
    <row r="3211">
      <c r="A3211" s="10">
        <f>Daily_Data!A3211</f>
        <v>41019</v>
      </c>
      <c r="B3211" s="11">
        <f>Daily_Data!J3211</f>
        <v>17.44</v>
      </c>
      <c r="C3211" s="11">
        <f>Daily_Data!I3211</f>
        <v>2.61</v>
      </c>
      <c r="D3211" s="12">
        <f>if(sum(Daily_Data!K3211:L3211)&gt;0,1,0)</f>
        <v>0</v>
      </c>
    </row>
    <row r="3212">
      <c r="A3212" s="10">
        <f>Daily_Data!A3212</f>
        <v>41022</v>
      </c>
      <c r="B3212" s="11">
        <f>Daily_Data!J3212</f>
        <v>18.97</v>
      </c>
      <c r="C3212" s="11">
        <f>Daily_Data!I3212</f>
        <v>2.61</v>
      </c>
      <c r="D3212" s="12">
        <f>if(sum(Daily_Data!K3212:L3212)&gt;0,1,0)</f>
        <v>0</v>
      </c>
    </row>
    <row r="3213">
      <c r="A3213" s="10">
        <f>Daily_Data!A3213</f>
        <v>41023</v>
      </c>
      <c r="B3213" s="11">
        <f>Daily_Data!J3213</f>
        <v>18.1</v>
      </c>
      <c r="C3213" s="11">
        <f>Daily_Data!I3213</f>
        <v>2.57</v>
      </c>
      <c r="D3213" s="12">
        <f>if(sum(Daily_Data!K3213:L3213)&gt;0,1,0)</f>
        <v>0</v>
      </c>
    </row>
    <row r="3214">
      <c r="A3214" s="10">
        <f>Daily_Data!A3214</f>
        <v>41024</v>
      </c>
      <c r="B3214" s="11">
        <f>Daily_Data!J3214</f>
        <v>16.82</v>
      </c>
      <c r="C3214" s="11" t="str">
        <f>Daily_Data!I3214</f>
        <v/>
      </c>
      <c r="D3214" s="12">
        <f>if(sum(Daily_Data!K3214:L3214)&gt;0,1,0)</f>
        <v>0</v>
      </c>
    </row>
    <row r="3215">
      <c r="A3215" s="10">
        <f>Daily_Data!A3215</f>
        <v>41025</v>
      </c>
      <c r="B3215" s="11">
        <f>Daily_Data!J3215</f>
        <v>16.24</v>
      </c>
      <c r="C3215" s="11">
        <f>Daily_Data!I3215</f>
        <v>2.5</v>
      </c>
      <c r="D3215" s="12">
        <f>if(sum(Daily_Data!K3215:L3215)&gt;0,1,0)</f>
        <v>0</v>
      </c>
    </row>
    <row r="3216">
      <c r="A3216" s="10">
        <f>Daily_Data!A3216</f>
        <v>41026</v>
      </c>
      <c r="B3216" s="11">
        <f>Daily_Data!J3216</f>
        <v>16.32</v>
      </c>
      <c r="C3216" s="11">
        <f>Daily_Data!I3216</f>
        <v>2.49</v>
      </c>
      <c r="D3216" s="12">
        <f>if(sum(Daily_Data!K3216:L3216)&gt;0,1,0)</f>
        <v>0</v>
      </c>
    </row>
    <row r="3217">
      <c r="A3217" s="10">
        <f>Daily_Data!A3217</f>
        <v>41029</v>
      </c>
      <c r="B3217" s="11">
        <f>Daily_Data!J3217</f>
        <v>17.15</v>
      </c>
      <c r="C3217" s="11">
        <f>Daily_Data!I3217</f>
        <v>2.51</v>
      </c>
      <c r="D3217" s="12">
        <f>if(sum(Daily_Data!K3217:L3217)&gt;0,1,0)</f>
        <v>0</v>
      </c>
    </row>
    <row r="3218">
      <c r="A3218" s="10">
        <f>Daily_Data!A3218</f>
        <v>41030</v>
      </c>
      <c r="B3218" s="11">
        <f>Daily_Data!J3218</f>
        <v>16.6</v>
      </c>
      <c r="C3218" s="11">
        <f>Daily_Data!I3218</f>
        <v>2.46</v>
      </c>
      <c r="D3218" s="12">
        <f>if(sum(Daily_Data!K3218:L3218)&gt;0,1,0)</f>
        <v>0</v>
      </c>
    </row>
    <row r="3219">
      <c r="A3219" s="10">
        <f>Daily_Data!A3219</f>
        <v>41031</v>
      </c>
      <c r="B3219" s="11">
        <f>Daily_Data!J3219</f>
        <v>16.88</v>
      </c>
      <c r="C3219" s="11">
        <f>Daily_Data!I3219</f>
        <v>2.44</v>
      </c>
      <c r="D3219" s="12">
        <f>if(sum(Daily_Data!K3219:L3219)&gt;0,1,0)</f>
        <v>0</v>
      </c>
    </row>
    <row r="3220">
      <c r="A3220" s="10">
        <f>Daily_Data!A3220</f>
        <v>41032</v>
      </c>
      <c r="B3220" s="11">
        <f>Daily_Data!J3220</f>
        <v>17.56</v>
      </c>
      <c r="C3220" s="11">
        <f>Daily_Data!I3220</f>
        <v>2.32</v>
      </c>
      <c r="D3220" s="12">
        <f>if(sum(Daily_Data!K3220:L3220)&gt;0,1,0)</f>
        <v>0</v>
      </c>
    </row>
    <row r="3221">
      <c r="A3221" s="10">
        <f>Daily_Data!A3221</f>
        <v>41033</v>
      </c>
      <c r="B3221" s="11">
        <f>Daily_Data!J3221</f>
        <v>19.16</v>
      </c>
      <c r="C3221" s="11">
        <f>Daily_Data!I3221</f>
        <v>2.31</v>
      </c>
      <c r="D3221" s="12">
        <f>if(sum(Daily_Data!K3221:L3221)&gt;0,1,0)</f>
        <v>1</v>
      </c>
    </row>
    <row r="3222">
      <c r="A3222" s="10">
        <f>Daily_Data!A3222</f>
        <v>41036</v>
      </c>
      <c r="B3222" s="11">
        <f>Daily_Data!J3222</f>
        <v>18.94</v>
      </c>
      <c r="C3222" s="11">
        <f>Daily_Data!I3222</f>
        <v>2.19</v>
      </c>
      <c r="D3222" s="12">
        <f>if(sum(Daily_Data!K3222:L3222)&gt;0,1,0)</f>
        <v>0</v>
      </c>
    </row>
    <row r="3223">
      <c r="A3223" s="10">
        <f>Daily_Data!A3223</f>
        <v>41037</v>
      </c>
      <c r="B3223" s="11">
        <f>Daily_Data!J3223</f>
        <v>19.05</v>
      </c>
      <c r="C3223" s="11">
        <f>Daily_Data!I3223</f>
        <v>2.22</v>
      </c>
      <c r="D3223" s="12">
        <f>if(sum(Daily_Data!K3223:L3223)&gt;0,1,0)</f>
        <v>0</v>
      </c>
    </row>
    <row r="3224">
      <c r="A3224" s="10">
        <f>Daily_Data!A3224</f>
        <v>41038</v>
      </c>
      <c r="B3224" s="11">
        <f>Daily_Data!J3224</f>
        <v>20.08</v>
      </c>
      <c r="C3224" s="11">
        <f>Daily_Data!I3224</f>
        <v>2.26</v>
      </c>
      <c r="D3224" s="12">
        <f>if(sum(Daily_Data!K3224:L3224)&gt;0,1,0)</f>
        <v>0</v>
      </c>
    </row>
    <row r="3225">
      <c r="A3225" s="10">
        <f>Daily_Data!A3225</f>
        <v>41039</v>
      </c>
      <c r="B3225" s="11">
        <f>Daily_Data!J3225</f>
        <v>18.83</v>
      </c>
      <c r="C3225" s="11">
        <f>Daily_Data!I3225</f>
        <v>2.3</v>
      </c>
      <c r="D3225" s="12">
        <f>if(sum(Daily_Data!K3225:L3225)&gt;0,1,0)</f>
        <v>0</v>
      </c>
    </row>
    <row r="3226">
      <c r="A3226" s="10">
        <f>Daily_Data!A3226</f>
        <v>41040</v>
      </c>
      <c r="B3226" s="11">
        <f>Daily_Data!J3226</f>
        <v>19.89</v>
      </c>
      <c r="C3226" s="11">
        <f>Daily_Data!I3226</f>
        <v>2.35</v>
      </c>
      <c r="D3226" s="12">
        <f>if(sum(Daily_Data!K3226:L3226)&gt;0,1,0)</f>
        <v>0</v>
      </c>
    </row>
    <row r="3227">
      <c r="A3227" s="10">
        <f>Daily_Data!A3227</f>
        <v>41043</v>
      </c>
      <c r="B3227" s="11">
        <f>Daily_Data!J3227</f>
        <v>21.87</v>
      </c>
      <c r="C3227" s="11">
        <f>Daily_Data!I3227</f>
        <v>2.31</v>
      </c>
      <c r="D3227" s="12">
        <f>if(sum(Daily_Data!K3227:L3227)&gt;0,1,0)</f>
        <v>0</v>
      </c>
    </row>
    <row r="3228">
      <c r="A3228" s="10">
        <f>Daily_Data!A3228</f>
        <v>41044</v>
      </c>
      <c r="B3228" s="11">
        <f>Daily_Data!J3228</f>
        <v>21.97</v>
      </c>
      <c r="C3228" s="11">
        <f>Daily_Data!I3228</f>
        <v>2.23</v>
      </c>
      <c r="D3228" s="12">
        <f>if(sum(Daily_Data!K3228:L3228)&gt;0,1,0)</f>
        <v>1</v>
      </c>
    </row>
    <row r="3229">
      <c r="A3229" s="10">
        <f>Daily_Data!A3229</f>
        <v>41045</v>
      </c>
      <c r="B3229" s="11">
        <f>Daily_Data!J3229</f>
        <v>22.27</v>
      </c>
      <c r="C3229" s="11">
        <f>Daily_Data!I3229</f>
        <v>2.21</v>
      </c>
      <c r="D3229" s="12">
        <f>if(sum(Daily_Data!K3229:L3229)&gt;0,1,0)</f>
        <v>0</v>
      </c>
    </row>
    <row r="3230">
      <c r="A3230" s="10">
        <f>Daily_Data!A3230</f>
        <v>41046</v>
      </c>
      <c r="B3230" s="11">
        <f>Daily_Data!J3230</f>
        <v>24.49</v>
      </c>
      <c r="C3230" s="11">
        <f>Daily_Data!I3230</f>
        <v>2.23</v>
      </c>
      <c r="D3230" s="12">
        <f>if(sum(Daily_Data!K3230:L3230)&gt;0,1,0)</f>
        <v>0</v>
      </c>
    </row>
    <row r="3231">
      <c r="A3231" s="10">
        <f>Daily_Data!A3231</f>
        <v>41047</v>
      </c>
      <c r="B3231" s="11">
        <f>Daily_Data!J3231</f>
        <v>25.1</v>
      </c>
      <c r="C3231" s="11">
        <f>Daily_Data!I3231</f>
        <v>2.05</v>
      </c>
      <c r="D3231" s="12">
        <f>if(sum(Daily_Data!K3231:L3231)&gt;0,1,0)</f>
        <v>0</v>
      </c>
    </row>
    <row r="3232">
      <c r="A3232" s="10">
        <f>Daily_Data!A3232</f>
        <v>41050</v>
      </c>
      <c r="B3232" s="11">
        <f>Daily_Data!J3232</f>
        <v>22.01</v>
      </c>
      <c r="C3232" s="11">
        <f>Daily_Data!I3232</f>
        <v>2.11</v>
      </c>
      <c r="D3232" s="12">
        <f>if(sum(Daily_Data!K3232:L3232)&gt;0,1,0)</f>
        <v>0</v>
      </c>
    </row>
    <row r="3233">
      <c r="A3233" s="10">
        <f>Daily_Data!A3233</f>
        <v>41051</v>
      </c>
      <c r="B3233" s="11">
        <f>Daily_Data!J3233</f>
        <v>22.48</v>
      </c>
      <c r="C3233" s="11">
        <f>Daily_Data!I3233</f>
        <v>2.14</v>
      </c>
      <c r="D3233" s="12">
        <f>if(sum(Daily_Data!K3233:L3233)&gt;0,1,0)</f>
        <v>0</v>
      </c>
    </row>
    <row r="3234">
      <c r="A3234" s="10">
        <f>Daily_Data!A3234</f>
        <v>41052</v>
      </c>
      <c r="B3234" s="11">
        <f>Daily_Data!J3234</f>
        <v>22.33</v>
      </c>
      <c r="C3234" s="11">
        <f>Daily_Data!I3234</f>
        <v>2.11</v>
      </c>
      <c r="D3234" s="12">
        <f>if(sum(Daily_Data!K3234:L3234)&gt;0,1,0)</f>
        <v>0</v>
      </c>
    </row>
    <row r="3235">
      <c r="A3235" s="10">
        <f>Daily_Data!A3235</f>
        <v>41053</v>
      </c>
      <c r="B3235" s="11">
        <f>Daily_Data!J3235</f>
        <v>21.54</v>
      </c>
      <c r="C3235" s="11">
        <f>Daily_Data!I3235</f>
        <v>2.1</v>
      </c>
      <c r="D3235" s="12">
        <f>if(sum(Daily_Data!K3235:L3235)&gt;0,1,0)</f>
        <v>0</v>
      </c>
    </row>
    <row r="3236">
      <c r="A3236" s="10">
        <f>Daily_Data!A3236</f>
        <v>41054</v>
      </c>
      <c r="B3236" s="11">
        <f>Daily_Data!J3236</f>
        <v>21.76</v>
      </c>
      <c r="C3236" s="11">
        <f>Daily_Data!I3236</f>
        <v>2.12</v>
      </c>
      <c r="D3236" s="12">
        <f>if(sum(Daily_Data!K3236:L3236)&gt;0,1,0)</f>
        <v>0</v>
      </c>
    </row>
    <row r="3237">
      <c r="A3237" s="10">
        <f>Daily_Data!A3237</f>
        <v>41057</v>
      </c>
      <c r="B3237" s="11" t="str">
        <f>Daily_Data!J3237</f>
        <v/>
      </c>
      <c r="C3237" s="11" t="str">
        <f>Daily_Data!I3237</f>
        <v/>
      </c>
      <c r="D3237" s="12">
        <f>if(sum(Daily_Data!K3237:L3237)&gt;0,1,0)</f>
        <v>0</v>
      </c>
    </row>
    <row r="3238">
      <c r="A3238" s="10">
        <f>Daily_Data!A3238</f>
        <v>41058</v>
      </c>
      <c r="B3238" s="11">
        <f>Daily_Data!J3238</f>
        <v>21.03</v>
      </c>
      <c r="C3238" s="11">
        <f>Daily_Data!I3238</f>
        <v>2.2</v>
      </c>
      <c r="D3238" s="12">
        <f>if(sum(Daily_Data!K3238:L3238)&gt;0,1,0)</f>
        <v>0</v>
      </c>
    </row>
    <row r="3239">
      <c r="A3239" s="10">
        <f>Daily_Data!A3239</f>
        <v>41059</v>
      </c>
      <c r="B3239" s="11">
        <f>Daily_Data!J3239</f>
        <v>24.14</v>
      </c>
      <c r="C3239" s="11">
        <f>Daily_Data!I3239</f>
        <v>2.25</v>
      </c>
      <c r="D3239" s="12">
        <f>if(sum(Daily_Data!K3239:L3239)&gt;0,1,0)</f>
        <v>0</v>
      </c>
    </row>
    <row r="3240">
      <c r="A3240" s="10">
        <f>Daily_Data!A3240</f>
        <v>41060</v>
      </c>
      <c r="B3240" s="11">
        <f>Daily_Data!J3240</f>
        <v>24.06</v>
      </c>
      <c r="C3240" s="11">
        <f>Daily_Data!I3240</f>
        <v>2.15</v>
      </c>
      <c r="D3240" s="12">
        <f>if(sum(Daily_Data!K3240:L3240)&gt;0,1,0)</f>
        <v>0</v>
      </c>
    </row>
    <row r="3241">
      <c r="A3241" s="10">
        <f>Daily_Data!A3241</f>
        <v>41061</v>
      </c>
      <c r="B3241" s="11">
        <f>Daily_Data!J3241</f>
        <v>26.66</v>
      </c>
      <c r="C3241" s="11">
        <f>Daily_Data!I3241</f>
        <v>2.12</v>
      </c>
      <c r="D3241" s="12">
        <f>if(sum(Daily_Data!K3241:L3241)&gt;0,1,0)</f>
        <v>1</v>
      </c>
    </row>
    <row r="3242">
      <c r="A3242" s="10">
        <f>Daily_Data!A3242</f>
        <v>41064</v>
      </c>
      <c r="B3242" s="11">
        <f>Daily_Data!J3242</f>
        <v>26.12</v>
      </c>
      <c r="C3242" s="11" t="str">
        <f>Daily_Data!I3242</f>
        <v/>
      </c>
      <c r="D3242" s="12">
        <f>if(sum(Daily_Data!K3242:L3242)&gt;0,1,0)</f>
        <v>0</v>
      </c>
    </row>
    <row r="3243">
      <c r="A3243" s="10">
        <f>Daily_Data!A3243</f>
        <v>41065</v>
      </c>
      <c r="B3243" s="11">
        <f>Daily_Data!J3243</f>
        <v>24.68</v>
      </c>
      <c r="C3243" s="11">
        <f>Daily_Data!I3243</f>
        <v>2.12</v>
      </c>
      <c r="D3243" s="12">
        <f>if(sum(Daily_Data!K3243:L3243)&gt;0,1,0)</f>
        <v>0</v>
      </c>
    </row>
    <row r="3244">
      <c r="A3244" s="10">
        <f>Daily_Data!A3244</f>
        <v>41066</v>
      </c>
      <c r="B3244" s="11">
        <f>Daily_Data!J3244</f>
        <v>22.16</v>
      </c>
      <c r="C3244" s="11">
        <f>Daily_Data!I3244</f>
        <v>2.23</v>
      </c>
      <c r="D3244" s="12">
        <f>if(sum(Daily_Data!K3244:L3244)&gt;0,1,0)</f>
        <v>0</v>
      </c>
    </row>
    <row r="3245">
      <c r="A3245" s="10">
        <f>Daily_Data!A3245</f>
        <v>41067</v>
      </c>
      <c r="B3245" s="11">
        <f>Daily_Data!J3245</f>
        <v>21.72</v>
      </c>
      <c r="C3245" s="11">
        <f>Daily_Data!I3245</f>
        <v>2.29</v>
      </c>
      <c r="D3245" s="12">
        <f>if(sum(Daily_Data!K3245:L3245)&gt;0,1,0)</f>
        <v>0</v>
      </c>
    </row>
    <row r="3246">
      <c r="A3246" s="10">
        <f>Daily_Data!A3246</f>
        <v>41068</v>
      </c>
      <c r="B3246" s="11">
        <f>Daily_Data!J3246</f>
        <v>21.23</v>
      </c>
      <c r="C3246" s="11">
        <f>Daily_Data!I3246</f>
        <v>2.29</v>
      </c>
      <c r="D3246" s="12">
        <f>if(sum(Daily_Data!K3246:L3246)&gt;0,1,0)</f>
        <v>0</v>
      </c>
    </row>
    <row r="3247">
      <c r="A3247" s="10">
        <f>Daily_Data!A3247</f>
        <v>41071</v>
      </c>
      <c r="B3247" s="11">
        <f>Daily_Data!J3247</f>
        <v>23.56</v>
      </c>
      <c r="C3247" s="11">
        <f>Daily_Data!I3247</f>
        <v>2.38</v>
      </c>
      <c r="D3247" s="12">
        <f>if(sum(Daily_Data!K3247:L3247)&gt;0,1,0)</f>
        <v>0</v>
      </c>
    </row>
    <row r="3248">
      <c r="A3248" s="10">
        <f>Daily_Data!A3248</f>
        <v>41072</v>
      </c>
      <c r="B3248" s="11">
        <f>Daily_Data!J3248</f>
        <v>22.09</v>
      </c>
      <c r="C3248" s="11">
        <f>Daily_Data!I3248</f>
        <v>2.31</v>
      </c>
      <c r="D3248" s="12">
        <f>if(sum(Daily_Data!K3248:L3248)&gt;0,1,0)</f>
        <v>0</v>
      </c>
    </row>
    <row r="3249">
      <c r="A3249" s="10">
        <f>Daily_Data!A3249</f>
        <v>41073</v>
      </c>
      <c r="B3249" s="11">
        <f>Daily_Data!J3249</f>
        <v>24.27</v>
      </c>
      <c r="C3249" s="11">
        <f>Daily_Data!I3249</f>
        <v>2.33</v>
      </c>
      <c r="D3249" s="12">
        <f>if(sum(Daily_Data!K3249:L3249)&gt;0,1,0)</f>
        <v>0</v>
      </c>
    </row>
    <row r="3250">
      <c r="A3250" s="10">
        <f>Daily_Data!A3250</f>
        <v>41074</v>
      </c>
      <c r="B3250" s="11">
        <f>Daily_Data!J3250</f>
        <v>21.68</v>
      </c>
      <c r="C3250" s="11">
        <f>Daily_Data!I3250</f>
        <v>2.28</v>
      </c>
      <c r="D3250" s="12">
        <f>if(sum(Daily_Data!K3250:L3250)&gt;0,1,0)</f>
        <v>1</v>
      </c>
    </row>
    <row r="3251">
      <c r="A3251" s="10">
        <f>Daily_Data!A3251</f>
        <v>41075</v>
      </c>
      <c r="B3251" s="11">
        <f>Daily_Data!J3251</f>
        <v>21.11</v>
      </c>
      <c r="C3251" s="11">
        <f>Daily_Data!I3251</f>
        <v>2.34</v>
      </c>
      <c r="D3251" s="12">
        <f>if(sum(Daily_Data!K3251:L3251)&gt;0,1,0)</f>
        <v>0</v>
      </c>
    </row>
    <row r="3252">
      <c r="A3252" s="10">
        <f>Daily_Data!A3252</f>
        <v>41078</v>
      </c>
      <c r="B3252" s="11">
        <f>Daily_Data!J3252</f>
        <v>18.32</v>
      </c>
      <c r="C3252" s="11">
        <f>Daily_Data!I3252</f>
        <v>2.41</v>
      </c>
      <c r="D3252" s="12">
        <f>if(sum(Daily_Data!K3252:L3252)&gt;0,1,0)</f>
        <v>0</v>
      </c>
    </row>
    <row r="3253">
      <c r="A3253" s="10">
        <f>Daily_Data!A3253</f>
        <v>41079</v>
      </c>
      <c r="B3253" s="11">
        <f>Daily_Data!J3253</f>
        <v>18.38</v>
      </c>
      <c r="C3253" s="11">
        <f>Daily_Data!I3253</f>
        <v>2.36</v>
      </c>
      <c r="D3253" s="12">
        <f>if(sum(Daily_Data!K3253:L3253)&gt;0,1,0)</f>
        <v>0</v>
      </c>
    </row>
    <row r="3254">
      <c r="A3254" s="10">
        <f>Daily_Data!A3254</f>
        <v>41080</v>
      </c>
      <c r="B3254" s="11">
        <f>Daily_Data!J3254</f>
        <v>17.24</v>
      </c>
      <c r="C3254" s="11">
        <f>Daily_Data!I3254</f>
        <v>2.38</v>
      </c>
      <c r="D3254" s="12">
        <f>if(sum(Daily_Data!K3254:L3254)&gt;0,1,0)</f>
        <v>0</v>
      </c>
    </row>
    <row r="3255">
      <c r="A3255" s="10">
        <f>Daily_Data!A3255</f>
        <v>41081</v>
      </c>
      <c r="B3255" s="11">
        <f>Daily_Data!J3255</f>
        <v>20.08</v>
      </c>
      <c r="C3255" s="11">
        <f>Daily_Data!I3255</f>
        <v>2.47</v>
      </c>
      <c r="D3255" s="12">
        <f>if(sum(Daily_Data!K3255:L3255)&gt;0,1,0)</f>
        <v>0</v>
      </c>
    </row>
    <row r="3256">
      <c r="A3256" s="10">
        <f>Daily_Data!A3256</f>
        <v>41082</v>
      </c>
      <c r="B3256" s="11">
        <f>Daily_Data!J3256</f>
        <v>18.11</v>
      </c>
      <c r="C3256" s="11">
        <f>Daily_Data!I3256</f>
        <v>2.43</v>
      </c>
      <c r="D3256" s="12">
        <f>if(sum(Daily_Data!K3256:L3256)&gt;0,1,0)</f>
        <v>0</v>
      </c>
    </row>
    <row r="3257">
      <c r="A3257" s="10">
        <f>Daily_Data!A3257</f>
        <v>41085</v>
      </c>
      <c r="B3257" s="11">
        <f>Daily_Data!J3257</f>
        <v>20.38</v>
      </c>
      <c r="C3257" s="11">
        <f>Daily_Data!I3257</f>
        <v>2.41</v>
      </c>
      <c r="D3257" s="12">
        <f>if(sum(Daily_Data!K3257:L3257)&gt;0,1,0)</f>
        <v>0</v>
      </c>
    </row>
    <row r="3258">
      <c r="A3258" s="10">
        <f>Daily_Data!A3258</f>
        <v>41086</v>
      </c>
      <c r="B3258" s="11">
        <f>Daily_Data!J3258</f>
        <v>19.72</v>
      </c>
      <c r="C3258" s="11">
        <f>Daily_Data!I3258</f>
        <v>2.37</v>
      </c>
      <c r="D3258" s="12">
        <f>if(sum(Daily_Data!K3258:L3258)&gt;0,1,0)</f>
        <v>0</v>
      </c>
    </row>
    <row r="3259">
      <c r="A3259" s="10">
        <f>Daily_Data!A3259</f>
        <v>41087</v>
      </c>
      <c r="B3259" s="11">
        <f>Daily_Data!J3259</f>
        <v>19.45</v>
      </c>
      <c r="C3259" s="11">
        <f>Daily_Data!I3259</f>
        <v>2.37</v>
      </c>
      <c r="D3259" s="12">
        <f>if(sum(Daily_Data!K3259:L3259)&gt;0,1,0)</f>
        <v>0</v>
      </c>
    </row>
    <row r="3260">
      <c r="A3260" s="10">
        <f>Daily_Data!A3260</f>
        <v>41088</v>
      </c>
      <c r="B3260" s="11">
        <f>Daily_Data!J3260</f>
        <v>19.71</v>
      </c>
      <c r="C3260" s="11">
        <f>Daily_Data!I3260</f>
        <v>2.38</v>
      </c>
      <c r="D3260" s="12">
        <f>if(sum(Daily_Data!K3260:L3260)&gt;0,1,0)</f>
        <v>0</v>
      </c>
    </row>
    <row r="3261">
      <c r="A3261" s="10">
        <f>Daily_Data!A3261</f>
        <v>41089</v>
      </c>
      <c r="B3261" s="11">
        <f>Daily_Data!J3261</f>
        <v>17.08</v>
      </c>
      <c r="C3261" s="11">
        <f>Daily_Data!I3261</f>
        <v>2.41</v>
      </c>
      <c r="D3261" s="12">
        <f>if(sum(Daily_Data!K3261:L3261)&gt;0,1,0)</f>
        <v>0</v>
      </c>
    </row>
    <row r="3262">
      <c r="A3262" s="10">
        <f>Daily_Data!A3262</f>
        <v>41092</v>
      </c>
      <c r="B3262" s="11">
        <f>Daily_Data!J3262</f>
        <v>16.8</v>
      </c>
      <c r="C3262" s="11">
        <f>Daily_Data!I3262</f>
        <v>2.5</v>
      </c>
      <c r="D3262" s="12">
        <f>if(sum(Daily_Data!K3262:L3262)&gt;0,1,0)</f>
        <v>0</v>
      </c>
    </row>
    <row r="3263">
      <c r="A3263" s="10">
        <f>Daily_Data!A3263</f>
        <v>41093</v>
      </c>
      <c r="B3263" s="11">
        <f>Daily_Data!J3263</f>
        <v>16.66</v>
      </c>
      <c r="C3263" s="11">
        <f>Daily_Data!I3263</f>
        <v>2.51</v>
      </c>
      <c r="D3263" s="12">
        <f>if(sum(Daily_Data!K3263:L3263)&gt;0,1,0)</f>
        <v>0</v>
      </c>
    </row>
    <row r="3264">
      <c r="A3264" s="10">
        <f>Daily_Data!A3264</f>
        <v>41094</v>
      </c>
      <c r="B3264" s="11" t="str">
        <f>Daily_Data!J3264</f>
        <v/>
      </c>
      <c r="C3264" s="11" t="str">
        <f>Daily_Data!I3264</f>
        <v/>
      </c>
      <c r="D3264" s="12">
        <f>if(sum(Daily_Data!K3264:L3264)&gt;0,1,0)</f>
        <v>0</v>
      </c>
    </row>
    <row r="3265">
      <c r="A3265" s="10">
        <f>Daily_Data!A3265</f>
        <v>41095</v>
      </c>
      <c r="B3265" s="11">
        <f>Daily_Data!J3265</f>
        <v>17.5</v>
      </c>
      <c r="C3265" s="11">
        <f>Daily_Data!I3265</f>
        <v>2.51</v>
      </c>
      <c r="D3265" s="12">
        <f>if(sum(Daily_Data!K3265:L3265)&gt;0,1,0)</f>
        <v>0</v>
      </c>
    </row>
    <row r="3266">
      <c r="A3266" s="10">
        <f>Daily_Data!A3266</f>
        <v>41096</v>
      </c>
      <c r="B3266" s="11">
        <f>Daily_Data!J3266</f>
        <v>17.1</v>
      </c>
      <c r="C3266" s="11">
        <f>Daily_Data!I3266</f>
        <v>2.5</v>
      </c>
      <c r="D3266" s="12">
        <f>if(sum(Daily_Data!K3266:L3266)&gt;0,1,0)</f>
        <v>1</v>
      </c>
    </row>
    <row r="3267">
      <c r="A3267" s="10">
        <f>Daily_Data!A3267</f>
        <v>41099</v>
      </c>
      <c r="B3267" s="11">
        <f>Daily_Data!J3267</f>
        <v>17.98</v>
      </c>
      <c r="C3267" s="11">
        <f>Daily_Data!I3267</f>
        <v>2.43</v>
      </c>
      <c r="D3267" s="12">
        <f>if(sum(Daily_Data!K3267:L3267)&gt;0,1,0)</f>
        <v>0</v>
      </c>
    </row>
    <row r="3268">
      <c r="A3268" s="10">
        <f>Daily_Data!A3268</f>
        <v>41100</v>
      </c>
      <c r="B3268" s="11">
        <f>Daily_Data!J3268</f>
        <v>18.72</v>
      </c>
      <c r="C3268" s="11">
        <f>Daily_Data!I3268</f>
        <v>2.42</v>
      </c>
      <c r="D3268" s="12">
        <f>if(sum(Daily_Data!K3268:L3268)&gt;0,1,0)</f>
        <v>0</v>
      </c>
    </row>
    <row r="3269">
      <c r="A3269" s="10">
        <f>Daily_Data!A3269</f>
        <v>41101</v>
      </c>
      <c r="B3269" s="11">
        <f>Daily_Data!J3269</f>
        <v>17.95</v>
      </c>
      <c r="C3269" s="11">
        <f>Daily_Data!I3269</f>
        <v>2.43</v>
      </c>
      <c r="D3269" s="12">
        <f>if(sum(Daily_Data!K3269:L3269)&gt;0,1,0)</f>
        <v>0</v>
      </c>
    </row>
    <row r="3270">
      <c r="A3270" s="10">
        <f>Daily_Data!A3270</f>
        <v>41102</v>
      </c>
      <c r="B3270" s="11">
        <f>Daily_Data!J3270</f>
        <v>18.33</v>
      </c>
      <c r="C3270" s="11">
        <f>Daily_Data!I3270</f>
        <v>2.41</v>
      </c>
      <c r="D3270" s="12">
        <f>if(sum(Daily_Data!K3270:L3270)&gt;0,1,0)</f>
        <v>0</v>
      </c>
    </row>
    <row r="3271">
      <c r="A3271" s="10">
        <f>Daily_Data!A3271</f>
        <v>41103</v>
      </c>
      <c r="B3271" s="11">
        <f>Daily_Data!J3271</f>
        <v>16.74</v>
      </c>
      <c r="C3271" s="11">
        <f>Daily_Data!I3271</f>
        <v>2.38</v>
      </c>
      <c r="D3271" s="12">
        <f>if(sum(Daily_Data!K3271:L3271)&gt;0,1,0)</f>
        <v>0</v>
      </c>
    </row>
    <row r="3272">
      <c r="A3272" s="10">
        <f>Daily_Data!A3272</f>
        <v>41106</v>
      </c>
      <c r="B3272" s="11">
        <f>Daily_Data!J3272</f>
        <v>17.11</v>
      </c>
      <c r="C3272" s="11">
        <f>Daily_Data!I3272</f>
        <v>2.41</v>
      </c>
      <c r="D3272" s="12">
        <f>if(sum(Daily_Data!K3272:L3272)&gt;0,1,0)</f>
        <v>0</v>
      </c>
    </row>
    <row r="3273">
      <c r="A3273" s="10">
        <f>Daily_Data!A3273</f>
        <v>41107</v>
      </c>
      <c r="B3273" s="11">
        <f>Daily_Data!J3273</f>
        <v>16.48</v>
      </c>
      <c r="C3273" s="11">
        <f>Daily_Data!I3273</f>
        <v>2.39</v>
      </c>
      <c r="D3273" s="12">
        <f>if(sum(Daily_Data!K3273:L3273)&gt;0,1,0)</f>
        <v>1</v>
      </c>
    </row>
    <row r="3274">
      <c r="A3274" s="10">
        <f>Daily_Data!A3274</f>
        <v>41108</v>
      </c>
      <c r="B3274" s="11">
        <f>Daily_Data!J3274</f>
        <v>16.16</v>
      </c>
      <c r="C3274" s="11">
        <f>Daily_Data!I3274</f>
        <v>2.42</v>
      </c>
      <c r="D3274" s="12">
        <f>if(sum(Daily_Data!K3274:L3274)&gt;0,1,0)</f>
        <v>0</v>
      </c>
    </row>
    <row r="3275">
      <c r="A3275" s="10">
        <f>Daily_Data!A3275</f>
        <v>41109</v>
      </c>
      <c r="B3275" s="11">
        <f>Daily_Data!J3275</f>
        <v>15.45</v>
      </c>
      <c r="C3275" s="11">
        <f>Daily_Data!I3275</f>
        <v>2.41</v>
      </c>
      <c r="D3275" s="12">
        <f>if(sum(Daily_Data!K3275:L3275)&gt;0,1,0)</f>
        <v>0</v>
      </c>
    </row>
    <row r="3276">
      <c r="A3276" s="10">
        <f>Daily_Data!A3276</f>
        <v>41110</v>
      </c>
      <c r="B3276" s="11">
        <f>Daily_Data!J3276</f>
        <v>16.27</v>
      </c>
      <c r="C3276" s="11">
        <f>Daily_Data!I3276</f>
        <v>2.42</v>
      </c>
      <c r="D3276" s="12">
        <f>if(sum(Daily_Data!K3276:L3276)&gt;0,1,0)</f>
        <v>0</v>
      </c>
    </row>
    <row r="3277">
      <c r="A3277" s="10">
        <f>Daily_Data!A3277</f>
        <v>41113</v>
      </c>
      <c r="B3277" s="11">
        <f>Daily_Data!J3277</f>
        <v>18.62</v>
      </c>
      <c r="C3277" s="11">
        <f>Daily_Data!I3277</f>
        <v>2.35</v>
      </c>
      <c r="D3277" s="12">
        <f>if(sum(Daily_Data!K3277:L3277)&gt;0,1,0)</f>
        <v>0</v>
      </c>
    </row>
    <row r="3278">
      <c r="A3278" s="10">
        <f>Daily_Data!A3278</f>
        <v>41114</v>
      </c>
      <c r="B3278" s="11">
        <f>Daily_Data!J3278</f>
        <v>20.47</v>
      </c>
      <c r="C3278" s="11">
        <f>Daily_Data!I3278</f>
        <v>2.35</v>
      </c>
      <c r="D3278" s="12">
        <f>if(sum(Daily_Data!K3278:L3278)&gt;0,1,0)</f>
        <v>0</v>
      </c>
    </row>
    <row r="3279">
      <c r="A3279" s="10">
        <f>Daily_Data!A3279</f>
        <v>41115</v>
      </c>
      <c r="B3279" s="11">
        <f>Daily_Data!J3279</f>
        <v>19.34</v>
      </c>
      <c r="C3279" s="11">
        <f>Daily_Data!I3279</f>
        <v>2.33</v>
      </c>
      <c r="D3279" s="12">
        <f>if(sum(Daily_Data!K3279:L3279)&gt;0,1,0)</f>
        <v>0</v>
      </c>
    </row>
    <row r="3280">
      <c r="A3280" s="10">
        <f>Daily_Data!A3280</f>
        <v>41116</v>
      </c>
      <c r="B3280" s="11">
        <f>Daily_Data!J3280</f>
        <v>17.53</v>
      </c>
      <c r="C3280" s="11">
        <f>Daily_Data!I3280</f>
        <v>2.35</v>
      </c>
      <c r="D3280" s="12">
        <f>if(sum(Daily_Data!K3280:L3280)&gt;0,1,0)</f>
        <v>0</v>
      </c>
    </row>
    <row r="3281">
      <c r="A3281" s="10">
        <f>Daily_Data!A3281</f>
        <v>41117</v>
      </c>
      <c r="B3281" s="11">
        <f>Daily_Data!J3281</f>
        <v>16.7</v>
      </c>
      <c r="C3281" s="11">
        <f>Daily_Data!I3281</f>
        <v>2.45</v>
      </c>
      <c r="D3281" s="12">
        <f>if(sum(Daily_Data!K3281:L3281)&gt;0,1,0)</f>
        <v>0</v>
      </c>
    </row>
    <row r="3282">
      <c r="A3282" s="10">
        <f>Daily_Data!A3282</f>
        <v>41120</v>
      </c>
      <c r="B3282" s="11">
        <f>Daily_Data!J3282</f>
        <v>18.03</v>
      </c>
      <c r="C3282" s="11">
        <f>Daily_Data!I3282</f>
        <v>2.55</v>
      </c>
      <c r="D3282" s="12">
        <f>if(sum(Daily_Data!K3282:L3282)&gt;0,1,0)</f>
        <v>0</v>
      </c>
    </row>
    <row r="3283">
      <c r="A3283" s="10">
        <f>Daily_Data!A3283</f>
        <v>41121</v>
      </c>
      <c r="B3283" s="11">
        <f>Daily_Data!J3283</f>
        <v>18.93</v>
      </c>
      <c r="C3283" s="11">
        <f>Daily_Data!I3283</f>
        <v>2.55</v>
      </c>
      <c r="D3283" s="12">
        <f>if(sum(Daily_Data!K3283:L3283)&gt;0,1,0)</f>
        <v>0</v>
      </c>
    </row>
    <row r="3284">
      <c r="A3284" s="10">
        <f>Daily_Data!A3284</f>
        <v>41122</v>
      </c>
      <c r="B3284" s="11">
        <f>Daily_Data!J3284</f>
        <v>18.96</v>
      </c>
      <c r="C3284" s="11">
        <f>Daily_Data!I3284</f>
        <v>2.55</v>
      </c>
      <c r="D3284" s="12">
        <f>if(sum(Daily_Data!K3284:L3284)&gt;0,1,0)</f>
        <v>0</v>
      </c>
    </row>
    <row r="3285">
      <c r="A3285" s="10">
        <f>Daily_Data!A3285</f>
        <v>41123</v>
      </c>
      <c r="B3285" s="11">
        <f>Daily_Data!J3285</f>
        <v>17.57</v>
      </c>
      <c r="C3285" s="11">
        <f>Daily_Data!I3285</f>
        <v>2.58</v>
      </c>
      <c r="D3285" s="12">
        <f>if(sum(Daily_Data!K3285:L3285)&gt;0,1,0)</f>
        <v>0</v>
      </c>
    </row>
    <row r="3286">
      <c r="A3286" s="10">
        <f>Daily_Data!A3286</f>
        <v>41124</v>
      </c>
      <c r="B3286" s="11">
        <f>Daily_Data!J3286</f>
        <v>15.64</v>
      </c>
      <c r="C3286" s="11">
        <f>Daily_Data!I3286</f>
        <v>2.54</v>
      </c>
      <c r="D3286" s="12">
        <f>if(sum(Daily_Data!K3286:L3286)&gt;0,1,0)</f>
        <v>1</v>
      </c>
    </row>
    <row r="3287">
      <c r="A3287" s="10">
        <f>Daily_Data!A3287</f>
        <v>41127</v>
      </c>
      <c r="B3287" s="11">
        <f>Daily_Data!J3287</f>
        <v>15.95</v>
      </c>
      <c r="C3287" s="11">
        <f>Daily_Data!I3287</f>
        <v>2.6</v>
      </c>
      <c r="D3287" s="12">
        <f>if(sum(Daily_Data!K3287:L3287)&gt;0,1,0)</f>
        <v>0</v>
      </c>
    </row>
    <row r="3288">
      <c r="A3288" s="10">
        <f>Daily_Data!A3288</f>
        <v>41128</v>
      </c>
      <c r="B3288" s="11">
        <f>Daily_Data!J3288</f>
        <v>15.99</v>
      </c>
      <c r="C3288" s="11">
        <f>Daily_Data!I3288</f>
        <v>2.6</v>
      </c>
      <c r="D3288" s="12">
        <f>if(sum(Daily_Data!K3288:L3288)&gt;0,1,0)</f>
        <v>0</v>
      </c>
    </row>
    <row r="3289">
      <c r="A3289" s="10">
        <f>Daily_Data!A3289</f>
        <v>41129</v>
      </c>
      <c r="B3289" s="11">
        <f>Daily_Data!J3289</f>
        <v>15.32</v>
      </c>
      <c r="C3289" s="11">
        <f>Daily_Data!I3289</f>
        <v>2.55</v>
      </c>
      <c r="D3289" s="12">
        <f>if(sum(Daily_Data!K3289:L3289)&gt;0,1,0)</f>
        <v>0</v>
      </c>
    </row>
    <row r="3290">
      <c r="A3290" s="10">
        <f>Daily_Data!A3290</f>
        <v>41130</v>
      </c>
      <c r="B3290" s="11">
        <f>Daily_Data!J3290</f>
        <v>15.28</v>
      </c>
      <c r="C3290" s="11">
        <f>Daily_Data!I3290</f>
        <v>2.48</v>
      </c>
      <c r="D3290" s="12">
        <f>if(sum(Daily_Data!K3290:L3290)&gt;0,1,0)</f>
        <v>0</v>
      </c>
    </row>
    <row r="3291">
      <c r="A3291" s="10">
        <f>Daily_Data!A3291</f>
        <v>41131</v>
      </c>
      <c r="B3291" s="11">
        <f>Daily_Data!J3291</f>
        <v>14.74</v>
      </c>
      <c r="C3291" s="11">
        <f>Daily_Data!I3291</f>
        <v>2.41</v>
      </c>
      <c r="D3291" s="12">
        <f>if(sum(Daily_Data!K3291:L3291)&gt;0,1,0)</f>
        <v>0</v>
      </c>
    </row>
    <row r="3292">
      <c r="A3292" s="10">
        <f>Daily_Data!A3292</f>
        <v>41134</v>
      </c>
      <c r="B3292" s="11">
        <f>Daily_Data!J3292</f>
        <v>13.7</v>
      </c>
      <c r="C3292" s="11">
        <f>Daily_Data!I3292</f>
        <v>2.42</v>
      </c>
      <c r="D3292" s="12">
        <f>if(sum(Daily_Data!K3292:L3292)&gt;0,1,0)</f>
        <v>0</v>
      </c>
    </row>
    <row r="3293">
      <c r="A3293" s="10">
        <f>Daily_Data!A3293</f>
        <v>41135</v>
      </c>
      <c r="B3293" s="11">
        <f>Daily_Data!J3293</f>
        <v>14.85</v>
      </c>
      <c r="C3293" s="11">
        <f>Daily_Data!I3293</f>
        <v>2.45</v>
      </c>
      <c r="D3293" s="12">
        <f>if(sum(Daily_Data!K3293:L3293)&gt;0,1,0)</f>
        <v>0</v>
      </c>
    </row>
    <row r="3294">
      <c r="A3294" s="10">
        <f>Daily_Data!A3294</f>
        <v>41136</v>
      </c>
      <c r="B3294" s="11">
        <f>Daily_Data!J3294</f>
        <v>14.63</v>
      </c>
      <c r="C3294" s="11">
        <f>Daily_Data!I3294</f>
        <v>2.45</v>
      </c>
      <c r="D3294" s="12">
        <f>if(sum(Daily_Data!K3294:L3294)&gt;0,1,0)</f>
        <v>1</v>
      </c>
    </row>
    <row r="3295">
      <c r="A3295" s="10">
        <f>Daily_Data!A3295</f>
        <v>41137</v>
      </c>
      <c r="B3295" s="11">
        <f>Daily_Data!J3295</f>
        <v>14.29</v>
      </c>
      <c r="C3295" s="11">
        <f>Daily_Data!I3295</f>
        <v>2.51</v>
      </c>
      <c r="D3295" s="12">
        <f>if(sum(Daily_Data!K3295:L3295)&gt;0,1,0)</f>
        <v>0</v>
      </c>
    </row>
    <row r="3296">
      <c r="A3296" s="10">
        <f>Daily_Data!A3296</f>
        <v>41138</v>
      </c>
      <c r="B3296" s="11">
        <f>Daily_Data!J3296</f>
        <v>13.45</v>
      </c>
      <c r="C3296" s="11">
        <f>Daily_Data!I3296</f>
        <v>2.49</v>
      </c>
      <c r="D3296" s="12">
        <f>if(sum(Daily_Data!K3296:L3296)&gt;0,1,0)</f>
        <v>0</v>
      </c>
    </row>
    <row r="3297">
      <c r="A3297" s="10">
        <f>Daily_Data!A3297</f>
        <v>41141</v>
      </c>
      <c r="B3297" s="11">
        <f>Daily_Data!J3297</f>
        <v>14.02</v>
      </c>
      <c r="C3297" s="11">
        <f>Daily_Data!I3297</f>
        <v>2.48</v>
      </c>
      <c r="D3297" s="12">
        <f>if(sum(Daily_Data!K3297:L3297)&gt;0,1,0)</f>
        <v>0</v>
      </c>
    </row>
    <row r="3298">
      <c r="A3298" s="10">
        <f>Daily_Data!A3298</f>
        <v>41142</v>
      </c>
      <c r="B3298" s="11">
        <f>Daily_Data!J3298</f>
        <v>15.02</v>
      </c>
      <c r="C3298" s="11">
        <f>Daily_Data!I3298</f>
        <v>2.45</v>
      </c>
      <c r="D3298" s="12">
        <f>if(sum(Daily_Data!K3298:L3298)&gt;0,1,0)</f>
        <v>0</v>
      </c>
    </row>
    <row r="3299">
      <c r="A3299" s="10">
        <f>Daily_Data!A3299</f>
        <v>41143</v>
      </c>
      <c r="B3299" s="11">
        <f>Daily_Data!J3299</f>
        <v>15.11</v>
      </c>
      <c r="C3299" s="11">
        <f>Daily_Data!I3299</f>
        <v>2.47</v>
      </c>
      <c r="D3299" s="12">
        <f>if(sum(Daily_Data!K3299:L3299)&gt;0,1,0)</f>
        <v>0</v>
      </c>
    </row>
    <row r="3300">
      <c r="A3300" s="10">
        <f>Daily_Data!A3300</f>
        <v>41144</v>
      </c>
      <c r="B3300" s="11">
        <f>Daily_Data!J3300</f>
        <v>15.96</v>
      </c>
      <c r="C3300" s="11">
        <f>Daily_Data!I3300</f>
        <v>2.47</v>
      </c>
      <c r="D3300" s="12">
        <f>if(sum(Daily_Data!K3300:L3300)&gt;0,1,0)</f>
        <v>0</v>
      </c>
    </row>
    <row r="3301">
      <c r="A3301" s="10">
        <f>Daily_Data!A3301</f>
        <v>41145</v>
      </c>
      <c r="B3301" s="11">
        <f>Daily_Data!J3301</f>
        <v>15.18</v>
      </c>
      <c r="C3301" s="11">
        <f>Daily_Data!I3301</f>
        <v>2.44</v>
      </c>
      <c r="D3301" s="12">
        <f>if(sum(Daily_Data!K3301:L3301)&gt;0,1,0)</f>
        <v>0</v>
      </c>
    </row>
    <row r="3302">
      <c r="A3302" s="10">
        <f>Daily_Data!A3302</f>
        <v>41148</v>
      </c>
      <c r="B3302" s="11">
        <f>Daily_Data!J3302</f>
        <v>16.35</v>
      </c>
      <c r="C3302" s="11">
        <f>Daily_Data!I3302</f>
        <v>2.42</v>
      </c>
      <c r="D3302" s="12">
        <f>if(sum(Daily_Data!K3302:L3302)&gt;0,1,0)</f>
        <v>0</v>
      </c>
    </row>
    <row r="3303">
      <c r="A3303" s="10">
        <f>Daily_Data!A3303</f>
        <v>41149</v>
      </c>
      <c r="B3303" s="11">
        <f>Daily_Data!J3303</f>
        <v>16.49</v>
      </c>
      <c r="C3303" s="11">
        <f>Daily_Data!I3303</f>
        <v>2.43</v>
      </c>
      <c r="D3303" s="12">
        <f>if(sum(Daily_Data!K3303:L3303)&gt;0,1,0)</f>
        <v>0</v>
      </c>
    </row>
    <row r="3304">
      <c r="A3304" s="10">
        <f>Daily_Data!A3304</f>
        <v>41150</v>
      </c>
      <c r="B3304" s="11">
        <f>Daily_Data!J3304</f>
        <v>17.06</v>
      </c>
      <c r="C3304" s="11">
        <f>Daily_Data!I3304</f>
        <v>2.43</v>
      </c>
      <c r="D3304" s="12">
        <f>if(sum(Daily_Data!K3304:L3304)&gt;0,1,0)</f>
        <v>0</v>
      </c>
    </row>
    <row r="3305">
      <c r="A3305" s="10">
        <f>Daily_Data!A3305</f>
        <v>41151</v>
      </c>
      <c r="B3305" s="11">
        <f>Daily_Data!J3305</f>
        <v>17.83</v>
      </c>
      <c r="C3305" s="11">
        <f>Daily_Data!I3305</f>
        <v>2.4</v>
      </c>
      <c r="D3305" s="12">
        <f>if(sum(Daily_Data!K3305:L3305)&gt;0,1,0)</f>
        <v>0</v>
      </c>
    </row>
    <row r="3306">
      <c r="A3306" s="10">
        <f>Daily_Data!A3306</f>
        <v>41152</v>
      </c>
      <c r="B3306" s="11">
        <f>Daily_Data!J3306</f>
        <v>17.47</v>
      </c>
      <c r="C3306" s="11">
        <f>Daily_Data!I3306</f>
        <v>2.46</v>
      </c>
      <c r="D3306" s="12">
        <f>if(sum(Daily_Data!K3306:L3306)&gt;0,1,0)</f>
        <v>0</v>
      </c>
    </row>
    <row r="3307">
      <c r="A3307" s="10">
        <f>Daily_Data!A3307</f>
        <v>41155</v>
      </c>
      <c r="B3307" s="11" t="str">
        <f>Daily_Data!J3307</f>
        <v/>
      </c>
      <c r="C3307" s="11" t="str">
        <f>Daily_Data!I3307</f>
        <v/>
      </c>
      <c r="D3307" s="12">
        <f>if(sum(Daily_Data!K3307:L3307)&gt;0,1,0)</f>
        <v>0</v>
      </c>
    </row>
    <row r="3308">
      <c r="A3308" s="10">
        <f>Daily_Data!A3308</f>
        <v>41156</v>
      </c>
      <c r="B3308" s="11">
        <f>Daily_Data!J3308</f>
        <v>17.98</v>
      </c>
      <c r="C3308" s="11">
        <f>Daily_Data!I3308</f>
        <v>2.42</v>
      </c>
      <c r="D3308" s="12">
        <f>if(sum(Daily_Data!K3308:L3308)&gt;0,1,0)</f>
        <v>0</v>
      </c>
    </row>
    <row r="3309">
      <c r="A3309" s="10">
        <f>Daily_Data!A3309</f>
        <v>41157</v>
      </c>
      <c r="B3309" s="11">
        <f>Daily_Data!J3309</f>
        <v>17.74</v>
      </c>
      <c r="C3309" s="11">
        <f>Daily_Data!I3309</f>
        <v>2.38</v>
      </c>
      <c r="D3309" s="12">
        <f>if(sum(Daily_Data!K3309:L3309)&gt;0,1,0)</f>
        <v>0</v>
      </c>
    </row>
    <row r="3310">
      <c r="A3310" s="10">
        <f>Daily_Data!A3310</f>
        <v>41158</v>
      </c>
      <c r="B3310" s="11">
        <f>Daily_Data!J3310</f>
        <v>15.6</v>
      </c>
      <c r="C3310" s="11">
        <f>Daily_Data!I3310</f>
        <v>2.39</v>
      </c>
      <c r="D3310" s="12">
        <f>if(sum(Daily_Data!K3310:L3310)&gt;0,1,0)</f>
        <v>0</v>
      </c>
    </row>
    <row r="3311">
      <c r="A3311" s="10">
        <f>Daily_Data!A3311</f>
        <v>41159</v>
      </c>
      <c r="B3311" s="11">
        <f>Daily_Data!J3311</f>
        <v>14.38</v>
      </c>
      <c r="C3311" s="11">
        <f>Daily_Data!I3311</f>
        <v>2.47</v>
      </c>
      <c r="D3311" s="12">
        <f>if(sum(Daily_Data!K3311:L3311)&gt;0,1,0)</f>
        <v>1</v>
      </c>
    </row>
    <row r="3312">
      <c r="A3312" s="10">
        <f>Daily_Data!A3312</f>
        <v>41162</v>
      </c>
      <c r="B3312" s="11">
        <f>Daily_Data!J3312</f>
        <v>16.28</v>
      </c>
      <c r="C3312" s="11">
        <f>Daily_Data!I3312</f>
        <v>2.43</v>
      </c>
      <c r="D3312" s="12">
        <f>if(sum(Daily_Data!K3312:L3312)&gt;0,1,0)</f>
        <v>0</v>
      </c>
    </row>
    <row r="3313">
      <c r="A3313" s="10">
        <f>Daily_Data!A3313</f>
        <v>41163</v>
      </c>
      <c r="B3313" s="11">
        <f>Daily_Data!J3313</f>
        <v>16.41</v>
      </c>
      <c r="C3313" s="11">
        <f>Daily_Data!I3313</f>
        <v>2.44</v>
      </c>
      <c r="D3313" s="12">
        <f>if(sum(Daily_Data!K3313:L3313)&gt;0,1,0)</f>
        <v>0</v>
      </c>
    </row>
    <row r="3314">
      <c r="A3314" s="10">
        <f>Daily_Data!A3314</f>
        <v>41164</v>
      </c>
      <c r="B3314" s="11">
        <f>Daily_Data!J3314</f>
        <v>15.8</v>
      </c>
      <c r="C3314" s="11">
        <f>Daily_Data!I3314</f>
        <v>2.46</v>
      </c>
      <c r="D3314" s="12">
        <f>if(sum(Daily_Data!K3314:L3314)&gt;0,1,0)</f>
        <v>0</v>
      </c>
    </row>
    <row r="3315">
      <c r="A3315" s="10">
        <f>Daily_Data!A3315</f>
        <v>41165</v>
      </c>
      <c r="B3315" s="11">
        <f>Daily_Data!J3315</f>
        <v>14.05</v>
      </c>
      <c r="C3315" s="11">
        <f>Daily_Data!I3315</f>
        <v>2.48</v>
      </c>
      <c r="D3315" s="12">
        <f>if(sum(Daily_Data!K3315:L3315)&gt;0,1,0)</f>
        <v>0</v>
      </c>
    </row>
    <row r="3316">
      <c r="A3316" s="10">
        <f>Daily_Data!A3316</f>
        <v>41166</v>
      </c>
      <c r="B3316" s="11">
        <f>Daily_Data!J3316</f>
        <v>14.51</v>
      </c>
      <c r="C3316" s="11">
        <f>Daily_Data!I3316</f>
        <v>2.47</v>
      </c>
      <c r="D3316" s="12">
        <f>if(sum(Daily_Data!K3316:L3316)&gt;0,1,0)</f>
        <v>1</v>
      </c>
    </row>
    <row r="3317">
      <c r="A3317" s="10">
        <f>Daily_Data!A3317</f>
        <v>41169</v>
      </c>
      <c r="B3317" s="11">
        <f>Daily_Data!J3317</f>
        <v>14.59</v>
      </c>
      <c r="C3317" s="11">
        <f>Daily_Data!I3317</f>
        <v>2.53</v>
      </c>
      <c r="D3317" s="12">
        <f>if(sum(Daily_Data!K3317:L3317)&gt;0,1,0)</f>
        <v>0</v>
      </c>
    </row>
    <row r="3318">
      <c r="A3318" s="10">
        <f>Daily_Data!A3318</f>
        <v>41170</v>
      </c>
      <c r="B3318" s="11">
        <f>Daily_Data!J3318</f>
        <v>14.18</v>
      </c>
      <c r="C3318" s="11">
        <f>Daily_Data!I3318</f>
        <v>2.5</v>
      </c>
      <c r="D3318" s="12">
        <f>if(sum(Daily_Data!K3318:L3318)&gt;0,1,0)</f>
        <v>0</v>
      </c>
    </row>
    <row r="3319">
      <c r="A3319" s="10">
        <f>Daily_Data!A3319</f>
        <v>41171</v>
      </c>
      <c r="B3319" s="11">
        <f>Daily_Data!J3319</f>
        <v>13.88</v>
      </c>
      <c r="C3319" s="11">
        <f>Daily_Data!I3319</f>
        <v>2.46</v>
      </c>
      <c r="D3319" s="12">
        <f>if(sum(Daily_Data!K3319:L3319)&gt;0,1,0)</f>
        <v>0</v>
      </c>
    </row>
    <row r="3320">
      <c r="A3320" s="10">
        <f>Daily_Data!A3320</f>
        <v>41172</v>
      </c>
      <c r="B3320" s="11">
        <f>Daily_Data!J3320</f>
        <v>14.07</v>
      </c>
      <c r="C3320" s="11">
        <f>Daily_Data!I3320</f>
        <v>2.43</v>
      </c>
      <c r="D3320" s="12">
        <f>if(sum(Daily_Data!K3320:L3320)&gt;0,1,0)</f>
        <v>0</v>
      </c>
    </row>
    <row r="3321">
      <c r="A3321" s="10">
        <f>Daily_Data!A3321</f>
        <v>41173</v>
      </c>
      <c r="B3321" s="11">
        <f>Daily_Data!J3321</f>
        <v>13.98</v>
      </c>
      <c r="C3321" s="11">
        <f>Daily_Data!I3321</f>
        <v>2.46</v>
      </c>
      <c r="D3321" s="12">
        <f>if(sum(Daily_Data!K3321:L3321)&gt;0,1,0)</f>
        <v>0</v>
      </c>
    </row>
    <row r="3322">
      <c r="A3322" s="10">
        <f>Daily_Data!A3322</f>
        <v>41176</v>
      </c>
      <c r="B3322" s="11">
        <f>Daily_Data!J3322</f>
        <v>14.15</v>
      </c>
      <c r="C3322" s="11">
        <f>Daily_Data!I3322</f>
        <v>2.43</v>
      </c>
      <c r="D3322" s="12">
        <f>if(sum(Daily_Data!K3322:L3322)&gt;0,1,0)</f>
        <v>0</v>
      </c>
    </row>
    <row r="3323">
      <c r="A3323" s="10">
        <f>Daily_Data!A3323</f>
        <v>41177</v>
      </c>
      <c r="B3323" s="11">
        <f>Daily_Data!J3323</f>
        <v>15.43</v>
      </c>
      <c r="C3323" s="11">
        <f>Daily_Data!I3323</f>
        <v>2.41</v>
      </c>
      <c r="D3323" s="12">
        <f>if(sum(Daily_Data!K3323:L3323)&gt;0,1,0)</f>
        <v>0</v>
      </c>
    </row>
    <row r="3324">
      <c r="A3324" s="10">
        <f>Daily_Data!A3324</f>
        <v>41178</v>
      </c>
      <c r="B3324" s="11">
        <f>Daily_Data!J3324</f>
        <v>16.81</v>
      </c>
      <c r="C3324" s="11">
        <f>Daily_Data!I3324</f>
        <v>2.42</v>
      </c>
      <c r="D3324" s="12">
        <f>if(sum(Daily_Data!K3324:L3324)&gt;0,1,0)</f>
        <v>0</v>
      </c>
    </row>
    <row r="3325">
      <c r="A3325" s="10">
        <f>Daily_Data!A3325</f>
        <v>41179</v>
      </c>
      <c r="B3325" s="11">
        <f>Daily_Data!J3325</f>
        <v>14.84</v>
      </c>
      <c r="C3325" s="11">
        <f>Daily_Data!I3325</f>
        <v>2.41</v>
      </c>
      <c r="D3325" s="12">
        <f>if(sum(Daily_Data!K3325:L3325)&gt;0,1,0)</f>
        <v>0</v>
      </c>
    </row>
    <row r="3326">
      <c r="A3326" s="10">
        <f>Daily_Data!A3326</f>
        <v>41180</v>
      </c>
      <c r="B3326" s="11">
        <f>Daily_Data!J3326</f>
        <v>15.73</v>
      </c>
      <c r="C3326" s="11">
        <f>Daily_Data!I3326</f>
        <v>2.45</v>
      </c>
      <c r="D3326" s="12">
        <f>if(sum(Daily_Data!K3326:L3326)&gt;0,1,0)</f>
        <v>0</v>
      </c>
    </row>
    <row r="3327">
      <c r="A3327" s="10">
        <f>Daily_Data!A3327</f>
        <v>41183</v>
      </c>
      <c r="B3327" s="11">
        <f>Daily_Data!J3327</f>
        <v>16.32</v>
      </c>
      <c r="C3327" s="11">
        <f>Daily_Data!I3327</f>
        <v>2.41</v>
      </c>
      <c r="D3327" s="12">
        <f>if(sum(Daily_Data!K3327:L3327)&gt;0,1,0)</f>
        <v>0</v>
      </c>
    </row>
    <row r="3328">
      <c r="A3328" s="10">
        <f>Daily_Data!A3328</f>
        <v>41184</v>
      </c>
      <c r="B3328" s="11">
        <f>Daily_Data!J3328</f>
        <v>15.71</v>
      </c>
      <c r="C3328" s="11">
        <f>Daily_Data!I3328</f>
        <v>2.42</v>
      </c>
      <c r="D3328" s="12">
        <f>if(sum(Daily_Data!K3328:L3328)&gt;0,1,0)</f>
        <v>0</v>
      </c>
    </row>
    <row r="3329">
      <c r="A3329" s="10">
        <f>Daily_Data!A3329</f>
        <v>41185</v>
      </c>
      <c r="B3329" s="11">
        <f>Daily_Data!J3329</f>
        <v>15.43</v>
      </c>
      <c r="C3329" s="11">
        <f>Daily_Data!I3329</f>
        <v>2.36</v>
      </c>
      <c r="D3329" s="12">
        <f>if(sum(Daily_Data!K3329:L3329)&gt;0,1,0)</f>
        <v>0</v>
      </c>
    </row>
    <row r="3330">
      <c r="A3330" s="10">
        <f>Daily_Data!A3330</f>
        <v>41186</v>
      </c>
      <c r="B3330" s="11">
        <f>Daily_Data!J3330</f>
        <v>14.55</v>
      </c>
      <c r="C3330" s="11">
        <f>Daily_Data!I3330</f>
        <v>2.39</v>
      </c>
      <c r="D3330" s="12">
        <f>if(sum(Daily_Data!K3330:L3330)&gt;0,1,0)</f>
        <v>0</v>
      </c>
    </row>
    <row r="3331">
      <c r="A3331" s="10">
        <f>Daily_Data!A3331</f>
        <v>41187</v>
      </c>
      <c r="B3331" s="11">
        <f>Daily_Data!J3331</f>
        <v>14.33</v>
      </c>
      <c r="C3331" s="11">
        <f>Daily_Data!I3331</f>
        <v>2.37</v>
      </c>
      <c r="D3331" s="12">
        <f>if(sum(Daily_Data!K3331:L3331)&gt;0,1,0)</f>
        <v>1</v>
      </c>
    </row>
    <row r="3332">
      <c r="A3332" s="10">
        <f>Daily_Data!A3332</f>
        <v>41190</v>
      </c>
      <c r="B3332" s="11">
        <f>Daily_Data!J3332</f>
        <v>15.11</v>
      </c>
      <c r="C3332" s="11" t="str">
        <f>Daily_Data!I3332</f>
        <v/>
      </c>
      <c r="D3332" s="12">
        <f>if(sum(Daily_Data!K3332:L3332)&gt;0,1,0)</f>
        <v>0</v>
      </c>
    </row>
    <row r="3333">
      <c r="A3333" s="10">
        <f>Daily_Data!A3333</f>
        <v>41191</v>
      </c>
      <c r="B3333" s="11">
        <f>Daily_Data!J3333</f>
        <v>16.37</v>
      </c>
      <c r="C3333" s="11">
        <f>Daily_Data!I3333</f>
        <v>2.39</v>
      </c>
      <c r="D3333" s="12">
        <f>if(sum(Daily_Data!K3333:L3333)&gt;0,1,0)</f>
        <v>0</v>
      </c>
    </row>
    <row r="3334">
      <c r="A3334" s="10">
        <f>Daily_Data!A3334</f>
        <v>41192</v>
      </c>
      <c r="B3334" s="11">
        <f>Daily_Data!J3334</f>
        <v>16.29</v>
      </c>
      <c r="C3334" s="11">
        <f>Daily_Data!I3334</f>
        <v>2.36</v>
      </c>
      <c r="D3334" s="12">
        <f>if(sum(Daily_Data!K3334:L3334)&gt;0,1,0)</f>
        <v>0</v>
      </c>
    </row>
    <row r="3335">
      <c r="A3335" s="10">
        <f>Daily_Data!A3335</f>
        <v>41193</v>
      </c>
      <c r="B3335" s="11">
        <f>Daily_Data!J3335</f>
        <v>15.59</v>
      </c>
      <c r="C3335" s="11">
        <f>Daily_Data!I3335</f>
        <v>2.35</v>
      </c>
      <c r="D3335" s="12">
        <f>if(sum(Daily_Data!K3335:L3335)&gt;0,1,0)</f>
        <v>0</v>
      </c>
    </row>
    <row r="3336">
      <c r="A3336" s="10">
        <f>Daily_Data!A3336</f>
        <v>41194</v>
      </c>
      <c r="B3336" s="11">
        <f>Daily_Data!J3336</f>
        <v>16.14</v>
      </c>
      <c r="C3336" s="11">
        <f>Daily_Data!I3336</f>
        <v>2.35</v>
      </c>
      <c r="D3336" s="12">
        <f>if(sum(Daily_Data!K3336:L3336)&gt;0,1,0)</f>
        <v>0</v>
      </c>
    </row>
    <row r="3337">
      <c r="A3337" s="10">
        <f>Daily_Data!A3337</f>
        <v>41197</v>
      </c>
      <c r="B3337" s="11">
        <f>Daily_Data!J3337</f>
        <v>15.27</v>
      </c>
      <c r="C3337" s="11">
        <f>Daily_Data!I3337</f>
        <v>2.31</v>
      </c>
      <c r="D3337" s="12">
        <f>if(sum(Daily_Data!K3337:L3337)&gt;0,1,0)</f>
        <v>0</v>
      </c>
    </row>
    <row r="3338">
      <c r="A3338" s="10">
        <f>Daily_Data!A3338</f>
        <v>41198</v>
      </c>
      <c r="B3338" s="11">
        <f>Daily_Data!J3338</f>
        <v>15.22</v>
      </c>
      <c r="C3338" s="11">
        <f>Daily_Data!I3338</f>
        <v>2.24</v>
      </c>
      <c r="D3338" s="12">
        <f>if(sum(Daily_Data!K3338:L3338)&gt;0,1,0)</f>
        <v>1</v>
      </c>
    </row>
    <row r="3339">
      <c r="A3339" s="10">
        <f>Daily_Data!A3339</f>
        <v>41199</v>
      </c>
      <c r="B3339" s="11">
        <f>Daily_Data!J3339</f>
        <v>15.07</v>
      </c>
      <c r="C3339" s="11">
        <f>Daily_Data!I3339</f>
        <v>2.24</v>
      </c>
      <c r="D3339" s="12">
        <f>if(sum(Daily_Data!K3339:L3339)&gt;0,1,0)</f>
        <v>0</v>
      </c>
    </row>
    <row r="3340">
      <c r="A3340" s="10">
        <f>Daily_Data!A3340</f>
        <v>41200</v>
      </c>
      <c r="B3340" s="11">
        <f>Daily_Data!J3340</f>
        <v>15.03</v>
      </c>
      <c r="C3340" s="11">
        <f>Daily_Data!I3340</f>
        <v>2.28</v>
      </c>
      <c r="D3340" s="12">
        <f>if(sum(Daily_Data!K3340:L3340)&gt;0,1,0)</f>
        <v>0</v>
      </c>
    </row>
    <row r="3341">
      <c r="A3341" s="10">
        <f>Daily_Data!A3341</f>
        <v>41201</v>
      </c>
      <c r="B3341" s="11">
        <f>Daily_Data!J3341</f>
        <v>17.06</v>
      </c>
      <c r="C3341" s="11">
        <f>Daily_Data!I3341</f>
        <v>2.27</v>
      </c>
      <c r="D3341" s="12">
        <f>if(sum(Daily_Data!K3341:L3341)&gt;0,1,0)</f>
        <v>0</v>
      </c>
    </row>
    <row r="3342">
      <c r="A3342" s="10">
        <f>Daily_Data!A3342</f>
        <v>41204</v>
      </c>
      <c r="B3342" s="11">
        <f>Daily_Data!J3342</f>
        <v>16.62</v>
      </c>
      <c r="C3342" s="11" t="str">
        <f>Daily_Data!I3342</f>
        <v/>
      </c>
      <c r="D3342" s="12">
        <f>if(sum(Daily_Data!K3342:L3342)&gt;0,1,0)</f>
        <v>0</v>
      </c>
    </row>
    <row r="3343">
      <c r="A3343" s="10">
        <f>Daily_Data!A3343</f>
        <v>41205</v>
      </c>
      <c r="B3343" s="11">
        <f>Daily_Data!J3343</f>
        <v>18.83</v>
      </c>
      <c r="C3343" s="11">
        <f>Daily_Data!I3343</f>
        <v>2.28</v>
      </c>
      <c r="D3343" s="12">
        <f>if(sum(Daily_Data!K3343:L3343)&gt;0,1,0)</f>
        <v>0</v>
      </c>
    </row>
    <row r="3344">
      <c r="A3344" s="10">
        <f>Daily_Data!A3344</f>
        <v>41206</v>
      </c>
      <c r="B3344" s="11">
        <f>Daily_Data!J3344</f>
        <v>18.33</v>
      </c>
      <c r="C3344" s="11">
        <f>Daily_Data!I3344</f>
        <v>2.27</v>
      </c>
      <c r="D3344" s="12">
        <f>if(sum(Daily_Data!K3344:L3344)&gt;0,1,0)</f>
        <v>0</v>
      </c>
    </row>
    <row r="3345">
      <c r="A3345" s="10">
        <f>Daily_Data!A3345</f>
        <v>41207</v>
      </c>
      <c r="B3345" s="11">
        <f>Daily_Data!J3345</f>
        <v>18.12</v>
      </c>
      <c r="C3345" s="11">
        <f>Daily_Data!I3345</f>
        <v>2.33</v>
      </c>
      <c r="D3345" s="12">
        <f>if(sum(Daily_Data!K3345:L3345)&gt;0,1,0)</f>
        <v>0</v>
      </c>
    </row>
    <row r="3346">
      <c r="A3346" s="10">
        <f>Daily_Data!A3346</f>
        <v>41208</v>
      </c>
      <c r="B3346" s="11">
        <f>Daily_Data!J3346</f>
        <v>17.81</v>
      </c>
      <c r="C3346" s="11">
        <f>Daily_Data!I3346</f>
        <v>2.36</v>
      </c>
      <c r="D3346" s="12">
        <f>if(sum(Daily_Data!K3346:L3346)&gt;0,1,0)</f>
        <v>0</v>
      </c>
    </row>
    <row r="3347">
      <c r="A3347" s="10">
        <f>Daily_Data!A3347</f>
        <v>41211</v>
      </c>
      <c r="B3347" s="11" t="str">
        <f>Daily_Data!J3347</f>
        <v/>
      </c>
      <c r="C3347" s="11">
        <f>Daily_Data!I3347</f>
        <v>2.34</v>
      </c>
      <c r="D3347" s="12">
        <f>if(sum(Daily_Data!K3347:L3347)&gt;0,1,0)</f>
        <v>0</v>
      </c>
    </row>
    <row r="3348">
      <c r="A3348" s="10">
        <f>Daily_Data!A3348</f>
        <v>41212</v>
      </c>
      <c r="B3348" s="11" t="str">
        <f>Daily_Data!J3348</f>
        <v/>
      </c>
      <c r="C3348" s="11" t="str">
        <f>Daily_Data!I3348</f>
        <v/>
      </c>
      <c r="D3348" s="12">
        <f>if(sum(Daily_Data!K3348:L3348)&gt;0,1,0)</f>
        <v>0</v>
      </c>
    </row>
    <row r="3349">
      <c r="A3349" s="10">
        <f>Daily_Data!A3349</f>
        <v>41213</v>
      </c>
      <c r="B3349" s="11">
        <f>Daily_Data!J3349</f>
        <v>18.6</v>
      </c>
      <c r="C3349" s="11">
        <f>Daily_Data!I3349</f>
        <v>2.34</v>
      </c>
      <c r="D3349" s="12">
        <f>if(sum(Daily_Data!K3349:L3349)&gt;0,1,0)</f>
        <v>0</v>
      </c>
    </row>
    <row r="3350">
      <c r="A3350" s="10">
        <f>Daily_Data!A3350</f>
        <v>41214</v>
      </c>
      <c r="B3350" s="11">
        <f>Daily_Data!J3350</f>
        <v>16.69</v>
      </c>
      <c r="C3350" s="11">
        <f>Daily_Data!I3350</f>
        <v>2.36</v>
      </c>
      <c r="D3350" s="12">
        <f>if(sum(Daily_Data!K3350:L3350)&gt;0,1,0)</f>
        <v>0</v>
      </c>
    </row>
    <row r="3351">
      <c r="A3351" s="10">
        <f>Daily_Data!A3351</f>
        <v>41215</v>
      </c>
      <c r="B3351" s="11">
        <f>Daily_Data!J3351</f>
        <v>17.59</v>
      </c>
      <c r="C3351" s="11">
        <f>Daily_Data!I3351</f>
        <v>2.41</v>
      </c>
      <c r="D3351" s="12">
        <f>if(sum(Daily_Data!K3351:L3351)&gt;0,1,0)</f>
        <v>1</v>
      </c>
    </row>
    <row r="3352">
      <c r="A3352" s="10">
        <f>Daily_Data!A3352</f>
        <v>41218</v>
      </c>
      <c r="B3352" s="11">
        <f>Daily_Data!J3352</f>
        <v>18.42</v>
      </c>
      <c r="C3352" s="11">
        <f>Daily_Data!I3352</f>
        <v>2.41</v>
      </c>
      <c r="D3352" s="12">
        <f>if(sum(Daily_Data!K3352:L3352)&gt;0,1,0)</f>
        <v>0</v>
      </c>
    </row>
    <row r="3353">
      <c r="A3353" s="10">
        <f>Daily_Data!A3353</f>
        <v>41219</v>
      </c>
      <c r="B3353" s="11">
        <f>Daily_Data!J3353</f>
        <v>17.58</v>
      </c>
      <c r="C3353" s="11">
        <f>Daily_Data!I3353</f>
        <v>2.38</v>
      </c>
      <c r="D3353" s="12">
        <f>if(sum(Daily_Data!K3353:L3353)&gt;0,1,0)</f>
        <v>0</v>
      </c>
    </row>
    <row r="3354">
      <c r="A3354" s="10">
        <f>Daily_Data!A3354</f>
        <v>41220</v>
      </c>
      <c r="B3354" s="11">
        <f>Daily_Data!J3354</f>
        <v>19.08</v>
      </c>
      <c r="C3354" s="11">
        <f>Daily_Data!I3354</f>
        <v>2.43</v>
      </c>
      <c r="D3354" s="12">
        <f>if(sum(Daily_Data!K3354:L3354)&gt;0,1,0)</f>
        <v>0</v>
      </c>
    </row>
    <row r="3355">
      <c r="A3355" s="10">
        <f>Daily_Data!A3355</f>
        <v>41221</v>
      </c>
      <c r="B3355" s="11">
        <f>Daily_Data!J3355</f>
        <v>18.49</v>
      </c>
      <c r="C3355" s="11">
        <f>Daily_Data!I3355</f>
        <v>2.37</v>
      </c>
      <c r="D3355" s="12">
        <f>if(sum(Daily_Data!K3355:L3355)&gt;0,1,0)</f>
        <v>0</v>
      </c>
    </row>
    <row r="3356">
      <c r="A3356" s="10">
        <f>Daily_Data!A3356</f>
        <v>41222</v>
      </c>
      <c r="B3356" s="11">
        <f>Daily_Data!J3356</f>
        <v>18.61</v>
      </c>
      <c r="C3356" s="11">
        <f>Daily_Data!I3356</f>
        <v>2.35</v>
      </c>
      <c r="D3356" s="12">
        <f>if(sum(Daily_Data!K3356:L3356)&gt;0,1,0)</f>
        <v>0</v>
      </c>
    </row>
    <row r="3357">
      <c r="A3357" s="10">
        <f>Daily_Data!A3357</f>
        <v>41225</v>
      </c>
      <c r="B3357" s="11">
        <f>Daily_Data!J3357</f>
        <v>16.68</v>
      </c>
      <c r="C3357" s="11" t="str">
        <f>Daily_Data!I3357</f>
        <v/>
      </c>
      <c r="D3357" s="12">
        <f>if(sum(Daily_Data!K3357:L3357)&gt;0,1,0)</f>
        <v>0</v>
      </c>
    </row>
    <row r="3358">
      <c r="A3358" s="10">
        <f>Daily_Data!A3358</f>
        <v>41226</v>
      </c>
      <c r="B3358" s="11">
        <f>Daily_Data!J3358</f>
        <v>16.65</v>
      </c>
      <c r="C3358" s="11">
        <f>Daily_Data!I3358</f>
        <v>2.34</v>
      </c>
      <c r="D3358" s="12">
        <f>if(sum(Daily_Data!K3358:L3358)&gt;0,1,0)</f>
        <v>0</v>
      </c>
    </row>
    <row r="3359">
      <c r="A3359" s="10">
        <f>Daily_Data!A3359</f>
        <v>41227</v>
      </c>
      <c r="B3359" s="11">
        <f>Daily_Data!J3359</f>
        <v>17.92</v>
      </c>
      <c r="C3359" s="11">
        <f>Daily_Data!I3359</f>
        <v>2.33</v>
      </c>
      <c r="D3359" s="12">
        <f>if(sum(Daily_Data!K3359:L3359)&gt;0,1,0)</f>
        <v>0</v>
      </c>
    </row>
    <row r="3360">
      <c r="A3360" s="10">
        <f>Daily_Data!A3360</f>
        <v>41228</v>
      </c>
      <c r="B3360" s="11">
        <f>Daily_Data!J3360</f>
        <v>17.99</v>
      </c>
      <c r="C3360" s="11">
        <f>Daily_Data!I3360</f>
        <v>2.33</v>
      </c>
      <c r="D3360" s="12">
        <f>if(sum(Daily_Data!K3360:L3360)&gt;0,1,0)</f>
        <v>1</v>
      </c>
    </row>
    <row r="3361">
      <c r="A3361" s="10">
        <f>Daily_Data!A3361</f>
        <v>41229</v>
      </c>
      <c r="B3361" s="11">
        <f>Daily_Data!J3361</f>
        <v>16.41</v>
      </c>
      <c r="C3361" s="11">
        <f>Daily_Data!I3361</f>
        <v>2.32</v>
      </c>
      <c r="D3361" s="12">
        <f>if(sum(Daily_Data!K3361:L3361)&gt;0,1,0)</f>
        <v>0</v>
      </c>
    </row>
    <row r="3362">
      <c r="A3362" s="10">
        <f>Daily_Data!A3362</f>
        <v>41232</v>
      </c>
      <c r="B3362" s="11">
        <f>Daily_Data!J3362</f>
        <v>15.24</v>
      </c>
      <c r="C3362" s="11">
        <f>Daily_Data!I3362</f>
        <v>2.35</v>
      </c>
      <c r="D3362" s="12">
        <f>if(sum(Daily_Data!K3362:L3362)&gt;0,1,0)</f>
        <v>0</v>
      </c>
    </row>
    <row r="3363">
      <c r="A3363" s="10">
        <f>Daily_Data!A3363</f>
        <v>41233</v>
      </c>
      <c r="B3363" s="11">
        <f>Daily_Data!J3363</f>
        <v>15.08</v>
      </c>
      <c r="C3363" s="11">
        <f>Daily_Data!I3363</f>
        <v>2.35</v>
      </c>
      <c r="D3363" s="12">
        <f>if(sum(Daily_Data!K3363:L3363)&gt;0,1,0)</f>
        <v>0</v>
      </c>
    </row>
    <row r="3364">
      <c r="A3364" s="10">
        <f>Daily_Data!A3364</f>
        <v>41234</v>
      </c>
      <c r="B3364" s="11">
        <f>Daily_Data!J3364</f>
        <v>15.31</v>
      </c>
      <c r="C3364" s="11">
        <f>Daily_Data!I3364</f>
        <v>2.36</v>
      </c>
      <c r="D3364" s="12">
        <f>if(sum(Daily_Data!K3364:L3364)&gt;0,1,0)</f>
        <v>0</v>
      </c>
    </row>
    <row r="3365">
      <c r="A3365" s="10">
        <f>Daily_Data!A3365</f>
        <v>41235</v>
      </c>
      <c r="B3365" s="11" t="str">
        <f>Daily_Data!J3365</f>
        <v/>
      </c>
      <c r="C3365" s="11" t="str">
        <f>Daily_Data!I3365</f>
        <v/>
      </c>
      <c r="D3365" s="12">
        <f>if(sum(Daily_Data!K3365:L3365)&gt;0,1,0)</f>
        <v>0</v>
      </c>
    </row>
    <row r="3366">
      <c r="A3366" s="10">
        <f>Daily_Data!A3366</f>
        <v>41236</v>
      </c>
      <c r="B3366" s="11">
        <f>Daily_Data!J3366</f>
        <v>15.14</v>
      </c>
      <c r="C3366" s="11">
        <f>Daily_Data!I3366</f>
        <v>2.37</v>
      </c>
      <c r="D3366" s="12">
        <f>if(sum(Daily_Data!K3366:L3366)&gt;0,1,0)</f>
        <v>0</v>
      </c>
    </row>
    <row r="3367">
      <c r="A3367" s="10">
        <f>Daily_Data!A3367</f>
        <v>41239</v>
      </c>
      <c r="B3367" s="11">
        <f>Daily_Data!J3367</f>
        <v>15.5</v>
      </c>
      <c r="C3367" s="11">
        <f>Daily_Data!I3367</f>
        <v>2.37</v>
      </c>
      <c r="D3367" s="12">
        <f>if(sum(Daily_Data!K3367:L3367)&gt;0,1,0)</f>
        <v>0</v>
      </c>
    </row>
    <row r="3368">
      <c r="A3368" s="10">
        <f>Daily_Data!A3368</f>
        <v>41240</v>
      </c>
      <c r="B3368" s="11">
        <f>Daily_Data!J3368</f>
        <v>15.92</v>
      </c>
      <c r="C3368" s="11">
        <f>Daily_Data!I3368</f>
        <v>2.37</v>
      </c>
      <c r="D3368" s="12">
        <f>if(sum(Daily_Data!K3368:L3368)&gt;0,1,0)</f>
        <v>0</v>
      </c>
    </row>
    <row r="3369">
      <c r="A3369" s="10">
        <f>Daily_Data!A3369</f>
        <v>41241</v>
      </c>
      <c r="B3369" s="11">
        <f>Daily_Data!J3369</f>
        <v>15.51</v>
      </c>
      <c r="C3369" s="11">
        <f>Daily_Data!I3369</f>
        <v>2.34</v>
      </c>
      <c r="D3369" s="12">
        <f>if(sum(Daily_Data!K3369:L3369)&gt;0,1,0)</f>
        <v>0</v>
      </c>
    </row>
    <row r="3370">
      <c r="A3370" s="10">
        <f>Daily_Data!A3370</f>
        <v>41242</v>
      </c>
      <c r="B3370" s="11">
        <f>Daily_Data!J3370</f>
        <v>15.06</v>
      </c>
      <c r="C3370" s="11">
        <f>Daily_Data!I3370</f>
        <v>2.34</v>
      </c>
      <c r="D3370" s="12">
        <f>if(sum(Daily_Data!K3370:L3370)&gt;0,1,0)</f>
        <v>0</v>
      </c>
    </row>
    <row r="3371">
      <c r="A3371" s="10">
        <f>Daily_Data!A3371</f>
        <v>41243</v>
      </c>
      <c r="B3371" s="11">
        <f>Daily_Data!J3371</f>
        <v>15.87</v>
      </c>
      <c r="C3371" s="11">
        <f>Daily_Data!I3371</f>
        <v>2.34</v>
      </c>
      <c r="D3371" s="12">
        <f>if(sum(Daily_Data!K3371:L3371)&gt;0,1,0)</f>
        <v>0</v>
      </c>
    </row>
    <row r="3372">
      <c r="A3372" s="10">
        <f>Daily_Data!A3372</f>
        <v>41246</v>
      </c>
      <c r="B3372" s="11">
        <f>Daily_Data!J3372</f>
        <v>16.64</v>
      </c>
      <c r="C3372" s="11">
        <f>Daily_Data!I3372</f>
        <v>2.32</v>
      </c>
      <c r="D3372" s="12">
        <f>if(sum(Daily_Data!K3372:L3372)&gt;0,1,0)</f>
        <v>0</v>
      </c>
    </row>
    <row r="3373">
      <c r="A3373" s="10">
        <f>Daily_Data!A3373</f>
        <v>41247</v>
      </c>
      <c r="B3373" s="11">
        <f>Daily_Data!J3373</f>
        <v>17.12</v>
      </c>
      <c r="C3373" s="11">
        <f>Daily_Data!I3373</f>
        <v>2.34</v>
      </c>
      <c r="D3373" s="12">
        <f>if(sum(Daily_Data!K3373:L3373)&gt;0,1,0)</f>
        <v>0</v>
      </c>
    </row>
    <row r="3374">
      <c r="A3374" s="10">
        <f>Daily_Data!A3374</f>
        <v>41248</v>
      </c>
      <c r="B3374" s="11">
        <f>Daily_Data!J3374</f>
        <v>16.46</v>
      </c>
      <c r="C3374" s="11">
        <f>Daily_Data!I3374</f>
        <v>2.35</v>
      </c>
      <c r="D3374" s="12">
        <f>if(sum(Daily_Data!K3374:L3374)&gt;0,1,0)</f>
        <v>0</v>
      </c>
    </row>
    <row r="3375">
      <c r="A3375" s="10">
        <f>Daily_Data!A3375</f>
        <v>41249</v>
      </c>
      <c r="B3375" s="11">
        <f>Daily_Data!J3375</f>
        <v>16.58</v>
      </c>
      <c r="C3375" s="11">
        <f>Daily_Data!I3375</f>
        <v>2.44</v>
      </c>
      <c r="D3375" s="12">
        <f>if(sum(Daily_Data!K3375:L3375)&gt;0,1,0)</f>
        <v>0</v>
      </c>
    </row>
    <row r="3376">
      <c r="A3376" s="10">
        <f>Daily_Data!A3376</f>
        <v>41250</v>
      </c>
      <c r="B3376" s="11">
        <f>Daily_Data!J3376</f>
        <v>15.9</v>
      </c>
      <c r="C3376" s="11">
        <f>Daily_Data!I3376</f>
        <v>2.45</v>
      </c>
      <c r="D3376" s="12">
        <f>if(sum(Daily_Data!K3376:L3376)&gt;0,1,0)</f>
        <v>1</v>
      </c>
    </row>
    <row r="3377">
      <c r="A3377" s="10">
        <f>Daily_Data!A3377</f>
        <v>41253</v>
      </c>
      <c r="B3377" s="11">
        <f>Daily_Data!J3377</f>
        <v>16.05</v>
      </c>
      <c r="C3377" s="11">
        <f>Daily_Data!I3377</f>
        <v>2.48</v>
      </c>
      <c r="D3377" s="12">
        <f>if(sum(Daily_Data!K3377:L3377)&gt;0,1,0)</f>
        <v>0</v>
      </c>
    </row>
    <row r="3378">
      <c r="A3378" s="10">
        <f>Daily_Data!A3378</f>
        <v>41254</v>
      </c>
      <c r="B3378" s="11">
        <f>Daily_Data!J3378</f>
        <v>15.57</v>
      </c>
      <c r="C3378" s="11">
        <f>Daily_Data!I3378</f>
        <v>2.47</v>
      </c>
      <c r="D3378" s="12">
        <f>if(sum(Daily_Data!K3378:L3378)&gt;0,1,0)</f>
        <v>0</v>
      </c>
    </row>
    <row r="3379">
      <c r="A3379" s="10">
        <f>Daily_Data!A3379</f>
        <v>41255</v>
      </c>
      <c r="B3379" s="11">
        <f>Daily_Data!J3379</f>
        <v>15.95</v>
      </c>
      <c r="C3379" s="11">
        <f>Daily_Data!I3379</f>
        <v>2.5</v>
      </c>
      <c r="D3379" s="12">
        <f>if(sum(Daily_Data!K3379:L3379)&gt;0,1,0)</f>
        <v>0</v>
      </c>
    </row>
    <row r="3380">
      <c r="A3380" s="10">
        <f>Daily_Data!A3380</f>
        <v>41256</v>
      </c>
      <c r="B3380" s="11">
        <f>Daily_Data!J3380</f>
        <v>16.56</v>
      </c>
      <c r="C3380" s="11">
        <f>Daily_Data!I3380</f>
        <v>2.5</v>
      </c>
      <c r="D3380" s="12">
        <f>if(sum(Daily_Data!K3380:L3380)&gt;0,1,0)</f>
        <v>0</v>
      </c>
    </row>
    <row r="3381">
      <c r="A3381" s="10">
        <f>Daily_Data!A3381</f>
        <v>41257</v>
      </c>
      <c r="B3381" s="11">
        <f>Daily_Data!J3381</f>
        <v>17</v>
      </c>
      <c r="C3381" s="11">
        <f>Daily_Data!I3381</f>
        <v>2.54</v>
      </c>
      <c r="D3381" s="12">
        <f>if(sum(Daily_Data!K3381:L3381)&gt;0,1,0)</f>
        <v>1</v>
      </c>
    </row>
    <row r="3382">
      <c r="A3382" s="10">
        <f>Daily_Data!A3382</f>
        <v>41260</v>
      </c>
      <c r="B3382" s="11">
        <f>Daily_Data!J3382</f>
        <v>16.34</v>
      </c>
      <c r="C3382" s="11">
        <f>Daily_Data!I3382</f>
        <v>2.49</v>
      </c>
      <c r="D3382" s="12">
        <f>if(sum(Daily_Data!K3382:L3382)&gt;0,1,0)</f>
        <v>0</v>
      </c>
    </row>
    <row r="3383">
      <c r="A3383" s="10">
        <f>Daily_Data!A3383</f>
        <v>41261</v>
      </c>
      <c r="B3383" s="11">
        <f>Daily_Data!J3383</f>
        <v>15.57</v>
      </c>
      <c r="C3383" s="11">
        <f>Daily_Data!I3383</f>
        <v>2.46</v>
      </c>
      <c r="D3383" s="12">
        <f>if(sum(Daily_Data!K3383:L3383)&gt;0,1,0)</f>
        <v>0</v>
      </c>
    </row>
    <row r="3384">
      <c r="A3384" s="10">
        <f>Daily_Data!A3384</f>
        <v>41262</v>
      </c>
      <c r="B3384" s="11">
        <f>Daily_Data!J3384</f>
        <v>17.36</v>
      </c>
      <c r="C3384" s="11">
        <f>Daily_Data!I3384</f>
        <v>2.47</v>
      </c>
      <c r="D3384" s="12">
        <f>if(sum(Daily_Data!K3384:L3384)&gt;0,1,0)</f>
        <v>0</v>
      </c>
    </row>
    <row r="3385">
      <c r="A3385" s="10">
        <f>Daily_Data!A3385</f>
        <v>41263</v>
      </c>
      <c r="B3385" s="11">
        <f>Daily_Data!J3385</f>
        <v>17.67</v>
      </c>
      <c r="C3385" s="11">
        <f>Daily_Data!I3385</f>
        <v>2.44</v>
      </c>
      <c r="D3385" s="12">
        <f>if(sum(Daily_Data!K3385:L3385)&gt;0,1,0)</f>
        <v>0</v>
      </c>
    </row>
    <row r="3386">
      <c r="A3386" s="10">
        <f>Daily_Data!A3386</f>
        <v>41264</v>
      </c>
      <c r="B3386" s="11">
        <f>Daily_Data!J3386</f>
        <v>17.84</v>
      </c>
      <c r="C3386" s="11">
        <f>Daily_Data!I3386</f>
        <v>2.45</v>
      </c>
      <c r="D3386" s="12">
        <f>if(sum(Daily_Data!K3386:L3386)&gt;0,1,0)</f>
        <v>0</v>
      </c>
    </row>
    <row r="3387">
      <c r="A3387" s="10">
        <f>Daily_Data!A3387</f>
        <v>41267</v>
      </c>
      <c r="B3387" s="11">
        <f>Daily_Data!J3387</f>
        <v>17.84</v>
      </c>
      <c r="C3387" s="11">
        <f>Daily_Data!I3387</f>
        <v>2.45</v>
      </c>
      <c r="D3387" s="12">
        <f>if(sum(Daily_Data!K3387:L3387)&gt;0,1,0)</f>
        <v>0</v>
      </c>
    </row>
    <row r="3388">
      <c r="A3388" s="10">
        <f>Daily_Data!A3388</f>
        <v>41268</v>
      </c>
      <c r="B3388" s="11" t="str">
        <f>Daily_Data!J3388</f>
        <v/>
      </c>
      <c r="C3388" s="11" t="str">
        <f>Daily_Data!I3388</f>
        <v/>
      </c>
      <c r="D3388" s="12">
        <f>if(sum(Daily_Data!K3388:L3388)&gt;0,1,0)</f>
        <v>0</v>
      </c>
    </row>
    <row r="3389">
      <c r="A3389" s="10">
        <f>Daily_Data!A3389</f>
        <v>41269</v>
      </c>
      <c r="B3389" s="11">
        <f>Daily_Data!J3389</f>
        <v>19.48</v>
      </c>
      <c r="C3389" s="11" t="str">
        <f>Daily_Data!I3389</f>
        <v/>
      </c>
      <c r="D3389" s="12">
        <f>if(sum(Daily_Data!K3389:L3389)&gt;0,1,0)</f>
        <v>0</v>
      </c>
    </row>
    <row r="3390">
      <c r="A3390" s="10">
        <f>Daily_Data!A3390</f>
        <v>41270</v>
      </c>
      <c r="B3390" s="11">
        <f>Daily_Data!J3390</f>
        <v>19.47</v>
      </c>
      <c r="C3390" s="11">
        <f>Daily_Data!I3390</f>
        <v>2.45</v>
      </c>
      <c r="D3390" s="12">
        <f>if(sum(Daily_Data!K3390:L3390)&gt;0,1,0)</f>
        <v>0</v>
      </c>
    </row>
    <row r="3391">
      <c r="A3391" s="10">
        <f>Daily_Data!A3391</f>
        <v>41271</v>
      </c>
      <c r="B3391" s="11">
        <f>Daily_Data!J3391</f>
        <v>22.72</v>
      </c>
      <c r="C3391" s="11">
        <f>Daily_Data!I3391</f>
        <v>2.43</v>
      </c>
      <c r="D3391" s="12">
        <f>if(sum(Daily_Data!K3391:L3391)&gt;0,1,0)</f>
        <v>0</v>
      </c>
    </row>
    <row r="3392">
      <c r="A3392" s="10">
        <f>Daily_Data!A3392</f>
        <v>41274</v>
      </c>
      <c r="B3392" s="11">
        <f>Daily_Data!J3392</f>
        <v>18.02</v>
      </c>
      <c r="C3392" s="11">
        <f>Daily_Data!I3392</f>
        <v>2.42</v>
      </c>
      <c r="D3392" s="12">
        <f>if(sum(Daily_Data!K3392:L3392)&gt;0,1,0)</f>
        <v>0</v>
      </c>
    </row>
    <row r="3393">
      <c r="A3393" s="10">
        <f>Daily_Data!A3393</f>
        <v>41275</v>
      </c>
      <c r="B3393" s="11" t="str">
        <f>Daily_Data!J3393</f>
        <v/>
      </c>
      <c r="C3393" s="11" t="str">
        <f>Daily_Data!I3393</f>
        <v/>
      </c>
      <c r="D3393" s="12">
        <f>if(sum(Daily_Data!K3393:L3393)&gt;0,1,0)</f>
        <v>0</v>
      </c>
    </row>
    <row r="3394">
      <c r="A3394" s="10">
        <f>Daily_Data!A3394</f>
        <v>41276</v>
      </c>
      <c r="B3394" s="11">
        <f>Daily_Data!J3394</f>
        <v>14.68</v>
      </c>
      <c r="C3394" s="11" t="str">
        <f>Daily_Data!I3394</f>
        <v/>
      </c>
      <c r="D3394" s="12">
        <f>if(sum(Daily_Data!K3394:L3394)&gt;0,1,0)</f>
        <v>0</v>
      </c>
    </row>
    <row r="3395">
      <c r="A3395" s="10">
        <f>Daily_Data!A3395</f>
        <v>41277</v>
      </c>
      <c r="B3395" s="11">
        <f>Daily_Data!J3395</f>
        <v>14.56</v>
      </c>
      <c r="C3395" s="11">
        <f>Daily_Data!I3395</f>
        <v>2.47</v>
      </c>
      <c r="D3395" s="12">
        <f>if(sum(Daily_Data!K3395:L3395)&gt;0,1,0)</f>
        <v>0</v>
      </c>
    </row>
    <row r="3396">
      <c r="A3396" s="10">
        <f>Daily_Data!A3396</f>
        <v>41278</v>
      </c>
      <c r="B3396" s="11">
        <f>Daily_Data!J3396</f>
        <v>13.83</v>
      </c>
      <c r="C3396" s="11">
        <f>Daily_Data!I3396</f>
        <v>2.52</v>
      </c>
      <c r="D3396" s="12">
        <f>if(sum(Daily_Data!K3396:L3396)&gt;0,1,0)</f>
        <v>1</v>
      </c>
    </row>
    <row r="3397">
      <c r="A3397" s="10">
        <f>Daily_Data!A3397</f>
        <v>41281</v>
      </c>
      <c r="B3397" s="11">
        <f>Daily_Data!J3397</f>
        <v>13.79</v>
      </c>
      <c r="C3397" s="11">
        <f>Daily_Data!I3397</f>
        <v>2.51</v>
      </c>
      <c r="D3397" s="12">
        <f>if(sum(Daily_Data!K3397:L3397)&gt;0,1,0)</f>
        <v>0</v>
      </c>
    </row>
    <row r="3398">
      <c r="A3398" s="10">
        <f>Daily_Data!A3398</f>
        <v>41282</v>
      </c>
      <c r="B3398" s="11">
        <f>Daily_Data!J3398</f>
        <v>13.62</v>
      </c>
      <c r="C3398" s="11">
        <f>Daily_Data!I3398</f>
        <v>2.52</v>
      </c>
      <c r="D3398" s="12">
        <f>if(sum(Daily_Data!K3398:L3398)&gt;0,1,0)</f>
        <v>0</v>
      </c>
    </row>
    <row r="3399">
      <c r="A3399" s="10">
        <f>Daily_Data!A3399</f>
        <v>41283</v>
      </c>
      <c r="B3399" s="11">
        <f>Daily_Data!J3399</f>
        <v>13.81</v>
      </c>
      <c r="C3399" s="11">
        <f>Daily_Data!I3399</f>
        <v>2.51</v>
      </c>
      <c r="D3399" s="12">
        <f>if(sum(Daily_Data!K3399:L3399)&gt;0,1,0)</f>
        <v>0</v>
      </c>
    </row>
    <row r="3400">
      <c r="A3400" s="10">
        <f>Daily_Data!A3400</f>
        <v>41284</v>
      </c>
      <c r="B3400" s="11">
        <f>Daily_Data!J3400</f>
        <v>13.49</v>
      </c>
      <c r="C3400" s="11">
        <f>Daily_Data!I3400</f>
        <v>2.51</v>
      </c>
      <c r="D3400" s="12">
        <f>if(sum(Daily_Data!K3400:L3400)&gt;0,1,0)</f>
        <v>0</v>
      </c>
    </row>
    <row r="3401">
      <c r="A3401" s="10">
        <f>Daily_Data!A3401</f>
        <v>41285</v>
      </c>
      <c r="B3401" s="11">
        <f>Daily_Data!J3401</f>
        <v>13.36</v>
      </c>
      <c r="C3401" s="11">
        <f>Daily_Data!I3401</f>
        <v>2.54</v>
      </c>
      <c r="D3401" s="12">
        <f>if(sum(Daily_Data!K3401:L3401)&gt;0,1,0)</f>
        <v>0</v>
      </c>
    </row>
    <row r="3402">
      <c r="A3402" s="10">
        <f>Daily_Data!A3402</f>
        <v>41288</v>
      </c>
      <c r="B3402" s="11">
        <f>Daily_Data!J3402</f>
        <v>13.52</v>
      </c>
      <c r="C3402" s="11">
        <f>Daily_Data!I3402</f>
        <v>2.54</v>
      </c>
      <c r="D3402" s="12">
        <f>if(sum(Daily_Data!K3402:L3402)&gt;0,1,0)</f>
        <v>0</v>
      </c>
    </row>
    <row r="3403">
      <c r="A3403" s="10">
        <f>Daily_Data!A3403</f>
        <v>41289</v>
      </c>
      <c r="B3403" s="11">
        <f>Daily_Data!J3403</f>
        <v>13.55</v>
      </c>
      <c r="C3403" s="11">
        <f>Daily_Data!I3403</f>
        <v>2.56</v>
      </c>
      <c r="D3403" s="12">
        <f>if(sum(Daily_Data!K3403:L3403)&gt;0,1,0)</f>
        <v>0</v>
      </c>
    </row>
    <row r="3404">
      <c r="A3404" s="10">
        <f>Daily_Data!A3404</f>
        <v>41290</v>
      </c>
      <c r="B3404" s="11">
        <f>Daily_Data!J3404</f>
        <v>13.42</v>
      </c>
      <c r="C3404" s="11">
        <f>Daily_Data!I3404</f>
        <v>2.55</v>
      </c>
      <c r="D3404" s="12">
        <f>if(sum(Daily_Data!K3404:L3404)&gt;0,1,0)</f>
        <v>1</v>
      </c>
    </row>
    <row r="3405">
      <c r="A3405" s="10">
        <f>Daily_Data!A3405</f>
        <v>41291</v>
      </c>
      <c r="B3405" s="11">
        <f>Daily_Data!J3405</f>
        <v>13.57</v>
      </c>
      <c r="C3405" s="11">
        <f>Daily_Data!I3405</f>
        <v>2.5</v>
      </c>
      <c r="D3405" s="12">
        <f>if(sum(Daily_Data!K3405:L3405)&gt;0,1,0)</f>
        <v>0</v>
      </c>
    </row>
    <row r="3406">
      <c r="A3406" s="10">
        <f>Daily_Data!A3406</f>
        <v>41292</v>
      </c>
      <c r="B3406" s="11">
        <f>Daily_Data!J3406</f>
        <v>12.46</v>
      </c>
      <c r="C3406" s="11">
        <f>Daily_Data!I3406</f>
        <v>2.55</v>
      </c>
      <c r="D3406" s="12">
        <f>if(sum(Daily_Data!K3406:L3406)&gt;0,1,0)</f>
        <v>0</v>
      </c>
    </row>
    <row r="3407">
      <c r="A3407" s="10">
        <f>Daily_Data!A3407</f>
        <v>41295</v>
      </c>
      <c r="B3407" s="11" t="str">
        <f>Daily_Data!J3407</f>
        <v/>
      </c>
      <c r="C3407" s="11" t="str">
        <f>Daily_Data!I3407</f>
        <v/>
      </c>
      <c r="D3407" s="12">
        <f>if(sum(Daily_Data!K3407:L3407)&gt;0,1,0)</f>
        <v>0</v>
      </c>
    </row>
    <row r="3408">
      <c r="A3408" s="10">
        <f>Daily_Data!A3408</f>
        <v>41296</v>
      </c>
      <c r="B3408" s="11">
        <f>Daily_Data!J3408</f>
        <v>12.43</v>
      </c>
      <c r="C3408" s="11">
        <f>Daily_Data!I3408</f>
        <v>2.57</v>
      </c>
      <c r="D3408" s="12">
        <f>if(sum(Daily_Data!K3408:L3408)&gt;0,1,0)</f>
        <v>0</v>
      </c>
    </row>
    <row r="3409">
      <c r="A3409" s="10">
        <f>Daily_Data!A3409</f>
        <v>41297</v>
      </c>
      <c r="B3409" s="11">
        <f>Daily_Data!J3409</f>
        <v>12.46</v>
      </c>
      <c r="C3409" s="11">
        <f>Daily_Data!I3409</f>
        <v>2.55</v>
      </c>
      <c r="D3409" s="12">
        <f>if(sum(Daily_Data!K3409:L3409)&gt;0,1,0)</f>
        <v>0</v>
      </c>
    </row>
    <row r="3410">
      <c r="A3410" s="10">
        <f>Daily_Data!A3410</f>
        <v>41298</v>
      </c>
      <c r="B3410" s="11">
        <f>Daily_Data!J3410</f>
        <v>12.69</v>
      </c>
      <c r="C3410" s="11">
        <f>Daily_Data!I3410</f>
        <v>2.57</v>
      </c>
      <c r="D3410" s="12">
        <f>if(sum(Daily_Data!K3410:L3410)&gt;0,1,0)</f>
        <v>0</v>
      </c>
    </row>
    <row r="3411">
      <c r="A3411" s="10">
        <f>Daily_Data!A3411</f>
        <v>41299</v>
      </c>
      <c r="B3411" s="11">
        <f>Daily_Data!J3411</f>
        <v>12.89</v>
      </c>
      <c r="C3411" s="11">
        <f>Daily_Data!I3411</f>
        <v>2.55</v>
      </c>
      <c r="D3411" s="12">
        <f>if(sum(Daily_Data!K3411:L3411)&gt;0,1,0)</f>
        <v>0</v>
      </c>
    </row>
    <row r="3412">
      <c r="A3412" s="10">
        <f>Daily_Data!A3412</f>
        <v>41302</v>
      </c>
      <c r="B3412" s="11">
        <f>Daily_Data!J3412</f>
        <v>13.57</v>
      </c>
      <c r="C3412" s="11">
        <f>Daily_Data!I3412</f>
        <v>2.54</v>
      </c>
      <c r="D3412" s="12">
        <f>if(sum(Daily_Data!K3412:L3412)&gt;0,1,0)</f>
        <v>0</v>
      </c>
    </row>
    <row r="3413">
      <c r="A3413" s="10">
        <f>Daily_Data!A3413</f>
        <v>41303</v>
      </c>
      <c r="B3413" s="11">
        <f>Daily_Data!J3413</f>
        <v>13.31</v>
      </c>
      <c r="C3413" s="11">
        <f>Daily_Data!I3413</f>
        <v>2.61</v>
      </c>
      <c r="D3413" s="12">
        <f>if(sum(Daily_Data!K3413:L3413)&gt;0,1,0)</f>
        <v>0</v>
      </c>
    </row>
    <row r="3414">
      <c r="A3414" s="10">
        <f>Daily_Data!A3414</f>
        <v>41304</v>
      </c>
      <c r="B3414" s="11">
        <f>Daily_Data!J3414</f>
        <v>14.32</v>
      </c>
      <c r="C3414" s="11">
        <f>Daily_Data!I3414</f>
        <v>2.61</v>
      </c>
      <c r="D3414" s="12">
        <f>if(sum(Daily_Data!K3414:L3414)&gt;0,1,0)</f>
        <v>0</v>
      </c>
    </row>
    <row r="3415">
      <c r="A3415" s="10">
        <f>Daily_Data!A3415</f>
        <v>41305</v>
      </c>
      <c r="B3415" s="11">
        <f>Daily_Data!J3415</f>
        <v>14.28</v>
      </c>
      <c r="C3415" s="11">
        <f>Daily_Data!I3415</f>
        <v>2.62</v>
      </c>
      <c r="D3415" s="12">
        <f>if(sum(Daily_Data!K3415:L3415)&gt;0,1,0)</f>
        <v>0</v>
      </c>
    </row>
    <row r="3416">
      <c r="A3416" s="10">
        <f>Daily_Data!A3416</f>
        <v>41306</v>
      </c>
      <c r="B3416" s="11">
        <f>Daily_Data!J3416</f>
        <v>12.9</v>
      </c>
      <c r="C3416" s="11">
        <f>Daily_Data!I3416</f>
        <v>2.65</v>
      </c>
      <c r="D3416" s="12">
        <f>if(sum(Daily_Data!K3416:L3416)&gt;0,1,0)</f>
        <v>1</v>
      </c>
    </row>
    <row r="3417">
      <c r="A3417" s="10">
        <f>Daily_Data!A3417</f>
        <v>41309</v>
      </c>
      <c r="B3417" s="11">
        <f>Daily_Data!J3417</f>
        <v>14.67</v>
      </c>
      <c r="C3417" s="11">
        <f>Daily_Data!I3417</f>
        <v>2.71</v>
      </c>
      <c r="D3417" s="12">
        <f>if(sum(Daily_Data!K3417:L3417)&gt;0,1,0)</f>
        <v>0</v>
      </c>
    </row>
    <row r="3418">
      <c r="A3418" s="10">
        <f>Daily_Data!A3418</f>
        <v>41310</v>
      </c>
      <c r="B3418" s="11">
        <f>Daily_Data!J3418</f>
        <v>13.72</v>
      </c>
      <c r="C3418" s="11">
        <f>Daily_Data!I3418</f>
        <v>2.66</v>
      </c>
      <c r="D3418" s="12">
        <f>if(sum(Daily_Data!K3418:L3418)&gt;0,1,0)</f>
        <v>0</v>
      </c>
    </row>
    <row r="3419">
      <c r="A3419" s="10">
        <f>Daily_Data!A3419</f>
        <v>41311</v>
      </c>
      <c r="B3419" s="11">
        <f>Daily_Data!J3419</f>
        <v>13.41</v>
      </c>
      <c r="C3419" s="11" t="str">
        <f>Daily_Data!I3419</f>
        <v/>
      </c>
      <c r="D3419" s="12">
        <f>if(sum(Daily_Data!K3419:L3419)&gt;0,1,0)</f>
        <v>0</v>
      </c>
    </row>
    <row r="3420">
      <c r="A3420" s="10">
        <f>Daily_Data!A3420</f>
        <v>41312</v>
      </c>
      <c r="B3420" s="11">
        <f>Daily_Data!J3420</f>
        <v>13.5</v>
      </c>
      <c r="C3420" s="11">
        <f>Daily_Data!I3420</f>
        <v>2.64</v>
      </c>
      <c r="D3420" s="12">
        <f>if(sum(Daily_Data!K3420:L3420)&gt;0,1,0)</f>
        <v>0</v>
      </c>
    </row>
    <row r="3421">
      <c r="A3421" s="10">
        <f>Daily_Data!A3421</f>
        <v>41313</v>
      </c>
      <c r="B3421" s="11">
        <f>Daily_Data!J3421</f>
        <v>13.02</v>
      </c>
      <c r="C3421" s="11">
        <f>Daily_Data!I3421</f>
        <v>2.65</v>
      </c>
      <c r="D3421" s="12">
        <f>if(sum(Daily_Data!K3421:L3421)&gt;0,1,0)</f>
        <v>0</v>
      </c>
    </row>
    <row r="3422">
      <c r="A3422" s="10">
        <f>Daily_Data!A3422</f>
        <v>41316</v>
      </c>
      <c r="B3422" s="11">
        <f>Daily_Data!J3422</f>
        <v>12.94</v>
      </c>
      <c r="C3422" s="11">
        <f>Daily_Data!I3422</f>
        <v>2.63</v>
      </c>
      <c r="D3422" s="12">
        <f>if(sum(Daily_Data!K3422:L3422)&gt;0,1,0)</f>
        <v>0</v>
      </c>
    </row>
    <row r="3423">
      <c r="A3423" s="10">
        <f>Daily_Data!A3423</f>
        <v>41317</v>
      </c>
      <c r="B3423" s="11">
        <f>Daily_Data!J3423</f>
        <v>12.64</v>
      </c>
      <c r="C3423" s="11">
        <f>Daily_Data!I3423</f>
        <v>2.64</v>
      </c>
      <c r="D3423" s="12">
        <f>if(sum(Daily_Data!K3423:L3423)&gt;0,1,0)</f>
        <v>0</v>
      </c>
    </row>
    <row r="3424">
      <c r="A3424" s="10">
        <f>Daily_Data!A3424</f>
        <v>41318</v>
      </c>
      <c r="B3424" s="11">
        <f>Daily_Data!J3424</f>
        <v>12.98</v>
      </c>
      <c r="C3424" s="11">
        <f>Daily_Data!I3424</f>
        <v>2.67</v>
      </c>
      <c r="D3424" s="12">
        <f>if(sum(Daily_Data!K3424:L3424)&gt;0,1,0)</f>
        <v>0</v>
      </c>
    </row>
    <row r="3425">
      <c r="A3425" s="10">
        <f>Daily_Data!A3425</f>
        <v>41319</v>
      </c>
      <c r="B3425" s="11">
        <f>Daily_Data!J3425</f>
        <v>12.66</v>
      </c>
      <c r="C3425" s="11">
        <f>Daily_Data!I3425</f>
        <v>2.74</v>
      </c>
      <c r="D3425" s="12">
        <f>if(sum(Daily_Data!K3425:L3425)&gt;0,1,0)</f>
        <v>0</v>
      </c>
    </row>
    <row r="3426">
      <c r="A3426" s="10">
        <f>Daily_Data!A3426</f>
        <v>41320</v>
      </c>
      <c r="B3426" s="11">
        <f>Daily_Data!J3426</f>
        <v>12.46</v>
      </c>
      <c r="C3426" s="11">
        <f>Daily_Data!I3426</f>
        <v>2.74</v>
      </c>
      <c r="D3426" s="12">
        <f>if(sum(Daily_Data!K3426:L3426)&gt;0,1,0)</f>
        <v>0</v>
      </c>
    </row>
    <row r="3427">
      <c r="A3427" s="10">
        <f>Daily_Data!A3427</f>
        <v>41323</v>
      </c>
      <c r="B3427" s="11" t="str">
        <f>Daily_Data!J3427</f>
        <v/>
      </c>
      <c r="C3427" s="11" t="str">
        <f>Daily_Data!I3427</f>
        <v/>
      </c>
      <c r="D3427" s="12">
        <f>if(sum(Daily_Data!K3427:L3427)&gt;0,1,0)</f>
        <v>0</v>
      </c>
    </row>
    <row r="3428">
      <c r="A3428" s="10">
        <f>Daily_Data!A3428</f>
        <v>41324</v>
      </c>
      <c r="B3428" s="11">
        <f>Daily_Data!J3428</f>
        <v>12.31</v>
      </c>
      <c r="C3428" s="11">
        <f>Daily_Data!I3428</f>
        <v>2.76</v>
      </c>
      <c r="D3428" s="12">
        <f>if(sum(Daily_Data!K3428:L3428)&gt;0,1,0)</f>
        <v>0</v>
      </c>
    </row>
    <row r="3429">
      <c r="A3429" s="10">
        <f>Daily_Data!A3429</f>
        <v>41325</v>
      </c>
      <c r="B3429" s="11">
        <f>Daily_Data!J3429</f>
        <v>14.68</v>
      </c>
      <c r="C3429" s="11">
        <f>Daily_Data!I3429</f>
        <v>2.74</v>
      </c>
      <c r="D3429" s="12">
        <f>if(sum(Daily_Data!K3429:L3429)&gt;0,1,0)</f>
        <v>0</v>
      </c>
    </row>
    <row r="3430">
      <c r="A3430" s="10">
        <f>Daily_Data!A3430</f>
        <v>41326</v>
      </c>
      <c r="B3430" s="11">
        <f>Daily_Data!J3430</f>
        <v>15.22</v>
      </c>
      <c r="C3430" s="11">
        <f>Daily_Data!I3430</f>
        <v>2.72</v>
      </c>
      <c r="D3430" s="12">
        <f>if(sum(Daily_Data!K3430:L3430)&gt;0,1,0)</f>
        <v>1</v>
      </c>
    </row>
    <row r="3431">
      <c r="A3431" s="10">
        <f>Daily_Data!A3431</f>
        <v>41327</v>
      </c>
      <c r="B3431" s="11">
        <f>Daily_Data!J3431</f>
        <v>14.17</v>
      </c>
      <c r="C3431" s="11">
        <f>Daily_Data!I3431</f>
        <v>2.72</v>
      </c>
      <c r="D3431" s="12">
        <f>if(sum(Daily_Data!K3431:L3431)&gt;0,1,0)</f>
        <v>0</v>
      </c>
    </row>
    <row r="3432">
      <c r="A3432" s="10">
        <f>Daily_Data!A3432</f>
        <v>41330</v>
      </c>
      <c r="B3432" s="11">
        <f>Daily_Data!J3432</f>
        <v>18.99</v>
      </c>
      <c r="C3432" s="11">
        <f>Daily_Data!I3432</f>
        <v>2.72</v>
      </c>
      <c r="D3432" s="12">
        <f>if(sum(Daily_Data!K3432:L3432)&gt;0,1,0)</f>
        <v>0</v>
      </c>
    </row>
    <row r="3433">
      <c r="A3433" s="10">
        <f>Daily_Data!A3433</f>
        <v>41331</v>
      </c>
      <c r="B3433" s="11">
        <f>Daily_Data!J3433</f>
        <v>16.87</v>
      </c>
      <c r="C3433" s="11">
        <f>Daily_Data!I3433</f>
        <v>2.68</v>
      </c>
      <c r="D3433" s="12">
        <f>if(sum(Daily_Data!K3433:L3433)&gt;0,1,0)</f>
        <v>0</v>
      </c>
    </row>
    <row r="3434">
      <c r="A3434" s="10">
        <f>Daily_Data!A3434</f>
        <v>41332</v>
      </c>
      <c r="B3434" s="11">
        <f>Daily_Data!J3434</f>
        <v>14.73</v>
      </c>
      <c r="C3434" s="11">
        <f>Daily_Data!I3434</f>
        <v>2.65</v>
      </c>
      <c r="D3434" s="12">
        <f>if(sum(Daily_Data!K3434:L3434)&gt;0,1,0)</f>
        <v>0</v>
      </c>
    </row>
    <row r="3435">
      <c r="A3435" s="10">
        <f>Daily_Data!A3435</f>
        <v>41333</v>
      </c>
      <c r="B3435" s="11">
        <f>Daily_Data!J3435</f>
        <v>15.51</v>
      </c>
      <c r="C3435" s="11">
        <f>Daily_Data!I3435</f>
        <v>2.72</v>
      </c>
      <c r="D3435" s="12">
        <f>if(sum(Daily_Data!K3435:L3435)&gt;0,1,0)</f>
        <v>0</v>
      </c>
    </row>
    <row r="3436">
      <c r="A3436" s="10">
        <f>Daily_Data!A3436</f>
        <v>41334</v>
      </c>
      <c r="B3436" s="11">
        <f>Daily_Data!J3436</f>
        <v>15.36</v>
      </c>
      <c r="C3436" s="11">
        <f>Daily_Data!I3436</f>
        <v>2.71</v>
      </c>
      <c r="D3436" s="12">
        <f>if(sum(Daily_Data!K3436:L3436)&gt;0,1,0)</f>
        <v>0</v>
      </c>
    </row>
    <row r="3437">
      <c r="A3437" s="10">
        <f>Daily_Data!A3437</f>
        <v>41337</v>
      </c>
      <c r="B3437" s="11">
        <f>Daily_Data!J3437</f>
        <v>14.01</v>
      </c>
      <c r="C3437" s="11">
        <f>Daily_Data!I3437</f>
        <v>2.7</v>
      </c>
      <c r="D3437" s="12">
        <f>if(sum(Daily_Data!K3437:L3437)&gt;0,1,0)</f>
        <v>0</v>
      </c>
    </row>
    <row r="3438">
      <c r="A3438" s="10">
        <f>Daily_Data!A3438</f>
        <v>41338</v>
      </c>
      <c r="B3438" s="11">
        <f>Daily_Data!J3438</f>
        <v>13.48</v>
      </c>
      <c r="C3438" s="11">
        <f>Daily_Data!I3438</f>
        <v>2.72</v>
      </c>
      <c r="D3438" s="12">
        <f>if(sum(Daily_Data!K3438:L3438)&gt;0,1,0)</f>
        <v>0</v>
      </c>
    </row>
    <row r="3439">
      <c r="A3439" s="10">
        <f>Daily_Data!A3439</f>
        <v>41339</v>
      </c>
      <c r="B3439" s="11">
        <f>Daily_Data!J3439</f>
        <v>13.53</v>
      </c>
      <c r="C3439" s="11">
        <f>Daily_Data!I3439</f>
        <v>2.74</v>
      </c>
      <c r="D3439" s="12">
        <f>if(sum(Daily_Data!K3439:L3439)&gt;0,1,0)</f>
        <v>0</v>
      </c>
    </row>
    <row r="3440">
      <c r="A3440" s="10">
        <f>Daily_Data!A3440</f>
        <v>41340</v>
      </c>
      <c r="B3440" s="11">
        <f>Daily_Data!J3440</f>
        <v>13.06</v>
      </c>
      <c r="C3440" s="11">
        <f>Daily_Data!I3440</f>
        <v>2.73</v>
      </c>
      <c r="D3440" s="12">
        <f>if(sum(Daily_Data!K3440:L3440)&gt;0,1,0)</f>
        <v>0</v>
      </c>
    </row>
    <row r="3441">
      <c r="A3441" s="10">
        <f>Daily_Data!A3441</f>
        <v>41341</v>
      </c>
      <c r="B3441" s="11">
        <f>Daily_Data!J3441</f>
        <v>12.59</v>
      </c>
      <c r="C3441" s="11">
        <f>Daily_Data!I3441</f>
        <v>2.73</v>
      </c>
      <c r="D3441" s="12">
        <f>if(sum(Daily_Data!K3441:L3441)&gt;0,1,0)</f>
        <v>1</v>
      </c>
    </row>
    <row r="3442">
      <c r="A3442" s="10">
        <f>Daily_Data!A3442</f>
        <v>41344</v>
      </c>
      <c r="B3442" s="11">
        <f>Daily_Data!J3442</f>
        <v>11.56</v>
      </c>
      <c r="C3442" s="11">
        <f>Daily_Data!I3442</f>
        <v>2.73</v>
      </c>
      <c r="D3442" s="12">
        <f>if(sum(Daily_Data!K3442:L3442)&gt;0,1,0)</f>
        <v>0</v>
      </c>
    </row>
    <row r="3443">
      <c r="A3443" s="10">
        <f>Daily_Data!A3443</f>
        <v>41345</v>
      </c>
      <c r="B3443" s="11">
        <f>Daily_Data!J3443</f>
        <v>12.27</v>
      </c>
      <c r="C3443" s="11">
        <f>Daily_Data!I3443</f>
        <v>2.71</v>
      </c>
      <c r="D3443" s="12">
        <f>if(sum(Daily_Data!K3443:L3443)&gt;0,1,0)</f>
        <v>0</v>
      </c>
    </row>
    <row r="3444">
      <c r="A3444" s="10">
        <f>Daily_Data!A3444</f>
        <v>41346</v>
      </c>
      <c r="B3444" s="11">
        <f>Daily_Data!J3444</f>
        <v>11.83</v>
      </c>
      <c r="C3444" s="11">
        <f>Daily_Data!I3444</f>
        <v>2.71</v>
      </c>
      <c r="D3444" s="12">
        <f>if(sum(Daily_Data!K3444:L3444)&gt;0,1,0)</f>
        <v>0</v>
      </c>
    </row>
    <row r="3445">
      <c r="A3445" s="10">
        <f>Daily_Data!A3445</f>
        <v>41347</v>
      </c>
      <c r="B3445" s="11">
        <f>Daily_Data!J3445</f>
        <v>11.3</v>
      </c>
      <c r="C3445" s="11">
        <f>Daily_Data!I3445</f>
        <v>2.64</v>
      </c>
      <c r="D3445" s="12">
        <f>if(sum(Daily_Data!K3445:L3445)&gt;0,1,0)</f>
        <v>0</v>
      </c>
    </row>
    <row r="3446">
      <c r="A3446" s="10">
        <f>Daily_Data!A3446</f>
        <v>41348</v>
      </c>
      <c r="B3446" s="11">
        <f>Daily_Data!J3446</f>
        <v>11.3</v>
      </c>
      <c r="C3446" s="11">
        <f>Daily_Data!I3446</f>
        <v>2.66</v>
      </c>
      <c r="D3446" s="12">
        <f>if(sum(Daily_Data!K3446:L3446)&gt;0,1,0)</f>
        <v>1</v>
      </c>
    </row>
    <row r="3447">
      <c r="A3447" s="10">
        <f>Daily_Data!A3447</f>
        <v>41351</v>
      </c>
      <c r="B3447" s="11">
        <f>Daily_Data!J3447</f>
        <v>13.36</v>
      </c>
      <c r="C3447" s="11">
        <f>Daily_Data!I3447</f>
        <v>2.58</v>
      </c>
      <c r="D3447" s="12">
        <f>if(sum(Daily_Data!K3447:L3447)&gt;0,1,0)</f>
        <v>0</v>
      </c>
    </row>
    <row r="3448">
      <c r="A3448" s="10">
        <f>Daily_Data!A3448</f>
        <v>41352</v>
      </c>
      <c r="B3448" s="11">
        <f>Daily_Data!J3448</f>
        <v>14.39</v>
      </c>
      <c r="C3448" s="11">
        <f>Daily_Data!I3448</f>
        <v>2.65</v>
      </c>
      <c r="D3448" s="12">
        <f>if(sum(Daily_Data!K3448:L3448)&gt;0,1,0)</f>
        <v>0</v>
      </c>
    </row>
    <row r="3449">
      <c r="A3449" s="10">
        <f>Daily_Data!A3449</f>
        <v>41353</v>
      </c>
      <c r="B3449" s="11">
        <f>Daily_Data!J3449</f>
        <v>12.67</v>
      </c>
      <c r="C3449" s="11">
        <f>Daily_Data!I3449</f>
        <v>2.62</v>
      </c>
      <c r="D3449" s="12">
        <f>if(sum(Daily_Data!K3449:L3449)&gt;0,1,0)</f>
        <v>0</v>
      </c>
    </row>
    <row r="3450">
      <c r="A3450" s="10">
        <f>Daily_Data!A3450</f>
        <v>41354</v>
      </c>
      <c r="B3450" s="11">
        <f>Daily_Data!J3450</f>
        <v>13.99</v>
      </c>
      <c r="C3450" s="11">
        <f>Daily_Data!I3450</f>
        <v>2.67</v>
      </c>
      <c r="D3450" s="12">
        <f>if(sum(Daily_Data!K3450:L3450)&gt;0,1,0)</f>
        <v>0</v>
      </c>
    </row>
    <row r="3451">
      <c r="A3451" s="10">
        <f>Daily_Data!A3451</f>
        <v>41355</v>
      </c>
      <c r="B3451" s="11">
        <f>Daily_Data!J3451</f>
        <v>13.57</v>
      </c>
      <c r="C3451" s="11">
        <f>Daily_Data!I3451</f>
        <v>2.66</v>
      </c>
      <c r="D3451" s="12">
        <f>if(sum(Daily_Data!K3451:L3451)&gt;0,1,0)</f>
        <v>0</v>
      </c>
    </row>
    <row r="3452">
      <c r="A3452" s="10">
        <f>Daily_Data!A3452</f>
        <v>41358</v>
      </c>
      <c r="B3452" s="11">
        <f>Daily_Data!J3452</f>
        <v>13.74</v>
      </c>
      <c r="C3452" s="11">
        <f>Daily_Data!I3452</f>
        <v>2.7</v>
      </c>
      <c r="D3452" s="12">
        <f>if(sum(Daily_Data!K3452:L3452)&gt;0,1,0)</f>
        <v>0</v>
      </c>
    </row>
    <row r="3453">
      <c r="A3453" s="10">
        <f>Daily_Data!A3453</f>
        <v>41359</v>
      </c>
      <c r="B3453" s="11">
        <f>Daily_Data!J3453</f>
        <v>12.77</v>
      </c>
      <c r="C3453" s="11">
        <f>Daily_Data!I3453</f>
        <v>2.67</v>
      </c>
      <c r="D3453" s="12">
        <f>if(sum(Daily_Data!K3453:L3453)&gt;0,1,0)</f>
        <v>0</v>
      </c>
    </row>
    <row r="3454">
      <c r="A3454" s="10">
        <f>Daily_Data!A3454</f>
        <v>41360</v>
      </c>
      <c r="B3454" s="11">
        <f>Daily_Data!J3454</f>
        <v>13.15</v>
      </c>
      <c r="C3454" s="11">
        <f>Daily_Data!I3454</f>
        <v>2.64</v>
      </c>
      <c r="D3454" s="12">
        <f>if(sum(Daily_Data!K3454:L3454)&gt;0,1,0)</f>
        <v>0</v>
      </c>
    </row>
    <row r="3455">
      <c r="A3455" s="10">
        <f>Daily_Data!A3455</f>
        <v>41361</v>
      </c>
      <c r="B3455" s="11">
        <f>Daily_Data!J3455</f>
        <v>12.7</v>
      </c>
      <c r="C3455" s="11">
        <f>Daily_Data!I3455</f>
        <v>2.6</v>
      </c>
      <c r="D3455" s="12">
        <f>if(sum(Daily_Data!K3455:L3455)&gt;0,1,0)</f>
        <v>0</v>
      </c>
    </row>
    <row r="3456">
      <c r="A3456" s="10">
        <f>Daily_Data!A3456</f>
        <v>41362</v>
      </c>
      <c r="B3456" s="11" t="str">
        <f>Daily_Data!J3456</f>
        <v/>
      </c>
      <c r="C3456" s="11" t="str">
        <f>Daily_Data!I3456</f>
        <v/>
      </c>
      <c r="D3456" s="12">
        <f>if(sum(Daily_Data!K3456:L3456)&gt;0,1,0)</f>
        <v>0</v>
      </c>
    </row>
    <row r="3457">
      <c r="A3457" s="10">
        <f>Daily_Data!A3457</f>
        <v>41365</v>
      </c>
      <c r="B3457" s="11">
        <f>Daily_Data!J3457</f>
        <v>13.58</v>
      </c>
      <c r="C3457" s="11" t="str">
        <f>Daily_Data!I3457</f>
        <v/>
      </c>
      <c r="D3457" s="12">
        <f>if(sum(Daily_Data!K3457:L3457)&gt;0,1,0)</f>
        <v>0</v>
      </c>
    </row>
    <row r="3458">
      <c r="A3458" s="10">
        <f>Daily_Data!A3458</f>
        <v>41366</v>
      </c>
      <c r="B3458" s="11">
        <f>Daily_Data!J3458</f>
        <v>12.78</v>
      </c>
      <c r="C3458" s="11">
        <f>Daily_Data!I3458</f>
        <v>2.62</v>
      </c>
      <c r="D3458" s="12">
        <f>if(sum(Daily_Data!K3458:L3458)&gt;0,1,0)</f>
        <v>0</v>
      </c>
    </row>
    <row r="3459">
      <c r="A3459" s="10">
        <f>Daily_Data!A3459</f>
        <v>41367</v>
      </c>
      <c r="B3459" s="11">
        <f>Daily_Data!J3459</f>
        <v>14.21</v>
      </c>
      <c r="C3459" s="11">
        <f>Daily_Data!I3459</f>
        <v>2.66</v>
      </c>
      <c r="D3459" s="12">
        <f>if(sum(Daily_Data!K3459:L3459)&gt;0,1,0)</f>
        <v>0</v>
      </c>
    </row>
    <row r="3460">
      <c r="A3460" s="10">
        <f>Daily_Data!A3460</f>
        <v>41368</v>
      </c>
      <c r="B3460" s="11">
        <f>Daily_Data!J3460</f>
        <v>13.89</v>
      </c>
      <c r="C3460" s="11">
        <f>Daily_Data!I3460</f>
        <v>2.67</v>
      </c>
      <c r="D3460" s="12">
        <f>if(sum(Daily_Data!K3460:L3460)&gt;0,1,0)</f>
        <v>0</v>
      </c>
    </row>
    <row r="3461">
      <c r="A3461" s="10">
        <f>Daily_Data!A3461</f>
        <v>41369</v>
      </c>
      <c r="B3461" s="11">
        <f>Daily_Data!J3461</f>
        <v>13.92</v>
      </c>
      <c r="C3461" s="11">
        <f>Daily_Data!I3461</f>
        <v>2.62</v>
      </c>
      <c r="D3461" s="12">
        <f>if(sum(Daily_Data!K3461:L3461)&gt;0,1,0)</f>
        <v>1</v>
      </c>
    </row>
    <row r="3462">
      <c r="A3462" s="10">
        <f>Daily_Data!A3462</f>
        <v>41372</v>
      </c>
      <c r="B3462" s="11">
        <f>Daily_Data!J3462</f>
        <v>13.19</v>
      </c>
      <c r="C3462" s="11">
        <f>Daily_Data!I3462</f>
        <v>2.63</v>
      </c>
      <c r="D3462" s="12">
        <f>if(sum(Daily_Data!K3462:L3462)&gt;0,1,0)</f>
        <v>0</v>
      </c>
    </row>
    <row r="3463">
      <c r="A3463" s="10">
        <f>Daily_Data!A3463</f>
        <v>41373</v>
      </c>
      <c r="B3463" s="11">
        <f>Daily_Data!J3463</f>
        <v>12.84</v>
      </c>
      <c r="C3463" s="11">
        <f>Daily_Data!I3463</f>
        <v>2.66</v>
      </c>
      <c r="D3463" s="12">
        <f>if(sum(Daily_Data!K3463:L3463)&gt;0,1,0)</f>
        <v>0</v>
      </c>
    </row>
    <row r="3464">
      <c r="A3464" s="10">
        <f>Daily_Data!A3464</f>
        <v>41374</v>
      </c>
      <c r="B3464" s="11">
        <f>Daily_Data!J3464</f>
        <v>12.36</v>
      </c>
      <c r="C3464" s="11">
        <f>Daily_Data!I3464</f>
        <v>2.64</v>
      </c>
      <c r="D3464" s="12">
        <f>if(sum(Daily_Data!K3464:L3464)&gt;0,1,0)</f>
        <v>0</v>
      </c>
    </row>
    <row r="3465">
      <c r="A3465" s="10">
        <f>Daily_Data!A3465</f>
        <v>41375</v>
      </c>
      <c r="B3465" s="11">
        <f>Daily_Data!J3465</f>
        <v>12.24</v>
      </c>
      <c r="C3465" s="11">
        <f>Daily_Data!I3465</f>
        <v>2.65</v>
      </c>
      <c r="D3465" s="12">
        <f>if(sum(Daily_Data!K3465:L3465)&gt;0,1,0)</f>
        <v>0</v>
      </c>
    </row>
    <row r="3466">
      <c r="A3466" s="10">
        <f>Daily_Data!A3466</f>
        <v>41376</v>
      </c>
      <c r="B3466" s="11">
        <f>Daily_Data!J3466</f>
        <v>12.06</v>
      </c>
      <c r="C3466" s="11">
        <f>Daily_Data!I3466</f>
        <v>2.66</v>
      </c>
      <c r="D3466" s="12">
        <f>if(sum(Daily_Data!K3466:L3466)&gt;0,1,0)</f>
        <v>0</v>
      </c>
    </row>
    <row r="3467">
      <c r="A3467" s="10">
        <f>Daily_Data!A3467</f>
        <v>41379</v>
      </c>
      <c r="B3467" s="11">
        <f>Daily_Data!J3467</f>
        <v>17.27</v>
      </c>
      <c r="C3467" s="11">
        <f>Daily_Data!I3467</f>
        <v>2.63</v>
      </c>
      <c r="D3467" s="12">
        <f>if(sum(Daily_Data!K3467:L3467)&gt;0,1,0)</f>
        <v>0</v>
      </c>
    </row>
    <row r="3468">
      <c r="A3468" s="10">
        <f>Daily_Data!A3468</f>
        <v>41380</v>
      </c>
      <c r="B3468" s="11">
        <f>Daily_Data!J3468</f>
        <v>13.96</v>
      </c>
      <c r="C3468" s="11">
        <f>Daily_Data!I3468</f>
        <v>2.62</v>
      </c>
      <c r="D3468" s="12">
        <f>if(sum(Daily_Data!K3468:L3468)&gt;0,1,0)</f>
        <v>1</v>
      </c>
    </row>
    <row r="3469">
      <c r="A3469" s="10">
        <f>Daily_Data!A3469</f>
        <v>41381</v>
      </c>
      <c r="B3469" s="11">
        <f>Daily_Data!J3469</f>
        <v>16.51</v>
      </c>
      <c r="C3469" s="11">
        <f>Daily_Data!I3469</f>
        <v>2.63</v>
      </c>
      <c r="D3469" s="12">
        <f>if(sum(Daily_Data!K3469:L3469)&gt;0,1,0)</f>
        <v>0</v>
      </c>
    </row>
    <row r="3470">
      <c r="A3470" s="10">
        <f>Daily_Data!A3470</f>
        <v>41382</v>
      </c>
      <c r="B3470" s="11">
        <f>Daily_Data!J3470</f>
        <v>17.56</v>
      </c>
      <c r="C3470" s="11">
        <f>Daily_Data!I3470</f>
        <v>2.61</v>
      </c>
      <c r="D3470" s="12">
        <f>if(sum(Daily_Data!K3470:L3470)&gt;0,1,0)</f>
        <v>0</v>
      </c>
    </row>
    <row r="3471">
      <c r="A3471" s="10">
        <f>Daily_Data!A3471</f>
        <v>41383</v>
      </c>
      <c r="B3471" s="11">
        <f>Daily_Data!J3471</f>
        <v>14.97</v>
      </c>
      <c r="C3471" s="11">
        <f>Daily_Data!I3471</f>
        <v>2.62</v>
      </c>
      <c r="D3471" s="12">
        <f>if(sum(Daily_Data!K3471:L3471)&gt;0,1,0)</f>
        <v>0</v>
      </c>
    </row>
    <row r="3472">
      <c r="A3472" s="10">
        <f>Daily_Data!A3472</f>
        <v>41386</v>
      </c>
      <c r="B3472" s="11">
        <f>Daily_Data!J3472</f>
        <v>14.39</v>
      </c>
      <c r="C3472" s="11">
        <f>Daily_Data!I3472</f>
        <v>2.64</v>
      </c>
      <c r="D3472" s="12">
        <f>if(sum(Daily_Data!K3472:L3472)&gt;0,1,0)</f>
        <v>0</v>
      </c>
    </row>
    <row r="3473">
      <c r="A3473" s="10">
        <f>Daily_Data!A3473</f>
        <v>41387</v>
      </c>
      <c r="B3473" s="11">
        <f>Daily_Data!J3473</f>
        <v>13.48</v>
      </c>
      <c r="C3473" s="11">
        <f>Daily_Data!I3473</f>
        <v>2.61</v>
      </c>
      <c r="D3473" s="12">
        <f>if(sum(Daily_Data!K3473:L3473)&gt;0,1,0)</f>
        <v>0</v>
      </c>
    </row>
    <row r="3474">
      <c r="A3474" s="10">
        <f>Daily_Data!A3474</f>
        <v>41388</v>
      </c>
      <c r="B3474" s="11">
        <f>Daily_Data!J3474</f>
        <v>13.61</v>
      </c>
      <c r="C3474" s="11">
        <f>Daily_Data!I3474</f>
        <v>2.61</v>
      </c>
      <c r="D3474" s="12">
        <f>if(sum(Daily_Data!K3474:L3474)&gt;0,1,0)</f>
        <v>0</v>
      </c>
    </row>
    <row r="3475">
      <c r="A3475" s="10">
        <f>Daily_Data!A3475</f>
        <v>41389</v>
      </c>
      <c r="B3475" s="11">
        <f>Daily_Data!J3475</f>
        <v>13.62</v>
      </c>
      <c r="C3475" s="11" t="str">
        <f>Daily_Data!I3475</f>
        <v/>
      </c>
      <c r="D3475" s="12">
        <f>if(sum(Daily_Data!K3475:L3475)&gt;0,1,0)</f>
        <v>0</v>
      </c>
    </row>
    <row r="3476">
      <c r="A3476" s="10">
        <f>Daily_Data!A3476</f>
        <v>41390</v>
      </c>
      <c r="B3476" s="11">
        <f>Daily_Data!J3476</f>
        <v>13.61</v>
      </c>
      <c r="C3476" s="11">
        <f>Daily_Data!I3476</f>
        <v>2.63</v>
      </c>
      <c r="D3476" s="12">
        <f>if(sum(Daily_Data!K3476:L3476)&gt;0,1,0)</f>
        <v>0</v>
      </c>
    </row>
    <row r="3477">
      <c r="A3477" s="10">
        <f>Daily_Data!A3477</f>
        <v>41393</v>
      </c>
      <c r="B3477" s="11">
        <f>Daily_Data!J3477</f>
        <v>13.71</v>
      </c>
      <c r="C3477" s="11">
        <f>Daily_Data!I3477</f>
        <v>2.63</v>
      </c>
      <c r="D3477" s="12">
        <f>if(sum(Daily_Data!K3477:L3477)&gt;0,1,0)</f>
        <v>0</v>
      </c>
    </row>
    <row r="3478">
      <c r="A3478" s="10">
        <f>Daily_Data!A3478</f>
        <v>41394</v>
      </c>
      <c r="B3478" s="11">
        <f>Daily_Data!J3478</f>
        <v>13.52</v>
      </c>
      <c r="C3478" s="11">
        <f>Daily_Data!I3478</f>
        <v>2.6</v>
      </c>
      <c r="D3478" s="12">
        <f>if(sum(Daily_Data!K3478:L3478)&gt;0,1,0)</f>
        <v>0</v>
      </c>
    </row>
    <row r="3479">
      <c r="A3479" s="10">
        <f>Daily_Data!A3479</f>
        <v>41395</v>
      </c>
      <c r="B3479" s="11">
        <f>Daily_Data!J3479</f>
        <v>14.49</v>
      </c>
      <c r="C3479" s="11">
        <f>Daily_Data!I3479</f>
        <v>2.64</v>
      </c>
      <c r="D3479" s="12">
        <f>if(sum(Daily_Data!K3479:L3479)&gt;0,1,0)</f>
        <v>0</v>
      </c>
    </row>
    <row r="3480">
      <c r="A3480" s="10">
        <f>Daily_Data!A3480</f>
        <v>41396</v>
      </c>
      <c r="B3480" s="11">
        <f>Daily_Data!J3480</f>
        <v>13.59</v>
      </c>
      <c r="C3480" s="11">
        <f>Daily_Data!I3480</f>
        <v>2.61</v>
      </c>
      <c r="D3480" s="12">
        <f>if(sum(Daily_Data!K3480:L3480)&gt;0,1,0)</f>
        <v>0</v>
      </c>
    </row>
    <row r="3481">
      <c r="A3481" s="10">
        <f>Daily_Data!A3481</f>
        <v>41397</v>
      </c>
      <c r="B3481" s="11">
        <f>Daily_Data!J3481</f>
        <v>12.85</v>
      </c>
      <c r="C3481" s="11">
        <f>Daily_Data!I3481</f>
        <v>2.58</v>
      </c>
      <c r="D3481" s="12">
        <f>if(sum(Daily_Data!K3481:L3481)&gt;0,1,0)</f>
        <v>1</v>
      </c>
    </row>
    <row r="3482">
      <c r="A3482" s="10">
        <f>Daily_Data!A3482</f>
        <v>41400</v>
      </c>
      <c r="B3482" s="11">
        <f>Daily_Data!J3482</f>
        <v>12.66</v>
      </c>
      <c r="C3482" s="11">
        <f>Daily_Data!I3482</f>
        <v>2.61</v>
      </c>
      <c r="D3482" s="12">
        <f>if(sum(Daily_Data!K3482:L3482)&gt;0,1,0)</f>
        <v>0</v>
      </c>
    </row>
    <row r="3483">
      <c r="A3483" s="10">
        <f>Daily_Data!A3483</f>
        <v>41401</v>
      </c>
      <c r="B3483" s="11">
        <f>Daily_Data!J3483</f>
        <v>12.83</v>
      </c>
      <c r="C3483" s="11">
        <f>Daily_Data!I3483</f>
        <v>2.6</v>
      </c>
      <c r="D3483" s="12">
        <f>if(sum(Daily_Data!K3483:L3483)&gt;0,1,0)</f>
        <v>0</v>
      </c>
    </row>
    <row r="3484">
      <c r="A3484" s="10">
        <f>Daily_Data!A3484</f>
        <v>41402</v>
      </c>
      <c r="B3484" s="11">
        <f>Daily_Data!J3484</f>
        <v>12.66</v>
      </c>
      <c r="C3484" s="11">
        <f>Daily_Data!I3484</f>
        <v>2.57</v>
      </c>
      <c r="D3484" s="12">
        <f>if(sum(Daily_Data!K3484:L3484)&gt;0,1,0)</f>
        <v>0</v>
      </c>
    </row>
    <row r="3485">
      <c r="A3485" s="10">
        <f>Daily_Data!A3485</f>
        <v>41403</v>
      </c>
      <c r="B3485" s="11">
        <f>Daily_Data!J3485</f>
        <v>13.13</v>
      </c>
      <c r="C3485" s="11">
        <f>Daily_Data!I3485</f>
        <v>2.62</v>
      </c>
      <c r="D3485" s="12">
        <f>if(sum(Daily_Data!K3485:L3485)&gt;0,1,0)</f>
        <v>0</v>
      </c>
    </row>
    <row r="3486">
      <c r="A3486" s="10">
        <f>Daily_Data!A3486</f>
        <v>41404</v>
      </c>
      <c r="B3486" s="11">
        <f>Daily_Data!J3486</f>
        <v>12.59</v>
      </c>
      <c r="C3486" s="11">
        <f>Daily_Data!I3486</f>
        <v>2.59</v>
      </c>
      <c r="D3486" s="12">
        <f>if(sum(Daily_Data!K3486:L3486)&gt;0,1,0)</f>
        <v>0</v>
      </c>
    </row>
    <row r="3487">
      <c r="A3487" s="10">
        <f>Daily_Data!A3487</f>
        <v>41407</v>
      </c>
      <c r="B3487" s="11">
        <f>Daily_Data!J3487</f>
        <v>12.55</v>
      </c>
      <c r="C3487" s="11">
        <f>Daily_Data!I3487</f>
        <v>2.63</v>
      </c>
      <c r="D3487" s="12">
        <f>if(sum(Daily_Data!K3487:L3487)&gt;0,1,0)</f>
        <v>0</v>
      </c>
    </row>
    <row r="3488">
      <c r="A3488" s="10">
        <f>Daily_Data!A3488</f>
        <v>41408</v>
      </c>
      <c r="B3488" s="11">
        <f>Daily_Data!J3488</f>
        <v>12.77</v>
      </c>
      <c r="C3488" s="11">
        <f>Daily_Data!I3488</f>
        <v>2.59</v>
      </c>
      <c r="D3488" s="12">
        <f>if(sum(Daily_Data!K3488:L3488)&gt;0,1,0)</f>
        <v>0</v>
      </c>
    </row>
    <row r="3489">
      <c r="A3489" s="10">
        <f>Daily_Data!A3489</f>
        <v>41409</v>
      </c>
      <c r="B3489" s="11">
        <f>Daily_Data!J3489</f>
        <v>12.81</v>
      </c>
      <c r="C3489" s="11">
        <f>Daily_Data!I3489</f>
        <v>2.61</v>
      </c>
      <c r="D3489" s="12">
        <f>if(sum(Daily_Data!K3489:L3489)&gt;0,1,0)</f>
        <v>0</v>
      </c>
    </row>
    <row r="3490">
      <c r="A3490" s="10">
        <f>Daily_Data!A3490</f>
        <v>41410</v>
      </c>
      <c r="B3490" s="11">
        <f>Daily_Data!J3490</f>
        <v>13.07</v>
      </c>
      <c r="C3490" s="11">
        <f>Daily_Data!I3490</f>
        <v>2.62</v>
      </c>
      <c r="D3490" s="12">
        <f>if(sum(Daily_Data!K3490:L3490)&gt;0,1,0)</f>
        <v>1</v>
      </c>
    </row>
    <row r="3491">
      <c r="A3491" s="10">
        <f>Daily_Data!A3491</f>
        <v>41411</v>
      </c>
      <c r="B3491" s="11">
        <f>Daily_Data!J3491</f>
        <v>12.45</v>
      </c>
      <c r="C3491" s="11">
        <f>Daily_Data!I3491</f>
        <v>2.58</v>
      </c>
      <c r="D3491" s="12">
        <f>if(sum(Daily_Data!K3491:L3491)&gt;0,1,0)</f>
        <v>0</v>
      </c>
    </row>
    <row r="3492">
      <c r="A3492" s="10">
        <f>Daily_Data!A3492</f>
        <v>41414</v>
      </c>
      <c r="B3492" s="11">
        <f>Daily_Data!J3492</f>
        <v>13.02</v>
      </c>
      <c r="C3492" s="11">
        <f>Daily_Data!I3492</f>
        <v>2.63</v>
      </c>
      <c r="D3492" s="12">
        <f>if(sum(Daily_Data!K3492:L3492)&gt;0,1,0)</f>
        <v>0</v>
      </c>
    </row>
    <row r="3493">
      <c r="A3493" s="10">
        <f>Daily_Data!A3493</f>
        <v>41415</v>
      </c>
      <c r="B3493" s="11">
        <f>Daily_Data!J3493</f>
        <v>13.37</v>
      </c>
      <c r="C3493" s="11">
        <f>Daily_Data!I3493</f>
        <v>2.63</v>
      </c>
      <c r="D3493" s="12">
        <f>if(sum(Daily_Data!K3493:L3493)&gt;0,1,0)</f>
        <v>0</v>
      </c>
    </row>
    <row r="3494">
      <c r="A3494" s="10">
        <f>Daily_Data!A3494</f>
        <v>41416</v>
      </c>
      <c r="B3494" s="11">
        <f>Daily_Data!J3494</f>
        <v>13.82</v>
      </c>
      <c r="C3494" s="11">
        <f>Daily_Data!I3494</f>
        <v>2.63</v>
      </c>
      <c r="D3494" s="12">
        <f>if(sum(Daily_Data!K3494:L3494)&gt;0,1,0)</f>
        <v>0</v>
      </c>
    </row>
    <row r="3495">
      <c r="A3495" s="10">
        <f>Daily_Data!A3495</f>
        <v>41417</v>
      </c>
      <c r="B3495" s="11">
        <f>Daily_Data!J3495</f>
        <v>14.07</v>
      </c>
      <c r="C3495" s="11">
        <f>Daily_Data!I3495</f>
        <v>2.66</v>
      </c>
      <c r="D3495" s="12">
        <f>if(sum(Daily_Data!K3495:L3495)&gt;0,1,0)</f>
        <v>0</v>
      </c>
    </row>
    <row r="3496">
      <c r="A3496" s="10">
        <f>Daily_Data!A3496</f>
        <v>41418</v>
      </c>
      <c r="B3496" s="11">
        <f>Daily_Data!J3496</f>
        <v>13.99</v>
      </c>
      <c r="C3496" s="11">
        <f>Daily_Data!I3496</f>
        <v>2.66</v>
      </c>
      <c r="D3496" s="12">
        <f>if(sum(Daily_Data!K3496:L3496)&gt;0,1,0)</f>
        <v>0</v>
      </c>
    </row>
    <row r="3497">
      <c r="A3497" s="10">
        <f>Daily_Data!A3497</f>
        <v>41421</v>
      </c>
      <c r="B3497" s="11" t="str">
        <f>Daily_Data!J3497</f>
        <v/>
      </c>
      <c r="C3497" s="11" t="str">
        <f>Daily_Data!I3497</f>
        <v/>
      </c>
      <c r="D3497" s="12">
        <f>if(sum(Daily_Data!K3497:L3497)&gt;0,1,0)</f>
        <v>0</v>
      </c>
    </row>
    <row r="3498">
      <c r="A3498" s="10">
        <f>Daily_Data!A3498</f>
        <v>41422</v>
      </c>
      <c r="B3498" s="11">
        <f>Daily_Data!J3498</f>
        <v>14.48</v>
      </c>
      <c r="C3498" s="11">
        <f>Daily_Data!I3498</f>
        <v>2.66</v>
      </c>
      <c r="D3498" s="12">
        <f>if(sum(Daily_Data!K3498:L3498)&gt;0,1,0)</f>
        <v>0</v>
      </c>
    </row>
    <row r="3499">
      <c r="A3499" s="10">
        <f>Daily_Data!A3499</f>
        <v>41423</v>
      </c>
      <c r="B3499" s="11">
        <f>Daily_Data!J3499</f>
        <v>14.83</v>
      </c>
      <c r="C3499" s="11">
        <f>Daily_Data!I3499</f>
        <v>2.71</v>
      </c>
      <c r="D3499" s="12">
        <f>if(sum(Daily_Data!K3499:L3499)&gt;0,1,0)</f>
        <v>0</v>
      </c>
    </row>
    <row r="3500">
      <c r="A3500" s="10">
        <f>Daily_Data!A3500</f>
        <v>41424</v>
      </c>
      <c r="B3500" s="11">
        <f>Daily_Data!J3500</f>
        <v>14.53</v>
      </c>
      <c r="C3500" s="11">
        <f>Daily_Data!I3500</f>
        <v>2.65</v>
      </c>
      <c r="D3500" s="12">
        <f>if(sum(Daily_Data!K3500:L3500)&gt;0,1,0)</f>
        <v>0</v>
      </c>
    </row>
    <row r="3501">
      <c r="A3501" s="10">
        <f>Daily_Data!A3501</f>
        <v>41425</v>
      </c>
      <c r="B3501" s="11">
        <f>Daily_Data!J3501</f>
        <v>16.3</v>
      </c>
      <c r="C3501" s="11">
        <f>Daily_Data!I3501</f>
        <v>2.65</v>
      </c>
      <c r="D3501" s="12">
        <f>if(sum(Daily_Data!K3501:L3501)&gt;0,1,0)</f>
        <v>0</v>
      </c>
    </row>
    <row r="3502">
      <c r="A3502" s="10">
        <f>Daily_Data!A3502</f>
        <v>41428</v>
      </c>
      <c r="B3502" s="11">
        <f>Daily_Data!J3502</f>
        <v>16.28</v>
      </c>
      <c r="C3502" s="11" t="str">
        <f>Daily_Data!I3502</f>
        <v/>
      </c>
      <c r="D3502" s="12">
        <f>if(sum(Daily_Data!K3502:L3502)&gt;0,1,0)</f>
        <v>0</v>
      </c>
    </row>
    <row r="3503">
      <c r="A3503" s="10">
        <f>Daily_Data!A3503</f>
        <v>41429</v>
      </c>
      <c r="B3503" s="11">
        <f>Daily_Data!J3503</f>
        <v>16.27</v>
      </c>
      <c r="C3503" s="11">
        <f>Daily_Data!I3503</f>
        <v>2.64</v>
      </c>
      <c r="D3503" s="12">
        <f>if(sum(Daily_Data!K3503:L3503)&gt;0,1,0)</f>
        <v>0</v>
      </c>
    </row>
    <row r="3504">
      <c r="A3504" s="10">
        <f>Daily_Data!A3504</f>
        <v>41430</v>
      </c>
      <c r="B3504" s="11">
        <f>Daily_Data!J3504</f>
        <v>17.5</v>
      </c>
      <c r="C3504" s="11">
        <f>Daily_Data!I3504</f>
        <v>2.68</v>
      </c>
      <c r="D3504" s="12">
        <f>if(sum(Daily_Data!K3504:L3504)&gt;0,1,0)</f>
        <v>0</v>
      </c>
    </row>
    <row r="3505">
      <c r="A3505" s="10">
        <f>Daily_Data!A3505</f>
        <v>41431</v>
      </c>
      <c r="B3505" s="11">
        <f>Daily_Data!J3505</f>
        <v>16.63</v>
      </c>
      <c r="C3505" s="11">
        <f>Daily_Data!I3505</f>
        <v>2.65</v>
      </c>
      <c r="D3505" s="12">
        <f>if(sum(Daily_Data!K3505:L3505)&gt;0,1,0)</f>
        <v>0</v>
      </c>
    </row>
    <row r="3506">
      <c r="A3506" s="10">
        <f>Daily_Data!A3506</f>
        <v>41432</v>
      </c>
      <c r="B3506" s="11">
        <f>Daily_Data!J3506</f>
        <v>15.14</v>
      </c>
      <c r="C3506" s="11">
        <f>Daily_Data!I3506</f>
        <v>2.6</v>
      </c>
      <c r="D3506" s="12">
        <f>if(sum(Daily_Data!K3506:L3506)&gt;0,1,0)</f>
        <v>1</v>
      </c>
    </row>
    <row r="3507">
      <c r="A3507" s="10">
        <f>Daily_Data!A3507</f>
        <v>41435</v>
      </c>
      <c r="B3507" s="11">
        <f>Daily_Data!J3507</f>
        <v>15.44</v>
      </c>
      <c r="C3507" s="11">
        <f>Daily_Data!I3507</f>
        <v>2.65</v>
      </c>
      <c r="D3507" s="12">
        <f>if(sum(Daily_Data!K3507:L3507)&gt;0,1,0)</f>
        <v>0</v>
      </c>
    </row>
    <row r="3508">
      <c r="A3508" s="10">
        <f>Daily_Data!A3508</f>
        <v>41436</v>
      </c>
      <c r="B3508" s="11">
        <f>Daily_Data!J3508</f>
        <v>17.07</v>
      </c>
      <c r="C3508" s="11">
        <f>Daily_Data!I3508</f>
        <v>2.64</v>
      </c>
      <c r="D3508" s="12">
        <f>if(sum(Daily_Data!K3508:L3508)&gt;0,1,0)</f>
        <v>0</v>
      </c>
    </row>
    <row r="3509">
      <c r="A3509" s="10">
        <f>Daily_Data!A3509</f>
        <v>41437</v>
      </c>
      <c r="B3509" s="11">
        <f>Daily_Data!J3509</f>
        <v>18.59</v>
      </c>
      <c r="C3509" s="11">
        <f>Daily_Data!I3509</f>
        <v>2.68</v>
      </c>
      <c r="D3509" s="12">
        <f>if(sum(Daily_Data!K3509:L3509)&gt;0,1,0)</f>
        <v>0</v>
      </c>
    </row>
    <row r="3510">
      <c r="A3510" s="10">
        <f>Daily_Data!A3510</f>
        <v>41438</v>
      </c>
      <c r="B3510" s="11">
        <f>Daily_Data!J3510</f>
        <v>16.41</v>
      </c>
      <c r="C3510" s="11">
        <f>Daily_Data!I3510</f>
        <v>2.7</v>
      </c>
      <c r="D3510" s="12">
        <f>if(sum(Daily_Data!K3510:L3510)&gt;0,1,0)</f>
        <v>0</v>
      </c>
    </row>
    <row r="3511">
      <c r="A3511" s="10">
        <f>Daily_Data!A3511</f>
        <v>41439</v>
      </c>
      <c r="B3511" s="11">
        <f>Daily_Data!J3511</f>
        <v>17.15</v>
      </c>
      <c r="C3511" s="11">
        <f>Daily_Data!I3511</f>
        <v>2.75</v>
      </c>
      <c r="D3511" s="12">
        <f>if(sum(Daily_Data!K3511:L3511)&gt;0,1,0)</f>
        <v>0</v>
      </c>
    </row>
    <row r="3512">
      <c r="A3512" s="10">
        <f>Daily_Data!A3512</f>
        <v>41442</v>
      </c>
      <c r="B3512" s="11">
        <f>Daily_Data!J3512</f>
        <v>16.8</v>
      </c>
      <c r="C3512" s="11">
        <f>Daily_Data!I3512</f>
        <v>2.78</v>
      </c>
      <c r="D3512" s="12">
        <f>if(sum(Daily_Data!K3512:L3512)&gt;0,1,0)</f>
        <v>0</v>
      </c>
    </row>
    <row r="3513">
      <c r="A3513" s="10">
        <f>Daily_Data!A3513</f>
        <v>41443</v>
      </c>
      <c r="B3513" s="11">
        <f>Daily_Data!J3513</f>
        <v>16.61</v>
      </c>
      <c r="C3513" s="11">
        <f>Daily_Data!I3513</f>
        <v>2.8</v>
      </c>
      <c r="D3513" s="12">
        <f>if(sum(Daily_Data!K3513:L3513)&gt;0,1,0)</f>
        <v>1</v>
      </c>
    </row>
    <row r="3514">
      <c r="A3514" s="10">
        <f>Daily_Data!A3514</f>
        <v>41444</v>
      </c>
      <c r="B3514" s="11">
        <f>Daily_Data!J3514</f>
        <v>16.64</v>
      </c>
      <c r="C3514" s="11">
        <f>Daily_Data!I3514</f>
        <v>2.76</v>
      </c>
      <c r="D3514" s="12">
        <f>if(sum(Daily_Data!K3514:L3514)&gt;0,1,0)</f>
        <v>0</v>
      </c>
    </row>
    <row r="3515">
      <c r="A3515" s="10">
        <f>Daily_Data!A3515</f>
        <v>41445</v>
      </c>
      <c r="B3515" s="11">
        <f>Daily_Data!J3515</f>
        <v>20.49</v>
      </c>
      <c r="C3515" s="11">
        <f>Daily_Data!I3515</f>
        <v>2.82</v>
      </c>
      <c r="D3515" s="12">
        <f>if(sum(Daily_Data!K3515:L3515)&gt;0,1,0)</f>
        <v>0</v>
      </c>
    </row>
    <row r="3516">
      <c r="A3516" s="10">
        <f>Daily_Data!A3516</f>
        <v>41446</v>
      </c>
      <c r="B3516" s="11">
        <f>Daily_Data!J3516</f>
        <v>18.9</v>
      </c>
      <c r="C3516" s="11">
        <f>Daily_Data!I3516</f>
        <v>2.8</v>
      </c>
      <c r="D3516" s="12">
        <f>if(sum(Daily_Data!K3516:L3516)&gt;0,1,0)</f>
        <v>0</v>
      </c>
    </row>
    <row r="3517">
      <c r="A3517" s="10">
        <f>Daily_Data!A3517</f>
        <v>41449</v>
      </c>
      <c r="B3517" s="11">
        <f>Daily_Data!J3517</f>
        <v>20.11</v>
      </c>
      <c r="C3517" s="11">
        <f>Daily_Data!I3517</f>
        <v>2.82</v>
      </c>
      <c r="D3517" s="12">
        <f>if(sum(Daily_Data!K3517:L3517)&gt;0,1,0)</f>
        <v>0</v>
      </c>
    </row>
    <row r="3518">
      <c r="A3518" s="10">
        <f>Daily_Data!A3518</f>
        <v>41450</v>
      </c>
      <c r="B3518" s="11">
        <f>Daily_Data!J3518</f>
        <v>18.47</v>
      </c>
      <c r="C3518" s="11">
        <f>Daily_Data!I3518</f>
        <v>2.73</v>
      </c>
      <c r="D3518" s="12">
        <f>if(sum(Daily_Data!K3518:L3518)&gt;0,1,0)</f>
        <v>0</v>
      </c>
    </row>
    <row r="3519">
      <c r="A3519" s="10">
        <f>Daily_Data!A3519</f>
        <v>41451</v>
      </c>
      <c r="B3519" s="11">
        <f>Daily_Data!J3519</f>
        <v>17.21</v>
      </c>
      <c r="C3519" s="11">
        <f>Daily_Data!I3519</f>
        <v>2.84</v>
      </c>
      <c r="D3519" s="12">
        <f>if(sum(Daily_Data!K3519:L3519)&gt;0,1,0)</f>
        <v>0</v>
      </c>
    </row>
    <row r="3520">
      <c r="A3520" s="10">
        <f>Daily_Data!A3520</f>
        <v>41452</v>
      </c>
      <c r="B3520" s="11">
        <f>Daily_Data!J3520</f>
        <v>16.86</v>
      </c>
      <c r="C3520" s="11">
        <f>Daily_Data!I3520</f>
        <v>2.85</v>
      </c>
      <c r="D3520" s="12">
        <f>if(sum(Daily_Data!K3520:L3520)&gt;0,1,0)</f>
        <v>0</v>
      </c>
    </row>
    <row r="3521">
      <c r="A3521" s="10">
        <f>Daily_Data!A3521</f>
        <v>41453</v>
      </c>
      <c r="B3521" s="11">
        <f>Daily_Data!J3521</f>
        <v>16.86</v>
      </c>
      <c r="C3521" s="11">
        <f>Daily_Data!I3521</f>
        <v>2.81</v>
      </c>
      <c r="D3521" s="12">
        <f>if(sum(Daily_Data!K3521:L3521)&gt;0,1,0)</f>
        <v>0</v>
      </c>
    </row>
    <row r="3522">
      <c r="A3522" s="10">
        <f>Daily_Data!A3522</f>
        <v>41456</v>
      </c>
      <c r="B3522" s="11">
        <f>Daily_Data!J3522</f>
        <v>16.37</v>
      </c>
      <c r="C3522" s="11">
        <f>Daily_Data!I3522</f>
        <v>2.89</v>
      </c>
      <c r="D3522" s="12">
        <f>if(sum(Daily_Data!K3522:L3522)&gt;0,1,0)</f>
        <v>0</v>
      </c>
    </row>
    <row r="3523">
      <c r="A3523" s="10">
        <f>Daily_Data!A3523</f>
        <v>41457</v>
      </c>
      <c r="B3523" s="11">
        <f>Daily_Data!J3523</f>
        <v>16.44</v>
      </c>
      <c r="C3523" s="11">
        <f>Daily_Data!I3523</f>
        <v>2.88</v>
      </c>
      <c r="D3523" s="12">
        <f>if(sum(Daily_Data!K3523:L3523)&gt;0,1,0)</f>
        <v>0</v>
      </c>
    </row>
    <row r="3524">
      <c r="A3524" s="10">
        <f>Daily_Data!A3524</f>
        <v>41458</v>
      </c>
      <c r="B3524" s="11">
        <f>Daily_Data!J3524</f>
        <v>16.2</v>
      </c>
      <c r="C3524" s="11">
        <f>Daily_Data!I3524</f>
        <v>2.89</v>
      </c>
      <c r="D3524" s="12">
        <f>if(sum(Daily_Data!K3524:L3524)&gt;0,1,0)</f>
        <v>0</v>
      </c>
    </row>
    <row r="3525">
      <c r="A3525" s="10">
        <f>Daily_Data!A3525</f>
        <v>41459</v>
      </c>
      <c r="B3525" s="11" t="str">
        <f>Daily_Data!J3525</f>
        <v/>
      </c>
      <c r="C3525" s="11" t="str">
        <f>Daily_Data!I3525</f>
        <v/>
      </c>
      <c r="D3525" s="12">
        <f>if(sum(Daily_Data!K3525:L3525)&gt;0,1,0)</f>
        <v>0</v>
      </c>
    </row>
    <row r="3526">
      <c r="A3526" s="10">
        <f>Daily_Data!A3526</f>
        <v>41460</v>
      </c>
      <c r="B3526" s="11">
        <f>Daily_Data!J3526</f>
        <v>14.89</v>
      </c>
      <c r="C3526" s="11">
        <f>Daily_Data!I3526</f>
        <v>2.89</v>
      </c>
      <c r="D3526" s="12">
        <f>if(sum(Daily_Data!K3526:L3526)&gt;0,1,0)</f>
        <v>1</v>
      </c>
    </row>
    <row r="3527">
      <c r="A3527" s="10">
        <f>Daily_Data!A3527</f>
        <v>41463</v>
      </c>
      <c r="B3527" s="11">
        <f>Daily_Data!J3527</f>
        <v>14.78</v>
      </c>
      <c r="C3527" s="11">
        <f>Daily_Data!I3527</f>
        <v>2.98</v>
      </c>
      <c r="D3527" s="12">
        <f>if(sum(Daily_Data!K3527:L3527)&gt;0,1,0)</f>
        <v>0</v>
      </c>
    </row>
    <row r="3528">
      <c r="A3528" s="10">
        <f>Daily_Data!A3528</f>
        <v>41464</v>
      </c>
      <c r="B3528" s="11">
        <f>Daily_Data!J3528</f>
        <v>14.35</v>
      </c>
      <c r="C3528" s="11">
        <f>Daily_Data!I3528</f>
        <v>2.93</v>
      </c>
      <c r="D3528" s="12">
        <f>if(sum(Daily_Data!K3528:L3528)&gt;0,1,0)</f>
        <v>0</v>
      </c>
    </row>
    <row r="3529">
      <c r="A3529" s="10">
        <f>Daily_Data!A3529</f>
        <v>41465</v>
      </c>
      <c r="B3529" s="11">
        <f>Daily_Data!J3529</f>
        <v>14.21</v>
      </c>
      <c r="C3529" s="11">
        <f>Daily_Data!I3529</f>
        <v>2.87</v>
      </c>
      <c r="D3529" s="12">
        <f>if(sum(Daily_Data!K3529:L3529)&gt;0,1,0)</f>
        <v>0</v>
      </c>
    </row>
    <row r="3530">
      <c r="A3530" s="10">
        <f>Daily_Data!A3530</f>
        <v>41466</v>
      </c>
      <c r="B3530" s="11">
        <f>Daily_Data!J3530</f>
        <v>14.01</v>
      </c>
      <c r="C3530" s="11">
        <f>Daily_Data!I3530</f>
        <v>2.85</v>
      </c>
      <c r="D3530" s="12">
        <f>if(sum(Daily_Data!K3530:L3530)&gt;0,1,0)</f>
        <v>0</v>
      </c>
    </row>
    <row r="3531">
      <c r="A3531" s="10">
        <f>Daily_Data!A3531</f>
        <v>41467</v>
      </c>
      <c r="B3531" s="11">
        <f>Daily_Data!J3531</f>
        <v>13.84</v>
      </c>
      <c r="C3531" s="11">
        <f>Daily_Data!I3531</f>
        <v>2.82</v>
      </c>
      <c r="D3531" s="12">
        <f>if(sum(Daily_Data!K3531:L3531)&gt;0,1,0)</f>
        <v>0</v>
      </c>
    </row>
    <row r="3532">
      <c r="A3532" s="10">
        <f>Daily_Data!A3532</f>
        <v>41470</v>
      </c>
      <c r="B3532" s="11">
        <f>Daily_Data!J3532</f>
        <v>13.79</v>
      </c>
      <c r="C3532" s="11">
        <f>Daily_Data!I3532</f>
        <v>2.87</v>
      </c>
      <c r="D3532" s="12">
        <f>if(sum(Daily_Data!K3532:L3532)&gt;0,1,0)</f>
        <v>0</v>
      </c>
    </row>
    <row r="3533">
      <c r="A3533" s="10">
        <f>Daily_Data!A3533</f>
        <v>41471</v>
      </c>
      <c r="B3533" s="11">
        <f>Daily_Data!J3533</f>
        <v>14.42</v>
      </c>
      <c r="C3533" s="11">
        <f>Daily_Data!I3533</f>
        <v>2.88</v>
      </c>
      <c r="D3533" s="12">
        <f>if(sum(Daily_Data!K3533:L3533)&gt;0,1,0)</f>
        <v>1</v>
      </c>
    </row>
    <row r="3534">
      <c r="A3534" s="10">
        <f>Daily_Data!A3534</f>
        <v>41472</v>
      </c>
      <c r="B3534" s="11">
        <f>Daily_Data!J3534</f>
        <v>13.78</v>
      </c>
      <c r="C3534" s="11">
        <f>Daily_Data!I3534</f>
        <v>2.89</v>
      </c>
      <c r="D3534" s="12">
        <f>if(sum(Daily_Data!K3534:L3534)&gt;0,1,0)</f>
        <v>0</v>
      </c>
    </row>
    <row r="3535">
      <c r="A3535" s="10">
        <f>Daily_Data!A3535</f>
        <v>41473</v>
      </c>
      <c r="B3535" s="11">
        <f>Daily_Data!J3535</f>
        <v>13.77</v>
      </c>
      <c r="C3535" s="11">
        <f>Daily_Data!I3535</f>
        <v>2.89</v>
      </c>
      <c r="D3535" s="12">
        <f>if(sum(Daily_Data!K3535:L3535)&gt;0,1,0)</f>
        <v>0</v>
      </c>
    </row>
    <row r="3536">
      <c r="A3536" s="10">
        <f>Daily_Data!A3536</f>
        <v>41474</v>
      </c>
      <c r="B3536" s="11">
        <f>Daily_Data!J3536</f>
        <v>12.54</v>
      </c>
      <c r="C3536" s="11">
        <f>Daily_Data!I3536</f>
        <v>2.9</v>
      </c>
      <c r="D3536" s="12">
        <f>if(sum(Daily_Data!K3536:L3536)&gt;0,1,0)</f>
        <v>0</v>
      </c>
    </row>
    <row r="3537">
      <c r="A3537" s="10">
        <f>Daily_Data!A3537</f>
        <v>41477</v>
      </c>
      <c r="B3537" s="11">
        <f>Daily_Data!J3537</f>
        <v>12.29</v>
      </c>
      <c r="C3537" s="11">
        <f>Daily_Data!I3537</f>
        <v>2.84</v>
      </c>
      <c r="D3537" s="12">
        <f>if(sum(Daily_Data!K3537:L3537)&gt;0,1,0)</f>
        <v>0</v>
      </c>
    </row>
    <row r="3538">
      <c r="A3538" s="10">
        <f>Daily_Data!A3538</f>
        <v>41478</v>
      </c>
      <c r="B3538" s="11">
        <f>Daily_Data!J3538</f>
        <v>12.66</v>
      </c>
      <c r="C3538" s="11">
        <f>Daily_Data!I3538</f>
        <v>2.85</v>
      </c>
      <c r="D3538" s="12">
        <f>if(sum(Daily_Data!K3538:L3538)&gt;0,1,0)</f>
        <v>0</v>
      </c>
    </row>
    <row r="3539">
      <c r="A3539" s="10">
        <f>Daily_Data!A3539</f>
        <v>41479</v>
      </c>
      <c r="B3539" s="11">
        <f>Daily_Data!J3539</f>
        <v>13.18</v>
      </c>
      <c r="C3539" s="11">
        <f>Daily_Data!I3539</f>
        <v>2.86</v>
      </c>
      <c r="D3539" s="12">
        <f>if(sum(Daily_Data!K3539:L3539)&gt;0,1,0)</f>
        <v>0</v>
      </c>
    </row>
    <row r="3540">
      <c r="A3540" s="10">
        <f>Daily_Data!A3540</f>
        <v>41480</v>
      </c>
      <c r="B3540" s="11">
        <f>Daily_Data!J3540</f>
        <v>12.97</v>
      </c>
      <c r="C3540" s="11">
        <f>Daily_Data!I3540</f>
        <v>3</v>
      </c>
      <c r="D3540" s="12">
        <f>if(sum(Daily_Data!K3540:L3540)&gt;0,1,0)</f>
        <v>0</v>
      </c>
    </row>
    <row r="3541">
      <c r="A3541" s="10">
        <f>Daily_Data!A3541</f>
        <v>41481</v>
      </c>
      <c r="B3541" s="11">
        <f>Daily_Data!J3541</f>
        <v>12.72</v>
      </c>
      <c r="C3541" s="11">
        <f>Daily_Data!I3541</f>
        <v>3.05</v>
      </c>
      <c r="D3541" s="12">
        <f>if(sum(Daily_Data!K3541:L3541)&gt;0,1,0)</f>
        <v>0</v>
      </c>
    </row>
    <row r="3542">
      <c r="A3542" s="10">
        <f>Daily_Data!A3542</f>
        <v>41484</v>
      </c>
      <c r="B3542" s="11">
        <f>Daily_Data!J3542</f>
        <v>13.39</v>
      </c>
      <c r="C3542" s="11">
        <f>Daily_Data!I3542</f>
        <v>3.01</v>
      </c>
      <c r="D3542" s="12">
        <f>if(sum(Daily_Data!K3542:L3542)&gt;0,1,0)</f>
        <v>0</v>
      </c>
    </row>
    <row r="3543">
      <c r="A3543" s="10">
        <f>Daily_Data!A3543</f>
        <v>41485</v>
      </c>
      <c r="B3543" s="11">
        <f>Daily_Data!J3543</f>
        <v>13.39</v>
      </c>
      <c r="C3543" s="11">
        <f>Daily_Data!I3543</f>
        <v>2.98</v>
      </c>
      <c r="D3543" s="12">
        <f>if(sum(Daily_Data!K3543:L3543)&gt;0,1,0)</f>
        <v>0</v>
      </c>
    </row>
    <row r="3544">
      <c r="A3544" s="10">
        <f>Daily_Data!A3544</f>
        <v>41486</v>
      </c>
      <c r="B3544" s="11">
        <f>Daily_Data!J3544</f>
        <v>13.45</v>
      </c>
      <c r="C3544" s="11">
        <f>Daily_Data!I3544</f>
        <v>3.03</v>
      </c>
      <c r="D3544" s="12">
        <f>if(sum(Daily_Data!K3544:L3544)&gt;0,1,0)</f>
        <v>0</v>
      </c>
    </row>
    <row r="3545">
      <c r="A3545" s="10">
        <f>Daily_Data!A3545</f>
        <v>41487</v>
      </c>
      <c r="B3545" s="11">
        <f>Daily_Data!J3545</f>
        <v>12.94</v>
      </c>
      <c r="C3545" s="11">
        <f>Daily_Data!I3545</f>
        <v>2.98</v>
      </c>
      <c r="D3545" s="12">
        <f>if(sum(Daily_Data!K3545:L3545)&gt;0,1,0)</f>
        <v>0</v>
      </c>
    </row>
    <row r="3546">
      <c r="A3546" s="10">
        <f>Daily_Data!A3546</f>
        <v>41488</v>
      </c>
      <c r="B3546" s="11">
        <f>Daily_Data!J3546</f>
        <v>11.98</v>
      </c>
      <c r="C3546" s="11">
        <f>Daily_Data!I3546</f>
        <v>3.09</v>
      </c>
      <c r="D3546" s="12">
        <f>if(sum(Daily_Data!K3546:L3546)&gt;0,1,0)</f>
        <v>1</v>
      </c>
    </row>
    <row r="3547">
      <c r="A3547" s="10">
        <f>Daily_Data!A3547</f>
        <v>41491</v>
      </c>
      <c r="B3547" s="11">
        <f>Daily_Data!J3547</f>
        <v>11.84</v>
      </c>
      <c r="C3547" s="11">
        <f>Daily_Data!I3547</f>
        <v>2.98</v>
      </c>
      <c r="D3547" s="12">
        <f>if(sum(Daily_Data!K3547:L3547)&gt;0,1,0)</f>
        <v>0</v>
      </c>
    </row>
    <row r="3548">
      <c r="A3548" s="10">
        <f>Daily_Data!A3548</f>
        <v>41492</v>
      </c>
      <c r="B3548" s="11">
        <f>Daily_Data!J3548</f>
        <v>12.72</v>
      </c>
      <c r="C3548" s="11">
        <f>Daily_Data!I3548</f>
        <v>3.03</v>
      </c>
      <c r="D3548" s="12">
        <f>if(sum(Daily_Data!K3548:L3548)&gt;0,1,0)</f>
        <v>0</v>
      </c>
    </row>
    <row r="3549">
      <c r="A3549" s="10">
        <f>Daily_Data!A3549</f>
        <v>41493</v>
      </c>
      <c r="B3549" s="11">
        <f>Daily_Data!J3549</f>
        <v>12.98</v>
      </c>
      <c r="C3549" s="11">
        <f>Daily_Data!I3549</f>
        <v>3.05</v>
      </c>
      <c r="D3549" s="12">
        <f>if(sum(Daily_Data!K3549:L3549)&gt;0,1,0)</f>
        <v>0</v>
      </c>
    </row>
    <row r="3550">
      <c r="A3550" s="10">
        <f>Daily_Data!A3550</f>
        <v>41494</v>
      </c>
      <c r="B3550" s="11">
        <f>Daily_Data!J3550</f>
        <v>12.73</v>
      </c>
      <c r="C3550" s="11">
        <f>Daily_Data!I3550</f>
        <v>3.08</v>
      </c>
      <c r="D3550" s="12">
        <f>if(sum(Daily_Data!K3550:L3550)&gt;0,1,0)</f>
        <v>0</v>
      </c>
    </row>
    <row r="3551">
      <c r="A3551" s="10">
        <f>Daily_Data!A3551</f>
        <v>41495</v>
      </c>
      <c r="B3551" s="11">
        <f>Daily_Data!J3551</f>
        <v>13.41</v>
      </c>
      <c r="C3551" s="11">
        <f>Daily_Data!I3551</f>
        <v>3.11</v>
      </c>
      <c r="D3551" s="12">
        <f>if(sum(Daily_Data!K3551:L3551)&gt;0,1,0)</f>
        <v>0</v>
      </c>
    </row>
    <row r="3552">
      <c r="A3552" s="10">
        <f>Daily_Data!A3552</f>
        <v>41498</v>
      </c>
      <c r="B3552" s="11">
        <f>Daily_Data!J3552</f>
        <v>12.81</v>
      </c>
      <c r="C3552" s="11">
        <f>Daily_Data!I3552</f>
        <v>3.08</v>
      </c>
      <c r="D3552" s="12">
        <f>if(sum(Daily_Data!K3552:L3552)&gt;0,1,0)</f>
        <v>0</v>
      </c>
    </row>
    <row r="3553">
      <c r="A3553" s="10">
        <f>Daily_Data!A3553</f>
        <v>41499</v>
      </c>
      <c r="B3553" s="11">
        <f>Daily_Data!J3553</f>
        <v>12.31</v>
      </c>
      <c r="C3553" s="11">
        <f>Daily_Data!I3553</f>
        <v>3.08</v>
      </c>
      <c r="D3553" s="12">
        <f>if(sum(Daily_Data!K3553:L3553)&gt;0,1,0)</f>
        <v>0</v>
      </c>
    </row>
    <row r="3554">
      <c r="A3554" s="10">
        <f>Daily_Data!A3554</f>
        <v>41500</v>
      </c>
      <c r="B3554" s="11">
        <f>Daily_Data!J3554</f>
        <v>13.04</v>
      </c>
      <c r="C3554" s="11">
        <f>Daily_Data!I3554</f>
        <v>3.12</v>
      </c>
      <c r="D3554" s="12">
        <f>if(sum(Daily_Data!K3554:L3554)&gt;0,1,0)</f>
        <v>0</v>
      </c>
    </row>
    <row r="3555">
      <c r="A3555" s="10">
        <f>Daily_Data!A3555</f>
        <v>41501</v>
      </c>
      <c r="B3555" s="11">
        <f>Daily_Data!J3555</f>
        <v>14.73</v>
      </c>
      <c r="C3555" s="11">
        <f>Daily_Data!I3555</f>
        <v>3.17</v>
      </c>
      <c r="D3555" s="12">
        <f>if(sum(Daily_Data!K3555:L3555)&gt;0,1,0)</f>
        <v>1</v>
      </c>
    </row>
    <row r="3556">
      <c r="A3556" s="10">
        <f>Daily_Data!A3556</f>
        <v>41502</v>
      </c>
      <c r="B3556" s="11">
        <f>Daily_Data!J3556</f>
        <v>14.37</v>
      </c>
      <c r="C3556" s="11">
        <f>Daily_Data!I3556</f>
        <v>3.1</v>
      </c>
      <c r="D3556" s="12">
        <f>if(sum(Daily_Data!K3556:L3556)&gt;0,1,0)</f>
        <v>0</v>
      </c>
    </row>
    <row r="3557">
      <c r="A3557" s="10">
        <f>Daily_Data!A3557</f>
        <v>41505</v>
      </c>
      <c r="B3557" s="11">
        <f>Daily_Data!J3557</f>
        <v>15.1</v>
      </c>
      <c r="C3557" s="11">
        <f>Daily_Data!I3557</f>
        <v>3.17</v>
      </c>
      <c r="D3557" s="12">
        <f>if(sum(Daily_Data!K3557:L3557)&gt;0,1,0)</f>
        <v>0</v>
      </c>
    </row>
    <row r="3558">
      <c r="A3558" s="10">
        <f>Daily_Data!A3558</f>
        <v>41506</v>
      </c>
      <c r="B3558" s="11">
        <f>Daily_Data!J3558</f>
        <v>14.91</v>
      </c>
      <c r="C3558" s="11">
        <f>Daily_Data!I3558</f>
        <v>3.07</v>
      </c>
      <c r="D3558" s="12">
        <f>if(sum(Daily_Data!K3558:L3558)&gt;0,1,0)</f>
        <v>0</v>
      </c>
    </row>
    <row r="3559">
      <c r="A3559" s="10">
        <f>Daily_Data!A3559</f>
        <v>41507</v>
      </c>
      <c r="B3559" s="11">
        <f>Daily_Data!J3559</f>
        <v>15.94</v>
      </c>
      <c r="C3559" s="11">
        <f>Daily_Data!I3559</f>
        <v>3.06</v>
      </c>
      <c r="D3559" s="12">
        <f>if(sum(Daily_Data!K3559:L3559)&gt;0,1,0)</f>
        <v>0</v>
      </c>
    </row>
    <row r="3560">
      <c r="A3560" s="10">
        <f>Daily_Data!A3560</f>
        <v>41508</v>
      </c>
      <c r="B3560" s="11">
        <f>Daily_Data!J3560</f>
        <v>14.76</v>
      </c>
      <c r="C3560" s="11">
        <f>Daily_Data!I3560</f>
        <v>3.06</v>
      </c>
      <c r="D3560" s="12">
        <f>if(sum(Daily_Data!K3560:L3560)&gt;0,1,0)</f>
        <v>0</v>
      </c>
    </row>
    <row r="3561">
      <c r="A3561" s="10">
        <f>Daily_Data!A3561</f>
        <v>41509</v>
      </c>
      <c r="B3561" s="11">
        <f>Daily_Data!J3561</f>
        <v>13.98</v>
      </c>
      <c r="C3561" s="11">
        <f>Daily_Data!I3561</f>
        <v>3.05</v>
      </c>
      <c r="D3561" s="12">
        <f>if(sum(Daily_Data!K3561:L3561)&gt;0,1,0)</f>
        <v>0</v>
      </c>
    </row>
    <row r="3562">
      <c r="A3562" s="10">
        <f>Daily_Data!A3562</f>
        <v>41512</v>
      </c>
      <c r="B3562" s="11">
        <f>Daily_Data!J3562</f>
        <v>14.99</v>
      </c>
      <c r="C3562" s="11">
        <f>Daily_Data!I3562</f>
        <v>3.03</v>
      </c>
      <c r="D3562" s="12">
        <f>if(sum(Daily_Data!K3562:L3562)&gt;0,1,0)</f>
        <v>0</v>
      </c>
    </row>
    <row r="3563">
      <c r="A3563" s="10">
        <f>Daily_Data!A3563</f>
        <v>41513</v>
      </c>
      <c r="B3563" s="11">
        <f>Daily_Data!J3563</f>
        <v>16.77</v>
      </c>
      <c r="C3563" s="11">
        <f>Daily_Data!I3563</f>
        <v>3.03</v>
      </c>
      <c r="D3563" s="12">
        <f>if(sum(Daily_Data!K3563:L3563)&gt;0,1,0)</f>
        <v>0</v>
      </c>
    </row>
    <row r="3564">
      <c r="A3564" s="10">
        <f>Daily_Data!A3564</f>
        <v>41514</v>
      </c>
      <c r="B3564" s="11">
        <f>Daily_Data!J3564</f>
        <v>16.49</v>
      </c>
      <c r="C3564" s="11">
        <f>Daily_Data!I3564</f>
        <v>2.99</v>
      </c>
      <c r="D3564" s="12">
        <f>if(sum(Daily_Data!K3564:L3564)&gt;0,1,0)</f>
        <v>0</v>
      </c>
    </row>
    <row r="3565">
      <c r="A3565" s="10">
        <f>Daily_Data!A3565</f>
        <v>41515</v>
      </c>
      <c r="B3565" s="11">
        <f>Daily_Data!J3565</f>
        <v>16.81</v>
      </c>
      <c r="C3565" s="11">
        <f>Daily_Data!I3565</f>
        <v>3.02</v>
      </c>
      <c r="D3565" s="12">
        <f>if(sum(Daily_Data!K3565:L3565)&gt;0,1,0)</f>
        <v>0</v>
      </c>
    </row>
    <row r="3566">
      <c r="A3566" s="10">
        <f>Daily_Data!A3566</f>
        <v>41516</v>
      </c>
      <c r="B3566" s="11">
        <f>Daily_Data!J3566</f>
        <v>17.01</v>
      </c>
      <c r="C3566" s="11">
        <f>Daily_Data!I3566</f>
        <v>3.02</v>
      </c>
      <c r="D3566" s="12">
        <f>if(sum(Daily_Data!K3566:L3566)&gt;0,1,0)</f>
        <v>0</v>
      </c>
    </row>
    <row r="3567">
      <c r="A3567" s="10">
        <f>Daily_Data!A3567</f>
        <v>41519</v>
      </c>
      <c r="B3567" s="11" t="str">
        <f>Daily_Data!J3567</f>
        <v/>
      </c>
      <c r="C3567" s="11" t="str">
        <f>Daily_Data!I3567</f>
        <v/>
      </c>
      <c r="D3567" s="12">
        <f>if(sum(Daily_Data!K3567:L3567)&gt;0,1,0)</f>
        <v>0</v>
      </c>
    </row>
    <row r="3568">
      <c r="A3568" s="10">
        <f>Daily_Data!A3568</f>
        <v>41520</v>
      </c>
      <c r="B3568" s="11">
        <f>Daily_Data!J3568</f>
        <v>16.61</v>
      </c>
      <c r="C3568" s="11">
        <f>Daily_Data!I3568</f>
        <v>3.03</v>
      </c>
      <c r="D3568" s="12">
        <f>if(sum(Daily_Data!K3568:L3568)&gt;0,1,0)</f>
        <v>0</v>
      </c>
    </row>
    <row r="3569">
      <c r="A3569" s="10">
        <f>Daily_Data!A3569</f>
        <v>41521</v>
      </c>
      <c r="B3569" s="11">
        <f>Daily_Data!J3569</f>
        <v>15.88</v>
      </c>
      <c r="C3569" s="11">
        <f>Daily_Data!I3569</f>
        <v>3.04</v>
      </c>
      <c r="D3569" s="12">
        <f>if(sum(Daily_Data!K3569:L3569)&gt;0,1,0)</f>
        <v>0</v>
      </c>
    </row>
    <row r="3570">
      <c r="A3570" s="10">
        <f>Daily_Data!A3570</f>
        <v>41522</v>
      </c>
      <c r="B3570" s="11">
        <f>Daily_Data!J3570</f>
        <v>15.77</v>
      </c>
      <c r="C3570" s="11">
        <f>Daily_Data!I3570</f>
        <v>2.95</v>
      </c>
      <c r="D3570" s="12">
        <f>if(sum(Daily_Data!K3570:L3570)&gt;0,1,0)</f>
        <v>0</v>
      </c>
    </row>
    <row r="3571">
      <c r="A3571" s="10">
        <f>Daily_Data!A3571</f>
        <v>41523</v>
      </c>
      <c r="B3571" s="11">
        <f>Daily_Data!J3571</f>
        <v>15.85</v>
      </c>
      <c r="C3571" s="11">
        <f>Daily_Data!I3571</f>
        <v>3.04</v>
      </c>
      <c r="D3571" s="12">
        <f>if(sum(Daily_Data!K3571:L3571)&gt;0,1,0)</f>
        <v>1</v>
      </c>
    </row>
    <row r="3572">
      <c r="A3572" s="10">
        <f>Daily_Data!A3572</f>
        <v>41526</v>
      </c>
      <c r="B3572" s="11">
        <f>Daily_Data!J3572</f>
        <v>15.63</v>
      </c>
      <c r="C3572" s="11">
        <f>Daily_Data!I3572</f>
        <v>3.02</v>
      </c>
      <c r="D3572" s="12">
        <f>if(sum(Daily_Data!K3572:L3572)&gt;0,1,0)</f>
        <v>0</v>
      </c>
    </row>
    <row r="3573">
      <c r="A3573" s="10">
        <f>Daily_Data!A3573</f>
        <v>41527</v>
      </c>
      <c r="B3573" s="11">
        <f>Daily_Data!J3573</f>
        <v>14.53</v>
      </c>
      <c r="C3573" s="11">
        <f>Daily_Data!I3573</f>
        <v>2.98</v>
      </c>
      <c r="D3573" s="12">
        <f>if(sum(Daily_Data!K3573:L3573)&gt;0,1,0)</f>
        <v>0</v>
      </c>
    </row>
    <row r="3574">
      <c r="A3574" s="10">
        <f>Daily_Data!A3574</f>
        <v>41528</v>
      </c>
      <c r="B3574" s="11">
        <f>Daily_Data!J3574</f>
        <v>13.82</v>
      </c>
      <c r="C3574" s="11">
        <f>Daily_Data!I3574</f>
        <v>3.04</v>
      </c>
      <c r="D3574" s="12">
        <f>if(sum(Daily_Data!K3574:L3574)&gt;0,1,0)</f>
        <v>0</v>
      </c>
    </row>
    <row r="3575">
      <c r="A3575" s="10">
        <f>Daily_Data!A3575</f>
        <v>41529</v>
      </c>
      <c r="B3575" s="11">
        <f>Daily_Data!J3575</f>
        <v>14.29</v>
      </c>
      <c r="C3575" s="11">
        <f>Daily_Data!I3575</f>
        <v>3.07</v>
      </c>
      <c r="D3575" s="12">
        <f>if(sum(Daily_Data!K3575:L3575)&gt;0,1,0)</f>
        <v>0</v>
      </c>
    </row>
    <row r="3576">
      <c r="A3576" s="10">
        <f>Daily_Data!A3576</f>
        <v>41530</v>
      </c>
      <c r="B3576" s="11">
        <f>Daily_Data!J3576</f>
        <v>14.16</v>
      </c>
      <c r="C3576" s="11">
        <f>Daily_Data!I3576</f>
        <v>3.12</v>
      </c>
      <c r="D3576" s="12">
        <f>if(sum(Daily_Data!K3576:L3576)&gt;0,1,0)</f>
        <v>0</v>
      </c>
    </row>
    <row r="3577">
      <c r="A3577" s="10">
        <f>Daily_Data!A3577</f>
        <v>41533</v>
      </c>
      <c r="B3577" s="11">
        <f>Daily_Data!J3577</f>
        <v>14.38</v>
      </c>
      <c r="C3577" s="11">
        <f>Daily_Data!I3577</f>
        <v>3.12</v>
      </c>
      <c r="D3577" s="12">
        <f>if(sum(Daily_Data!K3577:L3577)&gt;0,1,0)</f>
        <v>0</v>
      </c>
    </row>
    <row r="3578">
      <c r="A3578" s="10">
        <f>Daily_Data!A3578</f>
        <v>41534</v>
      </c>
      <c r="B3578" s="11">
        <f>Daily_Data!J3578</f>
        <v>14.53</v>
      </c>
      <c r="C3578" s="11">
        <f>Daily_Data!I3578</f>
        <v>3.17</v>
      </c>
      <c r="D3578" s="12">
        <f>if(sum(Daily_Data!K3578:L3578)&gt;0,1,0)</f>
        <v>1</v>
      </c>
    </row>
    <row r="3579">
      <c r="A3579" s="10">
        <f>Daily_Data!A3579</f>
        <v>41535</v>
      </c>
      <c r="B3579" s="11">
        <f>Daily_Data!J3579</f>
        <v>13.59</v>
      </c>
      <c r="C3579" s="11">
        <f>Daily_Data!I3579</f>
        <v>3.22</v>
      </c>
      <c r="D3579" s="12">
        <f>if(sum(Daily_Data!K3579:L3579)&gt;0,1,0)</f>
        <v>0</v>
      </c>
    </row>
    <row r="3580">
      <c r="A3580" s="10">
        <f>Daily_Data!A3580</f>
        <v>41536</v>
      </c>
      <c r="B3580" s="11">
        <f>Daily_Data!J3580</f>
        <v>13.16</v>
      </c>
      <c r="C3580" s="11">
        <f>Daily_Data!I3580</f>
        <v>3.13</v>
      </c>
      <c r="D3580" s="12">
        <f>if(sum(Daily_Data!K3580:L3580)&gt;0,1,0)</f>
        <v>0</v>
      </c>
    </row>
    <row r="3581">
      <c r="A3581" s="10">
        <f>Daily_Data!A3581</f>
        <v>41537</v>
      </c>
      <c r="B3581" s="11">
        <f>Daily_Data!J3581</f>
        <v>13.12</v>
      </c>
      <c r="C3581" s="11">
        <f>Daily_Data!I3581</f>
        <v>3.14</v>
      </c>
      <c r="D3581" s="12">
        <f>if(sum(Daily_Data!K3581:L3581)&gt;0,1,0)</f>
        <v>0</v>
      </c>
    </row>
    <row r="3582">
      <c r="A3582" s="10">
        <f>Daily_Data!A3582</f>
        <v>41540</v>
      </c>
      <c r="B3582" s="11">
        <f>Daily_Data!J3582</f>
        <v>14.31</v>
      </c>
      <c r="C3582" s="11">
        <f>Daily_Data!I3582</f>
        <v>3.12</v>
      </c>
      <c r="D3582" s="12">
        <f>if(sum(Daily_Data!K3582:L3582)&gt;0,1,0)</f>
        <v>0</v>
      </c>
    </row>
    <row r="3583">
      <c r="A3583" s="10">
        <f>Daily_Data!A3583</f>
        <v>41541</v>
      </c>
      <c r="B3583" s="11">
        <f>Daily_Data!J3583</f>
        <v>14.08</v>
      </c>
      <c r="C3583" s="11">
        <f>Daily_Data!I3583</f>
        <v>3.09</v>
      </c>
      <c r="D3583" s="12">
        <f>if(sum(Daily_Data!K3583:L3583)&gt;0,1,0)</f>
        <v>0</v>
      </c>
    </row>
    <row r="3584">
      <c r="A3584" s="10">
        <f>Daily_Data!A3584</f>
        <v>41542</v>
      </c>
      <c r="B3584" s="11">
        <f>Daily_Data!J3584</f>
        <v>14.01</v>
      </c>
      <c r="C3584" s="11">
        <f>Daily_Data!I3584</f>
        <v>3.08</v>
      </c>
      <c r="D3584" s="12">
        <f>if(sum(Daily_Data!K3584:L3584)&gt;0,1,0)</f>
        <v>0</v>
      </c>
    </row>
    <row r="3585">
      <c r="A3585" s="10">
        <f>Daily_Data!A3585</f>
        <v>41543</v>
      </c>
      <c r="B3585" s="11">
        <f>Daily_Data!J3585</f>
        <v>14.06</v>
      </c>
      <c r="C3585" s="11">
        <f>Daily_Data!I3585</f>
        <v>3.1</v>
      </c>
      <c r="D3585" s="12">
        <f>if(sum(Daily_Data!K3585:L3585)&gt;0,1,0)</f>
        <v>0</v>
      </c>
    </row>
    <row r="3586">
      <c r="A3586" s="10">
        <f>Daily_Data!A3586</f>
        <v>41544</v>
      </c>
      <c r="B3586" s="11">
        <f>Daily_Data!J3586</f>
        <v>15.46</v>
      </c>
      <c r="C3586" s="11">
        <f>Daily_Data!I3586</f>
        <v>3.11</v>
      </c>
      <c r="D3586" s="12">
        <f>if(sum(Daily_Data!K3586:L3586)&gt;0,1,0)</f>
        <v>0</v>
      </c>
    </row>
    <row r="3587">
      <c r="A3587" s="10">
        <f>Daily_Data!A3587</f>
        <v>41547</v>
      </c>
      <c r="B3587" s="11">
        <f>Daily_Data!J3587</f>
        <v>16.6</v>
      </c>
      <c r="C3587" s="11">
        <f>Daily_Data!I3587</f>
        <v>3.09</v>
      </c>
      <c r="D3587" s="12">
        <f>if(sum(Daily_Data!K3587:L3587)&gt;0,1,0)</f>
        <v>0</v>
      </c>
    </row>
    <row r="3588">
      <c r="A3588" s="10">
        <f>Daily_Data!A3588</f>
        <v>41548</v>
      </c>
      <c r="B3588" s="11">
        <f>Daily_Data!J3588</f>
        <v>15.54</v>
      </c>
      <c r="C3588" s="11">
        <f>Daily_Data!I3588</f>
        <v>3.09</v>
      </c>
      <c r="D3588" s="12">
        <f>if(sum(Daily_Data!K3588:L3588)&gt;0,1,0)</f>
        <v>0</v>
      </c>
    </row>
    <row r="3589">
      <c r="A3589" s="10">
        <f>Daily_Data!A3589</f>
        <v>41549</v>
      </c>
      <c r="B3589" s="11">
        <f>Daily_Data!J3589</f>
        <v>16.6</v>
      </c>
      <c r="C3589" s="11">
        <f>Daily_Data!I3589</f>
        <v>3.13</v>
      </c>
      <c r="D3589" s="12">
        <f>if(sum(Daily_Data!K3589:L3589)&gt;0,1,0)</f>
        <v>0</v>
      </c>
    </row>
    <row r="3590">
      <c r="A3590" s="10">
        <f>Daily_Data!A3590</f>
        <v>41550</v>
      </c>
      <c r="B3590" s="11">
        <f>Daily_Data!J3590</f>
        <v>17.67</v>
      </c>
      <c r="C3590" s="11">
        <f>Daily_Data!I3590</f>
        <v>3.11</v>
      </c>
      <c r="D3590" s="12">
        <f>if(sum(Daily_Data!K3590:L3590)&gt;0,1,0)</f>
        <v>0</v>
      </c>
    </row>
    <row r="3591">
      <c r="A3591" s="10">
        <f>Daily_Data!A3591</f>
        <v>41551</v>
      </c>
      <c r="B3591" s="11">
        <f>Daily_Data!J3591</f>
        <v>16.74</v>
      </c>
      <c r="C3591" s="11">
        <f>Daily_Data!I3591</f>
        <v>3.13</v>
      </c>
      <c r="D3591" s="12">
        <f>if(sum(Daily_Data!K3591:L3591)&gt;0,1,0)</f>
        <v>0</v>
      </c>
    </row>
    <row r="3592">
      <c r="A3592" s="10">
        <f>Daily_Data!A3592</f>
        <v>41554</v>
      </c>
      <c r="B3592" s="11">
        <f>Daily_Data!J3592</f>
        <v>19.41</v>
      </c>
      <c r="C3592" s="11">
        <f>Daily_Data!I3592</f>
        <v>3.11</v>
      </c>
      <c r="D3592" s="12">
        <f>if(sum(Daily_Data!K3592:L3592)&gt;0,1,0)</f>
        <v>0</v>
      </c>
    </row>
    <row r="3593">
      <c r="A3593" s="10">
        <f>Daily_Data!A3593</f>
        <v>41555</v>
      </c>
      <c r="B3593" s="11">
        <f>Daily_Data!J3593</f>
        <v>20.34</v>
      </c>
      <c r="C3593" s="11">
        <f>Daily_Data!I3593</f>
        <v>3.09</v>
      </c>
      <c r="D3593" s="12">
        <f>if(sum(Daily_Data!K3593:L3593)&gt;0,1,0)</f>
        <v>0</v>
      </c>
    </row>
    <row r="3594">
      <c r="A3594" s="10">
        <f>Daily_Data!A3594</f>
        <v>41556</v>
      </c>
      <c r="B3594" s="11">
        <f>Daily_Data!J3594</f>
        <v>19.6</v>
      </c>
      <c r="C3594" s="11">
        <f>Daily_Data!I3594</f>
        <v>3.1</v>
      </c>
      <c r="D3594" s="12">
        <f>if(sum(Daily_Data!K3594:L3594)&gt;0,1,0)</f>
        <v>0</v>
      </c>
    </row>
    <row r="3595">
      <c r="A3595" s="10">
        <f>Daily_Data!A3595</f>
        <v>41557</v>
      </c>
      <c r="B3595" s="11">
        <f>Daily_Data!J3595</f>
        <v>16.48</v>
      </c>
      <c r="C3595" s="11">
        <f>Daily_Data!I3595</f>
        <v>3.17</v>
      </c>
      <c r="D3595" s="12">
        <f>if(sum(Daily_Data!K3595:L3595)&gt;0,1,0)</f>
        <v>0</v>
      </c>
    </row>
    <row r="3596">
      <c r="A3596" s="10">
        <f>Daily_Data!A3596</f>
        <v>41558</v>
      </c>
      <c r="B3596" s="11">
        <f>Daily_Data!J3596</f>
        <v>15.72</v>
      </c>
      <c r="C3596" s="11">
        <f>Daily_Data!I3596</f>
        <v>3.17</v>
      </c>
      <c r="D3596" s="12">
        <f>if(sum(Daily_Data!K3596:L3596)&gt;0,1,0)</f>
        <v>0</v>
      </c>
    </row>
    <row r="3597">
      <c r="A3597" s="10">
        <f>Daily_Data!A3597</f>
        <v>41561</v>
      </c>
      <c r="B3597" s="11">
        <f>Daily_Data!J3597</f>
        <v>16.07</v>
      </c>
      <c r="C3597" s="11" t="str">
        <f>Daily_Data!I3597</f>
        <v/>
      </c>
      <c r="D3597" s="12">
        <f>if(sum(Daily_Data!K3597:L3597)&gt;0,1,0)</f>
        <v>0</v>
      </c>
    </row>
    <row r="3598">
      <c r="A3598" s="10">
        <f>Daily_Data!A3598</f>
        <v>41562</v>
      </c>
      <c r="B3598" s="11">
        <f>Daily_Data!J3598</f>
        <v>18.66</v>
      </c>
      <c r="C3598" s="11">
        <f>Daily_Data!I3598</f>
        <v>3.2</v>
      </c>
      <c r="D3598" s="12">
        <f>if(sum(Daily_Data!K3598:L3598)&gt;0,1,0)</f>
        <v>0</v>
      </c>
    </row>
    <row r="3599">
      <c r="A3599" s="10">
        <f>Daily_Data!A3599</f>
        <v>41563</v>
      </c>
      <c r="B3599" s="11">
        <f>Daily_Data!J3599</f>
        <v>14.71</v>
      </c>
      <c r="C3599" s="11">
        <f>Daily_Data!I3599</f>
        <v>3.28</v>
      </c>
      <c r="D3599" s="12">
        <f>if(sum(Daily_Data!K3599:L3599)&gt;0,1,0)</f>
        <v>0</v>
      </c>
    </row>
    <row r="3600">
      <c r="A3600" s="10">
        <f>Daily_Data!A3600</f>
        <v>41564</v>
      </c>
      <c r="B3600" s="11">
        <f>Daily_Data!J3600</f>
        <v>13.48</v>
      </c>
      <c r="C3600" s="11">
        <f>Daily_Data!I3600</f>
        <v>3.24</v>
      </c>
      <c r="D3600" s="12">
        <f>if(sum(Daily_Data!K3600:L3600)&gt;0,1,0)</f>
        <v>0</v>
      </c>
    </row>
    <row r="3601">
      <c r="A3601" s="10">
        <f>Daily_Data!A3601</f>
        <v>41565</v>
      </c>
      <c r="B3601" s="11">
        <f>Daily_Data!J3601</f>
        <v>13.04</v>
      </c>
      <c r="C3601" s="11">
        <f>Daily_Data!I3601</f>
        <v>3.22</v>
      </c>
      <c r="D3601" s="12">
        <f>if(sum(Daily_Data!K3601:L3601)&gt;0,1,0)</f>
        <v>0</v>
      </c>
    </row>
    <row r="3602">
      <c r="A3602" s="10">
        <f>Daily_Data!A3602</f>
        <v>41568</v>
      </c>
      <c r="B3602" s="11">
        <f>Daily_Data!J3602</f>
        <v>13.16</v>
      </c>
      <c r="C3602" s="11">
        <f>Daily_Data!I3602</f>
        <v>3.2</v>
      </c>
      <c r="D3602" s="12">
        <f>if(sum(Daily_Data!K3602:L3602)&gt;0,1,0)</f>
        <v>0</v>
      </c>
    </row>
    <row r="3603">
      <c r="A3603" s="10">
        <f>Daily_Data!A3603</f>
        <v>41569</v>
      </c>
      <c r="B3603" s="11">
        <f>Daily_Data!J3603</f>
        <v>13.33</v>
      </c>
      <c r="C3603" s="11">
        <f>Daily_Data!I3603</f>
        <v>3.23</v>
      </c>
      <c r="D3603" s="12">
        <f>if(sum(Daily_Data!K3603:L3603)&gt;0,1,0)</f>
        <v>1</v>
      </c>
    </row>
    <row r="3604">
      <c r="A3604" s="10">
        <f>Daily_Data!A3604</f>
        <v>41570</v>
      </c>
      <c r="B3604" s="11">
        <f>Daily_Data!J3604</f>
        <v>13.42</v>
      </c>
      <c r="C3604" s="11">
        <f>Daily_Data!I3604</f>
        <v>3.17</v>
      </c>
      <c r="D3604" s="12">
        <f>if(sum(Daily_Data!K3604:L3604)&gt;0,1,0)</f>
        <v>0</v>
      </c>
    </row>
    <row r="3605">
      <c r="A3605" s="10">
        <f>Daily_Data!A3605</f>
        <v>41571</v>
      </c>
      <c r="B3605" s="11">
        <f>Daily_Data!J3605</f>
        <v>13.2</v>
      </c>
      <c r="C3605" s="11">
        <f>Daily_Data!I3605</f>
        <v>3.14</v>
      </c>
      <c r="D3605" s="12">
        <f>if(sum(Daily_Data!K3605:L3605)&gt;0,1,0)</f>
        <v>0</v>
      </c>
    </row>
    <row r="3606">
      <c r="A3606" s="10">
        <f>Daily_Data!A3606</f>
        <v>41572</v>
      </c>
      <c r="B3606" s="11">
        <f>Daily_Data!J3606</f>
        <v>13.09</v>
      </c>
      <c r="C3606" s="11">
        <f>Daily_Data!I3606</f>
        <v>3.09</v>
      </c>
      <c r="D3606" s="12">
        <f>if(sum(Daily_Data!K3606:L3606)&gt;0,1,0)</f>
        <v>0</v>
      </c>
    </row>
    <row r="3607">
      <c r="A3607" s="10">
        <f>Daily_Data!A3607</f>
        <v>41575</v>
      </c>
      <c r="B3607" s="11">
        <f>Daily_Data!J3607</f>
        <v>13.31</v>
      </c>
      <c r="C3607" s="11" t="str">
        <f>Daily_Data!I3607</f>
        <v/>
      </c>
      <c r="D3607" s="12">
        <f>if(sum(Daily_Data!K3607:L3607)&gt;0,1,0)</f>
        <v>0</v>
      </c>
    </row>
    <row r="3608">
      <c r="A3608" s="10">
        <f>Daily_Data!A3608</f>
        <v>41576</v>
      </c>
      <c r="B3608" s="11">
        <f>Daily_Data!J3608</f>
        <v>13.41</v>
      </c>
      <c r="C3608" s="11">
        <f>Daily_Data!I3608</f>
        <v>3.07</v>
      </c>
      <c r="D3608" s="12">
        <f>if(sum(Daily_Data!K3608:L3608)&gt;0,1,0)</f>
        <v>0</v>
      </c>
    </row>
    <row r="3609">
      <c r="A3609" s="10">
        <f>Daily_Data!A3609</f>
        <v>41577</v>
      </c>
      <c r="B3609" s="11">
        <f>Daily_Data!J3609</f>
        <v>13.65</v>
      </c>
      <c r="C3609" s="11">
        <f>Daily_Data!I3609</f>
        <v>3.08</v>
      </c>
      <c r="D3609" s="12">
        <f>if(sum(Daily_Data!K3609:L3609)&gt;0,1,0)</f>
        <v>1</v>
      </c>
    </row>
    <row r="3610">
      <c r="A3610" s="10">
        <f>Daily_Data!A3610</f>
        <v>41578</v>
      </c>
      <c r="B3610" s="11">
        <f>Daily_Data!J3610</f>
        <v>13.75</v>
      </c>
      <c r="C3610" s="11">
        <f>Daily_Data!I3610</f>
        <v>3.13</v>
      </c>
      <c r="D3610" s="12">
        <f>if(sum(Daily_Data!K3610:L3610)&gt;0,1,0)</f>
        <v>0</v>
      </c>
    </row>
    <row r="3611">
      <c r="A3611" s="10">
        <f>Daily_Data!A3611</f>
        <v>41579</v>
      </c>
      <c r="B3611" s="11">
        <f>Daily_Data!J3611</f>
        <v>13.28</v>
      </c>
      <c r="C3611" s="11">
        <f>Daily_Data!I3611</f>
        <v>3.09</v>
      </c>
      <c r="D3611" s="12">
        <f>if(sum(Daily_Data!K3611:L3611)&gt;0,1,0)</f>
        <v>0</v>
      </c>
    </row>
    <row r="3612">
      <c r="A3612" s="10">
        <f>Daily_Data!A3612</f>
        <v>41582</v>
      </c>
      <c r="B3612" s="11">
        <f>Daily_Data!J3612</f>
        <v>12.93</v>
      </c>
      <c r="C3612" s="11">
        <f>Daily_Data!I3612</f>
        <v>3.14</v>
      </c>
      <c r="D3612" s="12">
        <f>if(sum(Daily_Data!K3612:L3612)&gt;0,1,0)</f>
        <v>0</v>
      </c>
    </row>
    <row r="3613">
      <c r="A3613" s="10">
        <f>Daily_Data!A3613</f>
        <v>41583</v>
      </c>
      <c r="B3613" s="11">
        <f>Daily_Data!J3613</f>
        <v>13.27</v>
      </c>
      <c r="C3613" s="11">
        <f>Daily_Data!I3613</f>
        <v>3.14</v>
      </c>
      <c r="D3613" s="12">
        <f>if(sum(Daily_Data!K3613:L3613)&gt;0,1,0)</f>
        <v>0</v>
      </c>
    </row>
    <row r="3614">
      <c r="A3614" s="10">
        <f>Daily_Data!A3614</f>
        <v>41584</v>
      </c>
      <c r="B3614" s="11">
        <f>Daily_Data!J3614</f>
        <v>12.67</v>
      </c>
      <c r="C3614" s="11">
        <f>Daily_Data!I3614</f>
        <v>3.23</v>
      </c>
      <c r="D3614" s="12">
        <f>if(sum(Daily_Data!K3614:L3614)&gt;0,1,0)</f>
        <v>0</v>
      </c>
    </row>
    <row r="3615">
      <c r="A3615" s="10">
        <f>Daily_Data!A3615</f>
        <v>41585</v>
      </c>
      <c r="B3615" s="11">
        <f>Daily_Data!J3615</f>
        <v>13.91</v>
      </c>
      <c r="C3615" s="11">
        <f>Daily_Data!I3615</f>
        <v>3.22</v>
      </c>
      <c r="D3615" s="12">
        <f>if(sum(Daily_Data!K3615:L3615)&gt;0,1,0)</f>
        <v>0</v>
      </c>
    </row>
    <row r="3616">
      <c r="A3616" s="10">
        <f>Daily_Data!A3616</f>
        <v>41586</v>
      </c>
      <c r="B3616" s="11">
        <f>Daily_Data!J3616</f>
        <v>12.9</v>
      </c>
      <c r="C3616" s="11">
        <f>Daily_Data!I3616</f>
        <v>3.18</v>
      </c>
      <c r="D3616" s="12">
        <f>if(sum(Daily_Data!K3616:L3616)&gt;0,1,0)</f>
        <v>1</v>
      </c>
    </row>
    <row r="3617">
      <c r="A3617" s="10">
        <f>Daily_Data!A3617</f>
        <v>41589</v>
      </c>
      <c r="B3617" s="11">
        <f>Daily_Data!J3617</f>
        <v>12.53</v>
      </c>
      <c r="C3617" s="11" t="str">
        <f>Daily_Data!I3617</f>
        <v/>
      </c>
      <c r="D3617" s="12">
        <f>if(sum(Daily_Data!K3617:L3617)&gt;0,1,0)</f>
        <v>0</v>
      </c>
    </row>
    <row r="3618">
      <c r="A3618" s="10">
        <f>Daily_Data!A3618</f>
        <v>41590</v>
      </c>
      <c r="B3618" s="11">
        <f>Daily_Data!J3618</f>
        <v>12.82</v>
      </c>
      <c r="C3618" s="11">
        <f>Daily_Data!I3618</f>
        <v>3.22</v>
      </c>
      <c r="D3618" s="12">
        <f>if(sum(Daily_Data!K3618:L3618)&gt;0,1,0)</f>
        <v>0</v>
      </c>
    </row>
    <row r="3619">
      <c r="A3619" s="10">
        <f>Daily_Data!A3619</f>
        <v>41591</v>
      </c>
      <c r="B3619" s="11">
        <f>Daily_Data!J3619</f>
        <v>12.52</v>
      </c>
      <c r="C3619" s="11">
        <f>Daily_Data!I3619</f>
        <v>3.23</v>
      </c>
      <c r="D3619" s="12">
        <f>if(sum(Daily_Data!K3619:L3619)&gt;0,1,0)</f>
        <v>0</v>
      </c>
    </row>
    <row r="3620">
      <c r="A3620" s="10">
        <f>Daily_Data!A3620</f>
        <v>41592</v>
      </c>
      <c r="B3620" s="11">
        <f>Daily_Data!J3620</f>
        <v>12.37</v>
      </c>
      <c r="C3620" s="11">
        <f>Daily_Data!I3620</f>
        <v>3.24</v>
      </c>
      <c r="D3620" s="12">
        <f>if(sum(Daily_Data!K3620:L3620)&gt;0,1,0)</f>
        <v>0</v>
      </c>
    </row>
    <row r="3621">
      <c r="A3621" s="10">
        <f>Daily_Data!A3621</f>
        <v>41593</v>
      </c>
      <c r="B3621" s="11">
        <f>Daily_Data!J3621</f>
        <v>12.19</v>
      </c>
      <c r="C3621" s="11">
        <f>Daily_Data!I3621</f>
        <v>3.2</v>
      </c>
      <c r="D3621" s="12">
        <f>if(sum(Daily_Data!K3621:L3621)&gt;0,1,0)</f>
        <v>0</v>
      </c>
    </row>
    <row r="3622">
      <c r="A3622" s="10">
        <f>Daily_Data!A3622</f>
        <v>41596</v>
      </c>
      <c r="B3622" s="11">
        <f>Daily_Data!J3622</f>
        <v>13.1</v>
      </c>
      <c r="C3622" s="11">
        <f>Daily_Data!I3622</f>
        <v>3.21</v>
      </c>
      <c r="D3622" s="12">
        <f>if(sum(Daily_Data!K3622:L3622)&gt;0,1,0)</f>
        <v>0</v>
      </c>
    </row>
    <row r="3623">
      <c r="A3623" s="10">
        <f>Daily_Data!A3623</f>
        <v>41597</v>
      </c>
      <c r="B3623" s="11">
        <f>Daily_Data!J3623</f>
        <v>13.39</v>
      </c>
      <c r="C3623" s="11">
        <f>Daily_Data!I3623</f>
        <v>3.24</v>
      </c>
      <c r="D3623" s="12">
        <f>if(sum(Daily_Data!K3623:L3623)&gt;0,1,0)</f>
        <v>0</v>
      </c>
    </row>
    <row r="3624">
      <c r="A3624" s="10">
        <f>Daily_Data!A3624</f>
        <v>41598</v>
      </c>
      <c r="B3624" s="11">
        <f>Daily_Data!J3624</f>
        <v>13.4</v>
      </c>
      <c r="C3624" s="11">
        <f>Daily_Data!I3624</f>
        <v>3.28</v>
      </c>
      <c r="D3624" s="12">
        <f>if(sum(Daily_Data!K3624:L3624)&gt;0,1,0)</f>
        <v>1</v>
      </c>
    </row>
    <row r="3625">
      <c r="A3625" s="10">
        <f>Daily_Data!A3625</f>
        <v>41599</v>
      </c>
      <c r="B3625" s="11">
        <f>Daily_Data!J3625</f>
        <v>12.66</v>
      </c>
      <c r="C3625" s="11">
        <f>Daily_Data!I3625</f>
        <v>3.32</v>
      </c>
      <c r="D3625" s="12">
        <f>if(sum(Daily_Data!K3625:L3625)&gt;0,1,0)</f>
        <v>0</v>
      </c>
    </row>
    <row r="3626">
      <c r="A3626" s="10">
        <f>Daily_Data!A3626</f>
        <v>41600</v>
      </c>
      <c r="B3626" s="11">
        <f>Daily_Data!J3626</f>
        <v>12.26</v>
      </c>
      <c r="C3626" s="11">
        <f>Daily_Data!I3626</f>
        <v>3.34</v>
      </c>
      <c r="D3626" s="12">
        <f>if(sum(Daily_Data!K3626:L3626)&gt;0,1,0)</f>
        <v>0</v>
      </c>
    </row>
    <row r="3627">
      <c r="A3627" s="10">
        <f>Daily_Data!A3627</f>
        <v>41603</v>
      </c>
      <c r="B3627" s="11">
        <f>Daily_Data!J3627</f>
        <v>12.79</v>
      </c>
      <c r="C3627" s="11">
        <f>Daily_Data!I3627</f>
        <v>3.38</v>
      </c>
      <c r="D3627" s="12">
        <f>if(sum(Daily_Data!K3627:L3627)&gt;0,1,0)</f>
        <v>0</v>
      </c>
    </row>
    <row r="3628">
      <c r="A3628" s="10">
        <f>Daily_Data!A3628</f>
        <v>41604</v>
      </c>
      <c r="B3628" s="11">
        <f>Daily_Data!J3628</f>
        <v>12.81</v>
      </c>
      <c r="C3628" s="11">
        <f>Daily_Data!I3628</f>
        <v>3.39</v>
      </c>
      <c r="D3628" s="12">
        <f>if(sum(Daily_Data!K3628:L3628)&gt;0,1,0)</f>
        <v>0</v>
      </c>
    </row>
    <row r="3629">
      <c r="A3629" s="10">
        <f>Daily_Data!A3629</f>
        <v>41605</v>
      </c>
      <c r="B3629" s="11">
        <f>Daily_Data!J3629</f>
        <v>12.98</v>
      </c>
      <c r="C3629" s="11">
        <f>Daily_Data!I3629</f>
        <v>3.39</v>
      </c>
      <c r="D3629" s="12">
        <f>if(sum(Daily_Data!K3629:L3629)&gt;0,1,0)</f>
        <v>0</v>
      </c>
    </row>
    <row r="3630">
      <c r="A3630" s="10">
        <f>Daily_Data!A3630</f>
        <v>41606</v>
      </c>
      <c r="B3630" s="11" t="str">
        <f>Daily_Data!J3630</f>
        <v/>
      </c>
      <c r="C3630" s="11" t="str">
        <f>Daily_Data!I3630</f>
        <v/>
      </c>
      <c r="D3630" s="12">
        <f>if(sum(Daily_Data!K3630:L3630)&gt;0,1,0)</f>
        <v>0</v>
      </c>
    </row>
    <row r="3631">
      <c r="A3631" s="10">
        <f>Daily_Data!A3631</f>
        <v>41607</v>
      </c>
      <c r="B3631" s="11">
        <f>Daily_Data!J3631</f>
        <v>13.7</v>
      </c>
      <c r="C3631" s="11">
        <f>Daily_Data!I3631</f>
        <v>3.41</v>
      </c>
      <c r="D3631" s="12">
        <f>if(sum(Daily_Data!K3631:L3631)&gt;0,1,0)</f>
        <v>0</v>
      </c>
    </row>
    <row r="3632">
      <c r="A3632" s="10">
        <f>Daily_Data!A3632</f>
        <v>41610</v>
      </c>
      <c r="B3632" s="11">
        <f>Daily_Data!J3632</f>
        <v>14.23</v>
      </c>
      <c r="C3632" s="11">
        <f>Daily_Data!I3632</f>
        <v>3.39</v>
      </c>
      <c r="D3632" s="12">
        <f>if(sum(Daily_Data!K3632:L3632)&gt;0,1,0)</f>
        <v>0</v>
      </c>
    </row>
    <row r="3633">
      <c r="A3633" s="10">
        <f>Daily_Data!A3633</f>
        <v>41611</v>
      </c>
      <c r="B3633" s="11">
        <f>Daily_Data!J3633</f>
        <v>14.55</v>
      </c>
      <c r="C3633" s="11">
        <f>Daily_Data!I3633</f>
        <v>3.43</v>
      </c>
      <c r="D3633" s="12">
        <f>if(sum(Daily_Data!K3633:L3633)&gt;0,1,0)</f>
        <v>0</v>
      </c>
    </row>
    <row r="3634">
      <c r="A3634" s="10">
        <f>Daily_Data!A3634</f>
        <v>41612</v>
      </c>
      <c r="B3634" s="11">
        <f>Daily_Data!J3634</f>
        <v>14.7</v>
      </c>
      <c r="C3634" s="11">
        <f>Daily_Data!I3634</f>
        <v>3.43</v>
      </c>
      <c r="D3634" s="12">
        <f>if(sum(Daily_Data!K3634:L3634)&gt;0,1,0)</f>
        <v>0</v>
      </c>
    </row>
    <row r="3635">
      <c r="A3635" s="10">
        <f>Daily_Data!A3635</f>
        <v>41613</v>
      </c>
      <c r="B3635" s="11">
        <f>Daily_Data!J3635</f>
        <v>15.08</v>
      </c>
      <c r="C3635" s="11">
        <f>Daily_Data!I3635</f>
        <v>3.47</v>
      </c>
      <c r="D3635" s="12">
        <f>if(sum(Daily_Data!K3635:L3635)&gt;0,1,0)</f>
        <v>0</v>
      </c>
    </row>
    <row r="3636">
      <c r="A3636" s="10">
        <f>Daily_Data!A3636</f>
        <v>41614</v>
      </c>
      <c r="B3636" s="11">
        <f>Daily_Data!J3636</f>
        <v>13.79</v>
      </c>
      <c r="C3636" s="11">
        <f>Daily_Data!I3636</f>
        <v>3.44</v>
      </c>
      <c r="D3636" s="12">
        <f>if(sum(Daily_Data!K3636:L3636)&gt;0,1,0)</f>
        <v>1</v>
      </c>
    </row>
    <row r="3637">
      <c r="A3637" s="10">
        <f>Daily_Data!A3637</f>
        <v>41617</v>
      </c>
      <c r="B3637" s="11">
        <f>Daily_Data!J3637</f>
        <v>13.49</v>
      </c>
      <c r="C3637" s="11">
        <f>Daily_Data!I3637</f>
        <v>3.42</v>
      </c>
      <c r="D3637" s="12">
        <f>if(sum(Daily_Data!K3637:L3637)&gt;0,1,0)</f>
        <v>0</v>
      </c>
    </row>
    <row r="3638">
      <c r="A3638" s="10">
        <f>Daily_Data!A3638</f>
        <v>41618</v>
      </c>
      <c r="B3638" s="11">
        <f>Daily_Data!J3638</f>
        <v>13.91</v>
      </c>
      <c r="C3638" s="11">
        <f>Daily_Data!I3638</f>
        <v>3.43</v>
      </c>
      <c r="D3638" s="12">
        <f>if(sum(Daily_Data!K3638:L3638)&gt;0,1,0)</f>
        <v>0</v>
      </c>
    </row>
    <row r="3639">
      <c r="A3639" s="10">
        <f>Daily_Data!A3639</f>
        <v>41619</v>
      </c>
      <c r="B3639" s="11">
        <f>Daily_Data!J3639</f>
        <v>15.42</v>
      </c>
      <c r="C3639" s="11">
        <f>Daily_Data!I3639</f>
        <v>3.41</v>
      </c>
      <c r="D3639" s="12">
        <f>if(sum(Daily_Data!K3639:L3639)&gt;0,1,0)</f>
        <v>0</v>
      </c>
    </row>
    <row r="3640">
      <c r="A3640" s="10">
        <f>Daily_Data!A3640</f>
        <v>41620</v>
      </c>
      <c r="B3640" s="11">
        <f>Daily_Data!J3640</f>
        <v>15.54</v>
      </c>
      <c r="C3640" s="11">
        <f>Daily_Data!I3640</f>
        <v>3.41</v>
      </c>
      <c r="D3640" s="12">
        <f>if(sum(Daily_Data!K3640:L3640)&gt;0,1,0)</f>
        <v>0</v>
      </c>
    </row>
    <row r="3641">
      <c r="A3641" s="10">
        <f>Daily_Data!A3641</f>
        <v>41621</v>
      </c>
      <c r="B3641" s="11">
        <f>Daily_Data!J3641</f>
        <v>15.76</v>
      </c>
      <c r="C3641" s="11">
        <f>Daily_Data!I3641</f>
        <v>3.43</v>
      </c>
      <c r="D3641" s="12">
        <f>if(sum(Daily_Data!K3641:L3641)&gt;0,1,0)</f>
        <v>0</v>
      </c>
    </row>
    <row r="3642">
      <c r="A3642" s="10">
        <f>Daily_Data!A3642</f>
        <v>41624</v>
      </c>
      <c r="B3642" s="11">
        <f>Daily_Data!J3642</f>
        <v>16.03</v>
      </c>
      <c r="C3642" s="11">
        <f>Daily_Data!I3642</f>
        <v>3.42</v>
      </c>
      <c r="D3642" s="12">
        <f>if(sum(Daily_Data!K3642:L3642)&gt;0,1,0)</f>
        <v>0</v>
      </c>
    </row>
    <row r="3643">
      <c r="A3643" s="10">
        <f>Daily_Data!A3643</f>
        <v>41625</v>
      </c>
      <c r="B3643" s="11">
        <f>Daily_Data!J3643</f>
        <v>16.21</v>
      </c>
      <c r="C3643" s="11">
        <f>Daily_Data!I3643</f>
        <v>3.44</v>
      </c>
      <c r="D3643" s="12">
        <f>if(sum(Daily_Data!K3643:L3643)&gt;0,1,0)</f>
        <v>1</v>
      </c>
    </row>
    <row r="3644">
      <c r="A3644" s="10">
        <f>Daily_Data!A3644</f>
        <v>41626</v>
      </c>
      <c r="B3644" s="11">
        <f>Daily_Data!J3644</f>
        <v>13.8</v>
      </c>
      <c r="C3644" s="11">
        <f>Daily_Data!I3644</f>
        <v>3.46</v>
      </c>
      <c r="D3644" s="12">
        <f>if(sum(Daily_Data!K3644:L3644)&gt;0,1,0)</f>
        <v>0</v>
      </c>
    </row>
    <row r="3645">
      <c r="A3645" s="10">
        <f>Daily_Data!A3645</f>
        <v>41627</v>
      </c>
      <c r="B3645" s="11">
        <f>Daily_Data!J3645</f>
        <v>14.15</v>
      </c>
      <c r="C3645" s="11">
        <f>Daily_Data!I3645</f>
        <v>3.48</v>
      </c>
      <c r="D3645" s="12">
        <f>if(sum(Daily_Data!K3645:L3645)&gt;0,1,0)</f>
        <v>0</v>
      </c>
    </row>
    <row r="3646">
      <c r="A3646" s="10">
        <f>Daily_Data!A3646</f>
        <v>41628</v>
      </c>
      <c r="B3646" s="11">
        <f>Daily_Data!J3646</f>
        <v>13.79</v>
      </c>
      <c r="C3646" s="11">
        <f>Daily_Data!I3646</f>
        <v>3.44</v>
      </c>
      <c r="D3646" s="12">
        <f>if(sum(Daily_Data!K3646:L3646)&gt;0,1,0)</f>
        <v>0</v>
      </c>
    </row>
    <row r="3647">
      <c r="A3647" s="10">
        <f>Daily_Data!A3647</f>
        <v>41631</v>
      </c>
      <c r="B3647" s="11">
        <f>Daily_Data!J3647</f>
        <v>13.04</v>
      </c>
      <c r="C3647" s="11">
        <f>Daily_Data!I3647</f>
        <v>3.44</v>
      </c>
      <c r="D3647" s="12">
        <f>if(sum(Daily_Data!K3647:L3647)&gt;0,1,0)</f>
        <v>0</v>
      </c>
    </row>
    <row r="3648">
      <c r="A3648" s="10">
        <f>Daily_Data!A3648</f>
        <v>41632</v>
      </c>
      <c r="B3648" s="11">
        <f>Daily_Data!J3648</f>
        <v>12.48</v>
      </c>
      <c r="C3648" s="11">
        <f>Daily_Data!I3648</f>
        <v>3.45</v>
      </c>
      <c r="D3648" s="12">
        <f>if(sum(Daily_Data!K3648:L3648)&gt;0,1,0)</f>
        <v>0</v>
      </c>
    </row>
    <row r="3649">
      <c r="A3649" s="10">
        <f>Daily_Data!A3649</f>
        <v>41633</v>
      </c>
      <c r="B3649" s="11" t="str">
        <f>Daily_Data!J3649</f>
        <v/>
      </c>
      <c r="C3649" s="11" t="str">
        <f>Daily_Data!I3649</f>
        <v/>
      </c>
      <c r="D3649" s="12">
        <f>if(sum(Daily_Data!K3649:L3649)&gt;0,1,0)</f>
        <v>0</v>
      </c>
    </row>
    <row r="3650">
      <c r="A3650" s="10">
        <f>Daily_Data!A3650</f>
        <v>41634</v>
      </c>
      <c r="B3650" s="11">
        <f>Daily_Data!J3650</f>
        <v>12.33</v>
      </c>
      <c r="C3650" s="11" t="str">
        <f>Daily_Data!I3650</f>
        <v/>
      </c>
      <c r="D3650" s="12">
        <f>if(sum(Daily_Data!K3650:L3650)&gt;0,1,0)</f>
        <v>0</v>
      </c>
    </row>
    <row r="3651">
      <c r="A3651" s="10">
        <f>Daily_Data!A3651</f>
        <v>41635</v>
      </c>
      <c r="B3651" s="11">
        <f>Daily_Data!J3651</f>
        <v>12.46</v>
      </c>
      <c r="C3651" s="11">
        <f>Daily_Data!I3651</f>
        <v>3.44</v>
      </c>
      <c r="D3651" s="12">
        <f>if(sum(Daily_Data!K3651:L3651)&gt;0,1,0)</f>
        <v>0</v>
      </c>
    </row>
    <row r="3652">
      <c r="A3652" s="10">
        <f>Daily_Data!A3652</f>
        <v>41638</v>
      </c>
      <c r="B3652" s="11">
        <f>Daily_Data!J3652</f>
        <v>13.56</v>
      </c>
      <c r="C3652" s="11">
        <f>Daily_Data!I3652</f>
        <v>3.46</v>
      </c>
      <c r="D3652" s="12">
        <f>if(sum(Daily_Data!K3652:L3652)&gt;0,1,0)</f>
        <v>0</v>
      </c>
    </row>
    <row r="3653">
      <c r="A3653" s="10">
        <f>Daily_Data!A3653</f>
        <v>41639</v>
      </c>
      <c r="B3653" s="11">
        <f>Daily_Data!J3653</f>
        <v>13.72</v>
      </c>
      <c r="C3653" s="11">
        <f>Daily_Data!I3653</f>
        <v>3.47</v>
      </c>
      <c r="D3653" s="12">
        <f>if(sum(Daily_Data!K3653:L3653)&gt;0,1,0)</f>
        <v>0</v>
      </c>
    </row>
    <row r="3654">
      <c r="A3654" s="10">
        <f>Daily_Data!A3654</f>
        <v>41640</v>
      </c>
      <c r="B3654" s="11" t="str">
        <f>Daily_Data!J3654</f>
        <v/>
      </c>
      <c r="C3654" s="11" t="str">
        <f>Daily_Data!I3654</f>
        <v/>
      </c>
      <c r="D3654" s="12">
        <f>if(sum(Daily_Data!K3654:L3654)&gt;0,1,0)</f>
        <v>0</v>
      </c>
    </row>
    <row r="3655">
      <c r="A3655" s="10">
        <f>Daily_Data!A3655</f>
        <v>41641</v>
      </c>
      <c r="B3655" s="11">
        <f>Daily_Data!J3655</f>
        <v>14.23</v>
      </c>
      <c r="C3655" s="11" t="str">
        <f>Daily_Data!I3655</f>
        <v/>
      </c>
      <c r="D3655" s="12">
        <f>if(sum(Daily_Data!K3655:L3655)&gt;0,1,0)</f>
        <v>0</v>
      </c>
    </row>
    <row r="3656">
      <c r="A3656" s="10">
        <f>Daily_Data!A3656</f>
        <v>41642</v>
      </c>
      <c r="B3656" s="11">
        <f>Daily_Data!J3656</f>
        <v>13.76</v>
      </c>
      <c r="C3656" s="11">
        <f>Daily_Data!I3656</f>
        <v>3.46</v>
      </c>
      <c r="D3656" s="12">
        <f>if(sum(Daily_Data!K3656:L3656)&gt;0,1,0)</f>
        <v>0</v>
      </c>
    </row>
    <row r="3657">
      <c r="A3657" s="10">
        <f>Daily_Data!A3657</f>
        <v>41645</v>
      </c>
      <c r="B3657" s="11">
        <f>Daily_Data!J3657</f>
        <v>13.55</v>
      </c>
      <c r="C3657" s="11">
        <f>Daily_Data!I3657</f>
        <v>3.45</v>
      </c>
      <c r="D3657" s="12">
        <f>if(sum(Daily_Data!K3657:L3657)&gt;0,1,0)</f>
        <v>0</v>
      </c>
    </row>
    <row r="3658">
      <c r="A3658" s="10">
        <f>Daily_Data!A3658</f>
        <v>41646</v>
      </c>
      <c r="B3658" s="11">
        <f>Daily_Data!J3658</f>
        <v>12.92</v>
      </c>
      <c r="C3658" s="11">
        <f>Daily_Data!I3658</f>
        <v>3.43</v>
      </c>
      <c r="D3658" s="12">
        <f>if(sum(Daily_Data!K3658:L3658)&gt;0,1,0)</f>
        <v>0</v>
      </c>
    </row>
    <row r="3659">
      <c r="A3659" s="10">
        <f>Daily_Data!A3659</f>
        <v>41647</v>
      </c>
      <c r="B3659" s="11">
        <f>Daily_Data!J3659</f>
        <v>12.87</v>
      </c>
      <c r="C3659" s="11">
        <f>Daily_Data!I3659</f>
        <v>3.37</v>
      </c>
      <c r="D3659" s="12">
        <f>if(sum(Daily_Data!K3659:L3659)&gt;0,1,0)</f>
        <v>0</v>
      </c>
    </row>
    <row r="3660">
      <c r="A3660" s="10">
        <f>Daily_Data!A3660</f>
        <v>41648</v>
      </c>
      <c r="B3660" s="11">
        <f>Daily_Data!J3660</f>
        <v>12.89</v>
      </c>
      <c r="C3660" s="11">
        <f>Daily_Data!I3660</f>
        <v>3.38</v>
      </c>
      <c r="D3660" s="12">
        <f>if(sum(Daily_Data!K3660:L3660)&gt;0,1,0)</f>
        <v>0</v>
      </c>
    </row>
    <row r="3661">
      <c r="A3661" s="10">
        <f>Daily_Data!A3661</f>
        <v>41649</v>
      </c>
      <c r="B3661" s="11">
        <f>Daily_Data!J3661</f>
        <v>12.14</v>
      </c>
      <c r="C3661" s="11">
        <f>Daily_Data!I3661</f>
        <v>3.42</v>
      </c>
      <c r="D3661" s="12">
        <f>if(sum(Daily_Data!K3661:L3661)&gt;0,1,0)</f>
        <v>1</v>
      </c>
    </row>
    <row r="3662">
      <c r="A3662" s="10">
        <f>Daily_Data!A3662</f>
        <v>41652</v>
      </c>
      <c r="B3662" s="11">
        <f>Daily_Data!J3662</f>
        <v>13.28</v>
      </c>
      <c r="C3662" s="11">
        <f>Daily_Data!I3662</f>
        <v>3.41</v>
      </c>
      <c r="D3662" s="12">
        <f>if(sum(Daily_Data!K3662:L3662)&gt;0,1,0)</f>
        <v>0</v>
      </c>
    </row>
    <row r="3663">
      <c r="A3663" s="10">
        <f>Daily_Data!A3663</f>
        <v>41653</v>
      </c>
      <c r="B3663" s="11">
        <f>Daily_Data!J3663</f>
        <v>12.28</v>
      </c>
      <c r="C3663" s="11">
        <f>Daily_Data!I3663</f>
        <v>3.42</v>
      </c>
      <c r="D3663" s="12">
        <f>if(sum(Daily_Data!K3663:L3663)&gt;0,1,0)</f>
        <v>0</v>
      </c>
    </row>
    <row r="3664">
      <c r="A3664" s="10">
        <f>Daily_Data!A3664</f>
        <v>41654</v>
      </c>
      <c r="B3664" s="11">
        <f>Daily_Data!J3664</f>
        <v>12.28</v>
      </c>
      <c r="C3664" s="11">
        <f>Daily_Data!I3664</f>
        <v>3.41</v>
      </c>
      <c r="D3664" s="12">
        <f>if(sum(Daily_Data!K3664:L3664)&gt;0,1,0)</f>
        <v>0</v>
      </c>
    </row>
    <row r="3665">
      <c r="A3665" s="10">
        <f>Daily_Data!A3665</f>
        <v>41655</v>
      </c>
      <c r="B3665" s="11">
        <f>Daily_Data!J3665</f>
        <v>12.53</v>
      </c>
      <c r="C3665" s="11">
        <f>Daily_Data!I3665</f>
        <v>3.38</v>
      </c>
      <c r="D3665" s="12">
        <f>if(sum(Daily_Data!K3665:L3665)&gt;0,1,0)</f>
        <v>1</v>
      </c>
    </row>
    <row r="3666">
      <c r="A3666" s="10">
        <f>Daily_Data!A3666</f>
        <v>41656</v>
      </c>
      <c r="B3666" s="11">
        <f>Daily_Data!J3666</f>
        <v>12.44</v>
      </c>
      <c r="C3666" s="11">
        <f>Daily_Data!I3666</f>
        <v>3.37</v>
      </c>
      <c r="D3666" s="12">
        <f>if(sum(Daily_Data!K3666:L3666)&gt;0,1,0)</f>
        <v>0</v>
      </c>
    </row>
    <row r="3667">
      <c r="A3667" s="10">
        <f>Daily_Data!A3667</f>
        <v>41659</v>
      </c>
      <c r="B3667" s="11" t="str">
        <f>Daily_Data!J3667</f>
        <v/>
      </c>
      <c r="C3667" s="11" t="str">
        <f>Daily_Data!I3667</f>
        <v/>
      </c>
      <c r="D3667" s="12">
        <f>if(sum(Daily_Data!K3667:L3667)&gt;0,1,0)</f>
        <v>0</v>
      </c>
    </row>
    <row r="3668">
      <c r="A3668" s="10">
        <f>Daily_Data!A3668</f>
        <v>41660</v>
      </c>
      <c r="B3668" s="11">
        <f>Daily_Data!J3668</f>
        <v>12.87</v>
      </c>
      <c r="C3668" s="11">
        <f>Daily_Data!I3668</f>
        <v>3.43</v>
      </c>
      <c r="D3668" s="12">
        <f>if(sum(Daily_Data!K3668:L3668)&gt;0,1,0)</f>
        <v>0</v>
      </c>
    </row>
    <row r="3669">
      <c r="A3669" s="10">
        <f>Daily_Data!A3669</f>
        <v>41661</v>
      </c>
      <c r="B3669" s="11">
        <f>Daily_Data!J3669</f>
        <v>12.84</v>
      </c>
      <c r="C3669" s="11">
        <f>Daily_Data!I3669</f>
        <v>3.42</v>
      </c>
      <c r="D3669" s="12">
        <f>if(sum(Daily_Data!K3669:L3669)&gt;0,1,0)</f>
        <v>0</v>
      </c>
    </row>
    <row r="3670">
      <c r="A3670" s="10">
        <f>Daily_Data!A3670</f>
        <v>41662</v>
      </c>
      <c r="B3670" s="11">
        <f>Daily_Data!J3670</f>
        <v>13.77</v>
      </c>
      <c r="C3670" s="11">
        <f>Daily_Data!I3670</f>
        <v>3.46</v>
      </c>
      <c r="D3670" s="12">
        <f>if(sum(Daily_Data!K3670:L3670)&gt;0,1,0)</f>
        <v>0</v>
      </c>
    </row>
    <row r="3671">
      <c r="A3671" s="10">
        <f>Daily_Data!A3671</f>
        <v>41663</v>
      </c>
      <c r="B3671" s="11">
        <f>Daily_Data!J3671</f>
        <v>18.14</v>
      </c>
      <c r="C3671" s="11">
        <f>Daily_Data!I3671</f>
        <v>3.45</v>
      </c>
      <c r="D3671" s="12">
        <f>if(sum(Daily_Data!K3671:L3671)&gt;0,1,0)</f>
        <v>0</v>
      </c>
    </row>
    <row r="3672">
      <c r="A3672" s="10">
        <f>Daily_Data!A3672</f>
        <v>41666</v>
      </c>
      <c r="B3672" s="11">
        <f>Daily_Data!J3672</f>
        <v>17.42</v>
      </c>
      <c r="C3672" s="11">
        <f>Daily_Data!I3672</f>
        <v>3.45</v>
      </c>
      <c r="D3672" s="12">
        <f>if(sum(Daily_Data!K3672:L3672)&gt;0,1,0)</f>
        <v>0</v>
      </c>
    </row>
    <row r="3673">
      <c r="A3673" s="10">
        <f>Daily_Data!A3673</f>
        <v>41667</v>
      </c>
      <c r="B3673" s="11">
        <f>Daily_Data!J3673</f>
        <v>15.8</v>
      </c>
      <c r="C3673" s="11">
        <f>Daily_Data!I3673</f>
        <v>3.45</v>
      </c>
      <c r="D3673" s="12">
        <f>if(sum(Daily_Data!K3673:L3673)&gt;0,1,0)</f>
        <v>0</v>
      </c>
    </row>
    <row r="3674">
      <c r="A3674" s="10">
        <f>Daily_Data!A3674</f>
        <v>41668</v>
      </c>
      <c r="B3674" s="11">
        <f>Daily_Data!J3674</f>
        <v>17.35</v>
      </c>
      <c r="C3674" s="11">
        <f>Daily_Data!I3674</f>
        <v>3.48</v>
      </c>
      <c r="D3674" s="12">
        <f>if(sum(Daily_Data!K3674:L3674)&gt;0,1,0)</f>
        <v>0</v>
      </c>
    </row>
    <row r="3675">
      <c r="A3675" s="10">
        <f>Daily_Data!A3675</f>
        <v>41669</v>
      </c>
      <c r="B3675" s="11">
        <f>Daily_Data!J3675</f>
        <v>17.29</v>
      </c>
      <c r="C3675" s="11">
        <f>Daily_Data!I3675</f>
        <v>3.42</v>
      </c>
      <c r="D3675" s="12">
        <f>if(sum(Daily_Data!K3675:L3675)&gt;0,1,0)</f>
        <v>0</v>
      </c>
    </row>
    <row r="3676">
      <c r="A3676" s="10">
        <f>Daily_Data!A3676</f>
        <v>41670</v>
      </c>
      <c r="B3676" s="11">
        <f>Daily_Data!J3676</f>
        <v>18.41</v>
      </c>
      <c r="C3676" s="11">
        <f>Daily_Data!I3676</f>
        <v>3.52</v>
      </c>
      <c r="D3676" s="12">
        <f>if(sum(Daily_Data!K3676:L3676)&gt;0,1,0)</f>
        <v>0</v>
      </c>
    </row>
    <row r="3677">
      <c r="A3677" s="10">
        <f>Daily_Data!A3677</f>
        <v>41673</v>
      </c>
      <c r="B3677" s="11">
        <f>Daily_Data!J3677</f>
        <v>21.44</v>
      </c>
      <c r="C3677" s="11">
        <f>Daily_Data!I3677</f>
        <v>3.55</v>
      </c>
      <c r="D3677" s="12">
        <f>if(sum(Daily_Data!K3677:L3677)&gt;0,1,0)</f>
        <v>0</v>
      </c>
    </row>
    <row r="3678">
      <c r="A3678" s="10">
        <f>Daily_Data!A3678</f>
        <v>41674</v>
      </c>
      <c r="B3678" s="11">
        <f>Daily_Data!J3678</f>
        <v>19.11</v>
      </c>
      <c r="C3678" s="11">
        <f>Daily_Data!I3678</f>
        <v>3.5</v>
      </c>
      <c r="D3678" s="12">
        <f>if(sum(Daily_Data!K3678:L3678)&gt;0,1,0)</f>
        <v>0</v>
      </c>
    </row>
    <row r="3679">
      <c r="A3679" s="10">
        <f>Daily_Data!A3679</f>
        <v>41675</v>
      </c>
      <c r="B3679" s="11">
        <f>Daily_Data!J3679</f>
        <v>19.95</v>
      </c>
      <c r="C3679" s="11">
        <f>Daily_Data!I3679</f>
        <v>3.52</v>
      </c>
      <c r="D3679" s="12">
        <f>if(sum(Daily_Data!K3679:L3679)&gt;0,1,0)</f>
        <v>0</v>
      </c>
    </row>
    <row r="3680">
      <c r="A3680" s="10">
        <f>Daily_Data!A3680</f>
        <v>41676</v>
      </c>
      <c r="B3680" s="11">
        <f>Daily_Data!J3680</f>
        <v>17.23</v>
      </c>
      <c r="C3680" s="11" t="str">
        <f>Daily_Data!I3680</f>
        <v/>
      </c>
      <c r="D3680" s="12">
        <f>if(sum(Daily_Data!K3680:L3680)&gt;0,1,0)</f>
        <v>0</v>
      </c>
    </row>
    <row r="3681">
      <c r="A3681" s="10">
        <f>Daily_Data!A3681</f>
        <v>41677</v>
      </c>
      <c r="B3681" s="11">
        <f>Daily_Data!J3681</f>
        <v>15.29</v>
      </c>
      <c r="C3681" s="11">
        <f>Daily_Data!I3681</f>
        <v>3.57</v>
      </c>
      <c r="D3681" s="12">
        <f>if(sum(Daily_Data!K3681:L3681)&gt;0,1,0)</f>
        <v>1</v>
      </c>
    </row>
    <row r="3682">
      <c r="A3682" s="10">
        <f>Daily_Data!A3682</f>
        <v>41680</v>
      </c>
      <c r="B3682" s="11">
        <f>Daily_Data!J3682</f>
        <v>15.26</v>
      </c>
      <c r="C3682" s="11">
        <f>Daily_Data!I3682</f>
        <v>3.53</v>
      </c>
      <c r="D3682" s="12">
        <f>if(sum(Daily_Data!K3682:L3682)&gt;0,1,0)</f>
        <v>0</v>
      </c>
    </row>
    <row r="3683">
      <c r="A3683" s="10">
        <f>Daily_Data!A3683</f>
        <v>41681</v>
      </c>
      <c r="B3683" s="11">
        <f>Daily_Data!J3683</f>
        <v>14.51</v>
      </c>
      <c r="C3683" s="11">
        <f>Daily_Data!I3683</f>
        <v>3.5</v>
      </c>
      <c r="D3683" s="12">
        <f>if(sum(Daily_Data!K3683:L3683)&gt;0,1,0)</f>
        <v>0</v>
      </c>
    </row>
    <row r="3684">
      <c r="A3684" s="10">
        <f>Daily_Data!A3684</f>
        <v>41682</v>
      </c>
      <c r="B3684" s="11">
        <f>Daily_Data!J3684</f>
        <v>14.3</v>
      </c>
      <c r="C3684" s="11">
        <f>Daily_Data!I3684</f>
        <v>3.52</v>
      </c>
      <c r="D3684" s="12">
        <f>if(sum(Daily_Data!K3684:L3684)&gt;0,1,0)</f>
        <v>0</v>
      </c>
    </row>
    <row r="3685">
      <c r="A3685" s="10">
        <f>Daily_Data!A3685</f>
        <v>41683</v>
      </c>
      <c r="B3685" s="11">
        <f>Daily_Data!J3685</f>
        <v>14.14</v>
      </c>
      <c r="C3685" s="11">
        <f>Daily_Data!I3685</f>
        <v>3.55</v>
      </c>
      <c r="D3685" s="12">
        <f>if(sum(Daily_Data!K3685:L3685)&gt;0,1,0)</f>
        <v>0</v>
      </c>
    </row>
    <row r="3686">
      <c r="A3686" s="10">
        <f>Daily_Data!A3686</f>
        <v>41684</v>
      </c>
      <c r="B3686" s="11">
        <f>Daily_Data!J3686</f>
        <v>13.57</v>
      </c>
      <c r="C3686" s="11">
        <f>Daily_Data!I3686</f>
        <v>3.54</v>
      </c>
      <c r="D3686" s="12">
        <f>if(sum(Daily_Data!K3686:L3686)&gt;0,1,0)</f>
        <v>0</v>
      </c>
    </row>
    <row r="3687">
      <c r="A3687" s="10">
        <f>Daily_Data!A3687</f>
        <v>41687</v>
      </c>
      <c r="B3687" s="11" t="str">
        <f>Daily_Data!J3687</f>
        <v/>
      </c>
      <c r="C3687" s="11" t="str">
        <f>Daily_Data!I3687</f>
        <v/>
      </c>
      <c r="D3687" s="12">
        <f>if(sum(Daily_Data!K3687:L3687)&gt;0,1,0)</f>
        <v>0</v>
      </c>
    </row>
    <row r="3688">
      <c r="A3688" s="10">
        <f>Daily_Data!A3688</f>
        <v>41688</v>
      </c>
      <c r="B3688" s="11">
        <f>Daily_Data!J3688</f>
        <v>13.87</v>
      </c>
      <c r="C3688" s="11">
        <f>Daily_Data!I3688</f>
        <v>3.5</v>
      </c>
      <c r="D3688" s="12">
        <f>if(sum(Daily_Data!K3688:L3688)&gt;0,1,0)</f>
        <v>0</v>
      </c>
    </row>
    <row r="3689">
      <c r="A3689" s="10">
        <f>Daily_Data!A3689</f>
        <v>41689</v>
      </c>
      <c r="B3689" s="11">
        <f>Daily_Data!J3689</f>
        <v>15.5</v>
      </c>
      <c r="C3689" s="11">
        <f>Daily_Data!I3689</f>
        <v>3.48</v>
      </c>
      <c r="D3689" s="12">
        <f>if(sum(Daily_Data!K3689:L3689)&gt;0,1,0)</f>
        <v>0</v>
      </c>
    </row>
    <row r="3690">
      <c r="A3690" s="10">
        <f>Daily_Data!A3690</f>
        <v>41690</v>
      </c>
      <c r="B3690" s="11">
        <f>Daily_Data!J3690</f>
        <v>14.79</v>
      </c>
      <c r="C3690" s="11">
        <f>Daily_Data!I3690</f>
        <v>3.47</v>
      </c>
      <c r="D3690" s="12">
        <f>if(sum(Daily_Data!K3690:L3690)&gt;0,1,0)</f>
        <v>1</v>
      </c>
    </row>
    <row r="3691">
      <c r="A3691" s="10">
        <f>Daily_Data!A3691</f>
        <v>41691</v>
      </c>
      <c r="B3691" s="11">
        <f>Daily_Data!J3691</f>
        <v>14.68</v>
      </c>
      <c r="C3691" s="11">
        <f>Daily_Data!I3691</f>
        <v>3.5</v>
      </c>
      <c r="D3691" s="12">
        <f>if(sum(Daily_Data!K3691:L3691)&gt;0,1,0)</f>
        <v>0</v>
      </c>
    </row>
    <row r="3692">
      <c r="A3692" s="10">
        <f>Daily_Data!A3692</f>
        <v>41694</v>
      </c>
      <c r="B3692" s="11">
        <f>Daily_Data!J3692</f>
        <v>14.23</v>
      </c>
      <c r="C3692" s="11">
        <f>Daily_Data!I3692</f>
        <v>3.47</v>
      </c>
      <c r="D3692" s="12">
        <f>if(sum(Daily_Data!K3692:L3692)&gt;0,1,0)</f>
        <v>0</v>
      </c>
    </row>
    <row r="3693">
      <c r="A3693" s="10">
        <f>Daily_Data!A3693</f>
        <v>41695</v>
      </c>
      <c r="B3693" s="11">
        <f>Daily_Data!J3693</f>
        <v>13.67</v>
      </c>
      <c r="C3693" s="11">
        <f>Daily_Data!I3693</f>
        <v>3.48</v>
      </c>
      <c r="D3693" s="12">
        <f>if(sum(Daily_Data!K3693:L3693)&gt;0,1,0)</f>
        <v>0</v>
      </c>
    </row>
    <row r="3694">
      <c r="A3694" s="10">
        <f>Daily_Data!A3694</f>
        <v>41696</v>
      </c>
      <c r="B3694" s="11">
        <f>Daily_Data!J3694</f>
        <v>14.35</v>
      </c>
      <c r="C3694" s="11">
        <f>Daily_Data!I3694</f>
        <v>3.48</v>
      </c>
      <c r="D3694" s="12">
        <f>if(sum(Daily_Data!K3694:L3694)&gt;0,1,0)</f>
        <v>0</v>
      </c>
    </row>
    <row r="3695">
      <c r="A3695" s="10">
        <f>Daily_Data!A3695</f>
        <v>41697</v>
      </c>
      <c r="B3695" s="11">
        <f>Daily_Data!J3695</f>
        <v>14.04</v>
      </c>
      <c r="C3695" s="11">
        <f>Daily_Data!I3695</f>
        <v>3.47</v>
      </c>
      <c r="D3695" s="12">
        <f>if(sum(Daily_Data!K3695:L3695)&gt;0,1,0)</f>
        <v>0</v>
      </c>
    </row>
    <row r="3696">
      <c r="A3696" s="10">
        <f>Daily_Data!A3696</f>
        <v>41698</v>
      </c>
      <c r="B3696" s="11">
        <f>Daily_Data!J3696</f>
        <v>14</v>
      </c>
      <c r="C3696" s="11">
        <f>Daily_Data!I3696</f>
        <v>3.49</v>
      </c>
      <c r="D3696" s="12">
        <f>if(sum(Daily_Data!K3696:L3696)&gt;0,1,0)</f>
        <v>0</v>
      </c>
    </row>
    <row r="3697">
      <c r="A3697" s="10">
        <f>Daily_Data!A3697</f>
        <v>41701</v>
      </c>
      <c r="B3697" s="11">
        <f>Daily_Data!J3697</f>
        <v>16</v>
      </c>
      <c r="C3697" s="11">
        <f>Daily_Data!I3697</f>
        <v>3.48</v>
      </c>
      <c r="D3697" s="12">
        <f>if(sum(Daily_Data!K3697:L3697)&gt;0,1,0)</f>
        <v>0</v>
      </c>
    </row>
    <row r="3698">
      <c r="A3698" s="10">
        <f>Daily_Data!A3698</f>
        <v>41702</v>
      </c>
      <c r="B3698" s="11">
        <f>Daily_Data!J3698</f>
        <v>14.1</v>
      </c>
      <c r="C3698" s="11">
        <f>Daily_Data!I3698</f>
        <v>3.49</v>
      </c>
      <c r="D3698" s="12">
        <f>if(sum(Daily_Data!K3698:L3698)&gt;0,1,0)</f>
        <v>0</v>
      </c>
    </row>
    <row r="3699">
      <c r="A3699" s="10">
        <f>Daily_Data!A3699</f>
        <v>41703</v>
      </c>
      <c r="B3699" s="11">
        <f>Daily_Data!J3699</f>
        <v>13.89</v>
      </c>
      <c r="C3699" s="11">
        <f>Daily_Data!I3699</f>
        <v>3.53</v>
      </c>
      <c r="D3699" s="12">
        <f>if(sum(Daily_Data!K3699:L3699)&gt;0,1,0)</f>
        <v>0</v>
      </c>
    </row>
    <row r="3700">
      <c r="A3700" s="10">
        <f>Daily_Data!A3700</f>
        <v>41704</v>
      </c>
      <c r="B3700" s="11">
        <f>Daily_Data!J3700</f>
        <v>14.21</v>
      </c>
      <c r="C3700" s="11">
        <f>Daily_Data!I3700</f>
        <v>3.53</v>
      </c>
      <c r="D3700" s="12">
        <f>if(sum(Daily_Data!K3700:L3700)&gt;0,1,0)</f>
        <v>0</v>
      </c>
    </row>
    <row r="3701">
      <c r="A3701" s="10">
        <f>Daily_Data!A3701</f>
        <v>41705</v>
      </c>
      <c r="B3701" s="11">
        <f>Daily_Data!J3701</f>
        <v>14.11</v>
      </c>
      <c r="C3701" s="11">
        <f>Daily_Data!I3701</f>
        <v>3.57</v>
      </c>
      <c r="D3701" s="12">
        <f>if(sum(Daily_Data!K3701:L3701)&gt;0,1,0)</f>
        <v>1</v>
      </c>
    </row>
    <row r="3702">
      <c r="A3702" s="10">
        <f>Daily_Data!A3702</f>
        <v>41708</v>
      </c>
      <c r="B3702" s="11">
        <f>Daily_Data!J3702</f>
        <v>14.2</v>
      </c>
      <c r="C3702" s="11">
        <f>Daily_Data!I3702</f>
        <v>3.58</v>
      </c>
      <c r="D3702" s="12">
        <f>if(sum(Daily_Data!K3702:L3702)&gt;0,1,0)</f>
        <v>0</v>
      </c>
    </row>
    <row r="3703">
      <c r="A3703" s="10">
        <f>Daily_Data!A3703</f>
        <v>41709</v>
      </c>
      <c r="B3703" s="11">
        <f>Daily_Data!J3703</f>
        <v>14.8</v>
      </c>
      <c r="C3703" s="11">
        <f>Daily_Data!I3703</f>
        <v>3.56</v>
      </c>
      <c r="D3703" s="12">
        <f>if(sum(Daily_Data!K3703:L3703)&gt;0,1,0)</f>
        <v>0</v>
      </c>
    </row>
    <row r="3704">
      <c r="A3704" s="10">
        <f>Daily_Data!A3704</f>
        <v>41710</v>
      </c>
      <c r="B3704" s="11">
        <f>Daily_Data!J3704</f>
        <v>14.47</v>
      </c>
      <c r="C3704" s="11">
        <f>Daily_Data!I3704</f>
        <v>3.56</v>
      </c>
      <c r="D3704" s="12">
        <f>if(sum(Daily_Data!K3704:L3704)&gt;0,1,0)</f>
        <v>0</v>
      </c>
    </row>
    <row r="3705">
      <c r="A3705" s="10">
        <f>Daily_Data!A3705</f>
        <v>41711</v>
      </c>
      <c r="B3705" s="11">
        <f>Daily_Data!J3705</f>
        <v>16.22</v>
      </c>
      <c r="C3705" s="11">
        <f>Daily_Data!I3705</f>
        <v>3.67</v>
      </c>
      <c r="D3705" s="12">
        <f>if(sum(Daily_Data!K3705:L3705)&gt;0,1,0)</f>
        <v>0</v>
      </c>
    </row>
    <row r="3706">
      <c r="A3706" s="10">
        <f>Daily_Data!A3706</f>
        <v>41712</v>
      </c>
      <c r="B3706" s="11">
        <f>Daily_Data!J3706</f>
        <v>17.82</v>
      </c>
      <c r="C3706" s="11">
        <f>Daily_Data!I3706</f>
        <v>3.67</v>
      </c>
      <c r="D3706" s="12">
        <f>if(sum(Daily_Data!K3706:L3706)&gt;0,1,0)</f>
        <v>0</v>
      </c>
    </row>
    <row r="3707">
      <c r="A3707" s="10">
        <f>Daily_Data!A3707</f>
        <v>41715</v>
      </c>
      <c r="B3707" s="11">
        <f>Daily_Data!J3707</f>
        <v>15.64</v>
      </c>
      <c r="C3707" s="11">
        <f>Daily_Data!I3707</f>
        <v>3.68</v>
      </c>
      <c r="D3707" s="12">
        <f>if(sum(Daily_Data!K3707:L3707)&gt;0,1,0)</f>
        <v>0</v>
      </c>
    </row>
    <row r="3708">
      <c r="A3708" s="10">
        <f>Daily_Data!A3708</f>
        <v>41716</v>
      </c>
      <c r="B3708" s="11">
        <f>Daily_Data!J3708</f>
        <v>14.52</v>
      </c>
      <c r="C3708" s="11">
        <f>Daily_Data!I3708</f>
        <v>3.69</v>
      </c>
      <c r="D3708" s="12">
        <f>if(sum(Daily_Data!K3708:L3708)&gt;0,1,0)</f>
        <v>1</v>
      </c>
    </row>
    <row r="3709">
      <c r="A3709" s="10">
        <f>Daily_Data!A3709</f>
        <v>41717</v>
      </c>
      <c r="B3709" s="11">
        <f>Daily_Data!J3709</f>
        <v>15.12</v>
      </c>
      <c r="C3709" s="11">
        <f>Daily_Data!I3709</f>
        <v>3.56</v>
      </c>
      <c r="D3709" s="12">
        <f>if(sum(Daily_Data!K3709:L3709)&gt;0,1,0)</f>
        <v>0</v>
      </c>
    </row>
    <row r="3710">
      <c r="A3710" s="10">
        <f>Daily_Data!A3710</f>
        <v>41718</v>
      </c>
      <c r="B3710" s="11">
        <f>Daily_Data!J3710</f>
        <v>14.52</v>
      </c>
      <c r="C3710" s="11">
        <f>Daily_Data!I3710</f>
        <v>3.57</v>
      </c>
      <c r="D3710" s="12">
        <f>if(sum(Daily_Data!K3710:L3710)&gt;0,1,0)</f>
        <v>0</v>
      </c>
    </row>
    <row r="3711">
      <c r="A3711" s="10">
        <f>Daily_Data!A3711</f>
        <v>41719</v>
      </c>
      <c r="B3711" s="11">
        <f>Daily_Data!J3711</f>
        <v>15</v>
      </c>
      <c r="C3711" s="11">
        <f>Daily_Data!I3711</f>
        <v>3.57</v>
      </c>
      <c r="D3711" s="12">
        <f>if(sum(Daily_Data!K3711:L3711)&gt;0,1,0)</f>
        <v>0</v>
      </c>
    </row>
    <row r="3712">
      <c r="A3712" s="10">
        <f>Daily_Data!A3712</f>
        <v>41722</v>
      </c>
      <c r="B3712" s="11">
        <f>Daily_Data!J3712</f>
        <v>15.09</v>
      </c>
      <c r="C3712" s="11">
        <f>Daily_Data!I3712</f>
        <v>3.55</v>
      </c>
      <c r="D3712" s="12">
        <f>if(sum(Daily_Data!K3712:L3712)&gt;0,1,0)</f>
        <v>0</v>
      </c>
    </row>
    <row r="3713">
      <c r="A3713" s="10">
        <f>Daily_Data!A3713</f>
        <v>41723</v>
      </c>
      <c r="B3713" s="11">
        <f>Daily_Data!J3713</f>
        <v>14.02</v>
      </c>
      <c r="C3713" s="11">
        <f>Daily_Data!I3713</f>
        <v>3.54</v>
      </c>
      <c r="D3713" s="12">
        <f>if(sum(Daily_Data!K3713:L3713)&gt;0,1,0)</f>
        <v>0</v>
      </c>
    </row>
    <row r="3714">
      <c r="A3714" s="10">
        <f>Daily_Data!A3714</f>
        <v>41724</v>
      </c>
      <c r="B3714" s="11">
        <f>Daily_Data!J3714</f>
        <v>14.93</v>
      </c>
      <c r="C3714" s="11">
        <f>Daily_Data!I3714</f>
        <v>3.56</v>
      </c>
      <c r="D3714" s="12">
        <f>if(sum(Daily_Data!K3714:L3714)&gt;0,1,0)</f>
        <v>0</v>
      </c>
    </row>
    <row r="3715">
      <c r="A3715" s="10">
        <f>Daily_Data!A3715</f>
        <v>41725</v>
      </c>
      <c r="B3715" s="11">
        <f>Daily_Data!J3715</f>
        <v>14.62</v>
      </c>
      <c r="C3715" s="11">
        <f>Daily_Data!I3715</f>
        <v>3.56</v>
      </c>
      <c r="D3715" s="12">
        <f>if(sum(Daily_Data!K3715:L3715)&gt;0,1,0)</f>
        <v>0</v>
      </c>
    </row>
    <row r="3716">
      <c r="A3716" s="10">
        <f>Daily_Data!A3716</f>
        <v>41726</v>
      </c>
      <c r="B3716" s="11">
        <f>Daily_Data!J3716</f>
        <v>14.41</v>
      </c>
      <c r="C3716" s="11">
        <f>Daily_Data!I3716</f>
        <v>3.58</v>
      </c>
      <c r="D3716" s="12">
        <f>if(sum(Daily_Data!K3716:L3716)&gt;0,1,0)</f>
        <v>0</v>
      </c>
    </row>
    <row r="3717">
      <c r="A3717" s="10">
        <f>Daily_Data!A3717</f>
        <v>41729</v>
      </c>
      <c r="B3717" s="11">
        <f>Daily_Data!J3717</f>
        <v>13.88</v>
      </c>
      <c r="C3717" s="11">
        <f>Daily_Data!I3717</f>
        <v>3.61</v>
      </c>
      <c r="D3717" s="12">
        <f>if(sum(Daily_Data!K3717:L3717)&gt;0,1,0)</f>
        <v>0</v>
      </c>
    </row>
    <row r="3718">
      <c r="A3718" s="10">
        <f>Daily_Data!A3718</f>
        <v>41730</v>
      </c>
      <c r="B3718" s="11">
        <f>Daily_Data!J3718</f>
        <v>13.1</v>
      </c>
      <c r="C3718" s="11">
        <f>Daily_Data!I3718</f>
        <v>3.64</v>
      </c>
      <c r="D3718" s="12">
        <f>if(sum(Daily_Data!K3718:L3718)&gt;0,1,0)</f>
        <v>0</v>
      </c>
    </row>
    <row r="3719">
      <c r="A3719" s="10">
        <f>Daily_Data!A3719</f>
        <v>41731</v>
      </c>
      <c r="B3719" s="11">
        <f>Daily_Data!J3719</f>
        <v>13.09</v>
      </c>
      <c r="C3719" s="11">
        <f>Daily_Data!I3719</f>
        <v>3.62</v>
      </c>
      <c r="D3719" s="12">
        <f>if(sum(Daily_Data!K3719:L3719)&gt;0,1,0)</f>
        <v>0</v>
      </c>
    </row>
    <row r="3720">
      <c r="A3720" s="10">
        <f>Daily_Data!A3720</f>
        <v>41732</v>
      </c>
      <c r="B3720" s="11">
        <f>Daily_Data!J3720</f>
        <v>13.37</v>
      </c>
      <c r="C3720" s="11">
        <f>Daily_Data!I3720</f>
        <v>3.63</v>
      </c>
      <c r="D3720" s="12">
        <f>if(sum(Daily_Data!K3720:L3720)&gt;0,1,0)</f>
        <v>0</v>
      </c>
    </row>
    <row r="3721">
      <c r="A3721" s="10">
        <f>Daily_Data!A3721</f>
        <v>41733</v>
      </c>
      <c r="B3721" s="11">
        <f>Daily_Data!J3721</f>
        <v>13.96</v>
      </c>
      <c r="C3721" s="11">
        <f>Daily_Data!I3721</f>
        <v>3.66</v>
      </c>
      <c r="D3721" s="12">
        <f>if(sum(Daily_Data!K3721:L3721)&gt;0,1,0)</f>
        <v>1</v>
      </c>
    </row>
    <row r="3722">
      <c r="A3722" s="10">
        <f>Daily_Data!A3722</f>
        <v>41736</v>
      </c>
      <c r="B3722" s="11">
        <f>Daily_Data!J3722</f>
        <v>15.57</v>
      </c>
      <c r="C3722" s="11">
        <f>Daily_Data!I3722</f>
        <v>3.66</v>
      </c>
      <c r="D3722" s="12">
        <f>if(sum(Daily_Data!K3722:L3722)&gt;0,1,0)</f>
        <v>0</v>
      </c>
    </row>
    <row r="3723">
      <c r="A3723" s="10">
        <f>Daily_Data!A3723</f>
        <v>41737</v>
      </c>
      <c r="B3723" s="11">
        <f>Daily_Data!J3723</f>
        <v>14.89</v>
      </c>
      <c r="C3723" s="11">
        <f>Daily_Data!I3723</f>
        <v>3.67</v>
      </c>
      <c r="D3723" s="12">
        <f>if(sum(Daily_Data!K3723:L3723)&gt;0,1,0)</f>
        <v>0</v>
      </c>
    </row>
    <row r="3724">
      <c r="A3724" s="10">
        <f>Daily_Data!A3724</f>
        <v>41738</v>
      </c>
      <c r="B3724" s="11">
        <f>Daily_Data!J3724</f>
        <v>13.82</v>
      </c>
      <c r="C3724" s="11">
        <f>Daily_Data!I3724</f>
        <v>3.69</v>
      </c>
      <c r="D3724" s="12">
        <f>if(sum(Daily_Data!K3724:L3724)&gt;0,1,0)</f>
        <v>0</v>
      </c>
    </row>
    <row r="3725">
      <c r="A3725" s="10">
        <f>Daily_Data!A3725</f>
        <v>41739</v>
      </c>
      <c r="B3725" s="11">
        <f>Daily_Data!J3725</f>
        <v>15.89</v>
      </c>
      <c r="C3725" s="11">
        <f>Daily_Data!I3725</f>
        <v>3.7</v>
      </c>
      <c r="D3725" s="12">
        <f>if(sum(Daily_Data!K3725:L3725)&gt;0,1,0)</f>
        <v>0</v>
      </c>
    </row>
    <row r="3726">
      <c r="A3726" s="10">
        <f>Daily_Data!A3726</f>
        <v>41740</v>
      </c>
      <c r="B3726" s="11">
        <f>Daily_Data!J3726</f>
        <v>17.03</v>
      </c>
      <c r="C3726" s="11">
        <f>Daily_Data!I3726</f>
        <v>3.69</v>
      </c>
      <c r="D3726" s="12">
        <f>if(sum(Daily_Data!K3726:L3726)&gt;0,1,0)</f>
        <v>0</v>
      </c>
    </row>
    <row r="3727">
      <c r="A3727" s="10">
        <f>Daily_Data!A3727</f>
        <v>41743</v>
      </c>
      <c r="B3727" s="11">
        <f>Daily_Data!J3727</f>
        <v>16.11</v>
      </c>
      <c r="C3727" s="11">
        <f>Daily_Data!I3727</f>
        <v>3.66</v>
      </c>
      <c r="D3727" s="12">
        <f>if(sum(Daily_Data!K3727:L3727)&gt;0,1,0)</f>
        <v>0</v>
      </c>
    </row>
    <row r="3728">
      <c r="A3728" s="10">
        <f>Daily_Data!A3728</f>
        <v>41744</v>
      </c>
      <c r="B3728" s="11">
        <f>Daily_Data!J3728</f>
        <v>15.61</v>
      </c>
      <c r="C3728" s="11">
        <f>Daily_Data!I3728</f>
        <v>3.65</v>
      </c>
      <c r="D3728" s="12">
        <f>if(sum(Daily_Data!K3728:L3728)&gt;0,1,0)</f>
        <v>1</v>
      </c>
    </row>
    <row r="3729">
      <c r="A3729" s="10">
        <f>Daily_Data!A3729</f>
        <v>41745</v>
      </c>
      <c r="B3729" s="11">
        <f>Daily_Data!J3729</f>
        <v>14.18</v>
      </c>
      <c r="C3729" s="11">
        <f>Daily_Data!I3729</f>
        <v>3.61</v>
      </c>
      <c r="D3729" s="12">
        <f>if(sum(Daily_Data!K3729:L3729)&gt;0,1,0)</f>
        <v>0</v>
      </c>
    </row>
    <row r="3730">
      <c r="A3730" s="10">
        <f>Daily_Data!A3730</f>
        <v>41746</v>
      </c>
      <c r="B3730" s="11">
        <f>Daily_Data!J3730</f>
        <v>13.36</v>
      </c>
      <c r="C3730" s="11">
        <f>Daily_Data!I3730</f>
        <v>3.59</v>
      </c>
      <c r="D3730" s="12">
        <f>if(sum(Daily_Data!K3730:L3730)&gt;0,1,0)</f>
        <v>0</v>
      </c>
    </row>
    <row r="3731">
      <c r="A3731" s="10">
        <f>Daily_Data!A3731</f>
        <v>41747</v>
      </c>
      <c r="B3731" s="11" t="str">
        <f>Daily_Data!J3731</f>
        <v/>
      </c>
      <c r="C3731" s="11" t="str">
        <f>Daily_Data!I3731</f>
        <v/>
      </c>
      <c r="D3731" s="12">
        <f>if(sum(Daily_Data!K3731:L3731)&gt;0,1,0)</f>
        <v>0</v>
      </c>
    </row>
    <row r="3732">
      <c r="A3732" s="10">
        <f>Daily_Data!A3732</f>
        <v>41750</v>
      </c>
      <c r="B3732" s="11">
        <f>Daily_Data!J3732</f>
        <v>13.25</v>
      </c>
      <c r="C3732" s="11" t="str">
        <f>Daily_Data!I3732</f>
        <v/>
      </c>
      <c r="D3732" s="12">
        <f>if(sum(Daily_Data!K3732:L3732)&gt;0,1,0)</f>
        <v>0</v>
      </c>
    </row>
    <row r="3733">
      <c r="A3733" s="10">
        <f>Daily_Data!A3733</f>
        <v>41751</v>
      </c>
      <c r="B3733" s="11">
        <f>Daily_Data!J3733</f>
        <v>13.19</v>
      </c>
      <c r="C3733" s="11">
        <f>Daily_Data!I3733</f>
        <v>3.61</v>
      </c>
      <c r="D3733" s="12">
        <f>if(sum(Daily_Data!K3733:L3733)&gt;0,1,0)</f>
        <v>0</v>
      </c>
    </row>
    <row r="3734">
      <c r="A3734" s="10">
        <f>Daily_Data!A3734</f>
        <v>41752</v>
      </c>
      <c r="B3734" s="11">
        <f>Daily_Data!J3734</f>
        <v>13.27</v>
      </c>
      <c r="C3734" s="11">
        <f>Daily_Data!I3734</f>
        <v>3.61</v>
      </c>
      <c r="D3734" s="12">
        <f>if(sum(Daily_Data!K3734:L3734)&gt;0,1,0)</f>
        <v>0</v>
      </c>
    </row>
    <row r="3735">
      <c r="A3735" s="10">
        <f>Daily_Data!A3735</f>
        <v>41753</v>
      </c>
      <c r="B3735" s="11">
        <f>Daily_Data!J3735</f>
        <v>13.32</v>
      </c>
      <c r="C3735" s="11">
        <f>Daily_Data!I3735</f>
        <v>3.6</v>
      </c>
      <c r="D3735" s="12">
        <f>if(sum(Daily_Data!K3735:L3735)&gt;0,1,0)</f>
        <v>0</v>
      </c>
    </row>
    <row r="3736">
      <c r="A3736" s="10">
        <f>Daily_Data!A3736</f>
        <v>41754</v>
      </c>
      <c r="B3736" s="11">
        <f>Daily_Data!J3736</f>
        <v>14.06</v>
      </c>
      <c r="C3736" s="11" t="str">
        <f>Daily_Data!I3736</f>
        <v/>
      </c>
      <c r="D3736" s="12">
        <f>if(sum(Daily_Data!K3736:L3736)&gt;0,1,0)</f>
        <v>0</v>
      </c>
    </row>
    <row r="3737">
      <c r="A3737" s="10">
        <f>Daily_Data!A3737</f>
        <v>41757</v>
      </c>
      <c r="B3737" s="11">
        <f>Daily_Data!J3737</f>
        <v>13.97</v>
      </c>
      <c r="C3737" s="11">
        <f>Daily_Data!I3737</f>
        <v>3.57</v>
      </c>
      <c r="D3737" s="12">
        <f>if(sum(Daily_Data!K3737:L3737)&gt;0,1,0)</f>
        <v>0</v>
      </c>
    </row>
    <row r="3738">
      <c r="A3738" s="10">
        <f>Daily_Data!A3738</f>
        <v>41758</v>
      </c>
      <c r="B3738" s="11">
        <f>Daily_Data!J3738</f>
        <v>13.71</v>
      </c>
      <c r="C3738" s="11">
        <f>Daily_Data!I3738</f>
        <v>3.56</v>
      </c>
      <c r="D3738" s="12">
        <f>if(sum(Daily_Data!K3738:L3738)&gt;0,1,0)</f>
        <v>0</v>
      </c>
    </row>
    <row r="3739">
      <c r="A3739" s="10">
        <f>Daily_Data!A3739</f>
        <v>41759</v>
      </c>
      <c r="B3739" s="11">
        <f>Daily_Data!J3739</f>
        <v>13.41</v>
      </c>
      <c r="C3739" s="11">
        <f>Daily_Data!I3739</f>
        <v>3.58</v>
      </c>
      <c r="D3739" s="12">
        <f>if(sum(Daily_Data!K3739:L3739)&gt;0,1,0)</f>
        <v>0</v>
      </c>
    </row>
    <row r="3740">
      <c r="A3740" s="10">
        <f>Daily_Data!A3740</f>
        <v>41760</v>
      </c>
      <c r="B3740" s="11">
        <f>Daily_Data!J3740</f>
        <v>13.25</v>
      </c>
      <c r="C3740" s="11">
        <f>Daily_Data!I3740</f>
        <v>3.58</v>
      </c>
      <c r="D3740" s="12">
        <f>if(sum(Daily_Data!K3740:L3740)&gt;0,1,0)</f>
        <v>0</v>
      </c>
    </row>
    <row r="3741">
      <c r="A3741" s="10">
        <f>Daily_Data!A3741</f>
        <v>41761</v>
      </c>
      <c r="B3741" s="11">
        <f>Daily_Data!J3741</f>
        <v>12.91</v>
      </c>
      <c r="C3741" s="11">
        <f>Daily_Data!I3741</f>
        <v>3.59</v>
      </c>
      <c r="D3741" s="12">
        <f>if(sum(Daily_Data!K3741:L3741)&gt;0,1,0)</f>
        <v>1</v>
      </c>
    </row>
    <row r="3742">
      <c r="A3742" s="10">
        <f>Daily_Data!A3742</f>
        <v>41764</v>
      </c>
      <c r="B3742" s="11">
        <f>Daily_Data!J3742</f>
        <v>13.29</v>
      </c>
      <c r="C3742" s="11">
        <f>Daily_Data!I3742</f>
        <v>3.56</v>
      </c>
      <c r="D3742" s="12">
        <f>if(sum(Daily_Data!K3742:L3742)&gt;0,1,0)</f>
        <v>0</v>
      </c>
    </row>
    <row r="3743">
      <c r="A3743" s="10">
        <f>Daily_Data!A3743</f>
        <v>41765</v>
      </c>
      <c r="B3743" s="11">
        <f>Daily_Data!J3743</f>
        <v>13.8</v>
      </c>
      <c r="C3743" s="11">
        <f>Daily_Data!I3743</f>
        <v>3.58</v>
      </c>
      <c r="D3743" s="12">
        <f>if(sum(Daily_Data!K3743:L3743)&gt;0,1,0)</f>
        <v>0</v>
      </c>
    </row>
    <row r="3744">
      <c r="A3744" s="10">
        <f>Daily_Data!A3744</f>
        <v>41766</v>
      </c>
      <c r="B3744" s="11">
        <f>Daily_Data!J3744</f>
        <v>13.4</v>
      </c>
      <c r="C3744" s="11">
        <f>Daily_Data!I3744</f>
        <v>3.54</v>
      </c>
      <c r="D3744" s="12">
        <f>if(sum(Daily_Data!K3744:L3744)&gt;0,1,0)</f>
        <v>0</v>
      </c>
    </row>
    <row r="3745">
      <c r="A3745" s="10">
        <f>Daily_Data!A3745</f>
        <v>41767</v>
      </c>
      <c r="B3745" s="11">
        <f>Daily_Data!J3745</f>
        <v>13.43</v>
      </c>
      <c r="C3745" s="11">
        <f>Daily_Data!I3745</f>
        <v>3.54</v>
      </c>
      <c r="D3745" s="12">
        <f>if(sum(Daily_Data!K3745:L3745)&gt;0,1,0)</f>
        <v>0</v>
      </c>
    </row>
    <row r="3746">
      <c r="A3746" s="10">
        <f>Daily_Data!A3746</f>
        <v>41768</v>
      </c>
      <c r="B3746" s="11">
        <f>Daily_Data!J3746</f>
        <v>12.92</v>
      </c>
      <c r="C3746" s="11">
        <f>Daily_Data!I3746</f>
        <v>3.56</v>
      </c>
      <c r="D3746" s="12">
        <f>if(sum(Daily_Data!K3746:L3746)&gt;0,1,0)</f>
        <v>0</v>
      </c>
    </row>
    <row r="3747">
      <c r="A3747" s="10">
        <f>Daily_Data!A3747</f>
        <v>41771</v>
      </c>
      <c r="B3747" s="11">
        <f>Daily_Data!J3747</f>
        <v>12.23</v>
      </c>
      <c r="C3747" s="11">
        <f>Daily_Data!I3747</f>
        <v>3.56</v>
      </c>
      <c r="D3747" s="12">
        <f>if(sum(Daily_Data!K3747:L3747)&gt;0,1,0)</f>
        <v>0</v>
      </c>
    </row>
    <row r="3748">
      <c r="A3748" s="10">
        <f>Daily_Data!A3748</f>
        <v>41772</v>
      </c>
      <c r="B3748" s="11">
        <f>Daily_Data!J3748</f>
        <v>12.13</v>
      </c>
      <c r="C3748" s="11">
        <f>Daily_Data!I3748</f>
        <v>3.62</v>
      </c>
      <c r="D3748" s="12">
        <f>if(sum(Daily_Data!K3748:L3748)&gt;0,1,0)</f>
        <v>0</v>
      </c>
    </row>
    <row r="3749">
      <c r="A3749" s="10">
        <f>Daily_Data!A3749</f>
        <v>41773</v>
      </c>
      <c r="B3749" s="11">
        <f>Daily_Data!J3749</f>
        <v>12.17</v>
      </c>
      <c r="C3749" s="11">
        <f>Daily_Data!I3749</f>
        <v>3.6</v>
      </c>
      <c r="D3749" s="12">
        <f>if(sum(Daily_Data!K3749:L3749)&gt;0,1,0)</f>
        <v>0</v>
      </c>
    </row>
    <row r="3750">
      <c r="A3750" s="10">
        <f>Daily_Data!A3750</f>
        <v>41774</v>
      </c>
      <c r="B3750" s="11">
        <f>Daily_Data!J3750</f>
        <v>13.17</v>
      </c>
      <c r="C3750" s="11">
        <f>Daily_Data!I3750</f>
        <v>3.61</v>
      </c>
      <c r="D3750" s="12">
        <f>if(sum(Daily_Data!K3750:L3750)&gt;0,1,0)</f>
        <v>1</v>
      </c>
    </row>
    <row r="3751">
      <c r="A3751" s="10">
        <f>Daily_Data!A3751</f>
        <v>41775</v>
      </c>
      <c r="B3751" s="11">
        <f>Daily_Data!J3751</f>
        <v>12.44</v>
      </c>
      <c r="C3751" s="11">
        <f>Daily_Data!I3751</f>
        <v>3.58</v>
      </c>
      <c r="D3751" s="12">
        <f>if(sum(Daily_Data!K3751:L3751)&gt;0,1,0)</f>
        <v>0</v>
      </c>
    </row>
    <row r="3752">
      <c r="A3752" s="10">
        <f>Daily_Data!A3752</f>
        <v>41778</v>
      </c>
      <c r="B3752" s="11">
        <f>Daily_Data!J3752</f>
        <v>12.42</v>
      </c>
      <c r="C3752" s="11">
        <f>Daily_Data!I3752</f>
        <v>3.6</v>
      </c>
      <c r="D3752" s="12">
        <f>if(sum(Daily_Data!K3752:L3752)&gt;0,1,0)</f>
        <v>0</v>
      </c>
    </row>
    <row r="3753">
      <c r="A3753" s="10">
        <f>Daily_Data!A3753</f>
        <v>41779</v>
      </c>
      <c r="B3753" s="11">
        <f>Daily_Data!J3753</f>
        <v>12.96</v>
      </c>
      <c r="C3753" s="11">
        <f>Daily_Data!I3753</f>
        <v>3.62</v>
      </c>
      <c r="D3753" s="12">
        <f>if(sum(Daily_Data!K3753:L3753)&gt;0,1,0)</f>
        <v>0</v>
      </c>
    </row>
    <row r="3754">
      <c r="A3754" s="10">
        <f>Daily_Data!A3754</f>
        <v>41780</v>
      </c>
      <c r="B3754" s="11">
        <f>Daily_Data!J3754</f>
        <v>11.91</v>
      </c>
      <c r="C3754" s="11">
        <f>Daily_Data!I3754</f>
        <v>3.58</v>
      </c>
      <c r="D3754" s="12">
        <f>if(sum(Daily_Data!K3754:L3754)&gt;0,1,0)</f>
        <v>0</v>
      </c>
    </row>
    <row r="3755">
      <c r="A3755" s="10">
        <f>Daily_Data!A3755</f>
        <v>41781</v>
      </c>
      <c r="B3755" s="11">
        <f>Daily_Data!J3755</f>
        <v>12.03</v>
      </c>
      <c r="C3755" s="11">
        <f>Daily_Data!I3755</f>
        <v>3.61</v>
      </c>
      <c r="D3755" s="12">
        <f>if(sum(Daily_Data!K3755:L3755)&gt;0,1,0)</f>
        <v>0</v>
      </c>
    </row>
    <row r="3756">
      <c r="A3756" s="10">
        <f>Daily_Data!A3756</f>
        <v>41782</v>
      </c>
      <c r="B3756" s="11">
        <f>Daily_Data!J3756</f>
        <v>11.36</v>
      </c>
      <c r="C3756" s="11">
        <f>Daily_Data!I3756</f>
        <v>3.6</v>
      </c>
      <c r="D3756" s="12">
        <f>if(sum(Daily_Data!K3756:L3756)&gt;0,1,0)</f>
        <v>0</v>
      </c>
    </row>
    <row r="3757">
      <c r="A3757" s="10">
        <f>Daily_Data!A3757</f>
        <v>41785</v>
      </c>
      <c r="B3757" s="11" t="str">
        <f>Daily_Data!J3757</f>
        <v/>
      </c>
      <c r="C3757" s="11" t="str">
        <f>Daily_Data!I3757</f>
        <v/>
      </c>
      <c r="D3757" s="12">
        <f>if(sum(Daily_Data!K3757:L3757)&gt;0,1,0)</f>
        <v>0</v>
      </c>
    </row>
    <row r="3758">
      <c r="A3758" s="10">
        <f>Daily_Data!A3758</f>
        <v>41786</v>
      </c>
      <c r="B3758" s="11">
        <f>Daily_Data!J3758</f>
        <v>11.51</v>
      </c>
      <c r="C3758" s="11">
        <f>Daily_Data!I3758</f>
        <v>3.54</v>
      </c>
      <c r="D3758" s="12">
        <f>if(sum(Daily_Data!K3758:L3758)&gt;0,1,0)</f>
        <v>0</v>
      </c>
    </row>
    <row r="3759">
      <c r="A3759" s="10">
        <f>Daily_Data!A3759</f>
        <v>41787</v>
      </c>
      <c r="B3759" s="11">
        <f>Daily_Data!J3759</f>
        <v>11.68</v>
      </c>
      <c r="C3759" s="11">
        <f>Daily_Data!I3759</f>
        <v>3.55</v>
      </c>
      <c r="D3759" s="12">
        <f>if(sum(Daily_Data!K3759:L3759)&gt;0,1,0)</f>
        <v>0</v>
      </c>
    </row>
    <row r="3760">
      <c r="A3760" s="10">
        <f>Daily_Data!A3760</f>
        <v>41788</v>
      </c>
      <c r="B3760" s="11">
        <f>Daily_Data!J3760</f>
        <v>11.57</v>
      </c>
      <c r="C3760" s="11">
        <f>Daily_Data!I3760</f>
        <v>3.51</v>
      </c>
      <c r="D3760" s="12">
        <f>if(sum(Daily_Data!K3760:L3760)&gt;0,1,0)</f>
        <v>0</v>
      </c>
    </row>
    <row r="3761">
      <c r="A3761" s="10">
        <f>Daily_Data!A3761</f>
        <v>41789</v>
      </c>
      <c r="B3761" s="11">
        <f>Daily_Data!J3761</f>
        <v>11.4</v>
      </c>
      <c r="C3761" s="11">
        <f>Daily_Data!I3761</f>
        <v>3.56</v>
      </c>
      <c r="D3761" s="12">
        <f>if(sum(Daily_Data!K3761:L3761)&gt;0,1,0)</f>
        <v>0</v>
      </c>
    </row>
    <row r="3762">
      <c r="A3762" s="10">
        <f>Daily_Data!A3762</f>
        <v>41792</v>
      </c>
      <c r="B3762" s="11">
        <f>Daily_Data!J3762</f>
        <v>11.58</v>
      </c>
      <c r="C3762" s="11" t="str">
        <f>Daily_Data!I3762</f>
        <v/>
      </c>
      <c r="D3762" s="12">
        <f>if(sum(Daily_Data!K3762:L3762)&gt;0,1,0)</f>
        <v>0</v>
      </c>
    </row>
    <row r="3763">
      <c r="A3763" s="10">
        <f>Daily_Data!A3763</f>
        <v>41793</v>
      </c>
      <c r="B3763" s="11">
        <f>Daily_Data!J3763</f>
        <v>11.87</v>
      </c>
      <c r="C3763" s="11">
        <f>Daily_Data!I3763</f>
        <v>3.53</v>
      </c>
      <c r="D3763" s="12">
        <f>if(sum(Daily_Data!K3763:L3763)&gt;0,1,0)</f>
        <v>0</v>
      </c>
    </row>
    <row r="3764">
      <c r="A3764" s="10">
        <f>Daily_Data!A3764</f>
        <v>41794</v>
      </c>
      <c r="B3764" s="11">
        <f>Daily_Data!J3764</f>
        <v>12.08</v>
      </c>
      <c r="C3764" s="11">
        <f>Daily_Data!I3764</f>
        <v>3.55</v>
      </c>
      <c r="D3764" s="12">
        <f>if(sum(Daily_Data!K3764:L3764)&gt;0,1,0)</f>
        <v>0</v>
      </c>
    </row>
    <row r="3765">
      <c r="A3765" s="10">
        <f>Daily_Data!A3765</f>
        <v>41795</v>
      </c>
      <c r="B3765" s="11">
        <f>Daily_Data!J3765</f>
        <v>11.68</v>
      </c>
      <c r="C3765" s="11">
        <f>Daily_Data!I3765</f>
        <v>3.55</v>
      </c>
      <c r="D3765" s="12">
        <f>if(sum(Daily_Data!K3765:L3765)&gt;0,1,0)</f>
        <v>0</v>
      </c>
    </row>
    <row r="3766">
      <c r="A3766" s="10">
        <f>Daily_Data!A3766</f>
        <v>41796</v>
      </c>
      <c r="B3766" s="11">
        <f>Daily_Data!J3766</f>
        <v>10.73</v>
      </c>
      <c r="C3766" s="11">
        <f>Daily_Data!I3766</f>
        <v>3.54</v>
      </c>
      <c r="D3766" s="12">
        <f>if(sum(Daily_Data!K3766:L3766)&gt;0,1,0)</f>
        <v>1</v>
      </c>
    </row>
    <row r="3767">
      <c r="A3767" s="10">
        <f>Daily_Data!A3767</f>
        <v>41799</v>
      </c>
      <c r="B3767" s="11">
        <f>Daily_Data!J3767</f>
        <v>11.15</v>
      </c>
      <c r="C3767" s="11">
        <f>Daily_Data!I3767</f>
        <v>3.55</v>
      </c>
      <c r="D3767" s="12">
        <f>if(sum(Daily_Data!K3767:L3767)&gt;0,1,0)</f>
        <v>0</v>
      </c>
    </row>
    <row r="3768">
      <c r="A3768" s="10">
        <f>Daily_Data!A3768</f>
        <v>41800</v>
      </c>
      <c r="B3768" s="11">
        <f>Daily_Data!J3768</f>
        <v>10.99</v>
      </c>
      <c r="C3768" s="11">
        <f>Daily_Data!I3768</f>
        <v>3.56</v>
      </c>
      <c r="D3768" s="12">
        <f>if(sum(Daily_Data!K3768:L3768)&gt;0,1,0)</f>
        <v>0</v>
      </c>
    </row>
    <row r="3769">
      <c r="A3769" s="10">
        <f>Daily_Data!A3769</f>
        <v>41801</v>
      </c>
      <c r="B3769" s="11">
        <f>Daily_Data!J3769</f>
        <v>11.6</v>
      </c>
      <c r="C3769" s="11">
        <f>Daily_Data!I3769</f>
        <v>3.59</v>
      </c>
      <c r="D3769" s="12">
        <f>if(sum(Daily_Data!K3769:L3769)&gt;0,1,0)</f>
        <v>0</v>
      </c>
    </row>
    <row r="3770">
      <c r="A3770" s="10">
        <f>Daily_Data!A3770</f>
        <v>41802</v>
      </c>
      <c r="B3770" s="11">
        <f>Daily_Data!J3770</f>
        <v>12.56</v>
      </c>
      <c r="C3770" s="11">
        <f>Daily_Data!I3770</f>
        <v>3.71</v>
      </c>
      <c r="D3770" s="12">
        <f>if(sum(Daily_Data!K3770:L3770)&gt;0,1,0)</f>
        <v>0</v>
      </c>
    </row>
    <row r="3771">
      <c r="A3771" s="10">
        <f>Daily_Data!A3771</f>
        <v>41803</v>
      </c>
      <c r="B3771" s="11">
        <f>Daily_Data!J3771</f>
        <v>12.18</v>
      </c>
      <c r="C3771" s="11">
        <f>Daily_Data!I3771</f>
        <v>3.73</v>
      </c>
      <c r="D3771" s="12">
        <f>if(sum(Daily_Data!K3771:L3771)&gt;0,1,0)</f>
        <v>0</v>
      </c>
    </row>
    <row r="3772">
      <c r="A3772" s="10">
        <f>Daily_Data!A3772</f>
        <v>41806</v>
      </c>
      <c r="B3772" s="11">
        <f>Daily_Data!J3772</f>
        <v>12.65</v>
      </c>
      <c r="C3772" s="11">
        <f>Daily_Data!I3772</f>
        <v>3.72</v>
      </c>
      <c r="D3772" s="12">
        <f>if(sum(Daily_Data!K3772:L3772)&gt;0,1,0)</f>
        <v>0</v>
      </c>
    </row>
    <row r="3773">
      <c r="A3773" s="10">
        <f>Daily_Data!A3773</f>
        <v>41807</v>
      </c>
      <c r="B3773" s="11">
        <f>Daily_Data!J3773</f>
        <v>12.06</v>
      </c>
      <c r="C3773" s="11">
        <f>Daily_Data!I3773</f>
        <v>3.67</v>
      </c>
      <c r="D3773" s="12">
        <f>if(sum(Daily_Data!K3773:L3773)&gt;0,1,0)</f>
        <v>1</v>
      </c>
    </row>
    <row r="3774">
      <c r="A3774" s="10">
        <f>Daily_Data!A3774</f>
        <v>41808</v>
      </c>
      <c r="B3774" s="11">
        <f>Daily_Data!J3774</f>
        <v>10.61</v>
      </c>
      <c r="C3774" s="11">
        <f>Daily_Data!I3774</f>
        <v>3.73</v>
      </c>
      <c r="D3774" s="12">
        <f>if(sum(Daily_Data!K3774:L3774)&gt;0,1,0)</f>
        <v>0</v>
      </c>
    </row>
    <row r="3775">
      <c r="A3775" s="10">
        <f>Daily_Data!A3775</f>
        <v>41809</v>
      </c>
      <c r="B3775" s="11">
        <f>Daily_Data!J3775</f>
        <v>10.62</v>
      </c>
      <c r="C3775" s="11">
        <f>Daily_Data!I3775</f>
        <v>3.68</v>
      </c>
      <c r="D3775" s="12">
        <f>if(sum(Daily_Data!K3775:L3775)&gt;0,1,0)</f>
        <v>0</v>
      </c>
    </row>
    <row r="3776">
      <c r="A3776" s="10">
        <f>Daily_Data!A3776</f>
        <v>41810</v>
      </c>
      <c r="B3776" s="11">
        <f>Daily_Data!J3776</f>
        <v>10.85</v>
      </c>
      <c r="C3776" s="11">
        <f>Daily_Data!I3776</f>
        <v>3.65</v>
      </c>
      <c r="D3776" s="12">
        <f>if(sum(Daily_Data!K3776:L3776)&gt;0,1,0)</f>
        <v>0</v>
      </c>
    </row>
    <row r="3777">
      <c r="A3777" s="10">
        <f>Daily_Data!A3777</f>
        <v>41813</v>
      </c>
      <c r="B3777" s="11">
        <f>Daily_Data!J3777</f>
        <v>10.98</v>
      </c>
      <c r="C3777" s="11">
        <f>Daily_Data!I3777</f>
        <v>3.69</v>
      </c>
      <c r="D3777" s="12">
        <f>if(sum(Daily_Data!K3777:L3777)&gt;0,1,0)</f>
        <v>0</v>
      </c>
    </row>
    <row r="3778">
      <c r="A3778" s="10">
        <f>Daily_Data!A3778</f>
        <v>41814</v>
      </c>
      <c r="B3778" s="11">
        <f>Daily_Data!J3778</f>
        <v>12.13</v>
      </c>
      <c r="C3778" s="11">
        <f>Daily_Data!I3778</f>
        <v>3.7</v>
      </c>
      <c r="D3778" s="12">
        <f>if(sum(Daily_Data!K3778:L3778)&gt;0,1,0)</f>
        <v>0</v>
      </c>
    </row>
    <row r="3779">
      <c r="A3779" s="10">
        <f>Daily_Data!A3779</f>
        <v>41815</v>
      </c>
      <c r="B3779" s="11">
        <f>Daily_Data!J3779</f>
        <v>11.59</v>
      </c>
      <c r="C3779" s="11">
        <f>Daily_Data!I3779</f>
        <v>3.69</v>
      </c>
      <c r="D3779" s="12">
        <f>if(sum(Daily_Data!K3779:L3779)&gt;0,1,0)</f>
        <v>0</v>
      </c>
    </row>
    <row r="3780">
      <c r="A3780" s="10">
        <f>Daily_Data!A3780</f>
        <v>41816</v>
      </c>
      <c r="B3780" s="11">
        <f>Daily_Data!J3780</f>
        <v>11.63</v>
      </c>
      <c r="C3780" s="11">
        <f>Daily_Data!I3780</f>
        <v>3.75</v>
      </c>
      <c r="D3780" s="12">
        <f>if(sum(Daily_Data!K3780:L3780)&gt;0,1,0)</f>
        <v>0</v>
      </c>
    </row>
    <row r="3781">
      <c r="A3781" s="10">
        <f>Daily_Data!A3781</f>
        <v>41817</v>
      </c>
      <c r="B3781" s="11">
        <f>Daily_Data!J3781</f>
        <v>11.26</v>
      </c>
      <c r="C3781" s="11">
        <f>Daily_Data!I3781</f>
        <v>3.74</v>
      </c>
      <c r="D3781" s="12">
        <f>if(sum(Daily_Data!K3781:L3781)&gt;0,1,0)</f>
        <v>0</v>
      </c>
    </row>
    <row r="3782">
      <c r="A3782" s="10">
        <f>Daily_Data!A3782</f>
        <v>41820</v>
      </c>
      <c r="B3782" s="11">
        <f>Daily_Data!J3782</f>
        <v>11.57</v>
      </c>
      <c r="C3782" s="11">
        <f>Daily_Data!I3782</f>
        <v>3.74</v>
      </c>
      <c r="D3782" s="12">
        <f>if(sum(Daily_Data!K3782:L3782)&gt;0,1,0)</f>
        <v>0</v>
      </c>
    </row>
    <row r="3783">
      <c r="A3783" s="10">
        <f>Daily_Data!A3783</f>
        <v>41821</v>
      </c>
      <c r="B3783" s="11">
        <f>Daily_Data!J3783</f>
        <v>11.15</v>
      </c>
      <c r="C3783" s="11">
        <f>Daily_Data!I3783</f>
        <v>3.77</v>
      </c>
      <c r="D3783" s="12">
        <f>if(sum(Daily_Data!K3783:L3783)&gt;0,1,0)</f>
        <v>0</v>
      </c>
    </row>
    <row r="3784">
      <c r="A3784" s="10">
        <f>Daily_Data!A3784</f>
        <v>41822</v>
      </c>
      <c r="B3784" s="11">
        <f>Daily_Data!J3784</f>
        <v>10.82</v>
      </c>
      <c r="C3784" s="11">
        <f>Daily_Data!I3784</f>
        <v>3.74</v>
      </c>
      <c r="D3784" s="12">
        <f>if(sum(Daily_Data!K3784:L3784)&gt;0,1,0)</f>
        <v>0</v>
      </c>
    </row>
    <row r="3785">
      <c r="A3785" s="10">
        <f>Daily_Data!A3785</f>
        <v>41823</v>
      </c>
      <c r="B3785" s="11">
        <f>Daily_Data!J3785</f>
        <v>10.32</v>
      </c>
      <c r="C3785" s="11">
        <f>Daily_Data!I3785</f>
        <v>3.7</v>
      </c>
      <c r="D3785" s="12">
        <f>if(sum(Daily_Data!K3785:L3785)&gt;0,1,0)</f>
        <v>1</v>
      </c>
    </row>
    <row r="3786">
      <c r="A3786" s="10">
        <f>Daily_Data!A3786</f>
        <v>41824</v>
      </c>
      <c r="B3786" s="11" t="str">
        <f>Daily_Data!J3786</f>
        <v/>
      </c>
      <c r="C3786" s="11" t="str">
        <f>Daily_Data!I3786</f>
        <v/>
      </c>
      <c r="D3786" s="12">
        <f>if(sum(Daily_Data!K3786:L3786)&gt;0,1,0)</f>
        <v>0</v>
      </c>
    </row>
    <row r="3787">
      <c r="A3787" s="10">
        <f>Daily_Data!A3787</f>
        <v>41827</v>
      </c>
      <c r="B3787" s="11">
        <f>Daily_Data!J3787</f>
        <v>11.33</v>
      </c>
      <c r="C3787" s="11">
        <f>Daily_Data!I3787</f>
        <v>3.73</v>
      </c>
      <c r="D3787" s="12">
        <f>if(sum(Daily_Data!K3787:L3787)&gt;0,1,0)</f>
        <v>0</v>
      </c>
    </row>
    <row r="3788">
      <c r="A3788" s="10">
        <f>Daily_Data!A3788</f>
        <v>41828</v>
      </c>
      <c r="B3788" s="11">
        <f>Daily_Data!J3788</f>
        <v>11.98</v>
      </c>
      <c r="C3788" s="11">
        <f>Daily_Data!I3788</f>
        <v>3.75</v>
      </c>
      <c r="D3788" s="12">
        <f>if(sum(Daily_Data!K3788:L3788)&gt;0,1,0)</f>
        <v>0</v>
      </c>
    </row>
    <row r="3789">
      <c r="A3789" s="10">
        <f>Daily_Data!A3789</f>
        <v>41829</v>
      </c>
      <c r="B3789" s="11">
        <f>Daily_Data!J3789</f>
        <v>11.65</v>
      </c>
      <c r="C3789" s="11">
        <f>Daily_Data!I3789</f>
        <v>3.73</v>
      </c>
      <c r="D3789" s="12">
        <f>if(sum(Daily_Data!K3789:L3789)&gt;0,1,0)</f>
        <v>0</v>
      </c>
    </row>
    <row r="3790">
      <c r="A3790" s="10">
        <f>Daily_Data!A3790</f>
        <v>41830</v>
      </c>
      <c r="B3790" s="11">
        <f>Daily_Data!J3790</f>
        <v>12.59</v>
      </c>
      <c r="C3790" s="11">
        <f>Daily_Data!I3790</f>
        <v>3.77</v>
      </c>
      <c r="D3790" s="12">
        <f>if(sum(Daily_Data!K3790:L3790)&gt;0,1,0)</f>
        <v>0</v>
      </c>
    </row>
    <row r="3791">
      <c r="A3791" s="10">
        <f>Daily_Data!A3791</f>
        <v>41831</v>
      </c>
      <c r="B3791" s="11">
        <f>Daily_Data!J3791</f>
        <v>12.08</v>
      </c>
      <c r="C3791" s="11">
        <f>Daily_Data!I3791</f>
        <v>3.71</v>
      </c>
      <c r="D3791" s="12">
        <f>if(sum(Daily_Data!K3791:L3791)&gt;0,1,0)</f>
        <v>0</v>
      </c>
    </row>
    <row r="3792">
      <c r="A3792" s="10">
        <f>Daily_Data!A3792</f>
        <v>41834</v>
      </c>
      <c r="B3792" s="11">
        <f>Daily_Data!J3792</f>
        <v>11.82</v>
      </c>
      <c r="C3792" s="11">
        <f>Daily_Data!I3792</f>
        <v>3.72</v>
      </c>
      <c r="D3792" s="12">
        <f>if(sum(Daily_Data!K3792:L3792)&gt;0,1,0)</f>
        <v>0</v>
      </c>
    </row>
    <row r="3793">
      <c r="A3793" s="10">
        <f>Daily_Data!A3793</f>
        <v>41835</v>
      </c>
      <c r="B3793" s="11">
        <f>Daily_Data!J3793</f>
        <v>11.96</v>
      </c>
      <c r="C3793" s="11">
        <f>Daily_Data!I3793</f>
        <v>3.73</v>
      </c>
      <c r="D3793" s="12">
        <f>if(sum(Daily_Data!K3793:L3793)&gt;0,1,0)</f>
        <v>0</v>
      </c>
    </row>
    <row r="3794">
      <c r="A3794" s="10">
        <f>Daily_Data!A3794</f>
        <v>41836</v>
      </c>
      <c r="B3794" s="11">
        <f>Daily_Data!J3794</f>
        <v>11</v>
      </c>
      <c r="C3794" s="11">
        <f>Daily_Data!I3794</f>
        <v>3.63</v>
      </c>
      <c r="D3794" s="12">
        <f>if(sum(Daily_Data!K3794:L3794)&gt;0,1,0)</f>
        <v>0</v>
      </c>
    </row>
    <row r="3795">
      <c r="A3795" s="10">
        <f>Daily_Data!A3795</f>
        <v>41837</v>
      </c>
      <c r="B3795" s="11">
        <f>Daily_Data!J3795</f>
        <v>14.54</v>
      </c>
      <c r="C3795" s="11">
        <f>Daily_Data!I3795</f>
        <v>3.67</v>
      </c>
      <c r="D3795" s="12">
        <f>if(sum(Daily_Data!K3795:L3795)&gt;0,1,0)</f>
        <v>0</v>
      </c>
    </row>
    <row r="3796">
      <c r="A3796" s="10">
        <f>Daily_Data!A3796</f>
        <v>41838</v>
      </c>
      <c r="B3796" s="11">
        <f>Daily_Data!J3796</f>
        <v>12.06</v>
      </c>
      <c r="C3796" s="11">
        <f>Daily_Data!I3796</f>
        <v>3.59</v>
      </c>
      <c r="D3796" s="12">
        <f>if(sum(Daily_Data!K3796:L3796)&gt;0,1,0)</f>
        <v>0</v>
      </c>
    </row>
    <row r="3797">
      <c r="A3797" s="10">
        <f>Daily_Data!A3797</f>
        <v>41841</v>
      </c>
      <c r="B3797" s="11">
        <f>Daily_Data!J3797</f>
        <v>12.81</v>
      </c>
      <c r="C3797" s="11">
        <f>Daily_Data!I3797</f>
        <v>3.62</v>
      </c>
      <c r="D3797" s="12">
        <f>if(sum(Daily_Data!K3797:L3797)&gt;0,1,0)</f>
        <v>0</v>
      </c>
    </row>
    <row r="3798">
      <c r="A3798" s="10">
        <f>Daily_Data!A3798</f>
        <v>41842</v>
      </c>
      <c r="B3798" s="11">
        <f>Daily_Data!J3798</f>
        <v>12.24</v>
      </c>
      <c r="C3798" s="11">
        <f>Daily_Data!I3798</f>
        <v>3.62</v>
      </c>
      <c r="D3798" s="12">
        <f>if(sum(Daily_Data!K3798:L3798)&gt;0,1,0)</f>
        <v>1</v>
      </c>
    </row>
    <row r="3799">
      <c r="A3799" s="10">
        <f>Daily_Data!A3799</f>
        <v>41843</v>
      </c>
      <c r="B3799" s="11">
        <f>Daily_Data!J3799</f>
        <v>11.52</v>
      </c>
      <c r="C3799" s="11">
        <f>Daily_Data!I3799</f>
        <v>3.63</v>
      </c>
      <c r="D3799" s="12">
        <f>if(sum(Daily_Data!K3799:L3799)&gt;0,1,0)</f>
        <v>0</v>
      </c>
    </row>
    <row r="3800">
      <c r="A3800" s="10">
        <f>Daily_Data!A3800</f>
        <v>41844</v>
      </c>
      <c r="B3800" s="11">
        <f>Daily_Data!J3800</f>
        <v>11.84</v>
      </c>
      <c r="C3800" s="11">
        <f>Daily_Data!I3800</f>
        <v>3.56</v>
      </c>
      <c r="D3800" s="12">
        <f>if(sum(Daily_Data!K3800:L3800)&gt;0,1,0)</f>
        <v>0</v>
      </c>
    </row>
    <row r="3801">
      <c r="A3801" s="10">
        <f>Daily_Data!A3801</f>
        <v>41845</v>
      </c>
      <c r="B3801" s="11">
        <f>Daily_Data!J3801</f>
        <v>12.69</v>
      </c>
      <c r="C3801" s="11">
        <f>Daily_Data!I3801</f>
        <v>3.58</v>
      </c>
      <c r="D3801" s="12">
        <f>if(sum(Daily_Data!K3801:L3801)&gt;0,1,0)</f>
        <v>0</v>
      </c>
    </row>
    <row r="3802">
      <c r="A3802" s="10">
        <f>Daily_Data!A3802</f>
        <v>41848</v>
      </c>
      <c r="B3802" s="11">
        <f>Daily_Data!J3802</f>
        <v>12.56</v>
      </c>
      <c r="C3802" s="11">
        <f>Daily_Data!I3802</f>
        <v>3.54</v>
      </c>
      <c r="D3802" s="12">
        <f>if(sum(Daily_Data!K3802:L3802)&gt;0,1,0)</f>
        <v>0</v>
      </c>
    </row>
    <row r="3803">
      <c r="A3803" s="10">
        <f>Daily_Data!A3803</f>
        <v>41849</v>
      </c>
      <c r="B3803" s="11">
        <f>Daily_Data!J3803</f>
        <v>13.28</v>
      </c>
      <c r="C3803" s="11">
        <f>Daily_Data!I3803</f>
        <v>3.54</v>
      </c>
      <c r="D3803" s="12">
        <f>if(sum(Daily_Data!K3803:L3803)&gt;0,1,0)</f>
        <v>0</v>
      </c>
    </row>
    <row r="3804">
      <c r="A3804" s="10">
        <f>Daily_Data!A3804</f>
        <v>41850</v>
      </c>
      <c r="B3804" s="11">
        <f>Daily_Data!J3804</f>
        <v>13.33</v>
      </c>
      <c r="C3804" s="11">
        <f>Daily_Data!I3804</f>
        <v>3.5</v>
      </c>
      <c r="D3804" s="12">
        <f>if(sum(Daily_Data!K3804:L3804)&gt;0,1,0)</f>
        <v>0</v>
      </c>
    </row>
    <row r="3805">
      <c r="A3805" s="10">
        <f>Daily_Data!A3805</f>
        <v>41851</v>
      </c>
      <c r="B3805" s="11">
        <f>Daily_Data!J3805</f>
        <v>16.95</v>
      </c>
      <c r="C3805" s="11">
        <f>Daily_Data!I3805</f>
        <v>3.56</v>
      </c>
      <c r="D3805" s="12">
        <f>if(sum(Daily_Data!K3805:L3805)&gt;0,1,0)</f>
        <v>0</v>
      </c>
    </row>
    <row r="3806">
      <c r="A3806" s="10">
        <f>Daily_Data!A3806</f>
        <v>41852</v>
      </c>
      <c r="B3806" s="11">
        <f>Daily_Data!J3806</f>
        <v>17.03</v>
      </c>
      <c r="C3806" s="11">
        <f>Daily_Data!I3806</f>
        <v>3.62</v>
      </c>
      <c r="D3806" s="12">
        <f>if(sum(Daily_Data!K3806:L3806)&gt;0,1,0)</f>
        <v>1</v>
      </c>
    </row>
    <row r="3807">
      <c r="A3807" s="10">
        <f>Daily_Data!A3807</f>
        <v>41855</v>
      </c>
      <c r="B3807" s="11">
        <f>Daily_Data!J3807</f>
        <v>15.12</v>
      </c>
      <c r="C3807" s="11">
        <f>Daily_Data!I3807</f>
        <v>3.6</v>
      </c>
      <c r="D3807" s="12">
        <f>if(sum(Daily_Data!K3807:L3807)&gt;0,1,0)</f>
        <v>0</v>
      </c>
    </row>
    <row r="3808">
      <c r="A3808" s="10">
        <f>Daily_Data!A3808</f>
        <v>41856</v>
      </c>
      <c r="B3808" s="11">
        <f>Daily_Data!J3808</f>
        <v>16.87</v>
      </c>
      <c r="C3808" s="11">
        <f>Daily_Data!I3808</f>
        <v>3.61</v>
      </c>
      <c r="D3808" s="12">
        <f>if(sum(Daily_Data!K3808:L3808)&gt;0,1,0)</f>
        <v>0</v>
      </c>
    </row>
    <row r="3809">
      <c r="A3809" s="10">
        <f>Daily_Data!A3809</f>
        <v>41857</v>
      </c>
      <c r="B3809" s="11">
        <f>Daily_Data!J3809</f>
        <v>16.37</v>
      </c>
      <c r="C3809" s="11">
        <f>Daily_Data!I3809</f>
        <v>3.61</v>
      </c>
      <c r="D3809" s="12">
        <f>if(sum(Daily_Data!K3809:L3809)&gt;0,1,0)</f>
        <v>0</v>
      </c>
    </row>
    <row r="3810">
      <c r="A3810" s="10">
        <f>Daily_Data!A3810</f>
        <v>41858</v>
      </c>
      <c r="B3810" s="11">
        <f>Daily_Data!J3810</f>
        <v>16.66</v>
      </c>
      <c r="C3810" s="11">
        <f>Daily_Data!I3810</f>
        <v>3.64</v>
      </c>
      <c r="D3810" s="12">
        <f>if(sum(Daily_Data!K3810:L3810)&gt;0,1,0)</f>
        <v>0</v>
      </c>
    </row>
    <row r="3811">
      <c r="A3811" s="10">
        <f>Daily_Data!A3811</f>
        <v>41859</v>
      </c>
      <c r="B3811" s="11">
        <f>Daily_Data!J3811</f>
        <v>15.77</v>
      </c>
      <c r="C3811" s="11">
        <f>Daily_Data!I3811</f>
        <v>3.59</v>
      </c>
      <c r="D3811" s="12">
        <f>if(sum(Daily_Data!K3811:L3811)&gt;0,1,0)</f>
        <v>0</v>
      </c>
    </row>
    <row r="3812">
      <c r="A3812" s="10">
        <f>Daily_Data!A3812</f>
        <v>41862</v>
      </c>
      <c r="B3812" s="11">
        <f>Daily_Data!J3812</f>
        <v>14.23</v>
      </c>
      <c r="C3812" s="11">
        <f>Daily_Data!I3812</f>
        <v>3.6</v>
      </c>
      <c r="D3812" s="12">
        <f>if(sum(Daily_Data!K3812:L3812)&gt;0,1,0)</f>
        <v>0</v>
      </c>
    </row>
    <row r="3813">
      <c r="A3813" s="10">
        <f>Daily_Data!A3813</f>
        <v>41863</v>
      </c>
      <c r="B3813" s="11">
        <f>Daily_Data!J3813</f>
        <v>14.13</v>
      </c>
      <c r="C3813" s="11">
        <f>Daily_Data!I3813</f>
        <v>3.62</v>
      </c>
      <c r="D3813" s="12">
        <f>if(sum(Daily_Data!K3813:L3813)&gt;0,1,0)</f>
        <v>0</v>
      </c>
    </row>
    <row r="3814">
      <c r="A3814" s="10">
        <f>Daily_Data!A3814</f>
        <v>41864</v>
      </c>
      <c r="B3814" s="11">
        <f>Daily_Data!J3814</f>
        <v>12.9</v>
      </c>
      <c r="C3814" s="11">
        <f>Daily_Data!I3814</f>
        <v>3.64</v>
      </c>
      <c r="D3814" s="12">
        <f>if(sum(Daily_Data!K3814:L3814)&gt;0,1,0)</f>
        <v>0</v>
      </c>
    </row>
    <row r="3815">
      <c r="A3815" s="10">
        <f>Daily_Data!A3815</f>
        <v>41865</v>
      </c>
      <c r="B3815" s="11">
        <f>Daily_Data!J3815</f>
        <v>12.42</v>
      </c>
      <c r="C3815" s="11">
        <f>Daily_Data!I3815</f>
        <v>3.63</v>
      </c>
      <c r="D3815" s="12">
        <f>if(sum(Daily_Data!K3815:L3815)&gt;0,1,0)</f>
        <v>0</v>
      </c>
    </row>
    <row r="3816">
      <c r="A3816" s="10">
        <f>Daily_Data!A3816</f>
        <v>41866</v>
      </c>
      <c r="B3816" s="11">
        <f>Daily_Data!J3816</f>
        <v>13.15</v>
      </c>
      <c r="C3816" s="11">
        <f>Daily_Data!I3816</f>
        <v>3.63</v>
      </c>
      <c r="D3816" s="12">
        <f>if(sum(Daily_Data!K3816:L3816)&gt;0,1,0)</f>
        <v>0</v>
      </c>
    </row>
    <row r="3817">
      <c r="A3817" s="10">
        <f>Daily_Data!A3817</f>
        <v>41869</v>
      </c>
      <c r="B3817" s="11">
        <f>Daily_Data!J3817</f>
        <v>12.32</v>
      </c>
      <c r="C3817" s="11">
        <f>Daily_Data!I3817</f>
        <v>3.58</v>
      </c>
      <c r="D3817" s="12">
        <f>if(sum(Daily_Data!K3817:L3817)&gt;0,1,0)</f>
        <v>0</v>
      </c>
    </row>
    <row r="3818">
      <c r="A3818" s="10">
        <f>Daily_Data!A3818</f>
        <v>41870</v>
      </c>
      <c r="B3818" s="11">
        <f>Daily_Data!J3818</f>
        <v>12.21</v>
      </c>
      <c r="C3818" s="11">
        <f>Daily_Data!I3818</f>
        <v>3.58</v>
      </c>
      <c r="D3818" s="12">
        <f>if(sum(Daily_Data!K3818:L3818)&gt;0,1,0)</f>
        <v>1</v>
      </c>
    </row>
    <row r="3819">
      <c r="A3819" s="10">
        <f>Daily_Data!A3819</f>
        <v>41871</v>
      </c>
      <c r="B3819" s="11">
        <f>Daily_Data!J3819</f>
        <v>11.78</v>
      </c>
      <c r="C3819" s="11">
        <f>Daily_Data!I3819</f>
        <v>3.58</v>
      </c>
      <c r="D3819" s="12">
        <f>if(sum(Daily_Data!K3819:L3819)&gt;0,1,0)</f>
        <v>0</v>
      </c>
    </row>
    <row r="3820">
      <c r="A3820" s="10">
        <f>Daily_Data!A3820</f>
        <v>41872</v>
      </c>
      <c r="B3820" s="11">
        <f>Daily_Data!J3820</f>
        <v>11.76</v>
      </c>
      <c r="C3820" s="11">
        <f>Daily_Data!I3820</f>
        <v>3.6</v>
      </c>
      <c r="D3820" s="12">
        <f>if(sum(Daily_Data!K3820:L3820)&gt;0,1,0)</f>
        <v>0</v>
      </c>
    </row>
    <row r="3821">
      <c r="A3821" s="10">
        <f>Daily_Data!A3821</f>
        <v>41873</v>
      </c>
      <c r="B3821" s="11">
        <f>Daily_Data!J3821</f>
        <v>11.47</v>
      </c>
      <c r="C3821" s="11">
        <f>Daily_Data!I3821</f>
        <v>3.56</v>
      </c>
      <c r="D3821" s="12">
        <f>if(sum(Daily_Data!K3821:L3821)&gt;0,1,0)</f>
        <v>0</v>
      </c>
    </row>
    <row r="3822">
      <c r="A3822" s="10">
        <f>Daily_Data!A3822</f>
        <v>41876</v>
      </c>
      <c r="B3822" s="11">
        <f>Daily_Data!J3822</f>
        <v>11.7</v>
      </c>
      <c r="C3822" s="11">
        <f>Daily_Data!I3822</f>
        <v>3.54</v>
      </c>
      <c r="D3822" s="12">
        <f>if(sum(Daily_Data!K3822:L3822)&gt;0,1,0)</f>
        <v>0</v>
      </c>
    </row>
    <row r="3823">
      <c r="A3823" s="10">
        <f>Daily_Data!A3823</f>
        <v>41877</v>
      </c>
      <c r="B3823" s="11">
        <f>Daily_Data!J3823</f>
        <v>11.63</v>
      </c>
      <c r="C3823" s="11">
        <f>Daily_Data!I3823</f>
        <v>3.51</v>
      </c>
      <c r="D3823" s="12">
        <f>if(sum(Daily_Data!K3823:L3823)&gt;0,1,0)</f>
        <v>0</v>
      </c>
    </row>
    <row r="3824">
      <c r="A3824" s="10">
        <f>Daily_Data!A3824</f>
        <v>41878</v>
      </c>
      <c r="B3824" s="11">
        <f>Daily_Data!J3824</f>
        <v>11.78</v>
      </c>
      <c r="C3824" s="11">
        <f>Daily_Data!I3824</f>
        <v>3.53</v>
      </c>
      <c r="D3824" s="12">
        <f>if(sum(Daily_Data!K3824:L3824)&gt;0,1,0)</f>
        <v>0</v>
      </c>
    </row>
    <row r="3825">
      <c r="A3825" s="10">
        <f>Daily_Data!A3825</f>
        <v>41879</v>
      </c>
      <c r="B3825" s="11">
        <f>Daily_Data!J3825</f>
        <v>12.05</v>
      </c>
      <c r="C3825" s="11">
        <f>Daily_Data!I3825</f>
        <v>3.56</v>
      </c>
      <c r="D3825" s="12">
        <f>if(sum(Daily_Data!K3825:L3825)&gt;0,1,0)</f>
        <v>0</v>
      </c>
    </row>
    <row r="3826">
      <c r="A3826" s="10">
        <f>Daily_Data!A3826</f>
        <v>41880</v>
      </c>
      <c r="B3826" s="11">
        <f>Daily_Data!J3826</f>
        <v>11.98</v>
      </c>
      <c r="C3826" s="11">
        <f>Daily_Data!I3826</f>
        <v>3.59</v>
      </c>
      <c r="D3826" s="12">
        <f>if(sum(Daily_Data!K3826:L3826)&gt;0,1,0)</f>
        <v>0</v>
      </c>
    </row>
    <row r="3827">
      <c r="A3827" s="10">
        <f>Daily_Data!A3827</f>
        <v>41883</v>
      </c>
      <c r="B3827" s="11" t="str">
        <f>Daily_Data!J3827</f>
        <v/>
      </c>
      <c r="C3827" s="11" t="str">
        <f>Daily_Data!I3827</f>
        <v/>
      </c>
      <c r="D3827" s="12">
        <f>if(sum(Daily_Data!K3827:L3827)&gt;0,1,0)</f>
        <v>0</v>
      </c>
    </row>
    <row r="3828">
      <c r="A3828" s="10">
        <f>Daily_Data!A3828</f>
        <v>41884</v>
      </c>
      <c r="B3828" s="11">
        <f>Daily_Data!J3828</f>
        <v>12.25</v>
      </c>
      <c r="C3828" s="11">
        <f>Daily_Data!I3828</f>
        <v>3.54</v>
      </c>
      <c r="D3828" s="12">
        <f>if(sum(Daily_Data!K3828:L3828)&gt;0,1,0)</f>
        <v>0</v>
      </c>
    </row>
    <row r="3829">
      <c r="A3829" s="10">
        <f>Daily_Data!A3829</f>
        <v>41885</v>
      </c>
      <c r="B3829" s="11">
        <f>Daily_Data!J3829</f>
        <v>12.36</v>
      </c>
      <c r="C3829" s="11">
        <f>Daily_Data!I3829</f>
        <v>3.56</v>
      </c>
      <c r="D3829" s="12">
        <f>if(sum(Daily_Data!K3829:L3829)&gt;0,1,0)</f>
        <v>0</v>
      </c>
    </row>
    <row r="3830">
      <c r="A3830" s="10">
        <f>Daily_Data!A3830</f>
        <v>41886</v>
      </c>
      <c r="B3830" s="11">
        <f>Daily_Data!J3830</f>
        <v>12.64</v>
      </c>
      <c r="C3830" s="11">
        <f>Daily_Data!I3830</f>
        <v>3.54</v>
      </c>
      <c r="D3830" s="12">
        <f>if(sum(Daily_Data!K3830:L3830)&gt;0,1,0)</f>
        <v>0</v>
      </c>
    </row>
    <row r="3831">
      <c r="A3831" s="10">
        <f>Daily_Data!A3831</f>
        <v>41887</v>
      </c>
      <c r="B3831" s="11">
        <f>Daily_Data!J3831</f>
        <v>12.09</v>
      </c>
      <c r="C3831" s="11">
        <f>Daily_Data!I3831</f>
        <v>3.56</v>
      </c>
      <c r="D3831" s="12">
        <f>if(sum(Daily_Data!K3831:L3831)&gt;0,1,0)</f>
        <v>1</v>
      </c>
    </row>
    <row r="3832">
      <c r="A3832" s="10">
        <f>Daily_Data!A3832</f>
        <v>41890</v>
      </c>
      <c r="B3832" s="11">
        <f>Daily_Data!J3832</f>
        <v>12.66</v>
      </c>
      <c r="C3832" s="11">
        <f>Daily_Data!I3832</f>
        <v>3.53</v>
      </c>
      <c r="D3832" s="12">
        <f>if(sum(Daily_Data!K3832:L3832)&gt;0,1,0)</f>
        <v>0</v>
      </c>
    </row>
    <row r="3833">
      <c r="A3833" s="10">
        <f>Daily_Data!A3833</f>
        <v>41891</v>
      </c>
      <c r="B3833" s="11">
        <f>Daily_Data!J3833</f>
        <v>13.5</v>
      </c>
      <c r="C3833" s="11">
        <f>Daily_Data!I3833</f>
        <v>3.53</v>
      </c>
      <c r="D3833" s="12">
        <f>if(sum(Daily_Data!K3833:L3833)&gt;0,1,0)</f>
        <v>0</v>
      </c>
    </row>
    <row r="3834">
      <c r="A3834" s="10">
        <f>Daily_Data!A3834</f>
        <v>41892</v>
      </c>
      <c r="B3834" s="11">
        <f>Daily_Data!J3834</f>
        <v>12.88</v>
      </c>
      <c r="C3834" s="11">
        <f>Daily_Data!I3834</f>
        <v>3.53</v>
      </c>
      <c r="D3834" s="12">
        <f>if(sum(Daily_Data!K3834:L3834)&gt;0,1,0)</f>
        <v>0</v>
      </c>
    </row>
    <row r="3835">
      <c r="A3835" s="10">
        <f>Daily_Data!A3835</f>
        <v>41893</v>
      </c>
      <c r="B3835" s="11">
        <f>Daily_Data!J3835</f>
        <v>12.8</v>
      </c>
      <c r="C3835" s="11">
        <f>Daily_Data!I3835</f>
        <v>3.47</v>
      </c>
      <c r="D3835" s="12">
        <f>if(sum(Daily_Data!K3835:L3835)&gt;0,1,0)</f>
        <v>0</v>
      </c>
    </row>
    <row r="3836">
      <c r="A3836" s="10">
        <f>Daily_Data!A3836</f>
        <v>41894</v>
      </c>
      <c r="B3836" s="11">
        <f>Daily_Data!J3836</f>
        <v>13.31</v>
      </c>
      <c r="C3836" s="11">
        <f>Daily_Data!I3836</f>
        <v>3.48</v>
      </c>
      <c r="D3836" s="12">
        <f>if(sum(Daily_Data!K3836:L3836)&gt;0,1,0)</f>
        <v>0</v>
      </c>
    </row>
    <row r="3837">
      <c r="A3837" s="10">
        <f>Daily_Data!A3837</f>
        <v>41897</v>
      </c>
      <c r="B3837" s="11">
        <f>Daily_Data!J3837</f>
        <v>14.12</v>
      </c>
      <c r="C3837" s="11">
        <f>Daily_Data!I3837</f>
        <v>3.49</v>
      </c>
      <c r="D3837" s="12">
        <f>if(sum(Daily_Data!K3837:L3837)&gt;0,1,0)</f>
        <v>0</v>
      </c>
    </row>
    <row r="3838">
      <c r="A3838" s="10">
        <f>Daily_Data!A3838</f>
        <v>41898</v>
      </c>
      <c r="B3838" s="11">
        <f>Daily_Data!J3838</f>
        <v>12.73</v>
      </c>
      <c r="C3838" s="11">
        <f>Daily_Data!I3838</f>
        <v>3.48</v>
      </c>
      <c r="D3838" s="12">
        <f>if(sum(Daily_Data!K3838:L3838)&gt;0,1,0)</f>
        <v>0</v>
      </c>
    </row>
    <row r="3839">
      <c r="A3839" s="10">
        <f>Daily_Data!A3839</f>
        <v>41899</v>
      </c>
      <c r="B3839" s="11">
        <f>Daily_Data!J3839</f>
        <v>12.65</v>
      </c>
      <c r="C3839" s="11">
        <f>Daily_Data!I3839</f>
        <v>3.44</v>
      </c>
      <c r="D3839" s="12">
        <f>if(sum(Daily_Data!K3839:L3839)&gt;0,1,0)</f>
        <v>1</v>
      </c>
    </row>
    <row r="3840">
      <c r="A3840" s="10">
        <f>Daily_Data!A3840</f>
        <v>41900</v>
      </c>
      <c r="B3840" s="11">
        <f>Daily_Data!J3840</f>
        <v>12.03</v>
      </c>
      <c r="C3840" s="11">
        <f>Daily_Data!I3840</f>
        <v>3.46</v>
      </c>
      <c r="D3840" s="12">
        <f>if(sum(Daily_Data!K3840:L3840)&gt;0,1,0)</f>
        <v>0</v>
      </c>
    </row>
    <row r="3841">
      <c r="A3841" s="10">
        <f>Daily_Data!A3841</f>
        <v>41901</v>
      </c>
      <c r="B3841" s="11">
        <f>Daily_Data!J3841</f>
        <v>12.11</v>
      </c>
      <c r="C3841" s="11">
        <f>Daily_Data!I3841</f>
        <v>3.47</v>
      </c>
      <c r="D3841" s="12">
        <f>if(sum(Daily_Data!K3841:L3841)&gt;0,1,0)</f>
        <v>0</v>
      </c>
    </row>
    <row r="3842">
      <c r="A3842" s="10">
        <f>Daily_Data!A3842</f>
        <v>41904</v>
      </c>
      <c r="B3842" s="11">
        <f>Daily_Data!J3842</f>
        <v>13.69</v>
      </c>
      <c r="C3842" s="11">
        <f>Daily_Data!I3842</f>
        <v>3.46</v>
      </c>
      <c r="D3842" s="12">
        <f>if(sum(Daily_Data!K3842:L3842)&gt;0,1,0)</f>
        <v>0</v>
      </c>
    </row>
    <row r="3843">
      <c r="A3843" s="10">
        <f>Daily_Data!A3843</f>
        <v>41905</v>
      </c>
      <c r="B3843" s="11">
        <f>Daily_Data!J3843</f>
        <v>14.93</v>
      </c>
      <c r="C3843" s="11">
        <f>Daily_Data!I3843</f>
        <v>3.46</v>
      </c>
      <c r="D3843" s="12">
        <f>if(sum(Daily_Data!K3843:L3843)&gt;0,1,0)</f>
        <v>0</v>
      </c>
    </row>
    <row r="3844">
      <c r="A3844" s="10">
        <f>Daily_Data!A3844</f>
        <v>41906</v>
      </c>
      <c r="B3844" s="11">
        <f>Daily_Data!J3844</f>
        <v>13.27</v>
      </c>
      <c r="C3844" s="11">
        <f>Daily_Data!I3844</f>
        <v>3.46</v>
      </c>
      <c r="D3844" s="12">
        <f>if(sum(Daily_Data!K3844:L3844)&gt;0,1,0)</f>
        <v>0</v>
      </c>
    </row>
    <row r="3845">
      <c r="A3845" s="10">
        <f>Daily_Data!A3845</f>
        <v>41907</v>
      </c>
      <c r="B3845" s="11">
        <f>Daily_Data!J3845</f>
        <v>15.64</v>
      </c>
      <c r="C3845" s="11">
        <f>Daily_Data!I3845</f>
        <v>3.48</v>
      </c>
      <c r="D3845" s="12">
        <f>if(sum(Daily_Data!K3845:L3845)&gt;0,1,0)</f>
        <v>0</v>
      </c>
    </row>
    <row r="3846">
      <c r="A3846" s="10">
        <f>Daily_Data!A3846</f>
        <v>41908</v>
      </c>
      <c r="B3846" s="11">
        <f>Daily_Data!J3846</f>
        <v>14.85</v>
      </c>
      <c r="C3846" s="11">
        <f>Daily_Data!I3846</f>
        <v>3.45</v>
      </c>
      <c r="D3846" s="12">
        <f>if(sum(Daily_Data!K3846:L3846)&gt;0,1,0)</f>
        <v>0</v>
      </c>
    </row>
    <row r="3847">
      <c r="A3847" s="10">
        <f>Daily_Data!A3847</f>
        <v>41911</v>
      </c>
      <c r="B3847" s="11">
        <f>Daily_Data!J3847</f>
        <v>15.98</v>
      </c>
      <c r="C3847" s="11">
        <f>Daily_Data!I3847</f>
        <v>3.49</v>
      </c>
      <c r="D3847" s="12">
        <f>if(sum(Daily_Data!K3847:L3847)&gt;0,1,0)</f>
        <v>0</v>
      </c>
    </row>
    <row r="3848">
      <c r="A3848" s="10">
        <f>Daily_Data!A3848</f>
        <v>41912</v>
      </c>
      <c r="B3848" s="11">
        <f>Daily_Data!J3848</f>
        <v>16.31</v>
      </c>
      <c r="C3848" s="11">
        <f>Daily_Data!I3848</f>
        <v>3.51</v>
      </c>
      <c r="D3848" s="12">
        <f>if(sum(Daily_Data!K3848:L3848)&gt;0,1,0)</f>
        <v>0</v>
      </c>
    </row>
    <row r="3849">
      <c r="A3849" s="10">
        <f>Daily_Data!A3849</f>
        <v>41913</v>
      </c>
      <c r="B3849" s="11">
        <f>Daily_Data!J3849</f>
        <v>16.71</v>
      </c>
      <c r="C3849" s="11">
        <f>Daily_Data!I3849</f>
        <v>3.56</v>
      </c>
      <c r="D3849" s="12">
        <f>if(sum(Daily_Data!K3849:L3849)&gt;0,1,0)</f>
        <v>0</v>
      </c>
    </row>
    <row r="3850">
      <c r="A3850" s="10">
        <f>Daily_Data!A3850</f>
        <v>41914</v>
      </c>
      <c r="B3850" s="11">
        <f>Daily_Data!J3850</f>
        <v>16.16</v>
      </c>
      <c r="C3850" s="11">
        <f>Daily_Data!I3850</f>
        <v>3.52</v>
      </c>
      <c r="D3850" s="12">
        <f>if(sum(Daily_Data!K3850:L3850)&gt;0,1,0)</f>
        <v>0</v>
      </c>
    </row>
    <row r="3851">
      <c r="A3851" s="10">
        <f>Daily_Data!A3851</f>
        <v>41915</v>
      </c>
      <c r="B3851" s="11">
        <f>Daily_Data!J3851</f>
        <v>14.55</v>
      </c>
      <c r="C3851" s="11">
        <f>Daily_Data!I3851</f>
        <v>3.5</v>
      </c>
      <c r="D3851" s="12">
        <f>if(sum(Daily_Data!K3851:L3851)&gt;0,1,0)</f>
        <v>1</v>
      </c>
    </row>
    <row r="3852">
      <c r="A3852" s="10">
        <f>Daily_Data!A3852</f>
        <v>41918</v>
      </c>
      <c r="B3852" s="11">
        <f>Daily_Data!J3852</f>
        <v>15.46</v>
      </c>
      <c r="C3852" s="11">
        <f>Daily_Data!I3852</f>
        <v>3.53</v>
      </c>
      <c r="D3852" s="12">
        <f>if(sum(Daily_Data!K3852:L3852)&gt;0,1,0)</f>
        <v>0</v>
      </c>
    </row>
    <row r="3853">
      <c r="A3853" s="10">
        <f>Daily_Data!A3853</f>
        <v>41919</v>
      </c>
      <c r="B3853" s="11">
        <f>Daily_Data!J3853</f>
        <v>17.2</v>
      </c>
      <c r="C3853" s="11">
        <f>Daily_Data!I3853</f>
        <v>3.55</v>
      </c>
      <c r="D3853" s="12">
        <f>if(sum(Daily_Data!K3853:L3853)&gt;0,1,0)</f>
        <v>0</v>
      </c>
    </row>
    <row r="3854">
      <c r="A3854" s="10">
        <f>Daily_Data!A3854</f>
        <v>41920</v>
      </c>
      <c r="B3854" s="11">
        <f>Daily_Data!J3854</f>
        <v>15.11</v>
      </c>
      <c r="C3854" s="11">
        <f>Daily_Data!I3854</f>
        <v>3.58</v>
      </c>
      <c r="D3854" s="12">
        <f>if(sum(Daily_Data!K3854:L3854)&gt;0,1,0)</f>
        <v>0</v>
      </c>
    </row>
    <row r="3855">
      <c r="A3855" s="10">
        <f>Daily_Data!A3855</f>
        <v>41921</v>
      </c>
      <c r="B3855" s="11">
        <f>Daily_Data!J3855</f>
        <v>18.76</v>
      </c>
      <c r="C3855" s="11">
        <f>Daily_Data!I3855</f>
        <v>3.56</v>
      </c>
      <c r="D3855" s="12">
        <f>if(sum(Daily_Data!K3855:L3855)&gt;0,1,0)</f>
        <v>0</v>
      </c>
    </row>
    <row r="3856">
      <c r="A3856" s="10">
        <f>Daily_Data!A3856</f>
        <v>41922</v>
      </c>
      <c r="B3856" s="11">
        <f>Daily_Data!J3856</f>
        <v>21.24</v>
      </c>
      <c r="C3856" s="11">
        <f>Daily_Data!I3856</f>
        <v>3.57</v>
      </c>
      <c r="D3856" s="12">
        <f>if(sum(Daily_Data!K3856:L3856)&gt;0,1,0)</f>
        <v>0</v>
      </c>
    </row>
    <row r="3857">
      <c r="A3857" s="10">
        <f>Daily_Data!A3857</f>
        <v>41925</v>
      </c>
      <c r="B3857" s="11">
        <f>Daily_Data!J3857</f>
        <v>24.64</v>
      </c>
      <c r="C3857" s="11" t="str">
        <f>Daily_Data!I3857</f>
        <v/>
      </c>
      <c r="D3857" s="12">
        <f>if(sum(Daily_Data!K3857:L3857)&gt;0,1,0)</f>
        <v>0</v>
      </c>
    </row>
    <row r="3858">
      <c r="A3858" s="10">
        <f>Daily_Data!A3858</f>
        <v>41926</v>
      </c>
      <c r="B3858" s="11">
        <f>Daily_Data!J3858</f>
        <v>22.79</v>
      </c>
      <c r="C3858" s="11">
        <f>Daily_Data!I3858</f>
        <v>3.59</v>
      </c>
      <c r="D3858" s="12">
        <f>if(sum(Daily_Data!K3858:L3858)&gt;0,1,0)</f>
        <v>0</v>
      </c>
    </row>
    <row r="3859">
      <c r="A3859" s="10">
        <f>Daily_Data!A3859</f>
        <v>41927</v>
      </c>
      <c r="B3859" s="11">
        <f>Daily_Data!J3859</f>
        <v>26.25</v>
      </c>
      <c r="C3859" s="11">
        <f>Daily_Data!I3859</f>
        <v>3.61</v>
      </c>
      <c r="D3859" s="12">
        <f>if(sum(Daily_Data!K3859:L3859)&gt;0,1,0)</f>
        <v>0</v>
      </c>
    </row>
    <row r="3860">
      <c r="A3860" s="10">
        <f>Daily_Data!A3860</f>
        <v>41928</v>
      </c>
      <c r="B3860" s="11">
        <f>Daily_Data!J3860</f>
        <v>25.2</v>
      </c>
      <c r="C3860" s="11">
        <f>Daily_Data!I3860</f>
        <v>3.58</v>
      </c>
      <c r="D3860" s="12">
        <f>if(sum(Daily_Data!K3860:L3860)&gt;0,1,0)</f>
        <v>0</v>
      </c>
    </row>
    <row r="3861">
      <c r="A3861" s="10">
        <f>Daily_Data!A3861</f>
        <v>41929</v>
      </c>
      <c r="B3861" s="11">
        <f>Daily_Data!J3861</f>
        <v>21.99</v>
      </c>
      <c r="C3861" s="11">
        <f>Daily_Data!I3861</f>
        <v>3.57</v>
      </c>
      <c r="D3861" s="12">
        <f>if(sum(Daily_Data!K3861:L3861)&gt;0,1,0)</f>
        <v>0</v>
      </c>
    </row>
    <row r="3862">
      <c r="A3862" s="10">
        <f>Daily_Data!A3862</f>
        <v>41932</v>
      </c>
      <c r="B3862" s="11">
        <f>Daily_Data!J3862</f>
        <v>18.57</v>
      </c>
      <c r="C3862" s="11">
        <f>Daily_Data!I3862</f>
        <v>3.61</v>
      </c>
      <c r="D3862" s="12">
        <f>if(sum(Daily_Data!K3862:L3862)&gt;0,1,0)</f>
        <v>0</v>
      </c>
    </row>
    <row r="3863">
      <c r="A3863" s="10">
        <f>Daily_Data!A3863</f>
        <v>41933</v>
      </c>
      <c r="B3863" s="11">
        <f>Daily_Data!J3863</f>
        <v>16.08</v>
      </c>
      <c r="C3863" s="11">
        <f>Daily_Data!I3863</f>
        <v>3.56</v>
      </c>
      <c r="D3863" s="12">
        <f>if(sum(Daily_Data!K3863:L3863)&gt;0,1,0)</f>
        <v>0</v>
      </c>
    </row>
    <row r="3864">
      <c r="A3864" s="10">
        <f>Daily_Data!A3864</f>
        <v>41934</v>
      </c>
      <c r="B3864" s="11">
        <f>Daily_Data!J3864</f>
        <v>17.87</v>
      </c>
      <c r="C3864" s="11">
        <f>Daily_Data!I3864</f>
        <v>3.55</v>
      </c>
      <c r="D3864" s="12">
        <f>if(sum(Daily_Data!K3864:L3864)&gt;0,1,0)</f>
        <v>1</v>
      </c>
    </row>
    <row r="3865">
      <c r="A3865" s="10">
        <f>Daily_Data!A3865</f>
        <v>41935</v>
      </c>
      <c r="B3865" s="11">
        <f>Daily_Data!J3865</f>
        <v>16.53</v>
      </c>
      <c r="C3865" s="11">
        <f>Daily_Data!I3865</f>
        <v>3.5</v>
      </c>
      <c r="D3865" s="12">
        <f>if(sum(Daily_Data!K3865:L3865)&gt;0,1,0)</f>
        <v>0</v>
      </c>
    </row>
    <row r="3866">
      <c r="A3866" s="10">
        <f>Daily_Data!A3866</f>
        <v>41936</v>
      </c>
      <c r="B3866" s="11">
        <f>Daily_Data!J3866</f>
        <v>16.11</v>
      </c>
      <c r="C3866" s="11">
        <f>Daily_Data!I3866</f>
        <v>3.51</v>
      </c>
      <c r="D3866" s="12">
        <f>if(sum(Daily_Data!K3866:L3866)&gt;0,1,0)</f>
        <v>0</v>
      </c>
    </row>
    <row r="3867">
      <c r="A3867" s="10">
        <f>Daily_Data!A3867</f>
        <v>41939</v>
      </c>
      <c r="B3867" s="11">
        <f>Daily_Data!J3867</f>
        <v>16.04</v>
      </c>
      <c r="C3867" s="11" t="str">
        <f>Daily_Data!I3867</f>
        <v/>
      </c>
      <c r="D3867" s="12">
        <f>if(sum(Daily_Data!K3867:L3867)&gt;0,1,0)</f>
        <v>0</v>
      </c>
    </row>
    <row r="3868">
      <c r="A3868" s="10">
        <f>Daily_Data!A3868</f>
        <v>41940</v>
      </c>
      <c r="B3868" s="11">
        <f>Daily_Data!J3868</f>
        <v>14.39</v>
      </c>
      <c r="C3868" s="11">
        <f>Daily_Data!I3868</f>
        <v>3.48</v>
      </c>
      <c r="D3868" s="12">
        <f>if(sum(Daily_Data!K3868:L3868)&gt;0,1,0)</f>
        <v>0</v>
      </c>
    </row>
    <row r="3869">
      <c r="A3869" s="10">
        <f>Daily_Data!A3869</f>
        <v>41941</v>
      </c>
      <c r="B3869" s="11">
        <f>Daily_Data!J3869</f>
        <v>15.15</v>
      </c>
      <c r="C3869" s="11">
        <f>Daily_Data!I3869</f>
        <v>3.42</v>
      </c>
      <c r="D3869" s="12">
        <f>if(sum(Daily_Data!K3869:L3869)&gt;0,1,0)</f>
        <v>0</v>
      </c>
    </row>
    <row r="3870">
      <c r="A3870" s="10">
        <f>Daily_Data!A3870</f>
        <v>41942</v>
      </c>
      <c r="B3870" s="11">
        <f>Daily_Data!J3870</f>
        <v>14.52</v>
      </c>
      <c r="C3870" s="11">
        <f>Daily_Data!I3870</f>
        <v>3.4</v>
      </c>
      <c r="D3870" s="12">
        <f>if(sum(Daily_Data!K3870:L3870)&gt;0,1,0)</f>
        <v>0</v>
      </c>
    </row>
    <row r="3871">
      <c r="A3871" s="10">
        <f>Daily_Data!A3871</f>
        <v>41943</v>
      </c>
      <c r="B3871" s="11">
        <f>Daily_Data!J3871</f>
        <v>14.03</v>
      </c>
      <c r="C3871" s="11">
        <f>Daily_Data!I3871</f>
        <v>3.37</v>
      </c>
      <c r="D3871" s="12">
        <f>if(sum(Daily_Data!K3871:L3871)&gt;0,1,0)</f>
        <v>0</v>
      </c>
    </row>
    <row r="3872">
      <c r="A3872" s="10">
        <f>Daily_Data!A3872</f>
        <v>41946</v>
      </c>
      <c r="B3872" s="11">
        <f>Daily_Data!J3872</f>
        <v>14.73</v>
      </c>
      <c r="C3872" s="11">
        <f>Daily_Data!I3872</f>
        <v>3.35</v>
      </c>
      <c r="D3872" s="12">
        <f>if(sum(Daily_Data!K3872:L3872)&gt;0,1,0)</f>
        <v>0</v>
      </c>
    </row>
    <row r="3873">
      <c r="A3873" s="10">
        <f>Daily_Data!A3873</f>
        <v>41947</v>
      </c>
      <c r="B3873" s="11">
        <f>Daily_Data!J3873</f>
        <v>14.89</v>
      </c>
      <c r="C3873" s="11">
        <f>Daily_Data!I3873</f>
        <v>3.36</v>
      </c>
      <c r="D3873" s="12">
        <f>if(sum(Daily_Data!K3873:L3873)&gt;0,1,0)</f>
        <v>0</v>
      </c>
    </row>
    <row r="3874">
      <c r="A3874" s="10">
        <f>Daily_Data!A3874</f>
        <v>41948</v>
      </c>
      <c r="B3874" s="11">
        <f>Daily_Data!J3874</f>
        <v>14.17</v>
      </c>
      <c r="C3874" s="11">
        <f>Daily_Data!I3874</f>
        <v>3.37</v>
      </c>
      <c r="D3874" s="12">
        <f>if(sum(Daily_Data!K3874:L3874)&gt;0,1,0)</f>
        <v>0</v>
      </c>
    </row>
    <row r="3875">
      <c r="A3875" s="10">
        <f>Daily_Data!A3875</f>
        <v>41949</v>
      </c>
      <c r="B3875" s="11">
        <f>Daily_Data!J3875</f>
        <v>13.67</v>
      </c>
      <c r="C3875" s="11">
        <f>Daily_Data!I3875</f>
        <v>3.36</v>
      </c>
      <c r="D3875" s="12">
        <f>if(sum(Daily_Data!K3875:L3875)&gt;0,1,0)</f>
        <v>0</v>
      </c>
    </row>
    <row r="3876">
      <c r="A3876" s="10">
        <f>Daily_Data!A3876</f>
        <v>41950</v>
      </c>
      <c r="B3876" s="11">
        <f>Daily_Data!J3876</f>
        <v>13.12</v>
      </c>
      <c r="C3876" s="11">
        <f>Daily_Data!I3876</f>
        <v>3.42</v>
      </c>
      <c r="D3876" s="12">
        <f>if(sum(Daily_Data!K3876:L3876)&gt;0,1,0)</f>
        <v>1</v>
      </c>
    </row>
    <row r="3877">
      <c r="A3877" s="10">
        <f>Daily_Data!A3877</f>
        <v>41953</v>
      </c>
      <c r="B3877" s="11">
        <f>Daily_Data!J3877</f>
        <v>12.67</v>
      </c>
      <c r="C3877" s="11">
        <f>Daily_Data!I3877</f>
        <v>3.35</v>
      </c>
      <c r="D3877" s="12">
        <f>if(sum(Daily_Data!K3877:L3877)&gt;0,1,0)</f>
        <v>0</v>
      </c>
    </row>
    <row r="3878">
      <c r="A3878" s="10">
        <f>Daily_Data!A3878</f>
        <v>41954</v>
      </c>
      <c r="B3878" s="11">
        <f>Daily_Data!J3878</f>
        <v>12.92</v>
      </c>
      <c r="C3878" s="11" t="str">
        <f>Daily_Data!I3878</f>
        <v/>
      </c>
      <c r="D3878" s="12">
        <f>if(sum(Daily_Data!K3878:L3878)&gt;0,1,0)</f>
        <v>0</v>
      </c>
    </row>
    <row r="3879">
      <c r="A3879" s="10">
        <f>Daily_Data!A3879</f>
        <v>41955</v>
      </c>
      <c r="B3879" s="11">
        <f>Daily_Data!J3879</f>
        <v>13.02</v>
      </c>
      <c r="C3879" s="11">
        <f>Daily_Data!I3879</f>
        <v>3.4</v>
      </c>
      <c r="D3879" s="12">
        <f>if(sum(Daily_Data!K3879:L3879)&gt;0,1,0)</f>
        <v>0</v>
      </c>
    </row>
    <row r="3880">
      <c r="A3880" s="10">
        <f>Daily_Data!A3880</f>
        <v>41956</v>
      </c>
      <c r="B3880" s="11">
        <f>Daily_Data!J3880</f>
        <v>13.79</v>
      </c>
      <c r="C3880" s="11">
        <f>Daily_Data!I3880</f>
        <v>3.43</v>
      </c>
      <c r="D3880" s="12">
        <f>if(sum(Daily_Data!K3880:L3880)&gt;0,1,0)</f>
        <v>0</v>
      </c>
    </row>
    <row r="3881">
      <c r="A3881" s="10">
        <f>Daily_Data!A3881</f>
        <v>41957</v>
      </c>
      <c r="B3881" s="11">
        <f>Daily_Data!J3881</f>
        <v>13.31</v>
      </c>
      <c r="C3881" s="11">
        <f>Daily_Data!I3881</f>
        <v>3.41</v>
      </c>
      <c r="D3881" s="12">
        <f>if(sum(Daily_Data!K3881:L3881)&gt;0,1,0)</f>
        <v>0</v>
      </c>
    </row>
    <row r="3882">
      <c r="A3882" s="10">
        <f>Daily_Data!A3882</f>
        <v>41960</v>
      </c>
      <c r="B3882" s="11">
        <f>Daily_Data!J3882</f>
        <v>13.99</v>
      </c>
      <c r="C3882" s="11">
        <f>Daily_Data!I3882</f>
        <v>3.41</v>
      </c>
      <c r="D3882" s="12">
        <f>if(sum(Daily_Data!K3882:L3882)&gt;0,1,0)</f>
        <v>0</v>
      </c>
    </row>
    <row r="3883">
      <c r="A3883" s="10">
        <f>Daily_Data!A3883</f>
        <v>41961</v>
      </c>
      <c r="B3883" s="11">
        <f>Daily_Data!J3883</f>
        <v>13.86</v>
      </c>
      <c r="C3883" s="11">
        <f>Daily_Data!I3883</f>
        <v>3.42</v>
      </c>
      <c r="D3883" s="12">
        <f>if(sum(Daily_Data!K3883:L3883)&gt;0,1,0)</f>
        <v>0</v>
      </c>
    </row>
    <row r="3884">
      <c r="A3884" s="10">
        <f>Daily_Data!A3884</f>
        <v>41962</v>
      </c>
      <c r="B3884" s="11">
        <f>Daily_Data!J3884</f>
        <v>13.96</v>
      </c>
      <c r="C3884" s="11">
        <f>Daily_Data!I3884</f>
        <v>3.39</v>
      </c>
      <c r="D3884" s="12">
        <f>if(sum(Daily_Data!K3884:L3884)&gt;0,1,0)</f>
        <v>0</v>
      </c>
    </row>
    <row r="3885">
      <c r="A3885" s="10">
        <f>Daily_Data!A3885</f>
        <v>41963</v>
      </c>
      <c r="B3885" s="11">
        <f>Daily_Data!J3885</f>
        <v>13.58</v>
      </c>
      <c r="C3885" s="11">
        <f>Daily_Data!I3885</f>
        <v>3.4</v>
      </c>
      <c r="D3885" s="12">
        <f>if(sum(Daily_Data!K3885:L3885)&gt;0,1,0)</f>
        <v>1</v>
      </c>
    </row>
    <row r="3886">
      <c r="A3886" s="10">
        <f>Daily_Data!A3886</f>
        <v>41964</v>
      </c>
      <c r="B3886" s="11">
        <f>Daily_Data!J3886</f>
        <v>12.9</v>
      </c>
      <c r="C3886" s="11">
        <f>Daily_Data!I3886</f>
        <v>3.39</v>
      </c>
      <c r="D3886" s="12">
        <f>if(sum(Daily_Data!K3886:L3886)&gt;0,1,0)</f>
        <v>0</v>
      </c>
    </row>
    <row r="3887">
      <c r="A3887" s="10">
        <f>Daily_Data!A3887</f>
        <v>41967</v>
      </c>
      <c r="B3887" s="11">
        <f>Daily_Data!J3887</f>
        <v>12.62</v>
      </c>
      <c r="C3887" s="11">
        <f>Daily_Data!I3887</f>
        <v>3.4</v>
      </c>
      <c r="D3887" s="12">
        <f>if(sum(Daily_Data!K3887:L3887)&gt;0,1,0)</f>
        <v>0</v>
      </c>
    </row>
    <row r="3888">
      <c r="A3888" s="10">
        <f>Daily_Data!A3888</f>
        <v>41968</v>
      </c>
      <c r="B3888" s="11">
        <f>Daily_Data!J3888</f>
        <v>12.25</v>
      </c>
      <c r="C3888" s="11">
        <f>Daily_Data!I3888</f>
        <v>3.38</v>
      </c>
      <c r="D3888" s="12">
        <f>if(sum(Daily_Data!K3888:L3888)&gt;0,1,0)</f>
        <v>0</v>
      </c>
    </row>
    <row r="3889">
      <c r="A3889" s="10">
        <f>Daily_Data!A3889</f>
        <v>41969</v>
      </c>
      <c r="B3889" s="11">
        <f>Daily_Data!J3889</f>
        <v>12.07</v>
      </c>
      <c r="C3889" s="11">
        <f>Daily_Data!I3889</f>
        <v>3.36</v>
      </c>
      <c r="D3889" s="12">
        <f>if(sum(Daily_Data!K3889:L3889)&gt;0,1,0)</f>
        <v>0</v>
      </c>
    </row>
    <row r="3890">
      <c r="A3890" s="10">
        <f>Daily_Data!A3890</f>
        <v>41970</v>
      </c>
      <c r="B3890" s="11" t="str">
        <f>Daily_Data!J3890</f>
        <v/>
      </c>
      <c r="C3890" s="11" t="str">
        <f>Daily_Data!I3890</f>
        <v/>
      </c>
      <c r="D3890" s="12">
        <f>if(sum(Daily_Data!K3890:L3890)&gt;0,1,0)</f>
        <v>0</v>
      </c>
    </row>
    <row r="3891">
      <c r="A3891" s="10">
        <f>Daily_Data!A3891</f>
        <v>41971</v>
      </c>
      <c r="B3891" s="11">
        <f>Daily_Data!J3891</f>
        <v>13.33</v>
      </c>
      <c r="C3891" s="11">
        <f>Daily_Data!I3891</f>
        <v>3.41</v>
      </c>
      <c r="D3891" s="12">
        <f>if(sum(Daily_Data!K3891:L3891)&gt;0,1,0)</f>
        <v>0</v>
      </c>
    </row>
    <row r="3892">
      <c r="A3892" s="10">
        <f>Daily_Data!A3892</f>
        <v>41974</v>
      </c>
      <c r="B3892" s="11">
        <f>Daily_Data!J3892</f>
        <v>14.29</v>
      </c>
      <c r="C3892" s="11">
        <f>Daily_Data!I3892</f>
        <v>3.37</v>
      </c>
      <c r="D3892" s="12">
        <f>if(sum(Daily_Data!K3892:L3892)&gt;0,1,0)</f>
        <v>0</v>
      </c>
    </row>
    <row r="3893">
      <c r="A3893" s="10">
        <f>Daily_Data!A3893</f>
        <v>41975</v>
      </c>
      <c r="B3893" s="11">
        <f>Daily_Data!J3893</f>
        <v>12.85</v>
      </c>
      <c r="C3893" s="11">
        <f>Daily_Data!I3893</f>
        <v>3.35</v>
      </c>
      <c r="D3893" s="12">
        <f>if(sum(Daily_Data!K3893:L3893)&gt;0,1,0)</f>
        <v>0</v>
      </c>
    </row>
    <row r="3894">
      <c r="A3894" s="10">
        <f>Daily_Data!A3894</f>
        <v>41976</v>
      </c>
      <c r="B3894" s="11">
        <f>Daily_Data!J3894</f>
        <v>12.47</v>
      </c>
      <c r="C3894" s="11">
        <f>Daily_Data!I3894</f>
        <v>3.3</v>
      </c>
      <c r="D3894" s="12">
        <f>if(sum(Daily_Data!K3894:L3894)&gt;0,1,0)</f>
        <v>0</v>
      </c>
    </row>
    <row r="3895">
      <c r="A3895" s="10">
        <f>Daily_Data!A3895</f>
        <v>41977</v>
      </c>
      <c r="B3895" s="11">
        <f>Daily_Data!J3895</f>
        <v>12.38</v>
      </c>
      <c r="C3895" s="11">
        <f>Daily_Data!I3895</f>
        <v>3.31</v>
      </c>
      <c r="D3895" s="12">
        <f>if(sum(Daily_Data!K3895:L3895)&gt;0,1,0)</f>
        <v>0</v>
      </c>
    </row>
    <row r="3896">
      <c r="A3896" s="10">
        <f>Daily_Data!A3896</f>
        <v>41978</v>
      </c>
      <c r="B3896" s="11">
        <f>Daily_Data!J3896</f>
        <v>11.82</v>
      </c>
      <c r="C3896" s="11">
        <f>Daily_Data!I3896</f>
        <v>3.2</v>
      </c>
      <c r="D3896" s="12">
        <f>if(sum(Daily_Data!K3896:L3896)&gt;0,1,0)</f>
        <v>1</v>
      </c>
    </row>
    <row r="3897">
      <c r="A3897" s="10">
        <f>Daily_Data!A3897</f>
        <v>41981</v>
      </c>
      <c r="B3897" s="11">
        <f>Daily_Data!J3897</f>
        <v>14.21</v>
      </c>
      <c r="C3897" s="11">
        <f>Daily_Data!I3897</f>
        <v>3.22</v>
      </c>
      <c r="D3897" s="12">
        <f>if(sum(Daily_Data!K3897:L3897)&gt;0,1,0)</f>
        <v>0</v>
      </c>
    </row>
    <row r="3898">
      <c r="A3898" s="10">
        <f>Daily_Data!A3898</f>
        <v>41982</v>
      </c>
      <c r="B3898" s="11">
        <f>Daily_Data!J3898</f>
        <v>14.89</v>
      </c>
      <c r="C3898" s="11">
        <f>Daily_Data!I3898</f>
        <v>3.21</v>
      </c>
      <c r="D3898" s="12">
        <f>if(sum(Daily_Data!K3898:L3898)&gt;0,1,0)</f>
        <v>0</v>
      </c>
    </row>
    <row r="3899">
      <c r="A3899" s="10">
        <f>Daily_Data!A3899</f>
        <v>41983</v>
      </c>
      <c r="B3899" s="11">
        <f>Daily_Data!J3899</f>
        <v>18.53</v>
      </c>
      <c r="C3899" s="11">
        <f>Daily_Data!I3899</f>
        <v>3.24</v>
      </c>
      <c r="D3899" s="12">
        <f>if(sum(Daily_Data!K3899:L3899)&gt;0,1,0)</f>
        <v>0</v>
      </c>
    </row>
    <row r="3900">
      <c r="A3900" s="10">
        <f>Daily_Data!A3900</f>
        <v>41984</v>
      </c>
      <c r="B3900" s="11">
        <f>Daily_Data!J3900</f>
        <v>20.08</v>
      </c>
      <c r="C3900" s="11">
        <f>Daily_Data!I3900</f>
        <v>3.21</v>
      </c>
      <c r="D3900" s="12">
        <f>if(sum(Daily_Data!K3900:L3900)&gt;0,1,0)</f>
        <v>0</v>
      </c>
    </row>
    <row r="3901">
      <c r="A3901" s="10">
        <f>Daily_Data!A3901</f>
        <v>41985</v>
      </c>
      <c r="B3901" s="11">
        <f>Daily_Data!J3901</f>
        <v>21.08</v>
      </c>
      <c r="C3901" s="11">
        <f>Daily_Data!I3901</f>
        <v>3.26</v>
      </c>
      <c r="D3901" s="12">
        <f>if(sum(Daily_Data!K3901:L3901)&gt;0,1,0)</f>
        <v>0</v>
      </c>
    </row>
    <row r="3902">
      <c r="A3902" s="10">
        <f>Daily_Data!A3902</f>
        <v>41988</v>
      </c>
      <c r="B3902" s="11">
        <f>Daily_Data!J3902</f>
        <v>20.42</v>
      </c>
      <c r="C3902" s="11">
        <f>Daily_Data!I3902</f>
        <v>3.2</v>
      </c>
      <c r="D3902" s="12">
        <f>if(sum(Daily_Data!K3902:L3902)&gt;0,1,0)</f>
        <v>0</v>
      </c>
    </row>
    <row r="3903">
      <c r="A3903" s="10">
        <f>Daily_Data!A3903</f>
        <v>41989</v>
      </c>
      <c r="B3903" s="11">
        <f>Daily_Data!J3903</f>
        <v>23.57</v>
      </c>
      <c r="C3903" s="11">
        <f>Daily_Data!I3903</f>
        <v>3.23</v>
      </c>
      <c r="D3903" s="12">
        <f>if(sum(Daily_Data!K3903:L3903)&gt;0,1,0)</f>
        <v>0</v>
      </c>
    </row>
    <row r="3904">
      <c r="A3904" s="10">
        <f>Daily_Data!A3904</f>
        <v>41990</v>
      </c>
      <c r="B3904" s="11">
        <f>Daily_Data!J3904</f>
        <v>19.44</v>
      </c>
      <c r="C3904" s="11">
        <f>Daily_Data!I3904</f>
        <v>3.17</v>
      </c>
      <c r="D3904" s="12">
        <f>if(sum(Daily_Data!K3904:L3904)&gt;0,1,0)</f>
        <v>1</v>
      </c>
    </row>
    <row r="3905">
      <c r="A3905" s="10">
        <f>Daily_Data!A3905</f>
        <v>41991</v>
      </c>
      <c r="B3905" s="11">
        <f>Daily_Data!J3905</f>
        <v>16.81</v>
      </c>
      <c r="C3905" s="11">
        <f>Daily_Data!I3905</f>
        <v>3.14</v>
      </c>
      <c r="D3905" s="12">
        <f>if(sum(Daily_Data!K3905:L3905)&gt;0,1,0)</f>
        <v>0</v>
      </c>
    </row>
    <row r="3906">
      <c r="A3906" s="10">
        <f>Daily_Data!A3906</f>
        <v>41992</v>
      </c>
      <c r="B3906" s="11">
        <f>Daily_Data!J3906</f>
        <v>16.49</v>
      </c>
      <c r="C3906" s="11">
        <f>Daily_Data!I3906</f>
        <v>3.19</v>
      </c>
      <c r="D3906" s="12">
        <f>if(sum(Daily_Data!K3906:L3906)&gt;0,1,0)</f>
        <v>0</v>
      </c>
    </row>
    <row r="3907">
      <c r="A3907" s="10">
        <f>Daily_Data!A3907</f>
        <v>41995</v>
      </c>
      <c r="B3907" s="11">
        <f>Daily_Data!J3907</f>
        <v>15.25</v>
      </c>
      <c r="C3907" s="11">
        <f>Daily_Data!I3907</f>
        <v>3.12</v>
      </c>
      <c r="D3907" s="12">
        <f>if(sum(Daily_Data!K3907:L3907)&gt;0,1,0)</f>
        <v>0</v>
      </c>
    </row>
    <row r="3908">
      <c r="A3908" s="10">
        <f>Daily_Data!A3908</f>
        <v>41996</v>
      </c>
      <c r="B3908" s="11">
        <f>Daily_Data!J3908</f>
        <v>14.8</v>
      </c>
      <c r="C3908" s="11">
        <f>Daily_Data!I3908</f>
        <v>3.12</v>
      </c>
      <c r="D3908" s="12">
        <f>if(sum(Daily_Data!K3908:L3908)&gt;0,1,0)</f>
        <v>0</v>
      </c>
    </row>
    <row r="3909">
      <c r="A3909" s="10">
        <f>Daily_Data!A3909</f>
        <v>41997</v>
      </c>
      <c r="B3909" s="11">
        <f>Daily_Data!J3909</f>
        <v>14.37</v>
      </c>
      <c r="C3909" s="11">
        <f>Daily_Data!I3909</f>
        <v>3.14</v>
      </c>
      <c r="D3909" s="12">
        <f>if(sum(Daily_Data!K3909:L3909)&gt;0,1,0)</f>
        <v>0</v>
      </c>
    </row>
    <row r="3910">
      <c r="A3910" s="10">
        <f>Daily_Data!A3910</f>
        <v>41998</v>
      </c>
      <c r="B3910" s="11" t="str">
        <f>Daily_Data!J3910</f>
        <v/>
      </c>
      <c r="C3910" s="11" t="str">
        <f>Daily_Data!I3910</f>
        <v/>
      </c>
      <c r="D3910" s="12">
        <f>if(sum(Daily_Data!K3910:L3910)&gt;0,1,0)</f>
        <v>0</v>
      </c>
    </row>
    <row r="3911">
      <c r="A3911" s="10">
        <f>Daily_Data!A3911</f>
        <v>41999</v>
      </c>
      <c r="B3911" s="11">
        <f>Daily_Data!J3911</f>
        <v>14.5</v>
      </c>
      <c r="C3911" s="11" t="str">
        <f>Daily_Data!I3911</f>
        <v/>
      </c>
      <c r="D3911" s="12">
        <f>if(sum(Daily_Data!K3911:L3911)&gt;0,1,0)</f>
        <v>0</v>
      </c>
    </row>
    <row r="3912">
      <c r="A3912" s="10">
        <f>Daily_Data!A3912</f>
        <v>42002</v>
      </c>
      <c r="B3912" s="11">
        <f>Daily_Data!J3912</f>
        <v>15.06</v>
      </c>
      <c r="C3912" s="11">
        <f>Daily_Data!I3912</f>
        <v>3.15</v>
      </c>
      <c r="D3912" s="12">
        <f>if(sum(Daily_Data!K3912:L3912)&gt;0,1,0)</f>
        <v>0</v>
      </c>
    </row>
    <row r="3913">
      <c r="A3913" s="10">
        <f>Daily_Data!A3913</f>
        <v>42003</v>
      </c>
      <c r="B3913" s="11">
        <f>Daily_Data!J3913</f>
        <v>15.92</v>
      </c>
      <c r="C3913" s="11">
        <f>Daily_Data!I3913</f>
        <v>3.15</v>
      </c>
      <c r="D3913" s="12">
        <f>if(sum(Daily_Data!K3913:L3913)&gt;0,1,0)</f>
        <v>0</v>
      </c>
    </row>
    <row r="3914">
      <c r="A3914" s="10">
        <f>Daily_Data!A3914</f>
        <v>42004</v>
      </c>
      <c r="B3914" s="11">
        <f>Daily_Data!J3914</f>
        <v>19.2</v>
      </c>
      <c r="C3914" s="11">
        <f>Daily_Data!I3914</f>
        <v>3.13</v>
      </c>
      <c r="D3914" s="12">
        <f>if(sum(Daily_Data!K3914:L3914)&gt;0,1,0)</f>
        <v>0</v>
      </c>
    </row>
    <row r="3915">
      <c r="A3915" s="10">
        <f>Daily_Data!A3915</f>
        <v>42005</v>
      </c>
      <c r="B3915" s="11" t="str">
        <f>Daily_Data!J3915</f>
        <v/>
      </c>
      <c r="C3915" s="11" t="str">
        <f>Daily_Data!I3915</f>
        <v/>
      </c>
      <c r="D3915" s="12">
        <f>if(sum(Daily_Data!K3915:L3915)&gt;0,1,0)</f>
        <v>0</v>
      </c>
    </row>
    <row r="3916">
      <c r="A3916" s="10">
        <f>Daily_Data!A3916</f>
        <v>42006</v>
      </c>
      <c r="B3916" s="11">
        <f>Daily_Data!J3916</f>
        <v>17.79</v>
      </c>
      <c r="C3916" s="11" t="str">
        <f>Daily_Data!I3916</f>
        <v/>
      </c>
      <c r="D3916" s="12">
        <f>if(sum(Daily_Data!K3916:L3916)&gt;0,1,0)</f>
        <v>0</v>
      </c>
    </row>
    <row r="3917">
      <c r="A3917" s="10">
        <f>Daily_Data!A3917</f>
        <v>42009</v>
      </c>
      <c r="B3917" s="11">
        <f>Daily_Data!J3917</f>
        <v>19.92</v>
      </c>
      <c r="C3917" s="11">
        <f>Daily_Data!I3917</f>
        <v>3.12</v>
      </c>
      <c r="D3917" s="12">
        <f>if(sum(Daily_Data!K3917:L3917)&gt;0,1,0)</f>
        <v>0</v>
      </c>
    </row>
    <row r="3918">
      <c r="A3918" s="10">
        <f>Daily_Data!A3918</f>
        <v>42010</v>
      </c>
      <c r="B3918" s="11">
        <f>Daily_Data!J3918</f>
        <v>21.12</v>
      </c>
      <c r="C3918" s="11">
        <f>Daily_Data!I3918</f>
        <v>3.15</v>
      </c>
      <c r="D3918" s="12">
        <f>if(sum(Daily_Data!K3918:L3918)&gt;0,1,0)</f>
        <v>0</v>
      </c>
    </row>
    <row r="3919">
      <c r="A3919" s="10">
        <f>Daily_Data!A3919</f>
        <v>42011</v>
      </c>
      <c r="B3919" s="11">
        <f>Daily_Data!J3919</f>
        <v>19.31</v>
      </c>
      <c r="C3919" s="11">
        <f>Daily_Data!I3919</f>
        <v>3.18</v>
      </c>
      <c r="D3919" s="12">
        <f>if(sum(Daily_Data!K3919:L3919)&gt;0,1,0)</f>
        <v>0</v>
      </c>
    </row>
    <row r="3920">
      <c r="A3920" s="10">
        <f>Daily_Data!A3920</f>
        <v>42012</v>
      </c>
      <c r="B3920" s="11">
        <f>Daily_Data!J3920</f>
        <v>17.01</v>
      </c>
      <c r="C3920" s="11">
        <f>Daily_Data!I3920</f>
        <v>3.21</v>
      </c>
      <c r="D3920" s="12">
        <f>if(sum(Daily_Data!K3920:L3920)&gt;0,1,0)</f>
        <v>0</v>
      </c>
    </row>
    <row r="3921">
      <c r="A3921" s="10">
        <f>Daily_Data!A3921</f>
        <v>42013</v>
      </c>
      <c r="B3921" s="11">
        <f>Daily_Data!J3921</f>
        <v>17.55</v>
      </c>
      <c r="C3921" s="11">
        <f>Daily_Data!I3921</f>
        <v>3.24</v>
      </c>
      <c r="D3921" s="12">
        <f>if(sum(Daily_Data!K3921:L3921)&gt;0,1,0)</f>
        <v>1</v>
      </c>
    </row>
    <row r="3922">
      <c r="A3922" s="10">
        <f>Daily_Data!A3922</f>
        <v>42016</v>
      </c>
      <c r="B3922" s="11">
        <f>Daily_Data!J3922</f>
        <v>19.6</v>
      </c>
      <c r="C3922" s="11">
        <f>Daily_Data!I3922</f>
        <v>3.25</v>
      </c>
      <c r="D3922" s="12">
        <f>if(sum(Daily_Data!K3922:L3922)&gt;0,1,0)</f>
        <v>0</v>
      </c>
    </row>
    <row r="3923">
      <c r="A3923" s="10">
        <f>Daily_Data!A3923</f>
        <v>42017</v>
      </c>
      <c r="B3923" s="11">
        <f>Daily_Data!J3923</f>
        <v>20.56</v>
      </c>
      <c r="C3923" s="11">
        <f>Daily_Data!I3923</f>
        <v>3.23</v>
      </c>
      <c r="D3923" s="12">
        <f>if(sum(Daily_Data!K3923:L3923)&gt;0,1,0)</f>
        <v>0</v>
      </c>
    </row>
    <row r="3924">
      <c r="A3924" s="10">
        <f>Daily_Data!A3924</f>
        <v>42018</v>
      </c>
      <c r="B3924" s="11">
        <f>Daily_Data!J3924</f>
        <v>21.48</v>
      </c>
      <c r="C3924" s="11">
        <f>Daily_Data!I3924</f>
        <v>3.26</v>
      </c>
      <c r="D3924" s="12">
        <f>if(sum(Daily_Data!K3924:L3924)&gt;0,1,0)</f>
        <v>0</v>
      </c>
    </row>
    <row r="3925">
      <c r="A3925" s="10">
        <f>Daily_Data!A3925</f>
        <v>42019</v>
      </c>
      <c r="B3925" s="11">
        <f>Daily_Data!J3925</f>
        <v>22.39</v>
      </c>
      <c r="C3925" s="11">
        <f>Daily_Data!I3925</f>
        <v>3.34</v>
      </c>
      <c r="D3925" s="12">
        <f>if(sum(Daily_Data!K3925:L3925)&gt;0,1,0)</f>
        <v>0</v>
      </c>
    </row>
    <row r="3926">
      <c r="A3926" s="10">
        <f>Daily_Data!A3926</f>
        <v>42020</v>
      </c>
      <c r="B3926" s="11">
        <f>Daily_Data!J3926</f>
        <v>20.95</v>
      </c>
      <c r="C3926" s="11">
        <f>Daily_Data!I3926</f>
        <v>3.24</v>
      </c>
      <c r="D3926" s="12">
        <f>if(sum(Daily_Data!K3926:L3926)&gt;0,1,0)</f>
        <v>1</v>
      </c>
    </row>
    <row r="3927">
      <c r="A3927" s="10">
        <f>Daily_Data!A3927</f>
        <v>42023</v>
      </c>
      <c r="B3927" s="11" t="str">
        <f>Daily_Data!J3927</f>
        <v/>
      </c>
      <c r="C3927" s="11" t="str">
        <f>Daily_Data!I3927</f>
        <v/>
      </c>
      <c r="D3927" s="12">
        <f>if(sum(Daily_Data!K3927:L3927)&gt;0,1,0)</f>
        <v>0</v>
      </c>
    </row>
    <row r="3928">
      <c r="A3928" s="10">
        <f>Daily_Data!A3928</f>
        <v>42024</v>
      </c>
      <c r="B3928" s="11">
        <f>Daily_Data!J3928</f>
        <v>19.89</v>
      </c>
      <c r="C3928" s="11">
        <f>Daily_Data!I3928</f>
        <v>3.2</v>
      </c>
      <c r="D3928" s="12">
        <f>if(sum(Daily_Data!K3928:L3928)&gt;0,1,0)</f>
        <v>0</v>
      </c>
    </row>
    <row r="3929">
      <c r="A3929" s="10">
        <f>Daily_Data!A3929</f>
        <v>42025</v>
      </c>
      <c r="B3929" s="11">
        <f>Daily_Data!J3929</f>
        <v>18.85</v>
      </c>
      <c r="C3929" s="11">
        <f>Daily_Data!I3929</f>
        <v>3.16</v>
      </c>
      <c r="D3929" s="12">
        <f>if(sum(Daily_Data!K3929:L3929)&gt;0,1,0)</f>
        <v>0</v>
      </c>
    </row>
    <row r="3930">
      <c r="A3930" s="10">
        <f>Daily_Data!A3930</f>
        <v>42026</v>
      </c>
      <c r="B3930" s="11">
        <f>Daily_Data!J3930</f>
        <v>16.4</v>
      </c>
      <c r="C3930" s="11">
        <f>Daily_Data!I3930</f>
        <v>3.1</v>
      </c>
      <c r="D3930" s="12">
        <f>if(sum(Daily_Data!K3930:L3930)&gt;0,1,0)</f>
        <v>0</v>
      </c>
    </row>
    <row r="3931">
      <c r="A3931" s="10">
        <f>Daily_Data!A3931</f>
        <v>42027</v>
      </c>
      <c r="B3931" s="11">
        <f>Daily_Data!J3931</f>
        <v>16.66</v>
      </c>
      <c r="C3931" s="11">
        <f>Daily_Data!I3931</f>
        <v>3.14</v>
      </c>
      <c r="D3931" s="12">
        <f>if(sum(Daily_Data!K3931:L3931)&gt;0,1,0)</f>
        <v>0</v>
      </c>
    </row>
    <row r="3932">
      <c r="A3932" s="10">
        <f>Daily_Data!A3932</f>
        <v>42030</v>
      </c>
      <c r="B3932" s="11">
        <f>Daily_Data!J3932</f>
        <v>15.52</v>
      </c>
      <c r="C3932" s="11">
        <f>Daily_Data!I3932</f>
        <v>3.08</v>
      </c>
      <c r="D3932" s="12">
        <f>if(sum(Daily_Data!K3932:L3932)&gt;0,1,0)</f>
        <v>0</v>
      </c>
    </row>
    <row r="3933">
      <c r="A3933" s="10">
        <f>Daily_Data!A3933</f>
        <v>42031</v>
      </c>
      <c r="B3933" s="11">
        <f>Daily_Data!J3933</f>
        <v>17.22</v>
      </c>
      <c r="C3933" s="11">
        <f>Daily_Data!I3933</f>
        <v>3.09</v>
      </c>
      <c r="D3933" s="12">
        <f>if(sum(Daily_Data!K3933:L3933)&gt;0,1,0)</f>
        <v>0</v>
      </c>
    </row>
    <row r="3934">
      <c r="A3934" s="10">
        <f>Daily_Data!A3934</f>
        <v>42032</v>
      </c>
      <c r="B3934" s="11">
        <f>Daily_Data!J3934</f>
        <v>20.44</v>
      </c>
      <c r="C3934" s="11">
        <f>Daily_Data!I3934</f>
        <v>3.14</v>
      </c>
      <c r="D3934" s="12">
        <f>if(sum(Daily_Data!K3934:L3934)&gt;0,1,0)</f>
        <v>0</v>
      </c>
    </row>
    <row r="3935">
      <c r="A3935" s="10">
        <f>Daily_Data!A3935</f>
        <v>42033</v>
      </c>
      <c r="B3935" s="11">
        <f>Daily_Data!J3935</f>
        <v>18.76</v>
      </c>
      <c r="C3935" s="11">
        <f>Daily_Data!I3935</f>
        <v>3.06</v>
      </c>
      <c r="D3935" s="12">
        <f>if(sum(Daily_Data!K3935:L3935)&gt;0,1,0)</f>
        <v>0</v>
      </c>
    </row>
    <row r="3936">
      <c r="A3936" s="10">
        <f>Daily_Data!A3936</f>
        <v>42034</v>
      </c>
      <c r="B3936" s="11">
        <f>Daily_Data!J3936</f>
        <v>20.97</v>
      </c>
      <c r="C3936" s="11">
        <f>Daily_Data!I3936</f>
        <v>3.09</v>
      </c>
      <c r="D3936" s="12">
        <f>if(sum(Daily_Data!K3936:L3936)&gt;0,1,0)</f>
        <v>0</v>
      </c>
    </row>
    <row r="3937">
      <c r="A3937" s="10">
        <f>Daily_Data!A3937</f>
        <v>42037</v>
      </c>
      <c r="B3937" s="11">
        <f>Daily_Data!J3937</f>
        <v>19.43</v>
      </c>
      <c r="C3937" s="11">
        <f>Daily_Data!I3937</f>
        <v>3.05</v>
      </c>
      <c r="D3937" s="12">
        <f>if(sum(Daily_Data!K3937:L3937)&gt;0,1,0)</f>
        <v>0</v>
      </c>
    </row>
    <row r="3938">
      <c r="A3938" s="10">
        <f>Daily_Data!A3938</f>
        <v>42038</v>
      </c>
      <c r="B3938" s="11">
        <f>Daily_Data!J3938</f>
        <v>17.33</v>
      </c>
      <c r="C3938" s="11">
        <f>Daily_Data!I3938</f>
        <v>3.02</v>
      </c>
      <c r="D3938" s="12">
        <f>if(sum(Daily_Data!K3938:L3938)&gt;0,1,0)</f>
        <v>0</v>
      </c>
    </row>
    <row r="3939">
      <c r="A3939" s="10">
        <f>Daily_Data!A3939</f>
        <v>42039</v>
      </c>
      <c r="B3939" s="11">
        <f>Daily_Data!J3939</f>
        <v>18.33</v>
      </c>
      <c r="C3939" s="11">
        <f>Daily_Data!I3939</f>
        <v>3.04</v>
      </c>
      <c r="D3939" s="12">
        <f>if(sum(Daily_Data!K3939:L3939)&gt;0,1,0)</f>
        <v>0</v>
      </c>
    </row>
    <row r="3940">
      <c r="A3940" s="10">
        <f>Daily_Data!A3940</f>
        <v>42040</v>
      </c>
      <c r="B3940" s="11">
        <f>Daily_Data!J3940</f>
        <v>16.85</v>
      </c>
      <c r="C3940" s="11">
        <f>Daily_Data!I3940</f>
        <v>3.02</v>
      </c>
      <c r="D3940" s="12">
        <f>if(sum(Daily_Data!K3940:L3940)&gt;0,1,0)</f>
        <v>0</v>
      </c>
    </row>
    <row r="3941">
      <c r="A3941" s="10">
        <f>Daily_Data!A3941</f>
        <v>42041</v>
      </c>
      <c r="B3941" s="11">
        <f>Daily_Data!J3941</f>
        <v>17.29</v>
      </c>
      <c r="C3941" s="11" t="str">
        <f>Daily_Data!I3941</f>
        <v/>
      </c>
      <c r="D3941" s="12">
        <f>if(sum(Daily_Data!K3941:L3941)&gt;0,1,0)</f>
        <v>1</v>
      </c>
    </row>
    <row r="3942">
      <c r="A3942" s="10">
        <f>Daily_Data!A3942</f>
        <v>42044</v>
      </c>
      <c r="B3942" s="11">
        <f>Daily_Data!J3942</f>
        <v>18.55</v>
      </c>
      <c r="C3942" s="11">
        <f>Daily_Data!I3942</f>
        <v>2.97</v>
      </c>
      <c r="D3942" s="12">
        <f>if(sum(Daily_Data!K3942:L3942)&gt;0,1,0)</f>
        <v>0</v>
      </c>
    </row>
    <row r="3943">
      <c r="A3943" s="10">
        <f>Daily_Data!A3943</f>
        <v>42045</v>
      </c>
      <c r="B3943" s="11">
        <f>Daily_Data!J3943</f>
        <v>17.23</v>
      </c>
      <c r="C3943" s="11">
        <f>Daily_Data!I3943</f>
        <v>2.95</v>
      </c>
      <c r="D3943" s="12">
        <f>if(sum(Daily_Data!K3943:L3943)&gt;0,1,0)</f>
        <v>0</v>
      </c>
    </row>
    <row r="3944">
      <c r="A3944" s="10">
        <f>Daily_Data!A3944</f>
        <v>42046</v>
      </c>
      <c r="B3944" s="11">
        <f>Daily_Data!J3944</f>
        <v>16.96</v>
      </c>
      <c r="C3944" s="11">
        <f>Daily_Data!I3944</f>
        <v>2.96</v>
      </c>
      <c r="D3944" s="12">
        <f>if(sum(Daily_Data!K3944:L3944)&gt;0,1,0)</f>
        <v>0</v>
      </c>
    </row>
    <row r="3945">
      <c r="A3945" s="10">
        <f>Daily_Data!A3945</f>
        <v>42047</v>
      </c>
      <c r="B3945" s="11">
        <f>Daily_Data!J3945</f>
        <v>15.34</v>
      </c>
      <c r="C3945" s="11">
        <f>Daily_Data!I3945</f>
        <v>2.99</v>
      </c>
      <c r="D3945" s="12">
        <f>if(sum(Daily_Data!K3945:L3945)&gt;0,1,0)</f>
        <v>0</v>
      </c>
    </row>
    <row r="3946">
      <c r="A3946" s="10">
        <f>Daily_Data!A3946</f>
        <v>42048</v>
      </c>
      <c r="B3946" s="11">
        <f>Daily_Data!J3946</f>
        <v>14.69</v>
      </c>
      <c r="C3946" s="11">
        <f>Daily_Data!I3946</f>
        <v>2.9</v>
      </c>
      <c r="D3946" s="12">
        <f>if(sum(Daily_Data!K3946:L3946)&gt;0,1,0)</f>
        <v>0</v>
      </c>
    </row>
    <row r="3947">
      <c r="A3947" s="10">
        <f>Daily_Data!A3947</f>
        <v>42051</v>
      </c>
      <c r="B3947" s="11" t="str">
        <f>Daily_Data!J3947</f>
        <v/>
      </c>
      <c r="C3947" s="11" t="str">
        <f>Daily_Data!I3947</f>
        <v/>
      </c>
      <c r="D3947" s="12">
        <f>if(sum(Daily_Data!K3947:L3947)&gt;0,1,0)</f>
        <v>0</v>
      </c>
    </row>
    <row r="3948">
      <c r="A3948" s="10">
        <f>Daily_Data!A3948</f>
        <v>42052</v>
      </c>
      <c r="B3948" s="11">
        <f>Daily_Data!J3948</f>
        <v>15.8</v>
      </c>
      <c r="C3948" s="11">
        <f>Daily_Data!I3948</f>
        <v>2.89</v>
      </c>
      <c r="D3948" s="12">
        <f>if(sum(Daily_Data!K3948:L3948)&gt;0,1,0)</f>
        <v>0</v>
      </c>
    </row>
    <row r="3949">
      <c r="A3949" s="10">
        <f>Daily_Data!A3949</f>
        <v>42053</v>
      </c>
      <c r="B3949" s="11">
        <f>Daily_Data!J3949</f>
        <v>15.45</v>
      </c>
      <c r="C3949" s="11">
        <f>Daily_Data!I3949</f>
        <v>3.01</v>
      </c>
      <c r="D3949" s="12">
        <f>if(sum(Daily_Data!K3949:L3949)&gt;0,1,0)</f>
        <v>0</v>
      </c>
    </row>
    <row r="3950">
      <c r="A3950" s="10">
        <f>Daily_Data!A3950</f>
        <v>42054</v>
      </c>
      <c r="B3950" s="11">
        <f>Daily_Data!J3950</f>
        <v>15.29</v>
      </c>
      <c r="C3950" s="11">
        <f>Daily_Data!I3950</f>
        <v>2.93</v>
      </c>
      <c r="D3950" s="12">
        <f>if(sum(Daily_Data!K3950:L3950)&gt;0,1,0)</f>
        <v>0</v>
      </c>
    </row>
    <row r="3951">
      <c r="A3951" s="10">
        <f>Daily_Data!A3951</f>
        <v>42055</v>
      </c>
      <c r="B3951" s="11">
        <f>Daily_Data!J3951</f>
        <v>14.3</v>
      </c>
      <c r="C3951" s="11">
        <f>Daily_Data!I3951</f>
        <v>2.95</v>
      </c>
      <c r="D3951" s="12">
        <f>if(sum(Daily_Data!K3951:L3951)&gt;0,1,0)</f>
        <v>0</v>
      </c>
    </row>
    <row r="3952">
      <c r="A3952" s="10">
        <f>Daily_Data!A3952</f>
        <v>42058</v>
      </c>
      <c r="B3952" s="11">
        <f>Daily_Data!J3952</f>
        <v>14.56</v>
      </c>
      <c r="C3952" s="11">
        <f>Daily_Data!I3952</f>
        <v>2.99</v>
      </c>
      <c r="D3952" s="12">
        <f>if(sum(Daily_Data!K3952:L3952)&gt;0,1,0)</f>
        <v>0</v>
      </c>
    </row>
    <row r="3953">
      <c r="A3953" s="10">
        <f>Daily_Data!A3953</f>
        <v>42059</v>
      </c>
      <c r="B3953" s="11">
        <f>Daily_Data!J3953</f>
        <v>13.69</v>
      </c>
      <c r="C3953" s="11">
        <f>Daily_Data!I3953</f>
        <v>3</v>
      </c>
      <c r="D3953" s="12">
        <f>if(sum(Daily_Data!K3953:L3953)&gt;0,1,0)</f>
        <v>0</v>
      </c>
    </row>
    <row r="3954">
      <c r="A3954" s="10">
        <f>Daily_Data!A3954</f>
        <v>42060</v>
      </c>
      <c r="B3954" s="11">
        <f>Daily_Data!J3954</f>
        <v>13.84</v>
      </c>
      <c r="C3954" s="11">
        <f>Daily_Data!I3954</f>
        <v>2.99</v>
      </c>
      <c r="D3954" s="12">
        <f>if(sum(Daily_Data!K3954:L3954)&gt;0,1,0)</f>
        <v>0</v>
      </c>
    </row>
    <row r="3955">
      <c r="A3955" s="10">
        <f>Daily_Data!A3955</f>
        <v>42061</v>
      </c>
      <c r="B3955" s="11">
        <f>Daily_Data!J3955</f>
        <v>13.91</v>
      </c>
      <c r="C3955" s="11">
        <f>Daily_Data!I3955</f>
        <v>2.92</v>
      </c>
      <c r="D3955" s="12">
        <f>if(sum(Daily_Data!K3955:L3955)&gt;0,1,0)</f>
        <v>1</v>
      </c>
    </row>
    <row r="3956">
      <c r="A3956" s="10">
        <f>Daily_Data!A3956</f>
        <v>42062</v>
      </c>
      <c r="B3956" s="11">
        <f>Daily_Data!J3956</f>
        <v>13.34</v>
      </c>
      <c r="C3956" s="11">
        <f>Daily_Data!I3956</f>
        <v>2.96</v>
      </c>
      <c r="D3956" s="12">
        <f>if(sum(Daily_Data!K3956:L3956)&gt;0,1,0)</f>
        <v>0</v>
      </c>
    </row>
    <row r="3957">
      <c r="A3957" s="10">
        <f>Daily_Data!A3957</f>
        <v>42065</v>
      </c>
      <c r="B3957" s="11">
        <f>Daily_Data!J3957</f>
        <v>13.04</v>
      </c>
      <c r="C3957" s="11">
        <f>Daily_Data!I3957</f>
        <v>2.92</v>
      </c>
      <c r="D3957" s="12">
        <f>if(sum(Daily_Data!K3957:L3957)&gt;0,1,0)</f>
        <v>0</v>
      </c>
    </row>
    <row r="3958">
      <c r="A3958" s="10">
        <f>Daily_Data!A3958</f>
        <v>42066</v>
      </c>
      <c r="B3958" s="11">
        <f>Daily_Data!J3958</f>
        <v>13.86</v>
      </c>
      <c r="C3958" s="11">
        <f>Daily_Data!I3958</f>
        <v>2.9</v>
      </c>
      <c r="D3958" s="12">
        <f>if(sum(Daily_Data!K3958:L3958)&gt;0,1,0)</f>
        <v>0</v>
      </c>
    </row>
    <row r="3959">
      <c r="A3959" s="10">
        <f>Daily_Data!A3959</f>
        <v>42067</v>
      </c>
      <c r="B3959" s="11">
        <f>Daily_Data!J3959</f>
        <v>14.23</v>
      </c>
      <c r="C3959" s="11">
        <f>Daily_Data!I3959</f>
        <v>2.96</v>
      </c>
      <c r="D3959" s="12">
        <f>if(sum(Daily_Data!K3959:L3959)&gt;0,1,0)</f>
        <v>0</v>
      </c>
    </row>
    <row r="3960">
      <c r="A3960" s="10">
        <f>Daily_Data!A3960</f>
        <v>42068</v>
      </c>
      <c r="B3960" s="11">
        <f>Daily_Data!J3960</f>
        <v>14.04</v>
      </c>
      <c r="C3960" s="11">
        <f>Daily_Data!I3960</f>
        <v>2.94</v>
      </c>
      <c r="D3960" s="12">
        <f>if(sum(Daily_Data!K3960:L3960)&gt;0,1,0)</f>
        <v>0</v>
      </c>
    </row>
    <row r="3961">
      <c r="A3961" s="10">
        <f>Daily_Data!A3961</f>
        <v>42069</v>
      </c>
      <c r="B3961" s="11">
        <f>Daily_Data!J3961</f>
        <v>15.2</v>
      </c>
      <c r="C3961" s="11">
        <f>Daily_Data!I3961</f>
        <v>2.85</v>
      </c>
      <c r="D3961" s="12">
        <f>if(sum(Daily_Data!K3961:L3961)&gt;0,1,0)</f>
        <v>1</v>
      </c>
    </row>
    <row r="3962">
      <c r="A3962" s="10">
        <f>Daily_Data!A3962</f>
        <v>42072</v>
      </c>
      <c r="B3962" s="11">
        <f>Daily_Data!J3962</f>
        <v>15.06</v>
      </c>
      <c r="C3962" s="11">
        <f>Daily_Data!I3962</f>
        <v>2.91</v>
      </c>
      <c r="D3962" s="12">
        <f>if(sum(Daily_Data!K3962:L3962)&gt;0,1,0)</f>
        <v>0</v>
      </c>
    </row>
    <row r="3963">
      <c r="A3963" s="10">
        <f>Daily_Data!A3963</f>
        <v>42073</v>
      </c>
      <c r="B3963" s="11">
        <f>Daily_Data!J3963</f>
        <v>16.69</v>
      </c>
      <c r="C3963" s="11">
        <f>Daily_Data!I3963</f>
        <v>2.88</v>
      </c>
      <c r="D3963" s="12">
        <f>if(sum(Daily_Data!K3963:L3963)&gt;0,1,0)</f>
        <v>0</v>
      </c>
    </row>
    <row r="3964">
      <c r="A3964" s="10">
        <f>Daily_Data!A3964</f>
        <v>42074</v>
      </c>
      <c r="B3964" s="11">
        <f>Daily_Data!J3964</f>
        <v>16.87</v>
      </c>
      <c r="C3964" s="11">
        <f>Daily_Data!I3964</f>
        <v>2.87</v>
      </c>
      <c r="D3964" s="12">
        <f>if(sum(Daily_Data!K3964:L3964)&gt;0,1,0)</f>
        <v>0</v>
      </c>
    </row>
    <row r="3965">
      <c r="A3965" s="10">
        <f>Daily_Data!A3965</f>
        <v>42075</v>
      </c>
      <c r="B3965" s="11">
        <f>Daily_Data!J3965</f>
        <v>15.42</v>
      </c>
      <c r="C3965" s="11">
        <f>Daily_Data!I3965</f>
        <v>2.9</v>
      </c>
      <c r="D3965" s="12">
        <f>if(sum(Daily_Data!K3965:L3965)&gt;0,1,0)</f>
        <v>0</v>
      </c>
    </row>
    <row r="3966">
      <c r="A3966" s="10">
        <f>Daily_Data!A3966</f>
        <v>42076</v>
      </c>
      <c r="B3966" s="11">
        <f>Daily_Data!J3966</f>
        <v>16</v>
      </c>
      <c r="C3966" s="11">
        <f>Daily_Data!I3966</f>
        <v>2.9</v>
      </c>
      <c r="D3966" s="12">
        <f>if(sum(Daily_Data!K3966:L3966)&gt;0,1,0)</f>
        <v>0</v>
      </c>
    </row>
    <row r="3967">
      <c r="A3967" s="10">
        <f>Daily_Data!A3967</f>
        <v>42079</v>
      </c>
      <c r="B3967" s="11">
        <f>Daily_Data!J3967</f>
        <v>15.61</v>
      </c>
      <c r="C3967" s="11">
        <f>Daily_Data!I3967</f>
        <v>2.92</v>
      </c>
      <c r="D3967" s="12">
        <f>if(sum(Daily_Data!K3967:L3967)&gt;0,1,0)</f>
        <v>0</v>
      </c>
    </row>
    <row r="3968">
      <c r="A3968" s="10">
        <f>Daily_Data!A3968</f>
        <v>42080</v>
      </c>
      <c r="B3968" s="11">
        <f>Daily_Data!J3968</f>
        <v>15.66</v>
      </c>
      <c r="C3968" s="11">
        <f>Daily_Data!I3968</f>
        <v>2.86</v>
      </c>
      <c r="D3968" s="12">
        <f>if(sum(Daily_Data!K3968:L3968)&gt;0,1,0)</f>
        <v>0</v>
      </c>
    </row>
    <row r="3969">
      <c r="A3969" s="10">
        <f>Daily_Data!A3969</f>
        <v>42081</v>
      </c>
      <c r="B3969" s="11">
        <f>Daily_Data!J3969</f>
        <v>13.97</v>
      </c>
      <c r="C3969" s="11">
        <f>Daily_Data!I3969</f>
        <v>2.98</v>
      </c>
      <c r="D3969" s="12">
        <f>if(sum(Daily_Data!K3969:L3969)&gt;0,1,0)</f>
        <v>0</v>
      </c>
    </row>
    <row r="3970">
      <c r="A3970" s="10">
        <f>Daily_Data!A3970</f>
        <v>42082</v>
      </c>
      <c r="B3970" s="11">
        <f>Daily_Data!J3970</f>
        <v>14.07</v>
      </c>
      <c r="C3970" s="11">
        <f>Daily_Data!I3970</f>
        <v>2.9</v>
      </c>
      <c r="D3970" s="12">
        <f>if(sum(Daily_Data!K3970:L3970)&gt;0,1,0)</f>
        <v>0</v>
      </c>
    </row>
    <row r="3971">
      <c r="A3971" s="10">
        <f>Daily_Data!A3971</f>
        <v>42083</v>
      </c>
      <c r="B3971" s="11">
        <f>Daily_Data!J3971</f>
        <v>13.02</v>
      </c>
      <c r="C3971" s="11">
        <f>Daily_Data!I3971</f>
        <v>2.95</v>
      </c>
      <c r="D3971" s="12">
        <f>if(sum(Daily_Data!K3971:L3971)&gt;0,1,0)</f>
        <v>0</v>
      </c>
    </row>
    <row r="3972">
      <c r="A3972" s="10">
        <f>Daily_Data!A3972</f>
        <v>42086</v>
      </c>
      <c r="B3972" s="11">
        <f>Daily_Data!J3972</f>
        <v>13.41</v>
      </c>
      <c r="C3972" s="11">
        <f>Daily_Data!I3972</f>
        <v>2.95</v>
      </c>
      <c r="D3972" s="12">
        <f>if(sum(Daily_Data!K3972:L3972)&gt;0,1,0)</f>
        <v>0</v>
      </c>
    </row>
    <row r="3973">
      <c r="A3973" s="10">
        <f>Daily_Data!A3973</f>
        <v>42087</v>
      </c>
      <c r="B3973" s="11">
        <f>Daily_Data!J3973</f>
        <v>13.62</v>
      </c>
      <c r="C3973" s="11">
        <f>Daily_Data!I3973</f>
        <v>2.96</v>
      </c>
      <c r="D3973" s="12">
        <f>if(sum(Daily_Data!K3973:L3973)&gt;0,1,0)</f>
        <v>1</v>
      </c>
    </row>
    <row r="3974">
      <c r="A3974" s="10">
        <f>Daily_Data!A3974</f>
        <v>42088</v>
      </c>
      <c r="B3974" s="11">
        <f>Daily_Data!J3974</f>
        <v>15.44</v>
      </c>
      <c r="C3974" s="11">
        <f>Daily_Data!I3974</f>
        <v>2.94</v>
      </c>
      <c r="D3974" s="12">
        <f>if(sum(Daily_Data!K3974:L3974)&gt;0,1,0)</f>
        <v>0</v>
      </c>
    </row>
    <row r="3975">
      <c r="A3975" s="10">
        <f>Daily_Data!A3975</f>
        <v>42089</v>
      </c>
      <c r="B3975" s="11">
        <f>Daily_Data!J3975</f>
        <v>15.8</v>
      </c>
      <c r="C3975" s="11">
        <f>Daily_Data!I3975</f>
        <v>2.94</v>
      </c>
      <c r="D3975" s="12">
        <f>if(sum(Daily_Data!K3975:L3975)&gt;0,1,0)</f>
        <v>0</v>
      </c>
    </row>
    <row r="3976">
      <c r="A3976" s="10">
        <f>Daily_Data!A3976</f>
        <v>42090</v>
      </c>
      <c r="B3976" s="11">
        <f>Daily_Data!J3976</f>
        <v>15.07</v>
      </c>
      <c r="C3976" s="11">
        <f>Daily_Data!I3976</f>
        <v>2.99</v>
      </c>
      <c r="D3976" s="12">
        <f>if(sum(Daily_Data!K3976:L3976)&gt;0,1,0)</f>
        <v>0</v>
      </c>
    </row>
    <row r="3977">
      <c r="A3977" s="10">
        <f>Daily_Data!A3977</f>
        <v>42093</v>
      </c>
      <c r="B3977" s="11">
        <f>Daily_Data!J3977</f>
        <v>14.51</v>
      </c>
      <c r="C3977" s="11">
        <f>Daily_Data!I3977</f>
        <v>2.98</v>
      </c>
      <c r="D3977" s="12">
        <f>if(sum(Daily_Data!K3977:L3977)&gt;0,1,0)</f>
        <v>0</v>
      </c>
    </row>
    <row r="3978">
      <c r="A3978" s="10">
        <f>Daily_Data!A3978</f>
        <v>42094</v>
      </c>
      <c r="B3978" s="11">
        <f>Daily_Data!J3978</f>
        <v>15.29</v>
      </c>
      <c r="C3978" s="11">
        <f>Daily_Data!I3978</f>
        <v>2.96</v>
      </c>
      <c r="D3978" s="12">
        <f>if(sum(Daily_Data!K3978:L3978)&gt;0,1,0)</f>
        <v>0</v>
      </c>
    </row>
    <row r="3979">
      <c r="A3979" s="10">
        <f>Daily_Data!A3979</f>
        <v>42095</v>
      </c>
      <c r="B3979" s="11">
        <f>Daily_Data!J3979</f>
        <v>15.11</v>
      </c>
      <c r="C3979" s="11">
        <f>Daily_Data!I3979</f>
        <v>2.96</v>
      </c>
      <c r="D3979" s="12">
        <f>if(sum(Daily_Data!K3979:L3979)&gt;0,1,0)</f>
        <v>0</v>
      </c>
    </row>
    <row r="3980">
      <c r="A3980" s="10">
        <f>Daily_Data!A3980</f>
        <v>42096</v>
      </c>
      <c r="B3980" s="11">
        <f>Daily_Data!J3980</f>
        <v>14.67</v>
      </c>
      <c r="C3980" s="11">
        <f>Daily_Data!I3980</f>
        <v>2.94</v>
      </c>
      <c r="D3980" s="12">
        <f>if(sum(Daily_Data!K3980:L3980)&gt;0,1,0)</f>
        <v>0</v>
      </c>
    </row>
    <row r="3981">
      <c r="A3981" s="10">
        <f>Daily_Data!A3981</f>
        <v>42097</v>
      </c>
      <c r="B3981" s="11" t="str">
        <f>Daily_Data!J3981</f>
        <v/>
      </c>
      <c r="C3981" s="11" t="str">
        <f>Daily_Data!I3981</f>
        <v/>
      </c>
      <c r="D3981" s="12">
        <f>if(sum(Daily_Data!K3981:L3981)&gt;0,1,0)</f>
        <v>1</v>
      </c>
    </row>
    <row r="3982">
      <c r="A3982" s="10">
        <f>Daily_Data!A3982</f>
        <v>42100</v>
      </c>
      <c r="B3982" s="11">
        <f>Daily_Data!J3982</f>
        <v>14.74</v>
      </c>
      <c r="C3982" s="11" t="str">
        <f>Daily_Data!I3982</f>
        <v/>
      </c>
      <c r="D3982" s="12">
        <f>if(sum(Daily_Data!K3982:L3982)&gt;0,1,0)</f>
        <v>0</v>
      </c>
    </row>
    <row r="3983">
      <c r="A3983" s="10">
        <f>Daily_Data!A3983</f>
        <v>42101</v>
      </c>
      <c r="B3983" s="11">
        <f>Daily_Data!J3983</f>
        <v>14.78</v>
      </c>
      <c r="C3983" s="11">
        <f>Daily_Data!I3983</f>
        <v>2.94</v>
      </c>
      <c r="D3983" s="12">
        <f>if(sum(Daily_Data!K3983:L3983)&gt;0,1,0)</f>
        <v>0</v>
      </c>
    </row>
    <row r="3984">
      <c r="A3984" s="10">
        <f>Daily_Data!A3984</f>
        <v>42102</v>
      </c>
      <c r="B3984" s="11">
        <f>Daily_Data!J3984</f>
        <v>13.98</v>
      </c>
      <c r="C3984" s="11">
        <f>Daily_Data!I3984</f>
        <v>2.95</v>
      </c>
      <c r="D3984" s="12">
        <f>if(sum(Daily_Data!K3984:L3984)&gt;0,1,0)</f>
        <v>0</v>
      </c>
    </row>
    <row r="3985">
      <c r="A3985" s="10">
        <f>Daily_Data!A3985</f>
        <v>42103</v>
      </c>
      <c r="B3985" s="11">
        <f>Daily_Data!J3985</f>
        <v>13.09</v>
      </c>
      <c r="C3985" s="11">
        <f>Daily_Data!I3985</f>
        <v>2.94</v>
      </c>
      <c r="D3985" s="12">
        <f>if(sum(Daily_Data!K3985:L3985)&gt;0,1,0)</f>
        <v>0</v>
      </c>
    </row>
    <row r="3986">
      <c r="A3986" s="10">
        <f>Daily_Data!A3986</f>
        <v>42104</v>
      </c>
      <c r="B3986" s="11">
        <f>Daily_Data!J3986</f>
        <v>12.58</v>
      </c>
      <c r="C3986" s="11">
        <f>Daily_Data!I3986</f>
        <v>2.94</v>
      </c>
      <c r="D3986" s="12">
        <f>if(sum(Daily_Data!K3986:L3986)&gt;0,1,0)</f>
        <v>0</v>
      </c>
    </row>
    <row r="3987">
      <c r="A3987" s="10">
        <f>Daily_Data!A3987</f>
        <v>42107</v>
      </c>
      <c r="B3987" s="11">
        <f>Daily_Data!J3987</f>
        <v>13.94</v>
      </c>
      <c r="C3987" s="11">
        <f>Daily_Data!I3987</f>
        <v>2.95</v>
      </c>
      <c r="D3987" s="12">
        <f>if(sum(Daily_Data!K3987:L3987)&gt;0,1,0)</f>
        <v>0</v>
      </c>
    </row>
    <row r="3988">
      <c r="A3988" s="10">
        <f>Daily_Data!A3988</f>
        <v>42108</v>
      </c>
      <c r="B3988" s="11">
        <f>Daily_Data!J3988</f>
        <v>13.67</v>
      </c>
      <c r="C3988" s="11">
        <f>Daily_Data!I3988</f>
        <v>2.95</v>
      </c>
      <c r="D3988" s="12">
        <f>if(sum(Daily_Data!K3988:L3988)&gt;0,1,0)</f>
        <v>0</v>
      </c>
    </row>
    <row r="3989">
      <c r="A3989" s="10">
        <f>Daily_Data!A3989</f>
        <v>42109</v>
      </c>
      <c r="B3989" s="11">
        <f>Daily_Data!J3989</f>
        <v>12.84</v>
      </c>
      <c r="C3989" s="11">
        <f>Daily_Data!I3989</f>
        <v>2.98</v>
      </c>
      <c r="D3989" s="12">
        <f>if(sum(Daily_Data!K3989:L3989)&gt;0,1,0)</f>
        <v>0</v>
      </c>
    </row>
    <row r="3990">
      <c r="A3990" s="10">
        <f>Daily_Data!A3990</f>
        <v>42110</v>
      </c>
      <c r="B3990" s="11">
        <f>Daily_Data!J3990</f>
        <v>12.6</v>
      </c>
      <c r="C3990" s="11">
        <f>Daily_Data!I3990</f>
        <v>3.03</v>
      </c>
      <c r="D3990" s="12">
        <f>if(sum(Daily_Data!K3990:L3990)&gt;0,1,0)</f>
        <v>0</v>
      </c>
    </row>
    <row r="3991">
      <c r="A3991" s="10">
        <f>Daily_Data!A3991</f>
        <v>42111</v>
      </c>
      <c r="B3991" s="11">
        <f>Daily_Data!J3991</f>
        <v>13.89</v>
      </c>
      <c r="C3991" s="11">
        <f>Daily_Data!I3991</f>
        <v>3.01</v>
      </c>
      <c r="D3991" s="12">
        <f>if(sum(Daily_Data!K3991:L3991)&gt;0,1,0)</f>
        <v>1</v>
      </c>
    </row>
    <row r="3992">
      <c r="A3992" s="10">
        <f>Daily_Data!A3992</f>
        <v>42114</v>
      </c>
      <c r="B3992" s="11">
        <f>Daily_Data!J3992</f>
        <v>13.3</v>
      </c>
      <c r="C3992" s="11">
        <f>Daily_Data!I3992</f>
        <v>3</v>
      </c>
      <c r="D3992" s="12">
        <f>if(sum(Daily_Data!K3992:L3992)&gt;0,1,0)</f>
        <v>0</v>
      </c>
    </row>
    <row r="3993">
      <c r="A3993" s="10">
        <f>Daily_Data!A3993</f>
        <v>42115</v>
      </c>
      <c r="B3993" s="11">
        <f>Daily_Data!J3993</f>
        <v>13.25</v>
      </c>
      <c r="C3993" s="11">
        <f>Daily_Data!I3993</f>
        <v>3</v>
      </c>
      <c r="D3993" s="12">
        <f>if(sum(Daily_Data!K3993:L3993)&gt;0,1,0)</f>
        <v>0</v>
      </c>
    </row>
    <row r="3994">
      <c r="A3994" s="10">
        <f>Daily_Data!A3994</f>
        <v>42116</v>
      </c>
      <c r="B3994" s="11">
        <f>Daily_Data!J3994</f>
        <v>12.71</v>
      </c>
      <c r="C3994" s="11">
        <f>Daily_Data!I3994</f>
        <v>3.01</v>
      </c>
      <c r="D3994" s="12">
        <f>if(sum(Daily_Data!K3994:L3994)&gt;0,1,0)</f>
        <v>0</v>
      </c>
    </row>
    <row r="3995">
      <c r="A3995" s="10">
        <f>Daily_Data!A3995</f>
        <v>42117</v>
      </c>
      <c r="B3995" s="11">
        <f>Daily_Data!J3995</f>
        <v>12.48</v>
      </c>
      <c r="C3995" s="11">
        <f>Daily_Data!I3995</f>
        <v>3.01</v>
      </c>
      <c r="D3995" s="12">
        <f>if(sum(Daily_Data!K3995:L3995)&gt;0,1,0)</f>
        <v>0</v>
      </c>
    </row>
    <row r="3996">
      <c r="A3996" s="10">
        <f>Daily_Data!A3996</f>
        <v>42118</v>
      </c>
      <c r="B3996" s="11">
        <f>Daily_Data!J3996</f>
        <v>12.29</v>
      </c>
      <c r="C3996" s="11">
        <f>Daily_Data!I3996</f>
        <v>2.99</v>
      </c>
      <c r="D3996" s="12">
        <f>if(sum(Daily_Data!K3996:L3996)&gt;0,1,0)</f>
        <v>0</v>
      </c>
    </row>
    <row r="3997">
      <c r="A3997" s="10">
        <f>Daily_Data!A3997</f>
        <v>42121</v>
      </c>
      <c r="B3997" s="11">
        <f>Daily_Data!J3997</f>
        <v>13.12</v>
      </c>
      <c r="C3997" s="11" t="str">
        <f>Daily_Data!I3997</f>
        <v/>
      </c>
      <c r="D3997" s="12">
        <f>if(sum(Daily_Data!K3997:L3997)&gt;0,1,0)</f>
        <v>0</v>
      </c>
    </row>
    <row r="3998">
      <c r="A3998" s="10">
        <f>Daily_Data!A3998</f>
        <v>42122</v>
      </c>
      <c r="B3998" s="11">
        <f>Daily_Data!J3998</f>
        <v>12.41</v>
      </c>
      <c r="C3998" s="11">
        <f>Daily_Data!I3998</f>
        <v>2.96</v>
      </c>
      <c r="D3998" s="12">
        <f>if(sum(Daily_Data!K3998:L3998)&gt;0,1,0)</f>
        <v>0</v>
      </c>
    </row>
    <row r="3999">
      <c r="A3999" s="10">
        <f>Daily_Data!A3999</f>
        <v>42123</v>
      </c>
      <c r="B3999" s="11">
        <f>Daily_Data!J3999</f>
        <v>13.39</v>
      </c>
      <c r="C3999" s="11">
        <f>Daily_Data!I3999</f>
        <v>2.95</v>
      </c>
      <c r="D3999" s="12">
        <f>if(sum(Daily_Data!K3999:L3999)&gt;0,1,0)</f>
        <v>0</v>
      </c>
    </row>
    <row r="4000">
      <c r="A4000" s="10">
        <f>Daily_Data!A4000</f>
        <v>42124</v>
      </c>
      <c r="B4000" s="11">
        <f>Daily_Data!J4000</f>
        <v>14.55</v>
      </c>
      <c r="C4000" s="11">
        <f>Daily_Data!I4000</f>
        <v>2.91</v>
      </c>
      <c r="D4000" s="12">
        <f>if(sum(Daily_Data!K4000:L4000)&gt;0,1,0)</f>
        <v>0</v>
      </c>
    </row>
    <row r="4001">
      <c r="A4001" s="10">
        <f>Daily_Data!A4001</f>
        <v>42125</v>
      </c>
      <c r="B4001" s="11">
        <f>Daily_Data!J4001</f>
        <v>12.7</v>
      </c>
      <c r="C4001" s="11">
        <f>Daily_Data!I4001</f>
        <v>2.89</v>
      </c>
      <c r="D4001" s="12">
        <f>if(sum(Daily_Data!K4001:L4001)&gt;0,1,0)</f>
        <v>0</v>
      </c>
    </row>
    <row r="4002">
      <c r="A4002" s="10">
        <f>Daily_Data!A4002</f>
        <v>42128</v>
      </c>
      <c r="B4002" s="11">
        <f>Daily_Data!J4002</f>
        <v>12.85</v>
      </c>
      <c r="C4002" s="11">
        <f>Daily_Data!I4002</f>
        <v>2.9</v>
      </c>
      <c r="D4002" s="12">
        <f>if(sum(Daily_Data!K4002:L4002)&gt;0,1,0)</f>
        <v>0</v>
      </c>
    </row>
    <row r="4003">
      <c r="A4003" s="10">
        <f>Daily_Data!A4003</f>
        <v>42129</v>
      </c>
      <c r="B4003" s="11">
        <f>Daily_Data!J4003</f>
        <v>14.31</v>
      </c>
      <c r="C4003" s="11">
        <f>Daily_Data!I4003</f>
        <v>2.89</v>
      </c>
      <c r="D4003" s="12">
        <f>if(sum(Daily_Data!K4003:L4003)&gt;0,1,0)</f>
        <v>0</v>
      </c>
    </row>
    <row r="4004">
      <c r="A4004" s="10">
        <f>Daily_Data!A4004</f>
        <v>42130</v>
      </c>
      <c r="B4004" s="11">
        <f>Daily_Data!J4004</f>
        <v>15.15</v>
      </c>
      <c r="C4004" s="11">
        <f>Daily_Data!I4004</f>
        <v>2.8</v>
      </c>
      <c r="D4004" s="12">
        <f>if(sum(Daily_Data!K4004:L4004)&gt;0,1,0)</f>
        <v>0</v>
      </c>
    </row>
    <row r="4005">
      <c r="A4005" s="10">
        <f>Daily_Data!A4005</f>
        <v>42131</v>
      </c>
      <c r="B4005" s="11">
        <f>Daily_Data!J4005</f>
        <v>15.13</v>
      </c>
      <c r="C4005" s="11">
        <f>Daily_Data!I4005</f>
        <v>2.83</v>
      </c>
      <c r="D4005" s="12">
        <f>if(sum(Daily_Data!K4005:L4005)&gt;0,1,0)</f>
        <v>0</v>
      </c>
    </row>
    <row r="4006">
      <c r="A4006" s="10">
        <f>Daily_Data!A4006</f>
        <v>42132</v>
      </c>
      <c r="B4006" s="11">
        <f>Daily_Data!J4006</f>
        <v>12.86</v>
      </c>
      <c r="C4006" s="11">
        <f>Daily_Data!I4006</f>
        <v>2.85</v>
      </c>
      <c r="D4006" s="12">
        <f>if(sum(Daily_Data!K4006:L4006)&gt;0,1,0)</f>
        <v>1</v>
      </c>
    </row>
    <row r="4007">
      <c r="A4007" s="10">
        <f>Daily_Data!A4007</f>
        <v>42135</v>
      </c>
      <c r="B4007" s="11">
        <f>Daily_Data!J4007</f>
        <v>13.85</v>
      </c>
      <c r="C4007" s="11">
        <f>Daily_Data!I4007</f>
        <v>2.77</v>
      </c>
      <c r="D4007" s="12">
        <f>if(sum(Daily_Data!K4007:L4007)&gt;0,1,0)</f>
        <v>0</v>
      </c>
    </row>
    <row r="4008">
      <c r="A4008" s="10">
        <f>Daily_Data!A4008</f>
        <v>42136</v>
      </c>
      <c r="B4008" s="11">
        <f>Daily_Data!J4008</f>
        <v>13.86</v>
      </c>
      <c r="C4008" s="11">
        <f>Daily_Data!I4008</f>
        <v>2.8</v>
      </c>
      <c r="D4008" s="12">
        <f>if(sum(Daily_Data!K4008:L4008)&gt;0,1,0)</f>
        <v>0</v>
      </c>
    </row>
    <row r="4009">
      <c r="A4009" s="10">
        <f>Daily_Data!A4009</f>
        <v>42137</v>
      </c>
      <c r="B4009" s="11">
        <f>Daily_Data!J4009</f>
        <v>13.76</v>
      </c>
      <c r="C4009" s="11">
        <f>Daily_Data!I4009</f>
        <v>2.83</v>
      </c>
      <c r="D4009" s="12">
        <f>if(sum(Daily_Data!K4009:L4009)&gt;0,1,0)</f>
        <v>0</v>
      </c>
    </row>
    <row r="4010">
      <c r="A4010" s="10">
        <f>Daily_Data!A4010</f>
        <v>42138</v>
      </c>
      <c r="B4010" s="11">
        <f>Daily_Data!J4010</f>
        <v>12.74</v>
      </c>
      <c r="C4010" s="11">
        <f>Daily_Data!I4010</f>
        <v>2.87</v>
      </c>
      <c r="D4010" s="12">
        <f>if(sum(Daily_Data!K4010:L4010)&gt;0,1,0)</f>
        <v>0</v>
      </c>
    </row>
    <row r="4011">
      <c r="A4011" s="10">
        <f>Daily_Data!A4011</f>
        <v>42139</v>
      </c>
      <c r="B4011" s="11">
        <f>Daily_Data!J4011</f>
        <v>12.38</v>
      </c>
      <c r="C4011" s="11">
        <f>Daily_Data!I4011</f>
        <v>2.83</v>
      </c>
      <c r="D4011" s="12">
        <f>if(sum(Daily_Data!K4011:L4011)&gt;0,1,0)</f>
        <v>0</v>
      </c>
    </row>
    <row r="4012">
      <c r="A4012" s="10">
        <f>Daily_Data!A4012</f>
        <v>42142</v>
      </c>
      <c r="B4012" s="11">
        <f>Daily_Data!J4012</f>
        <v>12.73</v>
      </c>
      <c r="C4012" s="11">
        <f>Daily_Data!I4012</f>
        <v>2.78</v>
      </c>
      <c r="D4012" s="12">
        <f>if(sum(Daily_Data!K4012:L4012)&gt;0,1,0)</f>
        <v>0</v>
      </c>
    </row>
    <row r="4013">
      <c r="A4013" s="10">
        <f>Daily_Data!A4013</f>
        <v>42143</v>
      </c>
      <c r="B4013" s="11">
        <f>Daily_Data!J4013</f>
        <v>12.85</v>
      </c>
      <c r="C4013" s="11">
        <f>Daily_Data!I4013</f>
        <v>2.74</v>
      </c>
      <c r="D4013" s="12">
        <f>if(sum(Daily_Data!K4013:L4013)&gt;0,1,0)</f>
        <v>0</v>
      </c>
    </row>
    <row r="4014">
      <c r="A4014" s="10">
        <f>Daily_Data!A4014</f>
        <v>42144</v>
      </c>
      <c r="B4014" s="11">
        <f>Daily_Data!J4014</f>
        <v>12.88</v>
      </c>
      <c r="C4014" s="11">
        <f>Daily_Data!I4014</f>
        <v>2.78</v>
      </c>
      <c r="D4014" s="12">
        <f>if(sum(Daily_Data!K4014:L4014)&gt;0,1,0)</f>
        <v>0</v>
      </c>
    </row>
    <row r="4015">
      <c r="A4015" s="10">
        <f>Daily_Data!A4015</f>
        <v>42145</v>
      </c>
      <c r="B4015" s="11">
        <f>Daily_Data!J4015</f>
        <v>12.11</v>
      </c>
      <c r="C4015" s="11">
        <f>Daily_Data!I4015</f>
        <v>2.78</v>
      </c>
      <c r="D4015" s="12">
        <f>if(sum(Daily_Data!K4015:L4015)&gt;0,1,0)</f>
        <v>0</v>
      </c>
    </row>
    <row r="4016">
      <c r="A4016" s="10">
        <f>Daily_Data!A4016</f>
        <v>42146</v>
      </c>
      <c r="B4016" s="11">
        <f>Daily_Data!J4016</f>
        <v>12.13</v>
      </c>
      <c r="C4016" s="11">
        <f>Daily_Data!I4016</f>
        <v>2.75</v>
      </c>
      <c r="D4016" s="12">
        <f>if(sum(Daily_Data!K4016:L4016)&gt;0,1,0)</f>
        <v>1</v>
      </c>
    </row>
    <row r="4017">
      <c r="A4017" s="10">
        <f>Daily_Data!A4017</f>
        <v>42149</v>
      </c>
      <c r="B4017" s="11" t="str">
        <f>Daily_Data!J4017</f>
        <v/>
      </c>
      <c r="C4017" s="11" t="str">
        <f>Daily_Data!I4017</f>
        <v/>
      </c>
      <c r="D4017" s="12">
        <f>if(sum(Daily_Data!K4017:L4017)&gt;0,1,0)</f>
        <v>0</v>
      </c>
    </row>
    <row r="4018">
      <c r="A4018" s="10">
        <f>Daily_Data!A4018</f>
        <v>42150</v>
      </c>
      <c r="B4018" s="11">
        <f>Daily_Data!J4018</f>
        <v>14.06</v>
      </c>
      <c r="C4018" s="11">
        <f>Daily_Data!I4018</f>
        <v>2.75</v>
      </c>
      <c r="D4018" s="12">
        <f>if(sum(Daily_Data!K4018:L4018)&gt;0,1,0)</f>
        <v>0</v>
      </c>
    </row>
    <row r="4019">
      <c r="A4019" s="10">
        <f>Daily_Data!A4019</f>
        <v>42151</v>
      </c>
      <c r="B4019" s="11">
        <f>Daily_Data!J4019</f>
        <v>13.27</v>
      </c>
      <c r="C4019" s="11">
        <f>Daily_Data!I4019</f>
        <v>2.75</v>
      </c>
      <c r="D4019" s="12">
        <f>if(sum(Daily_Data!K4019:L4019)&gt;0,1,0)</f>
        <v>0</v>
      </c>
    </row>
    <row r="4020">
      <c r="A4020" s="10">
        <f>Daily_Data!A4020</f>
        <v>42152</v>
      </c>
      <c r="B4020" s="11">
        <f>Daily_Data!J4020</f>
        <v>13.31</v>
      </c>
      <c r="C4020" s="11">
        <f>Daily_Data!I4020</f>
        <v>2.77</v>
      </c>
      <c r="D4020" s="12">
        <f>if(sum(Daily_Data!K4020:L4020)&gt;0,1,0)</f>
        <v>0</v>
      </c>
    </row>
    <row r="4021">
      <c r="A4021" s="10">
        <f>Daily_Data!A4021</f>
        <v>42153</v>
      </c>
      <c r="B4021" s="11">
        <f>Daily_Data!J4021</f>
        <v>13.84</v>
      </c>
      <c r="C4021" s="11">
        <f>Daily_Data!I4021</f>
        <v>2.73</v>
      </c>
      <c r="D4021" s="12">
        <f>if(sum(Daily_Data!K4021:L4021)&gt;0,1,0)</f>
        <v>0</v>
      </c>
    </row>
    <row r="4022">
      <c r="A4022" s="10">
        <f>Daily_Data!A4022</f>
        <v>42156</v>
      </c>
      <c r="B4022" s="11">
        <f>Daily_Data!J4022</f>
        <v>13.97</v>
      </c>
      <c r="C4022" s="11" t="str">
        <f>Daily_Data!I4022</f>
        <v/>
      </c>
      <c r="D4022" s="12">
        <f>if(sum(Daily_Data!K4022:L4022)&gt;0,1,0)</f>
        <v>0</v>
      </c>
    </row>
    <row r="4023">
      <c r="A4023" s="10">
        <f>Daily_Data!A4023</f>
        <v>42157</v>
      </c>
      <c r="B4023" s="11">
        <f>Daily_Data!J4023</f>
        <v>14.24</v>
      </c>
      <c r="C4023" s="11">
        <f>Daily_Data!I4023</f>
        <v>2.71</v>
      </c>
      <c r="D4023" s="12">
        <f>if(sum(Daily_Data!K4023:L4023)&gt;0,1,0)</f>
        <v>0</v>
      </c>
    </row>
    <row r="4024">
      <c r="A4024" s="10">
        <f>Daily_Data!A4024</f>
        <v>42158</v>
      </c>
      <c r="B4024" s="11">
        <f>Daily_Data!J4024</f>
        <v>13.66</v>
      </c>
      <c r="C4024" s="11">
        <f>Daily_Data!I4024</f>
        <v>2.64</v>
      </c>
      <c r="D4024" s="12">
        <f>if(sum(Daily_Data!K4024:L4024)&gt;0,1,0)</f>
        <v>0</v>
      </c>
    </row>
    <row r="4025">
      <c r="A4025" s="10">
        <f>Daily_Data!A4025</f>
        <v>42159</v>
      </c>
      <c r="B4025" s="11">
        <f>Daily_Data!J4025</f>
        <v>14.71</v>
      </c>
      <c r="C4025" s="11">
        <f>Daily_Data!I4025</f>
        <v>2.71</v>
      </c>
      <c r="D4025" s="12">
        <f>if(sum(Daily_Data!K4025:L4025)&gt;0,1,0)</f>
        <v>0</v>
      </c>
    </row>
    <row r="4026">
      <c r="A4026" s="10">
        <f>Daily_Data!A4026</f>
        <v>42160</v>
      </c>
      <c r="B4026" s="11">
        <f>Daily_Data!J4026</f>
        <v>14.21</v>
      </c>
      <c r="C4026" s="11">
        <f>Daily_Data!I4026</f>
        <v>2.64</v>
      </c>
      <c r="D4026" s="12">
        <f>if(sum(Daily_Data!K4026:L4026)&gt;0,1,0)</f>
        <v>1</v>
      </c>
    </row>
    <row r="4027">
      <c r="A4027" s="10">
        <f>Daily_Data!A4027</f>
        <v>42163</v>
      </c>
      <c r="B4027" s="11">
        <f>Daily_Data!J4027</f>
        <v>15.29</v>
      </c>
      <c r="C4027" s="11">
        <f>Daily_Data!I4027</f>
        <v>2.68</v>
      </c>
      <c r="D4027" s="12">
        <f>if(sum(Daily_Data!K4027:L4027)&gt;0,1,0)</f>
        <v>0</v>
      </c>
    </row>
    <row r="4028">
      <c r="A4028" s="10">
        <f>Daily_Data!A4028</f>
        <v>42164</v>
      </c>
      <c r="B4028" s="11">
        <f>Daily_Data!J4028</f>
        <v>14.47</v>
      </c>
      <c r="C4028" s="11">
        <f>Daily_Data!I4028</f>
        <v>2.65</v>
      </c>
      <c r="D4028" s="12">
        <f>if(sum(Daily_Data!K4028:L4028)&gt;0,1,0)</f>
        <v>0</v>
      </c>
    </row>
    <row r="4029">
      <c r="A4029" s="10">
        <f>Daily_Data!A4029</f>
        <v>42165</v>
      </c>
      <c r="B4029" s="11">
        <f>Daily_Data!J4029</f>
        <v>13.22</v>
      </c>
      <c r="C4029" s="11">
        <f>Daily_Data!I4029</f>
        <v>2.59</v>
      </c>
      <c r="D4029" s="12">
        <f>if(sum(Daily_Data!K4029:L4029)&gt;0,1,0)</f>
        <v>0</v>
      </c>
    </row>
    <row r="4030">
      <c r="A4030" s="10">
        <f>Daily_Data!A4030</f>
        <v>42166</v>
      </c>
      <c r="B4030" s="11">
        <f>Daily_Data!J4030</f>
        <v>12.85</v>
      </c>
      <c r="C4030" s="11">
        <f>Daily_Data!I4030</f>
        <v>2.51</v>
      </c>
      <c r="D4030" s="12">
        <f>if(sum(Daily_Data!K4030:L4030)&gt;0,1,0)</f>
        <v>0</v>
      </c>
    </row>
    <row r="4031">
      <c r="A4031" s="10">
        <f>Daily_Data!A4031</f>
        <v>42167</v>
      </c>
      <c r="B4031" s="11">
        <f>Daily_Data!J4031</f>
        <v>13.78</v>
      </c>
      <c r="C4031" s="11">
        <f>Daily_Data!I4031</f>
        <v>2.46</v>
      </c>
      <c r="D4031" s="12">
        <f>if(sum(Daily_Data!K4031:L4031)&gt;0,1,0)</f>
        <v>0</v>
      </c>
    </row>
    <row r="4032">
      <c r="A4032" s="10">
        <f>Daily_Data!A4032</f>
        <v>42170</v>
      </c>
      <c r="B4032" s="11">
        <f>Daily_Data!J4032</f>
        <v>15.39</v>
      </c>
      <c r="C4032" s="11">
        <f>Daily_Data!I4032</f>
        <v>2.47</v>
      </c>
      <c r="D4032" s="12">
        <f>if(sum(Daily_Data!K4032:L4032)&gt;0,1,0)</f>
        <v>0</v>
      </c>
    </row>
    <row r="4033">
      <c r="A4033" s="10">
        <f>Daily_Data!A4033</f>
        <v>42171</v>
      </c>
      <c r="B4033" s="11">
        <f>Daily_Data!J4033</f>
        <v>14.81</v>
      </c>
      <c r="C4033" s="11">
        <f>Daily_Data!I4033</f>
        <v>2.45</v>
      </c>
      <c r="D4033" s="12">
        <f>if(sum(Daily_Data!K4033:L4033)&gt;0,1,0)</f>
        <v>0</v>
      </c>
    </row>
    <row r="4034">
      <c r="A4034" s="10">
        <f>Daily_Data!A4034</f>
        <v>42172</v>
      </c>
      <c r="B4034" s="11">
        <f>Daily_Data!J4034</f>
        <v>14.5</v>
      </c>
      <c r="C4034" s="11">
        <f>Daily_Data!I4034</f>
        <v>2.5</v>
      </c>
      <c r="D4034" s="12">
        <f>if(sum(Daily_Data!K4034:L4034)&gt;0,1,0)</f>
        <v>0</v>
      </c>
    </row>
    <row r="4035">
      <c r="A4035" s="10">
        <f>Daily_Data!A4035</f>
        <v>42173</v>
      </c>
      <c r="B4035" s="11">
        <f>Daily_Data!J4035</f>
        <v>13.19</v>
      </c>
      <c r="C4035" s="11">
        <f>Daily_Data!I4035</f>
        <v>2.42</v>
      </c>
      <c r="D4035" s="12">
        <f>if(sum(Daily_Data!K4035:L4035)&gt;0,1,0)</f>
        <v>1</v>
      </c>
    </row>
    <row r="4036">
      <c r="A4036" s="10">
        <f>Daily_Data!A4036</f>
        <v>42174</v>
      </c>
      <c r="B4036" s="11">
        <f>Daily_Data!J4036</f>
        <v>13.96</v>
      </c>
      <c r="C4036" s="11">
        <f>Daily_Data!I4036</f>
        <v>2.42</v>
      </c>
      <c r="D4036" s="12">
        <f>if(sum(Daily_Data!K4036:L4036)&gt;0,1,0)</f>
        <v>0</v>
      </c>
    </row>
    <row r="4037">
      <c r="A4037" s="10">
        <f>Daily_Data!A4037</f>
        <v>42177</v>
      </c>
      <c r="B4037" s="11">
        <f>Daily_Data!J4037</f>
        <v>12.74</v>
      </c>
      <c r="C4037" s="11">
        <f>Daily_Data!I4037</f>
        <v>2.38</v>
      </c>
      <c r="D4037" s="12">
        <f>if(sum(Daily_Data!K4037:L4037)&gt;0,1,0)</f>
        <v>0</v>
      </c>
    </row>
    <row r="4038">
      <c r="A4038" s="10">
        <f>Daily_Data!A4038</f>
        <v>42178</v>
      </c>
      <c r="B4038" s="11">
        <f>Daily_Data!J4038</f>
        <v>12.11</v>
      </c>
      <c r="C4038" s="11">
        <f>Daily_Data!I4038</f>
        <v>2.4</v>
      </c>
      <c r="D4038" s="12">
        <f>if(sum(Daily_Data!K4038:L4038)&gt;0,1,0)</f>
        <v>0</v>
      </c>
    </row>
    <row r="4039">
      <c r="A4039" s="10">
        <f>Daily_Data!A4039</f>
        <v>42179</v>
      </c>
      <c r="B4039" s="11">
        <f>Daily_Data!J4039</f>
        <v>13.26</v>
      </c>
      <c r="C4039" s="11">
        <f>Daily_Data!I4039</f>
        <v>2.43</v>
      </c>
      <c r="D4039" s="12">
        <f>if(sum(Daily_Data!K4039:L4039)&gt;0,1,0)</f>
        <v>0</v>
      </c>
    </row>
    <row r="4040">
      <c r="A4040" s="10">
        <f>Daily_Data!A4040</f>
        <v>42180</v>
      </c>
      <c r="B4040" s="11">
        <f>Daily_Data!J4040</f>
        <v>14.01</v>
      </c>
      <c r="C4040" s="11">
        <f>Daily_Data!I4040</f>
        <v>2.42</v>
      </c>
      <c r="D4040" s="12">
        <f>if(sum(Daily_Data!K4040:L4040)&gt;0,1,0)</f>
        <v>0</v>
      </c>
    </row>
    <row r="4041">
      <c r="A4041" s="10">
        <f>Daily_Data!A4041</f>
        <v>42181</v>
      </c>
      <c r="B4041" s="11">
        <f>Daily_Data!J4041</f>
        <v>14.02</v>
      </c>
      <c r="C4041" s="11">
        <f>Daily_Data!I4041</f>
        <v>2.38</v>
      </c>
      <c r="D4041" s="12">
        <f>if(sum(Daily_Data!K4041:L4041)&gt;0,1,0)</f>
        <v>0</v>
      </c>
    </row>
    <row r="4042">
      <c r="A4042" s="10">
        <f>Daily_Data!A4042</f>
        <v>42184</v>
      </c>
      <c r="B4042" s="11">
        <f>Daily_Data!J4042</f>
        <v>18.85</v>
      </c>
      <c r="C4042" s="11">
        <f>Daily_Data!I4042</f>
        <v>2.44</v>
      </c>
      <c r="D4042" s="12">
        <f>if(sum(Daily_Data!K4042:L4042)&gt;0,1,0)</f>
        <v>0</v>
      </c>
    </row>
    <row r="4043">
      <c r="A4043" s="10">
        <f>Daily_Data!A4043</f>
        <v>42185</v>
      </c>
      <c r="B4043" s="11">
        <f>Daily_Data!J4043</f>
        <v>18.23</v>
      </c>
      <c r="C4043" s="11">
        <f>Daily_Data!I4043</f>
        <v>2.46</v>
      </c>
      <c r="D4043" s="12">
        <f>if(sum(Daily_Data!K4043:L4043)&gt;0,1,0)</f>
        <v>0</v>
      </c>
    </row>
    <row r="4044">
      <c r="A4044" s="10">
        <f>Daily_Data!A4044</f>
        <v>42186</v>
      </c>
      <c r="B4044" s="11">
        <f>Daily_Data!J4044</f>
        <v>16.09</v>
      </c>
      <c r="C4044" s="11">
        <f>Daily_Data!I4044</f>
        <v>2.41</v>
      </c>
      <c r="D4044" s="12">
        <f>if(sum(Daily_Data!K4044:L4044)&gt;0,1,0)</f>
        <v>0</v>
      </c>
    </row>
    <row r="4045">
      <c r="A4045" s="10">
        <f>Daily_Data!A4045</f>
        <v>42187</v>
      </c>
      <c r="B4045" s="11">
        <f>Daily_Data!J4045</f>
        <v>16.79</v>
      </c>
      <c r="C4045" s="11">
        <f>Daily_Data!I4045</f>
        <v>2.38</v>
      </c>
      <c r="D4045" s="12">
        <f>if(sum(Daily_Data!K4045:L4045)&gt;0,1,0)</f>
        <v>1</v>
      </c>
    </row>
    <row r="4046">
      <c r="A4046" s="10">
        <f>Daily_Data!A4046</f>
        <v>42188</v>
      </c>
      <c r="B4046" s="11" t="str">
        <f>Daily_Data!J4046</f>
        <v/>
      </c>
      <c r="C4046" s="11" t="str">
        <f>Daily_Data!I4046</f>
        <v/>
      </c>
      <c r="D4046" s="12">
        <f>if(sum(Daily_Data!K4046:L4046)&gt;0,1,0)</f>
        <v>0</v>
      </c>
    </row>
    <row r="4047">
      <c r="A4047" s="10">
        <f>Daily_Data!A4047</f>
        <v>42191</v>
      </c>
      <c r="B4047" s="11">
        <f>Daily_Data!J4047</f>
        <v>17.01</v>
      </c>
      <c r="C4047" s="11">
        <f>Daily_Data!I4047</f>
        <v>2.34</v>
      </c>
      <c r="D4047" s="12">
        <f>if(sum(Daily_Data!K4047:L4047)&gt;0,1,0)</f>
        <v>0</v>
      </c>
    </row>
    <row r="4048">
      <c r="A4048" s="10">
        <f>Daily_Data!A4048</f>
        <v>42192</v>
      </c>
      <c r="B4048" s="11">
        <f>Daily_Data!J4048</f>
        <v>16.09</v>
      </c>
      <c r="C4048" s="11">
        <f>Daily_Data!I4048</f>
        <v>2.38</v>
      </c>
      <c r="D4048" s="12">
        <f>if(sum(Daily_Data!K4048:L4048)&gt;0,1,0)</f>
        <v>0</v>
      </c>
    </row>
    <row r="4049">
      <c r="A4049" s="10">
        <f>Daily_Data!A4049</f>
        <v>42193</v>
      </c>
      <c r="B4049" s="11">
        <f>Daily_Data!J4049</f>
        <v>19.66</v>
      </c>
      <c r="C4049" s="11">
        <f>Daily_Data!I4049</f>
        <v>2.38</v>
      </c>
      <c r="D4049" s="12">
        <f>if(sum(Daily_Data!K4049:L4049)&gt;0,1,0)</f>
        <v>0</v>
      </c>
    </row>
    <row r="4050">
      <c r="A4050" s="10">
        <f>Daily_Data!A4050</f>
        <v>42194</v>
      </c>
      <c r="B4050" s="11">
        <f>Daily_Data!J4050</f>
        <v>19.97</v>
      </c>
      <c r="C4050" s="11">
        <f>Daily_Data!I4050</f>
        <v>2.36</v>
      </c>
      <c r="D4050" s="12">
        <f>if(sum(Daily_Data!K4050:L4050)&gt;0,1,0)</f>
        <v>0</v>
      </c>
    </row>
    <row r="4051">
      <c r="A4051" s="10">
        <f>Daily_Data!A4051</f>
        <v>42195</v>
      </c>
      <c r="B4051" s="11">
        <f>Daily_Data!J4051</f>
        <v>16.83</v>
      </c>
      <c r="C4051" s="11">
        <f>Daily_Data!I4051</f>
        <v>2.33</v>
      </c>
      <c r="D4051" s="12">
        <f>if(sum(Daily_Data!K4051:L4051)&gt;0,1,0)</f>
        <v>0</v>
      </c>
    </row>
    <row r="4052">
      <c r="A4052" s="10">
        <f>Daily_Data!A4052</f>
        <v>42198</v>
      </c>
      <c r="B4052" s="11">
        <f>Daily_Data!J4052</f>
        <v>13.9</v>
      </c>
      <c r="C4052" s="11">
        <f>Daily_Data!I4052</f>
        <v>2.3</v>
      </c>
      <c r="D4052" s="12">
        <f>if(sum(Daily_Data!K4052:L4052)&gt;0,1,0)</f>
        <v>0</v>
      </c>
    </row>
    <row r="4053">
      <c r="A4053" s="10">
        <f>Daily_Data!A4053</f>
        <v>42199</v>
      </c>
      <c r="B4053" s="11">
        <f>Daily_Data!J4053</f>
        <v>13.37</v>
      </c>
      <c r="C4053" s="11">
        <f>Daily_Data!I4053</f>
        <v>2.35</v>
      </c>
      <c r="D4053" s="12">
        <f>if(sum(Daily_Data!K4053:L4053)&gt;0,1,0)</f>
        <v>0</v>
      </c>
    </row>
    <row r="4054">
      <c r="A4054" s="10">
        <f>Daily_Data!A4054</f>
        <v>42200</v>
      </c>
      <c r="B4054" s="11">
        <f>Daily_Data!J4054</f>
        <v>13.23</v>
      </c>
      <c r="C4054" s="11">
        <f>Daily_Data!I4054</f>
        <v>2.36</v>
      </c>
      <c r="D4054" s="12">
        <f>if(sum(Daily_Data!K4054:L4054)&gt;0,1,0)</f>
        <v>0</v>
      </c>
    </row>
    <row r="4055">
      <c r="A4055" s="10">
        <f>Daily_Data!A4055</f>
        <v>42201</v>
      </c>
      <c r="B4055" s="11">
        <f>Daily_Data!J4055</f>
        <v>12.11</v>
      </c>
      <c r="C4055" s="11">
        <f>Daily_Data!I4055</f>
        <v>2.22</v>
      </c>
      <c r="D4055" s="12">
        <f>if(sum(Daily_Data!K4055:L4055)&gt;0,1,0)</f>
        <v>0</v>
      </c>
    </row>
    <row r="4056">
      <c r="A4056" s="10">
        <f>Daily_Data!A4056</f>
        <v>42202</v>
      </c>
      <c r="B4056" s="11">
        <f>Daily_Data!J4056</f>
        <v>11.95</v>
      </c>
      <c r="C4056" s="11">
        <f>Daily_Data!I4056</f>
        <v>2.19</v>
      </c>
      <c r="D4056" s="12">
        <f>if(sum(Daily_Data!K4056:L4056)&gt;0,1,0)</f>
        <v>1</v>
      </c>
    </row>
    <row r="4057">
      <c r="A4057" s="10">
        <f>Daily_Data!A4057</f>
        <v>42205</v>
      </c>
      <c r="B4057" s="11">
        <f>Daily_Data!J4057</f>
        <v>12.25</v>
      </c>
      <c r="C4057" s="11">
        <f>Daily_Data!I4057</f>
        <v>2.15</v>
      </c>
      <c r="D4057" s="12">
        <f>if(sum(Daily_Data!K4057:L4057)&gt;0,1,0)</f>
        <v>0</v>
      </c>
    </row>
    <row r="4058">
      <c r="A4058" s="10">
        <f>Daily_Data!A4058</f>
        <v>42206</v>
      </c>
      <c r="B4058" s="11">
        <f>Daily_Data!J4058</f>
        <v>12.22</v>
      </c>
      <c r="C4058" s="11">
        <f>Daily_Data!I4058</f>
        <v>2.18</v>
      </c>
      <c r="D4058" s="12">
        <f>if(sum(Daily_Data!K4058:L4058)&gt;0,1,0)</f>
        <v>0</v>
      </c>
    </row>
    <row r="4059">
      <c r="A4059" s="10">
        <f>Daily_Data!A4059</f>
        <v>42207</v>
      </c>
      <c r="B4059" s="11">
        <f>Daily_Data!J4059</f>
        <v>12.12</v>
      </c>
      <c r="C4059" s="11">
        <f>Daily_Data!I4059</f>
        <v>2.12</v>
      </c>
      <c r="D4059" s="12">
        <f>if(sum(Daily_Data!K4059:L4059)&gt;0,1,0)</f>
        <v>0</v>
      </c>
    </row>
    <row r="4060">
      <c r="A4060" s="10">
        <f>Daily_Data!A4060</f>
        <v>42208</v>
      </c>
      <c r="B4060" s="11">
        <f>Daily_Data!J4060</f>
        <v>12.64</v>
      </c>
      <c r="C4060" s="11">
        <f>Daily_Data!I4060</f>
        <v>2.19</v>
      </c>
      <c r="D4060" s="12">
        <f>if(sum(Daily_Data!K4060:L4060)&gt;0,1,0)</f>
        <v>0</v>
      </c>
    </row>
    <row r="4061">
      <c r="A4061" s="10">
        <f>Daily_Data!A4061</f>
        <v>42209</v>
      </c>
      <c r="B4061" s="11">
        <f>Daily_Data!J4061</f>
        <v>13.74</v>
      </c>
      <c r="C4061" s="11">
        <f>Daily_Data!I4061</f>
        <v>2.18</v>
      </c>
      <c r="D4061" s="12">
        <f>if(sum(Daily_Data!K4061:L4061)&gt;0,1,0)</f>
        <v>0</v>
      </c>
    </row>
    <row r="4062">
      <c r="A4062" s="10">
        <f>Daily_Data!A4062</f>
        <v>42212</v>
      </c>
      <c r="B4062" s="11">
        <f>Daily_Data!J4062</f>
        <v>15.6</v>
      </c>
      <c r="C4062" s="11">
        <f>Daily_Data!I4062</f>
        <v>2.19</v>
      </c>
      <c r="D4062" s="12">
        <f>if(sum(Daily_Data!K4062:L4062)&gt;0,1,0)</f>
        <v>0</v>
      </c>
    </row>
    <row r="4063">
      <c r="A4063" s="10">
        <f>Daily_Data!A4063</f>
        <v>42213</v>
      </c>
      <c r="B4063" s="11">
        <f>Daily_Data!J4063</f>
        <v>13.44</v>
      </c>
      <c r="C4063" s="11">
        <f>Daily_Data!I4063</f>
        <v>2.24</v>
      </c>
      <c r="D4063" s="12">
        <f>if(sum(Daily_Data!K4063:L4063)&gt;0,1,0)</f>
        <v>0</v>
      </c>
    </row>
    <row r="4064">
      <c r="A4064" s="10">
        <f>Daily_Data!A4064</f>
        <v>42214</v>
      </c>
      <c r="B4064" s="11">
        <f>Daily_Data!J4064</f>
        <v>12.5</v>
      </c>
      <c r="C4064" s="11">
        <f>Daily_Data!I4064</f>
        <v>2.24</v>
      </c>
      <c r="D4064" s="12">
        <f>if(sum(Daily_Data!K4064:L4064)&gt;0,1,0)</f>
        <v>0</v>
      </c>
    </row>
    <row r="4065">
      <c r="A4065" s="10">
        <f>Daily_Data!A4065</f>
        <v>42215</v>
      </c>
      <c r="B4065" s="11">
        <f>Daily_Data!J4065</f>
        <v>12.13</v>
      </c>
      <c r="C4065" s="11">
        <f>Daily_Data!I4065</f>
        <v>2.21</v>
      </c>
      <c r="D4065" s="12">
        <f>if(sum(Daily_Data!K4065:L4065)&gt;0,1,0)</f>
        <v>0</v>
      </c>
    </row>
    <row r="4066">
      <c r="A4066" s="10">
        <f>Daily_Data!A4066</f>
        <v>42216</v>
      </c>
      <c r="B4066" s="11">
        <f>Daily_Data!J4066</f>
        <v>12.12</v>
      </c>
      <c r="C4066" s="11">
        <f>Daily_Data!I4066</f>
        <v>2.22</v>
      </c>
      <c r="D4066" s="12">
        <f>if(sum(Daily_Data!K4066:L4066)&gt;0,1,0)</f>
        <v>0</v>
      </c>
    </row>
    <row r="4067">
      <c r="A4067" s="10">
        <f>Daily_Data!A4067</f>
        <v>42219</v>
      </c>
      <c r="B4067" s="11">
        <f>Daily_Data!J4067</f>
        <v>12.56</v>
      </c>
      <c r="C4067" s="11">
        <f>Daily_Data!I4067</f>
        <v>2.2</v>
      </c>
      <c r="D4067" s="12">
        <f>if(sum(Daily_Data!K4067:L4067)&gt;0,1,0)</f>
        <v>0</v>
      </c>
    </row>
    <row r="4068">
      <c r="A4068" s="10">
        <f>Daily_Data!A4068</f>
        <v>42220</v>
      </c>
      <c r="B4068" s="11">
        <f>Daily_Data!J4068</f>
        <v>13</v>
      </c>
      <c r="C4068" s="11">
        <f>Daily_Data!I4068</f>
        <v>2.12</v>
      </c>
      <c r="D4068" s="12">
        <f>if(sum(Daily_Data!K4068:L4068)&gt;0,1,0)</f>
        <v>0</v>
      </c>
    </row>
    <row r="4069">
      <c r="A4069" s="10">
        <f>Daily_Data!A4069</f>
        <v>42221</v>
      </c>
      <c r="B4069" s="11">
        <f>Daily_Data!J4069</f>
        <v>12.51</v>
      </c>
      <c r="C4069" s="11">
        <f>Daily_Data!I4069</f>
        <v>2.15</v>
      </c>
      <c r="D4069" s="12">
        <f>if(sum(Daily_Data!K4069:L4069)&gt;0,1,0)</f>
        <v>0</v>
      </c>
    </row>
    <row r="4070">
      <c r="A4070" s="10">
        <f>Daily_Data!A4070</f>
        <v>42222</v>
      </c>
      <c r="B4070" s="11">
        <f>Daily_Data!J4070</f>
        <v>13.77</v>
      </c>
      <c r="C4070" s="11">
        <f>Daily_Data!I4070</f>
        <v>2.19</v>
      </c>
      <c r="D4070" s="12">
        <f>if(sum(Daily_Data!K4070:L4070)&gt;0,1,0)</f>
        <v>0</v>
      </c>
    </row>
    <row r="4071">
      <c r="A4071" s="10">
        <f>Daily_Data!A4071</f>
        <v>42223</v>
      </c>
      <c r="B4071" s="11">
        <f>Daily_Data!J4071</f>
        <v>13.39</v>
      </c>
      <c r="C4071" s="11">
        <f>Daily_Data!I4071</f>
        <v>2.17</v>
      </c>
      <c r="D4071" s="12">
        <f>if(sum(Daily_Data!K4071:L4071)&gt;0,1,0)</f>
        <v>1</v>
      </c>
    </row>
    <row r="4072">
      <c r="A4072" s="10">
        <f>Daily_Data!A4072</f>
        <v>42226</v>
      </c>
      <c r="B4072" s="11">
        <f>Daily_Data!J4072</f>
        <v>12.23</v>
      </c>
      <c r="C4072" s="11">
        <f>Daily_Data!I4072</f>
        <v>2.16</v>
      </c>
      <c r="D4072" s="12">
        <f>if(sum(Daily_Data!K4072:L4072)&gt;0,1,0)</f>
        <v>0</v>
      </c>
    </row>
    <row r="4073">
      <c r="A4073" s="10">
        <f>Daily_Data!A4073</f>
        <v>42227</v>
      </c>
      <c r="B4073" s="11">
        <f>Daily_Data!J4073</f>
        <v>13.71</v>
      </c>
      <c r="C4073" s="11">
        <f>Daily_Data!I4073</f>
        <v>2.2</v>
      </c>
      <c r="D4073" s="12">
        <f>if(sum(Daily_Data!K4073:L4073)&gt;0,1,0)</f>
        <v>0</v>
      </c>
    </row>
    <row r="4074">
      <c r="A4074" s="10">
        <f>Daily_Data!A4074</f>
        <v>42228</v>
      </c>
      <c r="B4074" s="11">
        <f>Daily_Data!J4074</f>
        <v>13.61</v>
      </c>
      <c r="C4074" s="11">
        <f>Daily_Data!I4074</f>
        <v>2.17</v>
      </c>
      <c r="D4074" s="12">
        <f>if(sum(Daily_Data!K4074:L4074)&gt;0,1,0)</f>
        <v>0</v>
      </c>
    </row>
    <row r="4075">
      <c r="A4075" s="10">
        <f>Daily_Data!A4075</f>
        <v>42229</v>
      </c>
      <c r="B4075" s="11">
        <f>Daily_Data!J4075</f>
        <v>13.49</v>
      </c>
      <c r="C4075" s="11">
        <f>Daily_Data!I4075</f>
        <v>2.15</v>
      </c>
      <c r="D4075" s="12">
        <f>if(sum(Daily_Data!K4075:L4075)&gt;0,1,0)</f>
        <v>0</v>
      </c>
    </row>
    <row r="4076">
      <c r="A4076" s="10">
        <f>Daily_Data!A4076</f>
        <v>42230</v>
      </c>
      <c r="B4076" s="11">
        <f>Daily_Data!J4076</f>
        <v>12.83</v>
      </c>
      <c r="C4076" s="11">
        <f>Daily_Data!I4076</f>
        <v>2.15</v>
      </c>
      <c r="D4076" s="12">
        <f>if(sum(Daily_Data!K4076:L4076)&gt;0,1,0)</f>
        <v>0</v>
      </c>
    </row>
    <row r="4077">
      <c r="A4077" s="10">
        <f>Daily_Data!A4077</f>
        <v>42233</v>
      </c>
      <c r="B4077" s="11">
        <f>Daily_Data!J4077</f>
        <v>13.02</v>
      </c>
      <c r="C4077" s="11">
        <f>Daily_Data!I4077</f>
        <v>2.15</v>
      </c>
      <c r="D4077" s="12">
        <f>if(sum(Daily_Data!K4077:L4077)&gt;0,1,0)</f>
        <v>0</v>
      </c>
    </row>
    <row r="4078">
      <c r="A4078" s="10">
        <f>Daily_Data!A4078</f>
        <v>42234</v>
      </c>
      <c r="B4078" s="11">
        <f>Daily_Data!J4078</f>
        <v>13.79</v>
      </c>
      <c r="C4078" s="11">
        <f>Daily_Data!I4078</f>
        <v>2.15</v>
      </c>
      <c r="D4078" s="12">
        <f>if(sum(Daily_Data!K4078:L4078)&gt;0,1,0)</f>
        <v>0</v>
      </c>
    </row>
    <row r="4079">
      <c r="A4079" s="10">
        <f>Daily_Data!A4079</f>
        <v>42235</v>
      </c>
      <c r="B4079" s="11">
        <f>Daily_Data!J4079</f>
        <v>15.25</v>
      </c>
      <c r="C4079" s="11">
        <f>Daily_Data!I4079</f>
        <v>2.22</v>
      </c>
      <c r="D4079" s="12">
        <f>if(sum(Daily_Data!K4079:L4079)&gt;0,1,0)</f>
        <v>1</v>
      </c>
    </row>
    <row r="4080">
      <c r="A4080" s="10">
        <f>Daily_Data!A4080</f>
        <v>42236</v>
      </c>
      <c r="B4080" s="11">
        <f>Daily_Data!J4080</f>
        <v>19.14</v>
      </c>
      <c r="C4080" s="11">
        <f>Daily_Data!I4080</f>
        <v>2.17</v>
      </c>
      <c r="D4080" s="12">
        <f>if(sum(Daily_Data!K4080:L4080)&gt;0,1,0)</f>
        <v>0</v>
      </c>
    </row>
    <row r="4081">
      <c r="A4081" s="10">
        <f>Daily_Data!A4081</f>
        <v>42237</v>
      </c>
      <c r="B4081" s="11">
        <f>Daily_Data!J4081</f>
        <v>28.03</v>
      </c>
      <c r="C4081" s="11">
        <f>Daily_Data!I4081</f>
        <v>2.21</v>
      </c>
      <c r="D4081" s="12">
        <f>if(sum(Daily_Data!K4081:L4081)&gt;0,1,0)</f>
        <v>0</v>
      </c>
    </row>
    <row r="4082">
      <c r="A4082" s="10">
        <f>Daily_Data!A4082</f>
        <v>42240</v>
      </c>
      <c r="B4082" s="11">
        <f>Daily_Data!J4082</f>
        <v>40.74</v>
      </c>
      <c r="C4082" s="11">
        <f>Daily_Data!I4082</f>
        <v>2.23</v>
      </c>
      <c r="D4082" s="12">
        <f>if(sum(Daily_Data!K4082:L4082)&gt;0,1,0)</f>
        <v>0</v>
      </c>
    </row>
    <row r="4083">
      <c r="A4083" s="10">
        <f>Daily_Data!A4083</f>
        <v>42241</v>
      </c>
      <c r="B4083" s="11">
        <f>Daily_Data!J4083</f>
        <v>36.02</v>
      </c>
      <c r="C4083" s="11">
        <f>Daily_Data!I4083</f>
        <v>2.16</v>
      </c>
      <c r="D4083" s="12">
        <f>if(sum(Daily_Data!K4083:L4083)&gt;0,1,0)</f>
        <v>0</v>
      </c>
    </row>
    <row r="4084">
      <c r="A4084" s="10">
        <f>Daily_Data!A4084</f>
        <v>42242</v>
      </c>
      <c r="B4084" s="11">
        <f>Daily_Data!J4084</f>
        <v>30.32</v>
      </c>
      <c r="C4084" s="11">
        <f>Daily_Data!I4084</f>
        <v>2.15</v>
      </c>
      <c r="D4084" s="12">
        <f>if(sum(Daily_Data!K4084:L4084)&gt;0,1,0)</f>
        <v>0</v>
      </c>
    </row>
    <row r="4085">
      <c r="A4085" s="10">
        <f>Daily_Data!A4085</f>
        <v>42243</v>
      </c>
      <c r="B4085" s="11">
        <f>Daily_Data!J4085</f>
        <v>26.1</v>
      </c>
      <c r="C4085" s="11">
        <f>Daily_Data!I4085</f>
        <v>2.12</v>
      </c>
      <c r="D4085" s="12">
        <f>if(sum(Daily_Data!K4085:L4085)&gt;0,1,0)</f>
        <v>0</v>
      </c>
    </row>
    <row r="4086">
      <c r="A4086" s="10">
        <f>Daily_Data!A4086</f>
        <v>42244</v>
      </c>
      <c r="B4086" s="11">
        <f>Daily_Data!J4086</f>
        <v>26.05</v>
      </c>
      <c r="C4086" s="11">
        <f>Daily_Data!I4086</f>
        <v>2.08</v>
      </c>
      <c r="D4086" s="12">
        <f>if(sum(Daily_Data!K4086:L4086)&gt;0,1,0)</f>
        <v>0</v>
      </c>
    </row>
    <row r="4087">
      <c r="A4087" s="10">
        <f>Daily_Data!A4087</f>
        <v>42247</v>
      </c>
      <c r="B4087" s="11">
        <f>Daily_Data!J4087</f>
        <v>28.43</v>
      </c>
      <c r="C4087" s="11">
        <f>Daily_Data!I4087</f>
        <v>2.04</v>
      </c>
      <c r="D4087" s="12">
        <f>if(sum(Daily_Data!K4087:L4087)&gt;0,1,0)</f>
        <v>0</v>
      </c>
    </row>
    <row r="4088">
      <c r="A4088" s="10">
        <f>Daily_Data!A4088</f>
        <v>42248</v>
      </c>
      <c r="B4088" s="11">
        <f>Daily_Data!J4088</f>
        <v>31.4</v>
      </c>
      <c r="C4088" s="11">
        <f>Daily_Data!I4088</f>
        <v>2.07</v>
      </c>
      <c r="D4088" s="12">
        <f>if(sum(Daily_Data!K4088:L4088)&gt;0,1,0)</f>
        <v>0</v>
      </c>
    </row>
    <row r="4089">
      <c r="A4089" s="10">
        <f>Daily_Data!A4089</f>
        <v>42249</v>
      </c>
      <c r="B4089" s="11">
        <f>Daily_Data!J4089</f>
        <v>26.09</v>
      </c>
      <c r="C4089" s="11">
        <f>Daily_Data!I4089</f>
        <v>2.08</v>
      </c>
      <c r="D4089" s="12">
        <f>if(sum(Daily_Data!K4089:L4089)&gt;0,1,0)</f>
        <v>0</v>
      </c>
    </row>
    <row r="4090">
      <c r="A4090" s="10">
        <f>Daily_Data!A4090</f>
        <v>42250</v>
      </c>
      <c r="B4090" s="11">
        <f>Daily_Data!J4090</f>
        <v>25.61</v>
      </c>
      <c r="C4090" s="11">
        <f>Daily_Data!I4090</f>
        <v>2.1</v>
      </c>
      <c r="D4090" s="12">
        <f>if(sum(Daily_Data!K4090:L4090)&gt;0,1,0)</f>
        <v>0</v>
      </c>
    </row>
    <row r="4091">
      <c r="A4091" s="10">
        <f>Daily_Data!A4091</f>
        <v>42251</v>
      </c>
      <c r="B4091" s="11">
        <f>Daily_Data!J4091</f>
        <v>27.8</v>
      </c>
      <c r="C4091" s="11">
        <f>Daily_Data!I4091</f>
        <v>2.09</v>
      </c>
      <c r="D4091" s="12">
        <f>if(sum(Daily_Data!K4091:L4091)&gt;0,1,0)</f>
        <v>1</v>
      </c>
    </row>
    <row r="4092">
      <c r="A4092" s="10">
        <f>Daily_Data!A4092</f>
        <v>42254</v>
      </c>
      <c r="B4092" s="11" t="str">
        <f>Daily_Data!J4092</f>
        <v/>
      </c>
      <c r="C4092" s="11" t="str">
        <f>Daily_Data!I4092</f>
        <v/>
      </c>
      <c r="D4092" s="12">
        <f>if(sum(Daily_Data!K4092:L4092)&gt;0,1,0)</f>
        <v>0</v>
      </c>
    </row>
    <row r="4093">
      <c r="A4093" s="10">
        <f>Daily_Data!A4093</f>
        <v>42255</v>
      </c>
      <c r="B4093" s="11">
        <f>Daily_Data!J4093</f>
        <v>24.9</v>
      </c>
      <c r="C4093" s="11">
        <f>Daily_Data!I4093</f>
        <v>2.07</v>
      </c>
      <c r="D4093" s="12">
        <f>if(sum(Daily_Data!K4093:L4093)&gt;0,1,0)</f>
        <v>0</v>
      </c>
    </row>
    <row r="4094">
      <c r="A4094" s="10">
        <f>Daily_Data!A4094</f>
        <v>42256</v>
      </c>
      <c r="B4094" s="11">
        <f>Daily_Data!J4094</f>
        <v>26.23</v>
      </c>
      <c r="C4094" s="11">
        <f>Daily_Data!I4094</f>
        <v>2.09</v>
      </c>
      <c r="D4094" s="12">
        <f>if(sum(Daily_Data!K4094:L4094)&gt;0,1,0)</f>
        <v>0</v>
      </c>
    </row>
    <row r="4095">
      <c r="A4095" s="10">
        <f>Daily_Data!A4095</f>
        <v>42257</v>
      </c>
      <c r="B4095" s="11">
        <f>Daily_Data!J4095</f>
        <v>24.37</v>
      </c>
      <c r="C4095" s="11">
        <f>Daily_Data!I4095</f>
        <v>2</v>
      </c>
      <c r="D4095" s="12">
        <f>if(sum(Daily_Data!K4095:L4095)&gt;0,1,0)</f>
        <v>0</v>
      </c>
    </row>
    <row r="4096">
      <c r="A4096" s="10">
        <f>Daily_Data!A4096</f>
        <v>42258</v>
      </c>
      <c r="B4096" s="11">
        <f>Daily_Data!J4096</f>
        <v>23.2</v>
      </c>
      <c r="C4096" s="11">
        <f>Daily_Data!I4096</f>
        <v>2.02</v>
      </c>
      <c r="D4096" s="12">
        <f>if(sum(Daily_Data!K4096:L4096)&gt;0,1,0)</f>
        <v>0</v>
      </c>
    </row>
    <row r="4097">
      <c r="A4097" s="10">
        <f>Daily_Data!A4097</f>
        <v>42261</v>
      </c>
      <c r="B4097" s="11">
        <f>Daily_Data!J4097</f>
        <v>24.25</v>
      </c>
      <c r="C4097" s="11">
        <f>Daily_Data!I4097</f>
        <v>1.98</v>
      </c>
      <c r="D4097" s="12">
        <f>if(sum(Daily_Data!K4097:L4097)&gt;0,1,0)</f>
        <v>0</v>
      </c>
    </row>
    <row r="4098">
      <c r="A4098" s="10">
        <f>Daily_Data!A4098</f>
        <v>42262</v>
      </c>
      <c r="B4098" s="11">
        <f>Daily_Data!J4098</f>
        <v>22.54</v>
      </c>
      <c r="C4098" s="11">
        <f>Daily_Data!I4098</f>
        <v>1.88</v>
      </c>
      <c r="D4098" s="12">
        <f>if(sum(Daily_Data!K4098:L4098)&gt;0,1,0)</f>
        <v>0</v>
      </c>
    </row>
    <row r="4099">
      <c r="A4099" s="10">
        <f>Daily_Data!A4099</f>
        <v>42263</v>
      </c>
      <c r="B4099" s="11">
        <f>Daily_Data!J4099</f>
        <v>21.35</v>
      </c>
      <c r="C4099" s="11">
        <f>Daily_Data!I4099</f>
        <v>1.9</v>
      </c>
      <c r="D4099" s="12">
        <f>if(sum(Daily_Data!K4099:L4099)&gt;0,1,0)</f>
        <v>1</v>
      </c>
    </row>
    <row r="4100">
      <c r="A4100" s="10">
        <f>Daily_Data!A4100</f>
        <v>42264</v>
      </c>
      <c r="B4100" s="11">
        <f>Daily_Data!J4100</f>
        <v>21.14</v>
      </c>
      <c r="C4100" s="11">
        <f>Daily_Data!I4100</f>
        <v>2.05</v>
      </c>
      <c r="D4100" s="12">
        <f>if(sum(Daily_Data!K4100:L4100)&gt;0,1,0)</f>
        <v>0</v>
      </c>
    </row>
    <row r="4101">
      <c r="A4101" s="10">
        <f>Daily_Data!A4101</f>
        <v>42265</v>
      </c>
      <c r="B4101" s="11">
        <f>Daily_Data!J4101</f>
        <v>22.28</v>
      </c>
      <c r="C4101" s="11">
        <f>Daily_Data!I4101</f>
        <v>2.04</v>
      </c>
      <c r="D4101" s="12">
        <f>if(sum(Daily_Data!K4101:L4101)&gt;0,1,0)</f>
        <v>0</v>
      </c>
    </row>
    <row r="4102">
      <c r="A4102" s="10">
        <f>Daily_Data!A4102</f>
        <v>42268</v>
      </c>
      <c r="B4102" s="11">
        <f>Daily_Data!J4102</f>
        <v>20.14</v>
      </c>
      <c r="C4102" s="11">
        <f>Daily_Data!I4102</f>
        <v>1.98</v>
      </c>
      <c r="D4102" s="12">
        <f>if(sum(Daily_Data!K4102:L4102)&gt;0,1,0)</f>
        <v>0</v>
      </c>
    </row>
    <row r="4103">
      <c r="A4103" s="10">
        <f>Daily_Data!A4103</f>
        <v>42269</v>
      </c>
      <c r="B4103" s="11">
        <f>Daily_Data!J4103</f>
        <v>22.44</v>
      </c>
      <c r="C4103" s="11">
        <f>Daily_Data!I4103</f>
        <v>2.03</v>
      </c>
      <c r="D4103" s="12">
        <f>if(sum(Daily_Data!K4103:L4103)&gt;0,1,0)</f>
        <v>0</v>
      </c>
    </row>
    <row r="4104">
      <c r="A4104" s="10">
        <f>Daily_Data!A4104</f>
        <v>42270</v>
      </c>
      <c r="B4104" s="11">
        <f>Daily_Data!J4104</f>
        <v>22.13</v>
      </c>
      <c r="C4104" s="11">
        <f>Daily_Data!I4104</f>
        <v>1.98</v>
      </c>
      <c r="D4104" s="12">
        <f>if(sum(Daily_Data!K4104:L4104)&gt;0,1,0)</f>
        <v>0</v>
      </c>
    </row>
    <row r="4105">
      <c r="A4105" s="10">
        <f>Daily_Data!A4105</f>
        <v>42271</v>
      </c>
      <c r="B4105" s="11">
        <f>Daily_Data!J4105</f>
        <v>23.47</v>
      </c>
      <c r="C4105" s="11">
        <f>Daily_Data!I4105</f>
        <v>2.03</v>
      </c>
      <c r="D4105" s="12">
        <f>if(sum(Daily_Data!K4105:L4105)&gt;0,1,0)</f>
        <v>0</v>
      </c>
    </row>
    <row r="4106">
      <c r="A4106" s="10">
        <f>Daily_Data!A4106</f>
        <v>42272</v>
      </c>
      <c r="B4106" s="11">
        <f>Daily_Data!J4106</f>
        <v>23.62</v>
      </c>
      <c r="C4106" s="11">
        <f>Daily_Data!I4106</f>
        <v>2.04</v>
      </c>
      <c r="D4106" s="12">
        <f>if(sum(Daily_Data!K4106:L4106)&gt;0,1,0)</f>
        <v>0</v>
      </c>
    </row>
    <row r="4107">
      <c r="A4107" s="10">
        <f>Daily_Data!A4107</f>
        <v>42275</v>
      </c>
      <c r="B4107" s="11">
        <f>Daily_Data!J4107</f>
        <v>27.63</v>
      </c>
      <c r="C4107" s="11">
        <f>Daily_Data!I4107</f>
        <v>2.07</v>
      </c>
      <c r="D4107" s="12">
        <f>if(sum(Daily_Data!K4107:L4107)&gt;0,1,0)</f>
        <v>0</v>
      </c>
    </row>
    <row r="4108">
      <c r="A4108" s="10">
        <f>Daily_Data!A4108</f>
        <v>42276</v>
      </c>
      <c r="B4108" s="11">
        <f>Daily_Data!J4108</f>
        <v>26.83</v>
      </c>
      <c r="C4108" s="11">
        <f>Daily_Data!I4108</f>
        <v>2.06</v>
      </c>
      <c r="D4108" s="12">
        <f>if(sum(Daily_Data!K4108:L4108)&gt;0,1,0)</f>
        <v>0</v>
      </c>
    </row>
    <row r="4109">
      <c r="A4109" s="10">
        <f>Daily_Data!A4109</f>
        <v>42277</v>
      </c>
      <c r="B4109" s="11">
        <f>Daily_Data!J4109</f>
        <v>24.5</v>
      </c>
      <c r="C4109" s="11">
        <f>Daily_Data!I4109</f>
        <v>2.07</v>
      </c>
      <c r="D4109" s="12">
        <f>if(sum(Daily_Data!K4109:L4109)&gt;0,1,0)</f>
        <v>0</v>
      </c>
    </row>
    <row r="4110">
      <c r="A4110" s="10">
        <f>Daily_Data!A4110</f>
        <v>42278</v>
      </c>
      <c r="B4110" s="11">
        <f>Daily_Data!J4110</f>
        <v>22.55</v>
      </c>
      <c r="C4110" s="11">
        <f>Daily_Data!I4110</f>
        <v>2.06</v>
      </c>
      <c r="D4110" s="12">
        <f>if(sum(Daily_Data!K4110:L4110)&gt;0,1,0)</f>
        <v>0</v>
      </c>
    </row>
    <row r="4111">
      <c r="A4111" s="10">
        <f>Daily_Data!A4111</f>
        <v>42279</v>
      </c>
      <c r="B4111" s="11">
        <f>Daily_Data!J4111</f>
        <v>20.94</v>
      </c>
      <c r="C4111" s="11">
        <f>Daily_Data!I4111</f>
        <v>2.13</v>
      </c>
      <c r="D4111" s="12">
        <f>if(sum(Daily_Data!K4111:L4111)&gt;0,1,0)</f>
        <v>1</v>
      </c>
    </row>
    <row r="4112">
      <c r="A4112" s="10">
        <f>Daily_Data!A4112</f>
        <v>42282</v>
      </c>
      <c r="B4112" s="11">
        <f>Daily_Data!J4112</f>
        <v>19.54</v>
      </c>
      <c r="C4112" s="11">
        <f>Daily_Data!I4112</f>
        <v>2.07</v>
      </c>
      <c r="D4112" s="12">
        <f>if(sum(Daily_Data!K4112:L4112)&gt;0,1,0)</f>
        <v>0</v>
      </c>
    </row>
    <row r="4113">
      <c r="A4113" s="10">
        <f>Daily_Data!A4113</f>
        <v>42283</v>
      </c>
      <c r="B4113" s="11">
        <f>Daily_Data!J4113</f>
        <v>19.4</v>
      </c>
      <c r="C4113" s="11">
        <f>Daily_Data!I4113</f>
        <v>2.09</v>
      </c>
      <c r="D4113" s="12">
        <f>if(sum(Daily_Data!K4113:L4113)&gt;0,1,0)</f>
        <v>0</v>
      </c>
    </row>
    <row r="4114">
      <c r="A4114" s="10">
        <f>Daily_Data!A4114</f>
        <v>42284</v>
      </c>
      <c r="B4114" s="11">
        <f>Daily_Data!J4114</f>
        <v>18.4</v>
      </c>
      <c r="C4114" s="11">
        <f>Daily_Data!I4114</f>
        <v>2.06</v>
      </c>
      <c r="D4114" s="12">
        <f>if(sum(Daily_Data!K4114:L4114)&gt;0,1,0)</f>
        <v>0</v>
      </c>
    </row>
    <row r="4115">
      <c r="A4115" s="10">
        <f>Daily_Data!A4115</f>
        <v>42285</v>
      </c>
      <c r="B4115" s="11">
        <f>Daily_Data!J4115</f>
        <v>17.42</v>
      </c>
      <c r="C4115" s="11">
        <f>Daily_Data!I4115</f>
        <v>2.06</v>
      </c>
      <c r="D4115" s="12">
        <f>if(sum(Daily_Data!K4115:L4115)&gt;0,1,0)</f>
        <v>0</v>
      </c>
    </row>
    <row r="4116">
      <c r="A4116" s="10">
        <f>Daily_Data!A4116</f>
        <v>42286</v>
      </c>
      <c r="B4116" s="11">
        <f>Daily_Data!J4116</f>
        <v>17.08</v>
      </c>
      <c r="C4116" s="11">
        <f>Daily_Data!I4116</f>
        <v>2.07</v>
      </c>
      <c r="D4116" s="12">
        <f>if(sum(Daily_Data!K4116:L4116)&gt;0,1,0)</f>
        <v>0</v>
      </c>
    </row>
    <row r="4117">
      <c r="A4117" s="10">
        <f>Daily_Data!A4117</f>
        <v>42289</v>
      </c>
      <c r="B4117" s="11">
        <f>Daily_Data!J4117</f>
        <v>16.17</v>
      </c>
      <c r="C4117" s="11" t="str">
        <f>Daily_Data!I4117</f>
        <v/>
      </c>
      <c r="D4117" s="12">
        <f>if(sum(Daily_Data!K4117:L4117)&gt;0,1,0)</f>
        <v>0</v>
      </c>
    </row>
    <row r="4118">
      <c r="A4118" s="10">
        <f>Daily_Data!A4118</f>
        <v>42290</v>
      </c>
      <c r="B4118" s="11">
        <f>Daily_Data!J4118</f>
        <v>17.67</v>
      </c>
      <c r="C4118" s="11">
        <f>Daily_Data!I4118</f>
        <v>2.07</v>
      </c>
      <c r="D4118" s="12">
        <f>if(sum(Daily_Data!K4118:L4118)&gt;0,1,0)</f>
        <v>0</v>
      </c>
    </row>
    <row r="4119">
      <c r="A4119" s="10">
        <f>Daily_Data!A4119</f>
        <v>42291</v>
      </c>
      <c r="B4119" s="11">
        <f>Daily_Data!J4119</f>
        <v>18.03</v>
      </c>
      <c r="C4119" s="11">
        <f>Daily_Data!I4119</f>
        <v>2.14</v>
      </c>
      <c r="D4119" s="12">
        <f>if(sum(Daily_Data!K4119:L4119)&gt;0,1,0)</f>
        <v>0</v>
      </c>
    </row>
    <row r="4120">
      <c r="A4120" s="10">
        <f>Daily_Data!A4120</f>
        <v>42292</v>
      </c>
      <c r="B4120" s="11">
        <f>Daily_Data!J4120</f>
        <v>16.05</v>
      </c>
      <c r="C4120" s="11">
        <f>Daily_Data!I4120</f>
        <v>2.12</v>
      </c>
      <c r="D4120" s="12">
        <f>if(sum(Daily_Data!K4120:L4120)&gt;0,1,0)</f>
        <v>1</v>
      </c>
    </row>
    <row r="4121">
      <c r="A4121" s="10">
        <f>Daily_Data!A4121</f>
        <v>42293</v>
      </c>
      <c r="B4121" s="11">
        <f>Daily_Data!J4121</f>
        <v>15.05</v>
      </c>
      <c r="C4121" s="11">
        <f>Daily_Data!I4121</f>
        <v>2.12</v>
      </c>
      <c r="D4121" s="12">
        <f>if(sum(Daily_Data!K4121:L4121)&gt;0,1,0)</f>
        <v>0</v>
      </c>
    </row>
    <row r="4122">
      <c r="A4122" s="10">
        <f>Daily_Data!A4122</f>
        <v>42296</v>
      </c>
      <c r="B4122" s="11">
        <f>Daily_Data!J4122</f>
        <v>14.98</v>
      </c>
      <c r="C4122" s="11">
        <f>Daily_Data!I4122</f>
        <v>2.11</v>
      </c>
      <c r="D4122" s="12">
        <f>if(sum(Daily_Data!K4122:L4122)&gt;0,1,0)</f>
        <v>0</v>
      </c>
    </row>
    <row r="4123">
      <c r="A4123" s="10">
        <f>Daily_Data!A4123</f>
        <v>42297</v>
      </c>
      <c r="B4123" s="11">
        <f>Daily_Data!J4123</f>
        <v>15.75</v>
      </c>
      <c r="C4123" s="11">
        <f>Daily_Data!I4123</f>
        <v>2.09</v>
      </c>
      <c r="D4123" s="12">
        <f>if(sum(Daily_Data!K4123:L4123)&gt;0,1,0)</f>
        <v>0</v>
      </c>
    </row>
    <row r="4124">
      <c r="A4124" s="10">
        <f>Daily_Data!A4124</f>
        <v>42298</v>
      </c>
      <c r="B4124" s="11">
        <f>Daily_Data!J4124</f>
        <v>16.7</v>
      </c>
      <c r="C4124" s="11">
        <f>Daily_Data!I4124</f>
        <v>2.12</v>
      </c>
      <c r="D4124" s="12">
        <f>if(sum(Daily_Data!K4124:L4124)&gt;0,1,0)</f>
        <v>0</v>
      </c>
    </row>
    <row r="4125">
      <c r="A4125" s="10">
        <f>Daily_Data!A4125</f>
        <v>42299</v>
      </c>
      <c r="B4125" s="11">
        <f>Daily_Data!J4125</f>
        <v>14.45</v>
      </c>
      <c r="C4125" s="11">
        <f>Daily_Data!I4125</f>
        <v>2.13</v>
      </c>
      <c r="D4125" s="12">
        <f>if(sum(Daily_Data!K4125:L4125)&gt;0,1,0)</f>
        <v>0</v>
      </c>
    </row>
    <row r="4126">
      <c r="A4126" s="10">
        <f>Daily_Data!A4126</f>
        <v>42300</v>
      </c>
      <c r="B4126" s="11">
        <f>Daily_Data!J4126</f>
        <v>14.46</v>
      </c>
      <c r="C4126" s="11">
        <f>Daily_Data!I4126</f>
        <v>2.08</v>
      </c>
      <c r="D4126" s="12">
        <f>if(sum(Daily_Data!K4126:L4126)&gt;0,1,0)</f>
        <v>0</v>
      </c>
    </row>
    <row r="4127">
      <c r="A4127" s="10">
        <f>Daily_Data!A4127</f>
        <v>42303</v>
      </c>
      <c r="B4127" s="11">
        <f>Daily_Data!J4127</f>
        <v>15.29</v>
      </c>
      <c r="C4127" s="11" t="str">
        <f>Daily_Data!I4127</f>
        <v/>
      </c>
      <c r="D4127" s="12">
        <f>if(sum(Daily_Data!K4127:L4127)&gt;0,1,0)</f>
        <v>0</v>
      </c>
    </row>
    <row r="4128">
      <c r="A4128" s="10">
        <f>Daily_Data!A4128</f>
        <v>42304</v>
      </c>
      <c r="B4128" s="11">
        <f>Daily_Data!J4128</f>
        <v>15.43</v>
      </c>
      <c r="C4128" s="11">
        <f>Daily_Data!I4128</f>
        <v>2.1</v>
      </c>
      <c r="D4128" s="12">
        <f>if(sum(Daily_Data!K4128:L4128)&gt;0,1,0)</f>
        <v>0</v>
      </c>
    </row>
    <row r="4129">
      <c r="A4129" s="10">
        <f>Daily_Data!A4129</f>
        <v>42305</v>
      </c>
      <c r="B4129" s="11">
        <f>Daily_Data!J4129</f>
        <v>14.33</v>
      </c>
      <c r="C4129" s="11">
        <f>Daily_Data!I4129</f>
        <v>1.98</v>
      </c>
      <c r="D4129" s="12">
        <f>if(sum(Daily_Data!K4129:L4129)&gt;0,1,0)</f>
        <v>0</v>
      </c>
    </row>
    <row r="4130">
      <c r="A4130" s="10">
        <f>Daily_Data!A4130</f>
        <v>42306</v>
      </c>
      <c r="B4130" s="11">
        <f>Daily_Data!J4130</f>
        <v>14.61</v>
      </c>
      <c r="C4130" s="11">
        <f>Daily_Data!I4130</f>
        <v>1.98</v>
      </c>
      <c r="D4130" s="12">
        <f>if(sum(Daily_Data!K4130:L4130)&gt;0,1,0)</f>
        <v>0</v>
      </c>
    </row>
    <row r="4131">
      <c r="A4131" s="10">
        <f>Daily_Data!A4131</f>
        <v>42307</v>
      </c>
      <c r="B4131" s="11">
        <f>Daily_Data!J4131</f>
        <v>15.07</v>
      </c>
      <c r="C4131" s="11">
        <f>Daily_Data!I4131</f>
        <v>2.01</v>
      </c>
      <c r="D4131" s="12">
        <f>if(sum(Daily_Data!K4131:L4131)&gt;0,1,0)</f>
        <v>0</v>
      </c>
    </row>
    <row r="4132">
      <c r="A4132" s="10">
        <f>Daily_Data!A4132</f>
        <v>42310</v>
      </c>
      <c r="B4132" s="11">
        <f>Daily_Data!J4132</f>
        <v>14.15</v>
      </c>
      <c r="C4132" s="11">
        <f>Daily_Data!I4132</f>
        <v>1.99</v>
      </c>
      <c r="D4132" s="12">
        <f>if(sum(Daily_Data!K4132:L4132)&gt;0,1,0)</f>
        <v>0</v>
      </c>
    </row>
    <row r="4133">
      <c r="A4133" s="10">
        <f>Daily_Data!A4133</f>
        <v>42311</v>
      </c>
      <c r="B4133" s="11">
        <f>Daily_Data!J4133</f>
        <v>14.54</v>
      </c>
      <c r="C4133" s="11">
        <f>Daily_Data!I4133</f>
        <v>2</v>
      </c>
      <c r="D4133" s="12">
        <f>if(sum(Daily_Data!K4133:L4133)&gt;0,1,0)</f>
        <v>0</v>
      </c>
    </row>
    <row r="4134">
      <c r="A4134" s="10">
        <f>Daily_Data!A4134</f>
        <v>42312</v>
      </c>
      <c r="B4134" s="11">
        <f>Daily_Data!J4134</f>
        <v>15.51</v>
      </c>
      <c r="C4134" s="11">
        <f>Daily_Data!I4134</f>
        <v>1.94</v>
      </c>
      <c r="D4134" s="12">
        <f>if(sum(Daily_Data!K4134:L4134)&gt;0,1,0)</f>
        <v>0</v>
      </c>
    </row>
    <row r="4135">
      <c r="A4135" s="10">
        <f>Daily_Data!A4135</f>
        <v>42313</v>
      </c>
      <c r="B4135" s="11">
        <f>Daily_Data!J4135</f>
        <v>15.05</v>
      </c>
      <c r="C4135" s="11">
        <f>Daily_Data!I4135</f>
        <v>1.92</v>
      </c>
      <c r="D4135" s="12">
        <f>if(sum(Daily_Data!K4135:L4135)&gt;0,1,0)</f>
        <v>0</v>
      </c>
    </row>
    <row r="4136">
      <c r="A4136" s="10">
        <f>Daily_Data!A4136</f>
        <v>42314</v>
      </c>
      <c r="B4136" s="11">
        <f>Daily_Data!J4136</f>
        <v>14.33</v>
      </c>
      <c r="C4136" s="11">
        <f>Daily_Data!I4136</f>
        <v>1.85</v>
      </c>
      <c r="D4136" s="12">
        <f>if(sum(Daily_Data!K4136:L4136)&gt;0,1,0)</f>
        <v>1</v>
      </c>
    </row>
    <row r="4137">
      <c r="A4137" s="10">
        <f>Daily_Data!A4137</f>
        <v>42317</v>
      </c>
      <c r="B4137" s="11">
        <f>Daily_Data!J4137</f>
        <v>16.52</v>
      </c>
      <c r="C4137" s="11">
        <f>Daily_Data!I4137</f>
        <v>1.93</v>
      </c>
      <c r="D4137" s="12">
        <f>if(sum(Daily_Data!K4137:L4137)&gt;0,1,0)</f>
        <v>0</v>
      </c>
    </row>
    <row r="4138">
      <c r="A4138" s="10">
        <f>Daily_Data!A4138</f>
        <v>42318</v>
      </c>
      <c r="B4138" s="11">
        <f>Daily_Data!J4138</f>
        <v>15.29</v>
      </c>
      <c r="C4138" s="11">
        <f>Daily_Data!I4138</f>
        <v>1.94</v>
      </c>
      <c r="D4138" s="12">
        <f>if(sum(Daily_Data!K4138:L4138)&gt;0,1,0)</f>
        <v>0</v>
      </c>
    </row>
    <row r="4139">
      <c r="A4139" s="10">
        <f>Daily_Data!A4139</f>
        <v>42319</v>
      </c>
      <c r="B4139" s="11">
        <f>Daily_Data!J4139</f>
        <v>16.06</v>
      </c>
      <c r="C4139" s="11" t="str">
        <f>Daily_Data!I4139</f>
        <v/>
      </c>
      <c r="D4139" s="12">
        <f>if(sum(Daily_Data!K4139:L4139)&gt;0,1,0)</f>
        <v>0</v>
      </c>
    </row>
    <row r="4140">
      <c r="A4140" s="10">
        <f>Daily_Data!A4140</f>
        <v>42320</v>
      </c>
      <c r="B4140" s="11">
        <f>Daily_Data!J4140</f>
        <v>18.37</v>
      </c>
      <c r="C4140" s="11">
        <f>Daily_Data!I4140</f>
        <v>1.91</v>
      </c>
      <c r="D4140" s="12">
        <f>if(sum(Daily_Data!K4140:L4140)&gt;0,1,0)</f>
        <v>0</v>
      </c>
    </row>
    <row r="4141">
      <c r="A4141" s="10">
        <f>Daily_Data!A4141</f>
        <v>42321</v>
      </c>
      <c r="B4141" s="11">
        <f>Daily_Data!J4141</f>
        <v>20.08</v>
      </c>
      <c r="C4141" s="11">
        <f>Daily_Data!I4141</f>
        <v>1.92</v>
      </c>
      <c r="D4141" s="12">
        <f>if(sum(Daily_Data!K4141:L4141)&gt;0,1,0)</f>
        <v>0</v>
      </c>
    </row>
    <row r="4142">
      <c r="A4142" s="10">
        <f>Daily_Data!A4142</f>
        <v>42324</v>
      </c>
      <c r="B4142" s="11">
        <f>Daily_Data!J4142</f>
        <v>18.16</v>
      </c>
      <c r="C4142" s="11">
        <f>Daily_Data!I4142</f>
        <v>1.87</v>
      </c>
      <c r="D4142" s="12">
        <f>if(sum(Daily_Data!K4142:L4142)&gt;0,1,0)</f>
        <v>0</v>
      </c>
    </row>
    <row r="4143">
      <c r="A4143" s="10">
        <f>Daily_Data!A4143</f>
        <v>42325</v>
      </c>
      <c r="B4143" s="11">
        <f>Daily_Data!J4143</f>
        <v>18.84</v>
      </c>
      <c r="C4143" s="11">
        <f>Daily_Data!I4143</f>
        <v>1.88</v>
      </c>
      <c r="D4143" s="12">
        <f>if(sum(Daily_Data!K4143:L4143)&gt;0,1,0)</f>
        <v>1</v>
      </c>
    </row>
    <row r="4144">
      <c r="A4144" s="10">
        <f>Daily_Data!A4144</f>
        <v>42326</v>
      </c>
      <c r="B4144" s="11">
        <f>Daily_Data!J4144</f>
        <v>16.85</v>
      </c>
      <c r="C4144" s="11">
        <f>Daily_Data!I4144</f>
        <v>1.83</v>
      </c>
      <c r="D4144" s="12">
        <f>if(sum(Daily_Data!K4144:L4144)&gt;0,1,0)</f>
        <v>0</v>
      </c>
    </row>
    <row r="4145">
      <c r="A4145" s="10">
        <f>Daily_Data!A4145</f>
        <v>42327</v>
      </c>
      <c r="B4145" s="11">
        <f>Daily_Data!J4145</f>
        <v>16.99</v>
      </c>
      <c r="C4145" s="11">
        <f>Daily_Data!I4145</f>
        <v>1.83</v>
      </c>
      <c r="D4145" s="12">
        <f>if(sum(Daily_Data!K4145:L4145)&gt;0,1,0)</f>
        <v>0</v>
      </c>
    </row>
    <row r="4146">
      <c r="A4146" s="10">
        <f>Daily_Data!A4146</f>
        <v>42328</v>
      </c>
      <c r="B4146" s="11">
        <f>Daily_Data!J4146</f>
        <v>15.47</v>
      </c>
      <c r="C4146" s="11">
        <f>Daily_Data!I4146</f>
        <v>1.81</v>
      </c>
      <c r="D4146" s="12">
        <f>if(sum(Daily_Data!K4146:L4146)&gt;0,1,0)</f>
        <v>0</v>
      </c>
    </row>
    <row r="4147">
      <c r="A4147" s="10">
        <f>Daily_Data!A4147</f>
        <v>42331</v>
      </c>
      <c r="B4147" s="11">
        <f>Daily_Data!J4147</f>
        <v>15.62</v>
      </c>
      <c r="C4147" s="11">
        <f>Daily_Data!I4147</f>
        <v>1.79</v>
      </c>
      <c r="D4147" s="12">
        <f>if(sum(Daily_Data!K4147:L4147)&gt;0,1,0)</f>
        <v>0</v>
      </c>
    </row>
    <row r="4148">
      <c r="A4148" s="10">
        <f>Daily_Data!A4148</f>
        <v>42332</v>
      </c>
      <c r="B4148" s="11">
        <f>Daily_Data!J4148</f>
        <v>15.93</v>
      </c>
      <c r="C4148" s="11">
        <f>Daily_Data!I4148</f>
        <v>1.78</v>
      </c>
      <c r="D4148" s="12">
        <f>if(sum(Daily_Data!K4148:L4148)&gt;0,1,0)</f>
        <v>0</v>
      </c>
    </row>
    <row r="4149">
      <c r="A4149" s="10">
        <f>Daily_Data!A4149</f>
        <v>42333</v>
      </c>
      <c r="B4149" s="11">
        <f>Daily_Data!J4149</f>
        <v>15.19</v>
      </c>
      <c r="C4149" s="11">
        <f>Daily_Data!I4149</f>
        <v>1.78</v>
      </c>
      <c r="D4149" s="12">
        <f>if(sum(Daily_Data!K4149:L4149)&gt;0,1,0)</f>
        <v>0</v>
      </c>
    </row>
    <row r="4150">
      <c r="A4150" s="10">
        <f>Daily_Data!A4150</f>
        <v>42334</v>
      </c>
      <c r="B4150" s="11" t="str">
        <f>Daily_Data!J4150</f>
        <v/>
      </c>
      <c r="C4150" s="11" t="str">
        <f>Daily_Data!I4150</f>
        <v/>
      </c>
      <c r="D4150" s="12">
        <f>if(sum(Daily_Data!K4150:L4150)&gt;0,1,0)</f>
        <v>0</v>
      </c>
    </row>
    <row r="4151">
      <c r="A4151" s="10">
        <f>Daily_Data!A4151</f>
        <v>42335</v>
      </c>
      <c r="B4151" s="11">
        <f>Daily_Data!J4151</f>
        <v>15.12</v>
      </c>
      <c r="C4151" s="11">
        <f>Daily_Data!I4151</f>
        <v>1.79</v>
      </c>
      <c r="D4151" s="12">
        <f>if(sum(Daily_Data!K4151:L4151)&gt;0,1,0)</f>
        <v>0</v>
      </c>
    </row>
    <row r="4152">
      <c r="A4152" s="10">
        <f>Daily_Data!A4152</f>
        <v>42338</v>
      </c>
      <c r="B4152" s="11">
        <f>Daily_Data!J4152</f>
        <v>16.13</v>
      </c>
      <c r="C4152" s="11">
        <f>Daily_Data!I4152</f>
        <v>1.78</v>
      </c>
      <c r="D4152" s="12">
        <f>if(sum(Daily_Data!K4152:L4152)&gt;0,1,0)</f>
        <v>0</v>
      </c>
    </row>
    <row r="4153">
      <c r="A4153" s="10">
        <f>Daily_Data!A4153</f>
        <v>42339</v>
      </c>
      <c r="B4153" s="11">
        <f>Daily_Data!J4153</f>
        <v>14.67</v>
      </c>
      <c r="C4153" s="11">
        <f>Daily_Data!I4153</f>
        <v>1.83</v>
      </c>
      <c r="D4153" s="12">
        <f>if(sum(Daily_Data!K4153:L4153)&gt;0,1,0)</f>
        <v>0</v>
      </c>
    </row>
    <row r="4154">
      <c r="A4154" s="10">
        <f>Daily_Data!A4154</f>
        <v>42340</v>
      </c>
      <c r="B4154" s="11">
        <f>Daily_Data!J4154</f>
        <v>15.91</v>
      </c>
      <c r="C4154" s="11">
        <f>Daily_Data!I4154</f>
        <v>1.79</v>
      </c>
      <c r="D4154" s="12">
        <f>if(sum(Daily_Data!K4154:L4154)&gt;0,1,0)</f>
        <v>0</v>
      </c>
    </row>
    <row r="4155">
      <c r="A4155" s="10">
        <f>Daily_Data!A4155</f>
        <v>42341</v>
      </c>
      <c r="B4155" s="11">
        <f>Daily_Data!J4155</f>
        <v>18.11</v>
      </c>
      <c r="C4155" s="11">
        <f>Daily_Data!I4155</f>
        <v>1.77</v>
      </c>
      <c r="D4155" s="12">
        <f>if(sum(Daily_Data!K4155:L4155)&gt;0,1,0)</f>
        <v>0</v>
      </c>
    </row>
    <row r="4156">
      <c r="A4156" s="10">
        <f>Daily_Data!A4156</f>
        <v>42342</v>
      </c>
      <c r="B4156" s="11">
        <f>Daily_Data!J4156</f>
        <v>14.81</v>
      </c>
      <c r="C4156" s="11">
        <f>Daily_Data!I4156</f>
        <v>1.79</v>
      </c>
      <c r="D4156" s="12">
        <f>if(sum(Daily_Data!K4156:L4156)&gt;0,1,0)</f>
        <v>1</v>
      </c>
    </row>
    <row r="4157">
      <c r="A4157" s="10">
        <f>Daily_Data!A4157</f>
        <v>42345</v>
      </c>
      <c r="B4157" s="11">
        <f>Daily_Data!J4157</f>
        <v>15.84</v>
      </c>
      <c r="C4157" s="11">
        <f>Daily_Data!I4157</f>
        <v>1.78</v>
      </c>
      <c r="D4157" s="12">
        <f>if(sum(Daily_Data!K4157:L4157)&gt;0,1,0)</f>
        <v>0</v>
      </c>
    </row>
    <row r="4158">
      <c r="A4158" s="10">
        <f>Daily_Data!A4158</f>
        <v>42346</v>
      </c>
      <c r="B4158" s="11">
        <f>Daily_Data!J4158</f>
        <v>17.6</v>
      </c>
      <c r="C4158" s="11">
        <f>Daily_Data!I4158</f>
        <v>1.78</v>
      </c>
      <c r="D4158" s="12">
        <f>if(sum(Daily_Data!K4158:L4158)&gt;0,1,0)</f>
        <v>0</v>
      </c>
    </row>
    <row r="4159">
      <c r="A4159" s="10">
        <f>Daily_Data!A4159</f>
        <v>42347</v>
      </c>
      <c r="B4159" s="11">
        <f>Daily_Data!J4159</f>
        <v>19.61</v>
      </c>
      <c r="C4159" s="11">
        <f>Daily_Data!I4159</f>
        <v>1.78</v>
      </c>
      <c r="D4159" s="12">
        <f>if(sum(Daily_Data!K4159:L4159)&gt;0,1,0)</f>
        <v>0</v>
      </c>
    </row>
    <row r="4160">
      <c r="A4160" s="10">
        <f>Daily_Data!A4160</f>
        <v>42348</v>
      </c>
      <c r="B4160" s="11">
        <f>Daily_Data!J4160</f>
        <v>19.34</v>
      </c>
      <c r="C4160" s="11">
        <f>Daily_Data!I4160</f>
        <v>1.79</v>
      </c>
      <c r="D4160" s="12">
        <f>if(sum(Daily_Data!K4160:L4160)&gt;0,1,0)</f>
        <v>0</v>
      </c>
    </row>
    <row r="4161">
      <c r="A4161" s="10">
        <f>Daily_Data!A4161</f>
        <v>42349</v>
      </c>
      <c r="B4161" s="11">
        <f>Daily_Data!J4161</f>
        <v>24.39</v>
      </c>
      <c r="C4161" s="11">
        <f>Daily_Data!I4161</f>
        <v>1.9</v>
      </c>
      <c r="D4161" s="12">
        <f>if(sum(Daily_Data!K4161:L4161)&gt;0,1,0)</f>
        <v>0</v>
      </c>
    </row>
    <row r="4162">
      <c r="A4162" s="10">
        <f>Daily_Data!A4162</f>
        <v>42352</v>
      </c>
      <c r="B4162" s="11">
        <f>Daily_Data!J4162</f>
        <v>22.73</v>
      </c>
      <c r="C4162" s="11">
        <f>Daily_Data!I4162</f>
        <v>1.8</v>
      </c>
      <c r="D4162" s="12">
        <f>if(sum(Daily_Data!K4162:L4162)&gt;0,1,0)</f>
        <v>0</v>
      </c>
    </row>
    <row r="4163">
      <c r="A4163" s="10">
        <f>Daily_Data!A4163</f>
        <v>42353</v>
      </c>
      <c r="B4163" s="11">
        <f>Daily_Data!J4163</f>
        <v>20.95</v>
      </c>
      <c r="C4163" s="11">
        <f>Daily_Data!I4163</f>
        <v>1.84</v>
      </c>
      <c r="D4163" s="12">
        <f>if(sum(Daily_Data!K4163:L4163)&gt;0,1,0)</f>
        <v>1</v>
      </c>
    </row>
    <row r="4164">
      <c r="A4164" s="10">
        <f>Daily_Data!A4164</f>
        <v>42354</v>
      </c>
      <c r="B4164" s="11">
        <f>Daily_Data!J4164</f>
        <v>17.86</v>
      </c>
      <c r="C4164" s="11">
        <f>Daily_Data!I4164</f>
        <v>1.84</v>
      </c>
      <c r="D4164" s="12">
        <f>if(sum(Daily_Data!K4164:L4164)&gt;0,1,0)</f>
        <v>0</v>
      </c>
    </row>
    <row r="4165">
      <c r="A4165" s="10">
        <f>Daily_Data!A4165</f>
        <v>42355</v>
      </c>
      <c r="B4165" s="11">
        <f>Daily_Data!J4165</f>
        <v>18.94</v>
      </c>
      <c r="C4165" s="11">
        <f>Daily_Data!I4165</f>
        <v>1.82</v>
      </c>
      <c r="D4165" s="12">
        <f>if(sum(Daily_Data!K4165:L4165)&gt;0,1,0)</f>
        <v>0</v>
      </c>
    </row>
    <row r="4166">
      <c r="A4166" s="10">
        <f>Daily_Data!A4166</f>
        <v>42356</v>
      </c>
      <c r="B4166" s="11">
        <f>Daily_Data!J4166</f>
        <v>20.7</v>
      </c>
      <c r="C4166" s="11">
        <f>Daily_Data!I4166</f>
        <v>1.83</v>
      </c>
      <c r="D4166" s="12">
        <f>if(sum(Daily_Data!K4166:L4166)&gt;0,1,0)</f>
        <v>0</v>
      </c>
    </row>
    <row r="4167">
      <c r="A4167" s="10">
        <f>Daily_Data!A4167</f>
        <v>42359</v>
      </c>
      <c r="B4167" s="11">
        <f>Daily_Data!J4167</f>
        <v>18.7</v>
      </c>
      <c r="C4167" s="11">
        <f>Daily_Data!I4167</f>
        <v>1.89</v>
      </c>
      <c r="D4167" s="12">
        <f>if(sum(Daily_Data!K4167:L4167)&gt;0,1,0)</f>
        <v>0</v>
      </c>
    </row>
    <row r="4168">
      <c r="A4168" s="10">
        <f>Daily_Data!A4168</f>
        <v>42360</v>
      </c>
      <c r="B4168" s="11">
        <f>Daily_Data!J4168</f>
        <v>16.6</v>
      </c>
      <c r="C4168" s="11">
        <f>Daily_Data!I4168</f>
        <v>1.86</v>
      </c>
      <c r="D4168" s="12">
        <f>if(sum(Daily_Data!K4168:L4168)&gt;0,1,0)</f>
        <v>0</v>
      </c>
    </row>
    <row r="4169">
      <c r="A4169" s="10">
        <f>Daily_Data!A4169</f>
        <v>42361</v>
      </c>
      <c r="B4169" s="11">
        <f>Daily_Data!J4169</f>
        <v>15.57</v>
      </c>
      <c r="C4169" s="11">
        <f>Daily_Data!I4169</f>
        <v>1.86</v>
      </c>
      <c r="D4169" s="12">
        <f>if(sum(Daily_Data!K4169:L4169)&gt;0,1,0)</f>
        <v>0</v>
      </c>
    </row>
    <row r="4170">
      <c r="A4170" s="10">
        <f>Daily_Data!A4170</f>
        <v>42362</v>
      </c>
      <c r="B4170" s="11">
        <f>Daily_Data!J4170</f>
        <v>15.74</v>
      </c>
      <c r="C4170" s="11">
        <f>Daily_Data!I4170</f>
        <v>1.85</v>
      </c>
      <c r="D4170" s="12">
        <f>if(sum(Daily_Data!K4170:L4170)&gt;0,1,0)</f>
        <v>0</v>
      </c>
    </row>
    <row r="4171">
      <c r="A4171" s="10">
        <f>Daily_Data!A4171</f>
        <v>42363</v>
      </c>
      <c r="B4171" s="11" t="str">
        <f>Daily_Data!J4171</f>
        <v/>
      </c>
      <c r="C4171" s="11" t="str">
        <f>Daily_Data!I4171</f>
        <v/>
      </c>
      <c r="D4171" s="12">
        <f>if(sum(Daily_Data!K4171:L4171)&gt;0,1,0)</f>
        <v>0</v>
      </c>
    </row>
    <row r="4172">
      <c r="A4172" s="10">
        <f>Daily_Data!A4172</f>
        <v>42366</v>
      </c>
      <c r="B4172" s="11">
        <f>Daily_Data!J4172</f>
        <v>16.91</v>
      </c>
      <c r="C4172" s="11" t="str">
        <f>Daily_Data!I4172</f>
        <v/>
      </c>
      <c r="D4172" s="12">
        <f>if(sum(Daily_Data!K4172:L4172)&gt;0,1,0)</f>
        <v>0</v>
      </c>
    </row>
    <row r="4173">
      <c r="A4173" s="10">
        <f>Daily_Data!A4173</f>
        <v>42367</v>
      </c>
      <c r="B4173" s="11">
        <f>Daily_Data!J4173</f>
        <v>16.08</v>
      </c>
      <c r="C4173" s="11">
        <f>Daily_Data!I4173</f>
        <v>1.77</v>
      </c>
      <c r="D4173" s="12">
        <f>if(sum(Daily_Data!K4173:L4173)&gt;0,1,0)</f>
        <v>0</v>
      </c>
    </row>
    <row r="4174">
      <c r="A4174" s="10">
        <f>Daily_Data!A4174</f>
        <v>42368</v>
      </c>
      <c r="B4174" s="11">
        <f>Daily_Data!J4174</f>
        <v>17.29</v>
      </c>
      <c r="C4174" s="11">
        <f>Daily_Data!I4174</f>
        <v>1.78</v>
      </c>
      <c r="D4174" s="12">
        <f>if(sum(Daily_Data!K4174:L4174)&gt;0,1,0)</f>
        <v>0</v>
      </c>
    </row>
    <row r="4175">
      <c r="A4175" s="10">
        <f>Daily_Data!A4175</f>
        <v>42369</v>
      </c>
      <c r="B4175" s="11">
        <f>Daily_Data!J4175</f>
        <v>18.21</v>
      </c>
      <c r="C4175" s="11">
        <f>Daily_Data!I4175</f>
        <v>1.79</v>
      </c>
      <c r="D4175" s="12">
        <f>if(sum(Daily_Data!K4175:L4175)&gt;0,1,0)</f>
        <v>0</v>
      </c>
    </row>
    <row r="4176">
      <c r="A4176" s="10">
        <f>Daily_Data!A4176</f>
        <v>42370</v>
      </c>
      <c r="B4176" s="11" t="str">
        <f>Daily_Data!J4176</f>
        <v/>
      </c>
      <c r="C4176" s="11" t="str">
        <f>Daily_Data!I4176</f>
        <v/>
      </c>
      <c r="D4176" s="12">
        <f>if(sum(Daily_Data!K4176:L4176)&gt;0,1,0)</f>
        <v>0</v>
      </c>
    </row>
    <row r="4177">
      <c r="A4177" s="10">
        <f>Daily_Data!A4177</f>
        <v>42373</v>
      </c>
      <c r="B4177" s="11">
        <f>Daily_Data!J4177</f>
        <v>20.7</v>
      </c>
      <c r="C4177" s="11" t="str">
        <f>Daily_Data!I4177</f>
        <v/>
      </c>
      <c r="D4177" s="12">
        <f>if(sum(Daily_Data!K4177:L4177)&gt;0,1,0)</f>
        <v>0</v>
      </c>
    </row>
    <row r="4178">
      <c r="A4178" s="10">
        <f>Daily_Data!A4178</f>
        <v>42374</v>
      </c>
      <c r="B4178" s="11">
        <f>Daily_Data!J4178</f>
        <v>19.34</v>
      </c>
      <c r="C4178" s="11">
        <f>Daily_Data!I4178</f>
        <v>1.79</v>
      </c>
      <c r="D4178" s="12">
        <f>if(sum(Daily_Data!K4178:L4178)&gt;0,1,0)</f>
        <v>0</v>
      </c>
    </row>
    <row r="4179">
      <c r="A4179" s="10">
        <f>Daily_Data!A4179</f>
        <v>42375</v>
      </c>
      <c r="B4179" s="11">
        <f>Daily_Data!J4179</f>
        <v>20.59</v>
      </c>
      <c r="C4179" s="11">
        <f>Daily_Data!I4179</f>
        <v>1.8</v>
      </c>
      <c r="D4179" s="12">
        <f>if(sum(Daily_Data!K4179:L4179)&gt;0,1,0)</f>
        <v>0</v>
      </c>
    </row>
    <row r="4180">
      <c r="A4180" s="10">
        <f>Daily_Data!A4180</f>
        <v>42376</v>
      </c>
      <c r="B4180" s="11">
        <f>Daily_Data!J4180</f>
        <v>24.99</v>
      </c>
      <c r="C4180" s="11">
        <f>Daily_Data!I4180</f>
        <v>1.81</v>
      </c>
      <c r="D4180" s="12">
        <f>if(sum(Daily_Data!K4180:L4180)&gt;0,1,0)</f>
        <v>0</v>
      </c>
    </row>
    <row r="4181">
      <c r="A4181" s="10">
        <f>Daily_Data!A4181</f>
        <v>42377</v>
      </c>
      <c r="B4181" s="11">
        <f>Daily_Data!J4181</f>
        <v>27.01</v>
      </c>
      <c r="C4181" s="11">
        <f>Daily_Data!I4181</f>
        <v>1.84</v>
      </c>
      <c r="D4181" s="12">
        <f>if(sum(Daily_Data!K4181:L4181)&gt;0,1,0)</f>
        <v>1</v>
      </c>
    </row>
    <row r="4182">
      <c r="A4182" s="10">
        <f>Daily_Data!A4182</f>
        <v>42380</v>
      </c>
      <c r="B4182" s="11">
        <f>Daily_Data!J4182</f>
        <v>24.3</v>
      </c>
      <c r="C4182" s="11">
        <f>Daily_Data!I4182</f>
        <v>1.81</v>
      </c>
      <c r="D4182" s="12">
        <f>if(sum(Daily_Data!K4182:L4182)&gt;0,1,0)</f>
        <v>0</v>
      </c>
    </row>
    <row r="4183">
      <c r="A4183" s="10">
        <f>Daily_Data!A4183</f>
        <v>42381</v>
      </c>
      <c r="B4183" s="11">
        <f>Daily_Data!J4183</f>
        <v>22.47</v>
      </c>
      <c r="C4183" s="11">
        <f>Daily_Data!I4183</f>
        <v>1.82</v>
      </c>
      <c r="D4183" s="12">
        <f>if(sum(Daily_Data!K4183:L4183)&gt;0,1,0)</f>
        <v>0</v>
      </c>
    </row>
    <row r="4184">
      <c r="A4184" s="10">
        <f>Daily_Data!A4184</f>
        <v>42382</v>
      </c>
      <c r="B4184" s="11">
        <f>Daily_Data!J4184</f>
        <v>25.22</v>
      </c>
      <c r="C4184" s="11">
        <f>Daily_Data!I4184</f>
        <v>1.84</v>
      </c>
      <c r="D4184" s="12">
        <f>if(sum(Daily_Data!K4184:L4184)&gt;0,1,0)</f>
        <v>0</v>
      </c>
    </row>
    <row r="4185">
      <c r="A4185" s="10">
        <f>Daily_Data!A4185</f>
        <v>42383</v>
      </c>
      <c r="B4185" s="11">
        <f>Daily_Data!J4185</f>
        <v>23.95</v>
      </c>
      <c r="C4185" s="11">
        <f>Daily_Data!I4185</f>
        <v>1.83</v>
      </c>
      <c r="D4185" s="12">
        <f>if(sum(Daily_Data!K4185:L4185)&gt;0,1,0)</f>
        <v>0</v>
      </c>
    </row>
    <row r="4186">
      <c r="A4186" s="10">
        <f>Daily_Data!A4186</f>
        <v>42384</v>
      </c>
      <c r="B4186" s="11">
        <f>Daily_Data!J4186</f>
        <v>27.02</v>
      </c>
      <c r="C4186" s="11">
        <f>Daily_Data!I4186</f>
        <v>1.89</v>
      </c>
      <c r="D4186" s="12">
        <f>if(sum(Daily_Data!K4186:L4186)&gt;0,1,0)</f>
        <v>0</v>
      </c>
    </row>
    <row r="4187">
      <c r="A4187" s="10">
        <f>Daily_Data!A4187</f>
        <v>42387</v>
      </c>
      <c r="B4187" s="11" t="str">
        <f>Daily_Data!J4187</f>
        <v/>
      </c>
      <c r="C4187" s="11" t="str">
        <f>Daily_Data!I4187</f>
        <v/>
      </c>
      <c r="D4187" s="12">
        <f>if(sum(Daily_Data!K4187:L4187)&gt;0,1,0)</f>
        <v>0</v>
      </c>
    </row>
    <row r="4188">
      <c r="A4188" s="10">
        <f>Daily_Data!A4188</f>
        <v>42388</v>
      </c>
      <c r="B4188" s="11">
        <f>Daily_Data!J4188</f>
        <v>26.05</v>
      </c>
      <c r="C4188" s="11">
        <f>Daily_Data!I4188</f>
        <v>1.8</v>
      </c>
      <c r="D4188" s="12">
        <f>if(sum(Daily_Data!K4188:L4188)&gt;0,1,0)</f>
        <v>0</v>
      </c>
    </row>
    <row r="4189">
      <c r="A4189" s="10">
        <f>Daily_Data!A4189</f>
        <v>42389</v>
      </c>
      <c r="B4189" s="11">
        <f>Daily_Data!J4189</f>
        <v>27.59</v>
      </c>
      <c r="C4189" s="11">
        <f>Daily_Data!I4189</f>
        <v>1.74</v>
      </c>
      <c r="D4189" s="12">
        <f>if(sum(Daily_Data!K4189:L4189)&gt;0,1,0)</f>
        <v>1</v>
      </c>
    </row>
    <row r="4190">
      <c r="A4190" s="10">
        <f>Daily_Data!A4190</f>
        <v>42390</v>
      </c>
      <c r="B4190" s="11">
        <f>Daily_Data!J4190</f>
        <v>26.69</v>
      </c>
      <c r="C4190" s="11">
        <f>Daily_Data!I4190</f>
        <v>1.81</v>
      </c>
      <c r="D4190" s="12">
        <f>if(sum(Daily_Data!K4190:L4190)&gt;0,1,0)</f>
        <v>0</v>
      </c>
    </row>
    <row r="4191">
      <c r="A4191" s="10">
        <f>Daily_Data!A4191</f>
        <v>42391</v>
      </c>
      <c r="B4191" s="11">
        <f>Daily_Data!J4191</f>
        <v>22.34</v>
      </c>
      <c r="C4191" s="11">
        <f>Daily_Data!I4191</f>
        <v>1.79</v>
      </c>
      <c r="D4191" s="12">
        <f>if(sum(Daily_Data!K4191:L4191)&gt;0,1,0)</f>
        <v>0</v>
      </c>
    </row>
    <row r="4192">
      <c r="A4192" s="10">
        <f>Daily_Data!A4192</f>
        <v>42394</v>
      </c>
      <c r="B4192" s="11">
        <f>Daily_Data!J4192</f>
        <v>24.15</v>
      </c>
      <c r="C4192" s="11">
        <f>Daily_Data!I4192</f>
        <v>1.79</v>
      </c>
      <c r="D4192" s="12">
        <f>if(sum(Daily_Data!K4192:L4192)&gt;0,1,0)</f>
        <v>0</v>
      </c>
    </row>
    <row r="4193">
      <c r="A4193" s="10">
        <f>Daily_Data!A4193</f>
        <v>42395</v>
      </c>
      <c r="B4193" s="11">
        <f>Daily_Data!J4193</f>
        <v>22.5</v>
      </c>
      <c r="C4193" s="11">
        <f>Daily_Data!I4193</f>
        <v>1.8</v>
      </c>
      <c r="D4193" s="12">
        <f>if(sum(Daily_Data!K4193:L4193)&gt;0,1,0)</f>
        <v>0</v>
      </c>
    </row>
    <row r="4194">
      <c r="A4194" s="10">
        <f>Daily_Data!A4194</f>
        <v>42396</v>
      </c>
      <c r="B4194" s="11">
        <f>Daily_Data!J4194</f>
        <v>23.11</v>
      </c>
      <c r="C4194" s="11">
        <f>Daily_Data!I4194</f>
        <v>1.81</v>
      </c>
      <c r="D4194" s="12">
        <f>if(sum(Daily_Data!K4194:L4194)&gt;0,1,0)</f>
        <v>0</v>
      </c>
    </row>
    <row r="4195">
      <c r="A4195" s="10">
        <f>Daily_Data!A4195</f>
        <v>42397</v>
      </c>
      <c r="B4195" s="11">
        <f>Daily_Data!J4195</f>
        <v>22.42</v>
      </c>
      <c r="C4195" s="11">
        <f>Daily_Data!I4195</f>
        <v>1.8</v>
      </c>
      <c r="D4195" s="12">
        <f>if(sum(Daily_Data!K4195:L4195)&gt;0,1,0)</f>
        <v>0</v>
      </c>
    </row>
    <row r="4196">
      <c r="A4196" s="10">
        <f>Daily_Data!A4196</f>
        <v>42398</v>
      </c>
      <c r="B4196" s="11">
        <f>Daily_Data!J4196</f>
        <v>20.2</v>
      </c>
      <c r="C4196" s="11">
        <f>Daily_Data!I4196</f>
        <v>1.86</v>
      </c>
      <c r="D4196" s="12">
        <f>if(sum(Daily_Data!K4196:L4196)&gt;0,1,0)</f>
        <v>0</v>
      </c>
    </row>
    <row r="4197">
      <c r="A4197" s="10">
        <f>Daily_Data!A4197</f>
        <v>42401</v>
      </c>
      <c r="B4197" s="11">
        <f>Daily_Data!J4197</f>
        <v>19.98</v>
      </c>
      <c r="C4197" s="11">
        <f>Daily_Data!I4197</f>
        <v>1.81</v>
      </c>
      <c r="D4197" s="12">
        <f>if(sum(Daily_Data!K4197:L4197)&gt;0,1,0)</f>
        <v>0</v>
      </c>
    </row>
    <row r="4198">
      <c r="A4198" s="10">
        <f>Daily_Data!A4198</f>
        <v>42402</v>
      </c>
      <c r="B4198" s="11">
        <f>Daily_Data!J4198</f>
        <v>21.98</v>
      </c>
      <c r="C4198" s="11">
        <f>Daily_Data!I4198</f>
        <v>1.86</v>
      </c>
      <c r="D4198" s="12">
        <f>if(sum(Daily_Data!K4198:L4198)&gt;0,1,0)</f>
        <v>0</v>
      </c>
    </row>
    <row r="4199">
      <c r="A4199" s="10">
        <f>Daily_Data!A4199</f>
        <v>42403</v>
      </c>
      <c r="B4199" s="11">
        <f>Daily_Data!J4199</f>
        <v>21.65</v>
      </c>
      <c r="C4199" s="11">
        <f>Daily_Data!I4199</f>
        <v>1.89</v>
      </c>
      <c r="D4199" s="12">
        <f>if(sum(Daily_Data!K4199:L4199)&gt;0,1,0)</f>
        <v>0</v>
      </c>
    </row>
    <row r="4200">
      <c r="A4200" s="10">
        <f>Daily_Data!A4200</f>
        <v>42404</v>
      </c>
      <c r="B4200" s="11">
        <f>Daily_Data!J4200</f>
        <v>21.84</v>
      </c>
      <c r="C4200" s="11">
        <f>Daily_Data!I4200</f>
        <v>1.93</v>
      </c>
      <c r="D4200" s="12">
        <f>if(sum(Daily_Data!K4200:L4200)&gt;0,1,0)</f>
        <v>0</v>
      </c>
    </row>
    <row r="4201">
      <c r="A4201" s="10">
        <f>Daily_Data!A4201</f>
        <v>42405</v>
      </c>
      <c r="B4201" s="11">
        <f>Daily_Data!J4201</f>
        <v>23.38</v>
      </c>
      <c r="C4201" s="11">
        <f>Daily_Data!I4201</f>
        <v>1.88</v>
      </c>
      <c r="D4201" s="12">
        <f>if(sum(Daily_Data!K4201:L4201)&gt;0,1,0)</f>
        <v>1</v>
      </c>
    </row>
    <row r="4202">
      <c r="A4202" s="10">
        <f>Daily_Data!A4202</f>
        <v>42408</v>
      </c>
      <c r="B4202" s="11">
        <f>Daily_Data!J4202</f>
        <v>26</v>
      </c>
      <c r="C4202" s="11" t="str">
        <f>Daily_Data!I4202</f>
        <v/>
      </c>
      <c r="D4202" s="12">
        <f>if(sum(Daily_Data!K4202:L4202)&gt;0,1,0)</f>
        <v>0</v>
      </c>
    </row>
    <row r="4203">
      <c r="A4203" s="10">
        <f>Daily_Data!A4203</f>
        <v>42409</v>
      </c>
      <c r="B4203" s="11">
        <f>Daily_Data!J4203</f>
        <v>26.54</v>
      </c>
      <c r="C4203" s="11">
        <f>Daily_Data!I4203</f>
        <v>1.88</v>
      </c>
      <c r="D4203" s="12">
        <f>if(sum(Daily_Data!K4203:L4203)&gt;0,1,0)</f>
        <v>0</v>
      </c>
    </row>
    <row r="4204">
      <c r="A4204" s="10">
        <f>Daily_Data!A4204</f>
        <v>42410</v>
      </c>
      <c r="B4204" s="11">
        <f>Daily_Data!J4204</f>
        <v>26.29</v>
      </c>
      <c r="C4204" s="11">
        <f>Daily_Data!I4204</f>
        <v>1.88</v>
      </c>
      <c r="D4204" s="12">
        <f>if(sum(Daily_Data!K4204:L4204)&gt;0,1,0)</f>
        <v>0</v>
      </c>
    </row>
    <row r="4205">
      <c r="A4205" s="10">
        <f>Daily_Data!A4205</f>
        <v>42411</v>
      </c>
      <c r="B4205" s="11">
        <f>Daily_Data!J4205</f>
        <v>28.14</v>
      </c>
      <c r="C4205" s="11">
        <f>Daily_Data!I4205</f>
        <v>1.92</v>
      </c>
      <c r="D4205" s="12">
        <f>if(sum(Daily_Data!K4205:L4205)&gt;0,1,0)</f>
        <v>0</v>
      </c>
    </row>
    <row r="4206">
      <c r="A4206" s="10">
        <f>Daily_Data!A4206</f>
        <v>42412</v>
      </c>
      <c r="B4206" s="11">
        <f>Daily_Data!J4206</f>
        <v>25.4</v>
      </c>
      <c r="C4206" s="11">
        <f>Daily_Data!I4206</f>
        <v>1.83</v>
      </c>
      <c r="D4206" s="12">
        <f>if(sum(Daily_Data!K4206:L4206)&gt;0,1,0)</f>
        <v>0</v>
      </c>
    </row>
    <row r="4207">
      <c r="A4207" s="10">
        <f>Daily_Data!A4207</f>
        <v>42415</v>
      </c>
      <c r="B4207" s="11" t="str">
        <f>Daily_Data!J4207</f>
        <v/>
      </c>
      <c r="C4207" s="11" t="str">
        <f>Daily_Data!I4207</f>
        <v/>
      </c>
      <c r="D4207" s="12">
        <f>if(sum(Daily_Data!K4207:L4207)&gt;0,1,0)</f>
        <v>0</v>
      </c>
    </row>
    <row r="4208">
      <c r="A4208" s="10">
        <f>Daily_Data!A4208</f>
        <v>42416</v>
      </c>
      <c r="B4208" s="11">
        <f>Daily_Data!J4208</f>
        <v>24.11</v>
      </c>
      <c r="C4208" s="11">
        <f>Daily_Data!I4208</f>
        <v>1.8</v>
      </c>
      <c r="D4208" s="12">
        <f>if(sum(Daily_Data!K4208:L4208)&gt;0,1,0)</f>
        <v>0</v>
      </c>
    </row>
    <row r="4209">
      <c r="A4209" s="10">
        <f>Daily_Data!A4209</f>
        <v>42417</v>
      </c>
      <c r="B4209" s="11">
        <f>Daily_Data!J4209</f>
        <v>22.31</v>
      </c>
      <c r="C4209" s="11">
        <f>Daily_Data!I4209</f>
        <v>1.78</v>
      </c>
      <c r="D4209" s="12">
        <f>if(sum(Daily_Data!K4209:L4209)&gt;0,1,0)</f>
        <v>0</v>
      </c>
    </row>
    <row r="4210">
      <c r="A4210" s="10">
        <f>Daily_Data!A4210</f>
        <v>42418</v>
      </c>
      <c r="B4210" s="11">
        <f>Daily_Data!J4210</f>
        <v>21.64</v>
      </c>
      <c r="C4210" s="11">
        <f>Daily_Data!I4210</f>
        <v>1.81</v>
      </c>
      <c r="D4210" s="12">
        <f>if(sum(Daily_Data!K4210:L4210)&gt;0,1,0)</f>
        <v>0</v>
      </c>
    </row>
    <row r="4211">
      <c r="A4211" s="10">
        <f>Daily_Data!A4211</f>
        <v>42419</v>
      </c>
      <c r="B4211" s="11">
        <f>Daily_Data!J4211</f>
        <v>20.53</v>
      </c>
      <c r="C4211" s="11">
        <f>Daily_Data!I4211</f>
        <v>1.73</v>
      </c>
      <c r="D4211" s="12">
        <f>if(sum(Daily_Data!K4211:L4211)&gt;0,1,0)</f>
        <v>1</v>
      </c>
    </row>
    <row r="4212">
      <c r="A4212" s="10">
        <f>Daily_Data!A4212</f>
        <v>42422</v>
      </c>
      <c r="B4212" s="11">
        <f>Daily_Data!J4212</f>
        <v>19.38</v>
      </c>
      <c r="C4212" s="11">
        <f>Daily_Data!I4212</f>
        <v>1.72</v>
      </c>
      <c r="D4212" s="12">
        <f>if(sum(Daily_Data!K4212:L4212)&gt;0,1,0)</f>
        <v>0</v>
      </c>
    </row>
    <row r="4213">
      <c r="A4213" s="10">
        <f>Daily_Data!A4213</f>
        <v>42423</v>
      </c>
      <c r="B4213" s="11">
        <f>Daily_Data!J4213</f>
        <v>20.98</v>
      </c>
      <c r="C4213" s="11">
        <f>Daily_Data!I4213</f>
        <v>1.72</v>
      </c>
      <c r="D4213" s="12">
        <f>if(sum(Daily_Data!K4213:L4213)&gt;0,1,0)</f>
        <v>0</v>
      </c>
    </row>
    <row r="4214">
      <c r="A4214" s="10">
        <f>Daily_Data!A4214</f>
        <v>42424</v>
      </c>
      <c r="B4214" s="11">
        <f>Daily_Data!J4214</f>
        <v>20.72</v>
      </c>
      <c r="C4214" s="11">
        <f>Daily_Data!I4214</f>
        <v>1.7</v>
      </c>
      <c r="D4214" s="12">
        <f>if(sum(Daily_Data!K4214:L4214)&gt;0,1,0)</f>
        <v>0</v>
      </c>
    </row>
    <row r="4215">
      <c r="A4215" s="10">
        <f>Daily_Data!A4215</f>
        <v>42425</v>
      </c>
      <c r="B4215" s="11">
        <f>Daily_Data!J4215</f>
        <v>19.11</v>
      </c>
      <c r="C4215" s="11">
        <f>Daily_Data!I4215</f>
        <v>1.7</v>
      </c>
      <c r="D4215" s="12">
        <f>if(sum(Daily_Data!K4215:L4215)&gt;0,1,0)</f>
        <v>0</v>
      </c>
    </row>
    <row r="4216">
      <c r="A4216" s="10">
        <f>Daily_Data!A4216</f>
        <v>42426</v>
      </c>
      <c r="B4216" s="11">
        <f>Daily_Data!J4216</f>
        <v>19.81</v>
      </c>
      <c r="C4216" s="11">
        <f>Daily_Data!I4216</f>
        <v>1.62</v>
      </c>
      <c r="D4216" s="12">
        <f>if(sum(Daily_Data!K4216:L4216)&gt;0,1,0)</f>
        <v>0</v>
      </c>
    </row>
    <row r="4217">
      <c r="A4217" s="10">
        <f>Daily_Data!A4217</f>
        <v>42429</v>
      </c>
      <c r="B4217" s="11">
        <f>Daily_Data!J4217</f>
        <v>20.55</v>
      </c>
      <c r="C4217" s="11">
        <f>Daily_Data!I4217</f>
        <v>1.61</v>
      </c>
      <c r="D4217" s="12">
        <f>if(sum(Daily_Data!K4217:L4217)&gt;0,1,0)</f>
        <v>0</v>
      </c>
    </row>
    <row r="4218">
      <c r="A4218" s="10">
        <f>Daily_Data!A4218</f>
        <v>42430</v>
      </c>
      <c r="B4218" s="11">
        <f>Daily_Data!J4218</f>
        <v>17.7</v>
      </c>
      <c r="C4218" s="11">
        <f>Daily_Data!I4218</f>
        <v>1.53</v>
      </c>
      <c r="D4218" s="12">
        <f>if(sum(Daily_Data!K4218:L4218)&gt;0,1,0)</f>
        <v>0</v>
      </c>
    </row>
    <row r="4219">
      <c r="A4219" s="10">
        <f>Daily_Data!A4219</f>
        <v>42431</v>
      </c>
      <c r="B4219" s="11">
        <f>Daily_Data!J4219</f>
        <v>17.09</v>
      </c>
      <c r="C4219" s="11">
        <f>Daily_Data!I4219</f>
        <v>1.57</v>
      </c>
      <c r="D4219" s="12">
        <f>if(sum(Daily_Data!K4219:L4219)&gt;0,1,0)</f>
        <v>0</v>
      </c>
    </row>
    <row r="4220">
      <c r="A4220" s="10">
        <f>Daily_Data!A4220</f>
        <v>42432</v>
      </c>
      <c r="B4220" s="11">
        <f>Daily_Data!J4220</f>
        <v>16.7</v>
      </c>
      <c r="C4220" s="11">
        <f>Daily_Data!I4220</f>
        <v>1.57</v>
      </c>
      <c r="D4220" s="12">
        <f>if(sum(Daily_Data!K4220:L4220)&gt;0,1,0)</f>
        <v>0</v>
      </c>
    </row>
    <row r="4221">
      <c r="A4221" s="10">
        <f>Daily_Data!A4221</f>
        <v>42433</v>
      </c>
      <c r="B4221" s="11">
        <f>Daily_Data!J4221</f>
        <v>16.86</v>
      </c>
      <c r="C4221" s="11">
        <f>Daily_Data!I4221</f>
        <v>1.56</v>
      </c>
      <c r="D4221" s="12">
        <f>if(sum(Daily_Data!K4221:L4221)&gt;0,1,0)</f>
        <v>1</v>
      </c>
    </row>
    <row r="4222">
      <c r="A4222" s="10">
        <f>Daily_Data!A4222</f>
        <v>42436</v>
      </c>
      <c r="B4222" s="11">
        <f>Daily_Data!J4222</f>
        <v>17.35</v>
      </c>
      <c r="C4222" s="11">
        <f>Daily_Data!I4222</f>
        <v>1.53</v>
      </c>
      <c r="D4222" s="12">
        <f>if(sum(Daily_Data!K4222:L4222)&gt;0,1,0)</f>
        <v>0</v>
      </c>
    </row>
    <row r="4223">
      <c r="A4223" s="10">
        <f>Daily_Data!A4223</f>
        <v>42437</v>
      </c>
      <c r="B4223" s="11">
        <f>Daily_Data!J4223</f>
        <v>18.67</v>
      </c>
      <c r="C4223" s="11">
        <f>Daily_Data!I4223</f>
        <v>1.55</v>
      </c>
      <c r="D4223" s="12">
        <f>if(sum(Daily_Data!K4223:L4223)&gt;0,1,0)</f>
        <v>0</v>
      </c>
    </row>
    <row r="4224">
      <c r="A4224" s="10">
        <f>Daily_Data!A4224</f>
        <v>42438</v>
      </c>
      <c r="B4224" s="11">
        <f>Daily_Data!J4224</f>
        <v>18.34</v>
      </c>
      <c r="C4224" s="11">
        <f>Daily_Data!I4224</f>
        <v>1.54</v>
      </c>
      <c r="D4224" s="12">
        <f>if(sum(Daily_Data!K4224:L4224)&gt;0,1,0)</f>
        <v>0</v>
      </c>
    </row>
    <row r="4225">
      <c r="A4225" s="10">
        <f>Daily_Data!A4225</f>
        <v>42439</v>
      </c>
      <c r="B4225" s="11">
        <f>Daily_Data!J4225</f>
        <v>18.05</v>
      </c>
      <c r="C4225" s="11">
        <f>Daily_Data!I4225</f>
        <v>1.31</v>
      </c>
      <c r="D4225" s="12">
        <f>if(sum(Daily_Data!K4225:L4225)&gt;0,1,0)</f>
        <v>0</v>
      </c>
    </row>
    <row r="4226">
      <c r="A4226" s="10">
        <f>Daily_Data!A4226</f>
        <v>42440</v>
      </c>
      <c r="B4226" s="11">
        <f>Daily_Data!J4226</f>
        <v>16.5</v>
      </c>
      <c r="C4226" s="11">
        <f>Daily_Data!I4226</f>
        <v>1.3</v>
      </c>
      <c r="D4226" s="12">
        <f>if(sum(Daily_Data!K4226:L4226)&gt;0,1,0)</f>
        <v>0</v>
      </c>
    </row>
    <row r="4227">
      <c r="A4227" s="10">
        <f>Daily_Data!A4227</f>
        <v>42443</v>
      </c>
      <c r="B4227" s="11">
        <f>Daily_Data!J4227</f>
        <v>16.92</v>
      </c>
      <c r="C4227" s="11">
        <f>Daily_Data!I4227</f>
        <v>1.31</v>
      </c>
      <c r="D4227" s="12">
        <f>if(sum(Daily_Data!K4227:L4227)&gt;0,1,0)</f>
        <v>0</v>
      </c>
    </row>
    <row r="4228">
      <c r="A4228" s="10">
        <f>Daily_Data!A4228</f>
        <v>42444</v>
      </c>
      <c r="B4228" s="11">
        <f>Daily_Data!J4228</f>
        <v>16.84</v>
      </c>
      <c r="C4228" s="11">
        <f>Daily_Data!I4228</f>
        <v>1.29</v>
      </c>
      <c r="D4228" s="12">
        <f>if(sum(Daily_Data!K4228:L4228)&gt;0,1,0)</f>
        <v>0</v>
      </c>
    </row>
    <row r="4229">
      <c r="A4229" s="10">
        <f>Daily_Data!A4229</f>
        <v>42445</v>
      </c>
      <c r="B4229" s="11">
        <f>Daily_Data!J4229</f>
        <v>14.99</v>
      </c>
      <c r="C4229" s="11">
        <f>Daily_Data!I4229</f>
        <v>1.42</v>
      </c>
      <c r="D4229" s="12">
        <f>if(sum(Daily_Data!K4229:L4229)&gt;0,1,0)</f>
        <v>1</v>
      </c>
    </row>
    <row r="4230">
      <c r="A4230" s="10">
        <f>Daily_Data!A4230</f>
        <v>42446</v>
      </c>
      <c r="B4230" s="11">
        <f>Daily_Data!J4230</f>
        <v>14.44</v>
      </c>
      <c r="C4230" s="11">
        <f>Daily_Data!I4230</f>
        <v>1.38</v>
      </c>
      <c r="D4230" s="12">
        <f>if(sum(Daily_Data!K4230:L4230)&gt;0,1,0)</f>
        <v>0</v>
      </c>
    </row>
    <row r="4231">
      <c r="A4231" s="10">
        <f>Daily_Data!A4231</f>
        <v>42447</v>
      </c>
      <c r="B4231" s="11">
        <f>Daily_Data!J4231</f>
        <v>14.02</v>
      </c>
      <c r="C4231" s="11">
        <f>Daily_Data!I4231</f>
        <v>1.39</v>
      </c>
      <c r="D4231" s="12">
        <f>if(sum(Daily_Data!K4231:L4231)&gt;0,1,0)</f>
        <v>0</v>
      </c>
    </row>
    <row r="4232">
      <c r="A4232" s="10">
        <f>Daily_Data!A4232</f>
        <v>42450</v>
      </c>
      <c r="B4232" s="11">
        <f>Daily_Data!J4232</f>
        <v>13.79</v>
      </c>
      <c r="C4232" s="11">
        <f>Daily_Data!I4232</f>
        <v>1.35</v>
      </c>
      <c r="D4232" s="12">
        <f>if(sum(Daily_Data!K4232:L4232)&gt;0,1,0)</f>
        <v>0</v>
      </c>
    </row>
    <row r="4233">
      <c r="A4233" s="10">
        <f>Daily_Data!A4233</f>
        <v>42451</v>
      </c>
      <c r="B4233" s="11">
        <f>Daily_Data!J4233</f>
        <v>14.17</v>
      </c>
      <c r="C4233" s="11">
        <f>Daily_Data!I4233</f>
        <v>1.32</v>
      </c>
      <c r="D4233" s="12">
        <f>if(sum(Daily_Data!K4233:L4233)&gt;0,1,0)</f>
        <v>0</v>
      </c>
    </row>
    <row r="4234">
      <c r="A4234" s="10">
        <f>Daily_Data!A4234</f>
        <v>42452</v>
      </c>
      <c r="B4234" s="11">
        <f>Daily_Data!J4234</f>
        <v>14.94</v>
      </c>
      <c r="C4234" s="11">
        <f>Daily_Data!I4234</f>
        <v>1.39</v>
      </c>
      <c r="D4234" s="12">
        <f>if(sum(Daily_Data!K4234:L4234)&gt;0,1,0)</f>
        <v>0</v>
      </c>
    </row>
    <row r="4235">
      <c r="A4235" s="10">
        <f>Daily_Data!A4235</f>
        <v>42453</v>
      </c>
      <c r="B4235" s="11">
        <f>Daily_Data!J4235</f>
        <v>14.74</v>
      </c>
      <c r="C4235" s="11">
        <f>Daily_Data!I4235</f>
        <v>1.37</v>
      </c>
      <c r="D4235" s="12">
        <f>if(sum(Daily_Data!K4235:L4235)&gt;0,1,0)</f>
        <v>0</v>
      </c>
    </row>
    <row r="4236">
      <c r="A4236" s="10">
        <f>Daily_Data!A4236</f>
        <v>42454</v>
      </c>
      <c r="B4236" s="11" t="str">
        <f>Daily_Data!J4236</f>
        <v/>
      </c>
      <c r="C4236" s="11" t="str">
        <f>Daily_Data!I4236</f>
        <v/>
      </c>
      <c r="D4236" s="12">
        <f>if(sum(Daily_Data!K4236:L4236)&gt;0,1,0)</f>
        <v>0</v>
      </c>
    </row>
    <row r="4237">
      <c r="A4237" s="10">
        <f>Daily_Data!A4237</f>
        <v>42457</v>
      </c>
      <c r="B4237" s="11">
        <f>Daily_Data!J4237</f>
        <v>15.24</v>
      </c>
      <c r="C4237" s="11" t="str">
        <f>Daily_Data!I4237</f>
        <v/>
      </c>
      <c r="D4237" s="12">
        <f>if(sum(Daily_Data!K4237:L4237)&gt;0,1,0)</f>
        <v>0</v>
      </c>
    </row>
    <row r="4238">
      <c r="A4238" s="10">
        <f>Daily_Data!A4238</f>
        <v>42458</v>
      </c>
      <c r="B4238" s="11">
        <f>Daily_Data!J4238</f>
        <v>13.82</v>
      </c>
      <c r="C4238" s="11">
        <f>Daily_Data!I4238</f>
        <v>1.49</v>
      </c>
      <c r="D4238" s="12">
        <f>if(sum(Daily_Data!K4238:L4238)&gt;0,1,0)</f>
        <v>0</v>
      </c>
    </row>
    <row r="4239">
      <c r="A4239" s="10">
        <f>Daily_Data!A4239</f>
        <v>42459</v>
      </c>
      <c r="B4239" s="11">
        <f>Daily_Data!J4239</f>
        <v>13.56</v>
      </c>
      <c r="C4239" s="11">
        <f>Daily_Data!I4239</f>
        <v>1.45</v>
      </c>
      <c r="D4239" s="12">
        <f>if(sum(Daily_Data!K4239:L4239)&gt;0,1,0)</f>
        <v>0</v>
      </c>
    </row>
    <row r="4240">
      <c r="A4240" s="10">
        <f>Daily_Data!A4240</f>
        <v>42460</v>
      </c>
      <c r="B4240" s="11">
        <f>Daily_Data!J4240</f>
        <v>13.95</v>
      </c>
      <c r="C4240" s="11">
        <f>Daily_Data!I4240</f>
        <v>1.47</v>
      </c>
      <c r="D4240" s="12">
        <f>if(sum(Daily_Data!K4240:L4240)&gt;0,1,0)</f>
        <v>0</v>
      </c>
    </row>
    <row r="4241">
      <c r="A4241" s="10">
        <f>Daily_Data!A4241</f>
        <v>42461</v>
      </c>
      <c r="B4241" s="11">
        <f>Daily_Data!J4241</f>
        <v>13.1</v>
      </c>
      <c r="C4241" s="11">
        <f>Daily_Data!I4241</f>
        <v>1.45</v>
      </c>
      <c r="D4241" s="12">
        <f>if(sum(Daily_Data!K4241:L4241)&gt;0,1,0)</f>
        <v>1</v>
      </c>
    </row>
    <row r="4242">
      <c r="A4242" s="10">
        <f>Daily_Data!A4242</f>
        <v>42464</v>
      </c>
      <c r="B4242" s="11">
        <f>Daily_Data!J4242</f>
        <v>14.12</v>
      </c>
      <c r="C4242" s="11">
        <f>Daily_Data!I4242</f>
        <v>1.42</v>
      </c>
      <c r="D4242" s="12">
        <f>if(sum(Daily_Data!K4242:L4242)&gt;0,1,0)</f>
        <v>0</v>
      </c>
    </row>
    <row r="4243">
      <c r="A4243" s="10">
        <f>Daily_Data!A4243</f>
        <v>42465</v>
      </c>
      <c r="B4243" s="11">
        <f>Daily_Data!J4243</f>
        <v>15.42</v>
      </c>
      <c r="C4243" s="11">
        <f>Daily_Data!I4243</f>
        <v>1.45</v>
      </c>
      <c r="D4243" s="12">
        <f>if(sum(Daily_Data!K4243:L4243)&gt;0,1,0)</f>
        <v>0</v>
      </c>
    </row>
    <row r="4244">
      <c r="A4244" s="10">
        <f>Daily_Data!A4244</f>
        <v>42466</v>
      </c>
      <c r="B4244" s="11">
        <f>Daily_Data!J4244</f>
        <v>14.09</v>
      </c>
      <c r="C4244" s="11">
        <f>Daily_Data!I4244</f>
        <v>1.44</v>
      </c>
      <c r="D4244" s="12">
        <f>if(sum(Daily_Data!K4244:L4244)&gt;0,1,0)</f>
        <v>0</v>
      </c>
    </row>
    <row r="4245">
      <c r="A4245" s="10">
        <f>Daily_Data!A4245</f>
        <v>42467</v>
      </c>
      <c r="B4245" s="11">
        <f>Daily_Data!J4245</f>
        <v>16.16</v>
      </c>
      <c r="C4245" s="11">
        <f>Daily_Data!I4245</f>
        <v>1.49</v>
      </c>
      <c r="D4245" s="12">
        <f>if(sum(Daily_Data!K4245:L4245)&gt;0,1,0)</f>
        <v>0</v>
      </c>
    </row>
    <row r="4246">
      <c r="A4246" s="10">
        <f>Daily_Data!A4246</f>
        <v>42468</v>
      </c>
      <c r="B4246" s="11">
        <f>Daily_Data!J4246</f>
        <v>15.36</v>
      </c>
      <c r="C4246" s="11">
        <f>Daily_Data!I4246</f>
        <v>1.48</v>
      </c>
      <c r="D4246" s="12">
        <f>if(sum(Daily_Data!K4246:L4246)&gt;0,1,0)</f>
        <v>0</v>
      </c>
    </row>
    <row r="4247">
      <c r="A4247" s="10">
        <f>Daily_Data!A4247</f>
        <v>42471</v>
      </c>
      <c r="B4247" s="11">
        <f>Daily_Data!J4247</f>
        <v>16.26</v>
      </c>
      <c r="C4247" s="11">
        <f>Daily_Data!I4247</f>
        <v>1.49</v>
      </c>
      <c r="D4247" s="12">
        <f>if(sum(Daily_Data!K4247:L4247)&gt;0,1,0)</f>
        <v>0</v>
      </c>
    </row>
    <row r="4248">
      <c r="A4248" s="10">
        <f>Daily_Data!A4248</f>
        <v>42472</v>
      </c>
      <c r="B4248" s="11">
        <f>Daily_Data!J4248</f>
        <v>14.85</v>
      </c>
      <c r="C4248" s="11">
        <f>Daily_Data!I4248</f>
        <v>1.47</v>
      </c>
      <c r="D4248" s="12">
        <f>if(sum(Daily_Data!K4248:L4248)&gt;0,1,0)</f>
        <v>0</v>
      </c>
    </row>
    <row r="4249">
      <c r="A4249" s="10">
        <f>Daily_Data!A4249</f>
        <v>42473</v>
      </c>
      <c r="B4249" s="11">
        <f>Daily_Data!J4249</f>
        <v>13.84</v>
      </c>
      <c r="C4249" s="11">
        <f>Daily_Data!I4249</f>
        <v>1.5</v>
      </c>
      <c r="D4249" s="12">
        <f>if(sum(Daily_Data!K4249:L4249)&gt;0,1,0)</f>
        <v>0</v>
      </c>
    </row>
    <row r="4250">
      <c r="A4250" s="10">
        <f>Daily_Data!A4250</f>
        <v>42474</v>
      </c>
      <c r="B4250" s="11">
        <f>Daily_Data!J4250</f>
        <v>13.72</v>
      </c>
      <c r="C4250" s="11">
        <f>Daily_Data!I4250</f>
        <v>1.45</v>
      </c>
      <c r="D4250" s="12">
        <f>if(sum(Daily_Data!K4250:L4250)&gt;0,1,0)</f>
        <v>1</v>
      </c>
    </row>
    <row r="4251">
      <c r="A4251" s="10">
        <f>Daily_Data!A4251</f>
        <v>42475</v>
      </c>
      <c r="B4251" s="11">
        <f>Daily_Data!J4251</f>
        <v>13.62</v>
      </c>
      <c r="C4251" s="11">
        <f>Daily_Data!I4251</f>
        <v>1.51</v>
      </c>
      <c r="D4251" s="12">
        <f>if(sum(Daily_Data!K4251:L4251)&gt;0,1,0)</f>
        <v>0</v>
      </c>
    </row>
    <row r="4252">
      <c r="A4252" s="10">
        <f>Daily_Data!A4252</f>
        <v>42478</v>
      </c>
      <c r="B4252" s="11">
        <f>Daily_Data!J4252</f>
        <v>13.35</v>
      </c>
      <c r="C4252" s="11">
        <f>Daily_Data!I4252</f>
        <v>1.5</v>
      </c>
      <c r="D4252" s="12">
        <f>if(sum(Daily_Data!K4252:L4252)&gt;0,1,0)</f>
        <v>0</v>
      </c>
    </row>
    <row r="4253">
      <c r="A4253" s="10">
        <f>Daily_Data!A4253</f>
        <v>42479</v>
      </c>
      <c r="B4253" s="11">
        <f>Daily_Data!J4253</f>
        <v>13.24</v>
      </c>
      <c r="C4253" s="11">
        <f>Daily_Data!I4253</f>
        <v>1.51</v>
      </c>
      <c r="D4253" s="12">
        <f>if(sum(Daily_Data!K4253:L4253)&gt;0,1,0)</f>
        <v>0</v>
      </c>
    </row>
    <row r="4254">
      <c r="A4254" s="10">
        <f>Daily_Data!A4254</f>
        <v>42480</v>
      </c>
      <c r="B4254" s="11">
        <f>Daily_Data!J4254</f>
        <v>13.28</v>
      </c>
      <c r="C4254" s="11">
        <f>Daily_Data!I4254</f>
        <v>1.44</v>
      </c>
      <c r="D4254" s="12">
        <f>if(sum(Daily_Data!K4254:L4254)&gt;0,1,0)</f>
        <v>0</v>
      </c>
    </row>
    <row r="4255">
      <c r="A4255" s="10">
        <f>Daily_Data!A4255</f>
        <v>42481</v>
      </c>
      <c r="B4255" s="11">
        <f>Daily_Data!J4255</f>
        <v>13.95</v>
      </c>
      <c r="C4255" s="11">
        <f>Daily_Data!I4255</f>
        <v>1.42</v>
      </c>
      <c r="D4255" s="12">
        <f>if(sum(Daily_Data!K4255:L4255)&gt;0,1,0)</f>
        <v>0</v>
      </c>
    </row>
    <row r="4256">
      <c r="A4256" s="10">
        <f>Daily_Data!A4256</f>
        <v>42482</v>
      </c>
      <c r="B4256" s="11">
        <f>Daily_Data!J4256</f>
        <v>13.22</v>
      </c>
      <c r="C4256" s="11">
        <f>Daily_Data!I4256</f>
        <v>1.37</v>
      </c>
      <c r="D4256" s="12">
        <f>if(sum(Daily_Data!K4256:L4256)&gt;0,1,0)</f>
        <v>0</v>
      </c>
    </row>
    <row r="4257">
      <c r="A4257" s="10">
        <f>Daily_Data!A4257</f>
        <v>42485</v>
      </c>
      <c r="B4257" s="11">
        <f>Daily_Data!J4257</f>
        <v>14.08</v>
      </c>
      <c r="C4257" s="11" t="str">
        <f>Daily_Data!I4257</f>
        <v/>
      </c>
      <c r="D4257" s="12">
        <f>if(sum(Daily_Data!K4257:L4257)&gt;0,1,0)</f>
        <v>0</v>
      </c>
    </row>
    <row r="4258">
      <c r="A4258" s="10">
        <f>Daily_Data!A4258</f>
        <v>42486</v>
      </c>
      <c r="B4258" s="11">
        <f>Daily_Data!J4258</f>
        <v>13.96</v>
      </c>
      <c r="C4258" s="11">
        <f>Daily_Data!I4258</f>
        <v>1.37</v>
      </c>
      <c r="D4258" s="12">
        <f>if(sum(Daily_Data!K4258:L4258)&gt;0,1,0)</f>
        <v>0</v>
      </c>
    </row>
    <row r="4259">
      <c r="A4259" s="10">
        <f>Daily_Data!A4259</f>
        <v>42487</v>
      </c>
      <c r="B4259" s="11">
        <f>Daily_Data!J4259</f>
        <v>13.77</v>
      </c>
      <c r="C4259" s="11">
        <f>Daily_Data!I4259</f>
        <v>1.38</v>
      </c>
      <c r="D4259" s="12">
        <f>if(sum(Daily_Data!K4259:L4259)&gt;0,1,0)</f>
        <v>0</v>
      </c>
    </row>
    <row r="4260">
      <c r="A4260" s="10">
        <f>Daily_Data!A4260</f>
        <v>42488</v>
      </c>
      <c r="B4260" s="11">
        <f>Daily_Data!J4260</f>
        <v>15.22</v>
      </c>
      <c r="C4260" s="11">
        <f>Daily_Data!I4260</f>
        <v>1.47</v>
      </c>
      <c r="D4260" s="12">
        <f>if(sum(Daily_Data!K4260:L4260)&gt;0,1,0)</f>
        <v>0</v>
      </c>
    </row>
    <row r="4261">
      <c r="A4261" s="10">
        <f>Daily_Data!A4261</f>
        <v>42489</v>
      </c>
      <c r="B4261" s="11">
        <f>Daily_Data!J4261</f>
        <v>15.7</v>
      </c>
      <c r="C4261" s="11">
        <f>Daily_Data!I4261</f>
        <v>1.48</v>
      </c>
      <c r="D4261" s="12">
        <f>if(sum(Daily_Data!K4261:L4261)&gt;0,1,0)</f>
        <v>0</v>
      </c>
    </row>
    <row r="4262">
      <c r="A4262" s="10">
        <f>Daily_Data!A4262</f>
        <v>42492</v>
      </c>
      <c r="B4262" s="11">
        <f>Daily_Data!J4262</f>
        <v>14.68</v>
      </c>
      <c r="C4262" s="11">
        <f>Daily_Data!I4262</f>
        <v>1.46</v>
      </c>
      <c r="D4262" s="12">
        <f>if(sum(Daily_Data!K4262:L4262)&gt;0,1,0)</f>
        <v>0</v>
      </c>
    </row>
    <row r="4263">
      <c r="A4263" s="10">
        <f>Daily_Data!A4263</f>
        <v>42493</v>
      </c>
      <c r="B4263" s="11">
        <f>Daily_Data!J4263</f>
        <v>15.6</v>
      </c>
      <c r="C4263" s="11">
        <f>Daily_Data!I4263</f>
        <v>1.56</v>
      </c>
      <c r="D4263" s="12">
        <f>if(sum(Daily_Data!K4263:L4263)&gt;0,1,0)</f>
        <v>0</v>
      </c>
    </row>
    <row r="4264">
      <c r="A4264" s="10">
        <f>Daily_Data!A4264</f>
        <v>42494</v>
      </c>
      <c r="B4264" s="11">
        <f>Daily_Data!J4264</f>
        <v>16.05</v>
      </c>
      <c r="C4264" s="11">
        <f>Daily_Data!I4264</f>
        <v>1.49</v>
      </c>
      <c r="D4264" s="12">
        <f>if(sum(Daily_Data!K4264:L4264)&gt;0,1,0)</f>
        <v>0</v>
      </c>
    </row>
    <row r="4265">
      <c r="A4265" s="10">
        <f>Daily_Data!A4265</f>
        <v>42495</v>
      </c>
      <c r="B4265" s="11">
        <f>Daily_Data!J4265</f>
        <v>15.91</v>
      </c>
      <c r="C4265" s="11">
        <f>Daily_Data!I4265</f>
        <v>1.5</v>
      </c>
      <c r="D4265" s="12">
        <f>if(sum(Daily_Data!K4265:L4265)&gt;0,1,0)</f>
        <v>0</v>
      </c>
    </row>
    <row r="4266">
      <c r="A4266" s="10">
        <f>Daily_Data!A4266</f>
        <v>42496</v>
      </c>
      <c r="B4266" s="11">
        <f>Daily_Data!J4266</f>
        <v>14.72</v>
      </c>
      <c r="C4266" s="11">
        <f>Daily_Data!I4266</f>
        <v>1.41</v>
      </c>
      <c r="D4266" s="12">
        <f>if(sum(Daily_Data!K4266:L4266)&gt;0,1,0)</f>
        <v>1</v>
      </c>
    </row>
    <row r="4267">
      <c r="A4267" s="10">
        <f>Daily_Data!A4267</f>
        <v>42499</v>
      </c>
      <c r="B4267" s="11">
        <f>Daily_Data!J4267</f>
        <v>14.57</v>
      </c>
      <c r="C4267" s="11">
        <f>Daily_Data!I4267</f>
        <v>1.44</v>
      </c>
      <c r="D4267" s="12">
        <f>if(sum(Daily_Data!K4267:L4267)&gt;0,1,0)</f>
        <v>0</v>
      </c>
    </row>
    <row r="4268">
      <c r="A4268" s="10">
        <f>Daily_Data!A4268</f>
        <v>42500</v>
      </c>
      <c r="B4268" s="11">
        <f>Daily_Data!J4268</f>
        <v>13.63</v>
      </c>
      <c r="C4268" s="11">
        <f>Daily_Data!I4268</f>
        <v>1.41</v>
      </c>
      <c r="D4268" s="12">
        <f>if(sum(Daily_Data!K4268:L4268)&gt;0,1,0)</f>
        <v>0</v>
      </c>
    </row>
    <row r="4269">
      <c r="A4269" s="10">
        <f>Daily_Data!A4269</f>
        <v>42501</v>
      </c>
      <c r="B4269" s="11">
        <f>Daily_Data!J4269</f>
        <v>14.69</v>
      </c>
      <c r="C4269" s="11">
        <f>Daily_Data!I4269</f>
        <v>1.42</v>
      </c>
      <c r="D4269" s="12">
        <f>if(sum(Daily_Data!K4269:L4269)&gt;0,1,0)</f>
        <v>0</v>
      </c>
    </row>
    <row r="4270">
      <c r="A4270" s="10">
        <f>Daily_Data!A4270</f>
        <v>42502</v>
      </c>
      <c r="B4270" s="11">
        <f>Daily_Data!J4270</f>
        <v>14.41</v>
      </c>
      <c r="C4270" s="11">
        <f>Daily_Data!I4270</f>
        <v>1.44</v>
      </c>
      <c r="D4270" s="12">
        <f>if(sum(Daily_Data!K4270:L4270)&gt;0,1,0)</f>
        <v>0</v>
      </c>
    </row>
    <row r="4271">
      <c r="A4271" s="10">
        <f>Daily_Data!A4271</f>
        <v>42503</v>
      </c>
      <c r="B4271" s="11">
        <f>Daily_Data!J4271</f>
        <v>15.04</v>
      </c>
      <c r="C4271" s="11">
        <f>Daily_Data!I4271</f>
        <v>1.46</v>
      </c>
      <c r="D4271" s="12">
        <f>if(sum(Daily_Data!K4271:L4271)&gt;0,1,0)</f>
        <v>0</v>
      </c>
    </row>
    <row r="4272">
      <c r="A4272" s="10">
        <f>Daily_Data!A4272</f>
        <v>42506</v>
      </c>
      <c r="B4272" s="11">
        <f>Daily_Data!J4272</f>
        <v>14.68</v>
      </c>
      <c r="C4272" s="11">
        <f>Daily_Data!I4272</f>
        <v>1.41</v>
      </c>
      <c r="D4272" s="12">
        <f>if(sum(Daily_Data!K4272:L4272)&gt;0,1,0)</f>
        <v>0</v>
      </c>
    </row>
    <row r="4273">
      <c r="A4273" s="10">
        <f>Daily_Data!A4273</f>
        <v>42507</v>
      </c>
      <c r="B4273" s="11">
        <f>Daily_Data!J4273</f>
        <v>15.57</v>
      </c>
      <c r="C4273" s="11">
        <f>Daily_Data!I4273</f>
        <v>1.4</v>
      </c>
      <c r="D4273" s="12">
        <f>if(sum(Daily_Data!K4273:L4273)&gt;0,1,0)</f>
        <v>1</v>
      </c>
    </row>
    <row r="4274">
      <c r="A4274" s="10">
        <f>Daily_Data!A4274</f>
        <v>42508</v>
      </c>
      <c r="B4274" s="11">
        <f>Daily_Data!J4274</f>
        <v>15.95</v>
      </c>
      <c r="C4274" s="11">
        <f>Daily_Data!I4274</f>
        <v>1.34</v>
      </c>
      <c r="D4274" s="12">
        <f>if(sum(Daily_Data!K4274:L4274)&gt;0,1,0)</f>
        <v>0</v>
      </c>
    </row>
    <row r="4275">
      <c r="A4275" s="10">
        <f>Daily_Data!A4275</f>
        <v>42509</v>
      </c>
      <c r="B4275" s="11">
        <f>Daily_Data!J4275</f>
        <v>16.33</v>
      </c>
      <c r="C4275" s="11">
        <f>Daily_Data!I4275</f>
        <v>1.39</v>
      </c>
      <c r="D4275" s="12">
        <f>if(sum(Daily_Data!K4275:L4275)&gt;0,1,0)</f>
        <v>0</v>
      </c>
    </row>
    <row r="4276">
      <c r="A4276" s="10">
        <f>Daily_Data!A4276</f>
        <v>42510</v>
      </c>
      <c r="B4276" s="11">
        <f>Daily_Data!J4276</f>
        <v>15.2</v>
      </c>
      <c r="C4276" s="11">
        <f>Daily_Data!I4276</f>
        <v>1.4</v>
      </c>
      <c r="D4276" s="12">
        <f>if(sum(Daily_Data!K4276:L4276)&gt;0,1,0)</f>
        <v>0</v>
      </c>
    </row>
    <row r="4277">
      <c r="A4277" s="10">
        <f>Daily_Data!A4277</f>
        <v>42513</v>
      </c>
      <c r="B4277" s="11">
        <f>Daily_Data!J4277</f>
        <v>15.82</v>
      </c>
      <c r="C4277" s="11">
        <f>Daily_Data!I4277</f>
        <v>1.42</v>
      </c>
      <c r="D4277" s="12">
        <f>if(sum(Daily_Data!K4277:L4277)&gt;0,1,0)</f>
        <v>0</v>
      </c>
    </row>
    <row r="4278">
      <c r="A4278" s="10">
        <f>Daily_Data!A4278</f>
        <v>42514</v>
      </c>
      <c r="B4278" s="11">
        <f>Daily_Data!J4278</f>
        <v>14.42</v>
      </c>
      <c r="C4278" s="11">
        <f>Daily_Data!I4278</f>
        <v>1.38</v>
      </c>
      <c r="D4278" s="12">
        <f>if(sum(Daily_Data!K4278:L4278)&gt;0,1,0)</f>
        <v>0</v>
      </c>
    </row>
    <row r="4279">
      <c r="A4279" s="10">
        <f>Daily_Data!A4279</f>
        <v>42515</v>
      </c>
      <c r="B4279" s="11">
        <f>Daily_Data!J4279</f>
        <v>13.9</v>
      </c>
      <c r="C4279" s="11">
        <f>Daily_Data!I4279</f>
        <v>1.39</v>
      </c>
      <c r="D4279" s="12">
        <f>if(sum(Daily_Data!K4279:L4279)&gt;0,1,0)</f>
        <v>0</v>
      </c>
    </row>
    <row r="4280">
      <c r="A4280" s="10">
        <f>Daily_Data!A4280</f>
        <v>42516</v>
      </c>
      <c r="B4280" s="11">
        <f>Daily_Data!J4280</f>
        <v>13.43</v>
      </c>
      <c r="C4280" s="11">
        <f>Daily_Data!I4280</f>
        <v>1.4</v>
      </c>
      <c r="D4280" s="12">
        <f>if(sum(Daily_Data!K4280:L4280)&gt;0,1,0)</f>
        <v>0</v>
      </c>
    </row>
    <row r="4281">
      <c r="A4281" s="10">
        <f>Daily_Data!A4281</f>
        <v>42517</v>
      </c>
      <c r="B4281" s="11">
        <f>Daily_Data!J4281</f>
        <v>13.12</v>
      </c>
      <c r="C4281" s="11">
        <f>Daily_Data!I4281</f>
        <v>1.35</v>
      </c>
      <c r="D4281" s="12">
        <f>if(sum(Daily_Data!K4281:L4281)&gt;0,1,0)</f>
        <v>0</v>
      </c>
    </row>
    <row r="4282">
      <c r="A4282" s="10">
        <f>Daily_Data!A4282</f>
        <v>42520</v>
      </c>
      <c r="B4282" s="11" t="str">
        <f>Daily_Data!J4282</f>
        <v/>
      </c>
      <c r="C4282" s="11" t="str">
        <f>Daily_Data!I4282</f>
        <v/>
      </c>
      <c r="D4282" s="12">
        <f>if(sum(Daily_Data!K4282:L4282)&gt;0,1,0)</f>
        <v>0</v>
      </c>
    </row>
    <row r="4283">
      <c r="A4283" s="10">
        <f>Daily_Data!A4283</f>
        <v>42521</v>
      </c>
      <c r="B4283" s="11">
        <f>Daily_Data!J4283</f>
        <v>14.19</v>
      </c>
      <c r="C4283" s="11">
        <f>Daily_Data!I4283</f>
        <v>1.43</v>
      </c>
      <c r="D4283" s="12">
        <f>if(sum(Daily_Data!K4283:L4283)&gt;0,1,0)</f>
        <v>0</v>
      </c>
    </row>
    <row r="4284">
      <c r="A4284" s="10">
        <f>Daily_Data!A4284</f>
        <v>42522</v>
      </c>
      <c r="B4284" s="11">
        <f>Daily_Data!J4284</f>
        <v>14.2</v>
      </c>
      <c r="C4284" s="11">
        <f>Daily_Data!I4284</f>
        <v>1.39</v>
      </c>
      <c r="D4284" s="12">
        <f>if(sum(Daily_Data!K4284:L4284)&gt;0,1,0)</f>
        <v>0</v>
      </c>
    </row>
    <row r="4285">
      <c r="A4285" s="10">
        <f>Daily_Data!A4285</f>
        <v>42523</v>
      </c>
      <c r="B4285" s="11">
        <f>Daily_Data!J4285</f>
        <v>13.63</v>
      </c>
      <c r="C4285" s="11">
        <f>Daily_Data!I4285</f>
        <v>1.39</v>
      </c>
      <c r="D4285" s="12">
        <f>if(sum(Daily_Data!K4285:L4285)&gt;0,1,0)</f>
        <v>0</v>
      </c>
    </row>
    <row r="4286">
      <c r="A4286" s="10">
        <f>Daily_Data!A4286</f>
        <v>42524</v>
      </c>
      <c r="B4286" s="11">
        <f>Daily_Data!J4286</f>
        <v>13.47</v>
      </c>
      <c r="C4286" s="11">
        <f>Daily_Data!I4286</f>
        <v>1.5</v>
      </c>
      <c r="D4286" s="12">
        <f>if(sum(Daily_Data!K4286:L4286)&gt;0,1,0)</f>
        <v>1</v>
      </c>
    </row>
    <row r="4287">
      <c r="A4287" s="10">
        <f>Daily_Data!A4287</f>
        <v>42527</v>
      </c>
      <c r="B4287" s="11">
        <f>Daily_Data!J4287</f>
        <v>13.65</v>
      </c>
      <c r="C4287" s="11" t="str">
        <f>Daily_Data!I4287</f>
        <v/>
      </c>
      <c r="D4287" s="12">
        <f>if(sum(Daily_Data!K4287:L4287)&gt;0,1,0)</f>
        <v>0</v>
      </c>
    </row>
    <row r="4288">
      <c r="A4288" s="10">
        <f>Daily_Data!A4288</f>
        <v>42528</v>
      </c>
      <c r="B4288" s="11">
        <f>Daily_Data!J4288</f>
        <v>14.05</v>
      </c>
      <c r="C4288" s="11">
        <f>Daily_Data!I4288</f>
        <v>1.45</v>
      </c>
      <c r="D4288" s="12">
        <f>if(sum(Daily_Data!K4288:L4288)&gt;0,1,0)</f>
        <v>0</v>
      </c>
    </row>
    <row r="4289">
      <c r="A4289" s="10">
        <f>Daily_Data!A4289</f>
        <v>42529</v>
      </c>
      <c r="B4289" s="11">
        <f>Daily_Data!J4289</f>
        <v>14.08</v>
      </c>
      <c r="C4289" s="11">
        <f>Daily_Data!I4289</f>
        <v>1.5</v>
      </c>
      <c r="D4289" s="12">
        <f>if(sum(Daily_Data!K4289:L4289)&gt;0,1,0)</f>
        <v>0</v>
      </c>
    </row>
    <row r="4290">
      <c r="A4290" s="10">
        <f>Daily_Data!A4290</f>
        <v>42530</v>
      </c>
      <c r="B4290" s="11">
        <f>Daily_Data!J4290</f>
        <v>14.64</v>
      </c>
      <c r="C4290" s="11">
        <f>Daily_Data!I4290</f>
        <v>1.55</v>
      </c>
      <c r="D4290" s="12">
        <f>if(sum(Daily_Data!K4290:L4290)&gt;0,1,0)</f>
        <v>0</v>
      </c>
    </row>
    <row r="4291">
      <c r="A4291" s="10">
        <f>Daily_Data!A4291</f>
        <v>42531</v>
      </c>
      <c r="B4291" s="11">
        <f>Daily_Data!J4291</f>
        <v>17.03</v>
      </c>
      <c r="C4291" s="11">
        <f>Daily_Data!I4291</f>
        <v>1.58</v>
      </c>
      <c r="D4291" s="12">
        <f>if(sum(Daily_Data!K4291:L4291)&gt;0,1,0)</f>
        <v>0</v>
      </c>
    </row>
    <row r="4292">
      <c r="A4292" s="10">
        <f>Daily_Data!A4292</f>
        <v>42534</v>
      </c>
      <c r="B4292" s="11">
        <f>Daily_Data!J4292</f>
        <v>20.97</v>
      </c>
      <c r="C4292" s="11">
        <f>Daily_Data!I4292</f>
        <v>1.55</v>
      </c>
      <c r="D4292" s="12">
        <f>if(sum(Daily_Data!K4292:L4292)&gt;0,1,0)</f>
        <v>0</v>
      </c>
    </row>
    <row r="4293">
      <c r="A4293" s="10">
        <f>Daily_Data!A4293</f>
        <v>42535</v>
      </c>
      <c r="B4293" s="11">
        <f>Daily_Data!J4293</f>
        <v>20.5</v>
      </c>
      <c r="C4293" s="11">
        <f>Daily_Data!I4293</f>
        <v>1.51</v>
      </c>
      <c r="D4293" s="12">
        <f>if(sum(Daily_Data!K4293:L4293)&gt;0,1,0)</f>
        <v>0</v>
      </c>
    </row>
    <row r="4294">
      <c r="A4294" s="10">
        <f>Daily_Data!A4294</f>
        <v>42536</v>
      </c>
      <c r="B4294" s="11">
        <f>Daily_Data!J4294</f>
        <v>20.14</v>
      </c>
      <c r="C4294" s="11">
        <f>Daily_Data!I4294</f>
        <v>1.57</v>
      </c>
      <c r="D4294" s="12">
        <f>if(sum(Daily_Data!K4294:L4294)&gt;0,1,0)</f>
        <v>0</v>
      </c>
    </row>
    <row r="4295">
      <c r="A4295" s="10">
        <f>Daily_Data!A4295</f>
        <v>42537</v>
      </c>
      <c r="B4295" s="11">
        <f>Daily_Data!J4295</f>
        <v>19.37</v>
      </c>
      <c r="C4295" s="11">
        <f>Daily_Data!I4295</f>
        <v>1.55</v>
      </c>
      <c r="D4295" s="12">
        <f>if(sum(Daily_Data!K4295:L4295)&gt;0,1,0)</f>
        <v>1</v>
      </c>
    </row>
    <row r="4296">
      <c r="A4296" s="10">
        <f>Daily_Data!A4296</f>
        <v>42538</v>
      </c>
      <c r="B4296" s="11">
        <f>Daily_Data!J4296</f>
        <v>19.41</v>
      </c>
      <c r="C4296" s="11">
        <f>Daily_Data!I4296</f>
        <v>1.57</v>
      </c>
      <c r="D4296" s="12">
        <f>if(sum(Daily_Data!K4296:L4296)&gt;0,1,0)</f>
        <v>0</v>
      </c>
    </row>
    <row r="4297">
      <c r="A4297" s="10">
        <f>Daily_Data!A4297</f>
        <v>42541</v>
      </c>
      <c r="B4297" s="11">
        <f>Daily_Data!J4297</f>
        <v>18.37</v>
      </c>
      <c r="C4297" s="11">
        <f>Daily_Data!I4297</f>
        <v>1.54</v>
      </c>
      <c r="D4297" s="12">
        <f>if(sum(Daily_Data!K4297:L4297)&gt;0,1,0)</f>
        <v>0</v>
      </c>
    </row>
    <row r="4298">
      <c r="A4298" s="10">
        <f>Daily_Data!A4298</f>
        <v>42542</v>
      </c>
      <c r="B4298" s="11">
        <f>Daily_Data!J4298</f>
        <v>18.48</v>
      </c>
      <c r="C4298" s="11">
        <f>Daily_Data!I4298</f>
        <v>1.54</v>
      </c>
      <c r="D4298" s="12">
        <f>if(sum(Daily_Data!K4298:L4298)&gt;0,1,0)</f>
        <v>0</v>
      </c>
    </row>
    <row r="4299">
      <c r="A4299" s="10">
        <f>Daily_Data!A4299</f>
        <v>42543</v>
      </c>
      <c r="B4299" s="11">
        <f>Daily_Data!J4299</f>
        <v>21.17</v>
      </c>
      <c r="C4299" s="11">
        <f>Daily_Data!I4299</f>
        <v>1.57</v>
      </c>
      <c r="D4299" s="12">
        <f>if(sum(Daily_Data!K4299:L4299)&gt;0,1,0)</f>
        <v>0</v>
      </c>
    </row>
    <row r="4300">
      <c r="A4300" s="10">
        <f>Daily_Data!A4300</f>
        <v>42544</v>
      </c>
      <c r="B4300" s="11">
        <f>Daily_Data!J4300</f>
        <v>17.25</v>
      </c>
      <c r="C4300" s="11">
        <f>Daily_Data!I4300</f>
        <v>1.54</v>
      </c>
      <c r="D4300" s="12">
        <f>if(sum(Daily_Data!K4300:L4300)&gt;0,1,0)</f>
        <v>0</v>
      </c>
    </row>
    <row r="4301">
      <c r="A4301" s="10">
        <f>Daily_Data!A4301</f>
        <v>42545</v>
      </c>
      <c r="B4301" s="11">
        <f>Daily_Data!J4301</f>
        <v>25.76</v>
      </c>
      <c r="C4301" s="11">
        <f>Daily_Data!I4301</f>
        <v>1.54</v>
      </c>
      <c r="D4301" s="12">
        <f>if(sum(Daily_Data!K4301:L4301)&gt;0,1,0)</f>
        <v>0</v>
      </c>
    </row>
    <row r="4302">
      <c r="A4302" s="10">
        <f>Daily_Data!A4302</f>
        <v>42548</v>
      </c>
      <c r="B4302" s="11">
        <f>Daily_Data!J4302</f>
        <v>23.85</v>
      </c>
      <c r="C4302" s="11">
        <f>Daily_Data!I4302</f>
        <v>1.57</v>
      </c>
      <c r="D4302" s="12">
        <f>if(sum(Daily_Data!K4302:L4302)&gt;0,1,0)</f>
        <v>0</v>
      </c>
    </row>
    <row r="4303">
      <c r="A4303" s="10">
        <f>Daily_Data!A4303</f>
        <v>42549</v>
      </c>
      <c r="B4303" s="11">
        <f>Daily_Data!J4303</f>
        <v>18.75</v>
      </c>
      <c r="C4303" s="11">
        <f>Daily_Data!I4303</f>
        <v>1.58</v>
      </c>
      <c r="D4303" s="12">
        <f>if(sum(Daily_Data!K4303:L4303)&gt;0,1,0)</f>
        <v>0</v>
      </c>
    </row>
    <row r="4304">
      <c r="A4304" s="10">
        <f>Daily_Data!A4304</f>
        <v>42550</v>
      </c>
      <c r="B4304" s="11">
        <f>Daily_Data!J4304</f>
        <v>16.64</v>
      </c>
      <c r="C4304" s="11">
        <f>Daily_Data!I4304</f>
        <v>1.6</v>
      </c>
      <c r="D4304" s="12">
        <f>if(sum(Daily_Data!K4304:L4304)&gt;0,1,0)</f>
        <v>0</v>
      </c>
    </row>
    <row r="4305">
      <c r="A4305" s="10">
        <f>Daily_Data!A4305</f>
        <v>42551</v>
      </c>
      <c r="B4305" s="11">
        <f>Daily_Data!J4305</f>
        <v>15.63</v>
      </c>
      <c r="C4305" s="11">
        <f>Daily_Data!I4305</f>
        <v>1.65</v>
      </c>
      <c r="D4305" s="12">
        <f>if(sum(Daily_Data!K4305:L4305)&gt;0,1,0)</f>
        <v>0</v>
      </c>
    </row>
    <row r="4306">
      <c r="A4306" s="10">
        <f>Daily_Data!A4306</f>
        <v>42552</v>
      </c>
      <c r="B4306" s="11">
        <f>Daily_Data!J4306</f>
        <v>14.77</v>
      </c>
      <c r="C4306" s="11">
        <f>Daily_Data!I4306</f>
        <v>1.61</v>
      </c>
      <c r="D4306" s="12">
        <f>if(sum(Daily_Data!K4306:L4306)&gt;0,1,0)</f>
        <v>0</v>
      </c>
    </row>
    <row r="4307">
      <c r="A4307" s="10">
        <f>Daily_Data!A4307</f>
        <v>42555</v>
      </c>
      <c r="B4307" s="11" t="str">
        <f>Daily_Data!J4307</f>
        <v/>
      </c>
      <c r="C4307" s="11" t="str">
        <f>Daily_Data!I4307</f>
        <v/>
      </c>
      <c r="D4307" s="12">
        <f>if(sum(Daily_Data!K4307:L4307)&gt;0,1,0)</f>
        <v>0</v>
      </c>
    </row>
    <row r="4308">
      <c r="A4308" s="10">
        <f>Daily_Data!A4308</f>
        <v>42556</v>
      </c>
      <c r="B4308" s="11">
        <f>Daily_Data!J4308</f>
        <v>15.58</v>
      </c>
      <c r="C4308" s="11">
        <f>Daily_Data!I4308</f>
        <v>1.61</v>
      </c>
      <c r="D4308" s="12">
        <f>if(sum(Daily_Data!K4308:L4308)&gt;0,1,0)</f>
        <v>0</v>
      </c>
    </row>
    <row r="4309">
      <c r="A4309" s="10">
        <f>Daily_Data!A4309</f>
        <v>42557</v>
      </c>
      <c r="B4309" s="11">
        <f>Daily_Data!J4309</f>
        <v>14.96</v>
      </c>
      <c r="C4309" s="11">
        <f>Daily_Data!I4309</f>
        <v>1.57</v>
      </c>
      <c r="D4309" s="12">
        <f>if(sum(Daily_Data!K4309:L4309)&gt;0,1,0)</f>
        <v>0</v>
      </c>
    </row>
    <row r="4310">
      <c r="A4310" s="10">
        <f>Daily_Data!A4310</f>
        <v>42558</v>
      </c>
      <c r="B4310" s="11">
        <f>Daily_Data!J4310</f>
        <v>14.76</v>
      </c>
      <c r="C4310" s="11">
        <f>Daily_Data!I4310</f>
        <v>1.6</v>
      </c>
      <c r="D4310" s="12">
        <f>if(sum(Daily_Data!K4310:L4310)&gt;0,1,0)</f>
        <v>0</v>
      </c>
    </row>
    <row r="4311">
      <c r="A4311" s="10">
        <f>Daily_Data!A4311</f>
        <v>42559</v>
      </c>
      <c r="B4311" s="11">
        <f>Daily_Data!J4311</f>
        <v>13.2</v>
      </c>
      <c r="C4311" s="11">
        <f>Daily_Data!I4311</f>
        <v>1.62</v>
      </c>
      <c r="D4311" s="12">
        <f>if(sum(Daily_Data!K4311:L4311)&gt;0,1,0)</f>
        <v>1</v>
      </c>
    </row>
    <row r="4312">
      <c r="A4312" s="10">
        <f>Daily_Data!A4312</f>
        <v>42562</v>
      </c>
      <c r="B4312" s="11">
        <f>Daily_Data!J4312</f>
        <v>13.54</v>
      </c>
      <c r="C4312" s="11">
        <f>Daily_Data!I4312</f>
        <v>1.56</v>
      </c>
      <c r="D4312" s="12">
        <f>if(sum(Daily_Data!K4312:L4312)&gt;0,1,0)</f>
        <v>0</v>
      </c>
    </row>
    <row r="4313">
      <c r="A4313" s="10">
        <f>Daily_Data!A4313</f>
        <v>42563</v>
      </c>
      <c r="B4313" s="11">
        <f>Daily_Data!J4313</f>
        <v>13.55</v>
      </c>
      <c r="C4313" s="11">
        <f>Daily_Data!I4313</f>
        <v>1.54</v>
      </c>
      <c r="D4313" s="12">
        <f>if(sum(Daily_Data!K4313:L4313)&gt;0,1,0)</f>
        <v>0</v>
      </c>
    </row>
    <row r="4314">
      <c r="A4314" s="10">
        <f>Daily_Data!A4314</f>
        <v>42564</v>
      </c>
      <c r="B4314" s="11">
        <f>Daily_Data!J4314</f>
        <v>13.04</v>
      </c>
      <c r="C4314" s="11">
        <f>Daily_Data!I4314</f>
        <v>1.55</v>
      </c>
      <c r="D4314" s="12">
        <f>if(sum(Daily_Data!K4314:L4314)&gt;0,1,0)</f>
        <v>0</v>
      </c>
    </row>
    <row r="4315">
      <c r="A4315" s="10">
        <f>Daily_Data!A4315</f>
        <v>42565</v>
      </c>
      <c r="B4315" s="11">
        <f>Daily_Data!J4315</f>
        <v>12.82</v>
      </c>
      <c r="C4315" s="11">
        <f>Daily_Data!I4315</f>
        <v>1.51</v>
      </c>
      <c r="D4315" s="12">
        <f>if(sum(Daily_Data!K4315:L4315)&gt;0,1,0)</f>
        <v>0</v>
      </c>
    </row>
    <row r="4316">
      <c r="A4316" s="10">
        <f>Daily_Data!A4316</f>
        <v>42566</v>
      </c>
      <c r="B4316" s="11">
        <f>Daily_Data!J4316</f>
        <v>12.67</v>
      </c>
      <c r="C4316" s="11">
        <f>Daily_Data!I4316</f>
        <v>1.48</v>
      </c>
      <c r="D4316" s="12">
        <f>if(sum(Daily_Data!K4316:L4316)&gt;0,1,0)</f>
        <v>1</v>
      </c>
    </row>
    <row r="4317">
      <c r="A4317" s="10">
        <f>Daily_Data!A4317</f>
        <v>42569</v>
      </c>
      <c r="B4317" s="11">
        <f>Daily_Data!J4317</f>
        <v>12.44</v>
      </c>
      <c r="C4317" s="11">
        <f>Daily_Data!I4317</f>
        <v>1.47</v>
      </c>
      <c r="D4317" s="12">
        <f>if(sum(Daily_Data!K4317:L4317)&gt;0,1,0)</f>
        <v>0</v>
      </c>
    </row>
    <row r="4318">
      <c r="A4318" s="10">
        <f>Daily_Data!A4318</f>
        <v>42570</v>
      </c>
      <c r="B4318" s="11">
        <f>Daily_Data!J4318</f>
        <v>11.97</v>
      </c>
      <c r="C4318" s="11">
        <f>Daily_Data!I4318</f>
        <v>1.39</v>
      </c>
      <c r="D4318" s="12">
        <f>if(sum(Daily_Data!K4318:L4318)&gt;0,1,0)</f>
        <v>0</v>
      </c>
    </row>
    <row r="4319">
      <c r="A4319" s="10">
        <f>Daily_Data!A4319</f>
        <v>42571</v>
      </c>
      <c r="B4319" s="11">
        <f>Daily_Data!J4319</f>
        <v>11.77</v>
      </c>
      <c r="C4319" s="11">
        <f>Daily_Data!I4319</f>
        <v>1.38</v>
      </c>
      <c r="D4319" s="12">
        <f>if(sum(Daily_Data!K4319:L4319)&gt;0,1,0)</f>
        <v>0</v>
      </c>
    </row>
    <row r="4320">
      <c r="A4320" s="10">
        <f>Daily_Data!A4320</f>
        <v>42572</v>
      </c>
      <c r="B4320" s="11">
        <f>Daily_Data!J4320</f>
        <v>12.74</v>
      </c>
      <c r="C4320" s="11">
        <f>Daily_Data!I4320</f>
        <v>1.35</v>
      </c>
      <c r="D4320" s="12">
        <f>if(sum(Daily_Data!K4320:L4320)&gt;0,1,0)</f>
        <v>0</v>
      </c>
    </row>
    <row r="4321">
      <c r="A4321" s="10">
        <f>Daily_Data!A4321</f>
        <v>42573</v>
      </c>
      <c r="B4321" s="11">
        <f>Daily_Data!J4321</f>
        <v>12.02</v>
      </c>
      <c r="C4321" s="11">
        <f>Daily_Data!I4321</f>
        <v>1.33</v>
      </c>
      <c r="D4321" s="12">
        <f>if(sum(Daily_Data!K4321:L4321)&gt;0,1,0)</f>
        <v>0</v>
      </c>
    </row>
    <row r="4322">
      <c r="A4322" s="10">
        <f>Daily_Data!A4322</f>
        <v>42576</v>
      </c>
      <c r="B4322" s="11">
        <f>Daily_Data!J4322</f>
        <v>12.87</v>
      </c>
      <c r="C4322" s="11">
        <f>Daily_Data!I4322</f>
        <v>1.33</v>
      </c>
      <c r="D4322" s="12">
        <f>if(sum(Daily_Data!K4322:L4322)&gt;0,1,0)</f>
        <v>0</v>
      </c>
    </row>
    <row r="4323">
      <c r="A4323" s="10">
        <f>Daily_Data!A4323</f>
        <v>42577</v>
      </c>
      <c r="B4323" s="11">
        <f>Daily_Data!J4323</f>
        <v>13.05</v>
      </c>
      <c r="C4323" s="11">
        <f>Daily_Data!I4323</f>
        <v>1.29</v>
      </c>
      <c r="D4323" s="12">
        <f>if(sum(Daily_Data!K4323:L4323)&gt;0,1,0)</f>
        <v>0</v>
      </c>
    </row>
    <row r="4324">
      <c r="A4324" s="10">
        <f>Daily_Data!A4324</f>
        <v>42578</v>
      </c>
      <c r="B4324" s="11">
        <f>Daily_Data!J4324</f>
        <v>12.83</v>
      </c>
      <c r="C4324" s="11">
        <f>Daily_Data!I4324</f>
        <v>1.34</v>
      </c>
      <c r="D4324" s="12">
        <f>if(sum(Daily_Data!K4324:L4324)&gt;0,1,0)</f>
        <v>0</v>
      </c>
    </row>
    <row r="4325">
      <c r="A4325" s="10">
        <f>Daily_Data!A4325</f>
        <v>42579</v>
      </c>
      <c r="B4325" s="11">
        <f>Daily_Data!J4325</f>
        <v>12.72</v>
      </c>
      <c r="C4325" s="11">
        <f>Daily_Data!I4325</f>
        <v>1.33</v>
      </c>
      <c r="D4325" s="12">
        <f>if(sum(Daily_Data!K4325:L4325)&gt;0,1,0)</f>
        <v>0</v>
      </c>
    </row>
    <row r="4326">
      <c r="A4326" s="10">
        <f>Daily_Data!A4326</f>
        <v>42580</v>
      </c>
      <c r="B4326" s="11">
        <f>Daily_Data!J4326</f>
        <v>11.87</v>
      </c>
      <c r="C4326" s="11">
        <f>Daily_Data!I4326</f>
        <v>1.37</v>
      </c>
      <c r="D4326" s="12">
        <f>if(sum(Daily_Data!K4326:L4326)&gt;0,1,0)</f>
        <v>0</v>
      </c>
    </row>
    <row r="4327">
      <c r="A4327" s="10">
        <f>Daily_Data!A4327</f>
        <v>42583</v>
      </c>
      <c r="B4327" s="11">
        <f>Daily_Data!J4327</f>
        <v>12.44</v>
      </c>
      <c r="C4327" s="11">
        <f>Daily_Data!I4327</f>
        <v>1.35</v>
      </c>
      <c r="D4327" s="12">
        <f>if(sum(Daily_Data!K4327:L4327)&gt;0,1,0)</f>
        <v>0</v>
      </c>
    </row>
    <row r="4328">
      <c r="A4328" s="10">
        <f>Daily_Data!A4328</f>
        <v>42584</v>
      </c>
      <c r="B4328" s="11">
        <f>Daily_Data!J4328</f>
        <v>13.37</v>
      </c>
      <c r="C4328" s="11">
        <f>Daily_Data!I4328</f>
        <v>1.36</v>
      </c>
      <c r="D4328" s="12">
        <f>if(sum(Daily_Data!K4328:L4328)&gt;0,1,0)</f>
        <v>0</v>
      </c>
    </row>
    <row r="4329">
      <c r="A4329" s="10">
        <f>Daily_Data!A4329</f>
        <v>42585</v>
      </c>
      <c r="B4329" s="11">
        <f>Daily_Data!J4329</f>
        <v>12.86</v>
      </c>
      <c r="C4329" s="11">
        <f>Daily_Data!I4329</f>
        <v>1.35</v>
      </c>
      <c r="D4329" s="12">
        <f>if(sum(Daily_Data!K4329:L4329)&gt;0,1,0)</f>
        <v>0</v>
      </c>
    </row>
    <row r="4330">
      <c r="A4330" s="10">
        <f>Daily_Data!A4330</f>
        <v>42586</v>
      </c>
      <c r="B4330" s="11">
        <f>Daily_Data!J4330</f>
        <v>12.42</v>
      </c>
      <c r="C4330" s="11">
        <f>Daily_Data!I4330</f>
        <v>1.36</v>
      </c>
      <c r="D4330" s="12">
        <f>if(sum(Daily_Data!K4330:L4330)&gt;0,1,0)</f>
        <v>0</v>
      </c>
    </row>
    <row r="4331">
      <c r="A4331" s="10">
        <f>Daily_Data!A4331</f>
        <v>42587</v>
      </c>
      <c r="B4331" s="11">
        <f>Daily_Data!J4331</f>
        <v>11.39</v>
      </c>
      <c r="C4331" s="11">
        <f>Daily_Data!I4331</f>
        <v>1.27</v>
      </c>
      <c r="D4331" s="12">
        <f>if(sum(Daily_Data!K4331:L4331)&gt;0,1,0)</f>
        <v>1</v>
      </c>
    </row>
    <row r="4332">
      <c r="A4332" s="10">
        <f>Daily_Data!A4332</f>
        <v>42590</v>
      </c>
      <c r="B4332" s="11">
        <f>Daily_Data!J4332</f>
        <v>11.5</v>
      </c>
      <c r="C4332" s="11">
        <f>Daily_Data!I4332</f>
        <v>1.26</v>
      </c>
      <c r="D4332" s="12">
        <f>if(sum(Daily_Data!K4332:L4332)&gt;0,1,0)</f>
        <v>0</v>
      </c>
    </row>
    <row r="4333">
      <c r="A4333" s="10">
        <f>Daily_Data!A4333</f>
        <v>42591</v>
      </c>
      <c r="B4333" s="11">
        <f>Daily_Data!J4333</f>
        <v>11.66</v>
      </c>
      <c r="C4333" s="11">
        <f>Daily_Data!I4333</f>
        <v>1.24</v>
      </c>
      <c r="D4333" s="12">
        <f>if(sum(Daily_Data!K4333:L4333)&gt;0,1,0)</f>
        <v>0</v>
      </c>
    </row>
    <row r="4334">
      <c r="A4334" s="10">
        <f>Daily_Data!A4334</f>
        <v>42592</v>
      </c>
      <c r="B4334" s="11">
        <f>Daily_Data!J4334</f>
        <v>12.05</v>
      </c>
      <c r="C4334" s="11">
        <f>Daily_Data!I4334</f>
        <v>1.26</v>
      </c>
      <c r="D4334" s="12">
        <f>if(sum(Daily_Data!K4334:L4334)&gt;0,1,0)</f>
        <v>0</v>
      </c>
    </row>
    <row r="4335">
      <c r="A4335" s="10">
        <f>Daily_Data!A4335</f>
        <v>42593</v>
      </c>
      <c r="B4335" s="11">
        <f>Daily_Data!J4335</f>
        <v>11.68</v>
      </c>
      <c r="C4335" s="11">
        <f>Daily_Data!I4335</f>
        <v>1.21</v>
      </c>
      <c r="D4335" s="12">
        <f>if(sum(Daily_Data!K4335:L4335)&gt;0,1,0)</f>
        <v>0</v>
      </c>
    </row>
    <row r="4336">
      <c r="A4336" s="10">
        <f>Daily_Data!A4336</f>
        <v>42594</v>
      </c>
      <c r="B4336" s="11">
        <f>Daily_Data!J4336</f>
        <v>11.55</v>
      </c>
      <c r="C4336" s="11">
        <f>Daily_Data!I4336</f>
        <v>1.25</v>
      </c>
      <c r="D4336" s="12">
        <f>if(sum(Daily_Data!K4336:L4336)&gt;0,1,0)</f>
        <v>0</v>
      </c>
    </row>
    <row r="4337">
      <c r="A4337" s="10">
        <f>Daily_Data!A4337</f>
        <v>42597</v>
      </c>
      <c r="B4337" s="11">
        <f>Daily_Data!J4337</f>
        <v>11.81</v>
      </c>
      <c r="C4337" s="11">
        <f>Daily_Data!I4337</f>
        <v>1.22</v>
      </c>
      <c r="D4337" s="12">
        <f>if(sum(Daily_Data!K4337:L4337)&gt;0,1,0)</f>
        <v>0</v>
      </c>
    </row>
    <row r="4338">
      <c r="A4338" s="10">
        <f>Daily_Data!A4338</f>
        <v>42598</v>
      </c>
      <c r="B4338" s="11">
        <f>Daily_Data!J4338</f>
        <v>12.64</v>
      </c>
      <c r="C4338" s="11">
        <f>Daily_Data!I4338</f>
        <v>1.19</v>
      </c>
      <c r="D4338" s="12">
        <f>if(sum(Daily_Data!K4338:L4338)&gt;0,1,0)</f>
        <v>1</v>
      </c>
    </row>
    <row r="4339">
      <c r="A4339" s="10">
        <f>Daily_Data!A4339</f>
        <v>42599</v>
      </c>
      <c r="B4339" s="11">
        <f>Daily_Data!J4339</f>
        <v>12.19</v>
      </c>
      <c r="C4339" s="11">
        <f>Daily_Data!I4339</f>
        <v>1.22</v>
      </c>
      <c r="D4339" s="12">
        <f>if(sum(Daily_Data!K4339:L4339)&gt;0,1,0)</f>
        <v>0</v>
      </c>
    </row>
    <row r="4340">
      <c r="A4340" s="10">
        <f>Daily_Data!A4340</f>
        <v>42600</v>
      </c>
      <c r="B4340" s="11">
        <f>Daily_Data!J4340</f>
        <v>11.43</v>
      </c>
      <c r="C4340" s="11">
        <f>Daily_Data!I4340</f>
        <v>1.23</v>
      </c>
      <c r="D4340" s="12">
        <f>if(sum(Daily_Data!K4340:L4340)&gt;0,1,0)</f>
        <v>0</v>
      </c>
    </row>
    <row r="4341">
      <c r="A4341" s="10">
        <f>Daily_Data!A4341</f>
        <v>42601</v>
      </c>
      <c r="B4341" s="11">
        <f>Daily_Data!J4341</f>
        <v>11.34</v>
      </c>
      <c r="C4341" s="11">
        <f>Daily_Data!I4341</f>
        <v>1.21</v>
      </c>
      <c r="D4341" s="12">
        <f>if(sum(Daily_Data!K4341:L4341)&gt;0,1,0)</f>
        <v>0</v>
      </c>
    </row>
    <row r="4342">
      <c r="A4342" s="10">
        <f>Daily_Data!A4342</f>
        <v>42604</v>
      </c>
      <c r="B4342" s="11">
        <f>Daily_Data!J4342</f>
        <v>12.27</v>
      </c>
      <c r="C4342" s="11">
        <f>Daily_Data!I4342</f>
        <v>1.24</v>
      </c>
      <c r="D4342" s="12">
        <f>if(sum(Daily_Data!K4342:L4342)&gt;0,1,0)</f>
        <v>0</v>
      </c>
    </row>
    <row r="4343">
      <c r="A4343" s="10">
        <f>Daily_Data!A4343</f>
        <v>42605</v>
      </c>
      <c r="B4343" s="11">
        <f>Daily_Data!J4343</f>
        <v>12.38</v>
      </c>
      <c r="C4343" s="11">
        <f>Daily_Data!I4343</f>
        <v>1.24</v>
      </c>
      <c r="D4343" s="12">
        <f>if(sum(Daily_Data!K4343:L4343)&gt;0,1,0)</f>
        <v>0</v>
      </c>
    </row>
    <row r="4344">
      <c r="A4344" s="10">
        <f>Daily_Data!A4344</f>
        <v>42606</v>
      </c>
      <c r="B4344" s="11">
        <f>Daily_Data!J4344</f>
        <v>13.45</v>
      </c>
      <c r="C4344" s="11">
        <f>Daily_Data!I4344</f>
        <v>1.22</v>
      </c>
      <c r="D4344" s="12">
        <f>if(sum(Daily_Data!K4344:L4344)&gt;0,1,0)</f>
        <v>0</v>
      </c>
    </row>
    <row r="4345">
      <c r="A4345" s="10">
        <f>Daily_Data!A4345</f>
        <v>42607</v>
      </c>
      <c r="B4345" s="11">
        <f>Daily_Data!J4345</f>
        <v>13.63</v>
      </c>
      <c r="C4345" s="11">
        <f>Daily_Data!I4345</f>
        <v>1.18</v>
      </c>
      <c r="D4345" s="12">
        <f>if(sum(Daily_Data!K4345:L4345)&gt;0,1,0)</f>
        <v>0</v>
      </c>
    </row>
    <row r="4346">
      <c r="A4346" s="10">
        <f>Daily_Data!A4346</f>
        <v>42608</v>
      </c>
      <c r="B4346" s="11">
        <f>Daily_Data!J4346</f>
        <v>13.65</v>
      </c>
      <c r="C4346" s="11">
        <f>Daily_Data!I4346</f>
        <v>1.12</v>
      </c>
      <c r="D4346" s="12">
        <f>if(sum(Daily_Data!K4346:L4346)&gt;0,1,0)</f>
        <v>0</v>
      </c>
    </row>
    <row r="4347">
      <c r="A4347" s="10">
        <f>Daily_Data!A4347</f>
        <v>42611</v>
      </c>
      <c r="B4347" s="11">
        <f>Daily_Data!J4347</f>
        <v>12.94</v>
      </c>
      <c r="C4347" s="11">
        <f>Daily_Data!I4347</f>
        <v>1.16</v>
      </c>
      <c r="D4347" s="12">
        <f>if(sum(Daily_Data!K4347:L4347)&gt;0,1,0)</f>
        <v>0</v>
      </c>
    </row>
    <row r="4348">
      <c r="A4348" s="10">
        <f>Daily_Data!A4348</f>
        <v>42612</v>
      </c>
      <c r="B4348" s="11">
        <f>Daily_Data!J4348</f>
        <v>13.12</v>
      </c>
      <c r="C4348" s="11">
        <f>Daily_Data!I4348</f>
        <v>1.17</v>
      </c>
      <c r="D4348" s="12">
        <f>if(sum(Daily_Data!K4348:L4348)&gt;0,1,0)</f>
        <v>0</v>
      </c>
    </row>
    <row r="4349">
      <c r="A4349" s="10">
        <f>Daily_Data!A4349</f>
        <v>42613</v>
      </c>
      <c r="B4349" s="11">
        <f>Daily_Data!J4349</f>
        <v>13.42</v>
      </c>
      <c r="C4349" s="11">
        <f>Daily_Data!I4349</f>
        <v>1.19</v>
      </c>
      <c r="D4349" s="12">
        <f>if(sum(Daily_Data!K4349:L4349)&gt;0,1,0)</f>
        <v>0</v>
      </c>
    </row>
    <row r="4350">
      <c r="A4350" s="10">
        <f>Daily_Data!A4350</f>
        <v>42614</v>
      </c>
      <c r="B4350" s="11">
        <f>Daily_Data!J4350</f>
        <v>13.48</v>
      </c>
      <c r="C4350" s="11">
        <f>Daily_Data!I4350</f>
        <v>1.22</v>
      </c>
      <c r="D4350" s="12">
        <f>if(sum(Daily_Data!K4350:L4350)&gt;0,1,0)</f>
        <v>0</v>
      </c>
    </row>
    <row r="4351">
      <c r="A4351" s="10">
        <f>Daily_Data!A4351</f>
        <v>42615</v>
      </c>
      <c r="B4351" s="11">
        <f>Daily_Data!J4351</f>
        <v>11.98</v>
      </c>
      <c r="C4351" s="11">
        <f>Daily_Data!I4351</f>
        <v>1.2</v>
      </c>
      <c r="D4351" s="12">
        <f>if(sum(Daily_Data!K4351:L4351)&gt;0,1,0)</f>
        <v>1</v>
      </c>
    </row>
    <row r="4352">
      <c r="A4352" s="10">
        <f>Daily_Data!A4352</f>
        <v>42618</v>
      </c>
      <c r="B4352" s="11" t="str">
        <f>Daily_Data!J4352</f>
        <v/>
      </c>
      <c r="C4352" s="11" t="str">
        <f>Daily_Data!I4352</f>
        <v/>
      </c>
      <c r="D4352" s="12">
        <f>if(sum(Daily_Data!K4352:L4352)&gt;0,1,0)</f>
        <v>0</v>
      </c>
    </row>
    <row r="4353">
      <c r="A4353" s="10">
        <f>Daily_Data!A4353</f>
        <v>42619</v>
      </c>
      <c r="B4353" s="11">
        <f>Daily_Data!J4353</f>
        <v>12.02</v>
      </c>
      <c r="C4353" s="11">
        <f>Daily_Data!I4353</f>
        <v>1.27</v>
      </c>
      <c r="D4353" s="12">
        <f>if(sum(Daily_Data!K4353:L4353)&gt;0,1,0)</f>
        <v>0</v>
      </c>
    </row>
    <row r="4354">
      <c r="A4354" s="10">
        <f>Daily_Data!A4354</f>
        <v>42620</v>
      </c>
      <c r="B4354" s="11">
        <f>Daily_Data!J4354</f>
        <v>11.94</v>
      </c>
      <c r="C4354" s="11">
        <f>Daily_Data!I4354</f>
        <v>1.24</v>
      </c>
      <c r="D4354" s="12">
        <f>if(sum(Daily_Data!K4354:L4354)&gt;0,1,0)</f>
        <v>0</v>
      </c>
    </row>
    <row r="4355">
      <c r="A4355" s="10">
        <f>Daily_Data!A4355</f>
        <v>42621</v>
      </c>
      <c r="B4355" s="11">
        <f>Daily_Data!J4355</f>
        <v>12.51</v>
      </c>
      <c r="C4355" s="11">
        <f>Daily_Data!I4355</f>
        <v>1.21</v>
      </c>
      <c r="D4355" s="12">
        <f>if(sum(Daily_Data!K4355:L4355)&gt;0,1,0)</f>
        <v>0</v>
      </c>
    </row>
    <row r="4356">
      <c r="A4356" s="10">
        <f>Daily_Data!A4356</f>
        <v>42622</v>
      </c>
      <c r="B4356" s="11">
        <f>Daily_Data!J4356</f>
        <v>17.5</v>
      </c>
      <c r="C4356" s="11">
        <f>Daily_Data!I4356</f>
        <v>1.22</v>
      </c>
      <c r="D4356" s="12">
        <f>if(sum(Daily_Data!K4356:L4356)&gt;0,1,0)</f>
        <v>0</v>
      </c>
    </row>
    <row r="4357">
      <c r="A4357" s="10">
        <f>Daily_Data!A4357</f>
        <v>42625</v>
      </c>
      <c r="B4357" s="11">
        <f>Daily_Data!J4357</f>
        <v>15.16</v>
      </c>
      <c r="C4357" s="11">
        <f>Daily_Data!I4357</f>
        <v>1.25</v>
      </c>
      <c r="D4357" s="12">
        <f>if(sum(Daily_Data!K4357:L4357)&gt;0,1,0)</f>
        <v>0</v>
      </c>
    </row>
    <row r="4358">
      <c r="A4358" s="10">
        <f>Daily_Data!A4358</f>
        <v>42626</v>
      </c>
      <c r="B4358" s="11">
        <f>Daily_Data!J4358</f>
        <v>17.85</v>
      </c>
      <c r="C4358" s="11">
        <f>Daily_Data!I4358</f>
        <v>1.26</v>
      </c>
      <c r="D4358" s="12">
        <f>if(sum(Daily_Data!K4358:L4358)&gt;0,1,0)</f>
        <v>0</v>
      </c>
    </row>
    <row r="4359">
      <c r="A4359" s="10">
        <f>Daily_Data!A4359</f>
        <v>42627</v>
      </c>
      <c r="B4359" s="11">
        <f>Daily_Data!J4359</f>
        <v>18.14</v>
      </c>
      <c r="C4359" s="11">
        <f>Daily_Data!I4359</f>
        <v>1.29</v>
      </c>
      <c r="D4359" s="12">
        <f>if(sum(Daily_Data!K4359:L4359)&gt;0,1,0)</f>
        <v>0</v>
      </c>
    </row>
    <row r="4360">
      <c r="A4360" s="10">
        <f>Daily_Data!A4360</f>
        <v>42628</v>
      </c>
      <c r="B4360" s="11">
        <f>Daily_Data!J4360</f>
        <v>16.3</v>
      </c>
      <c r="C4360" s="11">
        <f>Daily_Data!I4360</f>
        <v>1.33</v>
      </c>
      <c r="D4360" s="12">
        <f>if(sum(Daily_Data!K4360:L4360)&gt;0,1,0)</f>
        <v>0</v>
      </c>
    </row>
    <row r="4361">
      <c r="A4361" s="10">
        <f>Daily_Data!A4361</f>
        <v>42629</v>
      </c>
      <c r="B4361" s="11">
        <f>Daily_Data!J4361</f>
        <v>15.37</v>
      </c>
      <c r="C4361" s="11">
        <f>Daily_Data!I4361</f>
        <v>1.31</v>
      </c>
      <c r="D4361" s="12">
        <f>if(sum(Daily_Data!K4361:L4361)&gt;0,1,0)</f>
        <v>1</v>
      </c>
    </row>
    <row r="4362">
      <c r="A4362" s="10">
        <f>Daily_Data!A4362</f>
        <v>42632</v>
      </c>
      <c r="B4362" s="11">
        <f>Daily_Data!J4362</f>
        <v>15.53</v>
      </c>
      <c r="C4362" s="11">
        <f>Daily_Data!I4362</f>
        <v>1.3</v>
      </c>
      <c r="D4362" s="12">
        <f>if(sum(Daily_Data!K4362:L4362)&gt;0,1,0)</f>
        <v>0</v>
      </c>
    </row>
    <row r="4363">
      <c r="A4363" s="10">
        <f>Daily_Data!A4363</f>
        <v>42633</v>
      </c>
      <c r="B4363" s="11">
        <f>Daily_Data!J4363</f>
        <v>15.92</v>
      </c>
      <c r="C4363" s="11">
        <f>Daily_Data!I4363</f>
        <v>1.32</v>
      </c>
      <c r="D4363" s="12">
        <f>if(sum(Daily_Data!K4363:L4363)&gt;0,1,0)</f>
        <v>0</v>
      </c>
    </row>
    <row r="4364">
      <c r="A4364" s="10">
        <f>Daily_Data!A4364</f>
        <v>42634</v>
      </c>
      <c r="B4364" s="11">
        <f>Daily_Data!J4364</f>
        <v>13.3</v>
      </c>
      <c r="C4364" s="11">
        <f>Daily_Data!I4364</f>
        <v>1.31</v>
      </c>
      <c r="D4364" s="12">
        <f>if(sum(Daily_Data!K4364:L4364)&gt;0,1,0)</f>
        <v>0</v>
      </c>
    </row>
    <row r="4365">
      <c r="A4365" s="10">
        <f>Daily_Data!A4365</f>
        <v>42635</v>
      </c>
      <c r="B4365" s="11">
        <f>Daily_Data!J4365</f>
        <v>12.02</v>
      </c>
      <c r="C4365" s="11">
        <f>Daily_Data!I4365</f>
        <v>1.24</v>
      </c>
      <c r="D4365" s="12">
        <f>if(sum(Daily_Data!K4365:L4365)&gt;0,1,0)</f>
        <v>0</v>
      </c>
    </row>
    <row r="4366">
      <c r="A4366" s="10">
        <f>Daily_Data!A4366</f>
        <v>42636</v>
      </c>
      <c r="B4366" s="11">
        <f>Daily_Data!J4366</f>
        <v>12.29</v>
      </c>
      <c r="C4366" s="11">
        <f>Daily_Data!I4366</f>
        <v>1.25</v>
      </c>
      <c r="D4366" s="12">
        <f>if(sum(Daily_Data!K4366:L4366)&gt;0,1,0)</f>
        <v>0</v>
      </c>
    </row>
    <row r="4367">
      <c r="A4367" s="10">
        <f>Daily_Data!A4367</f>
        <v>42639</v>
      </c>
      <c r="B4367" s="11">
        <f>Daily_Data!J4367</f>
        <v>14.5</v>
      </c>
      <c r="C4367" s="11">
        <f>Daily_Data!I4367</f>
        <v>1.25</v>
      </c>
      <c r="D4367" s="12">
        <f>if(sum(Daily_Data!K4367:L4367)&gt;0,1,0)</f>
        <v>0</v>
      </c>
    </row>
    <row r="4368">
      <c r="A4368" s="10">
        <f>Daily_Data!A4368</f>
        <v>42640</v>
      </c>
      <c r="B4368" s="11">
        <f>Daily_Data!J4368</f>
        <v>13.1</v>
      </c>
      <c r="C4368" s="11">
        <f>Daily_Data!I4368</f>
        <v>1.26</v>
      </c>
      <c r="D4368" s="12">
        <f>if(sum(Daily_Data!K4368:L4368)&gt;0,1,0)</f>
        <v>0</v>
      </c>
    </row>
    <row r="4369">
      <c r="A4369" s="10">
        <f>Daily_Data!A4369</f>
        <v>42641</v>
      </c>
      <c r="B4369" s="11">
        <f>Daily_Data!J4369</f>
        <v>12.39</v>
      </c>
      <c r="C4369" s="11">
        <f>Daily_Data!I4369</f>
        <v>1.26</v>
      </c>
      <c r="D4369" s="12">
        <f>if(sum(Daily_Data!K4369:L4369)&gt;0,1,0)</f>
        <v>0</v>
      </c>
    </row>
    <row r="4370">
      <c r="A4370" s="10">
        <f>Daily_Data!A4370</f>
        <v>42642</v>
      </c>
      <c r="B4370" s="11">
        <f>Daily_Data!J4370</f>
        <v>14.02</v>
      </c>
      <c r="C4370" s="11">
        <f>Daily_Data!I4370</f>
        <v>1.29</v>
      </c>
      <c r="D4370" s="12">
        <f>if(sum(Daily_Data!K4370:L4370)&gt;0,1,0)</f>
        <v>0</v>
      </c>
    </row>
    <row r="4371">
      <c r="A4371" s="10">
        <f>Daily_Data!A4371</f>
        <v>42643</v>
      </c>
      <c r="B4371" s="11">
        <f>Daily_Data!J4371</f>
        <v>13.29</v>
      </c>
      <c r="C4371" s="11">
        <f>Daily_Data!I4371</f>
        <v>1.22</v>
      </c>
      <c r="D4371" s="12">
        <f>if(sum(Daily_Data!K4371:L4371)&gt;0,1,0)</f>
        <v>0</v>
      </c>
    </row>
    <row r="4372">
      <c r="A4372" s="10">
        <f>Daily_Data!A4372</f>
        <v>42646</v>
      </c>
      <c r="B4372" s="11">
        <f>Daily_Data!J4372</f>
        <v>13.57</v>
      </c>
      <c r="C4372" s="11">
        <f>Daily_Data!I4372</f>
        <v>1.21</v>
      </c>
      <c r="D4372" s="12">
        <f>if(sum(Daily_Data!K4372:L4372)&gt;0,1,0)</f>
        <v>0</v>
      </c>
    </row>
    <row r="4373">
      <c r="A4373" s="10">
        <f>Daily_Data!A4373</f>
        <v>42647</v>
      </c>
      <c r="B4373" s="11">
        <f>Daily_Data!J4373</f>
        <v>13.63</v>
      </c>
      <c r="C4373" s="11">
        <f>Daily_Data!I4373</f>
        <v>1.22</v>
      </c>
      <c r="D4373" s="12">
        <f>if(sum(Daily_Data!K4373:L4373)&gt;0,1,0)</f>
        <v>0</v>
      </c>
    </row>
    <row r="4374">
      <c r="A4374" s="10">
        <f>Daily_Data!A4374</f>
        <v>42648</v>
      </c>
      <c r="B4374" s="11">
        <f>Daily_Data!J4374</f>
        <v>12.99</v>
      </c>
      <c r="C4374" s="11">
        <f>Daily_Data!I4374</f>
        <v>1.21</v>
      </c>
      <c r="D4374" s="12">
        <f>if(sum(Daily_Data!K4374:L4374)&gt;0,1,0)</f>
        <v>0</v>
      </c>
    </row>
    <row r="4375">
      <c r="A4375" s="10">
        <f>Daily_Data!A4375</f>
        <v>42649</v>
      </c>
      <c r="B4375" s="11">
        <f>Daily_Data!J4375</f>
        <v>12.84</v>
      </c>
      <c r="C4375" s="11">
        <f>Daily_Data!I4375</f>
        <v>1.21</v>
      </c>
      <c r="D4375" s="12">
        <f>if(sum(Daily_Data!K4375:L4375)&gt;0,1,0)</f>
        <v>0</v>
      </c>
    </row>
    <row r="4376">
      <c r="A4376" s="10">
        <f>Daily_Data!A4376</f>
        <v>42650</v>
      </c>
      <c r="B4376" s="11">
        <f>Daily_Data!J4376</f>
        <v>13.48</v>
      </c>
      <c r="C4376" s="11">
        <f>Daily_Data!I4376</f>
        <v>1.25</v>
      </c>
      <c r="D4376" s="12">
        <f>if(sum(Daily_Data!K4376:L4376)&gt;0,1,0)</f>
        <v>1</v>
      </c>
    </row>
    <row r="4377">
      <c r="A4377" s="10">
        <f>Daily_Data!A4377</f>
        <v>42653</v>
      </c>
      <c r="B4377" s="11">
        <f>Daily_Data!J4377</f>
        <v>13.38</v>
      </c>
      <c r="C4377" s="11" t="str">
        <f>Daily_Data!I4377</f>
        <v/>
      </c>
      <c r="D4377" s="12">
        <f>if(sum(Daily_Data!K4377:L4377)&gt;0,1,0)</f>
        <v>0</v>
      </c>
    </row>
    <row r="4378">
      <c r="A4378" s="10">
        <f>Daily_Data!A4378</f>
        <v>42654</v>
      </c>
      <c r="B4378" s="11">
        <f>Daily_Data!J4378</f>
        <v>15.36</v>
      </c>
      <c r="C4378" s="11">
        <f>Daily_Data!I4378</f>
        <v>1.19</v>
      </c>
      <c r="D4378" s="12">
        <f>if(sum(Daily_Data!K4378:L4378)&gt;0,1,0)</f>
        <v>0</v>
      </c>
    </row>
    <row r="4379">
      <c r="A4379" s="10">
        <f>Daily_Data!A4379</f>
        <v>42655</v>
      </c>
      <c r="B4379" s="11">
        <f>Daily_Data!J4379</f>
        <v>15.91</v>
      </c>
      <c r="C4379" s="11">
        <f>Daily_Data!I4379</f>
        <v>1.21</v>
      </c>
      <c r="D4379" s="12">
        <f>if(sum(Daily_Data!K4379:L4379)&gt;0,1,0)</f>
        <v>0</v>
      </c>
    </row>
    <row r="4380">
      <c r="A4380" s="10">
        <f>Daily_Data!A4380</f>
        <v>42656</v>
      </c>
      <c r="B4380" s="11">
        <f>Daily_Data!J4380</f>
        <v>16.69</v>
      </c>
      <c r="C4380" s="11">
        <f>Daily_Data!I4380</f>
        <v>1.19</v>
      </c>
      <c r="D4380" s="12">
        <f>if(sum(Daily_Data!K4380:L4380)&gt;0,1,0)</f>
        <v>0</v>
      </c>
    </row>
    <row r="4381">
      <c r="A4381" s="10">
        <f>Daily_Data!A4381</f>
        <v>42657</v>
      </c>
      <c r="B4381" s="11">
        <f>Daily_Data!J4381</f>
        <v>16.12</v>
      </c>
      <c r="C4381" s="11">
        <f>Daily_Data!I4381</f>
        <v>1.22</v>
      </c>
      <c r="D4381" s="12">
        <f>if(sum(Daily_Data!K4381:L4381)&gt;0,1,0)</f>
        <v>0</v>
      </c>
    </row>
    <row r="4382">
      <c r="A4382" s="10">
        <f>Daily_Data!A4382</f>
        <v>42660</v>
      </c>
      <c r="B4382" s="11">
        <f>Daily_Data!J4382</f>
        <v>16.21</v>
      </c>
      <c r="C4382" s="11">
        <f>Daily_Data!I4382</f>
        <v>1.27</v>
      </c>
      <c r="D4382" s="12">
        <f>if(sum(Daily_Data!K4382:L4382)&gt;0,1,0)</f>
        <v>0</v>
      </c>
    </row>
    <row r="4383">
      <c r="A4383" s="10">
        <f>Daily_Data!A4383</f>
        <v>42661</v>
      </c>
      <c r="B4383" s="11">
        <f>Daily_Data!J4383</f>
        <v>15.28</v>
      </c>
      <c r="C4383" s="11">
        <f>Daily_Data!I4383</f>
        <v>1.31</v>
      </c>
      <c r="D4383" s="12">
        <f>if(sum(Daily_Data!K4383:L4383)&gt;0,1,0)</f>
        <v>1</v>
      </c>
    </row>
    <row r="4384">
      <c r="A4384" s="10">
        <f>Daily_Data!A4384</f>
        <v>42662</v>
      </c>
      <c r="B4384" s="11">
        <f>Daily_Data!J4384</f>
        <v>14.41</v>
      </c>
      <c r="C4384" s="11">
        <f>Daily_Data!I4384</f>
        <v>1.3</v>
      </c>
      <c r="D4384" s="12">
        <f>if(sum(Daily_Data!K4384:L4384)&gt;0,1,0)</f>
        <v>0</v>
      </c>
    </row>
    <row r="4385">
      <c r="A4385" s="10">
        <f>Daily_Data!A4385</f>
        <v>42663</v>
      </c>
      <c r="B4385" s="11">
        <f>Daily_Data!J4385</f>
        <v>13.75</v>
      </c>
      <c r="C4385" s="11">
        <f>Daily_Data!I4385</f>
        <v>1.25</v>
      </c>
      <c r="D4385" s="12">
        <f>if(sum(Daily_Data!K4385:L4385)&gt;0,1,0)</f>
        <v>0</v>
      </c>
    </row>
    <row r="4386">
      <c r="A4386" s="10">
        <f>Daily_Data!A4386</f>
        <v>42664</v>
      </c>
      <c r="B4386" s="11">
        <f>Daily_Data!J4386</f>
        <v>13.34</v>
      </c>
      <c r="C4386" s="11">
        <f>Daily_Data!I4386</f>
        <v>1.24</v>
      </c>
      <c r="D4386" s="12">
        <f>if(sum(Daily_Data!K4386:L4386)&gt;0,1,0)</f>
        <v>0</v>
      </c>
    </row>
    <row r="4387">
      <c r="A4387" s="10">
        <f>Daily_Data!A4387</f>
        <v>42667</v>
      </c>
      <c r="B4387" s="11">
        <f>Daily_Data!J4387</f>
        <v>13.02</v>
      </c>
      <c r="C4387" s="11" t="str">
        <f>Daily_Data!I4387</f>
        <v/>
      </c>
      <c r="D4387" s="12">
        <f>if(sum(Daily_Data!K4387:L4387)&gt;0,1,0)</f>
        <v>0</v>
      </c>
    </row>
    <row r="4388">
      <c r="A4388" s="10">
        <f>Daily_Data!A4388</f>
        <v>42668</v>
      </c>
      <c r="B4388" s="11">
        <f>Daily_Data!J4388</f>
        <v>13.46</v>
      </c>
      <c r="C4388" s="11">
        <f>Daily_Data!I4388</f>
        <v>1.24</v>
      </c>
      <c r="D4388" s="12">
        <f>if(sum(Daily_Data!K4388:L4388)&gt;0,1,0)</f>
        <v>0</v>
      </c>
    </row>
    <row r="4389">
      <c r="A4389" s="10">
        <f>Daily_Data!A4389</f>
        <v>42669</v>
      </c>
      <c r="B4389" s="11">
        <f>Daily_Data!J4389</f>
        <v>14.24</v>
      </c>
      <c r="C4389" s="11">
        <f>Daily_Data!I4389</f>
        <v>1.26</v>
      </c>
      <c r="D4389" s="12">
        <f>if(sum(Daily_Data!K4389:L4389)&gt;0,1,0)</f>
        <v>0</v>
      </c>
    </row>
    <row r="4390">
      <c r="A4390" s="10">
        <f>Daily_Data!A4390</f>
        <v>42670</v>
      </c>
      <c r="B4390" s="11">
        <f>Daily_Data!J4390</f>
        <v>15.36</v>
      </c>
      <c r="C4390" s="11">
        <f>Daily_Data!I4390</f>
        <v>1.27</v>
      </c>
      <c r="D4390" s="12">
        <f>if(sum(Daily_Data!K4390:L4390)&gt;0,1,0)</f>
        <v>0</v>
      </c>
    </row>
    <row r="4391">
      <c r="A4391" s="10">
        <f>Daily_Data!A4391</f>
        <v>42671</v>
      </c>
      <c r="B4391" s="11">
        <f>Daily_Data!J4391</f>
        <v>16.19</v>
      </c>
      <c r="C4391" s="11">
        <f>Daily_Data!I4391</f>
        <v>1.29</v>
      </c>
      <c r="D4391" s="12">
        <f>if(sum(Daily_Data!K4391:L4391)&gt;0,1,0)</f>
        <v>0</v>
      </c>
    </row>
    <row r="4392">
      <c r="A4392" s="10">
        <f>Daily_Data!A4392</f>
        <v>42674</v>
      </c>
      <c r="B4392" s="11">
        <f>Daily_Data!J4392</f>
        <v>17.06</v>
      </c>
      <c r="C4392" s="11">
        <f>Daily_Data!I4392</f>
        <v>1.27</v>
      </c>
      <c r="D4392" s="12">
        <f>if(sum(Daily_Data!K4392:L4392)&gt;0,1,0)</f>
        <v>0</v>
      </c>
    </row>
    <row r="4393">
      <c r="A4393" s="10">
        <f>Daily_Data!A4393</f>
        <v>42675</v>
      </c>
      <c r="B4393" s="11">
        <f>Daily_Data!J4393</f>
        <v>18.56</v>
      </c>
      <c r="C4393" s="11">
        <f>Daily_Data!I4393</f>
        <v>1.3</v>
      </c>
      <c r="D4393" s="12">
        <f>if(sum(Daily_Data!K4393:L4393)&gt;0,1,0)</f>
        <v>0</v>
      </c>
    </row>
    <row r="4394">
      <c r="A4394" s="10">
        <f>Daily_Data!A4394</f>
        <v>42676</v>
      </c>
      <c r="B4394" s="11">
        <f>Daily_Data!J4394</f>
        <v>19.32</v>
      </c>
      <c r="C4394" s="11">
        <f>Daily_Data!I4394</f>
        <v>1.37</v>
      </c>
      <c r="D4394" s="12">
        <f>if(sum(Daily_Data!K4394:L4394)&gt;0,1,0)</f>
        <v>0</v>
      </c>
    </row>
    <row r="4395">
      <c r="A4395" s="10">
        <f>Daily_Data!A4395</f>
        <v>42677</v>
      </c>
      <c r="B4395" s="11">
        <f>Daily_Data!J4395</f>
        <v>22.08</v>
      </c>
      <c r="C4395" s="11">
        <f>Daily_Data!I4395</f>
        <v>1.36</v>
      </c>
      <c r="D4395" s="12">
        <f>if(sum(Daily_Data!K4395:L4395)&gt;0,1,0)</f>
        <v>0</v>
      </c>
    </row>
    <row r="4396">
      <c r="A4396" s="10">
        <f>Daily_Data!A4396</f>
        <v>42678</v>
      </c>
      <c r="B4396" s="11">
        <f>Daily_Data!J4396</f>
        <v>22.51</v>
      </c>
      <c r="C4396" s="11">
        <f>Daily_Data!I4396</f>
        <v>1.41</v>
      </c>
      <c r="D4396" s="12">
        <f>if(sum(Daily_Data!K4396:L4396)&gt;0,1,0)</f>
        <v>1</v>
      </c>
    </row>
    <row r="4397">
      <c r="A4397" s="10">
        <f>Daily_Data!A4397</f>
        <v>42681</v>
      </c>
      <c r="B4397" s="11">
        <f>Daily_Data!J4397</f>
        <v>18.71</v>
      </c>
      <c r="C4397" s="11">
        <f>Daily_Data!I4397</f>
        <v>1.41</v>
      </c>
      <c r="D4397" s="12">
        <f>if(sum(Daily_Data!K4397:L4397)&gt;0,1,0)</f>
        <v>0</v>
      </c>
    </row>
    <row r="4398">
      <c r="A4398" s="10">
        <f>Daily_Data!A4398</f>
        <v>42682</v>
      </c>
      <c r="B4398" s="11">
        <f>Daily_Data!J4398</f>
        <v>18.74</v>
      </c>
      <c r="C4398" s="11">
        <f>Daily_Data!I4398</f>
        <v>1.36</v>
      </c>
      <c r="D4398" s="12">
        <f>if(sum(Daily_Data!K4398:L4398)&gt;0,1,0)</f>
        <v>0</v>
      </c>
    </row>
    <row r="4399">
      <c r="A4399" s="10">
        <f>Daily_Data!A4399</f>
        <v>42683</v>
      </c>
      <c r="B4399" s="11">
        <f>Daily_Data!J4399</f>
        <v>14.38</v>
      </c>
      <c r="C4399" s="11">
        <f>Daily_Data!I4399</f>
        <v>1.29</v>
      </c>
      <c r="D4399" s="12">
        <f>if(sum(Daily_Data!K4399:L4399)&gt;0,1,0)</f>
        <v>0</v>
      </c>
    </row>
    <row r="4400">
      <c r="A4400" s="10">
        <f>Daily_Data!A4400</f>
        <v>42684</v>
      </c>
      <c r="B4400" s="11">
        <f>Daily_Data!J4400</f>
        <v>14.74</v>
      </c>
      <c r="C4400" s="11">
        <f>Daily_Data!I4400</f>
        <v>1.32</v>
      </c>
      <c r="D4400" s="12">
        <f>if(sum(Daily_Data!K4400:L4400)&gt;0,1,0)</f>
        <v>0</v>
      </c>
    </row>
    <row r="4401">
      <c r="A4401" s="10">
        <f>Daily_Data!A4401</f>
        <v>42685</v>
      </c>
      <c r="B4401" s="11">
        <f>Daily_Data!J4401</f>
        <v>14.17</v>
      </c>
      <c r="C4401" s="11" t="str">
        <f>Daily_Data!I4401</f>
        <v/>
      </c>
      <c r="D4401" s="12">
        <f>if(sum(Daily_Data!K4401:L4401)&gt;0,1,0)</f>
        <v>0</v>
      </c>
    </row>
    <row r="4402">
      <c r="A4402" s="10">
        <f>Daily_Data!A4402</f>
        <v>42688</v>
      </c>
      <c r="B4402" s="11">
        <f>Daily_Data!J4402</f>
        <v>14.48</v>
      </c>
      <c r="C4402" s="11">
        <f>Daily_Data!I4402</f>
        <v>1.28</v>
      </c>
      <c r="D4402" s="12">
        <f>if(sum(Daily_Data!K4402:L4402)&gt;0,1,0)</f>
        <v>0</v>
      </c>
    </row>
    <row r="4403">
      <c r="A4403" s="10">
        <f>Daily_Data!A4403</f>
        <v>42689</v>
      </c>
      <c r="B4403" s="11">
        <f>Daily_Data!J4403</f>
        <v>13.37</v>
      </c>
      <c r="C4403" s="11">
        <f>Daily_Data!I4403</f>
        <v>1.25</v>
      </c>
      <c r="D4403" s="12">
        <f>if(sum(Daily_Data!K4403:L4403)&gt;0,1,0)</f>
        <v>0</v>
      </c>
    </row>
    <row r="4404">
      <c r="A4404" s="10">
        <f>Daily_Data!A4404</f>
        <v>42690</v>
      </c>
      <c r="B4404" s="11">
        <f>Daily_Data!J4404</f>
        <v>13.72</v>
      </c>
      <c r="C4404" s="11">
        <f>Daily_Data!I4404</f>
        <v>1.26</v>
      </c>
      <c r="D4404" s="12">
        <f>if(sum(Daily_Data!K4404:L4404)&gt;0,1,0)</f>
        <v>0</v>
      </c>
    </row>
    <row r="4405">
      <c r="A4405" s="10">
        <f>Daily_Data!A4405</f>
        <v>42691</v>
      </c>
      <c r="B4405" s="11">
        <f>Daily_Data!J4405</f>
        <v>13.35</v>
      </c>
      <c r="C4405" s="11">
        <f>Daily_Data!I4405</f>
        <v>1.18</v>
      </c>
      <c r="D4405" s="12">
        <f>if(sum(Daily_Data!K4405:L4405)&gt;0,1,0)</f>
        <v>1</v>
      </c>
    </row>
    <row r="4406">
      <c r="A4406" s="10">
        <f>Daily_Data!A4406</f>
        <v>42692</v>
      </c>
      <c r="B4406" s="11">
        <f>Daily_Data!J4406</f>
        <v>12.85</v>
      </c>
      <c r="C4406" s="11">
        <f>Daily_Data!I4406</f>
        <v>1.19</v>
      </c>
      <c r="D4406" s="12">
        <f>if(sum(Daily_Data!K4406:L4406)&gt;0,1,0)</f>
        <v>0</v>
      </c>
    </row>
    <row r="4407">
      <c r="A4407" s="10">
        <f>Daily_Data!A4407</f>
        <v>42695</v>
      </c>
      <c r="B4407" s="11">
        <f>Daily_Data!J4407</f>
        <v>12.42</v>
      </c>
      <c r="C4407" s="11">
        <f>Daily_Data!I4407</f>
        <v>1.18</v>
      </c>
      <c r="D4407" s="12">
        <f>if(sum(Daily_Data!K4407:L4407)&gt;0,1,0)</f>
        <v>0</v>
      </c>
    </row>
    <row r="4408">
      <c r="A4408" s="10">
        <f>Daily_Data!A4408</f>
        <v>42696</v>
      </c>
      <c r="B4408" s="11">
        <f>Daily_Data!J4408</f>
        <v>12.41</v>
      </c>
      <c r="C4408" s="11">
        <f>Daily_Data!I4408</f>
        <v>1.17</v>
      </c>
      <c r="D4408" s="12">
        <f>if(sum(Daily_Data!K4408:L4408)&gt;0,1,0)</f>
        <v>0</v>
      </c>
    </row>
    <row r="4409">
      <c r="A4409" s="10">
        <f>Daily_Data!A4409</f>
        <v>42697</v>
      </c>
      <c r="B4409" s="11">
        <f>Daily_Data!J4409</f>
        <v>12.43</v>
      </c>
      <c r="C4409" s="11">
        <f>Daily_Data!I4409</f>
        <v>1.14</v>
      </c>
      <c r="D4409" s="12">
        <f>if(sum(Daily_Data!K4409:L4409)&gt;0,1,0)</f>
        <v>0</v>
      </c>
    </row>
    <row r="4410">
      <c r="A4410" s="10">
        <f>Daily_Data!A4410</f>
        <v>42698</v>
      </c>
      <c r="B4410" s="11" t="str">
        <f>Daily_Data!J4410</f>
        <v/>
      </c>
      <c r="C4410" s="11" t="str">
        <f>Daily_Data!I4410</f>
        <v/>
      </c>
      <c r="D4410" s="12">
        <f>if(sum(Daily_Data!K4410:L4410)&gt;0,1,0)</f>
        <v>0</v>
      </c>
    </row>
    <row r="4411">
      <c r="A4411" s="10">
        <f>Daily_Data!A4411</f>
        <v>42699</v>
      </c>
      <c r="B4411" s="11">
        <f>Daily_Data!J4411</f>
        <v>12.34</v>
      </c>
      <c r="C4411" s="11">
        <f>Daily_Data!I4411</f>
        <v>1.15</v>
      </c>
      <c r="D4411" s="12">
        <f>if(sum(Daily_Data!K4411:L4411)&gt;0,1,0)</f>
        <v>0</v>
      </c>
    </row>
    <row r="4412">
      <c r="A4412" s="10">
        <f>Daily_Data!A4412</f>
        <v>42702</v>
      </c>
      <c r="B4412" s="11">
        <f>Daily_Data!J4412</f>
        <v>13.15</v>
      </c>
      <c r="C4412" s="11">
        <f>Daily_Data!I4412</f>
        <v>1.13</v>
      </c>
      <c r="D4412" s="12">
        <f>if(sum(Daily_Data!K4412:L4412)&gt;0,1,0)</f>
        <v>0</v>
      </c>
    </row>
    <row r="4413">
      <c r="A4413" s="10">
        <f>Daily_Data!A4413</f>
        <v>42703</v>
      </c>
      <c r="B4413" s="11">
        <f>Daily_Data!J4413</f>
        <v>12.9</v>
      </c>
      <c r="C4413" s="11">
        <f>Daily_Data!I4413</f>
        <v>1.16</v>
      </c>
      <c r="D4413" s="12">
        <f>if(sum(Daily_Data!K4413:L4413)&gt;0,1,0)</f>
        <v>0</v>
      </c>
    </row>
    <row r="4414">
      <c r="A4414" s="10">
        <f>Daily_Data!A4414</f>
        <v>42704</v>
      </c>
      <c r="B4414" s="11">
        <f>Daily_Data!J4414</f>
        <v>13.33</v>
      </c>
      <c r="C4414" s="11">
        <f>Daily_Data!I4414</f>
        <v>1.16</v>
      </c>
      <c r="D4414" s="12">
        <f>if(sum(Daily_Data!K4414:L4414)&gt;0,1,0)</f>
        <v>0</v>
      </c>
    </row>
    <row r="4415">
      <c r="A4415" s="10">
        <f>Daily_Data!A4415</f>
        <v>42705</v>
      </c>
      <c r="B4415" s="11">
        <f>Daily_Data!J4415</f>
        <v>14.07</v>
      </c>
      <c r="C4415" s="11">
        <f>Daily_Data!I4415</f>
        <v>1.14</v>
      </c>
      <c r="D4415" s="12">
        <f>if(sum(Daily_Data!K4415:L4415)&gt;0,1,0)</f>
        <v>0</v>
      </c>
    </row>
    <row r="4416">
      <c r="A4416" s="10">
        <f>Daily_Data!A4416</f>
        <v>42706</v>
      </c>
      <c r="B4416" s="11">
        <f>Daily_Data!J4416</f>
        <v>14.12</v>
      </c>
      <c r="C4416" s="11">
        <f>Daily_Data!I4416</f>
        <v>1.18</v>
      </c>
      <c r="D4416" s="12">
        <f>if(sum(Daily_Data!K4416:L4416)&gt;0,1,0)</f>
        <v>1</v>
      </c>
    </row>
    <row r="4417">
      <c r="A4417" s="10">
        <f>Daily_Data!A4417</f>
        <v>42709</v>
      </c>
      <c r="B4417" s="11">
        <f>Daily_Data!J4417</f>
        <v>12.14</v>
      </c>
      <c r="C4417" s="11">
        <f>Daily_Data!I4417</f>
        <v>1.14</v>
      </c>
      <c r="D4417" s="12">
        <f>if(sum(Daily_Data!K4417:L4417)&gt;0,1,0)</f>
        <v>0</v>
      </c>
    </row>
    <row r="4418">
      <c r="A4418" s="10">
        <f>Daily_Data!A4418</f>
        <v>42710</v>
      </c>
      <c r="B4418" s="11">
        <f>Daily_Data!J4418</f>
        <v>11.79</v>
      </c>
      <c r="C4418" s="11">
        <f>Daily_Data!I4418</f>
        <v>1.16</v>
      </c>
      <c r="D4418" s="12">
        <f>if(sum(Daily_Data!K4418:L4418)&gt;0,1,0)</f>
        <v>0</v>
      </c>
    </row>
    <row r="4419">
      <c r="A4419" s="10">
        <f>Daily_Data!A4419</f>
        <v>42711</v>
      </c>
      <c r="B4419" s="11">
        <f>Daily_Data!J4419</f>
        <v>12.22</v>
      </c>
      <c r="C4419" s="11">
        <f>Daily_Data!I4419</f>
        <v>1.17</v>
      </c>
      <c r="D4419" s="12">
        <f>if(sum(Daily_Data!K4419:L4419)&gt;0,1,0)</f>
        <v>0</v>
      </c>
    </row>
    <row r="4420">
      <c r="A4420" s="10">
        <f>Daily_Data!A4420</f>
        <v>42712</v>
      </c>
      <c r="B4420" s="11">
        <f>Daily_Data!J4420</f>
        <v>12.64</v>
      </c>
      <c r="C4420" s="11">
        <f>Daily_Data!I4420</f>
        <v>1.14</v>
      </c>
      <c r="D4420" s="12">
        <f>if(sum(Daily_Data!K4420:L4420)&gt;0,1,0)</f>
        <v>0</v>
      </c>
    </row>
    <row r="4421">
      <c r="A4421" s="10">
        <f>Daily_Data!A4421</f>
        <v>42713</v>
      </c>
      <c r="B4421" s="11">
        <f>Daily_Data!J4421</f>
        <v>11.75</v>
      </c>
      <c r="C4421" s="11">
        <f>Daily_Data!I4421</f>
        <v>1.14</v>
      </c>
      <c r="D4421" s="12">
        <f>if(sum(Daily_Data!K4421:L4421)&gt;0,1,0)</f>
        <v>0</v>
      </c>
    </row>
    <row r="4422">
      <c r="A4422" s="10">
        <f>Daily_Data!A4422</f>
        <v>42716</v>
      </c>
      <c r="B4422" s="11">
        <f>Daily_Data!J4422</f>
        <v>12.64</v>
      </c>
      <c r="C4422" s="11">
        <f>Daily_Data!I4422</f>
        <v>1.17</v>
      </c>
      <c r="D4422" s="12">
        <f>if(sum(Daily_Data!K4422:L4422)&gt;0,1,0)</f>
        <v>0</v>
      </c>
    </row>
    <row r="4423">
      <c r="A4423" s="10">
        <f>Daily_Data!A4423</f>
        <v>42717</v>
      </c>
      <c r="B4423" s="11">
        <f>Daily_Data!J4423</f>
        <v>12.72</v>
      </c>
      <c r="C4423" s="11">
        <f>Daily_Data!I4423</f>
        <v>1.14</v>
      </c>
      <c r="D4423" s="12">
        <f>if(sum(Daily_Data!K4423:L4423)&gt;0,1,0)</f>
        <v>0</v>
      </c>
    </row>
    <row r="4424">
      <c r="A4424" s="10">
        <f>Daily_Data!A4424</f>
        <v>42718</v>
      </c>
      <c r="B4424" s="11">
        <f>Daily_Data!J4424</f>
        <v>13.19</v>
      </c>
      <c r="C4424" s="11">
        <f>Daily_Data!I4424</f>
        <v>1.05</v>
      </c>
      <c r="D4424" s="12">
        <f>if(sum(Daily_Data!K4424:L4424)&gt;0,1,0)</f>
        <v>0</v>
      </c>
    </row>
    <row r="4425">
      <c r="A4425" s="10">
        <f>Daily_Data!A4425</f>
        <v>42719</v>
      </c>
      <c r="B4425" s="11">
        <f>Daily_Data!J4425</f>
        <v>12.79</v>
      </c>
      <c r="C4425" s="11">
        <f>Daily_Data!I4425</f>
        <v>1.1</v>
      </c>
      <c r="D4425" s="12">
        <f>if(sum(Daily_Data!K4425:L4425)&gt;0,1,0)</f>
        <v>1</v>
      </c>
    </row>
    <row r="4426">
      <c r="A4426" s="10">
        <f>Daily_Data!A4426</f>
        <v>42720</v>
      </c>
      <c r="B4426" s="11">
        <f>Daily_Data!J4426</f>
        <v>12.2</v>
      </c>
      <c r="C4426" s="11">
        <f>Daily_Data!I4426</f>
        <v>1.13</v>
      </c>
      <c r="D4426" s="12">
        <f>if(sum(Daily_Data!K4426:L4426)&gt;0,1,0)</f>
        <v>0</v>
      </c>
    </row>
    <row r="4427">
      <c r="A4427" s="10">
        <f>Daily_Data!A4427</f>
        <v>42723</v>
      </c>
      <c r="B4427" s="11">
        <f>Daily_Data!J4427</f>
        <v>11.71</v>
      </c>
      <c r="C4427" s="11">
        <f>Daily_Data!I4427</f>
        <v>1.19</v>
      </c>
      <c r="D4427" s="12">
        <f>if(sum(Daily_Data!K4427:L4427)&gt;0,1,0)</f>
        <v>0</v>
      </c>
    </row>
    <row r="4428">
      <c r="A4428" s="10">
        <f>Daily_Data!A4428</f>
        <v>42724</v>
      </c>
      <c r="B4428" s="11">
        <f>Daily_Data!J4428</f>
        <v>11.45</v>
      </c>
      <c r="C4428" s="11">
        <f>Daily_Data!I4428</f>
        <v>1.17</v>
      </c>
      <c r="D4428" s="12">
        <f>if(sum(Daily_Data!K4428:L4428)&gt;0,1,0)</f>
        <v>0</v>
      </c>
    </row>
    <row r="4429">
      <c r="A4429" s="10">
        <f>Daily_Data!A4429</f>
        <v>42725</v>
      </c>
      <c r="B4429" s="11">
        <f>Daily_Data!J4429</f>
        <v>11.27</v>
      </c>
      <c r="C4429" s="11">
        <f>Daily_Data!I4429</f>
        <v>1.24</v>
      </c>
      <c r="D4429" s="12">
        <f>if(sum(Daily_Data!K4429:L4429)&gt;0,1,0)</f>
        <v>0</v>
      </c>
    </row>
    <row r="4430">
      <c r="A4430" s="10">
        <f>Daily_Data!A4430</f>
        <v>42726</v>
      </c>
      <c r="B4430" s="11">
        <f>Daily_Data!J4430</f>
        <v>11.43</v>
      </c>
      <c r="C4430" s="11">
        <f>Daily_Data!I4430</f>
        <v>1.28</v>
      </c>
      <c r="D4430" s="12">
        <f>if(sum(Daily_Data!K4430:L4430)&gt;0,1,0)</f>
        <v>0</v>
      </c>
    </row>
    <row r="4431">
      <c r="A4431" s="10">
        <f>Daily_Data!A4431</f>
        <v>42727</v>
      </c>
      <c r="B4431" s="11">
        <f>Daily_Data!J4431</f>
        <v>11.44</v>
      </c>
      <c r="C4431" s="11">
        <f>Daily_Data!I4431</f>
        <v>1.3</v>
      </c>
      <c r="D4431" s="12">
        <f>if(sum(Daily_Data!K4431:L4431)&gt;0,1,0)</f>
        <v>0</v>
      </c>
    </row>
    <row r="4432">
      <c r="A4432" s="10">
        <f>Daily_Data!A4432</f>
        <v>42730</v>
      </c>
      <c r="B4432" s="11" t="str">
        <f>Daily_Data!J4432</f>
        <v/>
      </c>
      <c r="C4432" s="11" t="str">
        <f>Daily_Data!I4432</f>
        <v/>
      </c>
      <c r="D4432" s="12">
        <f>if(sum(Daily_Data!K4432:L4432)&gt;0,1,0)</f>
        <v>0</v>
      </c>
    </row>
    <row r="4433">
      <c r="A4433" s="10">
        <f>Daily_Data!A4433</f>
        <v>42731</v>
      </c>
      <c r="B4433" s="11">
        <f>Daily_Data!J4433</f>
        <v>11.99</v>
      </c>
      <c r="C4433" s="11" t="str">
        <f>Daily_Data!I4433</f>
        <v/>
      </c>
      <c r="D4433" s="12">
        <f>if(sum(Daily_Data!K4433:L4433)&gt;0,1,0)</f>
        <v>0</v>
      </c>
    </row>
    <row r="4434">
      <c r="A4434" s="10">
        <f>Daily_Data!A4434</f>
        <v>42732</v>
      </c>
      <c r="B4434" s="11">
        <f>Daily_Data!J4434</f>
        <v>12.95</v>
      </c>
      <c r="C4434" s="11">
        <f>Daily_Data!I4434</f>
        <v>1.28</v>
      </c>
      <c r="D4434" s="12">
        <f>if(sum(Daily_Data!K4434:L4434)&gt;0,1,0)</f>
        <v>0</v>
      </c>
    </row>
    <row r="4435">
      <c r="A4435" s="10">
        <f>Daily_Data!A4435</f>
        <v>42733</v>
      </c>
      <c r="B4435" s="11">
        <f>Daily_Data!J4435</f>
        <v>13.37</v>
      </c>
      <c r="C4435" s="11">
        <f>Daily_Data!I4435</f>
        <v>1.28</v>
      </c>
      <c r="D4435" s="12">
        <f>if(sum(Daily_Data!K4435:L4435)&gt;0,1,0)</f>
        <v>0</v>
      </c>
    </row>
    <row r="4436">
      <c r="A4436" s="10">
        <f>Daily_Data!A4436</f>
        <v>42734</v>
      </c>
      <c r="B4436" s="11">
        <f>Daily_Data!J4436</f>
        <v>14.04</v>
      </c>
      <c r="C4436" s="11">
        <f>Daily_Data!I4436</f>
        <v>1.25</v>
      </c>
      <c r="D4436" s="12">
        <f>if(sum(Daily_Data!K4436:L4436)&gt;0,1,0)</f>
        <v>0</v>
      </c>
    </row>
    <row r="4437">
      <c r="A4437" s="10">
        <f>Daily_Data!A4437</f>
        <v>42737</v>
      </c>
      <c r="B4437" s="11" t="str">
        <f>Daily_Data!J4437</f>
        <v/>
      </c>
      <c r="C4437" s="11" t="str">
        <f>Daily_Data!I4437</f>
        <v/>
      </c>
      <c r="D4437" s="12">
        <f>if(sum(Daily_Data!K4437:L4437)&gt;0,1,0)</f>
        <v>0</v>
      </c>
    </row>
    <row r="4438">
      <c r="A4438" s="10">
        <f>Daily_Data!A4438</f>
        <v>42738</v>
      </c>
      <c r="B4438" s="11">
        <f>Daily_Data!J4438</f>
        <v>12.85</v>
      </c>
      <c r="C4438" s="11" t="str">
        <f>Daily_Data!I4438</f>
        <v/>
      </c>
      <c r="D4438" s="12">
        <f>if(sum(Daily_Data!K4438:L4438)&gt;0,1,0)</f>
        <v>0</v>
      </c>
    </row>
    <row r="4439">
      <c r="A4439" s="10">
        <f>Daily_Data!A4439</f>
        <v>42739</v>
      </c>
      <c r="B4439" s="11">
        <f>Daily_Data!J4439</f>
        <v>11.85</v>
      </c>
      <c r="C4439" s="11">
        <f>Daily_Data!I4439</f>
        <v>1.2</v>
      </c>
      <c r="D4439" s="12">
        <f>if(sum(Daily_Data!K4439:L4439)&gt;0,1,0)</f>
        <v>0</v>
      </c>
    </row>
    <row r="4440">
      <c r="A4440" s="10">
        <f>Daily_Data!A4440</f>
        <v>42740</v>
      </c>
      <c r="B4440" s="11">
        <f>Daily_Data!J4440</f>
        <v>11.67</v>
      </c>
      <c r="C4440" s="11">
        <f>Daily_Data!I4440</f>
        <v>1.22</v>
      </c>
      <c r="D4440" s="12">
        <f>if(sum(Daily_Data!K4440:L4440)&gt;0,1,0)</f>
        <v>0</v>
      </c>
    </row>
    <row r="4441">
      <c r="A4441" s="10">
        <f>Daily_Data!A4441</f>
        <v>42741</v>
      </c>
      <c r="B4441" s="11">
        <f>Daily_Data!J4441</f>
        <v>11.32</v>
      </c>
      <c r="C4441" s="11">
        <f>Daily_Data!I4441</f>
        <v>1.18</v>
      </c>
      <c r="D4441" s="12">
        <f>if(sum(Daily_Data!K4441:L4441)&gt;0,1,0)</f>
        <v>1</v>
      </c>
    </row>
    <row r="4442">
      <c r="A4442" s="10">
        <f>Daily_Data!A4442</f>
        <v>42744</v>
      </c>
      <c r="B4442" s="11">
        <f>Daily_Data!J4442</f>
        <v>11.56</v>
      </c>
      <c r="C4442" s="11">
        <f>Daily_Data!I4442</f>
        <v>1.21</v>
      </c>
      <c r="D4442" s="12">
        <f>if(sum(Daily_Data!K4442:L4442)&gt;0,1,0)</f>
        <v>0</v>
      </c>
    </row>
    <row r="4443">
      <c r="A4443" s="10">
        <f>Daily_Data!A4443</f>
        <v>42745</v>
      </c>
      <c r="B4443" s="11">
        <f>Daily_Data!J4443</f>
        <v>11.49</v>
      </c>
      <c r="C4443" s="11">
        <f>Daily_Data!I4443</f>
        <v>1.2</v>
      </c>
      <c r="D4443" s="12">
        <f>if(sum(Daily_Data!K4443:L4443)&gt;0,1,0)</f>
        <v>0</v>
      </c>
    </row>
    <row r="4444">
      <c r="A4444" s="10">
        <f>Daily_Data!A4444</f>
        <v>42746</v>
      </c>
      <c r="B4444" s="11">
        <f>Daily_Data!J4444</f>
        <v>11.26</v>
      </c>
      <c r="C4444" s="11">
        <f>Daily_Data!I4444</f>
        <v>1.2</v>
      </c>
      <c r="D4444" s="12">
        <f>if(sum(Daily_Data!K4444:L4444)&gt;0,1,0)</f>
        <v>0</v>
      </c>
    </row>
    <row r="4445">
      <c r="A4445" s="10">
        <f>Daily_Data!A4445</f>
        <v>42747</v>
      </c>
      <c r="B4445" s="11">
        <f>Daily_Data!J4445</f>
        <v>11.54</v>
      </c>
      <c r="C4445" s="11">
        <f>Daily_Data!I4445</f>
        <v>1.19</v>
      </c>
      <c r="D4445" s="12">
        <f>if(sum(Daily_Data!K4445:L4445)&gt;0,1,0)</f>
        <v>0</v>
      </c>
    </row>
    <row r="4446">
      <c r="A4446" s="10">
        <f>Daily_Data!A4446</f>
        <v>42748</v>
      </c>
      <c r="B4446" s="11">
        <f>Daily_Data!J4446</f>
        <v>11.23</v>
      </c>
      <c r="C4446" s="11">
        <f>Daily_Data!I4446</f>
        <v>1.19</v>
      </c>
      <c r="D4446" s="12">
        <f>if(sum(Daily_Data!K4446:L4446)&gt;0,1,0)</f>
        <v>0</v>
      </c>
    </row>
    <row r="4447">
      <c r="A4447" s="10">
        <f>Daily_Data!A4447</f>
        <v>42751</v>
      </c>
      <c r="B4447" s="11" t="str">
        <f>Daily_Data!J4447</f>
        <v/>
      </c>
      <c r="C4447" s="11" t="str">
        <f>Daily_Data!I4447</f>
        <v/>
      </c>
      <c r="D4447" s="12">
        <f>if(sum(Daily_Data!K4447:L4447)&gt;0,1,0)</f>
        <v>0</v>
      </c>
    </row>
    <row r="4448">
      <c r="A4448" s="10">
        <f>Daily_Data!A4448</f>
        <v>42752</v>
      </c>
      <c r="B4448" s="11">
        <f>Daily_Data!J4448</f>
        <v>11.87</v>
      </c>
      <c r="C4448" s="11">
        <f>Daily_Data!I4448</f>
        <v>1.22</v>
      </c>
      <c r="D4448" s="12">
        <f>if(sum(Daily_Data!K4448:L4448)&gt;0,1,0)</f>
        <v>0</v>
      </c>
    </row>
    <row r="4449">
      <c r="A4449" s="10">
        <f>Daily_Data!A4449</f>
        <v>42753</v>
      </c>
      <c r="B4449" s="11">
        <f>Daily_Data!J4449</f>
        <v>12.48</v>
      </c>
      <c r="C4449" s="11">
        <f>Daily_Data!I4449</f>
        <v>1.17</v>
      </c>
      <c r="D4449" s="12">
        <f>if(sum(Daily_Data!K4449:L4449)&gt;0,1,0)</f>
        <v>1</v>
      </c>
    </row>
    <row r="4450">
      <c r="A4450" s="10">
        <f>Daily_Data!A4450</f>
        <v>42754</v>
      </c>
      <c r="B4450" s="11">
        <f>Daily_Data!J4450</f>
        <v>12.78</v>
      </c>
      <c r="C4450" s="11">
        <f>Daily_Data!I4450</f>
        <v>1.18</v>
      </c>
      <c r="D4450" s="12">
        <f>if(sum(Daily_Data!K4450:L4450)&gt;0,1,0)</f>
        <v>0</v>
      </c>
    </row>
    <row r="4451">
      <c r="A4451" s="10">
        <f>Daily_Data!A4451</f>
        <v>42755</v>
      </c>
      <c r="B4451" s="11">
        <f>Daily_Data!J4451</f>
        <v>11.54</v>
      </c>
      <c r="C4451" s="11">
        <f>Daily_Data!I4451</f>
        <v>1.23</v>
      </c>
      <c r="D4451" s="12">
        <f>if(sum(Daily_Data!K4451:L4451)&gt;0,1,0)</f>
        <v>0</v>
      </c>
    </row>
    <row r="4452">
      <c r="A4452" s="10">
        <f>Daily_Data!A4452</f>
        <v>42758</v>
      </c>
      <c r="B4452" s="11">
        <f>Daily_Data!J4452</f>
        <v>11.77</v>
      </c>
      <c r="C4452" s="11">
        <f>Daily_Data!I4452</f>
        <v>1.27</v>
      </c>
      <c r="D4452" s="12">
        <f>if(sum(Daily_Data!K4452:L4452)&gt;0,1,0)</f>
        <v>0</v>
      </c>
    </row>
    <row r="4453">
      <c r="A4453" s="10">
        <f>Daily_Data!A4453</f>
        <v>42759</v>
      </c>
      <c r="B4453" s="11">
        <f>Daily_Data!J4453</f>
        <v>11.07</v>
      </c>
      <c r="C4453" s="11">
        <f>Daily_Data!I4453</f>
        <v>1.2</v>
      </c>
      <c r="D4453" s="12">
        <f>if(sum(Daily_Data!K4453:L4453)&gt;0,1,0)</f>
        <v>0</v>
      </c>
    </row>
    <row r="4454">
      <c r="A4454" s="10">
        <f>Daily_Data!A4454</f>
        <v>42760</v>
      </c>
      <c r="B4454" s="11">
        <f>Daily_Data!J4454</f>
        <v>10.81</v>
      </c>
      <c r="C4454" s="11">
        <f>Daily_Data!I4454</f>
        <v>1.19</v>
      </c>
      <c r="D4454" s="12">
        <f>if(sum(Daily_Data!K4454:L4454)&gt;0,1,0)</f>
        <v>0</v>
      </c>
    </row>
    <row r="4455">
      <c r="A4455" s="10">
        <f>Daily_Data!A4455</f>
        <v>42761</v>
      </c>
      <c r="B4455" s="11">
        <f>Daily_Data!J4455</f>
        <v>10.63</v>
      </c>
      <c r="C4455" s="11">
        <f>Daily_Data!I4455</f>
        <v>1.24</v>
      </c>
      <c r="D4455" s="12">
        <f>if(sum(Daily_Data!K4455:L4455)&gt;0,1,0)</f>
        <v>0</v>
      </c>
    </row>
    <row r="4456">
      <c r="A4456" s="10">
        <f>Daily_Data!A4456</f>
        <v>42762</v>
      </c>
      <c r="B4456" s="11">
        <f>Daily_Data!J4456</f>
        <v>10.58</v>
      </c>
      <c r="C4456" s="11">
        <f>Daily_Data!I4456</f>
        <v>1.24</v>
      </c>
      <c r="D4456" s="12">
        <f>if(sum(Daily_Data!K4456:L4456)&gt;0,1,0)</f>
        <v>0</v>
      </c>
    </row>
    <row r="4457">
      <c r="A4457" s="10">
        <f>Daily_Data!A4457</f>
        <v>42765</v>
      </c>
      <c r="B4457" s="11">
        <f>Daily_Data!J4457</f>
        <v>11.88</v>
      </c>
      <c r="C4457" s="11">
        <f>Daily_Data!I4457</f>
        <v>1.22</v>
      </c>
      <c r="D4457" s="12">
        <f>if(sum(Daily_Data!K4457:L4457)&gt;0,1,0)</f>
        <v>0</v>
      </c>
    </row>
    <row r="4458">
      <c r="A4458" s="10">
        <f>Daily_Data!A4458</f>
        <v>42766</v>
      </c>
      <c r="B4458" s="11">
        <f>Daily_Data!J4458</f>
        <v>11.99</v>
      </c>
      <c r="C4458" s="11">
        <f>Daily_Data!I4458</f>
        <v>1.26</v>
      </c>
      <c r="D4458" s="12">
        <f>if(sum(Daily_Data!K4458:L4458)&gt;0,1,0)</f>
        <v>0</v>
      </c>
    </row>
    <row r="4459">
      <c r="A4459" s="10">
        <f>Daily_Data!A4459</f>
        <v>42767</v>
      </c>
      <c r="B4459" s="11">
        <f>Daily_Data!J4459</f>
        <v>11.81</v>
      </c>
      <c r="C4459" s="11">
        <f>Daily_Data!I4459</f>
        <v>1.21</v>
      </c>
      <c r="D4459" s="12">
        <f>if(sum(Daily_Data!K4459:L4459)&gt;0,1,0)</f>
        <v>0</v>
      </c>
    </row>
    <row r="4460">
      <c r="A4460" s="10">
        <f>Daily_Data!A4460</f>
        <v>42768</v>
      </c>
      <c r="B4460" s="11">
        <f>Daily_Data!J4460</f>
        <v>11.93</v>
      </c>
      <c r="C4460" s="11">
        <f>Daily_Data!I4460</f>
        <v>1.2</v>
      </c>
      <c r="D4460" s="12">
        <f>if(sum(Daily_Data!K4460:L4460)&gt;0,1,0)</f>
        <v>0</v>
      </c>
    </row>
    <row r="4461">
      <c r="A4461" s="10">
        <f>Daily_Data!A4461</f>
        <v>42769</v>
      </c>
      <c r="B4461" s="11">
        <f>Daily_Data!J4461</f>
        <v>10.97</v>
      </c>
      <c r="C4461" s="11">
        <f>Daily_Data!I4461</f>
        <v>1.2</v>
      </c>
      <c r="D4461" s="12">
        <f>if(sum(Daily_Data!K4461:L4461)&gt;0,1,0)</f>
        <v>1</v>
      </c>
    </row>
    <row r="4462">
      <c r="A4462" s="10">
        <f>Daily_Data!A4462</f>
        <v>42772</v>
      </c>
      <c r="B4462" s="11">
        <f>Daily_Data!J4462</f>
        <v>11.37</v>
      </c>
      <c r="C4462" s="11" t="str">
        <f>Daily_Data!I4462</f>
        <v/>
      </c>
      <c r="D4462" s="12">
        <f>if(sum(Daily_Data!K4462:L4462)&gt;0,1,0)</f>
        <v>0</v>
      </c>
    </row>
    <row r="4463">
      <c r="A4463" s="10">
        <f>Daily_Data!A4463</f>
        <v>42773</v>
      </c>
      <c r="B4463" s="11">
        <f>Daily_Data!J4463</f>
        <v>11.29</v>
      </c>
      <c r="C4463" s="11">
        <f>Daily_Data!I4463</f>
        <v>1.25</v>
      </c>
      <c r="D4463" s="12">
        <f>if(sum(Daily_Data!K4463:L4463)&gt;0,1,0)</f>
        <v>0</v>
      </c>
    </row>
    <row r="4464">
      <c r="A4464" s="10">
        <f>Daily_Data!A4464</f>
        <v>42774</v>
      </c>
      <c r="B4464" s="11">
        <f>Daily_Data!J4464</f>
        <v>11.45</v>
      </c>
      <c r="C4464" s="11">
        <f>Daily_Data!I4464</f>
        <v>1.25</v>
      </c>
      <c r="D4464" s="12">
        <f>if(sum(Daily_Data!K4464:L4464)&gt;0,1,0)</f>
        <v>0</v>
      </c>
    </row>
    <row r="4465">
      <c r="A4465" s="10">
        <f>Daily_Data!A4465</f>
        <v>42775</v>
      </c>
      <c r="B4465" s="11">
        <f>Daily_Data!J4465</f>
        <v>10.88</v>
      </c>
      <c r="C4465" s="11">
        <f>Daily_Data!I4465</f>
        <v>1.13</v>
      </c>
      <c r="D4465" s="12">
        <f>if(sum(Daily_Data!K4465:L4465)&gt;0,1,0)</f>
        <v>0</v>
      </c>
    </row>
    <row r="4466">
      <c r="A4466" s="10">
        <f>Daily_Data!A4466</f>
        <v>42776</v>
      </c>
      <c r="B4466" s="11">
        <f>Daily_Data!J4466</f>
        <v>10.85</v>
      </c>
      <c r="C4466" s="11">
        <f>Daily_Data!I4466</f>
        <v>1.15</v>
      </c>
      <c r="D4466" s="12">
        <f>if(sum(Daily_Data!K4466:L4466)&gt;0,1,0)</f>
        <v>0</v>
      </c>
    </row>
    <row r="4467">
      <c r="A4467" s="10">
        <f>Daily_Data!A4467</f>
        <v>42779</v>
      </c>
      <c r="B4467" s="11">
        <f>Daily_Data!J4467</f>
        <v>11.07</v>
      </c>
      <c r="C4467" s="11">
        <f>Daily_Data!I4467</f>
        <v>1.15</v>
      </c>
      <c r="D4467" s="12">
        <f>if(sum(Daily_Data!K4467:L4467)&gt;0,1,0)</f>
        <v>0</v>
      </c>
    </row>
    <row r="4468">
      <c r="A4468" s="10">
        <f>Daily_Data!A4468</f>
        <v>42780</v>
      </c>
      <c r="B4468" s="11">
        <f>Daily_Data!J4468</f>
        <v>10.74</v>
      </c>
      <c r="C4468" s="11">
        <f>Daily_Data!I4468</f>
        <v>1.1</v>
      </c>
      <c r="D4468" s="12">
        <f>if(sum(Daily_Data!K4468:L4468)&gt;0,1,0)</f>
        <v>0</v>
      </c>
    </row>
    <row r="4469">
      <c r="A4469" s="10">
        <f>Daily_Data!A4469</f>
        <v>42781</v>
      </c>
      <c r="B4469" s="11">
        <f>Daily_Data!J4469</f>
        <v>11.97</v>
      </c>
      <c r="C4469" s="11">
        <f>Daily_Data!I4469</f>
        <v>1.1</v>
      </c>
      <c r="D4469" s="12">
        <f>if(sum(Daily_Data!K4469:L4469)&gt;0,1,0)</f>
        <v>1</v>
      </c>
    </row>
    <row r="4470">
      <c r="A4470" s="10">
        <f>Daily_Data!A4470</f>
        <v>42782</v>
      </c>
      <c r="B4470" s="11">
        <f>Daily_Data!J4470</f>
        <v>11.76</v>
      </c>
      <c r="C4470" s="11">
        <f>Daily_Data!I4470</f>
        <v>1.16</v>
      </c>
      <c r="D4470" s="12">
        <f>if(sum(Daily_Data!K4470:L4470)&gt;0,1,0)</f>
        <v>0</v>
      </c>
    </row>
    <row r="4471">
      <c r="A4471" s="10">
        <f>Daily_Data!A4471</f>
        <v>42783</v>
      </c>
      <c r="B4471" s="11">
        <f>Daily_Data!J4471</f>
        <v>11.49</v>
      </c>
      <c r="C4471" s="11">
        <f>Daily_Data!I4471</f>
        <v>1.15</v>
      </c>
      <c r="D4471" s="12">
        <f>if(sum(Daily_Data!K4471:L4471)&gt;0,1,0)</f>
        <v>0</v>
      </c>
    </row>
    <row r="4472">
      <c r="A4472" s="10">
        <f>Daily_Data!A4472</f>
        <v>42786</v>
      </c>
      <c r="B4472" s="11" t="str">
        <f>Daily_Data!J4472</f>
        <v/>
      </c>
      <c r="C4472" s="11" t="str">
        <f>Daily_Data!I4472</f>
        <v/>
      </c>
      <c r="D4472" s="12">
        <f>if(sum(Daily_Data!K4472:L4472)&gt;0,1,0)</f>
        <v>0</v>
      </c>
    </row>
    <row r="4473">
      <c r="A4473" s="10">
        <f>Daily_Data!A4473</f>
        <v>42787</v>
      </c>
      <c r="B4473" s="11">
        <f>Daily_Data!J4473</f>
        <v>11.57</v>
      </c>
      <c r="C4473" s="11">
        <f>Daily_Data!I4473</f>
        <v>1.12</v>
      </c>
      <c r="D4473" s="12">
        <f>if(sum(Daily_Data!K4473:L4473)&gt;0,1,0)</f>
        <v>0</v>
      </c>
    </row>
    <row r="4474">
      <c r="A4474" s="10">
        <f>Daily_Data!A4474</f>
        <v>42788</v>
      </c>
      <c r="B4474" s="11">
        <f>Daily_Data!J4474</f>
        <v>11.74</v>
      </c>
      <c r="C4474" s="11">
        <f>Daily_Data!I4474</f>
        <v>1.12</v>
      </c>
      <c r="D4474" s="12">
        <f>if(sum(Daily_Data!K4474:L4474)&gt;0,1,0)</f>
        <v>0</v>
      </c>
    </row>
    <row r="4475">
      <c r="A4475" s="10">
        <f>Daily_Data!A4475</f>
        <v>42789</v>
      </c>
      <c r="B4475" s="11">
        <f>Daily_Data!J4475</f>
        <v>11.71</v>
      </c>
      <c r="C4475" s="11">
        <f>Daily_Data!I4475</f>
        <v>1.15</v>
      </c>
      <c r="D4475" s="12">
        <f>if(sum(Daily_Data!K4475:L4475)&gt;0,1,0)</f>
        <v>0</v>
      </c>
    </row>
    <row r="4476">
      <c r="A4476" s="10">
        <f>Daily_Data!A4476</f>
        <v>42790</v>
      </c>
      <c r="B4476" s="11">
        <f>Daily_Data!J4476</f>
        <v>11.47</v>
      </c>
      <c r="C4476" s="11">
        <f>Daily_Data!I4476</f>
        <v>1.2</v>
      </c>
      <c r="D4476" s="12">
        <f>if(sum(Daily_Data!K4476:L4476)&gt;0,1,0)</f>
        <v>0</v>
      </c>
    </row>
    <row r="4477">
      <c r="A4477" s="10">
        <f>Daily_Data!A4477</f>
        <v>42793</v>
      </c>
      <c r="B4477" s="11">
        <f>Daily_Data!J4477</f>
        <v>12.09</v>
      </c>
      <c r="C4477" s="11">
        <f>Daily_Data!I4477</f>
        <v>1.12</v>
      </c>
      <c r="D4477" s="12">
        <f>if(sum(Daily_Data!K4477:L4477)&gt;0,1,0)</f>
        <v>0</v>
      </c>
    </row>
    <row r="4478">
      <c r="A4478" s="10">
        <f>Daily_Data!A4478</f>
        <v>42794</v>
      </c>
      <c r="B4478" s="11">
        <f>Daily_Data!J4478</f>
        <v>12.92</v>
      </c>
      <c r="C4478" s="11">
        <f>Daily_Data!I4478</f>
        <v>1.12</v>
      </c>
      <c r="D4478" s="12">
        <f>if(sum(Daily_Data!K4478:L4478)&gt;0,1,0)</f>
        <v>0</v>
      </c>
    </row>
    <row r="4479">
      <c r="A4479" s="10">
        <f>Daily_Data!A4479</f>
        <v>42795</v>
      </c>
      <c r="B4479" s="11">
        <f>Daily_Data!J4479</f>
        <v>12.54</v>
      </c>
      <c r="C4479" s="11">
        <f>Daily_Data!I4479</f>
        <v>1.05</v>
      </c>
      <c r="D4479" s="12">
        <f>if(sum(Daily_Data!K4479:L4479)&gt;0,1,0)</f>
        <v>0</v>
      </c>
    </row>
    <row r="4480">
      <c r="A4480" s="10">
        <f>Daily_Data!A4480</f>
        <v>42796</v>
      </c>
      <c r="B4480" s="11">
        <f>Daily_Data!J4480</f>
        <v>11.81</v>
      </c>
      <c r="C4480" s="11">
        <f>Daily_Data!I4480</f>
        <v>1.02</v>
      </c>
      <c r="D4480" s="12">
        <f>if(sum(Daily_Data!K4480:L4480)&gt;0,1,0)</f>
        <v>0</v>
      </c>
    </row>
    <row r="4481">
      <c r="A4481" s="10">
        <f>Daily_Data!A4481</f>
        <v>42797</v>
      </c>
      <c r="B4481" s="11">
        <f>Daily_Data!J4481</f>
        <v>10.96</v>
      </c>
      <c r="C4481" s="11">
        <f>Daily_Data!I4481</f>
        <v>1.02</v>
      </c>
      <c r="D4481" s="12">
        <f>if(sum(Daily_Data!K4481:L4481)&gt;0,1,0)</f>
        <v>0</v>
      </c>
    </row>
    <row r="4482">
      <c r="A4482" s="10">
        <f>Daily_Data!A4482</f>
        <v>42800</v>
      </c>
      <c r="B4482" s="11">
        <f>Daily_Data!J4482</f>
        <v>11.24</v>
      </c>
      <c r="C4482" s="11">
        <f>Daily_Data!I4482</f>
        <v>1.03</v>
      </c>
      <c r="D4482" s="12">
        <f>if(sum(Daily_Data!K4482:L4482)&gt;0,1,0)</f>
        <v>0</v>
      </c>
    </row>
    <row r="4483">
      <c r="A4483" s="10">
        <f>Daily_Data!A4483</f>
        <v>42801</v>
      </c>
      <c r="B4483" s="11">
        <f>Daily_Data!J4483</f>
        <v>11.45</v>
      </c>
      <c r="C4483" s="11">
        <f>Daily_Data!I4483</f>
        <v>1.02</v>
      </c>
      <c r="D4483" s="12">
        <f>if(sum(Daily_Data!K4483:L4483)&gt;0,1,0)</f>
        <v>0</v>
      </c>
    </row>
    <row r="4484">
      <c r="A4484" s="10">
        <f>Daily_Data!A4484</f>
        <v>42802</v>
      </c>
      <c r="B4484" s="11">
        <f>Daily_Data!J4484</f>
        <v>11.86</v>
      </c>
      <c r="C4484" s="11">
        <f>Daily_Data!I4484</f>
        <v>0.97</v>
      </c>
      <c r="D4484" s="12">
        <f>if(sum(Daily_Data!K4484:L4484)&gt;0,1,0)</f>
        <v>0</v>
      </c>
    </row>
    <row r="4485">
      <c r="A4485" s="10">
        <f>Daily_Data!A4485</f>
        <v>42803</v>
      </c>
      <c r="B4485" s="11">
        <f>Daily_Data!J4485</f>
        <v>12.3</v>
      </c>
      <c r="C4485" s="11">
        <f>Daily_Data!I4485</f>
        <v>0.98</v>
      </c>
      <c r="D4485" s="12">
        <f>if(sum(Daily_Data!K4485:L4485)&gt;0,1,0)</f>
        <v>0</v>
      </c>
    </row>
    <row r="4486">
      <c r="A4486" s="10">
        <f>Daily_Data!A4486</f>
        <v>42804</v>
      </c>
      <c r="B4486" s="11">
        <f>Daily_Data!J4486</f>
        <v>11.66</v>
      </c>
      <c r="C4486" s="11">
        <f>Daily_Data!I4486</f>
        <v>1</v>
      </c>
      <c r="D4486" s="12">
        <f>if(sum(Daily_Data!K4486:L4486)&gt;0,1,0)</f>
        <v>1</v>
      </c>
    </row>
    <row r="4487">
      <c r="A4487" s="10">
        <f>Daily_Data!A4487</f>
        <v>42807</v>
      </c>
      <c r="B4487" s="11">
        <f>Daily_Data!J4487</f>
        <v>11.35</v>
      </c>
      <c r="C4487" s="11">
        <f>Daily_Data!I4487</f>
        <v>0.93</v>
      </c>
      <c r="D4487" s="12">
        <f>if(sum(Daily_Data!K4487:L4487)&gt;0,1,0)</f>
        <v>0</v>
      </c>
    </row>
    <row r="4488">
      <c r="A4488" s="10">
        <f>Daily_Data!A4488</f>
        <v>42808</v>
      </c>
      <c r="B4488" s="11">
        <f>Daily_Data!J4488</f>
        <v>12.3</v>
      </c>
      <c r="C4488" s="11">
        <f>Daily_Data!I4488</f>
        <v>0.93</v>
      </c>
      <c r="D4488" s="12">
        <f>if(sum(Daily_Data!K4488:L4488)&gt;0,1,0)</f>
        <v>0</v>
      </c>
    </row>
    <row r="4489">
      <c r="A4489" s="10">
        <f>Daily_Data!A4489</f>
        <v>42809</v>
      </c>
      <c r="B4489" s="11">
        <f>Daily_Data!J4489</f>
        <v>11.63</v>
      </c>
      <c r="C4489" s="11">
        <f>Daily_Data!I4489</f>
        <v>1</v>
      </c>
      <c r="D4489" s="12">
        <f>if(sum(Daily_Data!K4489:L4489)&gt;0,1,0)</f>
        <v>1</v>
      </c>
    </row>
    <row r="4490">
      <c r="A4490" s="10">
        <f>Daily_Data!A4490</f>
        <v>42810</v>
      </c>
      <c r="B4490" s="11">
        <f>Daily_Data!J4490</f>
        <v>11.21</v>
      </c>
      <c r="C4490" s="11">
        <f>Daily_Data!I4490</f>
        <v>0.94</v>
      </c>
      <c r="D4490" s="12">
        <f>if(sum(Daily_Data!K4490:L4490)&gt;0,1,0)</f>
        <v>0</v>
      </c>
    </row>
    <row r="4491">
      <c r="A4491" s="10">
        <f>Daily_Data!A4491</f>
        <v>42811</v>
      </c>
      <c r="B4491" s="11">
        <f>Daily_Data!J4491</f>
        <v>11.28</v>
      </c>
      <c r="C4491" s="11">
        <f>Daily_Data!I4491</f>
        <v>0.97</v>
      </c>
      <c r="D4491" s="12">
        <f>if(sum(Daily_Data!K4491:L4491)&gt;0,1,0)</f>
        <v>0</v>
      </c>
    </row>
    <row r="4492">
      <c r="A4492" s="10">
        <f>Daily_Data!A4492</f>
        <v>42814</v>
      </c>
      <c r="B4492" s="11">
        <f>Daily_Data!J4492</f>
        <v>11.34</v>
      </c>
      <c r="C4492" s="11">
        <f>Daily_Data!I4492</f>
        <v>0.98</v>
      </c>
      <c r="D4492" s="12">
        <f>if(sum(Daily_Data!K4492:L4492)&gt;0,1,0)</f>
        <v>0</v>
      </c>
    </row>
    <row r="4493">
      <c r="A4493" s="10">
        <f>Daily_Data!A4493</f>
        <v>42815</v>
      </c>
      <c r="B4493" s="11">
        <f>Daily_Data!J4493</f>
        <v>12.47</v>
      </c>
      <c r="C4493" s="11">
        <f>Daily_Data!I4493</f>
        <v>1.01</v>
      </c>
      <c r="D4493" s="12">
        <f>if(sum(Daily_Data!K4493:L4493)&gt;0,1,0)</f>
        <v>0</v>
      </c>
    </row>
    <row r="4494">
      <c r="A4494" s="10">
        <f>Daily_Data!A4494</f>
        <v>42816</v>
      </c>
      <c r="B4494" s="11">
        <f>Daily_Data!J4494</f>
        <v>12.81</v>
      </c>
      <c r="C4494" s="11">
        <f>Daily_Data!I4494</f>
        <v>1.02</v>
      </c>
      <c r="D4494" s="12">
        <f>if(sum(Daily_Data!K4494:L4494)&gt;0,1,0)</f>
        <v>0</v>
      </c>
    </row>
    <row r="4495">
      <c r="A4495" s="10">
        <f>Daily_Data!A4495</f>
        <v>42817</v>
      </c>
      <c r="B4495" s="11">
        <f>Daily_Data!J4495</f>
        <v>13.12</v>
      </c>
      <c r="C4495" s="11">
        <f>Daily_Data!I4495</f>
        <v>1.05</v>
      </c>
      <c r="D4495" s="12">
        <f>if(sum(Daily_Data!K4495:L4495)&gt;0,1,0)</f>
        <v>0</v>
      </c>
    </row>
    <row r="4496">
      <c r="A4496" s="10">
        <f>Daily_Data!A4496</f>
        <v>42818</v>
      </c>
      <c r="B4496" s="11">
        <f>Daily_Data!J4496</f>
        <v>12.96</v>
      </c>
      <c r="C4496" s="11">
        <f>Daily_Data!I4496</f>
        <v>1.05</v>
      </c>
      <c r="D4496" s="12">
        <f>if(sum(Daily_Data!K4496:L4496)&gt;0,1,0)</f>
        <v>0</v>
      </c>
    </row>
    <row r="4497">
      <c r="A4497" s="10">
        <f>Daily_Data!A4497</f>
        <v>42821</v>
      </c>
      <c r="B4497" s="11">
        <f>Daily_Data!J4497</f>
        <v>12.5</v>
      </c>
      <c r="C4497" s="11">
        <f>Daily_Data!I4497</f>
        <v>1.02</v>
      </c>
      <c r="D4497" s="12">
        <f>if(sum(Daily_Data!K4497:L4497)&gt;0,1,0)</f>
        <v>0</v>
      </c>
    </row>
    <row r="4498">
      <c r="A4498" s="10">
        <f>Daily_Data!A4498</f>
        <v>42822</v>
      </c>
      <c r="B4498" s="11">
        <f>Daily_Data!J4498</f>
        <v>11.53</v>
      </c>
      <c r="C4498" s="11">
        <f>Daily_Data!I4498</f>
        <v>1.01</v>
      </c>
      <c r="D4498" s="12">
        <f>if(sum(Daily_Data!K4498:L4498)&gt;0,1,0)</f>
        <v>0</v>
      </c>
    </row>
    <row r="4499">
      <c r="A4499" s="10">
        <f>Daily_Data!A4499</f>
        <v>42823</v>
      </c>
      <c r="B4499" s="11">
        <f>Daily_Data!J4499</f>
        <v>11.42</v>
      </c>
      <c r="C4499" s="11">
        <f>Daily_Data!I4499</f>
        <v>1.07</v>
      </c>
      <c r="D4499" s="12">
        <f>if(sum(Daily_Data!K4499:L4499)&gt;0,1,0)</f>
        <v>0</v>
      </c>
    </row>
    <row r="4500">
      <c r="A4500" s="10">
        <f>Daily_Data!A4500</f>
        <v>42824</v>
      </c>
      <c r="B4500" s="11">
        <f>Daily_Data!J4500</f>
        <v>11.54</v>
      </c>
      <c r="C4500" s="11">
        <f>Daily_Data!I4500</f>
        <v>1.04</v>
      </c>
      <c r="D4500" s="12">
        <f>if(sum(Daily_Data!K4500:L4500)&gt;0,1,0)</f>
        <v>0</v>
      </c>
    </row>
    <row r="4501">
      <c r="A4501" s="10">
        <f>Daily_Data!A4501</f>
        <v>42825</v>
      </c>
      <c r="B4501" s="11">
        <f>Daily_Data!J4501</f>
        <v>12.37</v>
      </c>
      <c r="C4501" s="11">
        <f>Daily_Data!I4501</f>
        <v>1.05</v>
      </c>
      <c r="D4501" s="12">
        <f>if(sum(Daily_Data!K4501:L4501)&gt;0,1,0)</f>
        <v>0</v>
      </c>
    </row>
    <row r="4502">
      <c r="A4502" s="10">
        <f>Daily_Data!A4502</f>
        <v>42828</v>
      </c>
      <c r="B4502" s="11">
        <f>Daily_Data!J4502</f>
        <v>12.38</v>
      </c>
      <c r="C4502" s="11">
        <f>Daily_Data!I4502</f>
        <v>1.07</v>
      </c>
      <c r="D4502" s="12">
        <f>if(sum(Daily_Data!K4502:L4502)&gt;0,1,0)</f>
        <v>0</v>
      </c>
    </row>
    <row r="4503">
      <c r="A4503" s="10">
        <f>Daily_Data!A4503</f>
        <v>42829</v>
      </c>
      <c r="B4503" s="11">
        <f>Daily_Data!J4503</f>
        <v>11.79</v>
      </c>
      <c r="C4503" s="11">
        <f>Daily_Data!I4503</f>
        <v>1.02</v>
      </c>
      <c r="D4503" s="12">
        <f>if(sum(Daily_Data!K4503:L4503)&gt;0,1,0)</f>
        <v>0</v>
      </c>
    </row>
    <row r="4504">
      <c r="A4504" s="10">
        <f>Daily_Data!A4504</f>
        <v>42830</v>
      </c>
      <c r="B4504" s="11">
        <f>Daily_Data!J4504</f>
        <v>12.89</v>
      </c>
      <c r="C4504" s="11">
        <f>Daily_Data!I4504</f>
        <v>1.04</v>
      </c>
      <c r="D4504" s="12">
        <f>if(sum(Daily_Data!K4504:L4504)&gt;0,1,0)</f>
        <v>0</v>
      </c>
    </row>
    <row r="4505">
      <c r="A4505" s="10">
        <f>Daily_Data!A4505</f>
        <v>42831</v>
      </c>
      <c r="B4505" s="11">
        <f>Daily_Data!J4505</f>
        <v>12.39</v>
      </c>
      <c r="C4505" s="11">
        <f>Daily_Data!I4505</f>
        <v>1.02</v>
      </c>
      <c r="D4505" s="12">
        <f>if(sum(Daily_Data!K4505:L4505)&gt;0,1,0)</f>
        <v>0</v>
      </c>
    </row>
    <row r="4506">
      <c r="A4506" s="10">
        <f>Daily_Data!A4506</f>
        <v>42832</v>
      </c>
      <c r="B4506" s="11">
        <f>Daily_Data!J4506</f>
        <v>12.87</v>
      </c>
      <c r="C4506" s="11">
        <f>Daily_Data!I4506</f>
        <v>0.96</v>
      </c>
      <c r="D4506" s="12">
        <f>if(sum(Daily_Data!K4506:L4506)&gt;0,1,0)</f>
        <v>1</v>
      </c>
    </row>
    <row r="4507">
      <c r="A4507" s="10">
        <f>Daily_Data!A4507</f>
        <v>42835</v>
      </c>
      <c r="B4507" s="11">
        <f>Daily_Data!J4507</f>
        <v>14.05</v>
      </c>
      <c r="C4507" s="11">
        <f>Daily_Data!I4507</f>
        <v>0.99</v>
      </c>
      <c r="D4507" s="12">
        <f>if(sum(Daily_Data!K4507:L4507)&gt;0,1,0)</f>
        <v>0</v>
      </c>
    </row>
    <row r="4508">
      <c r="A4508" s="10">
        <f>Daily_Data!A4508</f>
        <v>42836</v>
      </c>
      <c r="B4508" s="11">
        <f>Daily_Data!J4508</f>
        <v>15.07</v>
      </c>
      <c r="C4508" s="11">
        <f>Daily_Data!I4508</f>
        <v>1.02</v>
      </c>
      <c r="D4508" s="12">
        <f>if(sum(Daily_Data!K4508:L4508)&gt;0,1,0)</f>
        <v>0</v>
      </c>
    </row>
    <row r="4509">
      <c r="A4509" s="10">
        <f>Daily_Data!A4509</f>
        <v>42837</v>
      </c>
      <c r="B4509" s="11">
        <f>Daily_Data!J4509</f>
        <v>15.77</v>
      </c>
      <c r="C4509" s="11">
        <f>Daily_Data!I4509</f>
        <v>1.03</v>
      </c>
      <c r="D4509" s="12">
        <f>if(sum(Daily_Data!K4509:L4509)&gt;0,1,0)</f>
        <v>0</v>
      </c>
    </row>
    <row r="4510">
      <c r="A4510" s="10">
        <f>Daily_Data!A4510</f>
        <v>42838</v>
      </c>
      <c r="B4510" s="11">
        <f>Daily_Data!J4510</f>
        <v>15.96</v>
      </c>
      <c r="C4510" s="11">
        <f>Daily_Data!I4510</f>
        <v>1.06</v>
      </c>
      <c r="D4510" s="12">
        <f>if(sum(Daily_Data!K4510:L4510)&gt;0,1,0)</f>
        <v>0</v>
      </c>
    </row>
    <row r="4511">
      <c r="A4511" s="10">
        <f>Daily_Data!A4511</f>
        <v>42839</v>
      </c>
      <c r="B4511" s="11" t="str">
        <f>Daily_Data!J4511</f>
        <v/>
      </c>
      <c r="C4511" s="11" t="str">
        <f>Daily_Data!I4511</f>
        <v/>
      </c>
      <c r="D4511" s="12">
        <f>if(sum(Daily_Data!K4511:L4511)&gt;0,1,0)</f>
        <v>1</v>
      </c>
    </row>
    <row r="4512">
      <c r="A4512" s="10">
        <f>Daily_Data!A4512</f>
        <v>42842</v>
      </c>
      <c r="B4512" s="11">
        <f>Daily_Data!J4512</f>
        <v>14.66</v>
      </c>
      <c r="C4512" s="11" t="str">
        <f>Daily_Data!I4512</f>
        <v/>
      </c>
      <c r="D4512" s="12">
        <f>if(sum(Daily_Data!K4512:L4512)&gt;0,1,0)</f>
        <v>0</v>
      </c>
    </row>
    <row r="4513">
      <c r="A4513" s="10">
        <f>Daily_Data!A4513</f>
        <v>42843</v>
      </c>
      <c r="B4513" s="11">
        <f>Daily_Data!J4513</f>
        <v>14.42</v>
      </c>
      <c r="C4513" s="11">
        <f>Daily_Data!I4513</f>
        <v>1.11</v>
      </c>
      <c r="D4513" s="12">
        <f>if(sum(Daily_Data!K4513:L4513)&gt;0,1,0)</f>
        <v>0</v>
      </c>
    </row>
    <row r="4514">
      <c r="A4514" s="10">
        <f>Daily_Data!A4514</f>
        <v>42844</v>
      </c>
      <c r="B4514" s="11">
        <f>Daily_Data!J4514</f>
        <v>14.93</v>
      </c>
      <c r="C4514" s="11">
        <f>Daily_Data!I4514</f>
        <v>1.1</v>
      </c>
      <c r="D4514" s="12">
        <f>if(sum(Daily_Data!K4514:L4514)&gt;0,1,0)</f>
        <v>0</v>
      </c>
    </row>
    <row r="4515">
      <c r="A4515" s="10">
        <f>Daily_Data!A4515</f>
        <v>42845</v>
      </c>
      <c r="B4515" s="11">
        <f>Daily_Data!J4515</f>
        <v>14.15</v>
      </c>
      <c r="C4515" s="11">
        <f>Daily_Data!I4515</f>
        <v>1.11</v>
      </c>
      <c r="D4515" s="12">
        <f>if(sum(Daily_Data!K4515:L4515)&gt;0,1,0)</f>
        <v>0</v>
      </c>
    </row>
    <row r="4516">
      <c r="A4516" s="10">
        <f>Daily_Data!A4516</f>
        <v>42846</v>
      </c>
      <c r="B4516" s="11">
        <f>Daily_Data!J4516</f>
        <v>14.63</v>
      </c>
      <c r="C4516" s="11">
        <f>Daily_Data!I4516</f>
        <v>1.12</v>
      </c>
      <c r="D4516" s="12">
        <f>if(sum(Daily_Data!K4516:L4516)&gt;0,1,0)</f>
        <v>0</v>
      </c>
    </row>
    <row r="4517">
      <c r="A4517" s="10">
        <f>Daily_Data!A4517</f>
        <v>42849</v>
      </c>
      <c r="B4517" s="11">
        <f>Daily_Data!J4517</f>
        <v>10.84</v>
      </c>
      <c r="C4517" s="11">
        <f>Daily_Data!I4517</f>
        <v>1.09</v>
      </c>
      <c r="D4517" s="12">
        <f>if(sum(Daily_Data!K4517:L4517)&gt;0,1,0)</f>
        <v>0</v>
      </c>
    </row>
    <row r="4518">
      <c r="A4518" s="10">
        <f>Daily_Data!A4518</f>
        <v>42850</v>
      </c>
      <c r="B4518" s="11">
        <f>Daily_Data!J4518</f>
        <v>10.76</v>
      </c>
      <c r="C4518" s="11" t="str">
        <f>Daily_Data!I4518</f>
        <v/>
      </c>
      <c r="D4518" s="12">
        <f>if(sum(Daily_Data!K4518:L4518)&gt;0,1,0)</f>
        <v>0</v>
      </c>
    </row>
    <row r="4519">
      <c r="A4519" s="10">
        <f>Daily_Data!A4519</f>
        <v>42851</v>
      </c>
      <c r="B4519" s="11">
        <f>Daily_Data!J4519</f>
        <v>10.85</v>
      </c>
      <c r="C4519" s="11">
        <f>Daily_Data!I4519</f>
        <v>1.04</v>
      </c>
      <c r="D4519" s="12">
        <f>if(sum(Daily_Data!K4519:L4519)&gt;0,1,0)</f>
        <v>0</v>
      </c>
    </row>
    <row r="4520">
      <c r="A4520" s="10">
        <f>Daily_Data!A4520</f>
        <v>42852</v>
      </c>
      <c r="B4520" s="11">
        <f>Daily_Data!J4520</f>
        <v>10.36</v>
      </c>
      <c r="C4520" s="11">
        <f>Daily_Data!I4520</f>
        <v>1.06</v>
      </c>
      <c r="D4520" s="12">
        <f>if(sum(Daily_Data!K4520:L4520)&gt;0,1,0)</f>
        <v>0</v>
      </c>
    </row>
    <row r="4521">
      <c r="A4521" s="10">
        <f>Daily_Data!A4521</f>
        <v>42853</v>
      </c>
      <c r="B4521" s="11">
        <f>Daily_Data!J4521</f>
        <v>10.82</v>
      </c>
      <c r="C4521" s="11">
        <f>Daily_Data!I4521</f>
        <v>1.02</v>
      </c>
      <c r="D4521" s="12">
        <f>if(sum(Daily_Data!K4521:L4521)&gt;0,1,0)</f>
        <v>0</v>
      </c>
    </row>
    <row r="4522">
      <c r="A4522" s="10">
        <f>Daily_Data!A4522</f>
        <v>42856</v>
      </c>
      <c r="B4522" s="11">
        <f>Daily_Data!J4522</f>
        <v>10.11</v>
      </c>
      <c r="C4522" s="11">
        <f>Daily_Data!I4522</f>
        <v>1.01</v>
      </c>
      <c r="D4522" s="12">
        <f>if(sum(Daily_Data!K4522:L4522)&gt;0,1,0)</f>
        <v>0</v>
      </c>
    </row>
    <row r="4523">
      <c r="A4523" s="10">
        <f>Daily_Data!A4523</f>
        <v>42857</v>
      </c>
      <c r="B4523" s="11">
        <f>Daily_Data!J4523</f>
        <v>10.59</v>
      </c>
      <c r="C4523" s="11">
        <f>Daily_Data!I4523</f>
        <v>1.03</v>
      </c>
      <c r="D4523" s="12">
        <f>if(sum(Daily_Data!K4523:L4523)&gt;0,1,0)</f>
        <v>0</v>
      </c>
    </row>
    <row r="4524">
      <c r="A4524" s="10">
        <f>Daily_Data!A4524</f>
        <v>42858</v>
      </c>
      <c r="B4524" s="11">
        <f>Daily_Data!J4524</f>
        <v>10.68</v>
      </c>
      <c r="C4524" s="11">
        <f>Daily_Data!I4524</f>
        <v>1</v>
      </c>
      <c r="D4524" s="12">
        <f>if(sum(Daily_Data!K4524:L4524)&gt;0,1,0)</f>
        <v>0</v>
      </c>
    </row>
    <row r="4525">
      <c r="A4525" s="10">
        <f>Daily_Data!A4525</f>
        <v>42859</v>
      </c>
      <c r="B4525" s="11">
        <f>Daily_Data!J4525</f>
        <v>10.46</v>
      </c>
      <c r="C4525" s="11">
        <f>Daily_Data!I4525</f>
        <v>0.99</v>
      </c>
      <c r="D4525" s="12">
        <f>if(sum(Daily_Data!K4525:L4525)&gt;0,1,0)</f>
        <v>0</v>
      </c>
    </row>
    <row r="4526">
      <c r="A4526" s="10">
        <f>Daily_Data!A4526</f>
        <v>42860</v>
      </c>
      <c r="B4526" s="11">
        <f>Daily_Data!J4526</f>
        <v>10.57</v>
      </c>
      <c r="C4526" s="11">
        <f>Daily_Data!I4526</f>
        <v>1</v>
      </c>
      <c r="D4526" s="12">
        <f>if(sum(Daily_Data!K4526:L4526)&gt;0,1,0)</f>
        <v>1</v>
      </c>
    </row>
    <row r="4527">
      <c r="A4527" s="10">
        <f>Daily_Data!A4527</f>
        <v>42863</v>
      </c>
      <c r="B4527" s="11">
        <f>Daily_Data!J4527</f>
        <v>9.77</v>
      </c>
      <c r="C4527" s="11">
        <f>Daily_Data!I4527</f>
        <v>1.01</v>
      </c>
      <c r="D4527" s="12">
        <f>if(sum(Daily_Data!K4527:L4527)&gt;0,1,0)</f>
        <v>0</v>
      </c>
    </row>
    <row r="4528">
      <c r="A4528" s="10">
        <f>Daily_Data!A4528</f>
        <v>42864</v>
      </c>
      <c r="B4528" s="11">
        <f>Daily_Data!J4528</f>
        <v>9.96</v>
      </c>
      <c r="C4528" s="11">
        <f>Daily_Data!I4528</f>
        <v>0.98</v>
      </c>
      <c r="D4528" s="12">
        <f>if(sum(Daily_Data!K4528:L4528)&gt;0,1,0)</f>
        <v>0</v>
      </c>
    </row>
    <row r="4529">
      <c r="A4529" s="10">
        <f>Daily_Data!A4529</f>
        <v>42865</v>
      </c>
      <c r="B4529" s="11">
        <f>Daily_Data!J4529</f>
        <v>10.21</v>
      </c>
      <c r="C4529" s="11">
        <f>Daily_Data!I4529</f>
        <v>0.99</v>
      </c>
      <c r="D4529" s="12">
        <f>if(sum(Daily_Data!K4529:L4529)&gt;0,1,0)</f>
        <v>0</v>
      </c>
    </row>
    <row r="4530">
      <c r="A4530" s="10">
        <f>Daily_Data!A4530</f>
        <v>42866</v>
      </c>
      <c r="B4530" s="11">
        <f>Daily_Data!J4530</f>
        <v>10.6</v>
      </c>
      <c r="C4530" s="11">
        <f>Daily_Data!I4530</f>
        <v>0.92</v>
      </c>
      <c r="D4530" s="12">
        <f>if(sum(Daily_Data!K4530:L4530)&gt;0,1,0)</f>
        <v>0</v>
      </c>
    </row>
    <row r="4531">
      <c r="A4531" s="10">
        <f>Daily_Data!A4531</f>
        <v>42867</v>
      </c>
      <c r="B4531" s="11">
        <f>Daily_Data!J4531</f>
        <v>10.4</v>
      </c>
      <c r="C4531" s="11">
        <f>Daily_Data!I4531</f>
        <v>0.94</v>
      </c>
      <c r="D4531" s="12">
        <f>if(sum(Daily_Data!K4531:L4531)&gt;0,1,0)</f>
        <v>1</v>
      </c>
    </row>
    <row r="4532">
      <c r="A4532" s="10">
        <f>Daily_Data!A4532</f>
        <v>42870</v>
      </c>
      <c r="B4532" s="11">
        <f>Daily_Data!J4532</f>
        <v>10.42</v>
      </c>
      <c r="C4532" s="11">
        <f>Daily_Data!I4532</f>
        <v>0.91</v>
      </c>
      <c r="D4532" s="12">
        <f>if(sum(Daily_Data!K4532:L4532)&gt;0,1,0)</f>
        <v>0</v>
      </c>
    </row>
    <row r="4533">
      <c r="A4533" s="10">
        <f>Daily_Data!A4533</f>
        <v>42871</v>
      </c>
      <c r="B4533" s="11">
        <f>Daily_Data!J4533</f>
        <v>10.65</v>
      </c>
      <c r="C4533" s="11">
        <f>Daily_Data!I4533</f>
        <v>0.94</v>
      </c>
      <c r="D4533" s="12">
        <f>if(sum(Daily_Data!K4533:L4533)&gt;0,1,0)</f>
        <v>0</v>
      </c>
    </row>
    <row r="4534">
      <c r="A4534" s="10">
        <f>Daily_Data!A4534</f>
        <v>42872</v>
      </c>
      <c r="B4534" s="11">
        <f>Daily_Data!J4534</f>
        <v>15.59</v>
      </c>
      <c r="C4534" s="11">
        <f>Daily_Data!I4534</f>
        <v>0.96</v>
      </c>
      <c r="D4534" s="12">
        <f>if(sum(Daily_Data!K4534:L4534)&gt;0,1,0)</f>
        <v>0</v>
      </c>
    </row>
    <row r="4535">
      <c r="A4535" s="10">
        <f>Daily_Data!A4535</f>
        <v>42873</v>
      </c>
      <c r="B4535" s="11">
        <f>Daily_Data!J4535</f>
        <v>14.66</v>
      </c>
      <c r="C4535" s="11">
        <f>Daily_Data!I4535</f>
        <v>0.96</v>
      </c>
      <c r="D4535" s="12">
        <f>if(sum(Daily_Data!K4535:L4535)&gt;0,1,0)</f>
        <v>0</v>
      </c>
    </row>
    <row r="4536">
      <c r="A4536" s="10">
        <f>Daily_Data!A4536</f>
        <v>42874</v>
      </c>
      <c r="B4536" s="11">
        <f>Daily_Data!J4536</f>
        <v>12.04</v>
      </c>
      <c r="C4536" s="11">
        <f>Daily_Data!I4536</f>
        <v>0.95</v>
      </c>
      <c r="D4536" s="12">
        <f>if(sum(Daily_Data!K4536:L4536)&gt;0,1,0)</f>
        <v>0</v>
      </c>
    </row>
    <row r="4537">
      <c r="A4537" s="10">
        <f>Daily_Data!A4537</f>
        <v>42877</v>
      </c>
      <c r="B4537" s="11">
        <f>Daily_Data!J4537</f>
        <v>10.93</v>
      </c>
      <c r="C4537" s="11">
        <f>Daily_Data!I4537</f>
        <v>0.95</v>
      </c>
      <c r="D4537" s="12">
        <f>if(sum(Daily_Data!K4537:L4537)&gt;0,1,0)</f>
        <v>0</v>
      </c>
    </row>
    <row r="4538">
      <c r="A4538" s="10">
        <f>Daily_Data!A4538</f>
        <v>42878</v>
      </c>
      <c r="B4538" s="11">
        <f>Daily_Data!J4538</f>
        <v>10.72</v>
      </c>
      <c r="C4538" s="11">
        <f>Daily_Data!I4538</f>
        <v>0.92</v>
      </c>
      <c r="D4538" s="12">
        <f>if(sum(Daily_Data!K4538:L4538)&gt;0,1,0)</f>
        <v>0</v>
      </c>
    </row>
    <row r="4539">
      <c r="A4539" s="10">
        <f>Daily_Data!A4539</f>
        <v>42879</v>
      </c>
      <c r="B4539" s="11">
        <f>Daily_Data!J4539</f>
        <v>10.02</v>
      </c>
      <c r="C4539" s="11">
        <f>Daily_Data!I4539</f>
        <v>0.94</v>
      </c>
      <c r="D4539" s="12">
        <f>if(sum(Daily_Data!K4539:L4539)&gt;0,1,0)</f>
        <v>0</v>
      </c>
    </row>
    <row r="4540">
      <c r="A4540" s="10">
        <f>Daily_Data!A4540</f>
        <v>42880</v>
      </c>
      <c r="B4540" s="11">
        <f>Daily_Data!J4540</f>
        <v>9.99</v>
      </c>
      <c r="C4540" s="11">
        <f>Daily_Data!I4540</f>
        <v>0.92</v>
      </c>
      <c r="D4540" s="12">
        <f>if(sum(Daily_Data!K4540:L4540)&gt;0,1,0)</f>
        <v>0</v>
      </c>
    </row>
    <row r="4541">
      <c r="A4541" s="10">
        <f>Daily_Data!A4541</f>
        <v>42881</v>
      </c>
      <c r="B4541" s="11">
        <f>Daily_Data!J4541</f>
        <v>9.81</v>
      </c>
      <c r="C4541" s="11">
        <f>Daily_Data!I4541</f>
        <v>0.91</v>
      </c>
      <c r="D4541" s="12">
        <f>if(sum(Daily_Data!K4541:L4541)&gt;0,1,0)</f>
        <v>0</v>
      </c>
    </row>
    <row r="4542">
      <c r="A4542" s="10">
        <f>Daily_Data!A4542</f>
        <v>42884</v>
      </c>
      <c r="B4542" s="11" t="str">
        <f>Daily_Data!J4542</f>
        <v/>
      </c>
      <c r="C4542" s="11" t="str">
        <f>Daily_Data!I4542</f>
        <v/>
      </c>
      <c r="D4542" s="12">
        <f>if(sum(Daily_Data!K4542:L4542)&gt;0,1,0)</f>
        <v>0</v>
      </c>
    </row>
    <row r="4543">
      <c r="A4543" s="10">
        <f>Daily_Data!A4543</f>
        <v>42885</v>
      </c>
      <c r="B4543" s="11">
        <f>Daily_Data!J4543</f>
        <v>10.38</v>
      </c>
      <c r="C4543" s="11">
        <f>Daily_Data!I4543</f>
        <v>0.95</v>
      </c>
      <c r="D4543" s="12">
        <f>if(sum(Daily_Data!K4543:L4543)&gt;0,1,0)</f>
        <v>0</v>
      </c>
    </row>
    <row r="4544">
      <c r="A4544" s="10">
        <f>Daily_Data!A4544</f>
        <v>42886</v>
      </c>
      <c r="B4544" s="11">
        <f>Daily_Data!J4544</f>
        <v>10.41</v>
      </c>
      <c r="C4544" s="11">
        <f>Daily_Data!I4544</f>
        <v>0.93</v>
      </c>
      <c r="D4544" s="12">
        <f>if(sum(Daily_Data!K4544:L4544)&gt;0,1,0)</f>
        <v>0</v>
      </c>
    </row>
    <row r="4545">
      <c r="A4545" s="10">
        <f>Daily_Data!A4545</f>
        <v>42887</v>
      </c>
      <c r="B4545" s="11">
        <f>Daily_Data!J4545</f>
        <v>9.89</v>
      </c>
      <c r="C4545" s="11">
        <f>Daily_Data!I4545</f>
        <v>0.91</v>
      </c>
      <c r="D4545" s="12">
        <f>if(sum(Daily_Data!K4545:L4545)&gt;0,1,0)</f>
        <v>0</v>
      </c>
    </row>
    <row r="4546">
      <c r="A4546" s="10">
        <f>Daily_Data!A4546</f>
        <v>42888</v>
      </c>
      <c r="B4546" s="11">
        <f>Daily_Data!J4546</f>
        <v>9.75</v>
      </c>
      <c r="C4546" s="11">
        <f>Daily_Data!I4546</f>
        <v>0.93</v>
      </c>
      <c r="D4546" s="12">
        <f>if(sum(Daily_Data!K4546:L4546)&gt;0,1,0)</f>
        <v>1</v>
      </c>
    </row>
    <row r="4547">
      <c r="A4547" s="10">
        <f>Daily_Data!A4547</f>
        <v>42891</v>
      </c>
      <c r="B4547" s="11">
        <f>Daily_Data!J4547</f>
        <v>10.07</v>
      </c>
      <c r="C4547" s="11" t="str">
        <f>Daily_Data!I4547</f>
        <v/>
      </c>
      <c r="D4547" s="12">
        <f>if(sum(Daily_Data!K4547:L4547)&gt;0,1,0)</f>
        <v>0</v>
      </c>
    </row>
    <row r="4548">
      <c r="A4548" s="10">
        <f>Daily_Data!A4548</f>
        <v>42892</v>
      </c>
      <c r="B4548" s="11">
        <f>Daily_Data!J4548</f>
        <v>10.45</v>
      </c>
      <c r="C4548" s="11">
        <f>Daily_Data!I4548</f>
        <v>0.89</v>
      </c>
      <c r="D4548" s="12">
        <f>if(sum(Daily_Data!K4548:L4548)&gt;0,1,0)</f>
        <v>0</v>
      </c>
    </row>
    <row r="4549">
      <c r="A4549" s="10">
        <f>Daily_Data!A4549</f>
        <v>42893</v>
      </c>
      <c r="B4549" s="11">
        <f>Daily_Data!J4549</f>
        <v>10.39</v>
      </c>
      <c r="C4549" s="11">
        <f>Daily_Data!I4549</f>
        <v>0.86</v>
      </c>
      <c r="D4549" s="12">
        <f>if(sum(Daily_Data!K4549:L4549)&gt;0,1,0)</f>
        <v>0</v>
      </c>
    </row>
    <row r="4550">
      <c r="A4550" s="10">
        <f>Daily_Data!A4550</f>
        <v>42894</v>
      </c>
      <c r="B4550" s="11">
        <f>Daily_Data!J4550</f>
        <v>10.16</v>
      </c>
      <c r="C4550" s="11">
        <f>Daily_Data!I4550</f>
        <v>0.86</v>
      </c>
      <c r="D4550" s="12">
        <f>if(sum(Daily_Data!K4550:L4550)&gt;0,1,0)</f>
        <v>0</v>
      </c>
    </row>
    <row r="4551">
      <c r="A4551" s="10">
        <f>Daily_Data!A4551</f>
        <v>42895</v>
      </c>
      <c r="B4551" s="11">
        <f>Daily_Data!J4551</f>
        <v>10.7</v>
      </c>
      <c r="C4551" s="11">
        <f>Daily_Data!I4551</f>
        <v>0.85</v>
      </c>
      <c r="D4551" s="12">
        <f>if(sum(Daily_Data!K4551:L4551)&gt;0,1,0)</f>
        <v>0</v>
      </c>
    </row>
    <row r="4552">
      <c r="A4552" s="10">
        <f>Daily_Data!A4552</f>
        <v>42898</v>
      </c>
      <c r="B4552" s="11">
        <f>Daily_Data!J4552</f>
        <v>11.46</v>
      </c>
      <c r="C4552" s="11">
        <f>Daily_Data!I4552</f>
        <v>0.85</v>
      </c>
      <c r="D4552" s="12">
        <f>if(sum(Daily_Data!K4552:L4552)&gt;0,1,0)</f>
        <v>0</v>
      </c>
    </row>
    <row r="4553">
      <c r="A4553" s="10">
        <f>Daily_Data!A4553</f>
        <v>42899</v>
      </c>
      <c r="B4553" s="11">
        <f>Daily_Data!J4553</f>
        <v>10.42</v>
      </c>
      <c r="C4553" s="11">
        <f>Daily_Data!I4553</f>
        <v>0.81</v>
      </c>
      <c r="D4553" s="12">
        <f>if(sum(Daily_Data!K4553:L4553)&gt;0,1,0)</f>
        <v>0</v>
      </c>
    </row>
    <row r="4554">
      <c r="A4554" s="10">
        <f>Daily_Data!A4554</f>
        <v>42900</v>
      </c>
      <c r="B4554" s="11">
        <f>Daily_Data!J4554</f>
        <v>10.64</v>
      </c>
      <c r="C4554" s="11">
        <f>Daily_Data!I4554</f>
        <v>0.85</v>
      </c>
      <c r="D4554" s="12">
        <f>if(sum(Daily_Data!K4554:L4554)&gt;0,1,0)</f>
        <v>1</v>
      </c>
    </row>
    <row r="4555">
      <c r="A4555" s="10">
        <f>Daily_Data!A4555</f>
        <v>42901</v>
      </c>
      <c r="B4555" s="11">
        <f>Daily_Data!J4555</f>
        <v>10.9</v>
      </c>
      <c r="C4555" s="11">
        <f>Daily_Data!I4555</f>
        <v>0.81</v>
      </c>
      <c r="D4555" s="12">
        <f>if(sum(Daily_Data!K4555:L4555)&gt;0,1,0)</f>
        <v>0</v>
      </c>
    </row>
    <row r="4556">
      <c r="A4556" s="10">
        <f>Daily_Data!A4556</f>
        <v>42902</v>
      </c>
      <c r="B4556" s="11">
        <f>Daily_Data!J4556</f>
        <v>10.38</v>
      </c>
      <c r="C4556" s="11">
        <f>Daily_Data!I4556</f>
        <v>0.87</v>
      </c>
      <c r="D4556" s="12">
        <f>if(sum(Daily_Data!K4556:L4556)&gt;0,1,0)</f>
        <v>0</v>
      </c>
    </row>
    <row r="4557">
      <c r="A4557" s="10">
        <f>Daily_Data!A4557</f>
        <v>42905</v>
      </c>
      <c r="B4557" s="11">
        <f>Daily_Data!J4557</f>
        <v>10.37</v>
      </c>
      <c r="C4557" s="11">
        <f>Daily_Data!I4557</f>
        <v>0.84</v>
      </c>
      <c r="D4557" s="12">
        <f>if(sum(Daily_Data!K4557:L4557)&gt;0,1,0)</f>
        <v>0</v>
      </c>
    </row>
    <row r="4558">
      <c r="A4558" s="10">
        <f>Daily_Data!A4558</f>
        <v>42906</v>
      </c>
      <c r="B4558" s="11">
        <f>Daily_Data!J4558</f>
        <v>10.86</v>
      </c>
      <c r="C4558" s="11">
        <f>Daily_Data!I4558</f>
        <v>0.87</v>
      </c>
      <c r="D4558" s="12">
        <f>if(sum(Daily_Data!K4558:L4558)&gt;0,1,0)</f>
        <v>0</v>
      </c>
    </row>
    <row r="4559">
      <c r="A4559" s="10">
        <f>Daily_Data!A4559</f>
        <v>42907</v>
      </c>
      <c r="B4559" s="11">
        <f>Daily_Data!J4559</f>
        <v>10.75</v>
      </c>
      <c r="C4559" s="11">
        <f>Daily_Data!I4559</f>
        <v>0.85</v>
      </c>
      <c r="D4559" s="12">
        <f>if(sum(Daily_Data!K4559:L4559)&gt;0,1,0)</f>
        <v>0</v>
      </c>
    </row>
    <row r="4560">
      <c r="A4560" s="10">
        <f>Daily_Data!A4560</f>
        <v>42908</v>
      </c>
      <c r="B4560" s="11">
        <f>Daily_Data!J4560</f>
        <v>10.48</v>
      </c>
      <c r="C4560" s="11">
        <f>Daily_Data!I4560</f>
        <v>0.86</v>
      </c>
      <c r="D4560" s="12">
        <f>if(sum(Daily_Data!K4560:L4560)&gt;0,1,0)</f>
        <v>0</v>
      </c>
    </row>
    <row r="4561">
      <c r="A4561" s="10">
        <f>Daily_Data!A4561</f>
        <v>42909</v>
      </c>
      <c r="B4561" s="11">
        <f>Daily_Data!J4561</f>
        <v>10.02</v>
      </c>
      <c r="C4561" s="11">
        <f>Daily_Data!I4561</f>
        <v>0.86</v>
      </c>
      <c r="D4561" s="12">
        <f>if(sum(Daily_Data!K4561:L4561)&gt;0,1,0)</f>
        <v>0</v>
      </c>
    </row>
    <row r="4562">
      <c r="A4562" s="10">
        <f>Daily_Data!A4562</f>
        <v>42912</v>
      </c>
      <c r="B4562" s="11">
        <f>Daily_Data!J4562</f>
        <v>9.9</v>
      </c>
      <c r="C4562" s="11">
        <f>Daily_Data!I4562</f>
        <v>0.85</v>
      </c>
      <c r="D4562" s="12">
        <f>if(sum(Daily_Data!K4562:L4562)&gt;0,1,0)</f>
        <v>0</v>
      </c>
    </row>
    <row r="4563">
      <c r="A4563" s="10">
        <f>Daily_Data!A4563</f>
        <v>42913</v>
      </c>
      <c r="B4563" s="11">
        <f>Daily_Data!J4563</f>
        <v>11.06</v>
      </c>
      <c r="C4563" s="11">
        <f>Daily_Data!I4563</f>
        <v>0.83</v>
      </c>
      <c r="D4563" s="12">
        <f>if(sum(Daily_Data!K4563:L4563)&gt;0,1,0)</f>
        <v>0</v>
      </c>
    </row>
    <row r="4564">
      <c r="A4564" s="10">
        <f>Daily_Data!A4564</f>
        <v>42914</v>
      </c>
      <c r="B4564" s="11">
        <f>Daily_Data!J4564</f>
        <v>10.03</v>
      </c>
      <c r="C4564" s="11">
        <f>Daily_Data!I4564</f>
        <v>0.9</v>
      </c>
      <c r="D4564" s="12">
        <f>if(sum(Daily_Data!K4564:L4564)&gt;0,1,0)</f>
        <v>0</v>
      </c>
    </row>
    <row r="4565">
      <c r="A4565" s="10">
        <f>Daily_Data!A4565</f>
        <v>42915</v>
      </c>
      <c r="B4565" s="11">
        <f>Daily_Data!J4565</f>
        <v>11.44</v>
      </c>
      <c r="C4565" s="11">
        <f>Daily_Data!I4565</f>
        <v>0.9</v>
      </c>
      <c r="D4565" s="12">
        <f>if(sum(Daily_Data!K4565:L4565)&gt;0,1,0)</f>
        <v>0</v>
      </c>
    </row>
    <row r="4566">
      <c r="A4566" s="10">
        <f>Daily_Data!A4566</f>
        <v>42916</v>
      </c>
      <c r="B4566" s="11">
        <f>Daily_Data!J4566</f>
        <v>11.18</v>
      </c>
      <c r="C4566" s="11">
        <f>Daily_Data!I4566</f>
        <v>0.95</v>
      </c>
      <c r="D4566" s="12">
        <f>if(sum(Daily_Data!K4566:L4566)&gt;0,1,0)</f>
        <v>0</v>
      </c>
    </row>
    <row r="4567">
      <c r="A4567" s="10">
        <f>Daily_Data!A4567</f>
        <v>42919</v>
      </c>
      <c r="B4567" s="11">
        <f>Daily_Data!J4567</f>
        <v>11.22</v>
      </c>
      <c r="C4567" s="11">
        <f>Daily_Data!I4567</f>
        <v>0.96</v>
      </c>
      <c r="D4567" s="12">
        <f>if(sum(Daily_Data!K4567:L4567)&gt;0,1,0)</f>
        <v>0</v>
      </c>
    </row>
    <row r="4568">
      <c r="A4568" s="10">
        <f>Daily_Data!A4568</f>
        <v>42920</v>
      </c>
      <c r="B4568" s="11" t="str">
        <f>Daily_Data!J4568</f>
        <v/>
      </c>
      <c r="C4568" s="11" t="str">
        <f>Daily_Data!I4568</f>
        <v/>
      </c>
      <c r="D4568" s="12">
        <f>if(sum(Daily_Data!K4568:L4568)&gt;0,1,0)</f>
        <v>0</v>
      </c>
    </row>
    <row r="4569">
      <c r="A4569" s="10">
        <f>Daily_Data!A4569</f>
        <v>42921</v>
      </c>
      <c r="B4569" s="11">
        <f>Daily_Data!J4569</f>
        <v>11.07</v>
      </c>
      <c r="C4569" s="11">
        <f>Daily_Data!I4569</f>
        <v>0.9</v>
      </c>
      <c r="D4569" s="12">
        <f>if(sum(Daily_Data!K4569:L4569)&gt;0,1,0)</f>
        <v>0</v>
      </c>
    </row>
    <row r="4570">
      <c r="A4570" s="10">
        <f>Daily_Data!A4570</f>
        <v>42922</v>
      </c>
      <c r="B4570" s="11">
        <f>Daily_Data!J4570</f>
        <v>12.54</v>
      </c>
      <c r="C4570" s="11">
        <f>Daily_Data!I4570</f>
        <v>0.89</v>
      </c>
      <c r="D4570" s="12">
        <f>if(sum(Daily_Data!K4570:L4570)&gt;0,1,0)</f>
        <v>0</v>
      </c>
    </row>
    <row r="4571">
      <c r="A4571" s="10">
        <f>Daily_Data!A4571</f>
        <v>42923</v>
      </c>
      <c r="B4571" s="11">
        <f>Daily_Data!J4571</f>
        <v>11.19</v>
      </c>
      <c r="C4571" s="11">
        <f>Daily_Data!I4571</f>
        <v>0.92</v>
      </c>
      <c r="D4571" s="12">
        <f>if(sum(Daily_Data!K4571:L4571)&gt;0,1,0)</f>
        <v>1</v>
      </c>
    </row>
    <row r="4572">
      <c r="A4572" s="10">
        <f>Daily_Data!A4572</f>
        <v>42926</v>
      </c>
      <c r="B4572" s="11">
        <f>Daily_Data!J4572</f>
        <v>11.11</v>
      </c>
      <c r="C4572" s="11">
        <f>Daily_Data!I4572</f>
        <v>0.93</v>
      </c>
      <c r="D4572" s="12">
        <f>if(sum(Daily_Data!K4572:L4572)&gt;0,1,0)</f>
        <v>0</v>
      </c>
    </row>
    <row r="4573">
      <c r="A4573" s="10">
        <f>Daily_Data!A4573</f>
        <v>42927</v>
      </c>
      <c r="B4573" s="11">
        <f>Daily_Data!J4573</f>
        <v>10.89</v>
      </c>
      <c r="C4573" s="11">
        <f>Daily_Data!I4573</f>
        <v>0.94</v>
      </c>
      <c r="D4573" s="12">
        <f>if(sum(Daily_Data!K4573:L4573)&gt;0,1,0)</f>
        <v>0</v>
      </c>
    </row>
    <row r="4574">
      <c r="A4574" s="10">
        <f>Daily_Data!A4574</f>
        <v>42928</v>
      </c>
      <c r="B4574" s="11">
        <f>Daily_Data!J4574</f>
        <v>10.3</v>
      </c>
      <c r="C4574" s="11">
        <f>Daily_Data!I4574</f>
        <v>0.94</v>
      </c>
      <c r="D4574" s="12">
        <f>if(sum(Daily_Data!K4574:L4574)&gt;0,1,0)</f>
        <v>0</v>
      </c>
    </row>
    <row r="4575">
      <c r="A4575" s="10">
        <f>Daily_Data!A4575</f>
        <v>42929</v>
      </c>
      <c r="B4575" s="11">
        <f>Daily_Data!J4575</f>
        <v>9.9</v>
      </c>
      <c r="C4575" s="11">
        <f>Daily_Data!I4575</f>
        <v>0.9</v>
      </c>
      <c r="D4575" s="12">
        <f>if(sum(Daily_Data!K4575:L4575)&gt;0,1,0)</f>
        <v>0</v>
      </c>
    </row>
    <row r="4576">
      <c r="A4576" s="10">
        <f>Daily_Data!A4576</f>
        <v>42930</v>
      </c>
      <c r="B4576" s="11">
        <f>Daily_Data!J4576</f>
        <v>9.51</v>
      </c>
      <c r="C4576" s="11">
        <f>Daily_Data!I4576</f>
        <v>0.92</v>
      </c>
      <c r="D4576" s="12">
        <f>if(sum(Daily_Data!K4576:L4576)&gt;0,1,0)</f>
        <v>1</v>
      </c>
    </row>
    <row r="4577">
      <c r="A4577" s="10">
        <f>Daily_Data!A4577</f>
        <v>42933</v>
      </c>
      <c r="B4577" s="11">
        <f>Daily_Data!J4577</f>
        <v>9.82</v>
      </c>
      <c r="C4577" s="11">
        <f>Daily_Data!I4577</f>
        <v>0.89</v>
      </c>
      <c r="D4577" s="12">
        <f>if(sum(Daily_Data!K4577:L4577)&gt;0,1,0)</f>
        <v>0</v>
      </c>
    </row>
    <row r="4578">
      <c r="A4578" s="10">
        <f>Daily_Data!A4578</f>
        <v>42934</v>
      </c>
      <c r="B4578" s="11">
        <f>Daily_Data!J4578</f>
        <v>9.89</v>
      </c>
      <c r="C4578" s="11">
        <f>Daily_Data!I4578</f>
        <v>0.87</v>
      </c>
      <c r="D4578" s="12">
        <f>if(sum(Daily_Data!K4578:L4578)&gt;0,1,0)</f>
        <v>0</v>
      </c>
    </row>
    <row r="4579">
      <c r="A4579" s="10">
        <f>Daily_Data!A4579</f>
        <v>42935</v>
      </c>
      <c r="B4579" s="11">
        <f>Daily_Data!J4579</f>
        <v>9.79</v>
      </c>
      <c r="C4579" s="11">
        <f>Daily_Data!I4579</f>
        <v>0.86</v>
      </c>
      <c r="D4579" s="12">
        <f>if(sum(Daily_Data!K4579:L4579)&gt;0,1,0)</f>
        <v>0</v>
      </c>
    </row>
    <row r="4580">
      <c r="A4580" s="10">
        <f>Daily_Data!A4580</f>
        <v>42936</v>
      </c>
      <c r="B4580" s="11">
        <f>Daily_Data!J4580</f>
        <v>9.58</v>
      </c>
      <c r="C4580" s="11">
        <f>Daily_Data!I4580</f>
        <v>0.86</v>
      </c>
      <c r="D4580" s="12">
        <f>if(sum(Daily_Data!K4580:L4580)&gt;0,1,0)</f>
        <v>0</v>
      </c>
    </row>
    <row r="4581">
      <c r="A4581" s="10">
        <f>Daily_Data!A4581</f>
        <v>42937</v>
      </c>
      <c r="B4581" s="11">
        <f>Daily_Data!J4581</f>
        <v>9.36</v>
      </c>
      <c r="C4581" s="11">
        <f>Daily_Data!I4581</f>
        <v>0.85</v>
      </c>
      <c r="D4581" s="12">
        <f>if(sum(Daily_Data!K4581:L4581)&gt;0,1,0)</f>
        <v>0</v>
      </c>
    </row>
    <row r="4582">
      <c r="A4582" s="10">
        <f>Daily_Data!A4582</f>
        <v>42940</v>
      </c>
      <c r="B4582" s="11">
        <f>Daily_Data!J4582</f>
        <v>9.43</v>
      </c>
      <c r="C4582" s="11">
        <f>Daily_Data!I4582</f>
        <v>0.85</v>
      </c>
      <c r="D4582" s="12">
        <f>if(sum(Daily_Data!K4582:L4582)&gt;0,1,0)</f>
        <v>0</v>
      </c>
    </row>
    <row r="4583">
      <c r="A4583" s="10">
        <f>Daily_Data!A4583</f>
        <v>42941</v>
      </c>
      <c r="B4583" s="11">
        <f>Daily_Data!J4583</f>
        <v>9.43</v>
      </c>
      <c r="C4583" s="11">
        <f>Daily_Data!I4583</f>
        <v>0.83</v>
      </c>
      <c r="D4583" s="12">
        <f>if(sum(Daily_Data!K4583:L4583)&gt;0,1,0)</f>
        <v>0</v>
      </c>
    </row>
    <row r="4584">
      <c r="A4584" s="10">
        <f>Daily_Data!A4584</f>
        <v>42942</v>
      </c>
      <c r="B4584" s="11">
        <f>Daily_Data!J4584</f>
        <v>9.6</v>
      </c>
      <c r="C4584" s="11">
        <f>Daily_Data!I4584</f>
        <v>0.86</v>
      </c>
      <c r="D4584" s="12">
        <f>if(sum(Daily_Data!K4584:L4584)&gt;0,1,0)</f>
        <v>0</v>
      </c>
    </row>
    <row r="4585">
      <c r="A4585" s="10">
        <f>Daily_Data!A4585</f>
        <v>42943</v>
      </c>
      <c r="B4585" s="11">
        <f>Daily_Data!J4585</f>
        <v>10.11</v>
      </c>
      <c r="C4585" s="11">
        <f>Daily_Data!I4585</f>
        <v>0.84</v>
      </c>
      <c r="D4585" s="12">
        <f>if(sum(Daily_Data!K4585:L4585)&gt;0,1,0)</f>
        <v>0</v>
      </c>
    </row>
    <row r="4586">
      <c r="A4586" s="10">
        <f>Daily_Data!A4586</f>
        <v>42944</v>
      </c>
      <c r="B4586" s="11">
        <f>Daily_Data!J4586</f>
        <v>10.29</v>
      </c>
      <c r="C4586" s="11">
        <f>Daily_Data!I4586</f>
        <v>0.87</v>
      </c>
      <c r="D4586" s="12">
        <f>if(sum(Daily_Data!K4586:L4586)&gt;0,1,0)</f>
        <v>0</v>
      </c>
    </row>
    <row r="4587">
      <c r="A4587" s="10">
        <f>Daily_Data!A4587</f>
        <v>42947</v>
      </c>
      <c r="B4587" s="11">
        <f>Daily_Data!J4587</f>
        <v>10.26</v>
      </c>
      <c r="C4587" s="11">
        <f>Daily_Data!I4587</f>
        <v>0.87</v>
      </c>
      <c r="D4587" s="12">
        <f>if(sum(Daily_Data!K4587:L4587)&gt;0,1,0)</f>
        <v>0</v>
      </c>
    </row>
    <row r="4588">
      <c r="A4588" s="10">
        <f>Daily_Data!A4588</f>
        <v>42948</v>
      </c>
      <c r="B4588" s="11">
        <f>Daily_Data!J4588</f>
        <v>10.09</v>
      </c>
      <c r="C4588" s="11">
        <f>Daily_Data!I4588</f>
        <v>0.88</v>
      </c>
      <c r="D4588" s="12">
        <f>if(sum(Daily_Data!K4588:L4588)&gt;0,1,0)</f>
        <v>0</v>
      </c>
    </row>
    <row r="4589">
      <c r="A4589" s="10">
        <f>Daily_Data!A4589</f>
        <v>42949</v>
      </c>
      <c r="B4589" s="11">
        <f>Daily_Data!J4589</f>
        <v>10.28</v>
      </c>
      <c r="C4589" s="11">
        <f>Daily_Data!I4589</f>
        <v>0.85</v>
      </c>
      <c r="D4589" s="12">
        <f>if(sum(Daily_Data!K4589:L4589)&gt;0,1,0)</f>
        <v>0</v>
      </c>
    </row>
    <row r="4590">
      <c r="A4590" s="10">
        <f>Daily_Data!A4590</f>
        <v>42950</v>
      </c>
      <c r="B4590" s="11">
        <f>Daily_Data!J4590</f>
        <v>10.44</v>
      </c>
      <c r="C4590" s="11">
        <f>Daily_Data!I4590</f>
        <v>0.85</v>
      </c>
      <c r="D4590" s="12">
        <f>if(sum(Daily_Data!K4590:L4590)&gt;0,1,0)</f>
        <v>0</v>
      </c>
    </row>
    <row r="4591">
      <c r="A4591" s="10">
        <f>Daily_Data!A4591</f>
        <v>42951</v>
      </c>
      <c r="B4591" s="11">
        <f>Daily_Data!J4591</f>
        <v>10.03</v>
      </c>
      <c r="C4591" s="11">
        <f>Daily_Data!I4591</f>
        <v>0.81</v>
      </c>
      <c r="D4591" s="12">
        <f>if(sum(Daily_Data!K4591:L4591)&gt;0,1,0)</f>
        <v>1</v>
      </c>
    </row>
    <row r="4592">
      <c r="A4592" s="10">
        <f>Daily_Data!A4592</f>
        <v>42954</v>
      </c>
      <c r="B4592" s="11">
        <f>Daily_Data!J4592</f>
        <v>9.93</v>
      </c>
      <c r="C4592" s="11">
        <f>Daily_Data!I4592</f>
        <v>0.82</v>
      </c>
      <c r="D4592" s="12">
        <f>if(sum(Daily_Data!K4592:L4592)&gt;0,1,0)</f>
        <v>0</v>
      </c>
    </row>
    <row r="4593">
      <c r="A4593" s="10">
        <f>Daily_Data!A4593</f>
        <v>42955</v>
      </c>
      <c r="B4593" s="11">
        <f>Daily_Data!J4593</f>
        <v>10.96</v>
      </c>
      <c r="C4593" s="11">
        <f>Daily_Data!I4593</f>
        <v>0.8</v>
      </c>
      <c r="D4593" s="12">
        <f>if(sum(Daily_Data!K4593:L4593)&gt;0,1,0)</f>
        <v>0</v>
      </c>
    </row>
    <row r="4594">
      <c r="A4594" s="10">
        <f>Daily_Data!A4594</f>
        <v>42956</v>
      </c>
      <c r="B4594" s="11">
        <f>Daily_Data!J4594</f>
        <v>11.11</v>
      </c>
      <c r="C4594" s="11">
        <f>Daily_Data!I4594</f>
        <v>0.82</v>
      </c>
      <c r="D4594" s="12">
        <f>if(sum(Daily_Data!K4594:L4594)&gt;0,1,0)</f>
        <v>0</v>
      </c>
    </row>
    <row r="4595">
      <c r="A4595" s="10">
        <f>Daily_Data!A4595</f>
        <v>42957</v>
      </c>
      <c r="B4595" s="11">
        <f>Daily_Data!J4595</f>
        <v>16.04</v>
      </c>
      <c r="C4595" s="11">
        <f>Daily_Data!I4595</f>
        <v>0.85</v>
      </c>
      <c r="D4595" s="12">
        <f>if(sum(Daily_Data!K4595:L4595)&gt;0,1,0)</f>
        <v>0</v>
      </c>
    </row>
    <row r="4596">
      <c r="A4596" s="10">
        <f>Daily_Data!A4596</f>
        <v>42958</v>
      </c>
      <c r="B4596" s="11">
        <f>Daily_Data!J4596</f>
        <v>15.51</v>
      </c>
      <c r="C4596" s="11">
        <f>Daily_Data!I4596</f>
        <v>0.85</v>
      </c>
      <c r="D4596" s="12">
        <f>if(sum(Daily_Data!K4596:L4596)&gt;0,1,0)</f>
        <v>1</v>
      </c>
    </row>
    <row r="4597">
      <c r="A4597" s="10">
        <f>Daily_Data!A4597</f>
        <v>42961</v>
      </c>
      <c r="B4597" s="11">
        <f>Daily_Data!J4597</f>
        <v>12.33</v>
      </c>
      <c r="C4597" s="11">
        <f>Daily_Data!I4597</f>
        <v>0.82</v>
      </c>
      <c r="D4597" s="12">
        <f>if(sum(Daily_Data!K4597:L4597)&gt;0,1,0)</f>
        <v>0</v>
      </c>
    </row>
    <row r="4598">
      <c r="A4598" s="10">
        <f>Daily_Data!A4598</f>
        <v>42962</v>
      </c>
      <c r="B4598" s="11">
        <f>Daily_Data!J4598</f>
        <v>12.04</v>
      </c>
      <c r="C4598" s="11">
        <f>Daily_Data!I4598</f>
        <v>0.83</v>
      </c>
      <c r="D4598" s="12">
        <f>if(sum(Daily_Data!K4598:L4598)&gt;0,1,0)</f>
        <v>0</v>
      </c>
    </row>
    <row r="4599">
      <c r="A4599" s="10">
        <f>Daily_Data!A4599</f>
        <v>42963</v>
      </c>
      <c r="B4599" s="11">
        <f>Daily_Data!J4599</f>
        <v>11.74</v>
      </c>
      <c r="C4599" s="11">
        <f>Daily_Data!I4599</f>
        <v>0.85</v>
      </c>
      <c r="D4599" s="12">
        <f>if(sum(Daily_Data!K4599:L4599)&gt;0,1,0)</f>
        <v>0</v>
      </c>
    </row>
    <row r="4600">
      <c r="A4600" s="10">
        <f>Daily_Data!A4600</f>
        <v>42964</v>
      </c>
      <c r="B4600" s="11">
        <f>Daily_Data!J4600</f>
        <v>15.55</v>
      </c>
      <c r="C4600" s="11">
        <f>Daily_Data!I4600</f>
        <v>0.85</v>
      </c>
      <c r="D4600" s="12">
        <f>if(sum(Daily_Data!K4600:L4600)&gt;0,1,0)</f>
        <v>0</v>
      </c>
    </row>
    <row r="4601">
      <c r="A4601" s="10">
        <f>Daily_Data!A4601</f>
        <v>42965</v>
      </c>
      <c r="B4601" s="11">
        <f>Daily_Data!J4601</f>
        <v>14.26</v>
      </c>
      <c r="C4601" s="11">
        <f>Daily_Data!I4601</f>
        <v>0.84</v>
      </c>
      <c r="D4601" s="12">
        <f>if(sum(Daily_Data!K4601:L4601)&gt;0,1,0)</f>
        <v>0</v>
      </c>
    </row>
    <row r="4602">
      <c r="A4602" s="10">
        <f>Daily_Data!A4602</f>
        <v>42968</v>
      </c>
      <c r="B4602" s="11">
        <f>Daily_Data!J4602</f>
        <v>13.19</v>
      </c>
      <c r="C4602" s="11">
        <f>Daily_Data!I4602</f>
        <v>0.85</v>
      </c>
      <c r="D4602" s="12">
        <f>if(sum(Daily_Data!K4602:L4602)&gt;0,1,0)</f>
        <v>0</v>
      </c>
    </row>
    <row r="4603">
      <c r="A4603" s="10">
        <f>Daily_Data!A4603</f>
        <v>42969</v>
      </c>
      <c r="B4603" s="11">
        <f>Daily_Data!J4603</f>
        <v>11.35</v>
      </c>
      <c r="C4603" s="11">
        <f>Daily_Data!I4603</f>
        <v>0.85</v>
      </c>
      <c r="D4603" s="12">
        <f>if(sum(Daily_Data!K4603:L4603)&gt;0,1,0)</f>
        <v>0</v>
      </c>
    </row>
    <row r="4604">
      <c r="A4604" s="10">
        <f>Daily_Data!A4604</f>
        <v>42970</v>
      </c>
      <c r="B4604" s="11">
        <f>Daily_Data!J4604</f>
        <v>12.25</v>
      </c>
      <c r="C4604" s="11">
        <f>Daily_Data!I4604</f>
        <v>0.86</v>
      </c>
      <c r="D4604" s="12">
        <f>if(sum(Daily_Data!K4604:L4604)&gt;0,1,0)</f>
        <v>0</v>
      </c>
    </row>
    <row r="4605">
      <c r="A4605" s="10">
        <f>Daily_Data!A4605</f>
        <v>42971</v>
      </c>
      <c r="B4605" s="11">
        <f>Daily_Data!J4605</f>
        <v>12.23</v>
      </c>
      <c r="C4605" s="11">
        <f>Daily_Data!I4605</f>
        <v>0.85</v>
      </c>
      <c r="D4605" s="12">
        <f>if(sum(Daily_Data!K4605:L4605)&gt;0,1,0)</f>
        <v>0</v>
      </c>
    </row>
    <row r="4606">
      <c r="A4606" s="10">
        <f>Daily_Data!A4606</f>
        <v>42972</v>
      </c>
      <c r="B4606" s="11">
        <f>Daily_Data!J4606</f>
        <v>11.28</v>
      </c>
      <c r="C4606" s="11">
        <f>Daily_Data!I4606</f>
        <v>0.83</v>
      </c>
      <c r="D4606" s="12">
        <f>if(sum(Daily_Data!K4606:L4606)&gt;0,1,0)</f>
        <v>0</v>
      </c>
    </row>
    <row r="4607">
      <c r="A4607" s="10">
        <f>Daily_Data!A4607</f>
        <v>42975</v>
      </c>
      <c r="B4607" s="11">
        <f>Daily_Data!J4607</f>
        <v>11.32</v>
      </c>
      <c r="C4607" s="11">
        <f>Daily_Data!I4607</f>
        <v>0.85</v>
      </c>
      <c r="D4607" s="12">
        <f>if(sum(Daily_Data!K4607:L4607)&gt;0,1,0)</f>
        <v>0</v>
      </c>
    </row>
    <row r="4608">
      <c r="A4608" s="10">
        <f>Daily_Data!A4608</f>
        <v>42976</v>
      </c>
      <c r="B4608" s="11">
        <f>Daily_Data!J4608</f>
        <v>11.7</v>
      </c>
      <c r="C4608" s="11">
        <f>Daily_Data!I4608</f>
        <v>0.83</v>
      </c>
      <c r="D4608" s="12">
        <f>if(sum(Daily_Data!K4608:L4608)&gt;0,1,0)</f>
        <v>0</v>
      </c>
    </row>
    <row r="4609">
      <c r="A4609" s="10">
        <f>Daily_Data!A4609</f>
        <v>42977</v>
      </c>
      <c r="B4609" s="11">
        <f>Daily_Data!J4609</f>
        <v>11.22</v>
      </c>
      <c r="C4609" s="11">
        <f>Daily_Data!I4609</f>
        <v>0.85</v>
      </c>
      <c r="D4609" s="12">
        <f>if(sum(Daily_Data!K4609:L4609)&gt;0,1,0)</f>
        <v>0</v>
      </c>
    </row>
    <row r="4610">
      <c r="A4610" s="10">
        <f>Daily_Data!A4610</f>
        <v>42978</v>
      </c>
      <c r="B4610" s="11">
        <f>Daily_Data!J4610</f>
        <v>10.59</v>
      </c>
      <c r="C4610" s="11">
        <f>Daily_Data!I4610</f>
        <v>0.86</v>
      </c>
      <c r="D4610" s="12">
        <f>if(sum(Daily_Data!K4610:L4610)&gt;0,1,0)</f>
        <v>0</v>
      </c>
    </row>
    <row r="4611">
      <c r="A4611" s="10">
        <f>Daily_Data!A4611</f>
        <v>42979</v>
      </c>
      <c r="B4611" s="11">
        <f>Daily_Data!J4611</f>
        <v>10.13</v>
      </c>
      <c r="C4611" s="11">
        <f>Daily_Data!I4611</f>
        <v>0.82</v>
      </c>
      <c r="D4611" s="12">
        <f>if(sum(Daily_Data!K4611:L4611)&gt;0,1,0)</f>
        <v>1</v>
      </c>
    </row>
    <row r="4612">
      <c r="A4612" s="10">
        <f>Daily_Data!A4612</f>
        <v>42982</v>
      </c>
      <c r="B4612" s="11" t="str">
        <f>Daily_Data!J4612</f>
        <v/>
      </c>
      <c r="C4612" s="11" t="str">
        <f>Daily_Data!I4612</f>
        <v/>
      </c>
      <c r="D4612" s="12">
        <f>if(sum(Daily_Data!K4612:L4612)&gt;0,1,0)</f>
        <v>0</v>
      </c>
    </row>
    <row r="4613">
      <c r="A4613" s="10">
        <f>Daily_Data!A4613</f>
        <v>42983</v>
      </c>
      <c r="B4613" s="11">
        <f>Daily_Data!J4613</f>
        <v>12.23</v>
      </c>
      <c r="C4613" s="11">
        <f>Daily_Data!I4613</f>
        <v>0.86</v>
      </c>
      <c r="D4613" s="12">
        <f>if(sum(Daily_Data!K4613:L4613)&gt;0,1,0)</f>
        <v>0</v>
      </c>
    </row>
    <row r="4614">
      <c r="A4614" s="10">
        <f>Daily_Data!A4614</f>
        <v>42984</v>
      </c>
      <c r="B4614" s="11">
        <f>Daily_Data!J4614</f>
        <v>11.63</v>
      </c>
      <c r="C4614" s="11">
        <f>Daily_Data!I4614</f>
        <v>0.83</v>
      </c>
      <c r="D4614" s="12">
        <f>if(sum(Daily_Data!K4614:L4614)&gt;0,1,0)</f>
        <v>0</v>
      </c>
    </row>
    <row r="4615">
      <c r="A4615" s="10">
        <f>Daily_Data!A4615</f>
        <v>42985</v>
      </c>
      <c r="B4615" s="11">
        <f>Daily_Data!J4615</f>
        <v>11.55</v>
      </c>
      <c r="C4615" s="11">
        <f>Daily_Data!I4615</f>
        <v>0.87</v>
      </c>
      <c r="D4615" s="12">
        <f>if(sum(Daily_Data!K4615:L4615)&gt;0,1,0)</f>
        <v>0</v>
      </c>
    </row>
    <row r="4616">
      <c r="A4616" s="10">
        <f>Daily_Data!A4616</f>
        <v>42986</v>
      </c>
      <c r="B4616" s="11">
        <f>Daily_Data!J4616</f>
        <v>12.12</v>
      </c>
      <c r="C4616" s="11">
        <f>Daily_Data!I4616</f>
        <v>0.87</v>
      </c>
      <c r="D4616" s="12">
        <f>if(sum(Daily_Data!K4616:L4616)&gt;0,1,0)</f>
        <v>0</v>
      </c>
    </row>
    <row r="4617">
      <c r="A4617" s="10">
        <f>Daily_Data!A4617</f>
        <v>42989</v>
      </c>
      <c r="B4617" s="11">
        <f>Daily_Data!J4617</f>
        <v>10.73</v>
      </c>
      <c r="C4617" s="11">
        <f>Daily_Data!I4617</f>
        <v>0.83</v>
      </c>
      <c r="D4617" s="12">
        <f>if(sum(Daily_Data!K4617:L4617)&gt;0,1,0)</f>
        <v>0</v>
      </c>
    </row>
    <row r="4618">
      <c r="A4618" s="10">
        <f>Daily_Data!A4618</f>
        <v>42990</v>
      </c>
      <c r="B4618" s="11">
        <f>Daily_Data!J4618</f>
        <v>10.58</v>
      </c>
      <c r="C4618" s="11">
        <f>Daily_Data!I4618</f>
        <v>0.81</v>
      </c>
      <c r="D4618" s="12">
        <f>if(sum(Daily_Data!K4618:L4618)&gt;0,1,0)</f>
        <v>0</v>
      </c>
    </row>
    <row r="4619">
      <c r="A4619" s="10">
        <f>Daily_Data!A4619</f>
        <v>42991</v>
      </c>
      <c r="B4619" s="11">
        <f>Daily_Data!J4619</f>
        <v>10.5</v>
      </c>
      <c r="C4619" s="11">
        <f>Daily_Data!I4619</f>
        <v>0.81</v>
      </c>
      <c r="D4619" s="12">
        <f>if(sum(Daily_Data!K4619:L4619)&gt;0,1,0)</f>
        <v>0</v>
      </c>
    </row>
    <row r="4620">
      <c r="A4620" s="10">
        <f>Daily_Data!A4620</f>
        <v>42992</v>
      </c>
      <c r="B4620" s="11">
        <f>Daily_Data!J4620</f>
        <v>10.44</v>
      </c>
      <c r="C4620" s="11">
        <f>Daily_Data!I4620</f>
        <v>0.82</v>
      </c>
      <c r="D4620" s="12">
        <f>if(sum(Daily_Data!K4620:L4620)&gt;0,1,0)</f>
        <v>1</v>
      </c>
    </row>
    <row r="4621">
      <c r="A4621" s="10">
        <f>Daily_Data!A4621</f>
        <v>42993</v>
      </c>
      <c r="B4621" s="11">
        <f>Daily_Data!J4621</f>
        <v>10.17</v>
      </c>
      <c r="C4621" s="11">
        <f>Daily_Data!I4621</f>
        <v>0.81</v>
      </c>
      <c r="D4621" s="12">
        <f>if(sum(Daily_Data!K4621:L4621)&gt;0,1,0)</f>
        <v>0</v>
      </c>
    </row>
    <row r="4622">
      <c r="A4622" s="10">
        <f>Daily_Data!A4622</f>
        <v>42996</v>
      </c>
      <c r="B4622" s="11">
        <f>Daily_Data!J4622</f>
        <v>10.15</v>
      </c>
      <c r="C4622" s="11">
        <f>Daily_Data!I4622</f>
        <v>0.82</v>
      </c>
      <c r="D4622" s="12">
        <f>if(sum(Daily_Data!K4622:L4622)&gt;0,1,0)</f>
        <v>0</v>
      </c>
    </row>
    <row r="4623">
      <c r="A4623" s="10">
        <f>Daily_Data!A4623</f>
        <v>42997</v>
      </c>
      <c r="B4623" s="11">
        <f>Daily_Data!J4623</f>
        <v>10.18</v>
      </c>
      <c r="C4623" s="11">
        <f>Daily_Data!I4623</f>
        <v>0.84</v>
      </c>
      <c r="D4623" s="12">
        <f>if(sum(Daily_Data!K4623:L4623)&gt;0,1,0)</f>
        <v>0</v>
      </c>
    </row>
    <row r="4624">
      <c r="A4624" s="10">
        <f>Daily_Data!A4624</f>
        <v>42998</v>
      </c>
      <c r="B4624" s="11">
        <f>Daily_Data!J4624</f>
        <v>9.78</v>
      </c>
      <c r="C4624" s="11">
        <f>Daily_Data!I4624</f>
        <v>0.8</v>
      </c>
      <c r="D4624" s="12">
        <f>if(sum(Daily_Data!K4624:L4624)&gt;0,1,0)</f>
        <v>0</v>
      </c>
    </row>
    <row r="4625">
      <c r="A4625" s="10">
        <f>Daily_Data!A4625</f>
        <v>42999</v>
      </c>
      <c r="B4625" s="11">
        <f>Daily_Data!J4625</f>
        <v>9.67</v>
      </c>
      <c r="C4625" s="11">
        <f>Daily_Data!I4625</f>
        <v>0.8</v>
      </c>
      <c r="D4625" s="12">
        <f>if(sum(Daily_Data!K4625:L4625)&gt;0,1,0)</f>
        <v>0</v>
      </c>
    </row>
    <row r="4626">
      <c r="A4626" s="10">
        <f>Daily_Data!A4626</f>
        <v>43000</v>
      </c>
      <c r="B4626" s="11">
        <f>Daily_Data!J4626</f>
        <v>9.59</v>
      </c>
      <c r="C4626" s="11">
        <f>Daily_Data!I4626</f>
        <v>0.77</v>
      </c>
      <c r="D4626" s="12">
        <f>if(sum(Daily_Data!K4626:L4626)&gt;0,1,0)</f>
        <v>0</v>
      </c>
    </row>
    <row r="4627">
      <c r="A4627" s="10">
        <f>Daily_Data!A4627</f>
        <v>43003</v>
      </c>
      <c r="B4627" s="11">
        <f>Daily_Data!J4627</f>
        <v>10.21</v>
      </c>
      <c r="C4627" s="11">
        <f>Daily_Data!I4627</f>
        <v>0.77</v>
      </c>
      <c r="D4627" s="12">
        <f>if(sum(Daily_Data!K4627:L4627)&gt;0,1,0)</f>
        <v>0</v>
      </c>
    </row>
    <row r="4628">
      <c r="A4628" s="10">
        <f>Daily_Data!A4628</f>
        <v>43004</v>
      </c>
      <c r="B4628" s="11">
        <f>Daily_Data!J4628</f>
        <v>10.17</v>
      </c>
      <c r="C4628" s="11">
        <f>Daily_Data!I4628</f>
        <v>0.73</v>
      </c>
      <c r="D4628" s="12">
        <f>if(sum(Daily_Data!K4628:L4628)&gt;0,1,0)</f>
        <v>0</v>
      </c>
    </row>
    <row r="4629">
      <c r="A4629" s="10">
        <f>Daily_Data!A4629</f>
        <v>43005</v>
      </c>
      <c r="B4629" s="11">
        <f>Daily_Data!J4629</f>
        <v>9.87</v>
      </c>
      <c r="C4629" s="11">
        <f>Daily_Data!I4629</f>
        <v>0.73</v>
      </c>
      <c r="D4629" s="12">
        <f>if(sum(Daily_Data!K4629:L4629)&gt;0,1,0)</f>
        <v>0</v>
      </c>
    </row>
    <row r="4630">
      <c r="A4630" s="10">
        <f>Daily_Data!A4630</f>
        <v>43006</v>
      </c>
      <c r="B4630" s="11">
        <f>Daily_Data!J4630</f>
        <v>9.55</v>
      </c>
      <c r="C4630" s="11">
        <f>Daily_Data!I4630</f>
        <v>0.75</v>
      </c>
      <c r="D4630" s="12">
        <f>if(sum(Daily_Data!K4630:L4630)&gt;0,1,0)</f>
        <v>0</v>
      </c>
    </row>
    <row r="4631">
      <c r="A4631" s="10">
        <f>Daily_Data!A4631</f>
        <v>43007</v>
      </c>
      <c r="B4631" s="11">
        <f>Daily_Data!J4631</f>
        <v>9.51</v>
      </c>
      <c r="C4631" s="11">
        <f>Daily_Data!I4631</f>
        <v>0.74</v>
      </c>
      <c r="D4631" s="12">
        <f>if(sum(Daily_Data!K4631:L4631)&gt;0,1,0)</f>
        <v>0</v>
      </c>
    </row>
    <row r="4632">
      <c r="A4632" s="10">
        <f>Daily_Data!A4632</f>
        <v>43010</v>
      </c>
      <c r="B4632" s="11">
        <f>Daily_Data!J4632</f>
        <v>9.45</v>
      </c>
      <c r="C4632" s="11">
        <f>Daily_Data!I4632</f>
        <v>0.72</v>
      </c>
      <c r="D4632" s="12">
        <f>if(sum(Daily_Data!K4632:L4632)&gt;0,1,0)</f>
        <v>0</v>
      </c>
    </row>
    <row r="4633">
      <c r="A4633" s="10">
        <f>Daily_Data!A4633</f>
        <v>43011</v>
      </c>
      <c r="B4633" s="11">
        <f>Daily_Data!J4633</f>
        <v>9.51</v>
      </c>
      <c r="C4633" s="11">
        <f>Daily_Data!I4633</f>
        <v>0.74</v>
      </c>
      <c r="D4633" s="12">
        <f>if(sum(Daily_Data!K4633:L4633)&gt;0,1,0)</f>
        <v>0</v>
      </c>
    </row>
    <row r="4634">
      <c r="A4634" s="10">
        <f>Daily_Data!A4634</f>
        <v>43012</v>
      </c>
      <c r="B4634" s="11">
        <f>Daily_Data!J4634</f>
        <v>9.63</v>
      </c>
      <c r="C4634" s="11">
        <f>Daily_Data!I4634</f>
        <v>0.73</v>
      </c>
      <c r="D4634" s="12">
        <f>if(sum(Daily_Data!K4634:L4634)&gt;0,1,0)</f>
        <v>0</v>
      </c>
    </row>
    <row r="4635">
      <c r="A4635" s="10">
        <f>Daily_Data!A4635</f>
        <v>43013</v>
      </c>
      <c r="B4635" s="11">
        <f>Daily_Data!J4635</f>
        <v>9.19</v>
      </c>
      <c r="C4635" s="11">
        <f>Daily_Data!I4635</f>
        <v>0.7</v>
      </c>
      <c r="D4635" s="12">
        <f>if(sum(Daily_Data!K4635:L4635)&gt;0,1,0)</f>
        <v>0</v>
      </c>
    </row>
    <row r="4636">
      <c r="A4636" s="10">
        <f>Daily_Data!A4636</f>
        <v>43014</v>
      </c>
      <c r="B4636" s="11">
        <f>Daily_Data!J4636</f>
        <v>9.65</v>
      </c>
      <c r="C4636" s="11">
        <f>Daily_Data!I4636</f>
        <v>0.67</v>
      </c>
      <c r="D4636" s="12">
        <f>if(sum(Daily_Data!K4636:L4636)&gt;0,1,0)</f>
        <v>1</v>
      </c>
    </row>
    <row r="4637">
      <c r="A4637" s="10">
        <f>Daily_Data!A4637</f>
        <v>43017</v>
      </c>
      <c r="B4637" s="11">
        <f>Daily_Data!J4637</f>
        <v>10.33</v>
      </c>
      <c r="C4637" s="11" t="str">
        <f>Daily_Data!I4637</f>
        <v/>
      </c>
      <c r="D4637" s="12">
        <f>if(sum(Daily_Data!K4637:L4637)&gt;0,1,0)</f>
        <v>0</v>
      </c>
    </row>
    <row r="4638">
      <c r="A4638" s="10">
        <f>Daily_Data!A4638</f>
        <v>43018</v>
      </c>
      <c r="B4638" s="11">
        <f>Daily_Data!J4638</f>
        <v>10.08</v>
      </c>
      <c r="C4638" s="11">
        <f>Daily_Data!I4638</f>
        <v>0.7</v>
      </c>
      <c r="D4638" s="12">
        <f>if(sum(Daily_Data!K4638:L4638)&gt;0,1,0)</f>
        <v>0</v>
      </c>
    </row>
    <row r="4639">
      <c r="A4639" s="10">
        <f>Daily_Data!A4639</f>
        <v>43019</v>
      </c>
      <c r="B4639" s="11">
        <f>Daily_Data!J4639</f>
        <v>9.85</v>
      </c>
      <c r="C4639" s="11">
        <f>Daily_Data!I4639</f>
        <v>0.69</v>
      </c>
      <c r="D4639" s="12">
        <f>if(sum(Daily_Data!K4639:L4639)&gt;0,1,0)</f>
        <v>0</v>
      </c>
    </row>
    <row r="4640">
      <c r="A4640" s="10">
        <f>Daily_Data!A4640</f>
        <v>43020</v>
      </c>
      <c r="B4640" s="11">
        <f>Daily_Data!J4640</f>
        <v>9.91</v>
      </c>
      <c r="C4640" s="11">
        <f>Daily_Data!I4640</f>
        <v>0.68</v>
      </c>
      <c r="D4640" s="12">
        <f>if(sum(Daily_Data!K4640:L4640)&gt;0,1,0)</f>
        <v>0</v>
      </c>
    </row>
    <row r="4641">
      <c r="A4641" s="10">
        <f>Daily_Data!A4641</f>
        <v>43021</v>
      </c>
      <c r="B4641" s="11">
        <f>Daily_Data!J4641</f>
        <v>9.61</v>
      </c>
      <c r="C4641" s="11">
        <f>Daily_Data!I4641</f>
        <v>0.68</v>
      </c>
      <c r="D4641" s="12">
        <f>if(sum(Daily_Data!K4641:L4641)&gt;0,1,0)</f>
        <v>1</v>
      </c>
    </row>
    <row r="4642">
      <c r="A4642" s="10">
        <f>Daily_Data!A4642</f>
        <v>43024</v>
      </c>
      <c r="B4642" s="11">
        <f>Daily_Data!J4642</f>
        <v>9.91</v>
      </c>
      <c r="C4642" s="11">
        <f>Daily_Data!I4642</f>
        <v>0.65</v>
      </c>
      <c r="D4642" s="12">
        <f>if(sum(Daily_Data!K4642:L4642)&gt;0,1,0)</f>
        <v>0</v>
      </c>
    </row>
    <row r="4643">
      <c r="A4643" s="10">
        <f>Daily_Data!A4643</f>
        <v>43025</v>
      </c>
      <c r="B4643" s="11">
        <f>Daily_Data!J4643</f>
        <v>10.31</v>
      </c>
      <c r="C4643" s="11">
        <f>Daily_Data!I4643</f>
        <v>0.65</v>
      </c>
      <c r="D4643" s="12">
        <f>if(sum(Daily_Data!K4643:L4643)&gt;0,1,0)</f>
        <v>0</v>
      </c>
    </row>
    <row r="4644">
      <c r="A4644" s="10">
        <f>Daily_Data!A4644</f>
        <v>43026</v>
      </c>
      <c r="B4644" s="11">
        <f>Daily_Data!J4644</f>
        <v>10.07</v>
      </c>
      <c r="C4644" s="11">
        <f>Daily_Data!I4644</f>
        <v>0.6</v>
      </c>
      <c r="D4644" s="12">
        <f>if(sum(Daily_Data!K4644:L4644)&gt;0,1,0)</f>
        <v>0</v>
      </c>
    </row>
    <row r="4645">
      <c r="A4645" s="10">
        <f>Daily_Data!A4645</f>
        <v>43027</v>
      </c>
      <c r="B4645" s="11">
        <f>Daily_Data!J4645</f>
        <v>10.05</v>
      </c>
      <c r="C4645" s="11">
        <f>Daily_Data!I4645</f>
        <v>0.62</v>
      </c>
      <c r="D4645" s="12">
        <f>if(sum(Daily_Data!K4645:L4645)&gt;0,1,0)</f>
        <v>0</v>
      </c>
    </row>
    <row r="4646">
      <c r="A4646" s="10">
        <f>Daily_Data!A4646</f>
        <v>43028</v>
      </c>
      <c r="B4646" s="11">
        <f>Daily_Data!J4646</f>
        <v>9.97</v>
      </c>
      <c r="C4646" s="11">
        <f>Daily_Data!I4646</f>
        <v>0.57</v>
      </c>
      <c r="D4646" s="12">
        <f>if(sum(Daily_Data!K4646:L4646)&gt;0,1,0)</f>
        <v>0</v>
      </c>
    </row>
    <row r="4647">
      <c r="A4647" s="10">
        <f>Daily_Data!A4647</f>
        <v>43031</v>
      </c>
      <c r="B4647" s="11">
        <f>Daily_Data!J4647</f>
        <v>11.07</v>
      </c>
      <c r="C4647" s="11" t="str">
        <f>Daily_Data!I4647</f>
        <v/>
      </c>
      <c r="D4647" s="12">
        <f>if(sum(Daily_Data!K4647:L4647)&gt;0,1,0)</f>
        <v>0</v>
      </c>
    </row>
    <row r="4648">
      <c r="A4648" s="10">
        <f>Daily_Data!A4648</f>
        <v>43032</v>
      </c>
      <c r="B4648" s="11">
        <f>Daily_Data!J4648</f>
        <v>11.16</v>
      </c>
      <c r="C4648" s="11">
        <f>Daily_Data!I4648</f>
        <v>0.56</v>
      </c>
      <c r="D4648" s="12">
        <f>if(sum(Daily_Data!K4648:L4648)&gt;0,1,0)</f>
        <v>0</v>
      </c>
    </row>
    <row r="4649">
      <c r="A4649" s="10">
        <f>Daily_Data!A4649</f>
        <v>43033</v>
      </c>
      <c r="B4649" s="11">
        <f>Daily_Data!J4649</f>
        <v>11.23</v>
      </c>
      <c r="C4649" s="11">
        <f>Daily_Data!I4649</f>
        <v>0.55</v>
      </c>
      <c r="D4649" s="12">
        <f>if(sum(Daily_Data!K4649:L4649)&gt;0,1,0)</f>
        <v>0</v>
      </c>
    </row>
    <row r="4650">
      <c r="A4650" s="10">
        <f>Daily_Data!A4650</f>
        <v>43034</v>
      </c>
      <c r="B4650" s="11">
        <f>Daily_Data!J4650</f>
        <v>11.3</v>
      </c>
      <c r="C4650" s="11">
        <f>Daily_Data!I4650</f>
        <v>0.54</v>
      </c>
      <c r="D4650" s="12">
        <f>if(sum(Daily_Data!K4650:L4650)&gt;0,1,0)</f>
        <v>0</v>
      </c>
    </row>
    <row r="4651">
      <c r="A4651" s="10">
        <f>Daily_Data!A4651</f>
        <v>43035</v>
      </c>
      <c r="B4651" s="11">
        <f>Daily_Data!J4651</f>
        <v>9.8</v>
      </c>
      <c r="C4651" s="11">
        <f>Daily_Data!I4651</f>
        <v>0.58</v>
      </c>
      <c r="D4651" s="12">
        <f>if(sum(Daily_Data!K4651:L4651)&gt;0,1,0)</f>
        <v>0</v>
      </c>
    </row>
    <row r="4652">
      <c r="A4652" s="10">
        <f>Daily_Data!A4652</f>
        <v>43038</v>
      </c>
      <c r="B4652" s="11">
        <f>Daily_Data!J4652</f>
        <v>10.5</v>
      </c>
      <c r="C4652" s="11">
        <f>Daily_Data!I4652</f>
        <v>0.57</v>
      </c>
      <c r="D4652" s="12">
        <f>if(sum(Daily_Data!K4652:L4652)&gt;0,1,0)</f>
        <v>0</v>
      </c>
    </row>
    <row r="4653">
      <c r="A4653" s="10">
        <f>Daily_Data!A4653</f>
        <v>43039</v>
      </c>
      <c r="B4653" s="11">
        <f>Daily_Data!J4653</f>
        <v>10.18</v>
      </c>
      <c r="C4653" s="11">
        <f>Daily_Data!I4653</f>
        <v>0.55</v>
      </c>
      <c r="D4653" s="12">
        <f>if(sum(Daily_Data!K4653:L4653)&gt;0,1,0)</f>
        <v>0</v>
      </c>
    </row>
    <row r="4654">
      <c r="A4654" s="10">
        <f>Daily_Data!A4654</f>
        <v>43040</v>
      </c>
      <c r="B4654" s="11">
        <f>Daily_Data!J4654</f>
        <v>10.2</v>
      </c>
      <c r="C4654" s="11">
        <f>Daily_Data!I4654</f>
        <v>0.55</v>
      </c>
      <c r="D4654" s="12">
        <f>if(sum(Daily_Data!K4654:L4654)&gt;0,1,0)</f>
        <v>0</v>
      </c>
    </row>
    <row r="4655">
      <c r="A4655" s="10">
        <f>Daily_Data!A4655</f>
        <v>43041</v>
      </c>
      <c r="B4655" s="11">
        <f>Daily_Data!J4655</f>
        <v>9.93</v>
      </c>
      <c r="C4655" s="11">
        <f>Daily_Data!I4655</f>
        <v>0.54</v>
      </c>
      <c r="D4655" s="12">
        <f>if(sum(Daily_Data!K4655:L4655)&gt;0,1,0)</f>
        <v>0</v>
      </c>
    </row>
    <row r="4656">
      <c r="A4656" s="10">
        <f>Daily_Data!A4656</f>
        <v>43042</v>
      </c>
      <c r="B4656" s="11">
        <f>Daily_Data!J4656</f>
        <v>9.14</v>
      </c>
      <c r="C4656" s="11">
        <f>Daily_Data!I4656</f>
        <v>0.53</v>
      </c>
      <c r="D4656" s="12">
        <f>if(sum(Daily_Data!K4656:L4656)&gt;0,1,0)</f>
        <v>1</v>
      </c>
    </row>
    <row r="4657">
      <c r="A4657" s="10">
        <f>Daily_Data!A4657</f>
        <v>43045</v>
      </c>
      <c r="B4657" s="11">
        <f>Daily_Data!J4657</f>
        <v>9.4</v>
      </c>
      <c r="C4657" s="11">
        <f>Daily_Data!I4657</f>
        <v>0.55</v>
      </c>
      <c r="D4657" s="12">
        <f>if(sum(Daily_Data!K4657:L4657)&gt;0,1,0)</f>
        <v>0</v>
      </c>
    </row>
    <row r="4658">
      <c r="A4658" s="10">
        <f>Daily_Data!A4658</f>
        <v>43046</v>
      </c>
      <c r="B4658" s="11">
        <f>Daily_Data!J4658</f>
        <v>9.89</v>
      </c>
      <c r="C4658" s="11">
        <f>Daily_Data!I4658</f>
        <v>0.56</v>
      </c>
      <c r="D4658" s="12">
        <f>if(sum(Daily_Data!K4658:L4658)&gt;0,1,0)</f>
        <v>0</v>
      </c>
    </row>
    <row r="4659">
      <c r="A4659" s="10">
        <f>Daily_Data!A4659</f>
        <v>43047</v>
      </c>
      <c r="B4659" s="11">
        <f>Daily_Data!J4659</f>
        <v>9.78</v>
      </c>
      <c r="C4659" s="11">
        <f>Daily_Data!I4659</f>
        <v>0.54</v>
      </c>
      <c r="D4659" s="12">
        <f>if(sum(Daily_Data!K4659:L4659)&gt;0,1,0)</f>
        <v>0</v>
      </c>
    </row>
    <row r="4660">
      <c r="A4660" s="10">
        <f>Daily_Data!A4660</f>
        <v>43048</v>
      </c>
      <c r="B4660" s="11">
        <f>Daily_Data!J4660</f>
        <v>10.5</v>
      </c>
      <c r="C4660" s="11">
        <f>Daily_Data!I4660</f>
        <v>0.58</v>
      </c>
      <c r="D4660" s="12">
        <f>if(sum(Daily_Data!K4660:L4660)&gt;0,1,0)</f>
        <v>0</v>
      </c>
    </row>
    <row r="4661">
      <c r="A4661" s="10">
        <f>Daily_Data!A4661</f>
        <v>43049</v>
      </c>
      <c r="B4661" s="11">
        <f>Daily_Data!J4661</f>
        <v>11.29</v>
      </c>
      <c r="C4661" s="11">
        <f>Daily_Data!I4661</f>
        <v>0.53</v>
      </c>
      <c r="D4661" s="12">
        <f>if(sum(Daily_Data!K4661:L4661)&gt;0,1,0)</f>
        <v>0</v>
      </c>
    </row>
    <row r="4662">
      <c r="A4662" s="10">
        <f>Daily_Data!A4662</f>
        <v>43052</v>
      </c>
      <c r="B4662" s="11">
        <f>Daily_Data!J4662</f>
        <v>11.5</v>
      </c>
      <c r="C4662" s="11">
        <f>Daily_Data!I4662</f>
        <v>0.5</v>
      </c>
      <c r="D4662" s="12">
        <f>if(sum(Daily_Data!K4662:L4662)&gt;0,1,0)</f>
        <v>0</v>
      </c>
    </row>
    <row r="4663">
      <c r="A4663" s="10">
        <f>Daily_Data!A4663</f>
        <v>43053</v>
      </c>
      <c r="B4663" s="11">
        <f>Daily_Data!J4663</f>
        <v>11.59</v>
      </c>
      <c r="C4663" s="11">
        <f>Daily_Data!I4663</f>
        <v>0.51</v>
      </c>
      <c r="D4663" s="12">
        <f>if(sum(Daily_Data!K4663:L4663)&gt;0,1,0)</f>
        <v>0</v>
      </c>
    </row>
    <row r="4664">
      <c r="A4664" s="10">
        <f>Daily_Data!A4664</f>
        <v>43054</v>
      </c>
      <c r="B4664" s="11">
        <f>Daily_Data!J4664</f>
        <v>13.13</v>
      </c>
      <c r="C4664" s="11">
        <f>Daily_Data!I4664</f>
        <v>0.49</v>
      </c>
      <c r="D4664" s="12">
        <f>if(sum(Daily_Data!K4664:L4664)&gt;0,1,0)</f>
        <v>1</v>
      </c>
    </row>
    <row r="4665">
      <c r="A4665" s="10">
        <f>Daily_Data!A4665</f>
        <v>43055</v>
      </c>
      <c r="B4665" s="11">
        <f>Daily_Data!J4665</f>
        <v>11.76</v>
      </c>
      <c r="C4665" s="11">
        <f>Daily_Data!I4665</f>
        <v>0.44</v>
      </c>
      <c r="D4665" s="12">
        <f>if(sum(Daily_Data!K4665:L4665)&gt;0,1,0)</f>
        <v>0</v>
      </c>
    </row>
    <row r="4666">
      <c r="A4666" s="10">
        <f>Daily_Data!A4666</f>
        <v>43056</v>
      </c>
      <c r="B4666" s="11">
        <f>Daily_Data!J4666</f>
        <v>11.43</v>
      </c>
      <c r="C4666" s="11">
        <f>Daily_Data!I4666</f>
        <v>0.43</v>
      </c>
      <c r="D4666" s="12">
        <f>if(sum(Daily_Data!K4666:L4666)&gt;0,1,0)</f>
        <v>0</v>
      </c>
    </row>
    <row r="4667">
      <c r="A4667" s="10">
        <f>Daily_Data!A4667</f>
        <v>43059</v>
      </c>
      <c r="B4667" s="11">
        <f>Daily_Data!J4667</f>
        <v>10.65</v>
      </c>
      <c r="C4667" s="11">
        <f>Daily_Data!I4667</f>
        <v>0.38</v>
      </c>
      <c r="D4667" s="12">
        <f>if(sum(Daily_Data!K4667:L4667)&gt;0,1,0)</f>
        <v>0</v>
      </c>
    </row>
    <row r="4668">
      <c r="A4668" s="10">
        <f>Daily_Data!A4668</f>
        <v>43060</v>
      </c>
      <c r="B4668" s="11">
        <f>Daily_Data!J4668</f>
        <v>9.73</v>
      </c>
      <c r="C4668" s="11">
        <f>Daily_Data!I4668</f>
        <v>0.38</v>
      </c>
      <c r="D4668" s="12">
        <f>if(sum(Daily_Data!K4668:L4668)&gt;0,1,0)</f>
        <v>0</v>
      </c>
    </row>
    <row r="4669">
      <c r="A4669" s="10">
        <f>Daily_Data!A4669</f>
        <v>43061</v>
      </c>
      <c r="B4669" s="11">
        <f>Daily_Data!J4669</f>
        <v>9.88</v>
      </c>
      <c r="C4669" s="11">
        <f>Daily_Data!I4669</f>
        <v>0.41</v>
      </c>
      <c r="D4669" s="12">
        <f>if(sum(Daily_Data!K4669:L4669)&gt;0,1,0)</f>
        <v>0</v>
      </c>
    </row>
    <row r="4670">
      <c r="A4670" s="10">
        <f>Daily_Data!A4670</f>
        <v>43062</v>
      </c>
      <c r="B4670" s="11" t="str">
        <f>Daily_Data!J4670</f>
        <v/>
      </c>
      <c r="C4670" s="11" t="str">
        <f>Daily_Data!I4670</f>
        <v/>
      </c>
      <c r="D4670" s="12">
        <f>if(sum(Daily_Data!K4670:L4670)&gt;0,1,0)</f>
        <v>0</v>
      </c>
    </row>
    <row r="4671">
      <c r="A4671" s="10">
        <f>Daily_Data!A4671</f>
        <v>43063</v>
      </c>
      <c r="B4671" s="11">
        <f>Daily_Data!J4671</f>
        <v>9.67</v>
      </c>
      <c r="C4671" s="11">
        <f>Daily_Data!I4671</f>
        <v>0.41</v>
      </c>
      <c r="D4671" s="12">
        <f>if(sum(Daily_Data!K4671:L4671)&gt;0,1,0)</f>
        <v>0</v>
      </c>
    </row>
    <row r="4672">
      <c r="A4672" s="10">
        <f>Daily_Data!A4672</f>
        <v>43066</v>
      </c>
      <c r="B4672" s="11">
        <f>Daily_Data!J4672</f>
        <v>9.87</v>
      </c>
      <c r="C4672" s="11">
        <f>Daily_Data!I4672</f>
        <v>0.42</v>
      </c>
      <c r="D4672" s="12">
        <f>if(sum(Daily_Data!K4672:L4672)&gt;0,1,0)</f>
        <v>0</v>
      </c>
    </row>
    <row r="4673">
      <c r="A4673" s="10">
        <f>Daily_Data!A4673</f>
        <v>43067</v>
      </c>
      <c r="B4673" s="11">
        <f>Daily_Data!J4673</f>
        <v>10.03</v>
      </c>
      <c r="C4673" s="11">
        <f>Daily_Data!I4673</f>
        <v>0.4</v>
      </c>
      <c r="D4673" s="12">
        <f>if(sum(Daily_Data!K4673:L4673)&gt;0,1,0)</f>
        <v>0</v>
      </c>
    </row>
    <row r="4674">
      <c r="A4674" s="10">
        <f>Daily_Data!A4674</f>
        <v>43068</v>
      </c>
      <c r="B4674" s="11">
        <f>Daily_Data!J4674</f>
        <v>10.7</v>
      </c>
      <c r="C4674" s="11">
        <f>Daily_Data!I4674</f>
        <v>0.36</v>
      </c>
      <c r="D4674" s="12">
        <f>if(sum(Daily_Data!K4674:L4674)&gt;0,1,0)</f>
        <v>0</v>
      </c>
    </row>
    <row r="4675">
      <c r="A4675" s="10">
        <f>Daily_Data!A4675</f>
        <v>43069</v>
      </c>
      <c r="B4675" s="11">
        <f>Daily_Data!J4675</f>
        <v>11.28</v>
      </c>
      <c r="C4675" s="11">
        <f>Daily_Data!I4675</f>
        <v>0.36</v>
      </c>
      <c r="D4675" s="12">
        <f>if(sum(Daily_Data!K4675:L4675)&gt;0,1,0)</f>
        <v>0</v>
      </c>
    </row>
    <row r="4676">
      <c r="A4676" s="10">
        <f>Daily_Data!A4676</f>
        <v>43070</v>
      </c>
      <c r="B4676" s="11">
        <f>Daily_Data!J4676</f>
        <v>11.43</v>
      </c>
      <c r="C4676" s="11">
        <f>Daily_Data!I4676</f>
        <v>0.35</v>
      </c>
      <c r="D4676" s="12">
        <f>if(sum(Daily_Data!K4676:L4676)&gt;0,1,0)</f>
        <v>0</v>
      </c>
    </row>
    <row r="4677">
      <c r="A4677" s="10">
        <f>Daily_Data!A4677</f>
        <v>43073</v>
      </c>
      <c r="B4677" s="11">
        <f>Daily_Data!J4677</f>
        <v>11.68</v>
      </c>
      <c r="C4677" s="11">
        <f>Daily_Data!I4677</f>
        <v>0.34</v>
      </c>
      <c r="D4677" s="12">
        <f>if(sum(Daily_Data!K4677:L4677)&gt;0,1,0)</f>
        <v>0</v>
      </c>
    </row>
    <row r="4678">
      <c r="A4678" s="10">
        <f>Daily_Data!A4678</f>
        <v>43074</v>
      </c>
      <c r="B4678" s="11">
        <f>Daily_Data!J4678</f>
        <v>11.33</v>
      </c>
      <c r="C4678" s="11">
        <f>Daily_Data!I4678</f>
        <v>0.33</v>
      </c>
      <c r="D4678" s="12">
        <f>if(sum(Daily_Data!K4678:L4678)&gt;0,1,0)</f>
        <v>0</v>
      </c>
    </row>
    <row r="4679">
      <c r="A4679" s="10">
        <f>Daily_Data!A4679</f>
        <v>43075</v>
      </c>
      <c r="B4679" s="11">
        <f>Daily_Data!J4679</f>
        <v>11.02</v>
      </c>
      <c r="C4679" s="11">
        <f>Daily_Data!I4679</f>
        <v>0.37</v>
      </c>
      <c r="D4679" s="12">
        <f>if(sum(Daily_Data!K4679:L4679)&gt;0,1,0)</f>
        <v>0</v>
      </c>
    </row>
    <row r="4680">
      <c r="A4680" s="10">
        <f>Daily_Data!A4680</f>
        <v>43076</v>
      </c>
      <c r="B4680" s="11">
        <f>Daily_Data!J4680</f>
        <v>10.16</v>
      </c>
      <c r="C4680" s="11">
        <f>Daily_Data!I4680</f>
        <v>0.35</v>
      </c>
      <c r="D4680" s="12">
        <f>if(sum(Daily_Data!K4680:L4680)&gt;0,1,0)</f>
        <v>0</v>
      </c>
    </row>
    <row r="4681">
      <c r="A4681" s="10">
        <f>Daily_Data!A4681</f>
        <v>43077</v>
      </c>
      <c r="B4681" s="11">
        <f>Daily_Data!J4681</f>
        <v>9.58</v>
      </c>
      <c r="C4681" s="11">
        <f>Daily_Data!I4681</f>
        <v>0.35</v>
      </c>
      <c r="D4681" s="12">
        <f>if(sum(Daily_Data!K4681:L4681)&gt;0,1,0)</f>
        <v>1</v>
      </c>
    </row>
    <row r="4682">
      <c r="A4682" s="10">
        <f>Daily_Data!A4682</f>
        <v>43080</v>
      </c>
      <c r="B4682" s="11">
        <f>Daily_Data!J4682</f>
        <v>9.34</v>
      </c>
      <c r="C4682" s="11">
        <f>Daily_Data!I4682</f>
        <v>0.34</v>
      </c>
      <c r="D4682" s="12">
        <f>if(sum(Daily_Data!K4682:L4682)&gt;0,1,0)</f>
        <v>0</v>
      </c>
    </row>
    <row r="4683">
      <c r="A4683" s="10">
        <f>Daily_Data!A4683</f>
        <v>43081</v>
      </c>
      <c r="B4683" s="11">
        <f>Daily_Data!J4683</f>
        <v>9.92</v>
      </c>
      <c r="C4683" s="11">
        <f>Daily_Data!I4683</f>
        <v>0.34</v>
      </c>
      <c r="D4683" s="12">
        <f>if(sum(Daily_Data!K4683:L4683)&gt;0,1,0)</f>
        <v>0</v>
      </c>
    </row>
    <row r="4684">
      <c r="A4684" s="10">
        <f>Daily_Data!A4684</f>
        <v>43082</v>
      </c>
      <c r="B4684" s="11">
        <f>Daily_Data!J4684</f>
        <v>10.18</v>
      </c>
      <c r="C4684" s="11">
        <f>Daily_Data!I4684</f>
        <v>0.38</v>
      </c>
      <c r="D4684" s="12">
        <f>if(sum(Daily_Data!K4684:L4684)&gt;0,1,0)</f>
        <v>1</v>
      </c>
    </row>
    <row r="4685">
      <c r="A4685" s="10">
        <f>Daily_Data!A4685</f>
        <v>43083</v>
      </c>
      <c r="B4685" s="11">
        <f>Daily_Data!J4685</f>
        <v>10.49</v>
      </c>
      <c r="C4685" s="11">
        <f>Daily_Data!I4685</f>
        <v>0.35</v>
      </c>
      <c r="D4685" s="12">
        <f>if(sum(Daily_Data!K4685:L4685)&gt;0,1,0)</f>
        <v>0</v>
      </c>
    </row>
    <row r="4686">
      <c r="A4686" s="10">
        <f>Daily_Data!A4686</f>
        <v>43084</v>
      </c>
      <c r="B4686" s="11">
        <f>Daily_Data!J4686</f>
        <v>9.42</v>
      </c>
      <c r="C4686" s="11">
        <f>Daily_Data!I4686</f>
        <v>0.33</v>
      </c>
      <c r="D4686" s="12">
        <f>if(sum(Daily_Data!K4686:L4686)&gt;0,1,0)</f>
        <v>0</v>
      </c>
    </row>
    <row r="4687">
      <c r="A4687" s="10">
        <f>Daily_Data!A4687</f>
        <v>43087</v>
      </c>
      <c r="B4687" s="11">
        <f>Daily_Data!J4687</f>
        <v>9.53</v>
      </c>
      <c r="C4687" s="11">
        <f>Daily_Data!I4687</f>
        <v>0.34</v>
      </c>
      <c r="D4687" s="12">
        <f>if(sum(Daily_Data!K4687:L4687)&gt;0,1,0)</f>
        <v>0</v>
      </c>
    </row>
    <row r="4688">
      <c r="A4688" s="10">
        <f>Daily_Data!A4688</f>
        <v>43088</v>
      </c>
      <c r="B4688" s="11">
        <f>Daily_Data!J4688</f>
        <v>10.03</v>
      </c>
      <c r="C4688" s="11">
        <f>Daily_Data!I4688</f>
        <v>0.32</v>
      </c>
      <c r="D4688" s="12">
        <f>if(sum(Daily_Data!K4688:L4688)&gt;0,1,0)</f>
        <v>0</v>
      </c>
    </row>
    <row r="4689">
      <c r="A4689" s="10">
        <f>Daily_Data!A4689</f>
        <v>43089</v>
      </c>
      <c r="B4689" s="11">
        <f>Daily_Data!J4689</f>
        <v>9.72</v>
      </c>
      <c r="C4689" s="11">
        <f>Daily_Data!I4689</f>
        <v>0.31</v>
      </c>
      <c r="D4689" s="12">
        <f>if(sum(Daily_Data!K4689:L4689)&gt;0,1,0)</f>
        <v>0</v>
      </c>
    </row>
    <row r="4690">
      <c r="A4690" s="10">
        <f>Daily_Data!A4690</f>
        <v>43090</v>
      </c>
      <c r="B4690" s="11">
        <f>Daily_Data!J4690</f>
        <v>9.62</v>
      </c>
      <c r="C4690" s="11">
        <f>Daily_Data!I4690</f>
        <v>0.31</v>
      </c>
      <c r="D4690" s="12">
        <f>if(sum(Daily_Data!K4690:L4690)&gt;0,1,0)</f>
        <v>0</v>
      </c>
    </row>
    <row r="4691">
      <c r="A4691" s="10">
        <f>Daily_Data!A4691</f>
        <v>43091</v>
      </c>
      <c r="B4691" s="11">
        <f>Daily_Data!J4691</f>
        <v>9.9</v>
      </c>
      <c r="C4691" s="11">
        <f>Daily_Data!I4691</f>
        <v>0.29</v>
      </c>
      <c r="D4691" s="12">
        <f>if(sum(Daily_Data!K4691:L4691)&gt;0,1,0)</f>
        <v>0</v>
      </c>
    </row>
    <row r="4692">
      <c r="A4692" s="10">
        <f>Daily_Data!A4692</f>
        <v>43094</v>
      </c>
      <c r="B4692" s="11" t="str">
        <f>Daily_Data!J4692</f>
        <v/>
      </c>
      <c r="C4692" s="11" t="str">
        <f>Daily_Data!I4692</f>
        <v/>
      </c>
      <c r="D4692" s="12">
        <f>if(sum(Daily_Data!K4692:L4692)&gt;0,1,0)</f>
        <v>0</v>
      </c>
    </row>
    <row r="4693">
      <c r="A4693" s="10">
        <f>Daily_Data!A4693</f>
        <v>43095</v>
      </c>
      <c r="B4693" s="11">
        <f>Daily_Data!J4693</f>
        <v>10.25</v>
      </c>
      <c r="C4693" s="11" t="str">
        <f>Daily_Data!I4693</f>
        <v/>
      </c>
      <c r="D4693" s="12">
        <f>if(sum(Daily_Data!K4693:L4693)&gt;0,1,0)</f>
        <v>0</v>
      </c>
    </row>
    <row r="4694">
      <c r="A4694" s="10">
        <f>Daily_Data!A4694</f>
        <v>43096</v>
      </c>
      <c r="B4694" s="11">
        <f>Daily_Data!J4694</f>
        <v>10.47</v>
      </c>
      <c r="C4694" s="11">
        <f>Daily_Data!I4694</f>
        <v>0.33</v>
      </c>
      <c r="D4694" s="12">
        <f>if(sum(Daily_Data!K4694:L4694)&gt;0,1,0)</f>
        <v>0</v>
      </c>
    </row>
    <row r="4695">
      <c r="A4695" s="10">
        <f>Daily_Data!A4695</f>
        <v>43097</v>
      </c>
      <c r="B4695" s="11">
        <f>Daily_Data!J4695</f>
        <v>10.18</v>
      </c>
      <c r="C4695" s="11">
        <f>Daily_Data!I4695</f>
        <v>0.31</v>
      </c>
      <c r="D4695" s="12">
        <f>if(sum(Daily_Data!K4695:L4695)&gt;0,1,0)</f>
        <v>0</v>
      </c>
    </row>
    <row r="4696">
      <c r="A4696" s="10">
        <f>Daily_Data!A4696</f>
        <v>43098</v>
      </c>
      <c r="B4696" s="11">
        <f>Daily_Data!J4696</f>
        <v>11.04</v>
      </c>
      <c r="C4696" s="11">
        <f>Daily_Data!I4696</f>
        <v>0.32</v>
      </c>
      <c r="D4696" s="12">
        <f>if(sum(Daily_Data!K4696:L4696)&gt;0,1,0)</f>
        <v>0</v>
      </c>
    </row>
    <row r="4697">
      <c r="A4697" s="10">
        <f>Daily_Data!A4697</f>
        <v>43101</v>
      </c>
      <c r="B4697" s="11" t="str">
        <f>Daily_Data!J4697</f>
        <v/>
      </c>
      <c r="C4697" s="11" t="str">
        <f>Daily_Data!I4697</f>
        <v/>
      </c>
      <c r="D4697" s="12">
        <f>if(sum(Daily_Data!K4697:L4697)&gt;0,1,0)</f>
        <v>0</v>
      </c>
    </row>
    <row r="4698">
      <c r="A4698" s="10">
        <f>Daily_Data!A4698</f>
        <v>43102</v>
      </c>
      <c r="B4698" s="11">
        <f>Daily_Data!J4698</f>
        <v>9.77</v>
      </c>
      <c r="C4698" s="11" t="str">
        <f>Daily_Data!I4698</f>
        <v/>
      </c>
      <c r="D4698" s="12">
        <f>if(sum(Daily_Data!K4698:L4698)&gt;0,1,0)</f>
        <v>0</v>
      </c>
    </row>
    <row r="4699">
      <c r="A4699" s="10">
        <f>Daily_Data!A4699</f>
        <v>43103</v>
      </c>
      <c r="B4699" s="11">
        <f>Daily_Data!J4699</f>
        <v>9.15</v>
      </c>
      <c r="C4699" s="11">
        <f>Daily_Data!I4699</f>
        <v>0.26</v>
      </c>
      <c r="D4699" s="12">
        <f>if(sum(Daily_Data!K4699:L4699)&gt;0,1,0)</f>
        <v>0</v>
      </c>
    </row>
    <row r="4700">
      <c r="A4700" s="10">
        <f>Daily_Data!A4700</f>
        <v>43104</v>
      </c>
      <c r="B4700" s="11">
        <f>Daily_Data!J4700</f>
        <v>9.22</v>
      </c>
      <c r="C4700" s="11">
        <f>Daily_Data!I4700</f>
        <v>0.23</v>
      </c>
      <c r="D4700" s="12">
        <f>if(sum(Daily_Data!K4700:L4700)&gt;0,1,0)</f>
        <v>0</v>
      </c>
    </row>
    <row r="4701">
      <c r="A4701" s="10">
        <f>Daily_Data!A4701</f>
        <v>43105</v>
      </c>
      <c r="B4701" s="11">
        <f>Daily_Data!J4701</f>
        <v>9.22</v>
      </c>
      <c r="C4701" s="11">
        <f>Daily_Data!I4701</f>
        <v>0.21</v>
      </c>
      <c r="D4701" s="12">
        <f>if(sum(Daily_Data!K4701:L4701)&gt;0,1,0)</f>
        <v>1</v>
      </c>
    </row>
    <row r="4702">
      <c r="A4702" s="10">
        <f>Daily_Data!A4702</f>
        <v>43108</v>
      </c>
      <c r="B4702" s="11">
        <f>Daily_Data!J4702</f>
        <v>9.52</v>
      </c>
      <c r="C4702" s="11">
        <f>Daily_Data!I4702</f>
        <v>0.22</v>
      </c>
      <c r="D4702" s="12">
        <f>if(sum(Daily_Data!K4702:L4702)&gt;0,1,0)</f>
        <v>0</v>
      </c>
    </row>
    <row r="4703">
      <c r="A4703" s="10">
        <f>Daily_Data!A4703</f>
        <v>43109</v>
      </c>
      <c r="B4703" s="11">
        <f>Daily_Data!J4703</f>
        <v>10.08</v>
      </c>
      <c r="C4703" s="11">
        <f>Daily_Data!I4703</f>
        <v>0.21</v>
      </c>
      <c r="D4703" s="12">
        <f>if(sum(Daily_Data!K4703:L4703)&gt;0,1,0)</f>
        <v>0</v>
      </c>
    </row>
    <row r="4704">
      <c r="A4704" s="10">
        <f>Daily_Data!A4704</f>
        <v>43110</v>
      </c>
      <c r="B4704" s="11">
        <f>Daily_Data!J4704</f>
        <v>9.82</v>
      </c>
      <c r="C4704" s="11">
        <f>Daily_Data!I4704</f>
        <v>0.22</v>
      </c>
      <c r="D4704" s="12">
        <f>if(sum(Daily_Data!K4704:L4704)&gt;0,1,0)</f>
        <v>0</v>
      </c>
    </row>
    <row r="4705">
      <c r="A4705" s="10">
        <f>Daily_Data!A4705</f>
        <v>43111</v>
      </c>
      <c r="B4705" s="11">
        <f>Daily_Data!J4705</f>
        <v>9.88</v>
      </c>
      <c r="C4705" s="11">
        <f>Daily_Data!I4705</f>
        <v>0.23</v>
      </c>
      <c r="D4705" s="12">
        <f>if(sum(Daily_Data!K4705:L4705)&gt;0,1,0)</f>
        <v>0</v>
      </c>
    </row>
    <row r="4706">
      <c r="A4706" s="10">
        <f>Daily_Data!A4706</f>
        <v>43112</v>
      </c>
      <c r="B4706" s="11">
        <f>Daily_Data!J4706</f>
        <v>10.16</v>
      </c>
      <c r="C4706" s="11">
        <f>Daily_Data!I4706</f>
        <v>0.21</v>
      </c>
      <c r="D4706" s="12">
        <f>if(sum(Daily_Data!K4706:L4706)&gt;0,1,0)</f>
        <v>1</v>
      </c>
    </row>
    <row r="4707">
      <c r="A4707" s="10">
        <f>Daily_Data!A4707</f>
        <v>43115</v>
      </c>
      <c r="B4707" s="11" t="str">
        <f>Daily_Data!J4707</f>
        <v/>
      </c>
      <c r="C4707" s="11" t="str">
        <f>Daily_Data!I4707</f>
        <v/>
      </c>
      <c r="D4707" s="12">
        <f>if(sum(Daily_Data!K4707:L4707)&gt;0,1,0)</f>
        <v>0</v>
      </c>
    </row>
    <row r="4708">
      <c r="A4708" s="10">
        <f>Daily_Data!A4708</f>
        <v>43116</v>
      </c>
      <c r="B4708" s="11">
        <f>Daily_Data!J4708</f>
        <v>11.66</v>
      </c>
      <c r="C4708" s="11">
        <f>Daily_Data!I4708</f>
        <v>0.18</v>
      </c>
      <c r="D4708" s="12">
        <f>if(sum(Daily_Data!K4708:L4708)&gt;0,1,0)</f>
        <v>0</v>
      </c>
    </row>
    <row r="4709">
      <c r="A4709" s="10">
        <f>Daily_Data!A4709</f>
        <v>43117</v>
      </c>
      <c r="B4709" s="11">
        <f>Daily_Data!J4709</f>
        <v>11.91</v>
      </c>
      <c r="C4709" s="11">
        <f>Daily_Data!I4709</f>
        <v>0.17</v>
      </c>
      <c r="D4709" s="12">
        <f>if(sum(Daily_Data!K4709:L4709)&gt;0,1,0)</f>
        <v>0</v>
      </c>
    </row>
    <row r="4710">
      <c r="A4710" s="10">
        <f>Daily_Data!A4710</f>
        <v>43118</v>
      </c>
      <c r="B4710" s="11">
        <f>Daily_Data!J4710</f>
        <v>12.22</v>
      </c>
      <c r="C4710" s="11">
        <f>Daily_Data!I4710</f>
        <v>0.2</v>
      </c>
      <c r="D4710" s="12">
        <f>if(sum(Daily_Data!K4710:L4710)&gt;0,1,0)</f>
        <v>0</v>
      </c>
    </row>
    <row r="4711">
      <c r="A4711" s="10">
        <f>Daily_Data!A4711</f>
        <v>43119</v>
      </c>
      <c r="B4711" s="11">
        <f>Daily_Data!J4711</f>
        <v>11.27</v>
      </c>
      <c r="C4711" s="11">
        <f>Daily_Data!I4711</f>
        <v>0.19</v>
      </c>
      <c r="D4711" s="12">
        <f>if(sum(Daily_Data!K4711:L4711)&gt;0,1,0)</f>
        <v>0</v>
      </c>
    </row>
    <row r="4712">
      <c r="A4712" s="10">
        <f>Daily_Data!A4712</f>
        <v>43122</v>
      </c>
      <c r="B4712" s="11">
        <f>Daily_Data!J4712</f>
        <v>11.03</v>
      </c>
      <c r="C4712" s="11">
        <f>Daily_Data!I4712</f>
        <v>0.17</v>
      </c>
      <c r="D4712" s="12">
        <f>if(sum(Daily_Data!K4712:L4712)&gt;0,1,0)</f>
        <v>0</v>
      </c>
    </row>
    <row r="4713">
      <c r="A4713" s="10">
        <f>Daily_Data!A4713</f>
        <v>43123</v>
      </c>
      <c r="B4713" s="11">
        <f>Daily_Data!J4713</f>
        <v>11.1</v>
      </c>
      <c r="C4713" s="11">
        <f>Daily_Data!I4713</f>
        <v>0.18</v>
      </c>
      <c r="D4713" s="12">
        <f>if(sum(Daily_Data!K4713:L4713)&gt;0,1,0)</f>
        <v>0</v>
      </c>
    </row>
    <row r="4714">
      <c r="A4714" s="10">
        <f>Daily_Data!A4714</f>
        <v>43124</v>
      </c>
      <c r="B4714" s="11">
        <f>Daily_Data!J4714</f>
        <v>11.47</v>
      </c>
      <c r="C4714" s="11">
        <f>Daily_Data!I4714</f>
        <v>0.15</v>
      </c>
      <c r="D4714" s="12">
        <f>if(sum(Daily_Data!K4714:L4714)&gt;0,1,0)</f>
        <v>0</v>
      </c>
    </row>
    <row r="4715">
      <c r="A4715" s="10">
        <f>Daily_Data!A4715</f>
        <v>43125</v>
      </c>
      <c r="B4715" s="11">
        <f>Daily_Data!J4715</f>
        <v>11.58</v>
      </c>
      <c r="C4715" s="11">
        <f>Daily_Data!I4715</f>
        <v>0.09</v>
      </c>
      <c r="D4715" s="12">
        <f>if(sum(Daily_Data!K4715:L4715)&gt;0,1,0)</f>
        <v>0</v>
      </c>
    </row>
    <row r="4716">
      <c r="A4716" s="10">
        <f>Daily_Data!A4716</f>
        <v>43126</v>
      </c>
      <c r="B4716" s="11">
        <f>Daily_Data!J4716</f>
        <v>11.08</v>
      </c>
      <c r="C4716" s="11">
        <f>Daily_Data!I4716</f>
        <v>0.04</v>
      </c>
      <c r="D4716" s="12">
        <f>if(sum(Daily_Data!K4716:L4716)&gt;0,1,0)</f>
        <v>0</v>
      </c>
    </row>
    <row r="4717">
      <c r="A4717" s="10">
        <f>Daily_Data!A4717</f>
        <v>43129</v>
      </c>
      <c r="B4717" s="11">
        <f>Daily_Data!J4717</f>
        <v>13.84</v>
      </c>
      <c r="C4717" s="11">
        <f>Daily_Data!I4717</f>
        <v>0.06</v>
      </c>
      <c r="D4717" s="12">
        <f>if(sum(Daily_Data!K4717:L4717)&gt;0,1,0)</f>
        <v>0</v>
      </c>
    </row>
    <row r="4718">
      <c r="A4718" s="10">
        <f>Daily_Data!A4718</f>
        <v>43130</v>
      </c>
      <c r="B4718" s="11">
        <f>Daily_Data!J4718</f>
        <v>14.79</v>
      </c>
      <c r="C4718" s="11">
        <f>Daily_Data!I4718</f>
        <v>0.04</v>
      </c>
      <c r="D4718" s="12">
        <f>if(sum(Daily_Data!K4718:L4718)&gt;0,1,0)</f>
        <v>0</v>
      </c>
    </row>
    <row r="4719">
      <c r="A4719" s="10">
        <f>Daily_Data!A4719</f>
        <v>43131</v>
      </c>
      <c r="B4719" s="11">
        <f>Daily_Data!J4719</f>
        <v>13.54</v>
      </c>
      <c r="C4719" s="11">
        <f>Daily_Data!I4719</f>
        <v>0.03</v>
      </c>
      <c r="D4719" s="12">
        <f>if(sum(Daily_Data!K4719:L4719)&gt;0,1,0)</f>
        <v>0</v>
      </c>
    </row>
    <row r="4720">
      <c r="A4720" s="10">
        <f>Daily_Data!A4720</f>
        <v>43132</v>
      </c>
      <c r="B4720" s="11">
        <f>Daily_Data!J4720</f>
        <v>13.47</v>
      </c>
      <c r="C4720" s="11">
        <f>Daily_Data!I4720</f>
        <v>0.01</v>
      </c>
      <c r="D4720" s="12">
        <f>if(sum(Daily_Data!K4720:L4720)&gt;0,1,0)</f>
        <v>0</v>
      </c>
    </row>
    <row r="4721">
      <c r="A4721" s="10">
        <f>Daily_Data!A4721</f>
        <v>43133</v>
      </c>
      <c r="B4721" s="11">
        <f>Daily_Data!J4721</f>
        <v>17.31</v>
      </c>
      <c r="C4721" s="11">
        <f>Daily_Data!I4721</f>
        <v>0.02</v>
      </c>
      <c r="D4721" s="12">
        <f>if(sum(Daily_Data!K4721:L4721)&gt;0,1,0)</f>
        <v>1</v>
      </c>
    </row>
    <row r="4722">
      <c r="A4722" s="10">
        <f>Daily_Data!A4722</f>
        <v>43136</v>
      </c>
      <c r="B4722" s="11">
        <f>Daily_Data!J4722</f>
        <v>37.32</v>
      </c>
      <c r="C4722" s="11">
        <f>Daily_Data!I4722</f>
        <v>0.09</v>
      </c>
      <c r="D4722" s="12">
        <f>if(sum(Daily_Data!K4722:L4722)&gt;0,1,0)</f>
        <v>0</v>
      </c>
    </row>
    <row r="4723">
      <c r="A4723" s="10">
        <f>Daily_Data!A4723</f>
        <v>43137</v>
      </c>
      <c r="B4723" s="11">
        <f>Daily_Data!J4723</f>
        <v>29.98</v>
      </c>
      <c r="C4723" s="11" t="str">
        <f>Daily_Data!I4723</f>
        <v/>
      </c>
      <c r="D4723" s="12">
        <f>if(sum(Daily_Data!K4723:L4723)&gt;0,1,0)</f>
        <v>0</v>
      </c>
    </row>
    <row r="4724">
      <c r="A4724" s="10">
        <f>Daily_Data!A4724</f>
        <v>43138</v>
      </c>
      <c r="B4724" s="11">
        <f>Daily_Data!J4724</f>
        <v>27.73</v>
      </c>
      <c r="C4724" s="11">
        <f>Daily_Data!I4724</f>
        <v>0.02</v>
      </c>
      <c r="D4724" s="12">
        <f>if(sum(Daily_Data!K4724:L4724)&gt;0,1,0)</f>
        <v>0</v>
      </c>
    </row>
    <row r="4725">
      <c r="A4725" s="10">
        <f>Daily_Data!A4725</f>
        <v>43139</v>
      </c>
      <c r="B4725" s="11">
        <f>Daily_Data!J4725</f>
        <v>33.46</v>
      </c>
      <c r="C4725" s="11">
        <f>Daily_Data!I4725</f>
        <v>0.03</v>
      </c>
      <c r="D4725" s="12">
        <f>if(sum(Daily_Data!K4725:L4725)&gt;0,1,0)</f>
        <v>0</v>
      </c>
    </row>
    <row r="4726">
      <c r="A4726" s="10">
        <f>Daily_Data!A4726</f>
        <v>43140</v>
      </c>
      <c r="B4726" s="11">
        <f>Daily_Data!J4726</f>
        <v>29.06</v>
      </c>
      <c r="C4726" s="11">
        <f>Daily_Data!I4726</f>
        <v>0.1</v>
      </c>
      <c r="D4726" s="12">
        <f>if(sum(Daily_Data!K4726:L4726)&gt;0,1,0)</f>
        <v>0</v>
      </c>
    </row>
    <row r="4727">
      <c r="A4727" s="10">
        <f>Daily_Data!A4727</f>
        <v>43143</v>
      </c>
      <c r="B4727" s="11">
        <f>Daily_Data!J4727</f>
        <v>25.61</v>
      </c>
      <c r="C4727" s="11">
        <f>Daily_Data!I4727</f>
        <v>0.07</v>
      </c>
      <c r="D4727" s="12">
        <f>if(sum(Daily_Data!K4727:L4727)&gt;0,1,0)</f>
        <v>0</v>
      </c>
    </row>
    <row r="4728">
      <c r="A4728" s="10">
        <f>Daily_Data!A4728</f>
        <v>43144</v>
      </c>
      <c r="B4728" s="11">
        <f>Daily_Data!J4728</f>
        <v>24.97</v>
      </c>
      <c r="C4728" s="11">
        <f>Daily_Data!I4728</f>
        <v>0.05</v>
      </c>
      <c r="D4728" s="12">
        <f>if(sum(Daily_Data!K4728:L4728)&gt;0,1,0)</f>
        <v>0</v>
      </c>
    </row>
    <row r="4729">
      <c r="A4729" s="10">
        <f>Daily_Data!A4729</f>
        <v>43145</v>
      </c>
      <c r="B4729" s="11">
        <f>Daily_Data!J4729</f>
        <v>19.26</v>
      </c>
      <c r="C4729" s="11">
        <f>Daily_Data!I4729</f>
        <v>-0.02</v>
      </c>
      <c r="D4729" s="12">
        <f>if(sum(Daily_Data!K4729:L4729)&gt;0,1,0)</f>
        <v>1</v>
      </c>
    </row>
    <row r="4730">
      <c r="A4730" s="10">
        <f>Daily_Data!A4730</f>
        <v>43146</v>
      </c>
      <c r="B4730" s="11">
        <f>Daily_Data!J4730</f>
        <v>19.13</v>
      </c>
      <c r="C4730" s="11">
        <f>Daily_Data!I4730</f>
        <v>-0.02</v>
      </c>
      <c r="D4730" s="12">
        <f>if(sum(Daily_Data!K4730:L4730)&gt;0,1,0)</f>
        <v>0</v>
      </c>
    </row>
    <row r="4731">
      <c r="A4731" s="10">
        <f>Daily_Data!A4731</f>
        <v>43147</v>
      </c>
      <c r="B4731" s="11">
        <f>Daily_Data!J4731</f>
        <v>19.46</v>
      </c>
      <c r="C4731" s="11">
        <f>Daily_Data!I4731</f>
        <v>-0.05</v>
      </c>
      <c r="D4731" s="12">
        <f>if(sum(Daily_Data!K4731:L4731)&gt;0,1,0)</f>
        <v>0</v>
      </c>
    </row>
    <row r="4732">
      <c r="A4732" s="10">
        <f>Daily_Data!A4732</f>
        <v>43150</v>
      </c>
      <c r="B4732" s="11" t="str">
        <f>Daily_Data!J4732</f>
        <v/>
      </c>
      <c r="C4732" s="11" t="str">
        <f>Daily_Data!I4732</f>
        <v/>
      </c>
      <c r="D4732" s="12">
        <f>if(sum(Daily_Data!K4732:L4732)&gt;0,1,0)</f>
        <v>0</v>
      </c>
    </row>
    <row r="4733">
      <c r="A4733" s="10">
        <f>Daily_Data!A4733</f>
        <v>43151</v>
      </c>
      <c r="B4733" s="11">
        <f>Daily_Data!J4733</f>
        <v>20.6</v>
      </c>
      <c r="C4733" s="11">
        <f>Daily_Data!I4733</f>
        <v>-0.08</v>
      </c>
      <c r="D4733" s="12">
        <f>if(sum(Daily_Data!K4733:L4733)&gt;0,1,0)</f>
        <v>0</v>
      </c>
    </row>
    <row r="4734">
      <c r="A4734" s="10">
        <f>Daily_Data!A4734</f>
        <v>43152</v>
      </c>
      <c r="B4734" s="11">
        <f>Daily_Data!J4734</f>
        <v>20.02</v>
      </c>
      <c r="C4734" s="11">
        <f>Daily_Data!I4734</f>
        <v>-0.09</v>
      </c>
      <c r="D4734" s="12">
        <f>if(sum(Daily_Data!K4734:L4734)&gt;0,1,0)</f>
        <v>0</v>
      </c>
    </row>
    <row r="4735">
      <c r="A4735" s="10">
        <f>Daily_Data!A4735</f>
        <v>43153</v>
      </c>
      <c r="B4735" s="11">
        <f>Daily_Data!J4735</f>
        <v>18.72</v>
      </c>
      <c r="C4735" s="11">
        <f>Daily_Data!I4735</f>
        <v>-0.07</v>
      </c>
      <c r="D4735" s="12">
        <f>if(sum(Daily_Data!K4735:L4735)&gt;0,1,0)</f>
        <v>0</v>
      </c>
    </row>
    <row r="4736">
      <c r="A4736" s="10">
        <f>Daily_Data!A4736</f>
        <v>43154</v>
      </c>
      <c r="B4736" s="11">
        <f>Daily_Data!J4736</f>
        <v>16.49</v>
      </c>
      <c r="C4736" s="11">
        <f>Daily_Data!I4736</f>
        <v>-0.07</v>
      </c>
      <c r="D4736" s="12">
        <f>if(sum(Daily_Data!K4736:L4736)&gt;0,1,0)</f>
        <v>0</v>
      </c>
    </row>
    <row r="4737">
      <c r="A4737" s="10">
        <f>Daily_Data!A4737</f>
        <v>43157</v>
      </c>
      <c r="B4737" s="11">
        <f>Daily_Data!J4737</f>
        <v>15.8</v>
      </c>
      <c r="C4737" s="11">
        <f>Daily_Data!I4737</f>
        <v>-0.05</v>
      </c>
      <c r="D4737" s="12">
        <f>if(sum(Daily_Data!K4737:L4737)&gt;0,1,0)</f>
        <v>0</v>
      </c>
    </row>
    <row r="4738">
      <c r="A4738" s="10">
        <f>Daily_Data!A4738</f>
        <v>43158</v>
      </c>
      <c r="B4738" s="11">
        <f>Daily_Data!J4738</f>
        <v>18.59</v>
      </c>
      <c r="C4738" s="11">
        <f>Daily_Data!I4738</f>
        <v>-0.09</v>
      </c>
      <c r="D4738" s="12">
        <f>if(sum(Daily_Data!K4738:L4738)&gt;0,1,0)</f>
        <v>0</v>
      </c>
    </row>
    <row r="4739">
      <c r="A4739" s="10">
        <f>Daily_Data!A4739</f>
        <v>43159</v>
      </c>
      <c r="B4739" s="11">
        <f>Daily_Data!J4739</f>
        <v>19.85</v>
      </c>
      <c r="C4739" s="11">
        <f>Daily_Data!I4739</f>
        <v>-0.06</v>
      </c>
      <c r="D4739" s="12">
        <f>if(sum(Daily_Data!K4739:L4739)&gt;0,1,0)</f>
        <v>0</v>
      </c>
    </row>
    <row r="4740">
      <c r="A4740" s="10">
        <f>Daily_Data!A4740</f>
        <v>43160</v>
      </c>
      <c r="B4740" s="11">
        <f>Daily_Data!J4740</f>
        <v>22.47</v>
      </c>
      <c r="C4740" s="11">
        <f>Daily_Data!I4740</f>
        <v>-0.02</v>
      </c>
      <c r="D4740" s="12">
        <f>if(sum(Daily_Data!K4740:L4740)&gt;0,1,0)</f>
        <v>0</v>
      </c>
    </row>
    <row r="4741">
      <c r="A4741" s="10">
        <f>Daily_Data!A4741</f>
        <v>43161</v>
      </c>
      <c r="B4741" s="11">
        <f>Daily_Data!J4741</f>
        <v>19.59</v>
      </c>
      <c r="C4741" s="11">
        <f>Daily_Data!I4741</f>
        <v>-0.06</v>
      </c>
      <c r="D4741" s="12">
        <f>if(sum(Daily_Data!K4741:L4741)&gt;0,1,0)</f>
        <v>0</v>
      </c>
    </row>
    <row r="4742">
      <c r="A4742" s="10">
        <f>Daily_Data!A4742</f>
        <v>43164</v>
      </c>
      <c r="B4742" s="11">
        <f>Daily_Data!J4742</f>
        <v>18.73</v>
      </c>
      <c r="C4742" s="11">
        <f>Daily_Data!I4742</f>
        <v>-0.05</v>
      </c>
      <c r="D4742" s="12">
        <f>if(sum(Daily_Data!K4742:L4742)&gt;0,1,0)</f>
        <v>0</v>
      </c>
    </row>
    <row r="4743">
      <c r="A4743" s="10">
        <f>Daily_Data!A4743</f>
        <v>43165</v>
      </c>
      <c r="B4743" s="11">
        <f>Daily_Data!J4743</f>
        <v>18.36</v>
      </c>
      <c r="C4743" s="11">
        <f>Daily_Data!I4743</f>
        <v>-0.04</v>
      </c>
      <c r="D4743" s="12">
        <f>if(sum(Daily_Data!K4743:L4743)&gt;0,1,0)</f>
        <v>0</v>
      </c>
    </row>
    <row r="4744">
      <c r="A4744" s="10">
        <f>Daily_Data!A4744</f>
        <v>43166</v>
      </c>
      <c r="B4744" s="11">
        <f>Daily_Data!J4744</f>
        <v>17.76</v>
      </c>
      <c r="C4744" s="11">
        <f>Daily_Data!I4744</f>
        <v>-0.04</v>
      </c>
      <c r="D4744" s="12">
        <f>if(sum(Daily_Data!K4744:L4744)&gt;0,1,0)</f>
        <v>0</v>
      </c>
    </row>
    <row r="4745">
      <c r="A4745" s="10">
        <f>Daily_Data!A4745</f>
        <v>43167</v>
      </c>
      <c r="B4745" s="11">
        <f>Daily_Data!J4745</f>
        <v>16.54</v>
      </c>
      <c r="C4745" s="11">
        <f>Daily_Data!I4745</f>
        <v>-0.04</v>
      </c>
      <c r="D4745" s="12">
        <f>if(sum(Daily_Data!K4745:L4745)&gt;0,1,0)</f>
        <v>0</v>
      </c>
    </row>
    <row r="4746">
      <c r="A4746" s="10">
        <f>Daily_Data!A4746</f>
        <v>43168</v>
      </c>
      <c r="B4746" s="11">
        <f>Daily_Data!J4746</f>
        <v>14.64</v>
      </c>
      <c r="C4746" s="11">
        <f>Daily_Data!I4746</f>
        <v>-0.07</v>
      </c>
      <c r="D4746" s="12">
        <f>if(sum(Daily_Data!K4746:L4746)&gt;0,1,0)</f>
        <v>1</v>
      </c>
    </row>
    <row r="4747">
      <c r="A4747" s="10">
        <f>Daily_Data!A4747</f>
        <v>43171</v>
      </c>
      <c r="B4747" s="11">
        <f>Daily_Data!J4747</f>
        <v>15.78</v>
      </c>
      <c r="C4747" s="11">
        <f>Daily_Data!I4747</f>
        <v>-0.04</v>
      </c>
      <c r="D4747" s="12">
        <f>if(sum(Daily_Data!K4747:L4747)&gt;0,1,0)</f>
        <v>0</v>
      </c>
    </row>
    <row r="4748">
      <c r="A4748" s="10">
        <f>Daily_Data!A4748</f>
        <v>43172</v>
      </c>
      <c r="B4748" s="11">
        <f>Daily_Data!J4748</f>
        <v>16.35</v>
      </c>
      <c r="C4748" s="11">
        <f>Daily_Data!I4748</f>
        <v>-0.01</v>
      </c>
      <c r="D4748" s="12">
        <f>if(sum(Daily_Data!K4748:L4748)&gt;0,1,0)</f>
        <v>1</v>
      </c>
    </row>
    <row r="4749">
      <c r="A4749" s="10">
        <f>Daily_Data!A4749</f>
        <v>43173</v>
      </c>
      <c r="B4749" s="11">
        <f>Daily_Data!J4749</f>
        <v>17.23</v>
      </c>
      <c r="C4749" s="11">
        <f>Daily_Data!I4749</f>
        <v>-0.02</v>
      </c>
      <c r="D4749" s="12">
        <f>if(sum(Daily_Data!K4749:L4749)&gt;0,1,0)</f>
        <v>0</v>
      </c>
    </row>
    <row r="4750">
      <c r="A4750" s="10">
        <f>Daily_Data!A4750</f>
        <v>43174</v>
      </c>
      <c r="B4750" s="11">
        <f>Daily_Data!J4750</f>
        <v>16.59</v>
      </c>
      <c r="C4750" s="11">
        <f>Daily_Data!I4750</f>
        <v>-0.02</v>
      </c>
      <c r="D4750" s="12">
        <f>if(sum(Daily_Data!K4750:L4750)&gt;0,1,0)</f>
        <v>0</v>
      </c>
    </row>
    <row r="4751">
      <c r="A4751" s="10">
        <f>Daily_Data!A4751</f>
        <v>43175</v>
      </c>
      <c r="B4751" s="11">
        <f>Daily_Data!J4751</f>
        <v>15.8</v>
      </c>
      <c r="C4751" s="11">
        <f>Daily_Data!I4751</f>
        <v>-0.05</v>
      </c>
      <c r="D4751" s="12">
        <f>if(sum(Daily_Data!K4751:L4751)&gt;0,1,0)</f>
        <v>0</v>
      </c>
    </row>
    <row r="4752">
      <c r="A4752" s="10">
        <f>Daily_Data!A4752</f>
        <v>43178</v>
      </c>
      <c r="B4752" s="11">
        <f>Daily_Data!J4752</f>
        <v>19.02</v>
      </c>
      <c r="C4752" s="11">
        <f>Daily_Data!I4752</f>
        <v>-0.05</v>
      </c>
      <c r="D4752" s="12">
        <f>if(sum(Daily_Data!K4752:L4752)&gt;0,1,0)</f>
        <v>0</v>
      </c>
    </row>
    <row r="4753">
      <c r="A4753" s="10">
        <f>Daily_Data!A4753</f>
        <v>43179</v>
      </c>
      <c r="B4753" s="11">
        <f>Daily_Data!J4753</f>
        <v>18.2</v>
      </c>
      <c r="C4753" s="11">
        <f>Daily_Data!I4753</f>
        <v>-0.1</v>
      </c>
      <c r="D4753" s="12">
        <f>if(sum(Daily_Data!K4753:L4753)&gt;0,1,0)</f>
        <v>0</v>
      </c>
    </row>
    <row r="4754">
      <c r="A4754" s="10">
        <f>Daily_Data!A4754</f>
        <v>43180</v>
      </c>
      <c r="B4754" s="11">
        <f>Daily_Data!J4754</f>
        <v>17.86</v>
      </c>
      <c r="C4754" s="11">
        <f>Daily_Data!I4754</f>
        <v>-0.06</v>
      </c>
      <c r="D4754" s="12">
        <f>if(sum(Daily_Data!K4754:L4754)&gt;0,1,0)</f>
        <v>0</v>
      </c>
    </row>
    <row r="4755">
      <c r="A4755" s="10">
        <f>Daily_Data!A4755</f>
        <v>43181</v>
      </c>
      <c r="B4755" s="11">
        <f>Daily_Data!J4755</f>
        <v>23.34</v>
      </c>
      <c r="C4755" s="11">
        <f>Daily_Data!I4755</f>
        <v>-0.05</v>
      </c>
      <c r="D4755" s="12">
        <f>if(sum(Daily_Data!K4755:L4755)&gt;0,1,0)</f>
        <v>0</v>
      </c>
    </row>
    <row r="4756">
      <c r="A4756" s="10">
        <f>Daily_Data!A4756</f>
        <v>43182</v>
      </c>
      <c r="B4756" s="11">
        <f>Daily_Data!J4756</f>
        <v>24.87</v>
      </c>
      <c r="C4756" s="11">
        <f>Daily_Data!I4756</f>
        <v>-0.05</v>
      </c>
      <c r="D4756" s="12">
        <f>if(sum(Daily_Data!K4756:L4756)&gt;0,1,0)</f>
        <v>0</v>
      </c>
    </row>
    <row r="4757">
      <c r="A4757" s="10">
        <f>Daily_Data!A4757</f>
        <v>43185</v>
      </c>
      <c r="B4757" s="11">
        <f>Daily_Data!J4757</f>
        <v>21.03</v>
      </c>
      <c r="C4757" s="11">
        <f>Daily_Data!I4757</f>
        <v>-0.09</v>
      </c>
      <c r="D4757" s="12">
        <f>if(sum(Daily_Data!K4757:L4757)&gt;0,1,0)</f>
        <v>0</v>
      </c>
    </row>
    <row r="4758">
      <c r="A4758" s="10">
        <f>Daily_Data!A4758</f>
        <v>43186</v>
      </c>
      <c r="B4758" s="11">
        <f>Daily_Data!J4758</f>
        <v>22.5</v>
      </c>
      <c r="C4758" s="11">
        <f>Daily_Data!I4758</f>
        <v>-0.02</v>
      </c>
      <c r="D4758" s="12">
        <f>if(sum(Daily_Data!K4758:L4758)&gt;0,1,0)</f>
        <v>0</v>
      </c>
    </row>
    <row r="4759">
      <c r="A4759" s="10">
        <f>Daily_Data!A4759</f>
        <v>43187</v>
      </c>
      <c r="B4759" s="11">
        <f>Daily_Data!J4759</f>
        <v>22.87</v>
      </c>
      <c r="C4759" s="11">
        <f>Daily_Data!I4759</f>
        <v>-0.07</v>
      </c>
      <c r="D4759" s="12">
        <f>if(sum(Daily_Data!K4759:L4759)&gt;0,1,0)</f>
        <v>0</v>
      </c>
    </row>
    <row r="4760">
      <c r="A4760" s="10">
        <f>Daily_Data!A4760</f>
        <v>43188</v>
      </c>
      <c r="B4760" s="11">
        <f>Daily_Data!J4760</f>
        <v>19.97</v>
      </c>
      <c r="C4760" s="11">
        <f>Daily_Data!I4760</f>
        <v>-0.06</v>
      </c>
      <c r="D4760" s="12">
        <f>if(sum(Daily_Data!K4760:L4760)&gt;0,1,0)</f>
        <v>0</v>
      </c>
    </row>
    <row r="4761">
      <c r="A4761" s="10">
        <f>Daily_Data!A4761</f>
        <v>43189</v>
      </c>
      <c r="B4761" s="11" t="str">
        <f>Daily_Data!J4761</f>
        <v/>
      </c>
      <c r="C4761" s="11" t="str">
        <f>Daily_Data!I4761</f>
        <v/>
      </c>
      <c r="D4761" s="12">
        <f>if(sum(Daily_Data!K4761:L4761)&gt;0,1,0)</f>
        <v>0</v>
      </c>
    </row>
    <row r="4762">
      <c r="A4762" s="10">
        <f>Daily_Data!A4762</f>
        <v>43192</v>
      </c>
      <c r="B4762" s="11">
        <f>Daily_Data!J4762</f>
        <v>23.62</v>
      </c>
      <c r="C4762" s="11" t="str">
        <f>Daily_Data!I4762</f>
        <v/>
      </c>
      <c r="D4762" s="12">
        <f>if(sum(Daily_Data!K4762:L4762)&gt;0,1,0)</f>
        <v>0</v>
      </c>
    </row>
    <row r="4763">
      <c r="A4763" s="10">
        <f>Daily_Data!A4763</f>
        <v>43193</v>
      </c>
      <c r="B4763" s="11">
        <f>Daily_Data!J4763</f>
        <v>21.1</v>
      </c>
      <c r="C4763" s="11">
        <f>Daily_Data!I4763</f>
        <v>-0.06</v>
      </c>
      <c r="D4763" s="12">
        <f>if(sum(Daily_Data!K4763:L4763)&gt;0,1,0)</f>
        <v>0</v>
      </c>
    </row>
    <row r="4764">
      <c r="A4764" s="10">
        <f>Daily_Data!A4764</f>
        <v>43194</v>
      </c>
      <c r="B4764" s="11">
        <f>Daily_Data!J4764</f>
        <v>20.06</v>
      </c>
      <c r="C4764" s="11">
        <f>Daily_Data!I4764</f>
        <v>-0.04</v>
      </c>
      <c r="D4764" s="12">
        <f>if(sum(Daily_Data!K4764:L4764)&gt;0,1,0)</f>
        <v>0</v>
      </c>
    </row>
    <row r="4765">
      <c r="A4765" s="10">
        <f>Daily_Data!A4765</f>
        <v>43195</v>
      </c>
      <c r="B4765" s="11">
        <f>Daily_Data!J4765</f>
        <v>18.94</v>
      </c>
      <c r="C4765" s="11">
        <f>Daily_Data!I4765</f>
        <v>-0.06</v>
      </c>
      <c r="D4765" s="12">
        <f>if(sum(Daily_Data!K4765:L4765)&gt;0,1,0)</f>
        <v>0</v>
      </c>
    </row>
    <row r="4766">
      <c r="A4766" s="10">
        <f>Daily_Data!A4766</f>
        <v>43196</v>
      </c>
      <c r="B4766" s="11">
        <f>Daily_Data!J4766</f>
        <v>21.49</v>
      </c>
      <c r="C4766" s="11">
        <f>Daily_Data!I4766</f>
        <v>-0.02</v>
      </c>
      <c r="D4766" s="12">
        <f>if(sum(Daily_Data!K4766:L4766)&gt;0,1,0)</f>
        <v>1</v>
      </c>
    </row>
    <row r="4767">
      <c r="A4767" s="10">
        <f>Daily_Data!A4767</f>
        <v>43199</v>
      </c>
      <c r="B4767" s="11">
        <f>Daily_Data!J4767</f>
        <v>21.77</v>
      </c>
      <c r="C4767" s="11">
        <f>Daily_Data!I4767</f>
        <v>-0.04</v>
      </c>
      <c r="D4767" s="12">
        <f>if(sum(Daily_Data!K4767:L4767)&gt;0,1,0)</f>
        <v>0</v>
      </c>
    </row>
    <row r="4768">
      <c r="A4768" s="10">
        <f>Daily_Data!A4768</f>
        <v>43200</v>
      </c>
      <c r="B4768" s="11">
        <f>Daily_Data!J4768</f>
        <v>20.47</v>
      </c>
      <c r="C4768" s="11">
        <f>Daily_Data!I4768</f>
        <v>-0.07</v>
      </c>
      <c r="D4768" s="12">
        <f>if(sum(Daily_Data!K4768:L4768)&gt;0,1,0)</f>
        <v>0</v>
      </c>
    </row>
    <row r="4769">
      <c r="A4769" s="10">
        <f>Daily_Data!A4769</f>
        <v>43201</v>
      </c>
      <c r="B4769" s="11">
        <f>Daily_Data!J4769</f>
        <v>20.24</v>
      </c>
      <c r="C4769" s="11">
        <f>Daily_Data!I4769</f>
        <v>-0.07</v>
      </c>
      <c r="D4769" s="12">
        <f>if(sum(Daily_Data!K4769:L4769)&gt;0,1,0)</f>
        <v>1</v>
      </c>
    </row>
    <row r="4770">
      <c r="A4770" s="10">
        <f>Daily_Data!A4770</f>
        <v>43202</v>
      </c>
      <c r="B4770" s="11">
        <f>Daily_Data!J4770</f>
        <v>18.49</v>
      </c>
      <c r="C4770" s="11">
        <f>Daily_Data!I4770</f>
        <v>-0.05</v>
      </c>
      <c r="D4770" s="12">
        <f>if(sum(Daily_Data!K4770:L4770)&gt;0,1,0)</f>
        <v>0</v>
      </c>
    </row>
    <row r="4771">
      <c r="A4771" s="10">
        <f>Daily_Data!A4771</f>
        <v>43203</v>
      </c>
      <c r="B4771" s="11">
        <f>Daily_Data!J4771</f>
        <v>17.41</v>
      </c>
      <c r="C4771" s="11">
        <f>Daily_Data!I4771</f>
        <v>-0.06</v>
      </c>
      <c r="D4771" s="12">
        <f>if(sum(Daily_Data!K4771:L4771)&gt;0,1,0)</f>
        <v>0</v>
      </c>
    </row>
    <row r="4772">
      <c r="A4772" s="10">
        <f>Daily_Data!A4772</f>
        <v>43206</v>
      </c>
      <c r="B4772" s="11">
        <f>Daily_Data!J4772</f>
        <v>16.56</v>
      </c>
      <c r="C4772" s="11">
        <f>Daily_Data!I4772</f>
        <v>-0.06</v>
      </c>
      <c r="D4772" s="12">
        <f>if(sum(Daily_Data!K4772:L4772)&gt;0,1,0)</f>
        <v>0</v>
      </c>
    </row>
    <row r="4773">
      <c r="A4773" s="10">
        <f>Daily_Data!A4773</f>
        <v>43207</v>
      </c>
      <c r="B4773" s="11">
        <f>Daily_Data!J4773</f>
        <v>15.25</v>
      </c>
      <c r="C4773" s="11">
        <f>Daily_Data!I4773</f>
        <v>-0.1</v>
      </c>
      <c r="D4773" s="12">
        <f>if(sum(Daily_Data!K4773:L4773)&gt;0,1,0)</f>
        <v>0</v>
      </c>
    </row>
    <row r="4774">
      <c r="A4774" s="10">
        <f>Daily_Data!A4774</f>
        <v>43208</v>
      </c>
      <c r="B4774" s="11">
        <f>Daily_Data!J4774</f>
        <v>15.6</v>
      </c>
      <c r="C4774" s="11">
        <f>Daily_Data!I4774</f>
        <v>-0.11</v>
      </c>
      <c r="D4774" s="12">
        <f>if(sum(Daily_Data!K4774:L4774)&gt;0,1,0)</f>
        <v>0</v>
      </c>
    </row>
    <row r="4775">
      <c r="A4775" s="10">
        <f>Daily_Data!A4775</f>
        <v>43209</v>
      </c>
      <c r="B4775" s="11">
        <f>Daily_Data!J4775</f>
        <v>15.96</v>
      </c>
      <c r="C4775" s="11">
        <f>Daily_Data!I4775</f>
        <v>-0.13</v>
      </c>
      <c r="D4775" s="12">
        <f>if(sum(Daily_Data!K4775:L4775)&gt;0,1,0)</f>
        <v>0</v>
      </c>
    </row>
    <row r="4776">
      <c r="A4776" s="10">
        <f>Daily_Data!A4776</f>
        <v>43210</v>
      </c>
      <c r="B4776" s="11">
        <f>Daily_Data!J4776</f>
        <v>16.88</v>
      </c>
      <c r="C4776" s="11">
        <f>Daily_Data!I4776</f>
        <v>-0.16</v>
      </c>
      <c r="D4776" s="12">
        <f>if(sum(Daily_Data!K4776:L4776)&gt;0,1,0)</f>
        <v>0</v>
      </c>
    </row>
    <row r="4777">
      <c r="A4777" s="10">
        <f>Daily_Data!A4777</f>
        <v>43213</v>
      </c>
      <c r="B4777" s="11">
        <f>Daily_Data!J4777</f>
        <v>16.34</v>
      </c>
      <c r="C4777" s="11">
        <f>Daily_Data!I4777</f>
        <v>-0.18</v>
      </c>
      <c r="D4777" s="12">
        <f>if(sum(Daily_Data!K4777:L4777)&gt;0,1,0)</f>
        <v>0</v>
      </c>
    </row>
    <row r="4778">
      <c r="A4778" s="10">
        <f>Daily_Data!A4778</f>
        <v>43214</v>
      </c>
      <c r="B4778" s="11">
        <f>Daily_Data!J4778</f>
        <v>18.02</v>
      </c>
      <c r="C4778" s="11">
        <f>Daily_Data!I4778</f>
        <v>-0.2</v>
      </c>
      <c r="D4778" s="12">
        <f>if(sum(Daily_Data!K4778:L4778)&gt;0,1,0)</f>
        <v>0</v>
      </c>
    </row>
    <row r="4779">
      <c r="A4779" s="10">
        <f>Daily_Data!A4779</f>
        <v>43215</v>
      </c>
      <c r="B4779" s="11">
        <f>Daily_Data!J4779</f>
        <v>17.84</v>
      </c>
      <c r="C4779" s="11" t="str">
        <f>Daily_Data!I4779</f>
        <v/>
      </c>
      <c r="D4779" s="12">
        <f>if(sum(Daily_Data!K4779:L4779)&gt;0,1,0)</f>
        <v>0</v>
      </c>
    </row>
    <row r="4780">
      <c r="A4780" s="10">
        <f>Daily_Data!A4780</f>
        <v>43216</v>
      </c>
      <c r="B4780" s="11">
        <f>Daily_Data!J4780</f>
        <v>16.24</v>
      </c>
      <c r="C4780" s="11">
        <f>Daily_Data!I4780</f>
        <v>-0.19</v>
      </c>
      <c r="D4780" s="12">
        <f>if(sum(Daily_Data!K4780:L4780)&gt;0,1,0)</f>
        <v>0</v>
      </c>
    </row>
    <row r="4781">
      <c r="A4781" s="10">
        <f>Daily_Data!A4781</f>
        <v>43217</v>
      </c>
      <c r="B4781" s="11">
        <f>Daily_Data!J4781</f>
        <v>15.41</v>
      </c>
      <c r="C4781" s="11">
        <f>Daily_Data!I4781</f>
        <v>-0.21</v>
      </c>
      <c r="D4781" s="12">
        <f>if(sum(Daily_Data!K4781:L4781)&gt;0,1,0)</f>
        <v>0</v>
      </c>
    </row>
    <row r="4782">
      <c r="A4782" s="10">
        <f>Daily_Data!A4782</f>
        <v>43220</v>
      </c>
      <c r="B4782" s="11">
        <f>Daily_Data!J4782</f>
        <v>15.93</v>
      </c>
      <c r="C4782" s="11">
        <f>Daily_Data!I4782</f>
        <v>-0.22</v>
      </c>
      <c r="D4782" s="12">
        <f>if(sum(Daily_Data!K4782:L4782)&gt;0,1,0)</f>
        <v>0</v>
      </c>
    </row>
    <row r="4783">
      <c r="A4783" s="10">
        <f>Daily_Data!A4783</f>
        <v>43221</v>
      </c>
      <c r="B4783" s="11">
        <f>Daily_Data!J4783</f>
        <v>15.49</v>
      </c>
      <c r="C4783" s="11">
        <f>Daily_Data!I4783</f>
        <v>-0.23</v>
      </c>
      <c r="D4783" s="12">
        <f>if(sum(Daily_Data!K4783:L4783)&gt;0,1,0)</f>
        <v>0</v>
      </c>
    </row>
    <row r="4784">
      <c r="A4784" s="10">
        <f>Daily_Data!A4784</f>
        <v>43222</v>
      </c>
      <c r="B4784" s="11">
        <f>Daily_Data!J4784</f>
        <v>15.97</v>
      </c>
      <c r="C4784" s="11">
        <f>Daily_Data!I4784</f>
        <v>-0.21</v>
      </c>
      <c r="D4784" s="12">
        <f>if(sum(Daily_Data!K4784:L4784)&gt;0,1,0)</f>
        <v>0</v>
      </c>
    </row>
    <row r="4785">
      <c r="A4785" s="10">
        <f>Daily_Data!A4785</f>
        <v>43223</v>
      </c>
      <c r="B4785" s="11">
        <f>Daily_Data!J4785</f>
        <v>15.9</v>
      </c>
      <c r="C4785" s="11">
        <f>Daily_Data!I4785</f>
        <v>-0.22</v>
      </c>
      <c r="D4785" s="12">
        <f>if(sum(Daily_Data!K4785:L4785)&gt;0,1,0)</f>
        <v>0</v>
      </c>
    </row>
    <row r="4786">
      <c r="A4786" s="10">
        <f>Daily_Data!A4786</f>
        <v>43224</v>
      </c>
      <c r="B4786" s="11">
        <f>Daily_Data!J4786</f>
        <v>14.77</v>
      </c>
      <c r="C4786" s="11">
        <f>Daily_Data!I4786</f>
        <v>-0.23</v>
      </c>
      <c r="D4786" s="12">
        <f>if(sum(Daily_Data!K4786:L4786)&gt;0,1,0)</f>
        <v>1</v>
      </c>
    </row>
    <row r="4787">
      <c r="A4787" s="10">
        <f>Daily_Data!A4787</f>
        <v>43227</v>
      </c>
      <c r="B4787" s="11">
        <f>Daily_Data!J4787</f>
        <v>14.75</v>
      </c>
      <c r="C4787" s="11">
        <f>Daily_Data!I4787</f>
        <v>-0.22</v>
      </c>
      <c r="D4787" s="12">
        <f>if(sum(Daily_Data!K4787:L4787)&gt;0,1,0)</f>
        <v>0</v>
      </c>
    </row>
    <row r="4788">
      <c r="A4788" s="10">
        <f>Daily_Data!A4788</f>
        <v>43228</v>
      </c>
      <c r="B4788" s="11">
        <f>Daily_Data!J4788</f>
        <v>14.71</v>
      </c>
      <c r="C4788" s="11">
        <f>Daily_Data!I4788</f>
        <v>-0.23</v>
      </c>
      <c r="D4788" s="12">
        <f>if(sum(Daily_Data!K4788:L4788)&gt;0,1,0)</f>
        <v>0</v>
      </c>
    </row>
    <row r="4789">
      <c r="A4789" s="10">
        <f>Daily_Data!A4789</f>
        <v>43229</v>
      </c>
      <c r="B4789" s="11">
        <f>Daily_Data!J4789</f>
        <v>13.42</v>
      </c>
      <c r="C4789" s="11">
        <f>Daily_Data!I4789</f>
        <v>-0.27</v>
      </c>
      <c r="D4789" s="12">
        <f>if(sum(Daily_Data!K4789:L4789)&gt;0,1,0)</f>
        <v>0</v>
      </c>
    </row>
    <row r="4790">
      <c r="A4790" s="10">
        <f>Daily_Data!A4790</f>
        <v>43230</v>
      </c>
      <c r="B4790" s="11">
        <f>Daily_Data!J4790</f>
        <v>13.23</v>
      </c>
      <c r="C4790" s="11">
        <f>Daily_Data!I4790</f>
        <v>-0.31</v>
      </c>
      <c r="D4790" s="12">
        <f>if(sum(Daily_Data!K4790:L4790)&gt;0,1,0)</f>
        <v>1</v>
      </c>
    </row>
    <row r="4791">
      <c r="A4791" s="10">
        <f>Daily_Data!A4791</f>
        <v>43231</v>
      </c>
      <c r="B4791" s="11">
        <f>Daily_Data!J4791</f>
        <v>12.65</v>
      </c>
      <c r="C4791" s="11">
        <f>Daily_Data!I4791</f>
        <v>-0.33</v>
      </c>
      <c r="D4791" s="12">
        <f>if(sum(Daily_Data!K4791:L4791)&gt;0,1,0)</f>
        <v>0</v>
      </c>
    </row>
    <row r="4792">
      <c r="A4792" s="10">
        <f>Daily_Data!A4792</f>
        <v>43234</v>
      </c>
      <c r="B4792" s="11">
        <f>Daily_Data!J4792</f>
        <v>12.93</v>
      </c>
      <c r="C4792" s="11">
        <f>Daily_Data!I4792</f>
        <v>-0.36</v>
      </c>
      <c r="D4792" s="12">
        <f>if(sum(Daily_Data!K4792:L4792)&gt;0,1,0)</f>
        <v>0</v>
      </c>
    </row>
    <row r="4793">
      <c r="A4793" s="10">
        <f>Daily_Data!A4793</f>
        <v>43235</v>
      </c>
      <c r="B4793" s="11">
        <f>Daily_Data!J4793</f>
        <v>14.63</v>
      </c>
      <c r="C4793" s="11">
        <f>Daily_Data!I4793</f>
        <v>-0.38</v>
      </c>
      <c r="D4793" s="12">
        <f>if(sum(Daily_Data!K4793:L4793)&gt;0,1,0)</f>
        <v>0</v>
      </c>
    </row>
    <row r="4794">
      <c r="A4794" s="10">
        <f>Daily_Data!A4794</f>
        <v>43236</v>
      </c>
      <c r="B4794" s="11">
        <f>Daily_Data!J4794</f>
        <v>13.42</v>
      </c>
      <c r="C4794" s="11">
        <f>Daily_Data!I4794</f>
        <v>-0.37</v>
      </c>
      <c r="D4794" s="12">
        <f>if(sum(Daily_Data!K4794:L4794)&gt;0,1,0)</f>
        <v>0</v>
      </c>
    </row>
    <row r="4795">
      <c r="A4795" s="10">
        <f>Daily_Data!A4795</f>
        <v>43237</v>
      </c>
      <c r="B4795" s="11">
        <f>Daily_Data!J4795</f>
        <v>13.43</v>
      </c>
      <c r="C4795" s="11">
        <f>Daily_Data!I4795</f>
        <v>-0.34</v>
      </c>
      <c r="D4795" s="12">
        <f>if(sum(Daily_Data!K4795:L4795)&gt;0,1,0)</f>
        <v>0</v>
      </c>
    </row>
    <row r="4796">
      <c r="A4796" s="10">
        <f>Daily_Data!A4796</f>
        <v>43238</v>
      </c>
      <c r="B4796" s="11">
        <f>Daily_Data!J4796</f>
        <v>13.42</v>
      </c>
      <c r="C4796" s="11">
        <f>Daily_Data!I4796</f>
        <v>-0.32</v>
      </c>
      <c r="D4796" s="12">
        <f>if(sum(Daily_Data!K4796:L4796)&gt;0,1,0)</f>
        <v>0</v>
      </c>
    </row>
    <row r="4797">
      <c r="A4797" s="10">
        <f>Daily_Data!A4797</f>
        <v>43241</v>
      </c>
      <c r="B4797" s="11">
        <f>Daily_Data!J4797</f>
        <v>13.08</v>
      </c>
      <c r="C4797" s="11">
        <f>Daily_Data!I4797</f>
        <v>-0.37</v>
      </c>
      <c r="D4797" s="12">
        <f>if(sum(Daily_Data!K4797:L4797)&gt;0,1,0)</f>
        <v>0</v>
      </c>
    </row>
    <row r="4798">
      <c r="A4798" s="10">
        <f>Daily_Data!A4798</f>
        <v>43242</v>
      </c>
      <c r="B4798" s="11">
        <f>Daily_Data!J4798</f>
        <v>13.22</v>
      </c>
      <c r="C4798" s="11">
        <f>Daily_Data!I4798</f>
        <v>-0.38</v>
      </c>
      <c r="D4798" s="12">
        <f>if(sum(Daily_Data!K4798:L4798)&gt;0,1,0)</f>
        <v>0</v>
      </c>
    </row>
    <row r="4799">
      <c r="A4799" s="10">
        <f>Daily_Data!A4799</f>
        <v>43243</v>
      </c>
      <c r="B4799" s="11">
        <f>Daily_Data!J4799</f>
        <v>12.58</v>
      </c>
      <c r="C4799" s="11">
        <f>Daily_Data!I4799</f>
        <v>-0.34</v>
      </c>
      <c r="D4799" s="12">
        <f>if(sum(Daily_Data!K4799:L4799)&gt;0,1,0)</f>
        <v>0</v>
      </c>
    </row>
    <row r="4800">
      <c r="A4800" s="10">
        <f>Daily_Data!A4800</f>
        <v>43244</v>
      </c>
      <c r="B4800" s="11">
        <f>Daily_Data!J4800</f>
        <v>12.53</v>
      </c>
      <c r="C4800" s="11">
        <f>Daily_Data!I4800</f>
        <v>-0.31</v>
      </c>
      <c r="D4800" s="12">
        <f>if(sum(Daily_Data!K4800:L4800)&gt;0,1,0)</f>
        <v>0</v>
      </c>
    </row>
    <row r="4801">
      <c r="A4801" s="10">
        <f>Daily_Data!A4801</f>
        <v>43245</v>
      </c>
      <c r="B4801" s="11">
        <f>Daily_Data!J4801</f>
        <v>13.22</v>
      </c>
      <c r="C4801" s="11">
        <f>Daily_Data!I4801</f>
        <v>-0.28</v>
      </c>
      <c r="D4801" s="12">
        <f>if(sum(Daily_Data!K4801:L4801)&gt;0,1,0)</f>
        <v>0</v>
      </c>
    </row>
    <row r="4802">
      <c r="A4802" s="10">
        <f>Daily_Data!A4802</f>
        <v>43248</v>
      </c>
      <c r="B4802" s="11" t="str">
        <f>Daily_Data!J4802</f>
        <v/>
      </c>
      <c r="C4802" s="11" t="str">
        <f>Daily_Data!I4802</f>
        <v/>
      </c>
      <c r="D4802" s="12">
        <f>if(sum(Daily_Data!K4802:L4802)&gt;0,1,0)</f>
        <v>0</v>
      </c>
    </row>
    <row r="4803">
      <c r="A4803" s="10">
        <f>Daily_Data!A4803</f>
        <v>43249</v>
      </c>
      <c r="B4803" s="11">
        <f>Daily_Data!J4803</f>
        <v>17.02</v>
      </c>
      <c r="C4803" s="11">
        <f>Daily_Data!I4803</f>
        <v>-0.12</v>
      </c>
      <c r="D4803" s="12">
        <f>if(sum(Daily_Data!K4803:L4803)&gt;0,1,0)</f>
        <v>0</v>
      </c>
    </row>
    <row r="4804">
      <c r="A4804" s="10">
        <f>Daily_Data!A4804</f>
        <v>43250</v>
      </c>
      <c r="B4804" s="11">
        <f>Daily_Data!J4804</f>
        <v>14.94</v>
      </c>
      <c r="C4804" s="11">
        <f>Daily_Data!I4804</f>
        <v>-0.22</v>
      </c>
      <c r="D4804" s="12">
        <f>if(sum(Daily_Data!K4804:L4804)&gt;0,1,0)</f>
        <v>0</v>
      </c>
    </row>
    <row r="4805">
      <c r="A4805" s="10">
        <f>Daily_Data!A4805</f>
        <v>43251</v>
      </c>
      <c r="B4805" s="11">
        <f>Daily_Data!J4805</f>
        <v>15.43</v>
      </c>
      <c r="C4805" s="11">
        <f>Daily_Data!I4805</f>
        <v>-0.19</v>
      </c>
      <c r="D4805" s="12">
        <f>if(sum(Daily_Data!K4805:L4805)&gt;0,1,0)</f>
        <v>0</v>
      </c>
    </row>
    <row r="4806">
      <c r="A4806" s="10">
        <f>Daily_Data!A4806</f>
        <v>43252</v>
      </c>
      <c r="B4806" s="11">
        <f>Daily_Data!J4806</f>
        <v>13.46</v>
      </c>
      <c r="C4806" s="11">
        <f>Daily_Data!I4806</f>
        <v>-0.25</v>
      </c>
      <c r="D4806" s="12">
        <f>if(sum(Daily_Data!K4806:L4806)&gt;0,1,0)</f>
        <v>1</v>
      </c>
    </row>
    <row r="4807">
      <c r="A4807" s="10">
        <f>Daily_Data!A4807</f>
        <v>43255</v>
      </c>
      <c r="B4807" s="11">
        <f>Daily_Data!J4807</f>
        <v>12.74</v>
      </c>
      <c r="C4807" s="11" t="str">
        <f>Daily_Data!I4807</f>
        <v/>
      </c>
      <c r="D4807" s="12">
        <f>if(sum(Daily_Data!K4807:L4807)&gt;0,1,0)</f>
        <v>0</v>
      </c>
    </row>
    <row r="4808">
      <c r="A4808" s="10">
        <f>Daily_Data!A4808</f>
        <v>43256</v>
      </c>
      <c r="B4808" s="11">
        <f>Daily_Data!J4808</f>
        <v>12.4</v>
      </c>
      <c r="C4808" s="11">
        <f>Daily_Data!I4808</f>
        <v>-0.27</v>
      </c>
      <c r="D4808" s="12">
        <f>if(sum(Daily_Data!K4808:L4808)&gt;0,1,0)</f>
        <v>0</v>
      </c>
    </row>
    <row r="4809">
      <c r="A4809" s="10">
        <f>Daily_Data!A4809</f>
        <v>43257</v>
      </c>
      <c r="B4809" s="11">
        <f>Daily_Data!J4809</f>
        <v>11.64</v>
      </c>
      <c r="C4809" s="11">
        <f>Daily_Data!I4809</f>
        <v>-0.3</v>
      </c>
      <c r="D4809" s="12">
        <f>if(sum(Daily_Data!K4809:L4809)&gt;0,1,0)</f>
        <v>0</v>
      </c>
    </row>
    <row r="4810">
      <c r="A4810" s="10">
        <f>Daily_Data!A4810</f>
        <v>43258</v>
      </c>
      <c r="B4810" s="11">
        <f>Daily_Data!J4810</f>
        <v>12.13</v>
      </c>
      <c r="C4810" s="11">
        <f>Daily_Data!I4810</f>
        <v>-0.26</v>
      </c>
      <c r="D4810" s="12">
        <f>if(sum(Daily_Data!K4810:L4810)&gt;0,1,0)</f>
        <v>0</v>
      </c>
    </row>
    <row r="4811">
      <c r="A4811" s="10">
        <f>Daily_Data!A4811</f>
        <v>43259</v>
      </c>
      <c r="B4811" s="11">
        <f>Daily_Data!J4811</f>
        <v>12.18</v>
      </c>
      <c r="C4811" s="11">
        <f>Daily_Data!I4811</f>
        <v>-0.27</v>
      </c>
      <c r="D4811" s="12">
        <f>if(sum(Daily_Data!K4811:L4811)&gt;0,1,0)</f>
        <v>0</v>
      </c>
    </row>
    <row r="4812">
      <c r="A4812" s="10">
        <f>Daily_Data!A4812</f>
        <v>43262</v>
      </c>
      <c r="B4812" s="11">
        <f>Daily_Data!J4812</f>
        <v>12.35</v>
      </c>
      <c r="C4812" s="11">
        <f>Daily_Data!I4812</f>
        <v>-0.29</v>
      </c>
      <c r="D4812" s="12">
        <f>if(sum(Daily_Data!K4812:L4812)&gt;0,1,0)</f>
        <v>0</v>
      </c>
    </row>
    <row r="4813">
      <c r="A4813" s="10">
        <f>Daily_Data!A4813</f>
        <v>43263</v>
      </c>
      <c r="B4813" s="11">
        <f>Daily_Data!J4813</f>
        <v>12.34</v>
      </c>
      <c r="C4813" s="11">
        <f>Daily_Data!I4813</f>
        <v>-0.31</v>
      </c>
      <c r="D4813" s="12">
        <f>if(sum(Daily_Data!K4813:L4813)&gt;0,1,0)</f>
        <v>1</v>
      </c>
    </row>
    <row r="4814">
      <c r="A4814" s="10">
        <f>Daily_Data!A4814</f>
        <v>43264</v>
      </c>
      <c r="B4814" s="11">
        <f>Daily_Data!J4814</f>
        <v>12.94</v>
      </c>
      <c r="C4814" s="11">
        <f>Daily_Data!I4814</f>
        <v>-0.35</v>
      </c>
      <c r="D4814" s="12">
        <f>if(sum(Daily_Data!K4814:L4814)&gt;0,1,0)</f>
        <v>0</v>
      </c>
    </row>
    <row r="4815">
      <c r="A4815" s="10">
        <f>Daily_Data!A4815</f>
        <v>43265</v>
      </c>
      <c r="B4815" s="11">
        <f>Daily_Data!J4815</f>
        <v>12.12</v>
      </c>
      <c r="C4815" s="11">
        <f>Daily_Data!I4815</f>
        <v>-0.35</v>
      </c>
      <c r="D4815" s="12">
        <f>if(sum(Daily_Data!K4815:L4815)&gt;0,1,0)</f>
        <v>0</v>
      </c>
    </row>
    <row r="4816">
      <c r="A4816" s="10">
        <f>Daily_Data!A4816</f>
        <v>43266</v>
      </c>
      <c r="B4816" s="11">
        <f>Daily_Data!J4816</f>
        <v>11.98</v>
      </c>
      <c r="C4816" s="11">
        <f>Daily_Data!I4816</f>
        <v>-0.31</v>
      </c>
      <c r="D4816" s="12">
        <f>if(sum(Daily_Data!K4816:L4816)&gt;0,1,0)</f>
        <v>0</v>
      </c>
    </row>
    <row r="4817">
      <c r="A4817" s="10">
        <f>Daily_Data!A4817</f>
        <v>43269</v>
      </c>
      <c r="B4817" s="11">
        <f>Daily_Data!J4817</f>
        <v>12.31</v>
      </c>
      <c r="C4817" s="11">
        <f>Daily_Data!I4817</f>
        <v>-0.33</v>
      </c>
      <c r="D4817" s="12">
        <f>if(sum(Daily_Data!K4817:L4817)&gt;0,1,0)</f>
        <v>0</v>
      </c>
    </row>
    <row r="4818">
      <c r="A4818" s="10">
        <f>Daily_Data!A4818</f>
        <v>43270</v>
      </c>
      <c r="B4818" s="11">
        <f>Daily_Data!J4818</f>
        <v>13.35</v>
      </c>
      <c r="C4818" s="11">
        <f>Daily_Data!I4818</f>
        <v>-0.31</v>
      </c>
      <c r="D4818" s="12">
        <f>if(sum(Daily_Data!K4818:L4818)&gt;0,1,0)</f>
        <v>0</v>
      </c>
    </row>
    <row r="4819">
      <c r="A4819" s="10">
        <f>Daily_Data!A4819</f>
        <v>43271</v>
      </c>
      <c r="B4819" s="11">
        <f>Daily_Data!J4819</f>
        <v>12.79</v>
      </c>
      <c r="C4819" s="11">
        <f>Daily_Data!I4819</f>
        <v>-0.32</v>
      </c>
      <c r="D4819" s="12">
        <f>if(sum(Daily_Data!K4819:L4819)&gt;0,1,0)</f>
        <v>0</v>
      </c>
    </row>
    <row r="4820">
      <c r="A4820" s="10">
        <f>Daily_Data!A4820</f>
        <v>43272</v>
      </c>
      <c r="B4820" s="11">
        <f>Daily_Data!J4820</f>
        <v>14.64</v>
      </c>
      <c r="C4820" s="11">
        <f>Daily_Data!I4820</f>
        <v>-0.31</v>
      </c>
      <c r="D4820" s="12">
        <f>if(sum(Daily_Data!K4820:L4820)&gt;0,1,0)</f>
        <v>0</v>
      </c>
    </row>
    <row r="4821">
      <c r="A4821" s="10">
        <f>Daily_Data!A4821</f>
        <v>43273</v>
      </c>
      <c r="B4821" s="11">
        <f>Daily_Data!J4821</f>
        <v>13.77</v>
      </c>
      <c r="C4821" s="11">
        <f>Daily_Data!I4821</f>
        <v>-0.31</v>
      </c>
      <c r="D4821" s="12">
        <f>if(sum(Daily_Data!K4821:L4821)&gt;0,1,0)</f>
        <v>0</v>
      </c>
    </row>
    <row r="4822">
      <c r="A4822" s="10">
        <f>Daily_Data!A4822</f>
        <v>43276</v>
      </c>
      <c r="B4822" s="11">
        <f>Daily_Data!J4822</f>
        <v>17.33</v>
      </c>
      <c r="C4822" s="11">
        <f>Daily_Data!I4822</f>
        <v>-0.29</v>
      </c>
      <c r="D4822" s="12">
        <f>if(sum(Daily_Data!K4822:L4822)&gt;0,1,0)</f>
        <v>0</v>
      </c>
    </row>
    <row r="4823">
      <c r="A4823" s="10">
        <f>Daily_Data!A4823</f>
        <v>43277</v>
      </c>
      <c r="B4823" s="11">
        <f>Daily_Data!J4823</f>
        <v>15.92</v>
      </c>
      <c r="C4823" s="11">
        <f>Daily_Data!I4823</f>
        <v>-0.29</v>
      </c>
      <c r="D4823" s="12">
        <f>if(sum(Daily_Data!K4823:L4823)&gt;0,1,0)</f>
        <v>0</v>
      </c>
    </row>
    <row r="4824">
      <c r="A4824" s="10">
        <f>Daily_Data!A4824</f>
        <v>43278</v>
      </c>
      <c r="B4824" s="11">
        <f>Daily_Data!J4824</f>
        <v>17.91</v>
      </c>
      <c r="C4824" s="11">
        <f>Daily_Data!I4824</f>
        <v>-0.31</v>
      </c>
      <c r="D4824" s="12">
        <f>if(sum(Daily_Data!K4824:L4824)&gt;0,1,0)</f>
        <v>0</v>
      </c>
    </row>
    <row r="4825">
      <c r="A4825" s="10">
        <f>Daily_Data!A4825</f>
        <v>43279</v>
      </c>
      <c r="B4825" s="11">
        <f>Daily_Data!J4825</f>
        <v>16.85</v>
      </c>
      <c r="C4825" s="11">
        <f>Daily_Data!I4825</f>
        <v>-0.35</v>
      </c>
      <c r="D4825" s="12">
        <f>if(sum(Daily_Data!K4825:L4825)&gt;0,1,0)</f>
        <v>0</v>
      </c>
    </row>
    <row r="4826">
      <c r="A4826" s="10">
        <f>Daily_Data!A4826</f>
        <v>43280</v>
      </c>
      <c r="B4826" s="11">
        <f>Daily_Data!J4826</f>
        <v>16.09</v>
      </c>
      <c r="C4826" s="11">
        <f>Daily_Data!I4826</f>
        <v>-0.38</v>
      </c>
      <c r="D4826" s="12">
        <f>if(sum(Daily_Data!K4826:L4826)&gt;0,1,0)</f>
        <v>0</v>
      </c>
    </row>
    <row r="4827">
      <c r="A4827" s="10">
        <f>Daily_Data!A4827</f>
        <v>43283</v>
      </c>
      <c r="B4827" s="11">
        <f>Daily_Data!J4827</f>
        <v>15.6</v>
      </c>
      <c r="C4827" s="11">
        <f>Daily_Data!I4827</f>
        <v>-0.43</v>
      </c>
      <c r="D4827" s="12">
        <f>if(sum(Daily_Data!K4827:L4827)&gt;0,1,0)</f>
        <v>0</v>
      </c>
    </row>
    <row r="4828">
      <c r="A4828" s="10">
        <f>Daily_Data!A4828</f>
        <v>43284</v>
      </c>
      <c r="B4828" s="11">
        <f>Daily_Data!J4828</f>
        <v>16.14</v>
      </c>
      <c r="C4828" s="11">
        <f>Daily_Data!I4828</f>
        <v>-0.39</v>
      </c>
      <c r="D4828" s="12">
        <f>if(sum(Daily_Data!K4828:L4828)&gt;0,1,0)</f>
        <v>0</v>
      </c>
    </row>
    <row r="4829">
      <c r="A4829" s="10">
        <f>Daily_Data!A4829</f>
        <v>43285</v>
      </c>
      <c r="B4829" s="11" t="str">
        <f>Daily_Data!J4829</f>
        <v/>
      </c>
      <c r="C4829" s="11" t="str">
        <f>Daily_Data!I4829</f>
        <v/>
      </c>
      <c r="D4829" s="12">
        <f>if(sum(Daily_Data!K4829:L4829)&gt;0,1,0)</f>
        <v>0</v>
      </c>
    </row>
    <row r="4830">
      <c r="A4830" s="10">
        <f>Daily_Data!A4830</f>
        <v>43286</v>
      </c>
      <c r="B4830" s="11">
        <f>Daily_Data!J4830</f>
        <v>14.97</v>
      </c>
      <c r="C4830" s="11">
        <f>Daily_Data!I4830</f>
        <v>-0.4</v>
      </c>
      <c r="D4830" s="12">
        <f>if(sum(Daily_Data!K4830:L4830)&gt;0,1,0)</f>
        <v>0</v>
      </c>
    </row>
    <row r="4831">
      <c r="A4831" s="10">
        <f>Daily_Data!A4831</f>
        <v>43287</v>
      </c>
      <c r="B4831" s="11">
        <f>Daily_Data!J4831</f>
        <v>13.37</v>
      </c>
      <c r="C4831" s="11">
        <f>Daily_Data!I4831</f>
        <v>-0.35</v>
      </c>
      <c r="D4831" s="12">
        <f>if(sum(Daily_Data!K4831:L4831)&gt;0,1,0)</f>
        <v>1</v>
      </c>
    </row>
    <row r="4832">
      <c r="A4832" s="10">
        <f>Daily_Data!A4832</f>
        <v>43290</v>
      </c>
      <c r="B4832" s="11">
        <f>Daily_Data!J4832</f>
        <v>12.69</v>
      </c>
      <c r="C4832" s="11">
        <f>Daily_Data!I4832</f>
        <v>-0.39</v>
      </c>
      <c r="D4832" s="12">
        <f>if(sum(Daily_Data!K4832:L4832)&gt;0,1,0)</f>
        <v>0</v>
      </c>
    </row>
    <row r="4833">
      <c r="A4833" s="10">
        <f>Daily_Data!A4833</f>
        <v>43291</v>
      </c>
      <c r="B4833" s="11">
        <f>Daily_Data!J4833</f>
        <v>12.64</v>
      </c>
      <c r="C4833" s="11">
        <f>Daily_Data!I4833</f>
        <v>-0.4</v>
      </c>
      <c r="D4833" s="12">
        <f>if(sum(Daily_Data!K4833:L4833)&gt;0,1,0)</f>
        <v>0</v>
      </c>
    </row>
    <row r="4834">
      <c r="A4834" s="10">
        <f>Daily_Data!A4834</f>
        <v>43292</v>
      </c>
      <c r="B4834" s="11">
        <f>Daily_Data!J4834</f>
        <v>13.63</v>
      </c>
      <c r="C4834" s="11">
        <f>Daily_Data!I4834</f>
        <v>-0.41</v>
      </c>
      <c r="D4834" s="12">
        <f>if(sum(Daily_Data!K4834:L4834)&gt;0,1,0)</f>
        <v>0</v>
      </c>
    </row>
    <row r="4835">
      <c r="A4835" s="10">
        <f>Daily_Data!A4835</f>
        <v>43293</v>
      </c>
      <c r="B4835" s="11">
        <f>Daily_Data!J4835</f>
        <v>12.58</v>
      </c>
      <c r="C4835" s="11">
        <f>Daily_Data!I4835</f>
        <v>-0.43</v>
      </c>
      <c r="D4835" s="12">
        <f>if(sum(Daily_Data!K4835:L4835)&gt;0,1,0)</f>
        <v>1</v>
      </c>
    </row>
    <row r="4836">
      <c r="A4836" s="10">
        <f>Daily_Data!A4836</f>
        <v>43294</v>
      </c>
      <c r="B4836" s="11">
        <f>Daily_Data!J4836</f>
        <v>12.18</v>
      </c>
      <c r="C4836" s="11">
        <f>Daily_Data!I4836</f>
        <v>-0.44</v>
      </c>
      <c r="D4836" s="12">
        <f>if(sum(Daily_Data!K4836:L4836)&gt;0,1,0)</f>
        <v>0</v>
      </c>
    </row>
    <row r="4837">
      <c r="A4837" s="10">
        <f>Daily_Data!A4837</f>
        <v>43297</v>
      </c>
      <c r="B4837" s="11">
        <f>Daily_Data!J4837</f>
        <v>12.83</v>
      </c>
      <c r="C4837" s="11">
        <f>Daily_Data!I4837</f>
        <v>-0.46</v>
      </c>
      <c r="D4837" s="12">
        <f>if(sum(Daily_Data!K4837:L4837)&gt;0,1,0)</f>
        <v>0</v>
      </c>
    </row>
    <row r="4838">
      <c r="A4838" s="10">
        <f>Daily_Data!A4838</f>
        <v>43298</v>
      </c>
      <c r="B4838" s="11">
        <f>Daily_Data!J4838</f>
        <v>12.06</v>
      </c>
      <c r="C4838" s="11">
        <f>Daily_Data!I4838</f>
        <v>-0.45</v>
      </c>
      <c r="D4838" s="12">
        <f>if(sum(Daily_Data!K4838:L4838)&gt;0,1,0)</f>
        <v>0</v>
      </c>
    </row>
    <row r="4839">
      <c r="A4839" s="10">
        <f>Daily_Data!A4839</f>
        <v>43299</v>
      </c>
      <c r="B4839" s="11">
        <f>Daily_Data!J4839</f>
        <v>12.1</v>
      </c>
      <c r="C4839" s="11">
        <f>Daily_Data!I4839</f>
        <v>-0.45</v>
      </c>
      <c r="D4839" s="12">
        <f>if(sum(Daily_Data!K4839:L4839)&gt;0,1,0)</f>
        <v>0</v>
      </c>
    </row>
    <row r="4840">
      <c r="A4840" s="10">
        <f>Daily_Data!A4840</f>
        <v>43300</v>
      </c>
      <c r="B4840" s="11">
        <f>Daily_Data!J4840</f>
        <v>12.87</v>
      </c>
      <c r="C4840" s="11">
        <f>Daily_Data!I4840</f>
        <v>-0.46</v>
      </c>
      <c r="D4840" s="12">
        <f>if(sum(Daily_Data!K4840:L4840)&gt;0,1,0)</f>
        <v>0</v>
      </c>
    </row>
    <row r="4841">
      <c r="A4841" s="10">
        <f>Daily_Data!A4841</f>
        <v>43301</v>
      </c>
      <c r="B4841" s="11">
        <f>Daily_Data!J4841</f>
        <v>12.86</v>
      </c>
      <c r="C4841" s="11">
        <f>Daily_Data!I4841</f>
        <v>-0.46</v>
      </c>
      <c r="D4841" s="12">
        <f>if(sum(Daily_Data!K4841:L4841)&gt;0,1,0)</f>
        <v>0</v>
      </c>
    </row>
    <row r="4842">
      <c r="A4842" s="10">
        <f>Daily_Data!A4842</f>
        <v>43304</v>
      </c>
      <c r="B4842" s="11">
        <f>Daily_Data!J4842</f>
        <v>12.62</v>
      </c>
      <c r="C4842" s="11">
        <f>Daily_Data!I4842</f>
        <v>-0.5</v>
      </c>
      <c r="D4842" s="12">
        <f>if(sum(Daily_Data!K4842:L4842)&gt;0,1,0)</f>
        <v>0</v>
      </c>
    </row>
    <row r="4843">
      <c r="A4843" s="10">
        <f>Daily_Data!A4843</f>
        <v>43305</v>
      </c>
      <c r="B4843" s="11">
        <f>Daily_Data!J4843</f>
        <v>12.41</v>
      </c>
      <c r="C4843" s="11">
        <f>Daily_Data!I4843</f>
        <v>-0.49</v>
      </c>
      <c r="D4843" s="12">
        <f>if(sum(Daily_Data!K4843:L4843)&gt;0,1,0)</f>
        <v>0</v>
      </c>
    </row>
    <row r="4844">
      <c r="A4844" s="10">
        <f>Daily_Data!A4844</f>
        <v>43306</v>
      </c>
      <c r="B4844" s="11">
        <f>Daily_Data!J4844</f>
        <v>12.29</v>
      </c>
      <c r="C4844" s="11">
        <f>Daily_Data!I4844</f>
        <v>-0.53</v>
      </c>
      <c r="D4844" s="12">
        <f>if(sum(Daily_Data!K4844:L4844)&gt;0,1,0)</f>
        <v>0</v>
      </c>
    </row>
    <row r="4845">
      <c r="A4845" s="10">
        <f>Daily_Data!A4845</f>
        <v>43307</v>
      </c>
      <c r="B4845" s="11">
        <f>Daily_Data!J4845</f>
        <v>12.14</v>
      </c>
      <c r="C4845" s="11">
        <f>Daily_Data!I4845</f>
        <v>-0.56</v>
      </c>
      <c r="D4845" s="12">
        <f>if(sum(Daily_Data!K4845:L4845)&gt;0,1,0)</f>
        <v>0</v>
      </c>
    </row>
    <row r="4846">
      <c r="A4846" s="10">
        <f>Daily_Data!A4846</f>
        <v>43308</v>
      </c>
      <c r="B4846" s="11">
        <f>Daily_Data!J4846</f>
        <v>13.03</v>
      </c>
      <c r="C4846" s="11">
        <f>Daily_Data!I4846</f>
        <v>-0.54</v>
      </c>
      <c r="D4846" s="12">
        <f>if(sum(Daily_Data!K4846:L4846)&gt;0,1,0)</f>
        <v>0</v>
      </c>
    </row>
    <row r="4847">
      <c r="A4847" s="10">
        <f>Daily_Data!A4847</f>
        <v>43311</v>
      </c>
      <c r="B4847" s="11">
        <f>Daily_Data!J4847</f>
        <v>14.26</v>
      </c>
      <c r="C4847" s="11">
        <f>Daily_Data!I4847</f>
        <v>-0.53</v>
      </c>
      <c r="D4847" s="12">
        <f>if(sum(Daily_Data!K4847:L4847)&gt;0,1,0)</f>
        <v>0</v>
      </c>
    </row>
    <row r="4848">
      <c r="A4848" s="10">
        <f>Daily_Data!A4848</f>
        <v>43312</v>
      </c>
      <c r="B4848" s="11">
        <f>Daily_Data!J4848</f>
        <v>12.83</v>
      </c>
      <c r="C4848" s="11">
        <f>Daily_Data!I4848</f>
        <v>-0.53</v>
      </c>
      <c r="D4848" s="12">
        <f>if(sum(Daily_Data!K4848:L4848)&gt;0,1,0)</f>
        <v>0</v>
      </c>
    </row>
    <row r="4849">
      <c r="A4849" s="10">
        <f>Daily_Data!A4849</f>
        <v>43313</v>
      </c>
      <c r="B4849" s="11">
        <f>Daily_Data!J4849</f>
        <v>13.15</v>
      </c>
      <c r="C4849" s="11">
        <f>Daily_Data!I4849</f>
        <v>-0.54</v>
      </c>
      <c r="D4849" s="12">
        <f>if(sum(Daily_Data!K4849:L4849)&gt;0,1,0)</f>
        <v>0</v>
      </c>
    </row>
    <row r="4850">
      <c r="A4850" s="10">
        <f>Daily_Data!A4850</f>
        <v>43314</v>
      </c>
      <c r="B4850" s="11">
        <f>Daily_Data!J4850</f>
        <v>12.19</v>
      </c>
      <c r="C4850" s="11">
        <f>Daily_Data!I4850</f>
        <v>-0.52</v>
      </c>
      <c r="D4850" s="12">
        <f>if(sum(Daily_Data!K4850:L4850)&gt;0,1,0)</f>
        <v>0</v>
      </c>
    </row>
    <row r="4851">
      <c r="A4851" s="10">
        <f>Daily_Data!A4851</f>
        <v>43315</v>
      </c>
      <c r="B4851" s="11">
        <f>Daily_Data!J4851</f>
        <v>11.64</v>
      </c>
      <c r="C4851" s="11">
        <f>Daily_Data!I4851</f>
        <v>-0.51</v>
      </c>
      <c r="D4851" s="12">
        <f>if(sum(Daily_Data!K4851:L4851)&gt;0,1,0)</f>
        <v>1</v>
      </c>
    </row>
    <row r="4852">
      <c r="A4852" s="10">
        <f>Daily_Data!A4852</f>
        <v>43318</v>
      </c>
      <c r="B4852" s="11">
        <f>Daily_Data!J4852</f>
        <v>11.27</v>
      </c>
      <c r="C4852" s="11">
        <f>Daily_Data!I4852</f>
        <v>-0.54</v>
      </c>
      <c r="D4852" s="12">
        <f>if(sum(Daily_Data!K4852:L4852)&gt;0,1,0)</f>
        <v>0</v>
      </c>
    </row>
    <row r="4853">
      <c r="A4853" s="10">
        <f>Daily_Data!A4853</f>
        <v>43319</v>
      </c>
      <c r="B4853" s="11">
        <f>Daily_Data!J4853</f>
        <v>10.93</v>
      </c>
      <c r="C4853" s="11">
        <f>Daily_Data!I4853</f>
        <v>-0.58</v>
      </c>
      <c r="D4853" s="12">
        <f>if(sum(Daily_Data!K4853:L4853)&gt;0,1,0)</f>
        <v>0</v>
      </c>
    </row>
    <row r="4854">
      <c r="A4854" s="10">
        <f>Daily_Data!A4854</f>
        <v>43320</v>
      </c>
      <c r="B4854" s="11">
        <f>Daily_Data!J4854</f>
        <v>10.85</v>
      </c>
      <c r="C4854" s="11">
        <f>Daily_Data!I4854</f>
        <v>-0.57</v>
      </c>
      <c r="D4854" s="12">
        <f>if(sum(Daily_Data!K4854:L4854)&gt;0,1,0)</f>
        <v>0</v>
      </c>
    </row>
    <row r="4855">
      <c r="A4855" s="10">
        <f>Daily_Data!A4855</f>
        <v>43321</v>
      </c>
      <c r="B4855" s="11">
        <f>Daily_Data!J4855</f>
        <v>11.27</v>
      </c>
      <c r="C4855" s="11">
        <f>Daily_Data!I4855</f>
        <v>-0.6</v>
      </c>
      <c r="D4855" s="12">
        <f>if(sum(Daily_Data!K4855:L4855)&gt;0,1,0)</f>
        <v>0</v>
      </c>
    </row>
    <row r="4856">
      <c r="A4856" s="10">
        <f>Daily_Data!A4856</f>
        <v>43322</v>
      </c>
      <c r="B4856" s="11">
        <f>Daily_Data!J4856</f>
        <v>13.16</v>
      </c>
      <c r="C4856" s="11">
        <f>Daily_Data!I4856</f>
        <v>-0.62</v>
      </c>
      <c r="D4856" s="12">
        <f>if(sum(Daily_Data!K4856:L4856)&gt;0,1,0)</f>
        <v>1</v>
      </c>
    </row>
    <row r="4857">
      <c r="A4857" s="10">
        <f>Daily_Data!A4857</f>
        <v>43325</v>
      </c>
      <c r="B4857" s="11">
        <f>Daily_Data!J4857</f>
        <v>14.78</v>
      </c>
      <c r="C4857" s="11">
        <f>Daily_Data!I4857</f>
        <v>-0.6</v>
      </c>
      <c r="D4857" s="12">
        <f>if(sum(Daily_Data!K4857:L4857)&gt;0,1,0)</f>
        <v>0</v>
      </c>
    </row>
    <row r="4858">
      <c r="A4858" s="10">
        <f>Daily_Data!A4858</f>
        <v>43326</v>
      </c>
      <c r="B4858" s="11">
        <f>Daily_Data!J4858</f>
        <v>13.31</v>
      </c>
      <c r="C4858" s="11">
        <f>Daily_Data!I4858</f>
        <v>-0.6</v>
      </c>
      <c r="D4858" s="12">
        <f>if(sum(Daily_Data!K4858:L4858)&gt;0,1,0)</f>
        <v>0</v>
      </c>
    </row>
    <row r="4859">
      <c r="A4859" s="10">
        <f>Daily_Data!A4859</f>
        <v>43327</v>
      </c>
      <c r="B4859" s="11">
        <f>Daily_Data!J4859</f>
        <v>14.64</v>
      </c>
      <c r="C4859" s="11">
        <f>Daily_Data!I4859</f>
        <v>-0.59</v>
      </c>
      <c r="D4859" s="12">
        <f>if(sum(Daily_Data!K4859:L4859)&gt;0,1,0)</f>
        <v>0</v>
      </c>
    </row>
    <row r="4860">
      <c r="A4860" s="10">
        <f>Daily_Data!A4860</f>
        <v>43328</v>
      </c>
      <c r="B4860" s="11">
        <f>Daily_Data!J4860</f>
        <v>13.45</v>
      </c>
      <c r="C4860" s="11">
        <f>Daily_Data!I4860</f>
        <v>-0.6</v>
      </c>
      <c r="D4860" s="12">
        <f>if(sum(Daily_Data!K4860:L4860)&gt;0,1,0)</f>
        <v>0</v>
      </c>
    </row>
    <row r="4861">
      <c r="A4861" s="10">
        <f>Daily_Data!A4861</f>
        <v>43329</v>
      </c>
      <c r="B4861" s="11">
        <f>Daily_Data!J4861</f>
        <v>12.64</v>
      </c>
      <c r="C4861" s="11">
        <f>Daily_Data!I4861</f>
        <v>-0.57</v>
      </c>
      <c r="D4861" s="12">
        <f>if(sum(Daily_Data!K4861:L4861)&gt;0,1,0)</f>
        <v>0</v>
      </c>
    </row>
    <row r="4862">
      <c r="A4862" s="10">
        <f>Daily_Data!A4862</f>
        <v>43332</v>
      </c>
      <c r="B4862" s="11">
        <f>Daily_Data!J4862</f>
        <v>12.49</v>
      </c>
      <c r="C4862" s="11">
        <f>Daily_Data!I4862</f>
        <v>-0.57</v>
      </c>
      <c r="D4862" s="12">
        <f>if(sum(Daily_Data!K4862:L4862)&gt;0,1,0)</f>
        <v>0</v>
      </c>
    </row>
    <row r="4863">
      <c r="A4863" s="10">
        <f>Daily_Data!A4863</f>
        <v>43333</v>
      </c>
      <c r="B4863" s="11">
        <f>Daily_Data!J4863</f>
        <v>12.86</v>
      </c>
      <c r="C4863" s="11">
        <f>Daily_Data!I4863</f>
        <v>-0.58</v>
      </c>
      <c r="D4863" s="12">
        <f>if(sum(Daily_Data!K4863:L4863)&gt;0,1,0)</f>
        <v>0</v>
      </c>
    </row>
    <row r="4864">
      <c r="A4864" s="10">
        <f>Daily_Data!A4864</f>
        <v>43334</v>
      </c>
      <c r="B4864" s="11">
        <f>Daily_Data!J4864</f>
        <v>12.25</v>
      </c>
      <c r="C4864" s="11">
        <f>Daily_Data!I4864</f>
        <v>-0.58</v>
      </c>
      <c r="D4864" s="12">
        <f>if(sum(Daily_Data!K4864:L4864)&gt;0,1,0)</f>
        <v>0</v>
      </c>
    </row>
    <row r="4865">
      <c r="A4865" s="10">
        <f>Daily_Data!A4865</f>
        <v>43335</v>
      </c>
      <c r="B4865" s="11">
        <f>Daily_Data!J4865</f>
        <v>12.41</v>
      </c>
      <c r="C4865" s="11">
        <f>Daily_Data!I4865</f>
        <v>-0.59</v>
      </c>
      <c r="D4865" s="12">
        <f>if(sum(Daily_Data!K4865:L4865)&gt;0,1,0)</f>
        <v>0</v>
      </c>
    </row>
    <row r="4866">
      <c r="A4866" s="10">
        <f>Daily_Data!A4866</f>
        <v>43336</v>
      </c>
      <c r="B4866" s="11">
        <f>Daily_Data!J4866</f>
        <v>11.99</v>
      </c>
      <c r="C4866" s="11">
        <f>Daily_Data!I4866</f>
        <v>-0.61</v>
      </c>
      <c r="D4866" s="12">
        <f>if(sum(Daily_Data!K4866:L4866)&gt;0,1,0)</f>
        <v>0</v>
      </c>
    </row>
    <row r="4867">
      <c r="A4867" s="10">
        <f>Daily_Data!A4867</f>
        <v>43339</v>
      </c>
      <c r="B4867" s="11">
        <f>Daily_Data!J4867</f>
        <v>12.16</v>
      </c>
      <c r="C4867" s="11">
        <f>Daily_Data!I4867</f>
        <v>-0.64</v>
      </c>
      <c r="D4867" s="12">
        <f>if(sum(Daily_Data!K4867:L4867)&gt;0,1,0)</f>
        <v>0</v>
      </c>
    </row>
    <row r="4868">
      <c r="A4868" s="10">
        <f>Daily_Data!A4868</f>
        <v>43340</v>
      </c>
      <c r="B4868" s="11">
        <f>Daily_Data!J4868</f>
        <v>12.5</v>
      </c>
      <c r="C4868" s="11">
        <f>Daily_Data!I4868</f>
        <v>-0.64</v>
      </c>
      <c r="D4868" s="12">
        <f>if(sum(Daily_Data!K4868:L4868)&gt;0,1,0)</f>
        <v>0</v>
      </c>
    </row>
    <row r="4869">
      <c r="A4869" s="10">
        <f>Daily_Data!A4869</f>
        <v>43341</v>
      </c>
      <c r="B4869" s="11">
        <f>Daily_Data!J4869</f>
        <v>12.25</v>
      </c>
      <c r="C4869" s="11">
        <f>Daily_Data!I4869</f>
        <v>-0.64</v>
      </c>
      <c r="D4869" s="12">
        <f>if(sum(Daily_Data!K4869:L4869)&gt;0,1,0)</f>
        <v>0</v>
      </c>
    </row>
    <row r="4870">
      <c r="A4870" s="10">
        <f>Daily_Data!A4870</f>
        <v>43342</v>
      </c>
      <c r="B4870" s="11">
        <f>Daily_Data!J4870</f>
        <v>13.53</v>
      </c>
      <c r="C4870" s="11">
        <f>Daily_Data!I4870</f>
        <v>-0.66</v>
      </c>
      <c r="D4870" s="12">
        <f>if(sum(Daily_Data!K4870:L4870)&gt;0,1,0)</f>
        <v>0</v>
      </c>
    </row>
    <row r="4871">
      <c r="A4871" s="10">
        <f>Daily_Data!A4871</f>
        <v>43343</v>
      </c>
      <c r="B4871" s="11">
        <f>Daily_Data!J4871</f>
        <v>12.86</v>
      </c>
      <c r="C4871" s="11">
        <f>Daily_Data!I4871</f>
        <v>-0.64</v>
      </c>
      <c r="D4871" s="12">
        <f>if(sum(Daily_Data!K4871:L4871)&gt;0,1,0)</f>
        <v>0</v>
      </c>
    </row>
    <row r="4872">
      <c r="A4872" s="10">
        <f>Daily_Data!A4872</f>
        <v>43346</v>
      </c>
      <c r="B4872" s="11" t="str">
        <f>Daily_Data!J4872</f>
        <v/>
      </c>
      <c r="C4872" s="11" t="str">
        <f>Daily_Data!I4872</f>
        <v/>
      </c>
      <c r="D4872" s="12">
        <f>if(sum(Daily_Data!K4872:L4872)&gt;0,1,0)</f>
        <v>0</v>
      </c>
    </row>
    <row r="4873">
      <c r="A4873" s="10">
        <f>Daily_Data!A4873</f>
        <v>43347</v>
      </c>
      <c r="B4873" s="11">
        <f>Daily_Data!J4873</f>
        <v>13.16</v>
      </c>
      <c r="C4873" s="11">
        <f>Daily_Data!I4873</f>
        <v>-0.69</v>
      </c>
      <c r="D4873" s="12">
        <f>if(sum(Daily_Data!K4873:L4873)&gt;0,1,0)</f>
        <v>0</v>
      </c>
    </row>
    <row r="4874">
      <c r="A4874" s="10">
        <f>Daily_Data!A4874</f>
        <v>43348</v>
      </c>
      <c r="B4874" s="11">
        <f>Daily_Data!J4874</f>
        <v>13.91</v>
      </c>
      <c r="C4874" s="11">
        <f>Daily_Data!I4874</f>
        <v>-0.68</v>
      </c>
      <c r="D4874" s="12">
        <f>if(sum(Daily_Data!K4874:L4874)&gt;0,1,0)</f>
        <v>0</v>
      </c>
    </row>
    <row r="4875">
      <c r="A4875" s="10">
        <f>Daily_Data!A4875</f>
        <v>43349</v>
      </c>
      <c r="B4875" s="11">
        <f>Daily_Data!J4875</f>
        <v>14.65</v>
      </c>
      <c r="C4875" s="11">
        <f>Daily_Data!I4875</f>
        <v>-0.67</v>
      </c>
      <c r="D4875" s="12">
        <f>if(sum(Daily_Data!K4875:L4875)&gt;0,1,0)</f>
        <v>0</v>
      </c>
    </row>
    <row r="4876">
      <c r="A4876" s="10">
        <f>Daily_Data!A4876</f>
        <v>43350</v>
      </c>
      <c r="B4876" s="11">
        <f>Daily_Data!J4876</f>
        <v>14.88</v>
      </c>
      <c r="C4876" s="11">
        <f>Daily_Data!I4876</f>
        <v>-0.75</v>
      </c>
      <c r="D4876" s="12">
        <f>if(sum(Daily_Data!K4876:L4876)&gt;0,1,0)</f>
        <v>1</v>
      </c>
    </row>
    <row r="4877">
      <c r="A4877" s="10">
        <f>Daily_Data!A4877</f>
        <v>43353</v>
      </c>
      <c r="B4877" s="11">
        <f>Daily_Data!J4877</f>
        <v>14.16</v>
      </c>
      <c r="C4877" s="11">
        <f>Daily_Data!I4877</f>
        <v>-0.76</v>
      </c>
      <c r="D4877" s="12">
        <f>if(sum(Daily_Data!K4877:L4877)&gt;0,1,0)</f>
        <v>0</v>
      </c>
    </row>
    <row r="4878">
      <c r="A4878" s="10">
        <f>Daily_Data!A4878</f>
        <v>43354</v>
      </c>
      <c r="B4878" s="11">
        <f>Daily_Data!J4878</f>
        <v>13.22</v>
      </c>
      <c r="C4878" s="11">
        <f>Daily_Data!I4878</f>
        <v>-0.78</v>
      </c>
      <c r="D4878" s="12">
        <f>if(sum(Daily_Data!K4878:L4878)&gt;0,1,0)</f>
        <v>0</v>
      </c>
    </row>
    <row r="4879">
      <c r="A4879" s="10">
        <f>Daily_Data!A4879</f>
        <v>43355</v>
      </c>
      <c r="B4879" s="11">
        <f>Daily_Data!J4879</f>
        <v>13.14</v>
      </c>
      <c r="C4879" s="11">
        <f>Daily_Data!I4879</f>
        <v>-0.76</v>
      </c>
      <c r="D4879" s="12">
        <f>if(sum(Daily_Data!K4879:L4879)&gt;0,1,0)</f>
        <v>0</v>
      </c>
    </row>
    <row r="4880">
      <c r="A4880" s="10">
        <f>Daily_Data!A4880</f>
        <v>43356</v>
      </c>
      <c r="B4880" s="11">
        <f>Daily_Data!J4880</f>
        <v>12.37</v>
      </c>
      <c r="C4880" s="11">
        <f>Daily_Data!I4880</f>
        <v>-0.78</v>
      </c>
      <c r="D4880" s="12">
        <f>if(sum(Daily_Data!K4880:L4880)&gt;0,1,0)</f>
        <v>1</v>
      </c>
    </row>
    <row r="4881">
      <c r="A4881" s="10">
        <f>Daily_Data!A4881</f>
        <v>43357</v>
      </c>
      <c r="B4881" s="11">
        <f>Daily_Data!J4881</f>
        <v>12.07</v>
      </c>
      <c r="C4881" s="11">
        <f>Daily_Data!I4881</f>
        <v>-0.8</v>
      </c>
      <c r="D4881" s="12">
        <f>if(sum(Daily_Data!K4881:L4881)&gt;0,1,0)</f>
        <v>0</v>
      </c>
    </row>
    <row r="4882">
      <c r="A4882" s="10">
        <f>Daily_Data!A4882</f>
        <v>43360</v>
      </c>
      <c r="B4882" s="11">
        <f>Daily_Data!J4882</f>
        <v>13.68</v>
      </c>
      <c r="C4882" s="11">
        <f>Daily_Data!I4882</f>
        <v>-0.8</v>
      </c>
      <c r="D4882" s="12">
        <f>if(sum(Daily_Data!K4882:L4882)&gt;0,1,0)</f>
        <v>0</v>
      </c>
    </row>
    <row r="4883">
      <c r="A4883" s="10">
        <f>Daily_Data!A4883</f>
        <v>43361</v>
      </c>
      <c r="B4883" s="11">
        <f>Daily_Data!J4883</f>
        <v>12.79</v>
      </c>
      <c r="C4883" s="11">
        <f>Daily_Data!I4883</f>
        <v>-0.81</v>
      </c>
      <c r="D4883" s="12">
        <f>if(sum(Daily_Data!K4883:L4883)&gt;0,1,0)</f>
        <v>0</v>
      </c>
    </row>
    <row r="4884">
      <c r="A4884" s="10">
        <f>Daily_Data!A4884</f>
        <v>43362</v>
      </c>
      <c r="B4884" s="11">
        <f>Daily_Data!J4884</f>
        <v>11.75</v>
      </c>
      <c r="C4884" s="11">
        <f>Daily_Data!I4884</f>
        <v>-0.81</v>
      </c>
      <c r="D4884" s="12">
        <f>if(sum(Daily_Data!K4884:L4884)&gt;0,1,0)</f>
        <v>0</v>
      </c>
    </row>
    <row r="4885">
      <c r="A4885" s="10">
        <f>Daily_Data!A4885</f>
        <v>43363</v>
      </c>
      <c r="B4885" s="11">
        <f>Daily_Data!J4885</f>
        <v>11.8</v>
      </c>
      <c r="C4885" s="11">
        <f>Daily_Data!I4885</f>
        <v>-0.78</v>
      </c>
      <c r="D4885" s="12">
        <f>if(sum(Daily_Data!K4885:L4885)&gt;0,1,0)</f>
        <v>0</v>
      </c>
    </row>
    <row r="4886">
      <c r="A4886" s="10">
        <f>Daily_Data!A4886</f>
        <v>43364</v>
      </c>
      <c r="B4886" s="11">
        <f>Daily_Data!J4886</f>
        <v>11.68</v>
      </c>
      <c r="C4886" s="11">
        <f>Daily_Data!I4886</f>
        <v>-0.78</v>
      </c>
      <c r="D4886" s="12">
        <f>if(sum(Daily_Data!K4886:L4886)&gt;0,1,0)</f>
        <v>0</v>
      </c>
    </row>
    <row r="4887">
      <c r="A4887" s="10">
        <f>Daily_Data!A4887</f>
        <v>43367</v>
      </c>
      <c r="B4887" s="11">
        <f>Daily_Data!J4887</f>
        <v>12.2</v>
      </c>
      <c r="C4887" s="11">
        <f>Daily_Data!I4887</f>
        <v>-0.79</v>
      </c>
      <c r="D4887" s="12">
        <f>if(sum(Daily_Data!K4887:L4887)&gt;0,1,0)</f>
        <v>0</v>
      </c>
    </row>
    <row r="4888">
      <c r="A4888" s="10">
        <f>Daily_Data!A4888</f>
        <v>43368</v>
      </c>
      <c r="B4888" s="11">
        <f>Daily_Data!J4888</f>
        <v>12.42</v>
      </c>
      <c r="C4888" s="11">
        <f>Daily_Data!I4888</f>
        <v>-0.78</v>
      </c>
      <c r="D4888" s="12">
        <f>if(sum(Daily_Data!K4888:L4888)&gt;0,1,0)</f>
        <v>0</v>
      </c>
    </row>
    <row r="4889">
      <c r="A4889" s="10">
        <f>Daily_Data!A4889</f>
        <v>43369</v>
      </c>
      <c r="B4889" s="11">
        <f>Daily_Data!J4889</f>
        <v>12.89</v>
      </c>
      <c r="C4889" s="11">
        <f>Daily_Data!I4889</f>
        <v>-0.78</v>
      </c>
      <c r="D4889" s="12">
        <f>if(sum(Daily_Data!K4889:L4889)&gt;0,1,0)</f>
        <v>0</v>
      </c>
    </row>
    <row r="4890">
      <c r="A4890" s="10">
        <f>Daily_Data!A4890</f>
        <v>43370</v>
      </c>
      <c r="B4890" s="11">
        <f>Daily_Data!J4890</f>
        <v>12.41</v>
      </c>
      <c r="C4890" s="11">
        <f>Daily_Data!I4890</f>
        <v>-0.79</v>
      </c>
      <c r="D4890" s="12">
        <f>if(sum(Daily_Data!K4890:L4890)&gt;0,1,0)</f>
        <v>0</v>
      </c>
    </row>
    <row r="4891">
      <c r="A4891" s="10">
        <f>Daily_Data!A4891</f>
        <v>43371</v>
      </c>
      <c r="B4891" s="11">
        <f>Daily_Data!J4891</f>
        <v>12.12</v>
      </c>
      <c r="C4891" s="11">
        <f>Daily_Data!I4891</f>
        <v>-0.77</v>
      </c>
      <c r="D4891" s="12">
        <f>if(sum(Daily_Data!K4891:L4891)&gt;0,1,0)</f>
        <v>0</v>
      </c>
    </row>
    <row r="4892">
      <c r="A4892" s="10">
        <f>Daily_Data!A4892</f>
        <v>43374</v>
      </c>
      <c r="B4892" s="11">
        <f>Daily_Data!J4892</f>
        <v>12</v>
      </c>
      <c r="C4892" s="11">
        <f>Daily_Data!I4892</f>
        <v>-0.79</v>
      </c>
      <c r="D4892" s="12">
        <f>if(sum(Daily_Data!K4892:L4892)&gt;0,1,0)</f>
        <v>0</v>
      </c>
    </row>
    <row r="4893">
      <c r="A4893" s="10">
        <f>Daily_Data!A4893</f>
        <v>43375</v>
      </c>
      <c r="B4893" s="11">
        <f>Daily_Data!J4893</f>
        <v>12.05</v>
      </c>
      <c r="C4893" s="11">
        <f>Daily_Data!I4893</f>
        <v>-0.8</v>
      </c>
      <c r="D4893" s="12">
        <f>if(sum(Daily_Data!K4893:L4893)&gt;0,1,0)</f>
        <v>0</v>
      </c>
    </row>
    <row r="4894">
      <c r="A4894" s="10">
        <f>Daily_Data!A4894</f>
        <v>43376</v>
      </c>
      <c r="B4894" s="11">
        <f>Daily_Data!J4894</f>
        <v>11.61</v>
      </c>
      <c r="C4894" s="11">
        <f>Daily_Data!I4894</f>
        <v>-0.85</v>
      </c>
      <c r="D4894" s="12">
        <f>if(sum(Daily_Data!K4894:L4894)&gt;0,1,0)</f>
        <v>0</v>
      </c>
    </row>
    <row r="4895">
      <c r="A4895" s="10">
        <f>Daily_Data!A4895</f>
        <v>43377</v>
      </c>
      <c r="B4895" s="11">
        <f>Daily_Data!J4895</f>
        <v>14.22</v>
      </c>
      <c r="C4895" s="11">
        <f>Daily_Data!I4895</f>
        <v>-0.86</v>
      </c>
      <c r="D4895" s="12">
        <f>if(sum(Daily_Data!K4895:L4895)&gt;0,1,0)</f>
        <v>0</v>
      </c>
    </row>
    <row r="4896">
      <c r="A4896" s="10">
        <f>Daily_Data!A4896</f>
        <v>43378</v>
      </c>
      <c r="B4896" s="11">
        <f>Daily_Data!J4896</f>
        <v>14.82</v>
      </c>
      <c r="C4896" s="11">
        <f>Daily_Data!I4896</f>
        <v>-0.87</v>
      </c>
      <c r="D4896" s="12">
        <f>if(sum(Daily_Data!K4896:L4896)&gt;0,1,0)</f>
        <v>1</v>
      </c>
    </row>
    <row r="4897">
      <c r="A4897" s="10">
        <f>Daily_Data!A4897</f>
        <v>43381</v>
      </c>
      <c r="B4897" s="11">
        <f>Daily_Data!J4897</f>
        <v>15.69</v>
      </c>
      <c r="C4897" s="11" t="str">
        <f>Daily_Data!I4897</f>
        <v/>
      </c>
      <c r="D4897" s="12">
        <f>if(sum(Daily_Data!K4897:L4897)&gt;0,1,0)</f>
        <v>0</v>
      </c>
    </row>
    <row r="4898">
      <c r="A4898" s="10">
        <f>Daily_Data!A4898</f>
        <v>43382</v>
      </c>
      <c r="B4898" s="11">
        <f>Daily_Data!J4898</f>
        <v>15.95</v>
      </c>
      <c r="C4898" s="11">
        <f>Daily_Data!I4898</f>
        <v>-0.86</v>
      </c>
      <c r="D4898" s="12">
        <f>if(sum(Daily_Data!K4898:L4898)&gt;0,1,0)</f>
        <v>0</v>
      </c>
    </row>
    <row r="4899">
      <c r="A4899" s="10">
        <f>Daily_Data!A4899</f>
        <v>43383</v>
      </c>
      <c r="B4899" s="11">
        <f>Daily_Data!J4899</f>
        <v>22.96</v>
      </c>
      <c r="C4899" s="11">
        <f>Daily_Data!I4899</f>
        <v>-0.86</v>
      </c>
      <c r="D4899" s="12">
        <f>if(sum(Daily_Data!K4899:L4899)&gt;0,1,0)</f>
        <v>0</v>
      </c>
    </row>
    <row r="4900">
      <c r="A4900" s="10">
        <f>Daily_Data!A4900</f>
        <v>43384</v>
      </c>
      <c r="B4900" s="11">
        <f>Daily_Data!J4900</f>
        <v>24.98</v>
      </c>
      <c r="C4900" s="11">
        <f>Daily_Data!I4900</f>
        <v>-0.83</v>
      </c>
      <c r="D4900" s="12">
        <f>if(sum(Daily_Data!K4900:L4900)&gt;0,1,0)</f>
        <v>1</v>
      </c>
    </row>
    <row r="4901">
      <c r="A4901" s="10">
        <f>Daily_Data!A4901</f>
        <v>43385</v>
      </c>
      <c r="B4901" s="11">
        <f>Daily_Data!J4901</f>
        <v>21.31</v>
      </c>
      <c r="C4901" s="11">
        <f>Daily_Data!I4901</f>
        <v>-0.82</v>
      </c>
      <c r="D4901" s="12">
        <f>if(sum(Daily_Data!K4901:L4901)&gt;0,1,0)</f>
        <v>0</v>
      </c>
    </row>
    <row r="4902">
      <c r="A4902" s="10">
        <f>Daily_Data!A4902</f>
        <v>43388</v>
      </c>
      <c r="B4902" s="11">
        <f>Daily_Data!J4902</f>
        <v>21.3</v>
      </c>
      <c r="C4902" s="11">
        <f>Daily_Data!I4902</f>
        <v>-0.83</v>
      </c>
      <c r="D4902" s="12">
        <f>if(sum(Daily_Data!K4902:L4902)&gt;0,1,0)</f>
        <v>0</v>
      </c>
    </row>
    <row r="4903">
      <c r="A4903" s="10">
        <f>Daily_Data!A4903</f>
        <v>43389</v>
      </c>
      <c r="B4903" s="11">
        <f>Daily_Data!J4903</f>
        <v>17.62</v>
      </c>
      <c r="C4903" s="11">
        <f>Daily_Data!I4903</f>
        <v>-0.84</v>
      </c>
      <c r="D4903" s="12">
        <f>if(sum(Daily_Data!K4903:L4903)&gt;0,1,0)</f>
        <v>0</v>
      </c>
    </row>
    <row r="4904">
      <c r="A4904" s="10">
        <f>Daily_Data!A4904</f>
        <v>43390</v>
      </c>
      <c r="B4904" s="11">
        <f>Daily_Data!J4904</f>
        <v>17.4</v>
      </c>
      <c r="C4904" s="11">
        <f>Daily_Data!I4904</f>
        <v>-0.86</v>
      </c>
      <c r="D4904" s="12">
        <f>if(sum(Daily_Data!K4904:L4904)&gt;0,1,0)</f>
        <v>0</v>
      </c>
    </row>
    <row r="4905">
      <c r="A4905" s="10">
        <f>Daily_Data!A4905</f>
        <v>43391</v>
      </c>
      <c r="B4905" s="11">
        <f>Daily_Data!J4905</f>
        <v>20.06</v>
      </c>
      <c r="C4905" s="11">
        <f>Daily_Data!I4905</f>
        <v>-0.84</v>
      </c>
      <c r="D4905" s="12">
        <f>if(sum(Daily_Data!K4905:L4905)&gt;0,1,0)</f>
        <v>0</v>
      </c>
    </row>
    <row r="4906">
      <c r="A4906" s="10">
        <f>Daily_Data!A4906</f>
        <v>43392</v>
      </c>
      <c r="B4906" s="11">
        <f>Daily_Data!J4906</f>
        <v>19.89</v>
      </c>
      <c r="C4906" s="11">
        <f>Daily_Data!I4906</f>
        <v>-0.89</v>
      </c>
      <c r="D4906" s="12">
        <f>if(sum(Daily_Data!K4906:L4906)&gt;0,1,0)</f>
        <v>0</v>
      </c>
    </row>
    <row r="4907">
      <c r="A4907" s="10">
        <f>Daily_Data!A4907</f>
        <v>43395</v>
      </c>
      <c r="B4907" s="11">
        <f>Daily_Data!J4907</f>
        <v>19.64</v>
      </c>
      <c r="C4907" s="11" t="str">
        <f>Daily_Data!I4907</f>
        <v/>
      </c>
      <c r="D4907" s="12">
        <f>if(sum(Daily_Data!K4907:L4907)&gt;0,1,0)</f>
        <v>0</v>
      </c>
    </row>
    <row r="4908">
      <c r="A4908" s="10">
        <f>Daily_Data!A4908</f>
        <v>43396</v>
      </c>
      <c r="B4908" s="11">
        <f>Daily_Data!J4908</f>
        <v>20.71</v>
      </c>
      <c r="C4908" s="11">
        <f>Daily_Data!I4908</f>
        <v>-0.87</v>
      </c>
      <c r="D4908" s="12">
        <f>if(sum(Daily_Data!K4908:L4908)&gt;0,1,0)</f>
        <v>0</v>
      </c>
    </row>
    <row r="4909">
      <c r="A4909" s="10">
        <f>Daily_Data!A4909</f>
        <v>43397</v>
      </c>
      <c r="B4909" s="11">
        <f>Daily_Data!J4909</f>
        <v>25.23</v>
      </c>
      <c r="C4909" s="11">
        <f>Daily_Data!I4909</f>
        <v>-0.82</v>
      </c>
      <c r="D4909" s="12">
        <f>if(sum(Daily_Data!K4909:L4909)&gt;0,1,0)</f>
        <v>0</v>
      </c>
    </row>
    <row r="4910">
      <c r="A4910" s="10">
        <f>Daily_Data!A4910</f>
        <v>43398</v>
      </c>
      <c r="B4910" s="11">
        <f>Daily_Data!J4910</f>
        <v>24.22</v>
      </c>
      <c r="C4910" s="11">
        <f>Daily_Data!I4910</f>
        <v>-0.85</v>
      </c>
      <c r="D4910" s="12">
        <f>if(sum(Daily_Data!K4910:L4910)&gt;0,1,0)</f>
        <v>0</v>
      </c>
    </row>
    <row r="4911">
      <c r="A4911" s="10">
        <f>Daily_Data!A4911</f>
        <v>43399</v>
      </c>
      <c r="B4911" s="11">
        <f>Daily_Data!J4911</f>
        <v>24.16</v>
      </c>
      <c r="C4911" s="11">
        <f>Daily_Data!I4911</f>
        <v>-0.81</v>
      </c>
      <c r="D4911" s="12">
        <f>if(sum(Daily_Data!K4911:L4911)&gt;0,1,0)</f>
        <v>0</v>
      </c>
    </row>
    <row r="4912">
      <c r="A4912" s="10">
        <f>Daily_Data!A4912</f>
        <v>43402</v>
      </c>
      <c r="B4912" s="11">
        <f>Daily_Data!J4912</f>
        <v>24.7</v>
      </c>
      <c r="C4912" s="11">
        <f>Daily_Data!I4912</f>
        <v>-0.82</v>
      </c>
      <c r="D4912" s="12">
        <f>if(sum(Daily_Data!K4912:L4912)&gt;0,1,0)</f>
        <v>0</v>
      </c>
    </row>
    <row r="4913">
      <c r="A4913" s="10">
        <f>Daily_Data!A4913</f>
        <v>43403</v>
      </c>
      <c r="B4913" s="11">
        <f>Daily_Data!J4913</f>
        <v>23.35</v>
      </c>
      <c r="C4913" s="11">
        <f>Daily_Data!I4913</f>
        <v>-0.84</v>
      </c>
      <c r="D4913" s="12">
        <f>if(sum(Daily_Data!K4913:L4913)&gt;0,1,0)</f>
        <v>0</v>
      </c>
    </row>
    <row r="4914">
      <c r="A4914" s="10">
        <f>Daily_Data!A4914</f>
        <v>43404</v>
      </c>
      <c r="B4914" s="11">
        <f>Daily_Data!J4914</f>
        <v>21.23</v>
      </c>
      <c r="C4914" s="11">
        <f>Daily_Data!I4914</f>
        <v>-0.86</v>
      </c>
      <c r="D4914" s="12">
        <f>if(sum(Daily_Data!K4914:L4914)&gt;0,1,0)</f>
        <v>0</v>
      </c>
    </row>
    <row r="4915">
      <c r="A4915" s="10">
        <f>Daily_Data!A4915</f>
        <v>43405</v>
      </c>
      <c r="B4915" s="11">
        <f>Daily_Data!J4915</f>
        <v>19.34</v>
      </c>
      <c r="C4915" s="11">
        <f>Daily_Data!I4915</f>
        <v>-0.82</v>
      </c>
      <c r="D4915" s="12">
        <f>if(sum(Daily_Data!K4915:L4915)&gt;0,1,0)</f>
        <v>0</v>
      </c>
    </row>
    <row r="4916">
      <c r="A4916" s="10">
        <f>Daily_Data!A4916</f>
        <v>43406</v>
      </c>
      <c r="B4916" s="11">
        <f>Daily_Data!J4916</f>
        <v>19.51</v>
      </c>
      <c r="C4916" s="11">
        <f>Daily_Data!I4916</f>
        <v>-0.86</v>
      </c>
      <c r="D4916" s="12">
        <f>if(sum(Daily_Data!K4916:L4916)&gt;0,1,0)</f>
        <v>1</v>
      </c>
    </row>
    <row r="4917">
      <c r="A4917" s="10">
        <f>Daily_Data!A4917</f>
        <v>43409</v>
      </c>
      <c r="B4917" s="11">
        <f>Daily_Data!J4917</f>
        <v>19.96</v>
      </c>
      <c r="C4917" s="11">
        <f>Daily_Data!I4917</f>
        <v>-0.85</v>
      </c>
      <c r="D4917" s="12">
        <f>if(sum(Daily_Data!K4917:L4917)&gt;0,1,0)</f>
        <v>0</v>
      </c>
    </row>
    <row r="4918">
      <c r="A4918" s="10">
        <f>Daily_Data!A4918</f>
        <v>43410</v>
      </c>
      <c r="B4918" s="11">
        <f>Daily_Data!J4918</f>
        <v>19.91</v>
      </c>
      <c r="C4918" s="11">
        <f>Daily_Data!I4918</f>
        <v>-0.87</v>
      </c>
      <c r="D4918" s="12">
        <f>if(sum(Daily_Data!K4918:L4918)&gt;0,1,0)</f>
        <v>0</v>
      </c>
    </row>
    <row r="4919">
      <c r="A4919" s="10">
        <f>Daily_Data!A4919</f>
        <v>43411</v>
      </c>
      <c r="B4919" s="11">
        <f>Daily_Data!J4919</f>
        <v>16.36</v>
      </c>
      <c r="C4919" s="11">
        <f>Daily_Data!I4919</f>
        <v>-0.82</v>
      </c>
      <c r="D4919" s="12">
        <f>if(sum(Daily_Data!K4919:L4919)&gt;0,1,0)</f>
        <v>0</v>
      </c>
    </row>
    <row r="4920">
      <c r="A4920" s="10">
        <f>Daily_Data!A4920</f>
        <v>43412</v>
      </c>
      <c r="B4920" s="11">
        <f>Daily_Data!J4920</f>
        <v>16.72</v>
      </c>
      <c r="C4920" s="11">
        <f>Daily_Data!I4920</f>
        <v>-0.81</v>
      </c>
      <c r="D4920" s="12">
        <f>if(sum(Daily_Data!K4920:L4920)&gt;0,1,0)</f>
        <v>0</v>
      </c>
    </row>
    <row r="4921">
      <c r="A4921" s="10">
        <f>Daily_Data!A4921</f>
        <v>43413</v>
      </c>
      <c r="B4921" s="11">
        <f>Daily_Data!J4921</f>
        <v>17.36</v>
      </c>
      <c r="C4921" s="11">
        <f>Daily_Data!I4921</f>
        <v>-0.75</v>
      </c>
      <c r="D4921" s="12">
        <f>if(sum(Daily_Data!K4921:L4921)&gt;0,1,0)</f>
        <v>0</v>
      </c>
    </row>
    <row r="4922">
      <c r="A4922" s="10">
        <f>Daily_Data!A4922</f>
        <v>43416</v>
      </c>
      <c r="B4922" s="11">
        <f>Daily_Data!J4922</f>
        <v>20.45</v>
      </c>
      <c r="C4922" s="11" t="str">
        <f>Daily_Data!I4922</f>
        <v/>
      </c>
      <c r="D4922" s="12">
        <f>if(sum(Daily_Data!K4922:L4922)&gt;0,1,0)</f>
        <v>0</v>
      </c>
    </row>
    <row r="4923">
      <c r="A4923" s="10">
        <f>Daily_Data!A4923</f>
        <v>43417</v>
      </c>
      <c r="B4923" s="11">
        <f>Daily_Data!J4923</f>
        <v>20.02</v>
      </c>
      <c r="C4923" s="11">
        <f>Daily_Data!I4923</f>
        <v>-0.7</v>
      </c>
      <c r="D4923" s="12">
        <f>if(sum(Daily_Data!K4923:L4923)&gt;0,1,0)</f>
        <v>0</v>
      </c>
    </row>
    <row r="4924">
      <c r="A4924" s="10">
        <f>Daily_Data!A4924</f>
        <v>43418</v>
      </c>
      <c r="B4924" s="11">
        <f>Daily_Data!J4924</f>
        <v>21.25</v>
      </c>
      <c r="C4924" s="11">
        <f>Daily_Data!I4924</f>
        <v>-0.67</v>
      </c>
      <c r="D4924" s="12">
        <f>if(sum(Daily_Data!K4924:L4924)&gt;0,1,0)</f>
        <v>1</v>
      </c>
    </row>
    <row r="4925">
      <c r="A4925" s="10">
        <f>Daily_Data!A4925</f>
        <v>43419</v>
      </c>
      <c r="B4925" s="11">
        <f>Daily_Data!J4925</f>
        <v>19.98</v>
      </c>
      <c r="C4925" s="11">
        <f>Daily_Data!I4925</f>
        <v>-0.67</v>
      </c>
      <c r="D4925" s="12">
        <f>if(sum(Daily_Data!K4925:L4925)&gt;0,1,0)</f>
        <v>0</v>
      </c>
    </row>
    <row r="4926">
      <c r="A4926" s="10">
        <f>Daily_Data!A4926</f>
        <v>43420</v>
      </c>
      <c r="B4926" s="11">
        <f>Daily_Data!J4926</f>
        <v>18.14</v>
      </c>
      <c r="C4926" s="11">
        <f>Daily_Data!I4926</f>
        <v>-0.63</v>
      </c>
      <c r="D4926" s="12">
        <f>if(sum(Daily_Data!K4926:L4926)&gt;0,1,0)</f>
        <v>0</v>
      </c>
    </row>
    <row r="4927">
      <c r="A4927" s="10">
        <f>Daily_Data!A4927</f>
        <v>43423</v>
      </c>
      <c r="B4927" s="11">
        <f>Daily_Data!J4927</f>
        <v>20.1</v>
      </c>
      <c r="C4927" s="11">
        <f>Daily_Data!I4927</f>
        <v>-0.63</v>
      </c>
      <c r="D4927" s="12">
        <f>if(sum(Daily_Data!K4927:L4927)&gt;0,1,0)</f>
        <v>0</v>
      </c>
    </row>
    <row r="4928">
      <c r="A4928" s="10">
        <f>Daily_Data!A4928</f>
        <v>43424</v>
      </c>
      <c r="B4928" s="11">
        <f>Daily_Data!J4928</f>
        <v>22.48</v>
      </c>
      <c r="C4928" s="11">
        <f>Daily_Data!I4928</f>
        <v>-0.63</v>
      </c>
      <c r="D4928" s="12">
        <f>if(sum(Daily_Data!K4928:L4928)&gt;0,1,0)</f>
        <v>0</v>
      </c>
    </row>
    <row r="4929">
      <c r="A4929" s="10">
        <f>Daily_Data!A4929</f>
        <v>43425</v>
      </c>
      <c r="B4929" s="11">
        <f>Daily_Data!J4929</f>
        <v>20.8</v>
      </c>
      <c r="C4929" s="11">
        <f>Daily_Data!I4929</f>
        <v>-0.67</v>
      </c>
      <c r="D4929" s="12">
        <f>if(sum(Daily_Data!K4929:L4929)&gt;0,1,0)</f>
        <v>0</v>
      </c>
    </row>
    <row r="4930">
      <c r="A4930" s="10">
        <f>Daily_Data!A4930</f>
        <v>43426</v>
      </c>
      <c r="B4930" s="11" t="str">
        <f>Daily_Data!J4930</f>
        <v/>
      </c>
      <c r="C4930" s="11" t="str">
        <f>Daily_Data!I4930</f>
        <v/>
      </c>
      <c r="D4930" s="12">
        <f>if(sum(Daily_Data!K4930:L4930)&gt;0,1,0)</f>
        <v>0</v>
      </c>
    </row>
    <row r="4931">
      <c r="A4931" s="10">
        <f>Daily_Data!A4931</f>
        <v>43427</v>
      </c>
      <c r="B4931" s="11">
        <f>Daily_Data!J4931</f>
        <v>21.52</v>
      </c>
      <c r="C4931" s="11">
        <f>Daily_Data!I4931</f>
        <v>-0.69</v>
      </c>
      <c r="D4931" s="12">
        <f>if(sum(Daily_Data!K4931:L4931)&gt;0,1,0)</f>
        <v>0</v>
      </c>
    </row>
    <row r="4932">
      <c r="A4932" s="10">
        <f>Daily_Data!A4932</f>
        <v>43430</v>
      </c>
      <c r="B4932" s="11">
        <f>Daily_Data!J4932</f>
        <v>18.9</v>
      </c>
      <c r="C4932" s="11">
        <f>Daily_Data!I4932</f>
        <v>-0.72</v>
      </c>
      <c r="D4932" s="12">
        <f>if(sum(Daily_Data!K4932:L4932)&gt;0,1,0)</f>
        <v>0</v>
      </c>
    </row>
    <row r="4933">
      <c r="A4933" s="10">
        <f>Daily_Data!A4933</f>
        <v>43431</v>
      </c>
      <c r="B4933" s="11">
        <f>Daily_Data!J4933</f>
        <v>19.02</v>
      </c>
      <c r="C4933" s="11">
        <f>Daily_Data!I4933</f>
        <v>-0.73</v>
      </c>
      <c r="D4933" s="12">
        <f>if(sum(Daily_Data!K4933:L4933)&gt;0,1,0)</f>
        <v>0</v>
      </c>
    </row>
    <row r="4934">
      <c r="A4934" s="10">
        <f>Daily_Data!A4934</f>
        <v>43432</v>
      </c>
      <c r="B4934" s="11">
        <f>Daily_Data!J4934</f>
        <v>18.49</v>
      </c>
      <c r="C4934" s="11">
        <f>Daily_Data!I4934</f>
        <v>-0.72</v>
      </c>
      <c r="D4934" s="12">
        <f>if(sum(Daily_Data!K4934:L4934)&gt;0,1,0)</f>
        <v>0</v>
      </c>
    </row>
    <row r="4935">
      <c r="A4935" s="10">
        <f>Daily_Data!A4935</f>
        <v>43433</v>
      </c>
      <c r="B4935" s="11">
        <f>Daily_Data!J4935</f>
        <v>18.79</v>
      </c>
      <c r="C4935" s="11">
        <f>Daily_Data!I4935</f>
        <v>-0.71</v>
      </c>
      <c r="D4935" s="12">
        <f>if(sum(Daily_Data!K4935:L4935)&gt;0,1,0)</f>
        <v>0</v>
      </c>
    </row>
    <row r="4936">
      <c r="A4936" s="10">
        <f>Daily_Data!A4936</f>
        <v>43434</v>
      </c>
      <c r="B4936" s="11">
        <f>Daily_Data!J4936</f>
        <v>18.07</v>
      </c>
      <c r="C4936" s="11">
        <f>Daily_Data!I4936</f>
        <v>-0.71</v>
      </c>
      <c r="D4936" s="12">
        <f>if(sum(Daily_Data!K4936:L4936)&gt;0,1,0)</f>
        <v>0</v>
      </c>
    </row>
    <row r="4937">
      <c r="A4937" s="10">
        <f>Daily_Data!A4937</f>
        <v>43437</v>
      </c>
      <c r="B4937" s="11">
        <f>Daily_Data!J4937</f>
        <v>16.44</v>
      </c>
      <c r="C4937" s="11">
        <f>Daily_Data!I4937</f>
        <v>-0.74</v>
      </c>
      <c r="D4937" s="12">
        <f>if(sum(Daily_Data!K4937:L4937)&gt;0,1,0)</f>
        <v>0</v>
      </c>
    </row>
    <row r="4938">
      <c r="A4938" s="10">
        <f>Daily_Data!A4938</f>
        <v>43438</v>
      </c>
      <c r="B4938" s="11">
        <f>Daily_Data!J4938</f>
        <v>20.74</v>
      </c>
      <c r="C4938" s="11">
        <f>Daily_Data!I4938</f>
        <v>-0.72</v>
      </c>
      <c r="D4938" s="12">
        <f>if(sum(Daily_Data!K4938:L4938)&gt;0,1,0)</f>
        <v>0</v>
      </c>
    </row>
    <row r="4939">
      <c r="A4939" s="10">
        <f>Daily_Data!A4939</f>
        <v>43439</v>
      </c>
      <c r="B4939" s="11" t="str">
        <f>Daily_Data!J4939</f>
        <v/>
      </c>
      <c r="C4939" s="11" t="str">
        <f>Daily_Data!I4939</f>
        <v/>
      </c>
      <c r="D4939" s="12">
        <f>if(sum(Daily_Data!K4939:L4939)&gt;0,1,0)</f>
        <v>0</v>
      </c>
    </row>
    <row r="4940">
      <c r="A4940" s="10">
        <f>Daily_Data!A4940</f>
        <v>43440</v>
      </c>
      <c r="B4940" s="11">
        <f>Daily_Data!J4940</f>
        <v>21.19</v>
      </c>
      <c r="C4940" s="11">
        <f>Daily_Data!I4940</f>
        <v>-0.7</v>
      </c>
      <c r="D4940" s="12">
        <f>if(sum(Daily_Data!K4940:L4940)&gt;0,1,0)</f>
        <v>0</v>
      </c>
    </row>
    <row r="4941">
      <c r="A4941" s="10">
        <f>Daily_Data!A4941</f>
        <v>43441</v>
      </c>
      <c r="B4941" s="11">
        <f>Daily_Data!J4941</f>
        <v>23.23</v>
      </c>
      <c r="C4941" s="11">
        <f>Daily_Data!I4941</f>
        <v>-0.67</v>
      </c>
      <c r="D4941" s="12">
        <f>if(sum(Daily_Data!K4941:L4941)&gt;0,1,0)</f>
        <v>1</v>
      </c>
    </row>
    <row r="4942">
      <c r="A4942" s="10">
        <f>Daily_Data!A4942</f>
        <v>43444</v>
      </c>
      <c r="B4942" s="11">
        <f>Daily_Data!J4942</f>
        <v>22.64</v>
      </c>
      <c r="C4942" s="11">
        <f>Daily_Data!I4942</f>
        <v>-0.68</v>
      </c>
      <c r="D4942" s="12">
        <f>if(sum(Daily_Data!K4942:L4942)&gt;0,1,0)</f>
        <v>0</v>
      </c>
    </row>
    <row r="4943">
      <c r="A4943" s="10">
        <f>Daily_Data!A4943</f>
        <v>43445</v>
      </c>
      <c r="B4943" s="11">
        <f>Daily_Data!J4943</f>
        <v>21.76</v>
      </c>
      <c r="C4943" s="11">
        <f>Daily_Data!I4943</f>
        <v>-0.75</v>
      </c>
      <c r="D4943" s="12">
        <f>if(sum(Daily_Data!K4943:L4943)&gt;0,1,0)</f>
        <v>0</v>
      </c>
    </row>
    <row r="4944">
      <c r="A4944" s="10">
        <f>Daily_Data!A4944</f>
        <v>43446</v>
      </c>
      <c r="B4944" s="11">
        <f>Daily_Data!J4944</f>
        <v>21.46</v>
      </c>
      <c r="C4944" s="11">
        <f>Daily_Data!I4944</f>
        <v>-0.72</v>
      </c>
      <c r="D4944" s="12">
        <f>if(sum(Daily_Data!K4944:L4944)&gt;0,1,0)</f>
        <v>1</v>
      </c>
    </row>
    <row r="4945">
      <c r="A4945" s="10">
        <f>Daily_Data!A4945</f>
        <v>43447</v>
      </c>
      <c r="B4945" s="11">
        <f>Daily_Data!J4945</f>
        <v>20.65</v>
      </c>
      <c r="C4945" s="11">
        <f>Daily_Data!I4945</f>
        <v>-0.67</v>
      </c>
      <c r="D4945" s="12">
        <f>if(sum(Daily_Data!K4945:L4945)&gt;0,1,0)</f>
        <v>0</v>
      </c>
    </row>
    <row r="4946">
      <c r="A4946" s="10">
        <f>Daily_Data!A4946</f>
        <v>43448</v>
      </c>
      <c r="B4946" s="11">
        <f>Daily_Data!J4946</f>
        <v>21.63</v>
      </c>
      <c r="C4946" s="11">
        <f>Daily_Data!I4946</f>
        <v>-0.66</v>
      </c>
      <c r="D4946" s="12">
        <f>if(sum(Daily_Data!K4946:L4946)&gt;0,1,0)</f>
        <v>0</v>
      </c>
    </row>
    <row r="4947">
      <c r="A4947" s="10">
        <f>Daily_Data!A4947</f>
        <v>43451</v>
      </c>
      <c r="B4947" s="11">
        <f>Daily_Data!J4947</f>
        <v>24.52</v>
      </c>
      <c r="C4947" s="11">
        <f>Daily_Data!I4947</f>
        <v>-0.63</v>
      </c>
      <c r="D4947" s="12">
        <f>if(sum(Daily_Data!K4947:L4947)&gt;0,1,0)</f>
        <v>0</v>
      </c>
    </row>
    <row r="4948">
      <c r="A4948" s="10">
        <f>Daily_Data!A4948</f>
        <v>43452</v>
      </c>
      <c r="B4948" s="11">
        <f>Daily_Data!J4948</f>
        <v>25.58</v>
      </c>
      <c r="C4948" s="11">
        <f>Daily_Data!I4948</f>
        <v>-0.59</v>
      </c>
      <c r="D4948" s="12">
        <f>if(sum(Daily_Data!K4948:L4948)&gt;0,1,0)</f>
        <v>0</v>
      </c>
    </row>
    <row r="4949">
      <c r="A4949" s="10">
        <f>Daily_Data!A4949</f>
        <v>43453</v>
      </c>
      <c r="B4949" s="11">
        <f>Daily_Data!J4949</f>
        <v>25.58</v>
      </c>
      <c r="C4949" s="11">
        <f>Daily_Data!I4949</f>
        <v>-0.58</v>
      </c>
      <c r="D4949" s="12">
        <f>if(sum(Daily_Data!K4949:L4949)&gt;0,1,0)</f>
        <v>0</v>
      </c>
    </row>
    <row r="4950">
      <c r="A4950" s="10">
        <f>Daily_Data!A4950</f>
        <v>43454</v>
      </c>
      <c r="B4950" s="11">
        <f>Daily_Data!J4950</f>
        <v>28.38</v>
      </c>
      <c r="C4950" s="11">
        <f>Daily_Data!I4950</f>
        <v>-0.69</v>
      </c>
      <c r="D4950" s="12">
        <f>if(sum(Daily_Data!K4950:L4950)&gt;0,1,0)</f>
        <v>0</v>
      </c>
    </row>
    <row r="4951">
      <c r="A4951" s="10">
        <f>Daily_Data!A4951</f>
        <v>43455</v>
      </c>
      <c r="B4951" s="11">
        <f>Daily_Data!J4951</f>
        <v>30.11</v>
      </c>
      <c r="C4951" s="11">
        <f>Daily_Data!I4951</f>
        <v>-0.66</v>
      </c>
      <c r="D4951" s="12">
        <f>if(sum(Daily_Data!K4951:L4951)&gt;0,1,0)</f>
        <v>0</v>
      </c>
    </row>
    <row r="4952">
      <c r="A4952" s="10">
        <f>Daily_Data!A4952</f>
        <v>43458</v>
      </c>
      <c r="B4952" s="11">
        <f>Daily_Data!J4952</f>
        <v>36.07</v>
      </c>
      <c r="C4952" s="11">
        <f>Daily_Data!I4952</f>
        <v>-0.57</v>
      </c>
      <c r="D4952" s="12">
        <f>if(sum(Daily_Data!K4952:L4952)&gt;0,1,0)</f>
        <v>0</v>
      </c>
    </row>
    <row r="4953">
      <c r="A4953" s="10">
        <f>Daily_Data!A4953</f>
        <v>43459</v>
      </c>
      <c r="B4953" s="11" t="str">
        <f>Daily_Data!J4953</f>
        <v/>
      </c>
      <c r="C4953" s="11" t="str">
        <f>Daily_Data!I4953</f>
        <v/>
      </c>
      <c r="D4953" s="12">
        <f>if(sum(Daily_Data!K4953:L4953)&gt;0,1,0)</f>
        <v>0</v>
      </c>
    </row>
    <row r="4954">
      <c r="A4954" s="10">
        <f>Daily_Data!A4954</f>
        <v>43460</v>
      </c>
      <c r="B4954" s="11">
        <f>Daily_Data!J4954</f>
        <v>30.41</v>
      </c>
      <c r="C4954" s="11" t="str">
        <f>Daily_Data!I4954</f>
        <v/>
      </c>
      <c r="D4954" s="12">
        <f>if(sum(Daily_Data!K4954:L4954)&gt;0,1,0)</f>
        <v>0</v>
      </c>
    </row>
    <row r="4955">
      <c r="A4955" s="10">
        <f>Daily_Data!A4955</f>
        <v>43461</v>
      </c>
      <c r="B4955" s="11">
        <f>Daily_Data!J4955</f>
        <v>29.96</v>
      </c>
      <c r="C4955" s="11">
        <f>Daily_Data!I4955</f>
        <v>-0.58</v>
      </c>
      <c r="D4955" s="12">
        <f>if(sum(Daily_Data!K4955:L4955)&gt;0,1,0)</f>
        <v>0</v>
      </c>
    </row>
    <row r="4956">
      <c r="A4956" s="10">
        <f>Daily_Data!A4956</f>
        <v>43462</v>
      </c>
      <c r="B4956" s="11">
        <f>Daily_Data!J4956</f>
        <v>28.34</v>
      </c>
      <c r="C4956" s="11">
        <f>Daily_Data!I4956</f>
        <v>-0.54</v>
      </c>
      <c r="D4956" s="12">
        <f>if(sum(Daily_Data!K4956:L4956)&gt;0,1,0)</f>
        <v>0</v>
      </c>
    </row>
    <row r="4957">
      <c r="A4957" s="10">
        <f>Daily_Data!A4957</f>
        <v>43465</v>
      </c>
      <c r="B4957" s="11">
        <f>Daily_Data!J4957</f>
        <v>25.42</v>
      </c>
      <c r="C4957" s="11">
        <f>Daily_Data!I4957</f>
        <v>-0.52</v>
      </c>
      <c r="D4957" s="12">
        <f>if(sum(Daily_Data!K4957:L4957)&gt;0,1,0)</f>
        <v>0</v>
      </c>
    </row>
    <row r="4958">
      <c r="A4958" s="10">
        <f>Daily_Data!A4958</f>
        <v>43466</v>
      </c>
      <c r="B4958" s="11" t="str">
        <f>Daily_Data!J4958</f>
        <v/>
      </c>
      <c r="C4958" s="11" t="str">
        <f>Daily_Data!I4958</f>
        <v/>
      </c>
      <c r="D4958" s="12">
        <f>if(sum(Daily_Data!K4958:L4958)&gt;0,1,0)</f>
        <v>0</v>
      </c>
    </row>
    <row r="4959">
      <c r="A4959" s="10">
        <f>Daily_Data!A4959</f>
        <v>43467</v>
      </c>
      <c r="B4959" s="11">
        <f>Daily_Data!J4959</f>
        <v>23.22</v>
      </c>
      <c r="C4959" s="11" t="str">
        <f>Daily_Data!I4959</f>
        <v/>
      </c>
      <c r="D4959" s="12">
        <f>if(sum(Daily_Data!K4959:L4959)&gt;0,1,0)</f>
        <v>0</v>
      </c>
    </row>
    <row r="4960">
      <c r="A4960" s="10">
        <f>Daily_Data!A4960</f>
        <v>43468</v>
      </c>
      <c r="B4960" s="11">
        <f>Daily_Data!J4960</f>
        <v>25.45</v>
      </c>
      <c r="C4960" s="11">
        <f>Daily_Data!I4960</f>
        <v>-0.45</v>
      </c>
      <c r="D4960" s="12">
        <f>if(sum(Daily_Data!K4960:L4960)&gt;0,1,0)</f>
        <v>0</v>
      </c>
    </row>
    <row r="4961">
      <c r="A4961" s="10">
        <f>Daily_Data!A4961</f>
        <v>43469</v>
      </c>
      <c r="B4961" s="11">
        <f>Daily_Data!J4961</f>
        <v>21.38</v>
      </c>
      <c r="C4961" s="11">
        <f>Daily_Data!I4961</f>
        <v>-0.55</v>
      </c>
      <c r="D4961" s="12">
        <f>if(sum(Daily_Data!K4961:L4961)&gt;0,1,0)</f>
        <v>1</v>
      </c>
    </row>
    <row r="4962">
      <c r="A4962" s="10">
        <f>Daily_Data!A4962</f>
        <v>43472</v>
      </c>
      <c r="B4962" s="11">
        <f>Daily_Data!J4962</f>
        <v>21.4</v>
      </c>
      <c r="C4962" s="11">
        <f>Daily_Data!I4962</f>
        <v>-0.58</v>
      </c>
      <c r="D4962" s="12">
        <f>if(sum(Daily_Data!K4962:L4962)&gt;0,1,0)</f>
        <v>0</v>
      </c>
    </row>
    <row r="4963">
      <c r="A4963" s="10">
        <f>Daily_Data!A4963</f>
        <v>43473</v>
      </c>
      <c r="B4963" s="11">
        <f>Daily_Data!J4963</f>
        <v>20.47</v>
      </c>
      <c r="C4963" s="11">
        <f>Daily_Data!I4963</f>
        <v>-0.63</v>
      </c>
      <c r="D4963" s="12">
        <f>if(sum(Daily_Data!K4963:L4963)&gt;0,1,0)</f>
        <v>0</v>
      </c>
    </row>
    <row r="4964">
      <c r="A4964" s="10">
        <f>Daily_Data!A4964</f>
        <v>43474</v>
      </c>
      <c r="B4964" s="11">
        <f>Daily_Data!J4964</f>
        <v>19.98</v>
      </c>
      <c r="C4964" s="11">
        <f>Daily_Data!I4964</f>
        <v>-0.61</v>
      </c>
      <c r="D4964" s="12">
        <f>if(sum(Daily_Data!K4964:L4964)&gt;0,1,0)</f>
        <v>0</v>
      </c>
    </row>
    <row r="4965">
      <c r="A4965" s="10">
        <f>Daily_Data!A4965</f>
        <v>43475</v>
      </c>
      <c r="B4965" s="11">
        <f>Daily_Data!J4965</f>
        <v>19.5</v>
      </c>
      <c r="C4965" s="11">
        <f>Daily_Data!I4965</f>
        <v>-0.64</v>
      </c>
      <c r="D4965" s="12">
        <f>if(sum(Daily_Data!K4965:L4965)&gt;0,1,0)</f>
        <v>0</v>
      </c>
    </row>
    <row r="4966">
      <c r="A4966" s="10">
        <f>Daily_Data!A4966</f>
        <v>43476</v>
      </c>
      <c r="B4966" s="11">
        <f>Daily_Data!J4966</f>
        <v>18.19</v>
      </c>
      <c r="C4966" s="11">
        <f>Daily_Data!I4966</f>
        <v>-0.62</v>
      </c>
      <c r="D4966" s="12">
        <f>if(sum(Daily_Data!K4966:L4966)&gt;0,1,0)</f>
        <v>1</v>
      </c>
    </row>
    <row r="4967">
      <c r="A4967" s="10">
        <f>Daily_Data!A4967</f>
        <v>43479</v>
      </c>
      <c r="B4967" s="11">
        <f>Daily_Data!J4967</f>
        <v>19.07</v>
      </c>
      <c r="C4967" s="11">
        <f>Daily_Data!I4967</f>
        <v>-0.63</v>
      </c>
      <c r="D4967" s="12">
        <f>if(sum(Daily_Data!K4967:L4967)&gt;0,1,0)</f>
        <v>0</v>
      </c>
    </row>
    <row r="4968">
      <c r="A4968" s="10">
        <f>Daily_Data!A4968</f>
        <v>43480</v>
      </c>
      <c r="B4968" s="11">
        <f>Daily_Data!J4968</f>
        <v>18.6</v>
      </c>
      <c r="C4968" s="11">
        <f>Daily_Data!I4968</f>
        <v>-0.64</v>
      </c>
      <c r="D4968" s="12">
        <f>if(sum(Daily_Data!K4968:L4968)&gt;0,1,0)</f>
        <v>0</v>
      </c>
    </row>
    <row r="4969">
      <c r="A4969" s="10">
        <f>Daily_Data!A4969</f>
        <v>43481</v>
      </c>
      <c r="B4969" s="11">
        <f>Daily_Data!J4969</f>
        <v>19.04</v>
      </c>
      <c r="C4969" s="11">
        <f>Daily_Data!I4969</f>
        <v>-0.69</v>
      </c>
      <c r="D4969" s="12">
        <f>if(sum(Daily_Data!K4969:L4969)&gt;0,1,0)</f>
        <v>0</v>
      </c>
    </row>
    <row r="4970">
      <c r="A4970" s="10">
        <f>Daily_Data!A4970</f>
        <v>43482</v>
      </c>
      <c r="B4970" s="11">
        <f>Daily_Data!J4970</f>
        <v>18.06</v>
      </c>
      <c r="C4970" s="11">
        <f>Daily_Data!I4970</f>
        <v>-0.68</v>
      </c>
      <c r="D4970" s="12">
        <f>if(sum(Daily_Data!K4970:L4970)&gt;0,1,0)</f>
        <v>0</v>
      </c>
    </row>
    <row r="4971">
      <c r="A4971" s="10">
        <f>Daily_Data!A4971</f>
        <v>43483</v>
      </c>
      <c r="B4971" s="11">
        <f>Daily_Data!J4971</f>
        <v>17.8</v>
      </c>
      <c r="C4971" s="11">
        <f>Daily_Data!I4971</f>
        <v>-0.71</v>
      </c>
      <c r="D4971" s="12">
        <f>if(sum(Daily_Data!K4971:L4971)&gt;0,1,0)</f>
        <v>0</v>
      </c>
    </row>
    <row r="4972">
      <c r="A4972" s="10">
        <f>Daily_Data!A4972</f>
        <v>43486</v>
      </c>
      <c r="B4972" s="11" t="str">
        <f>Daily_Data!J4972</f>
        <v/>
      </c>
      <c r="C4972" s="11" t="str">
        <f>Daily_Data!I4972</f>
        <v/>
      </c>
      <c r="D4972" s="12">
        <f>if(sum(Daily_Data!K4972:L4972)&gt;0,1,0)</f>
        <v>0</v>
      </c>
    </row>
    <row r="4973">
      <c r="A4973" s="10">
        <f>Daily_Data!A4973</f>
        <v>43487</v>
      </c>
      <c r="B4973" s="11">
        <f>Daily_Data!J4973</f>
        <v>20.8</v>
      </c>
      <c r="C4973" s="11">
        <f>Daily_Data!I4973</f>
        <v>-0.67</v>
      </c>
      <c r="D4973" s="12">
        <f>if(sum(Daily_Data!K4973:L4973)&gt;0,1,0)</f>
        <v>0</v>
      </c>
    </row>
    <row r="4974">
      <c r="A4974" s="10">
        <f>Daily_Data!A4974</f>
        <v>43488</v>
      </c>
      <c r="B4974" s="11">
        <f>Daily_Data!J4974</f>
        <v>19.52</v>
      </c>
      <c r="C4974" s="11">
        <f>Daily_Data!I4974</f>
        <v>-0.65</v>
      </c>
      <c r="D4974" s="12">
        <f>if(sum(Daily_Data!K4974:L4974)&gt;0,1,0)</f>
        <v>0</v>
      </c>
    </row>
    <row r="4975">
      <c r="A4975" s="10">
        <f>Daily_Data!A4975</f>
        <v>43489</v>
      </c>
      <c r="B4975" s="11">
        <f>Daily_Data!J4975</f>
        <v>18.89</v>
      </c>
      <c r="C4975" s="11">
        <f>Daily_Data!I4975</f>
        <v>-0.64</v>
      </c>
      <c r="D4975" s="12">
        <f>if(sum(Daily_Data!K4975:L4975)&gt;0,1,0)</f>
        <v>0</v>
      </c>
    </row>
    <row r="4976">
      <c r="A4976" s="10">
        <f>Daily_Data!A4976</f>
        <v>43490</v>
      </c>
      <c r="B4976" s="11">
        <f>Daily_Data!J4976</f>
        <v>17.42</v>
      </c>
      <c r="C4976" s="11">
        <f>Daily_Data!I4976</f>
        <v>-0.7</v>
      </c>
      <c r="D4976" s="12">
        <f>if(sum(Daily_Data!K4976:L4976)&gt;0,1,0)</f>
        <v>0</v>
      </c>
    </row>
    <row r="4977">
      <c r="A4977" s="10">
        <f>Daily_Data!A4977</f>
        <v>43493</v>
      </c>
      <c r="B4977" s="11">
        <f>Daily_Data!J4977</f>
        <v>18.87</v>
      </c>
      <c r="C4977" s="11">
        <f>Daily_Data!I4977</f>
        <v>-0.7</v>
      </c>
      <c r="D4977" s="12">
        <f>if(sum(Daily_Data!K4977:L4977)&gt;0,1,0)</f>
        <v>0</v>
      </c>
    </row>
    <row r="4978">
      <c r="A4978" s="10">
        <f>Daily_Data!A4978</f>
        <v>43494</v>
      </c>
      <c r="B4978" s="11">
        <f>Daily_Data!J4978</f>
        <v>19.13</v>
      </c>
      <c r="C4978" s="11">
        <f>Daily_Data!I4978</f>
        <v>-0.66</v>
      </c>
      <c r="D4978" s="12">
        <f>if(sum(Daily_Data!K4978:L4978)&gt;0,1,0)</f>
        <v>0</v>
      </c>
    </row>
    <row r="4979">
      <c r="A4979" s="10">
        <f>Daily_Data!A4979</f>
        <v>43495</v>
      </c>
      <c r="B4979" s="11">
        <f>Daily_Data!J4979</f>
        <v>17.66</v>
      </c>
      <c r="C4979" s="11">
        <f>Daily_Data!I4979</f>
        <v>-0.6</v>
      </c>
      <c r="D4979" s="12">
        <f>if(sum(Daily_Data!K4979:L4979)&gt;0,1,0)</f>
        <v>0</v>
      </c>
    </row>
    <row r="4980">
      <c r="A4980" s="10">
        <f>Daily_Data!A4980</f>
        <v>43496</v>
      </c>
      <c r="B4980" s="11">
        <f>Daily_Data!J4980</f>
        <v>16.57</v>
      </c>
      <c r="C4980" s="11">
        <f>Daily_Data!I4980</f>
        <v>-0.54</v>
      </c>
      <c r="D4980" s="12">
        <f>if(sum(Daily_Data!K4980:L4980)&gt;0,1,0)</f>
        <v>0</v>
      </c>
    </row>
    <row r="4981">
      <c r="A4981" s="10">
        <f>Daily_Data!A4981</f>
        <v>43497</v>
      </c>
      <c r="B4981" s="11">
        <f>Daily_Data!J4981</f>
        <v>16.14</v>
      </c>
      <c r="C4981" s="11">
        <f>Daily_Data!I4981</f>
        <v>-0.61</v>
      </c>
      <c r="D4981" s="12">
        <f>if(sum(Daily_Data!K4981:L4981)&gt;0,1,0)</f>
        <v>1</v>
      </c>
    </row>
    <row r="4982">
      <c r="A4982" s="10">
        <f>Daily_Data!A4982</f>
        <v>43500</v>
      </c>
      <c r="B4982" s="11">
        <f>Daily_Data!J4982</f>
        <v>15.73</v>
      </c>
      <c r="C4982" s="11">
        <f>Daily_Data!I4982</f>
        <v>-0.6</v>
      </c>
      <c r="D4982" s="12">
        <f>if(sum(Daily_Data!K4982:L4982)&gt;0,1,0)</f>
        <v>0</v>
      </c>
    </row>
    <row r="4983">
      <c r="A4983" s="10">
        <f>Daily_Data!A4983</f>
        <v>43501</v>
      </c>
      <c r="B4983" s="11">
        <f>Daily_Data!J4983</f>
        <v>15.57</v>
      </c>
      <c r="C4983" s="11">
        <f>Daily_Data!I4983</f>
        <v>-0.62</v>
      </c>
      <c r="D4983" s="12">
        <f>if(sum(Daily_Data!K4983:L4983)&gt;0,1,0)</f>
        <v>0</v>
      </c>
    </row>
    <row r="4984">
      <c r="A4984" s="10">
        <f>Daily_Data!A4984</f>
        <v>43502</v>
      </c>
      <c r="B4984" s="11">
        <f>Daily_Data!J4984</f>
        <v>15.38</v>
      </c>
      <c r="C4984" s="11" t="str">
        <f>Daily_Data!I4984</f>
        <v/>
      </c>
      <c r="D4984" s="12">
        <f>if(sum(Daily_Data!K4984:L4984)&gt;0,1,0)</f>
        <v>0</v>
      </c>
    </row>
    <row r="4985">
      <c r="A4985" s="10">
        <f>Daily_Data!A4985</f>
        <v>43503</v>
      </c>
      <c r="B4985" s="11">
        <f>Daily_Data!J4985</f>
        <v>16.37</v>
      </c>
      <c r="C4985" s="11">
        <f>Daily_Data!I4985</f>
        <v>-0.66</v>
      </c>
      <c r="D4985" s="12">
        <f>if(sum(Daily_Data!K4985:L4985)&gt;0,1,0)</f>
        <v>0</v>
      </c>
    </row>
    <row r="4986">
      <c r="A4986" s="10">
        <f>Daily_Data!A4986</f>
        <v>43504</v>
      </c>
      <c r="B4986" s="11">
        <f>Daily_Data!J4986</f>
        <v>15.72</v>
      </c>
      <c r="C4986" s="11">
        <f>Daily_Data!I4986</f>
        <v>-0.66</v>
      </c>
      <c r="D4986" s="12">
        <f>if(sum(Daily_Data!K4986:L4986)&gt;0,1,0)</f>
        <v>0</v>
      </c>
    </row>
    <row r="4987">
      <c r="A4987" s="10">
        <f>Daily_Data!A4987</f>
        <v>43507</v>
      </c>
      <c r="B4987" s="11">
        <f>Daily_Data!J4987</f>
        <v>15.97</v>
      </c>
      <c r="C4987" s="11">
        <f>Daily_Data!I4987</f>
        <v>-0.66</v>
      </c>
      <c r="D4987" s="12">
        <f>if(sum(Daily_Data!K4987:L4987)&gt;0,1,0)</f>
        <v>0</v>
      </c>
    </row>
    <row r="4988">
      <c r="A4988" s="10">
        <f>Daily_Data!A4988</f>
        <v>43508</v>
      </c>
      <c r="B4988" s="11">
        <f>Daily_Data!J4988</f>
        <v>15.43</v>
      </c>
      <c r="C4988" s="11">
        <f>Daily_Data!I4988</f>
        <v>-0.69</v>
      </c>
      <c r="D4988" s="12">
        <f>if(sum(Daily_Data!K4988:L4988)&gt;0,1,0)</f>
        <v>0</v>
      </c>
    </row>
    <row r="4989">
      <c r="A4989" s="10">
        <f>Daily_Data!A4989</f>
        <v>43509</v>
      </c>
      <c r="B4989" s="11">
        <f>Daily_Data!J4989</f>
        <v>15.65</v>
      </c>
      <c r="C4989" s="11">
        <f>Daily_Data!I4989</f>
        <v>-0.63</v>
      </c>
      <c r="D4989" s="12">
        <f>if(sum(Daily_Data!K4989:L4989)&gt;0,1,0)</f>
        <v>1</v>
      </c>
    </row>
    <row r="4990">
      <c r="A4990" s="10">
        <f>Daily_Data!A4990</f>
        <v>43510</v>
      </c>
      <c r="B4990" s="11">
        <f>Daily_Data!J4990</f>
        <v>16.22</v>
      </c>
      <c r="C4990" s="11">
        <f>Daily_Data!I4990</f>
        <v>-0.58</v>
      </c>
      <c r="D4990" s="12">
        <f>if(sum(Daily_Data!K4990:L4990)&gt;0,1,0)</f>
        <v>0</v>
      </c>
    </row>
    <row r="4991">
      <c r="A4991" s="10">
        <f>Daily_Data!A4991</f>
        <v>43511</v>
      </c>
      <c r="B4991" s="11">
        <f>Daily_Data!J4991</f>
        <v>14.91</v>
      </c>
      <c r="C4991" s="11">
        <f>Daily_Data!I4991</f>
        <v>-0.62</v>
      </c>
      <c r="D4991" s="12">
        <f>if(sum(Daily_Data!K4991:L4991)&gt;0,1,0)</f>
        <v>0</v>
      </c>
    </row>
    <row r="4992">
      <c r="A4992" s="10">
        <f>Daily_Data!A4992</f>
        <v>43514</v>
      </c>
      <c r="B4992" s="11" t="str">
        <f>Daily_Data!J4992</f>
        <v/>
      </c>
      <c r="C4992" s="11" t="str">
        <f>Daily_Data!I4992</f>
        <v/>
      </c>
      <c r="D4992" s="12">
        <f>if(sum(Daily_Data!K4992:L4992)&gt;0,1,0)</f>
        <v>0</v>
      </c>
    </row>
    <row r="4993">
      <c r="A4993" s="10">
        <f>Daily_Data!A4993</f>
        <v>43515</v>
      </c>
      <c r="B4993" s="11">
        <f>Daily_Data!J4993</f>
        <v>14.88</v>
      </c>
      <c r="C4993" s="11">
        <f>Daily_Data!I4993</f>
        <v>-0.58</v>
      </c>
      <c r="D4993" s="12">
        <f>if(sum(Daily_Data!K4993:L4993)&gt;0,1,0)</f>
        <v>0</v>
      </c>
    </row>
    <row r="4994">
      <c r="A4994" s="10">
        <f>Daily_Data!A4994</f>
        <v>43516</v>
      </c>
      <c r="B4994" s="11">
        <f>Daily_Data!J4994</f>
        <v>14.02</v>
      </c>
      <c r="C4994" s="11">
        <f>Daily_Data!I4994</f>
        <v>-0.6</v>
      </c>
      <c r="D4994" s="12">
        <f>if(sum(Daily_Data!K4994:L4994)&gt;0,1,0)</f>
        <v>0</v>
      </c>
    </row>
    <row r="4995">
      <c r="A4995" s="10">
        <f>Daily_Data!A4995</f>
        <v>43517</v>
      </c>
      <c r="B4995" s="11">
        <f>Daily_Data!J4995</f>
        <v>14.46</v>
      </c>
      <c r="C4995" s="11">
        <f>Daily_Data!I4995</f>
        <v>-0.64</v>
      </c>
      <c r="D4995" s="12">
        <f>if(sum(Daily_Data!K4995:L4995)&gt;0,1,0)</f>
        <v>0</v>
      </c>
    </row>
    <row r="4996">
      <c r="A4996" s="10">
        <f>Daily_Data!A4996</f>
        <v>43518</v>
      </c>
      <c r="B4996" s="11">
        <f>Daily_Data!J4996</f>
        <v>13.51</v>
      </c>
      <c r="C4996" s="11">
        <f>Daily_Data!I4996</f>
        <v>-0.61</v>
      </c>
      <c r="D4996" s="12">
        <f>if(sum(Daily_Data!K4996:L4996)&gt;0,1,0)</f>
        <v>0</v>
      </c>
    </row>
    <row r="4997">
      <c r="A4997" s="10">
        <f>Daily_Data!A4997</f>
        <v>43521</v>
      </c>
      <c r="B4997" s="11">
        <f>Daily_Data!J4997</f>
        <v>14.85</v>
      </c>
      <c r="C4997" s="11">
        <f>Daily_Data!I4997</f>
        <v>-0.65</v>
      </c>
      <c r="D4997" s="12">
        <f>if(sum(Daily_Data!K4997:L4997)&gt;0,1,0)</f>
        <v>0</v>
      </c>
    </row>
    <row r="4998">
      <c r="A4998" s="10">
        <f>Daily_Data!A4998</f>
        <v>43522</v>
      </c>
      <c r="B4998" s="11">
        <f>Daily_Data!J4998</f>
        <v>15.17</v>
      </c>
      <c r="C4998" s="11">
        <f>Daily_Data!I4998</f>
        <v>-0.63</v>
      </c>
      <c r="D4998" s="12">
        <f>if(sum(Daily_Data!K4998:L4998)&gt;0,1,0)</f>
        <v>0</v>
      </c>
    </row>
    <row r="4999">
      <c r="A4999" s="10">
        <f>Daily_Data!A4999</f>
        <v>43523</v>
      </c>
      <c r="B4999" s="11">
        <f>Daily_Data!J4999</f>
        <v>14.7</v>
      </c>
      <c r="C4999" s="11">
        <f>Daily_Data!I4999</f>
        <v>-0.66</v>
      </c>
      <c r="D4999" s="12">
        <f>if(sum(Daily_Data!K4999:L4999)&gt;0,1,0)</f>
        <v>0</v>
      </c>
    </row>
    <row r="5000">
      <c r="A5000" s="10">
        <f>Daily_Data!A5000</f>
        <v>43524</v>
      </c>
      <c r="B5000" s="11">
        <f>Daily_Data!J5000</f>
        <v>14.78</v>
      </c>
      <c r="C5000" s="11">
        <f>Daily_Data!I5000</f>
        <v>-0.67</v>
      </c>
      <c r="D5000" s="12">
        <f>if(sum(Daily_Data!K5000:L5000)&gt;0,1,0)</f>
        <v>0</v>
      </c>
    </row>
    <row r="5001">
      <c r="A5001" s="10">
        <f>Daily_Data!A5001</f>
        <v>43525</v>
      </c>
      <c r="B5001" s="11">
        <f>Daily_Data!J5001</f>
        <v>13.57</v>
      </c>
      <c r="C5001" s="11">
        <f>Daily_Data!I5001</f>
        <v>-0.69</v>
      </c>
      <c r="D5001" s="12">
        <f>if(sum(Daily_Data!K5001:L5001)&gt;0,1,0)</f>
        <v>0</v>
      </c>
    </row>
    <row r="5002">
      <c r="A5002" s="10">
        <f>Daily_Data!A5002</f>
        <v>43528</v>
      </c>
      <c r="B5002" s="11">
        <f>Daily_Data!J5002</f>
        <v>14.63</v>
      </c>
      <c r="C5002" s="11">
        <f>Daily_Data!I5002</f>
        <v>-0.69</v>
      </c>
      <c r="D5002" s="12">
        <f>if(sum(Daily_Data!K5002:L5002)&gt;0,1,0)</f>
        <v>0</v>
      </c>
    </row>
    <row r="5003">
      <c r="A5003" s="10">
        <f>Daily_Data!A5003</f>
        <v>43529</v>
      </c>
      <c r="B5003" s="11">
        <f>Daily_Data!J5003</f>
        <v>14.74</v>
      </c>
      <c r="C5003" s="11">
        <f>Daily_Data!I5003</f>
        <v>-0.69</v>
      </c>
      <c r="D5003" s="12">
        <f>if(sum(Daily_Data!K5003:L5003)&gt;0,1,0)</f>
        <v>0</v>
      </c>
    </row>
    <row r="5004">
      <c r="A5004" s="10">
        <f>Daily_Data!A5004</f>
        <v>43530</v>
      </c>
      <c r="B5004" s="11">
        <f>Daily_Data!J5004</f>
        <v>15.74</v>
      </c>
      <c r="C5004" s="11">
        <f>Daily_Data!I5004</f>
        <v>-0.68</v>
      </c>
      <c r="D5004" s="12">
        <f>if(sum(Daily_Data!K5004:L5004)&gt;0,1,0)</f>
        <v>0</v>
      </c>
    </row>
    <row r="5005">
      <c r="A5005" s="10">
        <f>Daily_Data!A5005</f>
        <v>43531</v>
      </c>
      <c r="B5005" s="11">
        <f>Daily_Data!J5005</f>
        <v>16.59</v>
      </c>
      <c r="C5005" s="11">
        <f>Daily_Data!I5005</f>
        <v>-0.63</v>
      </c>
      <c r="D5005" s="12">
        <f>if(sum(Daily_Data!K5005:L5005)&gt;0,1,0)</f>
        <v>0</v>
      </c>
    </row>
    <row r="5006">
      <c r="A5006" s="10">
        <f>Daily_Data!A5006</f>
        <v>43532</v>
      </c>
      <c r="B5006" s="11">
        <f>Daily_Data!J5006</f>
        <v>16.05</v>
      </c>
      <c r="C5006" s="11">
        <f>Daily_Data!I5006</f>
        <v>-0.62</v>
      </c>
      <c r="D5006" s="12">
        <f>if(sum(Daily_Data!K5006:L5006)&gt;0,1,0)</f>
        <v>1</v>
      </c>
    </row>
    <row r="5007">
      <c r="A5007" s="10">
        <f>Daily_Data!A5007</f>
        <v>43535</v>
      </c>
      <c r="B5007" s="11">
        <f>Daily_Data!J5007</f>
        <v>14.33</v>
      </c>
      <c r="C5007" s="11">
        <f>Daily_Data!I5007</f>
        <v>-0.63</v>
      </c>
      <c r="D5007" s="12">
        <f>if(sum(Daily_Data!K5007:L5007)&gt;0,1,0)</f>
        <v>0</v>
      </c>
    </row>
    <row r="5008">
      <c r="A5008" s="10">
        <f>Daily_Data!A5008</f>
        <v>43536</v>
      </c>
      <c r="B5008" s="11">
        <f>Daily_Data!J5008</f>
        <v>13.77</v>
      </c>
      <c r="C5008" s="11">
        <f>Daily_Data!I5008</f>
        <v>-0.61</v>
      </c>
      <c r="D5008" s="12">
        <f>if(sum(Daily_Data!K5008:L5008)&gt;0,1,0)</f>
        <v>1</v>
      </c>
    </row>
    <row r="5009">
      <c r="A5009" s="10">
        <f>Daily_Data!A5009</f>
        <v>43537</v>
      </c>
      <c r="B5009" s="11">
        <f>Daily_Data!J5009</f>
        <v>13.41</v>
      </c>
      <c r="C5009" s="11">
        <f>Daily_Data!I5009</f>
        <v>-0.63</v>
      </c>
      <c r="D5009" s="12">
        <f>if(sum(Daily_Data!K5009:L5009)&gt;0,1,0)</f>
        <v>0</v>
      </c>
    </row>
    <row r="5010">
      <c r="A5010" s="10">
        <f>Daily_Data!A5010</f>
        <v>43538</v>
      </c>
      <c r="B5010" s="11">
        <f>Daily_Data!J5010</f>
        <v>13.5</v>
      </c>
      <c r="C5010" s="11">
        <f>Daily_Data!I5010</f>
        <v>-0.63</v>
      </c>
      <c r="D5010" s="12">
        <f>if(sum(Daily_Data!K5010:L5010)&gt;0,1,0)</f>
        <v>0</v>
      </c>
    </row>
    <row r="5011">
      <c r="A5011" s="10">
        <f>Daily_Data!A5011</f>
        <v>43539</v>
      </c>
      <c r="B5011" s="11">
        <f>Daily_Data!J5011</f>
        <v>12.88</v>
      </c>
      <c r="C5011" s="11">
        <f>Daily_Data!I5011</f>
        <v>-0.59</v>
      </c>
      <c r="D5011" s="12">
        <f>if(sum(Daily_Data!K5011:L5011)&gt;0,1,0)</f>
        <v>0</v>
      </c>
    </row>
    <row r="5012">
      <c r="A5012" s="10">
        <f>Daily_Data!A5012</f>
        <v>43542</v>
      </c>
      <c r="B5012" s="11">
        <f>Daily_Data!J5012</f>
        <v>13.1</v>
      </c>
      <c r="C5012" s="11">
        <f>Daily_Data!I5012</f>
        <v>-0.62</v>
      </c>
      <c r="D5012" s="12">
        <f>if(sum(Daily_Data!K5012:L5012)&gt;0,1,0)</f>
        <v>0</v>
      </c>
    </row>
    <row r="5013">
      <c r="A5013" s="10">
        <f>Daily_Data!A5013</f>
        <v>43543</v>
      </c>
      <c r="B5013" s="11">
        <f>Daily_Data!J5013</f>
        <v>13.56</v>
      </c>
      <c r="C5013" s="11">
        <f>Daily_Data!I5013</f>
        <v>-0.64</v>
      </c>
      <c r="D5013" s="12">
        <f>if(sum(Daily_Data!K5013:L5013)&gt;0,1,0)</f>
        <v>0</v>
      </c>
    </row>
    <row r="5014">
      <c r="A5014" s="10">
        <f>Daily_Data!A5014</f>
        <v>43544</v>
      </c>
      <c r="B5014" s="11">
        <f>Daily_Data!J5014</f>
        <v>13.91</v>
      </c>
      <c r="C5014" s="11">
        <f>Daily_Data!I5014</f>
        <v>-0.59</v>
      </c>
      <c r="D5014" s="12">
        <f>if(sum(Daily_Data!K5014:L5014)&gt;0,1,0)</f>
        <v>0</v>
      </c>
    </row>
    <row r="5015">
      <c r="A5015" s="10">
        <f>Daily_Data!A5015</f>
        <v>43545</v>
      </c>
      <c r="B5015" s="11">
        <f>Daily_Data!J5015</f>
        <v>13.63</v>
      </c>
      <c r="C5015" s="11">
        <f>Daily_Data!I5015</f>
        <v>-0.6</v>
      </c>
      <c r="D5015" s="12">
        <f>if(sum(Daily_Data!K5015:L5015)&gt;0,1,0)</f>
        <v>0</v>
      </c>
    </row>
    <row r="5016">
      <c r="A5016" s="10">
        <f>Daily_Data!A5016</f>
        <v>43546</v>
      </c>
      <c r="B5016" s="11">
        <f>Daily_Data!J5016</f>
        <v>16.48</v>
      </c>
      <c r="C5016" s="11">
        <f>Daily_Data!I5016</f>
        <v>-0.49</v>
      </c>
      <c r="D5016" s="12">
        <f>if(sum(Daily_Data!K5016:L5016)&gt;0,1,0)</f>
        <v>0</v>
      </c>
    </row>
    <row r="5017">
      <c r="A5017" s="10">
        <f>Daily_Data!A5017</f>
        <v>43549</v>
      </c>
      <c r="B5017" s="11">
        <f>Daily_Data!J5017</f>
        <v>16.33</v>
      </c>
      <c r="C5017" s="11">
        <f>Daily_Data!I5017</f>
        <v>-0.48</v>
      </c>
      <c r="D5017" s="12">
        <f>if(sum(Daily_Data!K5017:L5017)&gt;0,1,0)</f>
        <v>0</v>
      </c>
    </row>
    <row r="5018">
      <c r="A5018" s="10">
        <f>Daily_Data!A5018</f>
        <v>43550</v>
      </c>
      <c r="B5018" s="11">
        <f>Daily_Data!J5018</f>
        <v>14.68</v>
      </c>
      <c r="C5018" s="11">
        <f>Daily_Data!I5018</f>
        <v>-0.45</v>
      </c>
      <c r="D5018" s="12">
        <f>if(sum(Daily_Data!K5018:L5018)&gt;0,1,0)</f>
        <v>0</v>
      </c>
    </row>
    <row r="5019">
      <c r="A5019" s="10">
        <f>Daily_Data!A5019</f>
        <v>43551</v>
      </c>
      <c r="B5019" s="11">
        <f>Daily_Data!J5019</f>
        <v>15.15</v>
      </c>
      <c r="C5019" s="11">
        <f>Daily_Data!I5019</f>
        <v>-0.59</v>
      </c>
      <c r="D5019" s="12">
        <f>if(sum(Daily_Data!K5019:L5019)&gt;0,1,0)</f>
        <v>0</v>
      </c>
    </row>
    <row r="5020">
      <c r="A5020" s="10">
        <f>Daily_Data!A5020</f>
        <v>43552</v>
      </c>
      <c r="B5020" s="11">
        <f>Daily_Data!J5020</f>
        <v>14.43</v>
      </c>
      <c r="C5020" s="11">
        <f>Daily_Data!I5020</f>
        <v>-0.61</v>
      </c>
      <c r="D5020" s="12">
        <f>if(sum(Daily_Data!K5020:L5020)&gt;0,1,0)</f>
        <v>0</v>
      </c>
    </row>
    <row r="5021">
      <c r="A5021" s="10">
        <f>Daily_Data!A5021</f>
        <v>43553</v>
      </c>
      <c r="B5021" s="11">
        <f>Daily_Data!J5021</f>
        <v>13.71</v>
      </c>
      <c r="C5021" s="11">
        <f>Daily_Data!I5021</f>
        <v>-0.65</v>
      </c>
      <c r="D5021" s="12">
        <f>if(sum(Daily_Data!K5021:L5021)&gt;0,1,0)</f>
        <v>0</v>
      </c>
    </row>
    <row r="5022">
      <c r="A5022" s="10">
        <f>Daily_Data!A5022</f>
        <v>43556</v>
      </c>
      <c r="B5022" s="11">
        <f>Daily_Data!J5022</f>
        <v>13.4</v>
      </c>
      <c r="C5022" s="11">
        <f>Daily_Data!I5022</f>
        <v>-0.69</v>
      </c>
      <c r="D5022" s="12">
        <f>if(sum(Daily_Data!K5022:L5022)&gt;0,1,0)</f>
        <v>0</v>
      </c>
    </row>
    <row r="5023">
      <c r="A5023" s="10">
        <f>Daily_Data!A5023</f>
        <v>43557</v>
      </c>
      <c r="B5023" s="11">
        <f>Daily_Data!J5023</f>
        <v>13.36</v>
      </c>
      <c r="C5023" s="11">
        <f>Daily_Data!I5023</f>
        <v>-0.69</v>
      </c>
      <c r="D5023" s="12">
        <f>if(sum(Daily_Data!K5023:L5023)&gt;0,1,0)</f>
        <v>0</v>
      </c>
    </row>
    <row r="5024">
      <c r="A5024" s="10">
        <f>Daily_Data!A5024</f>
        <v>43558</v>
      </c>
      <c r="B5024" s="11">
        <f>Daily_Data!J5024</f>
        <v>13.74</v>
      </c>
      <c r="C5024" s="11">
        <f>Daily_Data!I5024</f>
        <v>-0.72</v>
      </c>
      <c r="D5024" s="12">
        <f>if(sum(Daily_Data!K5024:L5024)&gt;0,1,0)</f>
        <v>0</v>
      </c>
    </row>
    <row r="5025">
      <c r="A5025" s="10">
        <f>Daily_Data!A5025</f>
        <v>43559</v>
      </c>
      <c r="B5025" s="11">
        <f>Daily_Data!J5025</f>
        <v>13.58</v>
      </c>
      <c r="C5025" s="11">
        <f>Daily_Data!I5025</f>
        <v>-0.7</v>
      </c>
      <c r="D5025" s="12">
        <f>if(sum(Daily_Data!K5025:L5025)&gt;0,1,0)</f>
        <v>0</v>
      </c>
    </row>
    <row r="5026">
      <c r="A5026" s="10">
        <f>Daily_Data!A5026</f>
        <v>43560</v>
      </c>
      <c r="B5026" s="11">
        <f>Daily_Data!J5026</f>
        <v>12.82</v>
      </c>
      <c r="C5026" s="11">
        <f>Daily_Data!I5026</f>
        <v>-0.71</v>
      </c>
      <c r="D5026" s="12">
        <f>if(sum(Daily_Data!K5026:L5026)&gt;0,1,0)</f>
        <v>1</v>
      </c>
    </row>
    <row r="5027">
      <c r="A5027" s="10">
        <f>Daily_Data!A5027</f>
        <v>43563</v>
      </c>
      <c r="B5027" s="11">
        <f>Daily_Data!J5027</f>
        <v>13.18</v>
      </c>
      <c r="C5027" s="11">
        <f>Daily_Data!I5027</f>
        <v>-0.73</v>
      </c>
      <c r="D5027" s="12">
        <f>if(sum(Daily_Data!K5027:L5027)&gt;0,1,0)</f>
        <v>0</v>
      </c>
    </row>
    <row r="5028">
      <c r="A5028" s="10">
        <f>Daily_Data!A5028</f>
        <v>43564</v>
      </c>
      <c r="B5028" s="11">
        <f>Daily_Data!J5028</f>
        <v>14.28</v>
      </c>
      <c r="C5028" s="11">
        <f>Daily_Data!I5028</f>
        <v>-0.69</v>
      </c>
      <c r="D5028" s="12">
        <f>if(sum(Daily_Data!K5028:L5028)&gt;0,1,0)</f>
        <v>0</v>
      </c>
    </row>
    <row r="5029">
      <c r="A5029" s="10">
        <f>Daily_Data!A5029</f>
        <v>43565</v>
      </c>
      <c r="B5029" s="11">
        <f>Daily_Data!J5029</f>
        <v>13.3</v>
      </c>
      <c r="C5029" s="11">
        <f>Daily_Data!I5029</f>
        <v>-0.64</v>
      </c>
      <c r="D5029" s="12">
        <f>if(sum(Daily_Data!K5029:L5029)&gt;0,1,0)</f>
        <v>1</v>
      </c>
    </row>
    <row r="5030">
      <c r="A5030" s="10">
        <f>Daily_Data!A5030</f>
        <v>43566</v>
      </c>
      <c r="B5030" s="11">
        <f>Daily_Data!J5030</f>
        <v>13.02</v>
      </c>
      <c r="C5030" s="11">
        <f>Daily_Data!I5030</f>
        <v>-0.67</v>
      </c>
      <c r="D5030" s="12">
        <f>if(sum(Daily_Data!K5030:L5030)&gt;0,1,0)</f>
        <v>0</v>
      </c>
    </row>
    <row r="5031">
      <c r="A5031" s="10">
        <f>Daily_Data!A5031</f>
        <v>43567</v>
      </c>
      <c r="B5031" s="11">
        <f>Daily_Data!J5031</f>
        <v>12.01</v>
      </c>
      <c r="C5031" s="11">
        <f>Daily_Data!I5031</f>
        <v>-0.72</v>
      </c>
      <c r="D5031" s="12">
        <f>if(sum(Daily_Data!K5031:L5031)&gt;0,1,0)</f>
        <v>0</v>
      </c>
    </row>
    <row r="5032">
      <c r="A5032" s="10">
        <f>Daily_Data!A5032</f>
        <v>43570</v>
      </c>
      <c r="B5032" s="11">
        <f>Daily_Data!J5032</f>
        <v>12.32</v>
      </c>
      <c r="C5032" s="11">
        <f>Daily_Data!I5032</f>
        <v>-0.69</v>
      </c>
      <c r="D5032" s="12">
        <f>if(sum(Daily_Data!K5032:L5032)&gt;0,1,0)</f>
        <v>0</v>
      </c>
    </row>
    <row r="5033">
      <c r="A5033" s="10">
        <f>Daily_Data!A5033</f>
        <v>43571</v>
      </c>
      <c r="B5033" s="11">
        <f>Daily_Data!J5033</f>
        <v>12.18</v>
      </c>
      <c r="C5033" s="11">
        <f>Daily_Data!I5033</f>
        <v>-0.7</v>
      </c>
      <c r="D5033" s="12">
        <f>if(sum(Daily_Data!K5033:L5033)&gt;0,1,0)</f>
        <v>0</v>
      </c>
    </row>
    <row r="5034">
      <c r="A5034" s="10">
        <f>Daily_Data!A5034</f>
        <v>43572</v>
      </c>
      <c r="B5034" s="11">
        <f>Daily_Data!J5034</f>
        <v>12.6</v>
      </c>
      <c r="C5034" s="11">
        <f>Daily_Data!I5034</f>
        <v>-0.75</v>
      </c>
      <c r="D5034" s="12">
        <f>if(sum(Daily_Data!K5034:L5034)&gt;0,1,0)</f>
        <v>0</v>
      </c>
    </row>
    <row r="5035">
      <c r="A5035" s="10">
        <f>Daily_Data!A5035</f>
        <v>43573</v>
      </c>
      <c r="B5035" s="11">
        <f>Daily_Data!J5035</f>
        <v>12.09</v>
      </c>
      <c r="C5035" s="11">
        <f>Daily_Data!I5035</f>
        <v>-0.73</v>
      </c>
      <c r="D5035" s="12">
        <f>if(sum(Daily_Data!K5035:L5035)&gt;0,1,0)</f>
        <v>0</v>
      </c>
    </row>
    <row r="5036">
      <c r="A5036" s="10">
        <f>Daily_Data!A5036</f>
        <v>43574</v>
      </c>
      <c r="B5036" s="11" t="str">
        <f>Daily_Data!J5036</f>
        <v/>
      </c>
      <c r="C5036" s="11" t="str">
        <f>Daily_Data!I5036</f>
        <v/>
      </c>
      <c r="D5036" s="12">
        <f>if(sum(Daily_Data!K5036:L5036)&gt;0,1,0)</f>
        <v>0</v>
      </c>
    </row>
    <row r="5037">
      <c r="A5037" s="10">
        <f>Daily_Data!A5037</f>
        <v>43577</v>
      </c>
      <c r="B5037" s="11">
        <f>Daily_Data!J5037</f>
        <v>12.42</v>
      </c>
      <c r="C5037" s="11" t="str">
        <f>Daily_Data!I5037</f>
        <v/>
      </c>
      <c r="D5037" s="12">
        <f>if(sum(Daily_Data!K5037:L5037)&gt;0,1,0)</f>
        <v>0</v>
      </c>
    </row>
    <row r="5038">
      <c r="A5038" s="10">
        <f>Daily_Data!A5038</f>
        <v>43578</v>
      </c>
      <c r="B5038" s="11">
        <f>Daily_Data!J5038</f>
        <v>12.28</v>
      </c>
      <c r="C5038" s="11">
        <f>Daily_Data!I5038</f>
        <v>-0.71</v>
      </c>
      <c r="D5038" s="12">
        <f>if(sum(Daily_Data!K5038:L5038)&gt;0,1,0)</f>
        <v>0</v>
      </c>
    </row>
    <row r="5039">
      <c r="A5039" s="10">
        <f>Daily_Data!A5039</f>
        <v>43579</v>
      </c>
      <c r="B5039" s="11">
        <f>Daily_Data!J5039</f>
        <v>13.14</v>
      </c>
      <c r="C5039" s="11">
        <f>Daily_Data!I5039</f>
        <v>-0.71</v>
      </c>
      <c r="D5039" s="12">
        <f>if(sum(Daily_Data!K5039:L5039)&gt;0,1,0)</f>
        <v>0</v>
      </c>
    </row>
    <row r="5040">
      <c r="A5040" s="10">
        <f>Daily_Data!A5040</f>
        <v>43580</v>
      </c>
      <c r="B5040" s="11">
        <f>Daily_Data!J5040</f>
        <v>13.25</v>
      </c>
      <c r="C5040" s="11" t="str">
        <f>Daily_Data!I5040</f>
        <v/>
      </c>
      <c r="D5040" s="12">
        <f>if(sum(Daily_Data!K5040:L5040)&gt;0,1,0)</f>
        <v>0</v>
      </c>
    </row>
    <row r="5041">
      <c r="A5041" s="10">
        <f>Daily_Data!A5041</f>
        <v>43581</v>
      </c>
      <c r="B5041" s="11">
        <f>Daily_Data!J5041</f>
        <v>12.73</v>
      </c>
      <c r="C5041" s="11">
        <f>Daily_Data!I5041</f>
        <v>-0.64</v>
      </c>
      <c r="D5041" s="12">
        <f>if(sum(Daily_Data!K5041:L5041)&gt;0,1,0)</f>
        <v>0</v>
      </c>
    </row>
    <row r="5042">
      <c r="A5042" s="10">
        <f>Daily_Data!A5042</f>
        <v>43584</v>
      </c>
      <c r="B5042" s="11">
        <f>Daily_Data!J5042</f>
        <v>13.11</v>
      </c>
      <c r="C5042" s="11">
        <f>Daily_Data!I5042</f>
        <v>-0.64</v>
      </c>
      <c r="D5042" s="12">
        <f>if(sum(Daily_Data!K5042:L5042)&gt;0,1,0)</f>
        <v>0</v>
      </c>
    </row>
    <row r="5043">
      <c r="A5043" s="10">
        <f>Daily_Data!A5043</f>
        <v>43585</v>
      </c>
      <c r="B5043" s="11">
        <f>Daily_Data!J5043</f>
        <v>13.12</v>
      </c>
      <c r="C5043" s="11">
        <f>Daily_Data!I5043</f>
        <v>-0.59</v>
      </c>
      <c r="D5043" s="12">
        <f>if(sum(Daily_Data!K5043:L5043)&gt;0,1,0)</f>
        <v>0</v>
      </c>
    </row>
    <row r="5044">
      <c r="A5044" s="10">
        <f>Daily_Data!A5044</f>
        <v>43586</v>
      </c>
      <c r="B5044" s="11">
        <f>Daily_Data!J5044</f>
        <v>14.8</v>
      </c>
      <c r="C5044" s="11">
        <f>Daily_Data!I5044</f>
        <v>-0.7</v>
      </c>
      <c r="D5044" s="12">
        <f>if(sum(Daily_Data!K5044:L5044)&gt;0,1,0)</f>
        <v>0</v>
      </c>
    </row>
    <row r="5045">
      <c r="A5045" s="10">
        <f>Daily_Data!A5045</f>
        <v>43587</v>
      </c>
      <c r="B5045" s="11">
        <f>Daily_Data!J5045</f>
        <v>14.42</v>
      </c>
      <c r="C5045" s="11">
        <f>Daily_Data!I5045</f>
        <v>-0.72</v>
      </c>
      <c r="D5045" s="12">
        <f>if(sum(Daily_Data!K5045:L5045)&gt;0,1,0)</f>
        <v>0</v>
      </c>
    </row>
    <row r="5046">
      <c r="A5046" s="10">
        <f>Daily_Data!A5046</f>
        <v>43588</v>
      </c>
      <c r="B5046" s="11">
        <f>Daily_Data!J5046</f>
        <v>12.87</v>
      </c>
      <c r="C5046" s="11">
        <f>Daily_Data!I5046</f>
        <v>-0.7</v>
      </c>
      <c r="D5046" s="12">
        <f>if(sum(Daily_Data!K5046:L5046)&gt;0,1,0)</f>
        <v>1</v>
      </c>
    </row>
    <row r="5047">
      <c r="A5047" s="10">
        <f>Daily_Data!A5047</f>
        <v>43591</v>
      </c>
      <c r="B5047" s="11">
        <f>Daily_Data!J5047</f>
        <v>15.44</v>
      </c>
      <c r="C5047" s="11">
        <f>Daily_Data!I5047</f>
        <v>-0.7</v>
      </c>
      <c r="D5047" s="12">
        <f>if(sum(Daily_Data!K5047:L5047)&gt;0,1,0)</f>
        <v>0</v>
      </c>
    </row>
    <row r="5048">
      <c r="A5048" s="10">
        <f>Daily_Data!A5048</f>
        <v>43592</v>
      </c>
      <c r="B5048" s="11">
        <f>Daily_Data!J5048</f>
        <v>19.32</v>
      </c>
      <c r="C5048" s="11">
        <f>Daily_Data!I5048</f>
        <v>-0.66</v>
      </c>
      <c r="D5048" s="12">
        <f>if(sum(Daily_Data!K5048:L5048)&gt;0,1,0)</f>
        <v>0</v>
      </c>
    </row>
    <row r="5049">
      <c r="A5049" s="10">
        <f>Daily_Data!A5049</f>
        <v>43593</v>
      </c>
      <c r="B5049" s="11">
        <f>Daily_Data!J5049</f>
        <v>19.4</v>
      </c>
      <c r="C5049" s="11">
        <f>Daily_Data!I5049</f>
        <v>-0.71</v>
      </c>
      <c r="D5049" s="12">
        <f>if(sum(Daily_Data!K5049:L5049)&gt;0,1,0)</f>
        <v>0</v>
      </c>
    </row>
    <row r="5050">
      <c r="A5050" s="10">
        <f>Daily_Data!A5050</f>
        <v>43594</v>
      </c>
      <c r="B5050" s="11">
        <f>Daily_Data!J5050</f>
        <v>19.1</v>
      </c>
      <c r="C5050" s="11">
        <f>Daily_Data!I5050</f>
        <v>-0.64</v>
      </c>
      <c r="D5050" s="12">
        <f>if(sum(Daily_Data!K5050:L5050)&gt;0,1,0)</f>
        <v>0</v>
      </c>
    </row>
    <row r="5051">
      <c r="A5051" s="10">
        <f>Daily_Data!A5051</f>
        <v>43595</v>
      </c>
      <c r="B5051" s="11">
        <f>Daily_Data!J5051</f>
        <v>16.04</v>
      </c>
      <c r="C5051" s="11">
        <f>Daily_Data!I5051</f>
        <v>-0.65</v>
      </c>
      <c r="D5051" s="12">
        <f>if(sum(Daily_Data!K5051:L5051)&gt;0,1,0)</f>
        <v>1</v>
      </c>
    </row>
    <row r="5052">
      <c r="A5052" s="10">
        <f>Daily_Data!A5052</f>
        <v>43598</v>
      </c>
      <c r="B5052" s="11">
        <f>Daily_Data!J5052</f>
        <v>20.55</v>
      </c>
      <c r="C5052" s="11">
        <f>Daily_Data!I5052</f>
        <v>-0.58</v>
      </c>
      <c r="D5052" s="12">
        <f>if(sum(Daily_Data!K5052:L5052)&gt;0,1,0)</f>
        <v>0</v>
      </c>
    </row>
    <row r="5053">
      <c r="A5053" s="10">
        <f>Daily_Data!A5053</f>
        <v>43599</v>
      </c>
      <c r="B5053" s="11">
        <f>Daily_Data!J5053</f>
        <v>18.06</v>
      </c>
      <c r="C5053" s="11">
        <f>Daily_Data!I5053</f>
        <v>-0.61</v>
      </c>
      <c r="D5053" s="12">
        <f>if(sum(Daily_Data!K5053:L5053)&gt;0,1,0)</f>
        <v>0</v>
      </c>
    </row>
    <row r="5054">
      <c r="A5054" s="10">
        <f>Daily_Data!A5054</f>
        <v>43600</v>
      </c>
      <c r="B5054" s="11">
        <f>Daily_Data!J5054</f>
        <v>16.44</v>
      </c>
      <c r="C5054" s="11">
        <f>Daily_Data!I5054</f>
        <v>-0.59</v>
      </c>
      <c r="D5054" s="12">
        <f>if(sum(Daily_Data!K5054:L5054)&gt;0,1,0)</f>
        <v>0</v>
      </c>
    </row>
    <row r="5055">
      <c r="A5055" s="10">
        <f>Daily_Data!A5055</f>
        <v>43601</v>
      </c>
      <c r="B5055" s="11">
        <f>Daily_Data!J5055</f>
        <v>15.29</v>
      </c>
      <c r="C5055" s="11">
        <f>Daily_Data!I5055</f>
        <v>-0.65</v>
      </c>
      <c r="D5055" s="12">
        <f>if(sum(Daily_Data!K5055:L5055)&gt;0,1,0)</f>
        <v>0</v>
      </c>
    </row>
    <row r="5056">
      <c r="A5056" s="10">
        <f>Daily_Data!A5056</f>
        <v>43602</v>
      </c>
      <c r="B5056" s="11">
        <f>Daily_Data!J5056</f>
        <v>15.96</v>
      </c>
      <c r="C5056" s="11">
        <f>Daily_Data!I5056</f>
        <v>-0.66</v>
      </c>
      <c r="D5056" s="12">
        <f>if(sum(Daily_Data!K5056:L5056)&gt;0,1,0)</f>
        <v>0</v>
      </c>
    </row>
    <row r="5057">
      <c r="A5057" s="10">
        <f>Daily_Data!A5057</f>
        <v>43605</v>
      </c>
      <c r="B5057" s="11">
        <f>Daily_Data!J5057</f>
        <v>16.31</v>
      </c>
      <c r="C5057" s="11">
        <f>Daily_Data!I5057</f>
        <v>-0.66</v>
      </c>
      <c r="D5057" s="12">
        <f>if(sum(Daily_Data!K5057:L5057)&gt;0,1,0)</f>
        <v>0</v>
      </c>
    </row>
    <row r="5058">
      <c r="A5058" s="10">
        <f>Daily_Data!A5058</f>
        <v>43606</v>
      </c>
      <c r="B5058" s="11">
        <f>Daily_Data!J5058</f>
        <v>14.95</v>
      </c>
      <c r="C5058" s="11">
        <f>Daily_Data!I5058</f>
        <v>-0.72</v>
      </c>
      <c r="D5058" s="12">
        <f>if(sum(Daily_Data!K5058:L5058)&gt;0,1,0)</f>
        <v>0</v>
      </c>
    </row>
    <row r="5059">
      <c r="A5059" s="10">
        <f>Daily_Data!A5059</f>
        <v>43607</v>
      </c>
      <c r="B5059" s="11">
        <f>Daily_Data!J5059</f>
        <v>14.75</v>
      </c>
      <c r="C5059" s="11">
        <f>Daily_Data!I5059</f>
        <v>-0.7</v>
      </c>
      <c r="D5059" s="12">
        <f>if(sum(Daily_Data!K5059:L5059)&gt;0,1,0)</f>
        <v>0</v>
      </c>
    </row>
    <row r="5060">
      <c r="A5060" s="10">
        <f>Daily_Data!A5060</f>
        <v>43608</v>
      </c>
      <c r="B5060" s="11">
        <f>Daily_Data!J5060</f>
        <v>16.92</v>
      </c>
      <c r="C5060" s="11">
        <f>Daily_Data!I5060</f>
        <v>-0.61</v>
      </c>
      <c r="D5060" s="12">
        <f>if(sum(Daily_Data!K5060:L5060)&gt;0,1,0)</f>
        <v>0</v>
      </c>
    </row>
    <row r="5061">
      <c r="A5061" s="10">
        <f>Daily_Data!A5061</f>
        <v>43609</v>
      </c>
      <c r="B5061" s="11">
        <f>Daily_Data!J5061</f>
        <v>15.85</v>
      </c>
      <c r="C5061" s="11">
        <f>Daily_Data!I5061</f>
        <v>-0.68</v>
      </c>
      <c r="D5061" s="12">
        <f>if(sum(Daily_Data!K5061:L5061)&gt;0,1,0)</f>
        <v>0</v>
      </c>
    </row>
    <row r="5062">
      <c r="A5062" s="10">
        <f>Daily_Data!A5062</f>
        <v>43612</v>
      </c>
      <c r="B5062" s="11" t="str">
        <f>Daily_Data!J5062</f>
        <v/>
      </c>
      <c r="C5062" s="11" t="str">
        <f>Daily_Data!I5062</f>
        <v/>
      </c>
      <c r="D5062" s="12">
        <f>if(sum(Daily_Data!K5062:L5062)&gt;0,1,0)</f>
        <v>0</v>
      </c>
    </row>
    <row r="5063">
      <c r="A5063" s="10">
        <f>Daily_Data!A5063</f>
        <v>43613</v>
      </c>
      <c r="B5063" s="11">
        <f>Daily_Data!J5063</f>
        <v>17.5</v>
      </c>
      <c r="C5063" s="11">
        <f>Daily_Data!I5063</f>
        <v>-0.63</v>
      </c>
      <c r="D5063" s="12">
        <f>if(sum(Daily_Data!K5063:L5063)&gt;0,1,0)</f>
        <v>0</v>
      </c>
    </row>
    <row r="5064">
      <c r="A5064" s="10">
        <f>Daily_Data!A5064</f>
        <v>43614</v>
      </c>
      <c r="B5064" s="11">
        <f>Daily_Data!J5064</f>
        <v>17.9</v>
      </c>
      <c r="C5064" s="11">
        <f>Daily_Data!I5064</f>
        <v>-0.63</v>
      </c>
      <c r="D5064" s="12">
        <f>if(sum(Daily_Data!K5064:L5064)&gt;0,1,0)</f>
        <v>0</v>
      </c>
    </row>
    <row r="5065">
      <c r="A5065" s="10">
        <f>Daily_Data!A5065</f>
        <v>43615</v>
      </c>
      <c r="B5065" s="11">
        <f>Daily_Data!J5065</f>
        <v>17.3</v>
      </c>
      <c r="C5065" s="11">
        <f>Daily_Data!I5065</f>
        <v>-0.59</v>
      </c>
      <c r="D5065" s="12">
        <f>if(sum(Daily_Data!K5065:L5065)&gt;0,1,0)</f>
        <v>0</v>
      </c>
    </row>
    <row r="5066">
      <c r="A5066" s="10">
        <f>Daily_Data!A5066</f>
        <v>43616</v>
      </c>
      <c r="B5066" s="11">
        <f>Daily_Data!J5066</f>
        <v>18.71</v>
      </c>
      <c r="C5066" s="11">
        <f>Daily_Data!I5066</f>
        <v>-0.51</v>
      </c>
      <c r="D5066" s="12">
        <f>if(sum(Daily_Data!K5066:L5066)&gt;0,1,0)</f>
        <v>0</v>
      </c>
    </row>
    <row r="5067">
      <c r="A5067" s="10">
        <f>Daily_Data!A5067</f>
        <v>43619</v>
      </c>
      <c r="B5067" s="11">
        <f>Daily_Data!J5067</f>
        <v>18.86</v>
      </c>
      <c r="C5067" s="11" t="str">
        <f>Daily_Data!I5067</f>
        <v/>
      </c>
      <c r="D5067" s="12">
        <f>if(sum(Daily_Data!K5067:L5067)&gt;0,1,0)</f>
        <v>0</v>
      </c>
    </row>
    <row r="5068">
      <c r="A5068" s="10">
        <f>Daily_Data!A5068</f>
        <v>43620</v>
      </c>
      <c r="B5068" s="11">
        <f>Daily_Data!J5068</f>
        <v>16.97</v>
      </c>
      <c r="C5068" s="11">
        <f>Daily_Data!I5068</f>
        <v>-0.46</v>
      </c>
      <c r="D5068" s="12">
        <f>if(sum(Daily_Data!K5068:L5068)&gt;0,1,0)</f>
        <v>0</v>
      </c>
    </row>
    <row r="5069">
      <c r="A5069" s="10">
        <f>Daily_Data!A5069</f>
        <v>43621</v>
      </c>
      <c r="B5069" s="11">
        <f>Daily_Data!J5069</f>
        <v>16.09</v>
      </c>
      <c r="C5069" s="11">
        <f>Daily_Data!I5069</f>
        <v>-0.43</v>
      </c>
      <c r="D5069" s="12">
        <f>if(sum(Daily_Data!K5069:L5069)&gt;0,1,0)</f>
        <v>0</v>
      </c>
    </row>
    <row r="5070">
      <c r="A5070" s="10">
        <f>Daily_Data!A5070</f>
        <v>43622</v>
      </c>
      <c r="B5070" s="11">
        <f>Daily_Data!J5070</f>
        <v>15.93</v>
      </c>
      <c r="C5070" s="11">
        <f>Daily_Data!I5070</f>
        <v>-0.47</v>
      </c>
      <c r="D5070" s="12">
        <f>if(sum(Daily_Data!K5070:L5070)&gt;0,1,0)</f>
        <v>0</v>
      </c>
    </row>
    <row r="5071">
      <c r="A5071" s="10">
        <f>Daily_Data!A5071</f>
        <v>43623</v>
      </c>
      <c r="B5071" s="11">
        <f>Daily_Data!J5071</f>
        <v>16.3</v>
      </c>
      <c r="C5071" s="11">
        <f>Daily_Data!I5071</f>
        <v>-0.43</v>
      </c>
      <c r="D5071" s="12">
        <f>if(sum(Daily_Data!K5071:L5071)&gt;0,1,0)</f>
        <v>1</v>
      </c>
    </row>
    <row r="5072">
      <c r="A5072" s="10">
        <f>Daily_Data!A5072</f>
        <v>43626</v>
      </c>
      <c r="B5072" s="11">
        <f>Daily_Data!J5072</f>
        <v>15.94</v>
      </c>
      <c r="C5072" s="11">
        <f>Daily_Data!I5072</f>
        <v>-0.48</v>
      </c>
      <c r="D5072" s="12">
        <f>if(sum(Daily_Data!K5072:L5072)&gt;0,1,0)</f>
        <v>0</v>
      </c>
    </row>
    <row r="5073">
      <c r="A5073" s="10">
        <f>Daily_Data!A5073</f>
        <v>43627</v>
      </c>
      <c r="B5073" s="11">
        <f>Daily_Data!J5073</f>
        <v>15.99</v>
      </c>
      <c r="C5073" s="11">
        <f>Daily_Data!I5073</f>
        <v>-0.51</v>
      </c>
      <c r="D5073" s="12">
        <f>if(sum(Daily_Data!K5073:L5073)&gt;0,1,0)</f>
        <v>0</v>
      </c>
    </row>
    <row r="5074">
      <c r="A5074" s="10">
        <f>Daily_Data!A5074</f>
        <v>43628</v>
      </c>
      <c r="B5074" s="11">
        <f>Daily_Data!J5074</f>
        <v>15.91</v>
      </c>
      <c r="C5074" s="11">
        <f>Daily_Data!I5074</f>
        <v>-0.47</v>
      </c>
      <c r="D5074" s="12">
        <f>if(sum(Daily_Data!K5074:L5074)&gt;0,1,0)</f>
        <v>1</v>
      </c>
    </row>
    <row r="5075">
      <c r="A5075" s="10">
        <f>Daily_Data!A5075</f>
        <v>43629</v>
      </c>
      <c r="B5075" s="11">
        <f>Daily_Data!J5075</f>
        <v>15.82</v>
      </c>
      <c r="C5075" s="11">
        <f>Daily_Data!I5075</f>
        <v>-0.44</v>
      </c>
      <c r="D5075" s="12">
        <f>if(sum(Daily_Data!K5075:L5075)&gt;0,1,0)</f>
        <v>0</v>
      </c>
    </row>
    <row r="5076">
      <c r="A5076" s="10">
        <f>Daily_Data!A5076</f>
        <v>43630</v>
      </c>
      <c r="B5076" s="11">
        <f>Daily_Data!J5076</f>
        <v>15.28</v>
      </c>
      <c r="C5076" s="11">
        <f>Daily_Data!I5076</f>
        <v>-0.47</v>
      </c>
      <c r="D5076" s="12">
        <f>if(sum(Daily_Data!K5076:L5076)&gt;0,1,0)</f>
        <v>0</v>
      </c>
    </row>
    <row r="5077">
      <c r="A5077" s="10">
        <f>Daily_Data!A5077</f>
        <v>43633</v>
      </c>
      <c r="B5077" s="11">
        <f>Daily_Data!J5077</f>
        <v>15.35</v>
      </c>
      <c r="C5077" s="11">
        <f>Daily_Data!I5077</f>
        <v>-0.48</v>
      </c>
      <c r="D5077" s="12">
        <f>if(sum(Daily_Data!K5077:L5077)&gt;0,1,0)</f>
        <v>0</v>
      </c>
    </row>
    <row r="5078">
      <c r="A5078" s="10">
        <f>Daily_Data!A5078</f>
        <v>43634</v>
      </c>
      <c r="B5078" s="11">
        <f>Daily_Data!J5078</f>
        <v>15.15</v>
      </c>
      <c r="C5078" s="11">
        <f>Daily_Data!I5078</f>
        <v>-0.49</v>
      </c>
      <c r="D5078" s="12">
        <f>if(sum(Daily_Data!K5078:L5078)&gt;0,1,0)</f>
        <v>0</v>
      </c>
    </row>
    <row r="5079">
      <c r="A5079" s="10">
        <f>Daily_Data!A5079</f>
        <v>43635</v>
      </c>
      <c r="B5079" s="11">
        <f>Daily_Data!J5079</f>
        <v>14.33</v>
      </c>
      <c r="C5079" s="11">
        <f>Daily_Data!I5079</f>
        <v>-0.38</v>
      </c>
      <c r="D5079" s="12">
        <f>if(sum(Daily_Data!K5079:L5079)&gt;0,1,0)</f>
        <v>0</v>
      </c>
    </row>
    <row r="5080">
      <c r="A5080" s="10">
        <f>Daily_Data!A5080</f>
        <v>43636</v>
      </c>
      <c r="B5080" s="11">
        <f>Daily_Data!J5080</f>
        <v>14.75</v>
      </c>
      <c r="C5080" s="11">
        <f>Daily_Data!I5080</f>
        <v>-0.43</v>
      </c>
      <c r="D5080" s="12">
        <f>if(sum(Daily_Data!K5080:L5080)&gt;0,1,0)</f>
        <v>0</v>
      </c>
    </row>
    <row r="5081">
      <c r="A5081" s="10">
        <f>Daily_Data!A5081</f>
        <v>43637</v>
      </c>
      <c r="B5081" s="11">
        <f>Daily_Data!J5081</f>
        <v>15.4</v>
      </c>
      <c r="C5081" s="11">
        <f>Daily_Data!I5081</f>
        <v>-0.49</v>
      </c>
      <c r="D5081" s="12">
        <f>if(sum(Daily_Data!K5081:L5081)&gt;0,1,0)</f>
        <v>0</v>
      </c>
    </row>
    <row r="5082">
      <c r="A5082" s="10">
        <f>Daily_Data!A5082</f>
        <v>43640</v>
      </c>
      <c r="B5082" s="11">
        <f>Daily_Data!J5082</f>
        <v>15.26</v>
      </c>
      <c r="C5082" s="11">
        <f>Daily_Data!I5082</f>
        <v>-0.42</v>
      </c>
      <c r="D5082" s="12">
        <f>if(sum(Daily_Data!K5082:L5082)&gt;0,1,0)</f>
        <v>0</v>
      </c>
    </row>
    <row r="5083">
      <c r="A5083" s="10">
        <f>Daily_Data!A5083</f>
        <v>43641</v>
      </c>
      <c r="B5083" s="11">
        <f>Daily_Data!J5083</f>
        <v>16.28</v>
      </c>
      <c r="C5083" s="11">
        <f>Daily_Data!I5083</f>
        <v>-0.41</v>
      </c>
      <c r="D5083" s="12">
        <f>if(sum(Daily_Data!K5083:L5083)&gt;0,1,0)</f>
        <v>0</v>
      </c>
    </row>
    <row r="5084">
      <c r="A5084" s="10">
        <f>Daily_Data!A5084</f>
        <v>43642</v>
      </c>
      <c r="B5084" s="11">
        <f>Daily_Data!J5084</f>
        <v>16.21</v>
      </c>
      <c r="C5084" s="11">
        <f>Daily_Data!I5084</f>
        <v>-0.45</v>
      </c>
      <c r="D5084" s="12">
        <f>if(sum(Daily_Data!K5084:L5084)&gt;0,1,0)</f>
        <v>0</v>
      </c>
    </row>
    <row r="5085">
      <c r="A5085" s="10">
        <f>Daily_Data!A5085</f>
        <v>43643</v>
      </c>
      <c r="B5085" s="11">
        <f>Daily_Data!J5085</f>
        <v>15.82</v>
      </c>
      <c r="C5085" s="11">
        <f>Daily_Data!I5085</f>
        <v>-0.39</v>
      </c>
      <c r="D5085" s="12">
        <f>if(sum(Daily_Data!K5085:L5085)&gt;0,1,0)</f>
        <v>0</v>
      </c>
    </row>
    <row r="5086">
      <c r="A5086" s="10">
        <f>Daily_Data!A5086</f>
        <v>43644</v>
      </c>
      <c r="B5086" s="11">
        <f>Daily_Data!J5086</f>
        <v>15.08</v>
      </c>
      <c r="C5086" s="11">
        <f>Daily_Data!I5086</f>
        <v>-0.4</v>
      </c>
      <c r="D5086" s="12">
        <f>if(sum(Daily_Data!K5086:L5086)&gt;0,1,0)</f>
        <v>0</v>
      </c>
    </row>
    <row r="5087">
      <c r="A5087" s="10">
        <f>Daily_Data!A5087</f>
        <v>43647</v>
      </c>
      <c r="B5087" s="11">
        <f>Daily_Data!J5087</f>
        <v>14.06</v>
      </c>
      <c r="C5087" s="11">
        <f>Daily_Data!I5087</f>
        <v>-0.43</v>
      </c>
      <c r="D5087" s="12">
        <f>if(sum(Daily_Data!K5087:L5087)&gt;0,1,0)</f>
        <v>0</v>
      </c>
    </row>
    <row r="5088">
      <c r="A5088" s="10">
        <f>Daily_Data!A5088</f>
        <v>43648</v>
      </c>
      <c r="B5088" s="11">
        <f>Daily_Data!J5088</f>
        <v>12.93</v>
      </c>
      <c r="C5088" s="11">
        <f>Daily_Data!I5088</f>
        <v>-0.42</v>
      </c>
      <c r="D5088" s="12">
        <f>if(sum(Daily_Data!K5088:L5088)&gt;0,1,0)</f>
        <v>0</v>
      </c>
    </row>
    <row r="5089">
      <c r="A5089" s="10">
        <f>Daily_Data!A5089</f>
        <v>43649</v>
      </c>
      <c r="B5089" s="11">
        <f>Daily_Data!J5089</f>
        <v>12.57</v>
      </c>
      <c r="C5089" s="11">
        <f>Daily_Data!I5089</f>
        <v>-0.47</v>
      </c>
      <c r="D5089" s="12">
        <f>if(sum(Daily_Data!K5089:L5089)&gt;0,1,0)</f>
        <v>0</v>
      </c>
    </row>
    <row r="5090">
      <c r="A5090" s="10">
        <f>Daily_Data!A5090</f>
        <v>43650</v>
      </c>
      <c r="B5090" s="11" t="str">
        <f>Daily_Data!J5090</f>
        <v/>
      </c>
      <c r="C5090" s="11" t="str">
        <f>Daily_Data!I5090</f>
        <v/>
      </c>
      <c r="D5090" s="12">
        <f>if(sum(Daily_Data!K5090:L5090)&gt;0,1,0)</f>
        <v>0</v>
      </c>
    </row>
    <row r="5091">
      <c r="A5091" s="10">
        <f>Daily_Data!A5091</f>
        <v>43651</v>
      </c>
      <c r="B5091" s="11">
        <f>Daily_Data!J5091</f>
        <v>13.28</v>
      </c>
      <c r="C5091" s="11">
        <f>Daily_Data!I5091</f>
        <v>-0.56</v>
      </c>
      <c r="D5091" s="12">
        <f>if(sum(Daily_Data!K5091:L5091)&gt;0,1,0)</f>
        <v>1</v>
      </c>
    </row>
    <row r="5092">
      <c r="A5092" s="10">
        <f>Daily_Data!A5092</f>
        <v>43654</v>
      </c>
      <c r="B5092" s="11">
        <f>Daily_Data!J5092</f>
        <v>13.96</v>
      </c>
      <c r="C5092" s="11">
        <f>Daily_Data!I5092</f>
        <v>-0.57</v>
      </c>
      <c r="D5092" s="12">
        <f>if(sum(Daily_Data!K5092:L5092)&gt;0,1,0)</f>
        <v>0</v>
      </c>
    </row>
    <row r="5093">
      <c r="A5093" s="10">
        <f>Daily_Data!A5093</f>
        <v>43655</v>
      </c>
      <c r="B5093" s="11">
        <f>Daily_Data!J5093</f>
        <v>14.09</v>
      </c>
      <c r="C5093" s="11">
        <f>Daily_Data!I5093</f>
        <v>-0.6</v>
      </c>
      <c r="D5093" s="12">
        <f>if(sum(Daily_Data!K5093:L5093)&gt;0,1,0)</f>
        <v>0</v>
      </c>
    </row>
    <row r="5094">
      <c r="A5094" s="10">
        <f>Daily_Data!A5094</f>
        <v>43656</v>
      </c>
      <c r="B5094" s="11">
        <f>Daily_Data!J5094</f>
        <v>13.03</v>
      </c>
      <c r="C5094" s="11">
        <f>Daily_Data!I5094</f>
        <v>-0.49</v>
      </c>
      <c r="D5094" s="12">
        <f>if(sum(Daily_Data!K5094:L5094)&gt;0,1,0)</f>
        <v>0</v>
      </c>
    </row>
    <row r="5095">
      <c r="A5095" s="10">
        <f>Daily_Data!A5095</f>
        <v>43657</v>
      </c>
      <c r="B5095" s="11">
        <f>Daily_Data!J5095</f>
        <v>12.93</v>
      </c>
      <c r="C5095" s="11">
        <f>Daily_Data!I5095</f>
        <v>-0.53</v>
      </c>
      <c r="D5095" s="12">
        <f>if(sum(Daily_Data!K5095:L5095)&gt;0,1,0)</f>
        <v>1</v>
      </c>
    </row>
    <row r="5096">
      <c r="A5096" s="10">
        <f>Daily_Data!A5096</f>
        <v>43658</v>
      </c>
      <c r="B5096" s="11">
        <f>Daily_Data!J5096</f>
        <v>12.39</v>
      </c>
      <c r="C5096" s="11">
        <f>Daily_Data!I5096</f>
        <v>-0.49</v>
      </c>
      <c r="D5096" s="12">
        <f>if(sum(Daily_Data!K5096:L5096)&gt;0,1,0)</f>
        <v>0</v>
      </c>
    </row>
    <row r="5097">
      <c r="A5097" s="10">
        <f>Daily_Data!A5097</f>
        <v>43661</v>
      </c>
      <c r="B5097" s="11">
        <f>Daily_Data!J5097</f>
        <v>12.68</v>
      </c>
      <c r="C5097" s="11">
        <f>Daily_Data!I5097</f>
        <v>-0.46</v>
      </c>
      <c r="D5097" s="12">
        <f>if(sum(Daily_Data!K5097:L5097)&gt;0,1,0)</f>
        <v>0</v>
      </c>
    </row>
    <row r="5098">
      <c r="A5098" s="10">
        <f>Daily_Data!A5098</f>
        <v>43662</v>
      </c>
      <c r="B5098" s="11">
        <f>Daily_Data!J5098</f>
        <v>12.86</v>
      </c>
      <c r="C5098" s="11">
        <f>Daily_Data!I5098</f>
        <v>-0.53</v>
      </c>
      <c r="D5098" s="12">
        <f>if(sum(Daily_Data!K5098:L5098)&gt;0,1,0)</f>
        <v>0</v>
      </c>
    </row>
    <row r="5099">
      <c r="A5099" s="10">
        <f>Daily_Data!A5099</f>
        <v>43663</v>
      </c>
      <c r="B5099" s="11">
        <f>Daily_Data!J5099</f>
        <v>13.97</v>
      </c>
      <c r="C5099" s="11">
        <f>Daily_Data!I5099</f>
        <v>-0.49</v>
      </c>
      <c r="D5099" s="12">
        <f>if(sum(Daily_Data!K5099:L5099)&gt;0,1,0)</f>
        <v>0</v>
      </c>
    </row>
    <row r="5100">
      <c r="A5100" s="10">
        <f>Daily_Data!A5100</f>
        <v>43664</v>
      </c>
      <c r="B5100" s="11">
        <f>Daily_Data!J5100</f>
        <v>13.53</v>
      </c>
      <c r="C5100" s="11">
        <f>Daily_Data!I5100</f>
        <v>-0.44</v>
      </c>
      <c r="D5100" s="12">
        <f>if(sum(Daily_Data!K5100:L5100)&gt;0,1,0)</f>
        <v>0</v>
      </c>
    </row>
    <row r="5101">
      <c r="A5101" s="10">
        <f>Daily_Data!A5101</f>
        <v>43665</v>
      </c>
      <c r="B5101" s="11">
        <f>Daily_Data!J5101</f>
        <v>14.45</v>
      </c>
      <c r="C5101" s="11">
        <f>Daily_Data!I5101</f>
        <v>-0.47</v>
      </c>
      <c r="D5101" s="12">
        <f>if(sum(Daily_Data!K5101:L5101)&gt;0,1,0)</f>
        <v>0</v>
      </c>
    </row>
    <row r="5102">
      <c r="A5102" s="10">
        <f>Daily_Data!A5102</f>
        <v>43668</v>
      </c>
      <c r="B5102" s="11">
        <f>Daily_Data!J5102</f>
        <v>13.53</v>
      </c>
      <c r="C5102" s="11">
        <f>Daily_Data!I5102</f>
        <v>-0.48</v>
      </c>
      <c r="D5102" s="12">
        <f>if(sum(Daily_Data!K5102:L5102)&gt;0,1,0)</f>
        <v>0</v>
      </c>
    </row>
    <row r="5103">
      <c r="A5103" s="10">
        <f>Daily_Data!A5103</f>
        <v>43669</v>
      </c>
      <c r="B5103" s="11">
        <f>Daily_Data!J5103</f>
        <v>12.61</v>
      </c>
      <c r="C5103" s="11">
        <f>Daily_Data!I5103</f>
        <v>-0.52</v>
      </c>
      <c r="D5103" s="12">
        <f>if(sum(Daily_Data!K5103:L5103)&gt;0,1,0)</f>
        <v>0</v>
      </c>
    </row>
    <row r="5104">
      <c r="A5104" s="10">
        <f>Daily_Data!A5104</f>
        <v>43670</v>
      </c>
      <c r="B5104" s="11">
        <f>Daily_Data!J5104</f>
        <v>12.07</v>
      </c>
      <c r="C5104" s="11">
        <f>Daily_Data!I5104</f>
        <v>-0.53</v>
      </c>
      <c r="D5104" s="12">
        <f>if(sum(Daily_Data!K5104:L5104)&gt;0,1,0)</f>
        <v>0</v>
      </c>
    </row>
    <row r="5105">
      <c r="A5105" s="10">
        <f>Daily_Data!A5105</f>
        <v>43671</v>
      </c>
      <c r="B5105" s="11">
        <f>Daily_Data!J5105</f>
        <v>12.74</v>
      </c>
      <c r="C5105" s="11">
        <f>Daily_Data!I5105</f>
        <v>-0.59</v>
      </c>
      <c r="D5105" s="12">
        <f>if(sum(Daily_Data!K5105:L5105)&gt;0,1,0)</f>
        <v>0</v>
      </c>
    </row>
    <row r="5106">
      <c r="A5106" s="10">
        <f>Daily_Data!A5106</f>
        <v>43672</v>
      </c>
      <c r="B5106" s="11">
        <f>Daily_Data!J5106</f>
        <v>12.16</v>
      </c>
      <c r="C5106" s="11">
        <f>Daily_Data!I5106</f>
        <v>-0.6</v>
      </c>
      <c r="D5106" s="12">
        <f>if(sum(Daily_Data!K5106:L5106)&gt;0,1,0)</f>
        <v>0</v>
      </c>
    </row>
    <row r="5107">
      <c r="A5107" s="10">
        <f>Daily_Data!A5107</f>
        <v>43675</v>
      </c>
      <c r="B5107" s="11">
        <f>Daily_Data!J5107</f>
        <v>12.83</v>
      </c>
      <c r="C5107" s="11">
        <f>Daily_Data!I5107</f>
        <v>-0.61</v>
      </c>
      <c r="D5107" s="12">
        <f>if(sum(Daily_Data!K5107:L5107)&gt;0,1,0)</f>
        <v>0</v>
      </c>
    </row>
    <row r="5108">
      <c r="A5108" s="10">
        <f>Daily_Data!A5108</f>
        <v>43676</v>
      </c>
      <c r="B5108" s="11">
        <f>Daily_Data!J5108</f>
        <v>13.94</v>
      </c>
      <c r="C5108" s="11">
        <f>Daily_Data!I5108</f>
        <v>-0.61</v>
      </c>
      <c r="D5108" s="12">
        <f>if(sum(Daily_Data!K5108:L5108)&gt;0,1,0)</f>
        <v>0</v>
      </c>
    </row>
    <row r="5109">
      <c r="A5109" s="10">
        <f>Daily_Data!A5109</f>
        <v>43677</v>
      </c>
      <c r="B5109" s="11">
        <f>Daily_Data!J5109</f>
        <v>16.12</v>
      </c>
      <c r="C5109" s="11">
        <f>Daily_Data!I5109</f>
        <v>-0.66</v>
      </c>
      <c r="D5109" s="12">
        <f>if(sum(Daily_Data!K5109:L5109)&gt;0,1,0)</f>
        <v>0</v>
      </c>
    </row>
    <row r="5110">
      <c r="A5110" s="10">
        <f>Daily_Data!A5110</f>
        <v>43678</v>
      </c>
      <c r="B5110" s="11">
        <f>Daily_Data!J5110</f>
        <v>17.87</v>
      </c>
      <c r="C5110" s="11">
        <f>Daily_Data!I5110</f>
        <v>-0.48</v>
      </c>
      <c r="D5110" s="12">
        <f>if(sum(Daily_Data!K5110:L5110)&gt;0,1,0)</f>
        <v>0</v>
      </c>
    </row>
    <row r="5111">
      <c r="A5111" s="10">
        <f>Daily_Data!A5111</f>
        <v>43679</v>
      </c>
      <c r="B5111" s="11">
        <f>Daily_Data!J5111</f>
        <v>17.61</v>
      </c>
      <c r="C5111" s="11">
        <f>Daily_Data!I5111</f>
        <v>-0.52</v>
      </c>
      <c r="D5111" s="12">
        <f>if(sum(Daily_Data!K5111:L5111)&gt;0,1,0)</f>
        <v>1</v>
      </c>
    </row>
    <row r="5112">
      <c r="A5112" s="10">
        <f>Daily_Data!A5112</f>
        <v>43682</v>
      </c>
      <c r="B5112" s="11">
        <f>Daily_Data!J5112</f>
        <v>24.59</v>
      </c>
      <c r="C5112" s="11">
        <f>Daily_Data!I5112</f>
        <v>-0.42</v>
      </c>
      <c r="D5112" s="12">
        <f>if(sum(Daily_Data!K5112:L5112)&gt;0,1,0)</f>
        <v>0</v>
      </c>
    </row>
    <row r="5113">
      <c r="A5113" s="10">
        <f>Daily_Data!A5113</f>
        <v>43683</v>
      </c>
      <c r="B5113" s="11">
        <f>Daily_Data!J5113</f>
        <v>20.17</v>
      </c>
      <c r="C5113" s="11">
        <f>Daily_Data!I5113</f>
        <v>-0.42</v>
      </c>
      <c r="D5113" s="12">
        <f>if(sum(Daily_Data!K5113:L5113)&gt;0,1,0)</f>
        <v>0</v>
      </c>
    </row>
    <row r="5114">
      <c r="A5114" s="10">
        <f>Daily_Data!A5114</f>
        <v>43684</v>
      </c>
      <c r="B5114" s="11">
        <f>Daily_Data!J5114</f>
        <v>19.49</v>
      </c>
      <c r="C5114" s="11">
        <f>Daily_Data!I5114</f>
        <v>-0.59</v>
      </c>
      <c r="D5114" s="12">
        <f>if(sum(Daily_Data!K5114:L5114)&gt;0,1,0)</f>
        <v>0</v>
      </c>
    </row>
    <row r="5115">
      <c r="A5115" s="10">
        <f>Daily_Data!A5115</f>
        <v>43685</v>
      </c>
      <c r="B5115" s="11">
        <f>Daily_Data!J5115</f>
        <v>16.91</v>
      </c>
      <c r="C5115" s="11">
        <f>Daily_Data!I5115</f>
        <v>-0.65</v>
      </c>
      <c r="D5115" s="12">
        <f>if(sum(Daily_Data!K5115:L5115)&gt;0,1,0)</f>
        <v>0</v>
      </c>
    </row>
    <row r="5116">
      <c r="A5116" s="10">
        <f>Daily_Data!A5116</f>
        <v>43686</v>
      </c>
      <c r="B5116" s="11">
        <f>Daily_Data!J5116</f>
        <v>17.97</v>
      </c>
      <c r="C5116" s="11">
        <f>Daily_Data!I5116</f>
        <v>-0.65</v>
      </c>
      <c r="D5116" s="12">
        <f>if(sum(Daily_Data!K5116:L5116)&gt;0,1,0)</f>
        <v>0</v>
      </c>
    </row>
    <row r="5117">
      <c r="A5117" s="10">
        <f>Daily_Data!A5117</f>
        <v>43689</v>
      </c>
      <c r="B5117" s="11">
        <f>Daily_Data!J5117</f>
        <v>21.09</v>
      </c>
      <c r="C5117" s="11">
        <f>Daily_Data!I5117</f>
        <v>-0.61</v>
      </c>
      <c r="D5117" s="12">
        <f>if(sum(Daily_Data!K5117:L5117)&gt;0,1,0)</f>
        <v>0</v>
      </c>
    </row>
    <row r="5118">
      <c r="A5118" s="10">
        <f>Daily_Data!A5118</f>
        <v>43690</v>
      </c>
      <c r="B5118" s="11">
        <f>Daily_Data!J5118</f>
        <v>17.52</v>
      </c>
      <c r="C5118" s="11">
        <f>Daily_Data!I5118</f>
        <v>-0.69</v>
      </c>
      <c r="D5118" s="12">
        <f>if(sum(Daily_Data!K5118:L5118)&gt;0,1,0)</f>
        <v>1</v>
      </c>
    </row>
    <row r="5119">
      <c r="A5119" s="10">
        <f>Daily_Data!A5119</f>
        <v>43691</v>
      </c>
      <c r="B5119" s="11">
        <f>Daily_Data!J5119</f>
        <v>22.1</v>
      </c>
      <c r="C5119" s="11">
        <f>Daily_Data!I5119</f>
        <v>-0.61</v>
      </c>
      <c r="D5119" s="12">
        <f>if(sum(Daily_Data!K5119:L5119)&gt;0,1,0)</f>
        <v>0</v>
      </c>
    </row>
    <row r="5120">
      <c r="A5120" s="10">
        <f>Daily_Data!A5120</f>
        <v>43692</v>
      </c>
      <c r="B5120" s="11">
        <f>Daily_Data!J5120</f>
        <v>21.18</v>
      </c>
      <c r="C5120" s="11">
        <f>Daily_Data!I5120</f>
        <v>-0.54</v>
      </c>
      <c r="D5120" s="12">
        <f>if(sum(Daily_Data!K5120:L5120)&gt;0,1,0)</f>
        <v>0</v>
      </c>
    </row>
    <row r="5121">
      <c r="A5121" s="10">
        <f>Daily_Data!A5121</f>
        <v>43693</v>
      </c>
      <c r="B5121" s="11">
        <f>Daily_Data!J5121</f>
        <v>18.47</v>
      </c>
      <c r="C5121" s="11">
        <f>Daily_Data!I5121</f>
        <v>-0.56</v>
      </c>
      <c r="D5121" s="12">
        <f>if(sum(Daily_Data!K5121:L5121)&gt;0,1,0)</f>
        <v>0</v>
      </c>
    </row>
    <row r="5122">
      <c r="A5122" s="10">
        <f>Daily_Data!A5122</f>
        <v>43696</v>
      </c>
      <c r="B5122" s="11">
        <f>Daily_Data!J5122</f>
        <v>16.88</v>
      </c>
      <c r="C5122" s="11">
        <f>Daily_Data!I5122</f>
        <v>-0.59</v>
      </c>
      <c r="D5122" s="12">
        <f>if(sum(Daily_Data!K5122:L5122)&gt;0,1,0)</f>
        <v>0</v>
      </c>
    </row>
    <row r="5123">
      <c r="A5123" s="10">
        <f>Daily_Data!A5123</f>
        <v>43697</v>
      </c>
      <c r="B5123" s="11">
        <f>Daily_Data!J5123</f>
        <v>17.5</v>
      </c>
      <c r="C5123" s="11">
        <f>Daily_Data!I5123</f>
        <v>-0.55</v>
      </c>
      <c r="D5123" s="12">
        <f>if(sum(Daily_Data!K5123:L5123)&gt;0,1,0)</f>
        <v>0</v>
      </c>
    </row>
    <row r="5124">
      <c r="A5124" s="10">
        <f>Daily_Data!A5124</f>
        <v>43698</v>
      </c>
      <c r="B5124" s="11">
        <f>Daily_Data!J5124</f>
        <v>15.8</v>
      </c>
      <c r="C5124" s="11">
        <f>Daily_Data!I5124</f>
        <v>-0.63</v>
      </c>
      <c r="D5124" s="12">
        <f>if(sum(Daily_Data!K5124:L5124)&gt;0,1,0)</f>
        <v>0</v>
      </c>
    </row>
    <row r="5125">
      <c r="A5125" s="10">
        <f>Daily_Data!A5125</f>
        <v>43699</v>
      </c>
      <c r="B5125" s="11">
        <f>Daily_Data!J5125</f>
        <v>16.68</v>
      </c>
      <c r="C5125" s="11">
        <f>Daily_Data!I5125</f>
        <v>-0.67</v>
      </c>
      <c r="D5125" s="12">
        <f>if(sum(Daily_Data!K5125:L5125)&gt;0,1,0)</f>
        <v>0</v>
      </c>
    </row>
    <row r="5126">
      <c r="A5126" s="10">
        <f>Daily_Data!A5126</f>
        <v>43700</v>
      </c>
      <c r="B5126" s="11">
        <f>Daily_Data!J5126</f>
        <v>19.87</v>
      </c>
      <c r="C5126" s="11">
        <f>Daily_Data!I5126</f>
        <v>-0.54</v>
      </c>
      <c r="D5126" s="12">
        <f>if(sum(Daily_Data!K5126:L5126)&gt;0,1,0)</f>
        <v>0</v>
      </c>
    </row>
    <row r="5127">
      <c r="A5127" s="10">
        <f>Daily_Data!A5127</f>
        <v>43703</v>
      </c>
      <c r="B5127" s="11">
        <f>Daily_Data!J5127</f>
        <v>19.32</v>
      </c>
      <c r="C5127" s="11">
        <f>Daily_Data!I5127</f>
        <v>-0.6</v>
      </c>
      <c r="D5127" s="12">
        <f>if(sum(Daily_Data!K5127:L5127)&gt;0,1,0)</f>
        <v>0</v>
      </c>
    </row>
    <row r="5128">
      <c r="A5128" s="10">
        <f>Daily_Data!A5128</f>
        <v>43704</v>
      </c>
      <c r="B5128" s="11">
        <f>Daily_Data!J5128</f>
        <v>20.31</v>
      </c>
      <c r="C5128" s="11">
        <f>Daily_Data!I5128</f>
        <v>-0.58</v>
      </c>
      <c r="D5128" s="12">
        <f>if(sum(Daily_Data!K5128:L5128)&gt;0,1,0)</f>
        <v>0</v>
      </c>
    </row>
    <row r="5129">
      <c r="A5129" s="10">
        <f>Daily_Data!A5129</f>
        <v>43705</v>
      </c>
      <c r="B5129" s="11">
        <f>Daily_Data!J5129</f>
        <v>19.35</v>
      </c>
      <c r="C5129" s="11">
        <f>Daily_Data!I5129</f>
        <v>-0.56</v>
      </c>
      <c r="D5129" s="12">
        <f>if(sum(Daily_Data!K5129:L5129)&gt;0,1,0)</f>
        <v>0</v>
      </c>
    </row>
    <row r="5130">
      <c r="A5130" s="10">
        <f>Daily_Data!A5130</f>
        <v>43706</v>
      </c>
      <c r="B5130" s="11">
        <f>Daily_Data!J5130</f>
        <v>17.88</v>
      </c>
      <c r="C5130" s="11">
        <f>Daily_Data!I5130</f>
        <v>-0.61</v>
      </c>
      <c r="D5130" s="12">
        <f>if(sum(Daily_Data!K5130:L5130)&gt;0,1,0)</f>
        <v>0</v>
      </c>
    </row>
    <row r="5131">
      <c r="A5131" s="10">
        <f>Daily_Data!A5131</f>
        <v>43707</v>
      </c>
      <c r="B5131" s="11">
        <f>Daily_Data!J5131</f>
        <v>18.98</v>
      </c>
      <c r="C5131" s="11">
        <f>Daily_Data!I5131</f>
        <v>-0.59</v>
      </c>
      <c r="D5131" s="12">
        <f>if(sum(Daily_Data!K5131:L5131)&gt;0,1,0)</f>
        <v>0</v>
      </c>
    </row>
    <row r="5132">
      <c r="A5132" s="10">
        <f>Daily_Data!A5132</f>
        <v>43710</v>
      </c>
      <c r="B5132" s="11" t="str">
        <f>Daily_Data!J5132</f>
        <v/>
      </c>
      <c r="C5132" s="11" t="str">
        <f>Daily_Data!I5132</f>
        <v/>
      </c>
      <c r="D5132" s="12">
        <f>if(sum(Daily_Data!K5132:L5132)&gt;0,1,0)</f>
        <v>0</v>
      </c>
    </row>
    <row r="5133">
      <c r="A5133" s="10">
        <f>Daily_Data!A5133</f>
        <v>43711</v>
      </c>
      <c r="B5133" s="11">
        <f>Daily_Data!J5133</f>
        <v>19.66</v>
      </c>
      <c r="C5133" s="11">
        <f>Daily_Data!I5133</f>
        <v>-0.57</v>
      </c>
      <c r="D5133" s="12">
        <f>if(sum(Daily_Data!K5133:L5133)&gt;0,1,0)</f>
        <v>0</v>
      </c>
    </row>
    <row r="5134">
      <c r="A5134" s="10">
        <f>Daily_Data!A5134</f>
        <v>43712</v>
      </c>
      <c r="B5134" s="11">
        <f>Daily_Data!J5134</f>
        <v>17.33</v>
      </c>
      <c r="C5134" s="11">
        <f>Daily_Data!I5134</f>
        <v>-0.54</v>
      </c>
      <c r="D5134" s="12">
        <f>if(sum(Daily_Data!K5134:L5134)&gt;0,1,0)</f>
        <v>0</v>
      </c>
    </row>
    <row r="5135">
      <c r="A5135" s="10">
        <f>Daily_Data!A5135</f>
        <v>43713</v>
      </c>
      <c r="B5135" s="11">
        <f>Daily_Data!J5135</f>
        <v>16.27</v>
      </c>
      <c r="C5135" s="11">
        <f>Daily_Data!I5135</f>
        <v>-0.63</v>
      </c>
      <c r="D5135" s="12">
        <f>if(sum(Daily_Data!K5135:L5135)&gt;0,1,0)</f>
        <v>0</v>
      </c>
    </row>
    <row r="5136">
      <c r="A5136" s="10">
        <f>Daily_Data!A5136</f>
        <v>43714</v>
      </c>
      <c r="B5136" s="11">
        <f>Daily_Data!J5136</f>
        <v>15</v>
      </c>
      <c r="C5136" s="11">
        <f>Daily_Data!I5136</f>
        <v>-0.57</v>
      </c>
      <c r="D5136" s="12">
        <f>if(sum(Daily_Data!K5136:L5136)&gt;0,1,0)</f>
        <v>1</v>
      </c>
    </row>
    <row r="5137">
      <c r="A5137" s="10">
        <f>Daily_Data!A5137</f>
        <v>43717</v>
      </c>
      <c r="B5137" s="11">
        <f>Daily_Data!J5137</f>
        <v>15.27</v>
      </c>
      <c r="C5137" s="11">
        <f>Daily_Data!I5137</f>
        <v>-0.63</v>
      </c>
      <c r="D5137" s="12">
        <f>if(sum(Daily_Data!K5137:L5137)&gt;0,1,0)</f>
        <v>0</v>
      </c>
    </row>
    <row r="5138">
      <c r="A5138" s="10">
        <f>Daily_Data!A5138</f>
        <v>43718</v>
      </c>
      <c r="B5138" s="11">
        <f>Daily_Data!J5138</f>
        <v>15.2</v>
      </c>
      <c r="C5138" s="11">
        <f>Daily_Data!I5138</f>
        <v>-0.68</v>
      </c>
      <c r="D5138" s="12">
        <f>if(sum(Daily_Data!K5138:L5138)&gt;0,1,0)</f>
        <v>0</v>
      </c>
    </row>
    <row r="5139">
      <c r="A5139" s="10">
        <f>Daily_Data!A5139</f>
        <v>43719</v>
      </c>
      <c r="B5139" s="11">
        <f>Daily_Data!J5139</f>
        <v>14.61</v>
      </c>
      <c r="C5139" s="11">
        <f>Daily_Data!I5139</f>
        <v>-0.68</v>
      </c>
      <c r="D5139" s="12">
        <f>if(sum(Daily_Data!K5139:L5139)&gt;0,1,0)</f>
        <v>0</v>
      </c>
    </row>
    <row r="5140">
      <c r="A5140" s="10">
        <f>Daily_Data!A5140</f>
        <v>43720</v>
      </c>
      <c r="B5140" s="11">
        <f>Daily_Data!J5140</f>
        <v>14.22</v>
      </c>
      <c r="C5140" s="11">
        <f>Daily_Data!I5140</f>
        <v>-0.7</v>
      </c>
      <c r="D5140" s="12">
        <f>if(sum(Daily_Data!K5140:L5140)&gt;0,1,0)</f>
        <v>1</v>
      </c>
    </row>
    <row r="5141">
      <c r="A5141" s="10">
        <f>Daily_Data!A5141</f>
        <v>43721</v>
      </c>
      <c r="B5141" s="11">
        <f>Daily_Data!J5141</f>
        <v>13.74</v>
      </c>
      <c r="C5141" s="11">
        <f>Daily_Data!I5141</f>
        <v>-0.78</v>
      </c>
      <c r="D5141" s="12">
        <f>if(sum(Daily_Data!K5141:L5141)&gt;0,1,0)</f>
        <v>0</v>
      </c>
    </row>
    <row r="5142">
      <c r="A5142" s="10">
        <f>Daily_Data!A5142</f>
        <v>43724</v>
      </c>
      <c r="B5142" s="11">
        <f>Daily_Data!J5142</f>
        <v>14.67</v>
      </c>
      <c r="C5142" s="11">
        <f>Daily_Data!I5142</f>
        <v>-0.72</v>
      </c>
      <c r="D5142" s="12">
        <f>if(sum(Daily_Data!K5142:L5142)&gt;0,1,0)</f>
        <v>0</v>
      </c>
    </row>
    <row r="5143">
      <c r="A5143" s="10">
        <f>Daily_Data!A5143</f>
        <v>43725</v>
      </c>
      <c r="B5143" s="11">
        <f>Daily_Data!J5143</f>
        <v>14.44</v>
      </c>
      <c r="C5143" s="11">
        <f>Daily_Data!I5143</f>
        <v>-0.73</v>
      </c>
      <c r="D5143" s="12">
        <f>if(sum(Daily_Data!K5143:L5143)&gt;0,1,0)</f>
        <v>0</v>
      </c>
    </row>
    <row r="5144">
      <c r="A5144" s="10">
        <f>Daily_Data!A5144</f>
        <v>43726</v>
      </c>
      <c r="B5144" s="11">
        <f>Daily_Data!J5144</f>
        <v>13.95</v>
      </c>
      <c r="C5144" s="11">
        <f>Daily_Data!I5144</f>
        <v>-0.78</v>
      </c>
      <c r="D5144" s="12">
        <f>if(sum(Daily_Data!K5144:L5144)&gt;0,1,0)</f>
        <v>0</v>
      </c>
    </row>
    <row r="5145">
      <c r="A5145" s="10">
        <f>Daily_Data!A5145</f>
        <v>43727</v>
      </c>
      <c r="B5145" s="11">
        <f>Daily_Data!J5145</f>
        <v>14.05</v>
      </c>
      <c r="C5145" s="11">
        <f>Daily_Data!I5145</f>
        <v>-0.78</v>
      </c>
      <c r="D5145" s="12">
        <f>if(sum(Daily_Data!K5145:L5145)&gt;0,1,0)</f>
        <v>0</v>
      </c>
    </row>
    <row r="5146">
      <c r="A5146" s="10">
        <f>Daily_Data!A5146</f>
        <v>43728</v>
      </c>
      <c r="B5146" s="11">
        <f>Daily_Data!J5146</f>
        <v>15.32</v>
      </c>
      <c r="C5146" s="11">
        <f>Daily_Data!I5146</f>
        <v>-0.75</v>
      </c>
      <c r="D5146" s="12">
        <f>if(sum(Daily_Data!K5146:L5146)&gt;0,1,0)</f>
        <v>0</v>
      </c>
    </row>
    <row r="5147">
      <c r="A5147" s="10">
        <f>Daily_Data!A5147</f>
        <v>43731</v>
      </c>
      <c r="B5147" s="11">
        <f>Daily_Data!J5147</f>
        <v>14.91</v>
      </c>
      <c r="C5147" s="11">
        <f>Daily_Data!I5147</f>
        <v>-0.75</v>
      </c>
      <c r="D5147" s="12">
        <f>if(sum(Daily_Data!K5147:L5147)&gt;0,1,0)</f>
        <v>0</v>
      </c>
    </row>
    <row r="5148">
      <c r="A5148" s="10">
        <f>Daily_Data!A5148</f>
        <v>43732</v>
      </c>
      <c r="B5148" s="11">
        <f>Daily_Data!J5148</f>
        <v>17.05</v>
      </c>
      <c r="C5148" s="11">
        <f>Daily_Data!I5148</f>
        <v>-0.67</v>
      </c>
      <c r="D5148" s="12">
        <f>if(sum(Daily_Data!K5148:L5148)&gt;0,1,0)</f>
        <v>0</v>
      </c>
    </row>
    <row r="5149">
      <c r="A5149" s="10">
        <f>Daily_Data!A5149</f>
        <v>43733</v>
      </c>
      <c r="B5149" s="11">
        <f>Daily_Data!J5149</f>
        <v>15.96</v>
      </c>
      <c r="C5149" s="11">
        <f>Daily_Data!I5149</f>
        <v>-0.73</v>
      </c>
      <c r="D5149" s="12">
        <f>if(sum(Daily_Data!K5149:L5149)&gt;0,1,0)</f>
        <v>0</v>
      </c>
    </row>
    <row r="5150">
      <c r="A5150" s="10">
        <f>Daily_Data!A5150</f>
        <v>43734</v>
      </c>
      <c r="B5150" s="11">
        <f>Daily_Data!J5150</f>
        <v>16.07</v>
      </c>
      <c r="C5150" s="11">
        <f>Daily_Data!I5150</f>
        <v>-0.7</v>
      </c>
      <c r="D5150" s="12">
        <f>if(sum(Daily_Data!K5150:L5150)&gt;0,1,0)</f>
        <v>0</v>
      </c>
    </row>
    <row r="5151">
      <c r="A5151" s="10">
        <f>Daily_Data!A5151</f>
        <v>43735</v>
      </c>
      <c r="B5151" s="11">
        <f>Daily_Data!J5151</f>
        <v>17.22</v>
      </c>
      <c r="C5151" s="11">
        <f>Daily_Data!I5151</f>
        <v>-0.68</v>
      </c>
      <c r="D5151" s="12">
        <f>if(sum(Daily_Data!K5151:L5151)&gt;0,1,0)</f>
        <v>0</v>
      </c>
    </row>
    <row r="5152">
      <c r="A5152" s="10">
        <f>Daily_Data!A5152</f>
        <v>43738</v>
      </c>
      <c r="B5152" s="11">
        <f>Daily_Data!J5152</f>
        <v>16.24</v>
      </c>
      <c r="C5152" s="11">
        <f>Daily_Data!I5152</f>
        <v>-0.7</v>
      </c>
      <c r="D5152" s="12">
        <f>if(sum(Daily_Data!K5152:L5152)&gt;0,1,0)</f>
        <v>0</v>
      </c>
    </row>
    <row r="5153">
      <c r="A5153" s="10">
        <f>Daily_Data!A5153</f>
        <v>43739</v>
      </c>
      <c r="B5153" s="11">
        <f>Daily_Data!J5153</f>
        <v>18.56</v>
      </c>
      <c r="C5153" s="11">
        <f>Daily_Data!I5153</f>
        <v>-0.65</v>
      </c>
      <c r="D5153" s="12">
        <f>if(sum(Daily_Data!K5153:L5153)&gt;0,1,0)</f>
        <v>0</v>
      </c>
    </row>
    <row r="5154">
      <c r="A5154" s="10">
        <f>Daily_Data!A5154</f>
        <v>43740</v>
      </c>
      <c r="B5154" s="11">
        <f>Daily_Data!J5154</f>
        <v>20.56</v>
      </c>
      <c r="C5154" s="11">
        <f>Daily_Data!I5154</f>
        <v>-0.63</v>
      </c>
      <c r="D5154" s="12">
        <f>if(sum(Daily_Data!K5154:L5154)&gt;0,1,0)</f>
        <v>0</v>
      </c>
    </row>
    <row r="5155">
      <c r="A5155" s="10">
        <f>Daily_Data!A5155</f>
        <v>43741</v>
      </c>
      <c r="B5155" s="11">
        <f>Daily_Data!J5155</f>
        <v>19.12</v>
      </c>
      <c r="C5155" s="11">
        <f>Daily_Data!I5155</f>
        <v>-0.57</v>
      </c>
      <c r="D5155" s="12">
        <f>if(sum(Daily_Data!K5155:L5155)&gt;0,1,0)</f>
        <v>0</v>
      </c>
    </row>
    <row r="5156">
      <c r="A5156" s="10">
        <f>Daily_Data!A5156</f>
        <v>43742</v>
      </c>
      <c r="B5156" s="11">
        <f>Daily_Data!J5156</f>
        <v>17.04</v>
      </c>
      <c r="C5156" s="11">
        <f>Daily_Data!I5156</f>
        <v>-0.58</v>
      </c>
      <c r="D5156" s="12">
        <f>if(sum(Daily_Data!K5156:L5156)&gt;0,1,0)</f>
        <v>1</v>
      </c>
    </row>
    <row r="5157">
      <c r="A5157" s="10">
        <f>Daily_Data!A5157</f>
        <v>43745</v>
      </c>
      <c r="B5157" s="11">
        <f>Daily_Data!J5157</f>
        <v>17.86</v>
      </c>
      <c r="C5157" s="11">
        <f>Daily_Data!I5157</f>
        <v>-0.64</v>
      </c>
      <c r="D5157" s="12">
        <f>if(sum(Daily_Data!K5157:L5157)&gt;0,1,0)</f>
        <v>0</v>
      </c>
    </row>
    <row r="5158">
      <c r="A5158" s="10">
        <f>Daily_Data!A5158</f>
        <v>43746</v>
      </c>
      <c r="B5158" s="11">
        <f>Daily_Data!J5158</f>
        <v>20.28</v>
      </c>
      <c r="C5158" s="11">
        <f>Daily_Data!I5158</f>
        <v>-0.6</v>
      </c>
      <c r="D5158" s="12">
        <f>if(sum(Daily_Data!K5158:L5158)&gt;0,1,0)</f>
        <v>0</v>
      </c>
    </row>
    <row r="5159">
      <c r="A5159" s="10">
        <f>Daily_Data!A5159</f>
        <v>43747</v>
      </c>
      <c r="B5159" s="11">
        <f>Daily_Data!J5159</f>
        <v>18.64</v>
      </c>
      <c r="C5159" s="11">
        <f>Daily_Data!I5159</f>
        <v>-0.64</v>
      </c>
      <c r="D5159" s="12">
        <f>if(sum(Daily_Data!K5159:L5159)&gt;0,1,0)</f>
        <v>0</v>
      </c>
    </row>
    <row r="5160">
      <c r="A5160" s="10">
        <f>Daily_Data!A5160</f>
        <v>43748</v>
      </c>
      <c r="B5160" s="11">
        <f>Daily_Data!J5160</f>
        <v>17.57</v>
      </c>
      <c r="C5160" s="11">
        <f>Daily_Data!I5160</f>
        <v>-0.68</v>
      </c>
      <c r="D5160" s="12">
        <f>if(sum(Daily_Data!K5160:L5160)&gt;0,1,0)</f>
        <v>1</v>
      </c>
    </row>
    <row r="5161">
      <c r="A5161" s="10">
        <f>Daily_Data!A5161</f>
        <v>43749</v>
      </c>
      <c r="B5161" s="11">
        <f>Daily_Data!J5161</f>
        <v>15.58</v>
      </c>
      <c r="C5161" s="11">
        <f>Daily_Data!I5161</f>
        <v>-0.75</v>
      </c>
      <c r="D5161" s="12">
        <f>if(sum(Daily_Data!K5161:L5161)&gt;0,1,0)</f>
        <v>0</v>
      </c>
    </row>
    <row r="5162">
      <c r="A5162" s="10">
        <f>Daily_Data!A5162</f>
        <v>43752</v>
      </c>
      <c r="B5162" s="11">
        <f>Daily_Data!J5162</f>
        <v>14.57</v>
      </c>
      <c r="C5162" s="11" t="str">
        <f>Daily_Data!I5162</f>
        <v/>
      </c>
      <c r="D5162" s="12">
        <f>if(sum(Daily_Data!K5162:L5162)&gt;0,1,0)</f>
        <v>0</v>
      </c>
    </row>
    <row r="5163">
      <c r="A5163" s="10">
        <f>Daily_Data!A5163</f>
        <v>43753</v>
      </c>
      <c r="B5163" s="11">
        <f>Daily_Data!J5163</f>
        <v>13.54</v>
      </c>
      <c r="C5163" s="11">
        <f>Daily_Data!I5163</f>
        <v>-0.73</v>
      </c>
      <c r="D5163" s="12">
        <f>if(sum(Daily_Data!K5163:L5163)&gt;0,1,0)</f>
        <v>0</v>
      </c>
    </row>
    <row r="5164">
      <c r="A5164" s="10">
        <f>Daily_Data!A5164</f>
        <v>43754</v>
      </c>
      <c r="B5164" s="11">
        <f>Daily_Data!J5164</f>
        <v>13.68</v>
      </c>
      <c r="C5164" s="11">
        <f>Daily_Data!I5164</f>
        <v>-0.69</v>
      </c>
      <c r="D5164" s="12">
        <f>if(sum(Daily_Data!K5164:L5164)&gt;0,1,0)</f>
        <v>0</v>
      </c>
    </row>
    <row r="5165">
      <c r="A5165" s="10">
        <f>Daily_Data!A5165</f>
        <v>43755</v>
      </c>
      <c r="B5165" s="11">
        <f>Daily_Data!J5165</f>
        <v>13.79</v>
      </c>
      <c r="C5165" s="11">
        <f>Daily_Data!I5165</f>
        <v>-0.69</v>
      </c>
      <c r="D5165" s="12">
        <f>if(sum(Daily_Data!K5165:L5165)&gt;0,1,0)</f>
        <v>0</v>
      </c>
    </row>
    <row r="5166">
      <c r="A5166" s="10">
        <f>Daily_Data!A5166</f>
        <v>43756</v>
      </c>
      <c r="B5166" s="11">
        <f>Daily_Data!J5166</f>
        <v>14.25</v>
      </c>
      <c r="C5166" s="11">
        <f>Daily_Data!I5166</f>
        <v>-0.64</v>
      </c>
      <c r="D5166" s="12">
        <f>if(sum(Daily_Data!K5166:L5166)&gt;0,1,0)</f>
        <v>0</v>
      </c>
    </row>
    <row r="5167">
      <c r="A5167" s="10">
        <f>Daily_Data!A5167</f>
        <v>43759</v>
      </c>
      <c r="B5167" s="11">
        <f>Daily_Data!J5167</f>
        <v>14</v>
      </c>
      <c r="C5167" s="11">
        <f>Daily_Data!I5167</f>
        <v>-0.66</v>
      </c>
      <c r="D5167" s="12">
        <f>if(sum(Daily_Data!K5167:L5167)&gt;0,1,0)</f>
        <v>0</v>
      </c>
    </row>
    <row r="5168">
      <c r="A5168" s="10">
        <f>Daily_Data!A5168</f>
        <v>43760</v>
      </c>
      <c r="B5168" s="11">
        <f>Daily_Data!J5168</f>
        <v>14.46</v>
      </c>
      <c r="C5168" s="11">
        <f>Daily_Data!I5168</f>
        <v>-0.6</v>
      </c>
      <c r="D5168" s="12">
        <f>if(sum(Daily_Data!K5168:L5168)&gt;0,1,0)</f>
        <v>0</v>
      </c>
    </row>
    <row r="5169">
      <c r="A5169" s="10">
        <f>Daily_Data!A5169</f>
        <v>43761</v>
      </c>
      <c r="B5169" s="11">
        <f>Daily_Data!J5169</f>
        <v>14.01</v>
      </c>
      <c r="C5169" s="11">
        <f>Daily_Data!I5169</f>
        <v>-0.61</v>
      </c>
      <c r="D5169" s="12">
        <f>if(sum(Daily_Data!K5169:L5169)&gt;0,1,0)</f>
        <v>0</v>
      </c>
    </row>
    <row r="5170">
      <c r="A5170" s="10">
        <f>Daily_Data!A5170</f>
        <v>43762</v>
      </c>
      <c r="B5170" s="11">
        <f>Daily_Data!J5170</f>
        <v>13.71</v>
      </c>
      <c r="C5170" s="11">
        <f>Daily_Data!I5170</f>
        <v>-0.64</v>
      </c>
      <c r="D5170" s="12">
        <f>if(sum(Daily_Data!K5170:L5170)&gt;0,1,0)</f>
        <v>0</v>
      </c>
    </row>
    <row r="5171">
      <c r="A5171" s="10">
        <f>Daily_Data!A5171</f>
        <v>43763</v>
      </c>
      <c r="B5171" s="11">
        <f>Daily_Data!J5171</f>
        <v>12.65</v>
      </c>
      <c r="C5171" s="11">
        <f>Daily_Data!I5171</f>
        <v>-0.7</v>
      </c>
      <c r="D5171" s="12">
        <f>if(sum(Daily_Data!K5171:L5171)&gt;0,1,0)</f>
        <v>0</v>
      </c>
    </row>
    <row r="5172">
      <c r="A5172" s="10">
        <f>Daily_Data!A5172</f>
        <v>43766</v>
      </c>
      <c r="B5172" s="11">
        <f>Daily_Data!J5172</f>
        <v>13.11</v>
      </c>
      <c r="C5172" s="11" t="str">
        <f>Daily_Data!I5172</f>
        <v/>
      </c>
      <c r="D5172" s="12">
        <f>if(sum(Daily_Data!K5172:L5172)&gt;0,1,0)</f>
        <v>0</v>
      </c>
    </row>
    <row r="5173">
      <c r="A5173" s="10">
        <f>Daily_Data!A5173</f>
        <v>43767</v>
      </c>
      <c r="B5173" s="11">
        <f>Daily_Data!J5173</f>
        <v>13.2</v>
      </c>
      <c r="C5173" s="11">
        <f>Daily_Data!I5173</f>
        <v>-0.66</v>
      </c>
      <c r="D5173" s="12">
        <f>if(sum(Daily_Data!K5173:L5173)&gt;0,1,0)</f>
        <v>0</v>
      </c>
    </row>
    <row r="5174">
      <c r="A5174" s="10">
        <f>Daily_Data!A5174</f>
        <v>43768</v>
      </c>
      <c r="B5174" s="11">
        <f>Daily_Data!J5174</f>
        <v>12.33</v>
      </c>
      <c r="C5174" s="11">
        <f>Daily_Data!I5174</f>
        <v>-0.62</v>
      </c>
      <c r="D5174" s="12">
        <f>if(sum(Daily_Data!K5174:L5174)&gt;0,1,0)</f>
        <v>0</v>
      </c>
    </row>
    <row r="5175">
      <c r="A5175" s="10">
        <f>Daily_Data!A5175</f>
        <v>43769</v>
      </c>
      <c r="B5175" s="11">
        <f>Daily_Data!J5175</f>
        <v>13.22</v>
      </c>
      <c r="C5175" s="11">
        <f>Daily_Data!I5175</f>
        <v>-0.49</v>
      </c>
      <c r="D5175" s="12">
        <f>if(sum(Daily_Data!K5175:L5175)&gt;0,1,0)</f>
        <v>0</v>
      </c>
    </row>
    <row r="5176">
      <c r="A5176" s="10">
        <f>Daily_Data!A5176</f>
        <v>43770</v>
      </c>
      <c r="B5176" s="11">
        <f>Daily_Data!J5176</f>
        <v>12.3</v>
      </c>
      <c r="C5176" s="11">
        <f>Daily_Data!I5176</f>
        <v>-0.54</v>
      </c>
      <c r="D5176" s="12">
        <f>if(sum(Daily_Data!K5176:L5176)&gt;0,1,0)</f>
        <v>1</v>
      </c>
    </row>
    <row r="5177">
      <c r="A5177" s="10">
        <f>Daily_Data!A5177</f>
        <v>43773</v>
      </c>
      <c r="B5177" s="11">
        <f>Daily_Data!J5177</f>
        <v>12.83</v>
      </c>
      <c r="C5177" s="11">
        <f>Daily_Data!I5177</f>
        <v>-0.54</v>
      </c>
      <c r="D5177" s="12">
        <f>if(sum(Daily_Data!K5177:L5177)&gt;0,1,0)</f>
        <v>0</v>
      </c>
    </row>
    <row r="5178">
      <c r="A5178" s="10">
        <f>Daily_Data!A5178</f>
        <v>43774</v>
      </c>
      <c r="B5178" s="11">
        <f>Daily_Data!J5178</f>
        <v>13.1</v>
      </c>
      <c r="C5178" s="11">
        <f>Daily_Data!I5178</f>
        <v>-0.56</v>
      </c>
      <c r="D5178" s="12">
        <f>if(sum(Daily_Data!K5178:L5178)&gt;0,1,0)</f>
        <v>0</v>
      </c>
    </row>
    <row r="5179">
      <c r="A5179" s="10">
        <f>Daily_Data!A5179</f>
        <v>43775</v>
      </c>
      <c r="B5179" s="11">
        <f>Daily_Data!J5179</f>
        <v>12.62</v>
      </c>
      <c r="C5179" s="11">
        <f>Daily_Data!I5179</f>
        <v>-0.56</v>
      </c>
      <c r="D5179" s="12">
        <f>if(sum(Daily_Data!K5179:L5179)&gt;0,1,0)</f>
        <v>0</v>
      </c>
    </row>
    <row r="5180">
      <c r="A5180" s="10">
        <f>Daily_Data!A5180</f>
        <v>43776</v>
      </c>
      <c r="B5180" s="11">
        <f>Daily_Data!J5180</f>
        <v>12.73</v>
      </c>
      <c r="C5180" s="11">
        <f>Daily_Data!I5180</f>
        <v>-0.66</v>
      </c>
      <c r="D5180" s="12">
        <f>if(sum(Daily_Data!K5180:L5180)&gt;0,1,0)</f>
        <v>0</v>
      </c>
    </row>
    <row r="5181">
      <c r="A5181" s="10">
        <f>Daily_Data!A5181</f>
        <v>43777</v>
      </c>
      <c r="B5181" s="11">
        <f>Daily_Data!J5181</f>
        <v>12.07</v>
      </c>
      <c r="C5181" s="11">
        <f>Daily_Data!I5181</f>
        <v>-0.63</v>
      </c>
      <c r="D5181" s="12">
        <f>if(sum(Daily_Data!K5181:L5181)&gt;0,1,0)</f>
        <v>0</v>
      </c>
    </row>
    <row r="5182">
      <c r="A5182" s="10">
        <f>Daily_Data!A5182</f>
        <v>43780</v>
      </c>
      <c r="B5182" s="11">
        <f>Daily_Data!J5182</f>
        <v>12.69</v>
      </c>
      <c r="C5182" s="11" t="str">
        <f>Daily_Data!I5182</f>
        <v/>
      </c>
      <c r="D5182" s="12">
        <f>if(sum(Daily_Data!K5182:L5182)&gt;0,1,0)</f>
        <v>0</v>
      </c>
    </row>
    <row r="5183">
      <c r="A5183" s="10">
        <f>Daily_Data!A5183</f>
        <v>43781</v>
      </c>
      <c r="B5183" s="11">
        <f>Daily_Data!J5183</f>
        <v>12.68</v>
      </c>
      <c r="C5183" s="11">
        <f>Daily_Data!I5183</f>
        <v>-0.62</v>
      </c>
      <c r="D5183" s="12">
        <f>if(sum(Daily_Data!K5183:L5183)&gt;0,1,0)</f>
        <v>0</v>
      </c>
    </row>
    <row r="5184">
      <c r="A5184" s="10">
        <f>Daily_Data!A5184</f>
        <v>43782</v>
      </c>
      <c r="B5184" s="11">
        <f>Daily_Data!J5184</f>
        <v>13</v>
      </c>
      <c r="C5184" s="11">
        <f>Daily_Data!I5184</f>
        <v>-0.43</v>
      </c>
      <c r="D5184" s="12">
        <f>if(sum(Daily_Data!K5184:L5184)&gt;0,1,0)</f>
        <v>1</v>
      </c>
    </row>
    <row r="5185">
      <c r="A5185" s="10">
        <f>Daily_Data!A5185</f>
        <v>43783</v>
      </c>
      <c r="B5185" s="11">
        <f>Daily_Data!J5185</f>
        <v>13.05</v>
      </c>
      <c r="C5185" s="11">
        <f>Daily_Data!I5185</f>
        <v>-0.41</v>
      </c>
      <c r="D5185" s="12">
        <f>if(sum(Daily_Data!K5185:L5185)&gt;0,1,0)</f>
        <v>0</v>
      </c>
    </row>
    <row r="5186">
      <c r="A5186" s="10">
        <f>Daily_Data!A5186</f>
        <v>43784</v>
      </c>
      <c r="B5186" s="11">
        <f>Daily_Data!J5186</f>
        <v>12.05</v>
      </c>
      <c r="C5186" s="11">
        <f>Daily_Data!I5186</f>
        <v>-0.43</v>
      </c>
      <c r="D5186" s="12">
        <f>if(sum(Daily_Data!K5186:L5186)&gt;0,1,0)</f>
        <v>0</v>
      </c>
    </row>
    <row r="5187">
      <c r="A5187" s="10">
        <f>Daily_Data!A5187</f>
        <v>43787</v>
      </c>
      <c r="B5187" s="11">
        <f>Daily_Data!J5187</f>
        <v>12.46</v>
      </c>
      <c r="C5187" s="11">
        <f>Daily_Data!I5187</f>
        <v>-0.43</v>
      </c>
      <c r="D5187" s="12">
        <f>if(sum(Daily_Data!K5187:L5187)&gt;0,1,0)</f>
        <v>0</v>
      </c>
    </row>
    <row r="5188">
      <c r="A5188" s="10">
        <f>Daily_Data!A5188</f>
        <v>43788</v>
      </c>
      <c r="B5188" s="11">
        <f>Daily_Data!J5188</f>
        <v>12.86</v>
      </c>
      <c r="C5188" s="11">
        <f>Daily_Data!I5188</f>
        <v>-0.45</v>
      </c>
      <c r="D5188" s="12">
        <f>if(sum(Daily_Data!K5188:L5188)&gt;0,1,0)</f>
        <v>0</v>
      </c>
    </row>
    <row r="5189">
      <c r="A5189" s="10">
        <f>Daily_Data!A5189</f>
        <v>43789</v>
      </c>
      <c r="B5189" s="11">
        <f>Daily_Data!J5189</f>
        <v>12.78</v>
      </c>
      <c r="C5189" s="11">
        <f>Daily_Data!I5189</f>
        <v>-0.42</v>
      </c>
      <c r="D5189" s="12">
        <f>if(sum(Daily_Data!K5189:L5189)&gt;0,1,0)</f>
        <v>0</v>
      </c>
    </row>
    <row r="5190">
      <c r="A5190" s="10">
        <f>Daily_Data!A5190</f>
        <v>43790</v>
      </c>
      <c r="B5190" s="11">
        <f>Daily_Data!J5190</f>
        <v>13.13</v>
      </c>
      <c r="C5190" s="11">
        <f>Daily_Data!I5190</f>
        <v>-0.47</v>
      </c>
      <c r="D5190" s="12">
        <f>if(sum(Daily_Data!K5190:L5190)&gt;0,1,0)</f>
        <v>0</v>
      </c>
    </row>
    <row r="5191">
      <c r="A5191" s="10">
        <f>Daily_Data!A5191</f>
        <v>43791</v>
      </c>
      <c r="B5191" s="11">
        <f>Daily_Data!J5191</f>
        <v>12.34</v>
      </c>
      <c r="C5191" s="11">
        <f>Daily_Data!I5191</f>
        <v>-0.47</v>
      </c>
      <c r="D5191" s="12">
        <f>if(sum(Daily_Data!K5191:L5191)&gt;0,1,0)</f>
        <v>0</v>
      </c>
    </row>
    <row r="5192">
      <c r="A5192" s="10">
        <f>Daily_Data!A5192</f>
        <v>43794</v>
      </c>
      <c r="B5192" s="11">
        <f>Daily_Data!J5192</f>
        <v>11.87</v>
      </c>
      <c r="C5192" s="11">
        <f>Daily_Data!I5192</f>
        <v>-0.48</v>
      </c>
      <c r="D5192" s="12">
        <f>if(sum(Daily_Data!K5192:L5192)&gt;0,1,0)</f>
        <v>0</v>
      </c>
    </row>
    <row r="5193">
      <c r="A5193" s="10">
        <f>Daily_Data!A5193</f>
        <v>43795</v>
      </c>
      <c r="B5193" s="11">
        <f>Daily_Data!J5193</f>
        <v>11.54</v>
      </c>
      <c r="C5193" s="11">
        <f>Daily_Data!I5193</f>
        <v>-0.44</v>
      </c>
      <c r="D5193" s="12">
        <f>if(sum(Daily_Data!K5193:L5193)&gt;0,1,0)</f>
        <v>0</v>
      </c>
    </row>
    <row r="5194">
      <c r="A5194" s="10">
        <f>Daily_Data!A5194</f>
        <v>43796</v>
      </c>
      <c r="B5194" s="11">
        <f>Daily_Data!J5194</f>
        <v>11.75</v>
      </c>
      <c r="C5194" s="11">
        <f>Daily_Data!I5194</f>
        <v>-0.51</v>
      </c>
      <c r="D5194" s="12">
        <f>if(sum(Daily_Data!K5194:L5194)&gt;0,1,0)</f>
        <v>0</v>
      </c>
    </row>
    <row r="5195">
      <c r="A5195" s="10">
        <f>Daily_Data!A5195</f>
        <v>43797</v>
      </c>
      <c r="B5195" s="11" t="str">
        <f>Daily_Data!J5195</f>
        <v/>
      </c>
      <c r="C5195" s="11" t="str">
        <f>Daily_Data!I5195</f>
        <v/>
      </c>
      <c r="D5195" s="12">
        <f>if(sum(Daily_Data!K5195:L5195)&gt;0,1,0)</f>
        <v>0</v>
      </c>
    </row>
    <row r="5196">
      <c r="A5196" s="10">
        <f>Daily_Data!A5196</f>
        <v>43798</v>
      </c>
      <c r="B5196" s="11">
        <f>Daily_Data!J5196</f>
        <v>12.62</v>
      </c>
      <c r="C5196" s="11">
        <f>Daily_Data!I5196</f>
        <v>-0.48</v>
      </c>
      <c r="D5196" s="12">
        <f>if(sum(Daily_Data!K5196:L5196)&gt;0,1,0)</f>
        <v>0</v>
      </c>
    </row>
    <row r="5197">
      <c r="A5197" s="10">
        <f>Daily_Data!A5197</f>
        <v>43801</v>
      </c>
      <c r="B5197" s="11">
        <f>Daily_Data!J5197</f>
        <v>14.91</v>
      </c>
      <c r="C5197" s="11">
        <f>Daily_Data!I5197</f>
        <v>-0.43</v>
      </c>
      <c r="D5197" s="12">
        <f>if(sum(Daily_Data!K5197:L5197)&gt;0,1,0)</f>
        <v>0</v>
      </c>
    </row>
    <row r="5198">
      <c r="A5198" s="10">
        <f>Daily_Data!A5198</f>
        <v>43802</v>
      </c>
      <c r="B5198" s="11">
        <f>Daily_Data!J5198</f>
        <v>15.96</v>
      </c>
      <c r="C5198" s="11">
        <f>Daily_Data!I5198</f>
        <v>-0.33</v>
      </c>
      <c r="D5198" s="12">
        <f>if(sum(Daily_Data!K5198:L5198)&gt;0,1,0)</f>
        <v>0</v>
      </c>
    </row>
    <row r="5199">
      <c r="A5199" s="10">
        <f>Daily_Data!A5199</f>
        <v>43803</v>
      </c>
      <c r="B5199" s="11">
        <f>Daily_Data!J5199</f>
        <v>14.8</v>
      </c>
      <c r="C5199" s="11">
        <f>Daily_Data!I5199</f>
        <v>-0.41</v>
      </c>
      <c r="D5199" s="12">
        <f>if(sum(Daily_Data!K5199:L5199)&gt;0,1,0)</f>
        <v>0</v>
      </c>
    </row>
    <row r="5200">
      <c r="A5200" s="10">
        <f>Daily_Data!A5200</f>
        <v>43804</v>
      </c>
      <c r="B5200" s="11">
        <f>Daily_Data!J5200</f>
        <v>14.52</v>
      </c>
      <c r="C5200" s="11">
        <f>Daily_Data!I5200</f>
        <v>-0.38</v>
      </c>
      <c r="D5200" s="12">
        <f>if(sum(Daily_Data!K5200:L5200)&gt;0,1,0)</f>
        <v>0</v>
      </c>
    </row>
    <row r="5201">
      <c r="A5201" s="10">
        <f>Daily_Data!A5201</f>
        <v>43805</v>
      </c>
      <c r="B5201" s="11">
        <f>Daily_Data!J5201</f>
        <v>13.62</v>
      </c>
      <c r="C5201" s="11">
        <f>Daily_Data!I5201</f>
        <v>-0.37</v>
      </c>
      <c r="D5201" s="12">
        <f>if(sum(Daily_Data!K5201:L5201)&gt;0,1,0)</f>
        <v>1</v>
      </c>
    </row>
    <row r="5202">
      <c r="A5202" s="10">
        <f>Daily_Data!A5202</f>
        <v>43808</v>
      </c>
      <c r="B5202" s="11">
        <f>Daily_Data!J5202</f>
        <v>15.86</v>
      </c>
      <c r="C5202" s="11">
        <f>Daily_Data!I5202</f>
        <v>-0.39</v>
      </c>
      <c r="D5202" s="12">
        <f>if(sum(Daily_Data!K5202:L5202)&gt;0,1,0)</f>
        <v>0</v>
      </c>
    </row>
    <row r="5203">
      <c r="A5203" s="10">
        <f>Daily_Data!A5203</f>
        <v>43809</v>
      </c>
      <c r="B5203" s="11">
        <f>Daily_Data!J5203</f>
        <v>15.68</v>
      </c>
      <c r="C5203" s="11">
        <f>Daily_Data!I5203</f>
        <v>-0.43</v>
      </c>
      <c r="D5203" s="12">
        <f>if(sum(Daily_Data!K5203:L5203)&gt;0,1,0)</f>
        <v>0</v>
      </c>
    </row>
    <row r="5204">
      <c r="A5204" s="10">
        <f>Daily_Data!A5204</f>
        <v>43810</v>
      </c>
      <c r="B5204" s="11">
        <f>Daily_Data!J5204</f>
        <v>14.99</v>
      </c>
      <c r="C5204" s="11">
        <f>Daily_Data!I5204</f>
        <v>-0.4</v>
      </c>
      <c r="D5204" s="12">
        <f>if(sum(Daily_Data!K5204:L5204)&gt;0,1,0)</f>
        <v>1</v>
      </c>
    </row>
    <row r="5205">
      <c r="A5205" s="10">
        <f>Daily_Data!A5205</f>
        <v>43811</v>
      </c>
      <c r="B5205" s="11">
        <f>Daily_Data!J5205</f>
        <v>13.94</v>
      </c>
      <c r="C5205" s="11">
        <f>Daily_Data!I5205</f>
        <v>-0.46</v>
      </c>
      <c r="D5205" s="12">
        <f>if(sum(Daily_Data!K5205:L5205)&gt;0,1,0)</f>
        <v>0</v>
      </c>
    </row>
    <row r="5206">
      <c r="A5206" s="10">
        <f>Daily_Data!A5206</f>
        <v>43812</v>
      </c>
      <c r="B5206" s="11">
        <f>Daily_Data!J5206</f>
        <v>12.63</v>
      </c>
      <c r="C5206" s="11">
        <f>Daily_Data!I5206</f>
        <v>-0.37</v>
      </c>
      <c r="D5206" s="12">
        <f>if(sum(Daily_Data!K5206:L5206)&gt;0,1,0)</f>
        <v>0</v>
      </c>
    </row>
    <row r="5207">
      <c r="A5207" s="10">
        <f>Daily_Data!A5207</f>
        <v>43815</v>
      </c>
      <c r="B5207" s="11">
        <f>Daily_Data!J5207</f>
        <v>12.14</v>
      </c>
      <c r="C5207" s="11">
        <f>Daily_Data!I5207</f>
        <v>-0.43</v>
      </c>
      <c r="D5207" s="12">
        <f>if(sum(Daily_Data!K5207:L5207)&gt;0,1,0)</f>
        <v>0</v>
      </c>
    </row>
    <row r="5208">
      <c r="A5208" s="10">
        <f>Daily_Data!A5208</f>
        <v>43816</v>
      </c>
      <c r="B5208" s="11">
        <f>Daily_Data!J5208</f>
        <v>12.29</v>
      </c>
      <c r="C5208" s="11">
        <f>Daily_Data!I5208</f>
        <v>-0.41</v>
      </c>
      <c r="D5208" s="12">
        <f>if(sum(Daily_Data!K5208:L5208)&gt;0,1,0)</f>
        <v>0</v>
      </c>
    </row>
    <row r="5209">
      <c r="A5209" s="10">
        <f>Daily_Data!A5209</f>
        <v>43817</v>
      </c>
      <c r="B5209" s="11">
        <f>Daily_Data!J5209</f>
        <v>12.58</v>
      </c>
      <c r="C5209" s="11">
        <f>Daily_Data!I5209</f>
        <v>-0.39</v>
      </c>
      <c r="D5209" s="12">
        <f>if(sum(Daily_Data!K5209:L5209)&gt;0,1,0)</f>
        <v>0</v>
      </c>
    </row>
    <row r="5210">
      <c r="A5210" s="10">
        <f>Daily_Data!A5210</f>
        <v>43818</v>
      </c>
      <c r="B5210" s="11">
        <f>Daily_Data!J5210</f>
        <v>12.5</v>
      </c>
      <c r="C5210" s="11">
        <f>Daily_Data!I5210</f>
        <v>-0.37</v>
      </c>
      <c r="D5210" s="12">
        <f>if(sum(Daily_Data!K5210:L5210)&gt;0,1,0)</f>
        <v>0</v>
      </c>
    </row>
    <row r="5211">
      <c r="A5211" s="10">
        <f>Daily_Data!A5211</f>
        <v>43819</v>
      </c>
      <c r="B5211" s="11">
        <f>Daily_Data!J5211</f>
        <v>12.51</v>
      </c>
      <c r="C5211" s="11">
        <f>Daily_Data!I5211</f>
        <v>-0.37</v>
      </c>
      <c r="D5211" s="12">
        <f>if(sum(Daily_Data!K5211:L5211)&gt;0,1,0)</f>
        <v>0</v>
      </c>
    </row>
    <row r="5212">
      <c r="A5212" s="10">
        <f>Daily_Data!A5212</f>
        <v>43822</v>
      </c>
      <c r="B5212" s="11">
        <f>Daily_Data!J5212</f>
        <v>12.61</v>
      </c>
      <c r="C5212" s="11">
        <f>Daily_Data!I5212</f>
        <v>-0.39</v>
      </c>
      <c r="D5212" s="12">
        <f>if(sum(Daily_Data!K5212:L5212)&gt;0,1,0)</f>
        <v>0</v>
      </c>
    </row>
    <row r="5213">
      <c r="A5213" s="10">
        <f>Daily_Data!A5213</f>
        <v>43823</v>
      </c>
      <c r="B5213" s="11">
        <f>Daily_Data!J5213</f>
        <v>12.67</v>
      </c>
      <c r="C5213" s="11">
        <f>Daily_Data!I5213</f>
        <v>-0.36</v>
      </c>
      <c r="D5213" s="12">
        <f>if(sum(Daily_Data!K5213:L5213)&gt;0,1,0)</f>
        <v>0</v>
      </c>
    </row>
    <row r="5214">
      <c r="A5214" s="10">
        <f>Daily_Data!A5214</f>
        <v>43824</v>
      </c>
      <c r="B5214" s="11" t="str">
        <f>Daily_Data!J5214</f>
        <v/>
      </c>
      <c r="C5214" s="11" t="str">
        <f>Daily_Data!I5214</f>
        <v/>
      </c>
      <c r="D5214" s="12">
        <f>if(sum(Daily_Data!K5214:L5214)&gt;0,1,0)</f>
        <v>0</v>
      </c>
    </row>
    <row r="5215">
      <c r="A5215" s="10">
        <f>Daily_Data!A5215</f>
        <v>43825</v>
      </c>
      <c r="B5215" s="11">
        <f>Daily_Data!J5215</f>
        <v>12.65</v>
      </c>
      <c r="C5215" s="11" t="str">
        <f>Daily_Data!I5215</f>
        <v/>
      </c>
      <c r="D5215" s="12">
        <f>if(sum(Daily_Data!K5215:L5215)&gt;0,1,0)</f>
        <v>0</v>
      </c>
    </row>
    <row r="5216">
      <c r="A5216" s="10">
        <f>Daily_Data!A5216</f>
        <v>43826</v>
      </c>
      <c r="B5216" s="11">
        <f>Daily_Data!J5216</f>
        <v>13.43</v>
      </c>
      <c r="C5216" s="11">
        <f>Daily_Data!I5216</f>
        <v>-0.33</v>
      </c>
      <c r="D5216" s="12">
        <f>if(sum(Daily_Data!K5216:L5216)&gt;0,1,0)</f>
        <v>0</v>
      </c>
    </row>
    <row r="5217">
      <c r="A5217" s="10">
        <f>Daily_Data!A5217</f>
        <v>43829</v>
      </c>
      <c r="B5217" s="11">
        <f>Daily_Data!J5217</f>
        <v>14.82</v>
      </c>
      <c r="C5217" s="11">
        <f>Daily_Data!I5217</f>
        <v>-0.32</v>
      </c>
      <c r="D5217" s="12">
        <f>if(sum(Daily_Data!K5217:L5217)&gt;0,1,0)</f>
        <v>0</v>
      </c>
    </row>
    <row r="5218">
      <c r="A5218" s="10">
        <f>Daily_Data!A5218</f>
        <v>43830</v>
      </c>
      <c r="B5218" s="11">
        <f>Daily_Data!J5218</f>
        <v>13.78</v>
      </c>
      <c r="C5218" s="11">
        <f>Daily_Data!I5218</f>
        <v>-0.32</v>
      </c>
      <c r="D5218" s="12">
        <f>if(sum(Daily_Data!K5218:L5218)&gt;0,1,0)</f>
        <v>0</v>
      </c>
    </row>
    <row r="5219">
      <c r="A5219" s="10">
        <f>Daily_Data!A5219</f>
        <v>43831</v>
      </c>
      <c r="B5219" s="11" t="str">
        <f>Daily_Data!J5219</f>
        <v/>
      </c>
      <c r="C5219" s="11" t="str">
        <f>Daily_Data!I5219</f>
        <v/>
      </c>
      <c r="D5219" s="12">
        <f>if(sum(Daily_Data!K5219:L5219)&gt;0,1,0)</f>
        <v>0</v>
      </c>
    </row>
    <row r="5220">
      <c r="A5220" s="10">
        <f>Daily_Data!A5220</f>
        <v>43832</v>
      </c>
      <c r="B5220" s="11">
        <f>Daily_Data!J5220</f>
        <v>12.47</v>
      </c>
      <c r="C5220" s="11" t="str">
        <f>Daily_Data!I5220</f>
        <v/>
      </c>
      <c r="D5220" s="12">
        <f>if(sum(Daily_Data!K5220:L5220)&gt;0,1,0)</f>
        <v>0</v>
      </c>
    </row>
    <row r="5221">
      <c r="A5221" s="10">
        <f>Daily_Data!A5221</f>
        <v>43833</v>
      </c>
      <c r="B5221" s="11">
        <f>Daily_Data!J5221</f>
        <v>14.02</v>
      </c>
      <c r="C5221" s="11">
        <f>Daily_Data!I5221</f>
        <v>-0.31</v>
      </c>
      <c r="D5221" s="12">
        <f>if(sum(Daily_Data!K5221:L5221)&gt;0,1,0)</f>
        <v>0</v>
      </c>
    </row>
    <row r="5222">
      <c r="A5222" s="10">
        <f>Daily_Data!A5222</f>
        <v>43836</v>
      </c>
      <c r="B5222" s="11">
        <f>Daily_Data!J5222</f>
        <v>13.85</v>
      </c>
      <c r="C5222" s="11">
        <f>Daily_Data!I5222</f>
        <v>-0.34</v>
      </c>
      <c r="D5222" s="12">
        <f>if(sum(Daily_Data!K5222:L5222)&gt;0,1,0)</f>
        <v>0</v>
      </c>
    </row>
    <row r="5223">
      <c r="A5223" s="10">
        <f>Daily_Data!A5223</f>
        <v>43837</v>
      </c>
      <c r="B5223" s="11">
        <f>Daily_Data!J5223</f>
        <v>13.79</v>
      </c>
      <c r="C5223" s="11">
        <f>Daily_Data!I5223</f>
        <v>-0.36</v>
      </c>
      <c r="D5223" s="12">
        <f>if(sum(Daily_Data!K5223:L5223)&gt;0,1,0)</f>
        <v>0</v>
      </c>
    </row>
    <row r="5224">
      <c r="A5224" s="10">
        <f>Daily_Data!A5224</f>
        <v>43838</v>
      </c>
      <c r="B5224" s="11">
        <f>Daily_Data!J5224</f>
        <v>13.45</v>
      </c>
      <c r="C5224" s="11">
        <f>Daily_Data!I5224</f>
        <v>-0.41</v>
      </c>
      <c r="D5224" s="12">
        <f>if(sum(Daily_Data!K5224:L5224)&gt;0,1,0)</f>
        <v>0</v>
      </c>
    </row>
    <row r="5225">
      <c r="A5225" s="10">
        <f>Daily_Data!A5225</f>
        <v>43839</v>
      </c>
      <c r="B5225" s="11">
        <f>Daily_Data!J5225</f>
        <v>12.54</v>
      </c>
      <c r="C5225" s="11">
        <f>Daily_Data!I5225</f>
        <v>-0.41</v>
      </c>
      <c r="D5225" s="12">
        <f>if(sum(Daily_Data!K5225:L5225)&gt;0,1,0)</f>
        <v>0</v>
      </c>
    </row>
    <row r="5226">
      <c r="A5226" s="10">
        <f>Daily_Data!A5226</f>
        <v>43840</v>
      </c>
      <c r="B5226" s="11">
        <f>Daily_Data!J5226</f>
        <v>12.56</v>
      </c>
      <c r="C5226" s="11">
        <f>Daily_Data!I5226</f>
        <v>-0.38</v>
      </c>
      <c r="D5226" s="12">
        <f>if(sum(Daily_Data!K5226:L5226)&gt;0,1,0)</f>
        <v>1</v>
      </c>
    </row>
    <row r="5227">
      <c r="A5227" s="10">
        <f>Daily_Data!A5227</f>
        <v>43843</v>
      </c>
      <c r="B5227" s="11">
        <f>Daily_Data!J5227</f>
        <v>12.32</v>
      </c>
      <c r="C5227" s="11">
        <f>Daily_Data!I5227</f>
        <v>-0.41</v>
      </c>
      <c r="D5227" s="12">
        <f>if(sum(Daily_Data!K5227:L5227)&gt;0,1,0)</f>
        <v>0</v>
      </c>
    </row>
    <row r="5228">
      <c r="A5228" s="10">
        <f>Daily_Data!A5228</f>
        <v>43844</v>
      </c>
      <c r="B5228" s="11">
        <f>Daily_Data!J5228</f>
        <v>12.39</v>
      </c>
      <c r="C5228" s="11">
        <f>Daily_Data!I5228</f>
        <v>-0.39</v>
      </c>
      <c r="D5228" s="12">
        <f>if(sum(Daily_Data!K5228:L5228)&gt;0,1,0)</f>
        <v>1</v>
      </c>
    </row>
    <row r="5229">
      <c r="A5229" s="10">
        <f>Daily_Data!A5229</f>
        <v>43845</v>
      </c>
      <c r="B5229" s="11">
        <f>Daily_Data!J5229</f>
        <v>12.42</v>
      </c>
      <c r="C5229" s="11">
        <f>Daily_Data!I5229</f>
        <v>-0.37</v>
      </c>
      <c r="D5229" s="12">
        <f>if(sum(Daily_Data!K5229:L5229)&gt;0,1,0)</f>
        <v>0</v>
      </c>
    </row>
    <row r="5230">
      <c r="A5230" s="10">
        <f>Daily_Data!A5230</f>
        <v>43846</v>
      </c>
      <c r="B5230" s="11">
        <f>Daily_Data!J5230</f>
        <v>12.32</v>
      </c>
      <c r="C5230" s="11">
        <f>Daily_Data!I5230</f>
        <v>-0.38</v>
      </c>
      <c r="D5230" s="12">
        <f>if(sum(Daily_Data!K5230:L5230)&gt;0,1,0)</f>
        <v>0</v>
      </c>
    </row>
    <row r="5231">
      <c r="A5231" s="10">
        <f>Daily_Data!A5231</f>
        <v>43847</v>
      </c>
      <c r="B5231" s="11">
        <f>Daily_Data!J5231</f>
        <v>12.1</v>
      </c>
      <c r="C5231" s="11">
        <f>Daily_Data!I5231</f>
        <v>-0.37</v>
      </c>
      <c r="D5231" s="12">
        <f>if(sum(Daily_Data!K5231:L5231)&gt;0,1,0)</f>
        <v>0</v>
      </c>
    </row>
    <row r="5232">
      <c r="A5232" s="10">
        <f>Daily_Data!A5232</f>
        <v>43850</v>
      </c>
      <c r="B5232" s="11" t="str">
        <f>Daily_Data!J5232</f>
        <v/>
      </c>
      <c r="C5232" s="11" t="str">
        <f>Daily_Data!I5232</f>
        <v/>
      </c>
      <c r="D5232" s="12">
        <f>if(sum(Daily_Data!K5232:L5232)&gt;0,1,0)</f>
        <v>0</v>
      </c>
    </row>
    <row r="5233">
      <c r="A5233" s="10">
        <f>Daily_Data!A5233</f>
        <v>43851</v>
      </c>
      <c r="B5233" s="11">
        <f>Daily_Data!J5233</f>
        <v>12.85</v>
      </c>
      <c r="C5233" s="11">
        <f>Daily_Data!I5233</f>
        <v>-0.31</v>
      </c>
      <c r="D5233" s="12">
        <f>if(sum(Daily_Data!K5233:L5233)&gt;0,1,0)</f>
        <v>0</v>
      </c>
    </row>
    <row r="5234">
      <c r="A5234" s="10">
        <f>Daily_Data!A5234</f>
        <v>43852</v>
      </c>
      <c r="B5234" s="11">
        <f>Daily_Data!J5234</f>
        <v>12.91</v>
      </c>
      <c r="C5234" s="11">
        <f>Daily_Data!I5234</f>
        <v>-0.33</v>
      </c>
      <c r="D5234" s="12">
        <f>if(sum(Daily_Data!K5234:L5234)&gt;0,1,0)</f>
        <v>0</v>
      </c>
    </row>
    <row r="5235">
      <c r="A5235" s="10">
        <f>Daily_Data!A5235</f>
        <v>43853</v>
      </c>
      <c r="B5235" s="11">
        <f>Daily_Data!J5235</f>
        <v>12.98</v>
      </c>
      <c r="C5235" s="11">
        <f>Daily_Data!I5235</f>
        <v>-0.3</v>
      </c>
      <c r="D5235" s="12">
        <f>if(sum(Daily_Data!K5235:L5235)&gt;0,1,0)</f>
        <v>0</v>
      </c>
    </row>
    <row r="5236">
      <c r="A5236" s="10">
        <f>Daily_Data!A5236</f>
        <v>43854</v>
      </c>
      <c r="B5236" s="11">
        <f>Daily_Data!J5236</f>
        <v>14.56</v>
      </c>
      <c r="C5236" s="11">
        <f>Daily_Data!I5236</f>
        <v>-0.26</v>
      </c>
      <c r="D5236" s="12">
        <f>if(sum(Daily_Data!K5236:L5236)&gt;0,1,0)</f>
        <v>0</v>
      </c>
    </row>
    <row r="5237">
      <c r="A5237" s="10">
        <f>Daily_Data!A5237</f>
        <v>43857</v>
      </c>
      <c r="B5237" s="11">
        <f>Daily_Data!J5237</f>
        <v>18.23</v>
      </c>
      <c r="C5237" s="11">
        <f>Daily_Data!I5237</f>
        <v>-0.21</v>
      </c>
      <c r="D5237" s="12">
        <f>if(sum(Daily_Data!K5237:L5237)&gt;0,1,0)</f>
        <v>0</v>
      </c>
    </row>
    <row r="5238">
      <c r="A5238" s="10">
        <f>Daily_Data!A5238</f>
        <v>43858</v>
      </c>
      <c r="B5238" s="11">
        <f>Daily_Data!J5238</f>
        <v>16.28</v>
      </c>
      <c r="C5238" s="11">
        <f>Daily_Data!I5238</f>
        <v>-0.31</v>
      </c>
      <c r="D5238" s="12">
        <f>if(sum(Daily_Data!K5238:L5238)&gt;0,1,0)</f>
        <v>0</v>
      </c>
    </row>
    <row r="5239">
      <c r="A5239" s="10">
        <f>Daily_Data!A5239</f>
        <v>43859</v>
      </c>
      <c r="B5239" s="11">
        <f>Daily_Data!J5239</f>
        <v>16.39</v>
      </c>
      <c r="C5239" s="11">
        <f>Daily_Data!I5239</f>
        <v>-0.28</v>
      </c>
      <c r="D5239" s="12">
        <f>if(sum(Daily_Data!K5239:L5239)&gt;0,1,0)</f>
        <v>0</v>
      </c>
    </row>
    <row r="5240">
      <c r="A5240" s="10">
        <f>Daily_Data!A5240</f>
        <v>43860</v>
      </c>
      <c r="B5240" s="11">
        <f>Daily_Data!J5240</f>
        <v>15.49</v>
      </c>
      <c r="C5240" s="11">
        <f>Daily_Data!I5240</f>
        <v>-0.28</v>
      </c>
      <c r="D5240" s="12">
        <f>if(sum(Daily_Data!K5240:L5240)&gt;0,1,0)</f>
        <v>0</v>
      </c>
    </row>
    <row r="5241">
      <c r="A5241" s="10">
        <f>Daily_Data!A5241</f>
        <v>43861</v>
      </c>
      <c r="B5241" s="11">
        <f>Daily_Data!J5241</f>
        <v>18.84</v>
      </c>
      <c r="C5241" s="11">
        <f>Daily_Data!I5241</f>
        <v>-0.21</v>
      </c>
      <c r="D5241" s="12">
        <f>if(sum(Daily_Data!K5241:L5241)&gt;0,1,0)</f>
        <v>0</v>
      </c>
    </row>
    <row r="5242">
      <c r="A5242" s="10">
        <f>Daily_Data!A5242</f>
        <v>43864</v>
      </c>
      <c r="B5242" s="11">
        <f>Daily_Data!J5242</f>
        <v>17.97</v>
      </c>
      <c r="C5242" s="11">
        <f>Daily_Data!I5242</f>
        <v>-0.29</v>
      </c>
      <c r="D5242" s="12">
        <f>if(sum(Daily_Data!K5242:L5242)&gt;0,1,0)</f>
        <v>0</v>
      </c>
    </row>
    <row r="5243">
      <c r="A5243" s="10">
        <f>Daily_Data!A5243</f>
        <v>43865</v>
      </c>
      <c r="B5243" s="11">
        <f>Daily_Data!J5243</f>
        <v>16.05</v>
      </c>
      <c r="C5243" s="11">
        <f>Daily_Data!I5243</f>
        <v>-0.36</v>
      </c>
      <c r="D5243" s="12">
        <f>if(sum(Daily_Data!K5243:L5243)&gt;0,1,0)</f>
        <v>0</v>
      </c>
    </row>
    <row r="5244">
      <c r="A5244" s="10">
        <f>Daily_Data!A5244</f>
        <v>43866</v>
      </c>
      <c r="B5244" s="11">
        <f>Daily_Data!J5244</f>
        <v>15.15</v>
      </c>
      <c r="C5244" s="11">
        <f>Daily_Data!I5244</f>
        <v>-0.3</v>
      </c>
      <c r="D5244" s="12">
        <f>if(sum(Daily_Data!K5244:L5244)&gt;0,1,0)</f>
        <v>0</v>
      </c>
    </row>
    <row r="5245">
      <c r="A5245" s="10">
        <f>Daily_Data!A5245</f>
        <v>43867</v>
      </c>
      <c r="B5245" s="11">
        <f>Daily_Data!J5245</f>
        <v>14.96</v>
      </c>
      <c r="C5245" s="11" t="str">
        <f>Daily_Data!I5245</f>
        <v/>
      </c>
      <c r="D5245" s="12">
        <f>if(sum(Daily_Data!K5245:L5245)&gt;0,1,0)</f>
        <v>0</v>
      </c>
    </row>
    <row r="5246">
      <c r="A5246" s="10">
        <f>Daily_Data!A5246</f>
        <v>43868</v>
      </c>
      <c r="B5246" s="11">
        <f>Daily_Data!J5246</f>
        <v>15.47</v>
      </c>
      <c r="C5246" s="11">
        <f>Daily_Data!I5246</f>
        <v>-0.27</v>
      </c>
      <c r="D5246" s="12">
        <f>if(sum(Daily_Data!K5246:L5246)&gt;0,1,0)</f>
        <v>1</v>
      </c>
    </row>
    <row r="5247">
      <c r="A5247" s="10">
        <f>Daily_Data!A5247</f>
        <v>43871</v>
      </c>
      <c r="B5247" s="11">
        <f>Daily_Data!J5247</f>
        <v>15.04</v>
      </c>
      <c r="C5247" s="11">
        <f>Daily_Data!I5247</f>
        <v>-0.27</v>
      </c>
      <c r="D5247" s="12">
        <f>if(sum(Daily_Data!K5247:L5247)&gt;0,1,0)</f>
        <v>0</v>
      </c>
    </row>
    <row r="5248">
      <c r="A5248" s="10">
        <f>Daily_Data!A5248</f>
        <v>43872</v>
      </c>
      <c r="B5248" s="11">
        <f>Daily_Data!J5248</f>
        <v>15.18</v>
      </c>
      <c r="C5248" s="11">
        <f>Daily_Data!I5248</f>
        <v>-0.33</v>
      </c>
      <c r="D5248" s="12">
        <f>if(sum(Daily_Data!K5248:L5248)&gt;0,1,0)</f>
        <v>0</v>
      </c>
    </row>
    <row r="5249">
      <c r="A5249" s="10">
        <f>Daily_Data!A5249</f>
        <v>43873</v>
      </c>
      <c r="B5249" s="11">
        <f>Daily_Data!J5249</f>
        <v>13.74</v>
      </c>
      <c r="C5249" s="11">
        <f>Daily_Data!I5249</f>
        <v>-0.27</v>
      </c>
      <c r="D5249" s="12">
        <f>if(sum(Daily_Data!K5249:L5249)&gt;0,1,0)</f>
        <v>0</v>
      </c>
    </row>
    <row r="5250">
      <c r="A5250" s="10">
        <f>Daily_Data!A5250</f>
        <v>43874</v>
      </c>
      <c r="B5250" s="11">
        <f>Daily_Data!J5250</f>
        <v>14.15</v>
      </c>
      <c r="C5250" s="11">
        <f>Daily_Data!I5250</f>
        <v>-0.27</v>
      </c>
      <c r="D5250" s="12">
        <f>if(sum(Daily_Data!K5250:L5250)&gt;0,1,0)</f>
        <v>1</v>
      </c>
    </row>
    <row r="5251">
      <c r="A5251" s="10">
        <f>Daily_Data!A5251</f>
        <v>43875</v>
      </c>
      <c r="B5251" s="11">
        <f>Daily_Data!J5251</f>
        <v>13.68</v>
      </c>
      <c r="C5251" s="11">
        <f>Daily_Data!I5251</f>
        <v>-0.29</v>
      </c>
      <c r="D5251" s="12">
        <f>if(sum(Daily_Data!K5251:L5251)&gt;0,1,0)</f>
        <v>0</v>
      </c>
    </row>
    <row r="5252">
      <c r="A5252" s="10">
        <f>Daily_Data!A5252</f>
        <v>43878</v>
      </c>
      <c r="B5252" s="11" t="str">
        <f>Daily_Data!J5252</f>
        <v/>
      </c>
      <c r="C5252" s="11" t="str">
        <f>Daily_Data!I5252</f>
        <v/>
      </c>
      <c r="D5252" s="12">
        <f>if(sum(Daily_Data!K5252:L5252)&gt;0,1,0)</f>
        <v>0</v>
      </c>
    </row>
    <row r="5253">
      <c r="A5253" s="10">
        <f>Daily_Data!A5253</f>
        <v>43879</v>
      </c>
      <c r="B5253" s="11">
        <f>Daily_Data!J5253</f>
        <v>14.83</v>
      </c>
      <c r="C5253" s="11">
        <f>Daily_Data!I5253</f>
        <v>-0.31</v>
      </c>
      <c r="D5253" s="12">
        <f>if(sum(Daily_Data!K5253:L5253)&gt;0,1,0)</f>
        <v>0</v>
      </c>
    </row>
    <row r="5254">
      <c r="A5254" s="10">
        <f>Daily_Data!A5254</f>
        <v>43880</v>
      </c>
      <c r="B5254" s="11">
        <f>Daily_Data!J5254</f>
        <v>14.38</v>
      </c>
      <c r="C5254" s="11">
        <f>Daily_Data!I5254</f>
        <v>-0.32</v>
      </c>
      <c r="D5254" s="12">
        <f>if(sum(Daily_Data!K5254:L5254)&gt;0,1,0)</f>
        <v>0</v>
      </c>
    </row>
    <row r="5255">
      <c r="A5255" s="10">
        <f>Daily_Data!A5255</f>
        <v>43881</v>
      </c>
      <c r="B5255" s="11">
        <f>Daily_Data!J5255</f>
        <v>15.56</v>
      </c>
      <c r="C5255" s="11">
        <f>Daily_Data!I5255</f>
        <v>-0.31</v>
      </c>
      <c r="D5255" s="12">
        <f>if(sum(Daily_Data!K5255:L5255)&gt;0,1,0)</f>
        <v>0</v>
      </c>
    </row>
    <row r="5256">
      <c r="A5256" s="10">
        <f>Daily_Data!A5256</f>
        <v>43882</v>
      </c>
      <c r="B5256" s="11">
        <f>Daily_Data!J5256</f>
        <v>17.08</v>
      </c>
      <c r="C5256" s="11">
        <f>Daily_Data!I5256</f>
        <v>-0.3</v>
      </c>
      <c r="D5256" s="12">
        <f>if(sum(Daily_Data!K5256:L5256)&gt;0,1,0)</f>
        <v>0</v>
      </c>
    </row>
    <row r="5257">
      <c r="A5257" s="10">
        <f>Daily_Data!A5257</f>
        <v>43885</v>
      </c>
      <c r="B5257" s="11">
        <f>Daily_Data!J5257</f>
        <v>25.03</v>
      </c>
      <c r="C5257" s="11">
        <f>Daily_Data!I5257</f>
        <v>-0.26</v>
      </c>
      <c r="D5257" s="12">
        <f>if(sum(Daily_Data!K5257:L5257)&gt;0,1,0)</f>
        <v>0</v>
      </c>
    </row>
    <row r="5258">
      <c r="A5258" s="10">
        <f>Daily_Data!A5258</f>
        <v>43886</v>
      </c>
      <c r="B5258" s="11">
        <f>Daily_Data!J5258</f>
        <v>27.85</v>
      </c>
      <c r="C5258" s="11">
        <f>Daily_Data!I5258</f>
        <v>-0.2</v>
      </c>
      <c r="D5258" s="12">
        <f>if(sum(Daily_Data!K5258:L5258)&gt;0,1,0)</f>
        <v>0</v>
      </c>
    </row>
    <row r="5259">
      <c r="A5259" s="10">
        <f>Daily_Data!A5259</f>
        <v>43887</v>
      </c>
      <c r="B5259" s="11">
        <f>Daily_Data!J5259</f>
        <v>27.56</v>
      </c>
      <c r="C5259" s="11">
        <f>Daily_Data!I5259</f>
        <v>-0.17</v>
      </c>
      <c r="D5259" s="12">
        <f>if(sum(Daily_Data!K5259:L5259)&gt;0,1,0)</f>
        <v>0</v>
      </c>
    </row>
    <row r="5260">
      <c r="A5260" s="10">
        <f>Daily_Data!A5260</f>
        <v>43888</v>
      </c>
      <c r="B5260" s="11">
        <f>Daily_Data!J5260</f>
        <v>39.16</v>
      </c>
      <c r="C5260" s="11">
        <f>Daily_Data!I5260</f>
        <v>-0.16</v>
      </c>
      <c r="D5260" s="12">
        <f>if(sum(Daily_Data!K5260:L5260)&gt;0,1,0)</f>
        <v>0</v>
      </c>
    </row>
    <row r="5261">
      <c r="A5261" s="10">
        <f>Daily_Data!A5261</f>
        <v>43889</v>
      </c>
      <c r="B5261" s="11">
        <f>Daily_Data!J5261</f>
        <v>40.11</v>
      </c>
      <c r="C5261" s="11">
        <f>Daily_Data!I5261</f>
        <v>0</v>
      </c>
      <c r="D5261" s="12">
        <f>if(sum(Daily_Data!K5261:L5261)&gt;0,1,0)</f>
        <v>0</v>
      </c>
    </row>
    <row r="5262">
      <c r="A5262" s="10">
        <f>Daily_Data!A5262</f>
        <v>43892</v>
      </c>
      <c r="B5262" s="11">
        <f>Daily_Data!J5262</f>
        <v>33.42</v>
      </c>
      <c r="C5262" s="11">
        <f>Daily_Data!I5262</f>
        <v>-0.13</v>
      </c>
      <c r="D5262" s="12">
        <f>if(sum(Daily_Data!K5262:L5262)&gt;0,1,0)</f>
        <v>0</v>
      </c>
    </row>
    <row r="5263">
      <c r="A5263" s="10">
        <f>Daily_Data!A5263</f>
        <v>43893</v>
      </c>
      <c r="B5263" s="11">
        <f>Daily_Data!J5263</f>
        <v>36.82</v>
      </c>
      <c r="C5263" s="11">
        <f>Daily_Data!I5263</f>
        <v>0.03</v>
      </c>
      <c r="D5263" s="12">
        <f>if(sum(Daily_Data!K5263:L5263)&gt;0,1,0)</f>
        <v>0</v>
      </c>
    </row>
    <row r="5264">
      <c r="A5264" s="10">
        <f>Daily_Data!A5264</f>
        <v>43894</v>
      </c>
      <c r="B5264" s="11">
        <f>Daily_Data!J5264</f>
        <v>31.99</v>
      </c>
      <c r="C5264" s="11">
        <f>Daily_Data!I5264</f>
        <v>-0.03</v>
      </c>
      <c r="D5264" s="12">
        <f>if(sum(Daily_Data!K5264:L5264)&gt;0,1,0)</f>
        <v>0</v>
      </c>
    </row>
    <row r="5265">
      <c r="A5265" s="10">
        <f>Daily_Data!A5265</f>
        <v>43895</v>
      </c>
      <c r="B5265" s="11">
        <f>Daily_Data!J5265</f>
        <v>39.62</v>
      </c>
      <c r="C5265" s="11">
        <f>Daily_Data!I5265</f>
        <v>0.11</v>
      </c>
      <c r="D5265" s="12">
        <f>if(sum(Daily_Data!K5265:L5265)&gt;0,1,0)</f>
        <v>0</v>
      </c>
    </row>
    <row r="5266">
      <c r="A5266" s="10">
        <f>Daily_Data!A5266</f>
        <v>43896</v>
      </c>
      <c r="B5266" s="11">
        <f>Daily_Data!J5266</f>
        <v>41.94</v>
      </c>
      <c r="C5266" s="11">
        <f>Daily_Data!I5266</f>
        <v>0.21</v>
      </c>
      <c r="D5266" s="12">
        <f>if(sum(Daily_Data!K5266:L5266)&gt;0,1,0)</f>
        <v>1</v>
      </c>
    </row>
    <row r="5267">
      <c r="A5267" s="10">
        <f>Daily_Data!A5267</f>
        <v>43899</v>
      </c>
      <c r="B5267" s="11">
        <f>Daily_Data!J5267</f>
        <v>54.46</v>
      </c>
      <c r="C5267" s="11">
        <f>Daily_Data!I5267</f>
        <v>0.34</v>
      </c>
      <c r="D5267" s="12">
        <f>if(sum(Daily_Data!K5267:L5267)&gt;0,1,0)</f>
        <v>0</v>
      </c>
    </row>
    <row r="5268">
      <c r="A5268" s="10">
        <f>Daily_Data!A5268</f>
        <v>43900</v>
      </c>
      <c r="B5268" s="11">
        <f>Daily_Data!J5268</f>
        <v>47.3</v>
      </c>
      <c r="C5268" s="11">
        <f>Daily_Data!I5268</f>
        <v>0.26</v>
      </c>
      <c r="D5268" s="12">
        <f>if(sum(Daily_Data!K5268:L5268)&gt;0,1,0)</f>
        <v>0</v>
      </c>
    </row>
    <row r="5269">
      <c r="A5269" s="10">
        <f>Daily_Data!A5269</f>
        <v>43901</v>
      </c>
      <c r="B5269" s="11">
        <f>Daily_Data!J5269</f>
        <v>53.9</v>
      </c>
      <c r="C5269" s="11">
        <f>Daily_Data!I5269</f>
        <v>0.27</v>
      </c>
      <c r="D5269" s="12">
        <f>if(sum(Daily_Data!K5269:L5269)&gt;0,1,0)</f>
        <v>1</v>
      </c>
    </row>
    <row r="5270">
      <c r="A5270" s="10">
        <f>Daily_Data!A5270</f>
        <v>43902</v>
      </c>
      <c r="B5270" s="11">
        <f>Daily_Data!J5270</f>
        <v>75.47</v>
      </c>
      <c r="C5270" s="11">
        <f>Daily_Data!I5270</f>
        <v>0.23</v>
      </c>
      <c r="D5270" s="12">
        <f>if(sum(Daily_Data!K5270:L5270)&gt;0,1,0)</f>
        <v>0</v>
      </c>
    </row>
    <row r="5271">
      <c r="A5271" s="10">
        <f>Daily_Data!A5271</f>
        <v>43903</v>
      </c>
      <c r="B5271" s="11">
        <f>Daily_Data!J5271</f>
        <v>57.83</v>
      </c>
      <c r="C5271" s="11">
        <f>Daily_Data!I5271</f>
        <v>0.3</v>
      </c>
      <c r="D5271" s="12">
        <f>if(sum(Daily_Data!K5271:L5271)&gt;0,1,0)</f>
        <v>0</v>
      </c>
    </row>
    <row r="5272">
      <c r="A5272" s="10">
        <f>Daily_Data!A5272</f>
        <v>43906</v>
      </c>
      <c r="B5272" s="11">
        <f>Daily_Data!J5272</f>
        <v>82.69</v>
      </c>
      <c r="C5272" s="11">
        <f>Daily_Data!I5272</f>
        <v>0.26</v>
      </c>
      <c r="D5272" s="12">
        <f>if(sum(Daily_Data!K5272:L5272)&gt;0,1,0)</f>
        <v>0</v>
      </c>
    </row>
    <row r="5273">
      <c r="A5273" s="10">
        <f>Daily_Data!A5273</f>
        <v>43907</v>
      </c>
      <c r="B5273" s="11">
        <f>Daily_Data!J5273</f>
        <v>75.91</v>
      </c>
      <c r="C5273" s="11">
        <f>Daily_Data!I5273</f>
        <v>0.23</v>
      </c>
      <c r="D5273" s="12">
        <f>if(sum(Daily_Data!K5273:L5273)&gt;0,1,0)</f>
        <v>0</v>
      </c>
    </row>
    <row r="5274">
      <c r="A5274" s="10">
        <f>Daily_Data!A5274</f>
        <v>43908</v>
      </c>
      <c r="B5274" s="11">
        <f>Daily_Data!J5274</f>
        <v>76.45</v>
      </c>
      <c r="C5274" s="11">
        <f>Daily_Data!I5274</f>
        <v>0.18</v>
      </c>
      <c r="D5274" s="12">
        <f>if(sum(Daily_Data!K5274:L5274)&gt;0,1,0)</f>
        <v>0</v>
      </c>
    </row>
    <row r="5275">
      <c r="A5275" s="10">
        <f>Daily_Data!A5275</f>
        <v>43909</v>
      </c>
      <c r="B5275" s="11">
        <f>Daily_Data!J5275</f>
        <v>72</v>
      </c>
      <c r="C5275" s="11">
        <f>Daily_Data!I5275</f>
        <v>0.36</v>
      </c>
      <c r="D5275" s="12">
        <f>if(sum(Daily_Data!K5275:L5275)&gt;0,1,0)</f>
        <v>0</v>
      </c>
    </row>
    <row r="5276">
      <c r="A5276" s="10">
        <f>Daily_Data!A5276</f>
        <v>43910</v>
      </c>
      <c r="B5276" s="11">
        <f>Daily_Data!J5276</f>
        <v>66.04</v>
      </c>
      <c r="C5276" s="11">
        <f>Daily_Data!I5276</f>
        <v>0.31</v>
      </c>
      <c r="D5276" s="12">
        <f>if(sum(Daily_Data!K5276:L5276)&gt;0,1,0)</f>
        <v>0</v>
      </c>
    </row>
    <row r="5277">
      <c r="A5277" s="10">
        <f>Daily_Data!A5277</f>
        <v>43913</v>
      </c>
      <c r="B5277" s="11">
        <f>Daily_Data!J5277</f>
        <v>61.59</v>
      </c>
      <c r="C5277" s="11">
        <f>Daily_Data!I5277</f>
        <v>0.26</v>
      </c>
      <c r="D5277" s="12">
        <f>if(sum(Daily_Data!K5277:L5277)&gt;0,1,0)</f>
        <v>0</v>
      </c>
    </row>
    <row r="5278">
      <c r="A5278" s="10">
        <f>Daily_Data!A5278</f>
        <v>43914</v>
      </c>
      <c r="B5278" s="11">
        <f>Daily_Data!J5278</f>
        <v>61.67</v>
      </c>
      <c r="C5278" s="11">
        <f>Daily_Data!I5278</f>
        <v>0.21</v>
      </c>
      <c r="D5278" s="12">
        <f>if(sum(Daily_Data!K5278:L5278)&gt;0,1,0)</f>
        <v>0</v>
      </c>
    </row>
    <row r="5279">
      <c r="A5279" s="10">
        <f>Daily_Data!A5279</f>
        <v>43915</v>
      </c>
      <c r="B5279" s="11">
        <f>Daily_Data!J5279</f>
        <v>63.95</v>
      </c>
      <c r="C5279" s="11">
        <f>Daily_Data!I5279</f>
        <v>0.25</v>
      </c>
      <c r="D5279" s="12">
        <f>if(sum(Daily_Data!K5279:L5279)&gt;0,1,0)</f>
        <v>0</v>
      </c>
    </row>
    <row r="5280">
      <c r="A5280" s="10">
        <f>Daily_Data!A5280</f>
        <v>43916</v>
      </c>
      <c r="B5280" s="11">
        <f>Daily_Data!J5280</f>
        <v>61</v>
      </c>
      <c r="C5280" s="11">
        <f>Daily_Data!I5280</f>
        <v>0.25</v>
      </c>
      <c r="D5280" s="12">
        <f>if(sum(Daily_Data!K5280:L5280)&gt;0,1,0)</f>
        <v>0</v>
      </c>
    </row>
    <row r="5281">
      <c r="A5281" s="10">
        <f>Daily_Data!A5281</f>
        <v>43917</v>
      </c>
      <c r="B5281" s="11">
        <f>Daily_Data!J5281</f>
        <v>65.54</v>
      </c>
      <c r="C5281" s="11">
        <f>Daily_Data!I5281</f>
        <v>0.29</v>
      </c>
      <c r="D5281" s="12">
        <f>if(sum(Daily_Data!K5281:L5281)&gt;0,1,0)</f>
        <v>0</v>
      </c>
    </row>
    <row r="5282">
      <c r="A5282" s="10">
        <f>Daily_Data!A5282</f>
        <v>43920</v>
      </c>
      <c r="B5282" s="11">
        <f>Daily_Data!J5282</f>
        <v>57.08</v>
      </c>
      <c r="C5282" s="11">
        <f>Daily_Data!I5282</f>
        <v>0.28</v>
      </c>
      <c r="D5282" s="12">
        <f>if(sum(Daily_Data!K5282:L5282)&gt;0,1,0)</f>
        <v>0</v>
      </c>
    </row>
    <row r="5283">
      <c r="A5283" s="10">
        <f>Daily_Data!A5283</f>
        <v>43921</v>
      </c>
      <c r="B5283" s="11">
        <f>Daily_Data!J5283</f>
        <v>53.54</v>
      </c>
      <c r="C5283" s="11">
        <f>Daily_Data!I5283</f>
        <v>0.29</v>
      </c>
      <c r="D5283" s="12">
        <f>if(sum(Daily_Data!K5283:L5283)&gt;0,1,0)</f>
        <v>0</v>
      </c>
    </row>
    <row r="5284">
      <c r="A5284" s="10">
        <f>Daily_Data!A5284</f>
        <v>43922</v>
      </c>
      <c r="B5284" s="11">
        <f>Daily_Data!J5284</f>
        <v>57.06</v>
      </c>
      <c r="C5284" s="11">
        <f>Daily_Data!I5284</f>
        <v>0.29</v>
      </c>
      <c r="D5284" s="12">
        <f>if(sum(Daily_Data!K5284:L5284)&gt;0,1,0)</f>
        <v>0</v>
      </c>
    </row>
    <row r="5285">
      <c r="A5285" s="10">
        <f>Daily_Data!A5285</f>
        <v>43923</v>
      </c>
      <c r="B5285" s="11">
        <f>Daily_Data!J5285</f>
        <v>50.91</v>
      </c>
      <c r="C5285" s="11">
        <f>Daily_Data!I5285</f>
        <v>0.28</v>
      </c>
      <c r="D5285" s="12">
        <f>if(sum(Daily_Data!K5285:L5285)&gt;0,1,0)</f>
        <v>0</v>
      </c>
    </row>
    <row r="5286">
      <c r="A5286" s="10">
        <f>Daily_Data!A5286</f>
        <v>43924</v>
      </c>
      <c r="B5286" s="11">
        <f>Daily_Data!J5286</f>
        <v>46.8</v>
      </c>
      <c r="C5286" s="11">
        <f>Daily_Data!I5286</f>
        <v>0.26</v>
      </c>
      <c r="D5286" s="12">
        <f>if(sum(Daily_Data!K5286:L5286)&gt;0,1,0)</f>
        <v>1</v>
      </c>
    </row>
    <row r="5287">
      <c r="A5287" s="10">
        <f>Daily_Data!A5287</f>
        <v>43927</v>
      </c>
      <c r="B5287" s="11">
        <f>Daily_Data!J5287</f>
        <v>45.24</v>
      </c>
      <c r="C5287" s="11">
        <f>Daily_Data!I5287</f>
        <v>0.2</v>
      </c>
      <c r="D5287" s="12">
        <f>if(sum(Daily_Data!K5287:L5287)&gt;0,1,0)</f>
        <v>0</v>
      </c>
    </row>
    <row r="5288">
      <c r="A5288" s="10">
        <f>Daily_Data!A5288</f>
        <v>43928</v>
      </c>
      <c r="B5288" s="11">
        <f>Daily_Data!J5288</f>
        <v>46.7</v>
      </c>
      <c r="C5288" s="11">
        <f>Daily_Data!I5288</f>
        <v>0.2</v>
      </c>
      <c r="D5288" s="12">
        <f>if(sum(Daily_Data!K5288:L5288)&gt;0,1,0)</f>
        <v>0</v>
      </c>
    </row>
    <row r="5289">
      <c r="A5289" s="10">
        <f>Daily_Data!A5289</f>
        <v>43929</v>
      </c>
      <c r="B5289" s="11">
        <f>Daily_Data!J5289</f>
        <v>43.35</v>
      </c>
      <c r="C5289" s="11">
        <f>Daily_Data!I5289</f>
        <v>0.22</v>
      </c>
      <c r="D5289" s="12">
        <f>if(sum(Daily_Data!K5289:L5289)&gt;0,1,0)</f>
        <v>0</v>
      </c>
    </row>
    <row r="5290">
      <c r="A5290" s="10">
        <f>Daily_Data!A5290</f>
        <v>43930</v>
      </c>
      <c r="B5290" s="11">
        <f>Daily_Data!J5290</f>
        <v>41.67</v>
      </c>
      <c r="C5290" s="11">
        <f>Daily_Data!I5290</f>
        <v>0.22</v>
      </c>
      <c r="D5290" s="12">
        <f>if(sum(Daily_Data!K5290:L5290)&gt;0,1,0)</f>
        <v>0</v>
      </c>
    </row>
    <row r="5291">
      <c r="A5291" s="10">
        <f>Daily_Data!A5291</f>
        <v>43931</v>
      </c>
      <c r="B5291" s="11" t="str">
        <f>Daily_Data!J5291</f>
        <v/>
      </c>
      <c r="C5291" s="11" t="str">
        <f>Daily_Data!I5291</f>
        <v/>
      </c>
      <c r="D5291" s="12">
        <f>if(sum(Daily_Data!K5291:L5291)&gt;0,1,0)</f>
        <v>1</v>
      </c>
    </row>
    <row r="5292">
      <c r="A5292" s="10">
        <f>Daily_Data!A5292</f>
        <v>43934</v>
      </c>
      <c r="B5292" s="11">
        <f>Daily_Data!J5292</f>
        <v>41.17</v>
      </c>
      <c r="C5292" s="11" t="str">
        <f>Daily_Data!I5292</f>
        <v/>
      </c>
      <c r="D5292" s="12">
        <f>if(sum(Daily_Data!K5292:L5292)&gt;0,1,0)</f>
        <v>0</v>
      </c>
    </row>
    <row r="5293">
      <c r="A5293" s="10">
        <f>Daily_Data!A5293</f>
        <v>43935</v>
      </c>
      <c r="B5293" s="11">
        <f>Daily_Data!J5293</f>
        <v>37.76</v>
      </c>
      <c r="C5293" s="11">
        <f>Daily_Data!I5293</f>
        <v>0.21</v>
      </c>
      <c r="D5293" s="12">
        <f>if(sum(Daily_Data!K5293:L5293)&gt;0,1,0)</f>
        <v>0</v>
      </c>
    </row>
    <row r="5294">
      <c r="A5294" s="10">
        <f>Daily_Data!A5294</f>
        <v>43936</v>
      </c>
      <c r="B5294" s="11">
        <f>Daily_Data!J5294</f>
        <v>40.84</v>
      </c>
      <c r="C5294" s="11">
        <f>Daily_Data!I5294</f>
        <v>0.21</v>
      </c>
      <c r="D5294" s="12">
        <f>if(sum(Daily_Data!K5294:L5294)&gt;0,1,0)</f>
        <v>0</v>
      </c>
    </row>
    <row r="5295">
      <c r="A5295" s="10">
        <f>Daily_Data!A5295</f>
        <v>43937</v>
      </c>
      <c r="B5295" s="11">
        <f>Daily_Data!J5295</f>
        <v>40.11</v>
      </c>
      <c r="C5295" s="11">
        <f>Daily_Data!I5295</f>
        <v>0.18</v>
      </c>
      <c r="D5295" s="12">
        <f>if(sum(Daily_Data!K5295:L5295)&gt;0,1,0)</f>
        <v>0</v>
      </c>
    </row>
    <row r="5296">
      <c r="A5296" s="10">
        <f>Daily_Data!A5296</f>
        <v>43938</v>
      </c>
      <c r="B5296" s="11">
        <f>Daily_Data!J5296</f>
        <v>38.15</v>
      </c>
      <c r="C5296" s="11">
        <f>Daily_Data!I5296</f>
        <v>0.14</v>
      </c>
      <c r="D5296" s="12">
        <f>if(sum(Daily_Data!K5296:L5296)&gt;0,1,0)</f>
        <v>0</v>
      </c>
    </row>
    <row r="5297">
      <c r="A5297" s="10">
        <f>Daily_Data!A5297</f>
        <v>43941</v>
      </c>
      <c r="B5297" s="11">
        <f>Daily_Data!J5297</f>
        <v>43.83</v>
      </c>
      <c r="C5297" s="11">
        <f>Daily_Data!I5297</f>
        <v>0.13</v>
      </c>
      <c r="D5297" s="12">
        <f>if(sum(Daily_Data!K5297:L5297)&gt;0,1,0)</f>
        <v>0</v>
      </c>
    </row>
    <row r="5298">
      <c r="A5298" s="10">
        <f>Daily_Data!A5298</f>
        <v>43942</v>
      </c>
      <c r="B5298" s="11">
        <f>Daily_Data!J5298</f>
        <v>45.41</v>
      </c>
      <c r="C5298" s="11">
        <f>Daily_Data!I5298</f>
        <v>0.14</v>
      </c>
      <c r="D5298" s="12">
        <f>if(sum(Daily_Data!K5298:L5298)&gt;0,1,0)</f>
        <v>0</v>
      </c>
    </row>
    <row r="5299">
      <c r="A5299" s="10">
        <f>Daily_Data!A5299</f>
        <v>43943</v>
      </c>
      <c r="B5299" s="11">
        <f>Daily_Data!J5299</f>
        <v>41.98</v>
      </c>
      <c r="C5299" s="11">
        <f>Daily_Data!I5299</f>
        <v>0.12</v>
      </c>
      <c r="D5299" s="12">
        <f>if(sum(Daily_Data!K5299:L5299)&gt;0,1,0)</f>
        <v>0</v>
      </c>
    </row>
    <row r="5300">
      <c r="A5300" s="10">
        <f>Daily_Data!A5300</f>
        <v>43944</v>
      </c>
      <c r="B5300" s="11">
        <f>Daily_Data!J5300</f>
        <v>41.38</v>
      </c>
      <c r="C5300" s="11">
        <f>Daily_Data!I5300</f>
        <v>0.11</v>
      </c>
      <c r="D5300" s="12">
        <f>if(sum(Daily_Data!K5300:L5300)&gt;0,1,0)</f>
        <v>0</v>
      </c>
    </row>
    <row r="5301">
      <c r="A5301" s="10">
        <f>Daily_Data!A5301</f>
        <v>43945</v>
      </c>
      <c r="B5301" s="11">
        <f>Daily_Data!J5301</f>
        <v>35.93</v>
      </c>
      <c r="C5301" s="11">
        <f>Daily_Data!I5301</f>
        <v>0.07</v>
      </c>
      <c r="D5301" s="12">
        <f>if(sum(Daily_Data!K5301:L5301)&gt;0,1,0)</f>
        <v>0</v>
      </c>
    </row>
    <row r="5302">
      <c r="A5302" s="10">
        <f>Daily_Data!A5302</f>
        <v>43948</v>
      </c>
      <c r="B5302" s="11">
        <f>Daily_Data!J5302</f>
        <v>33.29</v>
      </c>
      <c r="C5302" s="11" t="str">
        <f>Daily_Data!I5302</f>
        <v/>
      </c>
      <c r="D5302" s="12">
        <f>if(sum(Daily_Data!K5302:L5302)&gt;0,1,0)</f>
        <v>0</v>
      </c>
    </row>
    <row r="5303">
      <c r="A5303" s="10">
        <f>Daily_Data!A5303</f>
        <v>43949</v>
      </c>
      <c r="B5303" s="11">
        <f>Daily_Data!J5303</f>
        <v>33.57</v>
      </c>
      <c r="C5303" s="11">
        <f>Daily_Data!I5303</f>
        <v>-0.02</v>
      </c>
      <c r="D5303" s="12">
        <f>if(sum(Daily_Data!K5303:L5303)&gt;0,1,0)</f>
        <v>0</v>
      </c>
    </row>
    <row r="5304">
      <c r="A5304" s="10">
        <f>Daily_Data!A5304</f>
        <v>43950</v>
      </c>
      <c r="B5304" s="11">
        <f>Daily_Data!J5304</f>
        <v>31.23</v>
      </c>
      <c r="C5304" s="11">
        <f>Daily_Data!I5304</f>
        <v>0.01</v>
      </c>
      <c r="D5304" s="12">
        <f>if(sum(Daily_Data!K5304:L5304)&gt;0,1,0)</f>
        <v>0</v>
      </c>
    </row>
    <row r="5305">
      <c r="A5305" s="10">
        <f>Daily_Data!A5305</f>
        <v>43951</v>
      </c>
      <c r="B5305" s="11">
        <f>Daily_Data!J5305</f>
        <v>34.15</v>
      </c>
      <c r="C5305" s="11">
        <f>Daily_Data!I5305</f>
        <v>-0.01</v>
      </c>
      <c r="D5305" s="12">
        <f>if(sum(Daily_Data!K5305:L5305)&gt;0,1,0)</f>
        <v>0</v>
      </c>
    </row>
    <row r="5306">
      <c r="A5306" s="10">
        <f>Daily_Data!A5306</f>
        <v>43952</v>
      </c>
      <c r="B5306" s="11">
        <f>Daily_Data!J5306</f>
        <v>37.19</v>
      </c>
      <c r="C5306" s="11">
        <f>Daily_Data!I5306</f>
        <v>-0.02</v>
      </c>
      <c r="D5306" s="12">
        <f>if(sum(Daily_Data!K5306:L5306)&gt;0,1,0)</f>
        <v>0</v>
      </c>
    </row>
    <row r="5307">
      <c r="A5307" s="10">
        <f>Daily_Data!A5307</f>
        <v>43955</v>
      </c>
      <c r="B5307" s="11">
        <f>Daily_Data!J5307</f>
        <v>35.97</v>
      </c>
      <c r="C5307" s="11">
        <f>Daily_Data!I5307</f>
        <v>-0.01</v>
      </c>
      <c r="D5307" s="12">
        <f>if(sum(Daily_Data!K5307:L5307)&gt;0,1,0)</f>
        <v>0</v>
      </c>
    </row>
    <row r="5308">
      <c r="A5308" s="10">
        <f>Daily_Data!A5308</f>
        <v>43956</v>
      </c>
      <c r="B5308" s="11">
        <f>Daily_Data!J5308</f>
        <v>33.61</v>
      </c>
      <c r="C5308" s="11">
        <f>Daily_Data!I5308</f>
        <v>0</v>
      </c>
      <c r="D5308" s="12">
        <f>if(sum(Daily_Data!K5308:L5308)&gt;0,1,0)</f>
        <v>0</v>
      </c>
    </row>
    <row r="5309">
      <c r="A5309" s="10">
        <f>Daily_Data!A5309</f>
        <v>43957</v>
      </c>
      <c r="B5309" s="11">
        <f>Daily_Data!J5309</f>
        <v>34.12</v>
      </c>
      <c r="C5309" s="11">
        <f>Daily_Data!I5309</f>
        <v>0.04</v>
      </c>
      <c r="D5309" s="12">
        <f>if(sum(Daily_Data!K5309:L5309)&gt;0,1,0)</f>
        <v>0</v>
      </c>
    </row>
    <row r="5310">
      <c r="A5310" s="10">
        <f>Daily_Data!A5310</f>
        <v>43958</v>
      </c>
      <c r="B5310" s="11">
        <f>Daily_Data!J5310</f>
        <v>31.44</v>
      </c>
      <c r="C5310" s="11">
        <f>Daily_Data!I5310</f>
        <v>0.06</v>
      </c>
      <c r="D5310" s="12">
        <f>if(sum(Daily_Data!K5310:L5310)&gt;0,1,0)</f>
        <v>0</v>
      </c>
    </row>
    <row r="5311">
      <c r="A5311" s="10">
        <f>Daily_Data!A5311</f>
        <v>43959</v>
      </c>
      <c r="B5311" s="11">
        <f>Daily_Data!J5311</f>
        <v>27.98</v>
      </c>
      <c r="C5311" s="11">
        <f>Daily_Data!I5311</f>
        <v>0.01</v>
      </c>
      <c r="D5311" s="12">
        <f>if(sum(Daily_Data!K5311:L5311)&gt;0,1,0)</f>
        <v>1</v>
      </c>
    </row>
    <row r="5312">
      <c r="A5312" s="10">
        <f>Daily_Data!A5312</f>
        <v>43962</v>
      </c>
      <c r="B5312" s="11">
        <f>Daily_Data!J5312</f>
        <v>27.57</v>
      </c>
      <c r="C5312" s="11">
        <f>Daily_Data!I5312</f>
        <v>-0.01</v>
      </c>
      <c r="D5312" s="12">
        <f>if(sum(Daily_Data!K5312:L5312)&gt;0,1,0)</f>
        <v>0</v>
      </c>
    </row>
    <row r="5313">
      <c r="A5313" s="10">
        <f>Daily_Data!A5313</f>
        <v>43963</v>
      </c>
      <c r="B5313" s="11">
        <f>Daily_Data!J5313</f>
        <v>33.04</v>
      </c>
      <c r="C5313" s="11">
        <f>Daily_Data!I5313</f>
        <v>0</v>
      </c>
      <c r="D5313" s="12">
        <f>if(sum(Daily_Data!K5313:L5313)&gt;0,1,0)</f>
        <v>1</v>
      </c>
    </row>
    <row r="5314">
      <c r="A5314" s="10">
        <f>Daily_Data!A5314</f>
        <v>43964</v>
      </c>
      <c r="B5314" s="11">
        <f>Daily_Data!J5314</f>
        <v>35.28</v>
      </c>
      <c r="C5314" s="11">
        <f>Daily_Data!I5314</f>
        <v>-0.06</v>
      </c>
      <c r="D5314" s="12">
        <f>if(sum(Daily_Data!K5314:L5314)&gt;0,1,0)</f>
        <v>0</v>
      </c>
    </row>
    <row r="5315">
      <c r="A5315" s="10">
        <f>Daily_Data!A5315</f>
        <v>43965</v>
      </c>
      <c r="B5315" s="11">
        <f>Daily_Data!J5315</f>
        <v>32.61</v>
      </c>
      <c r="C5315" s="11">
        <f>Daily_Data!I5315</f>
        <v>-0.04</v>
      </c>
      <c r="D5315" s="12">
        <f>if(sum(Daily_Data!K5315:L5315)&gt;0,1,0)</f>
        <v>0</v>
      </c>
    </row>
    <row r="5316">
      <c r="A5316" s="10">
        <f>Daily_Data!A5316</f>
        <v>43966</v>
      </c>
      <c r="B5316" s="11">
        <f>Daily_Data!J5316</f>
        <v>31.89</v>
      </c>
      <c r="C5316" s="11">
        <f>Daily_Data!I5316</f>
        <v>-0.04</v>
      </c>
      <c r="D5316" s="12">
        <f>if(sum(Daily_Data!K5316:L5316)&gt;0,1,0)</f>
        <v>0</v>
      </c>
    </row>
    <row r="5317">
      <c r="A5317" s="10">
        <f>Daily_Data!A5317</f>
        <v>43969</v>
      </c>
      <c r="B5317" s="11">
        <f>Daily_Data!J5317</f>
        <v>29.3</v>
      </c>
      <c r="C5317" s="11">
        <f>Daily_Data!I5317</f>
        <v>-0.07</v>
      </c>
      <c r="D5317" s="12">
        <f>if(sum(Daily_Data!K5317:L5317)&gt;0,1,0)</f>
        <v>0</v>
      </c>
    </row>
    <row r="5318">
      <c r="A5318" s="10">
        <f>Daily_Data!A5318</f>
        <v>43970</v>
      </c>
      <c r="B5318" s="11">
        <f>Daily_Data!J5318</f>
        <v>30.53</v>
      </c>
      <c r="C5318" s="11">
        <f>Daily_Data!I5318</f>
        <v>-0.04</v>
      </c>
      <c r="D5318" s="12">
        <f>if(sum(Daily_Data!K5318:L5318)&gt;0,1,0)</f>
        <v>0</v>
      </c>
    </row>
    <row r="5319">
      <c r="A5319" s="10">
        <f>Daily_Data!A5319</f>
        <v>43971</v>
      </c>
      <c r="B5319" s="11">
        <f>Daily_Data!J5319</f>
        <v>27.99</v>
      </c>
      <c r="C5319" s="11">
        <f>Daily_Data!I5319</f>
        <v>-0.02</v>
      </c>
      <c r="D5319" s="12">
        <f>if(sum(Daily_Data!K5319:L5319)&gt;0,1,0)</f>
        <v>0</v>
      </c>
    </row>
    <row r="5320">
      <c r="A5320" s="10">
        <f>Daily_Data!A5320</f>
        <v>43972</v>
      </c>
      <c r="B5320" s="11">
        <f>Daily_Data!J5320</f>
        <v>29.53</v>
      </c>
      <c r="C5320" s="11">
        <f>Daily_Data!I5320</f>
        <v>-0.03</v>
      </c>
      <c r="D5320" s="12">
        <f>if(sum(Daily_Data!K5320:L5320)&gt;0,1,0)</f>
        <v>0</v>
      </c>
    </row>
    <row r="5321">
      <c r="A5321" s="10">
        <f>Daily_Data!A5321</f>
        <v>43973</v>
      </c>
      <c r="B5321" s="11">
        <f>Daily_Data!J5321</f>
        <v>28.16</v>
      </c>
      <c r="C5321" s="11">
        <f>Daily_Data!I5321</f>
        <v>-0.01</v>
      </c>
      <c r="D5321" s="12">
        <f>if(sum(Daily_Data!K5321:L5321)&gt;0,1,0)</f>
        <v>0</v>
      </c>
    </row>
    <row r="5322">
      <c r="A5322" s="10">
        <f>Daily_Data!A5322</f>
        <v>43976</v>
      </c>
      <c r="B5322" s="11" t="str">
        <f>Daily_Data!J5322</f>
        <v/>
      </c>
      <c r="C5322" s="11" t="str">
        <f>Daily_Data!I5322</f>
        <v/>
      </c>
      <c r="D5322" s="12">
        <f>if(sum(Daily_Data!K5322:L5322)&gt;0,1,0)</f>
        <v>0</v>
      </c>
    </row>
    <row r="5323">
      <c r="A5323" s="10">
        <f>Daily_Data!A5323</f>
        <v>43977</v>
      </c>
      <c r="B5323" s="11">
        <f>Daily_Data!J5323</f>
        <v>28.01</v>
      </c>
      <c r="C5323" s="11">
        <f>Daily_Data!I5323</f>
        <v>0.02</v>
      </c>
      <c r="D5323" s="12">
        <f>if(sum(Daily_Data!K5323:L5323)&gt;0,1,0)</f>
        <v>0</v>
      </c>
    </row>
    <row r="5324">
      <c r="A5324" s="10">
        <f>Daily_Data!A5324</f>
        <v>43978</v>
      </c>
      <c r="B5324" s="11">
        <f>Daily_Data!J5324</f>
        <v>27.62</v>
      </c>
      <c r="C5324" s="11">
        <f>Daily_Data!I5324</f>
        <v>0.03</v>
      </c>
      <c r="D5324" s="12">
        <f>if(sum(Daily_Data!K5324:L5324)&gt;0,1,0)</f>
        <v>0</v>
      </c>
    </row>
    <row r="5325">
      <c r="A5325" s="10">
        <f>Daily_Data!A5325</f>
        <v>43979</v>
      </c>
      <c r="B5325" s="11">
        <f>Daily_Data!J5325</f>
        <v>28.59</v>
      </c>
      <c r="C5325" s="11">
        <f>Daily_Data!I5325</f>
        <v>0.04</v>
      </c>
      <c r="D5325" s="12">
        <f>if(sum(Daily_Data!K5325:L5325)&gt;0,1,0)</f>
        <v>0</v>
      </c>
    </row>
    <row r="5326">
      <c r="A5326" s="10">
        <f>Daily_Data!A5326</f>
        <v>43980</v>
      </c>
      <c r="B5326" s="11">
        <f>Daily_Data!J5326</f>
        <v>27.51</v>
      </c>
      <c r="C5326" s="11">
        <f>Daily_Data!I5326</f>
        <v>0.06</v>
      </c>
      <c r="D5326" s="12">
        <f>if(sum(Daily_Data!K5326:L5326)&gt;0,1,0)</f>
        <v>0</v>
      </c>
    </row>
    <row r="5327">
      <c r="A5327" s="10">
        <f>Daily_Data!A5327</f>
        <v>43983</v>
      </c>
      <c r="B5327" s="11">
        <f>Daily_Data!J5327</f>
        <v>28.23</v>
      </c>
      <c r="C5327" s="11" t="str">
        <f>Daily_Data!I5327</f>
        <v/>
      </c>
      <c r="D5327" s="12">
        <f>if(sum(Daily_Data!K5327:L5327)&gt;0,1,0)</f>
        <v>0</v>
      </c>
    </row>
    <row r="5328">
      <c r="A5328" s="10">
        <f>Daily_Data!A5328</f>
        <v>43984</v>
      </c>
      <c r="B5328" s="11">
        <f>Daily_Data!J5328</f>
        <v>26.84</v>
      </c>
      <c r="C5328" s="11">
        <f>Daily_Data!I5328</f>
        <v>0.05</v>
      </c>
      <c r="D5328" s="12">
        <f>if(sum(Daily_Data!K5328:L5328)&gt;0,1,0)</f>
        <v>0</v>
      </c>
    </row>
    <row r="5329">
      <c r="A5329" s="10">
        <f>Daily_Data!A5329</f>
        <v>43985</v>
      </c>
      <c r="B5329" s="11">
        <f>Daily_Data!J5329</f>
        <v>25.66</v>
      </c>
      <c r="C5329" s="11">
        <f>Daily_Data!I5329</f>
        <v>0.03</v>
      </c>
      <c r="D5329" s="12">
        <f>if(sum(Daily_Data!K5329:L5329)&gt;0,1,0)</f>
        <v>0</v>
      </c>
    </row>
    <row r="5330">
      <c r="A5330" s="10">
        <f>Daily_Data!A5330</f>
        <v>43986</v>
      </c>
      <c r="B5330" s="11">
        <f>Daily_Data!J5330</f>
        <v>25.81</v>
      </c>
      <c r="C5330" s="11">
        <f>Daily_Data!I5330</f>
        <v>0.03</v>
      </c>
      <c r="D5330" s="12">
        <f>if(sum(Daily_Data!K5330:L5330)&gt;0,1,0)</f>
        <v>0</v>
      </c>
    </row>
    <row r="5331">
      <c r="A5331" s="10">
        <f>Daily_Data!A5331</f>
        <v>43987</v>
      </c>
      <c r="B5331" s="11">
        <f>Daily_Data!J5331</f>
        <v>24.52</v>
      </c>
      <c r="C5331" s="11">
        <f>Daily_Data!I5331</f>
        <v>0.02</v>
      </c>
      <c r="D5331" s="12">
        <f>if(sum(Daily_Data!K5331:L5331)&gt;0,1,0)</f>
        <v>1</v>
      </c>
    </row>
    <row r="5332">
      <c r="A5332" s="10">
        <f>Daily_Data!A5332</f>
        <v>43990</v>
      </c>
      <c r="B5332" s="11">
        <f>Daily_Data!J5332</f>
        <v>25.81</v>
      </c>
      <c r="C5332" s="11">
        <f>Daily_Data!I5332</f>
        <v>0.04</v>
      </c>
      <c r="D5332" s="12">
        <f>if(sum(Daily_Data!K5332:L5332)&gt;0,1,0)</f>
        <v>0</v>
      </c>
    </row>
    <row r="5333">
      <c r="A5333" s="10">
        <f>Daily_Data!A5333</f>
        <v>43991</v>
      </c>
      <c r="B5333" s="11">
        <f>Daily_Data!J5333</f>
        <v>27.57</v>
      </c>
      <c r="C5333" s="11">
        <f>Daily_Data!I5333</f>
        <v>0.04</v>
      </c>
      <c r="D5333" s="12">
        <f>if(sum(Daily_Data!K5333:L5333)&gt;0,1,0)</f>
        <v>0</v>
      </c>
    </row>
    <row r="5334">
      <c r="A5334" s="10">
        <f>Daily_Data!A5334</f>
        <v>43992</v>
      </c>
      <c r="B5334" s="11">
        <f>Daily_Data!J5334</f>
        <v>27.57</v>
      </c>
      <c r="C5334" s="11">
        <f>Daily_Data!I5334</f>
        <v>0.08</v>
      </c>
      <c r="D5334" s="12">
        <f>if(sum(Daily_Data!K5334:L5334)&gt;0,1,0)</f>
        <v>1</v>
      </c>
    </row>
    <row r="5335">
      <c r="A5335" s="10">
        <f>Daily_Data!A5335</f>
        <v>43993</v>
      </c>
      <c r="B5335" s="11">
        <f>Daily_Data!J5335</f>
        <v>40.79</v>
      </c>
      <c r="C5335" s="11">
        <f>Daily_Data!I5335</f>
        <v>0.06</v>
      </c>
      <c r="D5335" s="12">
        <f>if(sum(Daily_Data!K5335:L5335)&gt;0,1,0)</f>
        <v>0</v>
      </c>
    </row>
    <row r="5336">
      <c r="A5336" s="10">
        <f>Daily_Data!A5336</f>
        <v>43994</v>
      </c>
      <c r="B5336" s="11">
        <f>Daily_Data!J5336</f>
        <v>36.09</v>
      </c>
      <c r="C5336" s="11">
        <f>Daily_Data!I5336</f>
        <v>0.05</v>
      </c>
      <c r="D5336" s="12">
        <f>if(sum(Daily_Data!K5336:L5336)&gt;0,1,0)</f>
        <v>0</v>
      </c>
    </row>
    <row r="5337">
      <c r="A5337" s="10">
        <f>Daily_Data!A5337</f>
        <v>43997</v>
      </c>
      <c r="B5337" s="11">
        <f>Daily_Data!J5337</f>
        <v>34.4</v>
      </c>
      <c r="C5337" s="11">
        <f>Daily_Data!I5337</f>
        <v>0.06</v>
      </c>
      <c r="D5337" s="12">
        <f>if(sum(Daily_Data!K5337:L5337)&gt;0,1,0)</f>
        <v>0</v>
      </c>
    </row>
    <row r="5338">
      <c r="A5338" s="10">
        <f>Daily_Data!A5338</f>
        <v>43998</v>
      </c>
      <c r="B5338" s="11">
        <f>Daily_Data!J5338</f>
        <v>33.67</v>
      </c>
      <c r="C5338" s="11">
        <f>Daily_Data!I5338</f>
        <v>0.04</v>
      </c>
      <c r="D5338" s="12">
        <f>if(sum(Daily_Data!K5338:L5338)&gt;0,1,0)</f>
        <v>0</v>
      </c>
    </row>
    <row r="5339">
      <c r="A5339" s="10">
        <f>Daily_Data!A5339</f>
        <v>43999</v>
      </c>
      <c r="B5339" s="11">
        <f>Daily_Data!J5339</f>
        <v>33.47</v>
      </c>
      <c r="C5339" s="11">
        <f>Daily_Data!I5339</f>
        <v>0.05</v>
      </c>
      <c r="D5339" s="12">
        <f>if(sum(Daily_Data!K5339:L5339)&gt;0,1,0)</f>
        <v>0</v>
      </c>
    </row>
    <row r="5340">
      <c r="A5340" s="10">
        <f>Daily_Data!A5340</f>
        <v>44000</v>
      </c>
      <c r="B5340" s="11">
        <f>Daily_Data!J5340</f>
        <v>32.94</v>
      </c>
      <c r="C5340" s="11">
        <f>Daily_Data!I5340</f>
        <v>0.03</v>
      </c>
      <c r="D5340" s="12">
        <f>if(sum(Daily_Data!K5340:L5340)&gt;0,1,0)</f>
        <v>0</v>
      </c>
    </row>
    <row r="5341">
      <c r="A5341" s="10">
        <f>Daily_Data!A5341</f>
        <v>44001</v>
      </c>
      <c r="B5341" s="11">
        <f>Daily_Data!J5341</f>
        <v>35.12</v>
      </c>
      <c r="C5341" s="11">
        <f>Daily_Data!I5341</f>
        <v>0.04</v>
      </c>
      <c r="D5341" s="12">
        <f>if(sum(Daily_Data!K5341:L5341)&gt;0,1,0)</f>
        <v>0</v>
      </c>
    </row>
    <row r="5342">
      <c r="A5342" s="10">
        <f>Daily_Data!A5342</f>
        <v>44004</v>
      </c>
      <c r="B5342" s="11">
        <f>Daily_Data!J5342</f>
        <v>31.77</v>
      </c>
      <c r="C5342" s="11">
        <f>Daily_Data!I5342</f>
        <v>0.04</v>
      </c>
      <c r="D5342" s="12">
        <f>if(sum(Daily_Data!K5342:L5342)&gt;0,1,0)</f>
        <v>0</v>
      </c>
    </row>
    <row r="5343">
      <c r="A5343" s="10">
        <f>Daily_Data!A5343</f>
        <v>44005</v>
      </c>
      <c r="B5343" s="11">
        <f>Daily_Data!J5343</f>
        <v>31.37</v>
      </c>
      <c r="C5343" s="11">
        <f>Daily_Data!I5343</f>
        <v>0.05</v>
      </c>
      <c r="D5343" s="12">
        <f>if(sum(Daily_Data!K5343:L5343)&gt;0,1,0)</f>
        <v>0</v>
      </c>
    </row>
    <row r="5344">
      <c r="A5344" s="10">
        <f>Daily_Data!A5344</f>
        <v>44006</v>
      </c>
      <c r="B5344" s="11">
        <f>Daily_Data!J5344</f>
        <v>33.84</v>
      </c>
      <c r="C5344" s="11">
        <f>Daily_Data!I5344</f>
        <v>0.02</v>
      </c>
      <c r="D5344" s="12">
        <f>if(sum(Daily_Data!K5344:L5344)&gt;0,1,0)</f>
        <v>0</v>
      </c>
    </row>
    <row r="5345">
      <c r="A5345" s="10">
        <f>Daily_Data!A5345</f>
        <v>44007</v>
      </c>
      <c r="B5345" s="11">
        <f>Daily_Data!J5345</f>
        <v>32.22</v>
      </c>
      <c r="C5345" s="11">
        <f>Daily_Data!I5345</f>
        <v>0.03</v>
      </c>
      <c r="D5345" s="12">
        <f>if(sum(Daily_Data!K5345:L5345)&gt;0,1,0)</f>
        <v>0</v>
      </c>
    </row>
    <row r="5346">
      <c r="A5346" s="10">
        <f>Daily_Data!A5346</f>
        <v>44008</v>
      </c>
      <c r="B5346" s="11">
        <f>Daily_Data!J5346</f>
        <v>34.73</v>
      </c>
      <c r="C5346" s="11">
        <f>Daily_Data!I5346</f>
        <v>0.04</v>
      </c>
      <c r="D5346" s="12">
        <f>if(sum(Daily_Data!K5346:L5346)&gt;0,1,0)</f>
        <v>0</v>
      </c>
    </row>
    <row r="5347">
      <c r="A5347" s="10">
        <f>Daily_Data!A5347</f>
        <v>44011</v>
      </c>
      <c r="B5347" s="11">
        <f>Daily_Data!J5347</f>
        <v>31.78</v>
      </c>
      <c r="C5347" s="11">
        <f>Daily_Data!I5347</f>
        <v>0.04</v>
      </c>
      <c r="D5347" s="12">
        <f>if(sum(Daily_Data!K5347:L5347)&gt;0,1,0)</f>
        <v>0</v>
      </c>
    </row>
    <row r="5348">
      <c r="A5348" s="10">
        <f>Daily_Data!A5348</f>
        <v>44012</v>
      </c>
      <c r="B5348" s="11">
        <f>Daily_Data!J5348</f>
        <v>30.43</v>
      </c>
      <c r="C5348" s="11">
        <f>Daily_Data!I5348</f>
        <v>0.05</v>
      </c>
      <c r="D5348" s="12">
        <f>if(sum(Daily_Data!K5348:L5348)&gt;0,1,0)</f>
        <v>0</v>
      </c>
    </row>
    <row r="5349">
      <c r="A5349" s="10">
        <f>Daily_Data!A5349</f>
        <v>44013</v>
      </c>
      <c r="B5349" s="11">
        <f>Daily_Data!J5349</f>
        <v>28.62</v>
      </c>
      <c r="C5349" s="11">
        <f>Daily_Data!I5349</f>
        <v>0.04</v>
      </c>
      <c r="D5349" s="12">
        <f>if(sum(Daily_Data!K5349:L5349)&gt;0,1,0)</f>
        <v>0</v>
      </c>
    </row>
    <row r="5350">
      <c r="A5350" s="10">
        <f>Daily_Data!A5350</f>
        <v>44014</v>
      </c>
      <c r="B5350" s="11">
        <f>Daily_Data!J5350</f>
        <v>27.68</v>
      </c>
      <c r="C5350" s="11">
        <f>Daily_Data!I5350</f>
        <v>0.06</v>
      </c>
      <c r="D5350" s="12">
        <f>if(sum(Daily_Data!K5350:L5350)&gt;0,1,0)</f>
        <v>1</v>
      </c>
    </row>
    <row r="5351">
      <c r="A5351" s="10">
        <f>Daily_Data!A5351</f>
        <v>44015</v>
      </c>
      <c r="B5351" s="11" t="str">
        <f>Daily_Data!J5351</f>
        <v/>
      </c>
      <c r="C5351" s="11" t="str">
        <f>Daily_Data!I5351</f>
        <v/>
      </c>
      <c r="D5351" s="12">
        <f>if(sum(Daily_Data!K5351:L5351)&gt;0,1,0)</f>
        <v>0</v>
      </c>
    </row>
    <row r="5352">
      <c r="A5352" s="10">
        <f>Daily_Data!A5352</f>
        <v>44018</v>
      </c>
      <c r="B5352" s="11">
        <f>Daily_Data!J5352</f>
        <v>27.94</v>
      </c>
      <c r="C5352" s="11">
        <f>Daily_Data!I5352</f>
        <v>0.06</v>
      </c>
      <c r="D5352" s="12">
        <f>if(sum(Daily_Data!K5352:L5352)&gt;0,1,0)</f>
        <v>0</v>
      </c>
    </row>
    <row r="5353">
      <c r="A5353" s="10">
        <f>Daily_Data!A5353</f>
        <v>44019</v>
      </c>
      <c r="B5353" s="11">
        <f>Daily_Data!J5353</f>
        <v>29.43</v>
      </c>
      <c r="C5353" s="11">
        <f>Daily_Data!I5353</f>
        <v>0.06</v>
      </c>
      <c r="D5353" s="12">
        <f>if(sum(Daily_Data!K5353:L5353)&gt;0,1,0)</f>
        <v>0</v>
      </c>
    </row>
    <row r="5354">
      <c r="A5354" s="10">
        <f>Daily_Data!A5354</f>
        <v>44020</v>
      </c>
      <c r="B5354" s="11">
        <f>Daily_Data!J5354</f>
        <v>28.08</v>
      </c>
      <c r="C5354" s="11">
        <f>Daily_Data!I5354</f>
        <v>0.06</v>
      </c>
      <c r="D5354" s="12">
        <f>if(sum(Daily_Data!K5354:L5354)&gt;0,1,0)</f>
        <v>0</v>
      </c>
    </row>
    <row r="5355">
      <c r="A5355" s="10">
        <f>Daily_Data!A5355</f>
        <v>44021</v>
      </c>
      <c r="B5355" s="11">
        <f>Daily_Data!J5355</f>
        <v>29.26</v>
      </c>
      <c r="C5355" s="11">
        <f>Daily_Data!I5355</f>
        <v>0.06</v>
      </c>
      <c r="D5355" s="12">
        <f>if(sum(Daily_Data!K5355:L5355)&gt;0,1,0)</f>
        <v>0</v>
      </c>
    </row>
    <row r="5356">
      <c r="A5356" s="10">
        <f>Daily_Data!A5356</f>
        <v>44022</v>
      </c>
      <c r="B5356" s="11">
        <f>Daily_Data!J5356</f>
        <v>27.29</v>
      </c>
      <c r="C5356" s="11">
        <f>Daily_Data!I5356</f>
        <v>0.05</v>
      </c>
      <c r="D5356" s="12">
        <f>if(sum(Daily_Data!K5356:L5356)&gt;0,1,0)</f>
        <v>0</v>
      </c>
    </row>
    <row r="5357">
      <c r="A5357" s="10">
        <f>Daily_Data!A5357</f>
        <v>44025</v>
      </c>
      <c r="B5357" s="11">
        <f>Daily_Data!J5357</f>
        <v>32.19</v>
      </c>
      <c r="C5357" s="11">
        <f>Daily_Data!I5357</f>
        <v>0.06</v>
      </c>
      <c r="D5357" s="12">
        <f>if(sum(Daily_Data!K5357:L5357)&gt;0,1,0)</f>
        <v>0</v>
      </c>
    </row>
    <row r="5358">
      <c r="A5358" s="10">
        <f>Daily_Data!A5358</f>
        <v>44026</v>
      </c>
      <c r="B5358" s="11">
        <f>Daily_Data!J5358</f>
        <v>29.52</v>
      </c>
      <c r="C5358" s="11">
        <f>Daily_Data!I5358</f>
        <v>0.07</v>
      </c>
      <c r="D5358" s="12">
        <f>if(sum(Daily_Data!K5358:L5358)&gt;0,1,0)</f>
        <v>1</v>
      </c>
    </row>
    <row r="5359">
      <c r="A5359" s="10">
        <f>Daily_Data!A5359</f>
        <v>44027</v>
      </c>
      <c r="B5359" s="11">
        <f>Daily_Data!J5359</f>
        <v>27.76</v>
      </c>
      <c r="C5359" s="11">
        <f>Daily_Data!I5359</f>
        <v>0.05</v>
      </c>
      <c r="D5359" s="12">
        <f>if(sum(Daily_Data!K5359:L5359)&gt;0,1,0)</f>
        <v>0</v>
      </c>
    </row>
    <row r="5360">
      <c r="A5360" s="10">
        <f>Daily_Data!A5360</f>
        <v>44028</v>
      </c>
      <c r="B5360" s="11">
        <f>Daily_Data!J5360</f>
        <v>28</v>
      </c>
      <c r="C5360" s="11">
        <f>Daily_Data!I5360</f>
        <v>0.05</v>
      </c>
      <c r="D5360" s="12">
        <f>if(sum(Daily_Data!K5360:L5360)&gt;0,1,0)</f>
        <v>0</v>
      </c>
    </row>
    <row r="5361">
      <c r="A5361" s="10">
        <f>Daily_Data!A5361</f>
        <v>44029</v>
      </c>
      <c r="B5361" s="11">
        <f>Daily_Data!J5361</f>
        <v>25.68</v>
      </c>
      <c r="C5361" s="11">
        <f>Daily_Data!I5361</f>
        <v>0.07</v>
      </c>
      <c r="D5361" s="12">
        <f>if(sum(Daily_Data!K5361:L5361)&gt;0,1,0)</f>
        <v>0</v>
      </c>
    </row>
    <row r="5362">
      <c r="A5362" s="10">
        <f>Daily_Data!A5362</f>
        <v>44032</v>
      </c>
      <c r="B5362" s="11">
        <f>Daily_Data!J5362</f>
        <v>24.46</v>
      </c>
      <c r="C5362" s="11">
        <f>Daily_Data!I5362</f>
        <v>0.05</v>
      </c>
      <c r="D5362" s="12">
        <f>if(sum(Daily_Data!K5362:L5362)&gt;0,1,0)</f>
        <v>0</v>
      </c>
    </row>
    <row r="5363">
      <c r="A5363" s="10">
        <f>Daily_Data!A5363</f>
        <v>44033</v>
      </c>
      <c r="B5363" s="11">
        <f>Daily_Data!J5363</f>
        <v>24.84</v>
      </c>
      <c r="C5363" s="11">
        <f>Daily_Data!I5363</f>
        <v>0.07</v>
      </c>
      <c r="D5363" s="12">
        <f>if(sum(Daily_Data!K5363:L5363)&gt;0,1,0)</f>
        <v>0</v>
      </c>
    </row>
    <row r="5364">
      <c r="A5364" s="10">
        <f>Daily_Data!A5364</f>
        <v>44034</v>
      </c>
      <c r="B5364" s="11">
        <f>Daily_Data!J5364</f>
        <v>24.32</v>
      </c>
      <c r="C5364" s="11">
        <f>Daily_Data!I5364</f>
        <v>0.07</v>
      </c>
      <c r="D5364" s="12">
        <f>if(sum(Daily_Data!K5364:L5364)&gt;0,1,0)</f>
        <v>0</v>
      </c>
    </row>
    <row r="5365">
      <c r="A5365" s="10">
        <f>Daily_Data!A5365</f>
        <v>44035</v>
      </c>
      <c r="B5365" s="11">
        <f>Daily_Data!J5365</f>
        <v>26.08</v>
      </c>
      <c r="C5365" s="11">
        <f>Daily_Data!I5365</f>
        <v>0.06</v>
      </c>
      <c r="D5365" s="12">
        <f>if(sum(Daily_Data!K5365:L5365)&gt;0,1,0)</f>
        <v>0</v>
      </c>
    </row>
    <row r="5366">
      <c r="A5366" s="10">
        <f>Daily_Data!A5366</f>
        <v>44036</v>
      </c>
      <c r="B5366" s="11">
        <f>Daily_Data!J5366</f>
        <v>25.84</v>
      </c>
      <c r="C5366" s="11">
        <f>Daily_Data!I5366</f>
        <v>0.08</v>
      </c>
      <c r="D5366" s="12">
        <f>if(sum(Daily_Data!K5366:L5366)&gt;0,1,0)</f>
        <v>0</v>
      </c>
    </row>
    <row r="5367">
      <c r="A5367" s="10">
        <f>Daily_Data!A5367</f>
        <v>44039</v>
      </c>
      <c r="B5367" s="11">
        <f>Daily_Data!J5367</f>
        <v>24.74</v>
      </c>
      <c r="C5367" s="11">
        <f>Daily_Data!I5367</f>
        <v>0.06</v>
      </c>
      <c r="D5367" s="12">
        <f>if(sum(Daily_Data!K5367:L5367)&gt;0,1,0)</f>
        <v>0</v>
      </c>
    </row>
    <row r="5368">
      <c r="A5368" s="10">
        <f>Daily_Data!A5368</f>
        <v>44040</v>
      </c>
      <c r="B5368" s="11">
        <f>Daily_Data!J5368</f>
        <v>25.44</v>
      </c>
      <c r="C5368" s="11">
        <f>Daily_Data!I5368</f>
        <v>0.07</v>
      </c>
      <c r="D5368" s="12">
        <f>if(sum(Daily_Data!K5368:L5368)&gt;0,1,0)</f>
        <v>0</v>
      </c>
    </row>
    <row r="5369">
      <c r="A5369" s="10">
        <f>Daily_Data!A5369</f>
        <v>44041</v>
      </c>
      <c r="B5369" s="11">
        <f>Daily_Data!J5369</f>
        <v>24.1</v>
      </c>
      <c r="C5369" s="11">
        <f>Daily_Data!I5369</f>
        <v>0.08</v>
      </c>
      <c r="D5369" s="12">
        <f>if(sum(Daily_Data!K5369:L5369)&gt;0,1,0)</f>
        <v>0</v>
      </c>
    </row>
    <row r="5370">
      <c r="A5370" s="10">
        <f>Daily_Data!A5370</f>
        <v>44042</v>
      </c>
      <c r="B5370" s="11">
        <f>Daily_Data!J5370</f>
        <v>24.76</v>
      </c>
      <c r="C5370" s="11">
        <f>Daily_Data!I5370</f>
        <v>0.09</v>
      </c>
      <c r="D5370" s="12">
        <f>if(sum(Daily_Data!K5370:L5370)&gt;0,1,0)</f>
        <v>0</v>
      </c>
    </row>
    <row r="5371">
      <c r="A5371" s="10">
        <f>Daily_Data!A5371</f>
        <v>44043</v>
      </c>
      <c r="B5371" s="11">
        <f>Daily_Data!J5371</f>
        <v>24.46</v>
      </c>
      <c r="C5371" s="11">
        <f>Daily_Data!I5371</f>
        <v>0.08</v>
      </c>
      <c r="D5371" s="12">
        <f>if(sum(Daily_Data!K5371:L5371)&gt;0,1,0)</f>
        <v>0</v>
      </c>
    </row>
    <row r="5372">
      <c r="A5372" s="10">
        <f>Daily_Data!A5372</f>
        <v>44046</v>
      </c>
      <c r="B5372" s="11">
        <f>Daily_Data!J5372</f>
        <v>24.28</v>
      </c>
      <c r="C5372" s="11">
        <f>Daily_Data!I5372</f>
        <v>0.09</v>
      </c>
      <c r="D5372" s="12">
        <f>if(sum(Daily_Data!K5372:L5372)&gt;0,1,0)</f>
        <v>0</v>
      </c>
    </row>
    <row r="5373">
      <c r="A5373" s="10">
        <f>Daily_Data!A5373</f>
        <v>44047</v>
      </c>
      <c r="B5373" s="11">
        <f>Daily_Data!J5373</f>
        <v>23.76</v>
      </c>
      <c r="C5373" s="11">
        <f>Daily_Data!I5373</f>
        <v>0.09</v>
      </c>
      <c r="D5373" s="12">
        <f>if(sum(Daily_Data!K5373:L5373)&gt;0,1,0)</f>
        <v>0</v>
      </c>
    </row>
    <row r="5374">
      <c r="A5374" s="10">
        <f>Daily_Data!A5374</f>
        <v>44048</v>
      </c>
      <c r="B5374" s="11">
        <f>Daily_Data!J5374</f>
        <v>22.99</v>
      </c>
      <c r="C5374" s="11">
        <f>Daily_Data!I5374</f>
        <v>0.09</v>
      </c>
      <c r="D5374" s="12">
        <f>if(sum(Daily_Data!K5374:L5374)&gt;0,1,0)</f>
        <v>0</v>
      </c>
    </row>
    <row r="5375">
      <c r="A5375" s="10">
        <f>Daily_Data!A5375</f>
        <v>44049</v>
      </c>
      <c r="B5375" s="11">
        <f>Daily_Data!J5375</f>
        <v>22.65</v>
      </c>
      <c r="C5375" s="11">
        <f>Daily_Data!I5375</f>
        <v>0.08</v>
      </c>
      <c r="D5375" s="12">
        <f>if(sum(Daily_Data!K5375:L5375)&gt;0,1,0)</f>
        <v>0</v>
      </c>
    </row>
    <row r="5376">
      <c r="A5376" s="10">
        <f>Daily_Data!A5376</f>
        <v>44050</v>
      </c>
      <c r="B5376" s="11">
        <f>Daily_Data!J5376</f>
        <v>22.21</v>
      </c>
      <c r="C5376" s="11">
        <f>Daily_Data!I5376</f>
        <v>0.07</v>
      </c>
      <c r="D5376" s="12">
        <f>if(sum(Daily_Data!K5376:L5376)&gt;0,1,0)</f>
        <v>1</v>
      </c>
    </row>
    <row r="5377">
      <c r="A5377" s="10">
        <f>Daily_Data!A5377</f>
        <v>44053</v>
      </c>
      <c r="B5377" s="11">
        <f>Daily_Data!J5377</f>
        <v>22.13</v>
      </c>
      <c r="C5377" s="11">
        <f>Daily_Data!I5377</f>
        <v>0.06</v>
      </c>
      <c r="D5377" s="12">
        <f>if(sum(Daily_Data!K5377:L5377)&gt;0,1,0)</f>
        <v>0</v>
      </c>
    </row>
    <row r="5378">
      <c r="A5378" s="10">
        <f>Daily_Data!A5378</f>
        <v>44054</v>
      </c>
      <c r="B5378" s="11">
        <f>Daily_Data!J5378</f>
        <v>24.03</v>
      </c>
      <c r="C5378" s="11">
        <f>Daily_Data!I5378</f>
        <v>0.05</v>
      </c>
      <c r="D5378" s="12">
        <f>if(sum(Daily_Data!K5378:L5378)&gt;0,1,0)</f>
        <v>0</v>
      </c>
    </row>
    <row r="5379">
      <c r="A5379" s="10">
        <f>Daily_Data!A5379</f>
        <v>44055</v>
      </c>
      <c r="B5379" s="11">
        <f>Daily_Data!J5379</f>
        <v>22.28</v>
      </c>
      <c r="C5379" s="11">
        <f>Daily_Data!I5379</f>
        <v>-0.01</v>
      </c>
      <c r="D5379" s="12">
        <f>if(sum(Daily_Data!K5379:L5379)&gt;0,1,0)</f>
        <v>1</v>
      </c>
    </row>
    <row r="5380">
      <c r="A5380" s="10">
        <f>Daily_Data!A5380</f>
        <v>44056</v>
      </c>
      <c r="B5380" s="11">
        <f>Daily_Data!J5380</f>
        <v>22.13</v>
      </c>
      <c r="C5380" s="11">
        <f>Daily_Data!I5380</f>
        <v>-0.05</v>
      </c>
      <c r="D5380" s="12">
        <f>if(sum(Daily_Data!K5380:L5380)&gt;0,1,0)</f>
        <v>0</v>
      </c>
    </row>
    <row r="5381">
      <c r="A5381" s="10">
        <f>Daily_Data!A5381</f>
        <v>44057</v>
      </c>
      <c r="B5381" s="11">
        <f>Daily_Data!J5381</f>
        <v>22.05</v>
      </c>
      <c r="C5381" s="11">
        <f>Daily_Data!I5381</f>
        <v>-0.01</v>
      </c>
      <c r="D5381" s="12">
        <f>if(sum(Daily_Data!K5381:L5381)&gt;0,1,0)</f>
        <v>0</v>
      </c>
    </row>
    <row r="5382">
      <c r="A5382" s="10">
        <f>Daily_Data!A5382</f>
        <v>44060</v>
      </c>
      <c r="B5382" s="11">
        <f>Daily_Data!J5382</f>
        <v>21.35</v>
      </c>
      <c r="C5382" s="11">
        <f>Daily_Data!I5382</f>
        <v>-0.02</v>
      </c>
      <c r="D5382" s="12">
        <f>if(sum(Daily_Data!K5382:L5382)&gt;0,1,0)</f>
        <v>0</v>
      </c>
    </row>
    <row r="5383">
      <c r="A5383" s="10">
        <f>Daily_Data!A5383</f>
        <v>44061</v>
      </c>
      <c r="B5383" s="11">
        <f>Daily_Data!J5383</f>
        <v>21.51</v>
      </c>
      <c r="C5383" s="11">
        <f>Daily_Data!I5383</f>
        <v>-0.06</v>
      </c>
      <c r="D5383" s="12">
        <f>if(sum(Daily_Data!K5383:L5383)&gt;0,1,0)</f>
        <v>0</v>
      </c>
    </row>
    <row r="5384">
      <c r="A5384" s="10">
        <f>Daily_Data!A5384</f>
        <v>44062</v>
      </c>
      <c r="B5384" s="11">
        <f>Daily_Data!J5384</f>
        <v>22.54</v>
      </c>
      <c r="C5384" s="11">
        <f>Daily_Data!I5384</f>
        <v>-0.05</v>
      </c>
      <c r="D5384" s="12">
        <f>if(sum(Daily_Data!K5384:L5384)&gt;0,1,0)</f>
        <v>0</v>
      </c>
    </row>
    <row r="5385">
      <c r="A5385" s="10">
        <f>Daily_Data!A5385</f>
        <v>44063</v>
      </c>
      <c r="B5385" s="11">
        <f>Daily_Data!J5385</f>
        <v>22.72</v>
      </c>
      <c r="C5385" s="11">
        <f>Daily_Data!I5385</f>
        <v>-0.06</v>
      </c>
      <c r="D5385" s="12">
        <f>if(sum(Daily_Data!K5385:L5385)&gt;0,1,0)</f>
        <v>0</v>
      </c>
    </row>
    <row r="5386">
      <c r="A5386" s="10">
        <f>Daily_Data!A5386</f>
        <v>44064</v>
      </c>
      <c r="B5386" s="11">
        <f>Daily_Data!J5386</f>
        <v>22.54</v>
      </c>
      <c r="C5386" s="11">
        <f>Daily_Data!I5386</f>
        <v>-0.08</v>
      </c>
      <c r="D5386" s="12">
        <f>if(sum(Daily_Data!K5386:L5386)&gt;0,1,0)</f>
        <v>0</v>
      </c>
    </row>
    <row r="5387">
      <c r="A5387" s="10">
        <f>Daily_Data!A5387</f>
        <v>44067</v>
      </c>
      <c r="B5387" s="11">
        <f>Daily_Data!J5387</f>
        <v>22.37</v>
      </c>
      <c r="C5387" s="11">
        <f>Daily_Data!I5387</f>
        <v>-0.05</v>
      </c>
      <c r="D5387" s="12">
        <f>if(sum(Daily_Data!K5387:L5387)&gt;0,1,0)</f>
        <v>0</v>
      </c>
    </row>
    <row r="5388">
      <c r="A5388" s="10">
        <f>Daily_Data!A5388</f>
        <v>44068</v>
      </c>
      <c r="B5388" s="11">
        <f>Daily_Data!J5388</f>
        <v>22.03</v>
      </c>
      <c r="C5388" s="11">
        <f>Daily_Data!I5388</f>
        <v>-0.07</v>
      </c>
      <c r="D5388" s="12">
        <f>if(sum(Daily_Data!K5388:L5388)&gt;0,1,0)</f>
        <v>0</v>
      </c>
    </row>
    <row r="5389">
      <c r="A5389" s="10">
        <f>Daily_Data!A5389</f>
        <v>44069</v>
      </c>
      <c r="B5389" s="11">
        <f>Daily_Data!J5389</f>
        <v>23.27</v>
      </c>
      <c r="C5389" s="11">
        <f>Daily_Data!I5389</f>
        <v>-0.07</v>
      </c>
      <c r="D5389" s="12">
        <f>if(sum(Daily_Data!K5389:L5389)&gt;0,1,0)</f>
        <v>0</v>
      </c>
    </row>
    <row r="5390">
      <c r="A5390" s="10">
        <f>Daily_Data!A5390</f>
        <v>44070</v>
      </c>
      <c r="B5390" s="11">
        <f>Daily_Data!J5390</f>
        <v>24.47</v>
      </c>
      <c r="C5390" s="11">
        <f>Daily_Data!I5390</f>
        <v>-0.08</v>
      </c>
      <c r="D5390" s="12">
        <f>if(sum(Daily_Data!K5390:L5390)&gt;0,1,0)</f>
        <v>0</v>
      </c>
    </row>
    <row r="5391">
      <c r="A5391" s="10">
        <f>Daily_Data!A5391</f>
        <v>44071</v>
      </c>
      <c r="B5391" s="11">
        <f>Daily_Data!J5391</f>
        <v>22.96</v>
      </c>
      <c r="C5391" s="11">
        <f>Daily_Data!I5391</f>
        <v>-0.06</v>
      </c>
      <c r="D5391" s="12">
        <f>if(sum(Daily_Data!K5391:L5391)&gt;0,1,0)</f>
        <v>0</v>
      </c>
    </row>
    <row r="5392">
      <c r="A5392" s="10">
        <f>Daily_Data!A5392</f>
        <v>44074</v>
      </c>
      <c r="B5392" s="11">
        <f>Daily_Data!J5392</f>
        <v>26.41</v>
      </c>
      <c r="C5392" s="11">
        <f>Daily_Data!I5392</f>
        <v>-0.07</v>
      </c>
      <c r="D5392" s="12">
        <f>if(sum(Daily_Data!K5392:L5392)&gt;0,1,0)</f>
        <v>0</v>
      </c>
    </row>
    <row r="5393">
      <c r="A5393" s="10">
        <f>Daily_Data!A5393</f>
        <v>44075</v>
      </c>
      <c r="B5393" s="11">
        <f>Daily_Data!J5393</f>
        <v>26.12</v>
      </c>
      <c r="C5393" s="11">
        <f>Daily_Data!I5393</f>
        <v>-0.09</v>
      </c>
      <c r="D5393" s="12">
        <f>if(sum(Daily_Data!K5393:L5393)&gt;0,1,0)</f>
        <v>0</v>
      </c>
    </row>
    <row r="5394">
      <c r="A5394" s="10">
        <f>Daily_Data!A5394</f>
        <v>44076</v>
      </c>
      <c r="B5394" s="11">
        <f>Daily_Data!J5394</f>
        <v>26.57</v>
      </c>
      <c r="C5394" s="11">
        <f>Daily_Data!I5394</f>
        <v>-0.07</v>
      </c>
      <c r="D5394" s="12">
        <f>if(sum(Daily_Data!K5394:L5394)&gt;0,1,0)</f>
        <v>0</v>
      </c>
    </row>
    <row r="5395">
      <c r="A5395" s="10">
        <f>Daily_Data!A5395</f>
        <v>44077</v>
      </c>
      <c r="B5395" s="11">
        <f>Daily_Data!J5395</f>
        <v>33.6</v>
      </c>
      <c r="C5395" s="11">
        <f>Daily_Data!I5395</f>
        <v>-0.07</v>
      </c>
      <c r="D5395" s="12">
        <f>if(sum(Daily_Data!K5395:L5395)&gt;0,1,0)</f>
        <v>0</v>
      </c>
    </row>
    <row r="5396">
      <c r="A5396" s="10">
        <f>Daily_Data!A5396</f>
        <v>44078</v>
      </c>
      <c r="B5396" s="11">
        <f>Daily_Data!J5396</f>
        <v>30.75</v>
      </c>
      <c r="C5396" s="11">
        <f>Daily_Data!I5396</f>
        <v>-0.09</v>
      </c>
      <c r="D5396" s="12">
        <f>if(sum(Daily_Data!K5396:L5396)&gt;0,1,0)</f>
        <v>1</v>
      </c>
    </row>
    <row r="5397">
      <c r="A5397" s="10">
        <f>Daily_Data!A5397</f>
        <v>44081</v>
      </c>
      <c r="B5397" s="11" t="str">
        <f>Daily_Data!J5397</f>
        <v/>
      </c>
      <c r="C5397" s="11" t="str">
        <f>Daily_Data!I5397</f>
        <v/>
      </c>
      <c r="D5397" s="12">
        <f>if(sum(Daily_Data!K5397:L5397)&gt;0,1,0)</f>
        <v>0</v>
      </c>
    </row>
    <row r="5398">
      <c r="A5398" s="10">
        <f>Daily_Data!A5398</f>
        <v>44082</v>
      </c>
      <c r="B5398" s="11">
        <f>Daily_Data!J5398</f>
        <v>31.46</v>
      </c>
      <c r="C5398" s="11">
        <f>Daily_Data!I5398</f>
        <v>-0.12</v>
      </c>
      <c r="D5398" s="12">
        <f>if(sum(Daily_Data!K5398:L5398)&gt;0,1,0)</f>
        <v>0</v>
      </c>
    </row>
    <row r="5399">
      <c r="A5399" s="10">
        <f>Daily_Data!A5399</f>
        <v>44083</v>
      </c>
      <c r="B5399" s="11">
        <f>Daily_Data!J5399</f>
        <v>28.81</v>
      </c>
      <c r="C5399" s="11">
        <f>Daily_Data!I5399</f>
        <v>-0.14</v>
      </c>
      <c r="D5399" s="12">
        <f>if(sum(Daily_Data!K5399:L5399)&gt;0,1,0)</f>
        <v>0</v>
      </c>
    </row>
    <row r="5400">
      <c r="A5400" s="10">
        <f>Daily_Data!A5400</f>
        <v>44084</v>
      </c>
      <c r="B5400" s="11">
        <f>Daily_Data!J5400</f>
        <v>29.71</v>
      </c>
      <c r="C5400" s="11">
        <f>Daily_Data!I5400</f>
        <v>-0.12</v>
      </c>
      <c r="D5400" s="12">
        <f>if(sum(Daily_Data!K5400:L5400)&gt;0,1,0)</f>
        <v>0</v>
      </c>
    </row>
    <row r="5401">
      <c r="A5401" s="10">
        <f>Daily_Data!A5401</f>
        <v>44085</v>
      </c>
      <c r="B5401" s="11">
        <f>Daily_Data!J5401</f>
        <v>26.87</v>
      </c>
      <c r="C5401" s="11">
        <f>Daily_Data!I5401</f>
        <v>-0.08</v>
      </c>
      <c r="D5401" s="12">
        <f>if(sum(Daily_Data!K5401:L5401)&gt;0,1,0)</f>
        <v>1</v>
      </c>
    </row>
    <row r="5402">
      <c r="A5402" s="10">
        <f>Daily_Data!A5402</f>
        <v>44088</v>
      </c>
      <c r="B5402" s="11">
        <f>Daily_Data!J5402</f>
        <v>25.85</v>
      </c>
      <c r="C5402" s="11">
        <f>Daily_Data!I5402</f>
        <v>-0.1</v>
      </c>
      <c r="D5402" s="12">
        <f>if(sum(Daily_Data!K5402:L5402)&gt;0,1,0)</f>
        <v>0</v>
      </c>
    </row>
    <row r="5403">
      <c r="A5403" s="10">
        <f>Daily_Data!A5403</f>
        <v>44089</v>
      </c>
      <c r="B5403" s="11">
        <f>Daily_Data!J5403</f>
        <v>25.59</v>
      </c>
      <c r="C5403" s="11">
        <f>Daily_Data!I5403</f>
        <v>-0.1</v>
      </c>
      <c r="D5403" s="12">
        <f>if(sum(Daily_Data!K5403:L5403)&gt;0,1,0)</f>
        <v>0</v>
      </c>
    </row>
    <row r="5404">
      <c r="A5404" s="10">
        <f>Daily_Data!A5404</f>
        <v>44090</v>
      </c>
      <c r="B5404" s="11">
        <f>Daily_Data!J5404</f>
        <v>26.04</v>
      </c>
      <c r="C5404" s="11">
        <f>Daily_Data!I5404</f>
        <v>-0.1</v>
      </c>
      <c r="D5404" s="12">
        <f>if(sum(Daily_Data!K5404:L5404)&gt;0,1,0)</f>
        <v>0</v>
      </c>
    </row>
    <row r="5405">
      <c r="A5405" s="10">
        <f>Daily_Data!A5405</f>
        <v>44091</v>
      </c>
      <c r="B5405" s="11">
        <f>Daily_Data!J5405</f>
        <v>26.46</v>
      </c>
      <c r="C5405" s="11">
        <f>Daily_Data!I5405</f>
        <v>-0.1</v>
      </c>
      <c r="D5405" s="12">
        <f>if(sum(Daily_Data!K5405:L5405)&gt;0,1,0)</f>
        <v>0</v>
      </c>
    </row>
    <row r="5406">
      <c r="A5406" s="10">
        <f>Daily_Data!A5406</f>
        <v>44092</v>
      </c>
      <c r="B5406" s="11">
        <f>Daily_Data!J5406</f>
        <v>25.83</v>
      </c>
      <c r="C5406" s="11">
        <f>Daily_Data!I5406</f>
        <v>-0.09</v>
      </c>
      <c r="D5406" s="12">
        <f>if(sum(Daily_Data!K5406:L5406)&gt;0,1,0)</f>
        <v>0</v>
      </c>
    </row>
    <row r="5407">
      <c r="A5407" s="10">
        <f>Daily_Data!A5407</f>
        <v>44095</v>
      </c>
      <c r="B5407" s="11">
        <f>Daily_Data!J5407</f>
        <v>27.78</v>
      </c>
      <c r="C5407" s="11">
        <f>Daily_Data!I5407</f>
        <v>-0.1</v>
      </c>
      <c r="D5407" s="12">
        <f>if(sum(Daily_Data!K5407:L5407)&gt;0,1,0)</f>
        <v>0</v>
      </c>
    </row>
    <row r="5408">
      <c r="A5408" s="10">
        <f>Daily_Data!A5408</f>
        <v>44096</v>
      </c>
      <c r="B5408" s="11">
        <f>Daily_Data!J5408</f>
        <v>26.86</v>
      </c>
      <c r="C5408" s="11">
        <f>Daily_Data!I5408</f>
        <v>-0.08</v>
      </c>
      <c r="D5408" s="12">
        <f>if(sum(Daily_Data!K5408:L5408)&gt;0,1,0)</f>
        <v>0</v>
      </c>
    </row>
    <row r="5409">
      <c r="A5409" s="10">
        <f>Daily_Data!A5409</f>
        <v>44097</v>
      </c>
      <c r="B5409" s="11">
        <f>Daily_Data!J5409</f>
        <v>28.58</v>
      </c>
      <c r="C5409" s="11">
        <f>Daily_Data!I5409</f>
        <v>-0.12</v>
      </c>
      <c r="D5409" s="12">
        <f>if(sum(Daily_Data!K5409:L5409)&gt;0,1,0)</f>
        <v>0</v>
      </c>
    </row>
    <row r="5410">
      <c r="A5410" s="10">
        <f>Daily_Data!A5410</f>
        <v>44098</v>
      </c>
      <c r="B5410" s="11">
        <f>Daily_Data!J5410</f>
        <v>28.51</v>
      </c>
      <c r="C5410" s="11">
        <f>Daily_Data!I5410</f>
        <v>-0.11</v>
      </c>
      <c r="D5410" s="12">
        <f>if(sum(Daily_Data!K5410:L5410)&gt;0,1,0)</f>
        <v>0</v>
      </c>
    </row>
    <row r="5411">
      <c r="A5411" s="10">
        <f>Daily_Data!A5411</f>
        <v>44099</v>
      </c>
      <c r="B5411" s="11">
        <f>Daily_Data!J5411</f>
        <v>26.38</v>
      </c>
      <c r="C5411" s="11">
        <f>Daily_Data!I5411</f>
        <v>-0.09</v>
      </c>
      <c r="D5411" s="12">
        <f>if(sum(Daily_Data!K5411:L5411)&gt;0,1,0)</f>
        <v>0</v>
      </c>
    </row>
    <row r="5412">
      <c r="A5412" s="10">
        <f>Daily_Data!A5412</f>
        <v>44102</v>
      </c>
      <c r="B5412" s="11">
        <f>Daily_Data!J5412</f>
        <v>26.19</v>
      </c>
      <c r="C5412" s="11">
        <f>Daily_Data!I5412</f>
        <v>-0.11</v>
      </c>
      <c r="D5412" s="12">
        <f>if(sum(Daily_Data!K5412:L5412)&gt;0,1,0)</f>
        <v>0</v>
      </c>
    </row>
    <row r="5413">
      <c r="A5413" s="10">
        <f>Daily_Data!A5413</f>
        <v>44103</v>
      </c>
      <c r="B5413" s="11">
        <f>Daily_Data!J5413</f>
        <v>26.27</v>
      </c>
      <c r="C5413" s="11">
        <f>Daily_Data!I5413</f>
        <v>-0.07</v>
      </c>
      <c r="D5413" s="12">
        <f>if(sum(Daily_Data!K5413:L5413)&gt;0,1,0)</f>
        <v>0</v>
      </c>
    </row>
    <row r="5414">
      <c r="A5414" s="10">
        <f>Daily_Data!A5414</f>
        <v>44104</v>
      </c>
      <c r="B5414" s="11">
        <f>Daily_Data!J5414</f>
        <v>26.37</v>
      </c>
      <c r="C5414" s="11">
        <f>Daily_Data!I5414</f>
        <v>-0.08</v>
      </c>
      <c r="D5414" s="12">
        <f>if(sum(Daily_Data!K5414:L5414)&gt;0,1,0)</f>
        <v>0</v>
      </c>
    </row>
    <row r="5415">
      <c r="A5415" s="10">
        <f>Daily_Data!A5415</f>
        <v>44105</v>
      </c>
      <c r="B5415" s="11">
        <f>Daily_Data!J5415</f>
        <v>26.7</v>
      </c>
      <c r="C5415" s="11">
        <f>Daily_Data!I5415</f>
        <v>-0.08</v>
      </c>
      <c r="D5415" s="12">
        <f>if(sum(Daily_Data!K5415:L5415)&gt;0,1,0)</f>
        <v>0</v>
      </c>
    </row>
    <row r="5416">
      <c r="A5416" s="10">
        <f>Daily_Data!A5416</f>
        <v>44106</v>
      </c>
      <c r="B5416" s="11">
        <f>Daily_Data!J5416</f>
        <v>27.63</v>
      </c>
      <c r="C5416" s="11">
        <f>Daily_Data!I5416</f>
        <v>-0.07</v>
      </c>
      <c r="D5416" s="12">
        <f>if(sum(Daily_Data!K5416:L5416)&gt;0,1,0)</f>
        <v>1</v>
      </c>
    </row>
    <row r="5417">
      <c r="A5417" s="10">
        <f>Daily_Data!A5417</f>
        <v>44109</v>
      </c>
      <c r="B5417" s="11">
        <f>Daily_Data!J5417</f>
        <v>27.96</v>
      </c>
      <c r="C5417" s="11">
        <f>Daily_Data!I5417</f>
        <v>-0.08</v>
      </c>
      <c r="D5417" s="12">
        <f>if(sum(Daily_Data!K5417:L5417)&gt;0,1,0)</f>
        <v>0</v>
      </c>
    </row>
    <row r="5418">
      <c r="A5418" s="10">
        <f>Daily_Data!A5418</f>
        <v>44110</v>
      </c>
      <c r="B5418" s="11">
        <f>Daily_Data!J5418</f>
        <v>29.48</v>
      </c>
      <c r="C5418" s="11">
        <f>Daily_Data!I5418</f>
        <v>-0.08</v>
      </c>
      <c r="D5418" s="12">
        <f>if(sum(Daily_Data!K5418:L5418)&gt;0,1,0)</f>
        <v>0</v>
      </c>
    </row>
    <row r="5419">
      <c r="A5419" s="10">
        <f>Daily_Data!A5419</f>
        <v>44111</v>
      </c>
      <c r="B5419" s="11">
        <f>Daily_Data!J5419</f>
        <v>28.06</v>
      </c>
      <c r="C5419" s="11">
        <f>Daily_Data!I5419</f>
        <v>-0.12</v>
      </c>
      <c r="D5419" s="12">
        <f>if(sum(Daily_Data!K5419:L5419)&gt;0,1,0)</f>
        <v>0</v>
      </c>
    </row>
    <row r="5420">
      <c r="A5420" s="10">
        <f>Daily_Data!A5420</f>
        <v>44112</v>
      </c>
      <c r="B5420" s="11">
        <f>Daily_Data!J5420</f>
        <v>26.36</v>
      </c>
      <c r="C5420" s="11">
        <f>Daily_Data!I5420</f>
        <v>-0.11</v>
      </c>
      <c r="D5420" s="12">
        <f>if(sum(Daily_Data!K5420:L5420)&gt;0,1,0)</f>
        <v>0</v>
      </c>
    </row>
    <row r="5421">
      <c r="A5421" s="10">
        <f>Daily_Data!A5421</f>
        <v>44113</v>
      </c>
      <c r="B5421" s="11">
        <f>Daily_Data!J5421</f>
        <v>25</v>
      </c>
      <c r="C5421" s="11">
        <f>Daily_Data!I5421</f>
        <v>-0.14</v>
      </c>
      <c r="D5421" s="12">
        <f>if(sum(Daily_Data!K5421:L5421)&gt;0,1,0)</f>
        <v>0</v>
      </c>
    </row>
    <row r="5422">
      <c r="A5422" s="10">
        <f>Daily_Data!A5422</f>
        <v>44116</v>
      </c>
      <c r="B5422" s="11">
        <f>Daily_Data!J5422</f>
        <v>25.07</v>
      </c>
      <c r="C5422" s="11" t="str">
        <f>Daily_Data!I5422</f>
        <v/>
      </c>
      <c r="D5422" s="12">
        <f>if(sum(Daily_Data!K5422:L5422)&gt;0,1,0)</f>
        <v>0</v>
      </c>
    </row>
    <row r="5423">
      <c r="A5423" s="10">
        <f>Daily_Data!A5423</f>
        <v>44117</v>
      </c>
      <c r="B5423" s="11">
        <f>Daily_Data!J5423</f>
        <v>26.07</v>
      </c>
      <c r="C5423" s="11">
        <f>Daily_Data!I5423</f>
        <v>-0.12</v>
      </c>
      <c r="D5423" s="12">
        <f>if(sum(Daily_Data!K5423:L5423)&gt;0,1,0)</f>
        <v>1</v>
      </c>
    </row>
    <row r="5424">
      <c r="A5424" s="10">
        <f>Daily_Data!A5424</f>
        <v>44118</v>
      </c>
      <c r="B5424" s="11">
        <f>Daily_Data!J5424</f>
        <v>26.4</v>
      </c>
      <c r="C5424" s="11">
        <f>Daily_Data!I5424</f>
        <v>-0.08</v>
      </c>
      <c r="D5424" s="12">
        <f>if(sum(Daily_Data!K5424:L5424)&gt;0,1,0)</f>
        <v>0</v>
      </c>
    </row>
    <row r="5425">
      <c r="A5425" s="10">
        <f>Daily_Data!A5425</f>
        <v>44119</v>
      </c>
      <c r="B5425" s="11">
        <f>Daily_Data!J5425</f>
        <v>26.97</v>
      </c>
      <c r="C5425" s="11">
        <f>Daily_Data!I5425</f>
        <v>-0.1</v>
      </c>
      <c r="D5425" s="12">
        <f>if(sum(Daily_Data!K5425:L5425)&gt;0,1,0)</f>
        <v>0</v>
      </c>
    </row>
    <row r="5426">
      <c r="A5426" s="10">
        <f>Daily_Data!A5426</f>
        <v>44120</v>
      </c>
      <c r="B5426" s="11">
        <f>Daily_Data!J5426</f>
        <v>27.41</v>
      </c>
      <c r="C5426" s="11">
        <f>Daily_Data!I5426</f>
        <v>-0.11</v>
      </c>
      <c r="D5426" s="12">
        <f>if(sum(Daily_Data!K5426:L5426)&gt;0,1,0)</f>
        <v>0</v>
      </c>
    </row>
    <row r="5427">
      <c r="A5427" s="10">
        <f>Daily_Data!A5427</f>
        <v>44123</v>
      </c>
      <c r="B5427" s="11">
        <f>Daily_Data!J5427</f>
        <v>29.18</v>
      </c>
      <c r="C5427" s="11">
        <f>Daily_Data!I5427</f>
        <v>-0.13</v>
      </c>
      <c r="D5427" s="12">
        <f>if(sum(Daily_Data!K5427:L5427)&gt;0,1,0)</f>
        <v>0</v>
      </c>
    </row>
    <row r="5428">
      <c r="A5428" s="10">
        <f>Daily_Data!A5428</f>
        <v>44124</v>
      </c>
      <c r="B5428" s="11">
        <f>Daily_Data!J5428</f>
        <v>29.35</v>
      </c>
      <c r="C5428" s="11">
        <f>Daily_Data!I5428</f>
        <v>-0.13</v>
      </c>
      <c r="D5428" s="12">
        <f>if(sum(Daily_Data!K5428:L5428)&gt;0,1,0)</f>
        <v>0</v>
      </c>
    </row>
    <row r="5429">
      <c r="A5429" s="10">
        <f>Daily_Data!A5429</f>
        <v>44125</v>
      </c>
      <c r="B5429" s="11">
        <f>Daily_Data!J5429</f>
        <v>28.65</v>
      </c>
      <c r="C5429" s="11">
        <f>Daily_Data!I5429</f>
        <v>-0.13</v>
      </c>
      <c r="D5429" s="12">
        <f>if(sum(Daily_Data!K5429:L5429)&gt;0,1,0)</f>
        <v>0</v>
      </c>
    </row>
    <row r="5430">
      <c r="A5430" s="10">
        <f>Daily_Data!A5430</f>
        <v>44126</v>
      </c>
      <c r="B5430" s="11">
        <f>Daily_Data!J5430</f>
        <v>28.11</v>
      </c>
      <c r="C5430" s="11">
        <f>Daily_Data!I5430</f>
        <v>-0.15</v>
      </c>
      <c r="D5430" s="12">
        <f>if(sum(Daily_Data!K5430:L5430)&gt;0,1,0)</f>
        <v>0</v>
      </c>
    </row>
    <row r="5431">
      <c r="A5431" s="10">
        <f>Daily_Data!A5431</f>
        <v>44127</v>
      </c>
      <c r="B5431" s="11">
        <f>Daily_Data!J5431</f>
        <v>27.55</v>
      </c>
      <c r="C5431" s="11">
        <f>Daily_Data!I5431</f>
        <v>-0.17</v>
      </c>
      <c r="D5431" s="12">
        <f>if(sum(Daily_Data!K5431:L5431)&gt;0,1,0)</f>
        <v>0</v>
      </c>
    </row>
    <row r="5432">
      <c r="A5432" s="10">
        <f>Daily_Data!A5432</f>
        <v>44130</v>
      </c>
      <c r="B5432" s="11">
        <f>Daily_Data!J5432</f>
        <v>32.46</v>
      </c>
      <c r="C5432" s="11" t="str">
        <f>Daily_Data!I5432</f>
        <v/>
      </c>
      <c r="D5432" s="12">
        <f>if(sum(Daily_Data!K5432:L5432)&gt;0,1,0)</f>
        <v>0</v>
      </c>
    </row>
    <row r="5433">
      <c r="A5433" s="10">
        <f>Daily_Data!A5433</f>
        <v>44131</v>
      </c>
      <c r="B5433" s="11">
        <f>Daily_Data!J5433</f>
        <v>33.35</v>
      </c>
      <c r="C5433" s="11">
        <f>Daily_Data!I5433</f>
        <v>-0.16</v>
      </c>
      <c r="D5433" s="12">
        <f>if(sum(Daily_Data!K5433:L5433)&gt;0,1,0)</f>
        <v>0</v>
      </c>
    </row>
    <row r="5434">
      <c r="A5434" s="10">
        <f>Daily_Data!A5434</f>
        <v>44132</v>
      </c>
      <c r="B5434" s="11">
        <f>Daily_Data!J5434</f>
        <v>40.28</v>
      </c>
      <c r="C5434" s="11">
        <f>Daily_Data!I5434</f>
        <v>-0.16</v>
      </c>
      <c r="D5434" s="12">
        <f>if(sum(Daily_Data!K5434:L5434)&gt;0,1,0)</f>
        <v>0</v>
      </c>
    </row>
    <row r="5435">
      <c r="A5435" s="10">
        <f>Daily_Data!A5435</f>
        <v>44133</v>
      </c>
      <c r="B5435" s="11">
        <f>Daily_Data!J5435</f>
        <v>37.59</v>
      </c>
      <c r="C5435" s="11">
        <f>Daily_Data!I5435</f>
        <v>-0.16</v>
      </c>
      <c r="D5435" s="12">
        <f>if(sum(Daily_Data!K5435:L5435)&gt;0,1,0)</f>
        <v>0</v>
      </c>
    </row>
    <row r="5436">
      <c r="A5436" s="10">
        <f>Daily_Data!A5436</f>
        <v>44134</v>
      </c>
      <c r="B5436" s="11">
        <f>Daily_Data!J5436</f>
        <v>38.02</v>
      </c>
      <c r="C5436" s="11">
        <f>Daily_Data!I5436</f>
        <v>-0.14</v>
      </c>
      <c r="D5436" s="12">
        <f>if(sum(Daily_Data!K5436:L5436)&gt;0,1,0)</f>
        <v>0</v>
      </c>
    </row>
    <row r="5437">
      <c r="A5437" s="10">
        <f>Daily_Data!A5437</f>
        <v>44137</v>
      </c>
      <c r="B5437" s="11">
        <f>Daily_Data!J5437</f>
        <v>37.13</v>
      </c>
      <c r="C5437" s="11">
        <f>Daily_Data!I5437</f>
        <v>-0.15</v>
      </c>
      <c r="D5437" s="12">
        <f>if(sum(Daily_Data!K5437:L5437)&gt;0,1,0)</f>
        <v>0</v>
      </c>
    </row>
    <row r="5438">
      <c r="A5438" s="10">
        <f>Daily_Data!A5438</f>
        <v>44138</v>
      </c>
      <c r="B5438" s="11">
        <f>Daily_Data!J5438</f>
        <v>35.55</v>
      </c>
      <c r="C5438" s="11">
        <f>Daily_Data!I5438</f>
        <v>-0.17</v>
      </c>
      <c r="D5438" s="12">
        <f>if(sum(Daily_Data!K5438:L5438)&gt;0,1,0)</f>
        <v>0</v>
      </c>
    </row>
    <row r="5439">
      <c r="A5439" s="10">
        <f>Daily_Data!A5439</f>
        <v>44139</v>
      </c>
      <c r="B5439" s="11">
        <f>Daily_Data!J5439</f>
        <v>29.57</v>
      </c>
      <c r="C5439" s="11">
        <f>Daily_Data!I5439</f>
        <v>-0.13</v>
      </c>
      <c r="D5439" s="12">
        <f>if(sum(Daily_Data!K5439:L5439)&gt;0,1,0)</f>
        <v>0</v>
      </c>
    </row>
    <row r="5440">
      <c r="A5440" s="10">
        <f>Daily_Data!A5440</f>
        <v>44140</v>
      </c>
      <c r="B5440" s="11">
        <f>Daily_Data!J5440</f>
        <v>27.58</v>
      </c>
      <c r="C5440" s="11">
        <f>Daily_Data!I5440</f>
        <v>-0.14</v>
      </c>
      <c r="D5440" s="12">
        <f>if(sum(Daily_Data!K5440:L5440)&gt;0,1,0)</f>
        <v>0</v>
      </c>
    </row>
    <row r="5441">
      <c r="A5441" s="10">
        <f>Daily_Data!A5441</f>
        <v>44141</v>
      </c>
      <c r="B5441" s="11">
        <f>Daily_Data!J5441</f>
        <v>24.86</v>
      </c>
      <c r="C5441" s="11">
        <f>Daily_Data!I5441</f>
        <v>-0.12</v>
      </c>
      <c r="D5441" s="12">
        <f>if(sum(Daily_Data!K5441:L5441)&gt;0,1,0)</f>
        <v>1</v>
      </c>
    </row>
    <row r="5442">
      <c r="A5442" s="10">
        <f>Daily_Data!A5442</f>
        <v>44144</v>
      </c>
      <c r="B5442" s="11">
        <f>Daily_Data!J5442</f>
        <v>25.75</v>
      </c>
      <c r="C5442" s="11">
        <f>Daily_Data!I5442</f>
        <v>-0.13</v>
      </c>
      <c r="D5442" s="12">
        <f>if(sum(Daily_Data!K5442:L5442)&gt;0,1,0)</f>
        <v>0</v>
      </c>
    </row>
    <row r="5443">
      <c r="A5443" s="10">
        <f>Daily_Data!A5443</f>
        <v>44145</v>
      </c>
      <c r="B5443" s="11">
        <f>Daily_Data!J5443</f>
        <v>24.8</v>
      </c>
      <c r="C5443" s="11">
        <f>Daily_Data!I5443</f>
        <v>-0.1</v>
      </c>
      <c r="D5443" s="12">
        <f>if(sum(Daily_Data!K5443:L5443)&gt;0,1,0)</f>
        <v>0</v>
      </c>
    </row>
    <row r="5444">
      <c r="A5444" s="10">
        <f>Daily_Data!A5444</f>
        <v>44146</v>
      </c>
      <c r="B5444" s="11">
        <f>Daily_Data!J5444</f>
        <v>23.45</v>
      </c>
      <c r="C5444" s="11" t="str">
        <f>Daily_Data!I5444</f>
        <v/>
      </c>
      <c r="D5444" s="12">
        <f>if(sum(Daily_Data!K5444:L5444)&gt;0,1,0)</f>
        <v>0</v>
      </c>
    </row>
    <row r="5445">
      <c r="A5445" s="10">
        <f>Daily_Data!A5445</f>
        <v>44147</v>
      </c>
      <c r="B5445" s="11">
        <f>Daily_Data!J5445</f>
        <v>25.35</v>
      </c>
      <c r="C5445" s="11">
        <f>Daily_Data!I5445</f>
        <v>0.03</v>
      </c>
      <c r="D5445" s="12">
        <f>if(sum(Daily_Data!K5445:L5445)&gt;0,1,0)</f>
        <v>1</v>
      </c>
    </row>
    <row r="5446">
      <c r="A5446" s="10">
        <f>Daily_Data!A5446</f>
        <v>44148</v>
      </c>
      <c r="B5446" s="11">
        <f>Daily_Data!J5446</f>
        <v>23.1</v>
      </c>
      <c r="C5446" s="11">
        <f>Daily_Data!I5446</f>
        <v>0.01</v>
      </c>
      <c r="D5446" s="12">
        <f>if(sum(Daily_Data!K5446:L5446)&gt;0,1,0)</f>
        <v>0</v>
      </c>
    </row>
    <row r="5447">
      <c r="A5447" s="10">
        <f>Daily_Data!A5447</f>
        <v>44151</v>
      </c>
      <c r="B5447" s="11">
        <f>Daily_Data!J5447</f>
        <v>22.45</v>
      </c>
      <c r="C5447" s="11">
        <f>Daily_Data!I5447</f>
        <v>0</v>
      </c>
      <c r="D5447" s="12">
        <f>if(sum(Daily_Data!K5447:L5447)&gt;0,1,0)</f>
        <v>0</v>
      </c>
    </row>
    <row r="5448">
      <c r="A5448" s="10">
        <f>Daily_Data!A5448</f>
        <v>44152</v>
      </c>
      <c r="B5448" s="11">
        <f>Daily_Data!J5448</f>
        <v>22.71</v>
      </c>
      <c r="C5448" s="11">
        <f>Daily_Data!I5448</f>
        <v>0.05</v>
      </c>
      <c r="D5448" s="12">
        <f>if(sum(Daily_Data!K5448:L5448)&gt;0,1,0)</f>
        <v>0</v>
      </c>
    </row>
    <row r="5449">
      <c r="A5449" s="10">
        <f>Daily_Data!A5449</f>
        <v>44153</v>
      </c>
      <c r="B5449" s="11">
        <f>Daily_Data!J5449</f>
        <v>23.84</v>
      </c>
      <c r="C5449" s="11">
        <f>Daily_Data!I5449</f>
        <v>0.04</v>
      </c>
      <c r="D5449" s="12">
        <f>if(sum(Daily_Data!K5449:L5449)&gt;0,1,0)</f>
        <v>0</v>
      </c>
    </row>
    <row r="5450">
      <c r="A5450" s="10">
        <f>Daily_Data!A5450</f>
        <v>44154</v>
      </c>
      <c r="B5450" s="11">
        <f>Daily_Data!J5450</f>
        <v>23.11</v>
      </c>
      <c r="C5450" s="11">
        <f>Daily_Data!I5450</f>
        <v>0.03</v>
      </c>
      <c r="D5450" s="12">
        <f>if(sum(Daily_Data!K5450:L5450)&gt;0,1,0)</f>
        <v>0</v>
      </c>
    </row>
    <row r="5451">
      <c r="A5451" s="10">
        <f>Daily_Data!A5451</f>
        <v>44155</v>
      </c>
      <c r="B5451" s="11">
        <f>Daily_Data!J5451</f>
        <v>23.7</v>
      </c>
      <c r="C5451" s="11">
        <f>Daily_Data!I5451</f>
        <v>0.05</v>
      </c>
      <c r="D5451" s="12">
        <f>if(sum(Daily_Data!K5451:L5451)&gt;0,1,0)</f>
        <v>0</v>
      </c>
    </row>
    <row r="5452">
      <c r="A5452" s="10">
        <f>Daily_Data!A5452</f>
        <v>44158</v>
      </c>
      <c r="B5452" s="11">
        <f>Daily_Data!J5452</f>
        <v>22.66</v>
      </c>
      <c r="C5452" s="11">
        <f>Daily_Data!I5452</f>
        <v>0.06</v>
      </c>
      <c r="D5452" s="12">
        <f>if(sum(Daily_Data!K5452:L5452)&gt;0,1,0)</f>
        <v>0</v>
      </c>
    </row>
    <row r="5453">
      <c r="A5453" s="10">
        <f>Daily_Data!A5453</f>
        <v>44159</v>
      </c>
      <c r="B5453" s="11">
        <f>Daily_Data!J5453</f>
        <v>21.64</v>
      </c>
      <c r="C5453" s="11">
        <f>Daily_Data!I5453</f>
        <v>0.14</v>
      </c>
      <c r="D5453" s="12">
        <f>if(sum(Daily_Data!K5453:L5453)&gt;0,1,0)</f>
        <v>0</v>
      </c>
    </row>
    <row r="5454">
      <c r="A5454" s="10">
        <f>Daily_Data!A5454</f>
        <v>44160</v>
      </c>
      <c r="B5454" s="11">
        <f>Daily_Data!J5454</f>
        <v>21.25</v>
      </c>
      <c r="C5454" s="11">
        <f>Daily_Data!I5454</f>
        <v>0.11</v>
      </c>
      <c r="D5454" s="12">
        <f>if(sum(Daily_Data!K5454:L5454)&gt;0,1,0)</f>
        <v>0</v>
      </c>
    </row>
    <row r="5455">
      <c r="A5455" s="10">
        <f>Daily_Data!A5455</f>
        <v>44161</v>
      </c>
      <c r="B5455" s="11" t="str">
        <f>Daily_Data!J5455</f>
        <v/>
      </c>
      <c r="C5455" s="11" t="str">
        <f>Daily_Data!I5455</f>
        <v/>
      </c>
      <c r="D5455" s="12">
        <f>if(sum(Daily_Data!K5455:L5455)&gt;0,1,0)</f>
        <v>0</v>
      </c>
    </row>
    <row r="5456">
      <c r="A5456" s="10">
        <f>Daily_Data!A5456</f>
        <v>44162</v>
      </c>
      <c r="B5456" s="11">
        <f>Daily_Data!J5456</f>
        <v>20.84</v>
      </c>
      <c r="C5456" s="11">
        <f>Daily_Data!I5456</f>
        <v>0.1</v>
      </c>
      <c r="D5456" s="12">
        <f>if(sum(Daily_Data!K5456:L5456)&gt;0,1,0)</f>
        <v>0</v>
      </c>
    </row>
    <row r="5457">
      <c r="A5457" s="10">
        <f>Daily_Data!A5457</f>
        <v>44165</v>
      </c>
      <c r="B5457" s="11">
        <f>Daily_Data!J5457</f>
        <v>20.57</v>
      </c>
      <c r="C5457" s="11">
        <f>Daily_Data!I5457</f>
        <v>0.08</v>
      </c>
      <c r="D5457" s="12">
        <f>if(sum(Daily_Data!K5457:L5457)&gt;0,1,0)</f>
        <v>0</v>
      </c>
    </row>
    <row r="5458">
      <c r="A5458" s="10">
        <f>Daily_Data!A5458</f>
        <v>44166</v>
      </c>
      <c r="B5458" s="11">
        <f>Daily_Data!J5458</f>
        <v>20.77</v>
      </c>
      <c r="C5458" s="11">
        <f>Daily_Data!I5458</f>
        <v>0.07</v>
      </c>
      <c r="D5458" s="12">
        <f>if(sum(Daily_Data!K5458:L5458)&gt;0,1,0)</f>
        <v>0</v>
      </c>
    </row>
    <row r="5459">
      <c r="A5459" s="10">
        <f>Daily_Data!A5459</f>
        <v>44167</v>
      </c>
      <c r="B5459" s="11">
        <f>Daily_Data!J5459</f>
        <v>21.17</v>
      </c>
      <c r="C5459" s="11">
        <f>Daily_Data!I5459</f>
        <v>0.09</v>
      </c>
      <c r="D5459" s="12">
        <f>if(sum(Daily_Data!K5459:L5459)&gt;0,1,0)</f>
        <v>0</v>
      </c>
    </row>
    <row r="5460">
      <c r="A5460" s="10">
        <f>Daily_Data!A5460</f>
        <v>44168</v>
      </c>
      <c r="B5460" s="11">
        <f>Daily_Data!J5460</f>
        <v>21.28</v>
      </c>
      <c r="C5460" s="11">
        <f>Daily_Data!I5460</f>
        <v>0.1</v>
      </c>
      <c r="D5460" s="12">
        <f>if(sum(Daily_Data!K5460:L5460)&gt;0,1,0)</f>
        <v>0</v>
      </c>
    </row>
    <row r="5461">
      <c r="A5461" s="10">
        <f>Daily_Data!A5461</f>
        <v>44169</v>
      </c>
      <c r="B5461" s="11">
        <f>Daily_Data!J5461</f>
        <v>20.79</v>
      </c>
      <c r="C5461" s="11">
        <f>Daily_Data!I5461</f>
        <v>0.1</v>
      </c>
      <c r="D5461" s="12">
        <f>if(sum(Daily_Data!K5461:L5461)&gt;0,1,0)</f>
        <v>1</v>
      </c>
    </row>
    <row r="5462">
      <c r="A5462" s="10">
        <f>Daily_Data!A5462</f>
        <v>44172</v>
      </c>
      <c r="B5462" s="11">
        <f>Daily_Data!J5462</f>
        <v>21.3</v>
      </c>
      <c r="C5462" s="11">
        <f>Daily_Data!I5462</f>
        <v>0.12</v>
      </c>
      <c r="D5462" s="12">
        <f>if(sum(Daily_Data!K5462:L5462)&gt;0,1,0)</f>
        <v>0</v>
      </c>
    </row>
    <row r="5463">
      <c r="A5463" s="10">
        <f>Daily_Data!A5463</f>
        <v>44173</v>
      </c>
      <c r="B5463" s="11">
        <f>Daily_Data!J5463</f>
        <v>20.68</v>
      </c>
      <c r="C5463" s="11">
        <f>Daily_Data!I5463</f>
        <v>0.12</v>
      </c>
      <c r="D5463" s="12">
        <f>if(sum(Daily_Data!K5463:L5463)&gt;0,1,0)</f>
        <v>0</v>
      </c>
    </row>
    <row r="5464">
      <c r="A5464" s="10">
        <f>Daily_Data!A5464</f>
        <v>44174</v>
      </c>
      <c r="B5464" s="11">
        <f>Daily_Data!J5464</f>
        <v>22.27</v>
      </c>
      <c r="C5464" s="11">
        <f>Daily_Data!I5464</f>
        <v>0.1</v>
      </c>
      <c r="D5464" s="12">
        <f>if(sum(Daily_Data!K5464:L5464)&gt;0,1,0)</f>
        <v>0</v>
      </c>
    </row>
    <row r="5465">
      <c r="A5465" s="10">
        <f>Daily_Data!A5465</f>
        <v>44175</v>
      </c>
      <c r="B5465" s="11">
        <f>Daily_Data!J5465</f>
        <v>22.52</v>
      </c>
      <c r="C5465" s="11">
        <f>Daily_Data!I5465</f>
        <v>0.12</v>
      </c>
      <c r="D5465" s="12">
        <f>if(sum(Daily_Data!K5465:L5465)&gt;0,1,0)</f>
        <v>1</v>
      </c>
    </row>
    <row r="5466">
      <c r="A5466" s="10">
        <f>Daily_Data!A5466</f>
        <v>44176</v>
      </c>
      <c r="B5466" s="11">
        <f>Daily_Data!J5466</f>
        <v>23.31</v>
      </c>
      <c r="C5466" s="11">
        <f>Daily_Data!I5466</f>
        <v>0.15</v>
      </c>
      <c r="D5466" s="12">
        <f>if(sum(Daily_Data!K5466:L5466)&gt;0,1,0)</f>
        <v>0</v>
      </c>
    </row>
    <row r="5467">
      <c r="A5467" s="10">
        <f>Daily_Data!A5467</f>
        <v>44179</v>
      </c>
      <c r="B5467" s="11">
        <f>Daily_Data!J5467</f>
        <v>24.72</v>
      </c>
      <c r="C5467" s="11">
        <f>Daily_Data!I5467</f>
        <v>0.13</v>
      </c>
      <c r="D5467" s="12">
        <f>if(sum(Daily_Data!K5467:L5467)&gt;0,1,0)</f>
        <v>0</v>
      </c>
    </row>
    <row r="5468">
      <c r="A5468" s="10">
        <f>Daily_Data!A5468</f>
        <v>44180</v>
      </c>
      <c r="B5468" s="11">
        <f>Daily_Data!J5468</f>
        <v>22.89</v>
      </c>
      <c r="C5468" s="11">
        <f>Daily_Data!I5468</f>
        <v>0.15</v>
      </c>
      <c r="D5468" s="12">
        <f>if(sum(Daily_Data!K5468:L5468)&gt;0,1,0)</f>
        <v>0</v>
      </c>
    </row>
    <row r="5469">
      <c r="A5469" s="10">
        <f>Daily_Data!A5469</f>
        <v>44181</v>
      </c>
      <c r="B5469" s="11">
        <f>Daily_Data!J5469</f>
        <v>22.5</v>
      </c>
      <c r="C5469" s="11">
        <f>Daily_Data!I5469</f>
        <v>0.14</v>
      </c>
      <c r="D5469" s="12">
        <f>if(sum(Daily_Data!K5469:L5469)&gt;0,1,0)</f>
        <v>0</v>
      </c>
    </row>
    <row r="5470">
      <c r="A5470" s="10">
        <f>Daily_Data!A5470</f>
        <v>44182</v>
      </c>
      <c r="B5470" s="11">
        <f>Daily_Data!J5470</f>
        <v>21.93</v>
      </c>
      <c r="C5470" s="11">
        <f>Daily_Data!I5470</f>
        <v>0.17</v>
      </c>
      <c r="D5470" s="12">
        <f>if(sum(Daily_Data!K5470:L5470)&gt;0,1,0)</f>
        <v>0</v>
      </c>
    </row>
    <row r="5471">
      <c r="A5471" s="10">
        <f>Daily_Data!A5471</f>
        <v>44183</v>
      </c>
      <c r="B5471" s="11">
        <f>Daily_Data!J5471</f>
        <v>21.57</v>
      </c>
      <c r="C5471" s="11">
        <f>Daily_Data!I5471</f>
        <v>0.19</v>
      </c>
      <c r="D5471" s="12">
        <f>if(sum(Daily_Data!K5471:L5471)&gt;0,1,0)</f>
        <v>0</v>
      </c>
    </row>
    <row r="5472">
      <c r="A5472" s="10">
        <f>Daily_Data!A5472</f>
        <v>44186</v>
      </c>
      <c r="B5472" s="11">
        <f>Daily_Data!J5472</f>
        <v>25.16</v>
      </c>
      <c r="C5472" s="11">
        <f>Daily_Data!I5472</f>
        <v>0.17</v>
      </c>
      <c r="D5472" s="12">
        <f>if(sum(Daily_Data!K5472:L5472)&gt;0,1,0)</f>
        <v>0</v>
      </c>
    </row>
    <row r="5473">
      <c r="A5473" s="10">
        <f>Daily_Data!A5473</f>
        <v>44187</v>
      </c>
      <c r="B5473" s="11">
        <f>Daily_Data!J5473</f>
        <v>24.23</v>
      </c>
      <c r="C5473" s="11">
        <f>Daily_Data!I5473</f>
        <v>0.17</v>
      </c>
      <c r="D5473" s="12">
        <f>if(sum(Daily_Data!K5473:L5473)&gt;0,1,0)</f>
        <v>0</v>
      </c>
    </row>
    <row r="5474">
      <c r="A5474" s="10">
        <f>Daily_Data!A5474</f>
        <v>44188</v>
      </c>
      <c r="B5474" s="11">
        <f>Daily_Data!J5474</f>
        <v>23.31</v>
      </c>
      <c r="C5474" s="11">
        <f>Daily_Data!I5474</f>
        <v>0.15</v>
      </c>
      <c r="D5474" s="12">
        <f>if(sum(Daily_Data!K5474:L5474)&gt;0,1,0)</f>
        <v>0</v>
      </c>
    </row>
    <row r="5475">
      <c r="A5475" s="10">
        <f>Daily_Data!A5475</f>
        <v>44189</v>
      </c>
      <c r="B5475" s="11">
        <f>Daily_Data!J5475</f>
        <v>21.53</v>
      </c>
      <c r="C5475" s="11">
        <f>Daily_Data!I5475</f>
        <v>0.16</v>
      </c>
      <c r="D5475" s="12">
        <f>if(sum(Daily_Data!K5475:L5475)&gt;0,1,0)</f>
        <v>0</v>
      </c>
    </row>
    <row r="5476">
      <c r="A5476" s="10">
        <f>Daily_Data!A5476</f>
        <v>44190</v>
      </c>
      <c r="B5476" s="11" t="str">
        <f>Daily_Data!J5476</f>
        <v/>
      </c>
      <c r="C5476" s="11" t="str">
        <f>Daily_Data!I5476</f>
        <v/>
      </c>
      <c r="D5476" s="12">
        <f>if(sum(Daily_Data!K5476:L5476)&gt;0,1,0)</f>
        <v>0</v>
      </c>
    </row>
    <row r="5477">
      <c r="A5477" s="10">
        <f>Daily_Data!A5477</f>
        <v>44193</v>
      </c>
      <c r="B5477" s="11">
        <f>Daily_Data!J5477</f>
        <v>21.7</v>
      </c>
      <c r="C5477" s="11" t="str">
        <f>Daily_Data!I5477</f>
        <v/>
      </c>
      <c r="D5477" s="12">
        <f>if(sum(Daily_Data!K5477:L5477)&gt;0,1,0)</f>
        <v>0</v>
      </c>
    </row>
    <row r="5478">
      <c r="A5478" s="10">
        <f>Daily_Data!A5478</f>
        <v>44194</v>
      </c>
      <c r="B5478" s="11">
        <f>Daily_Data!J5478</f>
        <v>23.08</v>
      </c>
      <c r="C5478" s="11">
        <f>Daily_Data!I5478</f>
        <v>0.16</v>
      </c>
      <c r="D5478" s="12">
        <f>if(sum(Daily_Data!K5478:L5478)&gt;0,1,0)</f>
        <v>0</v>
      </c>
    </row>
    <row r="5479">
      <c r="A5479" s="10">
        <f>Daily_Data!A5479</f>
        <v>44195</v>
      </c>
      <c r="B5479" s="11">
        <f>Daily_Data!J5479</f>
        <v>22.77</v>
      </c>
      <c r="C5479" s="11">
        <f>Daily_Data!I5479</f>
        <v>0.16</v>
      </c>
      <c r="D5479" s="12">
        <f>if(sum(Daily_Data!K5479:L5479)&gt;0,1,0)</f>
        <v>0</v>
      </c>
    </row>
    <row r="5480">
      <c r="A5480" s="10">
        <f>Daily_Data!A5480</f>
        <v>44196</v>
      </c>
      <c r="B5480" s="11">
        <f>Daily_Data!J5480</f>
        <v>22.75</v>
      </c>
      <c r="C5480" s="11">
        <f>Daily_Data!I5480</f>
        <v>0.15</v>
      </c>
      <c r="D5480" s="12">
        <f>if(sum(Daily_Data!K5480:L5480)&gt;0,1,0)</f>
        <v>0</v>
      </c>
    </row>
    <row r="5481">
      <c r="A5481" s="10">
        <f>Daily_Data!A5481</f>
        <v>44197</v>
      </c>
      <c r="B5481" s="11" t="str">
        <f>Daily_Data!J5481</f>
        <v/>
      </c>
      <c r="C5481" s="11" t="str">
        <f>Daily_Data!I5481</f>
        <v/>
      </c>
      <c r="D5481" s="12">
        <f>if(sum(Daily_Data!K5481:L5481)&gt;0,1,0)</f>
        <v>0</v>
      </c>
    </row>
    <row r="5482">
      <c r="A5482" s="10">
        <f>Daily_Data!A5482</f>
        <v>44200</v>
      </c>
      <c r="B5482" s="11">
        <f>Daily_Data!J5482</f>
        <v>26.97</v>
      </c>
      <c r="C5482" s="11" t="str">
        <f>Daily_Data!I5482</f>
        <v/>
      </c>
      <c r="D5482" s="12">
        <f>if(sum(Daily_Data!K5482:L5482)&gt;0,1,0)</f>
        <v>0</v>
      </c>
    </row>
    <row r="5483">
      <c r="A5483" s="10">
        <f>Daily_Data!A5483</f>
        <v>44201</v>
      </c>
      <c r="B5483" s="11">
        <f>Daily_Data!J5483</f>
        <v>25.34</v>
      </c>
      <c r="C5483" s="11">
        <f>Daily_Data!I5483</f>
        <v>0.14</v>
      </c>
      <c r="D5483" s="12">
        <f>if(sum(Daily_Data!K5483:L5483)&gt;0,1,0)</f>
        <v>0</v>
      </c>
    </row>
    <row r="5484">
      <c r="A5484" s="10">
        <f>Daily_Data!A5484</f>
        <v>44202</v>
      </c>
      <c r="B5484" s="11">
        <f>Daily_Data!J5484</f>
        <v>25.07</v>
      </c>
      <c r="C5484" s="11">
        <f>Daily_Data!I5484</f>
        <v>0.15</v>
      </c>
      <c r="D5484" s="12">
        <f>if(sum(Daily_Data!K5484:L5484)&gt;0,1,0)</f>
        <v>0</v>
      </c>
    </row>
    <row r="5485">
      <c r="A5485" s="10">
        <f>Daily_Data!A5485</f>
        <v>44203</v>
      </c>
      <c r="B5485" s="11">
        <f>Daily_Data!J5485</f>
        <v>22.37</v>
      </c>
      <c r="C5485" s="11">
        <f>Daily_Data!I5485</f>
        <v>0.14</v>
      </c>
      <c r="D5485" s="12">
        <f>if(sum(Daily_Data!K5485:L5485)&gt;0,1,0)</f>
        <v>0</v>
      </c>
    </row>
    <row r="5486">
      <c r="A5486" s="10">
        <f>Daily_Data!A5486</f>
        <v>44204</v>
      </c>
      <c r="B5486" s="11">
        <f>Daily_Data!J5486</f>
        <v>21.56</v>
      </c>
      <c r="C5486" s="11">
        <f>Daily_Data!I5486</f>
        <v>0.15</v>
      </c>
      <c r="D5486" s="12">
        <f>if(sum(Daily_Data!K5486:L5486)&gt;0,1,0)</f>
        <v>1</v>
      </c>
    </row>
    <row r="5487">
      <c r="A5487" s="10">
        <f>Daily_Data!A5487</f>
        <v>44207</v>
      </c>
      <c r="B5487" s="11">
        <f>Daily_Data!J5487</f>
        <v>24.08</v>
      </c>
      <c r="C5487" s="11">
        <f>Daily_Data!I5487</f>
        <v>0.13</v>
      </c>
      <c r="D5487" s="12">
        <f>if(sum(Daily_Data!K5487:L5487)&gt;0,1,0)</f>
        <v>0</v>
      </c>
    </row>
    <row r="5488">
      <c r="A5488" s="10">
        <f>Daily_Data!A5488</f>
        <v>44208</v>
      </c>
      <c r="B5488" s="11">
        <f>Daily_Data!J5488</f>
        <v>23.33</v>
      </c>
      <c r="C5488" s="11">
        <f>Daily_Data!I5488</f>
        <v>0.14</v>
      </c>
      <c r="D5488" s="12">
        <f>if(sum(Daily_Data!K5488:L5488)&gt;0,1,0)</f>
        <v>0</v>
      </c>
    </row>
    <row r="5489">
      <c r="A5489" s="10">
        <f>Daily_Data!A5489</f>
        <v>44209</v>
      </c>
      <c r="B5489" s="11">
        <f>Daily_Data!J5489</f>
        <v>22.21</v>
      </c>
      <c r="C5489" s="11">
        <f>Daily_Data!I5489</f>
        <v>0.13</v>
      </c>
      <c r="D5489" s="12">
        <f>if(sum(Daily_Data!K5489:L5489)&gt;0,1,0)</f>
        <v>1</v>
      </c>
    </row>
    <row r="5490">
      <c r="A5490" s="10">
        <f>Daily_Data!A5490</f>
        <v>44210</v>
      </c>
      <c r="B5490" s="11">
        <f>Daily_Data!J5490</f>
        <v>23.25</v>
      </c>
      <c r="C5490" s="11">
        <f>Daily_Data!I5490</f>
        <v>0.12</v>
      </c>
      <c r="D5490" s="12">
        <f>if(sum(Daily_Data!K5490:L5490)&gt;0,1,0)</f>
        <v>0</v>
      </c>
    </row>
    <row r="5491">
      <c r="A5491" s="10">
        <f>Daily_Data!A5491</f>
        <v>44211</v>
      </c>
      <c r="B5491" s="11">
        <f>Daily_Data!J5491</f>
        <v>24.34</v>
      </c>
      <c r="C5491" s="11">
        <f>Daily_Data!I5491</f>
        <v>0.14</v>
      </c>
      <c r="D5491" s="12">
        <f>if(sum(Daily_Data!K5491:L5491)&gt;0,1,0)</f>
        <v>0</v>
      </c>
    </row>
    <row r="5492">
      <c r="A5492" s="10">
        <f>Daily_Data!A5492</f>
        <v>44214</v>
      </c>
      <c r="B5492" s="11" t="str">
        <f>Daily_Data!J5492</f>
        <v/>
      </c>
      <c r="C5492" s="11" t="str">
        <f>Daily_Data!I5492</f>
        <v/>
      </c>
      <c r="D5492" s="12">
        <f>if(sum(Daily_Data!K5492:L5492)&gt;0,1,0)</f>
        <v>0</v>
      </c>
    </row>
    <row r="5493">
      <c r="A5493" s="10">
        <f>Daily_Data!A5493</f>
        <v>44215</v>
      </c>
      <c r="B5493" s="11">
        <f>Daily_Data!J5493</f>
        <v>23.24</v>
      </c>
      <c r="C5493" s="11">
        <f>Daily_Data!I5493</f>
        <v>0.13</v>
      </c>
      <c r="D5493" s="12">
        <f>if(sum(Daily_Data!K5493:L5493)&gt;0,1,0)</f>
        <v>0</v>
      </c>
    </row>
    <row r="5494">
      <c r="A5494" s="10">
        <f>Daily_Data!A5494</f>
        <v>44216</v>
      </c>
      <c r="B5494" s="11">
        <f>Daily_Data!J5494</f>
        <v>21.58</v>
      </c>
      <c r="C5494" s="11">
        <f>Daily_Data!I5494</f>
        <v>0.15</v>
      </c>
      <c r="D5494" s="12">
        <f>if(sum(Daily_Data!K5494:L5494)&gt;0,1,0)</f>
        <v>0</v>
      </c>
    </row>
    <row r="5495">
      <c r="A5495" s="10">
        <f>Daily_Data!A5495</f>
        <v>44217</v>
      </c>
      <c r="B5495" s="11">
        <f>Daily_Data!J5495</f>
        <v>21.32</v>
      </c>
      <c r="C5495" s="11">
        <f>Daily_Data!I5495</f>
        <v>0.14</v>
      </c>
      <c r="D5495" s="12">
        <f>if(sum(Daily_Data!K5495:L5495)&gt;0,1,0)</f>
        <v>0</v>
      </c>
    </row>
    <row r="5496">
      <c r="A5496" s="10">
        <f>Daily_Data!A5496</f>
        <v>44218</v>
      </c>
      <c r="B5496" s="11">
        <f>Daily_Data!J5496</f>
        <v>21.91</v>
      </c>
      <c r="C5496" s="11">
        <f>Daily_Data!I5496</f>
        <v>0.18</v>
      </c>
      <c r="D5496" s="12">
        <f>if(sum(Daily_Data!K5496:L5496)&gt;0,1,0)</f>
        <v>0</v>
      </c>
    </row>
    <row r="5497">
      <c r="A5497" s="10">
        <f>Daily_Data!A5497</f>
        <v>44221</v>
      </c>
      <c r="B5497" s="11">
        <f>Daily_Data!J5497</f>
        <v>23.19</v>
      </c>
      <c r="C5497" s="11">
        <f>Daily_Data!I5497</f>
        <v>0.18</v>
      </c>
      <c r="D5497" s="12">
        <f>if(sum(Daily_Data!K5497:L5497)&gt;0,1,0)</f>
        <v>0</v>
      </c>
    </row>
    <row r="5498">
      <c r="A5498" s="10">
        <f>Daily_Data!A5498</f>
        <v>44222</v>
      </c>
      <c r="B5498" s="11">
        <f>Daily_Data!J5498</f>
        <v>23.02</v>
      </c>
      <c r="C5498" s="11">
        <f>Daily_Data!I5498</f>
        <v>0.19</v>
      </c>
      <c r="D5498" s="12">
        <f>if(sum(Daily_Data!K5498:L5498)&gt;0,1,0)</f>
        <v>0</v>
      </c>
    </row>
    <row r="5499">
      <c r="A5499" s="10">
        <f>Daily_Data!A5499</f>
        <v>44223</v>
      </c>
      <c r="B5499" s="11">
        <f>Daily_Data!J5499</f>
        <v>37.21</v>
      </c>
      <c r="C5499" s="11">
        <f>Daily_Data!I5499</f>
        <v>0.19</v>
      </c>
      <c r="D5499" s="12">
        <f>if(sum(Daily_Data!K5499:L5499)&gt;0,1,0)</f>
        <v>0</v>
      </c>
    </row>
    <row r="5500">
      <c r="A5500" s="10">
        <f>Daily_Data!A5500</f>
        <v>44224</v>
      </c>
      <c r="B5500" s="11">
        <f>Daily_Data!J5500</f>
        <v>30.21</v>
      </c>
      <c r="C5500" s="11">
        <f>Daily_Data!I5500</f>
        <v>0.19</v>
      </c>
      <c r="D5500" s="12">
        <f>if(sum(Daily_Data!K5500:L5500)&gt;0,1,0)</f>
        <v>0</v>
      </c>
    </row>
    <row r="5501">
      <c r="A5501" s="10">
        <f>Daily_Data!A5501</f>
        <v>44225</v>
      </c>
      <c r="B5501" s="11">
        <f>Daily_Data!J5501</f>
        <v>33.09</v>
      </c>
      <c r="C5501" s="11">
        <f>Daily_Data!I5501</f>
        <v>0.2</v>
      </c>
      <c r="D5501" s="12">
        <f>if(sum(Daily_Data!K5501:L5501)&gt;0,1,0)</f>
        <v>0</v>
      </c>
    </row>
    <row r="5502">
      <c r="A5502" s="10">
        <f>Daily_Data!A5502</f>
        <v>44228</v>
      </c>
      <c r="B5502" s="11">
        <f>Daily_Data!J5502</f>
        <v>30.24</v>
      </c>
      <c r="C5502" s="11">
        <f>Daily_Data!I5502</f>
        <v>0.2</v>
      </c>
      <c r="D5502" s="12">
        <f>if(sum(Daily_Data!K5502:L5502)&gt;0,1,0)</f>
        <v>0</v>
      </c>
    </row>
    <row r="5503">
      <c r="A5503" s="10">
        <f>Daily_Data!A5503</f>
        <v>44229</v>
      </c>
      <c r="B5503" s="11">
        <f>Daily_Data!J5503</f>
        <v>25.56</v>
      </c>
      <c r="C5503" s="11">
        <f>Daily_Data!I5503</f>
        <v>0.21</v>
      </c>
      <c r="D5503" s="12">
        <f>if(sum(Daily_Data!K5503:L5503)&gt;0,1,0)</f>
        <v>0</v>
      </c>
    </row>
    <row r="5504">
      <c r="A5504" s="10">
        <f>Daily_Data!A5504</f>
        <v>44230</v>
      </c>
      <c r="B5504" s="11">
        <f>Daily_Data!J5504</f>
        <v>22.91</v>
      </c>
      <c r="C5504" s="11">
        <f>Daily_Data!I5504</f>
        <v>0.25</v>
      </c>
      <c r="D5504" s="12">
        <f>if(sum(Daily_Data!K5504:L5504)&gt;0,1,0)</f>
        <v>0</v>
      </c>
    </row>
    <row r="5505">
      <c r="A5505" s="10">
        <f>Daily_Data!A5505</f>
        <v>44231</v>
      </c>
      <c r="B5505" s="11">
        <f>Daily_Data!J5505</f>
        <v>21.77</v>
      </c>
      <c r="C5505" s="11">
        <f>Daily_Data!I5505</f>
        <v>0.26</v>
      </c>
      <c r="D5505" s="12">
        <f>if(sum(Daily_Data!K5505:L5505)&gt;0,1,0)</f>
        <v>0</v>
      </c>
    </row>
    <row r="5506">
      <c r="A5506" s="10">
        <f>Daily_Data!A5506</f>
        <v>44232</v>
      </c>
      <c r="B5506" s="11">
        <f>Daily_Data!J5506</f>
        <v>20.87</v>
      </c>
      <c r="C5506" s="11">
        <f>Daily_Data!I5506</f>
        <v>0.28</v>
      </c>
      <c r="D5506" s="12">
        <f>if(sum(Daily_Data!K5506:L5506)&gt;0,1,0)</f>
        <v>1</v>
      </c>
    </row>
    <row r="5507">
      <c r="A5507" s="10">
        <f>Daily_Data!A5507</f>
        <v>44235</v>
      </c>
      <c r="B5507" s="11">
        <f>Daily_Data!J5507</f>
        <v>21.24</v>
      </c>
      <c r="C5507" s="11" t="str">
        <f>Daily_Data!I5507</f>
        <v/>
      </c>
      <c r="D5507" s="12">
        <f>if(sum(Daily_Data!K5507:L5507)&gt;0,1,0)</f>
        <v>0</v>
      </c>
    </row>
    <row r="5508">
      <c r="A5508" s="10">
        <f>Daily_Data!A5508</f>
        <v>44236</v>
      </c>
      <c r="B5508" s="11">
        <f>Daily_Data!J5508</f>
        <v>21.63</v>
      </c>
      <c r="C5508" s="11">
        <f>Daily_Data!I5508</f>
        <v>0.26</v>
      </c>
      <c r="D5508" s="12">
        <f>if(sum(Daily_Data!K5508:L5508)&gt;0,1,0)</f>
        <v>0</v>
      </c>
    </row>
    <row r="5509">
      <c r="A5509" s="10">
        <f>Daily_Data!A5509</f>
        <v>44237</v>
      </c>
      <c r="B5509" s="11">
        <f>Daily_Data!J5509</f>
        <v>21.99</v>
      </c>
      <c r="C5509" s="11">
        <f>Daily_Data!I5509</f>
        <v>0.24</v>
      </c>
      <c r="D5509" s="12">
        <f>if(sum(Daily_Data!K5509:L5509)&gt;0,1,0)</f>
        <v>1</v>
      </c>
    </row>
    <row r="5510">
      <c r="A5510" s="10">
        <f>Daily_Data!A5510</f>
        <v>44238</v>
      </c>
      <c r="B5510" s="11">
        <f>Daily_Data!J5510</f>
        <v>21.25</v>
      </c>
      <c r="C5510" s="11">
        <f>Daily_Data!I5510</f>
        <v>0.24</v>
      </c>
      <c r="D5510" s="12">
        <f>if(sum(Daily_Data!K5510:L5510)&gt;0,1,0)</f>
        <v>0</v>
      </c>
    </row>
    <row r="5511">
      <c r="A5511" s="10">
        <f>Daily_Data!A5511</f>
        <v>44239</v>
      </c>
      <c r="B5511" s="11">
        <f>Daily_Data!J5511</f>
        <v>19.97</v>
      </c>
      <c r="C5511" s="11">
        <f>Daily_Data!I5511</f>
        <v>0.24</v>
      </c>
      <c r="D5511" s="12">
        <f>if(sum(Daily_Data!K5511:L5511)&gt;0,1,0)</f>
        <v>0</v>
      </c>
    </row>
    <row r="5512">
      <c r="A5512" s="10">
        <f>Daily_Data!A5512</f>
        <v>44242</v>
      </c>
      <c r="B5512" s="11" t="str">
        <f>Daily_Data!J5512</f>
        <v/>
      </c>
      <c r="C5512" s="11" t="str">
        <f>Daily_Data!I5512</f>
        <v/>
      </c>
      <c r="D5512" s="12">
        <f>if(sum(Daily_Data!K5512:L5512)&gt;0,1,0)</f>
        <v>0</v>
      </c>
    </row>
    <row r="5513">
      <c r="A5513" s="10">
        <f>Daily_Data!A5513</f>
        <v>44243</v>
      </c>
      <c r="B5513" s="11">
        <f>Daily_Data!J5513</f>
        <v>21.46</v>
      </c>
      <c r="C5513" s="11">
        <f>Daily_Data!I5513</f>
        <v>0.23</v>
      </c>
      <c r="D5513" s="12">
        <f>if(sum(Daily_Data!K5513:L5513)&gt;0,1,0)</f>
        <v>0</v>
      </c>
    </row>
    <row r="5514">
      <c r="A5514" s="10">
        <f>Daily_Data!A5514</f>
        <v>44244</v>
      </c>
      <c r="B5514" s="11">
        <f>Daily_Data!J5514</f>
        <v>21.5</v>
      </c>
      <c r="C5514" s="11">
        <f>Daily_Data!I5514</f>
        <v>0.26</v>
      </c>
      <c r="D5514" s="12">
        <f>if(sum(Daily_Data!K5514:L5514)&gt;0,1,0)</f>
        <v>0</v>
      </c>
    </row>
    <row r="5515">
      <c r="A5515" s="10">
        <f>Daily_Data!A5515</f>
        <v>44245</v>
      </c>
      <c r="B5515" s="11">
        <f>Daily_Data!J5515</f>
        <v>22.49</v>
      </c>
      <c r="C5515" s="11">
        <f>Daily_Data!I5515</f>
        <v>0.24</v>
      </c>
      <c r="D5515" s="12">
        <f>if(sum(Daily_Data!K5515:L5515)&gt;0,1,0)</f>
        <v>0</v>
      </c>
    </row>
    <row r="5516">
      <c r="A5516" s="10">
        <f>Daily_Data!A5516</f>
        <v>44246</v>
      </c>
      <c r="B5516" s="11">
        <f>Daily_Data!J5516</f>
        <v>22.05</v>
      </c>
      <c r="C5516" s="11">
        <f>Daily_Data!I5516</f>
        <v>0.25</v>
      </c>
      <c r="D5516" s="12">
        <f>if(sum(Daily_Data!K5516:L5516)&gt;0,1,0)</f>
        <v>0</v>
      </c>
    </row>
    <row r="5517">
      <c r="A5517" s="10">
        <f>Daily_Data!A5517</f>
        <v>44249</v>
      </c>
      <c r="B5517" s="11">
        <f>Daily_Data!J5517</f>
        <v>23.45</v>
      </c>
      <c r="C5517" s="11">
        <f>Daily_Data!I5517</f>
        <v>0.28</v>
      </c>
      <c r="D5517" s="12">
        <f>if(sum(Daily_Data!K5517:L5517)&gt;0,1,0)</f>
        <v>0</v>
      </c>
    </row>
    <row r="5518">
      <c r="A5518" s="10">
        <f>Daily_Data!A5518</f>
        <v>44250</v>
      </c>
      <c r="B5518" s="11">
        <f>Daily_Data!J5518</f>
        <v>23.11</v>
      </c>
      <c r="C5518" s="11">
        <f>Daily_Data!I5518</f>
        <v>0.28</v>
      </c>
      <c r="D5518" s="12">
        <f>if(sum(Daily_Data!K5518:L5518)&gt;0,1,0)</f>
        <v>0</v>
      </c>
    </row>
    <row r="5519">
      <c r="A5519" s="10">
        <f>Daily_Data!A5519</f>
        <v>44251</v>
      </c>
      <c r="B5519" s="11">
        <f>Daily_Data!J5519</f>
        <v>21.34</v>
      </c>
      <c r="C5519" s="11">
        <f>Daily_Data!I5519</f>
        <v>0.29</v>
      </c>
      <c r="D5519" s="12">
        <f>if(sum(Daily_Data!K5519:L5519)&gt;0,1,0)</f>
        <v>0</v>
      </c>
    </row>
    <row r="5520">
      <c r="A5520" s="10">
        <f>Daily_Data!A5520</f>
        <v>44252</v>
      </c>
      <c r="B5520" s="11">
        <f>Daily_Data!J5520</f>
        <v>28.89</v>
      </c>
      <c r="C5520" s="11">
        <f>Daily_Data!I5520</f>
        <v>0.34</v>
      </c>
      <c r="D5520" s="12">
        <f>if(sum(Daily_Data!K5520:L5520)&gt;0,1,0)</f>
        <v>0</v>
      </c>
    </row>
    <row r="5521">
      <c r="A5521" s="10">
        <f>Daily_Data!A5521</f>
        <v>44253</v>
      </c>
      <c r="B5521" s="11">
        <f>Daily_Data!J5521</f>
        <v>27.95</v>
      </c>
      <c r="C5521" s="11">
        <f>Daily_Data!I5521</f>
        <v>0.33</v>
      </c>
      <c r="D5521" s="12">
        <f>if(sum(Daily_Data!K5521:L5521)&gt;0,1,0)</f>
        <v>0</v>
      </c>
    </row>
    <row r="5522">
      <c r="A5522" s="10">
        <f>Daily_Data!A5522</f>
        <v>44256</v>
      </c>
      <c r="B5522" s="11">
        <f>Daily_Data!J5522</f>
        <v>23.35</v>
      </c>
      <c r="C5522" s="11">
        <f>Daily_Data!I5522</f>
        <v>0.34</v>
      </c>
      <c r="D5522" s="12">
        <f>if(sum(Daily_Data!K5522:L5522)&gt;0,1,0)</f>
        <v>0</v>
      </c>
    </row>
    <row r="5523">
      <c r="A5523" s="10">
        <f>Daily_Data!A5523</f>
        <v>44257</v>
      </c>
      <c r="B5523" s="11">
        <f>Daily_Data!J5523</f>
        <v>24.1</v>
      </c>
      <c r="C5523" s="11">
        <f>Daily_Data!I5523</f>
        <v>0.34</v>
      </c>
      <c r="D5523" s="12">
        <f>if(sum(Daily_Data!K5523:L5523)&gt;0,1,0)</f>
        <v>0</v>
      </c>
    </row>
    <row r="5524">
      <c r="A5524" s="10">
        <f>Daily_Data!A5524</f>
        <v>44258</v>
      </c>
      <c r="B5524" s="11">
        <f>Daily_Data!J5524</f>
        <v>26.67</v>
      </c>
      <c r="C5524" s="11">
        <f>Daily_Data!I5524</f>
        <v>0.35</v>
      </c>
      <c r="D5524" s="12">
        <f>if(sum(Daily_Data!K5524:L5524)&gt;0,1,0)</f>
        <v>0</v>
      </c>
    </row>
    <row r="5525">
      <c r="A5525" s="10">
        <f>Daily_Data!A5525</f>
        <v>44259</v>
      </c>
      <c r="B5525" s="11">
        <f>Daily_Data!J5525</f>
        <v>28.57</v>
      </c>
      <c r="C5525" s="11">
        <f>Daily_Data!I5525</f>
        <v>0.39</v>
      </c>
      <c r="D5525" s="12">
        <f>if(sum(Daily_Data!K5525:L5525)&gt;0,1,0)</f>
        <v>0</v>
      </c>
    </row>
    <row r="5526">
      <c r="A5526" s="10">
        <f>Daily_Data!A5526</f>
        <v>44260</v>
      </c>
      <c r="B5526" s="11">
        <f>Daily_Data!J5526</f>
        <v>24.66</v>
      </c>
      <c r="C5526" s="11">
        <f>Daily_Data!I5526</f>
        <v>0.41</v>
      </c>
      <c r="D5526" s="12">
        <f>if(sum(Daily_Data!K5526:L5526)&gt;0,1,0)</f>
        <v>1</v>
      </c>
    </row>
    <row r="5527">
      <c r="A5527" s="10">
        <f>Daily_Data!A5527</f>
        <v>44263</v>
      </c>
      <c r="B5527" s="11">
        <f>Daily_Data!J5527</f>
        <v>25.47</v>
      </c>
      <c r="C5527" s="11">
        <f>Daily_Data!I5527</f>
        <v>0.38</v>
      </c>
      <c r="D5527" s="12">
        <f>if(sum(Daily_Data!K5527:L5527)&gt;0,1,0)</f>
        <v>0</v>
      </c>
    </row>
    <row r="5528">
      <c r="A5528" s="10">
        <f>Daily_Data!A5528</f>
        <v>44264</v>
      </c>
      <c r="B5528" s="11">
        <f>Daily_Data!J5528</f>
        <v>24.03</v>
      </c>
      <c r="C5528" s="11">
        <f>Daily_Data!I5528</f>
        <v>0.38</v>
      </c>
      <c r="D5528" s="12">
        <f>if(sum(Daily_Data!K5528:L5528)&gt;0,1,0)</f>
        <v>0</v>
      </c>
    </row>
    <row r="5529">
      <c r="A5529" s="10">
        <f>Daily_Data!A5529</f>
        <v>44265</v>
      </c>
      <c r="B5529" s="11">
        <f>Daily_Data!J5529</f>
        <v>22.56</v>
      </c>
      <c r="C5529" s="11">
        <f>Daily_Data!I5529</f>
        <v>0.37</v>
      </c>
      <c r="D5529" s="12">
        <f>if(sum(Daily_Data!K5529:L5529)&gt;0,1,0)</f>
        <v>1</v>
      </c>
    </row>
    <row r="5530">
      <c r="A5530" s="10">
        <f>Daily_Data!A5530</f>
        <v>44266</v>
      </c>
      <c r="B5530" s="11">
        <f>Daily_Data!J5530</f>
        <v>21.91</v>
      </c>
      <c r="C5530" s="11">
        <f>Daily_Data!I5530</f>
        <v>0.37</v>
      </c>
      <c r="D5530" s="12">
        <f>if(sum(Daily_Data!K5530:L5530)&gt;0,1,0)</f>
        <v>0</v>
      </c>
    </row>
    <row r="5531">
      <c r="A5531" s="10">
        <f>Daily_Data!A5531</f>
        <v>44267</v>
      </c>
      <c r="B5531" s="11">
        <f>Daily_Data!J5531</f>
        <v>20.69</v>
      </c>
      <c r="C5531" s="11">
        <f>Daily_Data!I5531</f>
        <v>0.38</v>
      </c>
      <c r="D5531" s="12">
        <f>if(sum(Daily_Data!K5531:L5531)&gt;0,1,0)</f>
        <v>0</v>
      </c>
    </row>
    <row r="5532">
      <c r="A5532" s="10">
        <f>Daily_Data!A5532</f>
        <v>44270</v>
      </c>
      <c r="B5532" s="11">
        <f>Daily_Data!J5532</f>
        <v>20.03</v>
      </c>
      <c r="C5532" s="11">
        <f>Daily_Data!I5532</f>
        <v>0.4</v>
      </c>
      <c r="D5532" s="12">
        <f>if(sum(Daily_Data!K5532:L5532)&gt;0,1,0)</f>
        <v>0</v>
      </c>
    </row>
    <row r="5533">
      <c r="A5533" s="10">
        <f>Daily_Data!A5533</f>
        <v>44271</v>
      </c>
      <c r="B5533" s="11">
        <f>Daily_Data!J5533</f>
        <v>19.79</v>
      </c>
      <c r="C5533" s="11">
        <f>Daily_Data!I5533</f>
        <v>0.38</v>
      </c>
      <c r="D5533" s="12">
        <f>if(sum(Daily_Data!K5533:L5533)&gt;0,1,0)</f>
        <v>0</v>
      </c>
    </row>
    <row r="5534">
      <c r="A5534" s="10">
        <f>Daily_Data!A5534</f>
        <v>44272</v>
      </c>
      <c r="B5534" s="11">
        <f>Daily_Data!J5534</f>
        <v>19.23</v>
      </c>
      <c r="C5534" s="11">
        <f>Daily_Data!I5534</f>
        <v>0.41</v>
      </c>
      <c r="D5534" s="12">
        <f>if(sum(Daily_Data!K5534:L5534)&gt;0,1,0)</f>
        <v>0</v>
      </c>
    </row>
    <row r="5535">
      <c r="A5535" s="10">
        <f>Daily_Data!A5535</f>
        <v>44273</v>
      </c>
      <c r="B5535" s="11">
        <f>Daily_Data!J5535</f>
        <v>21.58</v>
      </c>
      <c r="C5535" s="11">
        <f>Daily_Data!I5535</f>
        <v>0.36</v>
      </c>
      <c r="D5535" s="12">
        <f>if(sum(Daily_Data!K5535:L5535)&gt;0,1,0)</f>
        <v>0</v>
      </c>
    </row>
    <row r="5536">
      <c r="A5536" s="10">
        <f>Daily_Data!A5536</f>
        <v>44274</v>
      </c>
      <c r="B5536" s="11">
        <f>Daily_Data!J5536</f>
        <v>20.95</v>
      </c>
      <c r="C5536" s="11">
        <f>Daily_Data!I5536</f>
        <v>0.35</v>
      </c>
      <c r="D5536" s="12">
        <f>if(sum(Daily_Data!K5536:L5536)&gt;0,1,0)</f>
        <v>0</v>
      </c>
    </row>
    <row r="5537">
      <c r="A5537" s="10">
        <f>Daily_Data!A5537</f>
        <v>44277</v>
      </c>
      <c r="B5537" s="11">
        <f>Daily_Data!J5537</f>
        <v>18.88</v>
      </c>
      <c r="C5537" s="11">
        <f>Daily_Data!I5537</f>
        <v>0.34</v>
      </c>
      <c r="D5537" s="12">
        <f>if(sum(Daily_Data!K5537:L5537)&gt;0,1,0)</f>
        <v>0</v>
      </c>
    </row>
    <row r="5538">
      <c r="A5538" s="10">
        <f>Daily_Data!A5538</f>
        <v>44278</v>
      </c>
      <c r="B5538" s="11">
        <f>Daily_Data!J5538</f>
        <v>20.3</v>
      </c>
      <c r="C5538" s="11">
        <f>Daily_Data!I5538</f>
        <v>0.26</v>
      </c>
      <c r="D5538" s="12">
        <f>if(sum(Daily_Data!K5538:L5538)&gt;0,1,0)</f>
        <v>0</v>
      </c>
    </row>
    <row r="5539">
      <c r="A5539" s="10">
        <f>Daily_Data!A5539</f>
        <v>44279</v>
      </c>
      <c r="B5539" s="11">
        <f>Daily_Data!J5539</f>
        <v>21.2</v>
      </c>
      <c r="C5539" s="11">
        <f>Daily_Data!I5539</f>
        <v>0.25</v>
      </c>
      <c r="D5539" s="12">
        <f>if(sum(Daily_Data!K5539:L5539)&gt;0,1,0)</f>
        <v>0</v>
      </c>
    </row>
    <row r="5540">
      <c r="A5540" s="10">
        <f>Daily_Data!A5540</f>
        <v>44280</v>
      </c>
      <c r="B5540" s="11">
        <f>Daily_Data!J5540</f>
        <v>19.81</v>
      </c>
      <c r="C5540" s="11">
        <f>Daily_Data!I5540</f>
        <v>0.29</v>
      </c>
      <c r="D5540" s="12">
        <f>if(sum(Daily_Data!K5540:L5540)&gt;0,1,0)</f>
        <v>0</v>
      </c>
    </row>
    <row r="5541">
      <c r="A5541" s="10">
        <f>Daily_Data!A5541</f>
        <v>44281</v>
      </c>
      <c r="B5541" s="11">
        <f>Daily_Data!J5541</f>
        <v>18.86</v>
      </c>
      <c r="C5541" s="11">
        <f>Daily_Data!I5541</f>
        <v>0.28</v>
      </c>
      <c r="D5541" s="12">
        <f>if(sum(Daily_Data!K5541:L5541)&gt;0,1,0)</f>
        <v>0</v>
      </c>
    </row>
    <row r="5542">
      <c r="A5542" s="10">
        <f>Daily_Data!A5542</f>
        <v>44284</v>
      </c>
      <c r="B5542" s="11">
        <f>Daily_Data!J5542</f>
        <v>20.74</v>
      </c>
      <c r="C5542" s="11">
        <f>Daily_Data!I5542</f>
        <v>0.29</v>
      </c>
      <c r="D5542" s="12">
        <f>if(sum(Daily_Data!K5542:L5542)&gt;0,1,0)</f>
        <v>0</v>
      </c>
    </row>
    <row r="5543">
      <c r="A5543" s="10">
        <f>Daily_Data!A5543</f>
        <v>44285</v>
      </c>
      <c r="B5543" s="11">
        <f>Daily_Data!J5543</f>
        <v>19.61</v>
      </c>
      <c r="C5543" s="11">
        <f>Daily_Data!I5543</f>
        <v>0.3</v>
      </c>
      <c r="D5543" s="12">
        <f>if(sum(Daily_Data!K5543:L5543)&gt;0,1,0)</f>
        <v>0</v>
      </c>
    </row>
    <row r="5544">
      <c r="A5544" s="10">
        <f>Daily_Data!A5544</f>
        <v>44286</v>
      </c>
      <c r="B5544" s="11">
        <f>Daily_Data!J5544</f>
        <v>19.4</v>
      </c>
      <c r="C5544" s="11">
        <f>Daily_Data!I5544</f>
        <v>0.31</v>
      </c>
      <c r="D5544" s="12">
        <f>if(sum(Daily_Data!K5544:L5544)&gt;0,1,0)</f>
        <v>0</v>
      </c>
    </row>
    <row r="5545">
      <c r="A5545" s="10">
        <f>Daily_Data!A5545</f>
        <v>44287</v>
      </c>
      <c r="B5545" s="11">
        <f>Daily_Data!J5545</f>
        <v>17.33</v>
      </c>
      <c r="C5545" s="11">
        <f>Daily_Data!I5545</f>
        <v>0.28</v>
      </c>
      <c r="D5545" s="12">
        <f>if(sum(Daily_Data!K5545:L5545)&gt;0,1,0)</f>
        <v>0</v>
      </c>
    </row>
    <row r="5546">
      <c r="A5546" s="10">
        <f>Daily_Data!A5546</f>
        <v>44288</v>
      </c>
      <c r="B5546" s="11" t="str">
        <f>Daily_Data!J5546</f>
        <v/>
      </c>
      <c r="C5546" s="11" t="str">
        <f>Daily_Data!I5546</f>
        <v/>
      </c>
      <c r="D5546" s="12">
        <f>if(sum(Daily_Data!K5546:L5546)&gt;0,1,0)</f>
        <v>1</v>
      </c>
    </row>
    <row r="5547">
      <c r="A5547" s="10">
        <f>Daily_Data!A5547</f>
        <v>44291</v>
      </c>
      <c r="B5547" s="11">
        <f>Daily_Data!J5547</f>
        <v>17.91</v>
      </c>
      <c r="C5547" s="11" t="str">
        <f>Daily_Data!I5547</f>
        <v/>
      </c>
      <c r="D5547" s="12">
        <f>if(sum(Daily_Data!K5547:L5547)&gt;0,1,0)</f>
        <v>0</v>
      </c>
    </row>
    <row r="5548">
      <c r="A5548" s="10">
        <f>Daily_Data!A5548</f>
        <v>44292</v>
      </c>
      <c r="B5548" s="11">
        <f>Daily_Data!J5548</f>
        <v>18.12</v>
      </c>
      <c r="C5548" s="11">
        <f>Daily_Data!I5548</f>
        <v>0.29</v>
      </c>
      <c r="D5548" s="12">
        <f>if(sum(Daily_Data!K5548:L5548)&gt;0,1,0)</f>
        <v>0</v>
      </c>
    </row>
    <row r="5549">
      <c r="A5549" s="10">
        <f>Daily_Data!A5549</f>
        <v>44293</v>
      </c>
      <c r="B5549" s="11">
        <f>Daily_Data!J5549</f>
        <v>17.16</v>
      </c>
      <c r="C5549" s="11">
        <f>Daily_Data!I5549</f>
        <v>0.29</v>
      </c>
      <c r="D5549" s="12">
        <f>if(sum(Daily_Data!K5549:L5549)&gt;0,1,0)</f>
        <v>0</v>
      </c>
    </row>
    <row r="5550">
      <c r="A5550" s="10">
        <f>Daily_Data!A5550</f>
        <v>44294</v>
      </c>
      <c r="B5550" s="11">
        <f>Daily_Data!J5550</f>
        <v>16.95</v>
      </c>
      <c r="C5550" s="11">
        <f>Daily_Data!I5550</f>
        <v>0.3</v>
      </c>
      <c r="D5550" s="12">
        <f>if(sum(Daily_Data!K5550:L5550)&gt;0,1,0)</f>
        <v>0</v>
      </c>
    </row>
    <row r="5551">
      <c r="A5551" s="10">
        <f>Daily_Data!A5551</f>
        <v>44295</v>
      </c>
      <c r="B5551" s="11">
        <f>Daily_Data!J5551</f>
        <v>16.69</v>
      </c>
      <c r="C5551" s="11">
        <f>Daily_Data!I5551</f>
        <v>0.29</v>
      </c>
      <c r="D5551" s="12">
        <f>if(sum(Daily_Data!K5551:L5551)&gt;0,1,0)</f>
        <v>0</v>
      </c>
    </row>
    <row r="5552">
      <c r="A5552" s="10">
        <f>Daily_Data!A5552</f>
        <v>44298</v>
      </c>
      <c r="B5552" s="11">
        <f>Daily_Data!J5552</f>
        <v>16.91</v>
      </c>
      <c r="C5552" s="11">
        <f>Daily_Data!I5552</f>
        <v>0.27</v>
      </c>
      <c r="D5552" s="12">
        <f>if(sum(Daily_Data!K5552:L5552)&gt;0,1,0)</f>
        <v>0</v>
      </c>
    </row>
    <row r="5553">
      <c r="A5553" s="10">
        <f>Daily_Data!A5553</f>
        <v>44299</v>
      </c>
      <c r="B5553" s="11">
        <f>Daily_Data!J5553</f>
        <v>16.65</v>
      </c>
      <c r="C5553" s="11">
        <f>Daily_Data!I5553</f>
        <v>0.3</v>
      </c>
      <c r="D5553" s="12">
        <f>if(sum(Daily_Data!K5553:L5553)&gt;0,1,0)</f>
        <v>1</v>
      </c>
    </row>
    <row r="5554">
      <c r="A5554" s="10">
        <f>Daily_Data!A5554</f>
        <v>44300</v>
      </c>
      <c r="B5554" s="11">
        <f>Daily_Data!J5554</f>
        <v>16.99</v>
      </c>
      <c r="C5554" s="11">
        <f>Daily_Data!I5554</f>
        <v>0.28</v>
      </c>
      <c r="D5554" s="12">
        <f>if(sum(Daily_Data!K5554:L5554)&gt;0,1,0)</f>
        <v>0</v>
      </c>
    </row>
    <row r="5555">
      <c r="A5555" s="10">
        <f>Daily_Data!A5555</f>
        <v>44301</v>
      </c>
      <c r="B5555" s="11">
        <f>Daily_Data!J5555</f>
        <v>16.57</v>
      </c>
      <c r="C5555" s="11">
        <f>Daily_Data!I5555</f>
        <v>0.29</v>
      </c>
      <c r="D5555" s="12">
        <f>if(sum(Daily_Data!K5555:L5555)&gt;0,1,0)</f>
        <v>0</v>
      </c>
    </row>
    <row r="5556">
      <c r="A5556" s="10">
        <f>Daily_Data!A5556</f>
        <v>44302</v>
      </c>
      <c r="B5556" s="11">
        <f>Daily_Data!J5556</f>
        <v>16.25</v>
      </c>
      <c r="C5556" s="11">
        <f>Daily_Data!I5556</f>
        <v>0.28</v>
      </c>
      <c r="D5556" s="12">
        <f>if(sum(Daily_Data!K5556:L5556)&gt;0,1,0)</f>
        <v>0</v>
      </c>
    </row>
    <row r="5557">
      <c r="A5557" s="10">
        <f>Daily_Data!A5557</f>
        <v>44305</v>
      </c>
      <c r="B5557" s="11">
        <f>Daily_Data!J5557</f>
        <v>17.29</v>
      </c>
      <c r="C5557" s="11">
        <f>Daily_Data!I5557</f>
        <v>0.28</v>
      </c>
      <c r="D5557" s="12">
        <f>if(sum(Daily_Data!K5557:L5557)&gt;0,1,0)</f>
        <v>0</v>
      </c>
    </row>
    <row r="5558">
      <c r="A5558" s="10">
        <f>Daily_Data!A5558</f>
        <v>44306</v>
      </c>
      <c r="B5558" s="11">
        <f>Daily_Data!J5558</f>
        <v>18.68</v>
      </c>
      <c r="C5558" s="11">
        <f>Daily_Data!I5558</f>
        <v>0.31</v>
      </c>
      <c r="D5558" s="12">
        <f>if(sum(Daily_Data!K5558:L5558)&gt;0,1,0)</f>
        <v>0</v>
      </c>
    </row>
    <row r="5559">
      <c r="A5559" s="10">
        <f>Daily_Data!A5559</f>
        <v>44307</v>
      </c>
      <c r="B5559" s="11">
        <f>Daily_Data!J5559</f>
        <v>17.5</v>
      </c>
      <c r="C5559" s="11">
        <f>Daily_Data!I5559</f>
        <v>0.3</v>
      </c>
      <c r="D5559" s="12">
        <f>if(sum(Daily_Data!K5559:L5559)&gt;0,1,0)</f>
        <v>0</v>
      </c>
    </row>
    <row r="5560">
      <c r="A5560" s="10">
        <f>Daily_Data!A5560</f>
        <v>44308</v>
      </c>
      <c r="B5560" s="11">
        <f>Daily_Data!J5560</f>
        <v>18.71</v>
      </c>
      <c r="C5560" s="11">
        <f>Daily_Data!I5560</f>
        <v>0.3</v>
      </c>
      <c r="D5560" s="12">
        <f>if(sum(Daily_Data!K5560:L5560)&gt;0,1,0)</f>
        <v>0</v>
      </c>
    </row>
    <row r="5561">
      <c r="A5561" s="10">
        <f>Daily_Data!A5561</f>
        <v>44309</v>
      </c>
      <c r="B5561" s="11">
        <f>Daily_Data!J5561</f>
        <v>17.33</v>
      </c>
      <c r="C5561" s="11">
        <f>Daily_Data!I5561</f>
        <v>0.3</v>
      </c>
      <c r="D5561" s="12">
        <f>if(sum(Daily_Data!K5561:L5561)&gt;0,1,0)</f>
        <v>0</v>
      </c>
    </row>
    <row r="5562">
      <c r="A5562" s="10">
        <f>Daily_Data!A5562</f>
        <v>44312</v>
      </c>
      <c r="B5562" s="11">
        <f>Daily_Data!J5562</f>
        <v>17.64</v>
      </c>
      <c r="C5562" s="11" t="str">
        <f>Daily_Data!I5562</f>
        <v/>
      </c>
      <c r="D5562" s="12">
        <f>if(sum(Daily_Data!K5562:L5562)&gt;0,1,0)</f>
        <v>0</v>
      </c>
    </row>
    <row r="5563">
      <c r="A5563" s="10">
        <f>Daily_Data!A5563</f>
        <v>44313</v>
      </c>
      <c r="B5563" s="11">
        <f>Daily_Data!J5563</f>
        <v>17.56</v>
      </c>
      <c r="C5563" s="11">
        <f>Daily_Data!I5563</f>
        <v>0.29</v>
      </c>
      <c r="D5563" s="12">
        <f>if(sum(Daily_Data!K5563:L5563)&gt;0,1,0)</f>
        <v>0</v>
      </c>
    </row>
    <row r="5564">
      <c r="A5564" s="10">
        <f>Daily_Data!A5564</f>
        <v>44314</v>
      </c>
      <c r="B5564" s="11">
        <f>Daily_Data!J5564</f>
        <v>17.28</v>
      </c>
      <c r="C5564" s="11">
        <f>Daily_Data!I5564</f>
        <v>0.3</v>
      </c>
      <c r="D5564" s="12">
        <f>if(sum(Daily_Data!K5564:L5564)&gt;0,1,0)</f>
        <v>0</v>
      </c>
    </row>
    <row r="5565">
      <c r="A5565" s="10">
        <f>Daily_Data!A5565</f>
        <v>44315</v>
      </c>
      <c r="B5565" s="11">
        <f>Daily_Data!J5565</f>
        <v>17.61</v>
      </c>
      <c r="C5565" s="11">
        <f>Daily_Data!I5565</f>
        <v>0.3</v>
      </c>
      <c r="D5565" s="12">
        <f>if(sum(Daily_Data!K5565:L5565)&gt;0,1,0)</f>
        <v>0</v>
      </c>
    </row>
    <row r="5566">
      <c r="A5566" s="10">
        <f>Daily_Data!A5566</f>
        <v>44316</v>
      </c>
      <c r="B5566" s="11">
        <f>Daily_Data!J5566</f>
        <v>18.61</v>
      </c>
      <c r="C5566" s="11">
        <f>Daily_Data!I5566</f>
        <v>0.31</v>
      </c>
      <c r="D5566" s="12">
        <f>if(sum(Daily_Data!K5566:L5566)&gt;0,1,0)</f>
        <v>0</v>
      </c>
    </row>
    <row r="5567">
      <c r="A5567" s="10">
        <f>Daily_Data!A5567</f>
        <v>44319</v>
      </c>
      <c r="B5567" s="11">
        <f>Daily_Data!J5567</f>
        <v>18.31</v>
      </c>
      <c r="C5567" s="11">
        <f>Daily_Data!I5567</f>
        <v>0.3</v>
      </c>
      <c r="D5567" s="12">
        <f>if(sum(Daily_Data!K5567:L5567)&gt;0,1,0)</f>
        <v>0</v>
      </c>
    </row>
    <row r="5568">
      <c r="A5568" s="10">
        <f>Daily_Data!A5568</f>
        <v>44320</v>
      </c>
      <c r="B5568" s="11">
        <f>Daily_Data!J5568</f>
        <v>19.48</v>
      </c>
      <c r="C5568" s="11">
        <f>Daily_Data!I5568</f>
        <v>0.31</v>
      </c>
      <c r="D5568" s="12">
        <f>if(sum(Daily_Data!K5568:L5568)&gt;0,1,0)</f>
        <v>0</v>
      </c>
    </row>
    <row r="5569">
      <c r="A5569" s="10">
        <f>Daily_Data!A5569</f>
        <v>44321</v>
      </c>
      <c r="B5569" s="11">
        <f>Daily_Data!J5569</f>
        <v>19.15</v>
      </c>
      <c r="C5569" s="11">
        <f>Daily_Data!I5569</f>
        <v>0.34</v>
      </c>
      <c r="D5569" s="12">
        <f>if(sum(Daily_Data!K5569:L5569)&gt;0,1,0)</f>
        <v>0</v>
      </c>
    </row>
    <row r="5570">
      <c r="A5570" s="10">
        <f>Daily_Data!A5570</f>
        <v>44322</v>
      </c>
      <c r="B5570" s="11">
        <f>Daily_Data!J5570</f>
        <v>18.39</v>
      </c>
      <c r="C5570" s="11">
        <f>Daily_Data!I5570</f>
        <v>0.34</v>
      </c>
      <c r="D5570" s="12">
        <f>if(sum(Daily_Data!K5570:L5570)&gt;0,1,0)</f>
        <v>0</v>
      </c>
    </row>
    <row r="5571">
      <c r="A5571" s="10">
        <f>Daily_Data!A5571</f>
        <v>44323</v>
      </c>
      <c r="B5571" s="11">
        <f>Daily_Data!J5571</f>
        <v>16.69</v>
      </c>
      <c r="C5571" s="11">
        <f>Daily_Data!I5571</f>
        <v>0.38</v>
      </c>
      <c r="D5571" s="12">
        <f>if(sum(Daily_Data!K5571:L5571)&gt;0,1,0)</f>
        <v>1</v>
      </c>
    </row>
    <row r="5572">
      <c r="A5572" s="10">
        <f>Daily_Data!A5572</f>
        <v>44326</v>
      </c>
      <c r="B5572" s="11">
        <f>Daily_Data!J5572</f>
        <v>19.66</v>
      </c>
      <c r="C5572" s="11">
        <f>Daily_Data!I5572</f>
        <v>0.37</v>
      </c>
      <c r="D5572" s="12">
        <f>if(sum(Daily_Data!K5572:L5572)&gt;0,1,0)</f>
        <v>0</v>
      </c>
    </row>
    <row r="5573">
      <c r="A5573" s="10">
        <f>Daily_Data!A5573</f>
        <v>44327</v>
      </c>
      <c r="B5573" s="11">
        <f>Daily_Data!J5573</f>
        <v>21.84</v>
      </c>
      <c r="C5573" s="11">
        <f>Daily_Data!I5573</f>
        <v>0.37</v>
      </c>
      <c r="D5573" s="12">
        <f>if(sum(Daily_Data!K5573:L5573)&gt;0,1,0)</f>
        <v>0</v>
      </c>
    </row>
    <row r="5574">
      <c r="A5574" s="10">
        <f>Daily_Data!A5574</f>
        <v>44328</v>
      </c>
      <c r="B5574" s="11">
        <f>Daily_Data!J5574</f>
        <v>27.59</v>
      </c>
      <c r="C5574" s="11">
        <f>Daily_Data!I5574</f>
        <v>0.38</v>
      </c>
      <c r="D5574" s="12">
        <f>if(sum(Daily_Data!K5574:L5574)&gt;0,1,0)</f>
        <v>1</v>
      </c>
    </row>
    <row r="5575">
      <c r="A5575" s="10">
        <f>Daily_Data!A5575</f>
        <v>44329</v>
      </c>
      <c r="B5575" s="11">
        <f>Daily_Data!J5575</f>
        <v>23.13</v>
      </c>
      <c r="C5575" s="11">
        <f>Daily_Data!I5575</f>
        <v>0.39</v>
      </c>
      <c r="D5575" s="12">
        <f>if(sum(Daily_Data!K5575:L5575)&gt;0,1,0)</f>
        <v>0</v>
      </c>
    </row>
    <row r="5576">
      <c r="A5576" s="10">
        <f>Daily_Data!A5576</f>
        <v>44330</v>
      </c>
      <c r="B5576" s="11">
        <f>Daily_Data!J5576</f>
        <v>18.81</v>
      </c>
      <c r="C5576" s="11">
        <f>Daily_Data!I5576</f>
        <v>0.38</v>
      </c>
      <c r="D5576" s="12">
        <f>if(sum(Daily_Data!K5576:L5576)&gt;0,1,0)</f>
        <v>0</v>
      </c>
    </row>
    <row r="5577">
      <c r="A5577" s="10">
        <f>Daily_Data!A5577</f>
        <v>44333</v>
      </c>
      <c r="B5577" s="11">
        <f>Daily_Data!J5577</f>
        <v>19.72</v>
      </c>
      <c r="C5577" s="11">
        <f>Daily_Data!I5577</f>
        <v>0.39</v>
      </c>
      <c r="D5577" s="12">
        <f>if(sum(Daily_Data!K5577:L5577)&gt;0,1,0)</f>
        <v>0</v>
      </c>
    </row>
    <row r="5578">
      <c r="A5578" s="10">
        <f>Daily_Data!A5578</f>
        <v>44334</v>
      </c>
      <c r="B5578" s="11">
        <f>Daily_Data!J5578</f>
        <v>21.34</v>
      </c>
      <c r="C5578" s="11">
        <f>Daily_Data!I5578</f>
        <v>0.4</v>
      </c>
      <c r="D5578" s="12">
        <f>if(sum(Daily_Data!K5578:L5578)&gt;0,1,0)</f>
        <v>0</v>
      </c>
    </row>
    <row r="5579">
      <c r="A5579" s="10">
        <f>Daily_Data!A5579</f>
        <v>44335</v>
      </c>
      <c r="B5579" s="11">
        <f>Daily_Data!J5579</f>
        <v>22.18</v>
      </c>
      <c r="C5579" s="11">
        <f>Daily_Data!I5579</f>
        <v>0.39</v>
      </c>
      <c r="D5579" s="12">
        <f>if(sum(Daily_Data!K5579:L5579)&gt;0,1,0)</f>
        <v>0</v>
      </c>
    </row>
    <row r="5580">
      <c r="A5580" s="10">
        <f>Daily_Data!A5580</f>
        <v>44336</v>
      </c>
      <c r="B5580" s="11">
        <f>Daily_Data!J5580</f>
        <v>20.67</v>
      </c>
      <c r="C5580" s="11">
        <f>Daily_Data!I5580</f>
        <v>0.4</v>
      </c>
      <c r="D5580" s="12">
        <f>if(sum(Daily_Data!K5580:L5580)&gt;0,1,0)</f>
        <v>0</v>
      </c>
    </row>
    <row r="5581">
      <c r="A5581" s="10">
        <f>Daily_Data!A5581</f>
        <v>44337</v>
      </c>
      <c r="B5581" s="11">
        <f>Daily_Data!J5581</f>
        <v>20.15</v>
      </c>
      <c r="C5581" s="11">
        <f>Daily_Data!I5581</f>
        <v>0.35</v>
      </c>
      <c r="D5581" s="12">
        <f>if(sum(Daily_Data!K5581:L5581)&gt;0,1,0)</f>
        <v>0</v>
      </c>
    </row>
    <row r="5582">
      <c r="A5582" s="10">
        <f>Daily_Data!A5582</f>
        <v>44340</v>
      </c>
      <c r="B5582" s="11">
        <f>Daily_Data!J5582</f>
        <v>18.4</v>
      </c>
      <c r="C5582" s="11">
        <f>Daily_Data!I5582</f>
        <v>0.38</v>
      </c>
      <c r="D5582" s="12">
        <f>if(sum(Daily_Data!K5582:L5582)&gt;0,1,0)</f>
        <v>0</v>
      </c>
    </row>
    <row r="5583">
      <c r="A5583" s="10">
        <f>Daily_Data!A5583</f>
        <v>44341</v>
      </c>
      <c r="B5583" s="11">
        <f>Daily_Data!J5583</f>
        <v>18.84</v>
      </c>
      <c r="C5583" s="11">
        <f>Daily_Data!I5583</f>
        <v>0.38</v>
      </c>
      <c r="D5583" s="12">
        <f>if(sum(Daily_Data!K5583:L5583)&gt;0,1,0)</f>
        <v>0</v>
      </c>
    </row>
    <row r="5584">
      <c r="A5584" s="10">
        <f>Daily_Data!A5584</f>
        <v>44342</v>
      </c>
      <c r="B5584" s="11">
        <f>Daily_Data!J5584</f>
        <v>17.36</v>
      </c>
      <c r="C5584" s="11">
        <f>Daily_Data!I5584</f>
        <v>0.47</v>
      </c>
      <c r="D5584" s="12">
        <f>if(sum(Daily_Data!K5584:L5584)&gt;0,1,0)</f>
        <v>0</v>
      </c>
    </row>
    <row r="5585">
      <c r="A5585" s="10">
        <f>Daily_Data!A5585</f>
        <v>44343</v>
      </c>
      <c r="B5585" s="11">
        <f>Daily_Data!J5585</f>
        <v>16.74</v>
      </c>
      <c r="C5585" s="11">
        <f>Daily_Data!I5585</f>
        <v>0.48</v>
      </c>
      <c r="D5585" s="12">
        <f>if(sum(Daily_Data!K5585:L5585)&gt;0,1,0)</f>
        <v>0</v>
      </c>
    </row>
    <row r="5586">
      <c r="A5586" s="10">
        <f>Daily_Data!A5586</f>
        <v>44344</v>
      </c>
      <c r="B5586" s="11">
        <f>Daily_Data!J5586</f>
        <v>16.76</v>
      </c>
      <c r="C5586" s="11">
        <f>Daily_Data!I5586</f>
        <v>0.46</v>
      </c>
      <c r="D5586" s="12">
        <f>if(sum(Daily_Data!K5586:L5586)&gt;0,1,0)</f>
        <v>0</v>
      </c>
    </row>
    <row r="5587">
      <c r="A5587" s="10">
        <f>Daily_Data!A5587</f>
        <v>44347</v>
      </c>
      <c r="B5587" s="11" t="str">
        <f>Daily_Data!J5587</f>
        <v/>
      </c>
      <c r="C5587" s="11" t="str">
        <f>Daily_Data!I5587</f>
        <v/>
      </c>
      <c r="D5587" s="12">
        <f>if(sum(Daily_Data!K5587:L5587)&gt;0,1,0)</f>
        <v>0</v>
      </c>
    </row>
    <row r="5588">
      <c r="A5588" s="10">
        <f>Daily_Data!A5588</f>
        <v>44348</v>
      </c>
      <c r="B5588" s="11">
        <f>Daily_Data!J5588</f>
        <v>17.9</v>
      </c>
      <c r="C5588" s="11">
        <f>Daily_Data!I5588</f>
        <v>0.4</v>
      </c>
      <c r="D5588" s="12">
        <f>if(sum(Daily_Data!K5588:L5588)&gt;0,1,0)</f>
        <v>0</v>
      </c>
    </row>
    <row r="5589">
      <c r="A5589" s="10">
        <f>Daily_Data!A5589</f>
        <v>44349</v>
      </c>
      <c r="B5589" s="11">
        <f>Daily_Data!J5589</f>
        <v>17.48</v>
      </c>
      <c r="C5589" s="11">
        <f>Daily_Data!I5589</f>
        <v>0.44</v>
      </c>
      <c r="D5589" s="12">
        <f>if(sum(Daily_Data!K5589:L5589)&gt;0,1,0)</f>
        <v>0</v>
      </c>
    </row>
    <row r="5590">
      <c r="A5590" s="10">
        <f>Daily_Data!A5590</f>
        <v>44350</v>
      </c>
      <c r="B5590" s="11">
        <f>Daily_Data!J5590</f>
        <v>18.04</v>
      </c>
      <c r="C5590" s="11">
        <f>Daily_Data!I5590</f>
        <v>0.4</v>
      </c>
      <c r="D5590" s="12">
        <f>if(sum(Daily_Data!K5590:L5590)&gt;0,1,0)</f>
        <v>0</v>
      </c>
    </row>
    <row r="5591">
      <c r="A5591" s="10">
        <f>Daily_Data!A5591</f>
        <v>44351</v>
      </c>
      <c r="B5591" s="11">
        <f>Daily_Data!J5591</f>
        <v>16.42</v>
      </c>
      <c r="C5591" s="11">
        <f>Daily_Data!I5591</f>
        <v>0.43</v>
      </c>
      <c r="D5591" s="12">
        <f>if(sum(Daily_Data!K5591:L5591)&gt;0,1,0)</f>
        <v>1</v>
      </c>
    </row>
    <row r="5592">
      <c r="A5592" s="10">
        <f>Daily_Data!A5592</f>
        <v>44354</v>
      </c>
      <c r="B5592" s="11">
        <f>Daily_Data!J5592</f>
        <v>16.42</v>
      </c>
      <c r="C5592" s="11" t="str">
        <f>Daily_Data!I5592</f>
        <v/>
      </c>
      <c r="D5592" s="12">
        <f>if(sum(Daily_Data!K5592:L5592)&gt;0,1,0)</f>
        <v>0</v>
      </c>
    </row>
    <row r="5593">
      <c r="A5593" s="10">
        <f>Daily_Data!A5593</f>
        <v>44355</v>
      </c>
      <c r="B5593" s="11">
        <f>Daily_Data!J5593</f>
        <v>17.07</v>
      </c>
      <c r="C5593" s="11">
        <f>Daily_Data!I5593</f>
        <v>0.42</v>
      </c>
      <c r="D5593" s="12">
        <f>if(sum(Daily_Data!K5593:L5593)&gt;0,1,0)</f>
        <v>0</v>
      </c>
    </row>
    <row r="5594">
      <c r="A5594" s="10">
        <f>Daily_Data!A5594</f>
        <v>44356</v>
      </c>
      <c r="B5594" s="11">
        <f>Daily_Data!J5594</f>
        <v>17.89</v>
      </c>
      <c r="C5594" s="11">
        <f>Daily_Data!I5594</f>
        <v>0.39</v>
      </c>
      <c r="D5594" s="12">
        <f>if(sum(Daily_Data!K5594:L5594)&gt;0,1,0)</f>
        <v>0</v>
      </c>
    </row>
    <row r="5595">
      <c r="A5595" s="10">
        <f>Daily_Data!A5595</f>
        <v>44357</v>
      </c>
      <c r="B5595" s="11">
        <f>Daily_Data!J5595</f>
        <v>16.1</v>
      </c>
      <c r="C5595" s="11">
        <f>Daily_Data!I5595</f>
        <v>0.39</v>
      </c>
      <c r="D5595" s="12">
        <f>if(sum(Daily_Data!K5595:L5595)&gt;0,1,0)</f>
        <v>1</v>
      </c>
    </row>
    <row r="5596">
      <c r="A5596" s="10">
        <f>Daily_Data!A5596</f>
        <v>44358</v>
      </c>
      <c r="B5596" s="11">
        <f>Daily_Data!J5596</f>
        <v>15.65</v>
      </c>
      <c r="C5596" s="11">
        <f>Daily_Data!I5596</f>
        <v>0.36</v>
      </c>
      <c r="D5596" s="12">
        <f>if(sum(Daily_Data!K5596:L5596)&gt;0,1,0)</f>
        <v>0</v>
      </c>
    </row>
    <row r="5597">
      <c r="A5597" s="10">
        <f>Daily_Data!A5597</f>
        <v>44361</v>
      </c>
      <c r="B5597" s="11">
        <f>Daily_Data!J5597</f>
        <v>16.39</v>
      </c>
      <c r="C5597" s="11">
        <f>Daily_Data!I5597</f>
        <v>0.36</v>
      </c>
      <c r="D5597" s="12">
        <f>if(sum(Daily_Data!K5597:L5597)&gt;0,1,0)</f>
        <v>0</v>
      </c>
    </row>
    <row r="5598">
      <c r="A5598" s="10">
        <f>Daily_Data!A5598</f>
        <v>44362</v>
      </c>
      <c r="B5598" s="11">
        <f>Daily_Data!J5598</f>
        <v>17.02</v>
      </c>
      <c r="C5598" s="11">
        <f>Daily_Data!I5598</f>
        <v>0.36</v>
      </c>
      <c r="D5598" s="12">
        <f>if(sum(Daily_Data!K5598:L5598)&gt;0,1,0)</f>
        <v>0</v>
      </c>
    </row>
    <row r="5599">
      <c r="A5599" s="10">
        <f>Daily_Data!A5599</f>
        <v>44363</v>
      </c>
      <c r="B5599" s="11">
        <f>Daily_Data!J5599</f>
        <v>18.15</v>
      </c>
      <c r="C5599" s="11">
        <f>Daily_Data!I5599</f>
        <v>0.32</v>
      </c>
      <c r="D5599" s="12">
        <f>if(sum(Daily_Data!K5599:L5599)&gt;0,1,0)</f>
        <v>0</v>
      </c>
    </row>
    <row r="5600">
      <c r="A5600" s="10">
        <f>Daily_Data!A5600</f>
        <v>44364</v>
      </c>
      <c r="B5600" s="11">
        <f>Daily_Data!J5600</f>
        <v>17.75</v>
      </c>
      <c r="C5600" s="11">
        <f>Daily_Data!I5600</f>
        <v>0.4</v>
      </c>
      <c r="D5600" s="12">
        <f>if(sum(Daily_Data!K5600:L5600)&gt;0,1,0)</f>
        <v>0</v>
      </c>
    </row>
    <row r="5601">
      <c r="A5601" s="10">
        <f>Daily_Data!A5601</f>
        <v>44365</v>
      </c>
      <c r="B5601" s="11">
        <f>Daily_Data!J5601</f>
        <v>20.7</v>
      </c>
      <c r="C5601" s="11">
        <f>Daily_Data!I5601</f>
        <v>0.42</v>
      </c>
      <c r="D5601" s="12">
        <f>if(sum(Daily_Data!K5601:L5601)&gt;0,1,0)</f>
        <v>0</v>
      </c>
    </row>
    <row r="5602">
      <c r="A5602" s="10">
        <f>Daily_Data!A5602</f>
        <v>44368</v>
      </c>
      <c r="B5602" s="11">
        <f>Daily_Data!J5602</f>
        <v>17.89</v>
      </c>
      <c r="C5602" s="11">
        <f>Daily_Data!I5602</f>
        <v>0.45</v>
      </c>
      <c r="D5602" s="12">
        <f>if(sum(Daily_Data!K5602:L5602)&gt;0,1,0)</f>
        <v>0</v>
      </c>
    </row>
    <row r="5603">
      <c r="A5603" s="10">
        <f>Daily_Data!A5603</f>
        <v>44369</v>
      </c>
      <c r="B5603" s="11">
        <f>Daily_Data!J5603</f>
        <v>16.66</v>
      </c>
      <c r="C5603" s="11">
        <f>Daily_Data!I5603</f>
        <v>0.49</v>
      </c>
      <c r="D5603" s="12">
        <f>if(sum(Daily_Data!K5603:L5603)&gt;0,1,0)</f>
        <v>0</v>
      </c>
    </row>
    <row r="5604">
      <c r="A5604" s="10">
        <f>Daily_Data!A5604</f>
        <v>44370</v>
      </c>
      <c r="B5604" s="11">
        <f>Daily_Data!J5604</f>
        <v>16.32</v>
      </c>
      <c r="C5604" s="11">
        <f>Daily_Data!I5604</f>
        <v>0.45</v>
      </c>
      <c r="D5604" s="12">
        <f>if(sum(Daily_Data!K5604:L5604)&gt;0,1,0)</f>
        <v>0</v>
      </c>
    </row>
    <row r="5605">
      <c r="A5605" s="10">
        <f>Daily_Data!A5605</f>
        <v>44371</v>
      </c>
      <c r="B5605" s="11">
        <f>Daily_Data!J5605</f>
        <v>15.97</v>
      </c>
      <c r="C5605" s="11">
        <f>Daily_Data!I5605</f>
        <v>0.46</v>
      </c>
      <c r="D5605" s="12">
        <f>if(sum(Daily_Data!K5605:L5605)&gt;0,1,0)</f>
        <v>0</v>
      </c>
    </row>
    <row r="5606">
      <c r="A5606" s="10">
        <f>Daily_Data!A5606</f>
        <v>44372</v>
      </c>
      <c r="B5606" s="11">
        <f>Daily_Data!J5606</f>
        <v>15.62</v>
      </c>
      <c r="C5606" s="11">
        <f>Daily_Data!I5606</f>
        <v>0.48</v>
      </c>
      <c r="D5606" s="12">
        <f>if(sum(Daily_Data!K5606:L5606)&gt;0,1,0)</f>
        <v>0</v>
      </c>
    </row>
    <row r="5607">
      <c r="A5607" s="10">
        <f>Daily_Data!A5607</f>
        <v>44375</v>
      </c>
      <c r="B5607" s="11">
        <f>Daily_Data!J5607</f>
        <v>15.76</v>
      </c>
      <c r="C5607" s="11">
        <f>Daily_Data!I5607</f>
        <v>0.54</v>
      </c>
      <c r="D5607" s="12">
        <f>if(sum(Daily_Data!K5607:L5607)&gt;0,1,0)</f>
        <v>0</v>
      </c>
    </row>
    <row r="5608">
      <c r="A5608" s="10">
        <f>Daily_Data!A5608</f>
        <v>44376</v>
      </c>
      <c r="B5608" s="11">
        <f>Daily_Data!J5608</f>
        <v>16.02</v>
      </c>
      <c r="C5608" s="11">
        <f>Daily_Data!I5608</f>
        <v>0.52</v>
      </c>
      <c r="D5608" s="12">
        <f>if(sum(Daily_Data!K5608:L5608)&gt;0,1,0)</f>
        <v>0</v>
      </c>
    </row>
    <row r="5609">
      <c r="A5609" s="10">
        <f>Daily_Data!A5609</f>
        <v>44377</v>
      </c>
      <c r="B5609" s="11">
        <f>Daily_Data!J5609</f>
        <v>15.83</v>
      </c>
      <c r="C5609" s="11">
        <f>Daily_Data!I5609</f>
        <v>0.53</v>
      </c>
      <c r="D5609" s="12">
        <f>if(sum(Daily_Data!K5609:L5609)&gt;0,1,0)</f>
        <v>0</v>
      </c>
    </row>
    <row r="5610">
      <c r="A5610" s="10">
        <f>Daily_Data!A5610</f>
        <v>44378</v>
      </c>
      <c r="B5610" s="11">
        <f>Daily_Data!J5610</f>
        <v>15.48</v>
      </c>
      <c r="C5610" s="11">
        <f>Daily_Data!I5610</f>
        <v>0.54</v>
      </c>
      <c r="D5610" s="12">
        <f>if(sum(Daily_Data!K5610:L5610)&gt;0,1,0)</f>
        <v>0</v>
      </c>
    </row>
    <row r="5611">
      <c r="A5611" s="10">
        <f>Daily_Data!A5611</f>
        <v>44379</v>
      </c>
      <c r="B5611" s="11">
        <f>Daily_Data!J5611</f>
        <v>15.07</v>
      </c>
      <c r="C5611" s="11">
        <f>Daily_Data!I5611</f>
        <v>0.56</v>
      </c>
      <c r="D5611" s="12">
        <f>if(sum(Daily_Data!K5611:L5611)&gt;0,1,0)</f>
        <v>1</v>
      </c>
    </row>
    <row r="5612">
      <c r="A5612" s="10">
        <f>Daily_Data!A5612</f>
        <v>44382</v>
      </c>
      <c r="B5612" s="11" t="str">
        <f>Daily_Data!J5612</f>
        <v/>
      </c>
      <c r="C5612" s="11" t="str">
        <f>Daily_Data!I5612</f>
        <v/>
      </c>
      <c r="D5612" s="12">
        <f>if(sum(Daily_Data!K5612:L5612)&gt;0,1,0)</f>
        <v>0</v>
      </c>
    </row>
    <row r="5613">
      <c r="A5613" s="10">
        <f>Daily_Data!A5613</f>
        <v>44383</v>
      </c>
      <c r="B5613" s="11">
        <f>Daily_Data!J5613</f>
        <v>16.44</v>
      </c>
      <c r="C5613" s="11">
        <f>Daily_Data!I5613</f>
        <v>0.66</v>
      </c>
      <c r="D5613" s="12">
        <f>if(sum(Daily_Data!K5613:L5613)&gt;0,1,0)</f>
        <v>0</v>
      </c>
    </row>
    <row r="5614">
      <c r="A5614" s="10">
        <f>Daily_Data!A5614</f>
        <v>44384</v>
      </c>
      <c r="B5614" s="11">
        <f>Daily_Data!J5614</f>
        <v>16.2</v>
      </c>
      <c r="C5614" s="11">
        <f>Daily_Data!I5614</f>
        <v>0.67</v>
      </c>
      <c r="D5614" s="12">
        <f>if(sum(Daily_Data!K5614:L5614)&gt;0,1,0)</f>
        <v>0</v>
      </c>
    </row>
    <row r="5615">
      <c r="A5615" s="10">
        <f>Daily_Data!A5615</f>
        <v>44385</v>
      </c>
      <c r="B5615" s="11">
        <f>Daily_Data!J5615</f>
        <v>19</v>
      </c>
      <c r="C5615" s="11">
        <f>Daily_Data!I5615</f>
        <v>0.67</v>
      </c>
      <c r="D5615" s="12">
        <f>if(sum(Daily_Data!K5615:L5615)&gt;0,1,0)</f>
        <v>0</v>
      </c>
    </row>
    <row r="5616">
      <c r="A5616" s="10">
        <f>Daily_Data!A5616</f>
        <v>44386</v>
      </c>
      <c r="B5616" s="11">
        <f>Daily_Data!J5616</f>
        <v>16.18</v>
      </c>
      <c r="C5616" s="11">
        <f>Daily_Data!I5616</f>
        <v>0.62</v>
      </c>
      <c r="D5616" s="12">
        <f>if(sum(Daily_Data!K5616:L5616)&gt;0,1,0)</f>
        <v>0</v>
      </c>
    </row>
    <row r="5617">
      <c r="A5617" s="10">
        <f>Daily_Data!A5617</f>
        <v>44389</v>
      </c>
      <c r="B5617" s="11">
        <f>Daily_Data!J5617</f>
        <v>16.17</v>
      </c>
      <c r="C5617" s="11">
        <f>Daily_Data!I5617</f>
        <v>0.61</v>
      </c>
      <c r="D5617" s="12">
        <f>if(sum(Daily_Data!K5617:L5617)&gt;0,1,0)</f>
        <v>0</v>
      </c>
    </row>
    <row r="5618">
      <c r="A5618" s="10">
        <f>Daily_Data!A5618</f>
        <v>44390</v>
      </c>
      <c r="B5618" s="11">
        <f>Daily_Data!J5618</f>
        <v>17.12</v>
      </c>
      <c r="C5618" s="11">
        <f>Daily_Data!I5618</f>
        <v>0.59</v>
      </c>
      <c r="D5618" s="12">
        <f>if(sum(Daily_Data!K5618:L5618)&gt;0,1,0)</f>
        <v>1</v>
      </c>
    </row>
    <row r="5619">
      <c r="A5619" s="10">
        <f>Daily_Data!A5619</f>
        <v>44391</v>
      </c>
      <c r="B5619" s="11">
        <f>Daily_Data!J5619</f>
        <v>16.33</v>
      </c>
      <c r="C5619" s="11">
        <f>Daily_Data!I5619</f>
        <v>0.74</v>
      </c>
      <c r="D5619" s="12">
        <f>if(sum(Daily_Data!K5619:L5619)&gt;0,1,0)</f>
        <v>0</v>
      </c>
    </row>
    <row r="5620">
      <c r="A5620" s="10">
        <f>Daily_Data!A5620</f>
        <v>44392</v>
      </c>
      <c r="B5620" s="11">
        <f>Daily_Data!J5620</f>
        <v>17.01</v>
      </c>
      <c r="C5620" s="11">
        <f>Daily_Data!I5620</f>
        <v>0.81</v>
      </c>
      <c r="D5620" s="12">
        <f>if(sum(Daily_Data!K5620:L5620)&gt;0,1,0)</f>
        <v>0</v>
      </c>
    </row>
    <row r="5621">
      <c r="A5621" s="10">
        <f>Daily_Data!A5621</f>
        <v>44393</v>
      </c>
      <c r="B5621" s="11">
        <f>Daily_Data!J5621</f>
        <v>18.45</v>
      </c>
      <c r="C5621" s="11">
        <f>Daily_Data!I5621</f>
        <v>0.84</v>
      </c>
      <c r="D5621" s="12">
        <f>if(sum(Daily_Data!K5621:L5621)&gt;0,1,0)</f>
        <v>0</v>
      </c>
    </row>
    <row r="5622">
      <c r="A5622" s="10">
        <f>Daily_Data!A5622</f>
        <v>44396</v>
      </c>
      <c r="B5622" s="11">
        <f>Daily_Data!J5622</f>
        <v>22.5</v>
      </c>
      <c r="C5622" s="11">
        <f>Daily_Data!I5622</f>
        <v>0.85</v>
      </c>
      <c r="D5622" s="12">
        <f>if(sum(Daily_Data!K5622:L5622)&gt;0,1,0)</f>
        <v>0</v>
      </c>
    </row>
    <row r="5623">
      <c r="A5623" s="10">
        <f>Daily_Data!A5623</f>
        <v>44397</v>
      </c>
      <c r="B5623" s="11">
        <f>Daily_Data!J5623</f>
        <v>19.73</v>
      </c>
      <c r="C5623" s="11">
        <f>Daily_Data!I5623</f>
        <v>0.8</v>
      </c>
      <c r="D5623" s="12">
        <f>if(sum(Daily_Data!K5623:L5623)&gt;0,1,0)</f>
        <v>0</v>
      </c>
    </row>
    <row r="5624">
      <c r="A5624" s="10">
        <f>Daily_Data!A5624</f>
        <v>44398</v>
      </c>
      <c r="B5624" s="11">
        <f>Daily_Data!J5624</f>
        <v>17.91</v>
      </c>
      <c r="C5624" s="11">
        <f>Daily_Data!I5624</f>
        <v>0.79</v>
      </c>
      <c r="D5624" s="12">
        <f>if(sum(Daily_Data!K5624:L5624)&gt;0,1,0)</f>
        <v>0</v>
      </c>
    </row>
    <row r="5625">
      <c r="A5625" s="10">
        <f>Daily_Data!A5625</f>
        <v>44399</v>
      </c>
      <c r="B5625" s="11">
        <f>Daily_Data!J5625</f>
        <v>17.69</v>
      </c>
      <c r="C5625" s="11">
        <f>Daily_Data!I5625</f>
        <v>0.83</v>
      </c>
      <c r="D5625" s="12">
        <f>if(sum(Daily_Data!K5625:L5625)&gt;0,1,0)</f>
        <v>0</v>
      </c>
    </row>
    <row r="5626">
      <c r="A5626" s="10">
        <f>Daily_Data!A5626</f>
        <v>44400</v>
      </c>
      <c r="B5626" s="11">
        <f>Daily_Data!J5626</f>
        <v>17.2</v>
      </c>
      <c r="C5626" s="11">
        <f>Daily_Data!I5626</f>
        <v>0.82</v>
      </c>
      <c r="D5626" s="12">
        <f>if(sum(Daily_Data!K5626:L5626)&gt;0,1,0)</f>
        <v>0</v>
      </c>
    </row>
    <row r="5627">
      <c r="A5627" s="10">
        <f>Daily_Data!A5627</f>
        <v>44403</v>
      </c>
      <c r="B5627" s="11">
        <f>Daily_Data!J5627</f>
        <v>17.58</v>
      </c>
      <c r="C5627" s="11">
        <f>Daily_Data!I5627</f>
        <v>0.84</v>
      </c>
      <c r="D5627" s="12">
        <f>if(sum(Daily_Data!K5627:L5627)&gt;0,1,0)</f>
        <v>0</v>
      </c>
    </row>
    <row r="5628">
      <c r="A5628" s="10">
        <f>Daily_Data!A5628</f>
        <v>44404</v>
      </c>
      <c r="B5628" s="11">
        <f>Daily_Data!J5628</f>
        <v>19.36</v>
      </c>
      <c r="C5628" s="11">
        <f>Daily_Data!I5628</f>
        <v>0.85</v>
      </c>
      <c r="D5628" s="12">
        <f>if(sum(Daily_Data!K5628:L5628)&gt;0,1,0)</f>
        <v>0</v>
      </c>
    </row>
    <row r="5629">
      <c r="A5629" s="10">
        <f>Daily_Data!A5629</f>
        <v>44405</v>
      </c>
      <c r="B5629" s="11">
        <f>Daily_Data!J5629</f>
        <v>18.31</v>
      </c>
      <c r="C5629" s="11">
        <f>Daily_Data!I5629</f>
        <v>0.84</v>
      </c>
      <c r="D5629" s="12">
        <f>if(sum(Daily_Data!K5629:L5629)&gt;0,1,0)</f>
        <v>0</v>
      </c>
    </row>
    <row r="5630">
      <c r="A5630" s="10">
        <f>Daily_Data!A5630</f>
        <v>44406</v>
      </c>
      <c r="B5630" s="11">
        <f>Daily_Data!J5630</f>
        <v>17.7</v>
      </c>
      <c r="C5630" s="11">
        <f>Daily_Data!I5630</f>
        <v>0.83</v>
      </c>
      <c r="D5630" s="12">
        <f>if(sum(Daily_Data!K5630:L5630)&gt;0,1,0)</f>
        <v>0</v>
      </c>
    </row>
    <row r="5631">
      <c r="A5631" s="10">
        <f>Daily_Data!A5631</f>
        <v>44407</v>
      </c>
      <c r="B5631" s="11">
        <f>Daily_Data!J5631</f>
        <v>18.24</v>
      </c>
      <c r="C5631" s="11">
        <f>Daily_Data!I5631</f>
        <v>0.86</v>
      </c>
      <c r="D5631" s="12">
        <f>if(sum(Daily_Data!K5631:L5631)&gt;0,1,0)</f>
        <v>0</v>
      </c>
    </row>
    <row r="5632">
      <c r="A5632" s="10">
        <f>Daily_Data!A5632</f>
        <v>44410</v>
      </c>
      <c r="B5632" s="11">
        <f>Daily_Data!J5632</f>
        <v>19.46</v>
      </c>
      <c r="C5632" s="11">
        <f>Daily_Data!I5632</f>
        <v>0.88</v>
      </c>
      <c r="D5632" s="12">
        <f>if(sum(Daily_Data!K5632:L5632)&gt;0,1,0)</f>
        <v>0</v>
      </c>
    </row>
    <row r="5633">
      <c r="A5633" s="10">
        <f>Daily_Data!A5633</f>
        <v>44411</v>
      </c>
      <c r="B5633" s="11">
        <f>Daily_Data!J5633</f>
        <v>18.04</v>
      </c>
      <c r="C5633" s="11">
        <f>Daily_Data!I5633</f>
        <v>0.95</v>
      </c>
      <c r="D5633" s="12">
        <f>if(sum(Daily_Data!K5633:L5633)&gt;0,1,0)</f>
        <v>0</v>
      </c>
    </row>
    <row r="5634">
      <c r="A5634" s="10">
        <f>Daily_Data!A5634</f>
        <v>44412</v>
      </c>
      <c r="B5634" s="11">
        <f>Daily_Data!J5634</f>
        <v>17.97</v>
      </c>
      <c r="C5634" s="11">
        <f>Daily_Data!I5634</f>
        <v>1.06</v>
      </c>
      <c r="D5634" s="12">
        <f>if(sum(Daily_Data!K5634:L5634)&gt;0,1,0)</f>
        <v>0</v>
      </c>
    </row>
    <row r="5635">
      <c r="A5635" s="10">
        <f>Daily_Data!A5635</f>
        <v>44413</v>
      </c>
      <c r="B5635" s="11">
        <f>Daily_Data!J5635</f>
        <v>17.28</v>
      </c>
      <c r="C5635" s="11">
        <f>Daily_Data!I5635</f>
        <v>1.02</v>
      </c>
      <c r="D5635" s="12">
        <f>if(sum(Daily_Data!K5635:L5635)&gt;0,1,0)</f>
        <v>0</v>
      </c>
    </row>
    <row r="5636">
      <c r="A5636" s="10">
        <f>Daily_Data!A5636</f>
        <v>44414</v>
      </c>
      <c r="B5636" s="11">
        <f>Daily_Data!J5636</f>
        <v>16.15</v>
      </c>
      <c r="C5636" s="11">
        <f>Daily_Data!I5636</f>
        <v>1.02</v>
      </c>
      <c r="D5636" s="12">
        <f>if(sum(Daily_Data!K5636:L5636)&gt;0,1,0)</f>
        <v>1</v>
      </c>
    </row>
    <row r="5637">
      <c r="A5637" s="10">
        <f>Daily_Data!A5637</f>
        <v>44417</v>
      </c>
      <c r="B5637" s="11">
        <f>Daily_Data!J5637</f>
        <v>16.72</v>
      </c>
      <c r="C5637" s="11">
        <f>Daily_Data!I5637</f>
        <v>1.04</v>
      </c>
      <c r="D5637" s="12">
        <f>if(sum(Daily_Data!K5637:L5637)&gt;0,1,0)</f>
        <v>0</v>
      </c>
    </row>
    <row r="5638">
      <c r="A5638" s="10">
        <f>Daily_Data!A5638</f>
        <v>44418</v>
      </c>
      <c r="B5638" s="11">
        <f>Daily_Data!J5638</f>
        <v>16.79</v>
      </c>
      <c r="C5638" s="11">
        <f>Daily_Data!I5638</f>
        <v>1.04</v>
      </c>
      <c r="D5638" s="12">
        <f>if(sum(Daily_Data!K5638:L5638)&gt;0,1,0)</f>
        <v>0</v>
      </c>
    </row>
    <row r="5639">
      <c r="A5639" s="10">
        <f>Daily_Data!A5639</f>
        <v>44419</v>
      </c>
      <c r="B5639" s="11">
        <f>Daily_Data!J5639</f>
        <v>16.06</v>
      </c>
      <c r="C5639" s="11">
        <f>Daily_Data!I5639</f>
        <v>1.08</v>
      </c>
      <c r="D5639" s="12">
        <f>if(sum(Daily_Data!K5639:L5639)&gt;0,1,0)</f>
        <v>1</v>
      </c>
    </row>
    <row r="5640">
      <c r="A5640" s="10">
        <f>Daily_Data!A5640</f>
        <v>44420</v>
      </c>
      <c r="B5640" s="11">
        <f>Daily_Data!J5640</f>
        <v>15.59</v>
      </c>
      <c r="C5640" s="11">
        <f>Daily_Data!I5640</f>
        <v>1.08</v>
      </c>
      <c r="D5640" s="12">
        <f>if(sum(Daily_Data!K5640:L5640)&gt;0,1,0)</f>
        <v>0</v>
      </c>
    </row>
    <row r="5641">
      <c r="A5641" s="10">
        <f>Daily_Data!A5641</f>
        <v>44421</v>
      </c>
      <c r="B5641" s="11">
        <f>Daily_Data!J5641</f>
        <v>15.45</v>
      </c>
      <c r="C5641" s="11">
        <f>Daily_Data!I5641</f>
        <v>1.1</v>
      </c>
      <c r="D5641" s="12">
        <f>if(sum(Daily_Data!K5641:L5641)&gt;0,1,0)</f>
        <v>0</v>
      </c>
    </row>
    <row r="5642">
      <c r="A5642" s="10">
        <f>Daily_Data!A5642</f>
        <v>44424</v>
      </c>
      <c r="B5642" s="11">
        <f>Daily_Data!J5642</f>
        <v>16.12</v>
      </c>
      <c r="C5642" s="11">
        <f>Daily_Data!I5642</f>
        <v>1.15</v>
      </c>
      <c r="D5642" s="12">
        <f>if(sum(Daily_Data!K5642:L5642)&gt;0,1,0)</f>
        <v>0</v>
      </c>
    </row>
    <row r="5643">
      <c r="A5643" s="10">
        <f>Daily_Data!A5643</f>
        <v>44425</v>
      </c>
      <c r="B5643" s="11">
        <f>Daily_Data!J5643</f>
        <v>17.91</v>
      </c>
      <c r="C5643" s="11">
        <f>Daily_Data!I5643</f>
        <v>1.02</v>
      </c>
      <c r="D5643" s="12">
        <f>if(sum(Daily_Data!K5643:L5643)&gt;0,1,0)</f>
        <v>0</v>
      </c>
    </row>
    <row r="5644">
      <c r="A5644" s="10">
        <f>Daily_Data!A5644</f>
        <v>44426</v>
      </c>
      <c r="B5644" s="11">
        <f>Daily_Data!J5644</f>
        <v>21.57</v>
      </c>
      <c r="C5644" s="11">
        <f>Daily_Data!I5644</f>
        <v>1.02</v>
      </c>
      <c r="D5644" s="12">
        <f>if(sum(Daily_Data!K5644:L5644)&gt;0,1,0)</f>
        <v>0</v>
      </c>
    </row>
    <row r="5645">
      <c r="A5645" s="10">
        <f>Daily_Data!A5645</f>
        <v>44427</v>
      </c>
      <c r="B5645" s="11">
        <f>Daily_Data!J5645</f>
        <v>21.67</v>
      </c>
      <c r="C5645" s="11">
        <f>Daily_Data!I5645</f>
        <v>0.99</v>
      </c>
      <c r="D5645" s="12">
        <f>if(sum(Daily_Data!K5645:L5645)&gt;0,1,0)</f>
        <v>0</v>
      </c>
    </row>
    <row r="5646">
      <c r="A5646" s="10">
        <f>Daily_Data!A5646</f>
        <v>44428</v>
      </c>
      <c r="B5646" s="11">
        <f>Daily_Data!J5646</f>
        <v>18.56</v>
      </c>
      <c r="C5646" s="11">
        <f>Daily_Data!I5646</f>
        <v>0.93</v>
      </c>
      <c r="D5646" s="12">
        <f>if(sum(Daily_Data!K5646:L5646)&gt;0,1,0)</f>
        <v>0</v>
      </c>
    </row>
    <row r="5647">
      <c r="A5647" s="10">
        <f>Daily_Data!A5647</f>
        <v>44431</v>
      </c>
      <c r="B5647" s="11">
        <f>Daily_Data!J5647</f>
        <v>17.15</v>
      </c>
      <c r="C5647" s="11">
        <f>Daily_Data!I5647</f>
        <v>0.94</v>
      </c>
      <c r="D5647" s="12">
        <f>if(sum(Daily_Data!K5647:L5647)&gt;0,1,0)</f>
        <v>0</v>
      </c>
    </row>
    <row r="5648">
      <c r="A5648" s="10">
        <f>Daily_Data!A5648</f>
        <v>44432</v>
      </c>
      <c r="B5648" s="11">
        <f>Daily_Data!J5648</f>
        <v>17.22</v>
      </c>
      <c r="C5648" s="11">
        <f>Daily_Data!I5648</f>
        <v>0.97</v>
      </c>
      <c r="D5648" s="12">
        <f>if(sum(Daily_Data!K5648:L5648)&gt;0,1,0)</f>
        <v>0</v>
      </c>
    </row>
    <row r="5649">
      <c r="A5649" s="10">
        <f>Daily_Data!A5649</f>
        <v>44433</v>
      </c>
      <c r="B5649" s="11">
        <f>Daily_Data!J5649</f>
        <v>16.79</v>
      </c>
      <c r="C5649" s="11">
        <f>Daily_Data!I5649</f>
        <v>1.03</v>
      </c>
      <c r="D5649" s="12">
        <f>if(sum(Daily_Data!K5649:L5649)&gt;0,1,0)</f>
        <v>0</v>
      </c>
    </row>
    <row r="5650">
      <c r="A5650" s="10">
        <f>Daily_Data!A5650</f>
        <v>44434</v>
      </c>
      <c r="B5650" s="11">
        <f>Daily_Data!J5650</f>
        <v>18.84</v>
      </c>
      <c r="C5650" s="11">
        <f>Daily_Data!I5650</f>
        <v>1.02</v>
      </c>
      <c r="D5650" s="12">
        <f>if(sum(Daily_Data!K5650:L5650)&gt;0,1,0)</f>
        <v>0</v>
      </c>
    </row>
    <row r="5651">
      <c r="A5651" s="10">
        <f>Daily_Data!A5651</f>
        <v>44435</v>
      </c>
      <c r="B5651" s="11">
        <f>Daily_Data!J5651</f>
        <v>16.39</v>
      </c>
      <c r="C5651" s="11">
        <f>Daily_Data!I5651</f>
        <v>1.07</v>
      </c>
      <c r="D5651" s="12">
        <f>if(sum(Daily_Data!K5651:L5651)&gt;0,1,0)</f>
        <v>0</v>
      </c>
    </row>
    <row r="5652">
      <c r="A5652" s="10">
        <f>Daily_Data!A5652</f>
        <v>44438</v>
      </c>
      <c r="B5652" s="11">
        <f>Daily_Data!J5652</f>
        <v>16.19</v>
      </c>
      <c r="C5652" s="11">
        <f>Daily_Data!I5652</f>
        <v>1.09</v>
      </c>
      <c r="D5652" s="12">
        <f>if(sum(Daily_Data!K5652:L5652)&gt;0,1,0)</f>
        <v>0</v>
      </c>
    </row>
    <row r="5653">
      <c r="A5653" s="10">
        <f>Daily_Data!A5653</f>
        <v>44439</v>
      </c>
      <c r="B5653" s="11">
        <f>Daily_Data!J5653</f>
        <v>16.48</v>
      </c>
      <c r="C5653" s="11">
        <f>Daily_Data!I5653</f>
        <v>1.08</v>
      </c>
      <c r="D5653" s="12">
        <f>if(sum(Daily_Data!K5653:L5653)&gt;0,1,0)</f>
        <v>0</v>
      </c>
    </row>
    <row r="5654">
      <c r="A5654" s="10">
        <f>Daily_Data!A5654</f>
        <v>44440</v>
      </c>
      <c r="B5654" s="11">
        <f>Daily_Data!J5654</f>
        <v>16.11</v>
      </c>
      <c r="C5654" s="11">
        <f>Daily_Data!I5654</f>
        <v>1.11</v>
      </c>
      <c r="D5654" s="12">
        <f>if(sum(Daily_Data!K5654:L5654)&gt;0,1,0)</f>
        <v>0</v>
      </c>
    </row>
    <row r="5655">
      <c r="A5655" s="10">
        <f>Daily_Data!A5655</f>
        <v>44441</v>
      </c>
      <c r="B5655" s="11">
        <f>Daily_Data!J5655</f>
        <v>16.41</v>
      </c>
      <c r="C5655" s="11">
        <f>Daily_Data!I5655</f>
        <v>1.12</v>
      </c>
      <c r="D5655" s="12">
        <f>if(sum(Daily_Data!K5655:L5655)&gt;0,1,0)</f>
        <v>0</v>
      </c>
    </row>
    <row r="5656">
      <c r="A5656" s="10">
        <f>Daily_Data!A5656</f>
        <v>44442</v>
      </c>
      <c r="B5656" s="11">
        <f>Daily_Data!J5656</f>
        <v>16.41</v>
      </c>
      <c r="C5656" s="11">
        <f>Daily_Data!I5656</f>
        <v>1.14</v>
      </c>
      <c r="D5656" s="12">
        <f>if(sum(Daily_Data!K5656:L5656)&gt;0,1,0)</f>
        <v>1</v>
      </c>
    </row>
    <row r="5657">
      <c r="A5657" s="10">
        <f>Daily_Data!A5657</f>
        <v>44445</v>
      </c>
      <c r="B5657" s="11" t="str">
        <f>Daily_Data!J5657</f>
        <v/>
      </c>
      <c r="C5657" s="11" t="str">
        <f>Daily_Data!I5657</f>
        <v/>
      </c>
      <c r="D5657" s="12">
        <f>if(sum(Daily_Data!K5657:L5657)&gt;0,1,0)</f>
        <v>0</v>
      </c>
    </row>
    <row r="5658">
      <c r="A5658" s="10">
        <f>Daily_Data!A5658</f>
        <v>44446</v>
      </c>
      <c r="B5658" s="11">
        <f>Daily_Data!J5658</f>
        <v>18.14</v>
      </c>
      <c r="C5658" s="11">
        <f>Daily_Data!I5658</f>
        <v>1.16</v>
      </c>
      <c r="D5658" s="12">
        <f>if(sum(Daily_Data!K5658:L5658)&gt;0,1,0)</f>
        <v>0</v>
      </c>
    </row>
    <row r="5659">
      <c r="A5659" s="10">
        <f>Daily_Data!A5659</f>
        <v>44447</v>
      </c>
      <c r="B5659" s="11">
        <f>Daily_Data!J5659</f>
        <v>17.96</v>
      </c>
      <c r="C5659" s="11">
        <f>Daily_Data!I5659</f>
        <v>1.15</v>
      </c>
      <c r="D5659" s="12">
        <f>if(sum(Daily_Data!K5659:L5659)&gt;0,1,0)</f>
        <v>0</v>
      </c>
    </row>
    <row r="5660">
      <c r="A5660" s="10">
        <f>Daily_Data!A5660</f>
        <v>44448</v>
      </c>
      <c r="B5660" s="11">
        <f>Daily_Data!J5660</f>
        <v>18.8</v>
      </c>
      <c r="C5660" s="11">
        <f>Daily_Data!I5660</f>
        <v>1.14</v>
      </c>
      <c r="D5660" s="12">
        <f>if(sum(Daily_Data!K5660:L5660)&gt;0,1,0)</f>
        <v>0</v>
      </c>
    </row>
    <row r="5661">
      <c r="A5661" s="10">
        <f>Daily_Data!A5661</f>
        <v>44449</v>
      </c>
      <c r="B5661" s="11">
        <f>Daily_Data!J5661</f>
        <v>20.95</v>
      </c>
      <c r="C5661" s="11">
        <f>Daily_Data!I5661</f>
        <v>1.14</v>
      </c>
      <c r="D5661" s="12">
        <f>if(sum(Daily_Data!K5661:L5661)&gt;0,1,0)</f>
        <v>0</v>
      </c>
    </row>
    <row r="5662">
      <c r="A5662" s="10">
        <f>Daily_Data!A5662</f>
        <v>44452</v>
      </c>
      <c r="B5662" s="11">
        <f>Daily_Data!J5662</f>
        <v>19.37</v>
      </c>
      <c r="C5662" s="11">
        <f>Daily_Data!I5662</f>
        <v>1.17</v>
      </c>
      <c r="D5662" s="12">
        <f>if(sum(Daily_Data!K5662:L5662)&gt;0,1,0)</f>
        <v>0</v>
      </c>
    </row>
    <row r="5663">
      <c r="A5663" s="10">
        <f>Daily_Data!A5663</f>
        <v>44453</v>
      </c>
      <c r="B5663" s="11">
        <f>Daily_Data!J5663</f>
        <v>19.46</v>
      </c>
      <c r="C5663" s="11">
        <f>Daily_Data!I5663</f>
        <v>1.18</v>
      </c>
      <c r="D5663" s="12">
        <f>if(sum(Daily_Data!K5663:L5663)&gt;0,1,0)</f>
        <v>1</v>
      </c>
    </row>
    <row r="5664">
      <c r="A5664" s="10">
        <f>Daily_Data!A5664</f>
        <v>44454</v>
      </c>
      <c r="B5664" s="11">
        <f>Daily_Data!J5664</f>
        <v>18.18</v>
      </c>
      <c r="C5664" s="11">
        <f>Daily_Data!I5664</f>
        <v>1.19</v>
      </c>
      <c r="D5664" s="12">
        <f>if(sum(Daily_Data!K5664:L5664)&gt;0,1,0)</f>
        <v>0</v>
      </c>
    </row>
    <row r="5665">
      <c r="A5665" s="10">
        <f>Daily_Data!A5665</f>
        <v>44455</v>
      </c>
      <c r="B5665" s="11">
        <f>Daily_Data!J5665</f>
        <v>18.69</v>
      </c>
      <c r="C5665" s="11">
        <f>Daily_Data!I5665</f>
        <v>1.25</v>
      </c>
      <c r="D5665" s="12">
        <f>if(sum(Daily_Data!K5665:L5665)&gt;0,1,0)</f>
        <v>0</v>
      </c>
    </row>
    <row r="5666">
      <c r="A5666" s="10">
        <f>Daily_Data!A5666</f>
        <v>44456</v>
      </c>
      <c r="B5666" s="11">
        <f>Daily_Data!J5666</f>
        <v>20.81</v>
      </c>
      <c r="C5666" s="11">
        <f>Daily_Data!I5666</f>
        <v>1.27</v>
      </c>
      <c r="D5666" s="12">
        <f>if(sum(Daily_Data!K5666:L5666)&gt;0,1,0)</f>
        <v>0</v>
      </c>
    </row>
    <row r="5667">
      <c r="A5667" s="10">
        <f>Daily_Data!A5667</f>
        <v>44459</v>
      </c>
      <c r="B5667" s="11">
        <f>Daily_Data!J5667</f>
        <v>25.71</v>
      </c>
      <c r="C5667" s="11">
        <f>Daily_Data!I5667</f>
        <v>1.26</v>
      </c>
      <c r="D5667" s="12">
        <f>if(sum(Daily_Data!K5667:L5667)&gt;0,1,0)</f>
        <v>0</v>
      </c>
    </row>
    <row r="5668">
      <c r="A5668" s="10">
        <f>Daily_Data!A5668</f>
        <v>44460</v>
      </c>
      <c r="B5668" s="11">
        <f>Daily_Data!J5668</f>
        <v>24.36</v>
      </c>
      <c r="C5668" s="11">
        <f>Daily_Data!I5668</f>
        <v>1.21</v>
      </c>
      <c r="D5668" s="12">
        <f>if(sum(Daily_Data!K5668:L5668)&gt;0,1,0)</f>
        <v>0</v>
      </c>
    </row>
    <row r="5669">
      <c r="A5669" s="10">
        <f>Daily_Data!A5669</f>
        <v>44461</v>
      </c>
      <c r="B5669" s="11">
        <f>Daily_Data!J5669</f>
        <v>20.87</v>
      </c>
      <c r="C5669" s="11">
        <f>Daily_Data!I5669</f>
        <v>1.17</v>
      </c>
      <c r="D5669" s="12">
        <f>if(sum(Daily_Data!K5669:L5669)&gt;0,1,0)</f>
        <v>0</v>
      </c>
    </row>
    <row r="5670">
      <c r="A5670" s="10">
        <f>Daily_Data!A5670</f>
        <v>44462</v>
      </c>
      <c r="B5670" s="11">
        <f>Daily_Data!J5670</f>
        <v>18.63</v>
      </c>
      <c r="C5670" s="11">
        <f>Daily_Data!I5670</f>
        <v>1.15</v>
      </c>
      <c r="D5670" s="12">
        <f>if(sum(Daily_Data!K5670:L5670)&gt;0,1,0)</f>
        <v>0</v>
      </c>
    </row>
    <row r="5671">
      <c r="A5671" s="10">
        <f>Daily_Data!A5671</f>
        <v>44463</v>
      </c>
      <c r="B5671" s="11">
        <f>Daily_Data!J5671</f>
        <v>17.75</v>
      </c>
      <c r="C5671" s="11">
        <f>Daily_Data!I5671</f>
        <v>1.16</v>
      </c>
      <c r="D5671" s="12">
        <f>if(sum(Daily_Data!K5671:L5671)&gt;0,1,0)</f>
        <v>0</v>
      </c>
    </row>
    <row r="5672">
      <c r="A5672" s="10">
        <f>Daily_Data!A5672</f>
        <v>44466</v>
      </c>
      <c r="B5672" s="11">
        <f>Daily_Data!J5672</f>
        <v>18.76</v>
      </c>
      <c r="C5672" s="11">
        <f>Daily_Data!I5672</f>
        <v>1.15</v>
      </c>
      <c r="D5672" s="12">
        <f>if(sum(Daily_Data!K5672:L5672)&gt;0,1,0)</f>
        <v>0</v>
      </c>
    </row>
    <row r="5673">
      <c r="A5673" s="10">
        <f>Daily_Data!A5673</f>
        <v>44467</v>
      </c>
      <c r="B5673" s="11">
        <f>Daily_Data!J5673</f>
        <v>23.25</v>
      </c>
      <c r="C5673" s="11">
        <f>Daily_Data!I5673</f>
        <v>1.14</v>
      </c>
      <c r="D5673" s="12">
        <f>if(sum(Daily_Data!K5673:L5673)&gt;0,1,0)</f>
        <v>0</v>
      </c>
    </row>
    <row r="5674">
      <c r="A5674" s="10">
        <f>Daily_Data!A5674</f>
        <v>44468</v>
      </c>
      <c r="B5674" s="11">
        <f>Daily_Data!J5674</f>
        <v>22.56</v>
      </c>
      <c r="C5674" s="11">
        <f>Daily_Data!I5674</f>
        <v>1.13</v>
      </c>
      <c r="D5674" s="12">
        <f>if(sum(Daily_Data!K5674:L5674)&gt;0,1,0)</f>
        <v>0</v>
      </c>
    </row>
    <row r="5675">
      <c r="A5675" s="10">
        <f>Daily_Data!A5675</f>
        <v>44469</v>
      </c>
      <c r="B5675" s="11">
        <f>Daily_Data!J5675</f>
        <v>23.14</v>
      </c>
      <c r="C5675" s="11">
        <f>Daily_Data!I5675</f>
        <v>1.14</v>
      </c>
      <c r="D5675" s="12">
        <f>if(sum(Daily_Data!K5675:L5675)&gt;0,1,0)</f>
        <v>0</v>
      </c>
    </row>
    <row r="5676">
      <c r="A5676" s="10">
        <f>Daily_Data!A5676</f>
        <v>44470</v>
      </c>
      <c r="B5676" s="11">
        <f>Daily_Data!J5676</f>
        <v>21.15</v>
      </c>
      <c r="C5676" s="11">
        <f>Daily_Data!I5676</f>
        <v>1.14</v>
      </c>
      <c r="D5676" s="12">
        <f>if(sum(Daily_Data!K5676:L5676)&gt;0,1,0)</f>
        <v>0</v>
      </c>
    </row>
    <row r="5677">
      <c r="A5677" s="10">
        <f>Daily_Data!A5677</f>
        <v>44473</v>
      </c>
      <c r="B5677" s="11">
        <f>Daily_Data!J5677</f>
        <v>22.96</v>
      </c>
      <c r="C5677" s="11">
        <f>Daily_Data!I5677</f>
        <v>1.11</v>
      </c>
      <c r="D5677" s="12">
        <f>if(sum(Daily_Data!K5677:L5677)&gt;0,1,0)</f>
        <v>0</v>
      </c>
    </row>
    <row r="5678">
      <c r="A5678" s="10">
        <f>Daily_Data!A5678</f>
        <v>44474</v>
      </c>
      <c r="B5678" s="11">
        <f>Daily_Data!J5678</f>
        <v>21.3</v>
      </c>
      <c r="C5678" s="11">
        <f>Daily_Data!I5678</f>
        <v>1.12</v>
      </c>
      <c r="D5678" s="12">
        <f>if(sum(Daily_Data!K5678:L5678)&gt;0,1,0)</f>
        <v>0</v>
      </c>
    </row>
    <row r="5679">
      <c r="A5679" s="10">
        <f>Daily_Data!A5679</f>
        <v>44475</v>
      </c>
      <c r="B5679" s="11">
        <f>Daily_Data!J5679</f>
        <v>21</v>
      </c>
      <c r="C5679" s="11">
        <f>Daily_Data!I5679</f>
        <v>1.11</v>
      </c>
      <c r="D5679" s="12">
        <f>if(sum(Daily_Data!K5679:L5679)&gt;0,1,0)</f>
        <v>0</v>
      </c>
    </row>
    <row r="5680">
      <c r="A5680" s="10">
        <f>Daily_Data!A5680</f>
        <v>44476</v>
      </c>
      <c r="B5680" s="11">
        <f>Daily_Data!J5680</f>
        <v>19.54</v>
      </c>
      <c r="C5680" s="11">
        <f>Daily_Data!I5680</f>
        <v>1.1</v>
      </c>
      <c r="D5680" s="12">
        <f>if(sum(Daily_Data!K5680:L5680)&gt;0,1,0)</f>
        <v>0</v>
      </c>
    </row>
    <row r="5681">
      <c r="A5681" s="10">
        <f>Daily_Data!A5681</f>
        <v>44477</v>
      </c>
      <c r="B5681" s="11">
        <f>Daily_Data!J5681</f>
        <v>18.77</v>
      </c>
      <c r="C5681" s="11">
        <f>Daily_Data!I5681</f>
        <v>1.13</v>
      </c>
      <c r="D5681" s="12">
        <f>if(sum(Daily_Data!K5681:L5681)&gt;0,1,0)</f>
        <v>1</v>
      </c>
    </row>
    <row r="5682">
      <c r="A5682" s="10">
        <f>Daily_Data!A5682</f>
        <v>44480</v>
      </c>
      <c r="B5682" s="11">
        <f>Daily_Data!J5682</f>
        <v>20</v>
      </c>
      <c r="C5682" s="11" t="str">
        <f>Daily_Data!I5682</f>
        <v/>
      </c>
      <c r="D5682" s="12">
        <f>if(sum(Daily_Data!K5682:L5682)&gt;0,1,0)</f>
        <v>0</v>
      </c>
    </row>
    <row r="5683">
      <c r="A5683" s="10">
        <f>Daily_Data!A5683</f>
        <v>44481</v>
      </c>
      <c r="B5683" s="11">
        <f>Daily_Data!J5683</f>
        <v>19.85</v>
      </c>
      <c r="C5683" s="11">
        <f>Daily_Data!I5683</f>
        <v>1.17</v>
      </c>
      <c r="D5683" s="12">
        <f>if(sum(Daily_Data!K5683:L5683)&gt;0,1,0)</f>
        <v>0</v>
      </c>
    </row>
    <row r="5684">
      <c r="A5684" s="10">
        <f>Daily_Data!A5684</f>
        <v>44482</v>
      </c>
      <c r="B5684" s="11">
        <f>Daily_Data!J5684</f>
        <v>18.64</v>
      </c>
      <c r="C5684" s="11">
        <f>Daily_Data!I5684</f>
        <v>1.19</v>
      </c>
      <c r="D5684" s="12">
        <f>if(sum(Daily_Data!K5684:L5684)&gt;0,1,0)</f>
        <v>1</v>
      </c>
    </row>
    <row r="5685">
      <c r="A5685" s="10">
        <f>Daily_Data!A5685</f>
        <v>44483</v>
      </c>
      <c r="B5685" s="11">
        <f>Daily_Data!J5685</f>
        <v>16.86</v>
      </c>
      <c r="C5685" s="11">
        <f>Daily_Data!I5685</f>
        <v>1.24</v>
      </c>
      <c r="D5685" s="12">
        <f>if(sum(Daily_Data!K5685:L5685)&gt;0,1,0)</f>
        <v>0</v>
      </c>
    </row>
    <row r="5686">
      <c r="A5686" s="10">
        <f>Daily_Data!A5686</f>
        <v>44484</v>
      </c>
      <c r="B5686" s="11">
        <f>Daily_Data!J5686</f>
        <v>16.3</v>
      </c>
      <c r="C5686" s="11">
        <f>Daily_Data!I5686</f>
        <v>1.23</v>
      </c>
      <c r="D5686" s="12">
        <f>if(sum(Daily_Data!K5686:L5686)&gt;0,1,0)</f>
        <v>0</v>
      </c>
    </row>
    <row r="5687">
      <c r="A5687" s="10">
        <f>Daily_Data!A5687</f>
        <v>44487</v>
      </c>
      <c r="B5687" s="11">
        <f>Daily_Data!J5687</f>
        <v>16.31</v>
      </c>
      <c r="C5687" s="11">
        <f>Daily_Data!I5687</f>
        <v>1.48</v>
      </c>
      <c r="D5687" s="12">
        <f>if(sum(Daily_Data!K5687:L5687)&gt;0,1,0)</f>
        <v>0</v>
      </c>
    </row>
    <row r="5688">
      <c r="A5688" s="10">
        <f>Daily_Data!A5688</f>
        <v>44488</v>
      </c>
      <c r="B5688" s="11">
        <f>Daily_Data!J5688</f>
        <v>15.7</v>
      </c>
      <c r="C5688" s="11">
        <f>Daily_Data!I5688</f>
        <v>1.54</v>
      </c>
      <c r="D5688" s="12">
        <f>if(sum(Daily_Data!K5688:L5688)&gt;0,1,0)</f>
        <v>0</v>
      </c>
    </row>
    <row r="5689">
      <c r="A5689" s="10">
        <f>Daily_Data!A5689</f>
        <v>44489</v>
      </c>
      <c r="B5689" s="11">
        <f>Daily_Data!J5689</f>
        <v>15.49</v>
      </c>
      <c r="C5689" s="11">
        <f>Daily_Data!I5689</f>
        <v>1.54</v>
      </c>
      <c r="D5689" s="12">
        <f>if(sum(Daily_Data!K5689:L5689)&gt;0,1,0)</f>
        <v>0</v>
      </c>
    </row>
    <row r="5690">
      <c r="A5690" s="10">
        <f>Daily_Data!A5690</f>
        <v>44490</v>
      </c>
      <c r="B5690" s="11">
        <f>Daily_Data!J5690</f>
        <v>15.01</v>
      </c>
      <c r="C5690" s="11">
        <f>Daily_Data!I5690</f>
        <v>1.5</v>
      </c>
      <c r="D5690" s="12">
        <f>if(sum(Daily_Data!K5690:L5690)&gt;0,1,0)</f>
        <v>0</v>
      </c>
    </row>
    <row r="5691">
      <c r="A5691" s="10">
        <f>Daily_Data!A5691</f>
        <v>44491</v>
      </c>
      <c r="B5691" s="11">
        <f>Daily_Data!J5691</f>
        <v>15.43</v>
      </c>
      <c r="C5691" s="11">
        <f>Daily_Data!I5691</f>
        <v>1.5</v>
      </c>
      <c r="D5691" s="12">
        <f>if(sum(Daily_Data!K5691:L5691)&gt;0,1,0)</f>
        <v>0</v>
      </c>
    </row>
    <row r="5692">
      <c r="A5692" s="10">
        <f>Daily_Data!A5692</f>
        <v>44494</v>
      </c>
      <c r="B5692" s="11">
        <f>Daily_Data!J5692</f>
        <v>15.24</v>
      </c>
      <c r="C5692" s="11" t="str">
        <f>Daily_Data!I5692</f>
        <v/>
      </c>
      <c r="D5692" s="12">
        <f>if(sum(Daily_Data!K5692:L5692)&gt;0,1,0)</f>
        <v>0</v>
      </c>
    </row>
    <row r="5693">
      <c r="A5693" s="10">
        <f>Daily_Data!A5693</f>
        <v>44495</v>
      </c>
      <c r="B5693" s="11">
        <f>Daily_Data!J5693</f>
        <v>15.98</v>
      </c>
      <c r="C5693" s="11">
        <f>Daily_Data!I5693</f>
        <v>1.56</v>
      </c>
      <c r="D5693" s="12">
        <f>if(sum(Daily_Data!K5693:L5693)&gt;0,1,0)</f>
        <v>0</v>
      </c>
    </row>
    <row r="5694">
      <c r="A5694" s="10">
        <f>Daily_Data!A5694</f>
        <v>44496</v>
      </c>
      <c r="B5694" s="11">
        <f>Daily_Data!J5694</f>
        <v>16.98</v>
      </c>
      <c r="C5694" s="11">
        <f>Daily_Data!I5694</f>
        <v>1.67</v>
      </c>
      <c r="D5694" s="12">
        <f>if(sum(Daily_Data!K5694:L5694)&gt;0,1,0)</f>
        <v>0</v>
      </c>
    </row>
    <row r="5695">
      <c r="A5695" s="10">
        <f>Daily_Data!A5695</f>
        <v>44497</v>
      </c>
      <c r="B5695" s="11">
        <f>Daily_Data!J5695</f>
        <v>16.53</v>
      </c>
      <c r="C5695" s="11">
        <f>Daily_Data!I5695</f>
        <v>1.85</v>
      </c>
      <c r="D5695" s="12">
        <f>if(sum(Daily_Data!K5695:L5695)&gt;0,1,0)</f>
        <v>0</v>
      </c>
    </row>
    <row r="5696">
      <c r="A5696" s="10">
        <f>Daily_Data!A5696</f>
        <v>44498</v>
      </c>
      <c r="B5696" s="11">
        <f>Daily_Data!J5696</f>
        <v>16.26</v>
      </c>
      <c r="C5696" s="11">
        <f>Daily_Data!I5696</f>
        <v>1.78</v>
      </c>
      <c r="D5696" s="12">
        <f>if(sum(Daily_Data!K5696:L5696)&gt;0,1,0)</f>
        <v>0</v>
      </c>
    </row>
    <row r="5697">
      <c r="A5697" s="10">
        <f>Daily_Data!A5697</f>
        <v>44501</v>
      </c>
      <c r="B5697" s="11">
        <f>Daily_Data!J5697</f>
        <v>16.41</v>
      </c>
      <c r="C5697" s="11">
        <f>Daily_Data!I5697</f>
        <v>1.72</v>
      </c>
      <c r="D5697" s="12">
        <f>if(sum(Daily_Data!K5697:L5697)&gt;0,1,0)</f>
        <v>0</v>
      </c>
    </row>
    <row r="5698">
      <c r="A5698" s="10">
        <f>Daily_Data!A5698</f>
        <v>44502</v>
      </c>
      <c r="B5698" s="11">
        <f>Daily_Data!J5698</f>
        <v>16.03</v>
      </c>
      <c r="C5698" s="11">
        <f>Daily_Data!I5698</f>
        <v>1.8</v>
      </c>
      <c r="D5698" s="12">
        <f>if(sum(Daily_Data!K5698:L5698)&gt;0,1,0)</f>
        <v>0</v>
      </c>
    </row>
    <row r="5699">
      <c r="A5699" s="10">
        <f>Daily_Data!A5699</f>
        <v>44503</v>
      </c>
      <c r="B5699" s="11">
        <f>Daily_Data!J5699</f>
        <v>15.1</v>
      </c>
      <c r="C5699" s="11">
        <f>Daily_Data!I5699</f>
        <v>1.79</v>
      </c>
      <c r="D5699" s="12">
        <f>if(sum(Daily_Data!K5699:L5699)&gt;0,1,0)</f>
        <v>0</v>
      </c>
    </row>
    <row r="5700">
      <c r="A5700" s="10">
        <f>Daily_Data!A5700</f>
        <v>44504</v>
      </c>
      <c r="B5700" s="11">
        <f>Daily_Data!J5700</f>
        <v>15.44</v>
      </c>
      <c r="C5700" s="11">
        <f>Daily_Data!I5700</f>
        <v>1.85</v>
      </c>
      <c r="D5700" s="12">
        <f>if(sum(Daily_Data!K5700:L5700)&gt;0,1,0)</f>
        <v>0</v>
      </c>
    </row>
    <row r="5701">
      <c r="A5701" s="10">
        <f>Daily_Data!A5701</f>
        <v>44505</v>
      </c>
      <c r="B5701" s="11">
        <f>Daily_Data!J5701</f>
        <v>16.48</v>
      </c>
      <c r="C5701" s="11">
        <f>Daily_Data!I5701</f>
        <v>1.81</v>
      </c>
      <c r="D5701" s="12">
        <f>if(sum(Daily_Data!K5701:L5701)&gt;0,1,0)</f>
        <v>1</v>
      </c>
    </row>
    <row r="5702">
      <c r="A5702" s="10">
        <f>Daily_Data!A5702</f>
        <v>44508</v>
      </c>
      <c r="B5702" s="11">
        <f>Daily_Data!J5702</f>
        <v>17.22</v>
      </c>
      <c r="C5702" s="11">
        <f>Daily_Data!I5702</f>
        <v>1.73</v>
      </c>
      <c r="D5702" s="12">
        <f>if(sum(Daily_Data!K5702:L5702)&gt;0,1,0)</f>
        <v>0</v>
      </c>
    </row>
    <row r="5703">
      <c r="A5703" s="10">
        <f>Daily_Data!A5703</f>
        <v>44509</v>
      </c>
      <c r="B5703" s="11">
        <f>Daily_Data!J5703</f>
        <v>17.78</v>
      </c>
      <c r="C5703" s="11">
        <f>Daily_Data!I5703</f>
        <v>1.78</v>
      </c>
      <c r="D5703" s="12">
        <f>if(sum(Daily_Data!K5703:L5703)&gt;0,1,0)</f>
        <v>0</v>
      </c>
    </row>
    <row r="5704">
      <c r="A5704" s="10">
        <f>Daily_Data!A5704</f>
        <v>44510</v>
      </c>
      <c r="B5704" s="11">
        <f>Daily_Data!J5704</f>
        <v>18.73</v>
      </c>
      <c r="C5704" s="11">
        <f>Daily_Data!I5704</f>
        <v>1.69</v>
      </c>
      <c r="D5704" s="12">
        <f>if(sum(Daily_Data!K5704:L5704)&gt;0,1,0)</f>
        <v>1</v>
      </c>
    </row>
    <row r="5705">
      <c r="A5705" s="10">
        <f>Daily_Data!A5705</f>
        <v>44511</v>
      </c>
      <c r="B5705" s="11">
        <f>Daily_Data!J5705</f>
        <v>17.66</v>
      </c>
      <c r="C5705" s="11" t="str">
        <f>Daily_Data!I5705</f>
        <v/>
      </c>
      <c r="D5705" s="12">
        <f>if(sum(Daily_Data!K5705:L5705)&gt;0,1,0)</f>
        <v>0</v>
      </c>
    </row>
    <row r="5706">
      <c r="A5706" s="10">
        <f>Daily_Data!A5706</f>
        <v>44512</v>
      </c>
      <c r="B5706" s="11">
        <f>Daily_Data!J5706</f>
        <v>16.29</v>
      </c>
      <c r="C5706" s="11">
        <f>Daily_Data!I5706</f>
        <v>1.77</v>
      </c>
      <c r="D5706" s="12">
        <f>if(sum(Daily_Data!K5706:L5706)&gt;0,1,0)</f>
        <v>0</v>
      </c>
    </row>
    <row r="5707">
      <c r="A5707" s="10">
        <f>Daily_Data!A5707</f>
        <v>44515</v>
      </c>
      <c r="B5707" s="11">
        <f>Daily_Data!J5707</f>
        <v>16.49</v>
      </c>
      <c r="C5707" s="11">
        <f>Daily_Data!I5707</f>
        <v>1.75</v>
      </c>
      <c r="D5707" s="12">
        <f>if(sum(Daily_Data!K5707:L5707)&gt;0,1,0)</f>
        <v>0</v>
      </c>
    </row>
    <row r="5708">
      <c r="A5708" s="10">
        <f>Daily_Data!A5708</f>
        <v>44516</v>
      </c>
      <c r="B5708" s="11">
        <f>Daily_Data!J5708</f>
        <v>16.37</v>
      </c>
      <c r="C5708" s="11">
        <f>Daily_Data!I5708</f>
        <v>1.77</v>
      </c>
      <c r="D5708" s="12">
        <f>if(sum(Daily_Data!K5708:L5708)&gt;0,1,0)</f>
        <v>0</v>
      </c>
    </row>
    <row r="5709">
      <c r="A5709" s="10">
        <f>Daily_Data!A5709</f>
        <v>44517</v>
      </c>
      <c r="B5709" s="11">
        <f>Daily_Data!J5709</f>
        <v>17.11</v>
      </c>
      <c r="C5709" s="11">
        <f>Daily_Data!I5709</f>
        <v>1.82</v>
      </c>
      <c r="D5709" s="12">
        <f>if(sum(Daily_Data!K5709:L5709)&gt;0,1,0)</f>
        <v>0</v>
      </c>
    </row>
    <row r="5710">
      <c r="A5710" s="10">
        <f>Daily_Data!A5710</f>
        <v>44518</v>
      </c>
      <c r="B5710" s="11">
        <f>Daily_Data!J5710</f>
        <v>17.59</v>
      </c>
      <c r="C5710" s="11">
        <f>Daily_Data!I5710</f>
        <v>1.9</v>
      </c>
      <c r="D5710" s="12">
        <f>if(sum(Daily_Data!K5710:L5710)&gt;0,1,0)</f>
        <v>0</v>
      </c>
    </row>
    <row r="5711">
      <c r="A5711" s="10">
        <f>Daily_Data!A5711</f>
        <v>44519</v>
      </c>
      <c r="B5711" s="11">
        <f>Daily_Data!J5711</f>
        <v>17.91</v>
      </c>
      <c r="C5711" s="11">
        <f>Daily_Data!I5711</f>
        <v>1.92</v>
      </c>
      <c r="D5711" s="12">
        <f>if(sum(Daily_Data!K5711:L5711)&gt;0,1,0)</f>
        <v>0</v>
      </c>
    </row>
    <row r="5712">
      <c r="A5712" s="10">
        <f>Daily_Data!A5712</f>
        <v>44522</v>
      </c>
      <c r="B5712" s="11">
        <f>Daily_Data!J5712</f>
        <v>19.17</v>
      </c>
      <c r="C5712" s="11">
        <f>Daily_Data!I5712</f>
        <v>1.8</v>
      </c>
      <c r="D5712" s="12">
        <f>if(sum(Daily_Data!K5712:L5712)&gt;0,1,0)</f>
        <v>0</v>
      </c>
    </row>
    <row r="5713">
      <c r="A5713" s="10">
        <f>Daily_Data!A5713</f>
        <v>44523</v>
      </c>
      <c r="B5713" s="11">
        <f>Daily_Data!J5713</f>
        <v>19.38</v>
      </c>
      <c r="C5713" s="11">
        <f>Daily_Data!I5713</f>
        <v>1.8</v>
      </c>
      <c r="D5713" s="12">
        <f>if(sum(Daily_Data!K5713:L5713)&gt;0,1,0)</f>
        <v>0</v>
      </c>
    </row>
    <row r="5714">
      <c r="A5714" s="10">
        <f>Daily_Data!A5714</f>
        <v>44524</v>
      </c>
      <c r="B5714" s="11">
        <f>Daily_Data!J5714</f>
        <v>18.58</v>
      </c>
      <c r="C5714" s="11">
        <f>Daily_Data!I5714</f>
        <v>1.6</v>
      </c>
      <c r="D5714" s="12">
        <f>if(sum(Daily_Data!K5714:L5714)&gt;0,1,0)</f>
        <v>0</v>
      </c>
    </row>
    <row r="5715">
      <c r="A5715" s="10">
        <f>Daily_Data!A5715</f>
        <v>44525</v>
      </c>
      <c r="B5715" s="11" t="str">
        <f>Daily_Data!J5715</f>
        <v/>
      </c>
      <c r="C5715" s="11" t="str">
        <f>Daily_Data!I5715</f>
        <v/>
      </c>
      <c r="D5715" s="12">
        <f>if(sum(Daily_Data!K5715:L5715)&gt;0,1,0)</f>
        <v>0</v>
      </c>
    </row>
    <row r="5716">
      <c r="A5716" s="10">
        <f>Daily_Data!A5716</f>
        <v>44526</v>
      </c>
      <c r="B5716" s="11">
        <f>Daily_Data!J5716</f>
        <v>28.62</v>
      </c>
      <c r="C5716" s="11">
        <f>Daily_Data!I5716</f>
        <v>1.64</v>
      </c>
      <c r="D5716" s="12">
        <f>if(sum(Daily_Data!K5716:L5716)&gt;0,1,0)</f>
        <v>0</v>
      </c>
    </row>
    <row r="5717">
      <c r="A5717" s="10">
        <f>Daily_Data!A5717</f>
        <v>44529</v>
      </c>
      <c r="B5717" s="11">
        <f>Daily_Data!J5717</f>
        <v>22.96</v>
      </c>
      <c r="C5717" s="11">
        <f>Daily_Data!I5717</f>
        <v>1.63</v>
      </c>
      <c r="D5717" s="12">
        <f>if(sum(Daily_Data!K5717:L5717)&gt;0,1,0)</f>
        <v>0</v>
      </c>
    </row>
    <row r="5718">
      <c r="A5718" s="10">
        <f>Daily_Data!A5718</f>
        <v>44530</v>
      </c>
      <c r="B5718" s="11">
        <f>Daily_Data!J5718</f>
        <v>27.19</v>
      </c>
      <c r="C5718" s="11">
        <f>Daily_Data!I5718</f>
        <v>1.62</v>
      </c>
      <c r="D5718" s="12">
        <f>if(sum(Daily_Data!K5718:L5718)&gt;0,1,0)</f>
        <v>0</v>
      </c>
    </row>
    <row r="5719">
      <c r="A5719" s="10">
        <f>Daily_Data!A5719</f>
        <v>44531</v>
      </c>
      <c r="B5719" s="11">
        <f>Daily_Data!J5719</f>
        <v>31.12</v>
      </c>
      <c r="C5719" s="11">
        <f>Daily_Data!I5719</f>
        <v>1.63</v>
      </c>
      <c r="D5719" s="12">
        <f>if(sum(Daily_Data!K5719:L5719)&gt;0,1,0)</f>
        <v>0</v>
      </c>
    </row>
    <row r="5720">
      <c r="A5720" s="10">
        <f>Daily_Data!A5720</f>
        <v>44532</v>
      </c>
      <c r="B5720" s="11">
        <f>Daily_Data!J5720</f>
        <v>27.95</v>
      </c>
      <c r="C5720" s="11">
        <f>Daily_Data!I5720</f>
        <v>1.63</v>
      </c>
      <c r="D5720" s="12">
        <f>if(sum(Daily_Data!K5720:L5720)&gt;0,1,0)</f>
        <v>0</v>
      </c>
    </row>
    <row r="5721">
      <c r="A5721" s="10">
        <f>Daily_Data!A5721</f>
        <v>44533</v>
      </c>
      <c r="B5721" s="11">
        <f>Daily_Data!J5721</f>
        <v>30.67</v>
      </c>
      <c r="C5721" s="11">
        <f>Daily_Data!I5721</f>
        <v>1.65</v>
      </c>
      <c r="D5721" s="12">
        <f>if(sum(Daily_Data!K5721:L5721)&gt;0,1,0)</f>
        <v>1</v>
      </c>
    </row>
    <row r="5722">
      <c r="A5722" s="10">
        <f>Daily_Data!A5722</f>
        <v>44536</v>
      </c>
      <c r="B5722" s="11">
        <f>Daily_Data!J5722</f>
        <v>27.18</v>
      </c>
      <c r="C5722" s="11">
        <f>Daily_Data!I5722</f>
        <v>1.57</v>
      </c>
      <c r="D5722" s="12">
        <f>if(sum(Daily_Data!K5722:L5722)&gt;0,1,0)</f>
        <v>0</v>
      </c>
    </row>
    <row r="5723">
      <c r="A5723" s="10">
        <f>Daily_Data!A5723</f>
        <v>44537</v>
      </c>
      <c r="B5723" s="11">
        <f>Daily_Data!J5723</f>
        <v>21.89</v>
      </c>
      <c r="C5723" s="11">
        <f>Daily_Data!I5723</f>
        <v>1.55</v>
      </c>
      <c r="D5723" s="12">
        <f>if(sum(Daily_Data!K5723:L5723)&gt;0,1,0)</f>
        <v>0</v>
      </c>
    </row>
    <row r="5724">
      <c r="A5724" s="10">
        <f>Daily_Data!A5724</f>
        <v>44538</v>
      </c>
      <c r="B5724" s="11">
        <f>Daily_Data!J5724</f>
        <v>19.9</v>
      </c>
      <c r="C5724" s="11">
        <f>Daily_Data!I5724</f>
        <v>1.58</v>
      </c>
      <c r="D5724" s="12">
        <f>if(sum(Daily_Data!K5724:L5724)&gt;0,1,0)</f>
        <v>0</v>
      </c>
    </row>
    <row r="5725">
      <c r="A5725" s="10">
        <f>Daily_Data!A5725</f>
        <v>44539</v>
      </c>
      <c r="B5725" s="11">
        <f>Daily_Data!J5725</f>
        <v>21.58</v>
      </c>
      <c r="C5725" s="11">
        <f>Daily_Data!I5725</f>
        <v>1.55</v>
      </c>
      <c r="D5725" s="12">
        <f>if(sum(Daily_Data!K5725:L5725)&gt;0,1,0)</f>
        <v>0</v>
      </c>
    </row>
    <row r="5726">
      <c r="A5726" s="10">
        <f>Daily_Data!A5726</f>
        <v>44540</v>
      </c>
      <c r="B5726" s="11">
        <f>Daily_Data!J5726</f>
        <v>18.69</v>
      </c>
      <c r="C5726" s="11">
        <f>Daily_Data!I5726</f>
        <v>1.55</v>
      </c>
      <c r="D5726" s="12">
        <f>if(sum(Daily_Data!K5726:L5726)&gt;0,1,0)</f>
        <v>1</v>
      </c>
    </row>
    <row r="5727">
      <c r="A5727" s="10">
        <f>Daily_Data!A5727</f>
        <v>44543</v>
      </c>
      <c r="B5727" s="11">
        <f>Daily_Data!J5727</f>
        <v>20.31</v>
      </c>
      <c r="C5727" s="11">
        <f>Daily_Data!I5727</f>
        <v>1.55</v>
      </c>
      <c r="D5727" s="12">
        <f>if(sum(Daily_Data!K5727:L5727)&gt;0,1,0)</f>
        <v>0</v>
      </c>
    </row>
    <row r="5728">
      <c r="A5728" s="10">
        <f>Daily_Data!A5728</f>
        <v>44544</v>
      </c>
      <c r="B5728" s="11">
        <f>Daily_Data!J5728</f>
        <v>21.89</v>
      </c>
      <c r="C5728" s="11">
        <f>Daily_Data!I5728</f>
        <v>1.52</v>
      </c>
      <c r="D5728" s="12">
        <f>if(sum(Daily_Data!K5728:L5728)&gt;0,1,0)</f>
        <v>0</v>
      </c>
    </row>
    <row r="5729">
      <c r="A5729" s="10">
        <f>Daily_Data!A5729</f>
        <v>44545</v>
      </c>
      <c r="B5729" s="11">
        <f>Daily_Data!J5729</f>
        <v>19.29</v>
      </c>
      <c r="C5729" s="11">
        <f>Daily_Data!I5729</f>
        <v>1.53</v>
      </c>
      <c r="D5729" s="12">
        <f>if(sum(Daily_Data!K5729:L5729)&gt;0,1,0)</f>
        <v>0</v>
      </c>
    </row>
    <row r="5730">
      <c r="A5730" s="10">
        <f>Daily_Data!A5730</f>
        <v>44546</v>
      </c>
      <c r="B5730" s="11">
        <f>Daily_Data!J5730</f>
        <v>20.57</v>
      </c>
      <c r="C5730" s="11">
        <f>Daily_Data!I5730</f>
        <v>1.63</v>
      </c>
      <c r="D5730" s="12">
        <f>if(sum(Daily_Data!K5730:L5730)&gt;0,1,0)</f>
        <v>0</v>
      </c>
    </row>
    <row r="5731">
      <c r="A5731" s="10">
        <f>Daily_Data!A5731</f>
        <v>44547</v>
      </c>
      <c r="B5731" s="11">
        <f>Daily_Data!J5731</f>
        <v>21.57</v>
      </c>
      <c r="C5731" s="11">
        <f>Daily_Data!I5731</f>
        <v>1.59</v>
      </c>
      <c r="D5731" s="12">
        <f>if(sum(Daily_Data!K5731:L5731)&gt;0,1,0)</f>
        <v>0</v>
      </c>
    </row>
    <row r="5732">
      <c r="A5732" s="10">
        <f>Daily_Data!A5732</f>
        <v>44550</v>
      </c>
      <c r="B5732" s="11">
        <f>Daily_Data!J5732</f>
        <v>22.87</v>
      </c>
      <c r="C5732" s="11">
        <f>Daily_Data!I5732</f>
        <v>1.55</v>
      </c>
      <c r="D5732" s="12">
        <f>if(sum(Daily_Data!K5732:L5732)&gt;0,1,0)</f>
        <v>0</v>
      </c>
    </row>
    <row r="5733">
      <c r="A5733" s="10">
        <f>Daily_Data!A5733</f>
        <v>44551</v>
      </c>
      <c r="B5733" s="11">
        <f>Daily_Data!J5733</f>
        <v>21.01</v>
      </c>
      <c r="C5733" s="11">
        <f>Daily_Data!I5733</f>
        <v>1.51</v>
      </c>
      <c r="D5733" s="12">
        <f>if(sum(Daily_Data!K5733:L5733)&gt;0,1,0)</f>
        <v>0</v>
      </c>
    </row>
    <row r="5734">
      <c r="A5734" s="10">
        <f>Daily_Data!A5734</f>
        <v>44552</v>
      </c>
      <c r="B5734" s="11">
        <f>Daily_Data!J5734</f>
        <v>18.63</v>
      </c>
      <c r="C5734" s="11">
        <f>Daily_Data!I5734</f>
        <v>1.53</v>
      </c>
      <c r="D5734" s="12">
        <f>if(sum(Daily_Data!K5734:L5734)&gt;0,1,0)</f>
        <v>0</v>
      </c>
    </row>
    <row r="5735">
      <c r="A5735" s="10">
        <f>Daily_Data!A5735</f>
        <v>44553</v>
      </c>
      <c r="B5735" s="11">
        <f>Daily_Data!J5735</f>
        <v>17.96</v>
      </c>
      <c r="C5735" s="11">
        <f>Daily_Data!I5735</f>
        <v>1.49</v>
      </c>
      <c r="D5735" s="12">
        <f>if(sum(Daily_Data!K5735:L5735)&gt;0,1,0)</f>
        <v>0</v>
      </c>
    </row>
    <row r="5736">
      <c r="A5736" s="10">
        <f>Daily_Data!A5736</f>
        <v>44554</v>
      </c>
      <c r="B5736" s="11" t="str">
        <f>Daily_Data!J5736</f>
        <v/>
      </c>
      <c r="C5736" s="11" t="str">
        <f>Daily_Data!I5736</f>
        <v/>
      </c>
      <c r="D5736" s="12">
        <f>if(sum(Daily_Data!K5736:L5736)&gt;0,1,0)</f>
        <v>0</v>
      </c>
    </row>
    <row r="5737">
      <c r="A5737" s="10">
        <f>Daily_Data!A5737</f>
        <v>44557</v>
      </c>
      <c r="B5737" s="11">
        <f>Daily_Data!J5737</f>
        <v>17.68</v>
      </c>
      <c r="C5737" s="11" t="str">
        <f>Daily_Data!I5737</f>
        <v/>
      </c>
      <c r="D5737" s="12">
        <f>if(sum(Daily_Data!K5737:L5737)&gt;0,1,0)</f>
        <v>0</v>
      </c>
    </row>
    <row r="5738">
      <c r="A5738" s="10">
        <f>Daily_Data!A5738</f>
        <v>44558</v>
      </c>
      <c r="B5738" s="11">
        <f>Daily_Data!J5738</f>
        <v>17.54</v>
      </c>
      <c r="C5738" s="11" t="str">
        <f>Daily_Data!I5738</f>
        <v/>
      </c>
      <c r="D5738" s="12">
        <f>if(sum(Daily_Data!K5738:L5738)&gt;0,1,0)</f>
        <v>0</v>
      </c>
    </row>
    <row r="5739">
      <c r="A5739" s="10">
        <f>Daily_Data!A5739</f>
        <v>44559</v>
      </c>
      <c r="B5739" s="11">
        <f>Daily_Data!J5739</f>
        <v>16.95</v>
      </c>
      <c r="C5739" s="11">
        <f>Daily_Data!I5739</f>
        <v>1.41</v>
      </c>
      <c r="D5739" s="12">
        <f>if(sum(Daily_Data!K5739:L5739)&gt;0,1,0)</f>
        <v>0</v>
      </c>
    </row>
    <row r="5740">
      <c r="A5740" s="10">
        <f>Daily_Data!A5740</f>
        <v>44560</v>
      </c>
      <c r="B5740" s="11">
        <f>Daily_Data!J5740</f>
        <v>17.33</v>
      </c>
      <c r="C5740" s="11">
        <f>Daily_Data!I5740</f>
        <v>1.45</v>
      </c>
      <c r="D5740" s="12">
        <f>if(sum(Daily_Data!K5740:L5740)&gt;0,1,0)</f>
        <v>0</v>
      </c>
    </row>
    <row r="5741">
      <c r="A5741" s="10">
        <f>Daily_Data!A5741</f>
        <v>44561</v>
      </c>
      <c r="B5741" s="11">
        <f>Daily_Data!J5741</f>
        <v>17.22</v>
      </c>
      <c r="C5741" s="11">
        <f>Daily_Data!I5741</f>
        <v>1.44</v>
      </c>
      <c r="D5741" s="12">
        <f>if(sum(Daily_Data!K5741:L5741)&gt;0,1,0)</f>
        <v>0</v>
      </c>
    </row>
    <row r="5742">
      <c r="A5742" s="10">
        <f>Daily_Data!A5742</f>
        <v>44564</v>
      </c>
      <c r="B5742" s="11">
        <f>Daily_Data!J5742</f>
        <v>16.6</v>
      </c>
      <c r="C5742" s="11" t="str">
        <f>Daily_Data!I5742</f>
        <v/>
      </c>
      <c r="D5742" s="12">
        <f>if(sum(Daily_Data!K5742:L5742)&gt;0,1,0)</f>
        <v>0</v>
      </c>
    </row>
    <row r="5743">
      <c r="A5743" s="10">
        <f>Daily_Data!A5743</f>
        <v>44565</v>
      </c>
      <c r="B5743" s="11">
        <f>Daily_Data!J5743</f>
        <v>16.91</v>
      </c>
      <c r="C5743" s="11" t="str">
        <f>Daily_Data!I5743</f>
        <v/>
      </c>
      <c r="D5743" s="12">
        <f>if(sum(Daily_Data!K5743:L5743)&gt;0,1,0)</f>
        <v>0</v>
      </c>
    </row>
    <row r="5744">
      <c r="A5744" s="10">
        <f>Daily_Data!A5744</f>
        <v>44566</v>
      </c>
      <c r="B5744" s="11">
        <f>Daily_Data!J5744</f>
        <v>19.73</v>
      </c>
      <c r="C5744" s="11">
        <f>Daily_Data!I5744</f>
        <v>1.35</v>
      </c>
      <c r="D5744" s="12">
        <f>if(sum(Daily_Data!K5744:L5744)&gt;0,1,0)</f>
        <v>0</v>
      </c>
    </row>
    <row r="5745">
      <c r="A5745" s="10">
        <f>Daily_Data!A5745</f>
        <v>44567</v>
      </c>
      <c r="B5745" s="11">
        <f>Daily_Data!J5745</f>
        <v>19.61</v>
      </c>
      <c r="C5745" s="11">
        <f>Daily_Data!I5745</f>
        <v>1.32</v>
      </c>
      <c r="D5745" s="12">
        <f>if(sum(Daily_Data!K5745:L5745)&gt;0,1,0)</f>
        <v>0</v>
      </c>
    </row>
    <row r="5746">
      <c r="A5746" s="10">
        <f>Daily_Data!A5746</f>
        <v>44568</v>
      </c>
      <c r="B5746" s="11">
        <f>Daily_Data!J5746</f>
        <v>18.76</v>
      </c>
      <c r="C5746" s="11">
        <f>Daily_Data!I5746</f>
        <v>1.35</v>
      </c>
      <c r="D5746" s="12">
        <f>if(sum(Daily_Data!K5746:L5746)&gt;0,1,0)</f>
        <v>1</v>
      </c>
    </row>
    <row r="5747">
      <c r="A5747" s="10">
        <f>Daily_Data!A5747</f>
        <v>44571</v>
      </c>
      <c r="B5747" s="11">
        <f>Daily_Data!J5747</f>
        <v>19.4</v>
      </c>
      <c r="C5747" s="11">
        <f>Daily_Data!I5747</f>
        <v>1.33</v>
      </c>
      <c r="D5747" s="12">
        <f>if(sum(Daily_Data!K5747:L5747)&gt;0,1,0)</f>
        <v>0</v>
      </c>
    </row>
    <row r="5748">
      <c r="A5748" s="10">
        <f>Daily_Data!A5748</f>
        <v>44572</v>
      </c>
      <c r="B5748" s="11">
        <f>Daily_Data!J5748</f>
        <v>18.41</v>
      </c>
      <c r="C5748" s="11">
        <f>Daily_Data!I5748</f>
        <v>1.34</v>
      </c>
      <c r="D5748" s="12">
        <f>if(sum(Daily_Data!K5748:L5748)&gt;0,1,0)</f>
        <v>0</v>
      </c>
    </row>
    <row r="5749">
      <c r="A5749" s="10">
        <f>Daily_Data!A5749</f>
        <v>44573</v>
      </c>
      <c r="B5749" s="11">
        <f>Daily_Data!J5749</f>
        <v>17.62</v>
      </c>
      <c r="C5749" s="11">
        <f>Daily_Data!I5749</f>
        <v>1.31</v>
      </c>
      <c r="D5749" s="12">
        <f>if(sum(Daily_Data!K5749:L5749)&gt;0,1,0)</f>
        <v>1</v>
      </c>
    </row>
    <row r="5750">
      <c r="A5750" s="10">
        <f>Daily_Data!A5750</f>
        <v>44574</v>
      </c>
      <c r="B5750" s="11">
        <f>Daily_Data!J5750</f>
        <v>20.31</v>
      </c>
      <c r="C5750" s="11">
        <f>Daily_Data!I5750</f>
        <v>1.31</v>
      </c>
      <c r="D5750" s="12">
        <f>if(sum(Daily_Data!K5750:L5750)&gt;0,1,0)</f>
        <v>0</v>
      </c>
    </row>
    <row r="5751">
      <c r="A5751" s="10">
        <f>Daily_Data!A5751</f>
        <v>44575</v>
      </c>
      <c r="B5751" s="11">
        <f>Daily_Data!J5751</f>
        <v>19.19</v>
      </c>
      <c r="C5751" s="11">
        <f>Daily_Data!I5751</f>
        <v>1.22</v>
      </c>
      <c r="D5751" s="12">
        <f>if(sum(Daily_Data!K5751:L5751)&gt;0,1,0)</f>
        <v>0</v>
      </c>
    </row>
    <row r="5752">
      <c r="A5752" s="10">
        <f>Daily_Data!A5752</f>
        <v>44578</v>
      </c>
      <c r="B5752" s="11" t="str">
        <f>Daily_Data!J5752</f>
        <v/>
      </c>
      <c r="C5752" s="11" t="str">
        <f>Daily_Data!I5752</f>
        <v/>
      </c>
      <c r="D5752" s="12">
        <f>if(sum(Daily_Data!K5752:L5752)&gt;0,1,0)</f>
        <v>0</v>
      </c>
    </row>
    <row r="5753">
      <c r="A5753" s="10">
        <f>Daily_Data!A5753</f>
        <v>44579</v>
      </c>
      <c r="B5753" s="11">
        <f>Daily_Data!J5753</f>
        <v>22.79</v>
      </c>
      <c r="C5753" s="11">
        <f>Daily_Data!I5753</f>
        <v>1.19</v>
      </c>
      <c r="D5753" s="12">
        <f>if(sum(Daily_Data!K5753:L5753)&gt;0,1,0)</f>
        <v>0</v>
      </c>
    </row>
    <row r="5754">
      <c r="A5754" s="10">
        <f>Daily_Data!A5754</f>
        <v>44580</v>
      </c>
      <c r="B5754" s="11">
        <f>Daily_Data!J5754</f>
        <v>23.85</v>
      </c>
      <c r="C5754" s="11">
        <f>Daily_Data!I5754</f>
        <v>1.38</v>
      </c>
      <c r="D5754" s="12">
        <f>if(sum(Daily_Data!K5754:L5754)&gt;0,1,0)</f>
        <v>0</v>
      </c>
    </row>
    <row r="5755">
      <c r="A5755" s="10">
        <f>Daily_Data!A5755</f>
        <v>44581</v>
      </c>
      <c r="B5755" s="11">
        <f>Daily_Data!J5755</f>
        <v>25.59</v>
      </c>
      <c r="C5755" s="11">
        <f>Daily_Data!I5755</f>
        <v>1.33</v>
      </c>
      <c r="D5755" s="12">
        <f>if(sum(Daily_Data!K5755:L5755)&gt;0,1,0)</f>
        <v>0</v>
      </c>
    </row>
    <row r="5756">
      <c r="A5756" s="10">
        <f>Daily_Data!A5756</f>
        <v>44582</v>
      </c>
      <c r="B5756" s="11">
        <f>Daily_Data!J5756</f>
        <v>28.85</v>
      </c>
      <c r="C5756" s="11">
        <f>Daily_Data!I5756</f>
        <v>1.33</v>
      </c>
      <c r="D5756" s="12">
        <f>if(sum(Daily_Data!K5756:L5756)&gt;0,1,0)</f>
        <v>0</v>
      </c>
    </row>
    <row r="5757">
      <c r="A5757" s="10">
        <f>Daily_Data!A5757</f>
        <v>44585</v>
      </c>
      <c r="B5757" s="11">
        <f>Daily_Data!J5757</f>
        <v>29.9</v>
      </c>
      <c r="C5757" s="11">
        <f>Daily_Data!I5757</f>
        <v>1.35</v>
      </c>
      <c r="D5757" s="12">
        <f>if(sum(Daily_Data!K5757:L5757)&gt;0,1,0)</f>
        <v>0</v>
      </c>
    </row>
    <row r="5758">
      <c r="A5758" s="10">
        <f>Daily_Data!A5758</f>
        <v>44586</v>
      </c>
      <c r="B5758" s="11">
        <f>Daily_Data!J5758</f>
        <v>31.16</v>
      </c>
      <c r="C5758" s="11">
        <f>Daily_Data!I5758</f>
        <v>1.38</v>
      </c>
      <c r="D5758" s="12">
        <f>if(sum(Daily_Data!K5758:L5758)&gt;0,1,0)</f>
        <v>0</v>
      </c>
    </row>
    <row r="5759">
      <c r="A5759" s="10">
        <f>Daily_Data!A5759</f>
        <v>44587</v>
      </c>
      <c r="B5759" s="11">
        <f>Daily_Data!J5759</f>
        <v>31.96</v>
      </c>
      <c r="C5759" s="11">
        <f>Daily_Data!I5759</f>
        <v>1.3</v>
      </c>
      <c r="D5759" s="12">
        <f>if(sum(Daily_Data!K5759:L5759)&gt;0,1,0)</f>
        <v>0</v>
      </c>
    </row>
    <row r="5760">
      <c r="A5760" s="10">
        <f>Daily_Data!A5760</f>
        <v>44588</v>
      </c>
      <c r="B5760" s="11">
        <f>Daily_Data!J5760</f>
        <v>30.49</v>
      </c>
      <c r="C5760" s="11">
        <f>Daily_Data!I5760</f>
        <v>1.3</v>
      </c>
      <c r="D5760" s="12">
        <f>if(sum(Daily_Data!K5760:L5760)&gt;0,1,0)</f>
        <v>0</v>
      </c>
    </row>
    <row r="5761">
      <c r="A5761" s="10">
        <f>Daily_Data!A5761</f>
        <v>44589</v>
      </c>
      <c r="B5761" s="11">
        <f>Daily_Data!J5761</f>
        <v>27.66</v>
      </c>
      <c r="C5761" s="11">
        <f>Daily_Data!I5761</f>
        <v>1.32</v>
      </c>
      <c r="D5761" s="12">
        <f>if(sum(Daily_Data!K5761:L5761)&gt;0,1,0)</f>
        <v>0</v>
      </c>
    </row>
    <row r="5762">
      <c r="A5762" s="10">
        <f>Daily_Data!A5762</f>
        <v>44592</v>
      </c>
      <c r="B5762" s="11">
        <f>Daily_Data!J5762</f>
        <v>24.83</v>
      </c>
      <c r="C5762" s="11">
        <f>Daily_Data!I5762</f>
        <v>1.29</v>
      </c>
      <c r="D5762" s="12">
        <f>if(sum(Daily_Data!K5762:L5762)&gt;0,1,0)</f>
        <v>0</v>
      </c>
    </row>
    <row r="5763">
      <c r="A5763" s="10">
        <f>Daily_Data!A5763</f>
        <v>44593</v>
      </c>
      <c r="B5763" s="11">
        <f>Daily_Data!J5763</f>
        <v>21.96</v>
      </c>
      <c r="C5763" s="11">
        <f>Daily_Data!I5763</f>
        <v>1.28</v>
      </c>
      <c r="D5763" s="12">
        <f>if(sum(Daily_Data!K5763:L5763)&gt;0,1,0)</f>
        <v>0</v>
      </c>
    </row>
    <row r="5764">
      <c r="A5764" s="10">
        <f>Daily_Data!A5764</f>
        <v>44594</v>
      </c>
      <c r="B5764" s="11">
        <f>Daily_Data!J5764</f>
        <v>22.09</v>
      </c>
      <c r="C5764" s="11">
        <f>Daily_Data!I5764</f>
        <v>1.26</v>
      </c>
      <c r="D5764" s="12">
        <f>if(sum(Daily_Data!K5764:L5764)&gt;0,1,0)</f>
        <v>0</v>
      </c>
    </row>
    <row r="5765">
      <c r="A5765" s="10">
        <f>Daily_Data!A5765</f>
        <v>44595</v>
      </c>
      <c r="B5765" s="11">
        <f>Daily_Data!J5765</f>
        <v>24.35</v>
      </c>
      <c r="C5765" s="11">
        <f>Daily_Data!I5765</f>
        <v>1.21</v>
      </c>
      <c r="D5765" s="12">
        <f>if(sum(Daily_Data!K5765:L5765)&gt;0,1,0)</f>
        <v>0</v>
      </c>
    </row>
    <row r="5766">
      <c r="A5766" s="10">
        <f>Daily_Data!A5766</f>
        <v>44596</v>
      </c>
      <c r="B5766" s="11">
        <f>Daily_Data!J5766</f>
        <v>23.22</v>
      </c>
      <c r="C5766" s="11">
        <f>Daily_Data!I5766</f>
        <v>1.13</v>
      </c>
      <c r="D5766" s="12">
        <f>if(sum(Daily_Data!K5766:L5766)&gt;0,1,0)</f>
        <v>1</v>
      </c>
    </row>
    <row r="5767">
      <c r="A5767" s="10">
        <f>Daily_Data!A5767</f>
        <v>44599</v>
      </c>
      <c r="B5767" s="11">
        <f>Daily_Data!J5767</f>
        <v>22.86</v>
      </c>
      <c r="C5767" s="11" t="str">
        <f>Daily_Data!I5767</f>
        <v/>
      </c>
      <c r="D5767" s="12">
        <f>if(sum(Daily_Data!K5767:L5767)&gt;0,1,0)</f>
        <v>0</v>
      </c>
    </row>
    <row r="5768">
      <c r="A5768" s="10">
        <f>Daily_Data!A5768</f>
        <v>44600</v>
      </c>
      <c r="B5768" s="11">
        <f>Daily_Data!J5768</f>
        <v>21.44</v>
      </c>
      <c r="C5768" s="11">
        <f>Daily_Data!I5768</f>
        <v>1.15</v>
      </c>
      <c r="D5768" s="12">
        <f>if(sum(Daily_Data!K5768:L5768)&gt;0,1,0)</f>
        <v>0</v>
      </c>
    </row>
    <row r="5769">
      <c r="A5769" s="10">
        <f>Daily_Data!A5769</f>
        <v>44601</v>
      </c>
      <c r="B5769" s="11">
        <f>Daily_Data!J5769</f>
        <v>19.96</v>
      </c>
      <c r="C5769" s="11">
        <f>Daily_Data!I5769</f>
        <v>1.12</v>
      </c>
      <c r="D5769" s="12">
        <f>if(sum(Daily_Data!K5769:L5769)&gt;0,1,0)</f>
        <v>0</v>
      </c>
    </row>
    <row r="5770">
      <c r="A5770" s="10">
        <f>Daily_Data!A5770</f>
        <v>44602</v>
      </c>
      <c r="B5770" s="11">
        <f>Daily_Data!J5770</f>
        <v>23.91</v>
      </c>
      <c r="C5770" s="11">
        <f>Daily_Data!I5770</f>
        <v>0.86</v>
      </c>
      <c r="D5770" s="12">
        <f>if(sum(Daily_Data!K5770:L5770)&gt;0,1,0)</f>
        <v>1</v>
      </c>
    </row>
    <row r="5771">
      <c r="A5771" s="10">
        <f>Daily_Data!A5771</f>
        <v>44603</v>
      </c>
      <c r="B5771" s="11">
        <f>Daily_Data!J5771</f>
        <v>27.36</v>
      </c>
      <c r="C5771" s="11">
        <f>Daily_Data!I5771</f>
        <v>1.05</v>
      </c>
      <c r="D5771" s="12">
        <f>if(sum(Daily_Data!K5771:L5771)&gt;0,1,0)</f>
        <v>0</v>
      </c>
    </row>
    <row r="5772">
      <c r="A5772" s="10">
        <f>Daily_Data!A5772</f>
        <v>44606</v>
      </c>
      <c r="B5772" s="11">
        <f>Daily_Data!J5772</f>
        <v>28.33</v>
      </c>
      <c r="C5772" s="11">
        <f>Daily_Data!I5772</f>
        <v>0.97</v>
      </c>
      <c r="D5772" s="12">
        <f>if(sum(Daily_Data!K5772:L5772)&gt;0,1,0)</f>
        <v>0</v>
      </c>
    </row>
    <row r="5773">
      <c r="A5773" s="10">
        <f>Daily_Data!A5773</f>
        <v>44607</v>
      </c>
      <c r="B5773" s="11">
        <f>Daily_Data!J5773</f>
        <v>25.7</v>
      </c>
      <c r="C5773" s="11">
        <f>Daily_Data!I5773</f>
        <v>0.98</v>
      </c>
      <c r="D5773" s="12">
        <f>if(sum(Daily_Data!K5773:L5773)&gt;0,1,0)</f>
        <v>0</v>
      </c>
    </row>
    <row r="5774">
      <c r="A5774" s="10">
        <f>Daily_Data!A5774</f>
        <v>44608</v>
      </c>
      <c r="B5774" s="11">
        <f>Daily_Data!J5774</f>
        <v>24.29</v>
      </c>
      <c r="C5774" s="11">
        <f>Daily_Data!I5774</f>
        <v>1.05</v>
      </c>
      <c r="D5774" s="12">
        <f>if(sum(Daily_Data!K5774:L5774)&gt;0,1,0)</f>
        <v>0</v>
      </c>
    </row>
    <row r="5775">
      <c r="A5775" s="10">
        <f>Daily_Data!A5775</f>
        <v>44609</v>
      </c>
      <c r="B5775" s="11">
        <f>Daily_Data!J5775</f>
        <v>28.11</v>
      </c>
      <c r="C5775" s="11">
        <f>Daily_Data!I5775</f>
        <v>1.07</v>
      </c>
      <c r="D5775" s="12">
        <f>if(sum(Daily_Data!K5775:L5775)&gt;0,1,0)</f>
        <v>0</v>
      </c>
    </row>
    <row r="5776">
      <c r="A5776" s="10">
        <f>Daily_Data!A5776</f>
        <v>44610</v>
      </c>
      <c r="B5776" s="11">
        <f>Daily_Data!J5776</f>
        <v>27.75</v>
      </c>
      <c r="C5776" s="11">
        <f>Daily_Data!I5776</f>
        <v>1.09</v>
      </c>
      <c r="D5776" s="12">
        <f>if(sum(Daily_Data!K5776:L5776)&gt;0,1,0)</f>
        <v>0</v>
      </c>
    </row>
    <row r="5777">
      <c r="A5777" s="10">
        <f>Daily_Data!A5777</f>
        <v>44613</v>
      </c>
      <c r="B5777" s="11" t="str">
        <f>Daily_Data!J5777</f>
        <v/>
      </c>
      <c r="C5777" s="11" t="str">
        <f>Daily_Data!I5777</f>
        <v/>
      </c>
      <c r="D5777" s="12">
        <f>if(sum(Daily_Data!K5777:L5777)&gt;0,1,0)</f>
        <v>0</v>
      </c>
    </row>
    <row r="5778">
      <c r="A5778" s="10">
        <f>Daily_Data!A5778</f>
        <v>44614</v>
      </c>
      <c r="B5778" s="11">
        <f>Daily_Data!J5778</f>
        <v>28.81</v>
      </c>
      <c r="C5778" s="11">
        <f>Daily_Data!I5778</f>
        <v>1</v>
      </c>
      <c r="D5778" s="12">
        <f>if(sum(Daily_Data!K5778:L5778)&gt;0,1,0)</f>
        <v>0</v>
      </c>
    </row>
    <row r="5779">
      <c r="A5779" s="10">
        <f>Daily_Data!A5779</f>
        <v>44615</v>
      </c>
      <c r="B5779" s="11">
        <f>Daily_Data!J5779</f>
        <v>31.02</v>
      </c>
      <c r="C5779" s="11">
        <f>Daily_Data!I5779</f>
        <v>1.12</v>
      </c>
      <c r="D5779" s="12">
        <f>if(sum(Daily_Data!K5779:L5779)&gt;0,1,0)</f>
        <v>0</v>
      </c>
    </row>
    <row r="5780">
      <c r="A5780" s="10">
        <f>Daily_Data!A5780</f>
        <v>44616</v>
      </c>
      <c r="B5780" s="11">
        <f>Daily_Data!J5780</f>
        <v>30.32</v>
      </c>
      <c r="C5780" s="11">
        <f>Daily_Data!I5780</f>
        <v>1.19</v>
      </c>
      <c r="D5780" s="12">
        <f>if(sum(Daily_Data!K5780:L5780)&gt;0,1,0)</f>
        <v>0</v>
      </c>
    </row>
    <row r="5781">
      <c r="A5781" s="10">
        <f>Daily_Data!A5781</f>
        <v>44617</v>
      </c>
      <c r="B5781" s="11">
        <f>Daily_Data!J5781</f>
        <v>27.59</v>
      </c>
      <c r="C5781" s="11">
        <f>Daily_Data!I5781</f>
        <v>1.24</v>
      </c>
      <c r="D5781" s="12">
        <f>if(sum(Daily_Data!K5781:L5781)&gt;0,1,0)</f>
        <v>0</v>
      </c>
    </row>
    <row r="5782">
      <c r="A5782" s="10">
        <f>Daily_Data!A5782</f>
        <v>44620</v>
      </c>
      <c r="B5782" s="11">
        <f>Daily_Data!J5782</f>
        <v>30.15</v>
      </c>
      <c r="C5782" s="11">
        <f>Daily_Data!I5782</f>
        <v>1.31</v>
      </c>
      <c r="D5782" s="12">
        <f>if(sum(Daily_Data!K5782:L5782)&gt;0,1,0)</f>
        <v>0</v>
      </c>
    </row>
    <row r="5783">
      <c r="A5783" s="10">
        <f>Daily_Data!A5783</f>
        <v>44621</v>
      </c>
      <c r="B5783" s="11">
        <f>Daily_Data!J5783</f>
        <v>33.32</v>
      </c>
      <c r="C5783" s="11">
        <f>Daily_Data!I5783</f>
        <v>1.44</v>
      </c>
      <c r="D5783" s="12">
        <f>if(sum(Daily_Data!K5783:L5783)&gt;0,1,0)</f>
        <v>0</v>
      </c>
    </row>
    <row r="5784">
      <c r="A5784" s="10">
        <f>Daily_Data!A5784</f>
        <v>44622</v>
      </c>
      <c r="B5784" s="11">
        <f>Daily_Data!J5784</f>
        <v>30.74</v>
      </c>
      <c r="C5784" s="11">
        <f>Daily_Data!I5784</f>
        <v>1.22</v>
      </c>
      <c r="D5784" s="12">
        <f>if(sum(Daily_Data!K5784:L5784)&gt;0,1,0)</f>
        <v>0</v>
      </c>
    </row>
    <row r="5785">
      <c r="A5785" s="10">
        <f>Daily_Data!A5785</f>
        <v>44623</v>
      </c>
      <c r="B5785" s="11">
        <f>Daily_Data!J5785</f>
        <v>30.48</v>
      </c>
      <c r="C5785" s="11">
        <f>Daily_Data!I5785</f>
        <v>1.24</v>
      </c>
      <c r="D5785" s="12">
        <f>if(sum(Daily_Data!K5785:L5785)&gt;0,1,0)</f>
        <v>0</v>
      </c>
    </row>
    <row r="5786">
      <c r="A5786" s="10">
        <f>Daily_Data!A5786</f>
        <v>44624</v>
      </c>
      <c r="B5786" s="11">
        <f>Daily_Data!J5786</f>
        <v>31.98</v>
      </c>
      <c r="C5786" s="11">
        <f>Daily_Data!I5786</f>
        <v>1.31</v>
      </c>
      <c r="D5786" s="12">
        <f>if(sum(Daily_Data!K5786:L5786)&gt;0,1,0)</f>
        <v>1</v>
      </c>
    </row>
    <row r="5787">
      <c r="A5787" s="10">
        <f>Daily_Data!A5787</f>
        <v>44627</v>
      </c>
      <c r="B5787" s="11">
        <f>Daily_Data!J5787</f>
        <v>36.45</v>
      </c>
      <c r="C5787" s="11">
        <f>Daily_Data!I5787</f>
        <v>1.23</v>
      </c>
      <c r="D5787" s="12">
        <f>if(sum(Daily_Data!K5787:L5787)&gt;0,1,0)</f>
        <v>0</v>
      </c>
    </row>
    <row r="5788">
      <c r="A5788" s="10">
        <f>Daily_Data!A5788</f>
        <v>44628</v>
      </c>
      <c r="B5788" s="11">
        <f>Daily_Data!J5788</f>
        <v>35.13</v>
      </c>
      <c r="C5788" s="11">
        <f>Daily_Data!I5788</f>
        <v>1.27</v>
      </c>
      <c r="D5788" s="12">
        <f>if(sum(Daily_Data!K5788:L5788)&gt;0,1,0)</f>
        <v>0</v>
      </c>
    </row>
    <row r="5789">
      <c r="A5789" s="10">
        <f>Daily_Data!A5789</f>
        <v>44629</v>
      </c>
      <c r="B5789" s="11">
        <f>Daily_Data!J5789</f>
        <v>32.45</v>
      </c>
      <c r="C5789" s="11">
        <f>Daily_Data!I5789</f>
        <v>1.26</v>
      </c>
      <c r="D5789" s="12">
        <f>if(sum(Daily_Data!K5789:L5789)&gt;0,1,0)</f>
        <v>0</v>
      </c>
    </row>
    <row r="5790">
      <c r="A5790" s="10">
        <f>Daily_Data!A5790</f>
        <v>44630</v>
      </c>
      <c r="B5790" s="11">
        <f>Daily_Data!J5790</f>
        <v>30.23</v>
      </c>
      <c r="C5790" s="11">
        <f>Daily_Data!I5790</f>
        <v>1.24</v>
      </c>
      <c r="D5790" s="12">
        <f>if(sum(Daily_Data!K5790:L5790)&gt;0,1,0)</f>
        <v>1</v>
      </c>
    </row>
    <row r="5791">
      <c r="A5791" s="10">
        <f>Daily_Data!A5791</f>
        <v>44631</v>
      </c>
      <c r="B5791" s="11">
        <f>Daily_Data!J5791</f>
        <v>30.75</v>
      </c>
      <c r="C5791" s="11">
        <f>Daily_Data!I5791</f>
        <v>1.23</v>
      </c>
      <c r="D5791" s="12">
        <f>if(sum(Daily_Data!K5791:L5791)&gt;0,1,0)</f>
        <v>0</v>
      </c>
    </row>
    <row r="5792">
      <c r="A5792" s="10">
        <f>Daily_Data!A5792</f>
        <v>44634</v>
      </c>
      <c r="B5792" s="11">
        <f>Daily_Data!J5792</f>
        <v>31.77</v>
      </c>
      <c r="C5792" s="11">
        <f>Daily_Data!I5792</f>
        <v>1.13</v>
      </c>
      <c r="D5792" s="12">
        <f>if(sum(Daily_Data!K5792:L5792)&gt;0,1,0)</f>
        <v>0</v>
      </c>
    </row>
    <row r="5793">
      <c r="A5793" s="10">
        <f>Daily_Data!A5793</f>
        <v>44635</v>
      </c>
      <c r="B5793" s="11">
        <f>Daily_Data!J5793</f>
        <v>29.83</v>
      </c>
      <c r="C5793" s="11">
        <f>Daily_Data!I5793</f>
        <v>1.22</v>
      </c>
      <c r="D5793" s="12">
        <f>if(sum(Daily_Data!K5793:L5793)&gt;0,1,0)</f>
        <v>0</v>
      </c>
    </row>
    <row r="5794">
      <c r="A5794" s="10">
        <f>Daily_Data!A5794</f>
        <v>44636</v>
      </c>
      <c r="B5794" s="11">
        <f>Daily_Data!J5794</f>
        <v>26.67</v>
      </c>
      <c r="C5794" s="11">
        <f>Daily_Data!I5794</f>
        <v>1.09</v>
      </c>
      <c r="D5794" s="12">
        <f>if(sum(Daily_Data!K5794:L5794)&gt;0,1,0)</f>
        <v>0</v>
      </c>
    </row>
    <row r="5795">
      <c r="A5795" s="10">
        <f>Daily_Data!A5795</f>
        <v>44637</v>
      </c>
      <c r="B5795" s="11">
        <f>Daily_Data!J5795</f>
        <v>25.67</v>
      </c>
      <c r="C5795" s="11">
        <f>Daily_Data!I5795</f>
        <v>1.06</v>
      </c>
      <c r="D5795" s="12">
        <f>if(sum(Daily_Data!K5795:L5795)&gt;0,1,0)</f>
        <v>0</v>
      </c>
    </row>
    <row r="5796">
      <c r="A5796" s="10">
        <f>Daily_Data!A5796</f>
        <v>44638</v>
      </c>
      <c r="B5796" s="11">
        <f>Daily_Data!J5796</f>
        <v>23.87</v>
      </c>
      <c r="C5796" s="11">
        <f>Daily_Data!I5796</f>
        <v>1.03</v>
      </c>
      <c r="D5796" s="12">
        <f>if(sum(Daily_Data!K5796:L5796)&gt;0,1,0)</f>
        <v>0</v>
      </c>
    </row>
    <row r="5797">
      <c r="A5797" s="10">
        <f>Daily_Data!A5797</f>
        <v>44641</v>
      </c>
      <c r="B5797" s="11">
        <f>Daily_Data!J5797</f>
        <v>23.53</v>
      </c>
      <c r="C5797" s="11">
        <f>Daily_Data!I5797</f>
        <v>0.86</v>
      </c>
      <c r="D5797" s="12">
        <f>if(sum(Daily_Data!K5797:L5797)&gt;0,1,0)</f>
        <v>0</v>
      </c>
    </row>
    <row r="5798">
      <c r="A5798" s="10">
        <f>Daily_Data!A5798</f>
        <v>44642</v>
      </c>
      <c r="B5798" s="11">
        <f>Daily_Data!J5798</f>
        <v>22.94</v>
      </c>
      <c r="C5798" s="11">
        <f>Daily_Data!I5798</f>
        <v>0.95</v>
      </c>
      <c r="D5798" s="12">
        <f>if(sum(Daily_Data!K5798:L5798)&gt;0,1,0)</f>
        <v>0</v>
      </c>
    </row>
    <row r="5799">
      <c r="A5799" s="10">
        <f>Daily_Data!A5799</f>
        <v>44643</v>
      </c>
      <c r="B5799" s="11">
        <f>Daily_Data!J5799</f>
        <v>23.57</v>
      </c>
      <c r="C5799" s="11">
        <f>Daily_Data!I5799</f>
        <v>1.03</v>
      </c>
      <c r="D5799" s="12">
        <f>if(sum(Daily_Data!K5799:L5799)&gt;0,1,0)</f>
        <v>0</v>
      </c>
    </row>
    <row r="5800">
      <c r="A5800" s="10">
        <f>Daily_Data!A5800</f>
        <v>44644</v>
      </c>
      <c r="B5800" s="11">
        <f>Daily_Data!J5800</f>
        <v>21.67</v>
      </c>
      <c r="C5800" s="11">
        <f>Daily_Data!I5800</f>
        <v>1.02</v>
      </c>
      <c r="D5800" s="12">
        <f>if(sum(Daily_Data!K5800:L5800)&gt;0,1,0)</f>
        <v>0</v>
      </c>
    </row>
    <row r="5801">
      <c r="A5801" s="10">
        <f>Daily_Data!A5801</f>
        <v>44645</v>
      </c>
      <c r="B5801" s="11">
        <f>Daily_Data!J5801</f>
        <v>20.81</v>
      </c>
      <c r="C5801" s="11">
        <f>Daily_Data!I5801</f>
        <v>0.86</v>
      </c>
      <c r="D5801" s="12">
        <f>if(sum(Daily_Data!K5801:L5801)&gt;0,1,0)</f>
        <v>0</v>
      </c>
    </row>
    <row r="5802">
      <c r="A5802" s="10">
        <f>Daily_Data!A5802</f>
        <v>44648</v>
      </c>
      <c r="B5802" s="11">
        <f>Daily_Data!J5802</f>
        <v>19.63</v>
      </c>
      <c r="C5802" s="11">
        <f>Daily_Data!I5802</f>
        <v>0.89</v>
      </c>
      <c r="D5802" s="12">
        <f>if(sum(Daily_Data!K5802:L5802)&gt;0,1,0)</f>
        <v>0</v>
      </c>
    </row>
    <row r="5803">
      <c r="A5803" s="10">
        <f>Daily_Data!A5803</f>
        <v>44649</v>
      </c>
      <c r="B5803" s="11">
        <f>Daily_Data!J5803</f>
        <v>18.9</v>
      </c>
      <c r="C5803" s="11">
        <f>Daily_Data!I5803</f>
        <v>0.93</v>
      </c>
      <c r="D5803" s="12">
        <f>if(sum(Daily_Data!K5803:L5803)&gt;0,1,0)</f>
        <v>0</v>
      </c>
    </row>
    <row r="5804">
      <c r="A5804" s="10">
        <f>Daily_Data!A5804</f>
        <v>44650</v>
      </c>
      <c r="B5804" s="11">
        <f>Daily_Data!J5804</f>
        <v>19.33</v>
      </c>
      <c r="C5804" s="11">
        <f>Daily_Data!I5804</f>
        <v>0.98</v>
      </c>
      <c r="D5804" s="12">
        <f>if(sum(Daily_Data!K5804:L5804)&gt;0,1,0)</f>
        <v>0</v>
      </c>
    </row>
    <row r="5805">
      <c r="A5805" s="10">
        <f>Daily_Data!A5805</f>
        <v>44651</v>
      </c>
      <c r="B5805" s="11">
        <f>Daily_Data!J5805</f>
        <v>20.56</v>
      </c>
      <c r="C5805" s="11">
        <f>Daily_Data!I5805</f>
        <v>1</v>
      </c>
      <c r="D5805" s="12">
        <f>if(sum(Daily_Data!K5805:L5805)&gt;0,1,0)</f>
        <v>0</v>
      </c>
    </row>
    <row r="5806">
      <c r="A5806" s="10">
        <f>Daily_Data!A5806</f>
        <v>44652</v>
      </c>
      <c r="B5806" s="11">
        <f>Daily_Data!J5806</f>
        <v>19.63</v>
      </c>
      <c r="C5806" s="11">
        <f>Daily_Data!I5806</f>
        <v>0.93</v>
      </c>
      <c r="D5806" s="12">
        <f>if(sum(Daily_Data!K5806:L5806)&gt;0,1,0)</f>
        <v>1</v>
      </c>
    </row>
    <row r="5807">
      <c r="A5807" s="10">
        <f>Daily_Data!A5807</f>
        <v>44655</v>
      </c>
      <c r="B5807" s="11">
        <f>Daily_Data!J5807</f>
        <v>18.57</v>
      </c>
      <c r="C5807" s="11">
        <f>Daily_Data!I5807</f>
        <v>0.97</v>
      </c>
      <c r="D5807" s="12">
        <f>if(sum(Daily_Data!K5807:L5807)&gt;0,1,0)</f>
        <v>0</v>
      </c>
    </row>
    <row r="5808">
      <c r="A5808" s="10">
        <f>Daily_Data!A5808</f>
        <v>44656</v>
      </c>
      <c r="B5808" s="11">
        <f>Daily_Data!J5808</f>
        <v>21.03</v>
      </c>
      <c r="C5808" s="11">
        <f>Daily_Data!I5808</f>
        <v>0.9</v>
      </c>
      <c r="D5808" s="12">
        <f>if(sum(Daily_Data!K5808:L5808)&gt;0,1,0)</f>
        <v>0</v>
      </c>
    </row>
    <row r="5809">
      <c r="A5809" s="10">
        <f>Daily_Data!A5809</f>
        <v>44657</v>
      </c>
      <c r="B5809" s="11">
        <f>Daily_Data!J5809</f>
        <v>22.1</v>
      </c>
      <c r="C5809" s="11">
        <f>Daily_Data!I5809</f>
        <v>1.06</v>
      </c>
      <c r="D5809" s="12">
        <f>if(sum(Daily_Data!K5809:L5809)&gt;0,1,0)</f>
        <v>0</v>
      </c>
    </row>
    <row r="5810">
      <c r="A5810" s="10">
        <f>Daily_Data!A5810</f>
        <v>44658</v>
      </c>
      <c r="B5810" s="11">
        <f>Daily_Data!J5810</f>
        <v>21.55</v>
      </c>
      <c r="C5810" s="11">
        <f>Daily_Data!I5810</f>
        <v>1.11</v>
      </c>
      <c r="D5810" s="12">
        <f>if(sum(Daily_Data!K5810:L5810)&gt;0,1,0)</f>
        <v>0</v>
      </c>
    </row>
    <row r="5811">
      <c r="A5811" s="10">
        <f>Daily_Data!A5811</f>
        <v>44659</v>
      </c>
      <c r="B5811" s="11">
        <f>Daily_Data!J5811</f>
        <v>21.16</v>
      </c>
      <c r="C5811" s="11">
        <f>Daily_Data!I5811</f>
        <v>1.05</v>
      </c>
      <c r="D5811" s="12">
        <f>if(sum(Daily_Data!K5811:L5811)&gt;0,1,0)</f>
        <v>0</v>
      </c>
    </row>
    <row r="5812">
      <c r="A5812" s="10">
        <f>Daily_Data!A5812</f>
        <v>44662</v>
      </c>
      <c r="B5812" s="11">
        <f>Daily_Data!J5812</f>
        <v>24.37</v>
      </c>
      <c r="C5812" s="11">
        <f>Daily_Data!I5812</f>
        <v>1.12</v>
      </c>
      <c r="D5812" s="12">
        <f>if(sum(Daily_Data!K5812:L5812)&gt;0,1,0)</f>
        <v>0</v>
      </c>
    </row>
    <row r="5813">
      <c r="A5813" s="10">
        <f>Daily_Data!A5813</f>
        <v>44663</v>
      </c>
      <c r="B5813" s="11">
        <f>Daily_Data!J5813</f>
        <v>24.26</v>
      </c>
      <c r="C5813" s="11">
        <f>Daily_Data!I5813</f>
        <v>1.24</v>
      </c>
      <c r="D5813" s="12">
        <f>if(sum(Daily_Data!K5813:L5813)&gt;0,1,0)</f>
        <v>1</v>
      </c>
    </row>
    <row r="5814">
      <c r="A5814" s="10">
        <f>Daily_Data!A5814</f>
        <v>44664</v>
      </c>
      <c r="B5814" s="11">
        <f>Daily_Data!J5814</f>
        <v>21.82</v>
      </c>
      <c r="C5814" s="11">
        <f>Daily_Data!I5814</f>
        <v>1.12</v>
      </c>
      <c r="D5814" s="12">
        <f>if(sum(Daily_Data!K5814:L5814)&gt;0,1,0)</f>
        <v>0</v>
      </c>
    </row>
    <row r="5815">
      <c r="A5815" s="10">
        <f>Daily_Data!A5815</f>
        <v>44665</v>
      </c>
      <c r="B5815" s="11">
        <f>Daily_Data!J5815</f>
        <v>22.7</v>
      </c>
      <c r="C5815" s="11">
        <f>Daily_Data!I5815</f>
        <v>1.03</v>
      </c>
      <c r="D5815" s="12">
        <f>if(sum(Daily_Data!K5815:L5815)&gt;0,1,0)</f>
        <v>0</v>
      </c>
    </row>
    <row r="5816">
      <c r="A5816" s="10">
        <f>Daily_Data!A5816</f>
        <v>44666</v>
      </c>
      <c r="B5816" s="11" t="str">
        <f>Daily_Data!J5816</f>
        <v/>
      </c>
      <c r="C5816" s="11" t="str">
        <f>Daily_Data!I5816</f>
        <v/>
      </c>
      <c r="D5816" s="12">
        <f>if(sum(Daily_Data!K5816:L5816)&gt;0,1,0)</f>
        <v>0</v>
      </c>
    </row>
    <row r="5817">
      <c r="A5817" s="10">
        <f>Daily_Data!A5817</f>
        <v>44669</v>
      </c>
      <c r="B5817" s="11">
        <f>Daily_Data!J5817</f>
        <v>22.17</v>
      </c>
      <c r="C5817" s="11" t="str">
        <f>Daily_Data!I5817</f>
        <v/>
      </c>
      <c r="D5817" s="12">
        <f>if(sum(Daily_Data!K5817:L5817)&gt;0,1,0)</f>
        <v>0</v>
      </c>
    </row>
    <row r="5818">
      <c r="A5818" s="10">
        <f>Daily_Data!A5818</f>
        <v>44670</v>
      </c>
      <c r="B5818" s="11">
        <f>Daily_Data!J5818</f>
        <v>21.37</v>
      </c>
      <c r="C5818" s="11">
        <f>Daily_Data!I5818</f>
        <v>0.94</v>
      </c>
      <c r="D5818" s="12">
        <f>if(sum(Daily_Data!K5818:L5818)&gt;0,1,0)</f>
        <v>0</v>
      </c>
    </row>
    <row r="5819">
      <c r="A5819" s="10">
        <f>Daily_Data!A5819</f>
        <v>44671</v>
      </c>
      <c r="B5819" s="11">
        <f>Daily_Data!J5819</f>
        <v>20.32</v>
      </c>
      <c r="C5819" s="11">
        <f>Daily_Data!I5819</f>
        <v>1</v>
      </c>
      <c r="D5819" s="12">
        <f>if(sum(Daily_Data!K5819:L5819)&gt;0,1,0)</f>
        <v>0</v>
      </c>
    </row>
    <row r="5820">
      <c r="A5820" s="10">
        <f>Daily_Data!A5820</f>
        <v>44672</v>
      </c>
      <c r="B5820" s="11">
        <f>Daily_Data!J5820</f>
        <v>22.68</v>
      </c>
      <c r="C5820" s="11">
        <f>Daily_Data!I5820</f>
        <v>0.9</v>
      </c>
      <c r="D5820" s="12">
        <f>if(sum(Daily_Data!K5820:L5820)&gt;0,1,0)</f>
        <v>0</v>
      </c>
    </row>
    <row r="5821">
      <c r="A5821" s="10">
        <f>Daily_Data!A5821</f>
        <v>44673</v>
      </c>
      <c r="B5821" s="11">
        <f>Daily_Data!J5821</f>
        <v>28.21</v>
      </c>
      <c r="C5821" s="11">
        <f>Daily_Data!I5821</f>
        <v>1.02</v>
      </c>
      <c r="D5821" s="12">
        <f>if(sum(Daily_Data!K5821:L5821)&gt;0,1,0)</f>
        <v>0</v>
      </c>
    </row>
    <row r="5822">
      <c r="A5822" s="10">
        <f>Daily_Data!A5822</f>
        <v>44676</v>
      </c>
      <c r="B5822" s="11">
        <f>Daily_Data!J5822</f>
        <v>27.02</v>
      </c>
      <c r="C5822" s="11" t="str">
        <f>Daily_Data!I5822</f>
        <v/>
      </c>
      <c r="D5822" s="12">
        <f>if(sum(Daily_Data!K5822:L5822)&gt;0,1,0)</f>
        <v>0</v>
      </c>
    </row>
    <row r="5823">
      <c r="A5823" s="10">
        <f>Daily_Data!A5823</f>
        <v>44677</v>
      </c>
      <c r="B5823" s="11">
        <f>Daily_Data!J5823</f>
        <v>33.52</v>
      </c>
      <c r="C5823" s="11">
        <f>Daily_Data!I5823</f>
        <v>1.2</v>
      </c>
      <c r="D5823" s="12">
        <f>if(sum(Daily_Data!K5823:L5823)&gt;0,1,0)</f>
        <v>0</v>
      </c>
    </row>
    <row r="5824">
      <c r="A5824" s="10">
        <f>Daily_Data!A5824</f>
        <v>44678</v>
      </c>
      <c r="B5824" s="11">
        <f>Daily_Data!J5824</f>
        <v>31.6</v>
      </c>
      <c r="C5824" s="11">
        <f>Daily_Data!I5824</f>
        <v>1.22</v>
      </c>
      <c r="D5824" s="12">
        <f>if(sum(Daily_Data!K5824:L5824)&gt;0,1,0)</f>
        <v>0</v>
      </c>
    </row>
    <row r="5825">
      <c r="A5825" s="10">
        <f>Daily_Data!A5825</f>
        <v>44679</v>
      </c>
      <c r="B5825" s="11">
        <f>Daily_Data!J5825</f>
        <v>29.99</v>
      </c>
      <c r="C5825" s="11">
        <f>Daily_Data!I5825</f>
        <v>1.14</v>
      </c>
      <c r="D5825" s="12">
        <f>if(sum(Daily_Data!K5825:L5825)&gt;0,1,0)</f>
        <v>0</v>
      </c>
    </row>
    <row r="5826">
      <c r="A5826" s="10">
        <f>Daily_Data!A5826</f>
        <v>44680</v>
      </c>
      <c r="B5826" s="11">
        <f>Daily_Data!J5826</f>
        <v>33.4</v>
      </c>
      <c r="C5826" s="11">
        <f>Daily_Data!I5826</f>
        <v>1.11</v>
      </c>
      <c r="D5826" s="12">
        <f>if(sum(Daily_Data!K5826:L5826)&gt;0,1,0)</f>
        <v>0</v>
      </c>
    </row>
    <row r="5827">
      <c r="A5827" s="10">
        <f>Daily_Data!A5827</f>
        <v>44683</v>
      </c>
      <c r="B5827" s="11">
        <f>Daily_Data!J5827</f>
        <v>32.34</v>
      </c>
      <c r="C5827" s="11">
        <f>Daily_Data!I5827</f>
        <v>1.12</v>
      </c>
      <c r="D5827" s="12">
        <f>if(sum(Daily_Data!K5827:L5827)&gt;0,1,0)</f>
        <v>0</v>
      </c>
    </row>
    <row r="5828">
      <c r="A5828" s="10">
        <f>Daily_Data!A5828</f>
        <v>44684</v>
      </c>
      <c r="B5828" s="11">
        <f>Daily_Data!J5828</f>
        <v>29.25</v>
      </c>
      <c r="C5828" s="11">
        <f>Daily_Data!I5828</f>
        <v>1.09</v>
      </c>
      <c r="D5828" s="12">
        <f>if(sum(Daily_Data!K5828:L5828)&gt;0,1,0)</f>
        <v>0</v>
      </c>
    </row>
    <row r="5829">
      <c r="A5829" s="10">
        <f>Daily_Data!A5829</f>
        <v>44685</v>
      </c>
      <c r="B5829" s="11">
        <f>Daily_Data!J5829</f>
        <v>25.42</v>
      </c>
      <c r="C5829" s="11">
        <f>Daily_Data!I5829</f>
        <v>1.33</v>
      </c>
      <c r="D5829" s="12">
        <f>if(sum(Daily_Data!K5829:L5829)&gt;0,1,0)</f>
        <v>0</v>
      </c>
    </row>
    <row r="5830">
      <c r="A5830" s="10">
        <f>Daily_Data!A5830</f>
        <v>44686</v>
      </c>
      <c r="B5830" s="11">
        <f>Daily_Data!J5830</f>
        <v>31.2</v>
      </c>
      <c r="C5830" s="11">
        <f>Daily_Data!I5830</f>
        <v>1.17</v>
      </c>
      <c r="D5830" s="12">
        <f>if(sum(Daily_Data!K5830:L5830)&gt;0,1,0)</f>
        <v>0</v>
      </c>
    </row>
    <row r="5831">
      <c r="A5831" s="10">
        <f>Daily_Data!A5831</f>
        <v>44687</v>
      </c>
      <c r="B5831" s="11">
        <f>Daily_Data!J5831</f>
        <v>30.19</v>
      </c>
      <c r="C5831" s="11">
        <f>Daily_Data!I5831</f>
        <v>1.17</v>
      </c>
      <c r="D5831" s="12">
        <f>if(sum(Daily_Data!K5831:L5831)&gt;0,1,0)</f>
        <v>1</v>
      </c>
    </row>
    <row r="5832">
      <c r="A5832" s="10">
        <f>Daily_Data!A5832</f>
        <v>44690</v>
      </c>
      <c r="B5832" s="11">
        <f>Daily_Data!J5832</f>
        <v>34.75</v>
      </c>
      <c r="C5832" s="11">
        <f>Daily_Data!I5832</f>
        <v>1.27</v>
      </c>
      <c r="D5832" s="12">
        <f>if(sum(Daily_Data!K5832:L5832)&gt;0,1,0)</f>
        <v>0</v>
      </c>
    </row>
    <row r="5833">
      <c r="A5833" s="10">
        <f>Daily_Data!A5833</f>
        <v>44691</v>
      </c>
      <c r="B5833" s="11">
        <f>Daily_Data!J5833</f>
        <v>32.99</v>
      </c>
      <c r="C5833" s="11">
        <f>Daily_Data!I5833</f>
        <v>1.21</v>
      </c>
      <c r="D5833" s="12">
        <f>if(sum(Daily_Data!K5833:L5833)&gt;0,1,0)</f>
        <v>0</v>
      </c>
    </row>
    <row r="5834">
      <c r="A5834" s="10">
        <f>Daily_Data!A5834</f>
        <v>44692</v>
      </c>
      <c r="B5834" s="11">
        <f>Daily_Data!J5834</f>
        <v>32.56</v>
      </c>
      <c r="C5834" s="11">
        <f>Daily_Data!I5834</f>
        <v>1.08</v>
      </c>
      <c r="D5834" s="12">
        <f>if(sum(Daily_Data!K5834:L5834)&gt;0,1,0)</f>
        <v>1</v>
      </c>
    </row>
    <row r="5835">
      <c r="A5835" s="10">
        <f>Daily_Data!A5835</f>
        <v>44693</v>
      </c>
      <c r="B5835" s="11">
        <f>Daily_Data!J5835</f>
        <v>31.77</v>
      </c>
      <c r="C5835" s="11">
        <f>Daily_Data!I5835</f>
        <v>1.08</v>
      </c>
      <c r="D5835" s="12">
        <f>if(sum(Daily_Data!K5835:L5835)&gt;0,1,0)</f>
        <v>0</v>
      </c>
    </row>
    <row r="5836">
      <c r="A5836" s="10">
        <f>Daily_Data!A5836</f>
        <v>44694</v>
      </c>
      <c r="B5836" s="11">
        <f>Daily_Data!J5836</f>
        <v>28.87</v>
      </c>
      <c r="C5836" s="11">
        <f>Daily_Data!I5836</f>
        <v>0.94</v>
      </c>
      <c r="D5836" s="12">
        <f>if(sum(Daily_Data!K5836:L5836)&gt;0,1,0)</f>
        <v>0</v>
      </c>
    </row>
    <row r="5837">
      <c r="A5837" s="10">
        <f>Daily_Data!A5837</f>
        <v>44697</v>
      </c>
      <c r="B5837" s="11">
        <f>Daily_Data!J5837</f>
        <v>27.47</v>
      </c>
      <c r="C5837" s="11">
        <f>Daily_Data!I5837</f>
        <v>0.93</v>
      </c>
      <c r="D5837" s="12">
        <f>if(sum(Daily_Data!K5837:L5837)&gt;0,1,0)</f>
        <v>0</v>
      </c>
    </row>
    <row r="5838">
      <c r="A5838" s="10">
        <f>Daily_Data!A5838</f>
        <v>44698</v>
      </c>
      <c r="B5838" s="11">
        <f>Daily_Data!J5838</f>
        <v>26.1</v>
      </c>
      <c r="C5838" s="11">
        <f>Daily_Data!I5838</f>
        <v>0.87</v>
      </c>
      <c r="D5838" s="12">
        <f>if(sum(Daily_Data!K5838:L5838)&gt;0,1,0)</f>
        <v>0</v>
      </c>
    </row>
    <row r="5839">
      <c r="A5839" s="10">
        <f>Daily_Data!A5839</f>
        <v>44699</v>
      </c>
      <c r="B5839" s="11">
        <f>Daily_Data!J5839</f>
        <v>30.96</v>
      </c>
      <c r="C5839" s="11">
        <f>Daily_Data!I5839</f>
        <v>0.9</v>
      </c>
      <c r="D5839" s="12">
        <f>if(sum(Daily_Data!K5839:L5839)&gt;0,1,0)</f>
        <v>0</v>
      </c>
    </row>
    <row r="5840">
      <c r="A5840" s="10">
        <f>Daily_Data!A5840</f>
        <v>44700</v>
      </c>
      <c r="B5840" s="11">
        <f>Daily_Data!J5840</f>
        <v>29.35</v>
      </c>
      <c r="C5840" s="11">
        <f>Daily_Data!I5840</f>
        <v>0.92</v>
      </c>
      <c r="D5840" s="12">
        <f>if(sum(Daily_Data!K5840:L5840)&gt;0,1,0)</f>
        <v>0</v>
      </c>
    </row>
    <row r="5841">
      <c r="A5841" s="10">
        <f>Daily_Data!A5841</f>
        <v>44701</v>
      </c>
      <c r="B5841" s="11">
        <f>Daily_Data!J5841</f>
        <v>29.43</v>
      </c>
      <c r="C5841" s="11">
        <f>Daily_Data!I5841</f>
        <v>0.91</v>
      </c>
      <c r="D5841" s="12">
        <f>if(sum(Daily_Data!K5841:L5841)&gt;0,1,0)</f>
        <v>0</v>
      </c>
    </row>
    <row r="5842">
      <c r="A5842" s="10">
        <f>Daily_Data!A5842</f>
        <v>44704</v>
      </c>
      <c r="B5842" s="11">
        <f>Daily_Data!J5842</f>
        <v>28.48</v>
      </c>
      <c r="C5842" s="11">
        <f>Daily_Data!I5842</f>
        <v>0.92</v>
      </c>
      <c r="D5842" s="12">
        <f>if(sum(Daily_Data!K5842:L5842)&gt;0,1,0)</f>
        <v>0</v>
      </c>
    </row>
    <row r="5843">
      <c r="A5843" s="10">
        <f>Daily_Data!A5843</f>
        <v>44705</v>
      </c>
      <c r="B5843" s="11">
        <f>Daily_Data!J5843</f>
        <v>29.45</v>
      </c>
      <c r="C5843" s="11">
        <f>Daily_Data!I5843</f>
        <v>1.05</v>
      </c>
      <c r="D5843" s="12">
        <f>if(sum(Daily_Data!K5843:L5843)&gt;0,1,0)</f>
        <v>0</v>
      </c>
    </row>
    <row r="5844">
      <c r="A5844" s="10">
        <f>Daily_Data!A5844</f>
        <v>44706</v>
      </c>
      <c r="B5844" s="11">
        <f>Daily_Data!J5844</f>
        <v>28.37</v>
      </c>
      <c r="C5844" s="11">
        <f>Daily_Data!I5844</f>
        <v>1.25</v>
      </c>
      <c r="D5844" s="12">
        <f>if(sum(Daily_Data!K5844:L5844)&gt;0,1,0)</f>
        <v>0</v>
      </c>
    </row>
    <row r="5845">
      <c r="A5845" s="10">
        <f>Daily_Data!A5845</f>
        <v>44707</v>
      </c>
      <c r="B5845" s="11">
        <f>Daily_Data!J5845</f>
        <v>27.5</v>
      </c>
      <c r="C5845" s="11">
        <f>Daily_Data!I5845</f>
        <v>1.3</v>
      </c>
      <c r="D5845" s="12">
        <f>if(sum(Daily_Data!K5845:L5845)&gt;0,1,0)</f>
        <v>0</v>
      </c>
    </row>
    <row r="5846">
      <c r="A5846" s="10">
        <f>Daily_Data!A5846</f>
        <v>44708</v>
      </c>
      <c r="B5846" s="11">
        <f>Daily_Data!J5846</f>
        <v>25.72</v>
      </c>
      <c r="C5846" s="11">
        <f>Daily_Data!I5846</f>
        <v>1.32</v>
      </c>
      <c r="D5846" s="12">
        <f>if(sum(Daily_Data!K5846:L5846)&gt;0,1,0)</f>
        <v>0</v>
      </c>
    </row>
    <row r="5847">
      <c r="A5847" s="10">
        <f>Daily_Data!A5847</f>
        <v>44711</v>
      </c>
      <c r="B5847" s="11">
        <f>Daily_Data!J5847</f>
        <v>26.54</v>
      </c>
      <c r="C5847" s="11" t="str">
        <f>Daily_Data!I5847</f>
        <v/>
      </c>
      <c r="D5847" s="12">
        <f>if(sum(Daily_Data!K5847:L5847)&gt;0,1,0)</f>
        <v>0</v>
      </c>
    </row>
    <row r="5848">
      <c r="A5848" s="10">
        <f>Daily_Data!A5848</f>
        <v>44712</v>
      </c>
      <c r="B5848" s="11">
        <f>Daily_Data!J5848</f>
        <v>26.19</v>
      </c>
      <c r="C5848" s="11">
        <f>Daily_Data!I5848</f>
        <v>1.38</v>
      </c>
      <c r="D5848" s="12">
        <f>if(sum(Daily_Data!K5848:L5848)&gt;0,1,0)</f>
        <v>0</v>
      </c>
    </row>
    <row r="5849">
      <c r="A5849" s="10">
        <f>Daily_Data!A5849</f>
        <v>44713</v>
      </c>
      <c r="B5849" s="11">
        <f>Daily_Data!J5849</f>
        <v>25.69</v>
      </c>
      <c r="C5849" s="11">
        <f>Daily_Data!I5849</f>
        <v>1.21</v>
      </c>
      <c r="D5849" s="12">
        <f>if(sum(Daily_Data!K5849:L5849)&gt;0,1,0)</f>
        <v>0</v>
      </c>
    </row>
    <row r="5850">
      <c r="A5850" s="10">
        <f>Daily_Data!A5850</f>
        <v>44714</v>
      </c>
      <c r="B5850" s="11">
        <f>Daily_Data!J5850</f>
        <v>24.72</v>
      </c>
      <c r="C5850" s="11">
        <f>Daily_Data!I5850</f>
        <v>1.23</v>
      </c>
      <c r="D5850" s="12">
        <f>if(sum(Daily_Data!K5850:L5850)&gt;0,1,0)</f>
        <v>0</v>
      </c>
    </row>
    <row r="5851">
      <c r="A5851" s="10">
        <f>Daily_Data!A5851</f>
        <v>44715</v>
      </c>
      <c r="B5851" s="11">
        <f>Daily_Data!J5851</f>
        <v>24.79</v>
      </c>
      <c r="C5851" s="11">
        <f>Daily_Data!I5851</f>
        <v>1.22</v>
      </c>
      <c r="D5851" s="12">
        <f>if(sum(Daily_Data!K5851:L5851)&gt;0,1,0)</f>
        <v>1</v>
      </c>
    </row>
    <row r="5852">
      <c r="A5852" s="10">
        <f>Daily_Data!A5852</f>
        <v>44718</v>
      </c>
      <c r="B5852" s="11">
        <f>Daily_Data!J5852</f>
        <v>25.07</v>
      </c>
      <c r="C5852" s="11" t="str">
        <f>Daily_Data!I5852</f>
        <v/>
      </c>
      <c r="D5852" s="12">
        <f>if(sum(Daily_Data!K5852:L5852)&gt;0,1,0)</f>
        <v>0</v>
      </c>
    </row>
    <row r="5853">
      <c r="A5853" s="10">
        <f>Daily_Data!A5853</f>
        <v>44719</v>
      </c>
      <c r="B5853" s="11">
        <f>Daily_Data!J5853</f>
        <v>24.02</v>
      </c>
      <c r="C5853" s="11">
        <f>Daily_Data!I5853</f>
        <v>1.15</v>
      </c>
      <c r="D5853" s="12">
        <f>if(sum(Daily_Data!K5853:L5853)&gt;0,1,0)</f>
        <v>0</v>
      </c>
    </row>
    <row r="5854">
      <c r="A5854" s="10">
        <f>Daily_Data!A5854</f>
        <v>44720</v>
      </c>
      <c r="B5854" s="11">
        <f>Daily_Data!J5854</f>
        <v>23.96</v>
      </c>
      <c r="C5854" s="11">
        <f>Daily_Data!I5854</f>
        <v>1.17</v>
      </c>
      <c r="D5854" s="12">
        <f>if(sum(Daily_Data!K5854:L5854)&gt;0,1,0)</f>
        <v>0</v>
      </c>
    </row>
    <row r="5855">
      <c r="A5855" s="10">
        <f>Daily_Data!A5855</f>
        <v>44721</v>
      </c>
      <c r="B5855" s="11">
        <f>Daily_Data!J5855</f>
        <v>26.09</v>
      </c>
      <c r="C5855" s="11">
        <f>Daily_Data!I5855</f>
        <v>1.14</v>
      </c>
      <c r="D5855" s="12">
        <f>if(sum(Daily_Data!K5855:L5855)&gt;0,1,0)</f>
        <v>0</v>
      </c>
    </row>
    <row r="5856">
      <c r="A5856" s="10">
        <f>Daily_Data!A5856</f>
        <v>44722</v>
      </c>
      <c r="B5856" s="11">
        <f>Daily_Data!J5856</f>
        <v>27.75</v>
      </c>
      <c r="C5856" s="11">
        <f>Daily_Data!I5856</f>
        <v>0.95</v>
      </c>
      <c r="D5856" s="12">
        <f>if(sum(Daily_Data!K5856:L5856)&gt;0,1,0)</f>
        <v>1</v>
      </c>
    </row>
    <row r="5857">
      <c r="A5857" s="10">
        <f>Daily_Data!A5857</f>
        <v>44725</v>
      </c>
      <c r="B5857" s="11">
        <f>Daily_Data!J5857</f>
        <v>34.02</v>
      </c>
      <c r="C5857" s="11">
        <f>Daily_Data!I5857</f>
        <v>0.73</v>
      </c>
      <c r="D5857" s="12">
        <f>if(sum(Daily_Data!K5857:L5857)&gt;0,1,0)</f>
        <v>0</v>
      </c>
    </row>
    <row r="5858">
      <c r="A5858" s="10">
        <f>Daily_Data!A5858</f>
        <v>44726</v>
      </c>
      <c r="B5858" s="11">
        <f>Daily_Data!J5858</f>
        <v>32.69</v>
      </c>
      <c r="C5858" s="11">
        <f>Daily_Data!I5858</f>
        <v>0.94</v>
      </c>
      <c r="D5858" s="12">
        <f>if(sum(Daily_Data!K5858:L5858)&gt;0,1,0)</f>
        <v>0</v>
      </c>
    </row>
    <row r="5859">
      <c r="A5859" s="10">
        <f>Daily_Data!A5859</f>
        <v>44727</v>
      </c>
      <c r="B5859" s="11">
        <f>Daily_Data!J5859</f>
        <v>29.62</v>
      </c>
      <c r="C5859" s="11">
        <f>Daily_Data!I5859</f>
        <v>1.35</v>
      </c>
      <c r="D5859" s="12">
        <f>if(sum(Daily_Data!K5859:L5859)&gt;0,1,0)</f>
        <v>0</v>
      </c>
    </row>
    <row r="5860">
      <c r="A5860" s="10">
        <f>Daily_Data!A5860</f>
        <v>44728</v>
      </c>
      <c r="B5860" s="11">
        <f>Daily_Data!J5860</f>
        <v>32.95</v>
      </c>
      <c r="C5860" s="11">
        <f>Daily_Data!I5860</f>
        <v>1.34</v>
      </c>
      <c r="D5860" s="12">
        <f>if(sum(Daily_Data!K5860:L5860)&gt;0,1,0)</f>
        <v>0</v>
      </c>
    </row>
    <row r="5861">
      <c r="A5861" s="10">
        <f>Daily_Data!A5861</f>
        <v>44729</v>
      </c>
      <c r="B5861" s="11">
        <f>Daily_Data!J5861</f>
        <v>31.13</v>
      </c>
      <c r="C5861" s="11">
        <f>Daily_Data!I5861</f>
        <v>1.35</v>
      </c>
      <c r="D5861" s="12">
        <f>if(sum(Daily_Data!K5861:L5861)&gt;0,1,0)</f>
        <v>0</v>
      </c>
    </row>
    <row r="5862">
      <c r="A5862" s="10">
        <f>Daily_Data!A5862</f>
        <v>44732</v>
      </c>
      <c r="B5862" s="11">
        <f>Daily_Data!J5862</f>
        <v>31.03</v>
      </c>
      <c r="C5862" s="11" t="str">
        <f>Daily_Data!I5862</f>
        <v/>
      </c>
      <c r="D5862" s="12">
        <f>if(sum(Daily_Data!K5862:L5862)&gt;0,1,0)</f>
        <v>0</v>
      </c>
    </row>
    <row r="5863">
      <c r="A5863" s="10">
        <f>Daily_Data!A5863</f>
        <v>44733</v>
      </c>
      <c r="B5863" s="11">
        <f>Daily_Data!J5863</f>
        <v>30.19</v>
      </c>
      <c r="C5863" s="11">
        <f>Daily_Data!I5863</f>
        <v>1.23</v>
      </c>
      <c r="D5863" s="12">
        <f>if(sum(Daily_Data!K5863:L5863)&gt;0,1,0)</f>
        <v>0</v>
      </c>
    </row>
    <row r="5864">
      <c r="A5864" s="10">
        <f>Daily_Data!A5864</f>
        <v>44734</v>
      </c>
      <c r="B5864" s="11">
        <f>Daily_Data!J5864</f>
        <v>28.95</v>
      </c>
      <c r="C5864" s="11">
        <f>Daily_Data!I5864</f>
        <v>1.29</v>
      </c>
      <c r="D5864" s="12">
        <f>if(sum(Daily_Data!K5864:L5864)&gt;0,1,0)</f>
        <v>0</v>
      </c>
    </row>
    <row r="5865">
      <c r="A5865" s="10">
        <f>Daily_Data!A5865</f>
        <v>44735</v>
      </c>
      <c r="B5865" s="11">
        <f>Daily_Data!J5865</f>
        <v>29.05</v>
      </c>
      <c r="C5865" s="11">
        <f>Daily_Data!I5865</f>
        <v>1.23</v>
      </c>
      <c r="D5865" s="12">
        <f>if(sum(Daily_Data!K5865:L5865)&gt;0,1,0)</f>
        <v>0</v>
      </c>
    </row>
    <row r="5866">
      <c r="A5866" s="10">
        <f>Daily_Data!A5866</f>
        <v>44736</v>
      </c>
      <c r="B5866" s="11">
        <f>Daily_Data!J5866</f>
        <v>27.23</v>
      </c>
      <c r="C5866" s="11" t="str">
        <f>Daily_Data!I5866</f>
        <v/>
      </c>
      <c r="D5866" s="12">
        <f>if(sum(Daily_Data!K5866:L5866)&gt;0,1,0)</f>
        <v>0</v>
      </c>
    </row>
    <row r="5867">
      <c r="A5867" s="10">
        <f>Daily_Data!A5867</f>
        <v>44739</v>
      </c>
      <c r="B5867" s="11">
        <f>Daily_Data!J5867</f>
        <v>26.95</v>
      </c>
      <c r="C5867" s="11">
        <f>Daily_Data!I5867</f>
        <v>1.06</v>
      </c>
      <c r="D5867" s="12">
        <f>if(sum(Daily_Data!K5867:L5867)&gt;0,1,0)</f>
        <v>0</v>
      </c>
    </row>
    <row r="5868">
      <c r="A5868" s="10">
        <f>Daily_Data!A5868</f>
        <v>44740</v>
      </c>
      <c r="B5868" s="11">
        <f>Daily_Data!J5868</f>
        <v>28.36</v>
      </c>
      <c r="C5868" s="11">
        <f>Daily_Data!I5868</f>
        <v>1.06</v>
      </c>
      <c r="D5868" s="12">
        <f>if(sum(Daily_Data!K5868:L5868)&gt;0,1,0)</f>
        <v>0</v>
      </c>
    </row>
    <row r="5869">
      <c r="A5869" s="10">
        <f>Daily_Data!A5869</f>
        <v>44741</v>
      </c>
      <c r="B5869" s="11">
        <f>Daily_Data!J5869</f>
        <v>28.16</v>
      </c>
      <c r="C5869" s="11">
        <f>Daily_Data!I5869</f>
        <v>1.08</v>
      </c>
      <c r="D5869" s="12">
        <f>if(sum(Daily_Data!K5869:L5869)&gt;0,1,0)</f>
        <v>0</v>
      </c>
    </row>
    <row r="5870">
      <c r="A5870" s="10">
        <f>Daily_Data!A5870</f>
        <v>44742</v>
      </c>
      <c r="B5870" s="11">
        <f>Daily_Data!J5870</f>
        <v>28.71</v>
      </c>
      <c r="C5870" s="11">
        <f>Daily_Data!I5870</f>
        <v>1.14</v>
      </c>
      <c r="D5870" s="12">
        <f>if(sum(Daily_Data!K5870:L5870)&gt;0,1,0)</f>
        <v>0</v>
      </c>
    </row>
    <row r="5871">
      <c r="A5871" s="10">
        <f>Daily_Data!A5871</f>
        <v>44743</v>
      </c>
      <c r="B5871" s="11">
        <f>Daily_Data!J5871</f>
        <v>26.7</v>
      </c>
      <c r="C5871" s="11">
        <f>Daily_Data!I5871</f>
        <v>1.05</v>
      </c>
      <c r="D5871" s="12">
        <f>if(sum(Daily_Data!K5871:L5871)&gt;0,1,0)</f>
        <v>0</v>
      </c>
    </row>
    <row r="5872">
      <c r="A5872" s="10">
        <f>Daily_Data!A5872</f>
        <v>44746</v>
      </c>
      <c r="B5872" s="11">
        <f>Daily_Data!J5872</f>
        <v>27.53</v>
      </c>
      <c r="C5872" s="11" t="str">
        <f>Daily_Data!I5872</f>
        <v/>
      </c>
      <c r="D5872" s="12">
        <f>if(sum(Daily_Data!K5872:L5872)&gt;0,1,0)</f>
        <v>0</v>
      </c>
    </row>
    <row r="5873">
      <c r="A5873" s="10">
        <f>Daily_Data!A5873</f>
        <v>44747</v>
      </c>
      <c r="B5873" s="11">
        <f>Daily_Data!J5873</f>
        <v>27.54</v>
      </c>
      <c r="C5873" s="11">
        <f>Daily_Data!I5873</f>
        <v>1.07</v>
      </c>
      <c r="D5873" s="12">
        <f>if(sum(Daily_Data!K5873:L5873)&gt;0,1,0)</f>
        <v>0</v>
      </c>
    </row>
    <row r="5874">
      <c r="A5874" s="10">
        <f>Daily_Data!A5874</f>
        <v>44748</v>
      </c>
      <c r="B5874" s="11">
        <f>Daily_Data!J5874</f>
        <v>26.73</v>
      </c>
      <c r="C5874" s="11">
        <f>Daily_Data!I5874</f>
        <v>0.79</v>
      </c>
      <c r="D5874" s="12">
        <f>if(sum(Daily_Data!K5874:L5874)&gt;0,1,0)</f>
        <v>0</v>
      </c>
    </row>
    <row r="5875">
      <c r="A5875" s="10">
        <f>Daily_Data!A5875</f>
        <v>44749</v>
      </c>
      <c r="B5875" s="11">
        <f>Daily_Data!J5875</f>
        <v>26.08</v>
      </c>
      <c r="C5875" s="11">
        <f>Daily_Data!I5875</f>
        <v>0.77</v>
      </c>
      <c r="D5875" s="12">
        <f>if(sum(Daily_Data!K5875:L5875)&gt;0,1,0)</f>
        <v>0</v>
      </c>
    </row>
    <row r="5876">
      <c r="A5876" s="10">
        <f>Daily_Data!A5876</f>
        <v>44750</v>
      </c>
      <c r="B5876" s="11">
        <f>Daily_Data!J5876</f>
        <v>24.64</v>
      </c>
      <c r="C5876" s="11">
        <f>Daily_Data!I5876</f>
        <v>0.72</v>
      </c>
      <c r="D5876" s="12">
        <f>if(sum(Daily_Data!K5876:L5876)&gt;0,1,0)</f>
        <v>1</v>
      </c>
    </row>
    <row r="5877">
      <c r="A5877" s="10">
        <f>Daily_Data!A5877</f>
        <v>44753</v>
      </c>
      <c r="B5877" s="11">
        <f>Daily_Data!J5877</f>
        <v>26.17</v>
      </c>
      <c r="C5877" s="11">
        <f>Daily_Data!I5877</f>
        <v>0.83</v>
      </c>
      <c r="D5877" s="12">
        <f>if(sum(Daily_Data!K5877:L5877)&gt;0,1,0)</f>
        <v>0</v>
      </c>
    </row>
    <row r="5878">
      <c r="A5878" s="10">
        <f>Daily_Data!A5878</f>
        <v>44754</v>
      </c>
      <c r="B5878" s="11">
        <f>Daily_Data!J5878</f>
        <v>27.29</v>
      </c>
      <c r="C5878" s="11">
        <f>Daily_Data!I5878</f>
        <v>0.89</v>
      </c>
      <c r="D5878" s="12">
        <f>if(sum(Daily_Data!K5878:L5878)&gt;0,1,0)</f>
        <v>0</v>
      </c>
    </row>
    <row r="5879">
      <c r="A5879" s="10">
        <f>Daily_Data!A5879</f>
        <v>44755</v>
      </c>
      <c r="B5879" s="11">
        <f>Daily_Data!J5879</f>
        <v>26.82</v>
      </c>
      <c r="C5879" s="11">
        <f>Daily_Data!I5879</f>
        <v>0.75</v>
      </c>
      <c r="D5879" s="12">
        <f>if(sum(Daily_Data!K5879:L5879)&gt;0,1,0)</f>
        <v>1</v>
      </c>
    </row>
    <row r="5880">
      <c r="A5880" s="10">
        <f>Daily_Data!A5880</f>
        <v>44756</v>
      </c>
      <c r="B5880" s="11">
        <f>Daily_Data!J5880</f>
        <v>26.4</v>
      </c>
      <c r="C5880" s="11">
        <f>Daily_Data!I5880</f>
        <v>0.91</v>
      </c>
      <c r="D5880" s="12">
        <f>if(sum(Daily_Data!K5880:L5880)&gt;0,1,0)</f>
        <v>0</v>
      </c>
    </row>
    <row r="5881">
      <c r="A5881" s="10">
        <f>Daily_Data!A5881</f>
        <v>44757</v>
      </c>
      <c r="B5881" s="11">
        <f>Daily_Data!J5881</f>
        <v>24.23</v>
      </c>
      <c r="C5881" s="11">
        <f>Daily_Data!I5881</f>
        <v>0.92</v>
      </c>
      <c r="D5881" s="12">
        <f>if(sum(Daily_Data!K5881:L5881)&gt;0,1,0)</f>
        <v>0</v>
      </c>
    </row>
    <row r="5882">
      <c r="A5882" s="10">
        <f>Daily_Data!A5882</f>
        <v>44760</v>
      </c>
      <c r="B5882" s="11">
        <f>Daily_Data!J5882</f>
        <v>25.3</v>
      </c>
      <c r="C5882" s="11">
        <f>Daily_Data!I5882</f>
        <v>0.96</v>
      </c>
      <c r="D5882" s="12">
        <f>if(sum(Daily_Data!K5882:L5882)&gt;0,1,0)</f>
        <v>0</v>
      </c>
    </row>
    <row r="5883">
      <c r="A5883" s="10">
        <f>Daily_Data!A5883</f>
        <v>44761</v>
      </c>
      <c r="B5883" s="11">
        <f>Daily_Data!J5883</f>
        <v>24.5</v>
      </c>
      <c r="C5883" s="11">
        <f>Daily_Data!I5883</f>
        <v>0.89</v>
      </c>
      <c r="D5883" s="12">
        <f>if(sum(Daily_Data!K5883:L5883)&gt;0,1,0)</f>
        <v>0</v>
      </c>
    </row>
    <row r="5884">
      <c r="A5884" s="10">
        <f>Daily_Data!A5884</f>
        <v>44762</v>
      </c>
      <c r="B5884" s="11">
        <f>Daily_Data!J5884</f>
        <v>23.88</v>
      </c>
      <c r="C5884" s="11">
        <f>Daily_Data!I5884</f>
        <v>0.91</v>
      </c>
      <c r="D5884" s="12">
        <f>if(sum(Daily_Data!K5884:L5884)&gt;0,1,0)</f>
        <v>0</v>
      </c>
    </row>
    <row r="5885">
      <c r="A5885" s="10">
        <f>Daily_Data!A5885</f>
        <v>44763</v>
      </c>
      <c r="B5885" s="11">
        <f>Daily_Data!J5885</f>
        <v>23.11</v>
      </c>
      <c r="C5885" s="11">
        <f>Daily_Data!I5885</f>
        <v>1.04</v>
      </c>
      <c r="D5885" s="12">
        <f>if(sum(Daily_Data!K5885:L5885)&gt;0,1,0)</f>
        <v>0</v>
      </c>
    </row>
    <row r="5886">
      <c r="A5886" s="10">
        <f>Daily_Data!A5886</f>
        <v>44764</v>
      </c>
      <c r="B5886" s="11">
        <f>Daily_Data!J5886</f>
        <v>23.03</v>
      </c>
      <c r="C5886" s="11">
        <f>Daily_Data!I5886</f>
        <v>1.1</v>
      </c>
      <c r="D5886" s="12">
        <f>if(sum(Daily_Data!K5886:L5886)&gt;0,1,0)</f>
        <v>0</v>
      </c>
    </row>
    <row r="5887">
      <c r="A5887" s="10">
        <f>Daily_Data!A5887</f>
        <v>44767</v>
      </c>
      <c r="B5887" s="11">
        <f>Daily_Data!J5887</f>
        <v>23.36</v>
      </c>
      <c r="C5887" s="11">
        <f>Daily_Data!I5887</f>
        <v>1</v>
      </c>
      <c r="D5887" s="12">
        <f>if(sum(Daily_Data!K5887:L5887)&gt;0,1,0)</f>
        <v>0</v>
      </c>
    </row>
    <row r="5888">
      <c r="A5888" s="10">
        <f>Daily_Data!A5888</f>
        <v>44768</v>
      </c>
      <c r="B5888" s="11">
        <f>Daily_Data!J5888</f>
        <v>24.69</v>
      </c>
      <c r="C5888" s="11">
        <f>Daily_Data!I5888</f>
        <v>0.97</v>
      </c>
      <c r="D5888" s="12">
        <f>if(sum(Daily_Data!K5888:L5888)&gt;0,1,0)</f>
        <v>0</v>
      </c>
    </row>
    <row r="5889">
      <c r="A5889" s="10">
        <f>Daily_Data!A5889</f>
        <v>44769</v>
      </c>
      <c r="B5889" s="11">
        <f>Daily_Data!J5889</f>
        <v>23.24</v>
      </c>
      <c r="C5889" s="11">
        <f>Daily_Data!I5889</f>
        <v>0.98</v>
      </c>
      <c r="D5889" s="12">
        <f>if(sum(Daily_Data!K5889:L5889)&gt;0,1,0)</f>
        <v>0</v>
      </c>
    </row>
    <row r="5890">
      <c r="A5890" s="10">
        <f>Daily_Data!A5890</f>
        <v>44770</v>
      </c>
      <c r="B5890" s="11">
        <f>Daily_Data!J5890</f>
        <v>22.33</v>
      </c>
      <c r="C5890" s="11">
        <f>Daily_Data!I5890</f>
        <v>1.02</v>
      </c>
      <c r="D5890" s="12">
        <f>if(sum(Daily_Data!K5890:L5890)&gt;0,1,0)</f>
        <v>0</v>
      </c>
    </row>
    <row r="5891">
      <c r="A5891" s="10">
        <f>Daily_Data!A5891</f>
        <v>44771</v>
      </c>
      <c r="B5891" s="11">
        <f>Daily_Data!J5891</f>
        <v>21.33</v>
      </c>
      <c r="C5891" s="11">
        <f>Daily_Data!I5891</f>
        <v>0.85</v>
      </c>
      <c r="D5891" s="12">
        <f>if(sum(Daily_Data!K5891:L5891)&gt;0,1,0)</f>
        <v>0</v>
      </c>
    </row>
    <row r="5892">
      <c r="A5892" s="10">
        <f>Daily_Data!A5892</f>
        <v>44774</v>
      </c>
      <c r="B5892" s="11">
        <f>Daily_Data!J5892</f>
        <v>22.84</v>
      </c>
      <c r="C5892" s="11">
        <f>Daily_Data!I5892</f>
        <v>0.85</v>
      </c>
      <c r="D5892" s="12">
        <f>if(sum(Daily_Data!K5892:L5892)&gt;0,1,0)</f>
        <v>0</v>
      </c>
    </row>
    <row r="5893">
      <c r="A5893" s="10">
        <f>Daily_Data!A5893</f>
        <v>44775</v>
      </c>
      <c r="B5893" s="11">
        <f>Daily_Data!J5893</f>
        <v>23.93</v>
      </c>
      <c r="C5893" s="11">
        <f>Daily_Data!I5893</f>
        <v>0.65</v>
      </c>
      <c r="D5893" s="12">
        <f>if(sum(Daily_Data!K5893:L5893)&gt;0,1,0)</f>
        <v>0</v>
      </c>
    </row>
    <row r="5894">
      <c r="A5894" s="10">
        <f>Daily_Data!A5894</f>
        <v>44776</v>
      </c>
      <c r="B5894" s="11">
        <f>Daily_Data!J5894</f>
        <v>21.95</v>
      </c>
      <c r="C5894" s="11">
        <f>Daily_Data!I5894</f>
        <v>0.58</v>
      </c>
      <c r="D5894" s="12">
        <f>if(sum(Daily_Data!K5894:L5894)&gt;0,1,0)</f>
        <v>0</v>
      </c>
    </row>
    <row r="5895">
      <c r="A5895" s="10">
        <f>Daily_Data!A5895</f>
        <v>44777</v>
      </c>
      <c r="B5895" s="11">
        <f>Daily_Data!J5895</f>
        <v>21.44</v>
      </c>
      <c r="C5895" s="11">
        <f>Daily_Data!I5895</f>
        <v>0.73</v>
      </c>
      <c r="D5895" s="12">
        <f>if(sum(Daily_Data!K5895:L5895)&gt;0,1,0)</f>
        <v>0</v>
      </c>
    </row>
    <row r="5896">
      <c r="A5896" s="10">
        <f>Daily_Data!A5896</f>
        <v>44778</v>
      </c>
      <c r="B5896" s="11">
        <f>Daily_Data!J5896</f>
        <v>21.15</v>
      </c>
      <c r="C5896" s="11">
        <f>Daily_Data!I5896</f>
        <v>0.54</v>
      </c>
      <c r="D5896" s="12">
        <f>if(sum(Daily_Data!K5896:L5896)&gt;0,1,0)</f>
        <v>1</v>
      </c>
    </row>
    <row r="5897">
      <c r="A5897" s="10">
        <f>Daily_Data!A5897</f>
        <v>44781</v>
      </c>
      <c r="B5897" s="11">
        <f>Daily_Data!J5897</f>
        <v>21.29</v>
      </c>
      <c r="C5897" s="11">
        <f>Daily_Data!I5897</f>
        <v>0.61</v>
      </c>
      <c r="D5897" s="12">
        <f>if(sum(Daily_Data!K5897:L5897)&gt;0,1,0)</f>
        <v>0</v>
      </c>
    </row>
    <row r="5898">
      <c r="A5898" s="10">
        <f>Daily_Data!A5898</f>
        <v>44782</v>
      </c>
      <c r="B5898" s="11">
        <f>Daily_Data!J5898</f>
        <v>21.77</v>
      </c>
      <c r="C5898" s="11">
        <f>Daily_Data!I5898</f>
        <v>0.5</v>
      </c>
      <c r="D5898" s="12">
        <f>if(sum(Daily_Data!K5898:L5898)&gt;0,1,0)</f>
        <v>0</v>
      </c>
    </row>
    <row r="5899">
      <c r="A5899" s="10">
        <f>Daily_Data!A5899</f>
        <v>44783</v>
      </c>
      <c r="B5899" s="11">
        <f>Daily_Data!J5899</f>
        <v>19.74</v>
      </c>
      <c r="C5899" s="11">
        <f>Daily_Data!I5899</f>
        <v>0.6</v>
      </c>
      <c r="D5899" s="12">
        <f>if(sum(Daily_Data!K5899:L5899)&gt;0,1,0)</f>
        <v>1</v>
      </c>
    </row>
    <row r="5900">
      <c r="A5900" s="10">
        <f>Daily_Data!A5900</f>
        <v>44784</v>
      </c>
      <c r="B5900" s="11">
        <f>Daily_Data!J5900</f>
        <v>20.2</v>
      </c>
      <c r="C5900" s="11">
        <f>Daily_Data!I5900</f>
        <v>0.63</v>
      </c>
      <c r="D5900" s="12">
        <f>if(sum(Daily_Data!K5900:L5900)&gt;0,1,0)</f>
        <v>0</v>
      </c>
    </row>
    <row r="5901">
      <c r="A5901" s="10">
        <f>Daily_Data!A5901</f>
        <v>44785</v>
      </c>
      <c r="B5901" s="11">
        <f>Daily_Data!J5901</f>
        <v>19.53</v>
      </c>
      <c r="C5901" s="11">
        <f>Daily_Data!I5901</f>
        <v>0.71</v>
      </c>
      <c r="D5901" s="12">
        <f>if(sum(Daily_Data!K5901:L5901)&gt;0,1,0)</f>
        <v>0</v>
      </c>
    </row>
    <row r="5902">
      <c r="A5902" s="10">
        <f>Daily_Data!A5902</f>
        <v>44788</v>
      </c>
      <c r="B5902" s="11">
        <f>Daily_Data!J5902</f>
        <v>19.95</v>
      </c>
      <c r="C5902" s="11">
        <f>Daily_Data!I5902</f>
        <v>0.76</v>
      </c>
      <c r="D5902" s="12">
        <f>if(sum(Daily_Data!K5902:L5902)&gt;0,1,0)</f>
        <v>0</v>
      </c>
    </row>
    <row r="5903">
      <c r="A5903" s="10">
        <f>Daily_Data!A5903</f>
        <v>44789</v>
      </c>
      <c r="B5903" s="11">
        <f>Daily_Data!J5903</f>
        <v>19.69</v>
      </c>
      <c r="C5903" s="11">
        <f>Daily_Data!I5903</f>
        <v>0.67</v>
      </c>
      <c r="D5903" s="12">
        <f>if(sum(Daily_Data!K5903:L5903)&gt;0,1,0)</f>
        <v>0</v>
      </c>
    </row>
    <row r="5904">
      <c r="A5904" s="10">
        <f>Daily_Data!A5904</f>
        <v>44790</v>
      </c>
      <c r="B5904" s="11">
        <f>Daily_Data!J5904</f>
        <v>19.9</v>
      </c>
      <c r="C5904" s="11">
        <f>Daily_Data!I5904</f>
        <v>0.65</v>
      </c>
      <c r="D5904" s="12">
        <f>if(sum(Daily_Data!K5904:L5904)&gt;0,1,0)</f>
        <v>0</v>
      </c>
    </row>
    <row r="5905">
      <c r="A5905" s="10">
        <f>Daily_Data!A5905</f>
        <v>44791</v>
      </c>
      <c r="B5905" s="11">
        <f>Daily_Data!J5905</f>
        <v>19.56</v>
      </c>
      <c r="C5905" s="11">
        <f>Daily_Data!I5905</f>
        <v>0.74</v>
      </c>
      <c r="D5905" s="12">
        <f>if(sum(Daily_Data!K5905:L5905)&gt;0,1,0)</f>
        <v>0</v>
      </c>
    </row>
    <row r="5906">
      <c r="A5906" s="10">
        <f>Daily_Data!A5906</f>
        <v>44792</v>
      </c>
      <c r="B5906" s="11">
        <f>Daily_Data!J5906</f>
        <v>20.6</v>
      </c>
      <c r="C5906" s="11">
        <f>Daily_Data!I5906</f>
        <v>0.74</v>
      </c>
      <c r="D5906" s="12">
        <f>if(sum(Daily_Data!K5906:L5906)&gt;0,1,0)</f>
        <v>0</v>
      </c>
    </row>
    <row r="5907">
      <c r="A5907" s="10">
        <f>Daily_Data!A5907</f>
        <v>44795</v>
      </c>
      <c r="B5907" s="11">
        <f>Daily_Data!J5907</f>
        <v>23.8</v>
      </c>
      <c r="C5907" s="11">
        <f>Daily_Data!I5907</f>
        <v>0.76</v>
      </c>
      <c r="D5907" s="12">
        <f>if(sum(Daily_Data!K5907:L5907)&gt;0,1,0)</f>
        <v>0</v>
      </c>
    </row>
    <row r="5908">
      <c r="A5908" s="10">
        <f>Daily_Data!A5908</f>
        <v>44796</v>
      </c>
      <c r="B5908" s="11">
        <f>Daily_Data!J5908</f>
        <v>24.11</v>
      </c>
      <c r="C5908" s="11">
        <f>Daily_Data!I5908</f>
        <v>0.89</v>
      </c>
      <c r="D5908" s="12">
        <f>if(sum(Daily_Data!K5908:L5908)&gt;0,1,0)</f>
        <v>0</v>
      </c>
    </row>
    <row r="5909">
      <c r="A5909" s="10">
        <f>Daily_Data!A5909</f>
        <v>44797</v>
      </c>
      <c r="B5909" s="11">
        <f>Daily_Data!J5909</f>
        <v>22.82</v>
      </c>
      <c r="C5909" s="11">
        <f>Daily_Data!I5909</f>
        <v>0.81</v>
      </c>
      <c r="D5909" s="12">
        <f>if(sum(Daily_Data!K5909:L5909)&gt;0,1,0)</f>
        <v>0</v>
      </c>
    </row>
    <row r="5910">
      <c r="A5910" s="10">
        <f>Daily_Data!A5910</f>
        <v>44798</v>
      </c>
      <c r="B5910" s="11">
        <f>Daily_Data!J5910</f>
        <v>21.78</v>
      </c>
      <c r="C5910" s="11">
        <f>Daily_Data!I5910</f>
        <v>0.83</v>
      </c>
      <c r="D5910" s="12">
        <f>if(sum(Daily_Data!K5910:L5910)&gt;0,1,0)</f>
        <v>0</v>
      </c>
    </row>
    <row r="5911">
      <c r="A5911" s="10">
        <f>Daily_Data!A5911</f>
        <v>44799</v>
      </c>
      <c r="B5911" s="11">
        <f>Daily_Data!J5911</f>
        <v>25.56</v>
      </c>
      <c r="C5911" s="11">
        <f>Daily_Data!I5911</f>
        <v>0.83</v>
      </c>
      <c r="D5911" s="12">
        <f>if(sum(Daily_Data!K5911:L5911)&gt;0,1,0)</f>
        <v>0</v>
      </c>
    </row>
    <row r="5912">
      <c r="A5912" s="10">
        <f>Daily_Data!A5912</f>
        <v>44802</v>
      </c>
      <c r="B5912" s="11">
        <f>Daily_Data!J5912</f>
        <v>26.21</v>
      </c>
      <c r="C5912" s="11">
        <f>Daily_Data!I5912</f>
        <v>0.91</v>
      </c>
      <c r="D5912" s="12">
        <f>if(sum(Daily_Data!K5912:L5912)&gt;0,1,0)</f>
        <v>0</v>
      </c>
    </row>
    <row r="5913">
      <c r="A5913" s="10">
        <f>Daily_Data!A5913</f>
        <v>44803</v>
      </c>
      <c r="B5913" s="11">
        <f>Daily_Data!J5913</f>
        <v>26.21</v>
      </c>
      <c r="C5913" s="11">
        <f>Daily_Data!I5913</f>
        <v>0.86</v>
      </c>
      <c r="D5913" s="12">
        <f>if(sum(Daily_Data!K5913:L5913)&gt;0,1,0)</f>
        <v>0</v>
      </c>
    </row>
    <row r="5914">
      <c r="A5914" s="10">
        <f>Daily_Data!A5914</f>
        <v>44804</v>
      </c>
      <c r="B5914" s="11">
        <f>Daily_Data!J5914</f>
        <v>25.87</v>
      </c>
      <c r="C5914" s="11">
        <f>Daily_Data!I5914</f>
        <v>0.86</v>
      </c>
      <c r="D5914" s="12">
        <f>if(sum(Daily_Data!K5914:L5914)&gt;0,1,0)</f>
        <v>0</v>
      </c>
    </row>
    <row r="5915">
      <c r="A5915" s="10">
        <f>Daily_Data!A5915</f>
        <v>44805</v>
      </c>
      <c r="B5915" s="11">
        <f>Daily_Data!J5915</f>
        <v>25.56</v>
      </c>
      <c r="C5915" s="11">
        <f>Daily_Data!I5915</f>
        <v>0.87</v>
      </c>
      <c r="D5915" s="12">
        <f>if(sum(Daily_Data!K5915:L5915)&gt;0,1,0)</f>
        <v>0</v>
      </c>
    </row>
    <row r="5916">
      <c r="A5916" s="10">
        <f>Daily_Data!A5916</f>
        <v>44806</v>
      </c>
      <c r="B5916" s="11">
        <f>Daily_Data!J5916</f>
        <v>25.47</v>
      </c>
      <c r="C5916" s="11">
        <f>Daily_Data!I5916</f>
        <v>0.91</v>
      </c>
      <c r="D5916" s="12">
        <f>if(sum(Daily_Data!K5916:L5916)&gt;0,1,0)</f>
        <v>1</v>
      </c>
    </row>
    <row r="5917">
      <c r="A5917" s="10">
        <f>Daily_Data!A5917</f>
        <v>44809</v>
      </c>
      <c r="B5917" s="11">
        <f>Daily_Data!J5917</f>
        <v>25.99</v>
      </c>
      <c r="C5917" s="11" t="str">
        <f>Daily_Data!I5917</f>
        <v/>
      </c>
      <c r="D5917" s="12">
        <f>if(sum(Daily_Data!K5917:L5917)&gt;0,1,0)</f>
        <v>0</v>
      </c>
    </row>
    <row r="5918">
      <c r="A5918" s="10">
        <f>Daily_Data!A5918</f>
        <v>44810</v>
      </c>
      <c r="B5918" s="11">
        <f>Daily_Data!J5918</f>
        <v>26.91</v>
      </c>
      <c r="C5918" s="11">
        <f>Daily_Data!I5918</f>
        <v>0.8</v>
      </c>
      <c r="D5918" s="12">
        <f>if(sum(Daily_Data!K5918:L5918)&gt;0,1,0)</f>
        <v>0</v>
      </c>
    </row>
    <row r="5919">
      <c r="A5919" s="10">
        <f>Daily_Data!A5919</f>
        <v>44811</v>
      </c>
      <c r="B5919" s="11">
        <f>Daily_Data!J5919</f>
        <v>24.64</v>
      </c>
      <c r="C5919" s="11">
        <f>Daily_Data!I5919</f>
        <v>0.88</v>
      </c>
      <c r="D5919" s="12">
        <f>if(sum(Daily_Data!K5919:L5919)&gt;0,1,0)</f>
        <v>0</v>
      </c>
    </row>
    <row r="5920">
      <c r="A5920" s="10">
        <f>Daily_Data!A5920</f>
        <v>44812</v>
      </c>
      <c r="B5920" s="11">
        <f>Daily_Data!J5920</f>
        <v>23.61</v>
      </c>
      <c r="C5920" s="11">
        <f>Daily_Data!I5920</f>
        <v>0.74</v>
      </c>
      <c r="D5920" s="12">
        <f>if(sum(Daily_Data!K5920:L5920)&gt;0,1,0)</f>
        <v>0</v>
      </c>
    </row>
    <row r="5921">
      <c r="A5921" s="10">
        <f>Daily_Data!A5921</f>
        <v>44813</v>
      </c>
      <c r="B5921" s="11">
        <f>Daily_Data!J5921</f>
        <v>22.79</v>
      </c>
      <c r="C5921" s="11">
        <f>Daily_Data!I5921</f>
        <v>0.62</v>
      </c>
      <c r="D5921" s="12">
        <f>if(sum(Daily_Data!K5921:L5921)&gt;0,1,0)</f>
        <v>0</v>
      </c>
    </row>
    <row r="5922">
      <c r="A5922" s="10">
        <f>Daily_Data!A5922</f>
        <v>44816</v>
      </c>
      <c r="B5922" s="11">
        <f>Daily_Data!J5922</f>
        <v>23.87</v>
      </c>
      <c r="C5922" s="11">
        <f>Daily_Data!I5922</f>
        <v>0.6</v>
      </c>
      <c r="D5922" s="12">
        <f>if(sum(Daily_Data!K5922:L5922)&gt;0,1,0)</f>
        <v>0</v>
      </c>
    </row>
    <row r="5923">
      <c r="A5923" s="10">
        <f>Daily_Data!A5923</f>
        <v>44817</v>
      </c>
      <c r="B5923" s="11">
        <f>Daily_Data!J5923</f>
        <v>27.27</v>
      </c>
      <c r="C5923" s="11">
        <f>Daily_Data!I5923</f>
        <v>0.4</v>
      </c>
      <c r="D5923" s="12">
        <f>if(sum(Daily_Data!K5923:L5923)&gt;0,1,0)</f>
        <v>1</v>
      </c>
    </row>
    <row r="5924">
      <c r="A5924" s="10">
        <f>Daily_Data!A5924</f>
        <v>44818</v>
      </c>
      <c r="B5924" s="11">
        <f>Daily_Data!J5924</f>
        <v>26.16</v>
      </c>
      <c r="C5924" s="11">
        <f>Daily_Data!I5924</f>
        <v>0.51</v>
      </c>
      <c r="D5924" s="12">
        <f>if(sum(Daily_Data!K5924:L5924)&gt;0,1,0)</f>
        <v>0</v>
      </c>
    </row>
    <row r="5925">
      <c r="A5925" s="10">
        <f>Daily_Data!A5925</f>
        <v>44819</v>
      </c>
      <c r="B5925" s="11">
        <f>Daily_Data!J5925</f>
        <v>26.27</v>
      </c>
      <c r="C5925" s="11">
        <f>Daily_Data!I5925</f>
        <v>0.44</v>
      </c>
      <c r="D5925" s="12">
        <f>if(sum(Daily_Data!K5925:L5925)&gt;0,1,0)</f>
        <v>0</v>
      </c>
    </row>
    <row r="5926">
      <c r="A5926" s="10">
        <f>Daily_Data!A5926</f>
        <v>44820</v>
      </c>
      <c r="B5926" s="11">
        <f>Daily_Data!J5926</f>
        <v>26.3</v>
      </c>
      <c r="C5926" s="11">
        <f>Daily_Data!I5926</f>
        <v>0.64</v>
      </c>
      <c r="D5926" s="12">
        <f>if(sum(Daily_Data!K5926:L5926)&gt;0,1,0)</f>
        <v>0</v>
      </c>
    </row>
    <row r="5927">
      <c r="A5927" s="10">
        <f>Daily_Data!A5927</f>
        <v>44823</v>
      </c>
      <c r="B5927" s="11">
        <f>Daily_Data!J5927</f>
        <v>25.76</v>
      </c>
      <c r="C5927" s="11">
        <f>Daily_Data!I5927</f>
        <v>0.49</v>
      </c>
      <c r="D5927" s="12">
        <f>if(sum(Daily_Data!K5927:L5927)&gt;0,1,0)</f>
        <v>0</v>
      </c>
    </row>
    <row r="5928">
      <c r="A5928" s="10">
        <f>Daily_Data!A5928</f>
        <v>44824</v>
      </c>
      <c r="B5928" s="11">
        <f>Daily_Data!J5928</f>
        <v>27.16</v>
      </c>
      <c r="C5928" s="11">
        <f>Daily_Data!I5928</f>
        <v>0.44</v>
      </c>
      <c r="D5928" s="12">
        <f>if(sum(Daily_Data!K5928:L5928)&gt;0,1,0)</f>
        <v>0</v>
      </c>
    </row>
    <row r="5929">
      <c r="A5929" s="10">
        <f>Daily_Data!A5929</f>
        <v>44825</v>
      </c>
      <c r="B5929" s="11">
        <f>Daily_Data!J5929</f>
        <v>27.99</v>
      </c>
      <c r="C5929" s="11">
        <f>Daily_Data!I5929</f>
        <v>0.44</v>
      </c>
      <c r="D5929" s="12">
        <f>if(sum(Daily_Data!K5929:L5929)&gt;0,1,0)</f>
        <v>0</v>
      </c>
    </row>
    <row r="5930">
      <c r="A5930" s="10">
        <f>Daily_Data!A5930</f>
        <v>44826</v>
      </c>
      <c r="B5930" s="11">
        <f>Daily_Data!J5930</f>
        <v>27.35</v>
      </c>
      <c r="C5930" s="11">
        <f>Daily_Data!I5930</f>
        <v>0.42</v>
      </c>
      <c r="D5930" s="12">
        <f>if(sum(Daily_Data!K5930:L5930)&gt;0,1,0)</f>
        <v>0</v>
      </c>
    </row>
    <row r="5931">
      <c r="A5931" s="10">
        <f>Daily_Data!A5931</f>
        <v>44827</v>
      </c>
      <c r="B5931" s="11">
        <f>Daily_Data!J5931</f>
        <v>29.92</v>
      </c>
      <c r="C5931" s="11">
        <f>Daily_Data!I5931</f>
        <v>0.42</v>
      </c>
      <c r="D5931" s="12">
        <f>if(sum(Daily_Data!K5931:L5931)&gt;0,1,0)</f>
        <v>0</v>
      </c>
    </row>
    <row r="5932">
      <c r="A5932" s="10">
        <f>Daily_Data!A5932</f>
        <v>44830</v>
      </c>
      <c r="B5932" s="11">
        <f>Daily_Data!J5932</f>
        <v>32.26</v>
      </c>
      <c r="C5932" s="11" t="str">
        <f>Daily_Data!I5932</f>
        <v/>
      </c>
      <c r="D5932" s="12">
        <f>if(sum(Daily_Data!K5932:L5932)&gt;0,1,0)</f>
        <v>0</v>
      </c>
    </row>
    <row r="5933">
      <c r="A5933" s="10">
        <f>Daily_Data!A5933</f>
        <v>44831</v>
      </c>
      <c r="B5933" s="11">
        <f>Daily_Data!J5933</f>
        <v>32.6</v>
      </c>
      <c r="C5933" s="11">
        <f>Daily_Data!I5933</f>
        <v>0.44</v>
      </c>
      <c r="D5933" s="12">
        <f>if(sum(Daily_Data!K5933:L5933)&gt;0,1,0)</f>
        <v>0</v>
      </c>
    </row>
    <row r="5934">
      <c r="A5934" s="10">
        <f>Daily_Data!A5934</f>
        <v>44832</v>
      </c>
      <c r="B5934" s="11">
        <f>Daily_Data!J5934</f>
        <v>30.18</v>
      </c>
      <c r="C5934" s="11">
        <f>Daily_Data!I5934</f>
        <v>0.73</v>
      </c>
      <c r="D5934" s="12">
        <f>if(sum(Daily_Data!K5934:L5934)&gt;0,1,0)</f>
        <v>0</v>
      </c>
    </row>
    <row r="5935">
      <c r="A5935" s="10">
        <f>Daily_Data!A5935</f>
        <v>44833</v>
      </c>
      <c r="B5935" s="11">
        <f>Daily_Data!J5935</f>
        <v>31.84</v>
      </c>
      <c r="C5935" s="11">
        <f>Daily_Data!I5935</f>
        <v>0.55</v>
      </c>
      <c r="D5935" s="12">
        <f>if(sum(Daily_Data!K5935:L5935)&gt;0,1,0)</f>
        <v>0</v>
      </c>
    </row>
    <row r="5936">
      <c r="A5936" s="10">
        <f>Daily_Data!A5936</f>
        <v>44834</v>
      </c>
      <c r="B5936" s="11">
        <f>Daily_Data!J5936</f>
        <v>31.62</v>
      </c>
      <c r="C5936" s="11">
        <f>Daily_Data!I5936</f>
        <v>0.52</v>
      </c>
      <c r="D5936" s="12">
        <f>if(sum(Daily_Data!K5936:L5936)&gt;0,1,0)</f>
        <v>0</v>
      </c>
    </row>
    <row r="5937">
      <c r="A5937" s="10">
        <f>Daily_Data!A5937</f>
        <v>44837</v>
      </c>
      <c r="B5937" s="11">
        <f>Daily_Data!J5937</f>
        <v>30.1</v>
      </c>
      <c r="C5937" s="11">
        <f>Daily_Data!I5937</f>
        <v>0.6</v>
      </c>
      <c r="D5937" s="12">
        <f>if(sum(Daily_Data!K5937:L5937)&gt;0,1,0)</f>
        <v>0</v>
      </c>
    </row>
    <row r="5938">
      <c r="A5938" s="10">
        <f>Daily_Data!A5938</f>
        <v>44838</v>
      </c>
      <c r="B5938" s="11">
        <f>Daily_Data!J5938</f>
        <v>29.07</v>
      </c>
      <c r="C5938" s="11">
        <f>Daily_Data!I5938</f>
        <v>0.51</v>
      </c>
      <c r="D5938" s="12">
        <f>if(sum(Daily_Data!K5938:L5938)&gt;0,1,0)</f>
        <v>0</v>
      </c>
    </row>
    <row r="5939">
      <c r="A5939" s="10">
        <f>Daily_Data!A5939</f>
        <v>44839</v>
      </c>
      <c r="B5939" s="11">
        <f>Daily_Data!J5939</f>
        <v>28.55</v>
      </c>
      <c r="C5939" s="11">
        <f>Daily_Data!I5939</f>
        <v>0.31</v>
      </c>
      <c r="D5939" s="12">
        <f>if(sum(Daily_Data!K5939:L5939)&gt;0,1,0)</f>
        <v>0</v>
      </c>
    </row>
    <row r="5940">
      <c r="A5940" s="10">
        <f>Daily_Data!A5940</f>
        <v>44840</v>
      </c>
      <c r="B5940" s="11">
        <f>Daily_Data!J5940</f>
        <v>30.52</v>
      </c>
      <c r="C5940" s="11">
        <f>Daily_Data!I5940</f>
        <v>0.39</v>
      </c>
      <c r="D5940" s="12">
        <f>if(sum(Daily_Data!K5940:L5940)&gt;0,1,0)</f>
        <v>0</v>
      </c>
    </row>
    <row r="5941">
      <c r="A5941" s="10">
        <f>Daily_Data!A5941</f>
        <v>44841</v>
      </c>
      <c r="B5941" s="11">
        <f>Daily_Data!J5941</f>
        <v>31.36</v>
      </c>
      <c r="C5941" s="11">
        <f>Daily_Data!I5941</f>
        <v>0.42</v>
      </c>
      <c r="D5941" s="12">
        <f>if(sum(Daily_Data!K5941:L5941)&gt;0,1,0)</f>
        <v>1</v>
      </c>
    </row>
    <row r="5942">
      <c r="A5942" s="10">
        <f>Daily_Data!A5942</f>
        <v>44844</v>
      </c>
      <c r="B5942" s="11">
        <f>Daily_Data!J5942</f>
        <v>32.45</v>
      </c>
      <c r="C5942" s="11" t="str">
        <f>Daily_Data!I5942</f>
        <v/>
      </c>
      <c r="D5942" s="12">
        <f>if(sum(Daily_Data!K5942:L5942)&gt;0,1,0)</f>
        <v>0</v>
      </c>
    </row>
    <row r="5943">
      <c r="A5943" s="10">
        <f>Daily_Data!A5943</f>
        <v>44845</v>
      </c>
      <c r="B5943" s="11">
        <f>Daily_Data!J5943</f>
        <v>33.63</v>
      </c>
      <c r="C5943" s="11">
        <f>Daily_Data!I5943</f>
        <v>0.57</v>
      </c>
      <c r="D5943" s="12">
        <f>if(sum(Daily_Data!K5943:L5943)&gt;0,1,0)</f>
        <v>0</v>
      </c>
    </row>
    <row r="5944">
      <c r="A5944" s="10">
        <f>Daily_Data!A5944</f>
        <v>44846</v>
      </c>
      <c r="B5944" s="11">
        <f>Daily_Data!J5944</f>
        <v>33.57</v>
      </c>
      <c r="C5944" s="11">
        <f>Daily_Data!I5944</f>
        <v>0.57</v>
      </c>
      <c r="D5944" s="12">
        <f>if(sum(Daily_Data!K5944:L5944)&gt;0,1,0)</f>
        <v>0</v>
      </c>
    </row>
    <row r="5945">
      <c r="A5945" s="10">
        <f>Daily_Data!A5945</f>
        <v>44847</v>
      </c>
      <c r="B5945" s="11">
        <f>Daily_Data!J5945</f>
        <v>31.94</v>
      </c>
      <c r="C5945" s="11">
        <f>Daily_Data!I5945</f>
        <v>0.42</v>
      </c>
      <c r="D5945" s="12">
        <f>if(sum(Daily_Data!K5945:L5945)&gt;0,1,0)</f>
        <v>1</v>
      </c>
    </row>
    <row r="5946">
      <c r="A5946" s="10">
        <f>Daily_Data!A5946</f>
        <v>44848</v>
      </c>
      <c r="B5946" s="11">
        <f>Daily_Data!J5946</f>
        <v>32.02</v>
      </c>
      <c r="C5946" s="11">
        <f>Daily_Data!I5946</f>
        <v>0.45</v>
      </c>
      <c r="D5946" s="12">
        <f>if(sum(Daily_Data!K5946:L5946)&gt;0,1,0)</f>
        <v>0</v>
      </c>
    </row>
    <row r="5947">
      <c r="A5947" s="10">
        <f>Daily_Data!A5947</f>
        <v>44851</v>
      </c>
      <c r="B5947" s="11">
        <f>Daily_Data!J5947</f>
        <v>31.37</v>
      </c>
      <c r="C5947" s="11">
        <f>Daily_Data!I5947</f>
        <v>0.55</v>
      </c>
      <c r="D5947" s="12">
        <f>if(sum(Daily_Data!K5947:L5947)&gt;0,1,0)</f>
        <v>0</v>
      </c>
    </row>
    <row r="5948">
      <c r="A5948" s="10">
        <f>Daily_Data!A5948</f>
        <v>44852</v>
      </c>
      <c r="B5948" s="11">
        <f>Daily_Data!J5948</f>
        <v>30.5</v>
      </c>
      <c r="C5948" s="11">
        <f>Daily_Data!I5948</f>
        <v>0.71</v>
      </c>
      <c r="D5948" s="12">
        <f>if(sum(Daily_Data!K5948:L5948)&gt;0,1,0)</f>
        <v>0</v>
      </c>
    </row>
    <row r="5949">
      <c r="A5949" s="10">
        <f>Daily_Data!A5949</f>
        <v>44853</v>
      </c>
      <c r="B5949" s="11">
        <f>Daily_Data!J5949</f>
        <v>30.76</v>
      </c>
      <c r="C5949" s="11">
        <f>Daily_Data!I5949</f>
        <v>0.75</v>
      </c>
      <c r="D5949" s="12">
        <f>if(sum(Daily_Data!K5949:L5949)&gt;0,1,0)</f>
        <v>0</v>
      </c>
    </row>
    <row r="5950">
      <c r="A5950" s="10">
        <f>Daily_Data!A5950</f>
        <v>44854</v>
      </c>
      <c r="B5950" s="11">
        <f>Daily_Data!J5950</f>
        <v>29.98</v>
      </c>
      <c r="C5950" s="11">
        <f>Daily_Data!I5950</f>
        <v>0.7</v>
      </c>
      <c r="D5950" s="12">
        <f>if(sum(Daily_Data!K5950:L5950)&gt;0,1,0)</f>
        <v>0</v>
      </c>
    </row>
    <row r="5951">
      <c r="A5951" s="10">
        <f>Daily_Data!A5951</f>
        <v>44855</v>
      </c>
      <c r="B5951" s="11">
        <f>Daily_Data!J5951</f>
        <v>29.69</v>
      </c>
      <c r="C5951" s="11">
        <f>Daily_Data!I5951</f>
        <v>0.81</v>
      </c>
      <c r="D5951" s="12">
        <f>if(sum(Daily_Data!K5951:L5951)&gt;0,1,0)</f>
        <v>0</v>
      </c>
    </row>
    <row r="5952">
      <c r="A5952" s="10">
        <f>Daily_Data!A5952</f>
        <v>44858</v>
      </c>
      <c r="B5952" s="11">
        <f>Daily_Data!J5952</f>
        <v>29.85</v>
      </c>
      <c r="C5952" s="11" t="str">
        <f>Daily_Data!I5952</f>
        <v/>
      </c>
      <c r="D5952" s="12">
        <f>if(sum(Daily_Data!K5952:L5952)&gt;0,1,0)</f>
        <v>0</v>
      </c>
    </row>
    <row r="5953">
      <c r="A5953" s="10">
        <f>Daily_Data!A5953</f>
        <v>44859</v>
      </c>
      <c r="B5953" s="11">
        <f>Daily_Data!J5953</f>
        <v>28.46</v>
      </c>
      <c r="C5953" s="11">
        <f>Daily_Data!I5953</f>
        <v>0.76</v>
      </c>
      <c r="D5953" s="12">
        <f>if(sum(Daily_Data!K5953:L5953)&gt;0,1,0)</f>
        <v>0</v>
      </c>
    </row>
    <row r="5954">
      <c r="A5954" s="10">
        <f>Daily_Data!A5954</f>
        <v>44860</v>
      </c>
      <c r="B5954" s="11">
        <f>Daily_Data!J5954</f>
        <v>27.28</v>
      </c>
      <c r="C5954" s="11">
        <f>Daily_Data!I5954</f>
        <v>0.77</v>
      </c>
      <c r="D5954" s="12">
        <f>if(sum(Daily_Data!K5954:L5954)&gt;0,1,0)</f>
        <v>0</v>
      </c>
    </row>
    <row r="5955">
      <c r="A5955" s="10">
        <f>Daily_Data!A5955</f>
        <v>44861</v>
      </c>
      <c r="B5955" s="11">
        <f>Daily_Data!J5955</f>
        <v>27.39</v>
      </c>
      <c r="C5955" s="11">
        <f>Daily_Data!I5955</f>
        <v>0.76</v>
      </c>
      <c r="D5955" s="12">
        <f>if(sum(Daily_Data!K5955:L5955)&gt;0,1,0)</f>
        <v>0</v>
      </c>
    </row>
    <row r="5956">
      <c r="A5956" s="10">
        <f>Daily_Data!A5956</f>
        <v>44862</v>
      </c>
      <c r="B5956" s="11">
        <f>Daily_Data!J5956</f>
        <v>25.75</v>
      </c>
      <c r="C5956" s="11">
        <f>Daily_Data!I5956</f>
        <v>0.57</v>
      </c>
      <c r="D5956" s="12">
        <f>if(sum(Daily_Data!K5956:L5956)&gt;0,1,0)</f>
        <v>0</v>
      </c>
    </row>
    <row r="5957">
      <c r="A5957" s="10">
        <f>Daily_Data!A5957</f>
        <v>44865</v>
      </c>
      <c r="B5957" s="11">
        <f>Daily_Data!J5957</f>
        <v>25.88</v>
      </c>
      <c r="C5957" s="11">
        <f>Daily_Data!I5957</f>
        <v>0.5</v>
      </c>
      <c r="D5957" s="12">
        <f>if(sum(Daily_Data!K5957:L5957)&gt;0,1,0)</f>
        <v>0</v>
      </c>
    </row>
    <row r="5958">
      <c r="A5958" s="10">
        <f>Daily_Data!A5958</f>
        <v>44866</v>
      </c>
      <c r="B5958" s="11">
        <f>Daily_Data!J5958</f>
        <v>25.81</v>
      </c>
      <c r="C5958" s="11">
        <f>Daily_Data!I5958</f>
        <v>0.59</v>
      </c>
      <c r="D5958" s="12">
        <f>if(sum(Daily_Data!K5958:L5958)&gt;0,1,0)</f>
        <v>0</v>
      </c>
    </row>
    <row r="5959">
      <c r="A5959" s="10">
        <f>Daily_Data!A5959</f>
        <v>44867</v>
      </c>
      <c r="B5959" s="11">
        <f>Daily_Data!J5959</f>
        <v>25.86</v>
      </c>
      <c r="C5959" s="11">
        <f>Daily_Data!I5959</f>
        <v>0.53</v>
      </c>
      <c r="D5959" s="12">
        <f>if(sum(Daily_Data!K5959:L5959)&gt;0,1,0)</f>
        <v>0</v>
      </c>
    </row>
    <row r="5960">
      <c r="A5960" s="10">
        <f>Daily_Data!A5960</f>
        <v>44868</v>
      </c>
      <c r="B5960" s="11">
        <f>Daily_Data!J5960</f>
        <v>25.3</v>
      </c>
      <c r="C5960" s="11">
        <f>Daily_Data!I5960</f>
        <v>0.49</v>
      </c>
      <c r="D5960" s="12">
        <f>if(sum(Daily_Data!K5960:L5960)&gt;0,1,0)</f>
        <v>0</v>
      </c>
    </row>
    <row r="5961">
      <c r="A5961" s="10">
        <f>Daily_Data!A5961</f>
        <v>44869</v>
      </c>
      <c r="B5961" s="11">
        <f>Daily_Data!J5961</f>
        <v>24.55</v>
      </c>
      <c r="C5961" s="11">
        <f>Daily_Data!I5961</f>
        <v>0.5</v>
      </c>
      <c r="D5961" s="12">
        <f>if(sum(Daily_Data!K5961:L5961)&gt;0,1,0)</f>
        <v>1</v>
      </c>
    </row>
    <row r="5962">
      <c r="A5962" s="10">
        <f>Daily_Data!A5962</f>
        <v>44872</v>
      </c>
      <c r="B5962" s="11">
        <f>Daily_Data!J5962</f>
        <v>24.35</v>
      </c>
      <c r="C5962" s="11">
        <f>Daily_Data!I5962</f>
        <v>0.48</v>
      </c>
      <c r="D5962" s="12">
        <f>if(sum(Daily_Data!K5962:L5962)&gt;0,1,0)</f>
        <v>0</v>
      </c>
    </row>
    <row r="5963">
      <c r="A5963" s="10">
        <f>Daily_Data!A5963</f>
        <v>44873</v>
      </c>
      <c r="B5963" s="11">
        <f>Daily_Data!J5963</f>
        <v>25.54</v>
      </c>
      <c r="C5963" s="11">
        <f>Daily_Data!I5963</f>
        <v>0.66</v>
      </c>
      <c r="D5963" s="12">
        <f>if(sum(Daily_Data!K5963:L5963)&gt;0,1,0)</f>
        <v>0</v>
      </c>
    </row>
    <row r="5964">
      <c r="A5964" s="10">
        <f>Daily_Data!A5964</f>
        <v>44874</v>
      </c>
      <c r="B5964" s="11">
        <f>Daily_Data!J5964</f>
        <v>26.09</v>
      </c>
      <c r="C5964" s="11">
        <f>Daily_Data!I5964</f>
        <v>0.66</v>
      </c>
      <c r="D5964" s="12">
        <f>if(sum(Daily_Data!K5964:L5964)&gt;0,1,0)</f>
        <v>0</v>
      </c>
    </row>
    <row r="5965">
      <c r="A5965" s="10">
        <f>Daily_Data!A5965</f>
        <v>44875</v>
      </c>
      <c r="B5965" s="11">
        <f>Daily_Data!J5965</f>
        <v>23.53</v>
      </c>
      <c r="C5965" s="11">
        <f>Daily_Data!I5965</f>
        <v>0.81</v>
      </c>
      <c r="D5965" s="12">
        <f>if(sum(Daily_Data!K5965:L5965)&gt;0,1,0)</f>
        <v>1</v>
      </c>
    </row>
    <row r="5966">
      <c r="A5966" s="10">
        <f>Daily_Data!A5966</f>
        <v>44876</v>
      </c>
      <c r="B5966" s="11">
        <f>Daily_Data!J5966</f>
        <v>22.52</v>
      </c>
      <c r="C5966" s="11" t="str">
        <f>Daily_Data!I5966</f>
        <v/>
      </c>
      <c r="D5966" s="12">
        <f>if(sum(Daily_Data!K5966:L5966)&gt;0,1,0)</f>
        <v>0</v>
      </c>
    </row>
    <row r="5967">
      <c r="A5967" s="10">
        <f>Daily_Data!A5967</f>
        <v>44879</v>
      </c>
      <c r="B5967" s="11">
        <f>Daily_Data!J5967</f>
        <v>23.73</v>
      </c>
      <c r="C5967" s="11">
        <f>Daily_Data!I5967</f>
        <v>0.55</v>
      </c>
      <c r="D5967" s="12">
        <f>if(sum(Daily_Data!K5967:L5967)&gt;0,1,0)</f>
        <v>0</v>
      </c>
    </row>
    <row r="5968">
      <c r="A5968" s="10">
        <f>Daily_Data!A5968</f>
        <v>44880</v>
      </c>
      <c r="B5968" s="11">
        <f>Daily_Data!J5968</f>
        <v>24.54</v>
      </c>
      <c r="C5968" s="11">
        <f>Daily_Data!I5968</f>
        <v>0.58</v>
      </c>
      <c r="D5968" s="12">
        <f>if(sum(Daily_Data!K5968:L5968)&gt;0,1,0)</f>
        <v>0</v>
      </c>
    </row>
    <row r="5969">
      <c r="A5969" s="10">
        <f>Daily_Data!A5969</f>
        <v>44881</v>
      </c>
      <c r="B5969" s="11">
        <f>Daily_Data!J5969</f>
        <v>24.11</v>
      </c>
      <c r="C5969" s="11">
        <f>Daily_Data!I5969</f>
        <v>0.57</v>
      </c>
      <c r="D5969" s="12">
        <f>if(sum(Daily_Data!K5969:L5969)&gt;0,1,0)</f>
        <v>0</v>
      </c>
    </row>
    <row r="5970">
      <c r="A5970" s="10">
        <f>Daily_Data!A5970</f>
        <v>44882</v>
      </c>
      <c r="B5970" s="11">
        <f>Daily_Data!J5970</f>
        <v>23.93</v>
      </c>
      <c r="C5970" s="11">
        <f>Daily_Data!I5970</f>
        <v>0.45</v>
      </c>
      <c r="D5970" s="12">
        <f>if(sum(Daily_Data!K5970:L5970)&gt;0,1,0)</f>
        <v>0</v>
      </c>
    </row>
    <row r="5971">
      <c r="A5971" s="10">
        <f>Daily_Data!A5971</f>
        <v>44883</v>
      </c>
      <c r="B5971" s="11">
        <f>Daily_Data!J5971</f>
        <v>23.12</v>
      </c>
      <c r="C5971" s="11">
        <f>Daily_Data!I5971</f>
        <v>0.45</v>
      </c>
      <c r="D5971" s="12">
        <f>if(sum(Daily_Data!K5971:L5971)&gt;0,1,0)</f>
        <v>0</v>
      </c>
    </row>
    <row r="5972">
      <c r="A5972" s="10">
        <f>Daily_Data!A5972</f>
        <v>44886</v>
      </c>
      <c r="B5972" s="11">
        <f>Daily_Data!J5972</f>
        <v>22.36</v>
      </c>
      <c r="C5972" s="11">
        <f>Daily_Data!I5972</f>
        <v>0.53</v>
      </c>
      <c r="D5972" s="12">
        <f>if(sum(Daily_Data!K5972:L5972)&gt;0,1,0)</f>
        <v>0</v>
      </c>
    </row>
    <row r="5973">
      <c r="A5973" s="10">
        <f>Daily_Data!A5973</f>
        <v>44887</v>
      </c>
      <c r="B5973" s="11">
        <f>Daily_Data!J5973</f>
        <v>21.29</v>
      </c>
      <c r="C5973" s="11">
        <f>Daily_Data!I5973</f>
        <v>0.59</v>
      </c>
      <c r="D5973" s="12">
        <f>if(sum(Daily_Data!K5973:L5973)&gt;0,1,0)</f>
        <v>0</v>
      </c>
    </row>
    <row r="5974">
      <c r="A5974" s="10">
        <f>Daily_Data!A5974</f>
        <v>44888</v>
      </c>
      <c r="B5974" s="11">
        <f>Daily_Data!J5974</f>
        <v>20.35</v>
      </c>
      <c r="C5974" s="11">
        <f>Daily_Data!I5974</f>
        <v>0.82</v>
      </c>
      <c r="D5974" s="12">
        <f>if(sum(Daily_Data!K5974:L5974)&gt;0,1,0)</f>
        <v>0</v>
      </c>
    </row>
    <row r="5975">
      <c r="A5975" s="10">
        <f>Daily_Data!A5975</f>
        <v>44889</v>
      </c>
      <c r="B5975" s="11">
        <f>Daily_Data!J5975</f>
        <v>20.42</v>
      </c>
      <c r="C5975" s="11" t="str">
        <f>Daily_Data!I5975</f>
        <v/>
      </c>
      <c r="D5975" s="12">
        <f>if(sum(Daily_Data!K5975:L5975)&gt;0,1,0)</f>
        <v>0</v>
      </c>
    </row>
    <row r="5976">
      <c r="A5976" s="10">
        <f>Daily_Data!A5976</f>
        <v>44890</v>
      </c>
      <c r="B5976" s="11">
        <f>Daily_Data!J5976</f>
        <v>20.5</v>
      </c>
      <c r="C5976" s="11">
        <f>Daily_Data!I5976</f>
        <v>0.81</v>
      </c>
      <c r="D5976" s="12">
        <f>if(sum(Daily_Data!K5976:L5976)&gt;0,1,0)</f>
        <v>0</v>
      </c>
    </row>
    <row r="5977">
      <c r="A5977" s="10">
        <f>Daily_Data!A5977</f>
        <v>44893</v>
      </c>
      <c r="B5977" s="11">
        <f>Daily_Data!J5977</f>
        <v>22.21</v>
      </c>
      <c r="C5977" s="11">
        <f>Daily_Data!I5977</f>
        <v>0.71</v>
      </c>
      <c r="D5977" s="12">
        <f>if(sum(Daily_Data!K5977:L5977)&gt;0,1,0)</f>
        <v>0</v>
      </c>
    </row>
    <row r="5978">
      <c r="A5978" s="10">
        <f>Daily_Data!A5978</f>
        <v>44894</v>
      </c>
      <c r="B5978" s="11">
        <f>Daily_Data!J5978</f>
        <v>21.89</v>
      </c>
      <c r="C5978" s="11">
        <f>Daily_Data!I5978</f>
        <v>0.71</v>
      </c>
      <c r="D5978" s="12">
        <f>if(sum(Daily_Data!K5978:L5978)&gt;0,1,0)</f>
        <v>0</v>
      </c>
    </row>
    <row r="5979">
      <c r="A5979" s="10">
        <f>Daily_Data!A5979</f>
        <v>44895</v>
      </c>
      <c r="B5979" s="11">
        <f>Daily_Data!J5979</f>
        <v>20.58</v>
      </c>
      <c r="C5979" s="11">
        <f>Daily_Data!I5979</f>
        <v>0.76</v>
      </c>
      <c r="D5979" s="12">
        <f>if(sum(Daily_Data!K5979:L5979)&gt;0,1,0)</f>
        <v>0</v>
      </c>
    </row>
    <row r="5980">
      <c r="A5980" s="10">
        <f>Daily_Data!A5980</f>
        <v>44896</v>
      </c>
      <c r="B5980" s="11">
        <f>Daily_Data!J5980</f>
        <v>19.84</v>
      </c>
      <c r="C5980" s="11">
        <f>Daily_Data!I5980</f>
        <v>0.83</v>
      </c>
      <c r="D5980" s="12">
        <f>if(sum(Daily_Data!K5980:L5980)&gt;0,1,0)</f>
        <v>0</v>
      </c>
    </row>
    <row r="5981">
      <c r="A5981" s="10">
        <f>Daily_Data!A5981</f>
        <v>44897</v>
      </c>
      <c r="B5981" s="11">
        <f>Daily_Data!J5981</f>
        <v>19.06</v>
      </c>
      <c r="C5981" s="11">
        <f>Daily_Data!I5981</f>
        <v>0.72</v>
      </c>
      <c r="D5981" s="12">
        <f>if(sum(Daily_Data!K5981:L5981)&gt;0,1,0)</f>
        <v>1</v>
      </c>
    </row>
    <row r="5982">
      <c r="A5982" s="10">
        <f>Daily_Data!A5982</f>
        <v>44900</v>
      </c>
      <c r="B5982" s="11">
        <f>Daily_Data!J5982</f>
        <v>20.75</v>
      </c>
      <c r="C5982" s="11">
        <f>Daily_Data!I5982</f>
        <v>0.59</v>
      </c>
      <c r="D5982" s="12">
        <f>if(sum(Daily_Data!K5982:L5982)&gt;0,1,0)</f>
        <v>0</v>
      </c>
    </row>
    <row r="5983">
      <c r="A5983" s="10">
        <f>Daily_Data!A5983</f>
        <v>44901</v>
      </c>
      <c r="B5983" s="11">
        <f>Daily_Data!J5983</f>
        <v>22.17</v>
      </c>
      <c r="C5983" s="11">
        <f>Daily_Data!I5983</f>
        <v>0.73</v>
      </c>
      <c r="D5983" s="12">
        <f>if(sum(Daily_Data!K5983:L5983)&gt;0,1,0)</f>
        <v>0</v>
      </c>
    </row>
    <row r="5984">
      <c r="A5984" s="10">
        <f>Daily_Data!A5984</f>
        <v>44902</v>
      </c>
      <c r="B5984" s="11">
        <f>Daily_Data!J5984</f>
        <v>22.68</v>
      </c>
      <c r="C5984" s="11">
        <f>Daily_Data!I5984</f>
        <v>0.85</v>
      </c>
      <c r="D5984" s="12">
        <f>if(sum(Daily_Data!K5984:L5984)&gt;0,1,0)</f>
        <v>0</v>
      </c>
    </row>
    <row r="5985">
      <c r="A5985" s="10">
        <f>Daily_Data!A5985</f>
        <v>44903</v>
      </c>
      <c r="B5985" s="11">
        <f>Daily_Data!J5985</f>
        <v>22.29</v>
      </c>
      <c r="C5985" s="11">
        <f>Daily_Data!I5985</f>
        <v>0.8</v>
      </c>
      <c r="D5985" s="12">
        <f>if(sum(Daily_Data!K5985:L5985)&gt;0,1,0)</f>
        <v>0</v>
      </c>
    </row>
    <row r="5986">
      <c r="A5986" s="10">
        <f>Daily_Data!A5986</f>
        <v>44904</v>
      </c>
      <c r="B5986" s="11">
        <f>Daily_Data!J5986</f>
        <v>22.83</v>
      </c>
      <c r="C5986" s="11">
        <f>Daily_Data!I5986</f>
        <v>0.81</v>
      </c>
      <c r="D5986" s="12">
        <f>if(sum(Daily_Data!K5986:L5986)&gt;0,1,0)</f>
        <v>0</v>
      </c>
    </row>
    <row r="5987">
      <c r="A5987" s="10">
        <f>Daily_Data!A5987</f>
        <v>44907</v>
      </c>
      <c r="B5987" s="11">
        <f>Daily_Data!J5987</f>
        <v>25</v>
      </c>
      <c r="C5987" s="11">
        <f>Daily_Data!I5987</f>
        <v>0.79</v>
      </c>
      <c r="D5987" s="12">
        <f>if(sum(Daily_Data!K5987:L5987)&gt;0,1,0)</f>
        <v>0</v>
      </c>
    </row>
    <row r="5988">
      <c r="A5988" s="10">
        <f>Daily_Data!A5988</f>
        <v>44908</v>
      </c>
      <c r="B5988" s="11">
        <f>Daily_Data!J5988</f>
        <v>22.55</v>
      </c>
      <c r="C5988" s="11">
        <f>Daily_Data!I5988</f>
        <v>1</v>
      </c>
      <c r="D5988" s="12">
        <f>if(sum(Daily_Data!K5988:L5988)&gt;0,1,0)</f>
        <v>1</v>
      </c>
    </row>
    <row r="5989">
      <c r="A5989" s="10">
        <f>Daily_Data!A5989</f>
        <v>44909</v>
      </c>
      <c r="B5989" s="11">
        <f>Daily_Data!J5989</f>
        <v>21.14</v>
      </c>
      <c r="C5989" s="11">
        <f>Daily_Data!I5989</f>
        <v>0.93</v>
      </c>
      <c r="D5989" s="12">
        <f>if(sum(Daily_Data!K5989:L5989)&gt;0,1,0)</f>
        <v>0</v>
      </c>
    </row>
    <row r="5990">
      <c r="A5990" s="10">
        <f>Daily_Data!A5990</f>
        <v>44910</v>
      </c>
      <c r="B5990" s="11">
        <f>Daily_Data!J5990</f>
        <v>22.83</v>
      </c>
      <c r="C5990" s="11">
        <f>Daily_Data!I5990</f>
        <v>1.09</v>
      </c>
      <c r="D5990" s="12">
        <f>if(sum(Daily_Data!K5990:L5990)&gt;0,1,0)</f>
        <v>0</v>
      </c>
    </row>
    <row r="5991">
      <c r="A5991" s="10">
        <f>Daily_Data!A5991</f>
        <v>44911</v>
      </c>
      <c r="B5991" s="11">
        <f>Daily_Data!J5991</f>
        <v>22.62</v>
      </c>
      <c r="C5991" s="11">
        <f>Daily_Data!I5991</f>
        <v>1.1</v>
      </c>
      <c r="D5991" s="12">
        <f>if(sum(Daily_Data!K5991:L5991)&gt;0,1,0)</f>
        <v>0</v>
      </c>
    </row>
    <row r="5992">
      <c r="A5992" s="10">
        <f>Daily_Data!A5992</f>
        <v>44914</v>
      </c>
      <c r="B5992" s="11">
        <f>Daily_Data!J5992</f>
        <v>22.42</v>
      </c>
      <c r="C5992" s="11">
        <f>Daily_Data!I5992</f>
        <v>0.98</v>
      </c>
      <c r="D5992" s="12">
        <f>if(sum(Daily_Data!K5992:L5992)&gt;0,1,0)</f>
        <v>0</v>
      </c>
    </row>
    <row r="5993">
      <c r="A5993" s="10">
        <f>Daily_Data!A5993</f>
        <v>44915</v>
      </c>
      <c r="B5993" s="11">
        <f>Daily_Data!J5993</f>
        <v>21.48</v>
      </c>
      <c r="C5993" s="11">
        <f>Daily_Data!I5993</f>
        <v>1.01</v>
      </c>
      <c r="D5993" s="12">
        <f>if(sum(Daily_Data!K5993:L5993)&gt;0,1,0)</f>
        <v>0</v>
      </c>
    </row>
    <row r="5994">
      <c r="A5994" s="10">
        <f>Daily_Data!A5994</f>
        <v>44916</v>
      </c>
      <c r="B5994" s="11">
        <f>Daily_Data!J5994</f>
        <v>20.07</v>
      </c>
      <c r="C5994" s="11">
        <f>Daily_Data!I5994</f>
        <v>1.02</v>
      </c>
      <c r="D5994" s="12">
        <f>if(sum(Daily_Data!K5994:L5994)&gt;0,1,0)</f>
        <v>0</v>
      </c>
    </row>
    <row r="5995">
      <c r="A5995" s="10">
        <f>Daily_Data!A5995</f>
        <v>44917</v>
      </c>
      <c r="B5995" s="11">
        <f>Daily_Data!J5995</f>
        <v>21.97</v>
      </c>
      <c r="C5995" s="11">
        <f>Daily_Data!I5995</f>
        <v>1</v>
      </c>
      <c r="D5995" s="12">
        <f>if(sum(Daily_Data!K5995:L5995)&gt;0,1,0)</f>
        <v>0</v>
      </c>
    </row>
    <row r="5996">
      <c r="A5996" s="10">
        <f>Daily_Data!A5996</f>
        <v>44918</v>
      </c>
      <c r="B5996" s="11">
        <f>Daily_Data!J5996</f>
        <v>20.87</v>
      </c>
      <c r="C5996" s="11">
        <f>Daily_Data!I5996</f>
        <v>0.95</v>
      </c>
      <c r="D5996" s="12">
        <f>if(sum(Daily_Data!K5996:L5996)&gt;0,1,0)</f>
        <v>0</v>
      </c>
    </row>
    <row r="5997">
      <c r="A5997" s="10">
        <f>Daily_Data!A5997</f>
        <v>44921</v>
      </c>
      <c r="B5997" s="11" t="str">
        <f>Daily_Data!J5997</f>
        <v/>
      </c>
      <c r="C5997" s="11" t="str">
        <f>Daily_Data!I5997</f>
        <v/>
      </c>
      <c r="D5997" s="12">
        <f>if(sum(Daily_Data!K5997:L5997)&gt;0,1,0)</f>
        <v>0</v>
      </c>
    </row>
    <row r="5998">
      <c r="A5998" s="10">
        <f>Daily_Data!A5998</f>
        <v>44922</v>
      </c>
      <c r="B5998" s="11">
        <f>Daily_Data!J5998</f>
        <v>21.65</v>
      </c>
      <c r="C5998" s="11" t="str">
        <f>Daily_Data!I5998</f>
        <v/>
      </c>
      <c r="D5998" s="12">
        <f>if(sum(Daily_Data!K5998:L5998)&gt;0,1,0)</f>
        <v>0</v>
      </c>
    </row>
    <row r="5999">
      <c r="A5999" s="10">
        <f>Daily_Data!A5999</f>
        <v>44923</v>
      </c>
      <c r="B5999" s="11">
        <f>Daily_Data!J5999</f>
        <v>22.14</v>
      </c>
      <c r="C5999" s="11">
        <f>Daily_Data!I5999</f>
        <v>1.1</v>
      </c>
      <c r="D5999" s="12">
        <f>if(sum(Daily_Data!K5999:L5999)&gt;0,1,0)</f>
        <v>0</v>
      </c>
    </row>
    <row r="6000">
      <c r="A6000" s="10">
        <f>Daily_Data!A6000</f>
        <v>44924</v>
      </c>
      <c r="B6000" s="11">
        <f>Daily_Data!J6000</f>
        <v>21.44</v>
      </c>
      <c r="C6000" s="11">
        <f>Daily_Data!I6000</f>
        <v>1.07</v>
      </c>
      <c r="D6000" s="12">
        <f>if(sum(Daily_Data!K6000:L6000)&gt;0,1,0)</f>
        <v>0</v>
      </c>
    </row>
    <row r="6001">
      <c r="A6001" s="10">
        <f>Daily_Data!A6001</f>
        <v>44925</v>
      </c>
      <c r="B6001" s="11">
        <f>Daily_Data!J6001</f>
        <v>21.67</v>
      </c>
      <c r="C6001" s="11">
        <f>Daily_Data!I6001</f>
        <v>0.96</v>
      </c>
      <c r="D6001" s="12">
        <f>if(sum(Daily_Data!K6001:L6001)&gt;0,1,0)</f>
        <v>0</v>
      </c>
    </row>
    <row r="6002">
      <c r="A6002" s="10">
        <f>Daily_Data!A6002</f>
        <v>44928</v>
      </c>
      <c r="B6002" s="11" t="str">
        <f>Daily_Data!J6002</f>
        <v/>
      </c>
      <c r="C6002" s="11" t="str">
        <f>Daily_Data!I6002</f>
        <v/>
      </c>
      <c r="D6002" s="12">
        <f>if(sum(Daily_Data!K6002:L6002)&gt;0,1,0)</f>
        <v>0</v>
      </c>
    </row>
    <row r="6003">
      <c r="A6003" s="10">
        <f>Daily_Data!A6003</f>
        <v>44929</v>
      </c>
      <c r="B6003" s="11">
        <f>Daily_Data!J6003</f>
        <v>22.9</v>
      </c>
      <c r="C6003" s="11" t="str">
        <f>Daily_Data!I6003</f>
        <v/>
      </c>
      <c r="D6003" s="12">
        <f>if(sum(Daily_Data!K6003:L6003)&gt;0,1,0)</f>
        <v>0</v>
      </c>
    </row>
    <row r="6004">
      <c r="A6004" s="10">
        <f>Daily_Data!A6004</f>
        <v>44930</v>
      </c>
      <c r="B6004" s="11">
        <f>Daily_Data!J6004</f>
        <v>22.01</v>
      </c>
      <c r="C6004" s="11">
        <f>Daily_Data!I6004</f>
        <v>0.92</v>
      </c>
      <c r="D6004" s="12">
        <f>if(sum(Daily_Data!K6004:L6004)&gt;0,1,0)</f>
        <v>0</v>
      </c>
    </row>
    <row r="6005">
      <c r="A6005" s="10">
        <f>Daily_Data!A6005</f>
        <v>44931</v>
      </c>
      <c r="B6005" s="11">
        <f>Daily_Data!J6005</f>
        <v>22.46</v>
      </c>
      <c r="C6005" s="11">
        <f>Daily_Data!I6005</f>
        <v>0.79</v>
      </c>
      <c r="D6005" s="12">
        <f>if(sum(Daily_Data!K6005:L6005)&gt;0,1,0)</f>
        <v>0</v>
      </c>
    </row>
    <row r="6006">
      <c r="A6006" s="10">
        <f>Daily_Data!A6006</f>
        <v>44932</v>
      </c>
      <c r="B6006" s="11">
        <f>Daily_Data!J6006</f>
        <v>21.13</v>
      </c>
      <c r="C6006" s="11">
        <f>Daily_Data!I6006</f>
        <v>0.99</v>
      </c>
      <c r="D6006" s="12">
        <f>if(sum(Daily_Data!K6006:L6006)&gt;0,1,0)</f>
        <v>1</v>
      </c>
    </row>
    <row r="6007">
      <c r="A6007" s="10">
        <f>Daily_Data!A6007</f>
        <v>44935</v>
      </c>
      <c r="B6007" s="11">
        <f>Daily_Data!J6007</f>
        <v>21.97</v>
      </c>
      <c r="C6007" s="11">
        <f>Daily_Data!I6007</f>
        <v>0.99</v>
      </c>
      <c r="D6007" s="12">
        <f>if(sum(Daily_Data!K6007:L6007)&gt;0,1,0)</f>
        <v>0</v>
      </c>
    </row>
    <row r="6008">
      <c r="A6008" s="10">
        <f>Daily_Data!A6008</f>
        <v>44936</v>
      </c>
      <c r="B6008" s="11">
        <f>Daily_Data!J6008</f>
        <v>20.58</v>
      </c>
      <c r="C6008" s="11">
        <f>Daily_Data!I6008</f>
        <v>0.94</v>
      </c>
      <c r="D6008" s="12">
        <f>if(sum(Daily_Data!K6008:L6008)&gt;0,1,0)</f>
        <v>0</v>
      </c>
    </row>
    <row r="6009">
      <c r="A6009" s="10">
        <f>Daily_Data!A6009</f>
        <v>44937</v>
      </c>
      <c r="B6009" s="11">
        <f>Daily_Data!J6009</f>
        <v>21.09</v>
      </c>
      <c r="C6009" s="11">
        <f>Daily_Data!I6009</f>
        <v>0.97</v>
      </c>
      <c r="D6009" s="12">
        <f>if(sum(Daily_Data!K6009:L6009)&gt;0,1,0)</f>
        <v>0</v>
      </c>
    </row>
    <row r="6010">
      <c r="A6010" s="10">
        <f>Daily_Data!A6010</f>
        <v>44938</v>
      </c>
      <c r="B6010" s="11">
        <f>Daily_Data!J6010</f>
        <v>18.83</v>
      </c>
      <c r="C6010" s="11">
        <f>Daily_Data!I6010</f>
        <v>0.96</v>
      </c>
      <c r="D6010" s="12">
        <f>if(sum(Daily_Data!K6010:L6010)&gt;0,1,0)</f>
        <v>1</v>
      </c>
    </row>
    <row r="6011">
      <c r="A6011" s="10">
        <f>Daily_Data!A6011</f>
        <v>44939</v>
      </c>
      <c r="B6011" s="11">
        <f>Daily_Data!J6011</f>
        <v>18.35</v>
      </c>
      <c r="C6011" s="11">
        <f>Daily_Data!I6011</f>
        <v>0.78</v>
      </c>
      <c r="D6011" s="12">
        <f>if(sum(Daily_Data!K6011:L6011)&gt;0,1,0)</f>
        <v>0</v>
      </c>
    </row>
    <row r="6012">
      <c r="A6012" s="10">
        <f>Daily_Data!A6012</f>
        <v>44942</v>
      </c>
      <c r="B6012" s="11">
        <f>Daily_Data!J6012</f>
        <v>19.49</v>
      </c>
      <c r="C6012" s="11" t="str">
        <f>Daily_Data!I6012</f>
        <v/>
      </c>
      <c r="D6012" s="12">
        <f>if(sum(Daily_Data!K6012:L6012)&gt;0,1,0)</f>
        <v>0</v>
      </c>
    </row>
    <row r="6013">
      <c r="A6013" s="10">
        <f>Daily_Data!A6013</f>
        <v>44943</v>
      </c>
      <c r="B6013" s="11">
        <f>Daily_Data!J6013</f>
        <v>19.36</v>
      </c>
      <c r="C6013" s="11">
        <f>Daily_Data!I6013</f>
        <v>0.8</v>
      </c>
      <c r="D6013" s="12">
        <f>if(sum(Daily_Data!K6013:L6013)&gt;0,1,0)</f>
        <v>0</v>
      </c>
    </row>
    <row r="6014">
      <c r="A6014" s="10">
        <f>Daily_Data!A6014</f>
        <v>44944</v>
      </c>
      <c r="B6014" s="11">
        <f>Daily_Data!J6014</f>
        <v>20.34</v>
      </c>
      <c r="C6014" s="11">
        <f>Daily_Data!I6014</f>
        <v>0.92</v>
      </c>
      <c r="D6014" s="12">
        <f>if(sum(Daily_Data!K6014:L6014)&gt;0,1,0)</f>
        <v>0</v>
      </c>
    </row>
    <row r="6015">
      <c r="A6015" s="10">
        <f>Daily_Data!A6015</f>
        <v>44945</v>
      </c>
      <c r="B6015" s="11">
        <f>Daily_Data!J6015</f>
        <v>20.52</v>
      </c>
      <c r="C6015" s="11">
        <f>Daily_Data!I6015</f>
        <v>0.78</v>
      </c>
      <c r="D6015" s="12">
        <f>if(sum(Daily_Data!K6015:L6015)&gt;0,1,0)</f>
        <v>0</v>
      </c>
    </row>
    <row r="6016">
      <c r="A6016" s="10">
        <f>Daily_Data!A6016</f>
        <v>44946</v>
      </c>
      <c r="B6016" s="11">
        <f>Daily_Data!J6016</f>
        <v>19.85</v>
      </c>
      <c r="C6016" s="11">
        <f>Daily_Data!I6016</f>
        <v>0.79</v>
      </c>
      <c r="D6016" s="12">
        <f>if(sum(Daily_Data!K6016:L6016)&gt;0,1,0)</f>
        <v>0</v>
      </c>
    </row>
    <row r="6017">
      <c r="A6017" s="10">
        <f>Daily_Data!A6017</f>
        <v>44949</v>
      </c>
      <c r="B6017" s="11">
        <f>Daily_Data!J6017</f>
        <v>19.81</v>
      </c>
      <c r="C6017" s="11">
        <f>Daily_Data!I6017</f>
        <v>0.72</v>
      </c>
      <c r="D6017" s="12">
        <f>if(sum(Daily_Data!K6017:L6017)&gt;0,1,0)</f>
        <v>0</v>
      </c>
    </row>
    <row r="6018">
      <c r="A6018" s="10">
        <f>Daily_Data!A6018</f>
        <v>44950</v>
      </c>
      <c r="B6018" s="11">
        <f>Daily_Data!J6018</f>
        <v>19.2</v>
      </c>
      <c r="C6018" s="11">
        <f>Daily_Data!I6018</f>
        <v>0.89</v>
      </c>
      <c r="D6018" s="12">
        <f>if(sum(Daily_Data!K6018:L6018)&gt;0,1,0)</f>
        <v>0</v>
      </c>
    </row>
    <row r="6019">
      <c r="A6019" s="10">
        <f>Daily_Data!A6019</f>
        <v>44951</v>
      </c>
      <c r="B6019" s="11">
        <f>Daily_Data!J6019</f>
        <v>19.08</v>
      </c>
      <c r="C6019" s="11">
        <f>Daily_Data!I6019</f>
        <v>0.77</v>
      </c>
      <c r="D6019" s="12">
        <f>if(sum(Daily_Data!K6019:L6019)&gt;0,1,0)</f>
        <v>0</v>
      </c>
    </row>
    <row r="6020">
      <c r="A6020" s="10">
        <f>Daily_Data!A6020</f>
        <v>44952</v>
      </c>
      <c r="B6020" s="11">
        <f>Daily_Data!J6020</f>
        <v>18.73</v>
      </c>
      <c r="C6020" s="11">
        <f>Daily_Data!I6020</f>
        <v>0.66</v>
      </c>
      <c r="D6020" s="12">
        <f>if(sum(Daily_Data!K6020:L6020)&gt;0,1,0)</f>
        <v>0</v>
      </c>
    </row>
    <row r="6021">
      <c r="A6021" s="10">
        <f>Daily_Data!A6021</f>
        <v>44953</v>
      </c>
      <c r="B6021" s="11">
        <f>Daily_Data!J6021</f>
        <v>18.51</v>
      </c>
      <c r="C6021" s="11">
        <f>Daily_Data!I6021</f>
        <v>0.71</v>
      </c>
      <c r="D6021" s="12">
        <f>if(sum(Daily_Data!K6021:L6021)&gt;0,1,0)</f>
        <v>0</v>
      </c>
    </row>
    <row r="6022">
      <c r="A6022" s="10">
        <f>Daily_Data!A6022</f>
        <v>44956</v>
      </c>
      <c r="B6022" s="11">
        <f>Daily_Data!J6022</f>
        <v>19.94</v>
      </c>
      <c r="C6022" s="11">
        <f>Daily_Data!I6022</f>
        <v>0.65</v>
      </c>
      <c r="D6022" s="12">
        <f>if(sum(Daily_Data!K6022:L6022)&gt;0,1,0)</f>
        <v>0</v>
      </c>
    </row>
    <row r="6023">
      <c r="A6023" s="10">
        <f>Daily_Data!A6023</f>
        <v>44957</v>
      </c>
      <c r="B6023" s="11">
        <f>Daily_Data!J6023</f>
        <v>19.4</v>
      </c>
      <c r="C6023" s="11">
        <f>Daily_Data!I6023</f>
        <v>0.78</v>
      </c>
      <c r="D6023" s="12">
        <f>if(sum(Daily_Data!K6023:L6023)&gt;0,1,0)</f>
        <v>0</v>
      </c>
    </row>
    <row r="6024">
      <c r="A6024" s="10">
        <f>Daily_Data!A6024</f>
        <v>44958</v>
      </c>
      <c r="B6024" s="11">
        <f>Daily_Data!J6024</f>
        <v>17.87</v>
      </c>
      <c r="C6024" s="11">
        <f>Daily_Data!I6024</f>
        <v>0.82</v>
      </c>
      <c r="D6024" s="12">
        <f>if(sum(Daily_Data!K6024:L6024)&gt;0,1,0)</f>
        <v>0</v>
      </c>
    </row>
    <row r="6025">
      <c r="A6025" s="10">
        <f>Daily_Data!A6025</f>
        <v>44959</v>
      </c>
      <c r="B6025" s="11">
        <f>Daily_Data!J6025</f>
        <v>18.73</v>
      </c>
      <c r="C6025" s="11">
        <f>Daily_Data!I6025</f>
        <v>0.67</v>
      </c>
      <c r="D6025" s="12">
        <f>if(sum(Daily_Data!K6025:L6025)&gt;0,1,0)</f>
        <v>0</v>
      </c>
    </row>
    <row r="6026">
      <c r="A6026" s="10">
        <f>Daily_Data!A6026</f>
        <v>44960</v>
      </c>
      <c r="B6026" s="11">
        <f>Daily_Data!J6026</f>
        <v>18.33</v>
      </c>
      <c r="C6026" s="11">
        <f>Daily_Data!I6026</f>
        <v>0.4</v>
      </c>
      <c r="D6026" s="12">
        <f>if(sum(Daily_Data!K6026:L6026)&gt;0,1,0)</f>
        <v>1</v>
      </c>
    </row>
    <row r="6027">
      <c r="A6027" s="10">
        <f>Daily_Data!A6027</f>
        <v>44963</v>
      </c>
      <c r="B6027" s="11">
        <f>Daily_Data!J6027</f>
        <v>19.43</v>
      </c>
      <c r="C6027" s="11" t="str">
        <f>Daily_Data!I6027</f>
        <v/>
      </c>
      <c r="D6027" s="12">
        <f>if(sum(Daily_Data!K6027:L6027)&gt;0,1,0)</f>
        <v>0</v>
      </c>
    </row>
    <row r="6028">
      <c r="A6028" s="10">
        <f>Daily_Data!A6028</f>
        <v>44964</v>
      </c>
      <c r="B6028" s="11">
        <f>Daily_Data!J6028</f>
        <v>18.66</v>
      </c>
      <c r="C6028" s="11">
        <f>Daily_Data!I6028</f>
        <v>0.39</v>
      </c>
      <c r="D6028" s="12">
        <f>if(sum(Daily_Data!K6028:L6028)&gt;0,1,0)</f>
        <v>0</v>
      </c>
    </row>
    <row r="6029">
      <c r="A6029" s="10">
        <f>Daily_Data!A6029</f>
        <v>44965</v>
      </c>
      <c r="B6029" s="11">
        <f>Daily_Data!J6029</f>
        <v>19.63</v>
      </c>
      <c r="C6029" s="11">
        <f>Daily_Data!I6029</f>
        <v>0.49</v>
      </c>
      <c r="D6029" s="12">
        <f>if(sum(Daily_Data!K6029:L6029)&gt;0,1,0)</f>
        <v>0</v>
      </c>
    </row>
    <row r="6030">
      <c r="A6030" s="10">
        <f>Daily_Data!A6030</f>
        <v>44966</v>
      </c>
      <c r="B6030" s="11">
        <f>Daily_Data!J6030</f>
        <v>20.71</v>
      </c>
      <c r="C6030" s="11">
        <f>Daily_Data!I6030</f>
        <v>0.54</v>
      </c>
      <c r="D6030" s="12">
        <f>if(sum(Daily_Data!K6030:L6030)&gt;0,1,0)</f>
        <v>0</v>
      </c>
    </row>
    <row r="6031">
      <c r="A6031" s="10">
        <f>Daily_Data!A6031</f>
        <v>44967</v>
      </c>
      <c r="B6031" s="11">
        <f>Daily_Data!J6031</f>
        <v>20.53</v>
      </c>
      <c r="C6031" s="11">
        <f>Daily_Data!I6031</f>
        <v>0.6</v>
      </c>
      <c r="D6031" s="12">
        <f>if(sum(Daily_Data!K6031:L6031)&gt;0,1,0)</f>
        <v>0</v>
      </c>
    </row>
    <row r="6032">
      <c r="A6032" s="10">
        <f>Daily_Data!A6032</f>
        <v>44970</v>
      </c>
      <c r="B6032" s="11">
        <f>Daily_Data!J6032</f>
        <v>20.34</v>
      </c>
      <c r="C6032" s="11">
        <f>Daily_Data!I6032</f>
        <v>0.71</v>
      </c>
      <c r="D6032" s="12">
        <f>if(sum(Daily_Data!K6032:L6032)&gt;0,1,0)</f>
        <v>0</v>
      </c>
    </row>
    <row r="6033">
      <c r="A6033" s="10">
        <f>Daily_Data!A6033</f>
        <v>44971</v>
      </c>
      <c r="B6033" s="11">
        <f>Daily_Data!J6033</f>
        <v>18.91</v>
      </c>
      <c r="C6033" s="11">
        <f>Daily_Data!I6033</f>
        <v>0.54</v>
      </c>
      <c r="D6033" s="12">
        <f>if(sum(Daily_Data!K6033:L6033)&gt;0,1,0)</f>
        <v>1</v>
      </c>
    </row>
    <row r="6034">
      <c r="A6034" s="10">
        <f>Daily_Data!A6034</f>
        <v>44972</v>
      </c>
      <c r="B6034" s="11">
        <f>Daily_Data!J6034</f>
        <v>18.23</v>
      </c>
      <c r="C6034" s="11">
        <f>Daily_Data!I6034</f>
        <v>0.57</v>
      </c>
      <c r="D6034" s="12">
        <f>if(sum(Daily_Data!K6034:L6034)&gt;0,1,0)</f>
        <v>0</v>
      </c>
    </row>
    <row r="6035">
      <c r="A6035" s="10">
        <f>Daily_Data!A6035</f>
        <v>44973</v>
      </c>
      <c r="B6035" s="11">
        <f>Daily_Data!J6035</f>
        <v>20.17</v>
      </c>
      <c r="C6035" s="11">
        <f>Daily_Data!I6035</f>
        <v>0.53</v>
      </c>
      <c r="D6035" s="12">
        <f>if(sum(Daily_Data!K6035:L6035)&gt;0,1,0)</f>
        <v>0</v>
      </c>
    </row>
    <row r="6036">
      <c r="A6036" s="10">
        <f>Daily_Data!A6036</f>
        <v>44974</v>
      </c>
      <c r="B6036" s="11">
        <f>Daily_Data!J6036</f>
        <v>20.02</v>
      </c>
      <c r="C6036" s="11">
        <f>Daily_Data!I6036</f>
        <v>0.48</v>
      </c>
      <c r="D6036" s="12">
        <f>if(sum(Daily_Data!K6036:L6036)&gt;0,1,0)</f>
        <v>0</v>
      </c>
    </row>
    <row r="6037">
      <c r="A6037" s="10">
        <f>Daily_Data!A6037</f>
        <v>44977</v>
      </c>
      <c r="B6037" s="11">
        <f>Daily_Data!J6037</f>
        <v>21.23</v>
      </c>
      <c r="C6037" s="11" t="str">
        <f>Daily_Data!I6037</f>
        <v/>
      </c>
      <c r="D6037" s="12">
        <f>if(sum(Daily_Data!K6037:L6037)&gt;0,1,0)</f>
        <v>0</v>
      </c>
    </row>
    <row r="6038">
      <c r="A6038" s="10">
        <f>Daily_Data!A6038</f>
        <v>44978</v>
      </c>
      <c r="B6038" s="11">
        <f>Daily_Data!J6038</f>
        <v>22.87</v>
      </c>
      <c r="C6038" s="11">
        <f>Daily_Data!I6038</f>
        <v>0.53</v>
      </c>
      <c r="D6038" s="12">
        <f>if(sum(Daily_Data!K6038:L6038)&gt;0,1,0)</f>
        <v>0</v>
      </c>
    </row>
    <row r="6039">
      <c r="A6039" s="10">
        <f>Daily_Data!A6039</f>
        <v>44979</v>
      </c>
      <c r="B6039" s="11">
        <f>Daily_Data!J6039</f>
        <v>22.29</v>
      </c>
      <c r="C6039" s="11">
        <f>Daily_Data!I6039</f>
        <v>0.63</v>
      </c>
      <c r="D6039" s="12">
        <f>if(sum(Daily_Data!K6039:L6039)&gt;0,1,0)</f>
        <v>0</v>
      </c>
    </row>
    <row r="6040">
      <c r="A6040" s="10">
        <f>Daily_Data!A6040</f>
        <v>44980</v>
      </c>
      <c r="B6040" s="11">
        <f>Daily_Data!J6040</f>
        <v>21.14</v>
      </c>
      <c r="C6040" s="11">
        <f>Daily_Data!I6040</f>
        <v>0.69</v>
      </c>
      <c r="D6040" s="12">
        <f>if(sum(Daily_Data!K6040:L6040)&gt;0,1,0)</f>
        <v>0</v>
      </c>
    </row>
    <row r="6041">
      <c r="A6041" s="10">
        <f>Daily_Data!A6041</f>
        <v>44981</v>
      </c>
      <c r="B6041" s="11">
        <f>Daily_Data!J6041</f>
        <v>21.67</v>
      </c>
      <c r="C6041" s="11">
        <f>Daily_Data!I6041</f>
        <v>0.6</v>
      </c>
      <c r="D6041" s="12">
        <f>if(sum(Daily_Data!K6041:L6041)&gt;0,1,0)</f>
        <v>0</v>
      </c>
    </row>
    <row r="6042">
      <c r="A6042" s="10">
        <f>Daily_Data!A6042</f>
        <v>44984</v>
      </c>
      <c r="B6042" s="11">
        <f>Daily_Data!J6042</f>
        <v>20.95</v>
      </c>
      <c r="C6042" s="11">
        <f>Daily_Data!I6042</f>
        <v>0.65</v>
      </c>
      <c r="D6042" s="12">
        <f>if(sum(Daily_Data!K6042:L6042)&gt;0,1,0)</f>
        <v>0</v>
      </c>
    </row>
    <row r="6043">
      <c r="A6043" s="10">
        <f>Daily_Data!A6043</f>
        <v>44985</v>
      </c>
      <c r="B6043" s="11">
        <f>Daily_Data!J6043</f>
        <v>20.7</v>
      </c>
      <c r="C6043" s="11">
        <f>Daily_Data!I6043</f>
        <v>0.56</v>
      </c>
      <c r="D6043" s="12">
        <f>if(sum(Daily_Data!K6043:L6043)&gt;0,1,0)</f>
        <v>0</v>
      </c>
    </row>
    <row r="6044">
      <c r="A6044" s="10">
        <f>Daily_Data!A6044</f>
        <v>44986</v>
      </c>
      <c r="B6044" s="11">
        <f>Daily_Data!J6044</f>
        <v>20.58</v>
      </c>
      <c r="C6044" s="11">
        <f>Daily_Data!I6044</f>
        <v>0.44</v>
      </c>
      <c r="D6044" s="12">
        <f>if(sum(Daily_Data!K6044:L6044)&gt;0,1,0)</f>
        <v>0</v>
      </c>
    </row>
    <row r="6045">
      <c r="A6045" s="10">
        <f>Daily_Data!A6045</f>
        <v>44987</v>
      </c>
      <c r="B6045" s="11">
        <f>Daily_Data!J6045</f>
        <v>19.59</v>
      </c>
      <c r="C6045" s="11">
        <f>Daily_Data!I6045</f>
        <v>0.51</v>
      </c>
      <c r="D6045" s="12">
        <f>if(sum(Daily_Data!K6045:L6045)&gt;0,1,0)</f>
        <v>0</v>
      </c>
    </row>
    <row r="6046">
      <c r="A6046" s="10">
        <f>Daily_Data!A6046</f>
        <v>44988</v>
      </c>
      <c r="B6046" s="11">
        <f>Daily_Data!J6046</f>
        <v>18.49</v>
      </c>
      <c r="C6046" s="11">
        <f>Daily_Data!I6046</f>
        <v>0.57</v>
      </c>
      <c r="D6046" s="12">
        <f>if(sum(Daily_Data!K6046:L6046)&gt;0,1,0)</f>
        <v>0</v>
      </c>
    </row>
    <row r="6047">
      <c r="A6047" s="10">
        <f>Daily_Data!A6047</f>
        <v>44991</v>
      </c>
      <c r="B6047" s="11">
        <f>Daily_Data!J6047</f>
        <v>18.61</v>
      </c>
      <c r="C6047" s="11">
        <f>Daily_Data!I6047</f>
        <v>0.52</v>
      </c>
      <c r="D6047" s="12">
        <f>if(sum(Daily_Data!K6047:L6047)&gt;0,1,0)</f>
        <v>0</v>
      </c>
    </row>
    <row r="6048">
      <c r="A6048" s="10">
        <f>Daily_Data!A6048</f>
        <v>44992</v>
      </c>
      <c r="B6048" s="11">
        <f>Daily_Data!J6048</f>
        <v>19.59</v>
      </c>
      <c r="C6048" s="11">
        <f>Daily_Data!I6048</f>
        <v>0.45</v>
      </c>
      <c r="D6048" s="12">
        <f>if(sum(Daily_Data!K6048:L6048)&gt;0,1,0)</f>
        <v>0</v>
      </c>
    </row>
    <row r="6049">
      <c r="A6049" s="10">
        <f>Daily_Data!A6049</f>
        <v>44993</v>
      </c>
      <c r="B6049" s="11">
        <f>Daily_Data!J6049</f>
        <v>19.11</v>
      </c>
      <c r="C6049" s="11">
        <f>Daily_Data!I6049</f>
        <v>0.48</v>
      </c>
      <c r="D6049" s="12">
        <f>if(sum(Daily_Data!K6049:L6049)&gt;0,1,0)</f>
        <v>0</v>
      </c>
    </row>
    <row r="6050">
      <c r="A6050" s="10">
        <f>Daily_Data!A6050</f>
        <v>44994</v>
      </c>
      <c r="B6050" s="11">
        <f>Daily_Data!J6050</f>
        <v>22.61</v>
      </c>
      <c r="C6050" s="11">
        <f>Daily_Data!I6050</f>
        <v>0.6</v>
      </c>
      <c r="D6050" s="12">
        <f>if(sum(Daily_Data!K6050:L6050)&gt;0,1,0)</f>
        <v>0</v>
      </c>
    </row>
    <row r="6051">
      <c r="A6051" s="10">
        <f>Daily_Data!A6051</f>
        <v>44995</v>
      </c>
      <c r="B6051" s="11">
        <f>Daily_Data!J6051</f>
        <v>24.8</v>
      </c>
      <c r="C6051" s="11">
        <f>Daily_Data!I6051</f>
        <v>0.79</v>
      </c>
      <c r="D6051" s="12">
        <f>if(sum(Daily_Data!K6051:L6051)&gt;0,1,0)</f>
        <v>1</v>
      </c>
    </row>
    <row r="6052">
      <c r="A6052" s="10">
        <f>Daily_Data!A6052</f>
        <v>44998</v>
      </c>
      <c r="B6052" s="11">
        <f>Daily_Data!J6052</f>
        <v>26.52</v>
      </c>
      <c r="C6052" s="11">
        <f>Daily_Data!I6052</f>
        <v>1.28</v>
      </c>
      <c r="D6052" s="12">
        <f>if(sum(Daily_Data!K6052:L6052)&gt;0,1,0)</f>
        <v>0</v>
      </c>
    </row>
    <row r="6053">
      <c r="A6053" s="10">
        <f>Daily_Data!A6053</f>
        <v>44999</v>
      </c>
      <c r="B6053" s="11">
        <f>Daily_Data!J6053</f>
        <v>23.73</v>
      </c>
      <c r="C6053" s="11">
        <f>Daily_Data!I6053</f>
        <v>0.83</v>
      </c>
      <c r="D6053" s="12">
        <f>if(sum(Daily_Data!K6053:L6053)&gt;0,1,0)</f>
        <v>1</v>
      </c>
    </row>
    <row r="6054">
      <c r="A6054" s="10">
        <f>Daily_Data!A6054</f>
        <v>45000</v>
      </c>
      <c r="B6054" s="11">
        <f>Daily_Data!J6054</f>
        <v>26.14</v>
      </c>
      <c r="C6054" s="11">
        <f>Daily_Data!I6054</f>
        <v>1.28</v>
      </c>
      <c r="D6054" s="12">
        <f>if(sum(Daily_Data!K6054:L6054)&gt;0,1,0)</f>
        <v>0</v>
      </c>
    </row>
    <row r="6055">
      <c r="A6055" s="10">
        <f>Daily_Data!A6055</f>
        <v>45001</v>
      </c>
      <c r="B6055" s="11">
        <f>Daily_Data!J6055</f>
        <v>22.99</v>
      </c>
      <c r="C6055" s="11">
        <f>Daily_Data!I6055</f>
        <v>0.85</v>
      </c>
      <c r="D6055" s="12">
        <f>if(sum(Daily_Data!K6055:L6055)&gt;0,1,0)</f>
        <v>0</v>
      </c>
    </row>
    <row r="6056">
      <c r="A6056" s="10">
        <f>Daily_Data!A6056</f>
        <v>45002</v>
      </c>
      <c r="B6056" s="11">
        <f>Daily_Data!J6056</f>
        <v>25.51</v>
      </c>
      <c r="C6056" s="11">
        <f>Daily_Data!I6056</f>
        <v>1.33</v>
      </c>
      <c r="D6056" s="12">
        <f>if(sum(Daily_Data!K6056:L6056)&gt;0,1,0)</f>
        <v>0</v>
      </c>
    </row>
    <row r="6057">
      <c r="A6057" s="10">
        <f>Daily_Data!A6057</f>
        <v>45005</v>
      </c>
      <c r="B6057" s="11">
        <f>Daily_Data!J6057</f>
        <v>24.15</v>
      </c>
      <c r="C6057" s="11">
        <f>Daily_Data!I6057</f>
        <v>1.02</v>
      </c>
      <c r="D6057" s="12">
        <f>if(sum(Daily_Data!K6057:L6057)&gt;0,1,0)</f>
        <v>0</v>
      </c>
    </row>
    <row r="6058">
      <c r="A6058" s="10">
        <f>Daily_Data!A6058</f>
        <v>45006</v>
      </c>
      <c r="B6058" s="11">
        <f>Daily_Data!J6058</f>
        <v>21.38</v>
      </c>
      <c r="C6058" s="11">
        <f>Daily_Data!I6058</f>
        <v>0.73</v>
      </c>
      <c r="D6058" s="12">
        <f>if(sum(Daily_Data!K6058:L6058)&gt;0,1,0)</f>
        <v>0</v>
      </c>
    </row>
    <row r="6059">
      <c r="A6059" s="10">
        <f>Daily_Data!A6059</f>
        <v>45007</v>
      </c>
      <c r="B6059" s="11">
        <f>Daily_Data!J6059</f>
        <v>22.26</v>
      </c>
      <c r="C6059" s="11">
        <f>Daily_Data!I6059</f>
        <v>1.06</v>
      </c>
      <c r="D6059" s="12">
        <f>if(sum(Daily_Data!K6059:L6059)&gt;0,1,0)</f>
        <v>0</v>
      </c>
    </row>
    <row r="6060">
      <c r="A6060" s="10">
        <f>Daily_Data!A6060</f>
        <v>45008</v>
      </c>
      <c r="B6060" s="11">
        <f>Daily_Data!J6060</f>
        <v>22.61</v>
      </c>
      <c r="C6060" s="11">
        <f>Daily_Data!I6060</f>
        <v>1.16</v>
      </c>
      <c r="D6060" s="12">
        <f>if(sum(Daily_Data!K6060:L6060)&gt;0,1,0)</f>
        <v>0</v>
      </c>
    </row>
    <row r="6061">
      <c r="A6061" s="10">
        <f>Daily_Data!A6061</f>
        <v>45009</v>
      </c>
      <c r="B6061" s="11">
        <f>Daily_Data!J6061</f>
        <v>21.74</v>
      </c>
      <c r="C6061" s="11">
        <f>Daily_Data!I6061</f>
        <v>1.1</v>
      </c>
      <c r="D6061" s="12">
        <f>if(sum(Daily_Data!K6061:L6061)&gt;0,1,0)</f>
        <v>0</v>
      </c>
    </row>
    <row r="6062">
      <c r="A6062" s="10">
        <f>Daily_Data!A6062</f>
        <v>45012</v>
      </c>
      <c r="B6062" s="11">
        <f>Daily_Data!J6062</f>
        <v>20.6</v>
      </c>
      <c r="C6062" s="11">
        <f>Daily_Data!I6062</f>
        <v>0.87</v>
      </c>
      <c r="D6062" s="12">
        <f>if(sum(Daily_Data!K6062:L6062)&gt;0,1,0)</f>
        <v>0</v>
      </c>
    </row>
    <row r="6063">
      <c r="A6063" s="10">
        <f>Daily_Data!A6063</f>
        <v>45013</v>
      </c>
      <c r="B6063" s="11">
        <f>Daily_Data!J6063</f>
        <v>19.97</v>
      </c>
      <c r="C6063" s="11">
        <f>Daily_Data!I6063</f>
        <v>0.83</v>
      </c>
      <c r="D6063" s="12">
        <f>if(sum(Daily_Data!K6063:L6063)&gt;0,1,0)</f>
        <v>0</v>
      </c>
    </row>
    <row r="6064">
      <c r="A6064" s="10">
        <f>Daily_Data!A6064</f>
        <v>45014</v>
      </c>
      <c r="B6064" s="11">
        <f>Daily_Data!J6064</f>
        <v>19.12</v>
      </c>
      <c r="C6064" s="11">
        <f>Daily_Data!I6064</f>
        <v>0.88</v>
      </c>
      <c r="D6064" s="12">
        <f>if(sum(Daily_Data!K6064:L6064)&gt;0,1,0)</f>
        <v>0</v>
      </c>
    </row>
    <row r="6065">
      <c r="A6065" s="10">
        <f>Daily_Data!A6065</f>
        <v>45015</v>
      </c>
      <c r="B6065" s="11">
        <f>Daily_Data!J6065</f>
        <v>19.02</v>
      </c>
      <c r="C6065" s="11">
        <f>Daily_Data!I6065</f>
        <v>0.93</v>
      </c>
      <c r="D6065" s="12">
        <f>if(sum(Daily_Data!K6065:L6065)&gt;0,1,0)</f>
        <v>0</v>
      </c>
    </row>
    <row r="6066">
      <c r="A6066" s="10">
        <f>Daily_Data!A6066</f>
        <v>45016</v>
      </c>
      <c r="B6066" s="11">
        <f>Daily_Data!J6066</f>
        <v>18.7</v>
      </c>
      <c r="C6066" s="11">
        <f>Daily_Data!I6066</f>
        <v>0.96</v>
      </c>
      <c r="D6066" s="12">
        <f>if(sum(Daily_Data!K6066:L6066)&gt;0,1,0)</f>
        <v>0</v>
      </c>
    </row>
    <row r="6067">
      <c r="A6067" s="10">
        <f>Daily_Data!A6067</f>
        <v>45019</v>
      </c>
      <c r="B6067" s="11">
        <f>Daily_Data!J6067</f>
        <v>18.55</v>
      </c>
      <c r="C6067" s="11">
        <f>Daily_Data!I6067</f>
        <v>1.06</v>
      </c>
      <c r="D6067" s="12">
        <f>if(sum(Daily_Data!K6067:L6067)&gt;0,1,0)</f>
        <v>0</v>
      </c>
    </row>
    <row r="6068">
      <c r="A6068" s="10">
        <f>Daily_Data!A6068</f>
        <v>45020</v>
      </c>
      <c r="B6068" s="11">
        <f>Daily_Data!J6068</f>
        <v>19</v>
      </c>
      <c r="C6068" s="11">
        <f>Daily_Data!I6068</f>
        <v>1.18</v>
      </c>
      <c r="D6068" s="12">
        <f>if(sum(Daily_Data!K6068:L6068)&gt;0,1,0)</f>
        <v>0</v>
      </c>
    </row>
    <row r="6069">
      <c r="A6069" s="10">
        <f>Daily_Data!A6069</f>
        <v>45021</v>
      </c>
      <c r="B6069" s="11">
        <f>Daily_Data!J6069</f>
        <v>19.08</v>
      </c>
      <c r="C6069" s="11">
        <f>Daily_Data!I6069</f>
        <v>1.32</v>
      </c>
      <c r="D6069" s="12">
        <f>if(sum(Daily_Data!K6069:L6069)&gt;0,1,0)</f>
        <v>0</v>
      </c>
    </row>
    <row r="6070">
      <c r="A6070" s="10">
        <f>Daily_Data!A6070</f>
        <v>45022</v>
      </c>
      <c r="B6070" s="11">
        <f>Daily_Data!J6070</f>
        <v>18.4</v>
      </c>
      <c r="C6070" s="11">
        <f>Daily_Data!I6070</f>
        <v>1.17</v>
      </c>
      <c r="D6070" s="12">
        <f>if(sum(Daily_Data!K6070:L6070)&gt;0,1,0)</f>
        <v>0</v>
      </c>
    </row>
    <row r="6071">
      <c r="A6071" s="10">
        <f>Daily_Data!A6071</f>
        <v>45023</v>
      </c>
      <c r="B6071" s="11" t="str">
        <f>Daily_Data!J6071</f>
        <v/>
      </c>
      <c r="C6071" s="11" t="str">
        <f>Daily_Data!I6071</f>
        <v/>
      </c>
      <c r="D6071" s="12">
        <f>if(sum(Daily_Data!K6071:L6071)&gt;0,1,0)</f>
        <v>1</v>
      </c>
    </row>
    <row r="6072">
      <c r="A6072" s="10">
        <f>Daily_Data!A6072</f>
        <v>45026</v>
      </c>
      <c r="B6072" s="11">
        <f>Daily_Data!J6072</f>
        <v>18.97</v>
      </c>
      <c r="C6072" s="11" t="str">
        <f>Daily_Data!I6072</f>
        <v/>
      </c>
      <c r="D6072" s="12">
        <f>if(sum(Daily_Data!K6072:L6072)&gt;0,1,0)</f>
        <v>0</v>
      </c>
    </row>
    <row r="6073">
      <c r="A6073" s="10">
        <f>Daily_Data!A6073</f>
        <v>45027</v>
      </c>
      <c r="B6073" s="11">
        <f>Daily_Data!J6073</f>
        <v>19.1</v>
      </c>
      <c r="C6073" s="11">
        <f>Daily_Data!I6073</f>
        <v>0.96</v>
      </c>
      <c r="D6073" s="12">
        <f>if(sum(Daily_Data!K6073:L6073)&gt;0,1,0)</f>
        <v>0</v>
      </c>
    </row>
    <row r="6074">
      <c r="A6074" s="10">
        <f>Daily_Data!A6074</f>
        <v>45028</v>
      </c>
      <c r="B6074" s="11">
        <f>Daily_Data!J6074</f>
        <v>19.09</v>
      </c>
      <c r="C6074" s="11">
        <f>Daily_Data!I6074</f>
        <v>1.02</v>
      </c>
      <c r="D6074" s="12">
        <f>if(sum(Daily_Data!K6074:L6074)&gt;0,1,0)</f>
        <v>1</v>
      </c>
    </row>
    <row r="6075">
      <c r="A6075" s="10">
        <f>Daily_Data!A6075</f>
        <v>45029</v>
      </c>
      <c r="B6075" s="11">
        <f>Daily_Data!J6075</f>
        <v>17.8</v>
      </c>
      <c r="C6075" s="11">
        <f>Daily_Data!I6075</f>
        <v>1.05</v>
      </c>
      <c r="D6075" s="12">
        <f>if(sum(Daily_Data!K6075:L6075)&gt;0,1,0)</f>
        <v>0</v>
      </c>
    </row>
    <row r="6076">
      <c r="A6076" s="10">
        <f>Daily_Data!A6076</f>
        <v>45030</v>
      </c>
      <c r="B6076" s="11">
        <f>Daily_Data!J6076</f>
        <v>17.07</v>
      </c>
      <c r="C6076" s="11">
        <f>Daily_Data!I6076</f>
        <v>0.94</v>
      </c>
      <c r="D6076" s="12">
        <f>if(sum(Daily_Data!K6076:L6076)&gt;0,1,0)</f>
        <v>0</v>
      </c>
    </row>
    <row r="6077">
      <c r="A6077" s="10">
        <f>Daily_Data!A6077</f>
        <v>45033</v>
      </c>
      <c r="B6077" s="11">
        <f>Daily_Data!J6077</f>
        <v>16.95</v>
      </c>
      <c r="C6077" s="11">
        <f>Daily_Data!I6077</f>
        <v>0.91</v>
      </c>
      <c r="D6077" s="12">
        <f>if(sum(Daily_Data!K6077:L6077)&gt;0,1,0)</f>
        <v>0</v>
      </c>
    </row>
    <row r="6078">
      <c r="A6078" s="10">
        <f>Daily_Data!A6078</f>
        <v>45034</v>
      </c>
      <c r="B6078" s="11">
        <f>Daily_Data!J6078</f>
        <v>16.83</v>
      </c>
      <c r="C6078" s="11">
        <f>Daily_Data!I6078</f>
        <v>1</v>
      </c>
      <c r="D6078" s="12">
        <f>if(sum(Daily_Data!K6078:L6078)&gt;0,1,0)</f>
        <v>0</v>
      </c>
    </row>
    <row r="6079">
      <c r="A6079" s="10">
        <f>Daily_Data!A6079</f>
        <v>45035</v>
      </c>
      <c r="B6079" s="11">
        <f>Daily_Data!J6079</f>
        <v>16.46</v>
      </c>
      <c r="C6079" s="11">
        <f>Daily_Data!I6079</f>
        <v>0.97</v>
      </c>
      <c r="D6079" s="12">
        <f>if(sum(Daily_Data!K6079:L6079)&gt;0,1,0)</f>
        <v>0</v>
      </c>
    </row>
    <row r="6080">
      <c r="A6080" s="10">
        <f>Daily_Data!A6080</f>
        <v>45036</v>
      </c>
      <c r="B6080" s="11">
        <f>Daily_Data!J6080</f>
        <v>17.17</v>
      </c>
      <c r="C6080" s="11">
        <f>Daily_Data!I6080</f>
        <v>0.99</v>
      </c>
      <c r="D6080" s="12">
        <f>if(sum(Daily_Data!K6080:L6080)&gt;0,1,0)</f>
        <v>0</v>
      </c>
    </row>
    <row r="6081">
      <c r="A6081" s="10">
        <f>Daily_Data!A6081</f>
        <v>45037</v>
      </c>
      <c r="B6081" s="11">
        <f>Daily_Data!J6081</f>
        <v>16.77</v>
      </c>
      <c r="C6081" s="11">
        <f>Daily_Data!I6081</f>
        <v>0.85</v>
      </c>
      <c r="D6081" s="12">
        <f>if(sum(Daily_Data!K6081:L6081)&gt;0,1,0)</f>
        <v>0</v>
      </c>
    </row>
    <row r="6082">
      <c r="A6082" s="10">
        <f>Daily_Data!A6082</f>
        <v>45040</v>
      </c>
      <c r="B6082" s="11">
        <f>Daily_Data!J6082</f>
        <v>16.89</v>
      </c>
      <c r="C6082" s="11">
        <f>Daily_Data!I6082</f>
        <v>0.92</v>
      </c>
      <c r="D6082" s="12">
        <f>if(sum(Daily_Data!K6082:L6082)&gt;0,1,0)</f>
        <v>0</v>
      </c>
    </row>
    <row r="6083">
      <c r="A6083" s="10">
        <f>Daily_Data!A6083</f>
        <v>45041</v>
      </c>
      <c r="B6083" s="11">
        <f>Daily_Data!J6083</f>
        <v>18.76</v>
      </c>
      <c r="C6083" s="11" t="str">
        <f>Daily_Data!I6083</f>
        <v/>
      </c>
      <c r="D6083" s="12">
        <f>if(sum(Daily_Data!K6083:L6083)&gt;0,1,0)</f>
        <v>0</v>
      </c>
    </row>
    <row r="6084">
      <c r="A6084" s="10">
        <f>Daily_Data!A6084</f>
        <v>45042</v>
      </c>
      <c r="B6084" s="11">
        <f>Daily_Data!J6084</f>
        <v>18.84</v>
      </c>
      <c r="C6084" s="11">
        <f>Daily_Data!I6084</f>
        <v>1.01</v>
      </c>
      <c r="D6084" s="12">
        <f>if(sum(Daily_Data!K6084:L6084)&gt;0,1,0)</f>
        <v>0</v>
      </c>
    </row>
    <row r="6085">
      <c r="A6085" s="10">
        <f>Daily_Data!A6085</f>
        <v>45043</v>
      </c>
      <c r="B6085" s="11">
        <f>Daily_Data!J6085</f>
        <v>17.03</v>
      </c>
      <c r="C6085" s="11">
        <f>Daily_Data!I6085</f>
        <v>0.9</v>
      </c>
      <c r="D6085" s="12">
        <f>if(sum(Daily_Data!K6085:L6085)&gt;0,1,0)</f>
        <v>0</v>
      </c>
    </row>
    <row r="6086">
      <c r="A6086" s="10">
        <f>Daily_Data!A6086</f>
        <v>45044</v>
      </c>
      <c r="B6086" s="11">
        <f>Daily_Data!J6086</f>
        <v>15.78</v>
      </c>
      <c r="C6086" s="11">
        <f>Daily_Data!I6086</f>
        <v>1.01</v>
      </c>
      <c r="D6086" s="12">
        <f>if(sum(Daily_Data!K6086:L6086)&gt;0,1,0)</f>
        <v>0</v>
      </c>
    </row>
    <row r="6087">
      <c r="A6087" s="10">
        <f>Daily_Data!A6087</f>
        <v>45047</v>
      </c>
      <c r="B6087" s="11">
        <f>Daily_Data!J6087</f>
        <v>16.08</v>
      </c>
      <c r="C6087" s="11">
        <f>Daily_Data!I6087</f>
        <v>0.91</v>
      </c>
      <c r="D6087" s="12">
        <f>if(sum(Daily_Data!K6087:L6087)&gt;0,1,0)</f>
        <v>0</v>
      </c>
    </row>
    <row r="6088">
      <c r="A6088" s="10">
        <f>Daily_Data!A6088</f>
        <v>45048</v>
      </c>
      <c r="B6088" s="11">
        <f>Daily_Data!J6088</f>
        <v>17.78</v>
      </c>
      <c r="C6088" s="11">
        <f>Daily_Data!I6088</f>
        <v>1.14</v>
      </c>
      <c r="D6088" s="12">
        <f>if(sum(Daily_Data!K6088:L6088)&gt;0,1,0)</f>
        <v>0</v>
      </c>
    </row>
    <row r="6089">
      <c r="A6089" s="10">
        <f>Daily_Data!A6089</f>
        <v>45049</v>
      </c>
      <c r="B6089" s="11">
        <f>Daily_Data!J6089</f>
        <v>18.34</v>
      </c>
      <c r="C6089" s="11">
        <f>Daily_Data!I6089</f>
        <v>1.27</v>
      </c>
      <c r="D6089" s="12">
        <f>if(sum(Daily_Data!K6089:L6089)&gt;0,1,0)</f>
        <v>0</v>
      </c>
    </row>
    <row r="6090">
      <c r="A6090" s="10">
        <f>Daily_Data!A6090</f>
        <v>45050</v>
      </c>
      <c r="B6090" s="11">
        <f>Daily_Data!J6090</f>
        <v>20.09</v>
      </c>
      <c r="C6090" s="11">
        <f>Daily_Data!I6090</f>
        <v>1.31</v>
      </c>
      <c r="D6090" s="12">
        <f>if(sum(Daily_Data!K6090:L6090)&gt;0,1,0)</f>
        <v>0</v>
      </c>
    </row>
    <row r="6091">
      <c r="A6091" s="10">
        <f>Daily_Data!A6091</f>
        <v>45051</v>
      </c>
      <c r="B6091" s="11">
        <f>Daily_Data!J6091</f>
        <v>17.19</v>
      </c>
      <c r="C6091" s="11">
        <f>Daily_Data!I6091</f>
        <v>1.09</v>
      </c>
      <c r="D6091" s="12">
        <f>if(sum(Daily_Data!K6091:L6091)&gt;0,1,0)</f>
        <v>1</v>
      </c>
    </row>
    <row r="6092">
      <c r="A6092" s="10">
        <f>Daily_Data!A6092</f>
        <v>45054</v>
      </c>
      <c r="B6092" s="11">
        <f>Daily_Data!J6092</f>
        <v>16.98</v>
      </c>
      <c r="C6092" s="11">
        <f>Daily_Data!I6092</f>
        <v>1.07</v>
      </c>
      <c r="D6092" s="12">
        <f>if(sum(Daily_Data!K6092:L6092)&gt;0,1,0)</f>
        <v>0</v>
      </c>
    </row>
    <row r="6093">
      <c r="A6093" s="10">
        <f>Daily_Data!A6093</f>
        <v>45055</v>
      </c>
      <c r="B6093" s="11">
        <f>Daily_Data!J6093</f>
        <v>17.71</v>
      </c>
      <c r="C6093" s="11">
        <f>Daily_Data!I6093</f>
        <v>1.06</v>
      </c>
      <c r="D6093" s="12">
        <f>if(sum(Daily_Data!K6093:L6093)&gt;0,1,0)</f>
        <v>0</v>
      </c>
    </row>
    <row r="6094">
      <c r="A6094" s="10">
        <f>Daily_Data!A6094</f>
        <v>45056</v>
      </c>
      <c r="B6094" s="11">
        <f>Daily_Data!J6094</f>
        <v>16.94</v>
      </c>
      <c r="C6094" s="11">
        <f>Daily_Data!I6094</f>
        <v>1.14</v>
      </c>
      <c r="D6094" s="12">
        <f>if(sum(Daily_Data!K6094:L6094)&gt;0,1,0)</f>
        <v>1</v>
      </c>
    </row>
    <row r="6095">
      <c r="A6095" s="10">
        <f>Daily_Data!A6095</f>
        <v>45057</v>
      </c>
      <c r="B6095" s="11">
        <f>Daily_Data!J6095</f>
        <v>16.93</v>
      </c>
      <c r="C6095" s="11">
        <f>Daily_Data!I6095</f>
        <v>1.15</v>
      </c>
      <c r="D6095" s="12">
        <f>if(sum(Daily_Data!K6095:L6095)&gt;0,1,0)</f>
        <v>0</v>
      </c>
    </row>
    <row r="6096">
      <c r="A6096" s="10">
        <f>Daily_Data!A6096</f>
        <v>45058</v>
      </c>
      <c r="B6096" s="11">
        <f>Daily_Data!J6096</f>
        <v>17.03</v>
      </c>
      <c r="C6096" s="11">
        <f>Daily_Data!I6096</f>
        <v>0.92</v>
      </c>
      <c r="D6096" s="12">
        <f>if(sum(Daily_Data!K6096:L6096)&gt;0,1,0)</f>
        <v>0</v>
      </c>
    </row>
    <row r="6097">
      <c r="A6097" s="10">
        <f>Daily_Data!A6097</f>
        <v>45061</v>
      </c>
      <c r="B6097" s="11">
        <f>Daily_Data!J6097</f>
        <v>17.12</v>
      </c>
      <c r="C6097" s="11">
        <f>Daily_Data!I6097</f>
        <v>0.95</v>
      </c>
      <c r="D6097" s="12">
        <f>if(sum(Daily_Data!K6097:L6097)&gt;0,1,0)</f>
        <v>0</v>
      </c>
    </row>
    <row r="6098">
      <c r="A6098" s="10">
        <f>Daily_Data!A6098</f>
        <v>45062</v>
      </c>
      <c r="B6098" s="11">
        <f>Daily_Data!J6098</f>
        <v>17.99</v>
      </c>
      <c r="C6098" s="11">
        <f>Daily_Data!I6098</f>
        <v>0.98</v>
      </c>
      <c r="D6098" s="12">
        <f>if(sum(Daily_Data!K6098:L6098)&gt;0,1,0)</f>
        <v>0</v>
      </c>
    </row>
    <row r="6099">
      <c r="A6099" s="10">
        <f>Daily_Data!A6099</f>
        <v>45063</v>
      </c>
      <c r="B6099" s="11">
        <f>Daily_Data!J6099</f>
        <v>16.87</v>
      </c>
      <c r="C6099" s="11">
        <f>Daily_Data!I6099</f>
        <v>1</v>
      </c>
      <c r="D6099" s="12">
        <f>if(sum(Daily_Data!K6099:L6099)&gt;0,1,0)</f>
        <v>0</v>
      </c>
    </row>
    <row r="6100">
      <c r="A6100" s="10">
        <f>Daily_Data!A6100</f>
        <v>45064</v>
      </c>
      <c r="B6100" s="11">
        <f>Daily_Data!J6100</f>
        <v>16.05</v>
      </c>
      <c r="C6100" s="11">
        <f>Daily_Data!I6100</f>
        <v>1.05</v>
      </c>
      <c r="D6100" s="12">
        <f>if(sum(Daily_Data!K6100:L6100)&gt;0,1,0)</f>
        <v>0</v>
      </c>
    </row>
    <row r="6101">
      <c r="A6101" s="10">
        <f>Daily_Data!A6101</f>
        <v>45065</v>
      </c>
      <c r="B6101" s="11">
        <f>Daily_Data!J6101</f>
        <v>16.81</v>
      </c>
      <c r="C6101" s="11">
        <f>Daily_Data!I6101</f>
        <v>1.21</v>
      </c>
      <c r="D6101" s="12">
        <f>if(sum(Daily_Data!K6101:L6101)&gt;0,1,0)</f>
        <v>0</v>
      </c>
    </row>
    <row r="6102">
      <c r="A6102" s="10">
        <f>Daily_Data!A6102</f>
        <v>45068</v>
      </c>
      <c r="B6102" s="11">
        <f>Daily_Data!J6102</f>
        <v>17.21</v>
      </c>
      <c r="C6102" s="11">
        <f>Daily_Data!I6102</f>
        <v>1.14</v>
      </c>
      <c r="D6102" s="12">
        <f>if(sum(Daily_Data!K6102:L6102)&gt;0,1,0)</f>
        <v>0</v>
      </c>
    </row>
    <row r="6103">
      <c r="A6103" s="10">
        <f>Daily_Data!A6103</f>
        <v>45069</v>
      </c>
      <c r="B6103" s="11">
        <f>Daily_Data!J6103</f>
        <v>18.53</v>
      </c>
      <c r="C6103" s="11">
        <f>Daily_Data!I6103</f>
        <v>1.29</v>
      </c>
      <c r="D6103" s="12">
        <f>if(sum(Daily_Data!K6103:L6103)&gt;0,1,0)</f>
        <v>0</v>
      </c>
    </row>
    <row r="6104">
      <c r="A6104" s="10">
        <f>Daily_Data!A6104</f>
        <v>45070</v>
      </c>
      <c r="B6104" s="11">
        <f>Daily_Data!J6104</f>
        <v>20.03</v>
      </c>
      <c r="C6104" s="11">
        <f>Daily_Data!I6104</f>
        <v>0.9</v>
      </c>
      <c r="D6104" s="12">
        <f>if(sum(Daily_Data!K6104:L6104)&gt;0,1,0)</f>
        <v>0</v>
      </c>
    </row>
    <row r="6105">
      <c r="A6105" s="10">
        <f>Daily_Data!A6105</f>
        <v>45071</v>
      </c>
      <c r="B6105" s="11">
        <f>Daily_Data!J6105</f>
        <v>19.14</v>
      </c>
      <c r="C6105" s="11">
        <f>Daily_Data!I6105</f>
        <v>0.74</v>
      </c>
      <c r="D6105" s="12">
        <f>if(sum(Daily_Data!K6105:L6105)&gt;0,1,0)</f>
        <v>0</v>
      </c>
    </row>
    <row r="6106">
      <c r="A6106" s="10">
        <f>Daily_Data!A6106</f>
        <v>45072</v>
      </c>
      <c r="B6106" s="11">
        <f>Daily_Data!J6106</f>
        <v>17.95</v>
      </c>
      <c r="C6106" s="11">
        <f>Daily_Data!I6106</f>
        <v>0.72</v>
      </c>
      <c r="D6106" s="12">
        <f>if(sum(Daily_Data!K6106:L6106)&gt;0,1,0)</f>
        <v>0</v>
      </c>
    </row>
    <row r="6107">
      <c r="A6107" s="10">
        <f>Daily_Data!A6107</f>
        <v>45075</v>
      </c>
      <c r="B6107" s="11">
        <f>Daily_Data!J6107</f>
        <v>17.46</v>
      </c>
      <c r="C6107" s="11" t="str">
        <f>Daily_Data!I6107</f>
        <v/>
      </c>
      <c r="D6107" s="12">
        <f>if(sum(Daily_Data!K6107:L6107)&gt;0,1,0)</f>
        <v>0</v>
      </c>
    </row>
    <row r="6108">
      <c r="A6108" s="10">
        <f>Daily_Data!A6108</f>
        <v>45076</v>
      </c>
      <c r="B6108" s="11">
        <f>Daily_Data!J6108</f>
        <v>17.46</v>
      </c>
      <c r="C6108" s="11">
        <f>Daily_Data!I6108</f>
        <v>0.74</v>
      </c>
      <c r="D6108" s="12">
        <f>if(sum(Daily_Data!K6108:L6108)&gt;0,1,0)</f>
        <v>0</v>
      </c>
    </row>
    <row r="6109">
      <c r="A6109" s="10">
        <f>Daily_Data!A6109</f>
        <v>45077</v>
      </c>
      <c r="B6109" s="11">
        <f>Daily_Data!J6109</f>
        <v>17.94</v>
      </c>
      <c r="C6109" s="11">
        <f>Daily_Data!I6109</f>
        <v>0.79</v>
      </c>
      <c r="D6109" s="12">
        <f>if(sum(Daily_Data!K6109:L6109)&gt;0,1,0)</f>
        <v>0</v>
      </c>
    </row>
    <row r="6110">
      <c r="A6110" s="10">
        <f>Daily_Data!A6110</f>
        <v>45078</v>
      </c>
      <c r="B6110" s="11">
        <f>Daily_Data!J6110</f>
        <v>15.65</v>
      </c>
      <c r="C6110" s="11">
        <f>Daily_Data!I6110</f>
        <v>0.87</v>
      </c>
      <c r="D6110" s="12">
        <f>if(sum(Daily_Data!K6110:L6110)&gt;0,1,0)</f>
        <v>0</v>
      </c>
    </row>
    <row r="6111">
      <c r="A6111" s="10">
        <f>Daily_Data!A6111</f>
        <v>45079</v>
      </c>
      <c r="B6111" s="11">
        <f>Daily_Data!J6111</f>
        <v>14.6</v>
      </c>
      <c r="C6111" s="11">
        <f>Daily_Data!I6111</f>
        <v>0.71</v>
      </c>
      <c r="D6111" s="12">
        <f>if(sum(Daily_Data!K6111:L6111)&gt;0,1,0)</f>
        <v>1</v>
      </c>
    </row>
    <row r="6112">
      <c r="A6112" s="10">
        <f>Daily_Data!A6112</f>
        <v>45082</v>
      </c>
      <c r="B6112" s="11">
        <f>Daily_Data!J6112</f>
        <v>14.73</v>
      </c>
      <c r="C6112" s="11" t="str">
        <f>Daily_Data!I6112</f>
        <v/>
      </c>
      <c r="D6112" s="12">
        <f>if(sum(Daily_Data!K6112:L6112)&gt;0,1,0)</f>
        <v>0</v>
      </c>
    </row>
    <row r="6113">
      <c r="A6113" s="10">
        <f>Daily_Data!A6113</f>
        <v>45083</v>
      </c>
      <c r="B6113" s="11">
        <f>Daily_Data!J6113</f>
        <v>13.96</v>
      </c>
      <c r="C6113" s="11">
        <f>Daily_Data!I6113</f>
        <v>0.74</v>
      </c>
      <c r="D6113" s="12">
        <f>if(sum(Daily_Data!K6113:L6113)&gt;0,1,0)</f>
        <v>0</v>
      </c>
    </row>
    <row r="6114">
      <c r="A6114" s="10">
        <f>Daily_Data!A6114</f>
        <v>45084</v>
      </c>
      <c r="B6114" s="11">
        <f>Daily_Data!J6114</f>
        <v>13.94</v>
      </c>
      <c r="C6114" s="11">
        <f>Daily_Data!I6114</f>
        <v>0.73</v>
      </c>
      <c r="D6114" s="12">
        <f>if(sum(Daily_Data!K6114:L6114)&gt;0,1,0)</f>
        <v>0</v>
      </c>
    </row>
    <row r="6115">
      <c r="A6115" s="10">
        <f>Daily_Data!A6115</f>
        <v>45085</v>
      </c>
      <c r="B6115" s="11">
        <f>Daily_Data!J6115</f>
        <v>13.65</v>
      </c>
      <c r="C6115" s="11">
        <f>Daily_Data!I6115</f>
        <v>0.88</v>
      </c>
      <c r="D6115" s="12">
        <f>if(sum(Daily_Data!K6115:L6115)&gt;0,1,0)</f>
        <v>0</v>
      </c>
    </row>
    <row r="6116">
      <c r="A6116" s="10">
        <f>Daily_Data!A6116</f>
        <v>45086</v>
      </c>
      <c r="B6116" s="11">
        <f>Daily_Data!J6116</f>
        <v>13.83</v>
      </c>
      <c r="C6116" s="11">
        <f>Daily_Data!I6116</f>
        <v>0.76</v>
      </c>
      <c r="D6116" s="12">
        <f>if(sum(Daily_Data!K6116:L6116)&gt;0,1,0)</f>
        <v>0</v>
      </c>
    </row>
    <row r="6117">
      <c r="A6117" s="10">
        <f>Daily_Data!A6117</f>
        <v>45089</v>
      </c>
      <c r="B6117" s="11">
        <f>Daily_Data!J6117</f>
        <v>15.01</v>
      </c>
      <c r="C6117" s="11">
        <f>Daily_Data!I6117</f>
        <v>0.82</v>
      </c>
      <c r="D6117" s="12">
        <f>if(sum(Daily_Data!K6117:L6117)&gt;0,1,0)</f>
        <v>0</v>
      </c>
    </row>
    <row r="6118">
      <c r="A6118" s="10">
        <f>Daily_Data!A6118</f>
        <v>45090</v>
      </c>
      <c r="B6118" s="11">
        <f>Daily_Data!J6118</f>
        <v>14.61</v>
      </c>
      <c r="C6118" s="11">
        <f>Daily_Data!I6118</f>
        <v>0.69</v>
      </c>
      <c r="D6118" s="12">
        <f>if(sum(Daily_Data!K6118:L6118)&gt;0,1,0)</f>
        <v>1</v>
      </c>
    </row>
    <row r="6119">
      <c r="A6119" s="10">
        <f>Daily_Data!A6119</f>
        <v>45091</v>
      </c>
      <c r="B6119" s="11">
        <f>Daily_Data!J6119</f>
        <v>13.88</v>
      </c>
      <c r="C6119" s="11">
        <f>Daily_Data!I6119</f>
        <v>0.66</v>
      </c>
      <c r="D6119" s="12">
        <f>if(sum(Daily_Data!K6119:L6119)&gt;0,1,0)</f>
        <v>0</v>
      </c>
    </row>
    <row r="6120">
      <c r="A6120" s="10">
        <f>Daily_Data!A6120</f>
        <v>45092</v>
      </c>
      <c r="B6120" s="11">
        <f>Daily_Data!J6120</f>
        <v>14.5</v>
      </c>
      <c r="C6120" s="11">
        <f>Daily_Data!I6120</f>
        <v>0.77</v>
      </c>
      <c r="D6120" s="12">
        <f>if(sum(Daily_Data!K6120:L6120)&gt;0,1,0)</f>
        <v>0</v>
      </c>
    </row>
    <row r="6121">
      <c r="A6121" s="10">
        <f>Daily_Data!A6121</f>
        <v>45093</v>
      </c>
      <c r="B6121" s="11">
        <f>Daily_Data!J6121</f>
        <v>13.54</v>
      </c>
      <c r="C6121" s="11">
        <f>Daily_Data!I6121</f>
        <v>0.65</v>
      </c>
      <c r="D6121" s="12">
        <f>if(sum(Daily_Data!K6121:L6121)&gt;0,1,0)</f>
        <v>0</v>
      </c>
    </row>
    <row r="6122">
      <c r="A6122" s="10">
        <f>Daily_Data!A6122</f>
        <v>45096</v>
      </c>
      <c r="B6122" s="11">
        <f>Daily_Data!J6122</f>
        <v>14.19</v>
      </c>
      <c r="C6122" s="11" t="str">
        <f>Daily_Data!I6122</f>
        <v/>
      </c>
      <c r="D6122" s="12">
        <f>if(sum(Daily_Data!K6122:L6122)&gt;0,1,0)</f>
        <v>0</v>
      </c>
    </row>
    <row r="6123">
      <c r="A6123" s="10">
        <f>Daily_Data!A6123</f>
        <v>45097</v>
      </c>
      <c r="B6123" s="11">
        <f>Daily_Data!J6123</f>
        <v>13.88</v>
      </c>
      <c r="C6123" s="11">
        <f>Daily_Data!I6123</f>
        <v>0.68</v>
      </c>
      <c r="D6123" s="12">
        <f>if(sum(Daily_Data!K6123:L6123)&gt;0,1,0)</f>
        <v>0</v>
      </c>
    </row>
    <row r="6124">
      <c r="A6124" s="10">
        <f>Daily_Data!A6124</f>
        <v>45098</v>
      </c>
      <c r="B6124" s="11">
        <f>Daily_Data!J6124</f>
        <v>13.2</v>
      </c>
      <c r="C6124" s="11">
        <f>Daily_Data!I6124</f>
        <v>0.71</v>
      </c>
      <c r="D6124" s="12">
        <f>if(sum(Daily_Data!K6124:L6124)&gt;0,1,0)</f>
        <v>0</v>
      </c>
    </row>
    <row r="6125">
      <c r="A6125" s="10">
        <f>Daily_Data!A6125</f>
        <v>45099</v>
      </c>
      <c r="B6125" s="11">
        <f>Daily_Data!J6125</f>
        <v>12.91</v>
      </c>
      <c r="C6125" s="11">
        <f>Daily_Data!I6125</f>
        <v>0.65</v>
      </c>
      <c r="D6125" s="12">
        <f>if(sum(Daily_Data!K6125:L6125)&gt;0,1,0)</f>
        <v>0</v>
      </c>
    </row>
    <row r="6126">
      <c r="A6126" s="10">
        <f>Daily_Data!A6126</f>
        <v>45100</v>
      </c>
      <c r="B6126" s="11">
        <f>Daily_Data!J6126</f>
        <v>13.44</v>
      </c>
      <c r="C6126" s="11">
        <f>Daily_Data!I6126</f>
        <v>0.76</v>
      </c>
      <c r="D6126" s="12">
        <f>if(sum(Daily_Data!K6126:L6126)&gt;0,1,0)</f>
        <v>0</v>
      </c>
    </row>
    <row r="6127">
      <c r="A6127" s="10">
        <f>Daily_Data!A6127</f>
        <v>45103</v>
      </c>
      <c r="B6127" s="11">
        <f>Daily_Data!J6127</f>
        <v>14.25</v>
      </c>
      <c r="C6127" s="11">
        <f>Daily_Data!I6127</f>
        <v>0.76</v>
      </c>
      <c r="D6127" s="12">
        <f>if(sum(Daily_Data!K6127:L6127)&gt;0,1,0)</f>
        <v>0</v>
      </c>
    </row>
    <row r="6128">
      <c r="A6128" s="10">
        <f>Daily_Data!A6128</f>
        <v>45104</v>
      </c>
      <c r="B6128" s="11">
        <f>Daily_Data!J6128</f>
        <v>13.74</v>
      </c>
      <c r="C6128" s="11">
        <f>Daily_Data!I6128</f>
        <v>0.66</v>
      </c>
      <c r="D6128" s="12">
        <f>if(sum(Daily_Data!K6128:L6128)&gt;0,1,0)</f>
        <v>0</v>
      </c>
    </row>
    <row r="6129">
      <c r="A6129" s="10">
        <f>Daily_Data!A6129</f>
        <v>45105</v>
      </c>
      <c r="B6129" s="11">
        <f>Daily_Data!J6129</f>
        <v>13.43</v>
      </c>
      <c r="C6129" s="11">
        <f>Daily_Data!I6129</f>
        <v>0.65</v>
      </c>
      <c r="D6129" s="12">
        <f>if(sum(Daily_Data!K6129:L6129)&gt;0,1,0)</f>
        <v>0</v>
      </c>
    </row>
    <row r="6130">
      <c r="A6130" s="10">
        <f>Daily_Data!A6130</f>
        <v>45106</v>
      </c>
      <c r="B6130" s="11">
        <f>Daily_Data!J6130</f>
        <v>13.54</v>
      </c>
      <c r="C6130" s="11">
        <f>Daily_Data!I6130</f>
        <v>0.52</v>
      </c>
      <c r="D6130" s="12">
        <f>if(sum(Daily_Data!K6130:L6130)&gt;0,1,0)</f>
        <v>0</v>
      </c>
    </row>
    <row r="6131">
      <c r="A6131" s="10">
        <f>Daily_Data!A6131</f>
        <v>45107</v>
      </c>
      <c r="B6131" s="11">
        <f>Daily_Data!J6131</f>
        <v>13.59</v>
      </c>
      <c r="C6131" s="11">
        <f>Daily_Data!I6131</f>
        <v>0.6</v>
      </c>
      <c r="D6131" s="12">
        <f>if(sum(Daily_Data!K6131:L6131)&gt;0,1,0)</f>
        <v>0</v>
      </c>
    </row>
    <row r="6132">
      <c r="A6132" s="10">
        <f>Daily_Data!A6132</f>
        <v>45110</v>
      </c>
      <c r="B6132" s="11">
        <f>Daily_Data!J6132</f>
        <v>13.57</v>
      </c>
      <c r="C6132" s="11">
        <f>Daily_Data!I6132</f>
        <v>0.52</v>
      </c>
      <c r="D6132" s="12">
        <f>if(sum(Daily_Data!K6132:L6132)&gt;0,1,0)</f>
        <v>0</v>
      </c>
    </row>
    <row r="6133">
      <c r="A6133" s="10">
        <f>Daily_Data!A6133</f>
        <v>45111</v>
      </c>
      <c r="B6133" s="11">
        <f>Daily_Data!J6133</f>
        <v>13.7</v>
      </c>
      <c r="C6133" s="11" t="str">
        <f>Daily_Data!I6133</f>
        <v/>
      </c>
      <c r="D6133" s="12">
        <f>if(sum(Daily_Data!K6133:L6133)&gt;0,1,0)</f>
        <v>0</v>
      </c>
    </row>
    <row r="6134">
      <c r="A6134" s="10">
        <f>Daily_Data!A6134</f>
        <v>45112</v>
      </c>
      <c r="B6134" s="11">
        <f>Daily_Data!J6134</f>
        <v>14.18</v>
      </c>
      <c r="C6134" s="11">
        <f>Daily_Data!I6134</f>
        <v>0.58</v>
      </c>
      <c r="D6134" s="12">
        <f>if(sum(Daily_Data!K6134:L6134)&gt;0,1,0)</f>
        <v>0</v>
      </c>
    </row>
    <row r="6135">
      <c r="A6135" s="10">
        <f>Daily_Data!A6135</f>
        <v>45113</v>
      </c>
      <c r="B6135" s="11">
        <f>Daily_Data!J6135</f>
        <v>15.44</v>
      </c>
      <c r="C6135" s="11">
        <f>Daily_Data!I6135</f>
        <v>0.6</v>
      </c>
      <c r="D6135" s="12">
        <f>if(sum(Daily_Data!K6135:L6135)&gt;0,1,0)</f>
        <v>0</v>
      </c>
    </row>
    <row r="6136">
      <c r="A6136" s="10">
        <f>Daily_Data!A6136</f>
        <v>45114</v>
      </c>
      <c r="B6136" s="11">
        <f>Daily_Data!J6136</f>
        <v>14.83</v>
      </c>
      <c r="C6136" s="11">
        <f>Daily_Data!I6136</f>
        <v>0.8</v>
      </c>
      <c r="D6136" s="12">
        <f>if(sum(Daily_Data!K6136:L6136)&gt;0,1,0)</f>
        <v>1</v>
      </c>
    </row>
    <row r="6137">
      <c r="A6137" s="10">
        <f>Daily_Data!A6137</f>
        <v>45117</v>
      </c>
      <c r="B6137" s="11">
        <f>Daily_Data!J6137</f>
        <v>15.07</v>
      </c>
      <c r="C6137" s="11">
        <f>Daily_Data!I6137</f>
        <v>0.87</v>
      </c>
      <c r="D6137" s="12">
        <f>if(sum(Daily_Data!K6137:L6137)&gt;0,1,0)</f>
        <v>0</v>
      </c>
    </row>
    <row r="6138">
      <c r="A6138" s="10">
        <f>Daily_Data!A6138</f>
        <v>45118</v>
      </c>
      <c r="B6138" s="11">
        <f>Daily_Data!J6138</f>
        <v>14.84</v>
      </c>
      <c r="C6138" s="11">
        <f>Daily_Data!I6138</f>
        <v>0.73</v>
      </c>
      <c r="D6138" s="12">
        <f>if(sum(Daily_Data!K6138:L6138)&gt;0,1,0)</f>
        <v>0</v>
      </c>
    </row>
    <row r="6139">
      <c r="A6139" s="10">
        <f>Daily_Data!A6139</f>
        <v>45119</v>
      </c>
      <c r="B6139" s="11">
        <f>Daily_Data!J6139</f>
        <v>13.54</v>
      </c>
      <c r="C6139" s="11">
        <f>Daily_Data!I6139</f>
        <v>0.78</v>
      </c>
      <c r="D6139" s="12">
        <f>if(sum(Daily_Data!K6139:L6139)&gt;0,1,0)</f>
        <v>1</v>
      </c>
    </row>
    <row r="6140">
      <c r="A6140" s="10">
        <f>Daily_Data!A6140</f>
        <v>45120</v>
      </c>
      <c r="B6140" s="11">
        <f>Daily_Data!J6140</f>
        <v>13.61</v>
      </c>
      <c r="C6140" s="11">
        <f>Daily_Data!I6140</f>
        <v>0.84</v>
      </c>
      <c r="D6140" s="12">
        <f>if(sum(Daily_Data!K6140:L6140)&gt;0,1,0)</f>
        <v>0</v>
      </c>
    </row>
    <row r="6141">
      <c r="A6141" s="10">
        <f>Daily_Data!A6141</f>
        <v>45121</v>
      </c>
      <c r="B6141" s="11">
        <f>Daily_Data!J6141</f>
        <v>13.34</v>
      </c>
      <c r="C6141" s="11" t="str">
        <f>Daily_Data!I6141</f>
        <v/>
      </c>
      <c r="D6141" s="12">
        <f>if(sum(Daily_Data!K6141:L6141)&gt;0,1,0)</f>
        <v>0</v>
      </c>
    </row>
    <row r="6142">
      <c r="A6142" s="10">
        <f>Daily_Data!A6142</f>
        <v>45124</v>
      </c>
      <c r="B6142" s="11">
        <f>Daily_Data!J6142</f>
        <v>13.48</v>
      </c>
      <c r="C6142" s="11">
        <f>Daily_Data!I6142</f>
        <v>0.64</v>
      </c>
      <c r="D6142" s="12">
        <f>if(sum(Daily_Data!K6142:L6142)&gt;0,1,0)</f>
        <v>0</v>
      </c>
    </row>
    <row r="6143">
      <c r="A6143" s="10">
        <f>Daily_Data!A6143</f>
        <v>45125</v>
      </c>
      <c r="B6143" s="11">
        <f>Daily_Data!J6143</f>
        <v>13.3</v>
      </c>
      <c r="C6143" s="11">
        <f>Daily_Data!I6143</f>
        <v>0.63</v>
      </c>
      <c r="D6143" s="12">
        <f>if(sum(Daily_Data!K6143:L6143)&gt;0,1,0)</f>
        <v>0</v>
      </c>
    </row>
    <row r="6144">
      <c r="A6144" s="10">
        <f>Daily_Data!A6144</f>
        <v>45126</v>
      </c>
      <c r="B6144" s="11">
        <f>Daily_Data!J6144</f>
        <v>13.76</v>
      </c>
      <c r="C6144" s="11">
        <f>Daily_Data!I6144</f>
        <v>0.69</v>
      </c>
      <c r="D6144" s="12">
        <f>if(sum(Daily_Data!K6144:L6144)&gt;0,1,0)</f>
        <v>0</v>
      </c>
    </row>
    <row r="6145">
      <c r="A6145" s="10">
        <f>Daily_Data!A6145</f>
        <v>45127</v>
      </c>
      <c r="B6145" s="11">
        <f>Daily_Data!J6145</f>
        <v>13.99</v>
      </c>
      <c r="C6145" s="11">
        <f>Daily_Data!I6145</f>
        <v>0.7</v>
      </c>
      <c r="D6145" s="12">
        <f>if(sum(Daily_Data!K6145:L6145)&gt;0,1,0)</f>
        <v>0</v>
      </c>
    </row>
    <row r="6146">
      <c r="A6146" s="10">
        <f>Daily_Data!A6146</f>
        <v>45128</v>
      </c>
      <c r="B6146" s="11">
        <f>Daily_Data!J6146</f>
        <v>13.6</v>
      </c>
      <c r="C6146" s="11">
        <f>Daily_Data!I6146</f>
        <v>0.71</v>
      </c>
      <c r="D6146" s="12">
        <f>if(sum(Daily_Data!K6146:L6146)&gt;0,1,0)</f>
        <v>0</v>
      </c>
    </row>
    <row r="6147">
      <c r="A6147" s="10">
        <f>Daily_Data!A6147</f>
        <v>45131</v>
      </c>
      <c r="B6147" s="11">
        <f>Daily_Data!J6147</f>
        <v>13.91</v>
      </c>
      <c r="C6147" s="11">
        <f>Daily_Data!I6147</f>
        <v>0.67</v>
      </c>
      <c r="D6147" s="12">
        <f>if(sum(Daily_Data!K6147:L6147)&gt;0,1,0)</f>
        <v>0</v>
      </c>
    </row>
    <row r="6148">
      <c r="A6148" s="10">
        <f>Daily_Data!A6148</f>
        <v>45132</v>
      </c>
      <c r="B6148" s="11">
        <f>Daily_Data!J6148</f>
        <v>13.86</v>
      </c>
      <c r="C6148" s="11">
        <f>Daily_Data!I6148</f>
        <v>0.62</v>
      </c>
      <c r="D6148" s="12">
        <f>if(sum(Daily_Data!K6148:L6148)&gt;0,1,0)</f>
        <v>0</v>
      </c>
    </row>
    <row r="6149">
      <c r="A6149" s="10">
        <f>Daily_Data!A6149</f>
        <v>45133</v>
      </c>
      <c r="B6149" s="11">
        <f>Daily_Data!J6149</f>
        <v>13.19</v>
      </c>
      <c r="C6149" s="11">
        <f>Daily_Data!I6149</f>
        <v>0.64</v>
      </c>
      <c r="D6149" s="12">
        <f>if(sum(Daily_Data!K6149:L6149)&gt;0,1,0)</f>
        <v>0</v>
      </c>
    </row>
    <row r="6150">
      <c r="A6150" s="10">
        <f>Daily_Data!A6150</f>
        <v>45134</v>
      </c>
      <c r="B6150" s="11">
        <f>Daily_Data!J6150</f>
        <v>14.41</v>
      </c>
      <c r="C6150" s="11">
        <f>Daily_Data!I6150</f>
        <v>0.52</v>
      </c>
      <c r="D6150" s="12">
        <f>if(sum(Daily_Data!K6150:L6150)&gt;0,1,0)</f>
        <v>0</v>
      </c>
    </row>
    <row r="6151">
      <c r="A6151" s="10">
        <f>Daily_Data!A6151</f>
        <v>45135</v>
      </c>
      <c r="B6151" s="11">
        <f>Daily_Data!J6151</f>
        <v>13.33</v>
      </c>
      <c r="C6151" s="11">
        <f>Daily_Data!I6151</f>
        <v>0.63</v>
      </c>
      <c r="D6151" s="12">
        <f>if(sum(Daily_Data!K6151:L6151)&gt;0,1,0)</f>
        <v>0</v>
      </c>
    </row>
    <row r="6152">
      <c r="A6152" s="10">
        <f>Daily_Data!A6152</f>
        <v>45138</v>
      </c>
      <c r="B6152" s="11">
        <f>Daily_Data!J6152</f>
        <v>13.63</v>
      </c>
      <c r="C6152" s="11">
        <f>Daily_Data!I6152</f>
        <v>0.59</v>
      </c>
      <c r="D6152" s="12">
        <f>if(sum(Daily_Data!K6152:L6152)&gt;0,1,0)</f>
        <v>0</v>
      </c>
    </row>
    <row r="6153">
      <c r="A6153" s="10">
        <f>Daily_Data!A6153</f>
        <v>45139</v>
      </c>
      <c r="B6153" s="11">
        <f>Daily_Data!J6153</f>
        <v>13.93</v>
      </c>
      <c r="C6153" s="11">
        <f>Daily_Data!I6153</f>
        <v>0.58</v>
      </c>
      <c r="D6153" s="12">
        <f>if(sum(Daily_Data!K6153:L6153)&gt;0,1,0)</f>
        <v>0</v>
      </c>
    </row>
    <row r="6154">
      <c r="A6154" s="10">
        <f>Daily_Data!A6154</f>
        <v>45140</v>
      </c>
      <c r="B6154" s="11">
        <f>Daily_Data!J6154</f>
        <v>16.09</v>
      </c>
      <c r="C6154" s="11">
        <f>Daily_Data!I6154</f>
        <v>0.59</v>
      </c>
      <c r="D6154" s="12">
        <f>if(sum(Daily_Data!K6154:L6154)&gt;0,1,0)</f>
        <v>0</v>
      </c>
    </row>
    <row r="6155">
      <c r="A6155" s="10">
        <f>Daily_Data!A6155</f>
        <v>45141</v>
      </c>
      <c r="B6155" s="11">
        <f>Daily_Data!J6155</f>
        <v>15.92</v>
      </c>
      <c r="C6155" s="11">
        <f>Daily_Data!I6155</f>
        <v>0.56</v>
      </c>
      <c r="D6155" s="12">
        <f>if(sum(Daily_Data!K6155:L6155)&gt;0,1,0)</f>
        <v>0</v>
      </c>
    </row>
    <row r="6156">
      <c r="A6156" s="10">
        <f>Daily_Data!A6156</f>
        <v>45142</v>
      </c>
      <c r="B6156" s="11">
        <f>Daily_Data!J6156</f>
        <v>17.1</v>
      </c>
      <c r="C6156" s="11">
        <f>Daily_Data!I6156</f>
        <v>0.73</v>
      </c>
      <c r="D6156" s="12">
        <f>if(sum(Daily_Data!K6156:L6156)&gt;0,1,0)</f>
        <v>1</v>
      </c>
    </row>
    <row r="6157">
      <c r="A6157" s="10">
        <f>Daily_Data!A6157</f>
        <v>45145</v>
      </c>
      <c r="B6157" s="11">
        <f>Daily_Data!J6157</f>
        <v>15.77</v>
      </c>
      <c r="C6157" s="11">
        <f>Daily_Data!I6157</f>
        <v>0.71</v>
      </c>
      <c r="D6157" s="12">
        <f>if(sum(Daily_Data!K6157:L6157)&gt;0,1,0)</f>
        <v>0</v>
      </c>
    </row>
    <row r="6158">
      <c r="A6158" s="10">
        <f>Daily_Data!A6158</f>
        <v>45146</v>
      </c>
      <c r="B6158" s="11">
        <f>Daily_Data!J6158</f>
        <v>15.99</v>
      </c>
      <c r="C6158" s="11">
        <f>Daily_Data!I6158</f>
        <v>0.75</v>
      </c>
      <c r="D6158" s="12">
        <f>if(sum(Daily_Data!K6158:L6158)&gt;0,1,0)</f>
        <v>0</v>
      </c>
    </row>
    <row r="6159">
      <c r="A6159" s="10">
        <f>Daily_Data!A6159</f>
        <v>45147</v>
      </c>
      <c r="B6159" s="11">
        <f>Daily_Data!J6159</f>
        <v>15.96</v>
      </c>
      <c r="C6159" s="11">
        <f>Daily_Data!I6159</f>
        <v>0.69</v>
      </c>
      <c r="D6159" s="12">
        <f>if(sum(Daily_Data!K6159:L6159)&gt;0,1,0)</f>
        <v>0</v>
      </c>
    </row>
    <row r="6160">
      <c r="A6160" s="10">
        <f>Daily_Data!A6160</f>
        <v>45148</v>
      </c>
      <c r="B6160" s="11">
        <f>Daily_Data!J6160</f>
        <v>15.85</v>
      </c>
      <c r="C6160" s="11">
        <f>Daily_Data!I6160</f>
        <v>0.68</v>
      </c>
      <c r="D6160" s="12">
        <f>if(sum(Daily_Data!K6160:L6160)&gt;0,1,0)</f>
        <v>1</v>
      </c>
    </row>
    <row r="6161">
      <c r="A6161" s="10">
        <f>Daily_Data!A6161</f>
        <v>45149</v>
      </c>
      <c r="B6161" s="11">
        <f>Daily_Data!J6161</f>
        <v>14.84</v>
      </c>
      <c r="C6161" s="11">
        <f>Daily_Data!I6161</f>
        <v>0.6</v>
      </c>
      <c r="D6161" s="12">
        <f>if(sum(Daily_Data!K6161:L6161)&gt;0,1,0)</f>
        <v>0</v>
      </c>
    </row>
    <row r="6162">
      <c r="A6162" s="10">
        <f>Daily_Data!A6162</f>
        <v>45152</v>
      </c>
      <c r="B6162" s="11">
        <f>Daily_Data!J6162</f>
        <v>14.82</v>
      </c>
      <c r="C6162" s="11">
        <f>Daily_Data!I6162</f>
        <v>0.56</v>
      </c>
      <c r="D6162" s="12">
        <f>if(sum(Daily_Data!K6162:L6162)&gt;0,1,0)</f>
        <v>0</v>
      </c>
    </row>
    <row r="6163">
      <c r="A6163" s="10">
        <f>Daily_Data!A6163</f>
        <v>45153</v>
      </c>
      <c r="B6163" s="11">
        <f>Daily_Data!J6163</f>
        <v>16.46</v>
      </c>
      <c r="C6163" s="11">
        <f>Daily_Data!I6163</f>
        <v>0.6</v>
      </c>
      <c r="D6163" s="12">
        <f>if(sum(Daily_Data!K6163:L6163)&gt;0,1,0)</f>
        <v>0</v>
      </c>
    </row>
    <row r="6164">
      <c r="A6164" s="10">
        <f>Daily_Data!A6164</f>
        <v>45154</v>
      </c>
      <c r="B6164" s="11">
        <f>Daily_Data!J6164</f>
        <v>16.78</v>
      </c>
      <c r="C6164" s="11">
        <f>Daily_Data!I6164</f>
        <v>0.57</v>
      </c>
      <c r="D6164" s="12">
        <f>if(sum(Daily_Data!K6164:L6164)&gt;0,1,0)</f>
        <v>0</v>
      </c>
    </row>
    <row r="6165">
      <c r="A6165" s="10">
        <f>Daily_Data!A6165</f>
        <v>45155</v>
      </c>
      <c r="B6165" s="11">
        <f>Daily_Data!J6165</f>
        <v>17.89</v>
      </c>
      <c r="C6165" s="11">
        <f>Daily_Data!I6165</f>
        <v>0.7</v>
      </c>
      <c r="D6165" s="12">
        <f>if(sum(Daily_Data!K6165:L6165)&gt;0,1,0)</f>
        <v>0</v>
      </c>
    </row>
    <row r="6166">
      <c r="A6166" s="10">
        <f>Daily_Data!A6166</f>
        <v>45156</v>
      </c>
      <c r="B6166" s="11">
        <f>Daily_Data!J6166</f>
        <v>17.3</v>
      </c>
      <c r="C6166" s="11">
        <f>Daily_Data!I6166</f>
        <v>0.7</v>
      </c>
      <c r="D6166" s="12">
        <f>if(sum(Daily_Data!K6166:L6166)&gt;0,1,0)</f>
        <v>0</v>
      </c>
    </row>
    <row r="6167">
      <c r="A6167" s="10">
        <f>Daily_Data!A6167</f>
        <v>45159</v>
      </c>
      <c r="B6167" s="11">
        <f>Daily_Data!J6167</f>
        <v>17.13</v>
      </c>
      <c r="C6167" s="11">
        <f>Daily_Data!I6167</f>
        <v>0.66</v>
      </c>
      <c r="D6167" s="12">
        <f>if(sum(Daily_Data!K6167:L6167)&gt;0,1,0)</f>
        <v>0</v>
      </c>
    </row>
    <row r="6168">
      <c r="A6168" s="10">
        <f>Daily_Data!A6168</f>
        <v>45160</v>
      </c>
      <c r="B6168" s="11">
        <f>Daily_Data!J6168</f>
        <v>16.97</v>
      </c>
      <c r="C6168" s="11">
        <f>Daily_Data!I6168</f>
        <v>0.66</v>
      </c>
      <c r="D6168" s="12">
        <f>if(sum(Daily_Data!K6168:L6168)&gt;0,1,0)</f>
        <v>0</v>
      </c>
    </row>
    <row r="6169">
      <c r="A6169" s="10">
        <f>Daily_Data!A6169</f>
        <v>45161</v>
      </c>
      <c r="B6169" s="11">
        <f>Daily_Data!J6169</f>
        <v>15.98</v>
      </c>
      <c r="C6169" s="11">
        <f>Daily_Data!I6169</f>
        <v>0.62</v>
      </c>
      <c r="D6169" s="12">
        <f>if(sum(Daily_Data!K6169:L6169)&gt;0,1,0)</f>
        <v>0</v>
      </c>
    </row>
    <row r="6170">
      <c r="A6170" s="10">
        <f>Daily_Data!A6170</f>
        <v>45162</v>
      </c>
      <c r="B6170" s="11">
        <f>Daily_Data!J6170</f>
        <v>17.2</v>
      </c>
      <c r="C6170" s="11">
        <f>Daily_Data!I6170</f>
        <v>0.55</v>
      </c>
      <c r="D6170" s="12">
        <f>if(sum(Daily_Data!K6170:L6170)&gt;0,1,0)</f>
        <v>0</v>
      </c>
    </row>
    <row r="6171">
      <c r="A6171" s="10">
        <f>Daily_Data!A6171</f>
        <v>45163</v>
      </c>
      <c r="B6171" s="11">
        <f>Daily_Data!J6171</f>
        <v>15.68</v>
      </c>
      <c r="C6171" s="11">
        <f>Daily_Data!I6171</f>
        <v>0.53</v>
      </c>
      <c r="D6171" s="12">
        <f>if(sum(Daily_Data!K6171:L6171)&gt;0,1,0)</f>
        <v>0</v>
      </c>
    </row>
    <row r="6172">
      <c r="A6172" s="10">
        <f>Daily_Data!A6172</f>
        <v>45166</v>
      </c>
      <c r="B6172" s="11">
        <f>Daily_Data!J6172</f>
        <v>15.08</v>
      </c>
      <c r="C6172" s="11">
        <f>Daily_Data!I6172</f>
        <v>0.6</v>
      </c>
      <c r="D6172" s="12">
        <f>if(sum(Daily_Data!K6172:L6172)&gt;0,1,0)</f>
        <v>0</v>
      </c>
    </row>
    <row r="6173">
      <c r="A6173" s="10">
        <f>Daily_Data!A6173</f>
        <v>45167</v>
      </c>
      <c r="B6173" s="11">
        <f>Daily_Data!J6173</f>
        <v>14.45</v>
      </c>
      <c r="C6173" s="11">
        <f>Daily_Data!I6173</f>
        <v>0.66</v>
      </c>
      <c r="D6173" s="12">
        <f>if(sum(Daily_Data!K6173:L6173)&gt;0,1,0)</f>
        <v>0</v>
      </c>
    </row>
    <row r="6174">
      <c r="A6174" s="10">
        <f>Daily_Data!A6174</f>
        <v>45168</v>
      </c>
      <c r="B6174" s="11">
        <f>Daily_Data!J6174</f>
        <v>13.88</v>
      </c>
      <c r="C6174" s="11">
        <f>Daily_Data!I6174</f>
        <v>0.57</v>
      </c>
      <c r="D6174" s="12">
        <f>if(sum(Daily_Data!K6174:L6174)&gt;0,1,0)</f>
        <v>0</v>
      </c>
    </row>
    <row r="6175">
      <c r="A6175" s="10">
        <f>Daily_Data!A6175</f>
        <v>45169</v>
      </c>
      <c r="B6175" s="11">
        <f>Daily_Data!J6175</f>
        <v>13.57</v>
      </c>
      <c r="C6175" s="11">
        <f>Daily_Data!I6175</f>
        <v>0.59</v>
      </c>
      <c r="D6175" s="12">
        <f>if(sum(Daily_Data!K6175:L6175)&gt;0,1,0)</f>
        <v>0</v>
      </c>
    </row>
    <row r="6176">
      <c r="A6176" s="10">
        <f>Daily_Data!A6176</f>
        <v>45170</v>
      </c>
      <c r="B6176" s="11">
        <f>Daily_Data!J6176</f>
        <v>13.09</v>
      </c>
      <c r="C6176" s="11">
        <f>Daily_Data!I6176</f>
        <v>0.56</v>
      </c>
      <c r="D6176" s="12">
        <f>if(sum(Daily_Data!K6176:L6176)&gt;0,1,0)</f>
        <v>1</v>
      </c>
    </row>
    <row r="6177">
      <c r="A6177" s="10">
        <f>Daily_Data!A6177</f>
        <v>45173</v>
      </c>
      <c r="B6177" s="11">
        <f>Daily_Data!J6177</f>
        <v>13.82</v>
      </c>
      <c r="C6177" s="11" t="str">
        <f>Daily_Data!I6177</f>
        <v/>
      </c>
      <c r="D6177" s="12">
        <f>if(sum(Daily_Data!K6177:L6177)&gt;0,1,0)</f>
        <v>0</v>
      </c>
    </row>
    <row r="6178">
      <c r="A6178" s="10">
        <f>Daily_Data!A6178</f>
        <v>45174</v>
      </c>
      <c r="B6178" s="11">
        <f>Daily_Data!J6178</f>
        <v>14.01</v>
      </c>
      <c r="C6178" s="11">
        <f>Daily_Data!I6178</f>
        <v>0.54</v>
      </c>
      <c r="D6178" s="12">
        <f>if(sum(Daily_Data!K6178:L6178)&gt;0,1,0)</f>
        <v>0</v>
      </c>
    </row>
    <row r="6179">
      <c r="A6179" s="10">
        <f>Daily_Data!A6179</f>
        <v>45175</v>
      </c>
      <c r="B6179" s="11">
        <f>Daily_Data!J6179</f>
        <v>14.45</v>
      </c>
      <c r="C6179" s="11">
        <f>Daily_Data!I6179</f>
        <v>0.47</v>
      </c>
      <c r="D6179" s="12">
        <f>if(sum(Daily_Data!K6179:L6179)&gt;0,1,0)</f>
        <v>0</v>
      </c>
    </row>
    <row r="6180">
      <c r="A6180" s="10">
        <f>Daily_Data!A6180</f>
        <v>45176</v>
      </c>
      <c r="B6180" s="11">
        <f>Daily_Data!J6180</f>
        <v>14.4</v>
      </c>
      <c r="C6180" s="11">
        <f>Daily_Data!I6180</f>
        <v>0.54</v>
      </c>
      <c r="D6180" s="12">
        <f>if(sum(Daily_Data!K6180:L6180)&gt;0,1,0)</f>
        <v>0</v>
      </c>
    </row>
    <row r="6181">
      <c r="A6181" s="10">
        <f>Daily_Data!A6181</f>
        <v>45177</v>
      </c>
      <c r="B6181" s="11">
        <f>Daily_Data!J6181</f>
        <v>13.84</v>
      </c>
      <c r="C6181" s="11">
        <f>Daily_Data!I6181</f>
        <v>0.48</v>
      </c>
      <c r="D6181" s="12">
        <f>if(sum(Daily_Data!K6181:L6181)&gt;0,1,0)</f>
        <v>0</v>
      </c>
    </row>
    <row r="6182">
      <c r="A6182" s="10">
        <f>Daily_Data!A6182</f>
        <v>45180</v>
      </c>
      <c r="B6182" s="11">
        <f>Daily_Data!J6182</f>
        <v>13.8</v>
      </c>
      <c r="C6182" s="11">
        <f>Daily_Data!I6182</f>
        <v>0.54</v>
      </c>
      <c r="D6182" s="12">
        <f>if(sum(Daily_Data!K6182:L6182)&gt;0,1,0)</f>
        <v>0</v>
      </c>
    </row>
    <row r="6183">
      <c r="A6183" s="10">
        <f>Daily_Data!A6183</f>
        <v>45181</v>
      </c>
      <c r="B6183" s="11">
        <f>Daily_Data!J6183</f>
        <v>14.23</v>
      </c>
      <c r="C6183" s="11">
        <f>Daily_Data!I6183</f>
        <v>0.5</v>
      </c>
      <c r="D6183" s="12">
        <f>if(sum(Daily_Data!K6183:L6183)&gt;0,1,0)</f>
        <v>0</v>
      </c>
    </row>
    <row r="6184">
      <c r="A6184" s="10">
        <f>Daily_Data!A6184</f>
        <v>45182</v>
      </c>
      <c r="B6184" s="11">
        <f>Daily_Data!J6184</f>
        <v>13.48</v>
      </c>
      <c r="C6184" s="11">
        <f>Daily_Data!I6184</f>
        <v>0.54</v>
      </c>
      <c r="D6184" s="12">
        <f>if(sum(Daily_Data!K6184:L6184)&gt;0,1,0)</f>
        <v>1</v>
      </c>
    </row>
    <row r="6185">
      <c r="A6185" s="10">
        <f>Daily_Data!A6185</f>
        <v>45183</v>
      </c>
      <c r="B6185" s="11">
        <f>Daily_Data!J6185</f>
        <v>12.82</v>
      </c>
      <c r="C6185" s="11">
        <f>Daily_Data!I6185</f>
        <v>0.48</v>
      </c>
      <c r="D6185" s="12">
        <f>if(sum(Daily_Data!K6185:L6185)&gt;0,1,0)</f>
        <v>0</v>
      </c>
    </row>
    <row r="6186">
      <c r="A6186" s="10">
        <f>Daily_Data!A6186</f>
        <v>45184</v>
      </c>
      <c r="B6186" s="11">
        <f>Daily_Data!J6186</f>
        <v>13.79</v>
      </c>
      <c r="C6186" s="11">
        <f>Daily_Data!I6186</f>
        <v>0.47</v>
      </c>
      <c r="D6186" s="12">
        <f>if(sum(Daily_Data!K6186:L6186)&gt;0,1,0)</f>
        <v>0</v>
      </c>
    </row>
    <row r="6187">
      <c r="A6187" s="10">
        <f>Daily_Data!A6187</f>
        <v>45187</v>
      </c>
      <c r="B6187" s="11">
        <f>Daily_Data!J6187</f>
        <v>14</v>
      </c>
      <c r="C6187" s="11">
        <f>Daily_Data!I6187</f>
        <v>0.5</v>
      </c>
      <c r="D6187" s="12">
        <f>if(sum(Daily_Data!K6187:L6187)&gt;0,1,0)</f>
        <v>0</v>
      </c>
    </row>
    <row r="6188">
      <c r="A6188" s="10">
        <f>Daily_Data!A6188</f>
        <v>45188</v>
      </c>
      <c r="B6188" s="11">
        <f>Daily_Data!J6188</f>
        <v>14.11</v>
      </c>
      <c r="C6188" s="11">
        <f>Daily_Data!I6188</f>
        <v>0.52</v>
      </c>
      <c r="D6188" s="12">
        <f>if(sum(Daily_Data!K6188:L6188)&gt;0,1,0)</f>
        <v>0</v>
      </c>
    </row>
    <row r="6189">
      <c r="A6189" s="10">
        <f>Daily_Data!A6189</f>
        <v>45189</v>
      </c>
      <c r="B6189" s="11">
        <f>Daily_Data!J6189</f>
        <v>15.14</v>
      </c>
      <c r="C6189" s="11">
        <f>Daily_Data!I6189</f>
        <v>0.52</v>
      </c>
      <c r="D6189" s="12">
        <f>if(sum(Daily_Data!K6189:L6189)&gt;0,1,0)</f>
        <v>0</v>
      </c>
    </row>
    <row r="6190">
      <c r="A6190" s="10">
        <f>Daily_Data!A6190</f>
        <v>45190</v>
      </c>
      <c r="B6190" s="11">
        <f>Daily_Data!J6190</f>
        <v>17.54</v>
      </c>
      <c r="C6190" s="11">
        <f>Daily_Data!I6190</f>
        <v>0.61</v>
      </c>
      <c r="D6190" s="12">
        <f>if(sum(Daily_Data!K6190:L6190)&gt;0,1,0)</f>
        <v>0</v>
      </c>
    </row>
    <row r="6191">
      <c r="A6191" s="10">
        <f>Daily_Data!A6191</f>
        <v>45191</v>
      </c>
      <c r="B6191" s="11">
        <f>Daily_Data!J6191</f>
        <v>17.2</v>
      </c>
      <c r="C6191" s="11">
        <f>Daily_Data!I6191</f>
        <v>0.6</v>
      </c>
      <c r="D6191" s="12">
        <f>if(sum(Daily_Data!K6191:L6191)&gt;0,1,0)</f>
        <v>0</v>
      </c>
    </row>
    <row r="6192">
      <c r="A6192" s="10">
        <f>Daily_Data!A6192</f>
        <v>45194</v>
      </c>
      <c r="B6192" s="11">
        <f>Daily_Data!J6192</f>
        <v>16.9</v>
      </c>
      <c r="C6192" s="11">
        <f>Daily_Data!I6192</f>
        <v>0.57</v>
      </c>
      <c r="D6192" s="12">
        <f>if(sum(Daily_Data!K6192:L6192)&gt;0,1,0)</f>
        <v>0</v>
      </c>
    </row>
    <row r="6193">
      <c r="A6193" s="10">
        <f>Daily_Data!A6193</f>
        <v>45195</v>
      </c>
      <c r="B6193" s="11">
        <f>Daily_Data!J6193</f>
        <v>18.94</v>
      </c>
      <c r="C6193" s="11">
        <f>Daily_Data!I6193</f>
        <v>0.66</v>
      </c>
      <c r="D6193" s="12">
        <f>if(sum(Daily_Data!K6193:L6193)&gt;0,1,0)</f>
        <v>0</v>
      </c>
    </row>
    <row r="6194">
      <c r="A6194" s="10">
        <f>Daily_Data!A6194</f>
        <v>45196</v>
      </c>
      <c r="B6194" s="11">
        <f>Daily_Data!J6194</f>
        <v>18.22</v>
      </c>
      <c r="C6194" s="11">
        <f>Daily_Data!I6194</f>
        <v>0.55</v>
      </c>
      <c r="D6194" s="12">
        <f>if(sum(Daily_Data!K6194:L6194)&gt;0,1,0)</f>
        <v>0</v>
      </c>
    </row>
    <row r="6195">
      <c r="A6195" s="10">
        <f>Daily_Data!A6195</f>
        <v>45197</v>
      </c>
      <c r="B6195" s="11">
        <f>Daily_Data!J6195</f>
        <v>17.34</v>
      </c>
      <c r="C6195" s="11">
        <f>Daily_Data!I6195</f>
        <v>0.63</v>
      </c>
      <c r="D6195" s="12">
        <f>if(sum(Daily_Data!K6195:L6195)&gt;0,1,0)</f>
        <v>0</v>
      </c>
    </row>
    <row r="6196">
      <c r="A6196" s="10">
        <f>Daily_Data!A6196</f>
        <v>45198</v>
      </c>
      <c r="B6196" s="11">
        <f>Daily_Data!J6196</f>
        <v>17.52</v>
      </c>
      <c r="C6196" s="11">
        <f>Daily_Data!I6196</f>
        <v>0.69</v>
      </c>
      <c r="D6196" s="12">
        <f>if(sum(Daily_Data!K6196:L6196)&gt;0,1,0)</f>
        <v>0</v>
      </c>
    </row>
    <row r="6197">
      <c r="A6197" s="10">
        <f>Daily_Data!A6197</f>
        <v>45201</v>
      </c>
      <c r="B6197" s="11">
        <f>Daily_Data!J6197</f>
        <v>17.61</v>
      </c>
      <c r="C6197" s="11">
        <f>Daily_Data!I6197</f>
        <v>0.64</v>
      </c>
      <c r="D6197" s="12">
        <f>if(sum(Daily_Data!K6197:L6197)&gt;0,1,0)</f>
        <v>0</v>
      </c>
    </row>
    <row r="6198">
      <c r="A6198" s="10">
        <f>Daily_Data!A6198</f>
        <v>45202</v>
      </c>
      <c r="B6198" s="11">
        <f>Daily_Data!J6198</f>
        <v>19.78</v>
      </c>
      <c r="C6198" s="11">
        <f>Daily_Data!I6198</f>
        <v>0.63</v>
      </c>
      <c r="D6198" s="12">
        <f>if(sum(Daily_Data!K6198:L6198)&gt;0,1,0)</f>
        <v>0</v>
      </c>
    </row>
    <row r="6199">
      <c r="A6199" s="10">
        <f>Daily_Data!A6199</f>
        <v>45203</v>
      </c>
      <c r="B6199" s="11">
        <f>Daily_Data!J6199</f>
        <v>18.58</v>
      </c>
      <c r="C6199" s="11">
        <f>Daily_Data!I6199</f>
        <v>0.73</v>
      </c>
      <c r="D6199" s="12">
        <f>if(sum(Daily_Data!K6199:L6199)&gt;0,1,0)</f>
        <v>0</v>
      </c>
    </row>
    <row r="6200">
      <c r="A6200" s="10">
        <f>Daily_Data!A6200</f>
        <v>45204</v>
      </c>
      <c r="B6200" s="11">
        <f>Daily_Data!J6200</f>
        <v>18.49</v>
      </c>
      <c r="C6200" s="11">
        <f>Daily_Data!I6200</f>
        <v>0.7</v>
      </c>
      <c r="D6200" s="12">
        <f>if(sum(Daily_Data!K6200:L6200)&gt;0,1,0)</f>
        <v>0</v>
      </c>
    </row>
    <row r="6201">
      <c r="A6201" s="10">
        <f>Daily_Data!A6201</f>
        <v>45205</v>
      </c>
      <c r="B6201" s="11">
        <f>Daily_Data!J6201</f>
        <v>17.45</v>
      </c>
      <c r="C6201" s="11">
        <f>Daily_Data!I6201</f>
        <v>0.63</v>
      </c>
      <c r="D6201" s="12">
        <f>if(sum(Daily_Data!K6201:L6201)&gt;0,1,0)</f>
        <v>1</v>
      </c>
    </row>
    <row r="6202">
      <c r="A6202" s="10">
        <f>Daily_Data!A6202</f>
        <v>45208</v>
      </c>
      <c r="B6202" s="11">
        <f>Daily_Data!J6202</f>
        <v>17.7</v>
      </c>
      <c r="C6202" s="11" t="str">
        <f>Daily_Data!I6202</f>
        <v/>
      </c>
      <c r="D6202" s="12">
        <f>if(sum(Daily_Data!K6202:L6202)&gt;0,1,0)</f>
        <v>0</v>
      </c>
    </row>
    <row r="6203">
      <c r="A6203" s="10">
        <f>Daily_Data!A6203</f>
        <v>45209</v>
      </c>
      <c r="B6203" s="11">
        <f>Daily_Data!J6203</f>
        <v>17.03</v>
      </c>
      <c r="C6203" s="11">
        <f>Daily_Data!I6203</f>
        <v>0.69</v>
      </c>
      <c r="D6203" s="12">
        <f>if(sum(Daily_Data!K6203:L6203)&gt;0,1,0)</f>
        <v>0</v>
      </c>
    </row>
    <row r="6204">
      <c r="A6204" s="10">
        <f>Daily_Data!A6204</f>
        <v>45210</v>
      </c>
      <c r="B6204" s="11">
        <f>Daily_Data!J6204</f>
        <v>16.09</v>
      </c>
      <c r="C6204" s="11">
        <f>Daily_Data!I6204</f>
        <v>0.65</v>
      </c>
      <c r="D6204" s="12">
        <f>if(sum(Daily_Data!K6204:L6204)&gt;0,1,0)</f>
        <v>0</v>
      </c>
    </row>
    <row r="6205">
      <c r="A6205" s="10">
        <f>Daily_Data!A6205</f>
        <v>45211</v>
      </c>
      <c r="B6205" s="11">
        <f>Daily_Data!J6205</f>
        <v>16.69</v>
      </c>
      <c r="C6205" s="11">
        <f>Daily_Data!I6205</f>
        <v>0.57</v>
      </c>
      <c r="D6205" s="12">
        <f>if(sum(Daily_Data!K6205:L6205)&gt;0,1,0)</f>
        <v>1</v>
      </c>
    </row>
    <row r="6206">
      <c r="A6206" s="10">
        <f>Daily_Data!A6206</f>
        <v>45212</v>
      </c>
      <c r="B6206" s="11">
        <f>Daily_Data!J6206</f>
        <v>19.32</v>
      </c>
      <c r="C6206" s="11">
        <f>Daily_Data!I6206</f>
        <v>0.62</v>
      </c>
      <c r="D6206" s="12">
        <f>if(sum(Daily_Data!K6206:L6206)&gt;0,1,0)</f>
        <v>0</v>
      </c>
    </row>
    <row r="6207">
      <c r="A6207" s="10">
        <f>Daily_Data!A6207</f>
        <v>45215</v>
      </c>
      <c r="B6207" s="11">
        <f>Daily_Data!J6207</f>
        <v>17.21</v>
      </c>
      <c r="C6207" s="11">
        <f>Daily_Data!I6207</f>
        <v>0.59</v>
      </c>
      <c r="D6207" s="12">
        <f>if(sum(Daily_Data!K6207:L6207)&gt;0,1,0)</f>
        <v>0</v>
      </c>
    </row>
    <row r="6208">
      <c r="A6208" s="10">
        <f>Daily_Data!A6208</f>
        <v>45216</v>
      </c>
      <c r="B6208" s="11">
        <f>Daily_Data!J6208</f>
        <v>17.88</v>
      </c>
      <c r="C6208" s="11">
        <f>Daily_Data!I6208</f>
        <v>0.43</v>
      </c>
      <c r="D6208" s="12">
        <f>if(sum(Daily_Data!K6208:L6208)&gt;0,1,0)</f>
        <v>0</v>
      </c>
    </row>
    <row r="6209">
      <c r="A6209" s="10">
        <f>Daily_Data!A6209</f>
        <v>45217</v>
      </c>
      <c r="B6209" s="11">
        <f>Daily_Data!J6209</f>
        <v>19.22</v>
      </c>
      <c r="C6209" s="11">
        <f>Daily_Data!I6209</f>
        <v>0.44</v>
      </c>
      <c r="D6209" s="12">
        <f>if(sum(Daily_Data!K6209:L6209)&gt;0,1,0)</f>
        <v>0</v>
      </c>
    </row>
    <row r="6210">
      <c r="A6210" s="10">
        <f>Daily_Data!A6210</f>
        <v>45218</v>
      </c>
      <c r="B6210" s="11">
        <f>Daily_Data!J6210</f>
        <v>21.4</v>
      </c>
      <c r="C6210" s="11">
        <f>Daily_Data!I6210</f>
        <v>0.53</v>
      </c>
      <c r="D6210" s="12">
        <f>if(sum(Daily_Data!K6210:L6210)&gt;0,1,0)</f>
        <v>0</v>
      </c>
    </row>
    <row r="6211">
      <c r="A6211" s="10">
        <f>Daily_Data!A6211</f>
        <v>45219</v>
      </c>
      <c r="B6211" s="11">
        <f>Daily_Data!J6211</f>
        <v>21.71</v>
      </c>
      <c r="C6211" s="11">
        <f>Daily_Data!I6211</f>
        <v>0.57</v>
      </c>
      <c r="D6211" s="12">
        <f>if(sum(Daily_Data!K6211:L6211)&gt;0,1,0)</f>
        <v>0</v>
      </c>
    </row>
    <row r="6212">
      <c r="A6212" s="10">
        <f>Daily_Data!A6212</f>
        <v>45222</v>
      </c>
      <c r="B6212" s="11">
        <f>Daily_Data!J6212</f>
        <v>20.37</v>
      </c>
      <c r="C6212" s="11" t="str">
        <f>Daily_Data!I6212</f>
        <v/>
      </c>
      <c r="D6212" s="12">
        <f>if(sum(Daily_Data!K6212:L6212)&gt;0,1,0)</f>
        <v>0</v>
      </c>
    </row>
    <row r="6213">
      <c r="A6213" s="10">
        <f>Daily_Data!A6213</f>
        <v>45223</v>
      </c>
      <c r="B6213" s="11">
        <f>Daily_Data!J6213</f>
        <v>18.97</v>
      </c>
      <c r="C6213" s="11">
        <f>Daily_Data!I6213</f>
        <v>0.55</v>
      </c>
      <c r="D6213" s="12">
        <f>if(sum(Daily_Data!K6213:L6213)&gt;0,1,0)</f>
        <v>0</v>
      </c>
    </row>
    <row r="6214">
      <c r="A6214" s="10">
        <f>Daily_Data!A6214</f>
        <v>45224</v>
      </c>
      <c r="B6214" s="11">
        <f>Daily_Data!J6214</f>
        <v>20.19</v>
      </c>
      <c r="C6214" s="11">
        <f>Daily_Data!I6214</f>
        <v>0.47</v>
      </c>
      <c r="D6214" s="12">
        <f>if(sum(Daily_Data!K6214:L6214)&gt;0,1,0)</f>
        <v>0</v>
      </c>
    </row>
    <row r="6215">
      <c r="A6215" s="10">
        <f>Daily_Data!A6215</f>
        <v>45225</v>
      </c>
      <c r="B6215" s="11">
        <f>Daily_Data!J6215</f>
        <v>20.68</v>
      </c>
      <c r="C6215" s="11">
        <f>Daily_Data!I6215</f>
        <v>0.59</v>
      </c>
      <c r="D6215" s="12">
        <f>if(sum(Daily_Data!K6215:L6215)&gt;0,1,0)</f>
        <v>0</v>
      </c>
    </row>
    <row r="6216">
      <c r="A6216" s="10">
        <f>Daily_Data!A6216</f>
        <v>45226</v>
      </c>
      <c r="B6216" s="11">
        <f>Daily_Data!J6216</f>
        <v>21.27</v>
      </c>
      <c r="C6216" s="11">
        <f>Daily_Data!I6216</f>
        <v>0.59</v>
      </c>
      <c r="D6216" s="12">
        <f>if(sum(Daily_Data!K6216:L6216)&gt;0,1,0)</f>
        <v>0</v>
      </c>
    </row>
    <row r="6217">
      <c r="A6217" s="10">
        <f>Daily_Data!A6217</f>
        <v>45229</v>
      </c>
      <c r="B6217" s="11">
        <f>Daily_Data!J6217</f>
        <v>19.75</v>
      </c>
      <c r="C6217" s="11">
        <f>Daily_Data!I6217</f>
        <v>0.55</v>
      </c>
      <c r="D6217" s="12">
        <f>if(sum(Daily_Data!K6217:L6217)&gt;0,1,0)</f>
        <v>0</v>
      </c>
    </row>
    <row r="6218">
      <c r="A6218" s="10">
        <f>Daily_Data!A6218</f>
        <v>45230</v>
      </c>
      <c r="B6218" s="11">
        <f>Daily_Data!J6218</f>
        <v>18.14</v>
      </c>
      <c r="C6218" s="11">
        <f>Daily_Data!I6218</f>
        <v>0.51</v>
      </c>
      <c r="D6218" s="12">
        <f>if(sum(Daily_Data!K6218:L6218)&gt;0,1,0)</f>
        <v>0</v>
      </c>
    </row>
    <row r="6219">
      <c r="A6219" s="10">
        <f>Daily_Data!A6219</f>
        <v>45231</v>
      </c>
      <c r="B6219" s="11">
        <f>Daily_Data!J6219</f>
        <v>16.87</v>
      </c>
      <c r="C6219" s="11">
        <f>Daily_Data!I6219</f>
        <v>0.53</v>
      </c>
      <c r="D6219" s="12">
        <f>if(sum(Daily_Data!K6219:L6219)&gt;0,1,0)</f>
        <v>0</v>
      </c>
    </row>
    <row r="6220">
      <c r="A6220" s="10">
        <f>Daily_Data!A6220</f>
        <v>45232</v>
      </c>
      <c r="B6220" s="11">
        <f>Daily_Data!J6220</f>
        <v>15.66</v>
      </c>
      <c r="C6220" s="11">
        <f>Daily_Data!I6220</f>
        <v>0.38</v>
      </c>
      <c r="D6220" s="12">
        <f>if(sum(Daily_Data!K6220:L6220)&gt;0,1,0)</f>
        <v>0</v>
      </c>
    </row>
    <row r="6221">
      <c r="A6221" s="10">
        <f>Daily_Data!A6221</f>
        <v>45233</v>
      </c>
      <c r="B6221" s="11">
        <f>Daily_Data!J6221</f>
        <v>14.91</v>
      </c>
      <c r="C6221" s="11">
        <f>Daily_Data!I6221</f>
        <v>0.54</v>
      </c>
      <c r="D6221" s="12">
        <f>if(sum(Daily_Data!K6221:L6221)&gt;0,1,0)</f>
        <v>1</v>
      </c>
    </row>
    <row r="6222">
      <c r="A6222" s="10">
        <f>Daily_Data!A6222</f>
        <v>45236</v>
      </c>
      <c r="B6222" s="11">
        <f>Daily_Data!J6222</f>
        <v>14.89</v>
      </c>
      <c r="C6222" s="11">
        <f>Daily_Data!I6222</f>
        <v>0.37</v>
      </c>
      <c r="D6222" s="12">
        <f>if(sum(Daily_Data!K6222:L6222)&gt;0,1,0)</f>
        <v>0</v>
      </c>
    </row>
    <row r="6223">
      <c r="A6223" s="10">
        <f>Daily_Data!A6223</f>
        <v>45237</v>
      </c>
      <c r="B6223" s="11">
        <f>Daily_Data!J6223</f>
        <v>14.81</v>
      </c>
      <c r="C6223" s="11">
        <f>Daily_Data!I6223</f>
        <v>0.4</v>
      </c>
      <c r="D6223" s="12">
        <f>if(sum(Daily_Data!K6223:L6223)&gt;0,1,0)</f>
        <v>0</v>
      </c>
    </row>
    <row r="6224">
      <c r="A6224" s="10">
        <f>Daily_Data!A6224</f>
        <v>45238</v>
      </c>
      <c r="B6224" s="11">
        <f>Daily_Data!J6224</f>
        <v>14.45</v>
      </c>
      <c r="C6224" s="11">
        <f>Daily_Data!I6224</f>
        <v>0.32</v>
      </c>
      <c r="D6224" s="12">
        <f>if(sum(Daily_Data!K6224:L6224)&gt;0,1,0)</f>
        <v>0</v>
      </c>
    </row>
    <row r="6225">
      <c r="A6225" s="10">
        <f>Daily_Data!A6225</f>
        <v>45239</v>
      </c>
      <c r="B6225" s="11">
        <f>Daily_Data!J6225</f>
        <v>15.29</v>
      </c>
      <c r="C6225" s="11">
        <f>Daily_Data!I6225</f>
        <v>0.21</v>
      </c>
      <c r="D6225" s="12">
        <f>if(sum(Daily_Data!K6225:L6225)&gt;0,1,0)</f>
        <v>0</v>
      </c>
    </row>
    <row r="6226">
      <c r="A6226" s="10">
        <f>Daily_Data!A6226</f>
        <v>45240</v>
      </c>
      <c r="B6226" s="11">
        <f>Daily_Data!J6226</f>
        <v>14.17</v>
      </c>
      <c r="C6226" s="11">
        <f>Daily_Data!I6226</f>
        <v>0.27</v>
      </c>
      <c r="D6226" s="12">
        <f>if(sum(Daily_Data!K6226:L6226)&gt;0,1,0)</f>
        <v>0</v>
      </c>
    </row>
    <row r="6227">
      <c r="A6227" s="10">
        <f>Daily_Data!A6227</f>
        <v>45243</v>
      </c>
      <c r="B6227" s="11">
        <f>Daily_Data!J6227</f>
        <v>14.76</v>
      </c>
      <c r="C6227" s="11">
        <f>Daily_Data!I6227</f>
        <v>0.35</v>
      </c>
      <c r="D6227" s="12">
        <f>if(sum(Daily_Data!K6227:L6227)&gt;0,1,0)</f>
        <v>0</v>
      </c>
    </row>
    <row r="6228">
      <c r="A6228" s="10">
        <f>Daily_Data!A6228</f>
        <v>45244</v>
      </c>
      <c r="B6228" s="11">
        <f>Daily_Data!J6228</f>
        <v>14.16</v>
      </c>
      <c r="C6228" s="11">
        <f>Daily_Data!I6228</f>
        <v>0.54</v>
      </c>
      <c r="D6228" s="12">
        <f>if(sum(Daily_Data!K6228:L6228)&gt;0,1,0)</f>
        <v>1</v>
      </c>
    </row>
    <row r="6229">
      <c r="A6229" s="10">
        <f>Daily_Data!A6229</f>
        <v>45245</v>
      </c>
      <c r="B6229" s="11">
        <f>Daily_Data!J6229</f>
        <v>14.18</v>
      </c>
      <c r="C6229" s="11">
        <f>Daily_Data!I6229</f>
        <v>0.28</v>
      </c>
      <c r="D6229" s="12">
        <f>if(sum(Daily_Data!K6229:L6229)&gt;0,1,0)</f>
        <v>0</v>
      </c>
    </row>
    <row r="6230">
      <c r="A6230" s="10">
        <f>Daily_Data!A6230</f>
        <v>45246</v>
      </c>
      <c r="B6230" s="11">
        <f>Daily_Data!J6230</f>
        <v>14.32</v>
      </c>
      <c r="C6230" s="11">
        <f>Daily_Data!I6230</f>
        <v>0.32</v>
      </c>
      <c r="D6230" s="12">
        <f>if(sum(Daily_Data!K6230:L6230)&gt;0,1,0)</f>
        <v>0</v>
      </c>
    </row>
    <row r="6231">
      <c r="A6231" s="10">
        <f>Daily_Data!A6231</f>
        <v>45247</v>
      </c>
      <c r="B6231" s="11">
        <f>Daily_Data!J6231</f>
        <v>13.8</v>
      </c>
      <c r="C6231" s="11">
        <f>Daily_Data!I6231</f>
        <v>0.19</v>
      </c>
      <c r="D6231" s="12">
        <f>if(sum(Daily_Data!K6231:L6231)&gt;0,1,0)</f>
        <v>0</v>
      </c>
    </row>
    <row r="6232">
      <c r="A6232" s="10">
        <f>Daily_Data!A6232</f>
        <v>45250</v>
      </c>
      <c r="B6232" s="11">
        <f>Daily_Data!J6232</f>
        <v>13.41</v>
      </c>
      <c r="C6232" s="11">
        <f>Daily_Data!I6232</f>
        <v>0.2</v>
      </c>
      <c r="D6232" s="12">
        <f>if(sum(Daily_Data!K6232:L6232)&gt;0,1,0)</f>
        <v>0</v>
      </c>
    </row>
    <row r="6233">
      <c r="A6233" s="10">
        <f>Daily_Data!A6233</f>
        <v>45251</v>
      </c>
      <c r="B6233" s="11">
        <f>Daily_Data!J6233</f>
        <v>13.35</v>
      </c>
      <c r="C6233" s="11">
        <f>Daily_Data!I6233</f>
        <v>0.25</v>
      </c>
      <c r="D6233" s="12">
        <f>if(sum(Daily_Data!K6233:L6233)&gt;0,1,0)</f>
        <v>0</v>
      </c>
    </row>
    <row r="6234">
      <c r="A6234" s="10">
        <f>Daily_Data!A6234</f>
        <v>45252</v>
      </c>
      <c r="B6234" s="11">
        <f>Daily_Data!J6234</f>
        <v>12.85</v>
      </c>
      <c r="C6234" s="11">
        <f>Daily_Data!I6234</f>
        <v>0.25</v>
      </c>
      <c r="D6234" s="12">
        <f>if(sum(Daily_Data!K6234:L6234)&gt;0,1,0)</f>
        <v>0</v>
      </c>
    </row>
    <row r="6235">
      <c r="A6235" s="10">
        <f>Daily_Data!A6235</f>
        <v>45253</v>
      </c>
      <c r="B6235" s="11">
        <f>Daily_Data!J6235</f>
        <v>12.8</v>
      </c>
      <c r="C6235" s="11" t="str">
        <f>Daily_Data!I6235</f>
        <v/>
      </c>
      <c r="D6235" s="12">
        <f>if(sum(Daily_Data!K6235:L6235)&gt;0,1,0)</f>
        <v>0</v>
      </c>
    </row>
    <row r="6236">
      <c r="A6236" s="10">
        <f>Daily_Data!A6236</f>
        <v>45254</v>
      </c>
      <c r="B6236" s="11">
        <f>Daily_Data!J6236</f>
        <v>12.46</v>
      </c>
      <c r="C6236" s="11">
        <f>Daily_Data!I6236</f>
        <v>0.35</v>
      </c>
      <c r="D6236" s="12">
        <f>if(sum(Daily_Data!K6236:L6236)&gt;0,1,0)</f>
        <v>0</v>
      </c>
    </row>
    <row r="6237">
      <c r="A6237" s="10">
        <f>Daily_Data!A6237</f>
        <v>45257</v>
      </c>
      <c r="B6237" s="11">
        <f>Daily_Data!J6237</f>
        <v>12.69</v>
      </c>
      <c r="C6237" s="11">
        <f>Daily_Data!I6237</f>
        <v>0.43</v>
      </c>
      <c r="D6237" s="12">
        <f>if(sum(Daily_Data!K6237:L6237)&gt;0,1,0)</f>
        <v>0</v>
      </c>
    </row>
    <row r="6238">
      <c r="A6238" s="10">
        <f>Daily_Data!A6238</f>
        <v>45258</v>
      </c>
      <c r="B6238" s="11">
        <f>Daily_Data!J6238</f>
        <v>12.69</v>
      </c>
      <c r="C6238" s="11">
        <f>Daily_Data!I6238</f>
        <v>0.43</v>
      </c>
      <c r="D6238" s="12">
        <f>if(sum(Daily_Data!K6238:L6238)&gt;0,1,0)</f>
        <v>0</v>
      </c>
    </row>
    <row r="6239">
      <c r="A6239" s="10">
        <f>Daily_Data!A6239</f>
        <v>45259</v>
      </c>
      <c r="B6239" s="11">
        <f>Daily_Data!J6239</f>
        <v>12.98</v>
      </c>
      <c r="C6239" s="11">
        <f>Daily_Data!I6239</f>
        <v>0.58</v>
      </c>
      <c r="D6239" s="12">
        <f>if(sum(Daily_Data!K6239:L6239)&gt;0,1,0)</f>
        <v>0</v>
      </c>
    </row>
    <row r="6240">
      <c r="A6240" s="10">
        <f>Daily_Data!A6240</f>
        <v>45260</v>
      </c>
      <c r="B6240" s="11">
        <f>Daily_Data!J6240</f>
        <v>12.92</v>
      </c>
      <c r="C6240" s="11">
        <f>Daily_Data!I6240</f>
        <v>0.42</v>
      </c>
      <c r="D6240" s="12">
        <f>if(sum(Daily_Data!K6240:L6240)&gt;0,1,0)</f>
        <v>0</v>
      </c>
    </row>
    <row r="6241">
      <c r="A6241" s="10">
        <f>Daily_Data!A6241</f>
        <v>45261</v>
      </c>
      <c r="B6241" s="11">
        <f>Daily_Data!J6241</f>
        <v>12.63</v>
      </c>
      <c r="C6241" s="11">
        <f>Daily_Data!I6241</f>
        <v>0.65</v>
      </c>
      <c r="D6241" s="12">
        <f>if(sum(Daily_Data!K6241:L6241)&gt;0,1,0)</f>
        <v>0</v>
      </c>
    </row>
    <row r="6242">
      <c r="A6242" s="10">
        <f>Daily_Data!A6242</f>
        <v>45264</v>
      </c>
      <c r="B6242" s="11">
        <f>Daily_Data!J6242</f>
        <v>13.08</v>
      </c>
      <c r="C6242" s="11">
        <f>Daily_Data!I6242</f>
        <v>0.53</v>
      </c>
      <c r="D6242" s="12">
        <f>if(sum(Daily_Data!K6242:L6242)&gt;0,1,0)</f>
        <v>0</v>
      </c>
    </row>
    <row r="6243">
      <c r="A6243" s="10">
        <f>Daily_Data!A6243</f>
        <v>45265</v>
      </c>
      <c r="B6243" s="11">
        <f>Daily_Data!J6243</f>
        <v>12.85</v>
      </c>
      <c r="C6243" s="11">
        <f>Daily_Data!I6243</f>
        <v>0.63</v>
      </c>
      <c r="D6243" s="12">
        <f>if(sum(Daily_Data!K6243:L6243)&gt;0,1,0)</f>
        <v>0</v>
      </c>
    </row>
    <row r="6244">
      <c r="A6244" s="10">
        <f>Daily_Data!A6244</f>
        <v>45266</v>
      </c>
      <c r="B6244" s="11">
        <f>Daily_Data!J6244</f>
        <v>12.97</v>
      </c>
      <c r="C6244" s="11">
        <f>Daily_Data!I6244</f>
        <v>0.59</v>
      </c>
      <c r="D6244" s="12">
        <f>if(sum(Daily_Data!K6244:L6244)&gt;0,1,0)</f>
        <v>0</v>
      </c>
    </row>
    <row r="6245">
      <c r="A6245" s="10">
        <f>Daily_Data!A6245</f>
        <v>45267</v>
      </c>
      <c r="B6245" s="11">
        <f>Daily_Data!J6245</f>
        <v>13.06</v>
      </c>
      <c r="C6245" s="11">
        <f>Daily_Data!I6245</f>
        <v>0.6</v>
      </c>
      <c r="D6245" s="12">
        <f>if(sum(Daily_Data!K6245:L6245)&gt;0,1,0)</f>
        <v>0</v>
      </c>
    </row>
    <row r="6246">
      <c r="A6246" s="10">
        <f>Daily_Data!A6246</f>
        <v>45268</v>
      </c>
      <c r="B6246" s="11">
        <f>Daily_Data!J6246</f>
        <v>12.35</v>
      </c>
      <c r="C6246" s="11">
        <f>Daily_Data!I6246</f>
        <v>0.49</v>
      </c>
      <c r="D6246" s="12">
        <f>if(sum(Daily_Data!K6246:L6246)&gt;0,1,0)</f>
        <v>1</v>
      </c>
    </row>
    <row r="6247">
      <c r="A6247" s="10">
        <f>Daily_Data!A6247</f>
        <v>45271</v>
      </c>
      <c r="B6247" s="11">
        <f>Daily_Data!J6247</f>
        <v>12.63</v>
      </c>
      <c r="C6247" s="11">
        <f>Daily_Data!I6247</f>
        <v>0.5</v>
      </c>
      <c r="D6247" s="12">
        <f>if(sum(Daily_Data!K6247:L6247)&gt;0,1,0)</f>
        <v>0</v>
      </c>
    </row>
    <row r="6248">
      <c r="A6248" s="10">
        <f>Daily_Data!A6248</f>
        <v>45272</v>
      </c>
      <c r="B6248" s="11">
        <f>Daily_Data!J6248</f>
        <v>12.07</v>
      </c>
      <c r="C6248" s="11">
        <f>Daily_Data!I6248</f>
        <v>0.44</v>
      </c>
      <c r="D6248" s="12">
        <f>if(sum(Daily_Data!K6248:L6248)&gt;0,1,0)</f>
        <v>1</v>
      </c>
    </row>
    <row r="6249">
      <c r="A6249" s="10">
        <f>Daily_Data!A6249</f>
        <v>45273</v>
      </c>
      <c r="B6249" s="11">
        <f>Daily_Data!J6249</f>
        <v>12.19</v>
      </c>
      <c r="C6249" s="11">
        <f>Daily_Data!I6249</f>
        <v>0.6</v>
      </c>
      <c r="D6249" s="12">
        <f>if(sum(Daily_Data!K6249:L6249)&gt;0,1,0)</f>
        <v>0</v>
      </c>
    </row>
    <row r="6250">
      <c r="A6250" s="10">
        <f>Daily_Data!A6250</f>
        <v>45274</v>
      </c>
      <c r="B6250" s="11">
        <f>Daily_Data!J6250</f>
        <v>12.48</v>
      </c>
      <c r="C6250" s="11">
        <f>Daily_Data!I6250</f>
        <v>0.4</v>
      </c>
      <c r="D6250" s="12">
        <f>if(sum(Daily_Data!K6250:L6250)&gt;0,1,0)</f>
        <v>0</v>
      </c>
    </row>
    <row r="6251">
      <c r="A6251" s="10">
        <f>Daily_Data!A6251</f>
        <v>45275</v>
      </c>
      <c r="B6251" s="11">
        <f>Daily_Data!J6251</f>
        <v>12.28</v>
      </c>
      <c r="C6251" s="11">
        <f>Daily_Data!I6251</f>
        <v>0.38</v>
      </c>
      <c r="D6251" s="12">
        <f>if(sum(Daily_Data!K6251:L6251)&gt;0,1,0)</f>
        <v>0</v>
      </c>
    </row>
    <row r="6252">
      <c r="A6252" s="10">
        <f>Daily_Data!A6252</f>
        <v>45278</v>
      </c>
      <c r="B6252" s="11">
        <f>Daily_Data!J6252</f>
        <v>12.56</v>
      </c>
      <c r="C6252" s="11">
        <f>Daily_Data!I6252</f>
        <v>0.37</v>
      </c>
      <c r="D6252" s="12">
        <f>if(sum(Daily_Data!K6252:L6252)&gt;0,1,0)</f>
        <v>0</v>
      </c>
    </row>
    <row r="6253">
      <c r="A6253" s="10">
        <f>Daily_Data!A6253</f>
        <v>45279</v>
      </c>
      <c r="B6253" s="11">
        <f>Daily_Data!J6253</f>
        <v>12.53</v>
      </c>
      <c r="C6253" s="11">
        <f>Daily_Data!I6253</f>
        <v>0.42</v>
      </c>
      <c r="D6253" s="12">
        <f>if(sum(Daily_Data!K6253:L6253)&gt;0,1,0)</f>
        <v>0</v>
      </c>
    </row>
    <row r="6254">
      <c r="A6254" s="10">
        <f>Daily_Data!A6254</f>
        <v>45280</v>
      </c>
      <c r="B6254" s="11">
        <f>Daily_Data!J6254</f>
        <v>13.67</v>
      </c>
      <c r="C6254" s="11">
        <f>Daily_Data!I6254</f>
        <v>0.45</v>
      </c>
      <c r="D6254" s="12">
        <f>if(sum(Daily_Data!K6254:L6254)&gt;0,1,0)</f>
        <v>0</v>
      </c>
    </row>
    <row r="6255">
      <c r="A6255" s="10">
        <f>Daily_Data!A6255</f>
        <v>45281</v>
      </c>
      <c r="B6255" s="11">
        <f>Daily_Data!J6255</f>
        <v>13.65</v>
      </c>
      <c r="C6255" s="11">
        <f>Daily_Data!I6255</f>
        <v>0.4</v>
      </c>
      <c r="D6255" s="12">
        <f>if(sum(Daily_Data!K6255:L6255)&gt;0,1,0)</f>
        <v>0</v>
      </c>
    </row>
    <row r="6256">
      <c r="A6256" s="10">
        <f>Daily_Data!A6256</f>
        <v>45282</v>
      </c>
      <c r="B6256" s="11">
        <f>Daily_Data!J6256</f>
        <v>13.03</v>
      </c>
      <c r="C6256" s="11">
        <f>Daily_Data!I6256</f>
        <v>0.43</v>
      </c>
      <c r="D6256" s="12">
        <f>if(sum(Daily_Data!K6256:L6256)&gt;0,1,0)</f>
        <v>0</v>
      </c>
    </row>
    <row r="6257">
      <c r="A6257" s="10">
        <f>Daily_Data!A6257</f>
        <v>45285</v>
      </c>
      <c r="B6257" s="11" t="str">
        <f>Daily_Data!J6257</f>
        <v/>
      </c>
      <c r="C6257" s="11" t="str">
        <f>Daily_Data!I6257</f>
        <v/>
      </c>
      <c r="D6257" s="12">
        <f>if(sum(Daily_Data!K6257:L6257)&gt;0,1,0)</f>
        <v>0</v>
      </c>
    </row>
    <row r="6258">
      <c r="A6258" s="10">
        <f>Daily_Data!A6258</f>
        <v>45286</v>
      </c>
      <c r="B6258" s="11">
        <f>Daily_Data!J6258</f>
        <v>12.99</v>
      </c>
      <c r="C6258" s="11" t="str">
        <f>Daily_Data!I6258</f>
        <v/>
      </c>
      <c r="D6258" s="12">
        <f>if(sum(Daily_Data!K6258:L6258)&gt;0,1,0)</f>
        <v>0</v>
      </c>
    </row>
    <row r="6259">
      <c r="A6259" s="10">
        <f>Daily_Data!A6259</f>
        <v>45287</v>
      </c>
      <c r="B6259" s="11">
        <f>Daily_Data!J6259</f>
        <v>12.43</v>
      </c>
      <c r="C6259" s="11">
        <f>Daily_Data!I6259</f>
        <v>0.49</v>
      </c>
      <c r="D6259" s="12">
        <f>if(sum(Daily_Data!K6259:L6259)&gt;0,1,0)</f>
        <v>0</v>
      </c>
    </row>
    <row r="6260">
      <c r="A6260" s="10">
        <f>Daily_Data!A6260</f>
        <v>45288</v>
      </c>
      <c r="B6260" s="11">
        <f>Daily_Data!J6260</f>
        <v>12.47</v>
      </c>
      <c r="C6260" s="11">
        <f>Daily_Data!I6260</f>
        <v>0.36</v>
      </c>
      <c r="D6260" s="12">
        <f>if(sum(Daily_Data!K6260:L6260)&gt;0,1,0)</f>
        <v>0</v>
      </c>
    </row>
    <row r="6261">
      <c r="A6261" s="10">
        <f>Daily_Data!A6261</f>
        <v>45289</v>
      </c>
      <c r="B6261" s="11">
        <f>Daily_Data!J6261</f>
        <v>12.45</v>
      </c>
      <c r="C6261" s="11">
        <f>Daily_Data!I6261</f>
        <v>0.41</v>
      </c>
      <c r="D6261" s="12">
        <f>if(sum(Daily_Data!K6261:L6261)&gt;0,1,0)</f>
        <v>0</v>
      </c>
    </row>
    <row r="6262">
      <c r="A6262" s="10">
        <f>Daily_Data!A6262</f>
        <v>45292</v>
      </c>
      <c r="B6262" s="11" t="str">
        <f>Daily_Data!J6262</f>
        <v/>
      </c>
      <c r="C6262" s="11" t="str">
        <f>Daily_Data!I6262</f>
        <v/>
      </c>
      <c r="D6262" s="12">
        <f>if(sum(Daily_Data!K6262:L6262)&gt;0,1,0)</f>
        <v>0</v>
      </c>
    </row>
    <row r="6263">
      <c r="A6263" s="10">
        <f>Daily_Data!A6263</f>
        <v>45293</v>
      </c>
      <c r="B6263" s="11">
        <f>Daily_Data!J6263</f>
        <v>13.2</v>
      </c>
      <c r="C6263" s="11" t="str">
        <f>Daily_Data!I6263</f>
        <v/>
      </c>
      <c r="D6263" s="12">
        <f>if(sum(Daily_Data!K6263:L6263)&gt;0,1,0)</f>
        <v>0</v>
      </c>
    </row>
    <row r="6264">
      <c r="A6264" s="10">
        <f>Daily_Data!A6264</f>
        <v>45294</v>
      </c>
      <c r="B6264" s="11">
        <f>Daily_Data!J6264</f>
        <v>14.04</v>
      </c>
      <c r="C6264" s="11">
        <f>Daily_Data!I6264</f>
        <v>0.37</v>
      </c>
      <c r="D6264" s="12">
        <f>if(sum(Daily_Data!K6264:L6264)&gt;0,1,0)</f>
        <v>0</v>
      </c>
    </row>
    <row r="6265">
      <c r="A6265" s="10">
        <f>Daily_Data!A6265</f>
        <v>45295</v>
      </c>
      <c r="B6265" s="11">
        <f>Daily_Data!J6265</f>
        <v>14.13</v>
      </c>
      <c r="C6265" s="11">
        <f>Daily_Data!I6265</f>
        <v>0.35</v>
      </c>
      <c r="D6265" s="12">
        <f>if(sum(Daily_Data!K6265:L6265)&gt;0,1,0)</f>
        <v>0</v>
      </c>
    </row>
    <row r="6266">
      <c r="A6266" s="10">
        <f>Daily_Data!A6266</f>
        <v>45296</v>
      </c>
      <c r="B6266" s="11">
        <f>Daily_Data!J6266</f>
        <v>13.35</v>
      </c>
      <c r="C6266" s="11">
        <f>Daily_Data!I6266</f>
        <v>0.38</v>
      </c>
      <c r="D6266" s="12">
        <f>if(sum(Daily_Data!K6266:L6266)&gt;0,1,0)</f>
        <v>1</v>
      </c>
    </row>
    <row r="6267">
      <c r="A6267" s="10">
        <f>Daily_Data!A6267</f>
        <v>45299</v>
      </c>
      <c r="B6267" s="11">
        <f>Daily_Data!J6267</f>
        <v>13.08</v>
      </c>
      <c r="C6267" s="11">
        <f>Daily_Data!I6267</f>
        <v>0.47</v>
      </c>
      <c r="D6267" s="12">
        <f>if(sum(Daily_Data!K6267:L6267)&gt;0,1,0)</f>
        <v>0</v>
      </c>
    </row>
    <row r="6268">
      <c r="A6268" s="10">
        <f>Daily_Data!A6268</f>
        <v>45300</v>
      </c>
      <c r="B6268" s="11">
        <f>Daily_Data!J6268</f>
        <v>12.76</v>
      </c>
      <c r="C6268" s="11">
        <f>Daily_Data!I6268</f>
        <v>0.43</v>
      </c>
      <c r="D6268" s="12">
        <f>if(sum(Daily_Data!K6268:L6268)&gt;0,1,0)</f>
        <v>0</v>
      </c>
    </row>
    <row r="6269">
      <c r="A6269" s="10">
        <f>Daily_Data!A6269</f>
        <v>45301</v>
      </c>
      <c r="B6269" s="11">
        <f>Daily_Data!J6269</f>
        <v>12.69</v>
      </c>
      <c r="C6269" s="11">
        <f>Daily_Data!I6269</f>
        <v>0.45</v>
      </c>
      <c r="D6269" s="12">
        <f>if(sum(Daily_Data!K6269:L6269)&gt;0,1,0)</f>
        <v>0</v>
      </c>
    </row>
    <row r="6270">
      <c r="A6270" s="10">
        <f>Daily_Data!A6270</f>
        <v>45302</v>
      </c>
      <c r="B6270" s="11">
        <f>Daily_Data!J6270</f>
        <v>12.44</v>
      </c>
      <c r="C6270" s="11">
        <f>Daily_Data!I6270</f>
        <v>0.59</v>
      </c>
      <c r="D6270" s="12">
        <f>if(sum(Daily_Data!K6270:L6270)&gt;0,1,0)</f>
        <v>1</v>
      </c>
    </row>
    <row r="6271">
      <c r="A6271" s="10">
        <f>Daily_Data!A6271</f>
        <v>45303</v>
      </c>
      <c r="B6271" s="11">
        <f>Daily_Data!J6271</f>
        <v>12.7</v>
      </c>
      <c r="C6271" s="11">
        <f>Daily_Data!I6271</f>
        <v>0.6</v>
      </c>
      <c r="D6271" s="12">
        <f>if(sum(Daily_Data!K6271:L6271)&gt;0,1,0)</f>
        <v>0</v>
      </c>
    </row>
    <row r="6272">
      <c r="A6272" s="10">
        <f>Daily_Data!A6272</f>
        <v>45306</v>
      </c>
      <c r="B6272" s="11">
        <f>Daily_Data!J6272</f>
        <v>13.25</v>
      </c>
      <c r="C6272" s="11" t="str">
        <f>Daily_Data!I6272</f>
        <v/>
      </c>
      <c r="D6272" s="12">
        <f>if(sum(Daily_Data!K6272:L6272)&gt;0,1,0)</f>
        <v>0</v>
      </c>
    </row>
    <row r="6273">
      <c r="A6273" s="10">
        <f>Daily_Data!A6273</f>
        <v>45307</v>
      </c>
      <c r="B6273" s="11">
        <f>Daily_Data!J6273</f>
        <v>13.84</v>
      </c>
      <c r="C6273" s="11">
        <f>Daily_Data!I6273</f>
        <v>0.49</v>
      </c>
      <c r="D6273" s="12">
        <f>if(sum(Daily_Data!K6273:L6273)&gt;0,1,0)</f>
        <v>0</v>
      </c>
    </row>
    <row r="6274">
      <c r="A6274" s="10">
        <f>Daily_Data!A6274</f>
        <v>45308</v>
      </c>
      <c r="B6274" s="11">
        <f>Daily_Data!J6274</f>
        <v>14.79</v>
      </c>
      <c r="C6274" s="11">
        <f>Daily_Data!I6274</f>
        <v>0.36</v>
      </c>
      <c r="D6274" s="12">
        <f>if(sum(Daily_Data!K6274:L6274)&gt;0,1,0)</f>
        <v>0</v>
      </c>
    </row>
    <row r="6275">
      <c r="A6275" s="10">
        <f>Daily_Data!A6275</f>
        <v>45309</v>
      </c>
      <c r="B6275" s="11">
        <f>Daily_Data!J6275</f>
        <v>14.13</v>
      </c>
      <c r="C6275" s="11">
        <f>Daily_Data!I6275</f>
        <v>0.42</v>
      </c>
      <c r="D6275" s="12">
        <f>if(sum(Daily_Data!K6275:L6275)&gt;0,1,0)</f>
        <v>0</v>
      </c>
    </row>
    <row r="6276">
      <c r="A6276" s="10">
        <f>Daily_Data!A6276</f>
        <v>45310</v>
      </c>
      <c r="B6276" s="11">
        <f>Daily_Data!J6276</f>
        <v>13.3</v>
      </c>
      <c r="C6276" s="11">
        <f>Daily_Data!I6276</f>
        <v>0.38</v>
      </c>
      <c r="D6276" s="12">
        <f>if(sum(Daily_Data!K6276:L6276)&gt;0,1,0)</f>
        <v>0</v>
      </c>
    </row>
    <row r="6277">
      <c r="A6277" s="10">
        <f>Daily_Data!A6277</f>
        <v>45313</v>
      </c>
      <c r="B6277" s="11">
        <f>Daily_Data!J6277</f>
        <v>13.19</v>
      </c>
      <c r="C6277" s="11">
        <f>Daily_Data!I6277</f>
        <v>0.4</v>
      </c>
      <c r="D6277" s="12">
        <f>if(sum(Daily_Data!K6277:L6277)&gt;0,1,0)</f>
        <v>0</v>
      </c>
    </row>
    <row r="6278">
      <c r="A6278" s="10">
        <f>Daily_Data!A6278</f>
        <v>45314</v>
      </c>
      <c r="B6278" s="11">
        <f>Daily_Data!J6278</f>
        <v>12.55</v>
      </c>
      <c r="C6278" s="11">
        <f>Daily_Data!I6278</f>
        <v>0.43</v>
      </c>
      <c r="D6278" s="12">
        <f>if(sum(Daily_Data!K6278:L6278)&gt;0,1,0)</f>
        <v>0</v>
      </c>
    </row>
    <row r="6279">
      <c r="A6279" s="10">
        <f>Daily_Data!A6279</f>
        <v>45315</v>
      </c>
      <c r="B6279" s="11">
        <f>Daily_Data!J6279</f>
        <v>13.14</v>
      </c>
      <c r="C6279" s="11">
        <f>Daily_Data!I6279</f>
        <v>0.45</v>
      </c>
      <c r="D6279" s="12">
        <f>if(sum(Daily_Data!K6279:L6279)&gt;0,1,0)</f>
        <v>0</v>
      </c>
    </row>
    <row r="6280">
      <c r="A6280" s="10">
        <f>Daily_Data!A6280</f>
        <v>45316</v>
      </c>
      <c r="B6280" s="11">
        <f>Daily_Data!J6280</f>
        <v>13.45</v>
      </c>
      <c r="C6280" s="11">
        <f>Daily_Data!I6280</f>
        <v>0.53</v>
      </c>
      <c r="D6280" s="12">
        <f>if(sum(Daily_Data!K6280:L6280)&gt;0,1,0)</f>
        <v>0</v>
      </c>
    </row>
    <row r="6281">
      <c r="A6281" s="10">
        <f>Daily_Data!A6281</f>
        <v>45317</v>
      </c>
      <c r="B6281" s="11">
        <f>Daily_Data!J6281</f>
        <v>13.26</v>
      </c>
      <c r="C6281" s="11">
        <f>Daily_Data!I6281</f>
        <v>0.41</v>
      </c>
      <c r="D6281" s="12">
        <f>if(sum(Daily_Data!K6281:L6281)&gt;0,1,0)</f>
        <v>0</v>
      </c>
    </row>
    <row r="6282">
      <c r="A6282" s="10">
        <f>Daily_Data!A6282</f>
        <v>45320</v>
      </c>
      <c r="B6282" s="11">
        <f>Daily_Data!J6282</f>
        <v>13.6</v>
      </c>
      <c r="C6282" s="11">
        <f>Daily_Data!I6282</f>
        <v>0.46</v>
      </c>
      <c r="D6282" s="12">
        <f>if(sum(Daily_Data!K6282:L6282)&gt;0,1,0)</f>
        <v>0</v>
      </c>
    </row>
    <row r="6283">
      <c r="A6283" s="10">
        <f>Daily_Data!A6283</f>
        <v>45321</v>
      </c>
      <c r="B6283" s="11">
        <f>Daily_Data!J6283</f>
        <v>13.31</v>
      </c>
      <c r="C6283" s="11">
        <f>Daily_Data!I6283</f>
        <v>0.42</v>
      </c>
      <c r="D6283" s="12">
        <f>if(sum(Daily_Data!K6283:L6283)&gt;0,1,0)</f>
        <v>0</v>
      </c>
    </row>
    <row r="6284">
      <c r="A6284" s="10">
        <f>Daily_Data!A6284</f>
        <v>45322</v>
      </c>
      <c r="B6284" s="11">
        <f>Daily_Data!J6284</f>
        <v>14.35</v>
      </c>
      <c r="C6284" s="11">
        <f>Daily_Data!I6284</f>
        <v>0.51</v>
      </c>
      <c r="D6284" s="12">
        <f>if(sum(Daily_Data!K6284:L6284)&gt;0,1,0)</f>
        <v>0</v>
      </c>
    </row>
    <row r="6285">
      <c r="A6285" s="10">
        <f>Daily_Data!A6285</f>
        <v>45323</v>
      </c>
      <c r="B6285" s="11">
        <f>Daily_Data!J6285</f>
        <v>13.88</v>
      </c>
      <c r="C6285" s="11">
        <f>Daily_Data!I6285</f>
        <v>0.57</v>
      </c>
      <c r="D6285" s="12">
        <f>if(sum(Daily_Data!K6285:L6285)&gt;0,1,0)</f>
        <v>0</v>
      </c>
    </row>
    <row r="6286">
      <c r="A6286" s="10">
        <f>Daily_Data!A6286</f>
        <v>45324</v>
      </c>
      <c r="B6286" s="11">
        <f>Daily_Data!J6286</f>
        <v>13.85</v>
      </c>
      <c r="C6286" s="11">
        <f>Daily_Data!I6286</f>
        <v>0.38</v>
      </c>
      <c r="D6286" s="12">
        <f>if(sum(Daily_Data!K6286:L6286)&gt;0,1,0)</f>
        <v>1</v>
      </c>
    </row>
    <row r="6287">
      <c r="A6287" s="10">
        <f>Daily_Data!A6287</f>
        <v>45327</v>
      </c>
      <c r="B6287" s="11">
        <f>Daily_Data!J6287</f>
        <v>13.67</v>
      </c>
      <c r="C6287" s="11">
        <f>Daily_Data!I6287</f>
        <v>0.41</v>
      </c>
      <c r="D6287" s="12">
        <f>if(sum(Daily_Data!K6287:L6287)&gt;0,1,0)</f>
        <v>0</v>
      </c>
    </row>
    <row r="6288">
      <c r="A6288" s="10">
        <f>Daily_Data!A6288</f>
        <v>45328</v>
      </c>
      <c r="B6288" s="11">
        <f>Daily_Data!J6288</f>
        <v>13.06</v>
      </c>
      <c r="C6288" s="11" t="str">
        <f>Daily_Data!I6288</f>
        <v/>
      </c>
      <c r="D6288" s="12">
        <f>if(sum(Daily_Data!K6288:L6288)&gt;0,1,0)</f>
        <v>0</v>
      </c>
    </row>
    <row r="6289">
      <c r="A6289" s="10">
        <f>Daily_Data!A6289</f>
        <v>45329</v>
      </c>
      <c r="B6289" s="11">
        <f>Daily_Data!J6289</f>
        <v>12.83</v>
      </c>
      <c r="C6289" s="11">
        <f>Daily_Data!I6289</f>
        <v>0.58</v>
      </c>
      <c r="D6289" s="12">
        <f>if(sum(Daily_Data!K6289:L6289)&gt;0,1,0)</f>
        <v>0</v>
      </c>
    </row>
    <row r="6290">
      <c r="A6290" s="10">
        <f>Daily_Data!A6290</f>
        <v>45330</v>
      </c>
      <c r="B6290" s="11">
        <f>Daily_Data!J6290</f>
        <v>12.79</v>
      </c>
      <c r="C6290" s="11">
        <f>Daily_Data!I6290</f>
        <v>0.56</v>
      </c>
      <c r="D6290" s="12">
        <f>if(sum(Daily_Data!K6290:L6290)&gt;0,1,0)</f>
        <v>0</v>
      </c>
    </row>
    <row r="6291">
      <c r="A6291" s="10">
        <f>Daily_Data!A6291</f>
        <v>45331</v>
      </c>
      <c r="B6291" s="11">
        <f>Daily_Data!J6291</f>
        <v>12.93</v>
      </c>
      <c r="C6291" s="11">
        <f>Daily_Data!I6291</f>
        <v>0.71</v>
      </c>
      <c r="D6291" s="12">
        <f>if(sum(Daily_Data!K6291:L6291)&gt;0,1,0)</f>
        <v>0</v>
      </c>
    </row>
    <row r="6292">
      <c r="A6292" s="10">
        <f>Daily_Data!A6292</f>
        <v>45334</v>
      </c>
      <c r="B6292" s="11">
        <f>Daily_Data!J6292</f>
        <v>13.93</v>
      </c>
      <c r="C6292" s="11">
        <f>Daily_Data!I6292</f>
        <v>0.76</v>
      </c>
      <c r="D6292" s="12">
        <f>if(sum(Daily_Data!K6292:L6292)&gt;0,1,0)</f>
        <v>0</v>
      </c>
    </row>
    <row r="6293">
      <c r="A6293" s="10">
        <f>Daily_Data!A6293</f>
        <v>45335</v>
      </c>
      <c r="B6293" s="11">
        <f>Daily_Data!J6293</f>
        <v>15.85</v>
      </c>
      <c r="C6293" s="11">
        <f>Daily_Data!I6293</f>
        <v>0.54</v>
      </c>
      <c r="D6293" s="12">
        <f>if(sum(Daily_Data!K6293:L6293)&gt;0,1,0)</f>
        <v>1</v>
      </c>
    </row>
    <row r="6294">
      <c r="A6294" s="10">
        <f>Daily_Data!A6294</f>
        <v>45336</v>
      </c>
      <c r="B6294" s="11">
        <f>Daily_Data!J6294</f>
        <v>14.38</v>
      </c>
      <c r="C6294" s="11">
        <f>Daily_Data!I6294</f>
        <v>0.66</v>
      </c>
      <c r="D6294" s="12">
        <f>if(sum(Daily_Data!K6294:L6294)&gt;0,1,0)</f>
        <v>0</v>
      </c>
    </row>
    <row r="6295">
      <c r="A6295" s="10">
        <f>Daily_Data!A6295</f>
        <v>45337</v>
      </c>
      <c r="B6295" s="11">
        <f>Daily_Data!J6295</f>
        <v>14.01</v>
      </c>
      <c r="C6295" s="11">
        <f>Daily_Data!I6295</f>
        <v>0.58</v>
      </c>
      <c r="D6295" s="12">
        <f>if(sum(Daily_Data!K6295:L6295)&gt;0,1,0)</f>
        <v>0</v>
      </c>
    </row>
    <row r="6296">
      <c r="A6296" s="10">
        <f>Daily_Data!A6296</f>
        <v>45338</v>
      </c>
      <c r="B6296" s="11">
        <f>Daily_Data!J6296</f>
        <v>14.24</v>
      </c>
      <c r="C6296" s="11">
        <f>Daily_Data!I6296</f>
        <v>0.51</v>
      </c>
      <c r="D6296" s="12">
        <f>if(sum(Daily_Data!K6296:L6296)&gt;0,1,0)</f>
        <v>0</v>
      </c>
    </row>
    <row r="6297">
      <c r="A6297" s="10">
        <f>Daily_Data!A6297</f>
        <v>45341</v>
      </c>
      <c r="B6297" s="11">
        <f>Daily_Data!J6297</f>
        <v>14.71</v>
      </c>
      <c r="C6297" s="11" t="str">
        <f>Daily_Data!I6297</f>
        <v/>
      </c>
      <c r="D6297" s="12">
        <f>if(sum(Daily_Data!K6297:L6297)&gt;0,1,0)</f>
        <v>0</v>
      </c>
    </row>
    <row r="6298">
      <c r="A6298" s="10">
        <f>Daily_Data!A6298</f>
        <v>45342</v>
      </c>
      <c r="B6298" s="11">
        <f>Daily_Data!J6298</f>
        <v>15.42</v>
      </c>
      <c r="C6298" s="11">
        <f>Daily_Data!I6298</f>
        <v>0.59</v>
      </c>
      <c r="D6298" s="12">
        <f>if(sum(Daily_Data!K6298:L6298)&gt;0,1,0)</f>
        <v>0</v>
      </c>
    </row>
    <row r="6299">
      <c r="A6299" s="10">
        <f>Daily_Data!A6299</f>
        <v>45343</v>
      </c>
      <c r="B6299" s="11">
        <f>Daily_Data!J6299</f>
        <v>15.34</v>
      </c>
      <c r="C6299" s="11">
        <f>Daily_Data!I6299</f>
        <v>0.55</v>
      </c>
      <c r="D6299" s="12">
        <f>if(sum(Daily_Data!K6299:L6299)&gt;0,1,0)</f>
        <v>0</v>
      </c>
    </row>
    <row r="6300">
      <c r="A6300" s="10">
        <f>Daily_Data!A6300</f>
        <v>45344</v>
      </c>
      <c r="B6300" s="11">
        <f>Daily_Data!J6300</f>
        <v>14.54</v>
      </c>
      <c r="C6300" s="11">
        <f>Daily_Data!I6300</f>
        <v>0.53</v>
      </c>
      <c r="D6300" s="12">
        <f>if(sum(Daily_Data!K6300:L6300)&gt;0,1,0)</f>
        <v>0</v>
      </c>
    </row>
    <row r="6301">
      <c r="A6301" s="10">
        <f>Daily_Data!A6301</f>
        <v>45345</v>
      </c>
      <c r="B6301" s="11">
        <f>Daily_Data!J6301</f>
        <v>13.75</v>
      </c>
      <c r="C6301" s="11">
        <f>Daily_Data!I6301</f>
        <v>0.6</v>
      </c>
      <c r="D6301" s="12">
        <f>if(sum(Daily_Data!K6301:L6301)&gt;0,1,0)</f>
        <v>0</v>
      </c>
    </row>
    <row r="6302">
      <c r="A6302" s="10">
        <f>Daily_Data!A6302</f>
        <v>45348</v>
      </c>
      <c r="B6302" s="11">
        <f>Daily_Data!J6302</f>
        <v>13.74</v>
      </c>
      <c r="C6302" s="11">
        <f>Daily_Data!I6302</f>
        <v>0.52</v>
      </c>
      <c r="D6302" s="12">
        <f>if(sum(Daily_Data!K6302:L6302)&gt;0,1,0)</f>
        <v>0</v>
      </c>
    </row>
    <row r="6303">
      <c r="A6303" s="10">
        <f>Daily_Data!A6303</f>
        <v>45349</v>
      </c>
      <c r="B6303" s="11">
        <f>Daily_Data!J6303</f>
        <v>13.43</v>
      </c>
      <c r="C6303" s="11">
        <f>Daily_Data!I6303</f>
        <v>0.47</v>
      </c>
      <c r="D6303" s="12">
        <f>if(sum(Daily_Data!K6303:L6303)&gt;0,1,0)</f>
        <v>0</v>
      </c>
    </row>
    <row r="6304">
      <c r="A6304" s="10">
        <f>Daily_Data!A6304</f>
        <v>45350</v>
      </c>
      <c r="B6304" s="11">
        <f>Daily_Data!J6304</f>
        <v>13.84</v>
      </c>
      <c r="C6304" s="11">
        <f>Daily_Data!I6304</f>
        <v>0.37</v>
      </c>
      <c r="D6304" s="12">
        <f>if(sum(Daily_Data!K6304:L6304)&gt;0,1,0)</f>
        <v>0</v>
      </c>
    </row>
    <row r="6305">
      <c r="A6305" s="10">
        <f>Daily_Data!A6305</f>
        <v>45351</v>
      </c>
      <c r="B6305" s="11">
        <f>Daily_Data!J6305</f>
        <v>13.4</v>
      </c>
      <c r="C6305" s="11">
        <f>Daily_Data!I6305</f>
        <v>0.34</v>
      </c>
      <c r="D6305" s="12">
        <f>if(sum(Daily_Data!K6305:L6305)&gt;0,1,0)</f>
        <v>0</v>
      </c>
    </row>
    <row r="6306">
      <c r="A6306" s="10">
        <f>Daily_Data!A6306</f>
        <v>45352</v>
      </c>
      <c r="B6306" s="11">
        <f>Daily_Data!J6306</f>
        <v>13.11</v>
      </c>
      <c r="C6306" s="11">
        <f>Daily_Data!I6306</f>
        <v>0.48</v>
      </c>
      <c r="D6306" s="12">
        <f>if(sum(Daily_Data!K6306:L6306)&gt;0,1,0)</f>
        <v>0</v>
      </c>
    </row>
    <row r="6307">
      <c r="A6307" s="10">
        <f>Daily_Data!A6307</f>
        <v>45355</v>
      </c>
      <c r="B6307" s="11">
        <f>Daily_Data!J6307</f>
        <v>13.49</v>
      </c>
      <c r="C6307" s="11">
        <f>Daily_Data!I6307</f>
        <v>0.42</v>
      </c>
      <c r="D6307" s="12">
        <f>if(sum(Daily_Data!K6307:L6307)&gt;0,1,0)</f>
        <v>0</v>
      </c>
    </row>
    <row r="6308">
      <c r="A6308" s="10">
        <f>Daily_Data!A6308</f>
        <v>45356</v>
      </c>
      <c r="B6308" s="11">
        <f>Daily_Data!J6308</f>
        <v>14.46</v>
      </c>
      <c r="C6308" s="11">
        <f>Daily_Data!I6308</f>
        <v>0.5</v>
      </c>
      <c r="D6308" s="12">
        <f>if(sum(Daily_Data!K6308:L6308)&gt;0,1,0)</f>
        <v>0</v>
      </c>
    </row>
    <row r="6309">
      <c r="A6309" s="10">
        <f>Daily_Data!A6309</f>
        <v>45357</v>
      </c>
      <c r="B6309" s="11">
        <f>Daily_Data!J6309</f>
        <v>14.5</v>
      </c>
      <c r="C6309" s="11">
        <f>Daily_Data!I6309</f>
        <v>0.46</v>
      </c>
      <c r="D6309" s="12">
        <f>if(sum(Daily_Data!K6309:L6309)&gt;0,1,0)</f>
        <v>0</v>
      </c>
    </row>
    <row r="6310">
      <c r="A6310" s="10">
        <f>Daily_Data!A6310</f>
        <v>45358</v>
      </c>
      <c r="B6310" s="11">
        <f>Daily_Data!J6310</f>
        <v>14.44</v>
      </c>
      <c r="C6310" s="11">
        <f>Daily_Data!I6310</f>
        <v>0.5</v>
      </c>
      <c r="D6310" s="12">
        <f>if(sum(Daily_Data!K6310:L6310)&gt;0,1,0)</f>
        <v>0</v>
      </c>
    </row>
    <row r="6311">
      <c r="A6311" s="10">
        <f>Daily_Data!A6311</f>
        <v>45359</v>
      </c>
      <c r="B6311" s="11">
        <f>Daily_Data!J6311</f>
        <v>14.74</v>
      </c>
      <c r="C6311" s="11">
        <f>Daily_Data!I6311</f>
        <v>0.45</v>
      </c>
      <c r="D6311" s="12">
        <f>if(sum(Daily_Data!K6311:L6311)&gt;0,1,0)</f>
        <v>1</v>
      </c>
    </row>
    <row r="6312">
      <c r="A6312" s="10">
        <f>Daily_Data!A6312</f>
        <v>45362</v>
      </c>
      <c r="B6312" s="11">
        <f>Daily_Data!J6312</f>
        <v>15.22</v>
      </c>
      <c r="C6312" s="11">
        <f>Daily_Data!I6312</f>
        <v>0.36</v>
      </c>
      <c r="D6312" s="12">
        <f>if(sum(Daily_Data!K6312:L6312)&gt;0,1,0)</f>
        <v>0</v>
      </c>
    </row>
    <row r="6313">
      <c r="A6313" s="10">
        <f>Daily_Data!A6313</f>
        <v>45363</v>
      </c>
      <c r="B6313" s="11">
        <f>Daily_Data!J6313</f>
        <v>13.84</v>
      </c>
      <c r="C6313" s="11">
        <f>Daily_Data!I6313</f>
        <v>0.29</v>
      </c>
      <c r="D6313" s="12">
        <f>if(sum(Daily_Data!K6313:L6313)&gt;0,1,0)</f>
        <v>1</v>
      </c>
    </row>
    <row r="6314">
      <c r="A6314" s="10">
        <f>Daily_Data!A6314</f>
        <v>45364</v>
      </c>
      <c r="B6314" s="11">
        <f>Daily_Data!J6314</f>
        <v>13.75</v>
      </c>
      <c r="C6314" s="11">
        <f>Daily_Data!I6314</f>
        <v>0.28</v>
      </c>
      <c r="D6314" s="12">
        <f>if(sum(Daily_Data!K6314:L6314)&gt;0,1,0)</f>
        <v>0</v>
      </c>
    </row>
    <row r="6315">
      <c r="A6315" s="10">
        <f>Daily_Data!A6315</f>
        <v>45365</v>
      </c>
      <c r="B6315" s="11">
        <f>Daily_Data!J6315</f>
        <v>14.4</v>
      </c>
      <c r="C6315" s="11">
        <f>Daily_Data!I6315</f>
        <v>0.24</v>
      </c>
      <c r="D6315" s="12">
        <f>if(sum(Daily_Data!K6315:L6315)&gt;0,1,0)</f>
        <v>0</v>
      </c>
    </row>
    <row r="6316">
      <c r="A6316" s="10">
        <f>Daily_Data!A6316</f>
        <v>45366</v>
      </c>
      <c r="B6316" s="11">
        <f>Daily_Data!J6316</f>
        <v>14.41</v>
      </c>
      <c r="C6316" s="11">
        <f>Daily_Data!I6316</f>
        <v>0.24</v>
      </c>
      <c r="D6316" s="12">
        <f>if(sum(Daily_Data!K6316:L6316)&gt;0,1,0)</f>
        <v>0</v>
      </c>
    </row>
    <row r="6317">
      <c r="A6317" s="10">
        <f>Daily_Data!A6317</f>
        <v>45369</v>
      </c>
      <c r="B6317" s="11">
        <f>Daily_Data!J6317</f>
        <v>14.33</v>
      </c>
      <c r="C6317" s="11">
        <f>Daily_Data!I6317</f>
        <v>0.23</v>
      </c>
      <c r="D6317" s="12">
        <f>if(sum(Daily_Data!K6317:L6317)&gt;0,1,0)</f>
        <v>0</v>
      </c>
    </row>
    <row r="6318">
      <c r="A6318" s="10">
        <f>Daily_Data!A6318</f>
        <v>45370</v>
      </c>
      <c r="B6318" s="11">
        <f>Daily_Data!J6318</f>
        <v>13.82</v>
      </c>
      <c r="C6318" s="11">
        <f>Daily_Data!I6318</f>
        <v>0.26</v>
      </c>
      <c r="D6318" s="12">
        <f>if(sum(Daily_Data!K6318:L6318)&gt;0,1,0)</f>
        <v>0</v>
      </c>
    </row>
    <row r="6319">
      <c r="A6319" s="10">
        <f>Daily_Data!A6319</f>
        <v>45371</v>
      </c>
      <c r="B6319" s="11">
        <f>Daily_Data!J6319</f>
        <v>13.04</v>
      </c>
      <c r="C6319" s="11">
        <f>Daily_Data!I6319</f>
        <v>0.28</v>
      </c>
      <c r="D6319" s="12">
        <f>if(sum(Daily_Data!K6319:L6319)&gt;0,1,0)</f>
        <v>0</v>
      </c>
    </row>
    <row r="6320">
      <c r="A6320" s="10">
        <f>Daily_Data!A6320</f>
        <v>45372</v>
      </c>
      <c r="B6320" s="11">
        <f>Daily_Data!J6320</f>
        <v>12.92</v>
      </c>
      <c r="C6320" s="11">
        <f>Daily_Data!I6320</f>
        <v>0.21</v>
      </c>
      <c r="D6320" s="12">
        <f>if(sum(Daily_Data!K6320:L6320)&gt;0,1,0)</f>
        <v>0</v>
      </c>
    </row>
    <row r="6321">
      <c r="A6321" s="10">
        <f>Daily_Data!A6321</f>
        <v>45373</v>
      </c>
      <c r="B6321" s="11">
        <f>Daily_Data!J6321</f>
        <v>13.06</v>
      </c>
      <c r="C6321" s="11">
        <f>Daily_Data!I6321</f>
        <v>0.26</v>
      </c>
      <c r="D6321" s="12">
        <f>if(sum(Daily_Data!K6321:L6321)&gt;0,1,0)</f>
        <v>0</v>
      </c>
    </row>
    <row r="6322">
      <c r="A6322" s="10">
        <f>Daily_Data!A6322</f>
        <v>45376</v>
      </c>
      <c r="B6322" s="11">
        <f>Daily_Data!J6322</f>
        <v>13.19</v>
      </c>
      <c r="C6322" s="11">
        <f>Daily_Data!I6322</f>
        <v>0.28</v>
      </c>
      <c r="D6322" s="12">
        <f>if(sum(Daily_Data!K6322:L6322)&gt;0,1,0)</f>
        <v>0</v>
      </c>
    </row>
    <row r="6323">
      <c r="A6323" s="10">
        <f>Daily_Data!A6323</f>
        <v>45377</v>
      </c>
      <c r="B6323" s="11">
        <f>Daily_Data!J6323</f>
        <v>13.24</v>
      </c>
      <c r="C6323" s="11">
        <f>Daily_Data!I6323</f>
        <v>0.28</v>
      </c>
      <c r="D6323" s="12">
        <f>if(sum(Daily_Data!K6323:L6323)&gt;0,1,0)</f>
        <v>0</v>
      </c>
    </row>
    <row r="6324">
      <c r="A6324" s="10">
        <f>Daily_Data!A6324</f>
        <v>45378</v>
      </c>
      <c r="B6324" s="11">
        <f>Daily_Data!J6324</f>
        <v>12.78</v>
      </c>
      <c r="C6324" s="11">
        <f>Daily_Data!I6324</f>
        <v>0.31</v>
      </c>
      <c r="D6324" s="12">
        <f>if(sum(Daily_Data!K6324:L6324)&gt;0,1,0)</f>
        <v>0</v>
      </c>
    </row>
    <row r="6325">
      <c r="A6325" s="10">
        <f>Daily_Data!A6325</f>
        <v>45379</v>
      </c>
      <c r="B6325" s="11">
        <f>Daily_Data!J6325</f>
        <v>13.01</v>
      </c>
      <c r="C6325" s="11">
        <f>Daily_Data!I6325</f>
        <v>0.2</v>
      </c>
      <c r="D6325" s="12">
        <f>if(sum(Daily_Data!K6325:L6325)&gt;0,1,0)</f>
        <v>0</v>
      </c>
    </row>
    <row r="6326">
      <c r="A6326" s="10">
        <f>Daily_Data!A6326</f>
        <v>45380</v>
      </c>
      <c r="B6326" s="11" t="str">
        <f>Daily_Data!J6326</f>
        <v/>
      </c>
      <c r="C6326" s="11" t="str">
        <f>Daily_Data!I6326</f>
        <v/>
      </c>
      <c r="D6326" s="12">
        <f>if(sum(Daily_Data!K6326:L6326)&gt;0,1,0)</f>
        <v>0</v>
      </c>
    </row>
    <row r="6327">
      <c r="A6327" s="10">
        <f>Daily_Data!A6327</f>
        <v>45383</v>
      </c>
      <c r="B6327" s="11">
        <f>Daily_Data!J6327</f>
        <v>13.65</v>
      </c>
      <c r="C6327" s="11" t="str">
        <f>Daily_Data!I6327</f>
        <v/>
      </c>
      <c r="D6327" s="12">
        <f>if(sum(Daily_Data!K6327:L6327)&gt;0,1,0)</f>
        <v>0</v>
      </c>
    </row>
    <row r="6328">
      <c r="A6328" s="10">
        <f>Daily_Data!A6328</f>
        <v>45384</v>
      </c>
      <c r="B6328" s="11">
        <f>Daily_Data!J6328</f>
        <v>14.61</v>
      </c>
      <c r="C6328" s="11">
        <f>Daily_Data!I6328</f>
        <v>0.12</v>
      </c>
      <c r="D6328" s="12">
        <f>if(sum(Daily_Data!K6328:L6328)&gt;0,1,0)</f>
        <v>0</v>
      </c>
    </row>
    <row r="6329">
      <c r="A6329" s="10">
        <f>Daily_Data!A6329</f>
        <v>45385</v>
      </c>
      <c r="B6329" s="11">
        <f>Daily_Data!J6329</f>
        <v>14.33</v>
      </c>
      <c r="C6329" s="11">
        <f>Daily_Data!I6329</f>
        <v>0.17</v>
      </c>
      <c r="D6329" s="12">
        <f>if(sum(Daily_Data!K6329:L6329)&gt;0,1,0)</f>
        <v>0</v>
      </c>
    </row>
    <row r="6330">
      <c r="A6330" s="10">
        <f>Daily_Data!A6330</f>
        <v>45386</v>
      </c>
      <c r="B6330" s="11">
        <f>Daily_Data!J6330</f>
        <v>16.35</v>
      </c>
      <c r="C6330" s="11">
        <f>Daily_Data!I6330</f>
        <v>0.22</v>
      </c>
      <c r="D6330" s="12">
        <f>if(sum(Daily_Data!K6330:L6330)&gt;0,1,0)</f>
        <v>0</v>
      </c>
    </row>
    <row r="6331">
      <c r="A6331" s="10">
        <f>Daily_Data!A6331</f>
        <v>45387</v>
      </c>
      <c r="B6331" s="11">
        <f>Daily_Data!J6331</f>
        <v>16.03</v>
      </c>
      <c r="C6331" s="11">
        <f>Daily_Data!I6331</f>
        <v>0.14</v>
      </c>
      <c r="D6331" s="12">
        <f>if(sum(Daily_Data!K6331:L6331)&gt;0,1,0)</f>
        <v>1</v>
      </c>
    </row>
    <row r="6332">
      <c r="A6332" s="10">
        <f>Daily_Data!A6332</f>
        <v>45390</v>
      </c>
      <c r="B6332" s="11">
        <f>Daily_Data!J6332</f>
        <v>15.19</v>
      </c>
      <c r="C6332" s="11">
        <f>Daily_Data!I6332</f>
        <v>0.16</v>
      </c>
      <c r="D6332" s="12">
        <f>if(sum(Daily_Data!K6332:L6332)&gt;0,1,0)</f>
        <v>0</v>
      </c>
    </row>
    <row r="6333">
      <c r="A6333" s="10">
        <f>Daily_Data!A6333</f>
        <v>45391</v>
      </c>
      <c r="B6333" s="11">
        <f>Daily_Data!J6333</f>
        <v>14.98</v>
      </c>
      <c r="C6333" s="11">
        <f>Daily_Data!I6333</f>
        <v>0.23</v>
      </c>
      <c r="D6333" s="12">
        <f>if(sum(Daily_Data!K6333:L6333)&gt;0,1,0)</f>
        <v>0</v>
      </c>
    </row>
    <row r="6334">
      <c r="A6334" s="10">
        <f>Daily_Data!A6334</f>
        <v>45392</v>
      </c>
      <c r="B6334" s="11">
        <f>Daily_Data!J6334</f>
        <v>15.8</v>
      </c>
      <c r="C6334" s="11">
        <f>Daily_Data!I6334</f>
        <v>-0.05</v>
      </c>
      <c r="D6334" s="12">
        <f>if(sum(Daily_Data!K6334:L6334)&gt;0,1,0)</f>
        <v>1</v>
      </c>
    </row>
    <row r="6335">
      <c r="A6335" s="10">
        <f>Daily_Data!A6335</f>
        <v>45393</v>
      </c>
      <c r="B6335" s="11">
        <f>Daily_Data!J6335</f>
        <v>14.91</v>
      </c>
      <c r="C6335" s="11">
        <f>Daily_Data!I6335</f>
        <v>0.13</v>
      </c>
      <c r="D6335" s="12">
        <f>if(sum(Daily_Data!K6335:L6335)&gt;0,1,0)</f>
        <v>0</v>
      </c>
    </row>
    <row r="6336">
      <c r="A6336" s="10">
        <f>Daily_Data!A6336</f>
        <v>45394</v>
      </c>
      <c r="B6336" s="11">
        <f>Daily_Data!J6336</f>
        <v>17.31</v>
      </c>
      <c r="C6336" s="11">
        <f>Daily_Data!I6336</f>
        <v>0.26</v>
      </c>
      <c r="D6336" s="12">
        <f>if(sum(Daily_Data!K6336:L6336)&gt;0,1,0)</f>
        <v>0</v>
      </c>
    </row>
    <row r="6337">
      <c r="A6337" s="10">
        <f>Daily_Data!A6337</f>
        <v>45397</v>
      </c>
      <c r="B6337" s="11">
        <f>Daily_Data!J6337</f>
        <v>19.23</v>
      </c>
      <c r="C6337" s="11">
        <f>Daily_Data!I6337</f>
        <v>0.14</v>
      </c>
      <c r="D6337" s="12">
        <f>if(sum(Daily_Data!K6337:L6337)&gt;0,1,0)</f>
        <v>0</v>
      </c>
    </row>
    <row r="6338">
      <c r="A6338" s="10">
        <f>Daily_Data!A6338</f>
        <v>45398</v>
      </c>
      <c r="B6338" s="11">
        <f>Daily_Data!J6338</f>
        <v>18.4</v>
      </c>
      <c r="C6338" s="11">
        <f>Daily_Data!I6338</f>
        <v>0.15</v>
      </c>
      <c r="D6338" s="12">
        <f>if(sum(Daily_Data!K6338:L6338)&gt;0,1,0)</f>
        <v>0</v>
      </c>
    </row>
    <row r="6339">
      <c r="A6339" s="10">
        <f>Daily_Data!A6339</f>
        <v>45399</v>
      </c>
      <c r="B6339" s="11">
        <f>Daily_Data!J6339</f>
        <v>18.21</v>
      </c>
      <c r="C6339" s="11">
        <f>Daily_Data!I6339</f>
        <v>0.25</v>
      </c>
      <c r="D6339" s="12">
        <f>if(sum(Daily_Data!K6339:L6339)&gt;0,1,0)</f>
        <v>0</v>
      </c>
    </row>
    <row r="6340">
      <c r="A6340" s="10">
        <f>Daily_Data!A6340</f>
        <v>45400</v>
      </c>
      <c r="B6340" s="11">
        <f>Daily_Data!J6340</f>
        <v>18</v>
      </c>
      <c r="C6340" s="11">
        <f>Daily_Data!I6340</f>
        <v>0.14</v>
      </c>
      <c r="D6340" s="12">
        <f>if(sum(Daily_Data!K6340:L6340)&gt;0,1,0)</f>
        <v>0</v>
      </c>
    </row>
    <row r="6341">
      <c r="A6341" s="10">
        <f>Daily_Data!A6341</f>
        <v>45401</v>
      </c>
      <c r="B6341" s="11">
        <f>Daily_Data!J6341</f>
        <v>18.71</v>
      </c>
      <c r="C6341" s="11">
        <f>Daily_Data!I6341</f>
        <v>0.11</v>
      </c>
      <c r="D6341" s="12">
        <f>if(sum(Daily_Data!K6341:L6341)&gt;0,1,0)</f>
        <v>0</v>
      </c>
    </row>
    <row r="6342">
      <c r="A6342" s="10">
        <f>Daily_Data!A6342</f>
        <v>45404</v>
      </c>
      <c r="B6342" s="11">
        <f>Daily_Data!J6342</f>
        <v>16.94</v>
      </c>
      <c r="C6342" s="11">
        <f>Daily_Data!I6342</f>
        <v>0.17</v>
      </c>
      <c r="D6342" s="12">
        <f>if(sum(Daily_Data!K6342:L6342)&gt;0,1,0)</f>
        <v>0</v>
      </c>
    </row>
    <row r="6343">
      <c r="A6343" s="10">
        <f>Daily_Data!A6343</f>
        <v>45405</v>
      </c>
      <c r="B6343" s="11">
        <f>Daily_Data!J6343</f>
        <v>15.69</v>
      </c>
      <c r="C6343" s="11">
        <f>Daily_Data!I6343</f>
        <v>0.22</v>
      </c>
      <c r="D6343" s="12">
        <f>if(sum(Daily_Data!K6343:L6343)&gt;0,1,0)</f>
        <v>0</v>
      </c>
    </row>
    <row r="6344">
      <c r="A6344" s="10">
        <f>Daily_Data!A6344</f>
        <v>45406</v>
      </c>
      <c r="B6344" s="11">
        <f>Daily_Data!J6344</f>
        <v>15.97</v>
      </c>
      <c r="C6344" s="11">
        <f>Daily_Data!I6344</f>
        <v>0.23</v>
      </c>
      <c r="D6344" s="12">
        <f>if(sum(Daily_Data!K6344:L6344)&gt;0,1,0)</f>
        <v>0</v>
      </c>
    </row>
    <row r="6345">
      <c r="A6345" s="10">
        <f>Daily_Data!A6345</f>
        <v>45407</v>
      </c>
      <c r="B6345" s="11">
        <f>Daily_Data!J6345</f>
        <v>15.37</v>
      </c>
      <c r="C6345" s="11" t="str">
        <f>Daily_Data!I6345</f>
        <v/>
      </c>
      <c r="D6345" s="12">
        <f>if(sum(Daily_Data!K6345:L6345)&gt;0,1,0)</f>
        <v>0</v>
      </c>
    </row>
    <row r="6346">
      <c r="A6346" s="10">
        <f>Daily_Data!A6346</f>
        <v>45408</v>
      </c>
      <c r="B6346" s="11">
        <f>Daily_Data!J6346</f>
        <v>15.03</v>
      </c>
      <c r="C6346" s="11">
        <f>Daily_Data!I6346</f>
        <v>0.24</v>
      </c>
      <c r="D6346" s="12">
        <f>if(sum(Daily_Data!K6346:L6346)&gt;0,1,0)</f>
        <v>0</v>
      </c>
    </row>
    <row r="6347">
      <c r="A6347" s="10">
        <f>Daily_Data!A6347</f>
        <v>45411</v>
      </c>
      <c r="B6347" s="11">
        <f>Daily_Data!J6347</f>
        <v>14.67</v>
      </c>
      <c r="C6347" s="11">
        <f>Daily_Data!I6347</f>
        <v>0.21</v>
      </c>
      <c r="D6347" s="12">
        <f>if(sum(Daily_Data!K6347:L6347)&gt;0,1,0)</f>
        <v>0</v>
      </c>
    </row>
    <row r="6348">
      <c r="A6348" s="10">
        <f>Daily_Data!A6348</f>
        <v>45412</v>
      </c>
      <c r="B6348" s="11">
        <f>Daily_Data!J6348</f>
        <v>15.65</v>
      </c>
      <c r="C6348" s="11">
        <f>Daily_Data!I6348</f>
        <v>0.06</v>
      </c>
      <c r="D6348" s="12">
        <f>if(sum(Daily_Data!K6348:L6348)&gt;0,1,0)</f>
        <v>0</v>
      </c>
    </row>
    <row r="6349">
      <c r="A6349" s="10">
        <f>Daily_Data!A6349</f>
        <v>45413</v>
      </c>
      <c r="B6349" s="11">
        <f>Daily_Data!J6349</f>
        <v>15.39</v>
      </c>
      <c r="C6349" s="11">
        <f>Daily_Data!I6349</f>
        <v>0.13</v>
      </c>
      <c r="D6349" s="12">
        <f>if(sum(Daily_Data!K6349:L6349)&gt;0,1,0)</f>
        <v>0</v>
      </c>
    </row>
    <row r="6350">
      <c r="A6350" s="10">
        <f>Daily_Data!A6350</f>
        <v>45414</v>
      </c>
      <c r="B6350" s="11">
        <f>Daily_Data!J6350</f>
        <v>14.68</v>
      </c>
      <c r="C6350" s="11">
        <f>Daily_Data!I6350</f>
        <v>0.17</v>
      </c>
      <c r="D6350" s="12">
        <f>if(sum(Daily_Data!K6350:L6350)&gt;0,1,0)</f>
        <v>0</v>
      </c>
    </row>
    <row r="6351">
      <c r="A6351" s="10">
        <f>Daily_Data!A6351</f>
        <v>45415</v>
      </c>
      <c r="B6351" s="11">
        <f>Daily_Data!J6351</f>
        <v>13.49</v>
      </c>
      <c r="C6351" s="11">
        <f>Daily_Data!I6351</f>
        <v>0.19</v>
      </c>
      <c r="D6351" s="12">
        <f>if(sum(Daily_Data!K6351:L6351)&gt;0,1,0)</f>
        <v>1</v>
      </c>
    </row>
    <row r="6352">
      <c r="A6352" s="10">
        <f>Daily_Data!A6352</f>
        <v>45418</v>
      </c>
      <c r="B6352" s="11">
        <f>Daily_Data!J6352</f>
        <v>13.49</v>
      </c>
      <c r="C6352" s="11">
        <f>Daily_Data!I6352</f>
        <v>0.17</v>
      </c>
      <c r="D6352" s="12">
        <f>if(sum(Daily_Data!K6352:L6352)&gt;0,1,0)</f>
        <v>0</v>
      </c>
    </row>
    <row r="6353">
      <c r="A6353" s="10">
        <f>Daily_Data!A6353</f>
        <v>45419</v>
      </c>
      <c r="B6353" s="11">
        <f>Daily_Data!J6353</f>
        <v>13.23</v>
      </c>
      <c r="C6353" s="11">
        <f>Daily_Data!I6353</f>
        <v>0.17</v>
      </c>
      <c r="D6353" s="12">
        <f>if(sum(Daily_Data!K6353:L6353)&gt;0,1,0)</f>
        <v>0</v>
      </c>
    </row>
    <row r="6354">
      <c r="A6354" s="10">
        <f>Daily_Data!A6354</f>
        <v>45420</v>
      </c>
      <c r="B6354" s="11">
        <f>Daily_Data!J6354</f>
        <v>13</v>
      </c>
      <c r="C6354" s="11">
        <f>Daily_Data!I6354</f>
        <v>0.15</v>
      </c>
      <c r="D6354" s="12">
        <f>if(sum(Daily_Data!K6354:L6354)&gt;0,1,0)</f>
        <v>0</v>
      </c>
    </row>
    <row r="6355">
      <c r="A6355" s="10">
        <f>Daily_Data!A6355</f>
        <v>45421</v>
      </c>
      <c r="B6355" s="11">
        <f>Daily_Data!J6355</f>
        <v>12.69</v>
      </c>
      <c r="C6355" s="11">
        <f>Daily_Data!I6355</f>
        <v>0.24</v>
      </c>
      <c r="D6355" s="12">
        <f>if(sum(Daily_Data!K6355:L6355)&gt;0,1,0)</f>
        <v>0</v>
      </c>
    </row>
    <row r="6356">
      <c r="A6356" s="10">
        <f>Daily_Data!A6356</f>
        <v>45422</v>
      </c>
      <c r="B6356" s="11">
        <f>Daily_Data!J6356</f>
        <v>12.55</v>
      </c>
      <c r="C6356" s="11">
        <f>Daily_Data!I6356</f>
        <v>0.13</v>
      </c>
      <c r="D6356" s="12">
        <f>if(sum(Daily_Data!K6356:L6356)&gt;0,1,0)</f>
        <v>0</v>
      </c>
    </row>
    <row r="6357">
      <c r="A6357" s="10">
        <f>Daily_Data!A6357</f>
        <v>45425</v>
      </c>
      <c r="B6357" s="11">
        <f>Daily_Data!J6357</f>
        <v>13.6</v>
      </c>
      <c r="C6357" s="11">
        <f>Daily_Data!I6357</f>
        <v>0.13</v>
      </c>
      <c r="D6357" s="12">
        <f>if(sum(Daily_Data!K6357:L6357)&gt;0,1,0)</f>
        <v>0</v>
      </c>
    </row>
    <row r="6358">
      <c r="A6358" s="10">
        <f>Daily_Data!A6358</f>
        <v>45426</v>
      </c>
      <c r="B6358" s="11">
        <f>Daily_Data!J6358</f>
        <v>13.42</v>
      </c>
      <c r="C6358" s="11">
        <f>Daily_Data!I6358</f>
        <v>0.15</v>
      </c>
      <c r="D6358" s="12">
        <f>if(sum(Daily_Data!K6358:L6358)&gt;0,1,0)</f>
        <v>0</v>
      </c>
    </row>
    <row r="6359">
      <c r="A6359" s="10">
        <f>Daily_Data!A6359</f>
        <v>45427</v>
      </c>
      <c r="B6359" s="11">
        <f>Daily_Data!J6359</f>
        <v>12.45</v>
      </c>
      <c r="C6359" s="11">
        <f>Daily_Data!I6359</f>
        <v>0.22</v>
      </c>
      <c r="D6359" s="12">
        <f>if(sum(Daily_Data!K6359:L6359)&gt;0,1,0)</f>
        <v>1</v>
      </c>
    </row>
    <row r="6360">
      <c r="A6360" s="10">
        <f>Daily_Data!A6360</f>
        <v>45428</v>
      </c>
      <c r="B6360" s="11">
        <f>Daily_Data!J6360</f>
        <v>12.42</v>
      </c>
      <c r="C6360" s="11">
        <f>Daily_Data!I6360</f>
        <v>0.11</v>
      </c>
      <c r="D6360" s="12">
        <f>if(sum(Daily_Data!K6360:L6360)&gt;0,1,0)</f>
        <v>0</v>
      </c>
    </row>
    <row r="6361">
      <c r="A6361" s="10">
        <f>Daily_Data!A6361</f>
        <v>45429</v>
      </c>
      <c r="B6361" s="11">
        <f>Daily_Data!J6361</f>
        <v>11.99</v>
      </c>
      <c r="C6361" s="11">
        <f>Daily_Data!I6361</f>
        <v>0.07</v>
      </c>
      <c r="D6361" s="12">
        <f>if(sum(Daily_Data!K6361:L6361)&gt;0,1,0)</f>
        <v>0</v>
      </c>
    </row>
    <row r="6362">
      <c r="A6362" s="10">
        <f>Daily_Data!A6362</f>
        <v>45432</v>
      </c>
      <c r="B6362" s="11">
        <f>Daily_Data!J6362</f>
        <v>12.15</v>
      </c>
      <c r="C6362" s="11">
        <f>Daily_Data!I6362</f>
        <v>0.08</v>
      </c>
      <c r="D6362" s="12">
        <f>if(sum(Daily_Data!K6362:L6362)&gt;0,1,0)</f>
        <v>0</v>
      </c>
    </row>
    <row r="6363">
      <c r="A6363" s="10">
        <f>Daily_Data!A6363</f>
        <v>45433</v>
      </c>
      <c r="B6363" s="11">
        <f>Daily_Data!J6363</f>
        <v>11.86</v>
      </c>
      <c r="C6363" s="11">
        <f>Daily_Data!I6363</f>
        <v>0.07</v>
      </c>
      <c r="D6363" s="12">
        <f>if(sum(Daily_Data!K6363:L6363)&gt;0,1,0)</f>
        <v>0</v>
      </c>
    </row>
    <row r="6364">
      <c r="A6364" s="10">
        <f>Daily_Data!A6364</f>
        <v>45434</v>
      </c>
      <c r="B6364" s="11">
        <f>Daily_Data!J6364</f>
        <v>12.29</v>
      </c>
      <c r="C6364" s="11">
        <f>Daily_Data!I6364</f>
        <v>0.12</v>
      </c>
      <c r="D6364" s="12">
        <f>if(sum(Daily_Data!K6364:L6364)&gt;0,1,0)</f>
        <v>0</v>
      </c>
    </row>
    <row r="6365">
      <c r="A6365" s="10">
        <f>Daily_Data!A6365</f>
        <v>45435</v>
      </c>
      <c r="B6365" s="11">
        <f>Daily_Data!J6365</f>
        <v>12.77</v>
      </c>
      <c r="C6365" s="11">
        <f>Daily_Data!I6365</f>
        <v>0.15</v>
      </c>
      <c r="D6365" s="12">
        <f>if(sum(Daily_Data!K6365:L6365)&gt;0,1,0)</f>
        <v>0</v>
      </c>
    </row>
    <row r="6366">
      <c r="A6366" s="10">
        <f>Daily_Data!A6366</f>
        <v>45436</v>
      </c>
      <c r="B6366" s="11">
        <f>Daily_Data!J6366</f>
        <v>11.93</v>
      </c>
      <c r="C6366" s="11">
        <f>Daily_Data!I6366</f>
        <v>0.18</v>
      </c>
      <c r="D6366" s="12">
        <f>if(sum(Daily_Data!K6366:L6366)&gt;0,1,0)</f>
        <v>0</v>
      </c>
    </row>
    <row r="6367">
      <c r="A6367" s="10">
        <f>Daily_Data!A6367</f>
        <v>45439</v>
      </c>
      <c r="B6367" s="11">
        <f>Daily_Data!J6367</f>
        <v>12.36</v>
      </c>
      <c r="C6367" s="11" t="str">
        <f>Daily_Data!I6367</f>
        <v/>
      </c>
      <c r="D6367" s="12">
        <f>if(sum(Daily_Data!K6367:L6367)&gt;0,1,0)</f>
        <v>0</v>
      </c>
    </row>
    <row r="6368">
      <c r="A6368" s="10">
        <f>Daily_Data!A6368</f>
        <v>45440</v>
      </c>
      <c r="B6368" s="11">
        <f>Daily_Data!J6368</f>
        <v>12.92</v>
      </c>
      <c r="C6368" s="11">
        <f>Daily_Data!I6368</f>
        <v>0.21</v>
      </c>
      <c r="D6368" s="12">
        <f>if(sum(Daily_Data!K6368:L6368)&gt;0,1,0)</f>
        <v>0</v>
      </c>
    </row>
    <row r="6369">
      <c r="A6369" s="10">
        <f>Daily_Data!A6369</f>
        <v>45441</v>
      </c>
      <c r="B6369" s="11">
        <f>Daily_Data!J6369</f>
        <v>14.28</v>
      </c>
      <c r="C6369" s="11">
        <f>Daily_Data!I6369</f>
        <v>0.23</v>
      </c>
      <c r="D6369" s="12">
        <f>if(sum(Daily_Data!K6369:L6369)&gt;0,1,0)</f>
        <v>0</v>
      </c>
    </row>
    <row r="6370">
      <c r="A6370" s="10">
        <f>Daily_Data!A6370</f>
        <v>45442</v>
      </c>
      <c r="B6370" s="11">
        <f>Daily_Data!J6370</f>
        <v>14.47</v>
      </c>
      <c r="C6370" s="11">
        <f>Daily_Data!I6370</f>
        <v>0.22</v>
      </c>
      <c r="D6370" s="12">
        <f>if(sum(Daily_Data!K6370:L6370)&gt;0,1,0)</f>
        <v>0</v>
      </c>
    </row>
    <row r="6371">
      <c r="A6371" s="10">
        <f>Daily_Data!A6371</f>
        <v>45443</v>
      </c>
      <c r="B6371" s="11">
        <f>Daily_Data!J6371</f>
        <v>12.92</v>
      </c>
      <c r="C6371" s="11">
        <f>Daily_Data!I6371</f>
        <v>0.2</v>
      </c>
      <c r="D6371" s="12">
        <f>if(sum(Daily_Data!K6371:L6371)&gt;0,1,0)</f>
        <v>0</v>
      </c>
    </row>
    <row r="6372">
      <c r="A6372" s="10">
        <f>Daily_Data!A6372</f>
        <v>45446</v>
      </c>
      <c r="B6372" s="11">
        <f>Daily_Data!J6372</f>
        <v>13.11</v>
      </c>
      <c r="C6372" s="11" t="str">
        <f>Daily_Data!I6372</f>
        <v/>
      </c>
      <c r="D6372" s="12">
        <f>if(sum(Daily_Data!K6372:L6372)&gt;0,1,0)</f>
        <v>0</v>
      </c>
    </row>
    <row r="6373">
      <c r="A6373" s="10">
        <f>Daily_Data!A6373</f>
        <v>45447</v>
      </c>
      <c r="B6373" s="11">
        <f>Daily_Data!J6373</f>
        <v>13.16</v>
      </c>
      <c r="C6373" s="11">
        <f>Daily_Data!I6373</f>
        <v>0.29</v>
      </c>
      <c r="D6373" s="12">
        <f>if(sum(Daily_Data!K6373:L6373)&gt;0,1,0)</f>
        <v>0</v>
      </c>
    </row>
    <row r="6374">
      <c r="A6374" s="10">
        <f>Daily_Data!A6374</f>
        <v>45448</v>
      </c>
      <c r="B6374" s="11">
        <f>Daily_Data!J6374</f>
        <v>12.63</v>
      </c>
      <c r="C6374" s="11">
        <f>Daily_Data!I6374</f>
        <v>0.32</v>
      </c>
      <c r="D6374" s="12">
        <f>if(sum(Daily_Data!K6374:L6374)&gt;0,1,0)</f>
        <v>0</v>
      </c>
    </row>
    <row r="6375">
      <c r="A6375" s="10">
        <f>Daily_Data!A6375</f>
        <v>45449</v>
      </c>
      <c r="B6375" s="11">
        <f>Daily_Data!J6375</f>
        <v>12.58</v>
      </c>
      <c r="C6375" s="11">
        <f>Daily_Data!I6375</f>
        <v>0.28</v>
      </c>
      <c r="D6375" s="12">
        <f>if(sum(Daily_Data!K6375:L6375)&gt;0,1,0)</f>
        <v>0</v>
      </c>
    </row>
    <row r="6376">
      <c r="A6376" s="10">
        <f>Daily_Data!A6376</f>
        <v>45450</v>
      </c>
      <c r="B6376" s="11">
        <f>Daily_Data!J6376</f>
        <v>12.22</v>
      </c>
      <c r="C6376" s="11">
        <f>Daily_Data!I6376</f>
        <v>0.14</v>
      </c>
      <c r="D6376" s="12">
        <f>if(sum(Daily_Data!K6376:L6376)&gt;0,1,0)</f>
        <v>1</v>
      </c>
    </row>
    <row r="6377">
      <c r="A6377" s="10">
        <f>Daily_Data!A6377</f>
        <v>45453</v>
      </c>
      <c r="B6377" s="11">
        <f>Daily_Data!J6377</f>
        <v>12.74</v>
      </c>
      <c r="C6377" s="11">
        <f>Daily_Data!I6377</f>
        <v>0.21</v>
      </c>
      <c r="D6377" s="12">
        <f>if(sum(Daily_Data!K6377:L6377)&gt;0,1,0)</f>
        <v>0</v>
      </c>
    </row>
    <row r="6378">
      <c r="A6378" s="10">
        <f>Daily_Data!A6378</f>
        <v>45454</v>
      </c>
      <c r="B6378" s="11">
        <f>Daily_Data!J6378</f>
        <v>12.85</v>
      </c>
      <c r="C6378" s="11">
        <f>Daily_Data!I6378</f>
        <v>0.23</v>
      </c>
      <c r="D6378" s="12">
        <f>if(sum(Daily_Data!K6378:L6378)&gt;0,1,0)</f>
        <v>0</v>
      </c>
    </row>
    <row r="6379">
      <c r="A6379" s="10">
        <f>Daily_Data!A6379</f>
        <v>45455</v>
      </c>
      <c r="B6379" s="11">
        <f>Daily_Data!J6379</f>
        <v>12.04</v>
      </c>
      <c r="C6379" s="11">
        <f>Daily_Data!I6379</f>
        <v>0.29</v>
      </c>
      <c r="D6379" s="12">
        <f>if(sum(Daily_Data!K6379:L6379)&gt;0,1,0)</f>
        <v>1</v>
      </c>
    </row>
    <row r="6380">
      <c r="A6380" s="10">
        <f>Daily_Data!A6380</f>
        <v>45456</v>
      </c>
      <c r="B6380" s="11">
        <f>Daily_Data!J6380</f>
        <v>11.94</v>
      </c>
      <c r="C6380" s="11">
        <f>Daily_Data!I6380</f>
        <v>0.31</v>
      </c>
      <c r="D6380" s="12">
        <f>if(sum(Daily_Data!K6380:L6380)&gt;0,1,0)</f>
        <v>0</v>
      </c>
    </row>
    <row r="6381">
      <c r="A6381" s="10">
        <f>Daily_Data!A6381</f>
        <v>45457</v>
      </c>
      <c r="B6381" s="11">
        <f>Daily_Data!J6381</f>
        <v>12.66</v>
      </c>
      <c r="C6381" s="11">
        <f>Daily_Data!I6381</f>
        <v>0.26</v>
      </c>
      <c r="D6381" s="12">
        <f>if(sum(Daily_Data!K6381:L6381)&gt;0,1,0)</f>
        <v>0</v>
      </c>
    </row>
    <row r="6382">
      <c r="A6382" s="10">
        <f>Daily_Data!A6382</f>
        <v>45460</v>
      </c>
      <c r="B6382" s="11">
        <f>Daily_Data!J6382</f>
        <v>12.75</v>
      </c>
      <c r="C6382" s="11">
        <f>Daily_Data!I6382</f>
        <v>0.18</v>
      </c>
      <c r="D6382" s="12">
        <f>if(sum(Daily_Data!K6382:L6382)&gt;0,1,0)</f>
        <v>0</v>
      </c>
    </row>
    <row r="6383">
      <c r="A6383" s="10">
        <f>Daily_Data!A6383</f>
        <v>45461</v>
      </c>
      <c r="B6383" s="11">
        <f>Daily_Data!J6383</f>
        <v>12.3</v>
      </c>
      <c r="C6383" s="11">
        <f>Daily_Data!I6383</f>
        <v>0.24</v>
      </c>
      <c r="D6383" s="12">
        <f>if(sum(Daily_Data!K6383:L6383)&gt;0,1,0)</f>
        <v>0</v>
      </c>
    </row>
    <row r="6384">
      <c r="A6384" s="10">
        <f>Daily_Data!A6384</f>
        <v>45462</v>
      </c>
      <c r="B6384" s="11">
        <f>Daily_Data!J6384</f>
        <v>12.48</v>
      </c>
      <c r="C6384" s="11" t="str">
        <f>Daily_Data!I6384</f>
        <v/>
      </c>
      <c r="D6384" s="12">
        <f>if(sum(Daily_Data!K6384:L6384)&gt;0,1,0)</f>
        <v>0</v>
      </c>
    </row>
    <row r="6385">
      <c r="A6385" s="10">
        <f>Daily_Data!A6385</f>
        <v>45463</v>
      </c>
      <c r="B6385" s="11">
        <f>Daily_Data!J6385</f>
        <v>13.28</v>
      </c>
      <c r="C6385" s="11">
        <f>Daily_Data!I6385</f>
        <v>0.23</v>
      </c>
      <c r="D6385" s="12">
        <f>if(sum(Daily_Data!K6385:L6385)&gt;0,1,0)</f>
        <v>0</v>
      </c>
    </row>
    <row r="6386">
      <c r="A6386" s="10">
        <f>Daily_Data!A6386</f>
        <v>45464</v>
      </c>
      <c r="B6386" s="11">
        <f>Daily_Data!J6386</f>
        <v>13.2</v>
      </c>
      <c r="C6386" s="11">
        <f>Daily_Data!I6386</f>
        <v>0.24</v>
      </c>
      <c r="D6386" s="12">
        <f>if(sum(Daily_Data!K6386:L6386)&gt;0,1,0)</f>
        <v>0</v>
      </c>
    </row>
    <row r="6387">
      <c r="A6387" s="10">
        <f>Daily_Data!A6387</f>
        <v>45467</v>
      </c>
      <c r="B6387" s="11">
        <f>Daily_Data!J6387</f>
        <v>13.33</v>
      </c>
      <c r="C6387" s="11">
        <f>Daily_Data!I6387</f>
        <v>0.2</v>
      </c>
      <c r="D6387" s="12">
        <f>if(sum(Daily_Data!K6387:L6387)&gt;0,1,0)</f>
        <v>0</v>
      </c>
    </row>
    <row r="6388">
      <c r="A6388" s="10">
        <f>Daily_Data!A6388</f>
        <v>45468</v>
      </c>
      <c r="B6388" s="11">
        <f>Daily_Data!J6388</f>
        <v>12.84</v>
      </c>
      <c r="C6388" s="11">
        <f>Daily_Data!I6388</f>
        <v>0.25</v>
      </c>
      <c r="D6388" s="12">
        <f>if(sum(Daily_Data!K6388:L6388)&gt;0,1,0)</f>
        <v>0</v>
      </c>
    </row>
    <row r="6389">
      <c r="A6389" s="10">
        <f>Daily_Data!A6389</f>
        <v>45469</v>
      </c>
      <c r="B6389" s="11">
        <f>Daily_Data!J6389</f>
        <v>12.55</v>
      </c>
      <c r="C6389" s="11">
        <f>Daily_Data!I6389</f>
        <v>0.23</v>
      </c>
      <c r="D6389" s="12">
        <f>if(sum(Daily_Data!K6389:L6389)&gt;0,1,0)</f>
        <v>0</v>
      </c>
    </row>
    <row r="6390">
      <c r="A6390" s="10">
        <f>Daily_Data!A6390</f>
        <v>45470</v>
      </c>
      <c r="B6390" s="11">
        <f>Daily_Data!J6390</f>
        <v>12.24</v>
      </c>
      <c r="C6390" s="11">
        <f>Daily_Data!I6390</f>
        <v>0.26</v>
      </c>
      <c r="D6390" s="12">
        <f>if(sum(Daily_Data!K6390:L6390)&gt;0,1,0)</f>
        <v>0</v>
      </c>
    </row>
    <row r="6391">
      <c r="A6391" s="10">
        <f>Daily_Data!A6391</f>
        <v>45471</v>
      </c>
      <c r="B6391" s="11">
        <f>Daily_Data!J6391</f>
        <v>12.44</v>
      </c>
      <c r="C6391" s="11" t="str">
        <f>Daily_Data!I6391</f>
        <v/>
      </c>
      <c r="D6391" s="12">
        <f>if(sum(Daily_Data!K6391:L6391)&gt;0,1,0)</f>
        <v>0</v>
      </c>
    </row>
    <row r="6392">
      <c r="A6392" s="10">
        <f>Daily_Data!A6392</f>
        <v>45474</v>
      </c>
      <c r="B6392" s="11">
        <f>Daily_Data!J6392</f>
        <v>12.22</v>
      </c>
      <c r="C6392" s="11">
        <f>Daily_Data!I6392</f>
        <v>0.15</v>
      </c>
      <c r="D6392" s="12">
        <f>if(sum(Daily_Data!K6392:L6392)&gt;0,1,0)</f>
        <v>0</v>
      </c>
    </row>
    <row r="6393">
      <c r="A6393" s="10">
        <f>Daily_Data!A6393</f>
        <v>45475</v>
      </c>
      <c r="B6393" s="11">
        <f>Daily_Data!J6393</f>
        <v>12.03</v>
      </c>
      <c r="C6393" s="11">
        <f>Daily_Data!I6393</f>
        <v>0.17</v>
      </c>
      <c r="D6393" s="12">
        <f>if(sum(Daily_Data!K6393:L6393)&gt;0,1,0)</f>
        <v>0</v>
      </c>
    </row>
    <row r="6394">
      <c r="A6394" s="10">
        <f>Daily_Data!A6394</f>
        <v>45476</v>
      </c>
      <c r="B6394" s="11">
        <f>Daily_Data!J6394</f>
        <v>12.09</v>
      </c>
      <c r="C6394" s="11">
        <f>Daily_Data!I6394</f>
        <v>0.18</v>
      </c>
      <c r="D6394" s="12">
        <f>if(sum(Daily_Data!K6394:L6394)&gt;0,1,0)</f>
        <v>0</v>
      </c>
    </row>
    <row r="6395">
      <c r="A6395" s="10">
        <f>Daily_Data!A6395</f>
        <v>45477</v>
      </c>
      <c r="B6395" s="11">
        <f>Daily_Data!J6395</f>
        <v>12.26</v>
      </c>
      <c r="C6395" s="11" t="str">
        <f>Daily_Data!I6395</f>
        <v/>
      </c>
      <c r="D6395" s="12">
        <f>if(sum(Daily_Data!K6395:L6395)&gt;0,1,0)</f>
        <v>0</v>
      </c>
    </row>
    <row r="6396">
      <c r="A6396" s="10">
        <f>Daily_Data!A6396</f>
        <v>45478</v>
      </c>
      <c r="B6396" s="11">
        <f>Daily_Data!J6396</f>
        <v>12.48</v>
      </c>
      <c r="C6396" s="11">
        <f>Daily_Data!I6396</f>
        <v>0.27</v>
      </c>
      <c r="D6396" s="12">
        <f>if(sum(Daily_Data!K6396:L6396)&gt;0,1,0)</f>
        <v>1</v>
      </c>
    </row>
    <row r="6397">
      <c r="A6397" s="10">
        <f>Daily_Data!A6397</f>
        <v>45481</v>
      </c>
      <c r="B6397" s="11">
        <f>Daily_Data!J6397</f>
        <v>12.37</v>
      </c>
      <c r="C6397" s="11">
        <f>Daily_Data!I6397</f>
        <v>0.22</v>
      </c>
      <c r="D6397" s="12">
        <f>if(sum(Daily_Data!K6397:L6397)&gt;0,1,0)</f>
        <v>0</v>
      </c>
    </row>
    <row r="6398">
      <c r="A6398" s="10">
        <f>Daily_Data!A6398</f>
        <v>45482</v>
      </c>
      <c r="B6398" s="11">
        <f>Daily_Data!J6398</f>
        <v>12.51</v>
      </c>
      <c r="C6398" s="11">
        <f>Daily_Data!I6398</f>
        <v>0.19</v>
      </c>
      <c r="D6398" s="12">
        <f>if(sum(Daily_Data!K6398:L6398)&gt;0,1,0)</f>
        <v>0</v>
      </c>
    </row>
    <row r="6399">
      <c r="A6399" s="10">
        <f>Daily_Data!A6399</f>
        <v>45483</v>
      </c>
      <c r="B6399" s="11">
        <f>Daily_Data!J6399</f>
        <v>12.85</v>
      </c>
      <c r="C6399" s="11">
        <f>Daily_Data!I6399</f>
        <v>-0.01</v>
      </c>
      <c r="D6399" s="12">
        <f>if(sum(Daily_Data!K6399:L6399)&gt;0,1,0)</f>
        <v>0</v>
      </c>
    </row>
    <row r="6400">
      <c r="A6400" s="10">
        <f>Daily_Data!A6400</f>
        <v>45484</v>
      </c>
      <c r="B6400" s="11">
        <f>Daily_Data!J6400</f>
        <v>12.92</v>
      </c>
      <c r="C6400" s="11">
        <f>Daily_Data!I6400</f>
        <v>0.06</v>
      </c>
      <c r="D6400" s="12">
        <f>if(sum(Daily_Data!K6400:L6400)&gt;0,1,0)</f>
        <v>1</v>
      </c>
    </row>
    <row r="6401">
      <c r="A6401" s="10">
        <f>Daily_Data!A6401</f>
        <v>45485</v>
      </c>
      <c r="B6401" s="11">
        <f>Daily_Data!J6401</f>
        <v>12.46</v>
      </c>
      <c r="C6401" s="11">
        <f>Daily_Data!I6401</f>
        <v>0.04</v>
      </c>
      <c r="D6401" s="12">
        <f>if(sum(Daily_Data!K6401:L6401)&gt;0,1,0)</f>
        <v>0</v>
      </c>
    </row>
    <row r="6402">
      <c r="A6402" s="10">
        <f>Daily_Data!A6402</f>
        <v>45488</v>
      </c>
      <c r="B6402" s="11">
        <f>Daily_Data!J6402</f>
        <v>13.12</v>
      </c>
      <c r="C6402" s="11">
        <f>Daily_Data!I6402</f>
        <v>-0.01</v>
      </c>
      <c r="D6402" s="12">
        <f>if(sum(Daily_Data!K6402:L6402)&gt;0,1,0)</f>
        <v>0</v>
      </c>
    </row>
    <row r="6403">
      <c r="A6403" s="10">
        <f>Daily_Data!A6403</f>
        <v>45489</v>
      </c>
      <c r="B6403" s="11">
        <f>Daily_Data!J6403</f>
        <v>13.19</v>
      </c>
      <c r="C6403" s="11">
        <f>Daily_Data!I6403</f>
        <v>-0.06</v>
      </c>
      <c r="D6403" s="12">
        <f>if(sum(Daily_Data!K6403:L6403)&gt;0,1,0)</f>
        <v>0</v>
      </c>
    </row>
    <row r="6404">
      <c r="A6404" s="10">
        <f>Daily_Data!A6404</f>
        <v>45490</v>
      </c>
      <c r="B6404" s="11">
        <f>Daily_Data!J6404</f>
        <v>14.48</v>
      </c>
      <c r="C6404" s="11">
        <f>Daily_Data!I6404</f>
        <v>-0.01</v>
      </c>
      <c r="D6404" s="12">
        <f>if(sum(Daily_Data!K6404:L6404)&gt;0,1,0)</f>
        <v>0</v>
      </c>
    </row>
    <row r="6405">
      <c r="A6405" s="10">
        <f>Daily_Data!A6405</f>
        <v>45491</v>
      </c>
      <c r="B6405" s="11">
        <f>Daily_Data!J6405</f>
        <v>15.93</v>
      </c>
      <c r="C6405" s="11">
        <f>Daily_Data!I6405</f>
        <v>-0.1</v>
      </c>
      <c r="D6405" s="12">
        <f>if(sum(Daily_Data!K6405:L6405)&gt;0,1,0)</f>
        <v>0</v>
      </c>
    </row>
    <row r="6406">
      <c r="A6406" s="10">
        <f>Daily_Data!A6406</f>
        <v>45492</v>
      </c>
      <c r="B6406" s="11">
        <f>Daily_Data!J6406</f>
        <v>16.52</v>
      </c>
      <c r="C6406" s="11">
        <f>Daily_Data!I6406</f>
        <v>-0.15</v>
      </c>
      <c r="D6406" s="12">
        <f>if(sum(Daily_Data!K6406:L6406)&gt;0,1,0)</f>
        <v>0</v>
      </c>
    </row>
    <row r="6407">
      <c r="A6407" s="10">
        <f>Daily_Data!A6407</f>
        <v>45495</v>
      </c>
      <c r="B6407" s="11">
        <f>Daily_Data!J6407</f>
        <v>14.91</v>
      </c>
      <c r="C6407" s="11">
        <f>Daily_Data!I6407</f>
        <v>-0.15</v>
      </c>
      <c r="D6407" s="12">
        <f>if(sum(Daily_Data!K6407:L6407)&gt;0,1,0)</f>
        <v>0</v>
      </c>
    </row>
    <row r="6408">
      <c r="A6408" s="10">
        <f>Daily_Data!A6408</f>
        <v>45496</v>
      </c>
      <c r="B6408" s="11">
        <f>Daily_Data!J6408</f>
        <v>14.72</v>
      </c>
      <c r="C6408" s="11">
        <f>Daily_Data!I6408</f>
        <v>-0.08</v>
      </c>
      <c r="D6408" s="12">
        <f>if(sum(Daily_Data!K6408:L6408)&gt;0,1,0)</f>
        <v>0</v>
      </c>
    </row>
    <row r="6409">
      <c r="A6409" s="10">
        <f>Daily_Data!A6409</f>
        <v>45497</v>
      </c>
      <c r="B6409" s="11">
        <f>Daily_Data!J6409</f>
        <v>18.04</v>
      </c>
      <c r="C6409" s="11">
        <f>Daily_Data!I6409</f>
        <v>-0.12</v>
      </c>
      <c r="D6409" s="12">
        <f>if(sum(Daily_Data!K6409:L6409)&gt;0,1,0)</f>
        <v>0</v>
      </c>
    </row>
    <row r="6410">
      <c r="A6410" s="10">
        <f>Daily_Data!A6410</f>
        <v>45498</v>
      </c>
      <c r="B6410" s="11">
        <f>Daily_Data!J6410</f>
        <v>18.46</v>
      </c>
      <c r="C6410" s="11">
        <f>Daily_Data!I6410</f>
        <v>-0.2</v>
      </c>
      <c r="D6410" s="12">
        <f>if(sum(Daily_Data!K6410:L6410)&gt;0,1,0)</f>
        <v>0</v>
      </c>
    </row>
    <row r="6411">
      <c r="A6411" s="10">
        <f>Daily_Data!A6411</f>
        <v>45499</v>
      </c>
      <c r="B6411" s="11">
        <f>Daily_Data!J6411</f>
        <v>16.39</v>
      </c>
      <c r="C6411" s="11">
        <f>Daily_Data!I6411</f>
        <v>-0.17</v>
      </c>
      <c r="D6411" s="12">
        <f>if(sum(Daily_Data!K6411:L6411)&gt;0,1,0)</f>
        <v>0</v>
      </c>
    </row>
    <row r="6412">
      <c r="A6412" s="10">
        <f>Daily_Data!A6412</f>
        <v>45502</v>
      </c>
      <c r="B6412" s="11">
        <f>Daily_Data!J6412</f>
        <v>16.6</v>
      </c>
      <c r="C6412" s="11">
        <f>Daily_Data!I6412</f>
        <v>-0.17</v>
      </c>
      <c r="D6412" s="12">
        <f>if(sum(Daily_Data!K6412:L6412)&gt;0,1,0)</f>
        <v>0</v>
      </c>
    </row>
    <row r="6413">
      <c r="A6413" s="10">
        <f>Daily_Data!A6413</f>
        <v>45503</v>
      </c>
      <c r="B6413" s="11">
        <f>Daily_Data!J6413</f>
        <v>17.69</v>
      </c>
      <c r="C6413" s="11">
        <f>Daily_Data!I6413</f>
        <v>-0.13</v>
      </c>
      <c r="D6413" s="12">
        <f>if(sum(Daily_Data!K6413:L6413)&gt;0,1,0)</f>
        <v>0</v>
      </c>
    </row>
    <row r="6414">
      <c r="A6414" s="10">
        <f>Daily_Data!A6414</f>
        <v>45504</v>
      </c>
      <c r="B6414" s="11">
        <f>Daily_Data!J6414</f>
        <v>16.36</v>
      </c>
      <c r="C6414" s="11">
        <f>Daily_Data!I6414</f>
        <v>-0.07</v>
      </c>
      <c r="D6414" s="12">
        <f>if(sum(Daily_Data!K6414:L6414)&gt;0,1,0)</f>
        <v>0</v>
      </c>
    </row>
    <row r="6415">
      <c r="A6415" s="10">
        <f>Daily_Data!A6415</f>
        <v>45505</v>
      </c>
      <c r="B6415" s="11">
        <f>Daily_Data!J6415</f>
        <v>18.59</v>
      </c>
      <c r="C6415" s="11">
        <f>Daily_Data!I6415</f>
        <v>0.03</v>
      </c>
      <c r="D6415" s="12">
        <f>if(sum(Daily_Data!K6415:L6415)&gt;0,1,0)</f>
        <v>0</v>
      </c>
    </row>
    <row r="6416">
      <c r="A6416" s="10">
        <f>Daily_Data!A6416</f>
        <v>45506</v>
      </c>
      <c r="B6416" s="11">
        <f>Daily_Data!J6416</f>
        <v>23.39</v>
      </c>
      <c r="C6416" s="11">
        <f>Daily_Data!I6416</f>
        <v>0.26</v>
      </c>
      <c r="D6416" s="12">
        <f>if(sum(Daily_Data!K6416:L6416)&gt;0,1,0)</f>
        <v>1</v>
      </c>
    </row>
    <row r="6417">
      <c r="A6417" s="10">
        <f>Daily_Data!A6417</f>
        <v>45509</v>
      </c>
      <c r="B6417" s="11">
        <f>Daily_Data!J6417</f>
        <v>38.57</v>
      </c>
      <c r="C6417" s="11">
        <f>Daily_Data!I6417</f>
        <v>0.06</v>
      </c>
      <c r="D6417" s="12">
        <f>if(sum(Daily_Data!K6417:L6417)&gt;0,1,0)</f>
        <v>0</v>
      </c>
    </row>
    <row r="6418">
      <c r="A6418" s="10">
        <f>Daily_Data!A6418</f>
        <v>45510</v>
      </c>
      <c r="B6418" s="11">
        <f>Daily_Data!J6418</f>
        <v>27.71</v>
      </c>
      <c r="C6418" s="11">
        <f>Daily_Data!I6418</f>
        <v>0.02</v>
      </c>
      <c r="D6418" s="12">
        <f>if(sum(Daily_Data!K6418:L6418)&gt;0,1,0)</f>
        <v>0</v>
      </c>
    </row>
    <row r="6419">
      <c r="A6419" s="10">
        <f>Daily_Data!A6419</f>
        <v>45511</v>
      </c>
      <c r="B6419" s="11">
        <f>Daily_Data!J6419</f>
        <v>27.85</v>
      </c>
      <c r="C6419" s="11">
        <f>Daily_Data!I6419</f>
        <v>0.14</v>
      </c>
      <c r="D6419" s="12">
        <f>if(sum(Daily_Data!K6419:L6419)&gt;0,1,0)</f>
        <v>0</v>
      </c>
    </row>
    <row r="6420">
      <c r="A6420" s="10">
        <f>Daily_Data!A6420</f>
        <v>45512</v>
      </c>
      <c r="B6420" s="11">
        <f>Daily_Data!J6420</f>
        <v>23.79</v>
      </c>
      <c r="C6420" s="11">
        <f>Daily_Data!I6420</f>
        <v>0</v>
      </c>
      <c r="D6420" s="12">
        <f>if(sum(Daily_Data!K6420:L6420)&gt;0,1,0)</f>
        <v>0</v>
      </c>
    </row>
    <row r="6421">
      <c r="A6421" s="10">
        <f>Daily_Data!A6421</f>
        <v>45513</v>
      </c>
      <c r="B6421" s="11">
        <f>Daily_Data!J6421</f>
        <v>20.37</v>
      </c>
      <c r="C6421" s="11">
        <f>Daily_Data!I6421</f>
        <v>-0.06</v>
      </c>
      <c r="D6421" s="12">
        <f>if(sum(Daily_Data!K6421:L6421)&gt;0,1,0)</f>
        <v>0</v>
      </c>
    </row>
    <row r="6422">
      <c r="A6422" s="10">
        <f>Daily_Data!A6422</f>
        <v>45516</v>
      </c>
      <c r="B6422" s="11">
        <f>Daily_Data!J6422</f>
        <v>20.71</v>
      </c>
      <c r="C6422" s="11">
        <f>Daily_Data!I6422</f>
        <v>-0.01</v>
      </c>
      <c r="D6422" s="12">
        <f>if(sum(Daily_Data!K6422:L6422)&gt;0,1,0)</f>
        <v>0</v>
      </c>
    </row>
    <row r="6423">
      <c r="A6423" s="10">
        <f>Daily_Data!A6423</f>
        <v>45517</v>
      </c>
      <c r="B6423" s="11">
        <f>Daily_Data!J6423</f>
        <v>18.12</v>
      </c>
      <c r="C6423" s="11">
        <f>Daily_Data!I6423</f>
        <v>0.09</v>
      </c>
      <c r="D6423" s="12">
        <f>if(sum(Daily_Data!K6423:L6423)&gt;0,1,0)</f>
        <v>0</v>
      </c>
    </row>
    <row r="6424">
      <c r="A6424" s="10">
        <f>Daily_Data!A6424</f>
        <v>45518</v>
      </c>
      <c r="B6424" s="11">
        <f>Daily_Data!J6424</f>
        <v>16.19</v>
      </c>
      <c r="C6424" s="11">
        <f>Daily_Data!I6424</f>
        <v>-0.05</v>
      </c>
      <c r="D6424" s="12">
        <f>if(sum(Daily_Data!K6424:L6424)&gt;0,1,0)</f>
        <v>1</v>
      </c>
    </row>
    <row r="6425">
      <c r="A6425" s="10">
        <f>Daily_Data!A6425</f>
        <v>45519</v>
      </c>
      <c r="B6425" s="11">
        <f>Daily_Data!J6425</f>
        <v>15.23</v>
      </c>
      <c r="C6425" s="11">
        <f>Daily_Data!I6425</f>
        <v>-0.33</v>
      </c>
      <c r="D6425" s="12">
        <f>if(sum(Daily_Data!K6425:L6425)&gt;0,1,0)</f>
        <v>0</v>
      </c>
    </row>
    <row r="6426">
      <c r="A6426" s="10">
        <f>Daily_Data!A6426</f>
        <v>45520</v>
      </c>
      <c r="B6426" s="11">
        <f>Daily_Data!J6426</f>
        <v>14.8</v>
      </c>
      <c r="C6426" s="11">
        <f>Daily_Data!I6426</f>
        <v>-0.29</v>
      </c>
      <c r="D6426" s="12">
        <f>if(sum(Daily_Data!K6426:L6426)&gt;0,1,0)</f>
        <v>0</v>
      </c>
    </row>
    <row r="6427">
      <c r="A6427" s="10">
        <f>Daily_Data!A6427</f>
        <v>45523</v>
      </c>
      <c r="B6427" s="11">
        <f>Daily_Data!J6427</f>
        <v>14.65</v>
      </c>
      <c r="C6427" s="11">
        <f>Daily_Data!I6427</f>
        <v>-0.23</v>
      </c>
      <c r="D6427" s="12">
        <f>if(sum(Daily_Data!K6427:L6427)&gt;0,1,0)</f>
        <v>0</v>
      </c>
    </row>
    <row r="6428">
      <c r="A6428" s="10">
        <f>Daily_Data!A6428</f>
        <v>45524</v>
      </c>
      <c r="B6428" s="11">
        <f>Daily_Data!J6428</f>
        <v>15.88</v>
      </c>
      <c r="C6428" s="11">
        <f>Daily_Data!I6428</f>
        <v>-0.1</v>
      </c>
      <c r="D6428" s="12">
        <f>if(sum(Daily_Data!K6428:L6428)&gt;0,1,0)</f>
        <v>0</v>
      </c>
    </row>
    <row r="6429">
      <c r="A6429" s="10">
        <f>Daily_Data!A6429</f>
        <v>45525</v>
      </c>
      <c r="B6429" s="11">
        <f>Daily_Data!J6429</f>
        <v>16.27</v>
      </c>
      <c r="C6429" s="11">
        <f>Daily_Data!I6429</f>
        <v>-0.06</v>
      </c>
      <c r="D6429" s="12">
        <f>if(sum(Daily_Data!K6429:L6429)&gt;0,1,0)</f>
        <v>0</v>
      </c>
    </row>
    <row r="6430">
      <c r="A6430" s="10">
        <f>Daily_Data!A6430</f>
        <v>45526</v>
      </c>
      <c r="B6430" s="11">
        <f>Daily_Data!J6430</f>
        <v>17.55</v>
      </c>
      <c r="C6430" s="11">
        <f>Daily_Data!I6430</f>
        <v>-0.13</v>
      </c>
      <c r="D6430" s="12">
        <f>if(sum(Daily_Data!K6430:L6430)&gt;0,1,0)</f>
        <v>0</v>
      </c>
    </row>
    <row r="6431">
      <c r="A6431" s="10">
        <f>Daily_Data!A6431</f>
        <v>45527</v>
      </c>
      <c r="B6431" s="11">
        <f>Daily_Data!J6431</f>
        <v>15.86</v>
      </c>
      <c r="C6431" s="11">
        <f>Daily_Data!I6431</f>
        <v>-0.03</v>
      </c>
      <c r="D6431" s="12">
        <f>if(sum(Daily_Data!K6431:L6431)&gt;0,1,0)</f>
        <v>0</v>
      </c>
    </row>
    <row r="6432">
      <c r="A6432" s="10">
        <f>Daily_Data!A6432</f>
        <v>45530</v>
      </c>
      <c r="B6432" s="11">
        <f>Daily_Data!J6432</f>
        <v>16.15</v>
      </c>
      <c r="C6432" s="11">
        <f>Daily_Data!I6432</f>
        <v>-0.08</v>
      </c>
      <c r="D6432" s="12">
        <f>if(sum(Daily_Data!K6432:L6432)&gt;0,1,0)</f>
        <v>0</v>
      </c>
    </row>
    <row r="6433">
      <c r="A6433" s="10">
        <f>Daily_Data!A6433</f>
        <v>45531</v>
      </c>
      <c r="B6433" s="11">
        <f>Daily_Data!J6433</f>
        <v>15.43</v>
      </c>
      <c r="C6433" s="11">
        <f>Daily_Data!I6433</f>
        <v>0.04</v>
      </c>
      <c r="D6433" s="12">
        <f>if(sum(Daily_Data!K6433:L6433)&gt;0,1,0)</f>
        <v>0</v>
      </c>
    </row>
    <row r="6434">
      <c r="A6434" s="10">
        <f>Daily_Data!A6434</f>
        <v>45532</v>
      </c>
      <c r="B6434" s="11">
        <f>Daily_Data!J6434</f>
        <v>17.11</v>
      </c>
      <c r="C6434" s="11">
        <f>Daily_Data!I6434</f>
        <v>0.04</v>
      </c>
      <c r="D6434" s="12">
        <f>if(sum(Daily_Data!K6434:L6434)&gt;0,1,0)</f>
        <v>0</v>
      </c>
    </row>
    <row r="6435">
      <c r="A6435" s="10">
        <f>Daily_Data!A6435</f>
        <v>45533</v>
      </c>
      <c r="B6435" s="11">
        <f>Daily_Data!J6435</f>
        <v>15.65</v>
      </c>
      <c r="C6435" s="11">
        <f>Daily_Data!I6435</f>
        <v>0.05</v>
      </c>
      <c r="D6435" s="12">
        <f>if(sum(Daily_Data!K6435:L6435)&gt;0,1,0)</f>
        <v>0</v>
      </c>
    </row>
    <row r="6436">
      <c r="A6436" s="10">
        <f>Daily_Data!A6436</f>
        <v>45534</v>
      </c>
      <c r="B6436" s="11">
        <f>Daily_Data!J6436</f>
        <v>15</v>
      </c>
      <c r="C6436" s="11">
        <f>Daily_Data!I6436</f>
        <v>0.03</v>
      </c>
      <c r="D6436" s="12">
        <f>if(sum(Daily_Data!K6436:L6436)&gt;0,1,0)</f>
        <v>0</v>
      </c>
    </row>
    <row r="6437">
      <c r="A6437" s="10">
        <f>Daily_Data!A6437</f>
        <v>45537</v>
      </c>
      <c r="B6437" s="11">
        <f>Daily_Data!J6437</f>
        <v>15.55</v>
      </c>
      <c r="C6437" s="11" t="str">
        <f>Daily_Data!I6437</f>
        <v/>
      </c>
      <c r="D6437" s="12">
        <f>if(sum(Daily_Data!K6437:L6437)&gt;0,1,0)</f>
        <v>0</v>
      </c>
    </row>
    <row r="6438">
      <c r="A6438" s="10">
        <f>Daily_Data!A6438</f>
        <v>45538</v>
      </c>
      <c r="B6438" s="11">
        <f>Daily_Data!J6438</f>
        <v>20.72</v>
      </c>
      <c r="C6438" s="11">
        <f>Daily_Data!I6438</f>
        <v>0.05</v>
      </c>
      <c r="D6438" s="12">
        <f>if(sum(Daily_Data!K6438:L6438)&gt;0,1,0)</f>
        <v>0</v>
      </c>
    </row>
    <row r="6439">
      <c r="A6439" s="10">
        <f>Daily_Data!A6439</f>
        <v>45539</v>
      </c>
      <c r="B6439" s="11">
        <f>Daily_Data!J6439</f>
        <v>21.32</v>
      </c>
      <c r="C6439" s="11">
        <f>Daily_Data!I6439</f>
        <v>0.09</v>
      </c>
      <c r="D6439" s="12">
        <f>if(sum(Daily_Data!K6439:L6439)&gt;0,1,0)</f>
        <v>0</v>
      </c>
    </row>
    <row r="6440">
      <c r="A6440" s="10">
        <f>Daily_Data!A6440</f>
        <v>45540</v>
      </c>
      <c r="B6440" s="11">
        <f>Daily_Data!J6440</f>
        <v>19.9</v>
      </c>
      <c r="C6440" s="11">
        <f>Daily_Data!I6440</f>
        <v>0.03</v>
      </c>
      <c r="D6440" s="12">
        <f>if(sum(Daily_Data!K6440:L6440)&gt;0,1,0)</f>
        <v>0</v>
      </c>
    </row>
    <row r="6441">
      <c r="A6441" s="10">
        <f>Daily_Data!A6441</f>
        <v>45541</v>
      </c>
      <c r="B6441" s="11">
        <f>Daily_Data!J6441</f>
        <v>22.38</v>
      </c>
      <c r="C6441" s="11">
        <f>Daily_Data!I6441</f>
        <v>0.11</v>
      </c>
      <c r="D6441" s="12">
        <f>if(sum(Daily_Data!K6441:L6441)&gt;0,1,0)</f>
        <v>1</v>
      </c>
    </row>
    <row r="6442">
      <c r="A6442" s="10">
        <f>Daily_Data!A6442</f>
        <v>45544</v>
      </c>
      <c r="B6442" s="11">
        <f>Daily_Data!J6442</f>
        <v>19.45</v>
      </c>
      <c r="C6442" s="11">
        <f>Daily_Data!I6442</f>
        <v>0.1</v>
      </c>
      <c r="D6442" s="12">
        <f>if(sum(Daily_Data!K6442:L6442)&gt;0,1,0)</f>
        <v>0</v>
      </c>
    </row>
    <row r="6443">
      <c r="A6443" s="10">
        <f>Daily_Data!A6443</f>
        <v>45545</v>
      </c>
      <c r="B6443" s="11">
        <f>Daily_Data!J6443</f>
        <v>19.08</v>
      </c>
      <c r="C6443" s="11">
        <f>Daily_Data!I6443</f>
        <v>0.18</v>
      </c>
      <c r="D6443" s="12">
        <f>if(sum(Daily_Data!K6443:L6443)&gt;0,1,0)</f>
        <v>0</v>
      </c>
    </row>
    <row r="6444">
      <c r="A6444" s="10">
        <f>Daily_Data!A6444</f>
        <v>45546</v>
      </c>
      <c r="B6444" s="11">
        <f>Daily_Data!J6444</f>
        <v>17.69</v>
      </c>
      <c r="C6444" s="11">
        <f>Daily_Data!I6444</f>
        <v>0.08</v>
      </c>
      <c r="D6444" s="12">
        <f>if(sum(Daily_Data!K6444:L6444)&gt;0,1,0)</f>
        <v>1</v>
      </c>
    </row>
    <row r="6445">
      <c r="A6445" s="10">
        <f>Daily_Data!A6445</f>
        <v>45547</v>
      </c>
      <c r="B6445" s="11">
        <f>Daily_Data!J6445</f>
        <v>17.07</v>
      </c>
      <c r="C6445" s="11">
        <f>Daily_Data!I6445</f>
        <v>0.07</v>
      </c>
      <c r="D6445" s="12">
        <f>if(sum(Daily_Data!K6445:L6445)&gt;0,1,0)</f>
        <v>0</v>
      </c>
    </row>
    <row r="6446">
      <c r="A6446" s="10">
        <f>Daily_Data!A6446</f>
        <v>45548</v>
      </c>
      <c r="B6446" s="11">
        <f>Daily_Data!J6446</f>
        <v>16.56</v>
      </c>
      <c r="C6446" s="11">
        <f>Daily_Data!I6446</f>
        <v>0.08</v>
      </c>
      <c r="D6446" s="12">
        <f>if(sum(Daily_Data!K6446:L6446)&gt;0,1,0)</f>
        <v>0</v>
      </c>
    </row>
    <row r="6447">
      <c r="A6447" s="10">
        <f>Daily_Data!A6447</f>
        <v>45551</v>
      </c>
      <c r="B6447" s="11">
        <f>Daily_Data!J6447</f>
        <v>17.14</v>
      </c>
      <c r="C6447" s="11">
        <f>Daily_Data!I6447</f>
        <v>0.04</v>
      </c>
      <c r="D6447" s="12">
        <f>if(sum(Daily_Data!K6447:L6447)&gt;0,1,0)</f>
        <v>0</v>
      </c>
    </row>
    <row r="6448">
      <c r="A6448" s="10">
        <f>Daily_Data!A6448</f>
        <v>45552</v>
      </c>
      <c r="B6448" s="11">
        <f>Daily_Data!J6448</f>
        <v>17.61</v>
      </c>
      <c r="C6448" s="11">
        <f>Daily_Data!I6448</f>
        <v>0.03</v>
      </c>
      <c r="D6448" s="12">
        <f>if(sum(Daily_Data!K6448:L6448)&gt;0,1,0)</f>
        <v>0</v>
      </c>
    </row>
    <row r="6449">
      <c r="A6449" s="10">
        <f>Daily_Data!A6449</f>
        <v>45553</v>
      </c>
      <c r="B6449" s="11">
        <f>Daily_Data!J6449</f>
        <v>18.23</v>
      </c>
      <c r="C6449" s="11">
        <f>Daily_Data!I6449</f>
        <v>0.04</v>
      </c>
      <c r="D6449" s="12">
        <f>if(sum(Daily_Data!K6449:L6449)&gt;0,1,0)</f>
        <v>0</v>
      </c>
    </row>
    <row r="6450">
      <c r="A6450" s="10">
        <f>Daily_Data!A6450</f>
        <v>45554</v>
      </c>
      <c r="B6450" s="11">
        <f>Daily_Data!J6450</f>
        <v>16.33</v>
      </c>
      <c r="C6450" s="11">
        <f>Daily_Data!I6450</f>
        <v>0.08</v>
      </c>
      <c r="D6450" s="12">
        <f>if(sum(Daily_Data!K6450:L6450)&gt;0,1,0)</f>
        <v>0</v>
      </c>
    </row>
    <row r="6451">
      <c r="A6451" s="10">
        <f>Daily_Data!A6451</f>
        <v>45555</v>
      </c>
      <c r="B6451" s="11">
        <f>Daily_Data!J6451</f>
        <v>16.15</v>
      </c>
      <c r="C6451" s="11">
        <f>Daily_Data!I6451</f>
        <v>0.1</v>
      </c>
      <c r="D6451" s="12">
        <f>if(sum(Daily_Data!K6451:L6451)&gt;0,1,0)</f>
        <v>0</v>
      </c>
    </row>
    <row r="6452">
      <c r="A6452" s="10">
        <f>Daily_Data!A6452</f>
        <v>45558</v>
      </c>
      <c r="B6452" s="11">
        <f>Daily_Data!J6452</f>
        <v>15.89</v>
      </c>
      <c r="C6452" s="11">
        <f>Daily_Data!I6452</f>
        <v>0.08</v>
      </c>
      <c r="D6452" s="12">
        <f>if(sum(Daily_Data!K6452:L6452)&gt;0,1,0)</f>
        <v>0</v>
      </c>
    </row>
    <row r="6453">
      <c r="A6453" s="10">
        <f>Daily_Data!A6453</f>
        <v>45559</v>
      </c>
      <c r="B6453" s="11">
        <f>Daily_Data!J6453</f>
        <v>15.39</v>
      </c>
      <c r="C6453" s="11">
        <f>Daily_Data!I6453</f>
        <v>0.13</v>
      </c>
      <c r="D6453" s="12">
        <f>if(sum(Daily_Data!K6453:L6453)&gt;0,1,0)</f>
        <v>0</v>
      </c>
    </row>
    <row r="6454">
      <c r="A6454" s="10">
        <f>Daily_Data!A6454</f>
        <v>45560</v>
      </c>
      <c r="B6454" s="11">
        <f>Daily_Data!J6454</f>
        <v>15.41</v>
      </c>
      <c r="C6454" s="11">
        <f>Daily_Data!I6454</f>
        <v>0.05</v>
      </c>
      <c r="D6454" s="12">
        <f>if(sum(Daily_Data!K6454:L6454)&gt;0,1,0)</f>
        <v>0</v>
      </c>
    </row>
    <row r="6455">
      <c r="A6455" s="10">
        <f>Daily_Data!A6455</f>
        <v>45561</v>
      </c>
      <c r="B6455" s="11">
        <f>Daily_Data!J6455</f>
        <v>15.37</v>
      </c>
      <c r="C6455" s="11">
        <f>Daily_Data!I6455</f>
        <v>-0.04</v>
      </c>
      <c r="D6455" s="12">
        <f>if(sum(Daily_Data!K6455:L6455)&gt;0,1,0)</f>
        <v>0</v>
      </c>
    </row>
    <row r="6456">
      <c r="A6456" s="10">
        <f>Daily_Data!A6456</f>
        <v>45562</v>
      </c>
      <c r="B6456" s="11">
        <f>Daily_Data!J6456</f>
        <v>16.96</v>
      </c>
      <c r="C6456" s="11">
        <f>Daily_Data!I6456</f>
        <v>0.01</v>
      </c>
      <c r="D6456" s="12">
        <f>if(sum(Daily_Data!K6456:L6456)&gt;0,1,0)</f>
        <v>0</v>
      </c>
    </row>
    <row r="6457">
      <c r="A6457" s="10">
        <f>Daily_Data!A6457</f>
        <v>45565</v>
      </c>
      <c r="B6457" s="11">
        <f>Daily_Data!J6457</f>
        <v>16.73</v>
      </c>
      <c r="C6457" s="11">
        <f>Daily_Data!I6457</f>
        <v>-0.09</v>
      </c>
      <c r="D6457" s="12">
        <f>if(sum(Daily_Data!K6457:L6457)&gt;0,1,0)</f>
        <v>0</v>
      </c>
    </row>
    <row r="6458">
      <c r="A6458" s="10">
        <f>Daily_Data!A6458</f>
        <v>45566</v>
      </c>
      <c r="B6458" s="11">
        <f>Daily_Data!J6458</f>
        <v>19.26</v>
      </c>
      <c r="C6458" s="11">
        <f>Daily_Data!I6458</f>
        <v>-0.05</v>
      </c>
      <c r="D6458" s="12">
        <f>if(sum(Daily_Data!K6458:L6458)&gt;0,1,0)</f>
        <v>0</v>
      </c>
    </row>
    <row r="6459">
      <c r="A6459" s="10">
        <f>Daily_Data!A6459</f>
        <v>45567</v>
      </c>
      <c r="B6459" s="11">
        <f>Daily_Data!J6459</f>
        <v>18.9</v>
      </c>
      <c r="C6459" s="11">
        <f>Daily_Data!I6459</f>
        <v>-0.07</v>
      </c>
      <c r="D6459" s="12">
        <f>if(sum(Daily_Data!K6459:L6459)&gt;0,1,0)</f>
        <v>0</v>
      </c>
    </row>
    <row r="6460">
      <c r="A6460" s="10">
        <f>Daily_Data!A6460</f>
        <v>45568</v>
      </c>
      <c r="B6460" s="11">
        <f>Daily_Data!J6460</f>
        <v>20.49</v>
      </c>
      <c r="C6460" s="11">
        <f>Daily_Data!I6460</f>
        <v>-0.14</v>
      </c>
      <c r="D6460" s="12">
        <f>if(sum(Daily_Data!K6460:L6460)&gt;0,1,0)</f>
        <v>0</v>
      </c>
    </row>
    <row r="6461">
      <c r="A6461" s="10">
        <f>Daily_Data!A6461</f>
        <v>45569</v>
      </c>
      <c r="B6461" s="11">
        <f>Daily_Data!J6461</f>
        <v>19.21</v>
      </c>
      <c r="C6461" s="11">
        <f>Daily_Data!I6461</f>
        <v>-0.38</v>
      </c>
      <c r="D6461" s="12">
        <f>if(sum(Daily_Data!K6461:L6461)&gt;0,1,0)</f>
        <v>1</v>
      </c>
    </row>
    <row r="6462">
      <c r="A6462" s="10">
        <f>Daily_Data!A6462</f>
        <v>45572</v>
      </c>
      <c r="B6462" s="11">
        <f>Daily_Data!J6462</f>
        <v>22.64</v>
      </c>
      <c r="C6462" s="11">
        <f>Daily_Data!I6462</f>
        <v>-0.35</v>
      </c>
      <c r="D6462" s="12">
        <f>if(sum(Daily_Data!K6462:L6462)&gt;0,1,0)</f>
        <v>0</v>
      </c>
    </row>
    <row r="6463">
      <c r="A6463" s="10">
        <f>Daily_Data!A6463</f>
        <v>45573</v>
      </c>
      <c r="B6463" s="11">
        <f>Daily_Data!J6463</f>
        <v>21.42</v>
      </c>
      <c r="C6463" s="11">
        <f>Daily_Data!I6463</f>
        <v>-0.3</v>
      </c>
      <c r="D6463" s="12">
        <f>if(sum(Daily_Data!K6463:L6463)&gt;0,1,0)</f>
        <v>0</v>
      </c>
    </row>
    <row r="6464">
      <c r="A6464" s="10">
        <f>Daily_Data!A6464</f>
        <v>45574</v>
      </c>
      <c r="B6464" s="11">
        <f>Daily_Data!J6464</f>
        <v>20.86</v>
      </c>
      <c r="C6464" s="11">
        <f>Daily_Data!I6464</f>
        <v>-0.35</v>
      </c>
      <c r="D6464" s="12">
        <f>if(sum(Daily_Data!K6464:L6464)&gt;0,1,0)</f>
        <v>0</v>
      </c>
    </row>
    <row r="6465">
      <c r="A6465" s="10">
        <f>Daily_Data!A6465</f>
        <v>45575</v>
      </c>
      <c r="B6465" s="11">
        <f>Daily_Data!J6465</f>
        <v>20.93</v>
      </c>
      <c r="C6465" s="11">
        <f>Daily_Data!I6465</f>
        <v>-0.31</v>
      </c>
      <c r="D6465" s="12">
        <f>if(sum(Daily_Data!K6465:L6465)&gt;0,1,0)</f>
        <v>1</v>
      </c>
    </row>
    <row r="6466">
      <c r="A6466" s="10">
        <f>Daily_Data!A6466</f>
        <v>45576</v>
      </c>
      <c r="B6466" s="11">
        <f>Daily_Data!J6466</f>
        <v>20.46</v>
      </c>
      <c r="C6466" s="11">
        <f>Daily_Data!I6466</f>
        <v>-0.24</v>
      </c>
      <c r="D6466" s="12">
        <f>if(sum(Daily_Data!K6466:L6466)&gt;0,1,0)</f>
        <v>0</v>
      </c>
    </row>
    <row r="6467">
      <c r="A6467" s="10">
        <f>Daily_Data!A6467</f>
        <v>45579</v>
      </c>
      <c r="B6467" s="11">
        <f>Daily_Data!J6467</f>
        <v>19.7</v>
      </c>
      <c r="C6467" s="11" t="str">
        <f>Daily_Data!I6467</f>
        <v/>
      </c>
      <c r="D6467" s="12">
        <f>if(sum(Daily_Data!K6467:L6467)&gt;0,1,0)</f>
        <v>0</v>
      </c>
    </row>
    <row r="6468">
      <c r="A6468" s="10">
        <f>Daily_Data!A6468</f>
        <v>45580</v>
      </c>
      <c r="B6468" s="11">
        <f>Daily_Data!J6468</f>
        <v>20.64</v>
      </c>
      <c r="C6468" s="11">
        <f>Daily_Data!I6468</f>
        <v>-0.25</v>
      </c>
      <c r="D6468" s="12">
        <f>if(sum(Daily_Data!K6468:L6468)&gt;0,1,0)</f>
        <v>0</v>
      </c>
    </row>
    <row r="6469">
      <c r="A6469" s="10">
        <f>Daily_Data!A6469</f>
        <v>45581</v>
      </c>
      <c r="B6469" s="11">
        <f>Daily_Data!J6469</f>
        <v>19.58</v>
      </c>
      <c r="C6469" s="11">
        <f>Daily_Data!I6469</f>
        <v>-0.32</v>
      </c>
      <c r="D6469" s="12">
        <f>if(sum(Daily_Data!K6469:L6469)&gt;0,1,0)</f>
        <v>0</v>
      </c>
    </row>
    <row r="6470">
      <c r="A6470" s="10">
        <f>Daily_Data!A6470</f>
        <v>45582</v>
      </c>
      <c r="B6470" s="11">
        <f>Daily_Data!J6470</f>
        <v>19.11</v>
      </c>
      <c r="C6470" s="11">
        <f>Daily_Data!I6470</f>
        <v>-0.38</v>
      </c>
      <c r="D6470" s="12">
        <f>if(sum(Daily_Data!K6470:L6470)&gt;0,1,0)</f>
        <v>0</v>
      </c>
    </row>
    <row r="6471">
      <c r="A6471" s="10">
        <f>Daily_Data!A6471</f>
        <v>45583</v>
      </c>
      <c r="B6471" s="11">
        <f>Daily_Data!J6471</f>
        <v>18.03</v>
      </c>
      <c r="C6471" s="11">
        <f>Daily_Data!I6471</f>
        <v>-0.33</v>
      </c>
      <c r="D6471" s="12">
        <f>if(sum(Daily_Data!K6471:L6471)&gt;0,1,0)</f>
        <v>0</v>
      </c>
    </row>
    <row r="6472">
      <c r="A6472" s="10">
        <f>Daily_Data!A6472</f>
        <v>45586</v>
      </c>
      <c r="B6472" s="11">
        <f>Daily_Data!J6472</f>
        <v>18.37</v>
      </c>
      <c r="C6472" s="11">
        <f>Daily_Data!I6472</f>
        <v>-0.39</v>
      </c>
      <c r="D6472" s="12">
        <f>if(sum(Daily_Data!K6472:L6472)&gt;0,1,0)</f>
        <v>0</v>
      </c>
    </row>
    <row r="6473">
      <c r="A6473" s="10">
        <f>Daily_Data!A6473</f>
        <v>45587</v>
      </c>
      <c r="B6473" s="11">
        <f>Daily_Data!J6473</f>
        <v>18.2</v>
      </c>
      <c r="C6473" s="11">
        <f>Daily_Data!I6473</f>
        <v>-0.38</v>
      </c>
      <c r="D6473" s="12">
        <f>if(sum(Daily_Data!K6473:L6473)&gt;0,1,0)</f>
        <v>0</v>
      </c>
    </row>
    <row r="6474">
      <c r="A6474" s="10">
        <f>Daily_Data!A6474</f>
        <v>45588</v>
      </c>
      <c r="B6474" s="11">
        <f>Daily_Data!J6474</f>
        <v>19.24</v>
      </c>
      <c r="C6474" s="11">
        <f>Daily_Data!I6474</f>
        <v>-0.41</v>
      </c>
      <c r="D6474" s="12">
        <f>if(sum(Daily_Data!K6474:L6474)&gt;0,1,0)</f>
        <v>0</v>
      </c>
    </row>
    <row r="6475">
      <c r="A6475" s="10">
        <f>Daily_Data!A6475</f>
        <v>45589</v>
      </c>
      <c r="B6475" s="11">
        <f>Daily_Data!J6475</f>
        <v>19.08</v>
      </c>
      <c r="C6475" s="11">
        <f>Daily_Data!I6475</f>
        <v>-0.41</v>
      </c>
      <c r="D6475" s="12">
        <f>if(sum(Daily_Data!K6475:L6475)&gt;0,1,0)</f>
        <v>0</v>
      </c>
    </row>
    <row r="6476">
      <c r="A6476" s="10">
        <f>Daily_Data!A6476</f>
        <v>45590</v>
      </c>
      <c r="B6476" s="11">
        <f>Daily_Data!J6476</f>
        <v>20.33</v>
      </c>
      <c r="C6476" s="11">
        <f>Daily_Data!I6476</f>
        <v>-0.5</v>
      </c>
      <c r="D6476" s="12">
        <f>if(sum(Daily_Data!K6476:L6476)&gt;0,1,0)</f>
        <v>0</v>
      </c>
    </row>
    <row r="6477">
      <c r="A6477" s="10">
        <f>Daily_Data!A6477</f>
        <v>45593</v>
      </c>
      <c r="B6477" s="11">
        <f>Daily_Data!J6477</f>
        <v>19.8</v>
      </c>
      <c r="C6477" s="11" t="str">
        <f>Daily_Data!I6477</f>
        <v/>
      </c>
      <c r="D6477" s="12">
        <f>if(sum(Daily_Data!K6477:L6477)&gt;0,1,0)</f>
        <v>0</v>
      </c>
    </row>
    <row r="6478">
      <c r="A6478" s="10">
        <f>Daily_Data!A6478</f>
        <v>45594</v>
      </c>
      <c r="B6478" s="11">
        <f>Daily_Data!J6478</f>
        <v>19.34</v>
      </c>
      <c r="C6478" s="11">
        <f>Daily_Data!I6478</f>
        <v>-0.47</v>
      </c>
      <c r="D6478" s="12">
        <f>if(sum(Daily_Data!K6478:L6478)&gt;0,1,0)</f>
        <v>0</v>
      </c>
    </row>
    <row r="6479">
      <c r="A6479" s="10">
        <f>Daily_Data!A6479</f>
        <v>45595</v>
      </c>
      <c r="B6479" s="11">
        <f>Daily_Data!J6479</f>
        <v>20.35</v>
      </c>
      <c r="C6479" s="11">
        <f>Daily_Data!I6479</f>
        <v>-0.53</v>
      </c>
      <c r="D6479" s="12">
        <f>if(sum(Daily_Data!K6479:L6479)&gt;0,1,0)</f>
        <v>0</v>
      </c>
    </row>
    <row r="6480">
      <c r="A6480" s="10">
        <f>Daily_Data!A6480</f>
        <v>45596</v>
      </c>
      <c r="B6480" s="11">
        <f>Daily_Data!J6480</f>
        <v>23.16</v>
      </c>
      <c r="C6480" s="11">
        <f>Daily_Data!I6480</f>
        <v>-0.52</v>
      </c>
      <c r="D6480" s="12">
        <f>if(sum(Daily_Data!K6480:L6480)&gt;0,1,0)</f>
        <v>0</v>
      </c>
    </row>
    <row r="6481">
      <c r="A6481" s="10">
        <f>Daily_Data!A6481</f>
        <v>45597</v>
      </c>
      <c r="B6481" s="11">
        <f>Daily_Data!J6481</f>
        <v>21.88</v>
      </c>
      <c r="C6481" s="11">
        <f>Daily_Data!I6481</f>
        <v>-0.54</v>
      </c>
      <c r="D6481" s="12">
        <f>if(sum(Daily_Data!K6481:L6481)&gt;0,1,0)</f>
        <v>1</v>
      </c>
    </row>
    <row r="6482">
      <c r="A6482" s="10">
        <f>Daily_Data!A6482</f>
        <v>45600</v>
      </c>
      <c r="B6482" s="11">
        <f>Daily_Data!J6482</f>
        <v>21.98</v>
      </c>
      <c r="C6482" s="11">
        <f>Daily_Data!I6482</f>
        <v>-0.52</v>
      </c>
      <c r="D6482" s="12">
        <f>if(sum(Daily_Data!K6482:L6482)&gt;0,1,0)</f>
        <v>0</v>
      </c>
    </row>
    <row r="6483">
      <c r="A6483" s="10">
        <f>Daily_Data!A6483</f>
        <v>45601</v>
      </c>
      <c r="B6483" s="11">
        <f>Daily_Data!J6483</f>
        <v>20.49</v>
      </c>
      <c r="C6483" s="11">
        <f>Daily_Data!I6483</f>
        <v>-0.53</v>
      </c>
      <c r="D6483" s="12">
        <f>if(sum(Daily_Data!K6483:L6483)&gt;0,1,0)</f>
        <v>0</v>
      </c>
    </row>
    <row r="6484">
      <c r="A6484" s="10">
        <f>Daily_Data!A6484</f>
        <v>45602</v>
      </c>
      <c r="B6484" s="11">
        <f>Daily_Data!J6484</f>
        <v>16.27</v>
      </c>
      <c r="C6484" s="11">
        <f>Daily_Data!I6484</f>
        <v>-0.47</v>
      </c>
      <c r="D6484" s="12">
        <f>if(sum(Daily_Data!K6484:L6484)&gt;0,1,0)</f>
        <v>0</v>
      </c>
    </row>
    <row r="6485">
      <c r="A6485" s="10">
        <f>Daily_Data!A6485</f>
        <v>45603</v>
      </c>
      <c r="B6485" s="11">
        <f>Daily_Data!J6485</f>
        <v>15.2</v>
      </c>
      <c r="C6485" s="11">
        <f>Daily_Data!I6485</f>
        <v>-0.35</v>
      </c>
      <c r="D6485" s="12">
        <f>if(sum(Daily_Data!K6485:L6485)&gt;0,1,0)</f>
        <v>0</v>
      </c>
    </row>
    <row r="6486">
      <c r="A6486" s="10">
        <f>Daily_Data!A6486</f>
        <v>45604</v>
      </c>
      <c r="B6486" s="11">
        <f>Daily_Data!J6486</f>
        <v>14.94</v>
      </c>
      <c r="C6486" s="11">
        <f>Daily_Data!I6486</f>
        <v>-0.45</v>
      </c>
      <c r="D6486" s="12">
        <f>if(sum(Daily_Data!K6486:L6486)&gt;0,1,0)</f>
        <v>0</v>
      </c>
    </row>
    <row r="6487">
      <c r="A6487" s="10">
        <f>Daily_Data!A6487</f>
        <v>45607</v>
      </c>
      <c r="B6487" s="11">
        <f>Daily_Data!J6487</f>
        <v>14.97</v>
      </c>
      <c r="C6487" s="11" t="str">
        <f>Daily_Data!I6487</f>
        <v/>
      </c>
      <c r="D6487" s="12">
        <f>if(sum(Daily_Data!K6487:L6487)&gt;0,1,0)</f>
        <v>0</v>
      </c>
    </row>
    <row r="6488">
      <c r="A6488" s="10">
        <f>Daily_Data!A6488</f>
        <v>45608</v>
      </c>
      <c r="B6488" s="11">
        <f>Daily_Data!J6488</f>
        <v>14.71</v>
      </c>
      <c r="C6488" s="11">
        <f>Daily_Data!I6488</f>
        <v>-0.47</v>
      </c>
      <c r="D6488" s="12">
        <f>if(sum(Daily_Data!K6488:L6488)&gt;0,1,0)</f>
        <v>0</v>
      </c>
    </row>
    <row r="6489">
      <c r="A6489" s="10">
        <f>Daily_Data!A6489</f>
        <v>45609</v>
      </c>
      <c r="B6489" s="11">
        <f>Daily_Data!J6489</f>
        <v>14.02</v>
      </c>
      <c r="C6489" s="11">
        <f>Daily_Data!I6489</f>
        <v>-0.34</v>
      </c>
      <c r="D6489" s="12">
        <f>if(sum(Daily_Data!K6489:L6489)&gt;0,1,0)</f>
        <v>1</v>
      </c>
    </row>
    <row r="6490">
      <c r="A6490" s="10">
        <f>Daily_Data!A6490</f>
        <v>45610</v>
      </c>
      <c r="B6490" s="11">
        <f>Daily_Data!J6490</f>
        <v>14.31</v>
      </c>
      <c r="C6490" s="11">
        <f>Daily_Data!I6490</f>
        <v>-0.44</v>
      </c>
      <c r="D6490" s="12">
        <f>if(sum(Daily_Data!K6490:L6490)&gt;0,1,0)</f>
        <v>0</v>
      </c>
    </row>
    <row r="6491">
      <c r="A6491" s="10">
        <f>Daily_Data!A6491</f>
        <v>45611</v>
      </c>
      <c r="B6491" s="11">
        <f>Daily_Data!J6491</f>
        <v>16.14</v>
      </c>
      <c r="C6491" s="11">
        <f>Daily_Data!I6491</f>
        <v>-0.41</v>
      </c>
      <c r="D6491" s="12">
        <f>if(sum(Daily_Data!K6491:L6491)&gt;0,1,0)</f>
        <v>0</v>
      </c>
    </row>
    <row r="6492">
      <c r="A6492" s="10">
        <f>Daily_Data!A6492</f>
        <v>45614</v>
      </c>
      <c r="B6492" s="11">
        <f>Daily_Data!J6492</f>
        <v>15.58</v>
      </c>
      <c r="C6492" s="11">
        <f>Daily_Data!I6492</f>
        <v>-0.44</v>
      </c>
      <c r="D6492" s="12">
        <f>if(sum(Daily_Data!K6492:L6492)&gt;0,1,0)</f>
        <v>0</v>
      </c>
    </row>
    <row r="6493">
      <c r="A6493" s="10">
        <f>Daily_Data!A6493</f>
        <v>45615</v>
      </c>
      <c r="B6493" s="11">
        <f>Daily_Data!J6493</f>
        <v>16.35</v>
      </c>
      <c r="C6493" s="11">
        <f>Daily_Data!I6493</f>
        <v>-0.49</v>
      </c>
      <c r="D6493" s="12">
        <f>if(sum(Daily_Data!K6493:L6493)&gt;0,1,0)</f>
        <v>0</v>
      </c>
    </row>
    <row r="6494">
      <c r="A6494" s="10">
        <f>Daily_Data!A6494</f>
        <v>45616</v>
      </c>
      <c r="B6494" s="11">
        <f>Daily_Data!J6494</f>
        <v>17.16</v>
      </c>
      <c r="C6494" s="11">
        <f>Daily_Data!I6494</f>
        <v>-0.54</v>
      </c>
      <c r="D6494" s="12">
        <f>if(sum(Daily_Data!K6494:L6494)&gt;0,1,0)</f>
        <v>0</v>
      </c>
    </row>
    <row r="6495">
      <c r="A6495" s="10">
        <f>Daily_Data!A6495</f>
        <v>45617</v>
      </c>
      <c r="B6495" s="11">
        <f>Daily_Data!J6495</f>
        <v>16.87</v>
      </c>
      <c r="C6495" s="11">
        <f>Daily_Data!I6495</f>
        <v>-0.56</v>
      </c>
      <c r="D6495" s="12">
        <f>if(sum(Daily_Data!K6495:L6495)&gt;0,1,0)</f>
        <v>0</v>
      </c>
    </row>
    <row r="6496">
      <c r="A6496" s="10">
        <f>Daily_Data!A6496</f>
        <v>45618</v>
      </c>
      <c r="B6496" s="11">
        <f>Daily_Data!J6496</f>
        <v>15.24</v>
      </c>
      <c r="C6496" s="11">
        <f>Daily_Data!I6496</f>
        <v>-0.65</v>
      </c>
      <c r="D6496" s="12">
        <f>if(sum(Daily_Data!K6496:L6496)&gt;0,1,0)</f>
        <v>0</v>
      </c>
    </row>
    <row r="6497">
      <c r="A6497" s="10">
        <f>Daily_Data!A6497</f>
        <v>45621</v>
      </c>
      <c r="B6497" s="11">
        <f>Daily_Data!J6497</f>
        <v>14.6</v>
      </c>
      <c r="C6497" s="11">
        <f>Daily_Data!I6497</f>
        <v>-0.57</v>
      </c>
      <c r="D6497" s="12">
        <f>if(sum(Daily_Data!K6497:L6497)&gt;0,1,0)</f>
        <v>0</v>
      </c>
    </row>
    <row r="6498">
      <c r="A6498" s="10">
        <f>Daily_Data!A6498</f>
        <v>45622</v>
      </c>
      <c r="B6498" s="11">
        <f>Daily_Data!J6498</f>
        <v>14.1</v>
      </c>
      <c r="C6498" s="11">
        <f>Daily_Data!I6498</f>
        <v>-0.6</v>
      </c>
      <c r="D6498" s="12">
        <f>if(sum(Daily_Data!K6498:L6498)&gt;0,1,0)</f>
        <v>0</v>
      </c>
    </row>
    <row r="6499">
      <c r="A6499" s="10">
        <f>Daily_Data!A6499</f>
        <v>45623</v>
      </c>
      <c r="B6499" s="11">
        <f>Daily_Data!J6499</f>
        <v>14.1</v>
      </c>
      <c r="C6499" s="11">
        <f>Daily_Data!I6499</f>
        <v>-0.48</v>
      </c>
      <c r="D6499" s="12">
        <f>if(sum(Daily_Data!K6499:L6499)&gt;0,1,0)</f>
        <v>0</v>
      </c>
    </row>
    <row r="6500">
      <c r="A6500" s="10">
        <f>Daily_Data!A6500</f>
        <v>45624</v>
      </c>
      <c r="B6500" s="11">
        <f>Daily_Data!J6500</f>
        <v>13.9</v>
      </c>
      <c r="C6500" s="11" t="str">
        <f>Daily_Data!I6500</f>
        <v/>
      </c>
      <c r="D6500" s="12">
        <f>if(sum(Daily_Data!K6500:L6500)&gt;0,1,0)</f>
        <v>0</v>
      </c>
    </row>
    <row r="6501">
      <c r="A6501" s="10">
        <f>Daily_Data!A6501</f>
        <v>45625</v>
      </c>
      <c r="B6501" s="11">
        <f>Daily_Data!J6501</f>
        <v>13.51</v>
      </c>
      <c r="C6501" s="11">
        <f>Daily_Data!I6501</f>
        <v>-0.43</v>
      </c>
      <c r="D6501" s="12">
        <f>if(sum(Daily_Data!K6501:L6501)&gt;0,1,0)</f>
        <v>0</v>
      </c>
    </row>
    <row r="6502">
      <c r="A6502" s="10">
        <f>Daily_Data!A6502</f>
        <v>45628</v>
      </c>
      <c r="B6502" s="11">
        <f>Daily_Data!J6502</f>
        <v>13.34</v>
      </c>
      <c r="C6502" s="11">
        <f>Daily_Data!I6502</f>
        <v>-0.48</v>
      </c>
      <c r="D6502" s="12">
        <f>if(sum(Daily_Data!K6502:L6502)&gt;0,1,0)</f>
        <v>0</v>
      </c>
    </row>
    <row r="6503">
      <c r="A6503" s="10">
        <f>Daily_Data!A6503</f>
        <v>45629</v>
      </c>
      <c r="B6503" s="11">
        <f>Daily_Data!J6503</f>
        <v>13.3</v>
      </c>
      <c r="C6503" s="11">
        <f>Daily_Data!I6503</f>
        <v>-0.51</v>
      </c>
      <c r="D6503" s="12">
        <f>if(sum(Daily_Data!K6503:L6503)&gt;0,1,0)</f>
        <v>0</v>
      </c>
    </row>
    <row r="6504">
      <c r="A6504" s="10">
        <f>Daily_Data!A6504</f>
        <v>45630</v>
      </c>
      <c r="B6504" s="11">
        <f>Daily_Data!J6504</f>
        <v>13.45</v>
      </c>
      <c r="C6504" s="11">
        <f>Daily_Data!I6504</f>
        <v>-0.52</v>
      </c>
      <c r="D6504" s="12">
        <f>if(sum(Daily_Data!K6504:L6504)&gt;0,1,0)</f>
        <v>0</v>
      </c>
    </row>
    <row r="6505">
      <c r="A6505" s="10">
        <f>Daily_Data!A6505</f>
        <v>45631</v>
      </c>
      <c r="B6505" s="11">
        <f>Daily_Data!J6505</f>
        <v>13.54</v>
      </c>
      <c r="C6505" s="11">
        <f>Daily_Data!I6505</f>
        <v>-0.54</v>
      </c>
      <c r="D6505" s="12">
        <f>if(sum(Daily_Data!K6505:L6505)&gt;0,1,0)</f>
        <v>0</v>
      </c>
    </row>
    <row r="6506">
      <c r="A6506" s="10">
        <f>Daily_Data!A6506</f>
        <v>45632</v>
      </c>
      <c r="B6506" s="11">
        <f>Daily_Data!J6506</f>
        <v>12.77</v>
      </c>
      <c r="C6506" s="11">
        <f>Daily_Data!I6506</f>
        <v>-0.49</v>
      </c>
      <c r="D6506" s="12">
        <f>if(sum(Daily_Data!K6506:L6506)&gt;0,1,0)</f>
        <v>1</v>
      </c>
    </row>
    <row r="6507">
      <c r="A6507" s="10">
        <f>Daily_Data!A6507</f>
        <v>45635</v>
      </c>
      <c r="B6507" s="11">
        <f>Daily_Data!J6507</f>
        <v>14.19</v>
      </c>
      <c r="C6507" s="11">
        <f>Daily_Data!I6507</f>
        <v>-0.53</v>
      </c>
      <c r="D6507" s="12">
        <f>if(sum(Daily_Data!K6507:L6507)&gt;0,1,0)</f>
        <v>0</v>
      </c>
    </row>
    <row r="6508">
      <c r="A6508" s="10">
        <f>Daily_Data!A6508</f>
        <v>45636</v>
      </c>
      <c r="B6508" s="11">
        <f>Daily_Data!J6508</f>
        <v>14.18</v>
      </c>
      <c r="C6508" s="11">
        <f>Daily_Data!I6508</f>
        <v>-0.55</v>
      </c>
      <c r="D6508" s="12">
        <f>if(sum(Daily_Data!K6508:L6508)&gt;0,1,0)</f>
        <v>0</v>
      </c>
    </row>
    <row r="6509">
      <c r="A6509" s="10">
        <f>Daily_Data!A6509</f>
        <v>45637</v>
      </c>
      <c r="B6509" s="11">
        <f>Daily_Data!J6509</f>
        <v>13.58</v>
      </c>
      <c r="C6509" s="11">
        <f>Daily_Data!I6509</f>
        <v>-0.58</v>
      </c>
      <c r="D6509" s="12">
        <f>if(sum(Daily_Data!K6509:L6509)&gt;0,1,0)</f>
        <v>1</v>
      </c>
    </row>
    <row r="6510">
      <c r="A6510" s="10">
        <f>Daily_Data!A6510</f>
        <v>45638</v>
      </c>
      <c r="B6510" s="11">
        <f>Daily_Data!J6510</f>
        <v>13.92</v>
      </c>
      <c r="C6510" s="11">
        <f>Daily_Data!I6510</f>
        <v>-0.59</v>
      </c>
      <c r="D6510" s="12">
        <f>if(sum(Daily_Data!K6510:L6510)&gt;0,1,0)</f>
        <v>0</v>
      </c>
    </row>
    <row r="6511">
      <c r="A6511" s="10">
        <f>Daily_Data!A6511</f>
        <v>45639</v>
      </c>
      <c r="B6511" s="11">
        <f>Daily_Data!J6511</f>
        <v>13.81</v>
      </c>
      <c r="C6511" s="11">
        <f>Daily_Data!I6511</f>
        <v>-0.65</v>
      </c>
      <c r="D6511" s="12">
        <f>if(sum(Daily_Data!K6511:L6511)&gt;0,1,0)</f>
        <v>0</v>
      </c>
    </row>
    <row r="6512">
      <c r="A6512" s="10">
        <f>Daily_Data!A6512</f>
        <v>45642</v>
      </c>
      <c r="B6512" s="11">
        <f>Daily_Data!J6512</f>
        <v>14.69</v>
      </c>
      <c r="C6512" s="11">
        <f>Daily_Data!I6512</f>
        <v>-0.65</v>
      </c>
      <c r="D6512" s="12">
        <f>if(sum(Daily_Data!K6512:L6512)&gt;0,1,0)</f>
        <v>0</v>
      </c>
    </row>
    <row r="6513">
      <c r="A6513" s="10">
        <f>Daily_Data!A6513</f>
        <v>45643</v>
      </c>
      <c r="B6513" s="11">
        <f>Daily_Data!J6513</f>
        <v>15.87</v>
      </c>
      <c r="C6513" s="11">
        <f>Daily_Data!I6513</f>
        <v>-0.67</v>
      </c>
      <c r="D6513" s="12">
        <f>if(sum(Daily_Data!K6513:L6513)&gt;0,1,0)</f>
        <v>0</v>
      </c>
    </row>
    <row r="6514">
      <c r="A6514" s="10">
        <f>Daily_Data!A6514</f>
        <v>45644</v>
      </c>
      <c r="B6514" s="11">
        <f>Daily_Data!J6514</f>
        <v>27.62</v>
      </c>
      <c r="C6514" s="11">
        <f>Daily_Data!I6514</f>
        <v>-0.79</v>
      </c>
      <c r="D6514" s="12">
        <f>if(sum(Daily_Data!K6514:L6514)&gt;0,1,0)</f>
        <v>0</v>
      </c>
    </row>
    <row r="6515">
      <c r="A6515" s="10">
        <f>Daily_Data!A6515</f>
        <v>45645</v>
      </c>
      <c r="B6515" s="11">
        <f>Daily_Data!J6515</f>
        <v>24.09</v>
      </c>
      <c r="C6515" s="11">
        <f>Daily_Data!I6515</f>
        <v>-0.82</v>
      </c>
      <c r="D6515" s="12">
        <f>if(sum(Daily_Data!K6515:L6515)&gt;0,1,0)</f>
        <v>0</v>
      </c>
    </row>
    <row r="6516">
      <c r="A6516" s="10">
        <f>Daily_Data!A6516</f>
        <v>45646</v>
      </c>
      <c r="B6516" s="11">
        <f>Daily_Data!J6516</f>
        <v>18.36</v>
      </c>
      <c r="C6516" s="11">
        <f>Daily_Data!I6516</f>
        <v>-0.82</v>
      </c>
      <c r="D6516" s="12">
        <f>if(sum(Daily_Data!K6516:L6516)&gt;0,1,0)</f>
        <v>0</v>
      </c>
    </row>
    <row r="6517">
      <c r="A6517" s="10">
        <f>Daily_Data!A6517</f>
        <v>45649</v>
      </c>
      <c r="B6517" s="11">
        <f>Daily_Data!J6517</f>
        <v>16.78</v>
      </c>
      <c r="C6517" s="11">
        <f>Daily_Data!I6517</f>
        <v>-0.89</v>
      </c>
      <c r="D6517" s="12">
        <f>if(sum(Daily_Data!K6517:L6517)&gt;0,1,0)</f>
        <v>0</v>
      </c>
    </row>
    <row r="6518">
      <c r="A6518" s="10">
        <f>Daily_Data!A6518</f>
        <v>45650</v>
      </c>
      <c r="B6518" s="11">
        <f>Daily_Data!J6518</f>
        <v>14.27</v>
      </c>
      <c r="C6518" s="11">
        <f>Daily_Data!I6518</f>
        <v>-0.87</v>
      </c>
      <c r="D6518" s="12">
        <f>if(sum(Daily_Data!K6518:L6518)&gt;0,1,0)</f>
        <v>0</v>
      </c>
    </row>
    <row r="6519">
      <c r="A6519" s="10">
        <f>Daily_Data!A6519</f>
        <v>45651</v>
      </c>
      <c r="B6519" s="11" t="str">
        <f>Daily_Data!J6519</f>
        <v/>
      </c>
      <c r="C6519" s="11" t="str">
        <f>Daily_Data!I6519</f>
        <v/>
      </c>
      <c r="D6519" s="12">
        <f>if(sum(Daily_Data!K6519:L6519)&gt;0,1,0)</f>
        <v>0</v>
      </c>
    </row>
    <row r="6520">
      <c r="A6520" s="10">
        <f>Daily_Data!A6520</f>
        <v>45652</v>
      </c>
      <c r="B6520" s="11">
        <f>Daily_Data!J6520</f>
        <v>14.73</v>
      </c>
      <c r="C6520" s="11" t="str">
        <f>Daily_Data!I6520</f>
        <v/>
      </c>
      <c r="D6520" s="12">
        <f>if(sum(Daily_Data!K6520:L6520)&gt;0,1,0)</f>
        <v>0</v>
      </c>
    </row>
    <row r="6521">
      <c r="A6521" s="10">
        <f>Daily_Data!A6521</f>
        <v>45653</v>
      </c>
      <c r="B6521" s="11">
        <f>Daily_Data!J6521</f>
        <v>15.95</v>
      </c>
      <c r="C6521" s="11">
        <f>Daily_Data!I6521</f>
        <v>-0.93</v>
      </c>
      <c r="D6521" s="12">
        <f>if(sum(Daily_Data!K6521:L6521)&gt;0,1,0)</f>
        <v>0</v>
      </c>
    </row>
    <row r="6522">
      <c r="A6522" s="10">
        <f>Daily_Data!A6522</f>
        <v>45656</v>
      </c>
      <c r="B6522" s="11">
        <f>Daily_Data!J6522</f>
        <v>17.4</v>
      </c>
      <c r="C6522" s="11">
        <f>Daily_Data!I6522</f>
        <v>-0.82</v>
      </c>
      <c r="D6522" s="12">
        <f>if(sum(Daily_Data!K6522:L6522)&gt;0,1,0)</f>
        <v>0</v>
      </c>
    </row>
    <row r="6523">
      <c r="A6523" s="10">
        <f>Daily_Data!A6523</f>
        <v>45657</v>
      </c>
      <c r="B6523" s="11">
        <f>Daily_Data!J6523</f>
        <v>17.35</v>
      </c>
      <c r="C6523" s="11">
        <f>Daily_Data!I6523</f>
        <v>-0.88</v>
      </c>
      <c r="D6523" s="12">
        <f>if(sum(Daily_Data!K6523:L6523)&gt;0,1,0)</f>
        <v>0</v>
      </c>
    </row>
    <row r="6524">
      <c r="A6524" s="10">
        <f>Daily_Data!A6524</f>
        <v>45658</v>
      </c>
      <c r="B6524" s="11" t="str">
        <f>Daily_Data!J6524</f>
        <v/>
      </c>
      <c r="C6524" s="11" t="str">
        <f>Daily_Data!I6524</f>
        <v/>
      </c>
      <c r="D6524" s="12">
        <f>if(sum(Daily_Data!K6524:L6524)&gt;0,1,0)</f>
        <v>0</v>
      </c>
    </row>
    <row r="6525">
      <c r="A6525" s="10">
        <f>Daily_Data!A6525</f>
        <v>45659</v>
      </c>
      <c r="B6525" s="11">
        <f>Daily_Data!J6525</f>
        <v>17.93</v>
      </c>
      <c r="C6525" s="11" t="str">
        <f>Daily_Data!I6525</f>
        <v/>
      </c>
      <c r="D6525" s="12">
        <f>if(sum(Daily_Data!K6525:L6525)&gt;0,1,0)</f>
        <v>0</v>
      </c>
    </row>
    <row r="6526">
      <c r="A6526" s="10">
        <f>Daily_Data!A6526</f>
        <v>45660</v>
      </c>
      <c r="B6526" s="11">
        <f>Daily_Data!J6526</f>
        <v>16.13</v>
      </c>
      <c r="C6526" s="11">
        <f>Daily_Data!I6526</f>
        <v>-0.9</v>
      </c>
      <c r="D6526" s="12">
        <f>if(sum(Daily_Data!K6526:L6526)&gt;0,1,0)</f>
        <v>0</v>
      </c>
    </row>
    <row r="6527">
      <c r="A6527" s="10">
        <f>Daily_Data!A6527</f>
        <v>45663</v>
      </c>
      <c r="B6527" s="11">
        <f>Daily_Data!J6527</f>
        <v>16.04</v>
      </c>
      <c r="C6527" s="11">
        <f>Daily_Data!I6527</f>
        <v>-0.87</v>
      </c>
      <c r="D6527" s="12">
        <f>if(sum(Daily_Data!K6527:L6527)&gt;0,1,0)</f>
        <v>0</v>
      </c>
    </row>
    <row r="6528">
      <c r="A6528" s="10">
        <f>Daily_Data!A6528</f>
        <v>45664</v>
      </c>
      <c r="B6528" s="11">
        <f>Daily_Data!J6528</f>
        <v>17.82</v>
      </c>
      <c r="C6528" s="11">
        <f>Daily_Data!I6528</f>
        <v>-0.89</v>
      </c>
      <c r="D6528" s="12">
        <f>if(sum(Daily_Data!K6528:L6528)&gt;0,1,0)</f>
        <v>0</v>
      </c>
    </row>
    <row r="6529">
      <c r="A6529" s="10">
        <f>Daily_Data!A6529</f>
        <v>45665</v>
      </c>
      <c r="B6529" s="11">
        <f>Daily_Data!J6529</f>
        <v>17.7</v>
      </c>
      <c r="C6529" s="11">
        <f>Daily_Data!I6529</f>
        <v>-0.86</v>
      </c>
      <c r="D6529" s="12">
        <f>if(sum(Daily_Data!K6529:L6529)&gt;0,1,0)</f>
        <v>0</v>
      </c>
    </row>
    <row r="6530">
      <c r="A6530" s="10">
        <f>Daily_Data!A6530</f>
        <v>45666</v>
      </c>
      <c r="B6530" s="11">
        <f>Daily_Data!J6530</f>
        <v>18.07</v>
      </c>
      <c r="C6530" s="11">
        <f>Daily_Data!I6530</f>
        <v>-0.88</v>
      </c>
      <c r="D6530" s="12">
        <f>if(sum(Daily_Data!K6530:L6530)&gt;0,1,0)</f>
        <v>0</v>
      </c>
    </row>
    <row r="6531">
      <c r="A6531" s="10">
        <f>Daily_Data!A6531</f>
        <v>45667</v>
      </c>
      <c r="B6531" s="11">
        <f>Daily_Data!J6531</f>
        <v>19.54</v>
      </c>
      <c r="C6531" s="11">
        <f>Daily_Data!I6531</f>
        <v>-1.03</v>
      </c>
      <c r="D6531" s="12">
        <f>if(sum(Daily_Data!K6531:L6531)&gt;0,1,0)</f>
        <v>1</v>
      </c>
    </row>
    <row r="6532">
      <c r="A6532" s="10">
        <f>Daily_Data!A6532</f>
        <v>45670</v>
      </c>
      <c r="B6532" s="11">
        <f>Daily_Data!J6532</f>
        <v>19.19</v>
      </c>
      <c r="C6532" s="11">
        <f>Daily_Data!I6532</f>
        <v>-0.95</v>
      </c>
      <c r="D6532" s="12">
        <f>if(sum(Daily_Data!K6532:L6532)&gt;0,1,0)</f>
        <v>0</v>
      </c>
    </row>
    <row r="6533">
      <c r="A6533" s="10">
        <f>Daily_Data!A6533</f>
        <v>45671</v>
      </c>
      <c r="B6533" s="11">
        <f>Daily_Data!J6533</f>
        <v>18.71</v>
      </c>
      <c r="C6533" s="11">
        <f>Daily_Data!I6533</f>
        <v>-0.8</v>
      </c>
      <c r="D6533" s="12">
        <f>if(sum(Daily_Data!K6533:L6533)&gt;0,1,0)</f>
        <v>0</v>
      </c>
    </row>
    <row r="6534">
      <c r="A6534" s="10">
        <f>Daily_Data!A6534</f>
        <v>45672</v>
      </c>
      <c r="B6534" s="11">
        <f>Daily_Data!J6534</f>
        <v>16.12</v>
      </c>
      <c r="C6534" s="11">
        <f>Daily_Data!I6534</f>
        <v>-0.62</v>
      </c>
      <c r="D6534" s="12">
        <f>if(sum(Daily_Data!K6534:L6534)&gt;0,1,0)</f>
        <v>1</v>
      </c>
    </row>
    <row r="6535">
      <c r="A6535" s="10">
        <f>Daily_Data!A6535</f>
        <v>45673</v>
      </c>
      <c r="B6535" s="11">
        <f>Daily_Data!J6535</f>
        <v>16.6</v>
      </c>
      <c r="C6535" s="11">
        <f>Daily_Data!I6535</f>
        <v>-0.62</v>
      </c>
      <c r="D6535" s="12">
        <f>if(sum(Daily_Data!K6535:L6535)&gt;0,1,0)</f>
        <v>0</v>
      </c>
    </row>
    <row r="6536">
      <c r="A6536" s="10">
        <f>Daily_Data!A6536</f>
        <v>45674</v>
      </c>
      <c r="B6536" s="11">
        <f>Daily_Data!J6536</f>
        <v>15.97</v>
      </c>
      <c r="C6536" s="11">
        <f>Daily_Data!I6536</f>
        <v>-0.66</v>
      </c>
      <c r="D6536" s="12">
        <f>if(sum(Daily_Data!K6536:L6536)&gt;0,1,0)</f>
        <v>0</v>
      </c>
    </row>
    <row r="6537">
      <c r="A6537" s="10">
        <f>Daily_Data!A6537</f>
        <v>45677</v>
      </c>
      <c r="B6537" s="11">
        <f>Daily_Data!J6537</f>
        <v>15.81</v>
      </c>
      <c r="C6537" s="11" t="str">
        <f>Daily_Data!I6537</f>
        <v/>
      </c>
      <c r="D6537" s="12">
        <f>if(sum(Daily_Data!K6537:L6537)&gt;0,1,0)</f>
        <v>0</v>
      </c>
    </row>
    <row r="6538">
      <c r="A6538" s="10">
        <f>Daily_Data!A6538</f>
        <v>45678</v>
      </c>
      <c r="B6538" s="11">
        <f>Daily_Data!J6538</f>
        <v>15.06</v>
      </c>
      <c r="C6538" s="11">
        <f>Daily_Data!I6538</f>
        <v>-0.74</v>
      </c>
      <c r="D6538" s="12">
        <f>if(sum(Daily_Data!K6538:L6538)&gt;0,1,0)</f>
        <v>0</v>
      </c>
    </row>
    <row r="6539">
      <c r="A6539" s="10">
        <f>Daily_Data!A6539</f>
        <v>45679</v>
      </c>
      <c r="B6539" s="11">
        <f>Daily_Data!J6539</f>
        <v>15.1</v>
      </c>
      <c r="C6539" s="11">
        <f>Daily_Data!I6539</f>
        <v>-0.75</v>
      </c>
      <c r="D6539" s="12">
        <f>if(sum(Daily_Data!K6539:L6539)&gt;0,1,0)</f>
        <v>0</v>
      </c>
    </row>
    <row r="6540">
      <c r="A6540" s="10">
        <f>Daily_Data!A6540</f>
        <v>45680</v>
      </c>
      <c r="B6540" s="11">
        <f>Daily_Data!J6540</f>
        <v>15.02</v>
      </c>
      <c r="C6540" s="11">
        <f>Daily_Data!I6540</f>
        <v>-0.76</v>
      </c>
      <c r="D6540" s="12">
        <f>if(sum(Daily_Data!K6540:L6540)&gt;0,1,0)</f>
        <v>0</v>
      </c>
    </row>
    <row r="6541">
      <c r="A6541" s="10">
        <f>Daily_Data!A6541</f>
        <v>45681</v>
      </c>
      <c r="B6541" s="11">
        <f>Daily_Data!J6541</f>
        <v>14.85</v>
      </c>
      <c r="C6541" s="11">
        <f>Daily_Data!I6541</f>
        <v>-0.76</v>
      </c>
      <c r="D6541" s="12">
        <f>if(sum(Daily_Data!K6541:L6541)&gt;0,1,0)</f>
        <v>0</v>
      </c>
    </row>
    <row r="6542">
      <c r="A6542" s="10">
        <f>Daily_Data!A6542</f>
        <v>45684</v>
      </c>
      <c r="B6542" s="11">
        <f>Daily_Data!J6542</f>
        <v>17.9</v>
      </c>
      <c r="C6542" s="11">
        <f>Daily_Data!I6542</f>
        <v>-0.66</v>
      </c>
      <c r="D6542" s="12">
        <f>if(sum(Daily_Data!K6542:L6542)&gt;0,1,0)</f>
        <v>0</v>
      </c>
    </row>
    <row r="6543">
      <c r="A6543" s="10">
        <f>Daily_Data!A6543</f>
        <v>45685</v>
      </c>
      <c r="B6543" s="11">
        <f>Daily_Data!J6543</f>
        <v>16.41</v>
      </c>
      <c r="C6543" s="11">
        <f>Daily_Data!I6543</f>
        <v>-0.71</v>
      </c>
      <c r="D6543" s="12">
        <f>if(sum(Daily_Data!K6543:L6543)&gt;0,1,0)</f>
        <v>0</v>
      </c>
    </row>
    <row r="6544">
      <c r="A6544" s="10">
        <f>Daily_Data!A6544</f>
        <v>45686</v>
      </c>
      <c r="B6544" s="11">
        <f>Daily_Data!J6544</f>
        <v>16.56</v>
      </c>
      <c r="C6544" s="11">
        <f>Daily_Data!I6544</f>
        <v>-0.76</v>
      </c>
      <c r="D6544" s="12">
        <f>if(sum(Daily_Data!K6544:L6544)&gt;0,1,0)</f>
        <v>0</v>
      </c>
    </row>
    <row r="6545">
      <c r="A6545" s="10">
        <f>Daily_Data!A6545</f>
        <v>45687</v>
      </c>
      <c r="B6545" s="11">
        <f>Daily_Data!J6545</f>
        <v>15.84</v>
      </c>
      <c r="C6545" s="11">
        <f>Daily_Data!I6545</f>
        <v>-0.73</v>
      </c>
      <c r="D6545" s="12">
        <f>if(sum(Daily_Data!K6545:L6545)&gt;0,1,0)</f>
        <v>0</v>
      </c>
    </row>
    <row r="6546">
      <c r="A6546" s="10">
        <f>Daily_Data!A6546</f>
        <v>45688</v>
      </c>
      <c r="B6546" s="11">
        <f>Daily_Data!J6546</f>
        <v>16.43</v>
      </c>
      <c r="C6546" s="11">
        <f>Daily_Data!I6546</f>
        <v>-0.78</v>
      </c>
      <c r="D6546" s="12">
        <f>if(sum(Daily_Data!K6546:L6546)&gt;0,1,0)</f>
        <v>0</v>
      </c>
    </row>
    <row r="6547">
      <c r="A6547" s="10">
        <f>Daily_Data!A6547</f>
        <v>45691</v>
      </c>
      <c r="B6547" s="11">
        <f>Daily_Data!J6547</f>
        <v>18.62</v>
      </c>
      <c r="C6547" s="11">
        <f>Daily_Data!I6547</f>
        <v>-0.9</v>
      </c>
      <c r="D6547" s="12">
        <f>if(sum(Daily_Data!K6547:L6547)&gt;0,1,0)</f>
        <v>0</v>
      </c>
    </row>
    <row r="6548">
      <c r="A6548" s="10">
        <f>Daily_Data!A6548</f>
        <v>45692</v>
      </c>
      <c r="B6548" s="11">
        <f>Daily_Data!J6548</f>
        <v>17.21</v>
      </c>
      <c r="C6548" s="11">
        <f>Daily_Data!I6548</f>
        <v>-0.88</v>
      </c>
      <c r="D6548" s="12">
        <f>if(sum(Daily_Data!K6548:L6548)&gt;0,1,0)</f>
        <v>0</v>
      </c>
    </row>
    <row r="6549">
      <c r="A6549" s="10">
        <f>Daily_Data!A6549</f>
        <v>45693</v>
      </c>
      <c r="B6549" s="11">
        <f>Daily_Data!J6549</f>
        <v>15.77</v>
      </c>
      <c r="C6549" s="11">
        <f>Daily_Data!I6549</f>
        <v>-0.8</v>
      </c>
      <c r="D6549" s="12">
        <f>if(sum(Daily_Data!K6549:L6549)&gt;0,1,0)</f>
        <v>0</v>
      </c>
    </row>
    <row r="6550">
      <c r="A6550" s="10">
        <f>Daily_Data!A6550</f>
        <v>45694</v>
      </c>
      <c r="B6550" s="11">
        <f>Daily_Data!J6550</f>
        <v>15.5</v>
      </c>
      <c r="C6550" s="11" t="str">
        <f>Daily_Data!I6550</f>
        <v/>
      </c>
      <c r="D6550" s="12">
        <f>if(sum(Daily_Data!K6550:L6550)&gt;0,1,0)</f>
        <v>0</v>
      </c>
    </row>
    <row r="6551">
      <c r="A6551" s="10">
        <f>Daily_Data!A6551</f>
        <v>45695</v>
      </c>
      <c r="B6551" s="11">
        <f>Daily_Data!J6551</f>
        <v>16.54</v>
      </c>
      <c r="C6551" s="11">
        <f>Daily_Data!I6551</f>
        <v>-0.83</v>
      </c>
      <c r="D6551" s="12">
        <f>if(sum(Daily_Data!K6551:L6551)&gt;0,1,0)</f>
        <v>1</v>
      </c>
    </row>
    <row r="6552">
      <c r="A6552" s="10">
        <f>Daily_Data!A6552</f>
        <v>45698</v>
      </c>
      <c r="B6552" s="11">
        <f>Daily_Data!J6552</f>
        <v>15.81</v>
      </c>
      <c r="C6552" s="11">
        <f>Daily_Data!I6552</f>
        <v>-0.83</v>
      </c>
      <c r="D6552" s="12">
        <f>if(sum(Daily_Data!K6552:L6552)&gt;0,1,0)</f>
        <v>0</v>
      </c>
    </row>
    <row r="6553">
      <c r="A6553" s="10">
        <f>Daily_Data!A6553</f>
        <v>45699</v>
      </c>
      <c r="B6553" s="11">
        <f>Daily_Data!J6553</f>
        <v>16.02</v>
      </c>
      <c r="C6553" s="11">
        <f>Daily_Data!I6553</f>
        <v>-0.85</v>
      </c>
      <c r="D6553" s="12">
        <f>if(sum(Daily_Data!K6553:L6553)&gt;0,1,0)</f>
        <v>0</v>
      </c>
    </row>
    <row r="6554">
      <c r="A6554" s="10">
        <f>Daily_Data!A6554</f>
        <v>45700</v>
      </c>
      <c r="B6554" s="11">
        <f>Daily_Data!J6554</f>
        <v>15.89</v>
      </c>
      <c r="C6554" s="11">
        <f>Daily_Data!I6554</f>
        <v>-0.88</v>
      </c>
      <c r="D6554" s="12">
        <f>if(sum(Daily_Data!K6554:L6554)&gt;0,1,0)</f>
        <v>1</v>
      </c>
    </row>
    <row r="6555">
      <c r="A6555" s="10">
        <f>Daily_Data!A6555</f>
        <v>45701</v>
      </c>
      <c r="B6555" s="11">
        <f>Daily_Data!J6555</f>
        <v>15.1</v>
      </c>
      <c r="C6555" s="11">
        <f>Daily_Data!I6555</f>
        <v>-0.81</v>
      </c>
      <c r="D6555" s="12">
        <f>if(sum(Daily_Data!K6555:L6555)&gt;0,1,0)</f>
        <v>0</v>
      </c>
    </row>
    <row r="6556">
      <c r="A6556" s="10">
        <f>Daily_Data!A6556</f>
        <v>45702</v>
      </c>
      <c r="B6556" s="11">
        <f>Daily_Data!J6556</f>
        <v>14.77</v>
      </c>
      <c r="C6556" s="11">
        <f>Daily_Data!I6556</f>
        <v>-0.76</v>
      </c>
      <c r="D6556" s="12">
        <f>if(sum(Daily_Data!K6556:L6556)&gt;0,1,0)</f>
        <v>0</v>
      </c>
    </row>
    <row r="6557">
      <c r="A6557" s="10">
        <f>Daily_Data!A6557</f>
        <v>45705</v>
      </c>
      <c r="B6557" s="11">
        <f>Daily_Data!J6557</f>
        <v>15.37</v>
      </c>
      <c r="C6557" s="11" t="str">
        <f>Daily_Data!I6557</f>
        <v/>
      </c>
      <c r="D6557" s="12">
        <f>if(sum(Daily_Data!K6557:L6557)&gt;0,1,0)</f>
        <v>0</v>
      </c>
    </row>
    <row r="6558">
      <c r="A6558" s="10">
        <f>Daily_Data!A6558</f>
        <v>45706</v>
      </c>
      <c r="B6558" s="11">
        <f>Daily_Data!J6558</f>
        <v>15.35</v>
      </c>
      <c r="C6558" s="11">
        <f>Daily_Data!I6558</f>
        <v>-0.77</v>
      </c>
      <c r="D6558" s="12">
        <f>if(sum(Daily_Data!K6558:L6558)&gt;0,1,0)</f>
        <v>0</v>
      </c>
    </row>
    <row r="6559">
      <c r="A6559" s="10">
        <f>Daily_Data!A6559</f>
        <v>45707</v>
      </c>
      <c r="B6559" s="11">
        <f>Daily_Data!J6559</f>
        <v>15.27</v>
      </c>
      <c r="C6559" s="11">
        <f>Daily_Data!I6559</f>
        <v>-0.74</v>
      </c>
      <c r="D6559" s="12">
        <f>if(sum(Daily_Data!K6559:L6559)&gt;0,1,0)</f>
        <v>0</v>
      </c>
    </row>
    <row r="6560">
      <c r="A6560" s="10">
        <f>Daily_Data!A6560</f>
        <v>45708</v>
      </c>
      <c r="B6560" s="11">
        <f>Daily_Data!J6560</f>
        <v>15.66</v>
      </c>
      <c r="C6560" s="11">
        <f>Daily_Data!I6560</f>
        <v>-0.72</v>
      </c>
      <c r="D6560" s="12">
        <f>if(sum(Daily_Data!K6560:L6560)&gt;0,1,0)</f>
        <v>0</v>
      </c>
    </row>
    <row r="6561">
      <c r="A6561" s="10">
        <f>Daily_Data!A6561</f>
        <v>45709</v>
      </c>
      <c r="B6561" s="11">
        <f>Daily_Data!J6561</f>
        <v>18.21</v>
      </c>
      <c r="C6561" s="11">
        <f>Daily_Data!I6561</f>
        <v>-0.61</v>
      </c>
      <c r="D6561" s="12">
        <f>if(sum(Daily_Data!K6561:L6561)&gt;0,1,0)</f>
        <v>0</v>
      </c>
    </row>
    <row r="6562">
      <c r="A6562" s="10">
        <f>Daily_Data!A6562</f>
        <v>45712</v>
      </c>
      <c r="B6562" s="11">
        <f>Daily_Data!J6562</f>
        <v>18.98</v>
      </c>
      <c r="C6562" s="11">
        <f>Daily_Data!I6562</f>
        <v>-0.58</v>
      </c>
      <c r="D6562" s="12">
        <f>if(sum(Daily_Data!K6562:L6562)&gt;0,1,0)</f>
        <v>0</v>
      </c>
    </row>
    <row r="6563">
      <c r="A6563" s="10">
        <f>Daily_Data!A6563</f>
        <v>45713</v>
      </c>
      <c r="B6563" s="11">
        <f>Daily_Data!J6563</f>
        <v>19.43</v>
      </c>
      <c r="C6563" s="11">
        <f>Daily_Data!I6563</f>
        <v>-0.55</v>
      </c>
      <c r="D6563" s="12">
        <f>if(sum(Daily_Data!K6563:L6563)&gt;0,1,0)</f>
        <v>0</v>
      </c>
    </row>
    <row r="6564">
      <c r="A6564" s="10">
        <f>Daily_Data!A6564</f>
        <v>45714</v>
      </c>
      <c r="B6564" s="11">
        <f>Daily_Data!J6564</f>
        <v>19.1</v>
      </c>
      <c r="C6564" s="11">
        <f>Daily_Data!I6564</f>
        <v>-0.55</v>
      </c>
      <c r="D6564" s="12">
        <f>if(sum(Daily_Data!K6564:L6564)&gt;0,1,0)</f>
        <v>0</v>
      </c>
    </row>
    <row r="6565">
      <c r="A6565" s="10">
        <f>Daily_Data!A6565</f>
        <v>45715</v>
      </c>
      <c r="B6565" s="11">
        <f>Daily_Data!J6565</f>
        <v>21.13</v>
      </c>
      <c r="C6565" s="11">
        <f>Daily_Data!I6565</f>
        <v>-0.58</v>
      </c>
      <c r="D6565" s="12">
        <f>if(sum(Daily_Data!K6565:L6565)&gt;0,1,0)</f>
        <v>0</v>
      </c>
    </row>
    <row r="6566">
      <c r="A6566" s="10">
        <f>Daily_Data!A6566</f>
        <v>45716</v>
      </c>
      <c r="B6566" s="11">
        <f>Daily_Data!J6566</f>
        <v>19.63</v>
      </c>
      <c r="C6566" s="11">
        <f>Daily_Data!I6566</f>
        <v>-0.56</v>
      </c>
      <c r="D6566" s="12">
        <f>if(sum(Daily_Data!K6566:L6566)&gt;0,1,0)</f>
        <v>0</v>
      </c>
    </row>
    <row r="6567">
      <c r="A6567" s="10">
        <f>Daily_Data!A6567</f>
        <v>45719</v>
      </c>
      <c r="B6567" s="11">
        <f>Daily_Data!J6567</f>
        <v>22.78</v>
      </c>
      <c r="C6567" s="11">
        <f>Daily_Data!I6567</f>
        <v>-0.54</v>
      </c>
      <c r="D6567" s="12">
        <f>if(sum(Daily_Data!K6567:L6567)&gt;0,1,0)</f>
        <v>0</v>
      </c>
    </row>
    <row r="6568">
      <c r="A6568" s="10">
        <f>Daily_Data!A6568</f>
        <v>45720</v>
      </c>
      <c r="B6568" s="11">
        <f>Daily_Data!J6568</f>
        <v>23.51</v>
      </c>
      <c r="C6568" s="11">
        <f>Daily_Data!I6568</f>
        <v>-0.57</v>
      </c>
      <c r="D6568" s="12">
        <f>if(sum(Daily_Data!K6568:L6568)&gt;0,1,0)</f>
        <v>0</v>
      </c>
    </row>
    <row r="6569">
      <c r="A6569" s="10">
        <f>Daily_Data!A6569</f>
        <v>45721</v>
      </c>
      <c r="B6569" s="11">
        <f>Daily_Data!J6569</f>
        <v>21.93</v>
      </c>
      <c r="C6569" s="11">
        <f>Daily_Data!I6569</f>
        <v>-0.55</v>
      </c>
      <c r="D6569" s="12">
        <f>if(sum(Daily_Data!K6569:L6569)&gt;0,1,0)</f>
        <v>0</v>
      </c>
    </row>
    <row r="6570">
      <c r="A6570" s="10">
        <f>Daily_Data!A6570</f>
        <v>45722</v>
      </c>
      <c r="B6570" s="11">
        <f>Daily_Data!J6570</f>
        <v>24.87</v>
      </c>
      <c r="C6570" s="11">
        <f>Daily_Data!I6570</f>
        <v>-0.47</v>
      </c>
      <c r="D6570" s="12">
        <f>if(sum(Daily_Data!K6570:L6570)&gt;0,1,0)</f>
        <v>0</v>
      </c>
    </row>
    <row r="6571">
      <c r="A6571" s="10">
        <f>Daily_Data!A6571</f>
        <v>45723</v>
      </c>
      <c r="B6571" s="11">
        <f>Daily_Data!J6571</f>
        <v>23.37</v>
      </c>
      <c r="C6571" s="11">
        <f>Daily_Data!I6571</f>
        <v>-0.56</v>
      </c>
      <c r="D6571" s="12">
        <f>if(sum(Daily_Data!K6571:L6571)&gt;0,1,0)</f>
        <v>1</v>
      </c>
    </row>
    <row r="6572">
      <c r="A6572" s="10">
        <f>Daily_Data!A6572</f>
        <v>45726</v>
      </c>
      <c r="B6572" s="11">
        <f>Daily_Data!J6572</f>
        <v>27.86</v>
      </c>
      <c r="C6572" s="11">
        <f>Daily_Data!I6572</f>
        <v>-0.46</v>
      </c>
      <c r="D6572" s="12">
        <f>if(sum(Daily_Data!K6572:L6572)&gt;0,1,0)</f>
        <v>0</v>
      </c>
    </row>
    <row r="6573">
      <c r="A6573" s="10">
        <f>Daily_Data!A6573</f>
        <v>45727</v>
      </c>
      <c r="B6573" s="11">
        <f>Daily_Data!J6573</f>
        <v>26.92</v>
      </c>
      <c r="C6573" s="11">
        <f>Daily_Data!I6573</f>
        <v>-0.56</v>
      </c>
      <c r="D6573" s="12">
        <f>if(sum(Daily_Data!K6573:L6573)&gt;0,1,0)</f>
        <v>0</v>
      </c>
    </row>
    <row r="6574">
      <c r="A6574" s="10">
        <f>Daily_Data!A6574</f>
        <v>45728</v>
      </c>
      <c r="B6574" s="11">
        <f>Daily_Data!J6574</f>
        <v>24.23</v>
      </c>
      <c r="C6574" s="11">
        <f>Daily_Data!I6574</f>
        <v>-0.59</v>
      </c>
      <c r="D6574" s="12">
        <f>if(sum(Daily_Data!K6574:L6574)&gt;0,1,0)</f>
        <v>1</v>
      </c>
    </row>
    <row r="6575">
      <c r="A6575" s="10">
        <f>Daily_Data!A6575</f>
        <v>45729</v>
      </c>
      <c r="B6575" s="11">
        <f>Daily_Data!J6575</f>
        <v>24.66</v>
      </c>
      <c r="C6575" s="11">
        <f>Daily_Data!I6575</f>
        <v>-0.5</v>
      </c>
      <c r="D6575" s="12">
        <f>if(sum(Daily_Data!K6575:L6575)&gt;0,1,0)</f>
        <v>0</v>
      </c>
    </row>
    <row r="6576">
      <c r="A6576" s="10">
        <f>Daily_Data!A6576</f>
        <v>45730</v>
      </c>
      <c r="B6576" s="11">
        <f>Daily_Data!J6576</f>
        <v>21.77</v>
      </c>
      <c r="C6576" s="11">
        <f>Daily_Data!I6576</f>
        <v>-0.55</v>
      </c>
      <c r="D6576" s="12">
        <f>if(sum(Daily_Data!K6576:L6576)&gt;0,1,0)</f>
        <v>0</v>
      </c>
    </row>
    <row r="6577">
      <c r="A6577" s="10">
        <f>Daily_Data!A6577</f>
        <v>45733</v>
      </c>
      <c r="B6577" s="11">
        <f>Daily_Data!J6577</f>
        <v>20.51</v>
      </c>
      <c r="C6577" s="11">
        <f>Daily_Data!I6577</f>
        <v>-0.56</v>
      </c>
      <c r="D6577" s="12">
        <f>if(sum(Daily_Data!K6577:L6577)&gt;0,1,0)</f>
        <v>0</v>
      </c>
    </row>
    <row r="6578">
      <c r="A6578" s="10">
        <f>Daily_Data!A6578</f>
        <v>45734</v>
      </c>
      <c r="B6578" s="11">
        <f>Daily_Data!J6578</f>
        <v>21.7</v>
      </c>
      <c r="C6578" s="11">
        <f>Daily_Data!I6578</f>
        <v>-0.54</v>
      </c>
      <c r="D6578" s="12">
        <f>if(sum(Daily_Data!K6578:L6578)&gt;0,1,0)</f>
        <v>0</v>
      </c>
    </row>
    <row r="6579">
      <c r="A6579" s="10">
        <f>Daily_Data!A6579</f>
        <v>45735</v>
      </c>
      <c r="B6579" s="11">
        <f>Daily_Data!J6579</f>
        <v>19.9</v>
      </c>
      <c r="C6579" s="11">
        <f>Daily_Data!I6579</f>
        <v>-0.54</v>
      </c>
      <c r="D6579" s="12">
        <f>if(sum(Daily_Data!K6579:L6579)&gt;0,1,0)</f>
        <v>0</v>
      </c>
    </row>
    <row r="6580">
      <c r="A6580" s="10">
        <f>Daily_Data!A6580</f>
        <v>45736</v>
      </c>
      <c r="B6580" s="11">
        <f>Daily_Data!J6580</f>
        <v>19.8</v>
      </c>
      <c r="C6580" s="11">
        <f>Daily_Data!I6580</f>
        <v>-0.51</v>
      </c>
      <c r="D6580" s="12">
        <f>if(sum(Daily_Data!K6580:L6580)&gt;0,1,0)</f>
        <v>0</v>
      </c>
    </row>
    <row r="6581">
      <c r="A6581" s="10">
        <f>Daily_Data!A6581</f>
        <v>45737</v>
      </c>
      <c r="B6581" s="11">
        <f>Daily_Data!J6581</f>
        <v>19.28</v>
      </c>
      <c r="C6581" s="11">
        <f>Daily_Data!I6581</f>
        <v>-0.51</v>
      </c>
      <c r="D6581" s="12">
        <f>if(sum(Daily_Data!K6581:L6581)&gt;0,1,0)</f>
        <v>0</v>
      </c>
    </row>
    <row r="6582">
      <c r="A6582" s="10">
        <f>Daily_Data!A6582</f>
        <v>45740</v>
      </c>
      <c r="B6582" s="11">
        <f>Daily_Data!J6582</f>
        <v>17.48</v>
      </c>
      <c r="C6582" s="11">
        <f>Daily_Data!I6582</f>
        <v>-0.62</v>
      </c>
      <c r="D6582" s="12">
        <f>if(sum(Daily_Data!K6582:L6582)&gt;0,1,0)</f>
        <v>0</v>
      </c>
    </row>
    <row r="6583">
      <c r="A6583" s="10">
        <f>Daily_Data!A6583</f>
        <v>45741</v>
      </c>
      <c r="B6583" s="11">
        <f>Daily_Data!J6583</f>
        <v>17.15</v>
      </c>
      <c r="C6583" s="11">
        <f>Daily_Data!I6583</f>
        <v>-0.55</v>
      </c>
      <c r="D6583" s="12">
        <f>if(sum(Daily_Data!K6583:L6583)&gt;0,1,0)</f>
        <v>0</v>
      </c>
    </row>
    <row r="6584">
      <c r="A6584" s="10">
        <f>Daily_Data!A6584</f>
        <v>45742</v>
      </c>
      <c r="B6584" s="11">
        <f>Daily_Data!J6584</f>
        <v>18.33</v>
      </c>
      <c r="C6584" s="11">
        <f>Daily_Data!I6584</f>
        <v>-0.58</v>
      </c>
      <c r="D6584" s="12">
        <f>if(sum(Daily_Data!K6584:L6584)&gt;0,1,0)</f>
        <v>0</v>
      </c>
    </row>
    <row r="6585">
      <c r="A6585" s="10">
        <f>Daily_Data!A6585</f>
        <v>45743</v>
      </c>
      <c r="B6585" s="11">
        <f>Daily_Data!J6585</f>
        <v>18.69</v>
      </c>
      <c r="C6585" s="11">
        <f>Daily_Data!I6585</f>
        <v>-0.53</v>
      </c>
      <c r="D6585" s="12">
        <f>if(sum(Daily_Data!K6585:L6585)&gt;0,1,0)</f>
        <v>0</v>
      </c>
    </row>
    <row r="6586">
      <c r="A6586" s="10">
        <f>Daily_Data!A6586</f>
        <v>45744</v>
      </c>
      <c r="B6586" s="11">
        <f>Daily_Data!J6586</f>
        <v>21.65</v>
      </c>
      <c r="C6586" s="11">
        <f>Daily_Data!I6586</f>
        <v>-0.47</v>
      </c>
      <c r="D6586" s="12">
        <f>if(sum(Daily_Data!K6586:L6586)&gt;0,1,0)</f>
        <v>0</v>
      </c>
    </row>
    <row r="6587">
      <c r="A6587" s="10">
        <f>Daily_Data!A6587</f>
        <v>45747</v>
      </c>
      <c r="B6587" s="11">
        <f>Daily_Data!J6587</f>
        <v>22.28</v>
      </c>
      <c r="C6587" s="11">
        <f>Daily_Data!I6587</f>
        <v>-0.52</v>
      </c>
      <c r="D6587" s="12">
        <f>if(sum(Daily_Data!K6587:L6587)&gt;0,1,0)</f>
        <v>0</v>
      </c>
    </row>
    <row r="6588">
      <c r="A6588" s="10">
        <f>Daily_Data!A6588</f>
        <v>45748</v>
      </c>
      <c r="B6588" s="11">
        <f>Daily_Data!J6588</f>
        <v>21.77</v>
      </c>
      <c r="C6588" s="11">
        <f>Daily_Data!I6588</f>
        <v>-0.51</v>
      </c>
      <c r="D6588" s="12">
        <f>if(sum(Daily_Data!K6588:L6588)&gt;0,1,0)</f>
        <v>0</v>
      </c>
    </row>
    <row r="6589">
      <c r="A6589" s="10">
        <f>Daily_Data!A6589</f>
        <v>45749</v>
      </c>
      <c r="B6589" s="11">
        <f>Daily_Data!J6589</f>
        <v>21.51</v>
      </c>
      <c r="C6589" s="11">
        <f>Daily_Data!I6589</f>
        <v>-0.54</v>
      </c>
      <c r="D6589" s="12">
        <f>if(sum(Daily_Data!K6589:L6589)&gt;0,1,0)</f>
        <v>0</v>
      </c>
    </row>
    <row r="6590">
      <c r="A6590" s="10">
        <f>Daily_Data!A6590</f>
        <v>45750</v>
      </c>
      <c r="B6590" s="11">
        <f>Daily_Data!J6590</f>
        <v>30.02</v>
      </c>
      <c r="C6590" s="11">
        <f>Daily_Data!I6590</f>
        <v>-0.4</v>
      </c>
      <c r="D6590" s="12">
        <f>if(sum(Daily_Data!K6590:L6590)&gt;0,1,0)</f>
        <v>0</v>
      </c>
    </row>
    <row r="6591">
      <c r="A6591" s="10">
        <f>Daily_Data!A6591</f>
        <v>45751</v>
      </c>
      <c r="B6591" s="11">
        <f>Daily_Data!J6591</f>
        <v>45.31</v>
      </c>
      <c r="C6591" s="11">
        <f>Daily_Data!I6591</f>
        <v>-0.49</v>
      </c>
      <c r="D6591" s="12">
        <f>if(sum(Daily_Data!K6591:L6591)&gt;0,1,0)</f>
        <v>1</v>
      </c>
    </row>
    <row r="6592">
      <c r="A6592" s="10">
        <f>Daily_Data!A6592</f>
        <v>45754</v>
      </c>
      <c r="B6592" s="11">
        <f>Daily_Data!J6592</f>
        <v>46.98</v>
      </c>
      <c r="C6592" s="11">
        <f>Daily_Data!I6592</f>
        <v>-0.64</v>
      </c>
      <c r="D6592" s="12">
        <f>if(sum(Daily_Data!K6592:L6592)&gt;0,1,0)</f>
        <v>0</v>
      </c>
    </row>
    <row r="6593">
      <c r="A6593" s="10">
        <f>Daily_Data!A6593</f>
        <v>45755</v>
      </c>
      <c r="B6593" s="11">
        <f>Daily_Data!J6593</f>
        <v>52.33</v>
      </c>
      <c r="C6593" s="11">
        <f>Daily_Data!I6593</f>
        <v>-0.57</v>
      </c>
      <c r="D6593" s="12">
        <f>if(sum(Daily_Data!K6593:L6593)&gt;0,1,0)</f>
        <v>0</v>
      </c>
    </row>
    <row r="6594">
      <c r="A6594" s="10">
        <f>Daily_Data!A6594</f>
        <v>45756</v>
      </c>
      <c r="B6594" s="11">
        <f>Daily_Data!J6594</f>
        <v>33.62</v>
      </c>
      <c r="C6594" s="11">
        <f>Daily_Data!I6594</f>
        <v>-0.88</v>
      </c>
      <c r="D6594" s="12">
        <f>if(sum(Daily_Data!K6594:L6594)&gt;0,1,0)</f>
        <v>0</v>
      </c>
    </row>
    <row r="6595">
      <c r="A6595" s="10">
        <f>Daily_Data!A6595</f>
        <v>45757</v>
      </c>
      <c r="B6595" s="11">
        <f>Daily_Data!J6595</f>
        <v>40.72</v>
      </c>
      <c r="C6595" s="11">
        <f>Daily_Data!I6595</f>
        <v>-0.71</v>
      </c>
      <c r="D6595" s="12">
        <f>if(sum(Daily_Data!K6595:L6595)&gt;0,1,0)</f>
        <v>1</v>
      </c>
    </row>
    <row r="6596">
      <c r="A6596" s="10">
        <f>Daily_Data!A6596</f>
        <v>45758</v>
      </c>
      <c r="B6596" s="11">
        <f>Daily_Data!J6596</f>
        <v>37.56</v>
      </c>
      <c r="C6596" s="11">
        <f>Daily_Data!I6596</f>
        <v>-0.85</v>
      </c>
      <c r="D6596" s="12">
        <f>if(sum(Daily_Data!K6596:L6596)&gt;0,1,0)</f>
        <v>0</v>
      </c>
    </row>
    <row r="6597">
      <c r="A6597" s="10">
        <f>Daily_Data!A6597</f>
        <v>45761</v>
      </c>
      <c r="B6597" s="11">
        <f>Daily_Data!J6597</f>
        <v>30.89</v>
      </c>
      <c r="C6597" s="11">
        <f>Daily_Data!I6597</f>
        <v>-0.7</v>
      </c>
      <c r="D6597" s="12">
        <f>if(sum(Daily_Data!K6597:L6597)&gt;0,1,0)</f>
        <v>0</v>
      </c>
    </row>
    <row r="6598">
      <c r="A6598" s="10">
        <f>Daily_Data!A6598</f>
        <v>45762</v>
      </c>
      <c r="B6598" s="11">
        <f>Daily_Data!J6598</f>
        <v>30.12</v>
      </c>
      <c r="C6598" s="11">
        <f>Daily_Data!I6598</f>
        <v>-0.7</v>
      </c>
      <c r="D6598" s="12">
        <f>if(sum(Daily_Data!K6598:L6598)&gt;0,1,0)</f>
        <v>0</v>
      </c>
    </row>
    <row r="6599">
      <c r="A6599" s="10">
        <f>Daily_Data!A6599</f>
        <v>45763</v>
      </c>
      <c r="B6599" s="11">
        <f>Daily_Data!J6599</f>
        <v>32.64</v>
      </c>
      <c r="C6599" s="11">
        <f>Daily_Data!I6599</f>
        <v>-0.65</v>
      </c>
      <c r="D6599" s="12">
        <f>if(sum(Daily_Data!K6599:L6599)&gt;0,1,0)</f>
        <v>0</v>
      </c>
    </row>
    <row r="6600">
      <c r="A6600" s="10">
        <f>Daily_Data!A6600</f>
        <v>45764</v>
      </c>
      <c r="B6600" s="11">
        <f>Daily_Data!J6600</f>
        <v>29.65</v>
      </c>
      <c r="C6600" s="11">
        <f>Daily_Data!I6600</f>
        <v>-0.69</v>
      </c>
      <c r="D6600" s="12">
        <f>if(sum(Daily_Data!K6600:L6600)&gt;0,1,0)</f>
        <v>0</v>
      </c>
    </row>
    <row r="6601">
      <c r="A6601" s="10">
        <f>Daily_Data!A6601</f>
        <v>45765</v>
      </c>
      <c r="B6601" s="11" t="str">
        <f>Daily_Data!J6601</f>
        <v/>
      </c>
      <c r="C6601" s="11" t="str">
        <f>Daily_Data!I6601</f>
        <v/>
      </c>
      <c r="D6601" s="12">
        <f>if(sum(Daily_Data!K6601:L6601)&gt;0,1,0)</f>
        <v>0</v>
      </c>
    </row>
    <row r="6602">
      <c r="A6602" s="10">
        <f>Daily_Data!A6602</f>
        <v>45768</v>
      </c>
      <c r="B6602" s="11">
        <f>Daily_Data!J6602</f>
        <v>33.82</v>
      </c>
      <c r="C6602" s="11" t="str">
        <f>Daily_Data!I6602</f>
        <v/>
      </c>
      <c r="D6602" s="12">
        <f>if(sum(Daily_Data!K6602:L6602)&gt;0,1,0)</f>
        <v>0</v>
      </c>
    </row>
    <row r="6603">
      <c r="A6603" s="10">
        <f>Daily_Data!A6603</f>
        <v>45769</v>
      </c>
      <c r="B6603" s="11">
        <f>Daily_Data!J6603</f>
        <v>30.57</v>
      </c>
      <c r="C6603" s="11">
        <f>Daily_Data!I6603</f>
        <v>-0.69</v>
      </c>
      <c r="D6603" s="12">
        <f>if(sum(Daily_Data!K6603:L6603)&gt;0,1,0)</f>
        <v>0</v>
      </c>
    </row>
    <row r="6604">
      <c r="A6604" s="10">
        <f>Daily_Data!A6604</f>
        <v>45770</v>
      </c>
      <c r="B6604" s="11">
        <f>Daily_Data!J6604</f>
        <v>28.45</v>
      </c>
      <c r="C6604" s="11">
        <f>Daily_Data!I6604</f>
        <v>-0.71</v>
      </c>
      <c r="D6604" s="12">
        <f>if(sum(Daily_Data!K6604:L6604)&gt;0,1,0)</f>
        <v>0</v>
      </c>
    </row>
    <row r="6605">
      <c r="A6605" s="10">
        <f>Daily_Data!A6605</f>
        <v>45771</v>
      </c>
      <c r="B6605" s="11">
        <f>Daily_Data!J6605</f>
        <v>26.47</v>
      </c>
      <c r="C6605" s="11">
        <f>Daily_Data!I6605</f>
        <v>-0.67</v>
      </c>
      <c r="D6605" s="12">
        <f>if(sum(Daily_Data!K6605:L6605)&gt;0,1,0)</f>
        <v>0</v>
      </c>
    </row>
    <row r="6606">
      <c r="A6606" s="10">
        <f>Daily_Data!A6606</f>
        <v>45772</v>
      </c>
      <c r="B6606" s="11">
        <f>Daily_Data!J6606</f>
        <v>24.84</v>
      </c>
      <c r="C6606" s="11" t="str">
        <f>Daily_Data!I6606</f>
        <v/>
      </c>
      <c r="D6606" s="12">
        <f>if(sum(Daily_Data!K6606:L6606)&gt;0,1,0)</f>
        <v>0</v>
      </c>
    </row>
    <row r="6607">
      <c r="A6607" s="10">
        <f>Daily_Data!A6607</f>
        <v>45775</v>
      </c>
      <c r="B6607" s="11">
        <f>Daily_Data!J6607</f>
        <v>25.15</v>
      </c>
      <c r="C6607" s="11">
        <f>Daily_Data!I6607</f>
        <v>-0.6</v>
      </c>
      <c r="D6607" s="12">
        <f>if(sum(Daily_Data!K6607:L6607)&gt;0,1,0)</f>
        <v>0</v>
      </c>
    </row>
    <row r="6608">
      <c r="A6608" s="10">
        <f>Daily_Data!A6608</f>
        <v>45776</v>
      </c>
      <c r="B6608" s="11">
        <f>Daily_Data!J6608</f>
        <v>24.17</v>
      </c>
      <c r="C6608" s="11">
        <f>Daily_Data!I6608</f>
        <v>-0.58</v>
      </c>
      <c r="D6608" s="12">
        <f>if(sum(Daily_Data!K6608:L6608)&gt;0,1,0)</f>
        <v>0</v>
      </c>
    </row>
    <row r="6609">
      <c r="A6609" s="10">
        <f>Daily_Data!A6609</f>
        <v>45777</v>
      </c>
      <c r="B6609" s="11">
        <f>Daily_Data!J6609</f>
        <v>24.7</v>
      </c>
      <c r="C6609" s="11">
        <f>Daily_Data!I6609</f>
        <v>-0.55</v>
      </c>
      <c r="D6609" s="12">
        <f>if(sum(Daily_Data!K6609:L6609)&gt;0,1,0)</f>
        <v>0</v>
      </c>
    </row>
    <row r="6610">
      <c r="A6610" s="10">
        <f>Daily_Data!A6610</f>
        <v>45778</v>
      </c>
      <c r="B6610" s="11">
        <f>Daily_Data!J6610</f>
        <v>24.6</v>
      </c>
      <c r="C6610" s="11">
        <f>Daily_Data!I6610</f>
        <v>-0.64</v>
      </c>
      <c r="D6610" s="12">
        <f>if(sum(Daily_Data!K6610:L6610)&gt;0,1,0)</f>
        <v>0</v>
      </c>
    </row>
    <row r="6611">
      <c r="A6611" s="10">
        <f>Daily_Data!A6611</f>
        <v>45779</v>
      </c>
      <c r="B6611" s="11">
        <f>Daily_Data!J6611</f>
        <v>22.68</v>
      </c>
      <c r="C6611" s="11">
        <f>Daily_Data!I6611</f>
        <v>-0.77</v>
      </c>
      <c r="D6611" s="12">
        <f>if(sum(Daily_Data!K6611:L6611)&gt;0,1,0)</f>
        <v>1</v>
      </c>
    </row>
    <row r="6612">
      <c r="A6612" s="10">
        <f>Daily_Data!A6612</f>
        <v>45782</v>
      </c>
      <c r="B6612" s="11">
        <f>Daily_Data!J6612</f>
        <v>23.64</v>
      </c>
      <c r="C6612" s="11">
        <f>Daily_Data!I6612</f>
        <v>-0.74</v>
      </c>
      <c r="D6612" s="12">
        <f>if(sum(Daily_Data!K6612:L6612)&gt;0,1,0)</f>
        <v>0</v>
      </c>
    </row>
    <row r="6613">
      <c r="A6613" s="10">
        <f>Daily_Data!A6613</f>
        <v>45783</v>
      </c>
      <c r="B6613" s="11">
        <f>Daily_Data!J6613</f>
        <v>24.76</v>
      </c>
      <c r="C6613" s="11">
        <f>Daily_Data!I6613</f>
        <v>-0.65</v>
      </c>
      <c r="D6613" s="12">
        <f>if(sum(Daily_Data!K6613:L6613)&gt;0,1,0)</f>
        <v>0</v>
      </c>
    </row>
    <row r="6614">
      <c r="A6614" s="10">
        <f>Daily_Data!A6614</f>
        <v>45784</v>
      </c>
      <c r="B6614" s="11">
        <f>Daily_Data!J6614</f>
        <v>23.55</v>
      </c>
      <c r="C6614" s="11">
        <f>Daily_Data!I6614</f>
        <v>-0.69</v>
      </c>
      <c r="D6614" s="12">
        <f>if(sum(Daily_Data!K6614:L6614)&gt;0,1,0)</f>
        <v>0</v>
      </c>
    </row>
    <row r="6615">
      <c r="A6615" s="10">
        <f>Daily_Data!A6615</f>
        <v>45785</v>
      </c>
      <c r="B6615" s="11">
        <f>Daily_Data!J6615</f>
        <v>22.48</v>
      </c>
      <c r="C6615" s="11">
        <f>Daily_Data!I6615</f>
        <v>-0.82</v>
      </c>
      <c r="D6615" s="12">
        <f>if(sum(Daily_Data!K6615:L6615)&gt;0,1,0)</f>
        <v>0</v>
      </c>
    </row>
    <row r="6616">
      <c r="A6616" s="10">
        <f>Daily_Data!A6616</f>
        <v>45786</v>
      </c>
      <c r="B6616" s="11">
        <f>Daily_Data!J6616</f>
        <v>21.9</v>
      </c>
      <c r="C6616" s="11">
        <f>Daily_Data!I6616</f>
        <v>-0.78</v>
      </c>
      <c r="D6616" s="12">
        <f>if(sum(Daily_Data!K6616:L6616)&gt;0,1,0)</f>
        <v>0</v>
      </c>
    </row>
    <row r="6617">
      <c r="A6617" s="10">
        <f>Daily_Data!A6617</f>
        <v>45789</v>
      </c>
      <c r="B6617" s="11">
        <f>Daily_Data!J6617</f>
        <v>18.39</v>
      </c>
      <c r="C6617" s="11">
        <f>Daily_Data!I6617</f>
        <v>-0.85</v>
      </c>
      <c r="D6617" s="12">
        <f>if(sum(Daily_Data!K6617:L6617)&gt;0,1,0)</f>
        <v>0</v>
      </c>
    </row>
    <row r="6618">
      <c r="A6618" s="10">
        <f>Daily_Data!A6618</f>
        <v>45790</v>
      </c>
      <c r="B6618" s="11">
        <f>Daily_Data!J6618</f>
        <v>18.22</v>
      </c>
      <c r="C6618" s="11">
        <f>Daily_Data!I6618</f>
        <v>-0.83</v>
      </c>
      <c r="D6618" s="12">
        <f>if(sum(Daily_Data!K6618:L6618)&gt;0,1,0)</f>
        <v>1</v>
      </c>
    </row>
    <row r="6619">
      <c r="A6619" s="10">
        <f>Daily_Data!A6619</f>
        <v>45791</v>
      </c>
      <c r="B6619" s="11">
        <f>Daily_Data!J6619</f>
        <v>18.62</v>
      </c>
      <c r="C6619" s="11">
        <f>Daily_Data!I6619</f>
        <v>-0.86</v>
      </c>
      <c r="D6619" s="12">
        <f>if(sum(Daily_Data!K6619:L6619)&gt;0,1,0)</f>
        <v>0</v>
      </c>
    </row>
    <row r="6620">
      <c r="A6620" s="10">
        <f>Daily_Data!A6620</f>
        <v>45792</v>
      </c>
      <c r="B6620" s="11">
        <f>Daily_Data!J6620</f>
        <v>17.83</v>
      </c>
      <c r="C6620" s="11">
        <f>Daily_Data!I6620</f>
        <v>-0.79</v>
      </c>
      <c r="D6620" s="12">
        <f>if(sum(Daily_Data!K6620:L6620)&gt;0,1,0)</f>
        <v>0</v>
      </c>
    </row>
    <row r="6621">
      <c r="A6621" s="10">
        <f>Daily_Data!A6621</f>
        <v>45793</v>
      </c>
      <c r="B6621" s="11">
        <f>Daily_Data!J6621</f>
        <v>17.24</v>
      </c>
      <c r="C6621" s="11">
        <f>Daily_Data!I6621</f>
        <v>-0.79</v>
      </c>
      <c r="D6621" s="12">
        <f>if(sum(Daily_Data!K6621:L6621)&gt;0,1,0)</f>
        <v>0</v>
      </c>
    </row>
    <row r="6622">
      <c r="A6622" s="10">
        <f>Daily_Data!A6622</f>
        <v>45796</v>
      </c>
      <c r="B6622" s="11">
        <f>Daily_Data!J6622</f>
        <v>18.14</v>
      </c>
      <c r="C6622" s="11">
        <f>Daily_Data!I6622</f>
        <v>-0.75</v>
      </c>
      <c r="D6622" s="12">
        <f>if(sum(Daily_Data!K6622:L6622)&gt;0,1,0)</f>
        <v>0</v>
      </c>
    </row>
    <row r="6623">
      <c r="A6623" s="10">
        <f>Daily_Data!A6623</f>
        <v>45797</v>
      </c>
      <c r="B6623" s="11">
        <f>Daily_Data!J6623</f>
        <v>18.09</v>
      </c>
      <c r="C6623" s="11">
        <f>Daily_Data!I6623</f>
        <v>-0.77</v>
      </c>
      <c r="D6623" s="12">
        <f>if(sum(Daily_Data!K6623:L6623)&gt;0,1,0)</f>
        <v>0</v>
      </c>
    </row>
    <row r="6624">
      <c r="A6624" s="10">
        <f>Daily_Data!A6624</f>
        <v>45798</v>
      </c>
      <c r="B6624" s="11">
        <f>Daily_Data!J6624</f>
        <v>20.87</v>
      </c>
      <c r="C6624" s="11">
        <f>Daily_Data!I6624</f>
        <v>-0.81</v>
      </c>
      <c r="D6624" s="12">
        <f>if(sum(Daily_Data!K6624:L6624)&gt;0,1,0)</f>
        <v>0</v>
      </c>
    </row>
    <row r="6625">
      <c r="A6625" s="10">
        <f>Daily_Data!A6625</f>
        <v>45799</v>
      </c>
      <c r="B6625" s="11">
        <f>Daily_Data!J6625</f>
        <v>20.28</v>
      </c>
      <c r="C6625" s="11">
        <f>Daily_Data!I6625</f>
        <v>-0.83</v>
      </c>
      <c r="D6625" s="12">
        <f>if(sum(Daily_Data!K6625:L6625)&gt;0,1,0)</f>
        <v>0</v>
      </c>
    </row>
    <row r="6626">
      <c r="A6626" s="10">
        <f>Daily_Data!A6626</f>
        <v>45800</v>
      </c>
      <c r="B6626" s="11">
        <f>Daily_Data!J6626</f>
        <v>22.29</v>
      </c>
      <c r="C6626" s="11">
        <f>Daily_Data!I6626</f>
        <v>-0.81</v>
      </c>
      <c r="D6626" s="12">
        <f>if(sum(Daily_Data!K6626:L6626)&gt;0,1,0)</f>
        <v>0</v>
      </c>
    </row>
    <row r="6627">
      <c r="A6627" s="10">
        <f>Daily_Data!A6627</f>
        <v>45803</v>
      </c>
      <c r="B6627" s="11">
        <f>Daily_Data!J6627</f>
        <v>20.57</v>
      </c>
      <c r="C6627" s="11" t="str">
        <f>Daily_Data!I6627</f>
        <v/>
      </c>
      <c r="D6627" s="12">
        <f>if(sum(Daily_Data!K6627:L6627)&gt;0,1,0)</f>
        <v>0</v>
      </c>
    </row>
    <row r="6628">
      <c r="A6628" s="10">
        <f>Daily_Data!A6628</f>
        <v>45804</v>
      </c>
      <c r="B6628" s="11">
        <f>Daily_Data!J6628</f>
        <v>18.96</v>
      </c>
      <c r="C6628" s="11">
        <f>Daily_Data!I6628</f>
        <v>-0.76</v>
      </c>
      <c r="D6628" s="12">
        <f>if(sum(Daily_Data!K6628:L6628)&gt;0,1,0)</f>
        <v>0</v>
      </c>
    </row>
    <row r="6629">
      <c r="A6629" s="10">
        <f>Daily_Data!A6629</f>
        <v>45805</v>
      </c>
      <c r="B6629" s="11">
        <f>Daily_Data!J6629</f>
        <v>19.31</v>
      </c>
      <c r="C6629" s="11">
        <f>Daily_Data!I6629</f>
        <v>-0.7</v>
      </c>
      <c r="D6629" s="12">
        <f>if(sum(Daily_Data!K6629:L6629)&gt;0,1,0)</f>
        <v>0</v>
      </c>
    </row>
    <row r="6630">
      <c r="A6630" s="10">
        <f>Daily_Data!A6630</f>
        <v>45806</v>
      </c>
      <c r="B6630" s="11">
        <f>Daily_Data!J6630</f>
        <v>19.18</v>
      </c>
      <c r="C6630" s="11">
        <f>Daily_Data!I6630</f>
        <v>-0.59</v>
      </c>
      <c r="D6630" s="12">
        <f>if(sum(Daily_Data!K6630:L6630)&gt;0,1,0)</f>
        <v>0</v>
      </c>
    </row>
    <row r="6631">
      <c r="A6631" s="10">
        <f>Daily_Data!A6631</f>
        <v>45807</v>
      </c>
      <c r="B6631" s="11">
        <f>Daily_Data!J6631</f>
        <v>18.57</v>
      </c>
      <c r="C6631" s="11">
        <f>Daily_Data!I6631</f>
        <v>-0.6</v>
      </c>
      <c r="D6631" s="12">
        <f>if(sum(Daily_Data!K6631:L6631)&gt;0,1,0)</f>
        <v>0</v>
      </c>
    </row>
    <row r="6632">
      <c r="A6632" s="10">
        <f>Daily_Data!A6632</f>
        <v>45810</v>
      </c>
      <c r="B6632" s="11">
        <f>Daily_Data!J6632</f>
        <v>18.36</v>
      </c>
      <c r="C6632" s="11" t="str">
        <f>Daily_Data!I6632</f>
        <v/>
      </c>
      <c r="D6632" s="12">
        <f>if(sum(Daily_Data!K6632:L6632)&gt;0,1,0)</f>
        <v>0</v>
      </c>
    </row>
    <row r="6633">
      <c r="A6633" s="10">
        <f>Daily_Data!A6633</f>
        <v>45811</v>
      </c>
      <c r="B6633" s="11">
        <f>Daily_Data!J6633</f>
        <v>17.69</v>
      </c>
      <c r="C6633" s="11">
        <f>Daily_Data!I6633</f>
        <v>-0.69</v>
      </c>
      <c r="D6633" s="12">
        <f>if(sum(Daily_Data!K6633:L6633)&gt;0,1,0)</f>
        <v>0</v>
      </c>
    </row>
    <row r="6634">
      <c r="A6634" s="10">
        <f>Daily_Data!A6634</f>
        <v>45812</v>
      </c>
      <c r="B6634" s="11">
        <f>Daily_Data!J6634</f>
        <v>17.61</v>
      </c>
      <c r="C6634" s="11">
        <f>Daily_Data!I6634</f>
        <v>-0.64</v>
      </c>
      <c r="D6634" s="12">
        <f>if(sum(Daily_Data!K6634:L6634)&gt;0,1,0)</f>
        <v>0</v>
      </c>
    </row>
    <row r="6635">
      <c r="A6635" s="10">
        <f>Daily_Data!A6635</f>
        <v>45813</v>
      </c>
      <c r="B6635" s="11">
        <f>Daily_Data!J6635</f>
        <v>18.48</v>
      </c>
      <c r="C6635" s="11">
        <f>Daily_Data!I6635</f>
        <v>-0.72</v>
      </c>
      <c r="D6635" s="12">
        <f>if(sum(Daily_Data!K6635:L6635)&gt;0,1,0)</f>
        <v>0</v>
      </c>
    </row>
    <row r="6636">
      <c r="A6636" s="10">
        <f>Daily_Data!A6636</f>
        <v>45814</v>
      </c>
      <c r="B6636" s="11">
        <f>Daily_Data!J6636</f>
        <v>16.77</v>
      </c>
      <c r="C6636" s="11">
        <f>Daily_Data!I6636</f>
        <v>-0.79</v>
      </c>
      <c r="D6636" s="12">
        <f>if(sum(Daily_Data!K6636:L6636)&gt;0,1,0)</f>
        <v>1</v>
      </c>
    </row>
    <row r="6637">
      <c r="A6637" s="10">
        <f>Daily_Data!A6637</f>
        <v>45817</v>
      </c>
      <c r="B6637" s="11">
        <f>Daily_Data!J6637</f>
        <v>17.16</v>
      </c>
      <c r="C6637" s="11">
        <f>Daily_Data!I6637</f>
        <v>-0.75</v>
      </c>
      <c r="D6637" s="12">
        <f>if(sum(Daily_Data!K6637:L6637)&gt;0,1,0)</f>
        <v>0</v>
      </c>
    </row>
    <row r="6638">
      <c r="A6638" s="10">
        <f>Daily_Data!A6638</f>
        <v>45818</v>
      </c>
      <c r="B6638" s="11">
        <f>Daily_Data!J6638</f>
        <v>16.95</v>
      </c>
      <c r="C6638" s="11">
        <f>Daily_Data!I6638</f>
        <v>-0.75</v>
      </c>
      <c r="D6638" s="12">
        <f>if(sum(Daily_Data!K6638:L6638)&gt;0,1,0)</f>
        <v>0</v>
      </c>
    </row>
    <row r="6639">
      <c r="A6639" s="10">
        <f>Daily_Data!A6639</f>
        <v>45819</v>
      </c>
      <c r="B6639" s="11">
        <f>Daily_Data!J6639</f>
        <v>17.26</v>
      </c>
      <c r="C6639" s="11">
        <f>Daily_Data!I6639</f>
        <v>-0.66</v>
      </c>
      <c r="D6639" s="12">
        <f>if(sum(Daily_Data!K6639:L6639)&gt;0,1,0)</f>
        <v>1</v>
      </c>
    </row>
    <row r="6640">
      <c r="A6640" s="10">
        <f>Daily_Data!A6640</f>
        <v>45820</v>
      </c>
      <c r="B6640" s="11">
        <f>Daily_Data!J6640</f>
        <v>18.02</v>
      </c>
      <c r="C6640" s="11">
        <f>Daily_Data!I6640</f>
        <v>-0.61</v>
      </c>
      <c r="D6640" s="12">
        <f>if(sum(Daily_Data!K6640:L6640)&gt;0,1,0)</f>
        <v>0</v>
      </c>
    </row>
    <row r="6641">
      <c r="A6641" s="10">
        <f>Daily_Data!A6641</f>
        <v>45821</v>
      </c>
      <c r="B6641" s="11">
        <f>Daily_Data!J6641</f>
        <v>20.82</v>
      </c>
      <c r="C6641" s="11">
        <f>Daily_Data!I6641</f>
        <v>-0.7</v>
      </c>
      <c r="D6641" s="12">
        <f>if(sum(Daily_Data!K6641:L6641)&gt;0,1,0)</f>
        <v>0</v>
      </c>
    </row>
    <row r="6642">
      <c r="A6642" s="10">
        <f>Daily_Data!A6642</f>
        <v>45824</v>
      </c>
      <c r="B6642" s="11">
        <f>Daily_Data!J6642</f>
        <v>19.11</v>
      </c>
      <c r="C6642" s="11">
        <f>Daily_Data!I6642</f>
        <v>-0.68</v>
      </c>
      <c r="D6642" s="12">
        <f>if(sum(Daily_Data!K6642:L6642)&gt;0,1,0)</f>
        <v>0</v>
      </c>
    </row>
    <row r="6643">
      <c r="A6643" s="10">
        <f>Daily_Data!A6643</f>
        <v>45825</v>
      </c>
      <c r="B6643" s="11">
        <f>Daily_Data!J6643</f>
        <v>21.6</v>
      </c>
      <c r="C6643" s="11">
        <f>Daily_Data!I6643</f>
        <v>-0.66</v>
      </c>
      <c r="D6643" s="12">
        <f>if(sum(Daily_Data!K6643:L6643)&gt;0,1,0)</f>
        <v>0</v>
      </c>
    </row>
    <row r="6644">
      <c r="A6644" s="10">
        <f>Daily_Data!A6644</f>
        <v>45826</v>
      </c>
      <c r="B6644" s="11">
        <f>Daily_Data!J6644</f>
        <v>20.14</v>
      </c>
      <c r="C6644" s="11">
        <f>Daily_Data!I6644</f>
        <v>-0.65</v>
      </c>
      <c r="D6644" s="12">
        <f>if(sum(Daily_Data!K6644:L6644)&gt;0,1,0)</f>
        <v>0</v>
      </c>
    </row>
    <row r="6645">
      <c r="A6645" s="10">
        <f>Daily_Data!A6645</f>
        <v>45827</v>
      </c>
      <c r="B6645" s="11">
        <f>Daily_Data!J6645</f>
        <v>22.17</v>
      </c>
      <c r="C6645" s="11" t="str">
        <f>Daily_Data!I6645</f>
        <v/>
      </c>
      <c r="D6645" s="12">
        <f>if(sum(Daily_Data!K6645:L6645)&gt;0,1,0)</f>
        <v>0</v>
      </c>
    </row>
    <row r="6646">
      <c r="A6646" s="10">
        <f>Daily_Data!A6646</f>
        <v>45828</v>
      </c>
      <c r="B6646" s="11">
        <f>Daily_Data!J6646</f>
        <v>20.62</v>
      </c>
      <c r="C6646" s="11" t="str">
        <f>Daily_Data!I6646</f>
        <v/>
      </c>
      <c r="D6646" s="12">
        <f>if(sum(Daily_Data!K6646:L6646)&gt;0,1,0)</f>
        <v>0</v>
      </c>
    </row>
    <row r="6647">
      <c r="A6647" s="10">
        <f>Daily_Data!A6647</f>
        <v>45831</v>
      </c>
      <c r="B6647" s="11">
        <f>Daily_Data!J6647</f>
        <v>19.83</v>
      </c>
      <c r="C6647" s="11">
        <f>Daily_Data!I6647</f>
        <v>-0.57</v>
      </c>
      <c r="D6647" s="12">
        <f>if(sum(Daily_Data!K6647:L6647)&gt;0,1,0)</f>
        <v>0</v>
      </c>
    </row>
    <row r="6648">
      <c r="A6648" s="10">
        <f>Daily_Data!A6648</f>
        <v>45832</v>
      </c>
      <c r="B6648" s="11">
        <f>Daily_Data!J6648</f>
        <v>17.48</v>
      </c>
      <c r="C6648" s="11">
        <f>Daily_Data!I6648</f>
        <v>-0.52</v>
      </c>
      <c r="D6648" s="12">
        <f>if(sum(Daily_Data!K6648:L6648)&gt;0,1,0)</f>
        <v>0</v>
      </c>
    </row>
    <row r="6649">
      <c r="A6649" s="10">
        <f>Daily_Data!A6649</f>
        <v>45833</v>
      </c>
      <c r="B6649" s="11">
        <f>Daily_Data!J6649</f>
        <v>16.76</v>
      </c>
      <c r="C6649" s="11">
        <f>Daily_Data!I6649</f>
        <v>-0.55</v>
      </c>
      <c r="D6649" s="12">
        <f>if(sum(Daily_Data!K6649:L6649)&gt;0,1,0)</f>
        <v>0</v>
      </c>
    </row>
    <row r="6650">
      <c r="A6650" s="10">
        <f>Daily_Data!A6650</f>
        <v>45834</v>
      </c>
      <c r="B6650" s="11">
        <f>Daily_Data!J6650</f>
        <v>16.59</v>
      </c>
      <c r="C6650" s="11">
        <f>Daily_Data!I6650</f>
        <v>-0.54</v>
      </c>
      <c r="D6650" s="12">
        <f>if(sum(Daily_Data!K6650:L6650)&gt;0,1,0)</f>
        <v>0</v>
      </c>
    </row>
    <row r="6651">
      <c r="A6651" s="10">
        <f>Daily_Data!A6651</f>
        <v>45835</v>
      </c>
      <c r="B6651" s="11">
        <f>Daily_Data!J6651</f>
        <v>16.32</v>
      </c>
      <c r="C6651" s="11">
        <f>Daily_Data!I6651</f>
        <v>-0.56</v>
      </c>
      <c r="D6651" s="12">
        <f>if(sum(Daily_Data!K6651:L6651)&gt;0,1,0)</f>
        <v>0</v>
      </c>
    </row>
    <row r="6652">
      <c r="A6652" s="10">
        <f>Daily_Data!A6652</f>
        <v>45838</v>
      </c>
      <c r="B6652" s="11">
        <f>Daily_Data!J6652</f>
        <v>16.73</v>
      </c>
      <c r="C6652" s="11">
        <f>Daily_Data!I6652</f>
        <v>-0.53</v>
      </c>
      <c r="D6652" s="12">
        <f>if(sum(Daily_Data!K6652:L6652)&gt;0,1,0)</f>
        <v>0</v>
      </c>
    </row>
    <row r="6653">
      <c r="A6653" s="10">
        <f>Daily_Data!A6653</f>
        <v>45839</v>
      </c>
      <c r="B6653" s="11">
        <f>Daily_Data!J6653</f>
        <v>16.83</v>
      </c>
      <c r="C6653" s="11">
        <f>Daily_Data!I6653</f>
        <v>-0.63</v>
      </c>
      <c r="D6653" s="12">
        <f>if(sum(Daily_Data!K6653:L6653)&gt;0,1,0)</f>
        <v>0</v>
      </c>
    </row>
    <row r="6654">
      <c r="A6654" s="10">
        <f>Daily_Data!A6654</f>
        <v>45840</v>
      </c>
      <c r="B6654" s="11">
        <f>Daily_Data!J6654</f>
        <v>16.64</v>
      </c>
      <c r="C6654" s="11">
        <f>Daily_Data!I6654</f>
        <v>-0.62</v>
      </c>
      <c r="D6654" s="12">
        <f>if(sum(Daily_Data!K6654:L6654)&gt;0,1,0)</f>
        <v>0</v>
      </c>
    </row>
    <row r="6655">
      <c r="A6655" s="10">
        <f>Daily_Data!A6655</f>
        <v>45841</v>
      </c>
      <c r="B6655" s="11">
        <f>Daily_Data!J6655</f>
        <v>16.38</v>
      </c>
      <c r="C6655" s="11">
        <f>Daily_Data!I6655</f>
        <v>-0.71</v>
      </c>
      <c r="D6655" s="12">
        <f>if(sum(Daily_Data!K6655:L6655)&gt;0,1,0)</f>
        <v>1</v>
      </c>
    </row>
    <row r="6656">
      <c r="A6656" s="10">
        <f>Daily_Data!A6656</f>
        <v>45842</v>
      </c>
      <c r="B6656" s="11">
        <f>Daily_Data!J6656</f>
        <v>17.48</v>
      </c>
      <c r="C6656" s="11" t="str">
        <f>Daily_Data!I6656</f>
        <v/>
      </c>
      <c r="D6656" s="12">
        <f>if(sum(Daily_Data!K6656:L6656)&gt;0,1,0)</f>
        <v>0</v>
      </c>
    </row>
    <row r="6657">
      <c r="A6657" s="10">
        <f>Daily_Data!A6657</f>
        <v>45845</v>
      </c>
      <c r="B6657" s="11">
        <f>Daily_Data!J6657</f>
        <v>17.79</v>
      </c>
      <c r="C6657" s="11">
        <f>Daily_Data!I6657</f>
        <v>-0.73</v>
      </c>
      <c r="D6657" s="12">
        <f>if(sum(Daily_Data!K6657:L6657)&gt;0,1,0)</f>
        <v>0</v>
      </c>
    </row>
    <row r="6658">
      <c r="A6658" s="10">
        <f>Daily_Data!A6658</f>
        <v>45846</v>
      </c>
      <c r="B6658" s="11">
        <f>Daily_Data!J6658</f>
        <v>16.81</v>
      </c>
      <c r="C6658" s="11">
        <f>Daily_Data!I6658</f>
        <v>-0.71</v>
      </c>
      <c r="D6658" s="12">
        <f>if(sum(Daily_Data!K6658:L6658)&gt;0,1,0)</f>
        <v>0</v>
      </c>
    </row>
    <row r="6659">
      <c r="A6659" s="10">
        <f>Daily_Data!A6659</f>
        <v>45847</v>
      </c>
      <c r="B6659" s="11">
        <f>Daily_Data!J6659</f>
        <v>15.94</v>
      </c>
      <c r="C6659" s="11">
        <f>Daily_Data!I6659</f>
        <v>-0.66</v>
      </c>
      <c r="D6659" s="12">
        <f>if(sum(Daily_Data!K6659:L6659)&gt;0,1,0)</f>
        <v>0</v>
      </c>
    </row>
    <row r="6660">
      <c r="A6660" s="10">
        <f>Daily_Data!A6660</f>
        <v>45848</v>
      </c>
      <c r="B6660" s="11">
        <f>Daily_Data!J6660</f>
        <v>15.78</v>
      </c>
      <c r="C6660" s="11">
        <f>Daily_Data!I6660</f>
        <v>-0.68</v>
      </c>
      <c r="D6660" s="12">
        <f>if(sum(Daily_Data!K6660:L6660)&gt;0,1,0)</f>
        <v>0</v>
      </c>
    </row>
    <row r="6661">
      <c r="A6661" s="10">
        <f>Daily_Data!A6661</f>
        <v>45849</v>
      </c>
      <c r="B6661" s="11">
        <f>Daily_Data!J6661</f>
        <v>16.4</v>
      </c>
      <c r="C6661" s="11">
        <f>Daily_Data!I6661</f>
        <v>-0.73</v>
      </c>
      <c r="D6661" s="12">
        <f>if(sum(Daily_Data!K6661:L6661)&gt;0,1,0)</f>
        <v>0</v>
      </c>
    </row>
    <row r="6662">
      <c r="A6662" s="10">
        <f>Daily_Data!A6662</f>
        <v>45852</v>
      </c>
      <c r="B6662" s="11">
        <f>Daily_Data!J6662</f>
        <v>17.2</v>
      </c>
      <c r="C6662" s="11">
        <f>Daily_Data!I6662</f>
        <v>-0.74</v>
      </c>
      <c r="D6662" s="12">
        <f>if(sum(Daily_Data!K6662:L6662)&gt;0,1,0)</f>
        <v>0</v>
      </c>
    </row>
    <row r="6663">
      <c r="A6663" s="10">
        <f>Daily_Data!A6663</f>
        <v>45853</v>
      </c>
      <c r="B6663" s="11">
        <f>Daily_Data!J6663</f>
        <v>17.38</v>
      </c>
      <c r="C6663" s="11">
        <f>Daily_Data!I6663</f>
        <v>-0.78</v>
      </c>
      <c r="D6663" s="12">
        <f>if(sum(Daily_Data!K6663:L6663)&gt;0,1,0)</f>
        <v>1</v>
      </c>
    </row>
    <row r="6664">
      <c r="A6664" s="10">
        <f>Daily_Data!A6664</f>
        <v>45854</v>
      </c>
      <c r="B6664" s="11">
        <f>Daily_Data!J6664</f>
        <v>17.16</v>
      </c>
      <c r="C6664" s="11">
        <f>Daily_Data!I6664</f>
        <v>-0.71</v>
      </c>
      <c r="D6664" s="12">
        <f>if(sum(Daily_Data!K6664:L6664)&gt;0,1,0)</f>
        <v>0</v>
      </c>
    </row>
    <row r="6665">
      <c r="A6665" s="10">
        <f>Daily_Data!A6665</f>
        <v>45855</v>
      </c>
      <c r="B6665" s="11">
        <f>Daily_Data!J6665</f>
        <v>16.52</v>
      </c>
      <c r="C6665" s="11">
        <f>Daily_Data!I6665</f>
        <v>-0.74</v>
      </c>
      <c r="D6665" s="12">
        <f>if(sum(Daily_Data!K6665:L6665)&gt;0,1,0)</f>
        <v>0</v>
      </c>
    </row>
    <row r="6666">
      <c r="A6666" s="10">
        <f>Daily_Data!A6666</f>
        <v>45856</v>
      </c>
      <c r="B6666" s="11">
        <f>Daily_Data!J6666</f>
        <v>16.41</v>
      </c>
      <c r="C6666" s="11">
        <f>Daily_Data!I6666</f>
        <v>-0.69</v>
      </c>
      <c r="D6666" s="12">
        <f>if(sum(Daily_Data!K6666:L6666)&gt;0,1,0)</f>
        <v>0</v>
      </c>
    </row>
    <row r="6667">
      <c r="A6667" s="10">
        <f>Daily_Data!A6667</f>
        <v>45859</v>
      </c>
      <c r="B6667" s="11">
        <f>Daily_Data!J6667</f>
        <v>16.65</v>
      </c>
      <c r="C6667" s="11">
        <f>Daily_Data!I6667</f>
        <v>-0.72</v>
      </c>
      <c r="D6667" s="12">
        <f>if(sum(Daily_Data!K6667:L6667)&gt;0,1,0)</f>
        <v>0</v>
      </c>
    </row>
    <row r="6668">
      <c r="A6668" s="10">
        <f>Daily_Data!A6668</f>
        <v>45860</v>
      </c>
      <c r="B6668" s="11">
        <f>Daily_Data!J6668</f>
        <v>16.5</v>
      </c>
      <c r="C6668" s="11">
        <f>Daily_Data!I6668</f>
        <v>-0.7</v>
      </c>
      <c r="D6668" s="12">
        <f>if(sum(Daily_Data!K6668:L6668)&gt;0,1,0)</f>
        <v>0</v>
      </c>
    </row>
    <row r="6669">
      <c r="A6669" s="10">
        <f>Daily_Data!A6669</f>
        <v>45861</v>
      </c>
      <c r="B6669" s="11">
        <f>Daily_Data!J6669</f>
        <v>15.37</v>
      </c>
      <c r="C6669" s="11">
        <f>Daily_Data!I6669</f>
        <v>-0.75</v>
      </c>
      <c r="D6669" s="12">
        <f>if(sum(Daily_Data!K6669:L6669)&gt;0,1,0)</f>
        <v>0</v>
      </c>
    </row>
    <row r="6670">
      <c r="A6670" s="10">
        <f>Daily_Data!A6670</f>
        <v>45862</v>
      </c>
      <c r="B6670" s="11">
        <f>Daily_Data!J6670</f>
        <v>15.39</v>
      </c>
      <c r="C6670" s="11">
        <f>Daily_Data!I6670</f>
        <v>-0.76</v>
      </c>
      <c r="D6670" s="12">
        <f>if(sum(Daily_Data!K6670:L6670)&gt;0,1,0)</f>
        <v>0</v>
      </c>
    </row>
    <row r="6671">
      <c r="A6671" s="10">
        <f>Daily_Data!A6671</f>
        <v>45863</v>
      </c>
      <c r="B6671" s="11">
        <f>Daily_Data!J6671</f>
        <v>14.93</v>
      </c>
      <c r="C6671" s="11">
        <f>Daily_Data!I6671</f>
        <v>-0.75</v>
      </c>
      <c r="D6671" s="12">
        <f>if(sum(Daily_Data!K6671:L6671)&gt;0,1,0)</f>
        <v>0</v>
      </c>
    </row>
    <row r="6672">
      <c r="A6672" s="10">
        <f>Daily_Data!A6672</f>
        <v>45866</v>
      </c>
      <c r="B6672" s="11">
        <f>Daily_Data!J6672</f>
        <v>15.03</v>
      </c>
      <c r="C6672" s="11">
        <f>Daily_Data!I6672</f>
        <v>-0.74</v>
      </c>
      <c r="D6672" s="12">
        <f>if(sum(Daily_Data!K6672:L6672)&gt;0,1,0)</f>
        <v>0</v>
      </c>
    </row>
    <row r="6673">
      <c r="A6673" s="10">
        <f>Daily_Data!A6673</f>
        <v>45867</v>
      </c>
      <c r="B6673" s="11">
        <f>Daily_Data!J6673</f>
        <v>15.98</v>
      </c>
      <c r="C6673" s="11">
        <f>Daily_Data!I6673</f>
        <v>-0.71</v>
      </c>
      <c r="D6673" s="12">
        <f>if(sum(Daily_Data!K6673:L6673)&gt;0,1,0)</f>
        <v>0</v>
      </c>
    </row>
    <row r="6674">
      <c r="A6674" s="10">
        <f>Daily_Data!A6674</f>
        <v>45868</v>
      </c>
      <c r="B6674" s="11">
        <f>Daily_Data!J6674</f>
        <v>15.48</v>
      </c>
      <c r="C6674" s="11">
        <f>Daily_Data!I6674</f>
        <v>-0.8</v>
      </c>
      <c r="D6674" s="12">
        <f>if(sum(Daily_Data!K6674:L6674)&gt;0,1,0)</f>
        <v>0</v>
      </c>
    </row>
    <row r="6675">
      <c r="A6675" s="10">
        <f>Daily_Data!A6675</f>
        <v>45869</v>
      </c>
      <c r="B6675" s="11">
        <f>Daily_Data!J6675</f>
        <v>16.72</v>
      </c>
      <c r="C6675" s="11">
        <f>Daily_Data!I6675</f>
        <v>-0.78</v>
      </c>
      <c r="D6675" s="12">
        <f>if(sum(Daily_Data!K6675:L6675)&gt;0,1,0)</f>
        <v>0</v>
      </c>
    </row>
    <row r="6676">
      <c r="A6676" s="10">
        <f>Daily_Data!A6676</f>
        <v>45870</v>
      </c>
      <c r="B6676" s="11">
        <f>Daily_Data!J6676</f>
        <v>20.38</v>
      </c>
      <c r="C6676" s="11">
        <f>Daily_Data!I6676</f>
        <v>-0.54</v>
      </c>
      <c r="D6676" s="12">
        <f>if(sum(Daily_Data!K6676:L6676)&gt;0,1,0)</f>
        <v>1</v>
      </c>
    </row>
    <row r="6677">
      <c r="A6677" s="10">
        <f>Daily_Data!A6677</f>
        <v>45873</v>
      </c>
      <c r="B6677" s="11">
        <f>Daily_Data!J6677</f>
        <v>17.52</v>
      </c>
      <c r="C6677" s="11">
        <f>Daily_Data!I6677</f>
        <v>-0.59</v>
      </c>
      <c r="D6677" s="12">
        <f>if(sum(Daily_Data!K6677:L6677)&gt;0,1,0)</f>
        <v>0</v>
      </c>
    </row>
    <row r="6678">
      <c r="A6678" s="10">
        <f>Daily_Data!A6678</f>
        <v>45874</v>
      </c>
      <c r="B6678" s="11">
        <f>Daily_Data!J6678</f>
        <v>17.85</v>
      </c>
      <c r="C6678" s="11">
        <f>Daily_Data!I6678</f>
        <v>-0.66</v>
      </c>
      <c r="D6678" s="12">
        <f>if(sum(Daily_Data!K6678:L6678)&gt;0,1,0)</f>
        <v>0</v>
      </c>
    </row>
    <row r="6679">
      <c r="A6679" s="10">
        <f>Daily_Data!A6679</f>
        <v>45875</v>
      </c>
      <c r="B6679" s="11">
        <f>Daily_Data!J6679</f>
        <v>16.77</v>
      </c>
      <c r="C6679" s="11">
        <f>Daily_Data!I6679</f>
        <v>-0.61</v>
      </c>
      <c r="D6679" s="12">
        <f>if(sum(Daily_Data!K6679:L6679)&gt;0,1,0)</f>
        <v>0</v>
      </c>
    </row>
    <row r="6680">
      <c r="A6680" s="10">
        <f>Daily_Data!A6680</f>
        <v>45876</v>
      </c>
      <c r="B6680" s="11">
        <f>Daily_Data!J6680</f>
        <v>16.57</v>
      </c>
      <c r="C6680" s="11">
        <f>Daily_Data!I6680</f>
        <v>-0.67</v>
      </c>
      <c r="D6680" s="12">
        <f>if(sum(Daily_Data!K6680:L6680)&gt;0,1,0)</f>
        <v>0</v>
      </c>
    </row>
    <row r="6681">
      <c r="A6681" s="10">
        <f>Daily_Data!A6681</f>
        <v>45877</v>
      </c>
      <c r="B6681" s="11">
        <f>Daily_Data!J6681</f>
        <v>15.15</v>
      </c>
      <c r="C6681" s="11">
        <f>Daily_Data!I6681</f>
        <v>-0.71</v>
      </c>
      <c r="D6681" s="12">
        <f>if(sum(Daily_Data!K6681:L6681)&gt;0,1,0)</f>
        <v>0</v>
      </c>
    </row>
    <row r="6682">
      <c r="A6682" s="10">
        <f>Daily_Data!A6682</f>
        <v>45880</v>
      </c>
      <c r="B6682" s="11">
        <f>Daily_Data!J6682</f>
        <v>16.25</v>
      </c>
      <c r="C6682" s="11">
        <f>Daily_Data!I6682</f>
        <v>-0.71</v>
      </c>
      <c r="D6682" s="12">
        <f>if(sum(Daily_Data!K6682:L6682)&gt;0,1,0)</f>
        <v>0</v>
      </c>
    </row>
    <row r="6683">
      <c r="A6683" s="10">
        <f>Daily_Data!A6683</f>
        <v>45881</v>
      </c>
      <c r="B6683" s="11">
        <f>Daily_Data!J6683</f>
        <v>14.73</v>
      </c>
      <c r="C6683" s="11">
        <f>Daily_Data!I6683</f>
        <v>-0.67</v>
      </c>
      <c r="D6683" s="12">
        <f>if(sum(Daily_Data!K6683:L6683)&gt;0,1,0)</f>
        <v>1</v>
      </c>
    </row>
    <row r="6684">
      <c r="A6684" s="10">
        <f>Daily_Data!A6684</f>
        <v>45882</v>
      </c>
      <c r="B6684" s="11">
        <f>Daily_Data!J6684</f>
        <v>14.49</v>
      </c>
      <c r="C6684" s="11">
        <f>Daily_Data!I6684</f>
        <v>-0.64</v>
      </c>
      <c r="D6684" s="12">
        <f>if(sum(Daily_Data!K6684:L6684)&gt;0,1,0)</f>
        <v>0</v>
      </c>
    </row>
    <row r="6685">
      <c r="A6685" s="10">
        <f>Daily_Data!A6685</f>
        <v>45883</v>
      </c>
      <c r="B6685" s="11">
        <f>Daily_Data!J6685</f>
        <v>14.83</v>
      </c>
      <c r="C6685" s="11">
        <f>Daily_Data!I6685</f>
        <v>-0.72</v>
      </c>
      <c r="D6685" s="12">
        <f>if(sum(Daily_Data!K6685:L6685)&gt;0,1,0)</f>
        <v>0</v>
      </c>
    </row>
    <row r="6686">
      <c r="A6686" s="10">
        <f>Daily_Data!A6686</f>
        <v>45884</v>
      </c>
      <c r="B6686" s="11">
        <f>Daily_Data!J6686</f>
        <v>15.09</v>
      </c>
      <c r="C6686" s="11">
        <f>Daily_Data!I6686</f>
        <v>-0.71</v>
      </c>
      <c r="D6686" s="12">
        <f>if(sum(Daily_Data!K6686:L6686)&gt;0,1,0)</f>
        <v>0</v>
      </c>
    </row>
    <row r="6687">
      <c r="A6687" s="10">
        <f>Daily_Data!A6687</f>
        <v>45887</v>
      </c>
      <c r="B6687" s="11">
        <f>Daily_Data!J6687</f>
        <v>14.99</v>
      </c>
      <c r="C6687" s="11">
        <f>Daily_Data!I6687</f>
        <v>-0.7</v>
      </c>
      <c r="D6687" s="12">
        <f>if(sum(Daily_Data!K6687:L6687)&gt;0,1,0)</f>
        <v>0</v>
      </c>
    </row>
    <row r="6688">
      <c r="A6688" s="10">
        <f>Daily_Data!A6688</f>
        <v>45888</v>
      </c>
      <c r="B6688" s="11">
        <f>Daily_Data!J6688</f>
        <v>15.57</v>
      </c>
      <c r="C6688" s="11">
        <f>Daily_Data!I6688</f>
        <v>-0.64</v>
      </c>
      <c r="D6688" s="12">
        <f>if(sum(Daily_Data!K6688:L6688)&gt;0,1,0)</f>
        <v>0</v>
      </c>
    </row>
    <row r="6689">
      <c r="A6689" s="10">
        <f>Daily_Data!A6689</f>
        <v>45889</v>
      </c>
      <c r="B6689" s="11">
        <f>Daily_Data!J6689</f>
        <v>15.69</v>
      </c>
      <c r="C6689" s="11">
        <f>Daily_Data!I6689</f>
        <v>-0.8</v>
      </c>
      <c r="D6689" s="12">
        <f>if(sum(Daily_Data!K6689:L6689)&gt;0,1,0)</f>
        <v>0</v>
      </c>
    </row>
    <row r="6690">
      <c r="A6690" s="10">
        <f>Daily_Data!A6690</f>
        <v>45890</v>
      </c>
      <c r="B6690" s="11">
        <f>Daily_Data!J6690</f>
        <v>16.6</v>
      </c>
      <c r="C6690" s="11">
        <f>Daily_Data!I6690</f>
        <v>-0.87</v>
      </c>
      <c r="D6690" s="12">
        <f>if(sum(Daily_Data!K6690:L6690)&gt;0,1,0)</f>
        <v>0</v>
      </c>
    </row>
    <row r="6691">
      <c r="A6691" s="10">
        <f>Daily_Data!A6691</f>
        <v>45891</v>
      </c>
      <c r="B6691" s="11">
        <f>Daily_Data!J6691</f>
        <v>14.22</v>
      </c>
      <c r="C6691" s="11">
        <f>Daily_Data!I6691</f>
        <v>-0.74</v>
      </c>
      <c r="D6691" s="12">
        <f>if(sum(Daily_Data!K6691:L6691)&gt;0,1,0)</f>
        <v>0</v>
      </c>
    </row>
    <row r="6692">
      <c r="A6692" s="10">
        <f>Daily_Data!A6692</f>
        <v>45894</v>
      </c>
      <c r="B6692" s="11">
        <f>Daily_Data!J6692</f>
        <v>14.79</v>
      </c>
      <c r="C6692" s="11">
        <f>Daily_Data!I6692</f>
        <v>-0.82</v>
      </c>
      <c r="D6692" s="12">
        <f>if(sum(Daily_Data!K6692:L6692)&gt;0,1,0)</f>
        <v>0</v>
      </c>
    </row>
    <row r="6693">
      <c r="A6693" s="10">
        <f>Daily_Data!A6693</f>
        <v>45895</v>
      </c>
      <c r="B6693" s="11">
        <f>Daily_Data!J6693</f>
        <v>14.62</v>
      </c>
      <c r="C6693" s="11">
        <f>Daily_Data!I6693</f>
        <v>-0.72</v>
      </c>
      <c r="D6693" s="12">
        <f>if(sum(Daily_Data!K6693:L6693)&gt;0,1,0)</f>
        <v>0</v>
      </c>
    </row>
    <row r="6694">
      <c r="A6694" s="10">
        <f>Daily_Data!A6694</f>
        <v>45896</v>
      </c>
      <c r="B6694" s="11">
        <f>Daily_Data!J6694</f>
        <v>14.85</v>
      </c>
      <c r="C6694" s="11">
        <f>Daily_Data!I6694</f>
        <v>-0.7</v>
      </c>
      <c r="D6694" s="12">
        <f>if(sum(Daily_Data!K6694:L6694)&gt;0,1,0)</f>
        <v>0</v>
      </c>
    </row>
    <row r="6695">
      <c r="A6695" s="10">
        <f>Daily_Data!A6695</f>
        <v>45897</v>
      </c>
      <c r="B6695" s="11">
        <f>Daily_Data!J6695</f>
        <v>14.43</v>
      </c>
      <c r="C6695" s="11">
        <f>Daily_Data!I6695</f>
        <v>-0.76</v>
      </c>
      <c r="D6695" s="12">
        <f>if(sum(Daily_Data!K6695:L6695)&gt;0,1,0)</f>
        <v>0</v>
      </c>
    </row>
    <row r="6696">
      <c r="A6696" s="10">
        <f>Daily_Data!A6696</f>
        <v>45898</v>
      </c>
      <c r="B6696" s="11">
        <f>Daily_Data!J6696</f>
        <v>15.36</v>
      </c>
      <c r="C6696" s="11">
        <f>Daily_Data!I6696</f>
        <v>-0.73</v>
      </c>
      <c r="D6696" s="12">
        <f>if(sum(Daily_Data!K6696:L6696)&gt;0,1,0)</f>
        <v>0</v>
      </c>
    </row>
    <row r="6697">
      <c r="A6697" s="10">
        <f>Daily_Data!A6697</f>
        <v>45901</v>
      </c>
      <c r="B6697" s="11">
        <f>Daily_Data!J6697</f>
        <v>16.12</v>
      </c>
      <c r="C6697" s="11" t="str">
        <f>Daily_Data!I6697</f>
        <v/>
      </c>
      <c r="D6697" s="12">
        <f>if(sum(Daily_Data!K6697:L6697)&gt;0,1,0)</f>
        <v>0</v>
      </c>
    </row>
    <row r="6698">
      <c r="A6698" s="10">
        <f>Daily_Data!A6698</f>
        <v>45902</v>
      </c>
      <c r="B6698" s="11">
        <f>Daily_Data!J6698</f>
        <v>17.17</v>
      </c>
      <c r="C6698" s="11">
        <f>Daily_Data!I6698</f>
        <v>-0.76</v>
      </c>
      <c r="D6698" s="12">
        <f>if(sum(Daily_Data!K6698:L6698)&gt;0,1,0)</f>
        <v>0</v>
      </c>
    </row>
    <row r="6699">
      <c r="A6699" s="10">
        <f>Daily_Data!A6699</f>
        <v>45903</v>
      </c>
      <c r="B6699" s="11">
        <f>Daily_Data!J6699</f>
        <v>16.35</v>
      </c>
      <c r="C6699" s="11">
        <f>Daily_Data!I6699</f>
        <v>-0.7</v>
      </c>
      <c r="D6699" s="12">
        <f>if(sum(Daily_Data!K6699:L6699)&gt;0,1,0)</f>
        <v>0</v>
      </c>
    </row>
    <row r="6700">
      <c r="A6700" s="10">
        <f>Daily_Data!A6700</f>
        <v>45904</v>
      </c>
      <c r="B6700" s="11">
        <f>Daily_Data!J6700</f>
        <v>15.3</v>
      </c>
      <c r="C6700" s="11">
        <f>Daily_Data!I6700</f>
        <v>-0.69</v>
      </c>
      <c r="D6700" s="12">
        <f>if(sum(Daily_Data!K6700:L6700)&gt;0,1,0)</f>
        <v>0</v>
      </c>
    </row>
    <row r="6701">
      <c r="A6701" s="10">
        <f>Daily_Data!A6701</f>
        <v>45905</v>
      </c>
      <c r="B6701" s="11">
        <f>Daily_Data!J6701</f>
        <v>15.18</v>
      </c>
      <c r="C6701" s="11">
        <f>Daily_Data!I6701</f>
        <v>-0.61</v>
      </c>
      <c r="D6701" s="12">
        <f>if(sum(Daily_Data!K6701:L6701)&gt;0,1,0)</f>
        <v>1</v>
      </c>
    </row>
    <row r="6702">
      <c r="A6702" s="10">
        <f>Daily_Data!A6702</f>
        <v>45908</v>
      </c>
      <c r="B6702" s="11">
        <f>Daily_Data!J6702</f>
        <v>15.11</v>
      </c>
      <c r="C6702" s="11">
        <f>Daily_Data!I6702</f>
        <v>-0.62</v>
      </c>
      <c r="D6702" s="12">
        <f>if(sum(Daily_Data!K6702:L6702)&gt;0,1,0)</f>
        <v>0</v>
      </c>
    </row>
    <row r="6703">
      <c r="A6703" s="10">
        <f>Daily_Data!A6703</f>
        <v>45909</v>
      </c>
      <c r="B6703" s="11">
        <f>Daily_Data!J6703</f>
        <v>15.04</v>
      </c>
      <c r="C6703" s="11">
        <f>Daily_Data!I6703</f>
        <v>-0.66</v>
      </c>
      <c r="D6703" s="12">
        <f>if(sum(Daily_Data!K6703:L6703)&gt;0,1,0)</f>
        <v>0</v>
      </c>
    </row>
    <row r="6704">
      <c r="A6704" s="10">
        <f>Daily_Data!A6704</f>
        <v>45910</v>
      </c>
      <c r="B6704" s="11">
        <f>Daily_Data!J6704</f>
        <v>15.35</v>
      </c>
      <c r="C6704" s="11">
        <f>Daily_Data!I6704</f>
        <v>-0.65</v>
      </c>
      <c r="D6704" s="12">
        <f>if(sum(Daily_Data!K6704:L6704)&gt;0,1,0)</f>
        <v>0</v>
      </c>
    </row>
    <row r="6705">
      <c r="A6705" s="10">
        <f>Daily_Data!A6705</f>
        <v>45911</v>
      </c>
      <c r="B6705" s="11">
        <f>Daily_Data!J6705</f>
        <v>14.71</v>
      </c>
      <c r="C6705" s="11">
        <f>Daily_Data!I6705</f>
        <v>-0.66</v>
      </c>
      <c r="D6705" s="12">
        <f>if(sum(Daily_Data!K6705:L6705)&gt;0,1,0)</f>
        <v>1</v>
      </c>
    </row>
    <row r="6706">
      <c r="A6706" s="10">
        <f>Daily_Data!A6706</f>
        <v>45912</v>
      </c>
      <c r="B6706" s="11">
        <f>Daily_Data!J6706</f>
        <v>14.76</v>
      </c>
      <c r="C6706" s="11">
        <f>Daily_Data!I6706</f>
        <v>-0.7</v>
      </c>
      <c r="D6706" s="12">
        <f>if(sum(Daily_Data!K6706:L6706)&gt;0,1,0)</f>
        <v>0</v>
      </c>
    </row>
    <row r="6707">
      <c r="A6707" s="10">
        <f>Daily_Data!A6707</f>
        <v>45915</v>
      </c>
      <c r="B6707" s="11">
        <f>Daily_Data!J6707</f>
        <v>15.69</v>
      </c>
      <c r="C6707" s="11">
        <f>Daily_Data!I6707</f>
        <v>-0.67</v>
      </c>
      <c r="D6707" s="12">
        <f>if(sum(Daily_Data!K6707:L6707)&gt;0,1,0)</f>
        <v>0</v>
      </c>
    </row>
    <row r="6708">
      <c r="A6708" s="10">
        <f>Daily_Data!A6708</f>
        <v>45916</v>
      </c>
      <c r="B6708" s="11">
        <f>Daily_Data!J6708</f>
        <v>16.36</v>
      </c>
      <c r="C6708" s="11">
        <f>Daily_Data!I6708</f>
        <v>-0.68</v>
      </c>
      <c r="D6708" s="12">
        <f>if(sum(Daily_Data!K6708:L6708)&gt;0,1,0)</f>
        <v>0</v>
      </c>
    </row>
    <row r="6709">
      <c r="A6709" s="10">
        <f>Daily_Data!A6709</f>
        <v>45917</v>
      </c>
      <c r="B6709" s="11">
        <f>Daily_Data!J6709</f>
        <v>15.72</v>
      </c>
      <c r="C6709" s="11">
        <f>Daily_Data!I6709</f>
        <v>-0.71</v>
      </c>
      <c r="D6709" s="12">
        <f>if(sum(Daily_Data!K6709:L6709)&gt;0,1,0)</f>
        <v>0</v>
      </c>
    </row>
    <row r="6710">
      <c r="A6710" s="10">
        <f>Daily_Data!A6710</f>
        <v>45918</v>
      </c>
      <c r="B6710" s="11">
        <f>Daily_Data!J6710</f>
        <v>15.7</v>
      </c>
      <c r="C6710" s="11">
        <f>Daily_Data!I6710</f>
        <v>-0.87</v>
      </c>
      <c r="D6710" s="12">
        <f>if(sum(Daily_Data!K6710:L6710)&gt;0,1,0)</f>
        <v>0</v>
      </c>
    </row>
    <row r="6711">
      <c r="A6711" s="10">
        <f>Daily_Data!A6711</f>
        <v>45919</v>
      </c>
      <c r="B6711" s="11">
        <f>Daily_Data!J6711</f>
        <v>15.45</v>
      </c>
      <c r="C6711" s="11">
        <f>Daily_Data!I6711</f>
        <v>-0.91</v>
      </c>
      <c r="D6711" s="12">
        <f>if(sum(Daily_Data!K6711:L6711)&gt;0,1,0)</f>
        <v>0</v>
      </c>
    </row>
    <row r="6712">
      <c r="A6712" s="10">
        <f>Daily_Data!A6712</f>
        <v>45922</v>
      </c>
      <c r="B6712" s="11">
        <f>Daily_Data!J6712</f>
        <v>16.1</v>
      </c>
      <c r="C6712" s="11">
        <f>Daily_Data!I6712</f>
        <v>-0.94</v>
      </c>
      <c r="D6712" s="12">
        <f>if(sum(Daily_Data!K6712:L6712)&gt;0,1,0)</f>
        <v>0</v>
      </c>
    </row>
    <row r="6713">
      <c r="A6713" s="10">
        <f>Daily_Data!A6713</f>
        <v>45923</v>
      </c>
      <c r="B6713" s="11">
        <f>Daily_Data!J6713</f>
        <v>16.64</v>
      </c>
      <c r="C6713" s="11">
        <f>Daily_Data!I6713</f>
        <v>-0.87</v>
      </c>
      <c r="D6713" s="12">
        <f>if(sum(Daily_Data!K6713:L6713)&gt;0,1,0)</f>
        <v>0</v>
      </c>
    </row>
    <row r="6714">
      <c r="A6714" s="10">
        <f>Daily_Data!A6714</f>
        <v>45924</v>
      </c>
      <c r="B6714" s="11">
        <f>Daily_Data!J6714</f>
        <v>16.18</v>
      </c>
      <c r="C6714" s="11">
        <f>Daily_Data!I6714</f>
        <v>-0.91</v>
      </c>
      <c r="D6714" s="12">
        <f>if(sum(Daily_Data!K6714:L6714)&gt;0,1,0)</f>
        <v>0</v>
      </c>
    </row>
    <row r="6715">
      <c r="A6715" s="10">
        <f>Daily_Data!A6715</f>
        <v>45925</v>
      </c>
      <c r="B6715" s="11">
        <f>Daily_Data!J6715</f>
        <v>16.74</v>
      </c>
      <c r="C6715" s="11">
        <f>Daily_Data!I6715</f>
        <v>-0.98</v>
      </c>
      <c r="D6715" s="12">
        <f>if(sum(Daily_Data!K6715:L6715)&gt;0,1,0)</f>
        <v>0</v>
      </c>
    </row>
    <row r="6716">
      <c r="A6716" s="10">
        <f>Daily_Data!A6716</f>
        <v>45926</v>
      </c>
      <c r="B6716" s="11">
        <f>Daily_Data!J6716</f>
        <v>15.29</v>
      </c>
      <c r="C6716" s="11">
        <f>Daily_Data!I6716</f>
        <v>-0.96</v>
      </c>
      <c r="D6716" s="12">
        <f>if(sum(Daily_Data!K6716:L6716)&gt;0,1,0)</f>
        <v>0</v>
      </c>
    </row>
    <row r="6717">
      <c r="A6717" s="10">
        <f>Daily_Data!A6717</f>
        <v>45929</v>
      </c>
      <c r="B6717" s="11">
        <f>Daily_Data!J6717</f>
        <v>16.12</v>
      </c>
      <c r="C6717" s="11">
        <f>Daily_Data!I6717</f>
        <v>-0.99</v>
      </c>
      <c r="D6717" s="12">
        <f>if(sum(Daily_Data!K6717:L6717)&gt;0,1,0)</f>
        <v>0</v>
      </c>
    </row>
    <row r="6718">
      <c r="A6718" s="10">
        <f>Daily_Data!A6718</f>
        <v>45930</v>
      </c>
      <c r="B6718" s="11">
        <f>Daily_Data!J6718</f>
        <v>16.28</v>
      </c>
      <c r="C6718" s="11">
        <f>Daily_Data!I6718</f>
        <v>-0.97</v>
      </c>
      <c r="D6718" s="12">
        <f>if(sum(Daily_Data!K6718:L6718)&gt;0,1,0)</f>
        <v>0</v>
      </c>
    </row>
    <row r="6719">
      <c r="A6719" s="10">
        <f>Daily_Data!A6719</f>
        <v>45931</v>
      </c>
      <c r="B6719" s="11">
        <f>Daily_Data!J6719</f>
        <v>16.29</v>
      </c>
      <c r="C6719" s="11">
        <f>Daily_Data!I6719</f>
        <v>-0.92</v>
      </c>
      <c r="D6719" s="12">
        <f>if(sum(Daily_Data!K6719:L6719)&gt;0,1,0)</f>
        <v>0</v>
      </c>
    </row>
    <row r="6720">
      <c r="A6720" s="10">
        <f>Daily_Data!A6720</f>
        <v>45932</v>
      </c>
      <c r="B6720" s="11">
        <f>Daily_Data!J6720</f>
        <v>16.63</v>
      </c>
      <c r="C6720" s="11">
        <f>Daily_Data!I6720</f>
        <v>-0.92</v>
      </c>
      <c r="D6720" s="12">
        <f>if(sum(Daily_Data!K6720:L6720)&gt;0,1,0)</f>
        <v>0</v>
      </c>
    </row>
    <row r="6721">
      <c r="A6721" s="10">
        <f>Daily_Data!A6721</f>
        <v>45933</v>
      </c>
      <c r="B6721" s="11">
        <f>Daily_Data!J6721</f>
        <v>16.65</v>
      </c>
      <c r="C6721" s="11">
        <f>Daily_Data!I6721</f>
        <v>-0.95</v>
      </c>
      <c r="D6721" s="12">
        <f>if(sum(Daily_Data!K6721:L6721)&gt;0,1,0)</f>
        <v>0</v>
      </c>
    </row>
    <row r="6722">
      <c r="A6722" s="10">
        <f>Daily_Data!A6722</f>
        <v>45936</v>
      </c>
      <c r="B6722" s="11">
        <f>Daily_Data!J6722</f>
        <v>16.37</v>
      </c>
      <c r="C6722" s="11">
        <f>Daily_Data!I6722</f>
        <v>-0.96</v>
      </c>
      <c r="D6722" s="12">
        <f>if(sum(Daily_Data!K6722:L6722)&gt;0,1,0)</f>
        <v>0</v>
      </c>
    </row>
    <row r="6723">
      <c r="A6723" s="10">
        <f>Daily_Data!A6723</f>
        <v>45937</v>
      </c>
      <c r="B6723" s="11">
        <f>Daily_Data!J6723</f>
        <v>17.24</v>
      </c>
      <c r="C6723" s="11">
        <f>Daily_Data!I6723</f>
        <v>-0.95</v>
      </c>
      <c r="D6723" s="12">
        <f>if(sum(Daily_Data!K6723:L6723)&gt;0,1,0)</f>
        <v>0</v>
      </c>
    </row>
    <row r="6724">
      <c r="A6724" s="10">
        <f>Daily_Data!A6724</f>
        <v>45938</v>
      </c>
      <c r="B6724" s="11">
        <f>Daily_Data!J6724</f>
        <v>16.3</v>
      </c>
      <c r="C6724" s="11">
        <f>Daily_Data!I6724</f>
        <v>-1.02</v>
      </c>
      <c r="D6724" s="12">
        <f>if(sum(Daily_Data!K6724:L6724)&gt;0,1,0)</f>
        <v>0</v>
      </c>
    </row>
    <row r="6725">
      <c r="A6725" s="10">
        <f>Daily_Data!A6725</f>
        <v>45939</v>
      </c>
      <c r="B6725" s="11">
        <f>Daily_Data!J6725</f>
        <v>16.43</v>
      </c>
      <c r="C6725" s="11">
        <f>Daily_Data!I6725</f>
        <v>-1.05</v>
      </c>
      <c r="D6725" s="12">
        <f>if(sum(Daily_Data!K6725:L6725)&gt;0,1,0)</f>
        <v>0</v>
      </c>
    </row>
    <row r="6726">
      <c r="A6726" s="10">
        <f>Daily_Data!A6726</f>
        <v>45940</v>
      </c>
      <c r="B6726" s="11">
        <f>Daily_Data!J6726</f>
        <v>21.66</v>
      </c>
      <c r="C6726" s="11">
        <f>Daily_Data!I6726</f>
        <v>-0.95</v>
      </c>
      <c r="D6726" s="12">
        <f>if(sum(Daily_Data!K6726:L6726)&gt;0,1,0)</f>
        <v>0</v>
      </c>
    </row>
    <row r="6727">
      <c r="A6727" s="10">
        <f>Daily_Data!A6727</f>
        <v>45943</v>
      </c>
      <c r="B6727" s="11">
        <f>Daily_Data!J6727</f>
        <v>19.03</v>
      </c>
      <c r="C6727" s="11" t="str">
        <f>Daily_Data!I6727</f>
        <v/>
      </c>
      <c r="D6727" s="12">
        <f>if(sum(Daily_Data!K6727:L6727)&gt;0,1,0)</f>
        <v>0</v>
      </c>
    </row>
    <row r="6728">
      <c r="A6728" s="10">
        <f>Daily_Data!A6728</f>
        <v>45944</v>
      </c>
      <c r="B6728" s="11">
        <f>Daily_Data!J6728</f>
        <v>20.81</v>
      </c>
      <c r="C6728" s="11">
        <f>Daily_Data!I6728</f>
        <v>-0.94</v>
      </c>
      <c r="D6728" s="12">
        <f>if(sum(Daily_Data!K6728:L6728)&gt;0,1,0)</f>
        <v>0</v>
      </c>
    </row>
    <row r="6729">
      <c r="A6729" s="10">
        <f>Daily_Data!A6729</f>
        <v>45945</v>
      </c>
      <c r="B6729" s="11">
        <f>Daily_Data!J6729</f>
        <v>20.64</v>
      </c>
      <c r="C6729" s="11">
        <f>Daily_Data!I6729</f>
        <v>-1.01</v>
      </c>
      <c r="D6729" s="12">
        <f>if(sum(Daily_Data!K6729:L6729)&gt;0,1,0)</f>
        <v>0</v>
      </c>
    </row>
    <row r="6730">
      <c r="A6730" s="10">
        <f>Daily_Data!A6730</f>
        <v>45946</v>
      </c>
      <c r="B6730" s="11">
        <f>Daily_Data!J6730</f>
        <v>25.31</v>
      </c>
      <c r="C6730" s="11">
        <f>Daily_Data!I6730</f>
        <v>-0.93</v>
      </c>
      <c r="D6730" s="12">
        <f>if(sum(Daily_Data!K6730:L6730)&gt;0,1,0)</f>
        <v>0</v>
      </c>
    </row>
    <row r="6731">
      <c r="A6731" s="10">
        <f>Daily_Data!A6731</f>
        <v>45947</v>
      </c>
      <c r="B6731" s="11">
        <f>Daily_Data!J6731</f>
        <v>20.78</v>
      </c>
      <c r="C6731" s="11">
        <f>Daily_Data!I6731</f>
        <v>-1.02</v>
      </c>
      <c r="D6731" s="12">
        <f>if(sum(Daily_Data!K6731:L6731)&gt;0,1,0)</f>
        <v>0</v>
      </c>
    </row>
    <row r="6732">
      <c r="A6732" s="10">
        <f>Daily_Data!A6732</f>
        <v>45950</v>
      </c>
      <c r="B6732" s="11">
        <f>Daily_Data!J6732</f>
        <v>18.23</v>
      </c>
      <c r="C6732" s="11">
        <f>Daily_Data!I6732</f>
        <v>-1</v>
      </c>
      <c r="D6732" s="12">
        <f>if(sum(Daily_Data!K6732:L6732)&gt;0,1,0)</f>
        <v>0</v>
      </c>
    </row>
    <row r="6733">
      <c r="A6733" s="10">
        <f>Daily_Data!A6733</f>
        <v>45951</v>
      </c>
      <c r="B6733" s="11">
        <f>Daily_Data!J6733</f>
        <v>17.87</v>
      </c>
      <c r="C6733" s="11">
        <f>Daily_Data!I6733</f>
        <v>-0.99</v>
      </c>
      <c r="D6733" s="12">
        <f>if(sum(Daily_Data!K6733:L6733)&gt;0,1,0)</f>
        <v>0</v>
      </c>
    </row>
    <row r="6734">
      <c r="A6734" s="10">
        <f>Daily_Data!A6734</f>
        <v>45952</v>
      </c>
      <c r="B6734" s="11">
        <f>Daily_Data!J6734</f>
        <v>18.6</v>
      </c>
      <c r="C6734" s="11">
        <f>Daily_Data!I6734</f>
        <v>-0.99</v>
      </c>
      <c r="D6734" s="12">
        <f>if(sum(Daily_Data!K6734:L6734)&gt;0,1,0)</f>
        <v>0</v>
      </c>
    </row>
    <row r="6735">
      <c r="A6735" s="10">
        <f>Daily_Data!A6735</f>
        <v>45953</v>
      </c>
      <c r="B6735" s="11">
        <f>Daily_Data!J6735</f>
        <v>17.3</v>
      </c>
      <c r="C6735" s="11">
        <f>Daily_Data!I6735</f>
        <v>-1.01</v>
      </c>
      <c r="D6735" s="12">
        <f>if(sum(Daily_Data!K6735:L6735)&gt;0,1,0)</f>
        <v>0</v>
      </c>
    </row>
    <row r="6736">
      <c r="A6736" s="10">
        <f>Daily_Data!A6736</f>
        <v>45954</v>
      </c>
      <c r="B6736" s="11">
        <f>Daily_Data!J6736</f>
        <v>16.37</v>
      </c>
      <c r="C6736" s="11">
        <f>Daily_Data!I6736</f>
        <v>-0.99</v>
      </c>
      <c r="D6736" s="12">
        <f>if(sum(Daily_Data!K6736:L6736)&gt;0,1,0)</f>
        <v>1</v>
      </c>
    </row>
    <row r="6737">
      <c r="A6737" s="10">
        <f>Daily_Data!A6737</f>
        <v>45957</v>
      </c>
      <c r="B6737" s="11">
        <f>Daily_Data!J6737</f>
        <v>15.79</v>
      </c>
      <c r="C6737" s="11" t="str">
        <f>Daily_Data!I6737</f>
        <v/>
      </c>
      <c r="D6737" s="12">
        <f>if(sum(Daily_Data!K6737:L6737)&gt;0,1,0)</f>
        <v>0</v>
      </c>
    </row>
    <row r="6738">
      <c r="A6738" s="10">
        <f>Daily_Data!A6738</f>
        <v>45958</v>
      </c>
      <c r="B6738" s="11">
        <f>Daily_Data!J6738</f>
        <v>16.42</v>
      </c>
      <c r="C6738" s="11">
        <f>Daily_Data!I6738</f>
        <v>-0.94</v>
      </c>
      <c r="D6738" s="12">
        <f>if(sum(Daily_Data!K6738:L6738)&gt;0,1,0)</f>
        <v>0</v>
      </c>
    </row>
    <row r="6739">
      <c r="A6739" s="10">
        <f>Daily_Data!A6739</f>
        <v>45959</v>
      </c>
      <c r="B6739" s="11">
        <f>Daily_Data!J6739</f>
        <v>16.92</v>
      </c>
      <c r="C6739" s="11">
        <f>Daily_Data!I6739</f>
        <v>-1.01</v>
      </c>
      <c r="D6739" s="12">
        <f>if(sum(Daily_Data!K6739:L6739)&gt;0,1,0)</f>
        <v>0</v>
      </c>
    </row>
    <row r="6740">
      <c r="A6740" s="10">
        <f>Daily_Data!A6740</f>
        <v>45960</v>
      </c>
      <c r="B6740" s="11">
        <f>Daily_Data!J6740</f>
        <v>16.91</v>
      </c>
      <c r="C6740" s="11">
        <f>Daily_Data!I6740</f>
        <v>-1.02</v>
      </c>
      <c r="D6740" s="12">
        <f>if(sum(Daily_Data!K6740:L6740)&gt;0,1,0)</f>
        <v>0</v>
      </c>
    </row>
    <row r="6741">
      <c r="A6741" s="10">
        <f>Daily_Data!A6741</f>
        <v>45961</v>
      </c>
      <c r="B6741" s="11">
        <f>Daily_Data!J6741</f>
        <v>17.44</v>
      </c>
      <c r="C6741" s="11">
        <f>Daily_Data!I6741</f>
        <v>-1.04</v>
      </c>
      <c r="D6741" s="12">
        <f>if(sum(Daily_Data!K6741:L6741)&gt;0,1,0)</f>
        <v>0</v>
      </c>
    </row>
    <row r="6742">
      <c r="A6742" s="10">
        <f>Daily_Data!A6742</f>
        <v>45964</v>
      </c>
      <c r="B6742" s="11">
        <f>Daily_Data!J6742</f>
        <v>17.17</v>
      </c>
      <c r="C6742" s="11">
        <f>Daily_Data!I6742</f>
        <v>-1.04</v>
      </c>
      <c r="D6742" s="12">
        <f>if(sum(Daily_Data!K6742:L6742)&gt;0,1,0)</f>
        <v>0</v>
      </c>
    </row>
    <row r="6743">
      <c r="A6743" s="10">
        <f>Daily_Data!A6743</f>
        <v>45965</v>
      </c>
      <c r="B6743" s="11">
        <f>Daily_Data!J6743</f>
        <v>19</v>
      </c>
      <c r="C6743" s="11">
        <f>Daily_Data!I6743</f>
        <v>-1.02</v>
      </c>
      <c r="D6743" s="12">
        <f>if(sum(Daily_Data!K6743:L6743)&gt;0,1,0)</f>
        <v>0</v>
      </c>
    </row>
    <row r="6744">
      <c r="A6744" s="10">
        <f>Daily_Data!A6744</f>
        <v>45966</v>
      </c>
      <c r="B6744" s="11">
        <f>Daily_Data!J6744</f>
        <v>18.01</v>
      </c>
      <c r="C6744" s="11">
        <f>Daily_Data!I6744</f>
        <v>-1.08</v>
      </c>
      <c r="D6744" s="12">
        <f>if(sum(Daily_Data!K6744:L6744)&gt;0,1,0)</f>
        <v>0</v>
      </c>
    </row>
    <row r="6745">
      <c r="A6745" s="10">
        <f>Daily_Data!A6745</f>
        <v>45967</v>
      </c>
      <c r="B6745" s="11">
        <f>Daily_Data!J6745</f>
        <v>19.5</v>
      </c>
      <c r="C6745" s="11">
        <f>Daily_Data!I6745</f>
        <v>-1.01</v>
      </c>
      <c r="D6745" s="12">
        <f>if(sum(Daily_Data!K6745:L6745)&gt;0,1,0)</f>
        <v>0</v>
      </c>
    </row>
    <row r="6746">
      <c r="A6746" s="10">
        <f>Daily_Data!A6746</f>
        <v>45968</v>
      </c>
      <c r="B6746" s="11">
        <f>Daily_Data!J6746</f>
        <v>19.08</v>
      </c>
      <c r="C6746" s="11">
        <f>Daily_Data!I6746</f>
        <v>-1.02</v>
      </c>
      <c r="D6746" s="12">
        <f>if(sum(Daily_Data!K6746:L6746)&gt;0,1,0)</f>
        <v>0</v>
      </c>
    </row>
    <row r="6747">
      <c r="A6747" s="10">
        <f>Daily_Data!A6747</f>
        <v>45971</v>
      </c>
      <c r="B6747" s="11">
        <f>Daily_Data!J6747</f>
        <v>17.6</v>
      </c>
      <c r="C6747" s="11">
        <f>Daily_Data!I6747</f>
        <v>-1.05</v>
      </c>
      <c r="D6747" s="12">
        <f>if(sum(Daily_Data!K6747:L6747)&gt;0,1,0)</f>
        <v>0</v>
      </c>
    </row>
    <row r="6748">
      <c r="A6748" s="10">
        <f>Daily_Data!A6748</f>
        <v>45972</v>
      </c>
      <c r="B6748" s="11">
        <f>Daily_Data!J6748</f>
        <v>17.28</v>
      </c>
      <c r="C6748" s="11" t="str">
        <f>Daily_Data!I6748</f>
        <v/>
      </c>
      <c r="D6748" s="12">
        <f>if(sum(Daily_Data!K6748:L6748)&gt;0,1,0)</f>
        <v>0</v>
      </c>
    </row>
    <row r="6749">
      <c r="A6749" s="10">
        <f>Daily_Data!A6749</f>
        <v>45973</v>
      </c>
      <c r="B6749" s="11">
        <f>Daily_Data!J6749</f>
        <v>17.51</v>
      </c>
      <c r="C6749" s="11">
        <f>Daily_Data!I6749</f>
        <v>-1.03</v>
      </c>
      <c r="D6749" s="12">
        <f>if(sum(Daily_Data!K6749:L6749)&gt;0,1,0)</f>
        <v>0</v>
      </c>
    </row>
    <row r="6750">
      <c r="A6750" s="10">
        <f>Daily_Data!A6750</f>
        <v>45974</v>
      </c>
      <c r="B6750" s="11">
        <f>Daily_Data!J6750</f>
        <v>20</v>
      </c>
      <c r="C6750" s="11">
        <f>Daily_Data!I6750</f>
        <v>-1</v>
      </c>
      <c r="D6750" s="12">
        <f>if(sum(Daily_Data!K6750:L6750)&gt;0,1,0)</f>
        <v>0</v>
      </c>
    </row>
    <row r="6751">
      <c r="A6751" s="10">
        <f>Daily_Data!A6751</f>
        <v>45975</v>
      </c>
      <c r="B6751" s="11">
        <f>Daily_Data!J6751</f>
        <v>19.83</v>
      </c>
      <c r="C6751" s="11">
        <f>Daily_Data!I6751</f>
        <v>-1.01</v>
      </c>
      <c r="D6751" s="12">
        <f>if(sum(Daily_Data!K6751:L6751)&gt;0,1,0)</f>
        <v>0</v>
      </c>
    </row>
    <row r="6752">
      <c r="A6752" s="10">
        <f>Daily_Data!A6752</f>
        <v>45978</v>
      </c>
      <c r="B6752" s="11">
        <f>Daily_Data!J6752</f>
        <v>22.38</v>
      </c>
      <c r="C6752" s="11">
        <f>Daily_Data!I6752</f>
        <v>-0.98</v>
      </c>
      <c r="D6752" s="12">
        <f>if(sum(Daily_Data!K6752:L6752)&gt;0,1,0)</f>
        <v>0</v>
      </c>
    </row>
    <row r="6753">
      <c r="A6753" s="10">
        <f>Daily_Data!A6753</f>
        <v>45979</v>
      </c>
      <c r="B6753" s="11">
        <f>Daily_Data!J6753</f>
        <v>24.69</v>
      </c>
      <c r="C6753" s="11">
        <f>Daily_Data!I6753</f>
        <v>-0.96</v>
      </c>
      <c r="D6753" s="12">
        <f>if(sum(Daily_Data!K6753:L6753)&gt;0,1,0)</f>
        <v>0</v>
      </c>
    </row>
    <row r="6754">
      <c r="A6754" s="10">
        <f>Daily_Data!A6754</f>
        <v>45980</v>
      </c>
      <c r="B6754" s="11">
        <f>Daily_Data!J6754</f>
        <v>23.66</v>
      </c>
      <c r="C6754" s="11">
        <f>Daily_Data!I6754</f>
        <v>-0.99</v>
      </c>
      <c r="D6754" s="12">
        <f>if(sum(Daily_Data!K6754:L6754)&gt;0,1,0)</f>
        <v>0</v>
      </c>
    </row>
    <row r="6755">
      <c r="A6755" s="10">
        <f>Daily_Data!A6755</f>
        <v>45981</v>
      </c>
      <c r="B6755" s="11">
        <f>Daily_Data!J6755</f>
        <v>26.42</v>
      </c>
      <c r="C6755" s="11">
        <f>Daily_Data!I6755</f>
        <v>-0.94</v>
      </c>
      <c r="D6755" s="12">
        <f>if(sum(Daily_Data!K6755:L6755)&gt;0,1,0)</f>
        <v>1</v>
      </c>
    </row>
    <row r="6756">
      <c r="A6756" s="10">
        <f>Daily_Data!A6756</f>
        <v>45982</v>
      </c>
      <c r="B6756" s="11">
        <f>Daily_Data!J6756</f>
        <v>23.43</v>
      </c>
      <c r="C6756" s="11">
        <f>Daily_Data!I6756</f>
        <v>-0.9</v>
      </c>
      <c r="D6756" s="12">
        <f>if(sum(Daily_Data!K6756:L6756)&gt;0,1,0)</f>
        <v>0</v>
      </c>
    </row>
    <row r="6757">
      <c r="A6757" s="10">
        <f>Daily_Data!A6757</f>
        <v>45985</v>
      </c>
      <c r="B6757" s="11">
        <f>Daily_Data!J6757</f>
        <v>20.52</v>
      </c>
      <c r="C6757" s="11">
        <f>Daily_Data!I6757</f>
        <v>-0.86</v>
      </c>
      <c r="D6757" s="12">
        <f>if(sum(Daily_Data!K6757:L6757)&gt;0,1,0)</f>
        <v>0</v>
      </c>
    </row>
    <row r="6758">
      <c r="A6758" s="10">
        <f>Daily_Data!A6758</f>
        <v>45986</v>
      </c>
      <c r="B6758" s="11">
        <f>Daily_Data!J6758</f>
        <v>18.56</v>
      </c>
      <c r="C6758" s="11">
        <f>Daily_Data!I6758</f>
        <v>-0.84</v>
      </c>
      <c r="D6758" s="12">
        <f>if(sum(Daily_Data!K6758:L6758)&gt;0,1,0)</f>
        <v>0</v>
      </c>
    </row>
    <row r="6759">
      <c r="A6759" s="10">
        <f>Daily_Data!A6759</f>
        <v>45987</v>
      </c>
      <c r="B6759" s="11">
        <f>Daily_Data!J6759</f>
        <v>17.19</v>
      </c>
      <c r="C6759" s="11">
        <f>Daily_Data!I6759</f>
        <v>-0.75</v>
      </c>
      <c r="D6759" s="12">
        <f>if(sum(Daily_Data!K6759:L6759)&gt;0,1,0)</f>
        <v>0</v>
      </c>
    </row>
    <row r="6760">
      <c r="A6760" s="10">
        <f>Daily_Data!A6760</f>
        <v>45988</v>
      </c>
      <c r="B6760" s="11">
        <f>Daily_Data!J6760</f>
        <v>17.21</v>
      </c>
      <c r="C6760" s="11" t="str">
        <f>Daily_Data!I6760</f>
        <v/>
      </c>
      <c r="D6760" s="12">
        <f>if(sum(Daily_Data!K6760:L6760)&gt;0,1,0)</f>
        <v>0</v>
      </c>
    </row>
    <row r="6761">
      <c r="A6761" s="10">
        <f>Daily_Data!A6761</f>
        <v>45989</v>
      </c>
      <c r="B6761" s="11">
        <f>Daily_Data!J6761</f>
        <v>16.35</v>
      </c>
      <c r="C6761" s="11">
        <f>Daily_Data!I6761</f>
        <v>-0.61</v>
      </c>
      <c r="D6761" s="12">
        <f>if(sum(Daily_Data!K6761:L6761)&gt;0,1,0)</f>
        <v>0</v>
      </c>
    </row>
    <row r="6762">
      <c r="A6762" s="10">
        <f>Daily_Data!A6762</f>
        <v>45992</v>
      </c>
      <c r="B6762" s="11">
        <f>Daily_Data!J6762</f>
        <v>17.24</v>
      </c>
      <c r="C6762" s="11">
        <f>Daily_Data!I6762</f>
        <v>-0.65</v>
      </c>
      <c r="D6762" s="12">
        <f>if(sum(Daily_Data!K6762:L6762)&gt;0,1,0)</f>
        <v>0</v>
      </c>
    </row>
    <row r="6763">
      <c r="A6763" s="10">
        <f>Daily_Data!A6763</f>
        <v>45993</v>
      </c>
      <c r="B6763" s="11">
        <f>Daily_Data!J6763</f>
        <v>16.59</v>
      </c>
      <c r="C6763" s="11">
        <f>Daily_Data!I6763</f>
        <v>-0.65</v>
      </c>
      <c r="D6763" s="12">
        <f>if(sum(Daily_Data!K6763:L6763)&gt;0,1,0)</f>
        <v>0</v>
      </c>
    </row>
    <row r="6764">
      <c r="A6764" s="10">
        <f>Daily_Data!A6764</f>
        <v>45994</v>
      </c>
      <c r="B6764" s="11">
        <f>Daily_Data!J6764</f>
        <v>16.08</v>
      </c>
      <c r="C6764" s="11">
        <f>Daily_Data!I6764</f>
        <v>-0.66</v>
      </c>
      <c r="D6764" s="12">
        <f>if(sum(Daily_Data!K6764:L6764)&gt;0,1,0)</f>
        <v>0</v>
      </c>
    </row>
    <row r="6765">
      <c r="A6765" s="10">
        <f>Daily_Data!A6765</f>
        <v>45995</v>
      </c>
      <c r="B6765" s="11">
        <f>Daily_Data!J6765</f>
        <v>15.78</v>
      </c>
      <c r="C6765" s="11">
        <f>Daily_Data!I6765</f>
        <v>-0.65</v>
      </c>
      <c r="D6765" s="12">
        <f>if(sum(Daily_Data!K6765:L6765)&gt;0,1,0)</f>
        <v>0</v>
      </c>
    </row>
    <row r="6766">
      <c r="A6766" s="10">
        <f>Daily_Data!A6766</f>
        <v>45996</v>
      </c>
      <c r="B6766" s="11">
        <f>Daily_Data!J6766</f>
        <v>15.41</v>
      </c>
      <c r="C6766" s="11">
        <f>Daily_Data!I6766</f>
        <v>-0.66</v>
      </c>
      <c r="D6766" s="12">
        <f>if(sum(Daily_Data!K6766:L6766)&gt;0,1,0)</f>
        <v>0</v>
      </c>
    </row>
    <row r="6767">
      <c r="A6767" s="10">
        <f>Daily_Data!A6767</f>
        <v>45999</v>
      </c>
      <c r="B6767" s="11">
        <f>Daily_Data!J6767</f>
        <v>16.66</v>
      </c>
      <c r="C6767" s="11">
        <f>Daily_Data!I6767</f>
        <v>-0.58</v>
      </c>
      <c r="D6767" s="12">
        <f>if(sum(Daily_Data!K6767:L6767)&gt;0,1,0)</f>
        <v>0</v>
      </c>
    </row>
    <row r="6768">
      <c r="A6768" s="10">
        <f>Daily_Data!A6768</f>
        <v>46000</v>
      </c>
      <c r="B6768" s="11">
        <f>Daily_Data!J6768</f>
        <v>16.93</v>
      </c>
      <c r="C6768" s="11">
        <f>Daily_Data!I6768</f>
        <v>-0.56</v>
      </c>
      <c r="D6768" s="12">
        <f>if(sum(Daily_Data!K6768:L6768)&gt;0,1,0)</f>
        <v>0</v>
      </c>
    </row>
    <row r="6769">
      <c r="A6769" s="10">
        <f>Daily_Data!A6769</f>
        <v>46001</v>
      </c>
      <c r="B6769" s="11">
        <f>Daily_Data!J6769</f>
        <v>15.77</v>
      </c>
      <c r="C6769" s="11">
        <f>Daily_Data!I6769</f>
        <v>-0.42</v>
      </c>
      <c r="D6769" s="12">
        <f>if(sum(Daily_Data!K6769:L6769)&gt;0,1,0)</f>
        <v>0</v>
      </c>
    </row>
    <row r="6770">
      <c r="A6770" s="10">
        <f>Daily_Data!A6770</f>
        <v>46002</v>
      </c>
      <c r="B6770" s="11">
        <f>Daily_Data!J6770</f>
        <v>14.85</v>
      </c>
      <c r="C6770" s="11">
        <f>Daily_Data!I6770</f>
        <v>-0.45</v>
      </c>
      <c r="D6770" s="12">
        <f>if(sum(Daily_Data!K6770:L6770)&gt;0,1,0)</f>
        <v>0</v>
      </c>
    </row>
    <row r="6771">
      <c r="A6771" s="10">
        <f>Daily_Data!A6771</f>
        <v>46003</v>
      </c>
      <c r="B6771" s="11">
        <f>Daily_Data!J6771</f>
        <v>15.74</v>
      </c>
      <c r="C6771" s="11">
        <f>Daily_Data!I6771</f>
        <v>-0.44</v>
      </c>
      <c r="D6771" s="12">
        <f>if(sum(Daily_Data!K6771:L6771)&gt;0,1,0)</f>
        <v>0</v>
      </c>
    </row>
    <row r="6772">
      <c r="A6772" s="10">
        <f>Daily_Data!A6772</f>
        <v>46006</v>
      </c>
      <c r="B6772" s="11">
        <f>Daily_Data!J6772</f>
        <v>16.5</v>
      </c>
      <c r="C6772" s="11">
        <f>Daily_Data!I6772</f>
        <v>-0.48</v>
      </c>
      <c r="D6772" s="12">
        <f>if(sum(Daily_Data!K6772:L6772)&gt;0,1,0)</f>
        <v>0</v>
      </c>
    </row>
    <row r="6773">
      <c r="A6773" s="10">
        <f>Daily_Data!A6773</f>
        <v>46007</v>
      </c>
      <c r="B6773" s="11">
        <f>Daily_Data!J6773</f>
        <v>16.48</v>
      </c>
      <c r="C6773" s="11">
        <f>Daily_Data!I6773</f>
        <v>-0.5</v>
      </c>
      <c r="D6773" s="12">
        <f>if(sum(Daily_Data!K6773:L6773)&gt;0,1,0)</f>
        <v>1</v>
      </c>
    </row>
    <row r="6774">
      <c r="A6774" s="10">
        <f>Daily_Data!A6774</f>
        <v>46008</v>
      </c>
      <c r="B6774" s="11">
        <f>Daily_Data!J6774</f>
        <v>17.62</v>
      </c>
      <c r="C6774" s="11">
        <f>Daily_Data!I6774</f>
        <v>-0.48</v>
      </c>
      <c r="D6774" s="12">
        <f>if(sum(Daily_Data!K6774:L6774)&gt;0,1,0)</f>
        <v>0</v>
      </c>
    </row>
    <row r="6775">
      <c r="A6775" s="10">
        <f>Daily_Data!A6775</f>
        <v>46009</v>
      </c>
      <c r="B6775" s="11">
        <f>Daily_Data!J6775</f>
        <v>16.87</v>
      </c>
      <c r="C6775" s="11">
        <f>Daily_Data!I6775</f>
        <v>-0.49</v>
      </c>
      <c r="D6775" s="12">
        <f>if(sum(Daily_Data!K6775:L6775)&gt;0,1,0)</f>
        <v>1</v>
      </c>
    </row>
    <row r="6776">
      <c r="A6776" s="10">
        <f>Daily_Data!A6776</f>
        <v>46010</v>
      </c>
      <c r="B6776" s="11">
        <f>Daily_Data!J6776</f>
        <v>14.91</v>
      </c>
      <c r="C6776" s="11">
        <f>Daily_Data!I6776</f>
        <v>-0.54</v>
      </c>
      <c r="D6776" s="12">
        <f>if(sum(Daily_Data!K6776:L6776)&gt;0,1,0)</f>
        <v>0</v>
      </c>
    </row>
    <row r="6777">
      <c r="A6777" s="10">
        <f>Daily_Data!A6777</f>
        <v>46013</v>
      </c>
      <c r="B6777" s="11">
        <f>Daily_Data!J6777</f>
        <v>14.08</v>
      </c>
      <c r="C6777" s="11">
        <f>Daily_Data!I6777</f>
        <v>-0.44</v>
      </c>
      <c r="D6777" s="12">
        <f>if(sum(Daily_Data!K6777:L6777)&gt;0,1,0)</f>
        <v>0</v>
      </c>
    </row>
    <row r="6778">
      <c r="A6778" s="10">
        <f>Daily_Data!A6778</f>
        <v>46014</v>
      </c>
      <c r="B6778" s="11">
        <f>Daily_Data!J6778</f>
        <v>14</v>
      </c>
      <c r="C6778" s="11">
        <f>Daily_Data!I6778</f>
        <v>-0.49</v>
      </c>
      <c r="D6778" s="12">
        <f>if(sum(Daily_Data!K6778:L6778)&gt;0,1,0)</f>
        <v>0</v>
      </c>
    </row>
    <row r="6779">
      <c r="A6779" s="10">
        <f>Daily_Data!A6779</f>
        <v>46015</v>
      </c>
      <c r="B6779" s="11">
        <f>Daily_Data!J6779</f>
        <v>13.47</v>
      </c>
      <c r="C6779" s="11">
        <f>Daily_Data!I6779</f>
        <v>-0.48</v>
      </c>
      <c r="D6779" s="12">
        <f>if(sum(Daily_Data!K6779:L6779)&gt;0,1,0)</f>
        <v>0</v>
      </c>
    </row>
    <row r="6780">
      <c r="A6780" s="10">
        <f>Daily_Data!A6780</f>
        <v>46016</v>
      </c>
      <c r="B6780" s="11" t="str">
        <f>Daily_Data!J6780</f>
        <v/>
      </c>
      <c r="C6780" s="11" t="str">
        <f>Daily_Data!I6780</f>
        <v/>
      </c>
      <c r="D6780" s="12">
        <f>if(sum(Daily_Data!K6780:L6780)&gt;0,1,0)</f>
        <v>0</v>
      </c>
    </row>
    <row r="6781">
      <c r="A6781" s="10">
        <f>Daily_Data!A6781</f>
        <v>46017</v>
      </c>
      <c r="B6781" s="11">
        <f>Daily_Data!J6781</f>
        <v>13.6</v>
      </c>
      <c r="C6781" s="11" t="str">
        <f>Daily_Data!I6781</f>
        <v/>
      </c>
      <c r="D6781" s="12">
        <f>if(sum(Daily_Data!K6781:L6781)&gt;0,1,0)</f>
        <v>0</v>
      </c>
    </row>
    <row r="6782">
      <c r="A6782" s="10">
        <f>Daily_Data!A6782</f>
        <v>46020</v>
      </c>
      <c r="B6782" s="11">
        <f>Daily_Data!J6782</f>
        <v>14.2</v>
      </c>
      <c r="C6782" s="11">
        <f>Daily_Data!I6782</f>
        <v>-0.48</v>
      </c>
      <c r="D6782" s="12">
        <f>if(sum(Daily_Data!K6782:L6782)&gt;0,1,0)</f>
        <v>0</v>
      </c>
    </row>
    <row r="6783">
      <c r="A6783" s="10">
        <f>Daily_Data!A6783</f>
        <v>46021</v>
      </c>
      <c r="B6783" s="11">
        <f>Daily_Data!J6783</f>
        <v>14.33</v>
      </c>
      <c r="C6783" s="11">
        <f>Daily_Data!I6783</f>
        <v>-0.52</v>
      </c>
      <c r="D6783" s="12">
        <f>if(sum(Daily_Data!K6783:L6783)&gt;0,1,0)</f>
        <v>0</v>
      </c>
    </row>
    <row r="6784">
      <c r="A6784" s="10">
        <f>Daily_Data!A6784</f>
        <v>46022</v>
      </c>
      <c r="B6784" s="11">
        <f>Daily_Data!J6784</f>
        <v>14.95</v>
      </c>
      <c r="C6784" s="11">
        <f>Daily_Data!I6784</f>
        <v>-0.54</v>
      </c>
      <c r="D6784" s="12">
        <f>if(sum(Daily_Data!K6784:L6784)&gt;0,1,0)</f>
        <v>0</v>
      </c>
    </row>
    <row r="6785">
      <c r="A6785" s="10">
        <f>Daily_Data!A6785</f>
        <v>46023</v>
      </c>
      <c r="B6785" s="11" t="str">
        <f>Daily_Data!J6785</f>
        <v/>
      </c>
      <c r="C6785" s="11" t="str">
        <f>Daily_Data!I6785</f>
        <v/>
      </c>
      <c r="D6785" s="12">
        <f>if(sum(Daily_Data!K6785:L6785)&gt;0,1,0)</f>
        <v>0</v>
      </c>
    </row>
    <row r="6786">
      <c r="A6786" s="10">
        <f>Daily_Data!A6786</f>
        <v>46024</v>
      </c>
      <c r="B6786" s="11">
        <f>Daily_Data!J6786</f>
        <v>14.51</v>
      </c>
      <c r="C6786" s="11" t="str">
        <f>Daily_Data!I6786</f>
        <v/>
      </c>
      <c r="D6786" s="12">
        <f>if(sum(Daily_Data!K6786:L6786)&gt;0,1,0)</f>
        <v>0</v>
      </c>
    </row>
    <row r="6787">
      <c r="A6787" s="10">
        <f>Daily_Data!A6787</f>
        <v>46027</v>
      </c>
      <c r="B6787" s="11">
        <f>Daily_Data!J6787</f>
        <v>14.9</v>
      </c>
      <c r="C6787" s="11">
        <f>Daily_Data!I6787</f>
        <v>-0.51</v>
      </c>
      <c r="D6787" s="12">
        <f>if(sum(Daily_Data!K6787:L6787)&gt;0,1,0)</f>
        <v>0</v>
      </c>
    </row>
    <row r="6788">
      <c r="A6788" s="10">
        <f>Daily_Data!A6788</f>
        <v>46028</v>
      </c>
      <c r="B6788" s="11">
        <f>Daily_Data!J6788</f>
        <v>14.75</v>
      </c>
      <c r="C6788" s="11">
        <f>Daily_Data!I6788</f>
        <v>-0.55</v>
      </c>
      <c r="D6788" s="12">
        <f>if(sum(Daily_Data!K6788:L6788)&gt;0,1,0)</f>
        <v>0</v>
      </c>
    </row>
    <row r="6789">
      <c r="A6789" s="10">
        <f>Daily_Data!A6789</f>
        <v>46029</v>
      </c>
      <c r="B6789" s="11">
        <f>Daily_Data!J6789</f>
        <v>15.38</v>
      </c>
      <c r="C6789" s="11">
        <f>Daily_Data!I6789</f>
        <v>-0.54</v>
      </c>
      <c r="D6789" s="12">
        <f>if(sum(Daily_Data!K6789:L6789)&gt;0,1,0)</f>
        <v>0</v>
      </c>
    </row>
    <row r="6790">
      <c r="A6790" s="10">
        <f>Daily_Data!A6790</f>
        <v>46030</v>
      </c>
      <c r="B6790" s="11">
        <f>Daily_Data!J6790</f>
        <v>15.45</v>
      </c>
      <c r="C6790" s="11">
        <f>Daily_Data!I6790</f>
        <v>-0.59</v>
      </c>
      <c r="D6790" s="12">
        <f>if(sum(Daily_Data!K6790:L6790)&gt;0,1,0)</f>
        <v>0</v>
      </c>
    </row>
    <row r="6791">
      <c r="A6791" s="10">
        <f>Daily_Data!A6791</f>
        <v>46031</v>
      </c>
      <c r="B6791" s="11">
        <f>Daily_Data!J6791</f>
        <v>14.49</v>
      </c>
      <c r="C6791" s="11">
        <f>Daily_Data!I6791</f>
        <v>-0.65</v>
      </c>
      <c r="D6791" s="12">
        <f>if(sum(Daily_Data!K6791:L6791)&gt;0,1,0)</f>
        <v>1</v>
      </c>
    </row>
    <row r="6792">
      <c r="A6792" s="10">
        <f>Daily_Data!A6792</f>
        <v>46034</v>
      </c>
      <c r="B6792" s="11">
        <f>Daily_Data!J6792</f>
        <v>15.12</v>
      </c>
      <c r="C6792" s="11">
        <f>Daily_Data!I6792</f>
        <v>-0.66</v>
      </c>
      <c r="D6792" s="12">
        <f>if(sum(Daily_Data!K6792:L6792)&gt;0,1,0)</f>
        <v>0</v>
      </c>
    </row>
    <row r="6793">
      <c r="A6793" s="10">
        <f>Daily_Data!A6793</f>
        <v>46035</v>
      </c>
      <c r="B6793" s="11">
        <f>Daily_Data!J6793</f>
        <v>15.98</v>
      </c>
      <c r="C6793" s="11">
        <f>Daily_Data!I6793</f>
        <v>-0.61</v>
      </c>
      <c r="D6793" s="12">
        <f>if(sum(Daily_Data!K6793:L6793)&gt;0,1,0)</f>
        <v>1</v>
      </c>
    </row>
    <row r="6794">
      <c r="A6794" s="10">
        <f>Daily_Data!A6794</f>
        <v>46036</v>
      </c>
      <c r="B6794" s="11">
        <f>Daily_Data!J6794</f>
        <v>16.75</v>
      </c>
      <c r="C6794" s="11">
        <f>Daily_Data!I6794</f>
        <v>-0.57</v>
      </c>
      <c r="D6794" s="12">
        <f>if(sum(Daily_Data!K6794:L6794)&gt;0,1,0)</f>
        <v>0</v>
      </c>
    </row>
    <row r="6795">
      <c r="A6795" s="10">
        <f>Daily_Data!A6795</f>
        <v>46037</v>
      </c>
      <c r="B6795" s="11">
        <f>Daily_Data!J6795</f>
        <v>15.84</v>
      </c>
      <c r="C6795" s="11">
        <f>Daily_Data!I6795</f>
        <v>-0.65</v>
      </c>
      <c r="D6795" s="12">
        <f>if(sum(Daily_Data!K6795:L6795)&gt;0,1,0)</f>
        <v>0</v>
      </c>
    </row>
    <row r="6796">
      <c r="A6796" s="10">
        <f>Daily_Data!A6796</f>
        <v>46038</v>
      </c>
      <c r="B6796" s="11">
        <f>Daily_Data!J6796</f>
        <v>15.86</v>
      </c>
      <c r="C6796" s="11">
        <f>Daily_Data!I6796</f>
        <v>-0.65</v>
      </c>
      <c r="D6796" s="12">
        <f>if(sum(Daily_Data!K6796:L6796)&gt;0,1,0)</f>
        <v>0</v>
      </c>
    </row>
    <row r="6797">
      <c r="A6797" s="10">
        <f>Daily_Data!A6797</f>
        <v>46041</v>
      </c>
      <c r="B6797" s="11">
        <f>Daily_Data!J6797</f>
        <v>18.84</v>
      </c>
      <c r="C6797" s="11" t="str">
        <f>Daily_Data!I6797</f>
        <v/>
      </c>
      <c r="D6797" s="12">
        <f>if(sum(Daily_Data!K6797:L6797)&gt;0,1,0)</f>
        <v>0</v>
      </c>
    </row>
    <row r="6798">
      <c r="A6798" s="10">
        <f>Daily_Data!A6798</f>
        <v>46042</v>
      </c>
      <c r="B6798" s="11">
        <f>Daily_Data!J6798</f>
        <v>20.09</v>
      </c>
      <c r="C6798" s="11">
        <f>Daily_Data!I6798</f>
        <v>-0.55</v>
      </c>
      <c r="D6798" s="12">
        <f>if(sum(Daily_Data!K6798:L6798)&gt;0,1,0)</f>
        <v>0</v>
      </c>
    </row>
    <row r="6799">
      <c r="A6799" s="10">
        <f>Daily_Data!A6799</f>
        <v>46043</v>
      </c>
      <c r="B6799" s="11">
        <f>Daily_Data!J6799</f>
        <v>16.9</v>
      </c>
      <c r="C6799" s="11">
        <f>Daily_Data!I6799</f>
        <v>-0.53</v>
      </c>
      <c r="D6799" s="12">
        <f>if(sum(Daily_Data!K6799:L6799)&gt;0,1,0)</f>
        <v>0</v>
      </c>
    </row>
    <row r="6800">
      <c r="A6800" s="10">
        <f>Daily_Data!A6800</f>
        <v>46044</v>
      </c>
      <c r="B6800" s="11">
        <f>Daily_Data!J6800</f>
        <v>15.64</v>
      </c>
      <c r="C6800" s="11">
        <f>Daily_Data!I6800</f>
        <v>-0.54</v>
      </c>
      <c r="D6800" s="12">
        <f>if(sum(Daily_Data!K6800:L6800)&gt;0,1,0)</f>
        <v>0</v>
      </c>
    </row>
    <row r="6801">
      <c r="A6801" s="10">
        <f>Daily_Data!A6801</f>
        <v>46045</v>
      </c>
      <c r="B6801" s="11">
        <f>Daily_Data!J6801</f>
        <v>16.09</v>
      </c>
      <c r="C6801" s="11">
        <f>Daily_Data!I6801</f>
        <v>-0.51</v>
      </c>
      <c r="D6801" s="12">
        <f>if(sum(Daily_Data!K6801:L6801)&gt;0,1,0)</f>
        <v>0</v>
      </c>
    </row>
    <row r="6802">
      <c r="A6802" s="10">
        <f>Daily_Data!A6802</f>
        <v>46048</v>
      </c>
      <c r="B6802" s="11">
        <f>Daily_Data!J6802</f>
        <v>16.15</v>
      </c>
      <c r="C6802" s="11">
        <f>Daily_Data!I6802</f>
        <v>-0.45</v>
      </c>
      <c r="D6802" s="12">
        <f>if(sum(Daily_Data!K6802:L6802)&gt;0,1,0)</f>
        <v>0</v>
      </c>
    </row>
    <row r="6803">
      <c r="A6803" s="10">
        <f>Daily_Data!A6803</f>
        <v>46049</v>
      </c>
      <c r="B6803" s="11">
        <f>Daily_Data!J6803</f>
        <v>16.35</v>
      </c>
      <c r="C6803" s="11">
        <f>Daily_Data!I6803</f>
        <v>-0.42</v>
      </c>
      <c r="D6803" s="12">
        <f>if(sum(Daily_Data!K6803:L6803)&gt;0,1,0)</f>
        <v>0</v>
      </c>
    </row>
    <row r="6804">
      <c r="A6804" s="10">
        <f>Daily_Data!A6804</f>
        <v>46050</v>
      </c>
      <c r="B6804" s="11">
        <f>Daily_Data!J6804</f>
        <v>16.35</v>
      </c>
      <c r="C6804" s="11">
        <f>Daily_Data!I6804</f>
        <v>-0.42</v>
      </c>
      <c r="D6804" s="12">
        <f>if(sum(Daily_Data!K6804:L6804)&gt;0,1,0)</f>
        <v>0</v>
      </c>
    </row>
    <row r="6805">
      <c r="A6805" s="10">
        <f>Daily_Data!A6805</f>
        <v>46051</v>
      </c>
      <c r="B6805" s="11">
        <f>Daily_Data!J6805</f>
        <v>16.88</v>
      </c>
      <c r="C6805" s="11">
        <f>Daily_Data!I6805</f>
        <v>-0.39</v>
      </c>
      <c r="D6805" s="12">
        <f>if(sum(Daily_Data!K6805:L6805)&gt;0,1,0)</f>
        <v>0</v>
      </c>
    </row>
    <row r="6806">
      <c r="A6806" s="10">
        <f>Daily_Data!A6806</f>
        <v>46052</v>
      </c>
      <c r="B6806" s="11">
        <f>Daily_Data!J6806</f>
        <v>17.44</v>
      </c>
      <c r="C6806" s="11">
        <f>Daily_Data!I6806</f>
        <v>-0.37</v>
      </c>
      <c r="D6806" s="12">
        <f>if(sum(Daily_Data!K6806:L6806)&gt;0,1,0)</f>
        <v>0</v>
      </c>
    </row>
    <row r="6807">
      <c r="A6807" s="10">
        <f>Daily_Data!A6807</f>
        <v>46055</v>
      </c>
      <c r="B6807" s="11">
        <f>Daily_Data!J6807</f>
        <v>16.34</v>
      </c>
      <c r="C6807" s="11">
        <f>Daily_Data!I6807</f>
        <v>-0.41</v>
      </c>
      <c r="D6807" s="12">
        <f>if(sum(Daily_Data!K6807:L6807)&gt;0,1,0)</f>
        <v>0</v>
      </c>
    </row>
    <row r="6808">
      <c r="A6808" s="10">
        <f>Daily_Data!A6808</f>
        <v>46056</v>
      </c>
      <c r="B6808" s="11">
        <f>Daily_Data!J6808</f>
        <v>18</v>
      </c>
      <c r="C6808" s="11">
        <f>Daily_Data!I6808</f>
        <v>-0.43</v>
      </c>
      <c r="D6808" s="12">
        <f>if(sum(Daily_Data!K6808:L6808)&gt;0,1,0)</f>
        <v>0</v>
      </c>
    </row>
    <row r="6809">
      <c r="A6809" s="10">
        <f>Daily_Data!A6809</f>
        <v>46057</v>
      </c>
      <c r="B6809" s="11">
        <f>Daily_Data!J6809</f>
        <v>18.64</v>
      </c>
      <c r="C6809" s="11">
        <f>Daily_Data!I6809</f>
        <v>-0.5</v>
      </c>
      <c r="D6809" s="12">
        <f>if(sum(Daily_Data!K6809:L6809)&gt;0,1,0)</f>
        <v>0</v>
      </c>
    </row>
    <row r="6810">
      <c r="A6810" s="10">
        <f>Daily_Data!A6810</f>
        <v>46058</v>
      </c>
      <c r="B6810" s="11">
        <f>Daily_Data!J6810</f>
        <v>21.77</v>
      </c>
      <c r="C6810" s="11">
        <f>Daily_Data!I6810</f>
        <v>-0.38</v>
      </c>
      <c r="D6810" s="12">
        <f>if(sum(Daily_Data!K6810:L6810)&gt;0,1,0)</f>
        <v>0</v>
      </c>
    </row>
    <row r="6811">
      <c r="A6811" s="10">
        <f>Daily_Data!A6811</f>
        <v>46059</v>
      </c>
      <c r="B6811" s="11">
        <f>Daily_Data!J6811</f>
        <v>17.76</v>
      </c>
      <c r="C6811" s="11" t="str">
        <f>Daily_Data!I6811</f>
        <v/>
      </c>
      <c r="D6811" s="12">
        <f>if(sum(Daily_Data!K6811:L6811)&gt;0,1,0)</f>
        <v>0</v>
      </c>
    </row>
    <row r="6812">
      <c r="A6812" s="10">
        <f>Daily_Data!A6812</f>
        <v>46062</v>
      </c>
      <c r="B6812" s="11">
        <f>Daily_Data!J6812</f>
        <v>17.36</v>
      </c>
      <c r="C6812" s="11">
        <f>Daily_Data!I6812</f>
        <v>-0.39</v>
      </c>
      <c r="D6812" s="12">
        <f>if(sum(Daily_Data!K6812:L6812)&gt;0,1,0)</f>
        <v>0</v>
      </c>
    </row>
    <row r="6813">
      <c r="A6813" s="10">
        <f>Daily_Data!A6813</f>
        <v>46063</v>
      </c>
      <c r="B6813" s="11">
        <f>Daily_Data!J6813</f>
        <v>17.79</v>
      </c>
      <c r="C6813" s="11">
        <f>Daily_Data!I6813</f>
        <v>-0.36</v>
      </c>
      <c r="D6813" s="12">
        <f>if(sum(Daily_Data!K6813:L6813)&gt;0,1,0)</f>
        <v>0</v>
      </c>
    </row>
    <row r="6814">
      <c r="A6814" s="10">
        <f>Daily_Data!A6814</f>
        <v>46064</v>
      </c>
      <c r="B6814" s="11">
        <f>Daily_Data!J6814</f>
        <v>17.65</v>
      </c>
      <c r="C6814" s="11">
        <f>Daily_Data!I6814</f>
        <v>-0.45</v>
      </c>
      <c r="D6814" s="12">
        <f>if(sum(Daily_Data!K6814:L6814)&gt;0,1,0)</f>
        <v>1</v>
      </c>
    </row>
    <row r="6815">
      <c r="A6815" s="10">
        <f>Daily_Data!A6815</f>
        <v>46065</v>
      </c>
      <c r="B6815" s="11">
        <f>Daily_Data!J6815</f>
        <v>20.82</v>
      </c>
      <c r="C6815" s="11">
        <f>Daily_Data!I6815</f>
        <v>-0.37</v>
      </c>
      <c r="D6815" s="12">
        <f>if(sum(Daily_Data!K6815:L6815)&gt;0,1,0)</f>
        <v>0</v>
      </c>
    </row>
    <row r="6816">
      <c r="A6816" s="10">
        <f>Daily_Data!A6816</f>
        <v>46066</v>
      </c>
      <c r="B6816" s="11">
        <f>Daily_Data!J6816</f>
        <v>20.6</v>
      </c>
      <c r="C6816" s="11">
        <f>Daily_Data!I6816</f>
        <v>-0.32</v>
      </c>
      <c r="D6816" s="12">
        <f>if(sum(Daily_Data!K6816:L6816)&gt;0,1,0)</f>
        <v>1</v>
      </c>
    </row>
    <row r="6817">
      <c r="A6817" s="10">
        <f>Daily_Data!A6817</f>
        <v>46069</v>
      </c>
      <c r="B6817" s="11">
        <f>Daily_Data!J6817</f>
        <v>21.2</v>
      </c>
      <c r="C6817" s="11" t="str">
        <f>Daily_Data!I6817</f>
        <v/>
      </c>
      <c r="D6817" s="12">
        <f>if(sum(Daily_Data!K6817:L6817)&gt;0,1,0)</f>
        <v>0</v>
      </c>
    </row>
    <row r="6818">
      <c r="A6818" s="10">
        <f>Daily_Data!A6818</f>
        <v>46070</v>
      </c>
      <c r="B6818" s="11">
        <f>Daily_Data!J6818</f>
        <v>20.29</v>
      </c>
      <c r="C6818" s="11">
        <f>Daily_Data!I6818</f>
        <v>-0.4</v>
      </c>
      <c r="D6818" s="12">
        <f>if(sum(Daily_Data!K6818:L6818)&gt;0,1,0)</f>
        <v>0</v>
      </c>
    </row>
    <row r="6819">
      <c r="A6819" s="10">
        <f>Daily_Data!A6819</f>
        <v>46071</v>
      </c>
      <c r="B6819" s="11">
        <f>Daily_Data!J6819</f>
        <v>19.62</v>
      </c>
      <c r="C6819" s="11">
        <f>Daily_Data!I6819</f>
        <v>-0.53</v>
      </c>
      <c r="D6819" s="12">
        <f>if(sum(Daily_Data!K6819:L6819)&gt;0,1,0)</f>
        <v>0</v>
      </c>
    </row>
    <row r="6820">
      <c r="A6820" s="10">
        <f>Daily_Data!A6820</f>
        <v>46072</v>
      </c>
      <c r="B6820" s="11">
        <f>Daily_Data!J6820</f>
        <v>20.23</v>
      </c>
      <c r="C6820" s="11">
        <f>Daily_Data!I6820</f>
        <v>-0.53</v>
      </c>
      <c r="D6820" s="12">
        <f>if(sum(Daily_Data!K6820:L6820)&gt;0,1,0)</f>
        <v>0</v>
      </c>
    </row>
    <row r="6821">
      <c r="A6821" s="10">
        <f>Daily_Data!A6821</f>
        <v>46073</v>
      </c>
      <c r="B6821" s="11">
        <f>Daily_Data!J6821</f>
        <v>19.09</v>
      </c>
      <c r="C6821" s="11">
        <f>Daily_Data!I6821</f>
        <v>-0.57</v>
      </c>
      <c r="D6821" s="12">
        <f>if(sum(Daily_Data!K6821:L6821)&gt;0,1,0)</f>
        <v>0</v>
      </c>
    </row>
    <row r="6822">
      <c r="A6822" s="10">
        <f>Daily_Data!A6822</f>
        <v>46076</v>
      </c>
      <c r="B6822" s="11">
        <f>Daily_Data!J6822</f>
        <v>21.01</v>
      </c>
      <c r="C6822" s="11">
        <f>Daily_Data!I6822</f>
        <v>-0.48</v>
      </c>
      <c r="D6822" s="12">
        <f>if(sum(Daily_Data!K6822:L6822)&gt;0,1,0)</f>
        <v>0</v>
      </c>
    </row>
    <row r="6823">
      <c r="A6823" s="10">
        <f>Daily_Data!A6823</f>
        <v>46077</v>
      </c>
      <c r="B6823" s="11">
        <f>Daily_Data!J6823</f>
        <v>19.55</v>
      </c>
      <c r="C6823" s="11">
        <f>Daily_Data!I6823</f>
        <v>-0.48</v>
      </c>
      <c r="D6823" s="12">
        <f>if(sum(Daily_Data!K6823:L6823)&gt;0,1,0)</f>
        <v>0</v>
      </c>
    </row>
    <row r="6824">
      <c r="A6824" s="10">
        <f>Daily_Data!A6824</f>
        <v>46078</v>
      </c>
      <c r="B6824" s="11">
        <f>Daily_Data!J6824</f>
        <v>17.93</v>
      </c>
      <c r="C6824" s="11">
        <f>Daily_Data!I6824</f>
        <v>-0.49</v>
      </c>
      <c r="D6824" s="12">
        <f>if(sum(Daily_Data!K6824:L6824)&gt;0,1,0)</f>
        <v>0</v>
      </c>
    </row>
    <row r="6825">
      <c r="A6825" s="10">
        <f>Daily_Data!A6825</f>
        <v>46079</v>
      </c>
      <c r="B6825" s="11">
        <f>Daily_Data!J6825</f>
        <v>18.63</v>
      </c>
      <c r="C6825" s="11">
        <f>Daily_Data!I6825</f>
        <v>-0.47</v>
      </c>
      <c r="D6825" s="12">
        <f>if(sum(Daily_Data!K6825:L6825)&gt;0,1,0)</f>
        <v>0</v>
      </c>
    </row>
    <row r="6826">
      <c r="A6826" s="10">
        <f>Daily_Data!A6826</f>
        <v>46080</v>
      </c>
      <c r="B6826" s="11">
        <f>Daily_Data!J6826</f>
        <v>19.86</v>
      </c>
      <c r="C6826" s="11">
        <f>Daily_Data!I6826</f>
        <v>-0.43</v>
      </c>
      <c r="D6826" s="12">
        <f>if(sum(Daily_Data!K6826:L6826)&gt;0,1,0)</f>
        <v>0</v>
      </c>
    </row>
    <row r="6827">
      <c r="A6827" s="10">
        <f>Daily_Data!A6827</f>
        <v>46083</v>
      </c>
      <c r="B6827" s="11">
        <f>Daily_Data!J6827</f>
        <v>21.44</v>
      </c>
      <c r="C6827" s="11">
        <f>Daily_Data!I6827</f>
        <v>-0.52</v>
      </c>
      <c r="D6827" s="12">
        <f>if(sum(Daily_Data!K6827:L6827)&gt;0,1,0)</f>
        <v>0</v>
      </c>
    </row>
    <row r="6828">
      <c r="A6828" s="10">
        <f>Daily_Data!A6828</f>
        <v>46084</v>
      </c>
      <c r="B6828" s="11">
        <f>Daily_Data!J6828</f>
        <v>23.57</v>
      </c>
      <c r="C6828" s="11">
        <f>Daily_Data!I6828</f>
        <v>-0.53</v>
      </c>
      <c r="D6828" s="12">
        <f>if(sum(Daily_Data!K6828:L6828)&gt;0,1,0)</f>
        <v>0</v>
      </c>
    </row>
    <row r="6829">
      <c r="A6829" s="10">
        <f>Daily_Data!A6829</f>
        <v>46085</v>
      </c>
      <c r="B6829" s="11">
        <f>Daily_Data!J6829</f>
        <v>21.15</v>
      </c>
      <c r="C6829" s="11">
        <f>Daily_Data!I6829</f>
        <v>-0.53</v>
      </c>
      <c r="D6829" s="12">
        <f>if(sum(Daily_Data!K6829:L6829)&gt;0,1,0)</f>
        <v>0</v>
      </c>
    </row>
    <row r="6830">
      <c r="A6830" s="10">
        <f>Daily_Data!A6830</f>
        <v>46086</v>
      </c>
      <c r="B6830" s="11">
        <f>Daily_Data!J6830</f>
        <v>23.75</v>
      </c>
      <c r="C6830" s="11">
        <f>Daily_Data!I6830</f>
        <v>-0.52</v>
      </c>
      <c r="D6830" s="12">
        <f>if(sum(Daily_Data!K6830:L6830)&gt;0,1,0)</f>
        <v>0</v>
      </c>
    </row>
    <row r="6831">
      <c r="A6831" s="10">
        <f>Daily_Data!A6831</f>
        <v>46087</v>
      </c>
      <c r="B6831" s="11">
        <f>Daily_Data!J6831</f>
        <v>29.49</v>
      </c>
      <c r="C6831" s="11">
        <f>Daily_Data!I6831</f>
        <v>-0.45</v>
      </c>
      <c r="D6831" s="12">
        <f>if(sum(Daily_Data!K6831:L6831)&gt;0,1,0)</f>
        <v>1</v>
      </c>
    </row>
    <row r="6832">
      <c r="A6832" s="10">
        <f>Daily_Data!A6832</f>
        <v>46090</v>
      </c>
      <c r="B6832" s="11">
        <f>Daily_Data!J6832</f>
        <v>25.5</v>
      </c>
      <c r="C6832" s="11">
        <f>Daily_Data!I6832</f>
        <v>-0.26</v>
      </c>
      <c r="D6832" s="12">
        <f>if(sum(Daily_Data!K6832:L6832)&gt;0,1,0)</f>
        <v>0</v>
      </c>
    </row>
    <row r="6833">
      <c r="A6833" s="10">
        <f>Daily_Data!A6833</f>
        <v>46091</v>
      </c>
      <c r="B6833" s="11">
        <f>Daily_Data!J6833</f>
        <v>24.93</v>
      </c>
      <c r="C6833" s="11">
        <f>Daily_Data!I6833</f>
        <v>-0.38</v>
      </c>
      <c r="D6833" s="12">
        <f>if(sum(Daily_Data!K6833:L6833)&gt;0,1,0)</f>
        <v>0</v>
      </c>
    </row>
    <row r="6834">
      <c r="A6834" s="10">
        <f>Daily_Data!A6834</f>
        <v>46092</v>
      </c>
      <c r="B6834" s="11">
        <f>Daily_Data!J6834</f>
        <v>24.23</v>
      </c>
      <c r="C6834" s="11">
        <f>Daily_Data!I6834</f>
        <v>-0.48</v>
      </c>
      <c r="D6834" s="12">
        <f>if(sum(Daily_Data!K6834:L6834)&gt;0,1,0)</f>
        <v>1</v>
      </c>
    </row>
    <row r="6835">
      <c r="A6835" s="10">
        <f>Daily_Data!A6835</f>
        <v>46093</v>
      </c>
      <c r="B6835" s="11">
        <f>Daily_Data!J6835</f>
        <v>27.29</v>
      </c>
      <c r="C6835" s="11">
        <f>Daily_Data!I6835</f>
        <v>-0.49</v>
      </c>
      <c r="D6835" s="12">
        <f>if(sum(Daily_Data!K6835:L6835)&gt;0,1,0)</f>
        <v>0</v>
      </c>
    </row>
    <row r="6836">
      <c r="A6836" s="10">
        <f>Daily_Data!A6836</f>
        <v>46094</v>
      </c>
      <c r="B6836" s="11">
        <f>Daily_Data!J6836</f>
        <v>27.19</v>
      </c>
      <c r="C6836" s="11">
        <f>Daily_Data!I6836</f>
        <v>-0.4</v>
      </c>
      <c r="D6836" s="12">
        <f>if(sum(Daily_Data!K6836:L6836)&gt;0,1,0)</f>
        <v>0</v>
      </c>
    </row>
    <row r="6837">
      <c r="A6837" s="10">
        <f>Daily_Data!A6837</f>
        <v>46097</v>
      </c>
      <c r="B6837" s="11">
        <f>Daily_Data!J6837</f>
        <v>23.51</v>
      </c>
      <c r="C6837" s="11">
        <f>Daily_Data!I6837</f>
        <v>-0.29</v>
      </c>
      <c r="D6837" s="12">
        <f>if(sum(Daily_Data!K6837:L6837)&gt;0,1,0)</f>
        <v>0</v>
      </c>
    </row>
    <row r="6838">
      <c r="A6838" s="10">
        <f>Daily_Data!A6838</f>
        <v>46098</v>
      </c>
      <c r="B6838" s="11">
        <f>Daily_Data!J6838</f>
        <v>22.37</v>
      </c>
      <c r="C6838" s="11">
        <f>Daily_Data!I6838</f>
        <v>-0.36</v>
      </c>
      <c r="D6838" s="12">
        <f>if(sum(Daily_Data!K6838:L6838)&gt;0,1,0)</f>
        <v>0</v>
      </c>
    </row>
    <row r="6839">
      <c r="A6839" s="10">
        <f>Daily_Data!A6839</f>
        <v>46099</v>
      </c>
      <c r="B6839" s="11">
        <f>Daily_Data!J6839</f>
        <v>25.09</v>
      </c>
      <c r="C6839" s="11">
        <f>Daily_Data!I6839</f>
        <v>-0.49</v>
      </c>
      <c r="D6839" s="12">
        <f>if(sum(Daily_Data!K6839:L6839)&gt;0,1,0)</f>
        <v>0</v>
      </c>
    </row>
    <row r="6840">
      <c r="A6840" s="10">
        <f>Daily_Data!A6840</f>
        <v>46100</v>
      </c>
      <c r="B6840" s="11">
        <f>Daily_Data!J6840</f>
        <v>24.06</v>
      </c>
      <c r="C6840" s="11">
        <f>Daily_Data!I6840</f>
        <v>-0.42</v>
      </c>
      <c r="D6840" s="12">
        <f>if(sum(Daily_Data!K6840:L6840)&gt;0,1,0)</f>
        <v>0</v>
      </c>
    </row>
    <row r="6841">
      <c r="A6841" s="10">
        <f>Daily_Data!A6841</f>
        <v>46101</v>
      </c>
      <c r="B6841" s="11">
        <f>Daily_Data!J6841</f>
        <v>26.78</v>
      </c>
      <c r="C6841" s="11">
        <f>Daily_Data!I6841</f>
        <v>-0.35</v>
      </c>
      <c r="D6841" s="12">
        <f>if(sum(Daily_Data!K6841:L6841)&gt;0,1,0)</f>
        <v>0</v>
      </c>
    </row>
    <row r="6842">
      <c r="A6842" s="10">
        <f>Daily_Data!A6842</f>
        <v>46104</v>
      </c>
      <c r="B6842" s="11">
        <f>Daily_Data!J6842</f>
        <v>26.15</v>
      </c>
      <c r="C6842" s="11">
        <f>Daily_Data!I6842</f>
        <v>-0.17</v>
      </c>
      <c r="D6842" s="12">
        <f>if(sum(Daily_Data!K6842:L6842)&gt;0,1,0)</f>
        <v>0</v>
      </c>
    </row>
    <row r="6843">
      <c r="A6843" s="10">
        <f>Daily_Data!A6843</f>
        <v>46105</v>
      </c>
      <c r="B6843" s="11">
        <f>Daily_Data!J6843</f>
        <v>26.95</v>
      </c>
      <c r="C6843" s="11">
        <f>Daily_Data!I6843</f>
        <v>-0.34</v>
      </c>
      <c r="D6843" s="12">
        <f>if(sum(Daily_Data!K6843:L6843)&gt;0,1,0)</f>
        <v>0</v>
      </c>
    </row>
    <row r="6844">
      <c r="A6844" s="10">
        <f>Daily_Data!A6844</f>
        <v>46106</v>
      </c>
      <c r="B6844" s="11">
        <f>Daily_Data!J6844</f>
        <v>25.33</v>
      </c>
      <c r="C6844" s="11">
        <f>Daily_Data!I6844</f>
        <v>-0.39</v>
      </c>
      <c r="D6844" s="12">
        <f>if(sum(Daily_Data!K6844:L6844)&gt;0,1,0)</f>
        <v>0</v>
      </c>
    </row>
    <row r="6845">
      <c r="A6845" s="10">
        <f>Daily_Data!A6845</f>
        <v>46107</v>
      </c>
      <c r="B6845" s="11">
        <f>Daily_Data!J6845</f>
        <v>27.44</v>
      </c>
      <c r="C6845" s="11">
        <f>Daily_Data!I6845</f>
        <v>-0.5</v>
      </c>
      <c r="D6845" s="12">
        <f>if(sum(Daily_Data!K6845:L6845)&gt;0,1,0)</f>
        <v>0</v>
      </c>
    </row>
    <row r="6846">
      <c r="A6846" s="10">
        <f>Daily_Data!A6846</f>
        <v>46108</v>
      </c>
      <c r="B6846" s="11">
        <f>Daily_Data!J6846</f>
        <v>31.05</v>
      </c>
      <c r="C6846" s="11">
        <f>Daily_Data!I6846</f>
        <v>-0.35</v>
      </c>
      <c r="D6846" s="12">
        <f>if(sum(Daily_Data!K6846:L6846)&gt;0,1,0)</f>
        <v>0</v>
      </c>
    </row>
    <row r="6847">
      <c r="A6847" s="10">
        <f>Daily_Data!A6847</f>
        <v>46111</v>
      </c>
      <c r="B6847" s="11">
        <f>Daily_Data!J6847</f>
        <v>30.61</v>
      </c>
      <c r="C6847" s="11">
        <f>Daily_Data!I6847</f>
        <v>-0.31</v>
      </c>
      <c r="D6847" s="12">
        <f>if(sum(Daily_Data!K6847:L6847)&gt;0,1,0)</f>
        <v>0</v>
      </c>
    </row>
    <row r="6848">
      <c r="A6848" s="10">
        <f>Daily_Data!A6848</f>
        <v>46112</v>
      </c>
      <c r="B6848" s="11">
        <f>Daily_Data!J6848</f>
        <v>25.25</v>
      </c>
      <c r="C6848" s="11">
        <f>Daily_Data!I6848</f>
        <v>-0.32</v>
      </c>
      <c r="D6848" s="12">
        <f>if(sum(Daily_Data!K6848:L6848)&gt;0,1,0)</f>
        <v>0</v>
      </c>
    </row>
    <row r="6849">
      <c r="A6849" s="10">
        <f>Daily_Data!A6849</f>
        <v>46113</v>
      </c>
      <c r="B6849" s="11">
        <f>Daily_Data!J6849</f>
        <v>24.54</v>
      </c>
      <c r="C6849" s="11">
        <f>Daily_Data!I6849</f>
        <v>-0.47</v>
      </c>
      <c r="D6849" s="12">
        <f>if(sum(Daily_Data!K6849:L6849)&gt;0,1,0)</f>
        <v>0</v>
      </c>
    </row>
    <row r="6850">
      <c r="A6850" s="10">
        <f>Daily_Data!A6850</f>
        <v>46114</v>
      </c>
      <c r="B6850" s="11">
        <f>Daily_Data!J6850</f>
        <v>23.87</v>
      </c>
      <c r="C6850" s="11">
        <f>Daily_Data!I6850</f>
        <v>-0.36</v>
      </c>
      <c r="D6850" s="12">
        <f>if(sum(Daily_Data!K6850:L6850)&gt;0,1,0)</f>
        <v>0</v>
      </c>
    </row>
    <row r="6851">
      <c r="A6851" s="10">
        <f>Daily_Data!A6851</f>
        <v>46115</v>
      </c>
      <c r="B6851" s="11" t="str">
        <f>Daily_Data!J6851</f>
        <v/>
      </c>
      <c r="C6851" s="11" t="str">
        <f>Daily_Data!I6851</f>
        <v/>
      </c>
      <c r="D6851" s="12">
        <f>if(sum(Daily_Data!K6851:L6851)&gt;0,1,0)</f>
        <v>1</v>
      </c>
    </row>
    <row r="6852">
      <c r="A6852" s="10">
        <f>Daily_Data!A6852</f>
        <v>46118</v>
      </c>
      <c r="B6852" s="11">
        <f>Daily_Data!J6852</f>
        <v>24.17</v>
      </c>
      <c r="C6852" s="11" t="str">
        <f>Daily_Data!I6852</f>
        <v/>
      </c>
      <c r="D6852" s="12">
        <f>if(sum(Daily_Data!K6852:L6852)&gt;0,1,0)</f>
        <v>0</v>
      </c>
    </row>
    <row r="6853">
      <c r="A6853" s="10">
        <f>Daily_Data!A6853</f>
        <v>46119</v>
      </c>
      <c r="B6853" s="11">
        <f>Daily_Data!J6853</f>
        <v>25.78</v>
      </c>
      <c r="C6853" s="11">
        <f>Daily_Data!I6853</f>
        <v>-0.4</v>
      </c>
      <c r="D6853" s="12">
        <f>if(sum(Daily_Data!K6853:L6853)&gt;0,1,0)</f>
        <v>0</v>
      </c>
    </row>
    <row r="6854">
      <c r="A6854" s="10">
        <f>Daily_Data!A6854</f>
        <v>46120</v>
      </c>
      <c r="B6854" s="11">
        <f>Daily_Data!J6854</f>
        <v>21.04</v>
      </c>
      <c r="C6854" s="11">
        <f>Daily_Data!I6854</f>
        <v>-0.41</v>
      </c>
      <c r="D6854" s="12">
        <f>if(sum(Daily_Data!K6854:L6854)&gt;0,1,0)</f>
        <v>0</v>
      </c>
    </row>
    <row r="6855">
      <c r="A6855" s="10">
        <f>Daily_Data!A6855</f>
        <v>46121</v>
      </c>
      <c r="B6855" s="11">
        <f>Daily_Data!J6855</f>
        <v>19.49</v>
      </c>
      <c r="C6855" s="11">
        <f>Daily_Data!I6855</f>
        <v>-0.29</v>
      </c>
      <c r="D6855" s="12">
        <f>if(sum(Daily_Data!K6855:L6855)&gt;0,1,0)</f>
        <v>0</v>
      </c>
    </row>
    <row r="6856">
      <c r="A6856" s="10">
        <f>Daily_Data!A6856</f>
        <v>46122</v>
      </c>
      <c r="B6856" s="11">
        <f>Daily_Data!J6856</f>
        <v>19.23</v>
      </c>
      <c r="C6856" s="11">
        <f>Daily_Data!I6856</f>
        <v>-0.33</v>
      </c>
      <c r="D6856" s="12">
        <f>if(sum(Daily_Data!K6856:L6856)&gt;0,1,0)</f>
        <v>1</v>
      </c>
    </row>
    <row r="6857">
      <c r="A6857" s="10">
        <f>Daily_Data!A6857</f>
        <v>46125</v>
      </c>
      <c r="B6857" s="11">
        <f>Daily_Data!J6857</f>
        <v>19.12</v>
      </c>
      <c r="C6857" s="11">
        <f>Daily_Data!I6857</f>
        <v>-0.22</v>
      </c>
      <c r="D6857" s="12">
        <f>if(sum(Daily_Data!K6857:L6857)&gt;0,1,0)</f>
        <v>0</v>
      </c>
    </row>
    <row r="6858">
      <c r="A6858" s="10">
        <f>Daily_Data!A6858</f>
        <v>46126</v>
      </c>
      <c r="B6858" s="11">
        <f>Daily_Data!J6858</f>
        <v>18.36</v>
      </c>
      <c r="C6858" s="11">
        <f>Daily_Data!I6858</f>
        <v>-0.27</v>
      </c>
      <c r="D6858" s="12">
        <f>if(sum(Daily_Data!K6858:L6858)&gt;0,1,0)</f>
        <v>0</v>
      </c>
    </row>
    <row r="6859">
      <c r="A6859" s="10">
        <f>Daily_Data!A6859</f>
        <v>46127</v>
      </c>
      <c r="B6859" s="11">
        <f>Daily_Data!J6859</f>
        <v>18.17</v>
      </c>
      <c r="C6859" s="11">
        <f>Daily_Data!I6859</f>
        <v>-0.31</v>
      </c>
      <c r="D6859" s="12">
        <f>if(sum(Daily_Data!K6859:L6859)&gt;0,1,0)</f>
        <v>0</v>
      </c>
    </row>
    <row r="6860">
      <c r="A6860" s="10">
        <f>Daily_Data!A6860</f>
        <v>46128</v>
      </c>
      <c r="B6860" s="11">
        <f>Daily_Data!J6860</f>
        <v>17.94</v>
      </c>
      <c r="C6860" s="11">
        <f>Daily_Data!I6860</f>
        <v>-0.37</v>
      </c>
      <c r="D6860" s="12">
        <f>if(sum(Daily_Data!K6860:L6860)&gt;0,1,0)</f>
        <v>0</v>
      </c>
    </row>
    <row r="6861">
      <c r="A6861" s="10">
        <f>Daily_Data!A6861</f>
        <v>46129</v>
      </c>
      <c r="B6861" s="11">
        <f>Daily_Data!J6861</f>
        <v>17.48</v>
      </c>
      <c r="C6861" s="11">
        <f>Daily_Data!I6861</f>
        <v>-0.3</v>
      </c>
      <c r="D6861" s="12">
        <f>if(sum(Daily_Data!K6861:L6861)&gt;0,1,0)</f>
        <v>0</v>
      </c>
    </row>
    <row r="6862">
      <c r="A6862" s="10">
        <f>Daily_Data!A6862</f>
        <v>46132</v>
      </c>
      <c r="B6862" s="11">
        <f>Daily_Data!J6862</f>
        <v>18.87</v>
      </c>
      <c r="C6862" s="11">
        <f>Daily_Data!I6862</f>
        <v>-0.37</v>
      </c>
      <c r="D6862" s="12">
        <f>if(sum(Daily_Data!K6862:L6862)&gt;0,1,0)</f>
        <v>0</v>
      </c>
    </row>
    <row r="6863">
      <c r="A6863" s="10">
        <f>Daily_Data!A6863</f>
        <v>46133</v>
      </c>
      <c r="B6863" s="11">
        <f>Daily_Data!J6863</f>
        <v>19.5</v>
      </c>
      <c r="C6863" s="11">
        <f>Daily_Data!I6863</f>
        <v>-0.35</v>
      </c>
      <c r="D6863" s="12">
        <f>if(sum(Daily_Data!K6863:L6863)&gt;0,1,0)</f>
        <v>0</v>
      </c>
    </row>
    <row r="6864">
      <c r="A6864" s="10">
        <f>Daily_Data!A6864</f>
        <v>46134</v>
      </c>
      <c r="B6864" s="11">
        <f>Daily_Data!J6864</f>
        <v>18.92</v>
      </c>
      <c r="C6864" s="11">
        <f>Daily_Data!I6864</f>
        <v>-0.32</v>
      </c>
      <c r="D6864" s="12">
        <f>if(sum(Daily_Data!K6864:L6864)&gt;0,1,0)</f>
        <v>0</v>
      </c>
    </row>
    <row r="6865">
      <c r="A6865" s="10">
        <f>Daily_Data!A6865</f>
        <v>46135</v>
      </c>
      <c r="B6865" s="11">
        <f>Daily_Data!J6865</f>
        <v>19.31</v>
      </c>
      <c r="C6865" s="11">
        <f>Daily_Data!I6865</f>
        <v>-0.33</v>
      </c>
      <c r="D6865" s="12">
        <f>if(sum(Daily_Data!K6865:L6865)&gt;0,1,0)</f>
        <v>0</v>
      </c>
    </row>
    <row r="6866">
      <c r="A6866" s="10">
        <f>Daily_Data!A6866</f>
        <v>46136</v>
      </c>
      <c r="B6866" s="11">
        <f>Daily_Data!J6866</f>
        <v>18.71</v>
      </c>
      <c r="C6866" s="11">
        <f>Daily_Data!I6866</f>
        <v>-0.25</v>
      </c>
      <c r="D6866" s="12">
        <f>if(sum(Daily_Data!K6866:L6866)&gt;0,1,0)</f>
        <v>0</v>
      </c>
    </row>
    <row r="6867">
      <c r="A6867" s="10">
        <f>Daily_Data!A6867</f>
        <v>46139</v>
      </c>
      <c r="B6867" s="11">
        <f>Daily_Data!J6867</f>
        <v>18.02</v>
      </c>
      <c r="C6867" s="11" t="str">
        <f>Daily_Data!I6867</f>
        <v/>
      </c>
      <c r="D6867" s="12">
        <f>if(sum(Daily_Data!K6867:L6867)&gt;0,1,0)</f>
        <v>0</v>
      </c>
    </row>
    <row r="6868">
      <c r="A6868" s="10">
        <f>Daily_Data!A6868</f>
        <v>46140</v>
      </c>
      <c r="B6868" s="11">
        <f>Daily_Data!J6868</f>
        <v>17.83</v>
      </c>
      <c r="C6868" s="11">
        <f>Daily_Data!I6868</f>
        <v>-0.26</v>
      </c>
      <c r="D6868" s="12">
        <f>if(sum(Daily_Data!K6868:L6868)&gt;0,1,0)</f>
        <v>0</v>
      </c>
    </row>
    <row r="6869">
      <c r="A6869" s="10">
        <f>Daily_Data!A6869</f>
        <v>46141</v>
      </c>
      <c r="B6869" s="11">
        <f>Daily_Data!J6869</f>
        <v>18.81</v>
      </c>
      <c r="C6869" s="11">
        <f>Daily_Data!I6869</f>
        <v>-0.38</v>
      </c>
      <c r="D6869" s="12">
        <f>if(sum(Daily_Data!K6869:L6869)&gt;0,1,0)</f>
        <v>0</v>
      </c>
    </row>
    <row r="6870">
      <c r="A6870" s="10">
        <f>Daily_Data!A6870</f>
        <v>46142</v>
      </c>
      <c r="B6870" s="11">
        <f>Daily_Data!J6870</f>
        <v>16.89</v>
      </c>
      <c r="C6870" s="11">
        <f>Daily_Data!I6870</f>
        <v>-0.28</v>
      </c>
      <c r="D6870" s="12">
        <f>if(sum(Daily_Data!K6870:L6870)&gt;0,1,0)</f>
        <v>0</v>
      </c>
    </row>
    <row r="6871">
      <c r="A6871" s="10">
        <f>Daily_Data!A6871</f>
        <v>46143</v>
      </c>
      <c r="B6871" s="11">
        <f>Daily_Data!J6871</f>
        <v>16.99</v>
      </c>
      <c r="C6871" s="11">
        <f>Daily_Data!I6871</f>
        <v>-0.35</v>
      </c>
      <c r="D6871" s="12">
        <f>if(sum(Daily_Data!K6871:L6871)&gt;0,1,0)</f>
        <v>0</v>
      </c>
    </row>
    <row r="6872">
      <c r="A6872" s="10">
        <f>Daily_Data!A6872</f>
        <v>46146</v>
      </c>
      <c r="B6872" s="11">
        <f>Daily_Data!J6872</f>
        <v>18.29</v>
      </c>
      <c r="C6872" s="11">
        <f>Daily_Data!I6872</f>
        <v>-0.44</v>
      </c>
      <c r="D6872" s="12">
        <f>if(sum(Daily_Data!K6872:L6872)&gt;0,1,0)</f>
        <v>0</v>
      </c>
    </row>
    <row r="6873">
      <c r="A6873" s="10">
        <f>Daily_Data!A6873</f>
        <v>46147</v>
      </c>
      <c r="B6873" s="11">
        <f>Daily_Data!J6873</f>
        <v>17.38</v>
      </c>
      <c r="C6873" s="11">
        <f>Daily_Data!I6873</f>
        <v>-0.41</v>
      </c>
      <c r="D6873" s="12">
        <f>if(sum(Daily_Data!K6873:L6873)&gt;0,1,0)</f>
        <v>0</v>
      </c>
    </row>
    <row r="6874">
      <c r="A6874" s="10">
        <f>Daily_Data!A6874</f>
        <v>46148</v>
      </c>
      <c r="B6874" s="11">
        <f>Daily_Data!J6874</f>
        <v>17.39</v>
      </c>
      <c r="C6874" s="11">
        <f>Daily_Data!I6874</f>
        <v>-0.33</v>
      </c>
      <c r="D6874" s="12">
        <f>if(sum(Daily_Data!K6874:L6874)&gt;0,1,0)</f>
        <v>0</v>
      </c>
    </row>
    <row r="6875">
      <c r="A6875" s="10">
        <f>Daily_Data!A6875</f>
        <v>46149</v>
      </c>
      <c r="B6875" s="11">
        <f>Daily_Data!J6875</f>
        <v>17.08</v>
      </c>
      <c r="C6875" s="11">
        <f>Daily_Data!I6875</f>
        <v>-0.4</v>
      </c>
      <c r="D6875" s="12">
        <f>if(sum(Daily_Data!K6875:L6875)&gt;0,1,0)</f>
        <v>0</v>
      </c>
    </row>
    <row r="6876">
      <c r="A6876" s="10">
        <f>Daily_Data!A6876</f>
        <v>46150</v>
      </c>
      <c r="B6876" s="11">
        <f>Daily_Data!J6876</f>
        <v>17.19</v>
      </c>
      <c r="C6876" s="11">
        <f>Daily_Data!I6876</f>
        <v>-0.35</v>
      </c>
      <c r="D6876" s="12">
        <f>if(sum(Daily_Data!K6876:L6876)&gt;0,1,0)</f>
        <v>1</v>
      </c>
    </row>
    <row r="6877">
      <c r="A6877" s="10">
        <f>Daily_Data!A6877</f>
        <v>46153</v>
      </c>
      <c r="B6877" s="11">
        <f>Daily_Data!J6877</f>
        <v>18.38</v>
      </c>
      <c r="C6877" s="11">
        <f>Daily_Data!I6877</f>
        <v>-0.38</v>
      </c>
      <c r="D6877" s="12">
        <f>if(sum(Daily_Data!K6877:L6877)&gt;0,1,0)</f>
        <v>0</v>
      </c>
    </row>
    <row r="6878">
      <c r="A6878" s="10">
        <f>Daily_Data!A6878</f>
        <v>46154</v>
      </c>
      <c r="B6878" s="11">
        <f>Daily_Data!J6878</f>
        <v>17.99</v>
      </c>
      <c r="C6878" s="11">
        <f>Daily_Data!I6878</f>
        <v>-0.37</v>
      </c>
      <c r="D6878" s="12">
        <f>if(sum(Daily_Data!K6878:L6878)&gt;0,1,0)</f>
        <v>1</v>
      </c>
    </row>
    <row r="6879">
      <c r="A6879" s="10">
        <f>Daily_Data!A6879</f>
        <v>46155</v>
      </c>
      <c r="B6879" s="11">
        <f>Daily_Data!J6879</f>
        <v>17.87</v>
      </c>
      <c r="C6879" s="11">
        <f>Daily_Data!I6879</f>
        <v>-0.33</v>
      </c>
      <c r="D6879" s="12">
        <f>if(sum(Daily_Data!K6879:L6879)&gt;0,1,0)</f>
        <v>0</v>
      </c>
    </row>
    <row r="6880">
      <c r="A6880" s="10">
        <f>Daily_Data!A6880</f>
        <v>46156</v>
      </c>
      <c r="B6880" s="11">
        <f>Daily_Data!J6880</f>
        <v>17.26</v>
      </c>
      <c r="C6880" s="11">
        <f>Daily_Data!I6880</f>
        <v>-0.38</v>
      </c>
      <c r="D6880" s="12">
        <f>if(sum(Daily_Data!K6880:L6880)&gt;0,1,0)</f>
        <v>0</v>
      </c>
    </row>
    <row r="6881">
      <c r="A6881" s="10">
        <f>Daily_Data!A6881</f>
        <v>46157</v>
      </c>
      <c r="B6881" s="11">
        <f>Daily_Data!J6881</f>
        <v>18.43</v>
      </c>
      <c r="C6881" s="11">
        <f>Daily_Data!I6881</f>
        <v>-0.45</v>
      </c>
      <c r="D6881" s="12">
        <f>if(sum(Daily_Data!K6881:L6881)&gt;0,1,0)</f>
        <v>0</v>
      </c>
    </row>
    <row r="6882">
      <c r="A6882" s="10">
        <f>Daily_Data!A6882</f>
        <v>46160</v>
      </c>
      <c r="B6882" s="11">
        <f>Daily_Data!J6882</f>
        <v>17.82</v>
      </c>
      <c r="C6882" s="11">
        <f>Daily_Data!I6882</f>
        <v>-0.4</v>
      </c>
      <c r="D6882" s="12">
        <f>if(sum(Daily_Data!K6882:L6882)&gt;0,1,0)</f>
        <v>0</v>
      </c>
    </row>
    <row r="6883">
      <c r="A6883" s="10">
        <f>Daily_Data!A6883</f>
        <v>46161</v>
      </c>
      <c r="B6883" s="11">
        <f>Daily_Data!J6883</f>
        <v>18.06</v>
      </c>
      <c r="C6883" s="11">
        <f>Daily_Data!I6883</f>
        <v>-0.52</v>
      </c>
      <c r="D6883" s="12">
        <f>if(sum(Daily_Data!K6883:L6883)&gt;0,1,0)</f>
        <v>0</v>
      </c>
    </row>
    <row r="6884">
      <c r="A6884" s="10">
        <f>Daily_Data!A6884</f>
        <v>46162</v>
      </c>
      <c r="B6884" s="11">
        <f>Daily_Data!J6884</f>
        <v>17.44</v>
      </c>
      <c r="C6884" s="11">
        <f>Daily_Data!I6884</f>
        <v>-0.41</v>
      </c>
      <c r="D6884" s="12">
        <f>if(sum(Daily_Data!K6884:L6884)&gt;0,1,0)</f>
        <v>0</v>
      </c>
    </row>
    <row r="6885">
      <c r="A6885" s="10">
        <f>Daily_Data!A6885</f>
        <v>46163</v>
      </c>
      <c r="B6885" s="11">
        <f>Daily_Data!J6885</f>
        <v>16.76</v>
      </c>
      <c r="C6885" s="11">
        <f>Daily_Data!I6885</f>
        <v>-0.52</v>
      </c>
      <c r="D6885" s="12">
        <f>if(sum(Daily_Data!K6885:L6885)&gt;0,1,0)</f>
        <v>0</v>
      </c>
    </row>
    <row r="6886">
      <c r="A6886" s="10">
        <f>Daily_Data!A6886</f>
        <v>46164</v>
      </c>
      <c r="B6886" s="11">
        <f>Daily_Data!J6886</f>
        <v>16.7</v>
      </c>
      <c r="C6886" s="11">
        <f>Daily_Data!I6886</f>
        <v>-0.57</v>
      </c>
      <c r="D6886" s="12">
        <f>if(sum(Daily_Data!K6886:L6886)&gt;0,1,0)</f>
        <v>0</v>
      </c>
    </row>
    <row r="6887">
      <c r="A6887" s="10">
        <f>Daily_Data!A6887</f>
        <v>46167</v>
      </c>
      <c r="B6887" s="11">
        <f>Daily_Data!J6887</f>
        <v>16.59</v>
      </c>
      <c r="C6887" s="11" t="str">
        <f>Daily_Data!I6887</f>
        <v/>
      </c>
      <c r="D6887" s="12">
        <f>if(sum(Daily_Data!K6887:L6887)&gt;0,1,0)</f>
        <v>0</v>
      </c>
    </row>
    <row r="6888">
      <c r="A6888" s="10">
        <f>Daily_Data!A6888</f>
        <v>46168</v>
      </c>
      <c r="B6888" s="11">
        <f>Daily_Data!J6888</f>
        <v>17.01</v>
      </c>
      <c r="C6888" s="11">
        <f>Daily_Data!I6888</f>
        <v>-0.56</v>
      </c>
      <c r="D6888" s="12">
        <f>if(sum(Daily_Data!K6888:L6888)&gt;0,1,0)</f>
        <v>0</v>
      </c>
    </row>
    <row r="6889">
      <c r="A6889" s="10">
        <f>Daily_Data!A6889</f>
        <v>46169</v>
      </c>
      <c r="B6889" s="11">
        <f>Daily_Data!J6889</f>
        <v>16.29</v>
      </c>
      <c r="C6889" s="11">
        <f>Daily_Data!I6889</f>
        <v>-0.49</v>
      </c>
      <c r="D6889" s="12">
        <f>if(sum(Daily_Data!K6889:L6889)&gt;0,1,0)</f>
        <v>0</v>
      </c>
    </row>
    <row r="6890">
      <c r="A6890" s="10">
        <f>Daily_Data!A6890</f>
        <v>46170</v>
      </c>
      <c r="B6890" s="11">
        <f>Daily_Data!J6890</f>
        <v>15.74</v>
      </c>
      <c r="C6890" s="11">
        <f>Daily_Data!I6890</f>
        <v>-0.43</v>
      </c>
      <c r="D6890" s="12">
        <f>if(sum(Daily_Data!K6890:L6890)&gt;0,1,0)</f>
        <v>0</v>
      </c>
    </row>
    <row r="6891">
      <c r="A6891" s="10">
        <f>Daily_Data!A6891</f>
        <v>46171</v>
      </c>
      <c r="B6891" s="11">
        <f>Daily_Data!J6891</f>
        <v>15.32</v>
      </c>
      <c r="C6891" s="11">
        <f>Daily_Data!I6891</f>
        <v>-0.47</v>
      </c>
      <c r="D6891" s="12">
        <f>if(sum(Daily_Data!K6891:L6891)&gt;0,1,0)</f>
        <v>0</v>
      </c>
    </row>
    <row r="6892">
      <c r="A6892" s="10">
        <f>Daily_Data!A6892</f>
        <v>46174</v>
      </c>
      <c r="B6892" s="11">
        <f>Daily_Data!J6892</f>
        <v>16.05</v>
      </c>
      <c r="C6892" s="11" t="str">
        <f>Daily_Data!I6892</f>
        <v/>
      </c>
      <c r="D6892" s="12">
        <f>if(sum(Daily_Data!K6892:L6892)&gt;0,1,0)</f>
        <v>0</v>
      </c>
    </row>
    <row r="6893">
      <c r="A6893" s="10">
        <f>Daily_Data!A6893</f>
        <v>46175</v>
      </c>
      <c r="B6893" s="11">
        <f>Daily_Data!J6893</f>
        <v>15.77</v>
      </c>
      <c r="C6893" s="11">
        <f>Daily_Data!I6893</f>
        <v>-0.54</v>
      </c>
      <c r="D6893" s="12">
        <f>if(sum(Daily_Data!K6893:L6893)&gt;0,1,0)</f>
        <v>0</v>
      </c>
    </row>
    <row r="6894">
      <c r="A6894" s="10">
        <f>Daily_Data!A6894</f>
        <v>46176</v>
      </c>
      <c r="B6894" s="11">
        <f>Daily_Data!J6894</f>
        <v>16.06</v>
      </c>
      <c r="C6894" s="11">
        <f>Daily_Data!I6894</f>
        <v>-0.6</v>
      </c>
      <c r="D6894" s="12">
        <f>if(sum(Daily_Data!K6894:L6894)&gt;0,1,0)</f>
        <v>0</v>
      </c>
    </row>
    <row r="6895">
      <c r="A6895" s="10">
        <f>Daily_Data!A6895</f>
        <v>46177</v>
      </c>
      <c r="B6895" s="11">
        <f>Daily_Data!J6895</f>
        <v>15.4</v>
      </c>
      <c r="C6895" s="11">
        <f>Daily_Data!I6895</f>
        <v>-0.57</v>
      </c>
      <c r="D6895" s="12">
        <f>if(sum(Daily_Data!K6895:L6895)&gt;0,1,0)</f>
        <v>0</v>
      </c>
    </row>
    <row r="6896">
      <c r="A6896" s="10">
        <f>Daily_Data!A6896</f>
        <v>46178</v>
      </c>
      <c r="B6896" s="11">
        <f>Daily_Data!J6896</f>
        <v>21.51</v>
      </c>
      <c r="C6896" s="11">
        <f>Daily_Data!I6896</f>
        <v>-0.7</v>
      </c>
      <c r="D6896" s="12">
        <f>if(sum(Daily_Data!K6896:L6896)&gt;0,1,0)</f>
        <v>1</v>
      </c>
    </row>
    <row r="6897">
      <c r="A6897" s="10">
        <f>Daily_Data!A6897</f>
        <v>46181</v>
      </c>
      <c r="B6897" s="11">
        <f>Daily_Data!J6897</f>
        <v>18.92</v>
      </c>
      <c r="C6897" s="11">
        <f>Daily_Data!I6897</f>
        <v>-0.61</v>
      </c>
      <c r="D6897" s="12">
        <f>if(sum(Daily_Data!K6897:L6897)&gt;0,1,0)</f>
        <v>0</v>
      </c>
    </row>
    <row r="6898">
      <c r="A6898" s="10">
        <f>Daily_Data!A6898</f>
        <v>46182</v>
      </c>
      <c r="B6898" s="11">
        <f>Daily_Data!J6898</f>
        <v>19.87</v>
      </c>
      <c r="C6898" s="11">
        <f>Daily_Data!I6898</f>
        <v>-0.63</v>
      </c>
      <c r="D6898" s="12">
        <f>if(sum(Daily_Data!K6898:L6898)&gt;0,1,0)</f>
        <v>0</v>
      </c>
    </row>
    <row r="6899">
      <c r="A6899" s="10">
        <f>Daily_Data!A6899</f>
        <v>46183</v>
      </c>
      <c r="B6899" s="11">
        <f>Daily_Data!J6899</f>
        <v>22.22</v>
      </c>
      <c r="C6899" s="11">
        <f>Daily_Data!I6899</f>
        <v>-0.65</v>
      </c>
      <c r="D6899" s="12">
        <f>if(sum(Daily_Data!K6899:L6899)&gt;0,1,0)</f>
        <v>1</v>
      </c>
    </row>
    <row r="6900">
      <c r="A6900" s="10">
        <f>Daily_Data!A6900</f>
        <v>46184</v>
      </c>
      <c r="B6900" s="11">
        <f>Daily_Data!J6900</f>
        <v>19.44</v>
      </c>
      <c r="C6900" s="11">
        <f>Daily_Data!I6900</f>
        <v>-0.57</v>
      </c>
      <c r="D6900" s="12">
        <f>if(sum(Daily_Data!K6900:L6900)&gt;0,1,0)</f>
        <v>0</v>
      </c>
    </row>
    <row r="6901">
      <c r="A6901" s="10">
        <f>Daily_Data!A6901</f>
        <v>46185</v>
      </c>
      <c r="B6901" s="11">
        <f>Daily_Data!J6901</f>
        <v>17.68</v>
      </c>
      <c r="C6901" s="11">
        <f>Daily_Data!I6901</f>
        <v>-0.69</v>
      </c>
      <c r="D6901" s="12">
        <f>if(sum(Daily_Data!K6901:L6901)&gt;0,1,0)</f>
        <v>0</v>
      </c>
    </row>
    <row r="6902">
      <c r="A6902" s="10">
        <f>Daily_Data!A6902</f>
        <v>46188</v>
      </c>
      <c r="B6902" s="11">
        <f>Daily_Data!J6902</f>
        <v>16.2</v>
      </c>
      <c r="C6902" s="11">
        <f>Daily_Data!I6902</f>
        <v>-0.74</v>
      </c>
      <c r="D6902" s="12">
        <f>if(sum(Daily_Data!K6902:L6902)&gt;0,1,0)</f>
        <v>0</v>
      </c>
    </row>
    <row r="6903">
      <c r="A6903" s="10">
        <f>Daily_Data!A6903</f>
        <v>46189</v>
      </c>
      <c r="B6903" s="11">
        <f>Daily_Data!J6903</f>
        <v>16.41</v>
      </c>
      <c r="C6903" s="11">
        <f>Daily_Data!I6903</f>
        <v>-0.74</v>
      </c>
      <c r="D6903" s="12">
        <f>if(sum(Daily_Data!K6903:L6903)&gt;0,1,0)</f>
        <v>0</v>
      </c>
    </row>
    <row r="6904">
      <c r="A6904" s="10">
        <f>Daily_Data!A6904</f>
        <v>46190</v>
      </c>
      <c r="B6904" s="11">
        <f>Daily_Data!J6904</f>
        <v>18.44</v>
      </c>
      <c r="C6904" s="11">
        <f>Daily_Data!I6904</f>
        <v>-0.93</v>
      </c>
      <c r="D6904" s="12">
        <f>if(sum(Daily_Data!K6904:L6904)&gt;0,1,0)</f>
        <v>0</v>
      </c>
    </row>
    <row r="6905">
      <c r="A6905" s="10">
        <f>Daily_Data!A6905</f>
        <v>46191</v>
      </c>
      <c r="B6905" s="11">
        <f>Daily_Data!J6905</f>
        <v>16.4</v>
      </c>
      <c r="C6905" s="11">
        <f>Daily_Data!I6905</f>
        <v>-0.83</v>
      </c>
      <c r="D6905" s="12">
        <f>if(sum(Daily_Data!K6905:L6905)&gt;0,1,0)</f>
        <v>0</v>
      </c>
    </row>
    <row r="6906">
      <c r="A6906" s="10">
        <f>Daily_Data!A6906</f>
        <v>46192</v>
      </c>
      <c r="B6906" s="11">
        <f>Daily_Data!J6906</f>
        <v>16.78</v>
      </c>
      <c r="C6906" s="11" t="str">
        <f>Daily_Data!I6906</f>
        <v/>
      </c>
      <c r="D6906" s="12">
        <f>if(sum(Daily_Data!K6906:L6906)&gt;0,1,0)</f>
        <v>0</v>
      </c>
    </row>
    <row r="6907">
      <c r="A6907" s="10">
        <f>Daily_Data!A6907</f>
        <v>46195</v>
      </c>
      <c r="B6907" s="11">
        <f>Daily_Data!J6907</f>
        <v>17.28</v>
      </c>
      <c r="C6907" s="11">
        <f>Daily_Data!I6907</f>
        <v>-0.87</v>
      </c>
      <c r="D6907" s="12">
        <f>if(sum(Daily_Data!K6907:L6907)&gt;0,1,0)</f>
        <v>0</v>
      </c>
    </row>
    <row r="6908">
      <c r="A6908" s="10">
        <f>Daily_Data!A6908</f>
        <v>46196</v>
      </c>
      <c r="B6908" s="11">
        <f>Daily_Data!J6908</f>
        <v>19.49</v>
      </c>
      <c r="C6908" s="11">
        <f>Daily_Data!I6908</f>
        <v>-0.81</v>
      </c>
      <c r="D6908" s="12">
        <f>if(sum(Daily_Data!K6908:L6908)&gt;0,1,0)</f>
        <v>0</v>
      </c>
    </row>
    <row r="6909">
      <c r="A6909" s="10">
        <f>Daily_Data!A6909</f>
        <v>46197</v>
      </c>
      <c r="B6909" s="11">
        <f>Daily_Data!J6909</f>
        <v>18.63</v>
      </c>
      <c r="C6909" s="11">
        <f>Daily_Data!I6909</f>
        <v>-0.79</v>
      </c>
      <c r="D6909" s="12">
        <f>if(sum(Daily_Data!K6909:L6909)&gt;0,1,0)</f>
        <v>0</v>
      </c>
    </row>
    <row r="6910">
      <c r="A6910" s="10">
        <f>Daily_Data!A6910</f>
        <v>46198</v>
      </c>
      <c r="B6910" s="11">
        <f>Daily_Data!J6910</f>
        <v>18.89</v>
      </c>
      <c r="C6910" s="11">
        <f>Daily_Data!I6910</f>
        <v>-0.79</v>
      </c>
      <c r="D6910" s="12">
        <f>if(sum(Daily_Data!K6910:L6910)&gt;0,1,0)</f>
        <v>0</v>
      </c>
    </row>
    <row r="6911">
      <c r="A6911" s="10">
        <f>Daily_Data!A6911</f>
        <v>46199</v>
      </c>
      <c r="B6911" s="11">
        <f>Daily_Data!J6911</f>
        <v>18.41</v>
      </c>
      <c r="C6911" s="11">
        <f>Daily_Data!I6911</f>
        <v>-0.76</v>
      </c>
      <c r="D6911" s="12">
        <f>if(sum(Daily_Data!K6911:L6911)&gt;0,1,0)</f>
        <v>0</v>
      </c>
    </row>
    <row r="6912">
      <c r="A6912" s="10">
        <f>Daily_Data!A6912</f>
        <v>46202</v>
      </c>
      <c r="B6912" s="11">
        <f>Daily_Data!J6912</f>
        <v>17.65</v>
      </c>
      <c r="C6912" s="11">
        <f>Daily_Data!I6912</f>
        <v>-0.78</v>
      </c>
      <c r="D6912" s="12">
        <f>if(sum(Daily_Data!K6912:L6912)&gt;0,1,0)</f>
        <v>0</v>
      </c>
    </row>
    <row r="6913">
      <c r="A6913" s="10">
        <f>Daily_Data!A6913</f>
        <v>46203</v>
      </c>
      <c r="B6913" s="11">
        <f>Daily_Data!J6913</f>
        <v>16.45</v>
      </c>
      <c r="C6913" s="11">
        <f>Daily_Data!I6913</f>
        <v>-0.82</v>
      </c>
      <c r="D6913" s="12">
        <f>if(sum(Daily_Data!K6913:L6913)&gt;0,1,0)</f>
        <v>0</v>
      </c>
    </row>
    <row r="6914">
      <c r="A6914" s="10">
        <f>Daily_Data!A6914</f>
        <v>46204</v>
      </c>
      <c r="B6914" s="11">
        <f>Daily_Data!J6914</f>
        <v>16.59</v>
      </c>
      <c r="C6914" s="11">
        <f>Daily_Data!I6914</f>
        <v>-0.82</v>
      </c>
      <c r="D6914" s="12">
        <f>if(sum(Daily_Data!K6914:L6914)&gt;0,1,0)</f>
        <v>0</v>
      </c>
    </row>
    <row r="6915">
      <c r="A6915" s="10">
        <f>Daily_Data!A6915</f>
        <v>46205</v>
      </c>
      <c r="B6915" s="11">
        <f>Daily_Data!J6915</f>
        <v>16.15</v>
      </c>
      <c r="C6915" s="11">
        <f>Daily_Data!I6915</f>
        <v>-0.76</v>
      </c>
      <c r="D6915" s="12">
        <f>if(sum(Daily_Data!K6915:L6915)&gt;0,1,0)</f>
        <v>1</v>
      </c>
    </row>
    <row r="6916">
      <c r="A6916" s="10">
        <f>Daily_Data!A6916</f>
        <v>46206</v>
      </c>
      <c r="B6916" s="11">
        <f>Daily_Data!J6916</f>
        <v>15.81</v>
      </c>
      <c r="C6916" s="11" t="str">
        <f>Daily_Data!I6916</f>
        <v/>
      </c>
      <c r="D6916" s="12">
        <f>if(sum(Daily_Data!K6916:L6916)&gt;0,1,0)</f>
        <v>0</v>
      </c>
    </row>
    <row r="6917">
      <c r="A6917" s="10">
        <f>Daily_Data!A6917</f>
        <v>46209</v>
      </c>
      <c r="B6917" s="11">
        <f>Daily_Data!J6917</f>
        <v>15.57</v>
      </c>
      <c r="C6917" s="11">
        <f>Daily_Data!I6917</f>
        <v>-0.78</v>
      </c>
      <c r="D6917" s="12">
        <f>if(sum(Daily_Data!K6917:L6917)&gt;0,1,0)</f>
        <v>0</v>
      </c>
    </row>
    <row r="6918">
      <c r="A6918" s="10">
        <f>Daily_Data!A6918</f>
        <v>46210</v>
      </c>
      <c r="B6918" s="11">
        <f>Daily_Data!J6918</f>
        <v>16.13</v>
      </c>
      <c r="C6918" s="11">
        <f>Daily_Data!I6918</f>
        <v>-0.86</v>
      </c>
      <c r="D6918" s="12">
        <f>if(sum(Daily_Data!K6918:L6918)&gt;0,1,0)</f>
        <v>0</v>
      </c>
    </row>
    <row r="6919">
      <c r="A6919" s="10">
        <f>Daily_Data!A6919</f>
        <v>46211</v>
      </c>
      <c r="B6919" s="11">
        <f>Daily_Data!J6919</f>
        <v>16.9</v>
      </c>
      <c r="C6919" s="11">
        <f>Daily_Data!I6919</f>
        <v>-0.82</v>
      </c>
      <c r="D6919" s="12">
        <f>if(sum(Daily_Data!K6919:L6919)&gt;0,1,0)</f>
        <v>0</v>
      </c>
    </row>
    <row r="6920">
      <c r="A6920" s="10">
        <f>Daily_Data!A6920</f>
        <v>46212</v>
      </c>
      <c r="B6920" s="11">
        <f>Daily_Data!J6920</f>
        <v>15.84</v>
      </c>
      <c r="C6920" s="11">
        <f>Daily_Data!I6920</f>
        <v>-0.64</v>
      </c>
      <c r="D6920" s="12">
        <f>if(sum(Daily_Data!K6920:L6920)&gt;0,1,0)</f>
        <v>0</v>
      </c>
    </row>
    <row r="6921">
      <c r="A6921" s="10">
        <f>Daily_Data!A6921</f>
        <v>46213</v>
      </c>
      <c r="B6921" s="11">
        <f>Daily_Data!J6921</f>
        <v>15.03</v>
      </c>
      <c r="C6921" s="11" t="str">
        <f>Daily_Data!I6921</f>
        <v/>
      </c>
      <c r="D6921" s="12">
        <f>if(sum(Daily_Data!K6921:L6921)&gt;0,1,0)</f>
        <v>0</v>
      </c>
    </row>
    <row r="6922">
      <c r="A6922" s="10">
        <f>Daily_Data!A6922</f>
        <v>46216</v>
      </c>
      <c r="B6922" s="11">
        <f>Daily_Data!J6922</f>
        <v>17.16</v>
      </c>
      <c r="C6922" s="11">
        <f>Daily_Data!I6922</f>
        <v>-0.66</v>
      </c>
      <c r="D6922" s="12">
        <f>if(sum(Daily_Data!K6922:L6922)&gt;0,1,0)</f>
        <v>0</v>
      </c>
    </row>
    <row r="6923">
      <c r="A6923" s="10">
        <f>Daily_Data!A6923</f>
        <v>46217</v>
      </c>
      <c r="B6923" s="11">
        <f>Daily_Data!J6923</f>
        <v>16.5</v>
      </c>
      <c r="C6923" s="11">
        <f>Daily_Data!I6923</f>
        <v>-0.49</v>
      </c>
      <c r="D6923" s="12">
        <f>if(sum(Daily_Data!K6923:L6923)&gt;0,1,0)</f>
        <v>1</v>
      </c>
    </row>
    <row r="6924">
      <c r="A6924" s="10">
        <f>Daily_Data!A6924</f>
        <v>46218</v>
      </c>
      <c r="B6924" s="11">
        <f>Daily_Data!J6924</f>
        <v>15.67</v>
      </c>
      <c r="C6924" s="11">
        <f>Daily_Data!I6924</f>
        <v>-0.48</v>
      </c>
      <c r="D6924" s="12">
        <f>if(sum(Daily_Data!K6924:L6924)&gt;0,1,0)</f>
        <v>0</v>
      </c>
    </row>
    <row r="6925">
      <c r="A6925" s="10">
        <f>Daily_Data!A6925</f>
        <v>46219</v>
      </c>
      <c r="B6925" s="11">
        <f>Daily_Data!J6925</f>
        <v>16.73</v>
      </c>
      <c r="C6925" s="11">
        <f>Daily_Data!I6925</f>
        <v>-0.56</v>
      </c>
      <c r="D6925" s="12">
        <f>if(sum(Daily_Data!K6925:L6925)&gt;0,1,0)</f>
        <v>0</v>
      </c>
    </row>
    <row r="6926">
      <c r="A6926" s="10">
        <f>Daily_Data!A6926</f>
        <v>46220</v>
      </c>
      <c r="B6926" s="11">
        <f>Daily_Data!J6926</f>
        <v>18.77</v>
      </c>
      <c r="C6926" s="11">
        <f>Daily_Data!I6926</f>
        <v>-0.56</v>
      </c>
      <c r="D6926" s="12">
        <f>if(sum(Daily_Data!K6926:L6926)&gt;0,1,0)</f>
        <v>0</v>
      </c>
    </row>
    <row r="6927">
      <c r="A6927" s="10">
        <f>Daily_Data!A6927</f>
        <v>46223</v>
      </c>
      <c r="B6927" s="11">
        <f>Daily_Data!J6927</f>
        <v>18.65</v>
      </c>
      <c r="C6927" s="11">
        <f>Daily_Data!I6927</f>
        <v>-0.52</v>
      </c>
      <c r="D6927" s="12">
        <f>if(sum(Daily_Data!K6927:L6927)&gt;0,1,0)</f>
        <v>0</v>
      </c>
    </row>
    <row r="6928">
      <c r="A6928" s="10">
        <f>Daily_Data!A6928</f>
        <v>46224</v>
      </c>
      <c r="B6928" s="11">
        <f>Daily_Data!J6928</f>
        <v>17.05</v>
      </c>
      <c r="C6928" s="11">
        <f>Daily_Data!I6928</f>
        <v>-0.6</v>
      </c>
      <c r="D6928" s="12">
        <f>if(sum(Daily_Data!K6928:L6928)&gt;0,1,0)</f>
        <v>0</v>
      </c>
    </row>
    <row r="6929">
      <c r="A6929" s="10">
        <f>Daily_Data!A6929</f>
        <v>46225</v>
      </c>
      <c r="B6929" s="11">
        <f>Daily_Data!J6929</f>
        <v>16.64</v>
      </c>
      <c r="C6929" s="11">
        <f>Daily_Data!I6929</f>
        <v>-0.64</v>
      </c>
      <c r="D6929" s="12">
        <f>if(sum(Daily_Data!K6929:L6929)&gt;0,1,0)</f>
        <v>0</v>
      </c>
    </row>
    <row r="6930">
      <c r="A6930" s="10">
        <f>Daily_Data!A6930</f>
        <v>46226</v>
      </c>
      <c r="B6930" s="11">
        <f>Daily_Data!J6930</f>
        <v>18.7</v>
      </c>
      <c r="C6930" s="11">
        <f>Daily_Data!I6930</f>
        <v>-0.67</v>
      </c>
      <c r="D6930" s="12">
        <f>if(sum(Daily_Data!K6930:L6930)&gt;0,1,0)</f>
        <v>0</v>
      </c>
    </row>
    <row r="6931">
      <c r="A6931" s="10">
        <f>Daily_Data!A6931</f>
        <v>46227</v>
      </c>
      <c r="B6931" s="11">
        <f>Daily_Data!J6931</f>
        <v>18.58</v>
      </c>
      <c r="C6931" s="11">
        <f>Daily_Data!I6931</f>
        <v>-0.52</v>
      </c>
      <c r="D6931" s="12">
        <f>if(sum(Daily_Data!K6931:L6931)&gt;0,1,0)</f>
        <v>0</v>
      </c>
    </row>
    <row r="6932">
      <c r="A6932" s="10">
        <f>Daily_Data!A6932</f>
        <v>46230</v>
      </c>
      <c r="B6932" s="11">
        <f>Daily_Data!J6932</f>
        <v>18.67</v>
      </c>
      <c r="C6932" s="11">
        <f>Daily_Data!I6932</f>
        <v>-0.6</v>
      </c>
      <c r="D6932" s="12">
        <f>if(sum(Daily_Data!K6932:L6932)&gt;0,1,0)</f>
        <v>0</v>
      </c>
    </row>
    <row r="6933">
      <c r="A6933" s="10">
        <f>Daily_Data!A6933</f>
        <v>46231</v>
      </c>
      <c r="B6933" s="11">
        <f>Daily_Data!J6933</f>
        <v>18.21</v>
      </c>
      <c r="C6933" s="11">
        <f>Daily_Data!I6933</f>
        <v>-0.56</v>
      </c>
      <c r="D6933" s="12">
        <f>if(sum(Daily_Data!K6933:L6933)&gt;0,1,0)</f>
        <v>0</v>
      </c>
    </row>
    <row r="6934">
      <c r="A6934" s="10">
        <f>Daily_Data!A6934</f>
        <v>46232</v>
      </c>
      <c r="B6934" s="11">
        <f>Daily_Data!J6934</f>
        <v>20.66</v>
      </c>
      <c r="C6934" s="11">
        <f>Daily_Data!I6934</f>
        <v>-0.57</v>
      </c>
      <c r="D6934" s="12">
        <f>if(sum(Daily_Data!K6934:L6934)&gt;0,1,0)</f>
        <v>0</v>
      </c>
    </row>
    <row r="6935">
      <c r="A6935" s="10">
        <f>Daily_Data!A6935</f>
        <v>46233</v>
      </c>
      <c r="B6935" s="11">
        <f>Daily_Data!J6935</f>
        <v>17.09</v>
      </c>
      <c r="C6935" s="11">
        <f>Daily_Data!I6935</f>
        <v>-0.53</v>
      </c>
      <c r="D6935" s="12">
        <f>if(sum(Daily_Data!K6935:L6935)&gt;0,1,0)</f>
        <v>0</v>
      </c>
    </row>
    <row r="6936">
      <c r="A6936" s="10">
        <f>Daily_Data!A6936</f>
        <v>46234</v>
      </c>
      <c r="B6936" s="11">
        <f>Daily_Data!J6936</f>
        <v>15.99</v>
      </c>
      <c r="C6936" s="11">
        <f>Daily_Data!I6936</f>
        <v>-0.6</v>
      </c>
      <c r="D6936" s="12">
        <f>if(sum(Daily_Data!K6936:L6936)&gt;0,1,0)</f>
        <v>0</v>
      </c>
    </row>
    <row r="6937">
      <c r="A6937" s="10">
        <f>Daily_Data!A6937</f>
        <v>46237</v>
      </c>
      <c r="B6937" s="11">
        <f>Daily_Data!J6937</f>
        <v>15.86</v>
      </c>
      <c r="C6937" s="11">
        <f>Daily_Data!I6937</f>
        <v>-0.55</v>
      </c>
      <c r="D6937" s="12">
        <f>if(sum(Daily_Data!K6937:L6937)&gt;0,1,0)</f>
        <v>0</v>
      </c>
    </row>
    <row r="6938">
      <c r="A6938" s="10">
        <f>Daily_Data!A6938</f>
        <v>46238</v>
      </c>
      <c r="B6938" s="11">
        <f>Daily_Data!J6938</f>
        <v>16.5</v>
      </c>
      <c r="C6938" s="11">
        <f>Daily_Data!I6938</f>
        <v>-0.5</v>
      </c>
      <c r="D6938" s="12">
        <f>if(sum(Daily_Data!K6938:L6938)&gt;0,1,0)</f>
        <v>0</v>
      </c>
    </row>
    <row r="6939">
      <c r="A6939" s="10">
        <f>Daily_Data!A6939</f>
        <v>46239</v>
      </c>
      <c r="B6939" s="11">
        <f>Daily_Data!J6939</f>
        <v>15.81</v>
      </c>
      <c r="C6939" s="11">
        <f>Daily_Data!I6939</f>
        <v>-0.56</v>
      </c>
      <c r="D6939" s="12">
        <f>if(sum(Daily_Data!K6939:L6939)&gt;0,1,0)</f>
        <v>0</v>
      </c>
    </row>
    <row r="6940">
      <c r="A6940" s="10">
        <f>Daily_Data!A6940</f>
        <v>46240</v>
      </c>
      <c r="B6940" s="11">
        <f>Daily_Data!J6940</f>
        <v>15.15</v>
      </c>
      <c r="C6940" s="11">
        <f>Daily_Data!I6940</f>
        <v>-0.63</v>
      </c>
      <c r="D6940" s="12">
        <f>if(sum(Daily_Data!K6940:L6940)&gt;0,1,0)</f>
        <v>0</v>
      </c>
    </row>
    <row r="6941">
      <c r="A6941" s="10">
        <f>Daily_Data!A6941</f>
        <v>46241</v>
      </c>
      <c r="B6941" s="11">
        <f>Daily_Data!J6941</f>
        <v>14.9</v>
      </c>
      <c r="C6941" s="11">
        <f>Daily_Data!I6941</f>
        <v>-0.53</v>
      </c>
      <c r="D6941" s="12">
        <f>if(sum(Daily_Data!K6941:L6941)&gt;0,1,0)</f>
        <v>1</v>
      </c>
    </row>
    <row r="6942">
      <c r="A6942" s="10">
        <f>Daily_Data!A6942</f>
        <v>46244</v>
      </c>
      <c r="B6942" s="11">
        <f>Daily_Data!J6942</f>
        <v>15.46</v>
      </c>
      <c r="C6942" s="11">
        <f>Daily_Data!I6942</f>
        <v>-0.61</v>
      </c>
      <c r="D6942" s="12">
        <f>if(sum(Daily_Data!K6942:L6942)&gt;0,1,0)</f>
        <v>0</v>
      </c>
    </row>
    <row r="6943">
      <c r="A6943" s="10">
        <f>Daily_Data!A6943</f>
        <v>46245</v>
      </c>
      <c r="B6943" s="11">
        <f>Daily_Data!J6943</f>
        <v>15.28</v>
      </c>
      <c r="C6943" s="11">
        <f>Daily_Data!I6943</f>
        <v>-0.56</v>
      </c>
      <c r="D6943" s="12">
        <f>if(sum(Daily_Data!K6943:L6943)&gt;0,1,0)</f>
        <v>0</v>
      </c>
    </row>
    <row r="6944">
      <c r="A6944" s="10">
        <f>Daily_Data!A6944</f>
        <v>46246</v>
      </c>
      <c r="B6944" s="11">
        <f>Daily_Data!J6944</f>
        <v>14.55</v>
      </c>
      <c r="C6944" s="11">
        <f>Daily_Data!I6944</f>
        <v>-0.55</v>
      </c>
      <c r="D6944" s="12">
        <f>if(sum(Daily_Data!K6944:L6944)&gt;0,1,0)</f>
        <v>1</v>
      </c>
    </row>
    <row r="6945">
      <c r="A6945" s="10">
        <f>Daily_Data!A6945</f>
        <v>46247</v>
      </c>
      <c r="B6945" s="11">
        <f>Daily_Data!J6945</f>
        <v>14.63</v>
      </c>
      <c r="C6945" s="11">
        <f>Daily_Data!I6945</f>
        <v>-0.56</v>
      </c>
      <c r="D6945" s="12">
        <f>if(sum(Daily_Data!K6945:L6945)&gt;0,1,0)</f>
        <v>0</v>
      </c>
    </row>
    <row r="6946">
      <c r="A6946" s="10">
        <f>Daily_Data!A6946</f>
        <v>46248</v>
      </c>
      <c r="B6946" s="11">
        <f>Daily_Data!J6946</f>
        <v>14.25</v>
      </c>
      <c r="C6946" s="11">
        <f>Daily_Data!I6946</f>
        <v>-0.56</v>
      </c>
      <c r="D6946" s="12">
        <f>if(sum(Daily_Data!K6946:L6946)&gt;0,1,0)</f>
        <v>0</v>
      </c>
    </row>
    <row r="6947">
      <c r="A6947" s="10">
        <f>Daily_Data!A6947</f>
        <v>46251</v>
      </c>
      <c r="B6947" s="11">
        <f>Daily_Data!J6947</f>
        <v>15.19</v>
      </c>
      <c r="C6947" s="11">
        <f>Daily_Data!I6947</f>
        <v>-0.56</v>
      </c>
      <c r="D6947" s="12">
        <f>if(sum(Daily_Data!K6947:L6947)&gt;0,1,0)</f>
        <v>0</v>
      </c>
    </row>
    <row r="6948">
      <c r="A6948" s="10">
        <f>Daily_Data!A6948</f>
        <v>46252</v>
      </c>
      <c r="B6948" s="11">
        <f>Daily_Data!J6948</f>
        <v>15.84</v>
      </c>
      <c r="C6948" s="11">
        <f>Daily_Data!I6948</f>
        <v>-0.55</v>
      </c>
      <c r="D6948" s="12">
        <f>if(sum(Daily_Data!K6948:L6948)&gt;0,1,0)</f>
        <v>0</v>
      </c>
    </row>
    <row r="6949">
      <c r="A6949" s="10">
        <f>Daily_Data!A6949</f>
        <v>46253</v>
      </c>
      <c r="B6949" s="11">
        <f>Daily_Data!J6949</f>
        <v>14.89</v>
      </c>
      <c r="C6949" s="11">
        <f>Daily_Data!I6949</f>
        <v>-0.58</v>
      </c>
      <c r="D6949" s="12">
        <f>if(sum(Daily_Data!K6949:L6949)&gt;0,1,0)</f>
        <v>0</v>
      </c>
    </row>
    <row r="6950">
      <c r="A6950" s="10">
        <f>Daily_Data!A6950</f>
        <v>46254</v>
      </c>
      <c r="B6950" s="11">
        <f>Daily_Data!J6950</f>
        <v>16.01</v>
      </c>
      <c r="C6950" s="11">
        <f>Daily_Data!I6950</f>
        <v>-0.56</v>
      </c>
      <c r="D6950" s="12">
        <f>if(sum(Daily_Data!K6950:L6950)&gt;0,1,0)</f>
        <v>0</v>
      </c>
    </row>
    <row r="6951">
      <c r="A6951" s="10">
        <f>Daily_Data!A6951</f>
        <v>46255</v>
      </c>
      <c r="B6951" s="11">
        <f>Daily_Data!J6951</f>
        <v>15.13</v>
      </c>
      <c r="C6951" s="11">
        <f>Daily_Data!I6951</f>
        <v>-0.58</v>
      </c>
      <c r="D6951" s="12">
        <f>if(sum(Daily_Data!K6951:L6951)&gt;0,1,0)</f>
        <v>0</v>
      </c>
    </row>
    <row r="6952">
      <c r="A6952" s="10">
        <f>Daily_Data!A6952</f>
        <v>46258</v>
      </c>
      <c r="B6952" s="11">
        <f>Daily_Data!J6952</f>
        <v>15.85</v>
      </c>
      <c r="C6952" s="11">
        <f>Daily_Data!I6952</f>
        <v>-0.6</v>
      </c>
      <c r="D6952" s="12">
        <f>if(sum(Daily_Data!K6952:L6952)&gt;0,1,0)</f>
        <v>0</v>
      </c>
    </row>
    <row r="6953">
      <c r="A6953" s="10">
        <f>Daily_Data!A6953</f>
        <v>46259</v>
      </c>
      <c r="B6953" s="11">
        <f>Daily_Data!J6953</f>
        <v>15.45</v>
      </c>
      <c r="C6953" s="11">
        <f>Daily_Data!I6953</f>
        <v>-0.51</v>
      </c>
      <c r="D6953" s="12">
        <f>if(sum(Daily_Data!K6953:L6953)&gt;0,1,0)</f>
        <v>0</v>
      </c>
    </row>
    <row r="6954">
      <c r="A6954" s="10">
        <f>Daily_Data!A6954</f>
        <v>46260</v>
      </c>
      <c r="B6954" s="11">
        <f>Daily_Data!J6954</f>
        <v>15.21</v>
      </c>
      <c r="C6954" s="11">
        <f>Daily_Data!I6954</f>
        <v>-0.56</v>
      </c>
      <c r="D6954" s="12">
        <f>if(sum(Daily_Data!K6954:L6954)&gt;0,1,0)</f>
        <v>0</v>
      </c>
    </row>
    <row r="6955">
      <c r="A6955" s="10">
        <f>Daily_Data!A6955</f>
        <v>46261</v>
      </c>
      <c r="B6955" s="11">
        <f>Daily_Data!J6955</f>
        <v>14.51</v>
      </c>
      <c r="C6955" s="11">
        <f>Daily_Data!I6955</f>
        <v>-0.52</v>
      </c>
      <c r="D6955" s="12">
        <f>if(sum(Daily_Data!K6955:L6955)&gt;0,1,0)</f>
        <v>0</v>
      </c>
    </row>
    <row r="6956">
      <c r="A6956" s="10">
        <f>Daily_Data!A6956</f>
        <v>46262</v>
      </c>
      <c r="B6956" s="11">
        <f>Daily_Data!J6956</f>
        <v>14.43</v>
      </c>
      <c r="C6956" s="11">
        <f>Daily_Data!I6956</f>
        <v>-0.64</v>
      </c>
      <c r="D6956" s="12">
        <f>if(sum(Daily_Data!K6956:L6956)&gt;0,1,0)</f>
        <v>0</v>
      </c>
    </row>
    <row r="6957">
      <c r="A6957" s="10">
        <f>Daily_Data!A6957</f>
        <v>46265</v>
      </c>
      <c r="B6957" s="11">
        <f>Daily_Data!J6957</f>
        <v>14.92</v>
      </c>
      <c r="C6957" s="11">
        <f>Daily_Data!I6957</f>
        <v>-0.62</v>
      </c>
      <c r="D6957" s="12">
        <f>if(sum(Daily_Data!K6957:L6957)&gt;0,1,0)</f>
        <v>0</v>
      </c>
    </row>
    <row r="6958">
      <c r="A6958" s="10">
        <f>Daily_Data!A6958</f>
        <v>46266</v>
      </c>
      <c r="B6958" s="11">
        <f>Daily_Data!J6958</f>
        <v>16.34</v>
      </c>
      <c r="C6958" s="11">
        <f>Daily_Data!I6958</f>
        <v>-0.64</v>
      </c>
      <c r="D6958" s="12">
        <f>if(sum(Daily_Data!K6958:L6958)&gt;0,1,0)</f>
        <v>0</v>
      </c>
    </row>
    <row r="6959">
      <c r="A6959" s="10">
        <f>Daily_Data!A6959</f>
        <v>46267</v>
      </c>
      <c r="B6959" s="11">
        <f>Daily_Data!J6959</f>
        <v>15.2</v>
      </c>
      <c r="C6959" s="11">
        <f>Daily_Data!I6959</f>
        <v>-0.7</v>
      </c>
      <c r="D6959" s="12">
        <f>if(sum(Daily_Data!K6959:L6959)&gt;0,1,0)</f>
        <v>0</v>
      </c>
    </row>
    <row r="6960">
      <c r="A6960" s="10">
        <f>Daily_Data!A6960</f>
        <v>46268</v>
      </c>
      <c r="B6960" s="11">
        <f>Daily_Data!J6960</f>
        <v>14.32</v>
      </c>
      <c r="C6960" s="11">
        <f>Daily_Data!I6960</f>
        <v>-0.64</v>
      </c>
      <c r="D6960" s="12">
        <f>if(sum(Daily_Data!K6960:L6960)&gt;0,1,0)</f>
        <v>0</v>
      </c>
    </row>
    <row r="6961">
      <c r="A6961" s="10">
        <f>Daily_Data!A6961</f>
        <v>46269</v>
      </c>
      <c r="B6961" s="11">
        <f>Daily_Data!J6961</f>
        <v>14.53</v>
      </c>
      <c r="C6961" s="11">
        <f>Daily_Data!I6961</f>
        <v>-0.65</v>
      </c>
      <c r="D6961" s="12">
        <f>if(sum(Daily_Data!K6961:L6961)&gt;0,1,0)</f>
        <v>1</v>
      </c>
    </row>
    <row r="6962">
      <c r="A6962" s="10">
        <f>Daily_Data!A6962</f>
        <v>46272</v>
      </c>
      <c r="B6962" s="11">
        <f>Daily_Data!J6962</f>
        <v>15.3</v>
      </c>
      <c r="C6962" s="11" t="str">
        <f>Daily_Data!I6962</f>
        <v/>
      </c>
      <c r="D6962" s="12">
        <f>if(sum(Daily_Data!K6962:L6962)&gt;0,1,0)</f>
        <v>0</v>
      </c>
    </row>
    <row r="6963">
      <c r="A6963" s="10">
        <f>Daily_Data!A6963</f>
        <v>46273</v>
      </c>
      <c r="B6963" s="11">
        <f>Daily_Data!J6963</f>
        <v>15.72</v>
      </c>
      <c r="C6963" s="11">
        <f>Daily_Data!I6963</f>
        <v>-0.69</v>
      </c>
      <c r="D6963" s="12">
        <f>if(sum(Daily_Data!K6963:L6963)&gt;0,1,0)</f>
        <v>0</v>
      </c>
    </row>
    <row r="6964">
      <c r="A6964" s="10">
        <f>Daily_Data!A6964</f>
        <v>46274</v>
      </c>
      <c r="B6964" s="11">
        <f>Daily_Data!J6964</f>
        <v>16.46</v>
      </c>
      <c r="C6964" s="11">
        <f>Daily_Data!I6964</f>
        <v>-0.71</v>
      </c>
      <c r="D6964" s="12">
        <f>if(sum(Daily_Data!K6964:L6964)&gt;0,1,0)</f>
        <v>0</v>
      </c>
    </row>
    <row r="6965">
      <c r="A6965" s="10">
        <f>Daily_Data!A6965</f>
        <v>46275</v>
      </c>
      <c r="B6965" s="11">
        <f>Daily_Data!J6965</f>
        <v>17.84</v>
      </c>
      <c r="C6965" s="11">
        <f>Daily_Data!I6965</f>
        <v>-0.75</v>
      </c>
      <c r="D6965" s="12">
        <f>if(sum(Daily_Data!K6965:L6965)&gt;0,1,0)</f>
        <v>0</v>
      </c>
    </row>
    <row r="6966">
      <c r="A6966" s="10">
        <f>Daily_Data!A6966</f>
        <v>46276</v>
      </c>
      <c r="B6966" s="11">
        <f>Daily_Data!J6966</f>
        <v>15.84</v>
      </c>
      <c r="C6966" s="11">
        <f>Daily_Data!I6966</f>
        <v>-0.58</v>
      </c>
      <c r="D6966" s="12">
        <f>if(sum(Daily_Data!K6966:L6966)&gt;0,1,0)</f>
        <v>1</v>
      </c>
    </row>
    <row r="6967">
      <c r="A6967" s="10">
        <f>Daily_Data!A6967</f>
        <v>46279</v>
      </c>
      <c r="B6967" s="11">
        <f>Daily_Data!J6967</f>
        <v>17.1</v>
      </c>
      <c r="C6967" s="11">
        <f>Daily_Data!I6967</f>
        <v>-0.63</v>
      </c>
      <c r="D6967" s="12">
        <f>if(sum(Daily_Data!K6967:L6967)&gt;0,1,0)</f>
        <v>0</v>
      </c>
    </row>
    <row r="6968">
      <c r="A6968" s="10">
        <f>Daily_Data!A6968</f>
        <v>46280</v>
      </c>
      <c r="B6968" s="11">
        <f>Daily_Data!J6968</f>
        <v>17.2</v>
      </c>
      <c r="C6968" s="11">
        <f>Daily_Data!I6968</f>
        <v>-0.63</v>
      </c>
      <c r="D6968" s="12">
        <f>if(sum(Daily_Data!K6968:L6968)&gt;0,1,0)</f>
        <v>0</v>
      </c>
    </row>
    <row r="6969">
      <c r="A6969" s="10">
        <f>Daily_Data!A6969</f>
        <v>46281</v>
      </c>
      <c r="B6969" s="11">
        <f>Daily_Data!J6969</f>
        <v>17.71</v>
      </c>
      <c r="C6969" s="11">
        <f>Daily_Data!I6969</f>
        <v>-0.74</v>
      </c>
      <c r="D6969" s="12">
        <f>if(sum(Daily_Data!K6969:L6969)&gt;0,1,0)</f>
        <v>0</v>
      </c>
    </row>
    <row r="6970">
      <c r="A6970" s="10">
        <f>Daily_Data!A6970</f>
        <v>46282</v>
      </c>
      <c r="B6970" s="11">
        <f>Daily_Data!J6970</f>
        <v>15.44</v>
      </c>
      <c r="C6970" s="11">
        <f>Daily_Data!I6970</f>
        <v>-0.65</v>
      </c>
      <c r="D6970" s="12">
        <f>if(sum(Daily_Data!K6970:L6970)&gt;0,1,0)</f>
        <v>0</v>
      </c>
    </row>
    <row r="6971">
      <c r="A6971" s="10">
        <f>Daily_Data!A6971</f>
        <v>46283</v>
      </c>
      <c r="B6971" s="11">
        <f>Daily_Data!J6971</f>
        <v>14.81</v>
      </c>
      <c r="C6971" s="11">
        <f>Daily_Data!I6971</f>
        <v>-0.79</v>
      </c>
      <c r="D6971" s="12">
        <f>if(sum(Daily_Data!K6971:L6971)&gt;0,1,0)</f>
        <v>0</v>
      </c>
    </row>
    <row r="6972">
      <c r="A6972" s="10">
        <f>Daily_Data!A6972</f>
        <v>46286</v>
      </c>
      <c r="B6972" s="11">
        <f>Daily_Data!J6972</f>
        <v>14.87</v>
      </c>
      <c r="C6972" s="11">
        <f>Daily_Data!I6972</f>
        <v>-0.77</v>
      </c>
      <c r="D6972" s="12">
        <f>if(sum(Daily_Data!K6972:L6972)&gt;0,1,0)</f>
        <v>0</v>
      </c>
    </row>
    <row r="6973">
      <c r="A6973" s="10">
        <f>Daily_Data!A6973</f>
        <v>46287</v>
      </c>
      <c r="B6973" s="11">
        <f>Daily_Data!J6973</f>
        <v>14.21</v>
      </c>
      <c r="C6973" s="11">
        <f>Daily_Data!I6973</f>
        <v>-0.67</v>
      </c>
      <c r="D6973" s="12">
        <f>if(sum(Daily_Data!K6973:L6973)&gt;0,1,0)</f>
        <v>0</v>
      </c>
    </row>
    <row r="6974">
      <c r="A6974" s="10">
        <f>Daily_Data!A6974</f>
        <v>46288</v>
      </c>
      <c r="B6974" s="11">
        <f>Daily_Data!J6974</f>
        <v>15.18</v>
      </c>
      <c r="C6974" s="11">
        <f>Daily_Data!I6974</f>
        <v>-0.86</v>
      </c>
      <c r="D6974" s="12">
        <f>if(sum(Daily_Data!K6974:L6974)&gt;0,1,0)</f>
        <v>0</v>
      </c>
    </row>
    <row r="6975">
      <c r="A6975" s="10">
        <f>Daily_Data!A6975</f>
        <v>46289</v>
      </c>
      <c r="B6975" s="11">
        <f>Daily_Data!J6975</f>
        <v>15.67</v>
      </c>
      <c r="C6975" s="11">
        <f>Daily_Data!I6975</f>
        <v>-0.77</v>
      </c>
      <c r="D6975" s="12">
        <f>if(sum(Daily_Data!K6975:L6975)&gt;0,1,0)</f>
        <v>0</v>
      </c>
    </row>
    <row r="6976">
      <c r="A6976" s="10">
        <f>Daily_Data!A6976</f>
        <v>46290</v>
      </c>
      <c r="B6976" s="11">
        <f>Daily_Data!J6976</f>
        <v>14.87</v>
      </c>
      <c r="C6976" s="11">
        <f>Daily_Data!I6976</f>
        <v>-0.7</v>
      </c>
      <c r="D6976" s="12">
        <f>if(sum(Daily_Data!K6976:L6976)&gt;0,1,0)</f>
        <v>0</v>
      </c>
    </row>
    <row r="6977">
      <c r="A6977" s="10">
        <f>Daily_Data!A6977</f>
        <v>46293</v>
      </c>
      <c r="B6977" s="11">
        <f>Daily_Data!J6977</f>
        <v>16.07</v>
      </c>
      <c r="C6977" s="11">
        <f>Daily_Data!I6977</f>
        <v>-0.79</v>
      </c>
      <c r="D6977" s="12">
        <f>if(sum(Daily_Data!K6977:L6977)&gt;0,1,0)</f>
        <v>0</v>
      </c>
    </row>
    <row r="6978">
      <c r="A6978" s="10">
        <f>Daily_Data!A6978</f>
        <v>46294</v>
      </c>
      <c r="B6978" s="11">
        <f>Daily_Data!J6978</f>
        <v>16.04</v>
      </c>
      <c r="C6978" s="11">
        <f>Daily_Data!I6978</f>
        <v>-0.76</v>
      </c>
      <c r="D6978" s="12">
        <f>if(sum(Daily_Data!K6978:L6978)&gt;0,1,0)</f>
        <v>0</v>
      </c>
    </row>
    <row r="6979">
      <c r="A6979" s="10">
        <f>Daily_Data!A6979</f>
        <v>46295</v>
      </c>
      <c r="B6979" s="11">
        <f>Daily_Data!J6979</f>
        <v>16.34</v>
      </c>
      <c r="C6979" s="11">
        <f>Daily_Data!I6979</f>
        <v>-0.83</v>
      </c>
      <c r="D6979" s="12">
        <f>if(sum(Daily_Data!K6979:L6979)&gt;0,1,0)</f>
        <v>0</v>
      </c>
    </row>
    <row r="6980">
      <c r="A6980" s="10">
        <f>Daily_Data!A6980</f>
        <v>46296</v>
      </c>
      <c r="B6980" s="11">
        <f>Daily_Data!J6980</f>
        <v>16.39</v>
      </c>
      <c r="C6980" s="11">
        <f>Daily_Data!I6980</f>
        <v>-0.7</v>
      </c>
      <c r="D6980" s="12">
        <f>if(sum(Daily_Data!K6980:L6980)&gt;0,1,0)</f>
        <v>0</v>
      </c>
    </row>
    <row r="6981">
      <c r="A6981" s="10">
        <f>Daily_Data!A6981</f>
        <v>46297</v>
      </c>
      <c r="B6981" s="11">
        <f>Daily_Data!J6981</f>
        <v>15.31</v>
      </c>
      <c r="C6981" s="11">
        <f>Daily_Data!I6981</f>
        <v>-0.82</v>
      </c>
      <c r="D6981" s="12">
        <f>if(sum(Daily_Data!K6981:L6981)&gt;0,1,0)</f>
        <v>1</v>
      </c>
    </row>
    <row r="6982">
      <c r="A6982" s="10">
        <f>Daily_Data!A6982</f>
        <v>46300</v>
      </c>
      <c r="B6982" s="11">
        <f>Daily_Data!J6982</f>
        <v>15.52</v>
      </c>
      <c r="C6982" s="11">
        <f>Daily_Data!I6982</f>
        <v>-0.84</v>
      </c>
      <c r="D6982" s="12">
        <f>if(sum(Daily_Data!K6982:L6982)&gt;0,1,0)</f>
        <v>0</v>
      </c>
    </row>
    <row r="6983">
      <c r="A6983" s="10">
        <f>Daily_Data!A6983</f>
        <v>46301</v>
      </c>
      <c r="B6983" s="11">
        <f>Daily_Data!J6983</f>
        <v>15.01</v>
      </c>
      <c r="C6983" s="11">
        <f>Daily_Data!I6983</f>
        <v>-0.74</v>
      </c>
      <c r="D6983" s="12">
        <f>if(sum(Daily_Data!K6983:L6983)&gt;0,1,0)</f>
        <v>0</v>
      </c>
    </row>
    <row r="6984">
      <c r="A6984" s="10">
        <f>Daily_Data!A6984</f>
        <v>46302</v>
      </c>
      <c r="B6984" s="11">
        <f>Daily_Data!J6984</f>
        <v>15.08</v>
      </c>
      <c r="C6984" s="11">
        <f>Daily_Data!I6984</f>
        <v>-0.73</v>
      </c>
      <c r="D6984" s="12">
        <f>if(sum(Daily_Data!K6984:L6984)&gt;0,1,0)</f>
        <v>0</v>
      </c>
    </row>
    <row r="6985">
      <c r="A6985" s="10">
        <f>Daily_Data!A6985</f>
        <v>46303</v>
      </c>
      <c r="B6985" s="11">
        <f>Daily_Data!J6985</f>
        <v>15.41</v>
      </c>
      <c r="C6985" s="11">
        <f>Daily_Data!I6985</f>
        <v>-0.72</v>
      </c>
      <c r="D6985" s="12">
        <f>if(sum(Daily_Data!K6985:L6985)&gt;0,1,0)</f>
        <v>0</v>
      </c>
    </row>
    <row r="6986">
      <c r="A6986" s="10">
        <f>Daily_Data!A6986</f>
        <v>46304</v>
      </c>
      <c r="B6986" s="11">
        <f>Daily_Data!J6986</f>
        <v>14.84</v>
      </c>
      <c r="C6986" s="11">
        <f>Daily_Data!I6986</f>
        <v>-0.79</v>
      </c>
      <c r="D6986" s="12">
        <f>if(sum(Daily_Data!K6986:L6986)&gt;0,1,0)</f>
        <v>0</v>
      </c>
    </row>
    <row r="6987">
      <c r="A6987" s="10">
        <f>Daily_Data!A6987</f>
        <v>46307</v>
      </c>
      <c r="B6987" s="11">
        <f>Daily_Data!J6987</f>
        <v>15.21</v>
      </c>
      <c r="C6987" s="11" t="str">
        <f>Daily_Data!I6987</f>
        <v/>
      </c>
      <c r="D6987" s="12">
        <f>if(sum(Daily_Data!K6987:L6987)&gt;0,1,0)</f>
        <v>0</v>
      </c>
    </row>
    <row r="6988">
      <c r="A6988" s="10">
        <f>Daily_Data!A6988</f>
        <v>46308</v>
      </c>
      <c r="B6988" s="11">
        <f>Daily_Data!J6988</f>
        <v>15.27</v>
      </c>
      <c r="C6988" s="11" t="str">
        <f>Daily_Data!I6988</f>
        <v/>
      </c>
      <c r="D6988" s="12">
        <f>if(sum(Daily_Data!K6988:L6988)&gt;0,1,0)</f>
        <v>0</v>
      </c>
    </row>
    <row r="6989">
      <c r="A6989" s="10">
        <f>Daily_Data!A6989</f>
        <v>46309</v>
      </c>
      <c r="B6989" s="11" t="str">
        <f>Daily_Data!J6989</f>
        <v/>
      </c>
      <c r="C6989" s="11" t="str">
        <f>Daily_Data!I6989</f>
        <v/>
      </c>
      <c r="D6989" s="12">
        <f>if(sum(Daily_Data!K6989:L6989)&gt;0,1,0)</f>
        <v>1</v>
      </c>
    </row>
    <row r="6990">
      <c r="A6990" s="12" t="str">
        <f>Daily_Data!A6990</f>
        <v/>
      </c>
      <c r="B6990" s="12" t="str">
        <f>Daily_Data!J6990</f>
        <v/>
      </c>
      <c r="C6990" s="12" t="str">
        <f>Daily_Data!I6990</f>
        <v/>
      </c>
    </row>
    <row r="6991">
      <c r="A6991" s="12" t="str">
        <f>Daily_Data!A6991</f>
        <v/>
      </c>
      <c r="B6991" s="12" t="str">
        <f>Daily_Data!J6991</f>
        <v/>
      </c>
      <c r="C6991" s="12" t="str">
        <f>Daily_Data!I6991</f>
        <v/>
      </c>
    </row>
    <row r="6992">
      <c r="A6992" s="12" t="str">
        <f>Daily_Data!A6992</f>
        <v/>
      </c>
      <c r="B6992" s="12" t="str">
        <f>Daily_Data!J6992</f>
        <v/>
      </c>
      <c r="C6992" s="12" t="str">
        <f>Daily_Data!I6992</f>
        <v/>
      </c>
    </row>
    <row r="6993">
      <c r="A6993" s="12" t="str">
        <f>Daily_Data!A6993</f>
        <v/>
      </c>
      <c r="B6993" s="12" t="str">
        <f>Daily_Data!J6993</f>
        <v/>
      </c>
      <c r="C6993" s="12" t="str">
        <f>Daily_Data!I6993</f>
        <v/>
      </c>
    </row>
    <row r="6994">
      <c r="A6994" s="12" t="str">
        <f>Daily_Data!A6994</f>
        <v/>
      </c>
      <c r="B6994" s="12" t="str">
        <f>Daily_Data!J6994</f>
        <v/>
      </c>
      <c r="C6994" s="12" t="str">
        <f>Daily_Data!I6994</f>
        <v/>
      </c>
    </row>
    <row r="6995">
      <c r="A6995" s="12" t="str">
        <f>Daily_Data!A6995</f>
        <v/>
      </c>
      <c r="B6995" s="12" t="str">
        <f>Daily_Data!J6995</f>
        <v/>
      </c>
      <c r="C6995" s="12" t="str">
        <f>Daily_Data!I6995</f>
        <v/>
      </c>
    </row>
    <row r="6996">
      <c r="A6996" s="12" t="str">
        <f>Daily_Data!A6996</f>
        <v/>
      </c>
      <c r="B6996" s="12" t="str">
        <f>Daily_Data!J6996</f>
        <v/>
      </c>
      <c r="C6996" s="12" t="str">
        <f>Daily_Data!I6996</f>
        <v/>
      </c>
    </row>
    <row r="6997">
      <c r="A6997" s="12" t="str">
        <f>Daily_Data!A6997</f>
        <v/>
      </c>
      <c r="B6997" s="12" t="str">
        <f>Daily_Data!J6997</f>
        <v/>
      </c>
      <c r="C6997" s="12" t="str">
        <f>Daily_Data!I6997</f>
        <v/>
      </c>
    </row>
    <row r="6998">
      <c r="A6998" s="12" t="str">
        <f>Daily_Data!A6998</f>
        <v/>
      </c>
      <c r="B6998" s="12" t="str">
        <f>Daily_Data!J6998</f>
        <v/>
      </c>
      <c r="C6998" s="12" t="str">
        <f>Daily_Data!I6998</f>
        <v/>
      </c>
    </row>
    <row r="6999">
      <c r="A6999" s="12" t="str">
        <f>Daily_Data!A6999</f>
        <v/>
      </c>
      <c r="B6999" s="12" t="str">
        <f>Daily_Data!J6999</f>
        <v/>
      </c>
      <c r="C6999" s="12" t="str">
        <f>Daily_Data!I6999</f>
        <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4.43" defaultRowHeight="15.0"/>
  <cols>
    <col customWidth="1" min="1" max="1" width="12.0"/>
    <col customWidth="1" min="2" max="3" width="10.0"/>
    <col customWidth="1" min="4" max="5" width="11.0"/>
    <col customWidth="1" min="6" max="6" width="13.0"/>
    <col customWidth="1" min="7" max="8" width="10.0"/>
    <col customWidth="1" min="9" max="9" width="11.0"/>
    <col customWidth="1" min="10" max="14" width="8.0"/>
    <col customWidth="1" min="15" max="15" width="9.0"/>
    <col customWidth="1" min="16" max="16" width="10.0"/>
  </cols>
  <sheetData>
    <row r="1" ht="45.0" customHeight="1">
      <c r="A1" s="13" t="s">
        <v>95</v>
      </c>
      <c r="B1" s="13" t="s">
        <v>55</v>
      </c>
      <c r="C1" s="13" t="s">
        <v>57</v>
      </c>
      <c r="D1" s="13" t="s">
        <v>59</v>
      </c>
      <c r="E1" s="13" t="s">
        <v>61</v>
      </c>
      <c r="F1" s="13" t="s">
        <v>63</v>
      </c>
      <c r="G1" s="13" t="s">
        <v>98</v>
      </c>
      <c r="H1" s="13" t="s">
        <v>99</v>
      </c>
      <c r="I1" s="13" t="s">
        <v>100</v>
      </c>
      <c r="J1" s="13" t="s">
        <v>89</v>
      </c>
      <c r="K1" s="13" t="s">
        <v>74</v>
      </c>
      <c r="L1" s="13" t="s">
        <v>76</v>
      </c>
      <c r="M1" s="13" t="s">
        <v>101</v>
      </c>
      <c r="N1" s="13" t="s">
        <v>102</v>
      </c>
      <c r="O1" s="13" t="s">
        <v>103</v>
      </c>
      <c r="P1" s="13" t="s">
        <v>84</v>
      </c>
    </row>
    <row r="2">
      <c r="A2" s="14">
        <v>36528.0</v>
      </c>
      <c r="B2" s="15">
        <v>6.38</v>
      </c>
      <c r="C2" s="15"/>
      <c r="D2" s="15"/>
      <c r="E2" s="15"/>
      <c r="F2" s="15" t="str">
        <f t="shared" ref="F2:F6989" si="1">IF(OR(B2="",C2=""),"",C2-B2)</f>
        <v/>
      </c>
      <c r="G2" s="15" t="str">
        <f t="shared" ref="G2:G6989" si="2">IF(H2=1,IF(D2="","",D2),IF(C2="","",C2))</f>
        <v/>
      </c>
      <c r="H2" s="16">
        <v>1.0</v>
      </c>
      <c r="I2" s="15" t="str">
        <f t="shared" ref="I2:I6989" si="3">IF(OR(B2="",G2=""),"",G2-B2)</f>
        <v/>
      </c>
      <c r="J2" s="15">
        <v>24.21</v>
      </c>
      <c r="K2" s="16">
        <f>IF(COUNTIFS(Release_Calendar!$A$2:$A$755,"US_CPI",Release_Calendar!$B$2:$B$755,$A2)&gt;0,1,0)</f>
        <v>0</v>
      </c>
      <c r="L2" s="16">
        <f>IF(COUNTIFS(Release_Calendar!$A$2:$A$755,"US_NFP",Release_Calendar!$B$2:$B$755,$A2)&gt;0,1,0)</f>
        <v>0</v>
      </c>
      <c r="M2" s="16" t="str">
        <f>IF($A2&lt;Notes!$B$5,"",IF(COUNTIFS(Release_Calendar!$A$2:$A$755,"NZ_CPI",Release_Calendar!$B$2:$B$755,$A2)&gt;0,1,0))</f>
        <v/>
      </c>
      <c r="N2" s="16" t="str">
        <f>IF($A2&lt;Notes!$B$5,"",IF(COUNTIFS(Release_Calendar!$A$2:$A$755,"NZ_GDP",Release_Calendar!$B$2:$B$755,$A2)&gt;0,1,0))</f>
        <v/>
      </c>
      <c r="O2" s="16" t="str">
        <f>IF($A2&lt;Notes!$B$5,"",IF(COUNTIFS(Release_Calendar!$A$2:$A$755,"NZ_LABOUR",Release_Calendar!$B$2:$B$755,$A2)&gt;0,1,0))</f>
        <v/>
      </c>
      <c r="P2" s="16">
        <f t="shared" ref="P2:P6989" si="4">IF(SUM(K2:O2)&gt;0,1,0)</f>
        <v>0</v>
      </c>
    </row>
    <row r="3">
      <c r="A3" s="14">
        <v>36529.0</v>
      </c>
      <c r="B3" s="15">
        <v>6.3</v>
      </c>
      <c r="C3" s="15"/>
      <c r="D3" s="15"/>
      <c r="E3" s="15"/>
      <c r="F3" s="15" t="str">
        <f t="shared" si="1"/>
        <v/>
      </c>
      <c r="G3" s="15" t="str">
        <f t="shared" si="2"/>
        <v/>
      </c>
      <c r="H3" s="16">
        <v>1.0</v>
      </c>
      <c r="I3" s="15" t="str">
        <f t="shared" si="3"/>
        <v/>
      </c>
      <c r="J3" s="15">
        <v>27.01</v>
      </c>
      <c r="K3" s="16">
        <f>IF(COUNTIFS(Release_Calendar!$A$2:$A$755,"US_CPI",Release_Calendar!$B$2:$B$755,$A3)&gt;0,1,0)</f>
        <v>0</v>
      </c>
      <c r="L3" s="16">
        <f>IF(COUNTIFS(Release_Calendar!$A$2:$A$755,"US_NFP",Release_Calendar!$B$2:$B$755,$A3)&gt;0,1,0)</f>
        <v>0</v>
      </c>
      <c r="M3" s="16" t="str">
        <f>IF($A3&lt;Notes!$B$5,"",IF(COUNTIFS(Release_Calendar!$A$2:$A$755,"NZ_CPI",Release_Calendar!$B$2:$B$755,$A3)&gt;0,1,0))</f>
        <v/>
      </c>
      <c r="N3" s="16" t="str">
        <f>IF($A3&lt;Notes!$B$5,"",IF(COUNTIFS(Release_Calendar!$A$2:$A$755,"NZ_GDP",Release_Calendar!$B$2:$B$755,$A3)&gt;0,1,0))</f>
        <v/>
      </c>
      <c r="O3" s="16" t="str">
        <f>IF($A3&lt;Notes!$B$5,"",IF(COUNTIFS(Release_Calendar!$A$2:$A$755,"NZ_LABOUR",Release_Calendar!$B$2:$B$755,$A3)&gt;0,1,0))</f>
        <v/>
      </c>
      <c r="P3" s="16">
        <f t="shared" si="4"/>
        <v>0</v>
      </c>
    </row>
    <row r="4">
      <c r="A4" s="14">
        <v>36530.0</v>
      </c>
      <c r="B4" s="15">
        <v>6.38</v>
      </c>
      <c r="C4" s="15"/>
      <c r="D4" s="15">
        <v>6.69</v>
      </c>
      <c r="E4" s="15"/>
      <c r="F4" s="15" t="str">
        <f t="shared" si="1"/>
        <v/>
      </c>
      <c r="G4" s="15">
        <f t="shared" si="2"/>
        <v>6.69</v>
      </c>
      <c r="H4" s="16">
        <v>1.0</v>
      </c>
      <c r="I4" s="15">
        <f t="shared" si="3"/>
        <v>0.31</v>
      </c>
      <c r="J4" s="15">
        <v>26.41</v>
      </c>
      <c r="K4" s="16">
        <f>IF(COUNTIFS(Release_Calendar!$A$2:$A$755,"US_CPI",Release_Calendar!$B$2:$B$755,$A4)&gt;0,1,0)</f>
        <v>0</v>
      </c>
      <c r="L4" s="16">
        <f>IF(COUNTIFS(Release_Calendar!$A$2:$A$755,"US_NFP",Release_Calendar!$B$2:$B$755,$A4)&gt;0,1,0)</f>
        <v>0</v>
      </c>
      <c r="M4" s="16" t="str">
        <f>IF($A4&lt;Notes!$B$5,"",IF(COUNTIFS(Release_Calendar!$A$2:$A$755,"NZ_CPI",Release_Calendar!$B$2:$B$755,$A4)&gt;0,1,0))</f>
        <v/>
      </c>
      <c r="N4" s="16" t="str">
        <f>IF($A4&lt;Notes!$B$5,"",IF(COUNTIFS(Release_Calendar!$A$2:$A$755,"NZ_GDP",Release_Calendar!$B$2:$B$755,$A4)&gt;0,1,0))</f>
        <v/>
      </c>
      <c r="O4" s="16" t="str">
        <f>IF($A4&lt;Notes!$B$5,"",IF(COUNTIFS(Release_Calendar!$A$2:$A$755,"NZ_LABOUR",Release_Calendar!$B$2:$B$755,$A4)&gt;0,1,0))</f>
        <v/>
      </c>
      <c r="P4" s="16">
        <f t="shared" si="4"/>
        <v>0</v>
      </c>
    </row>
    <row r="5">
      <c r="A5" s="14">
        <v>36531.0</v>
      </c>
      <c r="B5" s="15">
        <v>6.35</v>
      </c>
      <c r="C5" s="15"/>
      <c r="D5" s="15">
        <v>6.76</v>
      </c>
      <c r="E5" s="15"/>
      <c r="F5" s="15" t="str">
        <f t="shared" si="1"/>
        <v/>
      </c>
      <c r="G5" s="15">
        <f t="shared" si="2"/>
        <v>6.76</v>
      </c>
      <c r="H5" s="16">
        <v>1.0</v>
      </c>
      <c r="I5" s="15">
        <f t="shared" si="3"/>
        <v>0.41</v>
      </c>
      <c r="J5" s="15">
        <v>25.73</v>
      </c>
      <c r="K5" s="16">
        <f>IF(COUNTIFS(Release_Calendar!$A$2:$A$755,"US_CPI",Release_Calendar!$B$2:$B$755,$A5)&gt;0,1,0)</f>
        <v>0</v>
      </c>
      <c r="L5" s="16">
        <f>IF(COUNTIFS(Release_Calendar!$A$2:$A$755,"US_NFP",Release_Calendar!$B$2:$B$755,$A5)&gt;0,1,0)</f>
        <v>0</v>
      </c>
      <c r="M5" s="16" t="str">
        <f>IF($A5&lt;Notes!$B$5,"",IF(COUNTIFS(Release_Calendar!$A$2:$A$755,"NZ_CPI",Release_Calendar!$B$2:$B$755,$A5)&gt;0,1,0))</f>
        <v/>
      </c>
      <c r="N5" s="16" t="str">
        <f>IF($A5&lt;Notes!$B$5,"",IF(COUNTIFS(Release_Calendar!$A$2:$A$755,"NZ_GDP",Release_Calendar!$B$2:$B$755,$A5)&gt;0,1,0))</f>
        <v/>
      </c>
      <c r="O5" s="16" t="str">
        <f>IF($A5&lt;Notes!$B$5,"",IF(COUNTIFS(Release_Calendar!$A$2:$A$755,"NZ_LABOUR",Release_Calendar!$B$2:$B$755,$A5)&gt;0,1,0))</f>
        <v/>
      </c>
      <c r="P5" s="16">
        <f t="shared" si="4"/>
        <v>0</v>
      </c>
    </row>
    <row r="6">
      <c r="A6" s="14">
        <v>36532.0</v>
      </c>
      <c r="B6" s="15">
        <v>6.31</v>
      </c>
      <c r="C6" s="15"/>
      <c r="D6" s="15">
        <v>6.78</v>
      </c>
      <c r="E6" s="15"/>
      <c r="F6" s="15" t="str">
        <f t="shared" si="1"/>
        <v/>
      </c>
      <c r="G6" s="15">
        <f t="shared" si="2"/>
        <v>6.78</v>
      </c>
      <c r="H6" s="16">
        <v>1.0</v>
      </c>
      <c r="I6" s="15">
        <f t="shared" si="3"/>
        <v>0.47</v>
      </c>
      <c r="J6" s="15">
        <v>21.72</v>
      </c>
      <c r="K6" s="16">
        <f>IF(COUNTIFS(Release_Calendar!$A$2:$A$755,"US_CPI",Release_Calendar!$B$2:$B$755,$A6)&gt;0,1,0)</f>
        <v>0</v>
      </c>
      <c r="L6" s="16">
        <f>IF(COUNTIFS(Release_Calendar!$A$2:$A$755,"US_NFP",Release_Calendar!$B$2:$B$755,$A6)&gt;0,1,0)</f>
        <v>1</v>
      </c>
      <c r="M6" s="16" t="str">
        <f>IF($A6&lt;Notes!$B$5,"",IF(COUNTIFS(Release_Calendar!$A$2:$A$755,"NZ_CPI",Release_Calendar!$B$2:$B$755,$A6)&gt;0,1,0))</f>
        <v/>
      </c>
      <c r="N6" s="16" t="str">
        <f>IF($A6&lt;Notes!$B$5,"",IF(COUNTIFS(Release_Calendar!$A$2:$A$755,"NZ_GDP",Release_Calendar!$B$2:$B$755,$A6)&gt;0,1,0))</f>
        <v/>
      </c>
      <c r="O6" s="16" t="str">
        <f>IF($A6&lt;Notes!$B$5,"",IF(COUNTIFS(Release_Calendar!$A$2:$A$755,"NZ_LABOUR",Release_Calendar!$B$2:$B$755,$A6)&gt;0,1,0))</f>
        <v/>
      </c>
      <c r="P6" s="16">
        <f t="shared" si="4"/>
        <v>1</v>
      </c>
    </row>
    <row r="7">
      <c r="A7" s="14">
        <v>36535.0</v>
      </c>
      <c r="B7" s="15">
        <v>6.38</v>
      </c>
      <c r="C7" s="15"/>
      <c r="D7" s="15">
        <v>6.76</v>
      </c>
      <c r="E7" s="15"/>
      <c r="F7" s="15" t="str">
        <f t="shared" si="1"/>
        <v/>
      </c>
      <c r="G7" s="15">
        <f t="shared" si="2"/>
        <v>6.76</v>
      </c>
      <c r="H7" s="16">
        <v>1.0</v>
      </c>
      <c r="I7" s="15">
        <f t="shared" si="3"/>
        <v>0.38</v>
      </c>
      <c r="J7" s="15">
        <v>21.71</v>
      </c>
      <c r="K7" s="16">
        <f>IF(COUNTIFS(Release_Calendar!$A$2:$A$755,"US_CPI",Release_Calendar!$B$2:$B$755,$A7)&gt;0,1,0)</f>
        <v>0</v>
      </c>
      <c r="L7" s="16">
        <f>IF(COUNTIFS(Release_Calendar!$A$2:$A$755,"US_NFP",Release_Calendar!$B$2:$B$755,$A7)&gt;0,1,0)</f>
        <v>0</v>
      </c>
      <c r="M7" s="16" t="str">
        <f>IF($A7&lt;Notes!$B$5,"",IF(COUNTIFS(Release_Calendar!$A$2:$A$755,"NZ_CPI",Release_Calendar!$B$2:$B$755,$A7)&gt;0,1,0))</f>
        <v/>
      </c>
      <c r="N7" s="16" t="str">
        <f>IF($A7&lt;Notes!$B$5,"",IF(COUNTIFS(Release_Calendar!$A$2:$A$755,"NZ_GDP",Release_Calendar!$B$2:$B$755,$A7)&gt;0,1,0))</f>
        <v/>
      </c>
      <c r="O7" s="16" t="str">
        <f>IF($A7&lt;Notes!$B$5,"",IF(COUNTIFS(Release_Calendar!$A$2:$A$755,"NZ_LABOUR",Release_Calendar!$B$2:$B$755,$A7)&gt;0,1,0))</f>
        <v/>
      </c>
      <c r="P7" s="16">
        <f t="shared" si="4"/>
        <v>0</v>
      </c>
    </row>
    <row r="8">
      <c r="A8" s="14">
        <v>36536.0</v>
      </c>
      <c r="B8" s="15">
        <v>6.45</v>
      </c>
      <c r="C8" s="15"/>
      <c r="D8" s="15">
        <v>6.76</v>
      </c>
      <c r="E8" s="15"/>
      <c r="F8" s="15" t="str">
        <f t="shared" si="1"/>
        <v/>
      </c>
      <c r="G8" s="15">
        <f t="shared" si="2"/>
        <v>6.76</v>
      </c>
      <c r="H8" s="16">
        <v>1.0</v>
      </c>
      <c r="I8" s="15">
        <f t="shared" si="3"/>
        <v>0.31</v>
      </c>
      <c r="J8" s="15">
        <v>22.5</v>
      </c>
      <c r="K8" s="16">
        <f>IF(COUNTIFS(Release_Calendar!$A$2:$A$755,"US_CPI",Release_Calendar!$B$2:$B$755,$A8)&gt;0,1,0)</f>
        <v>0</v>
      </c>
      <c r="L8" s="16">
        <f>IF(COUNTIFS(Release_Calendar!$A$2:$A$755,"US_NFP",Release_Calendar!$B$2:$B$755,$A8)&gt;0,1,0)</f>
        <v>0</v>
      </c>
      <c r="M8" s="16" t="str">
        <f>IF($A8&lt;Notes!$B$5,"",IF(COUNTIFS(Release_Calendar!$A$2:$A$755,"NZ_CPI",Release_Calendar!$B$2:$B$755,$A8)&gt;0,1,0))</f>
        <v/>
      </c>
      <c r="N8" s="16" t="str">
        <f>IF($A8&lt;Notes!$B$5,"",IF(COUNTIFS(Release_Calendar!$A$2:$A$755,"NZ_GDP",Release_Calendar!$B$2:$B$755,$A8)&gt;0,1,0))</f>
        <v/>
      </c>
      <c r="O8" s="16" t="str">
        <f>IF($A8&lt;Notes!$B$5,"",IF(COUNTIFS(Release_Calendar!$A$2:$A$755,"NZ_LABOUR",Release_Calendar!$B$2:$B$755,$A8)&gt;0,1,0))</f>
        <v/>
      </c>
      <c r="P8" s="16">
        <f t="shared" si="4"/>
        <v>0</v>
      </c>
    </row>
    <row r="9">
      <c r="A9" s="14">
        <v>36537.0</v>
      </c>
      <c r="B9" s="15">
        <v>6.49</v>
      </c>
      <c r="C9" s="15"/>
      <c r="D9" s="15">
        <v>6.88</v>
      </c>
      <c r="E9" s="15"/>
      <c r="F9" s="15" t="str">
        <f t="shared" si="1"/>
        <v/>
      </c>
      <c r="G9" s="15">
        <f t="shared" si="2"/>
        <v>6.88</v>
      </c>
      <c r="H9" s="16">
        <v>1.0</v>
      </c>
      <c r="I9" s="15">
        <f t="shared" si="3"/>
        <v>0.39</v>
      </c>
      <c r="J9" s="15">
        <v>22.84</v>
      </c>
      <c r="K9" s="16">
        <f>IF(COUNTIFS(Release_Calendar!$A$2:$A$755,"US_CPI",Release_Calendar!$B$2:$B$755,$A9)&gt;0,1,0)</f>
        <v>0</v>
      </c>
      <c r="L9" s="16">
        <f>IF(COUNTIFS(Release_Calendar!$A$2:$A$755,"US_NFP",Release_Calendar!$B$2:$B$755,$A9)&gt;0,1,0)</f>
        <v>0</v>
      </c>
      <c r="M9" s="16" t="str">
        <f>IF($A9&lt;Notes!$B$5,"",IF(COUNTIFS(Release_Calendar!$A$2:$A$755,"NZ_CPI",Release_Calendar!$B$2:$B$755,$A9)&gt;0,1,0))</f>
        <v/>
      </c>
      <c r="N9" s="16" t="str">
        <f>IF($A9&lt;Notes!$B$5,"",IF(COUNTIFS(Release_Calendar!$A$2:$A$755,"NZ_GDP",Release_Calendar!$B$2:$B$755,$A9)&gt;0,1,0))</f>
        <v/>
      </c>
      <c r="O9" s="16" t="str">
        <f>IF($A9&lt;Notes!$B$5,"",IF(COUNTIFS(Release_Calendar!$A$2:$A$755,"NZ_LABOUR",Release_Calendar!$B$2:$B$755,$A9)&gt;0,1,0))</f>
        <v/>
      </c>
      <c r="P9" s="16">
        <f t="shared" si="4"/>
        <v>0</v>
      </c>
    </row>
    <row r="10">
      <c r="A10" s="14">
        <v>36538.0</v>
      </c>
      <c r="B10" s="15">
        <v>6.4</v>
      </c>
      <c r="C10" s="15"/>
      <c r="D10" s="15">
        <v>6.88</v>
      </c>
      <c r="E10" s="15"/>
      <c r="F10" s="15" t="str">
        <f t="shared" si="1"/>
        <v/>
      </c>
      <c r="G10" s="15">
        <f t="shared" si="2"/>
        <v>6.88</v>
      </c>
      <c r="H10" s="16">
        <v>1.0</v>
      </c>
      <c r="I10" s="15">
        <f t="shared" si="3"/>
        <v>0.48</v>
      </c>
      <c r="J10" s="15">
        <v>21.71</v>
      </c>
      <c r="K10" s="16">
        <f>IF(COUNTIFS(Release_Calendar!$A$2:$A$755,"US_CPI",Release_Calendar!$B$2:$B$755,$A10)&gt;0,1,0)</f>
        <v>0</v>
      </c>
      <c r="L10" s="16">
        <f>IF(COUNTIFS(Release_Calendar!$A$2:$A$755,"US_NFP",Release_Calendar!$B$2:$B$755,$A10)&gt;0,1,0)</f>
        <v>0</v>
      </c>
      <c r="M10" s="16" t="str">
        <f>IF($A10&lt;Notes!$B$5,"",IF(COUNTIFS(Release_Calendar!$A$2:$A$755,"NZ_CPI",Release_Calendar!$B$2:$B$755,$A10)&gt;0,1,0))</f>
        <v/>
      </c>
      <c r="N10" s="16" t="str">
        <f>IF($A10&lt;Notes!$B$5,"",IF(COUNTIFS(Release_Calendar!$A$2:$A$755,"NZ_GDP",Release_Calendar!$B$2:$B$755,$A10)&gt;0,1,0))</f>
        <v/>
      </c>
      <c r="O10" s="16" t="str">
        <f>IF($A10&lt;Notes!$B$5,"",IF(COUNTIFS(Release_Calendar!$A$2:$A$755,"NZ_LABOUR",Release_Calendar!$B$2:$B$755,$A10)&gt;0,1,0))</f>
        <v/>
      </c>
      <c r="P10" s="16">
        <f t="shared" si="4"/>
        <v>0</v>
      </c>
    </row>
    <row r="11">
      <c r="A11" s="14">
        <v>36539.0</v>
      </c>
      <c r="B11" s="15">
        <v>6.44</v>
      </c>
      <c r="C11" s="15"/>
      <c r="D11" s="15">
        <v>6.82</v>
      </c>
      <c r="E11" s="15"/>
      <c r="F11" s="15" t="str">
        <f t="shared" si="1"/>
        <v/>
      </c>
      <c r="G11" s="15">
        <f t="shared" si="2"/>
        <v>6.82</v>
      </c>
      <c r="H11" s="16">
        <v>1.0</v>
      </c>
      <c r="I11" s="15">
        <f t="shared" si="3"/>
        <v>0.38</v>
      </c>
      <c r="J11" s="15">
        <v>19.66</v>
      </c>
      <c r="K11" s="16">
        <f>IF(COUNTIFS(Release_Calendar!$A$2:$A$755,"US_CPI",Release_Calendar!$B$2:$B$755,$A11)&gt;0,1,0)</f>
        <v>1</v>
      </c>
      <c r="L11" s="16">
        <f>IF(COUNTIFS(Release_Calendar!$A$2:$A$755,"US_NFP",Release_Calendar!$B$2:$B$755,$A11)&gt;0,1,0)</f>
        <v>0</v>
      </c>
      <c r="M11" s="16" t="str">
        <f>IF($A11&lt;Notes!$B$5,"",IF(COUNTIFS(Release_Calendar!$A$2:$A$755,"NZ_CPI",Release_Calendar!$B$2:$B$755,$A11)&gt;0,1,0))</f>
        <v/>
      </c>
      <c r="N11" s="16" t="str">
        <f>IF($A11&lt;Notes!$B$5,"",IF(COUNTIFS(Release_Calendar!$A$2:$A$755,"NZ_GDP",Release_Calendar!$B$2:$B$755,$A11)&gt;0,1,0))</f>
        <v/>
      </c>
      <c r="O11" s="16" t="str">
        <f>IF($A11&lt;Notes!$B$5,"",IF(COUNTIFS(Release_Calendar!$A$2:$A$755,"NZ_LABOUR",Release_Calendar!$B$2:$B$755,$A11)&gt;0,1,0))</f>
        <v/>
      </c>
      <c r="P11" s="16">
        <f t="shared" si="4"/>
        <v>1</v>
      </c>
    </row>
    <row r="12">
      <c r="A12" s="14">
        <v>36542.0</v>
      </c>
      <c r="B12" s="15"/>
      <c r="C12" s="15"/>
      <c r="D12" s="15">
        <v>6.86</v>
      </c>
      <c r="E12" s="15"/>
      <c r="F12" s="15" t="str">
        <f t="shared" si="1"/>
        <v/>
      </c>
      <c r="G12" s="15">
        <f t="shared" si="2"/>
        <v>6.86</v>
      </c>
      <c r="H12" s="16">
        <v>1.0</v>
      </c>
      <c r="I12" s="15" t="str">
        <f t="shared" si="3"/>
        <v/>
      </c>
      <c r="J12" s="15"/>
      <c r="K12" s="16">
        <f>IF(COUNTIFS(Release_Calendar!$A$2:$A$755,"US_CPI",Release_Calendar!$B$2:$B$755,$A12)&gt;0,1,0)</f>
        <v>0</v>
      </c>
      <c r="L12" s="16">
        <f>IF(COUNTIFS(Release_Calendar!$A$2:$A$755,"US_NFP",Release_Calendar!$B$2:$B$755,$A12)&gt;0,1,0)</f>
        <v>0</v>
      </c>
      <c r="M12" s="16" t="str">
        <f>IF($A12&lt;Notes!$B$5,"",IF(COUNTIFS(Release_Calendar!$A$2:$A$755,"NZ_CPI",Release_Calendar!$B$2:$B$755,$A12)&gt;0,1,0))</f>
        <v/>
      </c>
      <c r="N12" s="16" t="str">
        <f>IF($A12&lt;Notes!$B$5,"",IF(COUNTIFS(Release_Calendar!$A$2:$A$755,"NZ_GDP",Release_Calendar!$B$2:$B$755,$A12)&gt;0,1,0))</f>
        <v/>
      </c>
      <c r="O12" s="16" t="str">
        <f>IF($A12&lt;Notes!$B$5,"",IF(COUNTIFS(Release_Calendar!$A$2:$A$755,"NZ_LABOUR",Release_Calendar!$B$2:$B$755,$A12)&gt;0,1,0))</f>
        <v/>
      </c>
      <c r="P12" s="16">
        <f t="shared" si="4"/>
        <v>0</v>
      </c>
    </row>
    <row r="13">
      <c r="A13" s="14">
        <v>36543.0</v>
      </c>
      <c r="B13" s="15">
        <v>6.47</v>
      </c>
      <c r="C13" s="15"/>
      <c r="D13" s="15">
        <v>6.89</v>
      </c>
      <c r="E13" s="15"/>
      <c r="F13" s="15" t="str">
        <f t="shared" si="1"/>
        <v/>
      </c>
      <c r="G13" s="15">
        <f t="shared" si="2"/>
        <v>6.89</v>
      </c>
      <c r="H13" s="16">
        <v>1.0</v>
      </c>
      <c r="I13" s="15">
        <f t="shared" si="3"/>
        <v>0.42</v>
      </c>
      <c r="J13" s="15">
        <v>21.5</v>
      </c>
      <c r="K13" s="16">
        <f>IF(COUNTIFS(Release_Calendar!$A$2:$A$755,"US_CPI",Release_Calendar!$B$2:$B$755,$A13)&gt;0,1,0)</f>
        <v>0</v>
      </c>
      <c r="L13" s="16">
        <f>IF(COUNTIFS(Release_Calendar!$A$2:$A$755,"US_NFP",Release_Calendar!$B$2:$B$755,$A13)&gt;0,1,0)</f>
        <v>0</v>
      </c>
      <c r="M13" s="16" t="str">
        <f>IF($A13&lt;Notes!$B$5,"",IF(COUNTIFS(Release_Calendar!$A$2:$A$755,"NZ_CPI",Release_Calendar!$B$2:$B$755,$A13)&gt;0,1,0))</f>
        <v/>
      </c>
      <c r="N13" s="16" t="str">
        <f>IF($A13&lt;Notes!$B$5,"",IF(COUNTIFS(Release_Calendar!$A$2:$A$755,"NZ_GDP",Release_Calendar!$B$2:$B$755,$A13)&gt;0,1,0))</f>
        <v/>
      </c>
      <c r="O13" s="16" t="str">
        <f>IF($A13&lt;Notes!$B$5,"",IF(COUNTIFS(Release_Calendar!$A$2:$A$755,"NZ_LABOUR",Release_Calendar!$B$2:$B$755,$A13)&gt;0,1,0))</f>
        <v/>
      </c>
      <c r="P13" s="16">
        <f t="shared" si="4"/>
        <v>0</v>
      </c>
    </row>
    <row r="14">
      <c r="A14" s="14">
        <v>36544.0</v>
      </c>
      <c r="B14" s="15">
        <v>6.46</v>
      </c>
      <c r="C14" s="15"/>
      <c r="D14" s="15">
        <v>7.02</v>
      </c>
      <c r="E14" s="15"/>
      <c r="F14" s="15" t="str">
        <f t="shared" si="1"/>
        <v/>
      </c>
      <c r="G14" s="15">
        <f t="shared" si="2"/>
        <v>7.02</v>
      </c>
      <c r="H14" s="16">
        <v>1.0</v>
      </c>
      <c r="I14" s="15">
        <f t="shared" si="3"/>
        <v>0.56</v>
      </c>
      <c r="J14" s="15">
        <v>21.72</v>
      </c>
      <c r="K14" s="16">
        <f>IF(COUNTIFS(Release_Calendar!$A$2:$A$755,"US_CPI",Release_Calendar!$B$2:$B$755,$A14)&gt;0,1,0)</f>
        <v>0</v>
      </c>
      <c r="L14" s="16">
        <f>IF(COUNTIFS(Release_Calendar!$A$2:$A$755,"US_NFP",Release_Calendar!$B$2:$B$755,$A14)&gt;0,1,0)</f>
        <v>0</v>
      </c>
      <c r="M14" s="16" t="str">
        <f>IF($A14&lt;Notes!$B$5,"",IF(COUNTIFS(Release_Calendar!$A$2:$A$755,"NZ_CPI",Release_Calendar!$B$2:$B$755,$A14)&gt;0,1,0))</f>
        <v/>
      </c>
      <c r="N14" s="16" t="str">
        <f>IF($A14&lt;Notes!$B$5,"",IF(COUNTIFS(Release_Calendar!$A$2:$A$755,"NZ_GDP",Release_Calendar!$B$2:$B$755,$A14)&gt;0,1,0))</f>
        <v/>
      </c>
      <c r="O14" s="16" t="str">
        <f>IF($A14&lt;Notes!$B$5,"",IF(COUNTIFS(Release_Calendar!$A$2:$A$755,"NZ_LABOUR",Release_Calendar!$B$2:$B$755,$A14)&gt;0,1,0))</f>
        <v/>
      </c>
      <c r="P14" s="16">
        <f t="shared" si="4"/>
        <v>0</v>
      </c>
    </row>
    <row r="15">
      <c r="A15" s="14">
        <v>36545.0</v>
      </c>
      <c r="B15" s="15">
        <v>6.49</v>
      </c>
      <c r="C15" s="15"/>
      <c r="D15" s="15">
        <v>6.95</v>
      </c>
      <c r="E15" s="15"/>
      <c r="F15" s="15" t="str">
        <f t="shared" si="1"/>
        <v/>
      </c>
      <c r="G15" s="15">
        <f t="shared" si="2"/>
        <v>6.95</v>
      </c>
      <c r="H15" s="16">
        <v>1.0</v>
      </c>
      <c r="I15" s="15">
        <f t="shared" si="3"/>
        <v>0.46</v>
      </c>
      <c r="J15" s="15">
        <v>21.75</v>
      </c>
      <c r="K15" s="16">
        <f>IF(COUNTIFS(Release_Calendar!$A$2:$A$755,"US_CPI",Release_Calendar!$B$2:$B$755,$A15)&gt;0,1,0)</f>
        <v>0</v>
      </c>
      <c r="L15" s="16">
        <f>IF(COUNTIFS(Release_Calendar!$A$2:$A$755,"US_NFP",Release_Calendar!$B$2:$B$755,$A15)&gt;0,1,0)</f>
        <v>0</v>
      </c>
      <c r="M15" s="16" t="str">
        <f>IF($A15&lt;Notes!$B$5,"",IF(COUNTIFS(Release_Calendar!$A$2:$A$755,"NZ_CPI",Release_Calendar!$B$2:$B$755,$A15)&gt;0,1,0))</f>
        <v/>
      </c>
      <c r="N15" s="16" t="str">
        <f>IF($A15&lt;Notes!$B$5,"",IF(COUNTIFS(Release_Calendar!$A$2:$A$755,"NZ_GDP",Release_Calendar!$B$2:$B$755,$A15)&gt;0,1,0))</f>
        <v/>
      </c>
      <c r="O15" s="16" t="str">
        <f>IF($A15&lt;Notes!$B$5,"",IF(COUNTIFS(Release_Calendar!$A$2:$A$755,"NZ_LABOUR",Release_Calendar!$B$2:$B$755,$A15)&gt;0,1,0))</f>
        <v/>
      </c>
      <c r="P15" s="16">
        <f t="shared" si="4"/>
        <v>0</v>
      </c>
    </row>
    <row r="16">
      <c r="A16" s="14">
        <v>36546.0</v>
      </c>
      <c r="B16" s="15">
        <v>6.48</v>
      </c>
      <c r="C16" s="15"/>
      <c r="D16" s="15">
        <v>6.96</v>
      </c>
      <c r="E16" s="15"/>
      <c r="F16" s="15" t="str">
        <f t="shared" si="1"/>
        <v/>
      </c>
      <c r="G16" s="15">
        <f t="shared" si="2"/>
        <v>6.96</v>
      </c>
      <c r="H16" s="16">
        <v>1.0</v>
      </c>
      <c r="I16" s="15">
        <f t="shared" si="3"/>
        <v>0.48</v>
      </c>
      <c r="J16" s="15">
        <v>20.82</v>
      </c>
      <c r="K16" s="16">
        <f>IF(COUNTIFS(Release_Calendar!$A$2:$A$755,"US_CPI",Release_Calendar!$B$2:$B$755,$A16)&gt;0,1,0)</f>
        <v>0</v>
      </c>
      <c r="L16" s="16">
        <f>IF(COUNTIFS(Release_Calendar!$A$2:$A$755,"US_NFP",Release_Calendar!$B$2:$B$755,$A16)&gt;0,1,0)</f>
        <v>0</v>
      </c>
      <c r="M16" s="16" t="str">
        <f>IF($A16&lt;Notes!$B$5,"",IF(COUNTIFS(Release_Calendar!$A$2:$A$755,"NZ_CPI",Release_Calendar!$B$2:$B$755,$A16)&gt;0,1,0))</f>
        <v/>
      </c>
      <c r="N16" s="16" t="str">
        <f>IF($A16&lt;Notes!$B$5,"",IF(COUNTIFS(Release_Calendar!$A$2:$A$755,"NZ_GDP",Release_Calendar!$B$2:$B$755,$A16)&gt;0,1,0))</f>
        <v/>
      </c>
      <c r="O16" s="16" t="str">
        <f>IF($A16&lt;Notes!$B$5,"",IF(COUNTIFS(Release_Calendar!$A$2:$A$755,"NZ_LABOUR",Release_Calendar!$B$2:$B$755,$A16)&gt;0,1,0))</f>
        <v/>
      </c>
      <c r="P16" s="16">
        <f t="shared" si="4"/>
        <v>0</v>
      </c>
    </row>
    <row r="17">
      <c r="A17" s="14">
        <v>36549.0</v>
      </c>
      <c r="B17" s="15">
        <v>6.43</v>
      </c>
      <c r="C17" s="15"/>
      <c r="D17" s="15">
        <v>6.96</v>
      </c>
      <c r="E17" s="15"/>
      <c r="F17" s="15" t="str">
        <f t="shared" si="1"/>
        <v/>
      </c>
      <c r="G17" s="15">
        <f t="shared" si="2"/>
        <v>6.96</v>
      </c>
      <c r="H17" s="16">
        <v>1.0</v>
      </c>
      <c r="I17" s="15">
        <f t="shared" si="3"/>
        <v>0.53</v>
      </c>
      <c r="J17" s="15">
        <v>24.07</v>
      </c>
      <c r="K17" s="16">
        <f>IF(COUNTIFS(Release_Calendar!$A$2:$A$755,"US_CPI",Release_Calendar!$B$2:$B$755,$A17)&gt;0,1,0)</f>
        <v>0</v>
      </c>
      <c r="L17" s="16">
        <f>IF(COUNTIFS(Release_Calendar!$A$2:$A$755,"US_NFP",Release_Calendar!$B$2:$B$755,$A17)&gt;0,1,0)</f>
        <v>0</v>
      </c>
      <c r="M17" s="16" t="str">
        <f>IF($A17&lt;Notes!$B$5,"",IF(COUNTIFS(Release_Calendar!$A$2:$A$755,"NZ_CPI",Release_Calendar!$B$2:$B$755,$A17)&gt;0,1,0))</f>
        <v/>
      </c>
      <c r="N17" s="16" t="str">
        <f>IF($A17&lt;Notes!$B$5,"",IF(COUNTIFS(Release_Calendar!$A$2:$A$755,"NZ_GDP",Release_Calendar!$B$2:$B$755,$A17)&gt;0,1,0))</f>
        <v/>
      </c>
      <c r="O17" s="16" t="str">
        <f>IF($A17&lt;Notes!$B$5,"",IF(COUNTIFS(Release_Calendar!$A$2:$A$755,"NZ_LABOUR",Release_Calendar!$B$2:$B$755,$A17)&gt;0,1,0))</f>
        <v/>
      </c>
      <c r="P17" s="16">
        <f t="shared" si="4"/>
        <v>0</v>
      </c>
    </row>
    <row r="18">
      <c r="A18" s="14">
        <v>36550.0</v>
      </c>
      <c r="B18" s="15">
        <v>6.44</v>
      </c>
      <c r="C18" s="15"/>
      <c r="D18" s="15">
        <v>6.96</v>
      </c>
      <c r="E18" s="15"/>
      <c r="F18" s="15" t="str">
        <f t="shared" si="1"/>
        <v/>
      </c>
      <c r="G18" s="15">
        <f t="shared" si="2"/>
        <v>6.96</v>
      </c>
      <c r="H18" s="16">
        <v>1.0</v>
      </c>
      <c r="I18" s="15">
        <f t="shared" si="3"/>
        <v>0.52</v>
      </c>
      <c r="J18" s="15">
        <v>23.02</v>
      </c>
      <c r="K18" s="16">
        <f>IF(COUNTIFS(Release_Calendar!$A$2:$A$755,"US_CPI",Release_Calendar!$B$2:$B$755,$A18)&gt;0,1,0)</f>
        <v>0</v>
      </c>
      <c r="L18" s="16">
        <f>IF(COUNTIFS(Release_Calendar!$A$2:$A$755,"US_NFP",Release_Calendar!$B$2:$B$755,$A18)&gt;0,1,0)</f>
        <v>0</v>
      </c>
      <c r="M18" s="16" t="str">
        <f>IF($A18&lt;Notes!$B$5,"",IF(COUNTIFS(Release_Calendar!$A$2:$A$755,"NZ_CPI",Release_Calendar!$B$2:$B$755,$A18)&gt;0,1,0))</f>
        <v/>
      </c>
      <c r="N18" s="16" t="str">
        <f>IF($A18&lt;Notes!$B$5,"",IF(COUNTIFS(Release_Calendar!$A$2:$A$755,"NZ_GDP",Release_Calendar!$B$2:$B$755,$A18)&gt;0,1,0))</f>
        <v/>
      </c>
      <c r="O18" s="16" t="str">
        <f>IF($A18&lt;Notes!$B$5,"",IF(COUNTIFS(Release_Calendar!$A$2:$A$755,"NZ_LABOUR",Release_Calendar!$B$2:$B$755,$A18)&gt;0,1,0))</f>
        <v/>
      </c>
      <c r="P18" s="16">
        <f t="shared" si="4"/>
        <v>0</v>
      </c>
    </row>
    <row r="19">
      <c r="A19" s="14">
        <v>36551.0</v>
      </c>
      <c r="B19" s="15">
        <v>6.45</v>
      </c>
      <c r="C19" s="15"/>
      <c r="D19" s="15">
        <v>6.95</v>
      </c>
      <c r="E19" s="15"/>
      <c r="F19" s="15" t="str">
        <f t="shared" si="1"/>
        <v/>
      </c>
      <c r="G19" s="15">
        <f t="shared" si="2"/>
        <v>6.95</v>
      </c>
      <c r="H19" s="16">
        <v>1.0</v>
      </c>
      <c r="I19" s="15">
        <f t="shared" si="3"/>
        <v>0.5</v>
      </c>
      <c r="J19" s="15">
        <v>23.03</v>
      </c>
      <c r="K19" s="16">
        <f>IF(COUNTIFS(Release_Calendar!$A$2:$A$755,"US_CPI",Release_Calendar!$B$2:$B$755,$A19)&gt;0,1,0)</f>
        <v>0</v>
      </c>
      <c r="L19" s="16">
        <f>IF(COUNTIFS(Release_Calendar!$A$2:$A$755,"US_NFP",Release_Calendar!$B$2:$B$755,$A19)&gt;0,1,0)</f>
        <v>0</v>
      </c>
      <c r="M19" s="16" t="str">
        <f>IF($A19&lt;Notes!$B$5,"",IF(COUNTIFS(Release_Calendar!$A$2:$A$755,"NZ_CPI",Release_Calendar!$B$2:$B$755,$A19)&gt;0,1,0))</f>
        <v/>
      </c>
      <c r="N19" s="16" t="str">
        <f>IF($A19&lt;Notes!$B$5,"",IF(COUNTIFS(Release_Calendar!$A$2:$A$755,"NZ_GDP",Release_Calendar!$B$2:$B$755,$A19)&gt;0,1,0))</f>
        <v/>
      </c>
      <c r="O19" s="16" t="str">
        <f>IF($A19&lt;Notes!$B$5,"",IF(COUNTIFS(Release_Calendar!$A$2:$A$755,"NZ_LABOUR",Release_Calendar!$B$2:$B$755,$A19)&gt;0,1,0))</f>
        <v/>
      </c>
      <c r="P19" s="16">
        <f t="shared" si="4"/>
        <v>0</v>
      </c>
    </row>
    <row r="20">
      <c r="A20" s="14">
        <v>36552.0</v>
      </c>
      <c r="B20" s="15">
        <v>6.51</v>
      </c>
      <c r="C20" s="15"/>
      <c r="D20" s="15">
        <v>6.91</v>
      </c>
      <c r="E20" s="15"/>
      <c r="F20" s="15" t="str">
        <f t="shared" si="1"/>
        <v/>
      </c>
      <c r="G20" s="15">
        <f t="shared" si="2"/>
        <v>6.91</v>
      </c>
      <c r="H20" s="16">
        <v>1.0</v>
      </c>
      <c r="I20" s="15">
        <f t="shared" si="3"/>
        <v>0.4</v>
      </c>
      <c r="J20" s="15">
        <v>23.54</v>
      </c>
      <c r="K20" s="16">
        <f>IF(COUNTIFS(Release_Calendar!$A$2:$A$755,"US_CPI",Release_Calendar!$B$2:$B$755,$A20)&gt;0,1,0)</f>
        <v>0</v>
      </c>
      <c r="L20" s="16">
        <f>IF(COUNTIFS(Release_Calendar!$A$2:$A$755,"US_NFP",Release_Calendar!$B$2:$B$755,$A20)&gt;0,1,0)</f>
        <v>0</v>
      </c>
      <c r="M20" s="16" t="str">
        <f>IF($A20&lt;Notes!$B$5,"",IF(COUNTIFS(Release_Calendar!$A$2:$A$755,"NZ_CPI",Release_Calendar!$B$2:$B$755,$A20)&gt;0,1,0))</f>
        <v/>
      </c>
      <c r="N20" s="16" t="str">
        <f>IF($A20&lt;Notes!$B$5,"",IF(COUNTIFS(Release_Calendar!$A$2:$A$755,"NZ_GDP",Release_Calendar!$B$2:$B$755,$A20)&gt;0,1,0))</f>
        <v/>
      </c>
      <c r="O20" s="16" t="str">
        <f>IF($A20&lt;Notes!$B$5,"",IF(COUNTIFS(Release_Calendar!$A$2:$A$755,"NZ_LABOUR",Release_Calendar!$B$2:$B$755,$A20)&gt;0,1,0))</f>
        <v/>
      </c>
      <c r="P20" s="16">
        <f t="shared" si="4"/>
        <v>0</v>
      </c>
    </row>
    <row r="21" ht="15.75" customHeight="1">
      <c r="A21" s="14">
        <v>36553.0</v>
      </c>
      <c r="B21" s="15">
        <v>6.58</v>
      </c>
      <c r="C21" s="15"/>
      <c r="D21" s="15">
        <v>6.92</v>
      </c>
      <c r="E21" s="15"/>
      <c r="F21" s="15" t="str">
        <f t="shared" si="1"/>
        <v/>
      </c>
      <c r="G21" s="15">
        <f t="shared" si="2"/>
        <v>6.92</v>
      </c>
      <c r="H21" s="16">
        <v>1.0</v>
      </c>
      <c r="I21" s="15">
        <f t="shared" si="3"/>
        <v>0.34</v>
      </c>
      <c r="J21" s="15">
        <v>26.14</v>
      </c>
      <c r="K21" s="16">
        <f>IF(COUNTIFS(Release_Calendar!$A$2:$A$755,"US_CPI",Release_Calendar!$B$2:$B$755,$A21)&gt;0,1,0)</f>
        <v>0</v>
      </c>
      <c r="L21" s="16">
        <f>IF(COUNTIFS(Release_Calendar!$A$2:$A$755,"US_NFP",Release_Calendar!$B$2:$B$755,$A21)&gt;0,1,0)</f>
        <v>0</v>
      </c>
      <c r="M21" s="16" t="str">
        <f>IF($A21&lt;Notes!$B$5,"",IF(COUNTIFS(Release_Calendar!$A$2:$A$755,"NZ_CPI",Release_Calendar!$B$2:$B$755,$A21)&gt;0,1,0))</f>
        <v/>
      </c>
      <c r="N21" s="16" t="str">
        <f>IF($A21&lt;Notes!$B$5,"",IF(COUNTIFS(Release_Calendar!$A$2:$A$755,"NZ_GDP",Release_Calendar!$B$2:$B$755,$A21)&gt;0,1,0))</f>
        <v/>
      </c>
      <c r="O21" s="16" t="str">
        <f>IF($A21&lt;Notes!$B$5,"",IF(COUNTIFS(Release_Calendar!$A$2:$A$755,"NZ_LABOUR",Release_Calendar!$B$2:$B$755,$A21)&gt;0,1,0))</f>
        <v/>
      </c>
      <c r="P21" s="16">
        <f t="shared" si="4"/>
        <v>0</v>
      </c>
    </row>
    <row r="22" ht="15.75" customHeight="1">
      <c r="A22" s="14">
        <v>36556.0</v>
      </c>
      <c r="B22" s="15">
        <v>6.61</v>
      </c>
      <c r="C22" s="15"/>
      <c r="D22" s="15">
        <v>7.0</v>
      </c>
      <c r="E22" s="15"/>
      <c r="F22" s="15" t="str">
        <f t="shared" si="1"/>
        <v/>
      </c>
      <c r="G22" s="15">
        <f t="shared" si="2"/>
        <v>7</v>
      </c>
      <c r="H22" s="16">
        <v>1.0</v>
      </c>
      <c r="I22" s="15">
        <f t="shared" si="3"/>
        <v>0.39</v>
      </c>
      <c r="J22" s="15">
        <v>24.95</v>
      </c>
      <c r="K22" s="16">
        <f>IF(COUNTIFS(Release_Calendar!$A$2:$A$755,"US_CPI",Release_Calendar!$B$2:$B$755,$A22)&gt;0,1,0)</f>
        <v>0</v>
      </c>
      <c r="L22" s="16">
        <f>IF(COUNTIFS(Release_Calendar!$A$2:$A$755,"US_NFP",Release_Calendar!$B$2:$B$755,$A22)&gt;0,1,0)</f>
        <v>0</v>
      </c>
      <c r="M22" s="16" t="str">
        <f>IF($A22&lt;Notes!$B$5,"",IF(COUNTIFS(Release_Calendar!$A$2:$A$755,"NZ_CPI",Release_Calendar!$B$2:$B$755,$A22)&gt;0,1,0))</f>
        <v/>
      </c>
      <c r="N22" s="16" t="str">
        <f>IF($A22&lt;Notes!$B$5,"",IF(COUNTIFS(Release_Calendar!$A$2:$A$755,"NZ_GDP",Release_Calendar!$B$2:$B$755,$A22)&gt;0,1,0))</f>
        <v/>
      </c>
      <c r="O22" s="16" t="str">
        <f>IF($A22&lt;Notes!$B$5,"",IF(COUNTIFS(Release_Calendar!$A$2:$A$755,"NZ_LABOUR",Release_Calendar!$B$2:$B$755,$A22)&gt;0,1,0))</f>
        <v/>
      </c>
      <c r="P22" s="16">
        <f t="shared" si="4"/>
        <v>0</v>
      </c>
    </row>
    <row r="23" ht="15.75" customHeight="1">
      <c r="A23" s="14">
        <v>36557.0</v>
      </c>
      <c r="B23" s="15">
        <v>6.6</v>
      </c>
      <c r="C23" s="15"/>
      <c r="D23" s="15">
        <v>7.01</v>
      </c>
      <c r="E23" s="15"/>
      <c r="F23" s="15" t="str">
        <f t="shared" si="1"/>
        <v/>
      </c>
      <c r="G23" s="15">
        <f t="shared" si="2"/>
        <v>7.01</v>
      </c>
      <c r="H23" s="16">
        <v>1.0</v>
      </c>
      <c r="I23" s="15">
        <f t="shared" si="3"/>
        <v>0.41</v>
      </c>
      <c r="J23" s="15">
        <v>23.45</v>
      </c>
      <c r="K23" s="16">
        <f>IF(COUNTIFS(Release_Calendar!$A$2:$A$755,"US_CPI",Release_Calendar!$B$2:$B$755,$A23)&gt;0,1,0)</f>
        <v>0</v>
      </c>
      <c r="L23" s="16">
        <f>IF(COUNTIFS(Release_Calendar!$A$2:$A$755,"US_NFP",Release_Calendar!$B$2:$B$755,$A23)&gt;0,1,0)</f>
        <v>0</v>
      </c>
      <c r="M23" s="16" t="str">
        <f>IF($A23&lt;Notes!$B$5,"",IF(COUNTIFS(Release_Calendar!$A$2:$A$755,"NZ_CPI",Release_Calendar!$B$2:$B$755,$A23)&gt;0,1,0))</f>
        <v/>
      </c>
      <c r="N23" s="16" t="str">
        <f>IF($A23&lt;Notes!$B$5,"",IF(COUNTIFS(Release_Calendar!$A$2:$A$755,"NZ_GDP",Release_Calendar!$B$2:$B$755,$A23)&gt;0,1,0))</f>
        <v/>
      </c>
      <c r="O23" s="16" t="str">
        <f>IF($A23&lt;Notes!$B$5,"",IF(COUNTIFS(Release_Calendar!$A$2:$A$755,"NZ_LABOUR",Release_Calendar!$B$2:$B$755,$A23)&gt;0,1,0))</f>
        <v/>
      </c>
      <c r="P23" s="16">
        <f t="shared" si="4"/>
        <v>0</v>
      </c>
    </row>
    <row r="24" ht="15.75" customHeight="1">
      <c r="A24" s="14">
        <v>36558.0</v>
      </c>
      <c r="B24" s="15">
        <v>6.63</v>
      </c>
      <c r="C24" s="15"/>
      <c r="D24" s="15">
        <v>7.0</v>
      </c>
      <c r="E24" s="15"/>
      <c r="F24" s="15" t="str">
        <f t="shared" si="1"/>
        <v/>
      </c>
      <c r="G24" s="15">
        <f t="shared" si="2"/>
        <v>7</v>
      </c>
      <c r="H24" s="16">
        <v>1.0</v>
      </c>
      <c r="I24" s="15">
        <f t="shared" si="3"/>
        <v>0.37</v>
      </c>
      <c r="J24" s="15">
        <v>23.12</v>
      </c>
      <c r="K24" s="16">
        <f>IF(COUNTIFS(Release_Calendar!$A$2:$A$755,"US_CPI",Release_Calendar!$B$2:$B$755,$A24)&gt;0,1,0)</f>
        <v>0</v>
      </c>
      <c r="L24" s="16">
        <f>IF(COUNTIFS(Release_Calendar!$A$2:$A$755,"US_NFP",Release_Calendar!$B$2:$B$755,$A24)&gt;0,1,0)</f>
        <v>0</v>
      </c>
      <c r="M24" s="16" t="str">
        <f>IF($A24&lt;Notes!$B$5,"",IF(COUNTIFS(Release_Calendar!$A$2:$A$755,"NZ_CPI",Release_Calendar!$B$2:$B$755,$A24)&gt;0,1,0))</f>
        <v/>
      </c>
      <c r="N24" s="16" t="str">
        <f>IF($A24&lt;Notes!$B$5,"",IF(COUNTIFS(Release_Calendar!$A$2:$A$755,"NZ_GDP",Release_Calendar!$B$2:$B$755,$A24)&gt;0,1,0))</f>
        <v/>
      </c>
      <c r="O24" s="16" t="str">
        <f>IF($A24&lt;Notes!$B$5,"",IF(COUNTIFS(Release_Calendar!$A$2:$A$755,"NZ_LABOUR",Release_Calendar!$B$2:$B$755,$A24)&gt;0,1,0))</f>
        <v/>
      </c>
      <c r="P24" s="16">
        <f t="shared" si="4"/>
        <v>0</v>
      </c>
    </row>
    <row r="25" ht="15.75" customHeight="1">
      <c r="A25" s="14">
        <v>36559.0</v>
      </c>
      <c r="B25" s="15">
        <v>6.56</v>
      </c>
      <c r="C25" s="15"/>
      <c r="D25" s="15">
        <v>7.1</v>
      </c>
      <c r="E25" s="15"/>
      <c r="F25" s="15" t="str">
        <f t="shared" si="1"/>
        <v/>
      </c>
      <c r="G25" s="15">
        <f t="shared" si="2"/>
        <v>7.1</v>
      </c>
      <c r="H25" s="16">
        <v>1.0</v>
      </c>
      <c r="I25" s="15">
        <f t="shared" si="3"/>
        <v>0.54</v>
      </c>
      <c r="J25" s="15">
        <v>22.01</v>
      </c>
      <c r="K25" s="16">
        <f>IF(COUNTIFS(Release_Calendar!$A$2:$A$755,"US_CPI",Release_Calendar!$B$2:$B$755,$A25)&gt;0,1,0)</f>
        <v>0</v>
      </c>
      <c r="L25" s="16">
        <f>IF(COUNTIFS(Release_Calendar!$A$2:$A$755,"US_NFP",Release_Calendar!$B$2:$B$755,$A25)&gt;0,1,0)</f>
        <v>0</v>
      </c>
      <c r="M25" s="16" t="str">
        <f>IF($A25&lt;Notes!$B$5,"",IF(COUNTIFS(Release_Calendar!$A$2:$A$755,"NZ_CPI",Release_Calendar!$B$2:$B$755,$A25)&gt;0,1,0))</f>
        <v/>
      </c>
      <c r="N25" s="16" t="str">
        <f>IF($A25&lt;Notes!$B$5,"",IF(COUNTIFS(Release_Calendar!$A$2:$A$755,"NZ_GDP",Release_Calendar!$B$2:$B$755,$A25)&gt;0,1,0))</f>
        <v/>
      </c>
      <c r="O25" s="16" t="str">
        <f>IF($A25&lt;Notes!$B$5,"",IF(COUNTIFS(Release_Calendar!$A$2:$A$755,"NZ_LABOUR",Release_Calendar!$B$2:$B$755,$A25)&gt;0,1,0))</f>
        <v/>
      </c>
      <c r="P25" s="16">
        <f t="shared" si="4"/>
        <v>0</v>
      </c>
    </row>
    <row r="26" ht="15.75" customHeight="1">
      <c r="A26" s="14">
        <v>36560.0</v>
      </c>
      <c r="B26" s="15">
        <v>6.63</v>
      </c>
      <c r="C26" s="15"/>
      <c r="D26" s="15">
        <v>7.06</v>
      </c>
      <c r="E26" s="15"/>
      <c r="F26" s="15" t="str">
        <f t="shared" si="1"/>
        <v/>
      </c>
      <c r="G26" s="15">
        <f t="shared" si="2"/>
        <v>7.06</v>
      </c>
      <c r="H26" s="16">
        <v>1.0</v>
      </c>
      <c r="I26" s="15">
        <f t="shared" si="3"/>
        <v>0.43</v>
      </c>
      <c r="J26" s="15">
        <v>21.54</v>
      </c>
      <c r="K26" s="16">
        <f>IF(COUNTIFS(Release_Calendar!$A$2:$A$755,"US_CPI",Release_Calendar!$B$2:$B$755,$A26)&gt;0,1,0)</f>
        <v>0</v>
      </c>
      <c r="L26" s="16">
        <f>IF(COUNTIFS(Release_Calendar!$A$2:$A$755,"US_NFP",Release_Calendar!$B$2:$B$755,$A26)&gt;0,1,0)</f>
        <v>1</v>
      </c>
      <c r="M26" s="16" t="str">
        <f>IF($A26&lt;Notes!$B$5,"",IF(COUNTIFS(Release_Calendar!$A$2:$A$755,"NZ_CPI",Release_Calendar!$B$2:$B$755,$A26)&gt;0,1,0))</f>
        <v/>
      </c>
      <c r="N26" s="16" t="str">
        <f>IF($A26&lt;Notes!$B$5,"",IF(COUNTIFS(Release_Calendar!$A$2:$A$755,"NZ_GDP",Release_Calendar!$B$2:$B$755,$A26)&gt;0,1,0))</f>
        <v/>
      </c>
      <c r="O26" s="16" t="str">
        <f>IF($A26&lt;Notes!$B$5,"",IF(COUNTIFS(Release_Calendar!$A$2:$A$755,"NZ_LABOUR",Release_Calendar!$B$2:$B$755,$A26)&gt;0,1,0))</f>
        <v/>
      </c>
      <c r="P26" s="16">
        <f t="shared" si="4"/>
        <v>1</v>
      </c>
    </row>
    <row r="27" ht="15.75" customHeight="1">
      <c r="A27" s="14">
        <v>36563.0</v>
      </c>
      <c r="B27" s="15">
        <v>6.68</v>
      </c>
      <c r="C27" s="15"/>
      <c r="D27" s="15">
        <v>7.1</v>
      </c>
      <c r="E27" s="15"/>
      <c r="F27" s="15" t="str">
        <f t="shared" si="1"/>
        <v/>
      </c>
      <c r="G27" s="15">
        <f t="shared" si="2"/>
        <v>7.1</v>
      </c>
      <c r="H27" s="16">
        <v>1.0</v>
      </c>
      <c r="I27" s="15">
        <f t="shared" si="3"/>
        <v>0.42</v>
      </c>
      <c r="J27" s="15">
        <v>22.79</v>
      </c>
      <c r="K27" s="16">
        <f>IF(COUNTIFS(Release_Calendar!$A$2:$A$755,"US_CPI",Release_Calendar!$B$2:$B$755,$A27)&gt;0,1,0)</f>
        <v>0</v>
      </c>
      <c r="L27" s="16">
        <f>IF(COUNTIFS(Release_Calendar!$A$2:$A$755,"US_NFP",Release_Calendar!$B$2:$B$755,$A27)&gt;0,1,0)</f>
        <v>0</v>
      </c>
      <c r="M27" s="16" t="str">
        <f>IF($A27&lt;Notes!$B$5,"",IF(COUNTIFS(Release_Calendar!$A$2:$A$755,"NZ_CPI",Release_Calendar!$B$2:$B$755,$A27)&gt;0,1,0))</f>
        <v/>
      </c>
      <c r="N27" s="16" t="str">
        <f>IF($A27&lt;Notes!$B$5,"",IF(COUNTIFS(Release_Calendar!$A$2:$A$755,"NZ_GDP",Release_Calendar!$B$2:$B$755,$A27)&gt;0,1,0))</f>
        <v/>
      </c>
      <c r="O27" s="16" t="str">
        <f>IF($A27&lt;Notes!$B$5,"",IF(COUNTIFS(Release_Calendar!$A$2:$A$755,"NZ_LABOUR",Release_Calendar!$B$2:$B$755,$A27)&gt;0,1,0))</f>
        <v/>
      </c>
      <c r="P27" s="16">
        <f t="shared" si="4"/>
        <v>0</v>
      </c>
    </row>
    <row r="28" ht="15.75" customHeight="1">
      <c r="A28" s="14">
        <v>36564.0</v>
      </c>
      <c r="B28" s="15">
        <v>6.69</v>
      </c>
      <c r="C28" s="15"/>
      <c r="D28" s="15">
        <v>7.15</v>
      </c>
      <c r="E28" s="15"/>
      <c r="F28" s="15" t="str">
        <f t="shared" si="1"/>
        <v/>
      </c>
      <c r="G28" s="15">
        <f t="shared" si="2"/>
        <v>7.15</v>
      </c>
      <c r="H28" s="16">
        <v>1.0</v>
      </c>
      <c r="I28" s="15">
        <f t="shared" si="3"/>
        <v>0.46</v>
      </c>
      <c r="J28" s="15">
        <v>21.25</v>
      </c>
      <c r="K28" s="16">
        <f>IF(COUNTIFS(Release_Calendar!$A$2:$A$755,"US_CPI",Release_Calendar!$B$2:$B$755,$A28)&gt;0,1,0)</f>
        <v>0</v>
      </c>
      <c r="L28" s="16">
        <f>IF(COUNTIFS(Release_Calendar!$A$2:$A$755,"US_NFP",Release_Calendar!$B$2:$B$755,$A28)&gt;0,1,0)</f>
        <v>0</v>
      </c>
      <c r="M28" s="16" t="str">
        <f>IF($A28&lt;Notes!$B$5,"",IF(COUNTIFS(Release_Calendar!$A$2:$A$755,"NZ_CPI",Release_Calendar!$B$2:$B$755,$A28)&gt;0,1,0))</f>
        <v/>
      </c>
      <c r="N28" s="16" t="str">
        <f>IF($A28&lt;Notes!$B$5,"",IF(COUNTIFS(Release_Calendar!$A$2:$A$755,"NZ_GDP",Release_Calendar!$B$2:$B$755,$A28)&gt;0,1,0))</f>
        <v/>
      </c>
      <c r="O28" s="16" t="str">
        <f>IF($A28&lt;Notes!$B$5,"",IF(COUNTIFS(Release_Calendar!$A$2:$A$755,"NZ_LABOUR",Release_Calendar!$B$2:$B$755,$A28)&gt;0,1,0))</f>
        <v/>
      </c>
      <c r="P28" s="16">
        <f t="shared" si="4"/>
        <v>0</v>
      </c>
    </row>
    <row r="29" ht="15.75" customHeight="1">
      <c r="A29" s="14">
        <v>36565.0</v>
      </c>
      <c r="B29" s="15">
        <v>6.69</v>
      </c>
      <c r="C29" s="15"/>
      <c r="D29" s="15">
        <v>7.17</v>
      </c>
      <c r="E29" s="15"/>
      <c r="F29" s="15" t="str">
        <f t="shared" si="1"/>
        <v/>
      </c>
      <c r="G29" s="15">
        <f t="shared" si="2"/>
        <v>7.17</v>
      </c>
      <c r="H29" s="16">
        <v>1.0</v>
      </c>
      <c r="I29" s="15">
        <f t="shared" si="3"/>
        <v>0.48</v>
      </c>
      <c r="J29" s="15">
        <v>22.9</v>
      </c>
      <c r="K29" s="16">
        <f>IF(COUNTIFS(Release_Calendar!$A$2:$A$755,"US_CPI",Release_Calendar!$B$2:$B$755,$A29)&gt;0,1,0)</f>
        <v>0</v>
      </c>
      <c r="L29" s="16">
        <f>IF(COUNTIFS(Release_Calendar!$A$2:$A$755,"US_NFP",Release_Calendar!$B$2:$B$755,$A29)&gt;0,1,0)</f>
        <v>0</v>
      </c>
      <c r="M29" s="16" t="str">
        <f>IF($A29&lt;Notes!$B$5,"",IF(COUNTIFS(Release_Calendar!$A$2:$A$755,"NZ_CPI",Release_Calendar!$B$2:$B$755,$A29)&gt;0,1,0))</f>
        <v/>
      </c>
      <c r="N29" s="16" t="str">
        <f>IF($A29&lt;Notes!$B$5,"",IF(COUNTIFS(Release_Calendar!$A$2:$A$755,"NZ_GDP",Release_Calendar!$B$2:$B$755,$A29)&gt;0,1,0))</f>
        <v/>
      </c>
      <c r="O29" s="16" t="str">
        <f>IF($A29&lt;Notes!$B$5,"",IF(COUNTIFS(Release_Calendar!$A$2:$A$755,"NZ_LABOUR",Release_Calendar!$B$2:$B$755,$A29)&gt;0,1,0))</f>
        <v/>
      </c>
      <c r="P29" s="16">
        <f t="shared" si="4"/>
        <v>0</v>
      </c>
    </row>
    <row r="30" ht="15.75" customHeight="1">
      <c r="A30" s="14">
        <v>36566.0</v>
      </c>
      <c r="B30" s="15">
        <v>6.67</v>
      </c>
      <c r="C30" s="15"/>
      <c r="D30" s="15">
        <v>7.19</v>
      </c>
      <c r="E30" s="15"/>
      <c r="F30" s="15" t="str">
        <f t="shared" si="1"/>
        <v/>
      </c>
      <c r="G30" s="15">
        <f t="shared" si="2"/>
        <v>7.19</v>
      </c>
      <c r="H30" s="16">
        <v>1.0</v>
      </c>
      <c r="I30" s="15">
        <f t="shared" si="3"/>
        <v>0.52</v>
      </c>
      <c r="J30" s="15">
        <v>23.07</v>
      </c>
      <c r="K30" s="16">
        <f>IF(COUNTIFS(Release_Calendar!$A$2:$A$755,"US_CPI",Release_Calendar!$B$2:$B$755,$A30)&gt;0,1,0)</f>
        <v>0</v>
      </c>
      <c r="L30" s="16">
        <f>IF(COUNTIFS(Release_Calendar!$A$2:$A$755,"US_NFP",Release_Calendar!$B$2:$B$755,$A30)&gt;0,1,0)</f>
        <v>0</v>
      </c>
      <c r="M30" s="16" t="str">
        <f>IF($A30&lt;Notes!$B$5,"",IF(COUNTIFS(Release_Calendar!$A$2:$A$755,"NZ_CPI",Release_Calendar!$B$2:$B$755,$A30)&gt;0,1,0))</f>
        <v/>
      </c>
      <c r="N30" s="16" t="str">
        <f>IF($A30&lt;Notes!$B$5,"",IF(COUNTIFS(Release_Calendar!$A$2:$A$755,"NZ_GDP",Release_Calendar!$B$2:$B$755,$A30)&gt;0,1,0))</f>
        <v/>
      </c>
      <c r="O30" s="16" t="str">
        <f>IF($A30&lt;Notes!$B$5,"",IF(COUNTIFS(Release_Calendar!$A$2:$A$755,"NZ_LABOUR",Release_Calendar!$B$2:$B$755,$A30)&gt;0,1,0))</f>
        <v/>
      </c>
      <c r="P30" s="16">
        <f t="shared" si="4"/>
        <v>0</v>
      </c>
    </row>
    <row r="31" ht="15.75" customHeight="1">
      <c r="A31" s="14">
        <v>36567.0</v>
      </c>
      <c r="B31" s="15">
        <v>6.65</v>
      </c>
      <c r="C31" s="15"/>
      <c r="D31" s="15">
        <v>7.19</v>
      </c>
      <c r="E31" s="15"/>
      <c r="F31" s="15" t="str">
        <f t="shared" si="1"/>
        <v/>
      </c>
      <c r="G31" s="15">
        <f t="shared" si="2"/>
        <v>7.19</v>
      </c>
      <c r="H31" s="16">
        <v>1.0</v>
      </c>
      <c r="I31" s="15">
        <f t="shared" si="3"/>
        <v>0.54</v>
      </c>
      <c r="J31" s="15">
        <v>24.42</v>
      </c>
      <c r="K31" s="16">
        <f>IF(COUNTIFS(Release_Calendar!$A$2:$A$755,"US_CPI",Release_Calendar!$B$2:$B$755,$A31)&gt;0,1,0)</f>
        <v>0</v>
      </c>
      <c r="L31" s="16">
        <f>IF(COUNTIFS(Release_Calendar!$A$2:$A$755,"US_NFP",Release_Calendar!$B$2:$B$755,$A31)&gt;0,1,0)</f>
        <v>0</v>
      </c>
      <c r="M31" s="16" t="str">
        <f>IF($A31&lt;Notes!$B$5,"",IF(COUNTIFS(Release_Calendar!$A$2:$A$755,"NZ_CPI",Release_Calendar!$B$2:$B$755,$A31)&gt;0,1,0))</f>
        <v/>
      </c>
      <c r="N31" s="16" t="str">
        <f>IF($A31&lt;Notes!$B$5,"",IF(COUNTIFS(Release_Calendar!$A$2:$A$755,"NZ_GDP",Release_Calendar!$B$2:$B$755,$A31)&gt;0,1,0))</f>
        <v/>
      </c>
      <c r="O31" s="16" t="str">
        <f>IF($A31&lt;Notes!$B$5,"",IF(COUNTIFS(Release_Calendar!$A$2:$A$755,"NZ_LABOUR",Release_Calendar!$B$2:$B$755,$A31)&gt;0,1,0))</f>
        <v/>
      </c>
      <c r="P31" s="16">
        <f t="shared" si="4"/>
        <v>0</v>
      </c>
    </row>
    <row r="32" ht="15.75" customHeight="1">
      <c r="A32" s="14">
        <v>36570.0</v>
      </c>
      <c r="B32" s="15">
        <v>6.62</v>
      </c>
      <c r="C32" s="15"/>
      <c r="D32" s="15">
        <v>7.12</v>
      </c>
      <c r="E32" s="15"/>
      <c r="F32" s="15" t="str">
        <f t="shared" si="1"/>
        <v/>
      </c>
      <c r="G32" s="15">
        <f t="shared" si="2"/>
        <v>7.12</v>
      </c>
      <c r="H32" s="16">
        <v>1.0</v>
      </c>
      <c r="I32" s="15">
        <f t="shared" si="3"/>
        <v>0.5</v>
      </c>
      <c r="J32" s="15">
        <v>24.38</v>
      </c>
      <c r="K32" s="16">
        <f>IF(COUNTIFS(Release_Calendar!$A$2:$A$755,"US_CPI",Release_Calendar!$B$2:$B$755,$A32)&gt;0,1,0)</f>
        <v>0</v>
      </c>
      <c r="L32" s="16">
        <f>IF(COUNTIFS(Release_Calendar!$A$2:$A$755,"US_NFP",Release_Calendar!$B$2:$B$755,$A32)&gt;0,1,0)</f>
        <v>0</v>
      </c>
      <c r="M32" s="16" t="str">
        <f>IF($A32&lt;Notes!$B$5,"",IF(COUNTIFS(Release_Calendar!$A$2:$A$755,"NZ_CPI",Release_Calendar!$B$2:$B$755,$A32)&gt;0,1,0))</f>
        <v/>
      </c>
      <c r="N32" s="16" t="str">
        <f>IF($A32&lt;Notes!$B$5,"",IF(COUNTIFS(Release_Calendar!$A$2:$A$755,"NZ_GDP",Release_Calendar!$B$2:$B$755,$A32)&gt;0,1,0))</f>
        <v/>
      </c>
      <c r="O32" s="16" t="str">
        <f>IF($A32&lt;Notes!$B$5,"",IF(COUNTIFS(Release_Calendar!$A$2:$A$755,"NZ_LABOUR",Release_Calendar!$B$2:$B$755,$A32)&gt;0,1,0))</f>
        <v/>
      </c>
      <c r="P32" s="16">
        <f t="shared" si="4"/>
        <v>0</v>
      </c>
    </row>
    <row r="33" ht="15.75" customHeight="1">
      <c r="A33" s="14">
        <v>36571.0</v>
      </c>
      <c r="B33" s="15">
        <v>6.66</v>
      </c>
      <c r="C33" s="15"/>
      <c r="D33" s="15">
        <v>7.13</v>
      </c>
      <c r="E33" s="15"/>
      <c r="F33" s="15" t="str">
        <f t="shared" si="1"/>
        <v/>
      </c>
      <c r="G33" s="15">
        <f t="shared" si="2"/>
        <v>7.13</v>
      </c>
      <c r="H33" s="16">
        <v>1.0</v>
      </c>
      <c r="I33" s="15">
        <f t="shared" si="3"/>
        <v>0.47</v>
      </c>
      <c r="J33" s="15">
        <v>22.92</v>
      </c>
      <c r="K33" s="16">
        <f>IF(COUNTIFS(Release_Calendar!$A$2:$A$755,"US_CPI",Release_Calendar!$B$2:$B$755,$A33)&gt;0,1,0)</f>
        <v>0</v>
      </c>
      <c r="L33" s="16">
        <f>IF(COUNTIFS(Release_Calendar!$A$2:$A$755,"US_NFP",Release_Calendar!$B$2:$B$755,$A33)&gt;0,1,0)</f>
        <v>0</v>
      </c>
      <c r="M33" s="16" t="str">
        <f>IF($A33&lt;Notes!$B$5,"",IF(COUNTIFS(Release_Calendar!$A$2:$A$755,"NZ_CPI",Release_Calendar!$B$2:$B$755,$A33)&gt;0,1,0))</f>
        <v/>
      </c>
      <c r="N33" s="16" t="str">
        <f>IF($A33&lt;Notes!$B$5,"",IF(COUNTIFS(Release_Calendar!$A$2:$A$755,"NZ_GDP",Release_Calendar!$B$2:$B$755,$A33)&gt;0,1,0))</f>
        <v/>
      </c>
      <c r="O33" s="16" t="str">
        <f>IF($A33&lt;Notes!$B$5,"",IF(COUNTIFS(Release_Calendar!$A$2:$A$755,"NZ_LABOUR",Release_Calendar!$B$2:$B$755,$A33)&gt;0,1,0))</f>
        <v/>
      </c>
      <c r="P33" s="16">
        <f t="shared" si="4"/>
        <v>0</v>
      </c>
    </row>
    <row r="34" ht="15.75" customHeight="1">
      <c r="A34" s="14">
        <v>36572.0</v>
      </c>
      <c r="B34" s="15">
        <v>6.63</v>
      </c>
      <c r="C34" s="15"/>
      <c r="D34" s="15">
        <v>7.14</v>
      </c>
      <c r="E34" s="15"/>
      <c r="F34" s="15" t="str">
        <f t="shared" si="1"/>
        <v/>
      </c>
      <c r="G34" s="15">
        <f t="shared" si="2"/>
        <v>7.14</v>
      </c>
      <c r="H34" s="16">
        <v>1.0</v>
      </c>
      <c r="I34" s="15">
        <f t="shared" si="3"/>
        <v>0.51</v>
      </c>
      <c r="J34" s="15">
        <v>23.51</v>
      </c>
      <c r="K34" s="16">
        <f>IF(COUNTIFS(Release_Calendar!$A$2:$A$755,"US_CPI",Release_Calendar!$B$2:$B$755,$A34)&gt;0,1,0)</f>
        <v>0</v>
      </c>
      <c r="L34" s="16">
        <f>IF(COUNTIFS(Release_Calendar!$A$2:$A$755,"US_NFP",Release_Calendar!$B$2:$B$755,$A34)&gt;0,1,0)</f>
        <v>0</v>
      </c>
      <c r="M34" s="16" t="str">
        <f>IF($A34&lt;Notes!$B$5,"",IF(COUNTIFS(Release_Calendar!$A$2:$A$755,"NZ_CPI",Release_Calendar!$B$2:$B$755,$A34)&gt;0,1,0))</f>
        <v/>
      </c>
      <c r="N34" s="16" t="str">
        <f>IF($A34&lt;Notes!$B$5,"",IF(COUNTIFS(Release_Calendar!$A$2:$A$755,"NZ_GDP",Release_Calendar!$B$2:$B$755,$A34)&gt;0,1,0))</f>
        <v/>
      </c>
      <c r="O34" s="16" t="str">
        <f>IF($A34&lt;Notes!$B$5,"",IF(COUNTIFS(Release_Calendar!$A$2:$A$755,"NZ_LABOUR",Release_Calendar!$B$2:$B$755,$A34)&gt;0,1,0))</f>
        <v/>
      </c>
      <c r="P34" s="16">
        <f t="shared" si="4"/>
        <v>0</v>
      </c>
    </row>
    <row r="35" ht="15.75" customHeight="1">
      <c r="A35" s="14">
        <v>36573.0</v>
      </c>
      <c r="B35" s="15">
        <v>6.69</v>
      </c>
      <c r="C35" s="15"/>
      <c r="D35" s="15">
        <v>7.09</v>
      </c>
      <c r="E35" s="15"/>
      <c r="F35" s="15" t="str">
        <f t="shared" si="1"/>
        <v/>
      </c>
      <c r="G35" s="15">
        <f t="shared" si="2"/>
        <v>7.09</v>
      </c>
      <c r="H35" s="16">
        <v>1.0</v>
      </c>
      <c r="I35" s="15">
        <f t="shared" si="3"/>
        <v>0.4</v>
      </c>
      <c r="J35" s="15">
        <v>23.17</v>
      </c>
      <c r="K35" s="16">
        <f>IF(COUNTIFS(Release_Calendar!$A$2:$A$755,"US_CPI",Release_Calendar!$B$2:$B$755,$A35)&gt;0,1,0)</f>
        <v>0</v>
      </c>
      <c r="L35" s="16">
        <f>IF(COUNTIFS(Release_Calendar!$A$2:$A$755,"US_NFP",Release_Calendar!$B$2:$B$755,$A35)&gt;0,1,0)</f>
        <v>0</v>
      </c>
      <c r="M35" s="16" t="str">
        <f>IF($A35&lt;Notes!$B$5,"",IF(COUNTIFS(Release_Calendar!$A$2:$A$755,"NZ_CPI",Release_Calendar!$B$2:$B$755,$A35)&gt;0,1,0))</f>
        <v/>
      </c>
      <c r="N35" s="16" t="str">
        <f>IF($A35&lt;Notes!$B$5,"",IF(COUNTIFS(Release_Calendar!$A$2:$A$755,"NZ_GDP",Release_Calendar!$B$2:$B$755,$A35)&gt;0,1,0))</f>
        <v/>
      </c>
      <c r="O35" s="16" t="str">
        <f>IF($A35&lt;Notes!$B$5,"",IF(COUNTIFS(Release_Calendar!$A$2:$A$755,"NZ_LABOUR",Release_Calendar!$B$2:$B$755,$A35)&gt;0,1,0))</f>
        <v/>
      </c>
      <c r="P35" s="16">
        <f t="shared" si="4"/>
        <v>0</v>
      </c>
    </row>
    <row r="36" ht="15.75" customHeight="1">
      <c r="A36" s="14">
        <v>36574.0</v>
      </c>
      <c r="B36" s="15">
        <v>6.66</v>
      </c>
      <c r="C36" s="15"/>
      <c r="D36" s="15">
        <v>7.07</v>
      </c>
      <c r="E36" s="15"/>
      <c r="F36" s="15" t="str">
        <f t="shared" si="1"/>
        <v/>
      </c>
      <c r="G36" s="15">
        <f t="shared" si="2"/>
        <v>7.07</v>
      </c>
      <c r="H36" s="16">
        <v>1.0</v>
      </c>
      <c r="I36" s="15">
        <f t="shared" si="3"/>
        <v>0.41</v>
      </c>
      <c r="J36" s="15">
        <v>26.0</v>
      </c>
      <c r="K36" s="16">
        <f>IF(COUNTIFS(Release_Calendar!$A$2:$A$755,"US_CPI",Release_Calendar!$B$2:$B$755,$A36)&gt;0,1,0)</f>
        <v>1</v>
      </c>
      <c r="L36" s="16">
        <f>IF(COUNTIFS(Release_Calendar!$A$2:$A$755,"US_NFP",Release_Calendar!$B$2:$B$755,$A36)&gt;0,1,0)</f>
        <v>0</v>
      </c>
      <c r="M36" s="16" t="str">
        <f>IF($A36&lt;Notes!$B$5,"",IF(COUNTIFS(Release_Calendar!$A$2:$A$755,"NZ_CPI",Release_Calendar!$B$2:$B$755,$A36)&gt;0,1,0))</f>
        <v/>
      </c>
      <c r="N36" s="16" t="str">
        <f>IF($A36&lt;Notes!$B$5,"",IF(COUNTIFS(Release_Calendar!$A$2:$A$755,"NZ_GDP",Release_Calendar!$B$2:$B$755,$A36)&gt;0,1,0))</f>
        <v/>
      </c>
      <c r="O36" s="16" t="str">
        <f>IF($A36&lt;Notes!$B$5,"",IF(COUNTIFS(Release_Calendar!$A$2:$A$755,"NZ_LABOUR",Release_Calendar!$B$2:$B$755,$A36)&gt;0,1,0))</f>
        <v/>
      </c>
      <c r="P36" s="16">
        <f t="shared" si="4"/>
        <v>1</v>
      </c>
    </row>
    <row r="37" ht="15.75" customHeight="1">
      <c r="A37" s="14">
        <v>36577.0</v>
      </c>
      <c r="B37" s="15"/>
      <c r="C37" s="15"/>
      <c r="D37" s="15">
        <v>7.03</v>
      </c>
      <c r="E37" s="15"/>
      <c r="F37" s="15" t="str">
        <f t="shared" si="1"/>
        <v/>
      </c>
      <c r="G37" s="15">
        <f t="shared" si="2"/>
        <v>7.03</v>
      </c>
      <c r="H37" s="16">
        <v>1.0</v>
      </c>
      <c r="I37" s="15" t="str">
        <f t="shared" si="3"/>
        <v/>
      </c>
      <c r="J37" s="15"/>
      <c r="K37" s="16">
        <f>IF(COUNTIFS(Release_Calendar!$A$2:$A$755,"US_CPI",Release_Calendar!$B$2:$B$755,$A37)&gt;0,1,0)</f>
        <v>0</v>
      </c>
      <c r="L37" s="16">
        <f>IF(COUNTIFS(Release_Calendar!$A$2:$A$755,"US_NFP",Release_Calendar!$B$2:$B$755,$A37)&gt;0,1,0)</f>
        <v>0</v>
      </c>
      <c r="M37" s="16" t="str">
        <f>IF($A37&lt;Notes!$B$5,"",IF(COUNTIFS(Release_Calendar!$A$2:$A$755,"NZ_CPI",Release_Calendar!$B$2:$B$755,$A37)&gt;0,1,0))</f>
        <v/>
      </c>
      <c r="N37" s="16" t="str">
        <f>IF($A37&lt;Notes!$B$5,"",IF(COUNTIFS(Release_Calendar!$A$2:$A$755,"NZ_GDP",Release_Calendar!$B$2:$B$755,$A37)&gt;0,1,0))</f>
        <v/>
      </c>
      <c r="O37" s="16" t="str">
        <f>IF($A37&lt;Notes!$B$5,"",IF(COUNTIFS(Release_Calendar!$A$2:$A$755,"NZ_LABOUR",Release_Calendar!$B$2:$B$755,$A37)&gt;0,1,0))</f>
        <v/>
      </c>
      <c r="P37" s="16">
        <f t="shared" si="4"/>
        <v>0</v>
      </c>
    </row>
    <row r="38" ht="15.75" customHeight="1">
      <c r="A38" s="14">
        <v>36578.0</v>
      </c>
      <c r="B38" s="15">
        <v>6.57</v>
      </c>
      <c r="C38" s="15"/>
      <c r="D38" s="15">
        <v>7.03</v>
      </c>
      <c r="E38" s="15"/>
      <c r="F38" s="15" t="str">
        <f t="shared" si="1"/>
        <v/>
      </c>
      <c r="G38" s="15">
        <f t="shared" si="2"/>
        <v>7.03</v>
      </c>
      <c r="H38" s="16">
        <v>1.0</v>
      </c>
      <c r="I38" s="15">
        <f t="shared" si="3"/>
        <v>0.46</v>
      </c>
      <c r="J38" s="15">
        <v>25.86</v>
      </c>
      <c r="K38" s="16">
        <f>IF(COUNTIFS(Release_Calendar!$A$2:$A$755,"US_CPI",Release_Calendar!$B$2:$B$755,$A38)&gt;0,1,0)</f>
        <v>0</v>
      </c>
      <c r="L38" s="16">
        <f>IF(COUNTIFS(Release_Calendar!$A$2:$A$755,"US_NFP",Release_Calendar!$B$2:$B$755,$A38)&gt;0,1,0)</f>
        <v>0</v>
      </c>
      <c r="M38" s="16" t="str">
        <f>IF($A38&lt;Notes!$B$5,"",IF(COUNTIFS(Release_Calendar!$A$2:$A$755,"NZ_CPI",Release_Calendar!$B$2:$B$755,$A38)&gt;0,1,0))</f>
        <v/>
      </c>
      <c r="N38" s="16" t="str">
        <f>IF($A38&lt;Notes!$B$5,"",IF(COUNTIFS(Release_Calendar!$A$2:$A$755,"NZ_GDP",Release_Calendar!$B$2:$B$755,$A38)&gt;0,1,0))</f>
        <v/>
      </c>
      <c r="O38" s="16" t="str">
        <f>IF($A38&lt;Notes!$B$5,"",IF(COUNTIFS(Release_Calendar!$A$2:$A$755,"NZ_LABOUR",Release_Calendar!$B$2:$B$755,$A38)&gt;0,1,0))</f>
        <v/>
      </c>
      <c r="P38" s="16">
        <f t="shared" si="4"/>
        <v>0</v>
      </c>
    </row>
    <row r="39" ht="15.75" customHeight="1">
      <c r="A39" s="14">
        <v>36579.0</v>
      </c>
      <c r="B39" s="15">
        <v>6.61</v>
      </c>
      <c r="C39" s="15"/>
      <c r="D39" s="15">
        <v>6.98</v>
      </c>
      <c r="E39" s="15"/>
      <c r="F39" s="15" t="str">
        <f t="shared" si="1"/>
        <v/>
      </c>
      <c r="G39" s="15">
        <f t="shared" si="2"/>
        <v>6.98</v>
      </c>
      <c r="H39" s="16">
        <v>1.0</v>
      </c>
      <c r="I39" s="15">
        <f t="shared" si="3"/>
        <v>0.37</v>
      </c>
      <c r="J39" s="15">
        <v>23.89</v>
      </c>
      <c r="K39" s="16">
        <f>IF(COUNTIFS(Release_Calendar!$A$2:$A$755,"US_CPI",Release_Calendar!$B$2:$B$755,$A39)&gt;0,1,0)</f>
        <v>0</v>
      </c>
      <c r="L39" s="16">
        <f>IF(COUNTIFS(Release_Calendar!$A$2:$A$755,"US_NFP",Release_Calendar!$B$2:$B$755,$A39)&gt;0,1,0)</f>
        <v>0</v>
      </c>
      <c r="M39" s="16" t="str">
        <f>IF($A39&lt;Notes!$B$5,"",IF(COUNTIFS(Release_Calendar!$A$2:$A$755,"NZ_CPI",Release_Calendar!$B$2:$B$755,$A39)&gt;0,1,0))</f>
        <v/>
      </c>
      <c r="N39" s="16" t="str">
        <f>IF($A39&lt;Notes!$B$5,"",IF(COUNTIFS(Release_Calendar!$A$2:$A$755,"NZ_GDP",Release_Calendar!$B$2:$B$755,$A39)&gt;0,1,0))</f>
        <v/>
      </c>
      <c r="O39" s="16" t="str">
        <f>IF($A39&lt;Notes!$B$5,"",IF(COUNTIFS(Release_Calendar!$A$2:$A$755,"NZ_LABOUR",Release_Calendar!$B$2:$B$755,$A39)&gt;0,1,0))</f>
        <v/>
      </c>
      <c r="P39" s="16">
        <f t="shared" si="4"/>
        <v>0</v>
      </c>
    </row>
    <row r="40" ht="15.75" customHeight="1">
      <c r="A40" s="14">
        <v>36580.0</v>
      </c>
      <c r="B40" s="15">
        <v>6.52</v>
      </c>
      <c r="C40" s="15"/>
      <c r="D40" s="15">
        <v>7.02</v>
      </c>
      <c r="E40" s="15"/>
      <c r="F40" s="15" t="str">
        <f t="shared" si="1"/>
        <v/>
      </c>
      <c r="G40" s="15">
        <f t="shared" si="2"/>
        <v>7.02</v>
      </c>
      <c r="H40" s="16">
        <v>1.0</v>
      </c>
      <c r="I40" s="15">
        <f t="shared" si="3"/>
        <v>0.5</v>
      </c>
      <c r="J40" s="15">
        <v>24.38</v>
      </c>
      <c r="K40" s="16">
        <f>IF(COUNTIFS(Release_Calendar!$A$2:$A$755,"US_CPI",Release_Calendar!$B$2:$B$755,$A40)&gt;0,1,0)</f>
        <v>0</v>
      </c>
      <c r="L40" s="16">
        <f>IF(COUNTIFS(Release_Calendar!$A$2:$A$755,"US_NFP",Release_Calendar!$B$2:$B$755,$A40)&gt;0,1,0)</f>
        <v>0</v>
      </c>
      <c r="M40" s="16" t="str">
        <f>IF($A40&lt;Notes!$B$5,"",IF(COUNTIFS(Release_Calendar!$A$2:$A$755,"NZ_CPI",Release_Calendar!$B$2:$B$755,$A40)&gt;0,1,0))</f>
        <v/>
      </c>
      <c r="N40" s="16" t="str">
        <f>IF($A40&lt;Notes!$B$5,"",IF(COUNTIFS(Release_Calendar!$A$2:$A$755,"NZ_GDP",Release_Calendar!$B$2:$B$755,$A40)&gt;0,1,0))</f>
        <v/>
      </c>
      <c r="O40" s="16" t="str">
        <f>IF($A40&lt;Notes!$B$5,"",IF(COUNTIFS(Release_Calendar!$A$2:$A$755,"NZ_LABOUR",Release_Calendar!$B$2:$B$755,$A40)&gt;0,1,0))</f>
        <v/>
      </c>
      <c r="P40" s="16">
        <f t="shared" si="4"/>
        <v>0</v>
      </c>
    </row>
    <row r="41" ht="15.75" customHeight="1">
      <c r="A41" s="14">
        <v>36581.0</v>
      </c>
      <c r="B41" s="15">
        <v>6.45</v>
      </c>
      <c r="C41" s="15"/>
      <c r="D41" s="15">
        <v>7.01</v>
      </c>
      <c r="E41" s="15"/>
      <c r="F41" s="15" t="str">
        <f t="shared" si="1"/>
        <v/>
      </c>
      <c r="G41" s="15">
        <f t="shared" si="2"/>
        <v>7.01</v>
      </c>
      <c r="H41" s="16">
        <v>1.0</v>
      </c>
      <c r="I41" s="15">
        <f t="shared" si="3"/>
        <v>0.56</v>
      </c>
      <c r="J41" s="15">
        <v>25.2</v>
      </c>
      <c r="K41" s="16">
        <f>IF(COUNTIFS(Release_Calendar!$A$2:$A$755,"US_CPI",Release_Calendar!$B$2:$B$755,$A41)&gt;0,1,0)</f>
        <v>0</v>
      </c>
      <c r="L41" s="16">
        <f>IF(COUNTIFS(Release_Calendar!$A$2:$A$755,"US_NFP",Release_Calendar!$B$2:$B$755,$A41)&gt;0,1,0)</f>
        <v>0</v>
      </c>
      <c r="M41" s="16" t="str">
        <f>IF($A41&lt;Notes!$B$5,"",IF(COUNTIFS(Release_Calendar!$A$2:$A$755,"NZ_CPI",Release_Calendar!$B$2:$B$755,$A41)&gt;0,1,0))</f>
        <v/>
      </c>
      <c r="N41" s="16" t="str">
        <f>IF($A41&lt;Notes!$B$5,"",IF(COUNTIFS(Release_Calendar!$A$2:$A$755,"NZ_GDP",Release_Calendar!$B$2:$B$755,$A41)&gt;0,1,0))</f>
        <v/>
      </c>
      <c r="O41" s="16" t="str">
        <f>IF($A41&lt;Notes!$B$5,"",IF(COUNTIFS(Release_Calendar!$A$2:$A$755,"NZ_LABOUR",Release_Calendar!$B$2:$B$755,$A41)&gt;0,1,0))</f>
        <v/>
      </c>
      <c r="P41" s="16">
        <f t="shared" si="4"/>
        <v>0</v>
      </c>
    </row>
    <row r="42" ht="15.75" customHeight="1">
      <c r="A42" s="14">
        <v>36584.0</v>
      </c>
      <c r="B42" s="15">
        <v>6.47</v>
      </c>
      <c r="C42" s="15"/>
      <c r="D42" s="15">
        <v>6.95</v>
      </c>
      <c r="E42" s="15"/>
      <c r="F42" s="15" t="str">
        <f t="shared" si="1"/>
        <v/>
      </c>
      <c r="G42" s="15">
        <f t="shared" si="2"/>
        <v>6.95</v>
      </c>
      <c r="H42" s="16">
        <v>1.0</v>
      </c>
      <c r="I42" s="15">
        <f t="shared" si="3"/>
        <v>0.48</v>
      </c>
      <c r="J42" s="15">
        <v>24.68</v>
      </c>
      <c r="K42" s="16">
        <f>IF(COUNTIFS(Release_Calendar!$A$2:$A$755,"US_CPI",Release_Calendar!$B$2:$B$755,$A42)&gt;0,1,0)</f>
        <v>0</v>
      </c>
      <c r="L42" s="16">
        <f>IF(COUNTIFS(Release_Calendar!$A$2:$A$755,"US_NFP",Release_Calendar!$B$2:$B$755,$A42)&gt;0,1,0)</f>
        <v>0</v>
      </c>
      <c r="M42" s="16" t="str">
        <f>IF($A42&lt;Notes!$B$5,"",IF(COUNTIFS(Release_Calendar!$A$2:$A$755,"NZ_CPI",Release_Calendar!$B$2:$B$755,$A42)&gt;0,1,0))</f>
        <v/>
      </c>
      <c r="N42" s="16" t="str">
        <f>IF($A42&lt;Notes!$B$5,"",IF(COUNTIFS(Release_Calendar!$A$2:$A$755,"NZ_GDP",Release_Calendar!$B$2:$B$755,$A42)&gt;0,1,0))</f>
        <v/>
      </c>
      <c r="O42" s="16" t="str">
        <f>IF($A42&lt;Notes!$B$5,"",IF(COUNTIFS(Release_Calendar!$A$2:$A$755,"NZ_LABOUR",Release_Calendar!$B$2:$B$755,$A42)&gt;0,1,0))</f>
        <v/>
      </c>
      <c r="P42" s="16">
        <f t="shared" si="4"/>
        <v>0</v>
      </c>
    </row>
    <row r="43" ht="15.75" customHeight="1">
      <c r="A43" s="14">
        <v>36585.0</v>
      </c>
      <c r="B43" s="15">
        <v>6.53</v>
      </c>
      <c r="C43" s="15"/>
      <c r="D43" s="15">
        <v>7.03</v>
      </c>
      <c r="E43" s="15"/>
      <c r="F43" s="15" t="str">
        <f t="shared" si="1"/>
        <v/>
      </c>
      <c r="G43" s="15">
        <f t="shared" si="2"/>
        <v>7.03</v>
      </c>
      <c r="H43" s="16">
        <v>1.0</v>
      </c>
      <c r="I43" s="15">
        <f t="shared" si="3"/>
        <v>0.5</v>
      </c>
      <c r="J43" s="15">
        <v>23.37</v>
      </c>
      <c r="K43" s="16">
        <f>IF(COUNTIFS(Release_Calendar!$A$2:$A$755,"US_CPI",Release_Calendar!$B$2:$B$755,$A43)&gt;0,1,0)</f>
        <v>0</v>
      </c>
      <c r="L43" s="16">
        <f>IF(COUNTIFS(Release_Calendar!$A$2:$A$755,"US_NFP",Release_Calendar!$B$2:$B$755,$A43)&gt;0,1,0)</f>
        <v>0</v>
      </c>
      <c r="M43" s="16" t="str">
        <f>IF($A43&lt;Notes!$B$5,"",IF(COUNTIFS(Release_Calendar!$A$2:$A$755,"NZ_CPI",Release_Calendar!$B$2:$B$755,$A43)&gt;0,1,0))</f>
        <v/>
      </c>
      <c r="N43" s="16" t="str">
        <f>IF($A43&lt;Notes!$B$5,"",IF(COUNTIFS(Release_Calendar!$A$2:$A$755,"NZ_GDP",Release_Calendar!$B$2:$B$755,$A43)&gt;0,1,0))</f>
        <v/>
      </c>
      <c r="O43" s="16" t="str">
        <f>IF($A43&lt;Notes!$B$5,"",IF(COUNTIFS(Release_Calendar!$A$2:$A$755,"NZ_LABOUR",Release_Calendar!$B$2:$B$755,$A43)&gt;0,1,0))</f>
        <v/>
      </c>
      <c r="P43" s="16">
        <f t="shared" si="4"/>
        <v>0</v>
      </c>
    </row>
    <row r="44" ht="15.75" customHeight="1">
      <c r="A44" s="14">
        <v>36586.0</v>
      </c>
      <c r="B44" s="15">
        <v>6.52</v>
      </c>
      <c r="C44" s="15"/>
      <c r="D44" s="15">
        <v>7.01</v>
      </c>
      <c r="E44" s="15"/>
      <c r="F44" s="15" t="str">
        <f t="shared" si="1"/>
        <v/>
      </c>
      <c r="G44" s="15">
        <f t="shared" si="2"/>
        <v>7.01</v>
      </c>
      <c r="H44" s="16">
        <v>1.0</v>
      </c>
      <c r="I44" s="15">
        <f t="shared" si="3"/>
        <v>0.49</v>
      </c>
      <c r="J44" s="15">
        <v>21.64</v>
      </c>
      <c r="K44" s="16">
        <f>IF(COUNTIFS(Release_Calendar!$A$2:$A$755,"US_CPI",Release_Calendar!$B$2:$B$755,$A44)&gt;0,1,0)</f>
        <v>0</v>
      </c>
      <c r="L44" s="16">
        <f>IF(COUNTIFS(Release_Calendar!$A$2:$A$755,"US_NFP",Release_Calendar!$B$2:$B$755,$A44)&gt;0,1,0)</f>
        <v>0</v>
      </c>
      <c r="M44" s="16" t="str">
        <f>IF($A44&lt;Notes!$B$5,"",IF(COUNTIFS(Release_Calendar!$A$2:$A$755,"NZ_CPI",Release_Calendar!$B$2:$B$755,$A44)&gt;0,1,0))</f>
        <v/>
      </c>
      <c r="N44" s="16" t="str">
        <f>IF($A44&lt;Notes!$B$5,"",IF(COUNTIFS(Release_Calendar!$A$2:$A$755,"NZ_GDP",Release_Calendar!$B$2:$B$755,$A44)&gt;0,1,0))</f>
        <v/>
      </c>
      <c r="O44" s="16" t="str">
        <f>IF($A44&lt;Notes!$B$5,"",IF(COUNTIFS(Release_Calendar!$A$2:$A$755,"NZ_LABOUR",Release_Calendar!$B$2:$B$755,$A44)&gt;0,1,0))</f>
        <v/>
      </c>
      <c r="P44" s="16">
        <f t="shared" si="4"/>
        <v>0</v>
      </c>
    </row>
    <row r="45" ht="15.75" customHeight="1">
      <c r="A45" s="14">
        <v>36587.0</v>
      </c>
      <c r="B45" s="15">
        <v>6.52</v>
      </c>
      <c r="C45" s="15"/>
      <c r="D45" s="15">
        <v>6.98</v>
      </c>
      <c r="E45" s="15"/>
      <c r="F45" s="15" t="str">
        <f t="shared" si="1"/>
        <v/>
      </c>
      <c r="G45" s="15">
        <f t="shared" si="2"/>
        <v>6.98</v>
      </c>
      <c r="H45" s="16">
        <v>1.0</v>
      </c>
      <c r="I45" s="15">
        <f t="shared" si="3"/>
        <v>0.46</v>
      </c>
      <c r="J45" s="15">
        <v>21.06</v>
      </c>
      <c r="K45" s="16">
        <f>IF(COUNTIFS(Release_Calendar!$A$2:$A$755,"US_CPI",Release_Calendar!$B$2:$B$755,$A45)&gt;0,1,0)</f>
        <v>0</v>
      </c>
      <c r="L45" s="16">
        <f>IF(COUNTIFS(Release_Calendar!$A$2:$A$755,"US_NFP",Release_Calendar!$B$2:$B$755,$A45)&gt;0,1,0)</f>
        <v>0</v>
      </c>
      <c r="M45" s="16" t="str">
        <f>IF($A45&lt;Notes!$B$5,"",IF(COUNTIFS(Release_Calendar!$A$2:$A$755,"NZ_CPI",Release_Calendar!$B$2:$B$755,$A45)&gt;0,1,0))</f>
        <v/>
      </c>
      <c r="N45" s="16" t="str">
        <f>IF($A45&lt;Notes!$B$5,"",IF(COUNTIFS(Release_Calendar!$A$2:$A$755,"NZ_GDP",Release_Calendar!$B$2:$B$755,$A45)&gt;0,1,0))</f>
        <v/>
      </c>
      <c r="O45" s="16" t="str">
        <f>IF($A45&lt;Notes!$B$5,"",IF(COUNTIFS(Release_Calendar!$A$2:$A$755,"NZ_LABOUR",Release_Calendar!$B$2:$B$755,$A45)&gt;0,1,0))</f>
        <v/>
      </c>
      <c r="P45" s="16">
        <f t="shared" si="4"/>
        <v>0</v>
      </c>
    </row>
    <row r="46" ht="15.75" customHeight="1">
      <c r="A46" s="14">
        <v>36588.0</v>
      </c>
      <c r="B46" s="15">
        <v>6.5</v>
      </c>
      <c r="C46" s="15"/>
      <c r="D46" s="15">
        <v>7.0</v>
      </c>
      <c r="E46" s="15"/>
      <c r="F46" s="15" t="str">
        <f t="shared" si="1"/>
        <v/>
      </c>
      <c r="G46" s="15">
        <f t="shared" si="2"/>
        <v>7</v>
      </c>
      <c r="H46" s="16">
        <v>1.0</v>
      </c>
      <c r="I46" s="15">
        <f t="shared" si="3"/>
        <v>0.5</v>
      </c>
      <c r="J46" s="15">
        <v>19.21</v>
      </c>
      <c r="K46" s="16">
        <f>IF(COUNTIFS(Release_Calendar!$A$2:$A$755,"US_CPI",Release_Calendar!$B$2:$B$755,$A46)&gt;0,1,0)</f>
        <v>0</v>
      </c>
      <c r="L46" s="16">
        <f>IF(COUNTIFS(Release_Calendar!$A$2:$A$755,"US_NFP",Release_Calendar!$B$2:$B$755,$A46)&gt;0,1,0)</f>
        <v>1</v>
      </c>
      <c r="M46" s="16" t="str">
        <f>IF($A46&lt;Notes!$B$5,"",IF(COUNTIFS(Release_Calendar!$A$2:$A$755,"NZ_CPI",Release_Calendar!$B$2:$B$755,$A46)&gt;0,1,0))</f>
        <v/>
      </c>
      <c r="N46" s="16" t="str">
        <f>IF($A46&lt;Notes!$B$5,"",IF(COUNTIFS(Release_Calendar!$A$2:$A$755,"NZ_GDP",Release_Calendar!$B$2:$B$755,$A46)&gt;0,1,0))</f>
        <v/>
      </c>
      <c r="O46" s="16" t="str">
        <f>IF($A46&lt;Notes!$B$5,"",IF(COUNTIFS(Release_Calendar!$A$2:$A$755,"NZ_LABOUR",Release_Calendar!$B$2:$B$755,$A46)&gt;0,1,0))</f>
        <v/>
      </c>
      <c r="P46" s="16">
        <f t="shared" si="4"/>
        <v>1</v>
      </c>
    </row>
    <row r="47" ht="15.75" customHeight="1">
      <c r="A47" s="14">
        <v>36591.0</v>
      </c>
      <c r="B47" s="15">
        <v>6.55</v>
      </c>
      <c r="C47" s="15"/>
      <c r="D47" s="15">
        <v>6.98</v>
      </c>
      <c r="E47" s="15"/>
      <c r="F47" s="15" t="str">
        <f t="shared" si="1"/>
        <v/>
      </c>
      <c r="G47" s="15">
        <f t="shared" si="2"/>
        <v>6.98</v>
      </c>
      <c r="H47" s="16">
        <v>1.0</v>
      </c>
      <c r="I47" s="15">
        <f t="shared" si="3"/>
        <v>0.43</v>
      </c>
      <c r="J47" s="15">
        <v>21.5</v>
      </c>
      <c r="K47" s="16">
        <f>IF(COUNTIFS(Release_Calendar!$A$2:$A$755,"US_CPI",Release_Calendar!$B$2:$B$755,$A47)&gt;0,1,0)</f>
        <v>0</v>
      </c>
      <c r="L47" s="16">
        <f>IF(COUNTIFS(Release_Calendar!$A$2:$A$755,"US_NFP",Release_Calendar!$B$2:$B$755,$A47)&gt;0,1,0)</f>
        <v>0</v>
      </c>
      <c r="M47" s="16" t="str">
        <f>IF($A47&lt;Notes!$B$5,"",IF(COUNTIFS(Release_Calendar!$A$2:$A$755,"NZ_CPI",Release_Calendar!$B$2:$B$755,$A47)&gt;0,1,0))</f>
        <v/>
      </c>
      <c r="N47" s="16" t="str">
        <f>IF($A47&lt;Notes!$B$5,"",IF(COUNTIFS(Release_Calendar!$A$2:$A$755,"NZ_GDP",Release_Calendar!$B$2:$B$755,$A47)&gt;0,1,0))</f>
        <v/>
      </c>
      <c r="O47" s="16" t="str">
        <f>IF($A47&lt;Notes!$B$5,"",IF(COUNTIFS(Release_Calendar!$A$2:$A$755,"NZ_LABOUR",Release_Calendar!$B$2:$B$755,$A47)&gt;0,1,0))</f>
        <v/>
      </c>
      <c r="P47" s="16">
        <f t="shared" si="4"/>
        <v>0</v>
      </c>
    </row>
    <row r="48" ht="15.75" customHeight="1">
      <c r="A48" s="14">
        <v>36592.0</v>
      </c>
      <c r="B48" s="15">
        <v>6.48</v>
      </c>
      <c r="C48" s="15"/>
      <c r="D48" s="15">
        <v>7.04</v>
      </c>
      <c r="E48" s="15"/>
      <c r="F48" s="15" t="str">
        <f t="shared" si="1"/>
        <v/>
      </c>
      <c r="G48" s="15">
        <f t="shared" si="2"/>
        <v>7.04</v>
      </c>
      <c r="H48" s="16">
        <v>1.0</v>
      </c>
      <c r="I48" s="15">
        <f t="shared" si="3"/>
        <v>0.56</v>
      </c>
      <c r="J48" s="15">
        <v>24.31</v>
      </c>
      <c r="K48" s="16">
        <f>IF(COUNTIFS(Release_Calendar!$A$2:$A$755,"US_CPI",Release_Calendar!$B$2:$B$755,$A48)&gt;0,1,0)</f>
        <v>0</v>
      </c>
      <c r="L48" s="16">
        <f>IF(COUNTIFS(Release_Calendar!$A$2:$A$755,"US_NFP",Release_Calendar!$B$2:$B$755,$A48)&gt;0,1,0)</f>
        <v>0</v>
      </c>
      <c r="M48" s="16" t="str">
        <f>IF($A48&lt;Notes!$B$5,"",IF(COUNTIFS(Release_Calendar!$A$2:$A$755,"NZ_CPI",Release_Calendar!$B$2:$B$755,$A48)&gt;0,1,0))</f>
        <v/>
      </c>
      <c r="N48" s="16" t="str">
        <f>IF($A48&lt;Notes!$B$5,"",IF(COUNTIFS(Release_Calendar!$A$2:$A$755,"NZ_GDP",Release_Calendar!$B$2:$B$755,$A48)&gt;0,1,0))</f>
        <v/>
      </c>
      <c r="O48" s="16" t="str">
        <f>IF($A48&lt;Notes!$B$5,"",IF(COUNTIFS(Release_Calendar!$A$2:$A$755,"NZ_LABOUR",Release_Calendar!$B$2:$B$755,$A48)&gt;0,1,0))</f>
        <v/>
      </c>
      <c r="P48" s="16">
        <f t="shared" si="4"/>
        <v>0</v>
      </c>
    </row>
    <row r="49" ht="15.75" customHeight="1">
      <c r="A49" s="14">
        <v>36593.0</v>
      </c>
      <c r="B49" s="15">
        <v>6.5</v>
      </c>
      <c r="C49" s="15"/>
      <c r="D49" s="15">
        <v>7.01</v>
      </c>
      <c r="E49" s="15"/>
      <c r="F49" s="15" t="str">
        <f t="shared" si="1"/>
        <v/>
      </c>
      <c r="G49" s="15">
        <f t="shared" si="2"/>
        <v>7.01</v>
      </c>
      <c r="H49" s="16">
        <v>1.0</v>
      </c>
      <c r="I49" s="15">
        <f t="shared" si="3"/>
        <v>0.51</v>
      </c>
      <c r="J49" s="15">
        <v>23.82</v>
      </c>
      <c r="K49" s="16">
        <f>IF(COUNTIFS(Release_Calendar!$A$2:$A$755,"US_CPI",Release_Calendar!$B$2:$B$755,$A49)&gt;0,1,0)</f>
        <v>0</v>
      </c>
      <c r="L49" s="16">
        <f>IF(COUNTIFS(Release_Calendar!$A$2:$A$755,"US_NFP",Release_Calendar!$B$2:$B$755,$A49)&gt;0,1,0)</f>
        <v>0</v>
      </c>
      <c r="M49" s="16" t="str">
        <f>IF($A49&lt;Notes!$B$5,"",IF(COUNTIFS(Release_Calendar!$A$2:$A$755,"NZ_CPI",Release_Calendar!$B$2:$B$755,$A49)&gt;0,1,0))</f>
        <v/>
      </c>
      <c r="N49" s="16" t="str">
        <f>IF($A49&lt;Notes!$B$5,"",IF(COUNTIFS(Release_Calendar!$A$2:$A$755,"NZ_GDP",Release_Calendar!$B$2:$B$755,$A49)&gt;0,1,0))</f>
        <v/>
      </c>
      <c r="O49" s="16" t="str">
        <f>IF($A49&lt;Notes!$B$5,"",IF(COUNTIFS(Release_Calendar!$A$2:$A$755,"NZ_LABOUR",Release_Calendar!$B$2:$B$755,$A49)&gt;0,1,0))</f>
        <v/>
      </c>
      <c r="P49" s="16">
        <f t="shared" si="4"/>
        <v>0</v>
      </c>
    </row>
    <row r="50" ht="15.75" customHeight="1">
      <c r="A50" s="14">
        <v>36594.0</v>
      </c>
      <c r="B50" s="15">
        <v>6.48</v>
      </c>
      <c r="C50" s="15"/>
      <c r="D50" s="15">
        <v>7.03</v>
      </c>
      <c r="E50" s="15"/>
      <c r="F50" s="15" t="str">
        <f t="shared" si="1"/>
        <v/>
      </c>
      <c r="G50" s="15">
        <f t="shared" si="2"/>
        <v>7.03</v>
      </c>
      <c r="H50" s="16">
        <v>1.0</v>
      </c>
      <c r="I50" s="15">
        <f t="shared" si="3"/>
        <v>0.55</v>
      </c>
      <c r="J50" s="15">
        <v>22.21</v>
      </c>
      <c r="K50" s="16">
        <f>IF(COUNTIFS(Release_Calendar!$A$2:$A$755,"US_CPI",Release_Calendar!$B$2:$B$755,$A50)&gt;0,1,0)</f>
        <v>0</v>
      </c>
      <c r="L50" s="16">
        <f>IF(COUNTIFS(Release_Calendar!$A$2:$A$755,"US_NFP",Release_Calendar!$B$2:$B$755,$A50)&gt;0,1,0)</f>
        <v>0</v>
      </c>
      <c r="M50" s="16" t="str">
        <f>IF($A50&lt;Notes!$B$5,"",IF(COUNTIFS(Release_Calendar!$A$2:$A$755,"NZ_CPI",Release_Calendar!$B$2:$B$755,$A50)&gt;0,1,0))</f>
        <v/>
      </c>
      <c r="N50" s="16" t="str">
        <f>IF($A50&lt;Notes!$B$5,"",IF(COUNTIFS(Release_Calendar!$A$2:$A$755,"NZ_GDP",Release_Calendar!$B$2:$B$755,$A50)&gt;0,1,0))</f>
        <v/>
      </c>
      <c r="O50" s="16" t="str">
        <f>IF($A50&lt;Notes!$B$5,"",IF(COUNTIFS(Release_Calendar!$A$2:$A$755,"NZ_LABOUR",Release_Calendar!$B$2:$B$755,$A50)&gt;0,1,0))</f>
        <v/>
      </c>
      <c r="P50" s="16">
        <f t="shared" si="4"/>
        <v>0</v>
      </c>
    </row>
    <row r="51" ht="15.75" customHeight="1">
      <c r="A51" s="14">
        <v>36595.0</v>
      </c>
      <c r="B51" s="15">
        <v>6.55</v>
      </c>
      <c r="C51" s="15"/>
      <c r="D51" s="15">
        <v>7.05</v>
      </c>
      <c r="E51" s="15"/>
      <c r="F51" s="15" t="str">
        <f t="shared" si="1"/>
        <v/>
      </c>
      <c r="G51" s="15">
        <f t="shared" si="2"/>
        <v>7.05</v>
      </c>
      <c r="H51" s="16">
        <v>1.0</v>
      </c>
      <c r="I51" s="15">
        <f t="shared" si="3"/>
        <v>0.5</v>
      </c>
      <c r="J51" s="15">
        <v>21.24</v>
      </c>
      <c r="K51" s="16">
        <f>IF(COUNTIFS(Release_Calendar!$A$2:$A$755,"US_CPI",Release_Calendar!$B$2:$B$755,$A51)&gt;0,1,0)</f>
        <v>0</v>
      </c>
      <c r="L51" s="16">
        <f>IF(COUNTIFS(Release_Calendar!$A$2:$A$755,"US_NFP",Release_Calendar!$B$2:$B$755,$A51)&gt;0,1,0)</f>
        <v>0</v>
      </c>
      <c r="M51" s="16" t="str">
        <f>IF($A51&lt;Notes!$B$5,"",IF(COUNTIFS(Release_Calendar!$A$2:$A$755,"NZ_CPI",Release_Calendar!$B$2:$B$755,$A51)&gt;0,1,0))</f>
        <v/>
      </c>
      <c r="N51" s="16" t="str">
        <f>IF($A51&lt;Notes!$B$5,"",IF(COUNTIFS(Release_Calendar!$A$2:$A$755,"NZ_GDP",Release_Calendar!$B$2:$B$755,$A51)&gt;0,1,0))</f>
        <v/>
      </c>
      <c r="O51" s="16" t="str">
        <f>IF($A51&lt;Notes!$B$5,"",IF(COUNTIFS(Release_Calendar!$A$2:$A$755,"NZ_LABOUR",Release_Calendar!$B$2:$B$755,$A51)&gt;0,1,0))</f>
        <v/>
      </c>
      <c r="P51" s="16">
        <f t="shared" si="4"/>
        <v>0</v>
      </c>
    </row>
    <row r="52" ht="15.75" customHeight="1">
      <c r="A52" s="14">
        <v>36598.0</v>
      </c>
      <c r="B52" s="15">
        <v>6.52</v>
      </c>
      <c r="C52" s="15"/>
      <c r="D52" s="15">
        <v>7.06</v>
      </c>
      <c r="E52" s="15"/>
      <c r="F52" s="15" t="str">
        <f t="shared" si="1"/>
        <v/>
      </c>
      <c r="G52" s="15">
        <f t="shared" si="2"/>
        <v>7.06</v>
      </c>
      <c r="H52" s="16">
        <v>1.0</v>
      </c>
      <c r="I52" s="15">
        <f t="shared" si="3"/>
        <v>0.54</v>
      </c>
      <c r="J52" s="15">
        <v>22.85</v>
      </c>
      <c r="K52" s="16">
        <f>IF(COUNTIFS(Release_Calendar!$A$2:$A$755,"US_CPI",Release_Calendar!$B$2:$B$755,$A52)&gt;0,1,0)</f>
        <v>0</v>
      </c>
      <c r="L52" s="16">
        <f>IF(COUNTIFS(Release_Calendar!$A$2:$A$755,"US_NFP",Release_Calendar!$B$2:$B$755,$A52)&gt;0,1,0)</f>
        <v>0</v>
      </c>
      <c r="M52" s="16" t="str">
        <f>IF($A52&lt;Notes!$B$5,"",IF(COUNTIFS(Release_Calendar!$A$2:$A$755,"NZ_CPI",Release_Calendar!$B$2:$B$755,$A52)&gt;0,1,0))</f>
        <v/>
      </c>
      <c r="N52" s="16" t="str">
        <f>IF($A52&lt;Notes!$B$5,"",IF(COUNTIFS(Release_Calendar!$A$2:$A$755,"NZ_GDP",Release_Calendar!$B$2:$B$755,$A52)&gt;0,1,0))</f>
        <v/>
      </c>
      <c r="O52" s="16" t="str">
        <f>IF($A52&lt;Notes!$B$5,"",IF(COUNTIFS(Release_Calendar!$A$2:$A$755,"NZ_LABOUR",Release_Calendar!$B$2:$B$755,$A52)&gt;0,1,0))</f>
        <v/>
      </c>
      <c r="P52" s="16">
        <f t="shared" si="4"/>
        <v>0</v>
      </c>
    </row>
    <row r="53" ht="15.75" customHeight="1">
      <c r="A53" s="14">
        <v>36599.0</v>
      </c>
      <c r="B53" s="15">
        <v>6.48</v>
      </c>
      <c r="C53" s="15"/>
      <c r="D53" s="15">
        <v>7.08</v>
      </c>
      <c r="E53" s="15"/>
      <c r="F53" s="15" t="str">
        <f t="shared" si="1"/>
        <v/>
      </c>
      <c r="G53" s="15">
        <f t="shared" si="2"/>
        <v>7.08</v>
      </c>
      <c r="H53" s="16">
        <v>1.0</v>
      </c>
      <c r="I53" s="15">
        <f t="shared" si="3"/>
        <v>0.6</v>
      </c>
      <c r="J53" s="15">
        <v>24.41</v>
      </c>
      <c r="K53" s="16">
        <f>IF(COUNTIFS(Release_Calendar!$A$2:$A$755,"US_CPI",Release_Calendar!$B$2:$B$755,$A53)&gt;0,1,0)</f>
        <v>0</v>
      </c>
      <c r="L53" s="16">
        <f>IF(COUNTIFS(Release_Calendar!$A$2:$A$755,"US_NFP",Release_Calendar!$B$2:$B$755,$A53)&gt;0,1,0)</f>
        <v>0</v>
      </c>
      <c r="M53" s="16" t="str">
        <f>IF($A53&lt;Notes!$B$5,"",IF(COUNTIFS(Release_Calendar!$A$2:$A$755,"NZ_CPI",Release_Calendar!$B$2:$B$755,$A53)&gt;0,1,0))</f>
        <v/>
      </c>
      <c r="N53" s="16" t="str">
        <f>IF($A53&lt;Notes!$B$5,"",IF(COUNTIFS(Release_Calendar!$A$2:$A$755,"NZ_GDP",Release_Calendar!$B$2:$B$755,$A53)&gt;0,1,0))</f>
        <v/>
      </c>
      <c r="O53" s="16" t="str">
        <f>IF($A53&lt;Notes!$B$5,"",IF(COUNTIFS(Release_Calendar!$A$2:$A$755,"NZ_LABOUR",Release_Calendar!$B$2:$B$755,$A53)&gt;0,1,0))</f>
        <v/>
      </c>
      <c r="P53" s="16">
        <f t="shared" si="4"/>
        <v>0</v>
      </c>
    </row>
    <row r="54" ht="15.75" customHeight="1">
      <c r="A54" s="14">
        <v>36600.0</v>
      </c>
      <c r="B54" s="15">
        <v>6.5</v>
      </c>
      <c r="C54" s="15"/>
      <c r="D54" s="15">
        <v>6.92</v>
      </c>
      <c r="E54" s="15"/>
      <c r="F54" s="15" t="str">
        <f t="shared" si="1"/>
        <v/>
      </c>
      <c r="G54" s="15">
        <f t="shared" si="2"/>
        <v>6.92</v>
      </c>
      <c r="H54" s="16">
        <v>1.0</v>
      </c>
      <c r="I54" s="15">
        <f t="shared" si="3"/>
        <v>0.42</v>
      </c>
      <c r="J54" s="15">
        <v>22.34</v>
      </c>
      <c r="K54" s="16">
        <f>IF(COUNTIFS(Release_Calendar!$A$2:$A$755,"US_CPI",Release_Calendar!$B$2:$B$755,$A54)&gt;0,1,0)</f>
        <v>0</v>
      </c>
      <c r="L54" s="16">
        <f>IF(COUNTIFS(Release_Calendar!$A$2:$A$755,"US_NFP",Release_Calendar!$B$2:$B$755,$A54)&gt;0,1,0)</f>
        <v>0</v>
      </c>
      <c r="M54" s="16" t="str">
        <f>IF($A54&lt;Notes!$B$5,"",IF(COUNTIFS(Release_Calendar!$A$2:$A$755,"NZ_CPI",Release_Calendar!$B$2:$B$755,$A54)&gt;0,1,0))</f>
        <v/>
      </c>
      <c r="N54" s="16" t="str">
        <f>IF($A54&lt;Notes!$B$5,"",IF(COUNTIFS(Release_Calendar!$A$2:$A$755,"NZ_GDP",Release_Calendar!$B$2:$B$755,$A54)&gt;0,1,0))</f>
        <v/>
      </c>
      <c r="O54" s="16" t="str">
        <f>IF($A54&lt;Notes!$B$5,"",IF(COUNTIFS(Release_Calendar!$A$2:$A$755,"NZ_LABOUR",Release_Calendar!$B$2:$B$755,$A54)&gt;0,1,0))</f>
        <v/>
      </c>
      <c r="P54" s="16">
        <f t="shared" si="4"/>
        <v>0</v>
      </c>
    </row>
    <row r="55" ht="15.75" customHeight="1">
      <c r="A55" s="14">
        <v>36601.0</v>
      </c>
      <c r="B55" s="15">
        <v>6.5</v>
      </c>
      <c r="C55" s="15"/>
      <c r="D55" s="15">
        <v>6.89</v>
      </c>
      <c r="E55" s="15"/>
      <c r="F55" s="15" t="str">
        <f t="shared" si="1"/>
        <v/>
      </c>
      <c r="G55" s="15">
        <f t="shared" si="2"/>
        <v>6.89</v>
      </c>
      <c r="H55" s="16">
        <v>1.0</v>
      </c>
      <c r="I55" s="15">
        <f t="shared" si="3"/>
        <v>0.39</v>
      </c>
      <c r="J55" s="15">
        <v>20.77</v>
      </c>
      <c r="K55" s="16">
        <f>IF(COUNTIFS(Release_Calendar!$A$2:$A$755,"US_CPI",Release_Calendar!$B$2:$B$755,$A55)&gt;0,1,0)</f>
        <v>0</v>
      </c>
      <c r="L55" s="16">
        <f>IF(COUNTIFS(Release_Calendar!$A$2:$A$755,"US_NFP",Release_Calendar!$B$2:$B$755,$A55)&gt;0,1,0)</f>
        <v>0</v>
      </c>
      <c r="M55" s="16" t="str">
        <f>IF($A55&lt;Notes!$B$5,"",IF(COUNTIFS(Release_Calendar!$A$2:$A$755,"NZ_CPI",Release_Calendar!$B$2:$B$755,$A55)&gt;0,1,0))</f>
        <v/>
      </c>
      <c r="N55" s="16" t="str">
        <f>IF($A55&lt;Notes!$B$5,"",IF(COUNTIFS(Release_Calendar!$A$2:$A$755,"NZ_GDP",Release_Calendar!$B$2:$B$755,$A55)&gt;0,1,0))</f>
        <v/>
      </c>
      <c r="O55" s="16" t="str">
        <f>IF($A55&lt;Notes!$B$5,"",IF(COUNTIFS(Release_Calendar!$A$2:$A$755,"NZ_LABOUR",Release_Calendar!$B$2:$B$755,$A55)&gt;0,1,0))</f>
        <v/>
      </c>
      <c r="P55" s="16">
        <f t="shared" si="4"/>
        <v>0</v>
      </c>
    </row>
    <row r="56" ht="15.75" customHeight="1">
      <c r="A56" s="14">
        <v>36602.0</v>
      </c>
      <c r="B56" s="15">
        <v>6.5</v>
      </c>
      <c r="C56" s="15"/>
      <c r="D56" s="15">
        <v>6.84</v>
      </c>
      <c r="E56" s="15"/>
      <c r="F56" s="15" t="str">
        <f t="shared" si="1"/>
        <v/>
      </c>
      <c r="G56" s="15">
        <f t="shared" si="2"/>
        <v>6.84</v>
      </c>
      <c r="H56" s="16">
        <v>1.0</v>
      </c>
      <c r="I56" s="15">
        <f t="shared" si="3"/>
        <v>0.34</v>
      </c>
      <c r="J56" s="15">
        <v>22.37</v>
      </c>
      <c r="K56" s="16">
        <f>IF(COUNTIFS(Release_Calendar!$A$2:$A$755,"US_CPI",Release_Calendar!$B$2:$B$755,$A56)&gt;0,1,0)</f>
        <v>1</v>
      </c>
      <c r="L56" s="16">
        <f>IF(COUNTIFS(Release_Calendar!$A$2:$A$755,"US_NFP",Release_Calendar!$B$2:$B$755,$A56)&gt;0,1,0)</f>
        <v>0</v>
      </c>
      <c r="M56" s="16" t="str">
        <f>IF($A56&lt;Notes!$B$5,"",IF(COUNTIFS(Release_Calendar!$A$2:$A$755,"NZ_CPI",Release_Calendar!$B$2:$B$755,$A56)&gt;0,1,0))</f>
        <v/>
      </c>
      <c r="N56" s="16" t="str">
        <f>IF($A56&lt;Notes!$B$5,"",IF(COUNTIFS(Release_Calendar!$A$2:$A$755,"NZ_GDP",Release_Calendar!$B$2:$B$755,$A56)&gt;0,1,0))</f>
        <v/>
      </c>
      <c r="O56" s="16" t="str">
        <f>IF($A56&lt;Notes!$B$5,"",IF(COUNTIFS(Release_Calendar!$A$2:$A$755,"NZ_LABOUR",Release_Calendar!$B$2:$B$755,$A56)&gt;0,1,0))</f>
        <v/>
      </c>
      <c r="P56" s="16">
        <f t="shared" si="4"/>
        <v>1</v>
      </c>
    </row>
    <row r="57" ht="15.75" customHeight="1">
      <c r="A57" s="14">
        <v>36605.0</v>
      </c>
      <c r="B57" s="15">
        <v>6.52</v>
      </c>
      <c r="C57" s="15"/>
      <c r="D57" s="15">
        <v>6.85</v>
      </c>
      <c r="E57" s="15"/>
      <c r="F57" s="15" t="str">
        <f t="shared" si="1"/>
        <v/>
      </c>
      <c r="G57" s="15">
        <f t="shared" si="2"/>
        <v>6.85</v>
      </c>
      <c r="H57" s="16">
        <v>1.0</v>
      </c>
      <c r="I57" s="15">
        <f t="shared" si="3"/>
        <v>0.33</v>
      </c>
      <c r="J57" s="15">
        <v>22.96</v>
      </c>
      <c r="K57" s="16">
        <f>IF(COUNTIFS(Release_Calendar!$A$2:$A$755,"US_CPI",Release_Calendar!$B$2:$B$755,$A57)&gt;0,1,0)</f>
        <v>0</v>
      </c>
      <c r="L57" s="16">
        <f>IF(COUNTIFS(Release_Calendar!$A$2:$A$755,"US_NFP",Release_Calendar!$B$2:$B$755,$A57)&gt;0,1,0)</f>
        <v>0</v>
      </c>
      <c r="M57" s="16" t="str">
        <f>IF($A57&lt;Notes!$B$5,"",IF(COUNTIFS(Release_Calendar!$A$2:$A$755,"NZ_CPI",Release_Calendar!$B$2:$B$755,$A57)&gt;0,1,0))</f>
        <v/>
      </c>
      <c r="N57" s="16" t="str">
        <f>IF($A57&lt;Notes!$B$5,"",IF(COUNTIFS(Release_Calendar!$A$2:$A$755,"NZ_GDP",Release_Calendar!$B$2:$B$755,$A57)&gt;0,1,0))</f>
        <v/>
      </c>
      <c r="O57" s="16" t="str">
        <f>IF($A57&lt;Notes!$B$5,"",IF(COUNTIFS(Release_Calendar!$A$2:$A$755,"NZ_LABOUR",Release_Calendar!$B$2:$B$755,$A57)&gt;0,1,0))</f>
        <v/>
      </c>
      <c r="P57" s="16">
        <f t="shared" si="4"/>
        <v>0</v>
      </c>
    </row>
    <row r="58" ht="15.75" customHeight="1">
      <c r="A58" s="14">
        <v>36606.0</v>
      </c>
      <c r="B58" s="15">
        <v>6.5</v>
      </c>
      <c r="C58" s="15"/>
      <c r="D58" s="15">
        <v>6.87</v>
      </c>
      <c r="E58" s="15"/>
      <c r="F58" s="15" t="str">
        <f t="shared" si="1"/>
        <v/>
      </c>
      <c r="G58" s="15">
        <f t="shared" si="2"/>
        <v>6.87</v>
      </c>
      <c r="H58" s="16">
        <v>1.0</v>
      </c>
      <c r="I58" s="15">
        <f t="shared" si="3"/>
        <v>0.37</v>
      </c>
      <c r="J58" s="15">
        <v>21.7</v>
      </c>
      <c r="K58" s="16">
        <f>IF(COUNTIFS(Release_Calendar!$A$2:$A$755,"US_CPI",Release_Calendar!$B$2:$B$755,$A58)&gt;0,1,0)</f>
        <v>0</v>
      </c>
      <c r="L58" s="16">
        <f>IF(COUNTIFS(Release_Calendar!$A$2:$A$755,"US_NFP",Release_Calendar!$B$2:$B$755,$A58)&gt;0,1,0)</f>
        <v>0</v>
      </c>
      <c r="M58" s="16" t="str">
        <f>IF($A58&lt;Notes!$B$5,"",IF(COUNTIFS(Release_Calendar!$A$2:$A$755,"NZ_CPI",Release_Calendar!$B$2:$B$755,$A58)&gt;0,1,0))</f>
        <v/>
      </c>
      <c r="N58" s="16" t="str">
        <f>IF($A58&lt;Notes!$B$5,"",IF(COUNTIFS(Release_Calendar!$A$2:$A$755,"NZ_GDP",Release_Calendar!$B$2:$B$755,$A58)&gt;0,1,0))</f>
        <v/>
      </c>
      <c r="O58" s="16" t="str">
        <f>IF($A58&lt;Notes!$B$5,"",IF(COUNTIFS(Release_Calendar!$A$2:$A$755,"NZ_LABOUR",Release_Calendar!$B$2:$B$755,$A58)&gt;0,1,0))</f>
        <v/>
      </c>
      <c r="P58" s="16">
        <f t="shared" si="4"/>
        <v>0</v>
      </c>
    </row>
    <row r="59" ht="15.75" customHeight="1">
      <c r="A59" s="14">
        <v>36607.0</v>
      </c>
      <c r="B59" s="15">
        <v>6.5</v>
      </c>
      <c r="C59" s="15"/>
      <c r="D59" s="15">
        <v>6.8</v>
      </c>
      <c r="E59" s="15"/>
      <c r="F59" s="15" t="str">
        <f t="shared" si="1"/>
        <v/>
      </c>
      <c r="G59" s="15">
        <f t="shared" si="2"/>
        <v>6.8</v>
      </c>
      <c r="H59" s="16">
        <v>1.0</v>
      </c>
      <c r="I59" s="15">
        <f t="shared" si="3"/>
        <v>0.3</v>
      </c>
      <c r="J59" s="15">
        <v>21.49</v>
      </c>
      <c r="K59" s="16">
        <f>IF(COUNTIFS(Release_Calendar!$A$2:$A$755,"US_CPI",Release_Calendar!$B$2:$B$755,$A59)&gt;0,1,0)</f>
        <v>0</v>
      </c>
      <c r="L59" s="16">
        <f>IF(COUNTIFS(Release_Calendar!$A$2:$A$755,"US_NFP",Release_Calendar!$B$2:$B$755,$A59)&gt;0,1,0)</f>
        <v>0</v>
      </c>
      <c r="M59" s="16" t="str">
        <f>IF($A59&lt;Notes!$B$5,"",IF(COUNTIFS(Release_Calendar!$A$2:$A$755,"NZ_CPI",Release_Calendar!$B$2:$B$755,$A59)&gt;0,1,0))</f>
        <v/>
      </c>
      <c r="N59" s="16" t="str">
        <f>IF($A59&lt;Notes!$B$5,"",IF(COUNTIFS(Release_Calendar!$A$2:$A$755,"NZ_GDP",Release_Calendar!$B$2:$B$755,$A59)&gt;0,1,0))</f>
        <v/>
      </c>
      <c r="O59" s="16" t="str">
        <f>IF($A59&lt;Notes!$B$5,"",IF(COUNTIFS(Release_Calendar!$A$2:$A$755,"NZ_LABOUR",Release_Calendar!$B$2:$B$755,$A59)&gt;0,1,0))</f>
        <v/>
      </c>
      <c r="P59" s="16">
        <f t="shared" si="4"/>
        <v>0</v>
      </c>
    </row>
    <row r="60" ht="15.75" customHeight="1">
      <c r="A60" s="14">
        <v>36608.0</v>
      </c>
      <c r="B60" s="15">
        <v>6.52</v>
      </c>
      <c r="C60" s="15"/>
      <c r="D60" s="15">
        <v>6.86</v>
      </c>
      <c r="E60" s="15"/>
      <c r="F60" s="15" t="str">
        <f t="shared" si="1"/>
        <v/>
      </c>
      <c r="G60" s="15">
        <f t="shared" si="2"/>
        <v>6.86</v>
      </c>
      <c r="H60" s="16">
        <v>1.0</v>
      </c>
      <c r="I60" s="15">
        <f t="shared" si="3"/>
        <v>0.34</v>
      </c>
      <c r="J60" s="15">
        <v>22.26</v>
      </c>
      <c r="K60" s="16">
        <f>IF(COUNTIFS(Release_Calendar!$A$2:$A$755,"US_CPI",Release_Calendar!$B$2:$B$755,$A60)&gt;0,1,0)</f>
        <v>0</v>
      </c>
      <c r="L60" s="16">
        <f>IF(COUNTIFS(Release_Calendar!$A$2:$A$755,"US_NFP",Release_Calendar!$B$2:$B$755,$A60)&gt;0,1,0)</f>
        <v>0</v>
      </c>
      <c r="M60" s="16" t="str">
        <f>IF($A60&lt;Notes!$B$5,"",IF(COUNTIFS(Release_Calendar!$A$2:$A$755,"NZ_CPI",Release_Calendar!$B$2:$B$755,$A60)&gt;0,1,0))</f>
        <v/>
      </c>
      <c r="N60" s="16" t="str">
        <f>IF($A60&lt;Notes!$B$5,"",IF(COUNTIFS(Release_Calendar!$A$2:$A$755,"NZ_GDP",Release_Calendar!$B$2:$B$755,$A60)&gt;0,1,0))</f>
        <v/>
      </c>
      <c r="O60" s="16" t="str">
        <f>IF($A60&lt;Notes!$B$5,"",IF(COUNTIFS(Release_Calendar!$A$2:$A$755,"NZ_LABOUR",Release_Calendar!$B$2:$B$755,$A60)&gt;0,1,0))</f>
        <v/>
      </c>
      <c r="P60" s="16">
        <f t="shared" si="4"/>
        <v>0</v>
      </c>
    </row>
    <row r="61" ht="15.75" customHeight="1">
      <c r="A61" s="14">
        <v>36609.0</v>
      </c>
      <c r="B61" s="15">
        <v>6.64</v>
      </c>
      <c r="C61" s="15"/>
      <c r="D61" s="15">
        <v>6.87</v>
      </c>
      <c r="E61" s="15"/>
      <c r="F61" s="15" t="str">
        <f t="shared" si="1"/>
        <v/>
      </c>
      <c r="G61" s="15">
        <f t="shared" si="2"/>
        <v>6.87</v>
      </c>
      <c r="H61" s="16">
        <v>1.0</v>
      </c>
      <c r="I61" s="15">
        <f t="shared" si="3"/>
        <v>0.23</v>
      </c>
      <c r="J61" s="15">
        <v>23.31</v>
      </c>
      <c r="K61" s="16">
        <f>IF(COUNTIFS(Release_Calendar!$A$2:$A$755,"US_CPI",Release_Calendar!$B$2:$B$755,$A61)&gt;0,1,0)</f>
        <v>0</v>
      </c>
      <c r="L61" s="16">
        <f>IF(COUNTIFS(Release_Calendar!$A$2:$A$755,"US_NFP",Release_Calendar!$B$2:$B$755,$A61)&gt;0,1,0)</f>
        <v>0</v>
      </c>
      <c r="M61" s="16" t="str">
        <f>IF($A61&lt;Notes!$B$5,"",IF(COUNTIFS(Release_Calendar!$A$2:$A$755,"NZ_CPI",Release_Calendar!$B$2:$B$755,$A61)&gt;0,1,0))</f>
        <v/>
      </c>
      <c r="N61" s="16" t="str">
        <f>IF($A61&lt;Notes!$B$5,"",IF(COUNTIFS(Release_Calendar!$A$2:$A$755,"NZ_GDP",Release_Calendar!$B$2:$B$755,$A61)&gt;0,1,0))</f>
        <v/>
      </c>
      <c r="O61" s="16" t="str">
        <f>IF($A61&lt;Notes!$B$5,"",IF(COUNTIFS(Release_Calendar!$A$2:$A$755,"NZ_LABOUR",Release_Calendar!$B$2:$B$755,$A61)&gt;0,1,0))</f>
        <v/>
      </c>
      <c r="P61" s="16">
        <f t="shared" si="4"/>
        <v>0</v>
      </c>
    </row>
    <row r="62" ht="15.75" customHeight="1">
      <c r="A62" s="14">
        <v>36612.0</v>
      </c>
      <c r="B62" s="15">
        <v>6.66</v>
      </c>
      <c r="C62" s="15"/>
      <c r="D62" s="15">
        <v>7.02</v>
      </c>
      <c r="E62" s="15"/>
      <c r="F62" s="15" t="str">
        <f t="shared" si="1"/>
        <v/>
      </c>
      <c r="G62" s="15">
        <f t="shared" si="2"/>
        <v>7.02</v>
      </c>
      <c r="H62" s="16">
        <v>1.0</v>
      </c>
      <c r="I62" s="15">
        <f t="shared" si="3"/>
        <v>0.36</v>
      </c>
      <c r="J62" s="15">
        <v>24.53</v>
      </c>
      <c r="K62" s="16">
        <f>IF(COUNTIFS(Release_Calendar!$A$2:$A$755,"US_CPI",Release_Calendar!$B$2:$B$755,$A62)&gt;0,1,0)</f>
        <v>0</v>
      </c>
      <c r="L62" s="16">
        <f>IF(COUNTIFS(Release_Calendar!$A$2:$A$755,"US_NFP",Release_Calendar!$B$2:$B$755,$A62)&gt;0,1,0)</f>
        <v>0</v>
      </c>
      <c r="M62" s="16" t="str">
        <f>IF($A62&lt;Notes!$B$5,"",IF(COUNTIFS(Release_Calendar!$A$2:$A$755,"NZ_CPI",Release_Calendar!$B$2:$B$755,$A62)&gt;0,1,0))</f>
        <v/>
      </c>
      <c r="N62" s="16" t="str">
        <f>IF($A62&lt;Notes!$B$5,"",IF(COUNTIFS(Release_Calendar!$A$2:$A$755,"NZ_GDP",Release_Calendar!$B$2:$B$755,$A62)&gt;0,1,0))</f>
        <v/>
      </c>
      <c r="O62" s="16" t="str">
        <f>IF($A62&lt;Notes!$B$5,"",IF(COUNTIFS(Release_Calendar!$A$2:$A$755,"NZ_LABOUR",Release_Calendar!$B$2:$B$755,$A62)&gt;0,1,0))</f>
        <v/>
      </c>
      <c r="P62" s="16">
        <f t="shared" si="4"/>
        <v>0</v>
      </c>
    </row>
    <row r="63" ht="15.75" customHeight="1">
      <c r="A63" s="14">
        <v>36613.0</v>
      </c>
      <c r="B63" s="15">
        <v>6.6</v>
      </c>
      <c r="C63" s="15"/>
      <c r="D63" s="15">
        <v>6.96</v>
      </c>
      <c r="E63" s="15"/>
      <c r="F63" s="15" t="str">
        <f t="shared" si="1"/>
        <v/>
      </c>
      <c r="G63" s="15">
        <f t="shared" si="2"/>
        <v>6.96</v>
      </c>
      <c r="H63" s="16">
        <v>1.0</v>
      </c>
      <c r="I63" s="15">
        <f t="shared" si="3"/>
        <v>0.36</v>
      </c>
      <c r="J63" s="15">
        <v>24.86</v>
      </c>
      <c r="K63" s="16">
        <f>IF(COUNTIFS(Release_Calendar!$A$2:$A$755,"US_CPI",Release_Calendar!$B$2:$B$755,$A63)&gt;0,1,0)</f>
        <v>0</v>
      </c>
      <c r="L63" s="16">
        <f>IF(COUNTIFS(Release_Calendar!$A$2:$A$755,"US_NFP",Release_Calendar!$B$2:$B$755,$A63)&gt;0,1,0)</f>
        <v>0</v>
      </c>
      <c r="M63" s="16" t="str">
        <f>IF($A63&lt;Notes!$B$5,"",IF(COUNTIFS(Release_Calendar!$A$2:$A$755,"NZ_CPI",Release_Calendar!$B$2:$B$755,$A63)&gt;0,1,0))</f>
        <v/>
      </c>
      <c r="N63" s="16" t="str">
        <f>IF($A63&lt;Notes!$B$5,"",IF(COUNTIFS(Release_Calendar!$A$2:$A$755,"NZ_GDP",Release_Calendar!$B$2:$B$755,$A63)&gt;0,1,0))</f>
        <v/>
      </c>
      <c r="O63" s="16" t="str">
        <f>IF($A63&lt;Notes!$B$5,"",IF(COUNTIFS(Release_Calendar!$A$2:$A$755,"NZ_LABOUR",Release_Calendar!$B$2:$B$755,$A63)&gt;0,1,0))</f>
        <v/>
      </c>
      <c r="P63" s="16">
        <f t="shared" si="4"/>
        <v>0</v>
      </c>
    </row>
    <row r="64" ht="15.75" customHeight="1">
      <c r="A64" s="14">
        <v>36614.0</v>
      </c>
      <c r="B64" s="15">
        <v>6.59</v>
      </c>
      <c r="C64" s="15"/>
      <c r="D64" s="15">
        <v>6.91</v>
      </c>
      <c r="E64" s="15"/>
      <c r="F64" s="15" t="str">
        <f t="shared" si="1"/>
        <v/>
      </c>
      <c r="G64" s="15">
        <f t="shared" si="2"/>
        <v>6.91</v>
      </c>
      <c r="H64" s="16">
        <v>1.0</v>
      </c>
      <c r="I64" s="15">
        <f t="shared" si="3"/>
        <v>0.32</v>
      </c>
      <c r="J64" s="15">
        <v>24.1</v>
      </c>
      <c r="K64" s="16">
        <f>IF(COUNTIFS(Release_Calendar!$A$2:$A$755,"US_CPI",Release_Calendar!$B$2:$B$755,$A64)&gt;0,1,0)</f>
        <v>0</v>
      </c>
      <c r="L64" s="16">
        <f>IF(COUNTIFS(Release_Calendar!$A$2:$A$755,"US_NFP",Release_Calendar!$B$2:$B$755,$A64)&gt;0,1,0)</f>
        <v>0</v>
      </c>
      <c r="M64" s="16" t="str">
        <f>IF($A64&lt;Notes!$B$5,"",IF(COUNTIFS(Release_Calendar!$A$2:$A$755,"NZ_CPI",Release_Calendar!$B$2:$B$755,$A64)&gt;0,1,0))</f>
        <v/>
      </c>
      <c r="N64" s="16" t="str">
        <f>IF($A64&lt;Notes!$B$5,"",IF(COUNTIFS(Release_Calendar!$A$2:$A$755,"NZ_GDP",Release_Calendar!$B$2:$B$755,$A64)&gt;0,1,0))</f>
        <v/>
      </c>
      <c r="O64" s="16" t="str">
        <f>IF($A64&lt;Notes!$B$5,"",IF(COUNTIFS(Release_Calendar!$A$2:$A$755,"NZ_LABOUR",Release_Calendar!$B$2:$B$755,$A64)&gt;0,1,0))</f>
        <v/>
      </c>
      <c r="P64" s="16">
        <f t="shared" si="4"/>
        <v>0</v>
      </c>
    </row>
    <row r="65" ht="15.75" customHeight="1">
      <c r="A65" s="14">
        <v>36615.0</v>
      </c>
      <c r="B65" s="15">
        <v>6.52</v>
      </c>
      <c r="C65" s="15"/>
      <c r="D65" s="15">
        <v>7.01</v>
      </c>
      <c r="E65" s="15"/>
      <c r="F65" s="15" t="str">
        <f t="shared" si="1"/>
        <v/>
      </c>
      <c r="G65" s="15">
        <f t="shared" si="2"/>
        <v>7.01</v>
      </c>
      <c r="H65" s="16">
        <v>1.0</v>
      </c>
      <c r="I65" s="15">
        <f t="shared" si="3"/>
        <v>0.49</v>
      </c>
      <c r="J65" s="15">
        <v>25.47</v>
      </c>
      <c r="K65" s="16">
        <f>IF(COUNTIFS(Release_Calendar!$A$2:$A$755,"US_CPI",Release_Calendar!$B$2:$B$755,$A65)&gt;0,1,0)</f>
        <v>0</v>
      </c>
      <c r="L65" s="16">
        <f>IF(COUNTIFS(Release_Calendar!$A$2:$A$755,"US_NFP",Release_Calendar!$B$2:$B$755,$A65)&gt;0,1,0)</f>
        <v>0</v>
      </c>
      <c r="M65" s="16" t="str">
        <f>IF($A65&lt;Notes!$B$5,"",IF(COUNTIFS(Release_Calendar!$A$2:$A$755,"NZ_CPI",Release_Calendar!$B$2:$B$755,$A65)&gt;0,1,0))</f>
        <v/>
      </c>
      <c r="N65" s="16" t="str">
        <f>IF($A65&lt;Notes!$B$5,"",IF(COUNTIFS(Release_Calendar!$A$2:$A$755,"NZ_GDP",Release_Calendar!$B$2:$B$755,$A65)&gt;0,1,0))</f>
        <v/>
      </c>
      <c r="O65" s="16" t="str">
        <f>IF($A65&lt;Notes!$B$5,"",IF(COUNTIFS(Release_Calendar!$A$2:$A$755,"NZ_LABOUR",Release_Calendar!$B$2:$B$755,$A65)&gt;0,1,0))</f>
        <v/>
      </c>
      <c r="P65" s="16">
        <f t="shared" si="4"/>
        <v>0</v>
      </c>
    </row>
    <row r="66" ht="15.75" customHeight="1">
      <c r="A66" s="14">
        <v>36616.0</v>
      </c>
      <c r="B66" s="15">
        <v>6.5</v>
      </c>
      <c r="C66" s="15"/>
      <c r="D66" s="15">
        <v>6.99</v>
      </c>
      <c r="E66" s="15"/>
      <c r="F66" s="15" t="str">
        <f t="shared" si="1"/>
        <v/>
      </c>
      <c r="G66" s="15">
        <f t="shared" si="2"/>
        <v>6.99</v>
      </c>
      <c r="H66" s="16">
        <v>1.0</v>
      </c>
      <c r="I66" s="15">
        <f t="shared" si="3"/>
        <v>0.49</v>
      </c>
      <c r="J66" s="15">
        <v>24.11</v>
      </c>
      <c r="K66" s="16">
        <f>IF(COUNTIFS(Release_Calendar!$A$2:$A$755,"US_CPI",Release_Calendar!$B$2:$B$755,$A66)&gt;0,1,0)</f>
        <v>0</v>
      </c>
      <c r="L66" s="16">
        <f>IF(COUNTIFS(Release_Calendar!$A$2:$A$755,"US_NFP",Release_Calendar!$B$2:$B$755,$A66)&gt;0,1,0)</f>
        <v>0</v>
      </c>
      <c r="M66" s="16" t="str">
        <f>IF($A66&lt;Notes!$B$5,"",IF(COUNTIFS(Release_Calendar!$A$2:$A$755,"NZ_CPI",Release_Calendar!$B$2:$B$755,$A66)&gt;0,1,0))</f>
        <v/>
      </c>
      <c r="N66" s="16" t="str">
        <f>IF($A66&lt;Notes!$B$5,"",IF(COUNTIFS(Release_Calendar!$A$2:$A$755,"NZ_GDP",Release_Calendar!$B$2:$B$755,$A66)&gt;0,1,0))</f>
        <v/>
      </c>
      <c r="O66" s="16" t="str">
        <f>IF($A66&lt;Notes!$B$5,"",IF(COUNTIFS(Release_Calendar!$A$2:$A$755,"NZ_LABOUR",Release_Calendar!$B$2:$B$755,$A66)&gt;0,1,0))</f>
        <v/>
      </c>
      <c r="P66" s="16">
        <f t="shared" si="4"/>
        <v>0</v>
      </c>
    </row>
    <row r="67" ht="15.75" customHeight="1">
      <c r="A67" s="14">
        <v>36619.0</v>
      </c>
      <c r="B67" s="15">
        <v>6.45</v>
      </c>
      <c r="C67" s="15"/>
      <c r="D67" s="15">
        <v>6.94</v>
      </c>
      <c r="E67" s="15"/>
      <c r="F67" s="15" t="str">
        <f t="shared" si="1"/>
        <v/>
      </c>
      <c r="G67" s="15">
        <f t="shared" si="2"/>
        <v>6.94</v>
      </c>
      <c r="H67" s="16">
        <v>1.0</v>
      </c>
      <c r="I67" s="15">
        <f t="shared" si="3"/>
        <v>0.49</v>
      </c>
      <c r="J67" s="15">
        <v>24.03</v>
      </c>
      <c r="K67" s="16">
        <f>IF(COUNTIFS(Release_Calendar!$A$2:$A$755,"US_CPI",Release_Calendar!$B$2:$B$755,$A67)&gt;0,1,0)</f>
        <v>0</v>
      </c>
      <c r="L67" s="16">
        <f>IF(COUNTIFS(Release_Calendar!$A$2:$A$755,"US_NFP",Release_Calendar!$B$2:$B$755,$A67)&gt;0,1,0)</f>
        <v>0</v>
      </c>
      <c r="M67" s="16" t="str">
        <f>IF($A67&lt;Notes!$B$5,"",IF(COUNTIFS(Release_Calendar!$A$2:$A$755,"NZ_CPI",Release_Calendar!$B$2:$B$755,$A67)&gt;0,1,0))</f>
        <v/>
      </c>
      <c r="N67" s="16" t="str">
        <f>IF($A67&lt;Notes!$B$5,"",IF(COUNTIFS(Release_Calendar!$A$2:$A$755,"NZ_GDP",Release_Calendar!$B$2:$B$755,$A67)&gt;0,1,0))</f>
        <v/>
      </c>
      <c r="O67" s="16" t="str">
        <f>IF($A67&lt;Notes!$B$5,"",IF(COUNTIFS(Release_Calendar!$A$2:$A$755,"NZ_LABOUR",Release_Calendar!$B$2:$B$755,$A67)&gt;0,1,0))</f>
        <v/>
      </c>
      <c r="P67" s="16">
        <f t="shared" si="4"/>
        <v>0</v>
      </c>
    </row>
    <row r="68" ht="15.75" customHeight="1">
      <c r="A68" s="14">
        <v>36620.0</v>
      </c>
      <c r="B68" s="15">
        <v>6.35</v>
      </c>
      <c r="C68" s="15"/>
      <c r="D68" s="15">
        <v>6.95</v>
      </c>
      <c r="E68" s="15"/>
      <c r="F68" s="15" t="str">
        <f t="shared" si="1"/>
        <v/>
      </c>
      <c r="G68" s="15">
        <f t="shared" si="2"/>
        <v>6.95</v>
      </c>
      <c r="H68" s="16">
        <v>1.0</v>
      </c>
      <c r="I68" s="15">
        <f t="shared" si="3"/>
        <v>0.6</v>
      </c>
      <c r="J68" s="15">
        <v>27.12</v>
      </c>
      <c r="K68" s="16">
        <f>IF(COUNTIFS(Release_Calendar!$A$2:$A$755,"US_CPI",Release_Calendar!$B$2:$B$755,$A68)&gt;0,1,0)</f>
        <v>0</v>
      </c>
      <c r="L68" s="16">
        <f>IF(COUNTIFS(Release_Calendar!$A$2:$A$755,"US_NFP",Release_Calendar!$B$2:$B$755,$A68)&gt;0,1,0)</f>
        <v>0</v>
      </c>
      <c r="M68" s="16" t="str">
        <f>IF($A68&lt;Notes!$B$5,"",IF(COUNTIFS(Release_Calendar!$A$2:$A$755,"NZ_CPI",Release_Calendar!$B$2:$B$755,$A68)&gt;0,1,0))</f>
        <v/>
      </c>
      <c r="N68" s="16" t="str">
        <f>IF($A68&lt;Notes!$B$5,"",IF(COUNTIFS(Release_Calendar!$A$2:$A$755,"NZ_GDP",Release_Calendar!$B$2:$B$755,$A68)&gt;0,1,0))</f>
        <v/>
      </c>
      <c r="O68" s="16" t="str">
        <f>IF($A68&lt;Notes!$B$5,"",IF(COUNTIFS(Release_Calendar!$A$2:$A$755,"NZ_LABOUR",Release_Calendar!$B$2:$B$755,$A68)&gt;0,1,0))</f>
        <v/>
      </c>
      <c r="P68" s="16">
        <f t="shared" si="4"/>
        <v>0</v>
      </c>
    </row>
    <row r="69" ht="15.75" customHeight="1">
      <c r="A69" s="14">
        <v>36621.0</v>
      </c>
      <c r="B69" s="15">
        <v>6.35</v>
      </c>
      <c r="C69" s="15"/>
      <c r="D69" s="15">
        <v>6.93</v>
      </c>
      <c r="E69" s="15"/>
      <c r="F69" s="15" t="str">
        <f t="shared" si="1"/>
        <v/>
      </c>
      <c r="G69" s="15">
        <f t="shared" si="2"/>
        <v>6.93</v>
      </c>
      <c r="H69" s="16">
        <v>1.0</v>
      </c>
      <c r="I69" s="15">
        <f t="shared" si="3"/>
        <v>0.58</v>
      </c>
      <c r="J69" s="15">
        <v>28.41</v>
      </c>
      <c r="K69" s="16">
        <f>IF(COUNTIFS(Release_Calendar!$A$2:$A$755,"US_CPI",Release_Calendar!$B$2:$B$755,$A69)&gt;0,1,0)</f>
        <v>0</v>
      </c>
      <c r="L69" s="16">
        <f>IF(COUNTIFS(Release_Calendar!$A$2:$A$755,"US_NFP",Release_Calendar!$B$2:$B$755,$A69)&gt;0,1,0)</f>
        <v>0</v>
      </c>
      <c r="M69" s="16" t="str">
        <f>IF($A69&lt;Notes!$B$5,"",IF(COUNTIFS(Release_Calendar!$A$2:$A$755,"NZ_CPI",Release_Calendar!$B$2:$B$755,$A69)&gt;0,1,0))</f>
        <v/>
      </c>
      <c r="N69" s="16" t="str">
        <f>IF($A69&lt;Notes!$B$5,"",IF(COUNTIFS(Release_Calendar!$A$2:$A$755,"NZ_GDP",Release_Calendar!$B$2:$B$755,$A69)&gt;0,1,0))</f>
        <v/>
      </c>
      <c r="O69" s="16" t="str">
        <f>IF($A69&lt;Notes!$B$5,"",IF(COUNTIFS(Release_Calendar!$A$2:$A$755,"NZ_LABOUR",Release_Calendar!$B$2:$B$755,$A69)&gt;0,1,0))</f>
        <v/>
      </c>
      <c r="P69" s="16">
        <f t="shared" si="4"/>
        <v>0</v>
      </c>
    </row>
    <row r="70" ht="15.75" customHeight="1">
      <c r="A70" s="14">
        <v>36622.0</v>
      </c>
      <c r="B70" s="15">
        <v>6.38</v>
      </c>
      <c r="C70" s="15"/>
      <c r="D70" s="15">
        <v>6.91</v>
      </c>
      <c r="E70" s="15"/>
      <c r="F70" s="15" t="str">
        <f t="shared" si="1"/>
        <v/>
      </c>
      <c r="G70" s="15">
        <f t="shared" si="2"/>
        <v>6.91</v>
      </c>
      <c r="H70" s="16">
        <v>1.0</v>
      </c>
      <c r="I70" s="15">
        <f t="shared" si="3"/>
        <v>0.53</v>
      </c>
      <c r="J70" s="15">
        <v>27.15</v>
      </c>
      <c r="K70" s="16">
        <f>IF(COUNTIFS(Release_Calendar!$A$2:$A$755,"US_CPI",Release_Calendar!$B$2:$B$755,$A70)&gt;0,1,0)</f>
        <v>0</v>
      </c>
      <c r="L70" s="16">
        <f>IF(COUNTIFS(Release_Calendar!$A$2:$A$755,"US_NFP",Release_Calendar!$B$2:$B$755,$A70)&gt;0,1,0)</f>
        <v>0</v>
      </c>
      <c r="M70" s="16" t="str">
        <f>IF($A70&lt;Notes!$B$5,"",IF(COUNTIFS(Release_Calendar!$A$2:$A$755,"NZ_CPI",Release_Calendar!$B$2:$B$755,$A70)&gt;0,1,0))</f>
        <v/>
      </c>
      <c r="N70" s="16" t="str">
        <f>IF($A70&lt;Notes!$B$5,"",IF(COUNTIFS(Release_Calendar!$A$2:$A$755,"NZ_GDP",Release_Calendar!$B$2:$B$755,$A70)&gt;0,1,0))</f>
        <v/>
      </c>
      <c r="O70" s="16" t="str">
        <f>IF($A70&lt;Notes!$B$5,"",IF(COUNTIFS(Release_Calendar!$A$2:$A$755,"NZ_LABOUR",Release_Calendar!$B$2:$B$755,$A70)&gt;0,1,0))</f>
        <v/>
      </c>
      <c r="P70" s="16">
        <f t="shared" si="4"/>
        <v>0</v>
      </c>
    </row>
    <row r="71" ht="15.75" customHeight="1">
      <c r="A71" s="14">
        <v>36623.0</v>
      </c>
      <c r="B71" s="15">
        <v>6.38</v>
      </c>
      <c r="C71" s="15"/>
      <c r="D71" s="15">
        <v>6.91</v>
      </c>
      <c r="E71" s="15"/>
      <c r="F71" s="15" t="str">
        <f t="shared" si="1"/>
        <v/>
      </c>
      <c r="G71" s="15">
        <f t="shared" si="2"/>
        <v>6.91</v>
      </c>
      <c r="H71" s="16">
        <v>1.0</v>
      </c>
      <c r="I71" s="15">
        <f t="shared" si="3"/>
        <v>0.53</v>
      </c>
      <c r="J71" s="15">
        <v>24.39</v>
      </c>
      <c r="K71" s="16">
        <f>IF(COUNTIFS(Release_Calendar!$A$2:$A$755,"US_CPI",Release_Calendar!$B$2:$B$755,$A71)&gt;0,1,0)</f>
        <v>0</v>
      </c>
      <c r="L71" s="16">
        <f>IF(COUNTIFS(Release_Calendar!$A$2:$A$755,"US_NFP",Release_Calendar!$B$2:$B$755,$A71)&gt;0,1,0)</f>
        <v>1</v>
      </c>
      <c r="M71" s="16" t="str">
        <f>IF($A71&lt;Notes!$B$5,"",IF(COUNTIFS(Release_Calendar!$A$2:$A$755,"NZ_CPI",Release_Calendar!$B$2:$B$755,$A71)&gt;0,1,0))</f>
        <v/>
      </c>
      <c r="N71" s="16" t="str">
        <f>IF($A71&lt;Notes!$B$5,"",IF(COUNTIFS(Release_Calendar!$A$2:$A$755,"NZ_GDP",Release_Calendar!$B$2:$B$755,$A71)&gt;0,1,0))</f>
        <v/>
      </c>
      <c r="O71" s="16" t="str">
        <f>IF($A71&lt;Notes!$B$5,"",IF(COUNTIFS(Release_Calendar!$A$2:$A$755,"NZ_LABOUR",Release_Calendar!$B$2:$B$755,$A71)&gt;0,1,0))</f>
        <v/>
      </c>
      <c r="P71" s="16">
        <f t="shared" si="4"/>
        <v>1</v>
      </c>
    </row>
    <row r="72" ht="15.75" customHeight="1">
      <c r="A72" s="14">
        <v>36626.0</v>
      </c>
      <c r="B72" s="15">
        <v>6.31</v>
      </c>
      <c r="C72" s="15"/>
      <c r="D72" s="15">
        <v>6.9</v>
      </c>
      <c r="E72" s="15"/>
      <c r="F72" s="15" t="str">
        <f t="shared" si="1"/>
        <v/>
      </c>
      <c r="G72" s="15">
        <f t="shared" si="2"/>
        <v>6.9</v>
      </c>
      <c r="H72" s="16">
        <v>1.0</v>
      </c>
      <c r="I72" s="15">
        <f t="shared" si="3"/>
        <v>0.59</v>
      </c>
      <c r="J72" s="15">
        <v>25.99</v>
      </c>
      <c r="K72" s="16">
        <f>IF(COUNTIFS(Release_Calendar!$A$2:$A$755,"US_CPI",Release_Calendar!$B$2:$B$755,$A72)&gt;0,1,0)</f>
        <v>0</v>
      </c>
      <c r="L72" s="16">
        <f>IF(COUNTIFS(Release_Calendar!$A$2:$A$755,"US_NFP",Release_Calendar!$B$2:$B$755,$A72)&gt;0,1,0)</f>
        <v>0</v>
      </c>
      <c r="M72" s="16" t="str">
        <f>IF($A72&lt;Notes!$B$5,"",IF(COUNTIFS(Release_Calendar!$A$2:$A$755,"NZ_CPI",Release_Calendar!$B$2:$B$755,$A72)&gt;0,1,0))</f>
        <v/>
      </c>
      <c r="N72" s="16" t="str">
        <f>IF($A72&lt;Notes!$B$5,"",IF(COUNTIFS(Release_Calendar!$A$2:$A$755,"NZ_GDP",Release_Calendar!$B$2:$B$755,$A72)&gt;0,1,0))</f>
        <v/>
      </c>
      <c r="O72" s="16" t="str">
        <f>IF($A72&lt;Notes!$B$5,"",IF(COUNTIFS(Release_Calendar!$A$2:$A$755,"NZ_LABOUR",Release_Calendar!$B$2:$B$755,$A72)&gt;0,1,0))</f>
        <v/>
      </c>
      <c r="P72" s="16">
        <f t="shared" si="4"/>
        <v>0</v>
      </c>
    </row>
    <row r="73" ht="15.75" customHeight="1">
      <c r="A73" s="14">
        <v>36627.0</v>
      </c>
      <c r="B73" s="15">
        <v>6.36</v>
      </c>
      <c r="C73" s="15"/>
      <c r="D73" s="15">
        <v>6.87</v>
      </c>
      <c r="E73" s="15"/>
      <c r="F73" s="15" t="str">
        <f t="shared" si="1"/>
        <v/>
      </c>
      <c r="G73" s="15">
        <f t="shared" si="2"/>
        <v>6.87</v>
      </c>
      <c r="H73" s="16">
        <v>1.0</v>
      </c>
      <c r="I73" s="15">
        <f t="shared" si="3"/>
        <v>0.51</v>
      </c>
      <c r="J73" s="15">
        <v>27.25</v>
      </c>
      <c r="K73" s="16">
        <f>IF(COUNTIFS(Release_Calendar!$A$2:$A$755,"US_CPI",Release_Calendar!$B$2:$B$755,$A73)&gt;0,1,0)</f>
        <v>0</v>
      </c>
      <c r="L73" s="16">
        <f>IF(COUNTIFS(Release_Calendar!$A$2:$A$755,"US_NFP",Release_Calendar!$B$2:$B$755,$A73)&gt;0,1,0)</f>
        <v>0</v>
      </c>
      <c r="M73" s="16" t="str">
        <f>IF($A73&lt;Notes!$B$5,"",IF(COUNTIFS(Release_Calendar!$A$2:$A$755,"NZ_CPI",Release_Calendar!$B$2:$B$755,$A73)&gt;0,1,0))</f>
        <v/>
      </c>
      <c r="N73" s="16" t="str">
        <f>IF($A73&lt;Notes!$B$5,"",IF(COUNTIFS(Release_Calendar!$A$2:$A$755,"NZ_GDP",Release_Calendar!$B$2:$B$755,$A73)&gt;0,1,0))</f>
        <v/>
      </c>
      <c r="O73" s="16" t="str">
        <f>IF($A73&lt;Notes!$B$5,"",IF(COUNTIFS(Release_Calendar!$A$2:$A$755,"NZ_LABOUR",Release_Calendar!$B$2:$B$755,$A73)&gt;0,1,0))</f>
        <v/>
      </c>
      <c r="P73" s="16">
        <f t="shared" si="4"/>
        <v>0</v>
      </c>
    </row>
    <row r="74" ht="15.75" customHeight="1">
      <c r="A74" s="14">
        <v>36628.0</v>
      </c>
      <c r="B74" s="15">
        <v>6.4</v>
      </c>
      <c r="C74" s="15"/>
      <c r="D74" s="15">
        <v>6.87</v>
      </c>
      <c r="E74" s="15"/>
      <c r="F74" s="15" t="str">
        <f t="shared" si="1"/>
        <v/>
      </c>
      <c r="G74" s="15">
        <f t="shared" si="2"/>
        <v>6.87</v>
      </c>
      <c r="H74" s="16">
        <v>1.0</v>
      </c>
      <c r="I74" s="15">
        <f t="shared" si="3"/>
        <v>0.47</v>
      </c>
      <c r="J74" s="15">
        <v>28.98</v>
      </c>
      <c r="K74" s="16">
        <f>IF(COUNTIFS(Release_Calendar!$A$2:$A$755,"US_CPI",Release_Calendar!$B$2:$B$755,$A74)&gt;0,1,0)</f>
        <v>0</v>
      </c>
      <c r="L74" s="16">
        <f>IF(COUNTIFS(Release_Calendar!$A$2:$A$755,"US_NFP",Release_Calendar!$B$2:$B$755,$A74)&gt;0,1,0)</f>
        <v>0</v>
      </c>
      <c r="M74" s="16" t="str">
        <f>IF($A74&lt;Notes!$B$5,"",IF(COUNTIFS(Release_Calendar!$A$2:$A$755,"NZ_CPI",Release_Calendar!$B$2:$B$755,$A74)&gt;0,1,0))</f>
        <v/>
      </c>
      <c r="N74" s="16" t="str">
        <f>IF($A74&lt;Notes!$B$5,"",IF(COUNTIFS(Release_Calendar!$A$2:$A$755,"NZ_GDP",Release_Calendar!$B$2:$B$755,$A74)&gt;0,1,0))</f>
        <v/>
      </c>
      <c r="O74" s="16" t="str">
        <f>IF($A74&lt;Notes!$B$5,"",IF(COUNTIFS(Release_Calendar!$A$2:$A$755,"NZ_LABOUR",Release_Calendar!$B$2:$B$755,$A74)&gt;0,1,0))</f>
        <v/>
      </c>
      <c r="P74" s="16">
        <f t="shared" si="4"/>
        <v>0</v>
      </c>
    </row>
    <row r="75" ht="15.75" customHeight="1">
      <c r="A75" s="14">
        <v>36629.0</v>
      </c>
      <c r="B75" s="15">
        <v>6.4</v>
      </c>
      <c r="C75" s="15"/>
      <c r="D75" s="15">
        <v>6.87</v>
      </c>
      <c r="E75" s="15"/>
      <c r="F75" s="15" t="str">
        <f t="shared" si="1"/>
        <v/>
      </c>
      <c r="G75" s="15">
        <f t="shared" si="2"/>
        <v>6.87</v>
      </c>
      <c r="H75" s="16">
        <v>1.0</v>
      </c>
      <c r="I75" s="15">
        <f t="shared" si="3"/>
        <v>0.47</v>
      </c>
      <c r="J75" s="15">
        <v>29.4</v>
      </c>
      <c r="K75" s="16">
        <f>IF(COUNTIFS(Release_Calendar!$A$2:$A$755,"US_CPI",Release_Calendar!$B$2:$B$755,$A75)&gt;0,1,0)</f>
        <v>0</v>
      </c>
      <c r="L75" s="16">
        <f>IF(COUNTIFS(Release_Calendar!$A$2:$A$755,"US_NFP",Release_Calendar!$B$2:$B$755,$A75)&gt;0,1,0)</f>
        <v>0</v>
      </c>
      <c r="M75" s="16" t="str">
        <f>IF($A75&lt;Notes!$B$5,"",IF(COUNTIFS(Release_Calendar!$A$2:$A$755,"NZ_CPI",Release_Calendar!$B$2:$B$755,$A75)&gt;0,1,0))</f>
        <v/>
      </c>
      <c r="N75" s="16" t="str">
        <f>IF($A75&lt;Notes!$B$5,"",IF(COUNTIFS(Release_Calendar!$A$2:$A$755,"NZ_GDP",Release_Calendar!$B$2:$B$755,$A75)&gt;0,1,0))</f>
        <v/>
      </c>
      <c r="O75" s="16" t="str">
        <f>IF($A75&lt;Notes!$B$5,"",IF(COUNTIFS(Release_Calendar!$A$2:$A$755,"NZ_LABOUR",Release_Calendar!$B$2:$B$755,$A75)&gt;0,1,0))</f>
        <v/>
      </c>
      <c r="P75" s="16">
        <f t="shared" si="4"/>
        <v>0</v>
      </c>
    </row>
    <row r="76" ht="15.75" customHeight="1">
      <c r="A76" s="14">
        <v>36630.0</v>
      </c>
      <c r="B76" s="15">
        <v>6.27</v>
      </c>
      <c r="C76" s="15"/>
      <c r="D76" s="15">
        <v>6.8</v>
      </c>
      <c r="E76" s="15"/>
      <c r="F76" s="15" t="str">
        <f t="shared" si="1"/>
        <v/>
      </c>
      <c r="G76" s="15">
        <f t="shared" si="2"/>
        <v>6.8</v>
      </c>
      <c r="H76" s="16">
        <v>1.0</v>
      </c>
      <c r="I76" s="15">
        <f t="shared" si="3"/>
        <v>0.53</v>
      </c>
      <c r="J76" s="15">
        <v>33.49</v>
      </c>
      <c r="K76" s="16">
        <f>IF(COUNTIFS(Release_Calendar!$A$2:$A$755,"US_CPI",Release_Calendar!$B$2:$B$755,$A76)&gt;0,1,0)</f>
        <v>1</v>
      </c>
      <c r="L76" s="16">
        <f>IF(COUNTIFS(Release_Calendar!$A$2:$A$755,"US_NFP",Release_Calendar!$B$2:$B$755,$A76)&gt;0,1,0)</f>
        <v>0</v>
      </c>
      <c r="M76" s="16" t="str">
        <f>IF($A76&lt;Notes!$B$5,"",IF(COUNTIFS(Release_Calendar!$A$2:$A$755,"NZ_CPI",Release_Calendar!$B$2:$B$755,$A76)&gt;0,1,0))</f>
        <v/>
      </c>
      <c r="N76" s="16" t="str">
        <f>IF($A76&lt;Notes!$B$5,"",IF(COUNTIFS(Release_Calendar!$A$2:$A$755,"NZ_GDP",Release_Calendar!$B$2:$B$755,$A76)&gt;0,1,0))</f>
        <v/>
      </c>
      <c r="O76" s="16" t="str">
        <f>IF($A76&lt;Notes!$B$5,"",IF(COUNTIFS(Release_Calendar!$A$2:$A$755,"NZ_LABOUR",Release_Calendar!$B$2:$B$755,$A76)&gt;0,1,0))</f>
        <v/>
      </c>
      <c r="P76" s="16">
        <f t="shared" si="4"/>
        <v>1</v>
      </c>
    </row>
    <row r="77" ht="15.75" customHeight="1">
      <c r="A77" s="14">
        <v>36633.0</v>
      </c>
      <c r="B77" s="15">
        <v>6.33</v>
      </c>
      <c r="C77" s="15"/>
      <c r="D77" s="15">
        <v>6.7</v>
      </c>
      <c r="E77" s="15"/>
      <c r="F77" s="15" t="str">
        <f t="shared" si="1"/>
        <v/>
      </c>
      <c r="G77" s="15">
        <f t="shared" si="2"/>
        <v>6.7</v>
      </c>
      <c r="H77" s="16">
        <v>1.0</v>
      </c>
      <c r="I77" s="15">
        <f t="shared" si="3"/>
        <v>0.37</v>
      </c>
      <c r="J77" s="15">
        <v>28.95</v>
      </c>
      <c r="K77" s="16">
        <f>IF(COUNTIFS(Release_Calendar!$A$2:$A$755,"US_CPI",Release_Calendar!$B$2:$B$755,$A77)&gt;0,1,0)</f>
        <v>0</v>
      </c>
      <c r="L77" s="16">
        <f>IF(COUNTIFS(Release_Calendar!$A$2:$A$755,"US_NFP",Release_Calendar!$B$2:$B$755,$A77)&gt;0,1,0)</f>
        <v>0</v>
      </c>
      <c r="M77" s="16" t="str">
        <f>IF($A77&lt;Notes!$B$5,"",IF(COUNTIFS(Release_Calendar!$A$2:$A$755,"NZ_CPI",Release_Calendar!$B$2:$B$755,$A77)&gt;0,1,0))</f>
        <v/>
      </c>
      <c r="N77" s="16" t="str">
        <f>IF($A77&lt;Notes!$B$5,"",IF(COUNTIFS(Release_Calendar!$A$2:$A$755,"NZ_GDP",Release_Calendar!$B$2:$B$755,$A77)&gt;0,1,0))</f>
        <v/>
      </c>
      <c r="O77" s="16" t="str">
        <f>IF($A77&lt;Notes!$B$5,"",IF(COUNTIFS(Release_Calendar!$A$2:$A$755,"NZ_LABOUR",Release_Calendar!$B$2:$B$755,$A77)&gt;0,1,0))</f>
        <v/>
      </c>
      <c r="P77" s="16">
        <f t="shared" si="4"/>
        <v>0</v>
      </c>
    </row>
    <row r="78" ht="15.75" customHeight="1">
      <c r="A78" s="14">
        <v>36634.0</v>
      </c>
      <c r="B78" s="15">
        <v>6.33</v>
      </c>
      <c r="C78" s="15"/>
      <c r="D78" s="15">
        <v>6.74</v>
      </c>
      <c r="E78" s="15"/>
      <c r="F78" s="15" t="str">
        <f t="shared" si="1"/>
        <v/>
      </c>
      <c r="G78" s="15">
        <f t="shared" si="2"/>
        <v>6.74</v>
      </c>
      <c r="H78" s="16">
        <v>1.0</v>
      </c>
      <c r="I78" s="15">
        <f t="shared" si="3"/>
        <v>0.41</v>
      </c>
      <c r="J78" s="15">
        <v>26.12</v>
      </c>
      <c r="K78" s="16">
        <f>IF(COUNTIFS(Release_Calendar!$A$2:$A$755,"US_CPI",Release_Calendar!$B$2:$B$755,$A78)&gt;0,1,0)</f>
        <v>0</v>
      </c>
      <c r="L78" s="16">
        <f>IF(COUNTIFS(Release_Calendar!$A$2:$A$755,"US_NFP",Release_Calendar!$B$2:$B$755,$A78)&gt;0,1,0)</f>
        <v>0</v>
      </c>
      <c r="M78" s="16" t="str">
        <f>IF($A78&lt;Notes!$B$5,"",IF(COUNTIFS(Release_Calendar!$A$2:$A$755,"NZ_CPI",Release_Calendar!$B$2:$B$755,$A78)&gt;0,1,0))</f>
        <v/>
      </c>
      <c r="N78" s="16" t="str">
        <f>IF($A78&lt;Notes!$B$5,"",IF(COUNTIFS(Release_Calendar!$A$2:$A$755,"NZ_GDP",Release_Calendar!$B$2:$B$755,$A78)&gt;0,1,0))</f>
        <v/>
      </c>
      <c r="O78" s="16" t="str">
        <f>IF($A78&lt;Notes!$B$5,"",IF(COUNTIFS(Release_Calendar!$A$2:$A$755,"NZ_LABOUR",Release_Calendar!$B$2:$B$755,$A78)&gt;0,1,0))</f>
        <v/>
      </c>
      <c r="P78" s="16">
        <f t="shared" si="4"/>
        <v>0</v>
      </c>
    </row>
    <row r="79" ht="15.75" customHeight="1">
      <c r="A79" s="14">
        <v>36635.0</v>
      </c>
      <c r="B79" s="15">
        <v>6.33</v>
      </c>
      <c r="C79" s="15"/>
      <c r="D79" s="15">
        <v>6.79</v>
      </c>
      <c r="E79" s="15"/>
      <c r="F79" s="15" t="str">
        <f t="shared" si="1"/>
        <v/>
      </c>
      <c r="G79" s="15">
        <f t="shared" si="2"/>
        <v>6.79</v>
      </c>
      <c r="H79" s="16">
        <v>1.0</v>
      </c>
      <c r="I79" s="15">
        <f t="shared" si="3"/>
        <v>0.46</v>
      </c>
      <c r="J79" s="15">
        <v>27.02</v>
      </c>
      <c r="K79" s="16">
        <f>IF(COUNTIFS(Release_Calendar!$A$2:$A$755,"US_CPI",Release_Calendar!$B$2:$B$755,$A79)&gt;0,1,0)</f>
        <v>0</v>
      </c>
      <c r="L79" s="16">
        <f>IF(COUNTIFS(Release_Calendar!$A$2:$A$755,"US_NFP",Release_Calendar!$B$2:$B$755,$A79)&gt;0,1,0)</f>
        <v>0</v>
      </c>
      <c r="M79" s="16" t="str">
        <f>IF($A79&lt;Notes!$B$5,"",IF(COUNTIFS(Release_Calendar!$A$2:$A$755,"NZ_CPI",Release_Calendar!$B$2:$B$755,$A79)&gt;0,1,0))</f>
        <v/>
      </c>
      <c r="N79" s="16" t="str">
        <f>IF($A79&lt;Notes!$B$5,"",IF(COUNTIFS(Release_Calendar!$A$2:$A$755,"NZ_GDP",Release_Calendar!$B$2:$B$755,$A79)&gt;0,1,0))</f>
        <v/>
      </c>
      <c r="O79" s="16" t="str">
        <f>IF($A79&lt;Notes!$B$5,"",IF(COUNTIFS(Release_Calendar!$A$2:$A$755,"NZ_LABOUR",Release_Calendar!$B$2:$B$755,$A79)&gt;0,1,0))</f>
        <v/>
      </c>
      <c r="P79" s="16">
        <f t="shared" si="4"/>
        <v>0</v>
      </c>
    </row>
    <row r="80" ht="15.75" customHeight="1">
      <c r="A80" s="14">
        <v>36636.0</v>
      </c>
      <c r="B80" s="15">
        <v>6.38</v>
      </c>
      <c r="C80" s="15"/>
      <c r="D80" s="15">
        <v>6.8</v>
      </c>
      <c r="E80" s="15"/>
      <c r="F80" s="15" t="str">
        <f t="shared" si="1"/>
        <v/>
      </c>
      <c r="G80" s="15">
        <f t="shared" si="2"/>
        <v>6.8</v>
      </c>
      <c r="H80" s="16">
        <v>1.0</v>
      </c>
      <c r="I80" s="15">
        <f t="shared" si="3"/>
        <v>0.42</v>
      </c>
      <c r="J80" s="15">
        <v>25.85</v>
      </c>
      <c r="K80" s="16">
        <f>IF(COUNTIFS(Release_Calendar!$A$2:$A$755,"US_CPI",Release_Calendar!$B$2:$B$755,$A80)&gt;0,1,0)</f>
        <v>0</v>
      </c>
      <c r="L80" s="16">
        <f>IF(COUNTIFS(Release_Calendar!$A$2:$A$755,"US_NFP",Release_Calendar!$B$2:$B$755,$A80)&gt;0,1,0)</f>
        <v>0</v>
      </c>
      <c r="M80" s="16" t="str">
        <f>IF($A80&lt;Notes!$B$5,"",IF(COUNTIFS(Release_Calendar!$A$2:$A$755,"NZ_CPI",Release_Calendar!$B$2:$B$755,$A80)&gt;0,1,0))</f>
        <v/>
      </c>
      <c r="N80" s="16" t="str">
        <f>IF($A80&lt;Notes!$B$5,"",IF(COUNTIFS(Release_Calendar!$A$2:$A$755,"NZ_GDP",Release_Calendar!$B$2:$B$755,$A80)&gt;0,1,0))</f>
        <v/>
      </c>
      <c r="O80" s="16" t="str">
        <f>IF($A80&lt;Notes!$B$5,"",IF(COUNTIFS(Release_Calendar!$A$2:$A$755,"NZ_LABOUR",Release_Calendar!$B$2:$B$755,$A80)&gt;0,1,0))</f>
        <v/>
      </c>
      <c r="P80" s="16">
        <f t="shared" si="4"/>
        <v>0</v>
      </c>
    </row>
    <row r="81" ht="15.75" customHeight="1">
      <c r="A81" s="14">
        <v>36637.0</v>
      </c>
      <c r="B81" s="15"/>
      <c r="C81" s="15"/>
      <c r="D81" s="15"/>
      <c r="E81" s="15"/>
      <c r="F81" s="15" t="str">
        <f t="shared" si="1"/>
        <v/>
      </c>
      <c r="G81" s="15" t="str">
        <f t="shared" si="2"/>
        <v/>
      </c>
      <c r="H81" s="16">
        <v>1.0</v>
      </c>
      <c r="I81" s="15" t="str">
        <f t="shared" si="3"/>
        <v/>
      </c>
      <c r="J81" s="15"/>
      <c r="K81" s="16">
        <f>IF(COUNTIFS(Release_Calendar!$A$2:$A$755,"US_CPI",Release_Calendar!$B$2:$B$755,$A81)&gt;0,1,0)</f>
        <v>0</v>
      </c>
      <c r="L81" s="16">
        <f>IF(COUNTIFS(Release_Calendar!$A$2:$A$755,"US_NFP",Release_Calendar!$B$2:$B$755,$A81)&gt;0,1,0)</f>
        <v>0</v>
      </c>
      <c r="M81" s="16" t="str">
        <f>IF($A81&lt;Notes!$B$5,"",IF(COUNTIFS(Release_Calendar!$A$2:$A$755,"NZ_CPI",Release_Calendar!$B$2:$B$755,$A81)&gt;0,1,0))</f>
        <v/>
      </c>
      <c r="N81" s="16" t="str">
        <f>IF($A81&lt;Notes!$B$5,"",IF(COUNTIFS(Release_Calendar!$A$2:$A$755,"NZ_GDP",Release_Calendar!$B$2:$B$755,$A81)&gt;0,1,0))</f>
        <v/>
      </c>
      <c r="O81" s="16" t="str">
        <f>IF($A81&lt;Notes!$B$5,"",IF(COUNTIFS(Release_Calendar!$A$2:$A$755,"NZ_LABOUR",Release_Calendar!$B$2:$B$755,$A81)&gt;0,1,0))</f>
        <v/>
      </c>
      <c r="P81" s="16">
        <f t="shared" si="4"/>
        <v>0</v>
      </c>
    </row>
    <row r="82" ht="15.75" customHeight="1">
      <c r="A82" s="14">
        <v>36640.0</v>
      </c>
      <c r="B82" s="15">
        <v>6.36</v>
      </c>
      <c r="C82" s="15"/>
      <c r="D82" s="15"/>
      <c r="E82" s="15"/>
      <c r="F82" s="15" t="str">
        <f t="shared" si="1"/>
        <v/>
      </c>
      <c r="G82" s="15" t="str">
        <f t="shared" si="2"/>
        <v/>
      </c>
      <c r="H82" s="16">
        <v>1.0</v>
      </c>
      <c r="I82" s="15" t="str">
        <f t="shared" si="3"/>
        <v/>
      </c>
      <c r="J82" s="15">
        <v>27.37</v>
      </c>
      <c r="K82" s="16">
        <f>IF(COUNTIFS(Release_Calendar!$A$2:$A$755,"US_CPI",Release_Calendar!$B$2:$B$755,$A82)&gt;0,1,0)</f>
        <v>0</v>
      </c>
      <c r="L82" s="16">
        <f>IF(COUNTIFS(Release_Calendar!$A$2:$A$755,"US_NFP",Release_Calendar!$B$2:$B$755,$A82)&gt;0,1,0)</f>
        <v>0</v>
      </c>
      <c r="M82" s="16" t="str">
        <f>IF($A82&lt;Notes!$B$5,"",IF(COUNTIFS(Release_Calendar!$A$2:$A$755,"NZ_CPI",Release_Calendar!$B$2:$B$755,$A82)&gt;0,1,0))</f>
        <v/>
      </c>
      <c r="N82" s="16" t="str">
        <f>IF($A82&lt;Notes!$B$5,"",IF(COUNTIFS(Release_Calendar!$A$2:$A$755,"NZ_GDP",Release_Calendar!$B$2:$B$755,$A82)&gt;0,1,0))</f>
        <v/>
      </c>
      <c r="O82" s="16" t="str">
        <f>IF($A82&lt;Notes!$B$5,"",IF(COUNTIFS(Release_Calendar!$A$2:$A$755,"NZ_LABOUR",Release_Calendar!$B$2:$B$755,$A82)&gt;0,1,0))</f>
        <v/>
      </c>
      <c r="P82" s="16">
        <f t="shared" si="4"/>
        <v>0</v>
      </c>
    </row>
    <row r="83" ht="15.75" customHeight="1">
      <c r="A83" s="14">
        <v>36641.0</v>
      </c>
      <c r="B83" s="15">
        <v>6.48</v>
      </c>
      <c r="C83" s="15"/>
      <c r="D83" s="15"/>
      <c r="E83" s="15"/>
      <c r="F83" s="15" t="str">
        <f t="shared" si="1"/>
        <v/>
      </c>
      <c r="G83" s="15" t="str">
        <f t="shared" si="2"/>
        <v/>
      </c>
      <c r="H83" s="16">
        <v>1.0</v>
      </c>
      <c r="I83" s="15" t="str">
        <f t="shared" si="3"/>
        <v/>
      </c>
      <c r="J83" s="15">
        <v>25.24</v>
      </c>
      <c r="K83" s="16">
        <f>IF(COUNTIFS(Release_Calendar!$A$2:$A$755,"US_CPI",Release_Calendar!$B$2:$B$755,$A83)&gt;0,1,0)</f>
        <v>0</v>
      </c>
      <c r="L83" s="16">
        <f>IF(COUNTIFS(Release_Calendar!$A$2:$A$755,"US_NFP",Release_Calendar!$B$2:$B$755,$A83)&gt;0,1,0)</f>
        <v>0</v>
      </c>
      <c r="M83" s="16" t="str">
        <f>IF($A83&lt;Notes!$B$5,"",IF(COUNTIFS(Release_Calendar!$A$2:$A$755,"NZ_CPI",Release_Calendar!$B$2:$B$755,$A83)&gt;0,1,0))</f>
        <v/>
      </c>
      <c r="N83" s="16" t="str">
        <f>IF($A83&lt;Notes!$B$5,"",IF(COUNTIFS(Release_Calendar!$A$2:$A$755,"NZ_GDP",Release_Calendar!$B$2:$B$755,$A83)&gt;0,1,0))</f>
        <v/>
      </c>
      <c r="O83" s="16" t="str">
        <f>IF($A83&lt;Notes!$B$5,"",IF(COUNTIFS(Release_Calendar!$A$2:$A$755,"NZ_LABOUR",Release_Calendar!$B$2:$B$755,$A83)&gt;0,1,0))</f>
        <v/>
      </c>
      <c r="P83" s="16">
        <f t="shared" si="4"/>
        <v>0</v>
      </c>
    </row>
    <row r="84" ht="15.75" customHeight="1">
      <c r="A84" s="14">
        <v>36642.0</v>
      </c>
      <c r="B84" s="15">
        <v>6.5</v>
      </c>
      <c r="C84" s="15"/>
      <c r="D84" s="15">
        <v>6.91</v>
      </c>
      <c r="E84" s="15"/>
      <c r="F84" s="15" t="str">
        <f t="shared" si="1"/>
        <v/>
      </c>
      <c r="G84" s="15">
        <f t="shared" si="2"/>
        <v>6.91</v>
      </c>
      <c r="H84" s="16">
        <v>1.0</v>
      </c>
      <c r="I84" s="15">
        <f t="shared" si="3"/>
        <v>0.41</v>
      </c>
      <c r="J84" s="15">
        <v>26.97</v>
      </c>
      <c r="K84" s="16">
        <f>IF(COUNTIFS(Release_Calendar!$A$2:$A$755,"US_CPI",Release_Calendar!$B$2:$B$755,$A84)&gt;0,1,0)</f>
        <v>0</v>
      </c>
      <c r="L84" s="16">
        <f>IF(COUNTIFS(Release_Calendar!$A$2:$A$755,"US_NFP",Release_Calendar!$B$2:$B$755,$A84)&gt;0,1,0)</f>
        <v>0</v>
      </c>
      <c r="M84" s="16" t="str">
        <f>IF($A84&lt;Notes!$B$5,"",IF(COUNTIFS(Release_Calendar!$A$2:$A$755,"NZ_CPI",Release_Calendar!$B$2:$B$755,$A84)&gt;0,1,0))</f>
        <v/>
      </c>
      <c r="N84" s="16" t="str">
        <f>IF($A84&lt;Notes!$B$5,"",IF(COUNTIFS(Release_Calendar!$A$2:$A$755,"NZ_GDP",Release_Calendar!$B$2:$B$755,$A84)&gt;0,1,0))</f>
        <v/>
      </c>
      <c r="O84" s="16" t="str">
        <f>IF($A84&lt;Notes!$B$5,"",IF(COUNTIFS(Release_Calendar!$A$2:$A$755,"NZ_LABOUR",Release_Calendar!$B$2:$B$755,$A84)&gt;0,1,0))</f>
        <v/>
      </c>
      <c r="P84" s="16">
        <f t="shared" si="4"/>
        <v>0</v>
      </c>
    </row>
    <row r="85" ht="15.75" customHeight="1">
      <c r="A85" s="14">
        <v>36643.0</v>
      </c>
      <c r="B85" s="15">
        <v>6.63</v>
      </c>
      <c r="C85" s="15"/>
      <c r="D85" s="15">
        <v>6.93</v>
      </c>
      <c r="E85" s="15"/>
      <c r="F85" s="15" t="str">
        <f t="shared" si="1"/>
        <v/>
      </c>
      <c r="G85" s="15">
        <f t="shared" si="2"/>
        <v>6.93</v>
      </c>
      <c r="H85" s="16">
        <v>1.0</v>
      </c>
      <c r="I85" s="15">
        <f t="shared" si="3"/>
        <v>0.3</v>
      </c>
      <c r="J85" s="15">
        <v>26.19</v>
      </c>
      <c r="K85" s="16">
        <f>IF(COUNTIFS(Release_Calendar!$A$2:$A$755,"US_CPI",Release_Calendar!$B$2:$B$755,$A85)&gt;0,1,0)</f>
        <v>0</v>
      </c>
      <c r="L85" s="16">
        <f>IF(COUNTIFS(Release_Calendar!$A$2:$A$755,"US_NFP",Release_Calendar!$B$2:$B$755,$A85)&gt;0,1,0)</f>
        <v>0</v>
      </c>
      <c r="M85" s="16" t="str">
        <f>IF($A85&lt;Notes!$B$5,"",IF(COUNTIFS(Release_Calendar!$A$2:$A$755,"NZ_CPI",Release_Calendar!$B$2:$B$755,$A85)&gt;0,1,0))</f>
        <v/>
      </c>
      <c r="N85" s="16" t="str">
        <f>IF($A85&lt;Notes!$B$5,"",IF(COUNTIFS(Release_Calendar!$A$2:$A$755,"NZ_GDP",Release_Calendar!$B$2:$B$755,$A85)&gt;0,1,0))</f>
        <v/>
      </c>
      <c r="O85" s="16" t="str">
        <f>IF($A85&lt;Notes!$B$5,"",IF(COUNTIFS(Release_Calendar!$A$2:$A$755,"NZ_LABOUR",Release_Calendar!$B$2:$B$755,$A85)&gt;0,1,0))</f>
        <v/>
      </c>
      <c r="P85" s="16">
        <f t="shared" si="4"/>
        <v>0</v>
      </c>
    </row>
    <row r="86" ht="15.75" customHeight="1">
      <c r="A86" s="14">
        <v>36644.0</v>
      </c>
      <c r="B86" s="15">
        <v>6.68</v>
      </c>
      <c r="C86" s="15"/>
      <c r="D86" s="15">
        <v>6.97</v>
      </c>
      <c r="E86" s="15"/>
      <c r="F86" s="15" t="str">
        <f t="shared" si="1"/>
        <v/>
      </c>
      <c r="G86" s="15">
        <f t="shared" si="2"/>
        <v>6.97</v>
      </c>
      <c r="H86" s="16">
        <v>1.0</v>
      </c>
      <c r="I86" s="15">
        <f t="shared" si="3"/>
        <v>0.29</v>
      </c>
      <c r="J86" s="15">
        <v>26.2</v>
      </c>
      <c r="K86" s="16">
        <f>IF(COUNTIFS(Release_Calendar!$A$2:$A$755,"US_CPI",Release_Calendar!$B$2:$B$755,$A86)&gt;0,1,0)</f>
        <v>0</v>
      </c>
      <c r="L86" s="16">
        <f>IF(COUNTIFS(Release_Calendar!$A$2:$A$755,"US_NFP",Release_Calendar!$B$2:$B$755,$A86)&gt;0,1,0)</f>
        <v>0</v>
      </c>
      <c r="M86" s="16" t="str">
        <f>IF($A86&lt;Notes!$B$5,"",IF(COUNTIFS(Release_Calendar!$A$2:$A$755,"NZ_CPI",Release_Calendar!$B$2:$B$755,$A86)&gt;0,1,0))</f>
        <v/>
      </c>
      <c r="N86" s="16" t="str">
        <f>IF($A86&lt;Notes!$B$5,"",IF(COUNTIFS(Release_Calendar!$A$2:$A$755,"NZ_GDP",Release_Calendar!$B$2:$B$755,$A86)&gt;0,1,0))</f>
        <v/>
      </c>
      <c r="O86" s="16" t="str">
        <f>IF($A86&lt;Notes!$B$5,"",IF(COUNTIFS(Release_Calendar!$A$2:$A$755,"NZ_LABOUR",Release_Calendar!$B$2:$B$755,$A86)&gt;0,1,0))</f>
        <v/>
      </c>
      <c r="P86" s="16">
        <f t="shared" si="4"/>
        <v>0</v>
      </c>
    </row>
    <row r="87" ht="15.75" customHeight="1">
      <c r="A87" s="14">
        <v>36647.0</v>
      </c>
      <c r="B87" s="15">
        <v>6.73</v>
      </c>
      <c r="C87" s="15"/>
      <c r="D87" s="15">
        <v>6.96</v>
      </c>
      <c r="E87" s="15"/>
      <c r="F87" s="15" t="str">
        <f t="shared" si="1"/>
        <v/>
      </c>
      <c r="G87" s="15">
        <f t="shared" si="2"/>
        <v>6.96</v>
      </c>
      <c r="H87" s="16">
        <v>1.0</v>
      </c>
      <c r="I87" s="15">
        <f t="shared" si="3"/>
        <v>0.23</v>
      </c>
      <c r="J87" s="15">
        <v>25.88</v>
      </c>
      <c r="K87" s="16">
        <f>IF(COUNTIFS(Release_Calendar!$A$2:$A$755,"US_CPI",Release_Calendar!$B$2:$B$755,$A87)&gt;0,1,0)</f>
        <v>0</v>
      </c>
      <c r="L87" s="16">
        <f>IF(COUNTIFS(Release_Calendar!$A$2:$A$755,"US_NFP",Release_Calendar!$B$2:$B$755,$A87)&gt;0,1,0)</f>
        <v>0</v>
      </c>
      <c r="M87" s="16" t="str">
        <f>IF($A87&lt;Notes!$B$5,"",IF(COUNTIFS(Release_Calendar!$A$2:$A$755,"NZ_CPI",Release_Calendar!$B$2:$B$755,$A87)&gt;0,1,0))</f>
        <v/>
      </c>
      <c r="N87" s="16" t="str">
        <f>IF($A87&lt;Notes!$B$5,"",IF(COUNTIFS(Release_Calendar!$A$2:$A$755,"NZ_GDP",Release_Calendar!$B$2:$B$755,$A87)&gt;0,1,0))</f>
        <v/>
      </c>
      <c r="O87" s="16" t="str">
        <f>IF($A87&lt;Notes!$B$5,"",IF(COUNTIFS(Release_Calendar!$A$2:$A$755,"NZ_LABOUR",Release_Calendar!$B$2:$B$755,$A87)&gt;0,1,0))</f>
        <v/>
      </c>
      <c r="P87" s="16">
        <f t="shared" si="4"/>
        <v>0</v>
      </c>
    </row>
    <row r="88" ht="15.75" customHeight="1">
      <c r="A88" s="14">
        <v>36648.0</v>
      </c>
      <c r="B88" s="15">
        <v>6.72</v>
      </c>
      <c r="C88" s="15"/>
      <c r="D88" s="15">
        <v>7.04</v>
      </c>
      <c r="E88" s="15"/>
      <c r="F88" s="15" t="str">
        <f t="shared" si="1"/>
        <v/>
      </c>
      <c r="G88" s="15">
        <f t="shared" si="2"/>
        <v>7.04</v>
      </c>
      <c r="H88" s="16">
        <v>1.0</v>
      </c>
      <c r="I88" s="15">
        <f t="shared" si="3"/>
        <v>0.32</v>
      </c>
      <c r="J88" s="15">
        <v>28.5</v>
      </c>
      <c r="K88" s="16">
        <f>IF(COUNTIFS(Release_Calendar!$A$2:$A$755,"US_CPI",Release_Calendar!$B$2:$B$755,$A88)&gt;0,1,0)</f>
        <v>0</v>
      </c>
      <c r="L88" s="16">
        <f>IF(COUNTIFS(Release_Calendar!$A$2:$A$755,"US_NFP",Release_Calendar!$B$2:$B$755,$A88)&gt;0,1,0)</f>
        <v>0</v>
      </c>
      <c r="M88" s="16" t="str">
        <f>IF($A88&lt;Notes!$B$5,"",IF(COUNTIFS(Release_Calendar!$A$2:$A$755,"NZ_CPI",Release_Calendar!$B$2:$B$755,$A88)&gt;0,1,0))</f>
        <v/>
      </c>
      <c r="N88" s="16" t="str">
        <f>IF($A88&lt;Notes!$B$5,"",IF(COUNTIFS(Release_Calendar!$A$2:$A$755,"NZ_GDP",Release_Calendar!$B$2:$B$755,$A88)&gt;0,1,0))</f>
        <v/>
      </c>
      <c r="O88" s="16" t="str">
        <f>IF($A88&lt;Notes!$B$5,"",IF(COUNTIFS(Release_Calendar!$A$2:$A$755,"NZ_LABOUR",Release_Calendar!$B$2:$B$755,$A88)&gt;0,1,0))</f>
        <v/>
      </c>
      <c r="P88" s="16">
        <f t="shared" si="4"/>
        <v>0</v>
      </c>
    </row>
    <row r="89" ht="15.75" customHeight="1">
      <c r="A89" s="14">
        <v>36649.0</v>
      </c>
      <c r="B89" s="15">
        <v>6.73</v>
      </c>
      <c r="C89" s="15"/>
      <c r="D89" s="15">
        <v>7.0</v>
      </c>
      <c r="E89" s="15"/>
      <c r="F89" s="15" t="str">
        <f t="shared" si="1"/>
        <v/>
      </c>
      <c r="G89" s="15">
        <f t="shared" si="2"/>
        <v>7</v>
      </c>
      <c r="H89" s="16">
        <v>1.0</v>
      </c>
      <c r="I89" s="15">
        <f t="shared" si="3"/>
        <v>0.27</v>
      </c>
      <c r="J89" s="15">
        <v>31.63</v>
      </c>
      <c r="K89" s="16">
        <f>IF(COUNTIFS(Release_Calendar!$A$2:$A$755,"US_CPI",Release_Calendar!$B$2:$B$755,$A89)&gt;0,1,0)</f>
        <v>0</v>
      </c>
      <c r="L89" s="16">
        <f>IF(COUNTIFS(Release_Calendar!$A$2:$A$755,"US_NFP",Release_Calendar!$B$2:$B$755,$A89)&gt;0,1,0)</f>
        <v>0</v>
      </c>
      <c r="M89" s="16" t="str">
        <f>IF($A89&lt;Notes!$B$5,"",IF(COUNTIFS(Release_Calendar!$A$2:$A$755,"NZ_CPI",Release_Calendar!$B$2:$B$755,$A89)&gt;0,1,0))</f>
        <v/>
      </c>
      <c r="N89" s="16" t="str">
        <f>IF($A89&lt;Notes!$B$5,"",IF(COUNTIFS(Release_Calendar!$A$2:$A$755,"NZ_GDP",Release_Calendar!$B$2:$B$755,$A89)&gt;0,1,0))</f>
        <v/>
      </c>
      <c r="O89" s="16" t="str">
        <f>IF($A89&lt;Notes!$B$5,"",IF(COUNTIFS(Release_Calendar!$A$2:$A$755,"NZ_LABOUR",Release_Calendar!$B$2:$B$755,$A89)&gt;0,1,0))</f>
        <v/>
      </c>
      <c r="P89" s="16">
        <f t="shared" si="4"/>
        <v>0</v>
      </c>
    </row>
    <row r="90" ht="15.75" customHeight="1">
      <c r="A90" s="14">
        <v>36650.0</v>
      </c>
      <c r="B90" s="15">
        <v>6.77</v>
      </c>
      <c r="C90" s="15"/>
      <c r="D90" s="15">
        <v>7.01</v>
      </c>
      <c r="E90" s="15"/>
      <c r="F90" s="15" t="str">
        <f t="shared" si="1"/>
        <v/>
      </c>
      <c r="G90" s="15">
        <f t="shared" si="2"/>
        <v>7.01</v>
      </c>
      <c r="H90" s="16">
        <v>1.0</v>
      </c>
      <c r="I90" s="15">
        <f t="shared" si="3"/>
        <v>0.24</v>
      </c>
      <c r="J90" s="15">
        <v>30.77</v>
      </c>
      <c r="K90" s="16">
        <f>IF(COUNTIFS(Release_Calendar!$A$2:$A$755,"US_CPI",Release_Calendar!$B$2:$B$755,$A90)&gt;0,1,0)</f>
        <v>0</v>
      </c>
      <c r="L90" s="16">
        <f>IF(COUNTIFS(Release_Calendar!$A$2:$A$755,"US_NFP",Release_Calendar!$B$2:$B$755,$A90)&gt;0,1,0)</f>
        <v>0</v>
      </c>
      <c r="M90" s="16" t="str">
        <f>IF($A90&lt;Notes!$B$5,"",IF(COUNTIFS(Release_Calendar!$A$2:$A$755,"NZ_CPI",Release_Calendar!$B$2:$B$755,$A90)&gt;0,1,0))</f>
        <v/>
      </c>
      <c r="N90" s="16" t="str">
        <f>IF($A90&lt;Notes!$B$5,"",IF(COUNTIFS(Release_Calendar!$A$2:$A$755,"NZ_GDP",Release_Calendar!$B$2:$B$755,$A90)&gt;0,1,0))</f>
        <v/>
      </c>
      <c r="O90" s="16" t="str">
        <f>IF($A90&lt;Notes!$B$5,"",IF(COUNTIFS(Release_Calendar!$A$2:$A$755,"NZ_LABOUR",Release_Calendar!$B$2:$B$755,$A90)&gt;0,1,0))</f>
        <v/>
      </c>
      <c r="P90" s="16">
        <f t="shared" si="4"/>
        <v>0</v>
      </c>
    </row>
    <row r="91" ht="15.75" customHeight="1">
      <c r="A91" s="14">
        <v>36651.0</v>
      </c>
      <c r="B91" s="15">
        <v>6.84</v>
      </c>
      <c r="C91" s="15"/>
      <c r="D91" s="15">
        <v>6.97</v>
      </c>
      <c r="E91" s="15"/>
      <c r="F91" s="15" t="str">
        <f t="shared" si="1"/>
        <v/>
      </c>
      <c r="G91" s="15">
        <f t="shared" si="2"/>
        <v>6.97</v>
      </c>
      <c r="H91" s="16">
        <v>1.0</v>
      </c>
      <c r="I91" s="15">
        <f t="shared" si="3"/>
        <v>0.13</v>
      </c>
      <c r="J91" s="15">
        <v>27.53</v>
      </c>
      <c r="K91" s="16">
        <f>IF(COUNTIFS(Release_Calendar!$A$2:$A$755,"US_CPI",Release_Calendar!$B$2:$B$755,$A91)&gt;0,1,0)</f>
        <v>0</v>
      </c>
      <c r="L91" s="16">
        <f>IF(COUNTIFS(Release_Calendar!$A$2:$A$755,"US_NFP",Release_Calendar!$B$2:$B$755,$A91)&gt;0,1,0)</f>
        <v>1</v>
      </c>
      <c r="M91" s="16" t="str">
        <f>IF($A91&lt;Notes!$B$5,"",IF(COUNTIFS(Release_Calendar!$A$2:$A$755,"NZ_CPI",Release_Calendar!$B$2:$B$755,$A91)&gt;0,1,0))</f>
        <v/>
      </c>
      <c r="N91" s="16" t="str">
        <f>IF($A91&lt;Notes!$B$5,"",IF(COUNTIFS(Release_Calendar!$A$2:$A$755,"NZ_GDP",Release_Calendar!$B$2:$B$755,$A91)&gt;0,1,0))</f>
        <v/>
      </c>
      <c r="O91" s="16" t="str">
        <f>IF($A91&lt;Notes!$B$5,"",IF(COUNTIFS(Release_Calendar!$A$2:$A$755,"NZ_LABOUR",Release_Calendar!$B$2:$B$755,$A91)&gt;0,1,0))</f>
        <v/>
      </c>
      <c r="P91" s="16">
        <f t="shared" si="4"/>
        <v>1</v>
      </c>
    </row>
    <row r="92" ht="15.75" customHeight="1">
      <c r="A92" s="14">
        <v>36654.0</v>
      </c>
      <c r="B92" s="15">
        <v>6.87</v>
      </c>
      <c r="C92" s="15"/>
      <c r="D92" s="15">
        <v>6.99</v>
      </c>
      <c r="E92" s="15"/>
      <c r="F92" s="15" t="str">
        <f t="shared" si="1"/>
        <v/>
      </c>
      <c r="G92" s="15">
        <f t="shared" si="2"/>
        <v>6.99</v>
      </c>
      <c r="H92" s="16">
        <v>1.0</v>
      </c>
      <c r="I92" s="15">
        <f t="shared" si="3"/>
        <v>0.12</v>
      </c>
      <c r="J92" s="15">
        <v>28.2</v>
      </c>
      <c r="K92" s="16">
        <f>IF(COUNTIFS(Release_Calendar!$A$2:$A$755,"US_CPI",Release_Calendar!$B$2:$B$755,$A92)&gt;0,1,0)</f>
        <v>0</v>
      </c>
      <c r="L92" s="16">
        <f>IF(COUNTIFS(Release_Calendar!$A$2:$A$755,"US_NFP",Release_Calendar!$B$2:$B$755,$A92)&gt;0,1,0)</f>
        <v>0</v>
      </c>
      <c r="M92" s="16" t="str">
        <f>IF($A92&lt;Notes!$B$5,"",IF(COUNTIFS(Release_Calendar!$A$2:$A$755,"NZ_CPI",Release_Calendar!$B$2:$B$755,$A92)&gt;0,1,0))</f>
        <v/>
      </c>
      <c r="N92" s="16" t="str">
        <f>IF($A92&lt;Notes!$B$5,"",IF(COUNTIFS(Release_Calendar!$A$2:$A$755,"NZ_GDP",Release_Calendar!$B$2:$B$755,$A92)&gt;0,1,0))</f>
        <v/>
      </c>
      <c r="O92" s="16" t="str">
        <f>IF($A92&lt;Notes!$B$5,"",IF(COUNTIFS(Release_Calendar!$A$2:$A$755,"NZ_LABOUR",Release_Calendar!$B$2:$B$755,$A92)&gt;0,1,0))</f>
        <v/>
      </c>
      <c r="P92" s="16">
        <f t="shared" si="4"/>
        <v>0</v>
      </c>
    </row>
    <row r="93" ht="15.75" customHeight="1">
      <c r="A93" s="14">
        <v>36655.0</v>
      </c>
      <c r="B93" s="15">
        <v>6.86</v>
      </c>
      <c r="C93" s="15"/>
      <c r="D93" s="15">
        <v>7.0</v>
      </c>
      <c r="E93" s="15"/>
      <c r="F93" s="15" t="str">
        <f t="shared" si="1"/>
        <v/>
      </c>
      <c r="G93" s="15">
        <f t="shared" si="2"/>
        <v>7</v>
      </c>
      <c r="H93" s="16">
        <v>1.0</v>
      </c>
      <c r="I93" s="15">
        <f t="shared" si="3"/>
        <v>0.14</v>
      </c>
      <c r="J93" s="15">
        <v>28.93</v>
      </c>
      <c r="K93" s="16">
        <f>IF(COUNTIFS(Release_Calendar!$A$2:$A$755,"US_CPI",Release_Calendar!$B$2:$B$755,$A93)&gt;0,1,0)</f>
        <v>0</v>
      </c>
      <c r="L93" s="16">
        <f>IF(COUNTIFS(Release_Calendar!$A$2:$A$755,"US_NFP",Release_Calendar!$B$2:$B$755,$A93)&gt;0,1,0)</f>
        <v>0</v>
      </c>
      <c r="M93" s="16" t="str">
        <f>IF($A93&lt;Notes!$B$5,"",IF(COUNTIFS(Release_Calendar!$A$2:$A$755,"NZ_CPI",Release_Calendar!$B$2:$B$755,$A93)&gt;0,1,0))</f>
        <v/>
      </c>
      <c r="N93" s="16" t="str">
        <f>IF($A93&lt;Notes!$B$5,"",IF(COUNTIFS(Release_Calendar!$A$2:$A$755,"NZ_GDP",Release_Calendar!$B$2:$B$755,$A93)&gt;0,1,0))</f>
        <v/>
      </c>
      <c r="O93" s="16" t="str">
        <f>IF($A93&lt;Notes!$B$5,"",IF(COUNTIFS(Release_Calendar!$A$2:$A$755,"NZ_LABOUR",Release_Calendar!$B$2:$B$755,$A93)&gt;0,1,0))</f>
        <v/>
      </c>
      <c r="P93" s="16">
        <f t="shared" si="4"/>
        <v>0</v>
      </c>
    </row>
    <row r="94" ht="15.75" customHeight="1">
      <c r="A94" s="14">
        <v>36656.0</v>
      </c>
      <c r="B94" s="15">
        <v>6.84</v>
      </c>
      <c r="C94" s="15"/>
      <c r="D94" s="15">
        <v>7.0</v>
      </c>
      <c r="E94" s="15"/>
      <c r="F94" s="15" t="str">
        <f t="shared" si="1"/>
        <v/>
      </c>
      <c r="G94" s="15">
        <f t="shared" si="2"/>
        <v>7</v>
      </c>
      <c r="H94" s="16">
        <v>1.0</v>
      </c>
      <c r="I94" s="15">
        <f t="shared" si="3"/>
        <v>0.16</v>
      </c>
      <c r="J94" s="15">
        <v>29.87</v>
      </c>
      <c r="K94" s="16">
        <f>IF(COUNTIFS(Release_Calendar!$A$2:$A$755,"US_CPI",Release_Calendar!$B$2:$B$755,$A94)&gt;0,1,0)</f>
        <v>0</v>
      </c>
      <c r="L94" s="16">
        <f>IF(COUNTIFS(Release_Calendar!$A$2:$A$755,"US_NFP",Release_Calendar!$B$2:$B$755,$A94)&gt;0,1,0)</f>
        <v>0</v>
      </c>
      <c r="M94" s="16" t="str">
        <f>IF($A94&lt;Notes!$B$5,"",IF(COUNTIFS(Release_Calendar!$A$2:$A$755,"NZ_CPI",Release_Calendar!$B$2:$B$755,$A94)&gt;0,1,0))</f>
        <v/>
      </c>
      <c r="N94" s="16" t="str">
        <f>IF($A94&lt;Notes!$B$5,"",IF(COUNTIFS(Release_Calendar!$A$2:$A$755,"NZ_GDP",Release_Calendar!$B$2:$B$755,$A94)&gt;0,1,0))</f>
        <v/>
      </c>
      <c r="O94" s="16" t="str">
        <f>IF($A94&lt;Notes!$B$5,"",IF(COUNTIFS(Release_Calendar!$A$2:$A$755,"NZ_LABOUR",Release_Calendar!$B$2:$B$755,$A94)&gt;0,1,0))</f>
        <v/>
      </c>
      <c r="P94" s="16">
        <f t="shared" si="4"/>
        <v>0</v>
      </c>
    </row>
    <row r="95" ht="15.75" customHeight="1">
      <c r="A95" s="14">
        <v>36657.0</v>
      </c>
      <c r="B95" s="15">
        <v>6.82</v>
      </c>
      <c r="C95" s="15"/>
      <c r="D95" s="15">
        <v>6.98</v>
      </c>
      <c r="E95" s="15"/>
      <c r="F95" s="15" t="str">
        <f t="shared" si="1"/>
        <v/>
      </c>
      <c r="G95" s="15">
        <f t="shared" si="2"/>
        <v>6.98</v>
      </c>
      <c r="H95" s="16">
        <v>1.0</v>
      </c>
      <c r="I95" s="15">
        <f t="shared" si="3"/>
        <v>0.16</v>
      </c>
      <c r="J95" s="15">
        <v>27.76</v>
      </c>
      <c r="K95" s="16">
        <f>IF(COUNTIFS(Release_Calendar!$A$2:$A$755,"US_CPI",Release_Calendar!$B$2:$B$755,$A95)&gt;0,1,0)</f>
        <v>0</v>
      </c>
      <c r="L95" s="16">
        <f>IF(COUNTIFS(Release_Calendar!$A$2:$A$755,"US_NFP",Release_Calendar!$B$2:$B$755,$A95)&gt;0,1,0)</f>
        <v>0</v>
      </c>
      <c r="M95" s="16" t="str">
        <f>IF($A95&lt;Notes!$B$5,"",IF(COUNTIFS(Release_Calendar!$A$2:$A$755,"NZ_CPI",Release_Calendar!$B$2:$B$755,$A95)&gt;0,1,0))</f>
        <v/>
      </c>
      <c r="N95" s="16" t="str">
        <f>IF($A95&lt;Notes!$B$5,"",IF(COUNTIFS(Release_Calendar!$A$2:$A$755,"NZ_GDP",Release_Calendar!$B$2:$B$755,$A95)&gt;0,1,0))</f>
        <v/>
      </c>
      <c r="O95" s="16" t="str">
        <f>IF($A95&lt;Notes!$B$5,"",IF(COUNTIFS(Release_Calendar!$A$2:$A$755,"NZ_LABOUR",Release_Calendar!$B$2:$B$755,$A95)&gt;0,1,0))</f>
        <v/>
      </c>
      <c r="P95" s="16">
        <f t="shared" si="4"/>
        <v>0</v>
      </c>
    </row>
    <row r="96" ht="15.75" customHeight="1">
      <c r="A96" s="14">
        <v>36658.0</v>
      </c>
      <c r="B96" s="15">
        <v>6.91</v>
      </c>
      <c r="C96" s="15"/>
      <c r="D96" s="15">
        <v>6.99</v>
      </c>
      <c r="E96" s="15"/>
      <c r="F96" s="15" t="str">
        <f t="shared" si="1"/>
        <v/>
      </c>
      <c r="G96" s="15">
        <f t="shared" si="2"/>
        <v>6.99</v>
      </c>
      <c r="H96" s="16">
        <v>1.0</v>
      </c>
      <c r="I96" s="15">
        <f t="shared" si="3"/>
        <v>0.08</v>
      </c>
      <c r="J96" s="15">
        <v>26.05</v>
      </c>
      <c r="K96" s="16">
        <f>IF(COUNTIFS(Release_Calendar!$A$2:$A$755,"US_CPI",Release_Calendar!$B$2:$B$755,$A96)&gt;0,1,0)</f>
        <v>0</v>
      </c>
      <c r="L96" s="16">
        <f>IF(COUNTIFS(Release_Calendar!$A$2:$A$755,"US_NFP",Release_Calendar!$B$2:$B$755,$A96)&gt;0,1,0)</f>
        <v>0</v>
      </c>
      <c r="M96" s="16" t="str">
        <f>IF($A96&lt;Notes!$B$5,"",IF(COUNTIFS(Release_Calendar!$A$2:$A$755,"NZ_CPI",Release_Calendar!$B$2:$B$755,$A96)&gt;0,1,0))</f>
        <v/>
      </c>
      <c r="N96" s="16" t="str">
        <f>IF($A96&lt;Notes!$B$5,"",IF(COUNTIFS(Release_Calendar!$A$2:$A$755,"NZ_GDP",Release_Calendar!$B$2:$B$755,$A96)&gt;0,1,0))</f>
        <v/>
      </c>
      <c r="O96" s="16" t="str">
        <f>IF($A96&lt;Notes!$B$5,"",IF(COUNTIFS(Release_Calendar!$A$2:$A$755,"NZ_LABOUR",Release_Calendar!$B$2:$B$755,$A96)&gt;0,1,0))</f>
        <v/>
      </c>
      <c r="P96" s="16">
        <f t="shared" si="4"/>
        <v>0</v>
      </c>
    </row>
    <row r="97" ht="15.75" customHeight="1">
      <c r="A97" s="14">
        <v>36661.0</v>
      </c>
      <c r="B97" s="15">
        <v>6.88</v>
      </c>
      <c r="C97" s="15"/>
      <c r="D97" s="15">
        <v>7.03</v>
      </c>
      <c r="E97" s="15"/>
      <c r="F97" s="15" t="str">
        <f t="shared" si="1"/>
        <v/>
      </c>
      <c r="G97" s="15">
        <f t="shared" si="2"/>
        <v>7.03</v>
      </c>
      <c r="H97" s="16">
        <v>1.0</v>
      </c>
      <c r="I97" s="15">
        <f t="shared" si="3"/>
        <v>0.15</v>
      </c>
      <c r="J97" s="15">
        <v>24.86</v>
      </c>
      <c r="K97" s="16">
        <f>IF(COUNTIFS(Release_Calendar!$A$2:$A$755,"US_CPI",Release_Calendar!$B$2:$B$755,$A97)&gt;0,1,0)</f>
        <v>0</v>
      </c>
      <c r="L97" s="16">
        <f>IF(COUNTIFS(Release_Calendar!$A$2:$A$755,"US_NFP",Release_Calendar!$B$2:$B$755,$A97)&gt;0,1,0)</f>
        <v>0</v>
      </c>
      <c r="M97" s="16" t="str">
        <f>IF($A97&lt;Notes!$B$5,"",IF(COUNTIFS(Release_Calendar!$A$2:$A$755,"NZ_CPI",Release_Calendar!$B$2:$B$755,$A97)&gt;0,1,0))</f>
        <v/>
      </c>
      <c r="N97" s="16" t="str">
        <f>IF($A97&lt;Notes!$B$5,"",IF(COUNTIFS(Release_Calendar!$A$2:$A$755,"NZ_GDP",Release_Calendar!$B$2:$B$755,$A97)&gt;0,1,0))</f>
        <v/>
      </c>
      <c r="O97" s="16" t="str">
        <f>IF($A97&lt;Notes!$B$5,"",IF(COUNTIFS(Release_Calendar!$A$2:$A$755,"NZ_LABOUR",Release_Calendar!$B$2:$B$755,$A97)&gt;0,1,0))</f>
        <v/>
      </c>
      <c r="P97" s="16">
        <f t="shared" si="4"/>
        <v>0</v>
      </c>
    </row>
    <row r="98" ht="15.75" customHeight="1">
      <c r="A98" s="14">
        <v>36662.0</v>
      </c>
      <c r="B98" s="15">
        <v>6.89</v>
      </c>
      <c r="C98" s="15"/>
      <c r="D98" s="15">
        <v>7.01</v>
      </c>
      <c r="E98" s="15"/>
      <c r="F98" s="15" t="str">
        <f t="shared" si="1"/>
        <v/>
      </c>
      <c r="G98" s="15">
        <f t="shared" si="2"/>
        <v>7.01</v>
      </c>
      <c r="H98" s="16">
        <v>1.0</v>
      </c>
      <c r="I98" s="15">
        <f t="shared" si="3"/>
        <v>0.12</v>
      </c>
      <c r="J98" s="15">
        <v>24.34</v>
      </c>
      <c r="K98" s="16">
        <f>IF(COUNTIFS(Release_Calendar!$A$2:$A$755,"US_CPI",Release_Calendar!$B$2:$B$755,$A98)&gt;0,1,0)</f>
        <v>1</v>
      </c>
      <c r="L98" s="16">
        <f>IF(COUNTIFS(Release_Calendar!$A$2:$A$755,"US_NFP",Release_Calendar!$B$2:$B$755,$A98)&gt;0,1,0)</f>
        <v>0</v>
      </c>
      <c r="M98" s="16" t="str">
        <f>IF($A98&lt;Notes!$B$5,"",IF(COUNTIFS(Release_Calendar!$A$2:$A$755,"NZ_CPI",Release_Calendar!$B$2:$B$755,$A98)&gt;0,1,0))</f>
        <v/>
      </c>
      <c r="N98" s="16" t="str">
        <f>IF($A98&lt;Notes!$B$5,"",IF(COUNTIFS(Release_Calendar!$A$2:$A$755,"NZ_GDP",Release_Calendar!$B$2:$B$755,$A98)&gt;0,1,0))</f>
        <v/>
      </c>
      <c r="O98" s="16" t="str">
        <f>IF($A98&lt;Notes!$B$5,"",IF(COUNTIFS(Release_Calendar!$A$2:$A$755,"NZ_LABOUR",Release_Calendar!$B$2:$B$755,$A98)&gt;0,1,0))</f>
        <v/>
      </c>
      <c r="P98" s="16">
        <f t="shared" si="4"/>
        <v>1</v>
      </c>
    </row>
    <row r="99" ht="15.75" customHeight="1">
      <c r="A99" s="14">
        <v>36663.0</v>
      </c>
      <c r="B99" s="15">
        <v>6.9</v>
      </c>
      <c r="C99" s="15"/>
      <c r="D99" s="15">
        <v>7.08</v>
      </c>
      <c r="E99" s="15"/>
      <c r="F99" s="15" t="str">
        <f t="shared" si="1"/>
        <v/>
      </c>
      <c r="G99" s="15">
        <f t="shared" si="2"/>
        <v>7.08</v>
      </c>
      <c r="H99" s="16">
        <v>1.0</v>
      </c>
      <c r="I99" s="15">
        <f t="shared" si="3"/>
        <v>0.18</v>
      </c>
      <c r="J99" s="15">
        <v>23.98</v>
      </c>
      <c r="K99" s="16">
        <f>IF(COUNTIFS(Release_Calendar!$A$2:$A$755,"US_CPI",Release_Calendar!$B$2:$B$755,$A99)&gt;0,1,0)</f>
        <v>0</v>
      </c>
      <c r="L99" s="16">
        <f>IF(COUNTIFS(Release_Calendar!$A$2:$A$755,"US_NFP",Release_Calendar!$B$2:$B$755,$A99)&gt;0,1,0)</f>
        <v>0</v>
      </c>
      <c r="M99" s="16" t="str">
        <f>IF($A99&lt;Notes!$B$5,"",IF(COUNTIFS(Release_Calendar!$A$2:$A$755,"NZ_CPI",Release_Calendar!$B$2:$B$755,$A99)&gt;0,1,0))</f>
        <v/>
      </c>
      <c r="N99" s="16" t="str">
        <f>IF($A99&lt;Notes!$B$5,"",IF(COUNTIFS(Release_Calendar!$A$2:$A$755,"NZ_GDP",Release_Calendar!$B$2:$B$755,$A99)&gt;0,1,0))</f>
        <v/>
      </c>
      <c r="O99" s="16" t="str">
        <f>IF($A99&lt;Notes!$B$5,"",IF(COUNTIFS(Release_Calendar!$A$2:$A$755,"NZ_LABOUR",Release_Calendar!$B$2:$B$755,$A99)&gt;0,1,0))</f>
        <v/>
      </c>
      <c r="P99" s="16">
        <f t="shared" si="4"/>
        <v>0</v>
      </c>
    </row>
    <row r="100" ht="15.75" customHeight="1">
      <c r="A100" s="14">
        <v>36664.0</v>
      </c>
      <c r="B100" s="15">
        <v>6.93</v>
      </c>
      <c r="C100" s="15"/>
      <c r="D100" s="15">
        <v>7.2</v>
      </c>
      <c r="E100" s="15"/>
      <c r="F100" s="15" t="str">
        <f t="shared" si="1"/>
        <v/>
      </c>
      <c r="G100" s="15">
        <f t="shared" si="2"/>
        <v>7.2</v>
      </c>
      <c r="H100" s="16">
        <v>1.0</v>
      </c>
      <c r="I100" s="15">
        <f t="shared" si="3"/>
        <v>0.27</v>
      </c>
      <c r="J100" s="15">
        <v>23.96</v>
      </c>
      <c r="K100" s="16">
        <f>IF(COUNTIFS(Release_Calendar!$A$2:$A$755,"US_CPI",Release_Calendar!$B$2:$B$755,$A100)&gt;0,1,0)</f>
        <v>0</v>
      </c>
      <c r="L100" s="16">
        <f>IF(COUNTIFS(Release_Calendar!$A$2:$A$755,"US_NFP",Release_Calendar!$B$2:$B$755,$A100)&gt;0,1,0)</f>
        <v>0</v>
      </c>
      <c r="M100" s="16" t="str">
        <f>IF($A100&lt;Notes!$B$5,"",IF(COUNTIFS(Release_Calendar!$A$2:$A$755,"NZ_CPI",Release_Calendar!$B$2:$B$755,$A100)&gt;0,1,0))</f>
        <v/>
      </c>
      <c r="N100" s="16" t="str">
        <f>IF($A100&lt;Notes!$B$5,"",IF(COUNTIFS(Release_Calendar!$A$2:$A$755,"NZ_GDP",Release_Calendar!$B$2:$B$755,$A100)&gt;0,1,0))</f>
        <v/>
      </c>
      <c r="O100" s="16" t="str">
        <f>IF($A100&lt;Notes!$B$5,"",IF(COUNTIFS(Release_Calendar!$A$2:$A$755,"NZ_LABOUR",Release_Calendar!$B$2:$B$755,$A100)&gt;0,1,0))</f>
        <v/>
      </c>
      <c r="P100" s="16">
        <f t="shared" si="4"/>
        <v>0</v>
      </c>
    </row>
    <row r="101" ht="15.75" customHeight="1">
      <c r="A101" s="14">
        <v>36665.0</v>
      </c>
      <c r="B101" s="15">
        <v>6.86</v>
      </c>
      <c r="C101" s="15"/>
      <c r="D101" s="15">
        <v>7.23</v>
      </c>
      <c r="E101" s="15"/>
      <c r="F101" s="15" t="str">
        <f t="shared" si="1"/>
        <v/>
      </c>
      <c r="G101" s="15">
        <f t="shared" si="2"/>
        <v>7.23</v>
      </c>
      <c r="H101" s="16">
        <v>1.0</v>
      </c>
      <c r="I101" s="15">
        <f t="shared" si="3"/>
        <v>0.37</v>
      </c>
      <c r="J101" s="15">
        <v>25.44</v>
      </c>
      <c r="K101" s="16">
        <f>IF(COUNTIFS(Release_Calendar!$A$2:$A$755,"US_CPI",Release_Calendar!$B$2:$B$755,$A101)&gt;0,1,0)</f>
        <v>0</v>
      </c>
      <c r="L101" s="16">
        <f>IF(COUNTIFS(Release_Calendar!$A$2:$A$755,"US_NFP",Release_Calendar!$B$2:$B$755,$A101)&gt;0,1,0)</f>
        <v>0</v>
      </c>
      <c r="M101" s="16" t="str">
        <f>IF($A101&lt;Notes!$B$5,"",IF(COUNTIFS(Release_Calendar!$A$2:$A$755,"NZ_CPI",Release_Calendar!$B$2:$B$755,$A101)&gt;0,1,0))</f>
        <v/>
      </c>
      <c r="N101" s="16" t="str">
        <f>IF($A101&lt;Notes!$B$5,"",IF(COUNTIFS(Release_Calendar!$A$2:$A$755,"NZ_GDP",Release_Calendar!$B$2:$B$755,$A101)&gt;0,1,0))</f>
        <v/>
      </c>
      <c r="O101" s="16" t="str">
        <f>IF($A101&lt;Notes!$B$5,"",IF(COUNTIFS(Release_Calendar!$A$2:$A$755,"NZ_LABOUR",Release_Calendar!$B$2:$B$755,$A101)&gt;0,1,0))</f>
        <v/>
      </c>
      <c r="P101" s="16">
        <f t="shared" si="4"/>
        <v>0</v>
      </c>
    </row>
    <row r="102" ht="15.75" customHeight="1">
      <c r="A102" s="14">
        <v>36668.0</v>
      </c>
      <c r="B102" s="15">
        <v>6.81</v>
      </c>
      <c r="C102" s="15"/>
      <c r="D102" s="15">
        <v>7.17</v>
      </c>
      <c r="E102" s="15"/>
      <c r="F102" s="15" t="str">
        <f t="shared" si="1"/>
        <v/>
      </c>
      <c r="G102" s="15">
        <f t="shared" si="2"/>
        <v>7.17</v>
      </c>
      <c r="H102" s="16">
        <v>1.0</v>
      </c>
      <c r="I102" s="15">
        <f t="shared" si="3"/>
        <v>0.36</v>
      </c>
      <c r="J102" s="15">
        <v>26.0</v>
      </c>
      <c r="K102" s="16">
        <f>IF(COUNTIFS(Release_Calendar!$A$2:$A$755,"US_CPI",Release_Calendar!$B$2:$B$755,$A102)&gt;0,1,0)</f>
        <v>0</v>
      </c>
      <c r="L102" s="16">
        <f>IF(COUNTIFS(Release_Calendar!$A$2:$A$755,"US_NFP",Release_Calendar!$B$2:$B$755,$A102)&gt;0,1,0)</f>
        <v>0</v>
      </c>
      <c r="M102" s="16" t="str">
        <f>IF($A102&lt;Notes!$B$5,"",IF(COUNTIFS(Release_Calendar!$A$2:$A$755,"NZ_CPI",Release_Calendar!$B$2:$B$755,$A102)&gt;0,1,0))</f>
        <v/>
      </c>
      <c r="N102" s="16" t="str">
        <f>IF($A102&lt;Notes!$B$5,"",IF(COUNTIFS(Release_Calendar!$A$2:$A$755,"NZ_GDP",Release_Calendar!$B$2:$B$755,$A102)&gt;0,1,0))</f>
        <v/>
      </c>
      <c r="O102" s="16" t="str">
        <f>IF($A102&lt;Notes!$B$5,"",IF(COUNTIFS(Release_Calendar!$A$2:$A$755,"NZ_LABOUR",Release_Calendar!$B$2:$B$755,$A102)&gt;0,1,0))</f>
        <v/>
      </c>
      <c r="P102" s="16">
        <f t="shared" si="4"/>
        <v>0</v>
      </c>
    </row>
    <row r="103" ht="15.75" customHeight="1">
      <c r="A103" s="14">
        <v>36669.0</v>
      </c>
      <c r="B103" s="15">
        <v>6.83</v>
      </c>
      <c r="C103" s="15"/>
      <c r="D103" s="15">
        <v>7.16</v>
      </c>
      <c r="E103" s="15"/>
      <c r="F103" s="15" t="str">
        <f t="shared" si="1"/>
        <v/>
      </c>
      <c r="G103" s="15">
        <f t="shared" si="2"/>
        <v>7.16</v>
      </c>
      <c r="H103" s="16">
        <v>1.0</v>
      </c>
      <c r="I103" s="15">
        <f t="shared" si="3"/>
        <v>0.33</v>
      </c>
      <c r="J103" s="15">
        <v>25.87</v>
      </c>
      <c r="K103" s="16">
        <f>IF(COUNTIFS(Release_Calendar!$A$2:$A$755,"US_CPI",Release_Calendar!$B$2:$B$755,$A103)&gt;0,1,0)</f>
        <v>0</v>
      </c>
      <c r="L103" s="16">
        <f>IF(COUNTIFS(Release_Calendar!$A$2:$A$755,"US_NFP",Release_Calendar!$B$2:$B$755,$A103)&gt;0,1,0)</f>
        <v>0</v>
      </c>
      <c r="M103" s="16" t="str">
        <f>IF($A103&lt;Notes!$B$5,"",IF(COUNTIFS(Release_Calendar!$A$2:$A$755,"NZ_CPI",Release_Calendar!$B$2:$B$755,$A103)&gt;0,1,0))</f>
        <v/>
      </c>
      <c r="N103" s="16" t="str">
        <f>IF($A103&lt;Notes!$B$5,"",IF(COUNTIFS(Release_Calendar!$A$2:$A$755,"NZ_GDP",Release_Calendar!$B$2:$B$755,$A103)&gt;0,1,0))</f>
        <v/>
      </c>
      <c r="O103" s="16" t="str">
        <f>IF($A103&lt;Notes!$B$5,"",IF(COUNTIFS(Release_Calendar!$A$2:$A$755,"NZ_LABOUR",Release_Calendar!$B$2:$B$755,$A103)&gt;0,1,0))</f>
        <v/>
      </c>
      <c r="P103" s="16">
        <f t="shared" si="4"/>
        <v>0</v>
      </c>
    </row>
    <row r="104" ht="15.75" customHeight="1">
      <c r="A104" s="14">
        <v>36670.0</v>
      </c>
      <c r="B104" s="15">
        <v>6.79</v>
      </c>
      <c r="C104" s="15"/>
      <c r="D104" s="15">
        <v>7.16</v>
      </c>
      <c r="E104" s="15"/>
      <c r="F104" s="15" t="str">
        <f t="shared" si="1"/>
        <v/>
      </c>
      <c r="G104" s="15">
        <f t="shared" si="2"/>
        <v>7.16</v>
      </c>
      <c r="H104" s="16">
        <v>1.0</v>
      </c>
      <c r="I104" s="15">
        <f t="shared" si="3"/>
        <v>0.37</v>
      </c>
      <c r="J104" s="15">
        <v>24.32</v>
      </c>
      <c r="K104" s="16">
        <f>IF(COUNTIFS(Release_Calendar!$A$2:$A$755,"US_CPI",Release_Calendar!$B$2:$B$755,$A104)&gt;0,1,0)</f>
        <v>0</v>
      </c>
      <c r="L104" s="16">
        <f>IF(COUNTIFS(Release_Calendar!$A$2:$A$755,"US_NFP",Release_Calendar!$B$2:$B$755,$A104)&gt;0,1,0)</f>
        <v>0</v>
      </c>
      <c r="M104" s="16" t="str">
        <f>IF($A104&lt;Notes!$B$5,"",IF(COUNTIFS(Release_Calendar!$A$2:$A$755,"NZ_CPI",Release_Calendar!$B$2:$B$755,$A104)&gt;0,1,0))</f>
        <v/>
      </c>
      <c r="N104" s="16" t="str">
        <f>IF($A104&lt;Notes!$B$5,"",IF(COUNTIFS(Release_Calendar!$A$2:$A$755,"NZ_GDP",Release_Calendar!$B$2:$B$755,$A104)&gt;0,1,0))</f>
        <v/>
      </c>
      <c r="O104" s="16" t="str">
        <f>IF($A104&lt;Notes!$B$5,"",IF(COUNTIFS(Release_Calendar!$A$2:$A$755,"NZ_LABOUR",Release_Calendar!$B$2:$B$755,$A104)&gt;0,1,0))</f>
        <v/>
      </c>
      <c r="P104" s="16">
        <f t="shared" si="4"/>
        <v>0</v>
      </c>
    </row>
    <row r="105" ht="15.75" customHeight="1">
      <c r="A105" s="14">
        <v>36671.0</v>
      </c>
      <c r="B105" s="15">
        <v>6.71</v>
      </c>
      <c r="C105" s="15"/>
      <c r="D105" s="15">
        <v>7.25</v>
      </c>
      <c r="E105" s="15"/>
      <c r="F105" s="15" t="str">
        <f t="shared" si="1"/>
        <v/>
      </c>
      <c r="G105" s="15">
        <f t="shared" si="2"/>
        <v>7.25</v>
      </c>
      <c r="H105" s="16">
        <v>1.0</v>
      </c>
      <c r="I105" s="15">
        <f t="shared" si="3"/>
        <v>0.54</v>
      </c>
      <c r="J105" s="15">
        <v>24.58</v>
      </c>
      <c r="K105" s="16">
        <f>IF(COUNTIFS(Release_Calendar!$A$2:$A$755,"US_CPI",Release_Calendar!$B$2:$B$755,$A105)&gt;0,1,0)</f>
        <v>0</v>
      </c>
      <c r="L105" s="16">
        <f>IF(COUNTIFS(Release_Calendar!$A$2:$A$755,"US_NFP",Release_Calendar!$B$2:$B$755,$A105)&gt;0,1,0)</f>
        <v>0</v>
      </c>
      <c r="M105" s="16" t="str">
        <f>IF($A105&lt;Notes!$B$5,"",IF(COUNTIFS(Release_Calendar!$A$2:$A$755,"NZ_CPI",Release_Calendar!$B$2:$B$755,$A105)&gt;0,1,0))</f>
        <v/>
      </c>
      <c r="N105" s="16" t="str">
        <f>IF($A105&lt;Notes!$B$5,"",IF(COUNTIFS(Release_Calendar!$A$2:$A$755,"NZ_GDP",Release_Calendar!$B$2:$B$755,$A105)&gt;0,1,0))</f>
        <v/>
      </c>
      <c r="O105" s="16" t="str">
        <f>IF($A105&lt;Notes!$B$5,"",IF(COUNTIFS(Release_Calendar!$A$2:$A$755,"NZ_LABOUR",Release_Calendar!$B$2:$B$755,$A105)&gt;0,1,0))</f>
        <v/>
      </c>
      <c r="P105" s="16">
        <f t="shared" si="4"/>
        <v>0</v>
      </c>
    </row>
    <row r="106" ht="15.75" customHeight="1">
      <c r="A106" s="14">
        <v>36672.0</v>
      </c>
      <c r="B106" s="15">
        <v>6.69</v>
      </c>
      <c r="C106" s="15"/>
      <c r="D106" s="15">
        <v>7.21</v>
      </c>
      <c r="E106" s="15"/>
      <c r="F106" s="15" t="str">
        <f t="shared" si="1"/>
        <v/>
      </c>
      <c r="G106" s="15">
        <f t="shared" si="2"/>
        <v>7.21</v>
      </c>
      <c r="H106" s="16">
        <v>1.0</v>
      </c>
      <c r="I106" s="15">
        <f t="shared" si="3"/>
        <v>0.52</v>
      </c>
      <c r="J106" s="15">
        <v>24.47</v>
      </c>
      <c r="K106" s="16">
        <f>IF(COUNTIFS(Release_Calendar!$A$2:$A$755,"US_CPI",Release_Calendar!$B$2:$B$755,$A106)&gt;0,1,0)</f>
        <v>0</v>
      </c>
      <c r="L106" s="16">
        <f>IF(COUNTIFS(Release_Calendar!$A$2:$A$755,"US_NFP",Release_Calendar!$B$2:$B$755,$A106)&gt;0,1,0)</f>
        <v>0</v>
      </c>
      <c r="M106" s="16" t="str">
        <f>IF($A106&lt;Notes!$B$5,"",IF(COUNTIFS(Release_Calendar!$A$2:$A$755,"NZ_CPI",Release_Calendar!$B$2:$B$755,$A106)&gt;0,1,0))</f>
        <v/>
      </c>
      <c r="N106" s="16" t="str">
        <f>IF($A106&lt;Notes!$B$5,"",IF(COUNTIFS(Release_Calendar!$A$2:$A$755,"NZ_GDP",Release_Calendar!$B$2:$B$755,$A106)&gt;0,1,0))</f>
        <v/>
      </c>
      <c r="O106" s="16" t="str">
        <f>IF($A106&lt;Notes!$B$5,"",IF(COUNTIFS(Release_Calendar!$A$2:$A$755,"NZ_LABOUR",Release_Calendar!$B$2:$B$755,$A106)&gt;0,1,0))</f>
        <v/>
      </c>
      <c r="P106" s="16">
        <f t="shared" si="4"/>
        <v>0</v>
      </c>
    </row>
    <row r="107" ht="15.75" customHeight="1">
      <c r="A107" s="14">
        <v>36675.0</v>
      </c>
      <c r="B107" s="15"/>
      <c r="C107" s="15"/>
      <c r="D107" s="15">
        <v>7.19</v>
      </c>
      <c r="E107" s="15"/>
      <c r="F107" s="15" t="str">
        <f t="shared" si="1"/>
        <v/>
      </c>
      <c r="G107" s="15">
        <f t="shared" si="2"/>
        <v>7.19</v>
      </c>
      <c r="H107" s="16">
        <v>1.0</v>
      </c>
      <c r="I107" s="15" t="str">
        <f t="shared" si="3"/>
        <v/>
      </c>
      <c r="J107" s="15"/>
      <c r="K107" s="16">
        <f>IF(COUNTIFS(Release_Calendar!$A$2:$A$755,"US_CPI",Release_Calendar!$B$2:$B$755,$A107)&gt;0,1,0)</f>
        <v>0</v>
      </c>
      <c r="L107" s="16">
        <f>IF(COUNTIFS(Release_Calendar!$A$2:$A$755,"US_NFP",Release_Calendar!$B$2:$B$755,$A107)&gt;0,1,0)</f>
        <v>0</v>
      </c>
      <c r="M107" s="16" t="str">
        <f>IF($A107&lt;Notes!$B$5,"",IF(COUNTIFS(Release_Calendar!$A$2:$A$755,"NZ_CPI",Release_Calendar!$B$2:$B$755,$A107)&gt;0,1,0))</f>
        <v/>
      </c>
      <c r="N107" s="16" t="str">
        <f>IF($A107&lt;Notes!$B$5,"",IF(COUNTIFS(Release_Calendar!$A$2:$A$755,"NZ_GDP",Release_Calendar!$B$2:$B$755,$A107)&gt;0,1,0))</f>
        <v/>
      </c>
      <c r="O107" s="16" t="str">
        <f>IF($A107&lt;Notes!$B$5,"",IF(COUNTIFS(Release_Calendar!$A$2:$A$755,"NZ_LABOUR",Release_Calendar!$B$2:$B$755,$A107)&gt;0,1,0))</f>
        <v/>
      </c>
      <c r="P107" s="16">
        <f t="shared" si="4"/>
        <v>0</v>
      </c>
    </row>
    <row r="108" ht="15.75" customHeight="1">
      <c r="A108" s="14">
        <v>36676.0</v>
      </c>
      <c r="B108" s="15">
        <v>6.74</v>
      </c>
      <c r="C108" s="15"/>
      <c r="D108" s="15">
        <v>7.19</v>
      </c>
      <c r="E108" s="15"/>
      <c r="F108" s="15" t="str">
        <f t="shared" si="1"/>
        <v/>
      </c>
      <c r="G108" s="15">
        <f t="shared" si="2"/>
        <v>7.19</v>
      </c>
      <c r="H108" s="16">
        <v>1.0</v>
      </c>
      <c r="I108" s="15">
        <f t="shared" si="3"/>
        <v>0.45</v>
      </c>
      <c r="J108" s="15">
        <v>23.62</v>
      </c>
      <c r="K108" s="16">
        <f>IF(COUNTIFS(Release_Calendar!$A$2:$A$755,"US_CPI",Release_Calendar!$B$2:$B$755,$A108)&gt;0,1,0)</f>
        <v>0</v>
      </c>
      <c r="L108" s="16">
        <f>IF(COUNTIFS(Release_Calendar!$A$2:$A$755,"US_NFP",Release_Calendar!$B$2:$B$755,$A108)&gt;0,1,0)</f>
        <v>0</v>
      </c>
      <c r="M108" s="16" t="str">
        <f>IF($A108&lt;Notes!$B$5,"",IF(COUNTIFS(Release_Calendar!$A$2:$A$755,"NZ_CPI",Release_Calendar!$B$2:$B$755,$A108)&gt;0,1,0))</f>
        <v/>
      </c>
      <c r="N108" s="16" t="str">
        <f>IF($A108&lt;Notes!$B$5,"",IF(COUNTIFS(Release_Calendar!$A$2:$A$755,"NZ_GDP",Release_Calendar!$B$2:$B$755,$A108)&gt;0,1,0))</f>
        <v/>
      </c>
      <c r="O108" s="16" t="str">
        <f>IF($A108&lt;Notes!$B$5,"",IF(COUNTIFS(Release_Calendar!$A$2:$A$755,"NZ_LABOUR",Release_Calendar!$B$2:$B$755,$A108)&gt;0,1,0))</f>
        <v/>
      </c>
      <c r="P108" s="16">
        <f t="shared" si="4"/>
        <v>0</v>
      </c>
    </row>
    <row r="109" ht="15.75" customHeight="1">
      <c r="A109" s="14">
        <v>36677.0</v>
      </c>
      <c r="B109" s="15">
        <v>6.69</v>
      </c>
      <c r="C109" s="15"/>
      <c r="D109" s="15">
        <v>7.2</v>
      </c>
      <c r="E109" s="15"/>
      <c r="F109" s="15" t="str">
        <f t="shared" si="1"/>
        <v/>
      </c>
      <c r="G109" s="15">
        <f t="shared" si="2"/>
        <v>7.2</v>
      </c>
      <c r="H109" s="16">
        <v>1.0</v>
      </c>
      <c r="I109" s="15">
        <f t="shared" si="3"/>
        <v>0.51</v>
      </c>
      <c r="J109" s="15">
        <v>23.65</v>
      </c>
      <c r="K109" s="16">
        <f>IF(COUNTIFS(Release_Calendar!$A$2:$A$755,"US_CPI",Release_Calendar!$B$2:$B$755,$A109)&gt;0,1,0)</f>
        <v>0</v>
      </c>
      <c r="L109" s="16">
        <f>IF(COUNTIFS(Release_Calendar!$A$2:$A$755,"US_NFP",Release_Calendar!$B$2:$B$755,$A109)&gt;0,1,0)</f>
        <v>0</v>
      </c>
      <c r="M109" s="16" t="str">
        <f>IF($A109&lt;Notes!$B$5,"",IF(COUNTIFS(Release_Calendar!$A$2:$A$755,"NZ_CPI",Release_Calendar!$B$2:$B$755,$A109)&gt;0,1,0))</f>
        <v/>
      </c>
      <c r="N109" s="16" t="str">
        <f>IF($A109&lt;Notes!$B$5,"",IF(COUNTIFS(Release_Calendar!$A$2:$A$755,"NZ_GDP",Release_Calendar!$B$2:$B$755,$A109)&gt;0,1,0))</f>
        <v/>
      </c>
      <c r="O109" s="16" t="str">
        <f>IF($A109&lt;Notes!$B$5,"",IF(COUNTIFS(Release_Calendar!$A$2:$A$755,"NZ_LABOUR",Release_Calendar!$B$2:$B$755,$A109)&gt;0,1,0))</f>
        <v/>
      </c>
      <c r="P109" s="16">
        <f t="shared" si="4"/>
        <v>0</v>
      </c>
    </row>
    <row r="110" ht="15.75" customHeight="1">
      <c r="A110" s="14">
        <v>36678.0</v>
      </c>
      <c r="B110" s="15">
        <v>6.61</v>
      </c>
      <c r="C110" s="15"/>
      <c r="D110" s="15">
        <v>7.09</v>
      </c>
      <c r="E110" s="15"/>
      <c r="F110" s="15" t="str">
        <f t="shared" si="1"/>
        <v/>
      </c>
      <c r="G110" s="15">
        <f t="shared" si="2"/>
        <v>7.09</v>
      </c>
      <c r="H110" s="16">
        <v>1.0</v>
      </c>
      <c r="I110" s="15">
        <f t="shared" si="3"/>
        <v>0.48</v>
      </c>
      <c r="J110" s="15">
        <v>22.36</v>
      </c>
      <c r="K110" s="16">
        <f>IF(COUNTIFS(Release_Calendar!$A$2:$A$755,"US_CPI",Release_Calendar!$B$2:$B$755,$A110)&gt;0,1,0)</f>
        <v>0</v>
      </c>
      <c r="L110" s="16">
        <f>IF(COUNTIFS(Release_Calendar!$A$2:$A$755,"US_NFP",Release_Calendar!$B$2:$B$755,$A110)&gt;0,1,0)</f>
        <v>0</v>
      </c>
      <c r="M110" s="16" t="str">
        <f>IF($A110&lt;Notes!$B$5,"",IF(COUNTIFS(Release_Calendar!$A$2:$A$755,"NZ_CPI",Release_Calendar!$B$2:$B$755,$A110)&gt;0,1,0))</f>
        <v/>
      </c>
      <c r="N110" s="16" t="str">
        <f>IF($A110&lt;Notes!$B$5,"",IF(COUNTIFS(Release_Calendar!$A$2:$A$755,"NZ_GDP",Release_Calendar!$B$2:$B$755,$A110)&gt;0,1,0))</f>
        <v/>
      </c>
      <c r="O110" s="16" t="str">
        <f>IF($A110&lt;Notes!$B$5,"",IF(COUNTIFS(Release_Calendar!$A$2:$A$755,"NZ_LABOUR",Release_Calendar!$B$2:$B$755,$A110)&gt;0,1,0))</f>
        <v/>
      </c>
      <c r="P110" s="16">
        <f t="shared" si="4"/>
        <v>0</v>
      </c>
    </row>
    <row r="111" ht="15.75" customHeight="1">
      <c r="A111" s="14">
        <v>36679.0</v>
      </c>
      <c r="B111" s="15">
        <v>6.52</v>
      </c>
      <c r="C111" s="15"/>
      <c r="D111" s="15">
        <v>7.1</v>
      </c>
      <c r="E111" s="15"/>
      <c r="F111" s="15" t="str">
        <f t="shared" si="1"/>
        <v/>
      </c>
      <c r="G111" s="15">
        <f t="shared" si="2"/>
        <v>7.1</v>
      </c>
      <c r="H111" s="16">
        <v>1.0</v>
      </c>
      <c r="I111" s="15">
        <f t="shared" si="3"/>
        <v>0.58</v>
      </c>
      <c r="J111" s="15">
        <v>21.48</v>
      </c>
      <c r="K111" s="16">
        <f>IF(COUNTIFS(Release_Calendar!$A$2:$A$755,"US_CPI",Release_Calendar!$B$2:$B$755,$A111)&gt;0,1,0)</f>
        <v>0</v>
      </c>
      <c r="L111" s="16">
        <f>IF(COUNTIFS(Release_Calendar!$A$2:$A$755,"US_NFP",Release_Calendar!$B$2:$B$755,$A111)&gt;0,1,0)</f>
        <v>1</v>
      </c>
      <c r="M111" s="16" t="str">
        <f>IF($A111&lt;Notes!$B$5,"",IF(COUNTIFS(Release_Calendar!$A$2:$A$755,"NZ_CPI",Release_Calendar!$B$2:$B$755,$A111)&gt;0,1,0))</f>
        <v/>
      </c>
      <c r="N111" s="16" t="str">
        <f>IF($A111&lt;Notes!$B$5,"",IF(COUNTIFS(Release_Calendar!$A$2:$A$755,"NZ_GDP",Release_Calendar!$B$2:$B$755,$A111)&gt;0,1,0))</f>
        <v/>
      </c>
      <c r="O111" s="16" t="str">
        <f>IF($A111&lt;Notes!$B$5,"",IF(COUNTIFS(Release_Calendar!$A$2:$A$755,"NZ_LABOUR",Release_Calendar!$B$2:$B$755,$A111)&gt;0,1,0))</f>
        <v/>
      </c>
      <c r="P111" s="16">
        <f t="shared" si="4"/>
        <v>1</v>
      </c>
    </row>
    <row r="112" ht="15.75" customHeight="1">
      <c r="A112" s="14">
        <v>36682.0</v>
      </c>
      <c r="B112" s="15">
        <v>6.49</v>
      </c>
      <c r="C112" s="15"/>
      <c r="D112" s="15"/>
      <c r="E112" s="15"/>
      <c r="F112" s="15" t="str">
        <f t="shared" si="1"/>
        <v/>
      </c>
      <c r="G112" s="15" t="str">
        <f t="shared" si="2"/>
        <v/>
      </c>
      <c r="H112" s="16">
        <v>1.0</v>
      </c>
      <c r="I112" s="15" t="str">
        <f t="shared" si="3"/>
        <v/>
      </c>
      <c r="J112" s="15">
        <v>22.71</v>
      </c>
      <c r="K112" s="16">
        <f>IF(COUNTIFS(Release_Calendar!$A$2:$A$755,"US_CPI",Release_Calendar!$B$2:$B$755,$A112)&gt;0,1,0)</f>
        <v>0</v>
      </c>
      <c r="L112" s="16">
        <f>IF(COUNTIFS(Release_Calendar!$A$2:$A$755,"US_NFP",Release_Calendar!$B$2:$B$755,$A112)&gt;0,1,0)</f>
        <v>0</v>
      </c>
      <c r="M112" s="16" t="str">
        <f>IF($A112&lt;Notes!$B$5,"",IF(COUNTIFS(Release_Calendar!$A$2:$A$755,"NZ_CPI",Release_Calendar!$B$2:$B$755,$A112)&gt;0,1,0))</f>
        <v/>
      </c>
      <c r="N112" s="16" t="str">
        <f>IF($A112&lt;Notes!$B$5,"",IF(COUNTIFS(Release_Calendar!$A$2:$A$755,"NZ_GDP",Release_Calendar!$B$2:$B$755,$A112)&gt;0,1,0))</f>
        <v/>
      </c>
      <c r="O112" s="16" t="str">
        <f>IF($A112&lt;Notes!$B$5,"",IF(COUNTIFS(Release_Calendar!$A$2:$A$755,"NZ_LABOUR",Release_Calendar!$B$2:$B$755,$A112)&gt;0,1,0))</f>
        <v/>
      </c>
      <c r="P112" s="16">
        <f t="shared" si="4"/>
        <v>0</v>
      </c>
    </row>
    <row r="113" ht="15.75" customHeight="1">
      <c r="A113" s="14">
        <v>36683.0</v>
      </c>
      <c r="B113" s="15">
        <v>6.51</v>
      </c>
      <c r="C113" s="15"/>
      <c r="D113" s="15">
        <v>7.04</v>
      </c>
      <c r="E113" s="15"/>
      <c r="F113" s="15" t="str">
        <f t="shared" si="1"/>
        <v/>
      </c>
      <c r="G113" s="15">
        <f t="shared" si="2"/>
        <v>7.04</v>
      </c>
      <c r="H113" s="16">
        <v>1.0</v>
      </c>
      <c r="I113" s="15">
        <f t="shared" si="3"/>
        <v>0.53</v>
      </c>
      <c r="J113" s="15">
        <v>23.05</v>
      </c>
      <c r="K113" s="16">
        <f>IF(COUNTIFS(Release_Calendar!$A$2:$A$755,"US_CPI",Release_Calendar!$B$2:$B$755,$A113)&gt;0,1,0)</f>
        <v>0</v>
      </c>
      <c r="L113" s="16">
        <f>IF(COUNTIFS(Release_Calendar!$A$2:$A$755,"US_NFP",Release_Calendar!$B$2:$B$755,$A113)&gt;0,1,0)</f>
        <v>0</v>
      </c>
      <c r="M113" s="16" t="str">
        <f>IF($A113&lt;Notes!$B$5,"",IF(COUNTIFS(Release_Calendar!$A$2:$A$755,"NZ_CPI",Release_Calendar!$B$2:$B$755,$A113)&gt;0,1,0))</f>
        <v/>
      </c>
      <c r="N113" s="16" t="str">
        <f>IF($A113&lt;Notes!$B$5,"",IF(COUNTIFS(Release_Calendar!$A$2:$A$755,"NZ_GDP",Release_Calendar!$B$2:$B$755,$A113)&gt;0,1,0))</f>
        <v/>
      </c>
      <c r="O113" s="16" t="str">
        <f>IF($A113&lt;Notes!$B$5,"",IF(COUNTIFS(Release_Calendar!$A$2:$A$755,"NZ_LABOUR",Release_Calendar!$B$2:$B$755,$A113)&gt;0,1,0))</f>
        <v/>
      </c>
      <c r="P113" s="16">
        <f t="shared" si="4"/>
        <v>0</v>
      </c>
    </row>
    <row r="114" ht="15.75" customHeight="1">
      <c r="A114" s="14">
        <v>36684.0</v>
      </c>
      <c r="B114" s="15">
        <v>6.52</v>
      </c>
      <c r="C114" s="15"/>
      <c r="D114" s="15">
        <v>6.96</v>
      </c>
      <c r="E114" s="15"/>
      <c r="F114" s="15" t="str">
        <f t="shared" si="1"/>
        <v/>
      </c>
      <c r="G114" s="15">
        <f t="shared" si="2"/>
        <v>6.96</v>
      </c>
      <c r="H114" s="16">
        <v>1.0</v>
      </c>
      <c r="I114" s="15">
        <f t="shared" si="3"/>
        <v>0.44</v>
      </c>
      <c r="J114" s="15">
        <v>22.48</v>
      </c>
      <c r="K114" s="16">
        <f>IF(COUNTIFS(Release_Calendar!$A$2:$A$755,"US_CPI",Release_Calendar!$B$2:$B$755,$A114)&gt;0,1,0)</f>
        <v>0</v>
      </c>
      <c r="L114" s="16">
        <f>IF(COUNTIFS(Release_Calendar!$A$2:$A$755,"US_NFP",Release_Calendar!$B$2:$B$755,$A114)&gt;0,1,0)</f>
        <v>0</v>
      </c>
      <c r="M114" s="16" t="str">
        <f>IF($A114&lt;Notes!$B$5,"",IF(COUNTIFS(Release_Calendar!$A$2:$A$755,"NZ_CPI",Release_Calendar!$B$2:$B$755,$A114)&gt;0,1,0))</f>
        <v/>
      </c>
      <c r="N114" s="16" t="str">
        <f>IF($A114&lt;Notes!$B$5,"",IF(COUNTIFS(Release_Calendar!$A$2:$A$755,"NZ_GDP",Release_Calendar!$B$2:$B$755,$A114)&gt;0,1,0))</f>
        <v/>
      </c>
      <c r="O114" s="16" t="str">
        <f>IF($A114&lt;Notes!$B$5,"",IF(COUNTIFS(Release_Calendar!$A$2:$A$755,"NZ_LABOUR",Release_Calendar!$B$2:$B$755,$A114)&gt;0,1,0))</f>
        <v/>
      </c>
      <c r="P114" s="16">
        <f t="shared" si="4"/>
        <v>0</v>
      </c>
    </row>
    <row r="115" ht="15.75" customHeight="1">
      <c r="A115" s="14">
        <v>36685.0</v>
      </c>
      <c r="B115" s="15">
        <v>6.56</v>
      </c>
      <c r="C115" s="15"/>
      <c r="D115" s="15">
        <v>7.0</v>
      </c>
      <c r="E115" s="15"/>
      <c r="F115" s="15" t="str">
        <f t="shared" si="1"/>
        <v/>
      </c>
      <c r="G115" s="15">
        <f t="shared" si="2"/>
        <v>7</v>
      </c>
      <c r="H115" s="16">
        <v>1.0</v>
      </c>
      <c r="I115" s="15">
        <f t="shared" si="3"/>
        <v>0.44</v>
      </c>
      <c r="J115" s="15">
        <v>22.77</v>
      </c>
      <c r="K115" s="16">
        <f>IF(COUNTIFS(Release_Calendar!$A$2:$A$755,"US_CPI",Release_Calendar!$B$2:$B$755,$A115)&gt;0,1,0)</f>
        <v>0</v>
      </c>
      <c r="L115" s="16">
        <f>IF(COUNTIFS(Release_Calendar!$A$2:$A$755,"US_NFP",Release_Calendar!$B$2:$B$755,$A115)&gt;0,1,0)</f>
        <v>0</v>
      </c>
      <c r="M115" s="16" t="str">
        <f>IF($A115&lt;Notes!$B$5,"",IF(COUNTIFS(Release_Calendar!$A$2:$A$755,"NZ_CPI",Release_Calendar!$B$2:$B$755,$A115)&gt;0,1,0))</f>
        <v/>
      </c>
      <c r="N115" s="16" t="str">
        <f>IF($A115&lt;Notes!$B$5,"",IF(COUNTIFS(Release_Calendar!$A$2:$A$755,"NZ_GDP",Release_Calendar!$B$2:$B$755,$A115)&gt;0,1,0))</f>
        <v/>
      </c>
      <c r="O115" s="16" t="str">
        <f>IF($A115&lt;Notes!$B$5,"",IF(COUNTIFS(Release_Calendar!$A$2:$A$755,"NZ_LABOUR",Release_Calendar!$B$2:$B$755,$A115)&gt;0,1,0))</f>
        <v/>
      </c>
      <c r="P115" s="16">
        <f t="shared" si="4"/>
        <v>0</v>
      </c>
    </row>
    <row r="116" ht="15.75" customHeight="1">
      <c r="A116" s="14">
        <v>36686.0</v>
      </c>
      <c r="B116" s="15">
        <v>6.56</v>
      </c>
      <c r="C116" s="15"/>
      <c r="D116" s="15">
        <v>7.02</v>
      </c>
      <c r="E116" s="15"/>
      <c r="F116" s="15" t="str">
        <f t="shared" si="1"/>
        <v/>
      </c>
      <c r="G116" s="15">
        <f t="shared" si="2"/>
        <v>7.02</v>
      </c>
      <c r="H116" s="16">
        <v>1.0</v>
      </c>
      <c r="I116" s="15">
        <f t="shared" si="3"/>
        <v>0.46</v>
      </c>
      <c r="J116" s="15">
        <v>22.14</v>
      </c>
      <c r="K116" s="16">
        <f>IF(COUNTIFS(Release_Calendar!$A$2:$A$755,"US_CPI",Release_Calendar!$B$2:$B$755,$A116)&gt;0,1,0)</f>
        <v>0</v>
      </c>
      <c r="L116" s="16">
        <f>IF(COUNTIFS(Release_Calendar!$A$2:$A$755,"US_NFP",Release_Calendar!$B$2:$B$755,$A116)&gt;0,1,0)</f>
        <v>0</v>
      </c>
      <c r="M116" s="16" t="str">
        <f>IF($A116&lt;Notes!$B$5,"",IF(COUNTIFS(Release_Calendar!$A$2:$A$755,"NZ_CPI",Release_Calendar!$B$2:$B$755,$A116)&gt;0,1,0))</f>
        <v/>
      </c>
      <c r="N116" s="16" t="str">
        <f>IF($A116&lt;Notes!$B$5,"",IF(COUNTIFS(Release_Calendar!$A$2:$A$755,"NZ_GDP",Release_Calendar!$B$2:$B$755,$A116)&gt;0,1,0))</f>
        <v/>
      </c>
      <c r="O116" s="16" t="str">
        <f>IF($A116&lt;Notes!$B$5,"",IF(COUNTIFS(Release_Calendar!$A$2:$A$755,"NZ_LABOUR",Release_Calendar!$B$2:$B$755,$A116)&gt;0,1,0))</f>
        <v/>
      </c>
      <c r="P116" s="16">
        <f t="shared" si="4"/>
        <v>0</v>
      </c>
    </row>
    <row r="117" ht="15.75" customHeight="1">
      <c r="A117" s="14">
        <v>36689.0</v>
      </c>
      <c r="B117" s="15">
        <v>6.52</v>
      </c>
      <c r="C117" s="15"/>
      <c r="D117" s="15">
        <v>7.0</v>
      </c>
      <c r="E117" s="15"/>
      <c r="F117" s="15" t="str">
        <f t="shared" si="1"/>
        <v/>
      </c>
      <c r="G117" s="15">
        <f t="shared" si="2"/>
        <v>7</v>
      </c>
      <c r="H117" s="16">
        <v>1.0</v>
      </c>
      <c r="I117" s="15">
        <f t="shared" si="3"/>
        <v>0.48</v>
      </c>
      <c r="J117" s="15">
        <v>22.32</v>
      </c>
      <c r="K117" s="16">
        <f>IF(COUNTIFS(Release_Calendar!$A$2:$A$755,"US_CPI",Release_Calendar!$B$2:$B$755,$A117)&gt;0,1,0)</f>
        <v>0</v>
      </c>
      <c r="L117" s="16">
        <f>IF(COUNTIFS(Release_Calendar!$A$2:$A$755,"US_NFP",Release_Calendar!$B$2:$B$755,$A117)&gt;0,1,0)</f>
        <v>0</v>
      </c>
      <c r="M117" s="16" t="str">
        <f>IF($A117&lt;Notes!$B$5,"",IF(COUNTIFS(Release_Calendar!$A$2:$A$755,"NZ_CPI",Release_Calendar!$B$2:$B$755,$A117)&gt;0,1,0))</f>
        <v/>
      </c>
      <c r="N117" s="16" t="str">
        <f>IF($A117&lt;Notes!$B$5,"",IF(COUNTIFS(Release_Calendar!$A$2:$A$755,"NZ_GDP",Release_Calendar!$B$2:$B$755,$A117)&gt;0,1,0))</f>
        <v/>
      </c>
      <c r="O117" s="16" t="str">
        <f>IF($A117&lt;Notes!$B$5,"",IF(COUNTIFS(Release_Calendar!$A$2:$A$755,"NZ_LABOUR",Release_Calendar!$B$2:$B$755,$A117)&gt;0,1,0))</f>
        <v/>
      </c>
      <c r="P117" s="16">
        <f t="shared" si="4"/>
        <v>0</v>
      </c>
    </row>
    <row r="118" ht="15.75" customHeight="1">
      <c r="A118" s="14">
        <v>36690.0</v>
      </c>
      <c r="B118" s="15">
        <v>6.49</v>
      </c>
      <c r="C118" s="15"/>
      <c r="D118" s="15">
        <v>6.99</v>
      </c>
      <c r="E118" s="15"/>
      <c r="F118" s="15" t="str">
        <f t="shared" si="1"/>
        <v/>
      </c>
      <c r="G118" s="15">
        <f t="shared" si="2"/>
        <v>6.99</v>
      </c>
      <c r="H118" s="16">
        <v>1.0</v>
      </c>
      <c r="I118" s="15">
        <f t="shared" si="3"/>
        <v>0.5</v>
      </c>
      <c r="J118" s="15">
        <v>21.67</v>
      </c>
      <c r="K118" s="16">
        <f>IF(COUNTIFS(Release_Calendar!$A$2:$A$755,"US_CPI",Release_Calendar!$B$2:$B$755,$A118)&gt;0,1,0)</f>
        <v>0</v>
      </c>
      <c r="L118" s="16">
        <f>IF(COUNTIFS(Release_Calendar!$A$2:$A$755,"US_NFP",Release_Calendar!$B$2:$B$755,$A118)&gt;0,1,0)</f>
        <v>0</v>
      </c>
      <c r="M118" s="16" t="str">
        <f>IF($A118&lt;Notes!$B$5,"",IF(COUNTIFS(Release_Calendar!$A$2:$A$755,"NZ_CPI",Release_Calendar!$B$2:$B$755,$A118)&gt;0,1,0))</f>
        <v/>
      </c>
      <c r="N118" s="16" t="str">
        <f>IF($A118&lt;Notes!$B$5,"",IF(COUNTIFS(Release_Calendar!$A$2:$A$755,"NZ_GDP",Release_Calendar!$B$2:$B$755,$A118)&gt;0,1,0))</f>
        <v/>
      </c>
      <c r="O118" s="16" t="str">
        <f>IF($A118&lt;Notes!$B$5,"",IF(COUNTIFS(Release_Calendar!$A$2:$A$755,"NZ_LABOUR",Release_Calendar!$B$2:$B$755,$A118)&gt;0,1,0))</f>
        <v/>
      </c>
      <c r="P118" s="16">
        <f t="shared" si="4"/>
        <v>0</v>
      </c>
    </row>
    <row r="119" ht="15.75" customHeight="1">
      <c r="A119" s="14">
        <v>36691.0</v>
      </c>
      <c r="B119" s="15">
        <v>6.44</v>
      </c>
      <c r="C119" s="15"/>
      <c r="D119" s="15">
        <v>6.97</v>
      </c>
      <c r="E119" s="15"/>
      <c r="F119" s="15" t="str">
        <f t="shared" si="1"/>
        <v/>
      </c>
      <c r="G119" s="15">
        <f t="shared" si="2"/>
        <v>6.97</v>
      </c>
      <c r="H119" s="16">
        <v>1.0</v>
      </c>
      <c r="I119" s="15">
        <f t="shared" si="3"/>
        <v>0.53</v>
      </c>
      <c r="J119" s="15">
        <v>21.48</v>
      </c>
      <c r="K119" s="16">
        <f>IF(COUNTIFS(Release_Calendar!$A$2:$A$755,"US_CPI",Release_Calendar!$B$2:$B$755,$A119)&gt;0,1,0)</f>
        <v>1</v>
      </c>
      <c r="L119" s="16">
        <f>IF(COUNTIFS(Release_Calendar!$A$2:$A$755,"US_NFP",Release_Calendar!$B$2:$B$755,$A119)&gt;0,1,0)</f>
        <v>0</v>
      </c>
      <c r="M119" s="16" t="str">
        <f>IF($A119&lt;Notes!$B$5,"",IF(COUNTIFS(Release_Calendar!$A$2:$A$755,"NZ_CPI",Release_Calendar!$B$2:$B$755,$A119)&gt;0,1,0))</f>
        <v/>
      </c>
      <c r="N119" s="16" t="str">
        <f>IF($A119&lt;Notes!$B$5,"",IF(COUNTIFS(Release_Calendar!$A$2:$A$755,"NZ_GDP",Release_Calendar!$B$2:$B$755,$A119)&gt;0,1,0))</f>
        <v/>
      </c>
      <c r="O119" s="16" t="str">
        <f>IF($A119&lt;Notes!$B$5,"",IF(COUNTIFS(Release_Calendar!$A$2:$A$755,"NZ_LABOUR",Release_Calendar!$B$2:$B$755,$A119)&gt;0,1,0))</f>
        <v/>
      </c>
      <c r="P119" s="16">
        <f t="shared" si="4"/>
        <v>1</v>
      </c>
    </row>
    <row r="120" ht="15.75" customHeight="1">
      <c r="A120" s="14">
        <v>36692.0</v>
      </c>
      <c r="B120" s="15">
        <v>6.44</v>
      </c>
      <c r="C120" s="15"/>
      <c r="D120" s="15">
        <v>7.02</v>
      </c>
      <c r="E120" s="15"/>
      <c r="F120" s="15" t="str">
        <f t="shared" si="1"/>
        <v/>
      </c>
      <c r="G120" s="15">
        <f t="shared" si="2"/>
        <v>7.02</v>
      </c>
      <c r="H120" s="16">
        <v>1.0</v>
      </c>
      <c r="I120" s="15">
        <f t="shared" si="3"/>
        <v>0.58</v>
      </c>
      <c r="J120" s="15">
        <v>20.68</v>
      </c>
      <c r="K120" s="16">
        <f>IF(COUNTIFS(Release_Calendar!$A$2:$A$755,"US_CPI",Release_Calendar!$B$2:$B$755,$A120)&gt;0,1,0)</f>
        <v>0</v>
      </c>
      <c r="L120" s="16">
        <f>IF(COUNTIFS(Release_Calendar!$A$2:$A$755,"US_NFP",Release_Calendar!$B$2:$B$755,$A120)&gt;0,1,0)</f>
        <v>0</v>
      </c>
      <c r="M120" s="16" t="str">
        <f>IF($A120&lt;Notes!$B$5,"",IF(COUNTIFS(Release_Calendar!$A$2:$A$755,"NZ_CPI",Release_Calendar!$B$2:$B$755,$A120)&gt;0,1,0))</f>
        <v/>
      </c>
      <c r="N120" s="16" t="str">
        <f>IF($A120&lt;Notes!$B$5,"",IF(COUNTIFS(Release_Calendar!$A$2:$A$755,"NZ_GDP",Release_Calendar!$B$2:$B$755,$A120)&gt;0,1,0))</f>
        <v/>
      </c>
      <c r="O120" s="16" t="str">
        <f>IF($A120&lt;Notes!$B$5,"",IF(COUNTIFS(Release_Calendar!$A$2:$A$755,"NZ_LABOUR",Release_Calendar!$B$2:$B$755,$A120)&gt;0,1,0))</f>
        <v/>
      </c>
      <c r="P120" s="16">
        <f t="shared" si="4"/>
        <v>0</v>
      </c>
    </row>
    <row r="121" ht="15.75" customHeight="1">
      <c r="A121" s="14">
        <v>36693.0</v>
      </c>
      <c r="B121" s="15">
        <v>6.38</v>
      </c>
      <c r="C121" s="15"/>
      <c r="D121" s="15">
        <v>7.01</v>
      </c>
      <c r="E121" s="15"/>
      <c r="F121" s="15" t="str">
        <f t="shared" si="1"/>
        <v/>
      </c>
      <c r="G121" s="15">
        <f t="shared" si="2"/>
        <v>7.01</v>
      </c>
      <c r="H121" s="16">
        <v>1.0</v>
      </c>
      <c r="I121" s="15">
        <f t="shared" si="3"/>
        <v>0.63</v>
      </c>
      <c r="J121" s="15">
        <v>20.5</v>
      </c>
      <c r="K121" s="16">
        <f>IF(COUNTIFS(Release_Calendar!$A$2:$A$755,"US_CPI",Release_Calendar!$B$2:$B$755,$A121)&gt;0,1,0)</f>
        <v>0</v>
      </c>
      <c r="L121" s="16">
        <f>IF(COUNTIFS(Release_Calendar!$A$2:$A$755,"US_NFP",Release_Calendar!$B$2:$B$755,$A121)&gt;0,1,0)</f>
        <v>0</v>
      </c>
      <c r="M121" s="16" t="str">
        <f>IF($A121&lt;Notes!$B$5,"",IF(COUNTIFS(Release_Calendar!$A$2:$A$755,"NZ_CPI",Release_Calendar!$B$2:$B$755,$A121)&gt;0,1,0))</f>
        <v/>
      </c>
      <c r="N121" s="16" t="str">
        <f>IF($A121&lt;Notes!$B$5,"",IF(COUNTIFS(Release_Calendar!$A$2:$A$755,"NZ_GDP",Release_Calendar!$B$2:$B$755,$A121)&gt;0,1,0))</f>
        <v/>
      </c>
      <c r="O121" s="16" t="str">
        <f>IF($A121&lt;Notes!$B$5,"",IF(COUNTIFS(Release_Calendar!$A$2:$A$755,"NZ_LABOUR",Release_Calendar!$B$2:$B$755,$A121)&gt;0,1,0))</f>
        <v/>
      </c>
      <c r="P121" s="16">
        <f t="shared" si="4"/>
        <v>0</v>
      </c>
    </row>
    <row r="122" ht="15.75" customHeight="1">
      <c r="A122" s="14">
        <v>36696.0</v>
      </c>
      <c r="B122" s="15">
        <v>6.4</v>
      </c>
      <c r="C122" s="15"/>
      <c r="D122" s="15">
        <v>6.94</v>
      </c>
      <c r="E122" s="15"/>
      <c r="F122" s="15" t="str">
        <f t="shared" si="1"/>
        <v/>
      </c>
      <c r="G122" s="15">
        <f t="shared" si="2"/>
        <v>6.94</v>
      </c>
      <c r="H122" s="16">
        <v>1.0</v>
      </c>
      <c r="I122" s="15">
        <f t="shared" si="3"/>
        <v>0.54</v>
      </c>
      <c r="J122" s="15">
        <v>20.63</v>
      </c>
      <c r="K122" s="16">
        <f>IF(COUNTIFS(Release_Calendar!$A$2:$A$755,"US_CPI",Release_Calendar!$B$2:$B$755,$A122)&gt;0,1,0)</f>
        <v>0</v>
      </c>
      <c r="L122" s="16">
        <f>IF(COUNTIFS(Release_Calendar!$A$2:$A$755,"US_NFP",Release_Calendar!$B$2:$B$755,$A122)&gt;0,1,0)</f>
        <v>0</v>
      </c>
      <c r="M122" s="16" t="str">
        <f>IF($A122&lt;Notes!$B$5,"",IF(COUNTIFS(Release_Calendar!$A$2:$A$755,"NZ_CPI",Release_Calendar!$B$2:$B$755,$A122)&gt;0,1,0))</f>
        <v/>
      </c>
      <c r="N122" s="16" t="str">
        <f>IF($A122&lt;Notes!$B$5,"",IF(COUNTIFS(Release_Calendar!$A$2:$A$755,"NZ_GDP",Release_Calendar!$B$2:$B$755,$A122)&gt;0,1,0))</f>
        <v/>
      </c>
      <c r="O122" s="16" t="str">
        <f>IF($A122&lt;Notes!$B$5,"",IF(COUNTIFS(Release_Calendar!$A$2:$A$755,"NZ_LABOUR",Release_Calendar!$B$2:$B$755,$A122)&gt;0,1,0))</f>
        <v/>
      </c>
      <c r="P122" s="16">
        <f t="shared" si="4"/>
        <v>0</v>
      </c>
    </row>
    <row r="123" ht="15.75" customHeight="1">
      <c r="A123" s="14">
        <v>36697.0</v>
      </c>
      <c r="B123" s="15">
        <v>6.43</v>
      </c>
      <c r="C123" s="15"/>
      <c r="D123" s="15">
        <v>7.0</v>
      </c>
      <c r="E123" s="15"/>
      <c r="F123" s="15" t="str">
        <f t="shared" si="1"/>
        <v/>
      </c>
      <c r="G123" s="15">
        <f t="shared" si="2"/>
        <v>7</v>
      </c>
      <c r="H123" s="16">
        <v>1.0</v>
      </c>
      <c r="I123" s="15">
        <f t="shared" si="3"/>
        <v>0.57</v>
      </c>
      <c r="J123" s="15">
        <v>20.88</v>
      </c>
      <c r="K123" s="16">
        <f>IF(COUNTIFS(Release_Calendar!$A$2:$A$755,"US_CPI",Release_Calendar!$B$2:$B$755,$A123)&gt;0,1,0)</f>
        <v>0</v>
      </c>
      <c r="L123" s="16">
        <f>IF(COUNTIFS(Release_Calendar!$A$2:$A$755,"US_NFP",Release_Calendar!$B$2:$B$755,$A123)&gt;0,1,0)</f>
        <v>0</v>
      </c>
      <c r="M123" s="16" t="str">
        <f>IF($A123&lt;Notes!$B$5,"",IF(COUNTIFS(Release_Calendar!$A$2:$A$755,"NZ_CPI",Release_Calendar!$B$2:$B$755,$A123)&gt;0,1,0))</f>
        <v/>
      </c>
      <c r="N123" s="16" t="str">
        <f>IF($A123&lt;Notes!$B$5,"",IF(COUNTIFS(Release_Calendar!$A$2:$A$755,"NZ_GDP",Release_Calendar!$B$2:$B$755,$A123)&gt;0,1,0))</f>
        <v/>
      </c>
      <c r="O123" s="16" t="str">
        <f>IF($A123&lt;Notes!$B$5,"",IF(COUNTIFS(Release_Calendar!$A$2:$A$755,"NZ_LABOUR",Release_Calendar!$B$2:$B$755,$A123)&gt;0,1,0))</f>
        <v/>
      </c>
      <c r="P123" s="16">
        <f t="shared" si="4"/>
        <v>0</v>
      </c>
    </row>
    <row r="124" ht="15.75" customHeight="1">
      <c r="A124" s="14">
        <v>36698.0</v>
      </c>
      <c r="B124" s="15">
        <v>6.5</v>
      </c>
      <c r="C124" s="15"/>
      <c r="D124" s="15">
        <v>7.03</v>
      </c>
      <c r="E124" s="15"/>
      <c r="F124" s="15" t="str">
        <f t="shared" si="1"/>
        <v/>
      </c>
      <c r="G124" s="15">
        <f t="shared" si="2"/>
        <v>7.03</v>
      </c>
      <c r="H124" s="16">
        <v>1.0</v>
      </c>
      <c r="I124" s="15">
        <f t="shared" si="3"/>
        <v>0.53</v>
      </c>
      <c r="J124" s="15">
        <v>20.61</v>
      </c>
      <c r="K124" s="16">
        <f>IF(COUNTIFS(Release_Calendar!$A$2:$A$755,"US_CPI",Release_Calendar!$B$2:$B$755,$A124)&gt;0,1,0)</f>
        <v>0</v>
      </c>
      <c r="L124" s="16">
        <f>IF(COUNTIFS(Release_Calendar!$A$2:$A$755,"US_NFP",Release_Calendar!$B$2:$B$755,$A124)&gt;0,1,0)</f>
        <v>0</v>
      </c>
      <c r="M124" s="16" t="str">
        <f>IF($A124&lt;Notes!$B$5,"",IF(COUNTIFS(Release_Calendar!$A$2:$A$755,"NZ_CPI",Release_Calendar!$B$2:$B$755,$A124)&gt;0,1,0))</f>
        <v/>
      </c>
      <c r="N124" s="16" t="str">
        <f>IF($A124&lt;Notes!$B$5,"",IF(COUNTIFS(Release_Calendar!$A$2:$A$755,"NZ_GDP",Release_Calendar!$B$2:$B$755,$A124)&gt;0,1,0))</f>
        <v/>
      </c>
      <c r="O124" s="16" t="str">
        <f>IF($A124&lt;Notes!$B$5,"",IF(COUNTIFS(Release_Calendar!$A$2:$A$755,"NZ_LABOUR",Release_Calendar!$B$2:$B$755,$A124)&gt;0,1,0))</f>
        <v/>
      </c>
      <c r="P124" s="16">
        <f t="shared" si="4"/>
        <v>0</v>
      </c>
    </row>
    <row r="125" ht="15.75" customHeight="1">
      <c r="A125" s="14">
        <v>36699.0</v>
      </c>
      <c r="B125" s="15">
        <v>6.5</v>
      </c>
      <c r="C125" s="15"/>
      <c r="D125" s="15">
        <v>7.04</v>
      </c>
      <c r="E125" s="15"/>
      <c r="F125" s="15" t="str">
        <f t="shared" si="1"/>
        <v/>
      </c>
      <c r="G125" s="15">
        <f t="shared" si="2"/>
        <v>7.04</v>
      </c>
      <c r="H125" s="16">
        <v>1.0</v>
      </c>
      <c r="I125" s="15">
        <f t="shared" si="3"/>
        <v>0.54</v>
      </c>
      <c r="J125" s="15">
        <v>22.0</v>
      </c>
      <c r="K125" s="16">
        <f>IF(COUNTIFS(Release_Calendar!$A$2:$A$755,"US_CPI",Release_Calendar!$B$2:$B$755,$A125)&gt;0,1,0)</f>
        <v>0</v>
      </c>
      <c r="L125" s="16">
        <f>IF(COUNTIFS(Release_Calendar!$A$2:$A$755,"US_NFP",Release_Calendar!$B$2:$B$755,$A125)&gt;0,1,0)</f>
        <v>0</v>
      </c>
      <c r="M125" s="16" t="str">
        <f>IF($A125&lt;Notes!$B$5,"",IF(COUNTIFS(Release_Calendar!$A$2:$A$755,"NZ_CPI",Release_Calendar!$B$2:$B$755,$A125)&gt;0,1,0))</f>
        <v/>
      </c>
      <c r="N125" s="16" t="str">
        <f>IF($A125&lt;Notes!$B$5,"",IF(COUNTIFS(Release_Calendar!$A$2:$A$755,"NZ_GDP",Release_Calendar!$B$2:$B$755,$A125)&gt;0,1,0))</f>
        <v/>
      </c>
      <c r="O125" s="16" t="str">
        <f>IF($A125&lt;Notes!$B$5,"",IF(COUNTIFS(Release_Calendar!$A$2:$A$755,"NZ_LABOUR",Release_Calendar!$B$2:$B$755,$A125)&gt;0,1,0))</f>
        <v/>
      </c>
      <c r="P125" s="16">
        <f t="shared" si="4"/>
        <v>0</v>
      </c>
    </row>
    <row r="126" ht="15.75" customHeight="1">
      <c r="A126" s="14">
        <v>36700.0</v>
      </c>
      <c r="B126" s="15">
        <v>6.55</v>
      </c>
      <c r="C126" s="15"/>
      <c r="D126" s="15">
        <v>7.06</v>
      </c>
      <c r="E126" s="15"/>
      <c r="F126" s="15" t="str">
        <f t="shared" si="1"/>
        <v/>
      </c>
      <c r="G126" s="15">
        <f t="shared" si="2"/>
        <v>7.06</v>
      </c>
      <c r="H126" s="16">
        <v>1.0</v>
      </c>
      <c r="I126" s="15">
        <f t="shared" si="3"/>
        <v>0.51</v>
      </c>
      <c r="J126" s="15">
        <v>22.34</v>
      </c>
      <c r="K126" s="16">
        <f>IF(COUNTIFS(Release_Calendar!$A$2:$A$755,"US_CPI",Release_Calendar!$B$2:$B$755,$A126)&gt;0,1,0)</f>
        <v>0</v>
      </c>
      <c r="L126" s="16">
        <f>IF(COUNTIFS(Release_Calendar!$A$2:$A$755,"US_NFP",Release_Calendar!$B$2:$B$755,$A126)&gt;0,1,0)</f>
        <v>0</v>
      </c>
      <c r="M126" s="16" t="str">
        <f>IF($A126&lt;Notes!$B$5,"",IF(COUNTIFS(Release_Calendar!$A$2:$A$755,"NZ_CPI",Release_Calendar!$B$2:$B$755,$A126)&gt;0,1,0))</f>
        <v/>
      </c>
      <c r="N126" s="16" t="str">
        <f>IF($A126&lt;Notes!$B$5,"",IF(COUNTIFS(Release_Calendar!$A$2:$A$755,"NZ_GDP",Release_Calendar!$B$2:$B$755,$A126)&gt;0,1,0))</f>
        <v/>
      </c>
      <c r="O126" s="16" t="str">
        <f>IF($A126&lt;Notes!$B$5,"",IF(COUNTIFS(Release_Calendar!$A$2:$A$755,"NZ_LABOUR",Release_Calendar!$B$2:$B$755,$A126)&gt;0,1,0))</f>
        <v/>
      </c>
      <c r="P126" s="16">
        <f t="shared" si="4"/>
        <v>0</v>
      </c>
    </row>
    <row r="127" ht="15.75" customHeight="1">
      <c r="A127" s="14">
        <v>36703.0</v>
      </c>
      <c r="B127" s="15">
        <v>6.5</v>
      </c>
      <c r="C127" s="15"/>
      <c r="D127" s="15">
        <v>7.05</v>
      </c>
      <c r="E127" s="15"/>
      <c r="F127" s="15" t="str">
        <f t="shared" si="1"/>
        <v/>
      </c>
      <c r="G127" s="15">
        <f t="shared" si="2"/>
        <v>7.05</v>
      </c>
      <c r="H127" s="16">
        <v>1.0</v>
      </c>
      <c r="I127" s="15">
        <f t="shared" si="3"/>
        <v>0.55</v>
      </c>
      <c r="J127" s="15">
        <v>22.45</v>
      </c>
      <c r="K127" s="16">
        <f>IF(COUNTIFS(Release_Calendar!$A$2:$A$755,"US_CPI",Release_Calendar!$B$2:$B$755,$A127)&gt;0,1,0)</f>
        <v>0</v>
      </c>
      <c r="L127" s="16">
        <f>IF(COUNTIFS(Release_Calendar!$A$2:$A$755,"US_NFP",Release_Calendar!$B$2:$B$755,$A127)&gt;0,1,0)</f>
        <v>0</v>
      </c>
      <c r="M127" s="16" t="str">
        <f>IF($A127&lt;Notes!$B$5,"",IF(COUNTIFS(Release_Calendar!$A$2:$A$755,"NZ_CPI",Release_Calendar!$B$2:$B$755,$A127)&gt;0,1,0))</f>
        <v/>
      </c>
      <c r="N127" s="16" t="str">
        <f>IF($A127&lt;Notes!$B$5,"",IF(COUNTIFS(Release_Calendar!$A$2:$A$755,"NZ_GDP",Release_Calendar!$B$2:$B$755,$A127)&gt;0,1,0))</f>
        <v/>
      </c>
      <c r="O127" s="16" t="str">
        <f>IF($A127&lt;Notes!$B$5,"",IF(COUNTIFS(Release_Calendar!$A$2:$A$755,"NZ_LABOUR",Release_Calendar!$B$2:$B$755,$A127)&gt;0,1,0))</f>
        <v/>
      </c>
      <c r="P127" s="16">
        <f t="shared" si="4"/>
        <v>0</v>
      </c>
    </row>
    <row r="128" ht="15.75" customHeight="1">
      <c r="A128" s="14">
        <v>36704.0</v>
      </c>
      <c r="B128" s="15">
        <v>6.5</v>
      </c>
      <c r="C128" s="15"/>
      <c r="D128" s="15">
        <v>6.98</v>
      </c>
      <c r="E128" s="15"/>
      <c r="F128" s="15" t="str">
        <f t="shared" si="1"/>
        <v/>
      </c>
      <c r="G128" s="15">
        <f t="shared" si="2"/>
        <v>6.98</v>
      </c>
      <c r="H128" s="16">
        <v>1.0</v>
      </c>
      <c r="I128" s="15">
        <f t="shared" si="3"/>
        <v>0.48</v>
      </c>
      <c r="J128" s="15">
        <v>21.8</v>
      </c>
      <c r="K128" s="16">
        <f>IF(COUNTIFS(Release_Calendar!$A$2:$A$755,"US_CPI",Release_Calendar!$B$2:$B$755,$A128)&gt;0,1,0)</f>
        <v>0</v>
      </c>
      <c r="L128" s="16">
        <f>IF(COUNTIFS(Release_Calendar!$A$2:$A$755,"US_NFP",Release_Calendar!$B$2:$B$755,$A128)&gt;0,1,0)</f>
        <v>0</v>
      </c>
      <c r="M128" s="16" t="str">
        <f>IF($A128&lt;Notes!$B$5,"",IF(COUNTIFS(Release_Calendar!$A$2:$A$755,"NZ_CPI",Release_Calendar!$B$2:$B$755,$A128)&gt;0,1,0))</f>
        <v/>
      </c>
      <c r="N128" s="16" t="str">
        <f>IF($A128&lt;Notes!$B$5,"",IF(COUNTIFS(Release_Calendar!$A$2:$A$755,"NZ_GDP",Release_Calendar!$B$2:$B$755,$A128)&gt;0,1,0))</f>
        <v/>
      </c>
      <c r="O128" s="16" t="str">
        <f>IF($A128&lt;Notes!$B$5,"",IF(COUNTIFS(Release_Calendar!$A$2:$A$755,"NZ_LABOUR",Release_Calendar!$B$2:$B$755,$A128)&gt;0,1,0))</f>
        <v/>
      </c>
      <c r="P128" s="16">
        <f t="shared" si="4"/>
        <v>0</v>
      </c>
    </row>
    <row r="129" ht="15.75" customHeight="1">
      <c r="A129" s="14">
        <v>36705.0</v>
      </c>
      <c r="B129" s="15">
        <v>6.43</v>
      </c>
      <c r="C129" s="15"/>
      <c r="D129" s="15">
        <v>6.87</v>
      </c>
      <c r="E129" s="15"/>
      <c r="F129" s="15" t="str">
        <f t="shared" si="1"/>
        <v/>
      </c>
      <c r="G129" s="15">
        <f t="shared" si="2"/>
        <v>6.87</v>
      </c>
      <c r="H129" s="16">
        <v>1.0</v>
      </c>
      <c r="I129" s="15">
        <f t="shared" si="3"/>
        <v>0.44</v>
      </c>
      <c r="J129" s="15">
        <v>20.29</v>
      </c>
      <c r="K129" s="16">
        <f>IF(COUNTIFS(Release_Calendar!$A$2:$A$755,"US_CPI",Release_Calendar!$B$2:$B$755,$A129)&gt;0,1,0)</f>
        <v>0</v>
      </c>
      <c r="L129" s="16">
        <f>IF(COUNTIFS(Release_Calendar!$A$2:$A$755,"US_NFP",Release_Calendar!$B$2:$B$755,$A129)&gt;0,1,0)</f>
        <v>0</v>
      </c>
      <c r="M129" s="16" t="str">
        <f>IF($A129&lt;Notes!$B$5,"",IF(COUNTIFS(Release_Calendar!$A$2:$A$755,"NZ_CPI",Release_Calendar!$B$2:$B$755,$A129)&gt;0,1,0))</f>
        <v/>
      </c>
      <c r="N129" s="16" t="str">
        <f>IF($A129&lt;Notes!$B$5,"",IF(COUNTIFS(Release_Calendar!$A$2:$A$755,"NZ_GDP",Release_Calendar!$B$2:$B$755,$A129)&gt;0,1,0))</f>
        <v/>
      </c>
      <c r="O129" s="16" t="str">
        <f>IF($A129&lt;Notes!$B$5,"",IF(COUNTIFS(Release_Calendar!$A$2:$A$755,"NZ_LABOUR",Release_Calendar!$B$2:$B$755,$A129)&gt;0,1,0))</f>
        <v/>
      </c>
      <c r="P129" s="16">
        <f t="shared" si="4"/>
        <v>0</v>
      </c>
    </row>
    <row r="130" ht="15.75" customHeight="1">
      <c r="A130" s="14">
        <v>36706.0</v>
      </c>
      <c r="B130" s="15">
        <v>6.37</v>
      </c>
      <c r="C130" s="15"/>
      <c r="D130" s="15">
        <v>6.88</v>
      </c>
      <c r="E130" s="15"/>
      <c r="F130" s="15" t="str">
        <f t="shared" si="1"/>
        <v/>
      </c>
      <c r="G130" s="15">
        <f t="shared" si="2"/>
        <v>6.88</v>
      </c>
      <c r="H130" s="16">
        <v>1.0</v>
      </c>
      <c r="I130" s="15">
        <f t="shared" si="3"/>
        <v>0.51</v>
      </c>
      <c r="J130" s="15">
        <v>19.7</v>
      </c>
      <c r="K130" s="16">
        <f>IF(COUNTIFS(Release_Calendar!$A$2:$A$755,"US_CPI",Release_Calendar!$B$2:$B$755,$A130)&gt;0,1,0)</f>
        <v>0</v>
      </c>
      <c r="L130" s="16">
        <f>IF(COUNTIFS(Release_Calendar!$A$2:$A$755,"US_NFP",Release_Calendar!$B$2:$B$755,$A130)&gt;0,1,0)</f>
        <v>0</v>
      </c>
      <c r="M130" s="16" t="str">
        <f>IF($A130&lt;Notes!$B$5,"",IF(COUNTIFS(Release_Calendar!$A$2:$A$755,"NZ_CPI",Release_Calendar!$B$2:$B$755,$A130)&gt;0,1,0))</f>
        <v/>
      </c>
      <c r="N130" s="16" t="str">
        <f>IF($A130&lt;Notes!$B$5,"",IF(COUNTIFS(Release_Calendar!$A$2:$A$755,"NZ_GDP",Release_Calendar!$B$2:$B$755,$A130)&gt;0,1,0))</f>
        <v/>
      </c>
      <c r="O130" s="16" t="str">
        <f>IF($A130&lt;Notes!$B$5,"",IF(COUNTIFS(Release_Calendar!$A$2:$A$755,"NZ_LABOUR",Release_Calendar!$B$2:$B$755,$A130)&gt;0,1,0))</f>
        <v/>
      </c>
      <c r="P130" s="16">
        <f t="shared" si="4"/>
        <v>0</v>
      </c>
    </row>
    <row r="131" ht="15.75" customHeight="1">
      <c r="A131" s="14">
        <v>36707.0</v>
      </c>
      <c r="B131" s="15">
        <v>6.38</v>
      </c>
      <c r="C131" s="15"/>
      <c r="D131" s="15">
        <v>6.85</v>
      </c>
      <c r="E131" s="15"/>
      <c r="F131" s="15" t="str">
        <f t="shared" si="1"/>
        <v/>
      </c>
      <c r="G131" s="15">
        <f t="shared" si="2"/>
        <v>6.85</v>
      </c>
      <c r="H131" s="16">
        <v>1.0</v>
      </c>
      <c r="I131" s="15">
        <f t="shared" si="3"/>
        <v>0.47</v>
      </c>
      <c r="J131" s="15">
        <v>19.54</v>
      </c>
      <c r="K131" s="16">
        <f>IF(COUNTIFS(Release_Calendar!$A$2:$A$755,"US_CPI",Release_Calendar!$B$2:$B$755,$A131)&gt;0,1,0)</f>
        <v>0</v>
      </c>
      <c r="L131" s="16">
        <f>IF(COUNTIFS(Release_Calendar!$A$2:$A$755,"US_NFP",Release_Calendar!$B$2:$B$755,$A131)&gt;0,1,0)</f>
        <v>0</v>
      </c>
      <c r="M131" s="16" t="str">
        <f>IF($A131&lt;Notes!$B$5,"",IF(COUNTIFS(Release_Calendar!$A$2:$A$755,"NZ_CPI",Release_Calendar!$B$2:$B$755,$A131)&gt;0,1,0))</f>
        <v/>
      </c>
      <c r="N131" s="16" t="str">
        <f>IF($A131&lt;Notes!$B$5,"",IF(COUNTIFS(Release_Calendar!$A$2:$A$755,"NZ_GDP",Release_Calendar!$B$2:$B$755,$A131)&gt;0,1,0))</f>
        <v/>
      </c>
      <c r="O131" s="16" t="str">
        <f>IF($A131&lt;Notes!$B$5,"",IF(COUNTIFS(Release_Calendar!$A$2:$A$755,"NZ_LABOUR",Release_Calendar!$B$2:$B$755,$A131)&gt;0,1,0))</f>
        <v/>
      </c>
      <c r="P131" s="16">
        <f t="shared" si="4"/>
        <v>0</v>
      </c>
    </row>
    <row r="132" ht="15.75" customHeight="1">
      <c r="A132" s="14">
        <v>36710.0</v>
      </c>
      <c r="B132" s="15">
        <v>6.31</v>
      </c>
      <c r="C132" s="15"/>
      <c r="D132" s="15">
        <v>6.84</v>
      </c>
      <c r="E132" s="15"/>
      <c r="F132" s="15" t="str">
        <f t="shared" si="1"/>
        <v/>
      </c>
      <c r="G132" s="15">
        <f t="shared" si="2"/>
        <v>6.84</v>
      </c>
      <c r="H132" s="16">
        <v>1.0</v>
      </c>
      <c r="I132" s="15">
        <f t="shared" si="3"/>
        <v>0.53</v>
      </c>
      <c r="J132" s="15">
        <v>19.83</v>
      </c>
      <c r="K132" s="16">
        <f>IF(COUNTIFS(Release_Calendar!$A$2:$A$755,"US_CPI",Release_Calendar!$B$2:$B$755,$A132)&gt;0,1,0)</f>
        <v>0</v>
      </c>
      <c r="L132" s="16">
        <f>IF(COUNTIFS(Release_Calendar!$A$2:$A$755,"US_NFP",Release_Calendar!$B$2:$B$755,$A132)&gt;0,1,0)</f>
        <v>0</v>
      </c>
      <c r="M132" s="16" t="str">
        <f>IF($A132&lt;Notes!$B$5,"",IF(COUNTIFS(Release_Calendar!$A$2:$A$755,"NZ_CPI",Release_Calendar!$B$2:$B$755,$A132)&gt;0,1,0))</f>
        <v/>
      </c>
      <c r="N132" s="16" t="str">
        <f>IF($A132&lt;Notes!$B$5,"",IF(COUNTIFS(Release_Calendar!$A$2:$A$755,"NZ_GDP",Release_Calendar!$B$2:$B$755,$A132)&gt;0,1,0))</f>
        <v/>
      </c>
      <c r="O132" s="16" t="str">
        <f>IF($A132&lt;Notes!$B$5,"",IF(COUNTIFS(Release_Calendar!$A$2:$A$755,"NZ_LABOUR",Release_Calendar!$B$2:$B$755,$A132)&gt;0,1,0))</f>
        <v/>
      </c>
      <c r="P132" s="16">
        <f t="shared" si="4"/>
        <v>0</v>
      </c>
    </row>
    <row r="133" ht="15.75" customHeight="1">
      <c r="A133" s="14">
        <v>36711.0</v>
      </c>
      <c r="B133" s="15"/>
      <c r="C133" s="15"/>
      <c r="D133" s="15">
        <v>6.79</v>
      </c>
      <c r="E133" s="15"/>
      <c r="F133" s="15" t="str">
        <f t="shared" si="1"/>
        <v/>
      </c>
      <c r="G133" s="15">
        <f t="shared" si="2"/>
        <v>6.79</v>
      </c>
      <c r="H133" s="16">
        <v>1.0</v>
      </c>
      <c r="I133" s="15" t="str">
        <f t="shared" si="3"/>
        <v/>
      </c>
      <c r="J133" s="15"/>
      <c r="K133" s="16">
        <f>IF(COUNTIFS(Release_Calendar!$A$2:$A$755,"US_CPI",Release_Calendar!$B$2:$B$755,$A133)&gt;0,1,0)</f>
        <v>0</v>
      </c>
      <c r="L133" s="16">
        <f>IF(COUNTIFS(Release_Calendar!$A$2:$A$755,"US_NFP",Release_Calendar!$B$2:$B$755,$A133)&gt;0,1,0)</f>
        <v>0</v>
      </c>
      <c r="M133" s="16" t="str">
        <f>IF($A133&lt;Notes!$B$5,"",IF(COUNTIFS(Release_Calendar!$A$2:$A$755,"NZ_CPI",Release_Calendar!$B$2:$B$755,$A133)&gt;0,1,0))</f>
        <v/>
      </c>
      <c r="N133" s="16" t="str">
        <f>IF($A133&lt;Notes!$B$5,"",IF(COUNTIFS(Release_Calendar!$A$2:$A$755,"NZ_GDP",Release_Calendar!$B$2:$B$755,$A133)&gt;0,1,0))</f>
        <v/>
      </c>
      <c r="O133" s="16" t="str">
        <f>IF($A133&lt;Notes!$B$5,"",IF(COUNTIFS(Release_Calendar!$A$2:$A$755,"NZ_LABOUR",Release_Calendar!$B$2:$B$755,$A133)&gt;0,1,0))</f>
        <v/>
      </c>
      <c r="P133" s="16">
        <f t="shared" si="4"/>
        <v>0</v>
      </c>
    </row>
    <row r="134" ht="15.75" customHeight="1">
      <c r="A134" s="14">
        <v>36712.0</v>
      </c>
      <c r="B134" s="15">
        <v>6.29</v>
      </c>
      <c r="C134" s="15"/>
      <c r="D134" s="15">
        <v>6.69</v>
      </c>
      <c r="E134" s="15"/>
      <c r="F134" s="15" t="str">
        <f t="shared" si="1"/>
        <v/>
      </c>
      <c r="G134" s="15">
        <f t="shared" si="2"/>
        <v>6.69</v>
      </c>
      <c r="H134" s="16">
        <v>1.0</v>
      </c>
      <c r="I134" s="15">
        <f t="shared" si="3"/>
        <v>0.4</v>
      </c>
      <c r="J134" s="15">
        <v>21.16</v>
      </c>
      <c r="K134" s="16">
        <f>IF(COUNTIFS(Release_Calendar!$A$2:$A$755,"US_CPI",Release_Calendar!$B$2:$B$755,$A134)&gt;0,1,0)</f>
        <v>0</v>
      </c>
      <c r="L134" s="16">
        <f>IF(COUNTIFS(Release_Calendar!$A$2:$A$755,"US_NFP",Release_Calendar!$B$2:$B$755,$A134)&gt;0,1,0)</f>
        <v>0</v>
      </c>
      <c r="M134" s="16" t="str">
        <f>IF($A134&lt;Notes!$B$5,"",IF(COUNTIFS(Release_Calendar!$A$2:$A$755,"NZ_CPI",Release_Calendar!$B$2:$B$755,$A134)&gt;0,1,0))</f>
        <v/>
      </c>
      <c r="N134" s="16" t="str">
        <f>IF($A134&lt;Notes!$B$5,"",IF(COUNTIFS(Release_Calendar!$A$2:$A$755,"NZ_GDP",Release_Calendar!$B$2:$B$755,$A134)&gt;0,1,0))</f>
        <v/>
      </c>
      <c r="O134" s="16" t="str">
        <f>IF($A134&lt;Notes!$B$5,"",IF(COUNTIFS(Release_Calendar!$A$2:$A$755,"NZ_LABOUR",Release_Calendar!$B$2:$B$755,$A134)&gt;0,1,0))</f>
        <v/>
      </c>
      <c r="P134" s="16">
        <f t="shared" si="4"/>
        <v>0</v>
      </c>
    </row>
    <row r="135" ht="15.75" customHeight="1">
      <c r="A135" s="14">
        <v>36713.0</v>
      </c>
      <c r="B135" s="15">
        <v>6.34</v>
      </c>
      <c r="C135" s="15"/>
      <c r="D135" s="15">
        <v>6.77</v>
      </c>
      <c r="E135" s="15"/>
      <c r="F135" s="15" t="str">
        <f t="shared" si="1"/>
        <v/>
      </c>
      <c r="G135" s="15">
        <f t="shared" si="2"/>
        <v>6.77</v>
      </c>
      <c r="H135" s="16">
        <v>1.0</v>
      </c>
      <c r="I135" s="15">
        <f t="shared" si="3"/>
        <v>0.43</v>
      </c>
      <c r="J135" s="15">
        <v>20.94</v>
      </c>
      <c r="K135" s="16">
        <f>IF(COUNTIFS(Release_Calendar!$A$2:$A$755,"US_CPI",Release_Calendar!$B$2:$B$755,$A135)&gt;0,1,0)</f>
        <v>0</v>
      </c>
      <c r="L135" s="16">
        <f>IF(COUNTIFS(Release_Calendar!$A$2:$A$755,"US_NFP",Release_Calendar!$B$2:$B$755,$A135)&gt;0,1,0)</f>
        <v>0</v>
      </c>
      <c r="M135" s="16" t="str">
        <f>IF($A135&lt;Notes!$B$5,"",IF(COUNTIFS(Release_Calendar!$A$2:$A$755,"NZ_CPI",Release_Calendar!$B$2:$B$755,$A135)&gt;0,1,0))</f>
        <v/>
      </c>
      <c r="N135" s="16" t="str">
        <f>IF($A135&lt;Notes!$B$5,"",IF(COUNTIFS(Release_Calendar!$A$2:$A$755,"NZ_GDP",Release_Calendar!$B$2:$B$755,$A135)&gt;0,1,0))</f>
        <v/>
      </c>
      <c r="O135" s="16" t="str">
        <f>IF($A135&lt;Notes!$B$5,"",IF(COUNTIFS(Release_Calendar!$A$2:$A$755,"NZ_LABOUR",Release_Calendar!$B$2:$B$755,$A135)&gt;0,1,0))</f>
        <v/>
      </c>
      <c r="P135" s="16">
        <f t="shared" si="4"/>
        <v>0</v>
      </c>
    </row>
    <row r="136" ht="15.75" customHeight="1">
      <c r="A136" s="14">
        <v>36714.0</v>
      </c>
      <c r="B136" s="15">
        <v>6.29</v>
      </c>
      <c r="C136" s="15"/>
      <c r="D136" s="15">
        <v>6.81</v>
      </c>
      <c r="E136" s="15"/>
      <c r="F136" s="15" t="str">
        <f t="shared" si="1"/>
        <v/>
      </c>
      <c r="G136" s="15">
        <f t="shared" si="2"/>
        <v>6.81</v>
      </c>
      <c r="H136" s="16">
        <v>1.0</v>
      </c>
      <c r="I136" s="15">
        <f t="shared" si="3"/>
        <v>0.52</v>
      </c>
      <c r="J136" s="15">
        <v>19.22</v>
      </c>
      <c r="K136" s="16">
        <f>IF(COUNTIFS(Release_Calendar!$A$2:$A$755,"US_CPI",Release_Calendar!$B$2:$B$755,$A136)&gt;0,1,0)</f>
        <v>0</v>
      </c>
      <c r="L136" s="16">
        <f>IF(COUNTIFS(Release_Calendar!$A$2:$A$755,"US_NFP",Release_Calendar!$B$2:$B$755,$A136)&gt;0,1,0)</f>
        <v>1</v>
      </c>
      <c r="M136" s="16" t="str">
        <f>IF($A136&lt;Notes!$B$5,"",IF(COUNTIFS(Release_Calendar!$A$2:$A$755,"NZ_CPI",Release_Calendar!$B$2:$B$755,$A136)&gt;0,1,0))</f>
        <v/>
      </c>
      <c r="N136" s="16" t="str">
        <f>IF($A136&lt;Notes!$B$5,"",IF(COUNTIFS(Release_Calendar!$A$2:$A$755,"NZ_GDP",Release_Calendar!$B$2:$B$755,$A136)&gt;0,1,0))</f>
        <v/>
      </c>
      <c r="O136" s="16" t="str">
        <f>IF($A136&lt;Notes!$B$5,"",IF(COUNTIFS(Release_Calendar!$A$2:$A$755,"NZ_LABOUR",Release_Calendar!$B$2:$B$755,$A136)&gt;0,1,0))</f>
        <v/>
      </c>
      <c r="P136" s="16">
        <f t="shared" si="4"/>
        <v>1</v>
      </c>
    </row>
    <row r="137" ht="15.75" customHeight="1">
      <c r="A137" s="14">
        <v>36717.0</v>
      </c>
      <c r="B137" s="15">
        <v>6.31</v>
      </c>
      <c r="C137" s="15"/>
      <c r="D137" s="15">
        <v>6.78</v>
      </c>
      <c r="E137" s="15"/>
      <c r="F137" s="15" t="str">
        <f t="shared" si="1"/>
        <v/>
      </c>
      <c r="G137" s="15">
        <f t="shared" si="2"/>
        <v>6.78</v>
      </c>
      <c r="H137" s="16">
        <v>1.0</v>
      </c>
      <c r="I137" s="15">
        <f t="shared" si="3"/>
        <v>0.47</v>
      </c>
      <c r="J137" s="15">
        <v>20.33</v>
      </c>
      <c r="K137" s="16">
        <f>IF(COUNTIFS(Release_Calendar!$A$2:$A$755,"US_CPI",Release_Calendar!$B$2:$B$755,$A137)&gt;0,1,0)</f>
        <v>0</v>
      </c>
      <c r="L137" s="16">
        <f>IF(COUNTIFS(Release_Calendar!$A$2:$A$755,"US_NFP",Release_Calendar!$B$2:$B$755,$A137)&gt;0,1,0)</f>
        <v>0</v>
      </c>
      <c r="M137" s="16" t="str">
        <f>IF($A137&lt;Notes!$B$5,"",IF(COUNTIFS(Release_Calendar!$A$2:$A$755,"NZ_CPI",Release_Calendar!$B$2:$B$755,$A137)&gt;0,1,0))</f>
        <v/>
      </c>
      <c r="N137" s="16" t="str">
        <f>IF($A137&lt;Notes!$B$5,"",IF(COUNTIFS(Release_Calendar!$A$2:$A$755,"NZ_GDP",Release_Calendar!$B$2:$B$755,$A137)&gt;0,1,0))</f>
        <v/>
      </c>
      <c r="O137" s="16" t="str">
        <f>IF($A137&lt;Notes!$B$5,"",IF(COUNTIFS(Release_Calendar!$A$2:$A$755,"NZ_LABOUR",Release_Calendar!$B$2:$B$755,$A137)&gt;0,1,0))</f>
        <v/>
      </c>
      <c r="P137" s="16">
        <f t="shared" si="4"/>
        <v>0</v>
      </c>
    </row>
    <row r="138" ht="15.75" customHeight="1">
      <c r="A138" s="14">
        <v>36718.0</v>
      </c>
      <c r="B138" s="15">
        <v>6.32</v>
      </c>
      <c r="C138" s="15"/>
      <c r="D138" s="15">
        <v>6.79</v>
      </c>
      <c r="E138" s="15"/>
      <c r="F138" s="15" t="str">
        <f t="shared" si="1"/>
        <v/>
      </c>
      <c r="G138" s="15">
        <f t="shared" si="2"/>
        <v>6.79</v>
      </c>
      <c r="H138" s="16">
        <v>1.0</v>
      </c>
      <c r="I138" s="15">
        <f t="shared" si="3"/>
        <v>0.47</v>
      </c>
      <c r="J138" s="15">
        <v>20.11</v>
      </c>
      <c r="K138" s="16">
        <f>IF(COUNTIFS(Release_Calendar!$A$2:$A$755,"US_CPI",Release_Calendar!$B$2:$B$755,$A138)&gt;0,1,0)</f>
        <v>0</v>
      </c>
      <c r="L138" s="16">
        <f>IF(COUNTIFS(Release_Calendar!$A$2:$A$755,"US_NFP",Release_Calendar!$B$2:$B$755,$A138)&gt;0,1,0)</f>
        <v>0</v>
      </c>
      <c r="M138" s="16" t="str">
        <f>IF($A138&lt;Notes!$B$5,"",IF(COUNTIFS(Release_Calendar!$A$2:$A$755,"NZ_CPI",Release_Calendar!$B$2:$B$755,$A138)&gt;0,1,0))</f>
        <v/>
      </c>
      <c r="N138" s="16" t="str">
        <f>IF($A138&lt;Notes!$B$5,"",IF(COUNTIFS(Release_Calendar!$A$2:$A$755,"NZ_GDP",Release_Calendar!$B$2:$B$755,$A138)&gt;0,1,0))</f>
        <v/>
      </c>
      <c r="O138" s="16" t="str">
        <f>IF($A138&lt;Notes!$B$5,"",IF(COUNTIFS(Release_Calendar!$A$2:$A$755,"NZ_LABOUR",Release_Calendar!$B$2:$B$755,$A138)&gt;0,1,0))</f>
        <v/>
      </c>
      <c r="P138" s="16">
        <f t="shared" si="4"/>
        <v>0</v>
      </c>
    </row>
    <row r="139" ht="15.75" customHeight="1">
      <c r="A139" s="14">
        <v>36719.0</v>
      </c>
      <c r="B139" s="15">
        <v>6.34</v>
      </c>
      <c r="C139" s="15"/>
      <c r="D139" s="15">
        <v>6.8</v>
      </c>
      <c r="E139" s="15"/>
      <c r="F139" s="15" t="str">
        <f t="shared" si="1"/>
        <v/>
      </c>
      <c r="G139" s="15">
        <f t="shared" si="2"/>
        <v>6.8</v>
      </c>
      <c r="H139" s="16">
        <v>1.0</v>
      </c>
      <c r="I139" s="15">
        <f t="shared" si="3"/>
        <v>0.46</v>
      </c>
      <c r="J139" s="15">
        <v>20.03</v>
      </c>
      <c r="K139" s="16">
        <f>IF(COUNTIFS(Release_Calendar!$A$2:$A$755,"US_CPI",Release_Calendar!$B$2:$B$755,$A139)&gt;0,1,0)</f>
        <v>0</v>
      </c>
      <c r="L139" s="16">
        <f>IF(COUNTIFS(Release_Calendar!$A$2:$A$755,"US_NFP",Release_Calendar!$B$2:$B$755,$A139)&gt;0,1,0)</f>
        <v>0</v>
      </c>
      <c r="M139" s="16" t="str">
        <f>IF($A139&lt;Notes!$B$5,"",IF(COUNTIFS(Release_Calendar!$A$2:$A$755,"NZ_CPI",Release_Calendar!$B$2:$B$755,$A139)&gt;0,1,0))</f>
        <v/>
      </c>
      <c r="N139" s="16" t="str">
        <f>IF($A139&lt;Notes!$B$5,"",IF(COUNTIFS(Release_Calendar!$A$2:$A$755,"NZ_GDP",Release_Calendar!$B$2:$B$755,$A139)&gt;0,1,0))</f>
        <v/>
      </c>
      <c r="O139" s="16" t="str">
        <f>IF($A139&lt;Notes!$B$5,"",IF(COUNTIFS(Release_Calendar!$A$2:$A$755,"NZ_LABOUR",Release_Calendar!$B$2:$B$755,$A139)&gt;0,1,0))</f>
        <v/>
      </c>
      <c r="P139" s="16">
        <f t="shared" si="4"/>
        <v>0</v>
      </c>
    </row>
    <row r="140" ht="15.75" customHeight="1">
      <c r="A140" s="14">
        <v>36720.0</v>
      </c>
      <c r="B140" s="15">
        <v>6.31</v>
      </c>
      <c r="C140" s="15"/>
      <c r="D140" s="15">
        <v>6.78</v>
      </c>
      <c r="E140" s="15"/>
      <c r="F140" s="15" t="str">
        <f t="shared" si="1"/>
        <v/>
      </c>
      <c r="G140" s="15">
        <f t="shared" si="2"/>
        <v>6.78</v>
      </c>
      <c r="H140" s="16">
        <v>1.0</v>
      </c>
      <c r="I140" s="15">
        <f t="shared" si="3"/>
        <v>0.47</v>
      </c>
      <c r="J140" s="15">
        <v>20.03</v>
      </c>
      <c r="K140" s="16">
        <f>IF(COUNTIFS(Release_Calendar!$A$2:$A$755,"US_CPI",Release_Calendar!$B$2:$B$755,$A140)&gt;0,1,0)</f>
        <v>0</v>
      </c>
      <c r="L140" s="16">
        <f>IF(COUNTIFS(Release_Calendar!$A$2:$A$755,"US_NFP",Release_Calendar!$B$2:$B$755,$A140)&gt;0,1,0)</f>
        <v>0</v>
      </c>
      <c r="M140" s="16" t="str">
        <f>IF($A140&lt;Notes!$B$5,"",IF(COUNTIFS(Release_Calendar!$A$2:$A$755,"NZ_CPI",Release_Calendar!$B$2:$B$755,$A140)&gt;0,1,0))</f>
        <v/>
      </c>
      <c r="N140" s="16" t="str">
        <f>IF($A140&lt;Notes!$B$5,"",IF(COUNTIFS(Release_Calendar!$A$2:$A$755,"NZ_GDP",Release_Calendar!$B$2:$B$755,$A140)&gt;0,1,0))</f>
        <v/>
      </c>
      <c r="O140" s="16" t="str">
        <f>IF($A140&lt;Notes!$B$5,"",IF(COUNTIFS(Release_Calendar!$A$2:$A$755,"NZ_LABOUR",Release_Calendar!$B$2:$B$755,$A140)&gt;0,1,0))</f>
        <v/>
      </c>
      <c r="P140" s="16">
        <f t="shared" si="4"/>
        <v>0</v>
      </c>
    </row>
    <row r="141" ht="15.75" customHeight="1">
      <c r="A141" s="14">
        <v>36721.0</v>
      </c>
      <c r="B141" s="15">
        <v>6.41</v>
      </c>
      <c r="C141" s="15"/>
      <c r="D141" s="15">
        <v>6.79</v>
      </c>
      <c r="E141" s="15"/>
      <c r="F141" s="15" t="str">
        <f t="shared" si="1"/>
        <v/>
      </c>
      <c r="G141" s="15">
        <f t="shared" si="2"/>
        <v>6.79</v>
      </c>
      <c r="H141" s="16">
        <v>1.0</v>
      </c>
      <c r="I141" s="15">
        <f t="shared" si="3"/>
        <v>0.38</v>
      </c>
      <c r="J141" s="15">
        <v>19.32</v>
      </c>
      <c r="K141" s="16">
        <f>IF(COUNTIFS(Release_Calendar!$A$2:$A$755,"US_CPI",Release_Calendar!$B$2:$B$755,$A141)&gt;0,1,0)</f>
        <v>0</v>
      </c>
      <c r="L141" s="16">
        <f>IF(COUNTIFS(Release_Calendar!$A$2:$A$755,"US_NFP",Release_Calendar!$B$2:$B$755,$A141)&gt;0,1,0)</f>
        <v>0</v>
      </c>
      <c r="M141" s="16" t="str">
        <f>IF($A141&lt;Notes!$B$5,"",IF(COUNTIFS(Release_Calendar!$A$2:$A$755,"NZ_CPI",Release_Calendar!$B$2:$B$755,$A141)&gt;0,1,0))</f>
        <v/>
      </c>
      <c r="N141" s="16" t="str">
        <f>IF($A141&lt;Notes!$B$5,"",IF(COUNTIFS(Release_Calendar!$A$2:$A$755,"NZ_GDP",Release_Calendar!$B$2:$B$755,$A141)&gt;0,1,0))</f>
        <v/>
      </c>
      <c r="O141" s="16" t="str">
        <f>IF($A141&lt;Notes!$B$5,"",IF(COUNTIFS(Release_Calendar!$A$2:$A$755,"NZ_LABOUR",Release_Calendar!$B$2:$B$755,$A141)&gt;0,1,0))</f>
        <v/>
      </c>
      <c r="P141" s="16">
        <f t="shared" si="4"/>
        <v>0</v>
      </c>
    </row>
    <row r="142" ht="15.75" customHeight="1">
      <c r="A142" s="14">
        <v>36724.0</v>
      </c>
      <c r="B142" s="15">
        <v>6.46</v>
      </c>
      <c r="C142" s="15"/>
      <c r="D142" s="15">
        <v>6.81</v>
      </c>
      <c r="E142" s="15"/>
      <c r="F142" s="15" t="str">
        <f t="shared" si="1"/>
        <v/>
      </c>
      <c r="G142" s="15">
        <f t="shared" si="2"/>
        <v>6.81</v>
      </c>
      <c r="H142" s="16">
        <v>1.0</v>
      </c>
      <c r="I142" s="15">
        <f t="shared" si="3"/>
        <v>0.35</v>
      </c>
      <c r="J142" s="15">
        <v>19.45</v>
      </c>
      <c r="K142" s="16">
        <f>IF(COUNTIFS(Release_Calendar!$A$2:$A$755,"US_CPI",Release_Calendar!$B$2:$B$755,$A142)&gt;0,1,0)</f>
        <v>0</v>
      </c>
      <c r="L142" s="16">
        <f>IF(COUNTIFS(Release_Calendar!$A$2:$A$755,"US_NFP",Release_Calendar!$B$2:$B$755,$A142)&gt;0,1,0)</f>
        <v>0</v>
      </c>
      <c r="M142" s="16" t="str">
        <f>IF($A142&lt;Notes!$B$5,"",IF(COUNTIFS(Release_Calendar!$A$2:$A$755,"NZ_CPI",Release_Calendar!$B$2:$B$755,$A142)&gt;0,1,0))</f>
        <v/>
      </c>
      <c r="N142" s="16" t="str">
        <f>IF($A142&lt;Notes!$B$5,"",IF(COUNTIFS(Release_Calendar!$A$2:$A$755,"NZ_GDP",Release_Calendar!$B$2:$B$755,$A142)&gt;0,1,0))</f>
        <v/>
      </c>
      <c r="O142" s="16" t="str">
        <f>IF($A142&lt;Notes!$B$5,"",IF(COUNTIFS(Release_Calendar!$A$2:$A$755,"NZ_LABOUR",Release_Calendar!$B$2:$B$755,$A142)&gt;0,1,0))</f>
        <v/>
      </c>
      <c r="P142" s="16">
        <f t="shared" si="4"/>
        <v>0</v>
      </c>
    </row>
    <row r="143" ht="15.75" customHeight="1">
      <c r="A143" s="14">
        <v>36725.0</v>
      </c>
      <c r="B143" s="15">
        <v>6.44</v>
      </c>
      <c r="C143" s="15"/>
      <c r="D143" s="15">
        <v>6.78</v>
      </c>
      <c r="E143" s="15"/>
      <c r="F143" s="15" t="str">
        <f t="shared" si="1"/>
        <v/>
      </c>
      <c r="G143" s="15">
        <f t="shared" si="2"/>
        <v>6.78</v>
      </c>
      <c r="H143" s="16">
        <v>1.0</v>
      </c>
      <c r="I143" s="15">
        <f t="shared" si="3"/>
        <v>0.34</v>
      </c>
      <c r="J143" s="15">
        <v>19.75</v>
      </c>
      <c r="K143" s="16">
        <f>IF(COUNTIFS(Release_Calendar!$A$2:$A$755,"US_CPI",Release_Calendar!$B$2:$B$755,$A143)&gt;0,1,0)</f>
        <v>1</v>
      </c>
      <c r="L143" s="16">
        <f>IF(COUNTIFS(Release_Calendar!$A$2:$A$755,"US_NFP",Release_Calendar!$B$2:$B$755,$A143)&gt;0,1,0)</f>
        <v>0</v>
      </c>
      <c r="M143" s="16" t="str">
        <f>IF($A143&lt;Notes!$B$5,"",IF(COUNTIFS(Release_Calendar!$A$2:$A$755,"NZ_CPI",Release_Calendar!$B$2:$B$755,$A143)&gt;0,1,0))</f>
        <v/>
      </c>
      <c r="N143" s="16" t="str">
        <f>IF($A143&lt;Notes!$B$5,"",IF(COUNTIFS(Release_Calendar!$A$2:$A$755,"NZ_GDP",Release_Calendar!$B$2:$B$755,$A143)&gt;0,1,0))</f>
        <v/>
      </c>
      <c r="O143" s="16" t="str">
        <f>IF($A143&lt;Notes!$B$5,"",IF(COUNTIFS(Release_Calendar!$A$2:$A$755,"NZ_LABOUR",Release_Calendar!$B$2:$B$755,$A143)&gt;0,1,0))</f>
        <v/>
      </c>
      <c r="P143" s="16">
        <f t="shared" si="4"/>
        <v>1</v>
      </c>
    </row>
    <row r="144" ht="15.75" customHeight="1">
      <c r="A144" s="14">
        <v>36726.0</v>
      </c>
      <c r="B144" s="15">
        <v>6.46</v>
      </c>
      <c r="C144" s="15"/>
      <c r="D144" s="15">
        <v>6.78</v>
      </c>
      <c r="E144" s="15"/>
      <c r="F144" s="15" t="str">
        <f t="shared" si="1"/>
        <v/>
      </c>
      <c r="G144" s="15">
        <f t="shared" si="2"/>
        <v>6.78</v>
      </c>
      <c r="H144" s="16">
        <v>1.0</v>
      </c>
      <c r="I144" s="15">
        <f t="shared" si="3"/>
        <v>0.32</v>
      </c>
      <c r="J144" s="15">
        <v>19.65</v>
      </c>
      <c r="K144" s="16">
        <f>IF(COUNTIFS(Release_Calendar!$A$2:$A$755,"US_CPI",Release_Calendar!$B$2:$B$755,$A144)&gt;0,1,0)</f>
        <v>0</v>
      </c>
      <c r="L144" s="16">
        <f>IF(COUNTIFS(Release_Calendar!$A$2:$A$755,"US_NFP",Release_Calendar!$B$2:$B$755,$A144)&gt;0,1,0)</f>
        <v>0</v>
      </c>
      <c r="M144" s="16" t="str">
        <f>IF($A144&lt;Notes!$B$5,"",IF(COUNTIFS(Release_Calendar!$A$2:$A$755,"NZ_CPI",Release_Calendar!$B$2:$B$755,$A144)&gt;0,1,0))</f>
        <v/>
      </c>
      <c r="N144" s="16" t="str">
        <f>IF($A144&lt;Notes!$B$5,"",IF(COUNTIFS(Release_Calendar!$A$2:$A$755,"NZ_GDP",Release_Calendar!$B$2:$B$755,$A144)&gt;0,1,0))</f>
        <v/>
      </c>
      <c r="O144" s="16" t="str">
        <f>IF($A144&lt;Notes!$B$5,"",IF(COUNTIFS(Release_Calendar!$A$2:$A$755,"NZ_LABOUR",Release_Calendar!$B$2:$B$755,$A144)&gt;0,1,0))</f>
        <v/>
      </c>
      <c r="P144" s="16">
        <f t="shared" si="4"/>
        <v>0</v>
      </c>
    </row>
    <row r="145" ht="15.75" customHeight="1">
      <c r="A145" s="14">
        <v>36727.0</v>
      </c>
      <c r="B145" s="15">
        <v>6.32</v>
      </c>
      <c r="C145" s="15"/>
      <c r="D145" s="15">
        <v>6.81</v>
      </c>
      <c r="E145" s="15"/>
      <c r="F145" s="15" t="str">
        <f t="shared" si="1"/>
        <v/>
      </c>
      <c r="G145" s="15">
        <f t="shared" si="2"/>
        <v>6.81</v>
      </c>
      <c r="H145" s="16">
        <v>1.0</v>
      </c>
      <c r="I145" s="15">
        <f t="shared" si="3"/>
        <v>0.49</v>
      </c>
      <c r="J145" s="15">
        <v>18.94</v>
      </c>
      <c r="K145" s="16">
        <f>IF(COUNTIFS(Release_Calendar!$A$2:$A$755,"US_CPI",Release_Calendar!$B$2:$B$755,$A145)&gt;0,1,0)</f>
        <v>0</v>
      </c>
      <c r="L145" s="16">
        <f>IF(COUNTIFS(Release_Calendar!$A$2:$A$755,"US_NFP",Release_Calendar!$B$2:$B$755,$A145)&gt;0,1,0)</f>
        <v>0</v>
      </c>
      <c r="M145" s="16" t="str">
        <f>IF($A145&lt;Notes!$B$5,"",IF(COUNTIFS(Release_Calendar!$A$2:$A$755,"NZ_CPI",Release_Calendar!$B$2:$B$755,$A145)&gt;0,1,0))</f>
        <v/>
      </c>
      <c r="N145" s="16" t="str">
        <f>IF($A145&lt;Notes!$B$5,"",IF(COUNTIFS(Release_Calendar!$A$2:$A$755,"NZ_GDP",Release_Calendar!$B$2:$B$755,$A145)&gt;0,1,0))</f>
        <v/>
      </c>
      <c r="O145" s="16" t="str">
        <f>IF($A145&lt;Notes!$B$5,"",IF(COUNTIFS(Release_Calendar!$A$2:$A$755,"NZ_LABOUR",Release_Calendar!$B$2:$B$755,$A145)&gt;0,1,0))</f>
        <v/>
      </c>
      <c r="P145" s="16">
        <f t="shared" si="4"/>
        <v>0</v>
      </c>
    </row>
    <row r="146" ht="15.75" customHeight="1">
      <c r="A146" s="14">
        <v>36728.0</v>
      </c>
      <c r="B146" s="15">
        <v>6.32</v>
      </c>
      <c r="C146" s="15"/>
      <c r="D146" s="15">
        <v>6.71</v>
      </c>
      <c r="E146" s="15"/>
      <c r="F146" s="15" t="str">
        <f t="shared" si="1"/>
        <v/>
      </c>
      <c r="G146" s="15">
        <f t="shared" si="2"/>
        <v>6.71</v>
      </c>
      <c r="H146" s="16">
        <v>1.0</v>
      </c>
      <c r="I146" s="15">
        <f t="shared" si="3"/>
        <v>0.39</v>
      </c>
      <c r="J146" s="15">
        <v>18.94</v>
      </c>
      <c r="K146" s="16">
        <f>IF(COUNTIFS(Release_Calendar!$A$2:$A$755,"US_CPI",Release_Calendar!$B$2:$B$755,$A146)&gt;0,1,0)</f>
        <v>0</v>
      </c>
      <c r="L146" s="16">
        <f>IF(COUNTIFS(Release_Calendar!$A$2:$A$755,"US_NFP",Release_Calendar!$B$2:$B$755,$A146)&gt;0,1,0)</f>
        <v>0</v>
      </c>
      <c r="M146" s="16" t="str">
        <f>IF($A146&lt;Notes!$B$5,"",IF(COUNTIFS(Release_Calendar!$A$2:$A$755,"NZ_CPI",Release_Calendar!$B$2:$B$755,$A146)&gt;0,1,0))</f>
        <v/>
      </c>
      <c r="N146" s="16" t="str">
        <f>IF($A146&lt;Notes!$B$5,"",IF(COUNTIFS(Release_Calendar!$A$2:$A$755,"NZ_GDP",Release_Calendar!$B$2:$B$755,$A146)&gt;0,1,0))</f>
        <v/>
      </c>
      <c r="O146" s="16" t="str">
        <f>IF($A146&lt;Notes!$B$5,"",IF(COUNTIFS(Release_Calendar!$A$2:$A$755,"NZ_LABOUR",Release_Calendar!$B$2:$B$755,$A146)&gt;0,1,0))</f>
        <v/>
      </c>
      <c r="P146" s="16">
        <f t="shared" si="4"/>
        <v>0</v>
      </c>
    </row>
    <row r="147" ht="15.75" customHeight="1">
      <c r="A147" s="14">
        <v>36731.0</v>
      </c>
      <c r="B147" s="15">
        <v>6.35</v>
      </c>
      <c r="C147" s="15"/>
      <c r="D147" s="15">
        <v>6.72</v>
      </c>
      <c r="E147" s="15"/>
      <c r="F147" s="15" t="str">
        <f t="shared" si="1"/>
        <v/>
      </c>
      <c r="G147" s="15">
        <f t="shared" si="2"/>
        <v>6.72</v>
      </c>
      <c r="H147" s="16">
        <v>1.0</v>
      </c>
      <c r="I147" s="15">
        <f t="shared" si="3"/>
        <v>0.37</v>
      </c>
      <c r="J147" s="15">
        <v>19.92</v>
      </c>
      <c r="K147" s="16">
        <f>IF(COUNTIFS(Release_Calendar!$A$2:$A$755,"US_CPI",Release_Calendar!$B$2:$B$755,$A147)&gt;0,1,0)</f>
        <v>0</v>
      </c>
      <c r="L147" s="16">
        <f>IF(COUNTIFS(Release_Calendar!$A$2:$A$755,"US_NFP",Release_Calendar!$B$2:$B$755,$A147)&gt;0,1,0)</f>
        <v>0</v>
      </c>
      <c r="M147" s="16" t="str">
        <f>IF($A147&lt;Notes!$B$5,"",IF(COUNTIFS(Release_Calendar!$A$2:$A$755,"NZ_CPI",Release_Calendar!$B$2:$B$755,$A147)&gt;0,1,0))</f>
        <v/>
      </c>
      <c r="N147" s="16" t="str">
        <f>IF($A147&lt;Notes!$B$5,"",IF(COUNTIFS(Release_Calendar!$A$2:$A$755,"NZ_GDP",Release_Calendar!$B$2:$B$755,$A147)&gt;0,1,0))</f>
        <v/>
      </c>
      <c r="O147" s="16" t="str">
        <f>IF($A147&lt;Notes!$B$5,"",IF(COUNTIFS(Release_Calendar!$A$2:$A$755,"NZ_LABOUR",Release_Calendar!$B$2:$B$755,$A147)&gt;0,1,0))</f>
        <v/>
      </c>
      <c r="P147" s="16">
        <f t="shared" si="4"/>
        <v>0</v>
      </c>
    </row>
    <row r="148" ht="15.75" customHeight="1">
      <c r="A148" s="14">
        <v>36732.0</v>
      </c>
      <c r="B148" s="15">
        <v>6.35</v>
      </c>
      <c r="C148" s="15"/>
      <c r="D148" s="15">
        <v>6.75</v>
      </c>
      <c r="E148" s="15"/>
      <c r="F148" s="15" t="str">
        <f t="shared" si="1"/>
        <v/>
      </c>
      <c r="G148" s="15">
        <f t="shared" si="2"/>
        <v>6.75</v>
      </c>
      <c r="H148" s="16">
        <v>1.0</v>
      </c>
      <c r="I148" s="15">
        <f t="shared" si="3"/>
        <v>0.4</v>
      </c>
      <c r="J148" s="15">
        <v>19.39</v>
      </c>
      <c r="K148" s="16">
        <f>IF(COUNTIFS(Release_Calendar!$A$2:$A$755,"US_CPI",Release_Calendar!$B$2:$B$755,$A148)&gt;0,1,0)</f>
        <v>0</v>
      </c>
      <c r="L148" s="16">
        <f>IF(COUNTIFS(Release_Calendar!$A$2:$A$755,"US_NFP",Release_Calendar!$B$2:$B$755,$A148)&gt;0,1,0)</f>
        <v>0</v>
      </c>
      <c r="M148" s="16" t="str">
        <f>IF($A148&lt;Notes!$B$5,"",IF(COUNTIFS(Release_Calendar!$A$2:$A$755,"NZ_CPI",Release_Calendar!$B$2:$B$755,$A148)&gt;0,1,0))</f>
        <v/>
      </c>
      <c r="N148" s="16" t="str">
        <f>IF($A148&lt;Notes!$B$5,"",IF(COUNTIFS(Release_Calendar!$A$2:$A$755,"NZ_GDP",Release_Calendar!$B$2:$B$755,$A148)&gt;0,1,0))</f>
        <v/>
      </c>
      <c r="O148" s="16" t="str">
        <f>IF($A148&lt;Notes!$B$5,"",IF(COUNTIFS(Release_Calendar!$A$2:$A$755,"NZ_LABOUR",Release_Calendar!$B$2:$B$755,$A148)&gt;0,1,0))</f>
        <v/>
      </c>
      <c r="P148" s="16">
        <f t="shared" si="4"/>
        <v>0</v>
      </c>
    </row>
    <row r="149" ht="15.75" customHeight="1">
      <c r="A149" s="14">
        <v>36733.0</v>
      </c>
      <c r="B149" s="15">
        <v>6.29</v>
      </c>
      <c r="C149" s="15"/>
      <c r="D149" s="15">
        <v>6.77</v>
      </c>
      <c r="E149" s="15"/>
      <c r="F149" s="15" t="str">
        <f t="shared" si="1"/>
        <v/>
      </c>
      <c r="G149" s="15">
        <f t="shared" si="2"/>
        <v>6.77</v>
      </c>
      <c r="H149" s="16">
        <v>1.0</v>
      </c>
      <c r="I149" s="15">
        <f t="shared" si="3"/>
        <v>0.48</v>
      </c>
      <c r="J149" s="15">
        <v>19.67</v>
      </c>
      <c r="K149" s="16">
        <f>IF(COUNTIFS(Release_Calendar!$A$2:$A$755,"US_CPI",Release_Calendar!$B$2:$B$755,$A149)&gt;0,1,0)</f>
        <v>0</v>
      </c>
      <c r="L149" s="16">
        <f>IF(COUNTIFS(Release_Calendar!$A$2:$A$755,"US_NFP",Release_Calendar!$B$2:$B$755,$A149)&gt;0,1,0)</f>
        <v>0</v>
      </c>
      <c r="M149" s="16" t="str">
        <f>IF($A149&lt;Notes!$B$5,"",IF(COUNTIFS(Release_Calendar!$A$2:$A$755,"NZ_CPI",Release_Calendar!$B$2:$B$755,$A149)&gt;0,1,0))</f>
        <v/>
      </c>
      <c r="N149" s="16" t="str">
        <f>IF($A149&lt;Notes!$B$5,"",IF(COUNTIFS(Release_Calendar!$A$2:$A$755,"NZ_GDP",Release_Calendar!$B$2:$B$755,$A149)&gt;0,1,0))</f>
        <v/>
      </c>
      <c r="O149" s="16" t="str">
        <f>IF($A149&lt;Notes!$B$5,"",IF(COUNTIFS(Release_Calendar!$A$2:$A$755,"NZ_LABOUR",Release_Calendar!$B$2:$B$755,$A149)&gt;0,1,0))</f>
        <v/>
      </c>
      <c r="P149" s="16">
        <f t="shared" si="4"/>
        <v>0</v>
      </c>
    </row>
    <row r="150" ht="15.75" customHeight="1">
      <c r="A150" s="14">
        <v>36734.0</v>
      </c>
      <c r="B150" s="15">
        <v>6.27</v>
      </c>
      <c r="C150" s="15"/>
      <c r="D150" s="15">
        <v>6.76</v>
      </c>
      <c r="E150" s="15"/>
      <c r="F150" s="15" t="str">
        <f t="shared" si="1"/>
        <v/>
      </c>
      <c r="G150" s="15">
        <f t="shared" si="2"/>
        <v>6.76</v>
      </c>
      <c r="H150" s="16">
        <v>1.0</v>
      </c>
      <c r="I150" s="15">
        <f t="shared" si="3"/>
        <v>0.49</v>
      </c>
      <c r="J150" s="15">
        <v>19.6</v>
      </c>
      <c r="K150" s="16">
        <f>IF(COUNTIFS(Release_Calendar!$A$2:$A$755,"US_CPI",Release_Calendar!$B$2:$B$755,$A150)&gt;0,1,0)</f>
        <v>0</v>
      </c>
      <c r="L150" s="16">
        <f>IF(COUNTIFS(Release_Calendar!$A$2:$A$755,"US_NFP",Release_Calendar!$B$2:$B$755,$A150)&gt;0,1,0)</f>
        <v>0</v>
      </c>
      <c r="M150" s="16" t="str">
        <f>IF($A150&lt;Notes!$B$5,"",IF(COUNTIFS(Release_Calendar!$A$2:$A$755,"NZ_CPI",Release_Calendar!$B$2:$B$755,$A150)&gt;0,1,0))</f>
        <v/>
      </c>
      <c r="N150" s="16" t="str">
        <f>IF($A150&lt;Notes!$B$5,"",IF(COUNTIFS(Release_Calendar!$A$2:$A$755,"NZ_GDP",Release_Calendar!$B$2:$B$755,$A150)&gt;0,1,0))</f>
        <v/>
      </c>
      <c r="O150" s="16" t="str">
        <f>IF($A150&lt;Notes!$B$5,"",IF(COUNTIFS(Release_Calendar!$A$2:$A$755,"NZ_LABOUR",Release_Calendar!$B$2:$B$755,$A150)&gt;0,1,0))</f>
        <v/>
      </c>
      <c r="P150" s="16">
        <f t="shared" si="4"/>
        <v>0</v>
      </c>
    </row>
    <row r="151" ht="15.75" customHeight="1">
      <c r="A151" s="14">
        <v>36735.0</v>
      </c>
      <c r="B151" s="15">
        <v>6.3</v>
      </c>
      <c r="C151" s="15"/>
      <c r="D151" s="15">
        <v>6.8</v>
      </c>
      <c r="E151" s="15"/>
      <c r="F151" s="15" t="str">
        <f t="shared" si="1"/>
        <v/>
      </c>
      <c r="G151" s="15">
        <f t="shared" si="2"/>
        <v>6.8</v>
      </c>
      <c r="H151" s="16">
        <v>1.0</v>
      </c>
      <c r="I151" s="15">
        <f t="shared" si="3"/>
        <v>0.5</v>
      </c>
      <c r="J151" s="15">
        <v>20.84</v>
      </c>
      <c r="K151" s="16">
        <f>IF(COUNTIFS(Release_Calendar!$A$2:$A$755,"US_CPI",Release_Calendar!$B$2:$B$755,$A151)&gt;0,1,0)</f>
        <v>0</v>
      </c>
      <c r="L151" s="16">
        <f>IF(COUNTIFS(Release_Calendar!$A$2:$A$755,"US_NFP",Release_Calendar!$B$2:$B$755,$A151)&gt;0,1,0)</f>
        <v>0</v>
      </c>
      <c r="M151" s="16" t="str">
        <f>IF($A151&lt;Notes!$B$5,"",IF(COUNTIFS(Release_Calendar!$A$2:$A$755,"NZ_CPI",Release_Calendar!$B$2:$B$755,$A151)&gt;0,1,0))</f>
        <v/>
      </c>
      <c r="N151" s="16" t="str">
        <f>IF($A151&lt;Notes!$B$5,"",IF(COUNTIFS(Release_Calendar!$A$2:$A$755,"NZ_GDP",Release_Calendar!$B$2:$B$755,$A151)&gt;0,1,0))</f>
        <v/>
      </c>
      <c r="O151" s="16" t="str">
        <f>IF($A151&lt;Notes!$B$5,"",IF(COUNTIFS(Release_Calendar!$A$2:$A$755,"NZ_LABOUR",Release_Calendar!$B$2:$B$755,$A151)&gt;0,1,0))</f>
        <v/>
      </c>
      <c r="P151" s="16">
        <f t="shared" si="4"/>
        <v>0</v>
      </c>
    </row>
    <row r="152" ht="15.75" customHeight="1">
      <c r="A152" s="14">
        <v>36738.0</v>
      </c>
      <c r="B152" s="15">
        <v>6.3</v>
      </c>
      <c r="C152" s="15"/>
      <c r="D152" s="15">
        <v>6.81</v>
      </c>
      <c r="E152" s="15"/>
      <c r="F152" s="15" t="str">
        <f t="shared" si="1"/>
        <v/>
      </c>
      <c r="G152" s="15">
        <f t="shared" si="2"/>
        <v>6.81</v>
      </c>
      <c r="H152" s="16">
        <v>1.0</v>
      </c>
      <c r="I152" s="15">
        <f t="shared" si="3"/>
        <v>0.51</v>
      </c>
      <c r="J152" s="15">
        <v>20.74</v>
      </c>
      <c r="K152" s="16">
        <f>IF(COUNTIFS(Release_Calendar!$A$2:$A$755,"US_CPI",Release_Calendar!$B$2:$B$755,$A152)&gt;0,1,0)</f>
        <v>0</v>
      </c>
      <c r="L152" s="16">
        <f>IF(COUNTIFS(Release_Calendar!$A$2:$A$755,"US_NFP",Release_Calendar!$B$2:$B$755,$A152)&gt;0,1,0)</f>
        <v>0</v>
      </c>
      <c r="M152" s="16" t="str">
        <f>IF($A152&lt;Notes!$B$5,"",IF(COUNTIFS(Release_Calendar!$A$2:$A$755,"NZ_CPI",Release_Calendar!$B$2:$B$755,$A152)&gt;0,1,0))</f>
        <v/>
      </c>
      <c r="N152" s="16" t="str">
        <f>IF($A152&lt;Notes!$B$5,"",IF(COUNTIFS(Release_Calendar!$A$2:$A$755,"NZ_GDP",Release_Calendar!$B$2:$B$755,$A152)&gt;0,1,0))</f>
        <v/>
      </c>
      <c r="O152" s="16" t="str">
        <f>IF($A152&lt;Notes!$B$5,"",IF(COUNTIFS(Release_Calendar!$A$2:$A$755,"NZ_LABOUR",Release_Calendar!$B$2:$B$755,$A152)&gt;0,1,0))</f>
        <v/>
      </c>
      <c r="P152" s="16">
        <f t="shared" si="4"/>
        <v>0</v>
      </c>
    </row>
    <row r="153" ht="15.75" customHeight="1">
      <c r="A153" s="14">
        <v>36739.0</v>
      </c>
      <c r="B153" s="15">
        <v>6.27</v>
      </c>
      <c r="C153" s="15"/>
      <c r="D153" s="15">
        <v>6.83</v>
      </c>
      <c r="E153" s="15"/>
      <c r="F153" s="15" t="str">
        <f t="shared" si="1"/>
        <v/>
      </c>
      <c r="G153" s="15">
        <f t="shared" si="2"/>
        <v>6.83</v>
      </c>
      <c r="H153" s="16">
        <v>1.0</v>
      </c>
      <c r="I153" s="15">
        <f t="shared" si="3"/>
        <v>0.56</v>
      </c>
      <c r="J153" s="15">
        <v>20.55</v>
      </c>
      <c r="K153" s="16">
        <f>IF(COUNTIFS(Release_Calendar!$A$2:$A$755,"US_CPI",Release_Calendar!$B$2:$B$755,$A153)&gt;0,1,0)</f>
        <v>0</v>
      </c>
      <c r="L153" s="16">
        <f>IF(COUNTIFS(Release_Calendar!$A$2:$A$755,"US_NFP",Release_Calendar!$B$2:$B$755,$A153)&gt;0,1,0)</f>
        <v>0</v>
      </c>
      <c r="M153" s="16" t="str">
        <f>IF($A153&lt;Notes!$B$5,"",IF(COUNTIFS(Release_Calendar!$A$2:$A$755,"NZ_CPI",Release_Calendar!$B$2:$B$755,$A153)&gt;0,1,0))</f>
        <v/>
      </c>
      <c r="N153" s="16" t="str">
        <f>IF($A153&lt;Notes!$B$5,"",IF(COUNTIFS(Release_Calendar!$A$2:$A$755,"NZ_GDP",Release_Calendar!$B$2:$B$755,$A153)&gt;0,1,0))</f>
        <v/>
      </c>
      <c r="O153" s="16" t="str">
        <f>IF($A153&lt;Notes!$B$5,"",IF(COUNTIFS(Release_Calendar!$A$2:$A$755,"NZ_LABOUR",Release_Calendar!$B$2:$B$755,$A153)&gt;0,1,0))</f>
        <v/>
      </c>
      <c r="P153" s="16">
        <f t="shared" si="4"/>
        <v>0</v>
      </c>
    </row>
    <row r="154" ht="15.75" customHeight="1">
      <c r="A154" s="14">
        <v>36740.0</v>
      </c>
      <c r="B154" s="15">
        <v>6.23</v>
      </c>
      <c r="C154" s="15"/>
      <c r="D154" s="15">
        <v>6.82</v>
      </c>
      <c r="E154" s="15"/>
      <c r="F154" s="15" t="str">
        <f t="shared" si="1"/>
        <v/>
      </c>
      <c r="G154" s="15">
        <f t="shared" si="2"/>
        <v>6.82</v>
      </c>
      <c r="H154" s="16">
        <v>1.0</v>
      </c>
      <c r="I154" s="15">
        <f t="shared" si="3"/>
        <v>0.59</v>
      </c>
      <c r="J154" s="15">
        <v>20.0</v>
      </c>
      <c r="K154" s="16">
        <f>IF(COUNTIFS(Release_Calendar!$A$2:$A$755,"US_CPI",Release_Calendar!$B$2:$B$755,$A154)&gt;0,1,0)</f>
        <v>0</v>
      </c>
      <c r="L154" s="16">
        <f>IF(COUNTIFS(Release_Calendar!$A$2:$A$755,"US_NFP",Release_Calendar!$B$2:$B$755,$A154)&gt;0,1,0)</f>
        <v>0</v>
      </c>
      <c r="M154" s="16" t="str">
        <f>IF($A154&lt;Notes!$B$5,"",IF(COUNTIFS(Release_Calendar!$A$2:$A$755,"NZ_CPI",Release_Calendar!$B$2:$B$755,$A154)&gt;0,1,0))</f>
        <v/>
      </c>
      <c r="N154" s="16" t="str">
        <f>IF($A154&lt;Notes!$B$5,"",IF(COUNTIFS(Release_Calendar!$A$2:$A$755,"NZ_GDP",Release_Calendar!$B$2:$B$755,$A154)&gt;0,1,0))</f>
        <v/>
      </c>
      <c r="O154" s="16" t="str">
        <f>IF($A154&lt;Notes!$B$5,"",IF(COUNTIFS(Release_Calendar!$A$2:$A$755,"NZ_LABOUR",Release_Calendar!$B$2:$B$755,$A154)&gt;0,1,0))</f>
        <v/>
      </c>
      <c r="P154" s="16">
        <f t="shared" si="4"/>
        <v>0</v>
      </c>
    </row>
    <row r="155" ht="15.75" customHeight="1">
      <c r="A155" s="14">
        <v>36741.0</v>
      </c>
      <c r="B155" s="15">
        <v>6.22</v>
      </c>
      <c r="C155" s="15"/>
      <c r="D155" s="15">
        <v>6.82</v>
      </c>
      <c r="E155" s="15"/>
      <c r="F155" s="15" t="str">
        <f t="shared" si="1"/>
        <v/>
      </c>
      <c r="G155" s="15">
        <f t="shared" si="2"/>
        <v>6.82</v>
      </c>
      <c r="H155" s="16">
        <v>1.0</v>
      </c>
      <c r="I155" s="15">
        <f t="shared" si="3"/>
        <v>0.6</v>
      </c>
      <c r="J155" s="15">
        <v>19.99</v>
      </c>
      <c r="K155" s="16">
        <f>IF(COUNTIFS(Release_Calendar!$A$2:$A$755,"US_CPI",Release_Calendar!$B$2:$B$755,$A155)&gt;0,1,0)</f>
        <v>0</v>
      </c>
      <c r="L155" s="16">
        <f>IF(COUNTIFS(Release_Calendar!$A$2:$A$755,"US_NFP",Release_Calendar!$B$2:$B$755,$A155)&gt;0,1,0)</f>
        <v>0</v>
      </c>
      <c r="M155" s="16" t="str">
        <f>IF($A155&lt;Notes!$B$5,"",IF(COUNTIFS(Release_Calendar!$A$2:$A$755,"NZ_CPI",Release_Calendar!$B$2:$B$755,$A155)&gt;0,1,0))</f>
        <v/>
      </c>
      <c r="N155" s="16" t="str">
        <f>IF($A155&lt;Notes!$B$5,"",IF(COUNTIFS(Release_Calendar!$A$2:$A$755,"NZ_GDP",Release_Calendar!$B$2:$B$755,$A155)&gt;0,1,0))</f>
        <v/>
      </c>
      <c r="O155" s="16" t="str">
        <f>IF($A155&lt;Notes!$B$5,"",IF(COUNTIFS(Release_Calendar!$A$2:$A$755,"NZ_LABOUR",Release_Calendar!$B$2:$B$755,$A155)&gt;0,1,0))</f>
        <v/>
      </c>
      <c r="P155" s="16">
        <f t="shared" si="4"/>
        <v>0</v>
      </c>
    </row>
    <row r="156" ht="15.75" customHeight="1">
      <c r="A156" s="14">
        <v>36742.0</v>
      </c>
      <c r="B156" s="15">
        <v>6.15</v>
      </c>
      <c r="C156" s="15"/>
      <c r="D156" s="15">
        <v>6.77</v>
      </c>
      <c r="E156" s="15"/>
      <c r="F156" s="15" t="str">
        <f t="shared" si="1"/>
        <v/>
      </c>
      <c r="G156" s="15">
        <f t="shared" si="2"/>
        <v>6.77</v>
      </c>
      <c r="H156" s="16">
        <v>1.0</v>
      </c>
      <c r="I156" s="15">
        <f t="shared" si="3"/>
        <v>0.62</v>
      </c>
      <c r="J156" s="15">
        <v>18.62</v>
      </c>
      <c r="K156" s="16">
        <f>IF(COUNTIFS(Release_Calendar!$A$2:$A$755,"US_CPI",Release_Calendar!$B$2:$B$755,$A156)&gt;0,1,0)</f>
        <v>0</v>
      </c>
      <c r="L156" s="16">
        <f>IF(COUNTIFS(Release_Calendar!$A$2:$A$755,"US_NFP",Release_Calendar!$B$2:$B$755,$A156)&gt;0,1,0)</f>
        <v>1</v>
      </c>
      <c r="M156" s="16" t="str">
        <f>IF($A156&lt;Notes!$B$5,"",IF(COUNTIFS(Release_Calendar!$A$2:$A$755,"NZ_CPI",Release_Calendar!$B$2:$B$755,$A156)&gt;0,1,0))</f>
        <v/>
      </c>
      <c r="N156" s="16" t="str">
        <f>IF($A156&lt;Notes!$B$5,"",IF(COUNTIFS(Release_Calendar!$A$2:$A$755,"NZ_GDP",Release_Calendar!$B$2:$B$755,$A156)&gt;0,1,0))</f>
        <v/>
      </c>
      <c r="O156" s="16" t="str">
        <f>IF($A156&lt;Notes!$B$5,"",IF(COUNTIFS(Release_Calendar!$A$2:$A$755,"NZ_LABOUR",Release_Calendar!$B$2:$B$755,$A156)&gt;0,1,0))</f>
        <v/>
      </c>
      <c r="P156" s="16">
        <f t="shared" si="4"/>
        <v>1</v>
      </c>
    </row>
    <row r="157" ht="15.75" customHeight="1">
      <c r="A157" s="14">
        <v>36745.0</v>
      </c>
      <c r="B157" s="15">
        <v>6.2</v>
      </c>
      <c r="C157" s="15"/>
      <c r="D157" s="15">
        <v>6.75</v>
      </c>
      <c r="E157" s="15"/>
      <c r="F157" s="15" t="str">
        <f t="shared" si="1"/>
        <v/>
      </c>
      <c r="G157" s="15">
        <f t="shared" si="2"/>
        <v>6.75</v>
      </c>
      <c r="H157" s="16">
        <v>1.0</v>
      </c>
      <c r="I157" s="15">
        <f t="shared" si="3"/>
        <v>0.55</v>
      </c>
      <c r="J157" s="15">
        <v>19.03</v>
      </c>
      <c r="K157" s="16">
        <f>IF(COUNTIFS(Release_Calendar!$A$2:$A$755,"US_CPI",Release_Calendar!$B$2:$B$755,$A157)&gt;0,1,0)</f>
        <v>0</v>
      </c>
      <c r="L157" s="16">
        <f>IF(COUNTIFS(Release_Calendar!$A$2:$A$755,"US_NFP",Release_Calendar!$B$2:$B$755,$A157)&gt;0,1,0)</f>
        <v>0</v>
      </c>
      <c r="M157" s="16" t="str">
        <f>IF($A157&lt;Notes!$B$5,"",IF(COUNTIFS(Release_Calendar!$A$2:$A$755,"NZ_CPI",Release_Calendar!$B$2:$B$755,$A157)&gt;0,1,0))</f>
        <v/>
      </c>
      <c r="N157" s="16" t="str">
        <f>IF($A157&lt;Notes!$B$5,"",IF(COUNTIFS(Release_Calendar!$A$2:$A$755,"NZ_GDP",Release_Calendar!$B$2:$B$755,$A157)&gt;0,1,0))</f>
        <v/>
      </c>
      <c r="O157" s="16" t="str">
        <f>IF($A157&lt;Notes!$B$5,"",IF(COUNTIFS(Release_Calendar!$A$2:$A$755,"NZ_LABOUR",Release_Calendar!$B$2:$B$755,$A157)&gt;0,1,0))</f>
        <v/>
      </c>
      <c r="P157" s="16">
        <f t="shared" si="4"/>
        <v>0</v>
      </c>
    </row>
    <row r="158" ht="15.75" customHeight="1">
      <c r="A158" s="14">
        <v>36746.0</v>
      </c>
      <c r="B158" s="15">
        <v>6.16</v>
      </c>
      <c r="C158" s="15"/>
      <c r="D158" s="15">
        <v>6.77</v>
      </c>
      <c r="E158" s="15"/>
      <c r="F158" s="15" t="str">
        <f t="shared" si="1"/>
        <v/>
      </c>
      <c r="G158" s="15">
        <f t="shared" si="2"/>
        <v>6.77</v>
      </c>
      <c r="H158" s="16">
        <v>1.0</v>
      </c>
      <c r="I158" s="15">
        <f t="shared" si="3"/>
        <v>0.61</v>
      </c>
      <c r="J158" s="15">
        <v>18.79</v>
      </c>
      <c r="K158" s="16">
        <f>IF(COUNTIFS(Release_Calendar!$A$2:$A$755,"US_CPI",Release_Calendar!$B$2:$B$755,$A158)&gt;0,1,0)</f>
        <v>0</v>
      </c>
      <c r="L158" s="16">
        <f>IF(COUNTIFS(Release_Calendar!$A$2:$A$755,"US_NFP",Release_Calendar!$B$2:$B$755,$A158)&gt;0,1,0)</f>
        <v>0</v>
      </c>
      <c r="M158" s="16" t="str">
        <f>IF($A158&lt;Notes!$B$5,"",IF(COUNTIFS(Release_Calendar!$A$2:$A$755,"NZ_CPI",Release_Calendar!$B$2:$B$755,$A158)&gt;0,1,0))</f>
        <v/>
      </c>
      <c r="N158" s="16" t="str">
        <f>IF($A158&lt;Notes!$B$5,"",IF(COUNTIFS(Release_Calendar!$A$2:$A$755,"NZ_GDP",Release_Calendar!$B$2:$B$755,$A158)&gt;0,1,0))</f>
        <v/>
      </c>
      <c r="O158" s="16" t="str">
        <f>IF($A158&lt;Notes!$B$5,"",IF(COUNTIFS(Release_Calendar!$A$2:$A$755,"NZ_LABOUR",Release_Calendar!$B$2:$B$755,$A158)&gt;0,1,0))</f>
        <v/>
      </c>
      <c r="P158" s="16">
        <f t="shared" si="4"/>
        <v>0</v>
      </c>
    </row>
    <row r="159" ht="15.75" customHeight="1">
      <c r="A159" s="14">
        <v>36747.0</v>
      </c>
      <c r="B159" s="15">
        <v>6.18</v>
      </c>
      <c r="C159" s="15"/>
      <c r="D159" s="15">
        <v>6.74</v>
      </c>
      <c r="E159" s="15"/>
      <c r="F159" s="15" t="str">
        <f t="shared" si="1"/>
        <v/>
      </c>
      <c r="G159" s="15">
        <f t="shared" si="2"/>
        <v>6.74</v>
      </c>
      <c r="H159" s="16">
        <v>1.0</v>
      </c>
      <c r="I159" s="15">
        <f t="shared" si="3"/>
        <v>0.56</v>
      </c>
      <c r="J159" s="15">
        <v>19.18</v>
      </c>
      <c r="K159" s="16">
        <f>IF(COUNTIFS(Release_Calendar!$A$2:$A$755,"US_CPI",Release_Calendar!$B$2:$B$755,$A159)&gt;0,1,0)</f>
        <v>0</v>
      </c>
      <c r="L159" s="16">
        <f>IF(COUNTIFS(Release_Calendar!$A$2:$A$755,"US_NFP",Release_Calendar!$B$2:$B$755,$A159)&gt;0,1,0)</f>
        <v>0</v>
      </c>
      <c r="M159" s="16" t="str">
        <f>IF($A159&lt;Notes!$B$5,"",IF(COUNTIFS(Release_Calendar!$A$2:$A$755,"NZ_CPI",Release_Calendar!$B$2:$B$755,$A159)&gt;0,1,0))</f>
        <v/>
      </c>
      <c r="N159" s="16" t="str">
        <f>IF($A159&lt;Notes!$B$5,"",IF(COUNTIFS(Release_Calendar!$A$2:$A$755,"NZ_GDP",Release_Calendar!$B$2:$B$755,$A159)&gt;0,1,0))</f>
        <v/>
      </c>
      <c r="O159" s="16" t="str">
        <f>IF($A159&lt;Notes!$B$5,"",IF(COUNTIFS(Release_Calendar!$A$2:$A$755,"NZ_LABOUR",Release_Calendar!$B$2:$B$755,$A159)&gt;0,1,0))</f>
        <v/>
      </c>
      <c r="P159" s="16">
        <f t="shared" si="4"/>
        <v>0</v>
      </c>
    </row>
    <row r="160" ht="15.75" customHeight="1">
      <c r="A160" s="14">
        <v>36748.0</v>
      </c>
      <c r="B160" s="15">
        <v>6.16</v>
      </c>
      <c r="C160" s="15"/>
      <c r="D160" s="15">
        <v>6.75</v>
      </c>
      <c r="E160" s="15"/>
      <c r="F160" s="15" t="str">
        <f t="shared" si="1"/>
        <v/>
      </c>
      <c r="G160" s="15">
        <f t="shared" si="2"/>
        <v>6.75</v>
      </c>
      <c r="H160" s="16">
        <v>1.0</v>
      </c>
      <c r="I160" s="15">
        <f t="shared" si="3"/>
        <v>0.59</v>
      </c>
      <c r="J160" s="15">
        <v>19.19</v>
      </c>
      <c r="K160" s="16">
        <f>IF(COUNTIFS(Release_Calendar!$A$2:$A$755,"US_CPI",Release_Calendar!$B$2:$B$755,$A160)&gt;0,1,0)</f>
        <v>0</v>
      </c>
      <c r="L160" s="16">
        <f>IF(COUNTIFS(Release_Calendar!$A$2:$A$755,"US_NFP",Release_Calendar!$B$2:$B$755,$A160)&gt;0,1,0)</f>
        <v>0</v>
      </c>
      <c r="M160" s="16" t="str">
        <f>IF($A160&lt;Notes!$B$5,"",IF(COUNTIFS(Release_Calendar!$A$2:$A$755,"NZ_CPI",Release_Calendar!$B$2:$B$755,$A160)&gt;0,1,0))</f>
        <v/>
      </c>
      <c r="N160" s="16" t="str">
        <f>IF($A160&lt;Notes!$B$5,"",IF(COUNTIFS(Release_Calendar!$A$2:$A$755,"NZ_GDP",Release_Calendar!$B$2:$B$755,$A160)&gt;0,1,0))</f>
        <v/>
      </c>
      <c r="O160" s="16" t="str">
        <f>IF($A160&lt;Notes!$B$5,"",IF(COUNTIFS(Release_Calendar!$A$2:$A$755,"NZ_LABOUR",Release_Calendar!$B$2:$B$755,$A160)&gt;0,1,0))</f>
        <v/>
      </c>
      <c r="P160" s="16">
        <f t="shared" si="4"/>
        <v>0</v>
      </c>
    </row>
    <row r="161" ht="15.75" customHeight="1">
      <c r="A161" s="14">
        <v>36749.0</v>
      </c>
      <c r="B161" s="15">
        <v>6.25</v>
      </c>
      <c r="C161" s="15"/>
      <c r="D161" s="15">
        <v>6.8</v>
      </c>
      <c r="E161" s="15"/>
      <c r="F161" s="15" t="str">
        <f t="shared" si="1"/>
        <v/>
      </c>
      <c r="G161" s="15">
        <f t="shared" si="2"/>
        <v>6.8</v>
      </c>
      <c r="H161" s="16">
        <v>1.0</v>
      </c>
      <c r="I161" s="15">
        <f t="shared" si="3"/>
        <v>0.55</v>
      </c>
      <c r="J161" s="15">
        <v>18.55</v>
      </c>
      <c r="K161" s="16">
        <f>IF(COUNTIFS(Release_Calendar!$A$2:$A$755,"US_CPI",Release_Calendar!$B$2:$B$755,$A161)&gt;0,1,0)</f>
        <v>0</v>
      </c>
      <c r="L161" s="16">
        <f>IF(COUNTIFS(Release_Calendar!$A$2:$A$755,"US_NFP",Release_Calendar!$B$2:$B$755,$A161)&gt;0,1,0)</f>
        <v>0</v>
      </c>
      <c r="M161" s="16" t="str">
        <f>IF($A161&lt;Notes!$B$5,"",IF(COUNTIFS(Release_Calendar!$A$2:$A$755,"NZ_CPI",Release_Calendar!$B$2:$B$755,$A161)&gt;0,1,0))</f>
        <v/>
      </c>
      <c r="N161" s="16" t="str">
        <f>IF($A161&lt;Notes!$B$5,"",IF(COUNTIFS(Release_Calendar!$A$2:$A$755,"NZ_GDP",Release_Calendar!$B$2:$B$755,$A161)&gt;0,1,0))</f>
        <v/>
      </c>
      <c r="O161" s="16" t="str">
        <f>IF($A161&lt;Notes!$B$5,"",IF(COUNTIFS(Release_Calendar!$A$2:$A$755,"NZ_LABOUR",Release_Calendar!$B$2:$B$755,$A161)&gt;0,1,0))</f>
        <v/>
      </c>
      <c r="P161" s="16">
        <f t="shared" si="4"/>
        <v>0</v>
      </c>
    </row>
    <row r="162" ht="15.75" customHeight="1">
      <c r="A162" s="14">
        <v>36752.0</v>
      </c>
      <c r="B162" s="15">
        <v>6.25</v>
      </c>
      <c r="C162" s="15"/>
      <c r="D162" s="15">
        <v>6.82</v>
      </c>
      <c r="E162" s="15"/>
      <c r="F162" s="15" t="str">
        <f t="shared" si="1"/>
        <v/>
      </c>
      <c r="G162" s="15">
        <f t="shared" si="2"/>
        <v>6.82</v>
      </c>
      <c r="H162" s="16">
        <v>1.0</v>
      </c>
      <c r="I162" s="15">
        <f t="shared" si="3"/>
        <v>0.57</v>
      </c>
      <c r="J162" s="15">
        <v>17.88</v>
      </c>
      <c r="K162" s="16">
        <f>IF(COUNTIFS(Release_Calendar!$A$2:$A$755,"US_CPI",Release_Calendar!$B$2:$B$755,$A162)&gt;0,1,0)</f>
        <v>0</v>
      </c>
      <c r="L162" s="16">
        <f>IF(COUNTIFS(Release_Calendar!$A$2:$A$755,"US_NFP",Release_Calendar!$B$2:$B$755,$A162)&gt;0,1,0)</f>
        <v>0</v>
      </c>
      <c r="M162" s="16" t="str">
        <f>IF($A162&lt;Notes!$B$5,"",IF(COUNTIFS(Release_Calendar!$A$2:$A$755,"NZ_CPI",Release_Calendar!$B$2:$B$755,$A162)&gt;0,1,0))</f>
        <v/>
      </c>
      <c r="N162" s="16" t="str">
        <f>IF($A162&lt;Notes!$B$5,"",IF(COUNTIFS(Release_Calendar!$A$2:$A$755,"NZ_GDP",Release_Calendar!$B$2:$B$755,$A162)&gt;0,1,0))</f>
        <v/>
      </c>
      <c r="O162" s="16" t="str">
        <f>IF($A162&lt;Notes!$B$5,"",IF(COUNTIFS(Release_Calendar!$A$2:$A$755,"NZ_LABOUR",Release_Calendar!$B$2:$B$755,$A162)&gt;0,1,0))</f>
        <v/>
      </c>
      <c r="P162" s="16">
        <f t="shared" si="4"/>
        <v>0</v>
      </c>
    </row>
    <row r="163" ht="15.75" customHeight="1">
      <c r="A163" s="14">
        <v>36753.0</v>
      </c>
      <c r="B163" s="15">
        <v>6.28</v>
      </c>
      <c r="C163" s="15"/>
      <c r="D163" s="15">
        <v>6.85</v>
      </c>
      <c r="E163" s="15"/>
      <c r="F163" s="15" t="str">
        <f t="shared" si="1"/>
        <v/>
      </c>
      <c r="G163" s="15">
        <f t="shared" si="2"/>
        <v>6.85</v>
      </c>
      <c r="H163" s="16">
        <v>1.0</v>
      </c>
      <c r="I163" s="15">
        <f t="shared" si="3"/>
        <v>0.57</v>
      </c>
      <c r="J163" s="15">
        <v>17.98</v>
      </c>
      <c r="K163" s="16">
        <f>IF(COUNTIFS(Release_Calendar!$A$2:$A$755,"US_CPI",Release_Calendar!$B$2:$B$755,$A163)&gt;0,1,0)</f>
        <v>0</v>
      </c>
      <c r="L163" s="16">
        <f>IF(COUNTIFS(Release_Calendar!$A$2:$A$755,"US_NFP",Release_Calendar!$B$2:$B$755,$A163)&gt;0,1,0)</f>
        <v>0</v>
      </c>
      <c r="M163" s="16" t="str">
        <f>IF($A163&lt;Notes!$B$5,"",IF(COUNTIFS(Release_Calendar!$A$2:$A$755,"NZ_CPI",Release_Calendar!$B$2:$B$755,$A163)&gt;0,1,0))</f>
        <v/>
      </c>
      <c r="N163" s="16" t="str">
        <f>IF($A163&lt;Notes!$B$5,"",IF(COUNTIFS(Release_Calendar!$A$2:$A$755,"NZ_GDP",Release_Calendar!$B$2:$B$755,$A163)&gt;0,1,0))</f>
        <v/>
      </c>
      <c r="O163" s="16" t="str">
        <f>IF($A163&lt;Notes!$B$5,"",IF(COUNTIFS(Release_Calendar!$A$2:$A$755,"NZ_LABOUR",Release_Calendar!$B$2:$B$755,$A163)&gt;0,1,0))</f>
        <v/>
      </c>
      <c r="P163" s="16">
        <f t="shared" si="4"/>
        <v>0</v>
      </c>
    </row>
    <row r="164" ht="15.75" customHeight="1">
      <c r="A164" s="14">
        <v>36754.0</v>
      </c>
      <c r="B164" s="15">
        <v>6.3</v>
      </c>
      <c r="C164" s="15"/>
      <c r="D164" s="15">
        <v>6.72</v>
      </c>
      <c r="E164" s="15"/>
      <c r="F164" s="15" t="str">
        <f t="shared" si="1"/>
        <v/>
      </c>
      <c r="G164" s="15">
        <f t="shared" si="2"/>
        <v>6.72</v>
      </c>
      <c r="H164" s="16">
        <v>1.0</v>
      </c>
      <c r="I164" s="15">
        <f t="shared" si="3"/>
        <v>0.42</v>
      </c>
      <c r="J164" s="15">
        <v>18.02</v>
      </c>
      <c r="K164" s="16">
        <f>IF(COUNTIFS(Release_Calendar!$A$2:$A$755,"US_CPI",Release_Calendar!$B$2:$B$755,$A164)&gt;0,1,0)</f>
        <v>1</v>
      </c>
      <c r="L164" s="16">
        <f>IF(COUNTIFS(Release_Calendar!$A$2:$A$755,"US_NFP",Release_Calendar!$B$2:$B$755,$A164)&gt;0,1,0)</f>
        <v>0</v>
      </c>
      <c r="M164" s="16" t="str">
        <f>IF($A164&lt;Notes!$B$5,"",IF(COUNTIFS(Release_Calendar!$A$2:$A$755,"NZ_CPI",Release_Calendar!$B$2:$B$755,$A164)&gt;0,1,0))</f>
        <v/>
      </c>
      <c r="N164" s="16" t="str">
        <f>IF($A164&lt;Notes!$B$5,"",IF(COUNTIFS(Release_Calendar!$A$2:$A$755,"NZ_GDP",Release_Calendar!$B$2:$B$755,$A164)&gt;0,1,0))</f>
        <v/>
      </c>
      <c r="O164" s="16" t="str">
        <f>IF($A164&lt;Notes!$B$5,"",IF(COUNTIFS(Release_Calendar!$A$2:$A$755,"NZ_LABOUR",Release_Calendar!$B$2:$B$755,$A164)&gt;0,1,0))</f>
        <v/>
      </c>
      <c r="P164" s="16">
        <f t="shared" si="4"/>
        <v>1</v>
      </c>
    </row>
    <row r="165" ht="15.75" customHeight="1">
      <c r="A165" s="14">
        <v>36755.0</v>
      </c>
      <c r="B165" s="15">
        <v>6.3</v>
      </c>
      <c r="C165" s="15"/>
      <c r="D165" s="15">
        <v>6.71</v>
      </c>
      <c r="E165" s="15"/>
      <c r="F165" s="15" t="str">
        <f t="shared" si="1"/>
        <v/>
      </c>
      <c r="G165" s="15">
        <f t="shared" si="2"/>
        <v>6.71</v>
      </c>
      <c r="H165" s="16">
        <v>1.0</v>
      </c>
      <c r="I165" s="15">
        <f t="shared" si="3"/>
        <v>0.41</v>
      </c>
      <c r="J165" s="15">
        <v>17.48</v>
      </c>
      <c r="K165" s="16">
        <f>IF(COUNTIFS(Release_Calendar!$A$2:$A$755,"US_CPI",Release_Calendar!$B$2:$B$755,$A165)&gt;0,1,0)</f>
        <v>0</v>
      </c>
      <c r="L165" s="16">
        <f>IF(COUNTIFS(Release_Calendar!$A$2:$A$755,"US_NFP",Release_Calendar!$B$2:$B$755,$A165)&gt;0,1,0)</f>
        <v>0</v>
      </c>
      <c r="M165" s="16" t="str">
        <f>IF($A165&lt;Notes!$B$5,"",IF(COUNTIFS(Release_Calendar!$A$2:$A$755,"NZ_CPI",Release_Calendar!$B$2:$B$755,$A165)&gt;0,1,0))</f>
        <v/>
      </c>
      <c r="N165" s="16" t="str">
        <f>IF($A165&lt;Notes!$B$5,"",IF(COUNTIFS(Release_Calendar!$A$2:$A$755,"NZ_GDP",Release_Calendar!$B$2:$B$755,$A165)&gt;0,1,0))</f>
        <v/>
      </c>
      <c r="O165" s="16" t="str">
        <f>IF($A165&lt;Notes!$B$5,"",IF(COUNTIFS(Release_Calendar!$A$2:$A$755,"NZ_LABOUR",Release_Calendar!$B$2:$B$755,$A165)&gt;0,1,0))</f>
        <v/>
      </c>
      <c r="P165" s="16">
        <f t="shared" si="4"/>
        <v>0</v>
      </c>
    </row>
    <row r="166" ht="15.75" customHeight="1">
      <c r="A166" s="14">
        <v>36756.0</v>
      </c>
      <c r="B166" s="15">
        <v>6.27</v>
      </c>
      <c r="C166" s="15"/>
      <c r="D166" s="15">
        <v>6.7</v>
      </c>
      <c r="E166" s="15"/>
      <c r="F166" s="15" t="str">
        <f t="shared" si="1"/>
        <v/>
      </c>
      <c r="G166" s="15">
        <f t="shared" si="2"/>
        <v>6.7</v>
      </c>
      <c r="H166" s="16">
        <v>1.0</v>
      </c>
      <c r="I166" s="15">
        <f t="shared" si="3"/>
        <v>0.43</v>
      </c>
      <c r="J166" s="15">
        <v>17.05</v>
      </c>
      <c r="K166" s="16">
        <f>IF(COUNTIFS(Release_Calendar!$A$2:$A$755,"US_CPI",Release_Calendar!$B$2:$B$755,$A166)&gt;0,1,0)</f>
        <v>0</v>
      </c>
      <c r="L166" s="16">
        <f>IF(COUNTIFS(Release_Calendar!$A$2:$A$755,"US_NFP",Release_Calendar!$B$2:$B$755,$A166)&gt;0,1,0)</f>
        <v>0</v>
      </c>
      <c r="M166" s="16" t="str">
        <f>IF($A166&lt;Notes!$B$5,"",IF(COUNTIFS(Release_Calendar!$A$2:$A$755,"NZ_CPI",Release_Calendar!$B$2:$B$755,$A166)&gt;0,1,0))</f>
        <v/>
      </c>
      <c r="N166" s="16" t="str">
        <f>IF($A166&lt;Notes!$B$5,"",IF(COUNTIFS(Release_Calendar!$A$2:$A$755,"NZ_GDP",Release_Calendar!$B$2:$B$755,$A166)&gt;0,1,0))</f>
        <v/>
      </c>
      <c r="O166" s="16" t="str">
        <f>IF($A166&lt;Notes!$B$5,"",IF(COUNTIFS(Release_Calendar!$A$2:$A$755,"NZ_LABOUR",Release_Calendar!$B$2:$B$755,$A166)&gt;0,1,0))</f>
        <v/>
      </c>
      <c r="P166" s="16">
        <f t="shared" si="4"/>
        <v>0</v>
      </c>
    </row>
    <row r="167" ht="15.75" customHeight="1">
      <c r="A167" s="14">
        <v>36759.0</v>
      </c>
      <c r="B167" s="15">
        <v>6.28</v>
      </c>
      <c r="C167" s="15"/>
      <c r="D167" s="15">
        <v>6.67</v>
      </c>
      <c r="E167" s="15"/>
      <c r="F167" s="15" t="str">
        <f t="shared" si="1"/>
        <v/>
      </c>
      <c r="G167" s="15">
        <f t="shared" si="2"/>
        <v>6.67</v>
      </c>
      <c r="H167" s="16">
        <v>1.0</v>
      </c>
      <c r="I167" s="15">
        <f t="shared" si="3"/>
        <v>0.39</v>
      </c>
      <c r="J167" s="15">
        <v>17.35</v>
      </c>
      <c r="K167" s="16">
        <f>IF(COUNTIFS(Release_Calendar!$A$2:$A$755,"US_CPI",Release_Calendar!$B$2:$B$755,$A167)&gt;0,1,0)</f>
        <v>0</v>
      </c>
      <c r="L167" s="16">
        <f>IF(COUNTIFS(Release_Calendar!$A$2:$A$755,"US_NFP",Release_Calendar!$B$2:$B$755,$A167)&gt;0,1,0)</f>
        <v>0</v>
      </c>
      <c r="M167" s="16" t="str">
        <f>IF($A167&lt;Notes!$B$5,"",IF(COUNTIFS(Release_Calendar!$A$2:$A$755,"NZ_CPI",Release_Calendar!$B$2:$B$755,$A167)&gt;0,1,0))</f>
        <v/>
      </c>
      <c r="N167" s="16" t="str">
        <f>IF($A167&lt;Notes!$B$5,"",IF(COUNTIFS(Release_Calendar!$A$2:$A$755,"NZ_GDP",Release_Calendar!$B$2:$B$755,$A167)&gt;0,1,0))</f>
        <v/>
      </c>
      <c r="O167" s="16" t="str">
        <f>IF($A167&lt;Notes!$B$5,"",IF(COUNTIFS(Release_Calendar!$A$2:$A$755,"NZ_LABOUR",Release_Calendar!$B$2:$B$755,$A167)&gt;0,1,0))</f>
        <v/>
      </c>
      <c r="P167" s="16">
        <f t="shared" si="4"/>
        <v>0</v>
      </c>
    </row>
    <row r="168" ht="15.75" customHeight="1">
      <c r="A168" s="14">
        <v>36760.0</v>
      </c>
      <c r="B168" s="15">
        <v>6.27</v>
      </c>
      <c r="C168" s="15"/>
      <c r="D168" s="15">
        <v>6.69</v>
      </c>
      <c r="E168" s="15"/>
      <c r="F168" s="15" t="str">
        <f t="shared" si="1"/>
        <v/>
      </c>
      <c r="G168" s="15">
        <f t="shared" si="2"/>
        <v>6.69</v>
      </c>
      <c r="H168" s="16">
        <v>1.0</v>
      </c>
      <c r="I168" s="15">
        <f t="shared" si="3"/>
        <v>0.42</v>
      </c>
      <c r="J168" s="15">
        <v>17.47</v>
      </c>
      <c r="K168" s="16">
        <f>IF(COUNTIFS(Release_Calendar!$A$2:$A$755,"US_CPI",Release_Calendar!$B$2:$B$755,$A168)&gt;0,1,0)</f>
        <v>0</v>
      </c>
      <c r="L168" s="16">
        <f>IF(COUNTIFS(Release_Calendar!$A$2:$A$755,"US_NFP",Release_Calendar!$B$2:$B$755,$A168)&gt;0,1,0)</f>
        <v>0</v>
      </c>
      <c r="M168" s="16" t="str">
        <f>IF($A168&lt;Notes!$B$5,"",IF(COUNTIFS(Release_Calendar!$A$2:$A$755,"NZ_CPI",Release_Calendar!$B$2:$B$755,$A168)&gt;0,1,0))</f>
        <v/>
      </c>
      <c r="N168" s="16" t="str">
        <f>IF($A168&lt;Notes!$B$5,"",IF(COUNTIFS(Release_Calendar!$A$2:$A$755,"NZ_GDP",Release_Calendar!$B$2:$B$755,$A168)&gt;0,1,0))</f>
        <v/>
      </c>
      <c r="O168" s="16" t="str">
        <f>IF($A168&lt;Notes!$B$5,"",IF(COUNTIFS(Release_Calendar!$A$2:$A$755,"NZ_LABOUR",Release_Calendar!$B$2:$B$755,$A168)&gt;0,1,0))</f>
        <v/>
      </c>
      <c r="P168" s="16">
        <f t="shared" si="4"/>
        <v>0</v>
      </c>
    </row>
    <row r="169" ht="15.75" customHeight="1">
      <c r="A169" s="14">
        <v>36761.0</v>
      </c>
      <c r="B169" s="15">
        <v>6.2</v>
      </c>
      <c r="C169" s="15"/>
      <c r="D169" s="15">
        <v>6.77</v>
      </c>
      <c r="E169" s="15"/>
      <c r="F169" s="15" t="str">
        <f t="shared" si="1"/>
        <v/>
      </c>
      <c r="G169" s="15">
        <f t="shared" si="2"/>
        <v>6.77</v>
      </c>
      <c r="H169" s="16">
        <v>1.0</v>
      </c>
      <c r="I169" s="15">
        <f t="shared" si="3"/>
        <v>0.57</v>
      </c>
      <c r="J169" s="15">
        <v>17.38</v>
      </c>
      <c r="K169" s="16">
        <f>IF(COUNTIFS(Release_Calendar!$A$2:$A$755,"US_CPI",Release_Calendar!$B$2:$B$755,$A169)&gt;0,1,0)</f>
        <v>0</v>
      </c>
      <c r="L169" s="16">
        <f>IF(COUNTIFS(Release_Calendar!$A$2:$A$755,"US_NFP",Release_Calendar!$B$2:$B$755,$A169)&gt;0,1,0)</f>
        <v>0</v>
      </c>
      <c r="M169" s="16" t="str">
        <f>IF($A169&lt;Notes!$B$5,"",IF(COUNTIFS(Release_Calendar!$A$2:$A$755,"NZ_CPI",Release_Calendar!$B$2:$B$755,$A169)&gt;0,1,0))</f>
        <v/>
      </c>
      <c r="N169" s="16" t="str">
        <f>IF($A169&lt;Notes!$B$5,"",IF(COUNTIFS(Release_Calendar!$A$2:$A$755,"NZ_GDP",Release_Calendar!$B$2:$B$755,$A169)&gt;0,1,0))</f>
        <v/>
      </c>
      <c r="O169" s="16" t="str">
        <f>IF($A169&lt;Notes!$B$5,"",IF(COUNTIFS(Release_Calendar!$A$2:$A$755,"NZ_LABOUR",Release_Calendar!$B$2:$B$755,$A169)&gt;0,1,0))</f>
        <v/>
      </c>
      <c r="P169" s="16">
        <f t="shared" si="4"/>
        <v>0</v>
      </c>
    </row>
    <row r="170" ht="15.75" customHeight="1">
      <c r="A170" s="14">
        <v>36762.0</v>
      </c>
      <c r="B170" s="15">
        <v>6.19</v>
      </c>
      <c r="C170" s="15"/>
      <c r="D170" s="15">
        <v>6.81</v>
      </c>
      <c r="E170" s="15"/>
      <c r="F170" s="15" t="str">
        <f t="shared" si="1"/>
        <v/>
      </c>
      <c r="G170" s="15">
        <f t="shared" si="2"/>
        <v>6.81</v>
      </c>
      <c r="H170" s="16">
        <v>1.0</v>
      </c>
      <c r="I170" s="15">
        <f t="shared" si="3"/>
        <v>0.62</v>
      </c>
      <c r="J170" s="15">
        <v>17.04</v>
      </c>
      <c r="K170" s="16">
        <f>IF(COUNTIFS(Release_Calendar!$A$2:$A$755,"US_CPI",Release_Calendar!$B$2:$B$755,$A170)&gt;0,1,0)</f>
        <v>0</v>
      </c>
      <c r="L170" s="16">
        <f>IF(COUNTIFS(Release_Calendar!$A$2:$A$755,"US_NFP",Release_Calendar!$B$2:$B$755,$A170)&gt;0,1,0)</f>
        <v>0</v>
      </c>
      <c r="M170" s="16" t="str">
        <f>IF($A170&lt;Notes!$B$5,"",IF(COUNTIFS(Release_Calendar!$A$2:$A$755,"NZ_CPI",Release_Calendar!$B$2:$B$755,$A170)&gt;0,1,0))</f>
        <v/>
      </c>
      <c r="N170" s="16" t="str">
        <f>IF($A170&lt;Notes!$B$5,"",IF(COUNTIFS(Release_Calendar!$A$2:$A$755,"NZ_GDP",Release_Calendar!$B$2:$B$755,$A170)&gt;0,1,0))</f>
        <v/>
      </c>
      <c r="O170" s="16" t="str">
        <f>IF($A170&lt;Notes!$B$5,"",IF(COUNTIFS(Release_Calendar!$A$2:$A$755,"NZ_LABOUR",Release_Calendar!$B$2:$B$755,$A170)&gt;0,1,0))</f>
        <v/>
      </c>
      <c r="P170" s="16">
        <f t="shared" si="4"/>
        <v>0</v>
      </c>
    </row>
    <row r="171" ht="15.75" customHeight="1">
      <c r="A171" s="14">
        <v>36763.0</v>
      </c>
      <c r="B171" s="15">
        <v>6.19</v>
      </c>
      <c r="C171" s="15"/>
      <c r="D171" s="15">
        <v>6.79</v>
      </c>
      <c r="E171" s="15"/>
      <c r="F171" s="15" t="str">
        <f t="shared" si="1"/>
        <v/>
      </c>
      <c r="G171" s="15">
        <f t="shared" si="2"/>
        <v>6.79</v>
      </c>
      <c r="H171" s="16">
        <v>1.0</v>
      </c>
      <c r="I171" s="15">
        <f t="shared" si="3"/>
        <v>0.6</v>
      </c>
      <c r="J171" s="15">
        <v>16.53</v>
      </c>
      <c r="K171" s="16">
        <f>IF(COUNTIFS(Release_Calendar!$A$2:$A$755,"US_CPI",Release_Calendar!$B$2:$B$755,$A171)&gt;0,1,0)</f>
        <v>0</v>
      </c>
      <c r="L171" s="16">
        <f>IF(COUNTIFS(Release_Calendar!$A$2:$A$755,"US_NFP",Release_Calendar!$B$2:$B$755,$A171)&gt;0,1,0)</f>
        <v>0</v>
      </c>
      <c r="M171" s="16" t="str">
        <f>IF($A171&lt;Notes!$B$5,"",IF(COUNTIFS(Release_Calendar!$A$2:$A$755,"NZ_CPI",Release_Calendar!$B$2:$B$755,$A171)&gt;0,1,0))</f>
        <v/>
      </c>
      <c r="N171" s="16" t="str">
        <f>IF($A171&lt;Notes!$B$5,"",IF(COUNTIFS(Release_Calendar!$A$2:$A$755,"NZ_GDP",Release_Calendar!$B$2:$B$755,$A171)&gt;0,1,0))</f>
        <v/>
      </c>
      <c r="O171" s="16" t="str">
        <f>IF($A171&lt;Notes!$B$5,"",IF(COUNTIFS(Release_Calendar!$A$2:$A$755,"NZ_LABOUR",Release_Calendar!$B$2:$B$755,$A171)&gt;0,1,0))</f>
        <v/>
      </c>
      <c r="P171" s="16">
        <f t="shared" si="4"/>
        <v>0</v>
      </c>
    </row>
    <row r="172" ht="15.75" customHeight="1">
      <c r="A172" s="14">
        <v>36766.0</v>
      </c>
      <c r="B172" s="15">
        <v>6.23</v>
      </c>
      <c r="C172" s="15"/>
      <c r="D172" s="15">
        <v>6.82</v>
      </c>
      <c r="E172" s="15"/>
      <c r="F172" s="15" t="str">
        <f t="shared" si="1"/>
        <v/>
      </c>
      <c r="G172" s="15">
        <f t="shared" si="2"/>
        <v>6.82</v>
      </c>
      <c r="H172" s="16">
        <v>1.0</v>
      </c>
      <c r="I172" s="15">
        <f t="shared" si="3"/>
        <v>0.59</v>
      </c>
      <c r="J172" s="15">
        <v>16.54</v>
      </c>
      <c r="K172" s="16">
        <f>IF(COUNTIFS(Release_Calendar!$A$2:$A$755,"US_CPI",Release_Calendar!$B$2:$B$755,$A172)&gt;0,1,0)</f>
        <v>0</v>
      </c>
      <c r="L172" s="16">
        <f>IF(COUNTIFS(Release_Calendar!$A$2:$A$755,"US_NFP",Release_Calendar!$B$2:$B$755,$A172)&gt;0,1,0)</f>
        <v>0</v>
      </c>
      <c r="M172" s="16" t="str">
        <f>IF($A172&lt;Notes!$B$5,"",IF(COUNTIFS(Release_Calendar!$A$2:$A$755,"NZ_CPI",Release_Calendar!$B$2:$B$755,$A172)&gt;0,1,0))</f>
        <v/>
      </c>
      <c r="N172" s="16" t="str">
        <f>IF($A172&lt;Notes!$B$5,"",IF(COUNTIFS(Release_Calendar!$A$2:$A$755,"NZ_GDP",Release_Calendar!$B$2:$B$755,$A172)&gt;0,1,0))</f>
        <v/>
      </c>
      <c r="O172" s="16" t="str">
        <f>IF($A172&lt;Notes!$B$5,"",IF(COUNTIFS(Release_Calendar!$A$2:$A$755,"NZ_LABOUR",Release_Calendar!$B$2:$B$755,$A172)&gt;0,1,0))</f>
        <v/>
      </c>
      <c r="P172" s="16">
        <f t="shared" si="4"/>
        <v>0</v>
      </c>
    </row>
    <row r="173" ht="15.75" customHeight="1">
      <c r="A173" s="14">
        <v>36767.0</v>
      </c>
      <c r="B173" s="15">
        <v>6.26</v>
      </c>
      <c r="C173" s="15"/>
      <c r="D173" s="15">
        <v>6.87</v>
      </c>
      <c r="E173" s="15"/>
      <c r="F173" s="15" t="str">
        <f t="shared" si="1"/>
        <v/>
      </c>
      <c r="G173" s="15">
        <f t="shared" si="2"/>
        <v>6.87</v>
      </c>
      <c r="H173" s="16">
        <v>1.0</v>
      </c>
      <c r="I173" s="15">
        <f t="shared" si="3"/>
        <v>0.61</v>
      </c>
      <c r="J173" s="15">
        <v>16.89</v>
      </c>
      <c r="K173" s="16">
        <f>IF(COUNTIFS(Release_Calendar!$A$2:$A$755,"US_CPI",Release_Calendar!$B$2:$B$755,$A173)&gt;0,1,0)</f>
        <v>0</v>
      </c>
      <c r="L173" s="16">
        <f>IF(COUNTIFS(Release_Calendar!$A$2:$A$755,"US_NFP",Release_Calendar!$B$2:$B$755,$A173)&gt;0,1,0)</f>
        <v>0</v>
      </c>
      <c r="M173" s="16" t="str">
        <f>IF($A173&lt;Notes!$B$5,"",IF(COUNTIFS(Release_Calendar!$A$2:$A$755,"NZ_CPI",Release_Calendar!$B$2:$B$755,$A173)&gt;0,1,0))</f>
        <v/>
      </c>
      <c r="N173" s="16" t="str">
        <f>IF($A173&lt;Notes!$B$5,"",IF(COUNTIFS(Release_Calendar!$A$2:$A$755,"NZ_GDP",Release_Calendar!$B$2:$B$755,$A173)&gt;0,1,0))</f>
        <v/>
      </c>
      <c r="O173" s="16" t="str">
        <f>IF($A173&lt;Notes!$B$5,"",IF(COUNTIFS(Release_Calendar!$A$2:$A$755,"NZ_LABOUR",Release_Calendar!$B$2:$B$755,$A173)&gt;0,1,0))</f>
        <v/>
      </c>
      <c r="P173" s="16">
        <f t="shared" si="4"/>
        <v>0</v>
      </c>
    </row>
    <row r="174" ht="15.75" customHeight="1">
      <c r="A174" s="14">
        <v>36768.0</v>
      </c>
      <c r="B174" s="15">
        <v>6.24</v>
      </c>
      <c r="C174" s="15"/>
      <c r="D174" s="15">
        <v>6.87</v>
      </c>
      <c r="E174" s="15"/>
      <c r="F174" s="15" t="str">
        <f t="shared" si="1"/>
        <v/>
      </c>
      <c r="G174" s="15">
        <f t="shared" si="2"/>
        <v>6.87</v>
      </c>
      <c r="H174" s="16">
        <v>1.0</v>
      </c>
      <c r="I174" s="15">
        <f t="shared" si="3"/>
        <v>0.63</v>
      </c>
      <c r="J174" s="15">
        <v>17.69</v>
      </c>
      <c r="K174" s="16">
        <f>IF(COUNTIFS(Release_Calendar!$A$2:$A$755,"US_CPI",Release_Calendar!$B$2:$B$755,$A174)&gt;0,1,0)</f>
        <v>0</v>
      </c>
      <c r="L174" s="16">
        <f>IF(COUNTIFS(Release_Calendar!$A$2:$A$755,"US_NFP",Release_Calendar!$B$2:$B$755,$A174)&gt;0,1,0)</f>
        <v>0</v>
      </c>
      <c r="M174" s="16" t="str">
        <f>IF($A174&lt;Notes!$B$5,"",IF(COUNTIFS(Release_Calendar!$A$2:$A$755,"NZ_CPI",Release_Calendar!$B$2:$B$755,$A174)&gt;0,1,0))</f>
        <v/>
      </c>
      <c r="N174" s="16" t="str">
        <f>IF($A174&lt;Notes!$B$5,"",IF(COUNTIFS(Release_Calendar!$A$2:$A$755,"NZ_GDP",Release_Calendar!$B$2:$B$755,$A174)&gt;0,1,0))</f>
        <v/>
      </c>
      <c r="O174" s="16" t="str">
        <f>IF($A174&lt;Notes!$B$5,"",IF(COUNTIFS(Release_Calendar!$A$2:$A$755,"NZ_LABOUR",Release_Calendar!$B$2:$B$755,$A174)&gt;0,1,0))</f>
        <v/>
      </c>
      <c r="P174" s="16">
        <f t="shared" si="4"/>
        <v>0</v>
      </c>
    </row>
    <row r="175" ht="15.75" customHeight="1">
      <c r="A175" s="14">
        <v>36769.0</v>
      </c>
      <c r="B175" s="15">
        <v>6.18</v>
      </c>
      <c r="C175" s="15"/>
      <c r="D175" s="15">
        <v>6.81</v>
      </c>
      <c r="E175" s="15"/>
      <c r="F175" s="15" t="str">
        <f t="shared" si="1"/>
        <v/>
      </c>
      <c r="G175" s="15">
        <f t="shared" si="2"/>
        <v>6.81</v>
      </c>
      <c r="H175" s="16">
        <v>1.0</v>
      </c>
      <c r="I175" s="15">
        <f t="shared" si="3"/>
        <v>0.63</v>
      </c>
      <c r="J175" s="15">
        <v>16.84</v>
      </c>
      <c r="K175" s="16">
        <f>IF(COUNTIFS(Release_Calendar!$A$2:$A$755,"US_CPI",Release_Calendar!$B$2:$B$755,$A175)&gt;0,1,0)</f>
        <v>0</v>
      </c>
      <c r="L175" s="16">
        <f>IF(COUNTIFS(Release_Calendar!$A$2:$A$755,"US_NFP",Release_Calendar!$B$2:$B$755,$A175)&gt;0,1,0)</f>
        <v>0</v>
      </c>
      <c r="M175" s="16" t="str">
        <f>IF($A175&lt;Notes!$B$5,"",IF(COUNTIFS(Release_Calendar!$A$2:$A$755,"NZ_CPI",Release_Calendar!$B$2:$B$755,$A175)&gt;0,1,0))</f>
        <v/>
      </c>
      <c r="N175" s="16" t="str">
        <f>IF($A175&lt;Notes!$B$5,"",IF(COUNTIFS(Release_Calendar!$A$2:$A$755,"NZ_GDP",Release_Calendar!$B$2:$B$755,$A175)&gt;0,1,0))</f>
        <v/>
      </c>
      <c r="O175" s="16" t="str">
        <f>IF($A175&lt;Notes!$B$5,"",IF(COUNTIFS(Release_Calendar!$A$2:$A$755,"NZ_LABOUR",Release_Calendar!$B$2:$B$755,$A175)&gt;0,1,0))</f>
        <v/>
      </c>
      <c r="P175" s="16">
        <f t="shared" si="4"/>
        <v>0</v>
      </c>
    </row>
    <row r="176" ht="15.75" customHeight="1">
      <c r="A176" s="14">
        <v>36770.0</v>
      </c>
      <c r="B176" s="15">
        <v>6.09</v>
      </c>
      <c r="C176" s="15"/>
      <c r="D176" s="15">
        <v>6.77</v>
      </c>
      <c r="E176" s="15"/>
      <c r="F176" s="15" t="str">
        <f t="shared" si="1"/>
        <v/>
      </c>
      <c r="G176" s="15">
        <f t="shared" si="2"/>
        <v>6.77</v>
      </c>
      <c r="H176" s="16">
        <v>1.0</v>
      </c>
      <c r="I176" s="15">
        <f t="shared" si="3"/>
        <v>0.68</v>
      </c>
      <c r="J176" s="15">
        <v>17.53</v>
      </c>
      <c r="K176" s="16">
        <f>IF(COUNTIFS(Release_Calendar!$A$2:$A$755,"US_CPI",Release_Calendar!$B$2:$B$755,$A176)&gt;0,1,0)</f>
        <v>0</v>
      </c>
      <c r="L176" s="16">
        <f>IF(COUNTIFS(Release_Calendar!$A$2:$A$755,"US_NFP",Release_Calendar!$B$2:$B$755,$A176)&gt;0,1,0)</f>
        <v>1</v>
      </c>
      <c r="M176" s="16" t="str">
        <f>IF($A176&lt;Notes!$B$5,"",IF(COUNTIFS(Release_Calendar!$A$2:$A$755,"NZ_CPI",Release_Calendar!$B$2:$B$755,$A176)&gt;0,1,0))</f>
        <v/>
      </c>
      <c r="N176" s="16" t="str">
        <f>IF($A176&lt;Notes!$B$5,"",IF(COUNTIFS(Release_Calendar!$A$2:$A$755,"NZ_GDP",Release_Calendar!$B$2:$B$755,$A176)&gt;0,1,0))</f>
        <v/>
      </c>
      <c r="O176" s="16" t="str">
        <f>IF($A176&lt;Notes!$B$5,"",IF(COUNTIFS(Release_Calendar!$A$2:$A$755,"NZ_LABOUR",Release_Calendar!$B$2:$B$755,$A176)&gt;0,1,0))</f>
        <v/>
      </c>
      <c r="P176" s="16">
        <f t="shared" si="4"/>
        <v>1</v>
      </c>
    </row>
    <row r="177" ht="15.75" customHeight="1">
      <c r="A177" s="14">
        <v>36773.0</v>
      </c>
      <c r="B177" s="15"/>
      <c r="C177" s="15"/>
      <c r="D177" s="15">
        <v>6.71</v>
      </c>
      <c r="E177" s="15"/>
      <c r="F177" s="15" t="str">
        <f t="shared" si="1"/>
        <v/>
      </c>
      <c r="G177" s="15">
        <f t="shared" si="2"/>
        <v>6.71</v>
      </c>
      <c r="H177" s="16">
        <v>1.0</v>
      </c>
      <c r="I177" s="15" t="str">
        <f t="shared" si="3"/>
        <v/>
      </c>
      <c r="J177" s="15"/>
      <c r="K177" s="16">
        <f>IF(COUNTIFS(Release_Calendar!$A$2:$A$755,"US_CPI",Release_Calendar!$B$2:$B$755,$A177)&gt;0,1,0)</f>
        <v>0</v>
      </c>
      <c r="L177" s="16">
        <f>IF(COUNTIFS(Release_Calendar!$A$2:$A$755,"US_NFP",Release_Calendar!$B$2:$B$755,$A177)&gt;0,1,0)</f>
        <v>0</v>
      </c>
      <c r="M177" s="16" t="str">
        <f>IF($A177&lt;Notes!$B$5,"",IF(COUNTIFS(Release_Calendar!$A$2:$A$755,"NZ_CPI",Release_Calendar!$B$2:$B$755,$A177)&gt;0,1,0))</f>
        <v/>
      </c>
      <c r="N177" s="16" t="str">
        <f>IF($A177&lt;Notes!$B$5,"",IF(COUNTIFS(Release_Calendar!$A$2:$A$755,"NZ_GDP",Release_Calendar!$B$2:$B$755,$A177)&gt;0,1,0))</f>
        <v/>
      </c>
      <c r="O177" s="16" t="str">
        <f>IF($A177&lt;Notes!$B$5,"",IF(COUNTIFS(Release_Calendar!$A$2:$A$755,"NZ_LABOUR",Release_Calendar!$B$2:$B$755,$A177)&gt;0,1,0))</f>
        <v/>
      </c>
      <c r="P177" s="16">
        <f t="shared" si="4"/>
        <v>0</v>
      </c>
    </row>
    <row r="178" ht="15.75" customHeight="1">
      <c r="A178" s="14">
        <v>36774.0</v>
      </c>
      <c r="B178" s="15">
        <v>6.09</v>
      </c>
      <c r="C178" s="15"/>
      <c r="D178" s="15">
        <v>6.71</v>
      </c>
      <c r="E178" s="15"/>
      <c r="F178" s="15" t="str">
        <f t="shared" si="1"/>
        <v/>
      </c>
      <c r="G178" s="15">
        <f t="shared" si="2"/>
        <v>6.71</v>
      </c>
      <c r="H178" s="16">
        <v>1.0</v>
      </c>
      <c r="I178" s="15">
        <f t="shared" si="3"/>
        <v>0.62</v>
      </c>
      <c r="J178" s="15">
        <v>19.82</v>
      </c>
      <c r="K178" s="16">
        <f>IF(COUNTIFS(Release_Calendar!$A$2:$A$755,"US_CPI",Release_Calendar!$B$2:$B$755,$A178)&gt;0,1,0)</f>
        <v>0</v>
      </c>
      <c r="L178" s="16">
        <f>IF(COUNTIFS(Release_Calendar!$A$2:$A$755,"US_NFP",Release_Calendar!$B$2:$B$755,$A178)&gt;0,1,0)</f>
        <v>0</v>
      </c>
      <c r="M178" s="16" t="str">
        <f>IF($A178&lt;Notes!$B$5,"",IF(COUNTIFS(Release_Calendar!$A$2:$A$755,"NZ_CPI",Release_Calendar!$B$2:$B$755,$A178)&gt;0,1,0))</f>
        <v/>
      </c>
      <c r="N178" s="16" t="str">
        <f>IF($A178&lt;Notes!$B$5,"",IF(COUNTIFS(Release_Calendar!$A$2:$A$755,"NZ_GDP",Release_Calendar!$B$2:$B$755,$A178)&gt;0,1,0))</f>
        <v/>
      </c>
      <c r="O178" s="16" t="str">
        <f>IF($A178&lt;Notes!$B$5,"",IF(COUNTIFS(Release_Calendar!$A$2:$A$755,"NZ_LABOUR",Release_Calendar!$B$2:$B$755,$A178)&gt;0,1,0))</f>
        <v/>
      </c>
      <c r="P178" s="16">
        <f t="shared" si="4"/>
        <v>0</v>
      </c>
    </row>
    <row r="179" ht="15.75" customHeight="1">
      <c r="A179" s="14">
        <v>36775.0</v>
      </c>
      <c r="B179" s="15">
        <v>6.11</v>
      </c>
      <c r="C179" s="15"/>
      <c r="D179" s="15">
        <v>6.75</v>
      </c>
      <c r="E179" s="15"/>
      <c r="F179" s="15" t="str">
        <f t="shared" si="1"/>
        <v/>
      </c>
      <c r="G179" s="15">
        <f t="shared" si="2"/>
        <v>6.75</v>
      </c>
      <c r="H179" s="16">
        <v>1.0</v>
      </c>
      <c r="I179" s="15">
        <f t="shared" si="3"/>
        <v>0.64</v>
      </c>
      <c r="J179" s="15">
        <v>20.79</v>
      </c>
      <c r="K179" s="16">
        <f>IF(COUNTIFS(Release_Calendar!$A$2:$A$755,"US_CPI",Release_Calendar!$B$2:$B$755,$A179)&gt;0,1,0)</f>
        <v>0</v>
      </c>
      <c r="L179" s="16">
        <f>IF(COUNTIFS(Release_Calendar!$A$2:$A$755,"US_NFP",Release_Calendar!$B$2:$B$755,$A179)&gt;0,1,0)</f>
        <v>0</v>
      </c>
      <c r="M179" s="16" t="str">
        <f>IF($A179&lt;Notes!$B$5,"",IF(COUNTIFS(Release_Calendar!$A$2:$A$755,"NZ_CPI",Release_Calendar!$B$2:$B$755,$A179)&gt;0,1,0))</f>
        <v/>
      </c>
      <c r="N179" s="16" t="str">
        <f>IF($A179&lt;Notes!$B$5,"",IF(COUNTIFS(Release_Calendar!$A$2:$A$755,"NZ_GDP",Release_Calendar!$B$2:$B$755,$A179)&gt;0,1,0))</f>
        <v/>
      </c>
      <c r="O179" s="16" t="str">
        <f>IF($A179&lt;Notes!$B$5,"",IF(COUNTIFS(Release_Calendar!$A$2:$A$755,"NZ_LABOUR",Release_Calendar!$B$2:$B$755,$A179)&gt;0,1,0))</f>
        <v/>
      </c>
      <c r="P179" s="16">
        <f t="shared" si="4"/>
        <v>0</v>
      </c>
    </row>
    <row r="180" ht="15.75" customHeight="1">
      <c r="A180" s="14">
        <v>36776.0</v>
      </c>
      <c r="B180" s="15">
        <v>6.14</v>
      </c>
      <c r="C180" s="15"/>
      <c r="D180" s="15">
        <v>6.83</v>
      </c>
      <c r="E180" s="15"/>
      <c r="F180" s="15" t="str">
        <f t="shared" si="1"/>
        <v/>
      </c>
      <c r="G180" s="15">
        <f t="shared" si="2"/>
        <v>6.83</v>
      </c>
      <c r="H180" s="16">
        <v>1.0</v>
      </c>
      <c r="I180" s="15">
        <f t="shared" si="3"/>
        <v>0.69</v>
      </c>
      <c r="J180" s="15">
        <v>19.42</v>
      </c>
      <c r="K180" s="16">
        <f>IF(COUNTIFS(Release_Calendar!$A$2:$A$755,"US_CPI",Release_Calendar!$B$2:$B$755,$A180)&gt;0,1,0)</f>
        <v>0</v>
      </c>
      <c r="L180" s="16">
        <f>IF(COUNTIFS(Release_Calendar!$A$2:$A$755,"US_NFP",Release_Calendar!$B$2:$B$755,$A180)&gt;0,1,0)</f>
        <v>0</v>
      </c>
      <c r="M180" s="16" t="str">
        <f>IF($A180&lt;Notes!$B$5,"",IF(COUNTIFS(Release_Calendar!$A$2:$A$755,"NZ_CPI",Release_Calendar!$B$2:$B$755,$A180)&gt;0,1,0))</f>
        <v/>
      </c>
      <c r="N180" s="16" t="str">
        <f>IF($A180&lt;Notes!$B$5,"",IF(COUNTIFS(Release_Calendar!$A$2:$A$755,"NZ_GDP",Release_Calendar!$B$2:$B$755,$A180)&gt;0,1,0))</f>
        <v/>
      </c>
      <c r="O180" s="16" t="str">
        <f>IF($A180&lt;Notes!$B$5,"",IF(COUNTIFS(Release_Calendar!$A$2:$A$755,"NZ_LABOUR",Release_Calendar!$B$2:$B$755,$A180)&gt;0,1,0))</f>
        <v/>
      </c>
      <c r="P180" s="16">
        <f t="shared" si="4"/>
        <v>0</v>
      </c>
    </row>
    <row r="181" ht="15.75" customHeight="1">
      <c r="A181" s="14">
        <v>36777.0</v>
      </c>
      <c r="B181" s="15">
        <v>6.11</v>
      </c>
      <c r="C181" s="15"/>
      <c r="D181" s="15">
        <v>6.82</v>
      </c>
      <c r="E181" s="15"/>
      <c r="F181" s="15" t="str">
        <f t="shared" si="1"/>
        <v/>
      </c>
      <c r="G181" s="15">
        <f t="shared" si="2"/>
        <v>6.82</v>
      </c>
      <c r="H181" s="16">
        <v>1.0</v>
      </c>
      <c r="I181" s="15">
        <f t="shared" si="3"/>
        <v>0.71</v>
      </c>
      <c r="J181" s="15">
        <v>18.46</v>
      </c>
      <c r="K181" s="16">
        <f>IF(COUNTIFS(Release_Calendar!$A$2:$A$755,"US_CPI",Release_Calendar!$B$2:$B$755,$A181)&gt;0,1,0)</f>
        <v>0</v>
      </c>
      <c r="L181" s="16">
        <f>IF(COUNTIFS(Release_Calendar!$A$2:$A$755,"US_NFP",Release_Calendar!$B$2:$B$755,$A181)&gt;0,1,0)</f>
        <v>0</v>
      </c>
      <c r="M181" s="16" t="str">
        <f>IF($A181&lt;Notes!$B$5,"",IF(COUNTIFS(Release_Calendar!$A$2:$A$755,"NZ_CPI",Release_Calendar!$B$2:$B$755,$A181)&gt;0,1,0))</f>
        <v/>
      </c>
      <c r="N181" s="16" t="str">
        <f>IF($A181&lt;Notes!$B$5,"",IF(COUNTIFS(Release_Calendar!$A$2:$A$755,"NZ_GDP",Release_Calendar!$B$2:$B$755,$A181)&gt;0,1,0))</f>
        <v/>
      </c>
      <c r="O181" s="16" t="str">
        <f>IF($A181&lt;Notes!$B$5,"",IF(COUNTIFS(Release_Calendar!$A$2:$A$755,"NZ_LABOUR",Release_Calendar!$B$2:$B$755,$A181)&gt;0,1,0))</f>
        <v/>
      </c>
      <c r="P181" s="16">
        <f t="shared" si="4"/>
        <v>0</v>
      </c>
    </row>
    <row r="182" ht="15.75" customHeight="1">
      <c r="A182" s="14">
        <v>36780.0</v>
      </c>
      <c r="B182" s="15">
        <v>6.12</v>
      </c>
      <c r="C182" s="15"/>
      <c r="D182" s="15">
        <v>6.79</v>
      </c>
      <c r="E182" s="15"/>
      <c r="F182" s="15" t="str">
        <f t="shared" si="1"/>
        <v/>
      </c>
      <c r="G182" s="15">
        <f t="shared" si="2"/>
        <v>6.79</v>
      </c>
      <c r="H182" s="16">
        <v>1.0</v>
      </c>
      <c r="I182" s="15">
        <f t="shared" si="3"/>
        <v>0.67</v>
      </c>
      <c r="J182" s="15">
        <v>18.4</v>
      </c>
      <c r="K182" s="16">
        <f>IF(COUNTIFS(Release_Calendar!$A$2:$A$755,"US_CPI",Release_Calendar!$B$2:$B$755,$A182)&gt;0,1,0)</f>
        <v>0</v>
      </c>
      <c r="L182" s="16">
        <f>IF(COUNTIFS(Release_Calendar!$A$2:$A$755,"US_NFP",Release_Calendar!$B$2:$B$755,$A182)&gt;0,1,0)</f>
        <v>0</v>
      </c>
      <c r="M182" s="16" t="str">
        <f>IF($A182&lt;Notes!$B$5,"",IF(COUNTIFS(Release_Calendar!$A$2:$A$755,"NZ_CPI",Release_Calendar!$B$2:$B$755,$A182)&gt;0,1,0))</f>
        <v/>
      </c>
      <c r="N182" s="16" t="str">
        <f>IF($A182&lt;Notes!$B$5,"",IF(COUNTIFS(Release_Calendar!$A$2:$A$755,"NZ_GDP",Release_Calendar!$B$2:$B$755,$A182)&gt;0,1,0))</f>
        <v/>
      </c>
      <c r="O182" s="16" t="str">
        <f>IF($A182&lt;Notes!$B$5,"",IF(COUNTIFS(Release_Calendar!$A$2:$A$755,"NZ_LABOUR",Release_Calendar!$B$2:$B$755,$A182)&gt;0,1,0))</f>
        <v/>
      </c>
      <c r="P182" s="16">
        <f t="shared" si="4"/>
        <v>0</v>
      </c>
    </row>
    <row r="183" ht="15.75" customHeight="1">
      <c r="A183" s="14">
        <v>36781.0</v>
      </c>
      <c r="B183" s="15">
        <v>6.12</v>
      </c>
      <c r="C183" s="15"/>
      <c r="D183" s="15">
        <v>6.79</v>
      </c>
      <c r="E183" s="15"/>
      <c r="F183" s="15" t="str">
        <f t="shared" si="1"/>
        <v/>
      </c>
      <c r="G183" s="15">
        <f t="shared" si="2"/>
        <v>6.79</v>
      </c>
      <c r="H183" s="16">
        <v>1.0</v>
      </c>
      <c r="I183" s="15">
        <f t="shared" si="3"/>
        <v>0.67</v>
      </c>
      <c r="J183" s="15">
        <v>18.59</v>
      </c>
      <c r="K183" s="16">
        <f>IF(COUNTIFS(Release_Calendar!$A$2:$A$755,"US_CPI",Release_Calendar!$B$2:$B$755,$A183)&gt;0,1,0)</f>
        <v>0</v>
      </c>
      <c r="L183" s="16">
        <f>IF(COUNTIFS(Release_Calendar!$A$2:$A$755,"US_NFP",Release_Calendar!$B$2:$B$755,$A183)&gt;0,1,0)</f>
        <v>0</v>
      </c>
      <c r="M183" s="16" t="str">
        <f>IF($A183&lt;Notes!$B$5,"",IF(COUNTIFS(Release_Calendar!$A$2:$A$755,"NZ_CPI",Release_Calendar!$B$2:$B$755,$A183)&gt;0,1,0))</f>
        <v/>
      </c>
      <c r="N183" s="16" t="str">
        <f>IF($A183&lt;Notes!$B$5,"",IF(COUNTIFS(Release_Calendar!$A$2:$A$755,"NZ_GDP",Release_Calendar!$B$2:$B$755,$A183)&gt;0,1,0))</f>
        <v/>
      </c>
      <c r="O183" s="16" t="str">
        <f>IF($A183&lt;Notes!$B$5,"",IF(COUNTIFS(Release_Calendar!$A$2:$A$755,"NZ_LABOUR",Release_Calendar!$B$2:$B$755,$A183)&gt;0,1,0))</f>
        <v/>
      </c>
      <c r="P183" s="16">
        <f t="shared" si="4"/>
        <v>0</v>
      </c>
    </row>
    <row r="184" ht="15.75" customHeight="1">
      <c r="A184" s="14">
        <v>36782.0</v>
      </c>
      <c r="B184" s="15">
        <v>6.09</v>
      </c>
      <c r="C184" s="15"/>
      <c r="D184" s="15">
        <v>6.79</v>
      </c>
      <c r="E184" s="15"/>
      <c r="F184" s="15" t="str">
        <f t="shared" si="1"/>
        <v/>
      </c>
      <c r="G184" s="15">
        <f t="shared" si="2"/>
        <v>6.79</v>
      </c>
      <c r="H184" s="16">
        <v>1.0</v>
      </c>
      <c r="I184" s="15">
        <f t="shared" si="3"/>
        <v>0.7</v>
      </c>
      <c r="J184" s="15">
        <v>18.32</v>
      </c>
      <c r="K184" s="16">
        <f>IF(COUNTIFS(Release_Calendar!$A$2:$A$755,"US_CPI",Release_Calendar!$B$2:$B$755,$A184)&gt;0,1,0)</f>
        <v>0</v>
      </c>
      <c r="L184" s="16">
        <f>IF(COUNTIFS(Release_Calendar!$A$2:$A$755,"US_NFP",Release_Calendar!$B$2:$B$755,$A184)&gt;0,1,0)</f>
        <v>0</v>
      </c>
      <c r="M184" s="16" t="str">
        <f>IF($A184&lt;Notes!$B$5,"",IF(COUNTIFS(Release_Calendar!$A$2:$A$755,"NZ_CPI",Release_Calendar!$B$2:$B$755,$A184)&gt;0,1,0))</f>
        <v/>
      </c>
      <c r="N184" s="16" t="str">
        <f>IF($A184&lt;Notes!$B$5,"",IF(COUNTIFS(Release_Calendar!$A$2:$A$755,"NZ_GDP",Release_Calendar!$B$2:$B$755,$A184)&gt;0,1,0))</f>
        <v/>
      </c>
      <c r="O184" s="16" t="str">
        <f>IF($A184&lt;Notes!$B$5,"",IF(COUNTIFS(Release_Calendar!$A$2:$A$755,"NZ_LABOUR",Release_Calendar!$B$2:$B$755,$A184)&gt;0,1,0))</f>
        <v/>
      </c>
      <c r="P184" s="16">
        <f t="shared" si="4"/>
        <v>0</v>
      </c>
    </row>
    <row r="185" ht="15.75" customHeight="1">
      <c r="A185" s="14">
        <v>36783.0</v>
      </c>
      <c r="B185" s="15">
        <v>6.11</v>
      </c>
      <c r="C185" s="15"/>
      <c r="D185" s="15">
        <v>6.77</v>
      </c>
      <c r="E185" s="15"/>
      <c r="F185" s="15" t="str">
        <f t="shared" si="1"/>
        <v/>
      </c>
      <c r="G185" s="15">
        <f t="shared" si="2"/>
        <v>6.77</v>
      </c>
      <c r="H185" s="16">
        <v>1.0</v>
      </c>
      <c r="I185" s="15">
        <f t="shared" si="3"/>
        <v>0.66</v>
      </c>
      <c r="J185" s="15">
        <v>18.26</v>
      </c>
      <c r="K185" s="16">
        <f>IF(COUNTIFS(Release_Calendar!$A$2:$A$755,"US_CPI",Release_Calendar!$B$2:$B$755,$A185)&gt;0,1,0)</f>
        <v>0</v>
      </c>
      <c r="L185" s="16">
        <f>IF(COUNTIFS(Release_Calendar!$A$2:$A$755,"US_NFP",Release_Calendar!$B$2:$B$755,$A185)&gt;0,1,0)</f>
        <v>0</v>
      </c>
      <c r="M185" s="16" t="str">
        <f>IF($A185&lt;Notes!$B$5,"",IF(COUNTIFS(Release_Calendar!$A$2:$A$755,"NZ_CPI",Release_Calendar!$B$2:$B$755,$A185)&gt;0,1,0))</f>
        <v/>
      </c>
      <c r="N185" s="16" t="str">
        <f>IF($A185&lt;Notes!$B$5,"",IF(COUNTIFS(Release_Calendar!$A$2:$A$755,"NZ_GDP",Release_Calendar!$B$2:$B$755,$A185)&gt;0,1,0))</f>
        <v/>
      </c>
      <c r="O185" s="16" t="str">
        <f>IF($A185&lt;Notes!$B$5,"",IF(COUNTIFS(Release_Calendar!$A$2:$A$755,"NZ_LABOUR",Release_Calendar!$B$2:$B$755,$A185)&gt;0,1,0))</f>
        <v/>
      </c>
      <c r="P185" s="16">
        <f t="shared" si="4"/>
        <v>0</v>
      </c>
    </row>
    <row r="186" ht="15.75" customHeight="1">
      <c r="A186" s="14">
        <v>36784.0</v>
      </c>
      <c r="B186" s="15">
        <v>6.07</v>
      </c>
      <c r="C186" s="15"/>
      <c r="D186" s="15">
        <v>6.82</v>
      </c>
      <c r="E186" s="15"/>
      <c r="F186" s="15" t="str">
        <f t="shared" si="1"/>
        <v/>
      </c>
      <c r="G186" s="15">
        <f t="shared" si="2"/>
        <v>6.82</v>
      </c>
      <c r="H186" s="16">
        <v>1.0</v>
      </c>
      <c r="I186" s="15">
        <f t="shared" si="3"/>
        <v>0.75</v>
      </c>
      <c r="J186" s="15">
        <v>18.52</v>
      </c>
      <c r="K186" s="16">
        <f>IF(COUNTIFS(Release_Calendar!$A$2:$A$755,"US_CPI",Release_Calendar!$B$2:$B$755,$A186)&gt;0,1,0)</f>
        <v>1</v>
      </c>
      <c r="L186" s="16">
        <f>IF(COUNTIFS(Release_Calendar!$A$2:$A$755,"US_NFP",Release_Calendar!$B$2:$B$755,$A186)&gt;0,1,0)</f>
        <v>0</v>
      </c>
      <c r="M186" s="16" t="str">
        <f>IF($A186&lt;Notes!$B$5,"",IF(COUNTIFS(Release_Calendar!$A$2:$A$755,"NZ_CPI",Release_Calendar!$B$2:$B$755,$A186)&gt;0,1,0))</f>
        <v/>
      </c>
      <c r="N186" s="16" t="str">
        <f>IF($A186&lt;Notes!$B$5,"",IF(COUNTIFS(Release_Calendar!$A$2:$A$755,"NZ_GDP",Release_Calendar!$B$2:$B$755,$A186)&gt;0,1,0))</f>
        <v/>
      </c>
      <c r="O186" s="16" t="str">
        <f>IF($A186&lt;Notes!$B$5,"",IF(COUNTIFS(Release_Calendar!$A$2:$A$755,"NZ_LABOUR",Release_Calendar!$B$2:$B$755,$A186)&gt;0,1,0))</f>
        <v/>
      </c>
      <c r="P186" s="16">
        <f t="shared" si="4"/>
        <v>1</v>
      </c>
    </row>
    <row r="187" ht="15.75" customHeight="1">
      <c r="A187" s="14">
        <v>36787.0</v>
      </c>
      <c r="B187" s="15">
        <v>6.04</v>
      </c>
      <c r="C187" s="15"/>
      <c r="D187" s="15">
        <v>6.84</v>
      </c>
      <c r="E187" s="15"/>
      <c r="F187" s="15" t="str">
        <f t="shared" si="1"/>
        <v/>
      </c>
      <c r="G187" s="15">
        <f t="shared" si="2"/>
        <v>6.84</v>
      </c>
      <c r="H187" s="16">
        <v>1.0</v>
      </c>
      <c r="I187" s="15">
        <f t="shared" si="3"/>
        <v>0.8</v>
      </c>
      <c r="J187" s="15">
        <v>20.25</v>
      </c>
      <c r="K187" s="16">
        <f>IF(COUNTIFS(Release_Calendar!$A$2:$A$755,"US_CPI",Release_Calendar!$B$2:$B$755,$A187)&gt;0,1,0)</f>
        <v>0</v>
      </c>
      <c r="L187" s="16">
        <f>IF(COUNTIFS(Release_Calendar!$A$2:$A$755,"US_NFP",Release_Calendar!$B$2:$B$755,$A187)&gt;0,1,0)</f>
        <v>0</v>
      </c>
      <c r="M187" s="16" t="str">
        <f>IF($A187&lt;Notes!$B$5,"",IF(COUNTIFS(Release_Calendar!$A$2:$A$755,"NZ_CPI",Release_Calendar!$B$2:$B$755,$A187)&gt;0,1,0))</f>
        <v/>
      </c>
      <c r="N187" s="16" t="str">
        <f>IF($A187&lt;Notes!$B$5,"",IF(COUNTIFS(Release_Calendar!$A$2:$A$755,"NZ_GDP",Release_Calendar!$B$2:$B$755,$A187)&gt;0,1,0))</f>
        <v/>
      </c>
      <c r="O187" s="16" t="str">
        <f>IF($A187&lt;Notes!$B$5,"",IF(COUNTIFS(Release_Calendar!$A$2:$A$755,"NZ_LABOUR",Release_Calendar!$B$2:$B$755,$A187)&gt;0,1,0))</f>
        <v/>
      </c>
      <c r="P187" s="16">
        <f t="shared" si="4"/>
        <v>0</v>
      </c>
    </row>
    <row r="188" ht="15.75" customHeight="1">
      <c r="A188" s="14">
        <v>36788.0</v>
      </c>
      <c r="B188" s="15">
        <v>6.05</v>
      </c>
      <c r="C188" s="15"/>
      <c r="D188" s="15">
        <v>6.87</v>
      </c>
      <c r="E188" s="15"/>
      <c r="F188" s="15" t="str">
        <f t="shared" si="1"/>
        <v/>
      </c>
      <c r="G188" s="15">
        <f t="shared" si="2"/>
        <v>6.87</v>
      </c>
      <c r="H188" s="16">
        <v>1.0</v>
      </c>
      <c r="I188" s="15">
        <f t="shared" si="3"/>
        <v>0.82</v>
      </c>
      <c r="J188" s="15">
        <v>19.54</v>
      </c>
      <c r="K188" s="16">
        <f>IF(COUNTIFS(Release_Calendar!$A$2:$A$755,"US_CPI",Release_Calendar!$B$2:$B$755,$A188)&gt;0,1,0)</f>
        <v>0</v>
      </c>
      <c r="L188" s="16">
        <f>IF(COUNTIFS(Release_Calendar!$A$2:$A$755,"US_NFP",Release_Calendar!$B$2:$B$755,$A188)&gt;0,1,0)</f>
        <v>0</v>
      </c>
      <c r="M188" s="16" t="str">
        <f>IF($A188&lt;Notes!$B$5,"",IF(COUNTIFS(Release_Calendar!$A$2:$A$755,"NZ_CPI",Release_Calendar!$B$2:$B$755,$A188)&gt;0,1,0))</f>
        <v/>
      </c>
      <c r="N188" s="16" t="str">
        <f>IF($A188&lt;Notes!$B$5,"",IF(COUNTIFS(Release_Calendar!$A$2:$A$755,"NZ_GDP",Release_Calendar!$B$2:$B$755,$A188)&gt;0,1,0))</f>
        <v/>
      </c>
      <c r="O188" s="16" t="str">
        <f>IF($A188&lt;Notes!$B$5,"",IF(COUNTIFS(Release_Calendar!$A$2:$A$755,"NZ_LABOUR",Release_Calendar!$B$2:$B$755,$A188)&gt;0,1,0))</f>
        <v/>
      </c>
      <c r="P188" s="16">
        <f t="shared" si="4"/>
        <v>0</v>
      </c>
    </row>
    <row r="189" ht="15.75" customHeight="1">
      <c r="A189" s="14">
        <v>36789.0</v>
      </c>
      <c r="B189" s="15">
        <v>6.11</v>
      </c>
      <c r="C189" s="15"/>
      <c r="D189" s="15">
        <v>6.83</v>
      </c>
      <c r="E189" s="15"/>
      <c r="F189" s="15" t="str">
        <f t="shared" si="1"/>
        <v/>
      </c>
      <c r="G189" s="15">
        <f t="shared" si="2"/>
        <v>6.83</v>
      </c>
      <c r="H189" s="16">
        <v>1.0</v>
      </c>
      <c r="I189" s="15">
        <f t="shared" si="3"/>
        <v>0.72</v>
      </c>
      <c r="J189" s="15">
        <v>19.93</v>
      </c>
      <c r="K189" s="16">
        <f>IF(COUNTIFS(Release_Calendar!$A$2:$A$755,"US_CPI",Release_Calendar!$B$2:$B$755,$A189)&gt;0,1,0)</f>
        <v>0</v>
      </c>
      <c r="L189" s="16">
        <f>IF(COUNTIFS(Release_Calendar!$A$2:$A$755,"US_NFP",Release_Calendar!$B$2:$B$755,$A189)&gt;0,1,0)</f>
        <v>0</v>
      </c>
      <c r="M189" s="16" t="str">
        <f>IF($A189&lt;Notes!$B$5,"",IF(COUNTIFS(Release_Calendar!$A$2:$A$755,"NZ_CPI",Release_Calendar!$B$2:$B$755,$A189)&gt;0,1,0))</f>
        <v/>
      </c>
      <c r="N189" s="16" t="str">
        <f>IF($A189&lt;Notes!$B$5,"",IF(COUNTIFS(Release_Calendar!$A$2:$A$755,"NZ_GDP",Release_Calendar!$B$2:$B$755,$A189)&gt;0,1,0))</f>
        <v/>
      </c>
      <c r="O189" s="16" t="str">
        <f>IF($A189&lt;Notes!$B$5,"",IF(COUNTIFS(Release_Calendar!$A$2:$A$755,"NZ_LABOUR",Release_Calendar!$B$2:$B$755,$A189)&gt;0,1,0))</f>
        <v/>
      </c>
      <c r="P189" s="16">
        <f t="shared" si="4"/>
        <v>0</v>
      </c>
    </row>
    <row r="190" ht="15.75" customHeight="1">
      <c r="A190" s="14">
        <v>36790.0</v>
      </c>
      <c r="B190" s="15">
        <v>6.11</v>
      </c>
      <c r="C190" s="15"/>
      <c r="D190" s="15">
        <v>6.85</v>
      </c>
      <c r="E190" s="15"/>
      <c r="F190" s="15" t="str">
        <f t="shared" si="1"/>
        <v/>
      </c>
      <c r="G190" s="15">
        <f t="shared" si="2"/>
        <v>6.85</v>
      </c>
      <c r="H190" s="16">
        <v>1.0</v>
      </c>
      <c r="I190" s="15">
        <f t="shared" si="3"/>
        <v>0.74</v>
      </c>
      <c r="J190" s="15">
        <v>20.18</v>
      </c>
      <c r="K190" s="16">
        <f>IF(COUNTIFS(Release_Calendar!$A$2:$A$755,"US_CPI",Release_Calendar!$B$2:$B$755,$A190)&gt;0,1,0)</f>
        <v>0</v>
      </c>
      <c r="L190" s="16">
        <f>IF(COUNTIFS(Release_Calendar!$A$2:$A$755,"US_NFP",Release_Calendar!$B$2:$B$755,$A190)&gt;0,1,0)</f>
        <v>0</v>
      </c>
      <c r="M190" s="16" t="str">
        <f>IF($A190&lt;Notes!$B$5,"",IF(COUNTIFS(Release_Calendar!$A$2:$A$755,"NZ_CPI",Release_Calendar!$B$2:$B$755,$A190)&gt;0,1,0))</f>
        <v/>
      </c>
      <c r="N190" s="16" t="str">
        <f>IF($A190&lt;Notes!$B$5,"",IF(COUNTIFS(Release_Calendar!$A$2:$A$755,"NZ_GDP",Release_Calendar!$B$2:$B$755,$A190)&gt;0,1,0))</f>
        <v/>
      </c>
      <c r="O190" s="16" t="str">
        <f>IF($A190&lt;Notes!$B$5,"",IF(COUNTIFS(Release_Calendar!$A$2:$A$755,"NZ_LABOUR",Release_Calendar!$B$2:$B$755,$A190)&gt;0,1,0))</f>
        <v/>
      </c>
      <c r="P190" s="16">
        <f t="shared" si="4"/>
        <v>0</v>
      </c>
    </row>
    <row r="191" ht="15.75" customHeight="1">
      <c r="A191" s="14">
        <v>36791.0</v>
      </c>
      <c r="B191" s="15">
        <v>6.09</v>
      </c>
      <c r="C191" s="15"/>
      <c r="D191" s="15">
        <v>6.78</v>
      </c>
      <c r="E191" s="15"/>
      <c r="F191" s="15" t="str">
        <f t="shared" si="1"/>
        <v/>
      </c>
      <c r="G191" s="15">
        <f t="shared" si="2"/>
        <v>6.78</v>
      </c>
      <c r="H191" s="16">
        <v>1.0</v>
      </c>
      <c r="I191" s="15">
        <f t="shared" si="3"/>
        <v>0.69</v>
      </c>
      <c r="J191" s="15">
        <v>20.74</v>
      </c>
      <c r="K191" s="16">
        <f>IF(COUNTIFS(Release_Calendar!$A$2:$A$755,"US_CPI",Release_Calendar!$B$2:$B$755,$A191)&gt;0,1,0)</f>
        <v>0</v>
      </c>
      <c r="L191" s="16">
        <f>IF(COUNTIFS(Release_Calendar!$A$2:$A$755,"US_NFP",Release_Calendar!$B$2:$B$755,$A191)&gt;0,1,0)</f>
        <v>0</v>
      </c>
      <c r="M191" s="16" t="str">
        <f>IF($A191&lt;Notes!$B$5,"",IF(COUNTIFS(Release_Calendar!$A$2:$A$755,"NZ_CPI",Release_Calendar!$B$2:$B$755,$A191)&gt;0,1,0))</f>
        <v/>
      </c>
      <c r="N191" s="16" t="str">
        <f>IF($A191&lt;Notes!$B$5,"",IF(COUNTIFS(Release_Calendar!$A$2:$A$755,"NZ_GDP",Release_Calendar!$B$2:$B$755,$A191)&gt;0,1,0))</f>
        <v/>
      </c>
      <c r="O191" s="16" t="str">
        <f>IF($A191&lt;Notes!$B$5,"",IF(COUNTIFS(Release_Calendar!$A$2:$A$755,"NZ_LABOUR",Release_Calendar!$B$2:$B$755,$A191)&gt;0,1,0))</f>
        <v/>
      </c>
      <c r="P191" s="16">
        <f t="shared" si="4"/>
        <v>0</v>
      </c>
    </row>
    <row r="192" ht="15.75" customHeight="1">
      <c r="A192" s="14">
        <v>36794.0</v>
      </c>
      <c r="B192" s="15">
        <v>6.11</v>
      </c>
      <c r="C192" s="15"/>
      <c r="D192" s="15">
        <v>6.78</v>
      </c>
      <c r="E192" s="15"/>
      <c r="F192" s="15" t="str">
        <f t="shared" si="1"/>
        <v/>
      </c>
      <c r="G192" s="15">
        <f t="shared" si="2"/>
        <v>6.78</v>
      </c>
      <c r="H192" s="16">
        <v>1.0</v>
      </c>
      <c r="I192" s="15">
        <f t="shared" si="3"/>
        <v>0.67</v>
      </c>
      <c r="J192" s="15">
        <v>21.41</v>
      </c>
      <c r="K192" s="16">
        <f>IF(COUNTIFS(Release_Calendar!$A$2:$A$755,"US_CPI",Release_Calendar!$B$2:$B$755,$A192)&gt;0,1,0)</f>
        <v>0</v>
      </c>
      <c r="L192" s="16">
        <f>IF(COUNTIFS(Release_Calendar!$A$2:$A$755,"US_NFP",Release_Calendar!$B$2:$B$755,$A192)&gt;0,1,0)</f>
        <v>0</v>
      </c>
      <c r="M192" s="16" t="str">
        <f>IF($A192&lt;Notes!$B$5,"",IF(COUNTIFS(Release_Calendar!$A$2:$A$755,"NZ_CPI",Release_Calendar!$B$2:$B$755,$A192)&gt;0,1,0))</f>
        <v/>
      </c>
      <c r="N192" s="16" t="str">
        <f>IF($A192&lt;Notes!$B$5,"",IF(COUNTIFS(Release_Calendar!$A$2:$A$755,"NZ_GDP",Release_Calendar!$B$2:$B$755,$A192)&gt;0,1,0))</f>
        <v/>
      </c>
      <c r="O192" s="16" t="str">
        <f>IF($A192&lt;Notes!$B$5,"",IF(COUNTIFS(Release_Calendar!$A$2:$A$755,"NZ_LABOUR",Release_Calendar!$B$2:$B$755,$A192)&gt;0,1,0))</f>
        <v/>
      </c>
      <c r="P192" s="16">
        <f t="shared" si="4"/>
        <v>0</v>
      </c>
    </row>
    <row r="193" ht="15.75" customHeight="1">
      <c r="A193" s="14">
        <v>36795.0</v>
      </c>
      <c r="B193" s="15">
        <v>6.07</v>
      </c>
      <c r="C193" s="15"/>
      <c r="D193" s="15">
        <v>6.78</v>
      </c>
      <c r="E193" s="15"/>
      <c r="F193" s="15" t="str">
        <f t="shared" si="1"/>
        <v/>
      </c>
      <c r="G193" s="15">
        <f t="shared" si="2"/>
        <v>6.78</v>
      </c>
      <c r="H193" s="16">
        <v>1.0</v>
      </c>
      <c r="I193" s="15">
        <f t="shared" si="3"/>
        <v>0.71</v>
      </c>
      <c r="J193" s="15">
        <v>21.88</v>
      </c>
      <c r="K193" s="16">
        <f>IF(COUNTIFS(Release_Calendar!$A$2:$A$755,"US_CPI",Release_Calendar!$B$2:$B$755,$A193)&gt;0,1,0)</f>
        <v>0</v>
      </c>
      <c r="L193" s="16">
        <f>IF(COUNTIFS(Release_Calendar!$A$2:$A$755,"US_NFP",Release_Calendar!$B$2:$B$755,$A193)&gt;0,1,0)</f>
        <v>0</v>
      </c>
      <c r="M193" s="16" t="str">
        <f>IF($A193&lt;Notes!$B$5,"",IF(COUNTIFS(Release_Calendar!$A$2:$A$755,"NZ_CPI",Release_Calendar!$B$2:$B$755,$A193)&gt;0,1,0))</f>
        <v/>
      </c>
      <c r="N193" s="16" t="str">
        <f>IF($A193&lt;Notes!$B$5,"",IF(COUNTIFS(Release_Calendar!$A$2:$A$755,"NZ_GDP",Release_Calendar!$B$2:$B$755,$A193)&gt;0,1,0))</f>
        <v/>
      </c>
      <c r="O193" s="16" t="str">
        <f>IF($A193&lt;Notes!$B$5,"",IF(COUNTIFS(Release_Calendar!$A$2:$A$755,"NZ_LABOUR",Release_Calendar!$B$2:$B$755,$A193)&gt;0,1,0))</f>
        <v/>
      </c>
      <c r="P193" s="16">
        <f t="shared" si="4"/>
        <v>0</v>
      </c>
    </row>
    <row r="194" ht="15.75" customHeight="1">
      <c r="A194" s="14">
        <v>36796.0</v>
      </c>
      <c r="B194" s="15">
        <v>6.0</v>
      </c>
      <c r="C194" s="15"/>
      <c r="D194" s="15">
        <v>6.76</v>
      </c>
      <c r="E194" s="15"/>
      <c r="F194" s="15" t="str">
        <f t="shared" si="1"/>
        <v/>
      </c>
      <c r="G194" s="15">
        <f t="shared" si="2"/>
        <v>6.76</v>
      </c>
      <c r="H194" s="16">
        <v>1.0</v>
      </c>
      <c r="I194" s="15">
        <f t="shared" si="3"/>
        <v>0.76</v>
      </c>
      <c r="J194" s="15">
        <v>21.67</v>
      </c>
      <c r="K194" s="16">
        <f>IF(COUNTIFS(Release_Calendar!$A$2:$A$755,"US_CPI",Release_Calendar!$B$2:$B$755,$A194)&gt;0,1,0)</f>
        <v>0</v>
      </c>
      <c r="L194" s="16">
        <f>IF(COUNTIFS(Release_Calendar!$A$2:$A$755,"US_NFP",Release_Calendar!$B$2:$B$755,$A194)&gt;0,1,0)</f>
        <v>0</v>
      </c>
      <c r="M194" s="16" t="str">
        <f>IF($A194&lt;Notes!$B$5,"",IF(COUNTIFS(Release_Calendar!$A$2:$A$755,"NZ_CPI",Release_Calendar!$B$2:$B$755,$A194)&gt;0,1,0))</f>
        <v/>
      </c>
      <c r="N194" s="16" t="str">
        <f>IF($A194&lt;Notes!$B$5,"",IF(COUNTIFS(Release_Calendar!$A$2:$A$755,"NZ_GDP",Release_Calendar!$B$2:$B$755,$A194)&gt;0,1,0))</f>
        <v/>
      </c>
      <c r="O194" s="16" t="str">
        <f>IF($A194&lt;Notes!$B$5,"",IF(COUNTIFS(Release_Calendar!$A$2:$A$755,"NZ_LABOUR",Release_Calendar!$B$2:$B$755,$A194)&gt;0,1,0))</f>
        <v/>
      </c>
      <c r="P194" s="16">
        <f t="shared" si="4"/>
        <v>0</v>
      </c>
    </row>
    <row r="195" ht="15.75" customHeight="1">
      <c r="A195" s="14">
        <v>36797.0</v>
      </c>
      <c r="B195" s="15">
        <v>6.02</v>
      </c>
      <c r="C195" s="15"/>
      <c r="D195" s="15">
        <v>6.78</v>
      </c>
      <c r="E195" s="15"/>
      <c r="F195" s="15" t="str">
        <f t="shared" si="1"/>
        <v/>
      </c>
      <c r="G195" s="15">
        <f t="shared" si="2"/>
        <v>6.78</v>
      </c>
      <c r="H195" s="16">
        <v>1.0</v>
      </c>
      <c r="I195" s="15">
        <f t="shared" si="3"/>
        <v>0.76</v>
      </c>
      <c r="J195" s="15">
        <v>19.47</v>
      </c>
      <c r="K195" s="16">
        <f>IF(COUNTIFS(Release_Calendar!$A$2:$A$755,"US_CPI",Release_Calendar!$B$2:$B$755,$A195)&gt;0,1,0)</f>
        <v>0</v>
      </c>
      <c r="L195" s="16">
        <f>IF(COUNTIFS(Release_Calendar!$A$2:$A$755,"US_NFP",Release_Calendar!$B$2:$B$755,$A195)&gt;0,1,0)</f>
        <v>0</v>
      </c>
      <c r="M195" s="16" t="str">
        <f>IF($A195&lt;Notes!$B$5,"",IF(COUNTIFS(Release_Calendar!$A$2:$A$755,"NZ_CPI",Release_Calendar!$B$2:$B$755,$A195)&gt;0,1,0))</f>
        <v/>
      </c>
      <c r="N195" s="16" t="str">
        <f>IF($A195&lt;Notes!$B$5,"",IF(COUNTIFS(Release_Calendar!$A$2:$A$755,"NZ_GDP",Release_Calendar!$B$2:$B$755,$A195)&gt;0,1,0))</f>
        <v/>
      </c>
      <c r="O195" s="16" t="str">
        <f>IF($A195&lt;Notes!$B$5,"",IF(COUNTIFS(Release_Calendar!$A$2:$A$755,"NZ_LABOUR",Release_Calendar!$B$2:$B$755,$A195)&gt;0,1,0))</f>
        <v/>
      </c>
      <c r="P195" s="16">
        <f t="shared" si="4"/>
        <v>0</v>
      </c>
    </row>
    <row r="196" ht="15.75" customHeight="1">
      <c r="A196" s="14">
        <v>36798.0</v>
      </c>
      <c r="B196" s="15">
        <v>5.98</v>
      </c>
      <c r="C196" s="15"/>
      <c r="D196" s="15">
        <v>6.75</v>
      </c>
      <c r="E196" s="15"/>
      <c r="F196" s="15" t="str">
        <f t="shared" si="1"/>
        <v/>
      </c>
      <c r="G196" s="15">
        <f t="shared" si="2"/>
        <v>6.75</v>
      </c>
      <c r="H196" s="16">
        <v>1.0</v>
      </c>
      <c r="I196" s="15">
        <f t="shared" si="3"/>
        <v>0.77</v>
      </c>
      <c r="J196" s="15">
        <v>20.57</v>
      </c>
      <c r="K196" s="16">
        <f>IF(COUNTIFS(Release_Calendar!$A$2:$A$755,"US_CPI",Release_Calendar!$B$2:$B$755,$A196)&gt;0,1,0)</f>
        <v>0</v>
      </c>
      <c r="L196" s="16">
        <f>IF(COUNTIFS(Release_Calendar!$A$2:$A$755,"US_NFP",Release_Calendar!$B$2:$B$755,$A196)&gt;0,1,0)</f>
        <v>0</v>
      </c>
      <c r="M196" s="16" t="str">
        <f>IF($A196&lt;Notes!$B$5,"",IF(COUNTIFS(Release_Calendar!$A$2:$A$755,"NZ_CPI",Release_Calendar!$B$2:$B$755,$A196)&gt;0,1,0))</f>
        <v/>
      </c>
      <c r="N196" s="16" t="str">
        <f>IF($A196&lt;Notes!$B$5,"",IF(COUNTIFS(Release_Calendar!$A$2:$A$755,"NZ_GDP",Release_Calendar!$B$2:$B$755,$A196)&gt;0,1,0))</f>
        <v/>
      </c>
      <c r="O196" s="16" t="str">
        <f>IF($A196&lt;Notes!$B$5,"",IF(COUNTIFS(Release_Calendar!$A$2:$A$755,"NZ_LABOUR",Release_Calendar!$B$2:$B$755,$A196)&gt;0,1,0))</f>
        <v/>
      </c>
      <c r="P196" s="16">
        <f t="shared" si="4"/>
        <v>0</v>
      </c>
    </row>
    <row r="197" ht="15.75" customHeight="1">
      <c r="A197" s="14">
        <v>36801.0</v>
      </c>
      <c r="B197" s="15">
        <v>5.98</v>
      </c>
      <c r="C197" s="15"/>
      <c r="D197" s="15">
        <v>6.75</v>
      </c>
      <c r="E197" s="15"/>
      <c r="F197" s="15" t="str">
        <f t="shared" si="1"/>
        <v/>
      </c>
      <c r="G197" s="15">
        <f t="shared" si="2"/>
        <v>6.75</v>
      </c>
      <c r="H197" s="16">
        <v>1.0</v>
      </c>
      <c r="I197" s="15">
        <f t="shared" si="3"/>
        <v>0.77</v>
      </c>
      <c r="J197" s="15">
        <v>21.23</v>
      </c>
      <c r="K197" s="16">
        <f>IF(COUNTIFS(Release_Calendar!$A$2:$A$755,"US_CPI",Release_Calendar!$B$2:$B$755,$A197)&gt;0,1,0)</f>
        <v>0</v>
      </c>
      <c r="L197" s="16">
        <f>IF(COUNTIFS(Release_Calendar!$A$2:$A$755,"US_NFP",Release_Calendar!$B$2:$B$755,$A197)&gt;0,1,0)</f>
        <v>0</v>
      </c>
      <c r="M197" s="16" t="str">
        <f>IF($A197&lt;Notes!$B$5,"",IF(COUNTIFS(Release_Calendar!$A$2:$A$755,"NZ_CPI",Release_Calendar!$B$2:$B$755,$A197)&gt;0,1,0))</f>
        <v/>
      </c>
      <c r="N197" s="16" t="str">
        <f>IF($A197&lt;Notes!$B$5,"",IF(COUNTIFS(Release_Calendar!$A$2:$A$755,"NZ_GDP",Release_Calendar!$B$2:$B$755,$A197)&gt;0,1,0))</f>
        <v/>
      </c>
      <c r="O197" s="16" t="str">
        <f>IF($A197&lt;Notes!$B$5,"",IF(COUNTIFS(Release_Calendar!$A$2:$A$755,"NZ_LABOUR",Release_Calendar!$B$2:$B$755,$A197)&gt;0,1,0))</f>
        <v/>
      </c>
      <c r="P197" s="16">
        <f t="shared" si="4"/>
        <v>0</v>
      </c>
    </row>
    <row r="198" ht="15.75" customHeight="1">
      <c r="A198" s="14">
        <v>36802.0</v>
      </c>
      <c r="B198" s="15">
        <v>6.0</v>
      </c>
      <c r="C198" s="15"/>
      <c r="D198" s="15">
        <v>6.74</v>
      </c>
      <c r="E198" s="15"/>
      <c r="F198" s="15" t="str">
        <f t="shared" si="1"/>
        <v/>
      </c>
      <c r="G198" s="15">
        <f t="shared" si="2"/>
        <v>6.74</v>
      </c>
      <c r="H198" s="16">
        <v>1.0</v>
      </c>
      <c r="I198" s="15">
        <f t="shared" si="3"/>
        <v>0.74</v>
      </c>
      <c r="J198" s="15">
        <v>21.85</v>
      </c>
      <c r="K198" s="16">
        <f>IF(COUNTIFS(Release_Calendar!$A$2:$A$755,"US_CPI",Release_Calendar!$B$2:$B$755,$A198)&gt;0,1,0)</f>
        <v>0</v>
      </c>
      <c r="L198" s="16">
        <f>IF(COUNTIFS(Release_Calendar!$A$2:$A$755,"US_NFP",Release_Calendar!$B$2:$B$755,$A198)&gt;0,1,0)</f>
        <v>0</v>
      </c>
      <c r="M198" s="16" t="str">
        <f>IF($A198&lt;Notes!$B$5,"",IF(COUNTIFS(Release_Calendar!$A$2:$A$755,"NZ_CPI",Release_Calendar!$B$2:$B$755,$A198)&gt;0,1,0))</f>
        <v/>
      </c>
      <c r="N198" s="16" t="str">
        <f>IF($A198&lt;Notes!$B$5,"",IF(COUNTIFS(Release_Calendar!$A$2:$A$755,"NZ_GDP",Release_Calendar!$B$2:$B$755,$A198)&gt;0,1,0))</f>
        <v/>
      </c>
      <c r="O198" s="16" t="str">
        <f>IF($A198&lt;Notes!$B$5,"",IF(COUNTIFS(Release_Calendar!$A$2:$A$755,"NZ_LABOUR",Release_Calendar!$B$2:$B$755,$A198)&gt;0,1,0))</f>
        <v/>
      </c>
      <c r="P198" s="16">
        <f t="shared" si="4"/>
        <v>0</v>
      </c>
    </row>
    <row r="199" ht="15.75" customHeight="1">
      <c r="A199" s="14">
        <v>36803.0</v>
      </c>
      <c r="B199" s="15">
        <v>6.03</v>
      </c>
      <c r="C199" s="15"/>
      <c r="D199" s="15">
        <v>6.76</v>
      </c>
      <c r="E199" s="15"/>
      <c r="F199" s="15" t="str">
        <f t="shared" si="1"/>
        <v/>
      </c>
      <c r="G199" s="15">
        <f t="shared" si="2"/>
        <v>6.76</v>
      </c>
      <c r="H199" s="16">
        <v>1.0</v>
      </c>
      <c r="I199" s="15">
        <f t="shared" si="3"/>
        <v>0.73</v>
      </c>
      <c r="J199" s="15">
        <v>21.54</v>
      </c>
      <c r="K199" s="16">
        <f>IF(COUNTIFS(Release_Calendar!$A$2:$A$755,"US_CPI",Release_Calendar!$B$2:$B$755,$A199)&gt;0,1,0)</f>
        <v>0</v>
      </c>
      <c r="L199" s="16">
        <f>IF(COUNTIFS(Release_Calendar!$A$2:$A$755,"US_NFP",Release_Calendar!$B$2:$B$755,$A199)&gt;0,1,0)</f>
        <v>0</v>
      </c>
      <c r="M199" s="16" t="str">
        <f>IF($A199&lt;Notes!$B$5,"",IF(COUNTIFS(Release_Calendar!$A$2:$A$755,"NZ_CPI",Release_Calendar!$B$2:$B$755,$A199)&gt;0,1,0))</f>
        <v/>
      </c>
      <c r="N199" s="16" t="str">
        <f>IF($A199&lt;Notes!$B$5,"",IF(COUNTIFS(Release_Calendar!$A$2:$A$755,"NZ_GDP",Release_Calendar!$B$2:$B$755,$A199)&gt;0,1,0))</f>
        <v/>
      </c>
      <c r="O199" s="16" t="str">
        <f>IF($A199&lt;Notes!$B$5,"",IF(COUNTIFS(Release_Calendar!$A$2:$A$755,"NZ_LABOUR",Release_Calendar!$B$2:$B$755,$A199)&gt;0,1,0))</f>
        <v/>
      </c>
      <c r="P199" s="16">
        <f t="shared" si="4"/>
        <v>0</v>
      </c>
    </row>
    <row r="200" ht="15.75" customHeight="1">
      <c r="A200" s="14">
        <v>36804.0</v>
      </c>
      <c r="B200" s="15">
        <v>6.02</v>
      </c>
      <c r="C200" s="15"/>
      <c r="D200" s="15">
        <v>6.76</v>
      </c>
      <c r="E200" s="15"/>
      <c r="F200" s="15" t="str">
        <f t="shared" si="1"/>
        <v/>
      </c>
      <c r="G200" s="15">
        <f t="shared" si="2"/>
        <v>6.76</v>
      </c>
      <c r="H200" s="16">
        <v>1.0</v>
      </c>
      <c r="I200" s="15">
        <f t="shared" si="3"/>
        <v>0.74</v>
      </c>
      <c r="J200" s="15">
        <v>21.03</v>
      </c>
      <c r="K200" s="16">
        <f>IF(COUNTIFS(Release_Calendar!$A$2:$A$755,"US_CPI",Release_Calendar!$B$2:$B$755,$A200)&gt;0,1,0)</f>
        <v>0</v>
      </c>
      <c r="L200" s="16">
        <f>IF(COUNTIFS(Release_Calendar!$A$2:$A$755,"US_NFP",Release_Calendar!$B$2:$B$755,$A200)&gt;0,1,0)</f>
        <v>0</v>
      </c>
      <c r="M200" s="16" t="str">
        <f>IF($A200&lt;Notes!$B$5,"",IF(COUNTIFS(Release_Calendar!$A$2:$A$755,"NZ_CPI",Release_Calendar!$B$2:$B$755,$A200)&gt;0,1,0))</f>
        <v/>
      </c>
      <c r="N200" s="16" t="str">
        <f>IF($A200&lt;Notes!$B$5,"",IF(COUNTIFS(Release_Calendar!$A$2:$A$755,"NZ_GDP",Release_Calendar!$B$2:$B$755,$A200)&gt;0,1,0))</f>
        <v/>
      </c>
      <c r="O200" s="16" t="str">
        <f>IF($A200&lt;Notes!$B$5,"",IF(COUNTIFS(Release_Calendar!$A$2:$A$755,"NZ_LABOUR",Release_Calendar!$B$2:$B$755,$A200)&gt;0,1,0))</f>
        <v/>
      </c>
      <c r="P200" s="16">
        <f t="shared" si="4"/>
        <v>0</v>
      </c>
    </row>
    <row r="201" ht="15.75" customHeight="1">
      <c r="A201" s="14">
        <v>36805.0</v>
      </c>
      <c r="B201" s="15">
        <v>5.98</v>
      </c>
      <c r="C201" s="15"/>
      <c r="D201" s="15">
        <v>6.76</v>
      </c>
      <c r="E201" s="15"/>
      <c r="F201" s="15" t="str">
        <f t="shared" si="1"/>
        <v/>
      </c>
      <c r="G201" s="15">
        <f t="shared" si="2"/>
        <v>6.76</v>
      </c>
      <c r="H201" s="16">
        <v>1.0</v>
      </c>
      <c r="I201" s="15">
        <f t="shared" si="3"/>
        <v>0.78</v>
      </c>
      <c r="J201" s="15">
        <v>22.71</v>
      </c>
      <c r="K201" s="16">
        <f>IF(COUNTIFS(Release_Calendar!$A$2:$A$755,"US_CPI",Release_Calendar!$B$2:$B$755,$A201)&gt;0,1,0)</f>
        <v>0</v>
      </c>
      <c r="L201" s="16">
        <f>IF(COUNTIFS(Release_Calendar!$A$2:$A$755,"US_NFP",Release_Calendar!$B$2:$B$755,$A201)&gt;0,1,0)</f>
        <v>1</v>
      </c>
      <c r="M201" s="16" t="str">
        <f>IF($A201&lt;Notes!$B$5,"",IF(COUNTIFS(Release_Calendar!$A$2:$A$755,"NZ_CPI",Release_Calendar!$B$2:$B$755,$A201)&gt;0,1,0))</f>
        <v/>
      </c>
      <c r="N201" s="16" t="str">
        <f>IF($A201&lt;Notes!$B$5,"",IF(COUNTIFS(Release_Calendar!$A$2:$A$755,"NZ_GDP",Release_Calendar!$B$2:$B$755,$A201)&gt;0,1,0))</f>
        <v/>
      </c>
      <c r="O201" s="16" t="str">
        <f>IF($A201&lt;Notes!$B$5,"",IF(COUNTIFS(Release_Calendar!$A$2:$A$755,"NZ_LABOUR",Release_Calendar!$B$2:$B$755,$A201)&gt;0,1,0))</f>
        <v/>
      </c>
      <c r="P201" s="16">
        <f t="shared" si="4"/>
        <v>1</v>
      </c>
    </row>
    <row r="202" ht="15.75" customHeight="1">
      <c r="A202" s="14">
        <v>36808.0</v>
      </c>
      <c r="B202" s="15"/>
      <c r="C202" s="15"/>
      <c r="D202" s="15">
        <v>6.72</v>
      </c>
      <c r="E202" s="15"/>
      <c r="F202" s="15" t="str">
        <f t="shared" si="1"/>
        <v/>
      </c>
      <c r="G202" s="15">
        <f t="shared" si="2"/>
        <v>6.72</v>
      </c>
      <c r="H202" s="16">
        <v>1.0</v>
      </c>
      <c r="I202" s="15" t="str">
        <f t="shared" si="3"/>
        <v/>
      </c>
      <c r="J202" s="15">
        <v>24.02</v>
      </c>
      <c r="K202" s="16">
        <f>IF(COUNTIFS(Release_Calendar!$A$2:$A$755,"US_CPI",Release_Calendar!$B$2:$B$755,$A202)&gt;0,1,0)</f>
        <v>0</v>
      </c>
      <c r="L202" s="16">
        <f>IF(COUNTIFS(Release_Calendar!$A$2:$A$755,"US_NFP",Release_Calendar!$B$2:$B$755,$A202)&gt;0,1,0)</f>
        <v>0</v>
      </c>
      <c r="M202" s="16" t="str">
        <f>IF($A202&lt;Notes!$B$5,"",IF(COUNTIFS(Release_Calendar!$A$2:$A$755,"NZ_CPI",Release_Calendar!$B$2:$B$755,$A202)&gt;0,1,0))</f>
        <v/>
      </c>
      <c r="N202" s="16" t="str">
        <f>IF($A202&lt;Notes!$B$5,"",IF(COUNTIFS(Release_Calendar!$A$2:$A$755,"NZ_GDP",Release_Calendar!$B$2:$B$755,$A202)&gt;0,1,0))</f>
        <v/>
      </c>
      <c r="O202" s="16" t="str">
        <f>IF($A202&lt;Notes!$B$5,"",IF(COUNTIFS(Release_Calendar!$A$2:$A$755,"NZ_LABOUR",Release_Calendar!$B$2:$B$755,$A202)&gt;0,1,0))</f>
        <v/>
      </c>
      <c r="P202" s="16">
        <f t="shared" si="4"/>
        <v>0</v>
      </c>
    </row>
    <row r="203" ht="15.75" customHeight="1">
      <c r="A203" s="14">
        <v>36809.0</v>
      </c>
      <c r="B203" s="15">
        <v>5.98</v>
      </c>
      <c r="C203" s="15"/>
      <c r="D203" s="15">
        <v>6.7</v>
      </c>
      <c r="E203" s="15"/>
      <c r="F203" s="15" t="str">
        <f t="shared" si="1"/>
        <v/>
      </c>
      <c r="G203" s="15">
        <f t="shared" si="2"/>
        <v>6.7</v>
      </c>
      <c r="H203" s="16">
        <v>1.0</v>
      </c>
      <c r="I203" s="15">
        <f t="shared" si="3"/>
        <v>0.72</v>
      </c>
      <c r="J203" s="15">
        <v>24.86</v>
      </c>
      <c r="K203" s="16">
        <f>IF(COUNTIFS(Release_Calendar!$A$2:$A$755,"US_CPI",Release_Calendar!$B$2:$B$755,$A203)&gt;0,1,0)</f>
        <v>0</v>
      </c>
      <c r="L203" s="16">
        <f>IF(COUNTIFS(Release_Calendar!$A$2:$A$755,"US_NFP",Release_Calendar!$B$2:$B$755,$A203)&gt;0,1,0)</f>
        <v>0</v>
      </c>
      <c r="M203" s="16" t="str">
        <f>IF($A203&lt;Notes!$B$5,"",IF(COUNTIFS(Release_Calendar!$A$2:$A$755,"NZ_CPI",Release_Calendar!$B$2:$B$755,$A203)&gt;0,1,0))</f>
        <v/>
      </c>
      <c r="N203" s="16" t="str">
        <f>IF($A203&lt;Notes!$B$5,"",IF(COUNTIFS(Release_Calendar!$A$2:$A$755,"NZ_GDP",Release_Calendar!$B$2:$B$755,$A203)&gt;0,1,0))</f>
        <v/>
      </c>
      <c r="O203" s="16" t="str">
        <f>IF($A203&lt;Notes!$B$5,"",IF(COUNTIFS(Release_Calendar!$A$2:$A$755,"NZ_LABOUR",Release_Calendar!$B$2:$B$755,$A203)&gt;0,1,0))</f>
        <v/>
      </c>
      <c r="P203" s="16">
        <f t="shared" si="4"/>
        <v>0</v>
      </c>
    </row>
    <row r="204" ht="15.75" customHeight="1">
      <c r="A204" s="14">
        <v>36810.0</v>
      </c>
      <c r="B204" s="15">
        <v>5.93</v>
      </c>
      <c r="C204" s="15"/>
      <c r="D204" s="15">
        <v>6.72</v>
      </c>
      <c r="E204" s="15"/>
      <c r="F204" s="15" t="str">
        <f t="shared" si="1"/>
        <v/>
      </c>
      <c r="G204" s="15">
        <f t="shared" si="2"/>
        <v>6.72</v>
      </c>
      <c r="H204" s="16">
        <v>1.0</v>
      </c>
      <c r="I204" s="15">
        <f t="shared" si="3"/>
        <v>0.79</v>
      </c>
      <c r="J204" s="15">
        <v>26.57</v>
      </c>
      <c r="K204" s="16">
        <f>IF(COUNTIFS(Release_Calendar!$A$2:$A$755,"US_CPI",Release_Calendar!$B$2:$B$755,$A204)&gt;0,1,0)</f>
        <v>0</v>
      </c>
      <c r="L204" s="16">
        <f>IF(COUNTIFS(Release_Calendar!$A$2:$A$755,"US_NFP",Release_Calendar!$B$2:$B$755,$A204)&gt;0,1,0)</f>
        <v>0</v>
      </c>
      <c r="M204" s="16" t="str">
        <f>IF($A204&lt;Notes!$B$5,"",IF(COUNTIFS(Release_Calendar!$A$2:$A$755,"NZ_CPI",Release_Calendar!$B$2:$B$755,$A204)&gt;0,1,0))</f>
        <v/>
      </c>
      <c r="N204" s="16" t="str">
        <f>IF($A204&lt;Notes!$B$5,"",IF(COUNTIFS(Release_Calendar!$A$2:$A$755,"NZ_GDP",Release_Calendar!$B$2:$B$755,$A204)&gt;0,1,0))</f>
        <v/>
      </c>
      <c r="O204" s="16" t="str">
        <f>IF($A204&lt;Notes!$B$5,"",IF(COUNTIFS(Release_Calendar!$A$2:$A$755,"NZ_LABOUR",Release_Calendar!$B$2:$B$755,$A204)&gt;0,1,0))</f>
        <v/>
      </c>
      <c r="P204" s="16">
        <f t="shared" si="4"/>
        <v>0</v>
      </c>
    </row>
    <row r="205" ht="15.75" customHeight="1">
      <c r="A205" s="14">
        <v>36811.0</v>
      </c>
      <c r="B205" s="15">
        <v>5.86</v>
      </c>
      <c r="C205" s="15"/>
      <c r="D205" s="15">
        <v>6.73</v>
      </c>
      <c r="E205" s="15"/>
      <c r="F205" s="15" t="str">
        <f t="shared" si="1"/>
        <v/>
      </c>
      <c r="G205" s="15">
        <f t="shared" si="2"/>
        <v>6.73</v>
      </c>
      <c r="H205" s="16">
        <v>1.0</v>
      </c>
      <c r="I205" s="15">
        <f t="shared" si="3"/>
        <v>0.87</v>
      </c>
      <c r="J205" s="15">
        <v>30.51</v>
      </c>
      <c r="K205" s="16">
        <f>IF(COUNTIFS(Release_Calendar!$A$2:$A$755,"US_CPI",Release_Calendar!$B$2:$B$755,$A205)&gt;0,1,0)</f>
        <v>0</v>
      </c>
      <c r="L205" s="16">
        <f>IF(COUNTIFS(Release_Calendar!$A$2:$A$755,"US_NFP",Release_Calendar!$B$2:$B$755,$A205)&gt;0,1,0)</f>
        <v>0</v>
      </c>
      <c r="M205" s="16" t="str">
        <f>IF($A205&lt;Notes!$B$5,"",IF(COUNTIFS(Release_Calendar!$A$2:$A$755,"NZ_CPI",Release_Calendar!$B$2:$B$755,$A205)&gt;0,1,0))</f>
        <v/>
      </c>
      <c r="N205" s="16" t="str">
        <f>IF($A205&lt;Notes!$B$5,"",IF(COUNTIFS(Release_Calendar!$A$2:$A$755,"NZ_GDP",Release_Calendar!$B$2:$B$755,$A205)&gt;0,1,0))</f>
        <v/>
      </c>
      <c r="O205" s="16" t="str">
        <f>IF($A205&lt;Notes!$B$5,"",IF(COUNTIFS(Release_Calendar!$A$2:$A$755,"NZ_LABOUR",Release_Calendar!$B$2:$B$755,$A205)&gt;0,1,0))</f>
        <v/>
      </c>
      <c r="P205" s="16">
        <f t="shared" si="4"/>
        <v>0</v>
      </c>
    </row>
    <row r="206" ht="15.75" customHeight="1">
      <c r="A206" s="14">
        <v>36812.0</v>
      </c>
      <c r="B206" s="15">
        <v>5.84</v>
      </c>
      <c r="C206" s="15"/>
      <c r="D206" s="15">
        <v>6.71</v>
      </c>
      <c r="E206" s="15"/>
      <c r="F206" s="15" t="str">
        <f t="shared" si="1"/>
        <v/>
      </c>
      <c r="G206" s="15">
        <f t="shared" si="2"/>
        <v>6.71</v>
      </c>
      <c r="H206" s="16">
        <v>1.0</v>
      </c>
      <c r="I206" s="15">
        <f t="shared" si="3"/>
        <v>0.87</v>
      </c>
      <c r="J206" s="15">
        <v>27.6</v>
      </c>
      <c r="K206" s="16">
        <f>IF(COUNTIFS(Release_Calendar!$A$2:$A$755,"US_CPI",Release_Calendar!$B$2:$B$755,$A206)&gt;0,1,0)</f>
        <v>0</v>
      </c>
      <c r="L206" s="16">
        <f>IF(COUNTIFS(Release_Calendar!$A$2:$A$755,"US_NFP",Release_Calendar!$B$2:$B$755,$A206)&gt;0,1,0)</f>
        <v>0</v>
      </c>
      <c r="M206" s="16" t="str">
        <f>IF($A206&lt;Notes!$B$5,"",IF(COUNTIFS(Release_Calendar!$A$2:$A$755,"NZ_CPI",Release_Calendar!$B$2:$B$755,$A206)&gt;0,1,0))</f>
        <v/>
      </c>
      <c r="N206" s="16" t="str">
        <f>IF($A206&lt;Notes!$B$5,"",IF(COUNTIFS(Release_Calendar!$A$2:$A$755,"NZ_GDP",Release_Calendar!$B$2:$B$755,$A206)&gt;0,1,0))</f>
        <v/>
      </c>
      <c r="O206" s="16" t="str">
        <f>IF($A206&lt;Notes!$B$5,"",IF(COUNTIFS(Release_Calendar!$A$2:$A$755,"NZ_LABOUR",Release_Calendar!$B$2:$B$755,$A206)&gt;0,1,0))</f>
        <v/>
      </c>
      <c r="P206" s="16">
        <f t="shared" si="4"/>
        <v>0</v>
      </c>
    </row>
    <row r="207" ht="15.75" customHeight="1">
      <c r="A207" s="14">
        <v>36815.0</v>
      </c>
      <c r="B207" s="15">
        <v>5.89</v>
      </c>
      <c r="C207" s="15"/>
      <c r="D207" s="15">
        <v>6.74</v>
      </c>
      <c r="E207" s="15"/>
      <c r="F207" s="15" t="str">
        <f t="shared" si="1"/>
        <v/>
      </c>
      <c r="G207" s="15">
        <f t="shared" si="2"/>
        <v>6.74</v>
      </c>
      <c r="H207" s="16">
        <v>1.0</v>
      </c>
      <c r="I207" s="15">
        <f t="shared" si="3"/>
        <v>0.85</v>
      </c>
      <c r="J207" s="15">
        <v>26.79</v>
      </c>
      <c r="K207" s="16">
        <f>IF(COUNTIFS(Release_Calendar!$A$2:$A$755,"US_CPI",Release_Calendar!$B$2:$B$755,$A207)&gt;0,1,0)</f>
        <v>0</v>
      </c>
      <c r="L207" s="16">
        <f>IF(COUNTIFS(Release_Calendar!$A$2:$A$755,"US_NFP",Release_Calendar!$B$2:$B$755,$A207)&gt;0,1,0)</f>
        <v>0</v>
      </c>
      <c r="M207" s="16" t="str">
        <f>IF($A207&lt;Notes!$B$5,"",IF(COUNTIFS(Release_Calendar!$A$2:$A$755,"NZ_CPI",Release_Calendar!$B$2:$B$755,$A207)&gt;0,1,0))</f>
        <v/>
      </c>
      <c r="N207" s="16" t="str">
        <f>IF($A207&lt;Notes!$B$5,"",IF(COUNTIFS(Release_Calendar!$A$2:$A$755,"NZ_GDP",Release_Calendar!$B$2:$B$755,$A207)&gt;0,1,0))</f>
        <v/>
      </c>
      <c r="O207" s="16" t="str">
        <f>IF($A207&lt;Notes!$B$5,"",IF(COUNTIFS(Release_Calendar!$A$2:$A$755,"NZ_LABOUR",Release_Calendar!$B$2:$B$755,$A207)&gt;0,1,0))</f>
        <v/>
      </c>
      <c r="P207" s="16">
        <f t="shared" si="4"/>
        <v>0</v>
      </c>
    </row>
    <row r="208" ht="15.75" customHeight="1">
      <c r="A208" s="14">
        <v>36816.0</v>
      </c>
      <c r="B208" s="15">
        <v>5.83</v>
      </c>
      <c r="C208" s="15"/>
      <c r="D208" s="15">
        <v>6.74</v>
      </c>
      <c r="E208" s="15"/>
      <c r="F208" s="15" t="str">
        <f t="shared" si="1"/>
        <v/>
      </c>
      <c r="G208" s="15">
        <f t="shared" si="2"/>
        <v>6.74</v>
      </c>
      <c r="H208" s="16">
        <v>1.0</v>
      </c>
      <c r="I208" s="15">
        <f t="shared" si="3"/>
        <v>0.91</v>
      </c>
      <c r="J208" s="15">
        <v>27.84</v>
      </c>
      <c r="K208" s="16">
        <f>IF(COUNTIFS(Release_Calendar!$A$2:$A$755,"US_CPI",Release_Calendar!$B$2:$B$755,$A208)&gt;0,1,0)</f>
        <v>0</v>
      </c>
      <c r="L208" s="16">
        <f>IF(COUNTIFS(Release_Calendar!$A$2:$A$755,"US_NFP",Release_Calendar!$B$2:$B$755,$A208)&gt;0,1,0)</f>
        <v>0</v>
      </c>
      <c r="M208" s="16" t="str">
        <f>IF($A208&lt;Notes!$B$5,"",IF(COUNTIFS(Release_Calendar!$A$2:$A$755,"NZ_CPI",Release_Calendar!$B$2:$B$755,$A208)&gt;0,1,0))</f>
        <v/>
      </c>
      <c r="N208" s="16" t="str">
        <f>IF($A208&lt;Notes!$B$5,"",IF(COUNTIFS(Release_Calendar!$A$2:$A$755,"NZ_GDP",Release_Calendar!$B$2:$B$755,$A208)&gt;0,1,0))</f>
        <v/>
      </c>
      <c r="O208" s="16" t="str">
        <f>IF($A208&lt;Notes!$B$5,"",IF(COUNTIFS(Release_Calendar!$A$2:$A$755,"NZ_LABOUR",Release_Calendar!$B$2:$B$755,$A208)&gt;0,1,0))</f>
        <v/>
      </c>
      <c r="P208" s="16">
        <f t="shared" si="4"/>
        <v>0</v>
      </c>
    </row>
    <row r="209" ht="15.75" customHeight="1">
      <c r="A209" s="14">
        <v>36817.0</v>
      </c>
      <c r="B209" s="15">
        <v>5.82</v>
      </c>
      <c r="C209" s="15"/>
      <c r="D209" s="15">
        <v>6.72</v>
      </c>
      <c r="E209" s="15"/>
      <c r="F209" s="15" t="str">
        <f t="shared" si="1"/>
        <v/>
      </c>
      <c r="G209" s="15">
        <f t="shared" si="2"/>
        <v>6.72</v>
      </c>
      <c r="H209" s="16">
        <v>1.0</v>
      </c>
      <c r="I209" s="15">
        <f t="shared" si="3"/>
        <v>0.9</v>
      </c>
      <c r="J209" s="15">
        <v>28.72</v>
      </c>
      <c r="K209" s="16">
        <f>IF(COUNTIFS(Release_Calendar!$A$2:$A$755,"US_CPI",Release_Calendar!$B$2:$B$755,$A209)&gt;0,1,0)</f>
        <v>1</v>
      </c>
      <c r="L209" s="16">
        <f>IF(COUNTIFS(Release_Calendar!$A$2:$A$755,"US_NFP",Release_Calendar!$B$2:$B$755,$A209)&gt;0,1,0)</f>
        <v>0</v>
      </c>
      <c r="M209" s="16" t="str">
        <f>IF($A209&lt;Notes!$B$5,"",IF(COUNTIFS(Release_Calendar!$A$2:$A$755,"NZ_CPI",Release_Calendar!$B$2:$B$755,$A209)&gt;0,1,0))</f>
        <v/>
      </c>
      <c r="N209" s="16" t="str">
        <f>IF($A209&lt;Notes!$B$5,"",IF(COUNTIFS(Release_Calendar!$A$2:$A$755,"NZ_GDP",Release_Calendar!$B$2:$B$755,$A209)&gt;0,1,0))</f>
        <v/>
      </c>
      <c r="O209" s="16" t="str">
        <f>IF($A209&lt;Notes!$B$5,"",IF(COUNTIFS(Release_Calendar!$A$2:$A$755,"NZ_LABOUR",Release_Calendar!$B$2:$B$755,$A209)&gt;0,1,0))</f>
        <v/>
      </c>
      <c r="P209" s="16">
        <f t="shared" si="4"/>
        <v>1</v>
      </c>
    </row>
    <row r="210" ht="15.75" customHeight="1">
      <c r="A210" s="14">
        <v>36818.0</v>
      </c>
      <c r="B210" s="15">
        <v>5.86</v>
      </c>
      <c r="C210" s="15"/>
      <c r="D210" s="15">
        <v>6.71</v>
      </c>
      <c r="E210" s="15"/>
      <c r="F210" s="15" t="str">
        <f t="shared" si="1"/>
        <v/>
      </c>
      <c r="G210" s="15">
        <f t="shared" si="2"/>
        <v>6.71</v>
      </c>
      <c r="H210" s="16">
        <v>1.0</v>
      </c>
      <c r="I210" s="15">
        <f t="shared" si="3"/>
        <v>0.85</v>
      </c>
      <c r="J210" s="15">
        <v>25.09</v>
      </c>
      <c r="K210" s="16">
        <f>IF(COUNTIFS(Release_Calendar!$A$2:$A$755,"US_CPI",Release_Calendar!$B$2:$B$755,$A210)&gt;0,1,0)</f>
        <v>0</v>
      </c>
      <c r="L210" s="16">
        <f>IF(COUNTIFS(Release_Calendar!$A$2:$A$755,"US_NFP",Release_Calendar!$B$2:$B$755,$A210)&gt;0,1,0)</f>
        <v>0</v>
      </c>
      <c r="M210" s="16" t="str">
        <f>IF($A210&lt;Notes!$B$5,"",IF(COUNTIFS(Release_Calendar!$A$2:$A$755,"NZ_CPI",Release_Calendar!$B$2:$B$755,$A210)&gt;0,1,0))</f>
        <v/>
      </c>
      <c r="N210" s="16" t="str">
        <f>IF($A210&lt;Notes!$B$5,"",IF(COUNTIFS(Release_Calendar!$A$2:$A$755,"NZ_GDP",Release_Calendar!$B$2:$B$755,$A210)&gt;0,1,0))</f>
        <v/>
      </c>
      <c r="O210" s="16" t="str">
        <f>IF($A210&lt;Notes!$B$5,"",IF(COUNTIFS(Release_Calendar!$A$2:$A$755,"NZ_LABOUR",Release_Calendar!$B$2:$B$755,$A210)&gt;0,1,0))</f>
        <v/>
      </c>
      <c r="P210" s="16">
        <f t="shared" si="4"/>
        <v>0</v>
      </c>
    </row>
    <row r="211" ht="15.75" customHeight="1">
      <c r="A211" s="14">
        <v>36819.0</v>
      </c>
      <c r="B211" s="15">
        <v>5.84</v>
      </c>
      <c r="C211" s="15"/>
      <c r="D211" s="15">
        <v>6.7</v>
      </c>
      <c r="E211" s="15"/>
      <c r="F211" s="15" t="str">
        <f t="shared" si="1"/>
        <v/>
      </c>
      <c r="G211" s="15">
        <f t="shared" si="2"/>
        <v>6.7</v>
      </c>
      <c r="H211" s="16">
        <v>1.0</v>
      </c>
      <c r="I211" s="15">
        <f t="shared" si="3"/>
        <v>0.86</v>
      </c>
      <c r="J211" s="15">
        <v>24.24</v>
      </c>
      <c r="K211" s="16">
        <f>IF(COUNTIFS(Release_Calendar!$A$2:$A$755,"US_CPI",Release_Calendar!$B$2:$B$755,$A211)&gt;0,1,0)</f>
        <v>0</v>
      </c>
      <c r="L211" s="16">
        <f>IF(COUNTIFS(Release_Calendar!$A$2:$A$755,"US_NFP",Release_Calendar!$B$2:$B$755,$A211)&gt;0,1,0)</f>
        <v>0</v>
      </c>
      <c r="M211" s="16" t="str">
        <f>IF($A211&lt;Notes!$B$5,"",IF(COUNTIFS(Release_Calendar!$A$2:$A$755,"NZ_CPI",Release_Calendar!$B$2:$B$755,$A211)&gt;0,1,0))</f>
        <v/>
      </c>
      <c r="N211" s="16" t="str">
        <f>IF($A211&lt;Notes!$B$5,"",IF(COUNTIFS(Release_Calendar!$A$2:$A$755,"NZ_GDP",Release_Calendar!$B$2:$B$755,$A211)&gt;0,1,0))</f>
        <v/>
      </c>
      <c r="O211" s="16" t="str">
        <f>IF($A211&lt;Notes!$B$5,"",IF(COUNTIFS(Release_Calendar!$A$2:$A$755,"NZ_LABOUR",Release_Calendar!$B$2:$B$755,$A211)&gt;0,1,0))</f>
        <v/>
      </c>
      <c r="P211" s="16">
        <f t="shared" si="4"/>
        <v>0</v>
      </c>
    </row>
    <row r="212" ht="15.75" customHeight="1">
      <c r="A212" s="14">
        <v>36822.0</v>
      </c>
      <c r="B212" s="15">
        <v>5.82</v>
      </c>
      <c r="C212" s="15"/>
      <c r="D212" s="15"/>
      <c r="E212" s="15"/>
      <c r="F212" s="15" t="str">
        <f t="shared" si="1"/>
        <v/>
      </c>
      <c r="G212" s="15" t="str">
        <f t="shared" si="2"/>
        <v/>
      </c>
      <c r="H212" s="16">
        <v>1.0</v>
      </c>
      <c r="I212" s="15" t="str">
        <f t="shared" si="3"/>
        <v/>
      </c>
      <c r="J212" s="15">
        <v>24.69</v>
      </c>
      <c r="K212" s="16">
        <f>IF(COUNTIFS(Release_Calendar!$A$2:$A$755,"US_CPI",Release_Calendar!$B$2:$B$755,$A212)&gt;0,1,0)</f>
        <v>0</v>
      </c>
      <c r="L212" s="16">
        <f>IF(COUNTIFS(Release_Calendar!$A$2:$A$755,"US_NFP",Release_Calendar!$B$2:$B$755,$A212)&gt;0,1,0)</f>
        <v>0</v>
      </c>
      <c r="M212" s="16" t="str">
        <f>IF($A212&lt;Notes!$B$5,"",IF(COUNTIFS(Release_Calendar!$A$2:$A$755,"NZ_CPI",Release_Calendar!$B$2:$B$755,$A212)&gt;0,1,0))</f>
        <v/>
      </c>
      <c r="N212" s="16" t="str">
        <f>IF($A212&lt;Notes!$B$5,"",IF(COUNTIFS(Release_Calendar!$A$2:$A$755,"NZ_GDP",Release_Calendar!$B$2:$B$755,$A212)&gt;0,1,0))</f>
        <v/>
      </c>
      <c r="O212" s="16" t="str">
        <f>IF($A212&lt;Notes!$B$5,"",IF(COUNTIFS(Release_Calendar!$A$2:$A$755,"NZ_LABOUR",Release_Calendar!$B$2:$B$755,$A212)&gt;0,1,0))</f>
        <v/>
      </c>
      <c r="P212" s="16">
        <f t="shared" si="4"/>
        <v>0</v>
      </c>
    </row>
    <row r="213" ht="15.75" customHeight="1">
      <c r="A213" s="14">
        <v>36823.0</v>
      </c>
      <c r="B213" s="15">
        <v>5.86</v>
      </c>
      <c r="C213" s="15"/>
      <c r="D213" s="15">
        <v>6.6</v>
      </c>
      <c r="E213" s="15"/>
      <c r="F213" s="15" t="str">
        <f t="shared" si="1"/>
        <v/>
      </c>
      <c r="G213" s="15">
        <f t="shared" si="2"/>
        <v>6.6</v>
      </c>
      <c r="H213" s="16">
        <v>1.0</v>
      </c>
      <c r="I213" s="15">
        <f t="shared" si="3"/>
        <v>0.74</v>
      </c>
      <c r="J213" s="15">
        <v>24.28</v>
      </c>
      <c r="K213" s="16">
        <f>IF(COUNTIFS(Release_Calendar!$A$2:$A$755,"US_CPI",Release_Calendar!$B$2:$B$755,$A213)&gt;0,1,0)</f>
        <v>0</v>
      </c>
      <c r="L213" s="16">
        <f>IF(COUNTIFS(Release_Calendar!$A$2:$A$755,"US_NFP",Release_Calendar!$B$2:$B$755,$A213)&gt;0,1,0)</f>
        <v>0</v>
      </c>
      <c r="M213" s="16" t="str">
        <f>IF($A213&lt;Notes!$B$5,"",IF(COUNTIFS(Release_Calendar!$A$2:$A$755,"NZ_CPI",Release_Calendar!$B$2:$B$755,$A213)&gt;0,1,0))</f>
        <v/>
      </c>
      <c r="N213" s="16" t="str">
        <f>IF($A213&lt;Notes!$B$5,"",IF(COUNTIFS(Release_Calendar!$A$2:$A$755,"NZ_GDP",Release_Calendar!$B$2:$B$755,$A213)&gt;0,1,0))</f>
        <v/>
      </c>
      <c r="O213" s="16" t="str">
        <f>IF($A213&lt;Notes!$B$5,"",IF(COUNTIFS(Release_Calendar!$A$2:$A$755,"NZ_LABOUR",Release_Calendar!$B$2:$B$755,$A213)&gt;0,1,0))</f>
        <v/>
      </c>
      <c r="P213" s="16">
        <f t="shared" si="4"/>
        <v>0</v>
      </c>
    </row>
    <row r="214" ht="15.75" customHeight="1">
      <c r="A214" s="14">
        <v>36824.0</v>
      </c>
      <c r="B214" s="15">
        <v>5.87</v>
      </c>
      <c r="C214" s="15"/>
      <c r="D214" s="15">
        <v>6.59</v>
      </c>
      <c r="E214" s="15"/>
      <c r="F214" s="15" t="str">
        <f t="shared" si="1"/>
        <v/>
      </c>
      <c r="G214" s="15">
        <f t="shared" si="2"/>
        <v>6.59</v>
      </c>
      <c r="H214" s="16">
        <v>1.0</v>
      </c>
      <c r="I214" s="15">
        <f t="shared" si="3"/>
        <v>0.72</v>
      </c>
      <c r="J214" s="15">
        <v>26.65</v>
      </c>
      <c r="K214" s="16">
        <f>IF(COUNTIFS(Release_Calendar!$A$2:$A$755,"US_CPI",Release_Calendar!$B$2:$B$755,$A214)&gt;0,1,0)</f>
        <v>0</v>
      </c>
      <c r="L214" s="16">
        <f>IF(COUNTIFS(Release_Calendar!$A$2:$A$755,"US_NFP",Release_Calendar!$B$2:$B$755,$A214)&gt;0,1,0)</f>
        <v>0</v>
      </c>
      <c r="M214" s="16" t="str">
        <f>IF($A214&lt;Notes!$B$5,"",IF(COUNTIFS(Release_Calendar!$A$2:$A$755,"NZ_CPI",Release_Calendar!$B$2:$B$755,$A214)&gt;0,1,0))</f>
        <v/>
      </c>
      <c r="N214" s="16" t="str">
        <f>IF($A214&lt;Notes!$B$5,"",IF(COUNTIFS(Release_Calendar!$A$2:$A$755,"NZ_GDP",Release_Calendar!$B$2:$B$755,$A214)&gt;0,1,0))</f>
        <v/>
      </c>
      <c r="O214" s="16" t="str">
        <f>IF($A214&lt;Notes!$B$5,"",IF(COUNTIFS(Release_Calendar!$A$2:$A$755,"NZ_LABOUR",Release_Calendar!$B$2:$B$755,$A214)&gt;0,1,0))</f>
        <v/>
      </c>
      <c r="P214" s="16">
        <f t="shared" si="4"/>
        <v>0</v>
      </c>
    </row>
    <row r="215" ht="15.75" customHeight="1">
      <c r="A215" s="14">
        <v>36825.0</v>
      </c>
      <c r="B215" s="15">
        <v>5.9</v>
      </c>
      <c r="C215" s="15"/>
      <c r="D215" s="15">
        <v>6.59</v>
      </c>
      <c r="E215" s="15"/>
      <c r="F215" s="15" t="str">
        <f t="shared" si="1"/>
        <v/>
      </c>
      <c r="G215" s="15">
        <f t="shared" si="2"/>
        <v>6.59</v>
      </c>
      <c r="H215" s="16">
        <v>1.0</v>
      </c>
      <c r="I215" s="15">
        <f t="shared" si="3"/>
        <v>0.69</v>
      </c>
      <c r="J215" s="15">
        <v>28.62</v>
      </c>
      <c r="K215" s="16">
        <f>IF(COUNTIFS(Release_Calendar!$A$2:$A$755,"US_CPI",Release_Calendar!$B$2:$B$755,$A215)&gt;0,1,0)</f>
        <v>0</v>
      </c>
      <c r="L215" s="16">
        <f>IF(COUNTIFS(Release_Calendar!$A$2:$A$755,"US_NFP",Release_Calendar!$B$2:$B$755,$A215)&gt;0,1,0)</f>
        <v>0</v>
      </c>
      <c r="M215" s="16" t="str">
        <f>IF($A215&lt;Notes!$B$5,"",IF(COUNTIFS(Release_Calendar!$A$2:$A$755,"NZ_CPI",Release_Calendar!$B$2:$B$755,$A215)&gt;0,1,0))</f>
        <v/>
      </c>
      <c r="N215" s="16" t="str">
        <f>IF($A215&lt;Notes!$B$5,"",IF(COUNTIFS(Release_Calendar!$A$2:$A$755,"NZ_GDP",Release_Calendar!$B$2:$B$755,$A215)&gt;0,1,0))</f>
        <v/>
      </c>
      <c r="O215" s="16" t="str">
        <f>IF($A215&lt;Notes!$B$5,"",IF(COUNTIFS(Release_Calendar!$A$2:$A$755,"NZ_LABOUR",Release_Calendar!$B$2:$B$755,$A215)&gt;0,1,0))</f>
        <v/>
      </c>
      <c r="P215" s="16">
        <f t="shared" si="4"/>
        <v>0</v>
      </c>
    </row>
    <row r="216" ht="15.75" customHeight="1">
      <c r="A216" s="14">
        <v>36826.0</v>
      </c>
      <c r="B216" s="15">
        <v>5.94</v>
      </c>
      <c r="C216" s="15"/>
      <c r="D216" s="15">
        <v>6.59</v>
      </c>
      <c r="E216" s="15"/>
      <c r="F216" s="15" t="str">
        <f t="shared" si="1"/>
        <v/>
      </c>
      <c r="G216" s="15">
        <f t="shared" si="2"/>
        <v>6.59</v>
      </c>
      <c r="H216" s="16">
        <v>1.0</v>
      </c>
      <c r="I216" s="15">
        <f t="shared" si="3"/>
        <v>0.65</v>
      </c>
      <c r="J216" s="15">
        <v>26.47</v>
      </c>
      <c r="K216" s="16">
        <f>IF(COUNTIFS(Release_Calendar!$A$2:$A$755,"US_CPI",Release_Calendar!$B$2:$B$755,$A216)&gt;0,1,0)</f>
        <v>0</v>
      </c>
      <c r="L216" s="16">
        <f>IF(COUNTIFS(Release_Calendar!$A$2:$A$755,"US_NFP",Release_Calendar!$B$2:$B$755,$A216)&gt;0,1,0)</f>
        <v>0</v>
      </c>
      <c r="M216" s="16" t="str">
        <f>IF($A216&lt;Notes!$B$5,"",IF(COUNTIFS(Release_Calendar!$A$2:$A$755,"NZ_CPI",Release_Calendar!$B$2:$B$755,$A216)&gt;0,1,0))</f>
        <v/>
      </c>
      <c r="N216" s="16" t="str">
        <f>IF($A216&lt;Notes!$B$5,"",IF(COUNTIFS(Release_Calendar!$A$2:$A$755,"NZ_GDP",Release_Calendar!$B$2:$B$755,$A216)&gt;0,1,0))</f>
        <v/>
      </c>
      <c r="O216" s="16" t="str">
        <f>IF($A216&lt;Notes!$B$5,"",IF(COUNTIFS(Release_Calendar!$A$2:$A$755,"NZ_LABOUR",Release_Calendar!$B$2:$B$755,$A216)&gt;0,1,0))</f>
        <v/>
      </c>
      <c r="P216" s="16">
        <f t="shared" si="4"/>
        <v>0</v>
      </c>
    </row>
    <row r="217" ht="15.75" customHeight="1">
      <c r="A217" s="14">
        <v>36829.0</v>
      </c>
      <c r="B217" s="15">
        <v>5.97</v>
      </c>
      <c r="C217" s="15"/>
      <c r="D217" s="15">
        <v>6.6</v>
      </c>
      <c r="E217" s="15"/>
      <c r="F217" s="15" t="str">
        <f t="shared" si="1"/>
        <v/>
      </c>
      <c r="G217" s="15">
        <f t="shared" si="2"/>
        <v>6.6</v>
      </c>
      <c r="H217" s="16">
        <v>1.0</v>
      </c>
      <c r="I217" s="15">
        <f t="shared" si="3"/>
        <v>0.63</v>
      </c>
      <c r="J217" s="15">
        <v>25.46</v>
      </c>
      <c r="K217" s="16">
        <f>IF(COUNTIFS(Release_Calendar!$A$2:$A$755,"US_CPI",Release_Calendar!$B$2:$B$755,$A217)&gt;0,1,0)</f>
        <v>0</v>
      </c>
      <c r="L217" s="16">
        <f>IF(COUNTIFS(Release_Calendar!$A$2:$A$755,"US_NFP",Release_Calendar!$B$2:$B$755,$A217)&gt;0,1,0)</f>
        <v>0</v>
      </c>
      <c r="M217" s="16" t="str">
        <f>IF($A217&lt;Notes!$B$5,"",IF(COUNTIFS(Release_Calendar!$A$2:$A$755,"NZ_CPI",Release_Calendar!$B$2:$B$755,$A217)&gt;0,1,0))</f>
        <v/>
      </c>
      <c r="N217" s="16" t="str">
        <f>IF($A217&lt;Notes!$B$5,"",IF(COUNTIFS(Release_Calendar!$A$2:$A$755,"NZ_GDP",Release_Calendar!$B$2:$B$755,$A217)&gt;0,1,0))</f>
        <v/>
      </c>
      <c r="O217" s="16" t="str">
        <f>IF($A217&lt;Notes!$B$5,"",IF(COUNTIFS(Release_Calendar!$A$2:$A$755,"NZ_LABOUR",Release_Calendar!$B$2:$B$755,$A217)&gt;0,1,0))</f>
        <v/>
      </c>
      <c r="P217" s="16">
        <f t="shared" si="4"/>
        <v>0</v>
      </c>
    </row>
    <row r="218" ht="15.75" customHeight="1">
      <c r="A218" s="14">
        <v>36830.0</v>
      </c>
      <c r="B218" s="15">
        <v>5.94</v>
      </c>
      <c r="C218" s="15"/>
      <c r="D218" s="15">
        <v>6.6</v>
      </c>
      <c r="E218" s="15"/>
      <c r="F218" s="15" t="str">
        <f t="shared" si="1"/>
        <v/>
      </c>
      <c r="G218" s="15">
        <f t="shared" si="2"/>
        <v>6.6</v>
      </c>
      <c r="H218" s="16">
        <v>1.0</v>
      </c>
      <c r="I218" s="15">
        <f t="shared" si="3"/>
        <v>0.66</v>
      </c>
      <c r="J218" s="15">
        <v>23.63</v>
      </c>
      <c r="K218" s="16">
        <f>IF(COUNTIFS(Release_Calendar!$A$2:$A$755,"US_CPI",Release_Calendar!$B$2:$B$755,$A218)&gt;0,1,0)</f>
        <v>0</v>
      </c>
      <c r="L218" s="16">
        <f>IF(COUNTIFS(Release_Calendar!$A$2:$A$755,"US_NFP",Release_Calendar!$B$2:$B$755,$A218)&gt;0,1,0)</f>
        <v>0</v>
      </c>
      <c r="M218" s="16" t="str">
        <f>IF($A218&lt;Notes!$B$5,"",IF(COUNTIFS(Release_Calendar!$A$2:$A$755,"NZ_CPI",Release_Calendar!$B$2:$B$755,$A218)&gt;0,1,0))</f>
        <v/>
      </c>
      <c r="N218" s="16" t="str">
        <f>IF($A218&lt;Notes!$B$5,"",IF(COUNTIFS(Release_Calendar!$A$2:$A$755,"NZ_GDP",Release_Calendar!$B$2:$B$755,$A218)&gt;0,1,0))</f>
        <v/>
      </c>
      <c r="O218" s="16" t="str">
        <f>IF($A218&lt;Notes!$B$5,"",IF(COUNTIFS(Release_Calendar!$A$2:$A$755,"NZ_LABOUR",Release_Calendar!$B$2:$B$755,$A218)&gt;0,1,0))</f>
        <v/>
      </c>
      <c r="P218" s="16">
        <f t="shared" si="4"/>
        <v>0</v>
      </c>
    </row>
    <row r="219" ht="15.75" customHeight="1">
      <c r="A219" s="14">
        <v>36831.0</v>
      </c>
      <c r="B219" s="15">
        <v>5.88</v>
      </c>
      <c r="C219" s="15"/>
      <c r="D219" s="15">
        <v>6.6</v>
      </c>
      <c r="E219" s="15"/>
      <c r="F219" s="15" t="str">
        <f t="shared" si="1"/>
        <v/>
      </c>
      <c r="G219" s="15">
        <f t="shared" si="2"/>
        <v>6.6</v>
      </c>
      <c r="H219" s="16">
        <v>1.0</v>
      </c>
      <c r="I219" s="15">
        <f t="shared" si="3"/>
        <v>0.72</v>
      </c>
      <c r="J219" s="15">
        <v>24.28</v>
      </c>
      <c r="K219" s="16">
        <f>IF(COUNTIFS(Release_Calendar!$A$2:$A$755,"US_CPI",Release_Calendar!$B$2:$B$755,$A219)&gt;0,1,0)</f>
        <v>0</v>
      </c>
      <c r="L219" s="16">
        <f>IF(COUNTIFS(Release_Calendar!$A$2:$A$755,"US_NFP",Release_Calendar!$B$2:$B$755,$A219)&gt;0,1,0)</f>
        <v>0</v>
      </c>
      <c r="M219" s="16" t="str">
        <f>IF($A219&lt;Notes!$B$5,"",IF(COUNTIFS(Release_Calendar!$A$2:$A$755,"NZ_CPI",Release_Calendar!$B$2:$B$755,$A219)&gt;0,1,0))</f>
        <v/>
      </c>
      <c r="N219" s="16" t="str">
        <f>IF($A219&lt;Notes!$B$5,"",IF(COUNTIFS(Release_Calendar!$A$2:$A$755,"NZ_GDP",Release_Calendar!$B$2:$B$755,$A219)&gt;0,1,0))</f>
        <v/>
      </c>
      <c r="O219" s="16" t="str">
        <f>IF($A219&lt;Notes!$B$5,"",IF(COUNTIFS(Release_Calendar!$A$2:$A$755,"NZ_LABOUR",Release_Calendar!$B$2:$B$755,$A219)&gt;0,1,0))</f>
        <v/>
      </c>
      <c r="P219" s="16">
        <f t="shared" si="4"/>
        <v>0</v>
      </c>
    </row>
    <row r="220" ht="15.75" customHeight="1">
      <c r="A220" s="14">
        <v>36832.0</v>
      </c>
      <c r="B220" s="15">
        <v>5.87</v>
      </c>
      <c r="C220" s="15"/>
      <c r="D220" s="15">
        <v>6.58</v>
      </c>
      <c r="E220" s="15"/>
      <c r="F220" s="15" t="str">
        <f t="shared" si="1"/>
        <v/>
      </c>
      <c r="G220" s="15">
        <f t="shared" si="2"/>
        <v>6.58</v>
      </c>
      <c r="H220" s="16">
        <v>1.0</v>
      </c>
      <c r="I220" s="15">
        <f t="shared" si="3"/>
        <v>0.71</v>
      </c>
      <c r="J220" s="15">
        <v>23.92</v>
      </c>
      <c r="K220" s="16">
        <f>IF(COUNTIFS(Release_Calendar!$A$2:$A$755,"US_CPI",Release_Calendar!$B$2:$B$755,$A220)&gt;0,1,0)</f>
        <v>0</v>
      </c>
      <c r="L220" s="16">
        <f>IF(COUNTIFS(Release_Calendar!$A$2:$A$755,"US_NFP",Release_Calendar!$B$2:$B$755,$A220)&gt;0,1,0)</f>
        <v>0</v>
      </c>
      <c r="M220" s="16" t="str">
        <f>IF($A220&lt;Notes!$B$5,"",IF(COUNTIFS(Release_Calendar!$A$2:$A$755,"NZ_CPI",Release_Calendar!$B$2:$B$755,$A220)&gt;0,1,0))</f>
        <v/>
      </c>
      <c r="N220" s="16" t="str">
        <f>IF($A220&lt;Notes!$B$5,"",IF(COUNTIFS(Release_Calendar!$A$2:$A$755,"NZ_GDP",Release_Calendar!$B$2:$B$755,$A220)&gt;0,1,0))</f>
        <v/>
      </c>
      <c r="O220" s="16" t="str">
        <f>IF($A220&lt;Notes!$B$5,"",IF(COUNTIFS(Release_Calendar!$A$2:$A$755,"NZ_LABOUR",Release_Calendar!$B$2:$B$755,$A220)&gt;0,1,0))</f>
        <v/>
      </c>
      <c r="P220" s="16">
        <f t="shared" si="4"/>
        <v>0</v>
      </c>
    </row>
    <row r="221" ht="15.75" customHeight="1">
      <c r="A221" s="14">
        <v>36833.0</v>
      </c>
      <c r="B221" s="15">
        <v>5.94</v>
      </c>
      <c r="C221" s="15"/>
      <c r="D221" s="15">
        <v>6.6</v>
      </c>
      <c r="E221" s="15"/>
      <c r="F221" s="15" t="str">
        <f t="shared" si="1"/>
        <v/>
      </c>
      <c r="G221" s="15">
        <f t="shared" si="2"/>
        <v>6.6</v>
      </c>
      <c r="H221" s="16">
        <v>1.0</v>
      </c>
      <c r="I221" s="15">
        <f t="shared" si="3"/>
        <v>0.66</v>
      </c>
      <c r="J221" s="15">
        <v>23.67</v>
      </c>
      <c r="K221" s="16">
        <f>IF(COUNTIFS(Release_Calendar!$A$2:$A$755,"US_CPI",Release_Calendar!$B$2:$B$755,$A221)&gt;0,1,0)</f>
        <v>0</v>
      </c>
      <c r="L221" s="16">
        <f>IF(COUNTIFS(Release_Calendar!$A$2:$A$755,"US_NFP",Release_Calendar!$B$2:$B$755,$A221)&gt;0,1,0)</f>
        <v>1</v>
      </c>
      <c r="M221" s="16" t="str">
        <f>IF($A221&lt;Notes!$B$5,"",IF(COUNTIFS(Release_Calendar!$A$2:$A$755,"NZ_CPI",Release_Calendar!$B$2:$B$755,$A221)&gt;0,1,0))</f>
        <v/>
      </c>
      <c r="N221" s="16" t="str">
        <f>IF($A221&lt;Notes!$B$5,"",IF(COUNTIFS(Release_Calendar!$A$2:$A$755,"NZ_GDP",Release_Calendar!$B$2:$B$755,$A221)&gt;0,1,0))</f>
        <v/>
      </c>
      <c r="O221" s="16" t="str">
        <f>IF($A221&lt;Notes!$B$5,"",IF(COUNTIFS(Release_Calendar!$A$2:$A$755,"NZ_LABOUR",Release_Calendar!$B$2:$B$755,$A221)&gt;0,1,0))</f>
        <v/>
      </c>
      <c r="P221" s="16">
        <f t="shared" si="4"/>
        <v>1</v>
      </c>
    </row>
    <row r="222" ht="15.75" customHeight="1">
      <c r="A222" s="14">
        <v>36836.0</v>
      </c>
      <c r="B222" s="15">
        <v>5.99</v>
      </c>
      <c r="C222" s="15"/>
      <c r="D222" s="15">
        <v>6.63</v>
      </c>
      <c r="E222" s="15"/>
      <c r="F222" s="15" t="str">
        <f t="shared" si="1"/>
        <v/>
      </c>
      <c r="G222" s="15">
        <f t="shared" si="2"/>
        <v>6.63</v>
      </c>
      <c r="H222" s="16">
        <v>1.0</v>
      </c>
      <c r="I222" s="15">
        <f t="shared" si="3"/>
        <v>0.64</v>
      </c>
      <c r="J222" s="15">
        <v>24.52</v>
      </c>
      <c r="K222" s="16">
        <f>IF(COUNTIFS(Release_Calendar!$A$2:$A$755,"US_CPI",Release_Calendar!$B$2:$B$755,$A222)&gt;0,1,0)</f>
        <v>0</v>
      </c>
      <c r="L222" s="16">
        <f>IF(COUNTIFS(Release_Calendar!$A$2:$A$755,"US_NFP",Release_Calendar!$B$2:$B$755,$A222)&gt;0,1,0)</f>
        <v>0</v>
      </c>
      <c r="M222" s="16" t="str">
        <f>IF($A222&lt;Notes!$B$5,"",IF(COUNTIFS(Release_Calendar!$A$2:$A$755,"NZ_CPI",Release_Calendar!$B$2:$B$755,$A222)&gt;0,1,0))</f>
        <v/>
      </c>
      <c r="N222" s="16" t="str">
        <f>IF($A222&lt;Notes!$B$5,"",IF(COUNTIFS(Release_Calendar!$A$2:$A$755,"NZ_GDP",Release_Calendar!$B$2:$B$755,$A222)&gt;0,1,0))</f>
        <v/>
      </c>
      <c r="O222" s="16" t="str">
        <f>IF($A222&lt;Notes!$B$5,"",IF(COUNTIFS(Release_Calendar!$A$2:$A$755,"NZ_LABOUR",Release_Calendar!$B$2:$B$755,$A222)&gt;0,1,0))</f>
        <v/>
      </c>
      <c r="P222" s="16">
        <f t="shared" si="4"/>
        <v>0</v>
      </c>
    </row>
    <row r="223" ht="15.75" customHeight="1">
      <c r="A223" s="14">
        <v>36837.0</v>
      </c>
      <c r="B223" s="15">
        <v>5.99</v>
      </c>
      <c r="C223" s="15"/>
      <c r="D223" s="15">
        <v>6.64</v>
      </c>
      <c r="E223" s="15"/>
      <c r="F223" s="15" t="str">
        <f t="shared" si="1"/>
        <v/>
      </c>
      <c r="G223" s="15">
        <f t="shared" si="2"/>
        <v>6.64</v>
      </c>
      <c r="H223" s="16">
        <v>1.0</v>
      </c>
      <c r="I223" s="15">
        <f t="shared" si="3"/>
        <v>0.65</v>
      </c>
      <c r="J223" s="15">
        <v>24.91</v>
      </c>
      <c r="K223" s="16">
        <f>IF(COUNTIFS(Release_Calendar!$A$2:$A$755,"US_CPI",Release_Calendar!$B$2:$B$755,$A223)&gt;0,1,0)</f>
        <v>0</v>
      </c>
      <c r="L223" s="16">
        <f>IF(COUNTIFS(Release_Calendar!$A$2:$A$755,"US_NFP",Release_Calendar!$B$2:$B$755,$A223)&gt;0,1,0)</f>
        <v>0</v>
      </c>
      <c r="M223" s="16" t="str">
        <f>IF($A223&lt;Notes!$B$5,"",IF(COUNTIFS(Release_Calendar!$A$2:$A$755,"NZ_CPI",Release_Calendar!$B$2:$B$755,$A223)&gt;0,1,0))</f>
        <v/>
      </c>
      <c r="N223" s="16" t="str">
        <f>IF($A223&lt;Notes!$B$5,"",IF(COUNTIFS(Release_Calendar!$A$2:$A$755,"NZ_GDP",Release_Calendar!$B$2:$B$755,$A223)&gt;0,1,0))</f>
        <v/>
      </c>
      <c r="O223" s="16" t="str">
        <f>IF($A223&lt;Notes!$B$5,"",IF(COUNTIFS(Release_Calendar!$A$2:$A$755,"NZ_LABOUR",Release_Calendar!$B$2:$B$755,$A223)&gt;0,1,0))</f>
        <v/>
      </c>
      <c r="P223" s="16">
        <f t="shared" si="4"/>
        <v>0</v>
      </c>
    </row>
    <row r="224" ht="15.75" customHeight="1">
      <c r="A224" s="14">
        <v>36838.0</v>
      </c>
      <c r="B224" s="15">
        <v>5.99</v>
      </c>
      <c r="C224" s="15"/>
      <c r="D224" s="15">
        <v>6.65</v>
      </c>
      <c r="E224" s="15"/>
      <c r="F224" s="15" t="str">
        <f t="shared" si="1"/>
        <v/>
      </c>
      <c r="G224" s="15">
        <f t="shared" si="2"/>
        <v>6.65</v>
      </c>
      <c r="H224" s="16">
        <v>1.0</v>
      </c>
      <c r="I224" s="15">
        <f t="shared" si="3"/>
        <v>0.66</v>
      </c>
      <c r="J224" s="15">
        <v>25.66</v>
      </c>
      <c r="K224" s="16">
        <f>IF(COUNTIFS(Release_Calendar!$A$2:$A$755,"US_CPI",Release_Calendar!$B$2:$B$755,$A224)&gt;0,1,0)</f>
        <v>0</v>
      </c>
      <c r="L224" s="16">
        <f>IF(COUNTIFS(Release_Calendar!$A$2:$A$755,"US_NFP",Release_Calendar!$B$2:$B$755,$A224)&gt;0,1,0)</f>
        <v>0</v>
      </c>
      <c r="M224" s="16" t="str">
        <f>IF($A224&lt;Notes!$B$5,"",IF(COUNTIFS(Release_Calendar!$A$2:$A$755,"NZ_CPI",Release_Calendar!$B$2:$B$755,$A224)&gt;0,1,0))</f>
        <v/>
      </c>
      <c r="N224" s="16" t="str">
        <f>IF($A224&lt;Notes!$B$5,"",IF(COUNTIFS(Release_Calendar!$A$2:$A$755,"NZ_GDP",Release_Calendar!$B$2:$B$755,$A224)&gt;0,1,0))</f>
        <v/>
      </c>
      <c r="O224" s="16" t="str">
        <f>IF($A224&lt;Notes!$B$5,"",IF(COUNTIFS(Release_Calendar!$A$2:$A$755,"NZ_LABOUR",Release_Calendar!$B$2:$B$755,$A224)&gt;0,1,0))</f>
        <v/>
      </c>
      <c r="P224" s="16">
        <f t="shared" si="4"/>
        <v>0</v>
      </c>
    </row>
    <row r="225" ht="15.75" customHeight="1">
      <c r="A225" s="14">
        <v>36839.0</v>
      </c>
      <c r="B225" s="15">
        <v>5.94</v>
      </c>
      <c r="C225" s="15"/>
      <c r="D225" s="15">
        <v>6.62</v>
      </c>
      <c r="E225" s="15"/>
      <c r="F225" s="15" t="str">
        <f t="shared" si="1"/>
        <v/>
      </c>
      <c r="G225" s="15">
        <f t="shared" si="2"/>
        <v>6.62</v>
      </c>
      <c r="H225" s="16">
        <v>1.0</v>
      </c>
      <c r="I225" s="15">
        <f t="shared" si="3"/>
        <v>0.68</v>
      </c>
      <c r="J225" s="15">
        <v>27.2</v>
      </c>
      <c r="K225" s="16">
        <f>IF(COUNTIFS(Release_Calendar!$A$2:$A$755,"US_CPI",Release_Calendar!$B$2:$B$755,$A225)&gt;0,1,0)</f>
        <v>0</v>
      </c>
      <c r="L225" s="16">
        <f>IF(COUNTIFS(Release_Calendar!$A$2:$A$755,"US_NFP",Release_Calendar!$B$2:$B$755,$A225)&gt;0,1,0)</f>
        <v>0</v>
      </c>
      <c r="M225" s="16" t="str">
        <f>IF($A225&lt;Notes!$B$5,"",IF(COUNTIFS(Release_Calendar!$A$2:$A$755,"NZ_CPI",Release_Calendar!$B$2:$B$755,$A225)&gt;0,1,0))</f>
        <v/>
      </c>
      <c r="N225" s="16" t="str">
        <f>IF($A225&lt;Notes!$B$5,"",IF(COUNTIFS(Release_Calendar!$A$2:$A$755,"NZ_GDP",Release_Calendar!$B$2:$B$755,$A225)&gt;0,1,0))</f>
        <v/>
      </c>
      <c r="O225" s="16" t="str">
        <f>IF($A225&lt;Notes!$B$5,"",IF(COUNTIFS(Release_Calendar!$A$2:$A$755,"NZ_LABOUR",Release_Calendar!$B$2:$B$755,$A225)&gt;0,1,0))</f>
        <v/>
      </c>
      <c r="P225" s="16">
        <f t="shared" si="4"/>
        <v>0</v>
      </c>
    </row>
    <row r="226" ht="15.75" customHeight="1">
      <c r="A226" s="14">
        <v>36840.0</v>
      </c>
      <c r="B226" s="15">
        <v>5.92</v>
      </c>
      <c r="C226" s="15"/>
      <c r="D226" s="15">
        <v>6.56</v>
      </c>
      <c r="E226" s="15"/>
      <c r="F226" s="15" t="str">
        <f t="shared" si="1"/>
        <v/>
      </c>
      <c r="G226" s="15">
        <f t="shared" si="2"/>
        <v>6.56</v>
      </c>
      <c r="H226" s="16">
        <v>1.0</v>
      </c>
      <c r="I226" s="15">
        <f t="shared" si="3"/>
        <v>0.64</v>
      </c>
      <c r="J226" s="15">
        <v>28.53</v>
      </c>
      <c r="K226" s="16">
        <f>IF(COUNTIFS(Release_Calendar!$A$2:$A$755,"US_CPI",Release_Calendar!$B$2:$B$755,$A226)&gt;0,1,0)</f>
        <v>0</v>
      </c>
      <c r="L226" s="16">
        <f>IF(COUNTIFS(Release_Calendar!$A$2:$A$755,"US_NFP",Release_Calendar!$B$2:$B$755,$A226)&gt;0,1,0)</f>
        <v>0</v>
      </c>
      <c r="M226" s="16" t="str">
        <f>IF($A226&lt;Notes!$B$5,"",IF(COUNTIFS(Release_Calendar!$A$2:$A$755,"NZ_CPI",Release_Calendar!$B$2:$B$755,$A226)&gt;0,1,0))</f>
        <v/>
      </c>
      <c r="N226" s="16" t="str">
        <f>IF($A226&lt;Notes!$B$5,"",IF(COUNTIFS(Release_Calendar!$A$2:$A$755,"NZ_GDP",Release_Calendar!$B$2:$B$755,$A226)&gt;0,1,0))</f>
        <v/>
      </c>
      <c r="O226" s="16" t="str">
        <f>IF($A226&lt;Notes!$B$5,"",IF(COUNTIFS(Release_Calendar!$A$2:$A$755,"NZ_LABOUR",Release_Calendar!$B$2:$B$755,$A226)&gt;0,1,0))</f>
        <v/>
      </c>
      <c r="P226" s="16">
        <f t="shared" si="4"/>
        <v>0</v>
      </c>
    </row>
    <row r="227" ht="15.75" customHeight="1">
      <c r="A227" s="14">
        <v>36843.0</v>
      </c>
      <c r="B227" s="15">
        <v>5.9</v>
      </c>
      <c r="C227" s="15"/>
      <c r="D227" s="15">
        <v>6.57</v>
      </c>
      <c r="E227" s="15"/>
      <c r="F227" s="15" t="str">
        <f t="shared" si="1"/>
        <v/>
      </c>
      <c r="G227" s="15">
        <f t="shared" si="2"/>
        <v>6.57</v>
      </c>
      <c r="H227" s="16">
        <v>1.0</v>
      </c>
      <c r="I227" s="15">
        <f t="shared" si="3"/>
        <v>0.67</v>
      </c>
      <c r="J227" s="15">
        <v>29.06</v>
      </c>
      <c r="K227" s="16">
        <f>IF(COUNTIFS(Release_Calendar!$A$2:$A$755,"US_CPI",Release_Calendar!$B$2:$B$755,$A227)&gt;0,1,0)</f>
        <v>0</v>
      </c>
      <c r="L227" s="16">
        <f>IF(COUNTIFS(Release_Calendar!$A$2:$A$755,"US_NFP",Release_Calendar!$B$2:$B$755,$A227)&gt;0,1,0)</f>
        <v>0</v>
      </c>
      <c r="M227" s="16" t="str">
        <f>IF($A227&lt;Notes!$B$5,"",IF(COUNTIFS(Release_Calendar!$A$2:$A$755,"NZ_CPI",Release_Calendar!$B$2:$B$755,$A227)&gt;0,1,0))</f>
        <v/>
      </c>
      <c r="N227" s="16" t="str">
        <f>IF($A227&lt;Notes!$B$5,"",IF(COUNTIFS(Release_Calendar!$A$2:$A$755,"NZ_GDP",Release_Calendar!$B$2:$B$755,$A227)&gt;0,1,0))</f>
        <v/>
      </c>
      <c r="O227" s="16" t="str">
        <f>IF($A227&lt;Notes!$B$5,"",IF(COUNTIFS(Release_Calendar!$A$2:$A$755,"NZ_LABOUR",Release_Calendar!$B$2:$B$755,$A227)&gt;0,1,0))</f>
        <v/>
      </c>
      <c r="P227" s="16">
        <f t="shared" si="4"/>
        <v>0</v>
      </c>
    </row>
    <row r="228" ht="15.75" customHeight="1">
      <c r="A228" s="14">
        <v>36844.0</v>
      </c>
      <c r="B228" s="15">
        <v>5.92</v>
      </c>
      <c r="C228" s="15"/>
      <c r="D228" s="15">
        <v>6.56</v>
      </c>
      <c r="E228" s="15"/>
      <c r="F228" s="15" t="str">
        <f t="shared" si="1"/>
        <v/>
      </c>
      <c r="G228" s="15">
        <f t="shared" si="2"/>
        <v>6.56</v>
      </c>
      <c r="H228" s="16">
        <v>1.0</v>
      </c>
      <c r="I228" s="15">
        <f t="shared" si="3"/>
        <v>0.64</v>
      </c>
      <c r="J228" s="15">
        <v>26.81</v>
      </c>
      <c r="K228" s="16">
        <f>IF(COUNTIFS(Release_Calendar!$A$2:$A$755,"US_CPI",Release_Calendar!$B$2:$B$755,$A228)&gt;0,1,0)</f>
        <v>0</v>
      </c>
      <c r="L228" s="16">
        <f>IF(COUNTIFS(Release_Calendar!$A$2:$A$755,"US_NFP",Release_Calendar!$B$2:$B$755,$A228)&gt;0,1,0)</f>
        <v>0</v>
      </c>
      <c r="M228" s="16" t="str">
        <f>IF($A228&lt;Notes!$B$5,"",IF(COUNTIFS(Release_Calendar!$A$2:$A$755,"NZ_CPI",Release_Calendar!$B$2:$B$755,$A228)&gt;0,1,0))</f>
        <v/>
      </c>
      <c r="N228" s="16" t="str">
        <f>IF($A228&lt;Notes!$B$5,"",IF(COUNTIFS(Release_Calendar!$A$2:$A$755,"NZ_GDP",Release_Calendar!$B$2:$B$755,$A228)&gt;0,1,0))</f>
        <v/>
      </c>
      <c r="O228" s="16" t="str">
        <f>IF($A228&lt;Notes!$B$5,"",IF(COUNTIFS(Release_Calendar!$A$2:$A$755,"NZ_LABOUR",Release_Calendar!$B$2:$B$755,$A228)&gt;0,1,0))</f>
        <v/>
      </c>
      <c r="P228" s="16">
        <f t="shared" si="4"/>
        <v>0</v>
      </c>
    </row>
    <row r="229" ht="15.75" customHeight="1">
      <c r="A229" s="14">
        <v>36845.0</v>
      </c>
      <c r="B229" s="15">
        <v>5.9</v>
      </c>
      <c r="C229" s="15"/>
      <c r="D229" s="15">
        <v>6.57</v>
      </c>
      <c r="E229" s="15"/>
      <c r="F229" s="15" t="str">
        <f t="shared" si="1"/>
        <v/>
      </c>
      <c r="G229" s="15">
        <f t="shared" si="2"/>
        <v>6.57</v>
      </c>
      <c r="H229" s="16">
        <v>1.0</v>
      </c>
      <c r="I229" s="15">
        <f t="shared" si="3"/>
        <v>0.67</v>
      </c>
      <c r="J229" s="15">
        <v>26.15</v>
      </c>
      <c r="K229" s="16">
        <f>IF(COUNTIFS(Release_Calendar!$A$2:$A$755,"US_CPI",Release_Calendar!$B$2:$B$755,$A229)&gt;0,1,0)</f>
        <v>0</v>
      </c>
      <c r="L229" s="16">
        <f>IF(COUNTIFS(Release_Calendar!$A$2:$A$755,"US_NFP",Release_Calendar!$B$2:$B$755,$A229)&gt;0,1,0)</f>
        <v>0</v>
      </c>
      <c r="M229" s="16" t="str">
        <f>IF($A229&lt;Notes!$B$5,"",IF(COUNTIFS(Release_Calendar!$A$2:$A$755,"NZ_CPI",Release_Calendar!$B$2:$B$755,$A229)&gt;0,1,0))</f>
        <v/>
      </c>
      <c r="N229" s="16" t="str">
        <f>IF($A229&lt;Notes!$B$5,"",IF(COUNTIFS(Release_Calendar!$A$2:$A$755,"NZ_GDP",Release_Calendar!$B$2:$B$755,$A229)&gt;0,1,0))</f>
        <v/>
      </c>
      <c r="O229" s="16" t="str">
        <f>IF($A229&lt;Notes!$B$5,"",IF(COUNTIFS(Release_Calendar!$A$2:$A$755,"NZ_LABOUR",Release_Calendar!$B$2:$B$755,$A229)&gt;0,1,0))</f>
        <v/>
      </c>
      <c r="P229" s="16">
        <f t="shared" si="4"/>
        <v>0</v>
      </c>
    </row>
    <row r="230" ht="15.75" customHeight="1">
      <c r="A230" s="14">
        <v>36846.0</v>
      </c>
      <c r="B230" s="15">
        <v>5.87</v>
      </c>
      <c r="C230" s="15"/>
      <c r="D230" s="15">
        <v>6.58</v>
      </c>
      <c r="E230" s="15"/>
      <c r="F230" s="15" t="str">
        <f t="shared" si="1"/>
        <v/>
      </c>
      <c r="G230" s="15">
        <f t="shared" si="2"/>
        <v>6.58</v>
      </c>
      <c r="H230" s="16">
        <v>1.0</v>
      </c>
      <c r="I230" s="15">
        <f t="shared" si="3"/>
        <v>0.71</v>
      </c>
      <c r="J230" s="15">
        <v>25.05</v>
      </c>
      <c r="K230" s="16">
        <f>IF(COUNTIFS(Release_Calendar!$A$2:$A$755,"US_CPI",Release_Calendar!$B$2:$B$755,$A230)&gt;0,1,0)</f>
        <v>1</v>
      </c>
      <c r="L230" s="16">
        <f>IF(COUNTIFS(Release_Calendar!$A$2:$A$755,"US_NFP",Release_Calendar!$B$2:$B$755,$A230)&gt;0,1,0)</f>
        <v>0</v>
      </c>
      <c r="M230" s="16" t="str">
        <f>IF($A230&lt;Notes!$B$5,"",IF(COUNTIFS(Release_Calendar!$A$2:$A$755,"NZ_CPI",Release_Calendar!$B$2:$B$755,$A230)&gt;0,1,0))</f>
        <v/>
      </c>
      <c r="N230" s="16" t="str">
        <f>IF($A230&lt;Notes!$B$5,"",IF(COUNTIFS(Release_Calendar!$A$2:$A$755,"NZ_GDP",Release_Calendar!$B$2:$B$755,$A230)&gt;0,1,0))</f>
        <v/>
      </c>
      <c r="O230" s="16" t="str">
        <f>IF($A230&lt;Notes!$B$5,"",IF(COUNTIFS(Release_Calendar!$A$2:$A$755,"NZ_LABOUR",Release_Calendar!$B$2:$B$755,$A230)&gt;0,1,0))</f>
        <v/>
      </c>
      <c r="P230" s="16">
        <f t="shared" si="4"/>
        <v>1</v>
      </c>
    </row>
    <row r="231" ht="15.75" customHeight="1">
      <c r="A231" s="14">
        <v>36847.0</v>
      </c>
      <c r="B231" s="15">
        <v>5.88</v>
      </c>
      <c r="C231" s="15"/>
      <c r="D231" s="15">
        <v>6.55</v>
      </c>
      <c r="E231" s="15"/>
      <c r="F231" s="15" t="str">
        <f t="shared" si="1"/>
        <v/>
      </c>
      <c r="G231" s="15">
        <f t="shared" si="2"/>
        <v>6.55</v>
      </c>
      <c r="H231" s="16">
        <v>1.0</v>
      </c>
      <c r="I231" s="15">
        <f t="shared" si="3"/>
        <v>0.67</v>
      </c>
      <c r="J231" s="15">
        <v>24.81</v>
      </c>
      <c r="K231" s="16">
        <f>IF(COUNTIFS(Release_Calendar!$A$2:$A$755,"US_CPI",Release_Calendar!$B$2:$B$755,$A231)&gt;0,1,0)</f>
        <v>0</v>
      </c>
      <c r="L231" s="16">
        <f>IF(COUNTIFS(Release_Calendar!$A$2:$A$755,"US_NFP",Release_Calendar!$B$2:$B$755,$A231)&gt;0,1,0)</f>
        <v>0</v>
      </c>
      <c r="M231" s="16" t="str">
        <f>IF($A231&lt;Notes!$B$5,"",IF(COUNTIFS(Release_Calendar!$A$2:$A$755,"NZ_CPI",Release_Calendar!$B$2:$B$755,$A231)&gt;0,1,0))</f>
        <v/>
      </c>
      <c r="N231" s="16" t="str">
        <f>IF($A231&lt;Notes!$B$5,"",IF(COUNTIFS(Release_Calendar!$A$2:$A$755,"NZ_GDP",Release_Calendar!$B$2:$B$755,$A231)&gt;0,1,0))</f>
        <v/>
      </c>
      <c r="O231" s="16" t="str">
        <f>IF($A231&lt;Notes!$B$5,"",IF(COUNTIFS(Release_Calendar!$A$2:$A$755,"NZ_LABOUR",Release_Calendar!$B$2:$B$755,$A231)&gt;0,1,0))</f>
        <v/>
      </c>
      <c r="P231" s="16">
        <f t="shared" si="4"/>
        <v>0</v>
      </c>
    </row>
    <row r="232" ht="15.75" customHeight="1">
      <c r="A232" s="14">
        <v>36850.0</v>
      </c>
      <c r="B232" s="15">
        <v>5.87</v>
      </c>
      <c r="C232" s="15"/>
      <c r="D232" s="15">
        <v>6.53</v>
      </c>
      <c r="E232" s="15"/>
      <c r="F232" s="15" t="str">
        <f t="shared" si="1"/>
        <v/>
      </c>
      <c r="G232" s="15">
        <f t="shared" si="2"/>
        <v>6.53</v>
      </c>
      <c r="H232" s="16">
        <v>1.0</v>
      </c>
      <c r="I232" s="15">
        <f t="shared" si="3"/>
        <v>0.66</v>
      </c>
      <c r="J232" s="15">
        <v>27.43</v>
      </c>
      <c r="K232" s="16">
        <f>IF(COUNTIFS(Release_Calendar!$A$2:$A$755,"US_CPI",Release_Calendar!$B$2:$B$755,$A232)&gt;0,1,0)</f>
        <v>0</v>
      </c>
      <c r="L232" s="16">
        <f>IF(COUNTIFS(Release_Calendar!$A$2:$A$755,"US_NFP",Release_Calendar!$B$2:$B$755,$A232)&gt;0,1,0)</f>
        <v>0</v>
      </c>
      <c r="M232" s="16" t="str">
        <f>IF($A232&lt;Notes!$B$5,"",IF(COUNTIFS(Release_Calendar!$A$2:$A$755,"NZ_CPI",Release_Calendar!$B$2:$B$755,$A232)&gt;0,1,0))</f>
        <v/>
      </c>
      <c r="N232" s="16" t="str">
        <f>IF($A232&lt;Notes!$B$5,"",IF(COUNTIFS(Release_Calendar!$A$2:$A$755,"NZ_GDP",Release_Calendar!$B$2:$B$755,$A232)&gt;0,1,0))</f>
        <v/>
      </c>
      <c r="O232" s="16" t="str">
        <f>IF($A232&lt;Notes!$B$5,"",IF(COUNTIFS(Release_Calendar!$A$2:$A$755,"NZ_LABOUR",Release_Calendar!$B$2:$B$755,$A232)&gt;0,1,0))</f>
        <v/>
      </c>
      <c r="P232" s="16">
        <f t="shared" si="4"/>
        <v>0</v>
      </c>
    </row>
    <row r="233" ht="15.75" customHeight="1">
      <c r="A233" s="14">
        <v>36851.0</v>
      </c>
      <c r="B233" s="15">
        <v>5.86</v>
      </c>
      <c r="C233" s="15"/>
      <c r="D233" s="15">
        <v>6.54</v>
      </c>
      <c r="E233" s="15"/>
      <c r="F233" s="15" t="str">
        <f t="shared" si="1"/>
        <v/>
      </c>
      <c r="G233" s="15">
        <f t="shared" si="2"/>
        <v>6.54</v>
      </c>
      <c r="H233" s="16">
        <v>1.0</v>
      </c>
      <c r="I233" s="15">
        <f t="shared" si="3"/>
        <v>0.68</v>
      </c>
      <c r="J233" s="15">
        <v>26.62</v>
      </c>
      <c r="K233" s="16">
        <f>IF(COUNTIFS(Release_Calendar!$A$2:$A$755,"US_CPI",Release_Calendar!$B$2:$B$755,$A233)&gt;0,1,0)</f>
        <v>0</v>
      </c>
      <c r="L233" s="16">
        <f>IF(COUNTIFS(Release_Calendar!$A$2:$A$755,"US_NFP",Release_Calendar!$B$2:$B$755,$A233)&gt;0,1,0)</f>
        <v>0</v>
      </c>
      <c r="M233" s="16" t="str">
        <f>IF($A233&lt;Notes!$B$5,"",IF(COUNTIFS(Release_Calendar!$A$2:$A$755,"NZ_CPI",Release_Calendar!$B$2:$B$755,$A233)&gt;0,1,0))</f>
        <v/>
      </c>
      <c r="N233" s="16" t="str">
        <f>IF($A233&lt;Notes!$B$5,"",IF(COUNTIFS(Release_Calendar!$A$2:$A$755,"NZ_GDP",Release_Calendar!$B$2:$B$755,$A233)&gt;0,1,0))</f>
        <v/>
      </c>
      <c r="O233" s="16" t="str">
        <f>IF($A233&lt;Notes!$B$5,"",IF(COUNTIFS(Release_Calendar!$A$2:$A$755,"NZ_LABOUR",Release_Calendar!$B$2:$B$755,$A233)&gt;0,1,0))</f>
        <v/>
      </c>
      <c r="P233" s="16">
        <f t="shared" si="4"/>
        <v>0</v>
      </c>
    </row>
    <row r="234" ht="15.75" customHeight="1">
      <c r="A234" s="14">
        <v>36852.0</v>
      </c>
      <c r="B234" s="15">
        <v>5.85</v>
      </c>
      <c r="C234" s="15"/>
      <c r="D234" s="15">
        <v>6.55</v>
      </c>
      <c r="E234" s="15"/>
      <c r="F234" s="15" t="str">
        <f t="shared" si="1"/>
        <v/>
      </c>
      <c r="G234" s="15">
        <f t="shared" si="2"/>
        <v>6.55</v>
      </c>
      <c r="H234" s="16">
        <v>1.0</v>
      </c>
      <c r="I234" s="15">
        <f t="shared" si="3"/>
        <v>0.7</v>
      </c>
      <c r="J234" s="15">
        <v>27.71</v>
      </c>
      <c r="K234" s="16">
        <f>IF(COUNTIFS(Release_Calendar!$A$2:$A$755,"US_CPI",Release_Calendar!$B$2:$B$755,$A234)&gt;0,1,0)</f>
        <v>0</v>
      </c>
      <c r="L234" s="16">
        <f>IF(COUNTIFS(Release_Calendar!$A$2:$A$755,"US_NFP",Release_Calendar!$B$2:$B$755,$A234)&gt;0,1,0)</f>
        <v>0</v>
      </c>
      <c r="M234" s="16" t="str">
        <f>IF($A234&lt;Notes!$B$5,"",IF(COUNTIFS(Release_Calendar!$A$2:$A$755,"NZ_CPI",Release_Calendar!$B$2:$B$755,$A234)&gt;0,1,0))</f>
        <v/>
      </c>
      <c r="N234" s="16" t="str">
        <f>IF($A234&lt;Notes!$B$5,"",IF(COUNTIFS(Release_Calendar!$A$2:$A$755,"NZ_GDP",Release_Calendar!$B$2:$B$755,$A234)&gt;0,1,0))</f>
        <v/>
      </c>
      <c r="O234" s="16" t="str">
        <f>IF($A234&lt;Notes!$B$5,"",IF(COUNTIFS(Release_Calendar!$A$2:$A$755,"NZ_LABOUR",Release_Calendar!$B$2:$B$755,$A234)&gt;0,1,0))</f>
        <v/>
      </c>
      <c r="P234" s="16">
        <f t="shared" si="4"/>
        <v>0</v>
      </c>
    </row>
    <row r="235" ht="15.75" customHeight="1">
      <c r="A235" s="14">
        <v>36853.0</v>
      </c>
      <c r="B235" s="15"/>
      <c r="C235" s="15"/>
      <c r="D235" s="15">
        <v>6.49</v>
      </c>
      <c r="E235" s="15"/>
      <c r="F235" s="15" t="str">
        <f t="shared" si="1"/>
        <v/>
      </c>
      <c r="G235" s="15">
        <f t="shared" si="2"/>
        <v>6.49</v>
      </c>
      <c r="H235" s="16">
        <v>1.0</v>
      </c>
      <c r="I235" s="15" t="str">
        <f t="shared" si="3"/>
        <v/>
      </c>
      <c r="J235" s="15"/>
      <c r="K235" s="16">
        <f>IF(COUNTIFS(Release_Calendar!$A$2:$A$755,"US_CPI",Release_Calendar!$B$2:$B$755,$A235)&gt;0,1,0)</f>
        <v>0</v>
      </c>
      <c r="L235" s="16">
        <f>IF(COUNTIFS(Release_Calendar!$A$2:$A$755,"US_NFP",Release_Calendar!$B$2:$B$755,$A235)&gt;0,1,0)</f>
        <v>0</v>
      </c>
      <c r="M235" s="16" t="str">
        <f>IF($A235&lt;Notes!$B$5,"",IF(COUNTIFS(Release_Calendar!$A$2:$A$755,"NZ_CPI",Release_Calendar!$B$2:$B$755,$A235)&gt;0,1,0))</f>
        <v/>
      </c>
      <c r="N235" s="16" t="str">
        <f>IF($A235&lt;Notes!$B$5,"",IF(COUNTIFS(Release_Calendar!$A$2:$A$755,"NZ_GDP",Release_Calendar!$B$2:$B$755,$A235)&gt;0,1,0))</f>
        <v/>
      </c>
      <c r="O235" s="16" t="str">
        <f>IF($A235&lt;Notes!$B$5,"",IF(COUNTIFS(Release_Calendar!$A$2:$A$755,"NZ_LABOUR",Release_Calendar!$B$2:$B$755,$A235)&gt;0,1,0))</f>
        <v/>
      </c>
      <c r="P235" s="16">
        <f t="shared" si="4"/>
        <v>0</v>
      </c>
    </row>
    <row r="236" ht="15.75" customHeight="1">
      <c r="A236" s="14">
        <v>36854.0</v>
      </c>
      <c r="B236" s="15">
        <v>5.86</v>
      </c>
      <c r="C236" s="15"/>
      <c r="D236" s="15">
        <v>6.53</v>
      </c>
      <c r="E236" s="15"/>
      <c r="F236" s="15" t="str">
        <f t="shared" si="1"/>
        <v/>
      </c>
      <c r="G236" s="15">
        <f t="shared" si="2"/>
        <v>6.53</v>
      </c>
      <c r="H236" s="16">
        <v>1.0</v>
      </c>
      <c r="I236" s="15">
        <f t="shared" si="3"/>
        <v>0.67</v>
      </c>
      <c r="J236" s="15">
        <v>26.0</v>
      </c>
      <c r="K236" s="16">
        <f>IF(COUNTIFS(Release_Calendar!$A$2:$A$755,"US_CPI",Release_Calendar!$B$2:$B$755,$A236)&gt;0,1,0)</f>
        <v>0</v>
      </c>
      <c r="L236" s="16">
        <f>IF(COUNTIFS(Release_Calendar!$A$2:$A$755,"US_NFP",Release_Calendar!$B$2:$B$755,$A236)&gt;0,1,0)</f>
        <v>0</v>
      </c>
      <c r="M236" s="16" t="str">
        <f>IF($A236&lt;Notes!$B$5,"",IF(COUNTIFS(Release_Calendar!$A$2:$A$755,"NZ_CPI",Release_Calendar!$B$2:$B$755,$A236)&gt;0,1,0))</f>
        <v/>
      </c>
      <c r="N236" s="16" t="str">
        <f>IF($A236&lt;Notes!$B$5,"",IF(COUNTIFS(Release_Calendar!$A$2:$A$755,"NZ_GDP",Release_Calendar!$B$2:$B$755,$A236)&gt;0,1,0))</f>
        <v/>
      </c>
      <c r="O236" s="16" t="str">
        <f>IF($A236&lt;Notes!$B$5,"",IF(COUNTIFS(Release_Calendar!$A$2:$A$755,"NZ_LABOUR",Release_Calendar!$B$2:$B$755,$A236)&gt;0,1,0))</f>
        <v/>
      </c>
      <c r="P236" s="16">
        <f t="shared" si="4"/>
        <v>0</v>
      </c>
    </row>
    <row r="237" ht="15.75" customHeight="1">
      <c r="A237" s="14">
        <v>36857.0</v>
      </c>
      <c r="B237" s="15">
        <v>5.86</v>
      </c>
      <c r="C237" s="15"/>
      <c r="D237" s="15">
        <v>6.57</v>
      </c>
      <c r="E237" s="15"/>
      <c r="F237" s="15" t="str">
        <f t="shared" si="1"/>
        <v/>
      </c>
      <c r="G237" s="15">
        <f t="shared" si="2"/>
        <v>6.57</v>
      </c>
      <c r="H237" s="16">
        <v>1.0</v>
      </c>
      <c r="I237" s="15">
        <f t="shared" si="3"/>
        <v>0.71</v>
      </c>
      <c r="J237" s="15">
        <v>26.93</v>
      </c>
      <c r="K237" s="16">
        <f>IF(COUNTIFS(Release_Calendar!$A$2:$A$755,"US_CPI",Release_Calendar!$B$2:$B$755,$A237)&gt;0,1,0)</f>
        <v>0</v>
      </c>
      <c r="L237" s="16">
        <f>IF(COUNTIFS(Release_Calendar!$A$2:$A$755,"US_NFP",Release_Calendar!$B$2:$B$755,$A237)&gt;0,1,0)</f>
        <v>0</v>
      </c>
      <c r="M237" s="16" t="str">
        <f>IF($A237&lt;Notes!$B$5,"",IF(COUNTIFS(Release_Calendar!$A$2:$A$755,"NZ_CPI",Release_Calendar!$B$2:$B$755,$A237)&gt;0,1,0))</f>
        <v/>
      </c>
      <c r="N237" s="16" t="str">
        <f>IF($A237&lt;Notes!$B$5,"",IF(COUNTIFS(Release_Calendar!$A$2:$A$755,"NZ_GDP",Release_Calendar!$B$2:$B$755,$A237)&gt;0,1,0))</f>
        <v/>
      </c>
      <c r="O237" s="16" t="str">
        <f>IF($A237&lt;Notes!$B$5,"",IF(COUNTIFS(Release_Calendar!$A$2:$A$755,"NZ_LABOUR",Release_Calendar!$B$2:$B$755,$A237)&gt;0,1,0))</f>
        <v/>
      </c>
      <c r="P237" s="16">
        <f t="shared" si="4"/>
        <v>0</v>
      </c>
    </row>
    <row r="238" ht="15.75" customHeight="1">
      <c r="A238" s="14">
        <v>36858.0</v>
      </c>
      <c r="B238" s="15">
        <v>5.79</v>
      </c>
      <c r="C238" s="15"/>
      <c r="D238" s="15">
        <v>6.57</v>
      </c>
      <c r="E238" s="15"/>
      <c r="F238" s="15" t="str">
        <f t="shared" si="1"/>
        <v/>
      </c>
      <c r="G238" s="15">
        <f t="shared" si="2"/>
        <v>6.57</v>
      </c>
      <c r="H238" s="16">
        <v>1.0</v>
      </c>
      <c r="I238" s="15">
        <f t="shared" si="3"/>
        <v>0.78</v>
      </c>
      <c r="J238" s="15">
        <v>27.64</v>
      </c>
      <c r="K238" s="16">
        <f>IF(COUNTIFS(Release_Calendar!$A$2:$A$755,"US_CPI",Release_Calendar!$B$2:$B$755,$A238)&gt;0,1,0)</f>
        <v>0</v>
      </c>
      <c r="L238" s="16">
        <f>IF(COUNTIFS(Release_Calendar!$A$2:$A$755,"US_NFP",Release_Calendar!$B$2:$B$755,$A238)&gt;0,1,0)</f>
        <v>0</v>
      </c>
      <c r="M238" s="16" t="str">
        <f>IF($A238&lt;Notes!$B$5,"",IF(COUNTIFS(Release_Calendar!$A$2:$A$755,"NZ_CPI",Release_Calendar!$B$2:$B$755,$A238)&gt;0,1,0))</f>
        <v/>
      </c>
      <c r="N238" s="16" t="str">
        <f>IF($A238&lt;Notes!$B$5,"",IF(COUNTIFS(Release_Calendar!$A$2:$A$755,"NZ_GDP",Release_Calendar!$B$2:$B$755,$A238)&gt;0,1,0))</f>
        <v/>
      </c>
      <c r="O238" s="16" t="str">
        <f>IF($A238&lt;Notes!$B$5,"",IF(COUNTIFS(Release_Calendar!$A$2:$A$755,"NZ_LABOUR",Release_Calendar!$B$2:$B$755,$A238)&gt;0,1,0))</f>
        <v/>
      </c>
      <c r="P238" s="16">
        <f t="shared" si="4"/>
        <v>0</v>
      </c>
    </row>
    <row r="239" ht="15.75" customHeight="1">
      <c r="A239" s="14">
        <v>36859.0</v>
      </c>
      <c r="B239" s="15">
        <v>5.69</v>
      </c>
      <c r="C239" s="15"/>
      <c r="D239" s="15">
        <v>6.56</v>
      </c>
      <c r="E239" s="15"/>
      <c r="F239" s="15" t="str">
        <f t="shared" si="1"/>
        <v/>
      </c>
      <c r="G239" s="15">
        <f t="shared" si="2"/>
        <v>6.56</v>
      </c>
      <c r="H239" s="16">
        <v>1.0</v>
      </c>
      <c r="I239" s="15">
        <f t="shared" si="3"/>
        <v>0.87</v>
      </c>
      <c r="J239" s="15">
        <v>27.49</v>
      </c>
      <c r="K239" s="16">
        <f>IF(COUNTIFS(Release_Calendar!$A$2:$A$755,"US_CPI",Release_Calendar!$B$2:$B$755,$A239)&gt;0,1,0)</f>
        <v>0</v>
      </c>
      <c r="L239" s="16">
        <f>IF(COUNTIFS(Release_Calendar!$A$2:$A$755,"US_NFP",Release_Calendar!$B$2:$B$755,$A239)&gt;0,1,0)</f>
        <v>0</v>
      </c>
      <c r="M239" s="16" t="str">
        <f>IF($A239&lt;Notes!$B$5,"",IF(COUNTIFS(Release_Calendar!$A$2:$A$755,"NZ_CPI",Release_Calendar!$B$2:$B$755,$A239)&gt;0,1,0))</f>
        <v/>
      </c>
      <c r="N239" s="16" t="str">
        <f>IF($A239&lt;Notes!$B$5,"",IF(COUNTIFS(Release_Calendar!$A$2:$A$755,"NZ_GDP",Release_Calendar!$B$2:$B$755,$A239)&gt;0,1,0))</f>
        <v/>
      </c>
      <c r="O239" s="16" t="str">
        <f>IF($A239&lt;Notes!$B$5,"",IF(COUNTIFS(Release_Calendar!$A$2:$A$755,"NZ_LABOUR",Release_Calendar!$B$2:$B$755,$A239)&gt;0,1,0))</f>
        <v/>
      </c>
      <c r="P239" s="16">
        <f t="shared" si="4"/>
        <v>0</v>
      </c>
    </row>
    <row r="240" ht="15.75" customHeight="1">
      <c r="A240" s="14">
        <v>36860.0</v>
      </c>
      <c r="B240" s="15">
        <v>5.61</v>
      </c>
      <c r="C240" s="15"/>
      <c r="D240" s="15">
        <v>6.51</v>
      </c>
      <c r="E240" s="15"/>
      <c r="F240" s="15" t="str">
        <f t="shared" si="1"/>
        <v/>
      </c>
      <c r="G240" s="15">
        <f t="shared" si="2"/>
        <v>6.51</v>
      </c>
      <c r="H240" s="16">
        <v>1.0</v>
      </c>
      <c r="I240" s="15">
        <f t="shared" si="3"/>
        <v>0.9</v>
      </c>
      <c r="J240" s="15">
        <v>29.65</v>
      </c>
      <c r="K240" s="16">
        <f>IF(COUNTIFS(Release_Calendar!$A$2:$A$755,"US_CPI",Release_Calendar!$B$2:$B$755,$A240)&gt;0,1,0)</f>
        <v>0</v>
      </c>
      <c r="L240" s="16">
        <f>IF(COUNTIFS(Release_Calendar!$A$2:$A$755,"US_NFP",Release_Calendar!$B$2:$B$755,$A240)&gt;0,1,0)</f>
        <v>0</v>
      </c>
      <c r="M240" s="16" t="str">
        <f>IF($A240&lt;Notes!$B$5,"",IF(COUNTIFS(Release_Calendar!$A$2:$A$755,"NZ_CPI",Release_Calendar!$B$2:$B$755,$A240)&gt;0,1,0))</f>
        <v/>
      </c>
      <c r="N240" s="16" t="str">
        <f>IF($A240&lt;Notes!$B$5,"",IF(COUNTIFS(Release_Calendar!$A$2:$A$755,"NZ_GDP",Release_Calendar!$B$2:$B$755,$A240)&gt;0,1,0))</f>
        <v/>
      </c>
      <c r="O240" s="16" t="str">
        <f>IF($A240&lt;Notes!$B$5,"",IF(COUNTIFS(Release_Calendar!$A$2:$A$755,"NZ_LABOUR",Release_Calendar!$B$2:$B$755,$A240)&gt;0,1,0))</f>
        <v/>
      </c>
      <c r="P240" s="16">
        <f t="shared" si="4"/>
        <v>0</v>
      </c>
    </row>
    <row r="241" ht="15.75" customHeight="1">
      <c r="A241" s="14">
        <v>36861.0</v>
      </c>
      <c r="B241" s="15">
        <v>5.62</v>
      </c>
      <c r="C241" s="15"/>
      <c r="D241" s="15">
        <v>6.46</v>
      </c>
      <c r="E241" s="15"/>
      <c r="F241" s="15" t="str">
        <f t="shared" si="1"/>
        <v/>
      </c>
      <c r="G241" s="15">
        <f t="shared" si="2"/>
        <v>6.46</v>
      </c>
      <c r="H241" s="16">
        <v>1.0</v>
      </c>
      <c r="I241" s="15">
        <f t="shared" si="3"/>
        <v>0.84</v>
      </c>
      <c r="J241" s="15">
        <v>27.48</v>
      </c>
      <c r="K241" s="16">
        <f>IF(COUNTIFS(Release_Calendar!$A$2:$A$755,"US_CPI",Release_Calendar!$B$2:$B$755,$A241)&gt;0,1,0)</f>
        <v>0</v>
      </c>
      <c r="L241" s="16">
        <f>IF(COUNTIFS(Release_Calendar!$A$2:$A$755,"US_NFP",Release_Calendar!$B$2:$B$755,$A241)&gt;0,1,0)</f>
        <v>0</v>
      </c>
      <c r="M241" s="16" t="str">
        <f>IF($A241&lt;Notes!$B$5,"",IF(COUNTIFS(Release_Calendar!$A$2:$A$755,"NZ_CPI",Release_Calendar!$B$2:$B$755,$A241)&gt;0,1,0))</f>
        <v/>
      </c>
      <c r="N241" s="16" t="str">
        <f>IF($A241&lt;Notes!$B$5,"",IF(COUNTIFS(Release_Calendar!$A$2:$A$755,"NZ_GDP",Release_Calendar!$B$2:$B$755,$A241)&gt;0,1,0))</f>
        <v/>
      </c>
      <c r="O241" s="16" t="str">
        <f>IF($A241&lt;Notes!$B$5,"",IF(COUNTIFS(Release_Calendar!$A$2:$A$755,"NZ_LABOUR",Release_Calendar!$B$2:$B$755,$A241)&gt;0,1,0))</f>
        <v/>
      </c>
      <c r="P241" s="16">
        <f t="shared" si="4"/>
        <v>0</v>
      </c>
    </row>
    <row r="242" ht="15.75" customHeight="1">
      <c r="A242" s="14">
        <v>36864.0</v>
      </c>
      <c r="B242" s="15">
        <v>5.59</v>
      </c>
      <c r="C242" s="15"/>
      <c r="D242" s="15">
        <v>6.47</v>
      </c>
      <c r="E242" s="15"/>
      <c r="F242" s="15" t="str">
        <f t="shared" si="1"/>
        <v/>
      </c>
      <c r="G242" s="15">
        <f t="shared" si="2"/>
        <v>6.47</v>
      </c>
      <c r="H242" s="16">
        <v>1.0</v>
      </c>
      <c r="I242" s="15">
        <f t="shared" si="3"/>
        <v>0.88</v>
      </c>
      <c r="J242" s="15">
        <v>27.78</v>
      </c>
      <c r="K242" s="16">
        <f>IF(COUNTIFS(Release_Calendar!$A$2:$A$755,"US_CPI",Release_Calendar!$B$2:$B$755,$A242)&gt;0,1,0)</f>
        <v>0</v>
      </c>
      <c r="L242" s="16">
        <f>IF(COUNTIFS(Release_Calendar!$A$2:$A$755,"US_NFP",Release_Calendar!$B$2:$B$755,$A242)&gt;0,1,0)</f>
        <v>0</v>
      </c>
      <c r="M242" s="16" t="str">
        <f>IF($A242&lt;Notes!$B$5,"",IF(COUNTIFS(Release_Calendar!$A$2:$A$755,"NZ_CPI",Release_Calendar!$B$2:$B$755,$A242)&gt;0,1,0))</f>
        <v/>
      </c>
      <c r="N242" s="16" t="str">
        <f>IF($A242&lt;Notes!$B$5,"",IF(COUNTIFS(Release_Calendar!$A$2:$A$755,"NZ_GDP",Release_Calendar!$B$2:$B$755,$A242)&gt;0,1,0))</f>
        <v/>
      </c>
      <c r="O242" s="16" t="str">
        <f>IF($A242&lt;Notes!$B$5,"",IF(COUNTIFS(Release_Calendar!$A$2:$A$755,"NZ_LABOUR",Release_Calendar!$B$2:$B$755,$A242)&gt;0,1,0))</f>
        <v/>
      </c>
      <c r="P242" s="16">
        <f t="shared" si="4"/>
        <v>0</v>
      </c>
    </row>
    <row r="243" ht="15.75" customHeight="1">
      <c r="A243" s="14">
        <v>36865.0</v>
      </c>
      <c r="B243" s="15">
        <v>5.49</v>
      </c>
      <c r="C243" s="15"/>
      <c r="D243" s="15">
        <v>6.44</v>
      </c>
      <c r="E243" s="15"/>
      <c r="F243" s="15" t="str">
        <f t="shared" si="1"/>
        <v/>
      </c>
      <c r="G243" s="15">
        <f t="shared" si="2"/>
        <v>6.44</v>
      </c>
      <c r="H243" s="16">
        <v>1.0</v>
      </c>
      <c r="I243" s="15">
        <f t="shared" si="3"/>
        <v>0.95</v>
      </c>
      <c r="J243" s="15">
        <v>24.99</v>
      </c>
      <c r="K243" s="16">
        <f>IF(COUNTIFS(Release_Calendar!$A$2:$A$755,"US_CPI",Release_Calendar!$B$2:$B$755,$A243)&gt;0,1,0)</f>
        <v>0</v>
      </c>
      <c r="L243" s="16">
        <f>IF(COUNTIFS(Release_Calendar!$A$2:$A$755,"US_NFP",Release_Calendar!$B$2:$B$755,$A243)&gt;0,1,0)</f>
        <v>0</v>
      </c>
      <c r="M243" s="16" t="str">
        <f>IF($A243&lt;Notes!$B$5,"",IF(COUNTIFS(Release_Calendar!$A$2:$A$755,"NZ_CPI",Release_Calendar!$B$2:$B$755,$A243)&gt;0,1,0))</f>
        <v/>
      </c>
      <c r="N243" s="16" t="str">
        <f>IF($A243&lt;Notes!$B$5,"",IF(COUNTIFS(Release_Calendar!$A$2:$A$755,"NZ_GDP",Release_Calendar!$B$2:$B$755,$A243)&gt;0,1,0))</f>
        <v/>
      </c>
      <c r="O243" s="16" t="str">
        <f>IF($A243&lt;Notes!$B$5,"",IF(COUNTIFS(Release_Calendar!$A$2:$A$755,"NZ_LABOUR",Release_Calendar!$B$2:$B$755,$A243)&gt;0,1,0))</f>
        <v/>
      </c>
      <c r="P243" s="16">
        <f t="shared" si="4"/>
        <v>0</v>
      </c>
    </row>
    <row r="244" ht="15.75" customHeight="1">
      <c r="A244" s="14">
        <v>36866.0</v>
      </c>
      <c r="B244" s="15">
        <v>5.42</v>
      </c>
      <c r="C244" s="15"/>
      <c r="D244" s="15">
        <v>6.39</v>
      </c>
      <c r="E244" s="15"/>
      <c r="F244" s="15" t="str">
        <f t="shared" si="1"/>
        <v/>
      </c>
      <c r="G244" s="15">
        <f t="shared" si="2"/>
        <v>6.39</v>
      </c>
      <c r="H244" s="16">
        <v>1.0</v>
      </c>
      <c r="I244" s="15">
        <f t="shared" si="3"/>
        <v>0.97</v>
      </c>
      <c r="J244" s="15">
        <v>25.07</v>
      </c>
      <c r="K244" s="16">
        <f>IF(COUNTIFS(Release_Calendar!$A$2:$A$755,"US_CPI",Release_Calendar!$B$2:$B$755,$A244)&gt;0,1,0)</f>
        <v>0</v>
      </c>
      <c r="L244" s="16">
        <f>IF(COUNTIFS(Release_Calendar!$A$2:$A$755,"US_NFP",Release_Calendar!$B$2:$B$755,$A244)&gt;0,1,0)</f>
        <v>0</v>
      </c>
      <c r="M244" s="16" t="str">
        <f>IF($A244&lt;Notes!$B$5,"",IF(COUNTIFS(Release_Calendar!$A$2:$A$755,"NZ_CPI",Release_Calendar!$B$2:$B$755,$A244)&gt;0,1,0))</f>
        <v/>
      </c>
      <c r="N244" s="16" t="str">
        <f>IF($A244&lt;Notes!$B$5,"",IF(COUNTIFS(Release_Calendar!$A$2:$A$755,"NZ_GDP",Release_Calendar!$B$2:$B$755,$A244)&gt;0,1,0))</f>
        <v/>
      </c>
      <c r="O244" s="16" t="str">
        <f>IF($A244&lt;Notes!$B$5,"",IF(COUNTIFS(Release_Calendar!$A$2:$A$755,"NZ_LABOUR",Release_Calendar!$B$2:$B$755,$A244)&gt;0,1,0))</f>
        <v/>
      </c>
      <c r="P244" s="16">
        <f t="shared" si="4"/>
        <v>0</v>
      </c>
    </row>
    <row r="245" ht="15.75" customHeight="1">
      <c r="A245" s="14">
        <v>36867.0</v>
      </c>
      <c r="B245" s="15">
        <v>5.45</v>
      </c>
      <c r="C245" s="15"/>
      <c r="D245" s="15">
        <v>6.33</v>
      </c>
      <c r="E245" s="15"/>
      <c r="F245" s="15" t="str">
        <f t="shared" si="1"/>
        <v/>
      </c>
      <c r="G245" s="15">
        <f t="shared" si="2"/>
        <v>6.33</v>
      </c>
      <c r="H245" s="16">
        <v>1.0</v>
      </c>
      <c r="I245" s="15">
        <f t="shared" si="3"/>
        <v>0.88</v>
      </c>
      <c r="J245" s="15">
        <v>25.34</v>
      </c>
      <c r="K245" s="16">
        <f>IF(COUNTIFS(Release_Calendar!$A$2:$A$755,"US_CPI",Release_Calendar!$B$2:$B$755,$A245)&gt;0,1,0)</f>
        <v>0</v>
      </c>
      <c r="L245" s="16">
        <f>IF(COUNTIFS(Release_Calendar!$A$2:$A$755,"US_NFP",Release_Calendar!$B$2:$B$755,$A245)&gt;0,1,0)</f>
        <v>0</v>
      </c>
      <c r="M245" s="16" t="str">
        <f>IF($A245&lt;Notes!$B$5,"",IF(COUNTIFS(Release_Calendar!$A$2:$A$755,"NZ_CPI",Release_Calendar!$B$2:$B$755,$A245)&gt;0,1,0))</f>
        <v/>
      </c>
      <c r="N245" s="16" t="str">
        <f>IF($A245&lt;Notes!$B$5,"",IF(COUNTIFS(Release_Calendar!$A$2:$A$755,"NZ_GDP",Release_Calendar!$B$2:$B$755,$A245)&gt;0,1,0))</f>
        <v/>
      </c>
      <c r="O245" s="16" t="str">
        <f>IF($A245&lt;Notes!$B$5,"",IF(COUNTIFS(Release_Calendar!$A$2:$A$755,"NZ_LABOUR",Release_Calendar!$B$2:$B$755,$A245)&gt;0,1,0))</f>
        <v/>
      </c>
      <c r="P245" s="16">
        <f t="shared" si="4"/>
        <v>0</v>
      </c>
    </row>
    <row r="246" ht="15.75" customHeight="1">
      <c r="A246" s="14">
        <v>36868.0</v>
      </c>
      <c r="B246" s="15">
        <v>5.5</v>
      </c>
      <c r="C246" s="15"/>
      <c r="D246" s="15">
        <v>6.33</v>
      </c>
      <c r="E246" s="15"/>
      <c r="F246" s="15" t="str">
        <f t="shared" si="1"/>
        <v/>
      </c>
      <c r="G246" s="15">
        <f t="shared" si="2"/>
        <v>6.33</v>
      </c>
      <c r="H246" s="16">
        <v>1.0</v>
      </c>
      <c r="I246" s="15">
        <f t="shared" si="3"/>
        <v>0.83</v>
      </c>
      <c r="J246" s="15">
        <v>22.41</v>
      </c>
      <c r="K246" s="16">
        <f>IF(COUNTIFS(Release_Calendar!$A$2:$A$755,"US_CPI",Release_Calendar!$B$2:$B$755,$A246)&gt;0,1,0)</f>
        <v>0</v>
      </c>
      <c r="L246" s="16">
        <f>IF(COUNTIFS(Release_Calendar!$A$2:$A$755,"US_NFP",Release_Calendar!$B$2:$B$755,$A246)&gt;0,1,0)</f>
        <v>1</v>
      </c>
      <c r="M246" s="16" t="str">
        <f>IF($A246&lt;Notes!$B$5,"",IF(COUNTIFS(Release_Calendar!$A$2:$A$755,"NZ_CPI",Release_Calendar!$B$2:$B$755,$A246)&gt;0,1,0))</f>
        <v/>
      </c>
      <c r="N246" s="16" t="str">
        <f>IF($A246&lt;Notes!$B$5,"",IF(COUNTIFS(Release_Calendar!$A$2:$A$755,"NZ_GDP",Release_Calendar!$B$2:$B$755,$A246)&gt;0,1,0))</f>
        <v/>
      </c>
      <c r="O246" s="16" t="str">
        <f>IF($A246&lt;Notes!$B$5,"",IF(COUNTIFS(Release_Calendar!$A$2:$A$755,"NZ_LABOUR",Release_Calendar!$B$2:$B$755,$A246)&gt;0,1,0))</f>
        <v/>
      </c>
      <c r="P246" s="16">
        <f t="shared" si="4"/>
        <v>1</v>
      </c>
    </row>
    <row r="247" ht="15.75" customHeight="1">
      <c r="A247" s="14">
        <v>36871.0</v>
      </c>
      <c r="B247" s="15">
        <v>5.52</v>
      </c>
      <c r="C247" s="15"/>
      <c r="D247" s="15">
        <v>6.3</v>
      </c>
      <c r="E247" s="15"/>
      <c r="F247" s="15" t="str">
        <f t="shared" si="1"/>
        <v/>
      </c>
      <c r="G247" s="15">
        <f t="shared" si="2"/>
        <v>6.3</v>
      </c>
      <c r="H247" s="16">
        <v>1.0</v>
      </c>
      <c r="I247" s="15">
        <f t="shared" si="3"/>
        <v>0.78</v>
      </c>
      <c r="J247" s="15">
        <v>23.51</v>
      </c>
      <c r="K247" s="16">
        <f>IF(COUNTIFS(Release_Calendar!$A$2:$A$755,"US_CPI",Release_Calendar!$B$2:$B$755,$A247)&gt;0,1,0)</f>
        <v>0</v>
      </c>
      <c r="L247" s="16">
        <f>IF(COUNTIFS(Release_Calendar!$A$2:$A$755,"US_NFP",Release_Calendar!$B$2:$B$755,$A247)&gt;0,1,0)</f>
        <v>0</v>
      </c>
      <c r="M247" s="16" t="str">
        <f>IF($A247&lt;Notes!$B$5,"",IF(COUNTIFS(Release_Calendar!$A$2:$A$755,"NZ_CPI",Release_Calendar!$B$2:$B$755,$A247)&gt;0,1,0))</f>
        <v/>
      </c>
      <c r="N247" s="16" t="str">
        <f>IF($A247&lt;Notes!$B$5,"",IF(COUNTIFS(Release_Calendar!$A$2:$A$755,"NZ_GDP",Release_Calendar!$B$2:$B$755,$A247)&gt;0,1,0))</f>
        <v/>
      </c>
      <c r="O247" s="16" t="str">
        <f>IF($A247&lt;Notes!$B$5,"",IF(COUNTIFS(Release_Calendar!$A$2:$A$755,"NZ_LABOUR",Release_Calendar!$B$2:$B$755,$A247)&gt;0,1,0))</f>
        <v/>
      </c>
      <c r="P247" s="16">
        <f t="shared" si="4"/>
        <v>0</v>
      </c>
    </row>
    <row r="248" ht="15.75" customHeight="1">
      <c r="A248" s="14">
        <v>36872.0</v>
      </c>
      <c r="B248" s="15">
        <v>5.54</v>
      </c>
      <c r="C248" s="15"/>
      <c r="D248" s="15">
        <v>6.33</v>
      </c>
      <c r="E248" s="15"/>
      <c r="F248" s="15" t="str">
        <f t="shared" si="1"/>
        <v/>
      </c>
      <c r="G248" s="15">
        <f t="shared" si="2"/>
        <v>6.33</v>
      </c>
      <c r="H248" s="16">
        <v>1.0</v>
      </c>
      <c r="I248" s="15">
        <f t="shared" si="3"/>
        <v>0.79</v>
      </c>
      <c r="J248" s="15">
        <v>24.88</v>
      </c>
      <c r="K248" s="16">
        <f>IF(COUNTIFS(Release_Calendar!$A$2:$A$755,"US_CPI",Release_Calendar!$B$2:$B$755,$A248)&gt;0,1,0)</f>
        <v>0</v>
      </c>
      <c r="L248" s="16">
        <f>IF(COUNTIFS(Release_Calendar!$A$2:$A$755,"US_NFP",Release_Calendar!$B$2:$B$755,$A248)&gt;0,1,0)</f>
        <v>0</v>
      </c>
      <c r="M248" s="16" t="str">
        <f>IF($A248&lt;Notes!$B$5,"",IF(COUNTIFS(Release_Calendar!$A$2:$A$755,"NZ_CPI",Release_Calendar!$B$2:$B$755,$A248)&gt;0,1,0))</f>
        <v/>
      </c>
      <c r="N248" s="16" t="str">
        <f>IF($A248&lt;Notes!$B$5,"",IF(COUNTIFS(Release_Calendar!$A$2:$A$755,"NZ_GDP",Release_Calendar!$B$2:$B$755,$A248)&gt;0,1,0))</f>
        <v/>
      </c>
      <c r="O248" s="16" t="str">
        <f>IF($A248&lt;Notes!$B$5,"",IF(COUNTIFS(Release_Calendar!$A$2:$A$755,"NZ_LABOUR",Release_Calendar!$B$2:$B$755,$A248)&gt;0,1,0))</f>
        <v/>
      </c>
      <c r="P248" s="16">
        <f t="shared" si="4"/>
        <v>0</v>
      </c>
    </row>
    <row r="249" ht="15.75" customHeight="1">
      <c r="A249" s="14">
        <v>36873.0</v>
      </c>
      <c r="B249" s="15">
        <v>5.45</v>
      </c>
      <c r="C249" s="15"/>
      <c r="D249" s="15">
        <v>6.33</v>
      </c>
      <c r="E249" s="15"/>
      <c r="F249" s="15" t="str">
        <f t="shared" si="1"/>
        <v/>
      </c>
      <c r="G249" s="15">
        <f t="shared" si="2"/>
        <v>6.33</v>
      </c>
      <c r="H249" s="16">
        <v>1.0</v>
      </c>
      <c r="I249" s="15">
        <f t="shared" si="3"/>
        <v>0.88</v>
      </c>
      <c r="J249" s="15">
        <v>23.63</v>
      </c>
      <c r="K249" s="16">
        <f>IF(COUNTIFS(Release_Calendar!$A$2:$A$755,"US_CPI",Release_Calendar!$B$2:$B$755,$A249)&gt;0,1,0)</f>
        <v>0</v>
      </c>
      <c r="L249" s="16">
        <f>IF(COUNTIFS(Release_Calendar!$A$2:$A$755,"US_NFP",Release_Calendar!$B$2:$B$755,$A249)&gt;0,1,0)</f>
        <v>0</v>
      </c>
      <c r="M249" s="16" t="str">
        <f>IF($A249&lt;Notes!$B$5,"",IF(COUNTIFS(Release_Calendar!$A$2:$A$755,"NZ_CPI",Release_Calendar!$B$2:$B$755,$A249)&gt;0,1,0))</f>
        <v/>
      </c>
      <c r="N249" s="16" t="str">
        <f>IF($A249&lt;Notes!$B$5,"",IF(COUNTIFS(Release_Calendar!$A$2:$A$755,"NZ_GDP",Release_Calendar!$B$2:$B$755,$A249)&gt;0,1,0))</f>
        <v/>
      </c>
      <c r="O249" s="16" t="str">
        <f>IF($A249&lt;Notes!$B$5,"",IF(COUNTIFS(Release_Calendar!$A$2:$A$755,"NZ_LABOUR",Release_Calendar!$B$2:$B$755,$A249)&gt;0,1,0))</f>
        <v/>
      </c>
      <c r="P249" s="16">
        <f t="shared" si="4"/>
        <v>0</v>
      </c>
    </row>
    <row r="250" ht="15.75" customHeight="1">
      <c r="A250" s="14">
        <v>36874.0</v>
      </c>
      <c r="B250" s="15">
        <v>5.43</v>
      </c>
      <c r="C250" s="15"/>
      <c r="D250" s="15">
        <v>6.29</v>
      </c>
      <c r="E250" s="15"/>
      <c r="F250" s="15" t="str">
        <f t="shared" si="1"/>
        <v/>
      </c>
      <c r="G250" s="15">
        <f t="shared" si="2"/>
        <v>6.29</v>
      </c>
      <c r="H250" s="16">
        <v>1.0</v>
      </c>
      <c r="I250" s="15">
        <f t="shared" si="3"/>
        <v>0.86</v>
      </c>
      <c r="J250" s="15">
        <v>24.86</v>
      </c>
      <c r="K250" s="16">
        <f>IF(COUNTIFS(Release_Calendar!$A$2:$A$755,"US_CPI",Release_Calendar!$B$2:$B$755,$A250)&gt;0,1,0)</f>
        <v>0</v>
      </c>
      <c r="L250" s="16">
        <f>IF(COUNTIFS(Release_Calendar!$A$2:$A$755,"US_NFP",Release_Calendar!$B$2:$B$755,$A250)&gt;0,1,0)</f>
        <v>0</v>
      </c>
      <c r="M250" s="16" t="str">
        <f>IF($A250&lt;Notes!$B$5,"",IF(COUNTIFS(Release_Calendar!$A$2:$A$755,"NZ_CPI",Release_Calendar!$B$2:$B$755,$A250)&gt;0,1,0))</f>
        <v/>
      </c>
      <c r="N250" s="16" t="str">
        <f>IF($A250&lt;Notes!$B$5,"",IF(COUNTIFS(Release_Calendar!$A$2:$A$755,"NZ_GDP",Release_Calendar!$B$2:$B$755,$A250)&gt;0,1,0))</f>
        <v/>
      </c>
      <c r="O250" s="16" t="str">
        <f>IF($A250&lt;Notes!$B$5,"",IF(COUNTIFS(Release_Calendar!$A$2:$A$755,"NZ_LABOUR",Release_Calendar!$B$2:$B$755,$A250)&gt;0,1,0))</f>
        <v/>
      </c>
      <c r="P250" s="16">
        <f t="shared" si="4"/>
        <v>0</v>
      </c>
    </row>
    <row r="251" ht="15.75" customHeight="1">
      <c r="A251" s="14">
        <v>36875.0</v>
      </c>
      <c r="B251" s="15">
        <v>5.38</v>
      </c>
      <c r="C251" s="15"/>
      <c r="D251" s="15">
        <v>6.26</v>
      </c>
      <c r="E251" s="15"/>
      <c r="F251" s="15" t="str">
        <f t="shared" si="1"/>
        <v/>
      </c>
      <c r="G251" s="15">
        <f t="shared" si="2"/>
        <v>6.26</v>
      </c>
      <c r="H251" s="16">
        <v>1.0</v>
      </c>
      <c r="I251" s="15">
        <f t="shared" si="3"/>
        <v>0.88</v>
      </c>
      <c r="J251" s="15">
        <v>26.55</v>
      </c>
      <c r="K251" s="16">
        <f>IF(COUNTIFS(Release_Calendar!$A$2:$A$755,"US_CPI",Release_Calendar!$B$2:$B$755,$A251)&gt;0,1,0)</f>
        <v>1</v>
      </c>
      <c r="L251" s="16">
        <f>IF(COUNTIFS(Release_Calendar!$A$2:$A$755,"US_NFP",Release_Calendar!$B$2:$B$755,$A251)&gt;0,1,0)</f>
        <v>0</v>
      </c>
      <c r="M251" s="16" t="str">
        <f>IF($A251&lt;Notes!$B$5,"",IF(COUNTIFS(Release_Calendar!$A$2:$A$755,"NZ_CPI",Release_Calendar!$B$2:$B$755,$A251)&gt;0,1,0))</f>
        <v/>
      </c>
      <c r="N251" s="16" t="str">
        <f>IF($A251&lt;Notes!$B$5,"",IF(COUNTIFS(Release_Calendar!$A$2:$A$755,"NZ_GDP",Release_Calendar!$B$2:$B$755,$A251)&gt;0,1,0))</f>
        <v/>
      </c>
      <c r="O251" s="16" t="str">
        <f>IF($A251&lt;Notes!$B$5,"",IF(COUNTIFS(Release_Calendar!$A$2:$A$755,"NZ_LABOUR",Release_Calendar!$B$2:$B$755,$A251)&gt;0,1,0))</f>
        <v/>
      </c>
      <c r="P251" s="16">
        <f t="shared" si="4"/>
        <v>1</v>
      </c>
    </row>
    <row r="252" ht="15.75" customHeight="1">
      <c r="A252" s="14">
        <v>36878.0</v>
      </c>
      <c r="B252" s="15">
        <v>5.33</v>
      </c>
      <c r="C252" s="15"/>
      <c r="D252" s="15">
        <v>6.21</v>
      </c>
      <c r="E252" s="15"/>
      <c r="F252" s="15" t="str">
        <f t="shared" si="1"/>
        <v/>
      </c>
      <c r="G252" s="15">
        <f t="shared" si="2"/>
        <v>6.21</v>
      </c>
      <c r="H252" s="16">
        <v>1.0</v>
      </c>
      <c r="I252" s="15">
        <f t="shared" si="3"/>
        <v>0.88</v>
      </c>
      <c r="J252" s="15">
        <v>27.7</v>
      </c>
      <c r="K252" s="16">
        <f>IF(COUNTIFS(Release_Calendar!$A$2:$A$755,"US_CPI",Release_Calendar!$B$2:$B$755,$A252)&gt;0,1,0)</f>
        <v>0</v>
      </c>
      <c r="L252" s="16">
        <f>IF(COUNTIFS(Release_Calendar!$A$2:$A$755,"US_NFP",Release_Calendar!$B$2:$B$755,$A252)&gt;0,1,0)</f>
        <v>0</v>
      </c>
      <c r="M252" s="16" t="str">
        <f>IF($A252&lt;Notes!$B$5,"",IF(COUNTIFS(Release_Calendar!$A$2:$A$755,"NZ_CPI",Release_Calendar!$B$2:$B$755,$A252)&gt;0,1,0))</f>
        <v/>
      </c>
      <c r="N252" s="16" t="str">
        <f>IF($A252&lt;Notes!$B$5,"",IF(COUNTIFS(Release_Calendar!$A$2:$A$755,"NZ_GDP",Release_Calendar!$B$2:$B$755,$A252)&gt;0,1,0))</f>
        <v/>
      </c>
      <c r="O252" s="16" t="str">
        <f>IF($A252&lt;Notes!$B$5,"",IF(COUNTIFS(Release_Calendar!$A$2:$A$755,"NZ_LABOUR",Release_Calendar!$B$2:$B$755,$A252)&gt;0,1,0))</f>
        <v/>
      </c>
      <c r="P252" s="16">
        <f t="shared" si="4"/>
        <v>0</v>
      </c>
    </row>
    <row r="253" ht="15.75" customHeight="1">
      <c r="A253" s="14">
        <v>36879.0</v>
      </c>
      <c r="B253" s="15">
        <v>5.35</v>
      </c>
      <c r="C253" s="15"/>
      <c r="D253" s="15">
        <v>6.24</v>
      </c>
      <c r="E253" s="15"/>
      <c r="F253" s="15" t="str">
        <f t="shared" si="1"/>
        <v/>
      </c>
      <c r="G253" s="15">
        <f t="shared" si="2"/>
        <v>6.24</v>
      </c>
      <c r="H253" s="16">
        <v>1.0</v>
      </c>
      <c r="I253" s="15">
        <f t="shared" si="3"/>
        <v>0.89</v>
      </c>
      <c r="J253" s="15">
        <v>27.17</v>
      </c>
      <c r="K253" s="16">
        <f>IF(COUNTIFS(Release_Calendar!$A$2:$A$755,"US_CPI",Release_Calendar!$B$2:$B$755,$A253)&gt;0,1,0)</f>
        <v>0</v>
      </c>
      <c r="L253" s="16">
        <f>IF(COUNTIFS(Release_Calendar!$A$2:$A$755,"US_NFP",Release_Calendar!$B$2:$B$755,$A253)&gt;0,1,0)</f>
        <v>0</v>
      </c>
      <c r="M253" s="16" t="str">
        <f>IF($A253&lt;Notes!$B$5,"",IF(COUNTIFS(Release_Calendar!$A$2:$A$755,"NZ_CPI",Release_Calendar!$B$2:$B$755,$A253)&gt;0,1,0))</f>
        <v/>
      </c>
      <c r="N253" s="16" t="str">
        <f>IF($A253&lt;Notes!$B$5,"",IF(COUNTIFS(Release_Calendar!$A$2:$A$755,"NZ_GDP",Release_Calendar!$B$2:$B$755,$A253)&gt;0,1,0))</f>
        <v/>
      </c>
      <c r="O253" s="16" t="str">
        <f>IF($A253&lt;Notes!$B$5,"",IF(COUNTIFS(Release_Calendar!$A$2:$A$755,"NZ_LABOUR",Release_Calendar!$B$2:$B$755,$A253)&gt;0,1,0))</f>
        <v/>
      </c>
      <c r="P253" s="16">
        <f t="shared" si="4"/>
        <v>0</v>
      </c>
    </row>
    <row r="254" ht="15.75" customHeight="1">
      <c r="A254" s="14">
        <v>36880.0</v>
      </c>
      <c r="B254" s="15">
        <v>5.24</v>
      </c>
      <c r="C254" s="15"/>
      <c r="D254" s="15">
        <v>6.3</v>
      </c>
      <c r="E254" s="15"/>
      <c r="F254" s="15" t="str">
        <f t="shared" si="1"/>
        <v/>
      </c>
      <c r="G254" s="15">
        <f t="shared" si="2"/>
        <v>6.3</v>
      </c>
      <c r="H254" s="16">
        <v>1.0</v>
      </c>
      <c r="I254" s="15">
        <f t="shared" si="3"/>
        <v>1.06</v>
      </c>
      <c r="J254" s="15">
        <v>31.74</v>
      </c>
      <c r="K254" s="16">
        <f>IF(COUNTIFS(Release_Calendar!$A$2:$A$755,"US_CPI",Release_Calendar!$B$2:$B$755,$A254)&gt;0,1,0)</f>
        <v>0</v>
      </c>
      <c r="L254" s="16">
        <f>IF(COUNTIFS(Release_Calendar!$A$2:$A$755,"US_NFP",Release_Calendar!$B$2:$B$755,$A254)&gt;0,1,0)</f>
        <v>0</v>
      </c>
      <c r="M254" s="16" t="str">
        <f>IF($A254&lt;Notes!$B$5,"",IF(COUNTIFS(Release_Calendar!$A$2:$A$755,"NZ_CPI",Release_Calendar!$B$2:$B$755,$A254)&gt;0,1,0))</f>
        <v/>
      </c>
      <c r="N254" s="16" t="str">
        <f>IF($A254&lt;Notes!$B$5,"",IF(COUNTIFS(Release_Calendar!$A$2:$A$755,"NZ_GDP",Release_Calendar!$B$2:$B$755,$A254)&gt;0,1,0))</f>
        <v/>
      </c>
      <c r="O254" s="16" t="str">
        <f>IF($A254&lt;Notes!$B$5,"",IF(COUNTIFS(Release_Calendar!$A$2:$A$755,"NZ_LABOUR",Release_Calendar!$B$2:$B$755,$A254)&gt;0,1,0))</f>
        <v/>
      </c>
      <c r="P254" s="16">
        <f t="shared" si="4"/>
        <v>0</v>
      </c>
    </row>
    <row r="255" ht="15.75" customHeight="1">
      <c r="A255" s="14">
        <v>36881.0</v>
      </c>
      <c r="B255" s="15">
        <v>5.14</v>
      </c>
      <c r="C255" s="15"/>
      <c r="D255" s="15">
        <v>6.22</v>
      </c>
      <c r="E255" s="15"/>
      <c r="F255" s="15" t="str">
        <f t="shared" si="1"/>
        <v/>
      </c>
      <c r="G255" s="15">
        <f t="shared" si="2"/>
        <v>6.22</v>
      </c>
      <c r="H255" s="16">
        <v>1.0</v>
      </c>
      <c r="I255" s="15">
        <f t="shared" si="3"/>
        <v>1.08</v>
      </c>
      <c r="J255" s="15">
        <v>29.66</v>
      </c>
      <c r="K255" s="16">
        <f>IF(COUNTIFS(Release_Calendar!$A$2:$A$755,"US_CPI",Release_Calendar!$B$2:$B$755,$A255)&gt;0,1,0)</f>
        <v>0</v>
      </c>
      <c r="L255" s="16">
        <f>IF(COUNTIFS(Release_Calendar!$A$2:$A$755,"US_NFP",Release_Calendar!$B$2:$B$755,$A255)&gt;0,1,0)</f>
        <v>0</v>
      </c>
      <c r="M255" s="16" t="str">
        <f>IF($A255&lt;Notes!$B$5,"",IF(COUNTIFS(Release_Calendar!$A$2:$A$755,"NZ_CPI",Release_Calendar!$B$2:$B$755,$A255)&gt;0,1,0))</f>
        <v/>
      </c>
      <c r="N255" s="16" t="str">
        <f>IF($A255&lt;Notes!$B$5,"",IF(COUNTIFS(Release_Calendar!$A$2:$A$755,"NZ_GDP",Release_Calendar!$B$2:$B$755,$A255)&gt;0,1,0))</f>
        <v/>
      </c>
      <c r="O255" s="16" t="str">
        <f>IF($A255&lt;Notes!$B$5,"",IF(COUNTIFS(Release_Calendar!$A$2:$A$755,"NZ_LABOUR",Release_Calendar!$B$2:$B$755,$A255)&gt;0,1,0))</f>
        <v/>
      </c>
      <c r="P255" s="16">
        <f t="shared" si="4"/>
        <v>0</v>
      </c>
    </row>
    <row r="256" ht="15.75" customHeight="1">
      <c r="A256" s="14">
        <v>36882.0</v>
      </c>
      <c r="B256" s="15">
        <v>5.1</v>
      </c>
      <c r="C256" s="15"/>
      <c r="D256" s="15">
        <v>6.11</v>
      </c>
      <c r="E256" s="15"/>
      <c r="F256" s="15" t="str">
        <f t="shared" si="1"/>
        <v/>
      </c>
      <c r="G256" s="15">
        <f t="shared" si="2"/>
        <v>6.11</v>
      </c>
      <c r="H256" s="16">
        <v>1.0</v>
      </c>
      <c r="I256" s="15">
        <f t="shared" si="3"/>
        <v>1.01</v>
      </c>
      <c r="J256" s="15">
        <v>27.55</v>
      </c>
      <c r="K256" s="16">
        <f>IF(COUNTIFS(Release_Calendar!$A$2:$A$755,"US_CPI",Release_Calendar!$B$2:$B$755,$A256)&gt;0,1,0)</f>
        <v>0</v>
      </c>
      <c r="L256" s="16">
        <f>IF(COUNTIFS(Release_Calendar!$A$2:$A$755,"US_NFP",Release_Calendar!$B$2:$B$755,$A256)&gt;0,1,0)</f>
        <v>0</v>
      </c>
      <c r="M256" s="16" t="str">
        <f>IF($A256&lt;Notes!$B$5,"",IF(COUNTIFS(Release_Calendar!$A$2:$A$755,"NZ_CPI",Release_Calendar!$B$2:$B$755,$A256)&gt;0,1,0))</f>
        <v/>
      </c>
      <c r="N256" s="16" t="str">
        <f>IF($A256&lt;Notes!$B$5,"",IF(COUNTIFS(Release_Calendar!$A$2:$A$755,"NZ_GDP",Release_Calendar!$B$2:$B$755,$A256)&gt;0,1,0))</f>
        <v/>
      </c>
      <c r="O256" s="16" t="str">
        <f>IF($A256&lt;Notes!$B$5,"",IF(COUNTIFS(Release_Calendar!$A$2:$A$755,"NZ_LABOUR",Release_Calendar!$B$2:$B$755,$A256)&gt;0,1,0))</f>
        <v/>
      </c>
      <c r="P256" s="16">
        <f t="shared" si="4"/>
        <v>0</v>
      </c>
    </row>
    <row r="257" ht="15.75" customHeight="1">
      <c r="A257" s="14">
        <v>36885.0</v>
      </c>
      <c r="B257" s="15"/>
      <c r="C257" s="15"/>
      <c r="D257" s="15"/>
      <c r="E257" s="15"/>
      <c r="F257" s="15" t="str">
        <f t="shared" si="1"/>
        <v/>
      </c>
      <c r="G257" s="15" t="str">
        <f t="shared" si="2"/>
        <v/>
      </c>
      <c r="H257" s="16">
        <v>1.0</v>
      </c>
      <c r="I257" s="15" t="str">
        <f t="shared" si="3"/>
        <v/>
      </c>
      <c r="J257" s="15"/>
      <c r="K257" s="16">
        <f>IF(COUNTIFS(Release_Calendar!$A$2:$A$755,"US_CPI",Release_Calendar!$B$2:$B$755,$A257)&gt;0,1,0)</f>
        <v>0</v>
      </c>
      <c r="L257" s="16">
        <f>IF(COUNTIFS(Release_Calendar!$A$2:$A$755,"US_NFP",Release_Calendar!$B$2:$B$755,$A257)&gt;0,1,0)</f>
        <v>0</v>
      </c>
      <c r="M257" s="16" t="str">
        <f>IF($A257&lt;Notes!$B$5,"",IF(COUNTIFS(Release_Calendar!$A$2:$A$755,"NZ_CPI",Release_Calendar!$B$2:$B$755,$A257)&gt;0,1,0))</f>
        <v/>
      </c>
      <c r="N257" s="16" t="str">
        <f>IF($A257&lt;Notes!$B$5,"",IF(COUNTIFS(Release_Calendar!$A$2:$A$755,"NZ_GDP",Release_Calendar!$B$2:$B$755,$A257)&gt;0,1,0))</f>
        <v/>
      </c>
      <c r="O257" s="16" t="str">
        <f>IF($A257&lt;Notes!$B$5,"",IF(COUNTIFS(Release_Calendar!$A$2:$A$755,"NZ_LABOUR",Release_Calendar!$B$2:$B$755,$A257)&gt;0,1,0))</f>
        <v/>
      </c>
      <c r="P257" s="16">
        <f t="shared" si="4"/>
        <v>0</v>
      </c>
    </row>
    <row r="258" ht="15.75" customHeight="1">
      <c r="A258" s="14">
        <v>36886.0</v>
      </c>
      <c r="B258" s="15">
        <v>5.1</v>
      </c>
      <c r="C258" s="15"/>
      <c r="D258" s="15"/>
      <c r="E258" s="15"/>
      <c r="F258" s="15" t="str">
        <f t="shared" si="1"/>
        <v/>
      </c>
      <c r="G258" s="15" t="str">
        <f t="shared" si="2"/>
        <v/>
      </c>
      <c r="H258" s="16">
        <v>1.0</v>
      </c>
      <c r="I258" s="15" t="str">
        <f t="shared" si="3"/>
        <v/>
      </c>
      <c r="J258" s="15">
        <v>28.73</v>
      </c>
      <c r="K258" s="16">
        <f>IF(COUNTIFS(Release_Calendar!$A$2:$A$755,"US_CPI",Release_Calendar!$B$2:$B$755,$A258)&gt;0,1,0)</f>
        <v>0</v>
      </c>
      <c r="L258" s="16">
        <f>IF(COUNTIFS(Release_Calendar!$A$2:$A$755,"US_NFP",Release_Calendar!$B$2:$B$755,$A258)&gt;0,1,0)</f>
        <v>0</v>
      </c>
      <c r="M258" s="16" t="str">
        <f>IF($A258&lt;Notes!$B$5,"",IF(COUNTIFS(Release_Calendar!$A$2:$A$755,"NZ_CPI",Release_Calendar!$B$2:$B$755,$A258)&gt;0,1,0))</f>
        <v/>
      </c>
      <c r="N258" s="16" t="str">
        <f>IF($A258&lt;Notes!$B$5,"",IF(COUNTIFS(Release_Calendar!$A$2:$A$755,"NZ_GDP",Release_Calendar!$B$2:$B$755,$A258)&gt;0,1,0))</f>
        <v/>
      </c>
      <c r="O258" s="16" t="str">
        <f>IF($A258&lt;Notes!$B$5,"",IF(COUNTIFS(Release_Calendar!$A$2:$A$755,"NZ_LABOUR",Release_Calendar!$B$2:$B$755,$A258)&gt;0,1,0))</f>
        <v/>
      </c>
      <c r="P258" s="16">
        <f t="shared" si="4"/>
        <v>0</v>
      </c>
    </row>
    <row r="259" ht="15.75" customHeight="1">
      <c r="A259" s="14">
        <v>36887.0</v>
      </c>
      <c r="B259" s="15">
        <v>5.1</v>
      </c>
      <c r="C259" s="15"/>
      <c r="D259" s="15">
        <v>6.08</v>
      </c>
      <c r="E259" s="15"/>
      <c r="F259" s="15" t="str">
        <f t="shared" si="1"/>
        <v/>
      </c>
      <c r="G259" s="15">
        <f t="shared" si="2"/>
        <v>6.08</v>
      </c>
      <c r="H259" s="16">
        <v>1.0</v>
      </c>
      <c r="I259" s="15">
        <f t="shared" si="3"/>
        <v>0.98</v>
      </c>
      <c r="J259" s="15">
        <v>28.14</v>
      </c>
      <c r="K259" s="16">
        <f>IF(COUNTIFS(Release_Calendar!$A$2:$A$755,"US_CPI",Release_Calendar!$B$2:$B$755,$A259)&gt;0,1,0)</f>
        <v>0</v>
      </c>
      <c r="L259" s="16">
        <f>IF(COUNTIFS(Release_Calendar!$A$2:$A$755,"US_NFP",Release_Calendar!$B$2:$B$755,$A259)&gt;0,1,0)</f>
        <v>0</v>
      </c>
      <c r="M259" s="16" t="str">
        <f>IF($A259&lt;Notes!$B$5,"",IF(COUNTIFS(Release_Calendar!$A$2:$A$755,"NZ_CPI",Release_Calendar!$B$2:$B$755,$A259)&gt;0,1,0))</f>
        <v/>
      </c>
      <c r="N259" s="16" t="str">
        <f>IF($A259&lt;Notes!$B$5,"",IF(COUNTIFS(Release_Calendar!$A$2:$A$755,"NZ_GDP",Release_Calendar!$B$2:$B$755,$A259)&gt;0,1,0))</f>
        <v/>
      </c>
      <c r="O259" s="16" t="str">
        <f>IF($A259&lt;Notes!$B$5,"",IF(COUNTIFS(Release_Calendar!$A$2:$A$755,"NZ_LABOUR",Release_Calendar!$B$2:$B$755,$A259)&gt;0,1,0))</f>
        <v/>
      </c>
      <c r="P259" s="16">
        <f t="shared" si="4"/>
        <v>0</v>
      </c>
    </row>
    <row r="260" ht="15.75" customHeight="1">
      <c r="A260" s="14">
        <v>36888.0</v>
      </c>
      <c r="B260" s="15">
        <v>5.18</v>
      </c>
      <c r="C260" s="15"/>
      <c r="D260" s="15">
        <v>6.12</v>
      </c>
      <c r="E260" s="15"/>
      <c r="F260" s="15" t="str">
        <f t="shared" si="1"/>
        <v/>
      </c>
      <c r="G260" s="15">
        <f t="shared" si="2"/>
        <v>6.12</v>
      </c>
      <c r="H260" s="16">
        <v>1.0</v>
      </c>
      <c r="I260" s="15">
        <f t="shared" si="3"/>
        <v>0.94</v>
      </c>
      <c r="J260" s="15">
        <v>26.57</v>
      </c>
      <c r="K260" s="16">
        <f>IF(COUNTIFS(Release_Calendar!$A$2:$A$755,"US_CPI",Release_Calendar!$B$2:$B$755,$A260)&gt;0,1,0)</f>
        <v>0</v>
      </c>
      <c r="L260" s="16">
        <f>IF(COUNTIFS(Release_Calendar!$A$2:$A$755,"US_NFP",Release_Calendar!$B$2:$B$755,$A260)&gt;0,1,0)</f>
        <v>0</v>
      </c>
      <c r="M260" s="16" t="str">
        <f>IF($A260&lt;Notes!$B$5,"",IF(COUNTIFS(Release_Calendar!$A$2:$A$755,"NZ_CPI",Release_Calendar!$B$2:$B$755,$A260)&gt;0,1,0))</f>
        <v/>
      </c>
      <c r="N260" s="16" t="str">
        <f>IF($A260&lt;Notes!$B$5,"",IF(COUNTIFS(Release_Calendar!$A$2:$A$755,"NZ_GDP",Release_Calendar!$B$2:$B$755,$A260)&gt;0,1,0))</f>
        <v/>
      </c>
      <c r="O260" s="16" t="str">
        <f>IF($A260&lt;Notes!$B$5,"",IF(COUNTIFS(Release_Calendar!$A$2:$A$755,"NZ_LABOUR",Release_Calendar!$B$2:$B$755,$A260)&gt;0,1,0))</f>
        <v/>
      </c>
      <c r="P260" s="16">
        <f t="shared" si="4"/>
        <v>0</v>
      </c>
    </row>
    <row r="261" ht="15.75" customHeight="1">
      <c r="A261" s="14">
        <v>36889.0</v>
      </c>
      <c r="B261" s="15">
        <v>5.11</v>
      </c>
      <c r="C261" s="15"/>
      <c r="D261" s="15">
        <v>6.14</v>
      </c>
      <c r="E261" s="15"/>
      <c r="F261" s="15" t="str">
        <f t="shared" si="1"/>
        <v/>
      </c>
      <c r="G261" s="15">
        <f t="shared" si="2"/>
        <v>6.14</v>
      </c>
      <c r="H261" s="16">
        <v>1.0</v>
      </c>
      <c r="I261" s="15">
        <f t="shared" si="3"/>
        <v>1.03</v>
      </c>
      <c r="J261" s="15">
        <v>26.85</v>
      </c>
      <c r="K261" s="16">
        <f>IF(COUNTIFS(Release_Calendar!$A$2:$A$755,"US_CPI",Release_Calendar!$B$2:$B$755,$A261)&gt;0,1,0)</f>
        <v>0</v>
      </c>
      <c r="L261" s="16">
        <f>IF(COUNTIFS(Release_Calendar!$A$2:$A$755,"US_NFP",Release_Calendar!$B$2:$B$755,$A261)&gt;0,1,0)</f>
        <v>0</v>
      </c>
      <c r="M261" s="16" t="str">
        <f>IF($A261&lt;Notes!$B$5,"",IF(COUNTIFS(Release_Calendar!$A$2:$A$755,"NZ_CPI",Release_Calendar!$B$2:$B$755,$A261)&gt;0,1,0))</f>
        <v/>
      </c>
      <c r="N261" s="16" t="str">
        <f>IF($A261&lt;Notes!$B$5,"",IF(COUNTIFS(Release_Calendar!$A$2:$A$755,"NZ_GDP",Release_Calendar!$B$2:$B$755,$A261)&gt;0,1,0))</f>
        <v/>
      </c>
      <c r="O261" s="16" t="str">
        <f>IF($A261&lt;Notes!$B$5,"",IF(COUNTIFS(Release_Calendar!$A$2:$A$755,"NZ_LABOUR",Release_Calendar!$B$2:$B$755,$A261)&gt;0,1,0))</f>
        <v/>
      </c>
      <c r="P261" s="16">
        <f t="shared" si="4"/>
        <v>0</v>
      </c>
    </row>
    <row r="262" ht="15.75" customHeight="1">
      <c r="A262" s="14">
        <v>36892.0</v>
      </c>
      <c r="B262" s="15"/>
      <c r="C262" s="15"/>
      <c r="D262" s="15"/>
      <c r="E262" s="15"/>
      <c r="F262" s="15" t="str">
        <f t="shared" si="1"/>
        <v/>
      </c>
      <c r="G262" s="15" t="str">
        <f t="shared" si="2"/>
        <v/>
      </c>
      <c r="H262" s="16">
        <v>1.0</v>
      </c>
      <c r="I262" s="15" t="str">
        <f t="shared" si="3"/>
        <v/>
      </c>
      <c r="J262" s="15"/>
      <c r="K262" s="16">
        <f>IF(COUNTIFS(Release_Calendar!$A$2:$A$755,"US_CPI",Release_Calendar!$B$2:$B$755,$A262)&gt;0,1,0)</f>
        <v>0</v>
      </c>
      <c r="L262" s="16">
        <f>IF(COUNTIFS(Release_Calendar!$A$2:$A$755,"US_NFP",Release_Calendar!$B$2:$B$755,$A262)&gt;0,1,0)</f>
        <v>0</v>
      </c>
      <c r="M262" s="16" t="str">
        <f>IF($A262&lt;Notes!$B$5,"",IF(COUNTIFS(Release_Calendar!$A$2:$A$755,"NZ_CPI",Release_Calendar!$B$2:$B$755,$A262)&gt;0,1,0))</f>
        <v/>
      </c>
      <c r="N262" s="16" t="str">
        <f>IF($A262&lt;Notes!$B$5,"",IF(COUNTIFS(Release_Calendar!$A$2:$A$755,"NZ_GDP",Release_Calendar!$B$2:$B$755,$A262)&gt;0,1,0))</f>
        <v/>
      </c>
      <c r="O262" s="16" t="str">
        <f>IF($A262&lt;Notes!$B$5,"",IF(COUNTIFS(Release_Calendar!$A$2:$A$755,"NZ_LABOUR",Release_Calendar!$B$2:$B$755,$A262)&gt;0,1,0))</f>
        <v/>
      </c>
      <c r="P262" s="16">
        <f t="shared" si="4"/>
        <v>0</v>
      </c>
    </row>
    <row r="263" ht="15.75" customHeight="1">
      <c r="A263" s="14">
        <v>36893.0</v>
      </c>
      <c r="B263" s="15">
        <v>4.87</v>
      </c>
      <c r="C263" s="15"/>
      <c r="D263" s="15"/>
      <c r="E263" s="15"/>
      <c r="F263" s="15" t="str">
        <f t="shared" si="1"/>
        <v/>
      </c>
      <c r="G263" s="15" t="str">
        <f t="shared" si="2"/>
        <v/>
      </c>
      <c r="H263" s="16">
        <v>1.0</v>
      </c>
      <c r="I263" s="15" t="str">
        <f t="shared" si="3"/>
        <v/>
      </c>
      <c r="J263" s="15">
        <v>29.99</v>
      </c>
      <c r="K263" s="16">
        <f>IF(COUNTIFS(Release_Calendar!$A$2:$A$755,"US_CPI",Release_Calendar!$B$2:$B$755,$A263)&gt;0,1,0)</f>
        <v>0</v>
      </c>
      <c r="L263" s="16">
        <f>IF(COUNTIFS(Release_Calendar!$A$2:$A$755,"US_NFP",Release_Calendar!$B$2:$B$755,$A263)&gt;0,1,0)</f>
        <v>0</v>
      </c>
      <c r="M263" s="16" t="str">
        <f>IF($A263&lt;Notes!$B$5,"",IF(COUNTIFS(Release_Calendar!$A$2:$A$755,"NZ_CPI",Release_Calendar!$B$2:$B$755,$A263)&gt;0,1,0))</f>
        <v/>
      </c>
      <c r="N263" s="16" t="str">
        <f>IF($A263&lt;Notes!$B$5,"",IF(COUNTIFS(Release_Calendar!$A$2:$A$755,"NZ_GDP",Release_Calendar!$B$2:$B$755,$A263)&gt;0,1,0))</f>
        <v/>
      </c>
      <c r="O263" s="16" t="str">
        <f>IF($A263&lt;Notes!$B$5,"",IF(COUNTIFS(Release_Calendar!$A$2:$A$755,"NZ_LABOUR",Release_Calendar!$B$2:$B$755,$A263)&gt;0,1,0))</f>
        <v/>
      </c>
      <c r="P263" s="16">
        <f t="shared" si="4"/>
        <v>0</v>
      </c>
    </row>
    <row r="264" ht="15.75" customHeight="1">
      <c r="A264" s="14">
        <v>36894.0</v>
      </c>
      <c r="B264" s="15">
        <v>4.92</v>
      </c>
      <c r="C264" s="15"/>
      <c r="D264" s="15">
        <v>5.99</v>
      </c>
      <c r="E264" s="15"/>
      <c r="F264" s="15" t="str">
        <f t="shared" si="1"/>
        <v/>
      </c>
      <c r="G264" s="15">
        <f t="shared" si="2"/>
        <v>5.99</v>
      </c>
      <c r="H264" s="16">
        <v>1.0</v>
      </c>
      <c r="I264" s="15">
        <f t="shared" si="3"/>
        <v>1.07</v>
      </c>
      <c r="J264" s="15">
        <v>26.6</v>
      </c>
      <c r="K264" s="16">
        <f>IF(COUNTIFS(Release_Calendar!$A$2:$A$755,"US_CPI",Release_Calendar!$B$2:$B$755,$A264)&gt;0,1,0)</f>
        <v>0</v>
      </c>
      <c r="L264" s="16">
        <f>IF(COUNTIFS(Release_Calendar!$A$2:$A$755,"US_NFP",Release_Calendar!$B$2:$B$755,$A264)&gt;0,1,0)</f>
        <v>0</v>
      </c>
      <c r="M264" s="16" t="str">
        <f>IF($A264&lt;Notes!$B$5,"",IF(COUNTIFS(Release_Calendar!$A$2:$A$755,"NZ_CPI",Release_Calendar!$B$2:$B$755,$A264)&gt;0,1,0))</f>
        <v/>
      </c>
      <c r="N264" s="16" t="str">
        <f>IF($A264&lt;Notes!$B$5,"",IF(COUNTIFS(Release_Calendar!$A$2:$A$755,"NZ_GDP",Release_Calendar!$B$2:$B$755,$A264)&gt;0,1,0))</f>
        <v/>
      </c>
      <c r="O264" s="16" t="str">
        <f>IF($A264&lt;Notes!$B$5,"",IF(COUNTIFS(Release_Calendar!$A$2:$A$755,"NZ_LABOUR",Release_Calendar!$B$2:$B$755,$A264)&gt;0,1,0))</f>
        <v/>
      </c>
      <c r="P264" s="16">
        <f t="shared" si="4"/>
        <v>0</v>
      </c>
    </row>
    <row r="265" ht="15.75" customHeight="1">
      <c r="A265" s="14">
        <v>36895.0</v>
      </c>
      <c r="B265" s="15">
        <v>4.77</v>
      </c>
      <c r="C265" s="15"/>
      <c r="D265" s="15">
        <v>6.0</v>
      </c>
      <c r="E265" s="15"/>
      <c r="F265" s="15" t="str">
        <f t="shared" si="1"/>
        <v/>
      </c>
      <c r="G265" s="15">
        <f t="shared" si="2"/>
        <v>6</v>
      </c>
      <c r="H265" s="16">
        <v>1.0</v>
      </c>
      <c r="I265" s="15">
        <f t="shared" si="3"/>
        <v>1.23</v>
      </c>
      <c r="J265" s="15">
        <v>26.97</v>
      </c>
      <c r="K265" s="16">
        <f>IF(COUNTIFS(Release_Calendar!$A$2:$A$755,"US_CPI",Release_Calendar!$B$2:$B$755,$A265)&gt;0,1,0)</f>
        <v>0</v>
      </c>
      <c r="L265" s="16">
        <f>IF(COUNTIFS(Release_Calendar!$A$2:$A$755,"US_NFP",Release_Calendar!$B$2:$B$755,$A265)&gt;0,1,0)</f>
        <v>0</v>
      </c>
      <c r="M265" s="16" t="str">
        <f>IF($A265&lt;Notes!$B$5,"",IF(COUNTIFS(Release_Calendar!$A$2:$A$755,"NZ_CPI",Release_Calendar!$B$2:$B$755,$A265)&gt;0,1,0))</f>
        <v/>
      </c>
      <c r="N265" s="16" t="str">
        <f>IF($A265&lt;Notes!$B$5,"",IF(COUNTIFS(Release_Calendar!$A$2:$A$755,"NZ_GDP",Release_Calendar!$B$2:$B$755,$A265)&gt;0,1,0))</f>
        <v/>
      </c>
      <c r="O265" s="16" t="str">
        <f>IF($A265&lt;Notes!$B$5,"",IF(COUNTIFS(Release_Calendar!$A$2:$A$755,"NZ_LABOUR",Release_Calendar!$B$2:$B$755,$A265)&gt;0,1,0))</f>
        <v/>
      </c>
      <c r="P265" s="16">
        <f t="shared" si="4"/>
        <v>0</v>
      </c>
    </row>
    <row r="266" ht="15.75" customHeight="1">
      <c r="A266" s="14">
        <v>36896.0</v>
      </c>
      <c r="B266" s="15">
        <v>4.56</v>
      </c>
      <c r="C266" s="15"/>
      <c r="D266" s="15">
        <v>5.85</v>
      </c>
      <c r="E266" s="15"/>
      <c r="F266" s="15" t="str">
        <f t="shared" si="1"/>
        <v/>
      </c>
      <c r="G266" s="15">
        <f t="shared" si="2"/>
        <v>5.85</v>
      </c>
      <c r="H266" s="16">
        <v>1.0</v>
      </c>
      <c r="I266" s="15">
        <f t="shared" si="3"/>
        <v>1.29</v>
      </c>
      <c r="J266" s="15">
        <v>28.67</v>
      </c>
      <c r="K266" s="16">
        <f>IF(COUNTIFS(Release_Calendar!$A$2:$A$755,"US_CPI",Release_Calendar!$B$2:$B$755,$A266)&gt;0,1,0)</f>
        <v>0</v>
      </c>
      <c r="L266" s="16">
        <f>IF(COUNTIFS(Release_Calendar!$A$2:$A$755,"US_NFP",Release_Calendar!$B$2:$B$755,$A266)&gt;0,1,0)</f>
        <v>1</v>
      </c>
      <c r="M266" s="16" t="str">
        <f>IF($A266&lt;Notes!$B$5,"",IF(COUNTIFS(Release_Calendar!$A$2:$A$755,"NZ_CPI",Release_Calendar!$B$2:$B$755,$A266)&gt;0,1,0))</f>
        <v/>
      </c>
      <c r="N266" s="16" t="str">
        <f>IF($A266&lt;Notes!$B$5,"",IF(COUNTIFS(Release_Calendar!$A$2:$A$755,"NZ_GDP",Release_Calendar!$B$2:$B$755,$A266)&gt;0,1,0))</f>
        <v/>
      </c>
      <c r="O266" s="16" t="str">
        <f>IF($A266&lt;Notes!$B$5,"",IF(COUNTIFS(Release_Calendar!$A$2:$A$755,"NZ_LABOUR",Release_Calendar!$B$2:$B$755,$A266)&gt;0,1,0))</f>
        <v/>
      </c>
      <c r="P266" s="16">
        <f t="shared" si="4"/>
        <v>1</v>
      </c>
    </row>
    <row r="267" ht="15.75" customHeight="1">
      <c r="A267" s="14">
        <v>36899.0</v>
      </c>
      <c r="B267" s="15">
        <v>4.54</v>
      </c>
      <c r="C267" s="15"/>
      <c r="D267" s="15">
        <v>5.63</v>
      </c>
      <c r="E267" s="15"/>
      <c r="F267" s="15" t="str">
        <f t="shared" si="1"/>
        <v/>
      </c>
      <c r="G267" s="15">
        <f t="shared" si="2"/>
        <v>5.63</v>
      </c>
      <c r="H267" s="16">
        <v>1.0</v>
      </c>
      <c r="I267" s="15">
        <f t="shared" si="3"/>
        <v>1.09</v>
      </c>
      <c r="J267" s="15">
        <v>29.84</v>
      </c>
      <c r="K267" s="16">
        <f>IF(COUNTIFS(Release_Calendar!$A$2:$A$755,"US_CPI",Release_Calendar!$B$2:$B$755,$A267)&gt;0,1,0)</f>
        <v>0</v>
      </c>
      <c r="L267" s="16">
        <f>IF(COUNTIFS(Release_Calendar!$A$2:$A$755,"US_NFP",Release_Calendar!$B$2:$B$755,$A267)&gt;0,1,0)</f>
        <v>0</v>
      </c>
      <c r="M267" s="16" t="str">
        <f>IF($A267&lt;Notes!$B$5,"",IF(COUNTIFS(Release_Calendar!$A$2:$A$755,"NZ_CPI",Release_Calendar!$B$2:$B$755,$A267)&gt;0,1,0))</f>
        <v/>
      </c>
      <c r="N267" s="16" t="str">
        <f>IF($A267&lt;Notes!$B$5,"",IF(COUNTIFS(Release_Calendar!$A$2:$A$755,"NZ_GDP",Release_Calendar!$B$2:$B$755,$A267)&gt;0,1,0))</f>
        <v/>
      </c>
      <c r="O267" s="16" t="str">
        <f>IF($A267&lt;Notes!$B$5,"",IF(COUNTIFS(Release_Calendar!$A$2:$A$755,"NZ_LABOUR",Release_Calendar!$B$2:$B$755,$A267)&gt;0,1,0))</f>
        <v/>
      </c>
      <c r="P267" s="16">
        <f t="shared" si="4"/>
        <v>0</v>
      </c>
    </row>
    <row r="268" ht="15.75" customHeight="1">
      <c r="A268" s="14">
        <v>36900.0</v>
      </c>
      <c r="B268" s="15">
        <v>4.64</v>
      </c>
      <c r="C268" s="15"/>
      <c r="D268" s="15">
        <v>5.74</v>
      </c>
      <c r="E268" s="15"/>
      <c r="F268" s="15" t="str">
        <f t="shared" si="1"/>
        <v/>
      </c>
      <c r="G268" s="15">
        <f t="shared" si="2"/>
        <v>5.74</v>
      </c>
      <c r="H268" s="16">
        <v>1.0</v>
      </c>
      <c r="I268" s="15">
        <f t="shared" si="3"/>
        <v>1.1</v>
      </c>
      <c r="J268" s="15">
        <v>27.99</v>
      </c>
      <c r="K268" s="16">
        <f>IF(COUNTIFS(Release_Calendar!$A$2:$A$755,"US_CPI",Release_Calendar!$B$2:$B$755,$A268)&gt;0,1,0)</f>
        <v>0</v>
      </c>
      <c r="L268" s="16">
        <f>IF(COUNTIFS(Release_Calendar!$A$2:$A$755,"US_NFP",Release_Calendar!$B$2:$B$755,$A268)&gt;0,1,0)</f>
        <v>0</v>
      </c>
      <c r="M268" s="16" t="str">
        <f>IF($A268&lt;Notes!$B$5,"",IF(COUNTIFS(Release_Calendar!$A$2:$A$755,"NZ_CPI",Release_Calendar!$B$2:$B$755,$A268)&gt;0,1,0))</f>
        <v/>
      </c>
      <c r="N268" s="16" t="str">
        <f>IF($A268&lt;Notes!$B$5,"",IF(COUNTIFS(Release_Calendar!$A$2:$A$755,"NZ_GDP",Release_Calendar!$B$2:$B$755,$A268)&gt;0,1,0))</f>
        <v/>
      </c>
      <c r="O268" s="16" t="str">
        <f>IF($A268&lt;Notes!$B$5,"",IF(COUNTIFS(Release_Calendar!$A$2:$A$755,"NZ_LABOUR",Release_Calendar!$B$2:$B$755,$A268)&gt;0,1,0))</f>
        <v/>
      </c>
      <c r="P268" s="16">
        <f t="shared" si="4"/>
        <v>0</v>
      </c>
    </row>
    <row r="269" ht="15.75" customHeight="1">
      <c r="A269" s="14">
        <v>36901.0</v>
      </c>
      <c r="B269" s="15">
        <v>4.76</v>
      </c>
      <c r="C269" s="15"/>
      <c r="D269" s="15">
        <v>5.77</v>
      </c>
      <c r="E269" s="15"/>
      <c r="F269" s="15" t="str">
        <f t="shared" si="1"/>
        <v/>
      </c>
      <c r="G269" s="15">
        <f t="shared" si="2"/>
        <v>5.77</v>
      </c>
      <c r="H269" s="16">
        <v>1.0</v>
      </c>
      <c r="I269" s="15">
        <f t="shared" si="3"/>
        <v>1.01</v>
      </c>
      <c r="J269" s="15">
        <v>26.8</v>
      </c>
      <c r="K269" s="16">
        <f>IF(COUNTIFS(Release_Calendar!$A$2:$A$755,"US_CPI",Release_Calendar!$B$2:$B$755,$A269)&gt;0,1,0)</f>
        <v>0</v>
      </c>
      <c r="L269" s="16">
        <f>IF(COUNTIFS(Release_Calendar!$A$2:$A$755,"US_NFP",Release_Calendar!$B$2:$B$755,$A269)&gt;0,1,0)</f>
        <v>0</v>
      </c>
      <c r="M269" s="16" t="str">
        <f>IF($A269&lt;Notes!$B$5,"",IF(COUNTIFS(Release_Calendar!$A$2:$A$755,"NZ_CPI",Release_Calendar!$B$2:$B$755,$A269)&gt;0,1,0))</f>
        <v/>
      </c>
      <c r="N269" s="16" t="str">
        <f>IF($A269&lt;Notes!$B$5,"",IF(COUNTIFS(Release_Calendar!$A$2:$A$755,"NZ_GDP",Release_Calendar!$B$2:$B$755,$A269)&gt;0,1,0))</f>
        <v/>
      </c>
      <c r="O269" s="16" t="str">
        <f>IF($A269&lt;Notes!$B$5,"",IF(COUNTIFS(Release_Calendar!$A$2:$A$755,"NZ_LABOUR",Release_Calendar!$B$2:$B$755,$A269)&gt;0,1,0))</f>
        <v/>
      </c>
      <c r="P269" s="16">
        <f t="shared" si="4"/>
        <v>0</v>
      </c>
    </row>
    <row r="270" ht="15.75" customHeight="1">
      <c r="A270" s="14">
        <v>36902.0</v>
      </c>
      <c r="B270" s="15">
        <v>4.77</v>
      </c>
      <c r="C270" s="15"/>
      <c r="D270" s="15">
        <v>5.86</v>
      </c>
      <c r="E270" s="15"/>
      <c r="F270" s="15" t="str">
        <f t="shared" si="1"/>
        <v/>
      </c>
      <c r="G270" s="15">
        <f t="shared" si="2"/>
        <v>5.86</v>
      </c>
      <c r="H270" s="16">
        <v>1.0</v>
      </c>
      <c r="I270" s="15">
        <f t="shared" si="3"/>
        <v>1.09</v>
      </c>
      <c r="J270" s="15">
        <v>25.79</v>
      </c>
      <c r="K270" s="16">
        <f>IF(COUNTIFS(Release_Calendar!$A$2:$A$755,"US_CPI",Release_Calendar!$B$2:$B$755,$A270)&gt;0,1,0)</f>
        <v>0</v>
      </c>
      <c r="L270" s="16">
        <f>IF(COUNTIFS(Release_Calendar!$A$2:$A$755,"US_NFP",Release_Calendar!$B$2:$B$755,$A270)&gt;0,1,0)</f>
        <v>0</v>
      </c>
      <c r="M270" s="16" t="str">
        <f>IF($A270&lt;Notes!$B$5,"",IF(COUNTIFS(Release_Calendar!$A$2:$A$755,"NZ_CPI",Release_Calendar!$B$2:$B$755,$A270)&gt;0,1,0))</f>
        <v/>
      </c>
      <c r="N270" s="16" t="str">
        <f>IF($A270&lt;Notes!$B$5,"",IF(COUNTIFS(Release_Calendar!$A$2:$A$755,"NZ_GDP",Release_Calendar!$B$2:$B$755,$A270)&gt;0,1,0))</f>
        <v/>
      </c>
      <c r="O270" s="16" t="str">
        <f>IF($A270&lt;Notes!$B$5,"",IF(COUNTIFS(Release_Calendar!$A$2:$A$755,"NZ_LABOUR",Release_Calendar!$B$2:$B$755,$A270)&gt;0,1,0))</f>
        <v/>
      </c>
      <c r="P270" s="16">
        <f t="shared" si="4"/>
        <v>0</v>
      </c>
    </row>
    <row r="271" ht="15.75" customHeight="1">
      <c r="A271" s="14">
        <v>36903.0</v>
      </c>
      <c r="B271" s="15">
        <v>4.9</v>
      </c>
      <c r="C271" s="15"/>
      <c r="D271" s="15">
        <v>5.79</v>
      </c>
      <c r="E271" s="15"/>
      <c r="F271" s="15" t="str">
        <f t="shared" si="1"/>
        <v/>
      </c>
      <c r="G271" s="15">
        <f t="shared" si="2"/>
        <v>5.79</v>
      </c>
      <c r="H271" s="16">
        <v>1.0</v>
      </c>
      <c r="I271" s="15">
        <f t="shared" si="3"/>
        <v>0.89</v>
      </c>
      <c r="J271" s="15">
        <v>24.56</v>
      </c>
      <c r="K271" s="16">
        <f>IF(COUNTIFS(Release_Calendar!$A$2:$A$755,"US_CPI",Release_Calendar!$B$2:$B$755,$A271)&gt;0,1,0)</f>
        <v>0</v>
      </c>
      <c r="L271" s="16">
        <f>IF(COUNTIFS(Release_Calendar!$A$2:$A$755,"US_NFP",Release_Calendar!$B$2:$B$755,$A271)&gt;0,1,0)</f>
        <v>0</v>
      </c>
      <c r="M271" s="16" t="str">
        <f>IF($A271&lt;Notes!$B$5,"",IF(COUNTIFS(Release_Calendar!$A$2:$A$755,"NZ_CPI",Release_Calendar!$B$2:$B$755,$A271)&gt;0,1,0))</f>
        <v/>
      </c>
      <c r="N271" s="16" t="str">
        <f>IF($A271&lt;Notes!$B$5,"",IF(COUNTIFS(Release_Calendar!$A$2:$A$755,"NZ_GDP",Release_Calendar!$B$2:$B$755,$A271)&gt;0,1,0))</f>
        <v/>
      </c>
      <c r="O271" s="16" t="str">
        <f>IF($A271&lt;Notes!$B$5,"",IF(COUNTIFS(Release_Calendar!$A$2:$A$755,"NZ_LABOUR",Release_Calendar!$B$2:$B$755,$A271)&gt;0,1,0))</f>
        <v/>
      </c>
      <c r="P271" s="16">
        <f t="shared" si="4"/>
        <v>0</v>
      </c>
    </row>
    <row r="272" ht="15.75" customHeight="1">
      <c r="A272" s="14">
        <v>36906.0</v>
      </c>
      <c r="B272" s="15"/>
      <c r="C272" s="15"/>
      <c r="D272" s="15">
        <v>5.89</v>
      </c>
      <c r="E272" s="15"/>
      <c r="F272" s="15" t="str">
        <f t="shared" si="1"/>
        <v/>
      </c>
      <c r="G272" s="15">
        <f t="shared" si="2"/>
        <v>5.89</v>
      </c>
      <c r="H272" s="16">
        <v>1.0</v>
      </c>
      <c r="I272" s="15" t="str">
        <f t="shared" si="3"/>
        <v/>
      </c>
      <c r="J272" s="15"/>
      <c r="K272" s="16">
        <f>IF(COUNTIFS(Release_Calendar!$A$2:$A$755,"US_CPI",Release_Calendar!$B$2:$B$755,$A272)&gt;0,1,0)</f>
        <v>0</v>
      </c>
      <c r="L272" s="16">
        <f>IF(COUNTIFS(Release_Calendar!$A$2:$A$755,"US_NFP",Release_Calendar!$B$2:$B$755,$A272)&gt;0,1,0)</f>
        <v>0</v>
      </c>
      <c r="M272" s="16" t="str">
        <f>IF($A272&lt;Notes!$B$5,"",IF(COUNTIFS(Release_Calendar!$A$2:$A$755,"NZ_CPI",Release_Calendar!$B$2:$B$755,$A272)&gt;0,1,0))</f>
        <v/>
      </c>
      <c r="N272" s="16" t="str">
        <f>IF($A272&lt;Notes!$B$5,"",IF(COUNTIFS(Release_Calendar!$A$2:$A$755,"NZ_GDP",Release_Calendar!$B$2:$B$755,$A272)&gt;0,1,0))</f>
        <v/>
      </c>
      <c r="O272" s="16" t="str">
        <f>IF($A272&lt;Notes!$B$5,"",IF(COUNTIFS(Release_Calendar!$A$2:$A$755,"NZ_LABOUR",Release_Calendar!$B$2:$B$755,$A272)&gt;0,1,0))</f>
        <v/>
      </c>
      <c r="P272" s="16">
        <f t="shared" si="4"/>
        <v>0</v>
      </c>
    </row>
    <row r="273" ht="15.75" customHeight="1">
      <c r="A273" s="14">
        <v>36907.0</v>
      </c>
      <c r="B273" s="15">
        <v>4.89</v>
      </c>
      <c r="C273" s="15"/>
      <c r="D273" s="15">
        <v>5.89</v>
      </c>
      <c r="E273" s="15"/>
      <c r="F273" s="15" t="str">
        <f t="shared" si="1"/>
        <v/>
      </c>
      <c r="G273" s="15">
        <f t="shared" si="2"/>
        <v>5.89</v>
      </c>
      <c r="H273" s="16">
        <v>1.0</v>
      </c>
      <c r="I273" s="15">
        <f t="shared" si="3"/>
        <v>1</v>
      </c>
      <c r="J273" s="15">
        <v>25.28</v>
      </c>
      <c r="K273" s="16">
        <f>IF(COUNTIFS(Release_Calendar!$A$2:$A$755,"US_CPI",Release_Calendar!$B$2:$B$755,$A273)&gt;0,1,0)</f>
        <v>0</v>
      </c>
      <c r="L273" s="16">
        <f>IF(COUNTIFS(Release_Calendar!$A$2:$A$755,"US_NFP",Release_Calendar!$B$2:$B$755,$A273)&gt;0,1,0)</f>
        <v>0</v>
      </c>
      <c r="M273" s="16" t="str">
        <f>IF($A273&lt;Notes!$B$5,"",IF(COUNTIFS(Release_Calendar!$A$2:$A$755,"NZ_CPI",Release_Calendar!$B$2:$B$755,$A273)&gt;0,1,0))</f>
        <v/>
      </c>
      <c r="N273" s="16" t="str">
        <f>IF($A273&lt;Notes!$B$5,"",IF(COUNTIFS(Release_Calendar!$A$2:$A$755,"NZ_GDP",Release_Calendar!$B$2:$B$755,$A273)&gt;0,1,0))</f>
        <v/>
      </c>
      <c r="O273" s="16" t="str">
        <f>IF($A273&lt;Notes!$B$5,"",IF(COUNTIFS(Release_Calendar!$A$2:$A$755,"NZ_LABOUR",Release_Calendar!$B$2:$B$755,$A273)&gt;0,1,0))</f>
        <v/>
      </c>
      <c r="P273" s="16">
        <f t="shared" si="4"/>
        <v>0</v>
      </c>
    </row>
    <row r="274" ht="15.75" customHeight="1">
      <c r="A274" s="14">
        <v>36908.0</v>
      </c>
      <c r="B274" s="15">
        <v>4.84</v>
      </c>
      <c r="C274" s="15"/>
      <c r="D274" s="15">
        <v>5.91</v>
      </c>
      <c r="E274" s="15"/>
      <c r="F274" s="15" t="str">
        <f t="shared" si="1"/>
        <v/>
      </c>
      <c r="G274" s="15">
        <f t="shared" si="2"/>
        <v>5.91</v>
      </c>
      <c r="H274" s="16">
        <v>1.0</v>
      </c>
      <c r="I274" s="15">
        <f t="shared" si="3"/>
        <v>1.07</v>
      </c>
      <c r="J274" s="15">
        <v>24.93</v>
      </c>
      <c r="K274" s="16">
        <f>IF(COUNTIFS(Release_Calendar!$A$2:$A$755,"US_CPI",Release_Calendar!$B$2:$B$755,$A274)&gt;0,1,0)</f>
        <v>1</v>
      </c>
      <c r="L274" s="16">
        <f>IF(COUNTIFS(Release_Calendar!$A$2:$A$755,"US_NFP",Release_Calendar!$B$2:$B$755,$A274)&gt;0,1,0)</f>
        <v>0</v>
      </c>
      <c r="M274" s="16" t="str">
        <f>IF($A274&lt;Notes!$B$5,"",IF(COUNTIFS(Release_Calendar!$A$2:$A$755,"NZ_CPI",Release_Calendar!$B$2:$B$755,$A274)&gt;0,1,0))</f>
        <v/>
      </c>
      <c r="N274" s="16" t="str">
        <f>IF($A274&lt;Notes!$B$5,"",IF(COUNTIFS(Release_Calendar!$A$2:$A$755,"NZ_GDP",Release_Calendar!$B$2:$B$755,$A274)&gt;0,1,0))</f>
        <v/>
      </c>
      <c r="O274" s="16" t="str">
        <f>IF($A274&lt;Notes!$B$5,"",IF(COUNTIFS(Release_Calendar!$A$2:$A$755,"NZ_LABOUR",Release_Calendar!$B$2:$B$755,$A274)&gt;0,1,0))</f>
        <v/>
      </c>
      <c r="P274" s="16">
        <f t="shared" si="4"/>
        <v>1</v>
      </c>
    </row>
    <row r="275" ht="15.75" customHeight="1">
      <c r="A275" s="14">
        <v>36909.0</v>
      </c>
      <c r="B275" s="15">
        <v>4.72</v>
      </c>
      <c r="C275" s="15"/>
      <c r="D275" s="15">
        <v>5.9</v>
      </c>
      <c r="E275" s="15"/>
      <c r="F275" s="15" t="str">
        <f t="shared" si="1"/>
        <v/>
      </c>
      <c r="G275" s="15">
        <f t="shared" si="2"/>
        <v>5.9</v>
      </c>
      <c r="H275" s="16">
        <v>1.0</v>
      </c>
      <c r="I275" s="15">
        <f t="shared" si="3"/>
        <v>1.18</v>
      </c>
      <c r="J275" s="15">
        <v>23.37</v>
      </c>
      <c r="K275" s="16">
        <f>IF(COUNTIFS(Release_Calendar!$A$2:$A$755,"US_CPI",Release_Calendar!$B$2:$B$755,$A275)&gt;0,1,0)</f>
        <v>0</v>
      </c>
      <c r="L275" s="16">
        <f>IF(COUNTIFS(Release_Calendar!$A$2:$A$755,"US_NFP",Release_Calendar!$B$2:$B$755,$A275)&gt;0,1,0)</f>
        <v>0</v>
      </c>
      <c r="M275" s="16" t="str">
        <f>IF($A275&lt;Notes!$B$5,"",IF(COUNTIFS(Release_Calendar!$A$2:$A$755,"NZ_CPI",Release_Calendar!$B$2:$B$755,$A275)&gt;0,1,0))</f>
        <v/>
      </c>
      <c r="N275" s="16" t="str">
        <f>IF($A275&lt;Notes!$B$5,"",IF(COUNTIFS(Release_Calendar!$A$2:$A$755,"NZ_GDP",Release_Calendar!$B$2:$B$755,$A275)&gt;0,1,0))</f>
        <v/>
      </c>
      <c r="O275" s="16" t="str">
        <f>IF($A275&lt;Notes!$B$5,"",IF(COUNTIFS(Release_Calendar!$A$2:$A$755,"NZ_LABOUR",Release_Calendar!$B$2:$B$755,$A275)&gt;0,1,0))</f>
        <v/>
      </c>
      <c r="P275" s="16">
        <f t="shared" si="4"/>
        <v>0</v>
      </c>
    </row>
    <row r="276" ht="15.75" customHeight="1">
      <c r="A276" s="14">
        <v>36910.0</v>
      </c>
      <c r="B276" s="15">
        <v>4.75</v>
      </c>
      <c r="C276" s="15"/>
      <c r="D276" s="15">
        <v>5.81</v>
      </c>
      <c r="E276" s="15"/>
      <c r="F276" s="15" t="str">
        <f t="shared" si="1"/>
        <v/>
      </c>
      <c r="G276" s="15">
        <f t="shared" si="2"/>
        <v>5.81</v>
      </c>
      <c r="H276" s="16">
        <v>1.0</v>
      </c>
      <c r="I276" s="15">
        <f t="shared" si="3"/>
        <v>1.06</v>
      </c>
      <c r="J276" s="15">
        <v>23.24</v>
      </c>
      <c r="K276" s="16">
        <f>IF(COUNTIFS(Release_Calendar!$A$2:$A$755,"US_CPI",Release_Calendar!$B$2:$B$755,$A276)&gt;0,1,0)</f>
        <v>0</v>
      </c>
      <c r="L276" s="16">
        <f>IF(COUNTIFS(Release_Calendar!$A$2:$A$755,"US_NFP",Release_Calendar!$B$2:$B$755,$A276)&gt;0,1,0)</f>
        <v>0</v>
      </c>
      <c r="M276" s="16" t="str">
        <f>IF($A276&lt;Notes!$B$5,"",IF(COUNTIFS(Release_Calendar!$A$2:$A$755,"NZ_CPI",Release_Calendar!$B$2:$B$755,$A276)&gt;0,1,0))</f>
        <v/>
      </c>
      <c r="N276" s="16" t="str">
        <f>IF($A276&lt;Notes!$B$5,"",IF(COUNTIFS(Release_Calendar!$A$2:$A$755,"NZ_GDP",Release_Calendar!$B$2:$B$755,$A276)&gt;0,1,0))</f>
        <v/>
      </c>
      <c r="O276" s="16" t="str">
        <f>IF($A276&lt;Notes!$B$5,"",IF(COUNTIFS(Release_Calendar!$A$2:$A$755,"NZ_LABOUR",Release_Calendar!$B$2:$B$755,$A276)&gt;0,1,0))</f>
        <v/>
      </c>
      <c r="P276" s="16">
        <f t="shared" si="4"/>
        <v>0</v>
      </c>
    </row>
    <row r="277" ht="15.75" customHeight="1">
      <c r="A277" s="14">
        <v>36913.0</v>
      </c>
      <c r="B277" s="15">
        <v>4.75</v>
      </c>
      <c r="C277" s="15"/>
      <c r="D277" s="15">
        <v>5.87</v>
      </c>
      <c r="E277" s="15"/>
      <c r="F277" s="15" t="str">
        <f t="shared" si="1"/>
        <v/>
      </c>
      <c r="G277" s="15">
        <f t="shared" si="2"/>
        <v>5.87</v>
      </c>
      <c r="H277" s="16">
        <v>1.0</v>
      </c>
      <c r="I277" s="15">
        <f t="shared" si="3"/>
        <v>1.12</v>
      </c>
      <c r="J277" s="15">
        <v>23.25</v>
      </c>
      <c r="K277" s="16">
        <f>IF(COUNTIFS(Release_Calendar!$A$2:$A$755,"US_CPI",Release_Calendar!$B$2:$B$755,$A277)&gt;0,1,0)</f>
        <v>0</v>
      </c>
      <c r="L277" s="16">
        <f>IF(COUNTIFS(Release_Calendar!$A$2:$A$755,"US_NFP",Release_Calendar!$B$2:$B$755,$A277)&gt;0,1,0)</f>
        <v>0</v>
      </c>
      <c r="M277" s="16" t="str">
        <f>IF($A277&lt;Notes!$B$5,"",IF(COUNTIFS(Release_Calendar!$A$2:$A$755,"NZ_CPI",Release_Calendar!$B$2:$B$755,$A277)&gt;0,1,0))</f>
        <v/>
      </c>
      <c r="N277" s="16" t="str">
        <f>IF($A277&lt;Notes!$B$5,"",IF(COUNTIFS(Release_Calendar!$A$2:$A$755,"NZ_GDP",Release_Calendar!$B$2:$B$755,$A277)&gt;0,1,0))</f>
        <v/>
      </c>
      <c r="O277" s="16" t="str">
        <f>IF($A277&lt;Notes!$B$5,"",IF(COUNTIFS(Release_Calendar!$A$2:$A$755,"NZ_LABOUR",Release_Calendar!$B$2:$B$755,$A277)&gt;0,1,0))</f>
        <v/>
      </c>
      <c r="P277" s="16">
        <f t="shared" si="4"/>
        <v>0</v>
      </c>
    </row>
    <row r="278" ht="15.75" customHeight="1">
      <c r="A278" s="14">
        <v>36914.0</v>
      </c>
      <c r="B278" s="15">
        <v>4.82</v>
      </c>
      <c r="C278" s="15"/>
      <c r="D278" s="15">
        <v>5.92</v>
      </c>
      <c r="E278" s="15"/>
      <c r="F278" s="15" t="str">
        <f t="shared" si="1"/>
        <v/>
      </c>
      <c r="G278" s="15">
        <f t="shared" si="2"/>
        <v>5.92</v>
      </c>
      <c r="H278" s="16">
        <v>1.0</v>
      </c>
      <c r="I278" s="15">
        <f t="shared" si="3"/>
        <v>1.1</v>
      </c>
      <c r="J278" s="15">
        <v>21.57</v>
      </c>
      <c r="K278" s="16">
        <f>IF(COUNTIFS(Release_Calendar!$A$2:$A$755,"US_CPI",Release_Calendar!$B$2:$B$755,$A278)&gt;0,1,0)</f>
        <v>0</v>
      </c>
      <c r="L278" s="16">
        <f>IF(COUNTIFS(Release_Calendar!$A$2:$A$755,"US_NFP",Release_Calendar!$B$2:$B$755,$A278)&gt;0,1,0)</f>
        <v>0</v>
      </c>
      <c r="M278" s="16" t="str">
        <f>IF($A278&lt;Notes!$B$5,"",IF(COUNTIFS(Release_Calendar!$A$2:$A$755,"NZ_CPI",Release_Calendar!$B$2:$B$755,$A278)&gt;0,1,0))</f>
        <v/>
      </c>
      <c r="N278" s="16" t="str">
        <f>IF($A278&lt;Notes!$B$5,"",IF(COUNTIFS(Release_Calendar!$A$2:$A$755,"NZ_GDP",Release_Calendar!$B$2:$B$755,$A278)&gt;0,1,0))</f>
        <v/>
      </c>
      <c r="O278" s="16" t="str">
        <f>IF($A278&lt;Notes!$B$5,"",IF(COUNTIFS(Release_Calendar!$A$2:$A$755,"NZ_LABOUR",Release_Calendar!$B$2:$B$755,$A278)&gt;0,1,0))</f>
        <v/>
      </c>
      <c r="P278" s="16">
        <f t="shared" si="4"/>
        <v>0</v>
      </c>
    </row>
    <row r="279" ht="15.75" customHeight="1">
      <c r="A279" s="14">
        <v>36915.0</v>
      </c>
      <c r="B279" s="15">
        <v>4.81</v>
      </c>
      <c r="C279" s="15"/>
      <c r="D279" s="15">
        <v>5.88</v>
      </c>
      <c r="E279" s="15"/>
      <c r="F279" s="15" t="str">
        <f t="shared" si="1"/>
        <v/>
      </c>
      <c r="G279" s="15">
        <f t="shared" si="2"/>
        <v>5.88</v>
      </c>
      <c r="H279" s="16">
        <v>1.0</v>
      </c>
      <c r="I279" s="15">
        <f t="shared" si="3"/>
        <v>1.07</v>
      </c>
      <c r="J279" s="15">
        <v>22.03</v>
      </c>
      <c r="K279" s="16">
        <f>IF(COUNTIFS(Release_Calendar!$A$2:$A$755,"US_CPI",Release_Calendar!$B$2:$B$755,$A279)&gt;0,1,0)</f>
        <v>0</v>
      </c>
      <c r="L279" s="16">
        <f>IF(COUNTIFS(Release_Calendar!$A$2:$A$755,"US_NFP",Release_Calendar!$B$2:$B$755,$A279)&gt;0,1,0)</f>
        <v>0</v>
      </c>
      <c r="M279" s="16" t="str">
        <f>IF($A279&lt;Notes!$B$5,"",IF(COUNTIFS(Release_Calendar!$A$2:$A$755,"NZ_CPI",Release_Calendar!$B$2:$B$755,$A279)&gt;0,1,0))</f>
        <v/>
      </c>
      <c r="N279" s="16" t="str">
        <f>IF($A279&lt;Notes!$B$5,"",IF(COUNTIFS(Release_Calendar!$A$2:$A$755,"NZ_GDP",Release_Calendar!$B$2:$B$755,$A279)&gt;0,1,0))</f>
        <v/>
      </c>
      <c r="O279" s="16" t="str">
        <f>IF($A279&lt;Notes!$B$5,"",IF(COUNTIFS(Release_Calendar!$A$2:$A$755,"NZ_LABOUR",Release_Calendar!$B$2:$B$755,$A279)&gt;0,1,0))</f>
        <v/>
      </c>
      <c r="P279" s="16">
        <f t="shared" si="4"/>
        <v>0</v>
      </c>
    </row>
    <row r="280" ht="15.75" customHeight="1">
      <c r="A280" s="14">
        <v>36916.0</v>
      </c>
      <c r="B280" s="15">
        <v>4.78</v>
      </c>
      <c r="C280" s="15"/>
      <c r="D280" s="15">
        <v>5.8</v>
      </c>
      <c r="E280" s="15"/>
      <c r="F280" s="15" t="str">
        <f t="shared" si="1"/>
        <v/>
      </c>
      <c r="G280" s="15">
        <f t="shared" si="2"/>
        <v>5.8</v>
      </c>
      <c r="H280" s="16">
        <v>1.0</v>
      </c>
      <c r="I280" s="15">
        <f t="shared" si="3"/>
        <v>1.02</v>
      </c>
      <c r="J280" s="15">
        <v>22.64</v>
      </c>
      <c r="K280" s="16">
        <f>IF(COUNTIFS(Release_Calendar!$A$2:$A$755,"US_CPI",Release_Calendar!$B$2:$B$755,$A280)&gt;0,1,0)</f>
        <v>0</v>
      </c>
      <c r="L280" s="16">
        <f>IF(COUNTIFS(Release_Calendar!$A$2:$A$755,"US_NFP",Release_Calendar!$B$2:$B$755,$A280)&gt;0,1,0)</f>
        <v>0</v>
      </c>
      <c r="M280" s="16" t="str">
        <f>IF($A280&lt;Notes!$B$5,"",IF(COUNTIFS(Release_Calendar!$A$2:$A$755,"NZ_CPI",Release_Calendar!$B$2:$B$755,$A280)&gt;0,1,0))</f>
        <v/>
      </c>
      <c r="N280" s="16" t="str">
        <f>IF($A280&lt;Notes!$B$5,"",IF(COUNTIFS(Release_Calendar!$A$2:$A$755,"NZ_GDP",Release_Calendar!$B$2:$B$755,$A280)&gt;0,1,0))</f>
        <v/>
      </c>
      <c r="O280" s="16" t="str">
        <f>IF($A280&lt;Notes!$B$5,"",IF(COUNTIFS(Release_Calendar!$A$2:$A$755,"NZ_LABOUR",Release_Calendar!$B$2:$B$755,$A280)&gt;0,1,0))</f>
        <v/>
      </c>
      <c r="P280" s="16">
        <f t="shared" si="4"/>
        <v>0</v>
      </c>
    </row>
    <row r="281" ht="15.75" customHeight="1">
      <c r="A281" s="14">
        <v>36917.0</v>
      </c>
      <c r="B281" s="15">
        <v>4.78</v>
      </c>
      <c r="C281" s="15"/>
      <c r="D281" s="15">
        <v>5.77</v>
      </c>
      <c r="E281" s="15"/>
      <c r="F281" s="15" t="str">
        <f t="shared" si="1"/>
        <v/>
      </c>
      <c r="G281" s="15">
        <f t="shared" si="2"/>
        <v>5.77</v>
      </c>
      <c r="H281" s="16">
        <v>1.0</v>
      </c>
      <c r="I281" s="15">
        <f t="shared" si="3"/>
        <v>0.99</v>
      </c>
      <c r="J281" s="15">
        <v>22.57</v>
      </c>
      <c r="K281" s="16">
        <f>IF(COUNTIFS(Release_Calendar!$A$2:$A$755,"US_CPI",Release_Calendar!$B$2:$B$755,$A281)&gt;0,1,0)</f>
        <v>0</v>
      </c>
      <c r="L281" s="16">
        <f>IF(COUNTIFS(Release_Calendar!$A$2:$A$755,"US_NFP",Release_Calendar!$B$2:$B$755,$A281)&gt;0,1,0)</f>
        <v>0</v>
      </c>
      <c r="M281" s="16" t="str">
        <f>IF($A281&lt;Notes!$B$5,"",IF(COUNTIFS(Release_Calendar!$A$2:$A$755,"NZ_CPI",Release_Calendar!$B$2:$B$755,$A281)&gt;0,1,0))</f>
        <v/>
      </c>
      <c r="N281" s="16" t="str">
        <f>IF($A281&lt;Notes!$B$5,"",IF(COUNTIFS(Release_Calendar!$A$2:$A$755,"NZ_GDP",Release_Calendar!$B$2:$B$755,$A281)&gt;0,1,0))</f>
        <v/>
      </c>
      <c r="O281" s="16" t="str">
        <f>IF($A281&lt;Notes!$B$5,"",IF(COUNTIFS(Release_Calendar!$A$2:$A$755,"NZ_LABOUR",Release_Calendar!$B$2:$B$755,$A281)&gt;0,1,0))</f>
        <v/>
      </c>
      <c r="P281" s="16">
        <f t="shared" si="4"/>
        <v>0</v>
      </c>
    </row>
    <row r="282" ht="15.75" customHeight="1">
      <c r="A282" s="14">
        <v>36920.0</v>
      </c>
      <c r="B282" s="15">
        <v>4.77</v>
      </c>
      <c r="C282" s="15"/>
      <c r="D282" s="15">
        <v>5.74</v>
      </c>
      <c r="E282" s="15"/>
      <c r="F282" s="15" t="str">
        <f t="shared" si="1"/>
        <v/>
      </c>
      <c r="G282" s="15">
        <f t="shared" si="2"/>
        <v>5.74</v>
      </c>
      <c r="H282" s="16">
        <v>1.0</v>
      </c>
      <c r="I282" s="15">
        <f t="shared" si="3"/>
        <v>0.97</v>
      </c>
      <c r="J282" s="15">
        <v>22.61</v>
      </c>
      <c r="K282" s="16">
        <f>IF(COUNTIFS(Release_Calendar!$A$2:$A$755,"US_CPI",Release_Calendar!$B$2:$B$755,$A282)&gt;0,1,0)</f>
        <v>0</v>
      </c>
      <c r="L282" s="16">
        <f>IF(COUNTIFS(Release_Calendar!$A$2:$A$755,"US_NFP",Release_Calendar!$B$2:$B$755,$A282)&gt;0,1,0)</f>
        <v>0</v>
      </c>
      <c r="M282" s="16" t="str">
        <f>IF($A282&lt;Notes!$B$5,"",IF(COUNTIFS(Release_Calendar!$A$2:$A$755,"NZ_CPI",Release_Calendar!$B$2:$B$755,$A282)&gt;0,1,0))</f>
        <v/>
      </c>
      <c r="N282" s="16" t="str">
        <f>IF($A282&lt;Notes!$B$5,"",IF(COUNTIFS(Release_Calendar!$A$2:$A$755,"NZ_GDP",Release_Calendar!$B$2:$B$755,$A282)&gt;0,1,0))</f>
        <v/>
      </c>
      <c r="O282" s="16" t="str">
        <f>IF($A282&lt;Notes!$B$5,"",IF(COUNTIFS(Release_Calendar!$A$2:$A$755,"NZ_LABOUR",Release_Calendar!$B$2:$B$755,$A282)&gt;0,1,0))</f>
        <v/>
      </c>
      <c r="P282" s="16">
        <f t="shared" si="4"/>
        <v>0</v>
      </c>
    </row>
    <row r="283" ht="15.75" customHeight="1">
      <c r="A283" s="14">
        <v>36921.0</v>
      </c>
      <c r="B283" s="15">
        <v>4.7</v>
      </c>
      <c r="C283" s="15"/>
      <c r="D283" s="15">
        <v>5.74</v>
      </c>
      <c r="E283" s="15"/>
      <c r="F283" s="15" t="str">
        <f t="shared" si="1"/>
        <v/>
      </c>
      <c r="G283" s="15">
        <f t="shared" si="2"/>
        <v>5.74</v>
      </c>
      <c r="H283" s="16">
        <v>1.0</v>
      </c>
      <c r="I283" s="15">
        <f t="shared" si="3"/>
        <v>1.04</v>
      </c>
      <c r="J283" s="15">
        <v>22.57</v>
      </c>
      <c r="K283" s="16">
        <f>IF(COUNTIFS(Release_Calendar!$A$2:$A$755,"US_CPI",Release_Calendar!$B$2:$B$755,$A283)&gt;0,1,0)</f>
        <v>0</v>
      </c>
      <c r="L283" s="16">
        <f>IF(COUNTIFS(Release_Calendar!$A$2:$A$755,"US_NFP",Release_Calendar!$B$2:$B$755,$A283)&gt;0,1,0)</f>
        <v>0</v>
      </c>
      <c r="M283" s="16" t="str">
        <f>IF($A283&lt;Notes!$B$5,"",IF(COUNTIFS(Release_Calendar!$A$2:$A$755,"NZ_CPI",Release_Calendar!$B$2:$B$755,$A283)&gt;0,1,0))</f>
        <v/>
      </c>
      <c r="N283" s="16" t="str">
        <f>IF($A283&lt;Notes!$B$5,"",IF(COUNTIFS(Release_Calendar!$A$2:$A$755,"NZ_GDP",Release_Calendar!$B$2:$B$755,$A283)&gt;0,1,0))</f>
        <v/>
      </c>
      <c r="O283" s="16" t="str">
        <f>IF($A283&lt;Notes!$B$5,"",IF(COUNTIFS(Release_Calendar!$A$2:$A$755,"NZ_LABOUR",Release_Calendar!$B$2:$B$755,$A283)&gt;0,1,0))</f>
        <v/>
      </c>
      <c r="P283" s="16">
        <f t="shared" si="4"/>
        <v>0</v>
      </c>
    </row>
    <row r="284" ht="15.75" customHeight="1">
      <c r="A284" s="14">
        <v>36922.0</v>
      </c>
      <c r="B284" s="15">
        <v>4.62</v>
      </c>
      <c r="C284" s="15"/>
      <c r="D284" s="15">
        <v>5.68</v>
      </c>
      <c r="E284" s="15"/>
      <c r="F284" s="15" t="str">
        <f t="shared" si="1"/>
        <v/>
      </c>
      <c r="G284" s="15">
        <f t="shared" si="2"/>
        <v>5.68</v>
      </c>
      <c r="H284" s="16">
        <v>1.0</v>
      </c>
      <c r="I284" s="15">
        <f t="shared" si="3"/>
        <v>1.06</v>
      </c>
      <c r="J284" s="15">
        <v>22.02</v>
      </c>
      <c r="K284" s="16">
        <f>IF(COUNTIFS(Release_Calendar!$A$2:$A$755,"US_CPI",Release_Calendar!$B$2:$B$755,$A284)&gt;0,1,0)</f>
        <v>0</v>
      </c>
      <c r="L284" s="16">
        <f>IF(COUNTIFS(Release_Calendar!$A$2:$A$755,"US_NFP",Release_Calendar!$B$2:$B$755,$A284)&gt;0,1,0)</f>
        <v>0</v>
      </c>
      <c r="M284" s="16" t="str">
        <f>IF($A284&lt;Notes!$B$5,"",IF(COUNTIFS(Release_Calendar!$A$2:$A$755,"NZ_CPI",Release_Calendar!$B$2:$B$755,$A284)&gt;0,1,0))</f>
        <v/>
      </c>
      <c r="N284" s="16" t="str">
        <f>IF($A284&lt;Notes!$B$5,"",IF(COUNTIFS(Release_Calendar!$A$2:$A$755,"NZ_GDP",Release_Calendar!$B$2:$B$755,$A284)&gt;0,1,0))</f>
        <v/>
      </c>
      <c r="O284" s="16" t="str">
        <f>IF($A284&lt;Notes!$B$5,"",IF(COUNTIFS(Release_Calendar!$A$2:$A$755,"NZ_LABOUR",Release_Calendar!$B$2:$B$755,$A284)&gt;0,1,0))</f>
        <v/>
      </c>
      <c r="P284" s="16">
        <f t="shared" si="4"/>
        <v>0</v>
      </c>
    </row>
    <row r="285" ht="15.75" customHeight="1">
      <c r="A285" s="14">
        <v>36923.0</v>
      </c>
      <c r="B285" s="15">
        <v>4.55</v>
      </c>
      <c r="C285" s="15"/>
      <c r="D285" s="15">
        <v>5.59</v>
      </c>
      <c r="E285" s="15"/>
      <c r="F285" s="15" t="str">
        <f t="shared" si="1"/>
        <v/>
      </c>
      <c r="G285" s="15">
        <f t="shared" si="2"/>
        <v>5.59</v>
      </c>
      <c r="H285" s="16">
        <v>1.0</v>
      </c>
      <c r="I285" s="15">
        <f t="shared" si="3"/>
        <v>1.04</v>
      </c>
      <c r="J285" s="15">
        <v>21.66</v>
      </c>
      <c r="K285" s="16">
        <f>IF(COUNTIFS(Release_Calendar!$A$2:$A$755,"US_CPI",Release_Calendar!$B$2:$B$755,$A285)&gt;0,1,0)</f>
        <v>0</v>
      </c>
      <c r="L285" s="16">
        <f>IF(COUNTIFS(Release_Calendar!$A$2:$A$755,"US_NFP",Release_Calendar!$B$2:$B$755,$A285)&gt;0,1,0)</f>
        <v>0</v>
      </c>
      <c r="M285" s="16" t="str">
        <f>IF($A285&lt;Notes!$B$5,"",IF(COUNTIFS(Release_Calendar!$A$2:$A$755,"NZ_CPI",Release_Calendar!$B$2:$B$755,$A285)&gt;0,1,0))</f>
        <v/>
      </c>
      <c r="N285" s="16" t="str">
        <f>IF($A285&lt;Notes!$B$5,"",IF(COUNTIFS(Release_Calendar!$A$2:$A$755,"NZ_GDP",Release_Calendar!$B$2:$B$755,$A285)&gt;0,1,0))</f>
        <v/>
      </c>
      <c r="O285" s="16" t="str">
        <f>IF($A285&lt;Notes!$B$5,"",IF(COUNTIFS(Release_Calendar!$A$2:$A$755,"NZ_LABOUR",Release_Calendar!$B$2:$B$755,$A285)&gt;0,1,0))</f>
        <v/>
      </c>
      <c r="P285" s="16">
        <f t="shared" si="4"/>
        <v>0</v>
      </c>
    </row>
    <row r="286" ht="15.75" customHeight="1">
      <c r="A286" s="14">
        <v>36924.0</v>
      </c>
      <c r="B286" s="15">
        <v>4.65</v>
      </c>
      <c r="C286" s="15"/>
      <c r="D286" s="15">
        <v>5.64</v>
      </c>
      <c r="E286" s="15"/>
      <c r="F286" s="15" t="str">
        <f t="shared" si="1"/>
        <v/>
      </c>
      <c r="G286" s="15">
        <f t="shared" si="2"/>
        <v>5.64</v>
      </c>
      <c r="H286" s="16">
        <v>1.0</v>
      </c>
      <c r="I286" s="15">
        <f t="shared" si="3"/>
        <v>0.99</v>
      </c>
      <c r="J286" s="15">
        <v>21.95</v>
      </c>
      <c r="K286" s="16">
        <f>IF(COUNTIFS(Release_Calendar!$A$2:$A$755,"US_CPI",Release_Calendar!$B$2:$B$755,$A286)&gt;0,1,0)</f>
        <v>0</v>
      </c>
      <c r="L286" s="16">
        <f>IF(COUNTIFS(Release_Calendar!$A$2:$A$755,"US_NFP",Release_Calendar!$B$2:$B$755,$A286)&gt;0,1,0)</f>
        <v>1</v>
      </c>
      <c r="M286" s="16" t="str">
        <f>IF($A286&lt;Notes!$B$5,"",IF(COUNTIFS(Release_Calendar!$A$2:$A$755,"NZ_CPI",Release_Calendar!$B$2:$B$755,$A286)&gt;0,1,0))</f>
        <v/>
      </c>
      <c r="N286" s="16" t="str">
        <f>IF($A286&lt;Notes!$B$5,"",IF(COUNTIFS(Release_Calendar!$A$2:$A$755,"NZ_GDP",Release_Calendar!$B$2:$B$755,$A286)&gt;0,1,0))</f>
        <v/>
      </c>
      <c r="O286" s="16" t="str">
        <f>IF($A286&lt;Notes!$B$5,"",IF(COUNTIFS(Release_Calendar!$A$2:$A$755,"NZ_LABOUR",Release_Calendar!$B$2:$B$755,$A286)&gt;0,1,0))</f>
        <v/>
      </c>
      <c r="P286" s="16">
        <f t="shared" si="4"/>
        <v>1</v>
      </c>
    </row>
    <row r="287" ht="15.75" customHeight="1">
      <c r="A287" s="14">
        <v>36927.0</v>
      </c>
      <c r="B287" s="15">
        <v>4.68</v>
      </c>
      <c r="C287" s="15"/>
      <c r="D287" s="15">
        <v>5.66</v>
      </c>
      <c r="E287" s="15"/>
      <c r="F287" s="15" t="str">
        <f t="shared" si="1"/>
        <v/>
      </c>
      <c r="G287" s="15">
        <f t="shared" si="2"/>
        <v>5.66</v>
      </c>
      <c r="H287" s="16">
        <v>1.0</v>
      </c>
      <c r="I287" s="15">
        <f t="shared" si="3"/>
        <v>0.98</v>
      </c>
      <c r="J287" s="15">
        <v>22.19</v>
      </c>
      <c r="K287" s="16">
        <f>IF(COUNTIFS(Release_Calendar!$A$2:$A$755,"US_CPI",Release_Calendar!$B$2:$B$755,$A287)&gt;0,1,0)</f>
        <v>0</v>
      </c>
      <c r="L287" s="16">
        <f>IF(COUNTIFS(Release_Calendar!$A$2:$A$755,"US_NFP",Release_Calendar!$B$2:$B$755,$A287)&gt;0,1,0)</f>
        <v>0</v>
      </c>
      <c r="M287" s="16" t="str">
        <f>IF($A287&lt;Notes!$B$5,"",IF(COUNTIFS(Release_Calendar!$A$2:$A$755,"NZ_CPI",Release_Calendar!$B$2:$B$755,$A287)&gt;0,1,0))</f>
        <v/>
      </c>
      <c r="N287" s="16" t="str">
        <f>IF($A287&lt;Notes!$B$5,"",IF(COUNTIFS(Release_Calendar!$A$2:$A$755,"NZ_GDP",Release_Calendar!$B$2:$B$755,$A287)&gt;0,1,0))</f>
        <v/>
      </c>
      <c r="O287" s="16" t="str">
        <f>IF($A287&lt;Notes!$B$5,"",IF(COUNTIFS(Release_Calendar!$A$2:$A$755,"NZ_LABOUR",Release_Calendar!$B$2:$B$755,$A287)&gt;0,1,0))</f>
        <v/>
      </c>
      <c r="P287" s="16">
        <f t="shared" si="4"/>
        <v>0</v>
      </c>
    </row>
    <row r="288" ht="15.75" customHeight="1">
      <c r="A288" s="14">
        <v>36928.0</v>
      </c>
      <c r="B288" s="15">
        <v>4.72</v>
      </c>
      <c r="C288" s="15"/>
      <c r="D288" s="15"/>
      <c r="E288" s="15"/>
      <c r="F288" s="15" t="str">
        <f t="shared" si="1"/>
        <v/>
      </c>
      <c r="G288" s="15" t="str">
        <f t="shared" si="2"/>
        <v/>
      </c>
      <c r="H288" s="16">
        <v>1.0</v>
      </c>
      <c r="I288" s="15" t="str">
        <f t="shared" si="3"/>
        <v/>
      </c>
      <c r="J288" s="15">
        <v>21.98</v>
      </c>
      <c r="K288" s="16">
        <f>IF(COUNTIFS(Release_Calendar!$A$2:$A$755,"US_CPI",Release_Calendar!$B$2:$B$755,$A288)&gt;0,1,0)</f>
        <v>0</v>
      </c>
      <c r="L288" s="16">
        <f>IF(COUNTIFS(Release_Calendar!$A$2:$A$755,"US_NFP",Release_Calendar!$B$2:$B$755,$A288)&gt;0,1,0)</f>
        <v>0</v>
      </c>
      <c r="M288" s="16" t="str">
        <f>IF($A288&lt;Notes!$B$5,"",IF(COUNTIFS(Release_Calendar!$A$2:$A$755,"NZ_CPI",Release_Calendar!$B$2:$B$755,$A288)&gt;0,1,0))</f>
        <v/>
      </c>
      <c r="N288" s="16" t="str">
        <f>IF($A288&lt;Notes!$B$5,"",IF(COUNTIFS(Release_Calendar!$A$2:$A$755,"NZ_GDP",Release_Calendar!$B$2:$B$755,$A288)&gt;0,1,0))</f>
        <v/>
      </c>
      <c r="O288" s="16" t="str">
        <f>IF($A288&lt;Notes!$B$5,"",IF(COUNTIFS(Release_Calendar!$A$2:$A$755,"NZ_LABOUR",Release_Calendar!$B$2:$B$755,$A288)&gt;0,1,0))</f>
        <v/>
      </c>
      <c r="P288" s="16">
        <f t="shared" si="4"/>
        <v>0</v>
      </c>
    </row>
    <row r="289" ht="15.75" customHeight="1">
      <c r="A289" s="14">
        <v>36929.0</v>
      </c>
      <c r="B289" s="15">
        <v>4.7</v>
      </c>
      <c r="C289" s="15"/>
      <c r="D289" s="15">
        <v>5.69</v>
      </c>
      <c r="E289" s="15"/>
      <c r="F289" s="15" t="str">
        <f t="shared" si="1"/>
        <v/>
      </c>
      <c r="G289" s="15">
        <f t="shared" si="2"/>
        <v>5.69</v>
      </c>
      <c r="H289" s="16">
        <v>1.0</v>
      </c>
      <c r="I289" s="15">
        <f t="shared" si="3"/>
        <v>0.99</v>
      </c>
      <c r="J289" s="15">
        <v>21.67</v>
      </c>
      <c r="K289" s="16">
        <f>IF(COUNTIFS(Release_Calendar!$A$2:$A$755,"US_CPI",Release_Calendar!$B$2:$B$755,$A289)&gt;0,1,0)</f>
        <v>0</v>
      </c>
      <c r="L289" s="16">
        <f>IF(COUNTIFS(Release_Calendar!$A$2:$A$755,"US_NFP",Release_Calendar!$B$2:$B$755,$A289)&gt;0,1,0)</f>
        <v>0</v>
      </c>
      <c r="M289" s="16" t="str">
        <f>IF($A289&lt;Notes!$B$5,"",IF(COUNTIFS(Release_Calendar!$A$2:$A$755,"NZ_CPI",Release_Calendar!$B$2:$B$755,$A289)&gt;0,1,0))</f>
        <v/>
      </c>
      <c r="N289" s="16" t="str">
        <f>IF($A289&lt;Notes!$B$5,"",IF(COUNTIFS(Release_Calendar!$A$2:$A$755,"NZ_GDP",Release_Calendar!$B$2:$B$755,$A289)&gt;0,1,0))</f>
        <v/>
      </c>
      <c r="O289" s="16" t="str">
        <f>IF($A289&lt;Notes!$B$5,"",IF(COUNTIFS(Release_Calendar!$A$2:$A$755,"NZ_LABOUR",Release_Calendar!$B$2:$B$755,$A289)&gt;0,1,0))</f>
        <v/>
      </c>
      <c r="P289" s="16">
        <f t="shared" si="4"/>
        <v>0</v>
      </c>
    </row>
    <row r="290" ht="15.75" customHeight="1">
      <c r="A290" s="14">
        <v>36930.0</v>
      </c>
      <c r="B290" s="15">
        <v>4.73</v>
      </c>
      <c r="C290" s="15"/>
      <c r="D290" s="15">
        <v>5.75</v>
      </c>
      <c r="E290" s="15"/>
      <c r="F290" s="15" t="str">
        <f t="shared" si="1"/>
        <v/>
      </c>
      <c r="G290" s="15">
        <f t="shared" si="2"/>
        <v>5.75</v>
      </c>
      <c r="H290" s="16">
        <v>1.0</v>
      </c>
      <c r="I290" s="15">
        <f t="shared" si="3"/>
        <v>1.02</v>
      </c>
      <c r="J290" s="15">
        <v>21.46</v>
      </c>
      <c r="K290" s="16">
        <f>IF(COUNTIFS(Release_Calendar!$A$2:$A$755,"US_CPI",Release_Calendar!$B$2:$B$755,$A290)&gt;0,1,0)</f>
        <v>0</v>
      </c>
      <c r="L290" s="16">
        <f>IF(COUNTIFS(Release_Calendar!$A$2:$A$755,"US_NFP",Release_Calendar!$B$2:$B$755,$A290)&gt;0,1,0)</f>
        <v>0</v>
      </c>
      <c r="M290" s="16" t="str">
        <f>IF($A290&lt;Notes!$B$5,"",IF(COUNTIFS(Release_Calendar!$A$2:$A$755,"NZ_CPI",Release_Calendar!$B$2:$B$755,$A290)&gt;0,1,0))</f>
        <v/>
      </c>
      <c r="N290" s="16" t="str">
        <f>IF($A290&lt;Notes!$B$5,"",IF(COUNTIFS(Release_Calendar!$A$2:$A$755,"NZ_GDP",Release_Calendar!$B$2:$B$755,$A290)&gt;0,1,0))</f>
        <v/>
      </c>
      <c r="O290" s="16" t="str">
        <f>IF($A290&lt;Notes!$B$5,"",IF(COUNTIFS(Release_Calendar!$A$2:$A$755,"NZ_LABOUR",Release_Calendar!$B$2:$B$755,$A290)&gt;0,1,0))</f>
        <v/>
      </c>
      <c r="P290" s="16">
        <f t="shared" si="4"/>
        <v>0</v>
      </c>
    </row>
    <row r="291" ht="15.75" customHeight="1">
      <c r="A291" s="14">
        <v>36931.0</v>
      </c>
      <c r="B291" s="15">
        <v>4.67</v>
      </c>
      <c r="C291" s="15"/>
      <c r="D291" s="15">
        <v>5.82</v>
      </c>
      <c r="E291" s="15"/>
      <c r="F291" s="15" t="str">
        <f t="shared" si="1"/>
        <v/>
      </c>
      <c r="G291" s="15">
        <f t="shared" si="2"/>
        <v>5.82</v>
      </c>
      <c r="H291" s="16">
        <v>1.0</v>
      </c>
      <c r="I291" s="15">
        <f t="shared" si="3"/>
        <v>1.15</v>
      </c>
      <c r="J291" s="15">
        <v>22.03</v>
      </c>
      <c r="K291" s="16">
        <f>IF(COUNTIFS(Release_Calendar!$A$2:$A$755,"US_CPI",Release_Calendar!$B$2:$B$755,$A291)&gt;0,1,0)</f>
        <v>0</v>
      </c>
      <c r="L291" s="16">
        <f>IF(COUNTIFS(Release_Calendar!$A$2:$A$755,"US_NFP",Release_Calendar!$B$2:$B$755,$A291)&gt;0,1,0)</f>
        <v>0</v>
      </c>
      <c r="M291" s="16" t="str">
        <f>IF($A291&lt;Notes!$B$5,"",IF(COUNTIFS(Release_Calendar!$A$2:$A$755,"NZ_CPI",Release_Calendar!$B$2:$B$755,$A291)&gt;0,1,0))</f>
        <v/>
      </c>
      <c r="N291" s="16" t="str">
        <f>IF($A291&lt;Notes!$B$5,"",IF(COUNTIFS(Release_Calendar!$A$2:$A$755,"NZ_GDP",Release_Calendar!$B$2:$B$755,$A291)&gt;0,1,0))</f>
        <v/>
      </c>
      <c r="O291" s="16" t="str">
        <f>IF($A291&lt;Notes!$B$5,"",IF(COUNTIFS(Release_Calendar!$A$2:$A$755,"NZ_LABOUR",Release_Calendar!$B$2:$B$755,$A291)&gt;0,1,0))</f>
        <v/>
      </c>
      <c r="P291" s="16">
        <f t="shared" si="4"/>
        <v>0</v>
      </c>
    </row>
    <row r="292" ht="15.75" customHeight="1">
      <c r="A292" s="14">
        <v>36934.0</v>
      </c>
      <c r="B292" s="15">
        <v>4.67</v>
      </c>
      <c r="C292" s="15"/>
      <c r="D292" s="15">
        <v>5.8</v>
      </c>
      <c r="E292" s="15"/>
      <c r="F292" s="15" t="str">
        <f t="shared" si="1"/>
        <v/>
      </c>
      <c r="G292" s="15">
        <f t="shared" si="2"/>
        <v>5.8</v>
      </c>
      <c r="H292" s="16">
        <v>1.0</v>
      </c>
      <c r="I292" s="15">
        <f t="shared" si="3"/>
        <v>1.13</v>
      </c>
      <c r="J292" s="15">
        <v>21.92</v>
      </c>
      <c r="K292" s="16">
        <f>IF(COUNTIFS(Release_Calendar!$A$2:$A$755,"US_CPI",Release_Calendar!$B$2:$B$755,$A292)&gt;0,1,0)</f>
        <v>0</v>
      </c>
      <c r="L292" s="16">
        <f>IF(COUNTIFS(Release_Calendar!$A$2:$A$755,"US_NFP",Release_Calendar!$B$2:$B$755,$A292)&gt;0,1,0)</f>
        <v>0</v>
      </c>
      <c r="M292" s="16" t="str">
        <f>IF($A292&lt;Notes!$B$5,"",IF(COUNTIFS(Release_Calendar!$A$2:$A$755,"NZ_CPI",Release_Calendar!$B$2:$B$755,$A292)&gt;0,1,0))</f>
        <v/>
      </c>
      <c r="N292" s="16" t="str">
        <f>IF($A292&lt;Notes!$B$5,"",IF(COUNTIFS(Release_Calendar!$A$2:$A$755,"NZ_GDP",Release_Calendar!$B$2:$B$755,$A292)&gt;0,1,0))</f>
        <v/>
      </c>
      <c r="O292" s="16" t="str">
        <f>IF($A292&lt;Notes!$B$5,"",IF(COUNTIFS(Release_Calendar!$A$2:$A$755,"NZ_LABOUR",Release_Calendar!$B$2:$B$755,$A292)&gt;0,1,0))</f>
        <v/>
      </c>
      <c r="P292" s="16">
        <f t="shared" si="4"/>
        <v>0</v>
      </c>
    </row>
    <row r="293" ht="15.75" customHeight="1">
      <c r="A293" s="14">
        <v>36935.0</v>
      </c>
      <c r="B293" s="15">
        <v>4.75</v>
      </c>
      <c r="C293" s="15"/>
      <c r="D293" s="15">
        <v>5.79</v>
      </c>
      <c r="E293" s="15"/>
      <c r="F293" s="15" t="str">
        <f t="shared" si="1"/>
        <v/>
      </c>
      <c r="G293" s="15">
        <f t="shared" si="2"/>
        <v>5.79</v>
      </c>
      <c r="H293" s="16">
        <v>1.0</v>
      </c>
      <c r="I293" s="15">
        <f t="shared" si="3"/>
        <v>1.04</v>
      </c>
      <c r="J293" s="15">
        <v>21.37</v>
      </c>
      <c r="K293" s="16">
        <f>IF(COUNTIFS(Release_Calendar!$A$2:$A$755,"US_CPI",Release_Calendar!$B$2:$B$755,$A293)&gt;0,1,0)</f>
        <v>0</v>
      </c>
      <c r="L293" s="16">
        <f>IF(COUNTIFS(Release_Calendar!$A$2:$A$755,"US_NFP",Release_Calendar!$B$2:$B$755,$A293)&gt;0,1,0)</f>
        <v>0</v>
      </c>
      <c r="M293" s="16" t="str">
        <f>IF($A293&lt;Notes!$B$5,"",IF(COUNTIFS(Release_Calendar!$A$2:$A$755,"NZ_CPI",Release_Calendar!$B$2:$B$755,$A293)&gt;0,1,0))</f>
        <v/>
      </c>
      <c r="N293" s="16" t="str">
        <f>IF($A293&lt;Notes!$B$5,"",IF(COUNTIFS(Release_Calendar!$A$2:$A$755,"NZ_GDP",Release_Calendar!$B$2:$B$755,$A293)&gt;0,1,0))</f>
        <v/>
      </c>
      <c r="O293" s="16" t="str">
        <f>IF($A293&lt;Notes!$B$5,"",IF(COUNTIFS(Release_Calendar!$A$2:$A$755,"NZ_LABOUR",Release_Calendar!$B$2:$B$755,$A293)&gt;0,1,0))</f>
        <v/>
      </c>
      <c r="P293" s="16">
        <f t="shared" si="4"/>
        <v>0</v>
      </c>
    </row>
    <row r="294" ht="15.75" customHeight="1">
      <c r="A294" s="14">
        <v>36936.0</v>
      </c>
      <c r="B294" s="15">
        <v>4.84</v>
      </c>
      <c r="C294" s="15"/>
      <c r="D294" s="15">
        <v>5.87</v>
      </c>
      <c r="E294" s="15"/>
      <c r="F294" s="15" t="str">
        <f t="shared" si="1"/>
        <v/>
      </c>
      <c r="G294" s="15">
        <f t="shared" si="2"/>
        <v>5.87</v>
      </c>
      <c r="H294" s="16">
        <v>1.0</v>
      </c>
      <c r="I294" s="15">
        <f t="shared" si="3"/>
        <v>1.03</v>
      </c>
      <c r="J294" s="15">
        <v>21.52</v>
      </c>
      <c r="K294" s="16">
        <f>IF(COUNTIFS(Release_Calendar!$A$2:$A$755,"US_CPI",Release_Calendar!$B$2:$B$755,$A294)&gt;0,1,0)</f>
        <v>0</v>
      </c>
      <c r="L294" s="16">
        <f>IF(COUNTIFS(Release_Calendar!$A$2:$A$755,"US_NFP",Release_Calendar!$B$2:$B$755,$A294)&gt;0,1,0)</f>
        <v>0</v>
      </c>
      <c r="M294" s="16" t="str">
        <f>IF($A294&lt;Notes!$B$5,"",IF(COUNTIFS(Release_Calendar!$A$2:$A$755,"NZ_CPI",Release_Calendar!$B$2:$B$755,$A294)&gt;0,1,0))</f>
        <v/>
      </c>
      <c r="N294" s="16" t="str">
        <f>IF($A294&lt;Notes!$B$5,"",IF(COUNTIFS(Release_Calendar!$A$2:$A$755,"NZ_GDP",Release_Calendar!$B$2:$B$755,$A294)&gt;0,1,0))</f>
        <v/>
      </c>
      <c r="O294" s="16" t="str">
        <f>IF($A294&lt;Notes!$B$5,"",IF(COUNTIFS(Release_Calendar!$A$2:$A$755,"NZ_LABOUR",Release_Calendar!$B$2:$B$755,$A294)&gt;0,1,0))</f>
        <v/>
      </c>
      <c r="P294" s="16">
        <f t="shared" si="4"/>
        <v>0</v>
      </c>
    </row>
    <row r="295" ht="15.75" customHeight="1">
      <c r="A295" s="14">
        <v>36937.0</v>
      </c>
      <c r="B295" s="15">
        <v>4.89</v>
      </c>
      <c r="C295" s="15"/>
      <c r="D295" s="15">
        <v>5.99</v>
      </c>
      <c r="E295" s="15"/>
      <c r="F295" s="15" t="str">
        <f t="shared" si="1"/>
        <v/>
      </c>
      <c r="G295" s="15">
        <f t="shared" si="2"/>
        <v>5.99</v>
      </c>
      <c r="H295" s="16">
        <v>1.0</v>
      </c>
      <c r="I295" s="15">
        <f t="shared" si="3"/>
        <v>1.1</v>
      </c>
      <c r="J295" s="15">
        <v>20.27</v>
      </c>
      <c r="K295" s="16">
        <f>IF(COUNTIFS(Release_Calendar!$A$2:$A$755,"US_CPI",Release_Calendar!$B$2:$B$755,$A295)&gt;0,1,0)</f>
        <v>0</v>
      </c>
      <c r="L295" s="16">
        <f>IF(COUNTIFS(Release_Calendar!$A$2:$A$755,"US_NFP",Release_Calendar!$B$2:$B$755,$A295)&gt;0,1,0)</f>
        <v>0</v>
      </c>
      <c r="M295" s="16" t="str">
        <f>IF($A295&lt;Notes!$B$5,"",IF(COUNTIFS(Release_Calendar!$A$2:$A$755,"NZ_CPI",Release_Calendar!$B$2:$B$755,$A295)&gt;0,1,0))</f>
        <v/>
      </c>
      <c r="N295" s="16" t="str">
        <f>IF($A295&lt;Notes!$B$5,"",IF(COUNTIFS(Release_Calendar!$A$2:$A$755,"NZ_GDP",Release_Calendar!$B$2:$B$755,$A295)&gt;0,1,0))</f>
        <v/>
      </c>
      <c r="O295" s="16" t="str">
        <f>IF($A295&lt;Notes!$B$5,"",IF(COUNTIFS(Release_Calendar!$A$2:$A$755,"NZ_LABOUR",Release_Calendar!$B$2:$B$755,$A295)&gt;0,1,0))</f>
        <v/>
      </c>
      <c r="P295" s="16">
        <f t="shared" si="4"/>
        <v>0</v>
      </c>
    </row>
    <row r="296" ht="15.75" customHeight="1">
      <c r="A296" s="14">
        <v>36938.0</v>
      </c>
      <c r="B296" s="15">
        <v>4.75</v>
      </c>
      <c r="C296" s="15"/>
      <c r="D296" s="15">
        <v>6.01</v>
      </c>
      <c r="E296" s="15"/>
      <c r="F296" s="15" t="str">
        <f t="shared" si="1"/>
        <v/>
      </c>
      <c r="G296" s="15">
        <f t="shared" si="2"/>
        <v>6.01</v>
      </c>
      <c r="H296" s="16">
        <v>1.0</v>
      </c>
      <c r="I296" s="15">
        <f t="shared" si="3"/>
        <v>1.26</v>
      </c>
      <c r="J296" s="15">
        <v>22.12</v>
      </c>
      <c r="K296" s="16">
        <f>IF(COUNTIFS(Release_Calendar!$A$2:$A$755,"US_CPI",Release_Calendar!$B$2:$B$755,$A296)&gt;0,1,0)</f>
        <v>0</v>
      </c>
      <c r="L296" s="16">
        <f>IF(COUNTIFS(Release_Calendar!$A$2:$A$755,"US_NFP",Release_Calendar!$B$2:$B$755,$A296)&gt;0,1,0)</f>
        <v>0</v>
      </c>
      <c r="M296" s="16" t="str">
        <f>IF($A296&lt;Notes!$B$5,"",IF(COUNTIFS(Release_Calendar!$A$2:$A$755,"NZ_CPI",Release_Calendar!$B$2:$B$755,$A296)&gt;0,1,0))</f>
        <v/>
      </c>
      <c r="N296" s="16" t="str">
        <f>IF($A296&lt;Notes!$B$5,"",IF(COUNTIFS(Release_Calendar!$A$2:$A$755,"NZ_GDP",Release_Calendar!$B$2:$B$755,$A296)&gt;0,1,0))</f>
        <v/>
      </c>
      <c r="O296" s="16" t="str">
        <f>IF($A296&lt;Notes!$B$5,"",IF(COUNTIFS(Release_Calendar!$A$2:$A$755,"NZ_LABOUR",Release_Calendar!$B$2:$B$755,$A296)&gt;0,1,0))</f>
        <v/>
      </c>
      <c r="P296" s="16">
        <f t="shared" si="4"/>
        <v>0</v>
      </c>
    </row>
    <row r="297" ht="15.75" customHeight="1">
      <c r="A297" s="14">
        <v>36941.0</v>
      </c>
      <c r="B297" s="15"/>
      <c r="C297" s="15"/>
      <c r="D297" s="15">
        <v>5.85</v>
      </c>
      <c r="E297" s="15"/>
      <c r="F297" s="15" t="str">
        <f t="shared" si="1"/>
        <v/>
      </c>
      <c r="G297" s="15">
        <f t="shared" si="2"/>
        <v>5.85</v>
      </c>
      <c r="H297" s="16">
        <v>1.0</v>
      </c>
      <c r="I297" s="15" t="str">
        <f t="shared" si="3"/>
        <v/>
      </c>
      <c r="J297" s="15"/>
      <c r="K297" s="16">
        <f>IF(COUNTIFS(Release_Calendar!$A$2:$A$755,"US_CPI",Release_Calendar!$B$2:$B$755,$A297)&gt;0,1,0)</f>
        <v>0</v>
      </c>
      <c r="L297" s="16">
        <f>IF(COUNTIFS(Release_Calendar!$A$2:$A$755,"US_NFP",Release_Calendar!$B$2:$B$755,$A297)&gt;0,1,0)</f>
        <v>0</v>
      </c>
      <c r="M297" s="16" t="str">
        <f>IF($A297&lt;Notes!$B$5,"",IF(COUNTIFS(Release_Calendar!$A$2:$A$755,"NZ_CPI",Release_Calendar!$B$2:$B$755,$A297)&gt;0,1,0))</f>
        <v/>
      </c>
      <c r="N297" s="16" t="str">
        <f>IF($A297&lt;Notes!$B$5,"",IF(COUNTIFS(Release_Calendar!$A$2:$A$755,"NZ_GDP",Release_Calendar!$B$2:$B$755,$A297)&gt;0,1,0))</f>
        <v/>
      </c>
      <c r="O297" s="16" t="str">
        <f>IF($A297&lt;Notes!$B$5,"",IF(COUNTIFS(Release_Calendar!$A$2:$A$755,"NZ_LABOUR",Release_Calendar!$B$2:$B$755,$A297)&gt;0,1,0))</f>
        <v/>
      </c>
      <c r="P297" s="16">
        <f t="shared" si="4"/>
        <v>0</v>
      </c>
    </row>
    <row r="298" ht="15.75" customHeight="1">
      <c r="A298" s="14">
        <v>36942.0</v>
      </c>
      <c r="B298" s="15">
        <v>4.73</v>
      </c>
      <c r="C298" s="15"/>
      <c r="D298" s="15">
        <v>5.85</v>
      </c>
      <c r="E298" s="15"/>
      <c r="F298" s="15" t="str">
        <f t="shared" si="1"/>
        <v/>
      </c>
      <c r="G298" s="15">
        <f t="shared" si="2"/>
        <v>5.85</v>
      </c>
      <c r="H298" s="16">
        <v>1.0</v>
      </c>
      <c r="I298" s="15">
        <f t="shared" si="3"/>
        <v>1.12</v>
      </c>
      <c r="J298" s="15">
        <v>24.69</v>
      </c>
      <c r="K298" s="16">
        <f>IF(COUNTIFS(Release_Calendar!$A$2:$A$755,"US_CPI",Release_Calendar!$B$2:$B$755,$A298)&gt;0,1,0)</f>
        <v>0</v>
      </c>
      <c r="L298" s="16">
        <f>IF(COUNTIFS(Release_Calendar!$A$2:$A$755,"US_NFP",Release_Calendar!$B$2:$B$755,$A298)&gt;0,1,0)</f>
        <v>0</v>
      </c>
      <c r="M298" s="16" t="str">
        <f>IF($A298&lt;Notes!$B$5,"",IF(COUNTIFS(Release_Calendar!$A$2:$A$755,"NZ_CPI",Release_Calendar!$B$2:$B$755,$A298)&gt;0,1,0))</f>
        <v/>
      </c>
      <c r="N298" s="16" t="str">
        <f>IF($A298&lt;Notes!$B$5,"",IF(COUNTIFS(Release_Calendar!$A$2:$A$755,"NZ_GDP",Release_Calendar!$B$2:$B$755,$A298)&gt;0,1,0))</f>
        <v/>
      </c>
      <c r="O298" s="16" t="str">
        <f>IF($A298&lt;Notes!$B$5,"",IF(COUNTIFS(Release_Calendar!$A$2:$A$755,"NZ_LABOUR",Release_Calendar!$B$2:$B$755,$A298)&gt;0,1,0))</f>
        <v/>
      </c>
      <c r="P298" s="16">
        <f t="shared" si="4"/>
        <v>0</v>
      </c>
    </row>
    <row r="299" ht="15.75" customHeight="1">
      <c r="A299" s="14">
        <v>36943.0</v>
      </c>
      <c r="B299" s="15">
        <v>4.68</v>
      </c>
      <c r="C299" s="15"/>
      <c r="D299" s="15">
        <v>5.87</v>
      </c>
      <c r="E299" s="15"/>
      <c r="F299" s="15" t="str">
        <f t="shared" si="1"/>
        <v/>
      </c>
      <c r="G299" s="15">
        <f t="shared" si="2"/>
        <v>5.87</v>
      </c>
      <c r="H299" s="16">
        <v>1.0</v>
      </c>
      <c r="I299" s="15">
        <f t="shared" si="3"/>
        <v>1.19</v>
      </c>
      <c r="J299" s="15">
        <v>25.75</v>
      </c>
      <c r="K299" s="16">
        <f>IF(COUNTIFS(Release_Calendar!$A$2:$A$755,"US_CPI",Release_Calendar!$B$2:$B$755,$A299)&gt;0,1,0)</f>
        <v>1</v>
      </c>
      <c r="L299" s="16">
        <f>IF(COUNTIFS(Release_Calendar!$A$2:$A$755,"US_NFP",Release_Calendar!$B$2:$B$755,$A299)&gt;0,1,0)</f>
        <v>0</v>
      </c>
      <c r="M299" s="16" t="str">
        <f>IF($A299&lt;Notes!$B$5,"",IF(COUNTIFS(Release_Calendar!$A$2:$A$755,"NZ_CPI",Release_Calendar!$B$2:$B$755,$A299)&gt;0,1,0))</f>
        <v/>
      </c>
      <c r="N299" s="16" t="str">
        <f>IF($A299&lt;Notes!$B$5,"",IF(COUNTIFS(Release_Calendar!$A$2:$A$755,"NZ_GDP",Release_Calendar!$B$2:$B$755,$A299)&gt;0,1,0))</f>
        <v/>
      </c>
      <c r="O299" s="16" t="str">
        <f>IF($A299&lt;Notes!$B$5,"",IF(COUNTIFS(Release_Calendar!$A$2:$A$755,"NZ_LABOUR",Release_Calendar!$B$2:$B$755,$A299)&gt;0,1,0))</f>
        <v/>
      </c>
      <c r="P299" s="16">
        <f t="shared" si="4"/>
        <v>1</v>
      </c>
    </row>
    <row r="300" ht="15.75" customHeight="1">
      <c r="A300" s="14">
        <v>36944.0</v>
      </c>
      <c r="B300" s="15">
        <v>4.63</v>
      </c>
      <c r="C300" s="15"/>
      <c r="D300" s="15">
        <v>5.86</v>
      </c>
      <c r="E300" s="15"/>
      <c r="F300" s="15" t="str">
        <f t="shared" si="1"/>
        <v/>
      </c>
      <c r="G300" s="15">
        <f t="shared" si="2"/>
        <v>5.86</v>
      </c>
      <c r="H300" s="16">
        <v>1.0</v>
      </c>
      <c r="I300" s="15">
        <f t="shared" si="3"/>
        <v>1.23</v>
      </c>
      <c r="J300" s="15">
        <v>26.76</v>
      </c>
      <c r="K300" s="16">
        <f>IF(COUNTIFS(Release_Calendar!$A$2:$A$755,"US_CPI",Release_Calendar!$B$2:$B$755,$A300)&gt;0,1,0)</f>
        <v>0</v>
      </c>
      <c r="L300" s="16">
        <f>IF(COUNTIFS(Release_Calendar!$A$2:$A$755,"US_NFP",Release_Calendar!$B$2:$B$755,$A300)&gt;0,1,0)</f>
        <v>0</v>
      </c>
      <c r="M300" s="16" t="str">
        <f>IF($A300&lt;Notes!$B$5,"",IF(COUNTIFS(Release_Calendar!$A$2:$A$755,"NZ_CPI",Release_Calendar!$B$2:$B$755,$A300)&gt;0,1,0))</f>
        <v/>
      </c>
      <c r="N300" s="16" t="str">
        <f>IF($A300&lt;Notes!$B$5,"",IF(COUNTIFS(Release_Calendar!$A$2:$A$755,"NZ_GDP",Release_Calendar!$B$2:$B$755,$A300)&gt;0,1,0))</f>
        <v/>
      </c>
      <c r="O300" s="16" t="str">
        <f>IF($A300&lt;Notes!$B$5,"",IF(COUNTIFS(Release_Calendar!$A$2:$A$755,"NZ_LABOUR",Release_Calendar!$B$2:$B$755,$A300)&gt;0,1,0))</f>
        <v/>
      </c>
      <c r="P300" s="16">
        <f t="shared" si="4"/>
        <v>0</v>
      </c>
    </row>
    <row r="301" ht="15.75" customHeight="1">
      <c r="A301" s="14">
        <v>36945.0</v>
      </c>
      <c r="B301" s="15">
        <v>4.53</v>
      </c>
      <c r="C301" s="15"/>
      <c r="D301" s="15">
        <v>5.82</v>
      </c>
      <c r="E301" s="15"/>
      <c r="F301" s="15" t="str">
        <f t="shared" si="1"/>
        <v/>
      </c>
      <c r="G301" s="15">
        <f t="shared" si="2"/>
        <v>5.82</v>
      </c>
      <c r="H301" s="16">
        <v>1.0</v>
      </c>
      <c r="I301" s="15">
        <f t="shared" si="3"/>
        <v>1.29</v>
      </c>
      <c r="J301" s="15">
        <v>27.21</v>
      </c>
      <c r="K301" s="16">
        <f>IF(COUNTIFS(Release_Calendar!$A$2:$A$755,"US_CPI",Release_Calendar!$B$2:$B$755,$A301)&gt;0,1,0)</f>
        <v>0</v>
      </c>
      <c r="L301" s="16">
        <f>IF(COUNTIFS(Release_Calendar!$A$2:$A$755,"US_NFP",Release_Calendar!$B$2:$B$755,$A301)&gt;0,1,0)</f>
        <v>0</v>
      </c>
      <c r="M301" s="16" t="str">
        <f>IF($A301&lt;Notes!$B$5,"",IF(COUNTIFS(Release_Calendar!$A$2:$A$755,"NZ_CPI",Release_Calendar!$B$2:$B$755,$A301)&gt;0,1,0))</f>
        <v/>
      </c>
      <c r="N301" s="16" t="str">
        <f>IF($A301&lt;Notes!$B$5,"",IF(COUNTIFS(Release_Calendar!$A$2:$A$755,"NZ_GDP",Release_Calendar!$B$2:$B$755,$A301)&gt;0,1,0))</f>
        <v/>
      </c>
      <c r="O301" s="16" t="str">
        <f>IF($A301&lt;Notes!$B$5,"",IF(COUNTIFS(Release_Calendar!$A$2:$A$755,"NZ_LABOUR",Release_Calendar!$B$2:$B$755,$A301)&gt;0,1,0))</f>
        <v/>
      </c>
      <c r="P301" s="16">
        <f t="shared" si="4"/>
        <v>0</v>
      </c>
    </row>
    <row r="302" ht="15.75" customHeight="1">
      <c r="A302" s="14">
        <v>36948.0</v>
      </c>
      <c r="B302" s="15">
        <v>4.46</v>
      </c>
      <c r="C302" s="15"/>
      <c r="D302" s="15">
        <v>5.76</v>
      </c>
      <c r="E302" s="15"/>
      <c r="F302" s="15" t="str">
        <f t="shared" si="1"/>
        <v/>
      </c>
      <c r="G302" s="15">
        <f t="shared" si="2"/>
        <v>5.76</v>
      </c>
      <c r="H302" s="16">
        <v>1.0</v>
      </c>
      <c r="I302" s="15">
        <f t="shared" si="3"/>
        <v>1.3</v>
      </c>
      <c r="J302" s="15">
        <v>25.43</v>
      </c>
      <c r="K302" s="16">
        <f>IF(COUNTIFS(Release_Calendar!$A$2:$A$755,"US_CPI",Release_Calendar!$B$2:$B$755,$A302)&gt;0,1,0)</f>
        <v>0</v>
      </c>
      <c r="L302" s="16">
        <f>IF(COUNTIFS(Release_Calendar!$A$2:$A$755,"US_NFP",Release_Calendar!$B$2:$B$755,$A302)&gt;0,1,0)</f>
        <v>0</v>
      </c>
      <c r="M302" s="16" t="str">
        <f>IF($A302&lt;Notes!$B$5,"",IF(COUNTIFS(Release_Calendar!$A$2:$A$755,"NZ_CPI",Release_Calendar!$B$2:$B$755,$A302)&gt;0,1,0))</f>
        <v/>
      </c>
      <c r="N302" s="16" t="str">
        <f>IF($A302&lt;Notes!$B$5,"",IF(COUNTIFS(Release_Calendar!$A$2:$A$755,"NZ_GDP",Release_Calendar!$B$2:$B$755,$A302)&gt;0,1,0))</f>
        <v/>
      </c>
      <c r="O302" s="16" t="str">
        <f>IF($A302&lt;Notes!$B$5,"",IF(COUNTIFS(Release_Calendar!$A$2:$A$755,"NZ_LABOUR",Release_Calendar!$B$2:$B$755,$A302)&gt;0,1,0))</f>
        <v/>
      </c>
      <c r="P302" s="16">
        <f t="shared" si="4"/>
        <v>0</v>
      </c>
    </row>
    <row r="303" ht="15.75" customHeight="1">
      <c r="A303" s="14">
        <v>36949.0</v>
      </c>
      <c r="B303" s="15">
        <v>4.44</v>
      </c>
      <c r="C303" s="15"/>
      <c r="D303" s="15">
        <v>5.76</v>
      </c>
      <c r="E303" s="15"/>
      <c r="F303" s="15" t="str">
        <f t="shared" si="1"/>
        <v/>
      </c>
      <c r="G303" s="15">
        <f t="shared" si="2"/>
        <v>5.76</v>
      </c>
      <c r="H303" s="16">
        <v>1.0</v>
      </c>
      <c r="I303" s="15">
        <f t="shared" si="3"/>
        <v>1.32</v>
      </c>
      <c r="J303" s="15">
        <v>26.49</v>
      </c>
      <c r="K303" s="16">
        <f>IF(COUNTIFS(Release_Calendar!$A$2:$A$755,"US_CPI",Release_Calendar!$B$2:$B$755,$A303)&gt;0,1,0)</f>
        <v>0</v>
      </c>
      <c r="L303" s="16">
        <f>IF(COUNTIFS(Release_Calendar!$A$2:$A$755,"US_NFP",Release_Calendar!$B$2:$B$755,$A303)&gt;0,1,0)</f>
        <v>0</v>
      </c>
      <c r="M303" s="16" t="str">
        <f>IF($A303&lt;Notes!$B$5,"",IF(COUNTIFS(Release_Calendar!$A$2:$A$755,"NZ_CPI",Release_Calendar!$B$2:$B$755,$A303)&gt;0,1,0))</f>
        <v/>
      </c>
      <c r="N303" s="16" t="str">
        <f>IF($A303&lt;Notes!$B$5,"",IF(COUNTIFS(Release_Calendar!$A$2:$A$755,"NZ_GDP",Release_Calendar!$B$2:$B$755,$A303)&gt;0,1,0))</f>
        <v/>
      </c>
      <c r="O303" s="16" t="str">
        <f>IF($A303&lt;Notes!$B$5,"",IF(COUNTIFS(Release_Calendar!$A$2:$A$755,"NZ_LABOUR",Release_Calendar!$B$2:$B$755,$A303)&gt;0,1,0))</f>
        <v/>
      </c>
      <c r="P303" s="16">
        <f t="shared" si="4"/>
        <v>0</v>
      </c>
    </row>
    <row r="304" ht="15.75" customHeight="1">
      <c r="A304" s="14">
        <v>36950.0</v>
      </c>
      <c r="B304" s="15">
        <v>4.41</v>
      </c>
      <c r="C304" s="15"/>
      <c r="D304" s="15">
        <v>5.79</v>
      </c>
      <c r="E304" s="15"/>
      <c r="F304" s="15" t="str">
        <f t="shared" si="1"/>
        <v/>
      </c>
      <c r="G304" s="15">
        <f t="shared" si="2"/>
        <v>5.79</v>
      </c>
      <c r="H304" s="16">
        <v>1.0</v>
      </c>
      <c r="I304" s="15">
        <f t="shared" si="3"/>
        <v>1.38</v>
      </c>
      <c r="J304" s="15">
        <v>28.35</v>
      </c>
      <c r="K304" s="16">
        <f>IF(COUNTIFS(Release_Calendar!$A$2:$A$755,"US_CPI",Release_Calendar!$B$2:$B$755,$A304)&gt;0,1,0)</f>
        <v>0</v>
      </c>
      <c r="L304" s="16">
        <f>IF(COUNTIFS(Release_Calendar!$A$2:$A$755,"US_NFP",Release_Calendar!$B$2:$B$755,$A304)&gt;0,1,0)</f>
        <v>0</v>
      </c>
      <c r="M304" s="16" t="str">
        <f>IF($A304&lt;Notes!$B$5,"",IF(COUNTIFS(Release_Calendar!$A$2:$A$755,"NZ_CPI",Release_Calendar!$B$2:$B$755,$A304)&gt;0,1,0))</f>
        <v/>
      </c>
      <c r="N304" s="16" t="str">
        <f>IF($A304&lt;Notes!$B$5,"",IF(COUNTIFS(Release_Calendar!$A$2:$A$755,"NZ_GDP",Release_Calendar!$B$2:$B$755,$A304)&gt;0,1,0))</f>
        <v/>
      </c>
      <c r="O304" s="16" t="str">
        <f>IF($A304&lt;Notes!$B$5,"",IF(COUNTIFS(Release_Calendar!$A$2:$A$755,"NZ_LABOUR",Release_Calendar!$B$2:$B$755,$A304)&gt;0,1,0))</f>
        <v/>
      </c>
      <c r="P304" s="16">
        <f t="shared" si="4"/>
        <v>0</v>
      </c>
    </row>
    <row r="305" ht="15.75" customHeight="1">
      <c r="A305" s="14">
        <v>36951.0</v>
      </c>
      <c r="B305" s="15">
        <v>4.41</v>
      </c>
      <c r="C305" s="15"/>
      <c r="D305" s="15">
        <v>5.78</v>
      </c>
      <c r="E305" s="15"/>
      <c r="F305" s="15" t="str">
        <f t="shared" si="1"/>
        <v/>
      </c>
      <c r="G305" s="15">
        <f t="shared" si="2"/>
        <v>5.78</v>
      </c>
      <c r="H305" s="16">
        <v>1.0</v>
      </c>
      <c r="I305" s="15">
        <f t="shared" si="3"/>
        <v>1.37</v>
      </c>
      <c r="J305" s="15">
        <v>28.08</v>
      </c>
      <c r="K305" s="16">
        <f>IF(COUNTIFS(Release_Calendar!$A$2:$A$755,"US_CPI",Release_Calendar!$B$2:$B$755,$A305)&gt;0,1,0)</f>
        <v>0</v>
      </c>
      <c r="L305" s="16">
        <f>IF(COUNTIFS(Release_Calendar!$A$2:$A$755,"US_NFP",Release_Calendar!$B$2:$B$755,$A305)&gt;0,1,0)</f>
        <v>0</v>
      </c>
      <c r="M305" s="16" t="str">
        <f>IF($A305&lt;Notes!$B$5,"",IF(COUNTIFS(Release_Calendar!$A$2:$A$755,"NZ_CPI",Release_Calendar!$B$2:$B$755,$A305)&gt;0,1,0))</f>
        <v/>
      </c>
      <c r="N305" s="16" t="str">
        <f>IF($A305&lt;Notes!$B$5,"",IF(COUNTIFS(Release_Calendar!$A$2:$A$755,"NZ_GDP",Release_Calendar!$B$2:$B$755,$A305)&gt;0,1,0))</f>
        <v/>
      </c>
      <c r="O305" s="16" t="str">
        <f>IF($A305&lt;Notes!$B$5,"",IF(COUNTIFS(Release_Calendar!$A$2:$A$755,"NZ_LABOUR",Release_Calendar!$B$2:$B$755,$A305)&gt;0,1,0))</f>
        <v/>
      </c>
      <c r="P305" s="16">
        <f t="shared" si="4"/>
        <v>0</v>
      </c>
    </row>
    <row r="306" ht="15.75" customHeight="1">
      <c r="A306" s="14">
        <v>36952.0</v>
      </c>
      <c r="B306" s="15">
        <v>4.48</v>
      </c>
      <c r="C306" s="15"/>
      <c r="D306" s="15">
        <v>5.79</v>
      </c>
      <c r="E306" s="15"/>
      <c r="F306" s="15" t="str">
        <f t="shared" si="1"/>
        <v/>
      </c>
      <c r="G306" s="15">
        <f t="shared" si="2"/>
        <v>5.79</v>
      </c>
      <c r="H306" s="16">
        <v>1.0</v>
      </c>
      <c r="I306" s="15">
        <f t="shared" si="3"/>
        <v>1.31</v>
      </c>
      <c r="J306" s="15">
        <v>27.43</v>
      </c>
      <c r="K306" s="16">
        <f>IF(COUNTIFS(Release_Calendar!$A$2:$A$755,"US_CPI",Release_Calendar!$B$2:$B$755,$A306)&gt;0,1,0)</f>
        <v>0</v>
      </c>
      <c r="L306" s="16">
        <f>IF(COUNTIFS(Release_Calendar!$A$2:$A$755,"US_NFP",Release_Calendar!$B$2:$B$755,$A306)&gt;0,1,0)</f>
        <v>0</v>
      </c>
      <c r="M306" s="16" t="str">
        <f>IF($A306&lt;Notes!$B$5,"",IF(COUNTIFS(Release_Calendar!$A$2:$A$755,"NZ_CPI",Release_Calendar!$B$2:$B$755,$A306)&gt;0,1,0))</f>
        <v/>
      </c>
      <c r="N306" s="16" t="str">
        <f>IF($A306&lt;Notes!$B$5,"",IF(COUNTIFS(Release_Calendar!$A$2:$A$755,"NZ_GDP",Release_Calendar!$B$2:$B$755,$A306)&gt;0,1,0))</f>
        <v/>
      </c>
      <c r="O306" s="16" t="str">
        <f>IF($A306&lt;Notes!$B$5,"",IF(COUNTIFS(Release_Calendar!$A$2:$A$755,"NZ_LABOUR",Release_Calendar!$B$2:$B$755,$A306)&gt;0,1,0))</f>
        <v/>
      </c>
      <c r="P306" s="16">
        <f t="shared" si="4"/>
        <v>0</v>
      </c>
    </row>
    <row r="307" ht="15.75" customHeight="1">
      <c r="A307" s="14">
        <v>36955.0</v>
      </c>
      <c r="B307" s="15">
        <v>4.49</v>
      </c>
      <c r="C307" s="15"/>
      <c r="D307" s="15">
        <v>5.76</v>
      </c>
      <c r="E307" s="15"/>
      <c r="F307" s="15" t="str">
        <f t="shared" si="1"/>
        <v/>
      </c>
      <c r="G307" s="15">
        <f t="shared" si="2"/>
        <v>5.76</v>
      </c>
      <c r="H307" s="16">
        <v>1.0</v>
      </c>
      <c r="I307" s="15">
        <f t="shared" si="3"/>
        <v>1.27</v>
      </c>
      <c r="J307" s="15">
        <v>27.12</v>
      </c>
      <c r="K307" s="16">
        <f>IF(COUNTIFS(Release_Calendar!$A$2:$A$755,"US_CPI",Release_Calendar!$B$2:$B$755,$A307)&gt;0,1,0)</f>
        <v>0</v>
      </c>
      <c r="L307" s="16">
        <f>IF(COUNTIFS(Release_Calendar!$A$2:$A$755,"US_NFP",Release_Calendar!$B$2:$B$755,$A307)&gt;0,1,0)</f>
        <v>0</v>
      </c>
      <c r="M307" s="16" t="str">
        <f>IF($A307&lt;Notes!$B$5,"",IF(COUNTIFS(Release_Calendar!$A$2:$A$755,"NZ_CPI",Release_Calendar!$B$2:$B$755,$A307)&gt;0,1,0))</f>
        <v/>
      </c>
      <c r="N307" s="16" t="str">
        <f>IF($A307&lt;Notes!$B$5,"",IF(COUNTIFS(Release_Calendar!$A$2:$A$755,"NZ_GDP",Release_Calendar!$B$2:$B$755,$A307)&gt;0,1,0))</f>
        <v/>
      </c>
      <c r="O307" s="16" t="str">
        <f>IF($A307&lt;Notes!$B$5,"",IF(COUNTIFS(Release_Calendar!$A$2:$A$755,"NZ_LABOUR",Release_Calendar!$B$2:$B$755,$A307)&gt;0,1,0))</f>
        <v/>
      </c>
      <c r="P307" s="16">
        <f t="shared" si="4"/>
        <v>0</v>
      </c>
    </row>
    <row r="308" ht="15.75" customHeight="1">
      <c r="A308" s="14">
        <v>36956.0</v>
      </c>
      <c r="B308" s="15">
        <v>4.49</v>
      </c>
      <c r="C308" s="15"/>
      <c r="D308" s="15">
        <v>5.74</v>
      </c>
      <c r="E308" s="15"/>
      <c r="F308" s="15" t="str">
        <f t="shared" si="1"/>
        <v/>
      </c>
      <c r="G308" s="15">
        <f t="shared" si="2"/>
        <v>5.74</v>
      </c>
      <c r="H308" s="16">
        <v>1.0</v>
      </c>
      <c r="I308" s="15">
        <f t="shared" si="3"/>
        <v>1.25</v>
      </c>
      <c r="J308" s="15">
        <v>25.89</v>
      </c>
      <c r="K308" s="16">
        <f>IF(COUNTIFS(Release_Calendar!$A$2:$A$755,"US_CPI",Release_Calendar!$B$2:$B$755,$A308)&gt;0,1,0)</f>
        <v>0</v>
      </c>
      <c r="L308" s="16">
        <f>IF(COUNTIFS(Release_Calendar!$A$2:$A$755,"US_NFP",Release_Calendar!$B$2:$B$755,$A308)&gt;0,1,0)</f>
        <v>0</v>
      </c>
      <c r="M308" s="16" t="str">
        <f>IF($A308&lt;Notes!$B$5,"",IF(COUNTIFS(Release_Calendar!$A$2:$A$755,"NZ_CPI",Release_Calendar!$B$2:$B$755,$A308)&gt;0,1,0))</f>
        <v/>
      </c>
      <c r="N308" s="16" t="str">
        <f>IF($A308&lt;Notes!$B$5,"",IF(COUNTIFS(Release_Calendar!$A$2:$A$755,"NZ_GDP",Release_Calendar!$B$2:$B$755,$A308)&gt;0,1,0))</f>
        <v/>
      </c>
      <c r="O308" s="16" t="str">
        <f>IF($A308&lt;Notes!$B$5,"",IF(COUNTIFS(Release_Calendar!$A$2:$A$755,"NZ_LABOUR",Release_Calendar!$B$2:$B$755,$A308)&gt;0,1,0))</f>
        <v/>
      </c>
      <c r="P308" s="16">
        <f t="shared" si="4"/>
        <v>0</v>
      </c>
    </row>
    <row r="309" ht="15.75" customHeight="1">
      <c r="A309" s="14">
        <v>36957.0</v>
      </c>
      <c r="B309" s="15">
        <v>4.43</v>
      </c>
      <c r="C309" s="15"/>
      <c r="D309" s="15">
        <v>5.75</v>
      </c>
      <c r="E309" s="15"/>
      <c r="F309" s="15" t="str">
        <f t="shared" si="1"/>
        <v/>
      </c>
      <c r="G309" s="15">
        <f t="shared" si="2"/>
        <v>5.75</v>
      </c>
      <c r="H309" s="16">
        <v>1.0</v>
      </c>
      <c r="I309" s="15">
        <f t="shared" si="3"/>
        <v>1.32</v>
      </c>
      <c r="J309" s="15">
        <v>24.12</v>
      </c>
      <c r="K309" s="16">
        <f>IF(COUNTIFS(Release_Calendar!$A$2:$A$755,"US_CPI",Release_Calendar!$B$2:$B$755,$A309)&gt;0,1,0)</f>
        <v>0</v>
      </c>
      <c r="L309" s="16">
        <f>IF(COUNTIFS(Release_Calendar!$A$2:$A$755,"US_NFP",Release_Calendar!$B$2:$B$755,$A309)&gt;0,1,0)</f>
        <v>0</v>
      </c>
      <c r="M309" s="16" t="str">
        <f>IF($A309&lt;Notes!$B$5,"",IF(COUNTIFS(Release_Calendar!$A$2:$A$755,"NZ_CPI",Release_Calendar!$B$2:$B$755,$A309)&gt;0,1,0))</f>
        <v/>
      </c>
      <c r="N309" s="16" t="str">
        <f>IF($A309&lt;Notes!$B$5,"",IF(COUNTIFS(Release_Calendar!$A$2:$A$755,"NZ_GDP",Release_Calendar!$B$2:$B$755,$A309)&gt;0,1,0))</f>
        <v/>
      </c>
      <c r="O309" s="16" t="str">
        <f>IF($A309&lt;Notes!$B$5,"",IF(COUNTIFS(Release_Calendar!$A$2:$A$755,"NZ_LABOUR",Release_Calendar!$B$2:$B$755,$A309)&gt;0,1,0))</f>
        <v/>
      </c>
      <c r="P309" s="16">
        <f t="shared" si="4"/>
        <v>0</v>
      </c>
    </row>
    <row r="310" ht="15.75" customHeight="1">
      <c r="A310" s="14">
        <v>36958.0</v>
      </c>
      <c r="B310" s="15">
        <v>4.43</v>
      </c>
      <c r="C310" s="15"/>
      <c r="D310" s="15">
        <v>5.66</v>
      </c>
      <c r="E310" s="15"/>
      <c r="F310" s="15" t="str">
        <f t="shared" si="1"/>
        <v/>
      </c>
      <c r="G310" s="15">
        <f t="shared" si="2"/>
        <v>5.66</v>
      </c>
      <c r="H310" s="16">
        <v>1.0</v>
      </c>
      <c r="I310" s="15">
        <f t="shared" si="3"/>
        <v>1.23</v>
      </c>
      <c r="J310" s="15">
        <v>24.29</v>
      </c>
      <c r="K310" s="16">
        <f>IF(COUNTIFS(Release_Calendar!$A$2:$A$755,"US_CPI",Release_Calendar!$B$2:$B$755,$A310)&gt;0,1,0)</f>
        <v>0</v>
      </c>
      <c r="L310" s="16">
        <f>IF(COUNTIFS(Release_Calendar!$A$2:$A$755,"US_NFP",Release_Calendar!$B$2:$B$755,$A310)&gt;0,1,0)</f>
        <v>0</v>
      </c>
      <c r="M310" s="16" t="str">
        <f>IF($A310&lt;Notes!$B$5,"",IF(COUNTIFS(Release_Calendar!$A$2:$A$755,"NZ_CPI",Release_Calendar!$B$2:$B$755,$A310)&gt;0,1,0))</f>
        <v/>
      </c>
      <c r="N310" s="16" t="str">
        <f>IF($A310&lt;Notes!$B$5,"",IF(COUNTIFS(Release_Calendar!$A$2:$A$755,"NZ_GDP",Release_Calendar!$B$2:$B$755,$A310)&gt;0,1,0))</f>
        <v/>
      </c>
      <c r="O310" s="16" t="str">
        <f>IF($A310&lt;Notes!$B$5,"",IF(COUNTIFS(Release_Calendar!$A$2:$A$755,"NZ_LABOUR",Release_Calendar!$B$2:$B$755,$A310)&gt;0,1,0))</f>
        <v/>
      </c>
      <c r="P310" s="16">
        <f t="shared" si="4"/>
        <v>0</v>
      </c>
    </row>
    <row r="311" ht="15.75" customHeight="1">
      <c r="A311" s="14">
        <v>36959.0</v>
      </c>
      <c r="B311" s="15">
        <v>4.47</v>
      </c>
      <c r="C311" s="15"/>
      <c r="D311" s="15">
        <v>5.66</v>
      </c>
      <c r="E311" s="15"/>
      <c r="F311" s="15" t="str">
        <f t="shared" si="1"/>
        <v/>
      </c>
      <c r="G311" s="15">
        <f t="shared" si="2"/>
        <v>5.66</v>
      </c>
      <c r="H311" s="16">
        <v>1.0</v>
      </c>
      <c r="I311" s="15">
        <f t="shared" si="3"/>
        <v>1.19</v>
      </c>
      <c r="J311" s="15">
        <v>25.62</v>
      </c>
      <c r="K311" s="16">
        <f>IF(COUNTIFS(Release_Calendar!$A$2:$A$755,"US_CPI",Release_Calendar!$B$2:$B$755,$A311)&gt;0,1,0)</f>
        <v>0</v>
      </c>
      <c r="L311" s="16">
        <f>IF(COUNTIFS(Release_Calendar!$A$2:$A$755,"US_NFP",Release_Calendar!$B$2:$B$755,$A311)&gt;0,1,0)</f>
        <v>1</v>
      </c>
      <c r="M311" s="16" t="str">
        <f>IF($A311&lt;Notes!$B$5,"",IF(COUNTIFS(Release_Calendar!$A$2:$A$755,"NZ_CPI",Release_Calendar!$B$2:$B$755,$A311)&gt;0,1,0))</f>
        <v/>
      </c>
      <c r="N311" s="16" t="str">
        <f>IF($A311&lt;Notes!$B$5,"",IF(COUNTIFS(Release_Calendar!$A$2:$A$755,"NZ_GDP",Release_Calendar!$B$2:$B$755,$A311)&gt;0,1,0))</f>
        <v/>
      </c>
      <c r="O311" s="16" t="str">
        <f>IF($A311&lt;Notes!$B$5,"",IF(COUNTIFS(Release_Calendar!$A$2:$A$755,"NZ_LABOUR",Release_Calendar!$B$2:$B$755,$A311)&gt;0,1,0))</f>
        <v/>
      </c>
      <c r="P311" s="16">
        <f t="shared" si="4"/>
        <v>1</v>
      </c>
    </row>
    <row r="312" ht="15.75" customHeight="1">
      <c r="A312" s="14">
        <v>36962.0</v>
      </c>
      <c r="B312" s="15">
        <v>4.46</v>
      </c>
      <c r="C312" s="15"/>
      <c r="D312" s="15">
        <v>5.67</v>
      </c>
      <c r="E312" s="15"/>
      <c r="F312" s="15" t="str">
        <f t="shared" si="1"/>
        <v/>
      </c>
      <c r="G312" s="15">
        <f t="shared" si="2"/>
        <v>5.67</v>
      </c>
      <c r="H312" s="16">
        <v>1.0</v>
      </c>
      <c r="I312" s="15">
        <f t="shared" si="3"/>
        <v>1.21</v>
      </c>
      <c r="J312" s="15">
        <v>30.32</v>
      </c>
      <c r="K312" s="16">
        <f>IF(COUNTIFS(Release_Calendar!$A$2:$A$755,"US_CPI",Release_Calendar!$B$2:$B$755,$A312)&gt;0,1,0)</f>
        <v>0</v>
      </c>
      <c r="L312" s="16">
        <f>IF(COUNTIFS(Release_Calendar!$A$2:$A$755,"US_NFP",Release_Calendar!$B$2:$B$755,$A312)&gt;0,1,0)</f>
        <v>0</v>
      </c>
      <c r="M312" s="16" t="str">
        <f>IF($A312&lt;Notes!$B$5,"",IF(COUNTIFS(Release_Calendar!$A$2:$A$755,"NZ_CPI",Release_Calendar!$B$2:$B$755,$A312)&gt;0,1,0))</f>
        <v/>
      </c>
      <c r="N312" s="16" t="str">
        <f>IF($A312&lt;Notes!$B$5,"",IF(COUNTIFS(Release_Calendar!$A$2:$A$755,"NZ_GDP",Release_Calendar!$B$2:$B$755,$A312)&gt;0,1,0))</f>
        <v/>
      </c>
      <c r="O312" s="16" t="str">
        <f>IF($A312&lt;Notes!$B$5,"",IF(COUNTIFS(Release_Calendar!$A$2:$A$755,"NZ_LABOUR",Release_Calendar!$B$2:$B$755,$A312)&gt;0,1,0))</f>
        <v/>
      </c>
      <c r="P312" s="16">
        <f t="shared" si="4"/>
        <v>0</v>
      </c>
    </row>
    <row r="313" ht="15.75" customHeight="1">
      <c r="A313" s="14">
        <v>36963.0</v>
      </c>
      <c r="B313" s="15">
        <v>4.46</v>
      </c>
      <c r="C313" s="15"/>
      <c r="D313" s="15">
        <v>5.64</v>
      </c>
      <c r="E313" s="15"/>
      <c r="F313" s="15" t="str">
        <f t="shared" si="1"/>
        <v/>
      </c>
      <c r="G313" s="15">
        <f t="shared" si="2"/>
        <v>5.64</v>
      </c>
      <c r="H313" s="16">
        <v>1.0</v>
      </c>
      <c r="I313" s="15">
        <f t="shared" si="3"/>
        <v>1.18</v>
      </c>
      <c r="J313" s="15">
        <v>27.55</v>
      </c>
      <c r="K313" s="16">
        <f>IF(COUNTIFS(Release_Calendar!$A$2:$A$755,"US_CPI",Release_Calendar!$B$2:$B$755,$A313)&gt;0,1,0)</f>
        <v>0</v>
      </c>
      <c r="L313" s="16">
        <f>IF(COUNTIFS(Release_Calendar!$A$2:$A$755,"US_NFP",Release_Calendar!$B$2:$B$755,$A313)&gt;0,1,0)</f>
        <v>0</v>
      </c>
      <c r="M313" s="16" t="str">
        <f>IF($A313&lt;Notes!$B$5,"",IF(COUNTIFS(Release_Calendar!$A$2:$A$755,"NZ_CPI",Release_Calendar!$B$2:$B$755,$A313)&gt;0,1,0))</f>
        <v/>
      </c>
      <c r="N313" s="16" t="str">
        <f>IF($A313&lt;Notes!$B$5,"",IF(COUNTIFS(Release_Calendar!$A$2:$A$755,"NZ_GDP",Release_Calendar!$B$2:$B$755,$A313)&gt;0,1,0))</f>
        <v/>
      </c>
      <c r="O313" s="16" t="str">
        <f>IF($A313&lt;Notes!$B$5,"",IF(COUNTIFS(Release_Calendar!$A$2:$A$755,"NZ_LABOUR",Release_Calendar!$B$2:$B$755,$A313)&gt;0,1,0))</f>
        <v/>
      </c>
      <c r="P313" s="16">
        <f t="shared" si="4"/>
        <v>0</v>
      </c>
    </row>
    <row r="314" ht="15.75" customHeight="1">
      <c r="A314" s="14">
        <v>36964.0</v>
      </c>
      <c r="B314" s="15">
        <v>4.32</v>
      </c>
      <c r="C314" s="15"/>
      <c r="D314" s="15">
        <v>5.59</v>
      </c>
      <c r="E314" s="15"/>
      <c r="F314" s="15" t="str">
        <f t="shared" si="1"/>
        <v/>
      </c>
      <c r="G314" s="15">
        <f t="shared" si="2"/>
        <v>5.59</v>
      </c>
      <c r="H314" s="16">
        <v>1.0</v>
      </c>
      <c r="I314" s="15">
        <f t="shared" si="3"/>
        <v>1.27</v>
      </c>
      <c r="J314" s="15">
        <v>29.61</v>
      </c>
      <c r="K314" s="16">
        <f>IF(COUNTIFS(Release_Calendar!$A$2:$A$755,"US_CPI",Release_Calendar!$B$2:$B$755,$A314)&gt;0,1,0)</f>
        <v>0</v>
      </c>
      <c r="L314" s="16">
        <f>IF(COUNTIFS(Release_Calendar!$A$2:$A$755,"US_NFP",Release_Calendar!$B$2:$B$755,$A314)&gt;0,1,0)</f>
        <v>0</v>
      </c>
      <c r="M314" s="16" t="str">
        <f>IF($A314&lt;Notes!$B$5,"",IF(COUNTIFS(Release_Calendar!$A$2:$A$755,"NZ_CPI",Release_Calendar!$B$2:$B$755,$A314)&gt;0,1,0))</f>
        <v/>
      </c>
      <c r="N314" s="16" t="str">
        <f>IF($A314&lt;Notes!$B$5,"",IF(COUNTIFS(Release_Calendar!$A$2:$A$755,"NZ_GDP",Release_Calendar!$B$2:$B$755,$A314)&gt;0,1,0))</f>
        <v/>
      </c>
      <c r="O314" s="16" t="str">
        <f>IF($A314&lt;Notes!$B$5,"",IF(COUNTIFS(Release_Calendar!$A$2:$A$755,"NZ_LABOUR",Release_Calendar!$B$2:$B$755,$A314)&gt;0,1,0))</f>
        <v/>
      </c>
      <c r="P314" s="16">
        <f t="shared" si="4"/>
        <v>0</v>
      </c>
    </row>
    <row r="315" ht="15.75" customHeight="1">
      <c r="A315" s="14">
        <v>36965.0</v>
      </c>
      <c r="B315" s="15">
        <v>4.22</v>
      </c>
      <c r="C315" s="15"/>
      <c r="D315" s="15">
        <v>5.45</v>
      </c>
      <c r="E315" s="15"/>
      <c r="F315" s="15" t="str">
        <f t="shared" si="1"/>
        <v/>
      </c>
      <c r="G315" s="15">
        <f t="shared" si="2"/>
        <v>5.45</v>
      </c>
      <c r="H315" s="16">
        <v>1.0</v>
      </c>
      <c r="I315" s="15">
        <f t="shared" si="3"/>
        <v>1.23</v>
      </c>
      <c r="J315" s="15">
        <v>28.56</v>
      </c>
      <c r="K315" s="16">
        <f>IF(COUNTIFS(Release_Calendar!$A$2:$A$755,"US_CPI",Release_Calendar!$B$2:$B$755,$A315)&gt;0,1,0)</f>
        <v>0</v>
      </c>
      <c r="L315" s="16">
        <f>IF(COUNTIFS(Release_Calendar!$A$2:$A$755,"US_NFP",Release_Calendar!$B$2:$B$755,$A315)&gt;0,1,0)</f>
        <v>0</v>
      </c>
      <c r="M315" s="16" t="str">
        <f>IF($A315&lt;Notes!$B$5,"",IF(COUNTIFS(Release_Calendar!$A$2:$A$755,"NZ_CPI",Release_Calendar!$B$2:$B$755,$A315)&gt;0,1,0))</f>
        <v/>
      </c>
      <c r="N315" s="16" t="str">
        <f>IF($A315&lt;Notes!$B$5,"",IF(COUNTIFS(Release_Calendar!$A$2:$A$755,"NZ_GDP",Release_Calendar!$B$2:$B$755,$A315)&gt;0,1,0))</f>
        <v/>
      </c>
      <c r="O315" s="16" t="str">
        <f>IF($A315&lt;Notes!$B$5,"",IF(COUNTIFS(Release_Calendar!$A$2:$A$755,"NZ_LABOUR",Release_Calendar!$B$2:$B$755,$A315)&gt;0,1,0))</f>
        <v/>
      </c>
      <c r="P315" s="16">
        <f t="shared" si="4"/>
        <v>0</v>
      </c>
    </row>
    <row r="316" ht="15.75" customHeight="1">
      <c r="A316" s="14">
        <v>36966.0</v>
      </c>
      <c r="B316" s="15">
        <v>4.26</v>
      </c>
      <c r="C316" s="15"/>
      <c r="D316" s="15">
        <v>5.46</v>
      </c>
      <c r="E316" s="15"/>
      <c r="F316" s="15" t="str">
        <f t="shared" si="1"/>
        <v/>
      </c>
      <c r="G316" s="15">
        <f t="shared" si="2"/>
        <v>5.46</v>
      </c>
      <c r="H316" s="16">
        <v>1.0</v>
      </c>
      <c r="I316" s="15">
        <f t="shared" si="3"/>
        <v>1.2</v>
      </c>
      <c r="J316" s="15">
        <v>29.91</v>
      </c>
      <c r="K316" s="16">
        <f>IF(COUNTIFS(Release_Calendar!$A$2:$A$755,"US_CPI",Release_Calendar!$B$2:$B$755,$A316)&gt;0,1,0)</f>
        <v>0</v>
      </c>
      <c r="L316" s="16">
        <f>IF(COUNTIFS(Release_Calendar!$A$2:$A$755,"US_NFP",Release_Calendar!$B$2:$B$755,$A316)&gt;0,1,0)</f>
        <v>0</v>
      </c>
      <c r="M316" s="16" t="str">
        <f>IF($A316&lt;Notes!$B$5,"",IF(COUNTIFS(Release_Calendar!$A$2:$A$755,"NZ_CPI",Release_Calendar!$B$2:$B$755,$A316)&gt;0,1,0))</f>
        <v/>
      </c>
      <c r="N316" s="16" t="str">
        <f>IF($A316&lt;Notes!$B$5,"",IF(COUNTIFS(Release_Calendar!$A$2:$A$755,"NZ_GDP",Release_Calendar!$B$2:$B$755,$A316)&gt;0,1,0))</f>
        <v/>
      </c>
      <c r="O316" s="16" t="str">
        <f>IF($A316&lt;Notes!$B$5,"",IF(COUNTIFS(Release_Calendar!$A$2:$A$755,"NZ_LABOUR",Release_Calendar!$B$2:$B$755,$A316)&gt;0,1,0))</f>
        <v/>
      </c>
      <c r="P316" s="16">
        <f t="shared" si="4"/>
        <v>0</v>
      </c>
    </row>
    <row r="317" ht="15.75" customHeight="1">
      <c r="A317" s="14">
        <v>36969.0</v>
      </c>
      <c r="B317" s="15">
        <v>4.32</v>
      </c>
      <c r="C317" s="15"/>
      <c r="D317" s="15">
        <v>5.46</v>
      </c>
      <c r="E317" s="15"/>
      <c r="F317" s="15" t="str">
        <f t="shared" si="1"/>
        <v/>
      </c>
      <c r="G317" s="15">
        <f t="shared" si="2"/>
        <v>5.46</v>
      </c>
      <c r="H317" s="16">
        <v>1.0</v>
      </c>
      <c r="I317" s="15">
        <f t="shared" si="3"/>
        <v>1.14</v>
      </c>
      <c r="J317" s="15">
        <v>29.78</v>
      </c>
      <c r="K317" s="16">
        <f>IF(COUNTIFS(Release_Calendar!$A$2:$A$755,"US_CPI",Release_Calendar!$B$2:$B$755,$A317)&gt;0,1,0)</f>
        <v>0</v>
      </c>
      <c r="L317" s="16">
        <f>IF(COUNTIFS(Release_Calendar!$A$2:$A$755,"US_NFP",Release_Calendar!$B$2:$B$755,$A317)&gt;0,1,0)</f>
        <v>0</v>
      </c>
      <c r="M317" s="16" t="str">
        <f>IF($A317&lt;Notes!$B$5,"",IF(COUNTIFS(Release_Calendar!$A$2:$A$755,"NZ_CPI",Release_Calendar!$B$2:$B$755,$A317)&gt;0,1,0))</f>
        <v/>
      </c>
      <c r="N317" s="16" t="str">
        <f>IF($A317&lt;Notes!$B$5,"",IF(COUNTIFS(Release_Calendar!$A$2:$A$755,"NZ_GDP",Release_Calendar!$B$2:$B$755,$A317)&gt;0,1,0))</f>
        <v/>
      </c>
      <c r="O317" s="16" t="str">
        <f>IF($A317&lt;Notes!$B$5,"",IF(COUNTIFS(Release_Calendar!$A$2:$A$755,"NZ_LABOUR",Release_Calendar!$B$2:$B$755,$A317)&gt;0,1,0))</f>
        <v/>
      </c>
      <c r="P317" s="16">
        <f t="shared" si="4"/>
        <v>0</v>
      </c>
    </row>
    <row r="318" ht="15.75" customHeight="1">
      <c r="A318" s="14">
        <v>36970.0</v>
      </c>
      <c r="B318" s="15">
        <v>4.24</v>
      </c>
      <c r="C318" s="15"/>
      <c r="D318" s="15">
        <v>5.5</v>
      </c>
      <c r="E318" s="15"/>
      <c r="F318" s="15" t="str">
        <f t="shared" si="1"/>
        <v/>
      </c>
      <c r="G318" s="15">
        <f t="shared" si="2"/>
        <v>5.5</v>
      </c>
      <c r="H318" s="16">
        <v>1.0</v>
      </c>
      <c r="I318" s="15">
        <f t="shared" si="3"/>
        <v>1.26</v>
      </c>
      <c r="J318" s="15">
        <v>30.96</v>
      </c>
      <c r="K318" s="16">
        <f>IF(COUNTIFS(Release_Calendar!$A$2:$A$755,"US_CPI",Release_Calendar!$B$2:$B$755,$A318)&gt;0,1,0)</f>
        <v>0</v>
      </c>
      <c r="L318" s="16">
        <f>IF(COUNTIFS(Release_Calendar!$A$2:$A$755,"US_NFP",Release_Calendar!$B$2:$B$755,$A318)&gt;0,1,0)</f>
        <v>0</v>
      </c>
      <c r="M318" s="16" t="str">
        <f>IF($A318&lt;Notes!$B$5,"",IF(COUNTIFS(Release_Calendar!$A$2:$A$755,"NZ_CPI",Release_Calendar!$B$2:$B$755,$A318)&gt;0,1,0))</f>
        <v/>
      </c>
      <c r="N318" s="16" t="str">
        <f>IF($A318&lt;Notes!$B$5,"",IF(COUNTIFS(Release_Calendar!$A$2:$A$755,"NZ_GDP",Release_Calendar!$B$2:$B$755,$A318)&gt;0,1,0))</f>
        <v/>
      </c>
      <c r="O318" s="16" t="str">
        <f>IF($A318&lt;Notes!$B$5,"",IF(COUNTIFS(Release_Calendar!$A$2:$A$755,"NZ_LABOUR",Release_Calendar!$B$2:$B$755,$A318)&gt;0,1,0))</f>
        <v/>
      </c>
      <c r="P318" s="16">
        <f t="shared" si="4"/>
        <v>0</v>
      </c>
    </row>
    <row r="319" ht="15.75" customHeight="1">
      <c r="A319" s="14">
        <v>36971.0</v>
      </c>
      <c r="B319" s="15">
        <v>4.21</v>
      </c>
      <c r="C319" s="15"/>
      <c r="D319" s="15">
        <v>5.43</v>
      </c>
      <c r="E319" s="15"/>
      <c r="F319" s="15" t="str">
        <f t="shared" si="1"/>
        <v/>
      </c>
      <c r="G319" s="15">
        <f t="shared" si="2"/>
        <v>5.43</v>
      </c>
      <c r="H319" s="16">
        <v>1.0</v>
      </c>
      <c r="I319" s="15">
        <f t="shared" si="3"/>
        <v>1.22</v>
      </c>
      <c r="J319" s="15">
        <v>31.93</v>
      </c>
      <c r="K319" s="16">
        <f>IF(COUNTIFS(Release_Calendar!$A$2:$A$755,"US_CPI",Release_Calendar!$B$2:$B$755,$A319)&gt;0,1,0)</f>
        <v>1</v>
      </c>
      <c r="L319" s="16">
        <f>IF(COUNTIFS(Release_Calendar!$A$2:$A$755,"US_NFP",Release_Calendar!$B$2:$B$755,$A319)&gt;0,1,0)</f>
        <v>0</v>
      </c>
      <c r="M319" s="16" t="str">
        <f>IF($A319&lt;Notes!$B$5,"",IF(COUNTIFS(Release_Calendar!$A$2:$A$755,"NZ_CPI",Release_Calendar!$B$2:$B$755,$A319)&gt;0,1,0))</f>
        <v/>
      </c>
      <c r="N319" s="16" t="str">
        <f>IF($A319&lt;Notes!$B$5,"",IF(COUNTIFS(Release_Calendar!$A$2:$A$755,"NZ_GDP",Release_Calendar!$B$2:$B$755,$A319)&gt;0,1,0))</f>
        <v/>
      </c>
      <c r="O319" s="16" t="str">
        <f>IF($A319&lt;Notes!$B$5,"",IF(COUNTIFS(Release_Calendar!$A$2:$A$755,"NZ_LABOUR",Release_Calendar!$B$2:$B$755,$A319)&gt;0,1,0))</f>
        <v/>
      </c>
      <c r="P319" s="16">
        <f t="shared" si="4"/>
        <v>1</v>
      </c>
    </row>
    <row r="320" ht="15.75" customHeight="1">
      <c r="A320" s="14">
        <v>36972.0</v>
      </c>
      <c r="B320" s="15">
        <v>4.17</v>
      </c>
      <c r="C320" s="15"/>
      <c r="D320" s="15">
        <v>5.48</v>
      </c>
      <c r="E320" s="15"/>
      <c r="F320" s="15" t="str">
        <f t="shared" si="1"/>
        <v/>
      </c>
      <c r="G320" s="15">
        <f t="shared" si="2"/>
        <v>5.48</v>
      </c>
      <c r="H320" s="16">
        <v>1.0</v>
      </c>
      <c r="I320" s="15">
        <f t="shared" si="3"/>
        <v>1.31</v>
      </c>
      <c r="J320" s="15">
        <v>32.84</v>
      </c>
      <c r="K320" s="16">
        <f>IF(COUNTIFS(Release_Calendar!$A$2:$A$755,"US_CPI",Release_Calendar!$B$2:$B$755,$A320)&gt;0,1,0)</f>
        <v>0</v>
      </c>
      <c r="L320" s="16">
        <f>IF(COUNTIFS(Release_Calendar!$A$2:$A$755,"US_NFP",Release_Calendar!$B$2:$B$755,$A320)&gt;0,1,0)</f>
        <v>0</v>
      </c>
      <c r="M320" s="16" t="str">
        <f>IF($A320&lt;Notes!$B$5,"",IF(COUNTIFS(Release_Calendar!$A$2:$A$755,"NZ_CPI",Release_Calendar!$B$2:$B$755,$A320)&gt;0,1,0))</f>
        <v/>
      </c>
      <c r="N320" s="16" t="str">
        <f>IF($A320&lt;Notes!$B$5,"",IF(COUNTIFS(Release_Calendar!$A$2:$A$755,"NZ_GDP",Release_Calendar!$B$2:$B$755,$A320)&gt;0,1,0))</f>
        <v/>
      </c>
      <c r="O320" s="16" t="str">
        <f>IF($A320&lt;Notes!$B$5,"",IF(COUNTIFS(Release_Calendar!$A$2:$A$755,"NZ_LABOUR",Release_Calendar!$B$2:$B$755,$A320)&gt;0,1,0))</f>
        <v/>
      </c>
      <c r="P320" s="16">
        <f t="shared" si="4"/>
        <v>0</v>
      </c>
    </row>
    <row r="321" ht="15.75" customHeight="1">
      <c r="A321" s="14">
        <v>36973.0</v>
      </c>
      <c r="B321" s="15">
        <v>4.24</v>
      </c>
      <c r="C321" s="15"/>
      <c r="D321" s="15">
        <v>5.58</v>
      </c>
      <c r="E321" s="15"/>
      <c r="F321" s="15" t="str">
        <f t="shared" si="1"/>
        <v/>
      </c>
      <c r="G321" s="15">
        <f t="shared" si="2"/>
        <v>5.58</v>
      </c>
      <c r="H321" s="16">
        <v>1.0</v>
      </c>
      <c r="I321" s="15">
        <f t="shared" si="3"/>
        <v>1.34</v>
      </c>
      <c r="J321" s="15">
        <v>30.45</v>
      </c>
      <c r="K321" s="16">
        <f>IF(COUNTIFS(Release_Calendar!$A$2:$A$755,"US_CPI",Release_Calendar!$B$2:$B$755,$A321)&gt;0,1,0)</f>
        <v>0</v>
      </c>
      <c r="L321" s="16">
        <f>IF(COUNTIFS(Release_Calendar!$A$2:$A$755,"US_NFP",Release_Calendar!$B$2:$B$755,$A321)&gt;0,1,0)</f>
        <v>0</v>
      </c>
      <c r="M321" s="16" t="str">
        <f>IF($A321&lt;Notes!$B$5,"",IF(COUNTIFS(Release_Calendar!$A$2:$A$755,"NZ_CPI",Release_Calendar!$B$2:$B$755,$A321)&gt;0,1,0))</f>
        <v/>
      </c>
      <c r="N321" s="16" t="str">
        <f>IF($A321&lt;Notes!$B$5,"",IF(COUNTIFS(Release_Calendar!$A$2:$A$755,"NZ_GDP",Release_Calendar!$B$2:$B$755,$A321)&gt;0,1,0))</f>
        <v/>
      </c>
      <c r="O321" s="16" t="str">
        <f>IF($A321&lt;Notes!$B$5,"",IF(COUNTIFS(Release_Calendar!$A$2:$A$755,"NZ_LABOUR",Release_Calendar!$B$2:$B$755,$A321)&gt;0,1,0))</f>
        <v/>
      </c>
      <c r="P321" s="16">
        <f t="shared" si="4"/>
        <v>0</v>
      </c>
    </row>
    <row r="322" ht="15.75" customHeight="1">
      <c r="A322" s="14">
        <v>36976.0</v>
      </c>
      <c r="B322" s="15">
        <v>4.27</v>
      </c>
      <c r="C322" s="15"/>
      <c r="D322" s="15">
        <v>5.67</v>
      </c>
      <c r="E322" s="15"/>
      <c r="F322" s="15" t="str">
        <f t="shared" si="1"/>
        <v/>
      </c>
      <c r="G322" s="15">
        <f t="shared" si="2"/>
        <v>5.67</v>
      </c>
      <c r="H322" s="16">
        <v>1.0</v>
      </c>
      <c r="I322" s="15">
        <f t="shared" si="3"/>
        <v>1.4</v>
      </c>
      <c r="J322" s="15">
        <v>29.04</v>
      </c>
      <c r="K322" s="16">
        <f>IF(COUNTIFS(Release_Calendar!$A$2:$A$755,"US_CPI",Release_Calendar!$B$2:$B$755,$A322)&gt;0,1,0)</f>
        <v>0</v>
      </c>
      <c r="L322" s="16">
        <f>IF(COUNTIFS(Release_Calendar!$A$2:$A$755,"US_NFP",Release_Calendar!$B$2:$B$755,$A322)&gt;0,1,0)</f>
        <v>0</v>
      </c>
      <c r="M322" s="16" t="str">
        <f>IF($A322&lt;Notes!$B$5,"",IF(COUNTIFS(Release_Calendar!$A$2:$A$755,"NZ_CPI",Release_Calendar!$B$2:$B$755,$A322)&gt;0,1,0))</f>
        <v/>
      </c>
      <c r="N322" s="16" t="str">
        <f>IF($A322&lt;Notes!$B$5,"",IF(COUNTIFS(Release_Calendar!$A$2:$A$755,"NZ_GDP",Release_Calendar!$B$2:$B$755,$A322)&gt;0,1,0))</f>
        <v/>
      </c>
      <c r="O322" s="16" t="str">
        <f>IF($A322&lt;Notes!$B$5,"",IF(COUNTIFS(Release_Calendar!$A$2:$A$755,"NZ_LABOUR",Release_Calendar!$B$2:$B$755,$A322)&gt;0,1,0))</f>
        <v/>
      </c>
      <c r="P322" s="16">
        <f t="shared" si="4"/>
        <v>0</v>
      </c>
    </row>
    <row r="323" ht="15.75" customHeight="1">
      <c r="A323" s="14">
        <v>36977.0</v>
      </c>
      <c r="B323" s="15">
        <v>4.41</v>
      </c>
      <c r="C323" s="15"/>
      <c r="D323" s="15">
        <v>5.69</v>
      </c>
      <c r="E323" s="15"/>
      <c r="F323" s="15" t="str">
        <f t="shared" si="1"/>
        <v/>
      </c>
      <c r="G323" s="15">
        <f t="shared" si="2"/>
        <v>5.69</v>
      </c>
      <c r="H323" s="16">
        <v>1.0</v>
      </c>
      <c r="I323" s="15">
        <f t="shared" si="3"/>
        <v>1.28</v>
      </c>
      <c r="J323" s="15">
        <v>27.04</v>
      </c>
      <c r="K323" s="16">
        <f>IF(COUNTIFS(Release_Calendar!$A$2:$A$755,"US_CPI",Release_Calendar!$B$2:$B$755,$A323)&gt;0,1,0)</f>
        <v>0</v>
      </c>
      <c r="L323" s="16">
        <f>IF(COUNTIFS(Release_Calendar!$A$2:$A$755,"US_NFP",Release_Calendar!$B$2:$B$755,$A323)&gt;0,1,0)</f>
        <v>0</v>
      </c>
      <c r="M323" s="16" t="str">
        <f>IF($A323&lt;Notes!$B$5,"",IF(COUNTIFS(Release_Calendar!$A$2:$A$755,"NZ_CPI",Release_Calendar!$B$2:$B$755,$A323)&gt;0,1,0))</f>
        <v/>
      </c>
      <c r="N323" s="16" t="str">
        <f>IF($A323&lt;Notes!$B$5,"",IF(COUNTIFS(Release_Calendar!$A$2:$A$755,"NZ_GDP",Release_Calendar!$B$2:$B$755,$A323)&gt;0,1,0))</f>
        <v/>
      </c>
      <c r="O323" s="16" t="str">
        <f>IF($A323&lt;Notes!$B$5,"",IF(COUNTIFS(Release_Calendar!$A$2:$A$755,"NZ_LABOUR",Release_Calendar!$B$2:$B$755,$A323)&gt;0,1,0))</f>
        <v/>
      </c>
      <c r="P323" s="16">
        <f t="shared" si="4"/>
        <v>0</v>
      </c>
    </row>
    <row r="324" ht="15.75" customHeight="1">
      <c r="A324" s="14">
        <v>36978.0</v>
      </c>
      <c r="B324" s="15">
        <v>4.3</v>
      </c>
      <c r="C324" s="15"/>
      <c r="D324" s="15">
        <v>5.82</v>
      </c>
      <c r="E324" s="15"/>
      <c r="F324" s="15" t="str">
        <f t="shared" si="1"/>
        <v/>
      </c>
      <c r="G324" s="15">
        <f t="shared" si="2"/>
        <v>5.82</v>
      </c>
      <c r="H324" s="16">
        <v>1.0</v>
      </c>
      <c r="I324" s="15">
        <f t="shared" si="3"/>
        <v>1.52</v>
      </c>
      <c r="J324" s="15">
        <v>28.58</v>
      </c>
      <c r="K324" s="16">
        <f>IF(COUNTIFS(Release_Calendar!$A$2:$A$755,"US_CPI",Release_Calendar!$B$2:$B$755,$A324)&gt;0,1,0)</f>
        <v>0</v>
      </c>
      <c r="L324" s="16">
        <f>IF(COUNTIFS(Release_Calendar!$A$2:$A$755,"US_NFP",Release_Calendar!$B$2:$B$755,$A324)&gt;0,1,0)</f>
        <v>0</v>
      </c>
      <c r="M324" s="16" t="str">
        <f>IF($A324&lt;Notes!$B$5,"",IF(COUNTIFS(Release_Calendar!$A$2:$A$755,"NZ_CPI",Release_Calendar!$B$2:$B$755,$A324)&gt;0,1,0))</f>
        <v/>
      </c>
      <c r="N324" s="16" t="str">
        <f>IF($A324&lt;Notes!$B$5,"",IF(COUNTIFS(Release_Calendar!$A$2:$A$755,"NZ_GDP",Release_Calendar!$B$2:$B$755,$A324)&gt;0,1,0))</f>
        <v/>
      </c>
      <c r="O324" s="16" t="str">
        <f>IF($A324&lt;Notes!$B$5,"",IF(COUNTIFS(Release_Calendar!$A$2:$A$755,"NZ_LABOUR",Release_Calendar!$B$2:$B$755,$A324)&gt;0,1,0))</f>
        <v/>
      </c>
      <c r="P324" s="16">
        <f t="shared" si="4"/>
        <v>0</v>
      </c>
    </row>
    <row r="325" ht="15.75" customHeight="1">
      <c r="A325" s="14">
        <v>36979.0</v>
      </c>
      <c r="B325" s="15">
        <v>4.27</v>
      </c>
      <c r="C325" s="15"/>
      <c r="D325" s="15">
        <v>5.79</v>
      </c>
      <c r="E325" s="15"/>
      <c r="F325" s="15" t="str">
        <f t="shared" si="1"/>
        <v/>
      </c>
      <c r="G325" s="15">
        <f t="shared" si="2"/>
        <v>5.79</v>
      </c>
      <c r="H325" s="16">
        <v>1.0</v>
      </c>
      <c r="I325" s="15">
        <f t="shared" si="3"/>
        <v>1.52</v>
      </c>
      <c r="J325" s="15">
        <v>29.17</v>
      </c>
      <c r="K325" s="16">
        <f>IF(COUNTIFS(Release_Calendar!$A$2:$A$755,"US_CPI",Release_Calendar!$B$2:$B$755,$A325)&gt;0,1,0)</f>
        <v>0</v>
      </c>
      <c r="L325" s="16">
        <f>IF(COUNTIFS(Release_Calendar!$A$2:$A$755,"US_NFP",Release_Calendar!$B$2:$B$755,$A325)&gt;0,1,0)</f>
        <v>0</v>
      </c>
      <c r="M325" s="16" t="str">
        <f>IF($A325&lt;Notes!$B$5,"",IF(COUNTIFS(Release_Calendar!$A$2:$A$755,"NZ_CPI",Release_Calendar!$B$2:$B$755,$A325)&gt;0,1,0))</f>
        <v/>
      </c>
      <c r="N325" s="16" t="str">
        <f>IF($A325&lt;Notes!$B$5,"",IF(COUNTIFS(Release_Calendar!$A$2:$A$755,"NZ_GDP",Release_Calendar!$B$2:$B$755,$A325)&gt;0,1,0))</f>
        <v/>
      </c>
      <c r="O325" s="16" t="str">
        <f>IF($A325&lt;Notes!$B$5,"",IF(COUNTIFS(Release_Calendar!$A$2:$A$755,"NZ_LABOUR",Release_Calendar!$B$2:$B$755,$A325)&gt;0,1,0))</f>
        <v/>
      </c>
      <c r="P325" s="16">
        <f t="shared" si="4"/>
        <v>0</v>
      </c>
    </row>
    <row r="326" ht="15.75" customHeight="1">
      <c r="A326" s="14">
        <v>36980.0</v>
      </c>
      <c r="B326" s="15">
        <v>4.18</v>
      </c>
      <c r="C326" s="15"/>
      <c r="D326" s="15">
        <v>5.74</v>
      </c>
      <c r="E326" s="15"/>
      <c r="F326" s="15" t="str">
        <f t="shared" si="1"/>
        <v/>
      </c>
      <c r="G326" s="15">
        <f t="shared" si="2"/>
        <v>5.74</v>
      </c>
      <c r="H326" s="16">
        <v>1.0</v>
      </c>
      <c r="I326" s="15">
        <f t="shared" si="3"/>
        <v>1.56</v>
      </c>
      <c r="J326" s="15">
        <v>28.64</v>
      </c>
      <c r="K326" s="16">
        <f>IF(COUNTIFS(Release_Calendar!$A$2:$A$755,"US_CPI",Release_Calendar!$B$2:$B$755,$A326)&gt;0,1,0)</f>
        <v>0</v>
      </c>
      <c r="L326" s="16">
        <f>IF(COUNTIFS(Release_Calendar!$A$2:$A$755,"US_NFP",Release_Calendar!$B$2:$B$755,$A326)&gt;0,1,0)</f>
        <v>0</v>
      </c>
      <c r="M326" s="16" t="str">
        <f>IF($A326&lt;Notes!$B$5,"",IF(COUNTIFS(Release_Calendar!$A$2:$A$755,"NZ_CPI",Release_Calendar!$B$2:$B$755,$A326)&gt;0,1,0))</f>
        <v/>
      </c>
      <c r="N326" s="16" t="str">
        <f>IF($A326&lt;Notes!$B$5,"",IF(COUNTIFS(Release_Calendar!$A$2:$A$755,"NZ_GDP",Release_Calendar!$B$2:$B$755,$A326)&gt;0,1,0))</f>
        <v/>
      </c>
      <c r="O326" s="16" t="str">
        <f>IF($A326&lt;Notes!$B$5,"",IF(COUNTIFS(Release_Calendar!$A$2:$A$755,"NZ_LABOUR",Release_Calendar!$B$2:$B$755,$A326)&gt;0,1,0))</f>
        <v/>
      </c>
      <c r="P326" s="16">
        <f t="shared" si="4"/>
        <v>0</v>
      </c>
    </row>
    <row r="327" ht="15.75" customHeight="1">
      <c r="A327" s="14">
        <v>36983.0</v>
      </c>
      <c r="B327" s="15">
        <v>4.22</v>
      </c>
      <c r="C327" s="15"/>
      <c r="D327" s="15">
        <v>5.64</v>
      </c>
      <c r="E327" s="15"/>
      <c r="F327" s="15" t="str">
        <f t="shared" si="1"/>
        <v/>
      </c>
      <c r="G327" s="15">
        <f t="shared" si="2"/>
        <v>5.64</v>
      </c>
      <c r="H327" s="16">
        <v>1.0</v>
      </c>
      <c r="I327" s="15">
        <f t="shared" si="3"/>
        <v>1.42</v>
      </c>
      <c r="J327" s="15">
        <v>31.21</v>
      </c>
      <c r="K327" s="16">
        <f>IF(COUNTIFS(Release_Calendar!$A$2:$A$755,"US_CPI",Release_Calendar!$B$2:$B$755,$A327)&gt;0,1,0)</f>
        <v>0</v>
      </c>
      <c r="L327" s="16">
        <f>IF(COUNTIFS(Release_Calendar!$A$2:$A$755,"US_NFP",Release_Calendar!$B$2:$B$755,$A327)&gt;0,1,0)</f>
        <v>0</v>
      </c>
      <c r="M327" s="16" t="str">
        <f>IF($A327&lt;Notes!$B$5,"",IF(COUNTIFS(Release_Calendar!$A$2:$A$755,"NZ_CPI",Release_Calendar!$B$2:$B$755,$A327)&gt;0,1,0))</f>
        <v/>
      </c>
      <c r="N327" s="16" t="str">
        <f>IF($A327&lt;Notes!$B$5,"",IF(COUNTIFS(Release_Calendar!$A$2:$A$755,"NZ_GDP",Release_Calendar!$B$2:$B$755,$A327)&gt;0,1,0))</f>
        <v/>
      </c>
      <c r="O327" s="16" t="str">
        <f>IF($A327&lt;Notes!$B$5,"",IF(COUNTIFS(Release_Calendar!$A$2:$A$755,"NZ_LABOUR",Release_Calendar!$B$2:$B$755,$A327)&gt;0,1,0))</f>
        <v/>
      </c>
      <c r="P327" s="16">
        <f t="shared" si="4"/>
        <v>0</v>
      </c>
    </row>
    <row r="328" ht="15.75" customHeight="1">
      <c r="A328" s="14">
        <v>36984.0</v>
      </c>
      <c r="B328" s="15">
        <v>4.15</v>
      </c>
      <c r="C328" s="15"/>
      <c r="D328" s="15">
        <v>5.7</v>
      </c>
      <c r="E328" s="15"/>
      <c r="F328" s="15" t="str">
        <f t="shared" si="1"/>
        <v/>
      </c>
      <c r="G328" s="15">
        <f t="shared" si="2"/>
        <v>5.7</v>
      </c>
      <c r="H328" s="16">
        <v>1.0</v>
      </c>
      <c r="I328" s="15">
        <f t="shared" si="3"/>
        <v>1.55</v>
      </c>
      <c r="J328" s="15">
        <v>34.72</v>
      </c>
      <c r="K328" s="16">
        <f>IF(COUNTIFS(Release_Calendar!$A$2:$A$755,"US_CPI",Release_Calendar!$B$2:$B$755,$A328)&gt;0,1,0)</f>
        <v>0</v>
      </c>
      <c r="L328" s="16">
        <f>IF(COUNTIFS(Release_Calendar!$A$2:$A$755,"US_NFP",Release_Calendar!$B$2:$B$755,$A328)&gt;0,1,0)</f>
        <v>0</v>
      </c>
      <c r="M328" s="16" t="str">
        <f>IF($A328&lt;Notes!$B$5,"",IF(COUNTIFS(Release_Calendar!$A$2:$A$755,"NZ_CPI",Release_Calendar!$B$2:$B$755,$A328)&gt;0,1,0))</f>
        <v/>
      </c>
      <c r="N328" s="16" t="str">
        <f>IF($A328&lt;Notes!$B$5,"",IF(COUNTIFS(Release_Calendar!$A$2:$A$755,"NZ_GDP",Release_Calendar!$B$2:$B$755,$A328)&gt;0,1,0))</f>
        <v/>
      </c>
      <c r="O328" s="16" t="str">
        <f>IF($A328&lt;Notes!$B$5,"",IF(COUNTIFS(Release_Calendar!$A$2:$A$755,"NZ_LABOUR",Release_Calendar!$B$2:$B$755,$A328)&gt;0,1,0))</f>
        <v/>
      </c>
      <c r="P328" s="16">
        <f t="shared" si="4"/>
        <v>0</v>
      </c>
    </row>
    <row r="329" ht="15.75" customHeight="1">
      <c r="A329" s="14">
        <v>36985.0</v>
      </c>
      <c r="B329" s="15">
        <v>4.12</v>
      </c>
      <c r="C329" s="15"/>
      <c r="D329" s="15">
        <v>5.68</v>
      </c>
      <c r="E329" s="15"/>
      <c r="F329" s="15" t="str">
        <f t="shared" si="1"/>
        <v/>
      </c>
      <c r="G329" s="15">
        <f t="shared" si="2"/>
        <v>5.68</v>
      </c>
      <c r="H329" s="16">
        <v>1.0</v>
      </c>
      <c r="I329" s="15">
        <f t="shared" si="3"/>
        <v>1.56</v>
      </c>
      <c r="J329" s="15">
        <v>34.07</v>
      </c>
      <c r="K329" s="16">
        <f>IF(COUNTIFS(Release_Calendar!$A$2:$A$755,"US_CPI",Release_Calendar!$B$2:$B$755,$A329)&gt;0,1,0)</f>
        <v>0</v>
      </c>
      <c r="L329" s="16">
        <f>IF(COUNTIFS(Release_Calendar!$A$2:$A$755,"US_NFP",Release_Calendar!$B$2:$B$755,$A329)&gt;0,1,0)</f>
        <v>0</v>
      </c>
      <c r="M329" s="16" t="str">
        <f>IF($A329&lt;Notes!$B$5,"",IF(COUNTIFS(Release_Calendar!$A$2:$A$755,"NZ_CPI",Release_Calendar!$B$2:$B$755,$A329)&gt;0,1,0))</f>
        <v/>
      </c>
      <c r="N329" s="16" t="str">
        <f>IF($A329&lt;Notes!$B$5,"",IF(COUNTIFS(Release_Calendar!$A$2:$A$755,"NZ_GDP",Release_Calendar!$B$2:$B$755,$A329)&gt;0,1,0))</f>
        <v/>
      </c>
      <c r="O329" s="16" t="str">
        <f>IF($A329&lt;Notes!$B$5,"",IF(COUNTIFS(Release_Calendar!$A$2:$A$755,"NZ_LABOUR",Release_Calendar!$B$2:$B$755,$A329)&gt;0,1,0))</f>
        <v/>
      </c>
      <c r="P329" s="16">
        <f t="shared" si="4"/>
        <v>0</v>
      </c>
    </row>
    <row r="330" ht="15.75" customHeight="1">
      <c r="A330" s="14">
        <v>36986.0</v>
      </c>
      <c r="B330" s="15">
        <v>4.19</v>
      </c>
      <c r="C330" s="15"/>
      <c r="D330" s="15">
        <v>5.62</v>
      </c>
      <c r="E330" s="15"/>
      <c r="F330" s="15" t="str">
        <f t="shared" si="1"/>
        <v/>
      </c>
      <c r="G330" s="15">
        <f t="shared" si="2"/>
        <v>5.62</v>
      </c>
      <c r="H330" s="16">
        <v>1.0</v>
      </c>
      <c r="I330" s="15">
        <f t="shared" si="3"/>
        <v>1.43</v>
      </c>
      <c r="J330" s="15">
        <v>29.94</v>
      </c>
      <c r="K330" s="16">
        <f>IF(COUNTIFS(Release_Calendar!$A$2:$A$755,"US_CPI",Release_Calendar!$B$2:$B$755,$A330)&gt;0,1,0)</f>
        <v>0</v>
      </c>
      <c r="L330" s="16">
        <f>IF(COUNTIFS(Release_Calendar!$A$2:$A$755,"US_NFP",Release_Calendar!$B$2:$B$755,$A330)&gt;0,1,0)</f>
        <v>0</v>
      </c>
      <c r="M330" s="16" t="str">
        <f>IF($A330&lt;Notes!$B$5,"",IF(COUNTIFS(Release_Calendar!$A$2:$A$755,"NZ_CPI",Release_Calendar!$B$2:$B$755,$A330)&gt;0,1,0))</f>
        <v/>
      </c>
      <c r="N330" s="16" t="str">
        <f>IF($A330&lt;Notes!$B$5,"",IF(COUNTIFS(Release_Calendar!$A$2:$A$755,"NZ_GDP",Release_Calendar!$B$2:$B$755,$A330)&gt;0,1,0))</f>
        <v/>
      </c>
      <c r="O330" s="16" t="str">
        <f>IF($A330&lt;Notes!$B$5,"",IF(COUNTIFS(Release_Calendar!$A$2:$A$755,"NZ_LABOUR",Release_Calendar!$B$2:$B$755,$A330)&gt;0,1,0))</f>
        <v/>
      </c>
      <c r="P330" s="16">
        <f t="shared" si="4"/>
        <v>0</v>
      </c>
    </row>
    <row r="331" ht="15.75" customHeight="1">
      <c r="A331" s="14">
        <v>36987.0</v>
      </c>
      <c r="B331" s="15">
        <v>4.07</v>
      </c>
      <c r="C331" s="15"/>
      <c r="D331" s="15">
        <v>5.76</v>
      </c>
      <c r="E331" s="15"/>
      <c r="F331" s="15" t="str">
        <f t="shared" si="1"/>
        <v/>
      </c>
      <c r="G331" s="15">
        <f t="shared" si="2"/>
        <v>5.76</v>
      </c>
      <c r="H331" s="16">
        <v>1.0</v>
      </c>
      <c r="I331" s="15">
        <f t="shared" si="3"/>
        <v>1.69</v>
      </c>
      <c r="J331" s="15">
        <v>31.69</v>
      </c>
      <c r="K331" s="16">
        <f>IF(COUNTIFS(Release_Calendar!$A$2:$A$755,"US_CPI",Release_Calendar!$B$2:$B$755,$A331)&gt;0,1,0)</f>
        <v>0</v>
      </c>
      <c r="L331" s="16">
        <f>IF(COUNTIFS(Release_Calendar!$A$2:$A$755,"US_NFP",Release_Calendar!$B$2:$B$755,$A331)&gt;0,1,0)</f>
        <v>1</v>
      </c>
      <c r="M331" s="16" t="str">
        <f>IF($A331&lt;Notes!$B$5,"",IF(COUNTIFS(Release_Calendar!$A$2:$A$755,"NZ_CPI",Release_Calendar!$B$2:$B$755,$A331)&gt;0,1,0))</f>
        <v/>
      </c>
      <c r="N331" s="16" t="str">
        <f>IF($A331&lt;Notes!$B$5,"",IF(COUNTIFS(Release_Calendar!$A$2:$A$755,"NZ_GDP",Release_Calendar!$B$2:$B$755,$A331)&gt;0,1,0))</f>
        <v/>
      </c>
      <c r="O331" s="16" t="str">
        <f>IF($A331&lt;Notes!$B$5,"",IF(COUNTIFS(Release_Calendar!$A$2:$A$755,"NZ_LABOUR",Release_Calendar!$B$2:$B$755,$A331)&gt;0,1,0))</f>
        <v/>
      </c>
      <c r="P331" s="16">
        <f t="shared" si="4"/>
        <v>1</v>
      </c>
    </row>
    <row r="332" ht="15.75" customHeight="1">
      <c r="A332" s="14">
        <v>36990.0</v>
      </c>
      <c r="B332" s="15">
        <v>4.1</v>
      </c>
      <c r="C332" s="15"/>
      <c r="D332" s="15">
        <v>5.7</v>
      </c>
      <c r="E332" s="15"/>
      <c r="F332" s="15" t="str">
        <f t="shared" si="1"/>
        <v/>
      </c>
      <c r="G332" s="15">
        <f t="shared" si="2"/>
        <v>5.7</v>
      </c>
      <c r="H332" s="16">
        <v>1.0</v>
      </c>
      <c r="I332" s="15">
        <f t="shared" si="3"/>
        <v>1.6</v>
      </c>
      <c r="J332" s="15">
        <v>31.91</v>
      </c>
      <c r="K332" s="16">
        <f>IF(COUNTIFS(Release_Calendar!$A$2:$A$755,"US_CPI",Release_Calendar!$B$2:$B$755,$A332)&gt;0,1,0)</f>
        <v>0</v>
      </c>
      <c r="L332" s="16">
        <f>IF(COUNTIFS(Release_Calendar!$A$2:$A$755,"US_NFP",Release_Calendar!$B$2:$B$755,$A332)&gt;0,1,0)</f>
        <v>0</v>
      </c>
      <c r="M332" s="16" t="str">
        <f>IF($A332&lt;Notes!$B$5,"",IF(COUNTIFS(Release_Calendar!$A$2:$A$755,"NZ_CPI",Release_Calendar!$B$2:$B$755,$A332)&gt;0,1,0))</f>
        <v/>
      </c>
      <c r="N332" s="16" t="str">
        <f>IF($A332&lt;Notes!$B$5,"",IF(COUNTIFS(Release_Calendar!$A$2:$A$755,"NZ_GDP",Release_Calendar!$B$2:$B$755,$A332)&gt;0,1,0))</f>
        <v/>
      </c>
      <c r="O332" s="16" t="str">
        <f>IF($A332&lt;Notes!$B$5,"",IF(COUNTIFS(Release_Calendar!$A$2:$A$755,"NZ_LABOUR",Release_Calendar!$B$2:$B$755,$A332)&gt;0,1,0))</f>
        <v/>
      </c>
      <c r="P332" s="16">
        <f t="shared" si="4"/>
        <v>0</v>
      </c>
    </row>
    <row r="333" ht="15.75" customHeight="1">
      <c r="A333" s="14">
        <v>36991.0</v>
      </c>
      <c r="B333" s="15">
        <v>4.24</v>
      </c>
      <c r="C333" s="15"/>
      <c r="D333" s="15">
        <v>5.62</v>
      </c>
      <c r="E333" s="15"/>
      <c r="F333" s="15" t="str">
        <f t="shared" si="1"/>
        <v/>
      </c>
      <c r="G333" s="15">
        <f t="shared" si="2"/>
        <v>5.62</v>
      </c>
      <c r="H333" s="16">
        <v>1.0</v>
      </c>
      <c r="I333" s="15">
        <f t="shared" si="3"/>
        <v>1.38</v>
      </c>
      <c r="J333" s="15">
        <v>29.44</v>
      </c>
      <c r="K333" s="16">
        <f>IF(COUNTIFS(Release_Calendar!$A$2:$A$755,"US_CPI",Release_Calendar!$B$2:$B$755,$A333)&gt;0,1,0)</f>
        <v>0</v>
      </c>
      <c r="L333" s="16">
        <f>IF(COUNTIFS(Release_Calendar!$A$2:$A$755,"US_NFP",Release_Calendar!$B$2:$B$755,$A333)&gt;0,1,0)</f>
        <v>0</v>
      </c>
      <c r="M333" s="16" t="str">
        <f>IF($A333&lt;Notes!$B$5,"",IF(COUNTIFS(Release_Calendar!$A$2:$A$755,"NZ_CPI",Release_Calendar!$B$2:$B$755,$A333)&gt;0,1,0))</f>
        <v/>
      </c>
      <c r="N333" s="16" t="str">
        <f>IF($A333&lt;Notes!$B$5,"",IF(COUNTIFS(Release_Calendar!$A$2:$A$755,"NZ_GDP",Release_Calendar!$B$2:$B$755,$A333)&gt;0,1,0))</f>
        <v/>
      </c>
      <c r="O333" s="16" t="str">
        <f>IF($A333&lt;Notes!$B$5,"",IF(COUNTIFS(Release_Calendar!$A$2:$A$755,"NZ_LABOUR",Release_Calendar!$B$2:$B$755,$A333)&gt;0,1,0))</f>
        <v/>
      </c>
      <c r="P333" s="16">
        <f t="shared" si="4"/>
        <v>0</v>
      </c>
    </row>
    <row r="334" ht="15.75" customHeight="1">
      <c r="A334" s="14">
        <v>36992.0</v>
      </c>
      <c r="B334" s="15">
        <v>4.29</v>
      </c>
      <c r="C334" s="15"/>
      <c r="D334" s="15">
        <v>5.72</v>
      </c>
      <c r="E334" s="15"/>
      <c r="F334" s="15" t="str">
        <f t="shared" si="1"/>
        <v/>
      </c>
      <c r="G334" s="15">
        <f t="shared" si="2"/>
        <v>5.72</v>
      </c>
      <c r="H334" s="16">
        <v>1.0</v>
      </c>
      <c r="I334" s="15">
        <f t="shared" si="3"/>
        <v>1.43</v>
      </c>
      <c r="J334" s="15">
        <v>28.46</v>
      </c>
      <c r="K334" s="16">
        <f>IF(COUNTIFS(Release_Calendar!$A$2:$A$755,"US_CPI",Release_Calendar!$B$2:$B$755,$A334)&gt;0,1,0)</f>
        <v>0</v>
      </c>
      <c r="L334" s="16">
        <f>IF(COUNTIFS(Release_Calendar!$A$2:$A$755,"US_NFP",Release_Calendar!$B$2:$B$755,$A334)&gt;0,1,0)</f>
        <v>0</v>
      </c>
      <c r="M334" s="16" t="str">
        <f>IF($A334&lt;Notes!$B$5,"",IF(COUNTIFS(Release_Calendar!$A$2:$A$755,"NZ_CPI",Release_Calendar!$B$2:$B$755,$A334)&gt;0,1,0))</f>
        <v/>
      </c>
      <c r="N334" s="16" t="str">
        <f>IF($A334&lt;Notes!$B$5,"",IF(COUNTIFS(Release_Calendar!$A$2:$A$755,"NZ_GDP",Release_Calendar!$B$2:$B$755,$A334)&gt;0,1,0))</f>
        <v/>
      </c>
      <c r="O334" s="16" t="str">
        <f>IF($A334&lt;Notes!$B$5,"",IF(COUNTIFS(Release_Calendar!$A$2:$A$755,"NZ_LABOUR",Release_Calendar!$B$2:$B$755,$A334)&gt;0,1,0))</f>
        <v/>
      </c>
      <c r="P334" s="16">
        <f t="shared" si="4"/>
        <v>0</v>
      </c>
    </row>
    <row r="335" ht="15.75" customHeight="1">
      <c r="A335" s="14">
        <v>36993.0</v>
      </c>
      <c r="B335" s="15">
        <v>4.36</v>
      </c>
      <c r="C335" s="15"/>
      <c r="D335" s="15">
        <v>5.76</v>
      </c>
      <c r="E335" s="15"/>
      <c r="F335" s="15" t="str">
        <f t="shared" si="1"/>
        <v/>
      </c>
      <c r="G335" s="15">
        <f t="shared" si="2"/>
        <v>5.76</v>
      </c>
      <c r="H335" s="16">
        <v>1.0</v>
      </c>
      <c r="I335" s="15">
        <f t="shared" si="3"/>
        <v>1.4</v>
      </c>
      <c r="J335" s="15">
        <v>26.12</v>
      </c>
      <c r="K335" s="16">
        <f>IF(COUNTIFS(Release_Calendar!$A$2:$A$755,"US_CPI",Release_Calendar!$B$2:$B$755,$A335)&gt;0,1,0)</f>
        <v>0</v>
      </c>
      <c r="L335" s="16">
        <f>IF(COUNTIFS(Release_Calendar!$A$2:$A$755,"US_NFP",Release_Calendar!$B$2:$B$755,$A335)&gt;0,1,0)</f>
        <v>0</v>
      </c>
      <c r="M335" s="16" t="str">
        <f>IF($A335&lt;Notes!$B$5,"",IF(COUNTIFS(Release_Calendar!$A$2:$A$755,"NZ_CPI",Release_Calendar!$B$2:$B$755,$A335)&gt;0,1,0))</f>
        <v/>
      </c>
      <c r="N335" s="16" t="str">
        <f>IF($A335&lt;Notes!$B$5,"",IF(COUNTIFS(Release_Calendar!$A$2:$A$755,"NZ_GDP",Release_Calendar!$B$2:$B$755,$A335)&gt;0,1,0))</f>
        <v/>
      </c>
      <c r="O335" s="16" t="str">
        <f>IF($A335&lt;Notes!$B$5,"",IF(COUNTIFS(Release_Calendar!$A$2:$A$755,"NZ_LABOUR",Release_Calendar!$B$2:$B$755,$A335)&gt;0,1,0))</f>
        <v/>
      </c>
      <c r="P335" s="16">
        <f t="shared" si="4"/>
        <v>0</v>
      </c>
    </row>
    <row r="336" ht="15.75" customHeight="1">
      <c r="A336" s="14">
        <v>36994.0</v>
      </c>
      <c r="B336" s="15"/>
      <c r="C336" s="15"/>
      <c r="D336" s="15"/>
      <c r="E336" s="15"/>
      <c r="F336" s="15" t="str">
        <f t="shared" si="1"/>
        <v/>
      </c>
      <c r="G336" s="15" t="str">
        <f t="shared" si="2"/>
        <v/>
      </c>
      <c r="H336" s="16">
        <v>1.0</v>
      </c>
      <c r="I336" s="15" t="str">
        <f t="shared" si="3"/>
        <v/>
      </c>
      <c r="J336" s="15"/>
      <c r="K336" s="16">
        <f>IF(COUNTIFS(Release_Calendar!$A$2:$A$755,"US_CPI",Release_Calendar!$B$2:$B$755,$A336)&gt;0,1,0)</f>
        <v>0</v>
      </c>
      <c r="L336" s="16">
        <f>IF(COUNTIFS(Release_Calendar!$A$2:$A$755,"US_NFP",Release_Calendar!$B$2:$B$755,$A336)&gt;0,1,0)</f>
        <v>0</v>
      </c>
      <c r="M336" s="16" t="str">
        <f>IF($A336&lt;Notes!$B$5,"",IF(COUNTIFS(Release_Calendar!$A$2:$A$755,"NZ_CPI",Release_Calendar!$B$2:$B$755,$A336)&gt;0,1,0))</f>
        <v/>
      </c>
      <c r="N336" s="16" t="str">
        <f>IF($A336&lt;Notes!$B$5,"",IF(COUNTIFS(Release_Calendar!$A$2:$A$755,"NZ_GDP",Release_Calendar!$B$2:$B$755,$A336)&gt;0,1,0))</f>
        <v/>
      </c>
      <c r="O336" s="16" t="str">
        <f>IF($A336&lt;Notes!$B$5,"",IF(COUNTIFS(Release_Calendar!$A$2:$A$755,"NZ_LABOUR",Release_Calendar!$B$2:$B$755,$A336)&gt;0,1,0))</f>
        <v/>
      </c>
      <c r="P336" s="16">
        <f t="shared" si="4"/>
        <v>0</v>
      </c>
    </row>
    <row r="337" ht="15.75" customHeight="1">
      <c r="A337" s="14">
        <v>36997.0</v>
      </c>
      <c r="B337" s="15">
        <v>4.49</v>
      </c>
      <c r="C337" s="15"/>
      <c r="D337" s="15"/>
      <c r="E337" s="15"/>
      <c r="F337" s="15" t="str">
        <f t="shared" si="1"/>
        <v/>
      </c>
      <c r="G337" s="15" t="str">
        <f t="shared" si="2"/>
        <v/>
      </c>
      <c r="H337" s="16">
        <v>1.0</v>
      </c>
      <c r="I337" s="15" t="str">
        <f t="shared" si="3"/>
        <v/>
      </c>
      <c r="J337" s="15">
        <v>26.33</v>
      </c>
      <c r="K337" s="16">
        <f>IF(COUNTIFS(Release_Calendar!$A$2:$A$755,"US_CPI",Release_Calendar!$B$2:$B$755,$A337)&gt;0,1,0)</f>
        <v>0</v>
      </c>
      <c r="L337" s="16">
        <f>IF(COUNTIFS(Release_Calendar!$A$2:$A$755,"US_NFP",Release_Calendar!$B$2:$B$755,$A337)&gt;0,1,0)</f>
        <v>0</v>
      </c>
      <c r="M337" s="16" t="str">
        <f>IF($A337&lt;Notes!$B$5,"",IF(COUNTIFS(Release_Calendar!$A$2:$A$755,"NZ_CPI",Release_Calendar!$B$2:$B$755,$A337)&gt;0,1,0))</f>
        <v/>
      </c>
      <c r="N337" s="16" t="str">
        <f>IF($A337&lt;Notes!$B$5,"",IF(COUNTIFS(Release_Calendar!$A$2:$A$755,"NZ_GDP",Release_Calendar!$B$2:$B$755,$A337)&gt;0,1,0))</f>
        <v/>
      </c>
      <c r="O337" s="16" t="str">
        <f>IF($A337&lt;Notes!$B$5,"",IF(COUNTIFS(Release_Calendar!$A$2:$A$755,"NZ_LABOUR",Release_Calendar!$B$2:$B$755,$A337)&gt;0,1,0))</f>
        <v/>
      </c>
      <c r="P337" s="16">
        <f t="shared" si="4"/>
        <v>0</v>
      </c>
    </row>
    <row r="338" ht="15.75" customHeight="1">
      <c r="A338" s="14">
        <v>36998.0</v>
      </c>
      <c r="B338" s="15">
        <v>4.41</v>
      </c>
      <c r="C338" s="15"/>
      <c r="D338" s="15">
        <v>5.89</v>
      </c>
      <c r="E338" s="15"/>
      <c r="F338" s="15" t="str">
        <f t="shared" si="1"/>
        <v/>
      </c>
      <c r="G338" s="15">
        <f t="shared" si="2"/>
        <v>5.89</v>
      </c>
      <c r="H338" s="16">
        <v>1.0</v>
      </c>
      <c r="I338" s="15">
        <f t="shared" si="3"/>
        <v>1.48</v>
      </c>
      <c r="J338" s="15">
        <v>25.61</v>
      </c>
      <c r="K338" s="16">
        <f>IF(COUNTIFS(Release_Calendar!$A$2:$A$755,"US_CPI",Release_Calendar!$B$2:$B$755,$A338)&gt;0,1,0)</f>
        <v>1</v>
      </c>
      <c r="L338" s="16">
        <f>IF(COUNTIFS(Release_Calendar!$A$2:$A$755,"US_NFP",Release_Calendar!$B$2:$B$755,$A338)&gt;0,1,0)</f>
        <v>0</v>
      </c>
      <c r="M338" s="16" t="str">
        <f>IF($A338&lt;Notes!$B$5,"",IF(COUNTIFS(Release_Calendar!$A$2:$A$755,"NZ_CPI",Release_Calendar!$B$2:$B$755,$A338)&gt;0,1,0))</f>
        <v/>
      </c>
      <c r="N338" s="16" t="str">
        <f>IF($A338&lt;Notes!$B$5,"",IF(COUNTIFS(Release_Calendar!$A$2:$A$755,"NZ_GDP",Release_Calendar!$B$2:$B$755,$A338)&gt;0,1,0))</f>
        <v/>
      </c>
      <c r="O338" s="16" t="str">
        <f>IF($A338&lt;Notes!$B$5,"",IF(COUNTIFS(Release_Calendar!$A$2:$A$755,"NZ_LABOUR",Release_Calendar!$B$2:$B$755,$A338)&gt;0,1,0))</f>
        <v/>
      </c>
      <c r="P338" s="16">
        <f t="shared" si="4"/>
        <v>1</v>
      </c>
    </row>
    <row r="339" ht="15.75" customHeight="1">
      <c r="A339" s="14">
        <v>36999.0</v>
      </c>
      <c r="B339" s="15">
        <v>4.26</v>
      </c>
      <c r="C339" s="15"/>
      <c r="D339" s="15">
        <v>5.81</v>
      </c>
      <c r="E339" s="15"/>
      <c r="F339" s="15" t="str">
        <f t="shared" si="1"/>
        <v/>
      </c>
      <c r="G339" s="15">
        <f t="shared" si="2"/>
        <v>5.81</v>
      </c>
      <c r="H339" s="16">
        <v>1.0</v>
      </c>
      <c r="I339" s="15">
        <f t="shared" si="3"/>
        <v>1.55</v>
      </c>
      <c r="J339" s="15">
        <v>24.13</v>
      </c>
      <c r="K339" s="16">
        <f>IF(COUNTIFS(Release_Calendar!$A$2:$A$755,"US_CPI",Release_Calendar!$B$2:$B$755,$A339)&gt;0,1,0)</f>
        <v>0</v>
      </c>
      <c r="L339" s="16">
        <f>IF(COUNTIFS(Release_Calendar!$A$2:$A$755,"US_NFP",Release_Calendar!$B$2:$B$755,$A339)&gt;0,1,0)</f>
        <v>0</v>
      </c>
      <c r="M339" s="16" t="str">
        <f>IF($A339&lt;Notes!$B$5,"",IF(COUNTIFS(Release_Calendar!$A$2:$A$755,"NZ_CPI",Release_Calendar!$B$2:$B$755,$A339)&gt;0,1,0))</f>
        <v/>
      </c>
      <c r="N339" s="16" t="str">
        <f>IF($A339&lt;Notes!$B$5,"",IF(COUNTIFS(Release_Calendar!$A$2:$A$755,"NZ_GDP",Release_Calendar!$B$2:$B$755,$A339)&gt;0,1,0))</f>
        <v/>
      </c>
      <c r="O339" s="16" t="str">
        <f>IF($A339&lt;Notes!$B$5,"",IF(COUNTIFS(Release_Calendar!$A$2:$A$755,"NZ_LABOUR",Release_Calendar!$B$2:$B$755,$A339)&gt;0,1,0))</f>
        <v/>
      </c>
      <c r="P339" s="16">
        <f t="shared" si="4"/>
        <v>0</v>
      </c>
    </row>
    <row r="340" ht="15.75" customHeight="1">
      <c r="A340" s="14">
        <v>37000.0</v>
      </c>
      <c r="B340" s="15">
        <v>4.29</v>
      </c>
      <c r="C340" s="15"/>
      <c r="D340" s="15">
        <v>5.65</v>
      </c>
      <c r="E340" s="15"/>
      <c r="F340" s="15" t="str">
        <f t="shared" si="1"/>
        <v/>
      </c>
      <c r="G340" s="15">
        <f t="shared" si="2"/>
        <v>5.65</v>
      </c>
      <c r="H340" s="16">
        <v>1.0</v>
      </c>
      <c r="I340" s="15">
        <f t="shared" si="3"/>
        <v>1.36</v>
      </c>
      <c r="J340" s="15">
        <v>24.16</v>
      </c>
      <c r="K340" s="16">
        <f>IF(COUNTIFS(Release_Calendar!$A$2:$A$755,"US_CPI",Release_Calendar!$B$2:$B$755,$A340)&gt;0,1,0)</f>
        <v>0</v>
      </c>
      <c r="L340" s="16">
        <f>IF(COUNTIFS(Release_Calendar!$A$2:$A$755,"US_NFP",Release_Calendar!$B$2:$B$755,$A340)&gt;0,1,0)</f>
        <v>0</v>
      </c>
      <c r="M340" s="16" t="str">
        <f>IF($A340&lt;Notes!$B$5,"",IF(COUNTIFS(Release_Calendar!$A$2:$A$755,"NZ_CPI",Release_Calendar!$B$2:$B$755,$A340)&gt;0,1,0))</f>
        <v/>
      </c>
      <c r="N340" s="16" t="str">
        <f>IF($A340&lt;Notes!$B$5,"",IF(COUNTIFS(Release_Calendar!$A$2:$A$755,"NZ_GDP",Release_Calendar!$B$2:$B$755,$A340)&gt;0,1,0))</f>
        <v/>
      </c>
      <c r="O340" s="16" t="str">
        <f>IF($A340&lt;Notes!$B$5,"",IF(COUNTIFS(Release_Calendar!$A$2:$A$755,"NZ_LABOUR",Release_Calendar!$B$2:$B$755,$A340)&gt;0,1,0))</f>
        <v/>
      </c>
      <c r="P340" s="16">
        <f t="shared" si="4"/>
        <v>0</v>
      </c>
    </row>
    <row r="341" ht="15.75" customHeight="1">
      <c r="A341" s="14">
        <v>37001.0</v>
      </c>
      <c r="B341" s="15">
        <v>4.26</v>
      </c>
      <c r="C341" s="15"/>
      <c r="D341" s="15">
        <v>5.75</v>
      </c>
      <c r="E341" s="15"/>
      <c r="F341" s="15" t="str">
        <f t="shared" si="1"/>
        <v/>
      </c>
      <c r="G341" s="15">
        <f t="shared" si="2"/>
        <v>5.75</v>
      </c>
      <c r="H341" s="16">
        <v>1.0</v>
      </c>
      <c r="I341" s="15">
        <f t="shared" si="3"/>
        <v>1.49</v>
      </c>
      <c r="J341" s="15">
        <v>25.38</v>
      </c>
      <c r="K341" s="16">
        <f>IF(COUNTIFS(Release_Calendar!$A$2:$A$755,"US_CPI",Release_Calendar!$B$2:$B$755,$A341)&gt;0,1,0)</f>
        <v>0</v>
      </c>
      <c r="L341" s="16">
        <f>IF(COUNTIFS(Release_Calendar!$A$2:$A$755,"US_NFP",Release_Calendar!$B$2:$B$755,$A341)&gt;0,1,0)</f>
        <v>0</v>
      </c>
      <c r="M341" s="16" t="str">
        <f>IF($A341&lt;Notes!$B$5,"",IF(COUNTIFS(Release_Calendar!$A$2:$A$755,"NZ_CPI",Release_Calendar!$B$2:$B$755,$A341)&gt;0,1,0))</f>
        <v/>
      </c>
      <c r="N341" s="16" t="str">
        <f>IF($A341&lt;Notes!$B$5,"",IF(COUNTIFS(Release_Calendar!$A$2:$A$755,"NZ_GDP",Release_Calendar!$B$2:$B$755,$A341)&gt;0,1,0))</f>
        <v/>
      </c>
      <c r="O341" s="16" t="str">
        <f>IF($A341&lt;Notes!$B$5,"",IF(COUNTIFS(Release_Calendar!$A$2:$A$755,"NZ_LABOUR",Release_Calendar!$B$2:$B$755,$A341)&gt;0,1,0))</f>
        <v/>
      </c>
      <c r="P341" s="16">
        <f t="shared" si="4"/>
        <v>0</v>
      </c>
    </row>
    <row r="342" ht="15.75" customHeight="1">
      <c r="A342" s="14">
        <v>37004.0</v>
      </c>
      <c r="B342" s="15">
        <v>4.15</v>
      </c>
      <c r="C342" s="15"/>
      <c r="D342" s="15">
        <v>5.73</v>
      </c>
      <c r="E342" s="15"/>
      <c r="F342" s="15" t="str">
        <f t="shared" si="1"/>
        <v/>
      </c>
      <c r="G342" s="15">
        <f t="shared" si="2"/>
        <v>5.73</v>
      </c>
      <c r="H342" s="16">
        <v>1.0</v>
      </c>
      <c r="I342" s="15">
        <f t="shared" si="3"/>
        <v>1.58</v>
      </c>
      <c r="J342" s="15">
        <v>28.16</v>
      </c>
      <c r="K342" s="16">
        <f>IF(COUNTIFS(Release_Calendar!$A$2:$A$755,"US_CPI",Release_Calendar!$B$2:$B$755,$A342)&gt;0,1,0)</f>
        <v>0</v>
      </c>
      <c r="L342" s="16">
        <f>IF(COUNTIFS(Release_Calendar!$A$2:$A$755,"US_NFP",Release_Calendar!$B$2:$B$755,$A342)&gt;0,1,0)</f>
        <v>0</v>
      </c>
      <c r="M342" s="16" t="str">
        <f>IF($A342&lt;Notes!$B$5,"",IF(COUNTIFS(Release_Calendar!$A$2:$A$755,"NZ_CPI",Release_Calendar!$B$2:$B$755,$A342)&gt;0,1,0))</f>
        <v/>
      </c>
      <c r="N342" s="16" t="str">
        <f>IF($A342&lt;Notes!$B$5,"",IF(COUNTIFS(Release_Calendar!$A$2:$A$755,"NZ_GDP",Release_Calendar!$B$2:$B$755,$A342)&gt;0,1,0))</f>
        <v/>
      </c>
      <c r="O342" s="16" t="str">
        <f>IF($A342&lt;Notes!$B$5,"",IF(COUNTIFS(Release_Calendar!$A$2:$A$755,"NZ_LABOUR",Release_Calendar!$B$2:$B$755,$A342)&gt;0,1,0))</f>
        <v/>
      </c>
      <c r="P342" s="16">
        <f t="shared" si="4"/>
        <v>0</v>
      </c>
    </row>
    <row r="343" ht="15.75" customHeight="1">
      <c r="A343" s="14">
        <v>37005.0</v>
      </c>
      <c r="B343" s="15">
        <v>4.16</v>
      </c>
      <c r="C343" s="15"/>
      <c r="D343" s="15">
        <v>5.66</v>
      </c>
      <c r="E343" s="15"/>
      <c r="F343" s="15" t="str">
        <f t="shared" si="1"/>
        <v/>
      </c>
      <c r="G343" s="15">
        <f t="shared" si="2"/>
        <v>5.66</v>
      </c>
      <c r="H343" s="16">
        <v>1.0</v>
      </c>
      <c r="I343" s="15">
        <f t="shared" si="3"/>
        <v>1.5</v>
      </c>
      <c r="J343" s="15">
        <v>28.49</v>
      </c>
      <c r="K343" s="16">
        <f>IF(COUNTIFS(Release_Calendar!$A$2:$A$755,"US_CPI",Release_Calendar!$B$2:$B$755,$A343)&gt;0,1,0)</f>
        <v>0</v>
      </c>
      <c r="L343" s="16">
        <f>IF(COUNTIFS(Release_Calendar!$A$2:$A$755,"US_NFP",Release_Calendar!$B$2:$B$755,$A343)&gt;0,1,0)</f>
        <v>0</v>
      </c>
      <c r="M343" s="16" t="str">
        <f>IF($A343&lt;Notes!$B$5,"",IF(COUNTIFS(Release_Calendar!$A$2:$A$755,"NZ_CPI",Release_Calendar!$B$2:$B$755,$A343)&gt;0,1,0))</f>
        <v/>
      </c>
      <c r="N343" s="16" t="str">
        <f>IF($A343&lt;Notes!$B$5,"",IF(COUNTIFS(Release_Calendar!$A$2:$A$755,"NZ_GDP",Release_Calendar!$B$2:$B$755,$A343)&gt;0,1,0))</f>
        <v/>
      </c>
      <c r="O343" s="16" t="str">
        <f>IF($A343&lt;Notes!$B$5,"",IF(COUNTIFS(Release_Calendar!$A$2:$A$755,"NZ_LABOUR",Release_Calendar!$B$2:$B$755,$A343)&gt;0,1,0))</f>
        <v/>
      </c>
      <c r="P343" s="16">
        <f t="shared" si="4"/>
        <v>0</v>
      </c>
    </row>
    <row r="344" ht="15.75" customHeight="1">
      <c r="A344" s="14">
        <v>37006.0</v>
      </c>
      <c r="B344" s="15">
        <v>4.2</v>
      </c>
      <c r="C344" s="15"/>
      <c r="D344" s="15"/>
      <c r="E344" s="15"/>
      <c r="F344" s="15" t="str">
        <f t="shared" si="1"/>
        <v/>
      </c>
      <c r="G344" s="15" t="str">
        <f t="shared" si="2"/>
        <v/>
      </c>
      <c r="H344" s="16">
        <v>1.0</v>
      </c>
      <c r="I344" s="15" t="str">
        <f t="shared" si="3"/>
        <v/>
      </c>
      <c r="J344" s="15">
        <v>27.4</v>
      </c>
      <c r="K344" s="16">
        <f>IF(COUNTIFS(Release_Calendar!$A$2:$A$755,"US_CPI",Release_Calendar!$B$2:$B$755,$A344)&gt;0,1,0)</f>
        <v>0</v>
      </c>
      <c r="L344" s="16">
        <f>IF(COUNTIFS(Release_Calendar!$A$2:$A$755,"US_NFP",Release_Calendar!$B$2:$B$755,$A344)&gt;0,1,0)</f>
        <v>0</v>
      </c>
      <c r="M344" s="16" t="str">
        <f>IF($A344&lt;Notes!$B$5,"",IF(COUNTIFS(Release_Calendar!$A$2:$A$755,"NZ_CPI",Release_Calendar!$B$2:$B$755,$A344)&gt;0,1,0))</f>
        <v/>
      </c>
      <c r="N344" s="16" t="str">
        <f>IF($A344&lt;Notes!$B$5,"",IF(COUNTIFS(Release_Calendar!$A$2:$A$755,"NZ_GDP",Release_Calendar!$B$2:$B$755,$A344)&gt;0,1,0))</f>
        <v/>
      </c>
      <c r="O344" s="16" t="str">
        <f>IF($A344&lt;Notes!$B$5,"",IF(COUNTIFS(Release_Calendar!$A$2:$A$755,"NZ_LABOUR",Release_Calendar!$B$2:$B$755,$A344)&gt;0,1,0))</f>
        <v/>
      </c>
      <c r="P344" s="16">
        <f t="shared" si="4"/>
        <v>0</v>
      </c>
    </row>
    <row r="345" ht="15.75" customHeight="1">
      <c r="A345" s="14">
        <v>37007.0</v>
      </c>
      <c r="B345" s="15">
        <v>4.14</v>
      </c>
      <c r="C345" s="15"/>
      <c r="D345" s="15">
        <v>5.78</v>
      </c>
      <c r="E345" s="15"/>
      <c r="F345" s="15" t="str">
        <f t="shared" si="1"/>
        <v/>
      </c>
      <c r="G345" s="15">
        <f t="shared" si="2"/>
        <v>5.78</v>
      </c>
      <c r="H345" s="16">
        <v>1.0</v>
      </c>
      <c r="I345" s="15">
        <f t="shared" si="3"/>
        <v>1.64</v>
      </c>
      <c r="J345" s="15">
        <v>25.96</v>
      </c>
      <c r="K345" s="16">
        <f>IF(COUNTIFS(Release_Calendar!$A$2:$A$755,"US_CPI",Release_Calendar!$B$2:$B$755,$A345)&gt;0,1,0)</f>
        <v>0</v>
      </c>
      <c r="L345" s="16">
        <f>IF(COUNTIFS(Release_Calendar!$A$2:$A$755,"US_NFP",Release_Calendar!$B$2:$B$755,$A345)&gt;0,1,0)</f>
        <v>0</v>
      </c>
      <c r="M345" s="16" t="str">
        <f>IF($A345&lt;Notes!$B$5,"",IF(COUNTIFS(Release_Calendar!$A$2:$A$755,"NZ_CPI",Release_Calendar!$B$2:$B$755,$A345)&gt;0,1,0))</f>
        <v/>
      </c>
      <c r="N345" s="16" t="str">
        <f>IF($A345&lt;Notes!$B$5,"",IF(COUNTIFS(Release_Calendar!$A$2:$A$755,"NZ_GDP",Release_Calendar!$B$2:$B$755,$A345)&gt;0,1,0))</f>
        <v/>
      </c>
      <c r="O345" s="16" t="str">
        <f>IF($A345&lt;Notes!$B$5,"",IF(COUNTIFS(Release_Calendar!$A$2:$A$755,"NZ_LABOUR",Release_Calendar!$B$2:$B$755,$A345)&gt;0,1,0))</f>
        <v/>
      </c>
      <c r="P345" s="16">
        <f t="shared" si="4"/>
        <v>0</v>
      </c>
    </row>
    <row r="346" ht="15.75" customHeight="1">
      <c r="A346" s="14">
        <v>37008.0</v>
      </c>
      <c r="B346" s="15">
        <v>4.28</v>
      </c>
      <c r="C346" s="15"/>
      <c r="D346" s="15">
        <v>5.69</v>
      </c>
      <c r="E346" s="15"/>
      <c r="F346" s="15" t="str">
        <f t="shared" si="1"/>
        <v/>
      </c>
      <c r="G346" s="15">
        <f t="shared" si="2"/>
        <v>5.69</v>
      </c>
      <c r="H346" s="16">
        <v>1.0</v>
      </c>
      <c r="I346" s="15">
        <f t="shared" si="3"/>
        <v>1.41</v>
      </c>
      <c r="J346" s="15">
        <v>24.02</v>
      </c>
      <c r="K346" s="16">
        <f>IF(COUNTIFS(Release_Calendar!$A$2:$A$755,"US_CPI",Release_Calendar!$B$2:$B$755,$A346)&gt;0,1,0)</f>
        <v>0</v>
      </c>
      <c r="L346" s="16">
        <f>IF(COUNTIFS(Release_Calendar!$A$2:$A$755,"US_NFP",Release_Calendar!$B$2:$B$755,$A346)&gt;0,1,0)</f>
        <v>0</v>
      </c>
      <c r="M346" s="16" t="str">
        <f>IF($A346&lt;Notes!$B$5,"",IF(COUNTIFS(Release_Calendar!$A$2:$A$755,"NZ_CPI",Release_Calendar!$B$2:$B$755,$A346)&gt;0,1,0))</f>
        <v/>
      </c>
      <c r="N346" s="16" t="str">
        <f>IF($A346&lt;Notes!$B$5,"",IF(COUNTIFS(Release_Calendar!$A$2:$A$755,"NZ_GDP",Release_Calendar!$B$2:$B$755,$A346)&gt;0,1,0))</f>
        <v/>
      </c>
      <c r="O346" s="16" t="str">
        <f>IF($A346&lt;Notes!$B$5,"",IF(COUNTIFS(Release_Calendar!$A$2:$A$755,"NZ_LABOUR",Release_Calendar!$B$2:$B$755,$A346)&gt;0,1,0))</f>
        <v/>
      </c>
      <c r="P346" s="16">
        <f t="shared" si="4"/>
        <v>0</v>
      </c>
    </row>
    <row r="347" ht="15.75" customHeight="1">
      <c r="A347" s="14">
        <v>37011.0</v>
      </c>
      <c r="B347" s="15">
        <v>4.3</v>
      </c>
      <c r="C347" s="15"/>
      <c r="D347" s="15">
        <v>5.82</v>
      </c>
      <c r="E347" s="15"/>
      <c r="F347" s="15" t="str">
        <f t="shared" si="1"/>
        <v/>
      </c>
      <c r="G347" s="15">
        <f t="shared" si="2"/>
        <v>5.82</v>
      </c>
      <c r="H347" s="16">
        <v>1.0</v>
      </c>
      <c r="I347" s="15">
        <f t="shared" si="3"/>
        <v>1.52</v>
      </c>
      <c r="J347" s="15">
        <v>25.48</v>
      </c>
      <c r="K347" s="16">
        <f>IF(COUNTIFS(Release_Calendar!$A$2:$A$755,"US_CPI",Release_Calendar!$B$2:$B$755,$A347)&gt;0,1,0)</f>
        <v>0</v>
      </c>
      <c r="L347" s="16">
        <f>IF(COUNTIFS(Release_Calendar!$A$2:$A$755,"US_NFP",Release_Calendar!$B$2:$B$755,$A347)&gt;0,1,0)</f>
        <v>0</v>
      </c>
      <c r="M347" s="16" t="str">
        <f>IF($A347&lt;Notes!$B$5,"",IF(COUNTIFS(Release_Calendar!$A$2:$A$755,"NZ_CPI",Release_Calendar!$B$2:$B$755,$A347)&gt;0,1,0))</f>
        <v/>
      </c>
      <c r="N347" s="16" t="str">
        <f>IF($A347&lt;Notes!$B$5,"",IF(COUNTIFS(Release_Calendar!$A$2:$A$755,"NZ_GDP",Release_Calendar!$B$2:$B$755,$A347)&gt;0,1,0))</f>
        <v/>
      </c>
      <c r="O347" s="16" t="str">
        <f>IF($A347&lt;Notes!$B$5,"",IF(COUNTIFS(Release_Calendar!$A$2:$A$755,"NZ_LABOUR",Release_Calendar!$B$2:$B$755,$A347)&gt;0,1,0))</f>
        <v/>
      </c>
      <c r="P347" s="16">
        <f t="shared" si="4"/>
        <v>0</v>
      </c>
    </row>
    <row r="348" ht="15.75" customHeight="1">
      <c r="A348" s="14">
        <v>37012.0</v>
      </c>
      <c r="B348" s="15">
        <v>4.23</v>
      </c>
      <c r="C348" s="15"/>
      <c r="D348" s="15">
        <v>5.8</v>
      </c>
      <c r="E348" s="15"/>
      <c r="F348" s="15" t="str">
        <f t="shared" si="1"/>
        <v/>
      </c>
      <c r="G348" s="15">
        <f t="shared" si="2"/>
        <v>5.8</v>
      </c>
      <c r="H348" s="16">
        <v>1.0</v>
      </c>
      <c r="I348" s="15">
        <f t="shared" si="3"/>
        <v>1.57</v>
      </c>
      <c r="J348" s="15">
        <v>24.2</v>
      </c>
      <c r="K348" s="16">
        <f>IF(COUNTIFS(Release_Calendar!$A$2:$A$755,"US_CPI",Release_Calendar!$B$2:$B$755,$A348)&gt;0,1,0)</f>
        <v>0</v>
      </c>
      <c r="L348" s="16">
        <f>IF(COUNTIFS(Release_Calendar!$A$2:$A$755,"US_NFP",Release_Calendar!$B$2:$B$755,$A348)&gt;0,1,0)</f>
        <v>0</v>
      </c>
      <c r="M348" s="16" t="str">
        <f>IF($A348&lt;Notes!$B$5,"",IF(COUNTIFS(Release_Calendar!$A$2:$A$755,"NZ_CPI",Release_Calendar!$B$2:$B$755,$A348)&gt;0,1,0))</f>
        <v/>
      </c>
      <c r="N348" s="16" t="str">
        <f>IF($A348&lt;Notes!$B$5,"",IF(COUNTIFS(Release_Calendar!$A$2:$A$755,"NZ_GDP",Release_Calendar!$B$2:$B$755,$A348)&gt;0,1,0))</f>
        <v/>
      </c>
      <c r="O348" s="16" t="str">
        <f>IF($A348&lt;Notes!$B$5,"",IF(COUNTIFS(Release_Calendar!$A$2:$A$755,"NZ_LABOUR",Release_Calendar!$B$2:$B$755,$A348)&gt;0,1,0))</f>
        <v/>
      </c>
      <c r="P348" s="16">
        <f t="shared" si="4"/>
        <v>0</v>
      </c>
    </row>
    <row r="349" ht="15.75" customHeight="1">
      <c r="A349" s="14">
        <v>37013.0</v>
      </c>
      <c r="B349" s="15">
        <v>4.27</v>
      </c>
      <c r="C349" s="15"/>
      <c r="D349" s="15">
        <v>5.79</v>
      </c>
      <c r="E349" s="15"/>
      <c r="F349" s="15" t="str">
        <f t="shared" si="1"/>
        <v/>
      </c>
      <c r="G349" s="15">
        <f t="shared" si="2"/>
        <v>5.79</v>
      </c>
      <c r="H349" s="16">
        <v>1.0</v>
      </c>
      <c r="I349" s="15">
        <f t="shared" si="3"/>
        <v>1.52</v>
      </c>
      <c r="J349" s="15">
        <v>24.23</v>
      </c>
      <c r="K349" s="16">
        <f>IF(COUNTIFS(Release_Calendar!$A$2:$A$755,"US_CPI",Release_Calendar!$B$2:$B$755,$A349)&gt;0,1,0)</f>
        <v>0</v>
      </c>
      <c r="L349" s="16">
        <f>IF(COUNTIFS(Release_Calendar!$A$2:$A$755,"US_NFP",Release_Calendar!$B$2:$B$755,$A349)&gt;0,1,0)</f>
        <v>0</v>
      </c>
      <c r="M349" s="16" t="str">
        <f>IF($A349&lt;Notes!$B$5,"",IF(COUNTIFS(Release_Calendar!$A$2:$A$755,"NZ_CPI",Release_Calendar!$B$2:$B$755,$A349)&gt;0,1,0))</f>
        <v/>
      </c>
      <c r="N349" s="16" t="str">
        <f>IF($A349&lt;Notes!$B$5,"",IF(COUNTIFS(Release_Calendar!$A$2:$A$755,"NZ_GDP",Release_Calendar!$B$2:$B$755,$A349)&gt;0,1,0))</f>
        <v/>
      </c>
      <c r="O349" s="16" t="str">
        <f>IF($A349&lt;Notes!$B$5,"",IF(COUNTIFS(Release_Calendar!$A$2:$A$755,"NZ_LABOUR",Release_Calendar!$B$2:$B$755,$A349)&gt;0,1,0))</f>
        <v/>
      </c>
      <c r="P349" s="16">
        <f t="shared" si="4"/>
        <v>0</v>
      </c>
    </row>
    <row r="350" ht="15.75" customHeight="1">
      <c r="A350" s="14">
        <v>37014.0</v>
      </c>
      <c r="B350" s="15">
        <v>4.22</v>
      </c>
      <c r="C350" s="15"/>
      <c r="D350" s="15">
        <v>5.84</v>
      </c>
      <c r="E350" s="15"/>
      <c r="F350" s="15" t="str">
        <f t="shared" si="1"/>
        <v/>
      </c>
      <c r="G350" s="15">
        <f t="shared" si="2"/>
        <v>5.84</v>
      </c>
      <c r="H350" s="16">
        <v>1.0</v>
      </c>
      <c r="I350" s="15">
        <f t="shared" si="3"/>
        <v>1.62</v>
      </c>
      <c r="J350" s="15">
        <v>25.78</v>
      </c>
      <c r="K350" s="16">
        <f>IF(COUNTIFS(Release_Calendar!$A$2:$A$755,"US_CPI",Release_Calendar!$B$2:$B$755,$A350)&gt;0,1,0)</f>
        <v>0</v>
      </c>
      <c r="L350" s="16">
        <f>IF(COUNTIFS(Release_Calendar!$A$2:$A$755,"US_NFP",Release_Calendar!$B$2:$B$755,$A350)&gt;0,1,0)</f>
        <v>0</v>
      </c>
      <c r="M350" s="16" t="str">
        <f>IF($A350&lt;Notes!$B$5,"",IF(COUNTIFS(Release_Calendar!$A$2:$A$755,"NZ_CPI",Release_Calendar!$B$2:$B$755,$A350)&gt;0,1,0))</f>
        <v/>
      </c>
      <c r="N350" s="16" t="str">
        <f>IF($A350&lt;Notes!$B$5,"",IF(COUNTIFS(Release_Calendar!$A$2:$A$755,"NZ_GDP",Release_Calendar!$B$2:$B$755,$A350)&gt;0,1,0))</f>
        <v/>
      </c>
      <c r="O350" s="16" t="str">
        <f>IF($A350&lt;Notes!$B$5,"",IF(COUNTIFS(Release_Calendar!$A$2:$A$755,"NZ_LABOUR",Release_Calendar!$B$2:$B$755,$A350)&gt;0,1,0))</f>
        <v/>
      </c>
      <c r="P350" s="16">
        <f t="shared" si="4"/>
        <v>0</v>
      </c>
    </row>
    <row r="351" ht="15.75" customHeight="1">
      <c r="A351" s="14">
        <v>37015.0</v>
      </c>
      <c r="B351" s="15">
        <v>4.14</v>
      </c>
      <c r="C351" s="15"/>
      <c r="D351" s="15">
        <v>5.72</v>
      </c>
      <c r="E351" s="15"/>
      <c r="F351" s="15" t="str">
        <f t="shared" si="1"/>
        <v/>
      </c>
      <c r="G351" s="15">
        <f t="shared" si="2"/>
        <v>5.72</v>
      </c>
      <c r="H351" s="16">
        <v>1.0</v>
      </c>
      <c r="I351" s="15">
        <f t="shared" si="3"/>
        <v>1.58</v>
      </c>
      <c r="J351" s="15">
        <v>23.91</v>
      </c>
      <c r="K351" s="16">
        <f>IF(COUNTIFS(Release_Calendar!$A$2:$A$755,"US_CPI",Release_Calendar!$B$2:$B$755,$A351)&gt;0,1,0)</f>
        <v>0</v>
      </c>
      <c r="L351" s="16">
        <f>IF(COUNTIFS(Release_Calendar!$A$2:$A$755,"US_NFP",Release_Calendar!$B$2:$B$755,$A351)&gt;0,1,0)</f>
        <v>1</v>
      </c>
      <c r="M351" s="16" t="str">
        <f>IF($A351&lt;Notes!$B$5,"",IF(COUNTIFS(Release_Calendar!$A$2:$A$755,"NZ_CPI",Release_Calendar!$B$2:$B$755,$A351)&gt;0,1,0))</f>
        <v/>
      </c>
      <c r="N351" s="16" t="str">
        <f>IF($A351&lt;Notes!$B$5,"",IF(COUNTIFS(Release_Calendar!$A$2:$A$755,"NZ_GDP",Release_Calendar!$B$2:$B$755,$A351)&gt;0,1,0))</f>
        <v/>
      </c>
      <c r="O351" s="16" t="str">
        <f>IF($A351&lt;Notes!$B$5,"",IF(COUNTIFS(Release_Calendar!$A$2:$A$755,"NZ_LABOUR",Release_Calendar!$B$2:$B$755,$A351)&gt;0,1,0))</f>
        <v/>
      </c>
      <c r="P351" s="16">
        <f t="shared" si="4"/>
        <v>1</v>
      </c>
    </row>
    <row r="352" ht="15.75" customHeight="1">
      <c r="A352" s="14">
        <v>37018.0</v>
      </c>
      <c r="B352" s="15">
        <v>4.12</v>
      </c>
      <c r="C352" s="15"/>
      <c r="D352" s="15">
        <v>5.67</v>
      </c>
      <c r="E352" s="15"/>
      <c r="F352" s="15" t="str">
        <f t="shared" si="1"/>
        <v/>
      </c>
      <c r="G352" s="15">
        <f t="shared" si="2"/>
        <v>5.67</v>
      </c>
      <c r="H352" s="16">
        <v>1.0</v>
      </c>
      <c r="I352" s="15">
        <f t="shared" si="3"/>
        <v>1.55</v>
      </c>
      <c r="J352" s="15">
        <v>24.86</v>
      </c>
      <c r="K352" s="16">
        <f>IF(COUNTIFS(Release_Calendar!$A$2:$A$755,"US_CPI",Release_Calendar!$B$2:$B$755,$A352)&gt;0,1,0)</f>
        <v>0</v>
      </c>
      <c r="L352" s="16">
        <f>IF(COUNTIFS(Release_Calendar!$A$2:$A$755,"US_NFP",Release_Calendar!$B$2:$B$755,$A352)&gt;0,1,0)</f>
        <v>0</v>
      </c>
      <c r="M352" s="16" t="str">
        <f>IF($A352&lt;Notes!$B$5,"",IF(COUNTIFS(Release_Calendar!$A$2:$A$755,"NZ_CPI",Release_Calendar!$B$2:$B$755,$A352)&gt;0,1,0))</f>
        <v/>
      </c>
      <c r="N352" s="16" t="str">
        <f>IF($A352&lt;Notes!$B$5,"",IF(COUNTIFS(Release_Calendar!$A$2:$A$755,"NZ_GDP",Release_Calendar!$B$2:$B$755,$A352)&gt;0,1,0))</f>
        <v/>
      </c>
      <c r="O352" s="16" t="str">
        <f>IF($A352&lt;Notes!$B$5,"",IF(COUNTIFS(Release_Calendar!$A$2:$A$755,"NZ_LABOUR",Release_Calendar!$B$2:$B$755,$A352)&gt;0,1,0))</f>
        <v/>
      </c>
      <c r="P352" s="16">
        <f t="shared" si="4"/>
        <v>0</v>
      </c>
    </row>
    <row r="353" ht="15.75" customHeight="1">
      <c r="A353" s="14">
        <v>37019.0</v>
      </c>
      <c r="B353" s="15">
        <v>4.1</v>
      </c>
      <c r="C353" s="15"/>
      <c r="D353" s="15">
        <v>5.69</v>
      </c>
      <c r="E353" s="15"/>
      <c r="F353" s="15" t="str">
        <f t="shared" si="1"/>
        <v/>
      </c>
      <c r="G353" s="15">
        <f t="shared" si="2"/>
        <v>5.69</v>
      </c>
      <c r="H353" s="16">
        <v>1.0</v>
      </c>
      <c r="I353" s="15">
        <f t="shared" si="3"/>
        <v>1.59</v>
      </c>
      <c r="J353" s="15">
        <v>24.44</v>
      </c>
      <c r="K353" s="16">
        <f>IF(COUNTIFS(Release_Calendar!$A$2:$A$755,"US_CPI",Release_Calendar!$B$2:$B$755,$A353)&gt;0,1,0)</f>
        <v>0</v>
      </c>
      <c r="L353" s="16">
        <f>IF(COUNTIFS(Release_Calendar!$A$2:$A$755,"US_NFP",Release_Calendar!$B$2:$B$755,$A353)&gt;0,1,0)</f>
        <v>0</v>
      </c>
      <c r="M353" s="16" t="str">
        <f>IF($A353&lt;Notes!$B$5,"",IF(COUNTIFS(Release_Calendar!$A$2:$A$755,"NZ_CPI",Release_Calendar!$B$2:$B$755,$A353)&gt;0,1,0))</f>
        <v/>
      </c>
      <c r="N353" s="16" t="str">
        <f>IF($A353&lt;Notes!$B$5,"",IF(COUNTIFS(Release_Calendar!$A$2:$A$755,"NZ_GDP",Release_Calendar!$B$2:$B$755,$A353)&gt;0,1,0))</f>
        <v/>
      </c>
      <c r="O353" s="16" t="str">
        <f>IF($A353&lt;Notes!$B$5,"",IF(COUNTIFS(Release_Calendar!$A$2:$A$755,"NZ_LABOUR",Release_Calendar!$B$2:$B$755,$A353)&gt;0,1,0))</f>
        <v/>
      </c>
      <c r="P353" s="16">
        <f t="shared" si="4"/>
        <v>0</v>
      </c>
    </row>
    <row r="354" ht="15.75" customHeight="1">
      <c r="A354" s="14">
        <v>37020.0</v>
      </c>
      <c r="B354" s="15">
        <v>4.07</v>
      </c>
      <c r="C354" s="15"/>
      <c r="D354" s="15">
        <v>5.68</v>
      </c>
      <c r="E354" s="15"/>
      <c r="F354" s="15" t="str">
        <f t="shared" si="1"/>
        <v/>
      </c>
      <c r="G354" s="15">
        <f t="shared" si="2"/>
        <v>5.68</v>
      </c>
      <c r="H354" s="16">
        <v>1.0</v>
      </c>
      <c r="I354" s="15">
        <f t="shared" si="3"/>
        <v>1.61</v>
      </c>
      <c r="J354" s="15">
        <v>24.35</v>
      </c>
      <c r="K354" s="16">
        <f>IF(COUNTIFS(Release_Calendar!$A$2:$A$755,"US_CPI",Release_Calendar!$B$2:$B$755,$A354)&gt;0,1,0)</f>
        <v>0</v>
      </c>
      <c r="L354" s="16">
        <f>IF(COUNTIFS(Release_Calendar!$A$2:$A$755,"US_NFP",Release_Calendar!$B$2:$B$755,$A354)&gt;0,1,0)</f>
        <v>0</v>
      </c>
      <c r="M354" s="16" t="str">
        <f>IF($A354&lt;Notes!$B$5,"",IF(COUNTIFS(Release_Calendar!$A$2:$A$755,"NZ_CPI",Release_Calendar!$B$2:$B$755,$A354)&gt;0,1,0))</f>
        <v/>
      </c>
      <c r="N354" s="16" t="str">
        <f>IF($A354&lt;Notes!$B$5,"",IF(COUNTIFS(Release_Calendar!$A$2:$A$755,"NZ_GDP",Release_Calendar!$B$2:$B$755,$A354)&gt;0,1,0))</f>
        <v/>
      </c>
      <c r="O354" s="16" t="str">
        <f>IF($A354&lt;Notes!$B$5,"",IF(COUNTIFS(Release_Calendar!$A$2:$A$755,"NZ_LABOUR",Release_Calendar!$B$2:$B$755,$A354)&gt;0,1,0))</f>
        <v/>
      </c>
      <c r="P354" s="16">
        <f t="shared" si="4"/>
        <v>0</v>
      </c>
    </row>
    <row r="355" ht="15.75" customHeight="1">
      <c r="A355" s="14">
        <v>37021.0</v>
      </c>
      <c r="B355" s="15">
        <v>4.17</v>
      </c>
      <c r="C355" s="15"/>
      <c r="D355" s="15">
        <v>5.64</v>
      </c>
      <c r="E355" s="15"/>
      <c r="F355" s="15" t="str">
        <f t="shared" si="1"/>
        <v/>
      </c>
      <c r="G355" s="15">
        <f t="shared" si="2"/>
        <v>5.64</v>
      </c>
      <c r="H355" s="16">
        <v>1.0</v>
      </c>
      <c r="I355" s="15">
        <f t="shared" si="3"/>
        <v>1.47</v>
      </c>
      <c r="J355" s="15">
        <v>24.0</v>
      </c>
      <c r="K355" s="16">
        <f>IF(COUNTIFS(Release_Calendar!$A$2:$A$755,"US_CPI",Release_Calendar!$B$2:$B$755,$A355)&gt;0,1,0)</f>
        <v>0</v>
      </c>
      <c r="L355" s="16">
        <f>IF(COUNTIFS(Release_Calendar!$A$2:$A$755,"US_NFP",Release_Calendar!$B$2:$B$755,$A355)&gt;0,1,0)</f>
        <v>0</v>
      </c>
      <c r="M355" s="16" t="str">
        <f>IF($A355&lt;Notes!$B$5,"",IF(COUNTIFS(Release_Calendar!$A$2:$A$755,"NZ_CPI",Release_Calendar!$B$2:$B$755,$A355)&gt;0,1,0))</f>
        <v/>
      </c>
      <c r="N355" s="16" t="str">
        <f>IF($A355&lt;Notes!$B$5,"",IF(COUNTIFS(Release_Calendar!$A$2:$A$755,"NZ_GDP",Release_Calendar!$B$2:$B$755,$A355)&gt;0,1,0))</f>
        <v/>
      </c>
      <c r="O355" s="16" t="str">
        <f>IF($A355&lt;Notes!$B$5,"",IF(COUNTIFS(Release_Calendar!$A$2:$A$755,"NZ_LABOUR",Release_Calendar!$B$2:$B$755,$A355)&gt;0,1,0))</f>
        <v/>
      </c>
      <c r="P355" s="16">
        <f t="shared" si="4"/>
        <v>0</v>
      </c>
    </row>
    <row r="356" ht="15.75" customHeight="1">
      <c r="A356" s="14">
        <v>37022.0</v>
      </c>
      <c r="B356" s="15">
        <v>4.36</v>
      </c>
      <c r="C356" s="15"/>
      <c r="D356" s="15">
        <v>5.69</v>
      </c>
      <c r="E356" s="15"/>
      <c r="F356" s="15" t="str">
        <f t="shared" si="1"/>
        <v/>
      </c>
      <c r="G356" s="15">
        <f t="shared" si="2"/>
        <v>5.69</v>
      </c>
      <c r="H356" s="16">
        <v>1.0</v>
      </c>
      <c r="I356" s="15">
        <f t="shared" si="3"/>
        <v>1.33</v>
      </c>
      <c r="J356" s="15">
        <v>23.54</v>
      </c>
      <c r="K356" s="16">
        <f>IF(COUNTIFS(Release_Calendar!$A$2:$A$755,"US_CPI",Release_Calendar!$B$2:$B$755,$A356)&gt;0,1,0)</f>
        <v>0</v>
      </c>
      <c r="L356" s="16">
        <f>IF(COUNTIFS(Release_Calendar!$A$2:$A$755,"US_NFP",Release_Calendar!$B$2:$B$755,$A356)&gt;0,1,0)</f>
        <v>0</v>
      </c>
      <c r="M356" s="16" t="str">
        <f>IF($A356&lt;Notes!$B$5,"",IF(COUNTIFS(Release_Calendar!$A$2:$A$755,"NZ_CPI",Release_Calendar!$B$2:$B$755,$A356)&gt;0,1,0))</f>
        <v/>
      </c>
      <c r="N356" s="16" t="str">
        <f>IF($A356&lt;Notes!$B$5,"",IF(COUNTIFS(Release_Calendar!$A$2:$A$755,"NZ_GDP",Release_Calendar!$B$2:$B$755,$A356)&gt;0,1,0))</f>
        <v/>
      </c>
      <c r="O356" s="16" t="str">
        <f>IF($A356&lt;Notes!$B$5,"",IF(COUNTIFS(Release_Calendar!$A$2:$A$755,"NZ_LABOUR",Release_Calendar!$B$2:$B$755,$A356)&gt;0,1,0))</f>
        <v/>
      </c>
      <c r="P356" s="16">
        <f t="shared" si="4"/>
        <v>0</v>
      </c>
    </row>
    <row r="357" ht="15.75" customHeight="1">
      <c r="A357" s="14">
        <v>37025.0</v>
      </c>
      <c r="B357" s="15">
        <v>4.29</v>
      </c>
      <c r="C357" s="15"/>
      <c r="D357" s="15">
        <v>5.87</v>
      </c>
      <c r="E357" s="15"/>
      <c r="F357" s="15" t="str">
        <f t="shared" si="1"/>
        <v/>
      </c>
      <c r="G357" s="15">
        <f t="shared" si="2"/>
        <v>5.87</v>
      </c>
      <c r="H357" s="16">
        <v>1.0</v>
      </c>
      <c r="I357" s="15">
        <f t="shared" si="3"/>
        <v>1.58</v>
      </c>
      <c r="J357" s="15">
        <v>24.26</v>
      </c>
      <c r="K357" s="16">
        <f>IF(COUNTIFS(Release_Calendar!$A$2:$A$755,"US_CPI",Release_Calendar!$B$2:$B$755,$A357)&gt;0,1,0)</f>
        <v>0</v>
      </c>
      <c r="L357" s="16">
        <f>IF(COUNTIFS(Release_Calendar!$A$2:$A$755,"US_NFP",Release_Calendar!$B$2:$B$755,$A357)&gt;0,1,0)</f>
        <v>0</v>
      </c>
      <c r="M357" s="16" t="str">
        <f>IF($A357&lt;Notes!$B$5,"",IF(COUNTIFS(Release_Calendar!$A$2:$A$755,"NZ_CPI",Release_Calendar!$B$2:$B$755,$A357)&gt;0,1,0))</f>
        <v/>
      </c>
      <c r="N357" s="16" t="str">
        <f>IF($A357&lt;Notes!$B$5,"",IF(COUNTIFS(Release_Calendar!$A$2:$A$755,"NZ_GDP",Release_Calendar!$B$2:$B$755,$A357)&gt;0,1,0))</f>
        <v/>
      </c>
      <c r="O357" s="16" t="str">
        <f>IF($A357&lt;Notes!$B$5,"",IF(COUNTIFS(Release_Calendar!$A$2:$A$755,"NZ_LABOUR",Release_Calendar!$B$2:$B$755,$A357)&gt;0,1,0))</f>
        <v/>
      </c>
      <c r="P357" s="16">
        <f t="shared" si="4"/>
        <v>0</v>
      </c>
    </row>
    <row r="358" ht="15.75" customHeight="1">
      <c r="A358" s="14">
        <v>37026.0</v>
      </c>
      <c r="B358" s="15">
        <v>4.28</v>
      </c>
      <c r="C358" s="15"/>
      <c r="D358" s="15">
        <v>5.9</v>
      </c>
      <c r="E358" s="15"/>
      <c r="F358" s="15" t="str">
        <f t="shared" si="1"/>
        <v/>
      </c>
      <c r="G358" s="15">
        <f t="shared" si="2"/>
        <v>5.9</v>
      </c>
      <c r="H358" s="16">
        <v>1.0</v>
      </c>
      <c r="I358" s="15">
        <f t="shared" si="3"/>
        <v>1.62</v>
      </c>
      <c r="J358" s="15">
        <v>23.71</v>
      </c>
      <c r="K358" s="16">
        <f>IF(COUNTIFS(Release_Calendar!$A$2:$A$755,"US_CPI",Release_Calendar!$B$2:$B$755,$A358)&gt;0,1,0)</f>
        <v>0</v>
      </c>
      <c r="L358" s="16">
        <f>IF(COUNTIFS(Release_Calendar!$A$2:$A$755,"US_NFP",Release_Calendar!$B$2:$B$755,$A358)&gt;0,1,0)</f>
        <v>0</v>
      </c>
      <c r="M358" s="16" t="str">
        <f>IF($A358&lt;Notes!$B$5,"",IF(COUNTIFS(Release_Calendar!$A$2:$A$755,"NZ_CPI",Release_Calendar!$B$2:$B$755,$A358)&gt;0,1,0))</f>
        <v/>
      </c>
      <c r="N358" s="16" t="str">
        <f>IF($A358&lt;Notes!$B$5,"",IF(COUNTIFS(Release_Calendar!$A$2:$A$755,"NZ_GDP",Release_Calendar!$B$2:$B$755,$A358)&gt;0,1,0))</f>
        <v/>
      </c>
      <c r="O358" s="16" t="str">
        <f>IF($A358&lt;Notes!$B$5,"",IF(COUNTIFS(Release_Calendar!$A$2:$A$755,"NZ_LABOUR",Release_Calendar!$B$2:$B$755,$A358)&gt;0,1,0))</f>
        <v/>
      </c>
      <c r="P358" s="16">
        <f t="shared" si="4"/>
        <v>0</v>
      </c>
    </row>
    <row r="359" ht="15.75" customHeight="1">
      <c r="A359" s="14">
        <v>37027.0</v>
      </c>
      <c r="B359" s="15">
        <v>4.25</v>
      </c>
      <c r="C359" s="15"/>
      <c r="D359" s="15">
        <v>5.87</v>
      </c>
      <c r="E359" s="15"/>
      <c r="F359" s="15" t="str">
        <f t="shared" si="1"/>
        <v/>
      </c>
      <c r="G359" s="15">
        <f t="shared" si="2"/>
        <v>5.87</v>
      </c>
      <c r="H359" s="16">
        <v>1.0</v>
      </c>
      <c r="I359" s="15">
        <f t="shared" si="3"/>
        <v>1.62</v>
      </c>
      <c r="J359" s="15">
        <v>21.89</v>
      </c>
      <c r="K359" s="16">
        <f>IF(COUNTIFS(Release_Calendar!$A$2:$A$755,"US_CPI",Release_Calendar!$B$2:$B$755,$A359)&gt;0,1,0)</f>
        <v>1</v>
      </c>
      <c r="L359" s="16">
        <f>IF(COUNTIFS(Release_Calendar!$A$2:$A$755,"US_NFP",Release_Calendar!$B$2:$B$755,$A359)&gt;0,1,0)</f>
        <v>0</v>
      </c>
      <c r="M359" s="16" t="str">
        <f>IF($A359&lt;Notes!$B$5,"",IF(COUNTIFS(Release_Calendar!$A$2:$A$755,"NZ_CPI",Release_Calendar!$B$2:$B$755,$A359)&gt;0,1,0))</f>
        <v/>
      </c>
      <c r="N359" s="16" t="str">
        <f>IF($A359&lt;Notes!$B$5,"",IF(COUNTIFS(Release_Calendar!$A$2:$A$755,"NZ_GDP",Release_Calendar!$B$2:$B$755,$A359)&gt;0,1,0))</f>
        <v/>
      </c>
      <c r="O359" s="16" t="str">
        <f>IF($A359&lt;Notes!$B$5,"",IF(COUNTIFS(Release_Calendar!$A$2:$A$755,"NZ_LABOUR",Release_Calendar!$B$2:$B$755,$A359)&gt;0,1,0))</f>
        <v/>
      </c>
      <c r="P359" s="16">
        <f t="shared" si="4"/>
        <v>1</v>
      </c>
    </row>
    <row r="360" ht="15.75" customHeight="1">
      <c r="A360" s="14">
        <v>37028.0</v>
      </c>
      <c r="B360" s="15">
        <v>4.33</v>
      </c>
      <c r="C360" s="15"/>
      <c r="D360" s="15">
        <v>5.93</v>
      </c>
      <c r="E360" s="15"/>
      <c r="F360" s="15" t="str">
        <f t="shared" si="1"/>
        <v/>
      </c>
      <c r="G360" s="15">
        <f t="shared" si="2"/>
        <v>5.93</v>
      </c>
      <c r="H360" s="16">
        <v>1.0</v>
      </c>
      <c r="I360" s="15">
        <f t="shared" si="3"/>
        <v>1.6</v>
      </c>
      <c r="J360" s="15">
        <v>21.47</v>
      </c>
      <c r="K360" s="16">
        <f>IF(COUNTIFS(Release_Calendar!$A$2:$A$755,"US_CPI",Release_Calendar!$B$2:$B$755,$A360)&gt;0,1,0)</f>
        <v>0</v>
      </c>
      <c r="L360" s="16">
        <f>IF(COUNTIFS(Release_Calendar!$A$2:$A$755,"US_NFP",Release_Calendar!$B$2:$B$755,$A360)&gt;0,1,0)</f>
        <v>0</v>
      </c>
      <c r="M360" s="16" t="str">
        <f>IF($A360&lt;Notes!$B$5,"",IF(COUNTIFS(Release_Calendar!$A$2:$A$755,"NZ_CPI",Release_Calendar!$B$2:$B$755,$A360)&gt;0,1,0))</f>
        <v/>
      </c>
      <c r="N360" s="16" t="str">
        <f>IF($A360&lt;Notes!$B$5,"",IF(COUNTIFS(Release_Calendar!$A$2:$A$755,"NZ_GDP",Release_Calendar!$B$2:$B$755,$A360)&gt;0,1,0))</f>
        <v/>
      </c>
      <c r="O360" s="16" t="str">
        <f>IF($A360&lt;Notes!$B$5,"",IF(COUNTIFS(Release_Calendar!$A$2:$A$755,"NZ_LABOUR",Release_Calendar!$B$2:$B$755,$A360)&gt;0,1,0))</f>
        <v/>
      </c>
      <c r="P360" s="16">
        <f t="shared" si="4"/>
        <v>0</v>
      </c>
    </row>
    <row r="361" ht="15.75" customHeight="1">
      <c r="A361" s="14">
        <v>37029.0</v>
      </c>
      <c r="B361" s="15">
        <v>4.37</v>
      </c>
      <c r="C361" s="15"/>
      <c r="D361" s="15">
        <v>6.03</v>
      </c>
      <c r="E361" s="15"/>
      <c r="F361" s="15" t="str">
        <f t="shared" si="1"/>
        <v/>
      </c>
      <c r="G361" s="15">
        <f t="shared" si="2"/>
        <v>6.03</v>
      </c>
      <c r="H361" s="16">
        <v>1.0</v>
      </c>
      <c r="I361" s="15">
        <f t="shared" si="3"/>
        <v>1.66</v>
      </c>
      <c r="J361" s="15">
        <v>21.23</v>
      </c>
      <c r="K361" s="16">
        <f>IF(COUNTIFS(Release_Calendar!$A$2:$A$755,"US_CPI",Release_Calendar!$B$2:$B$755,$A361)&gt;0,1,0)</f>
        <v>0</v>
      </c>
      <c r="L361" s="16">
        <f>IF(COUNTIFS(Release_Calendar!$A$2:$A$755,"US_NFP",Release_Calendar!$B$2:$B$755,$A361)&gt;0,1,0)</f>
        <v>0</v>
      </c>
      <c r="M361" s="16" t="str">
        <f>IF($A361&lt;Notes!$B$5,"",IF(COUNTIFS(Release_Calendar!$A$2:$A$755,"NZ_CPI",Release_Calendar!$B$2:$B$755,$A361)&gt;0,1,0))</f>
        <v/>
      </c>
      <c r="N361" s="16" t="str">
        <f>IF($A361&lt;Notes!$B$5,"",IF(COUNTIFS(Release_Calendar!$A$2:$A$755,"NZ_GDP",Release_Calendar!$B$2:$B$755,$A361)&gt;0,1,0))</f>
        <v/>
      </c>
      <c r="O361" s="16" t="str">
        <f>IF($A361&lt;Notes!$B$5,"",IF(COUNTIFS(Release_Calendar!$A$2:$A$755,"NZ_LABOUR",Release_Calendar!$B$2:$B$755,$A361)&gt;0,1,0))</f>
        <v/>
      </c>
      <c r="P361" s="16">
        <f t="shared" si="4"/>
        <v>0</v>
      </c>
    </row>
    <row r="362" ht="15.75" customHeight="1">
      <c r="A362" s="14">
        <v>37032.0</v>
      </c>
      <c r="B362" s="15">
        <v>4.37</v>
      </c>
      <c r="C362" s="15"/>
      <c r="D362" s="15">
        <v>6.05</v>
      </c>
      <c r="E362" s="15"/>
      <c r="F362" s="15" t="str">
        <f t="shared" si="1"/>
        <v/>
      </c>
      <c r="G362" s="15">
        <f t="shared" si="2"/>
        <v>6.05</v>
      </c>
      <c r="H362" s="16">
        <v>1.0</v>
      </c>
      <c r="I362" s="15">
        <f t="shared" si="3"/>
        <v>1.68</v>
      </c>
      <c r="J362" s="15">
        <v>20.76</v>
      </c>
      <c r="K362" s="16">
        <f>IF(COUNTIFS(Release_Calendar!$A$2:$A$755,"US_CPI",Release_Calendar!$B$2:$B$755,$A362)&gt;0,1,0)</f>
        <v>0</v>
      </c>
      <c r="L362" s="16">
        <f>IF(COUNTIFS(Release_Calendar!$A$2:$A$755,"US_NFP",Release_Calendar!$B$2:$B$755,$A362)&gt;0,1,0)</f>
        <v>0</v>
      </c>
      <c r="M362" s="16" t="str">
        <f>IF($A362&lt;Notes!$B$5,"",IF(COUNTIFS(Release_Calendar!$A$2:$A$755,"NZ_CPI",Release_Calendar!$B$2:$B$755,$A362)&gt;0,1,0))</f>
        <v/>
      </c>
      <c r="N362" s="16" t="str">
        <f>IF($A362&lt;Notes!$B$5,"",IF(COUNTIFS(Release_Calendar!$A$2:$A$755,"NZ_GDP",Release_Calendar!$B$2:$B$755,$A362)&gt;0,1,0))</f>
        <v/>
      </c>
      <c r="O362" s="16" t="str">
        <f>IF($A362&lt;Notes!$B$5,"",IF(COUNTIFS(Release_Calendar!$A$2:$A$755,"NZ_LABOUR",Release_Calendar!$B$2:$B$755,$A362)&gt;0,1,0))</f>
        <v/>
      </c>
      <c r="P362" s="16">
        <f t="shared" si="4"/>
        <v>0</v>
      </c>
    </row>
    <row r="363" ht="15.75" customHeight="1">
      <c r="A363" s="14">
        <v>37033.0</v>
      </c>
      <c r="B363" s="15">
        <v>4.34</v>
      </c>
      <c r="C363" s="15"/>
      <c r="D363" s="15">
        <v>6.1</v>
      </c>
      <c r="E363" s="15"/>
      <c r="F363" s="15" t="str">
        <f t="shared" si="1"/>
        <v/>
      </c>
      <c r="G363" s="15">
        <f t="shared" si="2"/>
        <v>6.1</v>
      </c>
      <c r="H363" s="16">
        <v>1.0</v>
      </c>
      <c r="I363" s="15">
        <f t="shared" si="3"/>
        <v>1.76</v>
      </c>
      <c r="J363" s="15">
        <v>21.35</v>
      </c>
      <c r="K363" s="16">
        <f>IF(COUNTIFS(Release_Calendar!$A$2:$A$755,"US_CPI",Release_Calendar!$B$2:$B$755,$A363)&gt;0,1,0)</f>
        <v>0</v>
      </c>
      <c r="L363" s="16">
        <f>IF(COUNTIFS(Release_Calendar!$A$2:$A$755,"US_NFP",Release_Calendar!$B$2:$B$755,$A363)&gt;0,1,0)</f>
        <v>0</v>
      </c>
      <c r="M363" s="16" t="str">
        <f>IF($A363&lt;Notes!$B$5,"",IF(COUNTIFS(Release_Calendar!$A$2:$A$755,"NZ_CPI",Release_Calendar!$B$2:$B$755,$A363)&gt;0,1,0))</f>
        <v/>
      </c>
      <c r="N363" s="16" t="str">
        <f>IF($A363&lt;Notes!$B$5,"",IF(COUNTIFS(Release_Calendar!$A$2:$A$755,"NZ_GDP",Release_Calendar!$B$2:$B$755,$A363)&gt;0,1,0))</f>
        <v/>
      </c>
      <c r="O363" s="16" t="str">
        <f>IF($A363&lt;Notes!$B$5,"",IF(COUNTIFS(Release_Calendar!$A$2:$A$755,"NZ_LABOUR",Release_Calendar!$B$2:$B$755,$A363)&gt;0,1,0))</f>
        <v/>
      </c>
      <c r="P363" s="16">
        <f t="shared" si="4"/>
        <v>0</v>
      </c>
    </row>
    <row r="364" ht="15.75" customHeight="1">
      <c r="A364" s="14">
        <v>37034.0</v>
      </c>
      <c r="B364" s="15">
        <v>4.29</v>
      </c>
      <c r="C364" s="15"/>
      <c r="D364" s="15">
        <v>6.05</v>
      </c>
      <c r="E364" s="15"/>
      <c r="F364" s="15" t="str">
        <f t="shared" si="1"/>
        <v/>
      </c>
      <c r="G364" s="15">
        <f t="shared" si="2"/>
        <v>6.05</v>
      </c>
      <c r="H364" s="16">
        <v>1.0</v>
      </c>
      <c r="I364" s="15">
        <f t="shared" si="3"/>
        <v>1.76</v>
      </c>
      <c r="J364" s="15">
        <v>22.08</v>
      </c>
      <c r="K364" s="16">
        <f>IF(COUNTIFS(Release_Calendar!$A$2:$A$755,"US_CPI",Release_Calendar!$B$2:$B$755,$A364)&gt;0,1,0)</f>
        <v>0</v>
      </c>
      <c r="L364" s="16">
        <f>IF(COUNTIFS(Release_Calendar!$A$2:$A$755,"US_NFP",Release_Calendar!$B$2:$B$755,$A364)&gt;0,1,0)</f>
        <v>0</v>
      </c>
      <c r="M364" s="16" t="str">
        <f>IF($A364&lt;Notes!$B$5,"",IF(COUNTIFS(Release_Calendar!$A$2:$A$755,"NZ_CPI",Release_Calendar!$B$2:$B$755,$A364)&gt;0,1,0))</f>
        <v/>
      </c>
      <c r="N364" s="16" t="str">
        <f>IF($A364&lt;Notes!$B$5,"",IF(COUNTIFS(Release_Calendar!$A$2:$A$755,"NZ_GDP",Release_Calendar!$B$2:$B$755,$A364)&gt;0,1,0))</f>
        <v/>
      </c>
      <c r="O364" s="16" t="str">
        <f>IF($A364&lt;Notes!$B$5,"",IF(COUNTIFS(Release_Calendar!$A$2:$A$755,"NZ_LABOUR",Release_Calendar!$B$2:$B$755,$A364)&gt;0,1,0))</f>
        <v/>
      </c>
      <c r="P364" s="16">
        <f t="shared" si="4"/>
        <v>0</v>
      </c>
    </row>
    <row r="365" ht="15.75" customHeight="1">
      <c r="A365" s="14">
        <v>37035.0</v>
      </c>
      <c r="B365" s="15">
        <v>4.32</v>
      </c>
      <c r="C365" s="15"/>
      <c r="D365" s="15">
        <v>5.99</v>
      </c>
      <c r="E365" s="15"/>
      <c r="F365" s="15" t="str">
        <f t="shared" si="1"/>
        <v/>
      </c>
      <c r="G365" s="15">
        <f t="shared" si="2"/>
        <v>5.99</v>
      </c>
      <c r="H365" s="16">
        <v>1.0</v>
      </c>
      <c r="I365" s="15">
        <f t="shared" si="3"/>
        <v>1.67</v>
      </c>
      <c r="J365" s="15">
        <v>20.57</v>
      </c>
      <c r="K365" s="16">
        <f>IF(COUNTIFS(Release_Calendar!$A$2:$A$755,"US_CPI",Release_Calendar!$B$2:$B$755,$A365)&gt;0,1,0)</f>
        <v>0</v>
      </c>
      <c r="L365" s="16">
        <f>IF(COUNTIFS(Release_Calendar!$A$2:$A$755,"US_NFP",Release_Calendar!$B$2:$B$755,$A365)&gt;0,1,0)</f>
        <v>0</v>
      </c>
      <c r="M365" s="16" t="str">
        <f>IF($A365&lt;Notes!$B$5,"",IF(COUNTIFS(Release_Calendar!$A$2:$A$755,"NZ_CPI",Release_Calendar!$B$2:$B$755,$A365)&gt;0,1,0))</f>
        <v/>
      </c>
      <c r="N365" s="16" t="str">
        <f>IF($A365&lt;Notes!$B$5,"",IF(COUNTIFS(Release_Calendar!$A$2:$A$755,"NZ_GDP",Release_Calendar!$B$2:$B$755,$A365)&gt;0,1,0))</f>
        <v/>
      </c>
      <c r="O365" s="16" t="str">
        <f>IF($A365&lt;Notes!$B$5,"",IF(COUNTIFS(Release_Calendar!$A$2:$A$755,"NZ_LABOUR",Release_Calendar!$B$2:$B$755,$A365)&gt;0,1,0))</f>
        <v/>
      </c>
      <c r="P365" s="16">
        <f t="shared" si="4"/>
        <v>0</v>
      </c>
    </row>
    <row r="366" ht="15.75" customHeight="1">
      <c r="A366" s="14">
        <v>37036.0</v>
      </c>
      <c r="B366" s="15">
        <v>4.31</v>
      </c>
      <c r="C366" s="15"/>
      <c r="D366" s="15">
        <v>6.1</v>
      </c>
      <c r="E366" s="15"/>
      <c r="F366" s="15" t="str">
        <f t="shared" si="1"/>
        <v/>
      </c>
      <c r="G366" s="15">
        <f t="shared" si="2"/>
        <v>6.1</v>
      </c>
      <c r="H366" s="16">
        <v>1.0</v>
      </c>
      <c r="I366" s="15">
        <f t="shared" si="3"/>
        <v>1.79</v>
      </c>
      <c r="J366" s="15">
        <v>20.6</v>
      </c>
      <c r="K366" s="16">
        <f>IF(COUNTIFS(Release_Calendar!$A$2:$A$755,"US_CPI",Release_Calendar!$B$2:$B$755,$A366)&gt;0,1,0)</f>
        <v>0</v>
      </c>
      <c r="L366" s="16">
        <f>IF(COUNTIFS(Release_Calendar!$A$2:$A$755,"US_NFP",Release_Calendar!$B$2:$B$755,$A366)&gt;0,1,0)</f>
        <v>0</v>
      </c>
      <c r="M366" s="16" t="str">
        <f>IF($A366&lt;Notes!$B$5,"",IF(COUNTIFS(Release_Calendar!$A$2:$A$755,"NZ_CPI",Release_Calendar!$B$2:$B$755,$A366)&gt;0,1,0))</f>
        <v/>
      </c>
      <c r="N366" s="16" t="str">
        <f>IF($A366&lt;Notes!$B$5,"",IF(COUNTIFS(Release_Calendar!$A$2:$A$755,"NZ_GDP",Release_Calendar!$B$2:$B$755,$A366)&gt;0,1,0))</f>
        <v/>
      </c>
      <c r="O366" s="16" t="str">
        <f>IF($A366&lt;Notes!$B$5,"",IF(COUNTIFS(Release_Calendar!$A$2:$A$755,"NZ_LABOUR",Release_Calendar!$B$2:$B$755,$A366)&gt;0,1,0))</f>
        <v/>
      </c>
      <c r="P366" s="16">
        <f t="shared" si="4"/>
        <v>0</v>
      </c>
    </row>
    <row r="367" ht="15.75" customHeight="1">
      <c r="A367" s="14">
        <v>37039.0</v>
      </c>
      <c r="B367" s="15"/>
      <c r="C367" s="15"/>
      <c r="D367" s="15">
        <v>6.05</v>
      </c>
      <c r="E367" s="15"/>
      <c r="F367" s="15" t="str">
        <f t="shared" si="1"/>
        <v/>
      </c>
      <c r="G367" s="15">
        <f t="shared" si="2"/>
        <v>6.05</v>
      </c>
      <c r="H367" s="16">
        <v>1.0</v>
      </c>
      <c r="I367" s="15" t="str">
        <f t="shared" si="3"/>
        <v/>
      </c>
      <c r="J367" s="15"/>
      <c r="K367" s="16">
        <f>IF(COUNTIFS(Release_Calendar!$A$2:$A$755,"US_CPI",Release_Calendar!$B$2:$B$755,$A367)&gt;0,1,0)</f>
        <v>0</v>
      </c>
      <c r="L367" s="16">
        <f>IF(COUNTIFS(Release_Calendar!$A$2:$A$755,"US_NFP",Release_Calendar!$B$2:$B$755,$A367)&gt;0,1,0)</f>
        <v>0</v>
      </c>
      <c r="M367" s="16" t="str">
        <f>IF($A367&lt;Notes!$B$5,"",IF(COUNTIFS(Release_Calendar!$A$2:$A$755,"NZ_CPI",Release_Calendar!$B$2:$B$755,$A367)&gt;0,1,0))</f>
        <v/>
      </c>
      <c r="N367" s="16" t="str">
        <f>IF($A367&lt;Notes!$B$5,"",IF(COUNTIFS(Release_Calendar!$A$2:$A$755,"NZ_GDP",Release_Calendar!$B$2:$B$755,$A367)&gt;0,1,0))</f>
        <v/>
      </c>
      <c r="O367" s="16" t="str">
        <f>IF($A367&lt;Notes!$B$5,"",IF(COUNTIFS(Release_Calendar!$A$2:$A$755,"NZ_LABOUR",Release_Calendar!$B$2:$B$755,$A367)&gt;0,1,0))</f>
        <v/>
      </c>
      <c r="P367" s="16">
        <f t="shared" si="4"/>
        <v>0</v>
      </c>
    </row>
    <row r="368" ht="15.75" customHeight="1">
      <c r="A368" s="14">
        <v>37040.0</v>
      </c>
      <c r="B368" s="15">
        <v>4.33</v>
      </c>
      <c r="C368" s="15"/>
      <c r="D368" s="15">
        <v>6.05</v>
      </c>
      <c r="E368" s="15"/>
      <c r="F368" s="15" t="str">
        <f t="shared" si="1"/>
        <v/>
      </c>
      <c r="G368" s="15">
        <f t="shared" si="2"/>
        <v>6.05</v>
      </c>
      <c r="H368" s="16">
        <v>1.0</v>
      </c>
      <c r="I368" s="15">
        <f t="shared" si="3"/>
        <v>1.72</v>
      </c>
      <c r="J368" s="15">
        <v>22.14</v>
      </c>
      <c r="K368" s="16">
        <f>IF(COUNTIFS(Release_Calendar!$A$2:$A$755,"US_CPI",Release_Calendar!$B$2:$B$755,$A368)&gt;0,1,0)</f>
        <v>0</v>
      </c>
      <c r="L368" s="16">
        <f>IF(COUNTIFS(Release_Calendar!$A$2:$A$755,"US_NFP",Release_Calendar!$B$2:$B$755,$A368)&gt;0,1,0)</f>
        <v>0</v>
      </c>
      <c r="M368" s="16" t="str">
        <f>IF($A368&lt;Notes!$B$5,"",IF(COUNTIFS(Release_Calendar!$A$2:$A$755,"NZ_CPI",Release_Calendar!$B$2:$B$755,$A368)&gt;0,1,0))</f>
        <v/>
      </c>
      <c r="N368" s="16" t="str">
        <f>IF($A368&lt;Notes!$B$5,"",IF(COUNTIFS(Release_Calendar!$A$2:$A$755,"NZ_GDP",Release_Calendar!$B$2:$B$755,$A368)&gt;0,1,0))</f>
        <v/>
      </c>
      <c r="O368" s="16" t="str">
        <f>IF($A368&lt;Notes!$B$5,"",IF(COUNTIFS(Release_Calendar!$A$2:$A$755,"NZ_LABOUR",Release_Calendar!$B$2:$B$755,$A368)&gt;0,1,0))</f>
        <v/>
      </c>
      <c r="P368" s="16">
        <f t="shared" si="4"/>
        <v>0</v>
      </c>
    </row>
    <row r="369" ht="15.75" customHeight="1">
      <c r="A369" s="14">
        <v>37041.0</v>
      </c>
      <c r="B369" s="15">
        <v>4.34</v>
      </c>
      <c r="C369" s="15"/>
      <c r="D369" s="15">
        <v>6.08</v>
      </c>
      <c r="E369" s="15"/>
      <c r="F369" s="15" t="str">
        <f t="shared" si="1"/>
        <v/>
      </c>
      <c r="G369" s="15">
        <f t="shared" si="2"/>
        <v>6.08</v>
      </c>
      <c r="H369" s="16">
        <v>1.0</v>
      </c>
      <c r="I369" s="15">
        <f t="shared" si="3"/>
        <v>1.74</v>
      </c>
      <c r="J369" s="15">
        <v>22.76</v>
      </c>
      <c r="K369" s="16">
        <f>IF(COUNTIFS(Release_Calendar!$A$2:$A$755,"US_CPI",Release_Calendar!$B$2:$B$755,$A369)&gt;0,1,0)</f>
        <v>0</v>
      </c>
      <c r="L369" s="16">
        <f>IF(COUNTIFS(Release_Calendar!$A$2:$A$755,"US_NFP",Release_Calendar!$B$2:$B$755,$A369)&gt;0,1,0)</f>
        <v>0</v>
      </c>
      <c r="M369" s="16" t="str">
        <f>IF($A369&lt;Notes!$B$5,"",IF(COUNTIFS(Release_Calendar!$A$2:$A$755,"NZ_CPI",Release_Calendar!$B$2:$B$755,$A369)&gt;0,1,0))</f>
        <v/>
      </c>
      <c r="N369" s="16" t="str">
        <f>IF($A369&lt;Notes!$B$5,"",IF(COUNTIFS(Release_Calendar!$A$2:$A$755,"NZ_GDP",Release_Calendar!$B$2:$B$755,$A369)&gt;0,1,0))</f>
        <v/>
      </c>
      <c r="O369" s="16" t="str">
        <f>IF($A369&lt;Notes!$B$5,"",IF(COUNTIFS(Release_Calendar!$A$2:$A$755,"NZ_LABOUR",Release_Calendar!$B$2:$B$755,$A369)&gt;0,1,0))</f>
        <v/>
      </c>
      <c r="P369" s="16">
        <f t="shared" si="4"/>
        <v>0</v>
      </c>
    </row>
    <row r="370" ht="15.75" customHeight="1">
      <c r="A370" s="14">
        <v>37042.0</v>
      </c>
      <c r="B370" s="15">
        <v>4.22</v>
      </c>
      <c r="C370" s="15"/>
      <c r="D370" s="15">
        <v>6.08</v>
      </c>
      <c r="E370" s="15"/>
      <c r="F370" s="15" t="str">
        <f t="shared" si="1"/>
        <v/>
      </c>
      <c r="G370" s="15">
        <f t="shared" si="2"/>
        <v>6.08</v>
      </c>
      <c r="H370" s="16">
        <v>1.0</v>
      </c>
      <c r="I370" s="15">
        <f t="shared" si="3"/>
        <v>1.86</v>
      </c>
      <c r="J370" s="15">
        <v>22.64</v>
      </c>
      <c r="K370" s="16">
        <f>IF(COUNTIFS(Release_Calendar!$A$2:$A$755,"US_CPI",Release_Calendar!$B$2:$B$755,$A370)&gt;0,1,0)</f>
        <v>0</v>
      </c>
      <c r="L370" s="16">
        <f>IF(COUNTIFS(Release_Calendar!$A$2:$A$755,"US_NFP",Release_Calendar!$B$2:$B$755,$A370)&gt;0,1,0)</f>
        <v>0</v>
      </c>
      <c r="M370" s="16" t="str">
        <f>IF($A370&lt;Notes!$B$5,"",IF(COUNTIFS(Release_Calendar!$A$2:$A$755,"NZ_CPI",Release_Calendar!$B$2:$B$755,$A370)&gt;0,1,0))</f>
        <v/>
      </c>
      <c r="N370" s="16" t="str">
        <f>IF($A370&lt;Notes!$B$5,"",IF(COUNTIFS(Release_Calendar!$A$2:$A$755,"NZ_GDP",Release_Calendar!$B$2:$B$755,$A370)&gt;0,1,0))</f>
        <v/>
      </c>
      <c r="O370" s="16" t="str">
        <f>IF($A370&lt;Notes!$B$5,"",IF(COUNTIFS(Release_Calendar!$A$2:$A$755,"NZ_LABOUR",Release_Calendar!$B$2:$B$755,$A370)&gt;0,1,0))</f>
        <v/>
      </c>
      <c r="P370" s="16">
        <f t="shared" si="4"/>
        <v>0</v>
      </c>
    </row>
    <row r="371" ht="15.75" customHeight="1">
      <c r="A371" s="14">
        <v>37043.0</v>
      </c>
      <c r="B371" s="15">
        <v>4.22</v>
      </c>
      <c r="C371" s="15"/>
      <c r="D371" s="15">
        <v>6.04</v>
      </c>
      <c r="E371" s="15"/>
      <c r="F371" s="15" t="str">
        <f t="shared" si="1"/>
        <v/>
      </c>
      <c r="G371" s="15">
        <f t="shared" si="2"/>
        <v>6.04</v>
      </c>
      <c r="H371" s="16">
        <v>1.0</v>
      </c>
      <c r="I371" s="15">
        <f t="shared" si="3"/>
        <v>1.82</v>
      </c>
      <c r="J371" s="15">
        <v>21.59</v>
      </c>
      <c r="K371" s="16">
        <f>IF(COUNTIFS(Release_Calendar!$A$2:$A$755,"US_CPI",Release_Calendar!$B$2:$B$755,$A371)&gt;0,1,0)</f>
        <v>0</v>
      </c>
      <c r="L371" s="16">
        <f>IF(COUNTIFS(Release_Calendar!$A$2:$A$755,"US_NFP",Release_Calendar!$B$2:$B$755,$A371)&gt;0,1,0)</f>
        <v>1</v>
      </c>
      <c r="M371" s="16" t="str">
        <f>IF($A371&lt;Notes!$B$5,"",IF(COUNTIFS(Release_Calendar!$A$2:$A$755,"NZ_CPI",Release_Calendar!$B$2:$B$755,$A371)&gt;0,1,0))</f>
        <v/>
      </c>
      <c r="N371" s="16" t="str">
        <f>IF($A371&lt;Notes!$B$5,"",IF(COUNTIFS(Release_Calendar!$A$2:$A$755,"NZ_GDP",Release_Calendar!$B$2:$B$755,$A371)&gt;0,1,0))</f>
        <v/>
      </c>
      <c r="O371" s="16" t="str">
        <f>IF($A371&lt;Notes!$B$5,"",IF(COUNTIFS(Release_Calendar!$A$2:$A$755,"NZ_LABOUR",Release_Calendar!$B$2:$B$755,$A371)&gt;0,1,0))</f>
        <v/>
      </c>
      <c r="P371" s="16">
        <f t="shared" si="4"/>
        <v>1</v>
      </c>
    </row>
    <row r="372" ht="15.75" customHeight="1">
      <c r="A372" s="14">
        <v>37046.0</v>
      </c>
      <c r="B372" s="15">
        <v>4.19</v>
      </c>
      <c r="C372" s="15"/>
      <c r="D372" s="15"/>
      <c r="E372" s="15"/>
      <c r="F372" s="15" t="str">
        <f t="shared" si="1"/>
        <v/>
      </c>
      <c r="G372" s="15" t="str">
        <f t="shared" si="2"/>
        <v/>
      </c>
      <c r="H372" s="16">
        <v>1.0</v>
      </c>
      <c r="I372" s="15" t="str">
        <f t="shared" si="3"/>
        <v/>
      </c>
      <c r="J372" s="15">
        <v>21.38</v>
      </c>
      <c r="K372" s="16">
        <f>IF(COUNTIFS(Release_Calendar!$A$2:$A$755,"US_CPI",Release_Calendar!$B$2:$B$755,$A372)&gt;0,1,0)</f>
        <v>0</v>
      </c>
      <c r="L372" s="16">
        <f>IF(COUNTIFS(Release_Calendar!$A$2:$A$755,"US_NFP",Release_Calendar!$B$2:$B$755,$A372)&gt;0,1,0)</f>
        <v>0</v>
      </c>
      <c r="M372" s="16" t="str">
        <f>IF($A372&lt;Notes!$B$5,"",IF(COUNTIFS(Release_Calendar!$A$2:$A$755,"NZ_CPI",Release_Calendar!$B$2:$B$755,$A372)&gt;0,1,0))</f>
        <v/>
      </c>
      <c r="N372" s="16" t="str">
        <f>IF($A372&lt;Notes!$B$5,"",IF(COUNTIFS(Release_Calendar!$A$2:$A$755,"NZ_GDP",Release_Calendar!$B$2:$B$755,$A372)&gt;0,1,0))</f>
        <v/>
      </c>
      <c r="O372" s="16" t="str">
        <f>IF($A372&lt;Notes!$B$5,"",IF(COUNTIFS(Release_Calendar!$A$2:$A$755,"NZ_LABOUR",Release_Calendar!$B$2:$B$755,$A372)&gt;0,1,0))</f>
        <v/>
      </c>
      <c r="P372" s="16">
        <f t="shared" si="4"/>
        <v>0</v>
      </c>
    </row>
    <row r="373" ht="15.75" customHeight="1">
      <c r="A373" s="14">
        <v>37047.0</v>
      </c>
      <c r="B373" s="15">
        <v>4.12</v>
      </c>
      <c r="C373" s="15"/>
      <c r="D373" s="15">
        <v>6.03</v>
      </c>
      <c r="E373" s="15"/>
      <c r="F373" s="15" t="str">
        <f t="shared" si="1"/>
        <v/>
      </c>
      <c r="G373" s="15">
        <f t="shared" si="2"/>
        <v>6.03</v>
      </c>
      <c r="H373" s="16">
        <v>1.0</v>
      </c>
      <c r="I373" s="15">
        <f t="shared" si="3"/>
        <v>1.91</v>
      </c>
      <c r="J373" s="15">
        <v>19.58</v>
      </c>
      <c r="K373" s="16">
        <f>IF(COUNTIFS(Release_Calendar!$A$2:$A$755,"US_CPI",Release_Calendar!$B$2:$B$755,$A373)&gt;0,1,0)</f>
        <v>0</v>
      </c>
      <c r="L373" s="16">
        <f>IF(COUNTIFS(Release_Calendar!$A$2:$A$755,"US_NFP",Release_Calendar!$B$2:$B$755,$A373)&gt;0,1,0)</f>
        <v>0</v>
      </c>
      <c r="M373" s="16" t="str">
        <f>IF($A373&lt;Notes!$B$5,"",IF(COUNTIFS(Release_Calendar!$A$2:$A$755,"NZ_CPI",Release_Calendar!$B$2:$B$755,$A373)&gt;0,1,0))</f>
        <v/>
      </c>
      <c r="N373" s="16" t="str">
        <f>IF($A373&lt;Notes!$B$5,"",IF(COUNTIFS(Release_Calendar!$A$2:$A$755,"NZ_GDP",Release_Calendar!$B$2:$B$755,$A373)&gt;0,1,0))</f>
        <v/>
      </c>
      <c r="O373" s="16" t="str">
        <f>IF($A373&lt;Notes!$B$5,"",IF(COUNTIFS(Release_Calendar!$A$2:$A$755,"NZ_LABOUR",Release_Calendar!$B$2:$B$755,$A373)&gt;0,1,0))</f>
        <v/>
      </c>
      <c r="P373" s="16">
        <f t="shared" si="4"/>
        <v>0</v>
      </c>
    </row>
    <row r="374" ht="15.75" customHeight="1">
      <c r="A374" s="14">
        <v>37048.0</v>
      </c>
      <c r="B374" s="15">
        <v>4.12</v>
      </c>
      <c r="C374" s="15"/>
      <c r="D374" s="15">
        <v>6.0</v>
      </c>
      <c r="E374" s="15"/>
      <c r="F374" s="15" t="str">
        <f t="shared" si="1"/>
        <v/>
      </c>
      <c r="G374" s="15">
        <f t="shared" si="2"/>
        <v>6</v>
      </c>
      <c r="H374" s="16">
        <v>1.0</v>
      </c>
      <c r="I374" s="15">
        <f t="shared" si="3"/>
        <v>1.88</v>
      </c>
      <c r="J374" s="15">
        <v>20.39</v>
      </c>
      <c r="K374" s="16">
        <f>IF(COUNTIFS(Release_Calendar!$A$2:$A$755,"US_CPI",Release_Calendar!$B$2:$B$755,$A374)&gt;0,1,0)</f>
        <v>0</v>
      </c>
      <c r="L374" s="16">
        <f>IF(COUNTIFS(Release_Calendar!$A$2:$A$755,"US_NFP",Release_Calendar!$B$2:$B$755,$A374)&gt;0,1,0)</f>
        <v>0</v>
      </c>
      <c r="M374" s="16" t="str">
        <f>IF($A374&lt;Notes!$B$5,"",IF(COUNTIFS(Release_Calendar!$A$2:$A$755,"NZ_CPI",Release_Calendar!$B$2:$B$755,$A374)&gt;0,1,0))</f>
        <v/>
      </c>
      <c r="N374" s="16" t="str">
        <f>IF($A374&lt;Notes!$B$5,"",IF(COUNTIFS(Release_Calendar!$A$2:$A$755,"NZ_GDP",Release_Calendar!$B$2:$B$755,$A374)&gt;0,1,0))</f>
        <v/>
      </c>
      <c r="O374" s="16" t="str">
        <f>IF($A374&lt;Notes!$B$5,"",IF(COUNTIFS(Release_Calendar!$A$2:$A$755,"NZ_LABOUR",Release_Calendar!$B$2:$B$755,$A374)&gt;0,1,0))</f>
        <v/>
      </c>
      <c r="P374" s="16">
        <f t="shared" si="4"/>
        <v>0</v>
      </c>
    </row>
    <row r="375" ht="15.75" customHeight="1">
      <c r="A375" s="14">
        <v>37049.0</v>
      </c>
      <c r="B375" s="15">
        <v>4.14</v>
      </c>
      <c r="C375" s="15"/>
      <c r="D375" s="15">
        <v>6.15</v>
      </c>
      <c r="E375" s="15"/>
      <c r="F375" s="15" t="str">
        <f t="shared" si="1"/>
        <v/>
      </c>
      <c r="G375" s="15">
        <f t="shared" si="2"/>
        <v>6.15</v>
      </c>
      <c r="H375" s="16">
        <v>1.0</v>
      </c>
      <c r="I375" s="15">
        <f t="shared" si="3"/>
        <v>2.01</v>
      </c>
      <c r="J375" s="15">
        <v>19.67</v>
      </c>
      <c r="K375" s="16">
        <f>IF(COUNTIFS(Release_Calendar!$A$2:$A$755,"US_CPI",Release_Calendar!$B$2:$B$755,$A375)&gt;0,1,0)</f>
        <v>0</v>
      </c>
      <c r="L375" s="16">
        <f>IF(COUNTIFS(Release_Calendar!$A$2:$A$755,"US_NFP",Release_Calendar!$B$2:$B$755,$A375)&gt;0,1,0)</f>
        <v>0</v>
      </c>
      <c r="M375" s="16" t="str">
        <f>IF($A375&lt;Notes!$B$5,"",IF(COUNTIFS(Release_Calendar!$A$2:$A$755,"NZ_CPI",Release_Calendar!$B$2:$B$755,$A375)&gt;0,1,0))</f>
        <v/>
      </c>
      <c r="N375" s="16" t="str">
        <f>IF($A375&lt;Notes!$B$5,"",IF(COUNTIFS(Release_Calendar!$A$2:$A$755,"NZ_GDP",Release_Calendar!$B$2:$B$755,$A375)&gt;0,1,0))</f>
        <v/>
      </c>
      <c r="O375" s="16" t="str">
        <f>IF($A375&lt;Notes!$B$5,"",IF(COUNTIFS(Release_Calendar!$A$2:$A$755,"NZ_LABOUR",Release_Calendar!$B$2:$B$755,$A375)&gt;0,1,0))</f>
        <v/>
      </c>
      <c r="P375" s="16">
        <f t="shared" si="4"/>
        <v>0</v>
      </c>
    </row>
    <row r="376" ht="15.75" customHeight="1">
      <c r="A376" s="14">
        <v>37050.0</v>
      </c>
      <c r="B376" s="15">
        <v>4.17</v>
      </c>
      <c r="C376" s="15"/>
      <c r="D376" s="15">
        <v>6.15</v>
      </c>
      <c r="E376" s="15"/>
      <c r="F376" s="15" t="str">
        <f t="shared" si="1"/>
        <v/>
      </c>
      <c r="G376" s="15">
        <f t="shared" si="2"/>
        <v>6.15</v>
      </c>
      <c r="H376" s="16">
        <v>1.0</v>
      </c>
      <c r="I376" s="15">
        <f t="shared" si="3"/>
        <v>1.98</v>
      </c>
      <c r="J376" s="15">
        <v>19.92</v>
      </c>
      <c r="K376" s="16">
        <f>IF(COUNTIFS(Release_Calendar!$A$2:$A$755,"US_CPI",Release_Calendar!$B$2:$B$755,$A376)&gt;0,1,0)</f>
        <v>0</v>
      </c>
      <c r="L376" s="16">
        <f>IF(COUNTIFS(Release_Calendar!$A$2:$A$755,"US_NFP",Release_Calendar!$B$2:$B$755,$A376)&gt;0,1,0)</f>
        <v>0</v>
      </c>
      <c r="M376" s="16" t="str">
        <f>IF($A376&lt;Notes!$B$5,"",IF(COUNTIFS(Release_Calendar!$A$2:$A$755,"NZ_CPI",Release_Calendar!$B$2:$B$755,$A376)&gt;0,1,0))</f>
        <v/>
      </c>
      <c r="N376" s="16" t="str">
        <f>IF($A376&lt;Notes!$B$5,"",IF(COUNTIFS(Release_Calendar!$A$2:$A$755,"NZ_GDP",Release_Calendar!$B$2:$B$755,$A376)&gt;0,1,0))</f>
        <v/>
      </c>
      <c r="O376" s="16" t="str">
        <f>IF($A376&lt;Notes!$B$5,"",IF(COUNTIFS(Release_Calendar!$A$2:$A$755,"NZ_LABOUR",Release_Calendar!$B$2:$B$755,$A376)&gt;0,1,0))</f>
        <v/>
      </c>
      <c r="P376" s="16">
        <f t="shared" si="4"/>
        <v>0</v>
      </c>
    </row>
    <row r="377" ht="15.75" customHeight="1">
      <c r="A377" s="14">
        <v>37053.0</v>
      </c>
      <c r="B377" s="15">
        <v>4.11</v>
      </c>
      <c r="C377" s="15"/>
      <c r="D377" s="15">
        <v>6.17</v>
      </c>
      <c r="E377" s="15"/>
      <c r="F377" s="15" t="str">
        <f t="shared" si="1"/>
        <v/>
      </c>
      <c r="G377" s="15">
        <f t="shared" si="2"/>
        <v>6.17</v>
      </c>
      <c r="H377" s="16">
        <v>1.0</v>
      </c>
      <c r="I377" s="15">
        <f t="shared" si="3"/>
        <v>2.06</v>
      </c>
      <c r="J377" s="15">
        <v>20.7</v>
      </c>
      <c r="K377" s="16">
        <f>IF(COUNTIFS(Release_Calendar!$A$2:$A$755,"US_CPI",Release_Calendar!$B$2:$B$755,$A377)&gt;0,1,0)</f>
        <v>0</v>
      </c>
      <c r="L377" s="16">
        <f>IF(COUNTIFS(Release_Calendar!$A$2:$A$755,"US_NFP",Release_Calendar!$B$2:$B$755,$A377)&gt;0,1,0)</f>
        <v>0</v>
      </c>
      <c r="M377" s="16" t="str">
        <f>IF($A377&lt;Notes!$B$5,"",IF(COUNTIFS(Release_Calendar!$A$2:$A$755,"NZ_CPI",Release_Calendar!$B$2:$B$755,$A377)&gt;0,1,0))</f>
        <v/>
      </c>
      <c r="N377" s="16" t="str">
        <f>IF($A377&lt;Notes!$B$5,"",IF(COUNTIFS(Release_Calendar!$A$2:$A$755,"NZ_GDP",Release_Calendar!$B$2:$B$755,$A377)&gt;0,1,0))</f>
        <v/>
      </c>
      <c r="O377" s="16" t="str">
        <f>IF($A377&lt;Notes!$B$5,"",IF(COUNTIFS(Release_Calendar!$A$2:$A$755,"NZ_LABOUR",Release_Calendar!$B$2:$B$755,$A377)&gt;0,1,0))</f>
        <v/>
      </c>
      <c r="P377" s="16">
        <f t="shared" si="4"/>
        <v>0</v>
      </c>
    </row>
    <row r="378" ht="15.75" customHeight="1">
      <c r="A378" s="14">
        <v>37054.0</v>
      </c>
      <c r="B378" s="15">
        <v>4.09</v>
      </c>
      <c r="C378" s="15"/>
      <c r="D378" s="15">
        <v>6.13</v>
      </c>
      <c r="E378" s="15"/>
      <c r="F378" s="15" t="str">
        <f t="shared" si="1"/>
        <v/>
      </c>
      <c r="G378" s="15">
        <f t="shared" si="2"/>
        <v>6.13</v>
      </c>
      <c r="H378" s="16">
        <v>1.0</v>
      </c>
      <c r="I378" s="15">
        <f t="shared" si="3"/>
        <v>2.04</v>
      </c>
      <c r="J378" s="15">
        <v>20.7</v>
      </c>
      <c r="K378" s="16">
        <f>IF(COUNTIFS(Release_Calendar!$A$2:$A$755,"US_CPI",Release_Calendar!$B$2:$B$755,$A378)&gt;0,1,0)</f>
        <v>0</v>
      </c>
      <c r="L378" s="16">
        <f>IF(COUNTIFS(Release_Calendar!$A$2:$A$755,"US_NFP",Release_Calendar!$B$2:$B$755,$A378)&gt;0,1,0)</f>
        <v>0</v>
      </c>
      <c r="M378" s="16" t="str">
        <f>IF($A378&lt;Notes!$B$5,"",IF(COUNTIFS(Release_Calendar!$A$2:$A$755,"NZ_CPI",Release_Calendar!$B$2:$B$755,$A378)&gt;0,1,0))</f>
        <v/>
      </c>
      <c r="N378" s="16" t="str">
        <f>IF($A378&lt;Notes!$B$5,"",IF(COUNTIFS(Release_Calendar!$A$2:$A$755,"NZ_GDP",Release_Calendar!$B$2:$B$755,$A378)&gt;0,1,0))</f>
        <v/>
      </c>
      <c r="O378" s="16" t="str">
        <f>IF($A378&lt;Notes!$B$5,"",IF(COUNTIFS(Release_Calendar!$A$2:$A$755,"NZ_LABOUR",Release_Calendar!$B$2:$B$755,$A378)&gt;0,1,0))</f>
        <v/>
      </c>
      <c r="P378" s="16">
        <f t="shared" si="4"/>
        <v>0</v>
      </c>
    </row>
    <row r="379" ht="15.75" customHeight="1">
      <c r="A379" s="14">
        <v>37055.0</v>
      </c>
      <c r="B379" s="15">
        <v>4.08</v>
      </c>
      <c r="C379" s="15"/>
      <c r="D379" s="15">
        <v>6.14</v>
      </c>
      <c r="E379" s="15"/>
      <c r="F379" s="15" t="str">
        <f t="shared" si="1"/>
        <v/>
      </c>
      <c r="G379" s="15">
        <f t="shared" si="2"/>
        <v>6.14</v>
      </c>
      <c r="H379" s="16">
        <v>1.0</v>
      </c>
      <c r="I379" s="15">
        <f t="shared" si="3"/>
        <v>2.06</v>
      </c>
      <c r="J379" s="15">
        <v>21.45</v>
      </c>
      <c r="K379" s="16">
        <f>IF(COUNTIFS(Release_Calendar!$A$2:$A$755,"US_CPI",Release_Calendar!$B$2:$B$755,$A379)&gt;0,1,0)</f>
        <v>0</v>
      </c>
      <c r="L379" s="16">
        <f>IF(COUNTIFS(Release_Calendar!$A$2:$A$755,"US_NFP",Release_Calendar!$B$2:$B$755,$A379)&gt;0,1,0)</f>
        <v>0</v>
      </c>
      <c r="M379" s="16" t="str">
        <f>IF($A379&lt;Notes!$B$5,"",IF(COUNTIFS(Release_Calendar!$A$2:$A$755,"NZ_CPI",Release_Calendar!$B$2:$B$755,$A379)&gt;0,1,0))</f>
        <v/>
      </c>
      <c r="N379" s="16" t="str">
        <f>IF($A379&lt;Notes!$B$5,"",IF(COUNTIFS(Release_Calendar!$A$2:$A$755,"NZ_GDP",Release_Calendar!$B$2:$B$755,$A379)&gt;0,1,0))</f>
        <v/>
      </c>
      <c r="O379" s="16" t="str">
        <f>IF($A379&lt;Notes!$B$5,"",IF(COUNTIFS(Release_Calendar!$A$2:$A$755,"NZ_LABOUR",Release_Calendar!$B$2:$B$755,$A379)&gt;0,1,0))</f>
        <v/>
      </c>
      <c r="P379" s="16">
        <f t="shared" si="4"/>
        <v>0</v>
      </c>
    </row>
    <row r="380" ht="15.75" customHeight="1">
      <c r="A380" s="14">
        <v>37056.0</v>
      </c>
      <c r="B380" s="15">
        <v>4.04</v>
      </c>
      <c r="C380" s="15"/>
      <c r="D380" s="15">
        <v>6.1</v>
      </c>
      <c r="E380" s="15"/>
      <c r="F380" s="15" t="str">
        <f t="shared" si="1"/>
        <v/>
      </c>
      <c r="G380" s="15">
        <f t="shared" si="2"/>
        <v>6.1</v>
      </c>
      <c r="H380" s="16">
        <v>1.0</v>
      </c>
      <c r="I380" s="15">
        <f t="shared" si="3"/>
        <v>2.06</v>
      </c>
      <c r="J380" s="15">
        <v>23.12</v>
      </c>
      <c r="K380" s="16">
        <f>IF(COUNTIFS(Release_Calendar!$A$2:$A$755,"US_CPI",Release_Calendar!$B$2:$B$755,$A380)&gt;0,1,0)</f>
        <v>0</v>
      </c>
      <c r="L380" s="16">
        <f>IF(COUNTIFS(Release_Calendar!$A$2:$A$755,"US_NFP",Release_Calendar!$B$2:$B$755,$A380)&gt;0,1,0)</f>
        <v>0</v>
      </c>
      <c r="M380" s="16" t="str">
        <f>IF($A380&lt;Notes!$B$5,"",IF(COUNTIFS(Release_Calendar!$A$2:$A$755,"NZ_CPI",Release_Calendar!$B$2:$B$755,$A380)&gt;0,1,0))</f>
        <v/>
      </c>
      <c r="N380" s="16" t="str">
        <f>IF($A380&lt;Notes!$B$5,"",IF(COUNTIFS(Release_Calendar!$A$2:$A$755,"NZ_GDP",Release_Calendar!$B$2:$B$755,$A380)&gt;0,1,0))</f>
        <v/>
      </c>
      <c r="O380" s="16" t="str">
        <f>IF($A380&lt;Notes!$B$5,"",IF(COUNTIFS(Release_Calendar!$A$2:$A$755,"NZ_LABOUR",Release_Calendar!$B$2:$B$755,$A380)&gt;0,1,0))</f>
        <v/>
      </c>
      <c r="P380" s="16">
        <f t="shared" si="4"/>
        <v>0</v>
      </c>
    </row>
    <row r="381" ht="15.75" customHeight="1">
      <c r="A381" s="14">
        <v>37057.0</v>
      </c>
      <c r="B381" s="15">
        <v>4.01</v>
      </c>
      <c r="C381" s="15"/>
      <c r="D381" s="15">
        <v>6.06</v>
      </c>
      <c r="E381" s="15"/>
      <c r="F381" s="15" t="str">
        <f t="shared" si="1"/>
        <v/>
      </c>
      <c r="G381" s="15">
        <f t="shared" si="2"/>
        <v>6.06</v>
      </c>
      <c r="H381" s="16">
        <v>1.0</v>
      </c>
      <c r="I381" s="15">
        <f t="shared" si="3"/>
        <v>2.05</v>
      </c>
      <c r="J381" s="15">
        <v>22.81</v>
      </c>
      <c r="K381" s="16">
        <f>IF(COUNTIFS(Release_Calendar!$A$2:$A$755,"US_CPI",Release_Calendar!$B$2:$B$755,$A381)&gt;0,1,0)</f>
        <v>1</v>
      </c>
      <c r="L381" s="16">
        <f>IF(COUNTIFS(Release_Calendar!$A$2:$A$755,"US_NFP",Release_Calendar!$B$2:$B$755,$A381)&gt;0,1,0)</f>
        <v>0</v>
      </c>
      <c r="M381" s="16" t="str">
        <f>IF($A381&lt;Notes!$B$5,"",IF(COUNTIFS(Release_Calendar!$A$2:$A$755,"NZ_CPI",Release_Calendar!$B$2:$B$755,$A381)&gt;0,1,0))</f>
        <v/>
      </c>
      <c r="N381" s="16" t="str">
        <f>IF($A381&lt;Notes!$B$5,"",IF(COUNTIFS(Release_Calendar!$A$2:$A$755,"NZ_GDP",Release_Calendar!$B$2:$B$755,$A381)&gt;0,1,0))</f>
        <v/>
      </c>
      <c r="O381" s="16" t="str">
        <f>IF($A381&lt;Notes!$B$5,"",IF(COUNTIFS(Release_Calendar!$A$2:$A$755,"NZ_LABOUR",Release_Calendar!$B$2:$B$755,$A381)&gt;0,1,0))</f>
        <v/>
      </c>
      <c r="P381" s="16">
        <f t="shared" si="4"/>
        <v>1</v>
      </c>
    </row>
    <row r="382" ht="15.75" customHeight="1">
      <c r="A382" s="14">
        <v>37060.0</v>
      </c>
      <c r="B382" s="15">
        <v>3.98</v>
      </c>
      <c r="C382" s="15"/>
      <c r="D382" s="15">
        <v>6.04</v>
      </c>
      <c r="E382" s="15"/>
      <c r="F382" s="15" t="str">
        <f t="shared" si="1"/>
        <v/>
      </c>
      <c r="G382" s="15">
        <f t="shared" si="2"/>
        <v>6.04</v>
      </c>
      <c r="H382" s="16">
        <v>1.0</v>
      </c>
      <c r="I382" s="15">
        <f t="shared" si="3"/>
        <v>2.06</v>
      </c>
      <c r="J382" s="15">
        <v>23.17</v>
      </c>
      <c r="K382" s="16">
        <f>IF(COUNTIFS(Release_Calendar!$A$2:$A$755,"US_CPI",Release_Calendar!$B$2:$B$755,$A382)&gt;0,1,0)</f>
        <v>0</v>
      </c>
      <c r="L382" s="16">
        <f>IF(COUNTIFS(Release_Calendar!$A$2:$A$755,"US_NFP",Release_Calendar!$B$2:$B$755,$A382)&gt;0,1,0)</f>
        <v>0</v>
      </c>
      <c r="M382" s="16" t="str">
        <f>IF($A382&lt;Notes!$B$5,"",IF(COUNTIFS(Release_Calendar!$A$2:$A$755,"NZ_CPI",Release_Calendar!$B$2:$B$755,$A382)&gt;0,1,0))</f>
        <v/>
      </c>
      <c r="N382" s="16" t="str">
        <f>IF($A382&lt;Notes!$B$5,"",IF(COUNTIFS(Release_Calendar!$A$2:$A$755,"NZ_GDP",Release_Calendar!$B$2:$B$755,$A382)&gt;0,1,0))</f>
        <v/>
      </c>
      <c r="O382" s="16" t="str">
        <f>IF($A382&lt;Notes!$B$5,"",IF(COUNTIFS(Release_Calendar!$A$2:$A$755,"NZ_LABOUR",Release_Calendar!$B$2:$B$755,$A382)&gt;0,1,0))</f>
        <v/>
      </c>
      <c r="P382" s="16">
        <f t="shared" si="4"/>
        <v>0</v>
      </c>
    </row>
    <row r="383" ht="15.75" customHeight="1">
      <c r="A383" s="14">
        <v>37061.0</v>
      </c>
      <c r="B383" s="15">
        <v>3.99</v>
      </c>
      <c r="C383" s="15"/>
      <c r="D383" s="15">
        <v>6.04</v>
      </c>
      <c r="E383" s="15"/>
      <c r="F383" s="15" t="str">
        <f t="shared" si="1"/>
        <v/>
      </c>
      <c r="G383" s="15">
        <f t="shared" si="2"/>
        <v>6.04</v>
      </c>
      <c r="H383" s="16">
        <v>1.0</v>
      </c>
      <c r="I383" s="15">
        <f t="shared" si="3"/>
        <v>2.05</v>
      </c>
      <c r="J383" s="15">
        <v>22.34</v>
      </c>
      <c r="K383" s="16">
        <f>IF(COUNTIFS(Release_Calendar!$A$2:$A$755,"US_CPI",Release_Calendar!$B$2:$B$755,$A383)&gt;0,1,0)</f>
        <v>0</v>
      </c>
      <c r="L383" s="16">
        <f>IF(COUNTIFS(Release_Calendar!$A$2:$A$755,"US_NFP",Release_Calendar!$B$2:$B$755,$A383)&gt;0,1,0)</f>
        <v>0</v>
      </c>
      <c r="M383" s="16" t="str">
        <f>IF($A383&lt;Notes!$B$5,"",IF(COUNTIFS(Release_Calendar!$A$2:$A$755,"NZ_CPI",Release_Calendar!$B$2:$B$755,$A383)&gt;0,1,0))</f>
        <v/>
      </c>
      <c r="N383" s="16" t="str">
        <f>IF($A383&lt;Notes!$B$5,"",IF(COUNTIFS(Release_Calendar!$A$2:$A$755,"NZ_GDP",Release_Calendar!$B$2:$B$755,$A383)&gt;0,1,0))</f>
        <v/>
      </c>
      <c r="O383" s="16" t="str">
        <f>IF($A383&lt;Notes!$B$5,"",IF(COUNTIFS(Release_Calendar!$A$2:$A$755,"NZ_LABOUR",Release_Calendar!$B$2:$B$755,$A383)&gt;0,1,0))</f>
        <v/>
      </c>
      <c r="P383" s="16">
        <f t="shared" si="4"/>
        <v>0</v>
      </c>
    </row>
    <row r="384" ht="15.75" customHeight="1">
      <c r="A384" s="14">
        <v>37062.0</v>
      </c>
      <c r="B384" s="15">
        <v>3.98</v>
      </c>
      <c r="C384" s="15"/>
      <c r="D384" s="15">
        <v>6.03</v>
      </c>
      <c r="E384" s="15"/>
      <c r="F384" s="15" t="str">
        <f t="shared" si="1"/>
        <v/>
      </c>
      <c r="G384" s="15">
        <f t="shared" si="2"/>
        <v>6.03</v>
      </c>
      <c r="H384" s="16">
        <v>1.0</v>
      </c>
      <c r="I384" s="15">
        <f t="shared" si="3"/>
        <v>2.05</v>
      </c>
      <c r="J384" s="15">
        <v>21.71</v>
      </c>
      <c r="K384" s="16">
        <f>IF(COUNTIFS(Release_Calendar!$A$2:$A$755,"US_CPI",Release_Calendar!$B$2:$B$755,$A384)&gt;0,1,0)</f>
        <v>0</v>
      </c>
      <c r="L384" s="16">
        <f>IF(COUNTIFS(Release_Calendar!$A$2:$A$755,"US_NFP",Release_Calendar!$B$2:$B$755,$A384)&gt;0,1,0)</f>
        <v>0</v>
      </c>
      <c r="M384" s="16" t="str">
        <f>IF($A384&lt;Notes!$B$5,"",IF(COUNTIFS(Release_Calendar!$A$2:$A$755,"NZ_CPI",Release_Calendar!$B$2:$B$755,$A384)&gt;0,1,0))</f>
        <v/>
      </c>
      <c r="N384" s="16" t="str">
        <f>IF($A384&lt;Notes!$B$5,"",IF(COUNTIFS(Release_Calendar!$A$2:$A$755,"NZ_GDP",Release_Calendar!$B$2:$B$755,$A384)&gt;0,1,0))</f>
        <v/>
      </c>
      <c r="O384" s="16" t="str">
        <f>IF($A384&lt;Notes!$B$5,"",IF(COUNTIFS(Release_Calendar!$A$2:$A$755,"NZ_LABOUR",Release_Calendar!$B$2:$B$755,$A384)&gt;0,1,0))</f>
        <v/>
      </c>
      <c r="P384" s="16">
        <f t="shared" si="4"/>
        <v>0</v>
      </c>
    </row>
    <row r="385" ht="15.75" customHeight="1">
      <c r="A385" s="14">
        <v>37063.0</v>
      </c>
      <c r="B385" s="15">
        <v>3.99</v>
      </c>
      <c r="C385" s="15"/>
      <c r="D385" s="15">
        <v>6.04</v>
      </c>
      <c r="E385" s="15"/>
      <c r="F385" s="15" t="str">
        <f t="shared" si="1"/>
        <v/>
      </c>
      <c r="G385" s="15">
        <f t="shared" si="2"/>
        <v>6.04</v>
      </c>
      <c r="H385" s="16">
        <v>1.0</v>
      </c>
      <c r="I385" s="15">
        <f t="shared" si="3"/>
        <v>2.05</v>
      </c>
      <c r="J385" s="15">
        <v>19.38</v>
      </c>
      <c r="K385" s="16">
        <f>IF(COUNTIFS(Release_Calendar!$A$2:$A$755,"US_CPI",Release_Calendar!$B$2:$B$755,$A385)&gt;0,1,0)</f>
        <v>0</v>
      </c>
      <c r="L385" s="16">
        <f>IF(COUNTIFS(Release_Calendar!$A$2:$A$755,"US_NFP",Release_Calendar!$B$2:$B$755,$A385)&gt;0,1,0)</f>
        <v>0</v>
      </c>
      <c r="M385" s="16" t="str">
        <f>IF($A385&lt;Notes!$B$5,"",IF(COUNTIFS(Release_Calendar!$A$2:$A$755,"NZ_CPI",Release_Calendar!$B$2:$B$755,$A385)&gt;0,1,0))</f>
        <v/>
      </c>
      <c r="N385" s="16" t="str">
        <f>IF($A385&lt;Notes!$B$5,"",IF(COUNTIFS(Release_Calendar!$A$2:$A$755,"NZ_GDP",Release_Calendar!$B$2:$B$755,$A385)&gt;0,1,0))</f>
        <v/>
      </c>
      <c r="O385" s="16" t="str">
        <f>IF($A385&lt;Notes!$B$5,"",IF(COUNTIFS(Release_Calendar!$A$2:$A$755,"NZ_LABOUR",Release_Calendar!$B$2:$B$755,$A385)&gt;0,1,0))</f>
        <v/>
      </c>
      <c r="P385" s="16">
        <f t="shared" si="4"/>
        <v>0</v>
      </c>
    </row>
    <row r="386" ht="15.75" customHeight="1">
      <c r="A386" s="14">
        <v>37064.0</v>
      </c>
      <c r="B386" s="15">
        <v>3.93</v>
      </c>
      <c r="C386" s="15"/>
      <c r="D386" s="15">
        <v>6.04</v>
      </c>
      <c r="E386" s="15"/>
      <c r="F386" s="15" t="str">
        <f t="shared" si="1"/>
        <v/>
      </c>
      <c r="G386" s="15">
        <f t="shared" si="2"/>
        <v>6.04</v>
      </c>
      <c r="H386" s="16">
        <v>1.0</v>
      </c>
      <c r="I386" s="15">
        <f t="shared" si="3"/>
        <v>2.11</v>
      </c>
      <c r="J386" s="15">
        <v>20.02</v>
      </c>
      <c r="K386" s="16">
        <f>IF(COUNTIFS(Release_Calendar!$A$2:$A$755,"US_CPI",Release_Calendar!$B$2:$B$755,$A386)&gt;0,1,0)</f>
        <v>0</v>
      </c>
      <c r="L386" s="16">
        <f>IF(COUNTIFS(Release_Calendar!$A$2:$A$755,"US_NFP",Release_Calendar!$B$2:$B$755,$A386)&gt;0,1,0)</f>
        <v>0</v>
      </c>
      <c r="M386" s="16" t="str">
        <f>IF($A386&lt;Notes!$B$5,"",IF(COUNTIFS(Release_Calendar!$A$2:$A$755,"NZ_CPI",Release_Calendar!$B$2:$B$755,$A386)&gt;0,1,0))</f>
        <v/>
      </c>
      <c r="N386" s="16" t="str">
        <f>IF($A386&lt;Notes!$B$5,"",IF(COUNTIFS(Release_Calendar!$A$2:$A$755,"NZ_GDP",Release_Calendar!$B$2:$B$755,$A386)&gt;0,1,0))</f>
        <v/>
      </c>
      <c r="O386" s="16" t="str">
        <f>IF($A386&lt;Notes!$B$5,"",IF(COUNTIFS(Release_Calendar!$A$2:$A$755,"NZ_LABOUR",Release_Calendar!$B$2:$B$755,$A386)&gt;0,1,0))</f>
        <v/>
      </c>
      <c r="P386" s="16">
        <f t="shared" si="4"/>
        <v>0</v>
      </c>
    </row>
    <row r="387" ht="15.75" customHeight="1">
      <c r="A387" s="14">
        <v>37067.0</v>
      </c>
      <c r="B387" s="15">
        <v>3.96</v>
      </c>
      <c r="C387" s="15"/>
      <c r="D387" s="15">
        <v>6.0</v>
      </c>
      <c r="E387" s="15"/>
      <c r="F387" s="15" t="str">
        <f t="shared" si="1"/>
        <v/>
      </c>
      <c r="G387" s="15">
        <f t="shared" si="2"/>
        <v>6</v>
      </c>
      <c r="H387" s="16">
        <v>1.0</v>
      </c>
      <c r="I387" s="15">
        <f t="shared" si="3"/>
        <v>2.04</v>
      </c>
      <c r="J387" s="15">
        <v>20.67</v>
      </c>
      <c r="K387" s="16">
        <f>IF(COUNTIFS(Release_Calendar!$A$2:$A$755,"US_CPI",Release_Calendar!$B$2:$B$755,$A387)&gt;0,1,0)</f>
        <v>0</v>
      </c>
      <c r="L387" s="16">
        <f>IF(COUNTIFS(Release_Calendar!$A$2:$A$755,"US_NFP",Release_Calendar!$B$2:$B$755,$A387)&gt;0,1,0)</f>
        <v>0</v>
      </c>
      <c r="M387" s="16" t="str">
        <f>IF($A387&lt;Notes!$B$5,"",IF(COUNTIFS(Release_Calendar!$A$2:$A$755,"NZ_CPI",Release_Calendar!$B$2:$B$755,$A387)&gt;0,1,0))</f>
        <v/>
      </c>
      <c r="N387" s="16" t="str">
        <f>IF($A387&lt;Notes!$B$5,"",IF(COUNTIFS(Release_Calendar!$A$2:$A$755,"NZ_GDP",Release_Calendar!$B$2:$B$755,$A387)&gt;0,1,0))</f>
        <v/>
      </c>
      <c r="O387" s="16" t="str">
        <f>IF($A387&lt;Notes!$B$5,"",IF(COUNTIFS(Release_Calendar!$A$2:$A$755,"NZ_LABOUR",Release_Calendar!$B$2:$B$755,$A387)&gt;0,1,0))</f>
        <v/>
      </c>
      <c r="P387" s="16">
        <f t="shared" si="4"/>
        <v>0</v>
      </c>
    </row>
    <row r="388" ht="15.75" customHeight="1">
      <c r="A388" s="14">
        <v>37068.0</v>
      </c>
      <c r="B388" s="15">
        <v>4.03</v>
      </c>
      <c r="C388" s="15"/>
      <c r="D388" s="15">
        <v>6.01</v>
      </c>
      <c r="E388" s="15"/>
      <c r="F388" s="15" t="str">
        <f t="shared" si="1"/>
        <v/>
      </c>
      <c r="G388" s="15">
        <f t="shared" si="2"/>
        <v>6.01</v>
      </c>
      <c r="H388" s="16">
        <v>1.0</v>
      </c>
      <c r="I388" s="15">
        <f t="shared" si="3"/>
        <v>1.98</v>
      </c>
      <c r="J388" s="15">
        <v>21.2</v>
      </c>
      <c r="K388" s="16">
        <f>IF(COUNTIFS(Release_Calendar!$A$2:$A$755,"US_CPI",Release_Calendar!$B$2:$B$755,$A388)&gt;0,1,0)</f>
        <v>0</v>
      </c>
      <c r="L388" s="16">
        <f>IF(COUNTIFS(Release_Calendar!$A$2:$A$755,"US_NFP",Release_Calendar!$B$2:$B$755,$A388)&gt;0,1,0)</f>
        <v>0</v>
      </c>
      <c r="M388" s="16" t="str">
        <f>IF($A388&lt;Notes!$B$5,"",IF(COUNTIFS(Release_Calendar!$A$2:$A$755,"NZ_CPI",Release_Calendar!$B$2:$B$755,$A388)&gt;0,1,0))</f>
        <v/>
      </c>
      <c r="N388" s="16" t="str">
        <f>IF($A388&lt;Notes!$B$5,"",IF(COUNTIFS(Release_Calendar!$A$2:$A$755,"NZ_GDP",Release_Calendar!$B$2:$B$755,$A388)&gt;0,1,0))</f>
        <v/>
      </c>
      <c r="O388" s="16" t="str">
        <f>IF($A388&lt;Notes!$B$5,"",IF(COUNTIFS(Release_Calendar!$A$2:$A$755,"NZ_LABOUR",Release_Calendar!$B$2:$B$755,$A388)&gt;0,1,0))</f>
        <v/>
      </c>
      <c r="P388" s="16">
        <f t="shared" si="4"/>
        <v>0</v>
      </c>
    </row>
    <row r="389" ht="15.75" customHeight="1">
      <c r="A389" s="14">
        <v>37069.0</v>
      </c>
      <c r="B389" s="15">
        <v>4.06</v>
      </c>
      <c r="C389" s="15"/>
      <c r="D389" s="15">
        <v>6.08</v>
      </c>
      <c r="E389" s="15"/>
      <c r="F389" s="15" t="str">
        <f t="shared" si="1"/>
        <v/>
      </c>
      <c r="G389" s="15">
        <f t="shared" si="2"/>
        <v>6.08</v>
      </c>
      <c r="H389" s="16">
        <v>1.0</v>
      </c>
      <c r="I389" s="15">
        <f t="shared" si="3"/>
        <v>2.02</v>
      </c>
      <c r="J389" s="15">
        <v>20.88</v>
      </c>
      <c r="K389" s="16">
        <f>IF(COUNTIFS(Release_Calendar!$A$2:$A$755,"US_CPI",Release_Calendar!$B$2:$B$755,$A389)&gt;0,1,0)</f>
        <v>0</v>
      </c>
      <c r="L389" s="16">
        <f>IF(COUNTIFS(Release_Calendar!$A$2:$A$755,"US_NFP",Release_Calendar!$B$2:$B$755,$A389)&gt;0,1,0)</f>
        <v>0</v>
      </c>
      <c r="M389" s="16" t="str">
        <f>IF($A389&lt;Notes!$B$5,"",IF(COUNTIFS(Release_Calendar!$A$2:$A$755,"NZ_CPI",Release_Calendar!$B$2:$B$755,$A389)&gt;0,1,0))</f>
        <v/>
      </c>
      <c r="N389" s="16" t="str">
        <f>IF($A389&lt;Notes!$B$5,"",IF(COUNTIFS(Release_Calendar!$A$2:$A$755,"NZ_GDP",Release_Calendar!$B$2:$B$755,$A389)&gt;0,1,0))</f>
        <v/>
      </c>
      <c r="O389" s="16" t="str">
        <f>IF($A389&lt;Notes!$B$5,"",IF(COUNTIFS(Release_Calendar!$A$2:$A$755,"NZ_LABOUR",Release_Calendar!$B$2:$B$755,$A389)&gt;0,1,0))</f>
        <v/>
      </c>
      <c r="P389" s="16">
        <f t="shared" si="4"/>
        <v>0</v>
      </c>
    </row>
    <row r="390" ht="15.75" customHeight="1">
      <c r="A390" s="14">
        <v>37070.0</v>
      </c>
      <c r="B390" s="15">
        <v>4.22</v>
      </c>
      <c r="C390" s="15"/>
      <c r="D390" s="15">
        <v>6.23</v>
      </c>
      <c r="E390" s="15"/>
      <c r="F390" s="15" t="str">
        <f t="shared" si="1"/>
        <v/>
      </c>
      <c r="G390" s="15">
        <f t="shared" si="2"/>
        <v>6.23</v>
      </c>
      <c r="H390" s="16">
        <v>1.0</v>
      </c>
      <c r="I390" s="15">
        <f t="shared" si="3"/>
        <v>2.01</v>
      </c>
      <c r="J390" s="15">
        <v>20.01</v>
      </c>
      <c r="K390" s="16">
        <f>IF(COUNTIFS(Release_Calendar!$A$2:$A$755,"US_CPI",Release_Calendar!$B$2:$B$755,$A390)&gt;0,1,0)</f>
        <v>0</v>
      </c>
      <c r="L390" s="16">
        <f>IF(COUNTIFS(Release_Calendar!$A$2:$A$755,"US_NFP",Release_Calendar!$B$2:$B$755,$A390)&gt;0,1,0)</f>
        <v>0</v>
      </c>
      <c r="M390" s="16" t="str">
        <f>IF($A390&lt;Notes!$B$5,"",IF(COUNTIFS(Release_Calendar!$A$2:$A$755,"NZ_CPI",Release_Calendar!$B$2:$B$755,$A390)&gt;0,1,0))</f>
        <v/>
      </c>
      <c r="N390" s="16" t="str">
        <f>IF($A390&lt;Notes!$B$5,"",IF(COUNTIFS(Release_Calendar!$A$2:$A$755,"NZ_GDP",Release_Calendar!$B$2:$B$755,$A390)&gt;0,1,0))</f>
        <v/>
      </c>
      <c r="O390" s="16" t="str">
        <f>IF($A390&lt;Notes!$B$5,"",IF(COUNTIFS(Release_Calendar!$A$2:$A$755,"NZ_LABOUR",Release_Calendar!$B$2:$B$755,$A390)&gt;0,1,0))</f>
        <v/>
      </c>
      <c r="P390" s="16">
        <f t="shared" si="4"/>
        <v>0</v>
      </c>
    </row>
    <row r="391" ht="15.75" customHeight="1">
      <c r="A391" s="14">
        <v>37071.0</v>
      </c>
      <c r="B391" s="15">
        <v>4.25</v>
      </c>
      <c r="C391" s="15"/>
      <c r="D391" s="15">
        <v>6.22</v>
      </c>
      <c r="E391" s="15"/>
      <c r="F391" s="15" t="str">
        <f t="shared" si="1"/>
        <v/>
      </c>
      <c r="G391" s="15">
        <f t="shared" si="2"/>
        <v>6.22</v>
      </c>
      <c r="H391" s="16">
        <v>1.0</v>
      </c>
      <c r="I391" s="15">
        <f t="shared" si="3"/>
        <v>1.97</v>
      </c>
      <c r="J391" s="15">
        <v>19.06</v>
      </c>
      <c r="K391" s="16">
        <f>IF(COUNTIFS(Release_Calendar!$A$2:$A$755,"US_CPI",Release_Calendar!$B$2:$B$755,$A391)&gt;0,1,0)</f>
        <v>0</v>
      </c>
      <c r="L391" s="16">
        <f>IF(COUNTIFS(Release_Calendar!$A$2:$A$755,"US_NFP",Release_Calendar!$B$2:$B$755,$A391)&gt;0,1,0)</f>
        <v>0</v>
      </c>
      <c r="M391" s="16" t="str">
        <f>IF($A391&lt;Notes!$B$5,"",IF(COUNTIFS(Release_Calendar!$A$2:$A$755,"NZ_CPI",Release_Calendar!$B$2:$B$755,$A391)&gt;0,1,0))</f>
        <v/>
      </c>
      <c r="N391" s="16" t="str">
        <f>IF($A391&lt;Notes!$B$5,"",IF(COUNTIFS(Release_Calendar!$A$2:$A$755,"NZ_GDP",Release_Calendar!$B$2:$B$755,$A391)&gt;0,1,0))</f>
        <v/>
      </c>
      <c r="O391" s="16" t="str">
        <f>IF($A391&lt;Notes!$B$5,"",IF(COUNTIFS(Release_Calendar!$A$2:$A$755,"NZ_LABOUR",Release_Calendar!$B$2:$B$755,$A391)&gt;0,1,0))</f>
        <v/>
      </c>
      <c r="P391" s="16">
        <f t="shared" si="4"/>
        <v>0</v>
      </c>
    </row>
    <row r="392" ht="15.75" customHeight="1">
      <c r="A392" s="14">
        <v>37074.0</v>
      </c>
      <c r="B392" s="15">
        <v>4.21</v>
      </c>
      <c r="C392" s="15"/>
      <c r="D392" s="15">
        <v>6.25</v>
      </c>
      <c r="E392" s="15"/>
      <c r="F392" s="15" t="str">
        <f t="shared" si="1"/>
        <v/>
      </c>
      <c r="G392" s="15">
        <f t="shared" si="2"/>
        <v>6.25</v>
      </c>
      <c r="H392" s="16">
        <v>1.0</v>
      </c>
      <c r="I392" s="15">
        <f t="shared" si="3"/>
        <v>2.04</v>
      </c>
      <c r="J392" s="15">
        <v>18.76</v>
      </c>
      <c r="K392" s="16">
        <f>IF(COUNTIFS(Release_Calendar!$A$2:$A$755,"US_CPI",Release_Calendar!$B$2:$B$755,$A392)&gt;0,1,0)</f>
        <v>0</v>
      </c>
      <c r="L392" s="16">
        <f>IF(COUNTIFS(Release_Calendar!$A$2:$A$755,"US_NFP",Release_Calendar!$B$2:$B$755,$A392)&gt;0,1,0)</f>
        <v>0</v>
      </c>
      <c r="M392" s="16" t="str">
        <f>IF($A392&lt;Notes!$B$5,"",IF(COUNTIFS(Release_Calendar!$A$2:$A$755,"NZ_CPI",Release_Calendar!$B$2:$B$755,$A392)&gt;0,1,0))</f>
        <v/>
      </c>
      <c r="N392" s="16" t="str">
        <f>IF($A392&lt;Notes!$B$5,"",IF(COUNTIFS(Release_Calendar!$A$2:$A$755,"NZ_GDP",Release_Calendar!$B$2:$B$755,$A392)&gt;0,1,0))</f>
        <v/>
      </c>
      <c r="O392" s="16" t="str">
        <f>IF($A392&lt;Notes!$B$5,"",IF(COUNTIFS(Release_Calendar!$A$2:$A$755,"NZ_LABOUR",Release_Calendar!$B$2:$B$755,$A392)&gt;0,1,0))</f>
        <v/>
      </c>
      <c r="P392" s="16">
        <f t="shared" si="4"/>
        <v>0</v>
      </c>
    </row>
    <row r="393" ht="15.75" customHeight="1">
      <c r="A393" s="14">
        <v>37075.0</v>
      </c>
      <c r="B393" s="15">
        <v>4.24</v>
      </c>
      <c r="C393" s="15"/>
      <c r="D393" s="15">
        <v>6.19</v>
      </c>
      <c r="E393" s="15"/>
      <c r="F393" s="15" t="str">
        <f t="shared" si="1"/>
        <v/>
      </c>
      <c r="G393" s="15">
        <f t="shared" si="2"/>
        <v>6.19</v>
      </c>
      <c r="H393" s="16">
        <v>1.0</v>
      </c>
      <c r="I393" s="15">
        <f t="shared" si="3"/>
        <v>1.95</v>
      </c>
      <c r="J393" s="15">
        <v>18.92</v>
      </c>
      <c r="K393" s="16">
        <f>IF(COUNTIFS(Release_Calendar!$A$2:$A$755,"US_CPI",Release_Calendar!$B$2:$B$755,$A393)&gt;0,1,0)</f>
        <v>0</v>
      </c>
      <c r="L393" s="16">
        <f>IF(COUNTIFS(Release_Calendar!$A$2:$A$755,"US_NFP",Release_Calendar!$B$2:$B$755,$A393)&gt;0,1,0)</f>
        <v>0</v>
      </c>
      <c r="M393" s="16" t="str">
        <f>IF($A393&lt;Notes!$B$5,"",IF(COUNTIFS(Release_Calendar!$A$2:$A$755,"NZ_CPI",Release_Calendar!$B$2:$B$755,$A393)&gt;0,1,0))</f>
        <v/>
      </c>
      <c r="N393" s="16" t="str">
        <f>IF($A393&lt;Notes!$B$5,"",IF(COUNTIFS(Release_Calendar!$A$2:$A$755,"NZ_GDP",Release_Calendar!$B$2:$B$755,$A393)&gt;0,1,0))</f>
        <v/>
      </c>
      <c r="O393" s="16" t="str">
        <f>IF($A393&lt;Notes!$B$5,"",IF(COUNTIFS(Release_Calendar!$A$2:$A$755,"NZ_LABOUR",Release_Calendar!$B$2:$B$755,$A393)&gt;0,1,0))</f>
        <v/>
      </c>
      <c r="P393" s="16">
        <f t="shared" si="4"/>
        <v>0</v>
      </c>
    </row>
    <row r="394" ht="15.75" customHeight="1">
      <c r="A394" s="14">
        <v>37076.0</v>
      </c>
      <c r="B394" s="15"/>
      <c r="C394" s="15"/>
      <c r="D394" s="15">
        <v>6.25</v>
      </c>
      <c r="E394" s="15"/>
      <c r="F394" s="15" t="str">
        <f t="shared" si="1"/>
        <v/>
      </c>
      <c r="G394" s="15">
        <f t="shared" si="2"/>
        <v>6.25</v>
      </c>
      <c r="H394" s="16">
        <v>1.0</v>
      </c>
      <c r="I394" s="15" t="str">
        <f t="shared" si="3"/>
        <v/>
      </c>
      <c r="J394" s="15"/>
      <c r="K394" s="16">
        <f>IF(COUNTIFS(Release_Calendar!$A$2:$A$755,"US_CPI",Release_Calendar!$B$2:$B$755,$A394)&gt;0,1,0)</f>
        <v>0</v>
      </c>
      <c r="L394" s="16">
        <f>IF(COUNTIFS(Release_Calendar!$A$2:$A$755,"US_NFP",Release_Calendar!$B$2:$B$755,$A394)&gt;0,1,0)</f>
        <v>0</v>
      </c>
      <c r="M394" s="16" t="str">
        <f>IF($A394&lt;Notes!$B$5,"",IF(COUNTIFS(Release_Calendar!$A$2:$A$755,"NZ_CPI",Release_Calendar!$B$2:$B$755,$A394)&gt;0,1,0))</f>
        <v/>
      </c>
      <c r="N394" s="16" t="str">
        <f>IF($A394&lt;Notes!$B$5,"",IF(COUNTIFS(Release_Calendar!$A$2:$A$755,"NZ_GDP",Release_Calendar!$B$2:$B$755,$A394)&gt;0,1,0))</f>
        <v/>
      </c>
      <c r="O394" s="16" t="str">
        <f>IF($A394&lt;Notes!$B$5,"",IF(COUNTIFS(Release_Calendar!$A$2:$A$755,"NZ_LABOUR",Release_Calendar!$B$2:$B$755,$A394)&gt;0,1,0))</f>
        <v/>
      </c>
      <c r="P394" s="16">
        <f t="shared" si="4"/>
        <v>0</v>
      </c>
    </row>
    <row r="395" ht="15.75" customHeight="1">
      <c r="A395" s="14">
        <v>37077.0</v>
      </c>
      <c r="B395" s="15">
        <v>4.24</v>
      </c>
      <c r="C395" s="15"/>
      <c r="D395" s="15">
        <v>6.25</v>
      </c>
      <c r="E395" s="15"/>
      <c r="F395" s="15" t="str">
        <f t="shared" si="1"/>
        <v/>
      </c>
      <c r="G395" s="15">
        <f t="shared" si="2"/>
        <v>6.25</v>
      </c>
      <c r="H395" s="16">
        <v>1.0</v>
      </c>
      <c r="I395" s="15">
        <f t="shared" si="3"/>
        <v>2.01</v>
      </c>
      <c r="J395" s="15">
        <v>20.09</v>
      </c>
      <c r="K395" s="16">
        <f>IF(COUNTIFS(Release_Calendar!$A$2:$A$755,"US_CPI",Release_Calendar!$B$2:$B$755,$A395)&gt;0,1,0)</f>
        <v>0</v>
      </c>
      <c r="L395" s="16">
        <f>IF(COUNTIFS(Release_Calendar!$A$2:$A$755,"US_NFP",Release_Calendar!$B$2:$B$755,$A395)&gt;0,1,0)</f>
        <v>0</v>
      </c>
      <c r="M395" s="16" t="str">
        <f>IF($A395&lt;Notes!$B$5,"",IF(COUNTIFS(Release_Calendar!$A$2:$A$755,"NZ_CPI",Release_Calendar!$B$2:$B$755,$A395)&gt;0,1,0))</f>
        <v/>
      </c>
      <c r="N395" s="16" t="str">
        <f>IF($A395&lt;Notes!$B$5,"",IF(COUNTIFS(Release_Calendar!$A$2:$A$755,"NZ_GDP",Release_Calendar!$B$2:$B$755,$A395)&gt;0,1,0))</f>
        <v/>
      </c>
      <c r="O395" s="16" t="str">
        <f>IF($A395&lt;Notes!$B$5,"",IF(COUNTIFS(Release_Calendar!$A$2:$A$755,"NZ_LABOUR",Release_Calendar!$B$2:$B$755,$A395)&gt;0,1,0))</f>
        <v/>
      </c>
      <c r="P395" s="16">
        <f t="shared" si="4"/>
        <v>0</v>
      </c>
    </row>
    <row r="396" ht="15.75" customHeight="1">
      <c r="A396" s="14">
        <v>37078.0</v>
      </c>
      <c r="B396" s="15">
        <v>4.16</v>
      </c>
      <c r="C396" s="15"/>
      <c r="D396" s="15">
        <v>6.21</v>
      </c>
      <c r="E396" s="15"/>
      <c r="F396" s="15" t="str">
        <f t="shared" si="1"/>
        <v/>
      </c>
      <c r="G396" s="15">
        <f t="shared" si="2"/>
        <v>6.21</v>
      </c>
      <c r="H396" s="16">
        <v>1.0</v>
      </c>
      <c r="I396" s="15">
        <f t="shared" si="3"/>
        <v>2.05</v>
      </c>
      <c r="J396" s="15">
        <v>21.63</v>
      </c>
      <c r="K396" s="16">
        <f>IF(COUNTIFS(Release_Calendar!$A$2:$A$755,"US_CPI",Release_Calendar!$B$2:$B$755,$A396)&gt;0,1,0)</f>
        <v>0</v>
      </c>
      <c r="L396" s="16">
        <f>IF(COUNTIFS(Release_Calendar!$A$2:$A$755,"US_NFP",Release_Calendar!$B$2:$B$755,$A396)&gt;0,1,0)</f>
        <v>1</v>
      </c>
      <c r="M396" s="16" t="str">
        <f>IF($A396&lt;Notes!$B$5,"",IF(COUNTIFS(Release_Calendar!$A$2:$A$755,"NZ_CPI",Release_Calendar!$B$2:$B$755,$A396)&gt;0,1,0))</f>
        <v/>
      </c>
      <c r="N396" s="16" t="str">
        <f>IF($A396&lt;Notes!$B$5,"",IF(COUNTIFS(Release_Calendar!$A$2:$A$755,"NZ_GDP",Release_Calendar!$B$2:$B$755,$A396)&gt;0,1,0))</f>
        <v/>
      </c>
      <c r="O396" s="16" t="str">
        <f>IF($A396&lt;Notes!$B$5,"",IF(COUNTIFS(Release_Calendar!$A$2:$A$755,"NZ_LABOUR",Release_Calendar!$B$2:$B$755,$A396)&gt;0,1,0))</f>
        <v/>
      </c>
      <c r="P396" s="16">
        <f t="shared" si="4"/>
        <v>1</v>
      </c>
    </row>
    <row r="397" ht="15.75" customHeight="1">
      <c r="A397" s="14">
        <v>37081.0</v>
      </c>
      <c r="B397" s="15">
        <v>4.15</v>
      </c>
      <c r="C397" s="15"/>
      <c r="D397" s="15">
        <v>6.18</v>
      </c>
      <c r="E397" s="15"/>
      <c r="F397" s="15" t="str">
        <f t="shared" si="1"/>
        <v/>
      </c>
      <c r="G397" s="15">
        <f t="shared" si="2"/>
        <v>6.18</v>
      </c>
      <c r="H397" s="16">
        <v>1.0</v>
      </c>
      <c r="I397" s="15">
        <f t="shared" si="3"/>
        <v>2.03</v>
      </c>
      <c r="J397" s="15">
        <v>22.48</v>
      </c>
      <c r="K397" s="16">
        <f>IF(COUNTIFS(Release_Calendar!$A$2:$A$755,"US_CPI",Release_Calendar!$B$2:$B$755,$A397)&gt;0,1,0)</f>
        <v>0</v>
      </c>
      <c r="L397" s="16">
        <f>IF(COUNTIFS(Release_Calendar!$A$2:$A$755,"US_NFP",Release_Calendar!$B$2:$B$755,$A397)&gt;0,1,0)</f>
        <v>0</v>
      </c>
      <c r="M397" s="16" t="str">
        <f>IF($A397&lt;Notes!$B$5,"",IF(COUNTIFS(Release_Calendar!$A$2:$A$755,"NZ_CPI",Release_Calendar!$B$2:$B$755,$A397)&gt;0,1,0))</f>
        <v/>
      </c>
      <c r="N397" s="16" t="str">
        <f>IF($A397&lt;Notes!$B$5,"",IF(COUNTIFS(Release_Calendar!$A$2:$A$755,"NZ_GDP",Release_Calendar!$B$2:$B$755,$A397)&gt;0,1,0))</f>
        <v/>
      </c>
      <c r="O397" s="16" t="str">
        <f>IF($A397&lt;Notes!$B$5,"",IF(COUNTIFS(Release_Calendar!$A$2:$A$755,"NZ_LABOUR",Release_Calendar!$B$2:$B$755,$A397)&gt;0,1,0))</f>
        <v/>
      </c>
      <c r="P397" s="16">
        <f t="shared" si="4"/>
        <v>0</v>
      </c>
    </row>
    <row r="398" ht="15.75" customHeight="1">
      <c r="A398" s="14">
        <v>37082.0</v>
      </c>
      <c r="B398" s="15">
        <v>4.08</v>
      </c>
      <c r="C398" s="15"/>
      <c r="D398" s="15">
        <v>6.21</v>
      </c>
      <c r="E398" s="15"/>
      <c r="F398" s="15" t="str">
        <f t="shared" si="1"/>
        <v/>
      </c>
      <c r="G398" s="15">
        <f t="shared" si="2"/>
        <v>6.21</v>
      </c>
      <c r="H398" s="16">
        <v>1.0</v>
      </c>
      <c r="I398" s="15">
        <f t="shared" si="3"/>
        <v>2.13</v>
      </c>
      <c r="J398" s="15">
        <v>23.25</v>
      </c>
      <c r="K398" s="16">
        <f>IF(COUNTIFS(Release_Calendar!$A$2:$A$755,"US_CPI",Release_Calendar!$B$2:$B$755,$A398)&gt;0,1,0)</f>
        <v>0</v>
      </c>
      <c r="L398" s="16">
        <f>IF(COUNTIFS(Release_Calendar!$A$2:$A$755,"US_NFP",Release_Calendar!$B$2:$B$755,$A398)&gt;0,1,0)</f>
        <v>0</v>
      </c>
      <c r="M398" s="16" t="str">
        <f>IF($A398&lt;Notes!$B$5,"",IF(COUNTIFS(Release_Calendar!$A$2:$A$755,"NZ_CPI",Release_Calendar!$B$2:$B$755,$A398)&gt;0,1,0))</f>
        <v/>
      </c>
      <c r="N398" s="16" t="str">
        <f>IF($A398&lt;Notes!$B$5,"",IF(COUNTIFS(Release_Calendar!$A$2:$A$755,"NZ_GDP",Release_Calendar!$B$2:$B$755,$A398)&gt;0,1,0))</f>
        <v/>
      </c>
      <c r="O398" s="16" t="str">
        <f>IF($A398&lt;Notes!$B$5,"",IF(COUNTIFS(Release_Calendar!$A$2:$A$755,"NZ_LABOUR",Release_Calendar!$B$2:$B$755,$A398)&gt;0,1,0))</f>
        <v/>
      </c>
      <c r="P398" s="16">
        <f t="shared" si="4"/>
        <v>0</v>
      </c>
    </row>
    <row r="399" ht="15.75" customHeight="1">
      <c r="A399" s="14">
        <v>37083.0</v>
      </c>
      <c r="B399" s="15">
        <v>4.07</v>
      </c>
      <c r="C399" s="15"/>
      <c r="D399" s="15">
        <v>6.16</v>
      </c>
      <c r="E399" s="15"/>
      <c r="F399" s="15" t="str">
        <f t="shared" si="1"/>
        <v/>
      </c>
      <c r="G399" s="15">
        <f t="shared" si="2"/>
        <v>6.16</v>
      </c>
      <c r="H399" s="16">
        <v>1.0</v>
      </c>
      <c r="I399" s="15">
        <f t="shared" si="3"/>
        <v>2.09</v>
      </c>
      <c r="J399" s="15">
        <v>24.01</v>
      </c>
      <c r="K399" s="16">
        <f>IF(COUNTIFS(Release_Calendar!$A$2:$A$755,"US_CPI",Release_Calendar!$B$2:$B$755,$A399)&gt;0,1,0)</f>
        <v>0</v>
      </c>
      <c r="L399" s="16">
        <f>IF(COUNTIFS(Release_Calendar!$A$2:$A$755,"US_NFP",Release_Calendar!$B$2:$B$755,$A399)&gt;0,1,0)</f>
        <v>0</v>
      </c>
      <c r="M399" s="16" t="str">
        <f>IF($A399&lt;Notes!$B$5,"",IF(COUNTIFS(Release_Calendar!$A$2:$A$755,"NZ_CPI",Release_Calendar!$B$2:$B$755,$A399)&gt;0,1,0))</f>
        <v/>
      </c>
      <c r="N399" s="16" t="str">
        <f>IF($A399&lt;Notes!$B$5,"",IF(COUNTIFS(Release_Calendar!$A$2:$A$755,"NZ_GDP",Release_Calendar!$B$2:$B$755,$A399)&gt;0,1,0))</f>
        <v/>
      </c>
      <c r="O399" s="16" t="str">
        <f>IF($A399&lt;Notes!$B$5,"",IF(COUNTIFS(Release_Calendar!$A$2:$A$755,"NZ_LABOUR",Release_Calendar!$B$2:$B$755,$A399)&gt;0,1,0))</f>
        <v/>
      </c>
      <c r="P399" s="16">
        <f t="shared" si="4"/>
        <v>0</v>
      </c>
    </row>
    <row r="400" ht="15.75" customHeight="1">
      <c r="A400" s="14">
        <v>37084.0</v>
      </c>
      <c r="B400" s="15">
        <v>4.07</v>
      </c>
      <c r="C400" s="15"/>
      <c r="D400" s="15">
        <v>6.19</v>
      </c>
      <c r="E400" s="15"/>
      <c r="F400" s="15" t="str">
        <f t="shared" si="1"/>
        <v/>
      </c>
      <c r="G400" s="15">
        <f t="shared" si="2"/>
        <v>6.19</v>
      </c>
      <c r="H400" s="16">
        <v>1.0</v>
      </c>
      <c r="I400" s="15">
        <f t="shared" si="3"/>
        <v>2.12</v>
      </c>
      <c r="J400" s="15">
        <v>22.09</v>
      </c>
      <c r="K400" s="16">
        <f>IF(COUNTIFS(Release_Calendar!$A$2:$A$755,"US_CPI",Release_Calendar!$B$2:$B$755,$A400)&gt;0,1,0)</f>
        <v>0</v>
      </c>
      <c r="L400" s="16">
        <f>IF(COUNTIFS(Release_Calendar!$A$2:$A$755,"US_NFP",Release_Calendar!$B$2:$B$755,$A400)&gt;0,1,0)</f>
        <v>0</v>
      </c>
      <c r="M400" s="16" t="str">
        <f>IF($A400&lt;Notes!$B$5,"",IF(COUNTIFS(Release_Calendar!$A$2:$A$755,"NZ_CPI",Release_Calendar!$B$2:$B$755,$A400)&gt;0,1,0))</f>
        <v/>
      </c>
      <c r="N400" s="16" t="str">
        <f>IF($A400&lt;Notes!$B$5,"",IF(COUNTIFS(Release_Calendar!$A$2:$A$755,"NZ_GDP",Release_Calendar!$B$2:$B$755,$A400)&gt;0,1,0))</f>
        <v/>
      </c>
      <c r="O400" s="16" t="str">
        <f>IF($A400&lt;Notes!$B$5,"",IF(COUNTIFS(Release_Calendar!$A$2:$A$755,"NZ_LABOUR",Release_Calendar!$B$2:$B$755,$A400)&gt;0,1,0))</f>
        <v/>
      </c>
      <c r="P400" s="16">
        <f t="shared" si="4"/>
        <v>0</v>
      </c>
    </row>
    <row r="401" ht="15.75" customHeight="1">
      <c r="A401" s="14">
        <v>37085.0</v>
      </c>
      <c r="B401" s="15">
        <v>4.12</v>
      </c>
      <c r="C401" s="15"/>
      <c r="D401" s="15">
        <v>6.22</v>
      </c>
      <c r="E401" s="15"/>
      <c r="F401" s="15" t="str">
        <f t="shared" si="1"/>
        <v/>
      </c>
      <c r="G401" s="15">
        <f t="shared" si="2"/>
        <v>6.22</v>
      </c>
      <c r="H401" s="16">
        <v>1.0</v>
      </c>
      <c r="I401" s="15">
        <f t="shared" si="3"/>
        <v>2.1</v>
      </c>
      <c r="J401" s="15">
        <v>21.14</v>
      </c>
      <c r="K401" s="16">
        <f>IF(COUNTIFS(Release_Calendar!$A$2:$A$755,"US_CPI",Release_Calendar!$B$2:$B$755,$A401)&gt;0,1,0)</f>
        <v>0</v>
      </c>
      <c r="L401" s="16">
        <f>IF(COUNTIFS(Release_Calendar!$A$2:$A$755,"US_NFP",Release_Calendar!$B$2:$B$755,$A401)&gt;0,1,0)</f>
        <v>0</v>
      </c>
      <c r="M401" s="16" t="str">
        <f>IF($A401&lt;Notes!$B$5,"",IF(COUNTIFS(Release_Calendar!$A$2:$A$755,"NZ_CPI",Release_Calendar!$B$2:$B$755,$A401)&gt;0,1,0))</f>
        <v/>
      </c>
      <c r="N401" s="16" t="str">
        <f>IF($A401&lt;Notes!$B$5,"",IF(COUNTIFS(Release_Calendar!$A$2:$A$755,"NZ_GDP",Release_Calendar!$B$2:$B$755,$A401)&gt;0,1,0))</f>
        <v/>
      </c>
      <c r="O401" s="16" t="str">
        <f>IF($A401&lt;Notes!$B$5,"",IF(COUNTIFS(Release_Calendar!$A$2:$A$755,"NZ_LABOUR",Release_Calendar!$B$2:$B$755,$A401)&gt;0,1,0))</f>
        <v/>
      </c>
      <c r="P401" s="16">
        <f t="shared" si="4"/>
        <v>0</v>
      </c>
    </row>
    <row r="402" ht="15.75" customHeight="1">
      <c r="A402" s="14">
        <v>37088.0</v>
      </c>
      <c r="B402" s="15">
        <v>4.07</v>
      </c>
      <c r="C402" s="15"/>
      <c r="D402" s="15">
        <v>6.22</v>
      </c>
      <c r="E402" s="15"/>
      <c r="F402" s="15" t="str">
        <f t="shared" si="1"/>
        <v/>
      </c>
      <c r="G402" s="15">
        <f t="shared" si="2"/>
        <v>6.22</v>
      </c>
      <c r="H402" s="16">
        <v>1.0</v>
      </c>
      <c r="I402" s="15">
        <f t="shared" si="3"/>
        <v>2.15</v>
      </c>
      <c r="J402" s="15">
        <v>22.91</v>
      </c>
      <c r="K402" s="16">
        <f>IF(COUNTIFS(Release_Calendar!$A$2:$A$755,"US_CPI",Release_Calendar!$B$2:$B$755,$A402)&gt;0,1,0)</f>
        <v>0</v>
      </c>
      <c r="L402" s="16">
        <f>IF(COUNTIFS(Release_Calendar!$A$2:$A$755,"US_NFP",Release_Calendar!$B$2:$B$755,$A402)&gt;0,1,0)</f>
        <v>0</v>
      </c>
      <c r="M402" s="16" t="str">
        <f>IF($A402&lt;Notes!$B$5,"",IF(COUNTIFS(Release_Calendar!$A$2:$A$755,"NZ_CPI",Release_Calendar!$B$2:$B$755,$A402)&gt;0,1,0))</f>
        <v/>
      </c>
      <c r="N402" s="16" t="str">
        <f>IF($A402&lt;Notes!$B$5,"",IF(COUNTIFS(Release_Calendar!$A$2:$A$755,"NZ_GDP",Release_Calendar!$B$2:$B$755,$A402)&gt;0,1,0))</f>
        <v/>
      </c>
      <c r="O402" s="16" t="str">
        <f>IF($A402&lt;Notes!$B$5,"",IF(COUNTIFS(Release_Calendar!$A$2:$A$755,"NZ_LABOUR",Release_Calendar!$B$2:$B$755,$A402)&gt;0,1,0))</f>
        <v/>
      </c>
      <c r="P402" s="16">
        <f t="shared" si="4"/>
        <v>0</v>
      </c>
    </row>
    <row r="403" ht="15.75" customHeight="1">
      <c r="A403" s="14">
        <v>37089.0</v>
      </c>
      <c r="B403" s="15">
        <v>4.09</v>
      </c>
      <c r="C403" s="15"/>
      <c r="D403" s="15">
        <v>6.18</v>
      </c>
      <c r="E403" s="15"/>
      <c r="F403" s="15" t="str">
        <f t="shared" si="1"/>
        <v/>
      </c>
      <c r="G403" s="15">
        <f t="shared" si="2"/>
        <v>6.18</v>
      </c>
      <c r="H403" s="16">
        <v>1.0</v>
      </c>
      <c r="I403" s="15">
        <f t="shared" si="3"/>
        <v>2.09</v>
      </c>
      <c r="J403" s="15">
        <v>22.61</v>
      </c>
      <c r="K403" s="16">
        <f>IF(COUNTIFS(Release_Calendar!$A$2:$A$755,"US_CPI",Release_Calendar!$B$2:$B$755,$A403)&gt;0,1,0)</f>
        <v>0</v>
      </c>
      <c r="L403" s="16">
        <f>IF(COUNTIFS(Release_Calendar!$A$2:$A$755,"US_NFP",Release_Calendar!$B$2:$B$755,$A403)&gt;0,1,0)</f>
        <v>0</v>
      </c>
      <c r="M403" s="16" t="str">
        <f>IF($A403&lt;Notes!$B$5,"",IF(COUNTIFS(Release_Calendar!$A$2:$A$755,"NZ_CPI",Release_Calendar!$B$2:$B$755,$A403)&gt;0,1,0))</f>
        <v/>
      </c>
      <c r="N403" s="16" t="str">
        <f>IF($A403&lt;Notes!$B$5,"",IF(COUNTIFS(Release_Calendar!$A$2:$A$755,"NZ_GDP",Release_Calendar!$B$2:$B$755,$A403)&gt;0,1,0))</f>
        <v/>
      </c>
      <c r="O403" s="16" t="str">
        <f>IF($A403&lt;Notes!$B$5,"",IF(COUNTIFS(Release_Calendar!$A$2:$A$755,"NZ_LABOUR",Release_Calendar!$B$2:$B$755,$A403)&gt;0,1,0))</f>
        <v/>
      </c>
      <c r="P403" s="16">
        <f t="shared" si="4"/>
        <v>0</v>
      </c>
    </row>
    <row r="404" ht="15.75" customHeight="1">
      <c r="A404" s="14">
        <v>37090.0</v>
      </c>
      <c r="B404" s="15">
        <v>3.96</v>
      </c>
      <c r="C404" s="15"/>
      <c r="D404" s="15">
        <v>6.2</v>
      </c>
      <c r="E404" s="15"/>
      <c r="F404" s="15" t="str">
        <f t="shared" si="1"/>
        <v/>
      </c>
      <c r="G404" s="15">
        <f t="shared" si="2"/>
        <v>6.2</v>
      </c>
      <c r="H404" s="16">
        <v>1.0</v>
      </c>
      <c r="I404" s="15">
        <f t="shared" si="3"/>
        <v>2.24</v>
      </c>
      <c r="J404" s="15">
        <v>23.6</v>
      </c>
      <c r="K404" s="16">
        <f>IF(COUNTIFS(Release_Calendar!$A$2:$A$755,"US_CPI",Release_Calendar!$B$2:$B$755,$A404)&gt;0,1,0)</f>
        <v>1</v>
      </c>
      <c r="L404" s="16">
        <f>IF(COUNTIFS(Release_Calendar!$A$2:$A$755,"US_NFP",Release_Calendar!$B$2:$B$755,$A404)&gt;0,1,0)</f>
        <v>0</v>
      </c>
      <c r="M404" s="16" t="str">
        <f>IF($A404&lt;Notes!$B$5,"",IF(COUNTIFS(Release_Calendar!$A$2:$A$755,"NZ_CPI",Release_Calendar!$B$2:$B$755,$A404)&gt;0,1,0))</f>
        <v/>
      </c>
      <c r="N404" s="16" t="str">
        <f>IF($A404&lt;Notes!$B$5,"",IF(COUNTIFS(Release_Calendar!$A$2:$A$755,"NZ_GDP",Release_Calendar!$B$2:$B$755,$A404)&gt;0,1,0))</f>
        <v/>
      </c>
      <c r="O404" s="16" t="str">
        <f>IF($A404&lt;Notes!$B$5,"",IF(COUNTIFS(Release_Calendar!$A$2:$A$755,"NZ_LABOUR",Release_Calendar!$B$2:$B$755,$A404)&gt;0,1,0))</f>
        <v/>
      </c>
      <c r="P404" s="16">
        <f t="shared" si="4"/>
        <v>1</v>
      </c>
    </row>
    <row r="405" ht="15.75" customHeight="1">
      <c r="A405" s="14">
        <v>37091.0</v>
      </c>
      <c r="B405" s="15">
        <v>3.98</v>
      </c>
      <c r="C405" s="15"/>
      <c r="D405" s="15">
        <v>6.1</v>
      </c>
      <c r="E405" s="15"/>
      <c r="F405" s="15" t="str">
        <f t="shared" si="1"/>
        <v/>
      </c>
      <c r="G405" s="15">
        <f t="shared" si="2"/>
        <v>6.1</v>
      </c>
      <c r="H405" s="16">
        <v>1.0</v>
      </c>
      <c r="I405" s="15">
        <f t="shared" si="3"/>
        <v>2.12</v>
      </c>
      <c r="J405" s="15">
        <v>22.51</v>
      </c>
      <c r="K405" s="16">
        <f>IF(COUNTIFS(Release_Calendar!$A$2:$A$755,"US_CPI",Release_Calendar!$B$2:$B$755,$A405)&gt;0,1,0)</f>
        <v>0</v>
      </c>
      <c r="L405" s="16">
        <f>IF(COUNTIFS(Release_Calendar!$A$2:$A$755,"US_NFP",Release_Calendar!$B$2:$B$755,$A405)&gt;0,1,0)</f>
        <v>0</v>
      </c>
      <c r="M405" s="16" t="str">
        <f>IF($A405&lt;Notes!$B$5,"",IF(COUNTIFS(Release_Calendar!$A$2:$A$755,"NZ_CPI",Release_Calendar!$B$2:$B$755,$A405)&gt;0,1,0))</f>
        <v/>
      </c>
      <c r="N405" s="16" t="str">
        <f>IF($A405&lt;Notes!$B$5,"",IF(COUNTIFS(Release_Calendar!$A$2:$A$755,"NZ_GDP",Release_Calendar!$B$2:$B$755,$A405)&gt;0,1,0))</f>
        <v/>
      </c>
      <c r="O405" s="16" t="str">
        <f>IF($A405&lt;Notes!$B$5,"",IF(COUNTIFS(Release_Calendar!$A$2:$A$755,"NZ_LABOUR",Release_Calendar!$B$2:$B$755,$A405)&gt;0,1,0))</f>
        <v/>
      </c>
      <c r="P405" s="16">
        <f t="shared" si="4"/>
        <v>0</v>
      </c>
    </row>
    <row r="406" ht="15.75" customHeight="1">
      <c r="A406" s="14">
        <v>37092.0</v>
      </c>
      <c r="B406" s="15">
        <v>3.98</v>
      </c>
      <c r="C406" s="15"/>
      <c r="D406" s="15">
        <v>6.07</v>
      </c>
      <c r="E406" s="15"/>
      <c r="F406" s="15" t="str">
        <f t="shared" si="1"/>
        <v/>
      </c>
      <c r="G406" s="15">
        <f t="shared" si="2"/>
        <v>6.07</v>
      </c>
      <c r="H406" s="16">
        <v>1.0</v>
      </c>
      <c r="I406" s="15">
        <f t="shared" si="3"/>
        <v>2.09</v>
      </c>
      <c r="J406" s="15">
        <v>22.34</v>
      </c>
      <c r="K406" s="16">
        <f>IF(COUNTIFS(Release_Calendar!$A$2:$A$755,"US_CPI",Release_Calendar!$B$2:$B$755,$A406)&gt;0,1,0)</f>
        <v>0</v>
      </c>
      <c r="L406" s="16">
        <f>IF(COUNTIFS(Release_Calendar!$A$2:$A$755,"US_NFP",Release_Calendar!$B$2:$B$755,$A406)&gt;0,1,0)</f>
        <v>0</v>
      </c>
      <c r="M406" s="16" t="str">
        <f>IF($A406&lt;Notes!$B$5,"",IF(COUNTIFS(Release_Calendar!$A$2:$A$755,"NZ_CPI",Release_Calendar!$B$2:$B$755,$A406)&gt;0,1,0))</f>
        <v/>
      </c>
      <c r="N406" s="16" t="str">
        <f>IF($A406&lt;Notes!$B$5,"",IF(COUNTIFS(Release_Calendar!$A$2:$A$755,"NZ_GDP",Release_Calendar!$B$2:$B$755,$A406)&gt;0,1,0))</f>
        <v/>
      </c>
      <c r="O406" s="16" t="str">
        <f>IF($A406&lt;Notes!$B$5,"",IF(COUNTIFS(Release_Calendar!$A$2:$A$755,"NZ_LABOUR",Release_Calendar!$B$2:$B$755,$A406)&gt;0,1,0))</f>
        <v/>
      </c>
      <c r="P406" s="16">
        <f t="shared" si="4"/>
        <v>0</v>
      </c>
    </row>
    <row r="407" ht="15.75" customHeight="1">
      <c r="A407" s="14">
        <v>37095.0</v>
      </c>
      <c r="B407" s="15">
        <v>3.98</v>
      </c>
      <c r="C407" s="15"/>
      <c r="D407" s="15">
        <v>6.05</v>
      </c>
      <c r="E407" s="15"/>
      <c r="F407" s="15" t="str">
        <f t="shared" si="1"/>
        <v/>
      </c>
      <c r="G407" s="15">
        <f t="shared" si="2"/>
        <v>6.05</v>
      </c>
      <c r="H407" s="16">
        <v>1.0</v>
      </c>
      <c r="I407" s="15">
        <f t="shared" si="3"/>
        <v>2.07</v>
      </c>
      <c r="J407" s="15">
        <v>23.74</v>
      </c>
      <c r="K407" s="16">
        <f>IF(COUNTIFS(Release_Calendar!$A$2:$A$755,"US_CPI",Release_Calendar!$B$2:$B$755,$A407)&gt;0,1,0)</f>
        <v>0</v>
      </c>
      <c r="L407" s="16">
        <f>IF(COUNTIFS(Release_Calendar!$A$2:$A$755,"US_NFP",Release_Calendar!$B$2:$B$755,$A407)&gt;0,1,0)</f>
        <v>0</v>
      </c>
      <c r="M407" s="16" t="str">
        <f>IF($A407&lt;Notes!$B$5,"",IF(COUNTIFS(Release_Calendar!$A$2:$A$755,"NZ_CPI",Release_Calendar!$B$2:$B$755,$A407)&gt;0,1,0))</f>
        <v/>
      </c>
      <c r="N407" s="16" t="str">
        <f>IF($A407&lt;Notes!$B$5,"",IF(COUNTIFS(Release_Calendar!$A$2:$A$755,"NZ_GDP",Release_Calendar!$B$2:$B$755,$A407)&gt;0,1,0))</f>
        <v/>
      </c>
      <c r="O407" s="16" t="str">
        <f>IF($A407&lt;Notes!$B$5,"",IF(COUNTIFS(Release_Calendar!$A$2:$A$755,"NZ_LABOUR",Release_Calendar!$B$2:$B$755,$A407)&gt;0,1,0))</f>
        <v/>
      </c>
      <c r="P407" s="16">
        <f t="shared" si="4"/>
        <v>0</v>
      </c>
    </row>
    <row r="408" ht="15.75" customHeight="1">
      <c r="A408" s="14">
        <v>37096.0</v>
      </c>
      <c r="B408" s="15">
        <v>3.97</v>
      </c>
      <c r="C408" s="15"/>
      <c r="D408" s="15">
        <v>6.05</v>
      </c>
      <c r="E408" s="15"/>
      <c r="F408" s="15" t="str">
        <f t="shared" si="1"/>
        <v/>
      </c>
      <c r="G408" s="15">
        <f t="shared" si="2"/>
        <v>6.05</v>
      </c>
      <c r="H408" s="16">
        <v>1.0</v>
      </c>
      <c r="I408" s="15">
        <f t="shared" si="3"/>
        <v>2.08</v>
      </c>
      <c r="J408" s="15">
        <v>25.24</v>
      </c>
      <c r="K408" s="16">
        <f>IF(COUNTIFS(Release_Calendar!$A$2:$A$755,"US_CPI",Release_Calendar!$B$2:$B$755,$A408)&gt;0,1,0)</f>
        <v>0</v>
      </c>
      <c r="L408" s="16">
        <f>IF(COUNTIFS(Release_Calendar!$A$2:$A$755,"US_NFP",Release_Calendar!$B$2:$B$755,$A408)&gt;0,1,0)</f>
        <v>0</v>
      </c>
      <c r="M408" s="16" t="str">
        <f>IF($A408&lt;Notes!$B$5,"",IF(COUNTIFS(Release_Calendar!$A$2:$A$755,"NZ_CPI",Release_Calendar!$B$2:$B$755,$A408)&gt;0,1,0))</f>
        <v/>
      </c>
      <c r="N408" s="16" t="str">
        <f>IF($A408&lt;Notes!$B$5,"",IF(COUNTIFS(Release_Calendar!$A$2:$A$755,"NZ_GDP",Release_Calendar!$B$2:$B$755,$A408)&gt;0,1,0))</f>
        <v/>
      </c>
      <c r="O408" s="16" t="str">
        <f>IF($A408&lt;Notes!$B$5,"",IF(COUNTIFS(Release_Calendar!$A$2:$A$755,"NZ_LABOUR",Release_Calendar!$B$2:$B$755,$A408)&gt;0,1,0))</f>
        <v/>
      </c>
      <c r="P408" s="16">
        <f t="shared" si="4"/>
        <v>0</v>
      </c>
    </row>
    <row r="409" ht="15.75" customHeight="1">
      <c r="A409" s="14">
        <v>37097.0</v>
      </c>
      <c r="B409" s="15">
        <v>3.98</v>
      </c>
      <c r="C409" s="15"/>
      <c r="D409" s="15">
        <v>6.05</v>
      </c>
      <c r="E409" s="15"/>
      <c r="F409" s="15" t="str">
        <f t="shared" si="1"/>
        <v/>
      </c>
      <c r="G409" s="15">
        <f t="shared" si="2"/>
        <v>6.05</v>
      </c>
      <c r="H409" s="16">
        <v>1.0</v>
      </c>
      <c r="I409" s="15">
        <f t="shared" si="3"/>
        <v>2.07</v>
      </c>
      <c r="J409" s="15">
        <v>24.0</v>
      </c>
      <c r="K409" s="16">
        <f>IF(COUNTIFS(Release_Calendar!$A$2:$A$755,"US_CPI",Release_Calendar!$B$2:$B$755,$A409)&gt;0,1,0)</f>
        <v>0</v>
      </c>
      <c r="L409" s="16">
        <f>IF(COUNTIFS(Release_Calendar!$A$2:$A$755,"US_NFP",Release_Calendar!$B$2:$B$755,$A409)&gt;0,1,0)</f>
        <v>0</v>
      </c>
      <c r="M409" s="16" t="str">
        <f>IF($A409&lt;Notes!$B$5,"",IF(COUNTIFS(Release_Calendar!$A$2:$A$755,"NZ_CPI",Release_Calendar!$B$2:$B$755,$A409)&gt;0,1,0))</f>
        <v/>
      </c>
      <c r="N409" s="16" t="str">
        <f>IF($A409&lt;Notes!$B$5,"",IF(COUNTIFS(Release_Calendar!$A$2:$A$755,"NZ_GDP",Release_Calendar!$B$2:$B$755,$A409)&gt;0,1,0))</f>
        <v/>
      </c>
      <c r="O409" s="16" t="str">
        <f>IF($A409&lt;Notes!$B$5,"",IF(COUNTIFS(Release_Calendar!$A$2:$A$755,"NZ_LABOUR",Release_Calendar!$B$2:$B$755,$A409)&gt;0,1,0))</f>
        <v/>
      </c>
      <c r="P409" s="16">
        <f t="shared" si="4"/>
        <v>0</v>
      </c>
    </row>
    <row r="410" ht="15.75" customHeight="1">
      <c r="A410" s="14">
        <v>37098.0</v>
      </c>
      <c r="B410" s="15">
        <v>3.94</v>
      </c>
      <c r="C410" s="15"/>
      <c r="D410" s="15">
        <v>6.16</v>
      </c>
      <c r="E410" s="15"/>
      <c r="F410" s="15" t="str">
        <f t="shared" si="1"/>
        <v/>
      </c>
      <c r="G410" s="15">
        <f t="shared" si="2"/>
        <v>6.16</v>
      </c>
      <c r="H410" s="16">
        <v>1.0</v>
      </c>
      <c r="I410" s="15">
        <f t="shared" si="3"/>
        <v>2.22</v>
      </c>
      <c r="J410" s="15">
        <v>23.01</v>
      </c>
      <c r="K410" s="16">
        <f>IF(COUNTIFS(Release_Calendar!$A$2:$A$755,"US_CPI",Release_Calendar!$B$2:$B$755,$A410)&gt;0,1,0)</f>
        <v>0</v>
      </c>
      <c r="L410" s="16">
        <f>IF(COUNTIFS(Release_Calendar!$A$2:$A$755,"US_NFP",Release_Calendar!$B$2:$B$755,$A410)&gt;0,1,0)</f>
        <v>0</v>
      </c>
      <c r="M410" s="16" t="str">
        <f>IF($A410&lt;Notes!$B$5,"",IF(COUNTIFS(Release_Calendar!$A$2:$A$755,"NZ_CPI",Release_Calendar!$B$2:$B$755,$A410)&gt;0,1,0))</f>
        <v/>
      </c>
      <c r="N410" s="16" t="str">
        <f>IF($A410&lt;Notes!$B$5,"",IF(COUNTIFS(Release_Calendar!$A$2:$A$755,"NZ_GDP",Release_Calendar!$B$2:$B$755,$A410)&gt;0,1,0))</f>
        <v/>
      </c>
      <c r="O410" s="16" t="str">
        <f>IF($A410&lt;Notes!$B$5,"",IF(COUNTIFS(Release_Calendar!$A$2:$A$755,"NZ_LABOUR",Release_Calendar!$B$2:$B$755,$A410)&gt;0,1,0))</f>
        <v/>
      </c>
      <c r="P410" s="16">
        <f t="shared" si="4"/>
        <v>0</v>
      </c>
    </row>
    <row r="411" ht="15.75" customHeight="1">
      <c r="A411" s="14">
        <v>37099.0</v>
      </c>
      <c r="B411" s="15">
        <v>3.87</v>
      </c>
      <c r="C411" s="15"/>
      <c r="D411" s="15">
        <v>6.14</v>
      </c>
      <c r="E411" s="15"/>
      <c r="F411" s="15" t="str">
        <f t="shared" si="1"/>
        <v/>
      </c>
      <c r="G411" s="15">
        <f t="shared" si="2"/>
        <v>6.14</v>
      </c>
      <c r="H411" s="16">
        <v>1.0</v>
      </c>
      <c r="I411" s="15">
        <f t="shared" si="3"/>
        <v>2.27</v>
      </c>
      <c r="J411" s="15">
        <v>22.0</v>
      </c>
      <c r="K411" s="16">
        <f>IF(COUNTIFS(Release_Calendar!$A$2:$A$755,"US_CPI",Release_Calendar!$B$2:$B$755,$A411)&gt;0,1,0)</f>
        <v>0</v>
      </c>
      <c r="L411" s="16">
        <f>IF(COUNTIFS(Release_Calendar!$A$2:$A$755,"US_NFP",Release_Calendar!$B$2:$B$755,$A411)&gt;0,1,0)</f>
        <v>0</v>
      </c>
      <c r="M411" s="16" t="str">
        <f>IF($A411&lt;Notes!$B$5,"",IF(COUNTIFS(Release_Calendar!$A$2:$A$755,"NZ_CPI",Release_Calendar!$B$2:$B$755,$A411)&gt;0,1,0))</f>
        <v/>
      </c>
      <c r="N411" s="16" t="str">
        <f>IF($A411&lt;Notes!$B$5,"",IF(COUNTIFS(Release_Calendar!$A$2:$A$755,"NZ_GDP",Release_Calendar!$B$2:$B$755,$A411)&gt;0,1,0))</f>
        <v/>
      </c>
      <c r="O411" s="16" t="str">
        <f>IF($A411&lt;Notes!$B$5,"",IF(COUNTIFS(Release_Calendar!$A$2:$A$755,"NZ_LABOUR",Release_Calendar!$B$2:$B$755,$A411)&gt;0,1,0))</f>
        <v/>
      </c>
      <c r="P411" s="16">
        <f t="shared" si="4"/>
        <v>0</v>
      </c>
    </row>
    <row r="412" ht="15.75" customHeight="1">
      <c r="A412" s="14">
        <v>37102.0</v>
      </c>
      <c r="B412" s="15">
        <v>3.86</v>
      </c>
      <c r="C412" s="15"/>
      <c r="D412" s="15">
        <v>6.1</v>
      </c>
      <c r="E412" s="15"/>
      <c r="F412" s="15" t="str">
        <f t="shared" si="1"/>
        <v/>
      </c>
      <c r="G412" s="15">
        <f t="shared" si="2"/>
        <v>6.1</v>
      </c>
      <c r="H412" s="16">
        <v>1.0</v>
      </c>
      <c r="I412" s="15">
        <f t="shared" si="3"/>
        <v>2.24</v>
      </c>
      <c r="J412" s="15">
        <v>22.69</v>
      </c>
      <c r="K412" s="16">
        <f>IF(COUNTIFS(Release_Calendar!$A$2:$A$755,"US_CPI",Release_Calendar!$B$2:$B$755,$A412)&gt;0,1,0)</f>
        <v>0</v>
      </c>
      <c r="L412" s="16">
        <f>IF(COUNTIFS(Release_Calendar!$A$2:$A$755,"US_NFP",Release_Calendar!$B$2:$B$755,$A412)&gt;0,1,0)</f>
        <v>0</v>
      </c>
      <c r="M412" s="16" t="str">
        <f>IF($A412&lt;Notes!$B$5,"",IF(COUNTIFS(Release_Calendar!$A$2:$A$755,"NZ_CPI",Release_Calendar!$B$2:$B$755,$A412)&gt;0,1,0))</f>
        <v/>
      </c>
      <c r="N412" s="16" t="str">
        <f>IF($A412&lt;Notes!$B$5,"",IF(COUNTIFS(Release_Calendar!$A$2:$A$755,"NZ_GDP",Release_Calendar!$B$2:$B$755,$A412)&gt;0,1,0))</f>
        <v/>
      </c>
      <c r="O412" s="16" t="str">
        <f>IF($A412&lt;Notes!$B$5,"",IF(COUNTIFS(Release_Calendar!$A$2:$A$755,"NZ_LABOUR",Release_Calendar!$B$2:$B$755,$A412)&gt;0,1,0))</f>
        <v/>
      </c>
      <c r="P412" s="16">
        <f t="shared" si="4"/>
        <v>0</v>
      </c>
    </row>
    <row r="413" ht="15.75" customHeight="1">
      <c r="A413" s="14">
        <v>37103.0</v>
      </c>
      <c r="B413" s="15">
        <v>3.79</v>
      </c>
      <c r="C413" s="15"/>
      <c r="D413" s="15">
        <v>6.08</v>
      </c>
      <c r="E413" s="15"/>
      <c r="F413" s="15" t="str">
        <f t="shared" si="1"/>
        <v/>
      </c>
      <c r="G413" s="15">
        <f t="shared" si="2"/>
        <v>6.08</v>
      </c>
      <c r="H413" s="16">
        <v>1.0</v>
      </c>
      <c r="I413" s="15">
        <f t="shared" si="3"/>
        <v>2.29</v>
      </c>
      <c r="J413" s="15">
        <v>21.62</v>
      </c>
      <c r="K413" s="16">
        <f>IF(COUNTIFS(Release_Calendar!$A$2:$A$755,"US_CPI",Release_Calendar!$B$2:$B$755,$A413)&gt;0,1,0)</f>
        <v>0</v>
      </c>
      <c r="L413" s="16">
        <f>IF(COUNTIFS(Release_Calendar!$A$2:$A$755,"US_NFP",Release_Calendar!$B$2:$B$755,$A413)&gt;0,1,0)</f>
        <v>0</v>
      </c>
      <c r="M413" s="16" t="str">
        <f>IF($A413&lt;Notes!$B$5,"",IF(COUNTIFS(Release_Calendar!$A$2:$A$755,"NZ_CPI",Release_Calendar!$B$2:$B$755,$A413)&gt;0,1,0))</f>
        <v/>
      </c>
      <c r="N413" s="16" t="str">
        <f>IF($A413&lt;Notes!$B$5,"",IF(COUNTIFS(Release_Calendar!$A$2:$A$755,"NZ_GDP",Release_Calendar!$B$2:$B$755,$A413)&gt;0,1,0))</f>
        <v/>
      </c>
      <c r="O413" s="16" t="str">
        <f>IF($A413&lt;Notes!$B$5,"",IF(COUNTIFS(Release_Calendar!$A$2:$A$755,"NZ_LABOUR",Release_Calendar!$B$2:$B$755,$A413)&gt;0,1,0))</f>
        <v/>
      </c>
      <c r="P413" s="16">
        <f t="shared" si="4"/>
        <v>0</v>
      </c>
    </row>
    <row r="414" ht="15.75" customHeight="1">
      <c r="A414" s="14">
        <v>37104.0</v>
      </c>
      <c r="B414" s="15">
        <v>3.83</v>
      </c>
      <c r="C414" s="15"/>
      <c r="D414" s="15">
        <v>6.06</v>
      </c>
      <c r="E414" s="15"/>
      <c r="F414" s="15" t="str">
        <f t="shared" si="1"/>
        <v/>
      </c>
      <c r="G414" s="15">
        <f t="shared" si="2"/>
        <v>6.06</v>
      </c>
      <c r="H414" s="16">
        <v>1.0</v>
      </c>
      <c r="I414" s="15">
        <f t="shared" si="3"/>
        <v>2.23</v>
      </c>
      <c r="J414" s="15">
        <v>20.56</v>
      </c>
      <c r="K414" s="16">
        <f>IF(COUNTIFS(Release_Calendar!$A$2:$A$755,"US_CPI",Release_Calendar!$B$2:$B$755,$A414)&gt;0,1,0)</f>
        <v>0</v>
      </c>
      <c r="L414" s="16">
        <f>IF(COUNTIFS(Release_Calendar!$A$2:$A$755,"US_NFP",Release_Calendar!$B$2:$B$755,$A414)&gt;0,1,0)</f>
        <v>0</v>
      </c>
      <c r="M414" s="16" t="str">
        <f>IF($A414&lt;Notes!$B$5,"",IF(COUNTIFS(Release_Calendar!$A$2:$A$755,"NZ_CPI",Release_Calendar!$B$2:$B$755,$A414)&gt;0,1,0))</f>
        <v/>
      </c>
      <c r="N414" s="16" t="str">
        <f>IF($A414&lt;Notes!$B$5,"",IF(COUNTIFS(Release_Calendar!$A$2:$A$755,"NZ_GDP",Release_Calendar!$B$2:$B$755,$A414)&gt;0,1,0))</f>
        <v/>
      </c>
      <c r="O414" s="16" t="str">
        <f>IF($A414&lt;Notes!$B$5,"",IF(COUNTIFS(Release_Calendar!$A$2:$A$755,"NZ_LABOUR",Release_Calendar!$B$2:$B$755,$A414)&gt;0,1,0))</f>
        <v/>
      </c>
      <c r="P414" s="16">
        <f t="shared" si="4"/>
        <v>0</v>
      </c>
    </row>
    <row r="415" ht="15.75" customHeight="1">
      <c r="A415" s="14">
        <v>37105.0</v>
      </c>
      <c r="B415" s="15">
        <v>3.89</v>
      </c>
      <c r="C415" s="15"/>
      <c r="D415" s="15">
        <v>6.04</v>
      </c>
      <c r="E415" s="15"/>
      <c r="F415" s="15" t="str">
        <f t="shared" si="1"/>
        <v/>
      </c>
      <c r="G415" s="15">
        <f t="shared" si="2"/>
        <v>6.04</v>
      </c>
      <c r="H415" s="16">
        <v>1.0</v>
      </c>
      <c r="I415" s="15">
        <f t="shared" si="3"/>
        <v>2.15</v>
      </c>
      <c r="J415" s="15">
        <v>20.09</v>
      </c>
      <c r="K415" s="16">
        <f>IF(COUNTIFS(Release_Calendar!$A$2:$A$755,"US_CPI",Release_Calendar!$B$2:$B$755,$A415)&gt;0,1,0)</f>
        <v>0</v>
      </c>
      <c r="L415" s="16">
        <f>IF(COUNTIFS(Release_Calendar!$A$2:$A$755,"US_NFP",Release_Calendar!$B$2:$B$755,$A415)&gt;0,1,0)</f>
        <v>0</v>
      </c>
      <c r="M415" s="16" t="str">
        <f>IF($A415&lt;Notes!$B$5,"",IF(COUNTIFS(Release_Calendar!$A$2:$A$755,"NZ_CPI",Release_Calendar!$B$2:$B$755,$A415)&gt;0,1,0))</f>
        <v/>
      </c>
      <c r="N415" s="16" t="str">
        <f>IF($A415&lt;Notes!$B$5,"",IF(COUNTIFS(Release_Calendar!$A$2:$A$755,"NZ_GDP",Release_Calendar!$B$2:$B$755,$A415)&gt;0,1,0))</f>
        <v/>
      </c>
      <c r="O415" s="16" t="str">
        <f>IF($A415&lt;Notes!$B$5,"",IF(COUNTIFS(Release_Calendar!$A$2:$A$755,"NZ_LABOUR",Release_Calendar!$B$2:$B$755,$A415)&gt;0,1,0))</f>
        <v/>
      </c>
      <c r="P415" s="16">
        <f t="shared" si="4"/>
        <v>0</v>
      </c>
    </row>
    <row r="416" ht="15.75" customHeight="1">
      <c r="A416" s="14">
        <v>37106.0</v>
      </c>
      <c r="B416" s="15">
        <v>3.91</v>
      </c>
      <c r="C416" s="15"/>
      <c r="D416" s="15">
        <v>6.05</v>
      </c>
      <c r="E416" s="15"/>
      <c r="F416" s="15" t="str">
        <f t="shared" si="1"/>
        <v/>
      </c>
      <c r="G416" s="15">
        <f t="shared" si="2"/>
        <v>6.05</v>
      </c>
      <c r="H416" s="16">
        <v>1.0</v>
      </c>
      <c r="I416" s="15">
        <f t="shared" si="3"/>
        <v>2.14</v>
      </c>
      <c r="J416" s="15">
        <v>19.89</v>
      </c>
      <c r="K416" s="16">
        <f>IF(COUNTIFS(Release_Calendar!$A$2:$A$755,"US_CPI",Release_Calendar!$B$2:$B$755,$A416)&gt;0,1,0)</f>
        <v>0</v>
      </c>
      <c r="L416" s="16">
        <f>IF(COUNTIFS(Release_Calendar!$A$2:$A$755,"US_NFP",Release_Calendar!$B$2:$B$755,$A416)&gt;0,1,0)</f>
        <v>1</v>
      </c>
      <c r="M416" s="16" t="str">
        <f>IF($A416&lt;Notes!$B$5,"",IF(COUNTIFS(Release_Calendar!$A$2:$A$755,"NZ_CPI",Release_Calendar!$B$2:$B$755,$A416)&gt;0,1,0))</f>
        <v/>
      </c>
      <c r="N416" s="16" t="str">
        <f>IF($A416&lt;Notes!$B$5,"",IF(COUNTIFS(Release_Calendar!$A$2:$A$755,"NZ_GDP",Release_Calendar!$B$2:$B$755,$A416)&gt;0,1,0))</f>
        <v/>
      </c>
      <c r="O416" s="16" t="str">
        <f>IF($A416&lt;Notes!$B$5,"",IF(COUNTIFS(Release_Calendar!$A$2:$A$755,"NZ_LABOUR",Release_Calendar!$B$2:$B$755,$A416)&gt;0,1,0))</f>
        <v/>
      </c>
      <c r="P416" s="16">
        <f t="shared" si="4"/>
        <v>1</v>
      </c>
    </row>
    <row r="417" ht="15.75" customHeight="1">
      <c r="A417" s="14">
        <v>37109.0</v>
      </c>
      <c r="B417" s="15">
        <v>3.88</v>
      </c>
      <c r="C417" s="15"/>
      <c r="D417" s="15">
        <v>6.03</v>
      </c>
      <c r="E417" s="15"/>
      <c r="F417" s="15" t="str">
        <f t="shared" si="1"/>
        <v/>
      </c>
      <c r="G417" s="15">
        <f t="shared" si="2"/>
        <v>6.03</v>
      </c>
      <c r="H417" s="16">
        <v>1.0</v>
      </c>
      <c r="I417" s="15">
        <f t="shared" si="3"/>
        <v>2.15</v>
      </c>
      <c r="J417" s="15">
        <v>21.89</v>
      </c>
      <c r="K417" s="16">
        <f>IF(COUNTIFS(Release_Calendar!$A$2:$A$755,"US_CPI",Release_Calendar!$B$2:$B$755,$A417)&gt;0,1,0)</f>
        <v>0</v>
      </c>
      <c r="L417" s="16">
        <f>IF(COUNTIFS(Release_Calendar!$A$2:$A$755,"US_NFP",Release_Calendar!$B$2:$B$755,$A417)&gt;0,1,0)</f>
        <v>0</v>
      </c>
      <c r="M417" s="16" t="str">
        <f>IF($A417&lt;Notes!$B$5,"",IF(COUNTIFS(Release_Calendar!$A$2:$A$755,"NZ_CPI",Release_Calendar!$B$2:$B$755,$A417)&gt;0,1,0))</f>
        <v/>
      </c>
      <c r="N417" s="16" t="str">
        <f>IF($A417&lt;Notes!$B$5,"",IF(COUNTIFS(Release_Calendar!$A$2:$A$755,"NZ_GDP",Release_Calendar!$B$2:$B$755,$A417)&gt;0,1,0))</f>
        <v/>
      </c>
      <c r="O417" s="16" t="str">
        <f>IF($A417&lt;Notes!$B$5,"",IF(COUNTIFS(Release_Calendar!$A$2:$A$755,"NZ_LABOUR",Release_Calendar!$B$2:$B$755,$A417)&gt;0,1,0))</f>
        <v/>
      </c>
      <c r="P417" s="16">
        <f t="shared" si="4"/>
        <v>0</v>
      </c>
    </row>
    <row r="418" ht="15.75" customHeight="1">
      <c r="A418" s="14">
        <v>37110.0</v>
      </c>
      <c r="B418" s="15">
        <v>3.9</v>
      </c>
      <c r="C418" s="15"/>
      <c r="D418" s="15">
        <v>6.01</v>
      </c>
      <c r="E418" s="15"/>
      <c r="F418" s="15" t="str">
        <f t="shared" si="1"/>
        <v/>
      </c>
      <c r="G418" s="15">
        <f t="shared" si="2"/>
        <v>6.01</v>
      </c>
      <c r="H418" s="16">
        <v>1.0</v>
      </c>
      <c r="I418" s="15">
        <f t="shared" si="3"/>
        <v>2.11</v>
      </c>
      <c r="J418" s="15">
        <v>21.01</v>
      </c>
      <c r="K418" s="16">
        <f>IF(COUNTIFS(Release_Calendar!$A$2:$A$755,"US_CPI",Release_Calendar!$B$2:$B$755,$A418)&gt;0,1,0)</f>
        <v>0</v>
      </c>
      <c r="L418" s="16">
        <f>IF(COUNTIFS(Release_Calendar!$A$2:$A$755,"US_NFP",Release_Calendar!$B$2:$B$755,$A418)&gt;0,1,0)</f>
        <v>0</v>
      </c>
      <c r="M418" s="16" t="str">
        <f>IF($A418&lt;Notes!$B$5,"",IF(COUNTIFS(Release_Calendar!$A$2:$A$755,"NZ_CPI",Release_Calendar!$B$2:$B$755,$A418)&gt;0,1,0))</f>
        <v/>
      </c>
      <c r="N418" s="16" t="str">
        <f>IF($A418&lt;Notes!$B$5,"",IF(COUNTIFS(Release_Calendar!$A$2:$A$755,"NZ_GDP",Release_Calendar!$B$2:$B$755,$A418)&gt;0,1,0))</f>
        <v/>
      </c>
      <c r="O418" s="16" t="str">
        <f>IF($A418&lt;Notes!$B$5,"",IF(COUNTIFS(Release_Calendar!$A$2:$A$755,"NZ_LABOUR",Release_Calendar!$B$2:$B$755,$A418)&gt;0,1,0))</f>
        <v/>
      </c>
      <c r="P418" s="16">
        <f t="shared" si="4"/>
        <v>0</v>
      </c>
    </row>
    <row r="419" ht="15.75" customHeight="1">
      <c r="A419" s="14">
        <v>37111.0</v>
      </c>
      <c r="B419" s="15">
        <v>3.77</v>
      </c>
      <c r="C419" s="15"/>
      <c r="D419" s="15">
        <v>6.01</v>
      </c>
      <c r="E419" s="15"/>
      <c r="F419" s="15" t="str">
        <f t="shared" si="1"/>
        <v/>
      </c>
      <c r="G419" s="15">
        <f t="shared" si="2"/>
        <v>6.01</v>
      </c>
      <c r="H419" s="16">
        <v>1.0</v>
      </c>
      <c r="I419" s="15">
        <f t="shared" si="3"/>
        <v>2.24</v>
      </c>
      <c r="J419" s="15">
        <v>22.32</v>
      </c>
      <c r="K419" s="16">
        <f>IF(COUNTIFS(Release_Calendar!$A$2:$A$755,"US_CPI",Release_Calendar!$B$2:$B$755,$A419)&gt;0,1,0)</f>
        <v>0</v>
      </c>
      <c r="L419" s="16">
        <f>IF(COUNTIFS(Release_Calendar!$A$2:$A$755,"US_NFP",Release_Calendar!$B$2:$B$755,$A419)&gt;0,1,0)</f>
        <v>0</v>
      </c>
      <c r="M419" s="16" t="str">
        <f>IF($A419&lt;Notes!$B$5,"",IF(COUNTIFS(Release_Calendar!$A$2:$A$755,"NZ_CPI",Release_Calendar!$B$2:$B$755,$A419)&gt;0,1,0))</f>
        <v/>
      </c>
      <c r="N419" s="16" t="str">
        <f>IF($A419&lt;Notes!$B$5,"",IF(COUNTIFS(Release_Calendar!$A$2:$A$755,"NZ_GDP",Release_Calendar!$B$2:$B$755,$A419)&gt;0,1,0))</f>
        <v/>
      </c>
      <c r="O419" s="16" t="str">
        <f>IF($A419&lt;Notes!$B$5,"",IF(COUNTIFS(Release_Calendar!$A$2:$A$755,"NZ_LABOUR",Release_Calendar!$B$2:$B$755,$A419)&gt;0,1,0))</f>
        <v/>
      </c>
      <c r="P419" s="16">
        <f t="shared" si="4"/>
        <v>0</v>
      </c>
    </row>
    <row r="420" ht="15.75" customHeight="1">
      <c r="A420" s="14">
        <v>37112.0</v>
      </c>
      <c r="B420" s="15">
        <v>3.77</v>
      </c>
      <c r="C420" s="15"/>
      <c r="D420" s="15">
        <v>6.0</v>
      </c>
      <c r="E420" s="15"/>
      <c r="F420" s="15" t="str">
        <f t="shared" si="1"/>
        <v/>
      </c>
      <c r="G420" s="15">
        <f t="shared" si="2"/>
        <v>6</v>
      </c>
      <c r="H420" s="16">
        <v>1.0</v>
      </c>
      <c r="I420" s="15">
        <f t="shared" si="3"/>
        <v>2.23</v>
      </c>
      <c r="J420" s="15">
        <v>21.75</v>
      </c>
      <c r="K420" s="16">
        <f>IF(COUNTIFS(Release_Calendar!$A$2:$A$755,"US_CPI",Release_Calendar!$B$2:$B$755,$A420)&gt;0,1,0)</f>
        <v>0</v>
      </c>
      <c r="L420" s="16">
        <f>IF(COUNTIFS(Release_Calendar!$A$2:$A$755,"US_NFP",Release_Calendar!$B$2:$B$755,$A420)&gt;0,1,0)</f>
        <v>0</v>
      </c>
      <c r="M420" s="16" t="str">
        <f>IF($A420&lt;Notes!$B$5,"",IF(COUNTIFS(Release_Calendar!$A$2:$A$755,"NZ_CPI",Release_Calendar!$B$2:$B$755,$A420)&gt;0,1,0))</f>
        <v/>
      </c>
      <c r="N420" s="16" t="str">
        <f>IF($A420&lt;Notes!$B$5,"",IF(COUNTIFS(Release_Calendar!$A$2:$A$755,"NZ_GDP",Release_Calendar!$B$2:$B$755,$A420)&gt;0,1,0))</f>
        <v/>
      </c>
      <c r="O420" s="16" t="str">
        <f>IF($A420&lt;Notes!$B$5,"",IF(COUNTIFS(Release_Calendar!$A$2:$A$755,"NZ_LABOUR",Release_Calendar!$B$2:$B$755,$A420)&gt;0,1,0))</f>
        <v/>
      </c>
      <c r="P420" s="16">
        <f t="shared" si="4"/>
        <v>0</v>
      </c>
    </row>
    <row r="421" ht="15.75" customHeight="1">
      <c r="A421" s="14">
        <v>37113.0</v>
      </c>
      <c r="B421" s="15">
        <v>3.73</v>
      </c>
      <c r="C421" s="15"/>
      <c r="D421" s="15">
        <v>5.91</v>
      </c>
      <c r="E421" s="15"/>
      <c r="F421" s="15" t="str">
        <f t="shared" si="1"/>
        <v/>
      </c>
      <c r="G421" s="15">
        <f t="shared" si="2"/>
        <v>5.91</v>
      </c>
      <c r="H421" s="16">
        <v>1.0</v>
      </c>
      <c r="I421" s="15">
        <f t="shared" si="3"/>
        <v>2.18</v>
      </c>
      <c r="J421" s="15">
        <v>20.55</v>
      </c>
      <c r="K421" s="16">
        <f>IF(COUNTIFS(Release_Calendar!$A$2:$A$755,"US_CPI",Release_Calendar!$B$2:$B$755,$A421)&gt;0,1,0)</f>
        <v>0</v>
      </c>
      <c r="L421" s="16">
        <f>IF(COUNTIFS(Release_Calendar!$A$2:$A$755,"US_NFP",Release_Calendar!$B$2:$B$755,$A421)&gt;0,1,0)</f>
        <v>0</v>
      </c>
      <c r="M421" s="16" t="str">
        <f>IF($A421&lt;Notes!$B$5,"",IF(COUNTIFS(Release_Calendar!$A$2:$A$755,"NZ_CPI",Release_Calendar!$B$2:$B$755,$A421)&gt;0,1,0))</f>
        <v/>
      </c>
      <c r="N421" s="16" t="str">
        <f>IF($A421&lt;Notes!$B$5,"",IF(COUNTIFS(Release_Calendar!$A$2:$A$755,"NZ_GDP",Release_Calendar!$B$2:$B$755,$A421)&gt;0,1,0))</f>
        <v/>
      </c>
      <c r="O421" s="16" t="str">
        <f>IF($A421&lt;Notes!$B$5,"",IF(COUNTIFS(Release_Calendar!$A$2:$A$755,"NZ_LABOUR",Release_Calendar!$B$2:$B$755,$A421)&gt;0,1,0))</f>
        <v/>
      </c>
      <c r="P421" s="16">
        <f t="shared" si="4"/>
        <v>0</v>
      </c>
    </row>
    <row r="422" ht="15.75" customHeight="1">
      <c r="A422" s="14">
        <v>37116.0</v>
      </c>
      <c r="B422" s="15">
        <v>3.7</v>
      </c>
      <c r="C422" s="15"/>
      <c r="D422" s="15">
        <v>5.95</v>
      </c>
      <c r="E422" s="15"/>
      <c r="F422" s="15" t="str">
        <f t="shared" si="1"/>
        <v/>
      </c>
      <c r="G422" s="15">
        <f t="shared" si="2"/>
        <v>5.95</v>
      </c>
      <c r="H422" s="16">
        <v>1.0</v>
      </c>
      <c r="I422" s="15">
        <f t="shared" si="3"/>
        <v>2.25</v>
      </c>
      <c r="J422" s="15">
        <v>20.42</v>
      </c>
      <c r="K422" s="16">
        <f>IF(COUNTIFS(Release_Calendar!$A$2:$A$755,"US_CPI",Release_Calendar!$B$2:$B$755,$A422)&gt;0,1,0)</f>
        <v>0</v>
      </c>
      <c r="L422" s="16">
        <f>IF(COUNTIFS(Release_Calendar!$A$2:$A$755,"US_NFP",Release_Calendar!$B$2:$B$755,$A422)&gt;0,1,0)</f>
        <v>0</v>
      </c>
      <c r="M422" s="16" t="str">
        <f>IF($A422&lt;Notes!$B$5,"",IF(COUNTIFS(Release_Calendar!$A$2:$A$755,"NZ_CPI",Release_Calendar!$B$2:$B$755,$A422)&gt;0,1,0))</f>
        <v/>
      </c>
      <c r="N422" s="16" t="str">
        <f>IF($A422&lt;Notes!$B$5,"",IF(COUNTIFS(Release_Calendar!$A$2:$A$755,"NZ_GDP",Release_Calendar!$B$2:$B$755,$A422)&gt;0,1,0))</f>
        <v/>
      </c>
      <c r="O422" s="16" t="str">
        <f>IF($A422&lt;Notes!$B$5,"",IF(COUNTIFS(Release_Calendar!$A$2:$A$755,"NZ_LABOUR",Release_Calendar!$B$2:$B$755,$A422)&gt;0,1,0))</f>
        <v/>
      </c>
      <c r="P422" s="16">
        <f t="shared" si="4"/>
        <v>0</v>
      </c>
    </row>
    <row r="423" ht="15.75" customHeight="1">
      <c r="A423" s="14">
        <v>37117.0</v>
      </c>
      <c r="B423" s="15">
        <v>3.74</v>
      </c>
      <c r="C423" s="15"/>
      <c r="D423" s="15">
        <v>5.95</v>
      </c>
      <c r="E423" s="15"/>
      <c r="F423" s="15" t="str">
        <f t="shared" si="1"/>
        <v/>
      </c>
      <c r="G423" s="15">
        <f t="shared" si="2"/>
        <v>5.95</v>
      </c>
      <c r="H423" s="16">
        <v>1.0</v>
      </c>
      <c r="I423" s="15">
        <f t="shared" si="3"/>
        <v>2.21</v>
      </c>
      <c r="J423" s="15">
        <v>20.48</v>
      </c>
      <c r="K423" s="16">
        <f>IF(COUNTIFS(Release_Calendar!$A$2:$A$755,"US_CPI",Release_Calendar!$B$2:$B$755,$A423)&gt;0,1,0)</f>
        <v>0</v>
      </c>
      <c r="L423" s="16">
        <f>IF(COUNTIFS(Release_Calendar!$A$2:$A$755,"US_NFP",Release_Calendar!$B$2:$B$755,$A423)&gt;0,1,0)</f>
        <v>0</v>
      </c>
      <c r="M423" s="16" t="str">
        <f>IF($A423&lt;Notes!$B$5,"",IF(COUNTIFS(Release_Calendar!$A$2:$A$755,"NZ_CPI",Release_Calendar!$B$2:$B$755,$A423)&gt;0,1,0))</f>
        <v/>
      </c>
      <c r="N423" s="16" t="str">
        <f>IF($A423&lt;Notes!$B$5,"",IF(COUNTIFS(Release_Calendar!$A$2:$A$755,"NZ_GDP",Release_Calendar!$B$2:$B$755,$A423)&gt;0,1,0))</f>
        <v/>
      </c>
      <c r="O423" s="16" t="str">
        <f>IF($A423&lt;Notes!$B$5,"",IF(COUNTIFS(Release_Calendar!$A$2:$A$755,"NZ_LABOUR",Release_Calendar!$B$2:$B$755,$A423)&gt;0,1,0))</f>
        <v/>
      </c>
      <c r="P423" s="16">
        <f t="shared" si="4"/>
        <v>0</v>
      </c>
    </row>
    <row r="424" ht="15.75" customHeight="1">
      <c r="A424" s="14">
        <v>37118.0</v>
      </c>
      <c r="B424" s="15">
        <v>3.8</v>
      </c>
      <c r="C424" s="15"/>
      <c r="D424" s="15">
        <v>6.09</v>
      </c>
      <c r="E424" s="15"/>
      <c r="F424" s="15" t="str">
        <f t="shared" si="1"/>
        <v/>
      </c>
      <c r="G424" s="15">
        <f t="shared" si="2"/>
        <v>6.09</v>
      </c>
      <c r="H424" s="16">
        <v>1.0</v>
      </c>
      <c r="I424" s="15">
        <f t="shared" si="3"/>
        <v>2.29</v>
      </c>
      <c r="J424" s="15">
        <v>20.91</v>
      </c>
      <c r="K424" s="16">
        <f>IF(COUNTIFS(Release_Calendar!$A$2:$A$755,"US_CPI",Release_Calendar!$B$2:$B$755,$A424)&gt;0,1,0)</f>
        <v>0</v>
      </c>
      <c r="L424" s="16">
        <f>IF(COUNTIFS(Release_Calendar!$A$2:$A$755,"US_NFP",Release_Calendar!$B$2:$B$755,$A424)&gt;0,1,0)</f>
        <v>0</v>
      </c>
      <c r="M424" s="16" t="str">
        <f>IF($A424&lt;Notes!$B$5,"",IF(COUNTIFS(Release_Calendar!$A$2:$A$755,"NZ_CPI",Release_Calendar!$B$2:$B$755,$A424)&gt;0,1,0))</f>
        <v/>
      </c>
      <c r="N424" s="16" t="str">
        <f>IF($A424&lt;Notes!$B$5,"",IF(COUNTIFS(Release_Calendar!$A$2:$A$755,"NZ_GDP",Release_Calendar!$B$2:$B$755,$A424)&gt;0,1,0))</f>
        <v/>
      </c>
      <c r="O424" s="16" t="str">
        <f>IF($A424&lt;Notes!$B$5,"",IF(COUNTIFS(Release_Calendar!$A$2:$A$755,"NZ_LABOUR",Release_Calendar!$B$2:$B$755,$A424)&gt;0,1,0))</f>
        <v/>
      </c>
      <c r="P424" s="16">
        <f t="shared" si="4"/>
        <v>0</v>
      </c>
    </row>
    <row r="425" ht="15.75" customHeight="1">
      <c r="A425" s="14">
        <v>37119.0</v>
      </c>
      <c r="B425" s="15">
        <v>3.75</v>
      </c>
      <c r="C425" s="15"/>
      <c r="D425" s="15">
        <v>6.19</v>
      </c>
      <c r="E425" s="15"/>
      <c r="F425" s="15" t="str">
        <f t="shared" si="1"/>
        <v/>
      </c>
      <c r="G425" s="15">
        <f t="shared" si="2"/>
        <v>6.19</v>
      </c>
      <c r="H425" s="16">
        <v>1.0</v>
      </c>
      <c r="I425" s="15">
        <f t="shared" si="3"/>
        <v>2.44</v>
      </c>
      <c r="J425" s="15">
        <v>21.54</v>
      </c>
      <c r="K425" s="16">
        <f>IF(COUNTIFS(Release_Calendar!$A$2:$A$755,"US_CPI",Release_Calendar!$B$2:$B$755,$A425)&gt;0,1,0)</f>
        <v>1</v>
      </c>
      <c r="L425" s="16">
        <f>IF(COUNTIFS(Release_Calendar!$A$2:$A$755,"US_NFP",Release_Calendar!$B$2:$B$755,$A425)&gt;0,1,0)</f>
        <v>0</v>
      </c>
      <c r="M425" s="16" t="str">
        <f>IF($A425&lt;Notes!$B$5,"",IF(COUNTIFS(Release_Calendar!$A$2:$A$755,"NZ_CPI",Release_Calendar!$B$2:$B$755,$A425)&gt;0,1,0))</f>
        <v/>
      </c>
      <c r="N425" s="16" t="str">
        <f>IF($A425&lt;Notes!$B$5,"",IF(COUNTIFS(Release_Calendar!$A$2:$A$755,"NZ_GDP",Release_Calendar!$B$2:$B$755,$A425)&gt;0,1,0))</f>
        <v/>
      </c>
      <c r="O425" s="16" t="str">
        <f>IF($A425&lt;Notes!$B$5,"",IF(COUNTIFS(Release_Calendar!$A$2:$A$755,"NZ_LABOUR",Release_Calendar!$B$2:$B$755,$A425)&gt;0,1,0))</f>
        <v/>
      </c>
      <c r="P425" s="16">
        <f t="shared" si="4"/>
        <v>1</v>
      </c>
    </row>
    <row r="426" ht="15.75" customHeight="1">
      <c r="A426" s="14">
        <v>37120.0</v>
      </c>
      <c r="B426" s="15">
        <v>3.67</v>
      </c>
      <c r="C426" s="15"/>
      <c r="D426" s="15">
        <v>6.12</v>
      </c>
      <c r="E426" s="15"/>
      <c r="F426" s="15" t="str">
        <f t="shared" si="1"/>
        <v/>
      </c>
      <c r="G426" s="15">
        <f t="shared" si="2"/>
        <v>6.12</v>
      </c>
      <c r="H426" s="16">
        <v>1.0</v>
      </c>
      <c r="I426" s="15">
        <f t="shared" si="3"/>
        <v>2.45</v>
      </c>
      <c r="J426" s="15">
        <v>23.84</v>
      </c>
      <c r="K426" s="16">
        <f>IF(COUNTIFS(Release_Calendar!$A$2:$A$755,"US_CPI",Release_Calendar!$B$2:$B$755,$A426)&gt;0,1,0)</f>
        <v>0</v>
      </c>
      <c r="L426" s="16">
        <f>IF(COUNTIFS(Release_Calendar!$A$2:$A$755,"US_NFP",Release_Calendar!$B$2:$B$755,$A426)&gt;0,1,0)</f>
        <v>0</v>
      </c>
      <c r="M426" s="16" t="str">
        <f>IF($A426&lt;Notes!$B$5,"",IF(COUNTIFS(Release_Calendar!$A$2:$A$755,"NZ_CPI",Release_Calendar!$B$2:$B$755,$A426)&gt;0,1,0))</f>
        <v/>
      </c>
      <c r="N426" s="16" t="str">
        <f>IF($A426&lt;Notes!$B$5,"",IF(COUNTIFS(Release_Calendar!$A$2:$A$755,"NZ_GDP",Release_Calendar!$B$2:$B$755,$A426)&gt;0,1,0))</f>
        <v/>
      </c>
      <c r="O426" s="16" t="str">
        <f>IF($A426&lt;Notes!$B$5,"",IF(COUNTIFS(Release_Calendar!$A$2:$A$755,"NZ_LABOUR",Release_Calendar!$B$2:$B$755,$A426)&gt;0,1,0))</f>
        <v/>
      </c>
      <c r="P426" s="16">
        <f t="shared" si="4"/>
        <v>0</v>
      </c>
    </row>
    <row r="427" ht="15.75" customHeight="1">
      <c r="A427" s="14">
        <v>37123.0</v>
      </c>
      <c r="B427" s="15">
        <v>3.74</v>
      </c>
      <c r="C427" s="15"/>
      <c r="D427" s="15">
        <v>6.07</v>
      </c>
      <c r="E427" s="15"/>
      <c r="F427" s="15" t="str">
        <f t="shared" si="1"/>
        <v/>
      </c>
      <c r="G427" s="15">
        <f t="shared" si="2"/>
        <v>6.07</v>
      </c>
      <c r="H427" s="16">
        <v>1.0</v>
      </c>
      <c r="I427" s="15">
        <f t="shared" si="3"/>
        <v>2.33</v>
      </c>
      <c r="J427" s="15">
        <v>22.87</v>
      </c>
      <c r="K427" s="16">
        <f>IF(COUNTIFS(Release_Calendar!$A$2:$A$755,"US_CPI",Release_Calendar!$B$2:$B$755,$A427)&gt;0,1,0)</f>
        <v>0</v>
      </c>
      <c r="L427" s="16">
        <f>IF(COUNTIFS(Release_Calendar!$A$2:$A$755,"US_NFP",Release_Calendar!$B$2:$B$755,$A427)&gt;0,1,0)</f>
        <v>0</v>
      </c>
      <c r="M427" s="16" t="str">
        <f>IF($A427&lt;Notes!$B$5,"",IF(COUNTIFS(Release_Calendar!$A$2:$A$755,"NZ_CPI",Release_Calendar!$B$2:$B$755,$A427)&gt;0,1,0))</f>
        <v/>
      </c>
      <c r="N427" s="16" t="str">
        <f>IF($A427&lt;Notes!$B$5,"",IF(COUNTIFS(Release_Calendar!$A$2:$A$755,"NZ_GDP",Release_Calendar!$B$2:$B$755,$A427)&gt;0,1,0))</f>
        <v/>
      </c>
      <c r="O427" s="16" t="str">
        <f>IF($A427&lt;Notes!$B$5,"",IF(COUNTIFS(Release_Calendar!$A$2:$A$755,"NZ_LABOUR",Release_Calendar!$B$2:$B$755,$A427)&gt;0,1,0))</f>
        <v/>
      </c>
      <c r="P427" s="16">
        <f t="shared" si="4"/>
        <v>0</v>
      </c>
    </row>
    <row r="428" ht="15.75" customHeight="1">
      <c r="A428" s="14">
        <v>37124.0</v>
      </c>
      <c r="B428" s="15">
        <v>3.69</v>
      </c>
      <c r="C428" s="15"/>
      <c r="D428" s="15">
        <v>6.12</v>
      </c>
      <c r="E428" s="15"/>
      <c r="F428" s="15" t="str">
        <f t="shared" si="1"/>
        <v/>
      </c>
      <c r="G428" s="15">
        <f t="shared" si="2"/>
        <v>6.12</v>
      </c>
      <c r="H428" s="16">
        <v>1.0</v>
      </c>
      <c r="I428" s="15">
        <f t="shared" si="3"/>
        <v>2.43</v>
      </c>
      <c r="J428" s="15">
        <v>24.4</v>
      </c>
      <c r="K428" s="16">
        <f>IF(COUNTIFS(Release_Calendar!$A$2:$A$755,"US_CPI",Release_Calendar!$B$2:$B$755,$A428)&gt;0,1,0)</f>
        <v>0</v>
      </c>
      <c r="L428" s="16">
        <f>IF(COUNTIFS(Release_Calendar!$A$2:$A$755,"US_NFP",Release_Calendar!$B$2:$B$755,$A428)&gt;0,1,0)</f>
        <v>0</v>
      </c>
      <c r="M428" s="16" t="str">
        <f>IF($A428&lt;Notes!$B$5,"",IF(COUNTIFS(Release_Calendar!$A$2:$A$755,"NZ_CPI",Release_Calendar!$B$2:$B$755,$A428)&gt;0,1,0))</f>
        <v/>
      </c>
      <c r="N428" s="16" t="str">
        <f>IF($A428&lt;Notes!$B$5,"",IF(COUNTIFS(Release_Calendar!$A$2:$A$755,"NZ_GDP",Release_Calendar!$B$2:$B$755,$A428)&gt;0,1,0))</f>
        <v/>
      </c>
      <c r="O428" s="16" t="str">
        <f>IF($A428&lt;Notes!$B$5,"",IF(COUNTIFS(Release_Calendar!$A$2:$A$755,"NZ_LABOUR",Release_Calendar!$B$2:$B$755,$A428)&gt;0,1,0))</f>
        <v/>
      </c>
      <c r="P428" s="16">
        <f t="shared" si="4"/>
        <v>0</v>
      </c>
    </row>
    <row r="429" ht="15.75" customHeight="1">
      <c r="A429" s="14">
        <v>37125.0</v>
      </c>
      <c r="B429" s="15">
        <v>3.76</v>
      </c>
      <c r="C429" s="15"/>
      <c r="D429" s="15">
        <v>6.02</v>
      </c>
      <c r="E429" s="15"/>
      <c r="F429" s="15" t="str">
        <f t="shared" si="1"/>
        <v/>
      </c>
      <c r="G429" s="15">
        <f t="shared" si="2"/>
        <v>6.02</v>
      </c>
      <c r="H429" s="16">
        <v>1.0</v>
      </c>
      <c r="I429" s="15">
        <f t="shared" si="3"/>
        <v>2.26</v>
      </c>
      <c r="J429" s="15">
        <v>22.44</v>
      </c>
      <c r="K429" s="16">
        <f>IF(COUNTIFS(Release_Calendar!$A$2:$A$755,"US_CPI",Release_Calendar!$B$2:$B$755,$A429)&gt;0,1,0)</f>
        <v>0</v>
      </c>
      <c r="L429" s="16">
        <f>IF(COUNTIFS(Release_Calendar!$A$2:$A$755,"US_NFP",Release_Calendar!$B$2:$B$755,$A429)&gt;0,1,0)</f>
        <v>0</v>
      </c>
      <c r="M429" s="16" t="str">
        <f>IF($A429&lt;Notes!$B$5,"",IF(COUNTIFS(Release_Calendar!$A$2:$A$755,"NZ_CPI",Release_Calendar!$B$2:$B$755,$A429)&gt;0,1,0))</f>
        <v/>
      </c>
      <c r="N429" s="16" t="str">
        <f>IF($A429&lt;Notes!$B$5,"",IF(COUNTIFS(Release_Calendar!$A$2:$A$755,"NZ_GDP",Release_Calendar!$B$2:$B$755,$A429)&gt;0,1,0))</f>
        <v/>
      </c>
      <c r="O429" s="16" t="str">
        <f>IF($A429&lt;Notes!$B$5,"",IF(COUNTIFS(Release_Calendar!$A$2:$A$755,"NZ_LABOUR",Release_Calendar!$B$2:$B$755,$A429)&gt;0,1,0))</f>
        <v/>
      </c>
      <c r="P429" s="16">
        <f t="shared" si="4"/>
        <v>0</v>
      </c>
    </row>
    <row r="430" ht="15.75" customHeight="1">
      <c r="A430" s="14">
        <v>37126.0</v>
      </c>
      <c r="B430" s="15">
        <v>3.72</v>
      </c>
      <c r="C430" s="15"/>
      <c r="D430" s="15">
        <v>6.08</v>
      </c>
      <c r="E430" s="15"/>
      <c r="F430" s="15" t="str">
        <f t="shared" si="1"/>
        <v/>
      </c>
      <c r="G430" s="15">
        <f t="shared" si="2"/>
        <v>6.08</v>
      </c>
      <c r="H430" s="16">
        <v>1.0</v>
      </c>
      <c r="I430" s="15">
        <f t="shared" si="3"/>
        <v>2.36</v>
      </c>
      <c r="J430" s="15">
        <v>22.23</v>
      </c>
      <c r="K430" s="16">
        <f>IF(COUNTIFS(Release_Calendar!$A$2:$A$755,"US_CPI",Release_Calendar!$B$2:$B$755,$A430)&gt;0,1,0)</f>
        <v>0</v>
      </c>
      <c r="L430" s="16">
        <f>IF(COUNTIFS(Release_Calendar!$A$2:$A$755,"US_NFP",Release_Calendar!$B$2:$B$755,$A430)&gt;0,1,0)</f>
        <v>0</v>
      </c>
      <c r="M430" s="16" t="str">
        <f>IF($A430&lt;Notes!$B$5,"",IF(COUNTIFS(Release_Calendar!$A$2:$A$755,"NZ_CPI",Release_Calendar!$B$2:$B$755,$A430)&gt;0,1,0))</f>
        <v/>
      </c>
      <c r="N430" s="16" t="str">
        <f>IF($A430&lt;Notes!$B$5,"",IF(COUNTIFS(Release_Calendar!$A$2:$A$755,"NZ_GDP",Release_Calendar!$B$2:$B$755,$A430)&gt;0,1,0))</f>
        <v/>
      </c>
      <c r="O430" s="16" t="str">
        <f>IF($A430&lt;Notes!$B$5,"",IF(COUNTIFS(Release_Calendar!$A$2:$A$755,"NZ_LABOUR",Release_Calendar!$B$2:$B$755,$A430)&gt;0,1,0))</f>
        <v/>
      </c>
      <c r="P430" s="16">
        <f t="shared" si="4"/>
        <v>0</v>
      </c>
    </row>
    <row r="431" ht="15.75" customHeight="1">
      <c r="A431" s="14">
        <v>37127.0</v>
      </c>
      <c r="B431" s="15">
        <v>3.76</v>
      </c>
      <c r="C431" s="15"/>
      <c r="D431" s="15">
        <v>6.05</v>
      </c>
      <c r="E431" s="15"/>
      <c r="F431" s="15" t="str">
        <f t="shared" si="1"/>
        <v/>
      </c>
      <c r="G431" s="15">
        <f t="shared" si="2"/>
        <v>6.05</v>
      </c>
      <c r="H431" s="16">
        <v>1.0</v>
      </c>
      <c r="I431" s="15">
        <f t="shared" si="3"/>
        <v>2.29</v>
      </c>
      <c r="J431" s="15">
        <v>19.71</v>
      </c>
      <c r="K431" s="16">
        <f>IF(COUNTIFS(Release_Calendar!$A$2:$A$755,"US_CPI",Release_Calendar!$B$2:$B$755,$A431)&gt;0,1,0)</f>
        <v>0</v>
      </c>
      <c r="L431" s="16">
        <f>IF(COUNTIFS(Release_Calendar!$A$2:$A$755,"US_NFP",Release_Calendar!$B$2:$B$755,$A431)&gt;0,1,0)</f>
        <v>0</v>
      </c>
      <c r="M431" s="16" t="str">
        <f>IF($A431&lt;Notes!$B$5,"",IF(COUNTIFS(Release_Calendar!$A$2:$A$755,"NZ_CPI",Release_Calendar!$B$2:$B$755,$A431)&gt;0,1,0))</f>
        <v/>
      </c>
      <c r="N431" s="16" t="str">
        <f>IF($A431&lt;Notes!$B$5,"",IF(COUNTIFS(Release_Calendar!$A$2:$A$755,"NZ_GDP",Release_Calendar!$B$2:$B$755,$A431)&gt;0,1,0))</f>
        <v/>
      </c>
      <c r="O431" s="16" t="str">
        <f>IF($A431&lt;Notes!$B$5,"",IF(COUNTIFS(Release_Calendar!$A$2:$A$755,"NZ_LABOUR",Release_Calendar!$B$2:$B$755,$A431)&gt;0,1,0))</f>
        <v/>
      </c>
      <c r="P431" s="16">
        <f t="shared" si="4"/>
        <v>0</v>
      </c>
    </row>
    <row r="432" ht="15.75" customHeight="1">
      <c r="A432" s="14">
        <v>37130.0</v>
      </c>
      <c r="B432" s="15">
        <v>3.78</v>
      </c>
      <c r="C432" s="15"/>
      <c r="D432" s="15">
        <v>6.02</v>
      </c>
      <c r="E432" s="15"/>
      <c r="F432" s="15" t="str">
        <f t="shared" si="1"/>
        <v/>
      </c>
      <c r="G432" s="15">
        <f t="shared" si="2"/>
        <v>6.02</v>
      </c>
      <c r="H432" s="16">
        <v>1.0</v>
      </c>
      <c r="I432" s="15">
        <f t="shared" si="3"/>
        <v>2.24</v>
      </c>
      <c r="J432" s="15">
        <v>20.56</v>
      </c>
      <c r="K432" s="16">
        <f>IF(COUNTIFS(Release_Calendar!$A$2:$A$755,"US_CPI",Release_Calendar!$B$2:$B$755,$A432)&gt;0,1,0)</f>
        <v>0</v>
      </c>
      <c r="L432" s="16">
        <f>IF(COUNTIFS(Release_Calendar!$A$2:$A$755,"US_NFP",Release_Calendar!$B$2:$B$755,$A432)&gt;0,1,0)</f>
        <v>0</v>
      </c>
      <c r="M432" s="16" t="str">
        <f>IF($A432&lt;Notes!$B$5,"",IF(COUNTIFS(Release_Calendar!$A$2:$A$755,"NZ_CPI",Release_Calendar!$B$2:$B$755,$A432)&gt;0,1,0))</f>
        <v/>
      </c>
      <c r="N432" s="16" t="str">
        <f>IF($A432&lt;Notes!$B$5,"",IF(COUNTIFS(Release_Calendar!$A$2:$A$755,"NZ_GDP",Release_Calendar!$B$2:$B$755,$A432)&gt;0,1,0))</f>
        <v/>
      </c>
      <c r="O432" s="16" t="str">
        <f>IF($A432&lt;Notes!$B$5,"",IF(COUNTIFS(Release_Calendar!$A$2:$A$755,"NZ_LABOUR",Release_Calendar!$B$2:$B$755,$A432)&gt;0,1,0))</f>
        <v/>
      </c>
      <c r="P432" s="16">
        <f t="shared" si="4"/>
        <v>0</v>
      </c>
    </row>
    <row r="433" ht="15.75" customHeight="1">
      <c r="A433" s="14">
        <v>37131.0</v>
      </c>
      <c r="B433" s="15">
        <v>3.71</v>
      </c>
      <c r="C433" s="15"/>
      <c r="D433" s="15">
        <v>5.93</v>
      </c>
      <c r="E433" s="15"/>
      <c r="F433" s="15" t="str">
        <f t="shared" si="1"/>
        <v/>
      </c>
      <c r="G433" s="15">
        <f t="shared" si="2"/>
        <v>5.93</v>
      </c>
      <c r="H433" s="16">
        <v>1.0</v>
      </c>
      <c r="I433" s="15">
        <f t="shared" si="3"/>
        <v>2.22</v>
      </c>
      <c r="J433" s="15">
        <v>22.0</v>
      </c>
      <c r="K433" s="16">
        <f>IF(COUNTIFS(Release_Calendar!$A$2:$A$755,"US_CPI",Release_Calendar!$B$2:$B$755,$A433)&gt;0,1,0)</f>
        <v>0</v>
      </c>
      <c r="L433" s="16">
        <f>IF(COUNTIFS(Release_Calendar!$A$2:$A$755,"US_NFP",Release_Calendar!$B$2:$B$755,$A433)&gt;0,1,0)</f>
        <v>0</v>
      </c>
      <c r="M433" s="16" t="str">
        <f>IF($A433&lt;Notes!$B$5,"",IF(COUNTIFS(Release_Calendar!$A$2:$A$755,"NZ_CPI",Release_Calendar!$B$2:$B$755,$A433)&gt;0,1,0))</f>
        <v/>
      </c>
      <c r="N433" s="16" t="str">
        <f>IF($A433&lt;Notes!$B$5,"",IF(COUNTIFS(Release_Calendar!$A$2:$A$755,"NZ_GDP",Release_Calendar!$B$2:$B$755,$A433)&gt;0,1,0))</f>
        <v/>
      </c>
      <c r="O433" s="16" t="str">
        <f>IF($A433&lt;Notes!$B$5,"",IF(COUNTIFS(Release_Calendar!$A$2:$A$755,"NZ_LABOUR",Release_Calendar!$B$2:$B$755,$A433)&gt;0,1,0))</f>
        <v/>
      </c>
      <c r="P433" s="16">
        <f t="shared" si="4"/>
        <v>0</v>
      </c>
    </row>
    <row r="434" ht="15.75" customHeight="1">
      <c r="A434" s="14">
        <v>37132.0</v>
      </c>
      <c r="B434" s="15">
        <v>3.67</v>
      </c>
      <c r="C434" s="15"/>
      <c r="D434" s="15">
        <v>5.87</v>
      </c>
      <c r="E434" s="15"/>
      <c r="F434" s="15" t="str">
        <f t="shared" si="1"/>
        <v/>
      </c>
      <c r="G434" s="15">
        <f t="shared" si="2"/>
        <v>5.87</v>
      </c>
      <c r="H434" s="16">
        <v>1.0</v>
      </c>
      <c r="I434" s="15">
        <f t="shared" si="3"/>
        <v>2.2</v>
      </c>
      <c r="J434" s="15">
        <v>23.03</v>
      </c>
      <c r="K434" s="16">
        <f>IF(COUNTIFS(Release_Calendar!$A$2:$A$755,"US_CPI",Release_Calendar!$B$2:$B$755,$A434)&gt;0,1,0)</f>
        <v>0</v>
      </c>
      <c r="L434" s="16">
        <f>IF(COUNTIFS(Release_Calendar!$A$2:$A$755,"US_NFP",Release_Calendar!$B$2:$B$755,$A434)&gt;0,1,0)</f>
        <v>0</v>
      </c>
      <c r="M434" s="16" t="str">
        <f>IF($A434&lt;Notes!$B$5,"",IF(COUNTIFS(Release_Calendar!$A$2:$A$755,"NZ_CPI",Release_Calendar!$B$2:$B$755,$A434)&gt;0,1,0))</f>
        <v/>
      </c>
      <c r="N434" s="16" t="str">
        <f>IF($A434&lt;Notes!$B$5,"",IF(COUNTIFS(Release_Calendar!$A$2:$A$755,"NZ_GDP",Release_Calendar!$B$2:$B$755,$A434)&gt;0,1,0))</f>
        <v/>
      </c>
      <c r="O434" s="16" t="str">
        <f>IF($A434&lt;Notes!$B$5,"",IF(COUNTIFS(Release_Calendar!$A$2:$A$755,"NZ_LABOUR",Release_Calendar!$B$2:$B$755,$A434)&gt;0,1,0))</f>
        <v/>
      </c>
      <c r="P434" s="16">
        <f t="shared" si="4"/>
        <v>0</v>
      </c>
    </row>
    <row r="435" ht="15.75" customHeight="1">
      <c r="A435" s="14">
        <v>37133.0</v>
      </c>
      <c r="B435" s="15">
        <v>3.61</v>
      </c>
      <c r="C435" s="15"/>
      <c r="D435" s="15">
        <v>5.88</v>
      </c>
      <c r="E435" s="15"/>
      <c r="F435" s="15" t="str">
        <f t="shared" si="1"/>
        <v/>
      </c>
      <c r="G435" s="15">
        <f t="shared" si="2"/>
        <v>5.88</v>
      </c>
      <c r="H435" s="16">
        <v>1.0</v>
      </c>
      <c r="I435" s="15">
        <f t="shared" si="3"/>
        <v>2.27</v>
      </c>
      <c r="J435" s="15">
        <v>25.41</v>
      </c>
      <c r="K435" s="16">
        <f>IF(COUNTIFS(Release_Calendar!$A$2:$A$755,"US_CPI",Release_Calendar!$B$2:$B$755,$A435)&gt;0,1,0)</f>
        <v>0</v>
      </c>
      <c r="L435" s="16">
        <f>IF(COUNTIFS(Release_Calendar!$A$2:$A$755,"US_NFP",Release_Calendar!$B$2:$B$755,$A435)&gt;0,1,0)</f>
        <v>0</v>
      </c>
      <c r="M435" s="16" t="str">
        <f>IF($A435&lt;Notes!$B$5,"",IF(COUNTIFS(Release_Calendar!$A$2:$A$755,"NZ_CPI",Release_Calendar!$B$2:$B$755,$A435)&gt;0,1,0))</f>
        <v/>
      </c>
      <c r="N435" s="16" t="str">
        <f>IF($A435&lt;Notes!$B$5,"",IF(COUNTIFS(Release_Calendar!$A$2:$A$755,"NZ_GDP",Release_Calendar!$B$2:$B$755,$A435)&gt;0,1,0))</f>
        <v/>
      </c>
      <c r="O435" s="16" t="str">
        <f>IF($A435&lt;Notes!$B$5,"",IF(COUNTIFS(Release_Calendar!$A$2:$A$755,"NZ_LABOUR",Release_Calendar!$B$2:$B$755,$A435)&gt;0,1,0))</f>
        <v/>
      </c>
      <c r="P435" s="16">
        <f t="shared" si="4"/>
        <v>0</v>
      </c>
    </row>
    <row r="436" ht="15.75" customHeight="1">
      <c r="A436" s="14">
        <v>37134.0</v>
      </c>
      <c r="B436" s="15">
        <v>3.64</v>
      </c>
      <c r="C436" s="15"/>
      <c r="D436" s="15">
        <v>5.86</v>
      </c>
      <c r="E436" s="15"/>
      <c r="F436" s="15" t="str">
        <f t="shared" si="1"/>
        <v/>
      </c>
      <c r="G436" s="15">
        <f t="shared" si="2"/>
        <v>5.86</v>
      </c>
      <c r="H436" s="16">
        <v>1.0</v>
      </c>
      <c r="I436" s="15">
        <f t="shared" si="3"/>
        <v>2.22</v>
      </c>
      <c r="J436" s="15">
        <v>24.92</v>
      </c>
      <c r="K436" s="16">
        <f>IF(COUNTIFS(Release_Calendar!$A$2:$A$755,"US_CPI",Release_Calendar!$B$2:$B$755,$A436)&gt;0,1,0)</f>
        <v>0</v>
      </c>
      <c r="L436" s="16">
        <f>IF(COUNTIFS(Release_Calendar!$A$2:$A$755,"US_NFP",Release_Calendar!$B$2:$B$755,$A436)&gt;0,1,0)</f>
        <v>0</v>
      </c>
      <c r="M436" s="16" t="str">
        <f>IF($A436&lt;Notes!$B$5,"",IF(COUNTIFS(Release_Calendar!$A$2:$A$755,"NZ_CPI",Release_Calendar!$B$2:$B$755,$A436)&gt;0,1,0))</f>
        <v/>
      </c>
      <c r="N436" s="16" t="str">
        <f>IF($A436&lt;Notes!$B$5,"",IF(COUNTIFS(Release_Calendar!$A$2:$A$755,"NZ_GDP",Release_Calendar!$B$2:$B$755,$A436)&gt;0,1,0))</f>
        <v/>
      </c>
      <c r="O436" s="16" t="str">
        <f>IF($A436&lt;Notes!$B$5,"",IF(COUNTIFS(Release_Calendar!$A$2:$A$755,"NZ_LABOUR",Release_Calendar!$B$2:$B$755,$A436)&gt;0,1,0))</f>
        <v/>
      </c>
      <c r="P436" s="16">
        <f t="shared" si="4"/>
        <v>0</v>
      </c>
    </row>
    <row r="437" ht="15.75" customHeight="1">
      <c r="A437" s="14">
        <v>37137.0</v>
      </c>
      <c r="B437" s="15"/>
      <c r="C437" s="15"/>
      <c r="D437" s="15">
        <v>5.85</v>
      </c>
      <c r="E437" s="15"/>
      <c r="F437" s="15" t="str">
        <f t="shared" si="1"/>
        <v/>
      </c>
      <c r="G437" s="15">
        <f t="shared" si="2"/>
        <v>5.85</v>
      </c>
      <c r="H437" s="16">
        <v>1.0</v>
      </c>
      <c r="I437" s="15" t="str">
        <f t="shared" si="3"/>
        <v/>
      </c>
      <c r="J437" s="15"/>
      <c r="K437" s="16">
        <f>IF(COUNTIFS(Release_Calendar!$A$2:$A$755,"US_CPI",Release_Calendar!$B$2:$B$755,$A437)&gt;0,1,0)</f>
        <v>0</v>
      </c>
      <c r="L437" s="16">
        <f>IF(COUNTIFS(Release_Calendar!$A$2:$A$755,"US_NFP",Release_Calendar!$B$2:$B$755,$A437)&gt;0,1,0)</f>
        <v>0</v>
      </c>
      <c r="M437" s="16" t="str">
        <f>IF($A437&lt;Notes!$B$5,"",IF(COUNTIFS(Release_Calendar!$A$2:$A$755,"NZ_CPI",Release_Calendar!$B$2:$B$755,$A437)&gt;0,1,0))</f>
        <v/>
      </c>
      <c r="N437" s="16" t="str">
        <f>IF($A437&lt;Notes!$B$5,"",IF(COUNTIFS(Release_Calendar!$A$2:$A$755,"NZ_GDP",Release_Calendar!$B$2:$B$755,$A437)&gt;0,1,0))</f>
        <v/>
      </c>
      <c r="O437" s="16" t="str">
        <f>IF($A437&lt;Notes!$B$5,"",IF(COUNTIFS(Release_Calendar!$A$2:$A$755,"NZ_LABOUR",Release_Calendar!$B$2:$B$755,$A437)&gt;0,1,0))</f>
        <v/>
      </c>
      <c r="P437" s="16">
        <f t="shared" si="4"/>
        <v>0</v>
      </c>
    </row>
    <row r="438" ht="15.75" customHeight="1">
      <c r="A438" s="14">
        <v>37138.0</v>
      </c>
      <c r="B438" s="15">
        <v>3.83</v>
      </c>
      <c r="C438" s="15"/>
      <c r="D438" s="15">
        <v>5.88</v>
      </c>
      <c r="E438" s="15"/>
      <c r="F438" s="15" t="str">
        <f t="shared" si="1"/>
        <v/>
      </c>
      <c r="G438" s="15">
        <f t="shared" si="2"/>
        <v>5.88</v>
      </c>
      <c r="H438" s="16">
        <v>1.0</v>
      </c>
      <c r="I438" s="15">
        <f t="shared" si="3"/>
        <v>2.05</v>
      </c>
      <c r="J438" s="15">
        <v>25.85</v>
      </c>
      <c r="K438" s="16">
        <f>IF(COUNTIFS(Release_Calendar!$A$2:$A$755,"US_CPI",Release_Calendar!$B$2:$B$755,$A438)&gt;0,1,0)</f>
        <v>0</v>
      </c>
      <c r="L438" s="16">
        <f>IF(COUNTIFS(Release_Calendar!$A$2:$A$755,"US_NFP",Release_Calendar!$B$2:$B$755,$A438)&gt;0,1,0)</f>
        <v>0</v>
      </c>
      <c r="M438" s="16" t="str">
        <f>IF($A438&lt;Notes!$B$5,"",IF(COUNTIFS(Release_Calendar!$A$2:$A$755,"NZ_CPI",Release_Calendar!$B$2:$B$755,$A438)&gt;0,1,0))</f>
        <v/>
      </c>
      <c r="N438" s="16" t="str">
        <f>IF($A438&lt;Notes!$B$5,"",IF(COUNTIFS(Release_Calendar!$A$2:$A$755,"NZ_GDP",Release_Calendar!$B$2:$B$755,$A438)&gt;0,1,0))</f>
        <v/>
      </c>
      <c r="O438" s="16" t="str">
        <f>IF($A438&lt;Notes!$B$5,"",IF(COUNTIFS(Release_Calendar!$A$2:$A$755,"NZ_LABOUR",Release_Calendar!$B$2:$B$755,$A438)&gt;0,1,0))</f>
        <v/>
      </c>
      <c r="P438" s="16">
        <f t="shared" si="4"/>
        <v>0</v>
      </c>
    </row>
    <row r="439" ht="15.75" customHeight="1">
      <c r="A439" s="14">
        <v>37139.0</v>
      </c>
      <c r="B439" s="15">
        <v>3.79</v>
      </c>
      <c r="C439" s="15"/>
      <c r="D439" s="15">
        <v>6.08</v>
      </c>
      <c r="E439" s="15"/>
      <c r="F439" s="15" t="str">
        <f t="shared" si="1"/>
        <v/>
      </c>
      <c r="G439" s="15">
        <f t="shared" si="2"/>
        <v>6.08</v>
      </c>
      <c r="H439" s="16">
        <v>1.0</v>
      </c>
      <c r="I439" s="15">
        <f t="shared" si="3"/>
        <v>2.29</v>
      </c>
      <c r="J439" s="15">
        <v>26.35</v>
      </c>
      <c r="K439" s="16">
        <f>IF(COUNTIFS(Release_Calendar!$A$2:$A$755,"US_CPI",Release_Calendar!$B$2:$B$755,$A439)&gt;0,1,0)</f>
        <v>0</v>
      </c>
      <c r="L439" s="16">
        <f>IF(COUNTIFS(Release_Calendar!$A$2:$A$755,"US_NFP",Release_Calendar!$B$2:$B$755,$A439)&gt;0,1,0)</f>
        <v>0</v>
      </c>
      <c r="M439" s="16" t="str">
        <f>IF($A439&lt;Notes!$B$5,"",IF(COUNTIFS(Release_Calendar!$A$2:$A$755,"NZ_CPI",Release_Calendar!$B$2:$B$755,$A439)&gt;0,1,0))</f>
        <v/>
      </c>
      <c r="N439" s="16" t="str">
        <f>IF($A439&lt;Notes!$B$5,"",IF(COUNTIFS(Release_Calendar!$A$2:$A$755,"NZ_GDP",Release_Calendar!$B$2:$B$755,$A439)&gt;0,1,0))</f>
        <v/>
      </c>
      <c r="O439" s="16" t="str">
        <f>IF($A439&lt;Notes!$B$5,"",IF(COUNTIFS(Release_Calendar!$A$2:$A$755,"NZ_LABOUR",Release_Calendar!$B$2:$B$755,$A439)&gt;0,1,0))</f>
        <v/>
      </c>
      <c r="P439" s="16">
        <f t="shared" si="4"/>
        <v>0</v>
      </c>
    </row>
    <row r="440" ht="15.75" customHeight="1">
      <c r="A440" s="14">
        <v>37140.0</v>
      </c>
      <c r="B440" s="15">
        <v>3.65</v>
      </c>
      <c r="C440" s="15"/>
      <c r="D440" s="15">
        <v>6.11</v>
      </c>
      <c r="E440" s="15"/>
      <c r="F440" s="15" t="str">
        <f t="shared" si="1"/>
        <v/>
      </c>
      <c r="G440" s="15">
        <f t="shared" si="2"/>
        <v>6.11</v>
      </c>
      <c r="H440" s="16">
        <v>1.0</v>
      </c>
      <c r="I440" s="15">
        <f t="shared" si="3"/>
        <v>2.46</v>
      </c>
      <c r="J440" s="15">
        <v>28.61</v>
      </c>
      <c r="K440" s="16">
        <f>IF(COUNTIFS(Release_Calendar!$A$2:$A$755,"US_CPI",Release_Calendar!$B$2:$B$755,$A440)&gt;0,1,0)</f>
        <v>0</v>
      </c>
      <c r="L440" s="16">
        <f>IF(COUNTIFS(Release_Calendar!$A$2:$A$755,"US_NFP",Release_Calendar!$B$2:$B$755,$A440)&gt;0,1,0)</f>
        <v>0</v>
      </c>
      <c r="M440" s="16" t="str">
        <f>IF($A440&lt;Notes!$B$5,"",IF(COUNTIFS(Release_Calendar!$A$2:$A$755,"NZ_CPI",Release_Calendar!$B$2:$B$755,$A440)&gt;0,1,0))</f>
        <v/>
      </c>
      <c r="N440" s="16" t="str">
        <f>IF($A440&lt;Notes!$B$5,"",IF(COUNTIFS(Release_Calendar!$A$2:$A$755,"NZ_GDP",Release_Calendar!$B$2:$B$755,$A440)&gt;0,1,0))</f>
        <v/>
      </c>
      <c r="O440" s="16" t="str">
        <f>IF($A440&lt;Notes!$B$5,"",IF(COUNTIFS(Release_Calendar!$A$2:$A$755,"NZ_LABOUR",Release_Calendar!$B$2:$B$755,$A440)&gt;0,1,0))</f>
        <v/>
      </c>
      <c r="P440" s="16">
        <f t="shared" si="4"/>
        <v>0</v>
      </c>
    </row>
    <row r="441" ht="15.75" customHeight="1">
      <c r="A441" s="14">
        <v>37141.0</v>
      </c>
      <c r="B441" s="15">
        <v>3.53</v>
      </c>
      <c r="C441" s="15"/>
      <c r="D441" s="15">
        <v>6.04</v>
      </c>
      <c r="E441" s="15"/>
      <c r="F441" s="15" t="str">
        <f t="shared" si="1"/>
        <v/>
      </c>
      <c r="G441" s="15">
        <f t="shared" si="2"/>
        <v>6.04</v>
      </c>
      <c r="H441" s="16">
        <v>1.0</v>
      </c>
      <c r="I441" s="15">
        <f t="shared" si="3"/>
        <v>2.51</v>
      </c>
      <c r="J441" s="15">
        <v>30.99</v>
      </c>
      <c r="K441" s="16">
        <f>IF(COUNTIFS(Release_Calendar!$A$2:$A$755,"US_CPI",Release_Calendar!$B$2:$B$755,$A441)&gt;0,1,0)</f>
        <v>0</v>
      </c>
      <c r="L441" s="16">
        <f>IF(COUNTIFS(Release_Calendar!$A$2:$A$755,"US_NFP",Release_Calendar!$B$2:$B$755,$A441)&gt;0,1,0)</f>
        <v>1</v>
      </c>
      <c r="M441" s="16" t="str">
        <f>IF($A441&lt;Notes!$B$5,"",IF(COUNTIFS(Release_Calendar!$A$2:$A$755,"NZ_CPI",Release_Calendar!$B$2:$B$755,$A441)&gt;0,1,0))</f>
        <v/>
      </c>
      <c r="N441" s="16" t="str">
        <f>IF($A441&lt;Notes!$B$5,"",IF(COUNTIFS(Release_Calendar!$A$2:$A$755,"NZ_GDP",Release_Calendar!$B$2:$B$755,$A441)&gt;0,1,0))</f>
        <v/>
      </c>
      <c r="O441" s="16" t="str">
        <f>IF($A441&lt;Notes!$B$5,"",IF(COUNTIFS(Release_Calendar!$A$2:$A$755,"NZ_LABOUR",Release_Calendar!$B$2:$B$755,$A441)&gt;0,1,0))</f>
        <v/>
      </c>
      <c r="P441" s="16">
        <f t="shared" si="4"/>
        <v>1</v>
      </c>
    </row>
    <row r="442" ht="15.75" customHeight="1">
      <c r="A442" s="14">
        <v>37144.0</v>
      </c>
      <c r="B442" s="15">
        <v>3.53</v>
      </c>
      <c r="C442" s="15"/>
      <c r="D442" s="15">
        <v>5.89</v>
      </c>
      <c r="E442" s="15"/>
      <c r="F442" s="15" t="str">
        <f t="shared" si="1"/>
        <v/>
      </c>
      <c r="G442" s="15">
        <f t="shared" si="2"/>
        <v>5.89</v>
      </c>
      <c r="H442" s="16">
        <v>1.0</v>
      </c>
      <c r="I442" s="15">
        <f t="shared" si="3"/>
        <v>2.36</v>
      </c>
      <c r="J442" s="15">
        <v>31.84</v>
      </c>
      <c r="K442" s="16">
        <f>IF(COUNTIFS(Release_Calendar!$A$2:$A$755,"US_CPI",Release_Calendar!$B$2:$B$755,$A442)&gt;0,1,0)</f>
        <v>0</v>
      </c>
      <c r="L442" s="16">
        <f>IF(COUNTIFS(Release_Calendar!$A$2:$A$755,"US_NFP",Release_Calendar!$B$2:$B$755,$A442)&gt;0,1,0)</f>
        <v>0</v>
      </c>
      <c r="M442" s="16" t="str">
        <f>IF($A442&lt;Notes!$B$5,"",IF(COUNTIFS(Release_Calendar!$A$2:$A$755,"NZ_CPI",Release_Calendar!$B$2:$B$755,$A442)&gt;0,1,0))</f>
        <v/>
      </c>
      <c r="N442" s="16" t="str">
        <f>IF($A442&lt;Notes!$B$5,"",IF(COUNTIFS(Release_Calendar!$A$2:$A$755,"NZ_GDP",Release_Calendar!$B$2:$B$755,$A442)&gt;0,1,0))</f>
        <v/>
      </c>
      <c r="O442" s="16" t="str">
        <f>IF($A442&lt;Notes!$B$5,"",IF(COUNTIFS(Release_Calendar!$A$2:$A$755,"NZ_LABOUR",Release_Calendar!$B$2:$B$755,$A442)&gt;0,1,0))</f>
        <v/>
      </c>
      <c r="P442" s="16">
        <f t="shared" si="4"/>
        <v>0</v>
      </c>
    </row>
    <row r="443" ht="15.75" customHeight="1">
      <c r="A443" s="14">
        <v>37145.0</v>
      </c>
      <c r="B443" s="15"/>
      <c r="C443" s="15"/>
      <c r="D443" s="15">
        <v>5.88</v>
      </c>
      <c r="E443" s="15"/>
      <c r="F443" s="15" t="str">
        <f t="shared" si="1"/>
        <v/>
      </c>
      <c r="G443" s="15">
        <f t="shared" si="2"/>
        <v>5.88</v>
      </c>
      <c r="H443" s="16">
        <v>1.0</v>
      </c>
      <c r="I443" s="15" t="str">
        <f t="shared" si="3"/>
        <v/>
      </c>
      <c r="J443" s="15"/>
      <c r="K443" s="16">
        <f>IF(COUNTIFS(Release_Calendar!$A$2:$A$755,"US_CPI",Release_Calendar!$B$2:$B$755,$A443)&gt;0,1,0)</f>
        <v>0</v>
      </c>
      <c r="L443" s="16">
        <f>IF(COUNTIFS(Release_Calendar!$A$2:$A$755,"US_NFP",Release_Calendar!$B$2:$B$755,$A443)&gt;0,1,0)</f>
        <v>0</v>
      </c>
      <c r="M443" s="16" t="str">
        <f>IF($A443&lt;Notes!$B$5,"",IF(COUNTIFS(Release_Calendar!$A$2:$A$755,"NZ_CPI",Release_Calendar!$B$2:$B$755,$A443)&gt;0,1,0))</f>
        <v/>
      </c>
      <c r="N443" s="16" t="str">
        <f>IF($A443&lt;Notes!$B$5,"",IF(COUNTIFS(Release_Calendar!$A$2:$A$755,"NZ_GDP",Release_Calendar!$B$2:$B$755,$A443)&gt;0,1,0))</f>
        <v/>
      </c>
      <c r="O443" s="16" t="str">
        <f>IF($A443&lt;Notes!$B$5,"",IF(COUNTIFS(Release_Calendar!$A$2:$A$755,"NZ_LABOUR",Release_Calendar!$B$2:$B$755,$A443)&gt;0,1,0))</f>
        <v/>
      </c>
      <c r="P443" s="16">
        <f t="shared" si="4"/>
        <v>0</v>
      </c>
    </row>
    <row r="444" ht="15.75" customHeight="1">
      <c r="A444" s="14">
        <v>37146.0</v>
      </c>
      <c r="B444" s="15"/>
      <c r="C444" s="15"/>
      <c r="D444" s="15">
        <v>5.45</v>
      </c>
      <c r="E444" s="15"/>
      <c r="F444" s="15" t="str">
        <f t="shared" si="1"/>
        <v/>
      </c>
      <c r="G444" s="15">
        <f t="shared" si="2"/>
        <v>5.45</v>
      </c>
      <c r="H444" s="16">
        <v>1.0</v>
      </c>
      <c r="I444" s="15" t="str">
        <f t="shared" si="3"/>
        <v/>
      </c>
      <c r="J444" s="15"/>
      <c r="K444" s="16">
        <f>IF(COUNTIFS(Release_Calendar!$A$2:$A$755,"US_CPI",Release_Calendar!$B$2:$B$755,$A444)&gt;0,1,0)</f>
        <v>0</v>
      </c>
      <c r="L444" s="16">
        <f>IF(COUNTIFS(Release_Calendar!$A$2:$A$755,"US_NFP",Release_Calendar!$B$2:$B$755,$A444)&gt;0,1,0)</f>
        <v>0</v>
      </c>
      <c r="M444" s="16" t="str">
        <f>IF($A444&lt;Notes!$B$5,"",IF(COUNTIFS(Release_Calendar!$A$2:$A$755,"NZ_CPI",Release_Calendar!$B$2:$B$755,$A444)&gt;0,1,0))</f>
        <v/>
      </c>
      <c r="N444" s="16" t="str">
        <f>IF($A444&lt;Notes!$B$5,"",IF(COUNTIFS(Release_Calendar!$A$2:$A$755,"NZ_GDP",Release_Calendar!$B$2:$B$755,$A444)&gt;0,1,0))</f>
        <v/>
      </c>
      <c r="O444" s="16" t="str">
        <f>IF($A444&lt;Notes!$B$5,"",IF(COUNTIFS(Release_Calendar!$A$2:$A$755,"NZ_LABOUR",Release_Calendar!$B$2:$B$755,$A444)&gt;0,1,0))</f>
        <v/>
      </c>
      <c r="P444" s="16">
        <f t="shared" si="4"/>
        <v>0</v>
      </c>
    </row>
    <row r="445" ht="15.75" customHeight="1">
      <c r="A445" s="14">
        <v>37147.0</v>
      </c>
      <c r="B445" s="15">
        <v>2.99</v>
      </c>
      <c r="C445" s="15"/>
      <c r="D445" s="15">
        <v>5.51</v>
      </c>
      <c r="E445" s="15"/>
      <c r="F445" s="15" t="str">
        <f t="shared" si="1"/>
        <v/>
      </c>
      <c r="G445" s="15">
        <f t="shared" si="2"/>
        <v>5.51</v>
      </c>
      <c r="H445" s="16">
        <v>1.0</v>
      </c>
      <c r="I445" s="15">
        <f t="shared" si="3"/>
        <v>2.52</v>
      </c>
      <c r="J445" s="15"/>
      <c r="K445" s="16">
        <f>IF(COUNTIFS(Release_Calendar!$A$2:$A$755,"US_CPI",Release_Calendar!$B$2:$B$755,$A445)&gt;0,1,0)</f>
        <v>0</v>
      </c>
      <c r="L445" s="16">
        <f>IF(COUNTIFS(Release_Calendar!$A$2:$A$755,"US_NFP",Release_Calendar!$B$2:$B$755,$A445)&gt;0,1,0)</f>
        <v>0</v>
      </c>
      <c r="M445" s="16" t="str">
        <f>IF($A445&lt;Notes!$B$5,"",IF(COUNTIFS(Release_Calendar!$A$2:$A$755,"NZ_CPI",Release_Calendar!$B$2:$B$755,$A445)&gt;0,1,0))</f>
        <v/>
      </c>
      <c r="N445" s="16" t="str">
        <f>IF($A445&lt;Notes!$B$5,"",IF(COUNTIFS(Release_Calendar!$A$2:$A$755,"NZ_GDP",Release_Calendar!$B$2:$B$755,$A445)&gt;0,1,0))</f>
        <v/>
      </c>
      <c r="O445" s="16" t="str">
        <f>IF($A445&lt;Notes!$B$5,"",IF(COUNTIFS(Release_Calendar!$A$2:$A$755,"NZ_LABOUR",Release_Calendar!$B$2:$B$755,$A445)&gt;0,1,0))</f>
        <v/>
      </c>
      <c r="P445" s="16">
        <f t="shared" si="4"/>
        <v>0</v>
      </c>
    </row>
    <row r="446" ht="15.75" customHeight="1">
      <c r="A446" s="14">
        <v>37148.0</v>
      </c>
      <c r="B446" s="15">
        <v>2.87</v>
      </c>
      <c r="C446" s="15"/>
      <c r="D446" s="15">
        <v>5.57</v>
      </c>
      <c r="E446" s="15"/>
      <c r="F446" s="15" t="str">
        <f t="shared" si="1"/>
        <v/>
      </c>
      <c r="G446" s="15">
        <f t="shared" si="2"/>
        <v>5.57</v>
      </c>
      <c r="H446" s="16">
        <v>1.0</v>
      </c>
      <c r="I446" s="15">
        <f t="shared" si="3"/>
        <v>2.7</v>
      </c>
      <c r="J446" s="15"/>
      <c r="K446" s="16">
        <f>IF(COUNTIFS(Release_Calendar!$A$2:$A$755,"US_CPI",Release_Calendar!$B$2:$B$755,$A446)&gt;0,1,0)</f>
        <v>0</v>
      </c>
      <c r="L446" s="16">
        <f>IF(COUNTIFS(Release_Calendar!$A$2:$A$755,"US_NFP",Release_Calendar!$B$2:$B$755,$A446)&gt;0,1,0)</f>
        <v>0</v>
      </c>
      <c r="M446" s="16" t="str">
        <f>IF($A446&lt;Notes!$B$5,"",IF(COUNTIFS(Release_Calendar!$A$2:$A$755,"NZ_CPI",Release_Calendar!$B$2:$B$755,$A446)&gt;0,1,0))</f>
        <v/>
      </c>
      <c r="N446" s="16" t="str">
        <f>IF($A446&lt;Notes!$B$5,"",IF(COUNTIFS(Release_Calendar!$A$2:$A$755,"NZ_GDP",Release_Calendar!$B$2:$B$755,$A446)&gt;0,1,0))</f>
        <v/>
      </c>
      <c r="O446" s="16" t="str">
        <f>IF($A446&lt;Notes!$B$5,"",IF(COUNTIFS(Release_Calendar!$A$2:$A$755,"NZ_LABOUR",Release_Calendar!$B$2:$B$755,$A446)&gt;0,1,0))</f>
        <v/>
      </c>
      <c r="P446" s="16">
        <f t="shared" si="4"/>
        <v>0</v>
      </c>
    </row>
    <row r="447" ht="15.75" customHeight="1">
      <c r="A447" s="14">
        <v>37151.0</v>
      </c>
      <c r="B447" s="15">
        <v>2.96</v>
      </c>
      <c r="C447" s="15"/>
      <c r="D447" s="15">
        <v>5.48</v>
      </c>
      <c r="E447" s="15"/>
      <c r="F447" s="15" t="str">
        <f t="shared" si="1"/>
        <v/>
      </c>
      <c r="G447" s="15">
        <f t="shared" si="2"/>
        <v>5.48</v>
      </c>
      <c r="H447" s="16">
        <v>1.0</v>
      </c>
      <c r="I447" s="15">
        <f t="shared" si="3"/>
        <v>2.52</v>
      </c>
      <c r="J447" s="15">
        <v>41.76</v>
      </c>
      <c r="K447" s="16">
        <f>IF(COUNTIFS(Release_Calendar!$A$2:$A$755,"US_CPI",Release_Calendar!$B$2:$B$755,$A447)&gt;0,1,0)</f>
        <v>0</v>
      </c>
      <c r="L447" s="16">
        <f>IF(COUNTIFS(Release_Calendar!$A$2:$A$755,"US_NFP",Release_Calendar!$B$2:$B$755,$A447)&gt;0,1,0)</f>
        <v>0</v>
      </c>
      <c r="M447" s="16" t="str">
        <f>IF($A447&lt;Notes!$B$5,"",IF(COUNTIFS(Release_Calendar!$A$2:$A$755,"NZ_CPI",Release_Calendar!$B$2:$B$755,$A447)&gt;0,1,0))</f>
        <v/>
      </c>
      <c r="N447" s="16" t="str">
        <f>IF($A447&lt;Notes!$B$5,"",IF(COUNTIFS(Release_Calendar!$A$2:$A$755,"NZ_GDP",Release_Calendar!$B$2:$B$755,$A447)&gt;0,1,0))</f>
        <v/>
      </c>
      <c r="O447" s="16" t="str">
        <f>IF($A447&lt;Notes!$B$5,"",IF(COUNTIFS(Release_Calendar!$A$2:$A$755,"NZ_LABOUR",Release_Calendar!$B$2:$B$755,$A447)&gt;0,1,0))</f>
        <v/>
      </c>
      <c r="P447" s="16">
        <f t="shared" si="4"/>
        <v>0</v>
      </c>
    </row>
    <row r="448" ht="15.75" customHeight="1">
      <c r="A448" s="14">
        <v>37152.0</v>
      </c>
      <c r="B448" s="15">
        <v>2.96</v>
      </c>
      <c r="C448" s="15"/>
      <c r="D448" s="15">
        <v>5.51</v>
      </c>
      <c r="E448" s="15"/>
      <c r="F448" s="15" t="str">
        <f t="shared" si="1"/>
        <v/>
      </c>
      <c r="G448" s="15">
        <f t="shared" si="2"/>
        <v>5.51</v>
      </c>
      <c r="H448" s="16">
        <v>1.0</v>
      </c>
      <c r="I448" s="15">
        <f t="shared" si="3"/>
        <v>2.55</v>
      </c>
      <c r="J448" s="15">
        <v>38.87</v>
      </c>
      <c r="K448" s="16">
        <f>IF(COUNTIFS(Release_Calendar!$A$2:$A$755,"US_CPI",Release_Calendar!$B$2:$B$755,$A448)&gt;0,1,0)</f>
        <v>1</v>
      </c>
      <c r="L448" s="16">
        <f>IF(COUNTIFS(Release_Calendar!$A$2:$A$755,"US_NFP",Release_Calendar!$B$2:$B$755,$A448)&gt;0,1,0)</f>
        <v>0</v>
      </c>
      <c r="M448" s="16" t="str">
        <f>IF($A448&lt;Notes!$B$5,"",IF(COUNTIFS(Release_Calendar!$A$2:$A$755,"NZ_CPI",Release_Calendar!$B$2:$B$755,$A448)&gt;0,1,0))</f>
        <v/>
      </c>
      <c r="N448" s="16" t="str">
        <f>IF($A448&lt;Notes!$B$5,"",IF(COUNTIFS(Release_Calendar!$A$2:$A$755,"NZ_GDP",Release_Calendar!$B$2:$B$755,$A448)&gt;0,1,0))</f>
        <v/>
      </c>
      <c r="O448" s="16" t="str">
        <f>IF($A448&lt;Notes!$B$5,"",IF(COUNTIFS(Release_Calendar!$A$2:$A$755,"NZ_LABOUR",Release_Calendar!$B$2:$B$755,$A448)&gt;0,1,0))</f>
        <v/>
      </c>
      <c r="P448" s="16">
        <f t="shared" si="4"/>
        <v>1</v>
      </c>
    </row>
    <row r="449" ht="15.75" customHeight="1">
      <c r="A449" s="14">
        <v>37153.0</v>
      </c>
      <c r="B449" s="15">
        <v>2.81</v>
      </c>
      <c r="C449" s="15"/>
      <c r="D449" s="15">
        <v>5.37</v>
      </c>
      <c r="E449" s="15"/>
      <c r="F449" s="15" t="str">
        <f t="shared" si="1"/>
        <v/>
      </c>
      <c r="G449" s="15">
        <f t="shared" si="2"/>
        <v>5.37</v>
      </c>
      <c r="H449" s="16">
        <v>1.0</v>
      </c>
      <c r="I449" s="15">
        <f t="shared" si="3"/>
        <v>2.56</v>
      </c>
      <c r="J449" s="15">
        <v>40.56</v>
      </c>
      <c r="K449" s="16">
        <f>IF(COUNTIFS(Release_Calendar!$A$2:$A$755,"US_CPI",Release_Calendar!$B$2:$B$755,$A449)&gt;0,1,0)</f>
        <v>0</v>
      </c>
      <c r="L449" s="16">
        <f>IF(COUNTIFS(Release_Calendar!$A$2:$A$755,"US_NFP",Release_Calendar!$B$2:$B$755,$A449)&gt;0,1,0)</f>
        <v>0</v>
      </c>
      <c r="M449" s="16" t="str">
        <f>IF($A449&lt;Notes!$B$5,"",IF(COUNTIFS(Release_Calendar!$A$2:$A$755,"NZ_CPI",Release_Calendar!$B$2:$B$755,$A449)&gt;0,1,0))</f>
        <v/>
      </c>
      <c r="N449" s="16" t="str">
        <f>IF($A449&lt;Notes!$B$5,"",IF(COUNTIFS(Release_Calendar!$A$2:$A$755,"NZ_GDP",Release_Calendar!$B$2:$B$755,$A449)&gt;0,1,0))</f>
        <v/>
      </c>
      <c r="O449" s="16" t="str">
        <f>IF($A449&lt;Notes!$B$5,"",IF(COUNTIFS(Release_Calendar!$A$2:$A$755,"NZ_LABOUR",Release_Calendar!$B$2:$B$755,$A449)&gt;0,1,0))</f>
        <v/>
      </c>
      <c r="P449" s="16">
        <f t="shared" si="4"/>
        <v>0</v>
      </c>
    </row>
    <row r="450" ht="15.75" customHeight="1">
      <c r="A450" s="14">
        <v>37154.0</v>
      </c>
      <c r="B450" s="15">
        <v>2.91</v>
      </c>
      <c r="C450" s="15"/>
      <c r="D450" s="15">
        <v>5.34</v>
      </c>
      <c r="E450" s="15"/>
      <c r="F450" s="15" t="str">
        <f t="shared" si="1"/>
        <v/>
      </c>
      <c r="G450" s="15">
        <f t="shared" si="2"/>
        <v>5.34</v>
      </c>
      <c r="H450" s="16">
        <v>1.0</v>
      </c>
      <c r="I450" s="15">
        <f t="shared" si="3"/>
        <v>2.43</v>
      </c>
      <c r="J450" s="15">
        <v>43.74</v>
      </c>
      <c r="K450" s="16">
        <f>IF(COUNTIFS(Release_Calendar!$A$2:$A$755,"US_CPI",Release_Calendar!$B$2:$B$755,$A450)&gt;0,1,0)</f>
        <v>0</v>
      </c>
      <c r="L450" s="16">
        <f>IF(COUNTIFS(Release_Calendar!$A$2:$A$755,"US_NFP",Release_Calendar!$B$2:$B$755,$A450)&gt;0,1,0)</f>
        <v>0</v>
      </c>
      <c r="M450" s="16" t="str">
        <f>IF($A450&lt;Notes!$B$5,"",IF(COUNTIFS(Release_Calendar!$A$2:$A$755,"NZ_CPI",Release_Calendar!$B$2:$B$755,$A450)&gt;0,1,0))</f>
        <v/>
      </c>
      <c r="N450" s="16" t="str">
        <f>IF($A450&lt;Notes!$B$5,"",IF(COUNTIFS(Release_Calendar!$A$2:$A$755,"NZ_GDP",Release_Calendar!$B$2:$B$755,$A450)&gt;0,1,0))</f>
        <v/>
      </c>
      <c r="O450" s="16" t="str">
        <f>IF($A450&lt;Notes!$B$5,"",IF(COUNTIFS(Release_Calendar!$A$2:$A$755,"NZ_LABOUR",Release_Calendar!$B$2:$B$755,$A450)&gt;0,1,0))</f>
        <v/>
      </c>
      <c r="P450" s="16">
        <f t="shared" si="4"/>
        <v>0</v>
      </c>
    </row>
    <row r="451" ht="15.75" customHeight="1">
      <c r="A451" s="14">
        <v>37155.0</v>
      </c>
      <c r="B451" s="15">
        <v>2.91</v>
      </c>
      <c r="C451" s="15"/>
      <c r="D451" s="15">
        <v>5.37</v>
      </c>
      <c r="E451" s="15"/>
      <c r="F451" s="15" t="str">
        <f t="shared" si="1"/>
        <v/>
      </c>
      <c r="G451" s="15">
        <f t="shared" si="2"/>
        <v>5.37</v>
      </c>
      <c r="H451" s="16">
        <v>1.0</v>
      </c>
      <c r="I451" s="15">
        <f t="shared" si="3"/>
        <v>2.46</v>
      </c>
      <c r="J451" s="15">
        <v>42.66</v>
      </c>
      <c r="K451" s="16">
        <f>IF(COUNTIFS(Release_Calendar!$A$2:$A$755,"US_CPI",Release_Calendar!$B$2:$B$755,$A451)&gt;0,1,0)</f>
        <v>0</v>
      </c>
      <c r="L451" s="16">
        <f>IF(COUNTIFS(Release_Calendar!$A$2:$A$755,"US_NFP",Release_Calendar!$B$2:$B$755,$A451)&gt;0,1,0)</f>
        <v>0</v>
      </c>
      <c r="M451" s="16" t="str">
        <f>IF($A451&lt;Notes!$B$5,"",IF(COUNTIFS(Release_Calendar!$A$2:$A$755,"NZ_CPI",Release_Calendar!$B$2:$B$755,$A451)&gt;0,1,0))</f>
        <v/>
      </c>
      <c r="N451" s="16" t="str">
        <f>IF($A451&lt;Notes!$B$5,"",IF(COUNTIFS(Release_Calendar!$A$2:$A$755,"NZ_GDP",Release_Calendar!$B$2:$B$755,$A451)&gt;0,1,0))</f>
        <v/>
      </c>
      <c r="O451" s="16" t="str">
        <f>IF($A451&lt;Notes!$B$5,"",IF(COUNTIFS(Release_Calendar!$A$2:$A$755,"NZ_LABOUR",Release_Calendar!$B$2:$B$755,$A451)&gt;0,1,0))</f>
        <v/>
      </c>
      <c r="P451" s="16">
        <f t="shared" si="4"/>
        <v>0</v>
      </c>
    </row>
    <row r="452" ht="15.75" customHeight="1">
      <c r="A452" s="14">
        <v>37158.0</v>
      </c>
      <c r="B452" s="15">
        <v>2.94</v>
      </c>
      <c r="C452" s="15"/>
      <c r="D452" s="15">
        <v>5.32</v>
      </c>
      <c r="E452" s="15"/>
      <c r="F452" s="15" t="str">
        <f t="shared" si="1"/>
        <v/>
      </c>
      <c r="G452" s="15">
        <f t="shared" si="2"/>
        <v>5.32</v>
      </c>
      <c r="H452" s="16">
        <v>1.0</v>
      </c>
      <c r="I452" s="15">
        <f t="shared" si="3"/>
        <v>2.38</v>
      </c>
      <c r="J452" s="15">
        <v>37.75</v>
      </c>
      <c r="K452" s="16">
        <f>IF(COUNTIFS(Release_Calendar!$A$2:$A$755,"US_CPI",Release_Calendar!$B$2:$B$755,$A452)&gt;0,1,0)</f>
        <v>0</v>
      </c>
      <c r="L452" s="16">
        <f>IF(COUNTIFS(Release_Calendar!$A$2:$A$755,"US_NFP",Release_Calendar!$B$2:$B$755,$A452)&gt;0,1,0)</f>
        <v>0</v>
      </c>
      <c r="M452" s="16" t="str">
        <f>IF($A452&lt;Notes!$B$5,"",IF(COUNTIFS(Release_Calendar!$A$2:$A$755,"NZ_CPI",Release_Calendar!$B$2:$B$755,$A452)&gt;0,1,0))</f>
        <v/>
      </c>
      <c r="N452" s="16" t="str">
        <f>IF($A452&lt;Notes!$B$5,"",IF(COUNTIFS(Release_Calendar!$A$2:$A$755,"NZ_GDP",Release_Calendar!$B$2:$B$755,$A452)&gt;0,1,0))</f>
        <v/>
      </c>
      <c r="O452" s="16" t="str">
        <f>IF($A452&lt;Notes!$B$5,"",IF(COUNTIFS(Release_Calendar!$A$2:$A$755,"NZ_LABOUR",Release_Calendar!$B$2:$B$755,$A452)&gt;0,1,0))</f>
        <v/>
      </c>
      <c r="P452" s="16">
        <f t="shared" si="4"/>
        <v>0</v>
      </c>
    </row>
    <row r="453" ht="15.75" customHeight="1">
      <c r="A453" s="14">
        <v>37159.0</v>
      </c>
      <c r="B453" s="15">
        <v>2.88</v>
      </c>
      <c r="C453" s="15"/>
      <c r="D453" s="15">
        <v>5.33</v>
      </c>
      <c r="E453" s="15"/>
      <c r="F453" s="15" t="str">
        <f t="shared" si="1"/>
        <v/>
      </c>
      <c r="G453" s="15">
        <f t="shared" si="2"/>
        <v>5.33</v>
      </c>
      <c r="H453" s="16">
        <v>1.0</v>
      </c>
      <c r="I453" s="15">
        <f t="shared" si="3"/>
        <v>2.45</v>
      </c>
      <c r="J453" s="15">
        <v>35.81</v>
      </c>
      <c r="K453" s="16">
        <f>IF(COUNTIFS(Release_Calendar!$A$2:$A$755,"US_CPI",Release_Calendar!$B$2:$B$755,$A453)&gt;0,1,0)</f>
        <v>0</v>
      </c>
      <c r="L453" s="16">
        <f>IF(COUNTIFS(Release_Calendar!$A$2:$A$755,"US_NFP",Release_Calendar!$B$2:$B$755,$A453)&gt;0,1,0)</f>
        <v>0</v>
      </c>
      <c r="M453" s="16" t="str">
        <f>IF($A453&lt;Notes!$B$5,"",IF(COUNTIFS(Release_Calendar!$A$2:$A$755,"NZ_CPI",Release_Calendar!$B$2:$B$755,$A453)&gt;0,1,0))</f>
        <v/>
      </c>
      <c r="N453" s="16" t="str">
        <f>IF($A453&lt;Notes!$B$5,"",IF(COUNTIFS(Release_Calendar!$A$2:$A$755,"NZ_GDP",Release_Calendar!$B$2:$B$755,$A453)&gt;0,1,0))</f>
        <v/>
      </c>
      <c r="O453" s="16" t="str">
        <f>IF($A453&lt;Notes!$B$5,"",IF(COUNTIFS(Release_Calendar!$A$2:$A$755,"NZ_LABOUR",Release_Calendar!$B$2:$B$755,$A453)&gt;0,1,0))</f>
        <v/>
      </c>
      <c r="P453" s="16">
        <f t="shared" si="4"/>
        <v>0</v>
      </c>
    </row>
    <row r="454" ht="15.75" customHeight="1">
      <c r="A454" s="14">
        <v>37160.0</v>
      </c>
      <c r="B454" s="15">
        <v>2.82</v>
      </c>
      <c r="C454" s="15"/>
      <c r="D454" s="15">
        <v>5.29</v>
      </c>
      <c r="E454" s="15"/>
      <c r="F454" s="15" t="str">
        <f t="shared" si="1"/>
        <v/>
      </c>
      <c r="G454" s="15">
        <f t="shared" si="2"/>
        <v>5.29</v>
      </c>
      <c r="H454" s="16">
        <v>1.0</v>
      </c>
      <c r="I454" s="15">
        <f t="shared" si="3"/>
        <v>2.47</v>
      </c>
      <c r="J454" s="15">
        <v>35.26</v>
      </c>
      <c r="K454" s="16">
        <f>IF(COUNTIFS(Release_Calendar!$A$2:$A$755,"US_CPI",Release_Calendar!$B$2:$B$755,$A454)&gt;0,1,0)</f>
        <v>0</v>
      </c>
      <c r="L454" s="16">
        <f>IF(COUNTIFS(Release_Calendar!$A$2:$A$755,"US_NFP",Release_Calendar!$B$2:$B$755,$A454)&gt;0,1,0)</f>
        <v>0</v>
      </c>
      <c r="M454" s="16" t="str">
        <f>IF($A454&lt;Notes!$B$5,"",IF(COUNTIFS(Release_Calendar!$A$2:$A$755,"NZ_CPI",Release_Calendar!$B$2:$B$755,$A454)&gt;0,1,0))</f>
        <v/>
      </c>
      <c r="N454" s="16" t="str">
        <f>IF($A454&lt;Notes!$B$5,"",IF(COUNTIFS(Release_Calendar!$A$2:$A$755,"NZ_GDP",Release_Calendar!$B$2:$B$755,$A454)&gt;0,1,0))</f>
        <v/>
      </c>
      <c r="O454" s="16" t="str">
        <f>IF($A454&lt;Notes!$B$5,"",IF(COUNTIFS(Release_Calendar!$A$2:$A$755,"NZ_LABOUR",Release_Calendar!$B$2:$B$755,$A454)&gt;0,1,0))</f>
        <v/>
      </c>
      <c r="P454" s="16">
        <f t="shared" si="4"/>
        <v>0</v>
      </c>
    </row>
    <row r="455" ht="15.75" customHeight="1">
      <c r="A455" s="14">
        <v>37161.0</v>
      </c>
      <c r="B455" s="15">
        <v>2.78</v>
      </c>
      <c r="C455" s="15"/>
      <c r="D455" s="15">
        <v>5.2</v>
      </c>
      <c r="E455" s="15"/>
      <c r="F455" s="15" t="str">
        <f t="shared" si="1"/>
        <v/>
      </c>
      <c r="G455" s="15">
        <f t="shared" si="2"/>
        <v>5.2</v>
      </c>
      <c r="H455" s="16">
        <v>1.0</v>
      </c>
      <c r="I455" s="15">
        <f t="shared" si="3"/>
        <v>2.42</v>
      </c>
      <c r="J455" s="15">
        <v>34.0</v>
      </c>
      <c r="K455" s="16">
        <f>IF(COUNTIFS(Release_Calendar!$A$2:$A$755,"US_CPI",Release_Calendar!$B$2:$B$755,$A455)&gt;0,1,0)</f>
        <v>0</v>
      </c>
      <c r="L455" s="16">
        <f>IF(COUNTIFS(Release_Calendar!$A$2:$A$755,"US_NFP",Release_Calendar!$B$2:$B$755,$A455)&gt;0,1,0)</f>
        <v>0</v>
      </c>
      <c r="M455" s="16" t="str">
        <f>IF($A455&lt;Notes!$B$5,"",IF(COUNTIFS(Release_Calendar!$A$2:$A$755,"NZ_CPI",Release_Calendar!$B$2:$B$755,$A455)&gt;0,1,0))</f>
        <v/>
      </c>
      <c r="N455" s="16" t="str">
        <f>IF($A455&lt;Notes!$B$5,"",IF(COUNTIFS(Release_Calendar!$A$2:$A$755,"NZ_GDP",Release_Calendar!$B$2:$B$755,$A455)&gt;0,1,0))</f>
        <v/>
      </c>
      <c r="O455" s="16" t="str">
        <f>IF($A455&lt;Notes!$B$5,"",IF(COUNTIFS(Release_Calendar!$A$2:$A$755,"NZ_LABOUR",Release_Calendar!$B$2:$B$755,$A455)&gt;0,1,0))</f>
        <v/>
      </c>
      <c r="P455" s="16">
        <f t="shared" si="4"/>
        <v>0</v>
      </c>
    </row>
    <row r="456" ht="15.75" customHeight="1">
      <c r="A456" s="14">
        <v>37162.0</v>
      </c>
      <c r="B456" s="15">
        <v>2.86</v>
      </c>
      <c r="C456" s="15"/>
      <c r="D456" s="15">
        <v>5.17</v>
      </c>
      <c r="E456" s="15"/>
      <c r="F456" s="15" t="str">
        <f t="shared" si="1"/>
        <v/>
      </c>
      <c r="G456" s="15">
        <f t="shared" si="2"/>
        <v>5.17</v>
      </c>
      <c r="H456" s="16">
        <v>1.0</v>
      </c>
      <c r="I456" s="15">
        <f t="shared" si="3"/>
        <v>2.31</v>
      </c>
      <c r="J456" s="15">
        <v>31.93</v>
      </c>
      <c r="K456" s="16">
        <f>IF(COUNTIFS(Release_Calendar!$A$2:$A$755,"US_CPI",Release_Calendar!$B$2:$B$755,$A456)&gt;0,1,0)</f>
        <v>0</v>
      </c>
      <c r="L456" s="16">
        <f>IF(COUNTIFS(Release_Calendar!$A$2:$A$755,"US_NFP",Release_Calendar!$B$2:$B$755,$A456)&gt;0,1,0)</f>
        <v>0</v>
      </c>
      <c r="M456" s="16" t="str">
        <f>IF($A456&lt;Notes!$B$5,"",IF(COUNTIFS(Release_Calendar!$A$2:$A$755,"NZ_CPI",Release_Calendar!$B$2:$B$755,$A456)&gt;0,1,0))</f>
        <v/>
      </c>
      <c r="N456" s="16" t="str">
        <f>IF($A456&lt;Notes!$B$5,"",IF(COUNTIFS(Release_Calendar!$A$2:$A$755,"NZ_GDP",Release_Calendar!$B$2:$B$755,$A456)&gt;0,1,0))</f>
        <v/>
      </c>
      <c r="O456" s="16" t="str">
        <f>IF($A456&lt;Notes!$B$5,"",IF(COUNTIFS(Release_Calendar!$A$2:$A$755,"NZ_LABOUR",Release_Calendar!$B$2:$B$755,$A456)&gt;0,1,0))</f>
        <v/>
      </c>
      <c r="P456" s="16">
        <f t="shared" si="4"/>
        <v>0</v>
      </c>
    </row>
    <row r="457" ht="15.75" customHeight="1">
      <c r="A457" s="14">
        <v>37165.0</v>
      </c>
      <c r="B457" s="15">
        <v>2.82</v>
      </c>
      <c r="C457" s="15"/>
      <c r="D457" s="15">
        <v>5.2</v>
      </c>
      <c r="E457" s="15"/>
      <c r="F457" s="15" t="str">
        <f t="shared" si="1"/>
        <v/>
      </c>
      <c r="G457" s="15">
        <f t="shared" si="2"/>
        <v>5.2</v>
      </c>
      <c r="H457" s="16">
        <v>1.0</v>
      </c>
      <c r="I457" s="15">
        <f t="shared" si="3"/>
        <v>2.38</v>
      </c>
      <c r="J457" s="15">
        <v>32.32</v>
      </c>
      <c r="K457" s="16">
        <f>IF(COUNTIFS(Release_Calendar!$A$2:$A$755,"US_CPI",Release_Calendar!$B$2:$B$755,$A457)&gt;0,1,0)</f>
        <v>0</v>
      </c>
      <c r="L457" s="16">
        <f>IF(COUNTIFS(Release_Calendar!$A$2:$A$755,"US_NFP",Release_Calendar!$B$2:$B$755,$A457)&gt;0,1,0)</f>
        <v>0</v>
      </c>
      <c r="M457" s="16" t="str">
        <f>IF($A457&lt;Notes!$B$5,"",IF(COUNTIFS(Release_Calendar!$A$2:$A$755,"NZ_CPI",Release_Calendar!$B$2:$B$755,$A457)&gt;0,1,0))</f>
        <v/>
      </c>
      <c r="N457" s="16" t="str">
        <f>IF($A457&lt;Notes!$B$5,"",IF(COUNTIFS(Release_Calendar!$A$2:$A$755,"NZ_GDP",Release_Calendar!$B$2:$B$755,$A457)&gt;0,1,0))</f>
        <v/>
      </c>
      <c r="O457" s="16" t="str">
        <f>IF($A457&lt;Notes!$B$5,"",IF(COUNTIFS(Release_Calendar!$A$2:$A$755,"NZ_LABOUR",Release_Calendar!$B$2:$B$755,$A457)&gt;0,1,0))</f>
        <v/>
      </c>
      <c r="P457" s="16">
        <f t="shared" si="4"/>
        <v>0</v>
      </c>
    </row>
    <row r="458" ht="15.75" customHeight="1">
      <c r="A458" s="14">
        <v>37166.0</v>
      </c>
      <c r="B458" s="15">
        <v>2.77</v>
      </c>
      <c r="C458" s="15"/>
      <c r="D458" s="15">
        <v>5.14</v>
      </c>
      <c r="E458" s="15"/>
      <c r="F458" s="15" t="str">
        <f t="shared" si="1"/>
        <v/>
      </c>
      <c r="G458" s="15">
        <f t="shared" si="2"/>
        <v>5.14</v>
      </c>
      <c r="H458" s="16">
        <v>1.0</v>
      </c>
      <c r="I458" s="15">
        <f t="shared" si="3"/>
        <v>2.37</v>
      </c>
      <c r="J458" s="15">
        <v>31.18</v>
      </c>
      <c r="K458" s="16">
        <f>IF(COUNTIFS(Release_Calendar!$A$2:$A$755,"US_CPI",Release_Calendar!$B$2:$B$755,$A458)&gt;0,1,0)</f>
        <v>0</v>
      </c>
      <c r="L458" s="16">
        <f>IF(COUNTIFS(Release_Calendar!$A$2:$A$755,"US_NFP",Release_Calendar!$B$2:$B$755,$A458)&gt;0,1,0)</f>
        <v>0</v>
      </c>
      <c r="M458" s="16" t="str">
        <f>IF($A458&lt;Notes!$B$5,"",IF(COUNTIFS(Release_Calendar!$A$2:$A$755,"NZ_CPI",Release_Calendar!$B$2:$B$755,$A458)&gt;0,1,0))</f>
        <v/>
      </c>
      <c r="N458" s="16" t="str">
        <f>IF($A458&lt;Notes!$B$5,"",IF(COUNTIFS(Release_Calendar!$A$2:$A$755,"NZ_GDP",Release_Calendar!$B$2:$B$755,$A458)&gt;0,1,0))</f>
        <v/>
      </c>
      <c r="O458" s="16" t="str">
        <f>IF($A458&lt;Notes!$B$5,"",IF(COUNTIFS(Release_Calendar!$A$2:$A$755,"NZ_LABOUR",Release_Calendar!$B$2:$B$755,$A458)&gt;0,1,0))</f>
        <v/>
      </c>
      <c r="P458" s="16">
        <f t="shared" si="4"/>
        <v>0</v>
      </c>
    </row>
    <row r="459" ht="15.75" customHeight="1">
      <c r="A459" s="14">
        <v>37167.0</v>
      </c>
      <c r="B459" s="15">
        <v>2.77</v>
      </c>
      <c r="C459" s="15"/>
      <c r="D459" s="15">
        <v>5.05</v>
      </c>
      <c r="E459" s="15"/>
      <c r="F459" s="15" t="str">
        <f t="shared" si="1"/>
        <v/>
      </c>
      <c r="G459" s="15">
        <f t="shared" si="2"/>
        <v>5.05</v>
      </c>
      <c r="H459" s="16">
        <v>1.0</v>
      </c>
      <c r="I459" s="15">
        <f t="shared" si="3"/>
        <v>2.28</v>
      </c>
      <c r="J459" s="15">
        <v>31.34</v>
      </c>
      <c r="K459" s="16">
        <f>IF(COUNTIFS(Release_Calendar!$A$2:$A$755,"US_CPI",Release_Calendar!$B$2:$B$755,$A459)&gt;0,1,0)</f>
        <v>0</v>
      </c>
      <c r="L459" s="16">
        <f>IF(COUNTIFS(Release_Calendar!$A$2:$A$755,"US_NFP",Release_Calendar!$B$2:$B$755,$A459)&gt;0,1,0)</f>
        <v>0</v>
      </c>
      <c r="M459" s="16" t="str">
        <f>IF($A459&lt;Notes!$B$5,"",IF(COUNTIFS(Release_Calendar!$A$2:$A$755,"NZ_CPI",Release_Calendar!$B$2:$B$755,$A459)&gt;0,1,0))</f>
        <v/>
      </c>
      <c r="N459" s="16" t="str">
        <f>IF($A459&lt;Notes!$B$5,"",IF(COUNTIFS(Release_Calendar!$A$2:$A$755,"NZ_GDP",Release_Calendar!$B$2:$B$755,$A459)&gt;0,1,0))</f>
        <v/>
      </c>
      <c r="O459" s="16" t="str">
        <f>IF($A459&lt;Notes!$B$5,"",IF(COUNTIFS(Release_Calendar!$A$2:$A$755,"NZ_LABOUR",Release_Calendar!$B$2:$B$755,$A459)&gt;0,1,0))</f>
        <v/>
      </c>
      <c r="P459" s="16">
        <f t="shared" si="4"/>
        <v>0</v>
      </c>
    </row>
    <row r="460" ht="15.75" customHeight="1">
      <c r="A460" s="14">
        <v>37168.0</v>
      </c>
      <c r="B460" s="15">
        <v>2.75</v>
      </c>
      <c r="C460" s="15"/>
      <c r="D460" s="15">
        <v>5.1</v>
      </c>
      <c r="E460" s="15"/>
      <c r="F460" s="15" t="str">
        <f t="shared" si="1"/>
        <v/>
      </c>
      <c r="G460" s="15">
        <f t="shared" si="2"/>
        <v>5.1</v>
      </c>
      <c r="H460" s="16">
        <v>1.0</v>
      </c>
      <c r="I460" s="15">
        <f t="shared" si="3"/>
        <v>2.35</v>
      </c>
      <c r="J460" s="15">
        <v>31.97</v>
      </c>
      <c r="K460" s="16">
        <f>IF(COUNTIFS(Release_Calendar!$A$2:$A$755,"US_CPI",Release_Calendar!$B$2:$B$755,$A460)&gt;0,1,0)</f>
        <v>0</v>
      </c>
      <c r="L460" s="16">
        <f>IF(COUNTIFS(Release_Calendar!$A$2:$A$755,"US_NFP",Release_Calendar!$B$2:$B$755,$A460)&gt;0,1,0)</f>
        <v>0</v>
      </c>
      <c r="M460" s="16" t="str">
        <f>IF($A460&lt;Notes!$B$5,"",IF(COUNTIFS(Release_Calendar!$A$2:$A$755,"NZ_CPI",Release_Calendar!$B$2:$B$755,$A460)&gt;0,1,0))</f>
        <v/>
      </c>
      <c r="N460" s="16" t="str">
        <f>IF($A460&lt;Notes!$B$5,"",IF(COUNTIFS(Release_Calendar!$A$2:$A$755,"NZ_GDP",Release_Calendar!$B$2:$B$755,$A460)&gt;0,1,0))</f>
        <v/>
      </c>
      <c r="O460" s="16" t="str">
        <f>IF($A460&lt;Notes!$B$5,"",IF(COUNTIFS(Release_Calendar!$A$2:$A$755,"NZ_LABOUR",Release_Calendar!$B$2:$B$755,$A460)&gt;0,1,0))</f>
        <v/>
      </c>
      <c r="P460" s="16">
        <f t="shared" si="4"/>
        <v>0</v>
      </c>
    </row>
    <row r="461" ht="15.75" customHeight="1">
      <c r="A461" s="14">
        <v>37169.0</v>
      </c>
      <c r="B461" s="15">
        <v>2.71</v>
      </c>
      <c r="C461" s="15"/>
      <c r="D461" s="15">
        <v>5.09</v>
      </c>
      <c r="E461" s="15"/>
      <c r="F461" s="15" t="str">
        <f t="shared" si="1"/>
        <v/>
      </c>
      <c r="G461" s="15">
        <f t="shared" si="2"/>
        <v>5.09</v>
      </c>
      <c r="H461" s="16">
        <v>1.0</v>
      </c>
      <c r="I461" s="15">
        <f t="shared" si="3"/>
        <v>2.38</v>
      </c>
      <c r="J461" s="15">
        <v>33.39</v>
      </c>
      <c r="K461" s="16">
        <f>IF(COUNTIFS(Release_Calendar!$A$2:$A$755,"US_CPI",Release_Calendar!$B$2:$B$755,$A461)&gt;0,1,0)</f>
        <v>0</v>
      </c>
      <c r="L461" s="16">
        <f>IF(COUNTIFS(Release_Calendar!$A$2:$A$755,"US_NFP",Release_Calendar!$B$2:$B$755,$A461)&gt;0,1,0)</f>
        <v>1</v>
      </c>
      <c r="M461" s="16" t="str">
        <f>IF($A461&lt;Notes!$B$5,"",IF(COUNTIFS(Release_Calendar!$A$2:$A$755,"NZ_CPI",Release_Calendar!$B$2:$B$755,$A461)&gt;0,1,0))</f>
        <v/>
      </c>
      <c r="N461" s="16" t="str">
        <f>IF($A461&lt;Notes!$B$5,"",IF(COUNTIFS(Release_Calendar!$A$2:$A$755,"NZ_GDP",Release_Calendar!$B$2:$B$755,$A461)&gt;0,1,0))</f>
        <v/>
      </c>
      <c r="O461" s="16" t="str">
        <f>IF($A461&lt;Notes!$B$5,"",IF(COUNTIFS(Release_Calendar!$A$2:$A$755,"NZ_LABOUR",Release_Calendar!$B$2:$B$755,$A461)&gt;0,1,0))</f>
        <v/>
      </c>
      <c r="P461" s="16">
        <f t="shared" si="4"/>
        <v>1</v>
      </c>
    </row>
    <row r="462" ht="15.75" customHeight="1">
      <c r="A462" s="14">
        <v>37172.0</v>
      </c>
      <c r="B462" s="15"/>
      <c r="C462" s="15"/>
      <c r="D462" s="15">
        <v>4.97</v>
      </c>
      <c r="E462" s="15"/>
      <c r="F462" s="15" t="str">
        <f t="shared" si="1"/>
        <v/>
      </c>
      <c r="G462" s="15">
        <f t="shared" si="2"/>
        <v>4.97</v>
      </c>
      <c r="H462" s="16">
        <v>1.0</v>
      </c>
      <c r="I462" s="15" t="str">
        <f t="shared" si="3"/>
        <v/>
      </c>
      <c r="J462" s="15">
        <v>35.12</v>
      </c>
      <c r="K462" s="16">
        <f>IF(COUNTIFS(Release_Calendar!$A$2:$A$755,"US_CPI",Release_Calendar!$B$2:$B$755,$A462)&gt;0,1,0)</f>
        <v>0</v>
      </c>
      <c r="L462" s="16">
        <f>IF(COUNTIFS(Release_Calendar!$A$2:$A$755,"US_NFP",Release_Calendar!$B$2:$B$755,$A462)&gt;0,1,0)</f>
        <v>0</v>
      </c>
      <c r="M462" s="16" t="str">
        <f>IF($A462&lt;Notes!$B$5,"",IF(COUNTIFS(Release_Calendar!$A$2:$A$755,"NZ_CPI",Release_Calendar!$B$2:$B$755,$A462)&gt;0,1,0))</f>
        <v/>
      </c>
      <c r="N462" s="16" t="str">
        <f>IF($A462&lt;Notes!$B$5,"",IF(COUNTIFS(Release_Calendar!$A$2:$A$755,"NZ_GDP",Release_Calendar!$B$2:$B$755,$A462)&gt;0,1,0))</f>
        <v/>
      </c>
      <c r="O462" s="16" t="str">
        <f>IF($A462&lt;Notes!$B$5,"",IF(COUNTIFS(Release_Calendar!$A$2:$A$755,"NZ_LABOUR",Release_Calendar!$B$2:$B$755,$A462)&gt;0,1,0))</f>
        <v/>
      </c>
      <c r="P462" s="16">
        <f t="shared" si="4"/>
        <v>0</v>
      </c>
    </row>
    <row r="463" ht="15.75" customHeight="1">
      <c r="A463" s="14">
        <v>37173.0</v>
      </c>
      <c r="B463" s="15">
        <v>2.74</v>
      </c>
      <c r="C463" s="15"/>
      <c r="D463" s="15">
        <v>4.96</v>
      </c>
      <c r="E463" s="15"/>
      <c r="F463" s="15" t="str">
        <f t="shared" si="1"/>
        <v/>
      </c>
      <c r="G463" s="15">
        <f t="shared" si="2"/>
        <v>4.96</v>
      </c>
      <c r="H463" s="16">
        <v>1.0</v>
      </c>
      <c r="I463" s="15">
        <f t="shared" si="3"/>
        <v>2.22</v>
      </c>
      <c r="J463" s="15">
        <v>34.83</v>
      </c>
      <c r="K463" s="16">
        <f>IF(COUNTIFS(Release_Calendar!$A$2:$A$755,"US_CPI",Release_Calendar!$B$2:$B$755,$A463)&gt;0,1,0)</f>
        <v>0</v>
      </c>
      <c r="L463" s="16">
        <f>IF(COUNTIFS(Release_Calendar!$A$2:$A$755,"US_NFP",Release_Calendar!$B$2:$B$755,$A463)&gt;0,1,0)</f>
        <v>0</v>
      </c>
      <c r="M463" s="16" t="str">
        <f>IF($A463&lt;Notes!$B$5,"",IF(COUNTIFS(Release_Calendar!$A$2:$A$755,"NZ_CPI",Release_Calendar!$B$2:$B$755,$A463)&gt;0,1,0))</f>
        <v/>
      </c>
      <c r="N463" s="16" t="str">
        <f>IF($A463&lt;Notes!$B$5,"",IF(COUNTIFS(Release_Calendar!$A$2:$A$755,"NZ_GDP",Release_Calendar!$B$2:$B$755,$A463)&gt;0,1,0))</f>
        <v/>
      </c>
      <c r="O463" s="16" t="str">
        <f>IF($A463&lt;Notes!$B$5,"",IF(COUNTIFS(Release_Calendar!$A$2:$A$755,"NZ_LABOUR",Release_Calendar!$B$2:$B$755,$A463)&gt;0,1,0))</f>
        <v/>
      </c>
      <c r="P463" s="16">
        <f t="shared" si="4"/>
        <v>0</v>
      </c>
    </row>
    <row r="464" ht="15.75" customHeight="1">
      <c r="A464" s="14">
        <v>37174.0</v>
      </c>
      <c r="B464" s="15">
        <v>2.78</v>
      </c>
      <c r="C464" s="15"/>
      <c r="D464" s="15">
        <v>5.02</v>
      </c>
      <c r="E464" s="15"/>
      <c r="F464" s="15" t="str">
        <f t="shared" si="1"/>
        <v/>
      </c>
      <c r="G464" s="15">
        <f t="shared" si="2"/>
        <v>5.02</v>
      </c>
      <c r="H464" s="16">
        <v>1.0</v>
      </c>
      <c r="I464" s="15">
        <f t="shared" si="3"/>
        <v>2.24</v>
      </c>
      <c r="J464" s="15">
        <v>31.6</v>
      </c>
      <c r="K464" s="16">
        <f>IF(COUNTIFS(Release_Calendar!$A$2:$A$755,"US_CPI",Release_Calendar!$B$2:$B$755,$A464)&gt;0,1,0)</f>
        <v>0</v>
      </c>
      <c r="L464" s="16">
        <f>IF(COUNTIFS(Release_Calendar!$A$2:$A$755,"US_NFP",Release_Calendar!$B$2:$B$755,$A464)&gt;0,1,0)</f>
        <v>0</v>
      </c>
      <c r="M464" s="16" t="str">
        <f>IF($A464&lt;Notes!$B$5,"",IF(COUNTIFS(Release_Calendar!$A$2:$A$755,"NZ_CPI",Release_Calendar!$B$2:$B$755,$A464)&gt;0,1,0))</f>
        <v/>
      </c>
      <c r="N464" s="16" t="str">
        <f>IF($A464&lt;Notes!$B$5,"",IF(COUNTIFS(Release_Calendar!$A$2:$A$755,"NZ_GDP",Release_Calendar!$B$2:$B$755,$A464)&gt;0,1,0))</f>
        <v/>
      </c>
      <c r="O464" s="16" t="str">
        <f>IF($A464&lt;Notes!$B$5,"",IF(COUNTIFS(Release_Calendar!$A$2:$A$755,"NZ_LABOUR",Release_Calendar!$B$2:$B$755,$A464)&gt;0,1,0))</f>
        <v/>
      </c>
      <c r="P464" s="16">
        <f t="shared" si="4"/>
        <v>0</v>
      </c>
    </row>
    <row r="465" ht="15.75" customHeight="1">
      <c r="A465" s="14">
        <v>37175.0</v>
      </c>
      <c r="B465" s="15">
        <v>2.88</v>
      </c>
      <c r="C465" s="15"/>
      <c r="D465" s="15">
        <v>4.95</v>
      </c>
      <c r="E465" s="15"/>
      <c r="F465" s="15" t="str">
        <f t="shared" si="1"/>
        <v/>
      </c>
      <c r="G465" s="15">
        <f t="shared" si="2"/>
        <v>4.95</v>
      </c>
      <c r="H465" s="16">
        <v>1.0</v>
      </c>
      <c r="I465" s="15">
        <f t="shared" si="3"/>
        <v>2.07</v>
      </c>
      <c r="J465" s="15">
        <v>31.5</v>
      </c>
      <c r="K465" s="16">
        <f>IF(COUNTIFS(Release_Calendar!$A$2:$A$755,"US_CPI",Release_Calendar!$B$2:$B$755,$A465)&gt;0,1,0)</f>
        <v>0</v>
      </c>
      <c r="L465" s="16">
        <f>IF(COUNTIFS(Release_Calendar!$A$2:$A$755,"US_NFP",Release_Calendar!$B$2:$B$755,$A465)&gt;0,1,0)</f>
        <v>0</v>
      </c>
      <c r="M465" s="16" t="str">
        <f>IF($A465&lt;Notes!$B$5,"",IF(COUNTIFS(Release_Calendar!$A$2:$A$755,"NZ_CPI",Release_Calendar!$B$2:$B$755,$A465)&gt;0,1,0))</f>
        <v/>
      </c>
      <c r="N465" s="16" t="str">
        <f>IF($A465&lt;Notes!$B$5,"",IF(COUNTIFS(Release_Calendar!$A$2:$A$755,"NZ_GDP",Release_Calendar!$B$2:$B$755,$A465)&gt;0,1,0))</f>
        <v/>
      </c>
      <c r="O465" s="16" t="str">
        <f>IF($A465&lt;Notes!$B$5,"",IF(COUNTIFS(Release_Calendar!$A$2:$A$755,"NZ_LABOUR",Release_Calendar!$B$2:$B$755,$A465)&gt;0,1,0))</f>
        <v/>
      </c>
      <c r="P465" s="16">
        <f t="shared" si="4"/>
        <v>0</v>
      </c>
    </row>
    <row r="466" ht="15.75" customHeight="1">
      <c r="A466" s="14">
        <v>37176.0</v>
      </c>
      <c r="B466" s="15">
        <v>2.81</v>
      </c>
      <c r="C466" s="15"/>
      <c r="D466" s="15">
        <v>5.02</v>
      </c>
      <c r="E466" s="15"/>
      <c r="F466" s="15" t="str">
        <f t="shared" si="1"/>
        <v/>
      </c>
      <c r="G466" s="15">
        <f t="shared" si="2"/>
        <v>5.02</v>
      </c>
      <c r="H466" s="16">
        <v>1.0</v>
      </c>
      <c r="I466" s="15">
        <f t="shared" si="3"/>
        <v>2.21</v>
      </c>
      <c r="J466" s="15">
        <v>35.27</v>
      </c>
      <c r="K466" s="16">
        <f>IF(COUNTIFS(Release_Calendar!$A$2:$A$755,"US_CPI",Release_Calendar!$B$2:$B$755,$A466)&gt;0,1,0)</f>
        <v>0</v>
      </c>
      <c r="L466" s="16">
        <f>IF(COUNTIFS(Release_Calendar!$A$2:$A$755,"US_NFP",Release_Calendar!$B$2:$B$755,$A466)&gt;0,1,0)</f>
        <v>0</v>
      </c>
      <c r="M466" s="16" t="str">
        <f>IF($A466&lt;Notes!$B$5,"",IF(COUNTIFS(Release_Calendar!$A$2:$A$755,"NZ_CPI",Release_Calendar!$B$2:$B$755,$A466)&gt;0,1,0))</f>
        <v/>
      </c>
      <c r="N466" s="16" t="str">
        <f>IF($A466&lt;Notes!$B$5,"",IF(COUNTIFS(Release_Calendar!$A$2:$A$755,"NZ_GDP",Release_Calendar!$B$2:$B$755,$A466)&gt;0,1,0))</f>
        <v/>
      </c>
      <c r="O466" s="16" t="str">
        <f>IF($A466&lt;Notes!$B$5,"",IF(COUNTIFS(Release_Calendar!$A$2:$A$755,"NZ_LABOUR",Release_Calendar!$B$2:$B$755,$A466)&gt;0,1,0))</f>
        <v/>
      </c>
      <c r="P466" s="16">
        <f t="shared" si="4"/>
        <v>0</v>
      </c>
    </row>
    <row r="467" ht="15.75" customHeight="1">
      <c r="A467" s="14">
        <v>37179.0</v>
      </c>
      <c r="B467" s="15">
        <v>2.78</v>
      </c>
      <c r="C467" s="15"/>
      <c r="D467" s="15">
        <v>4.95</v>
      </c>
      <c r="E467" s="15"/>
      <c r="F467" s="15" t="str">
        <f t="shared" si="1"/>
        <v/>
      </c>
      <c r="G467" s="15">
        <f t="shared" si="2"/>
        <v>4.95</v>
      </c>
      <c r="H467" s="16">
        <v>1.0</v>
      </c>
      <c r="I467" s="15">
        <f t="shared" si="3"/>
        <v>2.17</v>
      </c>
      <c r="J467" s="15">
        <v>35.31</v>
      </c>
      <c r="K467" s="16">
        <f>IF(COUNTIFS(Release_Calendar!$A$2:$A$755,"US_CPI",Release_Calendar!$B$2:$B$755,$A467)&gt;0,1,0)</f>
        <v>0</v>
      </c>
      <c r="L467" s="16">
        <f>IF(COUNTIFS(Release_Calendar!$A$2:$A$755,"US_NFP",Release_Calendar!$B$2:$B$755,$A467)&gt;0,1,0)</f>
        <v>0</v>
      </c>
      <c r="M467" s="16" t="str">
        <f>IF($A467&lt;Notes!$B$5,"",IF(COUNTIFS(Release_Calendar!$A$2:$A$755,"NZ_CPI",Release_Calendar!$B$2:$B$755,$A467)&gt;0,1,0))</f>
        <v/>
      </c>
      <c r="N467" s="16" t="str">
        <f>IF($A467&lt;Notes!$B$5,"",IF(COUNTIFS(Release_Calendar!$A$2:$A$755,"NZ_GDP",Release_Calendar!$B$2:$B$755,$A467)&gt;0,1,0))</f>
        <v/>
      </c>
      <c r="O467" s="16" t="str">
        <f>IF($A467&lt;Notes!$B$5,"",IF(COUNTIFS(Release_Calendar!$A$2:$A$755,"NZ_LABOUR",Release_Calendar!$B$2:$B$755,$A467)&gt;0,1,0))</f>
        <v/>
      </c>
      <c r="P467" s="16">
        <f t="shared" si="4"/>
        <v>0</v>
      </c>
    </row>
    <row r="468" ht="15.75" customHeight="1">
      <c r="A468" s="14">
        <v>37180.0</v>
      </c>
      <c r="B468" s="15">
        <v>2.77</v>
      </c>
      <c r="C468" s="15"/>
      <c r="D468" s="15">
        <v>4.9</v>
      </c>
      <c r="E468" s="15"/>
      <c r="F468" s="15" t="str">
        <f t="shared" si="1"/>
        <v/>
      </c>
      <c r="G468" s="15">
        <f t="shared" si="2"/>
        <v>4.9</v>
      </c>
      <c r="H468" s="16">
        <v>1.0</v>
      </c>
      <c r="I468" s="15">
        <f t="shared" si="3"/>
        <v>2.13</v>
      </c>
      <c r="J468" s="15">
        <v>32.88</v>
      </c>
      <c r="K468" s="16">
        <f>IF(COUNTIFS(Release_Calendar!$A$2:$A$755,"US_CPI",Release_Calendar!$B$2:$B$755,$A468)&gt;0,1,0)</f>
        <v>0</v>
      </c>
      <c r="L468" s="16">
        <f>IF(COUNTIFS(Release_Calendar!$A$2:$A$755,"US_NFP",Release_Calendar!$B$2:$B$755,$A468)&gt;0,1,0)</f>
        <v>0</v>
      </c>
      <c r="M468" s="16" t="str">
        <f>IF($A468&lt;Notes!$B$5,"",IF(COUNTIFS(Release_Calendar!$A$2:$A$755,"NZ_CPI",Release_Calendar!$B$2:$B$755,$A468)&gt;0,1,0))</f>
        <v/>
      </c>
      <c r="N468" s="16" t="str">
        <f>IF($A468&lt;Notes!$B$5,"",IF(COUNTIFS(Release_Calendar!$A$2:$A$755,"NZ_GDP",Release_Calendar!$B$2:$B$755,$A468)&gt;0,1,0))</f>
        <v/>
      </c>
      <c r="O468" s="16" t="str">
        <f>IF($A468&lt;Notes!$B$5,"",IF(COUNTIFS(Release_Calendar!$A$2:$A$755,"NZ_LABOUR",Release_Calendar!$B$2:$B$755,$A468)&gt;0,1,0))</f>
        <v/>
      </c>
      <c r="P468" s="16">
        <f t="shared" si="4"/>
        <v>0</v>
      </c>
    </row>
    <row r="469" ht="15.75" customHeight="1">
      <c r="A469" s="14">
        <v>37181.0</v>
      </c>
      <c r="B469" s="15">
        <v>2.8</v>
      </c>
      <c r="C469" s="15"/>
      <c r="D469" s="15">
        <v>4.93</v>
      </c>
      <c r="E469" s="15"/>
      <c r="F469" s="15" t="str">
        <f t="shared" si="1"/>
        <v/>
      </c>
      <c r="G469" s="15">
        <f t="shared" si="2"/>
        <v>4.93</v>
      </c>
      <c r="H469" s="16">
        <v>1.0</v>
      </c>
      <c r="I469" s="15">
        <f t="shared" si="3"/>
        <v>2.13</v>
      </c>
      <c r="J469" s="15">
        <v>35.08</v>
      </c>
      <c r="K469" s="16">
        <f>IF(COUNTIFS(Release_Calendar!$A$2:$A$755,"US_CPI",Release_Calendar!$B$2:$B$755,$A469)&gt;0,1,0)</f>
        <v>0</v>
      </c>
      <c r="L469" s="16">
        <f>IF(COUNTIFS(Release_Calendar!$A$2:$A$755,"US_NFP",Release_Calendar!$B$2:$B$755,$A469)&gt;0,1,0)</f>
        <v>0</v>
      </c>
      <c r="M469" s="16" t="str">
        <f>IF($A469&lt;Notes!$B$5,"",IF(COUNTIFS(Release_Calendar!$A$2:$A$755,"NZ_CPI",Release_Calendar!$B$2:$B$755,$A469)&gt;0,1,0))</f>
        <v/>
      </c>
      <c r="N469" s="16" t="str">
        <f>IF($A469&lt;Notes!$B$5,"",IF(COUNTIFS(Release_Calendar!$A$2:$A$755,"NZ_GDP",Release_Calendar!$B$2:$B$755,$A469)&gt;0,1,0))</f>
        <v/>
      </c>
      <c r="O469" s="16" t="str">
        <f>IF($A469&lt;Notes!$B$5,"",IF(COUNTIFS(Release_Calendar!$A$2:$A$755,"NZ_LABOUR",Release_Calendar!$B$2:$B$755,$A469)&gt;0,1,0))</f>
        <v/>
      </c>
      <c r="P469" s="16">
        <f t="shared" si="4"/>
        <v>0</v>
      </c>
    </row>
    <row r="470" ht="15.75" customHeight="1">
      <c r="A470" s="14">
        <v>37182.0</v>
      </c>
      <c r="B470" s="15">
        <v>2.77</v>
      </c>
      <c r="C470" s="15"/>
      <c r="D470" s="15">
        <v>4.89</v>
      </c>
      <c r="E470" s="15"/>
      <c r="F470" s="15" t="str">
        <f t="shared" si="1"/>
        <v/>
      </c>
      <c r="G470" s="15">
        <f t="shared" si="2"/>
        <v>4.89</v>
      </c>
      <c r="H470" s="16">
        <v>1.0</v>
      </c>
      <c r="I470" s="15">
        <f t="shared" si="3"/>
        <v>2.12</v>
      </c>
      <c r="J470" s="15">
        <v>34.95</v>
      </c>
      <c r="K470" s="16">
        <f>IF(COUNTIFS(Release_Calendar!$A$2:$A$755,"US_CPI",Release_Calendar!$B$2:$B$755,$A470)&gt;0,1,0)</f>
        <v>0</v>
      </c>
      <c r="L470" s="16">
        <f>IF(COUNTIFS(Release_Calendar!$A$2:$A$755,"US_NFP",Release_Calendar!$B$2:$B$755,$A470)&gt;0,1,0)</f>
        <v>0</v>
      </c>
      <c r="M470" s="16" t="str">
        <f>IF($A470&lt;Notes!$B$5,"",IF(COUNTIFS(Release_Calendar!$A$2:$A$755,"NZ_CPI",Release_Calendar!$B$2:$B$755,$A470)&gt;0,1,0))</f>
        <v/>
      </c>
      <c r="N470" s="16" t="str">
        <f>IF($A470&lt;Notes!$B$5,"",IF(COUNTIFS(Release_Calendar!$A$2:$A$755,"NZ_GDP",Release_Calendar!$B$2:$B$755,$A470)&gt;0,1,0))</f>
        <v/>
      </c>
      <c r="O470" s="16" t="str">
        <f>IF($A470&lt;Notes!$B$5,"",IF(COUNTIFS(Release_Calendar!$A$2:$A$755,"NZ_LABOUR",Release_Calendar!$B$2:$B$755,$A470)&gt;0,1,0))</f>
        <v/>
      </c>
      <c r="P470" s="16">
        <f t="shared" si="4"/>
        <v>0</v>
      </c>
    </row>
    <row r="471" ht="15.75" customHeight="1">
      <c r="A471" s="14">
        <v>37183.0</v>
      </c>
      <c r="B471" s="15">
        <v>2.77</v>
      </c>
      <c r="C471" s="15"/>
      <c r="D471" s="15">
        <v>4.85</v>
      </c>
      <c r="E471" s="15"/>
      <c r="F471" s="15" t="str">
        <f t="shared" si="1"/>
        <v/>
      </c>
      <c r="G471" s="15">
        <f t="shared" si="2"/>
        <v>4.85</v>
      </c>
      <c r="H471" s="16">
        <v>1.0</v>
      </c>
      <c r="I471" s="15">
        <f t="shared" si="3"/>
        <v>2.08</v>
      </c>
      <c r="J471" s="15">
        <v>34.11</v>
      </c>
      <c r="K471" s="16">
        <f>IF(COUNTIFS(Release_Calendar!$A$2:$A$755,"US_CPI",Release_Calendar!$B$2:$B$755,$A471)&gt;0,1,0)</f>
        <v>1</v>
      </c>
      <c r="L471" s="16">
        <f>IF(COUNTIFS(Release_Calendar!$A$2:$A$755,"US_NFP",Release_Calendar!$B$2:$B$755,$A471)&gt;0,1,0)</f>
        <v>0</v>
      </c>
      <c r="M471" s="16" t="str">
        <f>IF($A471&lt;Notes!$B$5,"",IF(COUNTIFS(Release_Calendar!$A$2:$A$755,"NZ_CPI",Release_Calendar!$B$2:$B$755,$A471)&gt;0,1,0))</f>
        <v/>
      </c>
      <c r="N471" s="16" t="str">
        <f>IF($A471&lt;Notes!$B$5,"",IF(COUNTIFS(Release_Calendar!$A$2:$A$755,"NZ_GDP",Release_Calendar!$B$2:$B$755,$A471)&gt;0,1,0))</f>
        <v/>
      </c>
      <c r="O471" s="16" t="str">
        <f>IF($A471&lt;Notes!$B$5,"",IF(COUNTIFS(Release_Calendar!$A$2:$A$755,"NZ_LABOUR",Release_Calendar!$B$2:$B$755,$A471)&gt;0,1,0))</f>
        <v/>
      </c>
      <c r="P471" s="16">
        <f t="shared" si="4"/>
        <v>1</v>
      </c>
    </row>
    <row r="472" ht="15.75" customHeight="1">
      <c r="A472" s="14">
        <v>37186.0</v>
      </c>
      <c r="B472" s="15">
        <v>2.79</v>
      </c>
      <c r="C472" s="15"/>
      <c r="D472" s="15"/>
      <c r="E472" s="15"/>
      <c r="F472" s="15" t="str">
        <f t="shared" si="1"/>
        <v/>
      </c>
      <c r="G472" s="15" t="str">
        <f t="shared" si="2"/>
        <v/>
      </c>
      <c r="H472" s="16">
        <v>1.0</v>
      </c>
      <c r="I472" s="15" t="str">
        <f t="shared" si="3"/>
        <v/>
      </c>
      <c r="J472" s="15">
        <v>32.25</v>
      </c>
      <c r="K472" s="16">
        <f>IF(COUNTIFS(Release_Calendar!$A$2:$A$755,"US_CPI",Release_Calendar!$B$2:$B$755,$A472)&gt;0,1,0)</f>
        <v>0</v>
      </c>
      <c r="L472" s="16">
        <f>IF(COUNTIFS(Release_Calendar!$A$2:$A$755,"US_NFP",Release_Calendar!$B$2:$B$755,$A472)&gt;0,1,0)</f>
        <v>0</v>
      </c>
      <c r="M472" s="16" t="str">
        <f>IF($A472&lt;Notes!$B$5,"",IF(COUNTIFS(Release_Calendar!$A$2:$A$755,"NZ_CPI",Release_Calendar!$B$2:$B$755,$A472)&gt;0,1,0))</f>
        <v/>
      </c>
      <c r="N472" s="16" t="str">
        <f>IF($A472&lt;Notes!$B$5,"",IF(COUNTIFS(Release_Calendar!$A$2:$A$755,"NZ_GDP",Release_Calendar!$B$2:$B$755,$A472)&gt;0,1,0))</f>
        <v/>
      </c>
      <c r="O472" s="16" t="str">
        <f>IF($A472&lt;Notes!$B$5,"",IF(COUNTIFS(Release_Calendar!$A$2:$A$755,"NZ_LABOUR",Release_Calendar!$B$2:$B$755,$A472)&gt;0,1,0))</f>
        <v/>
      </c>
      <c r="P472" s="16">
        <f t="shared" si="4"/>
        <v>0</v>
      </c>
    </row>
    <row r="473" ht="15.75" customHeight="1">
      <c r="A473" s="14">
        <v>37187.0</v>
      </c>
      <c r="B473" s="15">
        <v>2.81</v>
      </c>
      <c r="C473" s="15"/>
      <c r="D473" s="15">
        <v>4.87</v>
      </c>
      <c r="E473" s="15"/>
      <c r="F473" s="15" t="str">
        <f t="shared" si="1"/>
        <v/>
      </c>
      <c r="G473" s="15">
        <f t="shared" si="2"/>
        <v>4.87</v>
      </c>
      <c r="H473" s="16">
        <v>1.0</v>
      </c>
      <c r="I473" s="15">
        <f t="shared" si="3"/>
        <v>2.06</v>
      </c>
      <c r="J473" s="15">
        <v>32.0</v>
      </c>
      <c r="K473" s="16">
        <f>IF(COUNTIFS(Release_Calendar!$A$2:$A$755,"US_CPI",Release_Calendar!$B$2:$B$755,$A473)&gt;0,1,0)</f>
        <v>0</v>
      </c>
      <c r="L473" s="16">
        <f>IF(COUNTIFS(Release_Calendar!$A$2:$A$755,"US_NFP",Release_Calendar!$B$2:$B$755,$A473)&gt;0,1,0)</f>
        <v>0</v>
      </c>
      <c r="M473" s="16" t="str">
        <f>IF($A473&lt;Notes!$B$5,"",IF(COUNTIFS(Release_Calendar!$A$2:$A$755,"NZ_CPI",Release_Calendar!$B$2:$B$755,$A473)&gt;0,1,0))</f>
        <v/>
      </c>
      <c r="N473" s="16" t="str">
        <f>IF($A473&lt;Notes!$B$5,"",IF(COUNTIFS(Release_Calendar!$A$2:$A$755,"NZ_GDP",Release_Calendar!$B$2:$B$755,$A473)&gt;0,1,0))</f>
        <v/>
      </c>
      <c r="O473" s="16" t="str">
        <f>IF($A473&lt;Notes!$B$5,"",IF(COUNTIFS(Release_Calendar!$A$2:$A$755,"NZ_LABOUR",Release_Calendar!$B$2:$B$755,$A473)&gt;0,1,0))</f>
        <v/>
      </c>
      <c r="P473" s="16">
        <f t="shared" si="4"/>
        <v>0</v>
      </c>
    </row>
    <row r="474" ht="15.75" customHeight="1">
      <c r="A474" s="14">
        <v>37188.0</v>
      </c>
      <c r="B474" s="15">
        <v>2.72</v>
      </c>
      <c r="C474" s="15"/>
      <c r="D474" s="15">
        <v>4.9</v>
      </c>
      <c r="E474" s="15"/>
      <c r="F474" s="15" t="str">
        <f t="shared" si="1"/>
        <v/>
      </c>
      <c r="G474" s="15">
        <f t="shared" si="2"/>
        <v>4.9</v>
      </c>
      <c r="H474" s="16">
        <v>1.0</v>
      </c>
      <c r="I474" s="15">
        <f t="shared" si="3"/>
        <v>2.18</v>
      </c>
      <c r="J474" s="15">
        <v>30.95</v>
      </c>
      <c r="K474" s="16">
        <f>IF(COUNTIFS(Release_Calendar!$A$2:$A$755,"US_CPI",Release_Calendar!$B$2:$B$755,$A474)&gt;0,1,0)</f>
        <v>0</v>
      </c>
      <c r="L474" s="16">
        <f>IF(COUNTIFS(Release_Calendar!$A$2:$A$755,"US_NFP",Release_Calendar!$B$2:$B$755,$A474)&gt;0,1,0)</f>
        <v>0</v>
      </c>
      <c r="M474" s="16" t="str">
        <f>IF($A474&lt;Notes!$B$5,"",IF(COUNTIFS(Release_Calendar!$A$2:$A$755,"NZ_CPI",Release_Calendar!$B$2:$B$755,$A474)&gt;0,1,0))</f>
        <v/>
      </c>
      <c r="N474" s="16" t="str">
        <f>IF($A474&lt;Notes!$B$5,"",IF(COUNTIFS(Release_Calendar!$A$2:$A$755,"NZ_GDP",Release_Calendar!$B$2:$B$755,$A474)&gt;0,1,0))</f>
        <v/>
      </c>
      <c r="O474" s="16" t="str">
        <f>IF($A474&lt;Notes!$B$5,"",IF(COUNTIFS(Release_Calendar!$A$2:$A$755,"NZ_LABOUR",Release_Calendar!$B$2:$B$755,$A474)&gt;0,1,0))</f>
        <v/>
      </c>
      <c r="P474" s="16">
        <f t="shared" si="4"/>
        <v>0</v>
      </c>
    </row>
    <row r="475" ht="15.75" customHeight="1">
      <c r="A475" s="14">
        <v>37189.0</v>
      </c>
      <c r="B475" s="15">
        <v>2.63</v>
      </c>
      <c r="C475" s="15"/>
      <c r="D475" s="15">
        <v>4.76</v>
      </c>
      <c r="E475" s="15"/>
      <c r="F475" s="15" t="str">
        <f t="shared" si="1"/>
        <v/>
      </c>
      <c r="G475" s="15">
        <f t="shared" si="2"/>
        <v>4.76</v>
      </c>
      <c r="H475" s="16">
        <v>1.0</v>
      </c>
      <c r="I475" s="15">
        <f t="shared" si="3"/>
        <v>2.13</v>
      </c>
      <c r="J475" s="15">
        <v>29.46</v>
      </c>
      <c r="K475" s="16">
        <f>IF(COUNTIFS(Release_Calendar!$A$2:$A$755,"US_CPI",Release_Calendar!$B$2:$B$755,$A475)&gt;0,1,0)</f>
        <v>0</v>
      </c>
      <c r="L475" s="16">
        <f>IF(COUNTIFS(Release_Calendar!$A$2:$A$755,"US_NFP",Release_Calendar!$B$2:$B$755,$A475)&gt;0,1,0)</f>
        <v>0</v>
      </c>
      <c r="M475" s="16" t="str">
        <f>IF($A475&lt;Notes!$B$5,"",IF(COUNTIFS(Release_Calendar!$A$2:$A$755,"NZ_CPI",Release_Calendar!$B$2:$B$755,$A475)&gt;0,1,0))</f>
        <v/>
      </c>
      <c r="N475" s="16" t="str">
        <f>IF($A475&lt;Notes!$B$5,"",IF(COUNTIFS(Release_Calendar!$A$2:$A$755,"NZ_GDP",Release_Calendar!$B$2:$B$755,$A475)&gt;0,1,0))</f>
        <v/>
      </c>
      <c r="O475" s="16" t="str">
        <f>IF($A475&lt;Notes!$B$5,"",IF(COUNTIFS(Release_Calendar!$A$2:$A$755,"NZ_LABOUR",Release_Calendar!$B$2:$B$755,$A475)&gt;0,1,0))</f>
        <v/>
      </c>
      <c r="P475" s="16">
        <f t="shared" si="4"/>
        <v>0</v>
      </c>
    </row>
    <row r="476" ht="15.75" customHeight="1">
      <c r="A476" s="14">
        <v>37190.0</v>
      </c>
      <c r="B476" s="15">
        <v>2.63</v>
      </c>
      <c r="C476" s="15"/>
      <c r="D476" s="15">
        <v>4.71</v>
      </c>
      <c r="E476" s="15"/>
      <c r="F476" s="15" t="str">
        <f t="shared" si="1"/>
        <v/>
      </c>
      <c r="G476" s="15">
        <f t="shared" si="2"/>
        <v>4.71</v>
      </c>
      <c r="H476" s="16">
        <v>1.0</v>
      </c>
      <c r="I476" s="15">
        <f t="shared" si="3"/>
        <v>2.08</v>
      </c>
      <c r="J476" s="15">
        <v>28.42</v>
      </c>
      <c r="K476" s="16">
        <f>IF(COUNTIFS(Release_Calendar!$A$2:$A$755,"US_CPI",Release_Calendar!$B$2:$B$755,$A476)&gt;0,1,0)</f>
        <v>0</v>
      </c>
      <c r="L476" s="16">
        <f>IF(COUNTIFS(Release_Calendar!$A$2:$A$755,"US_NFP",Release_Calendar!$B$2:$B$755,$A476)&gt;0,1,0)</f>
        <v>0</v>
      </c>
      <c r="M476" s="16" t="str">
        <f>IF($A476&lt;Notes!$B$5,"",IF(COUNTIFS(Release_Calendar!$A$2:$A$755,"NZ_CPI",Release_Calendar!$B$2:$B$755,$A476)&gt;0,1,0))</f>
        <v/>
      </c>
      <c r="N476" s="16" t="str">
        <f>IF($A476&lt;Notes!$B$5,"",IF(COUNTIFS(Release_Calendar!$A$2:$A$755,"NZ_GDP",Release_Calendar!$B$2:$B$755,$A476)&gt;0,1,0))</f>
        <v/>
      </c>
      <c r="O476" s="16" t="str">
        <f>IF($A476&lt;Notes!$B$5,"",IF(COUNTIFS(Release_Calendar!$A$2:$A$755,"NZ_LABOUR",Release_Calendar!$B$2:$B$755,$A476)&gt;0,1,0))</f>
        <v/>
      </c>
      <c r="P476" s="16">
        <f t="shared" si="4"/>
        <v>0</v>
      </c>
    </row>
    <row r="477" ht="15.75" customHeight="1">
      <c r="A477" s="14">
        <v>37193.0</v>
      </c>
      <c r="B477" s="15">
        <v>2.55</v>
      </c>
      <c r="C477" s="15"/>
      <c r="D477" s="15">
        <v>4.75</v>
      </c>
      <c r="E477" s="15"/>
      <c r="F477" s="15" t="str">
        <f t="shared" si="1"/>
        <v/>
      </c>
      <c r="G477" s="15">
        <f t="shared" si="2"/>
        <v>4.75</v>
      </c>
      <c r="H477" s="16">
        <v>1.0</v>
      </c>
      <c r="I477" s="15">
        <f t="shared" si="3"/>
        <v>2.2</v>
      </c>
      <c r="J477" s="15">
        <v>31.64</v>
      </c>
      <c r="K477" s="16">
        <f>IF(COUNTIFS(Release_Calendar!$A$2:$A$755,"US_CPI",Release_Calendar!$B$2:$B$755,$A477)&gt;0,1,0)</f>
        <v>0</v>
      </c>
      <c r="L477" s="16">
        <f>IF(COUNTIFS(Release_Calendar!$A$2:$A$755,"US_NFP",Release_Calendar!$B$2:$B$755,$A477)&gt;0,1,0)</f>
        <v>0</v>
      </c>
      <c r="M477" s="16" t="str">
        <f>IF($A477&lt;Notes!$B$5,"",IF(COUNTIFS(Release_Calendar!$A$2:$A$755,"NZ_CPI",Release_Calendar!$B$2:$B$755,$A477)&gt;0,1,0))</f>
        <v/>
      </c>
      <c r="N477" s="16" t="str">
        <f>IF($A477&lt;Notes!$B$5,"",IF(COUNTIFS(Release_Calendar!$A$2:$A$755,"NZ_GDP",Release_Calendar!$B$2:$B$755,$A477)&gt;0,1,0))</f>
        <v/>
      </c>
      <c r="O477" s="16" t="str">
        <f>IF($A477&lt;Notes!$B$5,"",IF(COUNTIFS(Release_Calendar!$A$2:$A$755,"NZ_LABOUR",Release_Calendar!$B$2:$B$755,$A477)&gt;0,1,0))</f>
        <v/>
      </c>
      <c r="P477" s="16">
        <f t="shared" si="4"/>
        <v>0</v>
      </c>
    </row>
    <row r="478" ht="15.75" customHeight="1">
      <c r="A478" s="14">
        <v>37194.0</v>
      </c>
      <c r="B478" s="15">
        <v>2.48</v>
      </c>
      <c r="C478" s="15"/>
      <c r="D478" s="15">
        <v>4.72</v>
      </c>
      <c r="E478" s="15"/>
      <c r="F478" s="15" t="str">
        <f t="shared" si="1"/>
        <v/>
      </c>
      <c r="G478" s="15">
        <f t="shared" si="2"/>
        <v>4.72</v>
      </c>
      <c r="H478" s="16">
        <v>1.0</v>
      </c>
      <c r="I478" s="15">
        <f t="shared" si="3"/>
        <v>2.24</v>
      </c>
      <c r="J478" s="15">
        <v>33.46</v>
      </c>
      <c r="K478" s="16">
        <f>IF(COUNTIFS(Release_Calendar!$A$2:$A$755,"US_CPI",Release_Calendar!$B$2:$B$755,$A478)&gt;0,1,0)</f>
        <v>0</v>
      </c>
      <c r="L478" s="16">
        <f>IF(COUNTIFS(Release_Calendar!$A$2:$A$755,"US_NFP",Release_Calendar!$B$2:$B$755,$A478)&gt;0,1,0)</f>
        <v>0</v>
      </c>
      <c r="M478" s="16" t="str">
        <f>IF($A478&lt;Notes!$B$5,"",IF(COUNTIFS(Release_Calendar!$A$2:$A$755,"NZ_CPI",Release_Calendar!$B$2:$B$755,$A478)&gt;0,1,0))</f>
        <v/>
      </c>
      <c r="N478" s="16" t="str">
        <f>IF($A478&lt;Notes!$B$5,"",IF(COUNTIFS(Release_Calendar!$A$2:$A$755,"NZ_GDP",Release_Calendar!$B$2:$B$755,$A478)&gt;0,1,0))</f>
        <v/>
      </c>
      <c r="O478" s="16" t="str">
        <f>IF($A478&lt;Notes!$B$5,"",IF(COUNTIFS(Release_Calendar!$A$2:$A$755,"NZ_LABOUR",Release_Calendar!$B$2:$B$755,$A478)&gt;0,1,0))</f>
        <v/>
      </c>
      <c r="P478" s="16">
        <f t="shared" si="4"/>
        <v>0</v>
      </c>
    </row>
    <row r="479" ht="15.75" customHeight="1">
      <c r="A479" s="14">
        <v>37195.0</v>
      </c>
      <c r="B479" s="15">
        <v>2.44</v>
      </c>
      <c r="C479" s="15"/>
      <c r="D479" s="15">
        <v>4.69</v>
      </c>
      <c r="E479" s="15"/>
      <c r="F479" s="15" t="str">
        <f t="shared" si="1"/>
        <v/>
      </c>
      <c r="G479" s="15">
        <f t="shared" si="2"/>
        <v>4.69</v>
      </c>
      <c r="H479" s="16">
        <v>1.0</v>
      </c>
      <c r="I479" s="15">
        <f t="shared" si="3"/>
        <v>2.25</v>
      </c>
      <c r="J479" s="15">
        <v>33.56</v>
      </c>
      <c r="K479" s="16">
        <f>IF(COUNTIFS(Release_Calendar!$A$2:$A$755,"US_CPI",Release_Calendar!$B$2:$B$755,$A479)&gt;0,1,0)</f>
        <v>0</v>
      </c>
      <c r="L479" s="16">
        <f>IF(COUNTIFS(Release_Calendar!$A$2:$A$755,"US_NFP",Release_Calendar!$B$2:$B$755,$A479)&gt;0,1,0)</f>
        <v>0</v>
      </c>
      <c r="M479" s="16" t="str">
        <f>IF($A479&lt;Notes!$B$5,"",IF(COUNTIFS(Release_Calendar!$A$2:$A$755,"NZ_CPI",Release_Calendar!$B$2:$B$755,$A479)&gt;0,1,0))</f>
        <v/>
      </c>
      <c r="N479" s="16" t="str">
        <f>IF($A479&lt;Notes!$B$5,"",IF(COUNTIFS(Release_Calendar!$A$2:$A$755,"NZ_GDP",Release_Calendar!$B$2:$B$755,$A479)&gt;0,1,0))</f>
        <v/>
      </c>
      <c r="O479" s="16" t="str">
        <f>IF($A479&lt;Notes!$B$5,"",IF(COUNTIFS(Release_Calendar!$A$2:$A$755,"NZ_LABOUR",Release_Calendar!$B$2:$B$755,$A479)&gt;0,1,0))</f>
        <v/>
      </c>
      <c r="P479" s="16">
        <f t="shared" si="4"/>
        <v>0</v>
      </c>
    </row>
    <row r="480" ht="15.75" customHeight="1">
      <c r="A480" s="14">
        <v>37196.0</v>
      </c>
      <c r="B480" s="15">
        <v>2.49</v>
      </c>
      <c r="C480" s="15"/>
      <c r="D480" s="15">
        <v>4.7</v>
      </c>
      <c r="E480" s="15"/>
      <c r="F480" s="15" t="str">
        <f t="shared" si="1"/>
        <v/>
      </c>
      <c r="G480" s="15">
        <f t="shared" si="2"/>
        <v>4.7</v>
      </c>
      <c r="H480" s="16">
        <v>1.0</v>
      </c>
      <c r="I480" s="15">
        <f t="shared" si="3"/>
        <v>2.21</v>
      </c>
      <c r="J480" s="15">
        <v>32.31</v>
      </c>
      <c r="K480" s="16">
        <f>IF(COUNTIFS(Release_Calendar!$A$2:$A$755,"US_CPI",Release_Calendar!$B$2:$B$755,$A480)&gt;0,1,0)</f>
        <v>0</v>
      </c>
      <c r="L480" s="16">
        <f>IF(COUNTIFS(Release_Calendar!$A$2:$A$755,"US_NFP",Release_Calendar!$B$2:$B$755,$A480)&gt;0,1,0)</f>
        <v>0</v>
      </c>
      <c r="M480" s="16" t="str">
        <f>IF($A480&lt;Notes!$B$5,"",IF(COUNTIFS(Release_Calendar!$A$2:$A$755,"NZ_CPI",Release_Calendar!$B$2:$B$755,$A480)&gt;0,1,0))</f>
        <v/>
      </c>
      <c r="N480" s="16" t="str">
        <f>IF($A480&lt;Notes!$B$5,"",IF(COUNTIFS(Release_Calendar!$A$2:$A$755,"NZ_GDP",Release_Calendar!$B$2:$B$755,$A480)&gt;0,1,0))</f>
        <v/>
      </c>
      <c r="O480" s="16" t="str">
        <f>IF($A480&lt;Notes!$B$5,"",IF(COUNTIFS(Release_Calendar!$A$2:$A$755,"NZ_LABOUR",Release_Calendar!$B$2:$B$755,$A480)&gt;0,1,0))</f>
        <v/>
      </c>
      <c r="P480" s="16">
        <f t="shared" si="4"/>
        <v>0</v>
      </c>
    </row>
    <row r="481" ht="15.75" customHeight="1">
      <c r="A481" s="14">
        <v>37197.0</v>
      </c>
      <c r="B481" s="15">
        <v>2.48</v>
      </c>
      <c r="C481" s="15"/>
      <c r="D481" s="15">
        <v>4.82</v>
      </c>
      <c r="E481" s="15"/>
      <c r="F481" s="15" t="str">
        <f t="shared" si="1"/>
        <v/>
      </c>
      <c r="G481" s="15">
        <f t="shared" si="2"/>
        <v>4.82</v>
      </c>
      <c r="H481" s="16">
        <v>1.0</v>
      </c>
      <c r="I481" s="15">
        <f t="shared" si="3"/>
        <v>2.34</v>
      </c>
      <c r="J481" s="15">
        <v>30.71</v>
      </c>
      <c r="K481" s="16">
        <f>IF(COUNTIFS(Release_Calendar!$A$2:$A$755,"US_CPI",Release_Calendar!$B$2:$B$755,$A481)&gt;0,1,0)</f>
        <v>0</v>
      </c>
      <c r="L481" s="16">
        <f>IF(COUNTIFS(Release_Calendar!$A$2:$A$755,"US_NFP",Release_Calendar!$B$2:$B$755,$A481)&gt;0,1,0)</f>
        <v>1</v>
      </c>
      <c r="M481" s="16" t="str">
        <f>IF($A481&lt;Notes!$B$5,"",IF(COUNTIFS(Release_Calendar!$A$2:$A$755,"NZ_CPI",Release_Calendar!$B$2:$B$755,$A481)&gt;0,1,0))</f>
        <v/>
      </c>
      <c r="N481" s="16" t="str">
        <f>IF($A481&lt;Notes!$B$5,"",IF(COUNTIFS(Release_Calendar!$A$2:$A$755,"NZ_GDP",Release_Calendar!$B$2:$B$755,$A481)&gt;0,1,0))</f>
        <v/>
      </c>
      <c r="O481" s="16" t="str">
        <f>IF($A481&lt;Notes!$B$5,"",IF(COUNTIFS(Release_Calendar!$A$2:$A$755,"NZ_LABOUR",Release_Calendar!$B$2:$B$755,$A481)&gt;0,1,0))</f>
        <v/>
      </c>
      <c r="P481" s="16">
        <f t="shared" si="4"/>
        <v>1</v>
      </c>
    </row>
    <row r="482" ht="15.75" customHeight="1">
      <c r="A482" s="14">
        <v>37200.0</v>
      </c>
      <c r="B482" s="15">
        <v>2.46</v>
      </c>
      <c r="C482" s="15"/>
      <c r="D482" s="15">
        <v>4.78</v>
      </c>
      <c r="E482" s="15"/>
      <c r="F482" s="15" t="str">
        <f t="shared" si="1"/>
        <v/>
      </c>
      <c r="G482" s="15">
        <f t="shared" si="2"/>
        <v>4.78</v>
      </c>
      <c r="H482" s="16">
        <v>1.0</v>
      </c>
      <c r="I482" s="15">
        <f t="shared" si="3"/>
        <v>2.32</v>
      </c>
      <c r="J482" s="15">
        <v>30.5</v>
      </c>
      <c r="K482" s="16">
        <f>IF(COUNTIFS(Release_Calendar!$A$2:$A$755,"US_CPI",Release_Calendar!$B$2:$B$755,$A482)&gt;0,1,0)</f>
        <v>0</v>
      </c>
      <c r="L482" s="16">
        <f>IF(COUNTIFS(Release_Calendar!$A$2:$A$755,"US_NFP",Release_Calendar!$B$2:$B$755,$A482)&gt;0,1,0)</f>
        <v>0</v>
      </c>
      <c r="M482" s="16" t="str">
        <f>IF($A482&lt;Notes!$B$5,"",IF(COUNTIFS(Release_Calendar!$A$2:$A$755,"NZ_CPI",Release_Calendar!$B$2:$B$755,$A482)&gt;0,1,0))</f>
        <v/>
      </c>
      <c r="N482" s="16" t="str">
        <f>IF($A482&lt;Notes!$B$5,"",IF(COUNTIFS(Release_Calendar!$A$2:$A$755,"NZ_GDP",Release_Calendar!$B$2:$B$755,$A482)&gt;0,1,0))</f>
        <v/>
      </c>
      <c r="O482" s="16" t="str">
        <f>IF($A482&lt;Notes!$B$5,"",IF(COUNTIFS(Release_Calendar!$A$2:$A$755,"NZ_LABOUR",Release_Calendar!$B$2:$B$755,$A482)&gt;0,1,0))</f>
        <v/>
      </c>
      <c r="P482" s="16">
        <f t="shared" si="4"/>
        <v>0</v>
      </c>
    </row>
    <row r="483" ht="15.75" customHeight="1">
      <c r="A483" s="14">
        <v>37201.0</v>
      </c>
      <c r="B483" s="15">
        <v>2.37</v>
      </c>
      <c r="C483" s="15"/>
      <c r="D483" s="15">
        <v>4.72</v>
      </c>
      <c r="E483" s="15"/>
      <c r="F483" s="15" t="str">
        <f t="shared" si="1"/>
        <v/>
      </c>
      <c r="G483" s="15">
        <f t="shared" si="2"/>
        <v>4.72</v>
      </c>
      <c r="H483" s="16">
        <v>1.0</v>
      </c>
      <c r="I483" s="15">
        <f t="shared" si="3"/>
        <v>2.35</v>
      </c>
      <c r="J483" s="15">
        <v>28.8</v>
      </c>
      <c r="K483" s="16">
        <f>IF(COUNTIFS(Release_Calendar!$A$2:$A$755,"US_CPI",Release_Calendar!$B$2:$B$755,$A483)&gt;0,1,0)</f>
        <v>0</v>
      </c>
      <c r="L483" s="16">
        <f>IF(COUNTIFS(Release_Calendar!$A$2:$A$755,"US_NFP",Release_Calendar!$B$2:$B$755,$A483)&gt;0,1,0)</f>
        <v>0</v>
      </c>
      <c r="M483" s="16" t="str">
        <f>IF($A483&lt;Notes!$B$5,"",IF(COUNTIFS(Release_Calendar!$A$2:$A$755,"NZ_CPI",Release_Calendar!$B$2:$B$755,$A483)&gt;0,1,0))</f>
        <v/>
      </c>
      <c r="N483" s="16" t="str">
        <f>IF($A483&lt;Notes!$B$5,"",IF(COUNTIFS(Release_Calendar!$A$2:$A$755,"NZ_GDP",Release_Calendar!$B$2:$B$755,$A483)&gt;0,1,0))</f>
        <v/>
      </c>
      <c r="O483" s="16" t="str">
        <f>IF($A483&lt;Notes!$B$5,"",IF(COUNTIFS(Release_Calendar!$A$2:$A$755,"NZ_LABOUR",Release_Calendar!$B$2:$B$755,$A483)&gt;0,1,0))</f>
        <v/>
      </c>
      <c r="P483" s="16">
        <f t="shared" si="4"/>
        <v>0</v>
      </c>
    </row>
    <row r="484" ht="15.75" customHeight="1">
      <c r="A484" s="14">
        <v>37202.0</v>
      </c>
      <c r="B484" s="15">
        <v>2.32</v>
      </c>
      <c r="C484" s="15"/>
      <c r="D484" s="15">
        <v>4.66</v>
      </c>
      <c r="E484" s="15"/>
      <c r="F484" s="15" t="str">
        <f t="shared" si="1"/>
        <v/>
      </c>
      <c r="G484" s="15">
        <f t="shared" si="2"/>
        <v>4.66</v>
      </c>
      <c r="H484" s="16">
        <v>1.0</v>
      </c>
      <c r="I484" s="15">
        <f t="shared" si="3"/>
        <v>2.34</v>
      </c>
      <c r="J484" s="15">
        <v>29.13</v>
      </c>
      <c r="K484" s="16">
        <f>IF(COUNTIFS(Release_Calendar!$A$2:$A$755,"US_CPI",Release_Calendar!$B$2:$B$755,$A484)&gt;0,1,0)</f>
        <v>0</v>
      </c>
      <c r="L484" s="16">
        <f>IF(COUNTIFS(Release_Calendar!$A$2:$A$755,"US_NFP",Release_Calendar!$B$2:$B$755,$A484)&gt;0,1,0)</f>
        <v>0</v>
      </c>
      <c r="M484" s="16" t="str">
        <f>IF($A484&lt;Notes!$B$5,"",IF(COUNTIFS(Release_Calendar!$A$2:$A$755,"NZ_CPI",Release_Calendar!$B$2:$B$755,$A484)&gt;0,1,0))</f>
        <v/>
      </c>
      <c r="N484" s="16" t="str">
        <f>IF($A484&lt;Notes!$B$5,"",IF(COUNTIFS(Release_Calendar!$A$2:$A$755,"NZ_GDP",Release_Calendar!$B$2:$B$755,$A484)&gt;0,1,0))</f>
        <v/>
      </c>
      <c r="O484" s="16" t="str">
        <f>IF($A484&lt;Notes!$B$5,"",IF(COUNTIFS(Release_Calendar!$A$2:$A$755,"NZ_LABOUR",Release_Calendar!$B$2:$B$755,$A484)&gt;0,1,0))</f>
        <v/>
      </c>
      <c r="P484" s="16">
        <f t="shared" si="4"/>
        <v>0</v>
      </c>
    </row>
    <row r="485" ht="15.75" customHeight="1">
      <c r="A485" s="14">
        <v>37203.0</v>
      </c>
      <c r="B485" s="15">
        <v>2.42</v>
      </c>
      <c r="C485" s="15"/>
      <c r="D485" s="15">
        <v>4.6</v>
      </c>
      <c r="E485" s="15"/>
      <c r="F485" s="15" t="str">
        <f t="shared" si="1"/>
        <v/>
      </c>
      <c r="G485" s="15">
        <f t="shared" si="2"/>
        <v>4.6</v>
      </c>
      <c r="H485" s="16">
        <v>1.0</v>
      </c>
      <c r="I485" s="15">
        <f t="shared" si="3"/>
        <v>2.18</v>
      </c>
      <c r="J485" s="15">
        <v>28.62</v>
      </c>
      <c r="K485" s="16">
        <f>IF(COUNTIFS(Release_Calendar!$A$2:$A$755,"US_CPI",Release_Calendar!$B$2:$B$755,$A485)&gt;0,1,0)</f>
        <v>0</v>
      </c>
      <c r="L485" s="16">
        <f>IF(COUNTIFS(Release_Calendar!$A$2:$A$755,"US_NFP",Release_Calendar!$B$2:$B$755,$A485)&gt;0,1,0)</f>
        <v>0</v>
      </c>
      <c r="M485" s="16" t="str">
        <f>IF($A485&lt;Notes!$B$5,"",IF(COUNTIFS(Release_Calendar!$A$2:$A$755,"NZ_CPI",Release_Calendar!$B$2:$B$755,$A485)&gt;0,1,0))</f>
        <v/>
      </c>
      <c r="N485" s="16" t="str">
        <f>IF($A485&lt;Notes!$B$5,"",IF(COUNTIFS(Release_Calendar!$A$2:$A$755,"NZ_GDP",Release_Calendar!$B$2:$B$755,$A485)&gt;0,1,0))</f>
        <v/>
      </c>
      <c r="O485" s="16" t="str">
        <f>IF($A485&lt;Notes!$B$5,"",IF(COUNTIFS(Release_Calendar!$A$2:$A$755,"NZ_LABOUR",Release_Calendar!$B$2:$B$755,$A485)&gt;0,1,0))</f>
        <v/>
      </c>
      <c r="P485" s="16">
        <f t="shared" si="4"/>
        <v>0</v>
      </c>
    </row>
    <row r="486" ht="15.75" customHeight="1">
      <c r="A486" s="14">
        <v>37204.0</v>
      </c>
      <c r="B486" s="15">
        <v>2.45</v>
      </c>
      <c r="C486" s="15"/>
      <c r="D486" s="15">
        <v>4.69</v>
      </c>
      <c r="E486" s="15"/>
      <c r="F486" s="15" t="str">
        <f t="shared" si="1"/>
        <v/>
      </c>
      <c r="G486" s="15">
        <f t="shared" si="2"/>
        <v>4.69</v>
      </c>
      <c r="H486" s="16">
        <v>1.0</v>
      </c>
      <c r="I486" s="15">
        <f t="shared" si="3"/>
        <v>2.24</v>
      </c>
      <c r="J486" s="15">
        <v>27.44</v>
      </c>
      <c r="K486" s="16">
        <f>IF(COUNTIFS(Release_Calendar!$A$2:$A$755,"US_CPI",Release_Calendar!$B$2:$B$755,$A486)&gt;0,1,0)</f>
        <v>0</v>
      </c>
      <c r="L486" s="16">
        <f>IF(COUNTIFS(Release_Calendar!$A$2:$A$755,"US_NFP",Release_Calendar!$B$2:$B$755,$A486)&gt;0,1,0)</f>
        <v>0</v>
      </c>
      <c r="M486" s="16" t="str">
        <f>IF($A486&lt;Notes!$B$5,"",IF(COUNTIFS(Release_Calendar!$A$2:$A$755,"NZ_CPI",Release_Calendar!$B$2:$B$755,$A486)&gt;0,1,0))</f>
        <v/>
      </c>
      <c r="N486" s="16" t="str">
        <f>IF($A486&lt;Notes!$B$5,"",IF(COUNTIFS(Release_Calendar!$A$2:$A$755,"NZ_GDP",Release_Calendar!$B$2:$B$755,$A486)&gt;0,1,0))</f>
        <v/>
      </c>
      <c r="O486" s="16" t="str">
        <f>IF($A486&lt;Notes!$B$5,"",IF(COUNTIFS(Release_Calendar!$A$2:$A$755,"NZ_LABOUR",Release_Calendar!$B$2:$B$755,$A486)&gt;0,1,0))</f>
        <v/>
      </c>
      <c r="P486" s="16">
        <f t="shared" si="4"/>
        <v>0</v>
      </c>
    </row>
    <row r="487" ht="15.75" customHeight="1">
      <c r="A487" s="14">
        <v>37207.0</v>
      </c>
      <c r="B487" s="15"/>
      <c r="C487" s="15"/>
      <c r="D487" s="15">
        <v>4.74</v>
      </c>
      <c r="E487" s="15"/>
      <c r="F487" s="15" t="str">
        <f t="shared" si="1"/>
        <v/>
      </c>
      <c r="G487" s="15">
        <f t="shared" si="2"/>
        <v>4.74</v>
      </c>
      <c r="H487" s="16">
        <v>1.0</v>
      </c>
      <c r="I487" s="15" t="str">
        <f t="shared" si="3"/>
        <v/>
      </c>
      <c r="J487" s="15">
        <v>29.35</v>
      </c>
      <c r="K487" s="16">
        <f>IF(COUNTIFS(Release_Calendar!$A$2:$A$755,"US_CPI",Release_Calendar!$B$2:$B$755,$A487)&gt;0,1,0)</f>
        <v>0</v>
      </c>
      <c r="L487" s="16">
        <f>IF(COUNTIFS(Release_Calendar!$A$2:$A$755,"US_NFP",Release_Calendar!$B$2:$B$755,$A487)&gt;0,1,0)</f>
        <v>0</v>
      </c>
      <c r="M487" s="16" t="str">
        <f>IF($A487&lt;Notes!$B$5,"",IF(COUNTIFS(Release_Calendar!$A$2:$A$755,"NZ_CPI",Release_Calendar!$B$2:$B$755,$A487)&gt;0,1,0))</f>
        <v/>
      </c>
      <c r="N487" s="16" t="str">
        <f>IF($A487&lt;Notes!$B$5,"",IF(COUNTIFS(Release_Calendar!$A$2:$A$755,"NZ_GDP",Release_Calendar!$B$2:$B$755,$A487)&gt;0,1,0))</f>
        <v/>
      </c>
      <c r="O487" s="16" t="str">
        <f>IF($A487&lt;Notes!$B$5,"",IF(COUNTIFS(Release_Calendar!$A$2:$A$755,"NZ_LABOUR",Release_Calendar!$B$2:$B$755,$A487)&gt;0,1,0))</f>
        <v/>
      </c>
      <c r="P487" s="16">
        <f t="shared" si="4"/>
        <v>0</v>
      </c>
    </row>
    <row r="488" ht="15.75" customHeight="1">
      <c r="A488" s="14">
        <v>37208.0</v>
      </c>
      <c r="B488" s="15">
        <v>2.54</v>
      </c>
      <c r="C488" s="15"/>
      <c r="D488" s="15">
        <v>4.72</v>
      </c>
      <c r="E488" s="15"/>
      <c r="F488" s="15" t="str">
        <f t="shared" si="1"/>
        <v/>
      </c>
      <c r="G488" s="15">
        <f t="shared" si="2"/>
        <v>4.72</v>
      </c>
      <c r="H488" s="16">
        <v>1.0</v>
      </c>
      <c r="I488" s="15">
        <f t="shared" si="3"/>
        <v>2.18</v>
      </c>
      <c r="J488" s="15">
        <v>26.47</v>
      </c>
      <c r="K488" s="16">
        <f>IF(COUNTIFS(Release_Calendar!$A$2:$A$755,"US_CPI",Release_Calendar!$B$2:$B$755,$A488)&gt;0,1,0)</f>
        <v>0</v>
      </c>
      <c r="L488" s="16">
        <f>IF(COUNTIFS(Release_Calendar!$A$2:$A$755,"US_NFP",Release_Calendar!$B$2:$B$755,$A488)&gt;0,1,0)</f>
        <v>0</v>
      </c>
      <c r="M488" s="16" t="str">
        <f>IF($A488&lt;Notes!$B$5,"",IF(COUNTIFS(Release_Calendar!$A$2:$A$755,"NZ_CPI",Release_Calendar!$B$2:$B$755,$A488)&gt;0,1,0))</f>
        <v/>
      </c>
      <c r="N488" s="16" t="str">
        <f>IF($A488&lt;Notes!$B$5,"",IF(COUNTIFS(Release_Calendar!$A$2:$A$755,"NZ_GDP",Release_Calendar!$B$2:$B$755,$A488)&gt;0,1,0))</f>
        <v/>
      </c>
      <c r="O488" s="16" t="str">
        <f>IF($A488&lt;Notes!$B$5,"",IF(COUNTIFS(Release_Calendar!$A$2:$A$755,"NZ_LABOUR",Release_Calendar!$B$2:$B$755,$A488)&gt;0,1,0))</f>
        <v/>
      </c>
      <c r="P488" s="16">
        <f t="shared" si="4"/>
        <v>0</v>
      </c>
    </row>
    <row r="489" ht="15.75" customHeight="1">
      <c r="A489" s="14">
        <v>37209.0</v>
      </c>
      <c r="B489" s="15">
        <v>2.7</v>
      </c>
      <c r="C489" s="15"/>
      <c r="D489" s="15">
        <v>4.72</v>
      </c>
      <c r="E489" s="15"/>
      <c r="F489" s="15" t="str">
        <f t="shared" si="1"/>
        <v/>
      </c>
      <c r="G489" s="15">
        <f t="shared" si="2"/>
        <v>4.72</v>
      </c>
      <c r="H489" s="16">
        <v>1.0</v>
      </c>
      <c r="I489" s="15">
        <f t="shared" si="3"/>
        <v>2.02</v>
      </c>
      <c r="J489" s="15">
        <v>26.56</v>
      </c>
      <c r="K489" s="16">
        <f>IF(COUNTIFS(Release_Calendar!$A$2:$A$755,"US_CPI",Release_Calendar!$B$2:$B$755,$A489)&gt;0,1,0)</f>
        <v>0</v>
      </c>
      <c r="L489" s="16">
        <f>IF(COUNTIFS(Release_Calendar!$A$2:$A$755,"US_NFP",Release_Calendar!$B$2:$B$755,$A489)&gt;0,1,0)</f>
        <v>0</v>
      </c>
      <c r="M489" s="16" t="str">
        <f>IF($A489&lt;Notes!$B$5,"",IF(COUNTIFS(Release_Calendar!$A$2:$A$755,"NZ_CPI",Release_Calendar!$B$2:$B$755,$A489)&gt;0,1,0))</f>
        <v/>
      </c>
      <c r="N489" s="16" t="str">
        <f>IF($A489&lt;Notes!$B$5,"",IF(COUNTIFS(Release_Calendar!$A$2:$A$755,"NZ_GDP",Release_Calendar!$B$2:$B$755,$A489)&gt;0,1,0))</f>
        <v/>
      </c>
      <c r="O489" s="16" t="str">
        <f>IF($A489&lt;Notes!$B$5,"",IF(COUNTIFS(Release_Calendar!$A$2:$A$755,"NZ_LABOUR",Release_Calendar!$B$2:$B$755,$A489)&gt;0,1,0))</f>
        <v/>
      </c>
      <c r="P489" s="16">
        <f t="shared" si="4"/>
        <v>0</v>
      </c>
    </row>
    <row r="490" ht="15.75" customHeight="1">
      <c r="A490" s="14">
        <v>37210.0</v>
      </c>
      <c r="B490" s="15">
        <v>2.98</v>
      </c>
      <c r="C490" s="15"/>
      <c r="D490" s="15">
        <v>4.83</v>
      </c>
      <c r="E490" s="15"/>
      <c r="F490" s="15" t="str">
        <f t="shared" si="1"/>
        <v/>
      </c>
      <c r="G490" s="15">
        <f t="shared" si="2"/>
        <v>4.83</v>
      </c>
      <c r="H490" s="16">
        <v>1.0</v>
      </c>
      <c r="I490" s="15">
        <f t="shared" si="3"/>
        <v>1.85</v>
      </c>
      <c r="J490" s="15">
        <v>25.56</v>
      </c>
      <c r="K490" s="16">
        <f>IF(COUNTIFS(Release_Calendar!$A$2:$A$755,"US_CPI",Release_Calendar!$B$2:$B$755,$A490)&gt;0,1,0)</f>
        <v>0</v>
      </c>
      <c r="L490" s="16">
        <f>IF(COUNTIFS(Release_Calendar!$A$2:$A$755,"US_NFP",Release_Calendar!$B$2:$B$755,$A490)&gt;0,1,0)</f>
        <v>0</v>
      </c>
      <c r="M490" s="16" t="str">
        <f>IF($A490&lt;Notes!$B$5,"",IF(COUNTIFS(Release_Calendar!$A$2:$A$755,"NZ_CPI",Release_Calendar!$B$2:$B$755,$A490)&gt;0,1,0))</f>
        <v/>
      </c>
      <c r="N490" s="16" t="str">
        <f>IF($A490&lt;Notes!$B$5,"",IF(COUNTIFS(Release_Calendar!$A$2:$A$755,"NZ_GDP",Release_Calendar!$B$2:$B$755,$A490)&gt;0,1,0))</f>
        <v/>
      </c>
      <c r="O490" s="16" t="str">
        <f>IF($A490&lt;Notes!$B$5,"",IF(COUNTIFS(Release_Calendar!$A$2:$A$755,"NZ_LABOUR",Release_Calendar!$B$2:$B$755,$A490)&gt;0,1,0))</f>
        <v/>
      </c>
      <c r="P490" s="16">
        <f t="shared" si="4"/>
        <v>0</v>
      </c>
    </row>
    <row r="491" ht="15.75" customHeight="1">
      <c r="A491" s="14">
        <v>37211.0</v>
      </c>
      <c r="B491" s="15">
        <v>3.09</v>
      </c>
      <c r="C491" s="15"/>
      <c r="D491" s="15">
        <v>4.92</v>
      </c>
      <c r="E491" s="15"/>
      <c r="F491" s="15" t="str">
        <f t="shared" si="1"/>
        <v/>
      </c>
      <c r="G491" s="15">
        <f t="shared" si="2"/>
        <v>4.92</v>
      </c>
      <c r="H491" s="16">
        <v>1.0</v>
      </c>
      <c r="I491" s="15">
        <f t="shared" si="3"/>
        <v>1.83</v>
      </c>
      <c r="J491" s="15">
        <v>25.07</v>
      </c>
      <c r="K491" s="16">
        <f>IF(COUNTIFS(Release_Calendar!$A$2:$A$755,"US_CPI",Release_Calendar!$B$2:$B$755,$A491)&gt;0,1,0)</f>
        <v>1</v>
      </c>
      <c r="L491" s="16">
        <f>IF(COUNTIFS(Release_Calendar!$A$2:$A$755,"US_NFP",Release_Calendar!$B$2:$B$755,$A491)&gt;0,1,0)</f>
        <v>0</v>
      </c>
      <c r="M491" s="16" t="str">
        <f>IF($A491&lt;Notes!$B$5,"",IF(COUNTIFS(Release_Calendar!$A$2:$A$755,"NZ_CPI",Release_Calendar!$B$2:$B$755,$A491)&gt;0,1,0))</f>
        <v/>
      </c>
      <c r="N491" s="16" t="str">
        <f>IF($A491&lt;Notes!$B$5,"",IF(COUNTIFS(Release_Calendar!$A$2:$A$755,"NZ_GDP",Release_Calendar!$B$2:$B$755,$A491)&gt;0,1,0))</f>
        <v/>
      </c>
      <c r="O491" s="16" t="str">
        <f>IF($A491&lt;Notes!$B$5,"",IF(COUNTIFS(Release_Calendar!$A$2:$A$755,"NZ_LABOUR",Release_Calendar!$B$2:$B$755,$A491)&gt;0,1,0))</f>
        <v/>
      </c>
      <c r="P491" s="16">
        <f t="shared" si="4"/>
        <v>1</v>
      </c>
    </row>
    <row r="492" ht="15.75" customHeight="1">
      <c r="A492" s="14">
        <v>37214.0</v>
      </c>
      <c r="B492" s="15">
        <v>2.92</v>
      </c>
      <c r="C492" s="15"/>
      <c r="D492" s="15">
        <v>4.93</v>
      </c>
      <c r="E492" s="15"/>
      <c r="F492" s="15" t="str">
        <f t="shared" si="1"/>
        <v/>
      </c>
      <c r="G492" s="15">
        <f t="shared" si="2"/>
        <v>4.93</v>
      </c>
      <c r="H492" s="16">
        <v>1.0</v>
      </c>
      <c r="I492" s="15">
        <f t="shared" si="3"/>
        <v>2.01</v>
      </c>
      <c r="J492" s="15">
        <v>24.46</v>
      </c>
      <c r="K492" s="16">
        <f>IF(COUNTIFS(Release_Calendar!$A$2:$A$755,"US_CPI",Release_Calendar!$B$2:$B$755,$A492)&gt;0,1,0)</f>
        <v>0</v>
      </c>
      <c r="L492" s="16">
        <f>IF(COUNTIFS(Release_Calendar!$A$2:$A$755,"US_NFP",Release_Calendar!$B$2:$B$755,$A492)&gt;0,1,0)</f>
        <v>0</v>
      </c>
      <c r="M492" s="16" t="str">
        <f>IF($A492&lt;Notes!$B$5,"",IF(COUNTIFS(Release_Calendar!$A$2:$A$755,"NZ_CPI",Release_Calendar!$B$2:$B$755,$A492)&gt;0,1,0))</f>
        <v/>
      </c>
      <c r="N492" s="16" t="str">
        <f>IF($A492&lt;Notes!$B$5,"",IF(COUNTIFS(Release_Calendar!$A$2:$A$755,"NZ_GDP",Release_Calendar!$B$2:$B$755,$A492)&gt;0,1,0))</f>
        <v/>
      </c>
      <c r="O492" s="16" t="str">
        <f>IF($A492&lt;Notes!$B$5,"",IF(COUNTIFS(Release_Calendar!$A$2:$A$755,"NZ_LABOUR",Release_Calendar!$B$2:$B$755,$A492)&gt;0,1,0))</f>
        <v/>
      </c>
      <c r="P492" s="16">
        <f t="shared" si="4"/>
        <v>0</v>
      </c>
    </row>
    <row r="493" ht="15.75" customHeight="1">
      <c r="A493" s="14">
        <v>37215.0</v>
      </c>
      <c r="B493" s="15">
        <v>2.96</v>
      </c>
      <c r="C493" s="15"/>
      <c r="D493" s="15">
        <v>4.83</v>
      </c>
      <c r="E493" s="15"/>
      <c r="F493" s="15" t="str">
        <f t="shared" si="1"/>
        <v/>
      </c>
      <c r="G493" s="15">
        <f t="shared" si="2"/>
        <v>4.83</v>
      </c>
      <c r="H493" s="16">
        <v>1.0</v>
      </c>
      <c r="I493" s="15">
        <f t="shared" si="3"/>
        <v>1.87</v>
      </c>
      <c r="J493" s="15">
        <v>24.12</v>
      </c>
      <c r="K493" s="16">
        <f>IF(COUNTIFS(Release_Calendar!$A$2:$A$755,"US_CPI",Release_Calendar!$B$2:$B$755,$A493)&gt;0,1,0)</f>
        <v>0</v>
      </c>
      <c r="L493" s="16">
        <f>IF(COUNTIFS(Release_Calendar!$A$2:$A$755,"US_NFP",Release_Calendar!$B$2:$B$755,$A493)&gt;0,1,0)</f>
        <v>0</v>
      </c>
      <c r="M493" s="16" t="str">
        <f>IF($A493&lt;Notes!$B$5,"",IF(COUNTIFS(Release_Calendar!$A$2:$A$755,"NZ_CPI",Release_Calendar!$B$2:$B$755,$A493)&gt;0,1,0))</f>
        <v/>
      </c>
      <c r="N493" s="16" t="str">
        <f>IF($A493&lt;Notes!$B$5,"",IF(COUNTIFS(Release_Calendar!$A$2:$A$755,"NZ_GDP",Release_Calendar!$B$2:$B$755,$A493)&gt;0,1,0))</f>
        <v/>
      </c>
      <c r="O493" s="16" t="str">
        <f>IF($A493&lt;Notes!$B$5,"",IF(COUNTIFS(Release_Calendar!$A$2:$A$755,"NZ_LABOUR",Release_Calendar!$B$2:$B$755,$A493)&gt;0,1,0))</f>
        <v/>
      </c>
      <c r="P493" s="16">
        <f t="shared" si="4"/>
        <v>0</v>
      </c>
    </row>
    <row r="494" ht="15.75" customHeight="1">
      <c r="A494" s="14">
        <v>37216.0</v>
      </c>
      <c r="B494" s="15">
        <v>3.11</v>
      </c>
      <c r="C494" s="15"/>
      <c r="D494" s="15">
        <v>4.87</v>
      </c>
      <c r="E494" s="15"/>
      <c r="F494" s="15" t="str">
        <f t="shared" si="1"/>
        <v/>
      </c>
      <c r="G494" s="15">
        <f t="shared" si="2"/>
        <v>4.87</v>
      </c>
      <c r="H494" s="16">
        <v>1.0</v>
      </c>
      <c r="I494" s="15">
        <f t="shared" si="3"/>
        <v>1.76</v>
      </c>
      <c r="J494" s="15">
        <v>24.19</v>
      </c>
      <c r="K494" s="16">
        <f>IF(COUNTIFS(Release_Calendar!$A$2:$A$755,"US_CPI",Release_Calendar!$B$2:$B$755,$A494)&gt;0,1,0)</f>
        <v>0</v>
      </c>
      <c r="L494" s="16">
        <f>IF(COUNTIFS(Release_Calendar!$A$2:$A$755,"US_NFP",Release_Calendar!$B$2:$B$755,$A494)&gt;0,1,0)</f>
        <v>0</v>
      </c>
      <c r="M494" s="16" t="str">
        <f>IF($A494&lt;Notes!$B$5,"",IF(COUNTIFS(Release_Calendar!$A$2:$A$755,"NZ_CPI",Release_Calendar!$B$2:$B$755,$A494)&gt;0,1,0))</f>
        <v/>
      </c>
      <c r="N494" s="16" t="str">
        <f>IF($A494&lt;Notes!$B$5,"",IF(COUNTIFS(Release_Calendar!$A$2:$A$755,"NZ_GDP",Release_Calendar!$B$2:$B$755,$A494)&gt;0,1,0))</f>
        <v/>
      </c>
      <c r="O494" s="16" t="str">
        <f>IF($A494&lt;Notes!$B$5,"",IF(COUNTIFS(Release_Calendar!$A$2:$A$755,"NZ_LABOUR",Release_Calendar!$B$2:$B$755,$A494)&gt;0,1,0))</f>
        <v/>
      </c>
      <c r="P494" s="16">
        <f t="shared" si="4"/>
        <v>0</v>
      </c>
    </row>
    <row r="495" ht="15.75" customHeight="1">
      <c r="A495" s="14">
        <v>37217.0</v>
      </c>
      <c r="B495" s="15"/>
      <c r="C495" s="15"/>
      <c r="D495" s="15">
        <v>4.92</v>
      </c>
      <c r="E495" s="15"/>
      <c r="F495" s="15" t="str">
        <f t="shared" si="1"/>
        <v/>
      </c>
      <c r="G495" s="15">
        <f t="shared" si="2"/>
        <v>4.92</v>
      </c>
      <c r="H495" s="16">
        <v>1.0</v>
      </c>
      <c r="I495" s="15" t="str">
        <f t="shared" si="3"/>
        <v/>
      </c>
      <c r="J495" s="15"/>
      <c r="K495" s="16">
        <f>IF(COUNTIFS(Release_Calendar!$A$2:$A$755,"US_CPI",Release_Calendar!$B$2:$B$755,$A495)&gt;0,1,0)</f>
        <v>0</v>
      </c>
      <c r="L495" s="16">
        <f>IF(COUNTIFS(Release_Calendar!$A$2:$A$755,"US_NFP",Release_Calendar!$B$2:$B$755,$A495)&gt;0,1,0)</f>
        <v>0</v>
      </c>
      <c r="M495" s="16" t="str">
        <f>IF($A495&lt;Notes!$B$5,"",IF(COUNTIFS(Release_Calendar!$A$2:$A$755,"NZ_CPI",Release_Calendar!$B$2:$B$755,$A495)&gt;0,1,0))</f>
        <v/>
      </c>
      <c r="N495" s="16" t="str">
        <f>IF($A495&lt;Notes!$B$5,"",IF(COUNTIFS(Release_Calendar!$A$2:$A$755,"NZ_GDP",Release_Calendar!$B$2:$B$755,$A495)&gt;0,1,0))</f>
        <v/>
      </c>
      <c r="O495" s="16" t="str">
        <f>IF($A495&lt;Notes!$B$5,"",IF(COUNTIFS(Release_Calendar!$A$2:$A$755,"NZ_LABOUR",Release_Calendar!$B$2:$B$755,$A495)&gt;0,1,0))</f>
        <v/>
      </c>
      <c r="P495" s="16">
        <f t="shared" si="4"/>
        <v>0</v>
      </c>
    </row>
    <row r="496" ht="15.75" customHeight="1">
      <c r="A496" s="14">
        <v>37218.0</v>
      </c>
      <c r="B496" s="15">
        <v>3.2</v>
      </c>
      <c r="C496" s="15"/>
      <c r="D496" s="15">
        <v>4.91</v>
      </c>
      <c r="E496" s="15"/>
      <c r="F496" s="15" t="str">
        <f t="shared" si="1"/>
        <v/>
      </c>
      <c r="G496" s="15">
        <f t="shared" si="2"/>
        <v>4.91</v>
      </c>
      <c r="H496" s="16">
        <v>1.0</v>
      </c>
      <c r="I496" s="15">
        <f t="shared" si="3"/>
        <v>1.71</v>
      </c>
      <c r="J496" s="15">
        <v>23.25</v>
      </c>
      <c r="K496" s="16">
        <f>IF(COUNTIFS(Release_Calendar!$A$2:$A$755,"US_CPI",Release_Calendar!$B$2:$B$755,$A496)&gt;0,1,0)</f>
        <v>0</v>
      </c>
      <c r="L496" s="16">
        <f>IF(COUNTIFS(Release_Calendar!$A$2:$A$755,"US_NFP",Release_Calendar!$B$2:$B$755,$A496)&gt;0,1,0)</f>
        <v>0</v>
      </c>
      <c r="M496" s="16" t="str">
        <f>IF($A496&lt;Notes!$B$5,"",IF(COUNTIFS(Release_Calendar!$A$2:$A$755,"NZ_CPI",Release_Calendar!$B$2:$B$755,$A496)&gt;0,1,0))</f>
        <v/>
      </c>
      <c r="N496" s="16" t="str">
        <f>IF($A496&lt;Notes!$B$5,"",IF(COUNTIFS(Release_Calendar!$A$2:$A$755,"NZ_GDP",Release_Calendar!$B$2:$B$755,$A496)&gt;0,1,0))</f>
        <v/>
      </c>
      <c r="O496" s="16" t="str">
        <f>IF($A496&lt;Notes!$B$5,"",IF(COUNTIFS(Release_Calendar!$A$2:$A$755,"NZ_LABOUR",Release_Calendar!$B$2:$B$755,$A496)&gt;0,1,0))</f>
        <v/>
      </c>
      <c r="P496" s="16">
        <f t="shared" si="4"/>
        <v>0</v>
      </c>
    </row>
    <row r="497" ht="15.75" customHeight="1">
      <c r="A497" s="14">
        <v>37221.0</v>
      </c>
      <c r="B497" s="15">
        <v>3.22</v>
      </c>
      <c r="C497" s="15"/>
      <c r="D497" s="15">
        <v>4.95</v>
      </c>
      <c r="E497" s="15"/>
      <c r="F497" s="15" t="str">
        <f t="shared" si="1"/>
        <v/>
      </c>
      <c r="G497" s="15">
        <f t="shared" si="2"/>
        <v>4.95</v>
      </c>
      <c r="H497" s="16">
        <v>1.0</v>
      </c>
      <c r="I497" s="15">
        <f t="shared" si="3"/>
        <v>1.73</v>
      </c>
      <c r="J497" s="15">
        <v>23.79</v>
      </c>
      <c r="K497" s="16">
        <f>IF(COUNTIFS(Release_Calendar!$A$2:$A$755,"US_CPI",Release_Calendar!$B$2:$B$755,$A497)&gt;0,1,0)</f>
        <v>0</v>
      </c>
      <c r="L497" s="16">
        <f>IF(COUNTIFS(Release_Calendar!$A$2:$A$755,"US_NFP",Release_Calendar!$B$2:$B$755,$A497)&gt;0,1,0)</f>
        <v>0</v>
      </c>
      <c r="M497" s="16" t="str">
        <f>IF($A497&lt;Notes!$B$5,"",IF(COUNTIFS(Release_Calendar!$A$2:$A$755,"NZ_CPI",Release_Calendar!$B$2:$B$755,$A497)&gt;0,1,0))</f>
        <v/>
      </c>
      <c r="N497" s="16" t="str">
        <f>IF($A497&lt;Notes!$B$5,"",IF(COUNTIFS(Release_Calendar!$A$2:$A$755,"NZ_GDP",Release_Calendar!$B$2:$B$755,$A497)&gt;0,1,0))</f>
        <v/>
      </c>
      <c r="O497" s="16" t="str">
        <f>IF($A497&lt;Notes!$B$5,"",IF(COUNTIFS(Release_Calendar!$A$2:$A$755,"NZ_LABOUR",Release_Calendar!$B$2:$B$755,$A497)&gt;0,1,0))</f>
        <v/>
      </c>
      <c r="P497" s="16">
        <f t="shared" si="4"/>
        <v>0</v>
      </c>
    </row>
    <row r="498" ht="15.75" customHeight="1">
      <c r="A498" s="14">
        <v>37222.0</v>
      </c>
      <c r="B498" s="15">
        <v>3.11</v>
      </c>
      <c r="C498" s="15"/>
      <c r="D498" s="15">
        <v>4.94</v>
      </c>
      <c r="E498" s="15"/>
      <c r="F498" s="15" t="str">
        <f t="shared" si="1"/>
        <v/>
      </c>
      <c r="G498" s="15">
        <f t="shared" si="2"/>
        <v>4.94</v>
      </c>
      <c r="H498" s="16">
        <v>1.0</v>
      </c>
      <c r="I498" s="15">
        <f t="shared" si="3"/>
        <v>1.83</v>
      </c>
      <c r="J498" s="15">
        <v>24.0</v>
      </c>
      <c r="K498" s="16">
        <f>IF(COUNTIFS(Release_Calendar!$A$2:$A$755,"US_CPI",Release_Calendar!$B$2:$B$755,$A498)&gt;0,1,0)</f>
        <v>0</v>
      </c>
      <c r="L498" s="16">
        <f>IF(COUNTIFS(Release_Calendar!$A$2:$A$755,"US_NFP",Release_Calendar!$B$2:$B$755,$A498)&gt;0,1,0)</f>
        <v>0</v>
      </c>
      <c r="M498" s="16" t="str">
        <f>IF($A498&lt;Notes!$B$5,"",IF(COUNTIFS(Release_Calendar!$A$2:$A$755,"NZ_CPI",Release_Calendar!$B$2:$B$755,$A498)&gt;0,1,0))</f>
        <v/>
      </c>
      <c r="N498" s="16" t="str">
        <f>IF($A498&lt;Notes!$B$5,"",IF(COUNTIFS(Release_Calendar!$A$2:$A$755,"NZ_GDP",Release_Calendar!$B$2:$B$755,$A498)&gt;0,1,0))</f>
        <v/>
      </c>
      <c r="O498" s="16" t="str">
        <f>IF($A498&lt;Notes!$B$5,"",IF(COUNTIFS(Release_Calendar!$A$2:$A$755,"NZ_LABOUR",Release_Calendar!$B$2:$B$755,$A498)&gt;0,1,0))</f>
        <v/>
      </c>
      <c r="P498" s="16">
        <f t="shared" si="4"/>
        <v>0</v>
      </c>
    </row>
    <row r="499" ht="15.75" customHeight="1">
      <c r="A499" s="14">
        <v>37223.0</v>
      </c>
      <c r="B499" s="15">
        <v>3.12</v>
      </c>
      <c r="C499" s="15"/>
      <c r="D499" s="15">
        <v>4.82</v>
      </c>
      <c r="E499" s="15"/>
      <c r="F499" s="15" t="str">
        <f t="shared" si="1"/>
        <v/>
      </c>
      <c r="G499" s="15">
        <f t="shared" si="2"/>
        <v>4.82</v>
      </c>
      <c r="H499" s="16">
        <v>1.0</v>
      </c>
      <c r="I499" s="15">
        <f t="shared" si="3"/>
        <v>1.7</v>
      </c>
      <c r="J499" s="15">
        <v>25.9</v>
      </c>
      <c r="K499" s="16">
        <f>IF(COUNTIFS(Release_Calendar!$A$2:$A$755,"US_CPI",Release_Calendar!$B$2:$B$755,$A499)&gt;0,1,0)</f>
        <v>0</v>
      </c>
      <c r="L499" s="16">
        <f>IF(COUNTIFS(Release_Calendar!$A$2:$A$755,"US_NFP",Release_Calendar!$B$2:$B$755,$A499)&gt;0,1,0)</f>
        <v>0</v>
      </c>
      <c r="M499" s="16" t="str">
        <f>IF($A499&lt;Notes!$B$5,"",IF(COUNTIFS(Release_Calendar!$A$2:$A$755,"NZ_CPI",Release_Calendar!$B$2:$B$755,$A499)&gt;0,1,0))</f>
        <v/>
      </c>
      <c r="N499" s="16" t="str">
        <f>IF($A499&lt;Notes!$B$5,"",IF(COUNTIFS(Release_Calendar!$A$2:$A$755,"NZ_GDP",Release_Calendar!$B$2:$B$755,$A499)&gt;0,1,0))</f>
        <v/>
      </c>
      <c r="O499" s="16" t="str">
        <f>IF($A499&lt;Notes!$B$5,"",IF(COUNTIFS(Release_Calendar!$A$2:$A$755,"NZ_LABOUR",Release_Calendar!$B$2:$B$755,$A499)&gt;0,1,0))</f>
        <v/>
      </c>
      <c r="P499" s="16">
        <f t="shared" si="4"/>
        <v>0</v>
      </c>
    </row>
    <row r="500" ht="15.75" customHeight="1">
      <c r="A500" s="14">
        <v>37224.0</v>
      </c>
      <c r="B500" s="15">
        <v>2.87</v>
      </c>
      <c r="C500" s="15"/>
      <c r="D500" s="15">
        <v>4.73</v>
      </c>
      <c r="E500" s="15"/>
      <c r="F500" s="15" t="str">
        <f t="shared" si="1"/>
        <v/>
      </c>
      <c r="G500" s="15">
        <f t="shared" si="2"/>
        <v>4.73</v>
      </c>
      <c r="H500" s="16">
        <v>1.0</v>
      </c>
      <c r="I500" s="15">
        <f t="shared" si="3"/>
        <v>1.86</v>
      </c>
      <c r="J500" s="15">
        <v>25.18</v>
      </c>
      <c r="K500" s="16">
        <f>IF(COUNTIFS(Release_Calendar!$A$2:$A$755,"US_CPI",Release_Calendar!$B$2:$B$755,$A500)&gt;0,1,0)</f>
        <v>0</v>
      </c>
      <c r="L500" s="16">
        <f>IF(COUNTIFS(Release_Calendar!$A$2:$A$755,"US_NFP",Release_Calendar!$B$2:$B$755,$A500)&gt;0,1,0)</f>
        <v>0</v>
      </c>
      <c r="M500" s="16" t="str">
        <f>IF($A500&lt;Notes!$B$5,"",IF(COUNTIFS(Release_Calendar!$A$2:$A$755,"NZ_CPI",Release_Calendar!$B$2:$B$755,$A500)&gt;0,1,0))</f>
        <v/>
      </c>
      <c r="N500" s="16" t="str">
        <f>IF($A500&lt;Notes!$B$5,"",IF(COUNTIFS(Release_Calendar!$A$2:$A$755,"NZ_GDP",Release_Calendar!$B$2:$B$755,$A500)&gt;0,1,0))</f>
        <v/>
      </c>
      <c r="O500" s="16" t="str">
        <f>IF($A500&lt;Notes!$B$5,"",IF(COUNTIFS(Release_Calendar!$A$2:$A$755,"NZ_LABOUR",Release_Calendar!$B$2:$B$755,$A500)&gt;0,1,0))</f>
        <v/>
      </c>
      <c r="P500" s="16">
        <f t="shared" si="4"/>
        <v>0</v>
      </c>
    </row>
    <row r="501" ht="15.75" customHeight="1">
      <c r="A501" s="14">
        <v>37225.0</v>
      </c>
      <c r="B501" s="15">
        <v>2.84</v>
      </c>
      <c r="C501" s="15"/>
      <c r="D501" s="15">
        <v>4.62</v>
      </c>
      <c r="E501" s="15"/>
      <c r="F501" s="15" t="str">
        <f t="shared" si="1"/>
        <v/>
      </c>
      <c r="G501" s="15">
        <f t="shared" si="2"/>
        <v>4.62</v>
      </c>
      <c r="H501" s="16">
        <v>1.0</v>
      </c>
      <c r="I501" s="15">
        <f t="shared" si="3"/>
        <v>1.78</v>
      </c>
      <c r="J501" s="15">
        <v>23.84</v>
      </c>
      <c r="K501" s="16">
        <f>IF(COUNTIFS(Release_Calendar!$A$2:$A$755,"US_CPI",Release_Calendar!$B$2:$B$755,$A501)&gt;0,1,0)</f>
        <v>0</v>
      </c>
      <c r="L501" s="16">
        <f>IF(COUNTIFS(Release_Calendar!$A$2:$A$755,"US_NFP",Release_Calendar!$B$2:$B$755,$A501)&gt;0,1,0)</f>
        <v>0</v>
      </c>
      <c r="M501" s="16" t="str">
        <f>IF($A501&lt;Notes!$B$5,"",IF(COUNTIFS(Release_Calendar!$A$2:$A$755,"NZ_CPI",Release_Calendar!$B$2:$B$755,$A501)&gt;0,1,0))</f>
        <v/>
      </c>
      <c r="N501" s="16" t="str">
        <f>IF($A501&lt;Notes!$B$5,"",IF(COUNTIFS(Release_Calendar!$A$2:$A$755,"NZ_GDP",Release_Calendar!$B$2:$B$755,$A501)&gt;0,1,0))</f>
        <v/>
      </c>
      <c r="O501" s="16" t="str">
        <f>IF($A501&lt;Notes!$B$5,"",IF(COUNTIFS(Release_Calendar!$A$2:$A$755,"NZ_LABOUR",Release_Calendar!$B$2:$B$755,$A501)&gt;0,1,0))</f>
        <v/>
      </c>
      <c r="P501" s="16">
        <f t="shared" si="4"/>
        <v>0</v>
      </c>
    </row>
    <row r="502" ht="15.75" customHeight="1">
      <c r="A502" s="14">
        <v>37228.0</v>
      </c>
      <c r="B502" s="15">
        <v>2.82</v>
      </c>
      <c r="C502" s="15"/>
      <c r="D502" s="15">
        <v>4.59</v>
      </c>
      <c r="E502" s="15"/>
      <c r="F502" s="15" t="str">
        <f t="shared" si="1"/>
        <v/>
      </c>
      <c r="G502" s="15">
        <f t="shared" si="2"/>
        <v>4.59</v>
      </c>
      <c r="H502" s="16">
        <v>1.0</v>
      </c>
      <c r="I502" s="15">
        <f t="shared" si="3"/>
        <v>1.77</v>
      </c>
      <c r="J502" s="15">
        <v>25.77</v>
      </c>
      <c r="K502" s="16">
        <f>IF(COUNTIFS(Release_Calendar!$A$2:$A$755,"US_CPI",Release_Calendar!$B$2:$B$755,$A502)&gt;0,1,0)</f>
        <v>0</v>
      </c>
      <c r="L502" s="16">
        <f>IF(COUNTIFS(Release_Calendar!$A$2:$A$755,"US_NFP",Release_Calendar!$B$2:$B$755,$A502)&gt;0,1,0)</f>
        <v>0</v>
      </c>
      <c r="M502" s="16" t="str">
        <f>IF($A502&lt;Notes!$B$5,"",IF(COUNTIFS(Release_Calendar!$A$2:$A$755,"NZ_CPI",Release_Calendar!$B$2:$B$755,$A502)&gt;0,1,0))</f>
        <v/>
      </c>
      <c r="N502" s="16" t="str">
        <f>IF($A502&lt;Notes!$B$5,"",IF(COUNTIFS(Release_Calendar!$A$2:$A$755,"NZ_GDP",Release_Calendar!$B$2:$B$755,$A502)&gt;0,1,0))</f>
        <v/>
      </c>
      <c r="O502" s="16" t="str">
        <f>IF($A502&lt;Notes!$B$5,"",IF(COUNTIFS(Release_Calendar!$A$2:$A$755,"NZ_LABOUR",Release_Calendar!$B$2:$B$755,$A502)&gt;0,1,0))</f>
        <v/>
      </c>
      <c r="P502" s="16">
        <f t="shared" si="4"/>
        <v>0</v>
      </c>
    </row>
    <row r="503" ht="15.75" customHeight="1">
      <c r="A503" s="14">
        <v>37229.0</v>
      </c>
      <c r="B503" s="15">
        <v>2.81</v>
      </c>
      <c r="C503" s="15"/>
      <c r="D503" s="15">
        <v>4.58</v>
      </c>
      <c r="E503" s="15"/>
      <c r="F503" s="15" t="str">
        <f t="shared" si="1"/>
        <v/>
      </c>
      <c r="G503" s="15">
        <f t="shared" si="2"/>
        <v>4.58</v>
      </c>
      <c r="H503" s="16">
        <v>1.0</v>
      </c>
      <c r="I503" s="15">
        <f t="shared" si="3"/>
        <v>1.77</v>
      </c>
      <c r="J503" s="15">
        <v>24.08</v>
      </c>
      <c r="K503" s="16">
        <f>IF(COUNTIFS(Release_Calendar!$A$2:$A$755,"US_CPI",Release_Calendar!$B$2:$B$755,$A503)&gt;0,1,0)</f>
        <v>0</v>
      </c>
      <c r="L503" s="16">
        <f>IF(COUNTIFS(Release_Calendar!$A$2:$A$755,"US_NFP",Release_Calendar!$B$2:$B$755,$A503)&gt;0,1,0)</f>
        <v>0</v>
      </c>
      <c r="M503" s="16" t="str">
        <f>IF($A503&lt;Notes!$B$5,"",IF(COUNTIFS(Release_Calendar!$A$2:$A$755,"NZ_CPI",Release_Calendar!$B$2:$B$755,$A503)&gt;0,1,0))</f>
        <v/>
      </c>
      <c r="N503" s="16" t="str">
        <f>IF($A503&lt;Notes!$B$5,"",IF(COUNTIFS(Release_Calendar!$A$2:$A$755,"NZ_GDP",Release_Calendar!$B$2:$B$755,$A503)&gt;0,1,0))</f>
        <v/>
      </c>
      <c r="O503" s="16" t="str">
        <f>IF($A503&lt;Notes!$B$5,"",IF(COUNTIFS(Release_Calendar!$A$2:$A$755,"NZ_LABOUR",Release_Calendar!$B$2:$B$755,$A503)&gt;0,1,0))</f>
        <v/>
      </c>
      <c r="P503" s="16">
        <f t="shared" si="4"/>
        <v>0</v>
      </c>
    </row>
    <row r="504" ht="15.75" customHeight="1">
      <c r="A504" s="14">
        <v>37230.0</v>
      </c>
      <c r="B504" s="15">
        <v>3.07</v>
      </c>
      <c r="C504" s="15"/>
      <c r="D504" s="15">
        <v>4.66</v>
      </c>
      <c r="E504" s="15"/>
      <c r="F504" s="15" t="str">
        <f t="shared" si="1"/>
        <v/>
      </c>
      <c r="G504" s="15">
        <f t="shared" si="2"/>
        <v>4.66</v>
      </c>
      <c r="H504" s="16">
        <v>1.0</v>
      </c>
      <c r="I504" s="15">
        <f t="shared" si="3"/>
        <v>1.59</v>
      </c>
      <c r="J504" s="15">
        <v>23.02</v>
      </c>
      <c r="K504" s="16">
        <f>IF(COUNTIFS(Release_Calendar!$A$2:$A$755,"US_CPI",Release_Calendar!$B$2:$B$755,$A504)&gt;0,1,0)</f>
        <v>0</v>
      </c>
      <c r="L504" s="16">
        <f>IF(COUNTIFS(Release_Calendar!$A$2:$A$755,"US_NFP",Release_Calendar!$B$2:$B$755,$A504)&gt;0,1,0)</f>
        <v>0</v>
      </c>
      <c r="M504" s="16" t="str">
        <f>IF($A504&lt;Notes!$B$5,"",IF(COUNTIFS(Release_Calendar!$A$2:$A$755,"NZ_CPI",Release_Calendar!$B$2:$B$755,$A504)&gt;0,1,0))</f>
        <v/>
      </c>
      <c r="N504" s="16" t="str">
        <f>IF($A504&lt;Notes!$B$5,"",IF(COUNTIFS(Release_Calendar!$A$2:$A$755,"NZ_GDP",Release_Calendar!$B$2:$B$755,$A504)&gt;0,1,0))</f>
        <v/>
      </c>
      <c r="O504" s="16" t="str">
        <f>IF($A504&lt;Notes!$B$5,"",IF(COUNTIFS(Release_Calendar!$A$2:$A$755,"NZ_LABOUR",Release_Calendar!$B$2:$B$755,$A504)&gt;0,1,0))</f>
        <v/>
      </c>
      <c r="P504" s="16">
        <f t="shared" si="4"/>
        <v>0</v>
      </c>
    </row>
    <row r="505" ht="15.75" customHeight="1">
      <c r="A505" s="14">
        <v>37231.0</v>
      </c>
      <c r="B505" s="15">
        <v>3.19</v>
      </c>
      <c r="C505" s="15"/>
      <c r="D505" s="15">
        <v>4.84</v>
      </c>
      <c r="E505" s="15"/>
      <c r="F505" s="15" t="str">
        <f t="shared" si="1"/>
        <v/>
      </c>
      <c r="G505" s="15">
        <f t="shared" si="2"/>
        <v>4.84</v>
      </c>
      <c r="H505" s="16">
        <v>1.0</v>
      </c>
      <c r="I505" s="15">
        <f t="shared" si="3"/>
        <v>1.65</v>
      </c>
      <c r="J505" s="15">
        <v>23.71</v>
      </c>
      <c r="K505" s="16">
        <f>IF(COUNTIFS(Release_Calendar!$A$2:$A$755,"US_CPI",Release_Calendar!$B$2:$B$755,$A505)&gt;0,1,0)</f>
        <v>0</v>
      </c>
      <c r="L505" s="16">
        <f>IF(COUNTIFS(Release_Calendar!$A$2:$A$755,"US_NFP",Release_Calendar!$B$2:$B$755,$A505)&gt;0,1,0)</f>
        <v>0</v>
      </c>
      <c r="M505" s="16" t="str">
        <f>IF($A505&lt;Notes!$B$5,"",IF(COUNTIFS(Release_Calendar!$A$2:$A$755,"NZ_CPI",Release_Calendar!$B$2:$B$755,$A505)&gt;0,1,0))</f>
        <v/>
      </c>
      <c r="N505" s="16" t="str">
        <f>IF($A505&lt;Notes!$B$5,"",IF(COUNTIFS(Release_Calendar!$A$2:$A$755,"NZ_GDP",Release_Calendar!$B$2:$B$755,$A505)&gt;0,1,0))</f>
        <v/>
      </c>
      <c r="O505" s="16" t="str">
        <f>IF($A505&lt;Notes!$B$5,"",IF(COUNTIFS(Release_Calendar!$A$2:$A$755,"NZ_LABOUR",Release_Calendar!$B$2:$B$755,$A505)&gt;0,1,0))</f>
        <v/>
      </c>
      <c r="P505" s="16">
        <f t="shared" si="4"/>
        <v>0</v>
      </c>
    </row>
    <row r="506" ht="15.75" customHeight="1">
      <c r="A506" s="14">
        <v>37232.0</v>
      </c>
      <c r="B506" s="15">
        <v>3.19</v>
      </c>
      <c r="C506" s="15"/>
      <c r="D506" s="15">
        <v>4.8</v>
      </c>
      <c r="E506" s="15"/>
      <c r="F506" s="15" t="str">
        <f t="shared" si="1"/>
        <v/>
      </c>
      <c r="G506" s="15">
        <f t="shared" si="2"/>
        <v>4.8</v>
      </c>
      <c r="H506" s="16">
        <v>1.0</v>
      </c>
      <c r="I506" s="15">
        <f t="shared" si="3"/>
        <v>1.61</v>
      </c>
      <c r="J506" s="15">
        <v>23.49</v>
      </c>
      <c r="K506" s="16">
        <f>IF(COUNTIFS(Release_Calendar!$A$2:$A$755,"US_CPI",Release_Calendar!$B$2:$B$755,$A506)&gt;0,1,0)</f>
        <v>0</v>
      </c>
      <c r="L506" s="16">
        <f>IF(COUNTIFS(Release_Calendar!$A$2:$A$755,"US_NFP",Release_Calendar!$B$2:$B$755,$A506)&gt;0,1,0)</f>
        <v>1</v>
      </c>
      <c r="M506" s="16" t="str">
        <f>IF($A506&lt;Notes!$B$5,"",IF(COUNTIFS(Release_Calendar!$A$2:$A$755,"NZ_CPI",Release_Calendar!$B$2:$B$755,$A506)&gt;0,1,0))</f>
        <v/>
      </c>
      <c r="N506" s="16" t="str">
        <f>IF($A506&lt;Notes!$B$5,"",IF(COUNTIFS(Release_Calendar!$A$2:$A$755,"NZ_GDP",Release_Calendar!$B$2:$B$755,$A506)&gt;0,1,0))</f>
        <v/>
      </c>
      <c r="O506" s="16" t="str">
        <f>IF($A506&lt;Notes!$B$5,"",IF(COUNTIFS(Release_Calendar!$A$2:$A$755,"NZ_LABOUR",Release_Calendar!$B$2:$B$755,$A506)&gt;0,1,0))</f>
        <v/>
      </c>
      <c r="P506" s="16">
        <f t="shared" si="4"/>
        <v>1</v>
      </c>
    </row>
    <row r="507" ht="15.75" customHeight="1">
      <c r="A507" s="14">
        <v>37235.0</v>
      </c>
      <c r="B507" s="15">
        <v>3.1</v>
      </c>
      <c r="C507" s="15"/>
      <c r="D507" s="15">
        <v>4.75</v>
      </c>
      <c r="E507" s="15"/>
      <c r="F507" s="15" t="str">
        <f t="shared" si="1"/>
        <v/>
      </c>
      <c r="G507" s="15">
        <f t="shared" si="2"/>
        <v>4.75</v>
      </c>
      <c r="H507" s="16">
        <v>1.0</v>
      </c>
      <c r="I507" s="15">
        <f t="shared" si="3"/>
        <v>1.65</v>
      </c>
      <c r="J507" s="15">
        <v>25.62</v>
      </c>
      <c r="K507" s="16">
        <f>IF(COUNTIFS(Release_Calendar!$A$2:$A$755,"US_CPI",Release_Calendar!$B$2:$B$755,$A507)&gt;0,1,0)</f>
        <v>0</v>
      </c>
      <c r="L507" s="16">
        <f>IF(COUNTIFS(Release_Calendar!$A$2:$A$755,"US_NFP",Release_Calendar!$B$2:$B$755,$A507)&gt;0,1,0)</f>
        <v>0</v>
      </c>
      <c r="M507" s="16" t="str">
        <f>IF($A507&lt;Notes!$B$5,"",IF(COUNTIFS(Release_Calendar!$A$2:$A$755,"NZ_CPI",Release_Calendar!$B$2:$B$755,$A507)&gt;0,1,0))</f>
        <v/>
      </c>
      <c r="N507" s="16" t="str">
        <f>IF($A507&lt;Notes!$B$5,"",IF(COUNTIFS(Release_Calendar!$A$2:$A$755,"NZ_GDP",Release_Calendar!$B$2:$B$755,$A507)&gt;0,1,0))</f>
        <v/>
      </c>
      <c r="O507" s="16" t="str">
        <f>IF($A507&lt;Notes!$B$5,"",IF(COUNTIFS(Release_Calendar!$A$2:$A$755,"NZ_LABOUR",Release_Calendar!$B$2:$B$755,$A507)&gt;0,1,0))</f>
        <v/>
      </c>
      <c r="P507" s="16">
        <f t="shared" si="4"/>
        <v>0</v>
      </c>
    </row>
    <row r="508" ht="15.75" customHeight="1">
      <c r="A508" s="14">
        <v>37236.0</v>
      </c>
      <c r="B508" s="15">
        <v>3.03</v>
      </c>
      <c r="C508" s="15"/>
      <c r="D508" s="15">
        <v>4.67</v>
      </c>
      <c r="E508" s="15"/>
      <c r="F508" s="15" t="str">
        <f t="shared" si="1"/>
        <v/>
      </c>
      <c r="G508" s="15">
        <f t="shared" si="2"/>
        <v>4.67</v>
      </c>
      <c r="H508" s="16">
        <v>1.0</v>
      </c>
      <c r="I508" s="15">
        <f t="shared" si="3"/>
        <v>1.64</v>
      </c>
      <c r="J508" s="15">
        <v>25.3</v>
      </c>
      <c r="K508" s="16">
        <f>IF(COUNTIFS(Release_Calendar!$A$2:$A$755,"US_CPI",Release_Calendar!$B$2:$B$755,$A508)&gt;0,1,0)</f>
        <v>0</v>
      </c>
      <c r="L508" s="16">
        <f>IF(COUNTIFS(Release_Calendar!$A$2:$A$755,"US_NFP",Release_Calendar!$B$2:$B$755,$A508)&gt;0,1,0)</f>
        <v>0</v>
      </c>
      <c r="M508" s="16" t="str">
        <f>IF($A508&lt;Notes!$B$5,"",IF(COUNTIFS(Release_Calendar!$A$2:$A$755,"NZ_CPI",Release_Calendar!$B$2:$B$755,$A508)&gt;0,1,0))</f>
        <v/>
      </c>
      <c r="N508" s="16" t="str">
        <f>IF($A508&lt;Notes!$B$5,"",IF(COUNTIFS(Release_Calendar!$A$2:$A$755,"NZ_GDP",Release_Calendar!$B$2:$B$755,$A508)&gt;0,1,0))</f>
        <v/>
      </c>
      <c r="O508" s="16" t="str">
        <f>IF($A508&lt;Notes!$B$5,"",IF(COUNTIFS(Release_Calendar!$A$2:$A$755,"NZ_LABOUR",Release_Calendar!$B$2:$B$755,$A508)&gt;0,1,0))</f>
        <v/>
      </c>
      <c r="P508" s="16">
        <f t="shared" si="4"/>
        <v>0</v>
      </c>
    </row>
    <row r="509" ht="15.75" customHeight="1">
      <c r="A509" s="14">
        <v>37237.0</v>
      </c>
      <c r="B509" s="15">
        <v>2.97</v>
      </c>
      <c r="C509" s="15"/>
      <c r="D509" s="15">
        <v>4.64</v>
      </c>
      <c r="E509" s="15"/>
      <c r="F509" s="15" t="str">
        <f t="shared" si="1"/>
        <v/>
      </c>
      <c r="G509" s="15">
        <f t="shared" si="2"/>
        <v>4.64</v>
      </c>
      <c r="H509" s="16">
        <v>1.0</v>
      </c>
      <c r="I509" s="15">
        <f t="shared" si="3"/>
        <v>1.67</v>
      </c>
      <c r="J509" s="15">
        <v>24.87</v>
      </c>
      <c r="K509" s="16">
        <f>IF(COUNTIFS(Release_Calendar!$A$2:$A$755,"US_CPI",Release_Calendar!$B$2:$B$755,$A509)&gt;0,1,0)</f>
        <v>0</v>
      </c>
      <c r="L509" s="16">
        <f>IF(COUNTIFS(Release_Calendar!$A$2:$A$755,"US_NFP",Release_Calendar!$B$2:$B$755,$A509)&gt;0,1,0)</f>
        <v>0</v>
      </c>
      <c r="M509" s="16" t="str">
        <f>IF($A509&lt;Notes!$B$5,"",IF(COUNTIFS(Release_Calendar!$A$2:$A$755,"NZ_CPI",Release_Calendar!$B$2:$B$755,$A509)&gt;0,1,0))</f>
        <v/>
      </c>
      <c r="N509" s="16" t="str">
        <f>IF($A509&lt;Notes!$B$5,"",IF(COUNTIFS(Release_Calendar!$A$2:$A$755,"NZ_GDP",Release_Calendar!$B$2:$B$755,$A509)&gt;0,1,0))</f>
        <v/>
      </c>
      <c r="O509" s="16" t="str">
        <f>IF($A509&lt;Notes!$B$5,"",IF(COUNTIFS(Release_Calendar!$A$2:$A$755,"NZ_LABOUR",Release_Calendar!$B$2:$B$755,$A509)&gt;0,1,0))</f>
        <v/>
      </c>
      <c r="P509" s="16">
        <f t="shared" si="4"/>
        <v>0</v>
      </c>
    </row>
    <row r="510" ht="15.75" customHeight="1">
      <c r="A510" s="14">
        <v>37238.0</v>
      </c>
      <c r="B510" s="15">
        <v>3.09</v>
      </c>
      <c r="C510" s="15"/>
      <c r="D510" s="15">
        <v>4.62</v>
      </c>
      <c r="E510" s="15"/>
      <c r="F510" s="15" t="str">
        <f t="shared" si="1"/>
        <v/>
      </c>
      <c r="G510" s="15">
        <f t="shared" si="2"/>
        <v>4.62</v>
      </c>
      <c r="H510" s="16">
        <v>1.0</v>
      </c>
      <c r="I510" s="15">
        <f t="shared" si="3"/>
        <v>1.53</v>
      </c>
      <c r="J510" s="15">
        <v>25.91</v>
      </c>
      <c r="K510" s="16">
        <f>IF(COUNTIFS(Release_Calendar!$A$2:$A$755,"US_CPI",Release_Calendar!$B$2:$B$755,$A510)&gt;0,1,0)</f>
        <v>0</v>
      </c>
      <c r="L510" s="16">
        <f>IF(COUNTIFS(Release_Calendar!$A$2:$A$755,"US_NFP",Release_Calendar!$B$2:$B$755,$A510)&gt;0,1,0)</f>
        <v>0</v>
      </c>
      <c r="M510" s="16" t="str">
        <f>IF($A510&lt;Notes!$B$5,"",IF(COUNTIFS(Release_Calendar!$A$2:$A$755,"NZ_CPI",Release_Calendar!$B$2:$B$755,$A510)&gt;0,1,0))</f>
        <v/>
      </c>
      <c r="N510" s="16" t="str">
        <f>IF($A510&lt;Notes!$B$5,"",IF(COUNTIFS(Release_Calendar!$A$2:$A$755,"NZ_GDP",Release_Calendar!$B$2:$B$755,$A510)&gt;0,1,0))</f>
        <v/>
      </c>
      <c r="O510" s="16" t="str">
        <f>IF($A510&lt;Notes!$B$5,"",IF(COUNTIFS(Release_Calendar!$A$2:$A$755,"NZ_LABOUR",Release_Calendar!$B$2:$B$755,$A510)&gt;0,1,0))</f>
        <v/>
      </c>
      <c r="P510" s="16">
        <f t="shared" si="4"/>
        <v>0</v>
      </c>
    </row>
    <row r="511" ht="15.75" customHeight="1">
      <c r="A511" s="14">
        <v>37239.0</v>
      </c>
      <c r="B511" s="15">
        <v>3.2</v>
      </c>
      <c r="C511" s="15"/>
      <c r="D511" s="15">
        <v>4.61</v>
      </c>
      <c r="E511" s="15"/>
      <c r="F511" s="15" t="str">
        <f t="shared" si="1"/>
        <v/>
      </c>
      <c r="G511" s="15">
        <f t="shared" si="2"/>
        <v>4.61</v>
      </c>
      <c r="H511" s="16">
        <v>1.0</v>
      </c>
      <c r="I511" s="15">
        <f t="shared" si="3"/>
        <v>1.41</v>
      </c>
      <c r="J511" s="15">
        <v>24.63</v>
      </c>
      <c r="K511" s="16">
        <f>IF(COUNTIFS(Release_Calendar!$A$2:$A$755,"US_CPI",Release_Calendar!$B$2:$B$755,$A511)&gt;0,1,0)</f>
        <v>1</v>
      </c>
      <c r="L511" s="16">
        <f>IF(COUNTIFS(Release_Calendar!$A$2:$A$755,"US_NFP",Release_Calendar!$B$2:$B$755,$A511)&gt;0,1,0)</f>
        <v>0</v>
      </c>
      <c r="M511" s="16" t="str">
        <f>IF($A511&lt;Notes!$B$5,"",IF(COUNTIFS(Release_Calendar!$A$2:$A$755,"NZ_CPI",Release_Calendar!$B$2:$B$755,$A511)&gt;0,1,0))</f>
        <v/>
      </c>
      <c r="N511" s="16" t="str">
        <f>IF($A511&lt;Notes!$B$5,"",IF(COUNTIFS(Release_Calendar!$A$2:$A$755,"NZ_GDP",Release_Calendar!$B$2:$B$755,$A511)&gt;0,1,0))</f>
        <v/>
      </c>
      <c r="O511" s="16" t="str">
        <f>IF($A511&lt;Notes!$B$5,"",IF(COUNTIFS(Release_Calendar!$A$2:$A$755,"NZ_LABOUR",Release_Calendar!$B$2:$B$755,$A511)&gt;0,1,0))</f>
        <v/>
      </c>
      <c r="P511" s="16">
        <f t="shared" si="4"/>
        <v>1</v>
      </c>
    </row>
    <row r="512" ht="15.75" customHeight="1">
      <c r="A512" s="14">
        <v>37242.0</v>
      </c>
      <c r="B512" s="15">
        <v>3.21</v>
      </c>
      <c r="C512" s="15"/>
      <c r="D512" s="15">
        <v>4.65</v>
      </c>
      <c r="E512" s="15"/>
      <c r="F512" s="15" t="str">
        <f t="shared" si="1"/>
        <v/>
      </c>
      <c r="G512" s="15">
        <f t="shared" si="2"/>
        <v>4.65</v>
      </c>
      <c r="H512" s="16">
        <v>1.0</v>
      </c>
      <c r="I512" s="15">
        <f t="shared" si="3"/>
        <v>1.44</v>
      </c>
      <c r="J512" s="15">
        <v>24.26</v>
      </c>
      <c r="K512" s="16">
        <f>IF(COUNTIFS(Release_Calendar!$A$2:$A$755,"US_CPI",Release_Calendar!$B$2:$B$755,$A512)&gt;0,1,0)</f>
        <v>0</v>
      </c>
      <c r="L512" s="16">
        <f>IF(COUNTIFS(Release_Calendar!$A$2:$A$755,"US_NFP",Release_Calendar!$B$2:$B$755,$A512)&gt;0,1,0)</f>
        <v>0</v>
      </c>
      <c r="M512" s="16" t="str">
        <f>IF($A512&lt;Notes!$B$5,"",IF(COUNTIFS(Release_Calendar!$A$2:$A$755,"NZ_CPI",Release_Calendar!$B$2:$B$755,$A512)&gt;0,1,0))</f>
        <v/>
      </c>
      <c r="N512" s="16" t="str">
        <f>IF($A512&lt;Notes!$B$5,"",IF(COUNTIFS(Release_Calendar!$A$2:$A$755,"NZ_GDP",Release_Calendar!$B$2:$B$755,$A512)&gt;0,1,0))</f>
        <v/>
      </c>
      <c r="O512" s="16" t="str">
        <f>IF($A512&lt;Notes!$B$5,"",IF(COUNTIFS(Release_Calendar!$A$2:$A$755,"NZ_LABOUR",Release_Calendar!$B$2:$B$755,$A512)&gt;0,1,0))</f>
        <v/>
      </c>
      <c r="P512" s="16">
        <f t="shared" si="4"/>
        <v>0</v>
      </c>
    </row>
    <row r="513" ht="15.75" customHeight="1">
      <c r="A513" s="14">
        <v>37243.0</v>
      </c>
      <c r="B513" s="15">
        <v>3.13</v>
      </c>
      <c r="C513" s="15"/>
      <c r="D513" s="15">
        <v>4.62</v>
      </c>
      <c r="E513" s="15"/>
      <c r="F513" s="15" t="str">
        <f t="shared" si="1"/>
        <v/>
      </c>
      <c r="G513" s="15">
        <f t="shared" si="2"/>
        <v>4.62</v>
      </c>
      <c r="H513" s="16">
        <v>1.0</v>
      </c>
      <c r="I513" s="15">
        <f t="shared" si="3"/>
        <v>1.49</v>
      </c>
      <c r="J513" s="15">
        <v>23.29</v>
      </c>
      <c r="K513" s="16">
        <f>IF(COUNTIFS(Release_Calendar!$A$2:$A$755,"US_CPI",Release_Calendar!$B$2:$B$755,$A513)&gt;0,1,0)</f>
        <v>0</v>
      </c>
      <c r="L513" s="16">
        <f>IF(COUNTIFS(Release_Calendar!$A$2:$A$755,"US_NFP",Release_Calendar!$B$2:$B$755,$A513)&gt;0,1,0)</f>
        <v>0</v>
      </c>
      <c r="M513" s="16" t="str">
        <f>IF($A513&lt;Notes!$B$5,"",IF(COUNTIFS(Release_Calendar!$A$2:$A$755,"NZ_CPI",Release_Calendar!$B$2:$B$755,$A513)&gt;0,1,0))</f>
        <v/>
      </c>
      <c r="N513" s="16" t="str">
        <f>IF($A513&lt;Notes!$B$5,"",IF(COUNTIFS(Release_Calendar!$A$2:$A$755,"NZ_GDP",Release_Calendar!$B$2:$B$755,$A513)&gt;0,1,0))</f>
        <v/>
      </c>
      <c r="O513" s="16" t="str">
        <f>IF($A513&lt;Notes!$B$5,"",IF(COUNTIFS(Release_Calendar!$A$2:$A$755,"NZ_LABOUR",Release_Calendar!$B$2:$B$755,$A513)&gt;0,1,0))</f>
        <v/>
      </c>
      <c r="P513" s="16">
        <f t="shared" si="4"/>
        <v>0</v>
      </c>
    </row>
    <row r="514" ht="15.75" customHeight="1">
      <c r="A514" s="14">
        <v>37244.0</v>
      </c>
      <c r="B514" s="15">
        <v>3.11</v>
      </c>
      <c r="C514" s="15"/>
      <c r="D514" s="15">
        <v>4.56</v>
      </c>
      <c r="E514" s="15"/>
      <c r="F514" s="15" t="str">
        <f t="shared" si="1"/>
        <v/>
      </c>
      <c r="G514" s="15">
        <f t="shared" si="2"/>
        <v>4.56</v>
      </c>
      <c r="H514" s="16">
        <v>1.0</v>
      </c>
      <c r="I514" s="15">
        <f t="shared" si="3"/>
        <v>1.45</v>
      </c>
      <c r="J514" s="15">
        <v>22.58</v>
      </c>
      <c r="K514" s="16">
        <f>IF(COUNTIFS(Release_Calendar!$A$2:$A$755,"US_CPI",Release_Calendar!$B$2:$B$755,$A514)&gt;0,1,0)</f>
        <v>0</v>
      </c>
      <c r="L514" s="16">
        <f>IF(COUNTIFS(Release_Calendar!$A$2:$A$755,"US_NFP",Release_Calendar!$B$2:$B$755,$A514)&gt;0,1,0)</f>
        <v>0</v>
      </c>
      <c r="M514" s="16" t="str">
        <f>IF($A514&lt;Notes!$B$5,"",IF(COUNTIFS(Release_Calendar!$A$2:$A$755,"NZ_CPI",Release_Calendar!$B$2:$B$755,$A514)&gt;0,1,0))</f>
        <v/>
      </c>
      <c r="N514" s="16" t="str">
        <f>IF($A514&lt;Notes!$B$5,"",IF(COUNTIFS(Release_Calendar!$A$2:$A$755,"NZ_GDP",Release_Calendar!$B$2:$B$755,$A514)&gt;0,1,0))</f>
        <v/>
      </c>
      <c r="O514" s="16" t="str">
        <f>IF($A514&lt;Notes!$B$5,"",IF(COUNTIFS(Release_Calendar!$A$2:$A$755,"NZ_LABOUR",Release_Calendar!$B$2:$B$755,$A514)&gt;0,1,0))</f>
        <v/>
      </c>
      <c r="P514" s="16">
        <f t="shared" si="4"/>
        <v>0</v>
      </c>
    </row>
    <row r="515" ht="15.75" customHeight="1">
      <c r="A515" s="14">
        <v>37245.0</v>
      </c>
      <c r="B515" s="15">
        <v>3.15</v>
      </c>
      <c r="C515" s="15"/>
      <c r="D515" s="15">
        <v>4.53</v>
      </c>
      <c r="E515" s="15"/>
      <c r="F515" s="15" t="str">
        <f t="shared" si="1"/>
        <v/>
      </c>
      <c r="G515" s="15">
        <f t="shared" si="2"/>
        <v>4.53</v>
      </c>
      <c r="H515" s="16">
        <v>1.0</v>
      </c>
      <c r="I515" s="15">
        <f t="shared" si="3"/>
        <v>1.38</v>
      </c>
      <c r="J515" s="15">
        <v>23.67</v>
      </c>
      <c r="K515" s="16">
        <f>IF(COUNTIFS(Release_Calendar!$A$2:$A$755,"US_CPI",Release_Calendar!$B$2:$B$755,$A515)&gt;0,1,0)</f>
        <v>0</v>
      </c>
      <c r="L515" s="16">
        <f>IF(COUNTIFS(Release_Calendar!$A$2:$A$755,"US_NFP",Release_Calendar!$B$2:$B$755,$A515)&gt;0,1,0)</f>
        <v>0</v>
      </c>
      <c r="M515" s="16" t="str">
        <f>IF($A515&lt;Notes!$B$5,"",IF(COUNTIFS(Release_Calendar!$A$2:$A$755,"NZ_CPI",Release_Calendar!$B$2:$B$755,$A515)&gt;0,1,0))</f>
        <v/>
      </c>
      <c r="N515" s="16" t="str">
        <f>IF($A515&lt;Notes!$B$5,"",IF(COUNTIFS(Release_Calendar!$A$2:$A$755,"NZ_GDP",Release_Calendar!$B$2:$B$755,$A515)&gt;0,1,0))</f>
        <v/>
      </c>
      <c r="O515" s="16" t="str">
        <f>IF($A515&lt;Notes!$B$5,"",IF(COUNTIFS(Release_Calendar!$A$2:$A$755,"NZ_LABOUR",Release_Calendar!$B$2:$B$755,$A515)&gt;0,1,0))</f>
        <v/>
      </c>
      <c r="P515" s="16">
        <f t="shared" si="4"/>
        <v>0</v>
      </c>
    </row>
    <row r="516" ht="15.75" customHeight="1">
      <c r="A516" s="14">
        <v>37246.0</v>
      </c>
      <c r="B516" s="15">
        <v>3.17</v>
      </c>
      <c r="C516" s="15"/>
      <c r="D516" s="15">
        <v>4.57</v>
      </c>
      <c r="E516" s="15"/>
      <c r="F516" s="15" t="str">
        <f t="shared" si="1"/>
        <v/>
      </c>
      <c r="G516" s="15">
        <f t="shared" si="2"/>
        <v>4.57</v>
      </c>
      <c r="H516" s="16">
        <v>1.0</v>
      </c>
      <c r="I516" s="15">
        <f t="shared" si="3"/>
        <v>1.4</v>
      </c>
      <c r="J516" s="15">
        <v>22.5</v>
      </c>
      <c r="K516" s="16">
        <f>IF(COUNTIFS(Release_Calendar!$A$2:$A$755,"US_CPI",Release_Calendar!$B$2:$B$755,$A516)&gt;0,1,0)</f>
        <v>0</v>
      </c>
      <c r="L516" s="16">
        <f>IF(COUNTIFS(Release_Calendar!$A$2:$A$755,"US_NFP",Release_Calendar!$B$2:$B$755,$A516)&gt;0,1,0)</f>
        <v>0</v>
      </c>
      <c r="M516" s="16" t="str">
        <f>IF($A516&lt;Notes!$B$5,"",IF(COUNTIFS(Release_Calendar!$A$2:$A$755,"NZ_CPI",Release_Calendar!$B$2:$B$755,$A516)&gt;0,1,0))</f>
        <v/>
      </c>
      <c r="N516" s="16" t="str">
        <f>IF($A516&lt;Notes!$B$5,"",IF(COUNTIFS(Release_Calendar!$A$2:$A$755,"NZ_GDP",Release_Calendar!$B$2:$B$755,$A516)&gt;0,1,0))</f>
        <v/>
      </c>
      <c r="O516" s="16" t="str">
        <f>IF($A516&lt;Notes!$B$5,"",IF(COUNTIFS(Release_Calendar!$A$2:$A$755,"NZ_LABOUR",Release_Calendar!$B$2:$B$755,$A516)&gt;0,1,0))</f>
        <v/>
      </c>
      <c r="P516" s="16">
        <f t="shared" si="4"/>
        <v>0</v>
      </c>
    </row>
    <row r="517" ht="15.75" customHeight="1">
      <c r="A517" s="14">
        <v>37249.0</v>
      </c>
      <c r="B517" s="15">
        <v>3.22</v>
      </c>
      <c r="C517" s="15"/>
      <c r="D517" s="15">
        <v>4.6</v>
      </c>
      <c r="E517" s="15"/>
      <c r="F517" s="15" t="str">
        <f t="shared" si="1"/>
        <v/>
      </c>
      <c r="G517" s="15">
        <f t="shared" si="2"/>
        <v>4.6</v>
      </c>
      <c r="H517" s="16">
        <v>1.0</v>
      </c>
      <c r="I517" s="15">
        <f t="shared" si="3"/>
        <v>1.38</v>
      </c>
      <c r="J517" s="15">
        <v>22.62</v>
      </c>
      <c r="K517" s="16">
        <f>IF(COUNTIFS(Release_Calendar!$A$2:$A$755,"US_CPI",Release_Calendar!$B$2:$B$755,$A517)&gt;0,1,0)</f>
        <v>0</v>
      </c>
      <c r="L517" s="16">
        <f>IF(COUNTIFS(Release_Calendar!$A$2:$A$755,"US_NFP",Release_Calendar!$B$2:$B$755,$A517)&gt;0,1,0)</f>
        <v>0</v>
      </c>
      <c r="M517" s="16" t="str">
        <f>IF($A517&lt;Notes!$B$5,"",IF(COUNTIFS(Release_Calendar!$A$2:$A$755,"NZ_CPI",Release_Calendar!$B$2:$B$755,$A517)&gt;0,1,0))</f>
        <v/>
      </c>
      <c r="N517" s="16" t="str">
        <f>IF($A517&lt;Notes!$B$5,"",IF(COUNTIFS(Release_Calendar!$A$2:$A$755,"NZ_GDP",Release_Calendar!$B$2:$B$755,$A517)&gt;0,1,0))</f>
        <v/>
      </c>
      <c r="O517" s="16" t="str">
        <f>IF($A517&lt;Notes!$B$5,"",IF(COUNTIFS(Release_Calendar!$A$2:$A$755,"NZ_LABOUR",Release_Calendar!$B$2:$B$755,$A517)&gt;0,1,0))</f>
        <v/>
      </c>
      <c r="P517" s="16">
        <f t="shared" si="4"/>
        <v>0</v>
      </c>
    </row>
    <row r="518" ht="15.75" customHeight="1">
      <c r="A518" s="14">
        <v>37250.0</v>
      </c>
      <c r="B518" s="15"/>
      <c r="C518" s="15"/>
      <c r="D518" s="15"/>
      <c r="E518" s="15"/>
      <c r="F518" s="15" t="str">
        <f t="shared" si="1"/>
        <v/>
      </c>
      <c r="G518" s="15" t="str">
        <f t="shared" si="2"/>
        <v/>
      </c>
      <c r="H518" s="16">
        <v>1.0</v>
      </c>
      <c r="I518" s="15" t="str">
        <f t="shared" si="3"/>
        <v/>
      </c>
      <c r="J518" s="15"/>
      <c r="K518" s="16">
        <f>IF(COUNTIFS(Release_Calendar!$A$2:$A$755,"US_CPI",Release_Calendar!$B$2:$B$755,$A518)&gt;0,1,0)</f>
        <v>0</v>
      </c>
      <c r="L518" s="16">
        <f>IF(COUNTIFS(Release_Calendar!$A$2:$A$755,"US_NFP",Release_Calendar!$B$2:$B$755,$A518)&gt;0,1,0)</f>
        <v>0</v>
      </c>
      <c r="M518" s="16" t="str">
        <f>IF($A518&lt;Notes!$B$5,"",IF(COUNTIFS(Release_Calendar!$A$2:$A$755,"NZ_CPI",Release_Calendar!$B$2:$B$755,$A518)&gt;0,1,0))</f>
        <v/>
      </c>
      <c r="N518" s="16" t="str">
        <f>IF($A518&lt;Notes!$B$5,"",IF(COUNTIFS(Release_Calendar!$A$2:$A$755,"NZ_GDP",Release_Calendar!$B$2:$B$755,$A518)&gt;0,1,0))</f>
        <v/>
      </c>
      <c r="O518" s="16" t="str">
        <f>IF($A518&lt;Notes!$B$5,"",IF(COUNTIFS(Release_Calendar!$A$2:$A$755,"NZ_LABOUR",Release_Calendar!$B$2:$B$755,$A518)&gt;0,1,0))</f>
        <v/>
      </c>
      <c r="P518" s="16">
        <f t="shared" si="4"/>
        <v>0</v>
      </c>
    </row>
    <row r="519" ht="15.75" customHeight="1">
      <c r="A519" s="14">
        <v>37251.0</v>
      </c>
      <c r="B519" s="15">
        <v>3.26</v>
      </c>
      <c r="C519" s="15"/>
      <c r="D519" s="15"/>
      <c r="E519" s="15"/>
      <c r="F519" s="15" t="str">
        <f t="shared" si="1"/>
        <v/>
      </c>
      <c r="G519" s="15" t="str">
        <f t="shared" si="2"/>
        <v/>
      </c>
      <c r="H519" s="16">
        <v>1.0</v>
      </c>
      <c r="I519" s="15" t="str">
        <f t="shared" si="3"/>
        <v/>
      </c>
      <c r="J519" s="15">
        <v>22.29</v>
      </c>
      <c r="K519" s="16">
        <f>IF(COUNTIFS(Release_Calendar!$A$2:$A$755,"US_CPI",Release_Calendar!$B$2:$B$755,$A519)&gt;0,1,0)</f>
        <v>0</v>
      </c>
      <c r="L519" s="16">
        <f>IF(COUNTIFS(Release_Calendar!$A$2:$A$755,"US_NFP",Release_Calendar!$B$2:$B$755,$A519)&gt;0,1,0)</f>
        <v>0</v>
      </c>
      <c r="M519" s="16" t="str">
        <f>IF($A519&lt;Notes!$B$5,"",IF(COUNTIFS(Release_Calendar!$A$2:$A$755,"NZ_CPI",Release_Calendar!$B$2:$B$755,$A519)&gt;0,1,0))</f>
        <v/>
      </c>
      <c r="N519" s="16" t="str">
        <f>IF($A519&lt;Notes!$B$5,"",IF(COUNTIFS(Release_Calendar!$A$2:$A$755,"NZ_GDP",Release_Calendar!$B$2:$B$755,$A519)&gt;0,1,0))</f>
        <v/>
      </c>
      <c r="O519" s="16" t="str">
        <f>IF($A519&lt;Notes!$B$5,"",IF(COUNTIFS(Release_Calendar!$A$2:$A$755,"NZ_LABOUR",Release_Calendar!$B$2:$B$755,$A519)&gt;0,1,0))</f>
        <v/>
      </c>
      <c r="P519" s="16">
        <f t="shared" si="4"/>
        <v>0</v>
      </c>
    </row>
    <row r="520" ht="15.75" customHeight="1">
      <c r="A520" s="14">
        <v>37252.0</v>
      </c>
      <c r="B520" s="15">
        <v>3.19</v>
      </c>
      <c r="C520" s="15"/>
      <c r="D520" s="15">
        <v>4.68</v>
      </c>
      <c r="E520" s="15"/>
      <c r="F520" s="15" t="str">
        <f t="shared" si="1"/>
        <v/>
      </c>
      <c r="G520" s="15">
        <f t="shared" si="2"/>
        <v>4.68</v>
      </c>
      <c r="H520" s="16">
        <v>1.0</v>
      </c>
      <c r="I520" s="15">
        <f t="shared" si="3"/>
        <v>1.49</v>
      </c>
      <c r="J520" s="15">
        <v>21.59</v>
      </c>
      <c r="K520" s="16">
        <f>IF(COUNTIFS(Release_Calendar!$A$2:$A$755,"US_CPI",Release_Calendar!$B$2:$B$755,$A520)&gt;0,1,0)</f>
        <v>0</v>
      </c>
      <c r="L520" s="16">
        <f>IF(COUNTIFS(Release_Calendar!$A$2:$A$755,"US_NFP",Release_Calendar!$B$2:$B$755,$A520)&gt;0,1,0)</f>
        <v>0</v>
      </c>
      <c r="M520" s="16" t="str">
        <f>IF($A520&lt;Notes!$B$5,"",IF(COUNTIFS(Release_Calendar!$A$2:$A$755,"NZ_CPI",Release_Calendar!$B$2:$B$755,$A520)&gt;0,1,0))</f>
        <v/>
      </c>
      <c r="N520" s="16" t="str">
        <f>IF($A520&lt;Notes!$B$5,"",IF(COUNTIFS(Release_Calendar!$A$2:$A$755,"NZ_GDP",Release_Calendar!$B$2:$B$755,$A520)&gt;0,1,0))</f>
        <v/>
      </c>
      <c r="O520" s="16" t="str">
        <f>IF($A520&lt;Notes!$B$5,"",IF(COUNTIFS(Release_Calendar!$A$2:$A$755,"NZ_LABOUR",Release_Calendar!$B$2:$B$755,$A520)&gt;0,1,0))</f>
        <v/>
      </c>
      <c r="P520" s="16">
        <f t="shared" si="4"/>
        <v>0</v>
      </c>
    </row>
    <row r="521" ht="15.75" customHeight="1">
      <c r="A521" s="14">
        <v>37253.0</v>
      </c>
      <c r="B521" s="15">
        <v>3.16</v>
      </c>
      <c r="C521" s="15"/>
      <c r="D521" s="15">
        <v>4.61</v>
      </c>
      <c r="E521" s="15"/>
      <c r="F521" s="15" t="str">
        <f t="shared" si="1"/>
        <v/>
      </c>
      <c r="G521" s="15">
        <f t="shared" si="2"/>
        <v>4.61</v>
      </c>
      <c r="H521" s="16">
        <v>1.0</v>
      </c>
      <c r="I521" s="15">
        <f t="shared" si="3"/>
        <v>1.45</v>
      </c>
      <c r="J521" s="15">
        <v>21.4</v>
      </c>
      <c r="K521" s="16">
        <f>IF(COUNTIFS(Release_Calendar!$A$2:$A$755,"US_CPI",Release_Calendar!$B$2:$B$755,$A521)&gt;0,1,0)</f>
        <v>0</v>
      </c>
      <c r="L521" s="16">
        <f>IF(COUNTIFS(Release_Calendar!$A$2:$A$755,"US_NFP",Release_Calendar!$B$2:$B$755,$A521)&gt;0,1,0)</f>
        <v>0</v>
      </c>
      <c r="M521" s="16" t="str">
        <f>IF($A521&lt;Notes!$B$5,"",IF(COUNTIFS(Release_Calendar!$A$2:$A$755,"NZ_CPI",Release_Calendar!$B$2:$B$755,$A521)&gt;0,1,0))</f>
        <v/>
      </c>
      <c r="N521" s="16" t="str">
        <f>IF($A521&lt;Notes!$B$5,"",IF(COUNTIFS(Release_Calendar!$A$2:$A$755,"NZ_GDP",Release_Calendar!$B$2:$B$755,$A521)&gt;0,1,0))</f>
        <v/>
      </c>
      <c r="O521" s="16" t="str">
        <f>IF($A521&lt;Notes!$B$5,"",IF(COUNTIFS(Release_Calendar!$A$2:$A$755,"NZ_LABOUR",Release_Calendar!$B$2:$B$755,$A521)&gt;0,1,0))</f>
        <v/>
      </c>
      <c r="P521" s="16">
        <f t="shared" si="4"/>
        <v>0</v>
      </c>
    </row>
    <row r="522" ht="15.75" customHeight="1">
      <c r="A522" s="14">
        <v>37256.0</v>
      </c>
      <c r="B522" s="15">
        <v>3.07</v>
      </c>
      <c r="C522" s="15"/>
      <c r="D522" s="15">
        <v>4.66</v>
      </c>
      <c r="E522" s="15"/>
      <c r="F522" s="15" t="str">
        <f t="shared" si="1"/>
        <v/>
      </c>
      <c r="G522" s="15">
        <f t="shared" si="2"/>
        <v>4.66</v>
      </c>
      <c r="H522" s="16">
        <v>1.0</v>
      </c>
      <c r="I522" s="15">
        <f t="shared" si="3"/>
        <v>1.59</v>
      </c>
      <c r="J522" s="15">
        <v>23.8</v>
      </c>
      <c r="K522" s="16">
        <f>IF(COUNTIFS(Release_Calendar!$A$2:$A$755,"US_CPI",Release_Calendar!$B$2:$B$755,$A522)&gt;0,1,0)</f>
        <v>0</v>
      </c>
      <c r="L522" s="16">
        <f>IF(COUNTIFS(Release_Calendar!$A$2:$A$755,"US_NFP",Release_Calendar!$B$2:$B$755,$A522)&gt;0,1,0)</f>
        <v>0</v>
      </c>
      <c r="M522" s="16" t="str">
        <f>IF($A522&lt;Notes!$B$5,"",IF(COUNTIFS(Release_Calendar!$A$2:$A$755,"NZ_CPI",Release_Calendar!$B$2:$B$755,$A522)&gt;0,1,0))</f>
        <v/>
      </c>
      <c r="N522" s="16" t="str">
        <f>IF($A522&lt;Notes!$B$5,"",IF(COUNTIFS(Release_Calendar!$A$2:$A$755,"NZ_GDP",Release_Calendar!$B$2:$B$755,$A522)&gt;0,1,0))</f>
        <v/>
      </c>
      <c r="O522" s="16" t="str">
        <f>IF($A522&lt;Notes!$B$5,"",IF(COUNTIFS(Release_Calendar!$A$2:$A$755,"NZ_LABOUR",Release_Calendar!$B$2:$B$755,$A522)&gt;0,1,0))</f>
        <v/>
      </c>
      <c r="P522" s="16">
        <f t="shared" si="4"/>
        <v>0</v>
      </c>
    </row>
    <row r="523" ht="15.75" customHeight="1">
      <c r="A523" s="14">
        <v>37257.0</v>
      </c>
      <c r="B523" s="15"/>
      <c r="C523" s="15"/>
      <c r="D523" s="15"/>
      <c r="E523" s="15"/>
      <c r="F523" s="15" t="str">
        <f t="shared" si="1"/>
        <v/>
      </c>
      <c r="G523" s="15" t="str">
        <f t="shared" si="2"/>
        <v/>
      </c>
      <c r="H523" s="16">
        <v>1.0</v>
      </c>
      <c r="I523" s="15" t="str">
        <f t="shared" si="3"/>
        <v/>
      </c>
      <c r="J523" s="15"/>
      <c r="K523" s="16">
        <f>IF(COUNTIFS(Release_Calendar!$A$2:$A$755,"US_CPI",Release_Calendar!$B$2:$B$755,$A523)&gt;0,1,0)</f>
        <v>0</v>
      </c>
      <c r="L523" s="16">
        <f>IF(COUNTIFS(Release_Calendar!$A$2:$A$755,"US_NFP",Release_Calendar!$B$2:$B$755,$A523)&gt;0,1,0)</f>
        <v>0</v>
      </c>
      <c r="M523" s="16" t="str">
        <f>IF($A523&lt;Notes!$B$5,"",IF(COUNTIFS(Release_Calendar!$A$2:$A$755,"NZ_CPI",Release_Calendar!$B$2:$B$755,$A523)&gt;0,1,0))</f>
        <v/>
      </c>
      <c r="N523" s="16" t="str">
        <f>IF($A523&lt;Notes!$B$5,"",IF(COUNTIFS(Release_Calendar!$A$2:$A$755,"NZ_GDP",Release_Calendar!$B$2:$B$755,$A523)&gt;0,1,0))</f>
        <v/>
      </c>
      <c r="O523" s="16" t="str">
        <f>IF($A523&lt;Notes!$B$5,"",IF(COUNTIFS(Release_Calendar!$A$2:$A$755,"NZ_LABOUR",Release_Calendar!$B$2:$B$755,$A523)&gt;0,1,0))</f>
        <v/>
      </c>
      <c r="P523" s="16">
        <f t="shared" si="4"/>
        <v>0</v>
      </c>
    </row>
    <row r="524" ht="15.75" customHeight="1">
      <c r="A524" s="14">
        <v>37258.0</v>
      </c>
      <c r="B524" s="15">
        <v>3.22</v>
      </c>
      <c r="C524" s="15"/>
      <c r="D524" s="15"/>
      <c r="E524" s="15"/>
      <c r="F524" s="15" t="str">
        <f t="shared" si="1"/>
        <v/>
      </c>
      <c r="G524" s="15" t="str">
        <f t="shared" si="2"/>
        <v/>
      </c>
      <c r="H524" s="16">
        <v>1.0</v>
      </c>
      <c r="I524" s="15" t="str">
        <f t="shared" si="3"/>
        <v/>
      </c>
      <c r="J524" s="15">
        <v>22.71</v>
      </c>
      <c r="K524" s="16">
        <f>IF(COUNTIFS(Release_Calendar!$A$2:$A$755,"US_CPI",Release_Calendar!$B$2:$B$755,$A524)&gt;0,1,0)</f>
        <v>0</v>
      </c>
      <c r="L524" s="16">
        <f>IF(COUNTIFS(Release_Calendar!$A$2:$A$755,"US_NFP",Release_Calendar!$B$2:$B$755,$A524)&gt;0,1,0)</f>
        <v>0</v>
      </c>
      <c r="M524" s="16" t="str">
        <f>IF($A524&lt;Notes!$B$5,"",IF(COUNTIFS(Release_Calendar!$A$2:$A$755,"NZ_CPI",Release_Calendar!$B$2:$B$755,$A524)&gt;0,1,0))</f>
        <v/>
      </c>
      <c r="N524" s="16" t="str">
        <f>IF($A524&lt;Notes!$B$5,"",IF(COUNTIFS(Release_Calendar!$A$2:$A$755,"NZ_GDP",Release_Calendar!$B$2:$B$755,$A524)&gt;0,1,0))</f>
        <v/>
      </c>
      <c r="O524" s="16" t="str">
        <f>IF($A524&lt;Notes!$B$5,"",IF(COUNTIFS(Release_Calendar!$A$2:$A$755,"NZ_LABOUR",Release_Calendar!$B$2:$B$755,$A524)&gt;0,1,0))</f>
        <v/>
      </c>
      <c r="P524" s="16">
        <f t="shared" si="4"/>
        <v>0</v>
      </c>
    </row>
    <row r="525" ht="15.75" customHeight="1">
      <c r="A525" s="14">
        <v>37259.0</v>
      </c>
      <c r="B525" s="15">
        <v>3.19</v>
      </c>
      <c r="C525" s="15"/>
      <c r="D525" s="15">
        <v>4.69</v>
      </c>
      <c r="E525" s="15"/>
      <c r="F525" s="15" t="str">
        <f t="shared" si="1"/>
        <v/>
      </c>
      <c r="G525" s="15">
        <f t="shared" si="2"/>
        <v>4.69</v>
      </c>
      <c r="H525" s="16">
        <v>1.0</v>
      </c>
      <c r="I525" s="15">
        <f t="shared" si="3"/>
        <v>1.5</v>
      </c>
      <c r="J525" s="15">
        <v>21.34</v>
      </c>
      <c r="K525" s="16">
        <f>IF(COUNTIFS(Release_Calendar!$A$2:$A$755,"US_CPI",Release_Calendar!$B$2:$B$755,$A525)&gt;0,1,0)</f>
        <v>0</v>
      </c>
      <c r="L525" s="16">
        <f>IF(COUNTIFS(Release_Calendar!$A$2:$A$755,"US_NFP",Release_Calendar!$B$2:$B$755,$A525)&gt;0,1,0)</f>
        <v>0</v>
      </c>
      <c r="M525" s="16" t="str">
        <f>IF($A525&lt;Notes!$B$5,"",IF(COUNTIFS(Release_Calendar!$A$2:$A$755,"NZ_CPI",Release_Calendar!$B$2:$B$755,$A525)&gt;0,1,0))</f>
        <v/>
      </c>
      <c r="N525" s="16" t="str">
        <f>IF($A525&lt;Notes!$B$5,"",IF(COUNTIFS(Release_Calendar!$A$2:$A$755,"NZ_GDP",Release_Calendar!$B$2:$B$755,$A525)&gt;0,1,0))</f>
        <v/>
      </c>
      <c r="O525" s="16" t="str">
        <f>IF($A525&lt;Notes!$B$5,"",IF(COUNTIFS(Release_Calendar!$A$2:$A$755,"NZ_LABOUR",Release_Calendar!$B$2:$B$755,$A525)&gt;0,1,0))</f>
        <v/>
      </c>
      <c r="P525" s="16">
        <f t="shared" si="4"/>
        <v>0</v>
      </c>
    </row>
    <row r="526" ht="15.75" customHeight="1">
      <c r="A526" s="14">
        <v>37260.0</v>
      </c>
      <c r="B526" s="15">
        <v>3.19</v>
      </c>
      <c r="C526" s="15"/>
      <c r="D526" s="15">
        <v>4.68</v>
      </c>
      <c r="E526" s="15"/>
      <c r="F526" s="15" t="str">
        <f t="shared" si="1"/>
        <v/>
      </c>
      <c r="G526" s="15">
        <f t="shared" si="2"/>
        <v>4.68</v>
      </c>
      <c r="H526" s="16">
        <v>1.0</v>
      </c>
      <c r="I526" s="15">
        <f t="shared" si="3"/>
        <v>1.49</v>
      </c>
      <c r="J526" s="15">
        <v>20.45</v>
      </c>
      <c r="K526" s="16">
        <f>IF(COUNTIFS(Release_Calendar!$A$2:$A$755,"US_CPI",Release_Calendar!$B$2:$B$755,$A526)&gt;0,1,0)</f>
        <v>0</v>
      </c>
      <c r="L526" s="16">
        <f>IF(COUNTIFS(Release_Calendar!$A$2:$A$755,"US_NFP",Release_Calendar!$B$2:$B$755,$A526)&gt;0,1,0)</f>
        <v>1</v>
      </c>
      <c r="M526" s="16" t="str">
        <f>IF($A526&lt;Notes!$B$5,"",IF(COUNTIFS(Release_Calendar!$A$2:$A$755,"NZ_CPI",Release_Calendar!$B$2:$B$755,$A526)&gt;0,1,0))</f>
        <v/>
      </c>
      <c r="N526" s="16" t="str">
        <f>IF($A526&lt;Notes!$B$5,"",IF(COUNTIFS(Release_Calendar!$A$2:$A$755,"NZ_GDP",Release_Calendar!$B$2:$B$755,$A526)&gt;0,1,0))</f>
        <v/>
      </c>
      <c r="O526" s="16" t="str">
        <f>IF($A526&lt;Notes!$B$5,"",IF(COUNTIFS(Release_Calendar!$A$2:$A$755,"NZ_LABOUR",Release_Calendar!$B$2:$B$755,$A526)&gt;0,1,0))</f>
        <v/>
      </c>
      <c r="P526" s="16">
        <f t="shared" si="4"/>
        <v>1</v>
      </c>
    </row>
    <row r="527" ht="15.75" customHeight="1">
      <c r="A527" s="14">
        <v>37263.0</v>
      </c>
      <c r="B527" s="15">
        <v>3.08</v>
      </c>
      <c r="C527" s="15"/>
      <c r="D527" s="15">
        <v>4.71</v>
      </c>
      <c r="E527" s="15"/>
      <c r="F527" s="15" t="str">
        <f t="shared" si="1"/>
        <v/>
      </c>
      <c r="G527" s="15">
        <f t="shared" si="2"/>
        <v>4.71</v>
      </c>
      <c r="H527" s="16">
        <v>1.0</v>
      </c>
      <c r="I527" s="15">
        <f t="shared" si="3"/>
        <v>1.63</v>
      </c>
      <c r="J527" s="15">
        <v>21.94</v>
      </c>
      <c r="K527" s="16">
        <f>IF(COUNTIFS(Release_Calendar!$A$2:$A$755,"US_CPI",Release_Calendar!$B$2:$B$755,$A527)&gt;0,1,0)</f>
        <v>0</v>
      </c>
      <c r="L527" s="16">
        <f>IF(COUNTIFS(Release_Calendar!$A$2:$A$755,"US_NFP",Release_Calendar!$B$2:$B$755,$A527)&gt;0,1,0)</f>
        <v>0</v>
      </c>
      <c r="M527" s="16" t="str">
        <f>IF($A527&lt;Notes!$B$5,"",IF(COUNTIFS(Release_Calendar!$A$2:$A$755,"NZ_CPI",Release_Calendar!$B$2:$B$755,$A527)&gt;0,1,0))</f>
        <v/>
      </c>
      <c r="N527" s="16" t="str">
        <f>IF($A527&lt;Notes!$B$5,"",IF(COUNTIFS(Release_Calendar!$A$2:$A$755,"NZ_GDP",Release_Calendar!$B$2:$B$755,$A527)&gt;0,1,0))</f>
        <v/>
      </c>
      <c r="O527" s="16" t="str">
        <f>IF($A527&lt;Notes!$B$5,"",IF(COUNTIFS(Release_Calendar!$A$2:$A$755,"NZ_LABOUR",Release_Calendar!$B$2:$B$755,$A527)&gt;0,1,0))</f>
        <v/>
      </c>
      <c r="P527" s="16">
        <f t="shared" si="4"/>
        <v>0</v>
      </c>
    </row>
    <row r="528" ht="15.75" customHeight="1">
      <c r="A528" s="14">
        <v>37264.0</v>
      </c>
      <c r="B528" s="15">
        <v>3.07</v>
      </c>
      <c r="C528" s="15"/>
      <c r="D528" s="15">
        <v>4.67</v>
      </c>
      <c r="E528" s="15"/>
      <c r="F528" s="15" t="str">
        <f t="shared" si="1"/>
        <v/>
      </c>
      <c r="G528" s="15">
        <f t="shared" si="2"/>
        <v>4.67</v>
      </c>
      <c r="H528" s="16">
        <v>1.0</v>
      </c>
      <c r="I528" s="15">
        <f t="shared" si="3"/>
        <v>1.6</v>
      </c>
      <c r="J528" s="15">
        <v>21.83</v>
      </c>
      <c r="K528" s="16">
        <f>IF(COUNTIFS(Release_Calendar!$A$2:$A$755,"US_CPI",Release_Calendar!$B$2:$B$755,$A528)&gt;0,1,0)</f>
        <v>0</v>
      </c>
      <c r="L528" s="16">
        <f>IF(COUNTIFS(Release_Calendar!$A$2:$A$755,"US_NFP",Release_Calendar!$B$2:$B$755,$A528)&gt;0,1,0)</f>
        <v>0</v>
      </c>
      <c r="M528" s="16" t="str">
        <f>IF($A528&lt;Notes!$B$5,"",IF(COUNTIFS(Release_Calendar!$A$2:$A$755,"NZ_CPI",Release_Calendar!$B$2:$B$755,$A528)&gt;0,1,0))</f>
        <v/>
      </c>
      <c r="N528" s="16" t="str">
        <f>IF($A528&lt;Notes!$B$5,"",IF(COUNTIFS(Release_Calendar!$A$2:$A$755,"NZ_GDP",Release_Calendar!$B$2:$B$755,$A528)&gt;0,1,0))</f>
        <v/>
      </c>
      <c r="O528" s="16" t="str">
        <f>IF($A528&lt;Notes!$B$5,"",IF(COUNTIFS(Release_Calendar!$A$2:$A$755,"NZ_LABOUR",Release_Calendar!$B$2:$B$755,$A528)&gt;0,1,0))</f>
        <v/>
      </c>
      <c r="P528" s="16">
        <f t="shared" si="4"/>
        <v>0</v>
      </c>
    </row>
    <row r="529" ht="15.75" customHeight="1">
      <c r="A529" s="14">
        <v>37265.0</v>
      </c>
      <c r="B529" s="15">
        <v>3.03</v>
      </c>
      <c r="C529" s="15"/>
      <c r="D529" s="15">
        <v>4.76</v>
      </c>
      <c r="E529" s="15"/>
      <c r="F529" s="15" t="str">
        <f t="shared" si="1"/>
        <v/>
      </c>
      <c r="G529" s="15">
        <f t="shared" si="2"/>
        <v>4.76</v>
      </c>
      <c r="H529" s="16">
        <v>1.0</v>
      </c>
      <c r="I529" s="15">
        <f t="shared" si="3"/>
        <v>1.73</v>
      </c>
      <c r="J529" s="15">
        <v>22.13</v>
      </c>
      <c r="K529" s="16">
        <f>IF(COUNTIFS(Release_Calendar!$A$2:$A$755,"US_CPI",Release_Calendar!$B$2:$B$755,$A529)&gt;0,1,0)</f>
        <v>0</v>
      </c>
      <c r="L529" s="16">
        <f>IF(COUNTIFS(Release_Calendar!$A$2:$A$755,"US_NFP",Release_Calendar!$B$2:$B$755,$A529)&gt;0,1,0)</f>
        <v>0</v>
      </c>
      <c r="M529" s="16" t="str">
        <f>IF($A529&lt;Notes!$B$5,"",IF(COUNTIFS(Release_Calendar!$A$2:$A$755,"NZ_CPI",Release_Calendar!$B$2:$B$755,$A529)&gt;0,1,0))</f>
        <v/>
      </c>
      <c r="N529" s="16" t="str">
        <f>IF($A529&lt;Notes!$B$5,"",IF(COUNTIFS(Release_Calendar!$A$2:$A$755,"NZ_GDP",Release_Calendar!$B$2:$B$755,$A529)&gt;0,1,0))</f>
        <v/>
      </c>
      <c r="O529" s="16" t="str">
        <f>IF($A529&lt;Notes!$B$5,"",IF(COUNTIFS(Release_Calendar!$A$2:$A$755,"NZ_LABOUR",Release_Calendar!$B$2:$B$755,$A529)&gt;0,1,0))</f>
        <v/>
      </c>
      <c r="P529" s="16">
        <f t="shared" si="4"/>
        <v>0</v>
      </c>
    </row>
    <row r="530" ht="15.75" customHeight="1">
      <c r="A530" s="14">
        <v>37266.0</v>
      </c>
      <c r="B530" s="15">
        <v>2.94</v>
      </c>
      <c r="C530" s="15"/>
      <c r="D530" s="15">
        <v>4.7</v>
      </c>
      <c r="E530" s="15"/>
      <c r="F530" s="15" t="str">
        <f t="shared" si="1"/>
        <v/>
      </c>
      <c r="G530" s="15">
        <f t="shared" si="2"/>
        <v>4.7</v>
      </c>
      <c r="H530" s="16">
        <v>1.0</v>
      </c>
      <c r="I530" s="15">
        <f t="shared" si="3"/>
        <v>1.76</v>
      </c>
      <c r="J530" s="15">
        <v>22.36</v>
      </c>
      <c r="K530" s="16">
        <f>IF(COUNTIFS(Release_Calendar!$A$2:$A$755,"US_CPI",Release_Calendar!$B$2:$B$755,$A530)&gt;0,1,0)</f>
        <v>0</v>
      </c>
      <c r="L530" s="16">
        <f>IF(COUNTIFS(Release_Calendar!$A$2:$A$755,"US_NFP",Release_Calendar!$B$2:$B$755,$A530)&gt;0,1,0)</f>
        <v>0</v>
      </c>
      <c r="M530" s="16" t="str">
        <f>IF($A530&lt;Notes!$B$5,"",IF(COUNTIFS(Release_Calendar!$A$2:$A$755,"NZ_CPI",Release_Calendar!$B$2:$B$755,$A530)&gt;0,1,0))</f>
        <v/>
      </c>
      <c r="N530" s="16" t="str">
        <f>IF($A530&lt;Notes!$B$5,"",IF(COUNTIFS(Release_Calendar!$A$2:$A$755,"NZ_GDP",Release_Calendar!$B$2:$B$755,$A530)&gt;0,1,0))</f>
        <v/>
      </c>
      <c r="O530" s="16" t="str">
        <f>IF($A530&lt;Notes!$B$5,"",IF(COUNTIFS(Release_Calendar!$A$2:$A$755,"NZ_LABOUR",Release_Calendar!$B$2:$B$755,$A530)&gt;0,1,0))</f>
        <v/>
      </c>
      <c r="P530" s="16">
        <f t="shared" si="4"/>
        <v>0</v>
      </c>
    </row>
    <row r="531" ht="15.75" customHeight="1">
      <c r="A531" s="14">
        <v>37267.0</v>
      </c>
      <c r="B531" s="15">
        <v>2.76</v>
      </c>
      <c r="C531" s="15"/>
      <c r="D531" s="15">
        <v>4.64</v>
      </c>
      <c r="E531" s="15"/>
      <c r="F531" s="15" t="str">
        <f t="shared" si="1"/>
        <v/>
      </c>
      <c r="G531" s="15">
        <f t="shared" si="2"/>
        <v>4.64</v>
      </c>
      <c r="H531" s="16">
        <v>1.0</v>
      </c>
      <c r="I531" s="15">
        <f t="shared" si="3"/>
        <v>1.88</v>
      </c>
      <c r="J531" s="15">
        <v>22.6</v>
      </c>
      <c r="K531" s="16">
        <f>IF(COUNTIFS(Release_Calendar!$A$2:$A$755,"US_CPI",Release_Calendar!$B$2:$B$755,$A531)&gt;0,1,0)</f>
        <v>0</v>
      </c>
      <c r="L531" s="16">
        <f>IF(COUNTIFS(Release_Calendar!$A$2:$A$755,"US_NFP",Release_Calendar!$B$2:$B$755,$A531)&gt;0,1,0)</f>
        <v>0</v>
      </c>
      <c r="M531" s="16" t="str">
        <f>IF($A531&lt;Notes!$B$5,"",IF(COUNTIFS(Release_Calendar!$A$2:$A$755,"NZ_CPI",Release_Calendar!$B$2:$B$755,$A531)&gt;0,1,0))</f>
        <v/>
      </c>
      <c r="N531" s="16" t="str">
        <f>IF($A531&lt;Notes!$B$5,"",IF(COUNTIFS(Release_Calendar!$A$2:$A$755,"NZ_GDP",Release_Calendar!$B$2:$B$755,$A531)&gt;0,1,0))</f>
        <v/>
      </c>
      <c r="O531" s="16" t="str">
        <f>IF($A531&lt;Notes!$B$5,"",IF(COUNTIFS(Release_Calendar!$A$2:$A$755,"NZ_LABOUR",Release_Calendar!$B$2:$B$755,$A531)&gt;0,1,0))</f>
        <v/>
      </c>
      <c r="P531" s="16">
        <f t="shared" si="4"/>
        <v>0</v>
      </c>
    </row>
    <row r="532" ht="15.75" customHeight="1">
      <c r="A532" s="14">
        <v>37270.0</v>
      </c>
      <c r="B532" s="15">
        <v>2.79</v>
      </c>
      <c r="C532" s="15"/>
      <c r="D532" s="15">
        <v>4.59</v>
      </c>
      <c r="E532" s="15"/>
      <c r="F532" s="15" t="str">
        <f t="shared" si="1"/>
        <v/>
      </c>
      <c r="G532" s="15">
        <f t="shared" si="2"/>
        <v>4.59</v>
      </c>
      <c r="H532" s="16">
        <v>1.0</v>
      </c>
      <c r="I532" s="15">
        <f t="shared" si="3"/>
        <v>1.8</v>
      </c>
      <c r="J532" s="15">
        <v>23.58</v>
      </c>
      <c r="K532" s="16">
        <f>IF(COUNTIFS(Release_Calendar!$A$2:$A$755,"US_CPI",Release_Calendar!$B$2:$B$755,$A532)&gt;0,1,0)</f>
        <v>0</v>
      </c>
      <c r="L532" s="16">
        <f>IF(COUNTIFS(Release_Calendar!$A$2:$A$755,"US_NFP",Release_Calendar!$B$2:$B$755,$A532)&gt;0,1,0)</f>
        <v>0</v>
      </c>
      <c r="M532" s="16" t="str">
        <f>IF($A532&lt;Notes!$B$5,"",IF(COUNTIFS(Release_Calendar!$A$2:$A$755,"NZ_CPI",Release_Calendar!$B$2:$B$755,$A532)&gt;0,1,0))</f>
        <v/>
      </c>
      <c r="N532" s="16" t="str">
        <f>IF($A532&lt;Notes!$B$5,"",IF(COUNTIFS(Release_Calendar!$A$2:$A$755,"NZ_GDP",Release_Calendar!$B$2:$B$755,$A532)&gt;0,1,0))</f>
        <v/>
      </c>
      <c r="O532" s="16" t="str">
        <f>IF($A532&lt;Notes!$B$5,"",IF(COUNTIFS(Release_Calendar!$A$2:$A$755,"NZ_LABOUR",Release_Calendar!$B$2:$B$755,$A532)&gt;0,1,0))</f>
        <v/>
      </c>
      <c r="P532" s="16">
        <f t="shared" si="4"/>
        <v>0</v>
      </c>
    </row>
    <row r="533" ht="15.75" customHeight="1">
      <c r="A533" s="14">
        <v>37271.0</v>
      </c>
      <c r="B533" s="15">
        <v>2.79</v>
      </c>
      <c r="C533" s="15"/>
      <c r="D533" s="15">
        <v>4.6</v>
      </c>
      <c r="E533" s="15"/>
      <c r="F533" s="15" t="str">
        <f t="shared" si="1"/>
        <v/>
      </c>
      <c r="G533" s="15">
        <f t="shared" si="2"/>
        <v>4.6</v>
      </c>
      <c r="H533" s="16">
        <v>1.0</v>
      </c>
      <c r="I533" s="15">
        <f t="shared" si="3"/>
        <v>1.81</v>
      </c>
      <c r="J533" s="15">
        <v>22.7</v>
      </c>
      <c r="K533" s="16">
        <f>IF(COUNTIFS(Release_Calendar!$A$2:$A$755,"US_CPI",Release_Calendar!$B$2:$B$755,$A533)&gt;0,1,0)</f>
        <v>0</v>
      </c>
      <c r="L533" s="16">
        <f>IF(COUNTIFS(Release_Calendar!$A$2:$A$755,"US_NFP",Release_Calendar!$B$2:$B$755,$A533)&gt;0,1,0)</f>
        <v>0</v>
      </c>
      <c r="M533" s="16" t="str">
        <f>IF($A533&lt;Notes!$B$5,"",IF(COUNTIFS(Release_Calendar!$A$2:$A$755,"NZ_CPI",Release_Calendar!$B$2:$B$755,$A533)&gt;0,1,0))</f>
        <v/>
      </c>
      <c r="N533" s="16" t="str">
        <f>IF($A533&lt;Notes!$B$5,"",IF(COUNTIFS(Release_Calendar!$A$2:$A$755,"NZ_GDP",Release_Calendar!$B$2:$B$755,$A533)&gt;0,1,0))</f>
        <v/>
      </c>
      <c r="O533" s="16" t="str">
        <f>IF($A533&lt;Notes!$B$5,"",IF(COUNTIFS(Release_Calendar!$A$2:$A$755,"NZ_LABOUR",Release_Calendar!$B$2:$B$755,$A533)&gt;0,1,0))</f>
        <v/>
      </c>
      <c r="P533" s="16">
        <f t="shared" si="4"/>
        <v>0</v>
      </c>
    </row>
    <row r="534" ht="15.75" customHeight="1">
      <c r="A534" s="14">
        <v>37272.0</v>
      </c>
      <c r="B534" s="15">
        <v>2.84</v>
      </c>
      <c r="C534" s="15"/>
      <c r="D534" s="15">
        <v>4.57</v>
      </c>
      <c r="E534" s="15"/>
      <c r="F534" s="15" t="str">
        <f t="shared" si="1"/>
        <v/>
      </c>
      <c r="G534" s="15">
        <f t="shared" si="2"/>
        <v>4.57</v>
      </c>
      <c r="H534" s="16">
        <v>1.0</v>
      </c>
      <c r="I534" s="15">
        <f t="shared" si="3"/>
        <v>1.73</v>
      </c>
      <c r="J534" s="15">
        <v>23.45</v>
      </c>
      <c r="K534" s="16">
        <f>IF(COUNTIFS(Release_Calendar!$A$2:$A$755,"US_CPI",Release_Calendar!$B$2:$B$755,$A534)&gt;0,1,0)</f>
        <v>1</v>
      </c>
      <c r="L534" s="16">
        <f>IF(COUNTIFS(Release_Calendar!$A$2:$A$755,"US_NFP",Release_Calendar!$B$2:$B$755,$A534)&gt;0,1,0)</f>
        <v>0</v>
      </c>
      <c r="M534" s="16" t="str">
        <f>IF($A534&lt;Notes!$B$5,"",IF(COUNTIFS(Release_Calendar!$A$2:$A$755,"NZ_CPI",Release_Calendar!$B$2:$B$755,$A534)&gt;0,1,0))</f>
        <v/>
      </c>
      <c r="N534" s="16" t="str">
        <f>IF($A534&lt;Notes!$B$5,"",IF(COUNTIFS(Release_Calendar!$A$2:$A$755,"NZ_GDP",Release_Calendar!$B$2:$B$755,$A534)&gt;0,1,0))</f>
        <v/>
      </c>
      <c r="O534" s="16" t="str">
        <f>IF($A534&lt;Notes!$B$5,"",IF(COUNTIFS(Release_Calendar!$A$2:$A$755,"NZ_LABOUR",Release_Calendar!$B$2:$B$755,$A534)&gt;0,1,0))</f>
        <v/>
      </c>
      <c r="P534" s="16">
        <f t="shared" si="4"/>
        <v>1</v>
      </c>
    </row>
    <row r="535" ht="15.75" customHeight="1">
      <c r="A535" s="14">
        <v>37273.0</v>
      </c>
      <c r="B535" s="15">
        <v>2.96</v>
      </c>
      <c r="C535" s="15"/>
      <c r="D535" s="15">
        <v>4.56</v>
      </c>
      <c r="E535" s="15"/>
      <c r="F535" s="15" t="str">
        <f t="shared" si="1"/>
        <v/>
      </c>
      <c r="G535" s="15">
        <f t="shared" si="2"/>
        <v>4.56</v>
      </c>
      <c r="H535" s="16">
        <v>1.0</v>
      </c>
      <c r="I535" s="15">
        <f t="shared" si="3"/>
        <v>1.6</v>
      </c>
      <c r="J535" s="15">
        <v>22.25</v>
      </c>
      <c r="K535" s="16">
        <f>IF(COUNTIFS(Release_Calendar!$A$2:$A$755,"US_CPI",Release_Calendar!$B$2:$B$755,$A535)&gt;0,1,0)</f>
        <v>0</v>
      </c>
      <c r="L535" s="16">
        <f>IF(COUNTIFS(Release_Calendar!$A$2:$A$755,"US_NFP",Release_Calendar!$B$2:$B$755,$A535)&gt;0,1,0)</f>
        <v>0</v>
      </c>
      <c r="M535" s="16" t="str">
        <f>IF($A535&lt;Notes!$B$5,"",IF(COUNTIFS(Release_Calendar!$A$2:$A$755,"NZ_CPI",Release_Calendar!$B$2:$B$755,$A535)&gt;0,1,0))</f>
        <v/>
      </c>
      <c r="N535" s="16" t="str">
        <f>IF($A535&lt;Notes!$B$5,"",IF(COUNTIFS(Release_Calendar!$A$2:$A$755,"NZ_GDP",Release_Calendar!$B$2:$B$755,$A535)&gt;0,1,0))</f>
        <v/>
      </c>
      <c r="O535" s="16" t="str">
        <f>IF($A535&lt;Notes!$B$5,"",IF(COUNTIFS(Release_Calendar!$A$2:$A$755,"NZ_LABOUR",Release_Calendar!$B$2:$B$755,$A535)&gt;0,1,0))</f>
        <v/>
      </c>
      <c r="P535" s="16">
        <f t="shared" si="4"/>
        <v>0</v>
      </c>
    </row>
    <row r="536" ht="15.75" customHeight="1">
      <c r="A536" s="14">
        <v>37274.0</v>
      </c>
      <c r="B536" s="15">
        <v>2.91</v>
      </c>
      <c r="C536" s="15"/>
      <c r="D536" s="15">
        <v>4.61</v>
      </c>
      <c r="E536" s="15"/>
      <c r="F536" s="15" t="str">
        <f t="shared" si="1"/>
        <v/>
      </c>
      <c r="G536" s="15">
        <f t="shared" si="2"/>
        <v>4.61</v>
      </c>
      <c r="H536" s="16">
        <v>1.0</v>
      </c>
      <c r="I536" s="15">
        <f t="shared" si="3"/>
        <v>1.7</v>
      </c>
      <c r="J536" s="15">
        <v>22.52</v>
      </c>
      <c r="K536" s="16">
        <f>IF(COUNTIFS(Release_Calendar!$A$2:$A$755,"US_CPI",Release_Calendar!$B$2:$B$755,$A536)&gt;0,1,0)</f>
        <v>0</v>
      </c>
      <c r="L536" s="16">
        <f>IF(COUNTIFS(Release_Calendar!$A$2:$A$755,"US_NFP",Release_Calendar!$B$2:$B$755,$A536)&gt;0,1,0)</f>
        <v>0</v>
      </c>
      <c r="M536" s="16" t="str">
        <f>IF($A536&lt;Notes!$B$5,"",IF(COUNTIFS(Release_Calendar!$A$2:$A$755,"NZ_CPI",Release_Calendar!$B$2:$B$755,$A536)&gt;0,1,0))</f>
        <v/>
      </c>
      <c r="N536" s="16" t="str">
        <f>IF($A536&lt;Notes!$B$5,"",IF(COUNTIFS(Release_Calendar!$A$2:$A$755,"NZ_GDP",Release_Calendar!$B$2:$B$755,$A536)&gt;0,1,0))</f>
        <v/>
      </c>
      <c r="O536" s="16" t="str">
        <f>IF($A536&lt;Notes!$B$5,"",IF(COUNTIFS(Release_Calendar!$A$2:$A$755,"NZ_LABOUR",Release_Calendar!$B$2:$B$755,$A536)&gt;0,1,0))</f>
        <v/>
      </c>
      <c r="P536" s="16">
        <f t="shared" si="4"/>
        <v>0</v>
      </c>
    </row>
    <row r="537" ht="15.75" customHeight="1">
      <c r="A537" s="14">
        <v>37277.0</v>
      </c>
      <c r="B537" s="15"/>
      <c r="C537" s="15"/>
      <c r="D537" s="15">
        <v>4.59</v>
      </c>
      <c r="E537" s="15"/>
      <c r="F537" s="15" t="str">
        <f t="shared" si="1"/>
        <v/>
      </c>
      <c r="G537" s="15">
        <f t="shared" si="2"/>
        <v>4.59</v>
      </c>
      <c r="H537" s="16">
        <v>1.0</v>
      </c>
      <c r="I537" s="15" t="str">
        <f t="shared" si="3"/>
        <v/>
      </c>
      <c r="J537" s="15"/>
      <c r="K537" s="16">
        <f>IF(COUNTIFS(Release_Calendar!$A$2:$A$755,"US_CPI",Release_Calendar!$B$2:$B$755,$A537)&gt;0,1,0)</f>
        <v>0</v>
      </c>
      <c r="L537" s="16">
        <f>IF(COUNTIFS(Release_Calendar!$A$2:$A$755,"US_NFP",Release_Calendar!$B$2:$B$755,$A537)&gt;0,1,0)</f>
        <v>0</v>
      </c>
      <c r="M537" s="16" t="str">
        <f>IF($A537&lt;Notes!$B$5,"",IF(COUNTIFS(Release_Calendar!$A$2:$A$755,"NZ_CPI",Release_Calendar!$B$2:$B$755,$A537)&gt;0,1,0))</f>
        <v/>
      </c>
      <c r="N537" s="16" t="str">
        <f>IF($A537&lt;Notes!$B$5,"",IF(COUNTIFS(Release_Calendar!$A$2:$A$755,"NZ_GDP",Release_Calendar!$B$2:$B$755,$A537)&gt;0,1,0))</f>
        <v/>
      </c>
      <c r="O537" s="16" t="str">
        <f>IF($A537&lt;Notes!$B$5,"",IF(COUNTIFS(Release_Calendar!$A$2:$A$755,"NZ_LABOUR",Release_Calendar!$B$2:$B$755,$A537)&gt;0,1,0))</f>
        <v/>
      </c>
      <c r="P537" s="16">
        <f t="shared" si="4"/>
        <v>0</v>
      </c>
    </row>
    <row r="538" ht="15.75" customHeight="1">
      <c r="A538" s="14">
        <v>37278.0</v>
      </c>
      <c r="B538" s="15">
        <v>2.97</v>
      </c>
      <c r="C538" s="15"/>
      <c r="D538" s="15">
        <v>4.63</v>
      </c>
      <c r="E538" s="15"/>
      <c r="F538" s="15" t="str">
        <f t="shared" si="1"/>
        <v/>
      </c>
      <c r="G538" s="15">
        <f t="shared" si="2"/>
        <v>4.63</v>
      </c>
      <c r="H538" s="16">
        <v>1.0</v>
      </c>
      <c r="I538" s="15">
        <f t="shared" si="3"/>
        <v>1.66</v>
      </c>
      <c r="J538" s="15">
        <v>23.61</v>
      </c>
      <c r="K538" s="16">
        <f>IF(COUNTIFS(Release_Calendar!$A$2:$A$755,"US_CPI",Release_Calendar!$B$2:$B$755,$A538)&gt;0,1,0)</f>
        <v>0</v>
      </c>
      <c r="L538" s="16">
        <f>IF(COUNTIFS(Release_Calendar!$A$2:$A$755,"US_NFP",Release_Calendar!$B$2:$B$755,$A538)&gt;0,1,0)</f>
        <v>0</v>
      </c>
      <c r="M538" s="16" t="str">
        <f>IF($A538&lt;Notes!$B$5,"",IF(COUNTIFS(Release_Calendar!$A$2:$A$755,"NZ_CPI",Release_Calendar!$B$2:$B$755,$A538)&gt;0,1,0))</f>
        <v/>
      </c>
      <c r="N538" s="16" t="str">
        <f>IF($A538&lt;Notes!$B$5,"",IF(COUNTIFS(Release_Calendar!$A$2:$A$755,"NZ_GDP",Release_Calendar!$B$2:$B$755,$A538)&gt;0,1,0))</f>
        <v/>
      </c>
      <c r="O538" s="16" t="str">
        <f>IF($A538&lt;Notes!$B$5,"",IF(COUNTIFS(Release_Calendar!$A$2:$A$755,"NZ_LABOUR",Release_Calendar!$B$2:$B$755,$A538)&gt;0,1,0))</f>
        <v/>
      </c>
      <c r="P538" s="16">
        <f t="shared" si="4"/>
        <v>0</v>
      </c>
    </row>
    <row r="539" ht="15.75" customHeight="1">
      <c r="A539" s="14">
        <v>37279.0</v>
      </c>
      <c r="B539" s="15">
        <v>3.07</v>
      </c>
      <c r="C539" s="15"/>
      <c r="D539" s="15">
        <v>4.6</v>
      </c>
      <c r="E539" s="15"/>
      <c r="F539" s="15" t="str">
        <f t="shared" si="1"/>
        <v/>
      </c>
      <c r="G539" s="15">
        <f t="shared" si="2"/>
        <v>4.6</v>
      </c>
      <c r="H539" s="16">
        <v>1.0</v>
      </c>
      <c r="I539" s="15">
        <f t="shared" si="3"/>
        <v>1.53</v>
      </c>
      <c r="J539" s="15">
        <v>21.88</v>
      </c>
      <c r="K539" s="16">
        <f>IF(COUNTIFS(Release_Calendar!$A$2:$A$755,"US_CPI",Release_Calendar!$B$2:$B$755,$A539)&gt;0,1,0)</f>
        <v>0</v>
      </c>
      <c r="L539" s="16">
        <f>IF(COUNTIFS(Release_Calendar!$A$2:$A$755,"US_NFP",Release_Calendar!$B$2:$B$755,$A539)&gt;0,1,0)</f>
        <v>0</v>
      </c>
      <c r="M539" s="16" t="str">
        <f>IF($A539&lt;Notes!$B$5,"",IF(COUNTIFS(Release_Calendar!$A$2:$A$755,"NZ_CPI",Release_Calendar!$B$2:$B$755,$A539)&gt;0,1,0))</f>
        <v/>
      </c>
      <c r="N539" s="16" t="str">
        <f>IF($A539&lt;Notes!$B$5,"",IF(COUNTIFS(Release_Calendar!$A$2:$A$755,"NZ_GDP",Release_Calendar!$B$2:$B$755,$A539)&gt;0,1,0))</f>
        <v/>
      </c>
      <c r="O539" s="16" t="str">
        <f>IF($A539&lt;Notes!$B$5,"",IF(COUNTIFS(Release_Calendar!$A$2:$A$755,"NZ_LABOUR",Release_Calendar!$B$2:$B$755,$A539)&gt;0,1,0))</f>
        <v/>
      </c>
      <c r="P539" s="16">
        <f t="shared" si="4"/>
        <v>0</v>
      </c>
    </row>
    <row r="540" ht="15.75" customHeight="1">
      <c r="A540" s="14">
        <v>37280.0</v>
      </c>
      <c r="B540" s="15">
        <v>3.15</v>
      </c>
      <c r="C540" s="15"/>
      <c r="D540" s="15">
        <v>4.77</v>
      </c>
      <c r="E540" s="15"/>
      <c r="F540" s="15" t="str">
        <f t="shared" si="1"/>
        <v/>
      </c>
      <c r="G540" s="15">
        <f t="shared" si="2"/>
        <v>4.77</v>
      </c>
      <c r="H540" s="16">
        <v>1.0</v>
      </c>
      <c r="I540" s="15">
        <f t="shared" si="3"/>
        <v>1.62</v>
      </c>
      <c r="J540" s="15">
        <v>21.15</v>
      </c>
      <c r="K540" s="16">
        <f>IF(COUNTIFS(Release_Calendar!$A$2:$A$755,"US_CPI",Release_Calendar!$B$2:$B$755,$A540)&gt;0,1,0)</f>
        <v>0</v>
      </c>
      <c r="L540" s="16">
        <f>IF(COUNTIFS(Release_Calendar!$A$2:$A$755,"US_NFP",Release_Calendar!$B$2:$B$755,$A540)&gt;0,1,0)</f>
        <v>0</v>
      </c>
      <c r="M540" s="16" t="str">
        <f>IF($A540&lt;Notes!$B$5,"",IF(COUNTIFS(Release_Calendar!$A$2:$A$755,"NZ_CPI",Release_Calendar!$B$2:$B$755,$A540)&gt;0,1,0))</f>
        <v/>
      </c>
      <c r="N540" s="16" t="str">
        <f>IF($A540&lt;Notes!$B$5,"",IF(COUNTIFS(Release_Calendar!$A$2:$A$755,"NZ_GDP",Release_Calendar!$B$2:$B$755,$A540)&gt;0,1,0))</f>
        <v/>
      </c>
      <c r="O540" s="16" t="str">
        <f>IF($A540&lt;Notes!$B$5,"",IF(COUNTIFS(Release_Calendar!$A$2:$A$755,"NZ_LABOUR",Release_Calendar!$B$2:$B$755,$A540)&gt;0,1,0))</f>
        <v/>
      </c>
      <c r="P540" s="16">
        <f t="shared" si="4"/>
        <v>0</v>
      </c>
    </row>
    <row r="541" ht="15.75" customHeight="1">
      <c r="A541" s="14">
        <v>37281.0</v>
      </c>
      <c r="B541" s="15">
        <v>3.17</v>
      </c>
      <c r="C541" s="15"/>
      <c r="D541" s="15">
        <v>4.76</v>
      </c>
      <c r="E541" s="15"/>
      <c r="F541" s="15" t="str">
        <f t="shared" si="1"/>
        <v/>
      </c>
      <c r="G541" s="15">
        <f t="shared" si="2"/>
        <v>4.76</v>
      </c>
      <c r="H541" s="16">
        <v>1.0</v>
      </c>
      <c r="I541" s="15">
        <f t="shared" si="3"/>
        <v>1.59</v>
      </c>
      <c r="J541" s="15">
        <v>21.01</v>
      </c>
      <c r="K541" s="16">
        <f>IF(COUNTIFS(Release_Calendar!$A$2:$A$755,"US_CPI",Release_Calendar!$B$2:$B$755,$A541)&gt;0,1,0)</f>
        <v>0</v>
      </c>
      <c r="L541" s="16">
        <f>IF(COUNTIFS(Release_Calendar!$A$2:$A$755,"US_NFP",Release_Calendar!$B$2:$B$755,$A541)&gt;0,1,0)</f>
        <v>0</v>
      </c>
      <c r="M541" s="16" t="str">
        <f>IF($A541&lt;Notes!$B$5,"",IF(COUNTIFS(Release_Calendar!$A$2:$A$755,"NZ_CPI",Release_Calendar!$B$2:$B$755,$A541)&gt;0,1,0))</f>
        <v/>
      </c>
      <c r="N541" s="16" t="str">
        <f>IF($A541&lt;Notes!$B$5,"",IF(COUNTIFS(Release_Calendar!$A$2:$A$755,"NZ_GDP",Release_Calendar!$B$2:$B$755,$A541)&gt;0,1,0))</f>
        <v/>
      </c>
      <c r="O541" s="16" t="str">
        <f>IF($A541&lt;Notes!$B$5,"",IF(COUNTIFS(Release_Calendar!$A$2:$A$755,"NZ_LABOUR",Release_Calendar!$B$2:$B$755,$A541)&gt;0,1,0))</f>
        <v/>
      </c>
      <c r="P541" s="16">
        <f t="shared" si="4"/>
        <v>0</v>
      </c>
    </row>
    <row r="542" ht="15.75" customHeight="1">
      <c r="A542" s="14">
        <v>37284.0</v>
      </c>
      <c r="B542" s="15">
        <v>3.19</v>
      </c>
      <c r="C542" s="15"/>
      <c r="D542" s="15">
        <v>4.69</v>
      </c>
      <c r="E542" s="15"/>
      <c r="F542" s="15" t="str">
        <f t="shared" si="1"/>
        <v/>
      </c>
      <c r="G542" s="15">
        <f t="shared" si="2"/>
        <v>4.69</v>
      </c>
      <c r="H542" s="16">
        <v>1.0</v>
      </c>
      <c r="I542" s="15">
        <f t="shared" si="3"/>
        <v>1.5</v>
      </c>
      <c r="J542" s="15">
        <v>21.14</v>
      </c>
      <c r="K542" s="16">
        <f>IF(COUNTIFS(Release_Calendar!$A$2:$A$755,"US_CPI",Release_Calendar!$B$2:$B$755,$A542)&gt;0,1,0)</f>
        <v>0</v>
      </c>
      <c r="L542" s="16">
        <f>IF(COUNTIFS(Release_Calendar!$A$2:$A$755,"US_NFP",Release_Calendar!$B$2:$B$755,$A542)&gt;0,1,0)</f>
        <v>0</v>
      </c>
      <c r="M542" s="16" t="str">
        <f>IF($A542&lt;Notes!$B$5,"",IF(COUNTIFS(Release_Calendar!$A$2:$A$755,"NZ_CPI",Release_Calendar!$B$2:$B$755,$A542)&gt;0,1,0))</f>
        <v/>
      </c>
      <c r="N542" s="16" t="str">
        <f>IF($A542&lt;Notes!$B$5,"",IF(COUNTIFS(Release_Calendar!$A$2:$A$755,"NZ_GDP",Release_Calendar!$B$2:$B$755,$A542)&gt;0,1,0))</f>
        <v/>
      </c>
      <c r="O542" s="16" t="str">
        <f>IF($A542&lt;Notes!$B$5,"",IF(COUNTIFS(Release_Calendar!$A$2:$A$755,"NZ_LABOUR",Release_Calendar!$B$2:$B$755,$A542)&gt;0,1,0))</f>
        <v/>
      </c>
      <c r="P542" s="16">
        <f t="shared" si="4"/>
        <v>0</v>
      </c>
    </row>
    <row r="543" ht="15.75" customHeight="1">
      <c r="A543" s="14">
        <v>37285.0</v>
      </c>
      <c r="B543" s="15">
        <v>3.05</v>
      </c>
      <c r="C543" s="15"/>
      <c r="D543" s="15">
        <v>4.72</v>
      </c>
      <c r="E543" s="15"/>
      <c r="F543" s="15" t="str">
        <f t="shared" si="1"/>
        <v/>
      </c>
      <c r="G543" s="15">
        <f t="shared" si="2"/>
        <v>4.72</v>
      </c>
      <c r="H543" s="16">
        <v>1.0</v>
      </c>
      <c r="I543" s="15">
        <f t="shared" si="3"/>
        <v>1.67</v>
      </c>
      <c r="J543" s="15">
        <v>24.35</v>
      </c>
      <c r="K543" s="16">
        <f>IF(COUNTIFS(Release_Calendar!$A$2:$A$755,"US_CPI",Release_Calendar!$B$2:$B$755,$A543)&gt;0,1,0)</f>
        <v>0</v>
      </c>
      <c r="L543" s="16">
        <f>IF(COUNTIFS(Release_Calendar!$A$2:$A$755,"US_NFP",Release_Calendar!$B$2:$B$755,$A543)&gt;0,1,0)</f>
        <v>0</v>
      </c>
      <c r="M543" s="16" t="str">
        <f>IF($A543&lt;Notes!$B$5,"",IF(COUNTIFS(Release_Calendar!$A$2:$A$755,"NZ_CPI",Release_Calendar!$B$2:$B$755,$A543)&gt;0,1,0))</f>
        <v/>
      </c>
      <c r="N543" s="16" t="str">
        <f>IF($A543&lt;Notes!$B$5,"",IF(COUNTIFS(Release_Calendar!$A$2:$A$755,"NZ_GDP",Release_Calendar!$B$2:$B$755,$A543)&gt;0,1,0))</f>
        <v/>
      </c>
      <c r="O543" s="16" t="str">
        <f>IF($A543&lt;Notes!$B$5,"",IF(COUNTIFS(Release_Calendar!$A$2:$A$755,"NZ_LABOUR",Release_Calendar!$B$2:$B$755,$A543)&gt;0,1,0))</f>
        <v/>
      </c>
      <c r="P543" s="16">
        <f t="shared" si="4"/>
        <v>0</v>
      </c>
    </row>
    <row r="544" ht="15.75" customHeight="1">
      <c r="A544" s="14">
        <v>37286.0</v>
      </c>
      <c r="B544" s="15">
        <v>3.06</v>
      </c>
      <c r="C544" s="15"/>
      <c r="D544" s="15">
        <v>4.66</v>
      </c>
      <c r="E544" s="15"/>
      <c r="F544" s="15" t="str">
        <f t="shared" si="1"/>
        <v/>
      </c>
      <c r="G544" s="15">
        <f t="shared" si="2"/>
        <v>4.66</v>
      </c>
      <c r="H544" s="16">
        <v>1.0</v>
      </c>
      <c r="I544" s="15">
        <f t="shared" si="3"/>
        <v>1.6</v>
      </c>
      <c r="J544" s="15">
        <v>23.22</v>
      </c>
      <c r="K544" s="16">
        <f>IF(COUNTIFS(Release_Calendar!$A$2:$A$755,"US_CPI",Release_Calendar!$B$2:$B$755,$A544)&gt;0,1,0)</f>
        <v>0</v>
      </c>
      <c r="L544" s="16">
        <f>IF(COUNTIFS(Release_Calendar!$A$2:$A$755,"US_NFP",Release_Calendar!$B$2:$B$755,$A544)&gt;0,1,0)</f>
        <v>0</v>
      </c>
      <c r="M544" s="16" t="str">
        <f>IF($A544&lt;Notes!$B$5,"",IF(COUNTIFS(Release_Calendar!$A$2:$A$755,"NZ_CPI",Release_Calendar!$B$2:$B$755,$A544)&gt;0,1,0))</f>
        <v/>
      </c>
      <c r="N544" s="16" t="str">
        <f>IF($A544&lt;Notes!$B$5,"",IF(COUNTIFS(Release_Calendar!$A$2:$A$755,"NZ_GDP",Release_Calendar!$B$2:$B$755,$A544)&gt;0,1,0))</f>
        <v/>
      </c>
      <c r="O544" s="16" t="str">
        <f>IF($A544&lt;Notes!$B$5,"",IF(COUNTIFS(Release_Calendar!$A$2:$A$755,"NZ_LABOUR",Release_Calendar!$B$2:$B$755,$A544)&gt;0,1,0))</f>
        <v/>
      </c>
      <c r="P544" s="16">
        <f t="shared" si="4"/>
        <v>0</v>
      </c>
    </row>
    <row r="545" ht="15.75" customHeight="1">
      <c r="A545" s="14">
        <v>37287.0</v>
      </c>
      <c r="B545" s="15">
        <v>3.16</v>
      </c>
      <c r="C545" s="15"/>
      <c r="D545" s="15">
        <v>4.65</v>
      </c>
      <c r="E545" s="15"/>
      <c r="F545" s="15" t="str">
        <f t="shared" si="1"/>
        <v/>
      </c>
      <c r="G545" s="15">
        <f t="shared" si="2"/>
        <v>4.65</v>
      </c>
      <c r="H545" s="16">
        <v>1.0</v>
      </c>
      <c r="I545" s="15">
        <f t="shared" si="3"/>
        <v>1.49</v>
      </c>
      <c r="J545" s="15">
        <v>21.09</v>
      </c>
      <c r="K545" s="16">
        <f>IF(COUNTIFS(Release_Calendar!$A$2:$A$755,"US_CPI",Release_Calendar!$B$2:$B$755,$A545)&gt;0,1,0)</f>
        <v>0</v>
      </c>
      <c r="L545" s="16">
        <f>IF(COUNTIFS(Release_Calendar!$A$2:$A$755,"US_NFP",Release_Calendar!$B$2:$B$755,$A545)&gt;0,1,0)</f>
        <v>0</v>
      </c>
      <c r="M545" s="16" t="str">
        <f>IF($A545&lt;Notes!$B$5,"",IF(COUNTIFS(Release_Calendar!$A$2:$A$755,"NZ_CPI",Release_Calendar!$B$2:$B$755,$A545)&gt;0,1,0))</f>
        <v/>
      </c>
      <c r="N545" s="16" t="str">
        <f>IF($A545&lt;Notes!$B$5,"",IF(COUNTIFS(Release_Calendar!$A$2:$A$755,"NZ_GDP",Release_Calendar!$B$2:$B$755,$A545)&gt;0,1,0))</f>
        <v/>
      </c>
      <c r="O545" s="16" t="str">
        <f>IF($A545&lt;Notes!$B$5,"",IF(COUNTIFS(Release_Calendar!$A$2:$A$755,"NZ_LABOUR",Release_Calendar!$B$2:$B$755,$A545)&gt;0,1,0))</f>
        <v/>
      </c>
      <c r="P545" s="16">
        <f t="shared" si="4"/>
        <v>0</v>
      </c>
    </row>
    <row r="546" ht="15.75" customHeight="1">
      <c r="A546" s="14">
        <v>37288.0</v>
      </c>
      <c r="B546" s="15">
        <v>3.08</v>
      </c>
      <c r="C546" s="15"/>
      <c r="D546" s="15">
        <v>4.58</v>
      </c>
      <c r="E546" s="15"/>
      <c r="F546" s="15" t="str">
        <f t="shared" si="1"/>
        <v/>
      </c>
      <c r="G546" s="15">
        <f t="shared" si="2"/>
        <v>4.58</v>
      </c>
      <c r="H546" s="16">
        <v>1.0</v>
      </c>
      <c r="I546" s="15">
        <f t="shared" si="3"/>
        <v>1.5</v>
      </c>
      <c r="J546" s="15">
        <v>21.12</v>
      </c>
      <c r="K546" s="16">
        <f>IF(COUNTIFS(Release_Calendar!$A$2:$A$755,"US_CPI",Release_Calendar!$B$2:$B$755,$A546)&gt;0,1,0)</f>
        <v>0</v>
      </c>
      <c r="L546" s="16">
        <f>IF(COUNTIFS(Release_Calendar!$A$2:$A$755,"US_NFP",Release_Calendar!$B$2:$B$755,$A546)&gt;0,1,0)</f>
        <v>1</v>
      </c>
      <c r="M546" s="16" t="str">
        <f>IF($A546&lt;Notes!$B$5,"",IF(COUNTIFS(Release_Calendar!$A$2:$A$755,"NZ_CPI",Release_Calendar!$B$2:$B$755,$A546)&gt;0,1,0))</f>
        <v/>
      </c>
      <c r="N546" s="16" t="str">
        <f>IF($A546&lt;Notes!$B$5,"",IF(COUNTIFS(Release_Calendar!$A$2:$A$755,"NZ_GDP",Release_Calendar!$B$2:$B$755,$A546)&gt;0,1,0))</f>
        <v/>
      </c>
      <c r="O546" s="16" t="str">
        <f>IF($A546&lt;Notes!$B$5,"",IF(COUNTIFS(Release_Calendar!$A$2:$A$755,"NZ_LABOUR",Release_Calendar!$B$2:$B$755,$A546)&gt;0,1,0))</f>
        <v/>
      </c>
      <c r="P546" s="16">
        <f t="shared" si="4"/>
        <v>1</v>
      </c>
    </row>
    <row r="547" ht="15.75" customHeight="1">
      <c r="A547" s="14">
        <v>37291.0</v>
      </c>
      <c r="B547" s="15">
        <v>2.99</v>
      </c>
      <c r="C547" s="15"/>
      <c r="D547" s="15">
        <v>5.84</v>
      </c>
      <c r="E547" s="15"/>
      <c r="F547" s="15" t="str">
        <f t="shared" si="1"/>
        <v/>
      </c>
      <c r="G547" s="15">
        <f t="shared" si="2"/>
        <v>5.84</v>
      </c>
      <c r="H547" s="16">
        <v>1.0</v>
      </c>
      <c r="I547" s="15">
        <f t="shared" si="3"/>
        <v>2.85</v>
      </c>
      <c r="J547" s="15">
        <v>24.87</v>
      </c>
      <c r="K547" s="16">
        <f>IF(COUNTIFS(Release_Calendar!$A$2:$A$755,"US_CPI",Release_Calendar!$B$2:$B$755,$A547)&gt;0,1,0)</f>
        <v>0</v>
      </c>
      <c r="L547" s="16">
        <f>IF(COUNTIFS(Release_Calendar!$A$2:$A$755,"US_NFP",Release_Calendar!$B$2:$B$755,$A547)&gt;0,1,0)</f>
        <v>0</v>
      </c>
      <c r="M547" s="16" t="str">
        <f>IF($A547&lt;Notes!$B$5,"",IF(COUNTIFS(Release_Calendar!$A$2:$A$755,"NZ_CPI",Release_Calendar!$B$2:$B$755,$A547)&gt;0,1,0))</f>
        <v/>
      </c>
      <c r="N547" s="16" t="str">
        <f>IF($A547&lt;Notes!$B$5,"",IF(COUNTIFS(Release_Calendar!$A$2:$A$755,"NZ_GDP",Release_Calendar!$B$2:$B$755,$A547)&gt;0,1,0))</f>
        <v/>
      </c>
      <c r="O547" s="16" t="str">
        <f>IF($A547&lt;Notes!$B$5,"",IF(COUNTIFS(Release_Calendar!$A$2:$A$755,"NZ_LABOUR",Release_Calendar!$B$2:$B$755,$A547)&gt;0,1,0))</f>
        <v/>
      </c>
      <c r="P547" s="16">
        <f t="shared" si="4"/>
        <v>0</v>
      </c>
    </row>
    <row r="548" ht="15.75" customHeight="1">
      <c r="A548" s="14">
        <v>37292.0</v>
      </c>
      <c r="B548" s="15">
        <v>2.99</v>
      </c>
      <c r="C548" s="15"/>
      <c r="D548" s="15">
        <v>5.78</v>
      </c>
      <c r="E548" s="15"/>
      <c r="F548" s="15" t="str">
        <f t="shared" si="1"/>
        <v/>
      </c>
      <c r="G548" s="15">
        <f t="shared" si="2"/>
        <v>5.78</v>
      </c>
      <c r="H548" s="16">
        <v>1.0</v>
      </c>
      <c r="I548" s="15">
        <f t="shared" si="3"/>
        <v>2.79</v>
      </c>
      <c r="J548" s="15">
        <v>25.45</v>
      </c>
      <c r="K548" s="16">
        <f>IF(COUNTIFS(Release_Calendar!$A$2:$A$755,"US_CPI",Release_Calendar!$B$2:$B$755,$A548)&gt;0,1,0)</f>
        <v>0</v>
      </c>
      <c r="L548" s="16">
        <f>IF(COUNTIFS(Release_Calendar!$A$2:$A$755,"US_NFP",Release_Calendar!$B$2:$B$755,$A548)&gt;0,1,0)</f>
        <v>0</v>
      </c>
      <c r="M548" s="16" t="str">
        <f>IF($A548&lt;Notes!$B$5,"",IF(COUNTIFS(Release_Calendar!$A$2:$A$755,"NZ_CPI",Release_Calendar!$B$2:$B$755,$A548)&gt;0,1,0))</f>
        <v/>
      </c>
      <c r="N548" s="16" t="str">
        <f>IF($A548&lt;Notes!$B$5,"",IF(COUNTIFS(Release_Calendar!$A$2:$A$755,"NZ_GDP",Release_Calendar!$B$2:$B$755,$A548)&gt;0,1,0))</f>
        <v/>
      </c>
      <c r="O548" s="16" t="str">
        <f>IF($A548&lt;Notes!$B$5,"",IF(COUNTIFS(Release_Calendar!$A$2:$A$755,"NZ_LABOUR",Release_Calendar!$B$2:$B$755,$A548)&gt;0,1,0))</f>
        <v/>
      </c>
      <c r="P548" s="16">
        <f t="shared" si="4"/>
        <v>0</v>
      </c>
    </row>
    <row r="549" ht="15.75" customHeight="1">
      <c r="A549" s="14">
        <v>37293.0</v>
      </c>
      <c r="B549" s="15">
        <v>2.98</v>
      </c>
      <c r="C549" s="15"/>
      <c r="D549" s="15"/>
      <c r="E549" s="15"/>
      <c r="F549" s="15" t="str">
        <f t="shared" si="1"/>
        <v/>
      </c>
      <c r="G549" s="15" t="str">
        <f t="shared" si="2"/>
        <v/>
      </c>
      <c r="H549" s="16">
        <v>1.0</v>
      </c>
      <c r="I549" s="15" t="str">
        <f t="shared" si="3"/>
        <v/>
      </c>
      <c r="J549" s="15">
        <v>26.09</v>
      </c>
      <c r="K549" s="16">
        <f>IF(COUNTIFS(Release_Calendar!$A$2:$A$755,"US_CPI",Release_Calendar!$B$2:$B$755,$A549)&gt;0,1,0)</f>
        <v>0</v>
      </c>
      <c r="L549" s="16">
        <f>IF(COUNTIFS(Release_Calendar!$A$2:$A$755,"US_NFP",Release_Calendar!$B$2:$B$755,$A549)&gt;0,1,0)</f>
        <v>0</v>
      </c>
      <c r="M549" s="16" t="str">
        <f>IF($A549&lt;Notes!$B$5,"",IF(COUNTIFS(Release_Calendar!$A$2:$A$755,"NZ_CPI",Release_Calendar!$B$2:$B$755,$A549)&gt;0,1,0))</f>
        <v/>
      </c>
      <c r="N549" s="16" t="str">
        <f>IF($A549&lt;Notes!$B$5,"",IF(COUNTIFS(Release_Calendar!$A$2:$A$755,"NZ_GDP",Release_Calendar!$B$2:$B$755,$A549)&gt;0,1,0))</f>
        <v/>
      </c>
      <c r="O549" s="16" t="str">
        <f>IF($A549&lt;Notes!$B$5,"",IF(COUNTIFS(Release_Calendar!$A$2:$A$755,"NZ_LABOUR",Release_Calendar!$B$2:$B$755,$A549)&gt;0,1,0))</f>
        <v/>
      </c>
      <c r="P549" s="16">
        <f t="shared" si="4"/>
        <v>0</v>
      </c>
    </row>
    <row r="550" ht="15.75" customHeight="1">
      <c r="A550" s="14">
        <v>37294.0</v>
      </c>
      <c r="B550" s="15">
        <v>2.99</v>
      </c>
      <c r="C550" s="15"/>
      <c r="D550" s="15">
        <v>5.78</v>
      </c>
      <c r="E550" s="15"/>
      <c r="F550" s="15" t="str">
        <f t="shared" si="1"/>
        <v/>
      </c>
      <c r="G550" s="15">
        <f t="shared" si="2"/>
        <v>5.78</v>
      </c>
      <c r="H550" s="16">
        <v>1.0</v>
      </c>
      <c r="I550" s="15">
        <f t="shared" si="3"/>
        <v>2.79</v>
      </c>
      <c r="J550" s="15">
        <v>25.11</v>
      </c>
      <c r="K550" s="16">
        <f>IF(COUNTIFS(Release_Calendar!$A$2:$A$755,"US_CPI",Release_Calendar!$B$2:$B$755,$A550)&gt;0,1,0)</f>
        <v>0</v>
      </c>
      <c r="L550" s="16">
        <f>IF(COUNTIFS(Release_Calendar!$A$2:$A$755,"US_NFP",Release_Calendar!$B$2:$B$755,$A550)&gt;0,1,0)</f>
        <v>0</v>
      </c>
      <c r="M550" s="16" t="str">
        <f>IF($A550&lt;Notes!$B$5,"",IF(COUNTIFS(Release_Calendar!$A$2:$A$755,"NZ_CPI",Release_Calendar!$B$2:$B$755,$A550)&gt;0,1,0))</f>
        <v/>
      </c>
      <c r="N550" s="16" t="str">
        <f>IF($A550&lt;Notes!$B$5,"",IF(COUNTIFS(Release_Calendar!$A$2:$A$755,"NZ_GDP",Release_Calendar!$B$2:$B$755,$A550)&gt;0,1,0))</f>
        <v/>
      </c>
      <c r="O550" s="16" t="str">
        <f>IF($A550&lt;Notes!$B$5,"",IF(COUNTIFS(Release_Calendar!$A$2:$A$755,"NZ_LABOUR",Release_Calendar!$B$2:$B$755,$A550)&gt;0,1,0))</f>
        <v/>
      </c>
      <c r="P550" s="16">
        <f t="shared" si="4"/>
        <v>0</v>
      </c>
    </row>
    <row r="551" ht="15.75" customHeight="1">
      <c r="A551" s="14">
        <v>37295.0</v>
      </c>
      <c r="B551" s="15">
        <v>2.95</v>
      </c>
      <c r="C551" s="15"/>
      <c r="D551" s="15">
        <v>5.78</v>
      </c>
      <c r="E551" s="15"/>
      <c r="F551" s="15" t="str">
        <f t="shared" si="1"/>
        <v/>
      </c>
      <c r="G551" s="15">
        <f t="shared" si="2"/>
        <v>5.78</v>
      </c>
      <c r="H551" s="16">
        <v>1.0</v>
      </c>
      <c r="I551" s="15">
        <f t="shared" si="3"/>
        <v>2.83</v>
      </c>
      <c r="J551" s="15">
        <v>23.26</v>
      </c>
      <c r="K551" s="16">
        <f>IF(COUNTIFS(Release_Calendar!$A$2:$A$755,"US_CPI",Release_Calendar!$B$2:$B$755,$A551)&gt;0,1,0)</f>
        <v>0</v>
      </c>
      <c r="L551" s="16">
        <f>IF(COUNTIFS(Release_Calendar!$A$2:$A$755,"US_NFP",Release_Calendar!$B$2:$B$755,$A551)&gt;0,1,0)</f>
        <v>0</v>
      </c>
      <c r="M551" s="16" t="str">
        <f>IF($A551&lt;Notes!$B$5,"",IF(COUNTIFS(Release_Calendar!$A$2:$A$755,"NZ_CPI",Release_Calendar!$B$2:$B$755,$A551)&gt;0,1,0))</f>
        <v/>
      </c>
      <c r="N551" s="16" t="str">
        <f>IF($A551&lt;Notes!$B$5,"",IF(COUNTIFS(Release_Calendar!$A$2:$A$755,"NZ_GDP",Release_Calendar!$B$2:$B$755,$A551)&gt;0,1,0))</f>
        <v/>
      </c>
      <c r="O551" s="16" t="str">
        <f>IF($A551&lt;Notes!$B$5,"",IF(COUNTIFS(Release_Calendar!$A$2:$A$755,"NZ_LABOUR",Release_Calendar!$B$2:$B$755,$A551)&gt;0,1,0))</f>
        <v/>
      </c>
      <c r="P551" s="16">
        <f t="shared" si="4"/>
        <v>0</v>
      </c>
    </row>
    <row r="552" ht="15.75" customHeight="1">
      <c r="A552" s="14">
        <v>37298.0</v>
      </c>
      <c r="B552" s="15">
        <v>2.95</v>
      </c>
      <c r="C552" s="15"/>
      <c r="D552" s="15">
        <v>5.77</v>
      </c>
      <c r="E552" s="15"/>
      <c r="F552" s="15" t="str">
        <f t="shared" si="1"/>
        <v/>
      </c>
      <c r="G552" s="15">
        <f t="shared" si="2"/>
        <v>5.77</v>
      </c>
      <c r="H552" s="16">
        <v>1.0</v>
      </c>
      <c r="I552" s="15">
        <f t="shared" si="3"/>
        <v>2.82</v>
      </c>
      <c r="J552" s="15">
        <v>21.78</v>
      </c>
      <c r="K552" s="16">
        <f>IF(COUNTIFS(Release_Calendar!$A$2:$A$755,"US_CPI",Release_Calendar!$B$2:$B$755,$A552)&gt;0,1,0)</f>
        <v>0</v>
      </c>
      <c r="L552" s="16">
        <f>IF(COUNTIFS(Release_Calendar!$A$2:$A$755,"US_NFP",Release_Calendar!$B$2:$B$755,$A552)&gt;0,1,0)</f>
        <v>0</v>
      </c>
      <c r="M552" s="16" t="str">
        <f>IF($A552&lt;Notes!$B$5,"",IF(COUNTIFS(Release_Calendar!$A$2:$A$755,"NZ_CPI",Release_Calendar!$B$2:$B$755,$A552)&gt;0,1,0))</f>
        <v/>
      </c>
      <c r="N552" s="16" t="str">
        <f>IF($A552&lt;Notes!$B$5,"",IF(COUNTIFS(Release_Calendar!$A$2:$A$755,"NZ_GDP",Release_Calendar!$B$2:$B$755,$A552)&gt;0,1,0))</f>
        <v/>
      </c>
      <c r="O552" s="16" t="str">
        <f>IF($A552&lt;Notes!$B$5,"",IF(COUNTIFS(Release_Calendar!$A$2:$A$755,"NZ_LABOUR",Release_Calendar!$B$2:$B$755,$A552)&gt;0,1,0))</f>
        <v/>
      </c>
      <c r="P552" s="16">
        <f t="shared" si="4"/>
        <v>0</v>
      </c>
    </row>
    <row r="553" ht="15.75" customHeight="1">
      <c r="A553" s="14">
        <v>37299.0</v>
      </c>
      <c r="B553" s="15">
        <v>3.04</v>
      </c>
      <c r="C553" s="15"/>
      <c r="D553" s="15">
        <v>5.84</v>
      </c>
      <c r="E553" s="15"/>
      <c r="F553" s="15" t="str">
        <f t="shared" si="1"/>
        <v/>
      </c>
      <c r="G553" s="15">
        <f t="shared" si="2"/>
        <v>5.84</v>
      </c>
      <c r="H553" s="16">
        <v>1.0</v>
      </c>
      <c r="I553" s="15">
        <f t="shared" si="3"/>
        <v>2.8</v>
      </c>
      <c r="J553" s="15">
        <v>21.62</v>
      </c>
      <c r="K553" s="16">
        <f>IF(COUNTIFS(Release_Calendar!$A$2:$A$755,"US_CPI",Release_Calendar!$B$2:$B$755,$A553)&gt;0,1,0)</f>
        <v>0</v>
      </c>
      <c r="L553" s="16">
        <f>IF(COUNTIFS(Release_Calendar!$A$2:$A$755,"US_NFP",Release_Calendar!$B$2:$B$755,$A553)&gt;0,1,0)</f>
        <v>0</v>
      </c>
      <c r="M553" s="16" t="str">
        <f>IF($A553&lt;Notes!$B$5,"",IF(COUNTIFS(Release_Calendar!$A$2:$A$755,"NZ_CPI",Release_Calendar!$B$2:$B$755,$A553)&gt;0,1,0))</f>
        <v/>
      </c>
      <c r="N553" s="16" t="str">
        <f>IF($A553&lt;Notes!$B$5,"",IF(COUNTIFS(Release_Calendar!$A$2:$A$755,"NZ_GDP",Release_Calendar!$B$2:$B$755,$A553)&gt;0,1,0))</f>
        <v/>
      </c>
      <c r="O553" s="16" t="str">
        <f>IF($A553&lt;Notes!$B$5,"",IF(COUNTIFS(Release_Calendar!$A$2:$A$755,"NZ_LABOUR",Release_Calendar!$B$2:$B$755,$A553)&gt;0,1,0))</f>
        <v/>
      </c>
      <c r="P553" s="16">
        <f t="shared" si="4"/>
        <v>0</v>
      </c>
    </row>
    <row r="554" ht="15.75" customHeight="1">
      <c r="A554" s="14">
        <v>37300.0</v>
      </c>
      <c r="B554" s="15">
        <v>3.09</v>
      </c>
      <c r="C554" s="15"/>
      <c r="D554" s="15">
        <v>5.87</v>
      </c>
      <c r="E554" s="15"/>
      <c r="F554" s="15" t="str">
        <f t="shared" si="1"/>
        <v/>
      </c>
      <c r="G554" s="15">
        <f t="shared" si="2"/>
        <v>5.87</v>
      </c>
      <c r="H554" s="16">
        <v>1.0</v>
      </c>
      <c r="I554" s="15">
        <f t="shared" si="3"/>
        <v>2.78</v>
      </c>
      <c r="J554" s="15">
        <v>20.85</v>
      </c>
      <c r="K554" s="16">
        <f>IF(COUNTIFS(Release_Calendar!$A$2:$A$755,"US_CPI",Release_Calendar!$B$2:$B$755,$A554)&gt;0,1,0)</f>
        <v>0</v>
      </c>
      <c r="L554" s="16">
        <f>IF(COUNTIFS(Release_Calendar!$A$2:$A$755,"US_NFP",Release_Calendar!$B$2:$B$755,$A554)&gt;0,1,0)</f>
        <v>0</v>
      </c>
      <c r="M554" s="16" t="str">
        <f>IF($A554&lt;Notes!$B$5,"",IF(COUNTIFS(Release_Calendar!$A$2:$A$755,"NZ_CPI",Release_Calendar!$B$2:$B$755,$A554)&gt;0,1,0))</f>
        <v/>
      </c>
      <c r="N554" s="16" t="str">
        <f>IF($A554&lt;Notes!$B$5,"",IF(COUNTIFS(Release_Calendar!$A$2:$A$755,"NZ_GDP",Release_Calendar!$B$2:$B$755,$A554)&gt;0,1,0))</f>
        <v/>
      </c>
      <c r="O554" s="16" t="str">
        <f>IF($A554&lt;Notes!$B$5,"",IF(COUNTIFS(Release_Calendar!$A$2:$A$755,"NZ_LABOUR",Release_Calendar!$B$2:$B$755,$A554)&gt;0,1,0))</f>
        <v/>
      </c>
      <c r="P554" s="16">
        <f t="shared" si="4"/>
        <v>0</v>
      </c>
    </row>
    <row r="555" ht="15.75" customHeight="1">
      <c r="A555" s="14">
        <v>37301.0</v>
      </c>
      <c r="B555" s="15">
        <v>3.07</v>
      </c>
      <c r="C555" s="15"/>
      <c r="D555" s="15">
        <v>5.87</v>
      </c>
      <c r="E555" s="15"/>
      <c r="F555" s="15" t="str">
        <f t="shared" si="1"/>
        <v/>
      </c>
      <c r="G555" s="15">
        <f t="shared" si="2"/>
        <v>5.87</v>
      </c>
      <c r="H555" s="16">
        <v>1.0</v>
      </c>
      <c r="I555" s="15">
        <f t="shared" si="3"/>
        <v>2.8</v>
      </c>
      <c r="J555" s="15">
        <v>21.77</v>
      </c>
      <c r="K555" s="16">
        <f>IF(COUNTIFS(Release_Calendar!$A$2:$A$755,"US_CPI",Release_Calendar!$B$2:$B$755,$A555)&gt;0,1,0)</f>
        <v>0</v>
      </c>
      <c r="L555" s="16">
        <f>IF(COUNTIFS(Release_Calendar!$A$2:$A$755,"US_NFP",Release_Calendar!$B$2:$B$755,$A555)&gt;0,1,0)</f>
        <v>0</v>
      </c>
      <c r="M555" s="16" t="str">
        <f>IF($A555&lt;Notes!$B$5,"",IF(COUNTIFS(Release_Calendar!$A$2:$A$755,"NZ_CPI",Release_Calendar!$B$2:$B$755,$A555)&gt;0,1,0))</f>
        <v/>
      </c>
      <c r="N555" s="16" t="str">
        <f>IF($A555&lt;Notes!$B$5,"",IF(COUNTIFS(Release_Calendar!$A$2:$A$755,"NZ_GDP",Release_Calendar!$B$2:$B$755,$A555)&gt;0,1,0))</f>
        <v/>
      </c>
      <c r="O555" s="16" t="str">
        <f>IF($A555&lt;Notes!$B$5,"",IF(COUNTIFS(Release_Calendar!$A$2:$A$755,"NZ_LABOUR",Release_Calendar!$B$2:$B$755,$A555)&gt;0,1,0))</f>
        <v/>
      </c>
      <c r="P555" s="16">
        <f t="shared" si="4"/>
        <v>0</v>
      </c>
    </row>
    <row r="556" ht="15.75" customHeight="1">
      <c r="A556" s="14">
        <v>37302.0</v>
      </c>
      <c r="B556" s="15">
        <v>2.97</v>
      </c>
      <c r="C556" s="15"/>
      <c r="D556" s="15">
        <v>5.85</v>
      </c>
      <c r="E556" s="15"/>
      <c r="F556" s="15" t="str">
        <f t="shared" si="1"/>
        <v/>
      </c>
      <c r="G556" s="15">
        <f t="shared" si="2"/>
        <v>5.85</v>
      </c>
      <c r="H556" s="16">
        <v>1.0</v>
      </c>
      <c r="I556" s="15">
        <f t="shared" si="3"/>
        <v>2.88</v>
      </c>
      <c r="J556" s="15">
        <v>22.37</v>
      </c>
      <c r="K556" s="16">
        <f>IF(COUNTIFS(Release_Calendar!$A$2:$A$755,"US_CPI",Release_Calendar!$B$2:$B$755,$A556)&gt;0,1,0)</f>
        <v>0</v>
      </c>
      <c r="L556" s="16">
        <f>IF(COUNTIFS(Release_Calendar!$A$2:$A$755,"US_NFP",Release_Calendar!$B$2:$B$755,$A556)&gt;0,1,0)</f>
        <v>0</v>
      </c>
      <c r="M556" s="16" t="str">
        <f>IF($A556&lt;Notes!$B$5,"",IF(COUNTIFS(Release_Calendar!$A$2:$A$755,"NZ_CPI",Release_Calendar!$B$2:$B$755,$A556)&gt;0,1,0))</f>
        <v/>
      </c>
      <c r="N556" s="16" t="str">
        <f>IF($A556&lt;Notes!$B$5,"",IF(COUNTIFS(Release_Calendar!$A$2:$A$755,"NZ_GDP",Release_Calendar!$B$2:$B$755,$A556)&gt;0,1,0))</f>
        <v/>
      </c>
      <c r="O556" s="16" t="str">
        <f>IF($A556&lt;Notes!$B$5,"",IF(COUNTIFS(Release_Calendar!$A$2:$A$755,"NZ_LABOUR",Release_Calendar!$B$2:$B$755,$A556)&gt;0,1,0))</f>
        <v/>
      </c>
      <c r="P556" s="16">
        <f t="shared" si="4"/>
        <v>0</v>
      </c>
    </row>
    <row r="557" ht="15.75" customHeight="1">
      <c r="A557" s="14">
        <v>37305.0</v>
      </c>
      <c r="B557" s="15"/>
      <c r="C557" s="15"/>
      <c r="D557" s="15">
        <v>5.74</v>
      </c>
      <c r="E557" s="15"/>
      <c r="F557" s="15" t="str">
        <f t="shared" si="1"/>
        <v/>
      </c>
      <c r="G557" s="15">
        <f t="shared" si="2"/>
        <v>5.74</v>
      </c>
      <c r="H557" s="16">
        <v>1.0</v>
      </c>
      <c r="I557" s="15" t="str">
        <f t="shared" si="3"/>
        <v/>
      </c>
      <c r="J557" s="15"/>
      <c r="K557" s="16">
        <f>IF(COUNTIFS(Release_Calendar!$A$2:$A$755,"US_CPI",Release_Calendar!$B$2:$B$755,$A557)&gt;0,1,0)</f>
        <v>0</v>
      </c>
      <c r="L557" s="16">
        <f>IF(COUNTIFS(Release_Calendar!$A$2:$A$755,"US_NFP",Release_Calendar!$B$2:$B$755,$A557)&gt;0,1,0)</f>
        <v>0</v>
      </c>
      <c r="M557" s="16" t="str">
        <f>IF($A557&lt;Notes!$B$5,"",IF(COUNTIFS(Release_Calendar!$A$2:$A$755,"NZ_CPI",Release_Calendar!$B$2:$B$755,$A557)&gt;0,1,0))</f>
        <v/>
      </c>
      <c r="N557" s="16" t="str">
        <f>IF($A557&lt;Notes!$B$5,"",IF(COUNTIFS(Release_Calendar!$A$2:$A$755,"NZ_GDP",Release_Calendar!$B$2:$B$755,$A557)&gt;0,1,0))</f>
        <v/>
      </c>
      <c r="O557" s="16" t="str">
        <f>IF($A557&lt;Notes!$B$5,"",IF(COUNTIFS(Release_Calendar!$A$2:$A$755,"NZ_LABOUR",Release_Calendar!$B$2:$B$755,$A557)&gt;0,1,0))</f>
        <v/>
      </c>
      <c r="P557" s="16">
        <f t="shared" si="4"/>
        <v>0</v>
      </c>
    </row>
    <row r="558" ht="15.75" customHeight="1">
      <c r="A558" s="14">
        <v>37306.0</v>
      </c>
      <c r="B558" s="15">
        <v>2.98</v>
      </c>
      <c r="C558" s="15"/>
      <c r="D558" s="15">
        <v>5.68</v>
      </c>
      <c r="E558" s="15"/>
      <c r="F558" s="15" t="str">
        <f t="shared" si="1"/>
        <v/>
      </c>
      <c r="G558" s="15">
        <f t="shared" si="2"/>
        <v>5.68</v>
      </c>
      <c r="H558" s="16">
        <v>1.0</v>
      </c>
      <c r="I558" s="15">
        <f t="shared" si="3"/>
        <v>2.7</v>
      </c>
      <c r="J558" s="15">
        <v>24.43</v>
      </c>
      <c r="K558" s="16">
        <f>IF(COUNTIFS(Release_Calendar!$A$2:$A$755,"US_CPI",Release_Calendar!$B$2:$B$755,$A558)&gt;0,1,0)</f>
        <v>0</v>
      </c>
      <c r="L558" s="16">
        <f>IF(COUNTIFS(Release_Calendar!$A$2:$A$755,"US_NFP",Release_Calendar!$B$2:$B$755,$A558)&gt;0,1,0)</f>
        <v>0</v>
      </c>
      <c r="M558" s="16" t="str">
        <f>IF($A558&lt;Notes!$B$5,"",IF(COUNTIFS(Release_Calendar!$A$2:$A$755,"NZ_CPI",Release_Calendar!$B$2:$B$755,$A558)&gt;0,1,0))</f>
        <v/>
      </c>
      <c r="N558" s="16" t="str">
        <f>IF($A558&lt;Notes!$B$5,"",IF(COUNTIFS(Release_Calendar!$A$2:$A$755,"NZ_GDP",Release_Calendar!$B$2:$B$755,$A558)&gt;0,1,0))</f>
        <v/>
      </c>
      <c r="O558" s="16" t="str">
        <f>IF($A558&lt;Notes!$B$5,"",IF(COUNTIFS(Release_Calendar!$A$2:$A$755,"NZ_LABOUR",Release_Calendar!$B$2:$B$755,$A558)&gt;0,1,0))</f>
        <v/>
      </c>
      <c r="P558" s="16">
        <f t="shared" si="4"/>
        <v>0</v>
      </c>
    </row>
    <row r="559" ht="15.75" customHeight="1">
      <c r="A559" s="14">
        <v>37307.0</v>
      </c>
      <c r="B559" s="15">
        <v>3.0</v>
      </c>
      <c r="C559" s="15"/>
      <c r="D559" s="15">
        <v>5.68</v>
      </c>
      <c r="E559" s="15"/>
      <c r="F559" s="15" t="str">
        <f t="shared" si="1"/>
        <v/>
      </c>
      <c r="G559" s="15">
        <f t="shared" si="2"/>
        <v>5.68</v>
      </c>
      <c r="H559" s="16">
        <v>1.0</v>
      </c>
      <c r="I559" s="15">
        <f t="shared" si="3"/>
        <v>2.68</v>
      </c>
      <c r="J559" s="15">
        <v>22.66</v>
      </c>
      <c r="K559" s="16">
        <f>IF(COUNTIFS(Release_Calendar!$A$2:$A$755,"US_CPI",Release_Calendar!$B$2:$B$755,$A559)&gt;0,1,0)</f>
        <v>1</v>
      </c>
      <c r="L559" s="16">
        <f>IF(COUNTIFS(Release_Calendar!$A$2:$A$755,"US_NFP",Release_Calendar!$B$2:$B$755,$A559)&gt;0,1,0)</f>
        <v>0</v>
      </c>
      <c r="M559" s="16" t="str">
        <f>IF($A559&lt;Notes!$B$5,"",IF(COUNTIFS(Release_Calendar!$A$2:$A$755,"NZ_CPI",Release_Calendar!$B$2:$B$755,$A559)&gt;0,1,0))</f>
        <v/>
      </c>
      <c r="N559" s="16" t="str">
        <f>IF($A559&lt;Notes!$B$5,"",IF(COUNTIFS(Release_Calendar!$A$2:$A$755,"NZ_GDP",Release_Calendar!$B$2:$B$755,$A559)&gt;0,1,0))</f>
        <v/>
      </c>
      <c r="O559" s="16" t="str">
        <f>IF($A559&lt;Notes!$B$5,"",IF(COUNTIFS(Release_Calendar!$A$2:$A$755,"NZ_LABOUR",Release_Calendar!$B$2:$B$755,$A559)&gt;0,1,0))</f>
        <v/>
      </c>
      <c r="P559" s="16">
        <f t="shared" si="4"/>
        <v>1</v>
      </c>
    </row>
    <row r="560" ht="15.75" customHeight="1">
      <c r="A560" s="14">
        <v>37308.0</v>
      </c>
      <c r="B560" s="15">
        <v>3.0</v>
      </c>
      <c r="C560" s="15"/>
      <c r="D560" s="15">
        <v>5.67</v>
      </c>
      <c r="E560" s="15"/>
      <c r="F560" s="15" t="str">
        <f t="shared" si="1"/>
        <v/>
      </c>
      <c r="G560" s="15">
        <f t="shared" si="2"/>
        <v>5.67</v>
      </c>
      <c r="H560" s="16">
        <v>1.0</v>
      </c>
      <c r="I560" s="15">
        <f t="shared" si="3"/>
        <v>2.67</v>
      </c>
      <c r="J560" s="15">
        <v>23.8</v>
      </c>
      <c r="K560" s="16">
        <f>IF(COUNTIFS(Release_Calendar!$A$2:$A$755,"US_CPI",Release_Calendar!$B$2:$B$755,$A560)&gt;0,1,0)</f>
        <v>0</v>
      </c>
      <c r="L560" s="16">
        <f>IF(COUNTIFS(Release_Calendar!$A$2:$A$755,"US_NFP",Release_Calendar!$B$2:$B$755,$A560)&gt;0,1,0)</f>
        <v>0</v>
      </c>
      <c r="M560" s="16" t="str">
        <f>IF($A560&lt;Notes!$B$5,"",IF(COUNTIFS(Release_Calendar!$A$2:$A$755,"NZ_CPI",Release_Calendar!$B$2:$B$755,$A560)&gt;0,1,0))</f>
        <v/>
      </c>
      <c r="N560" s="16" t="str">
        <f>IF($A560&lt;Notes!$B$5,"",IF(COUNTIFS(Release_Calendar!$A$2:$A$755,"NZ_GDP",Release_Calendar!$B$2:$B$755,$A560)&gt;0,1,0))</f>
        <v/>
      </c>
      <c r="O560" s="16" t="str">
        <f>IF($A560&lt;Notes!$B$5,"",IF(COUNTIFS(Release_Calendar!$A$2:$A$755,"NZ_LABOUR",Release_Calendar!$B$2:$B$755,$A560)&gt;0,1,0))</f>
        <v/>
      </c>
      <c r="P560" s="16">
        <f t="shared" si="4"/>
        <v>0</v>
      </c>
    </row>
    <row r="561" ht="15.75" customHeight="1">
      <c r="A561" s="14">
        <v>37309.0</v>
      </c>
      <c r="B561" s="15">
        <v>2.97</v>
      </c>
      <c r="C561" s="15"/>
      <c r="D561" s="15">
        <v>5.64</v>
      </c>
      <c r="E561" s="15"/>
      <c r="F561" s="15" t="str">
        <f t="shared" si="1"/>
        <v/>
      </c>
      <c r="G561" s="15">
        <f t="shared" si="2"/>
        <v>5.64</v>
      </c>
      <c r="H561" s="16">
        <v>1.0</v>
      </c>
      <c r="I561" s="15">
        <f t="shared" si="3"/>
        <v>2.67</v>
      </c>
      <c r="J561" s="15">
        <v>22.86</v>
      </c>
      <c r="K561" s="16">
        <f>IF(COUNTIFS(Release_Calendar!$A$2:$A$755,"US_CPI",Release_Calendar!$B$2:$B$755,$A561)&gt;0,1,0)</f>
        <v>0</v>
      </c>
      <c r="L561" s="16">
        <f>IF(COUNTIFS(Release_Calendar!$A$2:$A$755,"US_NFP",Release_Calendar!$B$2:$B$755,$A561)&gt;0,1,0)</f>
        <v>0</v>
      </c>
      <c r="M561" s="16" t="str">
        <f>IF($A561&lt;Notes!$B$5,"",IF(COUNTIFS(Release_Calendar!$A$2:$A$755,"NZ_CPI",Release_Calendar!$B$2:$B$755,$A561)&gt;0,1,0))</f>
        <v/>
      </c>
      <c r="N561" s="16" t="str">
        <f>IF($A561&lt;Notes!$B$5,"",IF(COUNTIFS(Release_Calendar!$A$2:$A$755,"NZ_GDP",Release_Calendar!$B$2:$B$755,$A561)&gt;0,1,0))</f>
        <v/>
      </c>
      <c r="O561" s="16" t="str">
        <f>IF($A561&lt;Notes!$B$5,"",IF(COUNTIFS(Release_Calendar!$A$2:$A$755,"NZ_LABOUR",Release_Calendar!$B$2:$B$755,$A561)&gt;0,1,0))</f>
        <v/>
      </c>
      <c r="P561" s="16">
        <f t="shared" si="4"/>
        <v>0</v>
      </c>
    </row>
    <row r="562" ht="15.75" customHeight="1">
      <c r="A562" s="14">
        <v>37312.0</v>
      </c>
      <c r="B562" s="15">
        <v>3.01</v>
      </c>
      <c r="C562" s="15"/>
      <c r="D562" s="15">
        <v>5.61</v>
      </c>
      <c r="E562" s="15"/>
      <c r="F562" s="15" t="str">
        <f t="shared" si="1"/>
        <v/>
      </c>
      <c r="G562" s="15">
        <f t="shared" si="2"/>
        <v>5.61</v>
      </c>
      <c r="H562" s="16">
        <v>1.0</v>
      </c>
      <c r="I562" s="15">
        <f t="shared" si="3"/>
        <v>2.6</v>
      </c>
      <c r="J562" s="15">
        <v>21.84</v>
      </c>
      <c r="K562" s="16">
        <f>IF(COUNTIFS(Release_Calendar!$A$2:$A$755,"US_CPI",Release_Calendar!$B$2:$B$755,$A562)&gt;0,1,0)</f>
        <v>0</v>
      </c>
      <c r="L562" s="16">
        <f>IF(COUNTIFS(Release_Calendar!$A$2:$A$755,"US_NFP",Release_Calendar!$B$2:$B$755,$A562)&gt;0,1,0)</f>
        <v>0</v>
      </c>
      <c r="M562" s="16" t="str">
        <f>IF($A562&lt;Notes!$B$5,"",IF(COUNTIFS(Release_Calendar!$A$2:$A$755,"NZ_CPI",Release_Calendar!$B$2:$B$755,$A562)&gt;0,1,0))</f>
        <v/>
      </c>
      <c r="N562" s="16" t="str">
        <f>IF($A562&lt;Notes!$B$5,"",IF(COUNTIFS(Release_Calendar!$A$2:$A$755,"NZ_GDP",Release_Calendar!$B$2:$B$755,$A562)&gt;0,1,0))</f>
        <v/>
      </c>
      <c r="O562" s="16" t="str">
        <f>IF($A562&lt;Notes!$B$5,"",IF(COUNTIFS(Release_Calendar!$A$2:$A$755,"NZ_LABOUR",Release_Calendar!$B$2:$B$755,$A562)&gt;0,1,0))</f>
        <v/>
      </c>
      <c r="P562" s="16">
        <f t="shared" si="4"/>
        <v>0</v>
      </c>
    </row>
    <row r="563" ht="15.75" customHeight="1">
      <c r="A563" s="14">
        <v>37313.0</v>
      </c>
      <c r="B563" s="15">
        <v>3.08</v>
      </c>
      <c r="C563" s="15"/>
      <c r="D563" s="15">
        <v>5.67</v>
      </c>
      <c r="E563" s="15"/>
      <c r="F563" s="15" t="str">
        <f t="shared" si="1"/>
        <v/>
      </c>
      <c r="G563" s="15">
        <f t="shared" si="2"/>
        <v>5.67</v>
      </c>
      <c r="H563" s="16">
        <v>1.0</v>
      </c>
      <c r="I563" s="15">
        <f t="shared" si="3"/>
        <v>2.59</v>
      </c>
      <c r="J563" s="15">
        <v>21.68</v>
      </c>
      <c r="K563" s="16">
        <f>IF(COUNTIFS(Release_Calendar!$A$2:$A$755,"US_CPI",Release_Calendar!$B$2:$B$755,$A563)&gt;0,1,0)</f>
        <v>0</v>
      </c>
      <c r="L563" s="16">
        <f>IF(COUNTIFS(Release_Calendar!$A$2:$A$755,"US_NFP",Release_Calendar!$B$2:$B$755,$A563)&gt;0,1,0)</f>
        <v>0</v>
      </c>
      <c r="M563" s="16" t="str">
        <f>IF($A563&lt;Notes!$B$5,"",IF(COUNTIFS(Release_Calendar!$A$2:$A$755,"NZ_CPI",Release_Calendar!$B$2:$B$755,$A563)&gt;0,1,0))</f>
        <v/>
      </c>
      <c r="N563" s="16" t="str">
        <f>IF($A563&lt;Notes!$B$5,"",IF(COUNTIFS(Release_Calendar!$A$2:$A$755,"NZ_GDP",Release_Calendar!$B$2:$B$755,$A563)&gt;0,1,0))</f>
        <v/>
      </c>
      <c r="O563" s="16" t="str">
        <f>IF($A563&lt;Notes!$B$5,"",IF(COUNTIFS(Release_Calendar!$A$2:$A$755,"NZ_LABOUR",Release_Calendar!$B$2:$B$755,$A563)&gt;0,1,0))</f>
        <v/>
      </c>
      <c r="P563" s="16">
        <f t="shared" si="4"/>
        <v>0</v>
      </c>
    </row>
    <row r="564" ht="15.75" customHeight="1">
      <c r="A564" s="14">
        <v>37314.0</v>
      </c>
      <c r="B564" s="15">
        <v>3.09</v>
      </c>
      <c r="C564" s="15"/>
      <c r="D564" s="15">
        <v>5.82</v>
      </c>
      <c r="E564" s="15"/>
      <c r="F564" s="15" t="str">
        <f t="shared" si="1"/>
        <v/>
      </c>
      <c r="G564" s="15">
        <f t="shared" si="2"/>
        <v>5.82</v>
      </c>
      <c r="H564" s="16">
        <v>1.0</v>
      </c>
      <c r="I564" s="15">
        <f t="shared" si="3"/>
        <v>2.73</v>
      </c>
      <c r="J564" s="15">
        <v>21.49</v>
      </c>
      <c r="K564" s="16">
        <f>IF(COUNTIFS(Release_Calendar!$A$2:$A$755,"US_CPI",Release_Calendar!$B$2:$B$755,$A564)&gt;0,1,0)</f>
        <v>0</v>
      </c>
      <c r="L564" s="16">
        <f>IF(COUNTIFS(Release_Calendar!$A$2:$A$755,"US_NFP",Release_Calendar!$B$2:$B$755,$A564)&gt;0,1,0)</f>
        <v>0</v>
      </c>
      <c r="M564" s="16" t="str">
        <f>IF($A564&lt;Notes!$B$5,"",IF(COUNTIFS(Release_Calendar!$A$2:$A$755,"NZ_CPI",Release_Calendar!$B$2:$B$755,$A564)&gt;0,1,0))</f>
        <v/>
      </c>
      <c r="N564" s="16" t="str">
        <f>IF($A564&lt;Notes!$B$5,"",IF(COUNTIFS(Release_Calendar!$A$2:$A$755,"NZ_GDP",Release_Calendar!$B$2:$B$755,$A564)&gt;0,1,0))</f>
        <v/>
      </c>
      <c r="O564" s="16" t="str">
        <f>IF($A564&lt;Notes!$B$5,"",IF(COUNTIFS(Release_Calendar!$A$2:$A$755,"NZ_LABOUR",Release_Calendar!$B$2:$B$755,$A564)&gt;0,1,0))</f>
        <v/>
      </c>
      <c r="P564" s="16">
        <f t="shared" si="4"/>
        <v>0</v>
      </c>
    </row>
    <row r="565" ht="15.75" customHeight="1">
      <c r="A565" s="14">
        <v>37315.0</v>
      </c>
      <c r="B565" s="15">
        <v>3.06</v>
      </c>
      <c r="C565" s="15"/>
      <c r="D565" s="15">
        <v>5.7</v>
      </c>
      <c r="E565" s="15"/>
      <c r="F565" s="15" t="str">
        <f t="shared" si="1"/>
        <v/>
      </c>
      <c r="G565" s="15">
        <f t="shared" si="2"/>
        <v>5.7</v>
      </c>
      <c r="H565" s="16">
        <v>1.0</v>
      </c>
      <c r="I565" s="15">
        <f t="shared" si="3"/>
        <v>2.64</v>
      </c>
      <c r="J565" s="15">
        <v>21.59</v>
      </c>
      <c r="K565" s="16">
        <f>IF(COUNTIFS(Release_Calendar!$A$2:$A$755,"US_CPI",Release_Calendar!$B$2:$B$755,$A565)&gt;0,1,0)</f>
        <v>0</v>
      </c>
      <c r="L565" s="16">
        <f>IF(COUNTIFS(Release_Calendar!$A$2:$A$755,"US_NFP",Release_Calendar!$B$2:$B$755,$A565)&gt;0,1,0)</f>
        <v>0</v>
      </c>
      <c r="M565" s="16" t="str">
        <f>IF($A565&lt;Notes!$B$5,"",IF(COUNTIFS(Release_Calendar!$A$2:$A$755,"NZ_CPI",Release_Calendar!$B$2:$B$755,$A565)&gt;0,1,0))</f>
        <v/>
      </c>
      <c r="N565" s="16" t="str">
        <f>IF($A565&lt;Notes!$B$5,"",IF(COUNTIFS(Release_Calendar!$A$2:$A$755,"NZ_GDP",Release_Calendar!$B$2:$B$755,$A565)&gt;0,1,0))</f>
        <v/>
      </c>
      <c r="O565" s="16" t="str">
        <f>IF($A565&lt;Notes!$B$5,"",IF(COUNTIFS(Release_Calendar!$A$2:$A$755,"NZ_LABOUR",Release_Calendar!$B$2:$B$755,$A565)&gt;0,1,0))</f>
        <v/>
      </c>
      <c r="P565" s="16">
        <f t="shared" si="4"/>
        <v>0</v>
      </c>
    </row>
    <row r="566" ht="15.75" customHeight="1">
      <c r="A566" s="14">
        <v>37316.0</v>
      </c>
      <c r="B566" s="15">
        <v>3.18</v>
      </c>
      <c r="C566" s="15"/>
      <c r="D566" s="15">
        <v>5.8</v>
      </c>
      <c r="E566" s="15"/>
      <c r="F566" s="15" t="str">
        <f t="shared" si="1"/>
        <v/>
      </c>
      <c r="G566" s="15">
        <f t="shared" si="2"/>
        <v>5.8</v>
      </c>
      <c r="H566" s="16">
        <v>1.0</v>
      </c>
      <c r="I566" s="15">
        <f t="shared" si="3"/>
        <v>2.62</v>
      </c>
      <c r="J566" s="15">
        <v>19.96</v>
      </c>
      <c r="K566" s="16">
        <f>IF(COUNTIFS(Release_Calendar!$A$2:$A$755,"US_CPI",Release_Calendar!$B$2:$B$755,$A566)&gt;0,1,0)</f>
        <v>0</v>
      </c>
      <c r="L566" s="16">
        <f>IF(COUNTIFS(Release_Calendar!$A$2:$A$755,"US_NFP",Release_Calendar!$B$2:$B$755,$A566)&gt;0,1,0)</f>
        <v>0</v>
      </c>
      <c r="M566" s="16" t="str">
        <f>IF($A566&lt;Notes!$B$5,"",IF(COUNTIFS(Release_Calendar!$A$2:$A$755,"NZ_CPI",Release_Calendar!$B$2:$B$755,$A566)&gt;0,1,0))</f>
        <v/>
      </c>
      <c r="N566" s="16" t="str">
        <f>IF($A566&lt;Notes!$B$5,"",IF(COUNTIFS(Release_Calendar!$A$2:$A$755,"NZ_GDP",Release_Calendar!$B$2:$B$755,$A566)&gt;0,1,0))</f>
        <v/>
      </c>
      <c r="O566" s="16" t="str">
        <f>IF($A566&lt;Notes!$B$5,"",IF(COUNTIFS(Release_Calendar!$A$2:$A$755,"NZ_LABOUR",Release_Calendar!$B$2:$B$755,$A566)&gt;0,1,0))</f>
        <v/>
      </c>
      <c r="P566" s="16">
        <f t="shared" si="4"/>
        <v>0</v>
      </c>
    </row>
    <row r="567" ht="15.75" customHeight="1">
      <c r="A567" s="14">
        <v>37319.0</v>
      </c>
      <c r="B567" s="15">
        <v>3.24</v>
      </c>
      <c r="C567" s="15"/>
      <c r="D567" s="15">
        <v>5.94</v>
      </c>
      <c r="E567" s="15"/>
      <c r="F567" s="15" t="str">
        <f t="shared" si="1"/>
        <v/>
      </c>
      <c r="G567" s="15">
        <f t="shared" si="2"/>
        <v>5.94</v>
      </c>
      <c r="H567" s="16">
        <v>1.0</v>
      </c>
      <c r="I567" s="15">
        <f t="shared" si="3"/>
        <v>2.7</v>
      </c>
      <c r="J567" s="15">
        <v>20.5</v>
      </c>
      <c r="K567" s="16">
        <f>IF(COUNTIFS(Release_Calendar!$A$2:$A$755,"US_CPI",Release_Calendar!$B$2:$B$755,$A567)&gt;0,1,0)</f>
        <v>0</v>
      </c>
      <c r="L567" s="16">
        <f>IF(COUNTIFS(Release_Calendar!$A$2:$A$755,"US_NFP",Release_Calendar!$B$2:$B$755,$A567)&gt;0,1,0)</f>
        <v>0</v>
      </c>
      <c r="M567" s="16" t="str">
        <f>IF($A567&lt;Notes!$B$5,"",IF(COUNTIFS(Release_Calendar!$A$2:$A$755,"NZ_CPI",Release_Calendar!$B$2:$B$755,$A567)&gt;0,1,0))</f>
        <v/>
      </c>
      <c r="N567" s="16" t="str">
        <f>IF($A567&lt;Notes!$B$5,"",IF(COUNTIFS(Release_Calendar!$A$2:$A$755,"NZ_GDP",Release_Calendar!$B$2:$B$755,$A567)&gt;0,1,0))</f>
        <v/>
      </c>
      <c r="O567" s="16" t="str">
        <f>IF($A567&lt;Notes!$B$5,"",IF(COUNTIFS(Release_Calendar!$A$2:$A$755,"NZ_LABOUR",Release_Calendar!$B$2:$B$755,$A567)&gt;0,1,0))</f>
        <v/>
      </c>
      <c r="P567" s="16">
        <f t="shared" si="4"/>
        <v>0</v>
      </c>
    </row>
    <row r="568" ht="15.75" customHeight="1">
      <c r="A568" s="14">
        <v>37320.0</v>
      </c>
      <c r="B568" s="15">
        <v>3.25</v>
      </c>
      <c r="C568" s="15"/>
      <c r="D568" s="15">
        <v>5.92</v>
      </c>
      <c r="E568" s="15"/>
      <c r="F568" s="15" t="str">
        <f t="shared" si="1"/>
        <v/>
      </c>
      <c r="G568" s="15">
        <f t="shared" si="2"/>
        <v>5.92</v>
      </c>
      <c r="H568" s="16">
        <v>1.0</v>
      </c>
      <c r="I568" s="15">
        <f t="shared" si="3"/>
        <v>2.67</v>
      </c>
      <c r="J568" s="15">
        <v>20.3</v>
      </c>
      <c r="K568" s="16">
        <f>IF(COUNTIFS(Release_Calendar!$A$2:$A$755,"US_CPI",Release_Calendar!$B$2:$B$755,$A568)&gt;0,1,0)</f>
        <v>0</v>
      </c>
      <c r="L568" s="16">
        <f>IF(COUNTIFS(Release_Calendar!$A$2:$A$755,"US_NFP",Release_Calendar!$B$2:$B$755,$A568)&gt;0,1,0)</f>
        <v>0</v>
      </c>
      <c r="M568" s="16" t="str">
        <f>IF($A568&lt;Notes!$B$5,"",IF(COUNTIFS(Release_Calendar!$A$2:$A$755,"NZ_CPI",Release_Calendar!$B$2:$B$755,$A568)&gt;0,1,0))</f>
        <v/>
      </c>
      <c r="N568" s="16" t="str">
        <f>IF($A568&lt;Notes!$B$5,"",IF(COUNTIFS(Release_Calendar!$A$2:$A$755,"NZ_GDP",Release_Calendar!$B$2:$B$755,$A568)&gt;0,1,0))</f>
        <v/>
      </c>
      <c r="O568" s="16" t="str">
        <f>IF($A568&lt;Notes!$B$5,"",IF(COUNTIFS(Release_Calendar!$A$2:$A$755,"NZ_LABOUR",Release_Calendar!$B$2:$B$755,$A568)&gt;0,1,0))</f>
        <v/>
      </c>
      <c r="P568" s="16">
        <f t="shared" si="4"/>
        <v>0</v>
      </c>
    </row>
    <row r="569" ht="15.75" customHeight="1">
      <c r="A569" s="14">
        <v>37321.0</v>
      </c>
      <c r="B569" s="15">
        <v>3.26</v>
      </c>
      <c r="C569" s="15"/>
      <c r="D569" s="15">
        <v>5.85</v>
      </c>
      <c r="E569" s="15"/>
      <c r="F569" s="15" t="str">
        <f t="shared" si="1"/>
        <v/>
      </c>
      <c r="G569" s="15">
        <f t="shared" si="2"/>
        <v>5.85</v>
      </c>
      <c r="H569" s="16">
        <v>1.0</v>
      </c>
      <c r="I569" s="15">
        <f t="shared" si="3"/>
        <v>2.59</v>
      </c>
      <c r="J569" s="15">
        <v>19.94</v>
      </c>
      <c r="K569" s="16">
        <f>IF(COUNTIFS(Release_Calendar!$A$2:$A$755,"US_CPI",Release_Calendar!$B$2:$B$755,$A569)&gt;0,1,0)</f>
        <v>0</v>
      </c>
      <c r="L569" s="16">
        <f>IF(COUNTIFS(Release_Calendar!$A$2:$A$755,"US_NFP",Release_Calendar!$B$2:$B$755,$A569)&gt;0,1,0)</f>
        <v>0</v>
      </c>
      <c r="M569" s="16" t="str">
        <f>IF($A569&lt;Notes!$B$5,"",IF(COUNTIFS(Release_Calendar!$A$2:$A$755,"NZ_CPI",Release_Calendar!$B$2:$B$755,$A569)&gt;0,1,0))</f>
        <v/>
      </c>
      <c r="N569" s="16" t="str">
        <f>IF($A569&lt;Notes!$B$5,"",IF(COUNTIFS(Release_Calendar!$A$2:$A$755,"NZ_GDP",Release_Calendar!$B$2:$B$755,$A569)&gt;0,1,0))</f>
        <v/>
      </c>
      <c r="O569" s="16" t="str">
        <f>IF($A569&lt;Notes!$B$5,"",IF(COUNTIFS(Release_Calendar!$A$2:$A$755,"NZ_LABOUR",Release_Calendar!$B$2:$B$755,$A569)&gt;0,1,0))</f>
        <v/>
      </c>
      <c r="P569" s="16">
        <f t="shared" si="4"/>
        <v>0</v>
      </c>
    </row>
    <row r="570" ht="15.75" customHeight="1">
      <c r="A570" s="14">
        <v>37322.0</v>
      </c>
      <c r="B570" s="15">
        <v>3.36</v>
      </c>
      <c r="C570" s="15"/>
      <c r="D570" s="15">
        <v>5.85</v>
      </c>
      <c r="E570" s="15"/>
      <c r="F570" s="15" t="str">
        <f t="shared" si="1"/>
        <v/>
      </c>
      <c r="G570" s="15">
        <f t="shared" si="2"/>
        <v>5.85</v>
      </c>
      <c r="H570" s="16">
        <v>1.0</v>
      </c>
      <c r="I570" s="15">
        <f t="shared" si="3"/>
        <v>2.49</v>
      </c>
      <c r="J570" s="15">
        <v>20.04</v>
      </c>
      <c r="K570" s="16">
        <f>IF(COUNTIFS(Release_Calendar!$A$2:$A$755,"US_CPI",Release_Calendar!$B$2:$B$755,$A570)&gt;0,1,0)</f>
        <v>0</v>
      </c>
      <c r="L570" s="16">
        <f>IF(COUNTIFS(Release_Calendar!$A$2:$A$755,"US_NFP",Release_Calendar!$B$2:$B$755,$A570)&gt;0,1,0)</f>
        <v>0</v>
      </c>
      <c r="M570" s="16" t="str">
        <f>IF($A570&lt;Notes!$B$5,"",IF(COUNTIFS(Release_Calendar!$A$2:$A$755,"NZ_CPI",Release_Calendar!$B$2:$B$755,$A570)&gt;0,1,0))</f>
        <v/>
      </c>
      <c r="N570" s="16" t="str">
        <f>IF($A570&lt;Notes!$B$5,"",IF(COUNTIFS(Release_Calendar!$A$2:$A$755,"NZ_GDP",Release_Calendar!$B$2:$B$755,$A570)&gt;0,1,0))</f>
        <v/>
      </c>
      <c r="O570" s="16" t="str">
        <f>IF($A570&lt;Notes!$B$5,"",IF(COUNTIFS(Release_Calendar!$A$2:$A$755,"NZ_LABOUR",Release_Calendar!$B$2:$B$755,$A570)&gt;0,1,0))</f>
        <v/>
      </c>
      <c r="P570" s="16">
        <f t="shared" si="4"/>
        <v>0</v>
      </c>
    </row>
    <row r="571" ht="15.75" customHeight="1">
      <c r="A571" s="14">
        <v>37323.0</v>
      </c>
      <c r="B571" s="15">
        <v>3.6</v>
      </c>
      <c r="C571" s="15"/>
      <c r="D571" s="15">
        <v>5.96</v>
      </c>
      <c r="E571" s="15"/>
      <c r="F571" s="15" t="str">
        <f t="shared" si="1"/>
        <v/>
      </c>
      <c r="G571" s="15">
        <f t="shared" si="2"/>
        <v>5.96</v>
      </c>
      <c r="H571" s="16">
        <v>1.0</v>
      </c>
      <c r="I571" s="15">
        <f t="shared" si="3"/>
        <v>2.36</v>
      </c>
      <c r="J571" s="15">
        <v>19.27</v>
      </c>
      <c r="K571" s="16">
        <f>IF(COUNTIFS(Release_Calendar!$A$2:$A$755,"US_CPI",Release_Calendar!$B$2:$B$755,$A571)&gt;0,1,0)</f>
        <v>0</v>
      </c>
      <c r="L571" s="16">
        <f>IF(COUNTIFS(Release_Calendar!$A$2:$A$755,"US_NFP",Release_Calendar!$B$2:$B$755,$A571)&gt;0,1,0)</f>
        <v>1</v>
      </c>
      <c r="M571" s="16" t="str">
        <f>IF($A571&lt;Notes!$B$5,"",IF(COUNTIFS(Release_Calendar!$A$2:$A$755,"NZ_CPI",Release_Calendar!$B$2:$B$755,$A571)&gt;0,1,0))</f>
        <v/>
      </c>
      <c r="N571" s="16" t="str">
        <f>IF($A571&lt;Notes!$B$5,"",IF(COUNTIFS(Release_Calendar!$A$2:$A$755,"NZ_GDP",Release_Calendar!$B$2:$B$755,$A571)&gt;0,1,0))</f>
        <v/>
      </c>
      <c r="O571" s="16" t="str">
        <f>IF($A571&lt;Notes!$B$5,"",IF(COUNTIFS(Release_Calendar!$A$2:$A$755,"NZ_LABOUR",Release_Calendar!$B$2:$B$755,$A571)&gt;0,1,0))</f>
        <v/>
      </c>
      <c r="P571" s="16">
        <f t="shared" si="4"/>
        <v>1</v>
      </c>
    </row>
    <row r="572" ht="15.75" customHeight="1">
      <c r="A572" s="14">
        <v>37326.0</v>
      </c>
      <c r="B572" s="15">
        <v>3.59</v>
      </c>
      <c r="C572" s="15"/>
      <c r="D572" s="15">
        <v>5.99</v>
      </c>
      <c r="E572" s="15"/>
      <c r="F572" s="15" t="str">
        <f t="shared" si="1"/>
        <v/>
      </c>
      <c r="G572" s="15">
        <f t="shared" si="2"/>
        <v>5.99</v>
      </c>
      <c r="H572" s="16">
        <v>1.0</v>
      </c>
      <c r="I572" s="15">
        <f t="shared" si="3"/>
        <v>2.4</v>
      </c>
      <c r="J572" s="15">
        <v>19.84</v>
      </c>
      <c r="K572" s="16">
        <f>IF(COUNTIFS(Release_Calendar!$A$2:$A$755,"US_CPI",Release_Calendar!$B$2:$B$755,$A572)&gt;0,1,0)</f>
        <v>0</v>
      </c>
      <c r="L572" s="16">
        <f>IF(COUNTIFS(Release_Calendar!$A$2:$A$755,"US_NFP",Release_Calendar!$B$2:$B$755,$A572)&gt;0,1,0)</f>
        <v>0</v>
      </c>
      <c r="M572" s="16" t="str">
        <f>IF($A572&lt;Notes!$B$5,"",IF(COUNTIFS(Release_Calendar!$A$2:$A$755,"NZ_CPI",Release_Calendar!$B$2:$B$755,$A572)&gt;0,1,0))</f>
        <v/>
      </c>
      <c r="N572" s="16" t="str">
        <f>IF($A572&lt;Notes!$B$5,"",IF(COUNTIFS(Release_Calendar!$A$2:$A$755,"NZ_GDP",Release_Calendar!$B$2:$B$755,$A572)&gt;0,1,0))</f>
        <v/>
      </c>
      <c r="O572" s="16" t="str">
        <f>IF($A572&lt;Notes!$B$5,"",IF(COUNTIFS(Release_Calendar!$A$2:$A$755,"NZ_LABOUR",Release_Calendar!$B$2:$B$755,$A572)&gt;0,1,0))</f>
        <v/>
      </c>
      <c r="P572" s="16">
        <f t="shared" si="4"/>
        <v>0</v>
      </c>
    </row>
    <row r="573" ht="15.75" customHeight="1">
      <c r="A573" s="14">
        <v>37327.0</v>
      </c>
      <c r="B573" s="15">
        <v>3.56</v>
      </c>
      <c r="C573" s="15"/>
      <c r="D573" s="15">
        <v>5.95</v>
      </c>
      <c r="E573" s="15"/>
      <c r="F573" s="15" t="str">
        <f t="shared" si="1"/>
        <v/>
      </c>
      <c r="G573" s="15">
        <f t="shared" si="2"/>
        <v>5.95</v>
      </c>
      <c r="H573" s="16">
        <v>1.0</v>
      </c>
      <c r="I573" s="15">
        <f t="shared" si="3"/>
        <v>2.39</v>
      </c>
      <c r="J573" s="15">
        <v>19.59</v>
      </c>
      <c r="K573" s="16">
        <f>IF(COUNTIFS(Release_Calendar!$A$2:$A$755,"US_CPI",Release_Calendar!$B$2:$B$755,$A573)&gt;0,1,0)</f>
        <v>0</v>
      </c>
      <c r="L573" s="16">
        <f>IF(COUNTIFS(Release_Calendar!$A$2:$A$755,"US_NFP",Release_Calendar!$B$2:$B$755,$A573)&gt;0,1,0)</f>
        <v>0</v>
      </c>
      <c r="M573" s="16" t="str">
        <f>IF($A573&lt;Notes!$B$5,"",IF(COUNTIFS(Release_Calendar!$A$2:$A$755,"NZ_CPI",Release_Calendar!$B$2:$B$755,$A573)&gt;0,1,0))</f>
        <v/>
      </c>
      <c r="N573" s="16" t="str">
        <f>IF($A573&lt;Notes!$B$5,"",IF(COUNTIFS(Release_Calendar!$A$2:$A$755,"NZ_GDP",Release_Calendar!$B$2:$B$755,$A573)&gt;0,1,0))</f>
        <v/>
      </c>
      <c r="O573" s="16" t="str">
        <f>IF($A573&lt;Notes!$B$5,"",IF(COUNTIFS(Release_Calendar!$A$2:$A$755,"NZ_LABOUR",Release_Calendar!$B$2:$B$755,$A573)&gt;0,1,0))</f>
        <v/>
      </c>
      <c r="P573" s="16">
        <f t="shared" si="4"/>
        <v>0</v>
      </c>
    </row>
    <row r="574" ht="15.75" customHeight="1">
      <c r="A574" s="14">
        <v>37328.0</v>
      </c>
      <c r="B574" s="15">
        <v>3.49</v>
      </c>
      <c r="C574" s="15"/>
      <c r="D574" s="15">
        <v>5.97</v>
      </c>
      <c r="E574" s="15"/>
      <c r="F574" s="15" t="str">
        <f t="shared" si="1"/>
        <v/>
      </c>
      <c r="G574" s="15">
        <f t="shared" si="2"/>
        <v>5.97</v>
      </c>
      <c r="H574" s="16">
        <v>1.0</v>
      </c>
      <c r="I574" s="15">
        <f t="shared" si="3"/>
        <v>2.48</v>
      </c>
      <c r="J574" s="15">
        <v>19.46</v>
      </c>
      <c r="K574" s="16">
        <f>IF(COUNTIFS(Release_Calendar!$A$2:$A$755,"US_CPI",Release_Calendar!$B$2:$B$755,$A574)&gt;0,1,0)</f>
        <v>0</v>
      </c>
      <c r="L574" s="16">
        <f>IF(COUNTIFS(Release_Calendar!$A$2:$A$755,"US_NFP",Release_Calendar!$B$2:$B$755,$A574)&gt;0,1,0)</f>
        <v>0</v>
      </c>
      <c r="M574" s="16" t="str">
        <f>IF($A574&lt;Notes!$B$5,"",IF(COUNTIFS(Release_Calendar!$A$2:$A$755,"NZ_CPI",Release_Calendar!$B$2:$B$755,$A574)&gt;0,1,0))</f>
        <v/>
      </c>
      <c r="N574" s="16" t="str">
        <f>IF($A574&lt;Notes!$B$5,"",IF(COUNTIFS(Release_Calendar!$A$2:$A$755,"NZ_GDP",Release_Calendar!$B$2:$B$755,$A574)&gt;0,1,0))</f>
        <v/>
      </c>
      <c r="O574" s="16" t="str">
        <f>IF($A574&lt;Notes!$B$5,"",IF(COUNTIFS(Release_Calendar!$A$2:$A$755,"NZ_LABOUR",Release_Calendar!$B$2:$B$755,$A574)&gt;0,1,0))</f>
        <v/>
      </c>
      <c r="P574" s="16">
        <f t="shared" si="4"/>
        <v>0</v>
      </c>
    </row>
    <row r="575" ht="15.75" customHeight="1">
      <c r="A575" s="14">
        <v>37329.0</v>
      </c>
      <c r="B575" s="15">
        <v>3.63</v>
      </c>
      <c r="C575" s="15"/>
      <c r="D575" s="15">
        <v>5.95</v>
      </c>
      <c r="E575" s="15"/>
      <c r="F575" s="15" t="str">
        <f t="shared" si="1"/>
        <v/>
      </c>
      <c r="G575" s="15">
        <f t="shared" si="2"/>
        <v>5.95</v>
      </c>
      <c r="H575" s="16">
        <v>1.0</v>
      </c>
      <c r="I575" s="15">
        <f t="shared" si="3"/>
        <v>2.32</v>
      </c>
      <c r="J575" s="15">
        <v>19.2</v>
      </c>
      <c r="K575" s="16">
        <f>IF(COUNTIFS(Release_Calendar!$A$2:$A$755,"US_CPI",Release_Calendar!$B$2:$B$755,$A575)&gt;0,1,0)</f>
        <v>0</v>
      </c>
      <c r="L575" s="16">
        <f>IF(COUNTIFS(Release_Calendar!$A$2:$A$755,"US_NFP",Release_Calendar!$B$2:$B$755,$A575)&gt;0,1,0)</f>
        <v>0</v>
      </c>
      <c r="M575" s="16" t="str">
        <f>IF($A575&lt;Notes!$B$5,"",IF(COUNTIFS(Release_Calendar!$A$2:$A$755,"NZ_CPI",Release_Calendar!$B$2:$B$755,$A575)&gt;0,1,0))</f>
        <v/>
      </c>
      <c r="N575" s="16" t="str">
        <f>IF($A575&lt;Notes!$B$5,"",IF(COUNTIFS(Release_Calendar!$A$2:$A$755,"NZ_GDP",Release_Calendar!$B$2:$B$755,$A575)&gt;0,1,0))</f>
        <v/>
      </c>
      <c r="O575" s="16" t="str">
        <f>IF($A575&lt;Notes!$B$5,"",IF(COUNTIFS(Release_Calendar!$A$2:$A$755,"NZ_LABOUR",Release_Calendar!$B$2:$B$755,$A575)&gt;0,1,0))</f>
        <v/>
      </c>
      <c r="P575" s="16">
        <f t="shared" si="4"/>
        <v>0</v>
      </c>
    </row>
    <row r="576" ht="15.75" customHeight="1">
      <c r="A576" s="14">
        <v>37330.0</v>
      </c>
      <c r="B576" s="15">
        <v>3.63</v>
      </c>
      <c r="C576" s="15"/>
      <c r="D576" s="15">
        <v>6.1</v>
      </c>
      <c r="E576" s="15"/>
      <c r="F576" s="15" t="str">
        <f t="shared" si="1"/>
        <v/>
      </c>
      <c r="G576" s="15">
        <f t="shared" si="2"/>
        <v>6.1</v>
      </c>
      <c r="H576" s="16">
        <v>1.0</v>
      </c>
      <c r="I576" s="15">
        <f t="shared" si="3"/>
        <v>2.47</v>
      </c>
      <c r="J576" s="15">
        <v>18.42</v>
      </c>
      <c r="K576" s="16">
        <f>IF(COUNTIFS(Release_Calendar!$A$2:$A$755,"US_CPI",Release_Calendar!$B$2:$B$755,$A576)&gt;0,1,0)</f>
        <v>0</v>
      </c>
      <c r="L576" s="16">
        <f>IF(COUNTIFS(Release_Calendar!$A$2:$A$755,"US_NFP",Release_Calendar!$B$2:$B$755,$A576)&gt;0,1,0)</f>
        <v>0</v>
      </c>
      <c r="M576" s="16" t="str">
        <f>IF($A576&lt;Notes!$B$5,"",IF(COUNTIFS(Release_Calendar!$A$2:$A$755,"NZ_CPI",Release_Calendar!$B$2:$B$755,$A576)&gt;0,1,0))</f>
        <v/>
      </c>
      <c r="N576" s="16" t="str">
        <f>IF($A576&lt;Notes!$B$5,"",IF(COUNTIFS(Release_Calendar!$A$2:$A$755,"NZ_GDP",Release_Calendar!$B$2:$B$755,$A576)&gt;0,1,0))</f>
        <v/>
      </c>
      <c r="O576" s="16" t="str">
        <f>IF($A576&lt;Notes!$B$5,"",IF(COUNTIFS(Release_Calendar!$A$2:$A$755,"NZ_LABOUR",Release_Calendar!$B$2:$B$755,$A576)&gt;0,1,0))</f>
        <v/>
      </c>
      <c r="P576" s="16">
        <f t="shared" si="4"/>
        <v>0</v>
      </c>
    </row>
    <row r="577" ht="15.75" customHeight="1">
      <c r="A577" s="14">
        <v>37333.0</v>
      </c>
      <c r="B577" s="15">
        <v>3.67</v>
      </c>
      <c r="C577" s="15"/>
      <c r="D577" s="15">
        <v>6.02</v>
      </c>
      <c r="E577" s="15"/>
      <c r="F577" s="15" t="str">
        <f t="shared" si="1"/>
        <v/>
      </c>
      <c r="G577" s="15">
        <f t="shared" si="2"/>
        <v>6.02</v>
      </c>
      <c r="H577" s="16">
        <v>1.0</v>
      </c>
      <c r="I577" s="15">
        <f t="shared" si="3"/>
        <v>2.35</v>
      </c>
      <c r="J577" s="15">
        <v>18.93</v>
      </c>
      <c r="K577" s="16">
        <f>IF(COUNTIFS(Release_Calendar!$A$2:$A$755,"US_CPI",Release_Calendar!$B$2:$B$755,$A577)&gt;0,1,0)</f>
        <v>0</v>
      </c>
      <c r="L577" s="16">
        <f>IF(COUNTIFS(Release_Calendar!$A$2:$A$755,"US_NFP",Release_Calendar!$B$2:$B$755,$A577)&gt;0,1,0)</f>
        <v>0</v>
      </c>
      <c r="M577" s="16" t="str">
        <f>IF($A577&lt;Notes!$B$5,"",IF(COUNTIFS(Release_Calendar!$A$2:$A$755,"NZ_CPI",Release_Calendar!$B$2:$B$755,$A577)&gt;0,1,0))</f>
        <v/>
      </c>
      <c r="N577" s="16" t="str">
        <f>IF($A577&lt;Notes!$B$5,"",IF(COUNTIFS(Release_Calendar!$A$2:$A$755,"NZ_GDP",Release_Calendar!$B$2:$B$755,$A577)&gt;0,1,0))</f>
        <v/>
      </c>
      <c r="O577" s="16" t="str">
        <f>IF($A577&lt;Notes!$B$5,"",IF(COUNTIFS(Release_Calendar!$A$2:$A$755,"NZ_LABOUR",Release_Calendar!$B$2:$B$755,$A577)&gt;0,1,0))</f>
        <v/>
      </c>
      <c r="P577" s="16">
        <f t="shared" si="4"/>
        <v>0</v>
      </c>
    </row>
    <row r="578" ht="15.75" customHeight="1">
      <c r="A578" s="14">
        <v>37334.0</v>
      </c>
      <c r="B578" s="15">
        <v>3.64</v>
      </c>
      <c r="C578" s="15"/>
      <c r="D578" s="15">
        <v>6.05</v>
      </c>
      <c r="E578" s="15"/>
      <c r="F578" s="15" t="str">
        <f t="shared" si="1"/>
        <v/>
      </c>
      <c r="G578" s="15">
        <f t="shared" si="2"/>
        <v>6.05</v>
      </c>
      <c r="H578" s="16">
        <v>1.0</v>
      </c>
      <c r="I578" s="15">
        <f t="shared" si="3"/>
        <v>2.41</v>
      </c>
      <c r="J578" s="15">
        <v>18.16</v>
      </c>
      <c r="K578" s="16">
        <f>IF(COUNTIFS(Release_Calendar!$A$2:$A$755,"US_CPI",Release_Calendar!$B$2:$B$755,$A578)&gt;0,1,0)</f>
        <v>0</v>
      </c>
      <c r="L578" s="16">
        <f>IF(COUNTIFS(Release_Calendar!$A$2:$A$755,"US_NFP",Release_Calendar!$B$2:$B$755,$A578)&gt;0,1,0)</f>
        <v>0</v>
      </c>
      <c r="M578" s="16" t="str">
        <f>IF($A578&lt;Notes!$B$5,"",IF(COUNTIFS(Release_Calendar!$A$2:$A$755,"NZ_CPI",Release_Calendar!$B$2:$B$755,$A578)&gt;0,1,0))</f>
        <v/>
      </c>
      <c r="N578" s="16" t="str">
        <f>IF($A578&lt;Notes!$B$5,"",IF(COUNTIFS(Release_Calendar!$A$2:$A$755,"NZ_GDP",Release_Calendar!$B$2:$B$755,$A578)&gt;0,1,0))</f>
        <v/>
      </c>
      <c r="O578" s="16" t="str">
        <f>IF($A578&lt;Notes!$B$5,"",IF(COUNTIFS(Release_Calendar!$A$2:$A$755,"NZ_LABOUR",Release_Calendar!$B$2:$B$755,$A578)&gt;0,1,0))</f>
        <v/>
      </c>
      <c r="P578" s="16">
        <f t="shared" si="4"/>
        <v>0</v>
      </c>
    </row>
    <row r="579" ht="15.75" customHeight="1">
      <c r="A579" s="14">
        <v>37335.0</v>
      </c>
      <c r="B579" s="15">
        <v>3.71</v>
      </c>
      <c r="C579" s="15"/>
      <c r="D579" s="15">
        <v>6.27</v>
      </c>
      <c r="E579" s="15"/>
      <c r="F579" s="15" t="str">
        <f t="shared" si="1"/>
        <v/>
      </c>
      <c r="G579" s="15">
        <f t="shared" si="2"/>
        <v>6.27</v>
      </c>
      <c r="H579" s="16">
        <v>1.0</v>
      </c>
      <c r="I579" s="15">
        <f t="shared" si="3"/>
        <v>2.56</v>
      </c>
      <c r="J579" s="15">
        <v>18.46</v>
      </c>
      <c r="K579" s="16">
        <f>IF(COUNTIFS(Release_Calendar!$A$2:$A$755,"US_CPI",Release_Calendar!$B$2:$B$755,$A579)&gt;0,1,0)</f>
        <v>0</v>
      </c>
      <c r="L579" s="16">
        <f>IF(COUNTIFS(Release_Calendar!$A$2:$A$755,"US_NFP",Release_Calendar!$B$2:$B$755,$A579)&gt;0,1,0)</f>
        <v>0</v>
      </c>
      <c r="M579" s="16" t="str">
        <f>IF($A579&lt;Notes!$B$5,"",IF(COUNTIFS(Release_Calendar!$A$2:$A$755,"NZ_CPI",Release_Calendar!$B$2:$B$755,$A579)&gt;0,1,0))</f>
        <v/>
      </c>
      <c r="N579" s="16" t="str">
        <f>IF($A579&lt;Notes!$B$5,"",IF(COUNTIFS(Release_Calendar!$A$2:$A$755,"NZ_GDP",Release_Calendar!$B$2:$B$755,$A579)&gt;0,1,0))</f>
        <v/>
      </c>
      <c r="O579" s="16" t="str">
        <f>IF($A579&lt;Notes!$B$5,"",IF(COUNTIFS(Release_Calendar!$A$2:$A$755,"NZ_LABOUR",Release_Calendar!$B$2:$B$755,$A579)&gt;0,1,0))</f>
        <v/>
      </c>
      <c r="P579" s="16">
        <f t="shared" si="4"/>
        <v>0</v>
      </c>
    </row>
    <row r="580" ht="15.75" customHeight="1">
      <c r="A580" s="14">
        <v>37336.0</v>
      </c>
      <c r="B580" s="15">
        <v>3.73</v>
      </c>
      <c r="C580" s="15"/>
      <c r="D580" s="15">
        <v>6.37</v>
      </c>
      <c r="E580" s="15"/>
      <c r="F580" s="15" t="str">
        <f t="shared" si="1"/>
        <v/>
      </c>
      <c r="G580" s="15">
        <f t="shared" si="2"/>
        <v>6.37</v>
      </c>
      <c r="H580" s="16">
        <v>1.0</v>
      </c>
      <c r="I580" s="15">
        <f t="shared" si="3"/>
        <v>2.64</v>
      </c>
      <c r="J580" s="15">
        <v>18.15</v>
      </c>
      <c r="K580" s="16">
        <f>IF(COUNTIFS(Release_Calendar!$A$2:$A$755,"US_CPI",Release_Calendar!$B$2:$B$755,$A580)&gt;0,1,0)</f>
        <v>1</v>
      </c>
      <c r="L580" s="16">
        <f>IF(COUNTIFS(Release_Calendar!$A$2:$A$755,"US_NFP",Release_Calendar!$B$2:$B$755,$A580)&gt;0,1,0)</f>
        <v>0</v>
      </c>
      <c r="M580" s="16" t="str">
        <f>IF($A580&lt;Notes!$B$5,"",IF(COUNTIFS(Release_Calendar!$A$2:$A$755,"NZ_CPI",Release_Calendar!$B$2:$B$755,$A580)&gt;0,1,0))</f>
        <v/>
      </c>
      <c r="N580" s="16" t="str">
        <f>IF($A580&lt;Notes!$B$5,"",IF(COUNTIFS(Release_Calendar!$A$2:$A$755,"NZ_GDP",Release_Calendar!$B$2:$B$755,$A580)&gt;0,1,0))</f>
        <v/>
      </c>
      <c r="O580" s="16" t="str">
        <f>IF($A580&lt;Notes!$B$5,"",IF(COUNTIFS(Release_Calendar!$A$2:$A$755,"NZ_LABOUR",Release_Calendar!$B$2:$B$755,$A580)&gt;0,1,0))</f>
        <v/>
      </c>
      <c r="P580" s="16">
        <f t="shared" si="4"/>
        <v>1</v>
      </c>
    </row>
    <row r="581" ht="15.75" customHeight="1">
      <c r="A581" s="14">
        <v>37337.0</v>
      </c>
      <c r="B581" s="15">
        <v>3.77</v>
      </c>
      <c r="C581" s="15"/>
      <c r="D581" s="15">
        <v>6.33</v>
      </c>
      <c r="E581" s="15"/>
      <c r="F581" s="15" t="str">
        <f t="shared" si="1"/>
        <v/>
      </c>
      <c r="G581" s="15">
        <f t="shared" si="2"/>
        <v>6.33</v>
      </c>
      <c r="H581" s="16">
        <v>1.0</v>
      </c>
      <c r="I581" s="15">
        <f t="shared" si="3"/>
        <v>2.56</v>
      </c>
      <c r="J581" s="15">
        <v>17.77</v>
      </c>
      <c r="K581" s="16">
        <f>IF(COUNTIFS(Release_Calendar!$A$2:$A$755,"US_CPI",Release_Calendar!$B$2:$B$755,$A581)&gt;0,1,0)</f>
        <v>0</v>
      </c>
      <c r="L581" s="16">
        <f>IF(COUNTIFS(Release_Calendar!$A$2:$A$755,"US_NFP",Release_Calendar!$B$2:$B$755,$A581)&gt;0,1,0)</f>
        <v>0</v>
      </c>
      <c r="M581" s="16" t="str">
        <f>IF($A581&lt;Notes!$B$5,"",IF(COUNTIFS(Release_Calendar!$A$2:$A$755,"NZ_CPI",Release_Calendar!$B$2:$B$755,$A581)&gt;0,1,0))</f>
        <v/>
      </c>
      <c r="N581" s="16" t="str">
        <f>IF($A581&lt;Notes!$B$5,"",IF(COUNTIFS(Release_Calendar!$A$2:$A$755,"NZ_GDP",Release_Calendar!$B$2:$B$755,$A581)&gt;0,1,0))</f>
        <v/>
      </c>
      <c r="O581" s="16" t="str">
        <f>IF($A581&lt;Notes!$B$5,"",IF(COUNTIFS(Release_Calendar!$A$2:$A$755,"NZ_LABOUR",Release_Calendar!$B$2:$B$755,$A581)&gt;0,1,0))</f>
        <v/>
      </c>
      <c r="P581" s="16">
        <f t="shared" si="4"/>
        <v>0</v>
      </c>
    </row>
    <row r="582" ht="15.75" customHeight="1">
      <c r="A582" s="14">
        <v>37340.0</v>
      </c>
      <c r="B582" s="15">
        <v>3.78</v>
      </c>
      <c r="C582" s="15"/>
      <c r="D582" s="15">
        <v>6.4</v>
      </c>
      <c r="E582" s="15"/>
      <c r="F582" s="15" t="str">
        <f t="shared" si="1"/>
        <v/>
      </c>
      <c r="G582" s="15">
        <f t="shared" si="2"/>
        <v>6.4</v>
      </c>
      <c r="H582" s="16">
        <v>1.0</v>
      </c>
      <c r="I582" s="15">
        <f t="shared" si="3"/>
        <v>2.62</v>
      </c>
      <c r="J582" s="15">
        <v>18.48</v>
      </c>
      <c r="K582" s="16">
        <f>IF(COUNTIFS(Release_Calendar!$A$2:$A$755,"US_CPI",Release_Calendar!$B$2:$B$755,$A582)&gt;0,1,0)</f>
        <v>0</v>
      </c>
      <c r="L582" s="16">
        <f>IF(COUNTIFS(Release_Calendar!$A$2:$A$755,"US_NFP",Release_Calendar!$B$2:$B$755,$A582)&gt;0,1,0)</f>
        <v>0</v>
      </c>
      <c r="M582" s="16" t="str">
        <f>IF($A582&lt;Notes!$B$5,"",IF(COUNTIFS(Release_Calendar!$A$2:$A$755,"NZ_CPI",Release_Calendar!$B$2:$B$755,$A582)&gt;0,1,0))</f>
        <v/>
      </c>
      <c r="N582" s="16" t="str">
        <f>IF($A582&lt;Notes!$B$5,"",IF(COUNTIFS(Release_Calendar!$A$2:$A$755,"NZ_GDP",Release_Calendar!$B$2:$B$755,$A582)&gt;0,1,0))</f>
        <v/>
      </c>
      <c r="O582" s="16" t="str">
        <f>IF($A582&lt;Notes!$B$5,"",IF(COUNTIFS(Release_Calendar!$A$2:$A$755,"NZ_LABOUR",Release_Calendar!$B$2:$B$755,$A582)&gt;0,1,0))</f>
        <v/>
      </c>
      <c r="P582" s="16">
        <f t="shared" si="4"/>
        <v>0</v>
      </c>
    </row>
    <row r="583" ht="15.75" customHeight="1">
      <c r="A583" s="14">
        <v>37341.0</v>
      </c>
      <c r="B583" s="15">
        <v>3.68</v>
      </c>
      <c r="C583" s="15"/>
      <c r="D583" s="15">
        <v>6.38</v>
      </c>
      <c r="E583" s="15"/>
      <c r="F583" s="15" t="str">
        <f t="shared" si="1"/>
        <v/>
      </c>
      <c r="G583" s="15">
        <f t="shared" si="2"/>
        <v>6.38</v>
      </c>
      <c r="H583" s="16">
        <v>1.0</v>
      </c>
      <c r="I583" s="15">
        <f t="shared" si="3"/>
        <v>2.7</v>
      </c>
      <c r="J583" s="15">
        <v>18.13</v>
      </c>
      <c r="K583" s="16">
        <f>IF(COUNTIFS(Release_Calendar!$A$2:$A$755,"US_CPI",Release_Calendar!$B$2:$B$755,$A583)&gt;0,1,0)</f>
        <v>0</v>
      </c>
      <c r="L583" s="16">
        <f>IF(COUNTIFS(Release_Calendar!$A$2:$A$755,"US_NFP",Release_Calendar!$B$2:$B$755,$A583)&gt;0,1,0)</f>
        <v>0</v>
      </c>
      <c r="M583" s="16" t="str">
        <f>IF($A583&lt;Notes!$B$5,"",IF(COUNTIFS(Release_Calendar!$A$2:$A$755,"NZ_CPI",Release_Calendar!$B$2:$B$755,$A583)&gt;0,1,0))</f>
        <v/>
      </c>
      <c r="N583" s="16" t="str">
        <f>IF($A583&lt;Notes!$B$5,"",IF(COUNTIFS(Release_Calendar!$A$2:$A$755,"NZ_GDP",Release_Calendar!$B$2:$B$755,$A583)&gt;0,1,0))</f>
        <v/>
      </c>
      <c r="O583" s="16" t="str">
        <f>IF($A583&lt;Notes!$B$5,"",IF(COUNTIFS(Release_Calendar!$A$2:$A$755,"NZ_LABOUR",Release_Calendar!$B$2:$B$755,$A583)&gt;0,1,0))</f>
        <v/>
      </c>
      <c r="P583" s="16">
        <f t="shared" si="4"/>
        <v>0</v>
      </c>
    </row>
    <row r="584" ht="15.75" customHeight="1">
      <c r="A584" s="14">
        <v>37342.0</v>
      </c>
      <c r="B584" s="15">
        <v>3.66</v>
      </c>
      <c r="C584" s="15"/>
      <c r="D584" s="15">
        <v>6.33</v>
      </c>
      <c r="E584" s="15"/>
      <c r="F584" s="15" t="str">
        <f t="shared" si="1"/>
        <v/>
      </c>
      <c r="G584" s="15">
        <f t="shared" si="2"/>
        <v>6.33</v>
      </c>
      <c r="H584" s="16">
        <v>1.0</v>
      </c>
      <c r="I584" s="15">
        <f t="shared" si="3"/>
        <v>2.67</v>
      </c>
      <c r="J584" s="15">
        <v>17.7</v>
      </c>
      <c r="K584" s="16">
        <f>IF(COUNTIFS(Release_Calendar!$A$2:$A$755,"US_CPI",Release_Calendar!$B$2:$B$755,$A584)&gt;0,1,0)</f>
        <v>0</v>
      </c>
      <c r="L584" s="16">
        <f>IF(COUNTIFS(Release_Calendar!$A$2:$A$755,"US_NFP",Release_Calendar!$B$2:$B$755,$A584)&gt;0,1,0)</f>
        <v>0</v>
      </c>
      <c r="M584" s="16" t="str">
        <f>IF($A584&lt;Notes!$B$5,"",IF(COUNTIFS(Release_Calendar!$A$2:$A$755,"NZ_CPI",Release_Calendar!$B$2:$B$755,$A584)&gt;0,1,0))</f>
        <v/>
      </c>
      <c r="N584" s="16" t="str">
        <f>IF($A584&lt;Notes!$B$5,"",IF(COUNTIFS(Release_Calendar!$A$2:$A$755,"NZ_GDP",Release_Calendar!$B$2:$B$755,$A584)&gt;0,1,0))</f>
        <v/>
      </c>
      <c r="O584" s="16" t="str">
        <f>IF($A584&lt;Notes!$B$5,"",IF(COUNTIFS(Release_Calendar!$A$2:$A$755,"NZ_LABOUR",Release_Calendar!$B$2:$B$755,$A584)&gt;0,1,0))</f>
        <v/>
      </c>
      <c r="P584" s="16">
        <f t="shared" si="4"/>
        <v>0</v>
      </c>
    </row>
    <row r="585" ht="15.75" customHeight="1">
      <c r="A585" s="14">
        <v>37343.0</v>
      </c>
      <c r="B585" s="15">
        <v>3.72</v>
      </c>
      <c r="C585" s="15"/>
      <c r="D585" s="15">
        <v>6.31</v>
      </c>
      <c r="E585" s="15"/>
      <c r="F585" s="15" t="str">
        <f t="shared" si="1"/>
        <v/>
      </c>
      <c r="G585" s="15">
        <f t="shared" si="2"/>
        <v>6.31</v>
      </c>
      <c r="H585" s="16">
        <v>1.0</v>
      </c>
      <c r="I585" s="15">
        <f t="shared" si="3"/>
        <v>2.59</v>
      </c>
      <c r="J585" s="15">
        <v>17.4</v>
      </c>
      <c r="K585" s="16">
        <f>IF(COUNTIFS(Release_Calendar!$A$2:$A$755,"US_CPI",Release_Calendar!$B$2:$B$755,$A585)&gt;0,1,0)</f>
        <v>0</v>
      </c>
      <c r="L585" s="16">
        <f>IF(COUNTIFS(Release_Calendar!$A$2:$A$755,"US_NFP",Release_Calendar!$B$2:$B$755,$A585)&gt;0,1,0)</f>
        <v>0</v>
      </c>
      <c r="M585" s="16" t="str">
        <f>IF($A585&lt;Notes!$B$5,"",IF(COUNTIFS(Release_Calendar!$A$2:$A$755,"NZ_CPI",Release_Calendar!$B$2:$B$755,$A585)&gt;0,1,0))</f>
        <v/>
      </c>
      <c r="N585" s="16" t="str">
        <f>IF($A585&lt;Notes!$B$5,"",IF(COUNTIFS(Release_Calendar!$A$2:$A$755,"NZ_GDP",Release_Calendar!$B$2:$B$755,$A585)&gt;0,1,0))</f>
        <v/>
      </c>
      <c r="O585" s="16" t="str">
        <f>IF($A585&lt;Notes!$B$5,"",IF(COUNTIFS(Release_Calendar!$A$2:$A$755,"NZ_LABOUR",Release_Calendar!$B$2:$B$755,$A585)&gt;0,1,0))</f>
        <v/>
      </c>
      <c r="P585" s="16">
        <f t="shared" si="4"/>
        <v>0</v>
      </c>
    </row>
    <row r="586" ht="15.75" customHeight="1">
      <c r="A586" s="14">
        <v>37344.0</v>
      </c>
      <c r="B586" s="15"/>
      <c r="C586" s="15"/>
      <c r="D586" s="15"/>
      <c r="E586" s="15"/>
      <c r="F586" s="15" t="str">
        <f t="shared" si="1"/>
        <v/>
      </c>
      <c r="G586" s="15" t="str">
        <f t="shared" si="2"/>
        <v/>
      </c>
      <c r="H586" s="16">
        <v>1.0</v>
      </c>
      <c r="I586" s="15" t="str">
        <f t="shared" si="3"/>
        <v/>
      </c>
      <c r="J586" s="15"/>
      <c r="K586" s="16">
        <f>IF(COUNTIFS(Release_Calendar!$A$2:$A$755,"US_CPI",Release_Calendar!$B$2:$B$755,$A586)&gt;0,1,0)</f>
        <v>0</v>
      </c>
      <c r="L586" s="16">
        <f>IF(COUNTIFS(Release_Calendar!$A$2:$A$755,"US_NFP",Release_Calendar!$B$2:$B$755,$A586)&gt;0,1,0)</f>
        <v>0</v>
      </c>
      <c r="M586" s="16" t="str">
        <f>IF($A586&lt;Notes!$B$5,"",IF(COUNTIFS(Release_Calendar!$A$2:$A$755,"NZ_CPI",Release_Calendar!$B$2:$B$755,$A586)&gt;0,1,0))</f>
        <v/>
      </c>
      <c r="N586" s="16" t="str">
        <f>IF($A586&lt;Notes!$B$5,"",IF(COUNTIFS(Release_Calendar!$A$2:$A$755,"NZ_GDP",Release_Calendar!$B$2:$B$755,$A586)&gt;0,1,0))</f>
        <v/>
      </c>
      <c r="O586" s="16" t="str">
        <f>IF($A586&lt;Notes!$B$5,"",IF(COUNTIFS(Release_Calendar!$A$2:$A$755,"NZ_LABOUR",Release_Calendar!$B$2:$B$755,$A586)&gt;0,1,0))</f>
        <v/>
      </c>
      <c r="P586" s="16">
        <f t="shared" si="4"/>
        <v>0</v>
      </c>
    </row>
    <row r="587" ht="15.75" customHeight="1">
      <c r="A587" s="14">
        <v>37347.0</v>
      </c>
      <c r="B587" s="15">
        <v>3.74</v>
      </c>
      <c r="C587" s="15"/>
      <c r="D587" s="15"/>
      <c r="E587" s="15"/>
      <c r="F587" s="15" t="str">
        <f t="shared" si="1"/>
        <v/>
      </c>
      <c r="G587" s="15" t="str">
        <f t="shared" si="2"/>
        <v/>
      </c>
      <c r="H587" s="16">
        <v>1.0</v>
      </c>
      <c r="I587" s="15" t="str">
        <f t="shared" si="3"/>
        <v/>
      </c>
      <c r="J587" s="15">
        <v>18.73</v>
      </c>
      <c r="K587" s="16">
        <f>IF(COUNTIFS(Release_Calendar!$A$2:$A$755,"US_CPI",Release_Calendar!$B$2:$B$755,$A587)&gt;0,1,0)</f>
        <v>0</v>
      </c>
      <c r="L587" s="16">
        <f>IF(COUNTIFS(Release_Calendar!$A$2:$A$755,"US_NFP",Release_Calendar!$B$2:$B$755,$A587)&gt;0,1,0)</f>
        <v>0</v>
      </c>
      <c r="M587" s="16" t="str">
        <f>IF($A587&lt;Notes!$B$5,"",IF(COUNTIFS(Release_Calendar!$A$2:$A$755,"NZ_CPI",Release_Calendar!$B$2:$B$755,$A587)&gt;0,1,0))</f>
        <v/>
      </c>
      <c r="N587" s="16" t="str">
        <f>IF($A587&lt;Notes!$B$5,"",IF(COUNTIFS(Release_Calendar!$A$2:$A$755,"NZ_GDP",Release_Calendar!$B$2:$B$755,$A587)&gt;0,1,0))</f>
        <v/>
      </c>
      <c r="O587" s="16" t="str">
        <f>IF($A587&lt;Notes!$B$5,"",IF(COUNTIFS(Release_Calendar!$A$2:$A$755,"NZ_LABOUR",Release_Calendar!$B$2:$B$755,$A587)&gt;0,1,0))</f>
        <v/>
      </c>
      <c r="P587" s="16">
        <f t="shared" si="4"/>
        <v>0</v>
      </c>
    </row>
    <row r="588" ht="15.75" customHeight="1">
      <c r="A588" s="14">
        <v>37348.0</v>
      </c>
      <c r="B588" s="15">
        <v>3.63</v>
      </c>
      <c r="C588" s="15"/>
      <c r="D588" s="15">
        <v>6.34</v>
      </c>
      <c r="E588" s="15"/>
      <c r="F588" s="15" t="str">
        <f t="shared" si="1"/>
        <v/>
      </c>
      <c r="G588" s="15">
        <f t="shared" si="2"/>
        <v>6.34</v>
      </c>
      <c r="H588" s="16">
        <v>1.0</v>
      </c>
      <c r="I588" s="15">
        <f t="shared" si="3"/>
        <v>2.71</v>
      </c>
      <c r="J588" s="15">
        <v>19.16</v>
      </c>
      <c r="K588" s="16">
        <f>IF(COUNTIFS(Release_Calendar!$A$2:$A$755,"US_CPI",Release_Calendar!$B$2:$B$755,$A588)&gt;0,1,0)</f>
        <v>0</v>
      </c>
      <c r="L588" s="16">
        <f>IF(COUNTIFS(Release_Calendar!$A$2:$A$755,"US_NFP",Release_Calendar!$B$2:$B$755,$A588)&gt;0,1,0)</f>
        <v>0</v>
      </c>
      <c r="M588" s="16" t="str">
        <f>IF($A588&lt;Notes!$B$5,"",IF(COUNTIFS(Release_Calendar!$A$2:$A$755,"NZ_CPI",Release_Calendar!$B$2:$B$755,$A588)&gt;0,1,0))</f>
        <v/>
      </c>
      <c r="N588" s="16" t="str">
        <f>IF($A588&lt;Notes!$B$5,"",IF(COUNTIFS(Release_Calendar!$A$2:$A$755,"NZ_GDP",Release_Calendar!$B$2:$B$755,$A588)&gt;0,1,0))</f>
        <v/>
      </c>
      <c r="O588" s="16" t="str">
        <f>IF($A588&lt;Notes!$B$5,"",IF(COUNTIFS(Release_Calendar!$A$2:$A$755,"NZ_LABOUR",Release_Calendar!$B$2:$B$755,$A588)&gt;0,1,0))</f>
        <v/>
      </c>
      <c r="P588" s="16">
        <f t="shared" si="4"/>
        <v>0</v>
      </c>
    </row>
    <row r="589" ht="15.75" customHeight="1">
      <c r="A589" s="14">
        <v>37349.0</v>
      </c>
      <c r="B589" s="15">
        <v>3.55</v>
      </c>
      <c r="C589" s="15"/>
      <c r="D589" s="15">
        <v>6.31</v>
      </c>
      <c r="E589" s="15"/>
      <c r="F589" s="15" t="str">
        <f t="shared" si="1"/>
        <v/>
      </c>
      <c r="G589" s="15">
        <f t="shared" si="2"/>
        <v>6.31</v>
      </c>
      <c r="H589" s="16">
        <v>1.0</v>
      </c>
      <c r="I589" s="15">
        <f t="shared" si="3"/>
        <v>2.76</v>
      </c>
      <c r="J589" s="15">
        <v>20.2</v>
      </c>
      <c r="K589" s="16">
        <f>IF(COUNTIFS(Release_Calendar!$A$2:$A$755,"US_CPI",Release_Calendar!$B$2:$B$755,$A589)&gt;0,1,0)</f>
        <v>0</v>
      </c>
      <c r="L589" s="16">
        <f>IF(COUNTIFS(Release_Calendar!$A$2:$A$755,"US_NFP",Release_Calendar!$B$2:$B$755,$A589)&gt;0,1,0)</f>
        <v>0</v>
      </c>
      <c r="M589" s="16" t="str">
        <f>IF($A589&lt;Notes!$B$5,"",IF(COUNTIFS(Release_Calendar!$A$2:$A$755,"NZ_CPI",Release_Calendar!$B$2:$B$755,$A589)&gt;0,1,0))</f>
        <v/>
      </c>
      <c r="N589" s="16" t="str">
        <f>IF($A589&lt;Notes!$B$5,"",IF(COUNTIFS(Release_Calendar!$A$2:$A$755,"NZ_GDP",Release_Calendar!$B$2:$B$755,$A589)&gt;0,1,0))</f>
        <v/>
      </c>
      <c r="O589" s="16" t="str">
        <f>IF($A589&lt;Notes!$B$5,"",IF(COUNTIFS(Release_Calendar!$A$2:$A$755,"NZ_LABOUR",Release_Calendar!$B$2:$B$755,$A589)&gt;0,1,0))</f>
        <v/>
      </c>
      <c r="P589" s="16">
        <f t="shared" si="4"/>
        <v>0</v>
      </c>
    </row>
    <row r="590" ht="15.75" customHeight="1">
      <c r="A590" s="14">
        <v>37350.0</v>
      </c>
      <c r="B590" s="15">
        <v>3.57</v>
      </c>
      <c r="C590" s="15"/>
      <c r="D590" s="15">
        <v>6.25</v>
      </c>
      <c r="E590" s="15"/>
      <c r="F590" s="15" t="str">
        <f t="shared" si="1"/>
        <v/>
      </c>
      <c r="G590" s="15">
        <f t="shared" si="2"/>
        <v>6.25</v>
      </c>
      <c r="H590" s="16">
        <v>1.0</v>
      </c>
      <c r="I590" s="15">
        <f t="shared" si="3"/>
        <v>2.68</v>
      </c>
      <c r="J590" s="15">
        <v>19.78</v>
      </c>
      <c r="K590" s="16">
        <f>IF(COUNTIFS(Release_Calendar!$A$2:$A$755,"US_CPI",Release_Calendar!$B$2:$B$755,$A590)&gt;0,1,0)</f>
        <v>0</v>
      </c>
      <c r="L590" s="16">
        <f>IF(COUNTIFS(Release_Calendar!$A$2:$A$755,"US_NFP",Release_Calendar!$B$2:$B$755,$A590)&gt;0,1,0)</f>
        <v>0</v>
      </c>
      <c r="M590" s="16" t="str">
        <f>IF($A590&lt;Notes!$B$5,"",IF(COUNTIFS(Release_Calendar!$A$2:$A$755,"NZ_CPI",Release_Calendar!$B$2:$B$755,$A590)&gt;0,1,0))</f>
        <v/>
      </c>
      <c r="N590" s="16" t="str">
        <f>IF($A590&lt;Notes!$B$5,"",IF(COUNTIFS(Release_Calendar!$A$2:$A$755,"NZ_GDP",Release_Calendar!$B$2:$B$755,$A590)&gt;0,1,0))</f>
        <v/>
      </c>
      <c r="O590" s="16" t="str">
        <f>IF($A590&lt;Notes!$B$5,"",IF(COUNTIFS(Release_Calendar!$A$2:$A$755,"NZ_LABOUR",Release_Calendar!$B$2:$B$755,$A590)&gt;0,1,0))</f>
        <v/>
      </c>
      <c r="P590" s="16">
        <f t="shared" si="4"/>
        <v>0</v>
      </c>
    </row>
    <row r="591" ht="15.75" customHeight="1">
      <c r="A591" s="14">
        <v>37351.0</v>
      </c>
      <c r="B591" s="15">
        <v>3.49</v>
      </c>
      <c r="C591" s="15"/>
      <c r="D591" s="15">
        <v>6.23</v>
      </c>
      <c r="E591" s="15"/>
      <c r="F591" s="15" t="str">
        <f t="shared" si="1"/>
        <v/>
      </c>
      <c r="G591" s="15">
        <f t="shared" si="2"/>
        <v>6.23</v>
      </c>
      <c r="H591" s="16">
        <v>1.0</v>
      </c>
      <c r="I591" s="15">
        <f t="shared" si="3"/>
        <v>2.74</v>
      </c>
      <c r="J591" s="15">
        <v>19.13</v>
      </c>
      <c r="K591" s="16">
        <f>IF(COUNTIFS(Release_Calendar!$A$2:$A$755,"US_CPI",Release_Calendar!$B$2:$B$755,$A591)&gt;0,1,0)</f>
        <v>0</v>
      </c>
      <c r="L591" s="16">
        <f>IF(COUNTIFS(Release_Calendar!$A$2:$A$755,"US_NFP",Release_Calendar!$B$2:$B$755,$A591)&gt;0,1,0)</f>
        <v>1</v>
      </c>
      <c r="M591" s="16" t="str">
        <f>IF($A591&lt;Notes!$B$5,"",IF(COUNTIFS(Release_Calendar!$A$2:$A$755,"NZ_CPI",Release_Calendar!$B$2:$B$755,$A591)&gt;0,1,0))</f>
        <v/>
      </c>
      <c r="N591" s="16" t="str">
        <f>IF($A591&lt;Notes!$B$5,"",IF(COUNTIFS(Release_Calendar!$A$2:$A$755,"NZ_GDP",Release_Calendar!$B$2:$B$755,$A591)&gt;0,1,0))</f>
        <v/>
      </c>
      <c r="O591" s="16" t="str">
        <f>IF($A591&lt;Notes!$B$5,"",IF(COUNTIFS(Release_Calendar!$A$2:$A$755,"NZ_LABOUR",Release_Calendar!$B$2:$B$755,$A591)&gt;0,1,0))</f>
        <v/>
      </c>
      <c r="P591" s="16">
        <f t="shared" si="4"/>
        <v>1</v>
      </c>
    </row>
    <row r="592" ht="15.75" customHeight="1">
      <c r="A592" s="14">
        <v>37354.0</v>
      </c>
      <c r="B592" s="15">
        <v>3.51</v>
      </c>
      <c r="C592" s="15"/>
      <c r="D592" s="15">
        <v>6.17</v>
      </c>
      <c r="E592" s="15"/>
      <c r="F592" s="15" t="str">
        <f t="shared" si="1"/>
        <v/>
      </c>
      <c r="G592" s="15">
        <f t="shared" si="2"/>
        <v>6.17</v>
      </c>
      <c r="H592" s="16">
        <v>1.0</v>
      </c>
      <c r="I592" s="15">
        <f t="shared" si="3"/>
        <v>2.66</v>
      </c>
      <c r="J592" s="15">
        <v>19.61</v>
      </c>
      <c r="K592" s="16">
        <f>IF(COUNTIFS(Release_Calendar!$A$2:$A$755,"US_CPI",Release_Calendar!$B$2:$B$755,$A592)&gt;0,1,0)</f>
        <v>0</v>
      </c>
      <c r="L592" s="16">
        <f>IF(COUNTIFS(Release_Calendar!$A$2:$A$755,"US_NFP",Release_Calendar!$B$2:$B$755,$A592)&gt;0,1,0)</f>
        <v>0</v>
      </c>
      <c r="M592" s="16" t="str">
        <f>IF($A592&lt;Notes!$B$5,"",IF(COUNTIFS(Release_Calendar!$A$2:$A$755,"NZ_CPI",Release_Calendar!$B$2:$B$755,$A592)&gt;0,1,0))</f>
        <v/>
      </c>
      <c r="N592" s="16" t="str">
        <f>IF($A592&lt;Notes!$B$5,"",IF(COUNTIFS(Release_Calendar!$A$2:$A$755,"NZ_GDP",Release_Calendar!$B$2:$B$755,$A592)&gt;0,1,0))</f>
        <v/>
      </c>
      <c r="O592" s="16" t="str">
        <f>IF($A592&lt;Notes!$B$5,"",IF(COUNTIFS(Release_Calendar!$A$2:$A$755,"NZ_LABOUR",Release_Calendar!$B$2:$B$755,$A592)&gt;0,1,0))</f>
        <v/>
      </c>
      <c r="P592" s="16">
        <f t="shared" si="4"/>
        <v>0</v>
      </c>
    </row>
    <row r="593" ht="15.75" customHeight="1">
      <c r="A593" s="14">
        <v>37355.0</v>
      </c>
      <c r="B593" s="15">
        <v>3.48</v>
      </c>
      <c r="C593" s="15"/>
      <c r="D593" s="15">
        <v>6.34</v>
      </c>
      <c r="E593" s="15"/>
      <c r="F593" s="15" t="str">
        <f t="shared" si="1"/>
        <v/>
      </c>
      <c r="G593" s="15">
        <f t="shared" si="2"/>
        <v>6.34</v>
      </c>
      <c r="H593" s="16">
        <v>1.0</v>
      </c>
      <c r="I593" s="15">
        <f t="shared" si="3"/>
        <v>2.86</v>
      </c>
      <c r="J593" s="15">
        <v>19.47</v>
      </c>
      <c r="K593" s="16">
        <f>IF(COUNTIFS(Release_Calendar!$A$2:$A$755,"US_CPI",Release_Calendar!$B$2:$B$755,$A593)&gt;0,1,0)</f>
        <v>0</v>
      </c>
      <c r="L593" s="16">
        <f>IF(COUNTIFS(Release_Calendar!$A$2:$A$755,"US_NFP",Release_Calendar!$B$2:$B$755,$A593)&gt;0,1,0)</f>
        <v>0</v>
      </c>
      <c r="M593" s="16" t="str">
        <f>IF($A593&lt;Notes!$B$5,"",IF(COUNTIFS(Release_Calendar!$A$2:$A$755,"NZ_CPI",Release_Calendar!$B$2:$B$755,$A593)&gt;0,1,0))</f>
        <v/>
      </c>
      <c r="N593" s="16" t="str">
        <f>IF($A593&lt;Notes!$B$5,"",IF(COUNTIFS(Release_Calendar!$A$2:$A$755,"NZ_GDP",Release_Calendar!$B$2:$B$755,$A593)&gt;0,1,0))</f>
        <v/>
      </c>
      <c r="O593" s="16" t="str">
        <f>IF($A593&lt;Notes!$B$5,"",IF(COUNTIFS(Release_Calendar!$A$2:$A$755,"NZ_LABOUR",Release_Calendar!$B$2:$B$755,$A593)&gt;0,1,0))</f>
        <v/>
      </c>
      <c r="P593" s="16">
        <f t="shared" si="4"/>
        <v>0</v>
      </c>
    </row>
    <row r="594" ht="15.75" customHeight="1">
      <c r="A594" s="14">
        <v>37356.0</v>
      </c>
      <c r="B594" s="15">
        <v>3.48</v>
      </c>
      <c r="C594" s="15"/>
      <c r="D594" s="15">
        <v>6.35</v>
      </c>
      <c r="E594" s="15"/>
      <c r="F594" s="15" t="str">
        <f t="shared" si="1"/>
        <v/>
      </c>
      <c r="G594" s="15">
        <f t="shared" si="2"/>
        <v>6.35</v>
      </c>
      <c r="H594" s="16">
        <v>1.0</v>
      </c>
      <c r="I594" s="15">
        <f t="shared" si="3"/>
        <v>2.87</v>
      </c>
      <c r="J594" s="15">
        <v>18.19</v>
      </c>
      <c r="K594" s="16">
        <f>IF(COUNTIFS(Release_Calendar!$A$2:$A$755,"US_CPI",Release_Calendar!$B$2:$B$755,$A594)&gt;0,1,0)</f>
        <v>0</v>
      </c>
      <c r="L594" s="16">
        <f>IF(COUNTIFS(Release_Calendar!$A$2:$A$755,"US_NFP",Release_Calendar!$B$2:$B$755,$A594)&gt;0,1,0)</f>
        <v>0</v>
      </c>
      <c r="M594" s="16" t="str">
        <f>IF($A594&lt;Notes!$B$5,"",IF(COUNTIFS(Release_Calendar!$A$2:$A$755,"NZ_CPI",Release_Calendar!$B$2:$B$755,$A594)&gt;0,1,0))</f>
        <v/>
      </c>
      <c r="N594" s="16" t="str">
        <f>IF($A594&lt;Notes!$B$5,"",IF(COUNTIFS(Release_Calendar!$A$2:$A$755,"NZ_GDP",Release_Calendar!$B$2:$B$755,$A594)&gt;0,1,0))</f>
        <v/>
      </c>
      <c r="O594" s="16" t="str">
        <f>IF($A594&lt;Notes!$B$5,"",IF(COUNTIFS(Release_Calendar!$A$2:$A$755,"NZ_LABOUR",Release_Calendar!$B$2:$B$755,$A594)&gt;0,1,0))</f>
        <v/>
      </c>
      <c r="P594" s="16">
        <f t="shared" si="4"/>
        <v>0</v>
      </c>
    </row>
    <row r="595" ht="15.75" customHeight="1">
      <c r="A595" s="14">
        <v>37357.0</v>
      </c>
      <c r="B595" s="15">
        <v>3.47</v>
      </c>
      <c r="C595" s="15"/>
      <c r="D595" s="15">
        <v>6.38</v>
      </c>
      <c r="E595" s="15"/>
      <c r="F595" s="15" t="str">
        <f t="shared" si="1"/>
        <v/>
      </c>
      <c r="G595" s="15">
        <f t="shared" si="2"/>
        <v>6.38</v>
      </c>
      <c r="H595" s="16">
        <v>1.0</v>
      </c>
      <c r="I595" s="15">
        <f t="shared" si="3"/>
        <v>2.91</v>
      </c>
      <c r="J595" s="15">
        <v>20.3</v>
      </c>
      <c r="K595" s="16">
        <f>IF(COUNTIFS(Release_Calendar!$A$2:$A$755,"US_CPI",Release_Calendar!$B$2:$B$755,$A595)&gt;0,1,0)</f>
        <v>0</v>
      </c>
      <c r="L595" s="16">
        <f>IF(COUNTIFS(Release_Calendar!$A$2:$A$755,"US_NFP",Release_Calendar!$B$2:$B$755,$A595)&gt;0,1,0)</f>
        <v>0</v>
      </c>
      <c r="M595" s="16" t="str">
        <f>IF($A595&lt;Notes!$B$5,"",IF(COUNTIFS(Release_Calendar!$A$2:$A$755,"NZ_CPI",Release_Calendar!$B$2:$B$755,$A595)&gt;0,1,0))</f>
        <v/>
      </c>
      <c r="N595" s="16" t="str">
        <f>IF($A595&lt;Notes!$B$5,"",IF(COUNTIFS(Release_Calendar!$A$2:$A$755,"NZ_GDP",Release_Calendar!$B$2:$B$755,$A595)&gt;0,1,0))</f>
        <v/>
      </c>
      <c r="O595" s="16" t="str">
        <f>IF($A595&lt;Notes!$B$5,"",IF(COUNTIFS(Release_Calendar!$A$2:$A$755,"NZ_LABOUR",Release_Calendar!$B$2:$B$755,$A595)&gt;0,1,0))</f>
        <v/>
      </c>
      <c r="P595" s="16">
        <f t="shared" si="4"/>
        <v>0</v>
      </c>
    </row>
    <row r="596" ht="15.75" customHeight="1">
      <c r="A596" s="14">
        <v>37358.0</v>
      </c>
      <c r="B596" s="15">
        <v>3.41</v>
      </c>
      <c r="C596" s="15"/>
      <c r="D596" s="15">
        <v>6.45</v>
      </c>
      <c r="E596" s="15"/>
      <c r="F596" s="15" t="str">
        <f t="shared" si="1"/>
        <v/>
      </c>
      <c r="G596" s="15">
        <f t="shared" si="2"/>
        <v>6.45</v>
      </c>
      <c r="H596" s="16">
        <v>1.0</v>
      </c>
      <c r="I596" s="15">
        <f t="shared" si="3"/>
        <v>3.04</v>
      </c>
      <c r="J596" s="15">
        <v>19.42</v>
      </c>
      <c r="K596" s="16">
        <f>IF(COUNTIFS(Release_Calendar!$A$2:$A$755,"US_CPI",Release_Calendar!$B$2:$B$755,$A596)&gt;0,1,0)</f>
        <v>0</v>
      </c>
      <c r="L596" s="16">
        <f>IF(COUNTIFS(Release_Calendar!$A$2:$A$755,"US_NFP",Release_Calendar!$B$2:$B$755,$A596)&gt;0,1,0)</f>
        <v>0</v>
      </c>
      <c r="M596" s="16" t="str">
        <f>IF($A596&lt;Notes!$B$5,"",IF(COUNTIFS(Release_Calendar!$A$2:$A$755,"NZ_CPI",Release_Calendar!$B$2:$B$755,$A596)&gt;0,1,0))</f>
        <v/>
      </c>
      <c r="N596" s="16" t="str">
        <f>IF($A596&lt;Notes!$B$5,"",IF(COUNTIFS(Release_Calendar!$A$2:$A$755,"NZ_GDP",Release_Calendar!$B$2:$B$755,$A596)&gt;0,1,0))</f>
        <v/>
      </c>
      <c r="O596" s="16" t="str">
        <f>IF($A596&lt;Notes!$B$5,"",IF(COUNTIFS(Release_Calendar!$A$2:$A$755,"NZ_LABOUR",Release_Calendar!$B$2:$B$755,$A596)&gt;0,1,0))</f>
        <v/>
      </c>
      <c r="P596" s="16">
        <f t="shared" si="4"/>
        <v>0</v>
      </c>
    </row>
    <row r="597" ht="15.75" customHeight="1">
      <c r="A597" s="14">
        <v>37361.0</v>
      </c>
      <c r="B597" s="15">
        <v>3.38</v>
      </c>
      <c r="C597" s="15"/>
      <c r="D597" s="15">
        <v>6.39</v>
      </c>
      <c r="E597" s="15"/>
      <c r="F597" s="15" t="str">
        <f t="shared" si="1"/>
        <v/>
      </c>
      <c r="G597" s="15">
        <f t="shared" si="2"/>
        <v>6.39</v>
      </c>
      <c r="H597" s="16">
        <v>1.0</v>
      </c>
      <c r="I597" s="15">
        <f t="shared" si="3"/>
        <v>3.01</v>
      </c>
      <c r="J597" s="15">
        <v>19.82</v>
      </c>
      <c r="K597" s="16">
        <f>IF(COUNTIFS(Release_Calendar!$A$2:$A$755,"US_CPI",Release_Calendar!$B$2:$B$755,$A597)&gt;0,1,0)</f>
        <v>0</v>
      </c>
      <c r="L597" s="16">
        <f>IF(COUNTIFS(Release_Calendar!$A$2:$A$755,"US_NFP",Release_Calendar!$B$2:$B$755,$A597)&gt;0,1,0)</f>
        <v>0</v>
      </c>
      <c r="M597" s="16" t="str">
        <f>IF($A597&lt;Notes!$B$5,"",IF(COUNTIFS(Release_Calendar!$A$2:$A$755,"NZ_CPI",Release_Calendar!$B$2:$B$755,$A597)&gt;0,1,0))</f>
        <v/>
      </c>
      <c r="N597" s="16" t="str">
        <f>IF($A597&lt;Notes!$B$5,"",IF(COUNTIFS(Release_Calendar!$A$2:$A$755,"NZ_GDP",Release_Calendar!$B$2:$B$755,$A597)&gt;0,1,0))</f>
        <v/>
      </c>
      <c r="O597" s="16" t="str">
        <f>IF($A597&lt;Notes!$B$5,"",IF(COUNTIFS(Release_Calendar!$A$2:$A$755,"NZ_LABOUR",Release_Calendar!$B$2:$B$755,$A597)&gt;0,1,0))</f>
        <v/>
      </c>
      <c r="P597" s="16">
        <f t="shared" si="4"/>
        <v>0</v>
      </c>
    </row>
    <row r="598" ht="15.75" customHeight="1">
      <c r="A598" s="14">
        <v>37362.0</v>
      </c>
      <c r="B598" s="15">
        <v>3.43</v>
      </c>
      <c r="C598" s="15"/>
      <c r="D598" s="15">
        <v>6.33</v>
      </c>
      <c r="E598" s="15"/>
      <c r="F598" s="15" t="str">
        <f t="shared" si="1"/>
        <v/>
      </c>
      <c r="G598" s="15">
        <f t="shared" si="2"/>
        <v>6.33</v>
      </c>
      <c r="H598" s="16">
        <v>1.0</v>
      </c>
      <c r="I598" s="15">
        <f t="shared" si="3"/>
        <v>2.9</v>
      </c>
      <c r="J598" s="15">
        <v>18.11</v>
      </c>
      <c r="K598" s="16">
        <f>IF(COUNTIFS(Release_Calendar!$A$2:$A$755,"US_CPI",Release_Calendar!$B$2:$B$755,$A598)&gt;0,1,0)</f>
        <v>1</v>
      </c>
      <c r="L598" s="16">
        <f>IF(COUNTIFS(Release_Calendar!$A$2:$A$755,"US_NFP",Release_Calendar!$B$2:$B$755,$A598)&gt;0,1,0)</f>
        <v>0</v>
      </c>
      <c r="M598" s="16" t="str">
        <f>IF($A598&lt;Notes!$B$5,"",IF(COUNTIFS(Release_Calendar!$A$2:$A$755,"NZ_CPI",Release_Calendar!$B$2:$B$755,$A598)&gt;0,1,0))</f>
        <v/>
      </c>
      <c r="N598" s="16" t="str">
        <f>IF($A598&lt;Notes!$B$5,"",IF(COUNTIFS(Release_Calendar!$A$2:$A$755,"NZ_GDP",Release_Calendar!$B$2:$B$755,$A598)&gt;0,1,0))</f>
        <v/>
      </c>
      <c r="O598" s="16" t="str">
        <f>IF($A598&lt;Notes!$B$5,"",IF(COUNTIFS(Release_Calendar!$A$2:$A$755,"NZ_LABOUR",Release_Calendar!$B$2:$B$755,$A598)&gt;0,1,0))</f>
        <v/>
      </c>
      <c r="P598" s="16">
        <f t="shared" si="4"/>
        <v>1</v>
      </c>
    </row>
    <row r="599" ht="15.75" customHeight="1">
      <c r="A599" s="14">
        <v>37363.0</v>
      </c>
      <c r="B599" s="15">
        <v>3.41</v>
      </c>
      <c r="C599" s="15"/>
      <c r="D599" s="15">
        <v>6.31</v>
      </c>
      <c r="E599" s="15"/>
      <c r="F599" s="15" t="str">
        <f t="shared" si="1"/>
        <v/>
      </c>
      <c r="G599" s="15">
        <f t="shared" si="2"/>
        <v>6.31</v>
      </c>
      <c r="H599" s="16">
        <v>1.0</v>
      </c>
      <c r="I599" s="15">
        <f t="shared" si="3"/>
        <v>2.9</v>
      </c>
      <c r="J599" s="15">
        <v>18.43</v>
      </c>
      <c r="K599" s="16">
        <f>IF(COUNTIFS(Release_Calendar!$A$2:$A$755,"US_CPI",Release_Calendar!$B$2:$B$755,$A599)&gt;0,1,0)</f>
        <v>0</v>
      </c>
      <c r="L599" s="16">
        <f>IF(COUNTIFS(Release_Calendar!$A$2:$A$755,"US_NFP",Release_Calendar!$B$2:$B$755,$A599)&gt;0,1,0)</f>
        <v>0</v>
      </c>
      <c r="M599" s="16" t="str">
        <f>IF($A599&lt;Notes!$B$5,"",IF(COUNTIFS(Release_Calendar!$A$2:$A$755,"NZ_CPI",Release_Calendar!$B$2:$B$755,$A599)&gt;0,1,0))</f>
        <v/>
      </c>
      <c r="N599" s="16" t="str">
        <f>IF($A599&lt;Notes!$B$5,"",IF(COUNTIFS(Release_Calendar!$A$2:$A$755,"NZ_GDP",Release_Calendar!$B$2:$B$755,$A599)&gt;0,1,0))</f>
        <v/>
      </c>
      <c r="O599" s="16" t="str">
        <f>IF($A599&lt;Notes!$B$5,"",IF(COUNTIFS(Release_Calendar!$A$2:$A$755,"NZ_LABOUR",Release_Calendar!$B$2:$B$755,$A599)&gt;0,1,0))</f>
        <v/>
      </c>
      <c r="P599" s="16">
        <f t="shared" si="4"/>
        <v>0</v>
      </c>
    </row>
    <row r="600" ht="15.75" customHeight="1">
      <c r="A600" s="14">
        <v>37364.0</v>
      </c>
      <c r="B600" s="15">
        <v>3.38</v>
      </c>
      <c r="C600" s="15"/>
      <c r="D600" s="15">
        <v>6.19</v>
      </c>
      <c r="E600" s="15"/>
      <c r="F600" s="15" t="str">
        <f t="shared" si="1"/>
        <v/>
      </c>
      <c r="G600" s="15">
        <f t="shared" si="2"/>
        <v>6.19</v>
      </c>
      <c r="H600" s="16">
        <v>1.0</v>
      </c>
      <c r="I600" s="15">
        <f t="shared" si="3"/>
        <v>2.81</v>
      </c>
      <c r="J600" s="15">
        <v>19.29</v>
      </c>
      <c r="K600" s="16">
        <f>IF(COUNTIFS(Release_Calendar!$A$2:$A$755,"US_CPI",Release_Calendar!$B$2:$B$755,$A600)&gt;0,1,0)</f>
        <v>0</v>
      </c>
      <c r="L600" s="16">
        <f>IF(COUNTIFS(Release_Calendar!$A$2:$A$755,"US_NFP",Release_Calendar!$B$2:$B$755,$A600)&gt;0,1,0)</f>
        <v>0</v>
      </c>
      <c r="M600" s="16" t="str">
        <f>IF($A600&lt;Notes!$B$5,"",IF(COUNTIFS(Release_Calendar!$A$2:$A$755,"NZ_CPI",Release_Calendar!$B$2:$B$755,$A600)&gt;0,1,0))</f>
        <v/>
      </c>
      <c r="N600" s="16" t="str">
        <f>IF($A600&lt;Notes!$B$5,"",IF(COUNTIFS(Release_Calendar!$A$2:$A$755,"NZ_GDP",Release_Calendar!$B$2:$B$755,$A600)&gt;0,1,0))</f>
        <v/>
      </c>
      <c r="O600" s="16" t="str">
        <f>IF($A600&lt;Notes!$B$5,"",IF(COUNTIFS(Release_Calendar!$A$2:$A$755,"NZ_LABOUR",Release_Calendar!$B$2:$B$755,$A600)&gt;0,1,0))</f>
        <v/>
      </c>
      <c r="P600" s="16">
        <f t="shared" si="4"/>
        <v>0</v>
      </c>
    </row>
    <row r="601" ht="15.75" customHeight="1">
      <c r="A601" s="14">
        <v>37365.0</v>
      </c>
      <c r="B601" s="15">
        <v>3.36</v>
      </c>
      <c r="C601" s="15"/>
      <c r="D601" s="15">
        <v>6.16</v>
      </c>
      <c r="E601" s="15"/>
      <c r="F601" s="15" t="str">
        <f t="shared" si="1"/>
        <v/>
      </c>
      <c r="G601" s="15">
        <f t="shared" si="2"/>
        <v>6.16</v>
      </c>
      <c r="H601" s="16">
        <v>1.0</v>
      </c>
      <c r="I601" s="15">
        <f t="shared" si="3"/>
        <v>2.8</v>
      </c>
      <c r="J601" s="15">
        <v>18.3</v>
      </c>
      <c r="K601" s="16">
        <f>IF(COUNTIFS(Release_Calendar!$A$2:$A$755,"US_CPI",Release_Calendar!$B$2:$B$755,$A601)&gt;0,1,0)</f>
        <v>0</v>
      </c>
      <c r="L601" s="16">
        <f>IF(COUNTIFS(Release_Calendar!$A$2:$A$755,"US_NFP",Release_Calendar!$B$2:$B$755,$A601)&gt;0,1,0)</f>
        <v>0</v>
      </c>
      <c r="M601" s="16" t="str">
        <f>IF($A601&lt;Notes!$B$5,"",IF(COUNTIFS(Release_Calendar!$A$2:$A$755,"NZ_CPI",Release_Calendar!$B$2:$B$755,$A601)&gt;0,1,0))</f>
        <v/>
      </c>
      <c r="N601" s="16" t="str">
        <f>IF($A601&lt;Notes!$B$5,"",IF(COUNTIFS(Release_Calendar!$A$2:$A$755,"NZ_GDP",Release_Calendar!$B$2:$B$755,$A601)&gt;0,1,0))</f>
        <v/>
      </c>
      <c r="O601" s="16" t="str">
        <f>IF($A601&lt;Notes!$B$5,"",IF(COUNTIFS(Release_Calendar!$A$2:$A$755,"NZ_LABOUR",Release_Calendar!$B$2:$B$755,$A601)&gt;0,1,0))</f>
        <v/>
      </c>
      <c r="P601" s="16">
        <f t="shared" si="4"/>
        <v>0</v>
      </c>
    </row>
    <row r="602" ht="15.75" customHeight="1">
      <c r="A602" s="14">
        <v>37368.0</v>
      </c>
      <c r="B602" s="15">
        <v>3.37</v>
      </c>
      <c r="C602" s="15"/>
      <c r="D602" s="15">
        <v>6.24</v>
      </c>
      <c r="E602" s="15"/>
      <c r="F602" s="15" t="str">
        <f t="shared" si="1"/>
        <v/>
      </c>
      <c r="G602" s="15">
        <f t="shared" si="2"/>
        <v>6.24</v>
      </c>
      <c r="H602" s="16">
        <v>1.0</v>
      </c>
      <c r="I602" s="15">
        <f t="shared" si="3"/>
        <v>2.87</v>
      </c>
      <c r="J602" s="15">
        <v>19.77</v>
      </c>
      <c r="K602" s="16">
        <f>IF(COUNTIFS(Release_Calendar!$A$2:$A$755,"US_CPI",Release_Calendar!$B$2:$B$755,$A602)&gt;0,1,0)</f>
        <v>0</v>
      </c>
      <c r="L602" s="16">
        <f>IF(COUNTIFS(Release_Calendar!$A$2:$A$755,"US_NFP",Release_Calendar!$B$2:$B$755,$A602)&gt;0,1,0)</f>
        <v>0</v>
      </c>
      <c r="M602" s="16" t="str">
        <f>IF($A602&lt;Notes!$B$5,"",IF(COUNTIFS(Release_Calendar!$A$2:$A$755,"NZ_CPI",Release_Calendar!$B$2:$B$755,$A602)&gt;0,1,0))</f>
        <v/>
      </c>
      <c r="N602" s="16" t="str">
        <f>IF($A602&lt;Notes!$B$5,"",IF(COUNTIFS(Release_Calendar!$A$2:$A$755,"NZ_GDP",Release_Calendar!$B$2:$B$755,$A602)&gt;0,1,0))</f>
        <v/>
      </c>
      <c r="O602" s="16" t="str">
        <f>IF($A602&lt;Notes!$B$5,"",IF(COUNTIFS(Release_Calendar!$A$2:$A$755,"NZ_LABOUR",Release_Calendar!$B$2:$B$755,$A602)&gt;0,1,0))</f>
        <v/>
      </c>
      <c r="P602" s="16">
        <f t="shared" si="4"/>
        <v>0</v>
      </c>
    </row>
    <row r="603" ht="15.75" customHeight="1">
      <c r="A603" s="14">
        <v>37369.0</v>
      </c>
      <c r="B603" s="15">
        <v>3.39</v>
      </c>
      <c r="C603" s="15"/>
      <c r="D603" s="15">
        <v>6.22</v>
      </c>
      <c r="E603" s="15"/>
      <c r="F603" s="15" t="str">
        <f t="shared" si="1"/>
        <v/>
      </c>
      <c r="G603" s="15">
        <f t="shared" si="2"/>
        <v>6.22</v>
      </c>
      <c r="H603" s="16">
        <v>1.0</v>
      </c>
      <c r="I603" s="15">
        <f t="shared" si="3"/>
        <v>2.83</v>
      </c>
      <c r="J603" s="15">
        <v>20.28</v>
      </c>
      <c r="K603" s="16">
        <f>IF(COUNTIFS(Release_Calendar!$A$2:$A$755,"US_CPI",Release_Calendar!$B$2:$B$755,$A603)&gt;0,1,0)</f>
        <v>0</v>
      </c>
      <c r="L603" s="16">
        <f>IF(COUNTIFS(Release_Calendar!$A$2:$A$755,"US_NFP",Release_Calendar!$B$2:$B$755,$A603)&gt;0,1,0)</f>
        <v>0</v>
      </c>
      <c r="M603" s="16" t="str">
        <f>IF($A603&lt;Notes!$B$5,"",IF(COUNTIFS(Release_Calendar!$A$2:$A$755,"NZ_CPI",Release_Calendar!$B$2:$B$755,$A603)&gt;0,1,0))</f>
        <v/>
      </c>
      <c r="N603" s="16" t="str">
        <f>IF($A603&lt;Notes!$B$5,"",IF(COUNTIFS(Release_Calendar!$A$2:$A$755,"NZ_GDP",Release_Calendar!$B$2:$B$755,$A603)&gt;0,1,0))</f>
        <v/>
      </c>
      <c r="O603" s="16" t="str">
        <f>IF($A603&lt;Notes!$B$5,"",IF(COUNTIFS(Release_Calendar!$A$2:$A$755,"NZ_LABOUR",Release_Calendar!$B$2:$B$755,$A603)&gt;0,1,0))</f>
        <v/>
      </c>
      <c r="P603" s="16">
        <f t="shared" si="4"/>
        <v>0</v>
      </c>
    </row>
    <row r="604" ht="15.75" customHeight="1">
      <c r="A604" s="14">
        <v>37370.0</v>
      </c>
      <c r="B604" s="15">
        <v>3.28</v>
      </c>
      <c r="C604" s="15"/>
      <c r="D604" s="15">
        <v>6.22</v>
      </c>
      <c r="E604" s="15"/>
      <c r="F604" s="15" t="str">
        <f t="shared" si="1"/>
        <v/>
      </c>
      <c r="G604" s="15">
        <f t="shared" si="2"/>
        <v>6.22</v>
      </c>
      <c r="H604" s="16">
        <v>1.0</v>
      </c>
      <c r="I604" s="15">
        <f t="shared" si="3"/>
        <v>2.94</v>
      </c>
      <c r="J604" s="15">
        <v>20.77</v>
      </c>
      <c r="K604" s="16">
        <f>IF(COUNTIFS(Release_Calendar!$A$2:$A$755,"US_CPI",Release_Calendar!$B$2:$B$755,$A604)&gt;0,1,0)</f>
        <v>0</v>
      </c>
      <c r="L604" s="16">
        <f>IF(COUNTIFS(Release_Calendar!$A$2:$A$755,"US_NFP",Release_Calendar!$B$2:$B$755,$A604)&gt;0,1,0)</f>
        <v>0</v>
      </c>
      <c r="M604" s="16" t="str">
        <f>IF($A604&lt;Notes!$B$5,"",IF(COUNTIFS(Release_Calendar!$A$2:$A$755,"NZ_CPI",Release_Calendar!$B$2:$B$755,$A604)&gt;0,1,0))</f>
        <v/>
      </c>
      <c r="N604" s="16" t="str">
        <f>IF($A604&lt;Notes!$B$5,"",IF(COUNTIFS(Release_Calendar!$A$2:$A$755,"NZ_GDP",Release_Calendar!$B$2:$B$755,$A604)&gt;0,1,0))</f>
        <v/>
      </c>
      <c r="O604" s="16" t="str">
        <f>IF($A604&lt;Notes!$B$5,"",IF(COUNTIFS(Release_Calendar!$A$2:$A$755,"NZ_LABOUR",Release_Calendar!$B$2:$B$755,$A604)&gt;0,1,0))</f>
        <v/>
      </c>
      <c r="P604" s="16">
        <f t="shared" si="4"/>
        <v>0</v>
      </c>
    </row>
    <row r="605" ht="15.75" customHeight="1">
      <c r="A605" s="14">
        <v>37371.0</v>
      </c>
      <c r="B605" s="15">
        <v>3.25</v>
      </c>
      <c r="C605" s="15"/>
      <c r="D605" s="15"/>
      <c r="E605" s="15"/>
      <c r="F605" s="15" t="str">
        <f t="shared" si="1"/>
        <v/>
      </c>
      <c r="G605" s="15" t="str">
        <f t="shared" si="2"/>
        <v/>
      </c>
      <c r="H605" s="16">
        <v>1.0</v>
      </c>
      <c r="I605" s="15" t="str">
        <f t="shared" si="3"/>
        <v/>
      </c>
      <c r="J605" s="15">
        <v>20.95</v>
      </c>
      <c r="K605" s="16">
        <f>IF(COUNTIFS(Release_Calendar!$A$2:$A$755,"US_CPI",Release_Calendar!$B$2:$B$755,$A605)&gt;0,1,0)</f>
        <v>0</v>
      </c>
      <c r="L605" s="16">
        <f>IF(COUNTIFS(Release_Calendar!$A$2:$A$755,"US_NFP",Release_Calendar!$B$2:$B$755,$A605)&gt;0,1,0)</f>
        <v>0</v>
      </c>
      <c r="M605" s="16" t="str">
        <f>IF($A605&lt;Notes!$B$5,"",IF(COUNTIFS(Release_Calendar!$A$2:$A$755,"NZ_CPI",Release_Calendar!$B$2:$B$755,$A605)&gt;0,1,0))</f>
        <v/>
      </c>
      <c r="N605" s="16" t="str">
        <f>IF($A605&lt;Notes!$B$5,"",IF(COUNTIFS(Release_Calendar!$A$2:$A$755,"NZ_GDP",Release_Calendar!$B$2:$B$755,$A605)&gt;0,1,0))</f>
        <v/>
      </c>
      <c r="O605" s="16" t="str">
        <f>IF($A605&lt;Notes!$B$5,"",IF(COUNTIFS(Release_Calendar!$A$2:$A$755,"NZ_LABOUR",Release_Calendar!$B$2:$B$755,$A605)&gt;0,1,0))</f>
        <v/>
      </c>
      <c r="P605" s="16">
        <f t="shared" si="4"/>
        <v>0</v>
      </c>
    </row>
    <row r="606" ht="15.75" customHeight="1">
      <c r="A606" s="14">
        <v>37372.0</v>
      </c>
      <c r="B606" s="15">
        <v>3.22</v>
      </c>
      <c r="C606" s="15"/>
      <c r="D606" s="15">
        <v>6.07</v>
      </c>
      <c r="E606" s="15"/>
      <c r="F606" s="15" t="str">
        <f t="shared" si="1"/>
        <v/>
      </c>
      <c r="G606" s="15">
        <f t="shared" si="2"/>
        <v>6.07</v>
      </c>
      <c r="H606" s="16">
        <v>1.0</v>
      </c>
      <c r="I606" s="15">
        <f t="shared" si="3"/>
        <v>2.85</v>
      </c>
      <c r="J606" s="15">
        <v>22.14</v>
      </c>
      <c r="K606" s="16">
        <f>IF(COUNTIFS(Release_Calendar!$A$2:$A$755,"US_CPI",Release_Calendar!$B$2:$B$755,$A606)&gt;0,1,0)</f>
        <v>0</v>
      </c>
      <c r="L606" s="16">
        <f>IF(COUNTIFS(Release_Calendar!$A$2:$A$755,"US_NFP",Release_Calendar!$B$2:$B$755,$A606)&gt;0,1,0)</f>
        <v>0</v>
      </c>
      <c r="M606" s="16" t="str">
        <f>IF($A606&lt;Notes!$B$5,"",IF(COUNTIFS(Release_Calendar!$A$2:$A$755,"NZ_CPI",Release_Calendar!$B$2:$B$755,$A606)&gt;0,1,0))</f>
        <v/>
      </c>
      <c r="N606" s="16" t="str">
        <f>IF($A606&lt;Notes!$B$5,"",IF(COUNTIFS(Release_Calendar!$A$2:$A$755,"NZ_GDP",Release_Calendar!$B$2:$B$755,$A606)&gt;0,1,0))</f>
        <v/>
      </c>
      <c r="O606" s="16" t="str">
        <f>IF($A606&lt;Notes!$B$5,"",IF(COUNTIFS(Release_Calendar!$A$2:$A$755,"NZ_LABOUR",Release_Calendar!$B$2:$B$755,$A606)&gt;0,1,0))</f>
        <v/>
      </c>
      <c r="P606" s="16">
        <f t="shared" si="4"/>
        <v>0</v>
      </c>
    </row>
    <row r="607" ht="15.75" customHeight="1">
      <c r="A607" s="14">
        <v>37375.0</v>
      </c>
      <c r="B607" s="15">
        <v>3.26</v>
      </c>
      <c r="C607" s="15"/>
      <c r="D607" s="15">
        <v>6.01</v>
      </c>
      <c r="E607" s="15"/>
      <c r="F607" s="15" t="str">
        <f t="shared" si="1"/>
        <v/>
      </c>
      <c r="G607" s="15">
        <f t="shared" si="2"/>
        <v>6.01</v>
      </c>
      <c r="H607" s="16">
        <v>1.0</v>
      </c>
      <c r="I607" s="15">
        <f t="shared" si="3"/>
        <v>2.75</v>
      </c>
      <c r="J607" s="15">
        <v>24.05</v>
      </c>
      <c r="K607" s="16">
        <f>IF(COUNTIFS(Release_Calendar!$A$2:$A$755,"US_CPI",Release_Calendar!$B$2:$B$755,$A607)&gt;0,1,0)</f>
        <v>0</v>
      </c>
      <c r="L607" s="16">
        <f>IF(COUNTIFS(Release_Calendar!$A$2:$A$755,"US_NFP",Release_Calendar!$B$2:$B$755,$A607)&gt;0,1,0)</f>
        <v>0</v>
      </c>
      <c r="M607" s="16" t="str">
        <f>IF($A607&lt;Notes!$B$5,"",IF(COUNTIFS(Release_Calendar!$A$2:$A$755,"NZ_CPI",Release_Calendar!$B$2:$B$755,$A607)&gt;0,1,0))</f>
        <v/>
      </c>
      <c r="N607" s="16" t="str">
        <f>IF($A607&lt;Notes!$B$5,"",IF(COUNTIFS(Release_Calendar!$A$2:$A$755,"NZ_GDP",Release_Calendar!$B$2:$B$755,$A607)&gt;0,1,0))</f>
        <v/>
      </c>
      <c r="O607" s="16" t="str">
        <f>IF($A607&lt;Notes!$B$5,"",IF(COUNTIFS(Release_Calendar!$A$2:$A$755,"NZ_LABOUR",Release_Calendar!$B$2:$B$755,$A607)&gt;0,1,0))</f>
        <v/>
      </c>
      <c r="P607" s="16">
        <f t="shared" si="4"/>
        <v>0</v>
      </c>
    </row>
    <row r="608" ht="15.75" customHeight="1">
      <c r="A608" s="14">
        <v>37376.0</v>
      </c>
      <c r="B608" s="15">
        <v>3.24</v>
      </c>
      <c r="C608" s="15"/>
      <c r="D608" s="15">
        <v>6.08</v>
      </c>
      <c r="E608" s="15"/>
      <c r="F608" s="15" t="str">
        <f t="shared" si="1"/>
        <v/>
      </c>
      <c r="G608" s="15">
        <f t="shared" si="2"/>
        <v>6.08</v>
      </c>
      <c r="H608" s="16">
        <v>1.0</v>
      </c>
      <c r="I608" s="15">
        <f t="shared" si="3"/>
        <v>2.84</v>
      </c>
      <c r="J608" s="15">
        <v>21.91</v>
      </c>
      <c r="K608" s="16">
        <f>IF(COUNTIFS(Release_Calendar!$A$2:$A$755,"US_CPI",Release_Calendar!$B$2:$B$755,$A608)&gt;0,1,0)</f>
        <v>0</v>
      </c>
      <c r="L608" s="16">
        <f>IF(COUNTIFS(Release_Calendar!$A$2:$A$755,"US_NFP",Release_Calendar!$B$2:$B$755,$A608)&gt;0,1,0)</f>
        <v>0</v>
      </c>
      <c r="M608" s="16" t="str">
        <f>IF($A608&lt;Notes!$B$5,"",IF(COUNTIFS(Release_Calendar!$A$2:$A$755,"NZ_CPI",Release_Calendar!$B$2:$B$755,$A608)&gt;0,1,0))</f>
        <v/>
      </c>
      <c r="N608" s="16" t="str">
        <f>IF($A608&lt;Notes!$B$5,"",IF(COUNTIFS(Release_Calendar!$A$2:$A$755,"NZ_GDP",Release_Calendar!$B$2:$B$755,$A608)&gt;0,1,0))</f>
        <v/>
      </c>
      <c r="O608" s="16" t="str">
        <f>IF($A608&lt;Notes!$B$5,"",IF(COUNTIFS(Release_Calendar!$A$2:$A$755,"NZ_LABOUR",Release_Calendar!$B$2:$B$755,$A608)&gt;0,1,0))</f>
        <v/>
      </c>
      <c r="P608" s="16">
        <f t="shared" si="4"/>
        <v>0</v>
      </c>
    </row>
    <row r="609" ht="15.75" customHeight="1">
      <c r="A609" s="14">
        <v>37377.0</v>
      </c>
      <c r="B609" s="15">
        <v>3.21</v>
      </c>
      <c r="C609" s="15"/>
      <c r="D609" s="15">
        <v>6.1</v>
      </c>
      <c r="E609" s="15"/>
      <c r="F609" s="15" t="str">
        <f t="shared" si="1"/>
        <v/>
      </c>
      <c r="G609" s="15">
        <f t="shared" si="2"/>
        <v>6.1</v>
      </c>
      <c r="H609" s="16">
        <v>1.0</v>
      </c>
      <c r="I609" s="15">
        <f t="shared" si="3"/>
        <v>2.89</v>
      </c>
      <c r="J609" s="15">
        <v>20.06</v>
      </c>
      <c r="K609" s="16">
        <f>IF(COUNTIFS(Release_Calendar!$A$2:$A$755,"US_CPI",Release_Calendar!$B$2:$B$755,$A609)&gt;0,1,0)</f>
        <v>0</v>
      </c>
      <c r="L609" s="16">
        <f>IF(COUNTIFS(Release_Calendar!$A$2:$A$755,"US_NFP",Release_Calendar!$B$2:$B$755,$A609)&gt;0,1,0)</f>
        <v>0</v>
      </c>
      <c r="M609" s="16" t="str">
        <f>IF($A609&lt;Notes!$B$5,"",IF(COUNTIFS(Release_Calendar!$A$2:$A$755,"NZ_CPI",Release_Calendar!$B$2:$B$755,$A609)&gt;0,1,0))</f>
        <v/>
      </c>
      <c r="N609" s="16" t="str">
        <f>IF($A609&lt;Notes!$B$5,"",IF(COUNTIFS(Release_Calendar!$A$2:$A$755,"NZ_GDP",Release_Calendar!$B$2:$B$755,$A609)&gt;0,1,0))</f>
        <v/>
      </c>
      <c r="O609" s="16" t="str">
        <f>IF($A609&lt;Notes!$B$5,"",IF(COUNTIFS(Release_Calendar!$A$2:$A$755,"NZ_LABOUR",Release_Calendar!$B$2:$B$755,$A609)&gt;0,1,0))</f>
        <v/>
      </c>
      <c r="P609" s="16">
        <f t="shared" si="4"/>
        <v>0</v>
      </c>
    </row>
    <row r="610" ht="15.75" customHeight="1">
      <c r="A610" s="14">
        <v>37378.0</v>
      </c>
      <c r="B610" s="15">
        <v>3.25</v>
      </c>
      <c r="C610" s="15"/>
      <c r="D610" s="15">
        <v>6.07</v>
      </c>
      <c r="E610" s="15"/>
      <c r="F610" s="15" t="str">
        <f t="shared" si="1"/>
        <v/>
      </c>
      <c r="G610" s="15">
        <f t="shared" si="2"/>
        <v>6.07</v>
      </c>
      <c r="H610" s="16">
        <v>1.0</v>
      </c>
      <c r="I610" s="15">
        <f t="shared" si="3"/>
        <v>2.82</v>
      </c>
      <c r="J610" s="15">
        <v>20.07</v>
      </c>
      <c r="K610" s="16">
        <f>IF(COUNTIFS(Release_Calendar!$A$2:$A$755,"US_CPI",Release_Calendar!$B$2:$B$755,$A610)&gt;0,1,0)</f>
        <v>0</v>
      </c>
      <c r="L610" s="16">
        <f>IF(COUNTIFS(Release_Calendar!$A$2:$A$755,"US_NFP",Release_Calendar!$B$2:$B$755,$A610)&gt;0,1,0)</f>
        <v>0</v>
      </c>
      <c r="M610" s="16" t="str">
        <f>IF($A610&lt;Notes!$B$5,"",IF(COUNTIFS(Release_Calendar!$A$2:$A$755,"NZ_CPI",Release_Calendar!$B$2:$B$755,$A610)&gt;0,1,0))</f>
        <v/>
      </c>
      <c r="N610" s="16" t="str">
        <f>IF($A610&lt;Notes!$B$5,"",IF(COUNTIFS(Release_Calendar!$A$2:$A$755,"NZ_GDP",Release_Calendar!$B$2:$B$755,$A610)&gt;0,1,0))</f>
        <v/>
      </c>
      <c r="O610" s="16" t="str">
        <f>IF($A610&lt;Notes!$B$5,"",IF(COUNTIFS(Release_Calendar!$A$2:$A$755,"NZ_LABOUR",Release_Calendar!$B$2:$B$755,$A610)&gt;0,1,0))</f>
        <v/>
      </c>
      <c r="P610" s="16">
        <f t="shared" si="4"/>
        <v>0</v>
      </c>
    </row>
    <row r="611" ht="15.75" customHeight="1">
      <c r="A611" s="14">
        <v>37379.0</v>
      </c>
      <c r="B611" s="15">
        <v>3.17</v>
      </c>
      <c r="C611" s="15"/>
      <c r="D611" s="15">
        <v>6.15</v>
      </c>
      <c r="E611" s="15"/>
      <c r="F611" s="15" t="str">
        <f t="shared" si="1"/>
        <v/>
      </c>
      <c r="G611" s="15">
        <f t="shared" si="2"/>
        <v>6.15</v>
      </c>
      <c r="H611" s="16">
        <v>1.0</v>
      </c>
      <c r="I611" s="15">
        <f t="shared" si="3"/>
        <v>2.98</v>
      </c>
      <c r="J611" s="15">
        <v>20.19</v>
      </c>
      <c r="K611" s="16">
        <f>IF(COUNTIFS(Release_Calendar!$A$2:$A$755,"US_CPI",Release_Calendar!$B$2:$B$755,$A611)&gt;0,1,0)</f>
        <v>0</v>
      </c>
      <c r="L611" s="16">
        <f>IF(COUNTIFS(Release_Calendar!$A$2:$A$755,"US_NFP",Release_Calendar!$B$2:$B$755,$A611)&gt;0,1,0)</f>
        <v>1</v>
      </c>
      <c r="M611" s="16" t="str">
        <f>IF($A611&lt;Notes!$B$5,"",IF(COUNTIFS(Release_Calendar!$A$2:$A$755,"NZ_CPI",Release_Calendar!$B$2:$B$755,$A611)&gt;0,1,0))</f>
        <v/>
      </c>
      <c r="N611" s="16" t="str">
        <f>IF($A611&lt;Notes!$B$5,"",IF(COUNTIFS(Release_Calendar!$A$2:$A$755,"NZ_GDP",Release_Calendar!$B$2:$B$755,$A611)&gt;0,1,0))</f>
        <v/>
      </c>
      <c r="O611" s="16" t="str">
        <f>IF($A611&lt;Notes!$B$5,"",IF(COUNTIFS(Release_Calendar!$A$2:$A$755,"NZ_LABOUR",Release_Calendar!$B$2:$B$755,$A611)&gt;0,1,0))</f>
        <v/>
      </c>
      <c r="P611" s="16">
        <f t="shared" si="4"/>
        <v>1</v>
      </c>
    </row>
    <row r="612" ht="15.75" customHeight="1">
      <c r="A612" s="14">
        <v>37382.0</v>
      </c>
      <c r="B612" s="15">
        <v>3.19</v>
      </c>
      <c r="C612" s="15"/>
      <c r="D612" s="15">
        <v>6.12</v>
      </c>
      <c r="E612" s="15"/>
      <c r="F612" s="15" t="str">
        <f t="shared" si="1"/>
        <v/>
      </c>
      <c r="G612" s="15">
        <f t="shared" si="2"/>
        <v>6.12</v>
      </c>
      <c r="H612" s="16">
        <v>1.0</v>
      </c>
      <c r="I612" s="15">
        <f t="shared" si="3"/>
        <v>2.93</v>
      </c>
      <c r="J612" s="15">
        <v>22.56</v>
      </c>
      <c r="K612" s="16">
        <f>IF(COUNTIFS(Release_Calendar!$A$2:$A$755,"US_CPI",Release_Calendar!$B$2:$B$755,$A612)&gt;0,1,0)</f>
        <v>0</v>
      </c>
      <c r="L612" s="16">
        <f>IF(COUNTIFS(Release_Calendar!$A$2:$A$755,"US_NFP",Release_Calendar!$B$2:$B$755,$A612)&gt;0,1,0)</f>
        <v>0</v>
      </c>
      <c r="M612" s="16" t="str">
        <f>IF($A612&lt;Notes!$B$5,"",IF(COUNTIFS(Release_Calendar!$A$2:$A$755,"NZ_CPI",Release_Calendar!$B$2:$B$755,$A612)&gt;0,1,0))</f>
        <v/>
      </c>
      <c r="N612" s="16" t="str">
        <f>IF($A612&lt;Notes!$B$5,"",IF(COUNTIFS(Release_Calendar!$A$2:$A$755,"NZ_GDP",Release_Calendar!$B$2:$B$755,$A612)&gt;0,1,0))</f>
        <v/>
      </c>
      <c r="O612" s="16" t="str">
        <f>IF($A612&lt;Notes!$B$5,"",IF(COUNTIFS(Release_Calendar!$A$2:$A$755,"NZ_LABOUR",Release_Calendar!$B$2:$B$755,$A612)&gt;0,1,0))</f>
        <v/>
      </c>
      <c r="P612" s="16">
        <f t="shared" si="4"/>
        <v>0</v>
      </c>
    </row>
    <row r="613" ht="15.75" customHeight="1">
      <c r="A613" s="14">
        <v>37383.0</v>
      </c>
      <c r="B613" s="15">
        <v>3.14</v>
      </c>
      <c r="C613" s="15"/>
      <c r="D613" s="15">
        <v>6.05</v>
      </c>
      <c r="E613" s="15"/>
      <c r="F613" s="15" t="str">
        <f t="shared" si="1"/>
        <v/>
      </c>
      <c r="G613" s="15">
        <f t="shared" si="2"/>
        <v>6.05</v>
      </c>
      <c r="H613" s="16">
        <v>1.0</v>
      </c>
      <c r="I613" s="15">
        <f t="shared" si="3"/>
        <v>2.91</v>
      </c>
      <c r="J613" s="15">
        <v>21.94</v>
      </c>
      <c r="K613" s="16">
        <f>IF(COUNTIFS(Release_Calendar!$A$2:$A$755,"US_CPI",Release_Calendar!$B$2:$B$755,$A613)&gt;0,1,0)</f>
        <v>0</v>
      </c>
      <c r="L613" s="16">
        <f>IF(COUNTIFS(Release_Calendar!$A$2:$A$755,"US_NFP",Release_Calendar!$B$2:$B$755,$A613)&gt;0,1,0)</f>
        <v>0</v>
      </c>
      <c r="M613" s="16" t="str">
        <f>IF($A613&lt;Notes!$B$5,"",IF(COUNTIFS(Release_Calendar!$A$2:$A$755,"NZ_CPI",Release_Calendar!$B$2:$B$755,$A613)&gt;0,1,0))</f>
        <v/>
      </c>
      <c r="N613" s="16" t="str">
        <f>IF($A613&lt;Notes!$B$5,"",IF(COUNTIFS(Release_Calendar!$A$2:$A$755,"NZ_GDP",Release_Calendar!$B$2:$B$755,$A613)&gt;0,1,0))</f>
        <v/>
      </c>
      <c r="O613" s="16" t="str">
        <f>IF($A613&lt;Notes!$B$5,"",IF(COUNTIFS(Release_Calendar!$A$2:$A$755,"NZ_LABOUR",Release_Calendar!$B$2:$B$755,$A613)&gt;0,1,0))</f>
        <v/>
      </c>
      <c r="P613" s="16">
        <f t="shared" si="4"/>
        <v>0</v>
      </c>
    </row>
    <row r="614" ht="15.75" customHeight="1">
      <c r="A614" s="14">
        <v>37384.0</v>
      </c>
      <c r="B614" s="15">
        <v>3.32</v>
      </c>
      <c r="C614" s="15"/>
      <c r="D614" s="15">
        <v>6.04</v>
      </c>
      <c r="E614" s="15"/>
      <c r="F614" s="15" t="str">
        <f t="shared" si="1"/>
        <v/>
      </c>
      <c r="G614" s="15">
        <f t="shared" si="2"/>
        <v>6.04</v>
      </c>
      <c r="H614" s="16">
        <v>1.0</v>
      </c>
      <c r="I614" s="15">
        <f t="shared" si="3"/>
        <v>2.72</v>
      </c>
      <c r="J614" s="15">
        <v>20.39</v>
      </c>
      <c r="K614" s="16">
        <f>IF(COUNTIFS(Release_Calendar!$A$2:$A$755,"US_CPI",Release_Calendar!$B$2:$B$755,$A614)&gt;0,1,0)</f>
        <v>0</v>
      </c>
      <c r="L614" s="16">
        <f>IF(COUNTIFS(Release_Calendar!$A$2:$A$755,"US_NFP",Release_Calendar!$B$2:$B$755,$A614)&gt;0,1,0)</f>
        <v>0</v>
      </c>
      <c r="M614" s="16" t="str">
        <f>IF($A614&lt;Notes!$B$5,"",IF(COUNTIFS(Release_Calendar!$A$2:$A$755,"NZ_CPI",Release_Calendar!$B$2:$B$755,$A614)&gt;0,1,0))</f>
        <v/>
      </c>
      <c r="N614" s="16" t="str">
        <f>IF($A614&lt;Notes!$B$5,"",IF(COUNTIFS(Release_Calendar!$A$2:$A$755,"NZ_GDP",Release_Calendar!$B$2:$B$755,$A614)&gt;0,1,0))</f>
        <v/>
      </c>
      <c r="O614" s="16" t="str">
        <f>IF($A614&lt;Notes!$B$5,"",IF(COUNTIFS(Release_Calendar!$A$2:$A$755,"NZ_LABOUR",Release_Calendar!$B$2:$B$755,$A614)&gt;0,1,0))</f>
        <v/>
      </c>
      <c r="P614" s="16">
        <f t="shared" si="4"/>
        <v>0</v>
      </c>
    </row>
    <row r="615" ht="15.75" customHeight="1">
      <c r="A615" s="14">
        <v>37385.0</v>
      </c>
      <c r="B615" s="15">
        <v>3.27</v>
      </c>
      <c r="C615" s="15"/>
      <c r="D615" s="15">
        <v>6.18</v>
      </c>
      <c r="E615" s="15"/>
      <c r="F615" s="15" t="str">
        <f t="shared" si="1"/>
        <v/>
      </c>
      <c r="G615" s="15">
        <f t="shared" si="2"/>
        <v>6.18</v>
      </c>
      <c r="H615" s="16">
        <v>1.0</v>
      </c>
      <c r="I615" s="15">
        <f t="shared" si="3"/>
        <v>2.91</v>
      </c>
      <c r="J615" s="15">
        <v>21.56</v>
      </c>
      <c r="K615" s="16">
        <f>IF(COUNTIFS(Release_Calendar!$A$2:$A$755,"US_CPI",Release_Calendar!$B$2:$B$755,$A615)&gt;0,1,0)</f>
        <v>0</v>
      </c>
      <c r="L615" s="16">
        <f>IF(COUNTIFS(Release_Calendar!$A$2:$A$755,"US_NFP",Release_Calendar!$B$2:$B$755,$A615)&gt;0,1,0)</f>
        <v>0</v>
      </c>
      <c r="M615" s="16" t="str">
        <f>IF($A615&lt;Notes!$B$5,"",IF(COUNTIFS(Release_Calendar!$A$2:$A$755,"NZ_CPI",Release_Calendar!$B$2:$B$755,$A615)&gt;0,1,0))</f>
        <v/>
      </c>
      <c r="N615" s="16" t="str">
        <f>IF($A615&lt;Notes!$B$5,"",IF(COUNTIFS(Release_Calendar!$A$2:$A$755,"NZ_GDP",Release_Calendar!$B$2:$B$755,$A615)&gt;0,1,0))</f>
        <v/>
      </c>
      <c r="O615" s="16" t="str">
        <f>IF($A615&lt;Notes!$B$5,"",IF(COUNTIFS(Release_Calendar!$A$2:$A$755,"NZ_LABOUR",Release_Calendar!$B$2:$B$755,$A615)&gt;0,1,0))</f>
        <v/>
      </c>
      <c r="P615" s="16">
        <f t="shared" si="4"/>
        <v>0</v>
      </c>
    </row>
    <row r="616" ht="15.75" customHeight="1">
      <c r="A616" s="14">
        <v>37386.0</v>
      </c>
      <c r="B616" s="15">
        <v>3.19</v>
      </c>
      <c r="C616" s="15"/>
      <c r="D616" s="15">
        <v>6.15</v>
      </c>
      <c r="E616" s="15"/>
      <c r="F616" s="15" t="str">
        <f t="shared" si="1"/>
        <v/>
      </c>
      <c r="G616" s="15">
        <f t="shared" si="2"/>
        <v>6.15</v>
      </c>
      <c r="H616" s="16">
        <v>1.0</v>
      </c>
      <c r="I616" s="15">
        <f t="shared" si="3"/>
        <v>2.96</v>
      </c>
      <c r="J616" s="15">
        <v>22.41</v>
      </c>
      <c r="K616" s="16">
        <f>IF(COUNTIFS(Release_Calendar!$A$2:$A$755,"US_CPI",Release_Calendar!$B$2:$B$755,$A616)&gt;0,1,0)</f>
        <v>0</v>
      </c>
      <c r="L616" s="16">
        <f>IF(COUNTIFS(Release_Calendar!$A$2:$A$755,"US_NFP",Release_Calendar!$B$2:$B$755,$A616)&gt;0,1,0)</f>
        <v>0</v>
      </c>
      <c r="M616" s="16" t="str">
        <f>IF($A616&lt;Notes!$B$5,"",IF(COUNTIFS(Release_Calendar!$A$2:$A$755,"NZ_CPI",Release_Calendar!$B$2:$B$755,$A616)&gt;0,1,0))</f>
        <v/>
      </c>
      <c r="N616" s="16" t="str">
        <f>IF($A616&lt;Notes!$B$5,"",IF(COUNTIFS(Release_Calendar!$A$2:$A$755,"NZ_GDP",Release_Calendar!$B$2:$B$755,$A616)&gt;0,1,0))</f>
        <v/>
      </c>
      <c r="O616" s="16" t="str">
        <f>IF($A616&lt;Notes!$B$5,"",IF(COUNTIFS(Release_Calendar!$A$2:$A$755,"NZ_LABOUR",Release_Calendar!$B$2:$B$755,$A616)&gt;0,1,0))</f>
        <v/>
      </c>
      <c r="P616" s="16">
        <f t="shared" si="4"/>
        <v>0</v>
      </c>
    </row>
    <row r="617" ht="15.75" customHeight="1">
      <c r="A617" s="14">
        <v>37389.0</v>
      </c>
      <c r="B617" s="15">
        <v>3.28</v>
      </c>
      <c r="C617" s="15"/>
      <c r="D617" s="15">
        <v>6.15</v>
      </c>
      <c r="E617" s="15"/>
      <c r="F617" s="15" t="str">
        <f t="shared" si="1"/>
        <v/>
      </c>
      <c r="G617" s="15">
        <f t="shared" si="2"/>
        <v>6.15</v>
      </c>
      <c r="H617" s="16">
        <v>1.0</v>
      </c>
      <c r="I617" s="15">
        <f t="shared" si="3"/>
        <v>2.87</v>
      </c>
      <c r="J617" s="15">
        <v>20.72</v>
      </c>
      <c r="K617" s="16">
        <f>IF(COUNTIFS(Release_Calendar!$A$2:$A$755,"US_CPI",Release_Calendar!$B$2:$B$755,$A617)&gt;0,1,0)</f>
        <v>0</v>
      </c>
      <c r="L617" s="16">
        <f>IF(COUNTIFS(Release_Calendar!$A$2:$A$755,"US_NFP",Release_Calendar!$B$2:$B$755,$A617)&gt;0,1,0)</f>
        <v>0</v>
      </c>
      <c r="M617" s="16" t="str">
        <f>IF($A617&lt;Notes!$B$5,"",IF(COUNTIFS(Release_Calendar!$A$2:$A$755,"NZ_CPI",Release_Calendar!$B$2:$B$755,$A617)&gt;0,1,0))</f>
        <v/>
      </c>
      <c r="N617" s="16" t="str">
        <f>IF($A617&lt;Notes!$B$5,"",IF(COUNTIFS(Release_Calendar!$A$2:$A$755,"NZ_GDP",Release_Calendar!$B$2:$B$755,$A617)&gt;0,1,0))</f>
        <v/>
      </c>
      <c r="O617" s="16" t="str">
        <f>IF($A617&lt;Notes!$B$5,"",IF(COUNTIFS(Release_Calendar!$A$2:$A$755,"NZ_LABOUR",Release_Calendar!$B$2:$B$755,$A617)&gt;0,1,0))</f>
        <v/>
      </c>
      <c r="P617" s="16">
        <f t="shared" si="4"/>
        <v>0</v>
      </c>
    </row>
    <row r="618" ht="15.75" customHeight="1">
      <c r="A618" s="14">
        <v>37390.0</v>
      </c>
      <c r="B618" s="15">
        <v>3.4</v>
      </c>
      <c r="C618" s="15"/>
      <c r="D618" s="15">
        <v>6.23</v>
      </c>
      <c r="E618" s="15"/>
      <c r="F618" s="15" t="str">
        <f t="shared" si="1"/>
        <v/>
      </c>
      <c r="G618" s="15">
        <f t="shared" si="2"/>
        <v>6.23</v>
      </c>
      <c r="H618" s="16">
        <v>1.0</v>
      </c>
      <c r="I618" s="15">
        <f t="shared" si="3"/>
        <v>2.83</v>
      </c>
      <c r="J618" s="15">
        <v>19.35</v>
      </c>
      <c r="K618" s="16">
        <f>IF(COUNTIFS(Release_Calendar!$A$2:$A$755,"US_CPI",Release_Calendar!$B$2:$B$755,$A618)&gt;0,1,0)</f>
        <v>0</v>
      </c>
      <c r="L618" s="16">
        <f>IF(COUNTIFS(Release_Calendar!$A$2:$A$755,"US_NFP",Release_Calendar!$B$2:$B$755,$A618)&gt;0,1,0)</f>
        <v>0</v>
      </c>
      <c r="M618" s="16" t="str">
        <f>IF($A618&lt;Notes!$B$5,"",IF(COUNTIFS(Release_Calendar!$A$2:$A$755,"NZ_CPI",Release_Calendar!$B$2:$B$755,$A618)&gt;0,1,0))</f>
        <v/>
      </c>
      <c r="N618" s="16" t="str">
        <f>IF($A618&lt;Notes!$B$5,"",IF(COUNTIFS(Release_Calendar!$A$2:$A$755,"NZ_GDP",Release_Calendar!$B$2:$B$755,$A618)&gt;0,1,0))</f>
        <v/>
      </c>
      <c r="O618" s="16" t="str">
        <f>IF($A618&lt;Notes!$B$5,"",IF(COUNTIFS(Release_Calendar!$A$2:$A$755,"NZ_LABOUR",Release_Calendar!$B$2:$B$755,$A618)&gt;0,1,0))</f>
        <v/>
      </c>
      <c r="P618" s="16">
        <f t="shared" si="4"/>
        <v>0</v>
      </c>
    </row>
    <row r="619" ht="15.75" customHeight="1">
      <c r="A619" s="14">
        <v>37391.0</v>
      </c>
      <c r="B619" s="15">
        <v>3.37</v>
      </c>
      <c r="C619" s="15"/>
      <c r="D619" s="15">
        <v>6.29</v>
      </c>
      <c r="E619" s="15"/>
      <c r="F619" s="15" t="str">
        <f t="shared" si="1"/>
        <v/>
      </c>
      <c r="G619" s="15">
        <f t="shared" si="2"/>
        <v>6.29</v>
      </c>
      <c r="H619" s="16">
        <v>1.0</v>
      </c>
      <c r="I619" s="15">
        <f t="shared" si="3"/>
        <v>2.92</v>
      </c>
      <c r="J619" s="15">
        <v>19.19</v>
      </c>
      <c r="K619" s="16">
        <f>IF(COUNTIFS(Release_Calendar!$A$2:$A$755,"US_CPI",Release_Calendar!$B$2:$B$755,$A619)&gt;0,1,0)</f>
        <v>1</v>
      </c>
      <c r="L619" s="16">
        <f>IF(COUNTIFS(Release_Calendar!$A$2:$A$755,"US_NFP",Release_Calendar!$B$2:$B$755,$A619)&gt;0,1,0)</f>
        <v>0</v>
      </c>
      <c r="M619" s="16" t="str">
        <f>IF($A619&lt;Notes!$B$5,"",IF(COUNTIFS(Release_Calendar!$A$2:$A$755,"NZ_CPI",Release_Calendar!$B$2:$B$755,$A619)&gt;0,1,0))</f>
        <v/>
      </c>
      <c r="N619" s="16" t="str">
        <f>IF($A619&lt;Notes!$B$5,"",IF(COUNTIFS(Release_Calendar!$A$2:$A$755,"NZ_GDP",Release_Calendar!$B$2:$B$755,$A619)&gt;0,1,0))</f>
        <v/>
      </c>
      <c r="O619" s="16" t="str">
        <f>IF($A619&lt;Notes!$B$5,"",IF(COUNTIFS(Release_Calendar!$A$2:$A$755,"NZ_LABOUR",Release_Calendar!$B$2:$B$755,$A619)&gt;0,1,0))</f>
        <v/>
      </c>
      <c r="P619" s="16">
        <f t="shared" si="4"/>
        <v>1</v>
      </c>
    </row>
    <row r="620" ht="15.75" customHeight="1">
      <c r="A620" s="14">
        <v>37392.0</v>
      </c>
      <c r="B620" s="15">
        <v>3.28</v>
      </c>
      <c r="C620" s="15"/>
      <c r="D620" s="15">
        <v>6.23</v>
      </c>
      <c r="E620" s="15"/>
      <c r="F620" s="15" t="str">
        <f t="shared" si="1"/>
        <v/>
      </c>
      <c r="G620" s="15">
        <f t="shared" si="2"/>
        <v>6.23</v>
      </c>
      <c r="H620" s="16">
        <v>1.0</v>
      </c>
      <c r="I620" s="15">
        <f t="shared" si="3"/>
        <v>2.95</v>
      </c>
      <c r="J620" s="15">
        <v>18.5</v>
      </c>
      <c r="K620" s="16">
        <f>IF(COUNTIFS(Release_Calendar!$A$2:$A$755,"US_CPI",Release_Calendar!$B$2:$B$755,$A620)&gt;0,1,0)</f>
        <v>0</v>
      </c>
      <c r="L620" s="16">
        <f>IF(COUNTIFS(Release_Calendar!$A$2:$A$755,"US_NFP",Release_Calendar!$B$2:$B$755,$A620)&gt;0,1,0)</f>
        <v>0</v>
      </c>
      <c r="M620" s="16" t="str">
        <f>IF($A620&lt;Notes!$B$5,"",IF(COUNTIFS(Release_Calendar!$A$2:$A$755,"NZ_CPI",Release_Calendar!$B$2:$B$755,$A620)&gt;0,1,0))</f>
        <v/>
      </c>
      <c r="N620" s="16" t="str">
        <f>IF($A620&lt;Notes!$B$5,"",IF(COUNTIFS(Release_Calendar!$A$2:$A$755,"NZ_GDP",Release_Calendar!$B$2:$B$755,$A620)&gt;0,1,0))</f>
        <v/>
      </c>
      <c r="O620" s="16" t="str">
        <f>IF($A620&lt;Notes!$B$5,"",IF(COUNTIFS(Release_Calendar!$A$2:$A$755,"NZ_LABOUR",Release_Calendar!$B$2:$B$755,$A620)&gt;0,1,0))</f>
        <v/>
      </c>
      <c r="P620" s="16">
        <f t="shared" si="4"/>
        <v>0</v>
      </c>
    </row>
    <row r="621" ht="15.75" customHeight="1">
      <c r="A621" s="14">
        <v>37393.0</v>
      </c>
      <c r="B621" s="15">
        <v>3.41</v>
      </c>
      <c r="C621" s="15"/>
      <c r="D621" s="15">
        <v>6.19</v>
      </c>
      <c r="E621" s="15"/>
      <c r="F621" s="15" t="str">
        <f t="shared" si="1"/>
        <v/>
      </c>
      <c r="G621" s="15">
        <f t="shared" si="2"/>
        <v>6.19</v>
      </c>
      <c r="H621" s="16">
        <v>1.0</v>
      </c>
      <c r="I621" s="15">
        <f t="shared" si="3"/>
        <v>2.78</v>
      </c>
      <c r="J621" s="15">
        <v>17.7</v>
      </c>
      <c r="K621" s="16">
        <f>IF(COUNTIFS(Release_Calendar!$A$2:$A$755,"US_CPI",Release_Calendar!$B$2:$B$755,$A621)&gt;0,1,0)</f>
        <v>0</v>
      </c>
      <c r="L621" s="16">
        <f>IF(COUNTIFS(Release_Calendar!$A$2:$A$755,"US_NFP",Release_Calendar!$B$2:$B$755,$A621)&gt;0,1,0)</f>
        <v>0</v>
      </c>
      <c r="M621" s="16" t="str">
        <f>IF($A621&lt;Notes!$B$5,"",IF(COUNTIFS(Release_Calendar!$A$2:$A$755,"NZ_CPI",Release_Calendar!$B$2:$B$755,$A621)&gt;0,1,0))</f>
        <v/>
      </c>
      <c r="N621" s="16" t="str">
        <f>IF($A621&lt;Notes!$B$5,"",IF(COUNTIFS(Release_Calendar!$A$2:$A$755,"NZ_GDP",Release_Calendar!$B$2:$B$755,$A621)&gt;0,1,0))</f>
        <v/>
      </c>
      <c r="O621" s="16" t="str">
        <f>IF($A621&lt;Notes!$B$5,"",IF(COUNTIFS(Release_Calendar!$A$2:$A$755,"NZ_LABOUR",Release_Calendar!$B$2:$B$755,$A621)&gt;0,1,0))</f>
        <v/>
      </c>
      <c r="P621" s="16">
        <f t="shared" si="4"/>
        <v>0</v>
      </c>
    </row>
    <row r="622" ht="15.75" customHeight="1">
      <c r="A622" s="14">
        <v>37396.0</v>
      </c>
      <c r="B622" s="15">
        <v>3.33</v>
      </c>
      <c r="C622" s="15"/>
      <c r="D622" s="15">
        <v>6.22</v>
      </c>
      <c r="E622" s="15"/>
      <c r="F622" s="15" t="str">
        <f t="shared" si="1"/>
        <v/>
      </c>
      <c r="G622" s="15">
        <f t="shared" si="2"/>
        <v>6.22</v>
      </c>
      <c r="H622" s="16">
        <v>1.0</v>
      </c>
      <c r="I622" s="15">
        <f t="shared" si="3"/>
        <v>2.89</v>
      </c>
      <c r="J622" s="15">
        <v>19.24</v>
      </c>
      <c r="K622" s="16">
        <f>IF(COUNTIFS(Release_Calendar!$A$2:$A$755,"US_CPI",Release_Calendar!$B$2:$B$755,$A622)&gt;0,1,0)</f>
        <v>0</v>
      </c>
      <c r="L622" s="16">
        <f>IF(COUNTIFS(Release_Calendar!$A$2:$A$755,"US_NFP",Release_Calendar!$B$2:$B$755,$A622)&gt;0,1,0)</f>
        <v>0</v>
      </c>
      <c r="M622" s="16" t="str">
        <f>IF($A622&lt;Notes!$B$5,"",IF(COUNTIFS(Release_Calendar!$A$2:$A$755,"NZ_CPI",Release_Calendar!$B$2:$B$755,$A622)&gt;0,1,0))</f>
        <v/>
      </c>
      <c r="N622" s="16" t="str">
        <f>IF($A622&lt;Notes!$B$5,"",IF(COUNTIFS(Release_Calendar!$A$2:$A$755,"NZ_GDP",Release_Calendar!$B$2:$B$755,$A622)&gt;0,1,0))</f>
        <v/>
      </c>
      <c r="O622" s="16" t="str">
        <f>IF($A622&lt;Notes!$B$5,"",IF(COUNTIFS(Release_Calendar!$A$2:$A$755,"NZ_LABOUR",Release_Calendar!$B$2:$B$755,$A622)&gt;0,1,0))</f>
        <v/>
      </c>
      <c r="P622" s="16">
        <f t="shared" si="4"/>
        <v>0</v>
      </c>
    </row>
    <row r="623" ht="15.75" customHeight="1">
      <c r="A623" s="14">
        <v>37397.0</v>
      </c>
      <c r="B623" s="15">
        <v>3.28</v>
      </c>
      <c r="C623" s="15"/>
      <c r="D623" s="15">
        <v>6.14</v>
      </c>
      <c r="E623" s="15"/>
      <c r="F623" s="15" t="str">
        <f t="shared" si="1"/>
        <v/>
      </c>
      <c r="G623" s="15">
        <f t="shared" si="2"/>
        <v>6.14</v>
      </c>
      <c r="H623" s="16">
        <v>1.0</v>
      </c>
      <c r="I623" s="15">
        <f t="shared" si="3"/>
        <v>2.86</v>
      </c>
      <c r="J623" s="15">
        <v>20.05</v>
      </c>
      <c r="K623" s="16">
        <f>IF(COUNTIFS(Release_Calendar!$A$2:$A$755,"US_CPI",Release_Calendar!$B$2:$B$755,$A623)&gt;0,1,0)</f>
        <v>0</v>
      </c>
      <c r="L623" s="16">
        <f>IF(COUNTIFS(Release_Calendar!$A$2:$A$755,"US_NFP",Release_Calendar!$B$2:$B$755,$A623)&gt;0,1,0)</f>
        <v>0</v>
      </c>
      <c r="M623" s="16" t="str">
        <f>IF($A623&lt;Notes!$B$5,"",IF(COUNTIFS(Release_Calendar!$A$2:$A$755,"NZ_CPI",Release_Calendar!$B$2:$B$755,$A623)&gt;0,1,0))</f>
        <v/>
      </c>
      <c r="N623" s="16" t="str">
        <f>IF($A623&lt;Notes!$B$5,"",IF(COUNTIFS(Release_Calendar!$A$2:$A$755,"NZ_GDP",Release_Calendar!$B$2:$B$755,$A623)&gt;0,1,0))</f>
        <v/>
      </c>
      <c r="O623" s="16" t="str">
        <f>IF($A623&lt;Notes!$B$5,"",IF(COUNTIFS(Release_Calendar!$A$2:$A$755,"NZ_LABOUR",Release_Calendar!$B$2:$B$755,$A623)&gt;0,1,0))</f>
        <v/>
      </c>
      <c r="P623" s="16">
        <f t="shared" si="4"/>
        <v>0</v>
      </c>
    </row>
    <row r="624" ht="15.75" customHeight="1">
      <c r="A624" s="14">
        <v>37398.0</v>
      </c>
      <c r="B624" s="15">
        <v>3.23</v>
      </c>
      <c r="C624" s="15"/>
      <c r="D624" s="15">
        <v>6.1</v>
      </c>
      <c r="E624" s="15"/>
      <c r="F624" s="15" t="str">
        <f t="shared" si="1"/>
        <v/>
      </c>
      <c r="G624" s="15">
        <f t="shared" si="2"/>
        <v>6.1</v>
      </c>
      <c r="H624" s="16">
        <v>1.0</v>
      </c>
      <c r="I624" s="15">
        <f t="shared" si="3"/>
        <v>2.87</v>
      </c>
      <c r="J624" s="15">
        <v>19.58</v>
      </c>
      <c r="K624" s="16">
        <f>IF(COUNTIFS(Release_Calendar!$A$2:$A$755,"US_CPI",Release_Calendar!$B$2:$B$755,$A624)&gt;0,1,0)</f>
        <v>0</v>
      </c>
      <c r="L624" s="16">
        <f>IF(COUNTIFS(Release_Calendar!$A$2:$A$755,"US_NFP",Release_Calendar!$B$2:$B$755,$A624)&gt;0,1,0)</f>
        <v>0</v>
      </c>
      <c r="M624" s="16" t="str">
        <f>IF($A624&lt;Notes!$B$5,"",IF(COUNTIFS(Release_Calendar!$A$2:$A$755,"NZ_CPI",Release_Calendar!$B$2:$B$755,$A624)&gt;0,1,0))</f>
        <v/>
      </c>
      <c r="N624" s="16" t="str">
        <f>IF($A624&lt;Notes!$B$5,"",IF(COUNTIFS(Release_Calendar!$A$2:$A$755,"NZ_GDP",Release_Calendar!$B$2:$B$755,$A624)&gt;0,1,0))</f>
        <v/>
      </c>
      <c r="O624" s="16" t="str">
        <f>IF($A624&lt;Notes!$B$5,"",IF(COUNTIFS(Release_Calendar!$A$2:$A$755,"NZ_LABOUR",Release_Calendar!$B$2:$B$755,$A624)&gt;0,1,0))</f>
        <v/>
      </c>
      <c r="P624" s="16">
        <f t="shared" si="4"/>
        <v>0</v>
      </c>
    </row>
    <row r="625" ht="15.75" customHeight="1">
      <c r="A625" s="14">
        <v>37399.0</v>
      </c>
      <c r="B625" s="15">
        <v>3.28</v>
      </c>
      <c r="C625" s="15"/>
      <c r="D625" s="15">
        <v>6.07</v>
      </c>
      <c r="E625" s="15"/>
      <c r="F625" s="15" t="str">
        <f t="shared" si="1"/>
        <v/>
      </c>
      <c r="G625" s="15">
        <f t="shared" si="2"/>
        <v>6.07</v>
      </c>
      <c r="H625" s="16">
        <v>1.0</v>
      </c>
      <c r="I625" s="15">
        <f t="shared" si="3"/>
        <v>2.79</v>
      </c>
      <c r="J625" s="15">
        <v>18.23</v>
      </c>
      <c r="K625" s="16">
        <f>IF(COUNTIFS(Release_Calendar!$A$2:$A$755,"US_CPI",Release_Calendar!$B$2:$B$755,$A625)&gt;0,1,0)</f>
        <v>0</v>
      </c>
      <c r="L625" s="16">
        <f>IF(COUNTIFS(Release_Calendar!$A$2:$A$755,"US_NFP",Release_Calendar!$B$2:$B$755,$A625)&gt;0,1,0)</f>
        <v>0</v>
      </c>
      <c r="M625" s="16" t="str">
        <f>IF($A625&lt;Notes!$B$5,"",IF(COUNTIFS(Release_Calendar!$A$2:$A$755,"NZ_CPI",Release_Calendar!$B$2:$B$755,$A625)&gt;0,1,0))</f>
        <v/>
      </c>
      <c r="N625" s="16" t="str">
        <f>IF($A625&lt;Notes!$B$5,"",IF(COUNTIFS(Release_Calendar!$A$2:$A$755,"NZ_GDP",Release_Calendar!$B$2:$B$755,$A625)&gt;0,1,0))</f>
        <v/>
      </c>
      <c r="O625" s="16" t="str">
        <f>IF($A625&lt;Notes!$B$5,"",IF(COUNTIFS(Release_Calendar!$A$2:$A$755,"NZ_LABOUR",Release_Calendar!$B$2:$B$755,$A625)&gt;0,1,0))</f>
        <v/>
      </c>
      <c r="P625" s="16">
        <f t="shared" si="4"/>
        <v>0</v>
      </c>
    </row>
    <row r="626" ht="15.75" customHeight="1">
      <c r="A626" s="14">
        <v>37400.0</v>
      </c>
      <c r="B626" s="15">
        <v>3.28</v>
      </c>
      <c r="C626" s="15"/>
      <c r="D626" s="15">
        <v>6.1</v>
      </c>
      <c r="E626" s="15"/>
      <c r="F626" s="15" t="str">
        <f t="shared" si="1"/>
        <v/>
      </c>
      <c r="G626" s="15">
        <f t="shared" si="2"/>
        <v>6.1</v>
      </c>
      <c r="H626" s="16">
        <v>1.0</v>
      </c>
      <c r="I626" s="15">
        <f t="shared" si="3"/>
        <v>2.82</v>
      </c>
      <c r="J626" s="15">
        <v>18.9</v>
      </c>
      <c r="K626" s="16">
        <f>IF(COUNTIFS(Release_Calendar!$A$2:$A$755,"US_CPI",Release_Calendar!$B$2:$B$755,$A626)&gt;0,1,0)</f>
        <v>0</v>
      </c>
      <c r="L626" s="16">
        <f>IF(COUNTIFS(Release_Calendar!$A$2:$A$755,"US_NFP",Release_Calendar!$B$2:$B$755,$A626)&gt;0,1,0)</f>
        <v>0</v>
      </c>
      <c r="M626" s="16" t="str">
        <f>IF($A626&lt;Notes!$B$5,"",IF(COUNTIFS(Release_Calendar!$A$2:$A$755,"NZ_CPI",Release_Calendar!$B$2:$B$755,$A626)&gt;0,1,0))</f>
        <v/>
      </c>
      <c r="N626" s="16" t="str">
        <f>IF($A626&lt;Notes!$B$5,"",IF(COUNTIFS(Release_Calendar!$A$2:$A$755,"NZ_GDP",Release_Calendar!$B$2:$B$755,$A626)&gt;0,1,0))</f>
        <v/>
      </c>
      <c r="O626" s="16" t="str">
        <f>IF($A626&lt;Notes!$B$5,"",IF(COUNTIFS(Release_Calendar!$A$2:$A$755,"NZ_LABOUR",Release_Calendar!$B$2:$B$755,$A626)&gt;0,1,0))</f>
        <v/>
      </c>
      <c r="P626" s="16">
        <f t="shared" si="4"/>
        <v>0</v>
      </c>
    </row>
    <row r="627" ht="15.75" customHeight="1">
      <c r="A627" s="14">
        <v>37403.0</v>
      </c>
      <c r="B627" s="15"/>
      <c r="C627" s="15"/>
      <c r="D627" s="15">
        <v>6.11</v>
      </c>
      <c r="E627" s="15"/>
      <c r="F627" s="15" t="str">
        <f t="shared" si="1"/>
        <v/>
      </c>
      <c r="G627" s="15">
        <f t="shared" si="2"/>
        <v>6.11</v>
      </c>
      <c r="H627" s="16">
        <v>1.0</v>
      </c>
      <c r="I627" s="15" t="str">
        <f t="shared" si="3"/>
        <v/>
      </c>
      <c r="J627" s="15"/>
      <c r="K627" s="16">
        <f>IF(COUNTIFS(Release_Calendar!$A$2:$A$755,"US_CPI",Release_Calendar!$B$2:$B$755,$A627)&gt;0,1,0)</f>
        <v>0</v>
      </c>
      <c r="L627" s="16">
        <f>IF(COUNTIFS(Release_Calendar!$A$2:$A$755,"US_NFP",Release_Calendar!$B$2:$B$755,$A627)&gt;0,1,0)</f>
        <v>0</v>
      </c>
      <c r="M627" s="16" t="str">
        <f>IF($A627&lt;Notes!$B$5,"",IF(COUNTIFS(Release_Calendar!$A$2:$A$755,"NZ_CPI",Release_Calendar!$B$2:$B$755,$A627)&gt;0,1,0))</f>
        <v/>
      </c>
      <c r="N627" s="16" t="str">
        <f>IF($A627&lt;Notes!$B$5,"",IF(COUNTIFS(Release_Calendar!$A$2:$A$755,"NZ_GDP",Release_Calendar!$B$2:$B$755,$A627)&gt;0,1,0))</f>
        <v/>
      </c>
      <c r="O627" s="16" t="str">
        <f>IF($A627&lt;Notes!$B$5,"",IF(COUNTIFS(Release_Calendar!$A$2:$A$755,"NZ_LABOUR",Release_Calendar!$B$2:$B$755,$A627)&gt;0,1,0))</f>
        <v/>
      </c>
      <c r="P627" s="16">
        <f t="shared" si="4"/>
        <v>0</v>
      </c>
    </row>
    <row r="628" ht="15.75" customHeight="1">
      <c r="A628" s="14">
        <v>37404.0</v>
      </c>
      <c r="B628" s="15">
        <v>3.3</v>
      </c>
      <c r="C628" s="15"/>
      <c r="D628" s="15">
        <v>6.15</v>
      </c>
      <c r="E628" s="15"/>
      <c r="F628" s="15" t="str">
        <f t="shared" si="1"/>
        <v/>
      </c>
      <c r="G628" s="15">
        <f t="shared" si="2"/>
        <v>6.15</v>
      </c>
      <c r="H628" s="16">
        <v>1.0</v>
      </c>
      <c r="I628" s="15">
        <f t="shared" si="3"/>
        <v>2.85</v>
      </c>
      <c r="J628" s="15">
        <v>20.31</v>
      </c>
      <c r="K628" s="16">
        <f>IF(COUNTIFS(Release_Calendar!$A$2:$A$755,"US_CPI",Release_Calendar!$B$2:$B$755,$A628)&gt;0,1,0)</f>
        <v>0</v>
      </c>
      <c r="L628" s="16">
        <f>IF(COUNTIFS(Release_Calendar!$A$2:$A$755,"US_NFP",Release_Calendar!$B$2:$B$755,$A628)&gt;0,1,0)</f>
        <v>0</v>
      </c>
      <c r="M628" s="16" t="str">
        <f>IF($A628&lt;Notes!$B$5,"",IF(COUNTIFS(Release_Calendar!$A$2:$A$755,"NZ_CPI",Release_Calendar!$B$2:$B$755,$A628)&gt;0,1,0))</f>
        <v/>
      </c>
      <c r="N628" s="16" t="str">
        <f>IF($A628&lt;Notes!$B$5,"",IF(COUNTIFS(Release_Calendar!$A$2:$A$755,"NZ_GDP",Release_Calendar!$B$2:$B$755,$A628)&gt;0,1,0))</f>
        <v/>
      </c>
      <c r="O628" s="16" t="str">
        <f>IF($A628&lt;Notes!$B$5,"",IF(COUNTIFS(Release_Calendar!$A$2:$A$755,"NZ_LABOUR",Release_Calendar!$B$2:$B$755,$A628)&gt;0,1,0))</f>
        <v/>
      </c>
      <c r="P628" s="16">
        <f t="shared" si="4"/>
        <v>0</v>
      </c>
    </row>
    <row r="629" ht="15.75" customHeight="1">
      <c r="A629" s="14">
        <v>37405.0</v>
      </c>
      <c r="B629" s="15">
        <v>3.24</v>
      </c>
      <c r="C629" s="15"/>
      <c r="D629" s="15">
        <v>6.11</v>
      </c>
      <c r="E629" s="15"/>
      <c r="F629" s="15" t="str">
        <f t="shared" si="1"/>
        <v/>
      </c>
      <c r="G629" s="15">
        <f t="shared" si="2"/>
        <v>6.11</v>
      </c>
      <c r="H629" s="16">
        <v>1.0</v>
      </c>
      <c r="I629" s="15">
        <f t="shared" si="3"/>
        <v>2.87</v>
      </c>
      <c r="J629" s="15">
        <v>20.39</v>
      </c>
      <c r="K629" s="16">
        <f>IF(COUNTIFS(Release_Calendar!$A$2:$A$755,"US_CPI",Release_Calendar!$B$2:$B$755,$A629)&gt;0,1,0)</f>
        <v>0</v>
      </c>
      <c r="L629" s="16">
        <f>IF(COUNTIFS(Release_Calendar!$A$2:$A$755,"US_NFP",Release_Calendar!$B$2:$B$755,$A629)&gt;0,1,0)</f>
        <v>0</v>
      </c>
      <c r="M629" s="16" t="str">
        <f>IF($A629&lt;Notes!$B$5,"",IF(COUNTIFS(Release_Calendar!$A$2:$A$755,"NZ_CPI",Release_Calendar!$B$2:$B$755,$A629)&gt;0,1,0))</f>
        <v/>
      </c>
      <c r="N629" s="16" t="str">
        <f>IF($A629&lt;Notes!$B$5,"",IF(COUNTIFS(Release_Calendar!$A$2:$A$755,"NZ_GDP",Release_Calendar!$B$2:$B$755,$A629)&gt;0,1,0))</f>
        <v/>
      </c>
      <c r="O629" s="16" t="str">
        <f>IF($A629&lt;Notes!$B$5,"",IF(COUNTIFS(Release_Calendar!$A$2:$A$755,"NZ_LABOUR",Release_Calendar!$B$2:$B$755,$A629)&gt;0,1,0))</f>
        <v/>
      </c>
      <c r="P629" s="16">
        <f t="shared" si="4"/>
        <v>0</v>
      </c>
    </row>
    <row r="630" ht="15.75" customHeight="1">
      <c r="A630" s="14">
        <v>37406.0</v>
      </c>
      <c r="B630" s="15">
        <v>3.17</v>
      </c>
      <c r="C630" s="15"/>
      <c r="D630" s="15">
        <v>6.08</v>
      </c>
      <c r="E630" s="15"/>
      <c r="F630" s="15" t="str">
        <f t="shared" si="1"/>
        <v/>
      </c>
      <c r="G630" s="15">
        <f t="shared" si="2"/>
        <v>6.08</v>
      </c>
      <c r="H630" s="16">
        <v>1.0</v>
      </c>
      <c r="I630" s="15">
        <f t="shared" si="3"/>
        <v>2.91</v>
      </c>
      <c r="J630" s="15">
        <v>20.61</v>
      </c>
      <c r="K630" s="16">
        <f>IF(COUNTIFS(Release_Calendar!$A$2:$A$755,"US_CPI",Release_Calendar!$B$2:$B$755,$A630)&gt;0,1,0)</f>
        <v>0</v>
      </c>
      <c r="L630" s="16">
        <f>IF(COUNTIFS(Release_Calendar!$A$2:$A$755,"US_NFP",Release_Calendar!$B$2:$B$755,$A630)&gt;0,1,0)</f>
        <v>0</v>
      </c>
      <c r="M630" s="16" t="str">
        <f>IF($A630&lt;Notes!$B$5,"",IF(COUNTIFS(Release_Calendar!$A$2:$A$755,"NZ_CPI",Release_Calendar!$B$2:$B$755,$A630)&gt;0,1,0))</f>
        <v/>
      </c>
      <c r="N630" s="16" t="str">
        <f>IF($A630&lt;Notes!$B$5,"",IF(COUNTIFS(Release_Calendar!$A$2:$A$755,"NZ_GDP",Release_Calendar!$B$2:$B$755,$A630)&gt;0,1,0))</f>
        <v/>
      </c>
      <c r="O630" s="16" t="str">
        <f>IF($A630&lt;Notes!$B$5,"",IF(COUNTIFS(Release_Calendar!$A$2:$A$755,"NZ_LABOUR",Release_Calendar!$B$2:$B$755,$A630)&gt;0,1,0))</f>
        <v/>
      </c>
      <c r="P630" s="16">
        <f t="shared" si="4"/>
        <v>0</v>
      </c>
    </row>
    <row r="631" ht="15.75" customHeight="1">
      <c r="A631" s="14">
        <v>37407.0</v>
      </c>
      <c r="B631" s="15">
        <v>3.22</v>
      </c>
      <c r="C631" s="15"/>
      <c r="D631" s="15">
        <v>6.06</v>
      </c>
      <c r="E631" s="15"/>
      <c r="F631" s="15" t="str">
        <f t="shared" si="1"/>
        <v/>
      </c>
      <c r="G631" s="15">
        <f t="shared" si="2"/>
        <v>6.06</v>
      </c>
      <c r="H631" s="16">
        <v>1.0</v>
      </c>
      <c r="I631" s="15">
        <f t="shared" si="3"/>
        <v>2.84</v>
      </c>
      <c r="J631" s="15">
        <v>19.98</v>
      </c>
      <c r="K631" s="16">
        <f>IF(COUNTIFS(Release_Calendar!$A$2:$A$755,"US_CPI",Release_Calendar!$B$2:$B$755,$A631)&gt;0,1,0)</f>
        <v>0</v>
      </c>
      <c r="L631" s="16">
        <f>IF(COUNTIFS(Release_Calendar!$A$2:$A$755,"US_NFP",Release_Calendar!$B$2:$B$755,$A631)&gt;0,1,0)</f>
        <v>0</v>
      </c>
      <c r="M631" s="16" t="str">
        <f>IF($A631&lt;Notes!$B$5,"",IF(COUNTIFS(Release_Calendar!$A$2:$A$755,"NZ_CPI",Release_Calendar!$B$2:$B$755,$A631)&gt;0,1,0))</f>
        <v/>
      </c>
      <c r="N631" s="16" t="str">
        <f>IF($A631&lt;Notes!$B$5,"",IF(COUNTIFS(Release_Calendar!$A$2:$A$755,"NZ_GDP",Release_Calendar!$B$2:$B$755,$A631)&gt;0,1,0))</f>
        <v/>
      </c>
      <c r="O631" s="16" t="str">
        <f>IF($A631&lt;Notes!$B$5,"",IF(COUNTIFS(Release_Calendar!$A$2:$A$755,"NZ_LABOUR",Release_Calendar!$B$2:$B$755,$A631)&gt;0,1,0))</f>
        <v/>
      </c>
      <c r="P631" s="16">
        <f t="shared" si="4"/>
        <v>0</v>
      </c>
    </row>
    <row r="632" ht="15.75" customHeight="1">
      <c r="A632" s="14">
        <v>37410.0</v>
      </c>
      <c r="B632" s="15">
        <v>3.19</v>
      </c>
      <c r="C632" s="15"/>
      <c r="D632" s="15"/>
      <c r="E632" s="15"/>
      <c r="F632" s="15" t="str">
        <f t="shared" si="1"/>
        <v/>
      </c>
      <c r="G632" s="15" t="str">
        <f t="shared" si="2"/>
        <v/>
      </c>
      <c r="H632" s="16">
        <v>1.0</v>
      </c>
      <c r="I632" s="15" t="str">
        <f t="shared" si="3"/>
        <v/>
      </c>
      <c r="J632" s="15">
        <v>23.37</v>
      </c>
      <c r="K632" s="16">
        <f>IF(COUNTIFS(Release_Calendar!$A$2:$A$755,"US_CPI",Release_Calendar!$B$2:$B$755,$A632)&gt;0,1,0)</f>
        <v>0</v>
      </c>
      <c r="L632" s="16">
        <f>IF(COUNTIFS(Release_Calendar!$A$2:$A$755,"US_NFP",Release_Calendar!$B$2:$B$755,$A632)&gt;0,1,0)</f>
        <v>0</v>
      </c>
      <c r="M632" s="16" t="str">
        <f>IF($A632&lt;Notes!$B$5,"",IF(COUNTIFS(Release_Calendar!$A$2:$A$755,"NZ_CPI",Release_Calendar!$B$2:$B$755,$A632)&gt;0,1,0))</f>
        <v/>
      </c>
      <c r="N632" s="16" t="str">
        <f>IF($A632&lt;Notes!$B$5,"",IF(COUNTIFS(Release_Calendar!$A$2:$A$755,"NZ_GDP",Release_Calendar!$B$2:$B$755,$A632)&gt;0,1,0))</f>
        <v/>
      </c>
      <c r="O632" s="16" t="str">
        <f>IF($A632&lt;Notes!$B$5,"",IF(COUNTIFS(Release_Calendar!$A$2:$A$755,"NZ_LABOUR",Release_Calendar!$B$2:$B$755,$A632)&gt;0,1,0))</f>
        <v/>
      </c>
      <c r="P632" s="16">
        <f t="shared" si="4"/>
        <v>0</v>
      </c>
    </row>
    <row r="633" ht="15.75" customHeight="1">
      <c r="A633" s="14">
        <v>37411.0</v>
      </c>
      <c r="B633" s="15">
        <v>3.13</v>
      </c>
      <c r="C633" s="15"/>
      <c r="D633" s="15">
        <v>6.15</v>
      </c>
      <c r="E633" s="15"/>
      <c r="F633" s="15" t="str">
        <f t="shared" si="1"/>
        <v/>
      </c>
      <c r="G633" s="15">
        <f t="shared" si="2"/>
        <v>6.15</v>
      </c>
      <c r="H633" s="16">
        <v>1.0</v>
      </c>
      <c r="I633" s="15">
        <f t="shared" si="3"/>
        <v>3.02</v>
      </c>
      <c r="J633" s="15">
        <v>23.89</v>
      </c>
      <c r="K633" s="16">
        <f>IF(COUNTIFS(Release_Calendar!$A$2:$A$755,"US_CPI",Release_Calendar!$B$2:$B$755,$A633)&gt;0,1,0)</f>
        <v>0</v>
      </c>
      <c r="L633" s="16">
        <f>IF(COUNTIFS(Release_Calendar!$A$2:$A$755,"US_NFP",Release_Calendar!$B$2:$B$755,$A633)&gt;0,1,0)</f>
        <v>0</v>
      </c>
      <c r="M633" s="16" t="str">
        <f>IF($A633&lt;Notes!$B$5,"",IF(COUNTIFS(Release_Calendar!$A$2:$A$755,"NZ_CPI",Release_Calendar!$B$2:$B$755,$A633)&gt;0,1,0))</f>
        <v/>
      </c>
      <c r="N633" s="16" t="str">
        <f>IF($A633&lt;Notes!$B$5,"",IF(COUNTIFS(Release_Calendar!$A$2:$A$755,"NZ_GDP",Release_Calendar!$B$2:$B$755,$A633)&gt;0,1,0))</f>
        <v/>
      </c>
      <c r="O633" s="16" t="str">
        <f>IF($A633&lt;Notes!$B$5,"",IF(COUNTIFS(Release_Calendar!$A$2:$A$755,"NZ_LABOUR",Release_Calendar!$B$2:$B$755,$A633)&gt;0,1,0))</f>
        <v/>
      </c>
      <c r="P633" s="16">
        <f t="shared" si="4"/>
        <v>0</v>
      </c>
    </row>
    <row r="634" ht="15.75" customHeight="1">
      <c r="A634" s="14">
        <v>37412.0</v>
      </c>
      <c r="B634" s="15">
        <v>3.16</v>
      </c>
      <c r="C634" s="15"/>
      <c r="D634" s="15">
        <v>6.15</v>
      </c>
      <c r="E634" s="15"/>
      <c r="F634" s="15" t="str">
        <f t="shared" si="1"/>
        <v/>
      </c>
      <c r="G634" s="15">
        <f t="shared" si="2"/>
        <v>6.15</v>
      </c>
      <c r="H634" s="16">
        <v>1.0</v>
      </c>
      <c r="I634" s="15">
        <f t="shared" si="3"/>
        <v>2.99</v>
      </c>
      <c r="J634" s="15">
        <v>22.61</v>
      </c>
      <c r="K634" s="16">
        <f>IF(COUNTIFS(Release_Calendar!$A$2:$A$755,"US_CPI",Release_Calendar!$B$2:$B$755,$A634)&gt;0,1,0)</f>
        <v>0</v>
      </c>
      <c r="L634" s="16">
        <f>IF(COUNTIFS(Release_Calendar!$A$2:$A$755,"US_NFP",Release_Calendar!$B$2:$B$755,$A634)&gt;0,1,0)</f>
        <v>0</v>
      </c>
      <c r="M634" s="16" t="str">
        <f>IF($A634&lt;Notes!$B$5,"",IF(COUNTIFS(Release_Calendar!$A$2:$A$755,"NZ_CPI",Release_Calendar!$B$2:$B$755,$A634)&gt;0,1,0))</f>
        <v/>
      </c>
      <c r="N634" s="16" t="str">
        <f>IF($A634&lt;Notes!$B$5,"",IF(COUNTIFS(Release_Calendar!$A$2:$A$755,"NZ_GDP",Release_Calendar!$B$2:$B$755,$A634)&gt;0,1,0))</f>
        <v/>
      </c>
      <c r="O634" s="16" t="str">
        <f>IF($A634&lt;Notes!$B$5,"",IF(COUNTIFS(Release_Calendar!$A$2:$A$755,"NZ_LABOUR",Release_Calendar!$B$2:$B$755,$A634)&gt;0,1,0))</f>
        <v/>
      </c>
      <c r="P634" s="16">
        <f t="shared" si="4"/>
        <v>0</v>
      </c>
    </row>
    <row r="635" ht="15.75" customHeight="1">
      <c r="A635" s="14">
        <v>37413.0</v>
      </c>
      <c r="B635" s="15">
        <v>3.13</v>
      </c>
      <c r="C635" s="15"/>
      <c r="D635" s="15">
        <v>6.14</v>
      </c>
      <c r="E635" s="15"/>
      <c r="F635" s="15" t="str">
        <f t="shared" si="1"/>
        <v/>
      </c>
      <c r="G635" s="15">
        <f t="shared" si="2"/>
        <v>6.14</v>
      </c>
      <c r="H635" s="16">
        <v>1.0</v>
      </c>
      <c r="I635" s="15">
        <f t="shared" si="3"/>
        <v>3.01</v>
      </c>
      <c r="J635" s="15">
        <v>24.16</v>
      </c>
      <c r="K635" s="16">
        <f>IF(COUNTIFS(Release_Calendar!$A$2:$A$755,"US_CPI",Release_Calendar!$B$2:$B$755,$A635)&gt;0,1,0)</f>
        <v>0</v>
      </c>
      <c r="L635" s="16">
        <f>IF(COUNTIFS(Release_Calendar!$A$2:$A$755,"US_NFP",Release_Calendar!$B$2:$B$755,$A635)&gt;0,1,0)</f>
        <v>0</v>
      </c>
      <c r="M635" s="16" t="str">
        <f>IF($A635&lt;Notes!$B$5,"",IF(COUNTIFS(Release_Calendar!$A$2:$A$755,"NZ_CPI",Release_Calendar!$B$2:$B$755,$A635)&gt;0,1,0))</f>
        <v/>
      </c>
      <c r="N635" s="16" t="str">
        <f>IF($A635&lt;Notes!$B$5,"",IF(COUNTIFS(Release_Calendar!$A$2:$A$755,"NZ_GDP",Release_Calendar!$B$2:$B$755,$A635)&gt;0,1,0))</f>
        <v/>
      </c>
      <c r="O635" s="16" t="str">
        <f>IF($A635&lt;Notes!$B$5,"",IF(COUNTIFS(Release_Calendar!$A$2:$A$755,"NZ_LABOUR",Release_Calendar!$B$2:$B$755,$A635)&gt;0,1,0))</f>
        <v/>
      </c>
      <c r="P635" s="16">
        <f t="shared" si="4"/>
        <v>0</v>
      </c>
    </row>
    <row r="636" ht="15.75" customHeight="1">
      <c r="A636" s="14">
        <v>37414.0</v>
      </c>
      <c r="B636" s="15">
        <v>3.16</v>
      </c>
      <c r="C636" s="15"/>
      <c r="D636" s="15">
        <v>6.09</v>
      </c>
      <c r="E636" s="15"/>
      <c r="F636" s="15" t="str">
        <f t="shared" si="1"/>
        <v/>
      </c>
      <c r="G636" s="15">
        <f t="shared" si="2"/>
        <v>6.09</v>
      </c>
      <c r="H636" s="16">
        <v>1.0</v>
      </c>
      <c r="I636" s="15">
        <f t="shared" si="3"/>
        <v>2.93</v>
      </c>
      <c r="J636" s="15">
        <v>23.51</v>
      </c>
      <c r="K636" s="16">
        <f>IF(COUNTIFS(Release_Calendar!$A$2:$A$755,"US_CPI",Release_Calendar!$B$2:$B$755,$A636)&gt;0,1,0)</f>
        <v>0</v>
      </c>
      <c r="L636" s="16">
        <f>IF(COUNTIFS(Release_Calendar!$A$2:$A$755,"US_NFP",Release_Calendar!$B$2:$B$755,$A636)&gt;0,1,0)</f>
        <v>1</v>
      </c>
      <c r="M636" s="16" t="str">
        <f>IF($A636&lt;Notes!$B$5,"",IF(COUNTIFS(Release_Calendar!$A$2:$A$755,"NZ_CPI",Release_Calendar!$B$2:$B$755,$A636)&gt;0,1,0))</f>
        <v/>
      </c>
      <c r="N636" s="16" t="str">
        <f>IF($A636&lt;Notes!$B$5,"",IF(COUNTIFS(Release_Calendar!$A$2:$A$755,"NZ_GDP",Release_Calendar!$B$2:$B$755,$A636)&gt;0,1,0))</f>
        <v/>
      </c>
      <c r="O636" s="16" t="str">
        <f>IF($A636&lt;Notes!$B$5,"",IF(COUNTIFS(Release_Calendar!$A$2:$A$755,"NZ_LABOUR",Release_Calendar!$B$2:$B$755,$A636)&gt;0,1,0))</f>
        <v/>
      </c>
      <c r="P636" s="16">
        <f t="shared" si="4"/>
        <v>1</v>
      </c>
    </row>
    <row r="637" ht="15.75" customHeight="1">
      <c r="A637" s="14">
        <v>37417.0</v>
      </c>
      <c r="B637" s="15">
        <v>3.15</v>
      </c>
      <c r="C637" s="15"/>
      <c r="D637" s="15">
        <v>6.14</v>
      </c>
      <c r="E637" s="15"/>
      <c r="F637" s="15" t="str">
        <f t="shared" si="1"/>
        <v/>
      </c>
      <c r="G637" s="15">
        <f t="shared" si="2"/>
        <v>6.14</v>
      </c>
      <c r="H637" s="16">
        <v>1.0</v>
      </c>
      <c r="I637" s="15">
        <f t="shared" si="3"/>
        <v>2.99</v>
      </c>
      <c r="J637" s="15">
        <v>23.72</v>
      </c>
      <c r="K637" s="16">
        <f>IF(COUNTIFS(Release_Calendar!$A$2:$A$755,"US_CPI",Release_Calendar!$B$2:$B$755,$A637)&gt;0,1,0)</f>
        <v>0</v>
      </c>
      <c r="L637" s="16">
        <f>IF(COUNTIFS(Release_Calendar!$A$2:$A$755,"US_NFP",Release_Calendar!$B$2:$B$755,$A637)&gt;0,1,0)</f>
        <v>0</v>
      </c>
      <c r="M637" s="16" t="str">
        <f>IF($A637&lt;Notes!$B$5,"",IF(COUNTIFS(Release_Calendar!$A$2:$A$755,"NZ_CPI",Release_Calendar!$B$2:$B$755,$A637)&gt;0,1,0))</f>
        <v/>
      </c>
      <c r="N637" s="16" t="str">
        <f>IF($A637&lt;Notes!$B$5,"",IF(COUNTIFS(Release_Calendar!$A$2:$A$755,"NZ_GDP",Release_Calendar!$B$2:$B$755,$A637)&gt;0,1,0))</f>
        <v/>
      </c>
      <c r="O637" s="16" t="str">
        <f>IF($A637&lt;Notes!$B$5,"",IF(COUNTIFS(Release_Calendar!$A$2:$A$755,"NZ_LABOUR",Release_Calendar!$B$2:$B$755,$A637)&gt;0,1,0))</f>
        <v/>
      </c>
      <c r="P637" s="16">
        <f t="shared" si="4"/>
        <v>0</v>
      </c>
    </row>
    <row r="638" ht="15.75" customHeight="1">
      <c r="A638" s="14">
        <v>37418.0</v>
      </c>
      <c r="B638" s="15">
        <v>3.09</v>
      </c>
      <c r="C638" s="15"/>
      <c r="D638" s="15">
        <v>6.1</v>
      </c>
      <c r="E638" s="15"/>
      <c r="F638" s="15" t="str">
        <f t="shared" si="1"/>
        <v/>
      </c>
      <c r="G638" s="15">
        <f t="shared" si="2"/>
        <v>6.1</v>
      </c>
      <c r="H638" s="16">
        <v>1.0</v>
      </c>
      <c r="I638" s="15">
        <f t="shared" si="3"/>
        <v>3.01</v>
      </c>
      <c r="J638" s="15">
        <v>24.45</v>
      </c>
      <c r="K638" s="16">
        <f>IF(COUNTIFS(Release_Calendar!$A$2:$A$755,"US_CPI",Release_Calendar!$B$2:$B$755,$A638)&gt;0,1,0)</f>
        <v>0</v>
      </c>
      <c r="L638" s="16">
        <f>IF(COUNTIFS(Release_Calendar!$A$2:$A$755,"US_NFP",Release_Calendar!$B$2:$B$755,$A638)&gt;0,1,0)</f>
        <v>0</v>
      </c>
      <c r="M638" s="16" t="str">
        <f>IF($A638&lt;Notes!$B$5,"",IF(COUNTIFS(Release_Calendar!$A$2:$A$755,"NZ_CPI",Release_Calendar!$B$2:$B$755,$A638)&gt;0,1,0))</f>
        <v/>
      </c>
      <c r="N638" s="16" t="str">
        <f>IF($A638&lt;Notes!$B$5,"",IF(COUNTIFS(Release_Calendar!$A$2:$A$755,"NZ_GDP",Release_Calendar!$B$2:$B$755,$A638)&gt;0,1,0))</f>
        <v/>
      </c>
      <c r="O638" s="16" t="str">
        <f>IF($A638&lt;Notes!$B$5,"",IF(COUNTIFS(Release_Calendar!$A$2:$A$755,"NZ_LABOUR",Release_Calendar!$B$2:$B$755,$A638)&gt;0,1,0))</f>
        <v/>
      </c>
      <c r="P638" s="16">
        <f t="shared" si="4"/>
        <v>0</v>
      </c>
    </row>
    <row r="639" ht="15.75" customHeight="1">
      <c r="A639" s="14">
        <v>37419.0</v>
      </c>
      <c r="B639" s="15">
        <v>3.05</v>
      </c>
      <c r="C639" s="15"/>
      <c r="D639" s="15">
        <v>6.05</v>
      </c>
      <c r="E639" s="15"/>
      <c r="F639" s="15" t="str">
        <f t="shared" si="1"/>
        <v/>
      </c>
      <c r="G639" s="15">
        <f t="shared" si="2"/>
        <v>6.05</v>
      </c>
      <c r="H639" s="16">
        <v>1.0</v>
      </c>
      <c r="I639" s="15">
        <f t="shared" si="3"/>
        <v>3</v>
      </c>
      <c r="J639" s="15">
        <v>24.15</v>
      </c>
      <c r="K639" s="16">
        <f>IF(COUNTIFS(Release_Calendar!$A$2:$A$755,"US_CPI",Release_Calendar!$B$2:$B$755,$A639)&gt;0,1,0)</f>
        <v>0</v>
      </c>
      <c r="L639" s="16">
        <f>IF(COUNTIFS(Release_Calendar!$A$2:$A$755,"US_NFP",Release_Calendar!$B$2:$B$755,$A639)&gt;0,1,0)</f>
        <v>0</v>
      </c>
      <c r="M639" s="16" t="str">
        <f>IF($A639&lt;Notes!$B$5,"",IF(COUNTIFS(Release_Calendar!$A$2:$A$755,"NZ_CPI",Release_Calendar!$B$2:$B$755,$A639)&gt;0,1,0))</f>
        <v/>
      </c>
      <c r="N639" s="16" t="str">
        <f>IF($A639&lt;Notes!$B$5,"",IF(COUNTIFS(Release_Calendar!$A$2:$A$755,"NZ_GDP",Release_Calendar!$B$2:$B$755,$A639)&gt;0,1,0))</f>
        <v/>
      </c>
      <c r="O639" s="16" t="str">
        <f>IF($A639&lt;Notes!$B$5,"",IF(COUNTIFS(Release_Calendar!$A$2:$A$755,"NZ_LABOUR",Release_Calendar!$B$2:$B$755,$A639)&gt;0,1,0))</f>
        <v/>
      </c>
      <c r="P639" s="16">
        <f t="shared" si="4"/>
        <v>0</v>
      </c>
    </row>
    <row r="640" ht="15.75" customHeight="1">
      <c r="A640" s="14">
        <v>37420.0</v>
      </c>
      <c r="B640" s="15">
        <v>3.0</v>
      </c>
      <c r="C640" s="15"/>
      <c r="D640" s="15">
        <v>6.07</v>
      </c>
      <c r="E640" s="15"/>
      <c r="F640" s="15" t="str">
        <f t="shared" si="1"/>
        <v/>
      </c>
      <c r="G640" s="15">
        <f t="shared" si="2"/>
        <v>6.07</v>
      </c>
      <c r="H640" s="16">
        <v>1.0</v>
      </c>
      <c r="I640" s="15">
        <f t="shared" si="3"/>
        <v>3.07</v>
      </c>
      <c r="J640" s="15">
        <v>25.02</v>
      </c>
      <c r="K640" s="16">
        <f>IF(COUNTIFS(Release_Calendar!$A$2:$A$755,"US_CPI",Release_Calendar!$B$2:$B$755,$A640)&gt;0,1,0)</f>
        <v>0</v>
      </c>
      <c r="L640" s="16">
        <f>IF(COUNTIFS(Release_Calendar!$A$2:$A$755,"US_NFP",Release_Calendar!$B$2:$B$755,$A640)&gt;0,1,0)</f>
        <v>0</v>
      </c>
      <c r="M640" s="16" t="str">
        <f>IF($A640&lt;Notes!$B$5,"",IF(COUNTIFS(Release_Calendar!$A$2:$A$755,"NZ_CPI",Release_Calendar!$B$2:$B$755,$A640)&gt;0,1,0))</f>
        <v/>
      </c>
      <c r="N640" s="16" t="str">
        <f>IF($A640&lt;Notes!$B$5,"",IF(COUNTIFS(Release_Calendar!$A$2:$A$755,"NZ_GDP",Release_Calendar!$B$2:$B$755,$A640)&gt;0,1,0))</f>
        <v/>
      </c>
      <c r="O640" s="16" t="str">
        <f>IF($A640&lt;Notes!$B$5,"",IF(COUNTIFS(Release_Calendar!$A$2:$A$755,"NZ_LABOUR",Release_Calendar!$B$2:$B$755,$A640)&gt;0,1,0))</f>
        <v/>
      </c>
      <c r="P640" s="16">
        <f t="shared" si="4"/>
        <v>0</v>
      </c>
    </row>
    <row r="641" ht="15.75" customHeight="1">
      <c r="A641" s="14">
        <v>37421.0</v>
      </c>
      <c r="B641" s="15">
        <v>2.92</v>
      </c>
      <c r="C641" s="15"/>
      <c r="D641" s="15">
        <v>6.03</v>
      </c>
      <c r="E641" s="15"/>
      <c r="F641" s="15" t="str">
        <f t="shared" si="1"/>
        <v/>
      </c>
      <c r="G641" s="15">
        <f t="shared" si="2"/>
        <v>6.03</v>
      </c>
      <c r="H641" s="16">
        <v>1.0</v>
      </c>
      <c r="I641" s="15">
        <f t="shared" si="3"/>
        <v>3.11</v>
      </c>
      <c r="J641" s="15">
        <v>25.96</v>
      </c>
      <c r="K641" s="16">
        <f>IF(COUNTIFS(Release_Calendar!$A$2:$A$755,"US_CPI",Release_Calendar!$B$2:$B$755,$A641)&gt;0,1,0)</f>
        <v>0</v>
      </c>
      <c r="L641" s="16">
        <f>IF(COUNTIFS(Release_Calendar!$A$2:$A$755,"US_NFP",Release_Calendar!$B$2:$B$755,$A641)&gt;0,1,0)</f>
        <v>0</v>
      </c>
      <c r="M641" s="16" t="str">
        <f>IF($A641&lt;Notes!$B$5,"",IF(COUNTIFS(Release_Calendar!$A$2:$A$755,"NZ_CPI",Release_Calendar!$B$2:$B$755,$A641)&gt;0,1,0))</f>
        <v/>
      </c>
      <c r="N641" s="16" t="str">
        <f>IF($A641&lt;Notes!$B$5,"",IF(COUNTIFS(Release_Calendar!$A$2:$A$755,"NZ_GDP",Release_Calendar!$B$2:$B$755,$A641)&gt;0,1,0))</f>
        <v/>
      </c>
      <c r="O641" s="16" t="str">
        <f>IF($A641&lt;Notes!$B$5,"",IF(COUNTIFS(Release_Calendar!$A$2:$A$755,"NZ_LABOUR",Release_Calendar!$B$2:$B$755,$A641)&gt;0,1,0))</f>
        <v/>
      </c>
      <c r="P641" s="16">
        <f t="shared" si="4"/>
        <v>0</v>
      </c>
    </row>
    <row r="642" ht="15.75" customHeight="1">
      <c r="A642" s="14">
        <v>37424.0</v>
      </c>
      <c r="B642" s="15">
        <v>2.96</v>
      </c>
      <c r="C642" s="15"/>
      <c r="D642" s="15">
        <v>5.98</v>
      </c>
      <c r="E642" s="15"/>
      <c r="F642" s="15" t="str">
        <f t="shared" si="1"/>
        <v/>
      </c>
      <c r="G642" s="15">
        <f t="shared" si="2"/>
        <v>5.98</v>
      </c>
      <c r="H642" s="16">
        <v>1.0</v>
      </c>
      <c r="I642" s="15">
        <f t="shared" si="3"/>
        <v>3.02</v>
      </c>
      <c r="J642" s="15">
        <v>24.64</v>
      </c>
      <c r="K642" s="16">
        <f>IF(COUNTIFS(Release_Calendar!$A$2:$A$755,"US_CPI",Release_Calendar!$B$2:$B$755,$A642)&gt;0,1,0)</f>
        <v>0</v>
      </c>
      <c r="L642" s="16">
        <f>IF(COUNTIFS(Release_Calendar!$A$2:$A$755,"US_NFP",Release_Calendar!$B$2:$B$755,$A642)&gt;0,1,0)</f>
        <v>0</v>
      </c>
      <c r="M642" s="16" t="str">
        <f>IF($A642&lt;Notes!$B$5,"",IF(COUNTIFS(Release_Calendar!$A$2:$A$755,"NZ_CPI",Release_Calendar!$B$2:$B$755,$A642)&gt;0,1,0))</f>
        <v/>
      </c>
      <c r="N642" s="16" t="str">
        <f>IF($A642&lt;Notes!$B$5,"",IF(COUNTIFS(Release_Calendar!$A$2:$A$755,"NZ_GDP",Release_Calendar!$B$2:$B$755,$A642)&gt;0,1,0))</f>
        <v/>
      </c>
      <c r="O642" s="16" t="str">
        <f>IF($A642&lt;Notes!$B$5,"",IF(COUNTIFS(Release_Calendar!$A$2:$A$755,"NZ_LABOUR",Release_Calendar!$B$2:$B$755,$A642)&gt;0,1,0))</f>
        <v/>
      </c>
      <c r="P642" s="16">
        <f t="shared" si="4"/>
        <v>0</v>
      </c>
    </row>
    <row r="643" ht="15.75" customHeight="1">
      <c r="A643" s="14">
        <v>37425.0</v>
      </c>
      <c r="B643" s="15">
        <v>2.93</v>
      </c>
      <c r="C643" s="15"/>
      <c r="D643" s="15">
        <v>6.03</v>
      </c>
      <c r="E643" s="15"/>
      <c r="F643" s="15" t="str">
        <f t="shared" si="1"/>
        <v/>
      </c>
      <c r="G643" s="15">
        <f t="shared" si="2"/>
        <v>6.03</v>
      </c>
      <c r="H643" s="16">
        <v>1.0</v>
      </c>
      <c r="I643" s="15">
        <f t="shared" si="3"/>
        <v>3.1</v>
      </c>
      <c r="J643" s="15">
        <v>24.24</v>
      </c>
      <c r="K643" s="16">
        <f>IF(COUNTIFS(Release_Calendar!$A$2:$A$755,"US_CPI",Release_Calendar!$B$2:$B$755,$A643)&gt;0,1,0)</f>
        <v>1</v>
      </c>
      <c r="L643" s="16">
        <f>IF(COUNTIFS(Release_Calendar!$A$2:$A$755,"US_NFP",Release_Calendar!$B$2:$B$755,$A643)&gt;0,1,0)</f>
        <v>0</v>
      </c>
      <c r="M643" s="16" t="str">
        <f>IF($A643&lt;Notes!$B$5,"",IF(COUNTIFS(Release_Calendar!$A$2:$A$755,"NZ_CPI",Release_Calendar!$B$2:$B$755,$A643)&gt;0,1,0))</f>
        <v/>
      </c>
      <c r="N643" s="16" t="str">
        <f>IF($A643&lt;Notes!$B$5,"",IF(COUNTIFS(Release_Calendar!$A$2:$A$755,"NZ_GDP",Release_Calendar!$B$2:$B$755,$A643)&gt;0,1,0))</f>
        <v/>
      </c>
      <c r="O643" s="16" t="str">
        <f>IF($A643&lt;Notes!$B$5,"",IF(COUNTIFS(Release_Calendar!$A$2:$A$755,"NZ_LABOUR",Release_Calendar!$B$2:$B$755,$A643)&gt;0,1,0))</f>
        <v/>
      </c>
      <c r="P643" s="16">
        <f t="shared" si="4"/>
        <v>1</v>
      </c>
    </row>
    <row r="644" ht="15.75" customHeight="1">
      <c r="A644" s="14">
        <v>37426.0</v>
      </c>
      <c r="B644" s="15">
        <v>2.81</v>
      </c>
      <c r="C644" s="15"/>
      <c r="D644" s="15">
        <v>6.01</v>
      </c>
      <c r="E644" s="15"/>
      <c r="F644" s="15" t="str">
        <f t="shared" si="1"/>
        <v/>
      </c>
      <c r="G644" s="15">
        <f t="shared" si="2"/>
        <v>6.01</v>
      </c>
      <c r="H644" s="16">
        <v>1.0</v>
      </c>
      <c r="I644" s="15">
        <f t="shared" si="3"/>
        <v>3.2</v>
      </c>
      <c r="J644" s="15">
        <v>26.06</v>
      </c>
      <c r="K644" s="16">
        <f>IF(COUNTIFS(Release_Calendar!$A$2:$A$755,"US_CPI",Release_Calendar!$B$2:$B$755,$A644)&gt;0,1,0)</f>
        <v>0</v>
      </c>
      <c r="L644" s="16">
        <f>IF(COUNTIFS(Release_Calendar!$A$2:$A$755,"US_NFP",Release_Calendar!$B$2:$B$755,$A644)&gt;0,1,0)</f>
        <v>0</v>
      </c>
      <c r="M644" s="16" t="str">
        <f>IF($A644&lt;Notes!$B$5,"",IF(COUNTIFS(Release_Calendar!$A$2:$A$755,"NZ_CPI",Release_Calendar!$B$2:$B$755,$A644)&gt;0,1,0))</f>
        <v/>
      </c>
      <c r="N644" s="16" t="str">
        <f>IF($A644&lt;Notes!$B$5,"",IF(COUNTIFS(Release_Calendar!$A$2:$A$755,"NZ_GDP",Release_Calendar!$B$2:$B$755,$A644)&gt;0,1,0))</f>
        <v/>
      </c>
      <c r="O644" s="16" t="str">
        <f>IF($A644&lt;Notes!$B$5,"",IF(COUNTIFS(Release_Calendar!$A$2:$A$755,"NZ_LABOUR",Release_Calendar!$B$2:$B$755,$A644)&gt;0,1,0))</f>
        <v/>
      </c>
      <c r="P644" s="16">
        <f t="shared" si="4"/>
        <v>0</v>
      </c>
    </row>
    <row r="645" ht="15.75" customHeight="1">
      <c r="A645" s="14">
        <v>37427.0</v>
      </c>
      <c r="B645" s="15">
        <v>2.93</v>
      </c>
      <c r="C645" s="15"/>
      <c r="D645" s="15">
        <v>5.95</v>
      </c>
      <c r="E645" s="15"/>
      <c r="F645" s="15" t="str">
        <f t="shared" si="1"/>
        <v/>
      </c>
      <c r="G645" s="15">
        <f t="shared" si="2"/>
        <v>5.95</v>
      </c>
      <c r="H645" s="16">
        <v>1.0</v>
      </c>
      <c r="I645" s="15">
        <f t="shared" si="3"/>
        <v>3.02</v>
      </c>
      <c r="J645" s="15">
        <v>27.48</v>
      </c>
      <c r="K645" s="16">
        <f>IF(COUNTIFS(Release_Calendar!$A$2:$A$755,"US_CPI",Release_Calendar!$B$2:$B$755,$A645)&gt;0,1,0)</f>
        <v>0</v>
      </c>
      <c r="L645" s="16">
        <f>IF(COUNTIFS(Release_Calendar!$A$2:$A$755,"US_NFP",Release_Calendar!$B$2:$B$755,$A645)&gt;0,1,0)</f>
        <v>0</v>
      </c>
      <c r="M645" s="16" t="str">
        <f>IF($A645&lt;Notes!$B$5,"",IF(COUNTIFS(Release_Calendar!$A$2:$A$755,"NZ_CPI",Release_Calendar!$B$2:$B$755,$A645)&gt;0,1,0))</f>
        <v/>
      </c>
      <c r="N645" s="16" t="str">
        <f>IF($A645&lt;Notes!$B$5,"",IF(COUNTIFS(Release_Calendar!$A$2:$A$755,"NZ_GDP",Release_Calendar!$B$2:$B$755,$A645)&gt;0,1,0))</f>
        <v/>
      </c>
      <c r="O645" s="16" t="str">
        <f>IF($A645&lt;Notes!$B$5,"",IF(COUNTIFS(Release_Calendar!$A$2:$A$755,"NZ_LABOUR",Release_Calendar!$B$2:$B$755,$A645)&gt;0,1,0))</f>
        <v/>
      </c>
      <c r="P645" s="16">
        <f t="shared" si="4"/>
        <v>0</v>
      </c>
    </row>
    <row r="646" ht="15.75" customHeight="1">
      <c r="A646" s="14">
        <v>37428.0</v>
      </c>
      <c r="B646" s="15">
        <v>2.88</v>
      </c>
      <c r="C646" s="15"/>
      <c r="D646" s="15">
        <v>6.02</v>
      </c>
      <c r="E646" s="15"/>
      <c r="F646" s="15" t="str">
        <f t="shared" si="1"/>
        <v/>
      </c>
      <c r="G646" s="15">
        <f t="shared" si="2"/>
        <v>6.02</v>
      </c>
      <c r="H646" s="16">
        <v>1.0</v>
      </c>
      <c r="I646" s="15">
        <f t="shared" si="3"/>
        <v>3.14</v>
      </c>
      <c r="J646" s="15">
        <v>27.23</v>
      </c>
      <c r="K646" s="16">
        <f>IF(COUNTIFS(Release_Calendar!$A$2:$A$755,"US_CPI",Release_Calendar!$B$2:$B$755,$A646)&gt;0,1,0)</f>
        <v>0</v>
      </c>
      <c r="L646" s="16">
        <f>IF(COUNTIFS(Release_Calendar!$A$2:$A$755,"US_NFP",Release_Calendar!$B$2:$B$755,$A646)&gt;0,1,0)</f>
        <v>0</v>
      </c>
      <c r="M646" s="16" t="str">
        <f>IF($A646&lt;Notes!$B$5,"",IF(COUNTIFS(Release_Calendar!$A$2:$A$755,"NZ_CPI",Release_Calendar!$B$2:$B$755,$A646)&gt;0,1,0))</f>
        <v/>
      </c>
      <c r="N646" s="16" t="str">
        <f>IF($A646&lt;Notes!$B$5,"",IF(COUNTIFS(Release_Calendar!$A$2:$A$755,"NZ_GDP",Release_Calendar!$B$2:$B$755,$A646)&gt;0,1,0))</f>
        <v/>
      </c>
      <c r="O646" s="16" t="str">
        <f>IF($A646&lt;Notes!$B$5,"",IF(COUNTIFS(Release_Calendar!$A$2:$A$755,"NZ_LABOUR",Release_Calendar!$B$2:$B$755,$A646)&gt;0,1,0))</f>
        <v/>
      </c>
      <c r="P646" s="16">
        <f t="shared" si="4"/>
        <v>0</v>
      </c>
    </row>
    <row r="647" ht="15.75" customHeight="1">
      <c r="A647" s="14">
        <v>37431.0</v>
      </c>
      <c r="B647" s="15">
        <v>2.93</v>
      </c>
      <c r="C647" s="15"/>
      <c r="D647" s="15">
        <v>5.97</v>
      </c>
      <c r="E647" s="15"/>
      <c r="F647" s="15" t="str">
        <f t="shared" si="1"/>
        <v/>
      </c>
      <c r="G647" s="15">
        <f t="shared" si="2"/>
        <v>5.97</v>
      </c>
      <c r="H647" s="16">
        <v>1.0</v>
      </c>
      <c r="I647" s="15">
        <f t="shared" si="3"/>
        <v>3.04</v>
      </c>
      <c r="J647" s="15">
        <v>26.98</v>
      </c>
      <c r="K647" s="16">
        <f>IF(COUNTIFS(Release_Calendar!$A$2:$A$755,"US_CPI",Release_Calendar!$B$2:$B$755,$A647)&gt;0,1,0)</f>
        <v>0</v>
      </c>
      <c r="L647" s="16">
        <f>IF(COUNTIFS(Release_Calendar!$A$2:$A$755,"US_NFP",Release_Calendar!$B$2:$B$755,$A647)&gt;0,1,0)</f>
        <v>0</v>
      </c>
      <c r="M647" s="16" t="str">
        <f>IF($A647&lt;Notes!$B$5,"",IF(COUNTIFS(Release_Calendar!$A$2:$A$755,"NZ_CPI",Release_Calendar!$B$2:$B$755,$A647)&gt;0,1,0))</f>
        <v/>
      </c>
      <c r="N647" s="16" t="str">
        <f>IF($A647&lt;Notes!$B$5,"",IF(COUNTIFS(Release_Calendar!$A$2:$A$755,"NZ_GDP",Release_Calendar!$B$2:$B$755,$A647)&gt;0,1,0))</f>
        <v/>
      </c>
      <c r="O647" s="16" t="str">
        <f>IF($A647&lt;Notes!$B$5,"",IF(COUNTIFS(Release_Calendar!$A$2:$A$755,"NZ_LABOUR",Release_Calendar!$B$2:$B$755,$A647)&gt;0,1,0))</f>
        <v/>
      </c>
      <c r="P647" s="16">
        <f t="shared" si="4"/>
        <v>0</v>
      </c>
    </row>
    <row r="648" ht="15.75" customHeight="1">
      <c r="A648" s="14">
        <v>37432.0</v>
      </c>
      <c r="B648" s="15">
        <v>2.92</v>
      </c>
      <c r="C648" s="15"/>
      <c r="D648" s="15">
        <v>6.03</v>
      </c>
      <c r="E648" s="15"/>
      <c r="F648" s="15" t="str">
        <f t="shared" si="1"/>
        <v/>
      </c>
      <c r="G648" s="15">
        <f t="shared" si="2"/>
        <v>6.03</v>
      </c>
      <c r="H648" s="16">
        <v>1.0</v>
      </c>
      <c r="I648" s="15">
        <f t="shared" si="3"/>
        <v>3.11</v>
      </c>
      <c r="J648" s="15">
        <v>27.84</v>
      </c>
      <c r="K648" s="16">
        <f>IF(COUNTIFS(Release_Calendar!$A$2:$A$755,"US_CPI",Release_Calendar!$B$2:$B$755,$A648)&gt;0,1,0)</f>
        <v>0</v>
      </c>
      <c r="L648" s="16">
        <f>IF(COUNTIFS(Release_Calendar!$A$2:$A$755,"US_NFP",Release_Calendar!$B$2:$B$755,$A648)&gt;0,1,0)</f>
        <v>0</v>
      </c>
      <c r="M648" s="16" t="str">
        <f>IF($A648&lt;Notes!$B$5,"",IF(COUNTIFS(Release_Calendar!$A$2:$A$755,"NZ_CPI",Release_Calendar!$B$2:$B$755,$A648)&gt;0,1,0))</f>
        <v/>
      </c>
      <c r="N648" s="16" t="str">
        <f>IF($A648&lt;Notes!$B$5,"",IF(COUNTIFS(Release_Calendar!$A$2:$A$755,"NZ_GDP",Release_Calendar!$B$2:$B$755,$A648)&gt;0,1,0))</f>
        <v/>
      </c>
      <c r="O648" s="16" t="str">
        <f>IF($A648&lt;Notes!$B$5,"",IF(COUNTIFS(Release_Calendar!$A$2:$A$755,"NZ_LABOUR",Release_Calendar!$B$2:$B$755,$A648)&gt;0,1,0))</f>
        <v/>
      </c>
      <c r="P648" s="16">
        <f t="shared" si="4"/>
        <v>0</v>
      </c>
    </row>
    <row r="649" ht="15.75" customHeight="1">
      <c r="A649" s="14">
        <v>37433.0</v>
      </c>
      <c r="B649" s="15">
        <v>2.77</v>
      </c>
      <c r="C649" s="15"/>
      <c r="D649" s="15">
        <v>5.93</v>
      </c>
      <c r="E649" s="15"/>
      <c r="F649" s="15" t="str">
        <f t="shared" si="1"/>
        <v/>
      </c>
      <c r="G649" s="15">
        <f t="shared" si="2"/>
        <v>5.93</v>
      </c>
      <c r="H649" s="16">
        <v>1.0</v>
      </c>
      <c r="I649" s="15">
        <f t="shared" si="3"/>
        <v>3.16</v>
      </c>
      <c r="J649" s="15">
        <v>28.42</v>
      </c>
      <c r="K649" s="16">
        <f>IF(COUNTIFS(Release_Calendar!$A$2:$A$755,"US_CPI",Release_Calendar!$B$2:$B$755,$A649)&gt;0,1,0)</f>
        <v>0</v>
      </c>
      <c r="L649" s="16">
        <f>IF(COUNTIFS(Release_Calendar!$A$2:$A$755,"US_NFP",Release_Calendar!$B$2:$B$755,$A649)&gt;0,1,0)</f>
        <v>0</v>
      </c>
      <c r="M649" s="16" t="str">
        <f>IF($A649&lt;Notes!$B$5,"",IF(COUNTIFS(Release_Calendar!$A$2:$A$755,"NZ_CPI",Release_Calendar!$B$2:$B$755,$A649)&gt;0,1,0))</f>
        <v/>
      </c>
      <c r="N649" s="16" t="str">
        <f>IF($A649&lt;Notes!$B$5,"",IF(COUNTIFS(Release_Calendar!$A$2:$A$755,"NZ_GDP",Release_Calendar!$B$2:$B$755,$A649)&gt;0,1,0))</f>
        <v/>
      </c>
      <c r="O649" s="16" t="str">
        <f>IF($A649&lt;Notes!$B$5,"",IF(COUNTIFS(Release_Calendar!$A$2:$A$755,"NZ_LABOUR",Release_Calendar!$B$2:$B$755,$A649)&gt;0,1,0))</f>
        <v/>
      </c>
      <c r="P649" s="16">
        <f t="shared" si="4"/>
        <v>0</v>
      </c>
    </row>
    <row r="650" ht="15.75" customHeight="1">
      <c r="A650" s="14">
        <v>37434.0</v>
      </c>
      <c r="B650" s="15">
        <v>2.85</v>
      </c>
      <c r="C650" s="15"/>
      <c r="D650" s="15">
        <v>5.99</v>
      </c>
      <c r="E650" s="15"/>
      <c r="F650" s="15" t="str">
        <f t="shared" si="1"/>
        <v/>
      </c>
      <c r="G650" s="15">
        <f t="shared" si="2"/>
        <v>5.99</v>
      </c>
      <c r="H650" s="16">
        <v>1.0</v>
      </c>
      <c r="I650" s="15">
        <f t="shared" si="3"/>
        <v>3.14</v>
      </c>
      <c r="J650" s="15">
        <v>26.29</v>
      </c>
      <c r="K650" s="16">
        <f>IF(COUNTIFS(Release_Calendar!$A$2:$A$755,"US_CPI",Release_Calendar!$B$2:$B$755,$A650)&gt;0,1,0)</f>
        <v>0</v>
      </c>
      <c r="L650" s="16">
        <f>IF(COUNTIFS(Release_Calendar!$A$2:$A$755,"US_NFP",Release_Calendar!$B$2:$B$755,$A650)&gt;0,1,0)</f>
        <v>0</v>
      </c>
      <c r="M650" s="16" t="str">
        <f>IF($A650&lt;Notes!$B$5,"",IF(COUNTIFS(Release_Calendar!$A$2:$A$755,"NZ_CPI",Release_Calendar!$B$2:$B$755,$A650)&gt;0,1,0))</f>
        <v/>
      </c>
      <c r="N650" s="16" t="str">
        <f>IF($A650&lt;Notes!$B$5,"",IF(COUNTIFS(Release_Calendar!$A$2:$A$755,"NZ_GDP",Release_Calendar!$B$2:$B$755,$A650)&gt;0,1,0))</f>
        <v/>
      </c>
      <c r="O650" s="16" t="str">
        <f>IF($A650&lt;Notes!$B$5,"",IF(COUNTIFS(Release_Calendar!$A$2:$A$755,"NZ_LABOUR",Release_Calendar!$B$2:$B$755,$A650)&gt;0,1,0))</f>
        <v/>
      </c>
      <c r="P650" s="16">
        <f t="shared" si="4"/>
        <v>0</v>
      </c>
    </row>
    <row r="651" ht="15.75" customHeight="1">
      <c r="A651" s="14">
        <v>37435.0</v>
      </c>
      <c r="B651" s="15">
        <v>2.9</v>
      </c>
      <c r="C651" s="15"/>
      <c r="D651" s="15">
        <v>6.06</v>
      </c>
      <c r="E651" s="15"/>
      <c r="F651" s="15" t="str">
        <f t="shared" si="1"/>
        <v/>
      </c>
      <c r="G651" s="15">
        <f t="shared" si="2"/>
        <v>6.06</v>
      </c>
      <c r="H651" s="16">
        <v>1.0</v>
      </c>
      <c r="I651" s="15">
        <f t="shared" si="3"/>
        <v>3.16</v>
      </c>
      <c r="J651" s="15">
        <v>25.4</v>
      </c>
      <c r="K651" s="16">
        <f>IF(COUNTIFS(Release_Calendar!$A$2:$A$755,"US_CPI",Release_Calendar!$B$2:$B$755,$A651)&gt;0,1,0)</f>
        <v>0</v>
      </c>
      <c r="L651" s="16">
        <f>IF(COUNTIFS(Release_Calendar!$A$2:$A$755,"US_NFP",Release_Calendar!$B$2:$B$755,$A651)&gt;0,1,0)</f>
        <v>0</v>
      </c>
      <c r="M651" s="16" t="str">
        <f>IF($A651&lt;Notes!$B$5,"",IF(COUNTIFS(Release_Calendar!$A$2:$A$755,"NZ_CPI",Release_Calendar!$B$2:$B$755,$A651)&gt;0,1,0))</f>
        <v/>
      </c>
      <c r="N651" s="16" t="str">
        <f>IF($A651&lt;Notes!$B$5,"",IF(COUNTIFS(Release_Calendar!$A$2:$A$755,"NZ_GDP",Release_Calendar!$B$2:$B$755,$A651)&gt;0,1,0))</f>
        <v/>
      </c>
      <c r="O651" s="16" t="str">
        <f>IF($A651&lt;Notes!$B$5,"",IF(COUNTIFS(Release_Calendar!$A$2:$A$755,"NZ_LABOUR",Release_Calendar!$B$2:$B$755,$A651)&gt;0,1,0))</f>
        <v/>
      </c>
      <c r="P651" s="16">
        <f t="shared" si="4"/>
        <v>0</v>
      </c>
    </row>
    <row r="652" ht="15.75" customHeight="1">
      <c r="A652" s="14">
        <v>37438.0</v>
      </c>
      <c r="B652" s="15">
        <v>2.88</v>
      </c>
      <c r="C652" s="15"/>
      <c r="D652" s="15">
        <v>6.05</v>
      </c>
      <c r="E652" s="15"/>
      <c r="F652" s="15" t="str">
        <f t="shared" si="1"/>
        <v/>
      </c>
      <c r="G652" s="15">
        <f t="shared" si="2"/>
        <v>6.05</v>
      </c>
      <c r="H652" s="16">
        <v>1.0</v>
      </c>
      <c r="I652" s="15">
        <f t="shared" si="3"/>
        <v>3.17</v>
      </c>
      <c r="J652" s="15">
        <v>27.11</v>
      </c>
      <c r="K652" s="16">
        <f>IF(COUNTIFS(Release_Calendar!$A$2:$A$755,"US_CPI",Release_Calendar!$B$2:$B$755,$A652)&gt;0,1,0)</f>
        <v>0</v>
      </c>
      <c r="L652" s="16">
        <f>IF(COUNTIFS(Release_Calendar!$A$2:$A$755,"US_NFP",Release_Calendar!$B$2:$B$755,$A652)&gt;0,1,0)</f>
        <v>0</v>
      </c>
      <c r="M652" s="16" t="str">
        <f>IF($A652&lt;Notes!$B$5,"",IF(COUNTIFS(Release_Calendar!$A$2:$A$755,"NZ_CPI",Release_Calendar!$B$2:$B$755,$A652)&gt;0,1,0))</f>
        <v/>
      </c>
      <c r="N652" s="16" t="str">
        <f>IF($A652&lt;Notes!$B$5,"",IF(COUNTIFS(Release_Calendar!$A$2:$A$755,"NZ_GDP",Release_Calendar!$B$2:$B$755,$A652)&gt;0,1,0))</f>
        <v/>
      </c>
      <c r="O652" s="16" t="str">
        <f>IF($A652&lt;Notes!$B$5,"",IF(COUNTIFS(Release_Calendar!$A$2:$A$755,"NZ_LABOUR",Release_Calendar!$B$2:$B$755,$A652)&gt;0,1,0))</f>
        <v/>
      </c>
      <c r="P652" s="16">
        <f t="shared" si="4"/>
        <v>0</v>
      </c>
    </row>
    <row r="653" ht="15.75" customHeight="1">
      <c r="A653" s="14">
        <v>37439.0</v>
      </c>
      <c r="B653" s="15">
        <v>2.78</v>
      </c>
      <c r="C653" s="15"/>
      <c r="D653" s="15">
        <v>6.02</v>
      </c>
      <c r="E653" s="15"/>
      <c r="F653" s="15" t="str">
        <f t="shared" si="1"/>
        <v/>
      </c>
      <c r="G653" s="15">
        <f t="shared" si="2"/>
        <v>6.02</v>
      </c>
      <c r="H653" s="16">
        <v>1.0</v>
      </c>
      <c r="I653" s="15">
        <f t="shared" si="3"/>
        <v>3.24</v>
      </c>
      <c r="J653" s="15">
        <v>28.96</v>
      </c>
      <c r="K653" s="16">
        <f>IF(COUNTIFS(Release_Calendar!$A$2:$A$755,"US_CPI",Release_Calendar!$B$2:$B$755,$A653)&gt;0,1,0)</f>
        <v>0</v>
      </c>
      <c r="L653" s="16">
        <f>IF(COUNTIFS(Release_Calendar!$A$2:$A$755,"US_NFP",Release_Calendar!$B$2:$B$755,$A653)&gt;0,1,0)</f>
        <v>0</v>
      </c>
      <c r="M653" s="16" t="str">
        <f>IF($A653&lt;Notes!$B$5,"",IF(COUNTIFS(Release_Calendar!$A$2:$A$755,"NZ_CPI",Release_Calendar!$B$2:$B$755,$A653)&gt;0,1,0))</f>
        <v/>
      </c>
      <c r="N653" s="16" t="str">
        <f>IF($A653&lt;Notes!$B$5,"",IF(COUNTIFS(Release_Calendar!$A$2:$A$755,"NZ_GDP",Release_Calendar!$B$2:$B$755,$A653)&gt;0,1,0))</f>
        <v/>
      </c>
      <c r="O653" s="16" t="str">
        <f>IF($A653&lt;Notes!$B$5,"",IF(COUNTIFS(Release_Calendar!$A$2:$A$755,"NZ_LABOUR",Release_Calendar!$B$2:$B$755,$A653)&gt;0,1,0))</f>
        <v/>
      </c>
      <c r="P653" s="16">
        <f t="shared" si="4"/>
        <v>0</v>
      </c>
    </row>
    <row r="654" ht="15.75" customHeight="1">
      <c r="A654" s="14">
        <v>37440.0</v>
      </c>
      <c r="B654" s="15">
        <v>2.78</v>
      </c>
      <c r="C654" s="15"/>
      <c r="D654" s="15">
        <v>5.98</v>
      </c>
      <c r="E654" s="15"/>
      <c r="F654" s="15" t="str">
        <f t="shared" si="1"/>
        <v/>
      </c>
      <c r="G654" s="15">
        <f t="shared" si="2"/>
        <v>5.98</v>
      </c>
      <c r="H654" s="16">
        <v>1.0</v>
      </c>
      <c r="I654" s="15">
        <f t="shared" si="3"/>
        <v>3.2</v>
      </c>
      <c r="J654" s="15">
        <v>29.42</v>
      </c>
      <c r="K654" s="16">
        <f>IF(COUNTIFS(Release_Calendar!$A$2:$A$755,"US_CPI",Release_Calendar!$B$2:$B$755,$A654)&gt;0,1,0)</f>
        <v>0</v>
      </c>
      <c r="L654" s="16">
        <f>IF(COUNTIFS(Release_Calendar!$A$2:$A$755,"US_NFP",Release_Calendar!$B$2:$B$755,$A654)&gt;0,1,0)</f>
        <v>0</v>
      </c>
      <c r="M654" s="16" t="str">
        <f>IF($A654&lt;Notes!$B$5,"",IF(COUNTIFS(Release_Calendar!$A$2:$A$755,"NZ_CPI",Release_Calendar!$B$2:$B$755,$A654)&gt;0,1,0))</f>
        <v/>
      </c>
      <c r="N654" s="16" t="str">
        <f>IF($A654&lt;Notes!$B$5,"",IF(COUNTIFS(Release_Calendar!$A$2:$A$755,"NZ_GDP",Release_Calendar!$B$2:$B$755,$A654)&gt;0,1,0))</f>
        <v/>
      </c>
      <c r="O654" s="16" t="str">
        <f>IF($A654&lt;Notes!$B$5,"",IF(COUNTIFS(Release_Calendar!$A$2:$A$755,"NZ_LABOUR",Release_Calendar!$B$2:$B$755,$A654)&gt;0,1,0))</f>
        <v/>
      </c>
      <c r="P654" s="16">
        <f t="shared" si="4"/>
        <v>0</v>
      </c>
    </row>
    <row r="655" ht="15.75" customHeight="1">
      <c r="A655" s="14">
        <v>37441.0</v>
      </c>
      <c r="B655" s="15"/>
      <c r="C655" s="15"/>
      <c r="D655" s="15">
        <v>5.98</v>
      </c>
      <c r="E655" s="15"/>
      <c r="F655" s="15" t="str">
        <f t="shared" si="1"/>
        <v/>
      </c>
      <c r="G655" s="15">
        <f t="shared" si="2"/>
        <v>5.98</v>
      </c>
      <c r="H655" s="16">
        <v>1.0</v>
      </c>
      <c r="I655" s="15" t="str">
        <f t="shared" si="3"/>
        <v/>
      </c>
      <c r="J655" s="15"/>
      <c r="K655" s="16">
        <f>IF(COUNTIFS(Release_Calendar!$A$2:$A$755,"US_CPI",Release_Calendar!$B$2:$B$755,$A655)&gt;0,1,0)</f>
        <v>0</v>
      </c>
      <c r="L655" s="16">
        <f>IF(COUNTIFS(Release_Calendar!$A$2:$A$755,"US_NFP",Release_Calendar!$B$2:$B$755,$A655)&gt;0,1,0)</f>
        <v>0</v>
      </c>
      <c r="M655" s="16" t="str">
        <f>IF($A655&lt;Notes!$B$5,"",IF(COUNTIFS(Release_Calendar!$A$2:$A$755,"NZ_CPI",Release_Calendar!$B$2:$B$755,$A655)&gt;0,1,0))</f>
        <v/>
      </c>
      <c r="N655" s="16" t="str">
        <f>IF($A655&lt;Notes!$B$5,"",IF(COUNTIFS(Release_Calendar!$A$2:$A$755,"NZ_GDP",Release_Calendar!$B$2:$B$755,$A655)&gt;0,1,0))</f>
        <v/>
      </c>
      <c r="O655" s="16" t="str">
        <f>IF($A655&lt;Notes!$B$5,"",IF(COUNTIFS(Release_Calendar!$A$2:$A$755,"NZ_LABOUR",Release_Calendar!$B$2:$B$755,$A655)&gt;0,1,0))</f>
        <v/>
      </c>
      <c r="P655" s="16">
        <f t="shared" si="4"/>
        <v>0</v>
      </c>
    </row>
    <row r="656" ht="15.75" customHeight="1">
      <c r="A656" s="14">
        <v>37442.0</v>
      </c>
      <c r="B656" s="15">
        <v>2.9</v>
      </c>
      <c r="C656" s="15"/>
      <c r="D656" s="15">
        <v>5.97</v>
      </c>
      <c r="E656" s="15"/>
      <c r="F656" s="15" t="str">
        <f t="shared" si="1"/>
        <v/>
      </c>
      <c r="G656" s="15">
        <f t="shared" si="2"/>
        <v>5.97</v>
      </c>
      <c r="H656" s="16">
        <v>1.0</v>
      </c>
      <c r="I656" s="15">
        <f t="shared" si="3"/>
        <v>3.07</v>
      </c>
      <c r="J656" s="15">
        <v>27.11</v>
      </c>
      <c r="K656" s="16">
        <f>IF(COUNTIFS(Release_Calendar!$A$2:$A$755,"US_CPI",Release_Calendar!$B$2:$B$755,$A656)&gt;0,1,0)</f>
        <v>0</v>
      </c>
      <c r="L656" s="16">
        <f>IF(COUNTIFS(Release_Calendar!$A$2:$A$755,"US_NFP",Release_Calendar!$B$2:$B$755,$A656)&gt;0,1,0)</f>
        <v>1</v>
      </c>
      <c r="M656" s="16" t="str">
        <f>IF($A656&lt;Notes!$B$5,"",IF(COUNTIFS(Release_Calendar!$A$2:$A$755,"NZ_CPI",Release_Calendar!$B$2:$B$755,$A656)&gt;0,1,0))</f>
        <v/>
      </c>
      <c r="N656" s="16" t="str">
        <f>IF($A656&lt;Notes!$B$5,"",IF(COUNTIFS(Release_Calendar!$A$2:$A$755,"NZ_GDP",Release_Calendar!$B$2:$B$755,$A656)&gt;0,1,0))</f>
        <v/>
      </c>
      <c r="O656" s="16" t="str">
        <f>IF($A656&lt;Notes!$B$5,"",IF(COUNTIFS(Release_Calendar!$A$2:$A$755,"NZ_LABOUR",Release_Calendar!$B$2:$B$755,$A656)&gt;0,1,0))</f>
        <v/>
      </c>
      <c r="P656" s="16">
        <f t="shared" si="4"/>
        <v>1</v>
      </c>
    </row>
    <row r="657" ht="15.75" customHeight="1">
      <c r="A657" s="14">
        <v>37445.0</v>
      </c>
      <c r="B657" s="15">
        <v>2.84</v>
      </c>
      <c r="C657" s="15"/>
      <c r="D657" s="15">
        <v>6.04</v>
      </c>
      <c r="E657" s="15"/>
      <c r="F657" s="15" t="str">
        <f t="shared" si="1"/>
        <v/>
      </c>
      <c r="G657" s="15">
        <f t="shared" si="2"/>
        <v>6.04</v>
      </c>
      <c r="H657" s="16">
        <v>1.0</v>
      </c>
      <c r="I657" s="15">
        <f t="shared" si="3"/>
        <v>3.2</v>
      </c>
      <c r="J657" s="15">
        <v>28.25</v>
      </c>
      <c r="K657" s="16">
        <f>IF(COUNTIFS(Release_Calendar!$A$2:$A$755,"US_CPI",Release_Calendar!$B$2:$B$755,$A657)&gt;0,1,0)</f>
        <v>0</v>
      </c>
      <c r="L657" s="16">
        <f>IF(COUNTIFS(Release_Calendar!$A$2:$A$755,"US_NFP",Release_Calendar!$B$2:$B$755,$A657)&gt;0,1,0)</f>
        <v>0</v>
      </c>
      <c r="M657" s="16" t="str">
        <f>IF($A657&lt;Notes!$B$5,"",IF(COUNTIFS(Release_Calendar!$A$2:$A$755,"NZ_CPI",Release_Calendar!$B$2:$B$755,$A657)&gt;0,1,0))</f>
        <v/>
      </c>
      <c r="N657" s="16" t="str">
        <f>IF($A657&lt;Notes!$B$5,"",IF(COUNTIFS(Release_Calendar!$A$2:$A$755,"NZ_GDP",Release_Calendar!$B$2:$B$755,$A657)&gt;0,1,0))</f>
        <v/>
      </c>
      <c r="O657" s="16" t="str">
        <f>IF($A657&lt;Notes!$B$5,"",IF(COUNTIFS(Release_Calendar!$A$2:$A$755,"NZ_LABOUR",Release_Calendar!$B$2:$B$755,$A657)&gt;0,1,0))</f>
        <v/>
      </c>
      <c r="P657" s="16">
        <f t="shared" si="4"/>
        <v>0</v>
      </c>
    </row>
    <row r="658" ht="15.75" customHeight="1">
      <c r="A658" s="14">
        <v>37446.0</v>
      </c>
      <c r="B658" s="15">
        <v>2.74</v>
      </c>
      <c r="C658" s="15"/>
      <c r="D658" s="15">
        <v>5.97</v>
      </c>
      <c r="E658" s="15"/>
      <c r="F658" s="15" t="str">
        <f t="shared" si="1"/>
        <v/>
      </c>
      <c r="G658" s="15">
        <f t="shared" si="2"/>
        <v>5.97</v>
      </c>
      <c r="H658" s="16">
        <v>1.0</v>
      </c>
      <c r="I658" s="15">
        <f t="shared" si="3"/>
        <v>3.23</v>
      </c>
      <c r="J658" s="15">
        <v>30.22</v>
      </c>
      <c r="K658" s="16">
        <f>IF(COUNTIFS(Release_Calendar!$A$2:$A$755,"US_CPI",Release_Calendar!$B$2:$B$755,$A658)&gt;0,1,0)</f>
        <v>0</v>
      </c>
      <c r="L658" s="16">
        <f>IF(COUNTIFS(Release_Calendar!$A$2:$A$755,"US_NFP",Release_Calendar!$B$2:$B$755,$A658)&gt;0,1,0)</f>
        <v>0</v>
      </c>
      <c r="M658" s="16" t="str">
        <f>IF($A658&lt;Notes!$B$5,"",IF(COUNTIFS(Release_Calendar!$A$2:$A$755,"NZ_CPI",Release_Calendar!$B$2:$B$755,$A658)&gt;0,1,0))</f>
        <v/>
      </c>
      <c r="N658" s="16" t="str">
        <f>IF($A658&lt;Notes!$B$5,"",IF(COUNTIFS(Release_Calendar!$A$2:$A$755,"NZ_GDP",Release_Calendar!$B$2:$B$755,$A658)&gt;0,1,0))</f>
        <v/>
      </c>
      <c r="O658" s="16" t="str">
        <f>IF($A658&lt;Notes!$B$5,"",IF(COUNTIFS(Release_Calendar!$A$2:$A$755,"NZ_LABOUR",Release_Calendar!$B$2:$B$755,$A658)&gt;0,1,0))</f>
        <v/>
      </c>
      <c r="P658" s="16">
        <f t="shared" si="4"/>
        <v>0</v>
      </c>
    </row>
    <row r="659" ht="15.75" customHeight="1">
      <c r="A659" s="14">
        <v>37447.0</v>
      </c>
      <c r="B659" s="15">
        <v>2.61</v>
      </c>
      <c r="C659" s="15"/>
      <c r="D659" s="15">
        <v>5.89</v>
      </c>
      <c r="E659" s="15"/>
      <c r="F659" s="15" t="str">
        <f t="shared" si="1"/>
        <v/>
      </c>
      <c r="G659" s="15">
        <f t="shared" si="2"/>
        <v>5.89</v>
      </c>
      <c r="H659" s="16">
        <v>1.0</v>
      </c>
      <c r="I659" s="15">
        <f t="shared" si="3"/>
        <v>3.28</v>
      </c>
      <c r="J659" s="15">
        <v>34.1</v>
      </c>
      <c r="K659" s="16">
        <f>IF(COUNTIFS(Release_Calendar!$A$2:$A$755,"US_CPI",Release_Calendar!$B$2:$B$755,$A659)&gt;0,1,0)</f>
        <v>0</v>
      </c>
      <c r="L659" s="16">
        <f>IF(COUNTIFS(Release_Calendar!$A$2:$A$755,"US_NFP",Release_Calendar!$B$2:$B$755,$A659)&gt;0,1,0)</f>
        <v>0</v>
      </c>
      <c r="M659" s="16" t="str">
        <f>IF($A659&lt;Notes!$B$5,"",IF(COUNTIFS(Release_Calendar!$A$2:$A$755,"NZ_CPI",Release_Calendar!$B$2:$B$755,$A659)&gt;0,1,0))</f>
        <v/>
      </c>
      <c r="N659" s="16" t="str">
        <f>IF($A659&lt;Notes!$B$5,"",IF(COUNTIFS(Release_Calendar!$A$2:$A$755,"NZ_GDP",Release_Calendar!$B$2:$B$755,$A659)&gt;0,1,0))</f>
        <v/>
      </c>
      <c r="O659" s="16" t="str">
        <f>IF($A659&lt;Notes!$B$5,"",IF(COUNTIFS(Release_Calendar!$A$2:$A$755,"NZ_LABOUR",Release_Calendar!$B$2:$B$755,$A659)&gt;0,1,0))</f>
        <v/>
      </c>
      <c r="P659" s="16">
        <f t="shared" si="4"/>
        <v>0</v>
      </c>
    </row>
    <row r="660" ht="15.75" customHeight="1">
      <c r="A660" s="14">
        <v>37448.0</v>
      </c>
      <c r="B660" s="15">
        <v>2.61</v>
      </c>
      <c r="C660" s="15"/>
      <c r="D660" s="15">
        <v>5.85</v>
      </c>
      <c r="E660" s="15"/>
      <c r="F660" s="15" t="str">
        <f t="shared" si="1"/>
        <v/>
      </c>
      <c r="G660" s="15">
        <f t="shared" si="2"/>
        <v>5.85</v>
      </c>
      <c r="H660" s="16">
        <v>1.0</v>
      </c>
      <c r="I660" s="15">
        <f t="shared" si="3"/>
        <v>3.24</v>
      </c>
      <c r="J660" s="15">
        <v>33.85</v>
      </c>
      <c r="K660" s="16">
        <f>IF(COUNTIFS(Release_Calendar!$A$2:$A$755,"US_CPI",Release_Calendar!$B$2:$B$755,$A660)&gt;0,1,0)</f>
        <v>0</v>
      </c>
      <c r="L660" s="16">
        <f>IF(COUNTIFS(Release_Calendar!$A$2:$A$755,"US_NFP",Release_Calendar!$B$2:$B$755,$A660)&gt;0,1,0)</f>
        <v>0</v>
      </c>
      <c r="M660" s="16" t="str">
        <f>IF($A660&lt;Notes!$B$5,"",IF(COUNTIFS(Release_Calendar!$A$2:$A$755,"NZ_CPI",Release_Calendar!$B$2:$B$755,$A660)&gt;0,1,0))</f>
        <v/>
      </c>
      <c r="N660" s="16" t="str">
        <f>IF($A660&lt;Notes!$B$5,"",IF(COUNTIFS(Release_Calendar!$A$2:$A$755,"NZ_GDP",Release_Calendar!$B$2:$B$755,$A660)&gt;0,1,0))</f>
        <v/>
      </c>
      <c r="O660" s="16" t="str">
        <f>IF($A660&lt;Notes!$B$5,"",IF(COUNTIFS(Release_Calendar!$A$2:$A$755,"NZ_LABOUR",Release_Calendar!$B$2:$B$755,$A660)&gt;0,1,0))</f>
        <v/>
      </c>
      <c r="P660" s="16">
        <f t="shared" si="4"/>
        <v>0</v>
      </c>
    </row>
    <row r="661" ht="15.75" customHeight="1">
      <c r="A661" s="14">
        <v>37449.0</v>
      </c>
      <c r="B661" s="15">
        <v>2.56</v>
      </c>
      <c r="C661" s="15"/>
      <c r="D661" s="15">
        <v>5.88</v>
      </c>
      <c r="E661" s="15"/>
      <c r="F661" s="15" t="str">
        <f t="shared" si="1"/>
        <v/>
      </c>
      <c r="G661" s="15">
        <f t="shared" si="2"/>
        <v>5.88</v>
      </c>
      <c r="H661" s="16">
        <v>1.0</v>
      </c>
      <c r="I661" s="15">
        <f t="shared" si="3"/>
        <v>3.32</v>
      </c>
      <c r="J661" s="15">
        <v>32.94</v>
      </c>
      <c r="K661" s="16">
        <f>IF(COUNTIFS(Release_Calendar!$A$2:$A$755,"US_CPI",Release_Calendar!$B$2:$B$755,$A661)&gt;0,1,0)</f>
        <v>0</v>
      </c>
      <c r="L661" s="16">
        <f>IF(COUNTIFS(Release_Calendar!$A$2:$A$755,"US_NFP",Release_Calendar!$B$2:$B$755,$A661)&gt;0,1,0)</f>
        <v>0</v>
      </c>
      <c r="M661" s="16" t="str">
        <f>IF($A661&lt;Notes!$B$5,"",IF(COUNTIFS(Release_Calendar!$A$2:$A$755,"NZ_CPI",Release_Calendar!$B$2:$B$755,$A661)&gt;0,1,0))</f>
        <v/>
      </c>
      <c r="N661" s="16" t="str">
        <f>IF($A661&lt;Notes!$B$5,"",IF(COUNTIFS(Release_Calendar!$A$2:$A$755,"NZ_GDP",Release_Calendar!$B$2:$B$755,$A661)&gt;0,1,0))</f>
        <v/>
      </c>
      <c r="O661" s="16" t="str">
        <f>IF($A661&lt;Notes!$B$5,"",IF(COUNTIFS(Release_Calendar!$A$2:$A$755,"NZ_LABOUR",Release_Calendar!$B$2:$B$755,$A661)&gt;0,1,0))</f>
        <v/>
      </c>
      <c r="P661" s="16">
        <f t="shared" si="4"/>
        <v>0</v>
      </c>
    </row>
    <row r="662" ht="15.75" customHeight="1">
      <c r="A662" s="14">
        <v>37452.0</v>
      </c>
      <c r="B662" s="15">
        <v>2.55</v>
      </c>
      <c r="C662" s="15"/>
      <c r="D662" s="15">
        <v>5.8</v>
      </c>
      <c r="E662" s="15"/>
      <c r="F662" s="15" t="str">
        <f t="shared" si="1"/>
        <v/>
      </c>
      <c r="G662" s="15">
        <f t="shared" si="2"/>
        <v>5.8</v>
      </c>
      <c r="H662" s="16">
        <v>1.0</v>
      </c>
      <c r="I662" s="15">
        <f t="shared" si="3"/>
        <v>3.25</v>
      </c>
      <c r="J662" s="15">
        <v>35.03</v>
      </c>
      <c r="K662" s="16">
        <f>IF(COUNTIFS(Release_Calendar!$A$2:$A$755,"US_CPI",Release_Calendar!$B$2:$B$755,$A662)&gt;0,1,0)</f>
        <v>0</v>
      </c>
      <c r="L662" s="16">
        <f>IF(COUNTIFS(Release_Calendar!$A$2:$A$755,"US_NFP",Release_Calendar!$B$2:$B$755,$A662)&gt;0,1,0)</f>
        <v>0</v>
      </c>
      <c r="M662" s="16" t="str">
        <f>IF($A662&lt;Notes!$B$5,"",IF(COUNTIFS(Release_Calendar!$A$2:$A$755,"NZ_CPI",Release_Calendar!$B$2:$B$755,$A662)&gt;0,1,0))</f>
        <v/>
      </c>
      <c r="N662" s="16" t="str">
        <f>IF($A662&lt;Notes!$B$5,"",IF(COUNTIFS(Release_Calendar!$A$2:$A$755,"NZ_GDP",Release_Calendar!$B$2:$B$755,$A662)&gt;0,1,0))</f>
        <v/>
      </c>
      <c r="O662" s="16" t="str">
        <f>IF($A662&lt;Notes!$B$5,"",IF(COUNTIFS(Release_Calendar!$A$2:$A$755,"NZ_LABOUR",Release_Calendar!$B$2:$B$755,$A662)&gt;0,1,0))</f>
        <v/>
      </c>
      <c r="P662" s="16">
        <f t="shared" si="4"/>
        <v>0</v>
      </c>
    </row>
    <row r="663" ht="15.75" customHeight="1">
      <c r="A663" s="14">
        <v>37453.0</v>
      </c>
      <c r="B663" s="15">
        <v>2.66</v>
      </c>
      <c r="C663" s="15"/>
      <c r="D663" s="15">
        <v>5.86</v>
      </c>
      <c r="E663" s="15"/>
      <c r="F663" s="15" t="str">
        <f t="shared" si="1"/>
        <v/>
      </c>
      <c r="G663" s="15">
        <f t="shared" si="2"/>
        <v>5.86</v>
      </c>
      <c r="H663" s="16">
        <v>1.0</v>
      </c>
      <c r="I663" s="15">
        <f t="shared" si="3"/>
        <v>3.2</v>
      </c>
      <c r="J663" s="15">
        <v>36.65</v>
      </c>
      <c r="K663" s="16">
        <f>IF(COUNTIFS(Release_Calendar!$A$2:$A$755,"US_CPI",Release_Calendar!$B$2:$B$755,$A663)&gt;0,1,0)</f>
        <v>0</v>
      </c>
      <c r="L663" s="16">
        <f>IF(COUNTIFS(Release_Calendar!$A$2:$A$755,"US_NFP",Release_Calendar!$B$2:$B$755,$A663)&gt;0,1,0)</f>
        <v>0</v>
      </c>
      <c r="M663" s="16" t="str">
        <f>IF($A663&lt;Notes!$B$5,"",IF(COUNTIFS(Release_Calendar!$A$2:$A$755,"NZ_CPI",Release_Calendar!$B$2:$B$755,$A663)&gt;0,1,0))</f>
        <v/>
      </c>
      <c r="N663" s="16" t="str">
        <f>IF($A663&lt;Notes!$B$5,"",IF(COUNTIFS(Release_Calendar!$A$2:$A$755,"NZ_GDP",Release_Calendar!$B$2:$B$755,$A663)&gt;0,1,0))</f>
        <v/>
      </c>
      <c r="O663" s="16" t="str">
        <f>IF($A663&lt;Notes!$B$5,"",IF(COUNTIFS(Release_Calendar!$A$2:$A$755,"NZ_LABOUR",Release_Calendar!$B$2:$B$755,$A663)&gt;0,1,0))</f>
        <v/>
      </c>
      <c r="P663" s="16">
        <f t="shared" si="4"/>
        <v>0</v>
      </c>
    </row>
    <row r="664" ht="15.75" customHeight="1">
      <c r="A664" s="14">
        <v>37454.0</v>
      </c>
      <c r="B664" s="15">
        <v>2.63</v>
      </c>
      <c r="C664" s="15"/>
      <c r="D664" s="15">
        <v>5.88</v>
      </c>
      <c r="E664" s="15"/>
      <c r="F664" s="15" t="str">
        <f t="shared" si="1"/>
        <v/>
      </c>
      <c r="G664" s="15">
        <f t="shared" si="2"/>
        <v>5.88</v>
      </c>
      <c r="H664" s="16">
        <v>1.0</v>
      </c>
      <c r="I664" s="15">
        <f t="shared" si="3"/>
        <v>3.25</v>
      </c>
      <c r="J664" s="15">
        <v>35.45</v>
      </c>
      <c r="K664" s="16">
        <f>IF(COUNTIFS(Release_Calendar!$A$2:$A$755,"US_CPI",Release_Calendar!$B$2:$B$755,$A664)&gt;0,1,0)</f>
        <v>0</v>
      </c>
      <c r="L664" s="16">
        <f>IF(COUNTIFS(Release_Calendar!$A$2:$A$755,"US_NFP",Release_Calendar!$B$2:$B$755,$A664)&gt;0,1,0)</f>
        <v>0</v>
      </c>
      <c r="M664" s="16" t="str">
        <f>IF($A664&lt;Notes!$B$5,"",IF(COUNTIFS(Release_Calendar!$A$2:$A$755,"NZ_CPI",Release_Calendar!$B$2:$B$755,$A664)&gt;0,1,0))</f>
        <v/>
      </c>
      <c r="N664" s="16" t="str">
        <f>IF($A664&lt;Notes!$B$5,"",IF(COUNTIFS(Release_Calendar!$A$2:$A$755,"NZ_GDP",Release_Calendar!$B$2:$B$755,$A664)&gt;0,1,0))</f>
        <v/>
      </c>
      <c r="O664" s="16" t="str">
        <f>IF($A664&lt;Notes!$B$5,"",IF(COUNTIFS(Release_Calendar!$A$2:$A$755,"NZ_LABOUR",Release_Calendar!$B$2:$B$755,$A664)&gt;0,1,0))</f>
        <v/>
      </c>
      <c r="P664" s="16">
        <f t="shared" si="4"/>
        <v>0</v>
      </c>
    </row>
    <row r="665" ht="15.75" customHeight="1">
      <c r="A665" s="14">
        <v>37455.0</v>
      </c>
      <c r="B665" s="15">
        <v>2.55</v>
      </c>
      <c r="C665" s="15"/>
      <c r="D665" s="15">
        <v>5.87</v>
      </c>
      <c r="E665" s="15"/>
      <c r="F665" s="15" t="str">
        <f t="shared" si="1"/>
        <v/>
      </c>
      <c r="G665" s="15">
        <f t="shared" si="2"/>
        <v>5.87</v>
      </c>
      <c r="H665" s="16">
        <v>1.0</v>
      </c>
      <c r="I665" s="15">
        <f t="shared" si="3"/>
        <v>3.32</v>
      </c>
      <c r="J665" s="15">
        <v>35.12</v>
      </c>
      <c r="K665" s="16">
        <f>IF(COUNTIFS(Release_Calendar!$A$2:$A$755,"US_CPI",Release_Calendar!$B$2:$B$755,$A665)&gt;0,1,0)</f>
        <v>0</v>
      </c>
      <c r="L665" s="16">
        <f>IF(COUNTIFS(Release_Calendar!$A$2:$A$755,"US_NFP",Release_Calendar!$B$2:$B$755,$A665)&gt;0,1,0)</f>
        <v>0</v>
      </c>
      <c r="M665" s="16" t="str">
        <f>IF($A665&lt;Notes!$B$5,"",IF(COUNTIFS(Release_Calendar!$A$2:$A$755,"NZ_CPI",Release_Calendar!$B$2:$B$755,$A665)&gt;0,1,0))</f>
        <v/>
      </c>
      <c r="N665" s="16" t="str">
        <f>IF($A665&lt;Notes!$B$5,"",IF(COUNTIFS(Release_Calendar!$A$2:$A$755,"NZ_GDP",Release_Calendar!$B$2:$B$755,$A665)&gt;0,1,0))</f>
        <v/>
      </c>
      <c r="O665" s="16" t="str">
        <f>IF($A665&lt;Notes!$B$5,"",IF(COUNTIFS(Release_Calendar!$A$2:$A$755,"NZ_LABOUR",Release_Calendar!$B$2:$B$755,$A665)&gt;0,1,0))</f>
        <v/>
      </c>
      <c r="P665" s="16">
        <f t="shared" si="4"/>
        <v>0</v>
      </c>
    </row>
    <row r="666" ht="15.75" customHeight="1">
      <c r="A666" s="14">
        <v>37456.0</v>
      </c>
      <c r="B666" s="15">
        <v>2.48</v>
      </c>
      <c r="C666" s="15"/>
      <c r="D666" s="15">
        <v>5.77</v>
      </c>
      <c r="E666" s="15"/>
      <c r="F666" s="15" t="str">
        <f t="shared" si="1"/>
        <v/>
      </c>
      <c r="G666" s="15">
        <f t="shared" si="2"/>
        <v>5.77</v>
      </c>
      <c r="H666" s="16">
        <v>1.0</v>
      </c>
      <c r="I666" s="15">
        <f t="shared" si="3"/>
        <v>3.29</v>
      </c>
      <c r="J666" s="15">
        <v>38.17</v>
      </c>
      <c r="K666" s="16">
        <f>IF(COUNTIFS(Release_Calendar!$A$2:$A$755,"US_CPI",Release_Calendar!$B$2:$B$755,$A666)&gt;0,1,0)</f>
        <v>1</v>
      </c>
      <c r="L666" s="16">
        <f>IF(COUNTIFS(Release_Calendar!$A$2:$A$755,"US_NFP",Release_Calendar!$B$2:$B$755,$A666)&gt;0,1,0)</f>
        <v>0</v>
      </c>
      <c r="M666" s="16" t="str">
        <f>IF($A666&lt;Notes!$B$5,"",IF(COUNTIFS(Release_Calendar!$A$2:$A$755,"NZ_CPI",Release_Calendar!$B$2:$B$755,$A666)&gt;0,1,0))</f>
        <v/>
      </c>
      <c r="N666" s="16" t="str">
        <f>IF($A666&lt;Notes!$B$5,"",IF(COUNTIFS(Release_Calendar!$A$2:$A$755,"NZ_GDP",Release_Calendar!$B$2:$B$755,$A666)&gt;0,1,0))</f>
        <v/>
      </c>
      <c r="O666" s="16" t="str">
        <f>IF($A666&lt;Notes!$B$5,"",IF(COUNTIFS(Release_Calendar!$A$2:$A$755,"NZ_LABOUR",Release_Calendar!$B$2:$B$755,$A666)&gt;0,1,0))</f>
        <v/>
      </c>
      <c r="P666" s="16">
        <f t="shared" si="4"/>
        <v>1</v>
      </c>
    </row>
    <row r="667" ht="15.75" customHeight="1">
      <c r="A667" s="14">
        <v>37459.0</v>
      </c>
      <c r="B667" s="15">
        <v>2.4</v>
      </c>
      <c r="C667" s="15"/>
      <c r="D667" s="15">
        <v>5.7</v>
      </c>
      <c r="E667" s="15"/>
      <c r="F667" s="15" t="str">
        <f t="shared" si="1"/>
        <v/>
      </c>
      <c r="G667" s="15">
        <f t="shared" si="2"/>
        <v>5.7</v>
      </c>
      <c r="H667" s="16">
        <v>1.0</v>
      </c>
      <c r="I667" s="15">
        <f t="shared" si="3"/>
        <v>3.3</v>
      </c>
      <c r="J667" s="15">
        <v>41.87</v>
      </c>
      <c r="K667" s="16">
        <f>IF(COUNTIFS(Release_Calendar!$A$2:$A$755,"US_CPI",Release_Calendar!$B$2:$B$755,$A667)&gt;0,1,0)</f>
        <v>0</v>
      </c>
      <c r="L667" s="16">
        <f>IF(COUNTIFS(Release_Calendar!$A$2:$A$755,"US_NFP",Release_Calendar!$B$2:$B$755,$A667)&gt;0,1,0)</f>
        <v>0</v>
      </c>
      <c r="M667" s="16" t="str">
        <f>IF($A667&lt;Notes!$B$5,"",IF(COUNTIFS(Release_Calendar!$A$2:$A$755,"NZ_CPI",Release_Calendar!$B$2:$B$755,$A667)&gt;0,1,0))</f>
        <v/>
      </c>
      <c r="N667" s="16" t="str">
        <f>IF($A667&lt;Notes!$B$5,"",IF(COUNTIFS(Release_Calendar!$A$2:$A$755,"NZ_GDP",Release_Calendar!$B$2:$B$755,$A667)&gt;0,1,0))</f>
        <v/>
      </c>
      <c r="O667" s="16" t="str">
        <f>IF($A667&lt;Notes!$B$5,"",IF(COUNTIFS(Release_Calendar!$A$2:$A$755,"NZ_LABOUR",Release_Calendar!$B$2:$B$755,$A667)&gt;0,1,0))</f>
        <v/>
      </c>
      <c r="P667" s="16">
        <f t="shared" si="4"/>
        <v>0</v>
      </c>
    </row>
    <row r="668" ht="15.75" customHeight="1">
      <c r="A668" s="14">
        <v>37460.0</v>
      </c>
      <c r="B668" s="15">
        <v>2.34</v>
      </c>
      <c r="C668" s="15"/>
      <c r="D668" s="15">
        <v>5.67</v>
      </c>
      <c r="E668" s="15"/>
      <c r="F668" s="15" t="str">
        <f t="shared" si="1"/>
        <v/>
      </c>
      <c r="G668" s="15">
        <f t="shared" si="2"/>
        <v>5.67</v>
      </c>
      <c r="H668" s="16">
        <v>1.0</v>
      </c>
      <c r="I668" s="15">
        <f t="shared" si="3"/>
        <v>3.33</v>
      </c>
      <c r="J668" s="15">
        <v>44.92</v>
      </c>
      <c r="K668" s="16">
        <f>IF(COUNTIFS(Release_Calendar!$A$2:$A$755,"US_CPI",Release_Calendar!$B$2:$B$755,$A668)&gt;0,1,0)</f>
        <v>0</v>
      </c>
      <c r="L668" s="16">
        <f>IF(COUNTIFS(Release_Calendar!$A$2:$A$755,"US_NFP",Release_Calendar!$B$2:$B$755,$A668)&gt;0,1,0)</f>
        <v>0</v>
      </c>
      <c r="M668" s="16" t="str">
        <f>IF($A668&lt;Notes!$B$5,"",IF(COUNTIFS(Release_Calendar!$A$2:$A$755,"NZ_CPI",Release_Calendar!$B$2:$B$755,$A668)&gt;0,1,0))</f>
        <v/>
      </c>
      <c r="N668" s="16" t="str">
        <f>IF($A668&lt;Notes!$B$5,"",IF(COUNTIFS(Release_Calendar!$A$2:$A$755,"NZ_GDP",Release_Calendar!$B$2:$B$755,$A668)&gt;0,1,0))</f>
        <v/>
      </c>
      <c r="O668" s="16" t="str">
        <f>IF($A668&lt;Notes!$B$5,"",IF(COUNTIFS(Release_Calendar!$A$2:$A$755,"NZ_LABOUR",Release_Calendar!$B$2:$B$755,$A668)&gt;0,1,0))</f>
        <v/>
      </c>
      <c r="P668" s="16">
        <f t="shared" si="4"/>
        <v>0</v>
      </c>
    </row>
    <row r="669" ht="15.75" customHeight="1">
      <c r="A669" s="14">
        <v>37461.0</v>
      </c>
      <c r="B669" s="15">
        <v>2.38</v>
      </c>
      <c r="C669" s="15"/>
      <c r="D669" s="15">
        <v>5.62</v>
      </c>
      <c r="E669" s="15"/>
      <c r="F669" s="15" t="str">
        <f t="shared" si="1"/>
        <v/>
      </c>
      <c r="G669" s="15">
        <f t="shared" si="2"/>
        <v>5.62</v>
      </c>
      <c r="H669" s="16">
        <v>1.0</v>
      </c>
      <c r="I669" s="15">
        <f t="shared" si="3"/>
        <v>3.24</v>
      </c>
      <c r="J669" s="15">
        <v>39.86</v>
      </c>
      <c r="K669" s="16">
        <f>IF(COUNTIFS(Release_Calendar!$A$2:$A$755,"US_CPI",Release_Calendar!$B$2:$B$755,$A669)&gt;0,1,0)</f>
        <v>0</v>
      </c>
      <c r="L669" s="16">
        <f>IF(COUNTIFS(Release_Calendar!$A$2:$A$755,"US_NFP",Release_Calendar!$B$2:$B$755,$A669)&gt;0,1,0)</f>
        <v>0</v>
      </c>
      <c r="M669" s="16" t="str">
        <f>IF($A669&lt;Notes!$B$5,"",IF(COUNTIFS(Release_Calendar!$A$2:$A$755,"NZ_CPI",Release_Calendar!$B$2:$B$755,$A669)&gt;0,1,0))</f>
        <v/>
      </c>
      <c r="N669" s="16" t="str">
        <f>IF($A669&lt;Notes!$B$5,"",IF(COUNTIFS(Release_Calendar!$A$2:$A$755,"NZ_GDP",Release_Calendar!$B$2:$B$755,$A669)&gt;0,1,0))</f>
        <v/>
      </c>
      <c r="O669" s="16" t="str">
        <f>IF($A669&lt;Notes!$B$5,"",IF(COUNTIFS(Release_Calendar!$A$2:$A$755,"NZ_LABOUR",Release_Calendar!$B$2:$B$755,$A669)&gt;0,1,0))</f>
        <v/>
      </c>
      <c r="P669" s="16">
        <f t="shared" si="4"/>
        <v>0</v>
      </c>
    </row>
    <row r="670" ht="15.75" customHeight="1">
      <c r="A670" s="14">
        <v>37462.0</v>
      </c>
      <c r="B670" s="15">
        <v>2.28</v>
      </c>
      <c r="C670" s="15"/>
      <c r="D670" s="15">
        <v>5.56</v>
      </c>
      <c r="E670" s="15"/>
      <c r="F670" s="15" t="str">
        <f t="shared" si="1"/>
        <v/>
      </c>
      <c r="G670" s="15">
        <f t="shared" si="2"/>
        <v>5.56</v>
      </c>
      <c r="H670" s="16">
        <v>1.0</v>
      </c>
      <c r="I670" s="15">
        <f t="shared" si="3"/>
        <v>3.28</v>
      </c>
      <c r="J670" s="15">
        <v>39.27</v>
      </c>
      <c r="K670" s="16">
        <f>IF(COUNTIFS(Release_Calendar!$A$2:$A$755,"US_CPI",Release_Calendar!$B$2:$B$755,$A670)&gt;0,1,0)</f>
        <v>0</v>
      </c>
      <c r="L670" s="16">
        <f>IF(COUNTIFS(Release_Calendar!$A$2:$A$755,"US_NFP",Release_Calendar!$B$2:$B$755,$A670)&gt;0,1,0)</f>
        <v>0</v>
      </c>
      <c r="M670" s="16" t="str">
        <f>IF($A670&lt;Notes!$B$5,"",IF(COUNTIFS(Release_Calendar!$A$2:$A$755,"NZ_CPI",Release_Calendar!$B$2:$B$755,$A670)&gt;0,1,0))</f>
        <v/>
      </c>
      <c r="N670" s="16" t="str">
        <f>IF($A670&lt;Notes!$B$5,"",IF(COUNTIFS(Release_Calendar!$A$2:$A$755,"NZ_GDP",Release_Calendar!$B$2:$B$755,$A670)&gt;0,1,0))</f>
        <v/>
      </c>
      <c r="O670" s="16" t="str">
        <f>IF($A670&lt;Notes!$B$5,"",IF(COUNTIFS(Release_Calendar!$A$2:$A$755,"NZ_LABOUR",Release_Calendar!$B$2:$B$755,$A670)&gt;0,1,0))</f>
        <v/>
      </c>
      <c r="P670" s="16">
        <f t="shared" si="4"/>
        <v>0</v>
      </c>
    </row>
    <row r="671" ht="15.75" customHeight="1">
      <c r="A671" s="14">
        <v>37463.0</v>
      </c>
      <c r="B671" s="15">
        <v>2.2</v>
      </c>
      <c r="C671" s="15"/>
      <c r="D671" s="15">
        <v>5.55</v>
      </c>
      <c r="E671" s="15"/>
      <c r="F671" s="15" t="str">
        <f t="shared" si="1"/>
        <v/>
      </c>
      <c r="G671" s="15">
        <f t="shared" si="2"/>
        <v>5.55</v>
      </c>
      <c r="H671" s="16">
        <v>1.0</v>
      </c>
      <c r="I671" s="15">
        <f t="shared" si="3"/>
        <v>3.35</v>
      </c>
      <c r="J671" s="15">
        <v>35.51</v>
      </c>
      <c r="K671" s="16">
        <f>IF(COUNTIFS(Release_Calendar!$A$2:$A$755,"US_CPI",Release_Calendar!$B$2:$B$755,$A671)&gt;0,1,0)</f>
        <v>0</v>
      </c>
      <c r="L671" s="16">
        <f>IF(COUNTIFS(Release_Calendar!$A$2:$A$755,"US_NFP",Release_Calendar!$B$2:$B$755,$A671)&gt;0,1,0)</f>
        <v>0</v>
      </c>
      <c r="M671" s="16" t="str">
        <f>IF($A671&lt;Notes!$B$5,"",IF(COUNTIFS(Release_Calendar!$A$2:$A$755,"NZ_CPI",Release_Calendar!$B$2:$B$755,$A671)&gt;0,1,0))</f>
        <v/>
      </c>
      <c r="N671" s="16" t="str">
        <f>IF($A671&lt;Notes!$B$5,"",IF(COUNTIFS(Release_Calendar!$A$2:$A$755,"NZ_GDP",Release_Calendar!$B$2:$B$755,$A671)&gt;0,1,0))</f>
        <v/>
      </c>
      <c r="O671" s="16" t="str">
        <f>IF($A671&lt;Notes!$B$5,"",IF(COUNTIFS(Release_Calendar!$A$2:$A$755,"NZ_LABOUR",Release_Calendar!$B$2:$B$755,$A671)&gt;0,1,0))</f>
        <v/>
      </c>
      <c r="P671" s="16">
        <f t="shared" si="4"/>
        <v>0</v>
      </c>
    </row>
    <row r="672" ht="15.75" customHeight="1">
      <c r="A672" s="14">
        <v>37466.0</v>
      </c>
      <c r="B672" s="15">
        <v>2.41</v>
      </c>
      <c r="C672" s="15"/>
      <c r="D672" s="15">
        <v>5.56</v>
      </c>
      <c r="E672" s="15"/>
      <c r="F672" s="15" t="str">
        <f t="shared" si="1"/>
        <v/>
      </c>
      <c r="G672" s="15">
        <f t="shared" si="2"/>
        <v>5.56</v>
      </c>
      <c r="H672" s="16">
        <v>1.0</v>
      </c>
      <c r="I672" s="15">
        <f t="shared" si="3"/>
        <v>3.15</v>
      </c>
      <c r="J672" s="15">
        <v>31.33</v>
      </c>
      <c r="K672" s="16">
        <f>IF(COUNTIFS(Release_Calendar!$A$2:$A$755,"US_CPI",Release_Calendar!$B$2:$B$755,$A672)&gt;0,1,0)</f>
        <v>0</v>
      </c>
      <c r="L672" s="16">
        <f>IF(COUNTIFS(Release_Calendar!$A$2:$A$755,"US_NFP",Release_Calendar!$B$2:$B$755,$A672)&gt;0,1,0)</f>
        <v>0</v>
      </c>
      <c r="M672" s="16" t="str">
        <f>IF($A672&lt;Notes!$B$5,"",IF(COUNTIFS(Release_Calendar!$A$2:$A$755,"NZ_CPI",Release_Calendar!$B$2:$B$755,$A672)&gt;0,1,0))</f>
        <v/>
      </c>
      <c r="N672" s="16" t="str">
        <f>IF($A672&lt;Notes!$B$5,"",IF(COUNTIFS(Release_Calendar!$A$2:$A$755,"NZ_GDP",Release_Calendar!$B$2:$B$755,$A672)&gt;0,1,0))</f>
        <v/>
      </c>
      <c r="O672" s="16" t="str">
        <f>IF($A672&lt;Notes!$B$5,"",IF(COUNTIFS(Release_Calendar!$A$2:$A$755,"NZ_LABOUR",Release_Calendar!$B$2:$B$755,$A672)&gt;0,1,0))</f>
        <v/>
      </c>
      <c r="P672" s="16">
        <f t="shared" si="4"/>
        <v>0</v>
      </c>
    </row>
    <row r="673" ht="15.75" customHeight="1">
      <c r="A673" s="14">
        <v>37467.0</v>
      </c>
      <c r="B673" s="15">
        <v>2.44</v>
      </c>
      <c r="C673" s="15"/>
      <c r="D673" s="15">
        <v>5.62</v>
      </c>
      <c r="E673" s="15"/>
      <c r="F673" s="15" t="str">
        <f t="shared" si="1"/>
        <v/>
      </c>
      <c r="G673" s="15">
        <f t="shared" si="2"/>
        <v>5.62</v>
      </c>
      <c r="H673" s="16">
        <v>1.0</v>
      </c>
      <c r="I673" s="15">
        <f t="shared" si="3"/>
        <v>3.18</v>
      </c>
      <c r="J673" s="15">
        <v>31.92</v>
      </c>
      <c r="K673" s="16">
        <f>IF(COUNTIFS(Release_Calendar!$A$2:$A$755,"US_CPI",Release_Calendar!$B$2:$B$755,$A673)&gt;0,1,0)</f>
        <v>0</v>
      </c>
      <c r="L673" s="16">
        <f>IF(COUNTIFS(Release_Calendar!$A$2:$A$755,"US_NFP",Release_Calendar!$B$2:$B$755,$A673)&gt;0,1,0)</f>
        <v>0</v>
      </c>
      <c r="M673" s="16" t="str">
        <f>IF($A673&lt;Notes!$B$5,"",IF(COUNTIFS(Release_Calendar!$A$2:$A$755,"NZ_CPI",Release_Calendar!$B$2:$B$755,$A673)&gt;0,1,0))</f>
        <v/>
      </c>
      <c r="N673" s="16" t="str">
        <f>IF($A673&lt;Notes!$B$5,"",IF(COUNTIFS(Release_Calendar!$A$2:$A$755,"NZ_GDP",Release_Calendar!$B$2:$B$755,$A673)&gt;0,1,0))</f>
        <v/>
      </c>
      <c r="O673" s="16" t="str">
        <f>IF($A673&lt;Notes!$B$5,"",IF(COUNTIFS(Release_Calendar!$A$2:$A$755,"NZ_LABOUR",Release_Calendar!$B$2:$B$755,$A673)&gt;0,1,0))</f>
        <v/>
      </c>
      <c r="P673" s="16">
        <f t="shared" si="4"/>
        <v>0</v>
      </c>
    </row>
    <row r="674" ht="15.75" customHeight="1">
      <c r="A674" s="14">
        <v>37468.0</v>
      </c>
      <c r="B674" s="15">
        <v>2.23</v>
      </c>
      <c r="C674" s="15"/>
      <c r="D674" s="15">
        <v>5.61</v>
      </c>
      <c r="E674" s="15"/>
      <c r="F674" s="15" t="str">
        <f t="shared" si="1"/>
        <v/>
      </c>
      <c r="G674" s="15">
        <f t="shared" si="2"/>
        <v>5.61</v>
      </c>
      <c r="H674" s="16">
        <v>1.0</v>
      </c>
      <c r="I674" s="15">
        <f t="shared" si="3"/>
        <v>3.38</v>
      </c>
      <c r="J674" s="15">
        <v>32.03</v>
      </c>
      <c r="K674" s="16">
        <f>IF(COUNTIFS(Release_Calendar!$A$2:$A$755,"US_CPI",Release_Calendar!$B$2:$B$755,$A674)&gt;0,1,0)</f>
        <v>0</v>
      </c>
      <c r="L674" s="16">
        <f>IF(COUNTIFS(Release_Calendar!$A$2:$A$755,"US_NFP",Release_Calendar!$B$2:$B$755,$A674)&gt;0,1,0)</f>
        <v>0</v>
      </c>
      <c r="M674" s="16" t="str">
        <f>IF($A674&lt;Notes!$B$5,"",IF(COUNTIFS(Release_Calendar!$A$2:$A$755,"NZ_CPI",Release_Calendar!$B$2:$B$755,$A674)&gt;0,1,0))</f>
        <v/>
      </c>
      <c r="N674" s="16" t="str">
        <f>IF($A674&lt;Notes!$B$5,"",IF(COUNTIFS(Release_Calendar!$A$2:$A$755,"NZ_GDP",Release_Calendar!$B$2:$B$755,$A674)&gt;0,1,0))</f>
        <v/>
      </c>
      <c r="O674" s="16" t="str">
        <f>IF($A674&lt;Notes!$B$5,"",IF(COUNTIFS(Release_Calendar!$A$2:$A$755,"NZ_LABOUR",Release_Calendar!$B$2:$B$755,$A674)&gt;0,1,0))</f>
        <v/>
      </c>
      <c r="P674" s="16">
        <f t="shared" si="4"/>
        <v>0</v>
      </c>
    </row>
    <row r="675" ht="15.75" customHeight="1">
      <c r="A675" s="14">
        <v>37469.0</v>
      </c>
      <c r="B675" s="15">
        <v>2.15</v>
      </c>
      <c r="C675" s="15"/>
      <c r="D675" s="15">
        <v>5.57</v>
      </c>
      <c r="E675" s="15"/>
      <c r="F675" s="15" t="str">
        <f t="shared" si="1"/>
        <v/>
      </c>
      <c r="G675" s="15">
        <f t="shared" si="2"/>
        <v>5.57</v>
      </c>
      <c r="H675" s="16">
        <v>1.0</v>
      </c>
      <c r="I675" s="15">
        <f t="shared" si="3"/>
        <v>3.42</v>
      </c>
      <c r="J675" s="15">
        <v>36.95</v>
      </c>
      <c r="K675" s="16">
        <f>IF(COUNTIFS(Release_Calendar!$A$2:$A$755,"US_CPI",Release_Calendar!$B$2:$B$755,$A675)&gt;0,1,0)</f>
        <v>0</v>
      </c>
      <c r="L675" s="16">
        <f>IF(COUNTIFS(Release_Calendar!$A$2:$A$755,"US_NFP",Release_Calendar!$B$2:$B$755,$A675)&gt;0,1,0)</f>
        <v>0</v>
      </c>
      <c r="M675" s="16" t="str">
        <f>IF($A675&lt;Notes!$B$5,"",IF(COUNTIFS(Release_Calendar!$A$2:$A$755,"NZ_CPI",Release_Calendar!$B$2:$B$755,$A675)&gt;0,1,0))</f>
        <v/>
      </c>
      <c r="N675" s="16" t="str">
        <f>IF($A675&lt;Notes!$B$5,"",IF(COUNTIFS(Release_Calendar!$A$2:$A$755,"NZ_GDP",Release_Calendar!$B$2:$B$755,$A675)&gt;0,1,0))</f>
        <v/>
      </c>
      <c r="O675" s="16" t="str">
        <f>IF($A675&lt;Notes!$B$5,"",IF(COUNTIFS(Release_Calendar!$A$2:$A$755,"NZ_LABOUR",Release_Calendar!$B$2:$B$755,$A675)&gt;0,1,0))</f>
        <v/>
      </c>
      <c r="P675" s="16">
        <f t="shared" si="4"/>
        <v>0</v>
      </c>
    </row>
    <row r="676" ht="15.75" customHeight="1">
      <c r="A676" s="14">
        <v>37470.0</v>
      </c>
      <c r="B676" s="15">
        <v>1.99</v>
      </c>
      <c r="C676" s="15"/>
      <c r="D676" s="15">
        <v>5.54</v>
      </c>
      <c r="E676" s="15"/>
      <c r="F676" s="15" t="str">
        <f t="shared" si="1"/>
        <v/>
      </c>
      <c r="G676" s="15">
        <f t="shared" si="2"/>
        <v>5.54</v>
      </c>
      <c r="H676" s="16">
        <v>1.0</v>
      </c>
      <c r="I676" s="15">
        <f t="shared" si="3"/>
        <v>3.55</v>
      </c>
      <c r="J676" s="15">
        <v>41.29</v>
      </c>
      <c r="K676" s="16">
        <f>IF(COUNTIFS(Release_Calendar!$A$2:$A$755,"US_CPI",Release_Calendar!$B$2:$B$755,$A676)&gt;0,1,0)</f>
        <v>0</v>
      </c>
      <c r="L676" s="16">
        <f>IF(COUNTIFS(Release_Calendar!$A$2:$A$755,"US_NFP",Release_Calendar!$B$2:$B$755,$A676)&gt;0,1,0)</f>
        <v>1</v>
      </c>
      <c r="M676" s="16" t="str">
        <f>IF($A676&lt;Notes!$B$5,"",IF(COUNTIFS(Release_Calendar!$A$2:$A$755,"NZ_CPI",Release_Calendar!$B$2:$B$755,$A676)&gt;0,1,0))</f>
        <v/>
      </c>
      <c r="N676" s="16" t="str">
        <f>IF($A676&lt;Notes!$B$5,"",IF(COUNTIFS(Release_Calendar!$A$2:$A$755,"NZ_GDP",Release_Calendar!$B$2:$B$755,$A676)&gt;0,1,0))</f>
        <v/>
      </c>
      <c r="O676" s="16" t="str">
        <f>IF($A676&lt;Notes!$B$5,"",IF(COUNTIFS(Release_Calendar!$A$2:$A$755,"NZ_LABOUR",Release_Calendar!$B$2:$B$755,$A676)&gt;0,1,0))</f>
        <v/>
      </c>
      <c r="P676" s="16">
        <f t="shared" si="4"/>
        <v>1</v>
      </c>
    </row>
    <row r="677" ht="15.75" customHeight="1">
      <c r="A677" s="14">
        <v>37473.0</v>
      </c>
      <c r="B677" s="15">
        <v>1.93</v>
      </c>
      <c r="C677" s="15"/>
      <c r="D677" s="15">
        <v>5.48</v>
      </c>
      <c r="E677" s="15"/>
      <c r="F677" s="15" t="str">
        <f t="shared" si="1"/>
        <v/>
      </c>
      <c r="G677" s="15">
        <f t="shared" si="2"/>
        <v>5.48</v>
      </c>
      <c r="H677" s="16">
        <v>1.0</v>
      </c>
      <c r="I677" s="15">
        <f t="shared" si="3"/>
        <v>3.55</v>
      </c>
      <c r="J677" s="15">
        <v>45.08</v>
      </c>
      <c r="K677" s="16">
        <f>IF(COUNTIFS(Release_Calendar!$A$2:$A$755,"US_CPI",Release_Calendar!$B$2:$B$755,$A677)&gt;0,1,0)</f>
        <v>0</v>
      </c>
      <c r="L677" s="16">
        <f>IF(COUNTIFS(Release_Calendar!$A$2:$A$755,"US_NFP",Release_Calendar!$B$2:$B$755,$A677)&gt;0,1,0)</f>
        <v>0</v>
      </c>
      <c r="M677" s="16" t="str">
        <f>IF($A677&lt;Notes!$B$5,"",IF(COUNTIFS(Release_Calendar!$A$2:$A$755,"NZ_CPI",Release_Calendar!$B$2:$B$755,$A677)&gt;0,1,0))</f>
        <v/>
      </c>
      <c r="N677" s="16" t="str">
        <f>IF($A677&lt;Notes!$B$5,"",IF(COUNTIFS(Release_Calendar!$A$2:$A$755,"NZ_GDP",Release_Calendar!$B$2:$B$755,$A677)&gt;0,1,0))</f>
        <v/>
      </c>
      <c r="O677" s="16" t="str">
        <f>IF($A677&lt;Notes!$B$5,"",IF(COUNTIFS(Release_Calendar!$A$2:$A$755,"NZ_LABOUR",Release_Calendar!$B$2:$B$755,$A677)&gt;0,1,0))</f>
        <v/>
      </c>
      <c r="P677" s="16">
        <f t="shared" si="4"/>
        <v>0</v>
      </c>
    </row>
    <row r="678" ht="15.75" customHeight="1">
      <c r="A678" s="14">
        <v>37474.0</v>
      </c>
      <c r="B678" s="15">
        <v>2.11</v>
      </c>
      <c r="C678" s="15"/>
      <c r="D678" s="15">
        <v>5.49</v>
      </c>
      <c r="E678" s="15"/>
      <c r="F678" s="15" t="str">
        <f t="shared" si="1"/>
        <v/>
      </c>
      <c r="G678" s="15">
        <f t="shared" si="2"/>
        <v>5.49</v>
      </c>
      <c r="H678" s="16">
        <v>1.0</v>
      </c>
      <c r="I678" s="15">
        <f t="shared" si="3"/>
        <v>3.38</v>
      </c>
      <c r="J678" s="15">
        <v>42.03</v>
      </c>
      <c r="K678" s="16">
        <f>IF(COUNTIFS(Release_Calendar!$A$2:$A$755,"US_CPI",Release_Calendar!$B$2:$B$755,$A678)&gt;0,1,0)</f>
        <v>0</v>
      </c>
      <c r="L678" s="16">
        <f>IF(COUNTIFS(Release_Calendar!$A$2:$A$755,"US_NFP",Release_Calendar!$B$2:$B$755,$A678)&gt;0,1,0)</f>
        <v>0</v>
      </c>
      <c r="M678" s="16" t="str">
        <f>IF($A678&lt;Notes!$B$5,"",IF(COUNTIFS(Release_Calendar!$A$2:$A$755,"NZ_CPI",Release_Calendar!$B$2:$B$755,$A678)&gt;0,1,0))</f>
        <v/>
      </c>
      <c r="N678" s="16" t="str">
        <f>IF($A678&lt;Notes!$B$5,"",IF(COUNTIFS(Release_Calendar!$A$2:$A$755,"NZ_GDP",Release_Calendar!$B$2:$B$755,$A678)&gt;0,1,0))</f>
        <v/>
      </c>
      <c r="O678" s="16" t="str">
        <f>IF($A678&lt;Notes!$B$5,"",IF(COUNTIFS(Release_Calendar!$A$2:$A$755,"NZ_LABOUR",Release_Calendar!$B$2:$B$755,$A678)&gt;0,1,0))</f>
        <v/>
      </c>
      <c r="P678" s="16">
        <f t="shared" si="4"/>
        <v>0</v>
      </c>
    </row>
    <row r="679" ht="15.75" customHeight="1">
      <c r="A679" s="14">
        <v>37475.0</v>
      </c>
      <c r="B679" s="15">
        <v>1.98</v>
      </c>
      <c r="C679" s="15"/>
      <c r="D679" s="15">
        <v>5.57</v>
      </c>
      <c r="E679" s="15"/>
      <c r="F679" s="15" t="str">
        <f t="shared" si="1"/>
        <v/>
      </c>
      <c r="G679" s="15">
        <f t="shared" si="2"/>
        <v>5.57</v>
      </c>
      <c r="H679" s="16">
        <v>1.0</v>
      </c>
      <c r="I679" s="15">
        <f t="shared" si="3"/>
        <v>3.59</v>
      </c>
      <c r="J679" s="15">
        <v>38.73</v>
      </c>
      <c r="K679" s="16">
        <f>IF(COUNTIFS(Release_Calendar!$A$2:$A$755,"US_CPI",Release_Calendar!$B$2:$B$755,$A679)&gt;0,1,0)</f>
        <v>0</v>
      </c>
      <c r="L679" s="16">
        <f>IF(COUNTIFS(Release_Calendar!$A$2:$A$755,"US_NFP",Release_Calendar!$B$2:$B$755,$A679)&gt;0,1,0)</f>
        <v>0</v>
      </c>
      <c r="M679" s="16" t="str">
        <f>IF($A679&lt;Notes!$B$5,"",IF(COUNTIFS(Release_Calendar!$A$2:$A$755,"NZ_CPI",Release_Calendar!$B$2:$B$755,$A679)&gt;0,1,0))</f>
        <v/>
      </c>
      <c r="N679" s="16" t="str">
        <f>IF($A679&lt;Notes!$B$5,"",IF(COUNTIFS(Release_Calendar!$A$2:$A$755,"NZ_GDP",Release_Calendar!$B$2:$B$755,$A679)&gt;0,1,0))</f>
        <v/>
      </c>
      <c r="O679" s="16" t="str">
        <f>IF($A679&lt;Notes!$B$5,"",IF(COUNTIFS(Release_Calendar!$A$2:$A$755,"NZ_LABOUR",Release_Calendar!$B$2:$B$755,$A679)&gt;0,1,0))</f>
        <v/>
      </c>
      <c r="P679" s="16">
        <f t="shared" si="4"/>
        <v>0</v>
      </c>
    </row>
    <row r="680" ht="15.75" customHeight="1">
      <c r="A680" s="14">
        <v>37476.0</v>
      </c>
      <c r="B680" s="15">
        <v>2.1</v>
      </c>
      <c r="C680" s="15"/>
      <c r="D680" s="15">
        <v>5.55</v>
      </c>
      <c r="E680" s="15"/>
      <c r="F680" s="15" t="str">
        <f t="shared" si="1"/>
        <v/>
      </c>
      <c r="G680" s="15">
        <f t="shared" si="2"/>
        <v>5.55</v>
      </c>
      <c r="H680" s="16">
        <v>1.0</v>
      </c>
      <c r="I680" s="15">
        <f t="shared" si="3"/>
        <v>3.45</v>
      </c>
      <c r="J680" s="15">
        <v>36.33</v>
      </c>
      <c r="K680" s="16">
        <f>IF(COUNTIFS(Release_Calendar!$A$2:$A$755,"US_CPI",Release_Calendar!$B$2:$B$755,$A680)&gt;0,1,0)</f>
        <v>0</v>
      </c>
      <c r="L680" s="16">
        <f>IF(COUNTIFS(Release_Calendar!$A$2:$A$755,"US_NFP",Release_Calendar!$B$2:$B$755,$A680)&gt;0,1,0)</f>
        <v>0</v>
      </c>
      <c r="M680" s="16" t="str">
        <f>IF($A680&lt;Notes!$B$5,"",IF(COUNTIFS(Release_Calendar!$A$2:$A$755,"NZ_CPI",Release_Calendar!$B$2:$B$755,$A680)&gt;0,1,0))</f>
        <v/>
      </c>
      <c r="N680" s="16" t="str">
        <f>IF($A680&lt;Notes!$B$5,"",IF(COUNTIFS(Release_Calendar!$A$2:$A$755,"NZ_GDP",Release_Calendar!$B$2:$B$755,$A680)&gt;0,1,0))</f>
        <v/>
      </c>
      <c r="O680" s="16" t="str">
        <f>IF($A680&lt;Notes!$B$5,"",IF(COUNTIFS(Release_Calendar!$A$2:$A$755,"NZ_LABOUR",Release_Calendar!$B$2:$B$755,$A680)&gt;0,1,0))</f>
        <v/>
      </c>
      <c r="P680" s="16">
        <f t="shared" si="4"/>
        <v>0</v>
      </c>
    </row>
    <row r="681" ht="15.75" customHeight="1">
      <c r="A681" s="14">
        <v>37477.0</v>
      </c>
      <c r="B681" s="15">
        <v>2.1</v>
      </c>
      <c r="C681" s="15"/>
      <c r="D681" s="15">
        <v>5.58</v>
      </c>
      <c r="E681" s="15"/>
      <c r="F681" s="15" t="str">
        <f t="shared" si="1"/>
        <v/>
      </c>
      <c r="G681" s="15">
        <f t="shared" si="2"/>
        <v>5.58</v>
      </c>
      <c r="H681" s="16">
        <v>1.0</v>
      </c>
      <c r="I681" s="15">
        <f t="shared" si="3"/>
        <v>3.48</v>
      </c>
      <c r="J681" s="15">
        <v>35.33</v>
      </c>
      <c r="K681" s="16">
        <f>IF(COUNTIFS(Release_Calendar!$A$2:$A$755,"US_CPI",Release_Calendar!$B$2:$B$755,$A681)&gt;0,1,0)</f>
        <v>0</v>
      </c>
      <c r="L681" s="16">
        <f>IF(COUNTIFS(Release_Calendar!$A$2:$A$755,"US_NFP",Release_Calendar!$B$2:$B$755,$A681)&gt;0,1,0)</f>
        <v>0</v>
      </c>
      <c r="M681" s="16" t="str">
        <f>IF($A681&lt;Notes!$B$5,"",IF(COUNTIFS(Release_Calendar!$A$2:$A$755,"NZ_CPI",Release_Calendar!$B$2:$B$755,$A681)&gt;0,1,0))</f>
        <v/>
      </c>
      <c r="N681" s="16" t="str">
        <f>IF($A681&lt;Notes!$B$5,"",IF(COUNTIFS(Release_Calendar!$A$2:$A$755,"NZ_GDP",Release_Calendar!$B$2:$B$755,$A681)&gt;0,1,0))</f>
        <v/>
      </c>
      <c r="O681" s="16" t="str">
        <f>IF($A681&lt;Notes!$B$5,"",IF(COUNTIFS(Release_Calendar!$A$2:$A$755,"NZ_LABOUR",Release_Calendar!$B$2:$B$755,$A681)&gt;0,1,0))</f>
        <v/>
      </c>
      <c r="P681" s="16">
        <f t="shared" si="4"/>
        <v>0</v>
      </c>
    </row>
    <row r="682" ht="15.75" customHeight="1">
      <c r="A682" s="14">
        <v>37480.0</v>
      </c>
      <c r="B682" s="15">
        <v>2.1</v>
      </c>
      <c r="C682" s="15"/>
      <c r="D682" s="15">
        <v>5.59</v>
      </c>
      <c r="E682" s="15"/>
      <c r="F682" s="15" t="str">
        <f t="shared" si="1"/>
        <v/>
      </c>
      <c r="G682" s="15">
        <f t="shared" si="2"/>
        <v>5.59</v>
      </c>
      <c r="H682" s="16">
        <v>1.0</v>
      </c>
      <c r="I682" s="15">
        <f t="shared" si="3"/>
        <v>3.49</v>
      </c>
      <c r="J682" s="15">
        <v>37.05</v>
      </c>
      <c r="K682" s="16">
        <f>IF(COUNTIFS(Release_Calendar!$A$2:$A$755,"US_CPI",Release_Calendar!$B$2:$B$755,$A682)&gt;0,1,0)</f>
        <v>0</v>
      </c>
      <c r="L682" s="16">
        <f>IF(COUNTIFS(Release_Calendar!$A$2:$A$755,"US_NFP",Release_Calendar!$B$2:$B$755,$A682)&gt;0,1,0)</f>
        <v>0</v>
      </c>
      <c r="M682" s="16" t="str">
        <f>IF($A682&lt;Notes!$B$5,"",IF(COUNTIFS(Release_Calendar!$A$2:$A$755,"NZ_CPI",Release_Calendar!$B$2:$B$755,$A682)&gt;0,1,0))</f>
        <v/>
      </c>
      <c r="N682" s="16" t="str">
        <f>IF($A682&lt;Notes!$B$5,"",IF(COUNTIFS(Release_Calendar!$A$2:$A$755,"NZ_GDP",Release_Calendar!$B$2:$B$755,$A682)&gt;0,1,0))</f>
        <v/>
      </c>
      <c r="O682" s="16" t="str">
        <f>IF($A682&lt;Notes!$B$5,"",IF(COUNTIFS(Release_Calendar!$A$2:$A$755,"NZ_LABOUR",Release_Calendar!$B$2:$B$755,$A682)&gt;0,1,0))</f>
        <v/>
      </c>
      <c r="P682" s="16">
        <f t="shared" si="4"/>
        <v>0</v>
      </c>
    </row>
    <row r="683" ht="15.75" customHeight="1">
      <c r="A683" s="14">
        <v>37481.0</v>
      </c>
      <c r="B683" s="15">
        <v>2.0</v>
      </c>
      <c r="C683" s="15"/>
      <c r="D683" s="15">
        <v>5.66</v>
      </c>
      <c r="E683" s="15"/>
      <c r="F683" s="15" t="str">
        <f t="shared" si="1"/>
        <v/>
      </c>
      <c r="G683" s="15">
        <f t="shared" si="2"/>
        <v>5.66</v>
      </c>
      <c r="H683" s="16">
        <v>1.0</v>
      </c>
      <c r="I683" s="15">
        <f t="shared" si="3"/>
        <v>3.66</v>
      </c>
      <c r="J683" s="15">
        <v>35.82</v>
      </c>
      <c r="K683" s="16">
        <f>IF(COUNTIFS(Release_Calendar!$A$2:$A$755,"US_CPI",Release_Calendar!$B$2:$B$755,$A683)&gt;0,1,0)</f>
        <v>0</v>
      </c>
      <c r="L683" s="16">
        <f>IF(COUNTIFS(Release_Calendar!$A$2:$A$755,"US_NFP",Release_Calendar!$B$2:$B$755,$A683)&gt;0,1,0)</f>
        <v>0</v>
      </c>
      <c r="M683" s="16" t="str">
        <f>IF($A683&lt;Notes!$B$5,"",IF(COUNTIFS(Release_Calendar!$A$2:$A$755,"NZ_CPI",Release_Calendar!$B$2:$B$755,$A683)&gt;0,1,0))</f>
        <v/>
      </c>
      <c r="N683" s="16" t="str">
        <f>IF($A683&lt;Notes!$B$5,"",IF(COUNTIFS(Release_Calendar!$A$2:$A$755,"NZ_GDP",Release_Calendar!$B$2:$B$755,$A683)&gt;0,1,0))</f>
        <v/>
      </c>
      <c r="O683" s="16" t="str">
        <f>IF($A683&lt;Notes!$B$5,"",IF(COUNTIFS(Release_Calendar!$A$2:$A$755,"NZ_LABOUR",Release_Calendar!$B$2:$B$755,$A683)&gt;0,1,0))</f>
        <v/>
      </c>
      <c r="P683" s="16">
        <f t="shared" si="4"/>
        <v>0</v>
      </c>
    </row>
    <row r="684" ht="15.75" customHeight="1">
      <c r="A684" s="14">
        <v>37482.0</v>
      </c>
      <c r="B684" s="15">
        <v>2.12</v>
      </c>
      <c r="C684" s="15"/>
      <c r="D684" s="15">
        <v>5.59</v>
      </c>
      <c r="E684" s="15"/>
      <c r="F684" s="15" t="str">
        <f t="shared" si="1"/>
        <v/>
      </c>
      <c r="G684" s="15">
        <f t="shared" si="2"/>
        <v>5.59</v>
      </c>
      <c r="H684" s="16">
        <v>1.0</v>
      </c>
      <c r="I684" s="15">
        <f t="shared" si="3"/>
        <v>3.47</v>
      </c>
      <c r="J684" s="15">
        <v>32.36</v>
      </c>
      <c r="K684" s="16">
        <f>IF(COUNTIFS(Release_Calendar!$A$2:$A$755,"US_CPI",Release_Calendar!$B$2:$B$755,$A684)&gt;0,1,0)</f>
        <v>0</v>
      </c>
      <c r="L684" s="16">
        <f>IF(COUNTIFS(Release_Calendar!$A$2:$A$755,"US_NFP",Release_Calendar!$B$2:$B$755,$A684)&gt;0,1,0)</f>
        <v>0</v>
      </c>
      <c r="M684" s="16" t="str">
        <f>IF($A684&lt;Notes!$B$5,"",IF(COUNTIFS(Release_Calendar!$A$2:$A$755,"NZ_CPI",Release_Calendar!$B$2:$B$755,$A684)&gt;0,1,0))</f>
        <v/>
      </c>
      <c r="N684" s="16" t="str">
        <f>IF($A684&lt;Notes!$B$5,"",IF(COUNTIFS(Release_Calendar!$A$2:$A$755,"NZ_GDP",Release_Calendar!$B$2:$B$755,$A684)&gt;0,1,0))</f>
        <v/>
      </c>
      <c r="O684" s="16" t="str">
        <f>IF($A684&lt;Notes!$B$5,"",IF(COUNTIFS(Release_Calendar!$A$2:$A$755,"NZ_LABOUR",Release_Calendar!$B$2:$B$755,$A684)&gt;0,1,0))</f>
        <v/>
      </c>
      <c r="P684" s="16">
        <f t="shared" si="4"/>
        <v>0</v>
      </c>
    </row>
    <row r="685" ht="15.75" customHeight="1">
      <c r="A685" s="14">
        <v>37483.0</v>
      </c>
      <c r="B685" s="15">
        <v>2.22</v>
      </c>
      <c r="C685" s="15"/>
      <c r="D685" s="15">
        <v>5.7</v>
      </c>
      <c r="E685" s="15"/>
      <c r="F685" s="15" t="str">
        <f t="shared" si="1"/>
        <v/>
      </c>
      <c r="G685" s="15">
        <f t="shared" si="2"/>
        <v>5.7</v>
      </c>
      <c r="H685" s="16">
        <v>1.0</v>
      </c>
      <c r="I685" s="15">
        <f t="shared" si="3"/>
        <v>3.48</v>
      </c>
      <c r="J685" s="15">
        <v>29.43</v>
      </c>
      <c r="K685" s="16">
        <f>IF(COUNTIFS(Release_Calendar!$A$2:$A$755,"US_CPI",Release_Calendar!$B$2:$B$755,$A685)&gt;0,1,0)</f>
        <v>0</v>
      </c>
      <c r="L685" s="16">
        <f>IF(COUNTIFS(Release_Calendar!$A$2:$A$755,"US_NFP",Release_Calendar!$B$2:$B$755,$A685)&gt;0,1,0)</f>
        <v>0</v>
      </c>
      <c r="M685" s="16" t="str">
        <f>IF($A685&lt;Notes!$B$5,"",IF(COUNTIFS(Release_Calendar!$A$2:$A$755,"NZ_CPI",Release_Calendar!$B$2:$B$755,$A685)&gt;0,1,0))</f>
        <v/>
      </c>
      <c r="N685" s="16" t="str">
        <f>IF($A685&lt;Notes!$B$5,"",IF(COUNTIFS(Release_Calendar!$A$2:$A$755,"NZ_GDP",Release_Calendar!$B$2:$B$755,$A685)&gt;0,1,0))</f>
        <v/>
      </c>
      <c r="O685" s="16" t="str">
        <f>IF($A685&lt;Notes!$B$5,"",IF(COUNTIFS(Release_Calendar!$A$2:$A$755,"NZ_LABOUR",Release_Calendar!$B$2:$B$755,$A685)&gt;0,1,0))</f>
        <v/>
      </c>
      <c r="P685" s="16">
        <f t="shared" si="4"/>
        <v>0</v>
      </c>
    </row>
    <row r="686" ht="15.75" customHeight="1">
      <c r="A686" s="14">
        <v>37484.0</v>
      </c>
      <c r="B686" s="15">
        <v>2.28</v>
      </c>
      <c r="C686" s="15"/>
      <c r="D686" s="15">
        <v>5.74</v>
      </c>
      <c r="E686" s="15"/>
      <c r="F686" s="15" t="str">
        <f t="shared" si="1"/>
        <v/>
      </c>
      <c r="G686" s="15">
        <f t="shared" si="2"/>
        <v>5.74</v>
      </c>
      <c r="H686" s="16">
        <v>1.0</v>
      </c>
      <c r="I686" s="15">
        <f t="shared" si="3"/>
        <v>3.46</v>
      </c>
      <c r="J686" s="15">
        <v>28.81</v>
      </c>
      <c r="K686" s="16">
        <f>IF(COUNTIFS(Release_Calendar!$A$2:$A$755,"US_CPI",Release_Calendar!$B$2:$B$755,$A686)&gt;0,1,0)</f>
        <v>1</v>
      </c>
      <c r="L686" s="16">
        <f>IF(COUNTIFS(Release_Calendar!$A$2:$A$755,"US_NFP",Release_Calendar!$B$2:$B$755,$A686)&gt;0,1,0)</f>
        <v>0</v>
      </c>
      <c r="M686" s="16" t="str">
        <f>IF($A686&lt;Notes!$B$5,"",IF(COUNTIFS(Release_Calendar!$A$2:$A$755,"NZ_CPI",Release_Calendar!$B$2:$B$755,$A686)&gt;0,1,0))</f>
        <v/>
      </c>
      <c r="N686" s="16" t="str">
        <f>IF($A686&lt;Notes!$B$5,"",IF(COUNTIFS(Release_Calendar!$A$2:$A$755,"NZ_GDP",Release_Calendar!$B$2:$B$755,$A686)&gt;0,1,0))</f>
        <v/>
      </c>
      <c r="O686" s="16" t="str">
        <f>IF($A686&lt;Notes!$B$5,"",IF(COUNTIFS(Release_Calendar!$A$2:$A$755,"NZ_LABOUR",Release_Calendar!$B$2:$B$755,$A686)&gt;0,1,0))</f>
        <v/>
      </c>
      <c r="P686" s="16">
        <f t="shared" si="4"/>
        <v>1</v>
      </c>
    </row>
    <row r="687" ht="15.75" customHeight="1">
      <c r="A687" s="14">
        <v>37487.0</v>
      </c>
      <c r="B687" s="15">
        <v>2.25</v>
      </c>
      <c r="C687" s="15"/>
      <c r="D687" s="15">
        <v>5.77</v>
      </c>
      <c r="E687" s="15"/>
      <c r="F687" s="15" t="str">
        <f t="shared" si="1"/>
        <v/>
      </c>
      <c r="G687" s="15">
        <f t="shared" si="2"/>
        <v>5.77</v>
      </c>
      <c r="H687" s="16">
        <v>1.0</v>
      </c>
      <c r="I687" s="15">
        <f t="shared" si="3"/>
        <v>3.52</v>
      </c>
      <c r="J687" s="15">
        <v>28.61</v>
      </c>
      <c r="K687" s="16">
        <f>IF(COUNTIFS(Release_Calendar!$A$2:$A$755,"US_CPI",Release_Calendar!$B$2:$B$755,$A687)&gt;0,1,0)</f>
        <v>0</v>
      </c>
      <c r="L687" s="16">
        <f>IF(COUNTIFS(Release_Calendar!$A$2:$A$755,"US_NFP",Release_Calendar!$B$2:$B$755,$A687)&gt;0,1,0)</f>
        <v>0</v>
      </c>
      <c r="M687" s="16" t="str">
        <f>IF($A687&lt;Notes!$B$5,"",IF(COUNTIFS(Release_Calendar!$A$2:$A$755,"NZ_CPI",Release_Calendar!$B$2:$B$755,$A687)&gt;0,1,0))</f>
        <v/>
      </c>
      <c r="N687" s="16" t="str">
        <f>IF($A687&lt;Notes!$B$5,"",IF(COUNTIFS(Release_Calendar!$A$2:$A$755,"NZ_GDP",Release_Calendar!$B$2:$B$755,$A687)&gt;0,1,0))</f>
        <v/>
      </c>
      <c r="O687" s="16" t="str">
        <f>IF($A687&lt;Notes!$B$5,"",IF(COUNTIFS(Release_Calendar!$A$2:$A$755,"NZ_LABOUR",Release_Calendar!$B$2:$B$755,$A687)&gt;0,1,0))</f>
        <v/>
      </c>
      <c r="P687" s="16">
        <f t="shared" si="4"/>
        <v>0</v>
      </c>
    </row>
    <row r="688" ht="15.75" customHeight="1">
      <c r="A688" s="14">
        <v>37488.0</v>
      </c>
      <c r="B688" s="15">
        <v>2.12</v>
      </c>
      <c r="C688" s="15"/>
      <c r="D688" s="15">
        <v>5.75</v>
      </c>
      <c r="E688" s="15"/>
      <c r="F688" s="15" t="str">
        <f t="shared" si="1"/>
        <v/>
      </c>
      <c r="G688" s="15">
        <f t="shared" si="2"/>
        <v>5.75</v>
      </c>
      <c r="H688" s="16">
        <v>1.0</v>
      </c>
      <c r="I688" s="15">
        <f t="shared" si="3"/>
        <v>3.63</v>
      </c>
      <c r="J688" s="15">
        <v>29.59</v>
      </c>
      <c r="K688" s="16">
        <f>IF(COUNTIFS(Release_Calendar!$A$2:$A$755,"US_CPI",Release_Calendar!$B$2:$B$755,$A688)&gt;0,1,0)</f>
        <v>0</v>
      </c>
      <c r="L688" s="16">
        <f>IF(COUNTIFS(Release_Calendar!$A$2:$A$755,"US_NFP",Release_Calendar!$B$2:$B$755,$A688)&gt;0,1,0)</f>
        <v>0</v>
      </c>
      <c r="M688" s="16" t="str">
        <f>IF($A688&lt;Notes!$B$5,"",IF(COUNTIFS(Release_Calendar!$A$2:$A$755,"NZ_CPI",Release_Calendar!$B$2:$B$755,$A688)&gt;0,1,0))</f>
        <v/>
      </c>
      <c r="N688" s="16" t="str">
        <f>IF($A688&lt;Notes!$B$5,"",IF(COUNTIFS(Release_Calendar!$A$2:$A$755,"NZ_GDP",Release_Calendar!$B$2:$B$755,$A688)&gt;0,1,0))</f>
        <v/>
      </c>
      <c r="O688" s="16" t="str">
        <f>IF($A688&lt;Notes!$B$5,"",IF(COUNTIFS(Release_Calendar!$A$2:$A$755,"NZ_LABOUR",Release_Calendar!$B$2:$B$755,$A688)&gt;0,1,0))</f>
        <v/>
      </c>
      <c r="P688" s="16">
        <f t="shared" si="4"/>
        <v>0</v>
      </c>
    </row>
    <row r="689" ht="15.75" customHeight="1">
      <c r="A689" s="14">
        <v>37489.0</v>
      </c>
      <c r="B689" s="15">
        <v>2.12</v>
      </c>
      <c r="C689" s="15"/>
      <c r="D689" s="15">
        <v>5.7</v>
      </c>
      <c r="E689" s="15"/>
      <c r="F689" s="15" t="str">
        <f t="shared" si="1"/>
        <v/>
      </c>
      <c r="G689" s="15">
        <f t="shared" si="2"/>
        <v>5.7</v>
      </c>
      <c r="H689" s="16">
        <v>1.0</v>
      </c>
      <c r="I689" s="15">
        <f t="shared" si="3"/>
        <v>3.58</v>
      </c>
      <c r="J689" s="15">
        <v>28.23</v>
      </c>
      <c r="K689" s="16">
        <f>IF(COUNTIFS(Release_Calendar!$A$2:$A$755,"US_CPI",Release_Calendar!$B$2:$B$755,$A689)&gt;0,1,0)</f>
        <v>0</v>
      </c>
      <c r="L689" s="16">
        <f>IF(COUNTIFS(Release_Calendar!$A$2:$A$755,"US_NFP",Release_Calendar!$B$2:$B$755,$A689)&gt;0,1,0)</f>
        <v>0</v>
      </c>
      <c r="M689" s="16" t="str">
        <f>IF($A689&lt;Notes!$B$5,"",IF(COUNTIFS(Release_Calendar!$A$2:$A$755,"NZ_CPI",Release_Calendar!$B$2:$B$755,$A689)&gt;0,1,0))</f>
        <v/>
      </c>
      <c r="N689" s="16" t="str">
        <f>IF($A689&lt;Notes!$B$5,"",IF(COUNTIFS(Release_Calendar!$A$2:$A$755,"NZ_GDP",Release_Calendar!$B$2:$B$755,$A689)&gt;0,1,0))</f>
        <v/>
      </c>
      <c r="O689" s="16" t="str">
        <f>IF($A689&lt;Notes!$B$5,"",IF(COUNTIFS(Release_Calendar!$A$2:$A$755,"NZ_LABOUR",Release_Calendar!$B$2:$B$755,$A689)&gt;0,1,0))</f>
        <v/>
      </c>
      <c r="P689" s="16">
        <f t="shared" si="4"/>
        <v>0</v>
      </c>
    </row>
    <row r="690" ht="15.75" customHeight="1">
      <c r="A690" s="14">
        <v>37490.0</v>
      </c>
      <c r="B690" s="15">
        <v>2.22</v>
      </c>
      <c r="C690" s="15"/>
      <c r="D690" s="15">
        <v>5.75</v>
      </c>
      <c r="E690" s="15"/>
      <c r="F690" s="15" t="str">
        <f t="shared" si="1"/>
        <v/>
      </c>
      <c r="G690" s="15">
        <f t="shared" si="2"/>
        <v>5.75</v>
      </c>
      <c r="H690" s="16">
        <v>1.0</v>
      </c>
      <c r="I690" s="15">
        <f t="shared" si="3"/>
        <v>3.53</v>
      </c>
      <c r="J690" s="15">
        <v>27.75</v>
      </c>
      <c r="K690" s="16">
        <f>IF(COUNTIFS(Release_Calendar!$A$2:$A$755,"US_CPI",Release_Calendar!$B$2:$B$755,$A690)&gt;0,1,0)</f>
        <v>0</v>
      </c>
      <c r="L690" s="16">
        <f>IF(COUNTIFS(Release_Calendar!$A$2:$A$755,"US_NFP",Release_Calendar!$B$2:$B$755,$A690)&gt;0,1,0)</f>
        <v>0</v>
      </c>
      <c r="M690" s="16" t="str">
        <f>IF($A690&lt;Notes!$B$5,"",IF(COUNTIFS(Release_Calendar!$A$2:$A$755,"NZ_CPI",Release_Calendar!$B$2:$B$755,$A690)&gt;0,1,0))</f>
        <v/>
      </c>
      <c r="N690" s="16" t="str">
        <f>IF($A690&lt;Notes!$B$5,"",IF(COUNTIFS(Release_Calendar!$A$2:$A$755,"NZ_GDP",Release_Calendar!$B$2:$B$755,$A690)&gt;0,1,0))</f>
        <v/>
      </c>
      <c r="O690" s="16" t="str">
        <f>IF($A690&lt;Notes!$B$5,"",IF(COUNTIFS(Release_Calendar!$A$2:$A$755,"NZ_LABOUR",Release_Calendar!$B$2:$B$755,$A690)&gt;0,1,0))</f>
        <v/>
      </c>
      <c r="P690" s="16">
        <f t="shared" si="4"/>
        <v>0</v>
      </c>
    </row>
    <row r="691" ht="15.75" customHeight="1">
      <c r="A691" s="14">
        <v>37491.0</v>
      </c>
      <c r="B691" s="15">
        <v>2.19</v>
      </c>
      <c r="C691" s="15"/>
      <c r="D691" s="15">
        <v>5.75</v>
      </c>
      <c r="E691" s="15"/>
      <c r="F691" s="15" t="str">
        <f t="shared" si="1"/>
        <v/>
      </c>
      <c r="G691" s="15">
        <f t="shared" si="2"/>
        <v>5.75</v>
      </c>
      <c r="H691" s="16">
        <v>1.0</v>
      </c>
      <c r="I691" s="15">
        <f t="shared" si="3"/>
        <v>3.56</v>
      </c>
      <c r="J691" s="15">
        <v>29.32</v>
      </c>
      <c r="K691" s="16">
        <f>IF(COUNTIFS(Release_Calendar!$A$2:$A$755,"US_CPI",Release_Calendar!$B$2:$B$755,$A691)&gt;0,1,0)</f>
        <v>0</v>
      </c>
      <c r="L691" s="16">
        <f>IF(COUNTIFS(Release_Calendar!$A$2:$A$755,"US_NFP",Release_Calendar!$B$2:$B$755,$A691)&gt;0,1,0)</f>
        <v>0</v>
      </c>
      <c r="M691" s="16" t="str">
        <f>IF($A691&lt;Notes!$B$5,"",IF(COUNTIFS(Release_Calendar!$A$2:$A$755,"NZ_CPI",Release_Calendar!$B$2:$B$755,$A691)&gt;0,1,0))</f>
        <v/>
      </c>
      <c r="N691" s="16" t="str">
        <f>IF($A691&lt;Notes!$B$5,"",IF(COUNTIFS(Release_Calendar!$A$2:$A$755,"NZ_GDP",Release_Calendar!$B$2:$B$755,$A691)&gt;0,1,0))</f>
        <v/>
      </c>
      <c r="O691" s="16" t="str">
        <f>IF($A691&lt;Notes!$B$5,"",IF(COUNTIFS(Release_Calendar!$A$2:$A$755,"NZ_LABOUR",Release_Calendar!$B$2:$B$755,$A691)&gt;0,1,0))</f>
        <v/>
      </c>
      <c r="P691" s="16">
        <f t="shared" si="4"/>
        <v>0</v>
      </c>
    </row>
    <row r="692" ht="15.75" customHeight="1">
      <c r="A692" s="14">
        <v>37494.0</v>
      </c>
      <c r="B692" s="15">
        <v>2.19</v>
      </c>
      <c r="C692" s="15"/>
      <c r="D692" s="15">
        <v>5.72</v>
      </c>
      <c r="E692" s="15"/>
      <c r="F692" s="15" t="str">
        <f t="shared" si="1"/>
        <v/>
      </c>
      <c r="G692" s="15">
        <f t="shared" si="2"/>
        <v>5.72</v>
      </c>
      <c r="H692" s="16">
        <v>1.0</v>
      </c>
      <c r="I692" s="15">
        <f t="shared" si="3"/>
        <v>3.53</v>
      </c>
      <c r="J692" s="15">
        <v>29.89</v>
      </c>
      <c r="K692" s="16">
        <f>IF(COUNTIFS(Release_Calendar!$A$2:$A$755,"US_CPI",Release_Calendar!$B$2:$B$755,$A692)&gt;0,1,0)</f>
        <v>0</v>
      </c>
      <c r="L692" s="16">
        <f>IF(COUNTIFS(Release_Calendar!$A$2:$A$755,"US_NFP",Release_Calendar!$B$2:$B$755,$A692)&gt;0,1,0)</f>
        <v>0</v>
      </c>
      <c r="M692" s="16" t="str">
        <f>IF($A692&lt;Notes!$B$5,"",IF(COUNTIFS(Release_Calendar!$A$2:$A$755,"NZ_CPI",Release_Calendar!$B$2:$B$755,$A692)&gt;0,1,0))</f>
        <v/>
      </c>
      <c r="N692" s="16" t="str">
        <f>IF($A692&lt;Notes!$B$5,"",IF(COUNTIFS(Release_Calendar!$A$2:$A$755,"NZ_GDP",Release_Calendar!$B$2:$B$755,$A692)&gt;0,1,0))</f>
        <v/>
      </c>
      <c r="O692" s="16" t="str">
        <f>IF($A692&lt;Notes!$B$5,"",IF(COUNTIFS(Release_Calendar!$A$2:$A$755,"NZ_LABOUR",Release_Calendar!$B$2:$B$755,$A692)&gt;0,1,0))</f>
        <v/>
      </c>
      <c r="P692" s="16">
        <f t="shared" si="4"/>
        <v>0</v>
      </c>
    </row>
    <row r="693" ht="15.75" customHeight="1">
      <c r="A693" s="14">
        <v>37495.0</v>
      </c>
      <c r="B693" s="15">
        <v>2.26</v>
      </c>
      <c r="C693" s="15"/>
      <c r="D693" s="15">
        <v>5.75</v>
      </c>
      <c r="E693" s="15"/>
      <c r="F693" s="15" t="str">
        <f t="shared" si="1"/>
        <v/>
      </c>
      <c r="G693" s="15">
        <f t="shared" si="2"/>
        <v>5.75</v>
      </c>
      <c r="H693" s="16">
        <v>1.0</v>
      </c>
      <c r="I693" s="15">
        <f t="shared" si="3"/>
        <v>3.49</v>
      </c>
      <c r="J693" s="15">
        <v>30.11</v>
      </c>
      <c r="K693" s="16">
        <f>IF(COUNTIFS(Release_Calendar!$A$2:$A$755,"US_CPI",Release_Calendar!$B$2:$B$755,$A693)&gt;0,1,0)</f>
        <v>0</v>
      </c>
      <c r="L693" s="16">
        <f>IF(COUNTIFS(Release_Calendar!$A$2:$A$755,"US_NFP",Release_Calendar!$B$2:$B$755,$A693)&gt;0,1,0)</f>
        <v>0</v>
      </c>
      <c r="M693" s="16" t="str">
        <f>IF($A693&lt;Notes!$B$5,"",IF(COUNTIFS(Release_Calendar!$A$2:$A$755,"NZ_CPI",Release_Calendar!$B$2:$B$755,$A693)&gt;0,1,0))</f>
        <v/>
      </c>
      <c r="N693" s="16" t="str">
        <f>IF($A693&lt;Notes!$B$5,"",IF(COUNTIFS(Release_Calendar!$A$2:$A$755,"NZ_GDP",Release_Calendar!$B$2:$B$755,$A693)&gt;0,1,0))</f>
        <v/>
      </c>
      <c r="O693" s="16" t="str">
        <f>IF($A693&lt;Notes!$B$5,"",IF(COUNTIFS(Release_Calendar!$A$2:$A$755,"NZ_LABOUR",Release_Calendar!$B$2:$B$755,$A693)&gt;0,1,0))</f>
        <v/>
      </c>
      <c r="P693" s="16">
        <f t="shared" si="4"/>
        <v>0</v>
      </c>
    </row>
    <row r="694" ht="15.75" customHeight="1">
      <c r="A694" s="14">
        <v>37496.0</v>
      </c>
      <c r="B694" s="15">
        <v>2.23</v>
      </c>
      <c r="C694" s="15"/>
      <c r="D694" s="15">
        <v>5.77</v>
      </c>
      <c r="E694" s="15"/>
      <c r="F694" s="15" t="str">
        <f t="shared" si="1"/>
        <v/>
      </c>
      <c r="G694" s="15">
        <f t="shared" si="2"/>
        <v>5.77</v>
      </c>
      <c r="H694" s="16">
        <v>1.0</v>
      </c>
      <c r="I694" s="15">
        <f t="shared" si="3"/>
        <v>3.54</v>
      </c>
      <c r="J694" s="15">
        <v>33.32</v>
      </c>
      <c r="K694" s="16">
        <f>IF(COUNTIFS(Release_Calendar!$A$2:$A$755,"US_CPI",Release_Calendar!$B$2:$B$755,$A694)&gt;0,1,0)</f>
        <v>0</v>
      </c>
      <c r="L694" s="16">
        <f>IF(COUNTIFS(Release_Calendar!$A$2:$A$755,"US_NFP",Release_Calendar!$B$2:$B$755,$A694)&gt;0,1,0)</f>
        <v>0</v>
      </c>
      <c r="M694" s="16" t="str">
        <f>IF($A694&lt;Notes!$B$5,"",IF(COUNTIFS(Release_Calendar!$A$2:$A$755,"NZ_CPI",Release_Calendar!$B$2:$B$755,$A694)&gt;0,1,0))</f>
        <v/>
      </c>
      <c r="N694" s="16" t="str">
        <f>IF($A694&lt;Notes!$B$5,"",IF(COUNTIFS(Release_Calendar!$A$2:$A$755,"NZ_GDP",Release_Calendar!$B$2:$B$755,$A694)&gt;0,1,0))</f>
        <v/>
      </c>
      <c r="O694" s="16" t="str">
        <f>IF($A694&lt;Notes!$B$5,"",IF(COUNTIFS(Release_Calendar!$A$2:$A$755,"NZ_LABOUR",Release_Calendar!$B$2:$B$755,$A694)&gt;0,1,0))</f>
        <v/>
      </c>
      <c r="P694" s="16">
        <f t="shared" si="4"/>
        <v>0</v>
      </c>
    </row>
    <row r="695" ht="15.75" customHeight="1">
      <c r="A695" s="14">
        <v>37497.0</v>
      </c>
      <c r="B695" s="15">
        <v>2.14</v>
      </c>
      <c r="C695" s="15"/>
      <c r="D695" s="15">
        <v>5.76</v>
      </c>
      <c r="E695" s="15"/>
      <c r="F695" s="15" t="str">
        <f t="shared" si="1"/>
        <v/>
      </c>
      <c r="G695" s="15">
        <f t="shared" si="2"/>
        <v>5.76</v>
      </c>
      <c r="H695" s="16">
        <v>1.0</v>
      </c>
      <c r="I695" s="15">
        <f t="shared" si="3"/>
        <v>3.62</v>
      </c>
      <c r="J695" s="15">
        <v>33.67</v>
      </c>
      <c r="K695" s="16">
        <f>IF(COUNTIFS(Release_Calendar!$A$2:$A$755,"US_CPI",Release_Calendar!$B$2:$B$755,$A695)&gt;0,1,0)</f>
        <v>0</v>
      </c>
      <c r="L695" s="16">
        <f>IF(COUNTIFS(Release_Calendar!$A$2:$A$755,"US_NFP",Release_Calendar!$B$2:$B$755,$A695)&gt;0,1,0)</f>
        <v>0</v>
      </c>
      <c r="M695" s="16" t="str">
        <f>IF($A695&lt;Notes!$B$5,"",IF(COUNTIFS(Release_Calendar!$A$2:$A$755,"NZ_CPI",Release_Calendar!$B$2:$B$755,$A695)&gt;0,1,0))</f>
        <v/>
      </c>
      <c r="N695" s="16" t="str">
        <f>IF($A695&lt;Notes!$B$5,"",IF(COUNTIFS(Release_Calendar!$A$2:$A$755,"NZ_GDP",Release_Calendar!$B$2:$B$755,$A695)&gt;0,1,0))</f>
        <v/>
      </c>
      <c r="O695" s="16" t="str">
        <f>IF($A695&lt;Notes!$B$5,"",IF(COUNTIFS(Release_Calendar!$A$2:$A$755,"NZ_LABOUR",Release_Calendar!$B$2:$B$755,$A695)&gt;0,1,0))</f>
        <v/>
      </c>
      <c r="P695" s="16">
        <f t="shared" si="4"/>
        <v>0</v>
      </c>
    </row>
    <row r="696" ht="15.75" customHeight="1">
      <c r="A696" s="14">
        <v>37498.0</v>
      </c>
      <c r="B696" s="15">
        <v>2.14</v>
      </c>
      <c r="C696" s="15"/>
      <c r="D696" s="15">
        <v>5.71</v>
      </c>
      <c r="E696" s="15"/>
      <c r="F696" s="15" t="str">
        <f t="shared" si="1"/>
        <v/>
      </c>
      <c r="G696" s="15">
        <f t="shared" si="2"/>
        <v>5.71</v>
      </c>
      <c r="H696" s="16">
        <v>1.0</v>
      </c>
      <c r="I696" s="15">
        <f t="shared" si="3"/>
        <v>3.57</v>
      </c>
      <c r="J696" s="15">
        <v>32.64</v>
      </c>
      <c r="K696" s="16">
        <f>IF(COUNTIFS(Release_Calendar!$A$2:$A$755,"US_CPI",Release_Calendar!$B$2:$B$755,$A696)&gt;0,1,0)</f>
        <v>0</v>
      </c>
      <c r="L696" s="16">
        <f>IF(COUNTIFS(Release_Calendar!$A$2:$A$755,"US_NFP",Release_Calendar!$B$2:$B$755,$A696)&gt;0,1,0)</f>
        <v>0</v>
      </c>
      <c r="M696" s="16" t="str">
        <f>IF($A696&lt;Notes!$B$5,"",IF(COUNTIFS(Release_Calendar!$A$2:$A$755,"NZ_CPI",Release_Calendar!$B$2:$B$755,$A696)&gt;0,1,0))</f>
        <v/>
      </c>
      <c r="N696" s="16" t="str">
        <f>IF($A696&lt;Notes!$B$5,"",IF(COUNTIFS(Release_Calendar!$A$2:$A$755,"NZ_GDP",Release_Calendar!$B$2:$B$755,$A696)&gt;0,1,0))</f>
        <v/>
      </c>
      <c r="O696" s="16" t="str">
        <f>IF($A696&lt;Notes!$B$5,"",IF(COUNTIFS(Release_Calendar!$A$2:$A$755,"NZ_LABOUR",Release_Calendar!$B$2:$B$755,$A696)&gt;0,1,0))</f>
        <v/>
      </c>
      <c r="P696" s="16">
        <f t="shared" si="4"/>
        <v>0</v>
      </c>
    </row>
    <row r="697" ht="15.75" customHeight="1">
      <c r="A697" s="14">
        <v>37501.0</v>
      </c>
      <c r="B697" s="15"/>
      <c r="C697" s="15"/>
      <c r="D697" s="15">
        <v>5.7</v>
      </c>
      <c r="E697" s="15"/>
      <c r="F697" s="15" t="str">
        <f t="shared" si="1"/>
        <v/>
      </c>
      <c r="G697" s="15">
        <f t="shared" si="2"/>
        <v>5.7</v>
      </c>
      <c r="H697" s="16">
        <v>1.0</v>
      </c>
      <c r="I697" s="15" t="str">
        <f t="shared" si="3"/>
        <v/>
      </c>
      <c r="J697" s="15"/>
      <c r="K697" s="16">
        <f>IF(COUNTIFS(Release_Calendar!$A$2:$A$755,"US_CPI",Release_Calendar!$B$2:$B$755,$A697)&gt;0,1,0)</f>
        <v>0</v>
      </c>
      <c r="L697" s="16">
        <f>IF(COUNTIFS(Release_Calendar!$A$2:$A$755,"US_NFP",Release_Calendar!$B$2:$B$755,$A697)&gt;0,1,0)</f>
        <v>0</v>
      </c>
      <c r="M697" s="16" t="str">
        <f>IF($A697&lt;Notes!$B$5,"",IF(COUNTIFS(Release_Calendar!$A$2:$A$755,"NZ_CPI",Release_Calendar!$B$2:$B$755,$A697)&gt;0,1,0))</f>
        <v/>
      </c>
      <c r="N697" s="16" t="str">
        <f>IF($A697&lt;Notes!$B$5,"",IF(COUNTIFS(Release_Calendar!$A$2:$A$755,"NZ_GDP",Release_Calendar!$B$2:$B$755,$A697)&gt;0,1,0))</f>
        <v/>
      </c>
      <c r="O697" s="16" t="str">
        <f>IF($A697&lt;Notes!$B$5,"",IF(COUNTIFS(Release_Calendar!$A$2:$A$755,"NZ_LABOUR",Release_Calendar!$B$2:$B$755,$A697)&gt;0,1,0))</f>
        <v/>
      </c>
      <c r="P697" s="16">
        <f t="shared" si="4"/>
        <v>0</v>
      </c>
    </row>
    <row r="698" ht="15.75" customHeight="1">
      <c r="A698" s="14">
        <v>37502.0</v>
      </c>
      <c r="B698" s="15">
        <v>2.01</v>
      </c>
      <c r="C698" s="15"/>
      <c r="D698" s="15">
        <v>5.67</v>
      </c>
      <c r="E698" s="15"/>
      <c r="F698" s="15" t="str">
        <f t="shared" si="1"/>
        <v/>
      </c>
      <c r="G698" s="15">
        <f t="shared" si="2"/>
        <v>5.67</v>
      </c>
      <c r="H698" s="16">
        <v>1.0</v>
      </c>
      <c r="I698" s="15">
        <f t="shared" si="3"/>
        <v>3.66</v>
      </c>
      <c r="J698" s="15">
        <v>39.97</v>
      </c>
      <c r="K698" s="16">
        <f>IF(COUNTIFS(Release_Calendar!$A$2:$A$755,"US_CPI",Release_Calendar!$B$2:$B$755,$A698)&gt;0,1,0)</f>
        <v>0</v>
      </c>
      <c r="L698" s="16">
        <f>IF(COUNTIFS(Release_Calendar!$A$2:$A$755,"US_NFP",Release_Calendar!$B$2:$B$755,$A698)&gt;0,1,0)</f>
        <v>0</v>
      </c>
      <c r="M698" s="16" t="str">
        <f>IF($A698&lt;Notes!$B$5,"",IF(COUNTIFS(Release_Calendar!$A$2:$A$755,"NZ_CPI",Release_Calendar!$B$2:$B$755,$A698)&gt;0,1,0))</f>
        <v/>
      </c>
      <c r="N698" s="16" t="str">
        <f>IF($A698&lt;Notes!$B$5,"",IF(COUNTIFS(Release_Calendar!$A$2:$A$755,"NZ_GDP",Release_Calendar!$B$2:$B$755,$A698)&gt;0,1,0))</f>
        <v/>
      </c>
      <c r="O698" s="16" t="str">
        <f>IF($A698&lt;Notes!$B$5,"",IF(COUNTIFS(Release_Calendar!$A$2:$A$755,"NZ_LABOUR",Release_Calendar!$B$2:$B$755,$A698)&gt;0,1,0))</f>
        <v/>
      </c>
      <c r="P698" s="16">
        <f t="shared" si="4"/>
        <v>0</v>
      </c>
    </row>
    <row r="699" ht="15.75" customHeight="1">
      <c r="A699" s="14">
        <v>37503.0</v>
      </c>
      <c r="B699" s="15">
        <v>2.02</v>
      </c>
      <c r="C699" s="15"/>
      <c r="D699" s="15">
        <v>5.55</v>
      </c>
      <c r="E699" s="15"/>
      <c r="F699" s="15" t="str">
        <f t="shared" si="1"/>
        <v/>
      </c>
      <c r="G699" s="15">
        <f t="shared" si="2"/>
        <v>5.55</v>
      </c>
      <c r="H699" s="16">
        <v>1.0</v>
      </c>
      <c r="I699" s="15">
        <f t="shared" si="3"/>
        <v>3.53</v>
      </c>
      <c r="J699" s="15">
        <v>37.44</v>
      </c>
      <c r="K699" s="16">
        <f>IF(COUNTIFS(Release_Calendar!$A$2:$A$755,"US_CPI",Release_Calendar!$B$2:$B$755,$A699)&gt;0,1,0)</f>
        <v>0</v>
      </c>
      <c r="L699" s="16">
        <f>IF(COUNTIFS(Release_Calendar!$A$2:$A$755,"US_NFP",Release_Calendar!$B$2:$B$755,$A699)&gt;0,1,0)</f>
        <v>0</v>
      </c>
      <c r="M699" s="16" t="str">
        <f>IF($A699&lt;Notes!$B$5,"",IF(COUNTIFS(Release_Calendar!$A$2:$A$755,"NZ_CPI",Release_Calendar!$B$2:$B$755,$A699)&gt;0,1,0))</f>
        <v/>
      </c>
      <c r="N699" s="16" t="str">
        <f>IF($A699&lt;Notes!$B$5,"",IF(COUNTIFS(Release_Calendar!$A$2:$A$755,"NZ_GDP",Release_Calendar!$B$2:$B$755,$A699)&gt;0,1,0))</f>
        <v/>
      </c>
      <c r="O699" s="16" t="str">
        <f>IF($A699&lt;Notes!$B$5,"",IF(COUNTIFS(Release_Calendar!$A$2:$A$755,"NZ_LABOUR",Release_Calendar!$B$2:$B$755,$A699)&gt;0,1,0))</f>
        <v/>
      </c>
      <c r="P699" s="16">
        <f t="shared" si="4"/>
        <v>0</v>
      </c>
    </row>
    <row r="700" ht="15.75" customHeight="1">
      <c r="A700" s="14">
        <v>37504.0</v>
      </c>
      <c r="B700" s="15">
        <v>1.95</v>
      </c>
      <c r="C700" s="15"/>
      <c r="D700" s="15">
        <v>5.58</v>
      </c>
      <c r="E700" s="15"/>
      <c r="F700" s="15" t="str">
        <f t="shared" si="1"/>
        <v/>
      </c>
      <c r="G700" s="15">
        <f t="shared" si="2"/>
        <v>5.58</v>
      </c>
      <c r="H700" s="16">
        <v>1.0</v>
      </c>
      <c r="I700" s="15">
        <f t="shared" si="3"/>
        <v>3.63</v>
      </c>
      <c r="J700" s="15">
        <v>38.86</v>
      </c>
      <c r="K700" s="16">
        <f>IF(COUNTIFS(Release_Calendar!$A$2:$A$755,"US_CPI",Release_Calendar!$B$2:$B$755,$A700)&gt;0,1,0)</f>
        <v>0</v>
      </c>
      <c r="L700" s="16">
        <f>IF(COUNTIFS(Release_Calendar!$A$2:$A$755,"US_NFP",Release_Calendar!$B$2:$B$755,$A700)&gt;0,1,0)</f>
        <v>0</v>
      </c>
      <c r="M700" s="16" t="str">
        <f>IF($A700&lt;Notes!$B$5,"",IF(COUNTIFS(Release_Calendar!$A$2:$A$755,"NZ_CPI",Release_Calendar!$B$2:$B$755,$A700)&gt;0,1,0))</f>
        <v/>
      </c>
      <c r="N700" s="16" t="str">
        <f>IF($A700&lt;Notes!$B$5,"",IF(COUNTIFS(Release_Calendar!$A$2:$A$755,"NZ_GDP",Release_Calendar!$B$2:$B$755,$A700)&gt;0,1,0))</f>
        <v/>
      </c>
      <c r="O700" s="16" t="str">
        <f>IF($A700&lt;Notes!$B$5,"",IF(COUNTIFS(Release_Calendar!$A$2:$A$755,"NZ_LABOUR",Release_Calendar!$B$2:$B$755,$A700)&gt;0,1,0))</f>
        <v/>
      </c>
      <c r="P700" s="16">
        <f t="shared" si="4"/>
        <v>0</v>
      </c>
    </row>
    <row r="701" ht="15.75" customHeight="1">
      <c r="A701" s="14">
        <v>37505.0</v>
      </c>
      <c r="B701" s="15">
        <v>2.08</v>
      </c>
      <c r="C701" s="15"/>
      <c r="D701" s="15">
        <v>5.53</v>
      </c>
      <c r="E701" s="15"/>
      <c r="F701" s="15" t="str">
        <f t="shared" si="1"/>
        <v/>
      </c>
      <c r="G701" s="15">
        <f t="shared" si="2"/>
        <v>5.53</v>
      </c>
      <c r="H701" s="16">
        <v>1.0</v>
      </c>
      <c r="I701" s="15">
        <f t="shared" si="3"/>
        <v>3.45</v>
      </c>
      <c r="J701" s="15">
        <v>36.33</v>
      </c>
      <c r="K701" s="16">
        <f>IF(COUNTIFS(Release_Calendar!$A$2:$A$755,"US_CPI",Release_Calendar!$B$2:$B$755,$A701)&gt;0,1,0)</f>
        <v>0</v>
      </c>
      <c r="L701" s="16">
        <f>IF(COUNTIFS(Release_Calendar!$A$2:$A$755,"US_NFP",Release_Calendar!$B$2:$B$755,$A701)&gt;0,1,0)</f>
        <v>1</v>
      </c>
      <c r="M701" s="16" t="str">
        <f>IF($A701&lt;Notes!$B$5,"",IF(COUNTIFS(Release_Calendar!$A$2:$A$755,"NZ_CPI",Release_Calendar!$B$2:$B$755,$A701)&gt;0,1,0))</f>
        <v/>
      </c>
      <c r="N701" s="16" t="str">
        <f>IF($A701&lt;Notes!$B$5,"",IF(COUNTIFS(Release_Calendar!$A$2:$A$755,"NZ_GDP",Release_Calendar!$B$2:$B$755,$A701)&gt;0,1,0))</f>
        <v/>
      </c>
      <c r="O701" s="16" t="str">
        <f>IF($A701&lt;Notes!$B$5,"",IF(COUNTIFS(Release_Calendar!$A$2:$A$755,"NZ_LABOUR",Release_Calendar!$B$2:$B$755,$A701)&gt;0,1,0))</f>
        <v/>
      </c>
      <c r="P701" s="16">
        <f t="shared" si="4"/>
        <v>1</v>
      </c>
    </row>
    <row r="702" ht="15.75" customHeight="1">
      <c r="A702" s="14">
        <v>37508.0</v>
      </c>
      <c r="B702" s="15">
        <v>2.13</v>
      </c>
      <c r="C702" s="15"/>
      <c r="D702" s="15">
        <v>5.57</v>
      </c>
      <c r="E702" s="15"/>
      <c r="F702" s="15" t="str">
        <f t="shared" si="1"/>
        <v/>
      </c>
      <c r="G702" s="15">
        <f t="shared" si="2"/>
        <v>5.57</v>
      </c>
      <c r="H702" s="16">
        <v>1.0</v>
      </c>
      <c r="I702" s="15">
        <f t="shared" si="3"/>
        <v>3.44</v>
      </c>
      <c r="J702" s="15">
        <v>36.45</v>
      </c>
      <c r="K702" s="16">
        <f>IF(COUNTIFS(Release_Calendar!$A$2:$A$755,"US_CPI",Release_Calendar!$B$2:$B$755,$A702)&gt;0,1,0)</f>
        <v>0</v>
      </c>
      <c r="L702" s="16">
        <f>IF(COUNTIFS(Release_Calendar!$A$2:$A$755,"US_NFP",Release_Calendar!$B$2:$B$755,$A702)&gt;0,1,0)</f>
        <v>0</v>
      </c>
      <c r="M702" s="16" t="str">
        <f>IF($A702&lt;Notes!$B$5,"",IF(COUNTIFS(Release_Calendar!$A$2:$A$755,"NZ_CPI",Release_Calendar!$B$2:$B$755,$A702)&gt;0,1,0))</f>
        <v/>
      </c>
      <c r="N702" s="16" t="str">
        <f>IF($A702&lt;Notes!$B$5,"",IF(COUNTIFS(Release_Calendar!$A$2:$A$755,"NZ_GDP",Release_Calendar!$B$2:$B$755,$A702)&gt;0,1,0))</f>
        <v/>
      </c>
      <c r="O702" s="16" t="str">
        <f>IF($A702&lt;Notes!$B$5,"",IF(COUNTIFS(Release_Calendar!$A$2:$A$755,"NZ_LABOUR",Release_Calendar!$B$2:$B$755,$A702)&gt;0,1,0))</f>
        <v/>
      </c>
      <c r="P702" s="16">
        <f t="shared" si="4"/>
        <v>0</v>
      </c>
    </row>
    <row r="703" ht="15.75" customHeight="1">
      <c r="A703" s="14">
        <v>37509.0</v>
      </c>
      <c r="B703" s="15">
        <v>2.12</v>
      </c>
      <c r="C703" s="15"/>
      <c r="D703" s="15">
        <v>5.61</v>
      </c>
      <c r="E703" s="15"/>
      <c r="F703" s="15" t="str">
        <f t="shared" si="1"/>
        <v/>
      </c>
      <c r="G703" s="15">
        <f t="shared" si="2"/>
        <v>5.61</v>
      </c>
      <c r="H703" s="16">
        <v>1.0</v>
      </c>
      <c r="I703" s="15">
        <f t="shared" si="3"/>
        <v>3.49</v>
      </c>
      <c r="J703" s="15">
        <v>35.08</v>
      </c>
      <c r="K703" s="16">
        <f>IF(COUNTIFS(Release_Calendar!$A$2:$A$755,"US_CPI",Release_Calendar!$B$2:$B$755,$A703)&gt;0,1,0)</f>
        <v>0</v>
      </c>
      <c r="L703" s="16">
        <f>IF(COUNTIFS(Release_Calendar!$A$2:$A$755,"US_NFP",Release_Calendar!$B$2:$B$755,$A703)&gt;0,1,0)</f>
        <v>0</v>
      </c>
      <c r="M703" s="16" t="str">
        <f>IF($A703&lt;Notes!$B$5,"",IF(COUNTIFS(Release_Calendar!$A$2:$A$755,"NZ_CPI",Release_Calendar!$B$2:$B$755,$A703)&gt;0,1,0))</f>
        <v/>
      </c>
      <c r="N703" s="16" t="str">
        <f>IF($A703&lt;Notes!$B$5,"",IF(COUNTIFS(Release_Calendar!$A$2:$A$755,"NZ_GDP",Release_Calendar!$B$2:$B$755,$A703)&gt;0,1,0))</f>
        <v/>
      </c>
      <c r="O703" s="16" t="str">
        <f>IF($A703&lt;Notes!$B$5,"",IF(COUNTIFS(Release_Calendar!$A$2:$A$755,"NZ_LABOUR",Release_Calendar!$B$2:$B$755,$A703)&gt;0,1,0))</f>
        <v/>
      </c>
      <c r="P703" s="16">
        <f t="shared" si="4"/>
        <v>0</v>
      </c>
    </row>
    <row r="704" ht="15.75" customHeight="1">
      <c r="A704" s="14">
        <v>37510.0</v>
      </c>
      <c r="B704" s="15">
        <v>2.18</v>
      </c>
      <c r="C704" s="15"/>
      <c r="D704" s="15">
        <v>5.62</v>
      </c>
      <c r="E704" s="15"/>
      <c r="F704" s="15" t="str">
        <f t="shared" si="1"/>
        <v/>
      </c>
      <c r="G704" s="15">
        <f t="shared" si="2"/>
        <v>5.62</v>
      </c>
      <c r="H704" s="16">
        <v>1.0</v>
      </c>
      <c r="I704" s="15">
        <f t="shared" si="3"/>
        <v>3.44</v>
      </c>
      <c r="J704" s="15">
        <v>34.81</v>
      </c>
      <c r="K704" s="16">
        <f>IF(COUNTIFS(Release_Calendar!$A$2:$A$755,"US_CPI",Release_Calendar!$B$2:$B$755,$A704)&gt;0,1,0)</f>
        <v>0</v>
      </c>
      <c r="L704" s="16">
        <f>IF(COUNTIFS(Release_Calendar!$A$2:$A$755,"US_NFP",Release_Calendar!$B$2:$B$755,$A704)&gt;0,1,0)</f>
        <v>0</v>
      </c>
      <c r="M704" s="16" t="str">
        <f>IF($A704&lt;Notes!$B$5,"",IF(COUNTIFS(Release_Calendar!$A$2:$A$755,"NZ_CPI",Release_Calendar!$B$2:$B$755,$A704)&gt;0,1,0))</f>
        <v/>
      </c>
      <c r="N704" s="16" t="str">
        <f>IF($A704&lt;Notes!$B$5,"",IF(COUNTIFS(Release_Calendar!$A$2:$A$755,"NZ_GDP",Release_Calendar!$B$2:$B$755,$A704)&gt;0,1,0))</f>
        <v/>
      </c>
      <c r="O704" s="16" t="str">
        <f>IF($A704&lt;Notes!$B$5,"",IF(COUNTIFS(Release_Calendar!$A$2:$A$755,"NZ_LABOUR",Release_Calendar!$B$2:$B$755,$A704)&gt;0,1,0))</f>
        <v/>
      </c>
      <c r="P704" s="16">
        <f t="shared" si="4"/>
        <v>0</v>
      </c>
    </row>
    <row r="705" ht="15.75" customHeight="1">
      <c r="A705" s="14">
        <v>37511.0</v>
      </c>
      <c r="B705" s="15">
        <v>2.12</v>
      </c>
      <c r="C705" s="15"/>
      <c r="D705" s="15">
        <v>5.66</v>
      </c>
      <c r="E705" s="15"/>
      <c r="F705" s="15" t="str">
        <f t="shared" si="1"/>
        <v/>
      </c>
      <c r="G705" s="15">
        <f t="shared" si="2"/>
        <v>5.66</v>
      </c>
      <c r="H705" s="16">
        <v>1.0</v>
      </c>
      <c r="I705" s="15">
        <f t="shared" si="3"/>
        <v>3.54</v>
      </c>
      <c r="J705" s="15">
        <v>37.5</v>
      </c>
      <c r="K705" s="16">
        <f>IF(COUNTIFS(Release_Calendar!$A$2:$A$755,"US_CPI",Release_Calendar!$B$2:$B$755,$A705)&gt;0,1,0)</f>
        <v>0</v>
      </c>
      <c r="L705" s="16">
        <f>IF(COUNTIFS(Release_Calendar!$A$2:$A$755,"US_NFP",Release_Calendar!$B$2:$B$755,$A705)&gt;0,1,0)</f>
        <v>0</v>
      </c>
      <c r="M705" s="16" t="str">
        <f>IF($A705&lt;Notes!$B$5,"",IF(COUNTIFS(Release_Calendar!$A$2:$A$755,"NZ_CPI",Release_Calendar!$B$2:$B$755,$A705)&gt;0,1,0))</f>
        <v/>
      </c>
      <c r="N705" s="16" t="str">
        <f>IF($A705&lt;Notes!$B$5,"",IF(COUNTIFS(Release_Calendar!$A$2:$A$755,"NZ_GDP",Release_Calendar!$B$2:$B$755,$A705)&gt;0,1,0))</f>
        <v/>
      </c>
      <c r="O705" s="16" t="str">
        <f>IF($A705&lt;Notes!$B$5,"",IF(COUNTIFS(Release_Calendar!$A$2:$A$755,"NZ_LABOUR",Release_Calendar!$B$2:$B$755,$A705)&gt;0,1,0))</f>
        <v/>
      </c>
      <c r="P705" s="16">
        <f t="shared" si="4"/>
        <v>0</v>
      </c>
    </row>
    <row r="706" ht="15.75" customHeight="1">
      <c r="A706" s="14">
        <v>37512.0</v>
      </c>
      <c r="B706" s="15">
        <v>2.07</v>
      </c>
      <c r="C706" s="15"/>
      <c r="D706" s="15">
        <v>5.62</v>
      </c>
      <c r="E706" s="15"/>
      <c r="F706" s="15" t="str">
        <f t="shared" si="1"/>
        <v/>
      </c>
      <c r="G706" s="15">
        <f t="shared" si="2"/>
        <v>5.62</v>
      </c>
      <c r="H706" s="16">
        <v>1.0</v>
      </c>
      <c r="I706" s="15">
        <f t="shared" si="3"/>
        <v>3.55</v>
      </c>
      <c r="J706" s="15">
        <v>35.82</v>
      </c>
      <c r="K706" s="16">
        <f>IF(COUNTIFS(Release_Calendar!$A$2:$A$755,"US_CPI",Release_Calendar!$B$2:$B$755,$A706)&gt;0,1,0)</f>
        <v>0</v>
      </c>
      <c r="L706" s="16">
        <f>IF(COUNTIFS(Release_Calendar!$A$2:$A$755,"US_NFP",Release_Calendar!$B$2:$B$755,$A706)&gt;0,1,0)</f>
        <v>0</v>
      </c>
      <c r="M706" s="16" t="str">
        <f>IF($A706&lt;Notes!$B$5,"",IF(COUNTIFS(Release_Calendar!$A$2:$A$755,"NZ_CPI",Release_Calendar!$B$2:$B$755,$A706)&gt;0,1,0))</f>
        <v/>
      </c>
      <c r="N706" s="16" t="str">
        <f>IF($A706&lt;Notes!$B$5,"",IF(COUNTIFS(Release_Calendar!$A$2:$A$755,"NZ_GDP",Release_Calendar!$B$2:$B$755,$A706)&gt;0,1,0))</f>
        <v/>
      </c>
      <c r="O706" s="16" t="str">
        <f>IF($A706&lt;Notes!$B$5,"",IF(COUNTIFS(Release_Calendar!$A$2:$A$755,"NZ_LABOUR",Release_Calendar!$B$2:$B$755,$A706)&gt;0,1,0))</f>
        <v/>
      </c>
      <c r="P706" s="16">
        <f t="shared" si="4"/>
        <v>0</v>
      </c>
    </row>
    <row r="707" ht="15.75" customHeight="1">
      <c r="A707" s="14">
        <v>37515.0</v>
      </c>
      <c r="B707" s="15">
        <v>2.07</v>
      </c>
      <c r="C707" s="15"/>
      <c r="D707" s="15">
        <v>5.62</v>
      </c>
      <c r="E707" s="15"/>
      <c r="F707" s="15" t="str">
        <f t="shared" si="1"/>
        <v/>
      </c>
      <c r="G707" s="15">
        <f t="shared" si="2"/>
        <v>5.62</v>
      </c>
      <c r="H707" s="16">
        <v>1.0</v>
      </c>
      <c r="I707" s="15">
        <f t="shared" si="3"/>
        <v>3.55</v>
      </c>
      <c r="J707" s="15">
        <v>36.74</v>
      </c>
      <c r="K707" s="16">
        <f>IF(COUNTIFS(Release_Calendar!$A$2:$A$755,"US_CPI",Release_Calendar!$B$2:$B$755,$A707)&gt;0,1,0)</f>
        <v>0</v>
      </c>
      <c r="L707" s="16">
        <f>IF(COUNTIFS(Release_Calendar!$A$2:$A$755,"US_NFP",Release_Calendar!$B$2:$B$755,$A707)&gt;0,1,0)</f>
        <v>0</v>
      </c>
      <c r="M707" s="16" t="str">
        <f>IF($A707&lt;Notes!$B$5,"",IF(COUNTIFS(Release_Calendar!$A$2:$A$755,"NZ_CPI",Release_Calendar!$B$2:$B$755,$A707)&gt;0,1,0))</f>
        <v/>
      </c>
      <c r="N707" s="16" t="str">
        <f>IF($A707&lt;Notes!$B$5,"",IF(COUNTIFS(Release_Calendar!$A$2:$A$755,"NZ_GDP",Release_Calendar!$B$2:$B$755,$A707)&gt;0,1,0))</f>
        <v/>
      </c>
      <c r="O707" s="16" t="str">
        <f>IF($A707&lt;Notes!$B$5,"",IF(COUNTIFS(Release_Calendar!$A$2:$A$755,"NZ_LABOUR",Release_Calendar!$B$2:$B$755,$A707)&gt;0,1,0))</f>
        <v/>
      </c>
      <c r="P707" s="16">
        <f t="shared" si="4"/>
        <v>0</v>
      </c>
    </row>
    <row r="708" ht="15.75" customHeight="1">
      <c r="A708" s="14">
        <v>37516.0</v>
      </c>
      <c r="B708" s="15">
        <v>2.06</v>
      </c>
      <c r="C708" s="15"/>
      <c r="D708" s="15">
        <v>5.7</v>
      </c>
      <c r="E708" s="15"/>
      <c r="F708" s="15" t="str">
        <f t="shared" si="1"/>
        <v/>
      </c>
      <c r="G708" s="15">
        <f t="shared" si="2"/>
        <v>5.7</v>
      </c>
      <c r="H708" s="16">
        <v>1.0</v>
      </c>
      <c r="I708" s="15">
        <f t="shared" si="3"/>
        <v>3.64</v>
      </c>
      <c r="J708" s="15">
        <v>38.01</v>
      </c>
      <c r="K708" s="16">
        <f>IF(COUNTIFS(Release_Calendar!$A$2:$A$755,"US_CPI",Release_Calendar!$B$2:$B$755,$A708)&gt;0,1,0)</f>
        <v>0</v>
      </c>
      <c r="L708" s="16">
        <f>IF(COUNTIFS(Release_Calendar!$A$2:$A$755,"US_NFP",Release_Calendar!$B$2:$B$755,$A708)&gt;0,1,0)</f>
        <v>0</v>
      </c>
      <c r="M708" s="16" t="str">
        <f>IF($A708&lt;Notes!$B$5,"",IF(COUNTIFS(Release_Calendar!$A$2:$A$755,"NZ_CPI",Release_Calendar!$B$2:$B$755,$A708)&gt;0,1,0))</f>
        <v/>
      </c>
      <c r="N708" s="16" t="str">
        <f>IF($A708&lt;Notes!$B$5,"",IF(COUNTIFS(Release_Calendar!$A$2:$A$755,"NZ_GDP",Release_Calendar!$B$2:$B$755,$A708)&gt;0,1,0))</f>
        <v/>
      </c>
      <c r="O708" s="16" t="str">
        <f>IF($A708&lt;Notes!$B$5,"",IF(COUNTIFS(Release_Calendar!$A$2:$A$755,"NZ_LABOUR",Release_Calendar!$B$2:$B$755,$A708)&gt;0,1,0))</f>
        <v/>
      </c>
      <c r="P708" s="16">
        <f t="shared" si="4"/>
        <v>0</v>
      </c>
    </row>
    <row r="709" ht="15.75" customHeight="1">
      <c r="A709" s="14">
        <v>37517.0</v>
      </c>
      <c r="B709" s="15">
        <v>2.04</v>
      </c>
      <c r="C709" s="15"/>
      <c r="D709" s="15">
        <v>5.62</v>
      </c>
      <c r="E709" s="15"/>
      <c r="F709" s="15" t="str">
        <f t="shared" si="1"/>
        <v/>
      </c>
      <c r="G709" s="15">
        <f t="shared" si="2"/>
        <v>5.62</v>
      </c>
      <c r="H709" s="16">
        <v>1.0</v>
      </c>
      <c r="I709" s="15">
        <f t="shared" si="3"/>
        <v>3.58</v>
      </c>
      <c r="J709" s="15">
        <v>37.52</v>
      </c>
      <c r="K709" s="16">
        <f>IF(COUNTIFS(Release_Calendar!$A$2:$A$755,"US_CPI",Release_Calendar!$B$2:$B$755,$A709)&gt;0,1,0)</f>
        <v>1</v>
      </c>
      <c r="L709" s="16">
        <f>IF(COUNTIFS(Release_Calendar!$A$2:$A$755,"US_NFP",Release_Calendar!$B$2:$B$755,$A709)&gt;0,1,0)</f>
        <v>0</v>
      </c>
      <c r="M709" s="16" t="str">
        <f>IF($A709&lt;Notes!$B$5,"",IF(COUNTIFS(Release_Calendar!$A$2:$A$755,"NZ_CPI",Release_Calendar!$B$2:$B$755,$A709)&gt;0,1,0))</f>
        <v/>
      </c>
      <c r="N709" s="16" t="str">
        <f>IF($A709&lt;Notes!$B$5,"",IF(COUNTIFS(Release_Calendar!$A$2:$A$755,"NZ_GDP",Release_Calendar!$B$2:$B$755,$A709)&gt;0,1,0))</f>
        <v/>
      </c>
      <c r="O709" s="16" t="str">
        <f>IF($A709&lt;Notes!$B$5,"",IF(COUNTIFS(Release_Calendar!$A$2:$A$755,"NZ_LABOUR",Release_Calendar!$B$2:$B$755,$A709)&gt;0,1,0))</f>
        <v/>
      </c>
      <c r="P709" s="16">
        <f t="shared" si="4"/>
        <v>1</v>
      </c>
    </row>
    <row r="710" ht="15.75" customHeight="1">
      <c r="A710" s="14">
        <v>37518.0</v>
      </c>
      <c r="B710" s="15">
        <v>1.93</v>
      </c>
      <c r="C710" s="15"/>
      <c r="D710" s="15">
        <v>5.64</v>
      </c>
      <c r="E710" s="15"/>
      <c r="F710" s="15" t="str">
        <f t="shared" si="1"/>
        <v/>
      </c>
      <c r="G710" s="15">
        <f t="shared" si="2"/>
        <v>5.64</v>
      </c>
      <c r="H710" s="16">
        <v>1.0</v>
      </c>
      <c r="I710" s="15">
        <f t="shared" si="3"/>
        <v>3.71</v>
      </c>
      <c r="J710" s="15">
        <v>40.65</v>
      </c>
      <c r="K710" s="16">
        <f>IF(COUNTIFS(Release_Calendar!$A$2:$A$755,"US_CPI",Release_Calendar!$B$2:$B$755,$A710)&gt;0,1,0)</f>
        <v>0</v>
      </c>
      <c r="L710" s="16">
        <f>IF(COUNTIFS(Release_Calendar!$A$2:$A$755,"US_NFP",Release_Calendar!$B$2:$B$755,$A710)&gt;0,1,0)</f>
        <v>0</v>
      </c>
      <c r="M710" s="16" t="str">
        <f>IF($A710&lt;Notes!$B$5,"",IF(COUNTIFS(Release_Calendar!$A$2:$A$755,"NZ_CPI",Release_Calendar!$B$2:$B$755,$A710)&gt;0,1,0))</f>
        <v/>
      </c>
      <c r="N710" s="16" t="str">
        <f>IF($A710&lt;Notes!$B$5,"",IF(COUNTIFS(Release_Calendar!$A$2:$A$755,"NZ_GDP",Release_Calendar!$B$2:$B$755,$A710)&gt;0,1,0))</f>
        <v/>
      </c>
      <c r="O710" s="16" t="str">
        <f>IF($A710&lt;Notes!$B$5,"",IF(COUNTIFS(Release_Calendar!$A$2:$A$755,"NZ_LABOUR",Release_Calendar!$B$2:$B$755,$A710)&gt;0,1,0))</f>
        <v/>
      </c>
      <c r="P710" s="16">
        <f t="shared" si="4"/>
        <v>0</v>
      </c>
    </row>
    <row r="711" ht="15.75" customHeight="1">
      <c r="A711" s="14">
        <v>37519.0</v>
      </c>
      <c r="B711" s="15">
        <v>1.94</v>
      </c>
      <c r="C711" s="15"/>
      <c r="D711" s="15">
        <v>5.57</v>
      </c>
      <c r="E711" s="15"/>
      <c r="F711" s="15" t="str">
        <f t="shared" si="1"/>
        <v/>
      </c>
      <c r="G711" s="15">
        <f t="shared" si="2"/>
        <v>5.57</v>
      </c>
      <c r="H711" s="16">
        <v>1.0</v>
      </c>
      <c r="I711" s="15">
        <f t="shared" si="3"/>
        <v>3.63</v>
      </c>
      <c r="J711" s="15">
        <v>38.98</v>
      </c>
      <c r="K711" s="16">
        <f>IF(COUNTIFS(Release_Calendar!$A$2:$A$755,"US_CPI",Release_Calendar!$B$2:$B$755,$A711)&gt;0,1,0)</f>
        <v>0</v>
      </c>
      <c r="L711" s="16">
        <f>IF(COUNTIFS(Release_Calendar!$A$2:$A$755,"US_NFP",Release_Calendar!$B$2:$B$755,$A711)&gt;0,1,0)</f>
        <v>0</v>
      </c>
      <c r="M711" s="16" t="str">
        <f>IF($A711&lt;Notes!$B$5,"",IF(COUNTIFS(Release_Calendar!$A$2:$A$755,"NZ_CPI",Release_Calendar!$B$2:$B$755,$A711)&gt;0,1,0))</f>
        <v/>
      </c>
      <c r="N711" s="16" t="str">
        <f>IF($A711&lt;Notes!$B$5,"",IF(COUNTIFS(Release_Calendar!$A$2:$A$755,"NZ_GDP",Release_Calendar!$B$2:$B$755,$A711)&gt;0,1,0))</f>
        <v/>
      </c>
      <c r="O711" s="16" t="str">
        <f>IF($A711&lt;Notes!$B$5,"",IF(COUNTIFS(Release_Calendar!$A$2:$A$755,"NZ_LABOUR",Release_Calendar!$B$2:$B$755,$A711)&gt;0,1,0))</f>
        <v/>
      </c>
      <c r="P711" s="16">
        <f t="shared" si="4"/>
        <v>0</v>
      </c>
    </row>
    <row r="712" ht="15.75" customHeight="1">
      <c r="A712" s="14">
        <v>37522.0</v>
      </c>
      <c r="B712" s="15">
        <v>1.93</v>
      </c>
      <c r="C712" s="15"/>
      <c r="D712" s="15">
        <v>5.56</v>
      </c>
      <c r="E712" s="15"/>
      <c r="F712" s="15" t="str">
        <f t="shared" si="1"/>
        <v/>
      </c>
      <c r="G712" s="15">
        <f t="shared" si="2"/>
        <v>5.56</v>
      </c>
      <c r="H712" s="16">
        <v>1.0</v>
      </c>
      <c r="I712" s="15">
        <f t="shared" si="3"/>
        <v>3.63</v>
      </c>
      <c r="J712" s="15">
        <v>39.68</v>
      </c>
      <c r="K712" s="16">
        <f>IF(COUNTIFS(Release_Calendar!$A$2:$A$755,"US_CPI",Release_Calendar!$B$2:$B$755,$A712)&gt;0,1,0)</f>
        <v>0</v>
      </c>
      <c r="L712" s="16">
        <f>IF(COUNTIFS(Release_Calendar!$A$2:$A$755,"US_NFP",Release_Calendar!$B$2:$B$755,$A712)&gt;0,1,0)</f>
        <v>0</v>
      </c>
      <c r="M712" s="16" t="str">
        <f>IF($A712&lt;Notes!$B$5,"",IF(COUNTIFS(Release_Calendar!$A$2:$A$755,"NZ_CPI",Release_Calendar!$B$2:$B$755,$A712)&gt;0,1,0))</f>
        <v/>
      </c>
      <c r="N712" s="16" t="str">
        <f>IF($A712&lt;Notes!$B$5,"",IF(COUNTIFS(Release_Calendar!$A$2:$A$755,"NZ_GDP",Release_Calendar!$B$2:$B$755,$A712)&gt;0,1,0))</f>
        <v/>
      </c>
      <c r="O712" s="16" t="str">
        <f>IF($A712&lt;Notes!$B$5,"",IF(COUNTIFS(Release_Calendar!$A$2:$A$755,"NZ_LABOUR",Release_Calendar!$B$2:$B$755,$A712)&gt;0,1,0))</f>
        <v/>
      </c>
      <c r="P712" s="16">
        <f t="shared" si="4"/>
        <v>0</v>
      </c>
    </row>
    <row r="713" ht="15.75" customHeight="1">
      <c r="A713" s="14">
        <v>37523.0</v>
      </c>
      <c r="B713" s="15">
        <v>1.93</v>
      </c>
      <c r="C713" s="15"/>
      <c r="D713" s="15">
        <v>5.53</v>
      </c>
      <c r="E713" s="15"/>
      <c r="F713" s="15" t="str">
        <f t="shared" si="1"/>
        <v/>
      </c>
      <c r="G713" s="15">
        <f t="shared" si="2"/>
        <v>5.53</v>
      </c>
      <c r="H713" s="16">
        <v>1.0</v>
      </c>
      <c r="I713" s="15">
        <f t="shared" si="3"/>
        <v>3.6</v>
      </c>
      <c r="J713" s="15">
        <v>40.52</v>
      </c>
      <c r="K713" s="16">
        <f>IF(COUNTIFS(Release_Calendar!$A$2:$A$755,"US_CPI",Release_Calendar!$B$2:$B$755,$A713)&gt;0,1,0)</f>
        <v>0</v>
      </c>
      <c r="L713" s="16">
        <f>IF(COUNTIFS(Release_Calendar!$A$2:$A$755,"US_NFP",Release_Calendar!$B$2:$B$755,$A713)&gt;0,1,0)</f>
        <v>0</v>
      </c>
      <c r="M713" s="16" t="str">
        <f>IF($A713&lt;Notes!$B$5,"",IF(COUNTIFS(Release_Calendar!$A$2:$A$755,"NZ_CPI",Release_Calendar!$B$2:$B$755,$A713)&gt;0,1,0))</f>
        <v/>
      </c>
      <c r="N713" s="16" t="str">
        <f>IF($A713&lt;Notes!$B$5,"",IF(COUNTIFS(Release_Calendar!$A$2:$A$755,"NZ_GDP",Release_Calendar!$B$2:$B$755,$A713)&gt;0,1,0))</f>
        <v/>
      </c>
      <c r="O713" s="16" t="str">
        <f>IF($A713&lt;Notes!$B$5,"",IF(COUNTIFS(Release_Calendar!$A$2:$A$755,"NZ_LABOUR",Release_Calendar!$B$2:$B$755,$A713)&gt;0,1,0))</f>
        <v/>
      </c>
      <c r="P713" s="16">
        <f t="shared" si="4"/>
        <v>0</v>
      </c>
    </row>
    <row r="714" ht="15.75" customHeight="1">
      <c r="A714" s="14">
        <v>37524.0</v>
      </c>
      <c r="B714" s="15">
        <v>2.0</v>
      </c>
      <c r="C714" s="15"/>
      <c r="D714" s="15">
        <v>5.53</v>
      </c>
      <c r="E714" s="15"/>
      <c r="F714" s="15" t="str">
        <f t="shared" si="1"/>
        <v/>
      </c>
      <c r="G714" s="15">
        <f t="shared" si="2"/>
        <v>5.53</v>
      </c>
      <c r="H714" s="16">
        <v>1.0</v>
      </c>
      <c r="I714" s="15">
        <f t="shared" si="3"/>
        <v>3.53</v>
      </c>
      <c r="J714" s="15">
        <v>37.33</v>
      </c>
      <c r="K714" s="16">
        <f>IF(COUNTIFS(Release_Calendar!$A$2:$A$755,"US_CPI",Release_Calendar!$B$2:$B$755,$A714)&gt;0,1,0)</f>
        <v>0</v>
      </c>
      <c r="L714" s="16">
        <f>IF(COUNTIFS(Release_Calendar!$A$2:$A$755,"US_NFP",Release_Calendar!$B$2:$B$755,$A714)&gt;0,1,0)</f>
        <v>0</v>
      </c>
      <c r="M714" s="16" t="str">
        <f>IF($A714&lt;Notes!$B$5,"",IF(COUNTIFS(Release_Calendar!$A$2:$A$755,"NZ_CPI",Release_Calendar!$B$2:$B$755,$A714)&gt;0,1,0))</f>
        <v/>
      </c>
      <c r="N714" s="16" t="str">
        <f>IF($A714&lt;Notes!$B$5,"",IF(COUNTIFS(Release_Calendar!$A$2:$A$755,"NZ_GDP",Release_Calendar!$B$2:$B$755,$A714)&gt;0,1,0))</f>
        <v/>
      </c>
      <c r="O714" s="16" t="str">
        <f>IF($A714&lt;Notes!$B$5,"",IF(COUNTIFS(Release_Calendar!$A$2:$A$755,"NZ_LABOUR",Release_Calendar!$B$2:$B$755,$A714)&gt;0,1,0))</f>
        <v/>
      </c>
      <c r="P714" s="16">
        <f t="shared" si="4"/>
        <v>0</v>
      </c>
    </row>
    <row r="715" ht="15.75" customHeight="1">
      <c r="A715" s="14">
        <v>37525.0</v>
      </c>
      <c r="B715" s="15">
        <v>1.97</v>
      </c>
      <c r="C715" s="15"/>
      <c r="D715" s="15">
        <v>5.67</v>
      </c>
      <c r="E715" s="15"/>
      <c r="F715" s="15" t="str">
        <f t="shared" si="1"/>
        <v/>
      </c>
      <c r="G715" s="15">
        <f t="shared" si="2"/>
        <v>5.67</v>
      </c>
      <c r="H715" s="16">
        <v>1.0</v>
      </c>
      <c r="I715" s="15">
        <f t="shared" si="3"/>
        <v>3.7</v>
      </c>
      <c r="J715" s="15">
        <v>34.6</v>
      </c>
      <c r="K715" s="16">
        <f>IF(COUNTIFS(Release_Calendar!$A$2:$A$755,"US_CPI",Release_Calendar!$B$2:$B$755,$A715)&gt;0,1,0)</f>
        <v>0</v>
      </c>
      <c r="L715" s="16">
        <f>IF(COUNTIFS(Release_Calendar!$A$2:$A$755,"US_NFP",Release_Calendar!$B$2:$B$755,$A715)&gt;0,1,0)</f>
        <v>0</v>
      </c>
      <c r="M715" s="16" t="str">
        <f>IF($A715&lt;Notes!$B$5,"",IF(COUNTIFS(Release_Calendar!$A$2:$A$755,"NZ_CPI",Release_Calendar!$B$2:$B$755,$A715)&gt;0,1,0))</f>
        <v/>
      </c>
      <c r="N715" s="16" t="str">
        <f>IF($A715&lt;Notes!$B$5,"",IF(COUNTIFS(Release_Calendar!$A$2:$A$755,"NZ_GDP",Release_Calendar!$B$2:$B$755,$A715)&gt;0,1,0))</f>
        <v/>
      </c>
      <c r="O715" s="16" t="str">
        <f>IF($A715&lt;Notes!$B$5,"",IF(COUNTIFS(Release_Calendar!$A$2:$A$755,"NZ_LABOUR",Release_Calendar!$B$2:$B$755,$A715)&gt;0,1,0))</f>
        <v/>
      </c>
      <c r="P715" s="16">
        <f t="shared" si="4"/>
        <v>0</v>
      </c>
    </row>
    <row r="716" ht="15.75" customHeight="1">
      <c r="A716" s="14">
        <v>37526.0</v>
      </c>
      <c r="B716" s="15">
        <v>1.82</v>
      </c>
      <c r="C716" s="15"/>
      <c r="D716" s="15">
        <v>5.69</v>
      </c>
      <c r="E716" s="15"/>
      <c r="F716" s="15" t="str">
        <f t="shared" si="1"/>
        <v/>
      </c>
      <c r="G716" s="15">
        <f t="shared" si="2"/>
        <v>5.69</v>
      </c>
      <c r="H716" s="16">
        <v>1.0</v>
      </c>
      <c r="I716" s="15">
        <f t="shared" si="3"/>
        <v>3.87</v>
      </c>
      <c r="J716" s="15">
        <v>36.97</v>
      </c>
      <c r="K716" s="16">
        <f>IF(COUNTIFS(Release_Calendar!$A$2:$A$755,"US_CPI",Release_Calendar!$B$2:$B$755,$A716)&gt;0,1,0)</f>
        <v>0</v>
      </c>
      <c r="L716" s="16">
        <f>IF(COUNTIFS(Release_Calendar!$A$2:$A$755,"US_NFP",Release_Calendar!$B$2:$B$755,$A716)&gt;0,1,0)</f>
        <v>0</v>
      </c>
      <c r="M716" s="16" t="str">
        <f>IF($A716&lt;Notes!$B$5,"",IF(COUNTIFS(Release_Calendar!$A$2:$A$755,"NZ_CPI",Release_Calendar!$B$2:$B$755,$A716)&gt;0,1,0))</f>
        <v/>
      </c>
      <c r="N716" s="16" t="str">
        <f>IF($A716&lt;Notes!$B$5,"",IF(COUNTIFS(Release_Calendar!$A$2:$A$755,"NZ_GDP",Release_Calendar!$B$2:$B$755,$A716)&gt;0,1,0))</f>
        <v/>
      </c>
      <c r="O716" s="16" t="str">
        <f>IF($A716&lt;Notes!$B$5,"",IF(COUNTIFS(Release_Calendar!$A$2:$A$755,"NZ_LABOUR",Release_Calendar!$B$2:$B$755,$A716)&gt;0,1,0))</f>
        <v/>
      </c>
      <c r="P716" s="16">
        <f t="shared" si="4"/>
        <v>0</v>
      </c>
    </row>
    <row r="717" ht="15.75" customHeight="1">
      <c r="A717" s="14">
        <v>37529.0</v>
      </c>
      <c r="B717" s="15">
        <v>1.72</v>
      </c>
      <c r="C717" s="15"/>
      <c r="D717" s="15">
        <v>5.58</v>
      </c>
      <c r="E717" s="15"/>
      <c r="F717" s="15" t="str">
        <f t="shared" si="1"/>
        <v/>
      </c>
      <c r="G717" s="15">
        <f t="shared" si="2"/>
        <v>5.58</v>
      </c>
      <c r="H717" s="16">
        <v>1.0</v>
      </c>
      <c r="I717" s="15">
        <f t="shared" si="3"/>
        <v>3.86</v>
      </c>
      <c r="J717" s="15">
        <v>39.69</v>
      </c>
      <c r="K717" s="16">
        <f>IF(COUNTIFS(Release_Calendar!$A$2:$A$755,"US_CPI",Release_Calendar!$B$2:$B$755,$A717)&gt;0,1,0)</f>
        <v>0</v>
      </c>
      <c r="L717" s="16">
        <f>IF(COUNTIFS(Release_Calendar!$A$2:$A$755,"US_NFP",Release_Calendar!$B$2:$B$755,$A717)&gt;0,1,0)</f>
        <v>0</v>
      </c>
      <c r="M717" s="16" t="str">
        <f>IF($A717&lt;Notes!$B$5,"",IF(COUNTIFS(Release_Calendar!$A$2:$A$755,"NZ_CPI",Release_Calendar!$B$2:$B$755,$A717)&gt;0,1,0))</f>
        <v/>
      </c>
      <c r="N717" s="16" t="str">
        <f>IF($A717&lt;Notes!$B$5,"",IF(COUNTIFS(Release_Calendar!$A$2:$A$755,"NZ_GDP",Release_Calendar!$B$2:$B$755,$A717)&gt;0,1,0))</f>
        <v/>
      </c>
      <c r="O717" s="16" t="str">
        <f>IF($A717&lt;Notes!$B$5,"",IF(COUNTIFS(Release_Calendar!$A$2:$A$755,"NZ_LABOUR",Release_Calendar!$B$2:$B$755,$A717)&gt;0,1,0))</f>
        <v/>
      </c>
      <c r="P717" s="16">
        <f t="shared" si="4"/>
        <v>0</v>
      </c>
    </row>
    <row r="718" ht="15.75" customHeight="1">
      <c r="A718" s="14">
        <v>37530.0</v>
      </c>
      <c r="B718" s="15">
        <v>1.8</v>
      </c>
      <c r="C718" s="15"/>
      <c r="D718" s="15">
        <v>5.57</v>
      </c>
      <c r="E718" s="15"/>
      <c r="F718" s="15" t="str">
        <f t="shared" si="1"/>
        <v/>
      </c>
      <c r="G718" s="15">
        <f t="shared" si="2"/>
        <v>5.57</v>
      </c>
      <c r="H718" s="16">
        <v>1.0</v>
      </c>
      <c r="I718" s="15">
        <f t="shared" si="3"/>
        <v>3.77</v>
      </c>
      <c r="J718" s="15">
        <v>34.12</v>
      </c>
      <c r="K718" s="16">
        <f>IF(COUNTIFS(Release_Calendar!$A$2:$A$755,"US_CPI",Release_Calendar!$B$2:$B$755,$A718)&gt;0,1,0)</f>
        <v>0</v>
      </c>
      <c r="L718" s="16">
        <f>IF(COUNTIFS(Release_Calendar!$A$2:$A$755,"US_NFP",Release_Calendar!$B$2:$B$755,$A718)&gt;0,1,0)</f>
        <v>0</v>
      </c>
      <c r="M718" s="16" t="str">
        <f>IF($A718&lt;Notes!$B$5,"",IF(COUNTIFS(Release_Calendar!$A$2:$A$755,"NZ_CPI",Release_Calendar!$B$2:$B$755,$A718)&gt;0,1,0))</f>
        <v/>
      </c>
      <c r="N718" s="16" t="str">
        <f>IF($A718&lt;Notes!$B$5,"",IF(COUNTIFS(Release_Calendar!$A$2:$A$755,"NZ_GDP",Release_Calendar!$B$2:$B$755,$A718)&gt;0,1,0))</f>
        <v/>
      </c>
      <c r="O718" s="16" t="str">
        <f>IF($A718&lt;Notes!$B$5,"",IF(COUNTIFS(Release_Calendar!$A$2:$A$755,"NZ_LABOUR",Release_Calendar!$B$2:$B$755,$A718)&gt;0,1,0))</f>
        <v/>
      </c>
      <c r="P718" s="16">
        <f t="shared" si="4"/>
        <v>0</v>
      </c>
    </row>
    <row r="719" ht="15.75" customHeight="1">
      <c r="A719" s="14">
        <v>37531.0</v>
      </c>
      <c r="B719" s="15">
        <v>1.75</v>
      </c>
      <c r="C719" s="15"/>
      <c r="D719" s="15">
        <v>5.67</v>
      </c>
      <c r="E719" s="15"/>
      <c r="F719" s="15" t="str">
        <f t="shared" si="1"/>
        <v/>
      </c>
      <c r="G719" s="15">
        <f t="shared" si="2"/>
        <v>5.67</v>
      </c>
      <c r="H719" s="16">
        <v>1.0</v>
      </c>
      <c r="I719" s="15">
        <f t="shared" si="3"/>
        <v>3.92</v>
      </c>
      <c r="J719" s="15">
        <v>36.83</v>
      </c>
      <c r="K719" s="16">
        <f>IF(COUNTIFS(Release_Calendar!$A$2:$A$755,"US_CPI",Release_Calendar!$B$2:$B$755,$A719)&gt;0,1,0)</f>
        <v>0</v>
      </c>
      <c r="L719" s="16">
        <f>IF(COUNTIFS(Release_Calendar!$A$2:$A$755,"US_NFP",Release_Calendar!$B$2:$B$755,$A719)&gt;0,1,0)</f>
        <v>0</v>
      </c>
      <c r="M719" s="16" t="str">
        <f>IF($A719&lt;Notes!$B$5,"",IF(COUNTIFS(Release_Calendar!$A$2:$A$755,"NZ_CPI",Release_Calendar!$B$2:$B$755,$A719)&gt;0,1,0))</f>
        <v/>
      </c>
      <c r="N719" s="16" t="str">
        <f>IF($A719&lt;Notes!$B$5,"",IF(COUNTIFS(Release_Calendar!$A$2:$A$755,"NZ_GDP",Release_Calendar!$B$2:$B$755,$A719)&gt;0,1,0))</f>
        <v/>
      </c>
      <c r="O719" s="16" t="str">
        <f>IF($A719&lt;Notes!$B$5,"",IF(COUNTIFS(Release_Calendar!$A$2:$A$755,"NZ_LABOUR",Release_Calendar!$B$2:$B$755,$A719)&gt;0,1,0))</f>
        <v/>
      </c>
      <c r="P719" s="16">
        <f t="shared" si="4"/>
        <v>0</v>
      </c>
    </row>
    <row r="720" ht="15.75" customHeight="1">
      <c r="A720" s="14">
        <v>37532.0</v>
      </c>
      <c r="B720" s="15">
        <v>1.75</v>
      </c>
      <c r="C720" s="15"/>
      <c r="D720" s="15">
        <v>5.64</v>
      </c>
      <c r="E720" s="15"/>
      <c r="F720" s="15" t="str">
        <f t="shared" si="1"/>
        <v/>
      </c>
      <c r="G720" s="15">
        <f t="shared" si="2"/>
        <v>5.64</v>
      </c>
      <c r="H720" s="16">
        <v>1.0</v>
      </c>
      <c r="I720" s="15">
        <f t="shared" si="3"/>
        <v>3.89</v>
      </c>
      <c r="J720" s="15">
        <v>37.31</v>
      </c>
      <c r="K720" s="16">
        <f>IF(COUNTIFS(Release_Calendar!$A$2:$A$755,"US_CPI",Release_Calendar!$B$2:$B$755,$A720)&gt;0,1,0)</f>
        <v>0</v>
      </c>
      <c r="L720" s="16">
        <f>IF(COUNTIFS(Release_Calendar!$A$2:$A$755,"US_NFP",Release_Calendar!$B$2:$B$755,$A720)&gt;0,1,0)</f>
        <v>0</v>
      </c>
      <c r="M720" s="16" t="str">
        <f>IF($A720&lt;Notes!$B$5,"",IF(COUNTIFS(Release_Calendar!$A$2:$A$755,"NZ_CPI",Release_Calendar!$B$2:$B$755,$A720)&gt;0,1,0))</f>
        <v/>
      </c>
      <c r="N720" s="16" t="str">
        <f>IF($A720&lt;Notes!$B$5,"",IF(COUNTIFS(Release_Calendar!$A$2:$A$755,"NZ_GDP",Release_Calendar!$B$2:$B$755,$A720)&gt;0,1,0))</f>
        <v/>
      </c>
      <c r="O720" s="16" t="str">
        <f>IF($A720&lt;Notes!$B$5,"",IF(COUNTIFS(Release_Calendar!$A$2:$A$755,"NZ_LABOUR",Release_Calendar!$B$2:$B$755,$A720)&gt;0,1,0))</f>
        <v/>
      </c>
      <c r="P720" s="16">
        <f t="shared" si="4"/>
        <v>0</v>
      </c>
    </row>
    <row r="721" ht="15.75" customHeight="1">
      <c r="A721" s="14">
        <v>37533.0</v>
      </c>
      <c r="B721" s="15">
        <v>1.78</v>
      </c>
      <c r="C721" s="15"/>
      <c r="D721" s="15">
        <v>5.62</v>
      </c>
      <c r="E721" s="15"/>
      <c r="F721" s="15" t="str">
        <f t="shared" si="1"/>
        <v/>
      </c>
      <c r="G721" s="15">
        <f t="shared" si="2"/>
        <v>5.62</v>
      </c>
      <c r="H721" s="16">
        <v>1.0</v>
      </c>
      <c r="I721" s="15">
        <f t="shared" si="3"/>
        <v>3.84</v>
      </c>
      <c r="J721" s="15">
        <v>39.46</v>
      </c>
      <c r="K721" s="16">
        <f>IF(COUNTIFS(Release_Calendar!$A$2:$A$755,"US_CPI",Release_Calendar!$B$2:$B$755,$A721)&gt;0,1,0)</f>
        <v>0</v>
      </c>
      <c r="L721" s="16">
        <f>IF(COUNTIFS(Release_Calendar!$A$2:$A$755,"US_NFP",Release_Calendar!$B$2:$B$755,$A721)&gt;0,1,0)</f>
        <v>1</v>
      </c>
      <c r="M721" s="16" t="str">
        <f>IF($A721&lt;Notes!$B$5,"",IF(COUNTIFS(Release_Calendar!$A$2:$A$755,"NZ_CPI",Release_Calendar!$B$2:$B$755,$A721)&gt;0,1,0))</f>
        <v/>
      </c>
      <c r="N721" s="16" t="str">
        <f>IF($A721&lt;Notes!$B$5,"",IF(COUNTIFS(Release_Calendar!$A$2:$A$755,"NZ_GDP",Release_Calendar!$B$2:$B$755,$A721)&gt;0,1,0))</f>
        <v/>
      </c>
      <c r="O721" s="16" t="str">
        <f>IF($A721&lt;Notes!$B$5,"",IF(COUNTIFS(Release_Calendar!$A$2:$A$755,"NZ_LABOUR",Release_Calendar!$B$2:$B$755,$A721)&gt;0,1,0))</f>
        <v/>
      </c>
      <c r="P721" s="16">
        <f t="shared" si="4"/>
        <v>1</v>
      </c>
    </row>
    <row r="722" ht="15.75" customHeight="1">
      <c r="A722" s="14">
        <v>37536.0</v>
      </c>
      <c r="B722" s="15">
        <v>1.77</v>
      </c>
      <c r="C722" s="15"/>
      <c r="D722" s="15">
        <v>5.63</v>
      </c>
      <c r="E722" s="15"/>
      <c r="F722" s="15" t="str">
        <f t="shared" si="1"/>
        <v/>
      </c>
      <c r="G722" s="15">
        <f t="shared" si="2"/>
        <v>5.63</v>
      </c>
      <c r="H722" s="16">
        <v>1.0</v>
      </c>
      <c r="I722" s="15">
        <f t="shared" si="3"/>
        <v>3.86</v>
      </c>
      <c r="J722" s="15">
        <v>42.64</v>
      </c>
      <c r="K722" s="16">
        <f>IF(COUNTIFS(Release_Calendar!$A$2:$A$755,"US_CPI",Release_Calendar!$B$2:$B$755,$A722)&gt;0,1,0)</f>
        <v>0</v>
      </c>
      <c r="L722" s="16">
        <f>IF(COUNTIFS(Release_Calendar!$A$2:$A$755,"US_NFP",Release_Calendar!$B$2:$B$755,$A722)&gt;0,1,0)</f>
        <v>0</v>
      </c>
      <c r="M722" s="16" t="str">
        <f>IF($A722&lt;Notes!$B$5,"",IF(COUNTIFS(Release_Calendar!$A$2:$A$755,"NZ_CPI",Release_Calendar!$B$2:$B$755,$A722)&gt;0,1,0))</f>
        <v/>
      </c>
      <c r="N722" s="16" t="str">
        <f>IF($A722&lt;Notes!$B$5,"",IF(COUNTIFS(Release_Calendar!$A$2:$A$755,"NZ_GDP",Release_Calendar!$B$2:$B$755,$A722)&gt;0,1,0))</f>
        <v/>
      </c>
      <c r="O722" s="16" t="str">
        <f>IF($A722&lt;Notes!$B$5,"",IF(COUNTIFS(Release_Calendar!$A$2:$A$755,"NZ_LABOUR",Release_Calendar!$B$2:$B$755,$A722)&gt;0,1,0))</f>
        <v/>
      </c>
      <c r="P722" s="16">
        <f t="shared" si="4"/>
        <v>0</v>
      </c>
    </row>
    <row r="723" ht="15.75" customHeight="1">
      <c r="A723" s="14">
        <v>37537.0</v>
      </c>
      <c r="B723" s="15">
        <v>1.8</v>
      </c>
      <c r="C723" s="15"/>
      <c r="D723" s="15">
        <v>5.56</v>
      </c>
      <c r="E723" s="15"/>
      <c r="F723" s="15" t="str">
        <f t="shared" si="1"/>
        <v/>
      </c>
      <c r="G723" s="15">
        <f t="shared" si="2"/>
        <v>5.56</v>
      </c>
      <c r="H723" s="16">
        <v>1.0</v>
      </c>
      <c r="I723" s="15">
        <f t="shared" si="3"/>
        <v>3.76</v>
      </c>
      <c r="J723" s="15">
        <v>41.02</v>
      </c>
      <c r="K723" s="16">
        <f>IF(COUNTIFS(Release_Calendar!$A$2:$A$755,"US_CPI",Release_Calendar!$B$2:$B$755,$A723)&gt;0,1,0)</f>
        <v>0</v>
      </c>
      <c r="L723" s="16">
        <f>IF(COUNTIFS(Release_Calendar!$A$2:$A$755,"US_NFP",Release_Calendar!$B$2:$B$755,$A723)&gt;0,1,0)</f>
        <v>0</v>
      </c>
      <c r="M723" s="16" t="str">
        <f>IF($A723&lt;Notes!$B$5,"",IF(COUNTIFS(Release_Calendar!$A$2:$A$755,"NZ_CPI",Release_Calendar!$B$2:$B$755,$A723)&gt;0,1,0))</f>
        <v/>
      </c>
      <c r="N723" s="16" t="str">
        <f>IF($A723&lt;Notes!$B$5,"",IF(COUNTIFS(Release_Calendar!$A$2:$A$755,"NZ_GDP",Release_Calendar!$B$2:$B$755,$A723)&gt;0,1,0))</f>
        <v/>
      </c>
      <c r="O723" s="16" t="str">
        <f>IF($A723&lt;Notes!$B$5,"",IF(COUNTIFS(Release_Calendar!$A$2:$A$755,"NZ_LABOUR",Release_Calendar!$B$2:$B$755,$A723)&gt;0,1,0))</f>
        <v/>
      </c>
      <c r="P723" s="16">
        <f t="shared" si="4"/>
        <v>0</v>
      </c>
    </row>
    <row r="724" ht="15.75" customHeight="1">
      <c r="A724" s="14">
        <v>37538.0</v>
      </c>
      <c r="B724" s="15">
        <v>1.72</v>
      </c>
      <c r="C724" s="15"/>
      <c r="D724" s="15">
        <v>5.59</v>
      </c>
      <c r="E724" s="15"/>
      <c r="F724" s="15" t="str">
        <f t="shared" si="1"/>
        <v/>
      </c>
      <c r="G724" s="15">
        <f t="shared" si="2"/>
        <v>5.59</v>
      </c>
      <c r="H724" s="16">
        <v>1.0</v>
      </c>
      <c r="I724" s="15">
        <f t="shared" si="3"/>
        <v>3.87</v>
      </c>
      <c r="J724" s="15">
        <v>42.13</v>
      </c>
      <c r="K724" s="16">
        <f>IF(COUNTIFS(Release_Calendar!$A$2:$A$755,"US_CPI",Release_Calendar!$B$2:$B$755,$A724)&gt;0,1,0)</f>
        <v>0</v>
      </c>
      <c r="L724" s="16">
        <f>IF(COUNTIFS(Release_Calendar!$A$2:$A$755,"US_NFP",Release_Calendar!$B$2:$B$755,$A724)&gt;0,1,0)</f>
        <v>0</v>
      </c>
      <c r="M724" s="16" t="str">
        <f>IF($A724&lt;Notes!$B$5,"",IF(COUNTIFS(Release_Calendar!$A$2:$A$755,"NZ_CPI",Release_Calendar!$B$2:$B$755,$A724)&gt;0,1,0))</f>
        <v/>
      </c>
      <c r="N724" s="16" t="str">
        <f>IF($A724&lt;Notes!$B$5,"",IF(COUNTIFS(Release_Calendar!$A$2:$A$755,"NZ_GDP",Release_Calendar!$B$2:$B$755,$A724)&gt;0,1,0))</f>
        <v/>
      </c>
      <c r="O724" s="16" t="str">
        <f>IF($A724&lt;Notes!$B$5,"",IF(COUNTIFS(Release_Calendar!$A$2:$A$755,"NZ_LABOUR",Release_Calendar!$B$2:$B$755,$A724)&gt;0,1,0))</f>
        <v/>
      </c>
      <c r="P724" s="16">
        <f t="shared" si="4"/>
        <v>0</v>
      </c>
    </row>
    <row r="725" ht="15.75" customHeight="1">
      <c r="A725" s="14">
        <v>37539.0</v>
      </c>
      <c r="B725" s="15">
        <v>1.75</v>
      </c>
      <c r="C725" s="15"/>
      <c r="D725" s="15">
        <v>5.59</v>
      </c>
      <c r="E725" s="15"/>
      <c r="F725" s="15" t="str">
        <f t="shared" si="1"/>
        <v/>
      </c>
      <c r="G725" s="15">
        <f t="shared" si="2"/>
        <v>5.59</v>
      </c>
      <c r="H725" s="16">
        <v>1.0</v>
      </c>
      <c r="I725" s="15">
        <f t="shared" si="3"/>
        <v>3.84</v>
      </c>
      <c r="J725" s="15">
        <v>37.55</v>
      </c>
      <c r="K725" s="16">
        <f>IF(COUNTIFS(Release_Calendar!$A$2:$A$755,"US_CPI",Release_Calendar!$B$2:$B$755,$A725)&gt;0,1,0)</f>
        <v>0</v>
      </c>
      <c r="L725" s="16">
        <f>IF(COUNTIFS(Release_Calendar!$A$2:$A$755,"US_NFP",Release_Calendar!$B$2:$B$755,$A725)&gt;0,1,0)</f>
        <v>0</v>
      </c>
      <c r="M725" s="16" t="str">
        <f>IF($A725&lt;Notes!$B$5,"",IF(COUNTIFS(Release_Calendar!$A$2:$A$755,"NZ_CPI",Release_Calendar!$B$2:$B$755,$A725)&gt;0,1,0))</f>
        <v/>
      </c>
      <c r="N725" s="16" t="str">
        <f>IF($A725&lt;Notes!$B$5,"",IF(COUNTIFS(Release_Calendar!$A$2:$A$755,"NZ_GDP",Release_Calendar!$B$2:$B$755,$A725)&gt;0,1,0))</f>
        <v/>
      </c>
      <c r="O725" s="16" t="str">
        <f>IF($A725&lt;Notes!$B$5,"",IF(COUNTIFS(Release_Calendar!$A$2:$A$755,"NZ_LABOUR",Release_Calendar!$B$2:$B$755,$A725)&gt;0,1,0))</f>
        <v/>
      </c>
      <c r="P725" s="16">
        <f t="shared" si="4"/>
        <v>0</v>
      </c>
    </row>
    <row r="726" ht="15.75" customHeight="1">
      <c r="A726" s="14">
        <v>37540.0</v>
      </c>
      <c r="B726" s="15">
        <v>1.85</v>
      </c>
      <c r="C726" s="15"/>
      <c r="D726" s="15">
        <v>5.6</v>
      </c>
      <c r="E726" s="15"/>
      <c r="F726" s="15" t="str">
        <f t="shared" si="1"/>
        <v/>
      </c>
      <c r="G726" s="15">
        <f t="shared" si="2"/>
        <v>5.6</v>
      </c>
      <c r="H726" s="16">
        <v>1.0</v>
      </c>
      <c r="I726" s="15">
        <f t="shared" si="3"/>
        <v>3.75</v>
      </c>
      <c r="J726" s="15">
        <v>35.7</v>
      </c>
      <c r="K726" s="16">
        <f>IF(COUNTIFS(Release_Calendar!$A$2:$A$755,"US_CPI",Release_Calendar!$B$2:$B$755,$A726)&gt;0,1,0)</f>
        <v>0</v>
      </c>
      <c r="L726" s="16">
        <f>IF(COUNTIFS(Release_Calendar!$A$2:$A$755,"US_NFP",Release_Calendar!$B$2:$B$755,$A726)&gt;0,1,0)</f>
        <v>0</v>
      </c>
      <c r="M726" s="16" t="str">
        <f>IF($A726&lt;Notes!$B$5,"",IF(COUNTIFS(Release_Calendar!$A$2:$A$755,"NZ_CPI",Release_Calendar!$B$2:$B$755,$A726)&gt;0,1,0))</f>
        <v/>
      </c>
      <c r="N726" s="16" t="str">
        <f>IF($A726&lt;Notes!$B$5,"",IF(COUNTIFS(Release_Calendar!$A$2:$A$755,"NZ_GDP",Release_Calendar!$B$2:$B$755,$A726)&gt;0,1,0))</f>
        <v/>
      </c>
      <c r="O726" s="16" t="str">
        <f>IF($A726&lt;Notes!$B$5,"",IF(COUNTIFS(Release_Calendar!$A$2:$A$755,"NZ_LABOUR",Release_Calendar!$B$2:$B$755,$A726)&gt;0,1,0))</f>
        <v/>
      </c>
      <c r="P726" s="16">
        <f t="shared" si="4"/>
        <v>0</v>
      </c>
    </row>
    <row r="727" ht="15.75" customHeight="1">
      <c r="A727" s="14">
        <v>37543.0</v>
      </c>
      <c r="B727" s="15"/>
      <c r="C727" s="15"/>
      <c r="D727" s="15">
        <v>5.64</v>
      </c>
      <c r="E727" s="15"/>
      <c r="F727" s="15" t="str">
        <f t="shared" si="1"/>
        <v/>
      </c>
      <c r="G727" s="15">
        <f t="shared" si="2"/>
        <v>5.64</v>
      </c>
      <c r="H727" s="16">
        <v>1.0</v>
      </c>
      <c r="I727" s="15" t="str">
        <f t="shared" si="3"/>
        <v/>
      </c>
      <c r="J727" s="15">
        <v>36.04</v>
      </c>
      <c r="K727" s="16">
        <f>IF(COUNTIFS(Release_Calendar!$A$2:$A$755,"US_CPI",Release_Calendar!$B$2:$B$755,$A727)&gt;0,1,0)</f>
        <v>0</v>
      </c>
      <c r="L727" s="16">
        <f>IF(COUNTIFS(Release_Calendar!$A$2:$A$755,"US_NFP",Release_Calendar!$B$2:$B$755,$A727)&gt;0,1,0)</f>
        <v>0</v>
      </c>
      <c r="M727" s="16" t="str">
        <f>IF($A727&lt;Notes!$B$5,"",IF(COUNTIFS(Release_Calendar!$A$2:$A$755,"NZ_CPI",Release_Calendar!$B$2:$B$755,$A727)&gt;0,1,0))</f>
        <v/>
      </c>
      <c r="N727" s="16" t="str">
        <f>IF($A727&lt;Notes!$B$5,"",IF(COUNTIFS(Release_Calendar!$A$2:$A$755,"NZ_GDP",Release_Calendar!$B$2:$B$755,$A727)&gt;0,1,0))</f>
        <v/>
      </c>
      <c r="O727" s="16" t="str">
        <f>IF($A727&lt;Notes!$B$5,"",IF(COUNTIFS(Release_Calendar!$A$2:$A$755,"NZ_LABOUR",Release_Calendar!$B$2:$B$755,$A727)&gt;0,1,0))</f>
        <v/>
      </c>
      <c r="P727" s="16">
        <f t="shared" si="4"/>
        <v>0</v>
      </c>
    </row>
    <row r="728" ht="15.75" customHeight="1">
      <c r="A728" s="14">
        <v>37544.0</v>
      </c>
      <c r="B728" s="15">
        <v>2.08</v>
      </c>
      <c r="C728" s="15"/>
      <c r="D728" s="15">
        <v>5.65</v>
      </c>
      <c r="E728" s="15"/>
      <c r="F728" s="15" t="str">
        <f t="shared" si="1"/>
        <v/>
      </c>
      <c r="G728" s="15">
        <f t="shared" si="2"/>
        <v>5.65</v>
      </c>
      <c r="H728" s="16">
        <v>1.0</v>
      </c>
      <c r="I728" s="15">
        <f t="shared" si="3"/>
        <v>3.57</v>
      </c>
      <c r="J728" s="15">
        <v>34.02</v>
      </c>
      <c r="K728" s="16">
        <f>IF(COUNTIFS(Release_Calendar!$A$2:$A$755,"US_CPI",Release_Calendar!$B$2:$B$755,$A728)&gt;0,1,0)</f>
        <v>0</v>
      </c>
      <c r="L728" s="16">
        <f>IF(COUNTIFS(Release_Calendar!$A$2:$A$755,"US_NFP",Release_Calendar!$B$2:$B$755,$A728)&gt;0,1,0)</f>
        <v>0</v>
      </c>
      <c r="M728" s="16" t="str">
        <f>IF($A728&lt;Notes!$B$5,"",IF(COUNTIFS(Release_Calendar!$A$2:$A$755,"NZ_CPI",Release_Calendar!$B$2:$B$755,$A728)&gt;0,1,0))</f>
        <v/>
      </c>
      <c r="N728" s="16" t="str">
        <f>IF($A728&lt;Notes!$B$5,"",IF(COUNTIFS(Release_Calendar!$A$2:$A$755,"NZ_GDP",Release_Calendar!$B$2:$B$755,$A728)&gt;0,1,0))</f>
        <v/>
      </c>
      <c r="O728" s="16" t="str">
        <f>IF($A728&lt;Notes!$B$5,"",IF(COUNTIFS(Release_Calendar!$A$2:$A$755,"NZ_LABOUR",Release_Calendar!$B$2:$B$755,$A728)&gt;0,1,0))</f>
        <v/>
      </c>
      <c r="P728" s="16">
        <f t="shared" si="4"/>
        <v>0</v>
      </c>
    </row>
    <row r="729" ht="15.75" customHeight="1">
      <c r="A729" s="14">
        <v>37545.0</v>
      </c>
      <c r="B729" s="15">
        <v>2.02</v>
      </c>
      <c r="C729" s="15"/>
      <c r="D729" s="15">
        <v>5.86</v>
      </c>
      <c r="E729" s="15"/>
      <c r="F729" s="15" t="str">
        <f t="shared" si="1"/>
        <v/>
      </c>
      <c r="G729" s="15">
        <f t="shared" si="2"/>
        <v>5.86</v>
      </c>
      <c r="H729" s="16">
        <v>1.0</v>
      </c>
      <c r="I729" s="15">
        <f t="shared" si="3"/>
        <v>3.84</v>
      </c>
      <c r="J729" s="15">
        <v>36.0</v>
      </c>
      <c r="K729" s="16">
        <f>IF(COUNTIFS(Release_Calendar!$A$2:$A$755,"US_CPI",Release_Calendar!$B$2:$B$755,$A729)&gt;0,1,0)</f>
        <v>0</v>
      </c>
      <c r="L729" s="16">
        <f>IF(COUNTIFS(Release_Calendar!$A$2:$A$755,"US_NFP",Release_Calendar!$B$2:$B$755,$A729)&gt;0,1,0)</f>
        <v>0</v>
      </c>
      <c r="M729" s="16" t="str">
        <f>IF($A729&lt;Notes!$B$5,"",IF(COUNTIFS(Release_Calendar!$A$2:$A$755,"NZ_CPI",Release_Calendar!$B$2:$B$755,$A729)&gt;0,1,0))</f>
        <v/>
      </c>
      <c r="N729" s="16" t="str">
        <f>IF($A729&lt;Notes!$B$5,"",IF(COUNTIFS(Release_Calendar!$A$2:$A$755,"NZ_GDP",Release_Calendar!$B$2:$B$755,$A729)&gt;0,1,0))</f>
        <v/>
      </c>
      <c r="O729" s="16" t="str">
        <f>IF($A729&lt;Notes!$B$5,"",IF(COUNTIFS(Release_Calendar!$A$2:$A$755,"NZ_LABOUR",Release_Calendar!$B$2:$B$755,$A729)&gt;0,1,0))</f>
        <v/>
      </c>
      <c r="P729" s="16">
        <f t="shared" si="4"/>
        <v>0</v>
      </c>
    </row>
    <row r="730" ht="15.75" customHeight="1">
      <c r="A730" s="14">
        <v>37546.0</v>
      </c>
      <c r="B730" s="15">
        <v>2.1</v>
      </c>
      <c r="C730" s="15"/>
      <c r="D730" s="15">
        <v>5.91</v>
      </c>
      <c r="E730" s="15"/>
      <c r="F730" s="15" t="str">
        <f t="shared" si="1"/>
        <v/>
      </c>
      <c r="G730" s="15">
        <f t="shared" si="2"/>
        <v>5.91</v>
      </c>
      <c r="H730" s="16">
        <v>1.0</v>
      </c>
      <c r="I730" s="15">
        <f t="shared" si="3"/>
        <v>3.81</v>
      </c>
      <c r="J730" s="15">
        <v>34.1</v>
      </c>
      <c r="K730" s="16">
        <f>IF(COUNTIFS(Release_Calendar!$A$2:$A$755,"US_CPI",Release_Calendar!$B$2:$B$755,$A730)&gt;0,1,0)</f>
        <v>0</v>
      </c>
      <c r="L730" s="16">
        <f>IF(COUNTIFS(Release_Calendar!$A$2:$A$755,"US_NFP",Release_Calendar!$B$2:$B$755,$A730)&gt;0,1,0)</f>
        <v>0</v>
      </c>
      <c r="M730" s="16" t="str">
        <f>IF($A730&lt;Notes!$B$5,"",IF(COUNTIFS(Release_Calendar!$A$2:$A$755,"NZ_CPI",Release_Calendar!$B$2:$B$755,$A730)&gt;0,1,0))</f>
        <v/>
      </c>
      <c r="N730" s="16" t="str">
        <f>IF($A730&lt;Notes!$B$5,"",IF(COUNTIFS(Release_Calendar!$A$2:$A$755,"NZ_GDP",Release_Calendar!$B$2:$B$755,$A730)&gt;0,1,0))</f>
        <v/>
      </c>
      <c r="O730" s="16" t="str">
        <f>IF($A730&lt;Notes!$B$5,"",IF(COUNTIFS(Release_Calendar!$A$2:$A$755,"NZ_LABOUR",Release_Calendar!$B$2:$B$755,$A730)&gt;0,1,0))</f>
        <v/>
      </c>
      <c r="P730" s="16">
        <f t="shared" si="4"/>
        <v>0</v>
      </c>
    </row>
    <row r="731" ht="15.75" customHeight="1">
      <c r="A731" s="14">
        <v>37547.0</v>
      </c>
      <c r="B731" s="15">
        <v>2.09</v>
      </c>
      <c r="C731" s="15"/>
      <c r="D731" s="15">
        <v>5.95</v>
      </c>
      <c r="E731" s="15"/>
      <c r="F731" s="15" t="str">
        <f t="shared" si="1"/>
        <v/>
      </c>
      <c r="G731" s="15">
        <f t="shared" si="2"/>
        <v>5.95</v>
      </c>
      <c r="H731" s="16">
        <v>1.0</v>
      </c>
      <c r="I731" s="15">
        <f t="shared" si="3"/>
        <v>3.86</v>
      </c>
      <c r="J731" s="15">
        <v>33.53</v>
      </c>
      <c r="K731" s="16">
        <f>IF(COUNTIFS(Release_Calendar!$A$2:$A$755,"US_CPI",Release_Calendar!$B$2:$B$755,$A731)&gt;0,1,0)</f>
        <v>1</v>
      </c>
      <c r="L731" s="16">
        <f>IF(COUNTIFS(Release_Calendar!$A$2:$A$755,"US_NFP",Release_Calendar!$B$2:$B$755,$A731)&gt;0,1,0)</f>
        <v>0</v>
      </c>
      <c r="M731" s="16" t="str">
        <f>IF($A731&lt;Notes!$B$5,"",IF(COUNTIFS(Release_Calendar!$A$2:$A$755,"NZ_CPI",Release_Calendar!$B$2:$B$755,$A731)&gt;0,1,0))</f>
        <v/>
      </c>
      <c r="N731" s="16" t="str">
        <f>IF($A731&lt;Notes!$B$5,"",IF(COUNTIFS(Release_Calendar!$A$2:$A$755,"NZ_GDP",Release_Calendar!$B$2:$B$755,$A731)&gt;0,1,0))</f>
        <v/>
      </c>
      <c r="O731" s="16" t="str">
        <f>IF($A731&lt;Notes!$B$5,"",IF(COUNTIFS(Release_Calendar!$A$2:$A$755,"NZ_LABOUR",Release_Calendar!$B$2:$B$755,$A731)&gt;0,1,0))</f>
        <v/>
      </c>
      <c r="P731" s="16">
        <f t="shared" si="4"/>
        <v>1</v>
      </c>
    </row>
    <row r="732" ht="15.75" customHeight="1">
      <c r="A732" s="14">
        <v>37550.0</v>
      </c>
      <c r="B732" s="15">
        <v>2.23</v>
      </c>
      <c r="C732" s="15"/>
      <c r="D732" s="15">
        <v>5.89</v>
      </c>
      <c r="E732" s="15"/>
      <c r="F732" s="15" t="str">
        <f t="shared" si="1"/>
        <v/>
      </c>
      <c r="G732" s="15">
        <f t="shared" si="2"/>
        <v>5.89</v>
      </c>
      <c r="H732" s="16">
        <v>1.0</v>
      </c>
      <c r="I732" s="15">
        <f t="shared" si="3"/>
        <v>3.66</v>
      </c>
      <c r="J732" s="15">
        <v>33.11</v>
      </c>
      <c r="K732" s="16">
        <f>IF(COUNTIFS(Release_Calendar!$A$2:$A$755,"US_CPI",Release_Calendar!$B$2:$B$755,$A732)&gt;0,1,0)</f>
        <v>0</v>
      </c>
      <c r="L732" s="16">
        <f>IF(COUNTIFS(Release_Calendar!$A$2:$A$755,"US_NFP",Release_Calendar!$B$2:$B$755,$A732)&gt;0,1,0)</f>
        <v>0</v>
      </c>
      <c r="M732" s="16" t="str">
        <f>IF($A732&lt;Notes!$B$5,"",IF(COUNTIFS(Release_Calendar!$A$2:$A$755,"NZ_CPI",Release_Calendar!$B$2:$B$755,$A732)&gt;0,1,0))</f>
        <v/>
      </c>
      <c r="N732" s="16" t="str">
        <f>IF($A732&lt;Notes!$B$5,"",IF(COUNTIFS(Release_Calendar!$A$2:$A$755,"NZ_GDP",Release_Calendar!$B$2:$B$755,$A732)&gt;0,1,0))</f>
        <v/>
      </c>
      <c r="O732" s="16" t="str">
        <f>IF($A732&lt;Notes!$B$5,"",IF(COUNTIFS(Release_Calendar!$A$2:$A$755,"NZ_LABOUR",Release_Calendar!$B$2:$B$755,$A732)&gt;0,1,0))</f>
        <v/>
      </c>
      <c r="P732" s="16">
        <f t="shared" si="4"/>
        <v>0</v>
      </c>
    </row>
    <row r="733" ht="15.75" customHeight="1">
      <c r="A733" s="14">
        <v>37551.0</v>
      </c>
      <c r="B733" s="15">
        <v>2.21</v>
      </c>
      <c r="C733" s="15"/>
      <c r="D733" s="15">
        <v>5.96</v>
      </c>
      <c r="E733" s="15"/>
      <c r="F733" s="15" t="str">
        <f t="shared" si="1"/>
        <v/>
      </c>
      <c r="G733" s="15">
        <f t="shared" si="2"/>
        <v>5.96</v>
      </c>
      <c r="H733" s="16">
        <v>1.0</v>
      </c>
      <c r="I733" s="15">
        <f t="shared" si="3"/>
        <v>3.75</v>
      </c>
      <c r="J733" s="15">
        <v>34.09</v>
      </c>
      <c r="K733" s="16">
        <f>IF(COUNTIFS(Release_Calendar!$A$2:$A$755,"US_CPI",Release_Calendar!$B$2:$B$755,$A733)&gt;0,1,0)</f>
        <v>0</v>
      </c>
      <c r="L733" s="16">
        <f>IF(COUNTIFS(Release_Calendar!$A$2:$A$755,"US_NFP",Release_Calendar!$B$2:$B$755,$A733)&gt;0,1,0)</f>
        <v>0</v>
      </c>
      <c r="M733" s="16" t="str">
        <f>IF($A733&lt;Notes!$B$5,"",IF(COUNTIFS(Release_Calendar!$A$2:$A$755,"NZ_CPI",Release_Calendar!$B$2:$B$755,$A733)&gt;0,1,0))</f>
        <v/>
      </c>
      <c r="N733" s="16" t="str">
        <f>IF($A733&lt;Notes!$B$5,"",IF(COUNTIFS(Release_Calendar!$A$2:$A$755,"NZ_GDP",Release_Calendar!$B$2:$B$755,$A733)&gt;0,1,0))</f>
        <v/>
      </c>
      <c r="O733" s="16" t="str">
        <f>IF($A733&lt;Notes!$B$5,"",IF(COUNTIFS(Release_Calendar!$A$2:$A$755,"NZ_LABOUR",Release_Calendar!$B$2:$B$755,$A733)&gt;0,1,0))</f>
        <v/>
      </c>
      <c r="P733" s="16">
        <f t="shared" si="4"/>
        <v>0</v>
      </c>
    </row>
    <row r="734" ht="15.75" customHeight="1">
      <c r="A734" s="14">
        <v>37552.0</v>
      </c>
      <c r="B734" s="15">
        <v>2.2</v>
      </c>
      <c r="C734" s="15"/>
      <c r="D734" s="15">
        <v>5.96</v>
      </c>
      <c r="E734" s="15"/>
      <c r="F734" s="15" t="str">
        <f t="shared" si="1"/>
        <v/>
      </c>
      <c r="G734" s="15">
        <f t="shared" si="2"/>
        <v>5.96</v>
      </c>
      <c r="H734" s="16">
        <v>1.0</v>
      </c>
      <c r="I734" s="15">
        <f t="shared" si="3"/>
        <v>3.76</v>
      </c>
      <c r="J734" s="15">
        <v>33.2</v>
      </c>
      <c r="K734" s="16">
        <f>IF(COUNTIFS(Release_Calendar!$A$2:$A$755,"US_CPI",Release_Calendar!$B$2:$B$755,$A734)&gt;0,1,0)</f>
        <v>0</v>
      </c>
      <c r="L734" s="16">
        <f>IF(COUNTIFS(Release_Calendar!$A$2:$A$755,"US_NFP",Release_Calendar!$B$2:$B$755,$A734)&gt;0,1,0)</f>
        <v>0</v>
      </c>
      <c r="M734" s="16" t="str">
        <f>IF($A734&lt;Notes!$B$5,"",IF(COUNTIFS(Release_Calendar!$A$2:$A$755,"NZ_CPI",Release_Calendar!$B$2:$B$755,$A734)&gt;0,1,0))</f>
        <v/>
      </c>
      <c r="N734" s="16" t="str">
        <f>IF($A734&lt;Notes!$B$5,"",IF(COUNTIFS(Release_Calendar!$A$2:$A$755,"NZ_GDP",Release_Calendar!$B$2:$B$755,$A734)&gt;0,1,0))</f>
        <v/>
      </c>
      <c r="O734" s="16" t="str">
        <f>IF($A734&lt;Notes!$B$5,"",IF(COUNTIFS(Release_Calendar!$A$2:$A$755,"NZ_LABOUR",Release_Calendar!$B$2:$B$755,$A734)&gt;0,1,0))</f>
        <v/>
      </c>
      <c r="P734" s="16">
        <f t="shared" si="4"/>
        <v>0</v>
      </c>
    </row>
    <row r="735" ht="15.75" customHeight="1">
      <c r="A735" s="14">
        <v>37553.0</v>
      </c>
      <c r="B735" s="15">
        <v>2.09</v>
      </c>
      <c r="C735" s="15"/>
      <c r="D735" s="15">
        <v>5.94</v>
      </c>
      <c r="E735" s="15"/>
      <c r="F735" s="15" t="str">
        <f t="shared" si="1"/>
        <v/>
      </c>
      <c r="G735" s="15">
        <f t="shared" si="2"/>
        <v>5.94</v>
      </c>
      <c r="H735" s="16">
        <v>1.0</v>
      </c>
      <c r="I735" s="15">
        <f t="shared" si="3"/>
        <v>3.85</v>
      </c>
      <c r="J735" s="15">
        <v>34.03</v>
      </c>
      <c r="K735" s="16">
        <f>IF(COUNTIFS(Release_Calendar!$A$2:$A$755,"US_CPI",Release_Calendar!$B$2:$B$755,$A735)&gt;0,1,0)</f>
        <v>0</v>
      </c>
      <c r="L735" s="16">
        <f>IF(COUNTIFS(Release_Calendar!$A$2:$A$755,"US_NFP",Release_Calendar!$B$2:$B$755,$A735)&gt;0,1,0)</f>
        <v>0</v>
      </c>
      <c r="M735" s="16" t="str">
        <f>IF($A735&lt;Notes!$B$5,"",IF(COUNTIFS(Release_Calendar!$A$2:$A$755,"NZ_CPI",Release_Calendar!$B$2:$B$755,$A735)&gt;0,1,0))</f>
        <v/>
      </c>
      <c r="N735" s="16" t="str">
        <f>IF($A735&lt;Notes!$B$5,"",IF(COUNTIFS(Release_Calendar!$A$2:$A$755,"NZ_GDP",Release_Calendar!$B$2:$B$755,$A735)&gt;0,1,0))</f>
        <v/>
      </c>
      <c r="O735" s="16" t="str">
        <f>IF($A735&lt;Notes!$B$5,"",IF(COUNTIFS(Release_Calendar!$A$2:$A$755,"NZ_LABOUR",Release_Calendar!$B$2:$B$755,$A735)&gt;0,1,0))</f>
        <v/>
      </c>
      <c r="P735" s="16">
        <f t="shared" si="4"/>
        <v>0</v>
      </c>
    </row>
    <row r="736" ht="15.75" customHeight="1">
      <c r="A736" s="14">
        <v>37554.0</v>
      </c>
      <c r="B736" s="15">
        <v>1.98</v>
      </c>
      <c r="C736" s="15"/>
      <c r="D736" s="15">
        <v>5.87</v>
      </c>
      <c r="E736" s="15"/>
      <c r="F736" s="15" t="str">
        <f t="shared" si="1"/>
        <v/>
      </c>
      <c r="G736" s="15">
        <f t="shared" si="2"/>
        <v>5.87</v>
      </c>
      <c r="H736" s="16">
        <v>1.0</v>
      </c>
      <c r="I736" s="15">
        <f t="shared" si="3"/>
        <v>3.89</v>
      </c>
      <c r="J736" s="15">
        <v>30.0</v>
      </c>
      <c r="K736" s="16">
        <f>IF(COUNTIFS(Release_Calendar!$A$2:$A$755,"US_CPI",Release_Calendar!$B$2:$B$755,$A736)&gt;0,1,0)</f>
        <v>0</v>
      </c>
      <c r="L736" s="16">
        <f>IF(COUNTIFS(Release_Calendar!$A$2:$A$755,"US_NFP",Release_Calendar!$B$2:$B$755,$A736)&gt;0,1,0)</f>
        <v>0</v>
      </c>
      <c r="M736" s="16" t="str">
        <f>IF($A736&lt;Notes!$B$5,"",IF(COUNTIFS(Release_Calendar!$A$2:$A$755,"NZ_CPI",Release_Calendar!$B$2:$B$755,$A736)&gt;0,1,0))</f>
        <v/>
      </c>
      <c r="N736" s="16" t="str">
        <f>IF($A736&lt;Notes!$B$5,"",IF(COUNTIFS(Release_Calendar!$A$2:$A$755,"NZ_GDP",Release_Calendar!$B$2:$B$755,$A736)&gt;0,1,0))</f>
        <v/>
      </c>
      <c r="O736" s="16" t="str">
        <f>IF($A736&lt;Notes!$B$5,"",IF(COUNTIFS(Release_Calendar!$A$2:$A$755,"NZ_LABOUR",Release_Calendar!$B$2:$B$755,$A736)&gt;0,1,0))</f>
        <v/>
      </c>
      <c r="P736" s="16">
        <f t="shared" si="4"/>
        <v>0</v>
      </c>
    </row>
    <row r="737" ht="15.75" customHeight="1">
      <c r="A737" s="14">
        <v>37557.0</v>
      </c>
      <c r="B737" s="15">
        <v>1.88</v>
      </c>
      <c r="C737" s="15"/>
      <c r="D737" s="15"/>
      <c r="E737" s="15"/>
      <c r="F737" s="15" t="str">
        <f t="shared" si="1"/>
        <v/>
      </c>
      <c r="G737" s="15" t="str">
        <f t="shared" si="2"/>
        <v/>
      </c>
      <c r="H737" s="16">
        <v>1.0</v>
      </c>
      <c r="I737" s="15" t="str">
        <f t="shared" si="3"/>
        <v/>
      </c>
      <c r="J737" s="15">
        <v>31.07</v>
      </c>
      <c r="K737" s="16">
        <f>IF(COUNTIFS(Release_Calendar!$A$2:$A$755,"US_CPI",Release_Calendar!$B$2:$B$755,$A737)&gt;0,1,0)</f>
        <v>0</v>
      </c>
      <c r="L737" s="16">
        <f>IF(COUNTIFS(Release_Calendar!$A$2:$A$755,"US_NFP",Release_Calendar!$B$2:$B$755,$A737)&gt;0,1,0)</f>
        <v>0</v>
      </c>
      <c r="M737" s="16" t="str">
        <f>IF($A737&lt;Notes!$B$5,"",IF(COUNTIFS(Release_Calendar!$A$2:$A$755,"NZ_CPI",Release_Calendar!$B$2:$B$755,$A737)&gt;0,1,0))</f>
        <v/>
      </c>
      <c r="N737" s="16" t="str">
        <f>IF($A737&lt;Notes!$B$5,"",IF(COUNTIFS(Release_Calendar!$A$2:$A$755,"NZ_GDP",Release_Calendar!$B$2:$B$755,$A737)&gt;0,1,0))</f>
        <v/>
      </c>
      <c r="O737" s="16" t="str">
        <f>IF($A737&lt;Notes!$B$5,"",IF(COUNTIFS(Release_Calendar!$A$2:$A$755,"NZ_LABOUR",Release_Calendar!$B$2:$B$755,$A737)&gt;0,1,0))</f>
        <v/>
      </c>
      <c r="P737" s="16">
        <f t="shared" si="4"/>
        <v>0</v>
      </c>
    </row>
    <row r="738" ht="15.75" customHeight="1">
      <c r="A738" s="14">
        <v>37558.0</v>
      </c>
      <c r="B738" s="15">
        <v>1.79</v>
      </c>
      <c r="C738" s="15"/>
      <c r="D738" s="15">
        <v>5.81</v>
      </c>
      <c r="E738" s="15"/>
      <c r="F738" s="15" t="str">
        <f t="shared" si="1"/>
        <v/>
      </c>
      <c r="G738" s="15">
        <f t="shared" si="2"/>
        <v>5.81</v>
      </c>
      <c r="H738" s="16">
        <v>1.0</v>
      </c>
      <c r="I738" s="15">
        <f t="shared" si="3"/>
        <v>4.02</v>
      </c>
      <c r="J738" s="15">
        <v>32.27</v>
      </c>
      <c r="K738" s="16">
        <f>IF(COUNTIFS(Release_Calendar!$A$2:$A$755,"US_CPI",Release_Calendar!$B$2:$B$755,$A738)&gt;0,1,0)</f>
        <v>0</v>
      </c>
      <c r="L738" s="16">
        <f>IF(COUNTIFS(Release_Calendar!$A$2:$A$755,"US_NFP",Release_Calendar!$B$2:$B$755,$A738)&gt;0,1,0)</f>
        <v>0</v>
      </c>
      <c r="M738" s="16" t="str">
        <f>IF($A738&lt;Notes!$B$5,"",IF(COUNTIFS(Release_Calendar!$A$2:$A$755,"NZ_CPI",Release_Calendar!$B$2:$B$755,$A738)&gt;0,1,0))</f>
        <v/>
      </c>
      <c r="N738" s="16" t="str">
        <f>IF($A738&lt;Notes!$B$5,"",IF(COUNTIFS(Release_Calendar!$A$2:$A$755,"NZ_GDP",Release_Calendar!$B$2:$B$755,$A738)&gt;0,1,0))</f>
        <v/>
      </c>
      <c r="O738" s="16" t="str">
        <f>IF($A738&lt;Notes!$B$5,"",IF(COUNTIFS(Release_Calendar!$A$2:$A$755,"NZ_LABOUR",Release_Calendar!$B$2:$B$755,$A738)&gt;0,1,0))</f>
        <v/>
      </c>
      <c r="P738" s="16">
        <f t="shared" si="4"/>
        <v>0</v>
      </c>
    </row>
    <row r="739" ht="15.75" customHeight="1">
      <c r="A739" s="14">
        <v>37559.0</v>
      </c>
      <c r="B739" s="15">
        <v>1.74</v>
      </c>
      <c r="C739" s="15"/>
      <c r="D739" s="15">
        <v>5.73</v>
      </c>
      <c r="E739" s="15"/>
      <c r="F739" s="15" t="str">
        <f t="shared" si="1"/>
        <v/>
      </c>
      <c r="G739" s="15">
        <f t="shared" si="2"/>
        <v>5.73</v>
      </c>
      <c r="H739" s="16">
        <v>1.0</v>
      </c>
      <c r="I739" s="15">
        <f t="shared" si="3"/>
        <v>3.99</v>
      </c>
      <c r="J739" s="15">
        <v>31.23</v>
      </c>
      <c r="K739" s="16">
        <f>IF(COUNTIFS(Release_Calendar!$A$2:$A$755,"US_CPI",Release_Calendar!$B$2:$B$755,$A739)&gt;0,1,0)</f>
        <v>0</v>
      </c>
      <c r="L739" s="16">
        <f>IF(COUNTIFS(Release_Calendar!$A$2:$A$755,"US_NFP",Release_Calendar!$B$2:$B$755,$A739)&gt;0,1,0)</f>
        <v>0</v>
      </c>
      <c r="M739" s="16" t="str">
        <f>IF($A739&lt;Notes!$B$5,"",IF(COUNTIFS(Release_Calendar!$A$2:$A$755,"NZ_CPI",Release_Calendar!$B$2:$B$755,$A739)&gt;0,1,0))</f>
        <v/>
      </c>
      <c r="N739" s="16" t="str">
        <f>IF($A739&lt;Notes!$B$5,"",IF(COUNTIFS(Release_Calendar!$A$2:$A$755,"NZ_GDP",Release_Calendar!$B$2:$B$755,$A739)&gt;0,1,0))</f>
        <v/>
      </c>
      <c r="O739" s="16" t="str">
        <f>IF($A739&lt;Notes!$B$5,"",IF(COUNTIFS(Release_Calendar!$A$2:$A$755,"NZ_LABOUR",Release_Calendar!$B$2:$B$755,$A739)&gt;0,1,0))</f>
        <v/>
      </c>
      <c r="P739" s="16">
        <f t="shared" si="4"/>
        <v>0</v>
      </c>
    </row>
    <row r="740" ht="15.75" customHeight="1">
      <c r="A740" s="14">
        <v>37560.0</v>
      </c>
      <c r="B740" s="15">
        <v>1.68</v>
      </c>
      <c r="C740" s="15"/>
      <c r="D740" s="15">
        <v>5.76</v>
      </c>
      <c r="E740" s="15"/>
      <c r="F740" s="15" t="str">
        <f t="shared" si="1"/>
        <v/>
      </c>
      <c r="G740" s="15">
        <f t="shared" si="2"/>
        <v>5.76</v>
      </c>
      <c r="H740" s="16">
        <v>1.0</v>
      </c>
      <c r="I740" s="15">
        <f t="shared" si="3"/>
        <v>4.08</v>
      </c>
      <c r="J740" s="15">
        <v>31.14</v>
      </c>
      <c r="K740" s="16">
        <f>IF(COUNTIFS(Release_Calendar!$A$2:$A$755,"US_CPI",Release_Calendar!$B$2:$B$755,$A740)&gt;0,1,0)</f>
        <v>0</v>
      </c>
      <c r="L740" s="16">
        <f>IF(COUNTIFS(Release_Calendar!$A$2:$A$755,"US_NFP",Release_Calendar!$B$2:$B$755,$A740)&gt;0,1,0)</f>
        <v>0</v>
      </c>
      <c r="M740" s="16" t="str">
        <f>IF($A740&lt;Notes!$B$5,"",IF(COUNTIFS(Release_Calendar!$A$2:$A$755,"NZ_CPI",Release_Calendar!$B$2:$B$755,$A740)&gt;0,1,0))</f>
        <v/>
      </c>
      <c r="N740" s="16" t="str">
        <f>IF($A740&lt;Notes!$B$5,"",IF(COUNTIFS(Release_Calendar!$A$2:$A$755,"NZ_GDP",Release_Calendar!$B$2:$B$755,$A740)&gt;0,1,0))</f>
        <v/>
      </c>
      <c r="O740" s="16" t="str">
        <f>IF($A740&lt;Notes!$B$5,"",IF(COUNTIFS(Release_Calendar!$A$2:$A$755,"NZ_LABOUR",Release_Calendar!$B$2:$B$755,$A740)&gt;0,1,0))</f>
        <v/>
      </c>
      <c r="P740" s="16">
        <f t="shared" si="4"/>
        <v>0</v>
      </c>
    </row>
    <row r="741" ht="15.75" customHeight="1">
      <c r="A741" s="14">
        <v>37561.0</v>
      </c>
      <c r="B741" s="15">
        <v>1.76</v>
      </c>
      <c r="C741" s="15"/>
      <c r="D741" s="15">
        <v>5.7</v>
      </c>
      <c r="E741" s="15"/>
      <c r="F741" s="15" t="str">
        <f t="shared" si="1"/>
        <v/>
      </c>
      <c r="G741" s="15">
        <f t="shared" si="2"/>
        <v>5.7</v>
      </c>
      <c r="H741" s="16">
        <v>1.0</v>
      </c>
      <c r="I741" s="15">
        <f t="shared" si="3"/>
        <v>3.94</v>
      </c>
      <c r="J741" s="15">
        <v>29.3</v>
      </c>
      <c r="K741" s="16">
        <f>IF(COUNTIFS(Release_Calendar!$A$2:$A$755,"US_CPI",Release_Calendar!$B$2:$B$755,$A741)&gt;0,1,0)</f>
        <v>0</v>
      </c>
      <c r="L741" s="16">
        <f>IF(COUNTIFS(Release_Calendar!$A$2:$A$755,"US_NFP",Release_Calendar!$B$2:$B$755,$A741)&gt;0,1,0)</f>
        <v>1</v>
      </c>
      <c r="M741" s="16" t="str">
        <f>IF($A741&lt;Notes!$B$5,"",IF(COUNTIFS(Release_Calendar!$A$2:$A$755,"NZ_CPI",Release_Calendar!$B$2:$B$755,$A741)&gt;0,1,0))</f>
        <v/>
      </c>
      <c r="N741" s="16" t="str">
        <f>IF($A741&lt;Notes!$B$5,"",IF(COUNTIFS(Release_Calendar!$A$2:$A$755,"NZ_GDP",Release_Calendar!$B$2:$B$755,$A741)&gt;0,1,0))</f>
        <v/>
      </c>
      <c r="O741" s="16" t="str">
        <f>IF($A741&lt;Notes!$B$5,"",IF(COUNTIFS(Release_Calendar!$A$2:$A$755,"NZ_LABOUR",Release_Calendar!$B$2:$B$755,$A741)&gt;0,1,0))</f>
        <v/>
      </c>
      <c r="P741" s="16">
        <f t="shared" si="4"/>
        <v>1</v>
      </c>
    </row>
    <row r="742" ht="15.75" customHeight="1">
      <c r="A742" s="14">
        <v>37564.0</v>
      </c>
      <c r="B742" s="15">
        <v>1.79</v>
      </c>
      <c r="C742" s="15"/>
      <c r="D742" s="15">
        <v>5.76</v>
      </c>
      <c r="E742" s="15"/>
      <c r="F742" s="15" t="str">
        <f t="shared" si="1"/>
        <v/>
      </c>
      <c r="G742" s="15">
        <f t="shared" si="2"/>
        <v>5.76</v>
      </c>
      <c r="H742" s="16">
        <v>1.0</v>
      </c>
      <c r="I742" s="15">
        <f t="shared" si="3"/>
        <v>3.97</v>
      </c>
      <c r="J742" s="15">
        <v>30.82</v>
      </c>
      <c r="K742" s="16">
        <f>IF(COUNTIFS(Release_Calendar!$A$2:$A$755,"US_CPI",Release_Calendar!$B$2:$B$755,$A742)&gt;0,1,0)</f>
        <v>0</v>
      </c>
      <c r="L742" s="16">
        <f>IF(COUNTIFS(Release_Calendar!$A$2:$A$755,"US_NFP",Release_Calendar!$B$2:$B$755,$A742)&gt;0,1,0)</f>
        <v>0</v>
      </c>
      <c r="M742" s="16" t="str">
        <f>IF($A742&lt;Notes!$B$5,"",IF(COUNTIFS(Release_Calendar!$A$2:$A$755,"NZ_CPI",Release_Calendar!$B$2:$B$755,$A742)&gt;0,1,0))</f>
        <v/>
      </c>
      <c r="N742" s="16" t="str">
        <f>IF($A742&lt;Notes!$B$5,"",IF(COUNTIFS(Release_Calendar!$A$2:$A$755,"NZ_GDP",Release_Calendar!$B$2:$B$755,$A742)&gt;0,1,0))</f>
        <v/>
      </c>
      <c r="O742" s="16" t="str">
        <f>IF($A742&lt;Notes!$B$5,"",IF(COUNTIFS(Release_Calendar!$A$2:$A$755,"NZ_LABOUR",Release_Calendar!$B$2:$B$755,$A742)&gt;0,1,0))</f>
        <v/>
      </c>
      <c r="P742" s="16">
        <f t="shared" si="4"/>
        <v>0</v>
      </c>
    </row>
    <row r="743" ht="15.75" customHeight="1">
      <c r="A743" s="14">
        <v>37565.0</v>
      </c>
      <c r="B743" s="15">
        <v>1.82</v>
      </c>
      <c r="C743" s="15"/>
      <c r="D743" s="15">
        <v>5.79</v>
      </c>
      <c r="E743" s="15"/>
      <c r="F743" s="15" t="str">
        <f t="shared" si="1"/>
        <v/>
      </c>
      <c r="G743" s="15">
        <f t="shared" si="2"/>
        <v>5.79</v>
      </c>
      <c r="H743" s="16">
        <v>1.0</v>
      </c>
      <c r="I743" s="15">
        <f t="shared" si="3"/>
        <v>3.97</v>
      </c>
      <c r="J743" s="15">
        <v>31.23</v>
      </c>
      <c r="K743" s="16">
        <f>IF(COUNTIFS(Release_Calendar!$A$2:$A$755,"US_CPI",Release_Calendar!$B$2:$B$755,$A743)&gt;0,1,0)</f>
        <v>0</v>
      </c>
      <c r="L743" s="16">
        <f>IF(COUNTIFS(Release_Calendar!$A$2:$A$755,"US_NFP",Release_Calendar!$B$2:$B$755,$A743)&gt;0,1,0)</f>
        <v>0</v>
      </c>
      <c r="M743" s="16" t="str">
        <f>IF($A743&lt;Notes!$B$5,"",IF(COUNTIFS(Release_Calendar!$A$2:$A$755,"NZ_CPI",Release_Calendar!$B$2:$B$755,$A743)&gt;0,1,0))</f>
        <v/>
      </c>
      <c r="N743" s="16" t="str">
        <f>IF($A743&lt;Notes!$B$5,"",IF(COUNTIFS(Release_Calendar!$A$2:$A$755,"NZ_GDP",Release_Calendar!$B$2:$B$755,$A743)&gt;0,1,0))</f>
        <v/>
      </c>
      <c r="O743" s="16" t="str">
        <f>IF($A743&lt;Notes!$B$5,"",IF(COUNTIFS(Release_Calendar!$A$2:$A$755,"NZ_LABOUR",Release_Calendar!$B$2:$B$755,$A743)&gt;0,1,0))</f>
        <v/>
      </c>
      <c r="P743" s="16">
        <f t="shared" si="4"/>
        <v>0</v>
      </c>
    </row>
    <row r="744" ht="15.75" customHeight="1">
      <c r="A744" s="14">
        <v>37566.0</v>
      </c>
      <c r="B744" s="15">
        <v>1.87</v>
      </c>
      <c r="C744" s="15"/>
      <c r="D744" s="15">
        <v>5.8</v>
      </c>
      <c r="E744" s="15"/>
      <c r="F744" s="15" t="str">
        <f t="shared" si="1"/>
        <v/>
      </c>
      <c r="G744" s="15">
        <f t="shared" si="2"/>
        <v>5.8</v>
      </c>
      <c r="H744" s="16">
        <v>1.0</v>
      </c>
      <c r="I744" s="15">
        <f t="shared" si="3"/>
        <v>3.93</v>
      </c>
      <c r="J744" s="15">
        <v>30.73</v>
      </c>
      <c r="K744" s="16">
        <f>IF(COUNTIFS(Release_Calendar!$A$2:$A$755,"US_CPI",Release_Calendar!$B$2:$B$755,$A744)&gt;0,1,0)</f>
        <v>0</v>
      </c>
      <c r="L744" s="16">
        <f>IF(COUNTIFS(Release_Calendar!$A$2:$A$755,"US_NFP",Release_Calendar!$B$2:$B$755,$A744)&gt;0,1,0)</f>
        <v>0</v>
      </c>
      <c r="M744" s="16" t="str">
        <f>IF($A744&lt;Notes!$B$5,"",IF(COUNTIFS(Release_Calendar!$A$2:$A$755,"NZ_CPI",Release_Calendar!$B$2:$B$755,$A744)&gt;0,1,0))</f>
        <v/>
      </c>
      <c r="N744" s="16" t="str">
        <f>IF($A744&lt;Notes!$B$5,"",IF(COUNTIFS(Release_Calendar!$A$2:$A$755,"NZ_GDP",Release_Calendar!$B$2:$B$755,$A744)&gt;0,1,0))</f>
        <v/>
      </c>
      <c r="O744" s="16" t="str">
        <f>IF($A744&lt;Notes!$B$5,"",IF(COUNTIFS(Release_Calendar!$A$2:$A$755,"NZ_LABOUR",Release_Calendar!$B$2:$B$755,$A744)&gt;0,1,0))</f>
        <v/>
      </c>
      <c r="P744" s="16">
        <f t="shared" si="4"/>
        <v>0</v>
      </c>
    </row>
    <row r="745" ht="15.75" customHeight="1">
      <c r="A745" s="14">
        <v>37567.0</v>
      </c>
      <c r="B745" s="15">
        <v>1.86</v>
      </c>
      <c r="C745" s="15"/>
      <c r="D745" s="15">
        <v>5.8</v>
      </c>
      <c r="E745" s="15"/>
      <c r="F745" s="15" t="str">
        <f t="shared" si="1"/>
        <v/>
      </c>
      <c r="G745" s="15">
        <f t="shared" si="2"/>
        <v>5.8</v>
      </c>
      <c r="H745" s="16">
        <v>1.0</v>
      </c>
      <c r="I745" s="15">
        <f t="shared" si="3"/>
        <v>3.94</v>
      </c>
      <c r="J745" s="15">
        <v>31.42</v>
      </c>
      <c r="K745" s="16">
        <f>IF(COUNTIFS(Release_Calendar!$A$2:$A$755,"US_CPI",Release_Calendar!$B$2:$B$755,$A745)&gt;0,1,0)</f>
        <v>0</v>
      </c>
      <c r="L745" s="16">
        <f>IF(COUNTIFS(Release_Calendar!$A$2:$A$755,"US_NFP",Release_Calendar!$B$2:$B$755,$A745)&gt;0,1,0)</f>
        <v>0</v>
      </c>
      <c r="M745" s="16" t="str">
        <f>IF($A745&lt;Notes!$B$5,"",IF(COUNTIFS(Release_Calendar!$A$2:$A$755,"NZ_CPI",Release_Calendar!$B$2:$B$755,$A745)&gt;0,1,0))</f>
        <v/>
      </c>
      <c r="N745" s="16" t="str">
        <f>IF($A745&lt;Notes!$B$5,"",IF(COUNTIFS(Release_Calendar!$A$2:$A$755,"NZ_GDP",Release_Calendar!$B$2:$B$755,$A745)&gt;0,1,0))</f>
        <v/>
      </c>
      <c r="O745" s="16" t="str">
        <f>IF($A745&lt;Notes!$B$5,"",IF(COUNTIFS(Release_Calendar!$A$2:$A$755,"NZ_LABOUR",Release_Calendar!$B$2:$B$755,$A745)&gt;0,1,0))</f>
        <v/>
      </c>
      <c r="P745" s="16">
        <f t="shared" si="4"/>
        <v>0</v>
      </c>
    </row>
    <row r="746" ht="15.75" customHeight="1">
      <c r="A746" s="14">
        <v>37568.0</v>
      </c>
      <c r="B746" s="15">
        <v>1.87</v>
      </c>
      <c r="C746" s="15"/>
      <c r="D746" s="15">
        <v>5.73</v>
      </c>
      <c r="E746" s="15"/>
      <c r="F746" s="15" t="str">
        <f t="shared" si="1"/>
        <v/>
      </c>
      <c r="G746" s="15">
        <f t="shared" si="2"/>
        <v>5.73</v>
      </c>
      <c r="H746" s="16">
        <v>1.0</v>
      </c>
      <c r="I746" s="15">
        <f t="shared" si="3"/>
        <v>3.86</v>
      </c>
      <c r="J746" s="15">
        <v>29.41</v>
      </c>
      <c r="K746" s="16">
        <f>IF(COUNTIFS(Release_Calendar!$A$2:$A$755,"US_CPI",Release_Calendar!$B$2:$B$755,$A746)&gt;0,1,0)</f>
        <v>0</v>
      </c>
      <c r="L746" s="16">
        <f>IF(COUNTIFS(Release_Calendar!$A$2:$A$755,"US_NFP",Release_Calendar!$B$2:$B$755,$A746)&gt;0,1,0)</f>
        <v>0</v>
      </c>
      <c r="M746" s="16" t="str">
        <f>IF($A746&lt;Notes!$B$5,"",IF(COUNTIFS(Release_Calendar!$A$2:$A$755,"NZ_CPI",Release_Calendar!$B$2:$B$755,$A746)&gt;0,1,0))</f>
        <v/>
      </c>
      <c r="N746" s="16" t="str">
        <f>IF($A746&lt;Notes!$B$5,"",IF(COUNTIFS(Release_Calendar!$A$2:$A$755,"NZ_GDP",Release_Calendar!$B$2:$B$755,$A746)&gt;0,1,0))</f>
        <v/>
      </c>
      <c r="O746" s="16" t="str">
        <f>IF($A746&lt;Notes!$B$5,"",IF(COUNTIFS(Release_Calendar!$A$2:$A$755,"NZ_LABOUR",Release_Calendar!$B$2:$B$755,$A746)&gt;0,1,0))</f>
        <v/>
      </c>
      <c r="P746" s="16">
        <f t="shared" si="4"/>
        <v>0</v>
      </c>
    </row>
    <row r="747" ht="15.75" customHeight="1">
      <c r="A747" s="14">
        <v>37571.0</v>
      </c>
      <c r="B747" s="15"/>
      <c r="C747" s="15"/>
      <c r="D747" s="15">
        <v>5.73</v>
      </c>
      <c r="E747" s="15"/>
      <c r="F747" s="15" t="str">
        <f t="shared" si="1"/>
        <v/>
      </c>
      <c r="G747" s="15">
        <f t="shared" si="2"/>
        <v>5.73</v>
      </c>
      <c r="H747" s="16">
        <v>1.0</v>
      </c>
      <c r="I747" s="15" t="str">
        <f t="shared" si="3"/>
        <v/>
      </c>
      <c r="J747" s="15">
        <v>31.3</v>
      </c>
      <c r="K747" s="16">
        <f>IF(COUNTIFS(Release_Calendar!$A$2:$A$755,"US_CPI",Release_Calendar!$B$2:$B$755,$A747)&gt;0,1,0)</f>
        <v>0</v>
      </c>
      <c r="L747" s="16">
        <f>IF(COUNTIFS(Release_Calendar!$A$2:$A$755,"US_NFP",Release_Calendar!$B$2:$B$755,$A747)&gt;0,1,0)</f>
        <v>0</v>
      </c>
      <c r="M747" s="16" t="str">
        <f>IF($A747&lt;Notes!$B$5,"",IF(COUNTIFS(Release_Calendar!$A$2:$A$755,"NZ_CPI",Release_Calendar!$B$2:$B$755,$A747)&gt;0,1,0))</f>
        <v/>
      </c>
      <c r="N747" s="16" t="str">
        <f>IF($A747&lt;Notes!$B$5,"",IF(COUNTIFS(Release_Calendar!$A$2:$A$755,"NZ_GDP",Release_Calendar!$B$2:$B$755,$A747)&gt;0,1,0))</f>
        <v/>
      </c>
      <c r="O747" s="16" t="str">
        <f>IF($A747&lt;Notes!$B$5,"",IF(COUNTIFS(Release_Calendar!$A$2:$A$755,"NZ_LABOUR",Release_Calendar!$B$2:$B$755,$A747)&gt;0,1,0))</f>
        <v/>
      </c>
      <c r="P747" s="16">
        <f t="shared" si="4"/>
        <v>0</v>
      </c>
    </row>
    <row r="748" ht="15.75" customHeight="1">
      <c r="A748" s="14">
        <v>37572.0</v>
      </c>
      <c r="B748" s="15">
        <v>1.79</v>
      </c>
      <c r="C748" s="15"/>
      <c r="D748" s="15">
        <v>5.63</v>
      </c>
      <c r="E748" s="15"/>
      <c r="F748" s="15" t="str">
        <f t="shared" si="1"/>
        <v/>
      </c>
      <c r="G748" s="15">
        <f t="shared" si="2"/>
        <v>5.63</v>
      </c>
      <c r="H748" s="16">
        <v>1.0</v>
      </c>
      <c r="I748" s="15">
        <f t="shared" si="3"/>
        <v>3.84</v>
      </c>
      <c r="J748" s="15">
        <v>30.58</v>
      </c>
      <c r="K748" s="16">
        <f>IF(COUNTIFS(Release_Calendar!$A$2:$A$755,"US_CPI",Release_Calendar!$B$2:$B$755,$A748)&gt;0,1,0)</f>
        <v>0</v>
      </c>
      <c r="L748" s="16">
        <f>IF(COUNTIFS(Release_Calendar!$A$2:$A$755,"US_NFP",Release_Calendar!$B$2:$B$755,$A748)&gt;0,1,0)</f>
        <v>0</v>
      </c>
      <c r="M748" s="16" t="str">
        <f>IF($A748&lt;Notes!$B$5,"",IF(COUNTIFS(Release_Calendar!$A$2:$A$755,"NZ_CPI",Release_Calendar!$B$2:$B$755,$A748)&gt;0,1,0))</f>
        <v/>
      </c>
      <c r="N748" s="16" t="str">
        <f>IF($A748&lt;Notes!$B$5,"",IF(COUNTIFS(Release_Calendar!$A$2:$A$755,"NZ_GDP",Release_Calendar!$B$2:$B$755,$A748)&gt;0,1,0))</f>
        <v/>
      </c>
      <c r="O748" s="16" t="str">
        <f>IF($A748&lt;Notes!$B$5,"",IF(COUNTIFS(Release_Calendar!$A$2:$A$755,"NZ_LABOUR",Release_Calendar!$B$2:$B$755,$A748)&gt;0,1,0))</f>
        <v/>
      </c>
      <c r="P748" s="16">
        <f t="shared" si="4"/>
        <v>0</v>
      </c>
    </row>
    <row r="749" ht="15.75" customHeight="1">
      <c r="A749" s="14">
        <v>37573.0</v>
      </c>
      <c r="B749" s="15">
        <v>1.76</v>
      </c>
      <c r="C749" s="15"/>
      <c r="D749" s="15">
        <v>5.69</v>
      </c>
      <c r="E749" s="15"/>
      <c r="F749" s="15" t="str">
        <f t="shared" si="1"/>
        <v/>
      </c>
      <c r="G749" s="15">
        <f t="shared" si="2"/>
        <v>5.69</v>
      </c>
      <c r="H749" s="16">
        <v>1.0</v>
      </c>
      <c r="I749" s="15">
        <f t="shared" si="3"/>
        <v>3.93</v>
      </c>
      <c r="J749" s="15">
        <v>31.24</v>
      </c>
      <c r="K749" s="16">
        <f>IF(COUNTIFS(Release_Calendar!$A$2:$A$755,"US_CPI",Release_Calendar!$B$2:$B$755,$A749)&gt;0,1,0)</f>
        <v>0</v>
      </c>
      <c r="L749" s="16">
        <f>IF(COUNTIFS(Release_Calendar!$A$2:$A$755,"US_NFP",Release_Calendar!$B$2:$B$755,$A749)&gt;0,1,0)</f>
        <v>0</v>
      </c>
      <c r="M749" s="16" t="str">
        <f>IF($A749&lt;Notes!$B$5,"",IF(COUNTIFS(Release_Calendar!$A$2:$A$755,"NZ_CPI",Release_Calendar!$B$2:$B$755,$A749)&gt;0,1,0))</f>
        <v/>
      </c>
      <c r="N749" s="16" t="str">
        <f>IF($A749&lt;Notes!$B$5,"",IF(COUNTIFS(Release_Calendar!$A$2:$A$755,"NZ_GDP",Release_Calendar!$B$2:$B$755,$A749)&gt;0,1,0))</f>
        <v/>
      </c>
      <c r="O749" s="16" t="str">
        <f>IF($A749&lt;Notes!$B$5,"",IF(COUNTIFS(Release_Calendar!$A$2:$A$755,"NZ_LABOUR",Release_Calendar!$B$2:$B$755,$A749)&gt;0,1,0))</f>
        <v/>
      </c>
      <c r="P749" s="16">
        <f t="shared" si="4"/>
        <v>0</v>
      </c>
    </row>
    <row r="750" ht="15.75" customHeight="1">
      <c r="A750" s="14">
        <v>37574.0</v>
      </c>
      <c r="B750" s="15">
        <v>1.89</v>
      </c>
      <c r="C750" s="15"/>
      <c r="D750" s="15">
        <v>5.66</v>
      </c>
      <c r="E750" s="15"/>
      <c r="F750" s="15" t="str">
        <f t="shared" si="1"/>
        <v/>
      </c>
      <c r="G750" s="15">
        <f t="shared" si="2"/>
        <v>5.66</v>
      </c>
      <c r="H750" s="16">
        <v>1.0</v>
      </c>
      <c r="I750" s="15">
        <f t="shared" si="3"/>
        <v>3.77</v>
      </c>
      <c r="J750" s="15">
        <v>28.67</v>
      </c>
      <c r="K750" s="16">
        <f>IF(COUNTIFS(Release_Calendar!$A$2:$A$755,"US_CPI",Release_Calendar!$B$2:$B$755,$A750)&gt;0,1,0)</f>
        <v>0</v>
      </c>
      <c r="L750" s="16">
        <f>IF(COUNTIFS(Release_Calendar!$A$2:$A$755,"US_NFP",Release_Calendar!$B$2:$B$755,$A750)&gt;0,1,0)</f>
        <v>0</v>
      </c>
      <c r="M750" s="16" t="str">
        <f>IF($A750&lt;Notes!$B$5,"",IF(COUNTIFS(Release_Calendar!$A$2:$A$755,"NZ_CPI",Release_Calendar!$B$2:$B$755,$A750)&gt;0,1,0))</f>
        <v/>
      </c>
      <c r="N750" s="16" t="str">
        <f>IF($A750&lt;Notes!$B$5,"",IF(COUNTIFS(Release_Calendar!$A$2:$A$755,"NZ_GDP",Release_Calendar!$B$2:$B$755,$A750)&gt;0,1,0))</f>
        <v/>
      </c>
      <c r="O750" s="16" t="str">
        <f>IF($A750&lt;Notes!$B$5,"",IF(COUNTIFS(Release_Calendar!$A$2:$A$755,"NZ_LABOUR",Release_Calendar!$B$2:$B$755,$A750)&gt;0,1,0))</f>
        <v/>
      </c>
      <c r="P750" s="16">
        <f t="shared" si="4"/>
        <v>0</v>
      </c>
    </row>
    <row r="751" ht="15.75" customHeight="1">
      <c r="A751" s="14">
        <v>37575.0</v>
      </c>
      <c r="B751" s="15">
        <v>1.91</v>
      </c>
      <c r="C751" s="15"/>
      <c r="D751" s="15">
        <v>5.73</v>
      </c>
      <c r="E751" s="15"/>
      <c r="F751" s="15" t="str">
        <f t="shared" si="1"/>
        <v/>
      </c>
      <c r="G751" s="15">
        <f t="shared" si="2"/>
        <v>5.73</v>
      </c>
      <c r="H751" s="16">
        <v>1.0</v>
      </c>
      <c r="I751" s="15">
        <f t="shared" si="3"/>
        <v>3.82</v>
      </c>
      <c r="J751" s="15">
        <v>26.65</v>
      </c>
      <c r="K751" s="16">
        <f>IF(COUNTIFS(Release_Calendar!$A$2:$A$755,"US_CPI",Release_Calendar!$B$2:$B$755,$A751)&gt;0,1,0)</f>
        <v>0</v>
      </c>
      <c r="L751" s="16">
        <f>IF(COUNTIFS(Release_Calendar!$A$2:$A$755,"US_NFP",Release_Calendar!$B$2:$B$755,$A751)&gt;0,1,0)</f>
        <v>0</v>
      </c>
      <c r="M751" s="16" t="str">
        <f>IF($A751&lt;Notes!$B$5,"",IF(COUNTIFS(Release_Calendar!$A$2:$A$755,"NZ_CPI",Release_Calendar!$B$2:$B$755,$A751)&gt;0,1,0))</f>
        <v/>
      </c>
      <c r="N751" s="16" t="str">
        <f>IF($A751&lt;Notes!$B$5,"",IF(COUNTIFS(Release_Calendar!$A$2:$A$755,"NZ_GDP",Release_Calendar!$B$2:$B$755,$A751)&gt;0,1,0))</f>
        <v/>
      </c>
      <c r="O751" s="16" t="str">
        <f>IF($A751&lt;Notes!$B$5,"",IF(COUNTIFS(Release_Calendar!$A$2:$A$755,"NZ_LABOUR",Release_Calendar!$B$2:$B$755,$A751)&gt;0,1,0))</f>
        <v/>
      </c>
      <c r="P751" s="16">
        <f t="shared" si="4"/>
        <v>0</v>
      </c>
    </row>
    <row r="752" ht="15.75" customHeight="1">
      <c r="A752" s="14">
        <v>37578.0</v>
      </c>
      <c r="B752" s="15">
        <v>1.91</v>
      </c>
      <c r="C752" s="15"/>
      <c r="D752" s="15">
        <v>5.73</v>
      </c>
      <c r="E752" s="15"/>
      <c r="F752" s="15" t="str">
        <f t="shared" si="1"/>
        <v/>
      </c>
      <c r="G752" s="15">
        <f t="shared" si="2"/>
        <v>5.73</v>
      </c>
      <c r="H752" s="16">
        <v>1.0</v>
      </c>
      <c r="I752" s="15">
        <f t="shared" si="3"/>
        <v>3.82</v>
      </c>
      <c r="J752" s="15">
        <v>27.66</v>
      </c>
      <c r="K752" s="16">
        <f>IF(COUNTIFS(Release_Calendar!$A$2:$A$755,"US_CPI",Release_Calendar!$B$2:$B$755,$A752)&gt;0,1,0)</f>
        <v>0</v>
      </c>
      <c r="L752" s="16">
        <f>IF(COUNTIFS(Release_Calendar!$A$2:$A$755,"US_NFP",Release_Calendar!$B$2:$B$755,$A752)&gt;0,1,0)</f>
        <v>0</v>
      </c>
      <c r="M752" s="16" t="str">
        <f>IF($A752&lt;Notes!$B$5,"",IF(COUNTIFS(Release_Calendar!$A$2:$A$755,"NZ_CPI",Release_Calendar!$B$2:$B$755,$A752)&gt;0,1,0))</f>
        <v/>
      </c>
      <c r="N752" s="16" t="str">
        <f>IF($A752&lt;Notes!$B$5,"",IF(COUNTIFS(Release_Calendar!$A$2:$A$755,"NZ_GDP",Release_Calendar!$B$2:$B$755,$A752)&gt;0,1,0))</f>
        <v/>
      </c>
      <c r="O752" s="16" t="str">
        <f>IF($A752&lt;Notes!$B$5,"",IF(COUNTIFS(Release_Calendar!$A$2:$A$755,"NZ_LABOUR",Release_Calendar!$B$2:$B$755,$A752)&gt;0,1,0))</f>
        <v/>
      </c>
      <c r="P752" s="16">
        <f t="shared" si="4"/>
        <v>0</v>
      </c>
    </row>
    <row r="753" ht="15.75" customHeight="1">
      <c r="A753" s="14">
        <v>37579.0</v>
      </c>
      <c r="B753" s="15">
        <v>1.91</v>
      </c>
      <c r="C753" s="15"/>
      <c r="D753" s="15">
        <v>5.73</v>
      </c>
      <c r="E753" s="15"/>
      <c r="F753" s="15" t="str">
        <f t="shared" si="1"/>
        <v/>
      </c>
      <c r="G753" s="15">
        <f t="shared" si="2"/>
        <v>5.73</v>
      </c>
      <c r="H753" s="16">
        <v>1.0</v>
      </c>
      <c r="I753" s="15">
        <f t="shared" si="3"/>
        <v>3.82</v>
      </c>
      <c r="J753" s="15">
        <v>27.41</v>
      </c>
      <c r="K753" s="16">
        <f>IF(COUNTIFS(Release_Calendar!$A$2:$A$755,"US_CPI",Release_Calendar!$B$2:$B$755,$A753)&gt;0,1,0)</f>
        <v>1</v>
      </c>
      <c r="L753" s="16">
        <f>IF(COUNTIFS(Release_Calendar!$A$2:$A$755,"US_NFP",Release_Calendar!$B$2:$B$755,$A753)&gt;0,1,0)</f>
        <v>0</v>
      </c>
      <c r="M753" s="16" t="str">
        <f>IF($A753&lt;Notes!$B$5,"",IF(COUNTIFS(Release_Calendar!$A$2:$A$755,"NZ_CPI",Release_Calendar!$B$2:$B$755,$A753)&gt;0,1,0))</f>
        <v/>
      </c>
      <c r="N753" s="16" t="str">
        <f>IF($A753&lt;Notes!$B$5,"",IF(COUNTIFS(Release_Calendar!$A$2:$A$755,"NZ_GDP",Release_Calendar!$B$2:$B$755,$A753)&gt;0,1,0))</f>
        <v/>
      </c>
      <c r="O753" s="16" t="str">
        <f>IF($A753&lt;Notes!$B$5,"",IF(COUNTIFS(Release_Calendar!$A$2:$A$755,"NZ_LABOUR",Release_Calendar!$B$2:$B$755,$A753)&gt;0,1,0))</f>
        <v/>
      </c>
      <c r="P753" s="16">
        <f t="shared" si="4"/>
        <v>1</v>
      </c>
    </row>
    <row r="754" ht="15.75" customHeight="1">
      <c r="A754" s="14">
        <v>37580.0</v>
      </c>
      <c r="B754" s="15">
        <v>1.98</v>
      </c>
      <c r="C754" s="15"/>
      <c r="D754" s="15">
        <v>5.78</v>
      </c>
      <c r="E754" s="15"/>
      <c r="F754" s="15" t="str">
        <f t="shared" si="1"/>
        <v/>
      </c>
      <c r="G754" s="15">
        <f t="shared" si="2"/>
        <v>5.78</v>
      </c>
      <c r="H754" s="16">
        <v>1.0</v>
      </c>
      <c r="I754" s="15">
        <f t="shared" si="3"/>
        <v>3.8</v>
      </c>
      <c r="J754" s="15">
        <v>25.32</v>
      </c>
      <c r="K754" s="16">
        <f>IF(COUNTIFS(Release_Calendar!$A$2:$A$755,"US_CPI",Release_Calendar!$B$2:$B$755,$A754)&gt;0,1,0)</f>
        <v>0</v>
      </c>
      <c r="L754" s="16">
        <f>IF(COUNTIFS(Release_Calendar!$A$2:$A$755,"US_NFP",Release_Calendar!$B$2:$B$755,$A754)&gt;0,1,0)</f>
        <v>0</v>
      </c>
      <c r="M754" s="16" t="str">
        <f>IF($A754&lt;Notes!$B$5,"",IF(COUNTIFS(Release_Calendar!$A$2:$A$755,"NZ_CPI",Release_Calendar!$B$2:$B$755,$A754)&gt;0,1,0))</f>
        <v/>
      </c>
      <c r="N754" s="16" t="str">
        <f>IF($A754&lt;Notes!$B$5,"",IF(COUNTIFS(Release_Calendar!$A$2:$A$755,"NZ_GDP",Release_Calendar!$B$2:$B$755,$A754)&gt;0,1,0))</f>
        <v/>
      </c>
      <c r="O754" s="16" t="str">
        <f>IF($A754&lt;Notes!$B$5,"",IF(COUNTIFS(Release_Calendar!$A$2:$A$755,"NZ_LABOUR",Release_Calendar!$B$2:$B$755,$A754)&gt;0,1,0))</f>
        <v/>
      </c>
      <c r="P754" s="16">
        <f t="shared" si="4"/>
        <v>0</v>
      </c>
    </row>
    <row r="755" ht="15.75" customHeight="1">
      <c r="A755" s="14">
        <v>37581.0</v>
      </c>
      <c r="B755" s="15">
        <v>2.05</v>
      </c>
      <c r="C755" s="15"/>
      <c r="D755" s="15">
        <v>5.86</v>
      </c>
      <c r="E755" s="15"/>
      <c r="F755" s="15" t="str">
        <f t="shared" si="1"/>
        <v/>
      </c>
      <c r="G755" s="15">
        <f t="shared" si="2"/>
        <v>5.86</v>
      </c>
      <c r="H755" s="16">
        <v>1.0</v>
      </c>
      <c r="I755" s="15">
        <f t="shared" si="3"/>
        <v>3.81</v>
      </c>
      <c r="J755" s="15">
        <v>23.81</v>
      </c>
      <c r="K755" s="16">
        <f>IF(COUNTIFS(Release_Calendar!$A$2:$A$755,"US_CPI",Release_Calendar!$B$2:$B$755,$A755)&gt;0,1,0)</f>
        <v>0</v>
      </c>
      <c r="L755" s="16">
        <f>IF(COUNTIFS(Release_Calendar!$A$2:$A$755,"US_NFP",Release_Calendar!$B$2:$B$755,$A755)&gt;0,1,0)</f>
        <v>0</v>
      </c>
      <c r="M755" s="16" t="str">
        <f>IF($A755&lt;Notes!$B$5,"",IF(COUNTIFS(Release_Calendar!$A$2:$A$755,"NZ_CPI",Release_Calendar!$B$2:$B$755,$A755)&gt;0,1,0))</f>
        <v/>
      </c>
      <c r="N755" s="16" t="str">
        <f>IF($A755&lt;Notes!$B$5,"",IF(COUNTIFS(Release_Calendar!$A$2:$A$755,"NZ_GDP",Release_Calendar!$B$2:$B$755,$A755)&gt;0,1,0))</f>
        <v/>
      </c>
      <c r="O755" s="16" t="str">
        <f>IF($A755&lt;Notes!$B$5,"",IF(COUNTIFS(Release_Calendar!$A$2:$A$755,"NZ_LABOUR",Release_Calendar!$B$2:$B$755,$A755)&gt;0,1,0))</f>
        <v/>
      </c>
      <c r="P755" s="16">
        <f t="shared" si="4"/>
        <v>0</v>
      </c>
    </row>
    <row r="756" ht="15.75" customHeight="1">
      <c r="A756" s="14">
        <v>37582.0</v>
      </c>
      <c r="B756" s="15">
        <v>2.1</v>
      </c>
      <c r="C756" s="15"/>
      <c r="D756" s="15">
        <v>5.84</v>
      </c>
      <c r="E756" s="15"/>
      <c r="F756" s="15" t="str">
        <f t="shared" si="1"/>
        <v/>
      </c>
      <c r="G756" s="15">
        <f t="shared" si="2"/>
        <v>5.84</v>
      </c>
      <c r="H756" s="16">
        <v>1.0</v>
      </c>
      <c r="I756" s="15">
        <f t="shared" si="3"/>
        <v>3.74</v>
      </c>
      <c r="J756" s="15">
        <v>23.16</v>
      </c>
      <c r="K756" s="16">
        <f>IF(COUNTIFS(Release_Calendar!$A$2:$A$755,"US_CPI",Release_Calendar!$B$2:$B$755,$A756)&gt;0,1,0)</f>
        <v>0</v>
      </c>
      <c r="L756" s="16">
        <f>IF(COUNTIFS(Release_Calendar!$A$2:$A$755,"US_NFP",Release_Calendar!$B$2:$B$755,$A756)&gt;0,1,0)</f>
        <v>0</v>
      </c>
      <c r="M756" s="16" t="str">
        <f>IF($A756&lt;Notes!$B$5,"",IF(COUNTIFS(Release_Calendar!$A$2:$A$755,"NZ_CPI",Release_Calendar!$B$2:$B$755,$A756)&gt;0,1,0))</f>
        <v/>
      </c>
      <c r="N756" s="16" t="str">
        <f>IF($A756&lt;Notes!$B$5,"",IF(COUNTIFS(Release_Calendar!$A$2:$A$755,"NZ_GDP",Release_Calendar!$B$2:$B$755,$A756)&gt;0,1,0))</f>
        <v/>
      </c>
      <c r="O756" s="16" t="str">
        <f>IF($A756&lt;Notes!$B$5,"",IF(COUNTIFS(Release_Calendar!$A$2:$A$755,"NZ_LABOUR",Release_Calendar!$B$2:$B$755,$A756)&gt;0,1,0))</f>
        <v/>
      </c>
      <c r="P756" s="16">
        <f t="shared" si="4"/>
        <v>0</v>
      </c>
    </row>
    <row r="757" ht="15.75" customHeight="1">
      <c r="A757" s="14">
        <v>37585.0</v>
      </c>
      <c r="B757" s="15">
        <v>2.09</v>
      </c>
      <c r="C757" s="15"/>
      <c r="D757" s="15">
        <v>5.79</v>
      </c>
      <c r="E757" s="15"/>
      <c r="F757" s="15" t="str">
        <f t="shared" si="1"/>
        <v/>
      </c>
      <c r="G757" s="15">
        <f t="shared" si="2"/>
        <v>5.79</v>
      </c>
      <c r="H757" s="16">
        <v>1.0</v>
      </c>
      <c r="I757" s="15">
        <f t="shared" si="3"/>
        <v>3.7</v>
      </c>
      <c r="J757" s="15">
        <v>24.07</v>
      </c>
      <c r="K757" s="16">
        <f>IF(COUNTIFS(Release_Calendar!$A$2:$A$755,"US_CPI",Release_Calendar!$B$2:$B$755,$A757)&gt;0,1,0)</f>
        <v>0</v>
      </c>
      <c r="L757" s="16">
        <f>IF(COUNTIFS(Release_Calendar!$A$2:$A$755,"US_NFP",Release_Calendar!$B$2:$B$755,$A757)&gt;0,1,0)</f>
        <v>0</v>
      </c>
      <c r="M757" s="16" t="str">
        <f>IF($A757&lt;Notes!$B$5,"",IF(COUNTIFS(Release_Calendar!$A$2:$A$755,"NZ_CPI",Release_Calendar!$B$2:$B$755,$A757)&gt;0,1,0))</f>
        <v/>
      </c>
      <c r="N757" s="16" t="str">
        <f>IF($A757&lt;Notes!$B$5,"",IF(COUNTIFS(Release_Calendar!$A$2:$A$755,"NZ_GDP",Release_Calendar!$B$2:$B$755,$A757)&gt;0,1,0))</f>
        <v/>
      </c>
      <c r="O757" s="16" t="str">
        <f>IF($A757&lt;Notes!$B$5,"",IF(COUNTIFS(Release_Calendar!$A$2:$A$755,"NZ_LABOUR",Release_Calendar!$B$2:$B$755,$A757)&gt;0,1,0))</f>
        <v/>
      </c>
      <c r="P757" s="16">
        <f t="shared" si="4"/>
        <v>0</v>
      </c>
    </row>
    <row r="758" ht="15.75" customHeight="1">
      <c r="A758" s="14">
        <v>37586.0</v>
      </c>
      <c r="B758" s="15">
        <v>1.97</v>
      </c>
      <c r="C758" s="15"/>
      <c r="D758" s="15">
        <v>5.79</v>
      </c>
      <c r="E758" s="15"/>
      <c r="F758" s="15" t="str">
        <f t="shared" si="1"/>
        <v/>
      </c>
      <c r="G758" s="15">
        <f t="shared" si="2"/>
        <v>5.79</v>
      </c>
      <c r="H758" s="16">
        <v>1.0</v>
      </c>
      <c r="I758" s="15">
        <f t="shared" si="3"/>
        <v>3.82</v>
      </c>
      <c r="J758" s="15">
        <v>25.97</v>
      </c>
      <c r="K758" s="16">
        <f>IF(COUNTIFS(Release_Calendar!$A$2:$A$755,"US_CPI",Release_Calendar!$B$2:$B$755,$A758)&gt;0,1,0)</f>
        <v>0</v>
      </c>
      <c r="L758" s="16">
        <f>IF(COUNTIFS(Release_Calendar!$A$2:$A$755,"US_NFP",Release_Calendar!$B$2:$B$755,$A758)&gt;0,1,0)</f>
        <v>0</v>
      </c>
      <c r="M758" s="16" t="str">
        <f>IF($A758&lt;Notes!$B$5,"",IF(COUNTIFS(Release_Calendar!$A$2:$A$755,"NZ_CPI",Release_Calendar!$B$2:$B$755,$A758)&gt;0,1,0))</f>
        <v/>
      </c>
      <c r="N758" s="16" t="str">
        <f>IF($A758&lt;Notes!$B$5,"",IF(COUNTIFS(Release_Calendar!$A$2:$A$755,"NZ_GDP",Release_Calendar!$B$2:$B$755,$A758)&gt;0,1,0))</f>
        <v/>
      </c>
      <c r="O758" s="16" t="str">
        <f>IF($A758&lt;Notes!$B$5,"",IF(COUNTIFS(Release_Calendar!$A$2:$A$755,"NZ_LABOUR",Release_Calendar!$B$2:$B$755,$A758)&gt;0,1,0))</f>
        <v/>
      </c>
      <c r="P758" s="16">
        <f t="shared" si="4"/>
        <v>0</v>
      </c>
    </row>
    <row r="759" ht="15.75" customHeight="1">
      <c r="A759" s="14">
        <v>37587.0</v>
      </c>
      <c r="B759" s="15">
        <v>2.13</v>
      </c>
      <c r="C759" s="15"/>
      <c r="D759" s="15">
        <v>5.74</v>
      </c>
      <c r="E759" s="15"/>
      <c r="F759" s="15" t="str">
        <f t="shared" si="1"/>
        <v/>
      </c>
      <c r="G759" s="15">
        <f t="shared" si="2"/>
        <v>5.74</v>
      </c>
      <c r="H759" s="16">
        <v>1.0</v>
      </c>
      <c r="I759" s="15">
        <f t="shared" si="3"/>
        <v>3.61</v>
      </c>
      <c r="J759" s="15">
        <v>27.25</v>
      </c>
      <c r="K759" s="16">
        <f>IF(COUNTIFS(Release_Calendar!$A$2:$A$755,"US_CPI",Release_Calendar!$B$2:$B$755,$A759)&gt;0,1,0)</f>
        <v>0</v>
      </c>
      <c r="L759" s="16">
        <f>IF(COUNTIFS(Release_Calendar!$A$2:$A$755,"US_NFP",Release_Calendar!$B$2:$B$755,$A759)&gt;0,1,0)</f>
        <v>0</v>
      </c>
      <c r="M759" s="16" t="str">
        <f>IF($A759&lt;Notes!$B$5,"",IF(COUNTIFS(Release_Calendar!$A$2:$A$755,"NZ_CPI",Release_Calendar!$B$2:$B$755,$A759)&gt;0,1,0))</f>
        <v/>
      </c>
      <c r="N759" s="16" t="str">
        <f>IF($A759&lt;Notes!$B$5,"",IF(COUNTIFS(Release_Calendar!$A$2:$A$755,"NZ_GDP",Release_Calendar!$B$2:$B$755,$A759)&gt;0,1,0))</f>
        <v/>
      </c>
      <c r="O759" s="16" t="str">
        <f>IF($A759&lt;Notes!$B$5,"",IF(COUNTIFS(Release_Calendar!$A$2:$A$755,"NZ_LABOUR",Release_Calendar!$B$2:$B$755,$A759)&gt;0,1,0))</f>
        <v/>
      </c>
      <c r="P759" s="16">
        <f t="shared" si="4"/>
        <v>0</v>
      </c>
    </row>
    <row r="760" ht="15.75" customHeight="1">
      <c r="A760" s="14">
        <v>37588.0</v>
      </c>
      <c r="B760" s="15"/>
      <c r="C760" s="15"/>
      <c r="D760" s="15">
        <v>5.83</v>
      </c>
      <c r="E760" s="15"/>
      <c r="F760" s="15" t="str">
        <f t="shared" si="1"/>
        <v/>
      </c>
      <c r="G760" s="15">
        <f t="shared" si="2"/>
        <v>5.83</v>
      </c>
      <c r="H760" s="16">
        <v>1.0</v>
      </c>
      <c r="I760" s="15" t="str">
        <f t="shared" si="3"/>
        <v/>
      </c>
      <c r="J760" s="15"/>
      <c r="K760" s="16">
        <f>IF(COUNTIFS(Release_Calendar!$A$2:$A$755,"US_CPI",Release_Calendar!$B$2:$B$755,$A760)&gt;0,1,0)</f>
        <v>0</v>
      </c>
      <c r="L760" s="16">
        <f>IF(COUNTIFS(Release_Calendar!$A$2:$A$755,"US_NFP",Release_Calendar!$B$2:$B$755,$A760)&gt;0,1,0)</f>
        <v>0</v>
      </c>
      <c r="M760" s="16" t="str">
        <f>IF($A760&lt;Notes!$B$5,"",IF(COUNTIFS(Release_Calendar!$A$2:$A$755,"NZ_CPI",Release_Calendar!$B$2:$B$755,$A760)&gt;0,1,0))</f>
        <v/>
      </c>
      <c r="N760" s="16" t="str">
        <f>IF($A760&lt;Notes!$B$5,"",IF(COUNTIFS(Release_Calendar!$A$2:$A$755,"NZ_GDP",Release_Calendar!$B$2:$B$755,$A760)&gt;0,1,0))</f>
        <v/>
      </c>
      <c r="O760" s="16" t="str">
        <f>IF($A760&lt;Notes!$B$5,"",IF(COUNTIFS(Release_Calendar!$A$2:$A$755,"NZ_LABOUR",Release_Calendar!$B$2:$B$755,$A760)&gt;0,1,0))</f>
        <v/>
      </c>
      <c r="P760" s="16">
        <f t="shared" si="4"/>
        <v>0</v>
      </c>
    </row>
    <row r="761" ht="15.75" customHeight="1">
      <c r="A761" s="14">
        <v>37589.0</v>
      </c>
      <c r="B761" s="15">
        <v>2.08</v>
      </c>
      <c r="C761" s="15"/>
      <c r="D761" s="15">
        <v>5.81</v>
      </c>
      <c r="E761" s="15"/>
      <c r="F761" s="15" t="str">
        <f t="shared" si="1"/>
        <v/>
      </c>
      <c r="G761" s="15">
        <f t="shared" si="2"/>
        <v>5.81</v>
      </c>
      <c r="H761" s="16">
        <v>1.0</v>
      </c>
      <c r="I761" s="15">
        <f t="shared" si="3"/>
        <v>3.73</v>
      </c>
      <c r="J761" s="15">
        <v>27.5</v>
      </c>
      <c r="K761" s="16">
        <f>IF(COUNTIFS(Release_Calendar!$A$2:$A$755,"US_CPI",Release_Calendar!$B$2:$B$755,$A761)&gt;0,1,0)</f>
        <v>0</v>
      </c>
      <c r="L761" s="16">
        <f>IF(COUNTIFS(Release_Calendar!$A$2:$A$755,"US_NFP",Release_Calendar!$B$2:$B$755,$A761)&gt;0,1,0)</f>
        <v>0</v>
      </c>
      <c r="M761" s="16" t="str">
        <f>IF($A761&lt;Notes!$B$5,"",IF(COUNTIFS(Release_Calendar!$A$2:$A$755,"NZ_CPI",Release_Calendar!$B$2:$B$755,$A761)&gt;0,1,0))</f>
        <v/>
      </c>
      <c r="N761" s="16" t="str">
        <f>IF($A761&lt;Notes!$B$5,"",IF(COUNTIFS(Release_Calendar!$A$2:$A$755,"NZ_GDP",Release_Calendar!$B$2:$B$755,$A761)&gt;0,1,0))</f>
        <v/>
      </c>
      <c r="O761" s="16" t="str">
        <f>IF($A761&lt;Notes!$B$5,"",IF(COUNTIFS(Release_Calendar!$A$2:$A$755,"NZ_LABOUR",Release_Calendar!$B$2:$B$755,$A761)&gt;0,1,0))</f>
        <v/>
      </c>
      <c r="P761" s="16">
        <f t="shared" si="4"/>
        <v>0</v>
      </c>
    </row>
    <row r="762" ht="15.75" customHeight="1">
      <c r="A762" s="14">
        <v>37592.0</v>
      </c>
      <c r="B762" s="15">
        <v>2.07</v>
      </c>
      <c r="C762" s="15"/>
      <c r="D762" s="15">
        <v>5.79</v>
      </c>
      <c r="E762" s="15"/>
      <c r="F762" s="15" t="str">
        <f t="shared" si="1"/>
        <v/>
      </c>
      <c r="G762" s="15">
        <f t="shared" si="2"/>
        <v>5.79</v>
      </c>
      <c r="H762" s="16">
        <v>1.0</v>
      </c>
      <c r="I762" s="15">
        <f t="shared" si="3"/>
        <v>3.72</v>
      </c>
      <c r="J762" s="15">
        <v>27.46</v>
      </c>
      <c r="K762" s="16">
        <f>IF(COUNTIFS(Release_Calendar!$A$2:$A$755,"US_CPI",Release_Calendar!$B$2:$B$755,$A762)&gt;0,1,0)</f>
        <v>0</v>
      </c>
      <c r="L762" s="16">
        <f>IF(COUNTIFS(Release_Calendar!$A$2:$A$755,"US_NFP",Release_Calendar!$B$2:$B$755,$A762)&gt;0,1,0)</f>
        <v>0</v>
      </c>
      <c r="M762" s="16" t="str">
        <f>IF($A762&lt;Notes!$B$5,"",IF(COUNTIFS(Release_Calendar!$A$2:$A$755,"NZ_CPI",Release_Calendar!$B$2:$B$755,$A762)&gt;0,1,0))</f>
        <v/>
      </c>
      <c r="N762" s="16" t="str">
        <f>IF($A762&lt;Notes!$B$5,"",IF(COUNTIFS(Release_Calendar!$A$2:$A$755,"NZ_GDP",Release_Calendar!$B$2:$B$755,$A762)&gt;0,1,0))</f>
        <v/>
      </c>
      <c r="O762" s="16" t="str">
        <f>IF($A762&lt;Notes!$B$5,"",IF(COUNTIFS(Release_Calendar!$A$2:$A$755,"NZ_LABOUR",Release_Calendar!$B$2:$B$755,$A762)&gt;0,1,0))</f>
        <v/>
      </c>
      <c r="P762" s="16">
        <f t="shared" si="4"/>
        <v>0</v>
      </c>
    </row>
    <row r="763" ht="15.75" customHeight="1">
      <c r="A763" s="14">
        <v>37593.0</v>
      </c>
      <c r="B763" s="15">
        <v>2.08</v>
      </c>
      <c r="C763" s="15"/>
      <c r="D763" s="15">
        <v>5.81</v>
      </c>
      <c r="E763" s="15"/>
      <c r="F763" s="15" t="str">
        <f t="shared" si="1"/>
        <v/>
      </c>
      <c r="G763" s="15">
        <f t="shared" si="2"/>
        <v>5.81</v>
      </c>
      <c r="H763" s="16">
        <v>1.0</v>
      </c>
      <c r="I763" s="15">
        <f t="shared" si="3"/>
        <v>3.73</v>
      </c>
      <c r="J763" s="15">
        <v>28.33</v>
      </c>
      <c r="K763" s="16">
        <f>IF(COUNTIFS(Release_Calendar!$A$2:$A$755,"US_CPI",Release_Calendar!$B$2:$B$755,$A763)&gt;0,1,0)</f>
        <v>0</v>
      </c>
      <c r="L763" s="16">
        <f>IF(COUNTIFS(Release_Calendar!$A$2:$A$755,"US_NFP",Release_Calendar!$B$2:$B$755,$A763)&gt;0,1,0)</f>
        <v>0</v>
      </c>
      <c r="M763" s="16" t="str">
        <f>IF($A763&lt;Notes!$B$5,"",IF(COUNTIFS(Release_Calendar!$A$2:$A$755,"NZ_CPI",Release_Calendar!$B$2:$B$755,$A763)&gt;0,1,0))</f>
        <v/>
      </c>
      <c r="N763" s="16" t="str">
        <f>IF($A763&lt;Notes!$B$5,"",IF(COUNTIFS(Release_Calendar!$A$2:$A$755,"NZ_GDP",Release_Calendar!$B$2:$B$755,$A763)&gt;0,1,0))</f>
        <v/>
      </c>
      <c r="O763" s="16" t="str">
        <f>IF($A763&lt;Notes!$B$5,"",IF(COUNTIFS(Release_Calendar!$A$2:$A$755,"NZ_LABOUR",Release_Calendar!$B$2:$B$755,$A763)&gt;0,1,0))</f>
        <v/>
      </c>
      <c r="P763" s="16">
        <f t="shared" si="4"/>
        <v>0</v>
      </c>
    </row>
    <row r="764" ht="15.75" customHeight="1">
      <c r="A764" s="14">
        <v>37594.0</v>
      </c>
      <c r="B764" s="15">
        <v>2.02</v>
      </c>
      <c r="C764" s="15"/>
      <c r="D764" s="15">
        <v>5.81</v>
      </c>
      <c r="E764" s="15"/>
      <c r="F764" s="15" t="str">
        <f t="shared" si="1"/>
        <v/>
      </c>
      <c r="G764" s="15">
        <f t="shared" si="2"/>
        <v>5.81</v>
      </c>
      <c r="H764" s="16">
        <v>1.0</v>
      </c>
      <c r="I764" s="15">
        <f t="shared" si="3"/>
        <v>3.79</v>
      </c>
      <c r="J764" s="15">
        <v>28.92</v>
      </c>
      <c r="K764" s="16">
        <f>IF(COUNTIFS(Release_Calendar!$A$2:$A$755,"US_CPI",Release_Calendar!$B$2:$B$755,$A764)&gt;0,1,0)</f>
        <v>0</v>
      </c>
      <c r="L764" s="16">
        <f>IF(COUNTIFS(Release_Calendar!$A$2:$A$755,"US_NFP",Release_Calendar!$B$2:$B$755,$A764)&gt;0,1,0)</f>
        <v>0</v>
      </c>
      <c r="M764" s="16" t="str">
        <f>IF($A764&lt;Notes!$B$5,"",IF(COUNTIFS(Release_Calendar!$A$2:$A$755,"NZ_CPI",Release_Calendar!$B$2:$B$755,$A764)&gt;0,1,0))</f>
        <v/>
      </c>
      <c r="N764" s="16" t="str">
        <f>IF($A764&lt;Notes!$B$5,"",IF(COUNTIFS(Release_Calendar!$A$2:$A$755,"NZ_GDP",Release_Calendar!$B$2:$B$755,$A764)&gt;0,1,0))</f>
        <v/>
      </c>
      <c r="O764" s="16" t="str">
        <f>IF($A764&lt;Notes!$B$5,"",IF(COUNTIFS(Release_Calendar!$A$2:$A$755,"NZ_LABOUR",Release_Calendar!$B$2:$B$755,$A764)&gt;0,1,0))</f>
        <v/>
      </c>
      <c r="P764" s="16">
        <f t="shared" si="4"/>
        <v>0</v>
      </c>
    </row>
    <row r="765" ht="15.75" customHeight="1">
      <c r="A765" s="14">
        <v>37595.0</v>
      </c>
      <c r="B765" s="15">
        <v>1.97</v>
      </c>
      <c r="C765" s="15"/>
      <c r="D765" s="15">
        <v>5.79</v>
      </c>
      <c r="E765" s="15"/>
      <c r="F765" s="15" t="str">
        <f t="shared" si="1"/>
        <v/>
      </c>
      <c r="G765" s="15">
        <f t="shared" si="2"/>
        <v>5.79</v>
      </c>
      <c r="H765" s="16">
        <v>1.0</v>
      </c>
      <c r="I765" s="15">
        <f t="shared" si="3"/>
        <v>3.82</v>
      </c>
      <c r="J765" s="15">
        <v>30.1</v>
      </c>
      <c r="K765" s="16">
        <f>IF(COUNTIFS(Release_Calendar!$A$2:$A$755,"US_CPI",Release_Calendar!$B$2:$B$755,$A765)&gt;0,1,0)</f>
        <v>0</v>
      </c>
      <c r="L765" s="16">
        <f>IF(COUNTIFS(Release_Calendar!$A$2:$A$755,"US_NFP",Release_Calendar!$B$2:$B$755,$A765)&gt;0,1,0)</f>
        <v>0</v>
      </c>
      <c r="M765" s="16" t="str">
        <f>IF($A765&lt;Notes!$B$5,"",IF(COUNTIFS(Release_Calendar!$A$2:$A$755,"NZ_CPI",Release_Calendar!$B$2:$B$755,$A765)&gt;0,1,0))</f>
        <v/>
      </c>
      <c r="N765" s="16" t="str">
        <f>IF($A765&lt;Notes!$B$5,"",IF(COUNTIFS(Release_Calendar!$A$2:$A$755,"NZ_GDP",Release_Calendar!$B$2:$B$755,$A765)&gt;0,1,0))</f>
        <v/>
      </c>
      <c r="O765" s="16" t="str">
        <f>IF($A765&lt;Notes!$B$5,"",IF(COUNTIFS(Release_Calendar!$A$2:$A$755,"NZ_LABOUR",Release_Calendar!$B$2:$B$755,$A765)&gt;0,1,0))</f>
        <v/>
      </c>
      <c r="P765" s="16">
        <f t="shared" si="4"/>
        <v>0</v>
      </c>
    </row>
    <row r="766" ht="15.75" customHeight="1">
      <c r="A766" s="14">
        <v>37596.0</v>
      </c>
      <c r="B766" s="15">
        <v>1.89</v>
      </c>
      <c r="C766" s="15"/>
      <c r="D766" s="15">
        <v>5.79</v>
      </c>
      <c r="E766" s="15"/>
      <c r="F766" s="15" t="str">
        <f t="shared" si="1"/>
        <v/>
      </c>
      <c r="G766" s="15">
        <f t="shared" si="2"/>
        <v>5.79</v>
      </c>
      <c r="H766" s="16">
        <v>1.0</v>
      </c>
      <c r="I766" s="15">
        <f t="shared" si="3"/>
        <v>3.9</v>
      </c>
      <c r="J766" s="15">
        <v>28.88</v>
      </c>
      <c r="K766" s="16">
        <f>IF(COUNTIFS(Release_Calendar!$A$2:$A$755,"US_CPI",Release_Calendar!$B$2:$B$755,$A766)&gt;0,1,0)</f>
        <v>0</v>
      </c>
      <c r="L766" s="16">
        <f>IF(COUNTIFS(Release_Calendar!$A$2:$A$755,"US_NFP",Release_Calendar!$B$2:$B$755,$A766)&gt;0,1,0)</f>
        <v>1</v>
      </c>
      <c r="M766" s="16" t="str">
        <f>IF($A766&lt;Notes!$B$5,"",IF(COUNTIFS(Release_Calendar!$A$2:$A$755,"NZ_CPI",Release_Calendar!$B$2:$B$755,$A766)&gt;0,1,0))</f>
        <v/>
      </c>
      <c r="N766" s="16" t="str">
        <f>IF($A766&lt;Notes!$B$5,"",IF(COUNTIFS(Release_Calendar!$A$2:$A$755,"NZ_GDP",Release_Calendar!$B$2:$B$755,$A766)&gt;0,1,0))</f>
        <v/>
      </c>
      <c r="O766" s="16" t="str">
        <f>IF($A766&lt;Notes!$B$5,"",IF(COUNTIFS(Release_Calendar!$A$2:$A$755,"NZ_LABOUR",Release_Calendar!$B$2:$B$755,$A766)&gt;0,1,0))</f>
        <v/>
      </c>
      <c r="P766" s="16">
        <f t="shared" si="4"/>
        <v>1</v>
      </c>
    </row>
    <row r="767" ht="15.75" customHeight="1">
      <c r="A767" s="14">
        <v>37599.0</v>
      </c>
      <c r="B767" s="15">
        <v>1.88</v>
      </c>
      <c r="C767" s="15"/>
      <c r="D767" s="15">
        <v>5.77</v>
      </c>
      <c r="E767" s="15"/>
      <c r="F767" s="15" t="str">
        <f t="shared" si="1"/>
        <v/>
      </c>
      <c r="G767" s="15">
        <f t="shared" si="2"/>
        <v>5.77</v>
      </c>
      <c r="H767" s="16">
        <v>1.0</v>
      </c>
      <c r="I767" s="15">
        <f t="shared" si="3"/>
        <v>3.89</v>
      </c>
      <c r="J767" s="15">
        <v>30.78</v>
      </c>
      <c r="K767" s="16">
        <f>IF(COUNTIFS(Release_Calendar!$A$2:$A$755,"US_CPI",Release_Calendar!$B$2:$B$755,$A767)&gt;0,1,0)</f>
        <v>0</v>
      </c>
      <c r="L767" s="16">
        <f>IF(COUNTIFS(Release_Calendar!$A$2:$A$755,"US_NFP",Release_Calendar!$B$2:$B$755,$A767)&gt;0,1,0)</f>
        <v>0</v>
      </c>
      <c r="M767" s="16" t="str">
        <f>IF($A767&lt;Notes!$B$5,"",IF(COUNTIFS(Release_Calendar!$A$2:$A$755,"NZ_CPI",Release_Calendar!$B$2:$B$755,$A767)&gt;0,1,0))</f>
        <v/>
      </c>
      <c r="N767" s="16" t="str">
        <f>IF($A767&lt;Notes!$B$5,"",IF(COUNTIFS(Release_Calendar!$A$2:$A$755,"NZ_GDP",Release_Calendar!$B$2:$B$755,$A767)&gt;0,1,0))</f>
        <v/>
      </c>
      <c r="O767" s="16" t="str">
        <f>IF($A767&lt;Notes!$B$5,"",IF(COUNTIFS(Release_Calendar!$A$2:$A$755,"NZ_LABOUR",Release_Calendar!$B$2:$B$755,$A767)&gt;0,1,0))</f>
        <v/>
      </c>
      <c r="P767" s="16">
        <f t="shared" si="4"/>
        <v>0</v>
      </c>
    </row>
    <row r="768" ht="15.75" customHeight="1">
      <c r="A768" s="14">
        <v>37600.0</v>
      </c>
      <c r="B768" s="15">
        <v>1.9</v>
      </c>
      <c r="C768" s="15"/>
      <c r="D768" s="15">
        <v>5.77</v>
      </c>
      <c r="E768" s="15"/>
      <c r="F768" s="15" t="str">
        <f t="shared" si="1"/>
        <v/>
      </c>
      <c r="G768" s="15">
        <f t="shared" si="2"/>
        <v>5.77</v>
      </c>
      <c r="H768" s="16">
        <v>1.0</v>
      </c>
      <c r="I768" s="15">
        <f t="shared" si="3"/>
        <v>3.87</v>
      </c>
      <c r="J768" s="15">
        <v>28.76</v>
      </c>
      <c r="K768" s="16">
        <f>IF(COUNTIFS(Release_Calendar!$A$2:$A$755,"US_CPI",Release_Calendar!$B$2:$B$755,$A768)&gt;0,1,0)</f>
        <v>0</v>
      </c>
      <c r="L768" s="16">
        <f>IF(COUNTIFS(Release_Calendar!$A$2:$A$755,"US_NFP",Release_Calendar!$B$2:$B$755,$A768)&gt;0,1,0)</f>
        <v>0</v>
      </c>
      <c r="M768" s="16" t="str">
        <f>IF($A768&lt;Notes!$B$5,"",IF(COUNTIFS(Release_Calendar!$A$2:$A$755,"NZ_CPI",Release_Calendar!$B$2:$B$755,$A768)&gt;0,1,0))</f>
        <v/>
      </c>
      <c r="N768" s="16" t="str">
        <f>IF($A768&lt;Notes!$B$5,"",IF(COUNTIFS(Release_Calendar!$A$2:$A$755,"NZ_GDP",Release_Calendar!$B$2:$B$755,$A768)&gt;0,1,0))</f>
        <v/>
      </c>
      <c r="O768" s="16" t="str">
        <f>IF($A768&lt;Notes!$B$5,"",IF(COUNTIFS(Release_Calendar!$A$2:$A$755,"NZ_LABOUR",Release_Calendar!$B$2:$B$755,$A768)&gt;0,1,0))</f>
        <v/>
      </c>
      <c r="P768" s="16">
        <f t="shared" si="4"/>
        <v>0</v>
      </c>
    </row>
    <row r="769" ht="15.75" customHeight="1">
      <c r="A769" s="14">
        <v>37601.0</v>
      </c>
      <c r="B769" s="15">
        <v>1.85</v>
      </c>
      <c r="C769" s="15"/>
      <c r="D769" s="15">
        <v>5.82</v>
      </c>
      <c r="E769" s="15"/>
      <c r="F769" s="15" t="str">
        <f t="shared" si="1"/>
        <v/>
      </c>
      <c r="G769" s="15">
        <f t="shared" si="2"/>
        <v>5.82</v>
      </c>
      <c r="H769" s="16">
        <v>1.0</v>
      </c>
      <c r="I769" s="15">
        <f t="shared" si="3"/>
        <v>3.97</v>
      </c>
      <c r="J769" s="15">
        <v>27.76</v>
      </c>
      <c r="K769" s="16">
        <f>IF(COUNTIFS(Release_Calendar!$A$2:$A$755,"US_CPI",Release_Calendar!$B$2:$B$755,$A769)&gt;0,1,0)</f>
        <v>0</v>
      </c>
      <c r="L769" s="16">
        <f>IF(COUNTIFS(Release_Calendar!$A$2:$A$755,"US_NFP",Release_Calendar!$B$2:$B$755,$A769)&gt;0,1,0)</f>
        <v>0</v>
      </c>
      <c r="M769" s="16" t="str">
        <f>IF($A769&lt;Notes!$B$5,"",IF(COUNTIFS(Release_Calendar!$A$2:$A$755,"NZ_CPI",Release_Calendar!$B$2:$B$755,$A769)&gt;0,1,0))</f>
        <v/>
      </c>
      <c r="N769" s="16" t="str">
        <f>IF($A769&lt;Notes!$B$5,"",IF(COUNTIFS(Release_Calendar!$A$2:$A$755,"NZ_GDP",Release_Calendar!$B$2:$B$755,$A769)&gt;0,1,0))</f>
        <v/>
      </c>
      <c r="O769" s="16" t="str">
        <f>IF($A769&lt;Notes!$B$5,"",IF(COUNTIFS(Release_Calendar!$A$2:$A$755,"NZ_LABOUR",Release_Calendar!$B$2:$B$755,$A769)&gt;0,1,0))</f>
        <v/>
      </c>
      <c r="P769" s="16">
        <f t="shared" si="4"/>
        <v>0</v>
      </c>
    </row>
    <row r="770" ht="15.75" customHeight="1">
      <c r="A770" s="14">
        <v>37602.0</v>
      </c>
      <c r="B770" s="15">
        <v>1.85</v>
      </c>
      <c r="C770" s="15"/>
      <c r="D770" s="15">
        <v>5.78</v>
      </c>
      <c r="E770" s="15"/>
      <c r="F770" s="15" t="str">
        <f t="shared" si="1"/>
        <v/>
      </c>
      <c r="G770" s="15">
        <f t="shared" si="2"/>
        <v>5.78</v>
      </c>
      <c r="H770" s="16">
        <v>1.0</v>
      </c>
      <c r="I770" s="15">
        <f t="shared" si="3"/>
        <v>3.93</v>
      </c>
      <c r="J770" s="15">
        <v>27.29</v>
      </c>
      <c r="K770" s="16">
        <f>IF(COUNTIFS(Release_Calendar!$A$2:$A$755,"US_CPI",Release_Calendar!$B$2:$B$755,$A770)&gt;0,1,0)</f>
        <v>0</v>
      </c>
      <c r="L770" s="16">
        <f>IF(COUNTIFS(Release_Calendar!$A$2:$A$755,"US_NFP",Release_Calendar!$B$2:$B$755,$A770)&gt;0,1,0)</f>
        <v>0</v>
      </c>
      <c r="M770" s="16" t="str">
        <f>IF($A770&lt;Notes!$B$5,"",IF(COUNTIFS(Release_Calendar!$A$2:$A$755,"NZ_CPI",Release_Calendar!$B$2:$B$755,$A770)&gt;0,1,0))</f>
        <v/>
      </c>
      <c r="N770" s="16" t="str">
        <f>IF($A770&lt;Notes!$B$5,"",IF(COUNTIFS(Release_Calendar!$A$2:$A$755,"NZ_GDP",Release_Calendar!$B$2:$B$755,$A770)&gt;0,1,0))</f>
        <v/>
      </c>
      <c r="O770" s="16" t="str">
        <f>IF($A770&lt;Notes!$B$5,"",IF(COUNTIFS(Release_Calendar!$A$2:$A$755,"NZ_LABOUR",Release_Calendar!$B$2:$B$755,$A770)&gt;0,1,0))</f>
        <v/>
      </c>
      <c r="P770" s="16">
        <f t="shared" si="4"/>
        <v>0</v>
      </c>
    </row>
    <row r="771" ht="15.75" customHeight="1">
      <c r="A771" s="14">
        <v>37603.0</v>
      </c>
      <c r="B771" s="15">
        <v>1.87</v>
      </c>
      <c r="C771" s="15"/>
      <c r="D771" s="15">
        <v>5.79</v>
      </c>
      <c r="E771" s="15"/>
      <c r="F771" s="15" t="str">
        <f t="shared" si="1"/>
        <v/>
      </c>
      <c r="G771" s="15">
        <f t="shared" si="2"/>
        <v>5.79</v>
      </c>
      <c r="H771" s="16">
        <v>1.0</v>
      </c>
      <c r="I771" s="15">
        <f t="shared" si="3"/>
        <v>3.92</v>
      </c>
      <c r="J771" s="15">
        <v>28.18</v>
      </c>
      <c r="K771" s="16">
        <f>IF(COUNTIFS(Release_Calendar!$A$2:$A$755,"US_CPI",Release_Calendar!$B$2:$B$755,$A771)&gt;0,1,0)</f>
        <v>0</v>
      </c>
      <c r="L771" s="16">
        <f>IF(COUNTIFS(Release_Calendar!$A$2:$A$755,"US_NFP",Release_Calendar!$B$2:$B$755,$A771)&gt;0,1,0)</f>
        <v>0</v>
      </c>
      <c r="M771" s="16" t="str">
        <f>IF($A771&lt;Notes!$B$5,"",IF(COUNTIFS(Release_Calendar!$A$2:$A$755,"NZ_CPI",Release_Calendar!$B$2:$B$755,$A771)&gt;0,1,0))</f>
        <v/>
      </c>
      <c r="N771" s="16" t="str">
        <f>IF($A771&lt;Notes!$B$5,"",IF(COUNTIFS(Release_Calendar!$A$2:$A$755,"NZ_GDP",Release_Calendar!$B$2:$B$755,$A771)&gt;0,1,0))</f>
        <v/>
      </c>
      <c r="O771" s="16" t="str">
        <f>IF($A771&lt;Notes!$B$5,"",IF(COUNTIFS(Release_Calendar!$A$2:$A$755,"NZ_LABOUR",Release_Calendar!$B$2:$B$755,$A771)&gt;0,1,0))</f>
        <v/>
      </c>
      <c r="P771" s="16">
        <f t="shared" si="4"/>
        <v>0</v>
      </c>
    </row>
    <row r="772" ht="15.75" customHeight="1">
      <c r="A772" s="14">
        <v>37606.0</v>
      </c>
      <c r="B772" s="15">
        <v>1.94</v>
      </c>
      <c r="C772" s="15"/>
      <c r="D772" s="15">
        <v>5.8</v>
      </c>
      <c r="E772" s="15"/>
      <c r="F772" s="15" t="str">
        <f t="shared" si="1"/>
        <v/>
      </c>
      <c r="G772" s="15">
        <f t="shared" si="2"/>
        <v>5.8</v>
      </c>
      <c r="H772" s="16">
        <v>1.0</v>
      </c>
      <c r="I772" s="15">
        <f t="shared" si="3"/>
        <v>3.86</v>
      </c>
      <c r="J772" s="15">
        <v>26.24</v>
      </c>
      <c r="K772" s="16">
        <f>IF(COUNTIFS(Release_Calendar!$A$2:$A$755,"US_CPI",Release_Calendar!$B$2:$B$755,$A772)&gt;0,1,0)</f>
        <v>0</v>
      </c>
      <c r="L772" s="16">
        <f>IF(COUNTIFS(Release_Calendar!$A$2:$A$755,"US_NFP",Release_Calendar!$B$2:$B$755,$A772)&gt;0,1,0)</f>
        <v>0</v>
      </c>
      <c r="M772" s="16" t="str">
        <f>IF($A772&lt;Notes!$B$5,"",IF(COUNTIFS(Release_Calendar!$A$2:$A$755,"NZ_CPI",Release_Calendar!$B$2:$B$755,$A772)&gt;0,1,0))</f>
        <v/>
      </c>
      <c r="N772" s="16" t="str">
        <f>IF($A772&lt;Notes!$B$5,"",IF(COUNTIFS(Release_Calendar!$A$2:$A$755,"NZ_GDP",Release_Calendar!$B$2:$B$755,$A772)&gt;0,1,0))</f>
        <v/>
      </c>
      <c r="O772" s="16" t="str">
        <f>IF($A772&lt;Notes!$B$5,"",IF(COUNTIFS(Release_Calendar!$A$2:$A$755,"NZ_LABOUR",Release_Calendar!$B$2:$B$755,$A772)&gt;0,1,0))</f>
        <v/>
      </c>
      <c r="P772" s="16">
        <f t="shared" si="4"/>
        <v>0</v>
      </c>
    </row>
    <row r="773" ht="15.75" customHeight="1">
      <c r="A773" s="14">
        <v>37607.0</v>
      </c>
      <c r="B773" s="15">
        <v>1.89</v>
      </c>
      <c r="C773" s="15"/>
      <c r="D773" s="15">
        <v>5.86</v>
      </c>
      <c r="E773" s="15"/>
      <c r="F773" s="15" t="str">
        <f t="shared" si="1"/>
        <v/>
      </c>
      <c r="G773" s="15">
        <f t="shared" si="2"/>
        <v>5.86</v>
      </c>
      <c r="H773" s="16">
        <v>1.0</v>
      </c>
      <c r="I773" s="15">
        <f t="shared" si="3"/>
        <v>3.97</v>
      </c>
      <c r="J773" s="15">
        <v>26.66</v>
      </c>
      <c r="K773" s="16">
        <f>IF(COUNTIFS(Release_Calendar!$A$2:$A$755,"US_CPI",Release_Calendar!$B$2:$B$755,$A773)&gt;0,1,0)</f>
        <v>1</v>
      </c>
      <c r="L773" s="16">
        <f>IF(COUNTIFS(Release_Calendar!$A$2:$A$755,"US_NFP",Release_Calendar!$B$2:$B$755,$A773)&gt;0,1,0)</f>
        <v>0</v>
      </c>
      <c r="M773" s="16" t="str">
        <f>IF($A773&lt;Notes!$B$5,"",IF(COUNTIFS(Release_Calendar!$A$2:$A$755,"NZ_CPI",Release_Calendar!$B$2:$B$755,$A773)&gt;0,1,0))</f>
        <v/>
      </c>
      <c r="N773" s="16" t="str">
        <f>IF($A773&lt;Notes!$B$5,"",IF(COUNTIFS(Release_Calendar!$A$2:$A$755,"NZ_GDP",Release_Calendar!$B$2:$B$755,$A773)&gt;0,1,0))</f>
        <v/>
      </c>
      <c r="O773" s="16" t="str">
        <f>IF($A773&lt;Notes!$B$5,"",IF(COUNTIFS(Release_Calendar!$A$2:$A$755,"NZ_LABOUR",Release_Calendar!$B$2:$B$755,$A773)&gt;0,1,0))</f>
        <v/>
      </c>
      <c r="P773" s="16">
        <f t="shared" si="4"/>
        <v>1</v>
      </c>
    </row>
    <row r="774" ht="15.75" customHeight="1">
      <c r="A774" s="14">
        <v>37608.0</v>
      </c>
      <c r="B774" s="15">
        <v>1.81</v>
      </c>
      <c r="C774" s="15"/>
      <c r="D774" s="15">
        <v>5.8</v>
      </c>
      <c r="E774" s="15"/>
      <c r="F774" s="15" t="str">
        <f t="shared" si="1"/>
        <v/>
      </c>
      <c r="G774" s="15">
        <f t="shared" si="2"/>
        <v>5.8</v>
      </c>
      <c r="H774" s="16">
        <v>1.0</v>
      </c>
      <c r="I774" s="15">
        <f t="shared" si="3"/>
        <v>3.99</v>
      </c>
      <c r="J774" s="15">
        <v>28.29</v>
      </c>
      <c r="K774" s="16">
        <f>IF(COUNTIFS(Release_Calendar!$A$2:$A$755,"US_CPI",Release_Calendar!$B$2:$B$755,$A774)&gt;0,1,0)</f>
        <v>0</v>
      </c>
      <c r="L774" s="16">
        <f>IF(COUNTIFS(Release_Calendar!$A$2:$A$755,"US_NFP",Release_Calendar!$B$2:$B$755,$A774)&gt;0,1,0)</f>
        <v>0</v>
      </c>
      <c r="M774" s="16" t="str">
        <f>IF($A774&lt;Notes!$B$5,"",IF(COUNTIFS(Release_Calendar!$A$2:$A$755,"NZ_CPI",Release_Calendar!$B$2:$B$755,$A774)&gt;0,1,0))</f>
        <v/>
      </c>
      <c r="N774" s="16" t="str">
        <f>IF($A774&lt;Notes!$B$5,"",IF(COUNTIFS(Release_Calendar!$A$2:$A$755,"NZ_GDP",Release_Calendar!$B$2:$B$755,$A774)&gt;0,1,0))</f>
        <v/>
      </c>
      <c r="O774" s="16" t="str">
        <f>IF($A774&lt;Notes!$B$5,"",IF(COUNTIFS(Release_Calendar!$A$2:$A$755,"NZ_LABOUR",Release_Calendar!$B$2:$B$755,$A774)&gt;0,1,0))</f>
        <v/>
      </c>
      <c r="P774" s="16">
        <f t="shared" si="4"/>
        <v>0</v>
      </c>
    </row>
    <row r="775" ht="15.75" customHeight="1">
      <c r="A775" s="14">
        <v>37609.0</v>
      </c>
      <c r="B775" s="15">
        <v>1.74</v>
      </c>
      <c r="C775" s="15"/>
      <c r="D775" s="15">
        <v>5.75</v>
      </c>
      <c r="E775" s="15"/>
      <c r="F775" s="15" t="str">
        <f t="shared" si="1"/>
        <v/>
      </c>
      <c r="G775" s="15">
        <f t="shared" si="2"/>
        <v>5.75</v>
      </c>
      <c r="H775" s="16">
        <v>1.0</v>
      </c>
      <c r="I775" s="15">
        <f t="shared" si="3"/>
        <v>4.01</v>
      </c>
      <c r="J775" s="15">
        <v>30.21</v>
      </c>
      <c r="K775" s="16">
        <f>IF(COUNTIFS(Release_Calendar!$A$2:$A$755,"US_CPI",Release_Calendar!$B$2:$B$755,$A775)&gt;0,1,0)</f>
        <v>0</v>
      </c>
      <c r="L775" s="16">
        <f>IF(COUNTIFS(Release_Calendar!$A$2:$A$755,"US_NFP",Release_Calendar!$B$2:$B$755,$A775)&gt;0,1,0)</f>
        <v>0</v>
      </c>
      <c r="M775" s="16" t="str">
        <f>IF($A775&lt;Notes!$B$5,"",IF(COUNTIFS(Release_Calendar!$A$2:$A$755,"NZ_CPI",Release_Calendar!$B$2:$B$755,$A775)&gt;0,1,0))</f>
        <v/>
      </c>
      <c r="N775" s="16" t="str">
        <f>IF($A775&lt;Notes!$B$5,"",IF(COUNTIFS(Release_Calendar!$A$2:$A$755,"NZ_GDP",Release_Calendar!$B$2:$B$755,$A775)&gt;0,1,0))</f>
        <v/>
      </c>
      <c r="O775" s="16" t="str">
        <f>IF($A775&lt;Notes!$B$5,"",IF(COUNTIFS(Release_Calendar!$A$2:$A$755,"NZ_LABOUR",Release_Calendar!$B$2:$B$755,$A775)&gt;0,1,0))</f>
        <v/>
      </c>
      <c r="P775" s="16">
        <f t="shared" si="4"/>
        <v>0</v>
      </c>
    </row>
    <row r="776" ht="15.75" customHeight="1">
      <c r="A776" s="14">
        <v>37610.0</v>
      </c>
      <c r="B776" s="15">
        <v>1.76</v>
      </c>
      <c r="C776" s="15"/>
      <c r="D776" s="15">
        <v>5.74</v>
      </c>
      <c r="E776" s="15"/>
      <c r="F776" s="15" t="str">
        <f t="shared" si="1"/>
        <v/>
      </c>
      <c r="G776" s="15">
        <f t="shared" si="2"/>
        <v>5.74</v>
      </c>
      <c r="H776" s="16">
        <v>1.0</v>
      </c>
      <c r="I776" s="15">
        <f t="shared" si="3"/>
        <v>3.98</v>
      </c>
      <c r="J776" s="15">
        <v>26.71</v>
      </c>
      <c r="K776" s="16">
        <f>IF(COUNTIFS(Release_Calendar!$A$2:$A$755,"US_CPI",Release_Calendar!$B$2:$B$755,$A776)&gt;0,1,0)</f>
        <v>0</v>
      </c>
      <c r="L776" s="16">
        <f>IF(COUNTIFS(Release_Calendar!$A$2:$A$755,"US_NFP",Release_Calendar!$B$2:$B$755,$A776)&gt;0,1,0)</f>
        <v>0</v>
      </c>
      <c r="M776" s="16" t="str">
        <f>IF($A776&lt;Notes!$B$5,"",IF(COUNTIFS(Release_Calendar!$A$2:$A$755,"NZ_CPI",Release_Calendar!$B$2:$B$755,$A776)&gt;0,1,0))</f>
        <v/>
      </c>
      <c r="N776" s="16" t="str">
        <f>IF($A776&lt;Notes!$B$5,"",IF(COUNTIFS(Release_Calendar!$A$2:$A$755,"NZ_GDP",Release_Calendar!$B$2:$B$755,$A776)&gt;0,1,0))</f>
        <v/>
      </c>
      <c r="O776" s="16" t="str">
        <f>IF($A776&lt;Notes!$B$5,"",IF(COUNTIFS(Release_Calendar!$A$2:$A$755,"NZ_LABOUR",Release_Calendar!$B$2:$B$755,$A776)&gt;0,1,0))</f>
        <v/>
      </c>
      <c r="P776" s="16">
        <f t="shared" si="4"/>
        <v>0</v>
      </c>
    </row>
    <row r="777" ht="15.75" customHeight="1">
      <c r="A777" s="14">
        <v>37613.0</v>
      </c>
      <c r="B777" s="15">
        <v>1.79</v>
      </c>
      <c r="C777" s="15"/>
      <c r="D777" s="15">
        <v>5.76</v>
      </c>
      <c r="E777" s="15"/>
      <c r="F777" s="15" t="str">
        <f t="shared" si="1"/>
        <v/>
      </c>
      <c r="G777" s="15">
        <f t="shared" si="2"/>
        <v>5.76</v>
      </c>
      <c r="H777" s="16">
        <v>1.0</v>
      </c>
      <c r="I777" s="15">
        <f t="shared" si="3"/>
        <v>3.97</v>
      </c>
      <c r="J777" s="15">
        <v>26.2</v>
      </c>
      <c r="K777" s="16">
        <f>IF(COUNTIFS(Release_Calendar!$A$2:$A$755,"US_CPI",Release_Calendar!$B$2:$B$755,$A777)&gt;0,1,0)</f>
        <v>0</v>
      </c>
      <c r="L777" s="16">
        <f>IF(COUNTIFS(Release_Calendar!$A$2:$A$755,"US_NFP",Release_Calendar!$B$2:$B$755,$A777)&gt;0,1,0)</f>
        <v>0</v>
      </c>
      <c r="M777" s="16" t="str">
        <f>IF($A777&lt;Notes!$B$5,"",IF(COUNTIFS(Release_Calendar!$A$2:$A$755,"NZ_CPI",Release_Calendar!$B$2:$B$755,$A777)&gt;0,1,0))</f>
        <v/>
      </c>
      <c r="N777" s="16" t="str">
        <f>IF($A777&lt;Notes!$B$5,"",IF(COUNTIFS(Release_Calendar!$A$2:$A$755,"NZ_GDP",Release_Calendar!$B$2:$B$755,$A777)&gt;0,1,0))</f>
        <v/>
      </c>
      <c r="O777" s="16" t="str">
        <f>IF($A777&lt;Notes!$B$5,"",IF(COUNTIFS(Release_Calendar!$A$2:$A$755,"NZ_LABOUR",Release_Calendar!$B$2:$B$755,$A777)&gt;0,1,0))</f>
        <v/>
      </c>
      <c r="P777" s="16">
        <f t="shared" si="4"/>
        <v>0</v>
      </c>
    </row>
    <row r="778" ht="15.75" customHeight="1">
      <c r="A778" s="14">
        <v>37614.0</v>
      </c>
      <c r="B778" s="15">
        <v>1.73</v>
      </c>
      <c r="C778" s="15"/>
      <c r="D778" s="15">
        <v>5.77</v>
      </c>
      <c r="E778" s="15"/>
      <c r="F778" s="15" t="str">
        <f t="shared" si="1"/>
        <v/>
      </c>
      <c r="G778" s="15">
        <f t="shared" si="2"/>
        <v>5.77</v>
      </c>
      <c r="H778" s="16">
        <v>1.0</v>
      </c>
      <c r="I778" s="15">
        <f t="shared" si="3"/>
        <v>4.04</v>
      </c>
      <c r="J778" s="15">
        <v>26.49</v>
      </c>
      <c r="K778" s="16">
        <f>IF(COUNTIFS(Release_Calendar!$A$2:$A$755,"US_CPI",Release_Calendar!$B$2:$B$755,$A778)&gt;0,1,0)</f>
        <v>0</v>
      </c>
      <c r="L778" s="16">
        <f>IF(COUNTIFS(Release_Calendar!$A$2:$A$755,"US_NFP",Release_Calendar!$B$2:$B$755,$A778)&gt;0,1,0)</f>
        <v>0</v>
      </c>
      <c r="M778" s="16" t="str">
        <f>IF($A778&lt;Notes!$B$5,"",IF(COUNTIFS(Release_Calendar!$A$2:$A$755,"NZ_CPI",Release_Calendar!$B$2:$B$755,$A778)&gt;0,1,0))</f>
        <v/>
      </c>
      <c r="N778" s="16" t="str">
        <f>IF($A778&lt;Notes!$B$5,"",IF(COUNTIFS(Release_Calendar!$A$2:$A$755,"NZ_GDP",Release_Calendar!$B$2:$B$755,$A778)&gt;0,1,0))</f>
        <v/>
      </c>
      <c r="O778" s="16" t="str">
        <f>IF($A778&lt;Notes!$B$5,"",IF(COUNTIFS(Release_Calendar!$A$2:$A$755,"NZ_LABOUR",Release_Calendar!$B$2:$B$755,$A778)&gt;0,1,0))</f>
        <v/>
      </c>
      <c r="P778" s="16">
        <f t="shared" si="4"/>
        <v>0</v>
      </c>
    </row>
    <row r="779" ht="15.75" customHeight="1">
      <c r="A779" s="14">
        <v>37615.0</v>
      </c>
      <c r="B779" s="15"/>
      <c r="C779" s="15"/>
      <c r="D779" s="15"/>
      <c r="E779" s="15"/>
      <c r="F779" s="15" t="str">
        <f t="shared" si="1"/>
        <v/>
      </c>
      <c r="G779" s="15" t="str">
        <f t="shared" si="2"/>
        <v/>
      </c>
      <c r="H779" s="16">
        <v>1.0</v>
      </c>
      <c r="I779" s="15" t="str">
        <f t="shared" si="3"/>
        <v/>
      </c>
      <c r="J779" s="15"/>
      <c r="K779" s="16">
        <f>IF(COUNTIFS(Release_Calendar!$A$2:$A$755,"US_CPI",Release_Calendar!$B$2:$B$755,$A779)&gt;0,1,0)</f>
        <v>0</v>
      </c>
      <c r="L779" s="16">
        <f>IF(COUNTIFS(Release_Calendar!$A$2:$A$755,"US_NFP",Release_Calendar!$B$2:$B$755,$A779)&gt;0,1,0)</f>
        <v>0</v>
      </c>
      <c r="M779" s="16" t="str">
        <f>IF($A779&lt;Notes!$B$5,"",IF(COUNTIFS(Release_Calendar!$A$2:$A$755,"NZ_CPI",Release_Calendar!$B$2:$B$755,$A779)&gt;0,1,0))</f>
        <v/>
      </c>
      <c r="N779" s="16" t="str">
        <f>IF($A779&lt;Notes!$B$5,"",IF(COUNTIFS(Release_Calendar!$A$2:$A$755,"NZ_GDP",Release_Calendar!$B$2:$B$755,$A779)&gt;0,1,0))</f>
        <v/>
      </c>
      <c r="O779" s="16" t="str">
        <f>IF($A779&lt;Notes!$B$5,"",IF(COUNTIFS(Release_Calendar!$A$2:$A$755,"NZ_LABOUR",Release_Calendar!$B$2:$B$755,$A779)&gt;0,1,0))</f>
        <v/>
      </c>
      <c r="P779" s="16">
        <f t="shared" si="4"/>
        <v>0</v>
      </c>
    </row>
    <row r="780" ht="15.75" customHeight="1">
      <c r="A780" s="14">
        <v>37616.0</v>
      </c>
      <c r="B780" s="15">
        <v>1.7</v>
      </c>
      <c r="C780" s="15"/>
      <c r="D780" s="15"/>
      <c r="E780" s="15"/>
      <c r="F780" s="15" t="str">
        <f t="shared" si="1"/>
        <v/>
      </c>
      <c r="G780" s="15" t="str">
        <f t="shared" si="2"/>
        <v/>
      </c>
      <c r="H780" s="16">
        <v>1.0</v>
      </c>
      <c r="I780" s="15" t="str">
        <f t="shared" si="3"/>
        <v/>
      </c>
      <c r="J780" s="15">
        <v>27.37</v>
      </c>
      <c r="K780" s="16">
        <f>IF(COUNTIFS(Release_Calendar!$A$2:$A$755,"US_CPI",Release_Calendar!$B$2:$B$755,$A780)&gt;0,1,0)</f>
        <v>0</v>
      </c>
      <c r="L780" s="16">
        <f>IF(COUNTIFS(Release_Calendar!$A$2:$A$755,"US_NFP",Release_Calendar!$B$2:$B$755,$A780)&gt;0,1,0)</f>
        <v>0</v>
      </c>
      <c r="M780" s="16" t="str">
        <f>IF($A780&lt;Notes!$B$5,"",IF(COUNTIFS(Release_Calendar!$A$2:$A$755,"NZ_CPI",Release_Calendar!$B$2:$B$755,$A780)&gt;0,1,0))</f>
        <v/>
      </c>
      <c r="N780" s="16" t="str">
        <f>IF($A780&lt;Notes!$B$5,"",IF(COUNTIFS(Release_Calendar!$A$2:$A$755,"NZ_GDP",Release_Calendar!$B$2:$B$755,$A780)&gt;0,1,0))</f>
        <v/>
      </c>
      <c r="O780" s="16" t="str">
        <f>IF($A780&lt;Notes!$B$5,"",IF(COUNTIFS(Release_Calendar!$A$2:$A$755,"NZ_LABOUR",Release_Calendar!$B$2:$B$755,$A780)&gt;0,1,0))</f>
        <v/>
      </c>
      <c r="P780" s="16">
        <f t="shared" si="4"/>
        <v>0</v>
      </c>
    </row>
    <row r="781" ht="15.75" customHeight="1">
      <c r="A781" s="14">
        <v>37617.0</v>
      </c>
      <c r="B781" s="15">
        <v>1.6</v>
      </c>
      <c r="C781" s="15"/>
      <c r="D781" s="15">
        <v>5.74</v>
      </c>
      <c r="E781" s="15"/>
      <c r="F781" s="15" t="str">
        <f t="shared" si="1"/>
        <v/>
      </c>
      <c r="G781" s="15">
        <f t="shared" si="2"/>
        <v>5.74</v>
      </c>
      <c r="H781" s="16">
        <v>1.0</v>
      </c>
      <c r="I781" s="15">
        <f t="shared" si="3"/>
        <v>4.14</v>
      </c>
      <c r="J781" s="15">
        <v>29.55</v>
      </c>
      <c r="K781" s="16">
        <f>IF(COUNTIFS(Release_Calendar!$A$2:$A$755,"US_CPI",Release_Calendar!$B$2:$B$755,$A781)&gt;0,1,0)</f>
        <v>0</v>
      </c>
      <c r="L781" s="16">
        <f>IF(COUNTIFS(Release_Calendar!$A$2:$A$755,"US_NFP",Release_Calendar!$B$2:$B$755,$A781)&gt;0,1,0)</f>
        <v>0</v>
      </c>
      <c r="M781" s="16" t="str">
        <f>IF($A781&lt;Notes!$B$5,"",IF(COUNTIFS(Release_Calendar!$A$2:$A$755,"NZ_CPI",Release_Calendar!$B$2:$B$755,$A781)&gt;0,1,0))</f>
        <v/>
      </c>
      <c r="N781" s="16" t="str">
        <f>IF($A781&lt;Notes!$B$5,"",IF(COUNTIFS(Release_Calendar!$A$2:$A$755,"NZ_GDP",Release_Calendar!$B$2:$B$755,$A781)&gt;0,1,0))</f>
        <v/>
      </c>
      <c r="O781" s="16" t="str">
        <f>IF($A781&lt;Notes!$B$5,"",IF(COUNTIFS(Release_Calendar!$A$2:$A$755,"NZ_LABOUR",Release_Calendar!$B$2:$B$755,$A781)&gt;0,1,0))</f>
        <v/>
      </c>
      <c r="P781" s="16">
        <f t="shared" si="4"/>
        <v>0</v>
      </c>
    </row>
    <row r="782" ht="15.75" customHeight="1">
      <c r="A782" s="14">
        <v>37620.0</v>
      </c>
      <c r="B782" s="15">
        <v>1.61</v>
      </c>
      <c r="C782" s="15"/>
      <c r="D782" s="15">
        <v>5.72</v>
      </c>
      <c r="E782" s="15"/>
      <c r="F782" s="15" t="str">
        <f t="shared" si="1"/>
        <v/>
      </c>
      <c r="G782" s="15">
        <f t="shared" si="2"/>
        <v>5.72</v>
      </c>
      <c r="H782" s="16">
        <v>1.0</v>
      </c>
      <c r="I782" s="15">
        <f t="shared" si="3"/>
        <v>4.11</v>
      </c>
      <c r="J782" s="15">
        <v>29.62</v>
      </c>
      <c r="K782" s="16">
        <f>IF(COUNTIFS(Release_Calendar!$A$2:$A$755,"US_CPI",Release_Calendar!$B$2:$B$755,$A782)&gt;0,1,0)</f>
        <v>0</v>
      </c>
      <c r="L782" s="16">
        <f>IF(COUNTIFS(Release_Calendar!$A$2:$A$755,"US_NFP",Release_Calendar!$B$2:$B$755,$A782)&gt;0,1,0)</f>
        <v>0</v>
      </c>
      <c r="M782" s="16" t="str">
        <f>IF($A782&lt;Notes!$B$5,"",IF(COUNTIFS(Release_Calendar!$A$2:$A$755,"NZ_CPI",Release_Calendar!$B$2:$B$755,$A782)&gt;0,1,0))</f>
        <v/>
      </c>
      <c r="N782" s="16" t="str">
        <f>IF($A782&lt;Notes!$B$5,"",IF(COUNTIFS(Release_Calendar!$A$2:$A$755,"NZ_GDP",Release_Calendar!$B$2:$B$755,$A782)&gt;0,1,0))</f>
        <v/>
      </c>
      <c r="O782" s="16" t="str">
        <f>IF($A782&lt;Notes!$B$5,"",IF(COUNTIFS(Release_Calendar!$A$2:$A$755,"NZ_LABOUR",Release_Calendar!$B$2:$B$755,$A782)&gt;0,1,0))</f>
        <v/>
      </c>
      <c r="P782" s="16">
        <f t="shared" si="4"/>
        <v>0</v>
      </c>
    </row>
    <row r="783" ht="15.75" customHeight="1">
      <c r="A783" s="14">
        <v>37621.0</v>
      </c>
      <c r="B783" s="15">
        <v>1.61</v>
      </c>
      <c r="C783" s="15"/>
      <c r="D783" s="15">
        <v>5.72</v>
      </c>
      <c r="E783" s="15"/>
      <c r="F783" s="15" t="str">
        <f t="shared" si="1"/>
        <v/>
      </c>
      <c r="G783" s="15">
        <f t="shared" si="2"/>
        <v>5.72</v>
      </c>
      <c r="H783" s="16">
        <v>1.0</v>
      </c>
      <c r="I783" s="15">
        <f t="shared" si="3"/>
        <v>4.11</v>
      </c>
      <c r="J783" s="15">
        <v>28.62</v>
      </c>
      <c r="K783" s="16">
        <f>IF(COUNTIFS(Release_Calendar!$A$2:$A$755,"US_CPI",Release_Calendar!$B$2:$B$755,$A783)&gt;0,1,0)</f>
        <v>0</v>
      </c>
      <c r="L783" s="16">
        <f>IF(COUNTIFS(Release_Calendar!$A$2:$A$755,"US_NFP",Release_Calendar!$B$2:$B$755,$A783)&gt;0,1,0)</f>
        <v>0</v>
      </c>
      <c r="M783" s="16" t="str">
        <f>IF($A783&lt;Notes!$B$5,"",IF(COUNTIFS(Release_Calendar!$A$2:$A$755,"NZ_CPI",Release_Calendar!$B$2:$B$755,$A783)&gt;0,1,0))</f>
        <v/>
      </c>
      <c r="N783" s="16" t="str">
        <f>IF($A783&lt;Notes!$B$5,"",IF(COUNTIFS(Release_Calendar!$A$2:$A$755,"NZ_GDP",Release_Calendar!$B$2:$B$755,$A783)&gt;0,1,0))</f>
        <v/>
      </c>
      <c r="O783" s="16" t="str">
        <f>IF($A783&lt;Notes!$B$5,"",IF(COUNTIFS(Release_Calendar!$A$2:$A$755,"NZ_LABOUR",Release_Calendar!$B$2:$B$755,$A783)&gt;0,1,0))</f>
        <v/>
      </c>
      <c r="P783" s="16">
        <f t="shared" si="4"/>
        <v>0</v>
      </c>
    </row>
    <row r="784" ht="15.75" customHeight="1">
      <c r="A784" s="14">
        <v>37622.0</v>
      </c>
      <c r="B784" s="15"/>
      <c r="C784" s="15"/>
      <c r="D784" s="15"/>
      <c r="E784" s="15"/>
      <c r="F784" s="15" t="str">
        <f t="shared" si="1"/>
        <v/>
      </c>
      <c r="G784" s="15" t="str">
        <f t="shared" si="2"/>
        <v/>
      </c>
      <c r="H784" s="16">
        <v>1.0</v>
      </c>
      <c r="I784" s="15" t="str">
        <f t="shared" si="3"/>
        <v/>
      </c>
      <c r="J784" s="15"/>
      <c r="K784" s="16">
        <f>IF(COUNTIFS(Release_Calendar!$A$2:$A$755,"US_CPI",Release_Calendar!$B$2:$B$755,$A784)&gt;0,1,0)</f>
        <v>0</v>
      </c>
      <c r="L784" s="16">
        <f>IF(COUNTIFS(Release_Calendar!$A$2:$A$755,"US_NFP",Release_Calendar!$B$2:$B$755,$A784)&gt;0,1,0)</f>
        <v>0</v>
      </c>
      <c r="M784" s="16" t="str">
        <f>IF($A784&lt;Notes!$B$5,"",IF(COUNTIFS(Release_Calendar!$A$2:$A$755,"NZ_CPI",Release_Calendar!$B$2:$B$755,$A784)&gt;0,1,0))</f>
        <v/>
      </c>
      <c r="N784" s="16" t="str">
        <f>IF($A784&lt;Notes!$B$5,"",IF(COUNTIFS(Release_Calendar!$A$2:$A$755,"NZ_GDP",Release_Calendar!$B$2:$B$755,$A784)&gt;0,1,0))</f>
        <v/>
      </c>
      <c r="O784" s="16" t="str">
        <f>IF($A784&lt;Notes!$B$5,"",IF(COUNTIFS(Release_Calendar!$A$2:$A$755,"NZ_LABOUR",Release_Calendar!$B$2:$B$755,$A784)&gt;0,1,0))</f>
        <v/>
      </c>
      <c r="P784" s="16">
        <f t="shared" si="4"/>
        <v>0</v>
      </c>
    </row>
    <row r="785" ht="15.75" customHeight="1">
      <c r="A785" s="14">
        <v>37623.0</v>
      </c>
      <c r="B785" s="15">
        <v>1.8</v>
      </c>
      <c r="C785" s="15"/>
      <c r="D785" s="15"/>
      <c r="E785" s="15"/>
      <c r="F785" s="15" t="str">
        <f t="shared" si="1"/>
        <v/>
      </c>
      <c r="G785" s="15" t="str">
        <f t="shared" si="2"/>
        <v/>
      </c>
      <c r="H785" s="16">
        <v>1.0</v>
      </c>
      <c r="I785" s="15" t="str">
        <f t="shared" si="3"/>
        <v/>
      </c>
      <c r="J785" s="15">
        <v>25.39</v>
      </c>
      <c r="K785" s="16">
        <f>IF(COUNTIFS(Release_Calendar!$A$2:$A$755,"US_CPI",Release_Calendar!$B$2:$B$755,$A785)&gt;0,1,0)</f>
        <v>0</v>
      </c>
      <c r="L785" s="16">
        <f>IF(COUNTIFS(Release_Calendar!$A$2:$A$755,"US_NFP",Release_Calendar!$B$2:$B$755,$A785)&gt;0,1,0)</f>
        <v>0</v>
      </c>
      <c r="M785" s="16" t="str">
        <f>IF($A785&lt;Notes!$B$5,"",IF(COUNTIFS(Release_Calendar!$A$2:$A$755,"NZ_CPI",Release_Calendar!$B$2:$B$755,$A785)&gt;0,1,0))</f>
        <v/>
      </c>
      <c r="N785" s="16" t="str">
        <f>IF($A785&lt;Notes!$B$5,"",IF(COUNTIFS(Release_Calendar!$A$2:$A$755,"NZ_GDP",Release_Calendar!$B$2:$B$755,$A785)&gt;0,1,0))</f>
        <v/>
      </c>
      <c r="O785" s="16" t="str">
        <f>IF($A785&lt;Notes!$B$5,"",IF(COUNTIFS(Release_Calendar!$A$2:$A$755,"NZ_LABOUR",Release_Calendar!$B$2:$B$755,$A785)&gt;0,1,0))</f>
        <v/>
      </c>
      <c r="P785" s="16">
        <f t="shared" si="4"/>
        <v>0</v>
      </c>
    </row>
    <row r="786" ht="15.75" customHeight="1">
      <c r="A786" s="14">
        <v>37624.0</v>
      </c>
      <c r="B786" s="15">
        <v>1.79</v>
      </c>
      <c r="C786" s="15"/>
      <c r="D786" s="15">
        <v>5.82</v>
      </c>
      <c r="E786" s="15"/>
      <c r="F786" s="15" t="str">
        <f t="shared" si="1"/>
        <v/>
      </c>
      <c r="G786" s="15">
        <f t="shared" si="2"/>
        <v>5.82</v>
      </c>
      <c r="H786" s="16">
        <v>1.0</v>
      </c>
      <c r="I786" s="15">
        <f t="shared" si="3"/>
        <v>4.03</v>
      </c>
      <c r="J786" s="15">
        <v>24.68</v>
      </c>
      <c r="K786" s="16">
        <f>IF(COUNTIFS(Release_Calendar!$A$2:$A$755,"US_CPI",Release_Calendar!$B$2:$B$755,$A786)&gt;0,1,0)</f>
        <v>0</v>
      </c>
      <c r="L786" s="16">
        <f>IF(COUNTIFS(Release_Calendar!$A$2:$A$755,"US_NFP",Release_Calendar!$B$2:$B$755,$A786)&gt;0,1,0)</f>
        <v>0</v>
      </c>
      <c r="M786" s="16" t="str">
        <f>IF($A786&lt;Notes!$B$5,"",IF(COUNTIFS(Release_Calendar!$A$2:$A$755,"NZ_CPI",Release_Calendar!$B$2:$B$755,$A786)&gt;0,1,0))</f>
        <v/>
      </c>
      <c r="N786" s="16" t="str">
        <f>IF($A786&lt;Notes!$B$5,"",IF(COUNTIFS(Release_Calendar!$A$2:$A$755,"NZ_GDP",Release_Calendar!$B$2:$B$755,$A786)&gt;0,1,0))</f>
        <v/>
      </c>
      <c r="O786" s="16" t="str">
        <f>IF($A786&lt;Notes!$B$5,"",IF(COUNTIFS(Release_Calendar!$A$2:$A$755,"NZ_LABOUR",Release_Calendar!$B$2:$B$755,$A786)&gt;0,1,0))</f>
        <v/>
      </c>
      <c r="P786" s="16">
        <f t="shared" si="4"/>
        <v>0</v>
      </c>
    </row>
    <row r="787" ht="15.75" customHeight="1">
      <c r="A787" s="14">
        <v>37627.0</v>
      </c>
      <c r="B787" s="15">
        <v>1.84</v>
      </c>
      <c r="C787" s="15"/>
      <c r="D787" s="15">
        <v>5.83</v>
      </c>
      <c r="E787" s="15"/>
      <c r="F787" s="15" t="str">
        <f t="shared" si="1"/>
        <v/>
      </c>
      <c r="G787" s="15">
        <f t="shared" si="2"/>
        <v>5.83</v>
      </c>
      <c r="H787" s="16">
        <v>1.0</v>
      </c>
      <c r="I787" s="15">
        <f t="shared" si="3"/>
        <v>3.99</v>
      </c>
      <c r="J787" s="15">
        <v>24.91</v>
      </c>
      <c r="K787" s="16">
        <f>IF(COUNTIFS(Release_Calendar!$A$2:$A$755,"US_CPI",Release_Calendar!$B$2:$B$755,$A787)&gt;0,1,0)</f>
        <v>0</v>
      </c>
      <c r="L787" s="16">
        <f>IF(COUNTIFS(Release_Calendar!$A$2:$A$755,"US_NFP",Release_Calendar!$B$2:$B$755,$A787)&gt;0,1,0)</f>
        <v>0</v>
      </c>
      <c r="M787" s="16" t="str">
        <f>IF($A787&lt;Notes!$B$5,"",IF(COUNTIFS(Release_Calendar!$A$2:$A$755,"NZ_CPI",Release_Calendar!$B$2:$B$755,$A787)&gt;0,1,0))</f>
        <v/>
      </c>
      <c r="N787" s="16" t="str">
        <f>IF($A787&lt;Notes!$B$5,"",IF(COUNTIFS(Release_Calendar!$A$2:$A$755,"NZ_GDP",Release_Calendar!$B$2:$B$755,$A787)&gt;0,1,0))</f>
        <v/>
      </c>
      <c r="O787" s="16" t="str">
        <f>IF($A787&lt;Notes!$B$5,"",IF(COUNTIFS(Release_Calendar!$A$2:$A$755,"NZ_LABOUR",Release_Calendar!$B$2:$B$755,$A787)&gt;0,1,0))</f>
        <v/>
      </c>
      <c r="P787" s="16">
        <f t="shared" si="4"/>
        <v>0</v>
      </c>
    </row>
    <row r="788" ht="15.75" customHeight="1">
      <c r="A788" s="14">
        <v>37628.0</v>
      </c>
      <c r="B788" s="15">
        <v>1.77</v>
      </c>
      <c r="C788" s="15"/>
      <c r="D788" s="15">
        <v>5.85</v>
      </c>
      <c r="E788" s="15"/>
      <c r="F788" s="15" t="str">
        <f t="shared" si="1"/>
        <v/>
      </c>
      <c r="G788" s="15">
        <f t="shared" si="2"/>
        <v>5.85</v>
      </c>
      <c r="H788" s="16">
        <v>1.0</v>
      </c>
      <c r="I788" s="15">
        <f t="shared" si="3"/>
        <v>4.08</v>
      </c>
      <c r="J788" s="15">
        <v>25.13</v>
      </c>
      <c r="K788" s="16">
        <f>IF(COUNTIFS(Release_Calendar!$A$2:$A$755,"US_CPI",Release_Calendar!$B$2:$B$755,$A788)&gt;0,1,0)</f>
        <v>0</v>
      </c>
      <c r="L788" s="16">
        <f>IF(COUNTIFS(Release_Calendar!$A$2:$A$755,"US_NFP",Release_Calendar!$B$2:$B$755,$A788)&gt;0,1,0)</f>
        <v>0</v>
      </c>
      <c r="M788" s="16" t="str">
        <f>IF($A788&lt;Notes!$B$5,"",IF(COUNTIFS(Release_Calendar!$A$2:$A$755,"NZ_CPI",Release_Calendar!$B$2:$B$755,$A788)&gt;0,1,0))</f>
        <v/>
      </c>
      <c r="N788" s="16" t="str">
        <f>IF($A788&lt;Notes!$B$5,"",IF(COUNTIFS(Release_Calendar!$A$2:$A$755,"NZ_GDP",Release_Calendar!$B$2:$B$755,$A788)&gt;0,1,0))</f>
        <v/>
      </c>
      <c r="O788" s="16" t="str">
        <f>IF($A788&lt;Notes!$B$5,"",IF(COUNTIFS(Release_Calendar!$A$2:$A$755,"NZ_LABOUR",Release_Calendar!$B$2:$B$755,$A788)&gt;0,1,0))</f>
        <v/>
      </c>
      <c r="P788" s="16">
        <f t="shared" si="4"/>
        <v>0</v>
      </c>
    </row>
    <row r="789" ht="15.75" customHeight="1">
      <c r="A789" s="14">
        <v>37629.0</v>
      </c>
      <c r="B789" s="15">
        <v>1.71</v>
      </c>
      <c r="C789" s="15"/>
      <c r="D789" s="15">
        <v>5.81</v>
      </c>
      <c r="E789" s="15"/>
      <c r="F789" s="15" t="str">
        <f t="shared" si="1"/>
        <v/>
      </c>
      <c r="G789" s="15">
        <f t="shared" si="2"/>
        <v>5.81</v>
      </c>
      <c r="H789" s="16">
        <v>1.0</v>
      </c>
      <c r="I789" s="15">
        <f t="shared" si="3"/>
        <v>4.1</v>
      </c>
      <c r="J789" s="15">
        <v>25.53</v>
      </c>
      <c r="K789" s="16">
        <f>IF(COUNTIFS(Release_Calendar!$A$2:$A$755,"US_CPI",Release_Calendar!$B$2:$B$755,$A789)&gt;0,1,0)</f>
        <v>0</v>
      </c>
      <c r="L789" s="16">
        <f>IF(COUNTIFS(Release_Calendar!$A$2:$A$755,"US_NFP",Release_Calendar!$B$2:$B$755,$A789)&gt;0,1,0)</f>
        <v>0</v>
      </c>
      <c r="M789" s="16" t="str">
        <f>IF($A789&lt;Notes!$B$5,"",IF(COUNTIFS(Release_Calendar!$A$2:$A$755,"NZ_CPI",Release_Calendar!$B$2:$B$755,$A789)&gt;0,1,0))</f>
        <v/>
      </c>
      <c r="N789" s="16" t="str">
        <f>IF($A789&lt;Notes!$B$5,"",IF(COUNTIFS(Release_Calendar!$A$2:$A$755,"NZ_GDP",Release_Calendar!$B$2:$B$755,$A789)&gt;0,1,0))</f>
        <v/>
      </c>
      <c r="O789" s="16" t="str">
        <f>IF($A789&lt;Notes!$B$5,"",IF(COUNTIFS(Release_Calendar!$A$2:$A$755,"NZ_LABOUR",Release_Calendar!$B$2:$B$755,$A789)&gt;0,1,0))</f>
        <v/>
      </c>
      <c r="P789" s="16">
        <f t="shared" si="4"/>
        <v>0</v>
      </c>
    </row>
    <row r="790" ht="15.75" customHeight="1">
      <c r="A790" s="14">
        <v>37630.0</v>
      </c>
      <c r="B790" s="15">
        <v>1.87</v>
      </c>
      <c r="C790" s="15"/>
      <c r="D790" s="15">
        <v>5.8</v>
      </c>
      <c r="E790" s="15"/>
      <c r="F790" s="15" t="str">
        <f t="shared" si="1"/>
        <v/>
      </c>
      <c r="G790" s="15">
        <f t="shared" si="2"/>
        <v>5.8</v>
      </c>
      <c r="H790" s="16">
        <v>1.0</v>
      </c>
      <c r="I790" s="15">
        <f t="shared" si="3"/>
        <v>3.93</v>
      </c>
      <c r="J790" s="15">
        <v>24.25</v>
      </c>
      <c r="K790" s="16">
        <f>IF(COUNTIFS(Release_Calendar!$A$2:$A$755,"US_CPI",Release_Calendar!$B$2:$B$755,$A790)&gt;0,1,0)</f>
        <v>0</v>
      </c>
      <c r="L790" s="16">
        <f>IF(COUNTIFS(Release_Calendar!$A$2:$A$755,"US_NFP",Release_Calendar!$B$2:$B$755,$A790)&gt;0,1,0)</f>
        <v>0</v>
      </c>
      <c r="M790" s="16" t="str">
        <f>IF($A790&lt;Notes!$B$5,"",IF(COUNTIFS(Release_Calendar!$A$2:$A$755,"NZ_CPI",Release_Calendar!$B$2:$B$755,$A790)&gt;0,1,0))</f>
        <v/>
      </c>
      <c r="N790" s="16" t="str">
        <f>IF($A790&lt;Notes!$B$5,"",IF(COUNTIFS(Release_Calendar!$A$2:$A$755,"NZ_GDP",Release_Calendar!$B$2:$B$755,$A790)&gt;0,1,0))</f>
        <v/>
      </c>
      <c r="O790" s="16" t="str">
        <f>IF($A790&lt;Notes!$B$5,"",IF(COUNTIFS(Release_Calendar!$A$2:$A$755,"NZ_LABOUR",Release_Calendar!$B$2:$B$755,$A790)&gt;0,1,0))</f>
        <v/>
      </c>
      <c r="P790" s="16">
        <f t="shared" si="4"/>
        <v>0</v>
      </c>
    </row>
    <row r="791" ht="15.75" customHeight="1">
      <c r="A791" s="14">
        <v>37631.0</v>
      </c>
      <c r="B791" s="15">
        <v>1.79</v>
      </c>
      <c r="C791" s="15"/>
      <c r="D791" s="15">
        <v>5.84</v>
      </c>
      <c r="E791" s="15"/>
      <c r="F791" s="15" t="str">
        <f t="shared" si="1"/>
        <v/>
      </c>
      <c r="G791" s="15">
        <f t="shared" si="2"/>
        <v>5.84</v>
      </c>
      <c r="H791" s="16">
        <v>1.0</v>
      </c>
      <c r="I791" s="15">
        <f t="shared" si="3"/>
        <v>4.05</v>
      </c>
      <c r="J791" s="15">
        <v>24.32</v>
      </c>
      <c r="K791" s="16">
        <f>IF(COUNTIFS(Release_Calendar!$A$2:$A$755,"US_CPI",Release_Calendar!$B$2:$B$755,$A791)&gt;0,1,0)</f>
        <v>0</v>
      </c>
      <c r="L791" s="16">
        <f>IF(COUNTIFS(Release_Calendar!$A$2:$A$755,"US_NFP",Release_Calendar!$B$2:$B$755,$A791)&gt;0,1,0)</f>
        <v>1</v>
      </c>
      <c r="M791" s="16" t="str">
        <f>IF($A791&lt;Notes!$B$5,"",IF(COUNTIFS(Release_Calendar!$A$2:$A$755,"NZ_CPI",Release_Calendar!$B$2:$B$755,$A791)&gt;0,1,0))</f>
        <v/>
      </c>
      <c r="N791" s="16" t="str">
        <f>IF($A791&lt;Notes!$B$5,"",IF(COUNTIFS(Release_Calendar!$A$2:$A$755,"NZ_GDP",Release_Calendar!$B$2:$B$755,$A791)&gt;0,1,0))</f>
        <v/>
      </c>
      <c r="O791" s="16" t="str">
        <f>IF($A791&lt;Notes!$B$5,"",IF(COUNTIFS(Release_Calendar!$A$2:$A$755,"NZ_LABOUR",Release_Calendar!$B$2:$B$755,$A791)&gt;0,1,0))</f>
        <v/>
      </c>
      <c r="P791" s="16">
        <f t="shared" si="4"/>
        <v>1</v>
      </c>
    </row>
    <row r="792" ht="15.75" customHeight="1">
      <c r="A792" s="14">
        <v>37634.0</v>
      </c>
      <c r="B792" s="15">
        <v>1.81</v>
      </c>
      <c r="C792" s="15"/>
      <c r="D792" s="15">
        <v>5.79</v>
      </c>
      <c r="E792" s="15"/>
      <c r="F792" s="15" t="str">
        <f t="shared" si="1"/>
        <v/>
      </c>
      <c r="G792" s="15">
        <f t="shared" si="2"/>
        <v>5.79</v>
      </c>
      <c r="H792" s="16">
        <v>1.0</v>
      </c>
      <c r="I792" s="15">
        <f t="shared" si="3"/>
        <v>3.98</v>
      </c>
      <c r="J792" s="15">
        <v>24.9</v>
      </c>
      <c r="K792" s="16">
        <f>IF(COUNTIFS(Release_Calendar!$A$2:$A$755,"US_CPI",Release_Calendar!$B$2:$B$755,$A792)&gt;0,1,0)</f>
        <v>0</v>
      </c>
      <c r="L792" s="16">
        <f>IF(COUNTIFS(Release_Calendar!$A$2:$A$755,"US_NFP",Release_Calendar!$B$2:$B$755,$A792)&gt;0,1,0)</f>
        <v>0</v>
      </c>
      <c r="M792" s="16" t="str">
        <f>IF($A792&lt;Notes!$B$5,"",IF(COUNTIFS(Release_Calendar!$A$2:$A$755,"NZ_CPI",Release_Calendar!$B$2:$B$755,$A792)&gt;0,1,0))</f>
        <v/>
      </c>
      <c r="N792" s="16" t="str">
        <f>IF($A792&lt;Notes!$B$5,"",IF(COUNTIFS(Release_Calendar!$A$2:$A$755,"NZ_GDP",Release_Calendar!$B$2:$B$755,$A792)&gt;0,1,0))</f>
        <v/>
      </c>
      <c r="O792" s="16" t="str">
        <f>IF($A792&lt;Notes!$B$5,"",IF(COUNTIFS(Release_Calendar!$A$2:$A$755,"NZ_LABOUR",Release_Calendar!$B$2:$B$755,$A792)&gt;0,1,0))</f>
        <v/>
      </c>
      <c r="P792" s="16">
        <f t="shared" si="4"/>
        <v>0</v>
      </c>
    </row>
    <row r="793" ht="15.75" customHeight="1">
      <c r="A793" s="14">
        <v>37635.0</v>
      </c>
      <c r="B793" s="15">
        <v>1.76</v>
      </c>
      <c r="C793" s="15"/>
      <c r="D793" s="15">
        <v>5.77</v>
      </c>
      <c r="E793" s="15"/>
      <c r="F793" s="15" t="str">
        <f t="shared" si="1"/>
        <v/>
      </c>
      <c r="G793" s="15">
        <f t="shared" si="2"/>
        <v>5.77</v>
      </c>
      <c r="H793" s="16">
        <v>1.0</v>
      </c>
      <c r="I793" s="15">
        <f t="shared" si="3"/>
        <v>4.01</v>
      </c>
      <c r="J793" s="15">
        <v>24.57</v>
      </c>
      <c r="K793" s="16">
        <f>IF(COUNTIFS(Release_Calendar!$A$2:$A$755,"US_CPI",Release_Calendar!$B$2:$B$755,$A793)&gt;0,1,0)</f>
        <v>0</v>
      </c>
      <c r="L793" s="16">
        <f>IF(COUNTIFS(Release_Calendar!$A$2:$A$755,"US_NFP",Release_Calendar!$B$2:$B$755,$A793)&gt;0,1,0)</f>
        <v>0</v>
      </c>
      <c r="M793" s="16" t="str">
        <f>IF($A793&lt;Notes!$B$5,"",IF(COUNTIFS(Release_Calendar!$A$2:$A$755,"NZ_CPI",Release_Calendar!$B$2:$B$755,$A793)&gt;0,1,0))</f>
        <v/>
      </c>
      <c r="N793" s="16" t="str">
        <f>IF($A793&lt;Notes!$B$5,"",IF(COUNTIFS(Release_Calendar!$A$2:$A$755,"NZ_GDP",Release_Calendar!$B$2:$B$755,$A793)&gt;0,1,0))</f>
        <v/>
      </c>
      <c r="O793" s="16" t="str">
        <f>IF($A793&lt;Notes!$B$5,"",IF(COUNTIFS(Release_Calendar!$A$2:$A$755,"NZ_LABOUR",Release_Calendar!$B$2:$B$755,$A793)&gt;0,1,0))</f>
        <v/>
      </c>
      <c r="P793" s="16">
        <f t="shared" si="4"/>
        <v>0</v>
      </c>
    </row>
    <row r="794" ht="15.75" customHeight="1">
      <c r="A794" s="14">
        <v>37636.0</v>
      </c>
      <c r="B794" s="15">
        <v>1.75</v>
      </c>
      <c r="C794" s="15"/>
      <c r="D794" s="15">
        <v>5.71</v>
      </c>
      <c r="E794" s="15"/>
      <c r="F794" s="15" t="str">
        <f t="shared" si="1"/>
        <v/>
      </c>
      <c r="G794" s="15">
        <f t="shared" si="2"/>
        <v>5.71</v>
      </c>
      <c r="H794" s="16">
        <v>1.0</v>
      </c>
      <c r="I794" s="15">
        <f t="shared" si="3"/>
        <v>3.96</v>
      </c>
      <c r="J794" s="15">
        <v>25.51</v>
      </c>
      <c r="K794" s="16">
        <f>IF(COUNTIFS(Release_Calendar!$A$2:$A$755,"US_CPI",Release_Calendar!$B$2:$B$755,$A794)&gt;0,1,0)</f>
        <v>0</v>
      </c>
      <c r="L794" s="16">
        <f>IF(COUNTIFS(Release_Calendar!$A$2:$A$755,"US_NFP",Release_Calendar!$B$2:$B$755,$A794)&gt;0,1,0)</f>
        <v>0</v>
      </c>
      <c r="M794" s="16" t="str">
        <f>IF($A794&lt;Notes!$B$5,"",IF(COUNTIFS(Release_Calendar!$A$2:$A$755,"NZ_CPI",Release_Calendar!$B$2:$B$755,$A794)&gt;0,1,0))</f>
        <v/>
      </c>
      <c r="N794" s="16" t="str">
        <f>IF($A794&lt;Notes!$B$5,"",IF(COUNTIFS(Release_Calendar!$A$2:$A$755,"NZ_GDP",Release_Calendar!$B$2:$B$755,$A794)&gt;0,1,0))</f>
        <v/>
      </c>
      <c r="O794" s="16" t="str">
        <f>IF($A794&lt;Notes!$B$5,"",IF(COUNTIFS(Release_Calendar!$A$2:$A$755,"NZ_LABOUR",Release_Calendar!$B$2:$B$755,$A794)&gt;0,1,0))</f>
        <v/>
      </c>
      <c r="P794" s="16">
        <f t="shared" si="4"/>
        <v>0</v>
      </c>
    </row>
    <row r="795" ht="15.75" customHeight="1">
      <c r="A795" s="14">
        <v>37637.0</v>
      </c>
      <c r="B795" s="15">
        <v>1.75</v>
      </c>
      <c r="C795" s="15"/>
      <c r="D795" s="15">
        <v>5.66</v>
      </c>
      <c r="E795" s="15"/>
      <c r="F795" s="15" t="str">
        <f t="shared" si="1"/>
        <v/>
      </c>
      <c r="G795" s="15">
        <f t="shared" si="2"/>
        <v>5.66</v>
      </c>
      <c r="H795" s="16">
        <v>1.0</v>
      </c>
      <c r="I795" s="15">
        <f t="shared" si="3"/>
        <v>3.91</v>
      </c>
      <c r="J795" s="15">
        <v>25.01</v>
      </c>
      <c r="K795" s="16">
        <f>IF(COUNTIFS(Release_Calendar!$A$2:$A$755,"US_CPI",Release_Calendar!$B$2:$B$755,$A795)&gt;0,1,0)</f>
        <v>1</v>
      </c>
      <c r="L795" s="16">
        <f>IF(COUNTIFS(Release_Calendar!$A$2:$A$755,"US_NFP",Release_Calendar!$B$2:$B$755,$A795)&gt;0,1,0)</f>
        <v>0</v>
      </c>
      <c r="M795" s="16" t="str">
        <f>IF($A795&lt;Notes!$B$5,"",IF(COUNTIFS(Release_Calendar!$A$2:$A$755,"NZ_CPI",Release_Calendar!$B$2:$B$755,$A795)&gt;0,1,0))</f>
        <v/>
      </c>
      <c r="N795" s="16" t="str">
        <f>IF($A795&lt;Notes!$B$5,"",IF(COUNTIFS(Release_Calendar!$A$2:$A$755,"NZ_GDP",Release_Calendar!$B$2:$B$755,$A795)&gt;0,1,0))</f>
        <v/>
      </c>
      <c r="O795" s="16" t="str">
        <f>IF($A795&lt;Notes!$B$5,"",IF(COUNTIFS(Release_Calendar!$A$2:$A$755,"NZ_LABOUR",Release_Calendar!$B$2:$B$755,$A795)&gt;0,1,0))</f>
        <v/>
      </c>
      <c r="P795" s="16">
        <f t="shared" si="4"/>
        <v>1</v>
      </c>
    </row>
    <row r="796" ht="15.75" customHeight="1">
      <c r="A796" s="14">
        <v>37638.0</v>
      </c>
      <c r="B796" s="15">
        <v>1.7</v>
      </c>
      <c r="C796" s="15"/>
      <c r="D796" s="15">
        <v>5.66</v>
      </c>
      <c r="E796" s="15"/>
      <c r="F796" s="15" t="str">
        <f t="shared" si="1"/>
        <v/>
      </c>
      <c r="G796" s="15">
        <f t="shared" si="2"/>
        <v>5.66</v>
      </c>
      <c r="H796" s="16">
        <v>1.0</v>
      </c>
      <c r="I796" s="15">
        <f t="shared" si="3"/>
        <v>3.96</v>
      </c>
      <c r="J796" s="15">
        <v>25.7</v>
      </c>
      <c r="K796" s="16">
        <f>IF(COUNTIFS(Release_Calendar!$A$2:$A$755,"US_CPI",Release_Calendar!$B$2:$B$755,$A796)&gt;0,1,0)</f>
        <v>0</v>
      </c>
      <c r="L796" s="16">
        <f>IF(COUNTIFS(Release_Calendar!$A$2:$A$755,"US_NFP",Release_Calendar!$B$2:$B$755,$A796)&gt;0,1,0)</f>
        <v>0</v>
      </c>
      <c r="M796" s="16" t="str">
        <f>IF($A796&lt;Notes!$B$5,"",IF(COUNTIFS(Release_Calendar!$A$2:$A$755,"NZ_CPI",Release_Calendar!$B$2:$B$755,$A796)&gt;0,1,0))</f>
        <v/>
      </c>
      <c r="N796" s="16" t="str">
        <f>IF($A796&lt;Notes!$B$5,"",IF(COUNTIFS(Release_Calendar!$A$2:$A$755,"NZ_GDP",Release_Calendar!$B$2:$B$755,$A796)&gt;0,1,0))</f>
        <v/>
      </c>
      <c r="O796" s="16" t="str">
        <f>IF($A796&lt;Notes!$B$5,"",IF(COUNTIFS(Release_Calendar!$A$2:$A$755,"NZ_LABOUR",Release_Calendar!$B$2:$B$755,$A796)&gt;0,1,0))</f>
        <v/>
      </c>
      <c r="P796" s="16">
        <f t="shared" si="4"/>
        <v>0</v>
      </c>
    </row>
    <row r="797" ht="15.75" customHeight="1">
      <c r="A797" s="14">
        <v>37641.0</v>
      </c>
      <c r="B797" s="15"/>
      <c r="C797" s="15"/>
      <c r="D797" s="15">
        <v>5.67</v>
      </c>
      <c r="E797" s="15"/>
      <c r="F797" s="15" t="str">
        <f t="shared" si="1"/>
        <v/>
      </c>
      <c r="G797" s="15">
        <f t="shared" si="2"/>
        <v>5.67</v>
      </c>
      <c r="H797" s="16">
        <v>1.0</v>
      </c>
      <c r="I797" s="15" t="str">
        <f t="shared" si="3"/>
        <v/>
      </c>
      <c r="J797" s="15"/>
      <c r="K797" s="16">
        <f>IF(COUNTIFS(Release_Calendar!$A$2:$A$755,"US_CPI",Release_Calendar!$B$2:$B$755,$A797)&gt;0,1,0)</f>
        <v>0</v>
      </c>
      <c r="L797" s="16">
        <f>IF(COUNTIFS(Release_Calendar!$A$2:$A$755,"US_NFP",Release_Calendar!$B$2:$B$755,$A797)&gt;0,1,0)</f>
        <v>0</v>
      </c>
      <c r="M797" s="16" t="str">
        <f>IF($A797&lt;Notes!$B$5,"",IF(COUNTIFS(Release_Calendar!$A$2:$A$755,"NZ_CPI",Release_Calendar!$B$2:$B$755,$A797)&gt;0,1,0))</f>
        <v/>
      </c>
      <c r="N797" s="16" t="str">
        <f>IF($A797&lt;Notes!$B$5,"",IF(COUNTIFS(Release_Calendar!$A$2:$A$755,"NZ_GDP",Release_Calendar!$B$2:$B$755,$A797)&gt;0,1,0))</f>
        <v/>
      </c>
      <c r="O797" s="16" t="str">
        <f>IF($A797&lt;Notes!$B$5,"",IF(COUNTIFS(Release_Calendar!$A$2:$A$755,"NZ_LABOUR",Release_Calendar!$B$2:$B$755,$A797)&gt;0,1,0))</f>
        <v/>
      </c>
      <c r="P797" s="16">
        <f t="shared" si="4"/>
        <v>0</v>
      </c>
    </row>
    <row r="798" ht="15.75" customHeight="1">
      <c r="A798" s="14">
        <v>37642.0</v>
      </c>
      <c r="B798" s="15">
        <v>1.67</v>
      </c>
      <c r="C798" s="15"/>
      <c r="D798" s="15">
        <v>5.59</v>
      </c>
      <c r="E798" s="15"/>
      <c r="F798" s="15" t="str">
        <f t="shared" si="1"/>
        <v/>
      </c>
      <c r="G798" s="15">
        <f t="shared" si="2"/>
        <v>5.59</v>
      </c>
      <c r="H798" s="16">
        <v>1.0</v>
      </c>
      <c r="I798" s="15">
        <f t="shared" si="3"/>
        <v>3.92</v>
      </c>
      <c r="J798" s="15">
        <v>27.59</v>
      </c>
      <c r="K798" s="16">
        <f>IF(COUNTIFS(Release_Calendar!$A$2:$A$755,"US_CPI",Release_Calendar!$B$2:$B$755,$A798)&gt;0,1,0)</f>
        <v>0</v>
      </c>
      <c r="L798" s="16">
        <f>IF(COUNTIFS(Release_Calendar!$A$2:$A$755,"US_NFP",Release_Calendar!$B$2:$B$755,$A798)&gt;0,1,0)</f>
        <v>0</v>
      </c>
      <c r="M798" s="16" t="str">
        <f>IF($A798&lt;Notes!$B$5,"",IF(COUNTIFS(Release_Calendar!$A$2:$A$755,"NZ_CPI",Release_Calendar!$B$2:$B$755,$A798)&gt;0,1,0))</f>
        <v/>
      </c>
      <c r="N798" s="16" t="str">
        <f>IF($A798&lt;Notes!$B$5,"",IF(COUNTIFS(Release_Calendar!$A$2:$A$755,"NZ_GDP",Release_Calendar!$B$2:$B$755,$A798)&gt;0,1,0))</f>
        <v/>
      </c>
      <c r="O798" s="16" t="str">
        <f>IF($A798&lt;Notes!$B$5,"",IF(COUNTIFS(Release_Calendar!$A$2:$A$755,"NZ_LABOUR",Release_Calendar!$B$2:$B$755,$A798)&gt;0,1,0))</f>
        <v/>
      </c>
      <c r="P798" s="16">
        <f t="shared" si="4"/>
        <v>0</v>
      </c>
    </row>
    <row r="799" ht="15.75" customHeight="1">
      <c r="A799" s="14">
        <v>37643.0</v>
      </c>
      <c r="B799" s="15">
        <v>1.66</v>
      </c>
      <c r="C799" s="15"/>
      <c r="D799" s="15">
        <v>5.59</v>
      </c>
      <c r="E799" s="15"/>
      <c r="F799" s="15" t="str">
        <f t="shared" si="1"/>
        <v/>
      </c>
      <c r="G799" s="15">
        <f t="shared" si="2"/>
        <v>5.59</v>
      </c>
      <c r="H799" s="16">
        <v>1.0</v>
      </c>
      <c r="I799" s="15">
        <f t="shared" si="3"/>
        <v>3.93</v>
      </c>
      <c r="J799" s="15">
        <v>29.01</v>
      </c>
      <c r="K799" s="16">
        <f>IF(COUNTIFS(Release_Calendar!$A$2:$A$755,"US_CPI",Release_Calendar!$B$2:$B$755,$A799)&gt;0,1,0)</f>
        <v>0</v>
      </c>
      <c r="L799" s="16">
        <f>IF(COUNTIFS(Release_Calendar!$A$2:$A$755,"US_NFP",Release_Calendar!$B$2:$B$755,$A799)&gt;0,1,0)</f>
        <v>0</v>
      </c>
      <c r="M799" s="16" t="str">
        <f>IF($A799&lt;Notes!$B$5,"",IF(COUNTIFS(Release_Calendar!$A$2:$A$755,"NZ_CPI",Release_Calendar!$B$2:$B$755,$A799)&gt;0,1,0))</f>
        <v/>
      </c>
      <c r="N799" s="16" t="str">
        <f>IF($A799&lt;Notes!$B$5,"",IF(COUNTIFS(Release_Calendar!$A$2:$A$755,"NZ_GDP",Release_Calendar!$B$2:$B$755,$A799)&gt;0,1,0))</f>
        <v/>
      </c>
      <c r="O799" s="16" t="str">
        <f>IF($A799&lt;Notes!$B$5,"",IF(COUNTIFS(Release_Calendar!$A$2:$A$755,"NZ_LABOUR",Release_Calendar!$B$2:$B$755,$A799)&gt;0,1,0))</f>
        <v/>
      </c>
      <c r="P799" s="16">
        <f t="shared" si="4"/>
        <v>0</v>
      </c>
    </row>
    <row r="800" ht="15.75" customHeight="1">
      <c r="A800" s="14">
        <v>37644.0</v>
      </c>
      <c r="B800" s="15">
        <v>1.69</v>
      </c>
      <c r="C800" s="15"/>
      <c r="D800" s="15">
        <v>5.5</v>
      </c>
      <c r="E800" s="15"/>
      <c r="F800" s="15" t="str">
        <f t="shared" si="1"/>
        <v/>
      </c>
      <c r="G800" s="15">
        <f t="shared" si="2"/>
        <v>5.5</v>
      </c>
      <c r="H800" s="16">
        <v>1.0</v>
      </c>
      <c r="I800" s="15">
        <f t="shared" si="3"/>
        <v>3.81</v>
      </c>
      <c r="J800" s="15">
        <v>27.53</v>
      </c>
      <c r="K800" s="16">
        <f>IF(COUNTIFS(Release_Calendar!$A$2:$A$755,"US_CPI",Release_Calendar!$B$2:$B$755,$A800)&gt;0,1,0)</f>
        <v>0</v>
      </c>
      <c r="L800" s="16">
        <f>IF(COUNTIFS(Release_Calendar!$A$2:$A$755,"US_NFP",Release_Calendar!$B$2:$B$755,$A800)&gt;0,1,0)</f>
        <v>0</v>
      </c>
      <c r="M800" s="16" t="str">
        <f>IF($A800&lt;Notes!$B$5,"",IF(COUNTIFS(Release_Calendar!$A$2:$A$755,"NZ_CPI",Release_Calendar!$B$2:$B$755,$A800)&gt;0,1,0))</f>
        <v/>
      </c>
      <c r="N800" s="16" t="str">
        <f>IF($A800&lt;Notes!$B$5,"",IF(COUNTIFS(Release_Calendar!$A$2:$A$755,"NZ_GDP",Release_Calendar!$B$2:$B$755,$A800)&gt;0,1,0))</f>
        <v/>
      </c>
      <c r="O800" s="16" t="str">
        <f>IF($A800&lt;Notes!$B$5,"",IF(COUNTIFS(Release_Calendar!$A$2:$A$755,"NZ_LABOUR",Release_Calendar!$B$2:$B$755,$A800)&gt;0,1,0))</f>
        <v/>
      </c>
      <c r="P800" s="16">
        <f t="shared" si="4"/>
        <v>0</v>
      </c>
    </row>
    <row r="801" ht="15.75" customHeight="1">
      <c r="A801" s="14">
        <v>37645.0</v>
      </c>
      <c r="B801" s="15">
        <v>1.66</v>
      </c>
      <c r="C801" s="15"/>
      <c r="D801" s="15">
        <v>5.51</v>
      </c>
      <c r="E801" s="15"/>
      <c r="F801" s="15" t="str">
        <f t="shared" si="1"/>
        <v/>
      </c>
      <c r="G801" s="15">
        <f t="shared" si="2"/>
        <v>5.51</v>
      </c>
      <c r="H801" s="16">
        <v>1.0</v>
      </c>
      <c r="I801" s="15">
        <f t="shared" si="3"/>
        <v>3.85</v>
      </c>
      <c r="J801" s="15">
        <v>31.51</v>
      </c>
      <c r="K801" s="16">
        <f>IF(COUNTIFS(Release_Calendar!$A$2:$A$755,"US_CPI",Release_Calendar!$B$2:$B$755,$A801)&gt;0,1,0)</f>
        <v>0</v>
      </c>
      <c r="L801" s="16">
        <f>IF(COUNTIFS(Release_Calendar!$A$2:$A$755,"US_NFP",Release_Calendar!$B$2:$B$755,$A801)&gt;0,1,0)</f>
        <v>0</v>
      </c>
      <c r="M801" s="16" t="str">
        <f>IF($A801&lt;Notes!$B$5,"",IF(COUNTIFS(Release_Calendar!$A$2:$A$755,"NZ_CPI",Release_Calendar!$B$2:$B$755,$A801)&gt;0,1,0))</f>
        <v/>
      </c>
      <c r="N801" s="16" t="str">
        <f>IF($A801&lt;Notes!$B$5,"",IF(COUNTIFS(Release_Calendar!$A$2:$A$755,"NZ_GDP",Release_Calendar!$B$2:$B$755,$A801)&gt;0,1,0))</f>
        <v/>
      </c>
      <c r="O801" s="16" t="str">
        <f>IF($A801&lt;Notes!$B$5,"",IF(COUNTIFS(Release_Calendar!$A$2:$A$755,"NZ_LABOUR",Release_Calendar!$B$2:$B$755,$A801)&gt;0,1,0))</f>
        <v/>
      </c>
      <c r="P801" s="16">
        <f t="shared" si="4"/>
        <v>0</v>
      </c>
    </row>
    <row r="802" ht="15.75" customHeight="1">
      <c r="A802" s="14">
        <v>37648.0</v>
      </c>
      <c r="B802" s="15">
        <v>1.7</v>
      </c>
      <c r="C802" s="15"/>
      <c r="D802" s="15">
        <v>5.52</v>
      </c>
      <c r="E802" s="15"/>
      <c r="F802" s="15" t="str">
        <f t="shared" si="1"/>
        <v/>
      </c>
      <c r="G802" s="15">
        <f t="shared" si="2"/>
        <v>5.52</v>
      </c>
      <c r="H802" s="16">
        <v>1.0</v>
      </c>
      <c r="I802" s="15">
        <f t="shared" si="3"/>
        <v>3.82</v>
      </c>
      <c r="J802" s="15">
        <v>34.69</v>
      </c>
      <c r="K802" s="16">
        <f>IF(COUNTIFS(Release_Calendar!$A$2:$A$755,"US_CPI",Release_Calendar!$B$2:$B$755,$A802)&gt;0,1,0)</f>
        <v>0</v>
      </c>
      <c r="L802" s="16">
        <f>IF(COUNTIFS(Release_Calendar!$A$2:$A$755,"US_NFP",Release_Calendar!$B$2:$B$755,$A802)&gt;0,1,0)</f>
        <v>0</v>
      </c>
      <c r="M802" s="16" t="str">
        <f>IF($A802&lt;Notes!$B$5,"",IF(COUNTIFS(Release_Calendar!$A$2:$A$755,"NZ_CPI",Release_Calendar!$B$2:$B$755,$A802)&gt;0,1,0))</f>
        <v/>
      </c>
      <c r="N802" s="16" t="str">
        <f>IF($A802&lt;Notes!$B$5,"",IF(COUNTIFS(Release_Calendar!$A$2:$A$755,"NZ_GDP",Release_Calendar!$B$2:$B$755,$A802)&gt;0,1,0))</f>
        <v/>
      </c>
      <c r="O802" s="16" t="str">
        <f>IF($A802&lt;Notes!$B$5,"",IF(COUNTIFS(Release_Calendar!$A$2:$A$755,"NZ_LABOUR",Release_Calendar!$B$2:$B$755,$A802)&gt;0,1,0))</f>
        <v/>
      </c>
      <c r="P802" s="16">
        <f t="shared" si="4"/>
        <v>0</v>
      </c>
    </row>
    <row r="803" ht="15.75" customHeight="1">
      <c r="A803" s="14">
        <v>37649.0</v>
      </c>
      <c r="B803" s="15">
        <v>1.7</v>
      </c>
      <c r="C803" s="15"/>
      <c r="D803" s="15">
        <v>5.51</v>
      </c>
      <c r="E803" s="15"/>
      <c r="F803" s="15" t="str">
        <f t="shared" si="1"/>
        <v/>
      </c>
      <c r="G803" s="15">
        <f t="shared" si="2"/>
        <v>5.51</v>
      </c>
      <c r="H803" s="16">
        <v>1.0</v>
      </c>
      <c r="I803" s="15">
        <f t="shared" si="3"/>
        <v>3.81</v>
      </c>
      <c r="J803" s="15">
        <v>31.93</v>
      </c>
      <c r="K803" s="16">
        <f>IF(COUNTIFS(Release_Calendar!$A$2:$A$755,"US_CPI",Release_Calendar!$B$2:$B$755,$A803)&gt;0,1,0)</f>
        <v>0</v>
      </c>
      <c r="L803" s="16">
        <f>IF(COUNTIFS(Release_Calendar!$A$2:$A$755,"US_NFP",Release_Calendar!$B$2:$B$755,$A803)&gt;0,1,0)</f>
        <v>0</v>
      </c>
      <c r="M803" s="16" t="str">
        <f>IF($A803&lt;Notes!$B$5,"",IF(COUNTIFS(Release_Calendar!$A$2:$A$755,"NZ_CPI",Release_Calendar!$B$2:$B$755,$A803)&gt;0,1,0))</f>
        <v/>
      </c>
      <c r="N803" s="16" t="str">
        <f>IF($A803&lt;Notes!$B$5,"",IF(COUNTIFS(Release_Calendar!$A$2:$A$755,"NZ_GDP",Release_Calendar!$B$2:$B$755,$A803)&gt;0,1,0))</f>
        <v/>
      </c>
      <c r="O803" s="16" t="str">
        <f>IF($A803&lt;Notes!$B$5,"",IF(COUNTIFS(Release_Calendar!$A$2:$A$755,"NZ_LABOUR",Release_Calendar!$B$2:$B$755,$A803)&gt;0,1,0))</f>
        <v/>
      </c>
      <c r="P803" s="16">
        <f t="shared" si="4"/>
        <v>0</v>
      </c>
    </row>
    <row r="804" ht="15.75" customHeight="1">
      <c r="A804" s="14">
        <v>37650.0</v>
      </c>
      <c r="B804" s="15">
        <v>1.77</v>
      </c>
      <c r="C804" s="15"/>
      <c r="D804" s="15">
        <v>5.49</v>
      </c>
      <c r="E804" s="15"/>
      <c r="F804" s="15" t="str">
        <f t="shared" si="1"/>
        <v/>
      </c>
      <c r="G804" s="15">
        <f t="shared" si="2"/>
        <v>5.49</v>
      </c>
      <c r="H804" s="16">
        <v>1.0</v>
      </c>
      <c r="I804" s="15">
        <f t="shared" si="3"/>
        <v>3.72</v>
      </c>
      <c r="J804" s="15">
        <v>31.26</v>
      </c>
      <c r="K804" s="16">
        <f>IF(COUNTIFS(Release_Calendar!$A$2:$A$755,"US_CPI",Release_Calendar!$B$2:$B$755,$A804)&gt;0,1,0)</f>
        <v>0</v>
      </c>
      <c r="L804" s="16">
        <f>IF(COUNTIFS(Release_Calendar!$A$2:$A$755,"US_NFP",Release_Calendar!$B$2:$B$755,$A804)&gt;0,1,0)</f>
        <v>0</v>
      </c>
      <c r="M804" s="16" t="str">
        <f>IF($A804&lt;Notes!$B$5,"",IF(COUNTIFS(Release_Calendar!$A$2:$A$755,"NZ_CPI",Release_Calendar!$B$2:$B$755,$A804)&gt;0,1,0))</f>
        <v/>
      </c>
      <c r="N804" s="16" t="str">
        <f>IF($A804&lt;Notes!$B$5,"",IF(COUNTIFS(Release_Calendar!$A$2:$A$755,"NZ_GDP",Release_Calendar!$B$2:$B$755,$A804)&gt;0,1,0))</f>
        <v/>
      </c>
      <c r="O804" s="16" t="str">
        <f>IF($A804&lt;Notes!$B$5,"",IF(COUNTIFS(Release_Calendar!$A$2:$A$755,"NZ_LABOUR",Release_Calendar!$B$2:$B$755,$A804)&gt;0,1,0))</f>
        <v/>
      </c>
      <c r="P804" s="16">
        <f t="shared" si="4"/>
        <v>0</v>
      </c>
    </row>
    <row r="805" ht="15.75" customHeight="1">
      <c r="A805" s="14">
        <v>37651.0</v>
      </c>
      <c r="B805" s="15">
        <v>1.7</v>
      </c>
      <c r="C805" s="15"/>
      <c r="D805" s="15">
        <v>5.49</v>
      </c>
      <c r="E805" s="15"/>
      <c r="F805" s="15" t="str">
        <f t="shared" si="1"/>
        <v/>
      </c>
      <c r="G805" s="15">
        <f t="shared" si="2"/>
        <v>5.49</v>
      </c>
      <c r="H805" s="16">
        <v>1.0</v>
      </c>
      <c r="I805" s="15">
        <f t="shared" si="3"/>
        <v>3.79</v>
      </c>
      <c r="J805" s="15">
        <v>31.32</v>
      </c>
      <c r="K805" s="16">
        <f>IF(COUNTIFS(Release_Calendar!$A$2:$A$755,"US_CPI",Release_Calendar!$B$2:$B$755,$A805)&gt;0,1,0)</f>
        <v>0</v>
      </c>
      <c r="L805" s="16">
        <f>IF(COUNTIFS(Release_Calendar!$A$2:$A$755,"US_NFP",Release_Calendar!$B$2:$B$755,$A805)&gt;0,1,0)</f>
        <v>0</v>
      </c>
      <c r="M805" s="16" t="str">
        <f>IF($A805&lt;Notes!$B$5,"",IF(COUNTIFS(Release_Calendar!$A$2:$A$755,"NZ_CPI",Release_Calendar!$B$2:$B$755,$A805)&gt;0,1,0))</f>
        <v/>
      </c>
      <c r="N805" s="16" t="str">
        <f>IF($A805&lt;Notes!$B$5,"",IF(COUNTIFS(Release_Calendar!$A$2:$A$755,"NZ_GDP",Release_Calendar!$B$2:$B$755,$A805)&gt;0,1,0))</f>
        <v/>
      </c>
      <c r="O805" s="16" t="str">
        <f>IF($A805&lt;Notes!$B$5,"",IF(COUNTIFS(Release_Calendar!$A$2:$A$755,"NZ_LABOUR",Release_Calendar!$B$2:$B$755,$A805)&gt;0,1,0))</f>
        <v/>
      </c>
      <c r="P805" s="16">
        <f t="shared" si="4"/>
        <v>0</v>
      </c>
    </row>
    <row r="806" ht="15.75" customHeight="1">
      <c r="A806" s="14">
        <v>37652.0</v>
      </c>
      <c r="B806" s="15">
        <v>1.72</v>
      </c>
      <c r="C806" s="15"/>
      <c r="D806" s="15">
        <v>5.48</v>
      </c>
      <c r="E806" s="15"/>
      <c r="F806" s="15" t="str">
        <f t="shared" si="1"/>
        <v/>
      </c>
      <c r="G806" s="15">
        <f t="shared" si="2"/>
        <v>5.48</v>
      </c>
      <c r="H806" s="16">
        <v>1.0</v>
      </c>
      <c r="I806" s="15">
        <f t="shared" si="3"/>
        <v>3.76</v>
      </c>
      <c r="J806" s="15">
        <v>31.17</v>
      </c>
      <c r="K806" s="16">
        <f>IF(COUNTIFS(Release_Calendar!$A$2:$A$755,"US_CPI",Release_Calendar!$B$2:$B$755,$A806)&gt;0,1,0)</f>
        <v>0</v>
      </c>
      <c r="L806" s="16">
        <f>IF(COUNTIFS(Release_Calendar!$A$2:$A$755,"US_NFP",Release_Calendar!$B$2:$B$755,$A806)&gt;0,1,0)</f>
        <v>0</v>
      </c>
      <c r="M806" s="16" t="str">
        <f>IF($A806&lt;Notes!$B$5,"",IF(COUNTIFS(Release_Calendar!$A$2:$A$755,"NZ_CPI",Release_Calendar!$B$2:$B$755,$A806)&gt;0,1,0))</f>
        <v/>
      </c>
      <c r="N806" s="16" t="str">
        <f>IF($A806&lt;Notes!$B$5,"",IF(COUNTIFS(Release_Calendar!$A$2:$A$755,"NZ_GDP",Release_Calendar!$B$2:$B$755,$A806)&gt;0,1,0))</f>
        <v/>
      </c>
      <c r="O806" s="16" t="str">
        <f>IF($A806&lt;Notes!$B$5,"",IF(COUNTIFS(Release_Calendar!$A$2:$A$755,"NZ_LABOUR",Release_Calendar!$B$2:$B$755,$A806)&gt;0,1,0))</f>
        <v/>
      </c>
      <c r="P806" s="16">
        <f t="shared" si="4"/>
        <v>0</v>
      </c>
    </row>
    <row r="807" ht="15.75" customHeight="1">
      <c r="A807" s="14">
        <v>37655.0</v>
      </c>
      <c r="B807" s="15">
        <v>1.72</v>
      </c>
      <c r="C807" s="15"/>
      <c r="D807" s="15">
        <v>5.47</v>
      </c>
      <c r="E807" s="15"/>
      <c r="F807" s="15" t="str">
        <f t="shared" si="1"/>
        <v/>
      </c>
      <c r="G807" s="15">
        <f t="shared" si="2"/>
        <v>5.47</v>
      </c>
      <c r="H807" s="16">
        <v>1.0</v>
      </c>
      <c r="I807" s="15">
        <f t="shared" si="3"/>
        <v>3.75</v>
      </c>
      <c r="J807" s="15">
        <v>31.02</v>
      </c>
      <c r="K807" s="16">
        <f>IF(COUNTIFS(Release_Calendar!$A$2:$A$755,"US_CPI",Release_Calendar!$B$2:$B$755,$A807)&gt;0,1,0)</f>
        <v>0</v>
      </c>
      <c r="L807" s="16">
        <f>IF(COUNTIFS(Release_Calendar!$A$2:$A$755,"US_NFP",Release_Calendar!$B$2:$B$755,$A807)&gt;0,1,0)</f>
        <v>0</v>
      </c>
      <c r="M807" s="16" t="str">
        <f>IF($A807&lt;Notes!$B$5,"",IF(COUNTIFS(Release_Calendar!$A$2:$A$755,"NZ_CPI",Release_Calendar!$B$2:$B$755,$A807)&gt;0,1,0))</f>
        <v/>
      </c>
      <c r="N807" s="16" t="str">
        <f>IF($A807&lt;Notes!$B$5,"",IF(COUNTIFS(Release_Calendar!$A$2:$A$755,"NZ_GDP",Release_Calendar!$B$2:$B$755,$A807)&gt;0,1,0))</f>
        <v/>
      </c>
      <c r="O807" s="16" t="str">
        <f>IF($A807&lt;Notes!$B$5,"",IF(COUNTIFS(Release_Calendar!$A$2:$A$755,"NZ_LABOUR",Release_Calendar!$B$2:$B$755,$A807)&gt;0,1,0))</f>
        <v/>
      </c>
      <c r="P807" s="16">
        <f t="shared" si="4"/>
        <v>0</v>
      </c>
    </row>
    <row r="808" ht="15.75" customHeight="1">
      <c r="A808" s="14">
        <v>37656.0</v>
      </c>
      <c r="B808" s="15">
        <v>1.68</v>
      </c>
      <c r="C808" s="15"/>
      <c r="D808" s="15">
        <v>5.52</v>
      </c>
      <c r="E808" s="15"/>
      <c r="F808" s="15" t="str">
        <f t="shared" si="1"/>
        <v/>
      </c>
      <c r="G808" s="15">
        <f t="shared" si="2"/>
        <v>5.52</v>
      </c>
      <c r="H808" s="16">
        <v>1.0</v>
      </c>
      <c r="I808" s="15">
        <f t="shared" si="3"/>
        <v>3.84</v>
      </c>
      <c r="J808" s="15">
        <v>32.76</v>
      </c>
      <c r="K808" s="16">
        <f>IF(COUNTIFS(Release_Calendar!$A$2:$A$755,"US_CPI",Release_Calendar!$B$2:$B$755,$A808)&gt;0,1,0)</f>
        <v>0</v>
      </c>
      <c r="L808" s="16">
        <f>IF(COUNTIFS(Release_Calendar!$A$2:$A$755,"US_NFP",Release_Calendar!$B$2:$B$755,$A808)&gt;0,1,0)</f>
        <v>0</v>
      </c>
      <c r="M808" s="16" t="str">
        <f>IF($A808&lt;Notes!$B$5,"",IF(COUNTIFS(Release_Calendar!$A$2:$A$755,"NZ_CPI",Release_Calendar!$B$2:$B$755,$A808)&gt;0,1,0))</f>
        <v/>
      </c>
      <c r="N808" s="16" t="str">
        <f>IF($A808&lt;Notes!$B$5,"",IF(COUNTIFS(Release_Calendar!$A$2:$A$755,"NZ_GDP",Release_Calendar!$B$2:$B$755,$A808)&gt;0,1,0))</f>
        <v/>
      </c>
      <c r="O808" s="16" t="str">
        <f>IF($A808&lt;Notes!$B$5,"",IF(COUNTIFS(Release_Calendar!$A$2:$A$755,"NZ_LABOUR",Release_Calendar!$B$2:$B$755,$A808)&gt;0,1,0))</f>
        <v/>
      </c>
      <c r="P808" s="16">
        <f t="shared" si="4"/>
        <v>0</v>
      </c>
    </row>
    <row r="809" ht="15.75" customHeight="1">
      <c r="A809" s="14">
        <v>37657.0</v>
      </c>
      <c r="B809" s="15">
        <v>1.73</v>
      </c>
      <c r="C809" s="15"/>
      <c r="D809" s="15">
        <v>5.46</v>
      </c>
      <c r="E809" s="15"/>
      <c r="F809" s="15" t="str">
        <f t="shared" si="1"/>
        <v/>
      </c>
      <c r="G809" s="15">
        <f t="shared" si="2"/>
        <v>5.46</v>
      </c>
      <c r="H809" s="16">
        <v>1.0</v>
      </c>
      <c r="I809" s="15">
        <f t="shared" si="3"/>
        <v>3.73</v>
      </c>
      <c r="J809" s="15">
        <v>33.04</v>
      </c>
      <c r="K809" s="16">
        <f>IF(COUNTIFS(Release_Calendar!$A$2:$A$755,"US_CPI",Release_Calendar!$B$2:$B$755,$A809)&gt;0,1,0)</f>
        <v>0</v>
      </c>
      <c r="L809" s="16">
        <f>IF(COUNTIFS(Release_Calendar!$A$2:$A$755,"US_NFP",Release_Calendar!$B$2:$B$755,$A809)&gt;0,1,0)</f>
        <v>0</v>
      </c>
      <c r="M809" s="16" t="str">
        <f>IF($A809&lt;Notes!$B$5,"",IF(COUNTIFS(Release_Calendar!$A$2:$A$755,"NZ_CPI",Release_Calendar!$B$2:$B$755,$A809)&gt;0,1,0))</f>
        <v/>
      </c>
      <c r="N809" s="16" t="str">
        <f>IF($A809&lt;Notes!$B$5,"",IF(COUNTIFS(Release_Calendar!$A$2:$A$755,"NZ_GDP",Release_Calendar!$B$2:$B$755,$A809)&gt;0,1,0))</f>
        <v/>
      </c>
      <c r="O809" s="16" t="str">
        <f>IF($A809&lt;Notes!$B$5,"",IF(COUNTIFS(Release_Calendar!$A$2:$A$755,"NZ_LABOUR",Release_Calendar!$B$2:$B$755,$A809)&gt;0,1,0))</f>
        <v/>
      </c>
      <c r="P809" s="16">
        <f t="shared" si="4"/>
        <v>0</v>
      </c>
    </row>
    <row r="810" ht="15.75" customHeight="1">
      <c r="A810" s="14">
        <v>37658.0</v>
      </c>
      <c r="B810" s="15">
        <v>1.68</v>
      </c>
      <c r="C810" s="15"/>
      <c r="D810" s="15"/>
      <c r="E810" s="15"/>
      <c r="F810" s="15" t="str">
        <f t="shared" si="1"/>
        <v/>
      </c>
      <c r="G810" s="15" t="str">
        <f t="shared" si="2"/>
        <v/>
      </c>
      <c r="H810" s="16">
        <v>1.0</v>
      </c>
      <c r="I810" s="15" t="str">
        <f t="shared" si="3"/>
        <v/>
      </c>
      <c r="J810" s="15">
        <v>33.35</v>
      </c>
      <c r="K810" s="16">
        <f>IF(COUNTIFS(Release_Calendar!$A$2:$A$755,"US_CPI",Release_Calendar!$B$2:$B$755,$A810)&gt;0,1,0)</f>
        <v>0</v>
      </c>
      <c r="L810" s="16">
        <f>IF(COUNTIFS(Release_Calendar!$A$2:$A$755,"US_NFP",Release_Calendar!$B$2:$B$755,$A810)&gt;0,1,0)</f>
        <v>0</v>
      </c>
      <c r="M810" s="16" t="str">
        <f>IF($A810&lt;Notes!$B$5,"",IF(COUNTIFS(Release_Calendar!$A$2:$A$755,"NZ_CPI",Release_Calendar!$B$2:$B$755,$A810)&gt;0,1,0))</f>
        <v/>
      </c>
      <c r="N810" s="16" t="str">
        <f>IF($A810&lt;Notes!$B$5,"",IF(COUNTIFS(Release_Calendar!$A$2:$A$755,"NZ_GDP",Release_Calendar!$B$2:$B$755,$A810)&gt;0,1,0))</f>
        <v/>
      </c>
      <c r="O810" s="16" t="str">
        <f>IF($A810&lt;Notes!$B$5,"",IF(COUNTIFS(Release_Calendar!$A$2:$A$755,"NZ_LABOUR",Release_Calendar!$B$2:$B$755,$A810)&gt;0,1,0))</f>
        <v/>
      </c>
      <c r="P810" s="16">
        <f t="shared" si="4"/>
        <v>0</v>
      </c>
    </row>
    <row r="811" ht="15.75" customHeight="1">
      <c r="A811" s="14">
        <v>37659.0</v>
      </c>
      <c r="B811" s="15">
        <v>1.63</v>
      </c>
      <c r="C811" s="15"/>
      <c r="D811" s="15">
        <v>5.43</v>
      </c>
      <c r="E811" s="15"/>
      <c r="F811" s="15" t="str">
        <f t="shared" si="1"/>
        <v/>
      </c>
      <c r="G811" s="15">
        <f t="shared" si="2"/>
        <v>5.43</v>
      </c>
      <c r="H811" s="16">
        <v>1.0</v>
      </c>
      <c r="I811" s="15">
        <f t="shared" si="3"/>
        <v>3.8</v>
      </c>
      <c r="J811" s="15">
        <v>34.01</v>
      </c>
      <c r="K811" s="16">
        <f>IF(COUNTIFS(Release_Calendar!$A$2:$A$755,"US_CPI",Release_Calendar!$B$2:$B$755,$A811)&gt;0,1,0)</f>
        <v>0</v>
      </c>
      <c r="L811" s="16">
        <f>IF(COUNTIFS(Release_Calendar!$A$2:$A$755,"US_NFP",Release_Calendar!$B$2:$B$755,$A811)&gt;0,1,0)</f>
        <v>1</v>
      </c>
      <c r="M811" s="16" t="str">
        <f>IF($A811&lt;Notes!$B$5,"",IF(COUNTIFS(Release_Calendar!$A$2:$A$755,"NZ_CPI",Release_Calendar!$B$2:$B$755,$A811)&gt;0,1,0))</f>
        <v/>
      </c>
      <c r="N811" s="16" t="str">
        <f>IF($A811&lt;Notes!$B$5,"",IF(COUNTIFS(Release_Calendar!$A$2:$A$755,"NZ_GDP",Release_Calendar!$B$2:$B$755,$A811)&gt;0,1,0))</f>
        <v/>
      </c>
      <c r="O811" s="16" t="str">
        <f>IF($A811&lt;Notes!$B$5,"",IF(COUNTIFS(Release_Calendar!$A$2:$A$755,"NZ_LABOUR",Release_Calendar!$B$2:$B$755,$A811)&gt;0,1,0))</f>
        <v/>
      </c>
      <c r="P811" s="16">
        <f t="shared" si="4"/>
        <v>1</v>
      </c>
    </row>
    <row r="812" ht="15.75" customHeight="1">
      <c r="A812" s="14">
        <v>37662.0</v>
      </c>
      <c r="B812" s="15">
        <v>1.68</v>
      </c>
      <c r="C812" s="15"/>
      <c r="D812" s="15">
        <v>5.42</v>
      </c>
      <c r="E812" s="15"/>
      <c r="F812" s="15" t="str">
        <f t="shared" si="1"/>
        <v/>
      </c>
      <c r="G812" s="15">
        <f t="shared" si="2"/>
        <v>5.42</v>
      </c>
      <c r="H812" s="16">
        <v>1.0</v>
      </c>
      <c r="I812" s="15">
        <f t="shared" si="3"/>
        <v>3.74</v>
      </c>
      <c r="J812" s="15">
        <v>33.99</v>
      </c>
      <c r="K812" s="16">
        <f>IF(COUNTIFS(Release_Calendar!$A$2:$A$755,"US_CPI",Release_Calendar!$B$2:$B$755,$A812)&gt;0,1,0)</f>
        <v>0</v>
      </c>
      <c r="L812" s="16">
        <f>IF(COUNTIFS(Release_Calendar!$A$2:$A$755,"US_NFP",Release_Calendar!$B$2:$B$755,$A812)&gt;0,1,0)</f>
        <v>0</v>
      </c>
      <c r="M812" s="16" t="str">
        <f>IF($A812&lt;Notes!$B$5,"",IF(COUNTIFS(Release_Calendar!$A$2:$A$755,"NZ_CPI",Release_Calendar!$B$2:$B$755,$A812)&gt;0,1,0))</f>
        <v/>
      </c>
      <c r="N812" s="16" t="str">
        <f>IF($A812&lt;Notes!$B$5,"",IF(COUNTIFS(Release_Calendar!$A$2:$A$755,"NZ_GDP",Release_Calendar!$B$2:$B$755,$A812)&gt;0,1,0))</f>
        <v/>
      </c>
      <c r="O812" s="16" t="str">
        <f>IF($A812&lt;Notes!$B$5,"",IF(COUNTIFS(Release_Calendar!$A$2:$A$755,"NZ_LABOUR",Release_Calendar!$B$2:$B$755,$A812)&gt;0,1,0))</f>
        <v/>
      </c>
      <c r="P812" s="16">
        <f t="shared" si="4"/>
        <v>0</v>
      </c>
    </row>
    <row r="813" ht="15.75" customHeight="1">
      <c r="A813" s="14">
        <v>37663.0</v>
      </c>
      <c r="B813" s="15">
        <v>1.65</v>
      </c>
      <c r="C813" s="15"/>
      <c r="D813" s="15">
        <v>5.46</v>
      </c>
      <c r="E813" s="15"/>
      <c r="F813" s="15" t="str">
        <f t="shared" si="1"/>
        <v/>
      </c>
      <c r="G813" s="15">
        <f t="shared" si="2"/>
        <v>5.46</v>
      </c>
      <c r="H813" s="16">
        <v>1.0</v>
      </c>
      <c r="I813" s="15">
        <f t="shared" si="3"/>
        <v>3.81</v>
      </c>
      <c r="J813" s="15">
        <v>33.68</v>
      </c>
      <c r="K813" s="16">
        <f>IF(COUNTIFS(Release_Calendar!$A$2:$A$755,"US_CPI",Release_Calendar!$B$2:$B$755,$A813)&gt;0,1,0)</f>
        <v>0</v>
      </c>
      <c r="L813" s="16">
        <f>IF(COUNTIFS(Release_Calendar!$A$2:$A$755,"US_NFP",Release_Calendar!$B$2:$B$755,$A813)&gt;0,1,0)</f>
        <v>0</v>
      </c>
      <c r="M813" s="16" t="str">
        <f>IF($A813&lt;Notes!$B$5,"",IF(COUNTIFS(Release_Calendar!$A$2:$A$755,"NZ_CPI",Release_Calendar!$B$2:$B$755,$A813)&gt;0,1,0))</f>
        <v/>
      </c>
      <c r="N813" s="16" t="str">
        <f>IF($A813&lt;Notes!$B$5,"",IF(COUNTIFS(Release_Calendar!$A$2:$A$755,"NZ_GDP",Release_Calendar!$B$2:$B$755,$A813)&gt;0,1,0))</f>
        <v/>
      </c>
      <c r="O813" s="16" t="str">
        <f>IF($A813&lt;Notes!$B$5,"",IF(COUNTIFS(Release_Calendar!$A$2:$A$755,"NZ_LABOUR",Release_Calendar!$B$2:$B$755,$A813)&gt;0,1,0))</f>
        <v/>
      </c>
      <c r="P813" s="16">
        <f t="shared" si="4"/>
        <v>0</v>
      </c>
    </row>
    <row r="814" ht="15.75" customHeight="1">
      <c r="A814" s="14">
        <v>37664.0</v>
      </c>
      <c r="B814" s="15">
        <v>1.62</v>
      </c>
      <c r="C814" s="15"/>
      <c r="D814" s="15">
        <v>5.45</v>
      </c>
      <c r="E814" s="15"/>
      <c r="F814" s="15" t="str">
        <f t="shared" si="1"/>
        <v/>
      </c>
      <c r="G814" s="15">
        <f t="shared" si="2"/>
        <v>5.45</v>
      </c>
      <c r="H814" s="16">
        <v>1.0</v>
      </c>
      <c r="I814" s="15">
        <f t="shared" si="3"/>
        <v>3.83</v>
      </c>
      <c r="J814" s="15">
        <v>34.33</v>
      </c>
      <c r="K814" s="16">
        <f>IF(COUNTIFS(Release_Calendar!$A$2:$A$755,"US_CPI",Release_Calendar!$B$2:$B$755,$A814)&gt;0,1,0)</f>
        <v>0</v>
      </c>
      <c r="L814" s="16">
        <f>IF(COUNTIFS(Release_Calendar!$A$2:$A$755,"US_NFP",Release_Calendar!$B$2:$B$755,$A814)&gt;0,1,0)</f>
        <v>0</v>
      </c>
      <c r="M814" s="16" t="str">
        <f>IF($A814&lt;Notes!$B$5,"",IF(COUNTIFS(Release_Calendar!$A$2:$A$755,"NZ_CPI",Release_Calendar!$B$2:$B$755,$A814)&gt;0,1,0))</f>
        <v/>
      </c>
      <c r="N814" s="16" t="str">
        <f>IF($A814&lt;Notes!$B$5,"",IF(COUNTIFS(Release_Calendar!$A$2:$A$755,"NZ_GDP",Release_Calendar!$B$2:$B$755,$A814)&gt;0,1,0))</f>
        <v/>
      </c>
      <c r="O814" s="16" t="str">
        <f>IF($A814&lt;Notes!$B$5,"",IF(COUNTIFS(Release_Calendar!$A$2:$A$755,"NZ_LABOUR",Release_Calendar!$B$2:$B$755,$A814)&gt;0,1,0))</f>
        <v/>
      </c>
      <c r="P814" s="16">
        <f t="shared" si="4"/>
        <v>0</v>
      </c>
    </row>
    <row r="815" ht="15.75" customHeight="1">
      <c r="A815" s="14">
        <v>37665.0</v>
      </c>
      <c r="B815" s="15">
        <v>1.57</v>
      </c>
      <c r="C815" s="15"/>
      <c r="D815" s="15">
        <v>5.44</v>
      </c>
      <c r="E815" s="15"/>
      <c r="F815" s="15" t="str">
        <f t="shared" si="1"/>
        <v/>
      </c>
      <c r="G815" s="15">
        <f t="shared" si="2"/>
        <v>5.44</v>
      </c>
      <c r="H815" s="16">
        <v>1.0</v>
      </c>
      <c r="I815" s="15">
        <f t="shared" si="3"/>
        <v>3.87</v>
      </c>
      <c r="J815" s="15">
        <v>33.7</v>
      </c>
      <c r="K815" s="16">
        <f>IF(COUNTIFS(Release_Calendar!$A$2:$A$755,"US_CPI",Release_Calendar!$B$2:$B$755,$A815)&gt;0,1,0)</f>
        <v>0</v>
      </c>
      <c r="L815" s="16">
        <f>IF(COUNTIFS(Release_Calendar!$A$2:$A$755,"US_NFP",Release_Calendar!$B$2:$B$755,$A815)&gt;0,1,0)</f>
        <v>0</v>
      </c>
      <c r="M815" s="16" t="str">
        <f>IF($A815&lt;Notes!$B$5,"",IF(COUNTIFS(Release_Calendar!$A$2:$A$755,"NZ_CPI",Release_Calendar!$B$2:$B$755,$A815)&gt;0,1,0))</f>
        <v/>
      </c>
      <c r="N815" s="16" t="str">
        <f>IF($A815&lt;Notes!$B$5,"",IF(COUNTIFS(Release_Calendar!$A$2:$A$755,"NZ_GDP",Release_Calendar!$B$2:$B$755,$A815)&gt;0,1,0))</f>
        <v/>
      </c>
      <c r="O815" s="16" t="str">
        <f>IF($A815&lt;Notes!$B$5,"",IF(COUNTIFS(Release_Calendar!$A$2:$A$755,"NZ_LABOUR",Release_Calendar!$B$2:$B$755,$A815)&gt;0,1,0))</f>
        <v/>
      </c>
      <c r="P815" s="16">
        <f t="shared" si="4"/>
        <v>0</v>
      </c>
    </row>
    <row r="816" ht="15.75" customHeight="1">
      <c r="A816" s="14">
        <v>37666.0</v>
      </c>
      <c r="B816" s="15">
        <v>1.62</v>
      </c>
      <c r="C816" s="15"/>
      <c r="D816" s="15">
        <v>5.42</v>
      </c>
      <c r="E816" s="15"/>
      <c r="F816" s="15" t="str">
        <f t="shared" si="1"/>
        <v/>
      </c>
      <c r="G816" s="15">
        <f t="shared" si="2"/>
        <v>5.42</v>
      </c>
      <c r="H816" s="16">
        <v>1.0</v>
      </c>
      <c r="I816" s="15">
        <f t="shared" si="3"/>
        <v>3.8</v>
      </c>
      <c r="J816" s="15">
        <v>32.62</v>
      </c>
      <c r="K816" s="16">
        <f>IF(COUNTIFS(Release_Calendar!$A$2:$A$755,"US_CPI",Release_Calendar!$B$2:$B$755,$A816)&gt;0,1,0)</f>
        <v>0</v>
      </c>
      <c r="L816" s="16">
        <f>IF(COUNTIFS(Release_Calendar!$A$2:$A$755,"US_NFP",Release_Calendar!$B$2:$B$755,$A816)&gt;0,1,0)</f>
        <v>0</v>
      </c>
      <c r="M816" s="16" t="str">
        <f>IF($A816&lt;Notes!$B$5,"",IF(COUNTIFS(Release_Calendar!$A$2:$A$755,"NZ_CPI",Release_Calendar!$B$2:$B$755,$A816)&gt;0,1,0))</f>
        <v/>
      </c>
      <c r="N816" s="16" t="str">
        <f>IF($A816&lt;Notes!$B$5,"",IF(COUNTIFS(Release_Calendar!$A$2:$A$755,"NZ_GDP",Release_Calendar!$B$2:$B$755,$A816)&gt;0,1,0))</f>
        <v/>
      </c>
      <c r="O816" s="16" t="str">
        <f>IF($A816&lt;Notes!$B$5,"",IF(COUNTIFS(Release_Calendar!$A$2:$A$755,"NZ_LABOUR",Release_Calendar!$B$2:$B$755,$A816)&gt;0,1,0))</f>
        <v/>
      </c>
      <c r="P816" s="16">
        <f t="shared" si="4"/>
        <v>0</v>
      </c>
    </row>
    <row r="817" ht="15.75" customHeight="1">
      <c r="A817" s="14">
        <v>37669.0</v>
      </c>
      <c r="B817" s="15"/>
      <c r="C817" s="15"/>
      <c r="D817" s="15">
        <v>5.48</v>
      </c>
      <c r="E817" s="15"/>
      <c r="F817" s="15" t="str">
        <f t="shared" si="1"/>
        <v/>
      </c>
      <c r="G817" s="15">
        <f t="shared" si="2"/>
        <v>5.48</v>
      </c>
      <c r="H817" s="16">
        <v>1.0</v>
      </c>
      <c r="I817" s="15" t="str">
        <f t="shared" si="3"/>
        <v/>
      </c>
      <c r="J817" s="15"/>
      <c r="K817" s="16">
        <f>IF(COUNTIFS(Release_Calendar!$A$2:$A$755,"US_CPI",Release_Calendar!$B$2:$B$755,$A817)&gt;0,1,0)</f>
        <v>0</v>
      </c>
      <c r="L817" s="16">
        <f>IF(COUNTIFS(Release_Calendar!$A$2:$A$755,"US_NFP",Release_Calendar!$B$2:$B$755,$A817)&gt;0,1,0)</f>
        <v>0</v>
      </c>
      <c r="M817" s="16" t="str">
        <f>IF($A817&lt;Notes!$B$5,"",IF(COUNTIFS(Release_Calendar!$A$2:$A$755,"NZ_CPI",Release_Calendar!$B$2:$B$755,$A817)&gt;0,1,0))</f>
        <v/>
      </c>
      <c r="N817" s="16" t="str">
        <f>IF($A817&lt;Notes!$B$5,"",IF(COUNTIFS(Release_Calendar!$A$2:$A$755,"NZ_GDP",Release_Calendar!$B$2:$B$755,$A817)&gt;0,1,0))</f>
        <v/>
      </c>
      <c r="O817" s="16" t="str">
        <f>IF($A817&lt;Notes!$B$5,"",IF(COUNTIFS(Release_Calendar!$A$2:$A$755,"NZ_LABOUR",Release_Calendar!$B$2:$B$755,$A817)&gt;0,1,0))</f>
        <v/>
      </c>
      <c r="P817" s="16">
        <f t="shared" si="4"/>
        <v>0</v>
      </c>
    </row>
    <row r="818" ht="15.75" customHeight="1">
      <c r="A818" s="14">
        <v>37670.0</v>
      </c>
      <c r="B818" s="15">
        <v>1.66</v>
      </c>
      <c r="C818" s="15"/>
      <c r="D818" s="15">
        <v>5.47</v>
      </c>
      <c r="E818" s="15"/>
      <c r="F818" s="15" t="str">
        <f t="shared" si="1"/>
        <v/>
      </c>
      <c r="G818" s="15">
        <f t="shared" si="2"/>
        <v>5.47</v>
      </c>
      <c r="H818" s="16">
        <v>1.0</v>
      </c>
      <c r="I818" s="15">
        <f t="shared" si="3"/>
        <v>3.81</v>
      </c>
      <c r="J818" s="15">
        <v>31.11</v>
      </c>
      <c r="K818" s="16">
        <f>IF(COUNTIFS(Release_Calendar!$A$2:$A$755,"US_CPI",Release_Calendar!$B$2:$B$755,$A818)&gt;0,1,0)</f>
        <v>0</v>
      </c>
      <c r="L818" s="16">
        <f>IF(COUNTIFS(Release_Calendar!$A$2:$A$755,"US_NFP",Release_Calendar!$B$2:$B$755,$A818)&gt;0,1,0)</f>
        <v>0</v>
      </c>
      <c r="M818" s="16" t="str">
        <f>IF($A818&lt;Notes!$B$5,"",IF(COUNTIFS(Release_Calendar!$A$2:$A$755,"NZ_CPI",Release_Calendar!$B$2:$B$755,$A818)&gt;0,1,0))</f>
        <v/>
      </c>
      <c r="N818" s="16" t="str">
        <f>IF($A818&lt;Notes!$B$5,"",IF(COUNTIFS(Release_Calendar!$A$2:$A$755,"NZ_GDP",Release_Calendar!$B$2:$B$755,$A818)&gt;0,1,0))</f>
        <v/>
      </c>
      <c r="O818" s="16" t="str">
        <f>IF($A818&lt;Notes!$B$5,"",IF(COUNTIFS(Release_Calendar!$A$2:$A$755,"NZ_LABOUR",Release_Calendar!$B$2:$B$755,$A818)&gt;0,1,0))</f>
        <v/>
      </c>
      <c r="P818" s="16">
        <f t="shared" si="4"/>
        <v>0</v>
      </c>
    </row>
    <row r="819" ht="15.75" customHeight="1">
      <c r="A819" s="14">
        <v>37671.0</v>
      </c>
      <c r="B819" s="15">
        <v>1.61</v>
      </c>
      <c r="C819" s="15"/>
      <c r="D819" s="15">
        <v>5.46</v>
      </c>
      <c r="E819" s="15"/>
      <c r="F819" s="15" t="str">
        <f t="shared" si="1"/>
        <v/>
      </c>
      <c r="G819" s="15">
        <f t="shared" si="2"/>
        <v>5.46</v>
      </c>
      <c r="H819" s="16">
        <v>1.0</v>
      </c>
      <c r="I819" s="15">
        <f t="shared" si="3"/>
        <v>3.85</v>
      </c>
      <c r="J819" s="15">
        <v>31.31</v>
      </c>
      <c r="K819" s="16">
        <f>IF(COUNTIFS(Release_Calendar!$A$2:$A$755,"US_CPI",Release_Calendar!$B$2:$B$755,$A819)&gt;0,1,0)</f>
        <v>0</v>
      </c>
      <c r="L819" s="16">
        <f>IF(COUNTIFS(Release_Calendar!$A$2:$A$755,"US_NFP",Release_Calendar!$B$2:$B$755,$A819)&gt;0,1,0)</f>
        <v>0</v>
      </c>
      <c r="M819" s="16" t="str">
        <f>IF($A819&lt;Notes!$B$5,"",IF(COUNTIFS(Release_Calendar!$A$2:$A$755,"NZ_CPI",Release_Calendar!$B$2:$B$755,$A819)&gt;0,1,0))</f>
        <v/>
      </c>
      <c r="N819" s="16" t="str">
        <f>IF($A819&lt;Notes!$B$5,"",IF(COUNTIFS(Release_Calendar!$A$2:$A$755,"NZ_GDP",Release_Calendar!$B$2:$B$755,$A819)&gt;0,1,0))</f>
        <v/>
      </c>
      <c r="O819" s="16" t="str">
        <f>IF($A819&lt;Notes!$B$5,"",IF(COUNTIFS(Release_Calendar!$A$2:$A$755,"NZ_LABOUR",Release_Calendar!$B$2:$B$755,$A819)&gt;0,1,0))</f>
        <v/>
      </c>
      <c r="P819" s="16">
        <f t="shared" si="4"/>
        <v>0</v>
      </c>
    </row>
    <row r="820" ht="15.75" customHeight="1">
      <c r="A820" s="14">
        <v>37672.0</v>
      </c>
      <c r="B820" s="15">
        <v>1.59</v>
      </c>
      <c r="C820" s="15"/>
      <c r="D820" s="15">
        <v>5.44</v>
      </c>
      <c r="E820" s="15"/>
      <c r="F820" s="15" t="str">
        <f t="shared" si="1"/>
        <v/>
      </c>
      <c r="G820" s="15">
        <f t="shared" si="2"/>
        <v>5.44</v>
      </c>
      <c r="H820" s="16">
        <v>1.0</v>
      </c>
      <c r="I820" s="15">
        <f t="shared" si="3"/>
        <v>3.85</v>
      </c>
      <c r="J820" s="15">
        <v>31.16</v>
      </c>
      <c r="K820" s="16">
        <f>IF(COUNTIFS(Release_Calendar!$A$2:$A$755,"US_CPI",Release_Calendar!$B$2:$B$755,$A820)&gt;0,1,0)</f>
        <v>0</v>
      </c>
      <c r="L820" s="16">
        <f>IF(COUNTIFS(Release_Calendar!$A$2:$A$755,"US_NFP",Release_Calendar!$B$2:$B$755,$A820)&gt;0,1,0)</f>
        <v>0</v>
      </c>
      <c r="M820" s="16" t="str">
        <f>IF($A820&lt;Notes!$B$5,"",IF(COUNTIFS(Release_Calendar!$A$2:$A$755,"NZ_CPI",Release_Calendar!$B$2:$B$755,$A820)&gt;0,1,0))</f>
        <v/>
      </c>
      <c r="N820" s="16" t="str">
        <f>IF($A820&lt;Notes!$B$5,"",IF(COUNTIFS(Release_Calendar!$A$2:$A$755,"NZ_GDP",Release_Calendar!$B$2:$B$755,$A820)&gt;0,1,0))</f>
        <v/>
      </c>
      <c r="O820" s="16" t="str">
        <f>IF($A820&lt;Notes!$B$5,"",IF(COUNTIFS(Release_Calendar!$A$2:$A$755,"NZ_LABOUR",Release_Calendar!$B$2:$B$755,$A820)&gt;0,1,0))</f>
        <v/>
      </c>
      <c r="P820" s="16">
        <f t="shared" si="4"/>
        <v>0</v>
      </c>
    </row>
    <row r="821" ht="15.75" customHeight="1">
      <c r="A821" s="14">
        <v>37673.0</v>
      </c>
      <c r="B821" s="15">
        <v>1.63</v>
      </c>
      <c r="C821" s="15"/>
      <c r="D821" s="15">
        <v>5.41</v>
      </c>
      <c r="E821" s="15"/>
      <c r="F821" s="15" t="str">
        <f t="shared" si="1"/>
        <v/>
      </c>
      <c r="G821" s="15">
        <f t="shared" si="2"/>
        <v>5.41</v>
      </c>
      <c r="H821" s="16">
        <v>1.0</v>
      </c>
      <c r="I821" s="15">
        <f t="shared" si="3"/>
        <v>3.78</v>
      </c>
      <c r="J821" s="15">
        <v>30.25</v>
      </c>
      <c r="K821" s="16">
        <f>IF(COUNTIFS(Release_Calendar!$A$2:$A$755,"US_CPI",Release_Calendar!$B$2:$B$755,$A821)&gt;0,1,0)</f>
        <v>1</v>
      </c>
      <c r="L821" s="16">
        <f>IF(COUNTIFS(Release_Calendar!$A$2:$A$755,"US_NFP",Release_Calendar!$B$2:$B$755,$A821)&gt;0,1,0)</f>
        <v>0</v>
      </c>
      <c r="M821" s="16" t="str">
        <f>IF($A821&lt;Notes!$B$5,"",IF(COUNTIFS(Release_Calendar!$A$2:$A$755,"NZ_CPI",Release_Calendar!$B$2:$B$755,$A821)&gt;0,1,0))</f>
        <v/>
      </c>
      <c r="N821" s="16" t="str">
        <f>IF($A821&lt;Notes!$B$5,"",IF(COUNTIFS(Release_Calendar!$A$2:$A$755,"NZ_GDP",Release_Calendar!$B$2:$B$755,$A821)&gt;0,1,0))</f>
        <v/>
      </c>
      <c r="O821" s="16" t="str">
        <f>IF($A821&lt;Notes!$B$5,"",IF(COUNTIFS(Release_Calendar!$A$2:$A$755,"NZ_LABOUR",Release_Calendar!$B$2:$B$755,$A821)&gt;0,1,0))</f>
        <v/>
      </c>
      <c r="P821" s="16">
        <f t="shared" si="4"/>
        <v>1</v>
      </c>
    </row>
    <row r="822" ht="15.75" customHeight="1">
      <c r="A822" s="14">
        <v>37676.0</v>
      </c>
      <c r="B822" s="15">
        <v>1.6</v>
      </c>
      <c r="C822" s="15"/>
      <c r="D822" s="15">
        <v>5.43</v>
      </c>
      <c r="E822" s="15"/>
      <c r="F822" s="15" t="str">
        <f t="shared" si="1"/>
        <v/>
      </c>
      <c r="G822" s="15">
        <f t="shared" si="2"/>
        <v>5.43</v>
      </c>
      <c r="H822" s="16">
        <v>1.0</v>
      </c>
      <c r="I822" s="15">
        <f t="shared" si="3"/>
        <v>3.83</v>
      </c>
      <c r="J822" s="15">
        <v>31.98</v>
      </c>
      <c r="K822" s="16">
        <f>IF(COUNTIFS(Release_Calendar!$A$2:$A$755,"US_CPI",Release_Calendar!$B$2:$B$755,$A822)&gt;0,1,0)</f>
        <v>0</v>
      </c>
      <c r="L822" s="16">
        <f>IF(COUNTIFS(Release_Calendar!$A$2:$A$755,"US_NFP",Release_Calendar!$B$2:$B$755,$A822)&gt;0,1,0)</f>
        <v>0</v>
      </c>
      <c r="M822" s="16" t="str">
        <f>IF($A822&lt;Notes!$B$5,"",IF(COUNTIFS(Release_Calendar!$A$2:$A$755,"NZ_CPI",Release_Calendar!$B$2:$B$755,$A822)&gt;0,1,0))</f>
        <v/>
      </c>
      <c r="N822" s="16" t="str">
        <f>IF($A822&lt;Notes!$B$5,"",IF(COUNTIFS(Release_Calendar!$A$2:$A$755,"NZ_GDP",Release_Calendar!$B$2:$B$755,$A822)&gt;0,1,0))</f>
        <v/>
      </c>
      <c r="O822" s="16" t="str">
        <f>IF($A822&lt;Notes!$B$5,"",IF(COUNTIFS(Release_Calendar!$A$2:$A$755,"NZ_LABOUR",Release_Calendar!$B$2:$B$755,$A822)&gt;0,1,0))</f>
        <v/>
      </c>
      <c r="P822" s="16">
        <f t="shared" si="4"/>
        <v>0</v>
      </c>
    </row>
    <row r="823" ht="15.75" customHeight="1">
      <c r="A823" s="14">
        <v>37677.0</v>
      </c>
      <c r="B823" s="15">
        <v>1.58</v>
      </c>
      <c r="C823" s="15"/>
      <c r="D823" s="15">
        <v>5.4</v>
      </c>
      <c r="E823" s="15"/>
      <c r="F823" s="15" t="str">
        <f t="shared" si="1"/>
        <v/>
      </c>
      <c r="G823" s="15">
        <f t="shared" si="2"/>
        <v>5.4</v>
      </c>
      <c r="H823" s="16">
        <v>1.0</v>
      </c>
      <c r="I823" s="15">
        <f t="shared" si="3"/>
        <v>3.82</v>
      </c>
      <c r="J823" s="15">
        <v>31.74</v>
      </c>
      <c r="K823" s="16">
        <f>IF(COUNTIFS(Release_Calendar!$A$2:$A$755,"US_CPI",Release_Calendar!$B$2:$B$755,$A823)&gt;0,1,0)</f>
        <v>0</v>
      </c>
      <c r="L823" s="16">
        <f>IF(COUNTIFS(Release_Calendar!$A$2:$A$755,"US_NFP",Release_Calendar!$B$2:$B$755,$A823)&gt;0,1,0)</f>
        <v>0</v>
      </c>
      <c r="M823" s="16" t="str">
        <f>IF($A823&lt;Notes!$B$5,"",IF(COUNTIFS(Release_Calendar!$A$2:$A$755,"NZ_CPI",Release_Calendar!$B$2:$B$755,$A823)&gt;0,1,0))</f>
        <v/>
      </c>
      <c r="N823" s="16" t="str">
        <f>IF($A823&lt;Notes!$B$5,"",IF(COUNTIFS(Release_Calendar!$A$2:$A$755,"NZ_GDP",Release_Calendar!$B$2:$B$755,$A823)&gt;0,1,0))</f>
        <v/>
      </c>
      <c r="O823" s="16" t="str">
        <f>IF($A823&lt;Notes!$B$5,"",IF(COUNTIFS(Release_Calendar!$A$2:$A$755,"NZ_LABOUR",Release_Calendar!$B$2:$B$755,$A823)&gt;0,1,0))</f>
        <v/>
      </c>
      <c r="P823" s="16">
        <f t="shared" si="4"/>
        <v>0</v>
      </c>
    </row>
    <row r="824" ht="15.75" customHeight="1">
      <c r="A824" s="14">
        <v>37678.0</v>
      </c>
      <c r="B824" s="15">
        <v>1.57</v>
      </c>
      <c r="C824" s="15"/>
      <c r="D824" s="15">
        <v>5.36</v>
      </c>
      <c r="E824" s="15"/>
      <c r="F824" s="15" t="str">
        <f t="shared" si="1"/>
        <v/>
      </c>
      <c r="G824" s="15">
        <f t="shared" si="2"/>
        <v>5.36</v>
      </c>
      <c r="H824" s="16">
        <v>1.0</v>
      </c>
      <c r="I824" s="15">
        <f t="shared" si="3"/>
        <v>3.79</v>
      </c>
      <c r="J824" s="15">
        <v>31.94</v>
      </c>
      <c r="K824" s="16">
        <f>IF(COUNTIFS(Release_Calendar!$A$2:$A$755,"US_CPI",Release_Calendar!$B$2:$B$755,$A824)&gt;0,1,0)</f>
        <v>0</v>
      </c>
      <c r="L824" s="16">
        <f>IF(COUNTIFS(Release_Calendar!$A$2:$A$755,"US_NFP",Release_Calendar!$B$2:$B$755,$A824)&gt;0,1,0)</f>
        <v>0</v>
      </c>
      <c r="M824" s="16" t="str">
        <f>IF($A824&lt;Notes!$B$5,"",IF(COUNTIFS(Release_Calendar!$A$2:$A$755,"NZ_CPI",Release_Calendar!$B$2:$B$755,$A824)&gt;0,1,0))</f>
        <v/>
      </c>
      <c r="N824" s="16" t="str">
        <f>IF($A824&lt;Notes!$B$5,"",IF(COUNTIFS(Release_Calendar!$A$2:$A$755,"NZ_GDP",Release_Calendar!$B$2:$B$755,$A824)&gt;0,1,0))</f>
        <v/>
      </c>
      <c r="O824" s="16" t="str">
        <f>IF($A824&lt;Notes!$B$5,"",IF(COUNTIFS(Release_Calendar!$A$2:$A$755,"NZ_LABOUR",Release_Calendar!$B$2:$B$755,$A824)&gt;0,1,0))</f>
        <v/>
      </c>
      <c r="P824" s="16">
        <f t="shared" si="4"/>
        <v>0</v>
      </c>
    </row>
    <row r="825" ht="15.75" customHeight="1">
      <c r="A825" s="14">
        <v>37679.0</v>
      </c>
      <c r="B825" s="15">
        <v>1.58</v>
      </c>
      <c r="C825" s="15"/>
      <c r="D825" s="15">
        <v>5.32</v>
      </c>
      <c r="E825" s="15"/>
      <c r="F825" s="15" t="str">
        <f t="shared" si="1"/>
        <v/>
      </c>
      <c r="G825" s="15">
        <f t="shared" si="2"/>
        <v>5.32</v>
      </c>
      <c r="H825" s="16">
        <v>1.0</v>
      </c>
      <c r="I825" s="15">
        <f t="shared" si="3"/>
        <v>3.74</v>
      </c>
      <c r="J825" s="15">
        <v>30.53</v>
      </c>
      <c r="K825" s="16">
        <f>IF(COUNTIFS(Release_Calendar!$A$2:$A$755,"US_CPI",Release_Calendar!$B$2:$B$755,$A825)&gt;0,1,0)</f>
        <v>0</v>
      </c>
      <c r="L825" s="16">
        <f>IF(COUNTIFS(Release_Calendar!$A$2:$A$755,"US_NFP",Release_Calendar!$B$2:$B$755,$A825)&gt;0,1,0)</f>
        <v>0</v>
      </c>
      <c r="M825" s="16" t="str">
        <f>IF($A825&lt;Notes!$B$5,"",IF(COUNTIFS(Release_Calendar!$A$2:$A$755,"NZ_CPI",Release_Calendar!$B$2:$B$755,$A825)&gt;0,1,0))</f>
        <v/>
      </c>
      <c r="N825" s="16" t="str">
        <f>IF($A825&lt;Notes!$B$5,"",IF(COUNTIFS(Release_Calendar!$A$2:$A$755,"NZ_GDP",Release_Calendar!$B$2:$B$755,$A825)&gt;0,1,0))</f>
        <v/>
      </c>
      <c r="O825" s="16" t="str">
        <f>IF($A825&lt;Notes!$B$5,"",IF(COUNTIFS(Release_Calendar!$A$2:$A$755,"NZ_LABOUR",Release_Calendar!$B$2:$B$755,$A825)&gt;0,1,0))</f>
        <v/>
      </c>
      <c r="P825" s="16">
        <f t="shared" si="4"/>
        <v>0</v>
      </c>
    </row>
    <row r="826" ht="15.75" customHeight="1">
      <c r="A826" s="14">
        <v>37680.0</v>
      </c>
      <c r="B826" s="15">
        <v>1.53</v>
      </c>
      <c r="C826" s="15"/>
      <c r="D826" s="15">
        <v>5.29</v>
      </c>
      <c r="E826" s="15"/>
      <c r="F826" s="15" t="str">
        <f t="shared" si="1"/>
        <v/>
      </c>
      <c r="G826" s="15">
        <f t="shared" si="2"/>
        <v>5.29</v>
      </c>
      <c r="H826" s="16">
        <v>1.0</v>
      </c>
      <c r="I826" s="15">
        <f t="shared" si="3"/>
        <v>3.76</v>
      </c>
      <c r="J826" s="15">
        <v>29.63</v>
      </c>
      <c r="K826" s="16">
        <f>IF(COUNTIFS(Release_Calendar!$A$2:$A$755,"US_CPI",Release_Calendar!$B$2:$B$755,$A826)&gt;0,1,0)</f>
        <v>0</v>
      </c>
      <c r="L826" s="16">
        <f>IF(COUNTIFS(Release_Calendar!$A$2:$A$755,"US_NFP",Release_Calendar!$B$2:$B$755,$A826)&gt;0,1,0)</f>
        <v>0</v>
      </c>
      <c r="M826" s="16" t="str">
        <f>IF($A826&lt;Notes!$B$5,"",IF(COUNTIFS(Release_Calendar!$A$2:$A$755,"NZ_CPI",Release_Calendar!$B$2:$B$755,$A826)&gt;0,1,0))</f>
        <v/>
      </c>
      <c r="N826" s="16" t="str">
        <f>IF($A826&lt;Notes!$B$5,"",IF(COUNTIFS(Release_Calendar!$A$2:$A$755,"NZ_GDP",Release_Calendar!$B$2:$B$755,$A826)&gt;0,1,0))</f>
        <v/>
      </c>
      <c r="O826" s="16" t="str">
        <f>IF($A826&lt;Notes!$B$5,"",IF(COUNTIFS(Release_Calendar!$A$2:$A$755,"NZ_LABOUR",Release_Calendar!$B$2:$B$755,$A826)&gt;0,1,0))</f>
        <v/>
      </c>
      <c r="P826" s="16">
        <f t="shared" si="4"/>
        <v>0</v>
      </c>
    </row>
    <row r="827" ht="15.75" customHeight="1">
      <c r="A827" s="14">
        <v>37683.0</v>
      </c>
      <c r="B827" s="15">
        <v>1.52</v>
      </c>
      <c r="C827" s="15"/>
      <c r="D827" s="15">
        <v>5.29</v>
      </c>
      <c r="E827" s="15"/>
      <c r="F827" s="15" t="str">
        <f t="shared" si="1"/>
        <v/>
      </c>
      <c r="G827" s="15">
        <f t="shared" si="2"/>
        <v>5.29</v>
      </c>
      <c r="H827" s="16">
        <v>1.0</v>
      </c>
      <c r="I827" s="15">
        <f t="shared" si="3"/>
        <v>3.77</v>
      </c>
      <c r="J827" s="15">
        <v>30.43</v>
      </c>
      <c r="K827" s="16">
        <f>IF(COUNTIFS(Release_Calendar!$A$2:$A$755,"US_CPI",Release_Calendar!$B$2:$B$755,$A827)&gt;0,1,0)</f>
        <v>0</v>
      </c>
      <c r="L827" s="16">
        <f>IF(COUNTIFS(Release_Calendar!$A$2:$A$755,"US_NFP",Release_Calendar!$B$2:$B$755,$A827)&gt;0,1,0)</f>
        <v>0</v>
      </c>
      <c r="M827" s="16" t="str">
        <f>IF($A827&lt;Notes!$B$5,"",IF(COUNTIFS(Release_Calendar!$A$2:$A$755,"NZ_CPI",Release_Calendar!$B$2:$B$755,$A827)&gt;0,1,0))</f>
        <v/>
      </c>
      <c r="N827" s="16" t="str">
        <f>IF($A827&lt;Notes!$B$5,"",IF(COUNTIFS(Release_Calendar!$A$2:$A$755,"NZ_GDP",Release_Calendar!$B$2:$B$755,$A827)&gt;0,1,0))</f>
        <v/>
      </c>
      <c r="O827" s="16" t="str">
        <f>IF($A827&lt;Notes!$B$5,"",IF(COUNTIFS(Release_Calendar!$A$2:$A$755,"NZ_LABOUR",Release_Calendar!$B$2:$B$755,$A827)&gt;0,1,0))</f>
        <v/>
      </c>
      <c r="P827" s="16">
        <f t="shared" si="4"/>
        <v>0</v>
      </c>
    </row>
    <row r="828" ht="15.75" customHeight="1">
      <c r="A828" s="14">
        <v>37684.0</v>
      </c>
      <c r="B828" s="15">
        <v>1.49</v>
      </c>
      <c r="C828" s="15"/>
      <c r="D828" s="15">
        <v>5.24</v>
      </c>
      <c r="E828" s="15"/>
      <c r="F828" s="15" t="str">
        <f t="shared" si="1"/>
        <v/>
      </c>
      <c r="G828" s="15">
        <f t="shared" si="2"/>
        <v>5.24</v>
      </c>
      <c r="H828" s="16">
        <v>1.0</v>
      </c>
      <c r="I828" s="15">
        <f t="shared" si="3"/>
        <v>3.75</v>
      </c>
      <c r="J828" s="15">
        <v>31.83</v>
      </c>
      <c r="K828" s="16">
        <f>IF(COUNTIFS(Release_Calendar!$A$2:$A$755,"US_CPI",Release_Calendar!$B$2:$B$755,$A828)&gt;0,1,0)</f>
        <v>0</v>
      </c>
      <c r="L828" s="16">
        <f>IF(COUNTIFS(Release_Calendar!$A$2:$A$755,"US_NFP",Release_Calendar!$B$2:$B$755,$A828)&gt;0,1,0)</f>
        <v>0</v>
      </c>
      <c r="M828" s="16" t="str">
        <f>IF($A828&lt;Notes!$B$5,"",IF(COUNTIFS(Release_Calendar!$A$2:$A$755,"NZ_CPI",Release_Calendar!$B$2:$B$755,$A828)&gt;0,1,0))</f>
        <v/>
      </c>
      <c r="N828" s="16" t="str">
        <f>IF($A828&lt;Notes!$B$5,"",IF(COUNTIFS(Release_Calendar!$A$2:$A$755,"NZ_GDP",Release_Calendar!$B$2:$B$755,$A828)&gt;0,1,0))</f>
        <v/>
      </c>
      <c r="O828" s="16" t="str">
        <f>IF($A828&lt;Notes!$B$5,"",IF(COUNTIFS(Release_Calendar!$A$2:$A$755,"NZ_LABOUR",Release_Calendar!$B$2:$B$755,$A828)&gt;0,1,0))</f>
        <v/>
      </c>
      <c r="P828" s="16">
        <f t="shared" si="4"/>
        <v>0</v>
      </c>
    </row>
    <row r="829" ht="15.75" customHeight="1">
      <c r="A829" s="14">
        <v>37685.0</v>
      </c>
      <c r="B829" s="15">
        <v>1.46</v>
      </c>
      <c r="C829" s="15"/>
      <c r="D829" s="15">
        <v>5.24</v>
      </c>
      <c r="E829" s="15"/>
      <c r="F829" s="15" t="str">
        <f t="shared" si="1"/>
        <v/>
      </c>
      <c r="G829" s="15">
        <f t="shared" si="2"/>
        <v>5.24</v>
      </c>
      <c r="H829" s="16">
        <v>1.0</v>
      </c>
      <c r="I829" s="15">
        <f t="shared" si="3"/>
        <v>3.78</v>
      </c>
      <c r="J829" s="15">
        <v>30.38</v>
      </c>
      <c r="K829" s="16">
        <f>IF(COUNTIFS(Release_Calendar!$A$2:$A$755,"US_CPI",Release_Calendar!$B$2:$B$755,$A829)&gt;0,1,0)</f>
        <v>0</v>
      </c>
      <c r="L829" s="16">
        <f>IF(COUNTIFS(Release_Calendar!$A$2:$A$755,"US_NFP",Release_Calendar!$B$2:$B$755,$A829)&gt;0,1,0)</f>
        <v>0</v>
      </c>
      <c r="M829" s="16" t="str">
        <f>IF($A829&lt;Notes!$B$5,"",IF(COUNTIFS(Release_Calendar!$A$2:$A$755,"NZ_CPI",Release_Calendar!$B$2:$B$755,$A829)&gt;0,1,0))</f>
        <v/>
      </c>
      <c r="N829" s="16" t="str">
        <f>IF($A829&lt;Notes!$B$5,"",IF(COUNTIFS(Release_Calendar!$A$2:$A$755,"NZ_GDP",Release_Calendar!$B$2:$B$755,$A829)&gt;0,1,0))</f>
        <v/>
      </c>
      <c r="O829" s="16" t="str">
        <f>IF($A829&lt;Notes!$B$5,"",IF(COUNTIFS(Release_Calendar!$A$2:$A$755,"NZ_LABOUR",Release_Calendar!$B$2:$B$755,$A829)&gt;0,1,0))</f>
        <v/>
      </c>
      <c r="P829" s="16">
        <f t="shared" si="4"/>
        <v>0</v>
      </c>
    </row>
    <row r="830" ht="15.75" customHeight="1">
      <c r="A830" s="14">
        <v>37686.0</v>
      </c>
      <c r="B830" s="15">
        <v>1.47</v>
      </c>
      <c r="C830" s="15"/>
      <c r="D830" s="15">
        <v>5.29</v>
      </c>
      <c r="E830" s="15"/>
      <c r="F830" s="15" t="str">
        <f t="shared" si="1"/>
        <v/>
      </c>
      <c r="G830" s="15">
        <f t="shared" si="2"/>
        <v>5.29</v>
      </c>
      <c r="H830" s="16">
        <v>1.0</v>
      </c>
      <c r="I830" s="15">
        <f t="shared" si="3"/>
        <v>3.82</v>
      </c>
      <c r="J830" s="15">
        <v>31.37</v>
      </c>
      <c r="K830" s="16">
        <f>IF(COUNTIFS(Release_Calendar!$A$2:$A$755,"US_CPI",Release_Calendar!$B$2:$B$755,$A830)&gt;0,1,0)</f>
        <v>0</v>
      </c>
      <c r="L830" s="16">
        <f>IF(COUNTIFS(Release_Calendar!$A$2:$A$755,"US_NFP",Release_Calendar!$B$2:$B$755,$A830)&gt;0,1,0)</f>
        <v>0</v>
      </c>
      <c r="M830" s="16" t="str">
        <f>IF($A830&lt;Notes!$B$5,"",IF(COUNTIFS(Release_Calendar!$A$2:$A$755,"NZ_CPI",Release_Calendar!$B$2:$B$755,$A830)&gt;0,1,0))</f>
        <v/>
      </c>
      <c r="N830" s="16" t="str">
        <f>IF($A830&lt;Notes!$B$5,"",IF(COUNTIFS(Release_Calendar!$A$2:$A$755,"NZ_GDP",Release_Calendar!$B$2:$B$755,$A830)&gt;0,1,0))</f>
        <v/>
      </c>
      <c r="O830" s="16" t="str">
        <f>IF($A830&lt;Notes!$B$5,"",IF(COUNTIFS(Release_Calendar!$A$2:$A$755,"NZ_LABOUR",Release_Calendar!$B$2:$B$755,$A830)&gt;0,1,0))</f>
        <v/>
      </c>
      <c r="P830" s="16">
        <f t="shared" si="4"/>
        <v>0</v>
      </c>
    </row>
    <row r="831" ht="15.75" customHeight="1">
      <c r="A831" s="14">
        <v>37687.0</v>
      </c>
      <c r="B831" s="15">
        <v>1.39</v>
      </c>
      <c r="C831" s="15"/>
      <c r="D831" s="15">
        <v>5.28</v>
      </c>
      <c r="E831" s="15"/>
      <c r="F831" s="15" t="str">
        <f t="shared" si="1"/>
        <v/>
      </c>
      <c r="G831" s="15">
        <f t="shared" si="2"/>
        <v>5.28</v>
      </c>
      <c r="H831" s="16">
        <v>1.0</v>
      </c>
      <c r="I831" s="15">
        <f t="shared" si="3"/>
        <v>3.89</v>
      </c>
      <c r="J831" s="15">
        <v>31.08</v>
      </c>
      <c r="K831" s="16">
        <f>IF(COUNTIFS(Release_Calendar!$A$2:$A$755,"US_CPI",Release_Calendar!$B$2:$B$755,$A831)&gt;0,1,0)</f>
        <v>0</v>
      </c>
      <c r="L831" s="16">
        <f>IF(COUNTIFS(Release_Calendar!$A$2:$A$755,"US_NFP",Release_Calendar!$B$2:$B$755,$A831)&gt;0,1,0)</f>
        <v>1</v>
      </c>
      <c r="M831" s="16" t="str">
        <f>IF($A831&lt;Notes!$B$5,"",IF(COUNTIFS(Release_Calendar!$A$2:$A$755,"NZ_CPI",Release_Calendar!$B$2:$B$755,$A831)&gt;0,1,0))</f>
        <v/>
      </c>
      <c r="N831" s="16" t="str">
        <f>IF($A831&lt;Notes!$B$5,"",IF(COUNTIFS(Release_Calendar!$A$2:$A$755,"NZ_GDP",Release_Calendar!$B$2:$B$755,$A831)&gt;0,1,0))</f>
        <v/>
      </c>
      <c r="O831" s="16" t="str">
        <f>IF($A831&lt;Notes!$B$5,"",IF(COUNTIFS(Release_Calendar!$A$2:$A$755,"NZ_LABOUR",Release_Calendar!$B$2:$B$755,$A831)&gt;0,1,0))</f>
        <v/>
      </c>
      <c r="P831" s="16">
        <f t="shared" si="4"/>
        <v>1</v>
      </c>
    </row>
    <row r="832" ht="15.75" customHeight="1">
      <c r="A832" s="14">
        <v>37690.0</v>
      </c>
      <c r="B832" s="15">
        <v>1.35</v>
      </c>
      <c r="C832" s="15"/>
      <c r="D832" s="15">
        <v>5.25</v>
      </c>
      <c r="E832" s="15"/>
      <c r="F832" s="15" t="str">
        <f t="shared" si="1"/>
        <v/>
      </c>
      <c r="G832" s="15">
        <f t="shared" si="2"/>
        <v>5.25</v>
      </c>
      <c r="H832" s="16">
        <v>1.0</v>
      </c>
      <c r="I832" s="15">
        <f t="shared" si="3"/>
        <v>3.9</v>
      </c>
      <c r="J832" s="15">
        <v>33.31</v>
      </c>
      <c r="K832" s="16">
        <f>IF(COUNTIFS(Release_Calendar!$A$2:$A$755,"US_CPI",Release_Calendar!$B$2:$B$755,$A832)&gt;0,1,0)</f>
        <v>0</v>
      </c>
      <c r="L832" s="16">
        <f>IF(COUNTIFS(Release_Calendar!$A$2:$A$755,"US_NFP",Release_Calendar!$B$2:$B$755,$A832)&gt;0,1,0)</f>
        <v>0</v>
      </c>
      <c r="M832" s="16" t="str">
        <f>IF($A832&lt;Notes!$B$5,"",IF(COUNTIFS(Release_Calendar!$A$2:$A$755,"NZ_CPI",Release_Calendar!$B$2:$B$755,$A832)&gt;0,1,0))</f>
        <v/>
      </c>
      <c r="N832" s="16" t="str">
        <f>IF($A832&lt;Notes!$B$5,"",IF(COUNTIFS(Release_Calendar!$A$2:$A$755,"NZ_GDP",Release_Calendar!$B$2:$B$755,$A832)&gt;0,1,0))</f>
        <v/>
      </c>
      <c r="O832" s="16" t="str">
        <f>IF($A832&lt;Notes!$B$5,"",IF(COUNTIFS(Release_Calendar!$A$2:$A$755,"NZ_LABOUR",Release_Calendar!$B$2:$B$755,$A832)&gt;0,1,0))</f>
        <v/>
      </c>
      <c r="P832" s="16">
        <f t="shared" si="4"/>
        <v>0</v>
      </c>
    </row>
    <row r="833" ht="15.75" customHeight="1">
      <c r="A833" s="14">
        <v>37691.0</v>
      </c>
      <c r="B833" s="15">
        <v>1.38</v>
      </c>
      <c r="C833" s="15"/>
      <c r="D833" s="15">
        <v>5.19</v>
      </c>
      <c r="E833" s="15"/>
      <c r="F833" s="15" t="str">
        <f t="shared" si="1"/>
        <v/>
      </c>
      <c r="G833" s="15">
        <f t="shared" si="2"/>
        <v>5.19</v>
      </c>
      <c r="H833" s="16">
        <v>1.0</v>
      </c>
      <c r="I833" s="15">
        <f t="shared" si="3"/>
        <v>3.81</v>
      </c>
      <c r="J833" s="15">
        <v>33.61</v>
      </c>
      <c r="K833" s="16">
        <f>IF(COUNTIFS(Release_Calendar!$A$2:$A$755,"US_CPI",Release_Calendar!$B$2:$B$755,$A833)&gt;0,1,0)</f>
        <v>0</v>
      </c>
      <c r="L833" s="16">
        <f>IF(COUNTIFS(Release_Calendar!$A$2:$A$755,"US_NFP",Release_Calendar!$B$2:$B$755,$A833)&gt;0,1,0)</f>
        <v>0</v>
      </c>
      <c r="M833" s="16" t="str">
        <f>IF($A833&lt;Notes!$B$5,"",IF(COUNTIFS(Release_Calendar!$A$2:$A$755,"NZ_CPI",Release_Calendar!$B$2:$B$755,$A833)&gt;0,1,0))</f>
        <v/>
      </c>
      <c r="N833" s="16" t="str">
        <f>IF($A833&lt;Notes!$B$5,"",IF(COUNTIFS(Release_Calendar!$A$2:$A$755,"NZ_GDP",Release_Calendar!$B$2:$B$755,$A833)&gt;0,1,0))</f>
        <v/>
      </c>
      <c r="O833" s="16" t="str">
        <f>IF($A833&lt;Notes!$B$5,"",IF(COUNTIFS(Release_Calendar!$A$2:$A$755,"NZ_LABOUR",Release_Calendar!$B$2:$B$755,$A833)&gt;0,1,0))</f>
        <v/>
      </c>
      <c r="P833" s="16">
        <f t="shared" si="4"/>
        <v>0</v>
      </c>
    </row>
    <row r="834" ht="15.75" customHeight="1">
      <c r="A834" s="14">
        <v>37692.0</v>
      </c>
      <c r="B834" s="15">
        <v>1.45</v>
      </c>
      <c r="C834" s="15"/>
      <c r="D834" s="15">
        <v>5.23</v>
      </c>
      <c r="E834" s="15"/>
      <c r="F834" s="15" t="str">
        <f t="shared" si="1"/>
        <v/>
      </c>
      <c r="G834" s="15">
        <f t="shared" si="2"/>
        <v>5.23</v>
      </c>
      <c r="H834" s="16">
        <v>1.0</v>
      </c>
      <c r="I834" s="15">
        <f t="shared" si="3"/>
        <v>3.78</v>
      </c>
      <c r="J834" s="15">
        <v>33.51</v>
      </c>
      <c r="K834" s="16">
        <f>IF(COUNTIFS(Release_Calendar!$A$2:$A$755,"US_CPI",Release_Calendar!$B$2:$B$755,$A834)&gt;0,1,0)</f>
        <v>0</v>
      </c>
      <c r="L834" s="16">
        <f>IF(COUNTIFS(Release_Calendar!$A$2:$A$755,"US_NFP",Release_Calendar!$B$2:$B$755,$A834)&gt;0,1,0)</f>
        <v>0</v>
      </c>
      <c r="M834" s="16" t="str">
        <f>IF($A834&lt;Notes!$B$5,"",IF(COUNTIFS(Release_Calendar!$A$2:$A$755,"NZ_CPI",Release_Calendar!$B$2:$B$755,$A834)&gt;0,1,0))</f>
        <v/>
      </c>
      <c r="N834" s="16" t="str">
        <f>IF($A834&lt;Notes!$B$5,"",IF(COUNTIFS(Release_Calendar!$A$2:$A$755,"NZ_GDP",Release_Calendar!$B$2:$B$755,$A834)&gt;0,1,0))</f>
        <v/>
      </c>
      <c r="O834" s="16" t="str">
        <f>IF($A834&lt;Notes!$B$5,"",IF(COUNTIFS(Release_Calendar!$A$2:$A$755,"NZ_LABOUR",Release_Calendar!$B$2:$B$755,$A834)&gt;0,1,0))</f>
        <v/>
      </c>
      <c r="P834" s="16">
        <f t="shared" si="4"/>
        <v>0</v>
      </c>
    </row>
    <row r="835" ht="15.75" customHeight="1">
      <c r="A835" s="14">
        <v>37693.0</v>
      </c>
      <c r="B835" s="15">
        <v>1.59</v>
      </c>
      <c r="C835" s="15"/>
      <c r="D835" s="15">
        <v>5.26</v>
      </c>
      <c r="E835" s="15"/>
      <c r="F835" s="15" t="str">
        <f t="shared" si="1"/>
        <v/>
      </c>
      <c r="G835" s="15">
        <f t="shared" si="2"/>
        <v>5.26</v>
      </c>
      <c r="H835" s="16">
        <v>1.0</v>
      </c>
      <c r="I835" s="15">
        <f t="shared" si="3"/>
        <v>3.67</v>
      </c>
      <c r="J835" s="15">
        <v>31.76</v>
      </c>
      <c r="K835" s="16">
        <f>IF(COUNTIFS(Release_Calendar!$A$2:$A$755,"US_CPI",Release_Calendar!$B$2:$B$755,$A835)&gt;0,1,0)</f>
        <v>0</v>
      </c>
      <c r="L835" s="16">
        <f>IF(COUNTIFS(Release_Calendar!$A$2:$A$755,"US_NFP",Release_Calendar!$B$2:$B$755,$A835)&gt;0,1,0)</f>
        <v>0</v>
      </c>
      <c r="M835" s="16" t="str">
        <f>IF($A835&lt;Notes!$B$5,"",IF(COUNTIFS(Release_Calendar!$A$2:$A$755,"NZ_CPI",Release_Calendar!$B$2:$B$755,$A835)&gt;0,1,0))</f>
        <v/>
      </c>
      <c r="N835" s="16" t="str">
        <f>IF($A835&lt;Notes!$B$5,"",IF(COUNTIFS(Release_Calendar!$A$2:$A$755,"NZ_GDP",Release_Calendar!$B$2:$B$755,$A835)&gt;0,1,0))</f>
        <v/>
      </c>
      <c r="O835" s="16" t="str">
        <f>IF($A835&lt;Notes!$B$5,"",IF(COUNTIFS(Release_Calendar!$A$2:$A$755,"NZ_LABOUR",Release_Calendar!$B$2:$B$755,$A835)&gt;0,1,0))</f>
        <v/>
      </c>
      <c r="P835" s="16">
        <f t="shared" si="4"/>
        <v>0</v>
      </c>
    </row>
    <row r="836" ht="15.75" customHeight="1">
      <c r="A836" s="14">
        <v>37694.0</v>
      </c>
      <c r="B836" s="15">
        <v>1.56</v>
      </c>
      <c r="C836" s="15"/>
      <c r="D836" s="15">
        <v>5.44</v>
      </c>
      <c r="E836" s="15"/>
      <c r="F836" s="15" t="str">
        <f t="shared" si="1"/>
        <v/>
      </c>
      <c r="G836" s="15">
        <f t="shared" si="2"/>
        <v>5.44</v>
      </c>
      <c r="H836" s="16">
        <v>1.0</v>
      </c>
      <c r="I836" s="15">
        <f t="shared" si="3"/>
        <v>3.88</v>
      </c>
      <c r="J836" s="15">
        <v>30.98</v>
      </c>
      <c r="K836" s="16">
        <f>IF(COUNTIFS(Release_Calendar!$A$2:$A$755,"US_CPI",Release_Calendar!$B$2:$B$755,$A836)&gt;0,1,0)</f>
        <v>0</v>
      </c>
      <c r="L836" s="16">
        <f>IF(COUNTIFS(Release_Calendar!$A$2:$A$755,"US_NFP",Release_Calendar!$B$2:$B$755,$A836)&gt;0,1,0)</f>
        <v>0</v>
      </c>
      <c r="M836" s="16" t="str">
        <f>IF($A836&lt;Notes!$B$5,"",IF(COUNTIFS(Release_Calendar!$A$2:$A$755,"NZ_CPI",Release_Calendar!$B$2:$B$755,$A836)&gt;0,1,0))</f>
        <v/>
      </c>
      <c r="N836" s="16" t="str">
        <f>IF($A836&lt;Notes!$B$5,"",IF(COUNTIFS(Release_Calendar!$A$2:$A$755,"NZ_GDP",Release_Calendar!$B$2:$B$755,$A836)&gt;0,1,0))</f>
        <v/>
      </c>
      <c r="O836" s="16" t="str">
        <f>IF($A836&lt;Notes!$B$5,"",IF(COUNTIFS(Release_Calendar!$A$2:$A$755,"NZ_LABOUR",Release_Calendar!$B$2:$B$755,$A836)&gt;0,1,0))</f>
        <v/>
      </c>
      <c r="P836" s="16">
        <f t="shared" si="4"/>
        <v>0</v>
      </c>
    </row>
    <row r="837" ht="15.75" customHeight="1">
      <c r="A837" s="14">
        <v>37697.0</v>
      </c>
      <c r="B837" s="15">
        <v>1.63</v>
      </c>
      <c r="C837" s="15"/>
      <c r="D837" s="15">
        <v>5.36</v>
      </c>
      <c r="E837" s="15"/>
      <c r="F837" s="15" t="str">
        <f t="shared" si="1"/>
        <v/>
      </c>
      <c r="G837" s="15">
        <f t="shared" si="2"/>
        <v>5.36</v>
      </c>
      <c r="H837" s="16">
        <v>1.0</v>
      </c>
      <c r="I837" s="15">
        <f t="shared" si="3"/>
        <v>3.73</v>
      </c>
      <c r="J837" s="15">
        <v>31.75</v>
      </c>
      <c r="K837" s="16">
        <f>IF(COUNTIFS(Release_Calendar!$A$2:$A$755,"US_CPI",Release_Calendar!$B$2:$B$755,$A837)&gt;0,1,0)</f>
        <v>0</v>
      </c>
      <c r="L837" s="16">
        <f>IF(COUNTIFS(Release_Calendar!$A$2:$A$755,"US_NFP",Release_Calendar!$B$2:$B$755,$A837)&gt;0,1,0)</f>
        <v>0</v>
      </c>
      <c r="M837" s="16" t="str">
        <f>IF($A837&lt;Notes!$B$5,"",IF(COUNTIFS(Release_Calendar!$A$2:$A$755,"NZ_CPI",Release_Calendar!$B$2:$B$755,$A837)&gt;0,1,0))</f>
        <v/>
      </c>
      <c r="N837" s="16" t="str">
        <f>IF($A837&lt;Notes!$B$5,"",IF(COUNTIFS(Release_Calendar!$A$2:$A$755,"NZ_GDP",Release_Calendar!$B$2:$B$755,$A837)&gt;0,1,0))</f>
        <v/>
      </c>
      <c r="O837" s="16" t="str">
        <f>IF($A837&lt;Notes!$B$5,"",IF(COUNTIFS(Release_Calendar!$A$2:$A$755,"NZ_LABOUR",Release_Calendar!$B$2:$B$755,$A837)&gt;0,1,0))</f>
        <v/>
      </c>
      <c r="P837" s="16">
        <f t="shared" si="4"/>
        <v>0</v>
      </c>
    </row>
    <row r="838" ht="15.75" customHeight="1">
      <c r="A838" s="14">
        <v>37698.0</v>
      </c>
      <c r="B838" s="15">
        <v>1.72</v>
      </c>
      <c r="C838" s="15"/>
      <c r="D838" s="15">
        <v>5.48</v>
      </c>
      <c r="E838" s="15"/>
      <c r="F838" s="15" t="str">
        <f t="shared" si="1"/>
        <v/>
      </c>
      <c r="G838" s="15">
        <f t="shared" si="2"/>
        <v>5.48</v>
      </c>
      <c r="H838" s="16">
        <v>1.0</v>
      </c>
      <c r="I838" s="15">
        <f t="shared" si="3"/>
        <v>3.76</v>
      </c>
      <c r="J838" s="15">
        <v>30.43</v>
      </c>
      <c r="K838" s="16">
        <f>IF(COUNTIFS(Release_Calendar!$A$2:$A$755,"US_CPI",Release_Calendar!$B$2:$B$755,$A838)&gt;0,1,0)</f>
        <v>0</v>
      </c>
      <c r="L838" s="16">
        <f>IF(COUNTIFS(Release_Calendar!$A$2:$A$755,"US_NFP",Release_Calendar!$B$2:$B$755,$A838)&gt;0,1,0)</f>
        <v>0</v>
      </c>
      <c r="M838" s="16" t="str">
        <f>IF($A838&lt;Notes!$B$5,"",IF(COUNTIFS(Release_Calendar!$A$2:$A$755,"NZ_CPI",Release_Calendar!$B$2:$B$755,$A838)&gt;0,1,0))</f>
        <v/>
      </c>
      <c r="N838" s="16" t="str">
        <f>IF($A838&lt;Notes!$B$5,"",IF(COUNTIFS(Release_Calendar!$A$2:$A$755,"NZ_GDP",Release_Calendar!$B$2:$B$755,$A838)&gt;0,1,0))</f>
        <v/>
      </c>
      <c r="O838" s="16" t="str">
        <f>IF($A838&lt;Notes!$B$5,"",IF(COUNTIFS(Release_Calendar!$A$2:$A$755,"NZ_LABOUR",Release_Calendar!$B$2:$B$755,$A838)&gt;0,1,0))</f>
        <v/>
      </c>
      <c r="P838" s="16">
        <f t="shared" si="4"/>
        <v>0</v>
      </c>
    </row>
    <row r="839" ht="15.75" customHeight="1">
      <c r="A839" s="14">
        <v>37699.0</v>
      </c>
      <c r="B839" s="15">
        <v>1.72</v>
      </c>
      <c r="C839" s="15"/>
      <c r="D839" s="15">
        <v>5.56</v>
      </c>
      <c r="E839" s="15"/>
      <c r="F839" s="15" t="str">
        <f t="shared" si="1"/>
        <v/>
      </c>
      <c r="G839" s="15">
        <f t="shared" si="2"/>
        <v>5.56</v>
      </c>
      <c r="H839" s="16">
        <v>1.0</v>
      </c>
      <c r="I839" s="15">
        <f t="shared" si="3"/>
        <v>3.84</v>
      </c>
      <c r="J839" s="15">
        <v>31.54</v>
      </c>
      <c r="K839" s="16">
        <f>IF(COUNTIFS(Release_Calendar!$A$2:$A$755,"US_CPI",Release_Calendar!$B$2:$B$755,$A839)&gt;0,1,0)</f>
        <v>0</v>
      </c>
      <c r="L839" s="16">
        <f>IF(COUNTIFS(Release_Calendar!$A$2:$A$755,"US_NFP",Release_Calendar!$B$2:$B$755,$A839)&gt;0,1,0)</f>
        <v>0</v>
      </c>
      <c r="M839" s="16" t="str">
        <f>IF($A839&lt;Notes!$B$5,"",IF(COUNTIFS(Release_Calendar!$A$2:$A$755,"NZ_CPI",Release_Calendar!$B$2:$B$755,$A839)&gt;0,1,0))</f>
        <v/>
      </c>
      <c r="N839" s="16" t="str">
        <f>IF($A839&lt;Notes!$B$5,"",IF(COUNTIFS(Release_Calendar!$A$2:$A$755,"NZ_GDP",Release_Calendar!$B$2:$B$755,$A839)&gt;0,1,0))</f>
        <v/>
      </c>
      <c r="O839" s="16" t="str">
        <f>IF($A839&lt;Notes!$B$5,"",IF(COUNTIFS(Release_Calendar!$A$2:$A$755,"NZ_LABOUR",Release_Calendar!$B$2:$B$755,$A839)&gt;0,1,0))</f>
        <v/>
      </c>
      <c r="P839" s="16">
        <f t="shared" si="4"/>
        <v>0</v>
      </c>
    </row>
    <row r="840" ht="15.75" customHeight="1">
      <c r="A840" s="14">
        <v>37700.0</v>
      </c>
      <c r="B840" s="15">
        <v>1.75</v>
      </c>
      <c r="C840" s="15"/>
      <c r="D840" s="15">
        <v>5.61</v>
      </c>
      <c r="E840" s="15"/>
      <c r="F840" s="15" t="str">
        <f t="shared" si="1"/>
        <v/>
      </c>
      <c r="G840" s="15">
        <f t="shared" si="2"/>
        <v>5.61</v>
      </c>
      <c r="H840" s="16">
        <v>1.0</v>
      </c>
      <c r="I840" s="15">
        <f t="shared" si="3"/>
        <v>3.86</v>
      </c>
      <c r="J840" s="15">
        <v>30.44</v>
      </c>
      <c r="K840" s="16">
        <f>IF(COUNTIFS(Release_Calendar!$A$2:$A$755,"US_CPI",Release_Calendar!$B$2:$B$755,$A840)&gt;0,1,0)</f>
        <v>0</v>
      </c>
      <c r="L840" s="16">
        <f>IF(COUNTIFS(Release_Calendar!$A$2:$A$755,"US_NFP",Release_Calendar!$B$2:$B$755,$A840)&gt;0,1,0)</f>
        <v>0</v>
      </c>
      <c r="M840" s="16" t="str">
        <f>IF($A840&lt;Notes!$B$5,"",IF(COUNTIFS(Release_Calendar!$A$2:$A$755,"NZ_CPI",Release_Calendar!$B$2:$B$755,$A840)&gt;0,1,0))</f>
        <v/>
      </c>
      <c r="N840" s="16" t="str">
        <f>IF($A840&lt;Notes!$B$5,"",IF(COUNTIFS(Release_Calendar!$A$2:$A$755,"NZ_GDP",Release_Calendar!$B$2:$B$755,$A840)&gt;0,1,0))</f>
        <v/>
      </c>
      <c r="O840" s="16" t="str">
        <f>IF($A840&lt;Notes!$B$5,"",IF(COUNTIFS(Release_Calendar!$A$2:$A$755,"NZ_LABOUR",Release_Calendar!$B$2:$B$755,$A840)&gt;0,1,0))</f>
        <v/>
      </c>
      <c r="P840" s="16">
        <f t="shared" si="4"/>
        <v>0</v>
      </c>
    </row>
    <row r="841" ht="15.75" customHeight="1">
      <c r="A841" s="14">
        <v>37701.0</v>
      </c>
      <c r="B841" s="15">
        <v>1.8</v>
      </c>
      <c r="C841" s="15"/>
      <c r="D841" s="15">
        <v>5.57</v>
      </c>
      <c r="E841" s="15"/>
      <c r="F841" s="15" t="str">
        <f t="shared" si="1"/>
        <v/>
      </c>
      <c r="G841" s="15">
        <f t="shared" si="2"/>
        <v>5.57</v>
      </c>
      <c r="H841" s="16">
        <v>1.0</v>
      </c>
      <c r="I841" s="15">
        <f t="shared" si="3"/>
        <v>3.77</v>
      </c>
      <c r="J841" s="15">
        <v>28.67</v>
      </c>
      <c r="K841" s="16">
        <f>IF(COUNTIFS(Release_Calendar!$A$2:$A$755,"US_CPI",Release_Calendar!$B$2:$B$755,$A841)&gt;0,1,0)</f>
        <v>1</v>
      </c>
      <c r="L841" s="16">
        <f>IF(COUNTIFS(Release_Calendar!$A$2:$A$755,"US_NFP",Release_Calendar!$B$2:$B$755,$A841)&gt;0,1,0)</f>
        <v>0</v>
      </c>
      <c r="M841" s="16" t="str">
        <f>IF($A841&lt;Notes!$B$5,"",IF(COUNTIFS(Release_Calendar!$A$2:$A$755,"NZ_CPI",Release_Calendar!$B$2:$B$755,$A841)&gt;0,1,0))</f>
        <v/>
      </c>
      <c r="N841" s="16" t="str">
        <f>IF($A841&lt;Notes!$B$5,"",IF(COUNTIFS(Release_Calendar!$A$2:$A$755,"NZ_GDP",Release_Calendar!$B$2:$B$755,$A841)&gt;0,1,0))</f>
        <v/>
      </c>
      <c r="O841" s="16" t="str">
        <f>IF($A841&lt;Notes!$B$5,"",IF(COUNTIFS(Release_Calendar!$A$2:$A$755,"NZ_LABOUR",Release_Calendar!$B$2:$B$755,$A841)&gt;0,1,0))</f>
        <v/>
      </c>
      <c r="P841" s="16">
        <f t="shared" si="4"/>
        <v>1</v>
      </c>
    </row>
    <row r="842" ht="15.75" customHeight="1">
      <c r="A842" s="14">
        <v>37704.0</v>
      </c>
      <c r="B842" s="15">
        <v>1.71</v>
      </c>
      <c r="C842" s="15"/>
      <c r="D842" s="15">
        <v>5.6</v>
      </c>
      <c r="E842" s="15"/>
      <c r="F842" s="15" t="str">
        <f t="shared" si="1"/>
        <v/>
      </c>
      <c r="G842" s="15">
        <f t="shared" si="2"/>
        <v>5.6</v>
      </c>
      <c r="H842" s="16">
        <v>1.0</v>
      </c>
      <c r="I842" s="15">
        <f t="shared" si="3"/>
        <v>3.89</v>
      </c>
      <c r="J842" s="15">
        <v>30.39</v>
      </c>
      <c r="K842" s="16">
        <f>IF(COUNTIFS(Release_Calendar!$A$2:$A$755,"US_CPI",Release_Calendar!$B$2:$B$755,$A842)&gt;0,1,0)</f>
        <v>0</v>
      </c>
      <c r="L842" s="16">
        <f>IF(COUNTIFS(Release_Calendar!$A$2:$A$755,"US_NFP",Release_Calendar!$B$2:$B$755,$A842)&gt;0,1,0)</f>
        <v>0</v>
      </c>
      <c r="M842" s="16" t="str">
        <f>IF($A842&lt;Notes!$B$5,"",IF(COUNTIFS(Release_Calendar!$A$2:$A$755,"NZ_CPI",Release_Calendar!$B$2:$B$755,$A842)&gt;0,1,0))</f>
        <v/>
      </c>
      <c r="N842" s="16" t="str">
        <f>IF($A842&lt;Notes!$B$5,"",IF(COUNTIFS(Release_Calendar!$A$2:$A$755,"NZ_GDP",Release_Calendar!$B$2:$B$755,$A842)&gt;0,1,0))</f>
        <v/>
      </c>
      <c r="O842" s="16" t="str">
        <f>IF($A842&lt;Notes!$B$5,"",IF(COUNTIFS(Release_Calendar!$A$2:$A$755,"NZ_LABOUR",Release_Calendar!$B$2:$B$755,$A842)&gt;0,1,0))</f>
        <v/>
      </c>
      <c r="P842" s="16">
        <f t="shared" si="4"/>
        <v>0</v>
      </c>
    </row>
    <row r="843" ht="15.75" customHeight="1">
      <c r="A843" s="14">
        <v>37705.0</v>
      </c>
      <c r="B843" s="15">
        <v>1.69</v>
      </c>
      <c r="C843" s="15"/>
      <c r="D843" s="15">
        <v>5.54</v>
      </c>
      <c r="E843" s="15"/>
      <c r="F843" s="15" t="str">
        <f t="shared" si="1"/>
        <v/>
      </c>
      <c r="G843" s="15">
        <f t="shared" si="2"/>
        <v>5.54</v>
      </c>
      <c r="H843" s="16">
        <v>1.0</v>
      </c>
      <c r="I843" s="15">
        <f t="shared" si="3"/>
        <v>3.85</v>
      </c>
      <c r="J843" s="15">
        <v>28.75</v>
      </c>
      <c r="K843" s="16">
        <f>IF(COUNTIFS(Release_Calendar!$A$2:$A$755,"US_CPI",Release_Calendar!$B$2:$B$755,$A843)&gt;0,1,0)</f>
        <v>0</v>
      </c>
      <c r="L843" s="16">
        <f>IF(COUNTIFS(Release_Calendar!$A$2:$A$755,"US_NFP",Release_Calendar!$B$2:$B$755,$A843)&gt;0,1,0)</f>
        <v>0</v>
      </c>
      <c r="M843" s="16" t="str">
        <f>IF($A843&lt;Notes!$B$5,"",IF(COUNTIFS(Release_Calendar!$A$2:$A$755,"NZ_CPI",Release_Calendar!$B$2:$B$755,$A843)&gt;0,1,0))</f>
        <v/>
      </c>
      <c r="N843" s="16" t="str">
        <f>IF($A843&lt;Notes!$B$5,"",IF(COUNTIFS(Release_Calendar!$A$2:$A$755,"NZ_GDP",Release_Calendar!$B$2:$B$755,$A843)&gt;0,1,0))</f>
        <v/>
      </c>
      <c r="O843" s="16" t="str">
        <f>IF($A843&lt;Notes!$B$5,"",IF(COUNTIFS(Release_Calendar!$A$2:$A$755,"NZ_LABOUR",Release_Calendar!$B$2:$B$755,$A843)&gt;0,1,0))</f>
        <v/>
      </c>
      <c r="P843" s="16">
        <f t="shared" si="4"/>
        <v>0</v>
      </c>
    </row>
    <row r="844" ht="15.75" customHeight="1">
      <c r="A844" s="14">
        <v>37706.0</v>
      </c>
      <c r="B844" s="15">
        <v>1.68</v>
      </c>
      <c r="C844" s="15"/>
      <c r="D844" s="15">
        <v>5.55</v>
      </c>
      <c r="E844" s="15"/>
      <c r="F844" s="15" t="str">
        <f t="shared" si="1"/>
        <v/>
      </c>
      <c r="G844" s="15">
        <f t="shared" si="2"/>
        <v>5.55</v>
      </c>
      <c r="H844" s="16">
        <v>1.0</v>
      </c>
      <c r="I844" s="15">
        <f t="shared" si="3"/>
        <v>3.87</v>
      </c>
      <c r="J844" s="15">
        <v>28.23</v>
      </c>
      <c r="K844" s="16">
        <f>IF(COUNTIFS(Release_Calendar!$A$2:$A$755,"US_CPI",Release_Calendar!$B$2:$B$755,$A844)&gt;0,1,0)</f>
        <v>0</v>
      </c>
      <c r="L844" s="16">
        <f>IF(COUNTIFS(Release_Calendar!$A$2:$A$755,"US_NFP",Release_Calendar!$B$2:$B$755,$A844)&gt;0,1,0)</f>
        <v>0</v>
      </c>
      <c r="M844" s="16" t="str">
        <f>IF($A844&lt;Notes!$B$5,"",IF(COUNTIFS(Release_Calendar!$A$2:$A$755,"NZ_CPI",Release_Calendar!$B$2:$B$755,$A844)&gt;0,1,0))</f>
        <v/>
      </c>
      <c r="N844" s="16" t="str">
        <f>IF($A844&lt;Notes!$B$5,"",IF(COUNTIFS(Release_Calendar!$A$2:$A$755,"NZ_GDP",Release_Calendar!$B$2:$B$755,$A844)&gt;0,1,0))</f>
        <v/>
      </c>
      <c r="O844" s="16" t="str">
        <f>IF($A844&lt;Notes!$B$5,"",IF(COUNTIFS(Release_Calendar!$A$2:$A$755,"NZ_LABOUR",Release_Calendar!$B$2:$B$755,$A844)&gt;0,1,0))</f>
        <v/>
      </c>
      <c r="P844" s="16">
        <f t="shared" si="4"/>
        <v>0</v>
      </c>
    </row>
    <row r="845" ht="15.75" customHeight="1">
      <c r="A845" s="14">
        <v>37707.0</v>
      </c>
      <c r="B845" s="15">
        <v>1.62</v>
      </c>
      <c r="C845" s="15"/>
      <c r="D845" s="15">
        <v>5.48</v>
      </c>
      <c r="E845" s="15"/>
      <c r="F845" s="15" t="str">
        <f t="shared" si="1"/>
        <v/>
      </c>
      <c r="G845" s="15">
        <f t="shared" si="2"/>
        <v>5.48</v>
      </c>
      <c r="H845" s="16">
        <v>1.0</v>
      </c>
      <c r="I845" s="15">
        <f t="shared" si="3"/>
        <v>3.86</v>
      </c>
      <c r="J845" s="15">
        <v>27.96</v>
      </c>
      <c r="K845" s="16">
        <f>IF(COUNTIFS(Release_Calendar!$A$2:$A$755,"US_CPI",Release_Calendar!$B$2:$B$755,$A845)&gt;0,1,0)</f>
        <v>0</v>
      </c>
      <c r="L845" s="16">
        <f>IF(COUNTIFS(Release_Calendar!$A$2:$A$755,"US_NFP",Release_Calendar!$B$2:$B$755,$A845)&gt;0,1,0)</f>
        <v>0</v>
      </c>
      <c r="M845" s="16" t="str">
        <f>IF($A845&lt;Notes!$B$5,"",IF(COUNTIFS(Release_Calendar!$A$2:$A$755,"NZ_CPI",Release_Calendar!$B$2:$B$755,$A845)&gt;0,1,0))</f>
        <v/>
      </c>
      <c r="N845" s="16" t="str">
        <f>IF($A845&lt;Notes!$B$5,"",IF(COUNTIFS(Release_Calendar!$A$2:$A$755,"NZ_GDP",Release_Calendar!$B$2:$B$755,$A845)&gt;0,1,0))</f>
        <v/>
      </c>
      <c r="O845" s="16" t="str">
        <f>IF($A845&lt;Notes!$B$5,"",IF(COUNTIFS(Release_Calendar!$A$2:$A$755,"NZ_LABOUR",Release_Calendar!$B$2:$B$755,$A845)&gt;0,1,0))</f>
        <v/>
      </c>
      <c r="P845" s="16">
        <f t="shared" si="4"/>
        <v>0</v>
      </c>
    </row>
    <row r="846" ht="15.75" customHeight="1">
      <c r="A846" s="14">
        <v>37708.0</v>
      </c>
      <c r="B846" s="15">
        <v>1.56</v>
      </c>
      <c r="C846" s="15"/>
      <c r="D846" s="15">
        <v>5.43</v>
      </c>
      <c r="E846" s="15"/>
      <c r="F846" s="15" t="str">
        <f t="shared" si="1"/>
        <v/>
      </c>
      <c r="G846" s="15">
        <f t="shared" si="2"/>
        <v>5.43</v>
      </c>
      <c r="H846" s="16">
        <v>1.0</v>
      </c>
      <c r="I846" s="15">
        <f t="shared" si="3"/>
        <v>3.87</v>
      </c>
      <c r="J846" s="15">
        <v>27.75</v>
      </c>
      <c r="K846" s="16">
        <f>IF(COUNTIFS(Release_Calendar!$A$2:$A$755,"US_CPI",Release_Calendar!$B$2:$B$755,$A846)&gt;0,1,0)</f>
        <v>0</v>
      </c>
      <c r="L846" s="16">
        <f>IF(COUNTIFS(Release_Calendar!$A$2:$A$755,"US_NFP",Release_Calendar!$B$2:$B$755,$A846)&gt;0,1,0)</f>
        <v>0</v>
      </c>
      <c r="M846" s="16" t="str">
        <f>IF($A846&lt;Notes!$B$5,"",IF(COUNTIFS(Release_Calendar!$A$2:$A$755,"NZ_CPI",Release_Calendar!$B$2:$B$755,$A846)&gt;0,1,0))</f>
        <v/>
      </c>
      <c r="N846" s="16" t="str">
        <f>IF($A846&lt;Notes!$B$5,"",IF(COUNTIFS(Release_Calendar!$A$2:$A$755,"NZ_GDP",Release_Calendar!$B$2:$B$755,$A846)&gt;0,1,0))</f>
        <v/>
      </c>
      <c r="O846" s="16" t="str">
        <f>IF($A846&lt;Notes!$B$5,"",IF(COUNTIFS(Release_Calendar!$A$2:$A$755,"NZ_LABOUR",Release_Calendar!$B$2:$B$755,$A846)&gt;0,1,0))</f>
        <v/>
      </c>
      <c r="P846" s="16">
        <f t="shared" si="4"/>
        <v>0</v>
      </c>
    </row>
    <row r="847" ht="15.75" customHeight="1">
      <c r="A847" s="14">
        <v>37711.0</v>
      </c>
      <c r="B847" s="15">
        <v>1.51</v>
      </c>
      <c r="C847" s="15"/>
      <c r="D847" s="15">
        <v>5.39</v>
      </c>
      <c r="E847" s="15"/>
      <c r="F847" s="15" t="str">
        <f t="shared" si="1"/>
        <v/>
      </c>
      <c r="G847" s="15">
        <f t="shared" si="2"/>
        <v>5.39</v>
      </c>
      <c r="H847" s="16">
        <v>1.0</v>
      </c>
      <c r="I847" s="15">
        <f t="shared" si="3"/>
        <v>3.88</v>
      </c>
      <c r="J847" s="15">
        <v>29.15</v>
      </c>
      <c r="K847" s="16">
        <f>IF(COUNTIFS(Release_Calendar!$A$2:$A$755,"US_CPI",Release_Calendar!$B$2:$B$755,$A847)&gt;0,1,0)</f>
        <v>0</v>
      </c>
      <c r="L847" s="16">
        <f>IF(COUNTIFS(Release_Calendar!$A$2:$A$755,"US_NFP",Release_Calendar!$B$2:$B$755,$A847)&gt;0,1,0)</f>
        <v>0</v>
      </c>
      <c r="M847" s="16" t="str">
        <f>IF($A847&lt;Notes!$B$5,"",IF(COUNTIFS(Release_Calendar!$A$2:$A$755,"NZ_CPI",Release_Calendar!$B$2:$B$755,$A847)&gt;0,1,0))</f>
        <v/>
      </c>
      <c r="N847" s="16" t="str">
        <f>IF($A847&lt;Notes!$B$5,"",IF(COUNTIFS(Release_Calendar!$A$2:$A$755,"NZ_GDP",Release_Calendar!$B$2:$B$755,$A847)&gt;0,1,0))</f>
        <v/>
      </c>
      <c r="O847" s="16" t="str">
        <f>IF($A847&lt;Notes!$B$5,"",IF(COUNTIFS(Release_Calendar!$A$2:$A$755,"NZ_LABOUR",Release_Calendar!$B$2:$B$755,$A847)&gt;0,1,0))</f>
        <v/>
      </c>
      <c r="P847" s="16">
        <f t="shared" si="4"/>
        <v>0</v>
      </c>
    </row>
    <row r="848" ht="15.75" customHeight="1">
      <c r="A848" s="14">
        <v>37712.0</v>
      </c>
      <c r="B848" s="15">
        <v>1.5</v>
      </c>
      <c r="C848" s="15"/>
      <c r="D848" s="15">
        <v>5.37</v>
      </c>
      <c r="E848" s="15"/>
      <c r="F848" s="15" t="str">
        <f t="shared" si="1"/>
        <v/>
      </c>
      <c r="G848" s="15">
        <f t="shared" si="2"/>
        <v>5.37</v>
      </c>
      <c r="H848" s="16">
        <v>1.0</v>
      </c>
      <c r="I848" s="15">
        <f t="shared" si="3"/>
        <v>3.87</v>
      </c>
      <c r="J848" s="15">
        <v>28.36</v>
      </c>
      <c r="K848" s="16">
        <f>IF(COUNTIFS(Release_Calendar!$A$2:$A$755,"US_CPI",Release_Calendar!$B$2:$B$755,$A848)&gt;0,1,0)</f>
        <v>0</v>
      </c>
      <c r="L848" s="16">
        <f>IF(COUNTIFS(Release_Calendar!$A$2:$A$755,"US_NFP",Release_Calendar!$B$2:$B$755,$A848)&gt;0,1,0)</f>
        <v>0</v>
      </c>
      <c r="M848" s="16" t="str">
        <f>IF($A848&lt;Notes!$B$5,"",IF(COUNTIFS(Release_Calendar!$A$2:$A$755,"NZ_CPI",Release_Calendar!$B$2:$B$755,$A848)&gt;0,1,0))</f>
        <v/>
      </c>
      <c r="N848" s="16" t="str">
        <f>IF($A848&lt;Notes!$B$5,"",IF(COUNTIFS(Release_Calendar!$A$2:$A$755,"NZ_GDP",Release_Calendar!$B$2:$B$755,$A848)&gt;0,1,0))</f>
        <v/>
      </c>
      <c r="O848" s="16" t="str">
        <f>IF($A848&lt;Notes!$B$5,"",IF(COUNTIFS(Release_Calendar!$A$2:$A$755,"NZ_LABOUR",Release_Calendar!$B$2:$B$755,$A848)&gt;0,1,0))</f>
        <v/>
      </c>
      <c r="P848" s="16">
        <f t="shared" si="4"/>
        <v>0</v>
      </c>
    </row>
    <row r="849" ht="15.75" customHeight="1">
      <c r="A849" s="14">
        <v>37713.0</v>
      </c>
      <c r="B849" s="15">
        <v>1.6</v>
      </c>
      <c r="C849" s="15"/>
      <c r="D849" s="15">
        <v>5.43</v>
      </c>
      <c r="E849" s="15"/>
      <c r="F849" s="15" t="str">
        <f t="shared" si="1"/>
        <v/>
      </c>
      <c r="G849" s="15">
        <f t="shared" si="2"/>
        <v>5.43</v>
      </c>
      <c r="H849" s="16">
        <v>1.0</v>
      </c>
      <c r="I849" s="15">
        <f t="shared" si="3"/>
        <v>3.83</v>
      </c>
      <c r="J849" s="15">
        <v>28.02</v>
      </c>
      <c r="K849" s="16">
        <f>IF(COUNTIFS(Release_Calendar!$A$2:$A$755,"US_CPI",Release_Calendar!$B$2:$B$755,$A849)&gt;0,1,0)</f>
        <v>0</v>
      </c>
      <c r="L849" s="16">
        <f>IF(COUNTIFS(Release_Calendar!$A$2:$A$755,"US_NFP",Release_Calendar!$B$2:$B$755,$A849)&gt;0,1,0)</f>
        <v>0</v>
      </c>
      <c r="M849" s="16" t="str">
        <f>IF($A849&lt;Notes!$B$5,"",IF(COUNTIFS(Release_Calendar!$A$2:$A$755,"NZ_CPI",Release_Calendar!$B$2:$B$755,$A849)&gt;0,1,0))</f>
        <v/>
      </c>
      <c r="N849" s="16" t="str">
        <f>IF($A849&lt;Notes!$B$5,"",IF(COUNTIFS(Release_Calendar!$A$2:$A$755,"NZ_GDP",Release_Calendar!$B$2:$B$755,$A849)&gt;0,1,0))</f>
        <v/>
      </c>
      <c r="O849" s="16" t="str">
        <f>IF($A849&lt;Notes!$B$5,"",IF(COUNTIFS(Release_Calendar!$A$2:$A$755,"NZ_LABOUR",Release_Calendar!$B$2:$B$755,$A849)&gt;0,1,0))</f>
        <v/>
      </c>
      <c r="P849" s="16">
        <f t="shared" si="4"/>
        <v>0</v>
      </c>
    </row>
    <row r="850" ht="15.75" customHeight="1">
      <c r="A850" s="14">
        <v>37714.0</v>
      </c>
      <c r="B850" s="15">
        <v>1.55</v>
      </c>
      <c r="C850" s="15"/>
      <c r="D850" s="15">
        <v>5.47</v>
      </c>
      <c r="E850" s="15"/>
      <c r="F850" s="15" t="str">
        <f t="shared" si="1"/>
        <v/>
      </c>
      <c r="G850" s="15">
        <f t="shared" si="2"/>
        <v>5.47</v>
      </c>
      <c r="H850" s="16">
        <v>1.0</v>
      </c>
      <c r="I850" s="15">
        <f t="shared" si="3"/>
        <v>3.92</v>
      </c>
      <c r="J850" s="15">
        <v>28.21</v>
      </c>
      <c r="K850" s="16">
        <f>IF(COUNTIFS(Release_Calendar!$A$2:$A$755,"US_CPI",Release_Calendar!$B$2:$B$755,$A850)&gt;0,1,0)</f>
        <v>0</v>
      </c>
      <c r="L850" s="16">
        <f>IF(COUNTIFS(Release_Calendar!$A$2:$A$755,"US_NFP",Release_Calendar!$B$2:$B$755,$A850)&gt;0,1,0)</f>
        <v>0</v>
      </c>
      <c r="M850" s="16" t="str">
        <f>IF($A850&lt;Notes!$B$5,"",IF(COUNTIFS(Release_Calendar!$A$2:$A$755,"NZ_CPI",Release_Calendar!$B$2:$B$755,$A850)&gt;0,1,0))</f>
        <v/>
      </c>
      <c r="N850" s="16" t="str">
        <f>IF($A850&lt;Notes!$B$5,"",IF(COUNTIFS(Release_Calendar!$A$2:$A$755,"NZ_GDP",Release_Calendar!$B$2:$B$755,$A850)&gt;0,1,0))</f>
        <v/>
      </c>
      <c r="O850" s="16" t="str">
        <f>IF($A850&lt;Notes!$B$5,"",IF(COUNTIFS(Release_Calendar!$A$2:$A$755,"NZ_LABOUR",Release_Calendar!$B$2:$B$755,$A850)&gt;0,1,0))</f>
        <v/>
      </c>
      <c r="P850" s="16">
        <f t="shared" si="4"/>
        <v>0</v>
      </c>
    </row>
    <row r="851" ht="15.75" customHeight="1">
      <c r="A851" s="14">
        <v>37715.0</v>
      </c>
      <c r="B851" s="15">
        <v>1.55</v>
      </c>
      <c r="C851" s="15"/>
      <c r="D851" s="15">
        <v>5.44</v>
      </c>
      <c r="E851" s="15"/>
      <c r="F851" s="15" t="str">
        <f t="shared" si="1"/>
        <v/>
      </c>
      <c r="G851" s="15">
        <f t="shared" si="2"/>
        <v>5.44</v>
      </c>
      <c r="H851" s="16">
        <v>1.0</v>
      </c>
      <c r="I851" s="15">
        <f t="shared" si="3"/>
        <v>3.89</v>
      </c>
      <c r="J851" s="15">
        <v>29.13</v>
      </c>
      <c r="K851" s="16">
        <f>IF(COUNTIFS(Release_Calendar!$A$2:$A$755,"US_CPI",Release_Calendar!$B$2:$B$755,$A851)&gt;0,1,0)</f>
        <v>0</v>
      </c>
      <c r="L851" s="16">
        <f>IF(COUNTIFS(Release_Calendar!$A$2:$A$755,"US_NFP",Release_Calendar!$B$2:$B$755,$A851)&gt;0,1,0)</f>
        <v>1</v>
      </c>
      <c r="M851" s="16" t="str">
        <f>IF($A851&lt;Notes!$B$5,"",IF(COUNTIFS(Release_Calendar!$A$2:$A$755,"NZ_CPI",Release_Calendar!$B$2:$B$755,$A851)&gt;0,1,0))</f>
        <v/>
      </c>
      <c r="N851" s="16" t="str">
        <f>IF($A851&lt;Notes!$B$5,"",IF(COUNTIFS(Release_Calendar!$A$2:$A$755,"NZ_GDP",Release_Calendar!$B$2:$B$755,$A851)&gt;0,1,0))</f>
        <v/>
      </c>
      <c r="O851" s="16" t="str">
        <f>IF($A851&lt;Notes!$B$5,"",IF(COUNTIFS(Release_Calendar!$A$2:$A$755,"NZ_LABOUR",Release_Calendar!$B$2:$B$755,$A851)&gt;0,1,0))</f>
        <v/>
      </c>
      <c r="P851" s="16">
        <f t="shared" si="4"/>
        <v>1</v>
      </c>
    </row>
    <row r="852" ht="15.75" customHeight="1">
      <c r="A852" s="14">
        <v>37718.0</v>
      </c>
      <c r="B852" s="15">
        <v>1.65</v>
      </c>
      <c r="C852" s="15"/>
      <c r="D852" s="15">
        <v>5.49</v>
      </c>
      <c r="E852" s="15"/>
      <c r="F852" s="15" t="str">
        <f t="shared" si="1"/>
        <v/>
      </c>
      <c r="G852" s="15">
        <f t="shared" si="2"/>
        <v>5.49</v>
      </c>
      <c r="H852" s="16">
        <v>1.0</v>
      </c>
      <c r="I852" s="15">
        <f t="shared" si="3"/>
        <v>3.84</v>
      </c>
      <c r="J852" s="15">
        <v>28.45</v>
      </c>
      <c r="K852" s="16">
        <f>IF(COUNTIFS(Release_Calendar!$A$2:$A$755,"US_CPI",Release_Calendar!$B$2:$B$755,$A852)&gt;0,1,0)</f>
        <v>0</v>
      </c>
      <c r="L852" s="16">
        <f>IF(COUNTIFS(Release_Calendar!$A$2:$A$755,"US_NFP",Release_Calendar!$B$2:$B$755,$A852)&gt;0,1,0)</f>
        <v>0</v>
      </c>
      <c r="M852" s="16" t="str">
        <f>IF($A852&lt;Notes!$B$5,"",IF(COUNTIFS(Release_Calendar!$A$2:$A$755,"NZ_CPI",Release_Calendar!$B$2:$B$755,$A852)&gt;0,1,0))</f>
        <v/>
      </c>
      <c r="N852" s="16" t="str">
        <f>IF($A852&lt;Notes!$B$5,"",IF(COUNTIFS(Release_Calendar!$A$2:$A$755,"NZ_GDP",Release_Calendar!$B$2:$B$755,$A852)&gt;0,1,0))</f>
        <v/>
      </c>
      <c r="O852" s="16" t="str">
        <f>IF($A852&lt;Notes!$B$5,"",IF(COUNTIFS(Release_Calendar!$A$2:$A$755,"NZ_LABOUR",Release_Calendar!$B$2:$B$755,$A852)&gt;0,1,0))</f>
        <v/>
      </c>
      <c r="P852" s="16">
        <f t="shared" si="4"/>
        <v>0</v>
      </c>
    </row>
    <row r="853" ht="15.75" customHeight="1">
      <c r="A853" s="14">
        <v>37719.0</v>
      </c>
      <c r="B853" s="15">
        <v>1.59</v>
      </c>
      <c r="C853" s="15"/>
      <c r="D853" s="15">
        <v>5.49</v>
      </c>
      <c r="E853" s="15"/>
      <c r="F853" s="15" t="str">
        <f t="shared" si="1"/>
        <v/>
      </c>
      <c r="G853" s="15">
        <f t="shared" si="2"/>
        <v>5.49</v>
      </c>
      <c r="H853" s="16">
        <v>1.0</v>
      </c>
      <c r="I853" s="15">
        <f t="shared" si="3"/>
        <v>3.9</v>
      </c>
      <c r="J853" s="15">
        <v>27.13</v>
      </c>
      <c r="K853" s="16">
        <f>IF(COUNTIFS(Release_Calendar!$A$2:$A$755,"US_CPI",Release_Calendar!$B$2:$B$755,$A853)&gt;0,1,0)</f>
        <v>0</v>
      </c>
      <c r="L853" s="16">
        <f>IF(COUNTIFS(Release_Calendar!$A$2:$A$755,"US_NFP",Release_Calendar!$B$2:$B$755,$A853)&gt;0,1,0)</f>
        <v>0</v>
      </c>
      <c r="M853" s="16" t="str">
        <f>IF($A853&lt;Notes!$B$5,"",IF(COUNTIFS(Release_Calendar!$A$2:$A$755,"NZ_CPI",Release_Calendar!$B$2:$B$755,$A853)&gt;0,1,0))</f>
        <v/>
      </c>
      <c r="N853" s="16" t="str">
        <f>IF($A853&lt;Notes!$B$5,"",IF(COUNTIFS(Release_Calendar!$A$2:$A$755,"NZ_GDP",Release_Calendar!$B$2:$B$755,$A853)&gt;0,1,0))</f>
        <v/>
      </c>
      <c r="O853" s="16" t="str">
        <f>IF($A853&lt;Notes!$B$5,"",IF(COUNTIFS(Release_Calendar!$A$2:$A$755,"NZ_LABOUR",Release_Calendar!$B$2:$B$755,$A853)&gt;0,1,0))</f>
        <v/>
      </c>
      <c r="P853" s="16">
        <f t="shared" si="4"/>
        <v>0</v>
      </c>
    </row>
    <row r="854" ht="15.75" customHeight="1">
      <c r="A854" s="14">
        <v>37720.0</v>
      </c>
      <c r="B854" s="15">
        <v>1.55</v>
      </c>
      <c r="C854" s="15"/>
      <c r="D854" s="15">
        <v>5.45</v>
      </c>
      <c r="E854" s="15"/>
      <c r="F854" s="15" t="str">
        <f t="shared" si="1"/>
        <v/>
      </c>
      <c r="G854" s="15">
        <f t="shared" si="2"/>
        <v>5.45</v>
      </c>
      <c r="H854" s="16">
        <v>1.0</v>
      </c>
      <c r="I854" s="15">
        <f t="shared" si="3"/>
        <v>3.9</v>
      </c>
      <c r="J854" s="15">
        <v>27.11</v>
      </c>
      <c r="K854" s="16">
        <f>IF(COUNTIFS(Release_Calendar!$A$2:$A$755,"US_CPI",Release_Calendar!$B$2:$B$755,$A854)&gt;0,1,0)</f>
        <v>0</v>
      </c>
      <c r="L854" s="16">
        <f>IF(COUNTIFS(Release_Calendar!$A$2:$A$755,"US_NFP",Release_Calendar!$B$2:$B$755,$A854)&gt;0,1,0)</f>
        <v>0</v>
      </c>
      <c r="M854" s="16" t="str">
        <f>IF($A854&lt;Notes!$B$5,"",IF(COUNTIFS(Release_Calendar!$A$2:$A$755,"NZ_CPI",Release_Calendar!$B$2:$B$755,$A854)&gt;0,1,0))</f>
        <v/>
      </c>
      <c r="N854" s="16" t="str">
        <f>IF($A854&lt;Notes!$B$5,"",IF(COUNTIFS(Release_Calendar!$A$2:$A$755,"NZ_GDP",Release_Calendar!$B$2:$B$755,$A854)&gt;0,1,0))</f>
        <v/>
      </c>
      <c r="O854" s="16" t="str">
        <f>IF($A854&lt;Notes!$B$5,"",IF(COUNTIFS(Release_Calendar!$A$2:$A$755,"NZ_LABOUR",Release_Calendar!$B$2:$B$755,$A854)&gt;0,1,0))</f>
        <v/>
      </c>
      <c r="P854" s="16">
        <f t="shared" si="4"/>
        <v>0</v>
      </c>
    </row>
    <row r="855" ht="15.75" customHeight="1">
      <c r="A855" s="14">
        <v>37721.0</v>
      </c>
      <c r="B855" s="15">
        <v>1.6</v>
      </c>
      <c r="C855" s="15"/>
      <c r="D855" s="15">
        <v>5.4</v>
      </c>
      <c r="E855" s="15"/>
      <c r="F855" s="15" t="str">
        <f t="shared" si="1"/>
        <v/>
      </c>
      <c r="G855" s="15">
        <f t="shared" si="2"/>
        <v>5.4</v>
      </c>
      <c r="H855" s="16">
        <v>1.0</v>
      </c>
      <c r="I855" s="15">
        <f t="shared" si="3"/>
        <v>3.8</v>
      </c>
      <c r="J855" s="15">
        <v>25.6</v>
      </c>
      <c r="K855" s="16">
        <f>IF(COUNTIFS(Release_Calendar!$A$2:$A$755,"US_CPI",Release_Calendar!$B$2:$B$755,$A855)&gt;0,1,0)</f>
        <v>0</v>
      </c>
      <c r="L855" s="16">
        <f>IF(COUNTIFS(Release_Calendar!$A$2:$A$755,"US_NFP",Release_Calendar!$B$2:$B$755,$A855)&gt;0,1,0)</f>
        <v>0</v>
      </c>
      <c r="M855" s="16" t="str">
        <f>IF($A855&lt;Notes!$B$5,"",IF(COUNTIFS(Release_Calendar!$A$2:$A$755,"NZ_CPI",Release_Calendar!$B$2:$B$755,$A855)&gt;0,1,0))</f>
        <v/>
      </c>
      <c r="N855" s="16" t="str">
        <f>IF($A855&lt;Notes!$B$5,"",IF(COUNTIFS(Release_Calendar!$A$2:$A$755,"NZ_GDP",Release_Calendar!$B$2:$B$755,$A855)&gt;0,1,0))</f>
        <v/>
      </c>
      <c r="O855" s="16" t="str">
        <f>IF($A855&lt;Notes!$B$5,"",IF(COUNTIFS(Release_Calendar!$A$2:$A$755,"NZ_LABOUR",Release_Calendar!$B$2:$B$755,$A855)&gt;0,1,0))</f>
        <v/>
      </c>
      <c r="P855" s="16">
        <f t="shared" si="4"/>
        <v>0</v>
      </c>
    </row>
    <row r="856" ht="15.75" customHeight="1">
      <c r="A856" s="14">
        <v>37722.0</v>
      </c>
      <c r="B856" s="15">
        <v>1.65</v>
      </c>
      <c r="C856" s="15"/>
      <c r="D856" s="15">
        <v>5.41</v>
      </c>
      <c r="E856" s="15"/>
      <c r="F856" s="15" t="str">
        <f t="shared" si="1"/>
        <v/>
      </c>
      <c r="G856" s="15">
        <f t="shared" si="2"/>
        <v>5.41</v>
      </c>
      <c r="H856" s="16">
        <v>1.0</v>
      </c>
      <c r="I856" s="15">
        <f t="shared" si="3"/>
        <v>3.76</v>
      </c>
      <c r="J856" s="15">
        <v>24.44</v>
      </c>
      <c r="K856" s="16">
        <f>IF(COUNTIFS(Release_Calendar!$A$2:$A$755,"US_CPI",Release_Calendar!$B$2:$B$755,$A856)&gt;0,1,0)</f>
        <v>0</v>
      </c>
      <c r="L856" s="16">
        <f>IF(COUNTIFS(Release_Calendar!$A$2:$A$755,"US_NFP",Release_Calendar!$B$2:$B$755,$A856)&gt;0,1,0)</f>
        <v>0</v>
      </c>
      <c r="M856" s="16" t="str">
        <f>IF($A856&lt;Notes!$B$5,"",IF(COUNTIFS(Release_Calendar!$A$2:$A$755,"NZ_CPI",Release_Calendar!$B$2:$B$755,$A856)&gt;0,1,0))</f>
        <v/>
      </c>
      <c r="N856" s="16" t="str">
        <f>IF($A856&lt;Notes!$B$5,"",IF(COUNTIFS(Release_Calendar!$A$2:$A$755,"NZ_GDP",Release_Calendar!$B$2:$B$755,$A856)&gt;0,1,0))</f>
        <v/>
      </c>
      <c r="O856" s="16" t="str">
        <f>IF($A856&lt;Notes!$B$5,"",IF(COUNTIFS(Release_Calendar!$A$2:$A$755,"NZ_LABOUR",Release_Calendar!$B$2:$B$755,$A856)&gt;0,1,0))</f>
        <v/>
      </c>
      <c r="P856" s="16">
        <f t="shared" si="4"/>
        <v>0</v>
      </c>
    </row>
    <row r="857" ht="15.75" customHeight="1">
      <c r="A857" s="14">
        <v>37725.0</v>
      </c>
      <c r="B857" s="15">
        <v>1.74</v>
      </c>
      <c r="C857" s="15"/>
      <c r="D857" s="15">
        <v>5.48</v>
      </c>
      <c r="E857" s="15"/>
      <c r="F857" s="15" t="str">
        <f t="shared" si="1"/>
        <v/>
      </c>
      <c r="G857" s="15">
        <f t="shared" si="2"/>
        <v>5.48</v>
      </c>
      <c r="H857" s="16">
        <v>1.0</v>
      </c>
      <c r="I857" s="15">
        <f t="shared" si="3"/>
        <v>3.74</v>
      </c>
      <c r="J857" s="15">
        <v>23.41</v>
      </c>
      <c r="K857" s="16">
        <f>IF(COUNTIFS(Release_Calendar!$A$2:$A$755,"US_CPI",Release_Calendar!$B$2:$B$755,$A857)&gt;0,1,0)</f>
        <v>0</v>
      </c>
      <c r="L857" s="16">
        <f>IF(COUNTIFS(Release_Calendar!$A$2:$A$755,"US_NFP",Release_Calendar!$B$2:$B$755,$A857)&gt;0,1,0)</f>
        <v>0</v>
      </c>
      <c r="M857" s="16" t="str">
        <f>IF($A857&lt;Notes!$B$5,"",IF(COUNTIFS(Release_Calendar!$A$2:$A$755,"NZ_CPI",Release_Calendar!$B$2:$B$755,$A857)&gt;0,1,0))</f>
        <v/>
      </c>
      <c r="N857" s="16" t="str">
        <f>IF($A857&lt;Notes!$B$5,"",IF(COUNTIFS(Release_Calendar!$A$2:$A$755,"NZ_GDP",Release_Calendar!$B$2:$B$755,$A857)&gt;0,1,0))</f>
        <v/>
      </c>
      <c r="O857" s="16" t="str">
        <f>IF($A857&lt;Notes!$B$5,"",IF(COUNTIFS(Release_Calendar!$A$2:$A$755,"NZ_LABOUR",Release_Calendar!$B$2:$B$755,$A857)&gt;0,1,0))</f>
        <v/>
      </c>
      <c r="P857" s="16">
        <f t="shared" si="4"/>
        <v>0</v>
      </c>
    </row>
    <row r="858" ht="15.75" customHeight="1">
      <c r="A858" s="14">
        <v>37726.0</v>
      </c>
      <c r="B858" s="15">
        <v>1.69</v>
      </c>
      <c r="C858" s="15"/>
      <c r="D858" s="15">
        <v>5.49</v>
      </c>
      <c r="E858" s="15"/>
      <c r="F858" s="15" t="str">
        <f t="shared" si="1"/>
        <v/>
      </c>
      <c r="G858" s="15">
        <f t="shared" si="2"/>
        <v>5.49</v>
      </c>
      <c r="H858" s="16">
        <v>1.0</v>
      </c>
      <c r="I858" s="15">
        <f t="shared" si="3"/>
        <v>3.8</v>
      </c>
      <c r="J858" s="15">
        <v>22.56</v>
      </c>
      <c r="K858" s="16">
        <f>IF(COUNTIFS(Release_Calendar!$A$2:$A$755,"US_CPI",Release_Calendar!$B$2:$B$755,$A858)&gt;0,1,0)</f>
        <v>0</v>
      </c>
      <c r="L858" s="16">
        <f>IF(COUNTIFS(Release_Calendar!$A$2:$A$755,"US_NFP",Release_Calendar!$B$2:$B$755,$A858)&gt;0,1,0)</f>
        <v>0</v>
      </c>
      <c r="M858" s="16" t="str">
        <f>IF($A858&lt;Notes!$B$5,"",IF(COUNTIFS(Release_Calendar!$A$2:$A$755,"NZ_CPI",Release_Calendar!$B$2:$B$755,$A858)&gt;0,1,0))</f>
        <v/>
      </c>
      <c r="N858" s="16" t="str">
        <f>IF($A858&lt;Notes!$B$5,"",IF(COUNTIFS(Release_Calendar!$A$2:$A$755,"NZ_GDP",Release_Calendar!$B$2:$B$755,$A858)&gt;0,1,0))</f>
        <v/>
      </c>
      <c r="O858" s="16" t="str">
        <f>IF($A858&lt;Notes!$B$5,"",IF(COUNTIFS(Release_Calendar!$A$2:$A$755,"NZ_LABOUR",Release_Calendar!$B$2:$B$755,$A858)&gt;0,1,0))</f>
        <v/>
      </c>
      <c r="P858" s="16">
        <f t="shared" si="4"/>
        <v>0</v>
      </c>
    </row>
    <row r="859" ht="15.75" customHeight="1">
      <c r="A859" s="14">
        <v>37727.0</v>
      </c>
      <c r="B859" s="15">
        <v>1.67</v>
      </c>
      <c r="C859" s="15"/>
      <c r="D859" s="15">
        <v>5.48</v>
      </c>
      <c r="E859" s="15"/>
      <c r="F859" s="15" t="str">
        <f t="shared" si="1"/>
        <v/>
      </c>
      <c r="G859" s="15">
        <f t="shared" si="2"/>
        <v>5.48</v>
      </c>
      <c r="H859" s="16">
        <v>1.0</v>
      </c>
      <c r="I859" s="15">
        <f t="shared" si="3"/>
        <v>3.81</v>
      </c>
      <c r="J859" s="15">
        <v>22.52</v>
      </c>
      <c r="K859" s="16">
        <f>IF(COUNTIFS(Release_Calendar!$A$2:$A$755,"US_CPI",Release_Calendar!$B$2:$B$755,$A859)&gt;0,1,0)</f>
        <v>1</v>
      </c>
      <c r="L859" s="16">
        <f>IF(COUNTIFS(Release_Calendar!$A$2:$A$755,"US_NFP",Release_Calendar!$B$2:$B$755,$A859)&gt;0,1,0)</f>
        <v>0</v>
      </c>
      <c r="M859" s="16" t="str">
        <f>IF($A859&lt;Notes!$B$5,"",IF(COUNTIFS(Release_Calendar!$A$2:$A$755,"NZ_CPI",Release_Calendar!$B$2:$B$755,$A859)&gt;0,1,0))</f>
        <v/>
      </c>
      <c r="N859" s="16" t="str">
        <f>IF($A859&lt;Notes!$B$5,"",IF(COUNTIFS(Release_Calendar!$A$2:$A$755,"NZ_GDP",Release_Calendar!$B$2:$B$755,$A859)&gt;0,1,0))</f>
        <v/>
      </c>
      <c r="O859" s="16" t="str">
        <f>IF($A859&lt;Notes!$B$5,"",IF(COUNTIFS(Release_Calendar!$A$2:$A$755,"NZ_LABOUR",Release_Calendar!$B$2:$B$755,$A859)&gt;0,1,0))</f>
        <v/>
      </c>
      <c r="P859" s="16">
        <f t="shared" si="4"/>
        <v>1</v>
      </c>
    </row>
    <row r="860" ht="15.75" customHeight="1">
      <c r="A860" s="14">
        <v>37728.0</v>
      </c>
      <c r="B860" s="15">
        <v>1.71</v>
      </c>
      <c r="C860" s="15"/>
      <c r="D860" s="15">
        <v>5.42</v>
      </c>
      <c r="E860" s="15"/>
      <c r="F860" s="15" t="str">
        <f t="shared" si="1"/>
        <v/>
      </c>
      <c r="G860" s="15">
        <f t="shared" si="2"/>
        <v>5.42</v>
      </c>
      <c r="H860" s="16">
        <v>1.0</v>
      </c>
      <c r="I860" s="15">
        <f t="shared" si="3"/>
        <v>3.71</v>
      </c>
      <c r="J860" s="15">
        <v>21.5</v>
      </c>
      <c r="K860" s="16">
        <f>IF(COUNTIFS(Release_Calendar!$A$2:$A$755,"US_CPI",Release_Calendar!$B$2:$B$755,$A860)&gt;0,1,0)</f>
        <v>0</v>
      </c>
      <c r="L860" s="16">
        <f>IF(COUNTIFS(Release_Calendar!$A$2:$A$755,"US_NFP",Release_Calendar!$B$2:$B$755,$A860)&gt;0,1,0)</f>
        <v>0</v>
      </c>
      <c r="M860" s="16" t="str">
        <f>IF($A860&lt;Notes!$B$5,"",IF(COUNTIFS(Release_Calendar!$A$2:$A$755,"NZ_CPI",Release_Calendar!$B$2:$B$755,$A860)&gt;0,1,0))</f>
        <v/>
      </c>
      <c r="N860" s="16" t="str">
        <f>IF($A860&lt;Notes!$B$5,"",IF(COUNTIFS(Release_Calendar!$A$2:$A$755,"NZ_GDP",Release_Calendar!$B$2:$B$755,$A860)&gt;0,1,0))</f>
        <v/>
      </c>
      <c r="O860" s="16" t="str">
        <f>IF($A860&lt;Notes!$B$5,"",IF(COUNTIFS(Release_Calendar!$A$2:$A$755,"NZ_LABOUR",Release_Calendar!$B$2:$B$755,$A860)&gt;0,1,0))</f>
        <v/>
      </c>
      <c r="P860" s="16">
        <f t="shared" si="4"/>
        <v>0</v>
      </c>
    </row>
    <row r="861" ht="15.75" customHeight="1">
      <c r="A861" s="14">
        <v>37729.0</v>
      </c>
      <c r="B861" s="15"/>
      <c r="C861" s="15"/>
      <c r="D861" s="15"/>
      <c r="E861" s="15"/>
      <c r="F861" s="15" t="str">
        <f t="shared" si="1"/>
        <v/>
      </c>
      <c r="G861" s="15" t="str">
        <f t="shared" si="2"/>
        <v/>
      </c>
      <c r="H861" s="16">
        <v>1.0</v>
      </c>
      <c r="I861" s="15" t="str">
        <f t="shared" si="3"/>
        <v/>
      </c>
      <c r="J861" s="15"/>
      <c r="K861" s="16">
        <f>IF(COUNTIFS(Release_Calendar!$A$2:$A$755,"US_CPI",Release_Calendar!$B$2:$B$755,$A861)&gt;0,1,0)</f>
        <v>0</v>
      </c>
      <c r="L861" s="16">
        <f>IF(COUNTIFS(Release_Calendar!$A$2:$A$755,"US_NFP",Release_Calendar!$B$2:$B$755,$A861)&gt;0,1,0)</f>
        <v>0</v>
      </c>
      <c r="M861" s="16" t="str">
        <f>IF($A861&lt;Notes!$B$5,"",IF(COUNTIFS(Release_Calendar!$A$2:$A$755,"NZ_CPI",Release_Calendar!$B$2:$B$755,$A861)&gt;0,1,0))</f>
        <v/>
      </c>
      <c r="N861" s="16" t="str">
        <f>IF($A861&lt;Notes!$B$5,"",IF(COUNTIFS(Release_Calendar!$A$2:$A$755,"NZ_GDP",Release_Calendar!$B$2:$B$755,$A861)&gt;0,1,0))</f>
        <v/>
      </c>
      <c r="O861" s="16" t="str">
        <f>IF($A861&lt;Notes!$B$5,"",IF(COUNTIFS(Release_Calendar!$A$2:$A$755,"NZ_LABOUR",Release_Calendar!$B$2:$B$755,$A861)&gt;0,1,0))</f>
        <v/>
      </c>
      <c r="P861" s="16">
        <f t="shared" si="4"/>
        <v>0</v>
      </c>
    </row>
    <row r="862" ht="15.75" customHeight="1">
      <c r="A862" s="14">
        <v>37732.0</v>
      </c>
      <c r="B862" s="15">
        <v>1.71</v>
      </c>
      <c r="C862" s="15"/>
      <c r="D862" s="15"/>
      <c r="E862" s="15"/>
      <c r="F862" s="15" t="str">
        <f t="shared" si="1"/>
        <v/>
      </c>
      <c r="G862" s="15" t="str">
        <f t="shared" si="2"/>
        <v/>
      </c>
      <c r="H862" s="16">
        <v>1.0</v>
      </c>
      <c r="I862" s="15" t="str">
        <f t="shared" si="3"/>
        <v/>
      </c>
      <c r="J862" s="15">
        <v>21.95</v>
      </c>
      <c r="K862" s="16">
        <f>IF(COUNTIFS(Release_Calendar!$A$2:$A$755,"US_CPI",Release_Calendar!$B$2:$B$755,$A862)&gt;0,1,0)</f>
        <v>0</v>
      </c>
      <c r="L862" s="16">
        <f>IF(COUNTIFS(Release_Calendar!$A$2:$A$755,"US_NFP",Release_Calendar!$B$2:$B$755,$A862)&gt;0,1,0)</f>
        <v>0</v>
      </c>
      <c r="M862" s="16" t="str">
        <f>IF($A862&lt;Notes!$B$5,"",IF(COUNTIFS(Release_Calendar!$A$2:$A$755,"NZ_CPI",Release_Calendar!$B$2:$B$755,$A862)&gt;0,1,0))</f>
        <v/>
      </c>
      <c r="N862" s="16" t="str">
        <f>IF($A862&lt;Notes!$B$5,"",IF(COUNTIFS(Release_Calendar!$A$2:$A$755,"NZ_GDP",Release_Calendar!$B$2:$B$755,$A862)&gt;0,1,0))</f>
        <v/>
      </c>
      <c r="O862" s="16" t="str">
        <f>IF($A862&lt;Notes!$B$5,"",IF(COUNTIFS(Release_Calendar!$A$2:$A$755,"NZ_LABOUR",Release_Calendar!$B$2:$B$755,$A862)&gt;0,1,0))</f>
        <v/>
      </c>
      <c r="P862" s="16">
        <f t="shared" si="4"/>
        <v>0</v>
      </c>
    </row>
    <row r="863" ht="15.75" customHeight="1">
      <c r="A863" s="14">
        <v>37733.0</v>
      </c>
      <c r="B863" s="15">
        <v>1.7</v>
      </c>
      <c r="C863" s="15"/>
      <c r="D863" s="15">
        <v>5.45</v>
      </c>
      <c r="E863" s="15"/>
      <c r="F863" s="15" t="str">
        <f t="shared" si="1"/>
        <v/>
      </c>
      <c r="G863" s="15">
        <f t="shared" si="2"/>
        <v>5.45</v>
      </c>
      <c r="H863" s="16">
        <v>1.0</v>
      </c>
      <c r="I863" s="15">
        <f t="shared" si="3"/>
        <v>3.75</v>
      </c>
      <c r="J863" s="15">
        <v>20.7</v>
      </c>
      <c r="K863" s="16">
        <f>IF(COUNTIFS(Release_Calendar!$A$2:$A$755,"US_CPI",Release_Calendar!$B$2:$B$755,$A863)&gt;0,1,0)</f>
        <v>0</v>
      </c>
      <c r="L863" s="16">
        <f>IF(COUNTIFS(Release_Calendar!$A$2:$A$755,"US_NFP",Release_Calendar!$B$2:$B$755,$A863)&gt;0,1,0)</f>
        <v>0</v>
      </c>
      <c r="M863" s="16" t="str">
        <f>IF($A863&lt;Notes!$B$5,"",IF(COUNTIFS(Release_Calendar!$A$2:$A$755,"NZ_CPI",Release_Calendar!$B$2:$B$755,$A863)&gt;0,1,0))</f>
        <v/>
      </c>
      <c r="N863" s="16" t="str">
        <f>IF($A863&lt;Notes!$B$5,"",IF(COUNTIFS(Release_Calendar!$A$2:$A$755,"NZ_GDP",Release_Calendar!$B$2:$B$755,$A863)&gt;0,1,0))</f>
        <v/>
      </c>
      <c r="O863" s="16" t="str">
        <f>IF($A863&lt;Notes!$B$5,"",IF(COUNTIFS(Release_Calendar!$A$2:$A$755,"NZ_LABOUR",Release_Calendar!$B$2:$B$755,$A863)&gt;0,1,0))</f>
        <v/>
      </c>
      <c r="P863" s="16">
        <f t="shared" si="4"/>
        <v>0</v>
      </c>
    </row>
    <row r="864" ht="15.75" customHeight="1">
      <c r="A864" s="14">
        <v>37734.0</v>
      </c>
      <c r="B864" s="15">
        <v>1.7</v>
      </c>
      <c r="C864" s="15"/>
      <c r="D864" s="15">
        <v>5.44</v>
      </c>
      <c r="E864" s="15"/>
      <c r="F864" s="15" t="str">
        <f t="shared" si="1"/>
        <v/>
      </c>
      <c r="G864" s="15">
        <f t="shared" si="2"/>
        <v>5.44</v>
      </c>
      <c r="H864" s="16">
        <v>1.0</v>
      </c>
      <c r="I864" s="15">
        <f t="shared" si="3"/>
        <v>3.74</v>
      </c>
      <c r="J864" s="15">
        <v>20.8</v>
      </c>
      <c r="K864" s="16">
        <f>IF(COUNTIFS(Release_Calendar!$A$2:$A$755,"US_CPI",Release_Calendar!$B$2:$B$755,$A864)&gt;0,1,0)</f>
        <v>0</v>
      </c>
      <c r="L864" s="16">
        <f>IF(COUNTIFS(Release_Calendar!$A$2:$A$755,"US_NFP",Release_Calendar!$B$2:$B$755,$A864)&gt;0,1,0)</f>
        <v>0</v>
      </c>
      <c r="M864" s="16" t="str">
        <f>IF($A864&lt;Notes!$B$5,"",IF(COUNTIFS(Release_Calendar!$A$2:$A$755,"NZ_CPI",Release_Calendar!$B$2:$B$755,$A864)&gt;0,1,0))</f>
        <v/>
      </c>
      <c r="N864" s="16" t="str">
        <f>IF($A864&lt;Notes!$B$5,"",IF(COUNTIFS(Release_Calendar!$A$2:$A$755,"NZ_GDP",Release_Calendar!$B$2:$B$755,$A864)&gt;0,1,0))</f>
        <v/>
      </c>
      <c r="O864" s="16" t="str">
        <f>IF($A864&lt;Notes!$B$5,"",IF(COUNTIFS(Release_Calendar!$A$2:$A$755,"NZ_LABOUR",Release_Calendar!$B$2:$B$755,$A864)&gt;0,1,0))</f>
        <v/>
      </c>
      <c r="P864" s="16">
        <f t="shared" si="4"/>
        <v>0</v>
      </c>
    </row>
    <row r="865" ht="15.75" customHeight="1">
      <c r="A865" s="14">
        <v>37735.0</v>
      </c>
      <c r="B865" s="15">
        <v>1.62</v>
      </c>
      <c r="C865" s="15"/>
      <c r="D865" s="15">
        <v>5.27</v>
      </c>
      <c r="E865" s="15"/>
      <c r="F865" s="15" t="str">
        <f t="shared" si="1"/>
        <v/>
      </c>
      <c r="G865" s="15">
        <f t="shared" si="2"/>
        <v>5.27</v>
      </c>
      <c r="H865" s="16">
        <v>1.0</v>
      </c>
      <c r="I865" s="15">
        <f t="shared" si="3"/>
        <v>3.65</v>
      </c>
      <c r="J865" s="15">
        <v>20.33</v>
      </c>
      <c r="K865" s="16">
        <f>IF(COUNTIFS(Release_Calendar!$A$2:$A$755,"US_CPI",Release_Calendar!$B$2:$B$755,$A865)&gt;0,1,0)</f>
        <v>0</v>
      </c>
      <c r="L865" s="16">
        <f>IF(COUNTIFS(Release_Calendar!$A$2:$A$755,"US_NFP",Release_Calendar!$B$2:$B$755,$A865)&gt;0,1,0)</f>
        <v>0</v>
      </c>
      <c r="M865" s="16" t="str">
        <f>IF($A865&lt;Notes!$B$5,"",IF(COUNTIFS(Release_Calendar!$A$2:$A$755,"NZ_CPI",Release_Calendar!$B$2:$B$755,$A865)&gt;0,1,0))</f>
        <v/>
      </c>
      <c r="N865" s="16" t="str">
        <f>IF($A865&lt;Notes!$B$5,"",IF(COUNTIFS(Release_Calendar!$A$2:$A$755,"NZ_GDP",Release_Calendar!$B$2:$B$755,$A865)&gt;0,1,0))</f>
        <v/>
      </c>
      <c r="O865" s="16" t="str">
        <f>IF($A865&lt;Notes!$B$5,"",IF(COUNTIFS(Release_Calendar!$A$2:$A$755,"NZ_LABOUR",Release_Calendar!$B$2:$B$755,$A865)&gt;0,1,0))</f>
        <v/>
      </c>
      <c r="P865" s="16">
        <f t="shared" si="4"/>
        <v>0</v>
      </c>
    </row>
    <row r="866" ht="15.75" customHeight="1">
      <c r="A866" s="14">
        <v>37736.0</v>
      </c>
      <c r="B866" s="15">
        <v>1.57</v>
      </c>
      <c r="C866" s="15"/>
      <c r="D866" s="15"/>
      <c r="E866" s="15"/>
      <c r="F866" s="15" t="str">
        <f t="shared" si="1"/>
        <v/>
      </c>
      <c r="G866" s="15" t="str">
        <f t="shared" si="2"/>
        <v/>
      </c>
      <c r="H866" s="16">
        <v>1.0</v>
      </c>
      <c r="I866" s="15" t="str">
        <f t="shared" si="3"/>
        <v/>
      </c>
      <c r="J866" s="15">
        <v>20.8</v>
      </c>
      <c r="K866" s="16">
        <f>IF(COUNTIFS(Release_Calendar!$A$2:$A$755,"US_CPI",Release_Calendar!$B$2:$B$755,$A866)&gt;0,1,0)</f>
        <v>0</v>
      </c>
      <c r="L866" s="16">
        <f>IF(COUNTIFS(Release_Calendar!$A$2:$A$755,"US_NFP",Release_Calendar!$B$2:$B$755,$A866)&gt;0,1,0)</f>
        <v>0</v>
      </c>
      <c r="M866" s="16" t="str">
        <f>IF($A866&lt;Notes!$B$5,"",IF(COUNTIFS(Release_Calendar!$A$2:$A$755,"NZ_CPI",Release_Calendar!$B$2:$B$755,$A866)&gt;0,1,0))</f>
        <v/>
      </c>
      <c r="N866" s="16" t="str">
        <f>IF($A866&lt;Notes!$B$5,"",IF(COUNTIFS(Release_Calendar!$A$2:$A$755,"NZ_GDP",Release_Calendar!$B$2:$B$755,$A866)&gt;0,1,0))</f>
        <v/>
      </c>
      <c r="O866" s="16" t="str">
        <f>IF($A866&lt;Notes!$B$5,"",IF(COUNTIFS(Release_Calendar!$A$2:$A$755,"NZ_LABOUR",Release_Calendar!$B$2:$B$755,$A866)&gt;0,1,0))</f>
        <v/>
      </c>
      <c r="P866" s="16">
        <f t="shared" si="4"/>
        <v>0</v>
      </c>
    </row>
    <row r="867" ht="15.75" customHeight="1">
      <c r="A867" s="14">
        <v>37739.0</v>
      </c>
      <c r="B867" s="15">
        <v>1.59</v>
      </c>
      <c r="C867" s="15"/>
      <c r="D867" s="15">
        <v>5.16</v>
      </c>
      <c r="E867" s="15"/>
      <c r="F867" s="15" t="str">
        <f t="shared" si="1"/>
        <v/>
      </c>
      <c r="G867" s="15">
        <f t="shared" si="2"/>
        <v>5.16</v>
      </c>
      <c r="H867" s="16">
        <v>1.0</v>
      </c>
      <c r="I867" s="15">
        <f t="shared" si="3"/>
        <v>3.57</v>
      </c>
      <c r="J867" s="15">
        <v>20.84</v>
      </c>
      <c r="K867" s="16">
        <f>IF(COUNTIFS(Release_Calendar!$A$2:$A$755,"US_CPI",Release_Calendar!$B$2:$B$755,$A867)&gt;0,1,0)</f>
        <v>0</v>
      </c>
      <c r="L867" s="16">
        <f>IF(COUNTIFS(Release_Calendar!$A$2:$A$755,"US_NFP",Release_Calendar!$B$2:$B$755,$A867)&gt;0,1,0)</f>
        <v>0</v>
      </c>
      <c r="M867" s="16" t="str">
        <f>IF($A867&lt;Notes!$B$5,"",IF(COUNTIFS(Release_Calendar!$A$2:$A$755,"NZ_CPI",Release_Calendar!$B$2:$B$755,$A867)&gt;0,1,0))</f>
        <v/>
      </c>
      <c r="N867" s="16" t="str">
        <f>IF($A867&lt;Notes!$B$5,"",IF(COUNTIFS(Release_Calendar!$A$2:$A$755,"NZ_GDP",Release_Calendar!$B$2:$B$755,$A867)&gt;0,1,0))</f>
        <v/>
      </c>
      <c r="O867" s="16" t="str">
        <f>IF($A867&lt;Notes!$B$5,"",IF(COUNTIFS(Release_Calendar!$A$2:$A$755,"NZ_LABOUR",Release_Calendar!$B$2:$B$755,$A867)&gt;0,1,0))</f>
        <v/>
      </c>
      <c r="P867" s="16">
        <f t="shared" si="4"/>
        <v>0</v>
      </c>
    </row>
    <row r="868" ht="15.75" customHeight="1">
      <c r="A868" s="14">
        <v>37740.0</v>
      </c>
      <c r="B868" s="15">
        <v>1.62</v>
      </c>
      <c r="C868" s="15"/>
      <c r="D868" s="15">
        <v>5.2</v>
      </c>
      <c r="E868" s="15"/>
      <c r="F868" s="15" t="str">
        <f t="shared" si="1"/>
        <v/>
      </c>
      <c r="G868" s="15">
        <f t="shared" si="2"/>
        <v>5.2</v>
      </c>
      <c r="H868" s="16">
        <v>1.0</v>
      </c>
      <c r="I868" s="15">
        <f t="shared" si="3"/>
        <v>3.58</v>
      </c>
      <c r="J868" s="15">
        <v>20.76</v>
      </c>
      <c r="K868" s="16">
        <f>IF(COUNTIFS(Release_Calendar!$A$2:$A$755,"US_CPI",Release_Calendar!$B$2:$B$755,$A868)&gt;0,1,0)</f>
        <v>0</v>
      </c>
      <c r="L868" s="16">
        <f>IF(COUNTIFS(Release_Calendar!$A$2:$A$755,"US_NFP",Release_Calendar!$B$2:$B$755,$A868)&gt;0,1,0)</f>
        <v>0</v>
      </c>
      <c r="M868" s="16" t="str">
        <f>IF($A868&lt;Notes!$B$5,"",IF(COUNTIFS(Release_Calendar!$A$2:$A$755,"NZ_CPI",Release_Calendar!$B$2:$B$755,$A868)&gt;0,1,0))</f>
        <v/>
      </c>
      <c r="N868" s="16" t="str">
        <f>IF($A868&lt;Notes!$B$5,"",IF(COUNTIFS(Release_Calendar!$A$2:$A$755,"NZ_GDP",Release_Calendar!$B$2:$B$755,$A868)&gt;0,1,0))</f>
        <v/>
      </c>
      <c r="O868" s="16" t="str">
        <f>IF($A868&lt;Notes!$B$5,"",IF(COUNTIFS(Release_Calendar!$A$2:$A$755,"NZ_LABOUR",Release_Calendar!$B$2:$B$755,$A868)&gt;0,1,0))</f>
        <v/>
      </c>
      <c r="P868" s="16">
        <f t="shared" si="4"/>
        <v>0</v>
      </c>
    </row>
    <row r="869" ht="15.75" customHeight="1">
      <c r="A869" s="14">
        <v>37741.0</v>
      </c>
      <c r="B869" s="15">
        <v>1.51</v>
      </c>
      <c r="C869" s="15"/>
      <c r="D869" s="15">
        <v>5.19</v>
      </c>
      <c r="E869" s="15"/>
      <c r="F869" s="15" t="str">
        <f t="shared" si="1"/>
        <v/>
      </c>
      <c r="G869" s="15">
        <f t="shared" si="2"/>
        <v>5.19</v>
      </c>
      <c r="H869" s="16">
        <v>1.0</v>
      </c>
      <c r="I869" s="15">
        <f t="shared" si="3"/>
        <v>3.68</v>
      </c>
      <c r="J869" s="15">
        <v>21.21</v>
      </c>
      <c r="K869" s="16">
        <f>IF(COUNTIFS(Release_Calendar!$A$2:$A$755,"US_CPI",Release_Calendar!$B$2:$B$755,$A869)&gt;0,1,0)</f>
        <v>0</v>
      </c>
      <c r="L869" s="16">
        <f>IF(COUNTIFS(Release_Calendar!$A$2:$A$755,"US_NFP",Release_Calendar!$B$2:$B$755,$A869)&gt;0,1,0)</f>
        <v>0</v>
      </c>
      <c r="M869" s="16" t="str">
        <f>IF($A869&lt;Notes!$B$5,"",IF(COUNTIFS(Release_Calendar!$A$2:$A$755,"NZ_CPI",Release_Calendar!$B$2:$B$755,$A869)&gt;0,1,0))</f>
        <v/>
      </c>
      <c r="N869" s="16" t="str">
        <f>IF($A869&lt;Notes!$B$5,"",IF(COUNTIFS(Release_Calendar!$A$2:$A$755,"NZ_GDP",Release_Calendar!$B$2:$B$755,$A869)&gt;0,1,0))</f>
        <v/>
      </c>
      <c r="O869" s="16" t="str">
        <f>IF($A869&lt;Notes!$B$5,"",IF(COUNTIFS(Release_Calendar!$A$2:$A$755,"NZ_LABOUR",Release_Calendar!$B$2:$B$755,$A869)&gt;0,1,0))</f>
        <v/>
      </c>
      <c r="P869" s="16">
        <f t="shared" si="4"/>
        <v>0</v>
      </c>
    </row>
    <row r="870" ht="15.75" customHeight="1">
      <c r="A870" s="14">
        <v>37742.0</v>
      </c>
      <c r="B870" s="15">
        <v>1.5</v>
      </c>
      <c r="C870" s="15"/>
      <c r="D870" s="15">
        <v>5.14</v>
      </c>
      <c r="E870" s="15"/>
      <c r="F870" s="15" t="str">
        <f t="shared" si="1"/>
        <v/>
      </c>
      <c r="G870" s="15">
        <f t="shared" si="2"/>
        <v>5.14</v>
      </c>
      <c r="H870" s="16">
        <v>1.0</v>
      </c>
      <c r="I870" s="15">
        <f t="shared" si="3"/>
        <v>3.64</v>
      </c>
      <c r="J870" s="15">
        <v>21.59</v>
      </c>
      <c r="K870" s="16">
        <f>IF(COUNTIFS(Release_Calendar!$A$2:$A$755,"US_CPI",Release_Calendar!$B$2:$B$755,$A870)&gt;0,1,0)</f>
        <v>0</v>
      </c>
      <c r="L870" s="16">
        <f>IF(COUNTIFS(Release_Calendar!$A$2:$A$755,"US_NFP",Release_Calendar!$B$2:$B$755,$A870)&gt;0,1,0)</f>
        <v>0</v>
      </c>
      <c r="M870" s="16" t="str">
        <f>IF($A870&lt;Notes!$B$5,"",IF(COUNTIFS(Release_Calendar!$A$2:$A$755,"NZ_CPI",Release_Calendar!$B$2:$B$755,$A870)&gt;0,1,0))</f>
        <v/>
      </c>
      <c r="N870" s="16" t="str">
        <f>IF($A870&lt;Notes!$B$5,"",IF(COUNTIFS(Release_Calendar!$A$2:$A$755,"NZ_GDP",Release_Calendar!$B$2:$B$755,$A870)&gt;0,1,0))</f>
        <v/>
      </c>
      <c r="O870" s="16" t="str">
        <f>IF($A870&lt;Notes!$B$5,"",IF(COUNTIFS(Release_Calendar!$A$2:$A$755,"NZ_LABOUR",Release_Calendar!$B$2:$B$755,$A870)&gt;0,1,0))</f>
        <v/>
      </c>
      <c r="P870" s="16">
        <f t="shared" si="4"/>
        <v>0</v>
      </c>
    </row>
    <row r="871" ht="15.75" customHeight="1">
      <c r="A871" s="14">
        <v>37743.0</v>
      </c>
      <c r="B871" s="15">
        <v>1.56</v>
      </c>
      <c r="C871" s="15"/>
      <c r="D871" s="15">
        <v>5.12</v>
      </c>
      <c r="E871" s="15"/>
      <c r="F871" s="15" t="str">
        <f t="shared" si="1"/>
        <v/>
      </c>
      <c r="G871" s="15">
        <f t="shared" si="2"/>
        <v>5.12</v>
      </c>
      <c r="H871" s="16">
        <v>1.0</v>
      </c>
      <c r="I871" s="15">
        <f t="shared" si="3"/>
        <v>3.56</v>
      </c>
      <c r="J871" s="15">
        <v>20.63</v>
      </c>
      <c r="K871" s="16">
        <f>IF(COUNTIFS(Release_Calendar!$A$2:$A$755,"US_CPI",Release_Calendar!$B$2:$B$755,$A871)&gt;0,1,0)</f>
        <v>0</v>
      </c>
      <c r="L871" s="16">
        <f>IF(COUNTIFS(Release_Calendar!$A$2:$A$755,"US_NFP",Release_Calendar!$B$2:$B$755,$A871)&gt;0,1,0)</f>
        <v>1</v>
      </c>
      <c r="M871" s="16" t="str">
        <f>IF($A871&lt;Notes!$B$5,"",IF(COUNTIFS(Release_Calendar!$A$2:$A$755,"NZ_CPI",Release_Calendar!$B$2:$B$755,$A871)&gt;0,1,0))</f>
        <v/>
      </c>
      <c r="N871" s="16" t="str">
        <f>IF($A871&lt;Notes!$B$5,"",IF(COUNTIFS(Release_Calendar!$A$2:$A$755,"NZ_GDP",Release_Calendar!$B$2:$B$755,$A871)&gt;0,1,0))</f>
        <v/>
      </c>
      <c r="O871" s="16" t="str">
        <f>IF($A871&lt;Notes!$B$5,"",IF(COUNTIFS(Release_Calendar!$A$2:$A$755,"NZ_LABOUR",Release_Calendar!$B$2:$B$755,$A871)&gt;0,1,0))</f>
        <v/>
      </c>
      <c r="P871" s="16">
        <f t="shared" si="4"/>
        <v>1</v>
      </c>
    </row>
    <row r="872" ht="15.75" customHeight="1">
      <c r="A872" s="14">
        <v>37746.0</v>
      </c>
      <c r="B872" s="15">
        <v>1.55</v>
      </c>
      <c r="C872" s="15"/>
      <c r="D872" s="15">
        <v>5.2</v>
      </c>
      <c r="E872" s="15"/>
      <c r="F872" s="15" t="str">
        <f t="shared" si="1"/>
        <v/>
      </c>
      <c r="G872" s="15">
        <f t="shared" si="2"/>
        <v>5.2</v>
      </c>
      <c r="H872" s="16">
        <v>1.0</v>
      </c>
      <c r="I872" s="15">
        <f t="shared" si="3"/>
        <v>3.65</v>
      </c>
      <c r="J872" s="15">
        <v>21.13</v>
      </c>
      <c r="K872" s="16">
        <f>IF(COUNTIFS(Release_Calendar!$A$2:$A$755,"US_CPI",Release_Calendar!$B$2:$B$755,$A872)&gt;0,1,0)</f>
        <v>0</v>
      </c>
      <c r="L872" s="16">
        <f>IF(COUNTIFS(Release_Calendar!$A$2:$A$755,"US_NFP",Release_Calendar!$B$2:$B$755,$A872)&gt;0,1,0)</f>
        <v>0</v>
      </c>
      <c r="M872" s="16" t="str">
        <f>IF($A872&lt;Notes!$B$5,"",IF(COUNTIFS(Release_Calendar!$A$2:$A$755,"NZ_CPI",Release_Calendar!$B$2:$B$755,$A872)&gt;0,1,0))</f>
        <v/>
      </c>
      <c r="N872" s="16" t="str">
        <f>IF($A872&lt;Notes!$B$5,"",IF(COUNTIFS(Release_Calendar!$A$2:$A$755,"NZ_GDP",Release_Calendar!$B$2:$B$755,$A872)&gt;0,1,0))</f>
        <v/>
      </c>
      <c r="O872" s="16" t="str">
        <f>IF($A872&lt;Notes!$B$5,"",IF(COUNTIFS(Release_Calendar!$A$2:$A$755,"NZ_LABOUR",Release_Calendar!$B$2:$B$755,$A872)&gt;0,1,0))</f>
        <v/>
      </c>
      <c r="P872" s="16">
        <f t="shared" si="4"/>
        <v>0</v>
      </c>
    </row>
    <row r="873" ht="15.75" customHeight="1">
      <c r="A873" s="14">
        <v>37747.0</v>
      </c>
      <c r="B873" s="15">
        <v>1.45</v>
      </c>
      <c r="C873" s="15"/>
      <c r="D873" s="15">
        <v>5.17</v>
      </c>
      <c r="E873" s="15"/>
      <c r="F873" s="15" t="str">
        <f t="shared" si="1"/>
        <v/>
      </c>
      <c r="G873" s="15">
        <f t="shared" si="2"/>
        <v>5.17</v>
      </c>
      <c r="H873" s="16">
        <v>1.0</v>
      </c>
      <c r="I873" s="15">
        <f t="shared" si="3"/>
        <v>3.72</v>
      </c>
      <c r="J873" s="15">
        <v>20.8</v>
      </c>
      <c r="K873" s="16">
        <f>IF(COUNTIFS(Release_Calendar!$A$2:$A$755,"US_CPI",Release_Calendar!$B$2:$B$755,$A873)&gt;0,1,0)</f>
        <v>0</v>
      </c>
      <c r="L873" s="16">
        <f>IF(COUNTIFS(Release_Calendar!$A$2:$A$755,"US_NFP",Release_Calendar!$B$2:$B$755,$A873)&gt;0,1,0)</f>
        <v>0</v>
      </c>
      <c r="M873" s="16" t="str">
        <f>IF($A873&lt;Notes!$B$5,"",IF(COUNTIFS(Release_Calendar!$A$2:$A$755,"NZ_CPI",Release_Calendar!$B$2:$B$755,$A873)&gt;0,1,0))</f>
        <v/>
      </c>
      <c r="N873" s="16" t="str">
        <f>IF($A873&lt;Notes!$B$5,"",IF(COUNTIFS(Release_Calendar!$A$2:$A$755,"NZ_GDP",Release_Calendar!$B$2:$B$755,$A873)&gt;0,1,0))</f>
        <v/>
      </c>
      <c r="O873" s="16" t="str">
        <f>IF($A873&lt;Notes!$B$5,"",IF(COUNTIFS(Release_Calendar!$A$2:$A$755,"NZ_LABOUR",Release_Calendar!$B$2:$B$755,$A873)&gt;0,1,0))</f>
        <v/>
      </c>
      <c r="P873" s="16">
        <f t="shared" si="4"/>
        <v>0</v>
      </c>
    </row>
    <row r="874" ht="15.75" customHeight="1">
      <c r="A874" s="14">
        <v>37748.0</v>
      </c>
      <c r="B874" s="15">
        <v>1.45</v>
      </c>
      <c r="C874" s="15"/>
      <c r="D874" s="15">
        <v>5.09</v>
      </c>
      <c r="E874" s="15"/>
      <c r="F874" s="15" t="str">
        <f t="shared" si="1"/>
        <v/>
      </c>
      <c r="G874" s="15">
        <f t="shared" si="2"/>
        <v>5.09</v>
      </c>
      <c r="H874" s="16">
        <v>1.0</v>
      </c>
      <c r="I874" s="15">
        <f t="shared" si="3"/>
        <v>3.64</v>
      </c>
      <c r="J874" s="15">
        <v>21.0</v>
      </c>
      <c r="K874" s="16">
        <f>IF(COUNTIFS(Release_Calendar!$A$2:$A$755,"US_CPI",Release_Calendar!$B$2:$B$755,$A874)&gt;0,1,0)</f>
        <v>0</v>
      </c>
      <c r="L874" s="16">
        <f>IF(COUNTIFS(Release_Calendar!$A$2:$A$755,"US_NFP",Release_Calendar!$B$2:$B$755,$A874)&gt;0,1,0)</f>
        <v>0</v>
      </c>
      <c r="M874" s="16" t="str">
        <f>IF($A874&lt;Notes!$B$5,"",IF(COUNTIFS(Release_Calendar!$A$2:$A$755,"NZ_CPI",Release_Calendar!$B$2:$B$755,$A874)&gt;0,1,0))</f>
        <v/>
      </c>
      <c r="N874" s="16" t="str">
        <f>IF($A874&lt;Notes!$B$5,"",IF(COUNTIFS(Release_Calendar!$A$2:$A$755,"NZ_GDP",Release_Calendar!$B$2:$B$755,$A874)&gt;0,1,0))</f>
        <v/>
      </c>
      <c r="O874" s="16" t="str">
        <f>IF($A874&lt;Notes!$B$5,"",IF(COUNTIFS(Release_Calendar!$A$2:$A$755,"NZ_LABOUR",Release_Calendar!$B$2:$B$755,$A874)&gt;0,1,0))</f>
        <v/>
      </c>
      <c r="P874" s="16">
        <f t="shared" si="4"/>
        <v>0</v>
      </c>
    </row>
    <row r="875" ht="15.75" customHeight="1">
      <c r="A875" s="14">
        <v>37749.0</v>
      </c>
      <c r="B875" s="15">
        <v>1.49</v>
      </c>
      <c r="C875" s="15"/>
      <c r="D875" s="15">
        <v>5.07</v>
      </c>
      <c r="E875" s="15"/>
      <c r="F875" s="15" t="str">
        <f t="shared" si="1"/>
        <v/>
      </c>
      <c r="G875" s="15">
        <f t="shared" si="2"/>
        <v>5.07</v>
      </c>
      <c r="H875" s="16">
        <v>1.0</v>
      </c>
      <c r="I875" s="15">
        <f t="shared" si="3"/>
        <v>3.58</v>
      </c>
      <c r="J875" s="15">
        <v>21.24</v>
      </c>
      <c r="K875" s="16">
        <f>IF(COUNTIFS(Release_Calendar!$A$2:$A$755,"US_CPI",Release_Calendar!$B$2:$B$755,$A875)&gt;0,1,0)</f>
        <v>0</v>
      </c>
      <c r="L875" s="16">
        <f>IF(COUNTIFS(Release_Calendar!$A$2:$A$755,"US_NFP",Release_Calendar!$B$2:$B$755,$A875)&gt;0,1,0)</f>
        <v>0</v>
      </c>
      <c r="M875" s="16" t="str">
        <f>IF($A875&lt;Notes!$B$5,"",IF(COUNTIFS(Release_Calendar!$A$2:$A$755,"NZ_CPI",Release_Calendar!$B$2:$B$755,$A875)&gt;0,1,0))</f>
        <v/>
      </c>
      <c r="N875" s="16" t="str">
        <f>IF($A875&lt;Notes!$B$5,"",IF(COUNTIFS(Release_Calendar!$A$2:$A$755,"NZ_GDP",Release_Calendar!$B$2:$B$755,$A875)&gt;0,1,0))</f>
        <v/>
      </c>
      <c r="O875" s="16" t="str">
        <f>IF($A875&lt;Notes!$B$5,"",IF(COUNTIFS(Release_Calendar!$A$2:$A$755,"NZ_LABOUR",Release_Calendar!$B$2:$B$755,$A875)&gt;0,1,0))</f>
        <v/>
      </c>
      <c r="P875" s="16">
        <f t="shared" si="4"/>
        <v>0</v>
      </c>
    </row>
    <row r="876" ht="15.75" customHeight="1">
      <c r="A876" s="14">
        <v>37750.0</v>
      </c>
      <c r="B876" s="15">
        <v>1.45</v>
      </c>
      <c r="C876" s="15"/>
      <c r="D876" s="15">
        <v>5.12</v>
      </c>
      <c r="E876" s="15"/>
      <c r="F876" s="15" t="str">
        <f t="shared" si="1"/>
        <v/>
      </c>
      <c r="G876" s="15">
        <f t="shared" si="2"/>
        <v>5.12</v>
      </c>
      <c r="H876" s="16">
        <v>1.0</v>
      </c>
      <c r="I876" s="15">
        <f t="shared" si="3"/>
        <v>3.67</v>
      </c>
      <c r="J876" s="15">
        <v>19.69</v>
      </c>
      <c r="K876" s="16">
        <f>IF(COUNTIFS(Release_Calendar!$A$2:$A$755,"US_CPI",Release_Calendar!$B$2:$B$755,$A876)&gt;0,1,0)</f>
        <v>0</v>
      </c>
      <c r="L876" s="16">
        <f>IF(COUNTIFS(Release_Calendar!$A$2:$A$755,"US_NFP",Release_Calendar!$B$2:$B$755,$A876)&gt;0,1,0)</f>
        <v>0</v>
      </c>
      <c r="M876" s="16" t="str">
        <f>IF($A876&lt;Notes!$B$5,"",IF(COUNTIFS(Release_Calendar!$A$2:$A$755,"NZ_CPI",Release_Calendar!$B$2:$B$755,$A876)&gt;0,1,0))</f>
        <v/>
      </c>
      <c r="N876" s="16" t="str">
        <f>IF($A876&lt;Notes!$B$5,"",IF(COUNTIFS(Release_Calendar!$A$2:$A$755,"NZ_GDP",Release_Calendar!$B$2:$B$755,$A876)&gt;0,1,0))</f>
        <v/>
      </c>
      <c r="O876" s="16" t="str">
        <f>IF($A876&lt;Notes!$B$5,"",IF(COUNTIFS(Release_Calendar!$A$2:$A$755,"NZ_LABOUR",Release_Calendar!$B$2:$B$755,$A876)&gt;0,1,0))</f>
        <v/>
      </c>
      <c r="P876" s="16">
        <f t="shared" si="4"/>
        <v>0</v>
      </c>
    </row>
    <row r="877" ht="15.75" customHeight="1">
      <c r="A877" s="14">
        <v>37753.0</v>
      </c>
      <c r="B877" s="15">
        <v>1.46</v>
      </c>
      <c r="C877" s="15"/>
      <c r="D877" s="15">
        <v>5.11</v>
      </c>
      <c r="E877" s="15"/>
      <c r="F877" s="15" t="str">
        <f t="shared" si="1"/>
        <v/>
      </c>
      <c r="G877" s="15">
        <f t="shared" si="2"/>
        <v>5.11</v>
      </c>
      <c r="H877" s="16">
        <v>1.0</v>
      </c>
      <c r="I877" s="15">
        <f t="shared" si="3"/>
        <v>3.65</v>
      </c>
      <c r="J877" s="15">
        <v>19.52</v>
      </c>
      <c r="K877" s="16">
        <f>IF(COUNTIFS(Release_Calendar!$A$2:$A$755,"US_CPI",Release_Calendar!$B$2:$B$755,$A877)&gt;0,1,0)</f>
        <v>0</v>
      </c>
      <c r="L877" s="16">
        <f>IF(COUNTIFS(Release_Calendar!$A$2:$A$755,"US_NFP",Release_Calendar!$B$2:$B$755,$A877)&gt;0,1,0)</f>
        <v>0</v>
      </c>
      <c r="M877" s="16" t="str">
        <f>IF($A877&lt;Notes!$B$5,"",IF(COUNTIFS(Release_Calendar!$A$2:$A$755,"NZ_CPI",Release_Calendar!$B$2:$B$755,$A877)&gt;0,1,0))</f>
        <v/>
      </c>
      <c r="N877" s="16" t="str">
        <f>IF($A877&lt;Notes!$B$5,"",IF(COUNTIFS(Release_Calendar!$A$2:$A$755,"NZ_GDP",Release_Calendar!$B$2:$B$755,$A877)&gt;0,1,0))</f>
        <v/>
      </c>
      <c r="O877" s="16" t="str">
        <f>IF($A877&lt;Notes!$B$5,"",IF(COUNTIFS(Release_Calendar!$A$2:$A$755,"NZ_LABOUR",Release_Calendar!$B$2:$B$755,$A877)&gt;0,1,0))</f>
        <v/>
      </c>
      <c r="P877" s="16">
        <f t="shared" si="4"/>
        <v>0</v>
      </c>
    </row>
    <row r="878" ht="15.75" customHeight="1">
      <c r="A878" s="14">
        <v>37754.0</v>
      </c>
      <c r="B878" s="15">
        <v>1.47</v>
      </c>
      <c r="C878" s="15"/>
      <c r="D878" s="15">
        <v>5.1</v>
      </c>
      <c r="E878" s="15"/>
      <c r="F878" s="15" t="str">
        <f t="shared" si="1"/>
        <v/>
      </c>
      <c r="G878" s="15">
        <f t="shared" si="2"/>
        <v>5.1</v>
      </c>
      <c r="H878" s="16">
        <v>1.0</v>
      </c>
      <c r="I878" s="15">
        <f t="shared" si="3"/>
        <v>3.63</v>
      </c>
      <c r="J878" s="15">
        <v>19.91</v>
      </c>
      <c r="K878" s="16">
        <f>IF(COUNTIFS(Release_Calendar!$A$2:$A$755,"US_CPI",Release_Calendar!$B$2:$B$755,$A878)&gt;0,1,0)</f>
        <v>0</v>
      </c>
      <c r="L878" s="16">
        <f>IF(COUNTIFS(Release_Calendar!$A$2:$A$755,"US_NFP",Release_Calendar!$B$2:$B$755,$A878)&gt;0,1,0)</f>
        <v>0</v>
      </c>
      <c r="M878" s="16" t="str">
        <f>IF($A878&lt;Notes!$B$5,"",IF(COUNTIFS(Release_Calendar!$A$2:$A$755,"NZ_CPI",Release_Calendar!$B$2:$B$755,$A878)&gt;0,1,0))</f>
        <v/>
      </c>
      <c r="N878" s="16" t="str">
        <f>IF($A878&lt;Notes!$B$5,"",IF(COUNTIFS(Release_Calendar!$A$2:$A$755,"NZ_GDP",Release_Calendar!$B$2:$B$755,$A878)&gt;0,1,0))</f>
        <v/>
      </c>
      <c r="O878" s="16" t="str">
        <f>IF($A878&lt;Notes!$B$5,"",IF(COUNTIFS(Release_Calendar!$A$2:$A$755,"NZ_LABOUR",Release_Calendar!$B$2:$B$755,$A878)&gt;0,1,0))</f>
        <v/>
      </c>
      <c r="P878" s="16">
        <f t="shared" si="4"/>
        <v>0</v>
      </c>
    </row>
    <row r="879" ht="15.75" customHeight="1">
      <c r="A879" s="14">
        <v>37755.0</v>
      </c>
      <c r="B879" s="15">
        <v>1.41</v>
      </c>
      <c r="C879" s="15"/>
      <c r="D879" s="15">
        <v>5.07</v>
      </c>
      <c r="E879" s="15"/>
      <c r="F879" s="15" t="str">
        <f t="shared" si="1"/>
        <v/>
      </c>
      <c r="G879" s="15">
        <f t="shared" si="2"/>
        <v>5.07</v>
      </c>
      <c r="H879" s="16">
        <v>1.0</v>
      </c>
      <c r="I879" s="15">
        <f t="shared" si="3"/>
        <v>3.66</v>
      </c>
      <c r="J879" s="15">
        <v>20.0</v>
      </c>
      <c r="K879" s="16">
        <f>IF(COUNTIFS(Release_Calendar!$A$2:$A$755,"US_CPI",Release_Calendar!$B$2:$B$755,$A879)&gt;0,1,0)</f>
        <v>0</v>
      </c>
      <c r="L879" s="16">
        <f>IF(COUNTIFS(Release_Calendar!$A$2:$A$755,"US_NFP",Release_Calendar!$B$2:$B$755,$A879)&gt;0,1,0)</f>
        <v>0</v>
      </c>
      <c r="M879" s="16" t="str">
        <f>IF($A879&lt;Notes!$B$5,"",IF(COUNTIFS(Release_Calendar!$A$2:$A$755,"NZ_CPI",Release_Calendar!$B$2:$B$755,$A879)&gt;0,1,0))</f>
        <v/>
      </c>
      <c r="N879" s="16" t="str">
        <f>IF($A879&lt;Notes!$B$5,"",IF(COUNTIFS(Release_Calendar!$A$2:$A$755,"NZ_GDP",Release_Calendar!$B$2:$B$755,$A879)&gt;0,1,0))</f>
        <v/>
      </c>
      <c r="O879" s="16" t="str">
        <f>IF($A879&lt;Notes!$B$5,"",IF(COUNTIFS(Release_Calendar!$A$2:$A$755,"NZ_LABOUR",Release_Calendar!$B$2:$B$755,$A879)&gt;0,1,0))</f>
        <v/>
      </c>
      <c r="P879" s="16">
        <f t="shared" si="4"/>
        <v>0</v>
      </c>
    </row>
    <row r="880" ht="15.75" customHeight="1">
      <c r="A880" s="14">
        <v>37756.0</v>
      </c>
      <c r="B880" s="15">
        <v>1.46</v>
      </c>
      <c r="C880" s="15"/>
      <c r="D880" s="15">
        <v>5.03</v>
      </c>
      <c r="E880" s="15"/>
      <c r="F880" s="15" t="str">
        <f t="shared" si="1"/>
        <v/>
      </c>
      <c r="G880" s="15">
        <f t="shared" si="2"/>
        <v>5.03</v>
      </c>
      <c r="H880" s="16">
        <v>1.0</v>
      </c>
      <c r="I880" s="15">
        <f t="shared" si="3"/>
        <v>3.57</v>
      </c>
      <c r="J880" s="15">
        <v>19.24</v>
      </c>
      <c r="K880" s="16">
        <f>IF(COUNTIFS(Release_Calendar!$A$2:$A$755,"US_CPI",Release_Calendar!$B$2:$B$755,$A880)&gt;0,1,0)</f>
        <v>0</v>
      </c>
      <c r="L880" s="16">
        <f>IF(COUNTIFS(Release_Calendar!$A$2:$A$755,"US_NFP",Release_Calendar!$B$2:$B$755,$A880)&gt;0,1,0)</f>
        <v>0</v>
      </c>
      <c r="M880" s="16" t="str">
        <f>IF($A880&lt;Notes!$B$5,"",IF(COUNTIFS(Release_Calendar!$A$2:$A$755,"NZ_CPI",Release_Calendar!$B$2:$B$755,$A880)&gt;0,1,0))</f>
        <v/>
      </c>
      <c r="N880" s="16" t="str">
        <f>IF($A880&lt;Notes!$B$5,"",IF(COUNTIFS(Release_Calendar!$A$2:$A$755,"NZ_GDP",Release_Calendar!$B$2:$B$755,$A880)&gt;0,1,0))</f>
        <v/>
      </c>
      <c r="O880" s="16" t="str">
        <f>IF($A880&lt;Notes!$B$5,"",IF(COUNTIFS(Release_Calendar!$A$2:$A$755,"NZ_LABOUR",Release_Calendar!$B$2:$B$755,$A880)&gt;0,1,0))</f>
        <v/>
      </c>
      <c r="P880" s="16">
        <f t="shared" si="4"/>
        <v>0</v>
      </c>
    </row>
    <row r="881" ht="15.75" customHeight="1">
      <c r="A881" s="14">
        <v>37757.0</v>
      </c>
      <c r="B881" s="15">
        <v>1.38</v>
      </c>
      <c r="C881" s="15"/>
      <c r="D881" s="15">
        <v>5.07</v>
      </c>
      <c r="E881" s="15"/>
      <c r="F881" s="15" t="str">
        <f t="shared" si="1"/>
        <v/>
      </c>
      <c r="G881" s="15">
        <f t="shared" si="2"/>
        <v>5.07</v>
      </c>
      <c r="H881" s="16">
        <v>1.0</v>
      </c>
      <c r="I881" s="15">
        <f t="shared" si="3"/>
        <v>3.69</v>
      </c>
      <c r="J881" s="15">
        <v>18.4</v>
      </c>
      <c r="K881" s="16">
        <f>IF(COUNTIFS(Release_Calendar!$A$2:$A$755,"US_CPI",Release_Calendar!$B$2:$B$755,$A881)&gt;0,1,0)</f>
        <v>1</v>
      </c>
      <c r="L881" s="16">
        <f>IF(COUNTIFS(Release_Calendar!$A$2:$A$755,"US_NFP",Release_Calendar!$B$2:$B$755,$A881)&gt;0,1,0)</f>
        <v>0</v>
      </c>
      <c r="M881" s="16" t="str">
        <f>IF($A881&lt;Notes!$B$5,"",IF(COUNTIFS(Release_Calendar!$A$2:$A$755,"NZ_CPI",Release_Calendar!$B$2:$B$755,$A881)&gt;0,1,0))</f>
        <v/>
      </c>
      <c r="N881" s="16" t="str">
        <f>IF($A881&lt;Notes!$B$5,"",IF(COUNTIFS(Release_Calendar!$A$2:$A$755,"NZ_GDP",Release_Calendar!$B$2:$B$755,$A881)&gt;0,1,0))</f>
        <v/>
      </c>
      <c r="O881" s="16" t="str">
        <f>IF($A881&lt;Notes!$B$5,"",IF(COUNTIFS(Release_Calendar!$A$2:$A$755,"NZ_LABOUR",Release_Calendar!$B$2:$B$755,$A881)&gt;0,1,0))</f>
        <v/>
      </c>
      <c r="P881" s="16">
        <f t="shared" si="4"/>
        <v>1</v>
      </c>
    </row>
    <row r="882" ht="15.75" customHeight="1">
      <c r="A882" s="14">
        <v>37760.0</v>
      </c>
      <c r="B882" s="15">
        <v>1.35</v>
      </c>
      <c r="C882" s="15"/>
      <c r="D882" s="15">
        <v>4.97</v>
      </c>
      <c r="E882" s="15"/>
      <c r="F882" s="15" t="str">
        <f t="shared" si="1"/>
        <v/>
      </c>
      <c r="G882" s="15">
        <f t="shared" si="2"/>
        <v>4.97</v>
      </c>
      <c r="H882" s="16">
        <v>1.0</v>
      </c>
      <c r="I882" s="15">
        <f t="shared" si="3"/>
        <v>3.62</v>
      </c>
      <c r="J882" s="15">
        <v>20.51</v>
      </c>
      <c r="K882" s="16">
        <f>IF(COUNTIFS(Release_Calendar!$A$2:$A$755,"US_CPI",Release_Calendar!$B$2:$B$755,$A882)&gt;0,1,0)</f>
        <v>0</v>
      </c>
      <c r="L882" s="16">
        <f>IF(COUNTIFS(Release_Calendar!$A$2:$A$755,"US_NFP",Release_Calendar!$B$2:$B$755,$A882)&gt;0,1,0)</f>
        <v>0</v>
      </c>
      <c r="M882" s="16" t="str">
        <f>IF($A882&lt;Notes!$B$5,"",IF(COUNTIFS(Release_Calendar!$A$2:$A$755,"NZ_CPI",Release_Calendar!$B$2:$B$755,$A882)&gt;0,1,0))</f>
        <v/>
      </c>
      <c r="N882" s="16" t="str">
        <f>IF($A882&lt;Notes!$B$5,"",IF(COUNTIFS(Release_Calendar!$A$2:$A$755,"NZ_GDP",Release_Calendar!$B$2:$B$755,$A882)&gt;0,1,0))</f>
        <v/>
      </c>
      <c r="O882" s="16" t="str">
        <f>IF($A882&lt;Notes!$B$5,"",IF(COUNTIFS(Release_Calendar!$A$2:$A$755,"NZ_LABOUR",Release_Calendar!$B$2:$B$755,$A882)&gt;0,1,0))</f>
        <v/>
      </c>
      <c r="P882" s="16">
        <f t="shared" si="4"/>
        <v>0</v>
      </c>
    </row>
    <row r="883" ht="15.75" customHeight="1">
      <c r="A883" s="14">
        <v>37761.0</v>
      </c>
      <c r="B883" s="15">
        <v>1.31</v>
      </c>
      <c r="C883" s="15"/>
      <c r="D883" s="15">
        <v>4.98</v>
      </c>
      <c r="E883" s="15"/>
      <c r="F883" s="15" t="str">
        <f t="shared" si="1"/>
        <v/>
      </c>
      <c r="G883" s="15">
        <f t="shared" si="2"/>
        <v>4.98</v>
      </c>
      <c r="H883" s="16">
        <v>1.0</v>
      </c>
      <c r="I883" s="15">
        <f t="shared" si="3"/>
        <v>3.67</v>
      </c>
      <c r="J883" s="15">
        <v>21.29</v>
      </c>
      <c r="K883" s="16">
        <f>IF(COUNTIFS(Release_Calendar!$A$2:$A$755,"US_CPI",Release_Calendar!$B$2:$B$755,$A883)&gt;0,1,0)</f>
        <v>0</v>
      </c>
      <c r="L883" s="16">
        <f>IF(COUNTIFS(Release_Calendar!$A$2:$A$755,"US_NFP",Release_Calendar!$B$2:$B$755,$A883)&gt;0,1,0)</f>
        <v>0</v>
      </c>
      <c r="M883" s="16" t="str">
        <f>IF($A883&lt;Notes!$B$5,"",IF(COUNTIFS(Release_Calendar!$A$2:$A$755,"NZ_CPI",Release_Calendar!$B$2:$B$755,$A883)&gt;0,1,0))</f>
        <v/>
      </c>
      <c r="N883" s="16" t="str">
        <f>IF($A883&lt;Notes!$B$5,"",IF(COUNTIFS(Release_Calendar!$A$2:$A$755,"NZ_GDP",Release_Calendar!$B$2:$B$755,$A883)&gt;0,1,0))</f>
        <v/>
      </c>
      <c r="O883" s="16" t="str">
        <f>IF($A883&lt;Notes!$B$5,"",IF(COUNTIFS(Release_Calendar!$A$2:$A$755,"NZ_LABOUR",Release_Calendar!$B$2:$B$755,$A883)&gt;0,1,0))</f>
        <v/>
      </c>
      <c r="P883" s="16">
        <f t="shared" si="4"/>
        <v>0</v>
      </c>
    </row>
    <row r="884" ht="15.75" customHeight="1">
      <c r="A884" s="14">
        <v>37762.0</v>
      </c>
      <c r="B884" s="15">
        <v>1.38</v>
      </c>
      <c r="C884" s="15"/>
      <c r="D884" s="15">
        <v>4.91</v>
      </c>
      <c r="E884" s="15"/>
      <c r="F884" s="15" t="str">
        <f t="shared" si="1"/>
        <v/>
      </c>
      <c r="G884" s="15">
        <f t="shared" si="2"/>
        <v>4.91</v>
      </c>
      <c r="H884" s="16">
        <v>1.0</v>
      </c>
      <c r="I884" s="15">
        <f t="shared" si="3"/>
        <v>3.53</v>
      </c>
      <c r="J884" s="15">
        <v>21.21</v>
      </c>
      <c r="K884" s="16">
        <f>IF(COUNTIFS(Release_Calendar!$A$2:$A$755,"US_CPI",Release_Calendar!$B$2:$B$755,$A884)&gt;0,1,0)</f>
        <v>0</v>
      </c>
      <c r="L884" s="16">
        <f>IF(COUNTIFS(Release_Calendar!$A$2:$A$755,"US_NFP",Release_Calendar!$B$2:$B$755,$A884)&gt;0,1,0)</f>
        <v>0</v>
      </c>
      <c r="M884" s="16" t="str">
        <f>IF($A884&lt;Notes!$B$5,"",IF(COUNTIFS(Release_Calendar!$A$2:$A$755,"NZ_CPI",Release_Calendar!$B$2:$B$755,$A884)&gt;0,1,0))</f>
        <v/>
      </c>
      <c r="N884" s="16" t="str">
        <f>IF($A884&lt;Notes!$B$5,"",IF(COUNTIFS(Release_Calendar!$A$2:$A$755,"NZ_GDP",Release_Calendar!$B$2:$B$755,$A884)&gt;0,1,0))</f>
        <v/>
      </c>
      <c r="O884" s="16" t="str">
        <f>IF($A884&lt;Notes!$B$5,"",IF(COUNTIFS(Release_Calendar!$A$2:$A$755,"NZ_LABOUR",Release_Calendar!$B$2:$B$755,$A884)&gt;0,1,0))</f>
        <v/>
      </c>
      <c r="P884" s="16">
        <f t="shared" si="4"/>
        <v>0</v>
      </c>
    </row>
    <row r="885" ht="15.75" customHeight="1">
      <c r="A885" s="14">
        <v>37763.0</v>
      </c>
      <c r="B885" s="15">
        <v>1.36</v>
      </c>
      <c r="C885" s="15"/>
      <c r="D885" s="15">
        <v>4.94</v>
      </c>
      <c r="E885" s="15"/>
      <c r="F885" s="15" t="str">
        <f t="shared" si="1"/>
        <v/>
      </c>
      <c r="G885" s="15">
        <f t="shared" si="2"/>
        <v>4.94</v>
      </c>
      <c r="H885" s="16">
        <v>1.0</v>
      </c>
      <c r="I885" s="15">
        <f t="shared" si="3"/>
        <v>3.58</v>
      </c>
      <c r="J885" s="15">
        <v>19.78</v>
      </c>
      <c r="K885" s="16">
        <f>IF(COUNTIFS(Release_Calendar!$A$2:$A$755,"US_CPI",Release_Calendar!$B$2:$B$755,$A885)&gt;0,1,0)</f>
        <v>0</v>
      </c>
      <c r="L885" s="16">
        <f>IF(COUNTIFS(Release_Calendar!$A$2:$A$755,"US_NFP",Release_Calendar!$B$2:$B$755,$A885)&gt;0,1,0)</f>
        <v>0</v>
      </c>
      <c r="M885" s="16" t="str">
        <f>IF($A885&lt;Notes!$B$5,"",IF(COUNTIFS(Release_Calendar!$A$2:$A$755,"NZ_CPI",Release_Calendar!$B$2:$B$755,$A885)&gt;0,1,0))</f>
        <v/>
      </c>
      <c r="N885" s="16" t="str">
        <f>IF($A885&lt;Notes!$B$5,"",IF(COUNTIFS(Release_Calendar!$A$2:$A$755,"NZ_GDP",Release_Calendar!$B$2:$B$755,$A885)&gt;0,1,0))</f>
        <v/>
      </c>
      <c r="O885" s="16" t="str">
        <f>IF($A885&lt;Notes!$B$5,"",IF(COUNTIFS(Release_Calendar!$A$2:$A$755,"NZ_LABOUR",Release_Calendar!$B$2:$B$755,$A885)&gt;0,1,0))</f>
        <v/>
      </c>
      <c r="P885" s="16">
        <f t="shared" si="4"/>
        <v>0</v>
      </c>
    </row>
    <row r="886" ht="15.75" customHeight="1">
      <c r="A886" s="14">
        <v>37764.0</v>
      </c>
      <c r="B886" s="15">
        <v>1.38</v>
      </c>
      <c r="C886" s="15"/>
      <c r="D886" s="15">
        <v>4.92</v>
      </c>
      <c r="E886" s="15"/>
      <c r="F886" s="15" t="str">
        <f t="shared" si="1"/>
        <v/>
      </c>
      <c r="G886" s="15">
        <f t="shared" si="2"/>
        <v>4.92</v>
      </c>
      <c r="H886" s="16">
        <v>1.0</v>
      </c>
      <c r="I886" s="15">
        <f t="shared" si="3"/>
        <v>3.54</v>
      </c>
      <c r="J886" s="15">
        <v>19.17</v>
      </c>
      <c r="K886" s="16">
        <f>IF(COUNTIFS(Release_Calendar!$A$2:$A$755,"US_CPI",Release_Calendar!$B$2:$B$755,$A886)&gt;0,1,0)</f>
        <v>0</v>
      </c>
      <c r="L886" s="16">
        <f>IF(COUNTIFS(Release_Calendar!$A$2:$A$755,"US_NFP",Release_Calendar!$B$2:$B$755,$A886)&gt;0,1,0)</f>
        <v>0</v>
      </c>
      <c r="M886" s="16" t="str">
        <f>IF($A886&lt;Notes!$B$5,"",IF(COUNTIFS(Release_Calendar!$A$2:$A$755,"NZ_CPI",Release_Calendar!$B$2:$B$755,$A886)&gt;0,1,0))</f>
        <v/>
      </c>
      <c r="N886" s="16" t="str">
        <f>IF($A886&lt;Notes!$B$5,"",IF(COUNTIFS(Release_Calendar!$A$2:$A$755,"NZ_GDP",Release_Calendar!$B$2:$B$755,$A886)&gt;0,1,0))</f>
        <v/>
      </c>
      <c r="O886" s="16" t="str">
        <f>IF($A886&lt;Notes!$B$5,"",IF(COUNTIFS(Release_Calendar!$A$2:$A$755,"NZ_LABOUR",Release_Calendar!$B$2:$B$755,$A886)&gt;0,1,0))</f>
        <v/>
      </c>
      <c r="P886" s="16">
        <f t="shared" si="4"/>
        <v>0</v>
      </c>
    </row>
    <row r="887" ht="15.75" customHeight="1">
      <c r="A887" s="14">
        <v>37767.0</v>
      </c>
      <c r="B887" s="15"/>
      <c r="C887" s="15"/>
      <c r="D887" s="15">
        <v>4.92</v>
      </c>
      <c r="E887" s="15"/>
      <c r="F887" s="15" t="str">
        <f t="shared" si="1"/>
        <v/>
      </c>
      <c r="G887" s="15">
        <f t="shared" si="2"/>
        <v>4.92</v>
      </c>
      <c r="H887" s="16">
        <v>1.0</v>
      </c>
      <c r="I887" s="15" t="str">
        <f t="shared" si="3"/>
        <v/>
      </c>
      <c r="J887" s="15"/>
      <c r="K887" s="16">
        <f>IF(COUNTIFS(Release_Calendar!$A$2:$A$755,"US_CPI",Release_Calendar!$B$2:$B$755,$A887)&gt;0,1,0)</f>
        <v>0</v>
      </c>
      <c r="L887" s="16">
        <f>IF(COUNTIFS(Release_Calendar!$A$2:$A$755,"US_NFP",Release_Calendar!$B$2:$B$755,$A887)&gt;0,1,0)</f>
        <v>0</v>
      </c>
      <c r="M887" s="16" t="str">
        <f>IF($A887&lt;Notes!$B$5,"",IF(COUNTIFS(Release_Calendar!$A$2:$A$755,"NZ_CPI",Release_Calendar!$B$2:$B$755,$A887)&gt;0,1,0))</f>
        <v/>
      </c>
      <c r="N887" s="16" t="str">
        <f>IF($A887&lt;Notes!$B$5,"",IF(COUNTIFS(Release_Calendar!$A$2:$A$755,"NZ_GDP",Release_Calendar!$B$2:$B$755,$A887)&gt;0,1,0))</f>
        <v/>
      </c>
      <c r="O887" s="16" t="str">
        <f>IF($A887&lt;Notes!$B$5,"",IF(COUNTIFS(Release_Calendar!$A$2:$A$755,"NZ_LABOUR",Release_Calendar!$B$2:$B$755,$A887)&gt;0,1,0))</f>
        <v/>
      </c>
      <c r="P887" s="16">
        <f t="shared" si="4"/>
        <v>0</v>
      </c>
    </row>
    <row r="888" ht="15.75" customHeight="1">
      <c r="A888" s="14">
        <v>37768.0</v>
      </c>
      <c r="B888" s="15">
        <v>1.33</v>
      </c>
      <c r="C888" s="15"/>
      <c r="D888" s="15">
        <v>4.89</v>
      </c>
      <c r="E888" s="15"/>
      <c r="F888" s="15" t="str">
        <f t="shared" si="1"/>
        <v/>
      </c>
      <c r="G888" s="15">
        <f t="shared" si="2"/>
        <v>4.89</v>
      </c>
      <c r="H888" s="16">
        <v>1.0</v>
      </c>
      <c r="I888" s="15">
        <f t="shared" si="3"/>
        <v>3.56</v>
      </c>
      <c r="J888" s="15">
        <v>19.99</v>
      </c>
      <c r="K888" s="16">
        <f>IF(COUNTIFS(Release_Calendar!$A$2:$A$755,"US_CPI",Release_Calendar!$B$2:$B$755,$A888)&gt;0,1,0)</f>
        <v>0</v>
      </c>
      <c r="L888" s="16">
        <f>IF(COUNTIFS(Release_Calendar!$A$2:$A$755,"US_NFP",Release_Calendar!$B$2:$B$755,$A888)&gt;0,1,0)</f>
        <v>0</v>
      </c>
      <c r="M888" s="16" t="str">
        <f>IF($A888&lt;Notes!$B$5,"",IF(COUNTIFS(Release_Calendar!$A$2:$A$755,"NZ_CPI",Release_Calendar!$B$2:$B$755,$A888)&gt;0,1,0))</f>
        <v/>
      </c>
      <c r="N888" s="16" t="str">
        <f>IF($A888&lt;Notes!$B$5,"",IF(COUNTIFS(Release_Calendar!$A$2:$A$755,"NZ_GDP",Release_Calendar!$B$2:$B$755,$A888)&gt;0,1,0))</f>
        <v/>
      </c>
      <c r="O888" s="16" t="str">
        <f>IF($A888&lt;Notes!$B$5,"",IF(COUNTIFS(Release_Calendar!$A$2:$A$755,"NZ_LABOUR",Release_Calendar!$B$2:$B$755,$A888)&gt;0,1,0))</f>
        <v/>
      </c>
      <c r="P888" s="16">
        <f t="shared" si="4"/>
        <v>0</v>
      </c>
    </row>
    <row r="889" ht="15.75" customHeight="1">
      <c r="A889" s="14">
        <v>37769.0</v>
      </c>
      <c r="B889" s="15">
        <v>1.35</v>
      </c>
      <c r="C889" s="15"/>
      <c r="D889" s="15">
        <v>4.9</v>
      </c>
      <c r="E889" s="15"/>
      <c r="F889" s="15" t="str">
        <f t="shared" si="1"/>
        <v/>
      </c>
      <c r="G889" s="15">
        <f t="shared" si="2"/>
        <v>4.9</v>
      </c>
      <c r="H889" s="16">
        <v>1.0</v>
      </c>
      <c r="I889" s="15">
        <f t="shared" si="3"/>
        <v>3.55</v>
      </c>
      <c r="J889" s="15">
        <v>20.03</v>
      </c>
      <c r="K889" s="16">
        <f>IF(COUNTIFS(Release_Calendar!$A$2:$A$755,"US_CPI",Release_Calendar!$B$2:$B$755,$A889)&gt;0,1,0)</f>
        <v>0</v>
      </c>
      <c r="L889" s="16">
        <f>IF(COUNTIFS(Release_Calendar!$A$2:$A$755,"US_NFP",Release_Calendar!$B$2:$B$755,$A889)&gt;0,1,0)</f>
        <v>0</v>
      </c>
      <c r="M889" s="16" t="str">
        <f>IF($A889&lt;Notes!$B$5,"",IF(COUNTIFS(Release_Calendar!$A$2:$A$755,"NZ_CPI",Release_Calendar!$B$2:$B$755,$A889)&gt;0,1,0))</f>
        <v/>
      </c>
      <c r="N889" s="16" t="str">
        <f>IF($A889&lt;Notes!$B$5,"",IF(COUNTIFS(Release_Calendar!$A$2:$A$755,"NZ_GDP",Release_Calendar!$B$2:$B$755,$A889)&gt;0,1,0))</f>
        <v/>
      </c>
      <c r="O889" s="16" t="str">
        <f>IF($A889&lt;Notes!$B$5,"",IF(COUNTIFS(Release_Calendar!$A$2:$A$755,"NZ_LABOUR",Release_Calendar!$B$2:$B$755,$A889)&gt;0,1,0))</f>
        <v/>
      </c>
      <c r="P889" s="16">
        <f t="shared" si="4"/>
        <v>0</v>
      </c>
    </row>
    <row r="890" ht="15.75" customHeight="1">
      <c r="A890" s="14">
        <v>37770.0</v>
      </c>
      <c r="B890" s="15">
        <v>1.3</v>
      </c>
      <c r="C890" s="15"/>
      <c r="D890" s="15">
        <v>4.89</v>
      </c>
      <c r="E890" s="15"/>
      <c r="F890" s="15" t="str">
        <f t="shared" si="1"/>
        <v/>
      </c>
      <c r="G890" s="15">
        <f t="shared" si="2"/>
        <v>4.89</v>
      </c>
      <c r="H890" s="16">
        <v>1.0</v>
      </c>
      <c r="I890" s="15">
        <f t="shared" si="3"/>
        <v>3.59</v>
      </c>
      <c r="J890" s="15">
        <v>20.43</v>
      </c>
      <c r="K890" s="16">
        <f>IF(COUNTIFS(Release_Calendar!$A$2:$A$755,"US_CPI",Release_Calendar!$B$2:$B$755,$A890)&gt;0,1,0)</f>
        <v>0</v>
      </c>
      <c r="L890" s="16">
        <f>IF(COUNTIFS(Release_Calendar!$A$2:$A$755,"US_NFP",Release_Calendar!$B$2:$B$755,$A890)&gt;0,1,0)</f>
        <v>0</v>
      </c>
      <c r="M890" s="16" t="str">
        <f>IF($A890&lt;Notes!$B$5,"",IF(COUNTIFS(Release_Calendar!$A$2:$A$755,"NZ_CPI",Release_Calendar!$B$2:$B$755,$A890)&gt;0,1,0))</f>
        <v/>
      </c>
      <c r="N890" s="16" t="str">
        <f>IF($A890&lt;Notes!$B$5,"",IF(COUNTIFS(Release_Calendar!$A$2:$A$755,"NZ_GDP",Release_Calendar!$B$2:$B$755,$A890)&gt;0,1,0))</f>
        <v/>
      </c>
      <c r="O890" s="16" t="str">
        <f>IF($A890&lt;Notes!$B$5,"",IF(COUNTIFS(Release_Calendar!$A$2:$A$755,"NZ_LABOUR",Release_Calendar!$B$2:$B$755,$A890)&gt;0,1,0))</f>
        <v/>
      </c>
      <c r="P890" s="16">
        <f t="shared" si="4"/>
        <v>0</v>
      </c>
    </row>
    <row r="891" ht="15.75" customHeight="1">
      <c r="A891" s="14">
        <v>37771.0</v>
      </c>
      <c r="B891" s="15">
        <v>1.33</v>
      </c>
      <c r="C891" s="15"/>
      <c r="D891" s="15">
        <v>4.88</v>
      </c>
      <c r="E891" s="15"/>
      <c r="F891" s="15" t="str">
        <f t="shared" si="1"/>
        <v/>
      </c>
      <c r="G891" s="15">
        <f t="shared" si="2"/>
        <v>4.88</v>
      </c>
      <c r="H891" s="16">
        <v>1.0</v>
      </c>
      <c r="I891" s="15">
        <f t="shared" si="3"/>
        <v>3.55</v>
      </c>
      <c r="J891" s="15">
        <v>19.47</v>
      </c>
      <c r="K891" s="16">
        <f>IF(COUNTIFS(Release_Calendar!$A$2:$A$755,"US_CPI",Release_Calendar!$B$2:$B$755,$A891)&gt;0,1,0)</f>
        <v>0</v>
      </c>
      <c r="L891" s="16">
        <f>IF(COUNTIFS(Release_Calendar!$A$2:$A$755,"US_NFP",Release_Calendar!$B$2:$B$755,$A891)&gt;0,1,0)</f>
        <v>0</v>
      </c>
      <c r="M891" s="16" t="str">
        <f>IF($A891&lt;Notes!$B$5,"",IF(COUNTIFS(Release_Calendar!$A$2:$A$755,"NZ_CPI",Release_Calendar!$B$2:$B$755,$A891)&gt;0,1,0))</f>
        <v/>
      </c>
      <c r="N891" s="16" t="str">
        <f>IF($A891&lt;Notes!$B$5,"",IF(COUNTIFS(Release_Calendar!$A$2:$A$755,"NZ_GDP",Release_Calendar!$B$2:$B$755,$A891)&gt;0,1,0))</f>
        <v/>
      </c>
      <c r="O891" s="16" t="str">
        <f>IF($A891&lt;Notes!$B$5,"",IF(COUNTIFS(Release_Calendar!$A$2:$A$755,"NZ_LABOUR",Release_Calendar!$B$2:$B$755,$A891)&gt;0,1,0))</f>
        <v/>
      </c>
      <c r="P891" s="16">
        <f t="shared" si="4"/>
        <v>0</v>
      </c>
    </row>
    <row r="892" ht="15.75" customHeight="1">
      <c r="A892" s="14">
        <v>37774.0</v>
      </c>
      <c r="B892" s="15">
        <v>1.33</v>
      </c>
      <c r="C892" s="15"/>
      <c r="D892" s="15"/>
      <c r="E892" s="15"/>
      <c r="F892" s="15" t="str">
        <f t="shared" si="1"/>
        <v/>
      </c>
      <c r="G892" s="15" t="str">
        <f t="shared" si="2"/>
        <v/>
      </c>
      <c r="H892" s="16">
        <v>1.0</v>
      </c>
      <c r="I892" s="15" t="str">
        <f t="shared" si="3"/>
        <v/>
      </c>
      <c r="J892" s="15">
        <v>20.85</v>
      </c>
      <c r="K892" s="16">
        <f>IF(COUNTIFS(Release_Calendar!$A$2:$A$755,"US_CPI",Release_Calendar!$B$2:$B$755,$A892)&gt;0,1,0)</f>
        <v>0</v>
      </c>
      <c r="L892" s="16">
        <f>IF(COUNTIFS(Release_Calendar!$A$2:$A$755,"US_NFP",Release_Calendar!$B$2:$B$755,$A892)&gt;0,1,0)</f>
        <v>0</v>
      </c>
      <c r="M892" s="16" t="str">
        <f>IF($A892&lt;Notes!$B$5,"",IF(COUNTIFS(Release_Calendar!$A$2:$A$755,"NZ_CPI",Release_Calendar!$B$2:$B$755,$A892)&gt;0,1,0))</f>
        <v/>
      </c>
      <c r="N892" s="16" t="str">
        <f>IF($A892&lt;Notes!$B$5,"",IF(COUNTIFS(Release_Calendar!$A$2:$A$755,"NZ_GDP",Release_Calendar!$B$2:$B$755,$A892)&gt;0,1,0))</f>
        <v/>
      </c>
      <c r="O892" s="16" t="str">
        <f>IF($A892&lt;Notes!$B$5,"",IF(COUNTIFS(Release_Calendar!$A$2:$A$755,"NZ_LABOUR",Release_Calendar!$B$2:$B$755,$A892)&gt;0,1,0))</f>
        <v/>
      </c>
      <c r="P892" s="16">
        <f t="shared" si="4"/>
        <v>0</v>
      </c>
    </row>
    <row r="893" ht="15.75" customHeight="1">
      <c r="A893" s="14">
        <v>37775.0</v>
      </c>
      <c r="B893" s="15">
        <v>1.2</v>
      </c>
      <c r="C893" s="15"/>
      <c r="D893" s="15">
        <v>4.9</v>
      </c>
      <c r="E893" s="15"/>
      <c r="F893" s="15" t="str">
        <f t="shared" si="1"/>
        <v/>
      </c>
      <c r="G893" s="15">
        <f t="shared" si="2"/>
        <v>4.9</v>
      </c>
      <c r="H893" s="16">
        <v>1.0</v>
      </c>
      <c r="I893" s="15">
        <f t="shared" si="3"/>
        <v>3.7</v>
      </c>
      <c r="J893" s="15">
        <v>20.84</v>
      </c>
      <c r="K893" s="16">
        <f>IF(COUNTIFS(Release_Calendar!$A$2:$A$755,"US_CPI",Release_Calendar!$B$2:$B$755,$A893)&gt;0,1,0)</f>
        <v>0</v>
      </c>
      <c r="L893" s="16">
        <f>IF(COUNTIFS(Release_Calendar!$A$2:$A$755,"US_NFP",Release_Calendar!$B$2:$B$755,$A893)&gt;0,1,0)</f>
        <v>0</v>
      </c>
      <c r="M893" s="16" t="str">
        <f>IF($A893&lt;Notes!$B$5,"",IF(COUNTIFS(Release_Calendar!$A$2:$A$755,"NZ_CPI",Release_Calendar!$B$2:$B$755,$A893)&gt;0,1,0))</f>
        <v/>
      </c>
      <c r="N893" s="16" t="str">
        <f>IF($A893&lt;Notes!$B$5,"",IF(COUNTIFS(Release_Calendar!$A$2:$A$755,"NZ_GDP",Release_Calendar!$B$2:$B$755,$A893)&gt;0,1,0))</f>
        <v/>
      </c>
      <c r="O893" s="16" t="str">
        <f>IF($A893&lt;Notes!$B$5,"",IF(COUNTIFS(Release_Calendar!$A$2:$A$755,"NZ_LABOUR",Release_Calendar!$B$2:$B$755,$A893)&gt;0,1,0))</f>
        <v/>
      </c>
      <c r="P893" s="16">
        <f t="shared" si="4"/>
        <v>0</v>
      </c>
    </row>
    <row r="894" ht="15.75" customHeight="1">
      <c r="A894" s="14">
        <v>37776.0</v>
      </c>
      <c r="B894" s="15">
        <v>1.2</v>
      </c>
      <c r="C894" s="15"/>
      <c r="D894" s="15">
        <v>4.86</v>
      </c>
      <c r="E894" s="15"/>
      <c r="F894" s="15" t="str">
        <f t="shared" si="1"/>
        <v/>
      </c>
      <c r="G894" s="15">
        <f t="shared" si="2"/>
        <v>4.86</v>
      </c>
      <c r="H894" s="16">
        <v>1.0</v>
      </c>
      <c r="I894" s="15">
        <f t="shared" si="3"/>
        <v>3.66</v>
      </c>
      <c r="J894" s="15">
        <v>20.62</v>
      </c>
      <c r="K894" s="16">
        <f>IF(COUNTIFS(Release_Calendar!$A$2:$A$755,"US_CPI",Release_Calendar!$B$2:$B$755,$A894)&gt;0,1,0)</f>
        <v>0</v>
      </c>
      <c r="L894" s="16">
        <f>IF(COUNTIFS(Release_Calendar!$A$2:$A$755,"US_NFP",Release_Calendar!$B$2:$B$755,$A894)&gt;0,1,0)</f>
        <v>0</v>
      </c>
      <c r="M894" s="16" t="str">
        <f>IF($A894&lt;Notes!$B$5,"",IF(COUNTIFS(Release_Calendar!$A$2:$A$755,"NZ_CPI",Release_Calendar!$B$2:$B$755,$A894)&gt;0,1,0))</f>
        <v/>
      </c>
      <c r="N894" s="16" t="str">
        <f>IF($A894&lt;Notes!$B$5,"",IF(COUNTIFS(Release_Calendar!$A$2:$A$755,"NZ_GDP",Release_Calendar!$B$2:$B$755,$A894)&gt;0,1,0))</f>
        <v/>
      </c>
      <c r="O894" s="16" t="str">
        <f>IF($A894&lt;Notes!$B$5,"",IF(COUNTIFS(Release_Calendar!$A$2:$A$755,"NZ_LABOUR",Release_Calendar!$B$2:$B$755,$A894)&gt;0,1,0))</f>
        <v/>
      </c>
      <c r="P894" s="16">
        <f t="shared" si="4"/>
        <v>0</v>
      </c>
    </row>
    <row r="895" ht="15.75" customHeight="1">
      <c r="A895" s="14">
        <v>37777.0</v>
      </c>
      <c r="B895" s="15">
        <v>1.25</v>
      </c>
      <c r="C895" s="15"/>
      <c r="D895" s="15">
        <v>4.91</v>
      </c>
      <c r="E895" s="15"/>
      <c r="F895" s="15" t="str">
        <f t="shared" si="1"/>
        <v/>
      </c>
      <c r="G895" s="15">
        <f t="shared" si="2"/>
        <v>4.91</v>
      </c>
      <c r="H895" s="16">
        <v>1.0</v>
      </c>
      <c r="I895" s="15">
        <f t="shared" si="3"/>
        <v>3.66</v>
      </c>
      <c r="J895" s="15">
        <v>20.83</v>
      </c>
      <c r="K895" s="16">
        <f>IF(COUNTIFS(Release_Calendar!$A$2:$A$755,"US_CPI",Release_Calendar!$B$2:$B$755,$A895)&gt;0,1,0)</f>
        <v>0</v>
      </c>
      <c r="L895" s="16">
        <f>IF(COUNTIFS(Release_Calendar!$A$2:$A$755,"US_NFP",Release_Calendar!$B$2:$B$755,$A895)&gt;0,1,0)</f>
        <v>0</v>
      </c>
      <c r="M895" s="16" t="str">
        <f>IF($A895&lt;Notes!$B$5,"",IF(COUNTIFS(Release_Calendar!$A$2:$A$755,"NZ_CPI",Release_Calendar!$B$2:$B$755,$A895)&gt;0,1,0))</f>
        <v/>
      </c>
      <c r="N895" s="16" t="str">
        <f>IF($A895&lt;Notes!$B$5,"",IF(COUNTIFS(Release_Calendar!$A$2:$A$755,"NZ_GDP",Release_Calendar!$B$2:$B$755,$A895)&gt;0,1,0))</f>
        <v/>
      </c>
      <c r="O895" s="16" t="str">
        <f>IF($A895&lt;Notes!$B$5,"",IF(COUNTIFS(Release_Calendar!$A$2:$A$755,"NZ_LABOUR",Release_Calendar!$B$2:$B$755,$A895)&gt;0,1,0))</f>
        <v/>
      </c>
      <c r="P895" s="16">
        <f t="shared" si="4"/>
        <v>0</v>
      </c>
    </row>
    <row r="896" ht="15.75" customHeight="1">
      <c r="A896" s="14">
        <v>37778.0</v>
      </c>
      <c r="B896" s="15">
        <v>1.27</v>
      </c>
      <c r="C896" s="15"/>
      <c r="D896" s="15">
        <v>4.87</v>
      </c>
      <c r="E896" s="15"/>
      <c r="F896" s="15" t="str">
        <f t="shared" si="1"/>
        <v/>
      </c>
      <c r="G896" s="15">
        <f t="shared" si="2"/>
        <v>4.87</v>
      </c>
      <c r="H896" s="16">
        <v>1.0</v>
      </c>
      <c r="I896" s="15">
        <f t="shared" si="3"/>
        <v>3.6</v>
      </c>
      <c r="J896" s="15">
        <v>21.25</v>
      </c>
      <c r="K896" s="16">
        <f>IF(COUNTIFS(Release_Calendar!$A$2:$A$755,"US_CPI",Release_Calendar!$B$2:$B$755,$A896)&gt;0,1,0)</f>
        <v>0</v>
      </c>
      <c r="L896" s="16">
        <f>IF(COUNTIFS(Release_Calendar!$A$2:$A$755,"US_NFP",Release_Calendar!$B$2:$B$755,$A896)&gt;0,1,0)</f>
        <v>1</v>
      </c>
      <c r="M896" s="16" t="str">
        <f>IF($A896&lt;Notes!$B$5,"",IF(COUNTIFS(Release_Calendar!$A$2:$A$755,"NZ_CPI",Release_Calendar!$B$2:$B$755,$A896)&gt;0,1,0))</f>
        <v/>
      </c>
      <c r="N896" s="16" t="str">
        <f>IF($A896&lt;Notes!$B$5,"",IF(COUNTIFS(Release_Calendar!$A$2:$A$755,"NZ_GDP",Release_Calendar!$B$2:$B$755,$A896)&gt;0,1,0))</f>
        <v/>
      </c>
      <c r="O896" s="16" t="str">
        <f>IF($A896&lt;Notes!$B$5,"",IF(COUNTIFS(Release_Calendar!$A$2:$A$755,"NZ_LABOUR",Release_Calendar!$B$2:$B$755,$A896)&gt;0,1,0))</f>
        <v/>
      </c>
      <c r="P896" s="16">
        <f t="shared" si="4"/>
        <v>1</v>
      </c>
    </row>
    <row r="897" ht="15.75" customHeight="1">
      <c r="A897" s="14">
        <v>37781.0</v>
      </c>
      <c r="B897" s="15">
        <v>1.19</v>
      </c>
      <c r="C897" s="15"/>
      <c r="D897" s="15">
        <v>4.85</v>
      </c>
      <c r="E897" s="15"/>
      <c r="F897" s="15" t="str">
        <f t="shared" si="1"/>
        <v/>
      </c>
      <c r="G897" s="15">
        <f t="shared" si="2"/>
        <v>4.85</v>
      </c>
      <c r="H897" s="16">
        <v>1.0</v>
      </c>
      <c r="I897" s="15">
        <f t="shared" si="3"/>
        <v>3.66</v>
      </c>
      <c r="J897" s="15">
        <v>22.15</v>
      </c>
      <c r="K897" s="16">
        <f>IF(COUNTIFS(Release_Calendar!$A$2:$A$755,"US_CPI",Release_Calendar!$B$2:$B$755,$A897)&gt;0,1,0)</f>
        <v>0</v>
      </c>
      <c r="L897" s="16">
        <f>IF(COUNTIFS(Release_Calendar!$A$2:$A$755,"US_NFP",Release_Calendar!$B$2:$B$755,$A897)&gt;0,1,0)</f>
        <v>0</v>
      </c>
      <c r="M897" s="16" t="str">
        <f>IF($A897&lt;Notes!$B$5,"",IF(COUNTIFS(Release_Calendar!$A$2:$A$755,"NZ_CPI",Release_Calendar!$B$2:$B$755,$A897)&gt;0,1,0))</f>
        <v/>
      </c>
      <c r="N897" s="16" t="str">
        <f>IF($A897&lt;Notes!$B$5,"",IF(COUNTIFS(Release_Calendar!$A$2:$A$755,"NZ_GDP",Release_Calendar!$B$2:$B$755,$A897)&gt;0,1,0))</f>
        <v/>
      </c>
      <c r="O897" s="16" t="str">
        <f>IF($A897&lt;Notes!$B$5,"",IF(COUNTIFS(Release_Calendar!$A$2:$A$755,"NZ_LABOUR",Release_Calendar!$B$2:$B$755,$A897)&gt;0,1,0))</f>
        <v/>
      </c>
      <c r="P897" s="16">
        <f t="shared" si="4"/>
        <v>0</v>
      </c>
    </row>
    <row r="898" ht="15.75" customHeight="1">
      <c r="A898" s="14">
        <v>37782.0</v>
      </c>
      <c r="B898" s="15">
        <v>1.13</v>
      </c>
      <c r="C898" s="15"/>
      <c r="D898" s="15">
        <v>4.78</v>
      </c>
      <c r="E898" s="15"/>
      <c r="F898" s="15" t="str">
        <f t="shared" si="1"/>
        <v/>
      </c>
      <c r="G898" s="15">
        <f t="shared" si="2"/>
        <v>4.78</v>
      </c>
      <c r="H898" s="16">
        <v>1.0</v>
      </c>
      <c r="I898" s="15">
        <f t="shared" si="3"/>
        <v>3.65</v>
      </c>
      <c r="J898" s="15">
        <v>20.64</v>
      </c>
      <c r="K898" s="16">
        <f>IF(COUNTIFS(Release_Calendar!$A$2:$A$755,"US_CPI",Release_Calendar!$B$2:$B$755,$A898)&gt;0,1,0)</f>
        <v>0</v>
      </c>
      <c r="L898" s="16">
        <f>IF(COUNTIFS(Release_Calendar!$A$2:$A$755,"US_NFP",Release_Calendar!$B$2:$B$755,$A898)&gt;0,1,0)</f>
        <v>0</v>
      </c>
      <c r="M898" s="16" t="str">
        <f>IF($A898&lt;Notes!$B$5,"",IF(COUNTIFS(Release_Calendar!$A$2:$A$755,"NZ_CPI",Release_Calendar!$B$2:$B$755,$A898)&gt;0,1,0))</f>
        <v/>
      </c>
      <c r="N898" s="16" t="str">
        <f>IF($A898&lt;Notes!$B$5,"",IF(COUNTIFS(Release_Calendar!$A$2:$A$755,"NZ_GDP",Release_Calendar!$B$2:$B$755,$A898)&gt;0,1,0))</f>
        <v/>
      </c>
      <c r="O898" s="16" t="str">
        <f>IF($A898&lt;Notes!$B$5,"",IF(COUNTIFS(Release_Calendar!$A$2:$A$755,"NZ_LABOUR",Release_Calendar!$B$2:$B$755,$A898)&gt;0,1,0))</f>
        <v/>
      </c>
      <c r="P898" s="16">
        <f t="shared" si="4"/>
        <v>0</v>
      </c>
    </row>
    <row r="899" ht="15.75" customHeight="1">
      <c r="A899" s="14">
        <v>37783.0</v>
      </c>
      <c r="B899" s="15">
        <v>1.16</v>
      </c>
      <c r="C899" s="15"/>
      <c r="D899" s="15">
        <v>4.73</v>
      </c>
      <c r="E899" s="15"/>
      <c r="F899" s="15" t="str">
        <f t="shared" si="1"/>
        <v/>
      </c>
      <c r="G899" s="15">
        <f t="shared" si="2"/>
        <v>4.73</v>
      </c>
      <c r="H899" s="16">
        <v>1.0</v>
      </c>
      <c r="I899" s="15">
        <f t="shared" si="3"/>
        <v>3.57</v>
      </c>
      <c r="J899" s="15">
        <v>20.21</v>
      </c>
      <c r="K899" s="16">
        <f>IF(COUNTIFS(Release_Calendar!$A$2:$A$755,"US_CPI",Release_Calendar!$B$2:$B$755,$A899)&gt;0,1,0)</f>
        <v>0</v>
      </c>
      <c r="L899" s="16">
        <f>IF(COUNTIFS(Release_Calendar!$A$2:$A$755,"US_NFP",Release_Calendar!$B$2:$B$755,$A899)&gt;0,1,0)</f>
        <v>0</v>
      </c>
      <c r="M899" s="16" t="str">
        <f>IF($A899&lt;Notes!$B$5,"",IF(COUNTIFS(Release_Calendar!$A$2:$A$755,"NZ_CPI",Release_Calendar!$B$2:$B$755,$A899)&gt;0,1,0))</f>
        <v/>
      </c>
      <c r="N899" s="16" t="str">
        <f>IF($A899&lt;Notes!$B$5,"",IF(COUNTIFS(Release_Calendar!$A$2:$A$755,"NZ_GDP",Release_Calendar!$B$2:$B$755,$A899)&gt;0,1,0))</f>
        <v/>
      </c>
      <c r="O899" s="16" t="str">
        <f>IF($A899&lt;Notes!$B$5,"",IF(COUNTIFS(Release_Calendar!$A$2:$A$755,"NZ_LABOUR",Release_Calendar!$B$2:$B$755,$A899)&gt;0,1,0))</f>
        <v/>
      </c>
      <c r="P899" s="16">
        <f t="shared" si="4"/>
        <v>0</v>
      </c>
    </row>
    <row r="900" ht="15.75" customHeight="1">
      <c r="A900" s="14">
        <v>37784.0</v>
      </c>
      <c r="B900" s="15">
        <v>1.13</v>
      </c>
      <c r="C900" s="15"/>
      <c r="D900" s="15">
        <v>4.76</v>
      </c>
      <c r="E900" s="15"/>
      <c r="F900" s="15" t="str">
        <f t="shared" si="1"/>
        <v/>
      </c>
      <c r="G900" s="15">
        <f t="shared" si="2"/>
        <v>4.76</v>
      </c>
      <c r="H900" s="16">
        <v>1.0</v>
      </c>
      <c r="I900" s="15">
        <f t="shared" si="3"/>
        <v>3.63</v>
      </c>
      <c r="J900" s="15">
        <v>20.41</v>
      </c>
      <c r="K900" s="16">
        <f>IF(COUNTIFS(Release_Calendar!$A$2:$A$755,"US_CPI",Release_Calendar!$B$2:$B$755,$A900)&gt;0,1,0)</f>
        <v>0</v>
      </c>
      <c r="L900" s="16">
        <f>IF(COUNTIFS(Release_Calendar!$A$2:$A$755,"US_NFP",Release_Calendar!$B$2:$B$755,$A900)&gt;0,1,0)</f>
        <v>0</v>
      </c>
      <c r="M900" s="16" t="str">
        <f>IF($A900&lt;Notes!$B$5,"",IF(COUNTIFS(Release_Calendar!$A$2:$A$755,"NZ_CPI",Release_Calendar!$B$2:$B$755,$A900)&gt;0,1,0))</f>
        <v/>
      </c>
      <c r="N900" s="16" t="str">
        <f>IF($A900&lt;Notes!$B$5,"",IF(COUNTIFS(Release_Calendar!$A$2:$A$755,"NZ_GDP",Release_Calendar!$B$2:$B$755,$A900)&gt;0,1,0))</f>
        <v/>
      </c>
      <c r="O900" s="16" t="str">
        <f>IF($A900&lt;Notes!$B$5,"",IF(COUNTIFS(Release_Calendar!$A$2:$A$755,"NZ_LABOUR",Release_Calendar!$B$2:$B$755,$A900)&gt;0,1,0))</f>
        <v/>
      </c>
      <c r="P900" s="16">
        <f t="shared" si="4"/>
        <v>0</v>
      </c>
    </row>
    <row r="901" ht="15.75" customHeight="1">
      <c r="A901" s="14">
        <v>37785.0</v>
      </c>
      <c r="B901" s="15">
        <v>1.1</v>
      </c>
      <c r="C901" s="15"/>
      <c r="D901" s="15">
        <v>4.72</v>
      </c>
      <c r="E901" s="15"/>
      <c r="F901" s="15" t="str">
        <f t="shared" si="1"/>
        <v/>
      </c>
      <c r="G901" s="15">
        <f t="shared" si="2"/>
        <v>4.72</v>
      </c>
      <c r="H901" s="16">
        <v>1.0</v>
      </c>
      <c r="I901" s="15">
        <f t="shared" si="3"/>
        <v>3.62</v>
      </c>
      <c r="J901" s="15">
        <v>20.66</v>
      </c>
      <c r="K901" s="16">
        <f>IF(COUNTIFS(Release_Calendar!$A$2:$A$755,"US_CPI",Release_Calendar!$B$2:$B$755,$A901)&gt;0,1,0)</f>
        <v>0</v>
      </c>
      <c r="L901" s="16">
        <f>IF(COUNTIFS(Release_Calendar!$A$2:$A$755,"US_NFP",Release_Calendar!$B$2:$B$755,$A901)&gt;0,1,0)</f>
        <v>0</v>
      </c>
      <c r="M901" s="16" t="str">
        <f>IF($A901&lt;Notes!$B$5,"",IF(COUNTIFS(Release_Calendar!$A$2:$A$755,"NZ_CPI",Release_Calendar!$B$2:$B$755,$A901)&gt;0,1,0))</f>
        <v/>
      </c>
      <c r="N901" s="16" t="str">
        <f>IF($A901&lt;Notes!$B$5,"",IF(COUNTIFS(Release_Calendar!$A$2:$A$755,"NZ_GDP",Release_Calendar!$B$2:$B$755,$A901)&gt;0,1,0))</f>
        <v/>
      </c>
      <c r="O901" s="16" t="str">
        <f>IF($A901&lt;Notes!$B$5,"",IF(COUNTIFS(Release_Calendar!$A$2:$A$755,"NZ_LABOUR",Release_Calendar!$B$2:$B$755,$A901)&gt;0,1,0))</f>
        <v/>
      </c>
      <c r="P901" s="16">
        <f t="shared" si="4"/>
        <v>0</v>
      </c>
    </row>
    <row r="902" ht="15.75" customHeight="1">
      <c r="A902" s="14">
        <v>37788.0</v>
      </c>
      <c r="B902" s="15">
        <v>1.18</v>
      </c>
      <c r="C902" s="15"/>
      <c r="D902" s="15">
        <v>4.66</v>
      </c>
      <c r="E902" s="15"/>
      <c r="F902" s="15" t="str">
        <f t="shared" si="1"/>
        <v/>
      </c>
      <c r="G902" s="15">
        <f t="shared" si="2"/>
        <v>4.66</v>
      </c>
      <c r="H902" s="16">
        <v>1.0</v>
      </c>
      <c r="I902" s="15">
        <f t="shared" si="3"/>
        <v>3.48</v>
      </c>
      <c r="J902" s="15">
        <v>20.22</v>
      </c>
      <c r="K902" s="16">
        <f>IF(COUNTIFS(Release_Calendar!$A$2:$A$755,"US_CPI",Release_Calendar!$B$2:$B$755,$A902)&gt;0,1,0)</f>
        <v>0</v>
      </c>
      <c r="L902" s="16">
        <f>IF(COUNTIFS(Release_Calendar!$A$2:$A$755,"US_NFP",Release_Calendar!$B$2:$B$755,$A902)&gt;0,1,0)</f>
        <v>0</v>
      </c>
      <c r="M902" s="16" t="str">
        <f>IF($A902&lt;Notes!$B$5,"",IF(COUNTIFS(Release_Calendar!$A$2:$A$755,"NZ_CPI",Release_Calendar!$B$2:$B$755,$A902)&gt;0,1,0))</f>
        <v/>
      </c>
      <c r="N902" s="16" t="str">
        <f>IF($A902&lt;Notes!$B$5,"",IF(COUNTIFS(Release_Calendar!$A$2:$A$755,"NZ_GDP",Release_Calendar!$B$2:$B$755,$A902)&gt;0,1,0))</f>
        <v/>
      </c>
      <c r="O902" s="16" t="str">
        <f>IF($A902&lt;Notes!$B$5,"",IF(COUNTIFS(Release_Calendar!$A$2:$A$755,"NZ_LABOUR",Release_Calendar!$B$2:$B$755,$A902)&gt;0,1,0))</f>
        <v/>
      </c>
      <c r="P902" s="16">
        <f t="shared" si="4"/>
        <v>0</v>
      </c>
    </row>
    <row r="903" ht="15.75" customHeight="1">
      <c r="A903" s="14">
        <v>37789.0</v>
      </c>
      <c r="B903" s="15">
        <v>1.25</v>
      </c>
      <c r="C903" s="15"/>
      <c r="D903" s="15">
        <v>4.75</v>
      </c>
      <c r="E903" s="15"/>
      <c r="F903" s="15" t="str">
        <f t="shared" si="1"/>
        <v/>
      </c>
      <c r="G903" s="15">
        <f t="shared" si="2"/>
        <v>4.75</v>
      </c>
      <c r="H903" s="16">
        <v>1.0</v>
      </c>
      <c r="I903" s="15">
        <f t="shared" si="3"/>
        <v>3.5</v>
      </c>
      <c r="J903" s="15">
        <v>20.01</v>
      </c>
      <c r="K903" s="16">
        <f>IF(COUNTIFS(Release_Calendar!$A$2:$A$755,"US_CPI",Release_Calendar!$B$2:$B$755,$A903)&gt;0,1,0)</f>
        <v>1</v>
      </c>
      <c r="L903" s="16">
        <f>IF(COUNTIFS(Release_Calendar!$A$2:$A$755,"US_NFP",Release_Calendar!$B$2:$B$755,$A903)&gt;0,1,0)</f>
        <v>0</v>
      </c>
      <c r="M903" s="16" t="str">
        <f>IF($A903&lt;Notes!$B$5,"",IF(COUNTIFS(Release_Calendar!$A$2:$A$755,"NZ_CPI",Release_Calendar!$B$2:$B$755,$A903)&gt;0,1,0))</f>
        <v/>
      </c>
      <c r="N903" s="16" t="str">
        <f>IF($A903&lt;Notes!$B$5,"",IF(COUNTIFS(Release_Calendar!$A$2:$A$755,"NZ_GDP",Release_Calendar!$B$2:$B$755,$A903)&gt;0,1,0))</f>
        <v/>
      </c>
      <c r="O903" s="16" t="str">
        <f>IF($A903&lt;Notes!$B$5,"",IF(COUNTIFS(Release_Calendar!$A$2:$A$755,"NZ_LABOUR",Release_Calendar!$B$2:$B$755,$A903)&gt;0,1,0))</f>
        <v/>
      </c>
      <c r="P903" s="16">
        <f t="shared" si="4"/>
        <v>1</v>
      </c>
    </row>
    <row r="904" ht="15.75" customHeight="1">
      <c r="A904" s="14">
        <v>37790.0</v>
      </c>
      <c r="B904" s="15">
        <v>1.27</v>
      </c>
      <c r="C904" s="15"/>
      <c r="D904" s="15">
        <v>4.76</v>
      </c>
      <c r="E904" s="15"/>
      <c r="F904" s="15" t="str">
        <f t="shared" si="1"/>
        <v/>
      </c>
      <c r="G904" s="15">
        <f t="shared" si="2"/>
        <v>4.76</v>
      </c>
      <c r="H904" s="16">
        <v>1.0</v>
      </c>
      <c r="I904" s="15">
        <f t="shared" si="3"/>
        <v>3.49</v>
      </c>
      <c r="J904" s="15">
        <v>19.76</v>
      </c>
      <c r="K904" s="16">
        <f>IF(COUNTIFS(Release_Calendar!$A$2:$A$755,"US_CPI",Release_Calendar!$B$2:$B$755,$A904)&gt;0,1,0)</f>
        <v>0</v>
      </c>
      <c r="L904" s="16">
        <f>IF(COUNTIFS(Release_Calendar!$A$2:$A$755,"US_NFP",Release_Calendar!$B$2:$B$755,$A904)&gt;0,1,0)</f>
        <v>0</v>
      </c>
      <c r="M904" s="16" t="str">
        <f>IF($A904&lt;Notes!$B$5,"",IF(COUNTIFS(Release_Calendar!$A$2:$A$755,"NZ_CPI",Release_Calendar!$B$2:$B$755,$A904)&gt;0,1,0))</f>
        <v/>
      </c>
      <c r="N904" s="16" t="str">
        <f>IF($A904&lt;Notes!$B$5,"",IF(COUNTIFS(Release_Calendar!$A$2:$A$755,"NZ_GDP",Release_Calendar!$B$2:$B$755,$A904)&gt;0,1,0))</f>
        <v/>
      </c>
      <c r="O904" s="16" t="str">
        <f>IF($A904&lt;Notes!$B$5,"",IF(COUNTIFS(Release_Calendar!$A$2:$A$755,"NZ_LABOUR",Release_Calendar!$B$2:$B$755,$A904)&gt;0,1,0))</f>
        <v/>
      </c>
      <c r="P904" s="16">
        <f t="shared" si="4"/>
        <v>0</v>
      </c>
    </row>
    <row r="905" ht="15.75" customHeight="1">
      <c r="A905" s="14">
        <v>37791.0</v>
      </c>
      <c r="B905" s="15">
        <v>1.17</v>
      </c>
      <c r="C905" s="15"/>
      <c r="D905" s="15">
        <v>4.76</v>
      </c>
      <c r="E905" s="15"/>
      <c r="F905" s="15" t="str">
        <f t="shared" si="1"/>
        <v/>
      </c>
      <c r="G905" s="15">
        <f t="shared" si="2"/>
        <v>4.76</v>
      </c>
      <c r="H905" s="16">
        <v>1.0</v>
      </c>
      <c r="I905" s="15">
        <f t="shared" si="3"/>
        <v>3.59</v>
      </c>
      <c r="J905" s="15">
        <v>19.8</v>
      </c>
      <c r="K905" s="16">
        <f>IF(COUNTIFS(Release_Calendar!$A$2:$A$755,"US_CPI",Release_Calendar!$B$2:$B$755,$A905)&gt;0,1,0)</f>
        <v>0</v>
      </c>
      <c r="L905" s="16">
        <f>IF(COUNTIFS(Release_Calendar!$A$2:$A$755,"US_NFP",Release_Calendar!$B$2:$B$755,$A905)&gt;0,1,0)</f>
        <v>0</v>
      </c>
      <c r="M905" s="16" t="str">
        <f>IF($A905&lt;Notes!$B$5,"",IF(COUNTIFS(Release_Calendar!$A$2:$A$755,"NZ_CPI",Release_Calendar!$B$2:$B$755,$A905)&gt;0,1,0))</f>
        <v/>
      </c>
      <c r="N905" s="16" t="str">
        <f>IF($A905&lt;Notes!$B$5,"",IF(COUNTIFS(Release_Calendar!$A$2:$A$755,"NZ_GDP",Release_Calendar!$B$2:$B$755,$A905)&gt;0,1,0))</f>
        <v/>
      </c>
      <c r="O905" s="16" t="str">
        <f>IF($A905&lt;Notes!$B$5,"",IF(COUNTIFS(Release_Calendar!$A$2:$A$755,"NZ_LABOUR",Release_Calendar!$B$2:$B$755,$A905)&gt;0,1,0))</f>
        <v/>
      </c>
      <c r="P905" s="16">
        <f t="shared" si="4"/>
        <v>0</v>
      </c>
    </row>
    <row r="906" ht="15.75" customHeight="1">
      <c r="A906" s="14">
        <v>37792.0</v>
      </c>
      <c r="B906" s="15">
        <v>1.22</v>
      </c>
      <c r="C906" s="15"/>
      <c r="D906" s="15">
        <v>4.73</v>
      </c>
      <c r="E906" s="15"/>
      <c r="F906" s="15" t="str">
        <f t="shared" si="1"/>
        <v/>
      </c>
      <c r="G906" s="15">
        <f t="shared" si="2"/>
        <v>4.73</v>
      </c>
      <c r="H906" s="16">
        <v>1.0</v>
      </c>
      <c r="I906" s="15">
        <f t="shared" si="3"/>
        <v>3.51</v>
      </c>
      <c r="J906" s="15">
        <v>19.14</v>
      </c>
      <c r="K906" s="16">
        <f>IF(COUNTIFS(Release_Calendar!$A$2:$A$755,"US_CPI",Release_Calendar!$B$2:$B$755,$A906)&gt;0,1,0)</f>
        <v>0</v>
      </c>
      <c r="L906" s="16">
        <f>IF(COUNTIFS(Release_Calendar!$A$2:$A$755,"US_NFP",Release_Calendar!$B$2:$B$755,$A906)&gt;0,1,0)</f>
        <v>0</v>
      </c>
      <c r="M906" s="16" t="str">
        <f>IF($A906&lt;Notes!$B$5,"",IF(COUNTIFS(Release_Calendar!$A$2:$A$755,"NZ_CPI",Release_Calendar!$B$2:$B$755,$A906)&gt;0,1,0))</f>
        <v/>
      </c>
      <c r="N906" s="16" t="str">
        <f>IF($A906&lt;Notes!$B$5,"",IF(COUNTIFS(Release_Calendar!$A$2:$A$755,"NZ_GDP",Release_Calendar!$B$2:$B$755,$A906)&gt;0,1,0))</f>
        <v/>
      </c>
      <c r="O906" s="16" t="str">
        <f>IF($A906&lt;Notes!$B$5,"",IF(COUNTIFS(Release_Calendar!$A$2:$A$755,"NZ_LABOUR",Release_Calendar!$B$2:$B$755,$A906)&gt;0,1,0))</f>
        <v/>
      </c>
      <c r="P906" s="16">
        <f t="shared" si="4"/>
        <v>0</v>
      </c>
    </row>
    <row r="907" ht="15.75" customHeight="1">
      <c r="A907" s="14">
        <v>37795.0</v>
      </c>
      <c r="B907" s="15">
        <v>1.17</v>
      </c>
      <c r="C907" s="15"/>
      <c r="D907" s="15">
        <v>4.75</v>
      </c>
      <c r="E907" s="15"/>
      <c r="F907" s="15" t="str">
        <f t="shared" si="1"/>
        <v/>
      </c>
      <c r="G907" s="15">
        <f t="shared" si="2"/>
        <v>4.75</v>
      </c>
      <c r="H907" s="16">
        <v>1.0</v>
      </c>
      <c r="I907" s="15">
        <f t="shared" si="3"/>
        <v>3.58</v>
      </c>
      <c r="J907" s="15">
        <v>20.58</v>
      </c>
      <c r="K907" s="16">
        <f>IF(COUNTIFS(Release_Calendar!$A$2:$A$755,"US_CPI",Release_Calendar!$B$2:$B$755,$A907)&gt;0,1,0)</f>
        <v>0</v>
      </c>
      <c r="L907" s="16">
        <f>IF(COUNTIFS(Release_Calendar!$A$2:$A$755,"US_NFP",Release_Calendar!$B$2:$B$755,$A907)&gt;0,1,0)</f>
        <v>0</v>
      </c>
      <c r="M907" s="16" t="str">
        <f>IF($A907&lt;Notes!$B$5,"",IF(COUNTIFS(Release_Calendar!$A$2:$A$755,"NZ_CPI",Release_Calendar!$B$2:$B$755,$A907)&gt;0,1,0))</f>
        <v/>
      </c>
      <c r="N907" s="16" t="str">
        <f>IF($A907&lt;Notes!$B$5,"",IF(COUNTIFS(Release_Calendar!$A$2:$A$755,"NZ_GDP",Release_Calendar!$B$2:$B$755,$A907)&gt;0,1,0))</f>
        <v/>
      </c>
      <c r="O907" s="16" t="str">
        <f>IF($A907&lt;Notes!$B$5,"",IF(COUNTIFS(Release_Calendar!$A$2:$A$755,"NZ_LABOUR",Release_Calendar!$B$2:$B$755,$A907)&gt;0,1,0))</f>
        <v/>
      </c>
      <c r="P907" s="16">
        <f t="shared" si="4"/>
        <v>0</v>
      </c>
    </row>
    <row r="908" ht="15.75" customHeight="1">
      <c r="A908" s="14">
        <v>37796.0</v>
      </c>
      <c r="B908" s="15">
        <v>1.14</v>
      </c>
      <c r="C908" s="15"/>
      <c r="D908" s="15">
        <v>4.72</v>
      </c>
      <c r="E908" s="15"/>
      <c r="F908" s="15" t="str">
        <f t="shared" si="1"/>
        <v/>
      </c>
      <c r="G908" s="15">
        <f t="shared" si="2"/>
        <v>4.72</v>
      </c>
      <c r="H908" s="16">
        <v>1.0</v>
      </c>
      <c r="I908" s="15">
        <f t="shared" si="3"/>
        <v>3.58</v>
      </c>
      <c r="J908" s="15">
        <v>20.75</v>
      </c>
      <c r="K908" s="16">
        <f>IF(COUNTIFS(Release_Calendar!$A$2:$A$755,"US_CPI",Release_Calendar!$B$2:$B$755,$A908)&gt;0,1,0)</f>
        <v>0</v>
      </c>
      <c r="L908" s="16">
        <f>IF(COUNTIFS(Release_Calendar!$A$2:$A$755,"US_NFP",Release_Calendar!$B$2:$B$755,$A908)&gt;0,1,0)</f>
        <v>0</v>
      </c>
      <c r="M908" s="16" t="str">
        <f>IF($A908&lt;Notes!$B$5,"",IF(COUNTIFS(Release_Calendar!$A$2:$A$755,"NZ_CPI",Release_Calendar!$B$2:$B$755,$A908)&gt;0,1,0))</f>
        <v/>
      </c>
      <c r="N908" s="16" t="str">
        <f>IF($A908&lt;Notes!$B$5,"",IF(COUNTIFS(Release_Calendar!$A$2:$A$755,"NZ_GDP",Release_Calendar!$B$2:$B$755,$A908)&gt;0,1,0))</f>
        <v/>
      </c>
      <c r="O908" s="16" t="str">
        <f>IF($A908&lt;Notes!$B$5,"",IF(COUNTIFS(Release_Calendar!$A$2:$A$755,"NZ_LABOUR",Release_Calendar!$B$2:$B$755,$A908)&gt;0,1,0))</f>
        <v/>
      </c>
      <c r="P908" s="16">
        <f t="shared" si="4"/>
        <v>0</v>
      </c>
    </row>
    <row r="909" ht="15.75" customHeight="1">
      <c r="A909" s="14">
        <v>37797.0</v>
      </c>
      <c r="B909" s="15">
        <v>1.3</v>
      </c>
      <c r="C909" s="15"/>
      <c r="D909" s="15">
        <v>4.75</v>
      </c>
      <c r="E909" s="15"/>
      <c r="F909" s="15" t="str">
        <f t="shared" si="1"/>
        <v/>
      </c>
      <c r="G909" s="15">
        <f t="shared" si="2"/>
        <v>4.75</v>
      </c>
      <c r="H909" s="16">
        <v>1.0</v>
      </c>
      <c r="I909" s="15">
        <f t="shared" si="3"/>
        <v>3.45</v>
      </c>
      <c r="J909" s="15">
        <v>20.81</v>
      </c>
      <c r="K909" s="16">
        <f>IF(COUNTIFS(Release_Calendar!$A$2:$A$755,"US_CPI",Release_Calendar!$B$2:$B$755,$A909)&gt;0,1,0)</f>
        <v>0</v>
      </c>
      <c r="L909" s="16">
        <f>IF(COUNTIFS(Release_Calendar!$A$2:$A$755,"US_NFP",Release_Calendar!$B$2:$B$755,$A909)&gt;0,1,0)</f>
        <v>0</v>
      </c>
      <c r="M909" s="16" t="str">
        <f>IF($A909&lt;Notes!$B$5,"",IF(COUNTIFS(Release_Calendar!$A$2:$A$755,"NZ_CPI",Release_Calendar!$B$2:$B$755,$A909)&gt;0,1,0))</f>
        <v/>
      </c>
      <c r="N909" s="16" t="str">
        <f>IF($A909&lt;Notes!$B$5,"",IF(COUNTIFS(Release_Calendar!$A$2:$A$755,"NZ_GDP",Release_Calendar!$B$2:$B$755,$A909)&gt;0,1,0))</f>
        <v/>
      </c>
      <c r="O909" s="16" t="str">
        <f>IF($A909&lt;Notes!$B$5,"",IF(COUNTIFS(Release_Calendar!$A$2:$A$755,"NZ_LABOUR",Release_Calendar!$B$2:$B$755,$A909)&gt;0,1,0))</f>
        <v/>
      </c>
      <c r="P909" s="16">
        <f t="shared" si="4"/>
        <v>0</v>
      </c>
    </row>
    <row r="910" ht="15.75" customHeight="1">
      <c r="A910" s="14">
        <v>37798.0</v>
      </c>
      <c r="B910" s="15">
        <v>1.41</v>
      </c>
      <c r="C910" s="15"/>
      <c r="D910" s="15">
        <v>4.91</v>
      </c>
      <c r="E910" s="15"/>
      <c r="F910" s="15" t="str">
        <f t="shared" si="1"/>
        <v/>
      </c>
      <c r="G910" s="15">
        <f t="shared" si="2"/>
        <v>4.91</v>
      </c>
      <c r="H910" s="16">
        <v>1.0</v>
      </c>
      <c r="I910" s="15">
        <f t="shared" si="3"/>
        <v>3.5</v>
      </c>
      <c r="J910" s="15">
        <v>19.4</v>
      </c>
      <c r="K910" s="16">
        <f>IF(COUNTIFS(Release_Calendar!$A$2:$A$755,"US_CPI",Release_Calendar!$B$2:$B$755,$A910)&gt;0,1,0)</f>
        <v>0</v>
      </c>
      <c r="L910" s="16">
        <f>IF(COUNTIFS(Release_Calendar!$A$2:$A$755,"US_NFP",Release_Calendar!$B$2:$B$755,$A910)&gt;0,1,0)</f>
        <v>0</v>
      </c>
      <c r="M910" s="16" t="str">
        <f>IF($A910&lt;Notes!$B$5,"",IF(COUNTIFS(Release_Calendar!$A$2:$A$755,"NZ_CPI",Release_Calendar!$B$2:$B$755,$A910)&gt;0,1,0))</f>
        <v/>
      </c>
      <c r="N910" s="16" t="str">
        <f>IF($A910&lt;Notes!$B$5,"",IF(COUNTIFS(Release_Calendar!$A$2:$A$755,"NZ_GDP",Release_Calendar!$B$2:$B$755,$A910)&gt;0,1,0))</f>
        <v/>
      </c>
      <c r="O910" s="16" t="str">
        <f>IF($A910&lt;Notes!$B$5,"",IF(COUNTIFS(Release_Calendar!$A$2:$A$755,"NZ_LABOUR",Release_Calendar!$B$2:$B$755,$A910)&gt;0,1,0))</f>
        <v/>
      </c>
      <c r="P910" s="16">
        <f t="shared" si="4"/>
        <v>0</v>
      </c>
    </row>
    <row r="911" ht="15.75" customHeight="1">
      <c r="A911" s="14">
        <v>37799.0</v>
      </c>
      <c r="B911" s="15">
        <v>1.38</v>
      </c>
      <c r="C911" s="15"/>
      <c r="D911" s="15">
        <v>4.91</v>
      </c>
      <c r="E911" s="15"/>
      <c r="F911" s="15" t="str">
        <f t="shared" si="1"/>
        <v/>
      </c>
      <c r="G911" s="15">
        <f t="shared" si="2"/>
        <v>4.91</v>
      </c>
      <c r="H911" s="16">
        <v>1.0</v>
      </c>
      <c r="I911" s="15">
        <f t="shared" si="3"/>
        <v>3.53</v>
      </c>
      <c r="J911" s="15">
        <v>19.16</v>
      </c>
      <c r="K911" s="16">
        <f>IF(COUNTIFS(Release_Calendar!$A$2:$A$755,"US_CPI",Release_Calendar!$B$2:$B$755,$A911)&gt;0,1,0)</f>
        <v>0</v>
      </c>
      <c r="L911" s="16">
        <f>IF(COUNTIFS(Release_Calendar!$A$2:$A$755,"US_NFP",Release_Calendar!$B$2:$B$755,$A911)&gt;0,1,0)</f>
        <v>0</v>
      </c>
      <c r="M911" s="16" t="str">
        <f>IF($A911&lt;Notes!$B$5,"",IF(COUNTIFS(Release_Calendar!$A$2:$A$755,"NZ_CPI",Release_Calendar!$B$2:$B$755,$A911)&gt;0,1,0))</f>
        <v/>
      </c>
      <c r="N911" s="16" t="str">
        <f>IF($A911&lt;Notes!$B$5,"",IF(COUNTIFS(Release_Calendar!$A$2:$A$755,"NZ_GDP",Release_Calendar!$B$2:$B$755,$A911)&gt;0,1,0))</f>
        <v/>
      </c>
      <c r="O911" s="16" t="str">
        <f>IF($A911&lt;Notes!$B$5,"",IF(COUNTIFS(Release_Calendar!$A$2:$A$755,"NZ_LABOUR",Release_Calendar!$B$2:$B$755,$A911)&gt;0,1,0))</f>
        <v/>
      </c>
      <c r="P911" s="16">
        <f t="shared" si="4"/>
        <v>0</v>
      </c>
    </row>
    <row r="912" ht="15.75" customHeight="1">
      <c r="A912" s="14">
        <v>37802.0</v>
      </c>
      <c r="B912" s="15">
        <v>1.32</v>
      </c>
      <c r="C912" s="15"/>
      <c r="D912" s="15">
        <v>4.89</v>
      </c>
      <c r="E912" s="15"/>
      <c r="F912" s="15" t="str">
        <f t="shared" si="1"/>
        <v/>
      </c>
      <c r="G912" s="15">
        <f t="shared" si="2"/>
        <v>4.89</v>
      </c>
      <c r="H912" s="16">
        <v>1.0</v>
      </c>
      <c r="I912" s="15">
        <f t="shared" si="3"/>
        <v>3.57</v>
      </c>
      <c r="J912" s="15">
        <v>19.52</v>
      </c>
      <c r="K912" s="16">
        <f>IF(COUNTIFS(Release_Calendar!$A$2:$A$755,"US_CPI",Release_Calendar!$B$2:$B$755,$A912)&gt;0,1,0)</f>
        <v>0</v>
      </c>
      <c r="L912" s="16">
        <f>IF(COUNTIFS(Release_Calendar!$A$2:$A$755,"US_NFP",Release_Calendar!$B$2:$B$755,$A912)&gt;0,1,0)</f>
        <v>0</v>
      </c>
      <c r="M912" s="16" t="str">
        <f>IF($A912&lt;Notes!$B$5,"",IF(COUNTIFS(Release_Calendar!$A$2:$A$755,"NZ_CPI",Release_Calendar!$B$2:$B$755,$A912)&gt;0,1,0))</f>
        <v/>
      </c>
      <c r="N912" s="16" t="str">
        <f>IF($A912&lt;Notes!$B$5,"",IF(COUNTIFS(Release_Calendar!$A$2:$A$755,"NZ_GDP",Release_Calendar!$B$2:$B$755,$A912)&gt;0,1,0))</f>
        <v/>
      </c>
      <c r="O912" s="16" t="str">
        <f>IF($A912&lt;Notes!$B$5,"",IF(COUNTIFS(Release_Calendar!$A$2:$A$755,"NZ_LABOUR",Release_Calendar!$B$2:$B$755,$A912)&gt;0,1,0))</f>
        <v/>
      </c>
      <c r="P912" s="16">
        <f t="shared" si="4"/>
        <v>0</v>
      </c>
    </row>
    <row r="913" ht="15.75" customHeight="1">
      <c r="A913" s="14">
        <v>37803.0</v>
      </c>
      <c r="B913" s="15">
        <v>1.3</v>
      </c>
      <c r="C913" s="15"/>
      <c r="D913" s="15">
        <v>4.87</v>
      </c>
      <c r="E913" s="15"/>
      <c r="F913" s="15" t="str">
        <f t="shared" si="1"/>
        <v/>
      </c>
      <c r="G913" s="15">
        <f t="shared" si="2"/>
        <v>4.87</v>
      </c>
      <c r="H913" s="16">
        <v>1.0</v>
      </c>
      <c r="I913" s="15">
        <f t="shared" si="3"/>
        <v>3.57</v>
      </c>
      <c r="J913" s="15">
        <v>19.46</v>
      </c>
      <c r="K913" s="16">
        <f>IF(COUNTIFS(Release_Calendar!$A$2:$A$755,"US_CPI",Release_Calendar!$B$2:$B$755,$A913)&gt;0,1,0)</f>
        <v>0</v>
      </c>
      <c r="L913" s="16">
        <f>IF(COUNTIFS(Release_Calendar!$A$2:$A$755,"US_NFP",Release_Calendar!$B$2:$B$755,$A913)&gt;0,1,0)</f>
        <v>0</v>
      </c>
      <c r="M913" s="16" t="str">
        <f>IF($A913&lt;Notes!$B$5,"",IF(COUNTIFS(Release_Calendar!$A$2:$A$755,"NZ_CPI",Release_Calendar!$B$2:$B$755,$A913)&gt;0,1,0))</f>
        <v/>
      </c>
      <c r="N913" s="16" t="str">
        <f>IF($A913&lt;Notes!$B$5,"",IF(COUNTIFS(Release_Calendar!$A$2:$A$755,"NZ_GDP",Release_Calendar!$B$2:$B$755,$A913)&gt;0,1,0))</f>
        <v/>
      </c>
      <c r="O913" s="16" t="str">
        <f>IF($A913&lt;Notes!$B$5,"",IF(COUNTIFS(Release_Calendar!$A$2:$A$755,"NZ_LABOUR",Release_Calendar!$B$2:$B$755,$A913)&gt;0,1,0))</f>
        <v/>
      </c>
      <c r="P913" s="16">
        <f t="shared" si="4"/>
        <v>0</v>
      </c>
    </row>
    <row r="914" ht="15.75" customHeight="1">
      <c r="A914" s="14">
        <v>37804.0</v>
      </c>
      <c r="B914" s="15">
        <v>1.3</v>
      </c>
      <c r="C914" s="15"/>
      <c r="D914" s="15">
        <v>4.86</v>
      </c>
      <c r="E914" s="15"/>
      <c r="F914" s="15" t="str">
        <f t="shared" si="1"/>
        <v/>
      </c>
      <c r="G914" s="15">
        <f t="shared" si="2"/>
        <v>4.86</v>
      </c>
      <c r="H914" s="16">
        <v>1.0</v>
      </c>
      <c r="I914" s="15">
        <f t="shared" si="3"/>
        <v>3.56</v>
      </c>
      <c r="J914" s="15">
        <v>19.03</v>
      </c>
      <c r="K914" s="16">
        <f>IF(COUNTIFS(Release_Calendar!$A$2:$A$755,"US_CPI",Release_Calendar!$B$2:$B$755,$A914)&gt;0,1,0)</f>
        <v>0</v>
      </c>
      <c r="L914" s="16">
        <f>IF(COUNTIFS(Release_Calendar!$A$2:$A$755,"US_NFP",Release_Calendar!$B$2:$B$755,$A914)&gt;0,1,0)</f>
        <v>0</v>
      </c>
      <c r="M914" s="16" t="str">
        <f>IF($A914&lt;Notes!$B$5,"",IF(COUNTIFS(Release_Calendar!$A$2:$A$755,"NZ_CPI",Release_Calendar!$B$2:$B$755,$A914)&gt;0,1,0))</f>
        <v/>
      </c>
      <c r="N914" s="16" t="str">
        <f>IF($A914&lt;Notes!$B$5,"",IF(COUNTIFS(Release_Calendar!$A$2:$A$755,"NZ_GDP",Release_Calendar!$B$2:$B$755,$A914)&gt;0,1,0))</f>
        <v/>
      </c>
      <c r="O914" s="16" t="str">
        <f>IF($A914&lt;Notes!$B$5,"",IF(COUNTIFS(Release_Calendar!$A$2:$A$755,"NZ_LABOUR",Release_Calendar!$B$2:$B$755,$A914)&gt;0,1,0))</f>
        <v/>
      </c>
      <c r="P914" s="16">
        <f t="shared" si="4"/>
        <v>0</v>
      </c>
    </row>
    <row r="915" ht="15.75" customHeight="1">
      <c r="A915" s="14">
        <v>37805.0</v>
      </c>
      <c r="B915" s="15">
        <v>1.32</v>
      </c>
      <c r="C915" s="15"/>
      <c r="D915" s="15">
        <v>4.82</v>
      </c>
      <c r="E915" s="15"/>
      <c r="F915" s="15" t="str">
        <f t="shared" si="1"/>
        <v/>
      </c>
      <c r="G915" s="15">
        <f t="shared" si="2"/>
        <v>4.82</v>
      </c>
      <c r="H915" s="16">
        <v>1.0</v>
      </c>
      <c r="I915" s="15">
        <f t="shared" si="3"/>
        <v>3.5</v>
      </c>
      <c r="J915" s="15">
        <v>19.39</v>
      </c>
      <c r="K915" s="16">
        <f>IF(COUNTIFS(Release_Calendar!$A$2:$A$755,"US_CPI",Release_Calendar!$B$2:$B$755,$A915)&gt;0,1,0)</f>
        <v>0</v>
      </c>
      <c r="L915" s="16">
        <f>IF(COUNTIFS(Release_Calendar!$A$2:$A$755,"US_NFP",Release_Calendar!$B$2:$B$755,$A915)&gt;0,1,0)</f>
        <v>1</v>
      </c>
      <c r="M915" s="16" t="str">
        <f>IF($A915&lt;Notes!$B$5,"",IF(COUNTIFS(Release_Calendar!$A$2:$A$755,"NZ_CPI",Release_Calendar!$B$2:$B$755,$A915)&gt;0,1,0))</f>
        <v/>
      </c>
      <c r="N915" s="16" t="str">
        <f>IF($A915&lt;Notes!$B$5,"",IF(COUNTIFS(Release_Calendar!$A$2:$A$755,"NZ_GDP",Release_Calendar!$B$2:$B$755,$A915)&gt;0,1,0))</f>
        <v/>
      </c>
      <c r="O915" s="16" t="str">
        <f>IF($A915&lt;Notes!$B$5,"",IF(COUNTIFS(Release_Calendar!$A$2:$A$755,"NZ_LABOUR",Release_Calendar!$B$2:$B$755,$A915)&gt;0,1,0))</f>
        <v/>
      </c>
      <c r="P915" s="16">
        <f t="shared" si="4"/>
        <v>1</v>
      </c>
    </row>
    <row r="916" ht="15.75" customHeight="1">
      <c r="A916" s="14">
        <v>37806.0</v>
      </c>
      <c r="B916" s="15"/>
      <c r="C916" s="15"/>
      <c r="D916" s="15">
        <v>4.85</v>
      </c>
      <c r="E916" s="15"/>
      <c r="F916" s="15" t="str">
        <f t="shared" si="1"/>
        <v/>
      </c>
      <c r="G916" s="15">
        <f t="shared" si="2"/>
        <v>4.85</v>
      </c>
      <c r="H916" s="16">
        <v>1.0</v>
      </c>
      <c r="I916" s="15" t="str">
        <f t="shared" si="3"/>
        <v/>
      </c>
      <c r="J916" s="15"/>
      <c r="K916" s="16">
        <f>IF(COUNTIFS(Release_Calendar!$A$2:$A$755,"US_CPI",Release_Calendar!$B$2:$B$755,$A916)&gt;0,1,0)</f>
        <v>0</v>
      </c>
      <c r="L916" s="16">
        <f>IF(COUNTIFS(Release_Calendar!$A$2:$A$755,"US_NFP",Release_Calendar!$B$2:$B$755,$A916)&gt;0,1,0)</f>
        <v>0</v>
      </c>
      <c r="M916" s="16" t="str">
        <f>IF($A916&lt;Notes!$B$5,"",IF(COUNTIFS(Release_Calendar!$A$2:$A$755,"NZ_CPI",Release_Calendar!$B$2:$B$755,$A916)&gt;0,1,0))</f>
        <v/>
      </c>
      <c r="N916" s="16" t="str">
        <f>IF($A916&lt;Notes!$B$5,"",IF(COUNTIFS(Release_Calendar!$A$2:$A$755,"NZ_GDP",Release_Calendar!$B$2:$B$755,$A916)&gt;0,1,0))</f>
        <v/>
      </c>
      <c r="O916" s="16" t="str">
        <f>IF($A916&lt;Notes!$B$5,"",IF(COUNTIFS(Release_Calendar!$A$2:$A$755,"NZ_LABOUR",Release_Calendar!$B$2:$B$755,$A916)&gt;0,1,0))</f>
        <v/>
      </c>
      <c r="P916" s="16">
        <f t="shared" si="4"/>
        <v>0</v>
      </c>
    </row>
    <row r="917" ht="15.75" customHeight="1">
      <c r="A917" s="14">
        <v>37809.0</v>
      </c>
      <c r="B917" s="15">
        <v>1.36</v>
      </c>
      <c r="C917" s="15"/>
      <c r="D917" s="15">
        <v>4.84</v>
      </c>
      <c r="E917" s="15"/>
      <c r="F917" s="15" t="str">
        <f t="shared" si="1"/>
        <v/>
      </c>
      <c r="G917" s="15">
        <f t="shared" si="2"/>
        <v>4.84</v>
      </c>
      <c r="H917" s="16">
        <v>1.0</v>
      </c>
      <c r="I917" s="15">
        <f t="shared" si="3"/>
        <v>3.48</v>
      </c>
      <c r="J917" s="15">
        <v>20.06</v>
      </c>
      <c r="K917" s="16">
        <f>IF(COUNTIFS(Release_Calendar!$A$2:$A$755,"US_CPI",Release_Calendar!$B$2:$B$755,$A917)&gt;0,1,0)</f>
        <v>0</v>
      </c>
      <c r="L917" s="16">
        <f>IF(COUNTIFS(Release_Calendar!$A$2:$A$755,"US_NFP",Release_Calendar!$B$2:$B$755,$A917)&gt;0,1,0)</f>
        <v>0</v>
      </c>
      <c r="M917" s="16" t="str">
        <f>IF($A917&lt;Notes!$B$5,"",IF(COUNTIFS(Release_Calendar!$A$2:$A$755,"NZ_CPI",Release_Calendar!$B$2:$B$755,$A917)&gt;0,1,0))</f>
        <v/>
      </c>
      <c r="N917" s="16" t="str">
        <f>IF($A917&lt;Notes!$B$5,"",IF(COUNTIFS(Release_Calendar!$A$2:$A$755,"NZ_GDP",Release_Calendar!$B$2:$B$755,$A917)&gt;0,1,0))</f>
        <v/>
      </c>
      <c r="O917" s="16" t="str">
        <f>IF($A917&lt;Notes!$B$5,"",IF(COUNTIFS(Release_Calendar!$A$2:$A$755,"NZ_LABOUR",Release_Calendar!$B$2:$B$755,$A917)&gt;0,1,0))</f>
        <v/>
      </c>
      <c r="P917" s="16">
        <f t="shared" si="4"/>
        <v>0</v>
      </c>
    </row>
    <row r="918" ht="15.75" customHeight="1">
      <c r="A918" s="14">
        <v>37810.0</v>
      </c>
      <c r="B918" s="15">
        <v>1.39</v>
      </c>
      <c r="C918" s="15"/>
      <c r="D918" s="15">
        <v>4.87</v>
      </c>
      <c r="E918" s="15"/>
      <c r="F918" s="15" t="str">
        <f t="shared" si="1"/>
        <v/>
      </c>
      <c r="G918" s="15">
        <f t="shared" si="2"/>
        <v>4.87</v>
      </c>
      <c r="H918" s="16">
        <v>1.0</v>
      </c>
      <c r="I918" s="15">
        <f t="shared" si="3"/>
        <v>3.48</v>
      </c>
      <c r="J918" s="15">
        <v>19.48</v>
      </c>
      <c r="K918" s="16">
        <f>IF(COUNTIFS(Release_Calendar!$A$2:$A$755,"US_CPI",Release_Calendar!$B$2:$B$755,$A918)&gt;0,1,0)</f>
        <v>0</v>
      </c>
      <c r="L918" s="16">
        <f>IF(COUNTIFS(Release_Calendar!$A$2:$A$755,"US_NFP",Release_Calendar!$B$2:$B$755,$A918)&gt;0,1,0)</f>
        <v>0</v>
      </c>
      <c r="M918" s="16" t="str">
        <f>IF($A918&lt;Notes!$B$5,"",IF(COUNTIFS(Release_Calendar!$A$2:$A$755,"NZ_CPI",Release_Calendar!$B$2:$B$755,$A918)&gt;0,1,0))</f>
        <v/>
      </c>
      <c r="N918" s="16" t="str">
        <f>IF($A918&lt;Notes!$B$5,"",IF(COUNTIFS(Release_Calendar!$A$2:$A$755,"NZ_GDP",Release_Calendar!$B$2:$B$755,$A918)&gt;0,1,0))</f>
        <v/>
      </c>
      <c r="O918" s="16" t="str">
        <f>IF($A918&lt;Notes!$B$5,"",IF(COUNTIFS(Release_Calendar!$A$2:$A$755,"NZ_LABOUR",Release_Calendar!$B$2:$B$755,$A918)&gt;0,1,0))</f>
        <v/>
      </c>
      <c r="P918" s="16">
        <f t="shared" si="4"/>
        <v>0</v>
      </c>
    </row>
    <row r="919" ht="15.75" customHeight="1">
      <c r="A919" s="14">
        <v>37811.0</v>
      </c>
      <c r="B919" s="15">
        <v>1.37</v>
      </c>
      <c r="C919" s="15"/>
      <c r="D919" s="15">
        <v>4.87</v>
      </c>
      <c r="E919" s="15"/>
      <c r="F919" s="15" t="str">
        <f t="shared" si="1"/>
        <v/>
      </c>
      <c r="G919" s="15">
        <f t="shared" si="2"/>
        <v>4.87</v>
      </c>
      <c r="H919" s="16">
        <v>1.0</v>
      </c>
      <c r="I919" s="15">
        <f t="shared" si="3"/>
        <v>3.5</v>
      </c>
      <c r="J919" s="15">
        <v>18.93</v>
      </c>
      <c r="K919" s="16">
        <f>IF(COUNTIFS(Release_Calendar!$A$2:$A$755,"US_CPI",Release_Calendar!$B$2:$B$755,$A919)&gt;0,1,0)</f>
        <v>0</v>
      </c>
      <c r="L919" s="16">
        <f>IF(COUNTIFS(Release_Calendar!$A$2:$A$755,"US_NFP",Release_Calendar!$B$2:$B$755,$A919)&gt;0,1,0)</f>
        <v>0</v>
      </c>
      <c r="M919" s="16" t="str">
        <f>IF($A919&lt;Notes!$B$5,"",IF(COUNTIFS(Release_Calendar!$A$2:$A$755,"NZ_CPI",Release_Calendar!$B$2:$B$755,$A919)&gt;0,1,0))</f>
        <v/>
      </c>
      <c r="N919" s="16" t="str">
        <f>IF($A919&lt;Notes!$B$5,"",IF(COUNTIFS(Release_Calendar!$A$2:$A$755,"NZ_GDP",Release_Calendar!$B$2:$B$755,$A919)&gt;0,1,0))</f>
        <v/>
      </c>
      <c r="O919" s="16" t="str">
        <f>IF($A919&lt;Notes!$B$5,"",IF(COUNTIFS(Release_Calendar!$A$2:$A$755,"NZ_LABOUR",Release_Calendar!$B$2:$B$755,$A919)&gt;0,1,0))</f>
        <v/>
      </c>
      <c r="P919" s="16">
        <f t="shared" si="4"/>
        <v>0</v>
      </c>
    </row>
    <row r="920" ht="15.75" customHeight="1">
      <c r="A920" s="14">
        <v>37812.0</v>
      </c>
      <c r="B920" s="15">
        <v>1.33</v>
      </c>
      <c r="C920" s="15"/>
      <c r="D920" s="15">
        <v>4.86</v>
      </c>
      <c r="E920" s="15"/>
      <c r="F920" s="15" t="str">
        <f t="shared" si="1"/>
        <v/>
      </c>
      <c r="G920" s="15">
        <f t="shared" si="2"/>
        <v>4.86</v>
      </c>
      <c r="H920" s="16">
        <v>1.0</v>
      </c>
      <c r="I920" s="15">
        <f t="shared" si="3"/>
        <v>3.53</v>
      </c>
      <c r="J920" s="15">
        <v>19.19</v>
      </c>
      <c r="K920" s="16">
        <f>IF(COUNTIFS(Release_Calendar!$A$2:$A$755,"US_CPI",Release_Calendar!$B$2:$B$755,$A920)&gt;0,1,0)</f>
        <v>0</v>
      </c>
      <c r="L920" s="16">
        <f>IF(COUNTIFS(Release_Calendar!$A$2:$A$755,"US_NFP",Release_Calendar!$B$2:$B$755,$A920)&gt;0,1,0)</f>
        <v>0</v>
      </c>
      <c r="M920" s="16" t="str">
        <f>IF($A920&lt;Notes!$B$5,"",IF(COUNTIFS(Release_Calendar!$A$2:$A$755,"NZ_CPI",Release_Calendar!$B$2:$B$755,$A920)&gt;0,1,0))</f>
        <v/>
      </c>
      <c r="N920" s="16" t="str">
        <f>IF($A920&lt;Notes!$B$5,"",IF(COUNTIFS(Release_Calendar!$A$2:$A$755,"NZ_GDP",Release_Calendar!$B$2:$B$755,$A920)&gt;0,1,0))</f>
        <v/>
      </c>
      <c r="O920" s="16" t="str">
        <f>IF($A920&lt;Notes!$B$5,"",IF(COUNTIFS(Release_Calendar!$A$2:$A$755,"NZ_LABOUR",Release_Calendar!$B$2:$B$755,$A920)&gt;0,1,0))</f>
        <v/>
      </c>
      <c r="P920" s="16">
        <f t="shared" si="4"/>
        <v>0</v>
      </c>
    </row>
    <row r="921" ht="15.75" customHeight="1">
      <c r="A921" s="14">
        <v>37813.0</v>
      </c>
      <c r="B921" s="15">
        <v>1.29</v>
      </c>
      <c r="C921" s="15"/>
      <c r="D921" s="15">
        <v>4.83</v>
      </c>
      <c r="E921" s="15"/>
      <c r="F921" s="15" t="str">
        <f t="shared" si="1"/>
        <v/>
      </c>
      <c r="G921" s="15">
        <f t="shared" si="2"/>
        <v>4.83</v>
      </c>
      <c r="H921" s="16">
        <v>1.0</v>
      </c>
      <c r="I921" s="15">
        <f t="shared" si="3"/>
        <v>3.54</v>
      </c>
      <c r="J921" s="15">
        <v>18.47</v>
      </c>
      <c r="K921" s="16">
        <f>IF(COUNTIFS(Release_Calendar!$A$2:$A$755,"US_CPI",Release_Calendar!$B$2:$B$755,$A921)&gt;0,1,0)</f>
        <v>0</v>
      </c>
      <c r="L921" s="16">
        <f>IF(COUNTIFS(Release_Calendar!$A$2:$A$755,"US_NFP",Release_Calendar!$B$2:$B$755,$A921)&gt;0,1,0)</f>
        <v>0</v>
      </c>
      <c r="M921" s="16" t="str">
        <f>IF($A921&lt;Notes!$B$5,"",IF(COUNTIFS(Release_Calendar!$A$2:$A$755,"NZ_CPI",Release_Calendar!$B$2:$B$755,$A921)&gt;0,1,0))</f>
        <v/>
      </c>
      <c r="N921" s="16" t="str">
        <f>IF($A921&lt;Notes!$B$5,"",IF(COUNTIFS(Release_Calendar!$A$2:$A$755,"NZ_GDP",Release_Calendar!$B$2:$B$755,$A921)&gt;0,1,0))</f>
        <v/>
      </c>
      <c r="O921" s="16" t="str">
        <f>IF($A921&lt;Notes!$B$5,"",IF(COUNTIFS(Release_Calendar!$A$2:$A$755,"NZ_LABOUR",Release_Calendar!$B$2:$B$755,$A921)&gt;0,1,0))</f>
        <v/>
      </c>
      <c r="P921" s="16">
        <f t="shared" si="4"/>
        <v>0</v>
      </c>
    </row>
    <row r="922" ht="15.75" customHeight="1">
      <c r="A922" s="14">
        <v>37816.0</v>
      </c>
      <c r="B922" s="15">
        <v>1.35</v>
      </c>
      <c r="C922" s="15"/>
      <c r="D922" s="15">
        <v>4.8</v>
      </c>
      <c r="E922" s="15"/>
      <c r="F922" s="15" t="str">
        <f t="shared" si="1"/>
        <v/>
      </c>
      <c r="G922" s="15">
        <f t="shared" si="2"/>
        <v>4.8</v>
      </c>
      <c r="H922" s="16">
        <v>1.0</v>
      </c>
      <c r="I922" s="15">
        <f t="shared" si="3"/>
        <v>3.45</v>
      </c>
      <c r="J922" s="15">
        <v>19.59</v>
      </c>
      <c r="K922" s="16">
        <f>IF(COUNTIFS(Release_Calendar!$A$2:$A$755,"US_CPI",Release_Calendar!$B$2:$B$755,$A922)&gt;0,1,0)</f>
        <v>0</v>
      </c>
      <c r="L922" s="16">
        <f>IF(COUNTIFS(Release_Calendar!$A$2:$A$755,"US_NFP",Release_Calendar!$B$2:$B$755,$A922)&gt;0,1,0)</f>
        <v>0</v>
      </c>
      <c r="M922" s="16" t="str">
        <f>IF($A922&lt;Notes!$B$5,"",IF(COUNTIFS(Release_Calendar!$A$2:$A$755,"NZ_CPI",Release_Calendar!$B$2:$B$755,$A922)&gt;0,1,0))</f>
        <v/>
      </c>
      <c r="N922" s="16" t="str">
        <f>IF($A922&lt;Notes!$B$5,"",IF(COUNTIFS(Release_Calendar!$A$2:$A$755,"NZ_GDP",Release_Calendar!$B$2:$B$755,$A922)&gt;0,1,0))</f>
        <v/>
      </c>
      <c r="O922" s="16" t="str">
        <f>IF($A922&lt;Notes!$B$5,"",IF(COUNTIFS(Release_Calendar!$A$2:$A$755,"NZ_LABOUR",Release_Calendar!$B$2:$B$755,$A922)&gt;0,1,0))</f>
        <v/>
      </c>
      <c r="P922" s="16">
        <f t="shared" si="4"/>
        <v>0</v>
      </c>
    </row>
    <row r="923" ht="15.75" customHeight="1">
      <c r="A923" s="14">
        <v>37817.0</v>
      </c>
      <c r="B923" s="15">
        <v>1.45</v>
      </c>
      <c r="C923" s="15"/>
      <c r="D923" s="15">
        <v>4.78</v>
      </c>
      <c r="E923" s="15"/>
      <c r="F923" s="15" t="str">
        <f t="shared" si="1"/>
        <v/>
      </c>
      <c r="G923" s="15">
        <f t="shared" si="2"/>
        <v>4.78</v>
      </c>
      <c r="H923" s="16">
        <v>1.0</v>
      </c>
      <c r="I923" s="15">
        <f t="shared" si="3"/>
        <v>3.33</v>
      </c>
      <c r="J923" s="15">
        <v>19.55</v>
      </c>
      <c r="K923" s="16">
        <f>IF(COUNTIFS(Release_Calendar!$A$2:$A$755,"US_CPI",Release_Calendar!$B$2:$B$755,$A923)&gt;0,1,0)</f>
        <v>0</v>
      </c>
      <c r="L923" s="16">
        <f>IF(COUNTIFS(Release_Calendar!$A$2:$A$755,"US_NFP",Release_Calendar!$B$2:$B$755,$A923)&gt;0,1,0)</f>
        <v>0</v>
      </c>
      <c r="M923" s="16" t="str">
        <f>IF($A923&lt;Notes!$B$5,"",IF(COUNTIFS(Release_Calendar!$A$2:$A$755,"NZ_CPI",Release_Calendar!$B$2:$B$755,$A923)&gt;0,1,0))</f>
        <v/>
      </c>
      <c r="N923" s="16" t="str">
        <f>IF($A923&lt;Notes!$B$5,"",IF(COUNTIFS(Release_Calendar!$A$2:$A$755,"NZ_GDP",Release_Calendar!$B$2:$B$755,$A923)&gt;0,1,0))</f>
        <v/>
      </c>
      <c r="O923" s="16" t="str">
        <f>IF($A923&lt;Notes!$B$5,"",IF(COUNTIFS(Release_Calendar!$A$2:$A$755,"NZ_LABOUR",Release_Calendar!$B$2:$B$755,$A923)&gt;0,1,0))</f>
        <v/>
      </c>
      <c r="P923" s="16">
        <f t="shared" si="4"/>
        <v>0</v>
      </c>
    </row>
    <row r="924" ht="15.75" customHeight="1">
      <c r="A924" s="14">
        <v>37818.0</v>
      </c>
      <c r="B924" s="15">
        <v>1.49</v>
      </c>
      <c r="C924" s="15"/>
      <c r="D924" s="15">
        <v>4.88</v>
      </c>
      <c r="E924" s="15"/>
      <c r="F924" s="15" t="str">
        <f t="shared" si="1"/>
        <v/>
      </c>
      <c r="G924" s="15">
        <f t="shared" si="2"/>
        <v>4.88</v>
      </c>
      <c r="H924" s="16">
        <v>1.0</v>
      </c>
      <c r="I924" s="15">
        <f t="shared" si="3"/>
        <v>3.39</v>
      </c>
      <c r="J924" s="15">
        <v>19.76</v>
      </c>
      <c r="K924" s="16">
        <f>IF(COUNTIFS(Release_Calendar!$A$2:$A$755,"US_CPI",Release_Calendar!$B$2:$B$755,$A924)&gt;0,1,0)</f>
        <v>1</v>
      </c>
      <c r="L924" s="16">
        <f>IF(COUNTIFS(Release_Calendar!$A$2:$A$755,"US_NFP",Release_Calendar!$B$2:$B$755,$A924)&gt;0,1,0)</f>
        <v>0</v>
      </c>
      <c r="M924" s="16" t="str">
        <f>IF($A924&lt;Notes!$B$5,"",IF(COUNTIFS(Release_Calendar!$A$2:$A$755,"NZ_CPI",Release_Calendar!$B$2:$B$755,$A924)&gt;0,1,0))</f>
        <v/>
      </c>
      <c r="N924" s="16" t="str">
        <f>IF($A924&lt;Notes!$B$5,"",IF(COUNTIFS(Release_Calendar!$A$2:$A$755,"NZ_GDP",Release_Calendar!$B$2:$B$755,$A924)&gt;0,1,0))</f>
        <v/>
      </c>
      <c r="O924" s="16" t="str">
        <f>IF($A924&lt;Notes!$B$5,"",IF(COUNTIFS(Release_Calendar!$A$2:$A$755,"NZ_LABOUR",Release_Calendar!$B$2:$B$755,$A924)&gt;0,1,0))</f>
        <v/>
      </c>
      <c r="P924" s="16">
        <f t="shared" si="4"/>
        <v>1</v>
      </c>
    </row>
    <row r="925" ht="15.75" customHeight="1">
      <c r="A925" s="14">
        <v>37819.0</v>
      </c>
      <c r="B925" s="15">
        <v>1.47</v>
      </c>
      <c r="C925" s="15"/>
      <c r="D925" s="15">
        <v>4.9</v>
      </c>
      <c r="E925" s="15"/>
      <c r="F925" s="15" t="str">
        <f t="shared" si="1"/>
        <v/>
      </c>
      <c r="G925" s="15">
        <f t="shared" si="2"/>
        <v>4.9</v>
      </c>
      <c r="H925" s="16">
        <v>1.0</v>
      </c>
      <c r="I925" s="15">
        <f t="shared" si="3"/>
        <v>3.43</v>
      </c>
      <c r="J925" s="15">
        <v>20.22</v>
      </c>
      <c r="K925" s="16">
        <f>IF(COUNTIFS(Release_Calendar!$A$2:$A$755,"US_CPI",Release_Calendar!$B$2:$B$755,$A925)&gt;0,1,0)</f>
        <v>0</v>
      </c>
      <c r="L925" s="16">
        <f>IF(COUNTIFS(Release_Calendar!$A$2:$A$755,"US_NFP",Release_Calendar!$B$2:$B$755,$A925)&gt;0,1,0)</f>
        <v>0</v>
      </c>
      <c r="M925" s="16" t="str">
        <f>IF($A925&lt;Notes!$B$5,"",IF(COUNTIFS(Release_Calendar!$A$2:$A$755,"NZ_CPI",Release_Calendar!$B$2:$B$755,$A925)&gt;0,1,0))</f>
        <v/>
      </c>
      <c r="N925" s="16" t="str">
        <f>IF($A925&lt;Notes!$B$5,"",IF(COUNTIFS(Release_Calendar!$A$2:$A$755,"NZ_GDP",Release_Calendar!$B$2:$B$755,$A925)&gt;0,1,0))</f>
        <v/>
      </c>
      <c r="O925" s="16" t="str">
        <f>IF($A925&lt;Notes!$B$5,"",IF(COUNTIFS(Release_Calendar!$A$2:$A$755,"NZ_LABOUR",Release_Calendar!$B$2:$B$755,$A925)&gt;0,1,0))</f>
        <v/>
      </c>
      <c r="P925" s="16">
        <f t="shared" si="4"/>
        <v>0</v>
      </c>
    </row>
    <row r="926" ht="15.75" customHeight="1">
      <c r="A926" s="14">
        <v>37820.0</v>
      </c>
      <c r="B926" s="15">
        <v>1.51</v>
      </c>
      <c r="C926" s="15"/>
      <c r="D926" s="15">
        <v>4.93</v>
      </c>
      <c r="E926" s="15"/>
      <c r="F926" s="15" t="str">
        <f t="shared" si="1"/>
        <v/>
      </c>
      <c r="G926" s="15">
        <f t="shared" si="2"/>
        <v>4.93</v>
      </c>
      <c r="H926" s="16">
        <v>1.0</v>
      </c>
      <c r="I926" s="15">
        <f t="shared" si="3"/>
        <v>3.42</v>
      </c>
      <c r="J926" s="15">
        <v>19.11</v>
      </c>
      <c r="K926" s="16">
        <f>IF(COUNTIFS(Release_Calendar!$A$2:$A$755,"US_CPI",Release_Calendar!$B$2:$B$755,$A926)&gt;0,1,0)</f>
        <v>0</v>
      </c>
      <c r="L926" s="16">
        <f>IF(COUNTIFS(Release_Calendar!$A$2:$A$755,"US_NFP",Release_Calendar!$B$2:$B$755,$A926)&gt;0,1,0)</f>
        <v>0</v>
      </c>
      <c r="M926" s="16" t="str">
        <f>IF($A926&lt;Notes!$B$5,"",IF(COUNTIFS(Release_Calendar!$A$2:$A$755,"NZ_CPI",Release_Calendar!$B$2:$B$755,$A926)&gt;0,1,0))</f>
        <v/>
      </c>
      <c r="N926" s="16" t="str">
        <f>IF($A926&lt;Notes!$B$5,"",IF(COUNTIFS(Release_Calendar!$A$2:$A$755,"NZ_GDP",Release_Calendar!$B$2:$B$755,$A926)&gt;0,1,0))</f>
        <v/>
      </c>
      <c r="O926" s="16" t="str">
        <f>IF($A926&lt;Notes!$B$5,"",IF(COUNTIFS(Release_Calendar!$A$2:$A$755,"NZ_LABOUR",Release_Calendar!$B$2:$B$755,$A926)&gt;0,1,0))</f>
        <v/>
      </c>
      <c r="P926" s="16">
        <f t="shared" si="4"/>
        <v>0</v>
      </c>
    </row>
    <row r="927" ht="15.75" customHeight="1">
      <c r="A927" s="14">
        <v>37823.0</v>
      </c>
      <c r="B927" s="15">
        <v>1.61</v>
      </c>
      <c r="C927" s="15"/>
      <c r="D927" s="15">
        <v>4.95</v>
      </c>
      <c r="E927" s="15"/>
      <c r="F927" s="15" t="str">
        <f t="shared" si="1"/>
        <v/>
      </c>
      <c r="G927" s="15">
        <f t="shared" si="2"/>
        <v>4.95</v>
      </c>
      <c r="H927" s="16">
        <v>1.0</v>
      </c>
      <c r="I927" s="15">
        <f t="shared" si="3"/>
        <v>3.34</v>
      </c>
      <c r="J927" s="15">
        <v>19.78</v>
      </c>
      <c r="K927" s="16">
        <f>IF(COUNTIFS(Release_Calendar!$A$2:$A$755,"US_CPI",Release_Calendar!$B$2:$B$755,$A927)&gt;0,1,0)</f>
        <v>0</v>
      </c>
      <c r="L927" s="16">
        <f>IF(COUNTIFS(Release_Calendar!$A$2:$A$755,"US_NFP",Release_Calendar!$B$2:$B$755,$A927)&gt;0,1,0)</f>
        <v>0</v>
      </c>
      <c r="M927" s="16" t="str">
        <f>IF($A927&lt;Notes!$B$5,"",IF(COUNTIFS(Release_Calendar!$A$2:$A$755,"NZ_CPI",Release_Calendar!$B$2:$B$755,$A927)&gt;0,1,0))</f>
        <v/>
      </c>
      <c r="N927" s="16" t="str">
        <f>IF($A927&lt;Notes!$B$5,"",IF(COUNTIFS(Release_Calendar!$A$2:$A$755,"NZ_GDP",Release_Calendar!$B$2:$B$755,$A927)&gt;0,1,0))</f>
        <v/>
      </c>
      <c r="O927" s="16" t="str">
        <f>IF($A927&lt;Notes!$B$5,"",IF(COUNTIFS(Release_Calendar!$A$2:$A$755,"NZ_LABOUR",Release_Calendar!$B$2:$B$755,$A927)&gt;0,1,0))</f>
        <v/>
      </c>
      <c r="P927" s="16">
        <f t="shared" si="4"/>
        <v>0</v>
      </c>
    </row>
    <row r="928" ht="15.75" customHeight="1">
      <c r="A928" s="14">
        <v>37824.0</v>
      </c>
      <c r="B928" s="15">
        <v>1.57</v>
      </c>
      <c r="C928" s="15"/>
      <c r="D928" s="15">
        <v>5.04</v>
      </c>
      <c r="E928" s="15"/>
      <c r="F928" s="15" t="str">
        <f t="shared" si="1"/>
        <v/>
      </c>
      <c r="G928" s="15">
        <f t="shared" si="2"/>
        <v>5.04</v>
      </c>
      <c r="H928" s="16">
        <v>1.0</v>
      </c>
      <c r="I928" s="15">
        <f t="shared" si="3"/>
        <v>3.47</v>
      </c>
      <c r="J928" s="15">
        <v>19.17</v>
      </c>
      <c r="K928" s="16">
        <f>IF(COUNTIFS(Release_Calendar!$A$2:$A$755,"US_CPI",Release_Calendar!$B$2:$B$755,$A928)&gt;0,1,0)</f>
        <v>0</v>
      </c>
      <c r="L928" s="16">
        <f>IF(COUNTIFS(Release_Calendar!$A$2:$A$755,"US_NFP",Release_Calendar!$B$2:$B$755,$A928)&gt;0,1,0)</f>
        <v>0</v>
      </c>
      <c r="M928" s="16" t="str">
        <f>IF($A928&lt;Notes!$B$5,"",IF(COUNTIFS(Release_Calendar!$A$2:$A$755,"NZ_CPI",Release_Calendar!$B$2:$B$755,$A928)&gt;0,1,0))</f>
        <v/>
      </c>
      <c r="N928" s="16" t="str">
        <f>IF($A928&lt;Notes!$B$5,"",IF(COUNTIFS(Release_Calendar!$A$2:$A$755,"NZ_GDP",Release_Calendar!$B$2:$B$755,$A928)&gt;0,1,0))</f>
        <v/>
      </c>
      <c r="O928" s="16" t="str">
        <f>IF($A928&lt;Notes!$B$5,"",IF(COUNTIFS(Release_Calendar!$A$2:$A$755,"NZ_LABOUR",Release_Calendar!$B$2:$B$755,$A928)&gt;0,1,0))</f>
        <v/>
      </c>
      <c r="P928" s="16">
        <f t="shared" si="4"/>
        <v>0</v>
      </c>
    </row>
    <row r="929" ht="15.75" customHeight="1">
      <c r="A929" s="14">
        <v>37825.0</v>
      </c>
      <c r="B929" s="15">
        <v>1.54</v>
      </c>
      <c r="C929" s="15"/>
      <c r="D929" s="15">
        <v>5.0</v>
      </c>
      <c r="E929" s="15"/>
      <c r="F929" s="15" t="str">
        <f t="shared" si="1"/>
        <v/>
      </c>
      <c r="G929" s="15">
        <f t="shared" si="2"/>
        <v>5</v>
      </c>
      <c r="H929" s="16">
        <v>1.0</v>
      </c>
      <c r="I929" s="15">
        <f t="shared" si="3"/>
        <v>3.46</v>
      </c>
      <c r="J929" s="15">
        <v>18.64</v>
      </c>
      <c r="K929" s="16">
        <f>IF(COUNTIFS(Release_Calendar!$A$2:$A$755,"US_CPI",Release_Calendar!$B$2:$B$755,$A929)&gt;0,1,0)</f>
        <v>0</v>
      </c>
      <c r="L929" s="16">
        <f>IF(COUNTIFS(Release_Calendar!$A$2:$A$755,"US_NFP",Release_Calendar!$B$2:$B$755,$A929)&gt;0,1,0)</f>
        <v>0</v>
      </c>
      <c r="M929" s="16" t="str">
        <f>IF($A929&lt;Notes!$B$5,"",IF(COUNTIFS(Release_Calendar!$A$2:$A$755,"NZ_CPI",Release_Calendar!$B$2:$B$755,$A929)&gt;0,1,0))</f>
        <v/>
      </c>
      <c r="N929" s="16" t="str">
        <f>IF($A929&lt;Notes!$B$5,"",IF(COUNTIFS(Release_Calendar!$A$2:$A$755,"NZ_GDP",Release_Calendar!$B$2:$B$755,$A929)&gt;0,1,0))</f>
        <v/>
      </c>
      <c r="O929" s="16" t="str">
        <f>IF($A929&lt;Notes!$B$5,"",IF(COUNTIFS(Release_Calendar!$A$2:$A$755,"NZ_LABOUR",Release_Calendar!$B$2:$B$755,$A929)&gt;0,1,0))</f>
        <v/>
      </c>
      <c r="P929" s="16">
        <f t="shared" si="4"/>
        <v>0</v>
      </c>
    </row>
    <row r="930" ht="15.75" customHeight="1">
      <c r="A930" s="14">
        <v>37826.0</v>
      </c>
      <c r="B930" s="15">
        <v>1.54</v>
      </c>
      <c r="C930" s="15"/>
      <c r="D930" s="15">
        <v>4.96</v>
      </c>
      <c r="E930" s="15"/>
      <c r="F930" s="15" t="str">
        <f t="shared" si="1"/>
        <v/>
      </c>
      <c r="G930" s="15">
        <f t="shared" si="2"/>
        <v>4.96</v>
      </c>
      <c r="H930" s="16">
        <v>1.0</v>
      </c>
      <c r="I930" s="15">
        <f t="shared" si="3"/>
        <v>3.42</v>
      </c>
      <c r="J930" s="15">
        <v>18.6</v>
      </c>
      <c r="K930" s="16">
        <f>IF(COUNTIFS(Release_Calendar!$A$2:$A$755,"US_CPI",Release_Calendar!$B$2:$B$755,$A930)&gt;0,1,0)</f>
        <v>0</v>
      </c>
      <c r="L930" s="16">
        <f>IF(COUNTIFS(Release_Calendar!$A$2:$A$755,"US_NFP",Release_Calendar!$B$2:$B$755,$A930)&gt;0,1,0)</f>
        <v>0</v>
      </c>
      <c r="M930" s="16" t="str">
        <f>IF($A930&lt;Notes!$B$5,"",IF(COUNTIFS(Release_Calendar!$A$2:$A$755,"NZ_CPI",Release_Calendar!$B$2:$B$755,$A930)&gt;0,1,0))</f>
        <v/>
      </c>
      <c r="N930" s="16" t="str">
        <f>IF($A930&lt;Notes!$B$5,"",IF(COUNTIFS(Release_Calendar!$A$2:$A$755,"NZ_GDP",Release_Calendar!$B$2:$B$755,$A930)&gt;0,1,0))</f>
        <v/>
      </c>
      <c r="O930" s="16" t="str">
        <f>IF($A930&lt;Notes!$B$5,"",IF(COUNTIFS(Release_Calendar!$A$2:$A$755,"NZ_LABOUR",Release_Calendar!$B$2:$B$755,$A930)&gt;0,1,0))</f>
        <v/>
      </c>
      <c r="P930" s="16">
        <f t="shared" si="4"/>
        <v>0</v>
      </c>
    </row>
    <row r="931" ht="15.75" customHeight="1">
      <c r="A931" s="14">
        <v>37827.0</v>
      </c>
      <c r="B931" s="15">
        <v>1.52</v>
      </c>
      <c r="C931" s="15"/>
      <c r="D931" s="15">
        <v>4.92</v>
      </c>
      <c r="E931" s="15"/>
      <c r="F931" s="15" t="str">
        <f t="shared" si="1"/>
        <v/>
      </c>
      <c r="G931" s="15">
        <f t="shared" si="2"/>
        <v>4.92</v>
      </c>
      <c r="H931" s="16">
        <v>1.0</v>
      </c>
      <c r="I931" s="15">
        <f t="shared" si="3"/>
        <v>3.4</v>
      </c>
      <c r="J931" s="15">
        <v>17.75</v>
      </c>
      <c r="K931" s="16">
        <f>IF(COUNTIFS(Release_Calendar!$A$2:$A$755,"US_CPI",Release_Calendar!$B$2:$B$755,$A931)&gt;0,1,0)</f>
        <v>0</v>
      </c>
      <c r="L931" s="16">
        <f>IF(COUNTIFS(Release_Calendar!$A$2:$A$755,"US_NFP",Release_Calendar!$B$2:$B$755,$A931)&gt;0,1,0)</f>
        <v>0</v>
      </c>
      <c r="M931" s="16" t="str">
        <f>IF($A931&lt;Notes!$B$5,"",IF(COUNTIFS(Release_Calendar!$A$2:$A$755,"NZ_CPI",Release_Calendar!$B$2:$B$755,$A931)&gt;0,1,0))</f>
        <v/>
      </c>
      <c r="N931" s="16" t="str">
        <f>IF($A931&lt;Notes!$B$5,"",IF(COUNTIFS(Release_Calendar!$A$2:$A$755,"NZ_GDP",Release_Calendar!$B$2:$B$755,$A931)&gt;0,1,0))</f>
        <v/>
      </c>
      <c r="O931" s="16" t="str">
        <f>IF($A931&lt;Notes!$B$5,"",IF(COUNTIFS(Release_Calendar!$A$2:$A$755,"NZ_LABOUR",Release_Calendar!$B$2:$B$755,$A931)&gt;0,1,0))</f>
        <v/>
      </c>
      <c r="P931" s="16">
        <f t="shared" si="4"/>
        <v>0</v>
      </c>
    </row>
    <row r="932" ht="15.75" customHeight="1">
      <c r="A932" s="14">
        <v>37830.0</v>
      </c>
      <c r="B932" s="15">
        <v>1.61</v>
      </c>
      <c r="C932" s="15"/>
      <c r="D932" s="15">
        <v>4.96</v>
      </c>
      <c r="E932" s="15"/>
      <c r="F932" s="15" t="str">
        <f t="shared" si="1"/>
        <v/>
      </c>
      <c r="G932" s="15">
        <f t="shared" si="2"/>
        <v>4.96</v>
      </c>
      <c r="H932" s="16">
        <v>1.0</v>
      </c>
      <c r="I932" s="15">
        <f t="shared" si="3"/>
        <v>3.35</v>
      </c>
      <c r="J932" s="15">
        <v>18.36</v>
      </c>
      <c r="K932" s="16">
        <f>IF(COUNTIFS(Release_Calendar!$A$2:$A$755,"US_CPI",Release_Calendar!$B$2:$B$755,$A932)&gt;0,1,0)</f>
        <v>0</v>
      </c>
      <c r="L932" s="16">
        <f>IF(COUNTIFS(Release_Calendar!$A$2:$A$755,"US_NFP",Release_Calendar!$B$2:$B$755,$A932)&gt;0,1,0)</f>
        <v>0</v>
      </c>
      <c r="M932" s="16" t="str">
        <f>IF($A932&lt;Notes!$B$5,"",IF(COUNTIFS(Release_Calendar!$A$2:$A$755,"NZ_CPI",Release_Calendar!$B$2:$B$755,$A932)&gt;0,1,0))</f>
        <v/>
      </c>
      <c r="N932" s="16" t="str">
        <f>IF($A932&lt;Notes!$B$5,"",IF(COUNTIFS(Release_Calendar!$A$2:$A$755,"NZ_GDP",Release_Calendar!$B$2:$B$755,$A932)&gt;0,1,0))</f>
        <v/>
      </c>
      <c r="O932" s="16" t="str">
        <f>IF($A932&lt;Notes!$B$5,"",IF(COUNTIFS(Release_Calendar!$A$2:$A$755,"NZ_LABOUR",Release_Calendar!$B$2:$B$755,$A932)&gt;0,1,0))</f>
        <v/>
      </c>
      <c r="P932" s="16">
        <f t="shared" si="4"/>
        <v>0</v>
      </c>
    </row>
    <row r="933" ht="15.75" customHeight="1">
      <c r="A933" s="14">
        <v>37831.0</v>
      </c>
      <c r="B933" s="15">
        <v>1.67</v>
      </c>
      <c r="C933" s="15"/>
      <c r="D933" s="15">
        <v>5.0</v>
      </c>
      <c r="E933" s="15"/>
      <c r="F933" s="15" t="str">
        <f t="shared" si="1"/>
        <v/>
      </c>
      <c r="G933" s="15">
        <f t="shared" si="2"/>
        <v>5</v>
      </c>
      <c r="H933" s="16">
        <v>1.0</v>
      </c>
      <c r="I933" s="15">
        <f t="shared" si="3"/>
        <v>3.33</v>
      </c>
      <c r="J933" s="15">
        <v>18.67</v>
      </c>
      <c r="K933" s="16">
        <f>IF(COUNTIFS(Release_Calendar!$A$2:$A$755,"US_CPI",Release_Calendar!$B$2:$B$755,$A933)&gt;0,1,0)</f>
        <v>0</v>
      </c>
      <c r="L933" s="16">
        <f>IF(COUNTIFS(Release_Calendar!$A$2:$A$755,"US_NFP",Release_Calendar!$B$2:$B$755,$A933)&gt;0,1,0)</f>
        <v>0</v>
      </c>
      <c r="M933" s="16" t="str">
        <f>IF($A933&lt;Notes!$B$5,"",IF(COUNTIFS(Release_Calendar!$A$2:$A$755,"NZ_CPI",Release_Calendar!$B$2:$B$755,$A933)&gt;0,1,0))</f>
        <v/>
      </c>
      <c r="N933" s="16" t="str">
        <f>IF($A933&lt;Notes!$B$5,"",IF(COUNTIFS(Release_Calendar!$A$2:$A$755,"NZ_GDP",Release_Calendar!$B$2:$B$755,$A933)&gt;0,1,0))</f>
        <v/>
      </c>
      <c r="O933" s="16" t="str">
        <f>IF($A933&lt;Notes!$B$5,"",IF(COUNTIFS(Release_Calendar!$A$2:$A$755,"NZ_LABOUR",Release_Calendar!$B$2:$B$755,$A933)&gt;0,1,0))</f>
        <v/>
      </c>
      <c r="P933" s="16">
        <f t="shared" si="4"/>
        <v>0</v>
      </c>
    </row>
    <row r="934" ht="15.75" customHeight="1">
      <c r="A934" s="14">
        <v>37832.0</v>
      </c>
      <c r="B934" s="15">
        <v>1.64</v>
      </c>
      <c r="C934" s="15"/>
      <c r="D934" s="15">
        <v>5.03</v>
      </c>
      <c r="E934" s="15"/>
      <c r="F934" s="15" t="str">
        <f t="shared" si="1"/>
        <v/>
      </c>
      <c r="G934" s="15">
        <f t="shared" si="2"/>
        <v>5.03</v>
      </c>
      <c r="H934" s="16">
        <v>1.0</v>
      </c>
      <c r="I934" s="15">
        <f t="shared" si="3"/>
        <v>3.39</v>
      </c>
      <c r="J934" s="15">
        <v>18.85</v>
      </c>
      <c r="K934" s="16">
        <f>IF(COUNTIFS(Release_Calendar!$A$2:$A$755,"US_CPI",Release_Calendar!$B$2:$B$755,$A934)&gt;0,1,0)</f>
        <v>0</v>
      </c>
      <c r="L934" s="16">
        <f>IF(COUNTIFS(Release_Calendar!$A$2:$A$755,"US_NFP",Release_Calendar!$B$2:$B$755,$A934)&gt;0,1,0)</f>
        <v>0</v>
      </c>
      <c r="M934" s="16" t="str">
        <f>IF($A934&lt;Notes!$B$5,"",IF(COUNTIFS(Release_Calendar!$A$2:$A$755,"NZ_CPI",Release_Calendar!$B$2:$B$755,$A934)&gt;0,1,0))</f>
        <v/>
      </c>
      <c r="N934" s="16" t="str">
        <f>IF($A934&lt;Notes!$B$5,"",IF(COUNTIFS(Release_Calendar!$A$2:$A$755,"NZ_GDP",Release_Calendar!$B$2:$B$755,$A934)&gt;0,1,0))</f>
        <v/>
      </c>
      <c r="O934" s="16" t="str">
        <f>IF($A934&lt;Notes!$B$5,"",IF(COUNTIFS(Release_Calendar!$A$2:$A$755,"NZ_LABOUR",Release_Calendar!$B$2:$B$755,$A934)&gt;0,1,0))</f>
        <v/>
      </c>
      <c r="P934" s="16">
        <f t="shared" si="4"/>
        <v>0</v>
      </c>
    </row>
    <row r="935" ht="15.75" customHeight="1">
      <c r="A935" s="14">
        <v>37833.0</v>
      </c>
      <c r="B935" s="15">
        <v>1.8</v>
      </c>
      <c r="C935" s="15"/>
      <c r="D935" s="15">
        <v>4.99</v>
      </c>
      <c r="E935" s="15"/>
      <c r="F935" s="15" t="str">
        <f t="shared" si="1"/>
        <v/>
      </c>
      <c r="G935" s="15">
        <f t="shared" si="2"/>
        <v>4.99</v>
      </c>
      <c r="H935" s="16">
        <v>1.0</v>
      </c>
      <c r="I935" s="15">
        <f t="shared" si="3"/>
        <v>3.19</v>
      </c>
      <c r="J935" s="15">
        <v>19.49</v>
      </c>
      <c r="K935" s="16">
        <f>IF(COUNTIFS(Release_Calendar!$A$2:$A$755,"US_CPI",Release_Calendar!$B$2:$B$755,$A935)&gt;0,1,0)</f>
        <v>0</v>
      </c>
      <c r="L935" s="16">
        <f>IF(COUNTIFS(Release_Calendar!$A$2:$A$755,"US_NFP",Release_Calendar!$B$2:$B$755,$A935)&gt;0,1,0)</f>
        <v>0</v>
      </c>
      <c r="M935" s="16" t="str">
        <f>IF($A935&lt;Notes!$B$5,"",IF(COUNTIFS(Release_Calendar!$A$2:$A$755,"NZ_CPI",Release_Calendar!$B$2:$B$755,$A935)&gt;0,1,0))</f>
        <v/>
      </c>
      <c r="N935" s="16" t="str">
        <f>IF($A935&lt;Notes!$B$5,"",IF(COUNTIFS(Release_Calendar!$A$2:$A$755,"NZ_GDP",Release_Calendar!$B$2:$B$755,$A935)&gt;0,1,0))</f>
        <v/>
      </c>
      <c r="O935" s="16" t="str">
        <f>IF($A935&lt;Notes!$B$5,"",IF(COUNTIFS(Release_Calendar!$A$2:$A$755,"NZ_LABOUR",Release_Calendar!$B$2:$B$755,$A935)&gt;0,1,0))</f>
        <v/>
      </c>
      <c r="P935" s="16">
        <f t="shared" si="4"/>
        <v>0</v>
      </c>
    </row>
    <row r="936" ht="15.75" customHeight="1">
      <c r="A936" s="14">
        <v>37834.0</v>
      </c>
      <c r="B936" s="15">
        <v>1.85</v>
      </c>
      <c r="C936" s="15"/>
      <c r="D936" s="15">
        <v>5.03</v>
      </c>
      <c r="E936" s="15"/>
      <c r="F936" s="15" t="str">
        <f t="shared" si="1"/>
        <v/>
      </c>
      <c r="G936" s="15">
        <f t="shared" si="2"/>
        <v>5.03</v>
      </c>
      <c r="H936" s="16">
        <v>1.0</v>
      </c>
      <c r="I936" s="15">
        <f t="shared" si="3"/>
        <v>3.18</v>
      </c>
      <c r="J936" s="15">
        <v>20.75</v>
      </c>
      <c r="K936" s="16">
        <f>IF(COUNTIFS(Release_Calendar!$A$2:$A$755,"US_CPI",Release_Calendar!$B$2:$B$755,$A936)&gt;0,1,0)</f>
        <v>0</v>
      </c>
      <c r="L936" s="16">
        <f>IF(COUNTIFS(Release_Calendar!$A$2:$A$755,"US_NFP",Release_Calendar!$B$2:$B$755,$A936)&gt;0,1,0)</f>
        <v>1</v>
      </c>
      <c r="M936" s="16" t="str">
        <f>IF($A936&lt;Notes!$B$5,"",IF(COUNTIFS(Release_Calendar!$A$2:$A$755,"NZ_CPI",Release_Calendar!$B$2:$B$755,$A936)&gt;0,1,0))</f>
        <v/>
      </c>
      <c r="N936" s="16" t="str">
        <f>IF($A936&lt;Notes!$B$5,"",IF(COUNTIFS(Release_Calendar!$A$2:$A$755,"NZ_GDP",Release_Calendar!$B$2:$B$755,$A936)&gt;0,1,0))</f>
        <v/>
      </c>
      <c r="O936" s="16" t="str">
        <f>IF($A936&lt;Notes!$B$5,"",IF(COUNTIFS(Release_Calendar!$A$2:$A$755,"NZ_LABOUR",Release_Calendar!$B$2:$B$755,$A936)&gt;0,1,0))</f>
        <v/>
      </c>
      <c r="P936" s="16">
        <f t="shared" si="4"/>
        <v>1</v>
      </c>
    </row>
    <row r="937" ht="15.75" customHeight="1">
      <c r="A937" s="14">
        <v>37837.0</v>
      </c>
      <c r="B937" s="15">
        <v>1.71</v>
      </c>
      <c r="C937" s="15"/>
      <c r="D937" s="15">
        <v>5.06</v>
      </c>
      <c r="E937" s="15"/>
      <c r="F937" s="15" t="str">
        <f t="shared" si="1"/>
        <v/>
      </c>
      <c r="G937" s="15">
        <f t="shared" si="2"/>
        <v>5.06</v>
      </c>
      <c r="H937" s="16">
        <v>1.0</v>
      </c>
      <c r="I937" s="15">
        <f t="shared" si="3"/>
        <v>3.35</v>
      </c>
      <c r="J937" s="15">
        <v>21.27</v>
      </c>
      <c r="K937" s="16">
        <f>IF(COUNTIFS(Release_Calendar!$A$2:$A$755,"US_CPI",Release_Calendar!$B$2:$B$755,$A937)&gt;0,1,0)</f>
        <v>0</v>
      </c>
      <c r="L937" s="16">
        <f>IF(COUNTIFS(Release_Calendar!$A$2:$A$755,"US_NFP",Release_Calendar!$B$2:$B$755,$A937)&gt;0,1,0)</f>
        <v>0</v>
      </c>
      <c r="M937" s="16" t="str">
        <f>IF($A937&lt;Notes!$B$5,"",IF(COUNTIFS(Release_Calendar!$A$2:$A$755,"NZ_CPI",Release_Calendar!$B$2:$B$755,$A937)&gt;0,1,0))</f>
        <v/>
      </c>
      <c r="N937" s="16" t="str">
        <f>IF($A937&lt;Notes!$B$5,"",IF(COUNTIFS(Release_Calendar!$A$2:$A$755,"NZ_GDP",Release_Calendar!$B$2:$B$755,$A937)&gt;0,1,0))</f>
        <v/>
      </c>
      <c r="O937" s="16" t="str">
        <f>IF($A937&lt;Notes!$B$5,"",IF(COUNTIFS(Release_Calendar!$A$2:$A$755,"NZ_LABOUR",Release_Calendar!$B$2:$B$755,$A937)&gt;0,1,0))</f>
        <v/>
      </c>
      <c r="P937" s="16">
        <f t="shared" si="4"/>
        <v>0</v>
      </c>
    </row>
    <row r="938" ht="15.75" customHeight="1">
      <c r="A938" s="14">
        <v>37838.0</v>
      </c>
      <c r="B938" s="15">
        <v>1.88</v>
      </c>
      <c r="C938" s="15"/>
      <c r="D938" s="15">
        <v>5.07</v>
      </c>
      <c r="E938" s="15"/>
      <c r="F938" s="15" t="str">
        <f t="shared" si="1"/>
        <v/>
      </c>
      <c r="G938" s="15">
        <f t="shared" si="2"/>
        <v>5.07</v>
      </c>
      <c r="H938" s="16">
        <v>1.0</v>
      </c>
      <c r="I938" s="15">
        <f t="shared" si="3"/>
        <v>3.19</v>
      </c>
      <c r="J938" s="15">
        <v>22.68</v>
      </c>
      <c r="K938" s="16">
        <f>IF(COUNTIFS(Release_Calendar!$A$2:$A$755,"US_CPI",Release_Calendar!$B$2:$B$755,$A938)&gt;0,1,0)</f>
        <v>0</v>
      </c>
      <c r="L938" s="16">
        <f>IF(COUNTIFS(Release_Calendar!$A$2:$A$755,"US_NFP",Release_Calendar!$B$2:$B$755,$A938)&gt;0,1,0)</f>
        <v>0</v>
      </c>
      <c r="M938" s="16" t="str">
        <f>IF($A938&lt;Notes!$B$5,"",IF(COUNTIFS(Release_Calendar!$A$2:$A$755,"NZ_CPI",Release_Calendar!$B$2:$B$755,$A938)&gt;0,1,0))</f>
        <v/>
      </c>
      <c r="N938" s="16" t="str">
        <f>IF($A938&lt;Notes!$B$5,"",IF(COUNTIFS(Release_Calendar!$A$2:$A$755,"NZ_GDP",Release_Calendar!$B$2:$B$755,$A938)&gt;0,1,0))</f>
        <v/>
      </c>
      <c r="O938" s="16" t="str">
        <f>IF($A938&lt;Notes!$B$5,"",IF(COUNTIFS(Release_Calendar!$A$2:$A$755,"NZ_LABOUR",Release_Calendar!$B$2:$B$755,$A938)&gt;0,1,0))</f>
        <v/>
      </c>
      <c r="P938" s="16">
        <f t="shared" si="4"/>
        <v>0</v>
      </c>
    </row>
    <row r="939" ht="15.75" customHeight="1">
      <c r="A939" s="14">
        <v>37839.0</v>
      </c>
      <c r="B939" s="15">
        <v>1.78</v>
      </c>
      <c r="C939" s="15"/>
      <c r="D939" s="15">
        <v>5.11</v>
      </c>
      <c r="E939" s="15"/>
      <c r="F939" s="15" t="str">
        <f t="shared" si="1"/>
        <v/>
      </c>
      <c r="G939" s="15">
        <f t="shared" si="2"/>
        <v>5.11</v>
      </c>
      <c r="H939" s="16">
        <v>1.0</v>
      </c>
      <c r="I939" s="15">
        <f t="shared" si="3"/>
        <v>3.33</v>
      </c>
      <c r="J939" s="15">
        <v>21.5</v>
      </c>
      <c r="K939" s="16">
        <f>IF(COUNTIFS(Release_Calendar!$A$2:$A$755,"US_CPI",Release_Calendar!$B$2:$B$755,$A939)&gt;0,1,0)</f>
        <v>0</v>
      </c>
      <c r="L939" s="16">
        <f>IF(COUNTIFS(Release_Calendar!$A$2:$A$755,"US_NFP",Release_Calendar!$B$2:$B$755,$A939)&gt;0,1,0)</f>
        <v>0</v>
      </c>
      <c r="M939" s="16" t="str">
        <f>IF($A939&lt;Notes!$B$5,"",IF(COUNTIFS(Release_Calendar!$A$2:$A$755,"NZ_CPI",Release_Calendar!$B$2:$B$755,$A939)&gt;0,1,0))</f>
        <v/>
      </c>
      <c r="N939" s="16" t="str">
        <f>IF($A939&lt;Notes!$B$5,"",IF(COUNTIFS(Release_Calendar!$A$2:$A$755,"NZ_GDP",Release_Calendar!$B$2:$B$755,$A939)&gt;0,1,0))</f>
        <v/>
      </c>
      <c r="O939" s="16" t="str">
        <f>IF($A939&lt;Notes!$B$5,"",IF(COUNTIFS(Release_Calendar!$A$2:$A$755,"NZ_LABOUR",Release_Calendar!$B$2:$B$755,$A939)&gt;0,1,0))</f>
        <v/>
      </c>
      <c r="P939" s="16">
        <f t="shared" si="4"/>
        <v>0</v>
      </c>
    </row>
    <row r="940" ht="15.75" customHeight="1">
      <c r="A940" s="14">
        <v>37840.0</v>
      </c>
      <c r="B940" s="15">
        <v>1.74</v>
      </c>
      <c r="C940" s="15"/>
      <c r="D940" s="15">
        <v>5.11</v>
      </c>
      <c r="E940" s="15"/>
      <c r="F940" s="15" t="str">
        <f t="shared" si="1"/>
        <v/>
      </c>
      <c r="G940" s="15">
        <f t="shared" si="2"/>
        <v>5.11</v>
      </c>
      <c r="H940" s="16">
        <v>1.0</v>
      </c>
      <c r="I940" s="15">
        <f t="shared" si="3"/>
        <v>3.37</v>
      </c>
      <c r="J940" s="15">
        <v>20.26</v>
      </c>
      <c r="K940" s="16">
        <f>IF(COUNTIFS(Release_Calendar!$A$2:$A$755,"US_CPI",Release_Calendar!$B$2:$B$755,$A940)&gt;0,1,0)</f>
        <v>0</v>
      </c>
      <c r="L940" s="16">
        <f>IF(COUNTIFS(Release_Calendar!$A$2:$A$755,"US_NFP",Release_Calendar!$B$2:$B$755,$A940)&gt;0,1,0)</f>
        <v>0</v>
      </c>
      <c r="M940" s="16" t="str">
        <f>IF($A940&lt;Notes!$B$5,"",IF(COUNTIFS(Release_Calendar!$A$2:$A$755,"NZ_CPI",Release_Calendar!$B$2:$B$755,$A940)&gt;0,1,0))</f>
        <v/>
      </c>
      <c r="N940" s="16" t="str">
        <f>IF($A940&lt;Notes!$B$5,"",IF(COUNTIFS(Release_Calendar!$A$2:$A$755,"NZ_GDP",Release_Calendar!$B$2:$B$755,$A940)&gt;0,1,0))</f>
        <v/>
      </c>
      <c r="O940" s="16" t="str">
        <f>IF($A940&lt;Notes!$B$5,"",IF(COUNTIFS(Release_Calendar!$A$2:$A$755,"NZ_LABOUR",Release_Calendar!$B$2:$B$755,$A940)&gt;0,1,0))</f>
        <v/>
      </c>
      <c r="P940" s="16">
        <f t="shared" si="4"/>
        <v>0</v>
      </c>
    </row>
    <row r="941" ht="15.75" customHeight="1">
      <c r="A941" s="14">
        <v>37841.0</v>
      </c>
      <c r="B941" s="15">
        <v>1.72</v>
      </c>
      <c r="C941" s="15"/>
      <c r="D941" s="15">
        <v>5.11</v>
      </c>
      <c r="E941" s="15"/>
      <c r="F941" s="15" t="str">
        <f t="shared" si="1"/>
        <v/>
      </c>
      <c r="G941" s="15">
        <f t="shared" si="2"/>
        <v>5.11</v>
      </c>
      <c r="H941" s="16">
        <v>1.0</v>
      </c>
      <c r="I941" s="15">
        <f t="shared" si="3"/>
        <v>3.39</v>
      </c>
      <c r="J941" s="15">
        <v>19.59</v>
      </c>
      <c r="K941" s="16">
        <f>IF(COUNTIFS(Release_Calendar!$A$2:$A$755,"US_CPI",Release_Calendar!$B$2:$B$755,$A941)&gt;0,1,0)</f>
        <v>0</v>
      </c>
      <c r="L941" s="16">
        <f>IF(COUNTIFS(Release_Calendar!$A$2:$A$755,"US_NFP",Release_Calendar!$B$2:$B$755,$A941)&gt;0,1,0)</f>
        <v>0</v>
      </c>
      <c r="M941" s="16" t="str">
        <f>IF($A941&lt;Notes!$B$5,"",IF(COUNTIFS(Release_Calendar!$A$2:$A$755,"NZ_CPI",Release_Calendar!$B$2:$B$755,$A941)&gt;0,1,0))</f>
        <v/>
      </c>
      <c r="N941" s="16" t="str">
        <f>IF($A941&lt;Notes!$B$5,"",IF(COUNTIFS(Release_Calendar!$A$2:$A$755,"NZ_GDP",Release_Calendar!$B$2:$B$755,$A941)&gt;0,1,0))</f>
        <v/>
      </c>
      <c r="O941" s="16" t="str">
        <f>IF($A941&lt;Notes!$B$5,"",IF(COUNTIFS(Release_Calendar!$A$2:$A$755,"NZ_LABOUR",Release_Calendar!$B$2:$B$755,$A941)&gt;0,1,0))</f>
        <v/>
      </c>
      <c r="P941" s="16">
        <f t="shared" si="4"/>
        <v>0</v>
      </c>
    </row>
    <row r="942" ht="15.75" customHeight="1">
      <c r="A942" s="14">
        <v>37844.0</v>
      </c>
      <c r="B942" s="15">
        <v>1.81</v>
      </c>
      <c r="C942" s="15"/>
      <c r="D942" s="15">
        <v>5.18</v>
      </c>
      <c r="E942" s="15"/>
      <c r="F942" s="15" t="str">
        <f t="shared" si="1"/>
        <v/>
      </c>
      <c r="G942" s="15">
        <f t="shared" si="2"/>
        <v>5.18</v>
      </c>
      <c r="H942" s="16">
        <v>1.0</v>
      </c>
      <c r="I942" s="15">
        <f t="shared" si="3"/>
        <v>3.37</v>
      </c>
      <c r="J942" s="15">
        <v>19.75</v>
      </c>
      <c r="K942" s="16">
        <f>IF(COUNTIFS(Release_Calendar!$A$2:$A$755,"US_CPI",Release_Calendar!$B$2:$B$755,$A942)&gt;0,1,0)</f>
        <v>0</v>
      </c>
      <c r="L942" s="16">
        <f>IF(COUNTIFS(Release_Calendar!$A$2:$A$755,"US_NFP",Release_Calendar!$B$2:$B$755,$A942)&gt;0,1,0)</f>
        <v>0</v>
      </c>
      <c r="M942" s="16" t="str">
        <f>IF($A942&lt;Notes!$B$5,"",IF(COUNTIFS(Release_Calendar!$A$2:$A$755,"NZ_CPI",Release_Calendar!$B$2:$B$755,$A942)&gt;0,1,0))</f>
        <v/>
      </c>
      <c r="N942" s="16" t="str">
        <f>IF($A942&lt;Notes!$B$5,"",IF(COUNTIFS(Release_Calendar!$A$2:$A$755,"NZ_GDP",Release_Calendar!$B$2:$B$755,$A942)&gt;0,1,0))</f>
        <v/>
      </c>
      <c r="O942" s="16" t="str">
        <f>IF($A942&lt;Notes!$B$5,"",IF(COUNTIFS(Release_Calendar!$A$2:$A$755,"NZ_LABOUR",Release_Calendar!$B$2:$B$755,$A942)&gt;0,1,0))</f>
        <v/>
      </c>
      <c r="P942" s="16">
        <f t="shared" si="4"/>
        <v>0</v>
      </c>
    </row>
    <row r="943" ht="15.75" customHeight="1">
      <c r="A943" s="14">
        <v>37845.0</v>
      </c>
      <c r="B943" s="15">
        <v>1.71</v>
      </c>
      <c r="C943" s="15"/>
      <c r="D943" s="15">
        <v>5.32</v>
      </c>
      <c r="E943" s="15"/>
      <c r="F943" s="15" t="str">
        <f t="shared" si="1"/>
        <v/>
      </c>
      <c r="G943" s="15">
        <f t="shared" si="2"/>
        <v>5.32</v>
      </c>
      <c r="H943" s="16">
        <v>1.0</v>
      </c>
      <c r="I943" s="15">
        <f t="shared" si="3"/>
        <v>3.61</v>
      </c>
      <c r="J943" s="15">
        <v>17.94</v>
      </c>
      <c r="K943" s="16">
        <f>IF(COUNTIFS(Release_Calendar!$A$2:$A$755,"US_CPI",Release_Calendar!$B$2:$B$755,$A943)&gt;0,1,0)</f>
        <v>0</v>
      </c>
      <c r="L943" s="16">
        <f>IF(COUNTIFS(Release_Calendar!$A$2:$A$755,"US_NFP",Release_Calendar!$B$2:$B$755,$A943)&gt;0,1,0)</f>
        <v>0</v>
      </c>
      <c r="M943" s="16" t="str">
        <f>IF($A943&lt;Notes!$B$5,"",IF(COUNTIFS(Release_Calendar!$A$2:$A$755,"NZ_CPI",Release_Calendar!$B$2:$B$755,$A943)&gt;0,1,0))</f>
        <v/>
      </c>
      <c r="N943" s="16" t="str">
        <f>IF($A943&lt;Notes!$B$5,"",IF(COUNTIFS(Release_Calendar!$A$2:$A$755,"NZ_GDP",Release_Calendar!$B$2:$B$755,$A943)&gt;0,1,0))</f>
        <v/>
      </c>
      <c r="O943" s="16" t="str">
        <f>IF($A943&lt;Notes!$B$5,"",IF(COUNTIFS(Release_Calendar!$A$2:$A$755,"NZ_LABOUR",Release_Calendar!$B$2:$B$755,$A943)&gt;0,1,0))</f>
        <v/>
      </c>
      <c r="P943" s="16">
        <f t="shared" si="4"/>
        <v>0</v>
      </c>
    </row>
    <row r="944" ht="15.75" customHeight="1">
      <c r="A944" s="14">
        <v>37846.0</v>
      </c>
      <c r="B944" s="15">
        <v>1.86</v>
      </c>
      <c r="C944" s="15"/>
      <c r="D944" s="15">
        <v>5.28</v>
      </c>
      <c r="E944" s="15"/>
      <c r="F944" s="15" t="str">
        <f t="shared" si="1"/>
        <v/>
      </c>
      <c r="G944" s="15">
        <f t="shared" si="2"/>
        <v>5.28</v>
      </c>
      <c r="H944" s="16">
        <v>1.0</v>
      </c>
      <c r="I944" s="15">
        <f t="shared" si="3"/>
        <v>3.42</v>
      </c>
      <c r="J944" s="15">
        <v>18.77</v>
      </c>
      <c r="K944" s="16">
        <f>IF(COUNTIFS(Release_Calendar!$A$2:$A$755,"US_CPI",Release_Calendar!$B$2:$B$755,$A944)&gt;0,1,0)</f>
        <v>0</v>
      </c>
      <c r="L944" s="16">
        <f>IF(COUNTIFS(Release_Calendar!$A$2:$A$755,"US_NFP",Release_Calendar!$B$2:$B$755,$A944)&gt;0,1,0)</f>
        <v>0</v>
      </c>
      <c r="M944" s="16" t="str">
        <f>IF($A944&lt;Notes!$B$5,"",IF(COUNTIFS(Release_Calendar!$A$2:$A$755,"NZ_CPI",Release_Calendar!$B$2:$B$755,$A944)&gt;0,1,0))</f>
        <v/>
      </c>
      <c r="N944" s="16" t="str">
        <f>IF($A944&lt;Notes!$B$5,"",IF(COUNTIFS(Release_Calendar!$A$2:$A$755,"NZ_GDP",Release_Calendar!$B$2:$B$755,$A944)&gt;0,1,0))</f>
        <v/>
      </c>
      <c r="O944" s="16" t="str">
        <f>IF($A944&lt;Notes!$B$5,"",IF(COUNTIFS(Release_Calendar!$A$2:$A$755,"NZ_LABOUR",Release_Calendar!$B$2:$B$755,$A944)&gt;0,1,0))</f>
        <v/>
      </c>
      <c r="P944" s="16">
        <f t="shared" si="4"/>
        <v>0</v>
      </c>
    </row>
    <row r="945" ht="15.75" customHeight="1">
      <c r="A945" s="14">
        <v>37847.0</v>
      </c>
      <c r="B945" s="15">
        <v>1.86</v>
      </c>
      <c r="C945" s="15"/>
      <c r="D945" s="15">
        <v>5.32</v>
      </c>
      <c r="E945" s="15"/>
      <c r="F945" s="15" t="str">
        <f t="shared" si="1"/>
        <v/>
      </c>
      <c r="G945" s="15">
        <f t="shared" si="2"/>
        <v>5.32</v>
      </c>
      <c r="H945" s="16">
        <v>1.0</v>
      </c>
      <c r="I945" s="15">
        <f t="shared" si="3"/>
        <v>3.46</v>
      </c>
      <c r="J945" s="15">
        <v>18.47</v>
      </c>
      <c r="K945" s="16">
        <f>IF(COUNTIFS(Release_Calendar!$A$2:$A$755,"US_CPI",Release_Calendar!$B$2:$B$755,$A945)&gt;0,1,0)</f>
        <v>0</v>
      </c>
      <c r="L945" s="16">
        <f>IF(COUNTIFS(Release_Calendar!$A$2:$A$755,"US_NFP",Release_Calendar!$B$2:$B$755,$A945)&gt;0,1,0)</f>
        <v>0</v>
      </c>
      <c r="M945" s="16" t="str">
        <f>IF($A945&lt;Notes!$B$5,"",IF(COUNTIFS(Release_Calendar!$A$2:$A$755,"NZ_CPI",Release_Calendar!$B$2:$B$755,$A945)&gt;0,1,0))</f>
        <v/>
      </c>
      <c r="N945" s="16" t="str">
        <f>IF($A945&lt;Notes!$B$5,"",IF(COUNTIFS(Release_Calendar!$A$2:$A$755,"NZ_GDP",Release_Calendar!$B$2:$B$755,$A945)&gt;0,1,0))</f>
        <v/>
      </c>
      <c r="O945" s="16" t="str">
        <f>IF($A945&lt;Notes!$B$5,"",IF(COUNTIFS(Release_Calendar!$A$2:$A$755,"NZ_LABOUR",Release_Calendar!$B$2:$B$755,$A945)&gt;0,1,0))</f>
        <v/>
      </c>
      <c r="P945" s="16">
        <f t="shared" si="4"/>
        <v>0</v>
      </c>
    </row>
    <row r="946" ht="15.75" customHeight="1">
      <c r="A946" s="14">
        <v>37848.0</v>
      </c>
      <c r="B946" s="15">
        <v>1.85</v>
      </c>
      <c r="C946" s="15"/>
      <c r="D946" s="15">
        <v>5.26</v>
      </c>
      <c r="E946" s="15"/>
      <c r="F946" s="15" t="str">
        <f t="shared" si="1"/>
        <v/>
      </c>
      <c r="G946" s="15">
        <f t="shared" si="2"/>
        <v>5.26</v>
      </c>
      <c r="H946" s="16">
        <v>1.0</v>
      </c>
      <c r="I946" s="15">
        <f t="shared" si="3"/>
        <v>3.41</v>
      </c>
      <c r="J946" s="15">
        <v>18.27</v>
      </c>
      <c r="K946" s="16">
        <f>IF(COUNTIFS(Release_Calendar!$A$2:$A$755,"US_CPI",Release_Calendar!$B$2:$B$755,$A946)&gt;0,1,0)</f>
        <v>1</v>
      </c>
      <c r="L946" s="16">
        <f>IF(COUNTIFS(Release_Calendar!$A$2:$A$755,"US_NFP",Release_Calendar!$B$2:$B$755,$A946)&gt;0,1,0)</f>
        <v>0</v>
      </c>
      <c r="M946" s="16" t="str">
        <f>IF($A946&lt;Notes!$B$5,"",IF(COUNTIFS(Release_Calendar!$A$2:$A$755,"NZ_CPI",Release_Calendar!$B$2:$B$755,$A946)&gt;0,1,0))</f>
        <v/>
      </c>
      <c r="N946" s="16" t="str">
        <f>IF($A946&lt;Notes!$B$5,"",IF(COUNTIFS(Release_Calendar!$A$2:$A$755,"NZ_GDP",Release_Calendar!$B$2:$B$755,$A946)&gt;0,1,0))</f>
        <v/>
      </c>
      <c r="O946" s="16" t="str">
        <f>IF($A946&lt;Notes!$B$5,"",IF(COUNTIFS(Release_Calendar!$A$2:$A$755,"NZ_LABOUR",Release_Calendar!$B$2:$B$755,$A946)&gt;0,1,0))</f>
        <v/>
      </c>
      <c r="P946" s="16">
        <f t="shared" si="4"/>
        <v>1</v>
      </c>
    </row>
    <row r="947" ht="15.75" customHeight="1">
      <c r="A947" s="14">
        <v>37851.0</v>
      </c>
      <c r="B947" s="15">
        <v>1.87</v>
      </c>
      <c r="C947" s="15"/>
      <c r="D947" s="15">
        <v>5.26</v>
      </c>
      <c r="E947" s="15"/>
      <c r="F947" s="15" t="str">
        <f t="shared" si="1"/>
        <v/>
      </c>
      <c r="G947" s="15">
        <f t="shared" si="2"/>
        <v>5.26</v>
      </c>
      <c r="H947" s="16">
        <v>1.0</v>
      </c>
      <c r="I947" s="15">
        <f t="shared" si="3"/>
        <v>3.39</v>
      </c>
      <c r="J947" s="15">
        <v>18.18</v>
      </c>
      <c r="K947" s="16">
        <f>IF(COUNTIFS(Release_Calendar!$A$2:$A$755,"US_CPI",Release_Calendar!$B$2:$B$755,$A947)&gt;0,1,0)</f>
        <v>0</v>
      </c>
      <c r="L947" s="16">
        <f>IF(COUNTIFS(Release_Calendar!$A$2:$A$755,"US_NFP",Release_Calendar!$B$2:$B$755,$A947)&gt;0,1,0)</f>
        <v>0</v>
      </c>
      <c r="M947" s="16" t="str">
        <f>IF($A947&lt;Notes!$B$5,"",IF(COUNTIFS(Release_Calendar!$A$2:$A$755,"NZ_CPI",Release_Calendar!$B$2:$B$755,$A947)&gt;0,1,0))</f>
        <v/>
      </c>
      <c r="N947" s="16" t="str">
        <f>IF($A947&lt;Notes!$B$5,"",IF(COUNTIFS(Release_Calendar!$A$2:$A$755,"NZ_GDP",Release_Calendar!$B$2:$B$755,$A947)&gt;0,1,0))</f>
        <v/>
      </c>
      <c r="O947" s="16" t="str">
        <f>IF($A947&lt;Notes!$B$5,"",IF(COUNTIFS(Release_Calendar!$A$2:$A$755,"NZ_LABOUR",Release_Calendar!$B$2:$B$755,$A947)&gt;0,1,0))</f>
        <v/>
      </c>
      <c r="P947" s="16">
        <f t="shared" si="4"/>
        <v>0</v>
      </c>
    </row>
    <row r="948" ht="15.75" customHeight="1">
      <c r="A948" s="14">
        <v>37852.0</v>
      </c>
      <c r="B948" s="15">
        <v>1.81</v>
      </c>
      <c r="C948" s="15"/>
      <c r="D948" s="15">
        <v>5.23</v>
      </c>
      <c r="E948" s="15"/>
      <c r="F948" s="15" t="str">
        <f t="shared" si="1"/>
        <v/>
      </c>
      <c r="G948" s="15">
        <f t="shared" si="2"/>
        <v>5.23</v>
      </c>
      <c r="H948" s="16">
        <v>1.0</v>
      </c>
      <c r="I948" s="15">
        <f t="shared" si="3"/>
        <v>3.42</v>
      </c>
      <c r="J948" s="15">
        <v>17.86</v>
      </c>
      <c r="K948" s="16">
        <f>IF(COUNTIFS(Release_Calendar!$A$2:$A$755,"US_CPI",Release_Calendar!$B$2:$B$755,$A948)&gt;0,1,0)</f>
        <v>0</v>
      </c>
      <c r="L948" s="16">
        <f>IF(COUNTIFS(Release_Calendar!$A$2:$A$755,"US_NFP",Release_Calendar!$B$2:$B$755,$A948)&gt;0,1,0)</f>
        <v>0</v>
      </c>
      <c r="M948" s="16" t="str">
        <f>IF($A948&lt;Notes!$B$5,"",IF(COUNTIFS(Release_Calendar!$A$2:$A$755,"NZ_CPI",Release_Calendar!$B$2:$B$755,$A948)&gt;0,1,0))</f>
        <v/>
      </c>
      <c r="N948" s="16" t="str">
        <f>IF($A948&lt;Notes!$B$5,"",IF(COUNTIFS(Release_Calendar!$A$2:$A$755,"NZ_GDP",Release_Calendar!$B$2:$B$755,$A948)&gt;0,1,0))</f>
        <v/>
      </c>
      <c r="O948" s="16" t="str">
        <f>IF($A948&lt;Notes!$B$5,"",IF(COUNTIFS(Release_Calendar!$A$2:$A$755,"NZ_LABOUR",Release_Calendar!$B$2:$B$755,$A948)&gt;0,1,0))</f>
        <v/>
      </c>
      <c r="P948" s="16">
        <f t="shared" si="4"/>
        <v>0</v>
      </c>
    </row>
    <row r="949" ht="15.75" customHeight="1">
      <c r="A949" s="14">
        <v>37853.0</v>
      </c>
      <c r="B949" s="15">
        <v>1.84</v>
      </c>
      <c r="C949" s="15"/>
      <c r="D949" s="15">
        <v>5.26</v>
      </c>
      <c r="E949" s="15"/>
      <c r="F949" s="15" t="str">
        <f t="shared" si="1"/>
        <v/>
      </c>
      <c r="G949" s="15">
        <f t="shared" si="2"/>
        <v>5.26</v>
      </c>
      <c r="H949" s="16">
        <v>1.0</v>
      </c>
      <c r="I949" s="15">
        <f t="shared" si="3"/>
        <v>3.42</v>
      </c>
      <c r="J949" s="15">
        <v>17.82</v>
      </c>
      <c r="K949" s="16">
        <f>IF(COUNTIFS(Release_Calendar!$A$2:$A$755,"US_CPI",Release_Calendar!$B$2:$B$755,$A949)&gt;0,1,0)</f>
        <v>0</v>
      </c>
      <c r="L949" s="16">
        <f>IF(COUNTIFS(Release_Calendar!$A$2:$A$755,"US_NFP",Release_Calendar!$B$2:$B$755,$A949)&gt;0,1,0)</f>
        <v>0</v>
      </c>
      <c r="M949" s="16" t="str">
        <f>IF($A949&lt;Notes!$B$5,"",IF(COUNTIFS(Release_Calendar!$A$2:$A$755,"NZ_CPI",Release_Calendar!$B$2:$B$755,$A949)&gt;0,1,0))</f>
        <v/>
      </c>
      <c r="N949" s="16" t="str">
        <f>IF($A949&lt;Notes!$B$5,"",IF(COUNTIFS(Release_Calendar!$A$2:$A$755,"NZ_GDP",Release_Calendar!$B$2:$B$755,$A949)&gt;0,1,0))</f>
        <v/>
      </c>
      <c r="O949" s="16" t="str">
        <f>IF($A949&lt;Notes!$B$5,"",IF(COUNTIFS(Release_Calendar!$A$2:$A$755,"NZ_LABOUR",Release_Calendar!$B$2:$B$755,$A949)&gt;0,1,0))</f>
        <v/>
      </c>
      <c r="P949" s="16">
        <f t="shared" si="4"/>
        <v>0</v>
      </c>
    </row>
    <row r="950" ht="15.75" customHeight="1">
      <c r="A950" s="14">
        <v>37854.0</v>
      </c>
      <c r="B950" s="15">
        <v>1.98</v>
      </c>
      <c r="C950" s="15"/>
      <c r="D950" s="15">
        <v>5.28</v>
      </c>
      <c r="E950" s="15"/>
      <c r="F950" s="15" t="str">
        <f t="shared" si="1"/>
        <v/>
      </c>
      <c r="G950" s="15">
        <f t="shared" si="2"/>
        <v>5.28</v>
      </c>
      <c r="H950" s="16">
        <v>1.0</v>
      </c>
      <c r="I950" s="15">
        <f t="shared" si="3"/>
        <v>3.3</v>
      </c>
      <c r="J950" s="15">
        <v>17.84</v>
      </c>
      <c r="K950" s="16">
        <f>IF(COUNTIFS(Release_Calendar!$A$2:$A$755,"US_CPI",Release_Calendar!$B$2:$B$755,$A950)&gt;0,1,0)</f>
        <v>0</v>
      </c>
      <c r="L950" s="16">
        <f>IF(COUNTIFS(Release_Calendar!$A$2:$A$755,"US_NFP",Release_Calendar!$B$2:$B$755,$A950)&gt;0,1,0)</f>
        <v>0</v>
      </c>
      <c r="M950" s="16" t="str">
        <f>IF($A950&lt;Notes!$B$5,"",IF(COUNTIFS(Release_Calendar!$A$2:$A$755,"NZ_CPI",Release_Calendar!$B$2:$B$755,$A950)&gt;0,1,0))</f>
        <v/>
      </c>
      <c r="N950" s="16" t="str">
        <f>IF($A950&lt;Notes!$B$5,"",IF(COUNTIFS(Release_Calendar!$A$2:$A$755,"NZ_GDP",Release_Calendar!$B$2:$B$755,$A950)&gt;0,1,0))</f>
        <v/>
      </c>
      <c r="O950" s="16" t="str">
        <f>IF($A950&lt;Notes!$B$5,"",IF(COUNTIFS(Release_Calendar!$A$2:$A$755,"NZ_LABOUR",Release_Calendar!$B$2:$B$755,$A950)&gt;0,1,0))</f>
        <v/>
      </c>
      <c r="P950" s="16">
        <f t="shared" si="4"/>
        <v>0</v>
      </c>
    </row>
    <row r="951" ht="15.75" customHeight="1">
      <c r="A951" s="14">
        <v>37855.0</v>
      </c>
      <c r="B951" s="15">
        <v>1.97</v>
      </c>
      <c r="C951" s="15"/>
      <c r="D951" s="15">
        <v>5.28</v>
      </c>
      <c r="E951" s="15"/>
      <c r="F951" s="15" t="str">
        <f t="shared" si="1"/>
        <v/>
      </c>
      <c r="G951" s="15">
        <f t="shared" si="2"/>
        <v>5.28</v>
      </c>
      <c r="H951" s="16">
        <v>1.0</v>
      </c>
      <c r="I951" s="15">
        <f t="shared" si="3"/>
        <v>3.31</v>
      </c>
      <c r="J951" s="15">
        <v>18.55</v>
      </c>
      <c r="K951" s="16">
        <f>IF(COUNTIFS(Release_Calendar!$A$2:$A$755,"US_CPI",Release_Calendar!$B$2:$B$755,$A951)&gt;0,1,0)</f>
        <v>0</v>
      </c>
      <c r="L951" s="16">
        <f>IF(COUNTIFS(Release_Calendar!$A$2:$A$755,"US_NFP",Release_Calendar!$B$2:$B$755,$A951)&gt;0,1,0)</f>
        <v>0</v>
      </c>
      <c r="M951" s="16" t="str">
        <f>IF($A951&lt;Notes!$B$5,"",IF(COUNTIFS(Release_Calendar!$A$2:$A$755,"NZ_CPI",Release_Calendar!$B$2:$B$755,$A951)&gt;0,1,0))</f>
        <v/>
      </c>
      <c r="N951" s="16" t="str">
        <f>IF($A951&lt;Notes!$B$5,"",IF(COUNTIFS(Release_Calendar!$A$2:$A$755,"NZ_GDP",Release_Calendar!$B$2:$B$755,$A951)&gt;0,1,0))</f>
        <v/>
      </c>
      <c r="O951" s="16" t="str">
        <f>IF($A951&lt;Notes!$B$5,"",IF(COUNTIFS(Release_Calendar!$A$2:$A$755,"NZ_LABOUR",Release_Calendar!$B$2:$B$755,$A951)&gt;0,1,0))</f>
        <v/>
      </c>
      <c r="P951" s="16">
        <f t="shared" si="4"/>
        <v>0</v>
      </c>
    </row>
    <row r="952" ht="15.75" customHeight="1">
      <c r="A952" s="14">
        <v>37858.0</v>
      </c>
      <c r="B952" s="15">
        <v>2.02</v>
      </c>
      <c r="C952" s="15"/>
      <c r="D952" s="15">
        <v>5.27</v>
      </c>
      <c r="E952" s="15"/>
      <c r="F952" s="15" t="str">
        <f t="shared" si="1"/>
        <v/>
      </c>
      <c r="G952" s="15">
        <f t="shared" si="2"/>
        <v>5.27</v>
      </c>
      <c r="H952" s="16">
        <v>1.0</v>
      </c>
      <c r="I952" s="15">
        <f t="shared" si="3"/>
        <v>3.25</v>
      </c>
      <c r="J952" s="15">
        <v>19.53</v>
      </c>
      <c r="K952" s="16">
        <f>IF(COUNTIFS(Release_Calendar!$A$2:$A$755,"US_CPI",Release_Calendar!$B$2:$B$755,$A952)&gt;0,1,0)</f>
        <v>0</v>
      </c>
      <c r="L952" s="16">
        <f>IF(COUNTIFS(Release_Calendar!$A$2:$A$755,"US_NFP",Release_Calendar!$B$2:$B$755,$A952)&gt;0,1,0)</f>
        <v>0</v>
      </c>
      <c r="M952" s="16" t="str">
        <f>IF($A952&lt;Notes!$B$5,"",IF(COUNTIFS(Release_Calendar!$A$2:$A$755,"NZ_CPI",Release_Calendar!$B$2:$B$755,$A952)&gt;0,1,0))</f>
        <v/>
      </c>
      <c r="N952" s="16" t="str">
        <f>IF($A952&lt;Notes!$B$5,"",IF(COUNTIFS(Release_Calendar!$A$2:$A$755,"NZ_GDP",Release_Calendar!$B$2:$B$755,$A952)&gt;0,1,0))</f>
        <v/>
      </c>
      <c r="O952" s="16" t="str">
        <f>IF($A952&lt;Notes!$B$5,"",IF(COUNTIFS(Release_Calendar!$A$2:$A$755,"NZ_LABOUR",Release_Calendar!$B$2:$B$755,$A952)&gt;0,1,0))</f>
        <v/>
      </c>
      <c r="P952" s="16">
        <f t="shared" si="4"/>
        <v>0</v>
      </c>
    </row>
    <row r="953" ht="15.75" customHeight="1">
      <c r="A953" s="14">
        <v>37859.0</v>
      </c>
      <c r="B953" s="15">
        <v>1.96</v>
      </c>
      <c r="C953" s="15"/>
      <c r="D953" s="15">
        <v>5.3</v>
      </c>
      <c r="E953" s="15"/>
      <c r="F953" s="15" t="str">
        <f t="shared" si="1"/>
        <v/>
      </c>
      <c r="G953" s="15">
        <f t="shared" si="2"/>
        <v>5.3</v>
      </c>
      <c r="H953" s="16">
        <v>1.0</v>
      </c>
      <c r="I953" s="15">
        <f t="shared" si="3"/>
        <v>3.34</v>
      </c>
      <c r="J953" s="15">
        <v>19.49</v>
      </c>
      <c r="K953" s="16">
        <f>IF(COUNTIFS(Release_Calendar!$A$2:$A$755,"US_CPI",Release_Calendar!$B$2:$B$755,$A953)&gt;0,1,0)</f>
        <v>0</v>
      </c>
      <c r="L953" s="16">
        <f>IF(COUNTIFS(Release_Calendar!$A$2:$A$755,"US_NFP",Release_Calendar!$B$2:$B$755,$A953)&gt;0,1,0)</f>
        <v>0</v>
      </c>
      <c r="M953" s="16" t="str">
        <f>IF($A953&lt;Notes!$B$5,"",IF(COUNTIFS(Release_Calendar!$A$2:$A$755,"NZ_CPI",Release_Calendar!$B$2:$B$755,$A953)&gt;0,1,0))</f>
        <v/>
      </c>
      <c r="N953" s="16" t="str">
        <f>IF($A953&lt;Notes!$B$5,"",IF(COUNTIFS(Release_Calendar!$A$2:$A$755,"NZ_GDP",Release_Calendar!$B$2:$B$755,$A953)&gt;0,1,0))</f>
        <v/>
      </c>
      <c r="O953" s="16" t="str">
        <f>IF($A953&lt;Notes!$B$5,"",IF(COUNTIFS(Release_Calendar!$A$2:$A$755,"NZ_LABOUR",Release_Calendar!$B$2:$B$755,$A953)&gt;0,1,0))</f>
        <v/>
      </c>
      <c r="P953" s="16">
        <f t="shared" si="4"/>
        <v>0</v>
      </c>
    </row>
    <row r="954" ht="15.75" customHeight="1">
      <c r="A954" s="14">
        <v>37860.0</v>
      </c>
      <c r="B954" s="15">
        <v>2.05</v>
      </c>
      <c r="C954" s="15"/>
      <c r="D954" s="15">
        <v>5.28</v>
      </c>
      <c r="E954" s="15"/>
      <c r="F954" s="15" t="str">
        <f t="shared" si="1"/>
        <v/>
      </c>
      <c r="G954" s="15">
        <f t="shared" si="2"/>
        <v>5.28</v>
      </c>
      <c r="H954" s="16">
        <v>1.0</v>
      </c>
      <c r="I954" s="15">
        <f t="shared" si="3"/>
        <v>3.23</v>
      </c>
      <c r="J954" s="15">
        <v>19.13</v>
      </c>
      <c r="K954" s="16">
        <f>IF(COUNTIFS(Release_Calendar!$A$2:$A$755,"US_CPI",Release_Calendar!$B$2:$B$755,$A954)&gt;0,1,0)</f>
        <v>0</v>
      </c>
      <c r="L954" s="16">
        <f>IF(COUNTIFS(Release_Calendar!$A$2:$A$755,"US_NFP",Release_Calendar!$B$2:$B$755,$A954)&gt;0,1,0)</f>
        <v>0</v>
      </c>
      <c r="M954" s="16" t="str">
        <f>IF($A954&lt;Notes!$B$5,"",IF(COUNTIFS(Release_Calendar!$A$2:$A$755,"NZ_CPI",Release_Calendar!$B$2:$B$755,$A954)&gt;0,1,0))</f>
        <v/>
      </c>
      <c r="N954" s="16" t="str">
        <f>IF($A954&lt;Notes!$B$5,"",IF(COUNTIFS(Release_Calendar!$A$2:$A$755,"NZ_GDP",Release_Calendar!$B$2:$B$755,$A954)&gt;0,1,0))</f>
        <v/>
      </c>
      <c r="O954" s="16" t="str">
        <f>IF($A954&lt;Notes!$B$5,"",IF(COUNTIFS(Release_Calendar!$A$2:$A$755,"NZ_LABOUR",Release_Calendar!$B$2:$B$755,$A954)&gt;0,1,0))</f>
        <v/>
      </c>
      <c r="P954" s="16">
        <f t="shared" si="4"/>
        <v>0</v>
      </c>
    </row>
    <row r="955" ht="15.75" customHeight="1">
      <c r="A955" s="14">
        <v>37861.0</v>
      </c>
      <c r="B955" s="15">
        <v>1.93</v>
      </c>
      <c r="C955" s="15"/>
      <c r="D955" s="15">
        <v>5.33</v>
      </c>
      <c r="E955" s="15"/>
      <c r="F955" s="15" t="str">
        <f t="shared" si="1"/>
        <v/>
      </c>
      <c r="G955" s="15">
        <f t="shared" si="2"/>
        <v>5.33</v>
      </c>
      <c r="H955" s="16">
        <v>1.0</v>
      </c>
      <c r="I955" s="15">
        <f t="shared" si="3"/>
        <v>3.4</v>
      </c>
      <c r="J955" s="15">
        <v>18.48</v>
      </c>
      <c r="K955" s="16">
        <f>IF(COUNTIFS(Release_Calendar!$A$2:$A$755,"US_CPI",Release_Calendar!$B$2:$B$755,$A955)&gt;0,1,0)</f>
        <v>0</v>
      </c>
      <c r="L955" s="16">
        <f>IF(COUNTIFS(Release_Calendar!$A$2:$A$755,"US_NFP",Release_Calendar!$B$2:$B$755,$A955)&gt;0,1,0)</f>
        <v>0</v>
      </c>
      <c r="M955" s="16" t="str">
        <f>IF($A955&lt;Notes!$B$5,"",IF(COUNTIFS(Release_Calendar!$A$2:$A$755,"NZ_CPI",Release_Calendar!$B$2:$B$755,$A955)&gt;0,1,0))</f>
        <v/>
      </c>
      <c r="N955" s="16" t="str">
        <f>IF($A955&lt;Notes!$B$5,"",IF(COUNTIFS(Release_Calendar!$A$2:$A$755,"NZ_GDP",Release_Calendar!$B$2:$B$755,$A955)&gt;0,1,0))</f>
        <v/>
      </c>
      <c r="O955" s="16" t="str">
        <f>IF($A955&lt;Notes!$B$5,"",IF(COUNTIFS(Release_Calendar!$A$2:$A$755,"NZ_LABOUR",Release_Calendar!$B$2:$B$755,$A955)&gt;0,1,0))</f>
        <v/>
      </c>
      <c r="P955" s="16">
        <f t="shared" si="4"/>
        <v>0</v>
      </c>
    </row>
    <row r="956" ht="15.75" customHeight="1">
      <c r="A956" s="14">
        <v>37862.0</v>
      </c>
      <c r="B956" s="15">
        <v>1.95</v>
      </c>
      <c r="C956" s="15"/>
      <c r="D956" s="15">
        <v>5.27</v>
      </c>
      <c r="E956" s="15"/>
      <c r="F956" s="15" t="str">
        <f t="shared" si="1"/>
        <v/>
      </c>
      <c r="G956" s="15">
        <f t="shared" si="2"/>
        <v>5.27</v>
      </c>
      <c r="H956" s="16">
        <v>1.0</v>
      </c>
      <c r="I956" s="15">
        <f t="shared" si="3"/>
        <v>3.32</v>
      </c>
      <c r="J956" s="15">
        <v>18.63</v>
      </c>
      <c r="K956" s="16">
        <f>IF(COUNTIFS(Release_Calendar!$A$2:$A$755,"US_CPI",Release_Calendar!$B$2:$B$755,$A956)&gt;0,1,0)</f>
        <v>0</v>
      </c>
      <c r="L956" s="16">
        <f>IF(COUNTIFS(Release_Calendar!$A$2:$A$755,"US_NFP",Release_Calendar!$B$2:$B$755,$A956)&gt;0,1,0)</f>
        <v>0</v>
      </c>
      <c r="M956" s="16" t="str">
        <f>IF($A956&lt;Notes!$B$5,"",IF(COUNTIFS(Release_Calendar!$A$2:$A$755,"NZ_CPI",Release_Calendar!$B$2:$B$755,$A956)&gt;0,1,0))</f>
        <v/>
      </c>
      <c r="N956" s="16" t="str">
        <f>IF($A956&lt;Notes!$B$5,"",IF(COUNTIFS(Release_Calendar!$A$2:$A$755,"NZ_GDP",Release_Calendar!$B$2:$B$755,$A956)&gt;0,1,0))</f>
        <v/>
      </c>
      <c r="O956" s="16" t="str">
        <f>IF($A956&lt;Notes!$B$5,"",IF(COUNTIFS(Release_Calendar!$A$2:$A$755,"NZ_LABOUR",Release_Calendar!$B$2:$B$755,$A956)&gt;0,1,0))</f>
        <v/>
      </c>
      <c r="P956" s="16">
        <f t="shared" si="4"/>
        <v>0</v>
      </c>
    </row>
    <row r="957" ht="15.75" customHeight="1">
      <c r="A957" s="14">
        <v>37865.0</v>
      </c>
      <c r="B957" s="15"/>
      <c r="C957" s="15"/>
      <c r="D957" s="15">
        <v>5.31</v>
      </c>
      <c r="E957" s="15"/>
      <c r="F957" s="15" t="str">
        <f t="shared" si="1"/>
        <v/>
      </c>
      <c r="G957" s="15">
        <f t="shared" si="2"/>
        <v>5.31</v>
      </c>
      <c r="H957" s="16">
        <v>1.0</v>
      </c>
      <c r="I957" s="15" t="str">
        <f t="shared" si="3"/>
        <v/>
      </c>
      <c r="J957" s="15"/>
      <c r="K957" s="16">
        <f>IF(COUNTIFS(Release_Calendar!$A$2:$A$755,"US_CPI",Release_Calendar!$B$2:$B$755,$A957)&gt;0,1,0)</f>
        <v>0</v>
      </c>
      <c r="L957" s="16">
        <f>IF(COUNTIFS(Release_Calendar!$A$2:$A$755,"US_NFP",Release_Calendar!$B$2:$B$755,$A957)&gt;0,1,0)</f>
        <v>0</v>
      </c>
      <c r="M957" s="16" t="str">
        <f>IF($A957&lt;Notes!$B$5,"",IF(COUNTIFS(Release_Calendar!$A$2:$A$755,"NZ_CPI",Release_Calendar!$B$2:$B$755,$A957)&gt;0,1,0))</f>
        <v/>
      </c>
      <c r="N957" s="16" t="str">
        <f>IF($A957&lt;Notes!$B$5,"",IF(COUNTIFS(Release_Calendar!$A$2:$A$755,"NZ_GDP",Release_Calendar!$B$2:$B$755,$A957)&gt;0,1,0))</f>
        <v/>
      </c>
      <c r="O957" s="16" t="str">
        <f>IF($A957&lt;Notes!$B$5,"",IF(COUNTIFS(Release_Calendar!$A$2:$A$755,"NZ_LABOUR",Release_Calendar!$B$2:$B$755,$A957)&gt;0,1,0))</f>
        <v/>
      </c>
      <c r="P957" s="16">
        <f t="shared" si="4"/>
        <v>0</v>
      </c>
    </row>
    <row r="958" ht="15.75" customHeight="1">
      <c r="A958" s="14">
        <v>37866.0</v>
      </c>
      <c r="B958" s="15">
        <v>2.04</v>
      </c>
      <c r="C958" s="15"/>
      <c r="D958" s="15">
        <v>5.33</v>
      </c>
      <c r="E958" s="15"/>
      <c r="F958" s="15" t="str">
        <f t="shared" si="1"/>
        <v/>
      </c>
      <c r="G958" s="15">
        <f t="shared" si="2"/>
        <v>5.33</v>
      </c>
      <c r="H958" s="16">
        <v>1.0</v>
      </c>
      <c r="I958" s="15">
        <f t="shared" si="3"/>
        <v>3.29</v>
      </c>
      <c r="J958" s="15">
        <v>19.02</v>
      </c>
      <c r="K958" s="16">
        <f>IF(COUNTIFS(Release_Calendar!$A$2:$A$755,"US_CPI",Release_Calendar!$B$2:$B$755,$A958)&gt;0,1,0)</f>
        <v>0</v>
      </c>
      <c r="L958" s="16">
        <f>IF(COUNTIFS(Release_Calendar!$A$2:$A$755,"US_NFP",Release_Calendar!$B$2:$B$755,$A958)&gt;0,1,0)</f>
        <v>0</v>
      </c>
      <c r="M958" s="16" t="str">
        <f>IF($A958&lt;Notes!$B$5,"",IF(COUNTIFS(Release_Calendar!$A$2:$A$755,"NZ_CPI",Release_Calendar!$B$2:$B$755,$A958)&gt;0,1,0))</f>
        <v/>
      </c>
      <c r="N958" s="16" t="str">
        <f>IF($A958&lt;Notes!$B$5,"",IF(COUNTIFS(Release_Calendar!$A$2:$A$755,"NZ_GDP",Release_Calendar!$B$2:$B$755,$A958)&gt;0,1,0))</f>
        <v/>
      </c>
      <c r="O958" s="16" t="str">
        <f>IF($A958&lt;Notes!$B$5,"",IF(COUNTIFS(Release_Calendar!$A$2:$A$755,"NZ_LABOUR",Release_Calendar!$B$2:$B$755,$A958)&gt;0,1,0))</f>
        <v/>
      </c>
      <c r="P958" s="16">
        <f t="shared" si="4"/>
        <v>0</v>
      </c>
    </row>
    <row r="959" ht="15.75" customHeight="1">
      <c r="A959" s="14">
        <v>37867.0</v>
      </c>
      <c r="B959" s="15">
        <v>2.02</v>
      </c>
      <c r="C959" s="15"/>
      <c r="D959" s="15">
        <v>5.41</v>
      </c>
      <c r="E959" s="15"/>
      <c r="F959" s="15" t="str">
        <f t="shared" si="1"/>
        <v/>
      </c>
      <c r="G959" s="15">
        <f t="shared" si="2"/>
        <v>5.41</v>
      </c>
      <c r="H959" s="16">
        <v>1.0</v>
      </c>
      <c r="I959" s="15">
        <f t="shared" si="3"/>
        <v>3.39</v>
      </c>
      <c r="J959" s="15">
        <v>19.44</v>
      </c>
      <c r="K959" s="16">
        <f>IF(COUNTIFS(Release_Calendar!$A$2:$A$755,"US_CPI",Release_Calendar!$B$2:$B$755,$A959)&gt;0,1,0)</f>
        <v>0</v>
      </c>
      <c r="L959" s="16">
        <f>IF(COUNTIFS(Release_Calendar!$A$2:$A$755,"US_NFP",Release_Calendar!$B$2:$B$755,$A959)&gt;0,1,0)</f>
        <v>0</v>
      </c>
      <c r="M959" s="16" t="str">
        <f>IF($A959&lt;Notes!$B$5,"",IF(COUNTIFS(Release_Calendar!$A$2:$A$755,"NZ_CPI",Release_Calendar!$B$2:$B$755,$A959)&gt;0,1,0))</f>
        <v/>
      </c>
      <c r="N959" s="16" t="str">
        <f>IF($A959&lt;Notes!$B$5,"",IF(COUNTIFS(Release_Calendar!$A$2:$A$755,"NZ_GDP",Release_Calendar!$B$2:$B$755,$A959)&gt;0,1,0))</f>
        <v/>
      </c>
      <c r="O959" s="16" t="str">
        <f>IF($A959&lt;Notes!$B$5,"",IF(COUNTIFS(Release_Calendar!$A$2:$A$755,"NZ_LABOUR",Release_Calendar!$B$2:$B$755,$A959)&gt;0,1,0))</f>
        <v/>
      </c>
      <c r="P959" s="16">
        <f t="shared" si="4"/>
        <v>0</v>
      </c>
    </row>
    <row r="960" ht="15.75" customHeight="1">
      <c r="A960" s="14">
        <v>37868.0</v>
      </c>
      <c r="B960" s="15">
        <v>1.91</v>
      </c>
      <c r="C960" s="15"/>
      <c r="D960" s="15">
        <v>5.41</v>
      </c>
      <c r="E960" s="15"/>
      <c r="F960" s="15" t="str">
        <f t="shared" si="1"/>
        <v/>
      </c>
      <c r="G960" s="15">
        <f t="shared" si="2"/>
        <v>5.41</v>
      </c>
      <c r="H960" s="16">
        <v>1.0</v>
      </c>
      <c r="I960" s="15">
        <f t="shared" si="3"/>
        <v>3.5</v>
      </c>
      <c r="J960" s="15">
        <v>18.71</v>
      </c>
      <c r="K960" s="16">
        <f>IF(COUNTIFS(Release_Calendar!$A$2:$A$755,"US_CPI",Release_Calendar!$B$2:$B$755,$A960)&gt;0,1,0)</f>
        <v>0</v>
      </c>
      <c r="L960" s="16">
        <f>IF(COUNTIFS(Release_Calendar!$A$2:$A$755,"US_NFP",Release_Calendar!$B$2:$B$755,$A960)&gt;0,1,0)</f>
        <v>0</v>
      </c>
      <c r="M960" s="16" t="str">
        <f>IF($A960&lt;Notes!$B$5,"",IF(COUNTIFS(Release_Calendar!$A$2:$A$755,"NZ_CPI",Release_Calendar!$B$2:$B$755,$A960)&gt;0,1,0))</f>
        <v/>
      </c>
      <c r="N960" s="16" t="str">
        <f>IF($A960&lt;Notes!$B$5,"",IF(COUNTIFS(Release_Calendar!$A$2:$A$755,"NZ_GDP",Release_Calendar!$B$2:$B$755,$A960)&gt;0,1,0))</f>
        <v/>
      </c>
      <c r="O960" s="16" t="str">
        <f>IF($A960&lt;Notes!$B$5,"",IF(COUNTIFS(Release_Calendar!$A$2:$A$755,"NZ_LABOUR",Release_Calendar!$B$2:$B$755,$A960)&gt;0,1,0))</f>
        <v/>
      </c>
      <c r="P960" s="16">
        <f t="shared" si="4"/>
        <v>0</v>
      </c>
    </row>
    <row r="961" ht="15.75" customHeight="1">
      <c r="A961" s="14">
        <v>37869.0</v>
      </c>
      <c r="B961" s="15">
        <v>1.72</v>
      </c>
      <c r="C961" s="15"/>
      <c r="D961" s="15">
        <v>5.42</v>
      </c>
      <c r="E961" s="15"/>
      <c r="F961" s="15" t="str">
        <f t="shared" si="1"/>
        <v/>
      </c>
      <c r="G961" s="15">
        <f t="shared" si="2"/>
        <v>5.42</v>
      </c>
      <c r="H961" s="16">
        <v>1.0</v>
      </c>
      <c r="I961" s="15">
        <f t="shared" si="3"/>
        <v>3.7</v>
      </c>
      <c r="J961" s="15">
        <v>18.17</v>
      </c>
      <c r="K961" s="16">
        <f>IF(COUNTIFS(Release_Calendar!$A$2:$A$755,"US_CPI",Release_Calendar!$B$2:$B$755,$A961)&gt;0,1,0)</f>
        <v>0</v>
      </c>
      <c r="L961" s="16">
        <f>IF(COUNTIFS(Release_Calendar!$A$2:$A$755,"US_NFP",Release_Calendar!$B$2:$B$755,$A961)&gt;0,1,0)</f>
        <v>1</v>
      </c>
      <c r="M961" s="16" t="str">
        <f>IF($A961&lt;Notes!$B$5,"",IF(COUNTIFS(Release_Calendar!$A$2:$A$755,"NZ_CPI",Release_Calendar!$B$2:$B$755,$A961)&gt;0,1,0))</f>
        <v/>
      </c>
      <c r="N961" s="16" t="str">
        <f>IF($A961&lt;Notes!$B$5,"",IF(COUNTIFS(Release_Calendar!$A$2:$A$755,"NZ_GDP",Release_Calendar!$B$2:$B$755,$A961)&gt;0,1,0))</f>
        <v/>
      </c>
      <c r="O961" s="16" t="str">
        <f>IF($A961&lt;Notes!$B$5,"",IF(COUNTIFS(Release_Calendar!$A$2:$A$755,"NZ_LABOUR",Release_Calendar!$B$2:$B$755,$A961)&gt;0,1,0))</f>
        <v/>
      </c>
      <c r="P961" s="16">
        <f t="shared" si="4"/>
        <v>1</v>
      </c>
    </row>
    <row r="962" ht="15.75" customHeight="1">
      <c r="A962" s="14">
        <v>37872.0</v>
      </c>
      <c r="B962" s="15">
        <v>1.75</v>
      </c>
      <c r="C962" s="15"/>
      <c r="D962" s="15">
        <v>5.33</v>
      </c>
      <c r="E962" s="15"/>
      <c r="F962" s="15" t="str">
        <f t="shared" si="1"/>
        <v/>
      </c>
      <c r="G962" s="15">
        <f t="shared" si="2"/>
        <v>5.33</v>
      </c>
      <c r="H962" s="16">
        <v>1.0</v>
      </c>
      <c r="I962" s="15">
        <f t="shared" si="3"/>
        <v>3.58</v>
      </c>
      <c r="J962" s="15">
        <v>18.26</v>
      </c>
      <c r="K962" s="16">
        <f>IF(COUNTIFS(Release_Calendar!$A$2:$A$755,"US_CPI",Release_Calendar!$B$2:$B$755,$A962)&gt;0,1,0)</f>
        <v>0</v>
      </c>
      <c r="L962" s="16">
        <f>IF(COUNTIFS(Release_Calendar!$A$2:$A$755,"US_NFP",Release_Calendar!$B$2:$B$755,$A962)&gt;0,1,0)</f>
        <v>0</v>
      </c>
      <c r="M962" s="16" t="str">
        <f>IF($A962&lt;Notes!$B$5,"",IF(COUNTIFS(Release_Calendar!$A$2:$A$755,"NZ_CPI",Release_Calendar!$B$2:$B$755,$A962)&gt;0,1,0))</f>
        <v/>
      </c>
      <c r="N962" s="16" t="str">
        <f>IF($A962&lt;Notes!$B$5,"",IF(COUNTIFS(Release_Calendar!$A$2:$A$755,"NZ_GDP",Release_Calendar!$B$2:$B$755,$A962)&gt;0,1,0))</f>
        <v/>
      </c>
      <c r="O962" s="16" t="str">
        <f>IF($A962&lt;Notes!$B$5,"",IF(COUNTIFS(Release_Calendar!$A$2:$A$755,"NZ_LABOUR",Release_Calendar!$B$2:$B$755,$A962)&gt;0,1,0))</f>
        <v/>
      </c>
      <c r="P962" s="16">
        <f t="shared" si="4"/>
        <v>0</v>
      </c>
    </row>
    <row r="963" ht="15.75" customHeight="1">
      <c r="A963" s="14">
        <v>37873.0</v>
      </c>
      <c r="B963" s="15">
        <v>1.71</v>
      </c>
      <c r="C963" s="15"/>
      <c r="D963" s="15">
        <v>5.4</v>
      </c>
      <c r="E963" s="15"/>
      <c r="F963" s="15" t="str">
        <f t="shared" si="1"/>
        <v/>
      </c>
      <c r="G963" s="15">
        <f t="shared" si="2"/>
        <v>5.4</v>
      </c>
      <c r="H963" s="16">
        <v>1.0</v>
      </c>
      <c r="I963" s="15">
        <f t="shared" si="3"/>
        <v>3.69</v>
      </c>
      <c r="J963" s="15">
        <v>18.85</v>
      </c>
      <c r="K963" s="16">
        <f>IF(COUNTIFS(Release_Calendar!$A$2:$A$755,"US_CPI",Release_Calendar!$B$2:$B$755,$A963)&gt;0,1,0)</f>
        <v>0</v>
      </c>
      <c r="L963" s="16">
        <f>IF(COUNTIFS(Release_Calendar!$A$2:$A$755,"US_NFP",Release_Calendar!$B$2:$B$755,$A963)&gt;0,1,0)</f>
        <v>0</v>
      </c>
      <c r="M963" s="16" t="str">
        <f>IF($A963&lt;Notes!$B$5,"",IF(COUNTIFS(Release_Calendar!$A$2:$A$755,"NZ_CPI",Release_Calendar!$B$2:$B$755,$A963)&gt;0,1,0))</f>
        <v/>
      </c>
      <c r="N963" s="16" t="str">
        <f>IF($A963&lt;Notes!$B$5,"",IF(COUNTIFS(Release_Calendar!$A$2:$A$755,"NZ_GDP",Release_Calendar!$B$2:$B$755,$A963)&gt;0,1,0))</f>
        <v/>
      </c>
      <c r="O963" s="16" t="str">
        <f>IF($A963&lt;Notes!$B$5,"",IF(COUNTIFS(Release_Calendar!$A$2:$A$755,"NZ_LABOUR",Release_Calendar!$B$2:$B$755,$A963)&gt;0,1,0))</f>
        <v/>
      </c>
      <c r="P963" s="16">
        <f t="shared" si="4"/>
        <v>0</v>
      </c>
    </row>
    <row r="964" ht="15.75" customHeight="1">
      <c r="A964" s="14">
        <v>37874.0</v>
      </c>
      <c r="B964" s="15">
        <v>1.64</v>
      </c>
      <c r="C964" s="15"/>
      <c r="D964" s="15">
        <v>5.33</v>
      </c>
      <c r="E964" s="15"/>
      <c r="F964" s="15" t="str">
        <f t="shared" si="1"/>
        <v/>
      </c>
      <c r="G964" s="15">
        <f t="shared" si="2"/>
        <v>5.33</v>
      </c>
      <c r="H964" s="16">
        <v>1.0</v>
      </c>
      <c r="I964" s="15">
        <f t="shared" si="3"/>
        <v>3.69</v>
      </c>
      <c r="J964" s="15">
        <v>20.01</v>
      </c>
      <c r="K964" s="16">
        <f>IF(COUNTIFS(Release_Calendar!$A$2:$A$755,"US_CPI",Release_Calendar!$B$2:$B$755,$A964)&gt;0,1,0)</f>
        <v>0</v>
      </c>
      <c r="L964" s="16">
        <f>IF(COUNTIFS(Release_Calendar!$A$2:$A$755,"US_NFP",Release_Calendar!$B$2:$B$755,$A964)&gt;0,1,0)</f>
        <v>0</v>
      </c>
      <c r="M964" s="16" t="str">
        <f>IF($A964&lt;Notes!$B$5,"",IF(COUNTIFS(Release_Calendar!$A$2:$A$755,"NZ_CPI",Release_Calendar!$B$2:$B$755,$A964)&gt;0,1,0))</f>
        <v/>
      </c>
      <c r="N964" s="16" t="str">
        <f>IF($A964&lt;Notes!$B$5,"",IF(COUNTIFS(Release_Calendar!$A$2:$A$755,"NZ_GDP",Release_Calendar!$B$2:$B$755,$A964)&gt;0,1,0))</f>
        <v/>
      </c>
      <c r="O964" s="16" t="str">
        <f>IF($A964&lt;Notes!$B$5,"",IF(COUNTIFS(Release_Calendar!$A$2:$A$755,"NZ_LABOUR",Release_Calendar!$B$2:$B$755,$A964)&gt;0,1,0))</f>
        <v/>
      </c>
      <c r="P964" s="16">
        <f t="shared" si="4"/>
        <v>0</v>
      </c>
    </row>
    <row r="965" ht="15.75" customHeight="1">
      <c r="A965" s="14">
        <v>37875.0</v>
      </c>
      <c r="B965" s="15">
        <v>1.71</v>
      </c>
      <c r="C965" s="15"/>
      <c r="D965" s="15">
        <v>5.3</v>
      </c>
      <c r="E965" s="15"/>
      <c r="F965" s="15" t="str">
        <f t="shared" si="1"/>
        <v/>
      </c>
      <c r="G965" s="15">
        <f t="shared" si="2"/>
        <v>5.3</v>
      </c>
      <c r="H965" s="16">
        <v>1.0</v>
      </c>
      <c r="I965" s="15">
        <f t="shared" si="3"/>
        <v>3.59</v>
      </c>
      <c r="J965" s="15">
        <v>19.25</v>
      </c>
      <c r="K965" s="16">
        <f>IF(COUNTIFS(Release_Calendar!$A$2:$A$755,"US_CPI",Release_Calendar!$B$2:$B$755,$A965)&gt;0,1,0)</f>
        <v>0</v>
      </c>
      <c r="L965" s="16">
        <f>IF(COUNTIFS(Release_Calendar!$A$2:$A$755,"US_NFP",Release_Calendar!$B$2:$B$755,$A965)&gt;0,1,0)</f>
        <v>0</v>
      </c>
      <c r="M965" s="16" t="str">
        <f>IF($A965&lt;Notes!$B$5,"",IF(COUNTIFS(Release_Calendar!$A$2:$A$755,"NZ_CPI",Release_Calendar!$B$2:$B$755,$A965)&gt;0,1,0))</f>
        <v/>
      </c>
      <c r="N965" s="16" t="str">
        <f>IF($A965&lt;Notes!$B$5,"",IF(COUNTIFS(Release_Calendar!$A$2:$A$755,"NZ_GDP",Release_Calendar!$B$2:$B$755,$A965)&gt;0,1,0))</f>
        <v/>
      </c>
      <c r="O965" s="16" t="str">
        <f>IF($A965&lt;Notes!$B$5,"",IF(COUNTIFS(Release_Calendar!$A$2:$A$755,"NZ_LABOUR",Release_Calendar!$B$2:$B$755,$A965)&gt;0,1,0))</f>
        <v/>
      </c>
      <c r="P965" s="16">
        <f t="shared" si="4"/>
        <v>0</v>
      </c>
    </row>
    <row r="966" ht="15.75" customHeight="1">
      <c r="A966" s="14">
        <v>37876.0</v>
      </c>
      <c r="B966" s="15">
        <v>1.66</v>
      </c>
      <c r="C966" s="15"/>
      <c r="D966" s="15">
        <v>5.37</v>
      </c>
      <c r="E966" s="15"/>
      <c r="F966" s="15" t="str">
        <f t="shared" si="1"/>
        <v/>
      </c>
      <c r="G966" s="15">
        <f t="shared" si="2"/>
        <v>5.37</v>
      </c>
      <c r="H966" s="16">
        <v>1.0</v>
      </c>
      <c r="I966" s="15">
        <f t="shared" si="3"/>
        <v>3.71</v>
      </c>
      <c r="J966" s="15">
        <v>18.68</v>
      </c>
      <c r="K966" s="16">
        <f>IF(COUNTIFS(Release_Calendar!$A$2:$A$755,"US_CPI",Release_Calendar!$B$2:$B$755,$A966)&gt;0,1,0)</f>
        <v>0</v>
      </c>
      <c r="L966" s="16">
        <f>IF(COUNTIFS(Release_Calendar!$A$2:$A$755,"US_NFP",Release_Calendar!$B$2:$B$755,$A966)&gt;0,1,0)</f>
        <v>0</v>
      </c>
      <c r="M966" s="16" t="str">
        <f>IF($A966&lt;Notes!$B$5,"",IF(COUNTIFS(Release_Calendar!$A$2:$A$755,"NZ_CPI",Release_Calendar!$B$2:$B$755,$A966)&gt;0,1,0))</f>
        <v/>
      </c>
      <c r="N966" s="16" t="str">
        <f>IF($A966&lt;Notes!$B$5,"",IF(COUNTIFS(Release_Calendar!$A$2:$A$755,"NZ_GDP",Release_Calendar!$B$2:$B$755,$A966)&gt;0,1,0))</f>
        <v/>
      </c>
      <c r="O966" s="16" t="str">
        <f>IF($A966&lt;Notes!$B$5,"",IF(COUNTIFS(Release_Calendar!$A$2:$A$755,"NZ_LABOUR",Release_Calendar!$B$2:$B$755,$A966)&gt;0,1,0))</f>
        <v/>
      </c>
      <c r="P966" s="16">
        <f t="shared" si="4"/>
        <v>0</v>
      </c>
    </row>
    <row r="967" ht="15.75" customHeight="1">
      <c r="A967" s="14">
        <v>37879.0</v>
      </c>
      <c r="B967" s="15">
        <v>1.63</v>
      </c>
      <c r="C967" s="15"/>
      <c r="D967" s="15">
        <v>5.33</v>
      </c>
      <c r="E967" s="15"/>
      <c r="F967" s="15" t="str">
        <f t="shared" si="1"/>
        <v/>
      </c>
      <c r="G967" s="15">
        <f t="shared" si="2"/>
        <v>5.33</v>
      </c>
      <c r="H967" s="16">
        <v>1.0</v>
      </c>
      <c r="I967" s="15">
        <f t="shared" si="3"/>
        <v>3.7</v>
      </c>
      <c r="J967" s="15">
        <v>19.28</v>
      </c>
      <c r="K967" s="16">
        <f>IF(COUNTIFS(Release_Calendar!$A$2:$A$755,"US_CPI",Release_Calendar!$B$2:$B$755,$A967)&gt;0,1,0)</f>
        <v>0</v>
      </c>
      <c r="L967" s="16">
        <f>IF(COUNTIFS(Release_Calendar!$A$2:$A$755,"US_NFP",Release_Calendar!$B$2:$B$755,$A967)&gt;0,1,0)</f>
        <v>0</v>
      </c>
      <c r="M967" s="16" t="str">
        <f>IF($A967&lt;Notes!$B$5,"",IF(COUNTIFS(Release_Calendar!$A$2:$A$755,"NZ_CPI",Release_Calendar!$B$2:$B$755,$A967)&gt;0,1,0))</f>
        <v/>
      </c>
      <c r="N967" s="16" t="str">
        <f>IF($A967&lt;Notes!$B$5,"",IF(COUNTIFS(Release_Calendar!$A$2:$A$755,"NZ_GDP",Release_Calendar!$B$2:$B$755,$A967)&gt;0,1,0))</f>
        <v/>
      </c>
      <c r="O967" s="16" t="str">
        <f>IF($A967&lt;Notes!$B$5,"",IF(COUNTIFS(Release_Calendar!$A$2:$A$755,"NZ_LABOUR",Release_Calendar!$B$2:$B$755,$A967)&gt;0,1,0))</f>
        <v/>
      </c>
      <c r="P967" s="16">
        <f t="shared" si="4"/>
        <v>0</v>
      </c>
    </row>
    <row r="968" ht="15.75" customHeight="1">
      <c r="A968" s="14">
        <v>37880.0</v>
      </c>
      <c r="B968" s="15">
        <v>1.63</v>
      </c>
      <c r="C968" s="15"/>
      <c r="D968" s="15">
        <v>5.32</v>
      </c>
      <c r="E968" s="15"/>
      <c r="F968" s="15" t="str">
        <f t="shared" si="1"/>
        <v/>
      </c>
      <c r="G968" s="15">
        <f t="shared" si="2"/>
        <v>5.32</v>
      </c>
      <c r="H968" s="16">
        <v>1.0</v>
      </c>
      <c r="I968" s="15">
        <f t="shared" si="3"/>
        <v>3.69</v>
      </c>
      <c r="J968" s="15">
        <v>18.03</v>
      </c>
      <c r="K968" s="16">
        <f>IF(COUNTIFS(Release_Calendar!$A$2:$A$755,"US_CPI",Release_Calendar!$B$2:$B$755,$A968)&gt;0,1,0)</f>
        <v>1</v>
      </c>
      <c r="L968" s="16">
        <f>IF(COUNTIFS(Release_Calendar!$A$2:$A$755,"US_NFP",Release_Calendar!$B$2:$B$755,$A968)&gt;0,1,0)</f>
        <v>0</v>
      </c>
      <c r="M968" s="16" t="str">
        <f>IF($A968&lt;Notes!$B$5,"",IF(COUNTIFS(Release_Calendar!$A$2:$A$755,"NZ_CPI",Release_Calendar!$B$2:$B$755,$A968)&gt;0,1,0))</f>
        <v/>
      </c>
      <c r="N968" s="16" t="str">
        <f>IF($A968&lt;Notes!$B$5,"",IF(COUNTIFS(Release_Calendar!$A$2:$A$755,"NZ_GDP",Release_Calendar!$B$2:$B$755,$A968)&gt;0,1,0))</f>
        <v/>
      </c>
      <c r="O968" s="16" t="str">
        <f>IF($A968&lt;Notes!$B$5,"",IF(COUNTIFS(Release_Calendar!$A$2:$A$755,"NZ_LABOUR",Release_Calendar!$B$2:$B$755,$A968)&gt;0,1,0))</f>
        <v/>
      </c>
      <c r="P968" s="16">
        <f t="shared" si="4"/>
        <v>1</v>
      </c>
    </row>
    <row r="969" ht="15.75" customHeight="1">
      <c r="A969" s="14">
        <v>37881.0</v>
      </c>
      <c r="B969" s="15">
        <v>1.63</v>
      </c>
      <c r="C969" s="15"/>
      <c r="D969" s="15">
        <v>5.33</v>
      </c>
      <c r="E969" s="15"/>
      <c r="F969" s="15" t="str">
        <f t="shared" si="1"/>
        <v/>
      </c>
      <c r="G969" s="15">
        <f t="shared" si="2"/>
        <v>5.33</v>
      </c>
      <c r="H969" s="16">
        <v>1.0</v>
      </c>
      <c r="I969" s="15">
        <f t="shared" si="3"/>
        <v>3.7</v>
      </c>
      <c r="J969" s="15">
        <v>18.15</v>
      </c>
      <c r="K969" s="16">
        <f>IF(COUNTIFS(Release_Calendar!$A$2:$A$755,"US_CPI",Release_Calendar!$B$2:$B$755,$A969)&gt;0,1,0)</f>
        <v>0</v>
      </c>
      <c r="L969" s="16">
        <f>IF(COUNTIFS(Release_Calendar!$A$2:$A$755,"US_NFP",Release_Calendar!$B$2:$B$755,$A969)&gt;0,1,0)</f>
        <v>0</v>
      </c>
      <c r="M969" s="16" t="str">
        <f>IF($A969&lt;Notes!$B$5,"",IF(COUNTIFS(Release_Calendar!$A$2:$A$755,"NZ_CPI",Release_Calendar!$B$2:$B$755,$A969)&gt;0,1,0))</f>
        <v/>
      </c>
      <c r="N969" s="16" t="str">
        <f>IF($A969&lt;Notes!$B$5,"",IF(COUNTIFS(Release_Calendar!$A$2:$A$755,"NZ_GDP",Release_Calendar!$B$2:$B$755,$A969)&gt;0,1,0))</f>
        <v/>
      </c>
      <c r="O969" s="16" t="str">
        <f>IF($A969&lt;Notes!$B$5,"",IF(COUNTIFS(Release_Calendar!$A$2:$A$755,"NZ_LABOUR",Release_Calendar!$B$2:$B$755,$A969)&gt;0,1,0))</f>
        <v/>
      </c>
      <c r="P969" s="16">
        <f t="shared" si="4"/>
        <v>0</v>
      </c>
    </row>
    <row r="970" ht="15.75" customHeight="1">
      <c r="A970" s="14">
        <v>37882.0</v>
      </c>
      <c r="B970" s="15">
        <v>1.68</v>
      </c>
      <c r="C970" s="15"/>
      <c r="D970" s="15">
        <v>5.29</v>
      </c>
      <c r="E970" s="15"/>
      <c r="F970" s="15" t="str">
        <f t="shared" si="1"/>
        <v/>
      </c>
      <c r="G970" s="15">
        <f t="shared" si="2"/>
        <v>5.29</v>
      </c>
      <c r="H970" s="16">
        <v>1.0</v>
      </c>
      <c r="I970" s="15">
        <f t="shared" si="3"/>
        <v>3.61</v>
      </c>
      <c r="J970" s="15">
        <v>17.57</v>
      </c>
      <c r="K970" s="16">
        <f>IF(COUNTIFS(Release_Calendar!$A$2:$A$755,"US_CPI",Release_Calendar!$B$2:$B$755,$A970)&gt;0,1,0)</f>
        <v>0</v>
      </c>
      <c r="L970" s="16">
        <f>IF(COUNTIFS(Release_Calendar!$A$2:$A$755,"US_NFP",Release_Calendar!$B$2:$B$755,$A970)&gt;0,1,0)</f>
        <v>0</v>
      </c>
      <c r="M970" s="16" t="str">
        <f>IF($A970&lt;Notes!$B$5,"",IF(COUNTIFS(Release_Calendar!$A$2:$A$755,"NZ_CPI",Release_Calendar!$B$2:$B$755,$A970)&gt;0,1,0))</f>
        <v/>
      </c>
      <c r="N970" s="16" t="str">
        <f>IF($A970&lt;Notes!$B$5,"",IF(COUNTIFS(Release_Calendar!$A$2:$A$755,"NZ_GDP",Release_Calendar!$B$2:$B$755,$A970)&gt;0,1,0))</f>
        <v/>
      </c>
      <c r="O970" s="16" t="str">
        <f>IF($A970&lt;Notes!$B$5,"",IF(COUNTIFS(Release_Calendar!$A$2:$A$755,"NZ_LABOUR",Release_Calendar!$B$2:$B$755,$A970)&gt;0,1,0))</f>
        <v/>
      </c>
      <c r="P970" s="16">
        <f t="shared" si="4"/>
        <v>0</v>
      </c>
    </row>
    <row r="971" ht="15.75" customHeight="1">
      <c r="A971" s="14">
        <v>37883.0</v>
      </c>
      <c r="B971" s="15">
        <v>1.7</v>
      </c>
      <c r="C971" s="15"/>
      <c r="D971" s="15">
        <v>5.31</v>
      </c>
      <c r="E971" s="15"/>
      <c r="F971" s="15" t="str">
        <f t="shared" si="1"/>
        <v/>
      </c>
      <c r="G971" s="15">
        <f t="shared" si="2"/>
        <v>5.31</v>
      </c>
      <c r="H971" s="16">
        <v>1.0</v>
      </c>
      <c r="I971" s="15">
        <f t="shared" si="3"/>
        <v>3.61</v>
      </c>
      <c r="J971" s="15">
        <v>17.54</v>
      </c>
      <c r="K971" s="16">
        <f>IF(COUNTIFS(Release_Calendar!$A$2:$A$755,"US_CPI",Release_Calendar!$B$2:$B$755,$A971)&gt;0,1,0)</f>
        <v>0</v>
      </c>
      <c r="L971" s="16">
        <f>IF(COUNTIFS(Release_Calendar!$A$2:$A$755,"US_NFP",Release_Calendar!$B$2:$B$755,$A971)&gt;0,1,0)</f>
        <v>0</v>
      </c>
      <c r="M971" s="16" t="str">
        <f>IF($A971&lt;Notes!$B$5,"",IF(COUNTIFS(Release_Calendar!$A$2:$A$755,"NZ_CPI",Release_Calendar!$B$2:$B$755,$A971)&gt;0,1,0))</f>
        <v/>
      </c>
      <c r="N971" s="16" t="str">
        <f>IF($A971&lt;Notes!$B$5,"",IF(COUNTIFS(Release_Calendar!$A$2:$A$755,"NZ_GDP",Release_Calendar!$B$2:$B$755,$A971)&gt;0,1,0))</f>
        <v/>
      </c>
      <c r="O971" s="16" t="str">
        <f>IF($A971&lt;Notes!$B$5,"",IF(COUNTIFS(Release_Calendar!$A$2:$A$755,"NZ_LABOUR",Release_Calendar!$B$2:$B$755,$A971)&gt;0,1,0))</f>
        <v/>
      </c>
      <c r="P971" s="16">
        <f t="shared" si="4"/>
        <v>0</v>
      </c>
    </row>
    <row r="972" ht="15.75" customHeight="1">
      <c r="A972" s="14">
        <v>37886.0</v>
      </c>
      <c r="B972" s="15">
        <v>1.7</v>
      </c>
      <c r="C972" s="15"/>
      <c r="D972" s="15">
        <v>5.28</v>
      </c>
      <c r="E972" s="15"/>
      <c r="F972" s="15" t="str">
        <f t="shared" si="1"/>
        <v/>
      </c>
      <c r="G972" s="15">
        <f t="shared" si="2"/>
        <v>5.28</v>
      </c>
      <c r="H972" s="16">
        <v>1.0</v>
      </c>
      <c r="I972" s="15">
        <f t="shared" si="3"/>
        <v>3.58</v>
      </c>
      <c r="J972" s="15">
        <v>19.65</v>
      </c>
      <c r="K972" s="16">
        <f>IF(COUNTIFS(Release_Calendar!$A$2:$A$755,"US_CPI",Release_Calendar!$B$2:$B$755,$A972)&gt;0,1,0)</f>
        <v>0</v>
      </c>
      <c r="L972" s="16">
        <f>IF(COUNTIFS(Release_Calendar!$A$2:$A$755,"US_NFP",Release_Calendar!$B$2:$B$755,$A972)&gt;0,1,0)</f>
        <v>0</v>
      </c>
      <c r="M972" s="16" t="str">
        <f>IF($A972&lt;Notes!$B$5,"",IF(COUNTIFS(Release_Calendar!$A$2:$A$755,"NZ_CPI",Release_Calendar!$B$2:$B$755,$A972)&gt;0,1,0))</f>
        <v/>
      </c>
      <c r="N972" s="16" t="str">
        <f>IF($A972&lt;Notes!$B$5,"",IF(COUNTIFS(Release_Calendar!$A$2:$A$755,"NZ_GDP",Release_Calendar!$B$2:$B$755,$A972)&gt;0,1,0))</f>
        <v/>
      </c>
      <c r="O972" s="16" t="str">
        <f>IF($A972&lt;Notes!$B$5,"",IF(COUNTIFS(Release_Calendar!$A$2:$A$755,"NZ_LABOUR",Release_Calendar!$B$2:$B$755,$A972)&gt;0,1,0))</f>
        <v/>
      </c>
      <c r="P972" s="16">
        <f t="shared" si="4"/>
        <v>0</v>
      </c>
    </row>
    <row r="973" ht="15.75" customHeight="1">
      <c r="A973" s="14">
        <v>37887.0</v>
      </c>
      <c r="B973" s="15">
        <v>1.68</v>
      </c>
      <c r="C973" s="15"/>
      <c r="D973" s="15">
        <v>5.22</v>
      </c>
      <c r="E973" s="15"/>
      <c r="F973" s="15" t="str">
        <f t="shared" si="1"/>
        <v/>
      </c>
      <c r="G973" s="15">
        <f t="shared" si="2"/>
        <v>5.22</v>
      </c>
      <c r="H973" s="16">
        <v>1.0</v>
      </c>
      <c r="I973" s="15">
        <f t="shared" si="3"/>
        <v>3.54</v>
      </c>
      <c r="J973" s="15">
        <v>19.47</v>
      </c>
      <c r="K973" s="16">
        <f>IF(COUNTIFS(Release_Calendar!$A$2:$A$755,"US_CPI",Release_Calendar!$B$2:$B$755,$A973)&gt;0,1,0)</f>
        <v>0</v>
      </c>
      <c r="L973" s="16">
        <f>IF(COUNTIFS(Release_Calendar!$A$2:$A$755,"US_NFP",Release_Calendar!$B$2:$B$755,$A973)&gt;0,1,0)</f>
        <v>0</v>
      </c>
      <c r="M973" s="16" t="str">
        <f>IF($A973&lt;Notes!$B$5,"",IF(COUNTIFS(Release_Calendar!$A$2:$A$755,"NZ_CPI",Release_Calendar!$B$2:$B$755,$A973)&gt;0,1,0))</f>
        <v/>
      </c>
      <c r="N973" s="16" t="str">
        <f>IF($A973&lt;Notes!$B$5,"",IF(COUNTIFS(Release_Calendar!$A$2:$A$755,"NZ_GDP",Release_Calendar!$B$2:$B$755,$A973)&gt;0,1,0))</f>
        <v/>
      </c>
      <c r="O973" s="16" t="str">
        <f>IF($A973&lt;Notes!$B$5,"",IF(COUNTIFS(Release_Calendar!$A$2:$A$755,"NZ_LABOUR",Release_Calendar!$B$2:$B$755,$A973)&gt;0,1,0))</f>
        <v/>
      </c>
      <c r="P973" s="16">
        <f t="shared" si="4"/>
        <v>0</v>
      </c>
    </row>
    <row r="974" ht="15.75" customHeight="1">
      <c r="A974" s="14">
        <v>37888.0</v>
      </c>
      <c r="B974" s="15">
        <v>1.66</v>
      </c>
      <c r="C974" s="15"/>
      <c r="D974" s="15">
        <v>5.25</v>
      </c>
      <c r="E974" s="15"/>
      <c r="F974" s="15" t="str">
        <f t="shared" si="1"/>
        <v/>
      </c>
      <c r="G974" s="15">
        <f t="shared" si="2"/>
        <v>5.25</v>
      </c>
      <c r="H974" s="16">
        <v>1.0</v>
      </c>
      <c r="I974" s="15">
        <f t="shared" si="3"/>
        <v>3.59</v>
      </c>
      <c r="J974" s="15">
        <v>21.22</v>
      </c>
      <c r="K974" s="16">
        <f>IF(COUNTIFS(Release_Calendar!$A$2:$A$755,"US_CPI",Release_Calendar!$B$2:$B$755,$A974)&gt;0,1,0)</f>
        <v>0</v>
      </c>
      <c r="L974" s="16">
        <f>IF(COUNTIFS(Release_Calendar!$A$2:$A$755,"US_NFP",Release_Calendar!$B$2:$B$755,$A974)&gt;0,1,0)</f>
        <v>0</v>
      </c>
      <c r="M974" s="16" t="str">
        <f>IF($A974&lt;Notes!$B$5,"",IF(COUNTIFS(Release_Calendar!$A$2:$A$755,"NZ_CPI",Release_Calendar!$B$2:$B$755,$A974)&gt;0,1,0))</f>
        <v/>
      </c>
      <c r="N974" s="16" t="str">
        <f>IF($A974&lt;Notes!$B$5,"",IF(COUNTIFS(Release_Calendar!$A$2:$A$755,"NZ_GDP",Release_Calendar!$B$2:$B$755,$A974)&gt;0,1,0))</f>
        <v/>
      </c>
      <c r="O974" s="16" t="str">
        <f>IF($A974&lt;Notes!$B$5,"",IF(COUNTIFS(Release_Calendar!$A$2:$A$755,"NZ_LABOUR",Release_Calendar!$B$2:$B$755,$A974)&gt;0,1,0))</f>
        <v/>
      </c>
      <c r="P974" s="16">
        <f t="shared" si="4"/>
        <v>0</v>
      </c>
    </row>
    <row r="975" ht="15.75" customHeight="1">
      <c r="A975" s="14">
        <v>37889.0</v>
      </c>
      <c r="B975" s="15">
        <v>1.65</v>
      </c>
      <c r="C975" s="15"/>
      <c r="D975" s="15">
        <v>5.2</v>
      </c>
      <c r="E975" s="15"/>
      <c r="F975" s="15" t="str">
        <f t="shared" si="1"/>
        <v/>
      </c>
      <c r="G975" s="15">
        <f t="shared" si="2"/>
        <v>5.2</v>
      </c>
      <c r="H975" s="16">
        <v>1.0</v>
      </c>
      <c r="I975" s="15">
        <f t="shared" si="3"/>
        <v>3.55</v>
      </c>
      <c r="J975" s="15">
        <v>22.26</v>
      </c>
      <c r="K975" s="16">
        <f>IF(COUNTIFS(Release_Calendar!$A$2:$A$755,"US_CPI",Release_Calendar!$B$2:$B$755,$A975)&gt;0,1,0)</f>
        <v>0</v>
      </c>
      <c r="L975" s="16">
        <f>IF(COUNTIFS(Release_Calendar!$A$2:$A$755,"US_NFP",Release_Calendar!$B$2:$B$755,$A975)&gt;0,1,0)</f>
        <v>0</v>
      </c>
      <c r="M975" s="16" t="str">
        <f>IF($A975&lt;Notes!$B$5,"",IF(COUNTIFS(Release_Calendar!$A$2:$A$755,"NZ_CPI",Release_Calendar!$B$2:$B$755,$A975)&gt;0,1,0))</f>
        <v/>
      </c>
      <c r="N975" s="16" t="str">
        <f>IF($A975&lt;Notes!$B$5,"",IF(COUNTIFS(Release_Calendar!$A$2:$A$755,"NZ_GDP",Release_Calendar!$B$2:$B$755,$A975)&gt;0,1,0))</f>
        <v/>
      </c>
      <c r="O975" s="16" t="str">
        <f>IF($A975&lt;Notes!$B$5,"",IF(COUNTIFS(Release_Calendar!$A$2:$A$755,"NZ_LABOUR",Release_Calendar!$B$2:$B$755,$A975)&gt;0,1,0))</f>
        <v/>
      </c>
      <c r="P975" s="16">
        <f t="shared" si="4"/>
        <v>0</v>
      </c>
    </row>
    <row r="976" ht="15.75" customHeight="1">
      <c r="A976" s="14">
        <v>37890.0</v>
      </c>
      <c r="B976" s="15">
        <v>1.6</v>
      </c>
      <c r="C976" s="15"/>
      <c r="D976" s="15">
        <v>5.17</v>
      </c>
      <c r="E976" s="15"/>
      <c r="F976" s="15" t="str">
        <f t="shared" si="1"/>
        <v/>
      </c>
      <c r="G976" s="15">
        <f t="shared" si="2"/>
        <v>5.17</v>
      </c>
      <c r="H976" s="16">
        <v>1.0</v>
      </c>
      <c r="I976" s="15">
        <f t="shared" si="3"/>
        <v>3.57</v>
      </c>
      <c r="J976" s="15">
        <v>22.23</v>
      </c>
      <c r="K976" s="16">
        <f>IF(COUNTIFS(Release_Calendar!$A$2:$A$755,"US_CPI",Release_Calendar!$B$2:$B$755,$A976)&gt;0,1,0)</f>
        <v>0</v>
      </c>
      <c r="L976" s="16">
        <f>IF(COUNTIFS(Release_Calendar!$A$2:$A$755,"US_NFP",Release_Calendar!$B$2:$B$755,$A976)&gt;0,1,0)</f>
        <v>0</v>
      </c>
      <c r="M976" s="16" t="str">
        <f>IF($A976&lt;Notes!$B$5,"",IF(COUNTIFS(Release_Calendar!$A$2:$A$755,"NZ_CPI",Release_Calendar!$B$2:$B$755,$A976)&gt;0,1,0))</f>
        <v/>
      </c>
      <c r="N976" s="16" t="str">
        <f>IF($A976&lt;Notes!$B$5,"",IF(COUNTIFS(Release_Calendar!$A$2:$A$755,"NZ_GDP",Release_Calendar!$B$2:$B$755,$A976)&gt;0,1,0))</f>
        <v/>
      </c>
      <c r="O976" s="16" t="str">
        <f>IF($A976&lt;Notes!$B$5,"",IF(COUNTIFS(Release_Calendar!$A$2:$A$755,"NZ_LABOUR",Release_Calendar!$B$2:$B$755,$A976)&gt;0,1,0))</f>
        <v/>
      </c>
      <c r="P976" s="16">
        <f t="shared" si="4"/>
        <v>0</v>
      </c>
    </row>
    <row r="977" ht="15.75" customHeight="1">
      <c r="A977" s="14">
        <v>37893.0</v>
      </c>
      <c r="B977" s="15">
        <v>1.61</v>
      </c>
      <c r="C977" s="15"/>
      <c r="D977" s="15">
        <v>5.17</v>
      </c>
      <c r="E977" s="15"/>
      <c r="F977" s="15" t="str">
        <f t="shared" si="1"/>
        <v/>
      </c>
      <c r="G977" s="15">
        <f t="shared" si="2"/>
        <v>5.17</v>
      </c>
      <c r="H977" s="16">
        <v>1.0</v>
      </c>
      <c r="I977" s="15">
        <f t="shared" si="3"/>
        <v>3.56</v>
      </c>
      <c r="J977" s="15">
        <v>21.67</v>
      </c>
      <c r="K977" s="16">
        <f>IF(COUNTIFS(Release_Calendar!$A$2:$A$755,"US_CPI",Release_Calendar!$B$2:$B$755,$A977)&gt;0,1,0)</f>
        <v>0</v>
      </c>
      <c r="L977" s="16">
        <f>IF(COUNTIFS(Release_Calendar!$A$2:$A$755,"US_NFP",Release_Calendar!$B$2:$B$755,$A977)&gt;0,1,0)</f>
        <v>0</v>
      </c>
      <c r="M977" s="16" t="str">
        <f>IF($A977&lt;Notes!$B$5,"",IF(COUNTIFS(Release_Calendar!$A$2:$A$755,"NZ_CPI",Release_Calendar!$B$2:$B$755,$A977)&gt;0,1,0))</f>
        <v/>
      </c>
      <c r="N977" s="16" t="str">
        <f>IF($A977&lt;Notes!$B$5,"",IF(COUNTIFS(Release_Calendar!$A$2:$A$755,"NZ_GDP",Release_Calendar!$B$2:$B$755,$A977)&gt;0,1,0))</f>
        <v/>
      </c>
      <c r="O977" s="16" t="str">
        <f>IF($A977&lt;Notes!$B$5,"",IF(COUNTIFS(Release_Calendar!$A$2:$A$755,"NZ_LABOUR",Release_Calendar!$B$2:$B$755,$A977)&gt;0,1,0))</f>
        <v/>
      </c>
      <c r="P977" s="16">
        <f t="shared" si="4"/>
        <v>0</v>
      </c>
    </row>
    <row r="978" ht="15.75" customHeight="1">
      <c r="A978" s="14">
        <v>37894.0</v>
      </c>
      <c r="B978" s="15">
        <v>1.5</v>
      </c>
      <c r="C978" s="15"/>
      <c r="D978" s="15">
        <v>5.2</v>
      </c>
      <c r="E978" s="15"/>
      <c r="F978" s="15" t="str">
        <f t="shared" si="1"/>
        <v/>
      </c>
      <c r="G978" s="15">
        <f t="shared" si="2"/>
        <v>5.2</v>
      </c>
      <c r="H978" s="16">
        <v>1.0</v>
      </c>
      <c r="I978" s="15">
        <f t="shared" si="3"/>
        <v>3.7</v>
      </c>
      <c r="J978" s="15">
        <v>22.72</v>
      </c>
      <c r="K978" s="16">
        <f>IF(COUNTIFS(Release_Calendar!$A$2:$A$755,"US_CPI",Release_Calendar!$B$2:$B$755,$A978)&gt;0,1,0)</f>
        <v>0</v>
      </c>
      <c r="L978" s="16">
        <f>IF(COUNTIFS(Release_Calendar!$A$2:$A$755,"US_NFP",Release_Calendar!$B$2:$B$755,$A978)&gt;0,1,0)</f>
        <v>0</v>
      </c>
      <c r="M978" s="16" t="str">
        <f>IF($A978&lt;Notes!$B$5,"",IF(COUNTIFS(Release_Calendar!$A$2:$A$755,"NZ_CPI",Release_Calendar!$B$2:$B$755,$A978)&gt;0,1,0))</f>
        <v/>
      </c>
      <c r="N978" s="16" t="str">
        <f>IF($A978&lt;Notes!$B$5,"",IF(COUNTIFS(Release_Calendar!$A$2:$A$755,"NZ_GDP",Release_Calendar!$B$2:$B$755,$A978)&gt;0,1,0))</f>
        <v/>
      </c>
      <c r="O978" s="16" t="str">
        <f>IF($A978&lt;Notes!$B$5,"",IF(COUNTIFS(Release_Calendar!$A$2:$A$755,"NZ_LABOUR",Release_Calendar!$B$2:$B$755,$A978)&gt;0,1,0))</f>
        <v/>
      </c>
      <c r="P978" s="16">
        <f t="shared" si="4"/>
        <v>0</v>
      </c>
    </row>
    <row r="979" ht="15.75" customHeight="1">
      <c r="A979" s="14">
        <v>37895.0</v>
      </c>
      <c r="B979" s="15">
        <v>1.47</v>
      </c>
      <c r="C979" s="15"/>
      <c r="D979" s="15">
        <v>5.17</v>
      </c>
      <c r="E979" s="15"/>
      <c r="F979" s="15" t="str">
        <f t="shared" si="1"/>
        <v/>
      </c>
      <c r="G979" s="15">
        <f t="shared" si="2"/>
        <v>5.17</v>
      </c>
      <c r="H979" s="16">
        <v>1.0</v>
      </c>
      <c r="I979" s="15">
        <f t="shared" si="3"/>
        <v>3.7</v>
      </c>
      <c r="J979" s="15">
        <v>21.07</v>
      </c>
      <c r="K979" s="16">
        <f>IF(COUNTIFS(Release_Calendar!$A$2:$A$755,"US_CPI",Release_Calendar!$B$2:$B$755,$A979)&gt;0,1,0)</f>
        <v>0</v>
      </c>
      <c r="L979" s="16">
        <f>IF(COUNTIFS(Release_Calendar!$A$2:$A$755,"US_NFP",Release_Calendar!$B$2:$B$755,$A979)&gt;0,1,0)</f>
        <v>0</v>
      </c>
      <c r="M979" s="16" t="str">
        <f>IF($A979&lt;Notes!$B$5,"",IF(COUNTIFS(Release_Calendar!$A$2:$A$755,"NZ_CPI",Release_Calendar!$B$2:$B$755,$A979)&gt;0,1,0))</f>
        <v/>
      </c>
      <c r="N979" s="16" t="str">
        <f>IF($A979&lt;Notes!$B$5,"",IF(COUNTIFS(Release_Calendar!$A$2:$A$755,"NZ_GDP",Release_Calendar!$B$2:$B$755,$A979)&gt;0,1,0))</f>
        <v/>
      </c>
      <c r="O979" s="16" t="str">
        <f>IF($A979&lt;Notes!$B$5,"",IF(COUNTIFS(Release_Calendar!$A$2:$A$755,"NZ_LABOUR",Release_Calendar!$B$2:$B$755,$A979)&gt;0,1,0))</f>
        <v/>
      </c>
      <c r="P979" s="16">
        <f t="shared" si="4"/>
        <v>0</v>
      </c>
    </row>
    <row r="980" ht="15.75" customHeight="1">
      <c r="A980" s="14">
        <v>37896.0</v>
      </c>
      <c r="B980" s="15">
        <v>1.48</v>
      </c>
      <c r="C980" s="15"/>
      <c r="D980" s="15">
        <v>5.28</v>
      </c>
      <c r="E980" s="15"/>
      <c r="F980" s="15" t="str">
        <f t="shared" si="1"/>
        <v/>
      </c>
      <c r="G980" s="15">
        <f t="shared" si="2"/>
        <v>5.28</v>
      </c>
      <c r="H980" s="16">
        <v>1.0</v>
      </c>
      <c r="I980" s="15">
        <f t="shared" si="3"/>
        <v>3.8</v>
      </c>
      <c r="J980" s="15">
        <v>20.8</v>
      </c>
      <c r="K980" s="16">
        <f>IF(COUNTIFS(Release_Calendar!$A$2:$A$755,"US_CPI",Release_Calendar!$B$2:$B$755,$A980)&gt;0,1,0)</f>
        <v>0</v>
      </c>
      <c r="L980" s="16">
        <f>IF(COUNTIFS(Release_Calendar!$A$2:$A$755,"US_NFP",Release_Calendar!$B$2:$B$755,$A980)&gt;0,1,0)</f>
        <v>0</v>
      </c>
      <c r="M980" s="16" t="str">
        <f>IF($A980&lt;Notes!$B$5,"",IF(COUNTIFS(Release_Calendar!$A$2:$A$755,"NZ_CPI",Release_Calendar!$B$2:$B$755,$A980)&gt;0,1,0))</f>
        <v/>
      </c>
      <c r="N980" s="16" t="str">
        <f>IF($A980&lt;Notes!$B$5,"",IF(COUNTIFS(Release_Calendar!$A$2:$A$755,"NZ_GDP",Release_Calendar!$B$2:$B$755,$A980)&gt;0,1,0))</f>
        <v/>
      </c>
      <c r="O980" s="16" t="str">
        <f>IF($A980&lt;Notes!$B$5,"",IF(COUNTIFS(Release_Calendar!$A$2:$A$755,"NZ_LABOUR",Release_Calendar!$B$2:$B$755,$A980)&gt;0,1,0))</f>
        <v/>
      </c>
      <c r="P980" s="16">
        <f t="shared" si="4"/>
        <v>0</v>
      </c>
    </row>
    <row r="981" ht="15.75" customHeight="1">
      <c r="A981" s="14">
        <v>37897.0</v>
      </c>
      <c r="B981" s="15">
        <v>1.65</v>
      </c>
      <c r="C981" s="15"/>
      <c r="D981" s="15">
        <v>5.32</v>
      </c>
      <c r="E981" s="15"/>
      <c r="F981" s="15" t="str">
        <f t="shared" si="1"/>
        <v/>
      </c>
      <c r="G981" s="15">
        <f t="shared" si="2"/>
        <v>5.32</v>
      </c>
      <c r="H981" s="16">
        <v>1.0</v>
      </c>
      <c r="I981" s="15">
        <f t="shared" si="3"/>
        <v>3.67</v>
      </c>
      <c r="J981" s="15">
        <v>19.5</v>
      </c>
      <c r="K981" s="16">
        <f>IF(COUNTIFS(Release_Calendar!$A$2:$A$755,"US_CPI",Release_Calendar!$B$2:$B$755,$A981)&gt;0,1,0)</f>
        <v>0</v>
      </c>
      <c r="L981" s="16">
        <f>IF(COUNTIFS(Release_Calendar!$A$2:$A$755,"US_NFP",Release_Calendar!$B$2:$B$755,$A981)&gt;0,1,0)</f>
        <v>1</v>
      </c>
      <c r="M981" s="16" t="str">
        <f>IF($A981&lt;Notes!$B$5,"",IF(COUNTIFS(Release_Calendar!$A$2:$A$755,"NZ_CPI",Release_Calendar!$B$2:$B$755,$A981)&gt;0,1,0))</f>
        <v/>
      </c>
      <c r="N981" s="16" t="str">
        <f>IF($A981&lt;Notes!$B$5,"",IF(COUNTIFS(Release_Calendar!$A$2:$A$755,"NZ_GDP",Release_Calendar!$B$2:$B$755,$A981)&gt;0,1,0))</f>
        <v/>
      </c>
      <c r="O981" s="16" t="str">
        <f>IF($A981&lt;Notes!$B$5,"",IF(COUNTIFS(Release_Calendar!$A$2:$A$755,"NZ_LABOUR",Release_Calendar!$B$2:$B$755,$A981)&gt;0,1,0))</f>
        <v/>
      </c>
      <c r="P981" s="16">
        <f t="shared" si="4"/>
        <v>1</v>
      </c>
    </row>
    <row r="982" ht="15.75" customHeight="1">
      <c r="A982" s="14">
        <v>37900.0</v>
      </c>
      <c r="B982" s="15">
        <v>1.6</v>
      </c>
      <c r="C982" s="15"/>
      <c r="D982" s="15">
        <v>5.42</v>
      </c>
      <c r="E982" s="15"/>
      <c r="F982" s="15" t="str">
        <f t="shared" si="1"/>
        <v/>
      </c>
      <c r="G982" s="15">
        <f t="shared" si="2"/>
        <v>5.42</v>
      </c>
      <c r="H982" s="16">
        <v>1.0</v>
      </c>
      <c r="I982" s="15">
        <f t="shared" si="3"/>
        <v>3.82</v>
      </c>
      <c r="J982" s="15">
        <v>19.51</v>
      </c>
      <c r="K982" s="16">
        <f>IF(COUNTIFS(Release_Calendar!$A$2:$A$755,"US_CPI",Release_Calendar!$B$2:$B$755,$A982)&gt;0,1,0)</f>
        <v>0</v>
      </c>
      <c r="L982" s="16">
        <f>IF(COUNTIFS(Release_Calendar!$A$2:$A$755,"US_NFP",Release_Calendar!$B$2:$B$755,$A982)&gt;0,1,0)</f>
        <v>0</v>
      </c>
      <c r="M982" s="16" t="str">
        <f>IF($A982&lt;Notes!$B$5,"",IF(COUNTIFS(Release_Calendar!$A$2:$A$755,"NZ_CPI",Release_Calendar!$B$2:$B$755,$A982)&gt;0,1,0))</f>
        <v/>
      </c>
      <c r="N982" s="16" t="str">
        <f>IF($A982&lt;Notes!$B$5,"",IF(COUNTIFS(Release_Calendar!$A$2:$A$755,"NZ_GDP",Release_Calendar!$B$2:$B$755,$A982)&gt;0,1,0))</f>
        <v/>
      </c>
      <c r="O982" s="16" t="str">
        <f>IF($A982&lt;Notes!$B$5,"",IF(COUNTIFS(Release_Calendar!$A$2:$A$755,"NZ_LABOUR",Release_Calendar!$B$2:$B$755,$A982)&gt;0,1,0))</f>
        <v/>
      </c>
      <c r="P982" s="16">
        <f t="shared" si="4"/>
        <v>0</v>
      </c>
    </row>
    <row r="983" ht="15.75" customHeight="1">
      <c r="A983" s="14">
        <v>37901.0</v>
      </c>
      <c r="B983" s="15">
        <v>1.67</v>
      </c>
      <c r="C983" s="15"/>
      <c r="D983" s="15">
        <v>5.41</v>
      </c>
      <c r="E983" s="15"/>
      <c r="F983" s="15" t="str">
        <f t="shared" si="1"/>
        <v/>
      </c>
      <c r="G983" s="15">
        <f t="shared" si="2"/>
        <v>5.41</v>
      </c>
      <c r="H983" s="16">
        <v>1.0</v>
      </c>
      <c r="I983" s="15">
        <f t="shared" si="3"/>
        <v>3.74</v>
      </c>
      <c r="J983" s="15">
        <v>19.41</v>
      </c>
      <c r="K983" s="16">
        <f>IF(COUNTIFS(Release_Calendar!$A$2:$A$755,"US_CPI",Release_Calendar!$B$2:$B$755,$A983)&gt;0,1,0)</f>
        <v>0</v>
      </c>
      <c r="L983" s="16">
        <f>IF(COUNTIFS(Release_Calendar!$A$2:$A$755,"US_NFP",Release_Calendar!$B$2:$B$755,$A983)&gt;0,1,0)</f>
        <v>0</v>
      </c>
      <c r="M983" s="16" t="str">
        <f>IF($A983&lt;Notes!$B$5,"",IF(COUNTIFS(Release_Calendar!$A$2:$A$755,"NZ_CPI",Release_Calendar!$B$2:$B$755,$A983)&gt;0,1,0))</f>
        <v/>
      </c>
      <c r="N983" s="16" t="str">
        <f>IF($A983&lt;Notes!$B$5,"",IF(COUNTIFS(Release_Calendar!$A$2:$A$755,"NZ_GDP",Release_Calendar!$B$2:$B$755,$A983)&gt;0,1,0))</f>
        <v/>
      </c>
      <c r="O983" s="16" t="str">
        <f>IF($A983&lt;Notes!$B$5,"",IF(COUNTIFS(Release_Calendar!$A$2:$A$755,"NZ_LABOUR",Release_Calendar!$B$2:$B$755,$A983)&gt;0,1,0))</f>
        <v/>
      </c>
      <c r="P983" s="16">
        <f t="shared" si="4"/>
        <v>0</v>
      </c>
    </row>
    <row r="984" ht="15.75" customHeight="1">
      <c r="A984" s="14">
        <v>37902.0</v>
      </c>
      <c r="B984" s="15">
        <v>1.65</v>
      </c>
      <c r="C984" s="15"/>
      <c r="D984" s="15">
        <v>5.51</v>
      </c>
      <c r="E984" s="15"/>
      <c r="F984" s="15" t="str">
        <f t="shared" si="1"/>
        <v/>
      </c>
      <c r="G984" s="15">
        <f t="shared" si="2"/>
        <v>5.51</v>
      </c>
      <c r="H984" s="16">
        <v>1.0</v>
      </c>
      <c r="I984" s="15">
        <f t="shared" si="3"/>
        <v>3.86</v>
      </c>
      <c r="J984" s="15">
        <v>19.18</v>
      </c>
      <c r="K984" s="16">
        <f>IF(COUNTIFS(Release_Calendar!$A$2:$A$755,"US_CPI",Release_Calendar!$B$2:$B$755,$A984)&gt;0,1,0)</f>
        <v>0</v>
      </c>
      <c r="L984" s="16">
        <f>IF(COUNTIFS(Release_Calendar!$A$2:$A$755,"US_NFP",Release_Calendar!$B$2:$B$755,$A984)&gt;0,1,0)</f>
        <v>0</v>
      </c>
      <c r="M984" s="16" t="str">
        <f>IF($A984&lt;Notes!$B$5,"",IF(COUNTIFS(Release_Calendar!$A$2:$A$755,"NZ_CPI",Release_Calendar!$B$2:$B$755,$A984)&gt;0,1,0))</f>
        <v/>
      </c>
      <c r="N984" s="16" t="str">
        <f>IF($A984&lt;Notes!$B$5,"",IF(COUNTIFS(Release_Calendar!$A$2:$A$755,"NZ_GDP",Release_Calendar!$B$2:$B$755,$A984)&gt;0,1,0))</f>
        <v/>
      </c>
      <c r="O984" s="16" t="str">
        <f>IF($A984&lt;Notes!$B$5,"",IF(COUNTIFS(Release_Calendar!$A$2:$A$755,"NZ_LABOUR",Release_Calendar!$B$2:$B$755,$A984)&gt;0,1,0))</f>
        <v/>
      </c>
      <c r="P984" s="16">
        <f t="shared" si="4"/>
        <v>0</v>
      </c>
    </row>
    <row r="985" ht="15.75" customHeight="1">
      <c r="A985" s="14">
        <v>37903.0</v>
      </c>
      <c r="B985" s="15">
        <v>1.69</v>
      </c>
      <c r="C985" s="15"/>
      <c r="D985" s="15">
        <v>5.51</v>
      </c>
      <c r="E985" s="15"/>
      <c r="F985" s="15" t="str">
        <f t="shared" si="1"/>
        <v/>
      </c>
      <c r="G985" s="15">
        <f t="shared" si="2"/>
        <v>5.51</v>
      </c>
      <c r="H985" s="16">
        <v>1.0</v>
      </c>
      <c r="I985" s="15">
        <f t="shared" si="3"/>
        <v>3.82</v>
      </c>
      <c r="J985" s="15">
        <v>18.82</v>
      </c>
      <c r="K985" s="16">
        <f>IF(COUNTIFS(Release_Calendar!$A$2:$A$755,"US_CPI",Release_Calendar!$B$2:$B$755,$A985)&gt;0,1,0)</f>
        <v>0</v>
      </c>
      <c r="L985" s="16">
        <f>IF(COUNTIFS(Release_Calendar!$A$2:$A$755,"US_NFP",Release_Calendar!$B$2:$B$755,$A985)&gt;0,1,0)</f>
        <v>0</v>
      </c>
      <c r="M985" s="16" t="str">
        <f>IF($A985&lt;Notes!$B$5,"",IF(COUNTIFS(Release_Calendar!$A$2:$A$755,"NZ_CPI",Release_Calendar!$B$2:$B$755,$A985)&gt;0,1,0))</f>
        <v/>
      </c>
      <c r="N985" s="16" t="str">
        <f>IF($A985&lt;Notes!$B$5,"",IF(COUNTIFS(Release_Calendar!$A$2:$A$755,"NZ_GDP",Release_Calendar!$B$2:$B$755,$A985)&gt;0,1,0))</f>
        <v/>
      </c>
      <c r="O985" s="16" t="str">
        <f>IF($A985&lt;Notes!$B$5,"",IF(COUNTIFS(Release_Calendar!$A$2:$A$755,"NZ_LABOUR",Release_Calendar!$B$2:$B$755,$A985)&gt;0,1,0))</f>
        <v/>
      </c>
      <c r="P985" s="16">
        <f t="shared" si="4"/>
        <v>0</v>
      </c>
    </row>
    <row r="986" ht="15.75" customHeight="1">
      <c r="A986" s="14">
        <v>37904.0</v>
      </c>
      <c r="B986" s="15">
        <v>1.65</v>
      </c>
      <c r="C986" s="15"/>
      <c r="D986" s="15">
        <v>5.54</v>
      </c>
      <c r="E986" s="15"/>
      <c r="F986" s="15" t="str">
        <f t="shared" si="1"/>
        <v/>
      </c>
      <c r="G986" s="15">
        <f t="shared" si="2"/>
        <v>5.54</v>
      </c>
      <c r="H986" s="16">
        <v>1.0</v>
      </c>
      <c r="I986" s="15">
        <f t="shared" si="3"/>
        <v>3.89</v>
      </c>
      <c r="J986" s="15">
        <v>18.45</v>
      </c>
      <c r="K986" s="16">
        <f>IF(COUNTIFS(Release_Calendar!$A$2:$A$755,"US_CPI",Release_Calendar!$B$2:$B$755,$A986)&gt;0,1,0)</f>
        <v>0</v>
      </c>
      <c r="L986" s="16">
        <f>IF(COUNTIFS(Release_Calendar!$A$2:$A$755,"US_NFP",Release_Calendar!$B$2:$B$755,$A986)&gt;0,1,0)</f>
        <v>0</v>
      </c>
      <c r="M986" s="16" t="str">
        <f>IF($A986&lt;Notes!$B$5,"",IF(COUNTIFS(Release_Calendar!$A$2:$A$755,"NZ_CPI",Release_Calendar!$B$2:$B$755,$A986)&gt;0,1,0))</f>
        <v/>
      </c>
      <c r="N986" s="16" t="str">
        <f>IF($A986&lt;Notes!$B$5,"",IF(COUNTIFS(Release_Calendar!$A$2:$A$755,"NZ_GDP",Release_Calendar!$B$2:$B$755,$A986)&gt;0,1,0))</f>
        <v/>
      </c>
      <c r="O986" s="16" t="str">
        <f>IF($A986&lt;Notes!$B$5,"",IF(COUNTIFS(Release_Calendar!$A$2:$A$755,"NZ_LABOUR",Release_Calendar!$B$2:$B$755,$A986)&gt;0,1,0))</f>
        <v/>
      </c>
      <c r="P986" s="16">
        <f t="shared" si="4"/>
        <v>0</v>
      </c>
    </row>
    <row r="987" ht="15.75" customHeight="1">
      <c r="A987" s="14">
        <v>37907.0</v>
      </c>
      <c r="B987" s="15"/>
      <c r="C987" s="15"/>
      <c r="D987" s="15">
        <v>5.51</v>
      </c>
      <c r="E987" s="15"/>
      <c r="F987" s="15" t="str">
        <f t="shared" si="1"/>
        <v/>
      </c>
      <c r="G987" s="15">
        <f t="shared" si="2"/>
        <v>5.51</v>
      </c>
      <c r="H987" s="16">
        <v>1.0</v>
      </c>
      <c r="I987" s="15" t="str">
        <f t="shared" si="3"/>
        <v/>
      </c>
      <c r="J987" s="15">
        <v>17.55</v>
      </c>
      <c r="K987" s="16">
        <f>IF(COUNTIFS(Release_Calendar!$A$2:$A$755,"US_CPI",Release_Calendar!$B$2:$B$755,$A987)&gt;0,1,0)</f>
        <v>0</v>
      </c>
      <c r="L987" s="16">
        <f>IF(COUNTIFS(Release_Calendar!$A$2:$A$755,"US_NFP",Release_Calendar!$B$2:$B$755,$A987)&gt;0,1,0)</f>
        <v>0</v>
      </c>
      <c r="M987" s="16" t="str">
        <f>IF($A987&lt;Notes!$B$5,"",IF(COUNTIFS(Release_Calendar!$A$2:$A$755,"NZ_CPI",Release_Calendar!$B$2:$B$755,$A987)&gt;0,1,0))</f>
        <v/>
      </c>
      <c r="N987" s="16" t="str">
        <f>IF($A987&lt;Notes!$B$5,"",IF(COUNTIFS(Release_Calendar!$A$2:$A$755,"NZ_GDP",Release_Calendar!$B$2:$B$755,$A987)&gt;0,1,0))</f>
        <v/>
      </c>
      <c r="O987" s="16" t="str">
        <f>IF($A987&lt;Notes!$B$5,"",IF(COUNTIFS(Release_Calendar!$A$2:$A$755,"NZ_LABOUR",Release_Calendar!$B$2:$B$755,$A987)&gt;0,1,0))</f>
        <v/>
      </c>
      <c r="P987" s="16">
        <f t="shared" si="4"/>
        <v>0</v>
      </c>
    </row>
    <row r="988" ht="15.75" customHeight="1">
      <c r="A988" s="14">
        <v>37908.0</v>
      </c>
      <c r="B988" s="15">
        <v>1.73</v>
      </c>
      <c r="C988" s="15"/>
      <c r="D988" s="15">
        <v>5.57</v>
      </c>
      <c r="E988" s="15"/>
      <c r="F988" s="15" t="str">
        <f t="shared" si="1"/>
        <v/>
      </c>
      <c r="G988" s="15">
        <f t="shared" si="2"/>
        <v>5.57</v>
      </c>
      <c r="H988" s="16">
        <v>1.0</v>
      </c>
      <c r="I988" s="15">
        <f t="shared" si="3"/>
        <v>3.84</v>
      </c>
      <c r="J988" s="15">
        <v>17.37</v>
      </c>
      <c r="K988" s="16">
        <f>IF(COUNTIFS(Release_Calendar!$A$2:$A$755,"US_CPI",Release_Calendar!$B$2:$B$755,$A988)&gt;0,1,0)</f>
        <v>0</v>
      </c>
      <c r="L988" s="16">
        <f>IF(COUNTIFS(Release_Calendar!$A$2:$A$755,"US_NFP",Release_Calendar!$B$2:$B$755,$A988)&gt;0,1,0)</f>
        <v>0</v>
      </c>
      <c r="M988" s="16" t="str">
        <f>IF($A988&lt;Notes!$B$5,"",IF(COUNTIFS(Release_Calendar!$A$2:$A$755,"NZ_CPI",Release_Calendar!$B$2:$B$755,$A988)&gt;0,1,0))</f>
        <v/>
      </c>
      <c r="N988" s="16" t="str">
        <f>IF($A988&lt;Notes!$B$5,"",IF(COUNTIFS(Release_Calendar!$A$2:$A$755,"NZ_GDP",Release_Calendar!$B$2:$B$755,$A988)&gt;0,1,0))</f>
        <v/>
      </c>
      <c r="O988" s="16" t="str">
        <f>IF($A988&lt;Notes!$B$5,"",IF(COUNTIFS(Release_Calendar!$A$2:$A$755,"NZ_LABOUR",Release_Calendar!$B$2:$B$755,$A988)&gt;0,1,0))</f>
        <v/>
      </c>
      <c r="P988" s="16">
        <f t="shared" si="4"/>
        <v>0</v>
      </c>
    </row>
    <row r="989" ht="15.75" customHeight="1">
      <c r="A989" s="14">
        <v>37909.0</v>
      </c>
      <c r="B989" s="15">
        <v>1.79</v>
      </c>
      <c r="C989" s="15"/>
      <c r="D989" s="15">
        <v>5.6</v>
      </c>
      <c r="E989" s="15"/>
      <c r="F989" s="15" t="str">
        <f t="shared" si="1"/>
        <v/>
      </c>
      <c r="G989" s="15">
        <f t="shared" si="2"/>
        <v>5.6</v>
      </c>
      <c r="H989" s="16">
        <v>1.0</v>
      </c>
      <c r="I989" s="15">
        <f t="shared" si="3"/>
        <v>3.81</v>
      </c>
      <c r="J989" s="15">
        <v>17.69</v>
      </c>
      <c r="K989" s="16">
        <f>IF(COUNTIFS(Release_Calendar!$A$2:$A$755,"US_CPI",Release_Calendar!$B$2:$B$755,$A989)&gt;0,1,0)</f>
        <v>0</v>
      </c>
      <c r="L989" s="16">
        <f>IF(COUNTIFS(Release_Calendar!$A$2:$A$755,"US_NFP",Release_Calendar!$B$2:$B$755,$A989)&gt;0,1,0)</f>
        <v>0</v>
      </c>
      <c r="M989" s="16" t="str">
        <f>IF($A989&lt;Notes!$B$5,"",IF(COUNTIFS(Release_Calendar!$A$2:$A$755,"NZ_CPI",Release_Calendar!$B$2:$B$755,$A989)&gt;0,1,0))</f>
        <v/>
      </c>
      <c r="N989" s="16" t="str">
        <f>IF($A989&lt;Notes!$B$5,"",IF(COUNTIFS(Release_Calendar!$A$2:$A$755,"NZ_GDP",Release_Calendar!$B$2:$B$755,$A989)&gt;0,1,0))</f>
        <v/>
      </c>
      <c r="O989" s="16" t="str">
        <f>IF($A989&lt;Notes!$B$5,"",IF(COUNTIFS(Release_Calendar!$A$2:$A$755,"NZ_LABOUR",Release_Calendar!$B$2:$B$755,$A989)&gt;0,1,0))</f>
        <v/>
      </c>
      <c r="P989" s="16">
        <f t="shared" si="4"/>
        <v>0</v>
      </c>
    </row>
    <row r="990" ht="15.75" customHeight="1">
      <c r="A990" s="14">
        <v>37910.0</v>
      </c>
      <c r="B990" s="15">
        <v>1.96</v>
      </c>
      <c r="C990" s="15"/>
      <c r="D990" s="15">
        <v>5.61</v>
      </c>
      <c r="E990" s="15"/>
      <c r="F990" s="15" t="str">
        <f t="shared" si="1"/>
        <v/>
      </c>
      <c r="G990" s="15">
        <f t="shared" si="2"/>
        <v>5.61</v>
      </c>
      <c r="H990" s="16">
        <v>1.0</v>
      </c>
      <c r="I990" s="15">
        <f t="shared" si="3"/>
        <v>3.65</v>
      </c>
      <c r="J990" s="15">
        <v>17.19</v>
      </c>
      <c r="K990" s="16">
        <f>IF(COUNTIFS(Release_Calendar!$A$2:$A$755,"US_CPI",Release_Calendar!$B$2:$B$755,$A990)&gt;0,1,0)</f>
        <v>1</v>
      </c>
      <c r="L990" s="16">
        <f>IF(COUNTIFS(Release_Calendar!$A$2:$A$755,"US_NFP",Release_Calendar!$B$2:$B$755,$A990)&gt;0,1,0)</f>
        <v>0</v>
      </c>
      <c r="M990" s="16" t="str">
        <f>IF($A990&lt;Notes!$B$5,"",IF(COUNTIFS(Release_Calendar!$A$2:$A$755,"NZ_CPI",Release_Calendar!$B$2:$B$755,$A990)&gt;0,1,0))</f>
        <v/>
      </c>
      <c r="N990" s="16" t="str">
        <f>IF($A990&lt;Notes!$B$5,"",IF(COUNTIFS(Release_Calendar!$A$2:$A$755,"NZ_GDP",Release_Calendar!$B$2:$B$755,$A990)&gt;0,1,0))</f>
        <v/>
      </c>
      <c r="O990" s="16" t="str">
        <f>IF($A990&lt;Notes!$B$5,"",IF(COUNTIFS(Release_Calendar!$A$2:$A$755,"NZ_LABOUR",Release_Calendar!$B$2:$B$755,$A990)&gt;0,1,0))</f>
        <v/>
      </c>
      <c r="P990" s="16">
        <f t="shared" si="4"/>
        <v>1</v>
      </c>
    </row>
    <row r="991" ht="15.75" customHeight="1">
      <c r="A991" s="14">
        <v>37911.0</v>
      </c>
      <c r="B991" s="15">
        <v>1.9</v>
      </c>
      <c r="C991" s="15"/>
      <c r="D991" s="15">
        <v>5.65</v>
      </c>
      <c r="E991" s="15"/>
      <c r="F991" s="15" t="str">
        <f t="shared" si="1"/>
        <v/>
      </c>
      <c r="G991" s="15">
        <f t="shared" si="2"/>
        <v>5.65</v>
      </c>
      <c r="H991" s="16">
        <v>1.0</v>
      </c>
      <c r="I991" s="15">
        <f t="shared" si="3"/>
        <v>3.75</v>
      </c>
      <c r="J991" s="15">
        <v>17.62</v>
      </c>
      <c r="K991" s="16">
        <f>IF(COUNTIFS(Release_Calendar!$A$2:$A$755,"US_CPI",Release_Calendar!$B$2:$B$755,$A991)&gt;0,1,0)</f>
        <v>0</v>
      </c>
      <c r="L991" s="16">
        <f>IF(COUNTIFS(Release_Calendar!$A$2:$A$755,"US_NFP",Release_Calendar!$B$2:$B$755,$A991)&gt;0,1,0)</f>
        <v>0</v>
      </c>
      <c r="M991" s="16" t="str">
        <f>IF($A991&lt;Notes!$B$5,"",IF(COUNTIFS(Release_Calendar!$A$2:$A$755,"NZ_CPI",Release_Calendar!$B$2:$B$755,$A991)&gt;0,1,0))</f>
        <v/>
      </c>
      <c r="N991" s="16" t="str">
        <f>IF($A991&lt;Notes!$B$5,"",IF(COUNTIFS(Release_Calendar!$A$2:$A$755,"NZ_GDP",Release_Calendar!$B$2:$B$755,$A991)&gt;0,1,0))</f>
        <v/>
      </c>
      <c r="O991" s="16" t="str">
        <f>IF($A991&lt;Notes!$B$5,"",IF(COUNTIFS(Release_Calendar!$A$2:$A$755,"NZ_LABOUR",Release_Calendar!$B$2:$B$755,$A991)&gt;0,1,0))</f>
        <v/>
      </c>
      <c r="P991" s="16">
        <f t="shared" si="4"/>
        <v>0</v>
      </c>
    </row>
    <row r="992" ht="15.75" customHeight="1">
      <c r="A992" s="14">
        <v>37914.0</v>
      </c>
      <c r="B992" s="15">
        <v>1.88</v>
      </c>
      <c r="C992" s="15"/>
      <c r="D992" s="15">
        <v>5.59</v>
      </c>
      <c r="E992" s="15"/>
      <c r="F992" s="15" t="str">
        <f t="shared" si="1"/>
        <v/>
      </c>
      <c r="G992" s="15">
        <f t="shared" si="2"/>
        <v>5.59</v>
      </c>
      <c r="H992" s="16">
        <v>1.0</v>
      </c>
      <c r="I992" s="15">
        <f t="shared" si="3"/>
        <v>3.71</v>
      </c>
      <c r="J992" s="15">
        <v>17.04</v>
      </c>
      <c r="K992" s="16">
        <f>IF(COUNTIFS(Release_Calendar!$A$2:$A$755,"US_CPI",Release_Calendar!$B$2:$B$755,$A992)&gt;0,1,0)</f>
        <v>0</v>
      </c>
      <c r="L992" s="16">
        <f>IF(COUNTIFS(Release_Calendar!$A$2:$A$755,"US_NFP",Release_Calendar!$B$2:$B$755,$A992)&gt;0,1,0)</f>
        <v>0</v>
      </c>
      <c r="M992" s="16" t="str">
        <f>IF($A992&lt;Notes!$B$5,"",IF(COUNTIFS(Release_Calendar!$A$2:$A$755,"NZ_CPI",Release_Calendar!$B$2:$B$755,$A992)&gt;0,1,0))</f>
        <v/>
      </c>
      <c r="N992" s="16" t="str">
        <f>IF($A992&lt;Notes!$B$5,"",IF(COUNTIFS(Release_Calendar!$A$2:$A$755,"NZ_GDP",Release_Calendar!$B$2:$B$755,$A992)&gt;0,1,0))</f>
        <v/>
      </c>
      <c r="O992" s="16" t="str">
        <f>IF($A992&lt;Notes!$B$5,"",IF(COUNTIFS(Release_Calendar!$A$2:$A$755,"NZ_LABOUR",Release_Calendar!$B$2:$B$755,$A992)&gt;0,1,0))</f>
        <v/>
      </c>
      <c r="P992" s="16">
        <f t="shared" si="4"/>
        <v>0</v>
      </c>
    </row>
    <row r="993" ht="15.75" customHeight="1">
      <c r="A993" s="14">
        <v>37915.0</v>
      </c>
      <c r="B993" s="15">
        <v>1.89</v>
      </c>
      <c r="C993" s="15"/>
      <c r="D993" s="15">
        <v>5.62</v>
      </c>
      <c r="E993" s="15"/>
      <c r="F993" s="15" t="str">
        <f t="shared" si="1"/>
        <v/>
      </c>
      <c r="G993" s="15">
        <f t="shared" si="2"/>
        <v>5.62</v>
      </c>
      <c r="H993" s="16">
        <v>1.0</v>
      </c>
      <c r="I993" s="15">
        <f t="shared" si="3"/>
        <v>3.73</v>
      </c>
      <c r="J993" s="15">
        <v>16.55</v>
      </c>
      <c r="K993" s="16">
        <f>IF(COUNTIFS(Release_Calendar!$A$2:$A$755,"US_CPI",Release_Calendar!$B$2:$B$755,$A993)&gt;0,1,0)</f>
        <v>0</v>
      </c>
      <c r="L993" s="16">
        <f>IF(COUNTIFS(Release_Calendar!$A$2:$A$755,"US_NFP",Release_Calendar!$B$2:$B$755,$A993)&gt;0,1,0)</f>
        <v>0</v>
      </c>
      <c r="M993" s="16" t="str">
        <f>IF($A993&lt;Notes!$B$5,"",IF(COUNTIFS(Release_Calendar!$A$2:$A$755,"NZ_CPI",Release_Calendar!$B$2:$B$755,$A993)&gt;0,1,0))</f>
        <v/>
      </c>
      <c r="N993" s="16" t="str">
        <f>IF($A993&lt;Notes!$B$5,"",IF(COUNTIFS(Release_Calendar!$A$2:$A$755,"NZ_GDP",Release_Calendar!$B$2:$B$755,$A993)&gt;0,1,0))</f>
        <v/>
      </c>
      <c r="O993" s="16" t="str">
        <f>IF($A993&lt;Notes!$B$5,"",IF(COUNTIFS(Release_Calendar!$A$2:$A$755,"NZ_LABOUR",Release_Calendar!$B$2:$B$755,$A993)&gt;0,1,0))</f>
        <v/>
      </c>
      <c r="P993" s="16">
        <f t="shared" si="4"/>
        <v>0</v>
      </c>
    </row>
    <row r="994" ht="15.75" customHeight="1">
      <c r="A994" s="14">
        <v>37916.0</v>
      </c>
      <c r="B994" s="15">
        <v>1.8</v>
      </c>
      <c r="C994" s="15"/>
      <c r="D994" s="15">
        <v>5.66</v>
      </c>
      <c r="E994" s="15"/>
      <c r="F994" s="15" t="str">
        <f t="shared" si="1"/>
        <v/>
      </c>
      <c r="G994" s="15">
        <f t="shared" si="2"/>
        <v>5.66</v>
      </c>
      <c r="H994" s="16">
        <v>1.0</v>
      </c>
      <c r="I994" s="15">
        <f t="shared" si="3"/>
        <v>3.86</v>
      </c>
      <c r="J994" s="15">
        <v>17.67</v>
      </c>
      <c r="K994" s="16">
        <f>IF(COUNTIFS(Release_Calendar!$A$2:$A$755,"US_CPI",Release_Calendar!$B$2:$B$755,$A994)&gt;0,1,0)</f>
        <v>0</v>
      </c>
      <c r="L994" s="16">
        <f>IF(COUNTIFS(Release_Calendar!$A$2:$A$755,"US_NFP",Release_Calendar!$B$2:$B$755,$A994)&gt;0,1,0)</f>
        <v>0</v>
      </c>
      <c r="M994" s="16" t="str">
        <f>IF($A994&lt;Notes!$B$5,"",IF(COUNTIFS(Release_Calendar!$A$2:$A$755,"NZ_CPI",Release_Calendar!$B$2:$B$755,$A994)&gt;0,1,0))</f>
        <v/>
      </c>
      <c r="N994" s="16" t="str">
        <f>IF($A994&lt;Notes!$B$5,"",IF(COUNTIFS(Release_Calendar!$A$2:$A$755,"NZ_GDP",Release_Calendar!$B$2:$B$755,$A994)&gt;0,1,0))</f>
        <v/>
      </c>
      <c r="O994" s="16" t="str">
        <f>IF($A994&lt;Notes!$B$5,"",IF(COUNTIFS(Release_Calendar!$A$2:$A$755,"NZ_LABOUR",Release_Calendar!$B$2:$B$755,$A994)&gt;0,1,0))</f>
        <v/>
      </c>
      <c r="P994" s="16">
        <f t="shared" si="4"/>
        <v>0</v>
      </c>
    </row>
    <row r="995" ht="15.75" customHeight="1">
      <c r="A995" s="14">
        <v>37917.0</v>
      </c>
      <c r="B995" s="15">
        <v>1.84</v>
      </c>
      <c r="C995" s="15"/>
      <c r="D995" s="15">
        <v>5.61</v>
      </c>
      <c r="E995" s="15"/>
      <c r="F995" s="15" t="str">
        <f t="shared" si="1"/>
        <v/>
      </c>
      <c r="G995" s="15">
        <f t="shared" si="2"/>
        <v>5.61</v>
      </c>
      <c r="H995" s="16">
        <v>1.0</v>
      </c>
      <c r="I995" s="15">
        <f t="shared" si="3"/>
        <v>3.77</v>
      </c>
      <c r="J995" s="15">
        <v>17.68</v>
      </c>
      <c r="K995" s="16">
        <f>IF(COUNTIFS(Release_Calendar!$A$2:$A$755,"US_CPI",Release_Calendar!$B$2:$B$755,$A995)&gt;0,1,0)</f>
        <v>0</v>
      </c>
      <c r="L995" s="16">
        <f>IF(COUNTIFS(Release_Calendar!$A$2:$A$755,"US_NFP",Release_Calendar!$B$2:$B$755,$A995)&gt;0,1,0)</f>
        <v>0</v>
      </c>
      <c r="M995" s="16" t="str">
        <f>IF($A995&lt;Notes!$B$5,"",IF(COUNTIFS(Release_Calendar!$A$2:$A$755,"NZ_CPI",Release_Calendar!$B$2:$B$755,$A995)&gt;0,1,0))</f>
        <v/>
      </c>
      <c r="N995" s="16" t="str">
        <f>IF($A995&lt;Notes!$B$5,"",IF(COUNTIFS(Release_Calendar!$A$2:$A$755,"NZ_GDP",Release_Calendar!$B$2:$B$755,$A995)&gt;0,1,0))</f>
        <v/>
      </c>
      <c r="O995" s="16" t="str">
        <f>IF($A995&lt;Notes!$B$5,"",IF(COUNTIFS(Release_Calendar!$A$2:$A$755,"NZ_LABOUR",Release_Calendar!$B$2:$B$755,$A995)&gt;0,1,0))</f>
        <v/>
      </c>
      <c r="P995" s="16">
        <f t="shared" si="4"/>
        <v>0</v>
      </c>
    </row>
    <row r="996" ht="15.75" customHeight="1">
      <c r="A996" s="14">
        <v>37918.0</v>
      </c>
      <c r="B996" s="15">
        <v>1.76</v>
      </c>
      <c r="C996" s="15"/>
      <c r="D996" s="15">
        <v>5.69</v>
      </c>
      <c r="E996" s="15"/>
      <c r="F996" s="15" t="str">
        <f t="shared" si="1"/>
        <v/>
      </c>
      <c r="G996" s="15">
        <f t="shared" si="2"/>
        <v>5.69</v>
      </c>
      <c r="H996" s="16">
        <v>1.0</v>
      </c>
      <c r="I996" s="15">
        <f t="shared" si="3"/>
        <v>3.93</v>
      </c>
      <c r="J996" s="15">
        <v>17.71</v>
      </c>
      <c r="K996" s="16">
        <f>IF(COUNTIFS(Release_Calendar!$A$2:$A$755,"US_CPI",Release_Calendar!$B$2:$B$755,$A996)&gt;0,1,0)</f>
        <v>0</v>
      </c>
      <c r="L996" s="16">
        <f>IF(COUNTIFS(Release_Calendar!$A$2:$A$755,"US_NFP",Release_Calendar!$B$2:$B$755,$A996)&gt;0,1,0)</f>
        <v>0</v>
      </c>
      <c r="M996" s="16" t="str">
        <f>IF($A996&lt;Notes!$B$5,"",IF(COUNTIFS(Release_Calendar!$A$2:$A$755,"NZ_CPI",Release_Calendar!$B$2:$B$755,$A996)&gt;0,1,0))</f>
        <v/>
      </c>
      <c r="N996" s="16" t="str">
        <f>IF($A996&lt;Notes!$B$5,"",IF(COUNTIFS(Release_Calendar!$A$2:$A$755,"NZ_GDP",Release_Calendar!$B$2:$B$755,$A996)&gt;0,1,0))</f>
        <v/>
      </c>
      <c r="O996" s="16" t="str">
        <f>IF($A996&lt;Notes!$B$5,"",IF(COUNTIFS(Release_Calendar!$A$2:$A$755,"NZ_LABOUR",Release_Calendar!$B$2:$B$755,$A996)&gt;0,1,0))</f>
        <v/>
      </c>
      <c r="P996" s="16">
        <f t="shared" si="4"/>
        <v>0</v>
      </c>
    </row>
    <row r="997" ht="15.75" customHeight="1">
      <c r="A997" s="14">
        <v>37921.0</v>
      </c>
      <c r="B997" s="15">
        <v>1.83</v>
      </c>
      <c r="C997" s="15"/>
      <c r="D997" s="15"/>
      <c r="E997" s="15"/>
      <c r="F997" s="15" t="str">
        <f t="shared" si="1"/>
        <v/>
      </c>
      <c r="G997" s="15" t="str">
        <f t="shared" si="2"/>
        <v/>
      </c>
      <c r="H997" s="16">
        <v>1.0</v>
      </c>
      <c r="I997" s="15" t="str">
        <f t="shared" si="3"/>
        <v/>
      </c>
      <c r="J997" s="15">
        <v>18.05</v>
      </c>
      <c r="K997" s="16">
        <f>IF(COUNTIFS(Release_Calendar!$A$2:$A$755,"US_CPI",Release_Calendar!$B$2:$B$755,$A997)&gt;0,1,0)</f>
        <v>0</v>
      </c>
      <c r="L997" s="16">
        <f>IF(COUNTIFS(Release_Calendar!$A$2:$A$755,"US_NFP",Release_Calendar!$B$2:$B$755,$A997)&gt;0,1,0)</f>
        <v>0</v>
      </c>
      <c r="M997" s="16" t="str">
        <f>IF($A997&lt;Notes!$B$5,"",IF(COUNTIFS(Release_Calendar!$A$2:$A$755,"NZ_CPI",Release_Calendar!$B$2:$B$755,$A997)&gt;0,1,0))</f>
        <v/>
      </c>
      <c r="N997" s="16" t="str">
        <f>IF($A997&lt;Notes!$B$5,"",IF(COUNTIFS(Release_Calendar!$A$2:$A$755,"NZ_GDP",Release_Calendar!$B$2:$B$755,$A997)&gt;0,1,0))</f>
        <v/>
      </c>
      <c r="O997" s="16" t="str">
        <f>IF($A997&lt;Notes!$B$5,"",IF(COUNTIFS(Release_Calendar!$A$2:$A$755,"NZ_LABOUR",Release_Calendar!$B$2:$B$755,$A997)&gt;0,1,0))</f>
        <v/>
      </c>
      <c r="P997" s="16">
        <f t="shared" si="4"/>
        <v>0</v>
      </c>
    </row>
    <row r="998" ht="15.75" customHeight="1">
      <c r="A998" s="14">
        <v>37922.0</v>
      </c>
      <c r="B998" s="15">
        <v>1.71</v>
      </c>
      <c r="C998" s="15"/>
      <c r="D998" s="15">
        <v>5.71</v>
      </c>
      <c r="E998" s="15"/>
      <c r="F998" s="15" t="str">
        <f t="shared" si="1"/>
        <v/>
      </c>
      <c r="G998" s="15">
        <f t="shared" si="2"/>
        <v>5.71</v>
      </c>
      <c r="H998" s="16">
        <v>1.0</v>
      </c>
      <c r="I998" s="15">
        <f t="shared" si="3"/>
        <v>4</v>
      </c>
      <c r="J998" s="15">
        <v>16.82</v>
      </c>
      <c r="K998" s="16">
        <f>IF(COUNTIFS(Release_Calendar!$A$2:$A$755,"US_CPI",Release_Calendar!$B$2:$B$755,$A998)&gt;0,1,0)</f>
        <v>0</v>
      </c>
      <c r="L998" s="16">
        <f>IF(COUNTIFS(Release_Calendar!$A$2:$A$755,"US_NFP",Release_Calendar!$B$2:$B$755,$A998)&gt;0,1,0)</f>
        <v>0</v>
      </c>
      <c r="M998" s="16" t="str">
        <f>IF($A998&lt;Notes!$B$5,"",IF(COUNTIFS(Release_Calendar!$A$2:$A$755,"NZ_CPI",Release_Calendar!$B$2:$B$755,$A998)&gt;0,1,0))</f>
        <v/>
      </c>
      <c r="N998" s="16" t="str">
        <f>IF($A998&lt;Notes!$B$5,"",IF(COUNTIFS(Release_Calendar!$A$2:$A$755,"NZ_GDP",Release_Calendar!$B$2:$B$755,$A998)&gt;0,1,0))</f>
        <v/>
      </c>
      <c r="O998" s="16" t="str">
        <f>IF($A998&lt;Notes!$B$5,"",IF(COUNTIFS(Release_Calendar!$A$2:$A$755,"NZ_LABOUR",Release_Calendar!$B$2:$B$755,$A998)&gt;0,1,0))</f>
        <v/>
      </c>
      <c r="P998" s="16">
        <f t="shared" si="4"/>
        <v>0</v>
      </c>
    </row>
    <row r="999" ht="15.75" customHeight="1">
      <c r="A999" s="14">
        <v>37923.0</v>
      </c>
      <c r="B999" s="15">
        <v>1.79</v>
      </c>
      <c r="C999" s="15"/>
      <c r="D999" s="15">
        <v>5.63</v>
      </c>
      <c r="E999" s="15"/>
      <c r="F999" s="15" t="str">
        <f t="shared" si="1"/>
        <v/>
      </c>
      <c r="G999" s="15">
        <f t="shared" si="2"/>
        <v>5.63</v>
      </c>
      <c r="H999" s="16">
        <v>1.0</v>
      </c>
      <c r="I999" s="15">
        <f t="shared" si="3"/>
        <v>3.84</v>
      </c>
      <c r="J999" s="15">
        <v>16.43</v>
      </c>
      <c r="K999" s="16">
        <f>IF(COUNTIFS(Release_Calendar!$A$2:$A$755,"US_CPI",Release_Calendar!$B$2:$B$755,$A999)&gt;0,1,0)</f>
        <v>0</v>
      </c>
      <c r="L999" s="16">
        <f>IF(COUNTIFS(Release_Calendar!$A$2:$A$755,"US_NFP",Release_Calendar!$B$2:$B$755,$A999)&gt;0,1,0)</f>
        <v>0</v>
      </c>
      <c r="M999" s="16" t="str">
        <f>IF($A999&lt;Notes!$B$5,"",IF(COUNTIFS(Release_Calendar!$A$2:$A$755,"NZ_CPI",Release_Calendar!$B$2:$B$755,$A999)&gt;0,1,0))</f>
        <v/>
      </c>
      <c r="N999" s="16" t="str">
        <f>IF($A999&lt;Notes!$B$5,"",IF(COUNTIFS(Release_Calendar!$A$2:$A$755,"NZ_GDP",Release_Calendar!$B$2:$B$755,$A999)&gt;0,1,0))</f>
        <v/>
      </c>
      <c r="O999" s="16" t="str">
        <f>IF($A999&lt;Notes!$B$5,"",IF(COUNTIFS(Release_Calendar!$A$2:$A$755,"NZ_LABOUR",Release_Calendar!$B$2:$B$755,$A999)&gt;0,1,0))</f>
        <v/>
      </c>
      <c r="P999" s="16">
        <f t="shared" si="4"/>
        <v>0</v>
      </c>
    </row>
    <row r="1000" ht="15.75" customHeight="1">
      <c r="A1000" s="14">
        <v>37924.0</v>
      </c>
      <c r="B1000" s="15">
        <v>1.86</v>
      </c>
      <c r="C1000" s="15"/>
      <c r="D1000" s="15">
        <v>5.71</v>
      </c>
      <c r="E1000" s="15"/>
      <c r="F1000" s="15" t="str">
        <f t="shared" si="1"/>
        <v/>
      </c>
      <c r="G1000" s="15">
        <f t="shared" si="2"/>
        <v>5.71</v>
      </c>
      <c r="H1000" s="16">
        <v>1.0</v>
      </c>
      <c r="I1000" s="15">
        <f t="shared" si="3"/>
        <v>3.85</v>
      </c>
      <c r="J1000" s="15">
        <v>16.33</v>
      </c>
      <c r="K1000" s="16">
        <f>IF(COUNTIFS(Release_Calendar!$A$2:$A$755,"US_CPI",Release_Calendar!$B$2:$B$755,$A1000)&gt;0,1,0)</f>
        <v>0</v>
      </c>
      <c r="L1000" s="16">
        <f>IF(COUNTIFS(Release_Calendar!$A$2:$A$755,"US_NFP",Release_Calendar!$B$2:$B$755,$A1000)&gt;0,1,0)</f>
        <v>0</v>
      </c>
      <c r="M1000" s="16" t="str">
        <f>IF($A1000&lt;Notes!$B$5,"",IF(COUNTIFS(Release_Calendar!$A$2:$A$755,"NZ_CPI",Release_Calendar!$B$2:$B$755,$A1000)&gt;0,1,0))</f>
        <v/>
      </c>
      <c r="N1000" s="16" t="str">
        <f>IF($A1000&lt;Notes!$B$5,"",IF(COUNTIFS(Release_Calendar!$A$2:$A$755,"NZ_GDP",Release_Calendar!$B$2:$B$755,$A1000)&gt;0,1,0))</f>
        <v/>
      </c>
      <c r="O1000" s="16" t="str">
        <f>IF($A1000&lt;Notes!$B$5,"",IF(COUNTIFS(Release_Calendar!$A$2:$A$755,"NZ_LABOUR",Release_Calendar!$B$2:$B$755,$A1000)&gt;0,1,0))</f>
        <v/>
      </c>
      <c r="P1000" s="16">
        <f t="shared" si="4"/>
        <v>0</v>
      </c>
    </row>
    <row r="1001" ht="15.75" customHeight="1">
      <c r="A1001" s="14">
        <v>37925.0</v>
      </c>
      <c r="B1001" s="15">
        <v>1.85</v>
      </c>
      <c r="C1001" s="15"/>
      <c r="D1001" s="15">
        <v>5.72</v>
      </c>
      <c r="E1001" s="15"/>
      <c r="F1001" s="15" t="str">
        <f t="shared" si="1"/>
        <v/>
      </c>
      <c r="G1001" s="15">
        <f t="shared" si="2"/>
        <v>5.72</v>
      </c>
      <c r="H1001" s="16">
        <v>1.0</v>
      </c>
      <c r="I1001" s="15">
        <f t="shared" si="3"/>
        <v>3.87</v>
      </c>
      <c r="J1001" s="15">
        <v>16.1</v>
      </c>
      <c r="K1001" s="16">
        <f>IF(COUNTIFS(Release_Calendar!$A$2:$A$755,"US_CPI",Release_Calendar!$B$2:$B$755,$A1001)&gt;0,1,0)</f>
        <v>0</v>
      </c>
      <c r="L1001" s="16">
        <f>IF(COUNTIFS(Release_Calendar!$A$2:$A$755,"US_NFP",Release_Calendar!$B$2:$B$755,$A1001)&gt;0,1,0)</f>
        <v>0</v>
      </c>
      <c r="M1001" s="16" t="str">
        <f>IF($A1001&lt;Notes!$B$5,"",IF(COUNTIFS(Release_Calendar!$A$2:$A$755,"NZ_CPI",Release_Calendar!$B$2:$B$755,$A1001)&gt;0,1,0))</f>
        <v/>
      </c>
      <c r="N1001" s="16" t="str">
        <f>IF($A1001&lt;Notes!$B$5,"",IF(COUNTIFS(Release_Calendar!$A$2:$A$755,"NZ_GDP",Release_Calendar!$B$2:$B$755,$A1001)&gt;0,1,0))</f>
        <v/>
      </c>
      <c r="O1001" s="16" t="str">
        <f>IF($A1001&lt;Notes!$B$5,"",IF(COUNTIFS(Release_Calendar!$A$2:$A$755,"NZ_LABOUR",Release_Calendar!$B$2:$B$755,$A1001)&gt;0,1,0))</f>
        <v/>
      </c>
      <c r="P1001" s="16">
        <f t="shared" si="4"/>
        <v>0</v>
      </c>
    </row>
    <row r="1002" ht="15.75" customHeight="1">
      <c r="A1002" s="14">
        <v>37928.0</v>
      </c>
      <c r="B1002" s="15">
        <v>1.9</v>
      </c>
      <c r="C1002" s="15"/>
      <c r="D1002" s="15">
        <v>5.77</v>
      </c>
      <c r="E1002" s="15"/>
      <c r="F1002" s="15" t="str">
        <f t="shared" si="1"/>
        <v/>
      </c>
      <c r="G1002" s="15">
        <f t="shared" si="2"/>
        <v>5.77</v>
      </c>
      <c r="H1002" s="16">
        <v>1.0</v>
      </c>
      <c r="I1002" s="15">
        <f t="shared" si="3"/>
        <v>3.87</v>
      </c>
      <c r="J1002" s="15">
        <v>16.55</v>
      </c>
      <c r="K1002" s="16">
        <f>IF(COUNTIFS(Release_Calendar!$A$2:$A$755,"US_CPI",Release_Calendar!$B$2:$B$755,$A1002)&gt;0,1,0)</f>
        <v>0</v>
      </c>
      <c r="L1002" s="16">
        <f>IF(COUNTIFS(Release_Calendar!$A$2:$A$755,"US_NFP",Release_Calendar!$B$2:$B$755,$A1002)&gt;0,1,0)</f>
        <v>0</v>
      </c>
      <c r="M1002" s="16" t="str">
        <f>IF($A1002&lt;Notes!$B$5,"",IF(COUNTIFS(Release_Calendar!$A$2:$A$755,"NZ_CPI",Release_Calendar!$B$2:$B$755,$A1002)&gt;0,1,0))</f>
        <v/>
      </c>
      <c r="N1002" s="16" t="str">
        <f>IF($A1002&lt;Notes!$B$5,"",IF(COUNTIFS(Release_Calendar!$A$2:$A$755,"NZ_GDP",Release_Calendar!$B$2:$B$755,$A1002)&gt;0,1,0))</f>
        <v/>
      </c>
      <c r="O1002" s="16" t="str">
        <f>IF($A1002&lt;Notes!$B$5,"",IF(COUNTIFS(Release_Calendar!$A$2:$A$755,"NZ_LABOUR",Release_Calendar!$B$2:$B$755,$A1002)&gt;0,1,0))</f>
        <v/>
      </c>
      <c r="P1002" s="16">
        <f t="shared" si="4"/>
        <v>0</v>
      </c>
    </row>
    <row r="1003" ht="15.75" customHeight="1">
      <c r="A1003" s="14">
        <v>37929.0</v>
      </c>
      <c r="B1003" s="15">
        <v>1.86</v>
      </c>
      <c r="C1003" s="15"/>
      <c r="D1003" s="15">
        <v>5.78</v>
      </c>
      <c r="E1003" s="15"/>
      <c r="F1003" s="15" t="str">
        <f t="shared" si="1"/>
        <v/>
      </c>
      <c r="G1003" s="15">
        <f t="shared" si="2"/>
        <v>5.78</v>
      </c>
      <c r="H1003" s="16">
        <v>1.0</v>
      </c>
      <c r="I1003" s="15">
        <f t="shared" si="3"/>
        <v>3.92</v>
      </c>
      <c r="J1003" s="15">
        <v>16.55</v>
      </c>
      <c r="K1003" s="16">
        <f>IF(COUNTIFS(Release_Calendar!$A$2:$A$755,"US_CPI",Release_Calendar!$B$2:$B$755,$A1003)&gt;0,1,0)</f>
        <v>0</v>
      </c>
      <c r="L1003" s="16">
        <f>IF(COUNTIFS(Release_Calendar!$A$2:$A$755,"US_NFP",Release_Calendar!$B$2:$B$755,$A1003)&gt;0,1,0)</f>
        <v>0</v>
      </c>
      <c r="M1003" s="16" t="str">
        <f>IF($A1003&lt;Notes!$B$5,"",IF(COUNTIFS(Release_Calendar!$A$2:$A$755,"NZ_CPI",Release_Calendar!$B$2:$B$755,$A1003)&gt;0,1,0))</f>
        <v/>
      </c>
      <c r="N1003" s="16" t="str">
        <f>IF($A1003&lt;Notes!$B$5,"",IF(COUNTIFS(Release_Calendar!$A$2:$A$755,"NZ_GDP",Release_Calendar!$B$2:$B$755,$A1003)&gt;0,1,0))</f>
        <v/>
      </c>
      <c r="O1003" s="16" t="str">
        <f>IF($A1003&lt;Notes!$B$5,"",IF(COUNTIFS(Release_Calendar!$A$2:$A$755,"NZ_LABOUR",Release_Calendar!$B$2:$B$755,$A1003)&gt;0,1,0))</f>
        <v/>
      </c>
      <c r="P1003" s="16">
        <f t="shared" si="4"/>
        <v>0</v>
      </c>
    </row>
    <row r="1004" ht="15.75" customHeight="1">
      <c r="A1004" s="14">
        <v>37930.0</v>
      </c>
      <c r="B1004" s="15">
        <v>1.94</v>
      </c>
      <c r="C1004" s="15"/>
      <c r="D1004" s="15">
        <v>5.74</v>
      </c>
      <c r="E1004" s="15"/>
      <c r="F1004" s="15" t="str">
        <f t="shared" si="1"/>
        <v/>
      </c>
      <c r="G1004" s="15">
        <f t="shared" si="2"/>
        <v>5.74</v>
      </c>
      <c r="H1004" s="16">
        <v>1.0</v>
      </c>
      <c r="I1004" s="15">
        <f t="shared" si="3"/>
        <v>3.8</v>
      </c>
      <c r="J1004" s="15">
        <v>16.86</v>
      </c>
      <c r="K1004" s="16">
        <f>IF(COUNTIFS(Release_Calendar!$A$2:$A$755,"US_CPI",Release_Calendar!$B$2:$B$755,$A1004)&gt;0,1,0)</f>
        <v>0</v>
      </c>
      <c r="L1004" s="16">
        <f>IF(COUNTIFS(Release_Calendar!$A$2:$A$755,"US_NFP",Release_Calendar!$B$2:$B$755,$A1004)&gt;0,1,0)</f>
        <v>0</v>
      </c>
      <c r="M1004" s="16" t="str">
        <f>IF($A1004&lt;Notes!$B$5,"",IF(COUNTIFS(Release_Calendar!$A$2:$A$755,"NZ_CPI",Release_Calendar!$B$2:$B$755,$A1004)&gt;0,1,0))</f>
        <v/>
      </c>
      <c r="N1004" s="16" t="str">
        <f>IF($A1004&lt;Notes!$B$5,"",IF(COUNTIFS(Release_Calendar!$A$2:$A$755,"NZ_GDP",Release_Calendar!$B$2:$B$755,$A1004)&gt;0,1,0))</f>
        <v/>
      </c>
      <c r="O1004" s="16" t="str">
        <f>IF($A1004&lt;Notes!$B$5,"",IF(COUNTIFS(Release_Calendar!$A$2:$A$755,"NZ_LABOUR",Release_Calendar!$B$2:$B$755,$A1004)&gt;0,1,0))</f>
        <v/>
      </c>
      <c r="P1004" s="16">
        <f t="shared" si="4"/>
        <v>0</v>
      </c>
    </row>
    <row r="1005" ht="15.75" customHeight="1">
      <c r="A1005" s="14">
        <v>37931.0</v>
      </c>
      <c r="B1005" s="15">
        <v>2.01</v>
      </c>
      <c r="C1005" s="15"/>
      <c r="D1005" s="15">
        <v>5.88</v>
      </c>
      <c r="E1005" s="15"/>
      <c r="F1005" s="15" t="str">
        <f t="shared" si="1"/>
        <v/>
      </c>
      <c r="G1005" s="15">
        <f t="shared" si="2"/>
        <v>5.88</v>
      </c>
      <c r="H1005" s="16">
        <v>1.0</v>
      </c>
      <c r="I1005" s="15">
        <f t="shared" si="3"/>
        <v>3.87</v>
      </c>
      <c r="J1005" s="15">
        <v>16.74</v>
      </c>
      <c r="K1005" s="16">
        <f>IF(COUNTIFS(Release_Calendar!$A$2:$A$755,"US_CPI",Release_Calendar!$B$2:$B$755,$A1005)&gt;0,1,0)</f>
        <v>0</v>
      </c>
      <c r="L1005" s="16">
        <f>IF(COUNTIFS(Release_Calendar!$A$2:$A$755,"US_NFP",Release_Calendar!$B$2:$B$755,$A1005)&gt;0,1,0)</f>
        <v>0</v>
      </c>
      <c r="M1005" s="16" t="str">
        <f>IF($A1005&lt;Notes!$B$5,"",IF(COUNTIFS(Release_Calendar!$A$2:$A$755,"NZ_CPI",Release_Calendar!$B$2:$B$755,$A1005)&gt;0,1,0))</f>
        <v/>
      </c>
      <c r="N1005" s="16" t="str">
        <f>IF($A1005&lt;Notes!$B$5,"",IF(COUNTIFS(Release_Calendar!$A$2:$A$755,"NZ_GDP",Release_Calendar!$B$2:$B$755,$A1005)&gt;0,1,0))</f>
        <v/>
      </c>
      <c r="O1005" s="16" t="str">
        <f>IF($A1005&lt;Notes!$B$5,"",IF(COUNTIFS(Release_Calendar!$A$2:$A$755,"NZ_LABOUR",Release_Calendar!$B$2:$B$755,$A1005)&gt;0,1,0))</f>
        <v/>
      </c>
      <c r="P1005" s="16">
        <f t="shared" si="4"/>
        <v>0</v>
      </c>
    </row>
    <row r="1006" ht="15.75" customHeight="1">
      <c r="A1006" s="14">
        <v>37932.0</v>
      </c>
      <c r="B1006" s="15">
        <v>2.04</v>
      </c>
      <c r="C1006" s="15"/>
      <c r="D1006" s="15">
        <v>5.9</v>
      </c>
      <c r="E1006" s="15"/>
      <c r="F1006" s="15" t="str">
        <f t="shared" si="1"/>
        <v/>
      </c>
      <c r="G1006" s="15">
        <f t="shared" si="2"/>
        <v>5.9</v>
      </c>
      <c r="H1006" s="16">
        <v>1.0</v>
      </c>
      <c r="I1006" s="15">
        <f t="shared" si="3"/>
        <v>3.86</v>
      </c>
      <c r="J1006" s="15">
        <v>16.93</v>
      </c>
      <c r="K1006" s="16">
        <f>IF(COUNTIFS(Release_Calendar!$A$2:$A$755,"US_CPI",Release_Calendar!$B$2:$B$755,$A1006)&gt;0,1,0)</f>
        <v>0</v>
      </c>
      <c r="L1006" s="16">
        <f>IF(COUNTIFS(Release_Calendar!$A$2:$A$755,"US_NFP",Release_Calendar!$B$2:$B$755,$A1006)&gt;0,1,0)</f>
        <v>1</v>
      </c>
      <c r="M1006" s="16" t="str">
        <f>IF($A1006&lt;Notes!$B$5,"",IF(COUNTIFS(Release_Calendar!$A$2:$A$755,"NZ_CPI",Release_Calendar!$B$2:$B$755,$A1006)&gt;0,1,0))</f>
        <v/>
      </c>
      <c r="N1006" s="16" t="str">
        <f>IF($A1006&lt;Notes!$B$5,"",IF(COUNTIFS(Release_Calendar!$A$2:$A$755,"NZ_GDP",Release_Calendar!$B$2:$B$755,$A1006)&gt;0,1,0))</f>
        <v/>
      </c>
      <c r="O1006" s="16" t="str">
        <f>IF($A1006&lt;Notes!$B$5,"",IF(COUNTIFS(Release_Calendar!$A$2:$A$755,"NZ_LABOUR",Release_Calendar!$B$2:$B$755,$A1006)&gt;0,1,0))</f>
        <v/>
      </c>
      <c r="P1006" s="16">
        <f t="shared" si="4"/>
        <v>1</v>
      </c>
    </row>
    <row r="1007" ht="15.75" customHeight="1">
      <c r="A1007" s="14">
        <v>37935.0</v>
      </c>
      <c r="B1007" s="15">
        <v>2.06</v>
      </c>
      <c r="C1007" s="15"/>
      <c r="D1007" s="15">
        <v>5.89</v>
      </c>
      <c r="E1007" s="15"/>
      <c r="F1007" s="15" t="str">
        <f t="shared" si="1"/>
        <v/>
      </c>
      <c r="G1007" s="15">
        <f t="shared" si="2"/>
        <v>5.89</v>
      </c>
      <c r="H1007" s="16">
        <v>1.0</v>
      </c>
      <c r="I1007" s="15">
        <f t="shared" si="3"/>
        <v>3.83</v>
      </c>
      <c r="J1007" s="15">
        <v>17.62</v>
      </c>
      <c r="K1007" s="16">
        <f>IF(COUNTIFS(Release_Calendar!$A$2:$A$755,"US_CPI",Release_Calendar!$B$2:$B$755,$A1007)&gt;0,1,0)</f>
        <v>0</v>
      </c>
      <c r="L1007" s="16">
        <f>IF(COUNTIFS(Release_Calendar!$A$2:$A$755,"US_NFP",Release_Calendar!$B$2:$B$755,$A1007)&gt;0,1,0)</f>
        <v>0</v>
      </c>
      <c r="M1007" s="16" t="str">
        <f>IF($A1007&lt;Notes!$B$5,"",IF(COUNTIFS(Release_Calendar!$A$2:$A$755,"NZ_CPI",Release_Calendar!$B$2:$B$755,$A1007)&gt;0,1,0))</f>
        <v/>
      </c>
      <c r="N1007" s="16" t="str">
        <f>IF($A1007&lt;Notes!$B$5,"",IF(COUNTIFS(Release_Calendar!$A$2:$A$755,"NZ_GDP",Release_Calendar!$B$2:$B$755,$A1007)&gt;0,1,0))</f>
        <v/>
      </c>
      <c r="O1007" s="16" t="str">
        <f>IF($A1007&lt;Notes!$B$5,"",IF(COUNTIFS(Release_Calendar!$A$2:$A$755,"NZ_LABOUR",Release_Calendar!$B$2:$B$755,$A1007)&gt;0,1,0))</f>
        <v/>
      </c>
      <c r="P1007" s="16">
        <f t="shared" si="4"/>
        <v>0</v>
      </c>
    </row>
    <row r="1008" ht="15.75" customHeight="1">
      <c r="A1008" s="14">
        <v>37936.0</v>
      </c>
      <c r="B1008" s="15"/>
      <c r="C1008" s="15"/>
      <c r="D1008" s="15">
        <v>5.94</v>
      </c>
      <c r="E1008" s="15"/>
      <c r="F1008" s="15" t="str">
        <f t="shared" si="1"/>
        <v/>
      </c>
      <c r="G1008" s="15">
        <f t="shared" si="2"/>
        <v>5.94</v>
      </c>
      <c r="H1008" s="16">
        <v>1.0</v>
      </c>
      <c r="I1008" s="15" t="str">
        <f t="shared" si="3"/>
        <v/>
      </c>
      <c r="J1008" s="15">
        <v>17.54</v>
      </c>
      <c r="K1008" s="16">
        <f>IF(COUNTIFS(Release_Calendar!$A$2:$A$755,"US_CPI",Release_Calendar!$B$2:$B$755,$A1008)&gt;0,1,0)</f>
        <v>0</v>
      </c>
      <c r="L1008" s="16">
        <f>IF(COUNTIFS(Release_Calendar!$A$2:$A$755,"US_NFP",Release_Calendar!$B$2:$B$755,$A1008)&gt;0,1,0)</f>
        <v>0</v>
      </c>
      <c r="M1008" s="16" t="str">
        <f>IF($A1008&lt;Notes!$B$5,"",IF(COUNTIFS(Release_Calendar!$A$2:$A$755,"NZ_CPI",Release_Calendar!$B$2:$B$755,$A1008)&gt;0,1,0))</f>
        <v/>
      </c>
      <c r="N1008" s="16" t="str">
        <f>IF($A1008&lt;Notes!$B$5,"",IF(COUNTIFS(Release_Calendar!$A$2:$A$755,"NZ_GDP",Release_Calendar!$B$2:$B$755,$A1008)&gt;0,1,0))</f>
        <v/>
      </c>
      <c r="O1008" s="16" t="str">
        <f>IF($A1008&lt;Notes!$B$5,"",IF(COUNTIFS(Release_Calendar!$A$2:$A$755,"NZ_LABOUR",Release_Calendar!$B$2:$B$755,$A1008)&gt;0,1,0))</f>
        <v/>
      </c>
      <c r="P1008" s="16">
        <f t="shared" si="4"/>
        <v>0</v>
      </c>
    </row>
    <row r="1009" ht="15.75" customHeight="1">
      <c r="A1009" s="14">
        <v>37937.0</v>
      </c>
      <c r="B1009" s="15">
        <v>2.05</v>
      </c>
      <c r="C1009" s="15"/>
      <c r="D1009" s="15">
        <v>5.95</v>
      </c>
      <c r="E1009" s="15"/>
      <c r="F1009" s="15" t="str">
        <f t="shared" si="1"/>
        <v/>
      </c>
      <c r="G1009" s="15">
        <f t="shared" si="2"/>
        <v>5.95</v>
      </c>
      <c r="H1009" s="16">
        <v>1.0</v>
      </c>
      <c r="I1009" s="15">
        <f t="shared" si="3"/>
        <v>3.9</v>
      </c>
      <c r="J1009" s="15">
        <v>16.75</v>
      </c>
      <c r="K1009" s="16">
        <f>IF(COUNTIFS(Release_Calendar!$A$2:$A$755,"US_CPI",Release_Calendar!$B$2:$B$755,$A1009)&gt;0,1,0)</f>
        <v>0</v>
      </c>
      <c r="L1009" s="16">
        <f>IF(COUNTIFS(Release_Calendar!$A$2:$A$755,"US_NFP",Release_Calendar!$B$2:$B$755,$A1009)&gt;0,1,0)</f>
        <v>0</v>
      </c>
      <c r="M1009" s="16" t="str">
        <f>IF($A1009&lt;Notes!$B$5,"",IF(COUNTIFS(Release_Calendar!$A$2:$A$755,"NZ_CPI",Release_Calendar!$B$2:$B$755,$A1009)&gt;0,1,0))</f>
        <v/>
      </c>
      <c r="N1009" s="16" t="str">
        <f>IF($A1009&lt;Notes!$B$5,"",IF(COUNTIFS(Release_Calendar!$A$2:$A$755,"NZ_GDP",Release_Calendar!$B$2:$B$755,$A1009)&gt;0,1,0))</f>
        <v/>
      </c>
      <c r="O1009" s="16" t="str">
        <f>IF($A1009&lt;Notes!$B$5,"",IF(COUNTIFS(Release_Calendar!$A$2:$A$755,"NZ_LABOUR",Release_Calendar!$B$2:$B$755,$A1009)&gt;0,1,0))</f>
        <v/>
      </c>
      <c r="P1009" s="16">
        <f t="shared" si="4"/>
        <v>0</v>
      </c>
    </row>
    <row r="1010" ht="15.75" customHeight="1">
      <c r="A1010" s="14">
        <v>37938.0</v>
      </c>
      <c r="B1010" s="15">
        <v>1.92</v>
      </c>
      <c r="C1010" s="15"/>
      <c r="D1010" s="15">
        <v>5.88</v>
      </c>
      <c r="E1010" s="15"/>
      <c r="F1010" s="15" t="str">
        <f t="shared" si="1"/>
        <v/>
      </c>
      <c r="G1010" s="15">
        <f t="shared" si="2"/>
        <v>5.88</v>
      </c>
      <c r="H1010" s="16">
        <v>1.0</v>
      </c>
      <c r="I1010" s="15">
        <f t="shared" si="3"/>
        <v>3.96</v>
      </c>
      <c r="J1010" s="15">
        <v>16.47</v>
      </c>
      <c r="K1010" s="16">
        <f>IF(COUNTIFS(Release_Calendar!$A$2:$A$755,"US_CPI",Release_Calendar!$B$2:$B$755,$A1010)&gt;0,1,0)</f>
        <v>0</v>
      </c>
      <c r="L1010" s="16">
        <f>IF(COUNTIFS(Release_Calendar!$A$2:$A$755,"US_NFP",Release_Calendar!$B$2:$B$755,$A1010)&gt;0,1,0)</f>
        <v>0</v>
      </c>
      <c r="M1010" s="16" t="str">
        <f>IF($A1010&lt;Notes!$B$5,"",IF(COUNTIFS(Release_Calendar!$A$2:$A$755,"NZ_CPI",Release_Calendar!$B$2:$B$755,$A1010)&gt;0,1,0))</f>
        <v/>
      </c>
      <c r="N1010" s="16" t="str">
        <f>IF($A1010&lt;Notes!$B$5,"",IF(COUNTIFS(Release_Calendar!$A$2:$A$755,"NZ_GDP",Release_Calendar!$B$2:$B$755,$A1010)&gt;0,1,0))</f>
        <v/>
      </c>
      <c r="O1010" s="16" t="str">
        <f>IF($A1010&lt;Notes!$B$5,"",IF(COUNTIFS(Release_Calendar!$A$2:$A$755,"NZ_LABOUR",Release_Calendar!$B$2:$B$755,$A1010)&gt;0,1,0))</f>
        <v/>
      </c>
      <c r="P1010" s="16">
        <f t="shared" si="4"/>
        <v>0</v>
      </c>
    </row>
    <row r="1011" ht="15.75" customHeight="1">
      <c r="A1011" s="14">
        <v>37939.0</v>
      </c>
      <c r="B1011" s="15">
        <v>1.84</v>
      </c>
      <c r="C1011" s="15"/>
      <c r="D1011" s="15">
        <v>5.76</v>
      </c>
      <c r="E1011" s="15"/>
      <c r="F1011" s="15" t="str">
        <f t="shared" si="1"/>
        <v/>
      </c>
      <c r="G1011" s="15">
        <f t="shared" si="2"/>
        <v>5.76</v>
      </c>
      <c r="H1011" s="16">
        <v>1.0</v>
      </c>
      <c r="I1011" s="15">
        <f t="shared" si="3"/>
        <v>3.92</v>
      </c>
      <c r="J1011" s="15">
        <v>16.94</v>
      </c>
      <c r="K1011" s="16">
        <f>IF(COUNTIFS(Release_Calendar!$A$2:$A$755,"US_CPI",Release_Calendar!$B$2:$B$755,$A1011)&gt;0,1,0)</f>
        <v>0</v>
      </c>
      <c r="L1011" s="16">
        <f>IF(COUNTIFS(Release_Calendar!$A$2:$A$755,"US_NFP",Release_Calendar!$B$2:$B$755,$A1011)&gt;0,1,0)</f>
        <v>0</v>
      </c>
      <c r="M1011" s="16" t="str">
        <f>IF($A1011&lt;Notes!$B$5,"",IF(COUNTIFS(Release_Calendar!$A$2:$A$755,"NZ_CPI",Release_Calendar!$B$2:$B$755,$A1011)&gt;0,1,0))</f>
        <v/>
      </c>
      <c r="N1011" s="16" t="str">
        <f>IF($A1011&lt;Notes!$B$5,"",IF(COUNTIFS(Release_Calendar!$A$2:$A$755,"NZ_GDP",Release_Calendar!$B$2:$B$755,$A1011)&gt;0,1,0))</f>
        <v/>
      </c>
      <c r="O1011" s="16" t="str">
        <f>IF($A1011&lt;Notes!$B$5,"",IF(COUNTIFS(Release_Calendar!$A$2:$A$755,"NZ_LABOUR",Release_Calendar!$B$2:$B$755,$A1011)&gt;0,1,0))</f>
        <v/>
      </c>
      <c r="P1011" s="16">
        <f t="shared" si="4"/>
        <v>0</v>
      </c>
    </row>
    <row r="1012" ht="15.75" customHeight="1">
      <c r="A1012" s="14">
        <v>37942.0</v>
      </c>
      <c r="B1012" s="15">
        <v>1.8</v>
      </c>
      <c r="C1012" s="15"/>
      <c r="D1012" s="15">
        <v>5.75</v>
      </c>
      <c r="E1012" s="15"/>
      <c r="F1012" s="15" t="str">
        <f t="shared" si="1"/>
        <v/>
      </c>
      <c r="G1012" s="15">
        <f t="shared" si="2"/>
        <v>5.75</v>
      </c>
      <c r="H1012" s="16">
        <v>1.0</v>
      </c>
      <c r="I1012" s="15">
        <f t="shared" si="3"/>
        <v>3.95</v>
      </c>
      <c r="J1012" s="15">
        <v>18.6</v>
      </c>
      <c r="K1012" s="16">
        <f>IF(COUNTIFS(Release_Calendar!$A$2:$A$755,"US_CPI",Release_Calendar!$B$2:$B$755,$A1012)&gt;0,1,0)</f>
        <v>0</v>
      </c>
      <c r="L1012" s="16">
        <f>IF(COUNTIFS(Release_Calendar!$A$2:$A$755,"US_NFP",Release_Calendar!$B$2:$B$755,$A1012)&gt;0,1,0)</f>
        <v>0</v>
      </c>
      <c r="M1012" s="16" t="str">
        <f>IF($A1012&lt;Notes!$B$5,"",IF(COUNTIFS(Release_Calendar!$A$2:$A$755,"NZ_CPI",Release_Calendar!$B$2:$B$755,$A1012)&gt;0,1,0))</f>
        <v/>
      </c>
      <c r="N1012" s="16" t="str">
        <f>IF($A1012&lt;Notes!$B$5,"",IF(COUNTIFS(Release_Calendar!$A$2:$A$755,"NZ_GDP",Release_Calendar!$B$2:$B$755,$A1012)&gt;0,1,0))</f>
        <v/>
      </c>
      <c r="O1012" s="16" t="str">
        <f>IF($A1012&lt;Notes!$B$5,"",IF(COUNTIFS(Release_Calendar!$A$2:$A$755,"NZ_LABOUR",Release_Calendar!$B$2:$B$755,$A1012)&gt;0,1,0))</f>
        <v/>
      </c>
      <c r="P1012" s="16">
        <f t="shared" si="4"/>
        <v>0</v>
      </c>
    </row>
    <row r="1013" ht="15.75" customHeight="1">
      <c r="A1013" s="14">
        <v>37943.0</v>
      </c>
      <c r="B1013" s="15">
        <v>1.83</v>
      </c>
      <c r="C1013" s="15"/>
      <c r="D1013" s="15">
        <v>5.76</v>
      </c>
      <c r="E1013" s="15"/>
      <c r="F1013" s="15" t="str">
        <f t="shared" si="1"/>
        <v/>
      </c>
      <c r="G1013" s="15">
        <f t="shared" si="2"/>
        <v>5.76</v>
      </c>
      <c r="H1013" s="16">
        <v>1.0</v>
      </c>
      <c r="I1013" s="15">
        <f t="shared" si="3"/>
        <v>3.93</v>
      </c>
      <c r="J1013" s="15">
        <v>19.11</v>
      </c>
      <c r="K1013" s="16">
        <f>IF(COUNTIFS(Release_Calendar!$A$2:$A$755,"US_CPI",Release_Calendar!$B$2:$B$755,$A1013)&gt;0,1,0)</f>
        <v>1</v>
      </c>
      <c r="L1013" s="16">
        <f>IF(COUNTIFS(Release_Calendar!$A$2:$A$755,"US_NFP",Release_Calendar!$B$2:$B$755,$A1013)&gt;0,1,0)</f>
        <v>0</v>
      </c>
      <c r="M1013" s="16" t="str">
        <f>IF($A1013&lt;Notes!$B$5,"",IF(COUNTIFS(Release_Calendar!$A$2:$A$755,"NZ_CPI",Release_Calendar!$B$2:$B$755,$A1013)&gt;0,1,0))</f>
        <v/>
      </c>
      <c r="N1013" s="16" t="str">
        <f>IF($A1013&lt;Notes!$B$5,"",IF(COUNTIFS(Release_Calendar!$A$2:$A$755,"NZ_GDP",Release_Calendar!$B$2:$B$755,$A1013)&gt;0,1,0))</f>
        <v/>
      </c>
      <c r="O1013" s="16" t="str">
        <f>IF($A1013&lt;Notes!$B$5,"",IF(COUNTIFS(Release_Calendar!$A$2:$A$755,"NZ_LABOUR",Release_Calendar!$B$2:$B$755,$A1013)&gt;0,1,0))</f>
        <v/>
      </c>
      <c r="P1013" s="16">
        <f t="shared" si="4"/>
        <v>1</v>
      </c>
    </row>
    <row r="1014" ht="15.75" customHeight="1">
      <c r="A1014" s="14">
        <v>37944.0</v>
      </c>
      <c r="B1014" s="15">
        <v>1.9</v>
      </c>
      <c r="C1014" s="15"/>
      <c r="D1014" s="15">
        <v>5.75</v>
      </c>
      <c r="E1014" s="15"/>
      <c r="F1014" s="15" t="str">
        <f t="shared" si="1"/>
        <v/>
      </c>
      <c r="G1014" s="15">
        <f t="shared" si="2"/>
        <v>5.75</v>
      </c>
      <c r="H1014" s="16">
        <v>1.0</v>
      </c>
      <c r="I1014" s="15">
        <f t="shared" si="3"/>
        <v>3.85</v>
      </c>
      <c r="J1014" s="15">
        <v>18.8</v>
      </c>
      <c r="K1014" s="16">
        <f>IF(COUNTIFS(Release_Calendar!$A$2:$A$755,"US_CPI",Release_Calendar!$B$2:$B$755,$A1014)&gt;0,1,0)</f>
        <v>0</v>
      </c>
      <c r="L1014" s="16">
        <f>IF(COUNTIFS(Release_Calendar!$A$2:$A$755,"US_NFP",Release_Calendar!$B$2:$B$755,$A1014)&gt;0,1,0)</f>
        <v>0</v>
      </c>
      <c r="M1014" s="16" t="str">
        <f>IF($A1014&lt;Notes!$B$5,"",IF(COUNTIFS(Release_Calendar!$A$2:$A$755,"NZ_CPI",Release_Calendar!$B$2:$B$755,$A1014)&gt;0,1,0))</f>
        <v/>
      </c>
      <c r="N1014" s="16" t="str">
        <f>IF($A1014&lt;Notes!$B$5,"",IF(COUNTIFS(Release_Calendar!$A$2:$A$755,"NZ_GDP",Release_Calendar!$B$2:$B$755,$A1014)&gt;0,1,0))</f>
        <v/>
      </c>
      <c r="O1014" s="16" t="str">
        <f>IF($A1014&lt;Notes!$B$5,"",IF(COUNTIFS(Release_Calendar!$A$2:$A$755,"NZ_LABOUR",Release_Calendar!$B$2:$B$755,$A1014)&gt;0,1,0))</f>
        <v/>
      </c>
      <c r="P1014" s="16">
        <f t="shared" si="4"/>
        <v>0</v>
      </c>
    </row>
    <row r="1015" ht="15.75" customHeight="1">
      <c r="A1015" s="14">
        <v>37945.0</v>
      </c>
      <c r="B1015" s="15">
        <v>1.83</v>
      </c>
      <c r="C1015" s="15"/>
      <c r="D1015" s="15">
        <v>5.77</v>
      </c>
      <c r="E1015" s="15"/>
      <c r="F1015" s="15" t="str">
        <f t="shared" si="1"/>
        <v/>
      </c>
      <c r="G1015" s="15">
        <f t="shared" si="2"/>
        <v>5.77</v>
      </c>
      <c r="H1015" s="16">
        <v>1.0</v>
      </c>
      <c r="I1015" s="15">
        <f t="shared" si="3"/>
        <v>3.94</v>
      </c>
      <c r="J1015" s="15">
        <v>19.48</v>
      </c>
      <c r="K1015" s="16">
        <f>IF(COUNTIFS(Release_Calendar!$A$2:$A$755,"US_CPI",Release_Calendar!$B$2:$B$755,$A1015)&gt;0,1,0)</f>
        <v>0</v>
      </c>
      <c r="L1015" s="16">
        <f>IF(COUNTIFS(Release_Calendar!$A$2:$A$755,"US_NFP",Release_Calendar!$B$2:$B$755,$A1015)&gt;0,1,0)</f>
        <v>0</v>
      </c>
      <c r="M1015" s="16" t="str">
        <f>IF($A1015&lt;Notes!$B$5,"",IF(COUNTIFS(Release_Calendar!$A$2:$A$755,"NZ_CPI",Release_Calendar!$B$2:$B$755,$A1015)&gt;0,1,0))</f>
        <v/>
      </c>
      <c r="N1015" s="16" t="str">
        <f>IF($A1015&lt;Notes!$B$5,"",IF(COUNTIFS(Release_Calendar!$A$2:$A$755,"NZ_GDP",Release_Calendar!$B$2:$B$755,$A1015)&gt;0,1,0))</f>
        <v/>
      </c>
      <c r="O1015" s="16" t="str">
        <f>IF($A1015&lt;Notes!$B$5,"",IF(COUNTIFS(Release_Calendar!$A$2:$A$755,"NZ_LABOUR",Release_Calendar!$B$2:$B$755,$A1015)&gt;0,1,0))</f>
        <v/>
      </c>
      <c r="P1015" s="16">
        <f t="shared" si="4"/>
        <v>0</v>
      </c>
    </row>
    <row r="1016" ht="15.75" customHeight="1">
      <c r="A1016" s="14">
        <v>37946.0</v>
      </c>
      <c r="B1016" s="15">
        <v>1.84</v>
      </c>
      <c r="C1016" s="15"/>
      <c r="D1016" s="15">
        <v>5.7</v>
      </c>
      <c r="E1016" s="15"/>
      <c r="F1016" s="15" t="str">
        <f t="shared" si="1"/>
        <v/>
      </c>
      <c r="G1016" s="15">
        <f t="shared" si="2"/>
        <v>5.7</v>
      </c>
      <c r="H1016" s="16">
        <v>1.0</v>
      </c>
      <c r="I1016" s="15">
        <f t="shared" si="3"/>
        <v>3.86</v>
      </c>
      <c r="J1016" s="15">
        <v>18.98</v>
      </c>
      <c r="K1016" s="16">
        <f>IF(COUNTIFS(Release_Calendar!$A$2:$A$755,"US_CPI",Release_Calendar!$B$2:$B$755,$A1016)&gt;0,1,0)</f>
        <v>0</v>
      </c>
      <c r="L1016" s="16">
        <f>IF(COUNTIFS(Release_Calendar!$A$2:$A$755,"US_NFP",Release_Calendar!$B$2:$B$755,$A1016)&gt;0,1,0)</f>
        <v>0</v>
      </c>
      <c r="M1016" s="16" t="str">
        <f>IF($A1016&lt;Notes!$B$5,"",IF(COUNTIFS(Release_Calendar!$A$2:$A$755,"NZ_CPI",Release_Calendar!$B$2:$B$755,$A1016)&gt;0,1,0))</f>
        <v/>
      </c>
      <c r="N1016" s="16" t="str">
        <f>IF($A1016&lt;Notes!$B$5,"",IF(COUNTIFS(Release_Calendar!$A$2:$A$755,"NZ_GDP",Release_Calendar!$B$2:$B$755,$A1016)&gt;0,1,0))</f>
        <v/>
      </c>
      <c r="O1016" s="16" t="str">
        <f>IF($A1016&lt;Notes!$B$5,"",IF(COUNTIFS(Release_Calendar!$A$2:$A$755,"NZ_LABOUR",Release_Calendar!$B$2:$B$755,$A1016)&gt;0,1,0))</f>
        <v/>
      </c>
      <c r="P1016" s="16">
        <f t="shared" si="4"/>
        <v>0</v>
      </c>
    </row>
    <row r="1017" ht="15.75" customHeight="1">
      <c r="A1017" s="14">
        <v>37949.0</v>
      </c>
      <c r="B1017" s="15">
        <v>1.94</v>
      </c>
      <c r="C1017" s="15"/>
      <c r="D1017" s="15">
        <v>5.73</v>
      </c>
      <c r="E1017" s="15"/>
      <c r="F1017" s="15" t="str">
        <f t="shared" si="1"/>
        <v/>
      </c>
      <c r="G1017" s="15">
        <f t="shared" si="2"/>
        <v>5.73</v>
      </c>
      <c r="H1017" s="16">
        <v>1.0</v>
      </c>
      <c r="I1017" s="15">
        <f t="shared" si="3"/>
        <v>3.79</v>
      </c>
      <c r="J1017" s="15">
        <v>17.44</v>
      </c>
      <c r="K1017" s="16">
        <f>IF(COUNTIFS(Release_Calendar!$A$2:$A$755,"US_CPI",Release_Calendar!$B$2:$B$755,$A1017)&gt;0,1,0)</f>
        <v>0</v>
      </c>
      <c r="L1017" s="16">
        <f>IF(COUNTIFS(Release_Calendar!$A$2:$A$755,"US_NFP",Release_Calendar!$B$2:$B$755,$A1017)&gt;0,1,0)</f>
        <v>0</v>
      </c>
      <c r="M1017" s="16" t="str">
        <f>IF($A1017&lt;Notes!$B$5,"",IF(COUNTIFS(Release_Calendar!$A$2:$A$755,"NZ_CPI",Release_Calendar!$B$2:$B$755,$A1017)&gt;0,1,0))</f>
        <v/>
      </c>
      <c r="N1017" s="16" t="str">
        <f>IF($A1017&lt;Notes!$B$5,"",IF(COUNTIFS(Release_Calendar!$A$2:$A$755,"NZ_GDP",Release_Calendar!$B$2:$B$755,$A1017)&gt;0,1,0))</f>
        <v/>
      </c>
      <c r="O1017" s="16" t="str">
        <f>IF($A1017&lt;Notes!$B$5,"",IF(COUNTIFS(Release_Calendar!$A$2:$A$755,"NZ_LABOUR",Release_Calendar!$B$2:$B$755,$A1017)&gt;0,1,0))</f>
        <v/>
      </c>
      <c r="P1017" s="16">
        <f t="shared" si="4"/>
        <v>0</v>
      </c>
    </row>
    <row r="1018" ht="15.75" customHeight="1">
      <c r="A1018" s="14">
        <v>37950.0</v>
      </c>
      <c r="B1018" s="15">
        <v>1.89</v>
      </c>
      <c r="C1018" s="15"/>
      <c r="D1018" s="15">
        <v>5.78</v>
      </c>
      <c r="E1018" s="15"/>
      <c r="F1018" s="15" t="str">
        <f t="shared" si="1"/>
        <v/>
      </c>
      <c r="G1018" s="15">
        <f t="shared" si="2"/>
        <v>5.78</v>
      </c>
      <c r="H1018" s="16">
        <v>1.0</v>
      </c>
      <c r="I1018" s="15">
        <f t="shared" si="3"/>
        <v>3.89</v>
      </c>
      <c r="J1018" s="15">
        <v>16.71</v>
      </c>
      <c r="K1018" s="16">
        <f>IF(COUNTIFS(Release_Calendar!$A$2:$A$755,"US_CPI",Release_Calendar!$B$2:$B$755,$A1018)&gt;0,1,0)</f>
        <v>0</v>
      </c>
      <c r="L1018" s="16">
        <f>IF(COUNTIFS(Release_Calendar!$A$2:$A$755,"US_NFP",Release_Calendar!$B$2:$B$755,$A1018)&gt;0,1,0)</f>
        <v>0</v>
      </c>
      <c r="M1018" s="16" t="str">
        <f>IF($A1018&lt;Notes!$B$5,"",IF(COUNTIFS(Release_Calendar!$A$2:$A$755,"NZ_CPI",Release_Calendar!$B$2:$B$755,$A1018)&gt;0,1,0))</f>
        <v/>
      </c>
      <c r="N1018" s="16" t="str">
        <f>IF($A1018&lt;Notes!$B$5,"",IF(COUNTIFS(Release_Calendar!$A$2:$A$755,"NZ_GDP",Release_Calendar!$B$2:$B$755,$A1018)&gt;0,1,0))</f>
        <v/>
      </c>
      <c r="O1018" s="16" t="str">
        <f>IF($A1018&lt;Notes!$B$5,"",IF(COUNTIFS(Release_Calendar!$A$2:$A$755,"NZ_LABOUR",Release_Calendar!$B$2:$B$755,$A1018)&gt;0,1,0))</f>
        <v/>
      </c>
      <c r="P1018" s="16">
        <f t="shared" si="4"/>
        <v>0</v>
      </c>
    </row>
    <row r="1019" ht="15.75" customHeight="1">
      <c r="A1019" s="14">
        <v>37951.0</v>
      </c>
      <c r="B1019" s="15">
        <v>1.97</v>
      </c>
      <c r="C1019" s="15"/>
      <c r="D1019" s="15">
        <v>5.77</v>
      </c>
      <c r="E1019" s="15"/>
      <c r="F1019" s="15" t="str">
        <f t="shared" si="1"/>
        <v/>
      </c>
      <c r="G1019" s="15">
        <f t="shared" si="2"/>
        <v>5.77</v>
      </c>
      <c r="H1019" s="16">
        <v>1.0</v>
      </c>
      <c r="I1019" s="15">
        <f t="shared" si="3"/>
        <v>3.8</v>
      </c>
      <c r="J1019" s="15">
        <v>16.23</v>
      </c>
      <c r="K1019" s="16">
        <f>IF(COUNTIFS(Release_Calendar!$A$2:$A$755,"US_CPI",Release_Calendar!$B$2:$B$755,$A1019)&gt;0,1,0)</f>
        <v>0</v>
      </c>
      <c r="L1019" s="16">
        <f>IF(COUNTIFS(Release_Calendar!$A$2:$A$755,"US_NFP",Release_Calendar!$B$2:$B$755,$A1019)&gt;0,1,0)</f>
        <v>0</v>
      </c>
      <c r="M1019" s="16" t="str">
        <f>IF($A1019&lt;Notes!$B$5,"",IF(COUNTIFS(Release_Calendar!$A$2:$A$755,"NZ_CPI",Release_Calendar!$B$2:$B$755,$A1019)&gt;0,1,0))</f>
        <v/>
      </c>
      <c r="N1019" s="16" t="str">
        <f>IF($A1019&lt;Notes!$B$5,"",IF(COUNTIFS(Release_Calendar!$A$2:$A$755,"NZ_GDP",Release_Calendar!$B$2:$B$755,$A1019)&gt;0,1,0))</f>
        <v/>
      </c>
      <c r="O1019" s="16" t="str">
        <f>IF($A1019&lt;Notes!$B$5,"",IF(COUNTIFS(Release_Calendar!$A$2:$A$755,"NZ_LABOUR",Release_Calendar!$B$2:$B$755,$A1019)&gt;0,1,0))</f>
        <v/>
      </c>
      <c r="P1019" s="16">
        <f t="shared" si="4"/>
        <v>0</v>
      </c>
    </row>
    <row r="1020" ht="15.75" customHeight="1">
      <c r="A1020" s="14">
        <v>37952.0</v>
      </c>
      <c r="B1020" s="15"/>
      <c r="C1020" s="15"/>
      <c r="D1020" s="15">
        <v>5.83</v>
      </c>
      <c r="E1020" s="15"/>
      <c r="F1020" s="15" t="str">
        <f t="shared" si="1"/>
        <v/>
      </c>
      <c r="G1020" s="15">
        <f t="shared" si="2"/>
        <v>5.83</v>
      </c>
      <c r="H1020" s="16">
        <v>1.0</v>
      </c>
      <c r="I1020" s="15" t="str">
        <f t="shared" si="3"/>
        <v/>
      </c>
      <c r="J1020" s="15"/>
      <c r="K1020" s="16">
        <f>IF(COUNTIFS(Release_Calendar!$A$2:$A$755,"US_CPI",Release_Calendar!$B$2:$B$755,$A1020)&gt;0,1,0)</f>
        <v>0</v>
      </c>
      <c r="L1020" s="16">
        <f>IF(COUNTIFS(Release_Calendar!$A$2:$A$755,"US_NFP",Release_Calendar!$B$2:$B$755,$A1020)&gt;0,1,0)</f>
        <v>0</v>
      </c>
      <c r="M1020" s="16" t="str">
        <f>IF($A1020&lt;Notes!$B$5,"",IF(COUNTIFS(Release_Calendar!$A$2:$A$755,"NZ_CPI",Release_Calendar!$B$2:$B$755,$A1020)&gt;0,1,0))</f>
        <v/>
      </c>
      <c r="N1020" s="16" t="str">
        <f>IF($A1020&lt;Notes!$B$5,"",IF(COUNTIFS(Release_Calendar!$A$2:$A$755,"NZ_GDP",Release_Calendar!$B$2:$B$755,$A1020)&gt;0,1,0))</f>
        <v/>
      </c>
      <c r="O1020" s="16" t="str">
        <f>IF($A1020&lt;Notes!$B$5,"",IF(COUNTIFS(Release_Calendar!$A$2:$A$755,"NZ_LABOUR",Release_Calendar!$B$2:$B$755,$A1020)&gt;0,1,0))</f>
        <v/>
      </c>
      <c r="P1020" s="16">
        <f t="shared" si="4"/>
        <v>0</v>
      </c>
    </row>
    <row r="1021" ht="15.75" customHeight="1">
      <c r="A1021" s="14">
        <v>37953.0</v>
      </c>
      <c r="B1021" s="15">
        <v>2.06</v>
      </c>
      <c r="C1021" s="15"/>
      <c r="D1021" s="15">
        <v>5.86</v>
      </c>
      <c r="E1021" s="15"/>
      <c r="F1021" s="15" t="str">
        <f t="shared" si="1"/>
        <v/>
      </c>
      <c r="G1021" s="15">
        <f t="shared" si="2"/>
        <v>5.86</v>
      </c>
      <c r="H1021" s="16">
        <v>1.0</v>
      </c>
      <c r="I1021" s="15">
        <f t="shared" si="3"/>
        <v>3.8</v>
      </c>
      <c r="J1021" s="15">
        <v>16.32</v>
      </c>
      <c r="K1021" s="16">
        <f>IF(COUNTIFS(Release_Calendar!$A$2:$A$755,"US_CPI",Release_Calendar!$B$2:$B$755,$A1021)&gt;0,1,0)</f>
        <v>0</v>
      </c>
      <c r="L1021" s="16">
        <f>IF(COUNTIFS(Release_Calendar!$A$2:$A$755,"US_NFP",Release_Calendar!$B$2:$B$755,$A1021)&gt;0,1,0)</f>
        <v>0</v>
      </c>
      <c r="M1021" s="16" t="str">
        <f>IF($A1021&lt;Notes!$B$5,"",IF(COUNTIFS(Release_Calendar!$A$2:$A$755,"NZ_CPI",Release_Calendar!$B$2:$B$755,$A1021)&gt;0,1,0))</f>
        <v/>
      </c>
      <c r="N1021" s="16" t="str">
        <f>IF($A1021&lt;Notes!$B$5,"",IF(COUNTIFS(Release_Calendar!$A$2:$A$755,"NZ_GDP",Release_Calendar!$B$2:$B$755,$A1021)&gt;0,1,0))</f>
        <v/>
      </c>
      <c r="O1021" s="16" t="str">
        <f>IF($A1021&lt;Notes!$B$5,"",IF(COUNTIFS(Release_Calendar!$A$2:$A$755,"NZ_LABOUR",Release_Calendar!$B$2:$B$755,$A1021)&gt;0,1,0))</f>
        <v/>
      </c>
      <c r="P1021" s="16">
        <f t="shared" si="4"/>
        <v>0</v>
      </c>
    </row>
    <row r="1022" ht="15.75" customHeight="1">
      <c r="A1022" s="14">
        <v>37956.0</v>
      </c>
      <c r="B1022" s="15">
        <v>2.12</v>
      </c>
      <c r="C1022" s="15"/>
      <c r="D1022" s="15">
        <v>5.86</v>
      </c>
      <c r="E1022" s="15"/>
      <c r="F1022" s="15" t="str">
        <f t="shared" si="1"/>
        <v/>
      </c>
      <c r="G1022" s="15">
        <f t="shared" si="2"/>
        <v>5.86</v>
      </c>
      <c r="H1022" s="16">
        <v>1.0</v>
      </c>
      <c r="I1022" s="15">
        <f t="shared" si="3"/>
        <v>3.74</v>
      </c>
      <c r="J1022" s="15">
        <v>16.77</v>
      </c>
      <c r="K1022" s="16">
        <f>IF(COUNTIFS(Release_Calendar!$A$2:$A$755,"US_CPI",Release_Calendar!$B$2:$B$755,$A1022)&gt;0,1,0)</f>
        <v>0</v>
      </c>
      <c r="L1022" s="16">
        <f>IF(COUNTIFS(Release_Calendar!$A$2:$A$755,"US_NFP",Release_Calendar!$B$2:$B$755,$A1022)&gt;0,1,0)</f>
        <v>0</v>
      </c>
      <c r="M1022" s="16" t="str">
        <f>IF($A1022&lt;Notes!$B$5,"",IF(COUNTIFS(Release_Calendar!$A$2:$A$755,"NZ_CPI",Release_Calendar!$B$2:$B$755,$A1022)&gt;0,1,0))</f>
        <v/>
      </c>
      <c r="N1022" s="16" t="str">
        <f>IF($A1022&lt;Notes!$B$5,"",IF(COUNTIFS(Release_Calendar!$A$2:$A$755,"NZ_GDP",Release_Calendar!$B$2:$B$755,$A1022)&gt;0,1,0))</f>
        <v/>
      </c>
      <c r="O1022" s="16" t="str">
        <f>IF($A1022&lt;Notes!$B$5,"",IF(COUNTIFS(Release_Calendar!$A$2:$A$755,"NZ_LABOUR",Release_Calendar!$B$2:$B$755,$A1022)&gt;0,1,0))</f>
        <v/>
      </c>
      <c r="P1022" s="16">
        <f t="shared" si="4"/>
        <v>0</v>
      </c>
    </row>
    <row r="1023" ht="15.75" customHeight="1">
      <c r="A1023" s="14">
        <v>37957.0</v>
      </c>
      <c r="B1023" s="15">
        <v>2.07</v>
      </c>
      <c r="C1023" s="15"/>
      <c r="D1023" s="15">
        <v>5.86</v>
      </c>
      <c r="E1023" s="15"/>
      <c r="F1023" s="15" t="str">
        <f t="shared" si="1"/>
        <v/>
      </c>
      <c r="G1023" s="15">
        <f t="shared" si="2"/>
        <v>5.86</v>
      </c>
      <c r="H1023" s="16">
        <v>1.0</v>
      </c>
      <c r="I1023" s="15">
        <f t="shared" si="3"/>
        <v>3.79</v>
      </c>
      <c r="J1023" s="15">
        <v>16.27</v>
      </c>
      <c r="K1023" s="16">
        <f>IF(COUNTIFS(Release_Calendar!$A$2:$A$755,"US_CPI",Release_Calendar!$B$2:$B$755,$A1023)&gt;0,1,0)</f>
        <v>0</v>
      </c>
      <c r="L1023" s="16">
        <f>IF(COUNTIFS(Release_Calendar!$A$2:$A$755,"US_NFP",Release_Calendar!$B$2:$B$755,$A1023)&gt;0,1,0)</f>
        <v>0</v>
      </c>
      <c r="M1023" s="16" t="str">
        <f>IF($A1023&lt;Notes!$B$5,"",IF(COUNTIFS(Release_Calendar!$A$2:$A$755,"NZ_CPI",Release_Calendar!$B$2:$B$755,$A1023)&gt;0,1,0))</f>
        <v/>
      </c>
      <c r="N1023" s="16" t="str">
        <f>IF($A1023&lt;Notes!$B$5,"",IF(COUNTIFS(Release_Calendar!$A$2:$A$755,"NZ_GDP",Release_Calendar!$B$2:$B$755,$A1023)&gt;0,1,0))</f>
        <v/>
      </c>
      <c r="O1023" s="16" t="str">
        <f>IF($A1023&lt;Notes!$B$5,"",IF(COUNTIFS(Release_Calendar!$A$2:$A$755,"NZ_LABOUR",Release_Calendar!$B$2:$B$755,$A1023)&gt;0,1,0))</f>
        <v/>
      </c>
      <c r="P1023" s="16">
        <f t="shared" si="4"/>
        <v>0</v>
      </c>
    </row>
    <row r="1024" ht="15.75" customHeight="1">
      <c r="A1024" s="14">
        <v>37958.0</v>
      </c>
      <c r="B1024" s="15">
        <v>2.09</v>
      </c>
      <c r="C1024" s="15"/>
      <c r="D1024" s="15">
        <v>5.84</v>
      </c>
      <c r="E1024" s="15"/>
      <c r="F1024" s="15" t="str">
        <f t="shared" si="1"/>
        <v/>
      </c>
      <c r="G1024" s="15">
        <f t="shared" si="2"/>
        <v>5.84</v>
      </c>
      <c r="H1024" s="16">
        <v>1.0</v>
      </c>
      <c r="I1024" s="15">
        <f t="shared" si="3"/>
        <v>3.75</v>
      </c>
      <c r="J1024" s="15">
        <v>16.63</v>
      </c>
      <c r="K1024" s="16">
        <f>IF(COUNTIFS(Release_Calendar!$A$2:$A$755,"US_CPI",Release_Calendar!$B$2:$B$755,$A1024)&gt;0,1,0)</f>
        <v>0</v>
      </c>
      <c r="L1024" s="16">
        <f>IF(COUNTIFS(Release_Calendar!$A$2:$A$755,"US_NFP",Release_Calendar!$B$2:$B$755,$A1024)&gt;0,1,0)</f>
        <v>0</v>
      </c>
      <c r="M1024" s="16" t="str">
        <f>IF($A1024&lt;Notes!$B$5,"",IF(COUNTIFS(Release_Calendar!$A$2:$A$755,"NZ_CPI",Release_Calendar!$B$2:$B$755,$A1024)&gt;0,1,0))</f>
        <v/>
      </c>
      <c r="N1024" s="16" t="str">
        <f>IF($A1024&lt;Notes!$B$5,"",IF(COUNTIFS(Release_Calendar!$A$2:$A$755,"NZ_GDP",Release_Calendar!$B$2:$B$755,$A1024)&gt;0,1,0))</f>
        <v/>
      </c>
      <c r="O1024" s="16" t="str">
        <f>IF($A1024&lt;Notes!$B$5,"",IF(COUNTIFS(Release_Calendar!$A$2:$A$755,"NZ_LABOUR",Release_Calendar!$B$2:$B$755,$A1024)&gt;0,1,0))</f>
        <v/>
      </c>
      <c r="P1024" s="16">
        <f t="shared" si="4"/>
        <v>0</v>
      </c>
    </row>
    <row r="1025" ht="15.75" customHeight="1">
      <c r="A1025" s="14">
        <v>37959.0</v>
      </c>
      <c r="B1025" s="15">
        <v>2.06</v>
      </c>
      <c r="C1025" s="15"/>
      <c r="D1025" s="15">
        <v>5.72</v>
      </c>
      <c r="E1025" s="15"/>
      <c r="F1025" s="15" t="str">
        <f t="shared" si="1"/>
        <v/>
      </c>
      <c r="G1025" s="15">
        <f t="shared" si="2"/>
        <v>5.72</v>
      </c>
      <c r="H1025" s="16">
        <v>1.0</v>
      </c>
      <c r="I1025" s="15">
        <f t="shared" si="3"/>
        <v>3.66</v>
      </c>
      <c r="J1025" s="15">
        <v>16.3</v>
      </c>
      <c r="K1025" s="16">
        <f>IF(COUNTIFS(Release_Calendar!$A$2:$A$755,"US_CPI",Release_Calendar!$B$2:$B$755,$A1025)&gt;0,1,0)</f>
        <v>0</v>
      </c>
      <c r="L1025" s="16">
        <f>IF(COUNTIFS(Release_Calendar!$A$2:$A$755,"US_NFP",Release_Calendar!$B$2:$B$755,$A1025)&gt;0,1,0)</f>
        <v>0</v>
      </c>
      <c r="M1025" s="16" t="str">
        <f>IF($A1025&lt;Notes!$B$5,"",IF(COUNTIFS(Release_Calendar!$A$2:$A$755,"NZ_CPI",Release_Calendar!$B$2:$B$755,$A1025)&gt;0,1,0))</f>
        <v/>
      </c>
      <c r="N1025" s="16" t="str">
        <f>IF($A1025&lt;Notes!$B$5,"",IF(COUNTIFS(Release_Calendar!$A$2:$A$755,"NZ_GDP",Release_Calendar!$B$2:$B$755,$A1025)&gt;0,1,0))</f>
        <v/>
      </c>
      <c r="O1025" s="16" t="str">
        <f>IF($A1025&lt;Notes!$B$5,"",IF(COUNTIFS(Release_Calendar!$A$2:$A$755,"NZ_LABOUR",Release_Calendar!$B$2:$B$755,$A1025)&gt;0,1,0))</f>
        <v/>
      </c>
      <c r="P1025" s="16">
        <f t="shared" si="4"/>
        <v>0</v>
      </c>
    </row>
    <row r="1026" ht="15.75" customHeight="1">
      <c r="A1026" s="14">
        <v>37960.0</v>
      </c>
      <c r="B1026" s="15">
        <v>1.88</v>
      </c>
      <c r="C1026" s="15"/>
      <c r="D1026" s="15">
        <v>5.7</v>
      </c>
      <c r="E1026" s="15"/>
      <c r="F1026" s="15" t="str">
        <f t="shared" si="1"/>
        <v/>
      </c>
      <c r="G1026" s="15">
        <f t="shared" si="2"/>
        <v>5.7</v>
      </c>
      <c r="H1026" s="16">
        <v>1.0</v>
      </c>
      <c r="I1026" s="15">
        <f t="shared" si="3"/>
        <v>3.82</v>
      </c>
      <c r="J1026" s="15">
        <v>17.09</v>
      </c>
      <c r="K1026" s="16">
        <f>IF(COUNTIFS(Release_Calendar!$A$2:$A$755,"US_CPI",Release_Calendar!$B$2:$B$755,$A1026)&gt;0,1,0)</f>
        <v>0</v>
      </c>
      <c r="L1026" s="16">
        <f>IF(COUNTIFS(Release_Calendar!$A$2:$A$755,"US_NFP",Release_Calendar!$B$2:$B$755,$A1026)&gt;0,1,0)</f>
        <v>1</v>
      </c>
      <c r="M1026" s="16" t="str">
        <f>IF($A1026&lt;Notes!$B$5,"",IF(COUNTIFS(Release_Calendar!$A$2:$A$755,"NZ_CPI",Release_Calendar!$B$2:$B$755,$A1026)&gt;0,1,0))</f>
        <v/>
      </c>
      <c r="N1026" s="16" t="str">
        <f>IF($A1026&lt;Notes!$B$5,"",IF(COUNTIFS(Release_Calendar!$A$2:$A$755,"NZ_GDP",Release_Calendar!$B$2:$B$755,$A1026)&gt;0,1,0))</f>
        <v/>
      </c>
      <c r="O1026" s="16" t="str">
        <f>IF($A1026&lt;Notes!$B$5,"",IF(COUNTIFS(Release_Calendar!$A$2:$A$755,"NZ_LABOUR",Release_Calendar!$B$2:$B$755,$A1026)&gt;0,1,0))</f>
        <v/>
      </c>
      <c r="P1026" s="16">
        <f t="shared" si="4"/>
        <v>1</v>
      </c>
    </row>
    <row r="1027" ht="15.75" customHeight="1">
      <c r="A1027" s="14">
        <v>37963.0</v>
      </c>
      <c r="B1027" s="15">
        <v>1.94</v>
      </c>
      <c r="C1027" s="15"/>
      <c r="D1027" s="15">
        <v>5.6</v>
      </c>
      <c r="E1027" s="15"/>
      <c r="F1027" s="15" t="str">
        <f t="shared" si="1"/>
        <v/>
      </c>
      <c r="G1027" s="15">
        <f t="shared" si="2"/>
        <v>5.6</v>
      </c>
      <c r="H1027" s="16">
        <v>1.0</v>
      </c>
      <c r="I1027" s="15">
        <f t="shared" si="3"/>
        <v>3.66</v>
      </c>
      <c r="J1027" s="15">
        <v>16.54</v>
      </c>
      <c r="K1027" s="16">
        <f>IF(COUNTIFS(Release_Calendar!$A$2:$A$755,"US_CPI",Release_Calendar!$B$2:$B$755,$A1027)&gt;0,1,0)</f>
        <v>0</v>
      </c>
      <c r="L1027" s="16">
        <f>IF(COUNTIFS(Release_Calendar!$A$2:$A$755,"US_NFP",Release_Calendar!$B$2:$B$755,$A1027)&gt;0,1,0)</f>
        <v>0</v>
      </c>
      <c r="M1027" s="16" t="str">
        <f>IF($A1027&lt;Notes!$B$5,"",IF(COUNTIFS(Release_Calendar!$A$2:$A$755,"NZ_CPI",Release_Calendar!$B$2:$B$755,$A1027)&gt;0,1,0))</f>
        <v/>
      </c>
      <c r="N1027" s="16" t="str">
        <f>IF($A1027&lt;Notes!$B$5,"",IF(COUNTIFS(Release_Calendar!$A$2:$A$755,"NZ_GDP",Release_Calendar!$B$2:$B$755,$A1027)&gt;0,1,0))</f>
        <v/>
      </c>
      <c r="O1027" s="16" t="str">
        <f>IF($A1027&lt;Notes!$B$5,"",IF(COUNTIFS(Release_Calendar!$A$2:$A$755,"NZ_LABOUR",Release_Calendar!$B$2:$B$755,$A1027)&gt;0,1,0))</f>
        <v/>
      </c>
      <c r="P1027" s="16">
        <f t="shared" si="4"/>
        <v>0</v>
      </c>
    </row>
    <row r="1028" ht="15.75" customHeight="1">
      <c r="A1028" s="14">
        <v>37964.0</v>
      </c>
      <c r="B1028" s="15">
        <v>1.97</v>
      </c>
      <c r="C1028" s="15"/>
      <c r="D1028" s="15">
        <v>5.61</v>
      </c>
      <c r="E1028" s="15"/>
      <c r="F1028" s="15" t="str">
        <f t="shared" si="1"/>
        <v/>
      </c>
      <c r="G1028" s="15">
        <f t="shared" si="2"/>
        <v>5.61</v>
      </c>
      <c r="H1028" s="16">
        <v>1.0</v>
      </c>
      <c r="I1028" s="15">
        <f t="shared" si="3"/>
        <v>3.64</v>
      </c>
      <c r="J1028" s="15">
        <v>17.63</v>
      </c>
      <c r="K1028" s="16">
        <f>IF(COUNTIFS(Release_Calendar!$A$2:$A$755,"US_CPI",Release_Calendar!$B$2:$B$755,$A1028)&gt;0,1,0)</f>
        <v>0</v>
      </c>
      <c r="L1028" s="16">
        <f>IF(COUNTIFS(Release_Calendar!$A$2:$A$755,"US_NFP",Release_Calendar!$B$2:$B$755,$A1028)&gt;0,1,0)</f>
        <v>0</v>
      </c>
      <c r="M1028" s="16" t="str">
        <f>IF($A1028&lt;Notes!$B$5,"",IF(COUNTIFS(Release_Calendar!$A$2:$A$755,"NZ_CPI",Release_Calendar!$B$2:$B$755,$A1028)&gt;0,1,0))</f>
        <v/>
      </c>
      <c r="N1028" s="16" t="str">
        <f>IF($A1028&lt;Notes!$B$5,"",IF(COUNTIFS(Release_Calendar!$A$2:$A$755,"NZ_GDP",Release_Calendar!$B$2:$B$755,$A1028)&gt;0,1,0))</f>
        <v/>
      </c>
      <c r="O1028" s="16" t="str">
        <f>IF($A1028&lt;Notes!$B$5,"",IF(COUNTIFS(Release_Calendar!$A$2:$A$755,"NZ_LABOUR",Release_Calendar!$B$2:$B$755,$A1028)&gt;0,1,0))</f>
        <v/>
      </c>
      <c r="P1028" s="16">
        <f t="shared" si="4"/>
        <v>0</v>
      </c>
    </row>
    <row r="1029" ht="15.75" customHeight="1">
      <c r="A1029" s="14">
        <v>37965.0</v>
      </c>
      <c r="B1029" s="15">
        <v>1.94</v>
      </c>
      <c r="C1029" s="15"/>
      <c r="D1029" s="15">
        <v>5.66</v>
      </c>
      <c r="E1029" s="15"/>
      <c r="F1029" s="15" t="str">
        <f t="shared" si="1"/>
        <v/>
      </c>
      <c r="G1029" s="15">
        <f t="shared" si="2"/>
        <v>5.66</v>
      </c>
      <c r="H1029" s="16">
        <v>1.0</v>
      </c>
      <c r="I1029" s="15">
        <f t="shared" si="3"/>
        <v>3.72</v>
      </c>
      <c r="J1029" s="15">
        <v>17.87</v>
      </c>
      <c r="K1029" s="16">
        <f>IF(COUNTIFS(Release_Calendar!$A$2:$A$755,"US_CPI",Release_Calendar!$B$2:$B$755,$A1029)&gt;0,1,0)</f>
        <v>0</v>
      </c>
      <c r="L1029" s="16">
        <f>IF(COUNTIFS(Release_Calendar!$A$2:$A$755,"US_NFP",Release_Calendar!$B$2:$B$755,$A1029)&gt;0,1,0)</f>
        <v>0</v>
      </c>
      <c r="M1029" s="16" t="str">
        <f>IF($A1029&lt;Notes!$B$5,"",IF(COUNTIFS(Release_Calendar!$A$2:$A$755,"NZ_CPI",Release_Calendar!$B$2:$B$755,$A1029)&gt;0,1,0))</f>
        <v/>
      </c>
      <c r="N1029" s="16" t="str">
        <f>IF($A1029&lt;Notes!$B$5,"",IF(COUNTIFS(Release_Calendar!$A$2:$A$755,"NZ_GDP",Release_Calendar!$B$2:$B$755,$A1029)&gt;0,1,0))</f>
        <v/>
      </c>
      <c r="O1029" s="16" t="str">
        <f>IF($A1029&lt;Notes!$B$5,"",IF(COUNTIFS(Release_Calendar!$A$2:$A$755,"NZ_LABOUR",Release_Calendar!$B$2:$B$755,$A1029)&gt;0,1,0))</f>
        <v/>
      </c>
      <c r="P1029" s="16">
        <f t="shared" si="4"/>
        <v>0</v>
      </c>
    </row>
    <row r="1030" ht="15.75" customHeight="1">
      <c r="A1030" s="14">
        <v>37966.0</v>
      </c>
      <c r="B1030" s="15">
        <v>1.83</v>
      </c>
      <c r="C1030" s="15"/>
      <c r="D1030" s="15">
        <v>5.66</v>
      </c>
      <c r="E1030" s="15"/>
      <c r="F1030" s="15" t="str">
        <f t="shared" si="1"/>
        <v/>
      </c>
      <c r="G1030" s="15">
        <f t="shared" si="2"/>
        <v>5.66</v>
      </c>
      <c r="H1030" s="16">
        <v>1.0</v>
      </c>
      <c r="I1030" s="15">
        <f t="shared" si="3"/>
        <v>3.83</v>
      </c>
      <c r="J1030" s="15">
        <v>16.73</v>
      </c>
      <c r="K1030" s="16">
        <f>IF(COUNTIFS(Release_Calendar!$A$2:$A$755,"US_CPI",Release_Calendar!$B$2:$B$755,$A1030)&gt;0,1,0)</f>
        <v>0</v>
      </c>
      <c r="L1030" s="16">
        <f>IF(COUNTIFS(Release_Calendar!$A$2:$A$755,"US_NFP",Release_Calendar!$B$2:$B$755,$A1030)&gt;0,1,0)</f>
        <v>0</v>
      </c>
      <c r="M1030" s="16" t="str">
        <f>IF($A1030&lt;Notes!$B$5,"",IF(COUNTIFS(Release_Calendar!$A$2:$A$755,"NZ_CPI",Release_Calendar!$B$2:$B$755,$A1030)&gt;0,1,0))</f>
        <v/>
      </c>
      <c r="N1030" s="16" t="str">
        <f>IF($A1030&lt;Notes!$B$5,"",IF(COUNTIFS(Release_Calendar!$A$2:$A$755,"NZ_GDP",Release_Calendar!$B$2:$B$755,$A1030)&gt;0,1,0))</f>
        <v/>
      </c>
      <c r="O1030" s="16" t="str">
        <f>IF($A1030&lt;Notes!$B$5,"",IF(COUNTIFS(Release_Calendar!$A$2:$A$755,"NZ_LABOUR",Release_Calendar!$B$2:$B$755,$A1030)&gt;0,1,0))</f>
        <v/>
      </c>
      <c r="P1030" s="16">
        <f t="shared" si="4"/>
        <v>0</v>
      </c>
    </row>
    <row r="1031" ht="15.75" customHeight="1">
      <c r="A1031" s="14">
        <v>37967.0</v>
      </c>
      <c r="B1031" s="15">
        <v>1.84</v>
      </c>
      <c r="C1031" s="15"/>
      <c r="D1031" s="15">
        <v>5.6</v>
      </c>
      <c r="E1031" s="15"/>
      <c r="F1031" s="15" t="str">
        <f t="shared" si="1"/>
        <v/>
      </c>
      <c r="G1031" s="15">
        <f t="shared" si="2"/>
        <v>5.6</v>
      </c>
      <c r="H1031" s="16">
        <v>1.0</v>
      </c>
      <c r="I1031" s="15">
        <f t="shared" si="3"/>
        <v>3.76</v>
      </c>
      <c r="J1031" s="15">
        <v>16.41</v>
      </c>
      <c r="K1031" s="16">
        <f>IF(COUNTIFS(Release_Calendar!$A$2:$A$755,"US_CPI",Release_Calendar!$B$2:$B$755,$A1031)&gt;0,1,0)</f>
        <v>0</v>
      </c>
      <c r="L1031" s="16">
        <f>IF(COUNTIFS(Release_Calendar!$A$2:$A$755,"US_NFP",Release_Calendar!$B$2:$B$755,$A1031)&gt;0,1,0)</f>
        <v>0</v>
      </c>
      <c r="M1031" s="16" t="str">
        <f>IF($A1031&lt;Notes!$B$5,"",IF(COUNTIFS(Release_Calendar!$A$2:$A$755,"NZ_CPI",Release_Calendar!$B$2:$B$755,$A1031)&gt;0,1,0))</f>
        <v/>
      </c>
      <c r="N1031" s="16" t="str">
        <f>IF($A1031&lt;Notes!$B$5,"",IF(COUNTIFS(Release_Calendar!$A$2:$A$755,"NZ_GDP",Release_Calendar!$B$2:$B$755,$A1031)&gt;0,1,0))</f>
        <v/>
      </c>
      <c r="O1031" s="16" t="str">
        <f>IF($A1031&lt;Notes!$B$5,"",IF(COUNTIFS(Release_Calendar!$A$2:$A$755,"NZ_LABOUR",Release_Calendar!$B$2:$B$755,$A1031)&gt;0,1,0))</f>
        <v/>
      </c>
      <c r="P1031" s="16">
        <f t="shared" si="4"/>
        <v>0</v>
      </c>
    </row>
    <row r="1032" ht="15.75" customHeight="1">
      <c r="A1032" s="14">
        <v>37970.0</v>
      </c>
      <c r="B1032" s="15">
        <v>1.88</v>
      </c>
      <c r="C1032" s="15"/>
      <c r="D1032" s="15">
        <v>5.67</v>
      </c>
      <c r="E1032" s="15"/>
      <c r="F1032" s="15" t="str">
        <f t="shared" si="1"/>
        <v/>
      </c>
      <c r="G1032" s="15">
        <f t="shared" si="2"/>
        <v>5.67</v>
      </c>
      <c r="H1032" s="16">
        <v>1.0</v>
      </c>
      <c r="I1032" s="15">
        <f t="shared" si="3"/>
        <v>3.79</v>
      </c>
      <c r="J1032" s="15">
        <v>17.23</v>
      </c>
      <c r="K1032" s="16">
        <f>IF(COUNTIFS(Release_Calendar!$A$2:$A$755,"US_CPI",Release_Calendar!$B$2:$B$755,$A1032)&gt;0,1,0)</f>
        <v>0</v>
      </c>
      <c r="L1032" s="16">
        <f>IF(COUNTIFS(Release_Calendar!$A$2:$A$755,"US_NFP",Release_Calendar!$B$2:$B$755,$A1032)&gt;0,1,0)</f>
        <v>0</v>
      </c>
      <c r="M1032" s="16" t="str">
        <f>IF($A1032&lt;Notes!$B$5,"",IF(COUNTIFS(Release_Calendar!$A$2:$A$755,"NZ_CPI",Release_Calendar!$B$2:$B$755,$A1032)&gt;0,1,0))</f>
        <v/>
      </c>
      <c r="N1032" s="16" t="str">
        <f>IF($A1032&lt;Notes!$B$5,"",IF(COUNTIFS(Release_Calendar!$A$2:$A$755,"NZ_GDP",Release_Calendar!$B$2:$B$755,$A1032)&gt;0,1,0))</f>
        <v/>
      </c>
      <c r="O1032" s="16" t="str">
        <f>IF($A1032&lt;Notes!$B$5,"",IF(COUNTIFS(Release_Calendar!$A$2:$A$755,"NZ_LABOUR",Release_Calendar!$B$2:$B$755,$A1032)&gt;0,1,0))</f>
        <v/>
      </c>
      <c r="P1032" s="16">
        <f t="shared" si="4"/>
        <v>0</v>
      </c>
    </row>
    <row r="1033" ht="15.75" customHeight="1">
      <c r="A1033" s="14">
        <v>37971.0</v>
      </c>
      <c r="B1033" s="15">
        <v>1.83</v>
      </c>
      <c r="C1033" s="15"/>
      <c r="D1033" s="15">
        <v>5.62</v>
      </c>
      <c r="E1033" s="15"/>
      <c r="F1033" s="15" t="str">
        <f t="shared" si="1"/>
        <v/>
      </c>
      <c r="G1033" s="15">
        <f t="shared" si="2"/>
        <v>5.62</v>
      </c>
      <c r="H1033" s="16">
        <v>1.0</v>
      </c>
      <c r="I1033" s="15">
        <f t="shared" si="3"/>
        <v>3.79</v>
      </c>
      <c r="J1033" s="15">
        <v>15.93</v>
      </c>
      <c r="K1033" s="16">
        <f>IF(COUNTIFS(Release_Calendar!$A$2:$A$755,"US_CPI",Release_Calendar!$B$2:$B$755,$A1033)&gt;0,1,0)</f>
        <v>1</v>
      </c>
      <c r="L1033" s="16">
        <f>IF(COUNTIFS(Release_Calendar!$A$2:$A$755,"US_NFP",Release_Calendar!$B$2:$B$755,$A1033)&gt;0,1,0)</f>
        <v>0</v>
      </c>
      <c r="M1033" s="16" t="str">
        <f>IF($A1033&lt;Notes!$B$5,"",IF(COUNTIFS(Release_Calendar!$A$2:$A$755,"NZ_CPI",Release_Calendar!$B$2:$B$755,$A1033)&gt;0,1,0))</f>
        <v/>
      </c>
      <c r="N1033" s="16" t="str">
        <f>IF($A1033&lt;Notes!$B$5,"",IF(COUNTIFS(Release_Calendar!$A$2:$A$755,"NZ_GDP",Release_Calendar!$B$2:$B$755,$A1033)&gt;0,1,0))</f>
        <v/>
      </c>
      <c r="O1033" s="16" t="str">
        <f>IF($A1033&lt;Notes!$B$5,"",IF(COUNTIFS(Release_Calendar!$A$2:$A$755,"NZ_LABOUR",Release_Calendar!$B$2:$B$755,$A1033)&gt;0,1,0))</f>
        <v/>
      </c>
      <c r="P1033" s="16">
        <f t="shared" si="4"/>
        <v>1</v>
      </c>
    </row>
    <row r="1034" ht="15.75" customHeight="1">
      <c r="A1034" s="14">
        <v>37972.0</v>
      </c>
      <c r="B1034" s="15">
        <v>1.83</v>
      </c>
      <c r="C1034" s="15"/>
      <c r="D1034" s="15">
        <v>5.59</v>
      </c>
      <c r="E1034" s="15"/>
      <c r="F1034" s="15" t="str">
        <f t="shared" si="1"/>
        <v/>
      </c>
      <c r="G1034" s="15">
        <f t="shared" si="2"/>
        <v>5.59</v>
      </c>
      <c r="H1034" s="16">
        <v>1.0</v>
      </c>
      <c r="I1034" s="15">
        <f t="shared" si="3"/>
        <v>3.76</v>
      </c>
      <c r="J1034" s="15">
        <v>15.58</v>
      </c>
      <c r="K1034" s="16">
        <f>IF(COUNTIFS(Release_Calendar!$A$2:$A$755,"US_CPI",Release_Calendar!$B$2:$B$755,$A1034)&gt;0,1,0)</f>
        <v>0</v>
      </c>
      <c r="L1034" s="16">
        <f>IF(COUNTIFS(Release_Calendar!$A$2:$A$755,"US_NFP",Release_Calendar!$B$2:$B$755,$A1034)&gt;0,1,0)</f>
        <v>0</v>
      </c>
      <c r="M1034" s="16" t="str">
        <f>IF($A1034&lt;Notes!$B$5,"",IF(COUNTIFS(Release_Calendar!$A$2:$A$755,"NZ_CPI",Release_Calendar!$B$2:$B$755,$A1034)&gt;0,1,0))</f>
        <v/>
      </c>
      <c r="N1034" s="16" t="str">
        <f>IF($A1034&lt;Notes!$B$5,"",IF(COUNTIFS(Release_Calendar!$A$2:$A$755,"NZ_GDP",Release_Calendar!$B$2:$B$755,$A1034)&gt;0,1,0))</f>
        <v/>
      </c>
      <c r="O1034" s="16" t="str">
        <f>IF($A1034&lt;Notes!$B$5,"",IF(COUNTIFS(Release_Calendar!$A$2:$A$755,"NZ_LABOUR",Release_Calendar!$B$2:$B$755,$A1034)&gt;0,1,0))</f>
        <v/>
      </c>
      <c r="P1034" s="16">
        <f t="shared" si="4"/>
        <v>0</v>
      </c>
    </row>
    <row r="1035" ht="15.75" customHeight="1">
      <c r="A1035" s="14">
        <v>37973.0</v>
      </c>
      <c r="B1035" s="15">
        <v>1.85</v>
      </c>
      <c r="C1035" s="15"/>
      <c r="D1035" s="15">
        <v>5.56</v>
      </c>
      <c r="E1035" s="15"/>
      <c r="F1035" s="15" t="str">
        <f t="shared" si="1"/>
        <v/>
      </c>
      <c r="G1035" s="15">
        <f t="shared" si="2"/>
        <v>5.56</v>
      </c>
      <c r="H1035" s="16">
        <v>1.0</v>
      </c>
      <c r="I1035" s="15">
        <f t="shared" si="3"/>
        <v>3.71</v>
      </c>
      <c r="J1035" s="15">
        <v>16.16</v>
      </c>
      <c r="K1035" s="16">
        <f>IF(COUNTIFS(Release_Calendar!$A$2:$A$755,"US_CPI",Release_Calendar!$B$2:$B$755,$A1035)&gt;0,1,0)</f>
        <v>0</v>
      </c>
      <c r="L1035" s="16">
        <f>IF(COUNTIFS(Release_Calendar!$A$2:$A$755,"US_NFP",Release_Calendar!$B$2:$B$755,$A1035)&gt;0,1,0)</f>
        <v>0</v>
      </c>
      <c r="M1035" s="16" t="str">
        <f>IF($A1035&lt;Notes!$B$5,"",IF(COUNTIFS(Release_Calendar!$A$2:$A$755,"NZ_CPI",Release_Calendar!$B$2:$B$755,$A1035)&gt;0,1,0))</f>
        <v/>
      </c>
      <c r="N1035" s="16" t="str">
        <f>IF($A1035&lt;Notes!$B$5,"",IF(COUNTIFS(Release_Calendar!$A$2:$A$755,"NZ_GDP",Release_Calendar!$B$2:$B$755,$A1035)&gt;0,1,0))</f>
        <v/>
      </c>
      <c r="O1035" s="16" t="str">
        <f>IF($A1035&lt;Notes!$B$5,"",IF(COUNTIFS(Release_Calendar!$A$2:$A$755,"NZ_LABOUR",Release_Calendar!$B$2:$B$755,$A1035)&gt;0,1,0))</f>
        <v/>
      </c>
      <c r="P1035" s="16">
        <f t="shared" si="4"/>
        <v>0</v>
      </c>
    </row>
    <row r="1036" ht="15.75" customHeight="1">
      <c r="A1036" s="14">
        <v>37974.0</v>
      </c>
      <c r="B1036" s="15">
        <v>1.82</v>
      </c>
      <c r="C1036" s="15"/>
      <c r="D1036" s="15">
        <v>5.58</v>
      </c>
      <c r="E1036" s="15"/>
      <c r="F1036" s="15" t="str">
        <f t="shared" si="1"/>
        <v/>
      </c>
      <c r="G1036" s="15">
        <f t="shared" si="2"/>
        <v>5.58</v>
      </c>
      <c r="H1036" s="16">
        <v>1.0</v>
      </c>
      <c r="I1036" s="15">
        <f t="shared" si="3"/>
        <v>3.76</v>
      </c>
      <c r="J1036" s="15">
        <v>16.42</v>
      </c>
      <c r="K1036" s="16">
        <f>IF(COUNTIFS(Release_Calendar!$A$2:$A$755,"US_CPI",Release_Calendar!$B$2:$B$755,$A1036)&gt;0,1,0)</f>
        <v>0</v>
      </c>
      <c r="L1036" s="16">
        <f>IF(COUNTIFS(Release_Calendar!$A$2:$A$755,"US_NFP",Release_Calendar!$B$2:$B$755,$A1036)&gt;0,1,0)</f>
        <v>0</v>
      </c>
      <c r="M1036" s="16" t="str">
        <f>IF($A1036&lt;Notes!$B$5,"",IF(COUNTIFS(Release_Calendar!$A$2:$A$755,"NZ_CPI",Release_Calendar!$B$2:$B$755,$A1036)&gt;0,1,0))</f>
        <v/>
      </c>
      <c r="N1036" s="16" t="str">
        <f>IF($A1036&lt;Notes!$B$5,"",IF(COUNTIFS(Release_Calendar!$A$2:$A$755,"NZ_GDP",Release_Calendar!$B$2:$B$755,$A1036)&gt;0,1,0))</f>
        <v/>
      </c>
      <c r="O1036" s="16" t="str">
        <f>IF($A1036&lt;Notes!$B$5,"",IF(COUNTIFS(Release_Calendar!$A$2:$A$755,"NZ_LABOUR",Release_Calendar!$B$2:$B$755,$A1036)&gt;0,1,0))</f>
        <v/>
      </c>
      <c r="P1036" s="16">
        <f t="shared" si="4"/>
        <v>0</v>
      </c>
    </row>
    <row r="1037" ht="15.75" customHeight="1">
      <c r="A1037" s="14">
        <v>37977.0</v>
      </c>
      <c r="B1037" s="15">
        <v>1.84</v>
      </c>
      <c r="C1037" s="15"/>
      <c r="D1037" s="15">
        <v>5.57</v>
      </c>
      <c r="E1037" s="15"/>
      <c r="F1037" s="15" t="str">
        <f t="shared" si="1"/>
        <v/>
      </c>
      <c r="G1037" s="15">
        <f t="shared" si="2"/>
        <v>5.57</v>
      </c>
      <c r="H1037" s="16">
        <v>1.0</v>
      </c>
      <c r="I1037" s="15">
        <f t="shared" si="3"/>
        <v>3.73</v>
      </c>
      <c r="J1037" s="15">
        <v>16.94</v>
      </c>
      <c r="K1037" s="16">
        <f>IF(COUNTIFS(Release_Calendar!$A$2:$A$755,"US_CPI",Release_Calendar!$B$2:$B$755,$A1037)&gt;0,1,0)</f>
        <v>0</v>
      </c>
      <c r="L1037" s="16">
        <f>IF(COUNTIFS(Release_Calendar!$A$2:$A$755,"US_NFP",Release_Calendar!$B$2:$B$755,$A1037)&gt;0,1,0)</f>
        <v>0</v>
      </c>
      <c r="M1037" s="16" t="str">
        <f>IF($A1037&lt;Notes!$B$5,"",IF(COUNTIFS(Release_Calendar!$A$2:$A$755,"NZ_CPI",Release_Calendar!$B$2:$B$755,$A1037)&gt;0,1,0))</f>
        <v/>
      </c>
      <c r="N1037" s="16" t="str">
        <f>IF($A1037&lt;Notes!$B$5,"",IF(COUNTIFS(Release_Calendar!$A$2:$A$755,"NZ_GDP",Release_Calendar!$B$2:$B$755,$A1037)&gt;0,1,0))</f>
        <v/>
      </c>
      <c r="O1037" s="16" t="str">
        <f>IF($A1037&lt;Notes!$B$5,"",IF(COUNTIFS(Release_Calendar!$A$2:$A$755,"NZ_LABOUR",Release_Calendar!$B$2:$B$755,$A1037)&gt;0,1,0))</f>
        <v/>
      </c>
      <c r="P1037" s="16">
        <f t="shared" si="4"/>
        <v>0</v>
      </c>
    </row>
    <row r="1038" ht="15.75" customHeight="1">
      <c r="A1038" s="14">
        <v>37978.0</v>
      </c>
      <c r="B1038" s="15">
        <v>1.96</v>
      </c>
      <c r="C1038" s="15"/>
      <c r="D1038" s="15">
        <v>5.59</v>
      </c>
      <c r="E1038" s="15"/>
      <c r="F1038" s="15" t="str">
        <f t="shared" si="1"/>
        <v/>
      </c>
      <c r="G1038" s="15">
        <f t="shared" si="2"/>
        <v>5.59</v>
      </c>
      <c r="H1038" s="16">
        <v>1.0</v>
      </c>
      <c r="I1038" s="15">
        <f t="shared" si="3"/>
        <v>3.63</v>
      </c>
      <c r="J1038" s="15">
        <v>16.49</v>
      </c>
      <c r="K1038" s="16">
        <f>IF(COUNTIFS(Release_Calendar!$A$2:$A$755,"US_CPI",Release_Calendar!$B$2:$B$755,$A1038)&gt;0,1,0)</f>
        <v>0</v>
      </c>
      <c r="L1038" s="16">
        <f>IF(COUNTIFS(Release_Calendar!$A$2:$A$755,"US_NFP",Release_Calendar!$B$2:$B$755,$A1038)&gt;0,1,0)</f>
        <v>0</v>
      </c>
      <c r="M1038" s="16" t="str">
        <f>IF($A1038&lt;Notes!$B$5,"",IF(COUNTIFS(Release_Calendar!$A$2:$A$755,"NZ_CPI",Release_Calendar!$B$2:$B$755,$A1038)&gt;0,1,0))</f>
        <v/>
      </c>
      <c r="N1038" s="16" t="str">
        <f>IF($A1038&lt;Notes!$B$5,"",IF(COUNTIFS(Release_Calendar!$A$2:$A$755,"NZ_GDP",Release_Calendar!$B$2:$B$755,$A1038)&gt;0,1,0))</f>
        <v/>
      </c>
      <c r="O1038" s="16" t="str">
        <f>IF($A1038&lt;Notes!$B$5,"",IF(COUNTIFS(Release_Calendar!$A$2:$A$755,"NZ_LABOUR",Release_Calendar!$B$2:$B$755,$A1038)&gt;0,1,0))</f>
        <v/>
      </c>
      <c r="P1038" s="16">
        <f t="shared" si="4"/>
        <v>0</v>
      </c>
    </row>
    <row r="1039" ht="15.75" customHeight="1">
      <c r="A1039" s="14">
        <v>37979.0</v>
      </c>
      <c r="B1039" s="15">
        <v>1.83</v>
      </c>
      <c r="C1039" s="15"/>
      <c r="D1039" s="15">
        <v>5.63</v>
      </c>
      <c r="E1039" s="15"/>
      <c r="F1039" s="15" t="str">
        <f t="shared" si="1"/>
        <v/>
      </c>
      <c r="G1039" s="15">
        <f t="shared" si="2"/>
        <v>5.63</v>
      </c>
      <c r="H1039" s="16">
        <v>1.0</v>
      </c>
      <c r="I1039" s="15">
        <f t="shared" si="3"/>
        <v>3.8</v>
      </c>
      <c r="J1039" s="15">
        <v>16.66</v>
      </c>
      <c r="K1039" s="16">
        <f>IF(COUNTIFS(Release_Calendar!$A$2:$A$755,"US_CPI",Release_Calendar!$B$2:$B$755,$A1039)&gt;0,1,0)</f>
        <v>0</v>
      </c>
      <c r="L1039" s="16">
        <f>IF(COUNTIFS(Release_Calendar!$A$2:$A$755,"US_NFP",Release_Calendar!$B$2:$B$755,$A1039)&gt;0,1,0)</f>
        <v>0</v>
      </c>
      <c r="M1039" s="16" t="str">
        <f>IF($A1039&lt;Notes!$B$5,"",IF(COUNTIFS(Release_Calendar!$A$2:$A$755,"NZ_CPI",Release_Calendar!$B$2:$B$755,$A1039)&gt;0,1,0))</f>
        <v/>
      </c>
      <c r="N1039" s="16" t="str">
        <f>IF($A1039&lt;Notes!$B$5,"",IF(COUNTIFS(Release_Calendar!$A$2:$A$755,"NZ_GDP",Release_Calendar!$B$2:$B$755,$A1039)&gt;0,1,0))</f>
        <v/>
      </c>
      <c r="O1039" s="16" t="str">
        <f>IF($A1039&lt;Notes!$B$5,"",IF(COUNTIFS(Release_Calendar!$A$2:$A$755,"NZ_LABOUR",Release_Calendar!$B$2:$B$755,$A1039)&gt;0,1,0))</f>
        <v/>
      </c>
      <c r="P1039" s="16">
        <f t="shared" si="4"/>
        <v>0</v>
      </c>
    </row>
    <row r="1040" ht="15.75" customHeight="1">
      <c r="A1040" s="14">
        <v>37980.0</v>
      </c>
      <c r="B1040" s="15"/>
      <c r="C1040" s="15"/>
      <c r="D1040" s="15"/>
      <c r="E1040" s="15"/>
      <c r="F1040" s="15" t="str">
        <f t="shared" si="1"/>
        <v/>
      </c>
      <c r="G1040" s="15" t="str">
        <f t="shared" si="2"/>
        <v/>
      </c>
      <c r="H1040" s="16">
        <v>1.0</v>
      </c>
      <c r="I1040" s="15" t="str">
        <f t="shared" si="3"/>
        <v/>
      </c>
      <c r="J1040" s="15"/>
      <c r="K1040" s="16">
        <f>IF(COUNTIFS(Release_Calendar!$A$2:$A$755,"US_CPI",Release_Calendar!$B$2:$B$755,$A1040)&gt;0,1,0)</f>
        <v>0</v>
      </c>
      <c r="L1040" s="16">
        <f>IF(COUNTIFS(Release_Calendar!$A$2:$A$755,"US_NFP",Release_Calendar!$B$2:$B$755,$A1040)&gt;0,1,0)</f>
        <v>0</v>
      </c>
      <c r="M1040" s="16" t="str">
        <f>IF($A1040&lt;Notes!$B$5,"",IF(COUNTIFS(Release_Calendar!$A$2:$A$755,"NZ_CPI",Release_Calendar!$B$2:$B$755,$A1040)&gt;0,1,0))</f>
        <v/>
      </c>
      <c r="N1040" s="16" t="str">
        <f>IF($A1040&lt;Notes!$B$5,"",IF(COUNTIFS(Release_Calendar!$A$2:$A$755,"NZ_GDP",Release_Calendar!$B$2:$B$755,$A1040)&gt;0,1,0))</f>
        <v/>
      </c>
      <c r="O1040" s="16" t="str">
        <f>IF($A1040&lt;Notes!$B$5,"",IF(COUNTIFS(Release_Calendar!$A$2:$A$755,"NZ_LABOUR",Release_Calendar!$B$2:$B$755,$A1040)&gt;0,1,0))</f>
        <v/>
      </c>
      <c r="P1040" s="16">
        <f t="shared" si="4"/>
        <v>0</v>
      </c>
    </row>
    <row r="1041" ht="15.75" customHeight="1">
      <c r="A1041" s="14">
        <v>37981.0</v>
      </c>
      <c r="B1041" s="15">
        <v>1.82</v>
      </c>
      <c r="C1041" s="15"/>
      <c r="D1041" s="15"/>
      <c r="E1041" s="15"/>
      <c r="F1041" s="15" t="str">
        <f t="shared" si="1"/>
        <v/>
      </c>
      <c r="G1041" s="15" t="str">
        <f t="shared" si="2"/>
        <v/>
      </c>
      <c r="H1041" s="16">
        <v>1.0</v>
      </c>
      <c r="I1041" s="15" t="str">
        <f t="shared" si="3"/>
        <v/>
      </c>
      <c r="J1041" s="15">
        <v>17.45</v>
      </c>
      <c r="K1041" s="16">
        <f>IF(COUNTIFS(Release_Calendar!$A$2:$A$755,"US_CPI",Release_Calendar!$B$2:$B$755,$A1041)&gt;0,1,0)</f>
        <v>0</v>
      </c>
      <c r="L1041" s="16">
        <f>IF(COUNTIFS(Release_Calendar!$A$2:$A$755,"US_NFP",Release_Calendar!$B$2:$B$755,$A1041)&gt;0,1,0)</f>
        <v>0</v>
      </c>
      <c r="M1041" s="16" t="str">
        <f>IF($A1041&lt;Notes!$B$5,"",IF(COUNTIFS(Release_Calendar!$A$2:$A$755,"NZ_CPI",Release_Calendar!$B$2:$B$755,$A1041)&gt;0,1,0))</f>
        <v/>
      </c>
      <c r="N1041" s="16" t="str">
        <f>IF($A1041&lt;Notes!$B$5,"",IF(COUNTIFS(Release_Calendar!$A$2:$A$755,"NZ_GDP",Release_Calendar!$B$2:$B$755,$A1041)&gt;0,1,0))</f>
        <v/>
      </c>
      <c r="O1041" s="16" t="str">
        <f>IF($A1041&lt;Notes!$B$5,"",IF(COUNTIFS(Release_Calendar!$A$2:$A$755,"NZ_LABOUR",Release_Calendar!$B$2:$B$755,$A1041)&gt;0,1,0))</f>
        <v/>
      </c>
      <c r="P1041" s="16">
        <f t="shared" si="4"/>
        <v>0</v>
      </c>
    </row>
    <row r="1042" ht="15.75" customHeight="1">
      <c r="A1042" s="14">
        <v>37984.0</v>
      </c>
      <c r="B1042" s="15">
        <v>1.86</v>
      </c>
      <c r="C1042" s="15"/>
      <c r="D1042" s="15">
        <v>5.58</v>
      </c>
      <c r="E1042" s="15"/>
      <c r="F1042" s="15" t="str">
        <f t="shared" si="1"/>
        <v/>
      </c>
      <c r="G1042" s="15">
        <f t="shared" si="2"/>
        <v>5.58</v>
      </c>
      <c r="H1042" s="16">
        <v>1.0</v>
      </c>
      <c r="I1042" s="15">
        <f t="shared" si="3"/>
        <v>3.72</v>
      </c>
      <c r="J1042" s="15">
        <v>17.09</v>
      </c>
      <c r="K1042" s="16">
        <f>IF(COUNTIFS(Release_Calendar!$A$2:$A$755,"US_CPI",Release_Calendar!$B$2:$B$755,$A1042)&gt;0,1,0)</f>
        <v>0</v>
      </c>
      <c r="L1042" s="16">
        <f>IF(COUNTIFS(Release_Calendar!$A$2:$A$755,"US_NFP",Release_Calendar!$B$2:$B$755,$A1042)&gt;0,1,0)</f>
        <v>0</v>
      </c>
      <c r="M1042" s="16" t="str">
        <f>IF($A1042&lt;Notes!$B$5,"",IF(COUNTIFS(Release_Calendar!$A$2:$A$755,"NZ_CPI",Release_Calendar!$B$2:$B$755,$A1042)&gt;0,1,0))</f>
        <v/>
      </c>
      <c r="N1042" s="16" t="str">
        <f>IF($A1042&lt;Notes!$B$5,"",IF(COUNTIFS(Release_Calendar!$A$2:$A$755,"NZ_GDP",Release_Calendar!$B$2:$B$755,$A1042)&gt;0,1,0))</f>
        <v/>
      </c>
      <c r="O1042" s="16" t="str">
        <f>IF($A1042&lt;Notes!$B$5,"",IF(COUNTIFS(Release_Calendar!$A$2:$A$755,"NZ_LABOUR",Release_Calendar!$B$2:$B$755,$A1042)&gt;0,1,0))</f>
        <v/>
      </c>
      <c r="P1042" s="16">
        <f t="shared" si="4"/>
        <v>0</v>
      </c>
    </row>
    <row r="1043" ht="15.75" customHeight="1">
      <c r="A1043" s="14">
        <v>37985.0</v>
      </c>
      <c r="B1043" s="15">
        <v>1.86</v>
      </c>
      <c r="C1043" s="15"/>
      <c r="D1043" s="15">
        <v>5.62</v>
      </c>
      <c r="E1043" s="15"/>
      <c r="F1043" s="15" t="str">
        <f t="shared" si="1"/>
        <v/>
      </c>
      <c r="G1043" s="15">
        <f t="shared" si="2"/>
        <v>5.62</v>
      </c>
      <c r="H1043" s="16">
        <v>1.0</v>
      </c>
      <c r="I1043" s="15">
        <f t="shared" si="3"/>
        <v>3.76</v>
      </c>
      <c r="J1043" s="15">
        <v>17.68</v>
      </c>
      <c r="K1043" s="16">
        <f>IF(COUNTIFS(Release_Calendar!$A$2:$A$755,"US_CPI",Release_Calendar!$B$2:$B$755,$A1043)&gt;0,1,0)</f>
        <v>0</v>
      </c>
      <c r="L1043" s="16">
        <f>IF(COUNTIFS(Release_Calendar!$A$2:$A$755,"US_NFP",Release_Calendar!$B$2:$B$755,$A1043)&gt;0,1,0)</f>
        <v>0</v>
      </c>
      <c r="M1043" s="16" t="str">
        <f>IF($A1043&lt;Notes!$B$5,"",IF(COUNTIFS(Release_Calendar!$A$2:$A$755,"NZ_CPI",Release_Calendar!$B$2:$B$755,$A1043)&gt;0,1,0))</f>
        <v/>
      </c>
      <c r="N1043" s="16" t="str">
        <f>IF($A1043&lt;Notes!$B$5,"",IF(COUNTIFS(Release_Calendar!$A$2:$A$755,"NZ_GDP",Release_Calendar!$B$2:$B$755,$A1043)&gt;0,1,0))</f>
        <v/>
      </c>
      <c r="O1043" s="16" t="str">
        <f>IF($A1043&lt;Notes!$B$5,"",IF(COUNTIFS(Release_Calendar!$A$2:$A$755,"NZ_LABOUR",Release_Calendar!$B$2:$B$755,$A1043)&gt;0,1,0))</f>
        <v/>
      </c>
      <c r="P1043" s="16">
        <f t="shared" si="4"/>
        <v>0</v>
      </c>
    </row>
    <row r="1044" ht="15.75" customHeight="1">
      <c r="A1044" s="14">
        <v>37986.0</v>
      </c>
      <c r="B1044" s="15">
        <v>1.84</v>
      </c>
      <c r="C1044" s="15"/>
      <c r="D1044" s="15">
        <v>5.61</v>
      </c>
      <c r="E1044" s="15"/>
      <c r="F1044" s="15" t="str">
        <f t="shared" si="1"/>
        <v/>
      </c>
      <c r="G1044" s="15">
        <f t="shared" si="2"/>
        <v>5.61</v>
      </c>
      <c r="H1044" s="16">
        <v>1.0</v>
      </c>
      <c r="I1044" s="15">
        <f t="shared" si="3"/>
        <v>3.77</v>
      </c>
      <c r="J1044" s="15">
        <v>18.31</v>
      </c>
      <c r="K1044" s="16">
        <f>IF(COUNTIFS(Release_Calendar!$A$2:$A$755,"US_CPI",Release_Calendar!$B$2:$B$755,$A1044)&gt;0,1,0)</f>
        <v>0</v>
      </c>
      <c r="L1044" s="16">
        <f>IF(COUNTIFS(Release_Calendar!$A$2:$A$755,"US_NFP",Release_Calendar!$B$2:$B$755,$A1044)&gt;0,1,0)</f>
        <v>0</v>
      </c>
      <c r="M1044" s="16" t="str">
        <f>IF($A1044&lt;Notes!$B$5,"",IF(COUNTIFS(Release_Calendar!$A$2:$A$755,"NZ_CPI",Release_Calendar!$B$2:$B$755,$A1044)&gt;0,1,0))</f>
        <v/>
      </c>
      <c r="N1044" s="16" t="str">
        <f>IF($A1044&lt;Notes!$B$5,"",IF(COUNTIFS(Release_Calendar!$A$2:$A$755,"NZ_GDP",Release_Calendar!$B$2:$B$755,$A1044)&gt;0,1,0))</f>
        <v/>
      </c>
      <c r="O1044" s="16" t="str">
        <f>IF($A1044&lt;Notes!$B$5,"",IF(COUNTIFS(Release_Calendar!$A$2:$A$755,"NZ_LABOUR",Release_Calendar!$B$2:$B$755,$A1044)&gt;0,1,0))</f>
        <v/>
      </c>
      <c r="P1044" s="16">
        <f t="shared" si="4"/>
        <v>0</v>
      </c>
    </row>
    <row r="1045" ht="15.75" customHeight="1">
      <c r="A1045" s="14">
        <v>37987.0</v>
      </c>
      <c r="B1045" s="15"/>
      <c r="C1045" s="15"/>
      <c r="D1045" s="15"/>
      <c r="E1045" s="15"/>
      <c r="F1045" s="15" t="str">
        <f t="shared" si="1"/>
        <v/>
      </c>
      <c r="G1045" s="15" t="str">
        <f t="shared" si="2"/>
        <v/>
      </c>
      <c r="H1045" s="16">
        <v>1.0</v>
      </c>
      <c r="I1045" s="15" t="str">
        <f t="shared" si="3"/>
        <v/>
      </c>
      <c r="J1045" s="15"/>
      <c r="K1045" s="16">
        <f>IF(COUNTIFS(Release_Calendar!$A$2:$A$755,"US_CPI",Release_Calendar!$B$2:$B$755,$A1045)&gt;0,1,0)</f>
        <v>0</v>
      </c>
      <c r="L1045" s="16">
        <f>IF(COUNTIFS(Release_Calendar!$A$2:$A$755,"US_NFP",Release_Calendar!$B$2:$B$755,$A1045)&gt;0,1,0)</f>
        <v>0</v>
      </c>
      <c r="M1045" s="16" t="str">
        <f>IF($A1045&lt;Notes!$B$5,"",IF(COUNTIFS(Release_Calendar!$A$2:$A$755,"NZ_CPI",Release_Calendar!$B$2:$B$755,$A1045)&gt;0,1,0))</f>
        <v/>
      </c>
      <c r="N1045" s="16" t="str">
        <f>IF($A1045&lt;Notes!$B$5,"",IF(COUNTIFS(Release_Calendar!$A$2:$A$755,"NZ_GDP",Release_Calendar!$B$2:$B$755,$A1045)&gt;0,1,0))</f>
        <v/>
      </c>
      <c r="O1045" s="16" t="str">
        <f>IF($A1045&lt;Notes!$B$5,"",IF(COUNTIFS(Release_Calendar!$A$2:$A$755,"NZ_LABOUR",Release_Calendar!$B$2:$B$755,$A1045)&gt;0,1,0))</f>
        <v/>
      </c>
      <c r="P1045" s="16">
        <f t="shared" si="4"/>
        <v>0</v>
      </c>
    </row>
    <row r="1046" ht="15.75" customHeight="1">
      <c r="A1046" s="14">
        <v>37988.0</v>
      </c>
      <c r="B1046" s="15">
        <v>1.94</v>
      </c>
      <c r="C1046" s="15"/>
      <c r="D1046" s="15"/>
      <c r="E1046" s="15"/>
      <c r="F1046" s="15" t="str">
        <f t="shared" si="1"/>
        <v/>
      </c>
      <c r="G1046" s="15" t="str">
        <f t="shared" si="2"/>
        <v/>
      </c>
      <c r="H1046" s="16">
        <v>1.0</v>
      </c>
      <c r="I1046" s="15" t="str">
        <f t="shared" si="3"/>
        <v/>
      </c>
      <c r="J1046" s="15">
        <v>18.22</v>
      </c>
      <c r="K1046" s="16">
        <f>IF(COUNTIFS(Release_Calendar!$A$2:$A$755,"US_CPI",Release_Calendar!$B$2:$B$755,$A1046)&gt;0,1,0)</f>
        <v>0</v>
      </c>
      <c r="L1046" s="16">
        <f>IF(COUNTIFS(Release_Calendar!$A$2:$A$755,"US_NFP",Release_Calendar!$B$2:$B$755,$A1046)&gt;0,1,0)</f>
        <v>0</v>
      </c>
      <c r="M1046" s="16" t="str">
        <f>IF($A1046&lt;Notes!$B$5,"",IF(COUNTIFS(Release_Calendar!$A$2:$A$755,"NZ_CPI",Release_Calendar!$B$2:$B$755,$A1046)&gt;0,1,0))</f>
        <v/>
      </c>
      <c r="N1046" s="16" t="str">
        <f>IF($A1046&lt;Notes!$B$5,"",IF(COUNTIFS(Release_Calendar!$A$2:$A$755,"NZ_GDP",Release_Calendar!$B$2:$B$755,$A1046)&gt;0,1,0))</f>
        <v/>
      </c>
      <c r="O1046" s="16" t="str">
        <f>IF($A1046&lt;Notes!$B$5,"",IF(COUNTIFS(Release_Calendar!$A$2:$A$755,"NZ_LABOUR",Release_Calendar!$B$2:$B$755,$A1046)&gt;0,1,0))</f>
        <v/>
      </c>
      <c r="P1046" s="16">
        <f t="shared" si="4"/>
        <v>0</v>
      </c>
    </row>
    <row r="1047" ht="15.75" customHeight="1">
      <c r="A1047" s="14">
        <v>37991.0</v>
      </c>
      <c r="B1047" s="15">
        <v>1.95</v>
      </c>
      <c r="C1047" s="15"/>
      <c r="D1047" s="15">
        <v>5.7</v>
      </c>
      <c r="E1047" s="15"/>
      <c r="F1047" s="15" t="str">
        <f t="shared" si="1"/>
        <v/>
      </c>
      <c r="G1047" s="15">
        <f t="shared" si="2"/>
        <v>5.7</v>
      </c>
      <c r="H1047" s="16">
        <v>1.0</v>
      </c>
      <c r="I1047" s="15">
        <f t="shared" si="3"/>
        <v>3.75</v>
      </c>
      <c r="J1047" s="15">
        <v>17.49</v>
      </c>
      <c r="K1047" s="16">
        <f>IF(COUNTIFS(Release_Calendar!$A$2:$A$755,"US_CPI",Release_Calendar!$B$2:$B$755,$A1047)&gt;0,1,0)</f>
        <v>0</v>
      </c>
      <c r="L1047" s="16">
        <f>IF(COUNTIFS(Release_Calendar!$A$2:$A$755,"US_NFP",Release_Calendar!$B$2:$B$755,$A1047)&gt;0,1,0)</f>
        <v>0</v>
      </c>
      <c r="M1047" s="16" t="str">
        <f>IF($A1047&lt;Notes!$B$5,"",IF(COUNTIFS(Release_Calendar!$A$2:$A$755,"NZ_CPI",Release_Calendar!$B$2:$B$755,$A1047)&gt;0,1,0))</f>
        <v/>
      </c>
      <c r="N1047" s="16" t="str">
        <f>IF($A1047&lt;Notes!$B$5,"",IF(COUNTIFS(Release_Calendar!$A$2:$A$755,"NZ_GDP",Release_Calendar!$B$2:$B$755,$A1047)&gt;0,1,0))</f>
        <v/>
      </c>
      <c r="O1047" s="16" t="str">
        <f>IF($A1047&lt;Notes!$B$5,"",IF(COUNTIFS(Release_Calendar!$A$2:$A$755,"NZ_LABOUR",Release_Calendar!$B$2:$B$755,$A1047)&gt;0,1,0))</f>
        <v/>
      </c>
      <c r="P1047" s="16">
        <f t="shared" si="4"/>
        <v>0</v>
      </c>
    </row>
    <row r="1048" ht="15.75" customHeight="1">
      <c r="A1048" s="14">
        <v>37992.0</v>
      </c>
      <c r="B1048" s="15">
        <v>1.84</v>
      </c>
      <c r="C1048" s="15"/>
      <c r="D1048" s="15">
        <v>5.65</v>
      </c>
      <c r="E1048" s="15"/>
      <c r="F1048" s="15" t="str">
        <f t="shared" si="1"/>
        <v/>
      </c>
      <c r="G1048" s="15">
        <f t="shared" si="2"/>
        <v>5.65</v>
      </c>
      <c r="H1048" s="16">
        <v>1.0</v>
      </c>
      <c r="I1048" s="15">
        <f t="shared" si="3"/>
        <v>3.81</v>
      </c>
      <c r="J1048" s="15">
        <v>16.73</v>
      </c>
      <c r="K1048" s="16">
        <f>IF(COUNTIFS(Release_Calendar!$A$2:$A$755,"US_CPI",Release_Calendar!$B$2:$B$755,$A1048)&gt;0,1,0)</f>
        <v>0</v>
      </c>
      <c r="L1048" s="16">
        <f>IF(COUNTIFS(Release_Calendar!$A$2:$A$755,"US_NFP",Release_Calendar!$B$2:$B$755,$A1048)&gt;0,1,0)</f>
        <v>0</v>
      </c>
      <c r="M1048" s="16" t="str">
        <f>IF($A1048&lt;Notes!$B$5,"",IF(COUNTIFS(Release_Calendar!$A$2:$A$755,"NZ_CPI",Release_Calendar!$B$2:$B$755,$A1048)&gt;0,1,0))</f>
        <v/>
      </c>
      <c r="N1048" s="16" t="str">
        <f>IF($A1048&lt;Notes!$B$5,"",IF(COUNTIFS(Release_Calendar!$A$2:$A$755,"NZ_GDP",Release_Calendar!$B$2:$B$755,$A1048)&gt;0,1,0))</f>
        <v/>
      </c>
      <c r="O1048" s="16" t="str">
        <f>IF($A1048&lt;Notes!$B$5,"",IF(COUNTIFS(Release_Calendar!$A$2:$A$755,"NZ_LABOUR",Release_Calendar!$B$2:$B$755,$A1048)&gt;0,1,0))</f>
        <v/>
      </c>
      <c r="P1048" s="16">
        <f t="shared" si="4"/>
        <v>0</v>
      </c>
    </row>
    <row r="1049" ht="15.75" customHeight="1">
      <c r="A1049" s="14">
        <v>37993.0</v>
      </c>
      <c r="B1049" s="15">
        <v>1.84</v>
      </c>
      <c r="C1049" s="15"/>
      <c r="D1049" s="15">
        <v>5.59</v>
      </c>
      <c r="E1049" s="15"/>
      <c r="F1049" s="15" t="str">
        <f t="shared" si="1"/>
        <v/>
      </c>
      <c r="G1049" s="15">
        <f t="shared" si="2"/>
        <v>5.59</v>
      </c>
      <c r="H1049" s="16">
        <v>1.0</v>
      </c>
      <c r="I1049" s="15">
        <f t="shared" si="3"/>
        <v>3.75</v>
      </c>
      <c r="J1049" s="15">
        <v>15.5</v>
      </c>
      <c r="K1049" s="16">
        <f>IF(COUNTIFS(Release_Calendar!$A$2:$A$755,"US_CPI",Release_Calendar!$B$2:$B$755,$A1049)&gt;0,1,0)</f>
        <v>0</v>
      </c>
      <c r="L1049" s="16">
        <f>IF(COUNTIFS(Release_Calendar!$A$2:$A$755,"US_NFP",Release_Calendar!$B$2:$B$755,$A1049)&gt;0,1,0)</f>
        <v>0</v>
      </c>
      <c r="M1049" s="16" t="str">
        <f>IF($A1049&lt;Notes!$B$5,"",IF(COUNTIFS(Release_Calendar!$A$2:$A$755,"NZ_CPI",Release_Calendar!$B$2:$B$755,$A1049)&gt;0,1,0))</f>
        <v/>
      </c>
      <c r="N1049" s="16" t="str">
        <f>IF($A1049&lt;Notes!$B$5,"",IF(COUNTIFS(Release_Calendar!$A$2:$A$755,"NZ_GDP",Release_Calendar!$B$2:$B$755,$A1049)&gt;0,1,0))</f>
        <v/>
      </c>
      <c r="O1049" s="16" t="str">
        <f>IF($A1049&lt;Notes!$B$5,"",IF(COUNTIFS(Release_Calendar!$A$2:$A$755,"NZ_LABOUR",Release_Calendar!$B$2:$B$755,$A1049)&gt;0,1,0))</f>
        <v/>
      </c>
      <c r="P1049" s="16">
        <f t="shared" si="4"/>
        <v>0</v>
      </c>
    </row>
    <row r="1050" ht="15.75" customHeight="1">
      <c r="A1050" s="14">
        <v>37994.0</v>
      </c>
      <c r="B1050" s="15">
        <v>1.85</v>
      </c>
      <c r="C1050" s="15"/>
      <c r="D1050" s="15">
        <v>5.57</v>
      </c>
      <c r="E1050" s="15"/>
      <c r="F1050" s="15" t="str">
        <f t="shared" si="1"/>
        <v/>
      </c>
      <c r="G1050" s="15">
        <f t="shared" si="2"/>
        <v>5.57</v>
      </c>
      <c r="H1050" s="16">
        <v>1.0</v>
      </c>
      <c r="I1050" s="15">
        <f t="shared" si="3"/>
        <v>3.72</v>
      </c>
      <c r="J1050" s="15">
        <v>15.61</v>
      </c>
      <c r="K1050" s="16">
        <f>IF(COUNTIFS(Release_Calendar!$A$2:$A$755,"US_CPI",Release_Calendar!$B$2:$B$755,$A1050)&gt;0,1,0)</f>
        <v>0</v>
      </c>
      <c r="L1050" s="16">
        <f>IF(COUNTIFS(Release_Calendar!$A$2:$A$755,"US_NFP",Release_Calendar!$B$2:$B$755,$A1050)&gt;0,1,0)</f>
        <v>0</v>
      </c>
      <c r="M1050" s="16" t="str">
        <f>IF($A1050&lt;Notes!$B$5,"",IF(COUNTIFS(Release_Calendar!$A$2:$A$755,"NZ_CPI",Release_Calendar!$B$2:$B$755,$A1050)&gt;0,1,0))</f>
        <v/>
      </c>
      <c r="N1050" s="16" t="str">
        <f>IF($A1050&lt;Notes!$B$5,"",IF(COUNTIFS(Release_Calendar!$A$2:$A$755,"NZ_GDP",Release_Calendar!$B$2:$B$755,$A1050)&gt;0,1,0))</f>
        <v/>
      </c>
      <c r="O1050" s="16" t="str">
        <f>IF($A1050&lt;Notes!$B$5,"",IF(COUNTIFS(Release_Calendar!$A$2:$A$755,"NZ_LABOUR",Release_Calendar!$B$2:$B$755,$A1050)&gt;0,1,0))</f>
        <v/>
      </c>
      <c r="P1050" s="16">
        <f t="shared" si="4"/>
        <v>0</v>
      </c>
    </row>
    <row r="1051" ht="15.75" customHeight="1">
      <c r="A1051" s="14">
        <v>37995.0</v>
      </c>
      <c r="B1051" s="15">
        <v>1.68</v>
      </c>
      <c r="C1051" s="15"/>
      <c r="D1051" s="15">
        <v>5.6</v>
      </c>
      <c r="E1051" s="15"/>
      <c r="F1051" s="15" t="str">
        <f t="shared" si="1"/>
        <v/>
      </c>
      <c r="G1051" s="15">
        <f t="shared" si="2"/>
        <v>5.6</v>
      </c>
      <c r="H1051" s="16">
        <v>1.0</v>
      </c>
      <c r="I1051" s="15">
        <f t="shared" si="3"/>
        <v>3.92</v>
      </c>
      <c r="J1051" s="15">
        <v>16.75</v>
      </c>
      <c r="K1051" s="16">
        <f>IF(COUNTIFS(Release_Calendar!$A$2:$A$755,"US_CPI",Release_Calendar!$B$2:$B$755,$A1051)&gt;0,1,0)</f>
        <v>0</v>
      </c>
      <c r="L1051" s="16">
        <f>IF(COUNTIFS(Release_Calendar!$A$2:$A$755,"US_NFP",Release_Calendar!$B$2:$B$755,$A1051)&gt;0,1,0)</f>
        <v>1</v>
      </c>
      <c r="M1051" s="16" t="str">
        <f>IF($A1051&lt;Notes!$B$5,"",IF(COUNTIFS(Release_Calendar!$A$2:$A$755,"NZ_CPI",Release_Calendar!$B$2:$B$755,$A1051)&gt;0,1,0))</f>
        <v/>
      </c>
      <c r="N1051" s="16" t="str">
        <f>IF($A1051&lt;Notes!$B$5,"",IF(COUNTIFS(Release_Calendar!$A$2:$A$755,"NZ_GDP",Release_Calendar!$B$2:$B$755,$A1051)&gt;0,1,0))</f>
        <v/>
      </c>
      <c r="O1051" s="16" t="str">
        <f>IF($A1051&lt;Notes!$B$5,"",IF(COUNTIFS(Release_Calendar!$A$2:$A$755,"NZ_LABOUR",Release_Calendar!$B$2:$B$755,$A1051)&gt;0,1,0))</f>
        <v/>
      </c>
      <c r="P1051" s="16">
        <f t="shared" si="4"/>
        <v>1</v>
      </c>
    </row>
    <row r="1052" ht="15.75" customHeight="1">
      <c r="A1052" s="14">
        <v>37998.0</v>
      </c>
      <c r="B1052" s="15">
        <v>1.68</v>
      </c>
      <c r="C1052" s="15"/>
      <c r="D1052" s="15">
        <v>5.45</v>
      </c>
      <c r="E1052" s="15"/>
      <c r="F1052" s="15" t="str">
        <f t="shared" si="1"/>
        <v/>
      </c>
      <c r="G1052" s="15">
        <f t="shared" si="2"/>
        <v>5.45</v>
      </c>
      <c r="H1052" s="16">
        <v>1.0</v>
      </c>
      <c r="I1052" s="15">
        <f t="shared" si="3"/>
        <v>3.77</v>
      </c>
      <c r="J1052" s="15">
        <v>16.82</v>
      </c>
      <c r="K1052" s="16">
        <f>IF(COUNTIFS(Release_Calendar!$A$2:$A$755,"US_CPI",Release_Calendar!$B$2:$B$755,$A1052)&gt;0,1,0)</f>
        <v>0</v>
      </c>
      <c r="L1052" s="16">
        <f>IF(COUNTIFS(Release_Calendar!$A$2:$A$755,"US_NFP",Release_Calendar!$B$2:$B$755,$A1052)&gt;0,1,0)</f>
        <v>0</v>
      </c>
      <c r="M1052" s="16" t="str">
        <f>IF($A1052&lt;Notes!$B$5,"",IF(COUNTIFS(Release_Calendar!$A$2:$A$755,"NZ_CPI",Release_Calendar!$B$2:$B$755,$A1052)&gt;0,1,0))</f>
        <v/>
      </c>
      <c r="N1052" s="16" t="str">
        <f>IF($A1052&lt;Notes!$B$5,"",IF(COUNTIFS(Release_Calendar!$A$2:$A$755,"NZ_GDP",Release_Calendar!$B$2:$B$755,$A1052)&gt;0,1,0))</f>
        <v/>
      </c>
      <c r="O1052" s="16" t="str">
        <f>IF($A1052&lt;Notes!$B$5,"",IF(COUNTIFS(Release_Calendar!$A$2:$A$755,"NZ_LABOUR",Release_Calendar!$B$2:$B$755,$A1052)&gt;0,1,0))</f>
        <v/>
      </c>
      <c r="P1052" s="16">
        <f t="shared" si="4"/>
        <v>0</v>
      </c>
    </row>
    <row r="1053" ht="15.75" customHeight="1">
      <c r="A1053" s="14">
        <v>37999.0</v>
      </c>
      <c r="B1053" s="15">
        <v>1.63</v>
      </c>
      <c r="C1053" s="15"/>
      <c r="D1053" s="15">
        <v>5.45</v>
      </c>
      <c r="E1053" s="15"/>
      <c r="F1053" s="15" t="str">
        <f t="shared" si="1"/>
        <v/>
      </c>
      <c r="G1053" s="15">
        <f t="shared" si="2"/>
        <v>5.45</v>
      </c>
      <c r="H1053" s="16">
        <v>1.0</v>
      </c>
      <c r="I1053" s="15">
        <f t="shared" si="3"/>
        <v>3.82</v>
      </c>
      <c r="J1053" s="15">
        <v>18.04</v>
      </c>
      <c r="K1053" s="16">
        <f>IF(COUNTIFS(Release_Calendar!$A$2:$A$755,"US_CPI",Release_Calendar!$B$2:$B$755,$A1053)&gt;0,1,0)</f>
        <v>0</v>
      </c>
      <c r="L1053" s="16">
        <f>IF(COUNTIFS(Release_Calendar!$A$2:$A$755,"US_NFP",Release_Calendar!$B$2:$B$755,$A1053)&gt;0,1,0)</f>
        <v>0</v>
      </c>
      <c r="M1053" s="16" t="str">
        <f>IF($A1053&lt;Notes!$B$5,"",IF(COUNTIFS(Release_Calendar!$A$2:$A$755,"NZ_CPI",Release_Calendar!$B$2:$B$755,$A1053)&gt;0,1,0))</f>
        <v/>
      </c>
      <c r="N1053" s="16" t="str">
        <f>IF($A1053&lt;Notes!$B$5,"",IF(COUNTIFS(Release_Calendar!$A$2:$A$755,"NZ_GDP",Release_Calendar!$B$2:$B$755,$A1053)&gt;0,1,0))</f>
        <v/>
      </c>
      <c r="O1053" s="16" t="str">
        <f>IF($A1053&lt;Notes!$B$5,"",IF(COUNTIFS(Release_Calendar!$A$2:$A$755,"NZ_LABOUR",Release_Calendar!$B$2:$B$755,$A1053)&gt;0,1,0))</f>
        <v/>
      </c>
      <c r="P1053" s="16">
        <f t="shared" si="4"/>
        <v>0</v>
      </c>
    </row>
    <row r="1054" ht="15.75" customHeight="1">
      <c r="A1054" s="14">
        <v>38000.0</v>
      </c>
      <c r="B1054" s="15">
        <v>1.65</v>
      </c>
      <c r="C1054" s="15"/>
      <c r="D1054" s="15">
        <v>5.4</v>
      </c>
      <c r="E1054" s="15"/>
      <c r="F1054" s="15" t="str">
        <f t="shared" si="1"/>
        <v/>
      </c>
      <c r="G1054" s="15">
        <f t="shared" si="2"/>
        <v>5.4</v>
      </c>
      <c r="H1054" s="16">
        <v>1.0</v>
      </c>
      <c r="I1054" s="15">
        <f t="shared" si="3"/>
        <v>3.75</v>
      </c>
      <c r="J1054" s="15">
        <v>16.75</v>
      </c>
      <c r="K1054" s="16">
        <f>IF(COUNTIFS(Release_Calendar!$A$2:$A$755,"US_CPI",Release_Calendar!$B$2:$B$755,$A1054)&gt;0,1,0)</f>
        <v>0</v>
      </c>
      <c r="L1054" s="16">
        <f>IF(COUNTIFS(Release_Calendar!$A$2:$A$755,"US_NFP",Release_Calendar!$B$2:$B$755,$A1054)&gt;0,1,0)</f>
        <v>0</v>
      </c>
      <c r="M1054" s="16" t="str">
        <f>IF($A1054&lt;Notes!$B$5,"",IF(COUNTIFS(Release_Calendar!$A$2:$A$755,"NZ_CPI",Release_Calendar!$B$2:$B$755,$A1054)&gt;0,1,0))</f>
        <v/>
      </c>
      <c r="N1054" s="16" t="str">
        <f>IF($A1054&lt;Notes!$B$5,"",IF(COUNTIFS(Release_Calendar!$A$2:$A$755,"NZ_GDP",Release_Calendar!$B$2:$B$755,$A1054)&gt;0,1,0))</f>
        <v/>
      </c>
      <c r="O1054" s="16" t="str">
        <f>IF($A1054&lt;Notes!$B$5,"",IF(COUNTIFS(Release_Calendar!$A$2:$A$755,"NZ_LABOUR",Release_Calendar!$B$2:$B$755,$A1054)&gt;0,1,0))</f>
        <v/>
      </c>
      <c r="P1054" s="16">
        <f t="shared" si="4"/>
        <v>0</v>
      </c>
    </row>
    <row r="1055" ht="15.75" customHeight="1">
      <c r="A1055" s="14">
        <v>38001.0</v>
      </c>
      <c r="B1055" s="15">
        <v>1.67</v>
      </c>
      <c r="C1055" s="15"/>
      <c r="D1055" s="15">
        <v>5.39</v>
      </c>
      <c r="E1055" s="15"/>
      <c r="F1055" s="15" t="str">
        <f t="shared" si="1"/>
        <v/>
      </c>
      <c r="G1055" s="15">
        <f t="shared" si="2"/>
        <v>5.39</v>
      </c>
      <c r="H1055" s="16">
        <v>1.0</v>
      </c>
      <c r="I1055" s="15">
        <f t="shared" si="3"/>
        <v>3.72</v>
      </c>
      <c r="J1055" s="15">
        <v>15.56</v>
      </c>
      <c r="K1055" s="16">
        <f>IF(COUNTIFS(Release_Calendar!$A$2:$A$755,"US_CPI",Release_Calendar!$B$2:$B$755,$A1055)&gt;0,1,0)</f>
        <v>1</v>
      </c>
      <c r="L1055" s="16">
        <f>IF(COUNTIFS(Release_Calendar!$A$2:$A$755,"US_NFP",Release_Calendar!$B$2:$B$755,$A1055)&gt;0,1,0)</f>
        <v>0</v>
      </c>
      <c r="M1055" s="16" t="str">
        <f>IF($A1055&lt;Notes!$B$5,"",IF(COUNTIFS(Release_Calendar!$A$2:$A$755,"NZ_CPI",Release_Calendar!$B$2:$B$755,$A1055)&gt;0,1,0))</f>
        <v/>
      </c>
      <c r="N1055" s="16" t="str">
        <f>IF($A1055&lt;Notes!$B$5,"",IF(COUNTIFS(Release_Calendar!$A$2:$A$755,"NZ_GDP",Release_Calendar!$B$2:$B$755,$A1055)&gt;0,1,0))</f>
        <v/>
      </c>
      <c r="O1055" s="16" t="str">
        <f>IF($A1055&lt;Notes!$B$5,"",IF(COUNTIFS(Release_Calendar!$A$2:$A$755,"NZ_LABOUR",Release_Calendar!$B$2:$B$755,$A1055)&gt;0,1,0))</f>
        <v/>
      </c>
      <c r="P1055" s="16">
        <f t="shared" si="4"/>
        <v>1</v>
      </c>
    </row>
    <row r="1056" ht="15.75" customHeight="1">
      <c r="A1056" s="14">
        <v>38002.0</v>
      </c>
      <c r="B1056" s="15">
        <v>1.7</v>
      </c>
      <c r="C1056" s="15"/>
      <c r="D1056" s="15">
        <v>5.4</v>
      </c>
      <c r="E1056" s="15"/>
      <c r="F1056" s="15" t="str">
        <f t="shared" si="1"/>
        <v/>
      </c>
      <c r="G1056" s="15">
        <f t="shared" si="2"/>
        <v>5.4</v>
      </c>
      <c r="H1056" s="16">
        <v>1.0</v>
      </c>
      <c r="I1056" s="15">
        <f t="shared" si="3"/>
        <v>3.7</v>
      </c>
      <c r="J1056" s="15">
        <v>15.0</v>
      </c>
      <c r="K1056" s="16">
        <f>IF(COUNTIFS(Release_Calendar!$A$2:$A$755,"US_CPI",Release_Calendar!$B$2:$B$755,$A1056)&gt;0,1,0)</f>
        <v>0</v>
      </c>
      <c r="L1056" s="16">
        <f>IF(COUNTIFS(Release_Calendar!$A$2:$A$755,"US_NFP",Release_Calendar!$B$2:$B$755,$A1056)&gt;0,1,0)</f>
        <v>0</v>
      </c>
      <c r="M1056" s="16" t="str">
        <f>IF($A1056&lt;Notes!$B$5,"",IF(COUNTIFS(Release_Calendar!$A$2:$A$755,"NZ_CPI",Release_Calendar!$B$2:$B$755,$A1056)&gt;0,1,0))</f>
        <v/>
      </c>
      <c r="N1056" s="16" t="str">
        <f>IF($A1056&lt;Notes!$B$5,"",IF(COUNTIFS(Release_Calendar!$A$2:$A$755,"NZ_GDP",Release_Calendar!$B$2:$B$755,$A1056)&gt;0,1,0))</f>
        <v/>
      </c>
      <c r="O1056" s="16" t="str">
        <f>IF($A1056&lt;Notes!$B$5,"",IF(COUNTIFS(Release_Calendar!$A$2:$A$755,"NZ_LABOUR",Release_Calendar!$B$2:$B$755,$A1056)&gt;0,1,0))</f>
        <v/>
      </c>
      <c r="P1056" s="16">
        <f t="shared" si="4"/>
        <v>0</v>
      </c>
    </row>
    <row r="1057" ht="15.75" customHeight="1">
      <c r="A1057" s="14">
        <v>38005.0</v>
      </c>
      <c r="B1057" s="15"/>
      <c r="C1057" s="15"/>
      <c r="D1057" s="15">
        <v>5.4</v>
      </c>
      <c r="E1057" s="15"/>
      <c r="F1057" s="15" t="str">
        <f t="shared" si="1"/>
        <v/>
      </c>
      <c r="G1057" s="15">
        <f t="shared" si="2"/>
        <v>5.4</v>
      </c>
      <c r="H1057" s="16">
        <v>1.0</v>
      </c>
      <c r="I1057" s="15" t="str">
        <f t="shared" si="3"/>
        <v/>
      </c>
      <c r="J1057" s="15"/>
      <c r="K1057" s="16">
        <f>IF(COUNTIFS(Release_Calendar!$A$2:$A$755,"US_CPI",Release_Calendar!$B$2:$B$755,$A1057)&gt;0,1,0)</f>
        <v>0</v>
      </c>
      <c r="L1057" s="16">
        <f>IF(COUNTIFS(Release_Calendar!$A$2:$A$755,"US_NFP",Release_Calendar!$B$2:$B$755,$A1057)&gt;0,1,0)</f>
        <v>0</v>
      </c>
      <c r="M1057" s="16" t="str">
        <f>IF($A1057&lt;Notes!$B$5,"",IF(COUNTIFS(Release_Calendar!$A$2:$A$755,"NZ_CPI",Release_Calendar!$B$2:$B$755,$A1057)&gt;0,1,0))</f>
        <v/>
      </c>
      <c r="N1057" s="16" t="str">
        <f>IF($A1057&lt;Notes!$B$5,"",IF(COUNTIFS(Release_Calendar!$A$2:$A$755,"NZ_GDP",Release_Calendar!$B$2:$B$755,$A1057)&gt;0,1,0))</f>
        <v/>
      </c>
      <c r="O1057" s="16" t="str">
        <f>IF($A1057&lt;Notes!$B$5,"",IF(COUNTIFS(Release_Calendar!$A$2:$A$755,"NZ_LABOUR",Release_Calendar!$B$2:$B$755,$A1057)&gt;0,1,0))</f>
        <v/>
      </c>
      <c r="P1057" s="16">
        <f t="shared" si="4"/>
        <v>0</v>
      </c>
    </row>
    <row r="1058" ht="15.75" customHeight="1">
      <c r="A1058" s="14">
        <v>38006.0</v>
      </c>
      <c r="B1058" s="15">
        <v>1.69</v>
      </c>
      <c r="C1058" s="15"/>
      <c r="D1058" s="15">
        <v>5.49</v>
      </c>
      <c r="E1058" s="15"/>
      <c r="F1058" s="15" t="str">
        <f t="shared" si="1"/>
        <v/>
      </c>
      <c r="G1058" s="15">
        <f t="shared" si="2"/>
        <v>5.49</v>
      </c>
      <c r="H1058" s="16">
        <v>1.0</v>
      </c>
      <c r="I1058" s="15">
        <f t="shared" si="3"/>
        <v>3.8</v>
      </c>
      <c r="J1058" s="15">
        <v>15.21</v>
      </c>
      <c r="K1058" s="16">
        <f>IF(COUNTIFS(Release_Calendar!$A$2:$A$755,"US_CPI",Release_Calendar!$B$2:$B$755,$A1058)&gt;0,1,0)</f>
        <v>0</v>
      </c>
      <c r="L1058" s="16">
        <f>IF(COUNTIFS(Release_Calendar!$A$2:$A$755,"US_NFP",Release_Calendar!$B$2:$B$755,$A1058)&gt;0,1,0)</f>
        <v>0</v>
      </c>
      <c r="M1058" s="16" t="str">
        <f>IF($A1058&lt;Notes!$B$5,"",IF(COUNTIFS(Release_Calendar!$A$2:$A$755,"NZ_CPI",Release_Calendar!$B$2:$B$755,$A1058)&gt;0,1,0))</f>
        <v/>
      </c>
      <c r="N1058" s="16" t="str">
        <f>IF($A1058&lt;Notes!$B$5,"",IF(COUNTIFS(Release_Calendar!$A$2:$A$755,"NZ_GDP",Release_Calendar!$B$2:$B$755,$A1058)&gt;0,1,0))</f>
        <v/>
      </c>
      <c r="O1058" s="16" t="str">
        <f>IF($A1058&lt;Notes!$B$5,"",IF(COUNTIFS(Release_Calendar!$A$2:$A$755,"NZ_LABOUR",Release_Calendar!$B$2:$B$755,$A1058)&gt;0,1,0))</f>
        <v/>
      </c>
      <c r="P1058" s="16">
        <f t="shared" si="4"/>
        <v>0</v>
      </c>
    </row>
    <row r="1059" ht="15.75" customHeight="1">
      <c r="A1059" s="14">
        <v>38007.0</v>
      </c>
      <c r="B1059" s="15">
        <v>1.69</v>
      </c>
      <c r="C1059" s="15"/>
      <c r="D1059" s="15">
        <v>5.49</v>
      </c>
      <c r="E1059" s="15"/>
      <c r="F1059" s="15" t="str">
        <f t="shared" si="1"/>
        <v/>
      </c>
      <c r="G1059" s="15">
        <f t="shared" si="2"/>
        <v>5.49</v>
      </c>
      <c r="H1059" s="16">
        <v>1.0</v>
      </c>
      <c r="I1059" s="15">
        <f t="shared" si="3"/>
        <v>3.8</v>
      </c>
      <c r="J1059" s="15">
        <v>14.34</v>
      </c>
      <c r="K1059" s="16">
        <f>IF(COUNTIFS(Release_Calendar!$A$2:$A$755,"US_CPI",Release_Calendar!$B$2:$B$755,$A1059)&gt;0,1,0)</f>
        <v>0</v>
      </c>
      <c r="L1059" s="16">
        <f>IF(COUNTIFS(Release_Calendar!$A$2:$A$755,"US_NFP",Release_Calendar!$B$2:$B$755,$A1059)&gt;0,1,0)</f>
        <v>0</v>
      </c>
      <c r="M1059" s="16" t="str">
        <f>IF($A1059&lt;Notes!$B$5,"",IF(COUNTIFS(Release_Calendar!$A$2:$A$755,"NZ_CPI",Release_Calendar!$B$2:$B$755,$A1059)&gt;0,1,0))</f>
        <v/>
      </c>
      <c r="N1059" s="16" t="str">
        <f>IF($A1059&lt;Notes!$B$5,"",IF(COUNTIFS(Release_Calendar!$A$2:$A$755,"NZ_GDP",Release_Calendar!$B$2:$B$755,$A1059)&gt;0,1,0))</f>
        <v/>
      </c>
      <c r="O1059" s="16" t="str">
        <f>IF($A1059&lt;Notes!$B$5,"",IF(COUNTIFS(Release_Calendar!$A$2:$A$755,"NZ_LABOUR",Release_Calendar!$B$2:$B$755,$A1059)&gt;0,1,0))</f>
        <v/>
      </c>
      <c r="P1059" s="16">
        <f t="shared" si="4"/>
        <v>0</v>
      </c>
    </row>
    <row r="1060" ht="15.75" customHeight="1">
      <c r="A1060" s="14">
        <v>38008.0</v>
      </c>
      <c r="B1060" s="15">
        <v>1.66</v>
      </c>
      <c r="C1060" s="15"/>
      <c r="D1060" s="15">
        <v>5.47</v>
      </c>
      <c r="E1060" s="15"/>
      <c r="F1060" s="15" t="str">
        <f t="shared" si="1"/>
        <v/>
      </c>
      <c r="G1060" s="15">
        <f t="shared" si="2"/>
        <v>5.47</v>
      </c>
      <c r="H1060" s="16">
        <v>1.0</v>
      </c>
      <c r="I1060" s="15">
        <f t="shared" si="3"/>
        <v>3.81</v>
      </c>
      <c r="J1060" s="15">
        <v>14.71</v>
      </c>
      <c r="K1060" s="16">
        <f>IF(COUNTIFS(Release_Calendar!$A$2:$A$755,"US_CPI",Release_Calendar!$B$2:$B$755,$A1060)&gt;0,1,0)</f>
        <v>0</v>
      </c>
      <c r="L1060" s="16">
        <f>IF(COUNTIFS(Release_Calendar!$A$2:$A$755,"US_NFP",Release_Calendar!$B$2:$B$755,$A1060)&gt;0,1,0)</f>
        <v>0</v>
      </c>
      <c r="M1060" s="16" t="str">
        <f>IF($A1060&lt;Notes!$B$5,"",IF(COUNTIFS(Release_Calendar!$A$2:$A$755,"NZ_CPI",Release_Calendar!$B$2:$B$755,$A1060)&gt;0,1,0))</f>
        <v/>
      </c>
      <c r="N1060" s="16" t="str">
        <f>IF($A1060&lt;Notes!$B$5,"",IF(COUNTIFS(Release_Calendar!$A$2:$A$755,"NZ_GDP",Release_Calendar!$B$2:$B$755,$A1060)&gt;0,1,0))</f>
        <v/>
      </c>
      <c r="O1060" s="16" t="str">
        <f>IF($A1060&lt;Notes!$B$5,"",IF(COUNTIFS(Release_Calendar!$A$2:$A$755,"NZ_LABOUR",Release_Calendar!$B$2:$B$755,$A1060)&gt;0,1,0))</f>
        <v/>
      </c>
      <c r="P1060" s="16">
        <f t="shared" si="4"/>
        <v>0</v>
      </c>
    </row>
    <row r="1061" ht="15.75" customHeight="1">
      <c r="A1061" s="14">
        <v>38009.0</v>
      </c>
      <c r="B1061" s="15">
        <v>1.71</v>
      </c>
      <c r="C1061" s="15"/>
      <c r="D1061" s="15">
        <v>5.43</v>
      </c>
      <c r="E1061" s="15"/>
      <c r="F1061" s="15" t="str">
        <f t="shared" si="1"/>
        <v/>
      </c>
      <c r="G1061" s="15">
        <f t="shared" si="2"/>
        <v>5.43</v>
      </c>
      <c r="H1061" s="16">
        <v>1.0</v>
      </c>
      <c r="I1061" s="15">
        <f t="shared" si="3"/>
        <v>3.72</v>
      </c>
      <c r="J1061" s="15">
        <v>14.84</v>
      </c>
      <c r="K1061" s="16">
        <f>IF(COUNTIFS(Release_Calendar!$A$2:$A$755,"US_CPI",Release_Calendar!$B$2:$B$755,$A1061)&gt;0,1,0)</f>
        <v>0</v>
      </c>
      <c r="L1061" s="16">
        <f>IF(COUNTIFS(Release_Calendar!$A$2:$A$755,"US_NFP",Release_Calendar!$B$2:$B$755,$A1061)&gt;0,1,0)</f>
        <v>0</v>
      </c>
      <c r="M1061" s="16" t="str">
        <f>IF($A1061&lt;Notes!$B$5,"",IF(COUNTIFS(Release_Calendar!$A$2:$A$755,"NZ_CPI",Release_Calendar!$B$2:$B$755,$A1061)&gt;0,1,0))</f>
        <v/>
      </c>
      <c r="N1061" s="16" t="str">
        <f>IF($A1061&lt;Notes!$B$5,"",IF(COUNTIFS(Release_Calendar!$A$2:$A$755,"NZ_GDP",Release_Calendar!$B$2:$B$755,$A1061)&gt;0,1,0))</f>
        <v/>
      </c>
      <c r="O1061" s="16" t="str">
        <f>IF($A1061&lt;Notes!$B$5,"",IF(COUNTIFS(Release_Calendar!$A$2:$A$755,"NZ_LABOUR",Release_Calendar!$B$2:$B$755,$A1061)&gt;0,1,0))</f>
        <v/>
      </c>
      <c r="P1061" s="16">
        <f t="shared" si="4"/>
        <v>0</v>
      </c>
    </row>
    <row r="1062" ht="15.75" customHeight="1">
      <c r="A1062" s="14">
        <v>38012.0</v>
      </c>
      <c r="B1062" s="15">
        <v>1.75</v>
      </c>
      <c r="C1062" s="15"/>
      <c r="D1062" s="15">
        <v>5.44</v>
      </c>
      <c r="E1062" s="15"/>
      <c r="F1062" s="15" t="str">
        <f t="shared" si="1"/>
        <v/>
      </c>
      <c r="G1062" s="15">
        <f t="shared" si="2"/>
        <v>5.44</v>
      </c>
      <c r="H1062" s="16">
        <v>1.0</v>
      </c>
      <c r="I1062" s="15">
        <f t="shared" si="3"/>
        <v>3.69</v>
      </c>
      <c r="J1062" s="15">
        <v>14.55</v>
      </c>
      <c r="K1062" s="16">
        <f>IF(COUNTIFS(Release_Calendar!$A$2:$A$755,"US_CPI",Release_Calendar!$B$2:$B$755,$A1062)&gt;0,1,0)</f>
        <v>0</v>
      </c>
      <c r="L1062" s="16">
        <f>IF(COUNTIFS(Release_Calendar!$A$2:$A$755,"US_NFP",Release_Calendar!$B$2:$B$755,$A1062)&gt;0,1,0)</f>
        <v>0</v>
      </c>
      <c r="M1062" s="16" t="str">
        <f>IF($A1062&lt;Notes!$B$5,"",IF(COUNTIFS(Release_Calendar!$A$2:$A$755,"NZ_CPI",Release_Calendar!$B$2:$B$755,$A1062)&gt;0,1,0))</f>
        <v/>
      </c>
      <c r="N1062" s="16" t="str">
        <f>IF($A1062&lt;Notes!$B$5,"",IF(COUNTIFS(Release_Calendar!$A$2:$A$755,"NZ_GDP",Release_Calendar!$B$2:$B$755,$A1062)&gt;0,1,0))</f>
        <v/>
      </c>
      <c r="O1062" s="16" t="str">
        <f>IF($A1062&lt;Notes!$B$5,"",IF(COUNTIFS(Release_Calendar!$A$2:$A$755,"NZ_LABOUR",Release_Calendar!$B$2:$B$755,$A1062)&gt;0,1,0))</f>
        <v/>
      </c>
      <c r="P1062" s="16">
        <f t="shared" si="4"/>
        <v>0</v>
      </c>
    </row>
    <row r="1063" ht="15.75" customHeight="1">
      <c r="A1063" s="14">
        <v>38013.0</v>
      </c>
      <c r="B1063" s="15">
        <v>1.7</v>
      </c>
      <c r="C1063" s="15"/>
      <c r="D1063" s="15">
        <v>5.55</v>
      </c>
      <c r="E1063" s="15"/>
      <c r="F1063" s="15" t="str">
        <f t="shared" si="1"/>
        <v/>
      </c>
      <c r="G1063" s="15">
        <f t="shared" si="2"/>
        <v>5.55</v>
      </c>
      <c r="H1063" s="16">
        <v>1.0</v>
      </c>
      <c r="I1063" s="15">
        <f t="shared" si="3"/>
        <v>3.85</v>
      </c>
      <c r="J1063" s="15">
        <v>15.35</v>
      </c>
      <c r="K1063" s="16">
        <f>IF(COUNTIFS(Release_Calendar!$A$2:$A$755,"US_CPI",Release_Calendar!$B$2:$B$755,$A1063)&gt;0,1,0)</f>
        <v>0</v>
      </c>
      <c r="L1063" s="16">
        <f>IF(COUNTIFS(Release_Calendar!$A$2:$A$755,"US_NFP",Release_Calendar!$B$2:$B$755,$A1063)&gt;0,1,0)</f>
        <v>0</v>
      </c>
      <c r="M1063" s="16" t="str">
        <f>IF($A1063&lt;Notes!$B$5,"",IF(COUNTIFS(Release_Calendar!$A$2:$A$755,"NZ_CPI",Release_Calendar!$B$2:$B$755,$A1063)&gt;0,1,0))</f>
        <v/>
      </c>
      <c r="N1063" s="16" t="str">
        <f>IF($A1063&lt;Notes!$B$5,"",IF(COUNTIFS(Release_Calendar!$A$2:$A$755,"NZ_GDP",Release_Calendar!$B$2:$B$755,$A1063)&gt;0,1,0))</f>
        <v/>
      </c>
      <c r="O1063" s="16" t="str">
        <f>IF($A1063&lt;Notes!$B$5,"",IF(COUNTIFS(Release_Calendar!$A$2:$A$755,"NZ_LABOUR",Release_Calendar!$B$2:$B$755,$A1063)&gt;0,1,0))</f>
        <v/>
      </c>
      <c r="P1063" s="16">
        <f t="shared" si="4"/>
        <v>0</v>
      </c>
    </row>
    <row r="1064" ht="15.75" customHeight="1">
      <c r="A1064" s="14">
        <v>38014.0</v>
      </c>
      <c r="B1064" s="15">
        <v>1.87</v>
      </c>
      <c r="C1064" s="15"/>
      <c r="D1064" s="15">
        <v>5.52</v>
      </c>
      <c r="E1064" s="15"/>
      <c r="F1064" s="15" t="str">
        <f t="shared" si="1"/>
        <v/>
      </c>
      <c r="G1064" s="15">
        <f t="shared" si="2"/>
        <v>5.52</v>
      </c>
      <c r="H1064" s="16">
        <v>1.0</v>
      </c>
      <c r="I1064" s="15">
        <f t="shared" si="3"/>
        <v>3.65</v>
      </c>
      <c r="J1064" s="15">
        <v>16.78</v>
      </c>
      <c r="K1064" s="16">
        <f>IF(COUNTIFS(Release_Calendar!$A$2:$A$755,"US_CPI",Release_Calendar!$B$2:$B$755,$A1064)&gt;0,1,0)</f>
        <v>0</v>
      </c>
      <c r="L1064" s="16">
        <f>IF(COUNTIFS(Release_Calendar!$A$2:$A$755,"US_NFP",Release_Calendar!$B$2:$B$755,$A1064)&gt;0,1,0)</f>
        <v>0</v>
      </c>
      <c r="M1064" s="16" t="str">
        <f>IF($A1064&lt;Notes!$B$5,"",IF(COUNTIFS(Release_Calendar!$A$2:$A$755,"NZ_CPI",Release_Calendar!$B$2:$B$755,$A1064)&gt;0,1,0))</f>
        <v/>
      </c>
      <c r="N1064" s="16" t="str">
        <f>IF($A1064&lt;Notes!$B$5,"",IF(COUNTIFS(Release_Calendar!$A$2:$A$755,"NZ_GDP",Release_Calendar!$B$2:$B$755,$A1064)&gt;0,1,0))</f>
        <v/>
      </c>
      <c r="O1064" s="16" t="str">
        <f>IF($A1064&lt;Notes!$B$5,"",IF(COUNTIFS(Release_Calendar!$A$2:$A$755,"NZ_LABOUR",Release_Calendar!$B$2:$B$755,$A1064)&gt;0,1,0))</f>
        <v/>
      </c>
      <c r="P1064" s="16">
        <f t="shared" si="4"/>
        <v>0</v>
      </c>
    </row>
    <row r="1065" ht="15.75" customHeight="1">
      <c r="A1065" s="14">
        <v>38015.0</v>
      </c>
      <c r="B1065" s="15">
        <v>1.88</v>
      </c>
      <c r="C1065" s="15"/>
      <c r="D1065" s="15">
        <v>5.72</v>
      </c>
      <c r="E1065" s="15"/>
      <c r="F1065" s="15" t="str">
        <f t="shared" si="1"/>
        <v/>
      </c>
      <c r="G1065" s="15">
        <f t="shared" si="2"/>
        <v>5.72</v>
      </c>
      <c r="H1065" s="16">
        <v>1.0</v>
      </c>
      <c r="I1065" s="15">
        <f t="shared" si="3"/>
        <v>3.84</v>
      </c>
      <c r="J1065" s="15">
        <v>17.14</v>
      </c>
      <c r="K1065" s="16">
        <f>IF(COUNTIFS(Release_Calendar!$A$2:$A$755,"US_CPI",Release_Calendar!$B$2:$B$755,$A1065)&gt;0,1,0)</f>
        <v>0</v>
      </c>
      <c r="L1065" s="16">
        <f>IF(COUNTIFS(Release_Calendar!$A$2:$A$755,"US_NFP",Release_Calendar!$B$2:$B$755,$A1065)&gt;0,1,0)</f>
        <v>0</v>
      </c>
      <c r="M1065" s="16" t="str">
        <f>IF($A1065&lt;Notes!$B$5,"",IF(COUNTIFS(Release_Calendar!$A$2:$A$755,"NZ_CPI",Release_Calendar!$B$2:$B$755,$A1065)&gt;0,1,0))</f>
        <v/>
      </c>
      <c r="N1065" s="16" t="str">
        <f>IF($A1065&lt;Notes!$B$5,"",IF(COUNTIFS(Release_Calendar!$A$2:$A$755,"NZ_GDP",Release_Calendar!$B$2:$B$755,$A1065)&gt;0,1,0))</f>
        <v/>
      </c>
      <c r="O1065" s="16" t="str">
        <f>IF($A1065&lt;Notes!$B$5,"",IF(COUNTIFS(Release_Calendar!$A$2:$A$755,"NZ_LABOUR",Release_Calendar!$B$2:$B$755,$A1065)&gt;0,1,0))</f>
        <v/>
      </c>
      <c r="P1065" s="16">
        <f t="shared" si="4"/>
        <v>0</v>
      </c>
    </row>
    <row r="1066" ht="15.75" customHeight="1">
      <c r="A1066" s="14">
        <v>38016.0</v>
      </c>
      <c r="B1066" s="15">
        <v>1.84</v>
      </c>
      <c r="C1066" s="15"/>
      <c r="D1066" s="15">
        <v>5.68</v>
      </c>
      <c r="E1066" s="15"/>
      <c r="F1066" s="15" t="str">
        <f t="shared" si="1"/>
        <v/>
      </c>
      <c r="G1066" s="15">
        <f t="shared" si="2"/>
        <v>5.68</v>
      </c>
      <c r="H1066" s="16">
        <v>1.0</v>
      </c>
      <c r="I1066" s="15">
        <f t="shared" si="3"/>
        <v>3.84</v>
      </c>
      <c r="J1066" s="15">
        <v>16.63</v>
      </c>
      <c r="K1066" s="16">
        <f>IF(COUNTIFS(Release_Calendar!$A$2:$A$755,"US_CPI",Release_Calendar!$B$2:$B$755,$A1066)&gt;0,1,0)</f>
        <v>0</v>
      </c>
      <c r="L1066" s="16">
        <f>IF(COUNTIFS(Release_Calendar!$A$2:$A$755,"US_NFP",Release_Calendar!$B$2:$B$755,$A1066)&gt;0,1,0)</f>
        <v>0</v>
      </c>
      <c r="M1066" s="16" t="str">
        <f>IF($A1066&lt;Notes!$B$5,"",IF(COUNTIFS(Release_Calendar!$A$2:$A$755,"NZ_CPI",Release_Calendar!$B$2:$B$755,$A1066)&gt;0,1,0))</f>
        <v/>
      </c>
      <c r="N1066" s="16" t="str">
        <f>IF($A1066&lt;Notes!$B$5,"",IF(COUNTIFS(Release_Calendar!$A$2:$A$755,"NZ_GDP",Release_Calendar!$B$2:$B$755,$A1066)&gt;0,1,0))</f>
        <v/>
      </c>
      <c r="O1066" s="16" t="str">
        <f>IF($A1066&lt;Notes!$B$5,"",IF(COUNTIFS(Release_Calendar!$A$2:$A$755,"NZ_LABOUR",Release_Calendar!$B$2:$B$755,$A1066)&gt;0,1,0))</f>
        <v/>
      </c>
      <c r="P1066" s="16">
        <f t="shared" si="4"/>
        <v>0</v>
      </c>
    </row>
    <row r="1067" ht="15.75" customHeight="1">
      <c r="A1067" s="14">
        <v>38019.0</v>
      </c>
      <c r="B1067" s="15">
        <v>1.83</v>
      </c>
      <c r="C1067" s="15"/>
      <c r="D1067" s="15">
        <v>5.66</v>
      </c>
      <c r="E1067" s="15"/>
      <c r="F1067" s="15" t="str">
        <f t="shared" si="1"/>
        <v/>
      </c>
      <c r="G1067" s="15">
        <f t="shared" si="2"/>
        <v>5.66</v>
      </c>
      <c r="H1067" s="16">
        <v>1.0</v>
      </c>
      <c r="I1067" s="15">
        <f t="shared" si="3"/>
        <v>3.83</v>
      </c>
      <c r="J1067" s="15">
        <v>17.11</v>
      </c>
      <c r="K1067" s="16">
        <f>IF(COUNTIFS(Release_Calendar!$A$2:$A$755,"US_CPI",Release_Calendar!$B$2:$B$755,$A1067)&gt;0,1,0)</f>
        <v>0</v>
      </c>
      <c r="L1067" s="16">
        <f>IF(COUNTIFS(Release_Calendar!$A$2:$A$755,"US_NFP",Release_Calendar!$B$2:$B$755,$A1067)&gt;0,1,0)</f>
        <v>0</v>
      </c>
      <c r="M1067" s="16" t="str">
        <f>IF($A1067&lt;Notes!$B$5,"",IF(COUNTIFS(Release_Calendar!$A$2:$A$755,"NZ_CPI",Release_Calendar!$B$2:$B$755,$A1067)&gt;0,1,0))</f>
        <v/>
      </c>
      <c r="N1067" s="16" t="str">
        <f>IF($A1067&lt;Notes!$B$5,"",IF(COUNTIFS(Release_Calendar!$A$2:$A$755,"NZ_GDP",Release_Calendar!$B$2:$B$755,$A1067)&gt;0,1,0))</f>
        <v/>
      </c>
      <c r="O1067" s="16" t="str">
        <f>IF($A1067&lt;Notes!$B$5,"",IF(COUNTIFS(Release_Calendar!$A$2:$A$755,"NZ_LABOUR",Release_Calendar!$B$2:$B$755,$A1067)&gt;0,1,0))</f>
        <v/>
      </c>
      <c r="P1067" s="16">
        <f t="shared" si="4"/>
        <v>0</v>
      </c>
    </row>
    <row r="1068" ht="15.75" customHeight="1">
      <c r="A1068" s="14">
        <v>38020.0</v>
      </c>
      <c r="B1068" s="15">
        <v>1.78</v>
      </c>
      <c r="C1068" s="15"/>
      <c r="D1068" s="15">
        <v>5.67</v>
      </c>
      <c r="E1068" s="15"/>
      <c r="F1068" s="15" t="str">
        <f t="shared" si="1"/>
        <v/>
      </c>
      <c r="G1068" s="15">
        <f t="shared" si="2"/>
        <v>5.67</v>
      </c>
      <c r="H1068" s="16">
        <v>1.0</v>
      </c>
      <c r="I1068" s="15">
        <f t="shared" si="3"/>
        <v>3.89</v>
      </c>
      <c r="J1068" s="15">
        <v>17.34</v>
      </c>
      <c r="K1068" s="16">
        <f>IF(COUNTIFS(Release_Calendar!$A$2:$A$755,"US_CPI",Release_Calendar!$B$2:$B$755,$A1068)&gt;0,1,0)</f>
        <v>0</v>
      </c>
      <c r="L1068" s="16">
        <f>IF(COUNTIFS(Release_Calendar!$A$2:$A$755,"US_NFP",Release_Calendar!$B$2:$B$755,$A1068)&gt;0,1,0)</f>
        <v>0</v>
      </c>
      <c r="M1068" s="16" t="str">
        <f>IF($A1068&lt;Notes!$B$5,"",IF(COUNTIFS(Release_Calendar!$A$2:$A$755,"NZ_CPI",Release_Calendar!$B$2:$B$755,$A1068)&gt;0,1,0))</f>
        <v/>
      </c>
      <c r="N1068" s="16" t="str">
        <f>IF($A1068&lt;Notes!$B$5,"",IF(COUNTIFS(Release_Calendar!$A$2:$A$755,"NZ_GDP",Release_Calendar!$B$2:$B$755,$A1068)&gt;0,1,0))</f>
        <v/>
      </c>
      <c r="O1068" s="16" t="str">
        <f>IF($A1068&lt;Notes!$B$5,"",IF(COUNTIFS(Release_Calendar!$A$2:$A$755,"NZ_LABOUR",Release_Calendar!$B$2:$B$755,$A1068)&gt;0,1,0))</f>
        <v/>
      </c>
      <c r="P1068" s="16">
        <f t="shared" si="4"/>
        <v>0</v>
      </c>
    </row>
    <row r="1069" ht="15.75" customHeight="1">
      <c r="A1069" s="14">
        <v>38021.0</v>
      </c>
      <c r="B1069" s="15">
        <v>1.8</v>
      </c>
      <c r="C1069" s="15"/>
      <c r="D1069" s="15">
        <v>5.65</v>
      </c>
      <c r="E1069" s="15"/>
      <c r="F1069" s="15" t="str">
        <f t="shared" si="1"/>
        <v/>
      </c>
      <c r="G1069" s="15">
        <f t="shared" si="2"/>
        <v>5.65</v>
      </c>
      <c r="H1069" s="16">
        <v>1.0</v>
      </c>
      <c r="I1069" s="15">
        <f t="shared" si="3"/>
        <v>3.85</v>
      </c>
      <c r="J1069" s="15">
        <v>17.87</v>
      </c>
      <c r="K1069" s="16">
        <f>IF(COUNTIFS(Release_Calendar!$A$2:$A$755,"US_CPI",Release_Calendar!$B$2:$B$755,$A1069)&gt;0,1,0)</f>
        <v>0</v>
      </c>
      <c r="L1069" s="16">
        <f>IF(COUNTIFS(Release_Calendar!$A$2:$A$755,"US_NFP",Release_Calendar!$B$2:$B$755,$A1069)&gt;0,1,0)</f>
        <v>0</v>
      </c>
      <c r="M1069" s="16" t="str">
        <f>IF($A1069&lt;Notes!$B$5,"",IF(COUNTIFS(Release_Calendar!$A$2:$A$755,"NZ_CPI",Release_Calendar!$B$2:$B$755,$A1069)&gt;0,1,0))</f>
        <v/>
      </c>
      <c r="N1069" s="16" t="str">
        <f>IF($A1069&lt;Notes!$B$5,"",IF(COUNTIFS(Release_Calendar!$A$2:$A$755,"NZ_GDP",Release_Calendar!$B$2:$B$755,$A1069)&gt;0,1,0))</f>
        <v/>
      </c>
      <c r="O1069" s="16" t="str">
        <f>IF($A1069&lt;Notes!$B$5,"",IF(COUNTIFS(Release_Calendar!$A$2:$A$755,"NZ_LABOUR",Release_Calendar!$B$2:$B$755,$A1069)&gt;0,1,0))</f>
        <v/>
      </c>
      <c r="P1069" s="16">
        <f t="shared" si="4"/>
        <v>0</v>
      </c>
    </row>
    <row r="1070" ht="15.75" customHeight="1">
      <c r="A1070" s="14">
        <v>38022.0</v>
      </c>
      <c r="B1070" s="15">
        <v>1.85</v>
      </c>
      <c r="C1070" s="15"/>
      <c r="D1070" s="15">
        <v>5.61</v>
      </c>
      <c r="E1070" s="15"/>
      <c r="F1070" s="15" t="str">
        <f t="shared" si="1"/>
        <v/>
      </c>
      <c r="G1070" s="15">
        <f t="shared" si="2"/>
        <v>5.61</v>
      </c>
      <c r="H1070" s="16">
        <v>1.0</v>
      </c>
      <c r="I1070" s="15">
        <f t="shared" si="3"/>
        <v>3.76</v>
      </c>
      <c r="J1070" s="15">
        <v>17.71</v>
      </c>
      <c r="K1070" s="16">
        <f>IF(COUNTIFS(Release_Calendar!$A$2:$A$755,"US_CPI",Release_Calendar!$B$2:$B$755,$A1070)&gt;0,1,0)</f>
        <v>0</v>
      </c>
      <c r="L1070" s="16">
        <f>IF(COUNTIFS(Release_Calendar!$A$2:$A$755,"US_NFP",Release_Calendar!$B$2:$B$755,$A1070)&gt;0,1,0)</f>
        <v>0</v>
      </c>
      <c r="M1070" s="16" t="str">
        <f>IF($A1070&lt;Notes!$B$5,"",IF(COUNTIFS(Release_Calendar!$A$2:$A$755,"NZ_CPI",Release_Calendar!$B$2:$B$755,$A1070)&gt;0,1,0))</f>
        <v/>
      </c>
      <c r="N1070" s="16" t="str">
        <f>IF($A1070&lt;Notes!$B$5,"",IF(COUNTIFS(Release_Calendar!$A$2:$A$755,"NZ_GDP",Release_Calendar!$B$2:$B$755,$A1070)&gt;0,1,0))</f>
        <v/>
      </c>
      <c r="O1070" s="16" t="str">
        <f>IF($A1070&lt;Notes!$B$5,"",IF(COUNTIFS(Release_Calendar!$A$2:$A$755,"NZ_LABOUR",Release_Calendar!$B$2:$B$755,$A1070)&gt;0,1,0))</f>
        <v/>
      </c>
      <c r="P1070" s="16">
        <f t="shared" si="4"/>
        <v>0</v>
      </c>
    </row>
    <row r="1071" ht="15.75" customHeight="1">
      <c r="A1071" s="14">
        <v>38023.0</v>
      </c>
      <c r="B1071" s="15">
        <v>1.77</v>
      </c>
      <c r="C1071" s="15"/>
      <c r="D1071" s="15"/>
      <c r="E1071" s="15"/>
      <c r="F1071" s="15" t="str">
        <f t="shared" si="1"/>
        <v/>
      </c>
      <c r="G1071" s="15" t="str">
        <f t="shared" si="2"/>
        <v/>
      </c>
      <c r="H1071" s="16">
        <v>1.0</v>
      </c>
      <c r="I1071" s="15" t="str">
        <f t="shared" si="3"/>
        <v/>
      </c>
      <c r="J1071" s="15">
        <v>16.0</v>
      </c>
      <c r="K1071" s="16">
        <f>IF(COUNTIFS(Release_Calendar!$A$2:$A$755,"US_CPI",Release_Calendar!$B$2:$B$755,$A1071)&gt;0,1,0)</f>
        <v>0</v>
      </c>
      <c r="L1071" s="16">
        <f>IF(COUNTIFS(Release_Calendar!$A$2:$A$755,"US_NFP",Release_Calendar!$B$2:$B$755,$A1071)&gt;0,1,0)</f>
        <v>1</v>
      </c>
      <c r="M1071" s="16" t="str">
        <f>IF($A1071&lt;Notes!$B$5,"",IF(COUNTIFS(Release_Calendar!$A$2:$A$755,"NZ_CPI",Release_Calendar!$B$2:$B$755,$A1071)&gt;0,1,0))</f>
        <v/>
      </c>
      <c r="N1071" s="16" t="str">
        <f>IF($A1071&lt;Notes!$B$5,"",IF(COUNTIFS(Release_Calendar!$A$2:$A$755,"NZ_GDP",Release_Calendar!$B$2:$B$755,$A1071)&gt;0,1,0))</f>
        <v/>
      </c>
      <c r="O1071" s="16" t="str">
        <f>IF($A1071&lt;Notes!$B$5,"",IF(COUNTIFS(Release_Calendar!$A$2:$A$755,"NZ_LABOUR",Release_Calendar!$B$2:$B$755,$A1071)&gt;0,1,0))</f>
        <v/>
      </c>
      <c r="P1071" s="16">
        <f t="shared" si="4"/>
        <v>1</v>
      </c>
    </row>
    <row r="1072" ht="15.75" customHeight="1">
      <c r="A1072" s="14">
        <v>38026.0</v>
      </c>
      <c r="B1072" s="15">
        <v>1.76</v>
      </c>
      <c r="C1072" s="15"/>
      <c r="D1072" s="15">
        <v>5.58</v>
      </c>
      <c r="E1072" s="15"/>
      <c r="F1072" s="15" t="str">
        <f t="shared" si="1"/>
        <v/>
      </c>
      <c r="G1072" s="15">
        <f t="shared" si="2"/>
        <v>5.58</v>
      </c>
      <c r="H1072" s="16">
        <v>1.0</v>
      </c>
      <c r="I1072" s="15">
        <f t="shared" si="3"/>
        <v>3.82</v>
      </c>
      <c r="J1072" s="15">
        <v>16.39</v>
      </c>
      <c r="K1072" s="16">
        <f>IF(COUNTIFS(Release_Calendar!$A$2:$A$755,"US_CPI",Release_Calendar!$B$2:$B$755,$A1072)&gt;0,1,0)</f>
        <v>0</v>
      </c>
      <c r="L1072" s="16">
        <f>IF(COUNTIFS(Release_Calendar!$A$2:$A$755,"US_NFP",Release_Calendar!$B$2:$B$755,$A1072)&gt;0,1,0)</f>
        <v>0</v>
      </c>
      <c r="M1072" s="16" t="str">
        <f>IF($A1072&lt;Notes!$B$5,"",IF(COUNTIFS(Release_Calendar!$A$2:$A$755,"NZ_CPI",Release_Calendar!$B$2:$B$755,$A1072)&gt;0,1,0))</f>
        <v/>
      </c>
      <c r="N1072" s="16" t="str">
        <f>IF($A1072&lt;Notes!$B$5,"",IF(COUNTIFS(Release_Calendar!$A$2:$A$755,"NZ_GDP",Release_Calendar!$B$2:$B$755,$A1072)&gt;0,1,0))</f>
        <v/>
      </c>
      <c r="O1072" s="16" t="str">
        <f>IF($A1072&lt;Notes!$B$5,"",IF(COUNTIFS(Release_Calendar!$A$2:$A$755,"NZ_LABOUR",Release_Calendar!$B$2:$B$755,$A1072)&gt;0,1,0))</f>
        <v/>
      </c>
      <c r="P1072" s="16">
        <f t="shared" si="4"/>
        <v>0</v>
      </c>
    </row>
    <row r="1073" ht="15.75" customHeight="1">
      <c r="A1073" s="14">
        <v>38027.0</v>
      </c>
      <c r="B1073" s="15">
        <v>1.82</v>
      </c>
      <c r="C1073" s="15"/>
      <c r="D1073" s="15">
        <v>5.55</v>
      </c>
      <c r="E1073" s="15"/>
      <c r="F1073" s="15" t="str">
        <f t="shared" si="1"/>
        <v/>
      </c>
      <c r="G1073" s="15">
        <f t="shared" si="2"/>
        <v>5.55</v>
      </c>
      <c r="H1073" s="16">
        <v>1.0</v>
      </c>
      <c r="I1073" s="15">
        <f t="shared" si="3"/>
        <v>3.73</v>
      </c>
      <c r="J1073" s="15">
        <v>15.94</v>
      </c>
      <c r="K1073" s="16">
        <f>IF(COUNTIFS(Release_Calendar!$A$2:$A$755,"US_CPI",Release_Calendar!$B$2:$B$755,$A1073)&gt;0,1,0)</f>
        <v>0</v>
      </c>
      <c r="L1073" s="16">
        <f>IF(COUNTIFS(Release_Calendar!$A$2:$A$755,"US_NFP",Release_Calendar!$B$2:$B$755,$A1073)&gt;0,1,0)</f>
        <v>0</v>
      </c>
      <c r="M1073" s="16" t="str">
        <f>IF($A1073&lt;Notes!$B$5,"",IF(COUNTIFS(Release_Calendar!$A$2:$A$755,"NZ_CPI",Release_Calendar!$B$2:$B$755,$A1073)&gt;0,1,0))</f>
        <v/>
      </c>
      <c r="N1073" s="16" t="str">
        <f>IF($A1073&lt;Notes!$B$5,"",IF(COUNTIFS(Release_Calendar!$A$2:$A$755,"NZ_GDP",Release_Calendar!$B$2:$B$755,$A1073)&gt;0,1,0))</f>
        <v/>
      </c>
      <c r="O1073" s="16" t="str">
        <f>IF($A1073&lt;Notes!$B$5,"",IF(COUNTIFS(Release_Calendar!$A$2:$A$755,"NZ_LABOUR",Release_Calendar!$B$2:$B$755,$A1073)&gt;0,1,0))</f>
        <v/>
      </c>
      <c r="P1073" s="16">
        <f t="shared" si="4"/>
        <v>0</v>
      </c>
    </row>
    <row r="1074" ht="15.75" customHeight="1">
      <c r="A1074" s="14">
        <v>38028.0</v>
      </c>
      <c r="B1074" s="15">
        <v>1.73</v>
      </c>
      <c r="C1074" s="15"/>
      <c r="D1074" s="15">
        <v>5.55</v>
      </c>
      <c r="E1074" s="15"/>
      <c r="F1074" s="15" t="str">
        <f t="shared" si="1"/>
        <v/>
      </c>
      <c r="G1074" s="15">
        <f t="shared" si="2"/>
        <v>5.55</v>
      </c>
      <c r="H1074" s="16">
        <v>1.0</v>
      </c>
      <c r="I1074" s="15">
        <f t="shared" si="3"/>
        <v>3.82</v>
      </c>
      <c r="J1074" s="15">
        <v>15.39</v>
      </c>
      <c r="K1074" s="16">
        <f>IF(COUNTIFS(Release_Calendar!$A$2:$A$755,"US_CPI",Release_Calendar!$B$2:$B$755,$A1074)&gt;0,1,0)</f>
        <v>0</v>
      </c>
      <c r="L1074" s="16">
        <f>IF(COUNTIFS(Release_Calendar!$A$2:$A$755,"US_NFP",Release_Calendar!$B$2:$B$755,$A1074)&gt;0,1,0)</f>
        <v>0</v>
      </c>
      <c r="M1074" s="16" t="str">
        <f>IF($A1074&lt;Notes!$B$5,"",IF(COUNTIFS(Release_Calendar!$A$2:$A$755,"NZ_CPI",Release_Calendar!$B$2:$B$755,$A1074)&gt;0,1,0))</f>
        <v/>
      </c>
      <c r="N1074" s="16" t="str">
        <f>IF($A1074&lt;Notes!$B$5,"",IF(COUNTIFS(Release_Calendar!$A$2:$A$755,"NZ_GDP",Release_Calendar!$B$2:$B$755,$A1074)&gt;0,1,0))</f>
        <v/>
      </c>
      <c r="O1074" s="16" t="str">
        <f>IF($A1074&lt;Notes!$B$5,"",IF(COUNTIFS(Release_Calendar!$A$2:$A$755,"NZ_LABOUR",Release_Calendar!$B$2:$B$755,$A1074)&gt;0,1,0))</f>
        <v/>
      </c>
      <c r="P1074" s="16">
        <f t="shared" si="4"/>
        <v>0</v>
      </c>
    </row>
    <row r="1075" ht="15.75" customHeight="1">
      <c r="A1075" s="14">
        <v>38029.0</v>
      </c>
      <c r="B1075" s="15">
        <v>1.75</v>
      </c>
      <c r="C1075" s="15"/>
      <c r="D1075" s="15">
        <v>5.45</v>
      </c>
      <c r="E1075" s="15"/>
      <c r="F1075" s="15" t="str">
        <f t="shared" si="1"/>
        <v/>
      </c>
      <c r="G1075" s="15">
        <f t="shared" si="2"/>
        <v>5.45</v>
      </c>
      <c r="H1075" s="16">
        <v>1.0</v>
      </c>
      <c r="I1075" s="15">
        <f t="shared" si="3"/>
        <v>3.7</v>
      </c>
      <c r="J1075" s="15">
        <v>15.31</v>
      </c>
      <c r="K1075" s="16">
        <f>IF(COUNTIFS(Release_Calendar!$A$2:$A$755,"US_CPI",Release_Calendar!$B$2:$B$755,$A1075)&gt;0,1,0)</f>
        <v>0</v>
      </c>
      <c r="L1075" s="16">
        <f>IF(COUNTIFS(Release_Calendar!$A$2:$A$755,"US_NFP",Release_Calendar!$B$2:$B$755,$A1075)&gt;0,1,0)</f>
        <v>0</v>
      </c>
      <c r="M1075" s="16" t="str">
        <f>IF($A1075&lt;Notes!$B$5,"",IF(COUNTIFS(Release_Calendar!$A$2:$A$755,"NZ_CPI",Release_Calendar!$B$2:$B$755,$A1075)&gt;0,1,0))</f>
        <v/>
      </c>
      <c r="N1075" s="16" t="str">
        <f>IF($A1075&lt;Notes!$B$5,"",IF(COUNTIFS(Release_Calendar!$A$2:$A$755,"NZ_GDP",Release_Calendar!$B$2:$B$755,$A1075)&gt;0,1,0))</f>
        <v/>
      </c>
      <c r="O1075" s="16" t="str">
        <f>IF($A1075&lt;Notes!$B$5,"",IF(COUNTIFS(Release_Calendar!$A$2:$A$755,"NZ_LABOUR",Release_Calendar!$B$2:$B$755,$A1075)&gt;0,1,0))</f>
        <v/>
      </c>
      <c r="P1075" s="16">
        <f t="shared" si="4"/>
        <v>0</v>
      </c>
    </row>
    <row r="1076" ht="15.75" customHeight="1">
      <c r="A1076" s="14">
        <v>38030.0</v>
      </c>
      <c r="B1076" s="15">
        <v>1.7</v>
      </c>
      <c r="C1076" s="15"/>
      <c r="D1076" s="15">
        <v>5.48</v>
      </c>
      <c r="E1076" s="15"/>
      <c r="F1076" s="15" t="str">
        <f t="shared" si="1"/>
        <v/>
      </c>
      <c r="G1076" s="15">
        <f t="shared" si="2"/>
        <v>5.48</v>
      </c>
      <c r="H1076" s="16">
        <v>1.0</v>
      </c>
      <c r="I1076" s="15">
        <f t="shared" si="3"/>
        <v>3.78</v>
      </c>
      <c r="J1076" s="15">
        <v>15.58</v>
      </c>
      <c r="K1076" s="16">
        <f>IF(COUNTIFS(Release_Calendar!$A$2:$A$755,"US_CPI",Release_Calendar!$B$2:$B$755,$A1076)&gt;0,1,0)</f>
        <v>0</v>
      </c>
      <c r="L1076" s="16">
        <f>IF(COUNTIFS(Release_Calendar!$A$2:$A$755,"US_NFP",Release_Calendar!$B$2:$B$755,$A1076)&gt;0,1,0)</f>
        <v>0</v>
      </c>
      <c r="M1076" s="16" t="str">
        <f>IF($A1076&lt;Notes!$B$5,"",IF(COUNTIFS(Release_Calendar!$A$2:$A$755,"NZ_CPI",Release_Calendar!$B$2:$B$755,$A1076)&gt;0,1,0))</f>
        <v/>
      </c>
      <c r="N1076" s="16" t="str">
        <f>IF($A1076&lt;Notes!$B$5,"",IF(COUNTIFS(Release_Calendar!$A$2:$A$755,"NZ_GDP",Release_Calendar!$B$2:$B$755,$A1076)&gt;0,1,0))</f>
        <v/>
      </c>
      <c r="O1076" s="16" t="str">
        <f>IF($A1076&lt;Notes!$B$5,"",IF(COUNTIFS(Release_Calendar!$A$2:$A$755,"NZ_LABOUR",Release_Calendar!$B$2:$B$755,$A1076)&gt;0,1,0))</f>
        <v/>
      </c>
      <c r="P1076" s="16">
        <f t="shared" si="4"/>
        <v>0</v>
      </c>
    </row>
    <row r="1077" ht="15.75" customHeight="1">
      <c r="A1077" s="14">
        <v>38033.0</v>
      </c>
      <c r="B1077" s="15"/>
      <c r="C1077" s="15"/>
      <c r="D1077" s="15">
        <v>5.47</v>
      </c>
      <c r="E1077" s="15"/>
      <c r="F1077" s="15" t="str">
        <f t="shared" si="1"/>
        <v/>
      </c>
      <c r="G1077" s="15">
        <f t="shared" si="2"/>
        <v>5.47</v>
      </c>
      <c r="H1077" s="16">
        <v>1.0</v>
      </c>
      <c r="I1077" s="15" t="str">
        <f t="shared" si="3"/>
        <v/>
      </c>
      <c r="J1077" s="15"/>
      <c r="K1077" s="16">
        <f>IF(COUNTIFS(Release_Calendar!$A$2:$A$755,"US_CPI",Release_Calendar!$B$2:$B$755,$A1077)&gt;0,1,0)</f>
        <v>0</v>
      </c>
      <c r="L1077" s="16">
        <f>IF(COUNTIFS(Release_Calendar!$A$2:$A$755,"US_NFP",Release_Calendar!$B$2:$B$755,$A1077)&gt;0,1,0)</f>
        <v>0</v>
      </c>
      <c r="M1077" s="16" t="str">
        <f>IF($A1077&lt;Notes!$B$5,"",IF(COUNTIFS(Release_Calendar!$A$2:$A$755,"NZ_CPI",Release_Calendar!$B$2:$B$755,$A1077)&gt;0,1,0))</f>
        <v/>
      </c>
      <c r="N1077" s="16" t="str">
        <f>IF($A1077&lt;Notes!$B$5,"",IF(COUNTIFS(Release_Calendar!$A$2:$A$755,"NZ_GDP",Release_Calendar!$B$2:$B$755,$A1077)&gt;0,1,0))</f>
        <v/>
      </c>
      <c r="O1077" s="16" t="str">
        <f>IF($A1077&lt;Notes!$B$5,"",IF(COUNTIFS(Release_Calendar!$A$2:$A$755,"NZ_LABOUR",Release_Calendar!$B$2:$B$755,$A1077)&gt;0,1,0))</f>
        <v/>
      </c>
      <c r="P1077" s="16">
        <f t="shared" si="4"/>
        <v>0</v>
      </c>
    </row>
    <row r="1078" ht="15.75" customHeight="1">
      <c r="A1078" s="14">
        <v>38034.0</v>
      </c>
      <c r="B1078" s="15">
        <v>1.7</v>
      </c>
      <c r="C1078" s="15"/>
      <c r="D1078" s="15">
        <v>5.46</v>
      </c>
      <c r="E1078" s="15"/>
      <c r="F1078" s="15" t="str">
        <f t="shared" si="1"/>
        <v/>
      </c>
      <c r="G1078" s="15">
        <f t="shared" si="2"/>
        <v>5.46</v>
      </c>
      <c r="H1078" s="16">
        <v>1.0</v>
      </c>
      <c r="I1078" s="15">
        <f t="shared" si="3"/>
        <v>3.76</v>
      </c>
      <c r="J1078" s="15">
        <v>15.4</v>
      </c>
      <c r="K1078" s="16">
        <f>IF(COUNTIFS(Release_Calendar!$A$2:$A$755,"US_CPI",Release_Calendar!$B$2:$B$755,$A1078)&gt;0,1,0)</f>
        <v>0</v>
      </c>
      <c r="L1078" s="16">
        <f>IF(COUNTIFS(Release_Calendar!$A$2:$A$755,"US_NFP",Release_Calendar!$B$2:$B$755,$A1078)&gt;0,1,0)</f>
        <v>0</v>
      </c>
      <c r="M1078" s="16" t="str">
        <f>IF($A1078&lt;Notes!$B$5,"",IF(COUNTIFS(Release_Calendar!$A$2:$A$755,"NZ_CPI",Release_Calendar!$B$2:$B$755,$A1078)&gt;0,1,0))</f>
        <v/>
      </c>
      <c r="N1078" s="16" t="str">
        <f>IF($A1078&lt;Notes!$B$5,"",IF(COUNTIFS(Release_Calendar!$A$2:$A$755,"NZ_GDP",Release_Calendar!$B$2:$B$755,$A1078)&gt;0,1,0))</f>
        <v/>
      </c>
      <c r="O1078" s="16" t="str">
        <f>IF($A1078&lt;Notes!$B$5,"",IF(COUNTIFS(Release_Calendar!$A$2:$A$755,"NZ_LABOUR",Release_Calendar!$B$2:$B$755,$A1078)&gt;0,1,0))</f>
        <v/>
      </c>
      <c r="P1078" s="16">
        <f t="shared" si="4"/>
        <v>0</v>
      </c>
    </row>
    <row r="1079" ht="15.75" customHeight="1">
      <c r="A1079" s="14">
        <v>38035.0</v>
      </c>
      <c r="B1079" s="15">
        <v>1.72</v>
      </c>
      <c r="C1079" s="15"/>
      <c r="D1079" s="15">
        <v>5.48</v>
      </c>
      <c r="E1079" s="15"/>
      <c r="F1079" s="15" t="str">
        <f t="shared" si="1"/>
        <v/>
      </c>
      <c r="G1079" s="15">
        <f t="shared" si="2"/>
        <v>5.48</v>
      </c>
      <c r="H1079" s="16">
        <v>1.0</v>
      </c>
      <c r="I1079" s="15">
        <f t="shared" si="3"/>
        <v>3.76</v>
      </c>
      <c r="J1079" s="15">
        <v>15.59</v>
      </c>
      <c r="K1079" s="16">
        <f>IF(COUNTIFS(Release_Calendar!$A$2:$A$755,"US_CPI",Release_Calendar!$B$2:$B$755,$A1079)&gt;0,1,0)</f>
        <v>0</v>
      </c>
      <c r="L1079" s="16">
        <f>IF(COUNTIFS(Release_Calendar!$A$2:$A$755,"US_NFP",Release_Calendar!$B$2:$B$755,$A1079)&gt;0,1,0)</f>
        <v>0</v>
      </c>
      <c r="M1079" s="16" t="str">
        <f>IF($A1079&lt;Notes!$B$5,"",IF(COUNTIFS(Release_Calendar!$A$2:$A$755,"NZ_CPI",Release_Calendar!$B$2:$B$755,$A1079)&gt;0,1,0))</f>
        <v/>
      </c>
      <c r="N1079" s="16" t="str">
        <f>IF($A1079&lt;Notes!$B$5,"",IF(COUNTIFS(Release_Calendar!$A$2:$A$755,"NZ_GDP",Release_Calendar!$B$2:$B$755,$A1079)&gt;0,1,0))</f>
        <v/>
      </c>
      <c r="O1079" s="16" t="str">
        <f>IF($A1079&lt;Notes!$B$5,"",IF(COUNTIFS(Release_Calendar!$A$2:$A$755,"NZ_LABOUR",Release_Calendar!$B$2:$B$755,$A1079)&gt;0,1,0))</f>
        <v/>
      </c>
      <c r="P1079" s="16">
        <f t="shared" si="4"/>
        <v>0</v>
      </c>
    </row>
    <row r="1080" ht="15.75" customHeight="1">
      <c r="A1080" s="14">
        <v>38036.0</v>
      </c>
      <c r="B1080" s="15">
        <v>1.7</v>
      </c>
      <c r="C1080" s="15"/>
      <c r="D1080" s="15">
        <v>5.5</v>
      </c>
      <c r="E1080" s="15"/>
      <c r="F1080" s="15" t="str">
        <f t="shared" si="1"/>
        <v/>
      </c>
      <c r="G1080" s="15">
        <f t="shared" si="2"/>
        <v>5.5</v>
      </c>
      <c r="H1080" s="16">
        <v>1.0</v>
      </c>
      <c r="I1080" s="15">
        <f t="shared" si="3"/>
        <v>3.8</v>
      </c>
      <c r="J1080" s="15">
        <v>15.8</v>
      </c>
      <c r="K1080" s="16">
        <f>IF(COUNTIFS(Release_Calendar!$A$2:$A$755,"US_CPI",Release_Calendar!$B$2:$B$755,$A1080)&gt;0,1,0)</f>
        <v>0</v>
      </c>
      <c r="L1080" s="16">
        <f>IF(COUNTIFS(Release_Calendar!$A$2:$A$755,"US_NFP",Release_Calendar!$B$2:$B$755,$A1080)&gt;0,1,0)</f>
        <v>0</v>
      </c>
      <c r="M1080" s="16" t="str">
        <f>IF($A1080&lt;Notes!$B$5,"",IF(COUNTIFS(Release_Calendar!$A$2:$A$755,"NZ_CPI",Release_Calendar!$B$2:$B$755,$A1080)&gt;0,1,0))</f>
        <v/>
      </c>
      <c r="N1080" s="16" t="str">
        <f>IF($A1080&lt;Notes!$B$5,"",IF(COUNTIFS(Release_Calendar!$A$2:$A$755,"NZ_GDP",Release_Calendar!$B$2:$B$755,$A1080)&gt;0,1,0))</f>
        <v/>
      </c>
      <c r="O1080" s="16" t="str">
        <f>IF($A1080&lt;Notes!$B$5,"",IF(COUNTIFS(Release_Calendar!$A$2:$A$755,"NZ_LABOUR",Release_Calendar!$B$2:$B$755,$A1080)&gt;0,1,0))</f>
        <v/>
      </c>
      <c r="P1080" s="16">
        <f t="shared" si="4"/>
        <v>0</v>
      </c>
    </row>
    <row r="1081" ht="15.75" customHeight="1">
      <c r="A1081" s="14">
        <v>38037.0</v>
      </c>
      <c r="B1081" s="15">
        <v>1.75</v>
      </c>
      <c r="C1081" s="15"/>
      <c r="D1081" s="15">
        <v>5.52</v>
      </c>
      <c r="E1081" s="15"/>
      <c r="F1081" s="15" t="str">
        <f t="shared" si="1"/>
        <v/>
      </c>
      <c r="G1081" s="15">
        <f t="shared" si="2"/>
        <v>5.52</v>
      </c>
      <c r="H1081" s="16">
        <v>1.0</v>
      </c>
      <c r="I1081" s="15">
        <f t="shared" si="3"/>
        <v>3.77</v>
      </c>
      <c r="J1081" s="15">
        <v>16.04</v>
      </c>
      <c r="K1081" s="16">
        <f>IF(COUNTIFS(Release_Calendar!$A$2:$A$755,"US_CPI",Release_Calendar!$B$2:$B$755,$A1081)&gt;0,1,0)</f>
        <v>1</v>
      </c>
      <c r="L1081" s="16">
        <f>IF(COUNTIFS(Release_Calendar!$A$2:$A$755,"US_NFP",Release_Calendar!$B$2:$B$755,$A1081)&gt;0,1,0)</f>
        <v>0</v>
      </c>
      <c r="M1081" s="16" t="str">
        <f>IF($A1081&lt;Notes!$B$5,"",IF(COUNTIFS(Release_Calendar!$A$2:$A$755,"NZ_CPI",Release_Calendar!$B$2:$B$755,$A1081)&gt;0,1,0))</f>
        <v/>
      </c>
      <c r="N1081" s="16" t="str">
        <f>IF($A1081&lt;Notes!$B$5,"",IF(COUNTIFS(Release_Calendar!$A$2:$A$755,"NZ_GDP",Release_Calendar!$B$2:$B$755,$A1081)&gt;0,1,0))</f>
        <v/>
      </c>
      <c r="O1081" s="16" t="str">
        <f>IF($A1081&lt;Notes!$B$5,"",IF(COUNTIFS(Release_Calendar!$A$2:$A$755,"NZ_LABOUR",Release_Calendar!$B$2:$B$755,$A1081)&gt;0,1,0))</f>
        <v/>
      </c>
      <c r="P1081" s="16">
        <f t="shared" si="4"/>
        <v>1</v>
      </c>
    </row>
    <row r="1082" ht="15.75" customHeight="1">
      <c r="A1082" s="14">
        <v>38040.0</v>
      </c>
      <c r="B1082" s="15">
        <v>1.69</v>
      </c>
      <c r="C1082" s="15"/>
      <c r="D1082" s="15">
        <v>5.58</v>
      </c>
      <c r="E1082" s="15"/>
      <c r="F1082" s="15" t="str">
        <f t="shared" si="1"/>
        <v/>
      </c>
      <c r="G1082" s="15">
        <f t="shared" si="2"/>
        <v>5.58</v>
      </c>
      <c r="H1082" s="16">
        <v>1.0</v>
      </c>
      <c r="I1082" s="15">
        <f t="shared" si="3"/>
        <v>3.89</v>
      </c>
      <c r="J1082" s="15">
        <v>16.29</v>
      </c>
      <c r="K1082" s="16">
        <f>IF(COUNTIFS(Release_Calendar!$A$2:$A$755,"US_CPI",Release_Calendar!$B$2:$B$755,$A1082)&gt;0,1,0)</f>
        <v>0</v>
      </c>
      <c r="L1082" s="16">
        <f>IF(COUNTIFS(Release_Calendar!$A$2:$A$755,"US_NFP",Release_Calendar!$B$2:$B$755,$A1082)&gt;0,1,0)</f>
        <v>0</v>
      </c>
      <c r="M1082" s="16" t="str">
        <f>IF($A1082&lt;Notes!$B$5,"",IF(COUNTIFS(Release_Calendar!$A$2:$A$755,"NZ_CPI",Release_Calendar!$B$2:$B$755,$A1082)&gt;0,1,0))</f>
        <v/>
      </c>
      <c r="N1082" s="16" t="str">
        <f>IF($A1082&lt;Notes!$B$5,"",IF(COUNTIFS(Release_Calendar!$A$2:$A$755,"NZ_GDP",Release_Calendar!$B$2:$B$755,$A1082)&gt;0,1,0))</f>
        <v/>
      </c>
      <c r="O1082" s="16" t="str">
        <f>IF($A1082&lt;Notes!$B$5,"",IF(COUNTIFS(Release_Calendar!$A$2:$A$755,"NZ_LABOUR",Release_Calendar!$B$2:$B$755,$A1082)&gt;0,1,0))</f>
        <v/>
      </c>
      <c r="P1082" s="16">
        <f t="shared" si="4"/>
        <v>0</v>
      </c>
    </row>
    <row r="1083" ht="15.75" customHeight="1">
      <c r="A1083" s="14">
        <v>38041.0</v>
      </c>
      <c r="B1083" s="15">
        <v>1.69</v>
      </c>
      <c r="C1083" s="15"/>
      <c r="D1083" s="15">
        <v>5.57</v>
      </c>
      <c r="E1083" s="15"/>
      <c r="F1083" s="15" t="str">
        <f t="shared" si="1"/>
        <v/>
      </c>
      <c r="G1083" s="15">
        <f t="shared" si="2"/>
        <v>5.57</v>
      </c>
      <c r="H1083" s="16">
        <v>1.0</v>
      </c>
      <c r="I1083" s="15">
        <f t="shared" si="3"/>
        <v>3.88</v>
      </c>
      <c r="J1083" s="15">
        <v>15.9</v>
      </c>
      <c r="K1083" s="16">
        <f>IF(COUNTIFS(Release_Calendar!$A$2:$A$755,"US_CPI",Release_Calendar!$B$2:$B$755,$A1083)&gt;0,1,0)</f>
        <v>0</v>
      </c>
      <c r="L1083" s="16">
        <f>IF(COUNTIFS(Release_Calendar!$A$2:$A$755,"US_NFP",Release_Calendar!$B$2:$B$755,$A1083)&gt;0,1,0)</f>
        <v>0</v>
      </c>
      <c r="M1083" s="16" t="str">
        <f>IF($A1083&lt;Notes!$B$5,"",IF(COUNTIFS(Release_Calendar!$A$2:$A$755,"NZ_CPI",Release_Calendar!$B$2:$B$755,$A1083)&gt;0,1,0))</f>
        <v/>
      </c>
      <c r="N1083" s="16" t="str">
        <f>IF($A1083&lt;Notes!$B$5,"",IF(COUNTIFS(Release_Calendar!$A$2:$A$755,"NZ_GDP",Release_Calendar!$B$2:$B$755,$A1083)&gt;0,1,0))</f>
        <v/>
      </c>
      <c r="O1083" s="16" t="str">
        <f>IF($A1083&lt;Notes!$B$5,"",IF(COUNTIFS(Release_Calendar!$A$2:$A$755,"NZ_LABOUR",Release_Calendar!$B$2:$B$755,$A1083)&gt;0,1,0))</f>
        <v/>
      </c>
      <c r="P1083" s="16">
        <f t="shared" si="4"/>
        <v>0</v>
      </c>
    </row>
    <row r="1084" ht="15.75" customHeight="1">
      <c r="A1084" s="14">
        <v>38042.0</v>
      </c>
      <c r="B1084" s="15">
        <v>1.67</v>
      </c>
      <c r="C1084" s="15"/>
      <c r="D1084" s="15">
        <v>5.55</v>
      </c>
      <c r="E1084" s="15"/>
      <c r="F1084" s="15" t="str">
        <f t="shared" si="1"/>
        <v/>
      </c>
      <c r="G1084" s="15">
        <f t="shared" si="2"/>
        <v>5.55</v>
      </c>
      <c r="H1084" s="16">
        <v>1.0</v>
      </c>
      <c r="I1084" s="15">
        <f t="shared" si="3"/>
        <v>3.88</v>
      </c>
      <c r="J1084" s="15">
        <v>14.93</v>
      </c>
      <c r="K1084" s="16">
        <f>IF(COUNTIFS(Release_Calendar!$A$2:$A$755,"US_CPI",Release_Calendar!$B$2:$B$755,$A1084)&gt;0,1,0)</f>
        <v>0</v>
      </c>
      <c r="L1084" s="16">
        <f>IF(COUNTIFS(Release_Calendar!$A$2:$A$755,"US_NFP",Release_Calendar!$B$2:$B$755,$A1084)&gt;0,1,0)</f>
        <v>0</v>
      </c>
      <c r="M1084" s="16" t="str">
        <f>IF($A1084&lt;Notes!$B$5,"",IF(COUNTIFS(Release_Calendar!$A$2:$A$755,"NZ_CPI",Release_Calendar!$B$2:$B$755,$A1084)&gt;0,1,0))</f>
        <v/>
      </c>
      <c r="N1084" s="16" t="str">
        <f>IF($A1084&lt;Notes!$B$5,"",IF(COUNTIFS(Release_Calendar!$A$2:$A$755,"NZ_GDP",Release_Calendar!$B$2:$B$755,$A1084)&gt;0,1,0))</f>
        <v/>
      </c>
      <c r="O1084" s="16" t="str">
        <f>IF($A1084&lt;Notes!$B$5,"",IF(COUNTIFS(Release_Calendar!$A$2:$A$755,"NZ_LABOUR",Release_Calendar!$B$2:$B$755,$A1084)&gt;0,1,0))</f>
        <v/>
      </c>
      <c r="P1084" s="16">
        <f t="shared" si="4"/>
        <v>0</v>
      </c>
    </row>
    <row r="1085" ht="15.75" customHeight="1">
      <c r="A1085" s="14">
        <v>38043.0</v>
      </c>
      <c r="B1085" s="15">
        <v>1.69</v>
      </c>
      <c r="C1085" s="15"/>
      <c r="D1085" s="15">
        <v>5.54</v>
      </c>
      <c r="E1085" s="15"/>
      <c r="F1085" s="15" t="str">
        <f t="shared" si="1"/>
        <v/>
      </c>
      <c r="G1085" s="15">
        <f t="shared" si="2"/>
        <v>5.54</v>
      </c>
      <c r="H1085" s="16">
        <v>1.0</v>
      </c>
      <c r="I1085" s="15">
        <f t="shared" si="3"/>
        <v>3.85</v>
      </c>
      <c r="J1085" s="15">
        <v>14.83</v>
      </c>
      <c r="K1085" s="16">
        <f>IF(COUNTIFS(Release_Calendar!$A$2:$A$755,"US_CPI",Release_Calendar!$B$2:$B$755,$A1085)&gt;0,1,0)</f>
        <v>0</v>
      </c>
      <c r="L1085" s="16">
        <f>IF(COUNTIFS(Release_Calendar!$A$2:$A$755,"US_NFP",Release_Calendar!$B$2:$B$755,$A1085)&gt;0,1,0)</f>
        <v>0</v>
      </c>
      <c r="M1085" s="16" t="str">
        <f>IF($A1085&lt;Notes!$B$5,"",IF(COUNTIFS(Release_Calendar!$A$2:$A$755,"NZ_CPI",Release_Calendar!$B$2:$B$755,$A1085)&gt;0,1,0))</f>
        <v/>
      </c>
      <c r="N1085" s="16" t="str">
        <f>IF($A1085&lt;Notes!$B$5,"",IF(COUNTIFS(Release_Calendar!$A$2:$A$755,"NZ_GDP",Release_Calendar!$B$2:$B$755,$A1085)&gt;0,1,0))</f>
        <v/>
      </c>
      <c r="O1085" s="16" t="str">
        <f>IF($A1085&lt;Notes!$B$5,"",IF(COUNTIFS(Release_Calendar!$A$2:$A$755,"NZ_LABOUR",Release_Calendar!$B$2:$B$755,$A1085)&gt;0,1,0))</f>
        <v/>
      </c>
      <c r="P1085" s="16">
        <f t="shared" si="4"/>
        <v>0</v>
      </c>
    </row>
    <row r="1086" ht="15.75" customHeight="1">
      <c r="A1086" s="14">
        <v>38044.0</v>
      </c>
      <c r="B1086" s="15">
        <v>1.66</v>
      </c>
      <c r="C1086" s="15"/>
      <c r="D1086" s="15">
        <v>5.51</v>
      </c>
      <c r="E1086" s="15"/>
      <c r="F1086" s="15" t="str">
        <f t="shared" si="1"/>
        <v/>
      </c>
      <c r="G1086" s="15">
        <f t="shared" si="2"/>
        <v>5.51</v>
      </c>
      <c r="H1086" s="16">
        <v>1.0</v>
      </c>
      <c r="I1086" s="15">
        <f t="shared" si="3"/>
        <v>3.85</v>
      </c>
      <c r="J1086" s="15">
        <v>14.55</v>
      </c>
      <c r="K1086" s="16">
        <f>IF(COUNTIFS(Release_Calendar!$A$2:$A$755,"US_CPI",Release_Calendar!$B$2:$B$755,$A1086)&gt;0,1,0)</f>
        <v>0</v>
      </c>
      <c r="L1086" s="16">
        <f>IF(COUNTIFS(Release_Calendar!$A$2:$A$755,"US_NFP",Release_Calendar!$B$2:$B$755,$A1086)&gt;0,1,0)</f>
        <v>0</v>
      </c>
      <c r="M1086" s="16" t="str">
        <f>IF($A1086&lt;Notes!$B$5,"",IF(COUNTIFS(Release_Calendar!$A$2:$A$755,"NZ_CPI",Release_Calendar!$B$2:$B$755,$A1086)&gt;0,1,0))</f>
        <v/>
      </c>
      <c r="N1086" s="16" t="str">
        <f>IF($A1086&lt;Notes!$B$5,"",IF(COUNTIFS(Release_Calendar!$A$2:$A$755,"NZ_GDP",Release_Calendar!$B$2:$B$755,$A1086)&gt;0,1,0))</f>
        <v/>
      </c>
      <c r="O1086" s="16" t="str">
        <f>IF($A1086&lt;Notes!$B$5,"",IF(COUNTIFS(Release_Calendar!$A$2:$A$755,"NZ_LABOUR",Release_Calendar!$B$2:$B$755,$A1086)&gt;0,1,0))</f>
        <v/>
      </c>
      <c r="P1086" s="16">
        <f t="shared" si="4"/>
        <v>0</v>
      </c>
    </row>
    <row r="1087" ht="15.75" customHeight="1">
      <c r="A1087" s="14">
        <v>38047.0</v>
      </c>
      <c r="B1087" s="15">
        <v>1.67</v>
      </c>
      <c r="C1087" s="15"/>
      <c r="D1087" s="15">
        <v>5.48</v>
      </c>
      <c r="E1087" s="15"/>
      <c r="F1087" s="15" t="str">
        <f t="shared" si="1"/>
        <v/>
      </c>
      <c r="G1087" s="15">
        <f t="shared" si="2"/>
        <v>5.48</v>
      </c>
      <c r="H1087" s="16">
        <v>1.0</v>
      </c>
      <c r="I1087" s="15">
        <f t="shared" si="3"/>
        <v>3.81</v>
      </c>
      <c r="J1087" s="15">
        <v>14.44</v>
      </c>
      <c r="K1087" s="16">
        <f>IF(COUNTIFS(Release_Calendar!$A$2:$A$755,"US_CPI",Release_Calendar!$B$2:$B$755,$A1087)&gt;0,1,0)</f>
        <v>0</v>
      </c>
      <c r="L1087" s="16">
        <f>IF(COUNTIFS(Release_Calendar!$A$2:$A$755,"US_NFP",Release_Calendar!$B$2:$B$755,$A1087)&gt;0,1,0)</f>
        <v>0</v>
      </c>
      <c r="M1087" s="16" t="str">
        <f>IF($A1087&lt;Notes!$B$5,"",IF(COUNTIFS(Release_Calendar!$A$2:$A$755,"NZ_CPI",Release_Calendar!$B$2:$B$755,$A1087)&gt;0,1,0))</f>
        <v/>
      </c>
      <c r="N1087" s="16" t="str">
        <f>IF($A1087&lt;Notes!$B$5,"",IF(COUNTIFS(Release_Calendar!$A$2:$A$755,"NZ_GDP",Release_Calendar!$B$2:$B$755,$A1087)&gt;0,1,0))</f>
        <v/>
      </c>
      <c r="O1087" s="16" t="str">
        <f>IF($A1087&lt;Notes!$B$5,"",IF(COUNTIFS(Release_Calendar!$A$2:$A$755,"NZ_LABOUR",Release_Calendar!$B$2:$B$755,$A1087)&gt;0,1,0))</f>
        <v/>
      </c>
      <c r="P1087" s="16">
        <f t="shared" si="4"/>
        <v>0</v>
      </c>
    </row>
    <row r="1088" ht="15.75" customHeight="1">
      <c r="A1088" s="14">
        <v>38048.0</v>
      </c>
      <c r="B1088" s="15">
        <v>1.74</v>
      </c>
      <c r="C1088" s="15"/>
      <c r="D1088" s="15">
        <v>5.49</v>
      </c>
      <c r="E1088" s="15"/>
      <c r="F1088" s="15" t="str">
        <f t="shared" si="1"/>
        <v/>
      </c>
      <c r="G1088" s="15">
        <f t="shared" si="2"/>
        <v>5.49</v>
      </c>
      <c r="H1088" s="16">
        <v>1.0</v>
      </c>
      <c r="I1088" s="15">
        <f t="shared" si="3"/>
        <v>3.75</v>
      </c>
      <c r="J1088" s="15">
        <v>14.86</v>
      </c>
      <c r="K1088" s="16">
        <f>IF(COUNTIFS(Release_Calendar!$A$2:$A$755,"US_CPI",Release_Calendar!$B$2:$B$755,$A1088)&gt;0,1,0)</f>
        <v>0</v>
      </c>
      <c r="L1088" s="16">
        <f>IF(COUNTIFS(Release_Calendar!$A$2:$A$755,"US_NFP",Release_Calendar!$B$2:$B$755,$A1088)&gt;0,1,0)</f>
        <v>0</v>
      </c>
      <c r="M1088" s="16" t="str">
        <f>IF($A1088&lt;Notes!$B$5,"",IF(COUNTIFS(Release_Calendar!$A$2:$A$755,"NZ_CPI",Release_Calendar!$B$2:$B$755,$A1088)&gt;0,1,0))</f>
        <v/>
      </c>
      <c r="N1088" s="16" t="str">
        <f>IF($A1088&lt;Notes!$B$5,"",IF(COUNTIFS(Release_Calendar!$A$2:$A$755,"NZ_GDP",Release_Calendar!$B$2:$B$755,$A1088)&gt;0,1,0))</f>
        <v/>
      </c>
      <c r="O1088" s="16" t="str">
        <f>IF($A1088&lt;Notes!$B$5,"",IF(COUNTIFS(Release_Calendar!$A$2:$A$755,"NZ_LABOUR",Release_Calendar!$B$2:$B$755,$A1088)&gt;0,1,0))</f>
        <v/>
      </c>
      <c r="P1088" s="16">
        <f t="shared" si="4"/>
        <v>0</v>
      </c>
    </row>
    <row r="1089" ht="15.75" customHeight="1">
      <c r="A1089" s="14">
        <v>38049.0</v>
      </c>
      <c r="B1089" s="15">
        <v>1.74</v>
      </c>
      <c r="C1089" s="15"/>
      <c r="D1089" s="15">
        <v>5.52</v>
      </c>
      <c r="E1089" s="15"/>
      <c r="F1089" s="15" t="str">
        <f t="shared" si="1"/>
        <v/>
      </c>
      <c r="G1089" s="15">
        <f t="shared" si="2"/>
        <v>5.52</v>
      </c>
      <c r="H1089" s="16">
        <v>1.0</v>
      </c>
      <c r="I1089" s="15">
        <f t="shared" si="3"/>
        <v>3.78</v>
      </c>
      <c r="J1089" s="15">
        <v>14.55</v>
      </c>
      <c r="K1089" s="16">
        <f>IF(COUNTIFS(Release_Calendar!$A$2:$A$755,"US_CPI",Release_Calendar!$B$2:$B$755,$A1089)&gt;0,1,0)</f>
        <v>0</v>
      </c>
      <c r="L1089" s="16">
        <f>IF(COUNTIFS(Release_Calendar!$A$2:$A$755,"US_NFP",Release_Calendar!$B$2:$B$755,$A1089)&gt;0,1,0)</f>
        <v>0</v>
      </c>
      <c r="M1089" s="16" t="str">
        <f>IF($A1089&lt;Notes!$B$5,"",IF(COUNTIFS(Release_Calendar!$A$2:$A$755,"NZ_CPI",Release_Calendar!$B$2:$B$755,$A1089)&gt;0,1,0))</f>
        <v/>
      </c>
      <c r="N1089" s="16" t="str">
        <f>IF($A1089&lt;Notes!$B$5,"",IF(COUNTIFS(Release_Calendar!$A$2:$A$755,"NZ_GDP",Release_Calendar!$B$2:$B$755,$A1089)&gt;0,1,0))</f>
        <v/>
      </c>
      <c r="O1089" s="16" t="str">
        <f>IF($A1089&lt;Notes!$B$5,"",IF(COUNTIFS(Release_Calendar!$A$2:$A$755,"NZ_LABOUR",Release_Calendar!$B$2:$B$755,$A1089)&gt;0,1,0))</f>
        <v/>
      </c>
      <c r="P1089" s="16">
        <f t="shared" si="4"/>
        <v>0</v>
      </c>
    </row>
    <row r="1090" ht="15.75" customHeight="1">
      <c r="A1090" s="14">
        <v>38050.0</v>
      </c>
      <c r="B1090" s="15">
        <v>1.73</v>
      </c>
      <c r="C1090" s="15"/>
      <c r="D1090" s="15">
        <v>5.56</v>
      </c>
      <c r="E1090" s="15"/>
      <c r="F1090" s="15" t="str">
        <f t="shared" si="1"/>
        <v/>
      </c>
      <c r="G1090" s="15">
        <f t="shared" si="2"/>
        <v>5.56</v>
      </c>
      <c r="H1090" s="16">
        <v>1.0</v>
      </c>
      <c r="I1090" s="15">
        <f t="shared" si="3"/>
        <v>3.83</v>
      </c>
      <c r="J1090" s="15">
        <v>14.4</v>
      </c>
      <c r="K1090" s="16">
        <f>IF(COUNTIFS(Release_Calendar!$A$2:$A$755,"US_CPI",Release_Calendar!$B$2:$B$755,$A1090)&gt;0,1,0)</f>
        <v>0</v>
      </c>
      <c r="L1090" s="16">
        <f>IF(COUNTIFS(Release_Calendar!$A$2:$A$755,"US_NFP",Release_Calendar!$B$2:$B$755,$A1090)&gt;0,1,0)</f>
        <v>0</v>
      </c>
      <c r="M1090" s="16" t="str">
        <f>IF($A1090&lt;Notes!$B$5,"",IF(COUNTIFS(Release_Calendar!$A$2:$A$755,"NZ_CPI",Release_Calendar!$B$2:$B$755,$A1090)&gt;0,1,0))</f>
        <v/>
      </c>
      <c r="N1090" s="16" t="str">
        <f>IF($A1090&lt;Notes!$B$5,"",IF(COUNTIFS(Release_Calendar!$A$2:$A$755,"NZ_GDP",Release_Calendar!$B$2:$B$755,$A1090)&gt;0,1,0))</f>
        <v/>
      </c>
      <c r="O1090" s="16" t="str">
        <f>IF($A1090&lt;Notes!$B$5,"",IF(COUNTIFS(Release_Calendar!$A$2:$A$755,"NZ_LABOUR",Release_Calendar!$B$2:$B$755,$A1090)&gt;0,1,0))</f>
        <v/>
      </c>
      <c r="P1090" s="16">
        <f t="shared" si="4"/>
        <v>0</v>
      </c>
    </row>
    <row r="1091" ht="15.75" customHeight="1">
      <c r="A1091" s="14">
        <v>38051.0</v>
      </c>
      <c r="B1091" s="15">
        <v>1.57</v>
      </c>
      <c r="C1091" s="15"/>
      <c r="D1091" s="15">
        <v>5.57</v>
      </c>
      <c r="E1091" s="15"/>
      <c r="F1091" s="15" t="str">
        <f t="shared" si="1"/>
        <v/>
      </c>
      <c r="G1091" s="15">
        <f t="shared" si="2"/>
        <v>5.57</v>
      </c>
      <c r="H1091" s="16">
        <v>1.0</v>
      </c>
      <c r="I1091" s="15">
        <f t="shared" si="3"/>
        <v>4</v>
      </c>
      <c r="J1091" s="15">
        <v>14.48</v>
      </c>
      <c r="K1091" s="16">
        <f>IF(COUNTIFS(Release_Calendar!$A$2:$A$755,"US_CPI",Release_Calendar!$B$2:$B$755,$A1091)&gt;0,1,0)</f>
        <v>0</v>
      </c>
      <c r="L1091" s="16">
        <f>IF(COUNTIFS(Release_Calendar!$A$2:$A$755,"US_NFP",Release_Calendar!$B$2:$B$755,$A1091)&gt;0,1,0)</f>
        <v>1</v>
      </c>
      <c r="M1091" s="16" t="str">
        <f>IF($A1091&lt;Notes!$B$5,"",IF(COUNTIFS(Release_Calendar!$A$2:$A$755,"NZ_CPI",Release_Calendar!$B$2:$B$755,$A1091)&gt;0,1,0))</f>
        <v/>
      </c>
      <c r="N1091" s="16" t="str">
        <f>IF($A1091&lt;Notes!$B$5,"",IF(COUNTIFS(Release_Calendar!$A$2:$A$755,"NZ_GDP",Release_Calendar!$B$2:$B$755,$A1091)&gt;0,1,0))</f>
        <v/>
      </c>
      <c r="O1091" s="16" t="str">
        <f>IF($A1091&lt;Notes!$B$5,"",IF(COUNTIFS(Release_Calendar!$A$2:$A$755,"NZ_LABOUR",Release_Calendar!$B$2:$B$755,$A1091)&gt;0,1,0))</f>
        <v/>
      </c>
      <c r="P1091" s="16">
        <f t="shared" si="4"/>
        <v>1</v>
      </c>
    </row>
    <row r="1092" ht="15.75" customHeight="1">
      <c r="A1092" s="14">
        <v>38054.0</v>
      </c>
      <c r="B1092" s="15">
        <v>1.52</v>
      </c>
      <c r="C1092" s="15"/>
      <c r="D1092" s="15">
        <v>5.52</v>
      </c>
      <c r="E1092" s="15"/>
      <c r="F1092" s="15" t="str">
        <f t="shared" si="1"/>
        <v/>
      </c>
      <c r="G1092" s="15">
        <f t="shared" si="2"/>
        <v>5.52</v>
      </c>
      <c r="H1092" s="16">
        <v>1.0</v>
      </c>
      <c r="I1092" s="15">
        <f t="shared" si="3"/>
        <v>4</v>
      </c>
      <c r="J1092" s="15">
        <v>15.79</v>
      </c>
      <c r="K1092" s="16">
        <f>IF(COUNTIFS(Release_Calendar!$A$2:$A$755,"US_CPI",Release_Calendar!$B$2:$B$755,$A1092)&gt;0,1,0)</f>
        <v>0</v>
      </c>
      <c r="L1092" s="16">
        <f>IF(COUNTIFS(Release_Calendar!$A$2:$A$755,"US_NFP",Release_Calendar!$B$2:$B$755,$A1092)&gt;0,1,0)</f>
        <v>0</v>
      </c>
      <c r="M1092" s="16" t="str">
        <f>IF($A1092&lt;Notes!$B$5,"",IF(COUNTIFS(Release_Calendar!$A$2:$A$755,"NZ_CPI",Release_Calendar!$B$2:$B$755,$A1092)&gt;0,1,0))</f>
        <v/>
      </c>
      <c r="N1092" s="16" t="str">
        <f>IF($A1092&lt;Notes!$B$5,"",IF(COUNTIFS(Release_Calendar!$A$2:$A$755,"NZ_GDP",Release_Calendar!$B$2:$B$755,$A1092)&gt;0,1,0))</f>
        <v/>
      </c>
      <c r="O1092" s="16" t="str">
        <f>IF($A1092&lt;Notes!$B$5,"",IF(COUNTIFS(Release_Calendar!$A$2:$A$755,"NZ_LABOUR",Release_Calendar!$B$2:$B$755,$A1092)&gt;0,1,0))</f>
        <v/>
      </c>
      <c r="P1092" s="16">
        <f t="shared" si="4"/>
        <v>0</v>
      </c>
    </row>
    <row r="1093" ht="15.75" customHeight="1">
      <c r="A1093" s="14">
        <v>38055.0</v>
      </c>
      <c r="B1093" s="15">
        <v>1.51</v>
      </c>
      <c r="C1093" s="15"/>
      <c r="D1093" s="15">
        <v>5.5</v>
      </c>
      <c r="E1093" s="15"/>
      <c r="F1093" s="15" t="str">
        <f t="shared" si="1"/>
        <v/>
      </c>
      <c r="G1093" s="15">
        <f t="shared" si="2"/>
        <v>5.5</v>
      </c>
      <c r="H1093" s="16">
        <v>1.0</v>
      </c>
      <c r="I1093" s="15">
        <f t="shared" si="3"/>
        <v>3.99</v>
      </c>
      <c r="J1093" s="15">
        <v>16.6</v>
      </c>
      <c r="K1093" s="16">
        <f>IF(COUNTIFS(Release_Calendar!$A$2:$A$755,"US_CPI",Release_Calendar!$B$2:$B$755,$A1093)&gt;0,1,0)</f>
        <v>0</v>
      </c>
      <c r="L1093" s="16">
        <f>IF(COUNTIFS(Release_Calendar!$A$2:$A$755,"US_NFP",Release_Calendar!$B$2:$B$755,$A1093)&gt;0,1,0)</f>
        <v>0</v>
      </c>
      <c r="M1093" s="16" t="str">
        <f>IF($A1093&lt;Notes!$B$5,"",IF(COUNTIFS(Release_Calendar!$A$2:$A$755,"NZ_CPI",Release_Calendar!$B$2:$B$755,$A1093)&gt;0,1,0))</f>
        <v/>
      </c>
      <c r="N1093" s="16" t="str">
        <f>IF($A1093&lt;Notes!$B$5,"",IF(COUNTIFS(Release_Calendar!$A$2:$A$755,"NZ_GDP",Release_Calendar!$B$2:$B$755,$A1093)&gt;0,1,0))</f>
        <v/>
      </c>
      <c r="O1093" s="16" t="str">
        <f>IF($A1093&lt;Notes!$B$5,"",IF(COUNTIFS(Release_Calendar!$A$2:$A$755,"NZ_LABOUR",Release_Calendar!$B$2:$B$755,$A1093)&gt;0,1,0))</f>
        <v/>
      </c>
      <c r="P1093" s="16">
        <f t="shared" si="4"/>
        <v>0</v>
      </c>
    </row>
    <row r="1094" ht="15.75" customHeight="1">
      <c r="A1094" s="14">
        <v>38056.0</v>
      </c>
      <c r="B1094" s="15">
        <v>1.54</v>
      </c>
      <c r="C1094" s="15"/>
      <c r="D1094" s="15">
        <v>5.49</v>
      </c>
      <c r="E1094" s="15"/>
      <c r="F1094" s="15" t="str">
        <f t="shared" si="1"/>
        <v/>
      </c>
      <c r="G1094" s="15">
        <f t="shared" si="2"/>
        <v>5.49</v>
      </c>
      <c r="H1094" s="16">
        <v>1.0</v>
      </c>
      <c r="I1094" s="15">
        <f t="shared" si="3"/>
        <v>3.95</v>
      </c>
      <c r="J1094" s="15">
        <v>18.67</v>
      </c>
      <c r="K1094" s="16">
        <f>IF(COUNTIFS(Release_Calendar!$A$2:$A$755,"US_CPI",Release_Calendar!$B$2:$B$755,$A1094)&gt;0,1,0)</f>
        <v>0</v>
      </c>
      <c r="L1094" s="16">
        <f>IF(COUNTIFS(Release_Calendar!$A$2:$A$755,"US_NFP",Release_Calendar!$B$2:$B$755,$A1094)&gt;0,1,0)</f>
        <v>0</v>
      </c>
      <c r="M1094" s="16" t="str">
        <f>IF($A1094&lt;Notes!$B$5,"",IF(COUNTIFS(Release_Calendar!$A$2:$A$755,"NZ_CPI",Release_Calendar!$B$2:$B$755,$A1094)&gt;0,1,0))</f>
        <v/>
      </c>
      <c r="N1094" s="16" t="str">
        <f>IF($A1094&lt;Notes!$B$5,"",IF(COUNTIFS(Release_Calendar!$A$2:$A$755,"NZ_GDP",Release_Calendar!$B$2:$B$755,$A1094)&gt;0,1,0))</f>
        <v/>
      </c>
      <c r="O1094" s="16" t="str">
        <f>IF($A1094&lt;Notes!$B$5,"",IF(COUNTIFS(Release_Calendar!$A$2:$A$755,"NZ_LABOUR",Release_Calendar!$B$2:$B$755,$A1094)&gt;0,1,0))</f>
        <v/>
      </c>
      <c r="P1094" s="16">
        <f t="shared" si="4"/>
        <v>0</v>
      </c>
    </row>
    <row r="1095" ht="15.75" customHeight="1">
      <c r="A1095" s="14">
        <v>38057.0</v>
      </c>
      <c r="B1095" s="15">
        <v>1.52</v>
      </c>
      <c r="C1095" s="15"/>
      <c r="D1095" s="15">
        <v>5.36</v>
      </c>
      <c r="E1095" s="15"/>
      <c r="F1095" s="15" t="str">
        <f t="shared" si="1"/>
        <v/>
      </c>
      <c r="G1095" s="15">
        <f t="shared" si="2"/>
        <v>5.36</v>
      </c>
      <c r="H1095" s="16">
        <v>1.0</v>
      </c>
      <c r="I1095" s="15">
        <f t="shared" si="3"/>
        <v>3.84</v>
      </c>
      <c r="J1095" s="15">
        <v>20.67</v>
      </c>
      <c r="K1095" s="16">
        <f>IF(COUNTIFS(Release_Calendar!$A$2:$A$755,"US_CPI",Release_Calendar!$B$2:$B$755,$A1095)&gt;0,1,0)</f>
        <v>0</v>
      </c>
      <c r="L1095" s="16">
        <f>IF(COUNTIFS(Release_Calendar!$A$2:$A$755,"US_NFP",Release_Calendar!$B$2:$B$755,$A1095)&gt;0,1,0)</f>
        <v>0</v>
      </c>
      <c r="M1095" s="16" t="str">
        <f>IF($A1095&lt;Notes!$B$5,"",IF(COUNTIFS(Release_Calendar!$A$2:$A$755,"NZ_CPI",Release_Calendar!$B$2:$B$755,$A1095)&gt;0,1,0))</f>
        <v/>
      </c>
      <c r="N1095" s="16" t="str">
        <f>IF($A1095&lt;Notes!$B$5,"",IF(COUNTIFS(Release_Calendar!$A$2:$A$755,"NZ_GDP",Release_Calendar!$B$2:$B$755,$A1095)&gt;0,1,0))</f>
        <v/>
      </c>
      <c r="O1095" s="16" t="str">
        <f>IF($A1095&lt;Notes!$B$5,"",IF(COUNTIFS(Release_Calendar!$A$2:$A$755,"NZ_LABOUR",Release_Calendar!$B$2:$B$755,$A1095)&gt;0,1,0))</f>
        <v/>
      </c>
      <c r="P1095" s="16">
        <f t="shared" si="4"/>
        <v>0</v>
      </c>
    </row>
    <row r="1096" ht="15.75" customHeight="1">
      <c r="A1096" s="14">
        <v>38058.0</v>
      </c>
      <c r="B1096" s="15">
        <v>1.54</v>
      </c>
      <c r="C1096" s="15"/>
      <c r="D1096" s="15">
        <v>5.27</v>
      </c>
      <c r="E1096" s="15"/>
      <c r="F1096" s="15" t="str">
        <f t="shared" si="1"/>
        <v/>
      </c>
      <c r="G1096" s="15">
        <f t="shared" si="2"/>
        <v>5.27</v>
      </c>
      <c r="H1096" s="16">
        <v>1.0</v>
      </c>
      <c r="I1096" s="15">
        <f t="shared" si="3"/>
        <v>3.73</v>
      </c>
      <c r="J1096" s="15">
        <v>18.3</v>
      </c>
      <c r="K1096" s="16">
        <f>IF(COUNTIFS(Release_Calendar!$A$2:$A$755,"US_CPI",Release_Calendar!$B$2:$B$755,$A1096)&gt;0,1,0)</f>
        <v>0</v>
      </c>
      <c r="L1096" s="16">
        <f>IF(COUNTIFS(Release_Calendar!$A$2:$A$755,"US_NFP",Release_Calendar!$B$2:$B$755,$A1096)&gt;0,1,0)</f>
        <v>0</v>
      </c>
      <c r="M1096" s="16" t="str">
        <f>IF($A1096&lt;Notes!$B$5,"",IF(COUNTIFS(Release_Calendar!$A$2:$A$755,"NZ_CPI",Release_Calendar!$B$2:$B$755,$A1096)&gt;0,1,0))</f>
        <v/>
      </c>
      <c r="N1096" s="16" t="str">
        <f>IF($A1096&lt;Notes!$B$5,"",IF(COUNTIFS(Release_Calendar!$A$2:$A$755,"NZ_GDP",Release_Calendar!$B$2:$B$755,$A1096)&gt;0,1,0))</f>
        <v/>
      </c>
      <c r="O1096" s="16" t="str">
        <f>IF($A1096&lt;Notes!$B$5,"",IF(COUNTIFS(Release_Calendar!$A$2:$A$755,"NZ_LABOUR",Release_Calendar!$B$2:$B$755,$A1096)&gt;0,1,0))</f>
        <v/>
      </c>
      <c r="P1096" s="16">
        <f t="shared" si="4"/>
        <v>0</v>
      </c>
    </row>
    <row r="1097" ht="15.75" customHeight="1">
      <c r="A1097" s="14">
        <v>38061.0</v>
      </c>
      <c r="B1097" s="15">
        <v>1.56</v>
      </c>
      <c r="C1097" s="15"/>
      <c r="D1097" s="15">
        <v>5.28</v>
      </c>
      <c r="E1097" s="15"/>
      <c r="F1097" s="15" t="str">
        <f t="shared" si="1"/>
        <v/>
      </c>
      <c r="G1097" s="15">
        <f t="shared" si="2"/>
        <v>5.28</v>
      </c>
      <c r="H1097" s="16">
        <v>1.0</v>
      </c>
      <c r="I1097" s="15">
        <f t="shared" si="3"/>
        <v>3.72</v>
      </c>
      <c r="J1097" s="15">
        <v>21.13</v>
      </c>
      <c r="K1097" s="16">
        <f>IF(COUNTIFS(Release_Calendar!$A$2:$A$755,"US_CPI",Release_Calendar!$B$2:$B$755,$A1097)&gt;0,1,0)</f>
        <v>0</v>
      </c>
      <c r="L1097" s="16">
        <f>IF(COUNTIFS(Release_Calendar!$A$2:$A$755,"US_NFP",Release_Calendar!$B$2:$B$755,$A1097)&gt;0,1,0)</f>
        <v>0</v>
      </c>
      <c r="M1097" s="16" t="str">
        <f>IF($A1097&lt;Notes!$B$5,"",IF(COUNTIFS(Release_Calendar!$A$2:$A$755,"NZ_CPI",Release_Calendar!$B$2:$B$755,$A1097)&gt;0,1,0))</f>
        <v/>
      </c>
      <c r="N1097" s="16" t="str">
        <f>IF($A1097&lt;Notes!$B$5,"",IF(COUNTIFS(Release_Calendar!$A$2:$A$755,"NZ_GDP",Release_Calendar!$B$2:$B$755,$A1097)&gt;0,1,0))</f>
        <v/>
      </c>
      <c r="O1097" s="16" t="str">
        <f>IF($A1097&lt;Notes!$B$5,"",IF(COUNTIFS(Release_Calendar!$A$2:$A$755,"NZ_LABOUR",Release_Calendar!$B$2:$B$755,$A1097)&gt;0,1,0))</f>
        <v/>
      </c>
      <c r="P1097" s="16">
        <f t="shared" si="4"/>
        <v>0</v>
      </c>
    </row>
    <row r="1098" ht="15.75" customHeight="1">
      <c r="A1098" s="14">
        <v>38062.0</v>
      </c>
      <c r="B1098" s="15">
        <v>1.51</v>
      </c>
      <c r="C1098" s="15"/>
      <c r="D1098" s="15">
        <v>5.3</v>
      </c>
      <c r="E1098" s="15"/>
      <c r="F1098" s="15" t="str">
        <f t="shared" si="1"/>
        <v/>
      </c>
      <c r="G1098" s="15">
        <f t="shared" si="2"/>
        <v>5.3</v>
      </c>
      <c r="H1098" s="16">
        <v>1.0</v>
      </c>
      <c r="I1098" s="15">
        <f t="shared" si="3"/>
        <v>3.79</v>
      </c>
      <c r="J1098" s="15">
        <v>20.34</v>
      </c>
      <c r="K1098" s="16">
        <f>IF(COUNTIFS(Release_Calendar!$A$2:$A$755,"US_CPI",Release_Calendar!$B$2:$B$755,$A1098)&gt;0,1,0)</f>
        <v>0</v>
      </c>
      <c r="L1098" s="16">
        <f>IF(COUNTIFS(Release_Calendar!$A$2:$A$755,"US_NFP",Release_Calendar!$B$2:$B$755,$A1098)&gt;0,1,0)</f>
        <v>0</v>
      </c>
      <c r="M1098" s="16" t="str">
        <f>IF($A1098&lt;Notes!$B$5,"",IF(COUNTIFS(Release_Calendar!$A$2:$A$755,"NZ_CPI",Release_Calendar!$B$2:$B$755,$A1098)&gt;0,1,0))</f>
        <v/>
      </c>
      <c r="N1098" s="16" t="str">
        <f>IF($A1098&lt;Notes!$B$5,"",IF(COUNTIFS(Release_Calendar!$A$2:$A$755,"NZ_GDP",Release_Calendar!$B$2:$B$755,$A1098)&gt;0,1,0))</f>
        <v/>
      </c>
      <c r="O1098" s="16" t="str">
        <f>IF($A1098&lt;Notes!$B$5,"",IF(COUNTIFS(Release_Calendar!$A$2:$A$755,"NZ_LABOUR",Release_Calendar!$B$2:$B$755,$A1098)&gt;0,1,0))</f>
        <v/>
      </c>
      <c r="P1098" s="16">
        <f t="shared" si="4"/>
        <v>0</v>
      </c>
    </row>
    <row r="1099" ht="15.75" customHeight="1">
      <c r="A1099" s="14">
        <v>38063.0</v>
      </c>
      <c r="B1099" s="15">
        <v>1.53</v>
      </c>
      <c r="C1099" s="15"/>
      <c r="D1099" s="15">
        <v>5.26</v>
      </c>
      <c r="E1099" s="15"/>
      <c r="F1099" s="15" t="str">
        <f t="shared" si="1"/>
        <v/>
      </c>
      <c r="G1099" s="15">
        <f t="shared" si="2"/>
        <v>5.26</v>
      </c>
      <c r="H1099" s="16">
        <v>1.0</v>
      </c>
      <c r="I1099" s="15">
        <f t="shared" si="3"/>
        <v>3.73</v>
      </c>
      <c r="J1099" s="15">
        <v>18.11</v>
      </c>
      <c r="K1099" s="16">
        <f>IF(COUNTIFS(Release_Calendar!$A$2:$A$755,"US_CPI",Release_Calendar!$B$2:$B$755,$A1099)&gt;0,1,0)</f>
        <v>1</v>
      </c>
      <c r="L1099" s="16">
        <f>IF(COUNTIFS(Release_Calendar!$A$2:$A$755,"US_NFP",Release_Calendar!$B$2:$B$755,$A1099)&gt;0,1,0)</f>
        <v>0</v>
      </c>
      <c r="M1099" s="16" t="str">
        <f>IF($A1099&lt;Notes!$B$5,"",IF(COUNTIFS(Release_Calendar!$A$2:$A$755,"NZ_CPI",Release_Calendar!$B$2:$B$755,$A1099)&gt;0,1,0))</f>
        <v/>
      </c>
      <c r="N1099" s="16" t="str">
        <f>IF($A1099&lt;Notes!$B$5,"",IF(COUNTIFS(Release_Calendar!$A$2:$A$755,"NZ_GDP",Release_Calendar!$B$2:$B$755,$A1099)&gt;0,1,0))</f>
        <v/>
      </c>
      <c r="O1099" s="16" t="str">
        <f>IF($A1099&lt;Notes!$B$5,"",IF(COUNTIFS(Release_Calendar!$A$2:$A$755,"NZ_LABOUR",Release_Calendar!$B$2:$B$755,$A1099)&gt;0,1,0))</f>
        <v/>
      </c>
      <c r="P1099" s="16">
        <f t="shared" si="4"/>
        <v>1</v>
      </c>
    </row>
    <row r="1100" ht="15.75" customHeight="1">
      <c r="A1100" s="14">
        <v>38064.0</v>
      </c>
      <c r="B1100" s="15">
        <v>1.55</v>
      </c>
      <c r="C1100" s="15"/>
      <c r="D1100" s="15">
        <v>5.3</v>
      </c>
      <c r="E1100" s="15"/>
      <c r="F1100" s="15" t="str">
        <f t="shared" si="1"/>
        <v/>
      </c>
      <c r="G1100" s="15">
        <f t="shared" si="2"/>
        <v>5.3</v>
      </c>
      <c r="H1100" s="16">
        <v>1.0</v>
      </c>
      <c r="I1100" s="15">
        <f t="shared" si="3"/>
        <v>3.75</v>
      </c>
      <c r="J1100" s="15">
        <v>18.53</v>
      </c>
      <c r="K1100" s="16">
        <f>IF(COUNTIFS(Release_Calendar!$A$2:$A$755,"US_CPI",Release_Calendar!$B$2:$B$755,$A1100)&gt;0,1,0)</f>
        <v>0</v>
      </c>
      <c r="L1100" s="16">
        <f>IF(COUNTIFS(Release_Calendar!$A$2:$A$755,"US_NFP",Release_Calendar!$B$2:$B$755,$A1100)&gt;0,1,0)</f>
        <v>0</v>
      </c>
      <c r="M1100" s="16" t="str">
        <f>IF($A1100&lt;Notes!$B$5,"",IF(COUNTIFS(Release_Calendar!$A$2:$A$755,"NZ_CPI",Release_Calendar!$B$2:$B$755,$A1100)&gt;0,1,0))</f>
        <v/>
      </c>
      <c r="N1100" s="16" t="str">
        <f>IF($A1100&lt;Notes!$B$5,"",IF(COUNTIFS(Release_Calendar!$A$2:$A$755,"NZ_GDP",Release_Calendar!$B$2:$B$755,$A1100)&gt;0,1,0))</f>
        <v/>
      </c>
      <c r="O1100" s="16" t="str">
        <f>IF($A1100&lt;Notes!$B$5,"",IF(COUNTIFS(Release_Calendar!$A$2:$A$755,"NZ_LABOUR",Release_Calendar!$B$2:$B$755,$A1100)&gt;0,1,0))</f>
        <v/>
      </c>
      <c r="P1100" s="16">
        <f t="shared" si="4"/>
        <v>0</v>
      </c>
    </row>
    <row r="1101" ht="15.75" customHeight="1">
      <c r="A1101" s="14">
        <v>38065.0</v>
      </c>
      <c r="B1101" s="15">
        <v>1.56</v>
      </c>
      <c r="C1101" s="15"/>
      <c r="D1101" s="15">
        <v>5.34</v>
      </c>
      <c r="E1101" s="15"/>
      <c r="F1101" s="15" t="str">
        <f t="shared" si="1"/>
        <v/>
      </c>
      <c r="G1101" s="15">
        <f t="shared" si="2"/>
        <v>5.34</v>
      </c>
      <c r="H1101" s="16">
        <v>1.0</v>
      </c>
      <c r="I1101" s="15">
        <f t="shared" si="3"/>
        <v>3.78</v>
      </c>
      <c r="J1101" s="15">
        <v>19.15</v>
      </c>
      <c r="K1101" s="16">
        <f>IF(COUNTIFS(Release_Calendar!$A$2:$A$755,"US_CPI",Release_Calendar!$B$2:$B$755,$A1101)&gt;0,1,0)</f>
        <v>0</v>
      </c>
      <c r="L1101" s="16">
        <f>IF(COUNTIFS(Release_Calendar!$A$2:$A$755,"US_NFP",Release_Calendar!$B$2:$B$755,$A1101)&gt;0,1,0)</f>
        <v>0</v>
      </c>
      <c r="M1101" s="16" t="str">
        <f>IF($A1101&lt;Notes!$B$5,"",IF(COUNTIFS(Release_Calendar!$A$2:$A$755,"NZ_CPI",Release_Calendar!$B$2:$B$755,$A1101)&gt;0,1,0))</f>
        <v/>
      </c>
      <c r="N1101" s="16" t="str">
        <f>IF($A1101&lt;Notes!$B$5,"",IF(COUNTIFS(Release_Calendar!$A$2:$A$755,"NZ_GDP",Release_Calendar!$B$2:$B$755,$A1101)&gt;0,1,0))</f>
        <v/>
      </c>
      <c r="O1101" s="16" t="str">
        <f>IF($A1101&lt;Notes!$B$5,"",IF(COUNTIFS(Release_Calendar!$A$2:$A$755,"NZ_LABOUR",Release_Calendar!$B$2:$B$755,$A1101)&gt;0,1,0))</f>
        <v/>
      </c>
      <c r="P1101" s="16">
        <f t="shared" si="4"/>
        <v>0</v>
      </c>
    </row>
    <row r="1102" ht="15.75" customHeight="1">
      <c r="A1102" s="14">
        <v>38068.0</v>
      </c>
      <c r="B1102" s="15">
        <v>1.52</v>
      </c>
      <c r="C1102" s="15"/>
      <c r="D1102" s="15">
        <v>5.33</v>
      </c>
      <c r="E1102" s="15"/>
      <c r="F1102" s="15" t="str">
        <f t="shared" si="1"/>
        <v/>
      </c>
      <c r="G1102" s="15">
        <f t="shared" si="2"/>
        <v>5.33</v>
      </c>
      <c r="H1102" s="16">
        <v>1.0</v>
      </c>
      <c r="I1102" s="15">
        <f t="shared" si="3"/>
        <v>3.81</v>
      </c>
      <c r="J1102" s="15">
        <v>21.58</v>
      </c>
      <c r="K1102" s="16">
        <f>IF(COUNTIFS(Release_Calendar!$A$2:$A$755,"US_CPI",Release_Calendar!$B$2:$B$755,$A1102)&gt;0,1,0)</f>
        <v>0</v>
      </c>
      <c r="L1102" s="16">
        <f>IF(COUNTIFS(Release_Calendar!$A$2:$A$755,"US_NFP",Release_Calendar!$B$2:$B$755,$A1102)&gt;0,1,0)</f>
        <v>0</v>
      </c>
      <c r="M1102" s="16" t="str">
        <f>IF($A1102&lt;Notes!$B$5,"",IF(COUNTIFS(Release_Calendar!$A$2:$A$755,"NZ_CPI",Release_Calendar!$B$2:$B$755,$A1102)&gt;0,1,0))</f>
        <v/>
      </c>
      <c r="N1102" s="16" t="str">
        <f>IF($A1102&lt;Notes!$B$5,"",IF(COUNTIFS(Release_Calendar!$A$2:$A$755,"NZ_GDP",Release_Calendar!$B$2:$B$755,$A1102)&gt;0,1,0))</f>
        <v/>
      </c>
      <c r="O1102" s="16" t="str">
        <f>IF($A1102&lt;Notes!$B$5,"",IF(COUNTIFS(Release_Calendar!$A$2:$A$755,"NZ_LABOUR",Release_Calendar!$B$2:$B$755,$A1102)&gt;0,1,0))</f>
        <v/>
      </c>
      <c r="P1102" s="16">
        <f t="shared" si="4"/>
        <v>0</v>
      </c>
    </row>
    <row r="1103" ht="15.75" customHeight="1">
      <c r="A1103" s="14">
        <v>38069.0</v>
      </c>
      <c r="B1103" s="15">
        <v>1.52</v>
      </c>
      <c r="C1103" s="15"/>
      <c r="D1103" s="15">
        <v>5.28</v>
      </c>
      <c r="E1103" s="15"/>
      <c r="F1103" s="15" t="str">
        <f t="shared" si="1"/>
        <v/>
      </c>
      <c r="G1103" s="15">
        <f t="shared" si="2"/>
        <v>5.28</v>
      </c>
      <c r="H1103" s="16">
        <v>1.0</v>
      </c>
      <c r="I1103" s="15">
        <f t="shared" si="3"/>
        <v>3.76</v>
      </c>
      <c r="J1103" s="15">
        <v>20.67</v>
      </c>
      <c r="K1103" s="16">
        <f>IF(COUNTIFS(Release_Calendar!$A$2:$A$755,"US_CPI",Release_Calendar!$B$2:$B$755,$A1103)&gt;0,1,0)</f>
        <v>0</v>
      </c>
      <c r="L1103" s="16">
        <f>IF(COUNTIFS(Release_Calendar!$A$2:$A$755,"US_NFP",Release_Calendar!$B$2:$B$755,$A1103)&gt;0,1,0)</f>
        <v>0</v>
      </c>
      <c r="M1103" s="16" t="str">
        <f>IF($A1103&lt;Notes!$B$5,"",IF(COUNTIFS(Release_Calendar!$A$2:$A$755,"NZ_CPI",Release_Calendar!$B$2:$B$755,$A1103)&gt;0,1,0))</f>
        <v/>
      </c>
      <c r="N1103" s="16" t="str">
        <f>IF($A1103&lt;Notes!$B$5,"",IF(COUNTIFS(Release_Calendar!$A$2:$A$755,"NZ_GDP",Release_Calendar!$B$2:$B$755,$A1103)&gt;0,1,0))</f>
        <v/>
      </c>
      <c r="O1103" s="16" t="str">
        <f>IF($A1103&lt;Notes!$B$5,"",IF(COUNTIFS(Release_Calendar!$A$2:$A$755,"NZ_LABOUR",Release_Calendar!$B$2:$B$755,$A1103)&gt;0,1,0))</f>
        <v/>
      </c>
      <c r="P1103" s="16">
        <f t="shared" si="4"/>
        <v>0</v>
      </c>
    </row>
    <row r="1104" ht="15.75" customHeight="1">
      <c r="A1104" s="14">
        <v>38070.0</v>
      </c>
      <c r="B1104" s="15">
        <v>1.5</v>
      </c>
      <c r="C1104" s="15"/>
      <c r="D1104" s="15">
        <v>5.28</v>
      </c>
      <c r="E1104" s="15"/>
      <c r="F1104" s="15" t="str">
        <f t="shared" si="1"/>
        <v/>
      </c>
      <c r="G1104" s="15">
        <f t="shared" si="2"/>
        <v>5.28</v>
      </c>
      <c r="H1104" s="16">
        <v>1.0</v>
      </c>
      <c r="I1104" s="15">
        <f t="shared" si="3"/>
        <v>3.78</v>
      </c>
      <c r="J1104" s="15">
        <v>19.81</v>
      </c>
      <c r="K1104" s="16">
        <f>IF(COUNTIFS(Release_Calendar!$A$2:$A$755,"US_CPI",Release_Calendar!$B$2:$B$755,$A1104)&gt;0,1,0)</f>
        <v>0</v>
      </c>
      <c r="L1104" s="16">
        <f>IF(COUNTIFS(Release_Calendar!$A$2:$A$755,"US_NFP",Release_Calendar!$B$2:$B$755,$A1104)&gt;0,1,0)</f>
        <v>0</v>
      </c>
      <c r="M1104" s="16" t="str">
        <f>IF($A1104&lt;Notes!$B$5,"",IF(COUNTIFS(Release_Calendar!$A$2:$A$755,"NZ_CPI",Release_Calendar!$B$2:$B$755,$A1104)&gt;0,1,0))</f>
        <v/>
      </c>
      <c r="N1104" s="16" t="str">
        <f>IF($A1104&lt;Notes!$B$5,"",IF(COUNTIFS(Release_Calendar!$A$2:$A$755,"NZ_GDP",Release_Calendar!$B$2:$B$755,$A1104)&gt;0,1,0))</f>
        <v/>
      </c>
      <c r="O1104" s="16" t="str">
        <f>IF($A1104&lt;Notes!$B$5,"",IF(COUNTIFS(Release_Calendar!$A$2:$A$755,"NZ_LABOUR",Release_Calendar!$B$2:$B$755,$A1104)&gt;0,1,0))</f>
        <v/>
      </c>
      <c r="P1104" s="16">
        <f t="shared" si="4"/>
        <v>0</v>
      </c>
    </row>
    <row r="1105" ht="15.75" customHeight="1">
      <c r="A1105" s="14">
        <v>38071.0</v>
      </c>
      <c r="B1105" s="15">
        <v>1.51</v>
      </c>
      <c r="C1105" s="15"/>
      <c r="D1105" s="15">
        <v>5.27</v>
      </c>
      <c r="E1105" s="15"/>
      <c r="F1105" s="15" t="str">
        <f t="shared" si="1"/>
        <v/>
      </c>
      <c r="G1105" s="15">
        <f t="shared" si="2"/>
        <v>5.27</v>
      </c>
      <c r="H1105" s="16">
        <v>1.0</v>
      </c>
      <c r="I1105" s="15">
        <f t="shared" si="3"/>
        <v>3.76</v>
      </c>
      <c r="J1105" s="15">
        <v>17.88</v>
      </c>
      <c r="K1105" s="16">
        <f>IF(COUNTIFS(Release_Calendar!$A$2:$A$755,"US_CPI",Release_Calendar!$B$2:$B$755,$A1105)&gt;0,1,0)</f>
        <v>0</v>
      </c>
      <c r="L1105" s="16">
        <f>IF(COUNTIFS(Release_Calendar!$A$2:$A$755,"US_NFP",Release_Calendar!$B$2:$B$755,$A1105)&gt;0,1,0)</f>
        <v>0</v>
      </c>
      <c r="M1105" s="16" t="str">
        <f>IF($A1105&lt;Notes!$B$5,"",IF(COUNTIFS(Release_Calendar!$A$2:$A$755,"NZ_CPI",Release_Calendar!$B$2:$B$755,$A1105)&gt;0,1,0))</f>
        <v/>
      </c>
      <c r="N1105" s="16" t="str">
        <f>IF($A1105&lt;Notes!$B$5,"",IF(COUNTIFS(Release_Calendar!$A$2:$A$755,"NZ_GDP",Release_Calendar!$B$2:$B$755,$A1105)&gt;0,1,0))</f>
        <v/>
      </c>
      <c r="O1105" s="16" t="str">
        <f>IF($A1105&lt;Notes!$B$5,"",IF(COUNTIFS(Release_Calendar!$A$2:$A$755,"NZ_LABOUR",Release_Calendar!$B$2:$B$755,$A1105)&gt;0,1,0))</f>
        <v/>
      </c>
      <c r="P1105" s="16">
        <f t="shared" si="4"/>
        <v>0</v>
      </c>
    </row>
    <row r="1106" ht="15.75" customHeight="1">
      <c r="A1106" s="14">
        <v>38072.0</v>
      </c>
      <c r="B1106" s="15">
        <v>1.59</v>
      </c>
      <c r="C1106" s="15"/>
      <c r="D1106" s="15">
        <v>5.28</v>
      </c>
      <c r="E1106" s="15"/>
      <c r="F1106" s="15" t="str">
        <f t="shared" si="1"/>
        <v/>
      </c>
      <c r="G1106" s="15">
        <f t="shared" si="2"/>
        <v>5.28</v>
      </c>
      <c r="H1106" s="16">
        <v>1.0</v>
      </c>
      <c r="I1106" s="15">
        <f t="shared" si="3"/>
        <v>3.69</v>
      </c>
      <c r="J1106" s="15">
        <v>17.33</v>
      </c>
      <c r="K1106" s="16">
        <f>IF(COUNTIFS(Release_Calendar!$A$2:$A$755,"US_CPI",Release_Calendar!$B$2:$B$755,$A1106)&gt;0,1,0)</f>
        <v>0</v>
      </c>
      <c r="L1106" s="16">
        <f>IF(COUNTIFS(Release_Calendar!$A$2:$A$755,"US_NFP",Release_Calendar!$B$2:$B$755,$A1106)&gt;0,1,0)</f>
        <v>0</v>
      </c>
      <c r="M1106" s="16" t="str">
        <f>IF($A1106&lt;Notes!$B$5,"",IF(COUNTIFS(Release_Calendar!$A$2:$A$755,"NZ_CPI",Release_Calendar!$B$2:$B$755,$A1106)&gt;0,1,0))</f>
        <v/>
      </c>
      <c r="N1106" s="16" t="str">
        <f>IF($A1106&lt;Notes!$B$5,"",IF(COUNTIFS(Release_Calendar!$A$2:$A$755,"NZ_GDP",Release_Calendar!$B$2:$B$755,$A1106)&gt;0,1,0))</f>
        <v/>
      </c>
      <c r="O1106" s="16" t="str">
        <f>IF($A1106&lt;Notes!$B$5,"",IF(COUNTIFS(Release_Calendar!$A$2:$A$755,"NZ_LABOUR",Release_Calendar!$B$2:$B$755,$A1106)&gt;0,1,0))</f>
        <v/>
      </c>
      <c r="P1106" s="16">
        <f t="shared" si="4"/>
        <v>0</v>
      </c>
    </row>
    <row r="1107" ht="15.75" customHeight="1">
      <c r="A1107" s="14">
        <v>38075.0</v>
      </c>
      <c r="B1107" s="15">
        <v>1.63</v>
      </c>
      <c r="C1107" s="15"/>
      <c r="D1107" s="15">
        <v>5.34</v>
      </c>
      <c r="E1107" s="15"/>
      <c r="F1107" s="15" t="str">
        <f t="shared" si="1"/>
        <v/>
      </c>
      <c r="G1107" s="15">
        <f t="shared" si="2"/>
        <v>5.34</v>
      </c>
      <c r="H1107" s="16">
        <v>1.0</v>
      </c>
      <c r="I1107" s="15">
        <f t="shared" si="3"/>
        <v>3.71</v>
      </c>
      <c r="J1107" s="15">
        <v>16.5</v>
      </c>
      <c r="K1107" s="16">
        <f>IF(COUNTIFS(Release_Calendar!$A$2:$A$755,"US_CPI",Release_Calendar!$B$2:$B$755,$A1107)&gt;0,1,0)</f>
        <v>0</v>
      </c>
      <c r="L1107" s="16">
        <f>IF(COUNTIFS(Release_Calendar!$A$2:$A$755,"US_NFP",Release_Calendar!$B$2:$B$755,$A1107)&gt;0,1,0)</f>
        <v>0</v>
      </c>
      <c r="M1107" s="16" t="str">
        <f>IF($A1107&lt;Notes!$B$5,"",IF(COUNTIFS(Release_Calendar!$A$2:$A$755,"NZ_CPI",Release_Calendar!$B$2:$B$755,$A1107)&gt;0,1,0))</f>
        <v/>
      </c>
      <c r="N1107" s="16" t="str">
        <f>IF($A1107&lt;Notes!$B$5,"",IF(COUNTIFS(Release_Calendar!$A$2:$A$755,"NZ_GDP",Release_Calendar!$B$2:$B$755,$A1107)&gt;0,1,0))</f>
        <v/>
      </c>
      <c r="O1107" s="16" t="str">
        <f>IF($A1107&lt;Notes!$B$5,"",IF(COUNTIFS(Release_Calendar!$A$2:$A$755,"NZ_LABOUR",Release_Calendar!$B$2:$B$755,$A1107)&gt;0,1,0))</f>
        <v/>
      </c>
      <c r="P1107" s="16">
        <f t="shared" si="4"/>
        <v>0</v>
      </c>
    </row>
    <row r="1108" ht="15.75" customHeight="1">
      <c r="A1108" s="14">
        <v>38076.0</v>
      </c>
      <c r="B1108" s="15">
        <v>1.63</v>
      </c>
      <c r="C1108" s="15"/>
      <c r="D1108" s="15">
        <v>5.35</v>
      </c>
      <c r="E1108" s="15"/>
      <c r="F1108" s="15" t="str">
        <f t="shared" si="1"/>
        <v/>
      </c>
      <c r="G1108" s="15">
        <f t="shared" si="2"/>
        <v>5.35</v>
      </c>
      <c r="H1108" s="16">
        <v>1.0</v>
      </c>
      <c r="I1108" s="15">
        <f t="shared" si="3"/>
        <v>3.72</v>
      </c>
      <c r="J1108" s="15">
        <v>16.28</v>
      </c>
      <c r="K1108" s="16">
        <f>IF(COUNTIFS(Release_Calendar!$A$2:$A$755,"US_CPI",Release_Calendar!$B$2:$B$755,$A1108)&gt;0,1,0)</f>
        <v>0</v>
      </c>
      <c r="L1108" s="16">
        <f>IF(COUNTIFS(Release_Calendar!$A$2:$A$755,"US_NFP",Release_Calendar!$B$2:$B$755,$A1108)&gt;0,1,0)</f>
        <v>0</v>
      </c>
      <c r="M1108" s="16" t="str">
        <f>IF($A1108&lt;Notes!$B$5,"",IF(COUNTIFS(Release_Calendar!$A$2:$A$755,"NZ_CPI",Release_Calendar!$B$2:$B$755,$A1108)&gt;0,1,0))</f>
        <v/>
      </c>
      <c r="N1108" s="16" t="str">
        <f>IF($A1108&lt;Notes!$B$5,"",IF(COUNTIFS(Release_Calendar!$A$2:$A$755,"NZ_GDP",Release_Calendar!$B$2:$B$755,$A1108)&gt;0,1,0))</f>
        <v/>
      </c>
      <c r="O1108" s="16" t="str">
        <f>IF($A1108&lt;Notes!$B$5,"",IF(COUNTIFS(Release_Calendar!$A$2:$A$755,"NZ_LABOUR",Release_Calendar!$B$2:$B$755,$A1108)&gt;0,1,0))</f>
        <v/>
      </c>
      <c r="P1108" s="16">
        <f t="shared" si="4"/>
        <v>0</v>
      </c>
    </row>
    <row r="1109" ht="15.75" customHeight="1">
      <c r="A1109" s="14">
        <v>38077.0</v>
      </c>
      <c r="B1109" s="15">
        <v>1.6</v>
      </c>
      <c r="C1109" s="15"/>
      <c r="D1109" s="15">
        <v>5.34</v>
      </c>
      <c r="E1109" s="15"/>
      <c r="F1109" s="15" t="str">
        <f t="shared" si="1"/>
        <v/>
      </c>
      <c r="G1109" s="15">
        <f t="shared" si="2"/>
        <v>5.34</v>
      </c>
      <c r="H1109" s="16">
        <v>1.0</v>
      </c>
      <c r="I1109" s="15">
        <f t="shared" si="3"/>
        <v>3.74</v>
      </c>
      <c r="J1109" s="15">
        <v>16.74</v>
      </c>
      <c r="K1109" s="16">
        <f>IF(COUNTIFS(Release_Calendar!$A$2:$A$755,"US_CPI",Release_Calendar!$B$2:$B$755,$A1109)&gt;0,1,0)</f>
        <v>0</v>
      </c>
      <c r="L1109" s="16">
        <f>IF(COUNTIFS(Release_Calendar!$A$2:$A$755,"US_NFP",Release_Calendar!$B$2:$B$755,$A1109)&gt;0,1,0)</f>
        <v>0</v>
      </c>
      <c r="M1109" s="16" t="str">
        <f>IF($A1109&lt;Notes!$B$5,"",IF(COUNTIFS(Release_Calendar!$A$2:$A$755,"NZ_CPI",Release_Calendar!$B$2:$B$755,$A1109)&gt;0,1,0))</f>
        <v/>
      </c>
      <c r="N1109" s="16" t="str">
        <f>IF($A1109&lt;Notes!$B$5,"",IF(COUNTIFS(Release_Calendar!$A$2:$A$755,"NZ_GDP",Release_Calendar!$B$2:$B$755,$A1109)&gt;0,1,0))</f>
        <v/>
      </c>
      <c r="O1109" s="16" t="str">
        <f>IF($A1109&lt;Notes!$B$5,"",IF(COUNTIFS(Release_Calendar!$A$2:$A$755,"NZ_LABOUR",Release_Calendar!$B$2:$B$755,$A1109)&gt;0,1,0))</f>
        <v/>
      </c>
      <c r="P1109" s="16">
        <f t="shared" si="4"/>
        <v>0</v>
      </c>
    </row>
    <row r="1110" ht="15.75" customHeight="1">
      <c r="A1110" s="14">
        <v>38078.0</v>
      </c>
      <c r="B1110" s="15">
        <v>1.65</v>
      </c>
      <c r="C1110" s="15"/>
      <c r="D1110" s="15">
        <v>5.3</v>
      </c>
      <c r="E1110" s="15"/>
      <c r="F1110" s="15" t="str">
        <f t="shared" si="1"/>
        <v/>
      </c>
      <c r="G1110" s="15">
        <f t="shared" si="2"/>
        <v>5.3</v>
      </c>
      <c r="H1110" s="16">
        <v>1.0</v>
      </c>
      <c r="I1110" s="15">
        <f t="shared" si="3"/>
        <v>3.65</v>
      </c>
      <c r="J1110" s="15">
        <v>16.65</v>
      </c>
      <c r="K1110" s="16">
        <f>IF(COUNTIFS(Release_Calendar!$A$2:$A$755,"US_CPI",Release_Calendar!$B$2:$B$755,$A1110)&gt;0,1,0)</f>
        <v>0</v>
      </c>
      <c r="L1110" s="16">
        <f>IF(COUNTIFS(Release_Calendar!$A$2:$A$755,"US_NFP",Release_Calendar!$B$2:$B$755,$A1110)&gt;0,1,0)</f>
        <v>0</v>
      </c>
      <c r="M1110" s="16" t="str">
        <f>IF($A1110&lt;Notes!$B$5,"",IF(COUNTIFS(Release_Calendar!$A$2:$A$755,"NZ_CPI",Release_Calendar!$B$2:$B$755,$A1110)&gt;0,1,0))</f>
        <v/>
      </c>
      <c r="N1110" s="16" t="str">
        <f>IF($A1110&lt;Notes!$B$5,"",IF(COUNTIFS(Release_Calendar!$A$2:$A$755,"NZ_GDP",Release_Calendar!$B$2:$B$755,$A1110)&gt;0,1,0))</f>
        <v/>
      </c>
      <c r="O1110" s="16" t="str">
        <f>IF($A1110&lt;Notes!$B$5,"",IF(COUNTIFS(Release_Calendar!$A$2:$A$755,"NZ_LABOUR",Release_Calendar!$B$2:$B$755,$A1110)&gt;0,1,0))</f>
        <v/>
      </c>
      <c r="P1110" s="16">
        <f t="shared" si="4"/>
        <v>0</v>
      </c>
    </row>
    <row r="1111" ht="15.75" customHeight="1">
      <c r="A1111" s="14">
        <v>38079.0</v>
      </c>
      <c r="B1111" s="15">
        <v>1.86</v>
      </c>
      <c r="C1111" s="15"/>
      <c r="D1111" s="15">
        <v>5.32</v>
      </c>
      <c r="E1111" s="15"/>
      <c r="F1111" s="15" t="str">
        <f t="shared" si="1"/>
        <v/>
      </c>
      <c r="G1111" s="15">
        <f t="shared" si="2"/>
        <v>5.32</v>
      </c>
      <c r="H1111" s="16">
        <v>1.0</v>
      </c>
      <c r="I1111" s="15">
        <f t="shared" si="3"/>
        <v>3.46</v>
      </c>
      <c r="J1111" s="15">
        <v>15.64</v>
      </c>
      <c r="K1111" s="16">
        <f>IF(COUNTIFS(Release_Calendar!$A$2:$A$755,"US_CPI",Release_Calendar!$B$2:$B$755,$A1111)&gt;0,1,0)</f>
        <v>0</v>
      </c>
      <c r="L1111" s="16">
        <f>IF(COUNTIFS(Release_Calendar!$A$2:$A$755,"US_NFP",Release_Calendar!$B$2:$B$755,$A1111)&gt;0,1,0)</f>
        <v>1</v>
      </c>
      <c r="M1111" s="16" t="str">
        <f>IF($A1111&lt;Notes!$B$5,"",IF(COUNTIFS(Release_Calendar!$A$2:$A$755,"NZ_CPI",Release_Calendar!$B$2:$B$755,$A1111)&gt;0,1,0))</f>
        <v/>
      </c>
      <c r="N1111" s="16" t="str">
        <f>IF($A1111&lt;Notes!$B$5,"",IF(COUNTIFS(Release_Calendar!$A$2:$A$755,"NZ_GDP",Release_Calendar!$B$2:$B$755,$A1111)&gt;0,1,0))</f>
        <v/>
      </c>
      <c r="O1111" s="16" t="str">
        <f>IF($A1111&lt;Notes!$B$5,"",IF(COUNTIFS(Release_Calendar!$A$2:$A$755,"NZ_LABOUR",Release_Calendar!$B$2:$B$755,$A1111)&gt;0,1,0))</f>
        <v/>
      </c>
      <c r="P1111" s="16">
        <f t="shared" si="4"/>
        <v>1</v>
      </c>
    </row>
    <row r="1112" ht="15.75" customHeight="1">
      <c r="A1112" s="14">
        <v>38082.0</v>
      </c>
      <c r="B1112" s="15">
        <v>1.91</v>
      </c>
      <c r="C1112" s="15"/>
      <c r="D1112" s="15">
        <v>5.5</v>
      </c>
      <c r="E1112" s="15"/>
      <c r="F1112" s="15" t="str">
        <f t="shared" si="1"/>
        <v/>
      </c>
      <c r="G1112" s="15">
        <f t="shared" si="2"/>
        <v>5.5</v>
      </c>
      <c r="H1112" s="16">
        <v>1.0</v>
      </c>
      <c r="I1112" s="15">
        <f t="shared" si="3"/>
        <v>3.59</v>
      </c>
      <c r="J1112" s="15">
        <v>14.97</v>
      </c>
      <c r="K1112" s="16">
        <f>IF(COUNTIFS(Release_Calendar!$A$2:$A$755,"US_CPI",Release_Calendar!$B$2:$B$755,$A1112)&gt;0,1,0)</f>
        <v>0</v>
      </c>
      <c r="L1112" s="16">
        <f>IF(COUNTIFS(Release_Calendar!$A$2:$A$755,"US_NFP",Release_Calendar!$B$2:$B$755,$A1112)&gt;0,1,0)</f>
        <v>0</v>
      </c>
      <c r="M1112" s="16" t="str">
        <f>IF($A1112&lt;Notes!$B$5,"",IF(COUNTIFS(Release_Calendar!$A$2:$A$755,"NZ_CPI",Release_Calendar!$B$2:$B$755,$A1112)&gt;0,1,0))</f>
        <v/>
      </c>
      <c r="N1112" s="16" t="str">
        <f>IF($A1112&lt;Notes!$B$5,"",IF(COUNTIFS(Release_Calendar!$A$2:$A$755,"NZ_GDP",Release_Calendar!$B$2:$B$755,$A1112)&gt;0,1,0))</f>
        <v/>
      </c>
      <c r="O1112" s="16" t="str">
        <f>IF($A1112&lt;Notes!$B$5,"",IF(COUNTIFS(Release_Calendar!$A$2:$A$755,"NZ_LABOUR",Release_Calendar!$B$2:$B$755,$A1112)&gt;0,1,0))</f>
        <v/>
      </c>
      <c r="P1112" s="16">
        <f t="shared" si="4"/>
        <v>0</v>
      </c>
    </row>
    <row r="1113" ht="15.75" customHeight="1">
      <c r="A1113" s="14">
        <v>38083.0</v>
      </c>
      <c r="B1113" s="15">
        <v>1.86</v>
      </c>
      <c r="C1113" s="15"/>
      <c r="D1113" s="15">
        <v>5.5</v>
      </c>
      <c r="E1113" s="15"/>
      <c r="F1113" s="15" t="str">
        <f t="shared" si="1"/>
        <v/>
      </c>
      <c r="G1113" s="15">
        <f t="shared" si="2"/>
        <v>5.5</v>
      </c>
      <c r="H1113" s="16">
        <v>1.0</v>
      </c>
      <c r="I1113" s="15">
        <f t="shared" si="3"/>
        <v>3.64</v>
      </c>
      <c r="J1113" s="15">
        <v>15.32</v>
      </c>
      <c r="K1113" s="16">
        <f>IF(COUNTIFS(Release_Calendar!$A$2:$A$755,"US_CPI",Release_Calendar!$B$2:$B$755,$A1113)&gt;0,1,0)</f>
        <v>0</v>
      </c>
      <c r="L1113" s="16">
        <f>IF(COUNTIFS(Release_Calendar!$A$2:$A$755,"US_NFP",Release_Calendar!$B$2:$B$755,$A1113)&gt;0,1,0)</f>
        <v>0</v>
      </c>
      <c r="M1113" s="16" t="str">
        <f>IF($A1113&lt;Notes!$B$5,"",IF(COUNTIFS(Release_Calendar!$A$2:$A$755,"NZ_CPI",Release_Calendar!$B$2:$B$755,$A1113)&gt;0,1,0))</f>
        <v/>
      </c>
      <c r="N1113" s="16" t="str">
        <f>IF($A1113&lt;Notes!$B$5,"",IF(COUNTIFS(Release_Calendar!$A$2:$A$755,"NZ_GDP",Release_Calendar!$B$2:$B$755,$A1113)&gt;0,1,0))</f>
        <v/>
      </c>
      <c r="O1113" s="16" t="str">
        <f>IF($A1113&lt;Notes!$B$5,"",IF(COUNTIFS(Release_Calendar!$A$2:$A$755,"NZ_LABOUR",Release_Calendar!$B$2:$B$755,$A1113)&gt;0,1,0))</f>
        <v/>
      </c>
      <c r="P1113" s="16">
        <f t="shared" si="4"/>
        <v>0</v>
      </c>
    </row>
    <row r="1114" ht="15.75" customHeight="1">
      <c r="A1114" s="14">
        <v>38084.0</v>
      </c>
      <c r="B1114" s="15">
        <v>1.87</v>
      </c>
      <c r="C1114" s="15"/>
      <c r="D1114" s="15">
        <v>5.45</v>
      </c>
      <c r="E1114" s="15"/>
      <c r="F1114" s="15" t="str">
        <f t="shared" si="1"/>
        <v/>
      </c>
      <c r="G1114" s="15">
        <f t="shared" si="2"/>
        <v>5.45</v>
      </c>
      <c r="H1114" s="16">
        <v>1.0</v>
      </c>
      <c r="I1114" s="15">
        <f t="shared" si="3"/>
        <v>3.58</v>
      </c>
      <c r="J1114" s="15">
        <v>15.76</v>
      </c>
      <c r="K1114" s="16">
        <f>IF(COUNTIFS(Release_Calendar!$A$2:$A$755,"US_CPI",Release_Calendar!$B$2:$B$755,$A1114)&gt;0,1,0)</f>
        <v>0</v>
      </c>
      <c r="L1114" s="16">
        <f>IF(COUNTIFS(Release_Calendar!$A$2:$A$755,"US_NFP",Release_Calendar!$B$2:$B$755,$A1114)&gt;0,1,0)</f>
        <v>0</v>
      </c>
      <c r="M1114" s="16" t="str">
        <f>IF($A1114&lt;Notes!$B$5,"",IF(COUNTIFS(Release_Calendar!$A$2:$A$755,"NZ_CPI",Release_Calendar!$B$2:$B$755,$A1114)&gt;0,1,0))</f>
        <v/>
      </c>
      <c r="N1114" s="16" t="str">
        <f>IF($A1114&lt;Notes!$B$5,"",IF(COUNTIFS(Release_Calendar!$A$2:$A$755,"NZ_GDP",Release_Calendar!$B$2:$B$755,$A1114)&gt;0,1,0))</f>
        <v/>
      </c>
      <c r="O1114" s="16" t="str">
        <f>IF($A1114&lt;Notes!$B$5,"",IF(COUNTIFS(Release_Calendar!$A$2:$A$755,"NZ_LABOUR",Release_Calendar!$B$2:$B$755,$A1114)&gt;0,1,0))</f>
        <v/>
      </c>
      <c r="P1114" s="16">
        <f t="shared" si="4"/>
        <v>0</v>
      </c>
    </row>
    <row r="1115" ht="15.75" customHeight="1">
      <c r="A1115" s="14">
        <v>38085.0</v>
      </c>
      <c r="B1115" s="15">
        <v>1.88</v>
      </c>
      <c r="C1115" s="15"/>
      <c r="D1115" s="15">
        <v>5.45</v>
      </c>
      <c r="E1115" s="15"/>
      <c r="F1115" s="15" t="str">
        <f t="shared" si="1"/>
        <v/>
      </c>
      <c r="G1115" s="15">
        <f t="shared" si="2"/>
        <v>5.45</v>
      </c>
      <c r="H1115" s="16">
        <v>1.0</v>
      </c>
      <c r="I1115" s="15">
        <f t="shared" si="3"/>
        <v>3.57</v>
      </c>
      <c r="J1115" s="15">
        <v>16.26</v>
      </c>
      <c r="K1115" s="16">
        <f>IF(COUNTIFS(Release_Calendar!$A$2:$A$755,"US_CPI",Release_Calendar!$B$2:$B$755,$A1115)&gt;0,1,0)</f>
        <v>0</v>
      </c>
      <c r="L1115" s="16">
        <f>IF(COUNTIFS(Release_Calendar!$A$2:$A$755,"US_NFP",Release_Calendar!$B$2:$B$755,$A1115)&gt;0,1,0)</f>
        <v>0</v>
      </c>
      <c r="M1115" s="16" t="str">
        <f>IF($A1115&lt;Notes!$B$5,"",IF(COUNTIFS(Release_Calendar!$A$2:$A$755,"NZ_CPI",Release_Calendar!$B$2:$B$755,$A1115)&gt;0,1,0))</f>
        <v/>
      </c>
      <c r="N1115" s="16" t="str">
        <f>IF($A1115&lt;Notes!$B$5,"",IF(COUNTIFS(Release_Calendar!$A$2:$A$755,"NZ_GDP",Release_Calendar!$B$2:$B$755,$A1115)&gt;0,1,0))</f>
        <v/>
      </c>
      <c r="O1115" s="16" t="str">
        <f>IF($A1115&lt;Notes!$B$5,"",IF(COUNTIFS(Release_Calendar!$A$2:$A$755,"NZ_LABOUR",Release_Calendar!$B$2:$B$755,$A1115)&gt;0,1,0))</f>
        <v/>
      </c>
      <c r="P1115" s="16">
        <f t="shared" si="4"/>
        <v>0</v>
      </c>
    </row>
    <row r="1116" ht="15.75" customHeight="1">
      <c r="A1116" s="14">
        <v>38086.0</v>
      </c>
      <c r="B1116" s="15"/>
      <c r="C1116" s="15"/>
      <c r="D1116" s="15"/>
      <c r="E1116" s="15"/>
      <c r="F1116" s="15" t="str">
        <f t="shared" si="1"/>
        <v/>
      </c>
      <c r="G1116" s="15" t="str">
        <f t="shared" si="2"/>
        <v/>
      </c>
      <c r="H1116" s="16">
        <v>1.0</v>
      </c>
      <c r="I1116" s="15" t="str">
        <f t="shared" si="3"/>
        <v/>
      </c>
      <c r="J1116" s="15"/>
      <c r="K1116" s="16">
        <f>IF(COUNTIFS(Release_Calendar!$A$2:$A$755,"US_CPI",Release_Calendar!$B$2:$B$755,$A1116)&gt;0,1,0)</f>
        <v>0</v>
      </c>
      <c r="L1116" s="16">
        <f>IF(COUNTIFS(Release_Calendar!$A$2:$A$755,"US_NFP",Release_Calendar!$B$2:$B$755,$A1116)&gt;0,1,0)</f>
        <v>0</v>
      </c>
      <c r="M1116" s="16" t="str">
        <f>IF($A1116&lt;Notes!$B$5,"",IF(COUNTIFS(Release_Calendar!$A$2:$A$755,"NZ_CPI",Release_Calendar!$B$2:$B$755,$A1116)&gt;0,1,0))</f>
        <v/>
      </c>
      <c r="N1116" s="16" t="str">
        <f>IF($A1116&lt;Notes!$B$5,"",IF(COUNTIFS(Release_Calendar!$A$2:$A$755,"NZ_GDP",Release_Calendar!$B$2:$B$755,$A1116)&gt;0,1,0))</f>
        <v/>
      </c>
      <c r="O1116" s="16" t="str">
        <f>IF($A1116&lt;Notes!$B$5,"",IF(COUNTIFS(Release_Calendar!$A$2:$A$755,"NZ_LABOUR",Release_Calendar!$B$2:$B$755,$A1116)&gt;0,1,0))</f>
        <v/>
      </c>
      <c r="P1116" s="16">
        <f t="shared" si="4"/>
        <v>0</v>
      </c>
    </row>
    <row r="1117" ht="15.75" customHeight="1">
      <c r="A1117" s="14">
        <v>38089.0</v>
      </c>
      <c r="B1117" s="15">
        <v>1.91</v>
      </c>
      <c r="C1117" s="15"/>
      <c r="D1117" s="15"/>
      <c r="E1117" s="15"/>
      <c r="F1117" s="15" t="str">
        <f t="shared" si="1"/>
        <v/>
      </c>
      <c r="G1117" s="15" t="str">
        <f t="shared" si="2"/>
        <v/>
      </c>
      <c r="H1117" s="16">
        <v>1.0</v>
      </c>
      <c r="I1117" s="15" t="str">
        <f t="shared" si="3"/>
        <v/>
      </c>
      <c r="J1117" s="15">
        <v>15.28</v>
      </c>
      <c r="K1117" s="16">
        <f>IF(COUNTIFS(Release_Calendar!$A$2:$A$755,"US_CPI",Release_Calendar!$B$2:$B$755,$A1117)&gt;0,1,0)</f>
        <v>0</v>
      </c>
      <c r="L1117" s="16">
        <f>IF(COUNTIFS(Release_Calendar!$A$2:$A$755,"US_NFP",Release_Calendar!$B$2:$B$755,$A1117)&gt;0,1,0)</f>
        <v>0</v>
      </c>
      <c r="M1117" s="16" t="str">
        <f>IF($A1117&lt;Notes!$B$5,"",IF(COUNTIFS(Release_Calendar!$A$2:$A$755,"NZ_CPI",Release_Calendar!$B$2:$B$755,$A1117)&gt;0,1,0))</f>
        <v/>
      </c>
      <c r="N1117" s="16" t="str">
        <f>IF($A1117&lt;Notes!$B$5,"",IF(COUNTIFS(Release_Calendar!$A$2:$A$755,"NZ_GDP",Release_Calendar!$B$2:$B$755,$A1117)&gt;0,1,0))</f>
        <v/>
      </c>
      <c r="O1117" s="16" t="str">
        <f>IF($A1117&lt;Notes!$B$5,"",IF(COUNTIFS(Release_Calendar!$A$2:$A$755,"NZ_LABOUR",Release_Calendar!$B$2:$B$755,$A1117)&gt;0,1,0))</f>
        <v/>
      </c>
      <c r="P1117" s="16">
        <f t="shared" si="4"/>
        <v>0</v>
      </c>
    </row>
    <row r="1118" ht="15.75" customHeight="1">
      <c r="A1118" s="14">
        <v>38090.0</v>
      </c>
      <c r="B1118" s="15">
        <v>2.01</v>
      </c>
      <c r="C1118" s="15"/>
      <c r="D1118" s="15">
        <v>5.52</v>
      </c>
      <c r="E1118" s="15"/>
      <c r="F1118" s="15" t="str">
        <f t="shared" si="1"/>
        <v/>
      </c>
      <c r="G1118" s="15">
        <f t="shared" si="2"/>
        <v>5.52</v>
      </c>
      <c r="H1118" s="16">
        <v>1.0</v>
      </c>
      <c r="I1118" s="15">
        <f t="shared" si="3"/>
        <v>3.51</v>
      </c>
      <c r="J1118" s="15">
        <v>17.26</v>
      </c>
      <c r="K1118" s="16">
        <f>IF(COUNTIFS(Release_Calendar!$A$2:$A$755,"US_CPI",Release_Calendar!$B$2:$B$755,$A1118)&gt;0,1,0)</f>
        <v>0</v>
      </c>
      <c r="L1118" s="16">
        <f>IF(COUNTIFS(Release_Calendar!$A$2:$A$755,"US_NFP",Release_Calendar!$B$2:$B$755,$A1118)&gt;0,1,0)</f>
        <v>0</v>
      </c>
      <c r="M1118" s="16" t="str">
        <f>IF($A1118&lt;Notes!$B$5,"",IF(COUNTIFS(Release_Calendar!$A$2:$A$755,"NZ_CPI",Release_Calendar!$B$2:$B$755,$A1118)&gt;0,1,0))</f>
        <v/>
      </c>
      <c r="N1118" s="16" t="str">
        <f>IF($A1118&lt;Notes!$B$5,"",IF(COUNTIFS(Release_Calendar!$A$2:$A$755,"NZ_GDP",Release_Calendar!$B$2:$B$755,$A1118)&gt;0,1,0))</f>
        <v/>
      </c>
      <c r="O1118" s="16" t="str">
        <f>IF($A1118&lt;Notes!$B$5,"",IF(COUNTIFS(Release_Calendar!$A$2:$A$755,"NZ_LABOUR",Release_Calendar!$B$2:$B$755,$A1118)&gt;0,1,0))</f>
        <v/>
      </c>
      <c r="P1118" s="16">
        <f t="shared" si="4"/>
        <v>0</v>
      </c>
    </row>
    <row r="1119" ht="15.75" customHeight="1">
      <c r="A1119" s="14">
        <v>38091.0</v>
      </c>
      <c r="B1119" s="15">
        <v>2.13</v>
      </c>
      <c r="C1119" s="15"/>
      <c r="D1119" s="15">
        <v>5.54</v>
      </c>
      <c r="E1119" s="15"/>
      <c r="F1119" s="15" t="str">
        <f t="shared" si="1"/>
        <v/>
      </c>
      <c r="G1119" s="15">
        <f t="shared" si="2"/>
        <v>5.54</v>
      </c>
      <c r="H1119" s="16">
        <v>1.0</v>
      </c>
      <c r="I1119" s="15">
        <f t="shared" si="3"/>
        <v>3.41</v>
      </c>
      <c r="J1119" s="15">
        <v>15.62</v>
      </c>
      <c r="K1119" s="16">
        <f>IF(COUNTIFS(Release_Calendar!$A$2:$A$755,"US_CPI",Release_Calendar!$B$2:$B$755,$A1119)&gt;0,1,0)</f>
        <v>1</v>
      </c>
      <c r="L1119" s="16">
        <f>IF(COUNTIFS(Release_Calendar!$A$2:$A$755,"US_NFP",Release_Calendar!$B$2:$B$755,$A1119)&gt;0,1,0)</f>
        <v>0</v>
      </c>
      <c r="M1119" s="16" t="str">
        <f>IF($A1119&lt;Notes!$B$5,"",IF(COUNTIFS(Release_Calendar!$A$2:$A$755,"NZ_CPI",Release_Calendar!$B$2:$B$755,$A1119)&gt;0,1,0))</f>
        <v/>
      </c>
      <c r="N1119" s="16" t="str">
        <f>IF($A1119&lt;Notes!$B$5,"",IF(COUNTIFS(Release_Calendar!$A$2:$A$755,"NZ_GDP",Release_Calendar!$B$2:$B$755,$A1119)&gt;0,1,0))</f>
        <v/>
      </c>
      <c r="O1119" s="16" t="str">
        <f>IF($A1119&lt;Notes!$B$5,"",IF(COUNTIFS(Release_Calendar!$A$2:$A$755,"NZ_LABOUR",Release_Calendar!$B$2:$B$755,$A1119)&gt;0,1,0))</f>
        <v/>
      </c>
      <c r="P1119" s="16">
        <f t="shared" si="4"/>
        <v>1</v>
      </c>
    </row>
    <row r="1120" ht="15.75" customHeight="1">
      <c r="A1120" s="14">
        <v>38092.0</v>
      </c>
      <c r="B1120" s="15">
        <v>2.1</v>
      </c>
      <c r="C1120" s="15"/>
      <c r="D1120" s="15">
        <v>5.54</v>
      </c>
      <c r="E1120" s="15"/>
      <c r="F1120" s="15" t="str">
        <f t="shared" si="1"/>
        <v/>
      </c>
      <c r="G1120" s="15">
        <f t="shared" si="2"/>
        <v>5.54</v>
      </c>
      <c r="H1120" s="16">
        <v>1.0</v>
      </c>
      <c r="I1120" s="15">
        <f t="shared" si="3"/>
        <v>3.44</v>
      </c>
      <c r="J1120" s="15">
        <v>15.74</v>
      </c>
      <c r="K1120" s="16">
        <f>IF(COUNTIFS(Release_Calendar!$A$2:$A$755,"US_CPI",Release_Calendar!$B$2:$B$755,$A1120)&gt;0,1,0)</f>
        <v>0</v>
      </c>
      <c r="L1120" s="16">
        <f>IF(COUNTIFS(Release_Calendar!$A$2:$A$755,"US_NFP",Release_Calendar!$B$2:$B$755,$A1120)&gt;0,1,0)</f>
        <v>0</v>
      </c>
      <c r="M1120" s="16" t="str">
        <f>IF($A1120&lt;Notes!$B$5,"",IF(COUNTIFS(Release_Calendar!$A$2:$A$755,"NZ_CPI",Release_Calendar!$B$2:$B$755,$A1120)&gt;0,1,0))</f>
        <v/>
      </c>
      <c r="N1120" s="16" t="str">
        <f>IF($A1120&lt;Notes!$B$5,"",IF(COUNTIFS(Release_Calendar!$A$2:$A$755,"NZ_GDP",Release_Calendar!$B$2:$B$755,$A1120)&gt;0,1,0))</f>
        <v/>
      </c>
      <c r="O1120" s="16" t="str">
        <f>IF($A1120&lt;Notes!$B$5,"",IF(COUNTIFS(Release_Calendar!$A$2:$A$755,"NZ_LABOUR",Release_Calendar!$B$2:$B$755,$A1120)&gt;0,1,0))</f>
        <v/>
      </c>
      <c r="P1120" s="16">
        <f t="shared" si="4"/>
        <v>0</v>
      </c>
    </row>
    <row r="1121" ht="15.75" customHeight="1">
      <c r="A1121" s="14">
        <v>38093.0</v>
      </c>
      <c r="B1121" s="15">
        <v>2.03</v>
      </c>
      <c r="C1121" s="15"/>
      <c r="D1121" s="15">
        <v>5.56</v>
      </c>
      <c r="E1121" s="15"/>
      <c r="F1121" s="15" t="str">
        <f t="shared" si="1"/>
        <v/>
      </c>
      <c r="G1121" s="15">
        <f t="shared" si="2"/>
        <v>5.56</v>
      </c>
      <c r="H1121" s="16">
        <v>1.0</v>
      </c>
      <c r="I1121" s="15">
        <f t="shared" si="3"/>
        <v>3.53</v>
      </c>
      <c r="J1121" s="15">
        <v>14.94</v>
      </c>
      <c r="K1121" s="16">
        <f>IF(COUNTIFS(Release_Calendar!$A$2:$A$755,"US_CPI",Release_Calendar!$B$2:$B$755,$A1121)&gt;0,1,0)</f>
        <v>0</v>
      </c>
      <c r="L1121" s="16">
        <f>IF(COUNTIFS(Release_Calendar!$A$2:$A$755,"US_NFP",Release_Calendar!$B$2:$B$755,$A1121)&gt;0,1,0)</f>
        <v>0</v>
      </c>
      <c r="M1121" s="16" t="str">
        <f>IF($A1121&lt;Notes!$B$5,"",IF(COUNTIFS(Release_Calendar!$A$2:$A$755,"NZ_CPI",Release_Calendar!$B$2:$B$755,$A1121)&gt;0,1,0))</f>
        <v/>
      </c>
      <c r="N1121" s="16" t="str">
        <f>IF($A1121&lt;Notes!$B$5,"",IF(COUNTIFS(Release_Calendar!$A$2:$A$755,"NZ_GDP",Release_Calendar!$B$2:$B$755,$A1121)&gt;0,1,0))</f>
        <v/>
      </c>
      <c r="O1121" s="16" t="str">
        <f>IF($A1121&lt;Notes!$B$5,"",IF(COUNTIFS(Release_Calendar!$A$2:$A$755,"NZ_LABOUR",Release_Calendar!$B$2:$B$755,$A1121)&gt;0,1,0))</f>
        <v/>
      </c>
      <c r="P1121" s="16">
        <f t="shared" si="4"/>
        <v>0</v>
      </c>
    </row>
    <row r="1122" ht="15.75" customHeight="1">
      <c r="A1122" s="14">
        <v>38096.0</v>
      </c>
      <c r="B1122" s="15">
        <v>2.07</v>
      </c>
      <c r="C1122" s="15"/>
      <c r="D1122" s="15">
        <v>5.5</v>
      </c>
      <c r="E1122" s="15"/>
      <c r="F1122" s="15" t="str">
        <f t="shared" si="1"/>
        <v/>
      </c>
      <c r="G1122" s="15">
        <f t="shared" si="2"/>
        <v>5.5</v>
      </c>
      <c r="H1122" s="16">
        <v>1.0</v>
      </c>
      <c r="I1122" s="15">
        <f t="shared" si="3"/>
        <v>3.43</v>
      </c>
      <c r="J1122" s="15">
        <v>15.42</v>
      </c>
      <c r="K1122" s="16">
        <f>IF(COUNTIFS(Release_Calendar!$A$2:$A$755,"US_CPI",Release_Calendar!$B$2:$B$755,$A1122)&gt;0,1,0)</f>
        <v>0</v>
      </c>
      <c r="L1122" s="16">
        <f>IF(COUNTIFS(Release_Calendar!$A$2:$A$755,"US_NFP",Release_Calendar!$B$2:$B$755,$A1122)&gt;0,1,0)</f>
        <v>0</v>
      </c>
      <c r="M1122" s="16" t="str">
        <f>IF($A1122&lt;Notes!$B$5,"",IF(COUNTIFS(Release_Calendar!$A$2:$A$755,"NZ_CPI",Release_Calendar!$B$2:$B$755,$A1122)&gt;0,1,0))</f>
        <v/>
      </c>
      <c r="N1122" s="16" t="str">
        <f>IF($A1122&lt;Notes!$B$5,"",IF(COUNTIFS(Release_Calendar!$A$2:$A$755,"NZ_GDP",Release_Calendar!$B$2:$B$755,$A1122)&gt;0,1,0))</f>
        <v/>
      </c>
      <c r="O1122" s="16" t="str">
        <f>IF($A1122&lt;Notes!$B$5,"",IF(COUNTIFS(Release_Calendar!$A$2:$A$755,"NZ_LABOUR",Release_Calendar!$B$2:$B$755,$A1122)&gt;0,1,0))</f>
        <v/>
      </c>
      <c r="P1122" s="16">
        <f t="shared" si="4"/>
        <v>0</v>
      </c>
    </row>
    <row r="1123" ht="15.75" customHeight="1">
      <c r="A1123" s="14">
        <v>38097.0</v>
      </c>
      <c r="B1123" s="15">
        <v>2.11</v>
      </c>
      <c r="C1123" s="15"/>
      <c r="D1123" s="15">
        <v>5.55</v>
      </c>
      <c r="E1123" s="15"/>
      <c r="F1123" s="15" t="str">
        <f t="shared" si="1"/>
        <v/>
      </c>
      <c r="G1123" s="15">
        <f t="shared" si="2"/>
        <v>5.55</v>
      </c>
      <c r="H1123" s="16">
        <v>1.0</v>
      </c>
      <c r="I1123" s="15">
        <f t="shared" si="3"/>
        <v>3.44</v>
      </c>
      <c r="J1123" s="15">
        <v>16.67</v>
      </c>
      <c r="K1123" s="16">
        <f>IF(COUNTIFS(Release_Calendar!$A$2:$A$755,"US_CPI",Release_Calendar!$B$2:$B$755,$A1123)&gt;0,1,0)</f>
        <v>0</v>
      </c>
      <c r="L1123" s="16">
        <f>IF(COUNTIFS(Release_Calendar!$A$2:$A$755,"US_NFP",Release_Calendar!$B$2:$B$755,$A1123)&gt;0,1,0)</f>
        <v>0</v>
      </c>
      <c r="M1123" s="16" t="str">
        <f>IF($A1123&lt;Notes!$B$5,"",IF(COUNTIFS(Release_Calendar!$A$2:$A$755,"NZ_CPI",Release_Calendar!$B$2:$B$755,$A1123)&gt;0,1,0))</f>
        <v/>
      </c>
      <c r="N1123" s="16" t="str">
        <f>IF($A1123&lt;Notes!$B$5,"",IF(COUNTIFS(Release_Calendar!$A$2:$A$755,"NZ_GDP",Release_Calendar!$B$2:$B$755,$A1123)&gt;0,1,0))</f>
        <v/>
      </c>
      <c r="O1123" s="16" t="str">
        <f>IF($A1123&lt;Notes!$B$5,"",IF(COUNTIFS(Release_Calendar!$A$2:$A$755,"NZ_LABOUR",Release_Calendar!$B$2:$B$755,$A1123)&gt;0,1,0))</f>
        <v/>
      </c>
      <c r="P1123" s="16">
        <f t="shared" si="4"/>
        <v>0</v>
      </c>
    </row>
    <row r="1124" ht="15.75" customHeight="1">
      <c r="A1124" s="14">
        <v>38098.0</v>
      </c>
      <c r="B1124" s="15">
        <v>2.22</v>
      </c>
      <c r="C1124" s="15"/>
      <c r="D1124" s="15">
        <v>5.59</v>
      </c>
      <c r="E1124" s="15"/>
      <c r="F1124" s="15" t="str">
        <f t="shared" si="1"/>
        <v/>
      </c>
      <c r="G1124" s="15">
        <f t="shared" si="2"/>
        <v>5.59</v>
      </c>
      <c r="H1124" s="16">
        <v>1.0</v>
      </c>
      <c r="I1124" s="15">
        <f t="shared" si="3"/>
        <v>3.37</v>
      </c>
      <c r="J1124" s="15">
        <v>15.6</v>
      </c>
      <c r="K1124" s="16">
        <f>IF(COUNTIFS(Release_Calendar!$A$2:$A$755,"US_CPI",Release_Calendar!$B$2:$B$755,$A1124)&gt;0,1,0)</f>
        <v>0</v>
      </c>
      <c r="L1124" s="16">
        <f>IF(COUNTIFS(Release_Calendar!$A$2:$A$755,"US_NFP",Release_Calendar!$B$2:$B$755,$A1124)&gt;0,1,0)</f>
        <v>0</v>
      </c>
      <c r="M1124" s="16" t="str">
        <f>IF($A1124&lt;Notes!$B$5,"",IF(COUNTIFS(Release_Calendar!$A$2:$A$755,"NZ_CPI",Release_Calendar!$B$2:$B$755,$A1124)&gt;0,1,0))</f>
        <v/>
      </c>
      <c r="N1124" s="16" t="str">
        <f>IF($A1124&lt;Notes!$B$5,"",IF(COUNTIFS(Release_Calendar!$A$2:$A$755,"NZ_GDP",Release_Calendar!$B$2:$B$755,$A1124)&gt;0,1,0))</f>
        <v/>
      </c>
      <c r="O1124" s="16" t="str">
        <f>IF($A1124&lt;Notes!$B$5,"",IF(COUNTIFS(Release_Calendar!$A$2:$A$755,"NZ_LABOUR",Release_Calendar!$B$2:$B$755,$A1124)&gt;0,1,0))</f>
        <v/>
      </c>
      <c r="P1124" s="16">
        <f t="shared" si="4"/>
        <v>0</v>
      </c>
    </row>
    <row r="1125" ht="15.75" customHeight="1">
      <c r="A1125" s="14">
        <v>38099.0</v>
      </c>
      <c r="B1125" s="15">
        <v>2.15</v>
      </c>
      <c r="C1125" s="15"/>
      <c r="D1125" s="15">
        <v>5.58</v>
      </c>
      <c r="E1125" s="15"/>
      <c r="F1125" s="15" t="str">
        <f t="shared" si="1"/>
        <v/>
      </c>
      <c r="G1125" s="15">
        <f t="shared" si="2"/>
        <v>5.58</v>
      </c>
      <c r="H1125" s="16">
        <v>1.0</v>
      </c>
      <c r="I1125" s="15">
        <f t="shared" si="3"/>
        <v>3.43</v>
      </c>
      <c r="J1125" s="15">
        <v>14.61</v>
      </c>
      <c r="K1125" s="16">
        <f>IF(COUNTIFS(Release_Calendar!$A$2:$A$755,"US_CPI",Release_Calendar!$B$2:$B$755,$A1125)&gt;0,1,0)</f>
        <v>0</v>
      </c>
      <c r="L1125" s="16">
        <f>IF(COUNTIFS(Release_Calendar!$A$2:$A$755,"US_NFP",Release_Calendar!$B$2:$B$755,$A1125)&gt;0,1,0)</f>
        <v>0</v>
      </c>
      <c r="M1125" s="16" t="str">
        <f>IF($A1125&lt;Notes!$B$5,"",IF(COUNTIFS(Release_Calendar!$A$2:$A$755,"NZ_CPI",Release_Calendar!$B$2:$B$755,$A1125)&gt;0,1,0))</f>
        <v/>
      </c>
      <c r="N1125" s="16" t="str">
        <f>IF($A1125&lt;Notes!$B$5,"",IF(COUNTIFS(Release_Calendar!$A$2:$A$755,"NZ_GDP",Release_Calendar!$B$2:$B$755,$A1125)&gt;0,1,0))</f>
        <v/>
      </c>
      <c r="O1125" s="16" t="str">
        <f>IF($A1125&lt;Notes!$B$5,"",IF(COUNTIFS(Release_Calendar!$A$2:$A$755,"NZ_LABOUR",Release_Calendar!$B$2:$B$755,$A1125)&gt;0,1,0))</f>
        <v/>
      </c>
      <c r="P1125" s="16">
        <f t="shared" si="4"/>
        <v>0</v>
      </c>
    </row>
    <row r="1126" ht="15.75" customHeight="1">
      <c r="A1126" s="14">
        <v>38100.0</v>
      </c>
      <c r="B1126" s="15">
        <v>2.29</v>
      </c>
      <c r="C1126" s="15"/>
      <c r="D1126" s="15">
        <v>5.58</v>
      </c>
      <c r="E1126" s="15"/>
      <c r="F1126" s="15" t="str">
        <f t="shared" si="1"/>
        <v/>
      </c>
      <c r="G1126" s="15">
        <f t="shared" si="2"/>
        <v>5.58</v>
      </c>
      <c r="H1126" s="16">
        <v>1.0</v>
      </c>
      <c r="I1126" s="15">
        <f t="shared" si="3"/>
        <v>3.29</v>
      </c>
      <c r="J1126" s="15">
        <v>14.01</v>
      </c>
      <c r="K1126" s="16">
        <f>IF(COUNTIFS(Release_Calendar!$A$2:$A$755,"US_CPI",Release_Calendar!$B$2:$B$755,$A1126)&gt;0,1,0)</f>
        <v>0</v>
      </c>
      <c r="L1126" s="16">
        <f>IF(COUNTIFS(Release_Calendar!$A$2:$A$755,"US_NFP",Release_Calendar!$B$2:$B$755,$A1126)&gt;0,1,0)</f>
        <v>0</v>
      </c>
      <c r="M1126" s="16" t="str">
        <f>IF($A1126&lt;Notes!$B$5,"",IF(COUNTIFS(Release_Calendar!$A$2:$A$755,"NZ_CPI",Release_Calendar!$B$2:$B$755,$A1126)&gt;0,1,0))</f>
        <v/>
      </c>
      <c r="N1126" s="16" t="str">
        <f>IF($A1126&lt;Notes!$B$5,"",IF(COUNTIFS(Release_Calendar!$A$2:$A$755,"NZ_GDP",Release_Calendar!$B$2:$B$755,$A1126)&gt;0,1,0))</f>
        <v/>
      </c>
      <c r="O1126" s="16" t="str">
        <f>IF($A1126&lt;Notes!$B$5,"",IF(COUNTIFS(Release_Calendar!$A$2:$A$755,"NZ_LABOUR",Release_Calendar!$B$2:$B$755,$A1126)&gt;0,1,0))</f>
        <v/>
      </c>
      <c r="P1126" s="16">
        <f t="shared" si="4"/>
        <v>0</v>
      </c>
    </row>
    <row r="1127" ht="15.75" customHeight="1">
      <c r="A1127" s="14">
        <v>38103.0</v>
      </c>
      <c r="B1127" s="15">
        <v>2.28</v>
      </c>
      <c r="C1127" s="15"/>
      <c r="D1127" s="15">
        <v>5.62</v>
      </c>
      <c r="E1127" s="15"/>
      <c r="F1127" s="15" t="str">
        <f t="shared" si="1"/>
        <v/>
      </c>
      <c r="G1127" s="15">
        <f t="shared" si="2"/>
        <v>5.62</v>
      </c>
      <c r="H1127" s="16">
        <v>1.0</v>
      </c>
      <c r="I1127" s="15">
        <f t="shared" si="3"/>
        <v>3.34</v>
      </c>
      <c r="J1127" s="15">
        <v>14.77</v>
      </c>
      <c r="K1127" s="16">
        <f>IF(COUNTIFS(Release_Calendar!$A$2:$A$755,"US_CPI",Release_Calendar!$B$2:$B$755,$A1127)&gt;0,1,0)</f>
        <v>0</v>
      </c>
      <c r="L1127" s="16">
        <f>IF(COUNTIFS(Release_Calendar!$A$2:$A$755,"US_NFP",Release_Calendar!$B$2:$B$755,$A1127)&gt;0,1,0)</f>
        <v>0</v>
      </c>
      <c r="M1127" s="16" t="str">
        <f>IF($A1127&lt;Notes!$B$5,"",IF(COUNTIFS(Release_Calendar!$A$2:$A$755,"NZ_CPI",Release_Calendar!$B$2:$B$755,$A1127)&gt;0,1,0))</f>
        <v/>
      </c>
      <c r="N1127" s="16" t="str">
        <f>IF($A1127&lt;Notes!$B$5,"",IF(COUNTIFS(Release_Calendar!$A$2:$A$755,"NZ_GDP",Release_Calendar!$B$2:$B$755,$A1127)&gt;0,1,0))</f>
        <v/>
      </c>
      <c r="O1127" s="16" t="str">
        <f>IF($A1127&lt;Notes!$B$5,"",IF(COUNTIFS(Release_Calendar!$A$2:$A$755,"NZ_LABOUR",Release_Calendar!$B$2:$B$755,$A1127)&gt;0,1,0))</f>
        <v/>
      </c>
      <c r="P1127" s="16">
        <f t="shared" si="4"/>
        <v>0</v>
      </c>
    </row>
    <row r="1128" ht="15.75" customHeight="1">
      <c r="A1128" s="14">
        <v>38104.0</v>
      </c>
      <c r="B1128" s="15">
        <v>2.21</v>
      </c>
      <c r="C1128" s="15"/>
      <c r="D1128" s="15">
        <v>5.61</v>
      </c>
      <c r="E1128" s="15"/>
      <c r="F1128" s="15" t="str">
        <f t="shared" si="1"/>
        <v/>
      </c>
      <c r="G1128" s="15">
        <f t="shared" si="2"/>
        <v>5.61</v>
      </c>
      <c r="H1128" s="16">
        <v>1.0</v>
      </c>
      <c r="I1128" s="15">
        <f t="shared" si="3"/>
        <v>3.4</v>
      </c>
      <c r="J1128" s="15">
        <v>15.07</v>
      </c>
      <c r="K1128" s="16">
        <f>IF(COUNTIFS(Release_Calendar!$A$2:$A$755,"US_CPI",Release_Calendar!$B$2:$B$755,$A1128)&gt;0,1,0)</f>
        <v>0</v>
      </c>
      <c r="L1128" s="16">
        <f>IF(COUNTIFS(Release_Calendar!$A$2:$A$755,"US_NFP",Release_Calendar!$B$2:$B$755,$A1128)&gt;0,1,0)</f>
        <v>0</v>
      </c>
      <c r="M1128" s="16" t="str">
        <f>IF($A1128&lt;Notes!$B$5,"",IF(COUNTIFS(Release_Calendar!$A$2:$A$755,"NZ_CPI",Release_Calendar!$B$2:$B$755,$A1128)&gt;0,1,0))</f>
        <v/>
      </c>
      <c r="N1128" s="16" t="str">
        <f>IF($A1128&lt;Notes!$B$5,"",IF(COUNTIFS(Release_Calendar!$A$2:$A$755,"NZ_GDP",Release_Calendar!$B$2:$B$755,$A1128)&gt;0,1,0))</f>
        <v/>
      </c>
      <c r="O1128" s="16" t="str">
        <f>IF($A1128&lt;Notes!$B$5,"",IF(COUNTIFS(Release_Calendar!$A$2:$A$755,"NZ_LABOUR",Release_Calendar!$B$2:$B$755,$A1128)&gt;0,1,0))</f>
        <v/>
      </c>
      <c r="P1128" s="16">
        <f t="shared" si="4"/>
        <v>0</v>
      </c>
    </row>
    <row r="1129" ht="15.75" customHeight="1">
      <c r="A1129" s="14">
        <v>38105.0</v>
      </c>
      <c r="B1129" s="15">
        <v>2.3</v>
      </c>
      <c r="C1129" s="15"/>
      <c r="D1129" s="15">
        <v>5.58</v>
      </c>
      <c r="E1129" s="15"/>
      <c r="F1129" s="15" t="str">
        <f t="shared" si="1"/>
        <v/>
      </c>
      <c r="G1129" s="15">
        <f t="shared" si="2"/>
        <v>5.58</v>
      </c>
      <c r="H1129" s="16">
        <v>1.0</v>
      </c>
      <c r="I1129" s="15">
        <f t="shared" si="3"/>
        <v>3.28</v>
      </c>
      <c r="J1129" s="15">
        <v>16.29</v>
      </c>
      <c r="K1129" s="16">
        <f>IF(COUNTIFS(Release_Calendar!$A$2:$A$755,"US_CPI",Release_Calendar!$B$2:$B$755,$A1129)&gt;0,1,0)</f>
        <v>0</v>
      </c>
      <c r="L1129" s="16">
        <f>IF(COUNTIFS(Release_Calendar!$A$2:$A$755,"US_NFP",Release_Calendar!$B$2:$B$755,$A1129)&gt;0,1,0)</f>
        <v>0</v>
      </c>
      <c r="M1129" s="16" t="str">
        <f>IF($A1129&lt;Notes!$B$5,"",IF(COUNTIFS(Release_Calendar!$A$2:$A$755,"NZ_CPI",Release_Calendar!$B$2:$B$755,$A1129)&gt;0,1,0))</f>
        <v/>
      </c>
      <c r="N1129" s="16" t="str">
        <f>IF($A1129&lt;Notes!$B$5,"",IF(COUNTIFS(Release_Calendar!$A$2:$A$755,"NZ_GDP",Release_Calendar!$B$2:$B$755,$A1129)&gt;0,1,0))</f>
        <v/>
      </c>
      <c r="O1129" s="16" t="str">
        <f>IF($A1129&lt;Notes!$B$5,"",IF(COUNTIFS(Release_Calendar!$A$2:$A$755,"NZ_LABOUR",Release_Calendar!$B$2:$B$755,$A1129)&gt;0,1,0))</f>
        <v/>
      </c>
      <c r="P1129" s="16">
        <f t="shared" si="4"/>
        <v>0</v>
      </c>
    </row>
    <row r="1130" ht="15.75" customHeight="1">
      <c r="A1130" s="14">
        <v>38106.0</v>
      </c>
      <c r="B1130" s="15">
        <v>2.34</v>
      </c>
      <c r="C1130" s="15"/>
      <c r="D1130" s="15">
        <v>5.76</v>
      </c>
      <c r="E1130" s="15"/>
      <c r="F1130" s="15" t="str">
        <f t="shared" si="1"/>
        <v/>
      </c>
      <c r="G1130" s="15">
        <f t="shared" si="2"/>
        <v>5.76</v>
      </c>
      <c r="H1130" s="16">
        <v>1.0</v>
      </c>
      <c r="I1130" s="15">
        <f t="shared" si="3"/>
        <v>3.42</v>
      </c>
      <c r="J1130" s="15">
        <v>16.6</v>
      </c>
      <c r="K1130" s="16">
        <f>IF(COUNTIFS(Release_Calendar!$A$2:$A$755,"US_CPI",Release_Calendar!$B$2:$B$755,$A1130)&gt;0,1,0)</f>
        <v>0</v>
      </c>
      <c r="L1130" s="16">
        <f>IF(COUNTIFS(Release_Calendar!$A$2:$A$755,"US_NFP",Release_Calendar!$B$2:$B$755,$A1130)&gt;0,1,0)</f>
        <v>0</v>
      </c>
      <c r="M1130" s="16" t="str">
        <f>IF($A1130&lt;Notes!$B$5,"",IF(COUNTIFS(Release_Calendar!$A$2:$A$755,"NZ_CPI",Release_Calendar!$B$2:$B$755,$A1130)&gt;0,1,0))</f>
        <v/>
      </c>
      <c r="N1130" s="16" t="str">
        <f>IF($A1130&lt;Notes!$B$5,"",IF(COUNTIFS(Release_Calendar!$A$2:$A$755,"NZ_GDP",Release_Calendar!$B$2:$B$755,$A1130)&gt;0,1,0))</f>
        <v/>
      </c>
      <c r="O1130" s="16" t="str">
        <f>IF($A1130&lt;Notes!$B$5,"",IF(COUNTIFS(Release_Calendar!$A$2:$A$755,"NZ_LABOUR",Release_Calendar!$B$2:$B$755,$A1130)&gt;0,1,0))</f>
        <v/>
      </c>
      <c r="P1130" s="16">
        <f t="shared" si="4"/>
        <v>0</v>
      </c>
    </row>
    <row r="1131" ht="15.75" customHeight="1">
      <c r="A1131" s="14">
        <v>38107.0</v>
      </c>
      <c r="B1131" s="15">
        <v>2.31</v>
      </c>
      <c r="C1131" s="15"/>
      <c r="D1131" s="15">
        <v>5.72</v>
      </c>
      <c r="E1131" s="15"/>
      <c r="F1131" s="15" t="str">
        <f t="shared" si="1"/>
        <v/>
      </c>
      <c r="G1131" s="15">
        <f t="shared" si="2"/>
        <v>5.72</v>
      </c>
      <c r="H1131" s="16">
        <v>1.0</v>
      </c>
      <c r="I1131" s="15">
        <f t="shared" si="3"/>
        <v>3.41</v>
      </c>
      <c r="J1131" s="15">
        <v>17.19</v>
      </c>
      <c r="K1131" s="16">
        <f>IF(COUNTIFS(Release_Calendar!$A$2:$A$755,"US_CPI",Release_Calendar!$B$2:$B$755,$A1131)&gt;0,1,0)</f>
        <v>0</v>
      </c>
      <c r="L1131" s="16">
        <f>IF(COUNTIFS(Release_Calendar!$A$2:$A$755,"US_NFP",Release_Calendar!$B$2:$B$755,$A1131)&gt;0,1,0)</f>
        <v>0</v>
      </c>
      <c r="M1131" s="16" t="str">
        <f>IF($A1131&lt;Notes!$B$5,"",IF(COUNTIFS(Release_Calendar!$A$2:$A$755,"NZ_CPI",Release_Calendar!$B$2:$B$755,$A1131)&gt;0,1,0))</f>
        <v/>
      </c>
      <c r="N1131" s="16" t="str">
        <f>IF($A1131&lt;Notes!$B$5,"",IF(COUNTIFS(Release_Calendar!$A$2:$A$755,"NZ_GDP",Release_Calendar!$B$2:$B$755,$A1131)&gt;0,1,0))</f>
        <v/>
      </c>
      <c r="O1131" s="16" t="str">
        <f>IF($A1131&lt;Notes!$B$5,"",IF(COUNTIFS(Release_Calendar!$A$2:$A$755,"NZ_LABOUR",Release_Calendar!$B$2:$B$755,$A1131)&gt;0,1,0))</f>
        <v/>
      </c>
      <c r="P1131" s="16">
        <f t="shared" si="4"/>
        <v>0</v>
      </c>
    </row>
    <row r="1132" ht="15.75" customHeight="1">
      <c r="A1132" s="14">
        <v>38110.0</v>
      </c>
      <c r="B1132" s="15">
        <v>2.34</v>
      </c>
      <c r="C1132" s="15"/>
      <c r="D1132" s="15">
        <v>5.71</v>
      </c>
      <c r="E1132" s="15"/>
      <c r="F1132" s="15" t="str">
        <f t="shared" si="1"/>
        <v/>
      </c>
      <c r="G1132" s="15">
        <f t="shared" si="2"/>
        <v>5.71</v>
      </c>
      <c r="H1132" s="16">
        <v>1.0</v>
      </c>
      <c r="I1132" s="15">
        <f t="shared" si="3"/>
        <v>3.37</v>
      </c>
      <c r="J1132" s="15">
        <v>16.62</v>
      </c>
      <c r="K1132" s="16">
        <f>IF(COUNTIFS(Release_Calendar!$A$2:$A$755,"US_CPI",Release_Calendar!$B$2:$B$755,$A1132)&gt;0,1,0)</f>
        <v>0</v>
      </c>
      <c r="L1132" s="16">
        <f>IF(COUNTIFS(Release_Calendar!$A$2:$A$755,"US_NFP",Release_Calendar!$B$2:$B$755,$A1132)&gt;0,1,0)</f>
        <v>0</v>
      </c>
      <c r="M1132" s="16" t="str">
        <f>IF($A1132&lt;Notes!$B$5,"",IF(COUNTIFS(Release_Calendar!$A$2:$A$755,"NZ_CPI",Release_Calendar!$B$2:$B$755,$A1132)&gt;0,1,0))</f>
        <v/>
      </c>
      <c r="N1132" s="16" t="str">
        <f>IF($A1132&lt;Notes!$B$5,"",IF(COUNTIFS(Release_Calendar!$A$2:$A$755,"NZ_GDP",Release_Calendar!$B$2:$B$755,$A1132)&gt;0,1,0))</f>
        <v/>
      </c>
      <c r="O1132" s="16" t="str">
        <f>IF($A1132&lt;Notes!$B$5,"",IF(COUNTIFS(Release_Calendar!$A$2:$A$755,"NZ_LABOUR",Release_Calendar!$B$2:$B$755,$A1132)&gt;0,1,0))</f>
        <v/>
      </c>
      <c r="P1132" s="16">
        <f t="shared" si="4"/>
        <v>0</v>
      </c>
    </row>
    <row r="1133" ht="15.75" customHeight="1">
      <c r="A1133" s="14">
        <v>38111.0</v>
      </c>
      <c r="B1133" s="15">
        <v>2.32</v>
      </c>
      <c r="C1133" s="15"/>
      <c r="D1133" s="15">
        <v>5.72</v>
      </c>
      <c r="E1133" s="15"/>
      <c r="F1133" s="15" t="str">
        <f t="shared" si="1"/>
        <v/>
      </c>
      <c r="G1133" s="15">
        <f t="shared" si="2"/>
        <v>5.72</v>
      </c>
      <c r="H1133" s="16">
        <v>1.0</v>
      </c>
      <c r="I1133" s="15">
        <f t="shared" si="3"/>
        <v>3.4</v>
      </c>
      <c r="J1133" s="15">
        <v>16.55</v>
      </c>
      <c r="K1133" s="16">
        <f>IF(COUNTIFS(Release_Calendar!$A$2:$A$755,"US_CPI",Release_Calendar!$B$2:$B$755,$A1133)&gt;0,1,0)</f>
        <v>0</v>
      </c>
      <c r="L1133" s="16">
        <f>IF(COUNTIFS(Release_Calendar!$A$2:$A$755,"US_NFP",Release_Calendar!$B$2:$B$755,$A1133)&gt;0,1,0)</f>
        <v>0</v>
      </c>
      <c r="M1133" s="16" t="str">
        <f>IF($A1133&lt;Notes!$B$5,"",IF(COUNTIFS(Release_Calendar!$A$2:$A$755,"NZ_CPI",Release_Calendar!$B$2:$B$755,$A1133)&gt;0,1,0))</f>
        <v/>
      </c>
      <c r="N1133" s="16" t="str">
        <f>IF($A1133&lt;Notes!$B$5,"",IF(COUNTIFS(Release_Calendar!$A$2:$A$755,"NZ_GDP",Release_Calendar!$B$2:$B$755,$A1133)&gt;0,1,0))</f>
        <v/>
      </c>
      <c r="O1133" s="16" t="str">
        <f>IF($A1133&lt;Notes!$B$5,"",IF(COUNTIFS(Release_Calendar!$A$2:$A$755,"NZ_LABOUR",Release_Calendar!$B$2:$B$755,$A1133)&gt;0,1,0))</f>
        <v/>
      </c>
      <c r="P1133" s="16">
        <f t="shared" si="4"/>
        <v>0</v>
      </c>
    </row>
    <row r="1134" ht="15.75" customHeight="1">
      <c r="A1134" s="14">
        <v>38112.0</v>
      </c>
      <c r="B1134" s="15">
        <v>2.34</v>
      </c>
      <c r="C1134" s="15"/>
      <c r="D1134" s="15">
        <v>5.75</v>
      </c>
      <c r="E1134" s="15"/>
      <c r="F1134" s="15" t="str">
        <f t="shared" si="1"/>
        <v/>
      </c>
      <c r="G1134" s="15">
        <f t="shared" si="2"/>
        <v>5.75</v>
      </c>
      <c r="H1134" s="16">
        <v>1.0</v>
      </c>
      <c r="I1134" s="15">
        <f t="shared" si="3"/>
        <v>3.41</v>
      </c>
      <c r="J1134" s="15">
        <v>15.77</v>
      </c>
      <c r="K1134" s="16">
        <f>IF(COUNTIFS(Release_Calendar!$A$2:$A$755,"US_CPI",Release_Calendar!$B$2:$B$755,$A1134)&gt;0,1,0)</f>
        <v>0</v>
      </c>
      <c r="L1134" s="16">
        <f>IF(COUNTIFS(Release_Calendar!$A$2:$A$755,"US_NFP",Release_Calendar!$B$2:$B$755,$A1134)&gt;0,1,0)</f>
        <v>0</v>
      </c>
      <c r="M1134" s="16" t="str">
        <f>IF($A1134&lt;Notes!$B$5,"",IF(COUNTIFS(Release_Calendar!$A$2:$A$755,"NZ_CPI",Release_Calendar!$B$2:$B$755,$A1134)&gt;0,1,0))</f>
        <v/>
      </c>
      <c r="N1134" s="16" t="str">
        <f>IF($A1134&lt;Notes!$B$5,"",IF(COUNTIFS(Release_Calendar!$A$2:$A$755,"NZ_GDP",Release_Calendar!$B$2:$B$755,$A1134)&gt;0,1,0))</f>
        <v/>
      </c>
      <c r="O1134" s="16" t="str">
        <f>IF($A1134&lt;Notes!$B$5,"",IF(COUNTIFS(Release_Calendar!$A$2:$A$755,"NZ_LABOUR",Release_Calendar!$B$2:$B$755,$A1134)&gt;0,1,0))</f>
        <v/>
      </c>
      <c r="P1134" s="16">
        <f t="shared" si="4"/>
        <v>0</v>
      </c>
    </row>
    <row r="1135" ht="15.75" customHeight="1">
      <c r="A1135" s="14">
        <v>38113.0</v>
      </c>
      <c r="B1135" s="15">
        <v>2.39</v>
      </c>
      <c r="C1135" s="15"/>
      <c r="D1135" s="15">
        <v>5.74</v>
      </c>
      <c r="E1135" s="15"/>
      <c r="F1135" s="15" t="str">
        <f t="shared" si="1"/>
        <v/>
      </c>
      <c r="G1135" s="15">
        <f t="shared" si="2"/>
        <v>5.74</v>
      </c>
      <c r="H1135" s="16">
        <v>1.0</v>
      </c>
      <c r="I1135" s="15">
        <f t="shared" si="3"/>
        <v>3.35</v>
      </c>
      <c r="J1135" s="15">
        <v>17.05</v>
      </c>
      <c r="K1135" s="16">
        <f>IF(COUNTIFS(Release_Calendar!$A$2:$A$755,"US_CPI",Release_Calendar!$B$2:$B$755,$A1135)&gt;0,1,0)</f>
        <v>0</v>
      </c>
      <c r="L1135" s="16">
        <f>IF(COUNTIFS(Release_Calendar!$A$2:$A$755,"US_NFP",Release_Calendar!$B$2:$B$755,$A1135)&gt;0,1,0)</f>
        <v>0</v>
      </c>
      <c r="M1135" s="16" t="str">
        <f>IF($A1135&lt;Notes!$B$5,"",IF(COUNTIFS(Release_Calendar!$A$2:$A$755,"NZ_CPI",Release_Calendar!$B$2:$B$755,$A1135)&gt;0,1,0))</f>
        <v/>
      </c>
      <c r="N1135" s="16" t="str">
        <f>IF($A1135&lt;Notes!$B$5,"",IF(COUNTIFS(Release_Calendar!$A$2:$A$755,"NZ_GDP",Release_Calendar!$B$2:$B$755,$A1135)&gt;0,1,0))</f>
        <v/>
      </c>
      <c r="O1135" s="16" t="str">
        <f>IF($A1135&lt;Notes!$B$5,"",IF(COUNTIFS(Release_Calendar!$A$2:$A$755,"NZ_LABOUR",Release_Calendar!$B$2:$B$755,$A1135)&gt;0,1,0))</f>
        <v/>
      </c>
      <c r="P1135" s="16">
        <f t="shared" si="4"/>
        <v>0</v>
      </c>
    </row>
    <row r="1136" ht="15.75" customHeight="1">
      <c r="A1136" s="14">
        <v>38114.0</v>
      </c>
      <c r="B1136" s="15">
        <v>2.64</v>
      </c>
      <c r="C1136" s="15"/>
      <c r="D1136" s="15">
        <v>5.79</v>
      </c>
      <c r="E1136" s="15"/>
      <c r="F1136" s="15" t="str">
        <f t="shared" si="1"/>
        <v/>
      </c>
      <c r="G1136" s="15">
        <f t="shared" si="2"/>
        <v>5.79</v>
      </c>
      <c r="H1136" s="16">
        <v>1.0</v>
      </c>
      <c r="I1136" s="15">
        <f t="shared" si="3"/>
        <v>3.15</v>
      </c>
      <c r="J1136" s="15">
        <v>18.13</v>
      </c>
      <c r="K1136" s="16">
        <f>IF(COUNTIFS(Release_Calendar!$A$2:$A$755,"US_CPI",Release_Calendar!$B$2:$B$755,$A1136)&gt;0,1,0)</f>
        <v>0</v>
      </c>
      <c r="L1136" s="16">
        <f>IF(COUNTIFS(Release_Calendar!$A$2:$A$755,"US_NFP",Release_Calendar!$B$2:$B$755,$A1136)&gt;0,1,0)</f>
        <v>1</v>
      </c>
      <c r="M1136" s="16" t="str">
        <f>IF($A1136&lt;Notes!$B$5,"",IF(COUNTIFS(Release_Calendar!$A$2:$A$755,"NZ_CPI",Release_Calendar!$B$2:$B$755,$A1136)&gt;0,1,0))</f>
        <v/>
      </c>
      <c r="N1136" s="16" t="str">
        <f>IF($A1136&lt;Notes!$B$5,"",IF(COUNTIFS(Release_Calendar!$A$2:$A$755,"NZ_GDP",Release_Calendar!$B$2:$B$755,$A1136)&gt;0,1,0))</f>
        <v/>
      </c>
      <c r="O1136" s="16" t="str">
        <f>IF($A1136&lt;Notes!$B$5,"",IF(COUNTIFS(Release_Calendar!$A$2:$A$755,"NZ_LABOUR",Release_Calendar!$B$2:$B$755,$A1136)&gt;0,1,0))</f>
        <v/>
      </c>
      <c r="P1136" s="16">
        <f t="shared" si="4"/>
        <v>1</v>
      </c>
    </row>
    <row r="1137" ht="15.75" customHeight="1">
      <c r="A1137" s="14">
        <v>38117.0</v>
      </c>
      <c r="B1137" s="15">
        <v>2.61</v>
      </c>
      <c r="C1137" s="15"/>
      <c r="D1137" s="15">
        <v>5.83</v>
      </c>
      <c r="E1137" s="15"/>
      <c r="F1137" s="15" t="str">
        <f t="shared" si="1"/>
        <v/>
      </c>
      <c r="G1137" s="15">
        <f t="shared" si="2"/>
        <v>5.83</v>
      </c>
      <c r="H1137" s="16">
        <v>1.0</v>
      </c>
      <c r="I1137" s="15">
        <f t="shared" si="3"/>
        <v>3.22</v>
      </c>
      <c r="J1137" s="15">
        <v>19.77</v>
      </c>
      <c r="K1137" s="16">
        <f>IF(COUNTIFS(Release_Calendar!$A$2:$A$755,"US_CPI",Release_Calendar!$B$2:$B$755,$A1137)&gt;0,1,0)</f>
        <v>0</v>
      </c>
      <c r="L1137" s="16">
        <f>IF(COUNTIFS(Release_Calendar!$A$2:$A$755,"US_NFP",Release_Calendar!$B$2:$B$755,$A1137)&gt;0,1,0)</f>
        <v>0</v>
      </c>
      <c r="M1137" s="16" t="str">
        <f>IF($A1137&lt;Notes!$B$5,"",IF(COUNTIFS(Release_Calendar!$A$2:$A$755,"NZ_CPI",Release_Calendar!$B$2:$B$755,$A1137)&gt;0,1,0))</f>
        <v/>
      </c>
      <c r="N1137" s="16" t="str">
        <f>IF($A1137&lt;Notes!$B$5,"",IF(COUNTIFS(Release_Calendar!$A$2:$A$755,"NZ_GDP",Release_Calendar!$B$2:$B$755,$A1137)&gt;0,1,0))</f>
        <v/>
      </c>
      <c r="O1137" s="16" t="str">
        <f>IF($A1137&lt;Notes!$B$5,"",IF(COUNTIFS(Release_Calendar!$A$2:$A$755,"NZ_LABOUR",Release_Calendar!$B$2:$B$755,$A1137)&gt;0,1,0))</f>
        <v/>
      </c>
      <c r="P1137" s="16">
        <f t="shared" si="4"/>
        <v>0</v>
      </c>
    </row>
    <row r="1138" ht="15.75" customHeight="1">
      <c r="A1138" s="14">
        <v>38118.0</v>
      </c>
      <c r="B1138" s="15">
        <v>2.61</v>
      </c>
      <c r="C1138" s="15"/>
      <c r="D1138" s="15">
        <v>5.81</v>
      </c>
      <c r="E1138" s="15"/>
      <c r="F1138" s="15" t="str">
        <f t="shared" si="1"/>
        <v/>
      </c>
      <c r="G1138" s="15">
        <f t="shared" si="2"/>
        <v>5.81</v>
      </c>
      <c r="H1138" s="16">
        <v>1.0</v>
      </c>
      <c r="I1138" s="15">
        <f t="shared" si="3"/>
        <v>3.2</v>
      </c>
      <c r="J1138" s="15">
        <v>18.57</v>
      </c>
      <c r="K1138" s="16">
        <f>IF(COUNTIFS(Release_Calendar!$A$2:$A$755,"US_CPI",Release_Calendar!$B$2:$B$755,$A1138)&gt;0,1,0)</f>
        <v>0</v>
      </c>
      <c r="L1138" s="16">
        <f>IF(COUNTIFS(Release_Calendar!$A$2:$A$755,"US_NFP",Release_Calendar!$B$2:$B$755,$A1138)&gt;0,1,0)</f>
        <v>0</v>
      </c>
      <c r="M1138" s="16" t="str">
        <f>IF($A1138&lt;Notes!$B$5,"",IF(COUNTIFS(Release_Calendar!$A$2:$A$755,"NZ_CPI",Release_Calendar!$B$2:$B$755,$A1138)&gt;0,1,0))</f>
        <v/>
      </c>
      <c r="N1138" s="16" t="str">
        <f>IF($A1138&lt;Notes!$B$5,"",IF(COUNTIFS(Release_Calendar!$A$2:$A$755,"NZ_GDP",Release_Calendar!$B$2:$B$755,$A1138)&gt;0,1,0))</f>
        <v/>
      </c>
      <c r="O1138" s="16" t="str">
        <f>IF($A1138&lt;Notes!$B$5,"",IF(COUNTIFS(Release_Calendar!$A$2:$A$755,"NZ_LABOUR",Release_Calendar!$B$2:$B$755,$A1138)&gt;0,1,0))</f>
        <v/>
      </c>
      <c r="P1138" s="16">
        <f t="shared" si="4"/>
        <v>0</v>
      </c>
    </row>
    <row r="1139" ht="15.75" customHeight="1">
      <c r="A1139" s="14">
        <v>38119.0</v>
      </c>
      <c r="B1139" s="15">
        <v>2.62</v>
      </c>
      <c r="C1139" s="15"/>
      <c r="D1139" s="15">
        <v>5.84</v>
      </c>
      <c r="E1139" s="15"/>
      <c r="F1139" s="15" t="str">
        <f t="shared" si="1"/>
        <v/>
      </c>
      <c r="G1139" s="15">
        <f t="shared" si="2"/>
        <v>5.84</v>
      </c>
      <c r="H1139" s="16">
        <v>1.0</v>
      </c>
      <c r="I1139" s="15">
        <f t="shared" si="3"/>
        <v>3.22</v>
      </c>
      <c r="J1139" s="15">
        <v>18.14</v>
      </c>
      <c r="K1139" s="16">
        <f>IF(COUNTIFS(Release_Calendar!$A$2:$A$755,"US_CPI",Release_Calendar!$B$2:$B$755,$A1139)&gt;0,1,0)</f>
        <v>0</v>
      </c>
      <c r="L1139" s="16">
        <f>IF(COUNTIFS(Release_Calendar!$A$2:$A$755,"US_NFP",Release_Calendar!$B$2:$B$755,$A1139)&gt;0,1,0)</f>
        <v>0</v>
      </c>
      <c r="M1139" s="16" t="str">
        <f>IF($A1139&lt;Notes!$B$5,"",IF(COUNTIFS(Release_Calendar!$A$2:$A$755,"NZ_CPI",Release_Calendar!$B$2:$B$755,$A1139)&gt;0,1,0))</f>
        <v/>
      </c>
      <c r="N1139" s="16" t="str">
        <f>IF($A1139&lt;Notes!$B$5,"",IF(COUNTIFS(Release_Calendar!$A$2:$A$755,"NZ_GDP",Release_Calendar!$B$2:$B$755,$A1139)&gt;0,1,0))</f>
        <v/>
      </c>
      <c r="O1139" s="16" t="str">
        <f>IF($A1139&lt;Notes!$B$5,"",IF(COUNTIFS(Release_Calendar!$A$2:$A$755,"NZ_LABOUR",Release_Calendar!$B$2:$B$755,$A1139)&gt;0,1,0))</f>
        <v/>
      </c>
      <c r="P1139" s="16">
        <f t="shared" si="4"/>
        <v>0</v>
      </c>
    </row>
    <row r="1140" ht="15.75" customHeight="1">
      <c r="A1140" s="14">
        <v>38120.0</v>
      </c>
      <c r="B1140" s="15">
        <v>2.67</v>
      </c>
      <c r="C1140" s="15"/>
      <c r="D1140" s="15">
        <v>5.89</v>
      </c>
      <c r="E1140" s="15"/>
      <c r="F1140" s="15" t="str">
        <f t="shared" si="1"/>
        <v/>
      </c>
      <c r="G1140" s="15">
        <f t="shared" si="2"/>
        <v>5.89</v>
      </c>
      <c r="H1140" s="16">
        <v>1.0</v>
      </c>
      <c r="I1140" s="15">
        <f t="shared" si="3"/>
        <v>3.22</v>
      </c>
      <c r="J1140" s="15">
        <v>18.86</v>
      </c>
      <c r="K1140" s="16">
        <f>IF(COUNTIFS(Release_Calendar!$A$2:$A$755,"US_CPI",Release_Calendar!$B$2:$B$755,$A1140)&gt;0,1,0)</f>
        <v>0</v>
      </c>
      <c r="L1140" s="16">
        <f>IF(COUNTIFS(Release_Calendar!$A$2:$A$755,"US_NFP",Release_Calendar!$B$2:$B$755,$A1140)&gt;0,1,0)</f>
        <v>0</v>
      </c>
      <c r="M1140" s="16" t="str">
        <f>IF($A1140&lt;Notes!$B$5,"",IF(COUNTIFS(Release_Calendar!$A$2:$A$755,"NZ_CPI",Release_Calendar!$B$2:$B$755,$A1140)&gt;0,1,0))</f>
        <v/>
      </c>
      <c r="N1140" s="16" t="str">
        <f>IF($A1140&lt;Notes!$B$5,"",IF(COUNTIFS(Release_Calendar!$A$2:$A$755,"NZ_GDP",Release_Calendar!$B$2:$B$755,$A1140)&gt;0,1,0))</f>
        <v/>
      </c>
      <c r="O1140" s="16" t="str">
        <f>IF($A1140&lt;Notes!$B$5,"",IF(COUNTIFS(Release_Calendar!$A$2:$A$755,"NZ_LABOUR",Release_Calendar!$B$2:$B$755,$A1140)&gt;0,1,0))</f>
        <v/>
      </c>
      <c r="P1140" s="16">
        <f t="shared" si="4"/>
        <v>0</v>
      </c>
    </row>
    <row r="1141" ht="15.75" customHeight="1">
      <c r="A1141" s="14">
        <v>38121.0</v>
      </c>
      <c r="B1141" s="15">
        <v>2.59</v>
      </c>
      <c r="C1141" s="15"/>
      <c r="D1141" s="15">
        <v>5.97</v>
      </c>
      <c r="E1141" s="15"/>
      <c r="F1141" s="15" t="str">
        <f t="shared" si="1"/>
        <v/>
      </c>
      <c r="G1141" s="15">
        <f t="shared" si="2"/>
        <v>5.97</v>
      </c>
      <c r="H1141" s="16">
        <v>1.0</v>
      </c>
      <c r="I1141" s="15">
        <f t="shared" si="3"/>
        <v>3.38</v>
      </c>
      <c r="J1141" s="15">
        <v>18.47</v>
      </c>
      <c r="K1141" s="16">
        <f>IF(COUNTIFS(Release_Calendar!$A$2:$A$755,"US_CPI",Release_Calendar!$B$2:$B$755,$A1141)&gt;0,1,0)</f>
        <v>1</v>
      </c>
      <c r="L1141" s="16">
        <f>IF(COUNTIFS(Release_Calendar!$A$2:$A$755,"US_NFP",Release_Calendar!$B$2:$B$755,$A1141)&gt;0,1,0)</f>
        <v>0</v>
      </c>
      <c r="M1141" s="16" t="str">
        <f>IF($A1141&lt;Notes!$B$5,"",IF(COUNTIFS(Release_Calendar!$A$2:$A$755,"NZ_CPI",Release_Calendar!$B$2:$B$755,$A1141)&gt;0,1,0))</f>
        <v/>
      </c>
      <c r="N1141" s="16" t="str">
        <f>IF($A1141&lt;Notes!$B$5,"",IF(COUNTIFS(Release_Calendar!$A$2:$A$755,"NZ_GDP",Release_Calendar!$B$2:$B$755,$A1141)&gt;0,1,0))</f>
        <v/>
      </c>
      <c r="O1141" s="16" t="str">
        <f>IF($A1141&lt;Notes!$B$5,"",IF(COUNTIFS(Release_Calendar!$A$2:$A$755,"NZ_LABOUR",Release_Calendar!$B$2:$B$755,$A1141)&gt;0,1,0))</f>
        <v/>
      </c>
      <c r="P1141" s="16">
        <f t="shared" si="4"/>
        <v>1</v>
      </c>
    </row>
    <row r="1142" ht="15.75" customHeight="1">
      <c r="A1142" s="14">
        <v>38124.0</v>
      </c>
      <c r="B1142" s="15">
        <v>2.51</v>
      </c>
      <c r="C1142" s="15"/>
      <c r="D1142" s="15">
        <v>5.91</v>
      </c>
      <c r="E1142" s="15"/>
      <c r="F1142" s="15" t="str">
        <f t="shared" si="1"/>
        <v/>
      </c>
      <c r="G1142" s="15">
        <f t="shared" si="2"/>
        <v>5.91</v>
      </c>
      <c r="H1142" s="16">
        <v>1.0</v>
      </c>
      <c r="I1142" s="15">
        <f t="shared" si="3"/>
        <v>3.4</v>
      </c>
      <c r="J1142" s="15">
        <v>19.96</v>
      </c>
      <c r="K1142" s="16">
        <f>IF(COUNTIFS(Release_Calendar!$A$2:$A$755,"US_CPI",Release_Calendar!$B$2:$B$755,$A1142)&gt;0,1,0)</f>
        <v>0</v>
      </c>
      <c r="L1142" s="16">
        <f>IF(COUNTIFS(Release_Calendar!$A$2:$A$755,"US_NFP",Release_Calendar!$B$2:$B$755,$A1142)&gt;0,1,0)</f>
        <v>0</v>
      </c>
      <c r="M1142" s="16" t="str">
        <f>IF($A1142&lt;Notes!$B$5,"",IF(COUNTIFS(Release_Calendar!$A$2:$A$755,"NZ_CPI",Release_Calendar!$B$2:$B$755,$A1142)&gt;0,1,0))</f>
        <v/>
      </c>
      <c r="N1142" s="16" t="str">
        <f>IF($A1142&lt;Notes!$B$5,"",IF(COUNTIFS(Release_Calendar!$A$2:$A$755,"NZ_GDP",Release_Calendar!$B$2:$B$755,$A1142)&gt;0,1,0))</f>
        <v/>
      </c>
      <c r="O1142" s="16" t="str">
        <f>IF($A1142&lt;Notes!$B$5,"",IF(COUNTIFS(Release_Calendar!$A$2:$A$755,"NZ_LABOUR",Release_Calendar!$B$2:$B$755,$A1142)&gt;0,1,0))</f>
        <v/>
      </c>
      <c r="P1142" s="16">
        <f t="shared" si="4"/>
        <v>0</v>
      </c>
    </row>
    <row r="1143" ht="15.75" customHeight="1">
      <c r="A1143" s="14">
        <v>38125.0</v>
      </c>
      <c r="B1143" s="15">
        <v>2.58</v>
      </c>
      <c r="C1143" s="15"/>
      <c r="D1143" s="15">
        <v>5.89</v>
      </c>
      <c r="E1143" s="15"/>
      <c r="F1143" s="15" t="str">
        <f t="shared" si="1"/>
        <v/>
      </c>
      <c r="G1143" s="15">
        <f t="shared" si="2"/>
        <v>5.89</v>
      </c>
      <c r="H1143" s="16">
        <v>1.0</v>
      </c>
      <c r="I1143" s="15">
        <f t="shared" si="3"/>
        <v>3.31</v>
      </c>
      <c r="J1143" s="15">
        <v>19.33</v>
      </c>
      <c r="K1143" s="16">
        <f>IF(COUNTIFS(Release_Calendar!$A$2:$A$755,"US_CPI",Release_Calendar!$B$2:$B$755,$A1143)&gt;0,1,0)</f>
        <v>0</v>
      </c>
      <c r="L1143" s="16">
        <f>IF(COUNTIFS(Release_Calendar!$A$2:$A$755,"US_NFP",Release_Calendar!$B$2:$B$755,$A1143)&gt;0,1,0)</f>
        <v>0</v>
      </c>
      <c r="M1143" s="16" t="str">
        <f>IF($A1143&lt;Notes!$B$5,"",IF(COUNTIFS(Release_Calendar!$A$2:$A$755,"NZ_CPI",Release_Calendar!$B$2:$B$755,$A1143)&gt;0,1,0))</f>
        <v/>
      </c>
      <c r="N1143" s="16" t="str">
        <f>IF($A1143&lt;Notes!$B$5,"",IF(COUNTIFS(Release_Calendar!$A$2:$A$755,"NZ_GDP",Release_Calendar!$B$2:$B$755,$A1143)&gt;0,1,0))</f>
        <v/>
      </c>
      <c r="O1143" s="16" t="str">
        <f>IF($A1143&lt;Notes!$B$5,"",IF(COUNTIFS(Release_Calendar!$A$2:$A$755,"NZ_LABOUR",Release_Calendar!$B$2:$B$755,$A1143)&gt;0,1,0))</f>
        <v/>
      </c>
      <c r="P1143" s="16">
        <f t="shared" si="4"/>
        <v>0</v>
      </c>
    </row>
    <row r="1144" ht="15.75" customHeight="1">
      <c r="A1144" s="14">
        <v>38126.0</v>
      </c>
      <c r="B1144" s="15">
        <v>2.61</v>
      </c>
      <c r="C1144" s="15"/>
      <c r="D1144" s="15">
        <v>5.92</v>
      </c>
      <c r="E1144" s="15"/>
      <c r="F1144" s="15" t="str">
        <f t="shared" si="1"/>
        <v/>
      </c>
      <c r="G1144" s="15">
        <f t="shared" si="2"/>
        <v>5.92</v>
      </c>
      <c r="H1144" s="16">
        <v>1.0</v>
      </c>
      <c r="I1144" s="15">
        <f t="shared" si="3"/>
        <v>3.31</v>
      </c>
      <c r="J1144" s="15">
        <v>18.93</v>
      </c>
      <c r="K1144" s="16">
        <f>IF(COUNTIFS(Release_Calendar!$A$2:$A$755,"US_CPI",Release_Calendar!$B$2:$B$755,$A1144)&gt;0,1,0)</f>
        <v>0</v>
      </c>
      <c r="L1144" s="16">
        <f>IF(COUNTIFS(Release_Calendar!$A$2:$A$755,"US_NFP",Release_Calendar!$B$2:$B$755,$A1144)&gt;0,1,0)</f>
        <v>0</v>
      </c>
      <c r="M1144" s="16" t="str">
        <f>IF($A1144&lt;Notes!$B$5,"",IF(COUNTIFS(Release_Calendar!$A$2:$A$755,"NZ_CPI",Release_Calendar!$B$2:$B$755,$A1144)&gt;0,1,0))</f>
        <v/>
      </c>
      <c r="N1144" s="16" t="str">
        <f>IF($A1144&lt;Notes!$B$5,"",IF(COUNTIFS(Release_Calendar!$A$2:$A$755,"NZ_GDP",Release_Calendar!$B$2:$B$755,$A1144)&gt;0,1,0))</f>
        <v/>
      </c>
      <c r="O1144" s="16" t="str">
        <f>IF($A1144&lt;Notes!$B$5,"",IF(COUNTIFS(Release_Calendar!$A$2:$A$755,"NZ_LABOUR",Release_Calendar!$B$2:$B$755,$A1144)&gt;0,1,0))</f>
        <v/>
      </c>
      <c r="P1144" s="16">
        <f t="shared" si="4"/>
        <v>0</v>
      </c>
    </row>
    <row r="1145" ht="15.75" customHeight="1">
      <c r="A1145" s="14">
        <v>38127.0</v>
      </c>
      <c r="B1145" s="15">
        <v>2.55</v>
      </c>
      <c r="C1145" s="15"/>
      <c r="D1145" s="15">
        <v>5.95</v>
      </c>
      <c r="E1145" s="15"/>
      <c r="F1145" s="15" t="str">
        <f t="shared" si="1"/>
        <v/>
      </c>
      <c r="G1145" s="15">
        <f t="shared" si="2"/>
        <v>5.95</v>
      </c>
      <c r="H1145" s="16">
        <v>1.0</v>
      </c>
      <c r="I1145" s="15">
        <f t="shared" si="3"/>
        <v>3.4</v>
      </c>
      <c r="J1145" s="15">
        <v>18.67</v>
      </c>
      <c r="K1145" s="16">
        <f>IF(COUNTIFS(Release_Calendar!$A$2:$A$755,"US_CPI",Release_Calendar!$B$2:$B$755,$A1145)&gt;0,1,0)</f>
        <v>0</v>
      </c>
      <c r="L1145" s="16">
        <f>IF(COUNTIFS(Release_Calendar!$A$2:$A$755,"US_NFP",Release_Calendar!$B$2:$B$755,$A1145)&gt;0,1,0)</f>
        <v>0</v>
      </c>
      <c r="M1145" s="16" t="str">
        <f>IF($A1145&lt;Notes!$B$5,"",IF(COUNTIFS(Release_Calendar!$A$2:$A$755,"NZ_CPI",Release_Calendar!$B$2:$B$755,$A1145)&gt;0,1,0))</f>
        <v/>
      </c>
      <c r="N1145" s="16" t="str">
        <f>IF($A1145&lt;Notes!$B$5,"",IF(COUNTIFS(Release_Calendar!$A$2:$A$755,"NZ_GDP",Release_Calendar!$B$2:$B$755,$A1145)&gt;0,1,0))</f>
        <v/>
      </c>
      <c r="O1145" s="16" t="str">
        <f>IF($A1145&lt;Notes!$B$5,"",IF(COUNTIFS(Release_Calendar!$A$2:$A$755,"NZ_LABOUR",Release_Calendar!$B$2:$B$755,$A1145)&gt;0,1,0))</f>
        <v/>
      </c>
      <c r="P1145" s="16">
        <f t="shared" si="4"/>
        <v>0</v>
      </c>
    </row>
    <row r="1146" ht="15.75" customHeight="1">
      <c r="A1146" s="14">
        <v>38128.0</v>
      </c>
      <c r="B1146" s="15">
        <v>2.6</v>
      </c>
      <c r="C1146" s="15"/>
      <c r="D1146" s="15">
        <v>5.91</v>
      </c>
      <c r="E1146" s="15"/>
      <c r="F1146" s="15" t="str">
        <f t="shared" si="1"/>
        <v/>
      </c>
      <c r="G1146" s="15">
        <f t="shared" si="2"/>
        <v>5.91</v>
      </c>
      <c r="H1146" s="16">
        <v>1.0</v>
      </c>
      <c r="I1146" s="15">
        <f t="shared" si="3"/>
        <v>3.31</v>
      </c>
      <c r="J1146" s="15">
        <v>18.49</v>
      </c>
      <c r="K1146" s="16">
        <f>IF(COUNTIFS(Release_Calendar!$A$2:$A$755,"US_CPI",Release_Calendar!$B$2:$B$755,$A1146)&gt;0,1,0)</f>
        <v>0</v>
      </c>
      <c r="L1146" s="16">
        <f>IF(COUNTIFS(Release_Calendar!$A$2:$A$755,"US_NFP",Release_Calendar!$B$2:$B$755,$A1146)&gt;0,1,0)</f>
        <v>0</v>
      </c>
      <c r="M1146" s="16" t="str">
        <f>IF($A1146&lt;Notes!$B$5,"",IF(COUNTIFS(Release_Calendar!$A$2:$A$755,"NZ_CPI",Release_Calendar!$B$2:$B$755,$A1146)&gt;0,1,0))</f>
        <v/>
      </c>
      <c r="N1146" s="16" t="str">
        <f>IF($A1146&lt;Notes!$B$5,"",IF(COUNTIFS(Release_Calendar!$A$2:$A$755,"NZ_GDP",Release_Calendar!$B$2:$B$755,$A1146)&gt;0,1,0))</f>
        <v/>
      </c>
      <c r="O1146" s="16" t="str">
        <f>IF($A1146&lt;Notes!$B$5,"",IF(COUNTIFS(Release_Calendar!$A$2:$A$755,"NZ_LABOUR",Release_Calendar!$B$2:$B$755,$A1146)&gt;0,1,0))</f>
        <v/>
      </c>
      <c r="P1146" s="16">
        <f t="shared" si="4"/>
        <v>0</v>
      </c>
    </row>
    <row r="1147" ht="15.75" customHeight="1">
      <c r="A1147" s="14">
        <v>38131.0</v>
      </c>
      <c r="B1147" s="15">
        <v>2.59</v>
      </c>
      <c r="C1147" s="15"/>
      <c r="D1147" s="15">
        <v>5.95</v>
      </c>
      <c r="E1147" s="15"/>
      <c r="F1147" s="15" t="str">
        <f t="shared" si="1"/>
        <v/>
      </c>
      <c r="G1147" s="15">
        <f t="shared" si="2"/>
        <v>5.95</v>
      </c>
      <c r="H1147" s="16">
        <v>1.0</v>
      </c>
      <c r="I1147" s="15">
        <f t="shared" si="3"/>
        <v>3.36</v>
      </c>
      <c r="J1147" s="15">
        <v>18.08</v>
      </c>
      <c r="K1147" s="16">
        <f>IF(COUNTIFS(Release_Calendar!$A$2:$A$755,"US_CPI",Release_Calendar!$B$2:$B$755,$A1147)&gt;0,1,0)</f>
        <v>0</v>
      </c>
      <c r="L1147" s="16">
        <f>IF(COUNTIFS(Release_Calendar!$A$2:$A$755,"US_NFP",Release_Calendar!$B$2:$B$755,$A1147)&gt;0,1,0)</f>
        <v>0</v>
      </c>
      <c r="M1147" s="16" t="str">
        <f>IF($A1147&lt;Notes!$B$5,"",IF(COUNTIFS(Release_Calendar!$A$2:$A$755,"NZ_CPI",Release_Calendar!$B$2:$B$755,$A1147)&gt;0,1,0))</f>
        <v/>
      </c>
      <c r="N1147" s="16" t="str">
        <f>IF($A1147&lt;Notes!$B$5,"",IF(COUNTIFS(Release_Calendar!$A$2:$A$755,"NZ_GDP",Release_Calendar!$B$2:$B$755,$A1147)&gt;0,1,0))</f>
        <v/>
      </c>
      <c r="O1147" s="16" t="str">
        <f>IF($A1147&lt;Notes!$B$5,"",IF(COUNTIFS(Release_Calendar!$A$2:$A$755,"NZ_LABOUR",Release_Calendar!$B$2:$B$755,$A1147)&gt;0,1,0))</f>
        <v/>
      </c>
      <c r="P1147" s="16">
        <f t="shared" si="4"/>
        <v>0</v>
      </c>
    </row>
    <row r="1148" ht="15.75" customHeight="1">
      <c r="A1148" s="14">
        <v>38132.0</v>
      </c>
      <c r="B1148" s="15">
        <v>2.58</v>
      </c>
      <c r="C1148" s="15"/>
      <c r="D1148" s="15">
        <v>5.93</v>
      </c>
      <c r="E1148" s="15"/>
      <c r="F1148" s="15" t="str">
        <f t="shared" si="1"/>
        <v/>
      </c>
      <c r="G1148" s="15">
        <f t="shared" si="2"/>
        <v>5.93</v>
      </c>
      <c r="H1148" s="16">
        <v>1.0</v>
      </c>
      <c r="I1148" s="15">
        <f t="shared" si="3"/>
        <v>3.35</v>
      </c>
      <c r="J1148" s="15">
        <v>15.96</v>
      </c>
      <c r="K1148" s="16">
        <f>IF(COUNTIFS(Release_Calendar!$A$2:$A$755,"US_CPI",Release_Calendar!$B$2:$B$755,$A1148)&gt;0,1,0)</f>
        <v>0</v>
      </c>
      <c r="L1148" s="16">
        <f>IF(COUNTIFS(Release_Calendar!$A$2:$A$755,"US_NFP",Release_Calendar!$B$2:$B$755,$A1148)&gt;0,1,0)</f>
        <v>0</v>
      </c>
      <c r="M1148" s="16" t="str">
        <f>IF($A1148&lt;Notes!$B$5,"",IF(COUNTIFS(Release_Calendar!$A$2:$A$755,"NZ_CPI",Release_Calendar!$B$2:$B$755,$A1148)&gt;0,1,0))</f>
        <v/>
      </c>
      <c r="N1148" s="16" t="str">
        <f>IF($A1148&lt;Notes!$B$5,"",IF(COUNTIFS(Release_Calendar!$A$2:$A$755,"NZ_GDP",Release_Calendar!$B$2:$B$755,$A1148)&gt;0,1,0))</f>
        <v/>
      </c>
      <c r="O1148" s="16" t="str">
        <f>IF($A1148&lt;Notes!$B$5,"",IF(COUNTIFS(Release_Calendar!$A$2:$A$755,"NZ_LABOUR",Release_Calendar!$B$2:$B$755,$A1148)&gt;0,1,0))</f>
        <v/>
      </c>
      <c r="P1148" s="16">
        <f t="shared" si="4"/>
        <v>0</v>
      </c>
    </row>
    <row r="1149" ht="15.75" customHeight="1">
      <c r="A1149" s="14">
        <v>38133.0</v>
      </c>
      <c r="B1149" s="15">
        <v>2.52</v>
      </c>
      <c r="C1149" s="15"/>
      <c r="D1149" s="15">
        <v>5.93</v>
      </c>
      <c r="E1149" s="15"/>
      <c r="F1149" s="15" t="str">
        <f t="shared" si="1"/>
        <v/>
      </c>
      <c r="G1149" s="15">
        <f t="shared" si="2"/>
        <v>5.93</v>
      </c>
      <c r="H1149" s="16">
        <v>1.0</v>
      </c>
      <c r="I1149" s="15">
        <f t="shared" si="3"/>
        <v>3.41</v>
      </c>
      <c r="J1149" s="15">
        <v>15.97</v>
      </c>
      <c r="K1149" s="16">
        <f>IF(COUNTIFS(Release_Calendar!$A$2:$A$755,"US_CPI",Release_Calendar!$B$2:$B$755,$A1149)&gt;0,1,0)</f>
        <v>0</v>
      </c>
      <c r="L1149" s="16">
        <f>IF(COUNTIFS(Release_Calendar!$A$2:$A$755,"US_NFP",Release_Calendar!$B$2:$B$755,$A1149)&gt;0,1,0)</f>
        <v>0</v>
      </c>
      <c r="M1149" s="16" t="str">
        <f>IF($A1149&lt;Notes!$B$5,"",IF(COUNTIFS(Release_Calendar!$A$2:$A$755,"NZ_CPI",Release_Calendar!$B$2:$B$755,$A1149)&gt;0,1,0))</f>
        <v/>
      </c>
      <c r="N1149" s="16" t="str">
        <f>IF($A1149&lt;Notes!$B$5,"",IF(COUNTIFS(Release_Calendar!$A$2:$A$755,"NZ_GDP",Release_Calendar!$B$2:$B$755,$A1149)&gt;0,1,0))</f>
        <v/>
      </c>
      <c r="O1149" s="16" t="str">
        <f>IF($A1149&lt;Notes!$B$5,"",IF(COUNTIFS(Release_Calendar!$A$2:$A$755,"NZ_LABOUR",Release_Calendar!$B$2:$B$755,$A1149)&gt;0,1,0))</f>
        <v/>
      </c>
      <c r="P1149" s="16">
        <f t="shared" si="4"/>
        <v>0</v>
      </c>
    </row>
    <row r="1150" ht="15.75" customHeight="1">
      <c r="A1150" s="14">
        <v>38134.0</v>
      </c>
      <c r="B1150" s="15">
        <v>2.46</v>
      </c>
      <c r="C1150" s="15"/>
      <c r="D1150" s="15">
        <v>5.86</v>
      </c>
      <c r="E1150" s="15"/>
      <c r="F1150" s="15" t="str">
        <f t="shared" si="1"/>
        <v/>
      </c>
      <c r="G1150" s="15">
        <f t="shared" si="2"/>
        <v>5.86</v>
      </c>
      <c r="H1150" s="16">
        <v>1.0</v>
      </c>
      <c r="I1150" s="15">
        <f t="shared" si="3"/>
        <v>3.4</v>
      </c>
      <c r="J1150" s="15">
        <v>15.28</v>
      </c>
      <c r="K1150" s="16">
        <f>IF(COUNTIFS(Release_Calendar!$A$2:$A$755,"US_CPI",Release_Calendar!$B$2:$B$755,$A1150)&gt;0,1,0)</f>
        <v>0</v>
      </c>
      <c r="L1150" s="16">
        <f>IF(COUNTIFS(Release_Calendar!$A$2:$A$755,"US_NFP",Release_Calendar!$B$2:$B$755,$A1150)&gt;0,1,0)</f>
        <v>0</v>
      </c>
      <c r="M1150" s="16" t="str">
        <f>IF($A1150&lt;Notes!$B$5,"",IF(COUNTIFS(Release_Calendar!$A$2:$A$755,"NZ_CPI",Release_Calendar!$B$2:$B$755,$A1150)&gt;0,1,0))</f>
        <v/>
      </c>
      <c r="N1150" s="16" t="str">
        <f>IF($A1150&lt;Notes!$B$5,"",IF(COUNTIFS(Release_Calendar!$A$2:$A$755,"NZ_GDP",Release_Calendar!$B$2:$B$755,$A1150)&gt;0,1,0))</f>
        <v/>
      </c>
      <c r="O1150" s="16" t="str">
        <f>IF($A1150&lt;Notes!$B$5,"",IF(COUNTIFS(Release_Calendar!$A$2:$A$755,"NZ_LABOUR",Release_Calendar!$B$2:$B$755,$A1150)&gt;0,1,0))</f>
        <v/>
      </c>
      <c r="P1150" s="16">
        <f t="shared" si="4"/>
        <v>0</v>
      </c>
    </row>
    <row r="1151" ht="15.75" customHeight="1">
      <c r="A1151" s="14">
        <v>38135.0</v>
      </c>
      <c r="B1151" s="15">
        <v>2.54</v>
      </c>
      <c r="C1151" s="15"/>
      <c r="D1151" s="15">
        <v>5.83</v>
      </c>
      <c r="E1151" s="15"/>
      <c r="F1151" s="15" t="str">
        <f t="shared" si="1"/>
        <v/>
      </c>
      <c r="G1151" s="15">
        <f t="shared" si="2"/>
        <v>5.83</v>
      </c>
      <c r="H1151" s="16">
        <v>1.0</v>
      </c>
      <c r="I1151" s="15">
        <f t="shared" si="3"/>
        <v>3.29</v>
      </c>
      <c r="J1151" s="15">
        <v>15.5</v>
      </c>
      <c r="K1151" s="16">
        <f>IF(COUNTIFS(Release_Calendar!$A$2:$A$755,"US_CPI",Release_Calendar!$B$2:$B$755,$A1151)&gt;0,1,0)</f>
        <v>0</v>
      </c>
      <c r="L1151" s="16">
        <f>IF(COUNTIFS(Release_Calendar!$A$2:$A$755,"US_NFP",Release_Calendar!$B$2:$B$755,$A1151)&gt;0,1,0)</f>
        <v>0</v>
      </c>
      <c r="M1151" s="16" t="str">
        <f>IF($A1151&lt;Notes!$B$5,"",IF(COUNTIFS(Release_Calendar!$A$2:$A$755,"NZ_CPI",Release_Calendar!$B$2:$B$755,$A1151)&gt;0,1,0))</f>
        <v/>
      </c>
      <c r="N1151" s="16" t="str">
        <f>IF($A1151&lt;Notes!$B$5,"",IF(COUNTIFS(Release_Calendar!$A$2:$A$755,"NZ_GDP",Release_Calendar!$B$2:$B$755,$A1151)&gt;0,1,0))</f>
        <v/>
      </c>
      <c r="O1151" s="16" t="str">
        <f>IF($A1151&lt;Notes!$B$5,"",IF(COUNTIFS(Release_Calendar!$A$2:$A$755,"NZ_LABOUR",Release_Calendar!$B$2:$B$755,$A1151)&gt;0,1,0))</f>
        <v/>
      </c>
      <c r="P1151" s="16">
        <f t="shared" si="4"/>
        <v>0</v>
      </c>
    </row>
    <row r="1152" ht="15.75" customHeight="1">
      <c r="A1152" s="14">
        <v>38138.0</v>
      </c>
      <c r="B1152" s="15"/>
      <c r="C1152" s="15"/>
      <c r="D1152" s="15">
        <v>5.87</v>
      </c>
      <c r="E1152" s="15"/>
      <c r="F1152" s="15" t="str">
        <f t="shared" si="1"/>
        <v/>
      </c>
      <c r="G1152" s="15">
        <f t="shared" si="2"/>
        <v>5.87</v>
      </c>
      <c r="H1152" s="16">
        <v>1.0</v>
      </c>
      <c r="I1152" s="15" t="str">
        <f t="shared" si="3"/>
        <v/>
      </c>
      <c r="J1152" s="15"/>
      <c r="K1152" s="16">
        <f>IF(COUNTIFS(Release_Calendar!$A$2:$A$755,"US_CPI",Release_Calendar!$B$2:$B$755,$A1152)&gt;0,1,0)</f>
        <v>0</v>
      </c>
      <c r="L1152" s="16">
        <f>IF(COUNTIFS(Release_Calendar!$A$2:$A$755,"US_NFP",Release_Calendar!$B$2:$B$755,$A1152)&gt;0,1,0)</f>
        <v>0</v>
      </c>
      <c r="M1152" s="16" t="str">
        <f>IF($A1152&lt;Notes!$B$5,"",IF(COUNTIFS(Release_Calendar!$A$2:$A$755,"NZ_CPI",Release_Calendar!$B$2:$B$755,$A1152)&gt;0,1,0))</f>
        <v/>
      </c>
      <c r="N1152" s="16" t="str">
        <f>IF($A1152&lt;Notes!$B$5,"",IF(COUNTIFS(Release_Calendar!$A$2:$A$755,"NZ_GDP",Release_Calendar!$B$2:$B$755,$A1152)&gt;0,1,0))</f>
        <v/>
      </c>
      <c r="O1152" s="16" t="str">
        <f>IF($A1152&lt;Notes!$B$5,"",IF(COUNTIFS(Release_Calendar!$A$2:$A$755,"NZ_LABOUR",Release_Calendar!$B$2:$B$755,$A1152)&gt;0,1,0))</f>
        <v/>
      </c>
      <c r="P1152" s="16">
        <f t="shared" si="4"/>
        <v>0</v>
      </c>
    </row>
    <row r="1153" ht="15.75" customHeight="1">
      <c r="A1153" s="14">
        <v>38139.0</v>
      </c>
      <c r="B1153" s="15">
        <v>2.6</v>
      </c>
      <c r="C1153" s="15"/>
      <c r="D1153" s="15">
        <v>5.88</v>
      </c>
      <c r="E1153" s="15"/>
      <c r="F1153" s="15" t="str">
        <f t="shared" si="1"/>
        <v/>
      </c>
      <c r="G1153" s="15">
        <f t="shared" si="2"/>
        <v>5.88</v>
      </c>
      <c r="H1153" s="16">
        <v>1.0</v>
      </c>
      <c r="I1153" s="15">
        <f t="shared" si="3"/>
        <v>3.28</v>
      </c>
      <c r="J1153" s="15">
        <v>16.3</v>
      </c>
      <c r="K1153" s="16">
        <f>IF(COUNTIFS(Release_Calendar!$A$2:$A$755,"US_CPI",Release_Calendar!$B$2:$B$755,$A1153)&gt;0,1,0)</f>
        <v>0</v>
      </c>
      <c r="L1153" s="16">
        <f>IF(COUNTIFS(Release_Calendar!$A$2:$A$755,"US_NFP",Release_Calendar!$B$2:$B$755,$A1153)&gt;0,1,0)</f>
        <v>0</v>
      </c>
      <c r="M1153" s="16" t="str">
        <f>IF($A1153&lt;Notes!$B$5,"",IF(COUNTIFS(Release_Calendar!$A$2:$A$755,"NZ_CPI",Release_Calendar!$B$2:$B$755,$A1153)&gt;0,1,0))</f>
        <v/>
      </c>
      <c r="N1153" s="16" t="str">
        <f>IF($A1153&lt;Notes!$B$5,"",IF(COUNTIFS(Release_Calendar!$A$2:$A$755,"NZ_GDP",Release_Calendar!$B$2:$B$755,$A1153)&gt;0,1,0))</f>
        <v/>
      </c>
      <c r="O1153" s="16" t="str">
        <f>IF($A1153&lt;Notes!$B$5,"",IF(COUNTIFS(Release_Calendar!$A$2:$A$755,"NZ_LABOUR",Release_Calendar!$B$2:$B$755,$A1153)&gt;0,1,0))</f>
        <v/>
      </c>
      <c r="P1153" s="16">
        <f t="shared" si="4"/>
        <v>0</v>
      </c>
    </row>
    <row r="1154" ht="15.75" customHeight="1">
      <c r="A1154" s="14">
        <v>38140.0</v>
      </c>
      <c r="B1154" s="15">
        <v>2.65</v>
      </c>
      <c r="C1154" s="15"/>
      <c r="D1154" s="15">
        <v>5.9</v>
      </c>
      <c r="E1154" s="15"/>
      <c r="F1154" s="15" t="str">
        <f t="shared" si="1"/>
        <v/>
      </c>
      <c r="G1154" s="15">
        <f t="shared" si="2"/>
        <v>5.9</v>
      </c>
      <c r="H1154" s="16">
        <v>1.0</v>
      </c>
      <c r="I1154" s="15">
        <f t="shared" si="3"/>
        <v>3.25</v>
      </c>
      <c r="J1154" s="15">
        <v>16.08</v>
      </c>
      <c r="K1154" s="16">
        <f>IF(COUNTIFS(Release_Calendar!$A$2:$A$755,"US_CPI",Release_Calendar!$B$2:$B$755,$A1154)&gt;0,1,0)</f>
        <v>0</v>
      </c>
      <c r="L1154" s="16">
        <f>IF(COUNTIFS(Release_Calendar!$A$2:$A$755,"US_NFP",Release_Calendar!$B$2:$B$755,$A1154)&gt;0,1,0)</f>
        <v>0</v>
      </c>
      <c r="M1154" s="16" t="str">
        <f>IF($A1154&lt;Notes!$B$5,"",IF(COUNTIFS(Release_Calendar!$A$2:$A$755,"NZ_CPI",Release_Calendar!$B$2:$B$755,$A1154)&gt;0,1,0))</f>
        <v/>
      </c>
      <c r="N1154" s="16" t="str">
        <f>IF($A1154&lt;Notes!$B$5,"",IF(COUNTIFS(Release_Calendar!$A$2:$A$755,"NZ_GDP",Release_Calendar!$B$2:$B$755,$A1154)&gt;0,1,0))</f>
        <v/>
      </c>
      <c r="O1154" s="16" t="str">
        <f>IF($A1154&lt;Notes!$B$5,"",IF(COUNTIFS(Release_Calendar!$A$2:$A$755,"NZ_LABOUR",Release_Calendar!$B$2:$B$755,$A1154)&gt;0,1,0))</f>
        <v/>
      </c>
      <c r="P1154" s="16">
        <f t="shared" si="4"/>
        <v>0</v>
      </c>
    </row>
    <row r="1155" ht="15.75" customHeight="1">
      <c r="A1155" s="14">
        <v>38141.0</v>
      </c>
      <c r="B1155" s="15">
        <v>2.63</v>
      </c>
      <c r="C1155" s="15"/>
      <c r="D1155" s="15">
        <v>5.88</v>
      </c>
      <c r="E1155" s="15"/>
      <c r="F1155" s="15" t="str">
        <f t="shared" si="1"/>
        <v/>
      </c>
      <c r="G1155" s="15">
        <f t="shared" si="2"/>
        <v>5.88</v>
      </c>
      <c r="H1155" s="16">
        <v>1.0</v>
      </c>
      <c r="I1155" s="15">
        <f t="shared" si="3"/>
        <v>3.25</v>
      </c>
      <c r="J1155" s="15">
        <v>17.03</v>
      </c>
      <c r="K1155" s="16">
        <f>IF(COUNTIFS(Release_Calendar!$A$2:$A$755,"US_CPI",Release_Calendar!$B$2:$B$755,$A1155)&gt;0,1,0)</f>
        <v>0</v>
      </c>
      <c r="L1155" s="16">
        <f>IF(COUNTIFS(Release_Calendar!$A$2:$A$755,"US_NFP",Release_Calendar!$B$2:$B$755,$A1155)&gt;0,1,0)</f>
        <v>0</v>
      </c>
      <c r="M1155" s="16" t="str">
        <f>IF($A1155&lt;Notes!$B$5,"",IF(COUNTIFS(Release_Calendar!$A$2:$A$755,"NZ_CPI",Release_Calendar!$B$2:$B$755,$A1155)&gt;0,1,0))</f>
        <v/>
      </c>
      <c r="N1155" s="16" t="str">
        <f>IF($A1155&lt;Notes!$B$5,"",IF(COUNTIFS(Release_Calendar!$A$2:$A$755,"NZ_GDP",Release_Calendar!$B$2:$B$755,$A1155)&gt;0,1,0))</f>
        <v/>
      </c>
      <c r="O1155" s="16" t="str">
        <f>IF($A1155&lt;Notes!$B$5,"",IF(COUNTIFS(Release_Calendar!$A$2:$A$755,"NZ_LABOUR",Release_Calendar!$B$2:$B$755,$A1155)&gt;0,1,0))</f>
        <v/>
      </c>
      <c r="P1155" s="16">
        <f t="shared" si="4"/>
        <v>0</v>
      </c>
    </row>
    <row r="1156" ht="15.75" customHeight="1">
      <c r="A1156" s="14">
        <v>38142.0</v>
      </c>
      <c r="B1156" s="15">
        <v>2.7</v>
      </c>
      <c r="C1156" s="15"/>
      <c r="D1156" s="15">
        <v>5.87</v>
      </c>
      <c r="E1156" s="15"/>
      <c r="F1156" s="15" t="str">
        <f t="shared" si="1"/>
        <v/>
      </c>
      <c r="G1156" s="15">
        <f t="shared" si="2"/>
        <v>5.87</v>
      </c>
      <c r="H1156" s="16">
        <v>1.0</v>
      </c>
      <c r="I1156" s="15">
        <f t="shared" si="3"/>
        <v>3.17</v>
      </c>
      <c r="J1156" s="15">
        <v>16.78</v>
      </c>
      <c r="K1156" s="16">
        <f>IF(COUNTIFS(Release_Calendar!$A$2:$A$755,"US_CPI",Release_Calendar!$B$2:$B$755,$A1156)&gt;0,1,0)</f>
        <v>0</v>
      </c>
      <c r="L1156" s="16">
        <f>IF(COUNTIFS(Release_Calendar!$A$2:$A$755,"US_NFP",Release_Calendar!$B$2:$B$755,$A1156)&gt;0,1,0)</f>
        <v>1</v>
      </c>
      <c r="M1156" s="16" t="str">
        <f>IF($A1156&lt;Notes!$B$5,"",IF(COUNTIFS(Release_Calendar!$A$2:$A$755,"NZ_CPI",Release_Calendar!$B$2:$B$755,$A1156)&gt;0,1,0))</f>
        <v/>
      </c>
      <c r="N1156" s="16" t="str">
        <f>IF($A1156&lt;Notes!$B$5,"",IF(COUNTIFS(Release_Calendar!$A$2:$A$755,"NZ_GDP",Release_Calendar!$B$2:$B$755,$A1156)&gt;0,1,0))</f>
        <v/>
      </c>
      <c r="O1156" s="16" t="str">
        <f>IF($A1156&lt;Notes!$B$5,"",IF(COUNTIFS(Release_Calendar!$A$2:$A$755,"NZ_LABOUR",Release_Calendar!$B$2:$B$755,$A1156)&gt;0,1,0))</f>
        <v/>
      </c>
      <c r="P1156" s="16">
        <f t="shared" si="4"/>
        <v>1</v>
      </c>
    </row>
    <row r="1157" ht="15.75" customHeight="1">
      <c r="A1157" s="14">
        <v>38145.0</v>
      </c>
      <c r="B1157" s="15">
        <v>2.67</v>
      </c>
      <c r="C1157" s="15"/>
      <c r="D1157" s="15"/>
      <c r="E1157" s="15"/>
      <c r="F1157" s="15" t="str">
        <f t="shared" si="1"/>
        <v/>
      </c>
      <c r="G1157" s="15" t="str">
        <f t="shared" si="2"/>
        <v/>
      </c>
      <c r="H1157" s="16">
        <v>1.0</v>
      </c>
      <c r="I1157" s="15" t="str">
        <f t="shared" si="3"/>
        <v/>
      </c>
      <c r="J1157" s="15">
        <v>15.39</v>
      </c>
      <c r="K1157" s="16">
        <f>IF(COUNTIFS(Release_Calendar!$A$2:$A$755,"US_CPI",Release_Calendar!$B$2:$B$755,$A1157)&gt;0,1,0)</f>
        <v>0</v>
      </c>
      <c r="L1157" s="16">
        <f>IF(COUNTIFS(Release_Calendar!$A$2:$A$755,"US_NFP",Release_Calendar!$B$2:$B$755,$A1157)&gt;0,1,0)</f>
        <v>0</v>
      </c>
      <c r="M1157" s="16" t="str">
        <f>IF($A1157&lt;Notes!$B$5,"",IF(COUNTIFS(Release_Calendar!$A$2:$A$755,"NZ_CPI",Release_Calendar!$B$2:$B$755,$A1157)&gt;0,1,0))</f>
        <v/>
      </c>
      <c r="N1157" s="16" t="str">
        <f>IF($A1157&lt;Notes!$B$5,"",IF(COUNTIFS(Release_Calendar!$A$2:$A$755,"NZ_GDP",Release_Calendar!$B$2:$B$755,$A1157)&gt;0,1,0))</f>
        <v/>
      </c>
      <c r="O1157" s="16" t="str">
        <f>IF($A1157&lt;Notes!$B$5,"",IF(COUNTIFS(Release_Calendar!$A$2:$A$755,"NZ_LABOUR",Release_Calendar!$B$2:$B$755,$A1157)&gt;0,1,0))</f>
        <v/>
      </c>
      <c r="P1157" s="16">
        <f t="shared" si="4"/>
        <v>0</v>
      </c>
    </row>
    <row r="1158" ht="15.75" customHeight="1">
      <c r="A1158" s="14">
        <v>38146.0</v>
      </c>
      <c r="B1158" s="15">
        <v>2.73</v>
      </c>
      <c r="C1158" s="15"/>
      <c r="D1158" s="15">
        <v>5.89</v>
      </c>
      <c r="E1158" s="15"/>
      <c r="F1158" s="15" t="str">
        <f t="shared" si="1"/>
        <v/>
      </c>
      <c r="G1158" s="15">
        <f t="shared" si="2"/>
        <v>5.89</v>
      </c>
      <c r="H1158" s="16">
        <v>1.0</v>
      </c>
      <c r="I1158" s="15">
        <f t="shared" si="3"/>
        <v>3.16</v>
      </c>
      <c r="J1158" s="15">
        <v>15.01</v>
      </c>
      <c r="K1158" s="16">
        <f>IF(COUNTIFS(Release_Calendar!$A$2:$A$755,"US_CPI",Release_Calendar!$B$2:$B$755,$A1158)&gt;0,1,0)</f>
        <v>0</v>
      </c>
      <c r="L1158" s="16">
        <f>IF(COUNTIFS(Release_Calendar!$A$2:$A$755,"US_NFP",Release_Calendar!$B$2:$B$755,$A1158)&gt;0,1,0)</f>
        <v>0</v>
      </c>
      <c r="M1158" s="16" t="str">
        <f>IF($A1158&lt;Notes!$B$5,"",IF(COUNTIFS(Release_Calendar!$A$2:$A$755,"NZ_CPI",Release_Calendar!$B$2:$B$755,$A1158)&gt;0,1,0))</f>
        <v/>
      </c>
      <c r="N1158" s="16" t="str">
        <f>IF($A1158&lt;Notes!$B$5,"",IF(COUNTIFS(Release_Calendar!$A$2:$A$755,"NZ_GDP",Release_Calendar!$B$2:$B$755,$A1158)&gt;0,1,0))</f>
        <v/>
      </c>
      <c r="O1158" s="16" t="str">
        <f>IF($A1158&lt;Notes!$B$5,"",IF(COUNTIFS(Release_Calendar!$A$2:$A$755,"NZ_LABOUR",Release_Calendar!$B$2:$B$755,$A1158)&gt;0,1,0))</f>
        <v/>
      </c>
      <c r="P1158" s="16">
        <f t="shared" si="4"/>
        <v>0</v>
      </c>
    </row>
    <row r="1159" ht="15.75" customHeight="1">
      <c r="A1159" s="14">
        <v>38147.0</v>
      </c>
      <c r="B1159" s="15">
        <v>2.79</v>
      </c>
      <c r="C1159" s="15"/>
      <c r="D1159" s="15">
        <v>5.89</v>
      </c>
      <c r="E1159" s="15"/>
      <c r="F1159" s="15" t="str">
        <f t="shared" si="1"/>
        <v/>
      </c>
      <c r="G1159" s="15">
        <f t="shared" si="2"/>
        <v>5.89</v>
      </c>
      <c r="H1159" s="16">
        <v>1.0</v>
      </c>
      <c r="I1159" s="15">
        <f t="shared" si="3"/>
        <v>3.1</v>
      </c>
      <c r="J1159" s="15">
        <v>15.39</v>
      </c>
      <c r="K1159" s="16">
        <f>IF(COUNTIFS(Release_Calendar!$A$2:$A$755,"US_CPI",Release_Calendar!$B$2:$B$755,$A1159)&gt;0,1,0)</f>
        <v>0</v>
      </c>
      <c r="L1159" s="16">
        <f>IF(COUNTIFS(Release_Calendar!$A$2:$A$755,"US_NFP",Release_Calendar!$B$2:$B$755,$A1159)&gt;0,1,0)</f>
        <v>0</v>
      </c>
      <c r="M1159" s="16" t="str">
        <f>IF($A1159&lt;Notes!$B$5,"",IF(COUNTIFS(Release_Calendar!$A$2:$A$755,"NZ_CPI",Release_Calendar!$B$2:$B$755,$A1159)&gt;0,1,0))</f>
        <v/>
      </c>
      <c r="N1159" s="16" t="str">
        <f>IF($A1159&lt;Notes!$B$5,"",IF(COUNTIFS(Release_Calendar!$A$2:$A$755,"NZ_GDP",Release_Calendar!$B$2:$B$755,$A1159)&gt;0,1,0))</f>
        <v/>
      </c>
      <c r="O1159" s="16" t="str">
        <f>IF($A1159&lt;Notes!$B$5,"",IF(COUNTIFS(Release_Calendar!$A$2:$A$755,"NZ_LABOUR",Release_Calendar!$B$2:$B$755,$A1159)&gt;0,1,0))</f>
        <v/>
      </c>
      <c r="P1159" s="16">
        <f t="shared" si="4"/>
        <v>0</v>
      </c>
    </row>
    <row r="1160" ht="15.75" customHeight="1">
      <c r="A1160" s="14">
        <v>38148.0</v>
      </c>
      <c r="B1160" s="15">
        <v>2.81</v>
      </c>
      <c r="C1160" s="15"/>
      <c r="D1160" s="15">
        <v>6.01</v>
      </c>
      <c r="E1160" s="15"/>
      <c r="F1160" s="15" t="str">
        <f t="shared" si="1"/>
        <v/>
      </c>
      <c r="G1160" s="15">
        <f t="shared" si="2"/>
        <v>6.01</v>
      </c>
      <c r="H1160" s="16">
        <v>1.0</v>
      </c>
      <c r="I1160" s="15">
        <f t="shared" si="3"/>
        <v>3.2</v>
      </c>
      <c r="J1160" s="15">
        <v>15.04</v>
      </c>
      <c r="K1160" s="16">
        <f>IF(COUNTIFS(Release_Calendar!$A$2:$A$755,"US_CPI",Release_Calendar!$B$2:$B$755,$A1160)&gt;0,1,0)</f>
        <v>0</v>
      </c>
      <c r="L1160" s="16">
        <f>IF(COUNTIFS(Release_Calendar!$A$2:$A$755,"US_NFP",Release_Calendar!$B$2:$B$755,$A1160)&gt;0,1,0)</f>
        <v>0</v>
      </c>
      <c r="M1160" s="16" t="str">
        <f>IF($A1160&lt;Notes!$B$5,"",IF(COUNTIFS(Release_Calendar!$A$2:$A$755,"NZ_CPI",Release_Calendar!$B$2:$B$755,$A1160)&gt;0,1,0))</f>
        <v/>
      </c>
      <c r="N1160" s="16" t="str">
        <f>IF($A1160&lt;Notes!$B$5,"",IF(COUNTIFS(Release_Calendar!$A$2:$A$755,"NZ_GDP",Release_Calendar!$B$2:$B$755,$A1160)&gt;0,1,0))</f>
        <v/>
      </c>
      <c r="O1160" s="16" t="str">
        <f>IF($A1160&lt;Notes!$B$5,"",IF(COUNTIFS(Release_Calendar!$A$2:$A$755,"NZ_LABOUR",Release_Calendar!$B$2:$B$755,$A1160)&gt;0,1,0))</f>
        <v/>
      </c>
      <c r="P1160" s="16">
        <f t="shared" si="4"/>
        <v>0</v>
      </c>
    </row>
    <row r="1161" ht="15.75" customHeight="1">
      <c r="A1161" s="14">
        <v>38149.0</v>
      </c>
      <c r="B1161" s="15"/>
      <c r="C1161" s="15"/>
      <c r="D1161" s="15">
        <v>5.99</v>
      </c>
      <c r="E1161" s="15"/>
      <c r="F1161" s="15" t="str">
        <f t="shared" si="1"/>
        <v/>
      </c>
      <c r="G1161" s="15">
        <f t="shared" si="2"/>
        <v>5.99</v>
      </c>
      <c r="H1161" s="16">
        <v>1.0</v>
      </c>
      <c r="I1161" s="15" t="str">
        <f t="shared" si="3"/>
        <v/>
      </c>
      <c r="J1161" s="15">
        <v>15.04</v>
      </c>
      <c r="K1161" s="16">
        <f>IF(COUNTIFS(Release_Calendar!$A$2:$A$755,"US_CPI",Release_Calendar!$B$2:$B$755,$A1161)&gt;0,1,0)</f>
        <v>0</v>
      </c>
      <c r="L1161" s="16">
        <f>IF(COUNTIFS(Release_Calendar!$A$2:$A$755,"US_NFP",Release_Calendar!$B$2:$B$755,$A1161)&gt;0,1,0)</f>
        <v>0</v>
      </c>
      <c r="M1161" s="16" t="str">
        <f>IF($A1161&lt;Notes!$B$5,"",IF(COUNTIFS(Release_Calendar!$A$2:$A$755,"NZ_CPI",Release_Calendar!$B$2:$B$755,$A1161)&gt;0,1,0))</f>
        <v/>
      </c>
      <c r="N1161" s="16" t="str">
        <f>IF($A1161&lt;Notes!$B$5,"",IF(COUNTIFS(Release_Calendar!$A$2:$A$755,"NZ_GDP",Release_Calendar!$B$2:$B$755,$A1161)&gt;0,1,0))</f>
        <v/>
      </c>
      <c r="O1161" s="16" t="str">
        <f>IF($A1161&lt;Notes!$B$5,"",IF(COUNTIFS(Release_Calendar!$A$2:$A$755,"NZ_LABOUR",Release_Calendar!$B$2:$B$755,$A1161)&gt;0,1,0))</f>
        <v/>
      </c>
      <c r="P1161" s="16">
        <f t="shared" si="4"/>
        <v>0</v>
      </c>
    </row>
    <row r="1162" ht="15.75" customHeight="1">
      <c r="A1162" s="14">
        <v>38152.0</v>
      </c>
      <c r="B1162" s="15">
        <v>2.97</v>
      </c>
      <c r="C1162" s="15"/>
      <c r="D1162" s="15">
        <v>6.01</v>
      </c>
      <c r="E1162" s="15"/>
      <c r="F1162" s="15" t="str">
        <f t="shared" si="1"/>
        <v/>
      </c>
      <c r="G1162" s="15">
        <f t="shared" si="2"/>
        <v>6.01</v>
      </c>
      <c r="H1162" s="16">
        <v>1.0</v>
      </c>
      <c r="I1162" s="15">
        <f t="shared" si="3"/>
        <v>3.04</v>
      </c>
      <c r="J1162" s="15">
        <v>16.07</v>
      </c>
      <c r="K1162" s="16">
        <f>IF(COUNTIFS(Release_Calendar!$A$2:$A$755,"US_CPI",Release_Calendar!$B$2:$B$755,$A1162)&gt;0,1,0)</f>
        <v>0</v>
      </c>
      <c r="L1162" s="16">
        <f>IF(COUNTIFS(Release_Calendar!$A$2:$A$755,"US_NFP",Release_Calendar!$B$2:$B$755,$A1162)&gt;0,1,0)</f>
        <v>0</v>
      </c>
      <c r="M1162" s="16" t="str">
        <f>IF($A1162&lt;Notes!$B$5,"",IF(COUNTIFS(Release_Calendar!$A$2:$A$755,"NZ_CPI",Release_Calendar!$B$2:$B$755,$A1162)&gt;0,1,0))</f>
        <v/>
      </c>
      <c r="N1162" s="16" t="str">
        <f>IF($A1162&lt;Notes!$B$5,"",IF(COUNTIFS(Release_Calendar!$A$2:$A$755,"NZ_GDP",Release_Calendar!$B$2:$B$755,$A1162)&gt;0,1,0))</f>
        <v/>
      </c>
      <c r="O1162" s="16" t="str">
        <f>IF($A1162&lt;Notes!$B$5,"",IF(COUNTIFS(Release_Calendar!$A$2:$A$755,"NZ_LABOUR",Release_Calendar!$B$2:$B$755,$A1162)&gt;0,1,0))</f>
        <v/>
      </c>
      <c r="P1162" s="16">
        <f t="shared" si="4"/>
        <v>0</v>
      </c>
    </row>
    <row r="1163" ht="15.75" customHeight="1">
      <c r="A1163" s="14">
        <v>38153.0</v>
      </c>
      <c r="B1163" s="15">
        <v>2.77</v>
      </c>
      <c r="C1163" s="15"/>
      <c r="D1163" s="15">
        <v>6.04</v>
      </c>
      <c r="E1163" s="15"/>
      <c r="F1163" s="15" t="str">
        <f t="shared" si="1"/>
        <v/>
      </c>
      <c r="G1163" s="15">
        <f t="shared" si="2"/>
        <v>6.04</v>
      </c>
      <c r="H1163" s="16">
        <v>1.0</v>
      </c>
      <c r="I1163" s="15">
        <f t="shared" si="3"/>
        <v>3.27</v>
      </c>
      <c r="J1163" s="15">
        <v>15.05</v>
      </c>
      <c r="K1163" s="16">
        <f>IF(COUNTIFS(Release_Calendar!$A$2:$A$755,"US_CPI",Release_Calendar!$B$2:$B$755,$A1163)&gt;0,1,0)</f>
        <v>1</v>
      </c>
      <c r="L1163" s="16">
        <f>IF(COUNTIFS(Release_Calendar!$A$2:$A$755,"US_NFP",Release_Calendar!$B$2:$B$755,$A1163)&gt;0,1,0)</f>
        <v>0</v>
      </c>
      <c r="M1163" s="16" t="str">
        <f>IF($A1163&lt;Notes!$B$5,"",IF(COUNTIFS(Release_Calendar!$A$2:$A$755,"NZ_CPI",Release_Calendar!$B$2:$B$755,$A1163)&gt;0,1,0))</f>
        <v/>
      </c>
      <c r="N1163" s="16" t="str">
        <f>IF($A1163&lt;Notes!$B$5,"",IF(COUNTIFS(Release_Calendar!$A$2:$A$755,"NZ_GDP",Release_Calendar!$B$2:$B$755,$A1163)&gt;0,1,0))</f>
        <v/>
      </c>
      <c r="O1163" s="16" t="str">
        <f>IF($A1163&lt;Notes!$B$5,"",IF(COUNTIFS(Release_Calendar!$A$2:$A$755,"NZ_LABOUR",Release_Calendar!$B$2:$B$755,$A1163)&gt;0,1,0))</f>
        <v/>
      </c>
      <c r="P1163" s="16">
        <f t="shared" si="4"/>
        <v>1</v>
      </c>
    </row>
    <row r="1164" ht="15.75" customHeight="1">
      <c r="A1164" s="14">
        <v>38154.0</v>
      </c>
      <c r="B1164" s="15">
        <v>2.84</v>
      </c>
      <c r="C1164" s="15"/>
      <c r="D1164" s="15">
        <v>5.95</v>
      </c>
      <c r="E1164" s="15"/>
      <c r="F1164" s="15" t="str">
        <f t="shared" si="1"/>
        <v/>
      </c>
      <c r="G1164" s="15">
        <f t="shared" si="2"/>
        <v>5.95</v>
      </c>
      <c r="H1164" s="16">
        <v>1.0</v>
      </c>
      <c r="I1164" s="15">
        <f t="shared" si="3"/>
        <v>3.11</v>
      </c>
      <c r="J1164" s="15">
        <v>14.79</v>
      </c>
      <c r="K1164" s="16">
        <f>IF(COUNTIFS(Release_Calendar!$A$2:$A$755,"US_CPI",Release_Calendar!$B$2:$B$755,$A1164)&gt;0,1,0)</f>
        <v>0</v>
      </c>
      <c r="L1164" s="16">
        <f>IF(COUNTIFS(Release_Calendar!$A$2:$A$755,"US_NFP",Release_Calendar!$B$2:$B$755,$A1164)&gt;0,1,0)</f>
        <v>0</v>
      </c>
      <c r="M1164" s="16" t="str">
        <f>IF($A1164&lt;Notes!$B$5,"",IF(COUNTIFS(Release_Calendar!$A$2:$A$755,"NZ_CPI",Release_Calendar!$B$2:$B$755,$A1164)&gt;0,1,0))</f>
        <v/>
      </c>
      <c r="N1164" s="16" t="str">
        <f>IF($A1164&lt;Notes!$B$5,"",IF(COUNTIFS(Release_Calendar!$A$2:$A$755,"NZ_GDP",Release_Calendar!$B$2:$B$755,$A1164)&gt;0,1,0))</f>
        <v/>
      </c>
      <c r="O1164" s="16" t="str">
        <f>IF($A1164&lt;Notes!$B$5,"",IF(COUNTIFS(Release_Calendar!$A$2:$A$755,"NZ_LABOUR",Release_Calendar!$B$2:$B$755,$A1164)&gt;0,1,0))</f>
        <v/>
      </c>
      <c r="P1164" s="16">
        <f t="shared" si="4"/>
        <v>0</v>
      </c>
    </row>
    <row r="1165" ht="15.75" customHeight="1">
      <c r="A1165" s="14">
        <v>38155.0</v>
      </c>
      <c r="B1165" s="15">
        <v>2.81</v>
      </c>
      <c r="C1165" s="15"/>
      <c r="D1165" s="15">
        <v>5.98</v>
      </c>
      <c r="E1165" s="15"/>
      <c r="F1165" s="15" t="str">
        <f t="shared" si="1"/>
        <v/>
      </c>
      <c r="G1165" s="15">
        <f t="shared" si="2"/>
        <v>5.98</v>
      </c>
      <c r="H1165" s="16">
        <v>1.0</v>
      </c>
      <c r="I1165" s="15">
        <f t="shared" si="3"/>
        <v>3.17</v>
      </c>
      <c r="J1165" s="15">
        <v>15.15</v>
      </c>
      <c r="K1165" s="16">
        <f>IF(COUNTIFS(Release_Calendar!$A$2:$A$755,"US_CPI",Release_Calendar!$B$2:$B$755,$A1165)&gt;0,1,0)</f>
        <v>0</v>
      </c>
      <c r="L1165" s="16">
        <f>IF(COUNTIFS(Release_Calendar!$A$2:$A$755,"US_NFP",Release_Calendar!$B$2:$B$755,$A1165)&gt;0,1,0)</f>
        <v>0</v>
      </c>
      <c r="M1165" s="16" t="str">
        <f>IF($A1165&lt;Notes!$B$5,"",IF(COUNTIFS(Release_Calendar!$A$2:$A$755,"NZ_CPI",Release_Calendar!$B$2:$B$755,$A1165)&gt;0,1,0))</f>
        <v/>
      </c>
      <c r="N1165" s="16" t="str">
        <f>IF($A1165&lt;Notes!$B$5,"",IF(COUNTIFS(Release_Calendar!$A$2:$A$755,"NZ_GDP",Release_Calendar!$B$2:$B$755,$A1165)&gt;0,1,0))</f>
        <v/>
      </c>
      <c r="O1165" s="16" t="str">
        <f>IF($A1165&lt;Notes!$B$5,"",IF(COUNTIFS(Release_Calendar!$A$2:$A$755,"NZ_LABOUR",Release_Calendar!$B$2:$B$755,$A1165)&gt;0,1,0))</f>
        <v/>
      </c>
      <c r="P1165" s="16">
        <f t="shared" si="4"/>
        <v>0</v>
      </c>
    </row>
    <row r="1166" ht="15.75" customHeight="1">
      <c r="A1166" s="14">
        <v>38156.0</v>
      </c>
      <c r="B1166" s="15">
        <v>2.81</v>
      </c>
      <c r="C1166" s="15"/>
      <c r="D1166" s="15">
        <v>5.98</v>
      </c>
      <c r="E1166" s="15"/>
      <c r="F1166" s="15" t="str">
        <f t="shared" si="1"/>
        <v/>
      </c>
      <c r="G1166" s="15">
        <f t="shared" si="2"/>
        <v>5.98</v>
      </c>
      <c r="H1166" s="16">
        <v>1.0</v>
      </c>
      <c r="I1166" s="15">
        <f t="shared" si="3"/>
        <v>3.17</v>
      </c>
      <c r="J1166" s="15">
        <v>14.99</v>
      </c>
      <c r="K1166" s="16">
        <f>IF(COUNTIFS(Release_Calendar!$A$2:$A$755,"US_CPI",Release_Calendar!$B$2:$B$755,$A1166)&gt;0,1,0)</f>
        <v>0</v>
      </c>
      <c r="L1166" s="16">
        <f>IF(COUNTIFS(Release_Calendar!$A$2:$A$755,"US_NFP",Release_Calendar!$B$2:$B$755,$A1166)&gt;0,1,0)</f>
        <v>0</v>
      </c>
      <c r="M1166" s="16" t="str">
        <f>IF($A1166&lt;Notes!$B$5,"",IF(COUNTIFS(Release_Calendar!$A$2:$A$755,"NZ_CPI",Release_Calendar!$B$2:$B$755,$A1166)&gt;0,1,0))</f>
        <v/>
      </c>
      <c r="N1166" s="16" t="str">
        <f>IF($A1166&lt;Notes!$B$5,"",IF(COUNTIFS(Release_Calendar!$A$2:$A$755,"NZ_GDP",Release_Calendar!$B$2:$B$755,$A1166)&gt;0,1,0))</f>
        <v/>
      </c>
      <c r="O1166" s="16" t="str">
        <f>IF($A1166&lt;Notes!$B$5,"",IF(COUNTIFS(Release_Calendar!$A$2:$A$755,"NZ_LABOUR",Release_Calendar!$B$2:$B$755,$A1166)&gt;0,1,0))</f>
        <v/>
      </c>
      <c r="P1166" s="16">
        <f t="shared" si="4"/>
        <v>0</v>
      </c>
    </row>
    <row r="1167" ht="15.75" customHeight="1">
      <c r="A1167" s="14">
        <v>38159.0</v>
      </c>
      <c r="B1167" s="15">
        <v>2.8</v>
      </c>
      <c r="C1167" s="15"/>
      <c r="D1167" s="15">
        <v>5.99</v>
      </c>
      <c r="E1167" s="15"/>
      <c r="F1167" s="15" t="str">
        <f t="shared" si="1"/>
        <v/>
      </c>
      <c r="G1167" s="15">
        <f t="shared" si="2"/>
        <v>5.99</v>
      </c>
      <c r="H1167" s="16">
        <v>1.0</v>
      </c>
      <c r="I1167" s="15">
        <f t="shared" si="3"/>
        <v>3.19</v>
      </c>
      <c r="J1167" s="15">
        <v>15.26</v>
      </c>
      <c r="K1167" s="16">
        <f>IF(COUNTIFS(Release_Calendar!$A$2:$A$755,"US_CPI",Release_Calendar!$B$2:$B$755,$A1167)&gt;0,1,0)</f>
        <v>0</v>
      </c>
      <c r="L1167" s="16">
        <f>IF(COUNTIFS(Release_Calendar!$A$2:$A$755,"US_NFP",Release_Calendar!$B$2:$B$755,$A1167)&gt;0,1,0)</f>
        <v>0</v>
      </c>
      <c r="M1167" s="16" t="str">
        <f>IF($A1167&lt;Notes!$B$5,"",IF(COUNTIFS(Release_Calendar!$A$2:$A$755,"NZ_CPI",Release_Calendar!$B$2:$B$755,$A1167)&gt;0,1,0))</f>
        <v/>
      </c>
      <c r="N1167" s="16" t="str">
        <f>IF($A1167&lt;Notes!$B$5,"",IF(COUNTIFS(Release_Calendar!$A$2:$A$755,"NZ_GDP",Release_Calendar!$B$2:$B$755,$A1167)&gt;0,1,0))</f>
        <v/>
      </c>
      <c r="O1167" s="16" t="str">
        <f>IF($A1167&lt;Notes!$B$5,"",IF(COUNTIFS(Release_Calendar!$A$2:$A$755,"NZ_LABOUR",Release_Calendar!$B$2:$B$755,$A1167)&gt;0,1,0))</f>
        <v/>
      </c>
      <c r="P1167" s="16">
        <f t="shared" si="4"/>
        <v>0</v>
      </c>
    </row>
    <row r="1168" ht="15.75" customHeight="1">
      <c r="A1168" s="14">
        <v>38160.0</v>
      </c>
      <c r="B1168" s="15">
        <v>2.8</v>
      </c>
      <c r="C1168" s="15"/>
      <c r="D1168" s="15">
        <v>5.99</v>
      </c>
      <c r="E1168" s="15"/>
      <c r="F1168" s="15" t="str">
        <f t="shared" si="1"/>
        <v/>
      </c>
      <c r="G1168" s="15">
        <f t="shared" si="2"/>
        <v>5.99</v>
      </c>
      <c r="H1168" s="16">
        <v>1.0</v>
      </c>
      <c r="I1168" s="15">
        <f t="shared" si="3"/>
        <v>3.19</v>
      </c>
      <c r="J1168" s="15">
        <v>14.31</v>
      </c>
      <c r="K1168" s="16">
        <f>IF(COUNTIFS(Release_Calendar!$A$2:$A$755,"US_CPI",Release_Calendar!$B$2:$B$755,$A1168)&gt;0,1,0)</f>
        <v>0</v>
      </c>
      <c r="L1168" s="16">
        <f>IF(COUNTIFS(Release_Calendar!$A$2:$A$755,"US_NFP",Release_Calendar!$B$2:$B$755,$A1168)&gt;0,1,0)</f>
        <v>0</v>
      </c>
      <c r="M1168" s="16" t="str">
        <f>IF($A1168&lt;Notes!$B$5,"",IF(COUNTIFS(Release_Calendar!$A$2:$A$755,"NZ_CPI",Release_Calendar!$B$2:$B$755,$A1168)&gt;0,1,0))</f>
        <v/>
      </c>
      <c r="N1168" s="16" t="str">
        <f>IF($A1168&lt;Notes!$B$5,"",IF(COUNTIFS(Release_Calendar!$A$2:$A$755,"NZ_GDP",Release_Calendar!$B$2:$B$755,$A1168)&gt;0,1,0))</f>
        <v/>
      </c>
      <c r="O1168" s="16" t="str">
        <f>IF($A1168&lt;Notes!$B$5,"",IF(COUNTIFS(Release_Calendar!$A$2:$A$755,"NZ_LABOUR",Release_Calendar!$B$2:$B$755,$A1168)&gt;0,1,0))</f>
        <v/>
      </c>
      <c r="P1168" s="16">
        <f t="shared" si="4"/>
        <v>0</v>
      </c>
    </row>
    <row r="1169" ht="15.75" customHeight="1">
      <c r="A1169" s="14">
        <v>38161.0</v>
      </c>
      <c r="B1169" s="15">
        <v>2.78</v>
      </c>
      <c r="C1169" s="15"/>
      <c r="D1169" s="15">
        <v>6.01</v>
      </c>
      <c r="E1169" s="15"/>
      <c r="F1169" s="15" t="str">
        <f t="shared" si="1"/>
        <v/>
      </c>
      <c r="G1169" s="15">
        <f t="shared" si="2"/>
        <v>6.01</v>
      </c>
      <c r="H1169" s="16">
        <v>1.0</v>
      </c>
      <c r="I1169" s="15">
        <f t="shared" si="3"/>
        <v>3.23</v>
      </c>
      <c r="J1169" s="15">
        <v>13.98</v>
      </c>
      <c r="K1169" s="16">
        <f>IF(COUNTIFS(Release_Calendar!$A$2:$A$755,"US_CPI",Release_Calendar!$B$2:$B$755,$A1169)&gt;0,1,0)</f>
        <v>0</v>
      </c>
      <c r="L1169" s="16">
        <f>IF(COUNTIFS(Release_Calendar!$A$2:$A$755,"US_NFP",Release_Calendar!$B$2:$B$755,$A1169)&gt;0,1,0)</f>
        <v>0</v>
      </c>
      <c r="M1169" s="16" t="str">
        <f>IF($A1169&lt;Notes!$B$5,"",IF(COUNTIFS(Release_Calendar!$A$2:$A$755,"NZ_CPI",Release_Calendar!$B$2:$B$755,$A1169)&gt;0,1,0))</f>
        <v/>
      </c>
      <c r="N1169" s="16" t="str">
        <f>IF($A1169&lt;Notes!$B$5,"",IF(COUNTIFS(Release_Calendar!$A$2:$A$755,"NZ_GDP",Release_Calendar!$B$2:$B$755,$A1169)&gt;0,1,0))</f>
        <v/>
      </c>
      <c r="O1169" s="16" t="str">
        <f>IF($A1169&lt;Notes!$B$5,"",IF(COUNTIFS(Release_Calendar!$A$2:$A$755,"NZ_LABOUR",Release_Calendar!$B$2:$B$755,$A1169)&gt;0,1,0))</f>
        <v/>
      </c>
      <c r="P1169" s="16">
        <f t="shared" si="4"/>
        <v>0</v>
      </c>
    </row>
    <row r="1170" ht="15.75" customHeight="1">
      <c r="A1170" s="14">
        <v>38162.0</v>
      </c>
      <c r="B1170" s="15">
        <v>2.74</v>
      </c>
      <c r="C1170" s="15"/>
      <c r="D1170" s="15">
        <v>6.02</v>
      </c>
      <c r="E1170" s="15"/>
      <c r="F1170" s="15" t="str">
        <f t="shared" si="1"/>
        <v/>
      </c>
      <c r="G1170" s="15">
        <f t="shared" si="2"/>
        <v>6.02</v>
      </c>
      <c r="H1170" s="16">
        <v>1.0</v>
      </c>
      <c r="I1170" s="15">
        <f t="shared" si="3"/>
        <v>3.28</v>
      </c>
      <c r="J1170" s="15">
        <v>14.81</v>
      </c>
      <c r="K1170" s="16">
        <f>IF(COUNTIFS(Release_Calendar!$A$2:$A$755,"US_CPI",Release_Calendar!$B$2:$B$755,$A1170)&gt;0,1,0)</f>
        <v>0</v>
      </c>
      <c r="L1170" s="16">
        <f>IF(COUNTIFS(Release_Calendar!$A$2:$A$755,"US_NFP",Release_Calendar!$B$2:$B$755,$A1170)&gt;0,1,0)</f>
        <v>0</v>
      </c>
      <c r="M1170" s="16" t="str">
        <f>IF($A1170&lt;Notes!$B$5,"",IF(COUNTIFS(Release_Calendar!$A$2:$A$755,"NZ_CPI",Release_Calendar!$B$2:$B$755,$A1170)&gt;0,1,0))</f>
        <v/>
      </c>
      <c r="N1170" s="16" t="str">
        <f>IF($A1170&lt;Notes!$B$5,"",IF(COUNTIFS(Release_Calendar!$A$2:$A$755,"NZ_GDP",Release_Calendar!$B$2:$B$755,$A1170)&gt;0,1,0))</f>
        <v/>
      </c>
      <c r="O1170" s="16" t="str">
        <f>IF($A1170&lt;Notes!$B$5,"",IF(COUNTIFS(Release_Calendar!$A$2:$A$755,"NZ_LABOUR",Release_Calendar!$B$2:$B$755,$A1170)&gt;0,1,0))</f>
        <v/>
      </c>
      <c r="P1170" s="16">
        <f t="shared" si="4"/>
        <v>0</v>
      </c>
    </row>
    <row r="1171" ht="15.75" customHeight="1">
      <c r="A1171" s="14">
        <v>38163.0</v>
      </c>
      <c r="B1171" s="15">
        <v>2.74</v>
      </c>
      <c r="C1171" s="15"/>
      <c r="D1171" s="15">
        <v>6.03</v>
      </c>
      <c r="E1171" s="15"/>
      <c r="F1171" s="15" t="str">
        <f t="shared" si="1"/>
        <v/>
      </c>
      <c r="G1171" s="15">
        <f t="shared" si="2"/>
        <v>6.03</v>
      </c>
      <c r="H1171" s="16">
        <v>1.0</v>
      </c>
      <c r="I1171" s="15">
        <f t="shared" si="3"/>
        <v>3.29</v>
      </c>
      <c r="J1171" s="15">
        <v>15.19</v>
      </c>
      <c r="K1171" s="16">
        <f>IF(COUNTIFS(Release_Calendar!$A$2:$A$755,"US_CPI",Release_Calendar!$B$2:$B$755,$A1171)&gt;0,1,0)</f>
        <v>0</v>
      </c>
      <c r="L1171" s="16">
        <f>IF(COUNTIFS(Release_Calendar!$A$2:$A$755,"US_NFP",Release_Calendar!$B$2:$B$755,$A1171)&gt;0,1,0)</f>
        <v>0</v>
      </c>
      <c r="M1171" s="16" t="str">
        <f>IF($A1171&lt;Notes!$B$5,"",IF(COUNTIFS(Release_Calendar!$A$2:$A$755,"NZ_CPI",Release_Calendar!$B$2:$B$755,$A1171)&gt;0,1,0))</f>
        <v/>
      </c>
      <c r="N1171" s="16" t="str">
        <f>IF($A1171&lt;Notes!$B$5,"",IF(COUNTIFS(Release_Calendar!$A$2:$A$755,"NZ_GDP",Release_Calendar!$B$2:$B$755,$A1171)&gt;0,1,0))</f>
        <v/>
      </c>
      <c r="O1171" s="16" t="str">
        <f>IF($A1171&lt;Notes!$B$5,"",IF(COUNTIFS(Release_Calendar!$A$2:$A$755,"NZ_LABOUR",Release_Calendar!$B$2:$B$755,$A1171)&gt;0,1,0))</f>
        <v/>
      </c>
      <c r="P1171" s="16">
        <f t="shared" si="4"/>
        <v>0</v>
      </c>
    </row>
    <row r="1172" ht="15.75" customHeight="1">
      <c r="A1172" s="14">
        <v>38166.0</v>
      </c>
      <c r="B1172" s="15">
        <v>2.86</v>
      </c>
      <c r="C1172" s="15"/>
      <c r="D1172" s="15">
        <v>6.04</v>
      </c>
      <c r="E1172" s="15"/>
      <c r="F1172" s="15" t="str">
        <f t="shared" si="1"/>
        <v/>
      </c>
      <c r="G1172" s="15">
        <f t="shared" si="2"/>
        <v>6.04</v>
      </c>
      <c r="H1172" s="16">
        <v>1.0</v>
      </c>
      <c r="I1172" s="15">
        <f t="shared" si="3"/>
        <v>3.18</v>
      </c>
      <c r="J1172" s="15">
        <v>16.07</v>
      </c>
      <c r="K1172" s="16">
        <f>IF(COUNTIFS(Release_Calendar!$A$2:$A$755,"US_CPI",Release_Calendar!$B$2:$B$755,$A1172)&gt;0,1,0)</f>
        <v>0</v>
      </c>
      <c r="L1172" s="16">
        <f>IF(COUNTIFS(Release_Calendar!$A$2:$A$755,"US_NFP",Release_Calendar!$B$2:$B$755,$A1172)&gt;0,1,0)</f>
        <v>0</v>
      </c>
      <c r="M1172" s="16" t="str">
        <f>IF($A1172&lt;Notes!$B$5,"",IF(COUNTIFS(Release_Calendar!$A$2:$A$755,"NZ_CPI",Release_Calendar!$B$2:$B$755,$A1172)&gt;0,1,0))</f>
        <v/>
      </c>
      <c r="N1172" s="16" t="str">
        <f>IF($A1172&lt;Notes!$B$5,"",IF(COUNTIFS(Release_Calendar!$A$2:$A$755,"NZ_GDP",Release_Calendar!$B$2:$B$755,$A1172)&gt;0,1,0))</f>
        <v/>
      </c>
      <c r="O1172" s="16" t="str">
        <f>IF($A1172&lt;Notes!$B$5,"",IF(COUNTIFS(Release_Calendar!$A$2:$A$755,"NZ_LABOUR",Release_Calendar!$B$2:$B$755,$A1172)&gt;0,1,0))</f>
        <v/>
      </c>
      <c r="P1172" s="16">
        <f t="shared" si="4"/>
        <v>0</v>
      </c>
    </row>
    <row r="1173" ht="15.75" customHeight="1">
      <c r="A1173" s="14">
        <v>38167.0</v>
      </c>
      <c r="B1173" s="15">
        <v>2.83</v>
      </c>
      <c r="C1173" s="15"/>
      <c r="D1173" s="15">
        <v>6.05</v>
      </c>
      <c r="E1173" s="15"/>
      <c r="F1173" s="15" t="str">
        <f t="shared" si="1"/>
        <v/>
      </c>
      <c r="G1173" s="15">
        <f t="shared" si="2"/>
        <v>6.05</v>
      </c>
      <c r="H1173" s="16">
        <v>1.0</v>
      </c>
      <c r="I1173" s="15">
        <f t="shared" si="3"/>
        <v>3.22</v>
      </c>
      <c r="J1173" s="15">
        <v>15.47</v>
      </c>
      <c r="K1173" s="16">
        <f>IF(COUNTIFS(Release_Calendar!$A$2:$A$755,"US_CPI",Release_Calendar!$B$2:$B$755,$A1173)&gt;0,1,0)</f>
        <v>0</v>
      </c>
      <c r="L1173" s="16">
        <f>IF(COUNTIFS(Release_Calendar!$A$2:$A$755,"US_NFP",Release_Calendar!$B$2:$B$755,$A1173)&gt;0,1,0)</f>
        <v>0</v>
      </c>
      <c r="M1173" s="16" t="str">
        <f>IF($A1173&lt;Notes!$B$5,"",IF(COUNTIFS(Release_Calendar!$A$2:$A$755,"NZ_CPI",Release_Calendar!$B$2:$B$755,$A1173)&gt;0,1,0))</f>
        <v/>
      </c>
      <c r="N1173" s="16" t="str">
        <f>IF($A1173&lt;Notes!$B$5,"",IF(COUNTIFS(Release_Calendar!$A$2:$A$755,"NZ_GDP",Release_Calendar!$B$2:$B$755,$A1173)&gt;0,1,0))</f>
        <v/>
      </c>
      <c r="O1173" s="16" t="str">
        <f>IF($A1173&lt;Notes!$B$5,"",IF(COUNTIFS(Release_Calendar!$A$2:$A$755,"NZ_LABOUR",Release_Calendar!$B$2:$B$755,$A1173)&gt;0,1,0))</f>
        <v/>
      </c>
      <c r="P1173" s="16">
        <f t="shared" si="4"/>
        <v>0</v>
      </c>
    </row>
    <row r="1174" ht="15.75" customHeight="1">
      <c r="A1174" s="14">
        <v>38168.0</v>
      </c>
      <c r="B1174" s="15">
        <v>2.7</v>
      </c>
      <c r="C1174" s="15"/>
      <c r="D1174" s="15">
        <v>6.05</v>
      </c>
      <c r="E1174" s="15"/>
      <c r="F1174" s="15" t="str">
        <f t="shared" si="1"/>
        <v/>
      </c>
      <c r="G1174" s="15">
        <f t="shared" si="2"/>
        <v>6.05</v>
      </c>
      <c r="H1174" s="16">
        <v>1.0</v>
      </c>
      <c r="I1174" s="15">
        <f t="shared" si="3"/>
        <v>3.35</v>
      </c>
      <c r="J1174" s="15">
        <v>14.34</v>
      </c>
      <c r="K1174" s="16">
        <f>IF(COUNTIFS(Release_Calendar!$A$2:$A$755,"US_CPI",Release_Calendar!$B$2:$B$755,$A1174)&gt;0,1,0)</f>
        <v>0</v>
      </c>
      <c r="L1174" s="16">
        <f>IF(COUNTIFS(Release_Calendar!$A$2:$A$755,"US_NFP",Release_Calendar!$B$2:$B$755,$A1174)&gt;0,1,0)</f>
        <v>0</v>
      </c>
      <c r="M1174" s="16" t="str">
        <f>IF($A1174&lt;Notes!$B$5,"",IF(COUNTIFS(Release_Calendar!$A$2:$A$755,"NZ_CPI",Release_Calendar!$B$2:$B$755,$A1174)&gt;0,1,0))</f>
        <v/>
      </c>
      <c r="N1174" s="16" t="str">
        <f>IF($A1174&lt;Notes!$B$5,"",IF(COUNTIFS(Release_Calendar!$A$2:$A$755,"NZ_GDP",Release_Calendar!$B$2:$B$755,$A1174)&gt;0,1,0))</f>
        <v/>
      </c>
      <c r="O1174" s="16" t="str">
        <f>IF($A1174&lt;Notes!$B$5,"",IF(COUNTIFS(Release_Calendar!$A$2:$A$755,"NZ_LABOUR",Release_Calendar!$B$2:$B$755,$A1174)&gt;0,1,0))</f>
        <v/>
      </c>
      <c r="P1174" s="16">
        <f t="shared" si="4"/>
        <v>0</v>
      </c>
    </row>
    <row r="1175" ht="15.75" customHeight="1">
      <c r="A1175" s="14">
        <v>38169.0</v>
      </c>
      <c r="B1175" s="15">
        <v>2.64</v>
      </c>
      <c r="C1175" s="15"/>
      <c r="D1175" s="15">
        <v>6.01</v>
      </c>
      <c r="E1175" s="15"/>
      <c r="F1175" s="15" t="str">
        <f t="shared" si="1"/>
        <v/>
      </c>
      <c r="G1175" s="15">
        <f t="shared" si="2"/>
        <v>6.01</v>
      </c>
      <c r="H1175" s="16">
        <v>1.0</v>
      </c>
      <c r="I1175" s="15">
        <f t="shared" si="3"/>
        <v>3.37</v>
      </c>
      <c r="J1175" s="15">
        <v>15.2</v>
      </c>
      <c r="K1175" s="16">
        <f>IF(COUNTIFS(Release_Calendar!$A$2:$A$755,"US_CPI",Release_Calendar!$B$2:$B$755,$A1175)&gt;0,1,0)</f>
        <v>0</v>
      </c>
      <c r="L1175" s="16">
        <f>IF(COUNTIFS(Release_Calendar!$A$2:$A$755,"US_NFP",Release_Calendar!$B$2:$B$755,$A1175)&gt;0,1,0)</f>
        <v>0</v>
      </c>
      <c r="M1175" s="16" t="str">
        <f>IF($A1175&lt;Notes!$B$5,"",IF(COUNTIFS(Release_Calendar!$A$2:$A$755,"NZ_CPI",Release_Calendar!$B$2:$B$755,$A1175)&gt;0,1,0))</f>
        <v/>
      </c>
      <c r="N1175" s="16" t="str">
        <f>IF($A1175&lt;Notes!$B$5,"",IF(COUNTIFS(Release_Calendar!$A$2:$A$755,"NZ_GDP",Release_Calendar!$B$2:$B$755,$A1175)&gt;0,1,0))</f>
        <v/>
      </c>
      <c r="O1175" s="16" t="str">
        <f>IF($A1175&lt;Notes!$B$5,"",IF(COUNTIFS(Release_Calendar!$A$2:$A$755,"NZ_LABOUR",Release_Calendar!$B$2:$B$755,$A1175)&gt;0,1,0))</f>
        <v/>
      </c>
      <c r="P1175" s="16">
        <f t="shared" si="4"/>
        <v>0</v>
      </c>
    </row>
    <row r="1176" ht="15.75" customHeight="1">
      <c r="A1176" s="14">
        <v>38170.0</v>
      </c>
      <c r="B1176" s="15">
        <v>2.54</v>
      </c>
      <c r="C1176" s="15"/>
      <c r="D1176" s="15">
        <v>6.03</v>
      </c>
      <c r="E1176" s="15"/>
      <c r="F1176" s="15" t="str">
        <f t="shared" si="1"/>
        <v/>
      </c>
      <c r="G1176" s="15">
        <f t="shared" si="2"/>
        <v>6.03</v>
      </c>
      <c r="H1176" s="16">
        <v>1.0</v>
      </c>
      <c r="I1176" s="15">
        <f t="shared" si="3"/>
        <v>3.49</v>
      </c>
      <c r="J1176" s="15">
        <v>15.08</v>
      </c>
      <c r="K1176" s="16">
        <f>IF(COUNTIFS(Release_Calendar!$A$2:$A$755,"US_CPI",Release_Calendar!$B$2:$B$755,$A1176)&gt;0,1,0)</f>
        <v>0</v>
      </c>
      <c r="L1176" s="16">
        <f>IF(COUNTIFS(Release_Calendar!$A$2:$A$755,"US_NFP",Release_Calendar!$B$2:$B$755,$A1176)&gt;0,1,0)</f>
        <v>1</v>
      </c>
      <c r="M1176" s="16" t="str">
        <f>IF($A1176&lt;Notes!$B$5,"",IF(COUNTIFS(Release_Calendar!$A$2:$A$755,"NZ_CPI",Release_Calendar!$B$2:$B$755,$A1176)&gt;0,1,0))</f>
        <v/>
      </c>
      <c r="N1176" s="16" t="str">
        <f>IF($A1176&lt;Notes!$B$5,"",IF(COUNTIFS(Release_Calendar!$A$2:$A$755,"NZ_GDP",Release_Calendar!$B$2:$B$755,$A1176)&gt;0,1,0))</f>
        <v/>
      </c>
      <c r="O1176" s="16" t="str">
        <f>IF($A1176&lt;Notes!$B$5,"",IF(COUNTIFS(Release_Calendar!$A$2:$A$755,"NZ_LABOUR",Release_Calendar!$B$2:$B$755,$A1176)&gt;0,1,0))</f>
        <v/>
      </c>
      <c r="P1176" s="16">
        <f t="shared" si="4"/>
        <v>1</v>
      </c>
    </row>
    <row r="1177" ht="15.75" customHeight="1">
      <c r="A1177" s="14">
        <v>38173.0</v>
      </c>
      <c r="B1177" s="15"/>
      <c r="C1177" s="15"/>
      <c r="D1177" s="15">
        <v>6.0</v>
      </c>
      <c r="E1177" s="15"/>
      <c r="F1177" s="15" t="str">
        <f t="shared" si="1"/>
        <v/>
      </c>
      <c r="G1177" s="15">
        <f t="shared" si="2"/>
        <v>6</v>
      </c>
      <c r="H1177" s="16">
        <v>1.0</v>
      </c>
      <c r="I1177" s="15" t="str">
        <f t="shared" si="3"/>
        <v/>
      </c>
      <c r="J1177" s="15"/>
      <c r="K1177" s="16">
        <f>IF(COUNTIFS(Release_Calendar!$A$2:$A$755,"US_CPI",Release_Calendar!$B$2:$B$755,$A1177)&gt;0,1,0)</f>
        <v>0</v>
      </c>
      <c r="L1177" s="16">
        <f>IF(COUNTIFS(Release_Calendar!$A$2:$A$755,"US_NFP",Release_Calendar!$B$2:$B$755,$A1177)&gt;0,1,0)</f>
        <v>0</v>
      </c>
      <c r="M1177" s="16" t="str">
        <f>IF($A1177&lt;Notes!$B$5,"",IF(COUNTIFS(Release_Calendar!$A$2:$A$755,"NZ_CPI",Release_Calendar!$B$2:$B$755,$A1177)&gt;0,1,0))</f>
        <v/>
      </c>
      <c r="N1177" s="16" t="str">
        <f>IF($A1177&lt;Notes!$B$5,"",IF(COUNTIFS(Release_Calendar!$A$2:$A$755,"NZ_GDP",Release_Calendar!$B$2:$B$755,$A1177)&gt;0,1,0))</f>
        <v/>
      </c>
      <c r="O1177" s="16" t="str">
        <f>IF($A1177&lt;Notes!$B$5,"",IF(COUNTIFS(Release_Calendar!$A$2:$A$755,"NZ_LABOUR",Release_Calendar!$B$2:$B$755,$A1177)&gt;0,1,0))</f>
        <v/>
      </c>
      <c r="P1177" s="16">
        <f t="shared" si="4"/>
        <v>0</v>
      </c>
    </row>
    <row r="1178" ht="15.75" customHeight="1">
      <c r="A1178" s="14">
        <v>38174.0</v>
      </c>
      <c r="B1178" s="15">
        <v>2.56</v>
      </c>
      <c r="C1178" s="15"/>
      <c r="D1178" s="15">
        <v>6.03</v>
      </c>
      <c r="E1178" s="15"/>
      <c r="F1178" s="15" t="str">
        <f t="shared" si="1"/>
        <v/>
      </c>
      <c r="G1178" s="15">
        <f t="shared" si="2"/>
        <v>6.03</v>
      </c>
      <c r="H1178" s="16">
        <v>1.0</v>
      </c>
      <c r="I1178" s="15">
        <f t="shared" si="3"/>
        <v>3.47</v>
      </c>
      <c r="J1178" s="15">
        <v>16.25</v>
      </c>
      <c r="K1178" s="16">
        <f>IF(COUNTIFS(Release_Calendar!$A$2:$A$755,"US_CPI",Release_Calendar!$B$2:$B$755,$A1178)&gt;0,1,0)</f>
        <v>0</v>
      </c>
      <c r="L1178" s="16">
        <f>IF(COUNTIFS(Release_Calendar!$A$2:$A$755,"US_NFP",Release_Calendar!$B$2:$B$755,$A1178)&gt;0,1,0)</f>
        <v>0</v>
      </c>
      <c r="M1178" s="16" t="str">
        <f>IF($A1178&lt;Notes!$B$5,"",IF(COUNTIFS(Release_Calendar!$A$2:$A$755,"NZ_CPI",Release_Calendar!$B$2:$B$755,$A1178)&gt;0,1,0))</f>
        <v/>
      </c>
      <c r="N1178" s="16" t="str">
        <f>IF($A1178&lt;Notes!$B$5,"",IF(COUNTIFS(Release_Calendar!$A$2:$A$755,"NZ_GDP",Release_Calendar!$B$2:$B$755,$A1178)&gt;0,1,0))</f>
        <v/>
      </c>
      <c r="O1178" s="16" t="str">
        <f>IF($A1178&lt;Notes!$B$5,"",IF(COUNTIFS(Release_Calendar!$A$2:$A$755,"NZ_LABOUR",Release_Calendar!$B$2:$B$755,$A1178)&gt;0,1,0))</f>
        <v/>
      </c>
      <c r="P1178" s="16">
        <f t="shared" si="4"/>
        <v>0</v>
      </c>
    </row>
    <row r="1179" ht="15.75" customHeight="1">
      <c r="A1179" s="14">
        <v>38175.0</v>
      </c>
      <c r="B1179" s="15">
        <v>2.56</v>
      </c>
      <c r="C1179" s="15"/>
      <c r="D1179" s="15">
        <v>6.03</v>
      </c>
      <c r="E1179" s="15"/>
      <c r="F1179" s="15" t="str">
        <f t="shared" si="1"/>
        <v/>
      </c>
      <c r="G1179" s="15">
        <f t="shared" si="2"/>
        <v>6.03</v>
      </c>
      <c r="H1179" s="16">
        <v>1.0</v>
      </c>
      <c r="I1179" s="15">
        <f t="shared" si="3"/>
        <v>3.47</v>
      </c>
      <c r="J1179" s="15">
        <v>15.81</v>
      </c>
      <c r="K1179" s="16">
        <f>IF(COUNTIFS(Release_Calendar!$A$2:$A$755,"US_CPI",Release_Calendar!$B$2:$B$755,$A1179)&gt;0,1,0)</f>
        <v>0</v>
      </c>
      <c r="L1179" s="16">
        <f>IF(COUNTIFS(Release_Calendar!$A$2:$A$755,"US_NFP",Release_Calendar!$B$2:$B$755,$A1179)&gt;0,1,0)</f>
        <v>0</v>
      </c>
      <c r="M1179" s="16" t="str">
        <f>IF($A1179&lt;Notes!$B$5,"",IF(COUNTIFS(Release_Calendar!$A$2:$A$755,"NZ_CPI",Release_Calendar!$B$2:$B$755,$A1179)&gt;0,1,0))</f>
        <v/>
      </c>
      <c r="N1179" s="16" t="str">
        <f>IF($A1179&lt;Notes!$B$5,"",IF(COUNTIFS(Release_Calendar!$A$2:$A$755,"NZ_GDP",Release_Calendar!$B$2:$B$755,$A1179)&gt;0,1,0))</f>
        <v/>
      </c>
      <c r="O1179" s="16" t="str">
        <f>IF($A1179&lt;Notes!$B$5,"",IF(COUNTIFS(Release_Calendar!$A$2:$A$755,"NZ_LABOUR",Release_Calendar!$B$2:$B$755,$A1179)&gt;0,1,0))</f>
        <v/>
      </c>
      <c r="P1179" s="16">
        <f t="shared" si="4"/>
        <v>0</v>
      </c>
    </row>
    <row r="1180" ht="15.75" customHeight="1">
      <c r="A1180" s="14">
        <v>38176.0</v>
      </c>
      <c r="B1180" s="15">
        <v>2.55</v>
      </c>
      <c r="C1180" s="15"/>
      <c r="D1180" s="15">
        <v>6.01</v>
      </c>
      <c r="E1180" s="15"/>
      <c r="F1180" s="15" t="str">
        <f t="shared" si="1"/>
        <v/>
      </c>
      <c r="G1180" s="15">
        <f t="shared" si="2"/>
        <v>6.01</v>
      </c>
      <c r="H1180" s="16">
        <v>1.0</v>
      </c>
      <c r="I1180" s="15">
        <f t="shared" si="3"/>
        <v>3.46</v>
      </c>
      <c r="J1180" s="15">
        <v>16.2</v>
      </c>
      <c r="K1180" s="16">
        <f>IF(COUNTIFS(Release_Calendar!$A$2:$A$755,"US_CPI",Release_Calendar!$B$2:$B$755,$A1180)&gt;0,1,0)</f>
        <v>0</v>
      </c>
      <c r="L1180" s="16">
        <f>IF(COUNTIFS(Release_Calendar!$A$2:$A$755,"US_NFP",Release_Calendar!$B$2:$B$755,$A1180)&gt;0,1,0)</f>
        <v>0</v>
      </c>
      <c r="M1180" s="16" t="str">
        <f>IF($A1180&lt;Notes!$B$5,"",IF(COUNTIFS(Release_Calendar!$A$2:$A$755,"NZ_CPI",Release_Calendar!$B$2:$B$755,$A1180)&gt;0,1,0))</f>
        <v/>
      </c>
      <c r="N1180" s="16" t="str">
        <f>IF($A1180&lt;Notes!$B$5,"",IF(COUNTIFS(Release_Calendar!$A$2:$A$755,"NZ_GDP",Release_Calendar!$B$2:$B$755,$A1180)&gt;0,1,0))</f>
        <v/>
      </c>
      <c r="O1180" s="16" t="str">
        <f>IF($A1180&lt;Notes!$B$5,"",IF(COUNTIFS(Release_Calendar!$A$2:$A$755,"NZ_LABOUR",Release_Calendar!$B$2:$B$755,$A1180)&gt;0,1,0))</f>
        <v/>
      </c>
      <c r="P1180" s="16">
        <f t="shared" si="4"/>
        <v>0</v>
      </c>
    </row>
    <row r="1181" ht="15.75" customHeight="1">
      <c r="A1181" s="14">
        <v>38177.0</v>
      </c>
      <c r="B1181" s="15">
        <v>2.55</v>
      </c>
      <c r="C1181" s="15"/>
      <c r="D1181" s="15">
        <v>5.97</v>
      </c>
      <c r="E1181" s="15"/>
      <c r="F1181" s="15" t="str">
        <f t="shared" si="1"/>
        <v/>
      </c>
      <c r="G1181" s="15">
        <f t="shared" si="2"/>
        <v>5.97</v>
      </c>
      <c r="H1181" s="16">
        <v>1.0</v>
      </c>
      <c r="I1181" s="15">
        <f t="shared" si="3"/>
        <v>3.42</v>
      </c>
      <c r="J1181" s="15">
        <v>15.78</v>
      </c>
      <c r="K1181" s="16">
        <f>IF(COUNTIFS(Release_Calendar!$A$2:$A$755,"US_CPI",Release_Calendar!$B$2:$B$755,$A1181)&gt;0,1,0)</f>
        <v>0</v>
      </c>
      <c r="L1181" s="16">
        <f>IF(COUNTIFS(Release_Calendar!$A$2:$A$755,"US_NFP",Release_Calendar!$B$2:$B$755,$A1181)&gt;0,1,0)</f>
        <v>0</v>
      </c>
      <c r="M1181" s="16" t="str">
        <f>IF($A1181&lt;Notes!$B$5,"",IF(COUNTIFS(Release_Calendar!$A$2:$A$755,"NZ_CPI",Release_Calendar!$B$2:$B$755,$A1181)&gt;0,1,0))</f>
        <v/>
      </c>
      <c r="N1181" s="16" t="str">
        <f>IF($A1181&lt;Notes!$B$5,"",IF(COUNTIFS(Release_Calendar!$A$2:$A$755,"NZ_GDP",Release_Calendar!$B$2:$B$755,$A1181)&gt;0,1,0))</f>
        <v/>
      </c>
      <c r="O1181" s="16" t="str">
        <f>IF($A1181&lt;Notes!$B$5,"",IF(COUNTIFS(Release_Calendar!$A$2:$A$755,"NZ_LABOUR",Release_Calendar!$B$2:$B$755,$A1181)&gt;0,1,0))</f>
        <v/>
      </c>
      <c r="P1181" s="16">
        <f t="shared" si="4"/>
        <v>0</v>
      </c>
    </row>
    <row r="1182" ht="15.75" customHeight="1">
      <c r="A1182" s="14">
        <v>38180.0</v>
      </c>
      <c r="B1182" s="15">
        <v>2.53</v>
      </c>
      <c r="C1182" s="15"/>
      <c r="D1182" s="15">
        <v>5.98</v>
      </c>
      <c r="E1182" s="15"/>
      <c r="F1182" s="15" t="str">
        <f t="shared" si="1"/>
        <v/>
      </c>
      <c r="G1182" s="15">
        <f t="shared" si="2"/>
        <v>5.98</v>
      </c>
      <c r="H1182" s="16">
        <v>1.0</v>
      </c>
      <c r="I1182" s="15">
        <f t="shared" si="3"/>
        <v>3.45</v>
      </c>
      <c r="J1182" s="15">
        <v>14.96</v>
      </c>
      <c r="K1182" s="16">
        <f>IF(COUNTIFS(Release_Calendar!$A$2:$A$755,"US_CPI",Release_Calendar!$B$2:$B$755,$A1182)&gt;0,1,0)</f>
        <v>0</v>
      </c>
      <c r="L1182" s="16">
        <f>IF(COUNTIFS(Release_Calendar!$A$2:$A$755,"US_NFP",Release_Calendar!$B$2:$B$755,$A1182)&gt;0,1,0)</f>
        <v>0</v>
      </c>
      <c r="M1182" s="16" t="str">
        <f>IF($A1182&lt;Notes!$B$5,"",IF(COUNTIFS(Release_Calendar!$A$2:$A$755,"NZ_CPI",Release_Calendar!$B$2:$B$755,$A1182)&gt;0,1,0))</f>
        <v/>
      </c>
      <c r="N1182" s="16" t="str">
        <f>IF($A1182&lt;Notes!$B$5,"",IF(COUNTIFS(Release_Calendar!$A$2:$A$755,"NZ_GDP",Release_Calendar!$B$2:$B$755,$A1182)&gt;0,1,0))</f>
        <v/>
      </c>
      <c r="O1182" s="16" t="str">
        <f>IF($A1182&lt;Notes!$B$5,"",IF(COUNTIFS(Release_Calendar!$A$2:$A$755,"NZ_LABOUR",Release_Calendar!$B$2:$B$755,$A1182)&gt;0,1,0))</f>
        <v/>
      </c>
      <c r="P1182" s="16">
        <f t="shared" si="4"/>
        <v>0</v>
      </c>
    </row>
    <row r="1183" ht="15.75" customHeight="1">
      <c r="A1183" s="14">
        <v>38181.0</v>
      </c>
      <c r="B1183" s="15">
        <v>2.58</v>
      </c>
      <c r="C1183" s="15"/>
      <c r="D1183" s="15">
        <v>5.97</v>
      </c>
      <c r="E1183" s="15"/>
      <c r="F1183" s="15" t="str">
        <f t="shared" si="1"/>
        <v/>
      </c>
      <c r="G1183" s="15">
        <f t="shared" si="2"/>
        <v>5.97</v>
      </c>
      <c r="H1183" s="16">
        <v>1.0</v>
      </c>
      <c r="I1183" s="15">
        <f t="shared" si="3"/>
        <v>3.39</v>
      </c>
      <c r="J1183" s="15">
        <v>14.46</v>
      </c>
      <c r="K1183" s="16">
        <f>IF(COUNTIFS(Release_Calendar!$A$2:$A$755,"US_CPI",Release_Calendar!$B$2:$B$755,$A1183)&gt;0,1,0)</f>
        <v>0</v>
      </c>
      <c r="L1183" s="16">
        <f>IF(COUNTIFS(Release_Calendar!$A$2:$A$755,"US_NFP",Release_Calendar!$B$2:$B$755,$A1183)&gt;0,1,0)</f>
        <v>0</v>
      </c>
      <c r="M1183" s="16" t="str">
        <f>IF($A1183&lt;Notes!$B$5,"",IF(COUNTIFS(Release_Calendar!$A$2:$A$755,"NZ_CPI",Release_Calendar!$B$2:$B$755,$A1183)&gt;0,1,0))</f>
        <v/>
      </c>
      <c r="N1183" s="16" t="str">
        <f>IF($A1183&lt;Notes!$B$5,"",IF(COUNTIFS(Release_Calendar!$A$2:$A$755,"NZ_GDP",Release_Calendar!$B$2:$B$755,$A1183)&gt;0,1,0))</f>
        <v/>
      </c>
      <c r="O1183" s="16" t="str">
        <f>IF($A1183&lt;Notes!$B$5,"",IF(COUNTIFS(Release_Calendar!$A$2:$A$755,"NZ_LABOUR",Release_Calendar!$B$2:$B$755,$A1183)&gt;0,1,0))</f>
        <v/>
      </c>
      <c r="P1183" s="16">
        <f t="shared" si="4"/>
        <v>0</v>
      </c>
    </row>
    <row r="1184" ht="15.75" customHeight="1">
      <c r="A1184" s="14">
        <v>38182.0</v>
      </c>
      <c r="B1184" s="15">
        <v>2.62</v>
      </c>
      <c r="C1184" s="15"/>
      <c r="D1184" s="15">
        <v>5.99</v>
      </c>
      <c r="E1184" s="15"/>
      <c r="F1184" s="15" t="str">
        <f t="shared" si="1"/>
        <v/>
      </c>
      <c r="G1184" s="15">
        <f t="shared" si="2"/>
        <v>5.99</v>
      </c>
      <c r="H1184" s="16">
        <v>1.0</v>
      </c>
      <c r="I1184" s="15">
        <f t="shared" si="3"/>
        <v>3.37</v>
      </c>
      <c r="J1184" s="15">
        <v>13.76</v>
      </c>
      <c r="K1184" s="16">
        <f>IF(COUNTIFS(Release_Calendar!$A$2:$A$755,"US_CPI",Release_Calendar!$B$2:$B$755,$A1184)&gt;0,1,0)</f>
        <v>0</v>
      </c>
      <c r="L1184" s="16">
        <f>IF(COUNTIFS(Release_Calendar!$A$2:$A$755,"US_NFP",Release_Calendar!$B$2:$B$755,$A1184)&gt;0,1,0)</f>
        <v>0</v>
      </c>
      <c r="M1184" s="16" t="str">
        <f>IF($A1184&lt;Notes!$B$5,"",IF(COUNTIFS(Release_Calendar!$A$2:$A$755,"NZ_CPI",Release_Calendar!$B$2:$B$755,$A1184)&gt;0,1,0))</f>
        <v/>
      </c>
      <c r="N1184" s="16" t="str">
        <f>IF($A1184&lt;Notes!$B$5,"",IF(COUNTIFS(Release_Calendar!$A$2:$A$755,"NZ_GDP",Release_Calendar!$B$2:$B$755,$A1184)&gt;0,1,0))</f>
        <v/>
      </c>
      <c r="O1184" s="16" t="str">
        <f>IF($A1184&lt;Notes!$B$5,"",IF(COUNTIFS(Release_Calendar!$A$2:$A$755,"NZ_LABOUR",Release_Calendar!$B$2:$B$755,$A1184)&gt;0,1,0))</f>
        <v/>
      </c>
      <c r="P1184" s="16">
        <f t="shared" si="4"/>
        <v>0</v>
      </c>
    </row>
    <row r="1185" ht="15.75" customHeight="1">
      <c r="A1185" s="14">
        <v>38183.0</v>
      </c>
      <c r="B1185" s="15">
        <v>2.64</v>
      </c>
      <c r="C1185" s="15"/>
      <c r="D1185" s="15">
        <v>6.01</v>
      </c>
      <c r="E1185" s="15"/>
      <c r="F1185" s="15" t="str">
        <f t="shared" si="1"/>
        <v/>
      </c>
      <c r="G1185" s="15">
        <f t="shared" si="2"/>
        <v>6.01</v>
      </c>
      <c r="H1185" s="16">
        <v>1.0</v>
      </c>
      <c r="I1185" s="15">
        <f t="shared" si="3"/>
        <v>3.37</v>
      </c>
      <c r="J1185" s="15">
        <v>14.71</v>
      </c>
      <c r="K1185" s="16">
        <f>IF(COUNTIFS(Release_Calendar!$A$2:$A$755,"US_CPI",Release_Calendar!$B$2:$B$755,$A1185)&gt;0,1,0)</f>
        <v>0</v>
      </c>
      <c r="L1185" s="16">
        <f>IF(COUNTIFS(Release_Calendar!$A$2:$A$755,"US_NFP",Release_Calendar!$B$2:$B$755,$A1185)&gt;0,1,0)</f>
        <v>0</v>
      </c>
      <c r="M1185" s="16" t="str">
        <f>IF($A1185&lt;Notes!$B$5,"",IF(COUNTIFS(Release_Calendar!$A$2:$A$755,"NZ_CPI",Release_Calendar!$B$2:$B$755,$A1185)&gt;0,1,0))</f>
        <v/>
      </c>
      <c r="N1185" s="16" t="str">
        <f>IF($A1185&lt;Notes!$B$5,"",IF(COUNTIFS(Release_Calendar!$A$2:$A$755,"NZ_GDP",Release_Calendar!$B$2:$B$755,$A1185)&gt;0,1,0))</f>
        <v/>
      </c>
      <c r="O1185" s="16" t="str">
        <f>IF($A1185&lt;Notes!$B$5,"",IF(COUNTIFS(Release_Calendar!$A$2:$A$755,"NZ_LABOUR",Release_Calendar!$B$2:$B$755,$A1185)&gt;0,1,0))</f>
        <v/>
      </c>
      <c r="P1185" s="16">
        <f t="shared" si="4"/>
        <v>0</v>
      </c>
    </row>
    <row r="1186" ht="15.75" customHeight="1">
      <c r="A1186" s="14">
        <v>38184.0</v>
      </c>
      <c r="B1186" s="15">
        <v>2.54</v>
      </c>
      <c r="C1186" s="15"/>
      <c r="D1186" s="15">
        <v>6.01</v>
      </c>
      <c r="E1186" s="15"/>
      <c r="F1186" s="15" t="str">
        <f t="shared" si="1"/>
        <v/>
      </c>
      <c r="G1186" s="15">
        <f t="shared" si="2"/>
        <v>6.01</v>
      </c>
      <c r="H1186" s="16">
        <v>1.0</v>
      </c>
      <c r="I1186" s="15">
        <f t="shared" si="3"/>
        <v>3.47</v>
      </c>
      <c r="J1186" s="15">
        <v>14.34</v>
      </c>
      <c r="K1186" s="16">
        <f>IF(COUNTIFS(Release_Calendar!$A$2:$A$755,"US_CPI",Release_Calendar!$B$2:$B$755,$A1186)&gt;0,1,0)</f>
        <v>1</v>
      </c>
      <c r="L1186" s="16">
        <f>IF(COUNTIFS(Release_Calendar!$A$2:$A$755,"US_NFP",Release_Calendar!$B$2:$B$755,$A1186)&gt;0,1,0)</f>
        <v>0</v>
      </c>
      <c r="M1186" s="16" t="str">
        <f>IF($A1186&lt;Notes!$B$5,"",IF(COUNTIFS(Release_Calendar!$A$2:$A$755,"NZ_CPI",Release_Calendar!$B$2:$B$755,$A1186)&gt;0,1,0))</f>
        <v/>
      </c>
      <c r="N1186" s="16" t="str">
        <f>IF($A1186&lt;Notes!$B$5,"",IF(COUNTIFS(Release_Calendar!$A$2:$A$755,"NZ_GDP",Release_Calendar!$B$2:$B$755,$A1186)&gt;0,1,0))</f>
        <v/>
      </c>
      <c r="O1186" s="16" t="str">
        <f>IF($A1186&lt;Notes!$B$5,"",IF(COUNTIFS(Release_Calendar!$A$2:$A$755,"NZ_LABOUR",Release_Calendar!$B$2:$B$755,$A1186)&gt;0,1,0))</f>
        <v/>
      </c>
      <c r="P1186" s="16">
        <f t="shared" si="4"/>
        <v>1</v>
      </c>
    </row>
    <row r="1187" ht="15.75" customHeight="1">
      <c r="A1187" s="14">
        <v>38187.0</v>
      </c>
      <c r="B1187" s="15">
        <v>2.56</v>
      </c>
      <c r="C1187" s="15"/>
      <c r="D1187" s="15">
        <v>5.96</v>
      </c>
      <c r="E1187" s="15"/>
      <c r="F1187" s="15" t="str">
        <f t="shared" si="1"/>
        <v/>
      </c>
      <c r="G1187" s="15">
        <f t="shared" si="2"/>
        <v>5.96</v>
      </c>
      <c r="H1187" s="16">
        <v>1.0</v>
      </c>
      <c r="I1187" s="15">
        <f t="shared" si="3"/>
        <v>3.4</v>
      </c>
      <c r="J1187" s="15">
        <v>15.17</v>
      </c>
      <c r="K1187" s="16">
        <f>IF(COUNTIFS(Release_Calendar!$A$2:$A$755,"US_CPI",Release_Calendar!$B$2:$B$755,$A1187)&gt;0,1,0)</f>
        <v>0</v>
      </c>
      <c r="L1187" s="16">
        <f>IF(COUNTIFS(Release_Calendar!$A$2:$A$755,"US_NFP",Release_Calendar!$B$2:$B$755,$A1187)&gt;0,1,0)</f>
        <v>0</v>
      </c>
      <c r="M1187" s="16" t="str">
        <f>IF($A1187&lt;Notes!$B$5,"",IF(COUNTIFS(Release_Calendar!$A$2:$A$755,"NZ_CPI",Release_Calendar!$B$2:$B$755,$A1187)&gt;0,1,0))</f>
        <v/>
      </c>
      <c r="N1187" s="16" t="str">
        <f>IF($A1187&lt;Notes!$B$5,"",IF(COUNTIFS(Release_Calendar!$A$2:$A$755,"NZ_GDP",Release_Calendar!$B$2:$B$755,$A1187)&gt;0,1,0))</f>
        <v/>
      </c>
      <c r="O1187" s="16" t="str">
        <f>IF($A1187&lt;Notes!$B$5,"",IF(COUNTIFS(Release_Calendar!$A$2:$A$755,"NZ_LABOUR",Release_Calendar!$B$2:$B$755,$A1187)&gt;0,1,0))</f>
        <v/>
      </c>
      <c r="P1187" s="16">
        <f t="shared" si="4"/>
        <v>0</v>
      </c>
    </row>
    <row r="1188" ht="15.75" customHeight="1">
      <c r="A1188" s="14">
        <v>38188.0</v>
      </c>
      <c r="B1188" s="15">
        <v>2.67</v>
      </c>
      <c r="C1188" s="15"/>
      <c r="D1188" s="15">
        <v>5.97</v>
      </c>
      <c r="E1188" s="15"/>
      <c r="F1188" s="15" t="str">
        <f t="shared" si="1"/>
        <v/>
      </c>
      <c r="G1188" s="15">
        <f t="shared" si="2"/>
        <v>5.97</v>
      </c>
      <c r="H1188" s="16">
        <v>1.0</v>
      </c>
      <c r="I1188" s="15">
        <f t="shared" si="3"/>
        <v>3.3</v>
      </c>
      <c r="J1188" s="15">
        <v>14.17</v>
      </c>
      <c r="K1188" s="16">
        <f>IF(COUNTIFS(Release_Calendar!$A$2:$A$755,"US_CPI",Release_Calendar!$B$2:$B$755,$A1188)&gt;0,1,0)</f>
        <v>0</v>
      </c>
      <c r="L1188" s="16">
        <f>IF(COUNTIFS(Release_Calendar!$A$2:$A$755,"US_NFP",Release_Calendar!$B$2:$B$755,$A1188)&gt;0,1,0)</f>
        <v>0</v>
      </c>
      <c r="M1188" s="16" t="str">
        <f>IF($A1188&lt;Notes!$B$5,"",IF(COUNTIFS(Release_Calendar!$A$2:$A$755,"NZ_CPI",Release_Calendar!$B$2:$B$755,$A1188)&gt;0,1,0))</f>
        <v/>
      </c>
      <c r="N1188" s="16" t="str">
        <f>IF($A1188&lt;Notes!$B$5,"",IF(COUNTIFS(Release_Calendar!$A$2:$A$755,"NZ_GDP",Release_Calendar!$B$2:$B$755,$A1188)&gt;0,1,0))</f>
        <v/>
      </c>
      <c r="O1188" s="16" t="str">
        <f>IF($A1188&lt;Notes!$B$5,"",IF(COUNTIFS(Release_Calendar!$A$2:$A$755,"NZ_LABOUR",Release_Calendar!$B$2:$B$755,$A1188)&gt;0,1,0))</f>
        <v/>
      </c>
      <c r="P1188" s="16">
        <f t="shared" si="4"/>
        <v>0</v>
      </c>
    </row>
    <row r="1189" ht="15.75" customHeight="1">
      <c r="A1189" s="14">
        <v>38189.0</v>
      </c>
      <c r="B1189" s="15">
        <v>2.71</v>
      </c>
      <c r="C1189" s="15"/>
      <c r="D1189" s="15">
        <v>6.02</v>
      </c>
      <c r="E1189" s="15"/>
      <c r="F1189" s="15" t="str">
        <f t="shared" si="1"/>
        <v/>
      </c>
      <c r="G1189" s="15">
        <f t="shared" si="2"/>
        <v>6.02</v>
      </c>
      <c r="H1189" s="16">
        <v>1.0</v>
      </c>
      <c r="I1189" s="15">
        <f t="shared" si="3"/>
        <v>3.31</v>
      </c>
      <c r="J1189" s="15">
        <v>16.41</v>
      </c>
      <c r="K1189" s="16">
        <f>IF(COUNTIFS(Release_Calendar!$A$2:$A$755,"US_CPI",Release_Calendar!$B$2:$B$755,$A1189)&gt;0,1,0)</f>
        <v>0</v>
      </c>
      <c r="L1189" s="16">
        <f>IF(COUNTIFS(Release_Calendar!$A$2:$A$755,"US_NFP",Release_Calendar!$B$2:$B$755,$A1189)&gt;0,1,0)</f>
        <v>0</v>
      </c>
      <c r="M1189" s="16" t="str">
        <f>IF($A1189&lt;Notes!$B$5,"",IF(COUNTIFS(Release_Calendar!$A$2:$A$755,"NZ_CPI",Release_Calendar!$B$2:$B$755,$A1189)&gt;0,1,0))</f>
        <v/>
      </c>
      <c r="N1189" s="16" t="str">
        <f>IF($A1189&lt;Notes!$B$5,"",IF(COUNTIFS(Release_Calendar!$A$2:$A$755,"NZ_GDP",Release_Calendar!$B$2:$B$755,$A1189)&gt;0,1,0))</f>
        <v/>
      </c>
      <c r="O1189" s="16" t="str">
        <f>IF($A1189&lt;Notes!$B$5,"",IF(COUNTIFS(Release_Calendar!$A$2:$A$755,"NZ_LABOUR",Release_Calendar!$B$2:$B$755,$A1189)&gt;0,1,0))</f>
        <v/>
      </c>
      <c r="P1189" s="16">
        <f t="shared" si="4"/>
        <v>0</v>
      </c>
    </row>
    <row r="1190" ht="15.75" customHeight="1">
      <c r="A1190" s="14">
        <v>38190.0</v>
      </c>
      <c r="B1190" s="15">
        <v>2.69</v>
      </c>
      <c r="C1190" s="15"/>
      <c r="D1190" s="15">
        <v>6.0</v>
      </c>
      <c r="E1190" s="15"/>
      <c r="F1190" s="15" t="str">
        <f t="shared" si="1"/>
        <v/>
      </c>
      <c r="G1190" s="15">
        <f t="shared" si="2"/>
        <v>6</v>
      </c>
      <c r="H1190" s="16">
        <v>1.0</v>
      </c>
      <c r="I1190" s="15">
        <f t="shared" si="3"/>
        <v>3.31</v>
      </c>
      <c r="J1190" s="15">
        <v>15.75</v>
      </c>
      <c r="K1190" s="16">
        <f>IF(COUNTIFS(Release_Calendar!$A$2:$A$755,"US_CPI",Release_Calendar!$B$2:$B$755,$A1190)&gt;0,1,0)</f>
        <v>0</v>
      </c>
      <c r="L1190" s="16">
        <f>IF(COUNTIFS(Release_Calendar!$A$2:$A$755,"US_NFP",Release_Calendar!$B$2:$B$755,$A1190)&gt;0,1,0)</f>
        <v>0</v>
      </c>
      <c r="M1190" s="16" t="str">
        <f>IF($A1190&lt;Notes!$B$5,"",IF(COUNTIFS(Release_Calendar!$A$2:$A$755,"NZ_CPI",Release_Calendar!$B$2:$B$755,$A1190)&gt;0,1,0))</f>
        <v/>
      </c>
      <c r="N1190" s="16" t="str">
        <f>IF($A1190&lt;Notes!$B$5,"",IF(COUNTIFS(Release_Calendar!$A$2:$A$755,"NZ_GDP",Release_Calendar!$B$2:$B$755,$A1190)&gt;0,1,0))</f>
        <v/>
      </c>
      <c r="O1190" s="16" t="str">
        <f>IF($A1190&lt;Notes!$B$5,"",IF(COUNTIFS(Release_Calendar!$A$2:$A$755,"NZ_LABOUR",Release_Calendar!$B$2:$B$755,$A1190)&gt;0,1,0))</f>
        <v/>
      </c>
      <c r="P1190" s="16">
        <f t="shared" si="4"/>
        <v>0</v>
      </c>
    </row>
    <row r="1191" ht="15.75" customHeight="1">
      <c r="A1191" s="14">
        <v>38191.0</v>
      </c>
      <c r="B1191" s="15">
        <v>2.69</v>
      </c>
      <c r="C1191" s="15"/>
      <c r="D1191" s="15">
        <v>5.97</v>
      </c>
      <c r="E1191" s="15"/>
      <c r="F1191" s="15" t="str">
        <f t="shared" si="1"/>
        <v/>
      </c>
      <c r="G1191" s="15">
        <f t="shared" si="2"/>
        <v>5.97</v>
      </c>
      <c r="H1191" s="16">
        <v>1.0</v>
      </c>
      <c r="I1191" s="15">
        <f t="shared" si="3"/>
        <v>3.28</v>
      </c>
      <c r="J1191" s="15">
        <v>16.5</v>
      </c>
      <c r="K1191" s="16">
        <f>IF(COUNTIFS(Release_Calendar!$A$2:$A$755,"US_CPI",Release_Calendar!$B$2:$B$755,$A1191)&gt;0,1,0)</f>
        <v>0</v>
      </c>
      <c r="L1191" s="16">
        <f>IF(COUNTIFS(Release_Calendar!$A$2:$A$755,"US_NFP",Release_Calendar!$B$2:$B$755,$A1191)&gt;0,1,0)</f>
        <v>0</v>
      </c>
      <c r="M1191" s="16" t="str">
        <f>IF($A1191&lt;Notes!$B$5,"",IF(COUNTIFS(Release_Calendar!$A$2:$A$755,"NZ_CPI",Release_Calendar!$B$2:$B$755,$A1191)&gt;0,1,0))</f>
        <v/>
      </c>
      <c r="N1191" s="16" t="str">
        <f>IF($A1191&lt;Notes!$B$5,"",IF(COUNTIFS(Release_Calendar!$A$2:$A$755,"NZ_GDP",Release_Calendar!$B$2:$B$755,$A1191)&gt;0,1,0))</f>
        <v/>
      </c>
      <c r="O1191" s="16" t="str">
        <f>IF($A1191&lt;Notes!$B$5,"",IF(COUNTIFS(Release_Calendar!$A$2:$A$755,"NZ_LABOUR",Release_Calendar!$B$2:$B$755,$A1191)&gt;0,1,0))</f>
        <v/>
      </c>
      <c r="P1191" s="16">
        <f t="shared" si="4"/>
        <v>0</v>
      </c>
    </row>
    <row r="1192" ht="15.75" customHeight="1">
      <c r="A1192" s="14">
        <v>38194.0</v>
      </c>
      <c r="B1192" s="15">
        <v>2.75</v>
      </c>
      <c r="C1192" s="15"/>
      <c r="D1192" s="15">
        <v>5.97</v>
      </c>
      <c r="E1192" s="15"/>
      <c r="F1192" s="15" t="str">
        <f t="shared" si="1"/>
        <v/>
      </c>
      <c r="G1192" s="15">
        <f t="shared" si="2"/>
        <v>5.97</v>
      </c>
      <c r="H1192" s="16">
        <v>1.0</v>
      </c>
      <c r="I1192" s="15">
        <f t="shared" si="3"/>
        <v>3.22</v>
      </c>
      <c r="J1192" s="15">
        <v>17.3</v>
      </c>
      <c r="K1192" s="16">
        <f>IF(COUNTIFS(Release_Calendar!$A$2:$A$755,"US_CPI",Release_Calendar!$B$2:$B$755,$A1192)&gt;0,1,0)</f>
        <v>0</v>
      </c>
      <c r="L1192" s="16">
        <f>IF(COUNTIFS(Release_Calendar!$A$2:$A$755,"US_NFP",Release_Calendar!$B$2:$B$755,$A1192)&gt;0,1,0)</f>
        <v>0</v>
      </c>
      <c r="M1192" s="16" t="str">
        <f>IF($A1192&lt;Notes!$B$5,"",IF(COUNTIFS(Release_Calendar!$A$2:$A$755,"NZ_CPI",Release_Calendar!$B$2:$B$755,$A1192)&gt;0,1,0))</f>
        <v/>
      </c>
      <c r="N1192" s="16" t="str">
        <f>IF($A1192&lt;Notes!$B$5,"",IF(COUNTIFS(Release_Calendar!$A$2:$A$755,"NZ_GDP",Release_Calendar!$B$2:$B$755,$A1192)&gt;0,1,0))</f>
        <v/>
      </c>
      <c r="O1192" s="16" t="str">
        <f>IF($A1192&lt;Notes!$B$5,"",IF(COUNTIFS(Release_Calendar!$A$2:$A$755,"NZ_LABOUR",Release_Calendar!$B$2:$B$755,$A1192)&gt;0,1,0))</f>
        <v/>
      </c>
      <c r="P1192" s="16">
        <f t="shared" si="4"/>
        <v>0</v>
      </c>
    </row>
    <row r="1193" ht="15.75" customHeight="1">
      <c r="A1193" s="14">
        <v>38195.0</v>
      </c>
      <c r="B1193" s="15">
        <v>2.82</v>
      </c>
      <c r="C1193" s="15"/>
      <c r="D1193" s="15">
        <v>6.03</v>
      </c>
      <c r="E1193" s="15"/>
      <c r="F1193" s="15" t="str">
        <f t="shared" si="1"/>
        <v/>
      </c>
      <c r="G1193" s="15">
        <f t="shared" si="2"/>
        <v>6.03</v>
      </c>
      <c r="H1193" s="16">
        <v>1.0</v>
      </c>
      <c r="I1193" s="15">
        <f t="shared" si="3"/>
        <v>3.21</v>
      </c>
      <c r="J1193" s="15">
        <v>16.55</v>
      </c>
      <c r="K1193" s="16">
        <f>IF(COUNTIFS(Release_Calendar!$A$2:$A$755,"US_CPI",Release_Calendar!$B$2:$B$755,$A1193)&gt;0,1,0)</f>
        <v>0</v>
      </c>
      <c r="L1193" s="16">
        <f>IF(COUNTIFS(Release_Calendar!$A$2:$A$755,"US_NFP",Release_Calendar!$B$2:$B$755,$A1193)&gt;0,1,0)</f>
        <v>0</v>
      </c>
      <c r="M1193" s="16" t="str">
        <f>IF($A1193&lt;Notes!$B$5,"",IF(COUNTIFS(Release_Calendar!$A$2:$A$755,"NZ_CPI",Release_Calendar!$B$2:$B$755,$A1193)&gt;0,1,0))</f>
        <v/>
      </c>
      <c r="N1193" s="16" t="str">
        <f>IF($A1193&lt;Notes!$B$5,"",IF(COUNTIFS(Release_Calendar!$A$2:$A$755,"NZ_GDP",Release_Calendar!$B$2:$B$755,$A1193)&gt;0,1,0))</f>
        <v/>
      </c>
      <c r="O1193" s="16" t="str">
        <f>IF($A1193&lt;Notes!$B$5,"",IF(COUNTIFS(Release_Calendar!$A$2:$A$755,"NZ_LABOUR",Release_Calendar!$B$2:$B$755,$A1193)&gt;0,1,0))</f>
        <v/>
      </c>
      <c r="P1193" s="16">
        <f t="shared" si="4"/>
        <v>0</v>
      </c>
    </row>
    <row r="1194" ht="15.75" customHeight="1">
      <c r="A1194" s="14">
        <v>38196.0</v>
      </c>
      <c r="B1194" s="15">
        <v>2.78</v>
      </c>
      <c r="C1194" s="15"/>
      <c r="D1194" s="15">
        <v>6.04</v>
      </c>
      <c r="E1194" s="15"/>
      <c r="F1194" s="15" t="str">
        <f t="shared" si="1"/>
        <v/>
      </c>
      <c r="G1194" s="15">
        <f t="shared" si="2"/>
        <v>6.04</v>
      </c>
      <c r="H1194" s="16">
        <v>1.0</v>
      </c>
      <c r="I1194" s="15">
        <f t="shared" si="3"/>
        <v>3.26</v>
      </c>
      <c r="J1194" s="15">
        <v>16.15</v>
      </c>
      <c r="K1194" s="16">
        <f>IF(COUNTIFS(Release_Calendar!$A$2:$A$755,"US_CPI",Release_Calendar!$B$2:$B$755,$A1194)&gt;0,1,0)</f>
        <v>0</v>
      </c>
      <c r="L1194" s="16">
        <f>IF(COUNTIFS(Release_Calendar!$A$2:$A$755,"US_NFP",Release_Calendar!$B$2:$B$755,$A1194)&gt;0,1,0)</f>
        <v>0</v>
      </c>
      <c r="M1194" s="16" t="str">
        <f>IF($A1194&lt;Notes!$B$5,"",IF(COUNTIFS(Release_Calendar!$A$2:$A$755,"NZ_CPI",Release_Calendar!$B$2:$B$755,$A1194)&gt;0,1,0))</f>
        <v/>
      </c>
      <c r="N1194" s="16" t="str">
        <f>IF($A1194&lt;Notes!$B$5,"",IF(COUNTIFS(Release_Calendar!$A$2:$A$755,"NZ_GDP",Release_Calendar!$B$2:$B$755,$A1194)&gt;0,1,0))</f>
        <v/>
      </c>
      <c r="O1194" s="16" t="str">
        <f>IF($A1194&lt;Notes!$B$5,"",IF(COUNTIFS(Release_Calendar!$A$2:$A$755,"NZ_LABOUR",Release_Calendar!$B$2:$B$755,$A1194)&gt;0,1,0))</f>
        <v/>
      </c>
      <c r="P1194" s="16">
        <f t="shared" si="4"/>
        <v>0</v>
      </c>
    </row>
    <row r="1195" ht="15.75" customHeight="1">
      <c r="A1195" s="14">
        <v>38197.0</v>
      </c>
      <c r="B1195" s="15">
        <v>2.75</v>
      </c>
      <c r="C1195" s="15"/>
      <c r="D1195" s="15">
        <v>6.09</v>
      </c>
      <c r="E1195" s="15"/>
      <c r="F1195" s="15" t="str">
        <f t="shared" si="1"/>
        <v/>
      </c>
      <c r="G1195" s="15">
        <f t="shared" si="2"/>
        <v>6.09</v>
      </c>
      <c r="H1195" s="16">
        <v>1.0</v>
      </c>
      <c r="I1195" s="15">
        <f t="shared" si="3"/>
        <v>3.34</v>
      </c>
      <c r="J1195" s="15">
        <v>15.68</v>
      </c>
      <c r="K1195" s="16">
        <f>IF(COUNTIFS(Release_Calendar!$A$2:$A$755,"US_CPI",Release_Calendar!$B$2:$B$755,$A1195)&gt;0,1,0)</f>
        <v>0</v>
      </c>
      <c r="L1195" s="16">
        <f>IF(COUNTIFS(Release_Calendar!$A$2:$A$755,"US_NFP",Release_Calendar!$B$2:$B$755,$A1195)&gt;0,1,0)</f>
        <v>0</v>
      </c>
      <c r="M1195" s="16" t="str">
        <f>IF($A1195&lt;Notes!$B$5,"",IF(COUNTIFS(Release_Calendar!$A$2:$A$755,"NZ_CPI",Release_Calendar!$B$2:$B$755,$A1195)&gt;0,1,0))</f>
        <v/>
      </c>
      <c r="N1195" s="16" t="str">
        <f>IF($A1195&lt;Notes!$B$5,"",IF(COUNTIFS(Release_Calendar!$A$2:$A$755,"NZ_GDP",Release_Calendar!$B$2:$B$755,$A1195)&gt;0,1,0))</f>
        <v/>
      </c>
      <c r="O1195" s="16" t="str">
        <f>IF($A1195&lt;Notes!$B$5,"",IF(COUNTIFS(Release_Calendar!$A$2:$A$755,"NZ_LABOUR",Release_Calendar!$B$2:$B$755,$A1195)&gt;0,1,0))</f>
        <v/>
      </c>
      <c r="P1195" s="16">
        <f t="shared" si="4"/>
        <v>0</v>
      </c>
    </row>
    <row r="1196" ht="15.75" customHeight="1">
      <c r="A1196" s="14">
        <v>38198.0</v>
      </c>
      <c r="B1196" s="15">
        <v>2.68</v>
      </c>
      <c r="C1196" s="15"/>
      <c r="D1196" s="15">
        <v>6.12</v>
      </c>
      <c r="E1196" s="15"/>
      <c r="F1196" s="15" t="str">
        <f t="shared" si="1"/>
        <v/>
      </c>
      <c r="G1196" s="15">
        <f t="shared" si="2"/>
        <v>6.12</v>
      </c>
      <c r="H1196" s="16">
        <v>1.0</v>
      </c>
      <c r="I1196" s="15">
        <f t="shared" si="3"/>
        <v>3.44</v>
      </c>
      <c r="J1196" s="15">
        <v>15.32</v>
      </c>
      <c r="K1196" s="16">
        <f>IF(COUNTIFS(Release_Calendar!$A$2:$A$755,"US_CPI",Release_Calendar!$B$2:$B$755,$A1196)&gt;0,1,0)</f>
        <v>0</v>
      </c>
      <c r="L1196" s="16">
        <f>IF(COUNTIFS(Release_Calendar!$A$2:$A$755,"US_NFP",Release_Calendar!$B$2:$B$755,$A1196)&gt;0,1,0)</f>
        <v>0</v>
      </c>
      <c r="M1196" s="16" t="str">
        <f>IF($A1196&lt;Notes!$B$5,"",IF(COUNTIFS(Release_Calendar!$A$2:$A$755,"NZ_CPI",Release_Calendar!$B$2:$B$755,$A1196)&gt;0,1,0))</f>
        <v/>
      </c>
      <c r="N1196" s="16" t="str">
        <f>IF($A1196&lt;Notes!$B$5,"",IF(COUNTIFS(Release_Calendar!$A$2:$A$755,"NZ_GDP",Release_Calendar!$B$2:$B$755,$A1196)&gt;0,1,0))</f>
        <v/>
      </c>
      <c r="O1196" s="16" t="str">
        <f>IF($A1196&lt;Notes!$B$5,"",IF(COUNTIFS(Release_Calendar!$A$2:$A$755,"NZ_LABOUR",Release_Calendar!$B$2:$B$755,$A1196)&gt;0,1,0))</f>
        <v/>
      </c>
      <c r="P1196" s="16">
        <f t="shared" si="4"/>
        <v>0</v>
      </c>
    </row>
    <row r="1197" ht="15.75" customHeight="1">
      <c r="A1197" s="14">
        <v>38201.0</v>
      </c>
      <c r="B1197" s="15">
        <v>2.66</v>
      </c>
      <c r="C1197" s="15"/>
      <c r="D1197" s="15">
        <v>6.11</v>
      </c>
      <c r="E1197" s="15"/>
      <c r="F1197" s="15" t="str">
        <f t="shared" si="1"/>
        <v/>
      </c>
      <c r="G1197" s="15">
        <f t="shared" si="2"/>
        <v>6.11</v>
      </c>
      <c r="H1197" s="16">
        <v>1.0</v>
      </c>
      <c r="I1197" s="15">
        <f t="shared" si="3"/>
        <v>3.45</v>
      </c>
      <c r="J1197" s="15">
        <v>15.37</v>
      </c>
      <c r="K1197" s="16">
        <f>IF(COUNTIFS(Release_Calendar!$A$2:$A$755,"US_CPI",Release_Calendar!$B$2:$B$755,$A1197)&gt;0,1,0)</f>
        <v>0</v>
      </c>
      <c r="L1197" s="16">
        <f>IF(COUNTIFS(Release_Calendar!$A$2:$A$755,"US_NFP",Release_Calendar!$B$2:$B$755,$A1197)&gt;0,1,0)</f>
        <v>0</v>
      </c>
      <c r="M1197" s="16" t="str">
        <f>IF($A1197&lt;Notes!$B$5,"",IF(COUNTIFS(Release_Calendar!$A$2:$A$755,"NZ_CPI",Release_Calendar!$B$2:$B$755,$A1197)&gt;0,1,0))</f>
        <v/>
      </c>
      <c r="N1197" s="16" t="str">
        <f>IF($A1197&lt;Notes!$B$5,"",IF(COUNTIFS(Release_Calendar!$A$2:$A$755,"NZ_GDP",Release_Calendar!$B$2:$B$755,$A1197)&gt;0,1,0))</f>
        <v/>
      </c>
      <c r="O1197" s="16" t="str">
        <f>IF($A1197&lt;Notes!$B$5,"",IF(COUNTIFS(Release_Calendar!$A$2:$A$755,"NZ_LABOUR",Release_Calendar!$B$2:$B$755,$A1197)&gt;0,1,0))</f>
        <v/>
      </c>
      <c r="P1197" s="16">
        <f t="shared" si="4"/>
        <v>0</v>
      </c>
    </row>
    <row r="1198" ht="15.75" customHeight="1">
      <c r="A1198" s="14">
        <v>38202.0</v>
      </c>
      <c r="B1198" s="15">
        <v>2.66</v>
      </c>
      <c r="C1198" s="15"/>
      <c r="D1198" s="15">
        <v>6.12</v>
      </c>
      <c r="E1198" s="15"/>
      <c r="F1198" s="15" t="str">
        <f t="shared" si="1"/>
        <v/>
      </c>
      <c r="G1198" s="15">
        <f t="shared" si="2"/>
        <v>6.12</v>
      </c>
      <c r="H1198" s="16">
        <v>1.0</v>
      </c>
      <c r="I1198" s="15">
        <f t="shared" si="3"/>
        <v>3.46</v>
      </c>
      <c r="J1198" s="15">
        <v>16.03</v>
      </c>
      <c r="K1198" s="16">
        <f>IF(COUNTIFS(Release_Calendar!$A$2:$A$755,"US_CPI",Release_Calendar!$B$2:$B$755,$A1198)&gt;0,1,0)</f>
        <v>0</v>
      </c>
      <c r="L1198" s="16">
        <f>IF(COUNTIFS(Release_Calendar!$A$2:$A$755,"US_NFP",Release_Calendar!$B$2:$B$755,$A1198)&gt;0,1,0)</f>
        <v>0</v>
      </c>
      <c r="M1198" s="16" t="str">
        <f>IF($A1198&lt;Notes!$B$5,"",IF(COUNTIFS(Release_Calendar!$A$2:$A$755,"NZ_CPI",Release_Calendar!$B$2:$B$755,$A1198)&gt;0,1,0))</f>
        <v/>
      </c>
      <c r="N1198" s="16" t="str">
        <f>IF($A1198&lt;Notes!$B$5,"",IF(COUNTIFS(Release_Calendar!$A$2:$A$755,"NZ_GDP",Release_Calendar!$B$2:$B$755,$A1198)&gt;0,1,0))</f>
        <v/>
      </c>
      <c r="O1198" s="16" t="str">
        <f>IF($A1198&lt;Notes!$B$5,"",IF(COUNTIFS(Release_Calendar!$A$2:$A$755,"NZ_LABOUR",Release_Calendar!$B$2:$B$755,$A1198)&gt;0,1,0))</f>
        <v/>
      </c>
      <c r="P1198" s="16">
        <f t="shared" si="4"/>
        <v>0</v>
      </c>
    </row>
    <row r="1199" ht="15.75" customHeight="1">
      <c r="A1199" s="14">
        <v>38203.0</v>
      </c>
      <c r="B1199" s="15">
        <v>2.66</v>
      </c>
      <c r="C1199" s="15"/>
      <c r="D1199" s="15">
        <v>6.11</v>
      </c>
      <c r="E1199" s="15"/>
      <c r="F1199" s="15" t="str">
        <f t="shared" si="1"/>
        <v/>
      </c>
      <c r="G1199" s="15">
        <f t="shared" si="2"/>
        <v>6.11</v>
      </c>
      <c r="H1199" s="16">
        <v>1.0</v>
      </c>
      <c r="I1199" s="15">
        <f t="shared" si="3"/>
        <v>3.45</v>
      </c>
      <c r="J1199" s="15">
        <v>16.21</v>
      </c>
      <c r="K1199" s="16">
        <f>IF(COUNTIFS(Release_Calendar!$A$2:$A$755,"US_CPI",Release_Calendar!$B$2:$B$755,$A1199)&gt;0,1,0)</f>
        <v>0</v>
      </c>
      <c r="L1199" s="16">
        <f>IF(COUNTIFS(Release_Calendar!$A$2:$A$755,"US_NFP",Release_Calendar!$B$2:$B$755,$A1199)&gt;0,1,0)</f>
        <v>0</v>
      </c>
      <c r="M1199" s="16" t="str">
        <f>IF($A1199&lt;Notes!$B$5,"",IF(COUNTIFS(Release_Calendar!$A$2:$A$755,"NZ_CPI",Release_Calendar!$B$2:$B$755,$A1199)&gt;0,1,0))</f>
        <v/>
      </c>
      <c r="N1199" s="16" t="str">
        <f>IF($A1199&lt;Notes!$B$5,"",IF(COUNTIFS(Release_Calendar!$A$2:$A$755,"NZ_GDP",Release_Calendar!$B$2:$B$755,$A1199)&gt;0,1,0))</f>
        <v/>
      </c>
      <c r="O1199" s="16" t="str">
        <f>IF($A1199&lt;Notes!$B$5,"",IF(COUNTIFS(Release_Calendar!$A$2:$A$755,"NZ_LABOUR",Release_Calendar!$B$2:$B$755,$A1199)&gt;0,1,0))</f>
        <v/>
      </c>
      <c r="P1199" s="16">
        <f t="shared" si="4"/>
        <v>0</v>
      </c>
    </row>
    <row r="1200" ht="15.75" customHeight="1">
      <c r="A1200" s="14">
        <v>38204.0</v>
      </c>
      <c r="B1200" s="15">
        <v>2.64</v>
      </c>
      <c r="C1200" s="15"/>
      <c r="D1200" s="15">
        <v>6.13</v>
      </c>
      <c r="E1200" s="15"/>
      <c r="F1200" s="15" t="str">
        <f t="shared" si="1"/>
        <v/>
      </c>
      <c r="G1200" s="15">
        <f t="shared" si="2"/>
        <v>6.13</v>
      </c>
      <c r="H1200" s="16">
        <v>1.0</v>
      </c>
      <c r="I1200" s="15">
        <f t="shared" si="3"/>
        <v>3.49</v>
      </c>
      <c r="J1200" s="15">
        <v>18.32</v>
      </c>
      <c r="K1200" s="16">
        <f>IF(COUNTIFS(Release_Calendar!$A$2:$A$755,"US_CPI",Release_Calendar!$B$2:$B$755,$A1200)&gt;0,1,0)</f>
        <v>0</v>
      </c>
      <c r="L1200" s="16">
        <f>IF(COUNTIFS(Release_Calendar!$A$2:$A$755,"US_NFP",Release_Calendar!$B$2:$B$755,$A1200)&gt;0,1,0)</f>
        <v>0</v>
      </c>
      <c r="M1200" s="16" t="str">
        <f>IF($A1200&lt;Notes!$B$5,"",IF(COUNTIFS(Release_Calendar!$A$2:$A$755,"NZ_CPI",Release_Calendar!$B$2:$B$755,$A1200)&gt;0,1,0))</f>
        <v/>
      </c>
      <c r="N1200" s="16" t="str">
        <f>IF($A1200&lt;Notes!$B$5,"",IF(COUNTIFS(Release_Calendar!$A$2:$A$755,"NZ_GDP",Release_Calendar!$B$2:$B$755,$A1200)&gt;0,1,0))</f>
        <v/>
      </c>
      <c r="O1200" s="16" t="str">
        <f>IF($A1200&lt;Notes!$B$5,"",IF(COUNTIFS(Release_Calendar!$A$2:$A$755,"NZ_LABOUR",Release_Calendar!$B$2:$B$755,$A1200)&gt;0,1,0))</f>
        <v/>
      </c>
      <c r="P1200" s="16">
        <f t="shared" si="4"/>
        <v>0</v>
      </c>
    </row>
    <row r="1201" ht="15.75" customHeight="1">
      <c r="A1201" s="14">
        <v>38205.0</v>
      </c>
      <c r="B1201" s="15">
        <v>2.4</v>
      </c>
      <c r="C1201" s="15"/>
      <c r="D1201" s="15">
        <v>6.11</v>
      </c>
      <c r="E1201" s="15"/>
      <c r="F1201" s="15" t="str">
        <f t="shared" si="1"/>
        <v/>
      </c>
      <c r="G1201" s="15">
        <f t="shared" si="2"/>
        <v>6.11</v>
      </c>
      <c r="H1201" s="16">
        <v>1.0</v>
      </c>
      <c r="I1201" s="15">
        <f t="shared" si="3"/>
        <v>3.71</v>
      </c>
      <c r="J1201" s="15">
        <v>19.34</v>
      </c>
      <c r="K1201" s="16">
        <f>IF(COUNTIFS(Release_Calendar!$A$2:$A$755,"US_CPI",Release_Calendar!$B$2:$B$755,$A1201)&gt;0,1,0)</f>
        <v>0</v>
      </c>
      <c r="L1201" s="16">
        <f>IF(COUNTIFS(Release_Calendar!$A$2:$A$755,"US_NFP",Release_Calendar!$B$2:$B$755,$A1201)&gt;0,1,0)</f>
        <v>1</v>
      </c>
      <c r="M1201" s="16" t="str">
        <f>IF($A1201&lt;Notes!$B$5,"",IF(COUNTIFS(Release_Calendar!$A$2:$A$755,"NZ_CPI",Release_Calendar!$B$2:$B$755,$A1201)&gt;0,1,0))</f>
        <v/>
      </c>
      <c r="N1201" s="16" t="str">
        <f>IF($A1201&lt;Notes!$B$5,"",IF(COUNTIFS(Release_Calendar!$A$2:$A$755,"NZ_GDP",Release_Calendar!$B$2:$B$755,$A1201)&gt;0,1,0))</f>
        <v/>
      </c>
      <c r="O1201" s="16" t="str">
        <f>IF($A1201&lt;Notes!$B$5,"",IF(COUNTIFS(Release_Calendar!$A$2:$A$755,"NZ_LABOUR",Release_Calendar!$B$2:$B$755,$A1201)&gt;0,1,0))</f>
        <v/>
      </c>
      <c r="P1201" s="16">
        <f t="shared" si="4"/>
        <v>1</v>
      </c>
    </row>
    <row r="1202" ht="15.75" customHeight="1">
      <c r="A1202" s="14">
        <v>38208.0</v>
      </c>
      <c r="B1202" s="15">
        <v>2.45</v>
      </c>
      <c r="C1202" s="15"/>
      <c r="D1202" s="15">
        <v>6.05</v>
      </c>
      <c r="E1202" s="15"/>
      <c r="F1202" s="15" t="str">
        <f t="shared" si="1"/>
        <v/>
      </c>
      <c r="G1202" s="15">
        <f t="shared" si="2"/>
        <v>6.05</v>
      </c>
      <c r="H1202" s="16">
        <v>1.0</v>
      </c>
      <c r="I1202" s="15">
        <f t="shared" si="3"/>
        <v>3.6</v>
      </c>
      <c r="J1202" s="15">
        <v>18.89</v>
      </c>
      <c r="K1202" s="16">
        <f>IF(COUNTIFS(Release_Calendar!$A$2:$A$755,"US_CPI",Release_Calendar!$B$2:$B$755,$A1202)&gt;0,1,0)</f>
        <v>0</v>
      </c>
      <c r="L1202" s="16">
        <f>IF(COUNTIFS(Release_Calendar!$A$2:$A$755,"US_NFP",Release_Calendar!$B$2:$B$755,$A1202)&gt;0,1,0)</f>
        <v>0</v>
      </c>
      <c r="M1202" s="16" t="str">
        <f>IF($A1202&lt;Notes!$B$5,"",IF(COUNTIFS(Release_Calendar!$A$2:$A$755,"NZ_CPI",Release_Calendar!$B$2:$B$755,$A1202)&gt;0,1,0))</f>
        <v/>
      </c>
      <c r="N1202" s="16" t="str">
        <f>IF($A1202&lt;Notes!$B$5,"",IF(COUNTIFS(Release_Calendar!$A$2:$A$755,"NZ_GDP",Release_Calendar!$B$2:$B$755,$A1202)&gt;0,1,0))</f>
        <v/>
      </c>
      <c r="O1202" s="16" t="str">
        <f>IF($A1202&lt;Notes!$B$5,"",IF(COUNTIFS(Release_Calendar!$A$2:$A$755,"NZ_LABOUR",Release_Calendar!$B$2:$B$755,$A1202)&gt;0,1,0))</f>
        <v/>
      </c>
      <c r="P1202" s="16">
        <f t="shared" si="4"/>
        <v>0</v>
      </c>
    </row>
    <row r="1203" ht="15.75" customHeight="1">
      <c r="A1203" s="14">
        <v>38209.0</v>
      </c>
      <c r="B1203" s="15">
        <v>2.55</v>
      </c>
      <c r="C1203" s="15"/>
      <c r="D1203" s="15">
        <v>6.12</v>
      </c>
      <c r="E1203" s="15"/>
      <c r="F1203" s="15" t="str">
        <f t="shared" si="1"/>
        <v/>
      </c>
      <c r="G1203" s="15">
        <f t="shared" si="2"/>
        <v>6.12</v>
      </c>
      <c r="H1203" s="16">
        <v>1.0</v>
      </c>
      <c r="I1203" s="15">
        <f t="shared" si="3"/>
        <v>3.57</v>
      </c>
      <c r="J1203" s="15">
        <v>17.47</v>
      </c>
      <c r="K1203" s="16">
        <f>IF(COUNTIFS(Release_Calendar!$A$2:$A$755,"US_CPI",Release_Calendar!$B$2:$B$755,$A1203)&gt;0,1,0)</f>
        <v>0</v>
      </c>
      <c r="L1203" s="16">
        <f>IF(COUNTIFS(Release_Calendar!$A$2:$A$755,"US_NFP",Release_Calendar!$B$2:$B$755,$A1203)&gt;0,1,0)</f>
        <v>0</v>
      </c>
      <c r="M1203" s="16" t="str">
        <f>IF($A1203&lt;Notes!$B$5,"",IF(COUNTIFS(Release_Calendar!$A$2:$A$755,"NZ_CPI",Release_Calendar!$B$2:$B$755,$A1203)&gt;0,1,0))</f>
        <v/>
      </c>
      <c r="N1203" s="16" t="str">
        <f>IF($A1203&lt;Notes!$B$5,"",IF(COUNTIFS(Release_Calendar!$A$2:$A$755,"NZ_GDP",Release_Calendar!$B$2:$B$755,$A1203)&gt;0,1,0))</f>
        <v/>
      </c>
      <c r="O1203" s="16" t="str">
        <f>IF($A1203&lt;Notes!$B$5,"",IF(COUNTIFS(Release_Calendar!$A$2:$A$755,"NZ_LABOUR",Release_Calendar!$B$2:$B$755,$A1203)&gt;0,1,0))</f>
        <v/>
      </c>
      <c r="P1203" s="16">
        <f t="shared" si="4"/>
        <v>0</v>
      </c>
    </row>
    <row r="1204" ht="15.75" customHeight="1">
      <c r="A1204" s="14">
        <v>38210.0</v>
      </c>
      <c r="B1204" s="15">
        <v>2.54</v>
      </c>
      <c r="C1204" s="15"/>
      <c r="D1204" s="15">
        <v>6.14</v>
      </c>
      <c r="E1204" s="15"/>
      <c r="F1204" s="15" t="str">
        <f t="shared" si="1"/>
        <v/>
      </c>
      <c r="G1204" s="15">
        <f t="shared" si="2"/>
        <v>6.14</v>
      </c>
      <c r="H1204" s="16">
        <v>1.0</v>
      </c>
      <c r="I1204" s="15">
        <f t="shared" si="3"/>
        <v>3.6</v>
      </c>
      <c r="J1204" s="15">
        <v>18.04</v>
      </c>
      <c r="K1204" s="16">
        <f>IF(COUNTIFS(Release_Calendar!$A$2:$A$755,"US_CPI",Release_Calendar!$B$2:$B$755,$A1204)&gt;0,1,0)</f>
        <v>0</v>
      </c>
      <c r="L1204" s="16">
        <f>IF(COUNTIFS(Release_Calendar!$A$2:$A$755,"US_NFP",Release_Calendar!$B$2:$B$755,$A1204)&gt;0,1,0)</f>
        <v>0</v>
      </c>
      <c r="M1204" s="16" t="str">
        <f>IF($A1204&lt;Notes!$B$5,"",IF(COUNTIFS(Release_Calendar!$A$2:$A$755,"NZ_CPI",Release_Calendar!$B$2:$B$755,$A1204)&gt;0,1,0))</f>
        <v/>
      </c>
      <c r="N1204" s="16" t="str">
        <f>IF($A1204&lt;Notes!$B$5,"",IF(COUNTIFS(Release_Calendar!$A$2:$A$755,"NZ_GDP",Release_Calendar!$B$2:$B$755,$A1204)&gt;0,1,0))</f>
        <v/>
      </c>
      <c r="O1204" s="16" t="str">
        <f>IF($A1204&lt;Notes!$B$5,"",IF(COUNTIFS(Release_Calendar!$A$2:$A$755,"NZ_LABOUR",Release_Calendar!$B$2:$B$755,$A1204)&gt;0,1,0))</f>
        <v/>
      </c>
      <c r="P1204" s="16">
        <f t="shared" si="4"/>
        <v>0</v>
      </c>
    </row>
    <row r="1205" ht="15.75" customHeight="1">
      <c r="A1205" s="14">
        <v>38211.0</v>
      </c>
      <c r="B1205" s="15">
        <v>2.52</v>
      </c>
      <c r="C1205" s="15"/>
      <c r="D1205" s="15">
        <v>6.15</v>
      </c>
      <c r="E1205" s="15"/>
      <c r="F1205" s="15" t="str">
        <f t="shared" si="1"/>
        <v/>
      </c>
      <c r="G1205" s="15">
        <f t="shared" si="2"/>
        <v>6.15</v>
      </c>
      <c r="H1205" s="16">
        <v>1.0</v>
      </c>
      <c r="I1205" s="15">
        <f t="shared" si="3"/>
        <v>3.63</v>
      </c>
      <c r="J1205" s="15">
        <v>19.08</v>
      </c>
      <c r="K1205" s="16">
        <f>IF(COUNTIFS(Release_Calendar!$A$2:$A$755,"US_CPI",Release_Calendar!$B$2:$B$755,$A1205)&gt;0,1,0)</f>
        <v>0</v>
      </c>
      <c r="L1205" s="16">
        <f>IF(COUNTIFS(Release_Calendar!$A$2:$A$755,"US_NFP",Release_Calendar!$B$2:$B$755,$A1205)&gt;0,1,0)</f>
        <v>0</v>
      </c>
      <c r="M1205" s="16" t="str">
        <f>IF($A1205&lt;Notes!$B$5,"",IF(COUNTIFS(Release_Calendar!$A$2:$A$755,"NZ_CPI",Release_Calendar!$B$2:$B$755,$A1205)&gt;0,1,0))</f>
        <v/>
      </c>
      <c r="N1205" s="16" t="str">
        <f>IF($A1205&lt;Notes!$B$5,"",IF(COUNTIFS(Release_Calendar!$A$2:$A$755,"NZ_GDP",Release_Calendar!$B$2:$B$755,$A1205)&gt;0,1,0))</f>
        <v/>
      </c>
      <c r="O1205" s="16" t="str">
        <f>IF($A1205&lt;Notes!$B$5,"",IF(COUNTIFS(Release_Calendar!$A$2:$A$755,"NZ_LABOUR",Release_Calendar!$B$2:$B$755,$A1205)&gt;0,1,0))</f>
        <v/>
      </c>
      <c r="P1205" s="16">
        <f t="shared" si="4"/>
        <v>0</v>
      </c>
    </row>
    <row r="1206" ht="15.75" customHeight="1">
      <c r="A1206" s="14">
        <v>38212.0</v>
      </c>
      <c r="B1206" s="15">
        <v>2.47</v>
      </c>
      <c r="C1206" s="15"/>
      <c r="D1206" s="15">
        <v>6.14</v>
      </c>
      <c r="E1206" s="15"/>
      <c r="F1206" s="15" t="str">
        <f t="shared" si="1"/>
        <v/>
      </c>
      <c r="G1206" s="15">
        <f t="shared" si="2"/>
        <v>6.14</v>
      </c>
      <c r="H1206" s="16">
        <v>1.0</v>
      </c>
      <c r="I1206" s="15">
        <f t="shared" si="3"/>
        <v>3.67</v>
      </c>
      <c r="J1206" s="15">
        <v>17.98</v>
      </c>
      <c r="K1206" s="16">
        <f>IF(COUNTIFS(Release_Calendar!$A$2:$A$755,"US_CPI",Release_Calendar!$B$2:$B$755,$A1206)&gt;0,1,0)</f>
        <v>0</v>
      </c>
      <c r="L1206" s="16">
        <f>IF(COUNTIFS(Release_Calendar!$A$2:$A$755,"US_NFP",Release_Calendar!$B$2:$B$755,$A1206)&gt;0,1,0)</f>
        <v>0</v>
      </c>
      <c r="M1206" s="16" t="str">
        <f>IF($A1206&lt;Notes!$B$5,"",IF(COUNTIFS(Release_Calendar!$A$2:$A$755,"NZ_CPI",Release_Calendar!$B$2:$B$755,$A1206)&gt;0,1,0))</f>
        <v/>
      </c>
      <c r="N1206" s="16" t="str">
        <f>IF($A1206&lt;Notes!$B$5,"",IF(COUNTIFS(Release_Calendar!$A$2:$A$755,"NZ_GDP",Release_Calendar!$B$2:$B$755,$A1206)&gt;0,1,0))</f>
        <v/>
      </c>
      <c r="O1206" s="16" t="str">
        <f>IF($A1206&lt;Notes!$B$5,"",IF(COUNTIFS(Release_Calendar!$A$2:$A$755,"NZ_LABOUR",Release_Calendar!$B$2:$B$755,$A1206)&gt;0,1,0))</f>
        <v/>
      </c>
      <c r="P1206" s="16">
        <f t="shared" si="4"/>
        <v>0</v>
      </c>
    </row>
    <row r="1207" ht="15.75" customHeight="1">
      <c r="A1207" s="14">
        <v>38215.0</v>
      </c>
      <c r="B1207" s="15">
        <v>2.51</v>
      </c>
      <c r="C1207" s="15"/>
      <c r="D1207" s="15">
        <v>6.11</v>
      </c>
      <c r="E1207" s="15"/>
      <c r="F1207" s="15" t="str">
        <f t="shared" si="1"/>
        <v/>
      </c>
      <c r="G1207" s="15">
        <f t="shared" si="2"/>
        <v>6.11</v>
      </c>
      <c r="H1207" s="16">
        <v>1.0</v>
      </c>
      <c r="I1207" s="15">
        <f t="shared" si="3"/>
        <v>3.6</v>
      </c>
      <c r="J1207" s="15">
        <v>17.57</v>
      </c>
      <c r="K1207" s="16">
        <f>IF(COUNTIFS(Release_Calendar!$A$2:$A$755,"US_CPI",Release_Calendar!$B$2:$B$755,$A1207)&gt;0,1,0)</f>
        <v>0</v>
      </c>
      <c r="L1207" s="16">
        <f>IF(COUNTIFS(Release_Calendar!$A$2:$A$755,"US_NFP",Release_Calendar!$B$2:$B$755,$A1207)&gt;0,1,0)</f>
        <v>0</v>
      </c>
      <c r="M1207" s="16" t="str">
        <f>IF($A1207&lt;Notes!$B$5,"",IF(COUNTIFS(Release_Calendar!$A$2:$A$755,"NZ_CPI",Release_Calendar!$B$2:$B$755,$A1207)&gt;0,1,0))</f>
        <v/>
      </c>
      <c r="N1207" s="16" t="str">
        <f>IF($A1207&lt;Notes!$B$5,"",IF(COUNTIFS(Release_Calendar!$A$2:$A$755,"NZ_GDP",Release_Calendar!$B$2:$B$755,$A1207)&gt;0,1,0))</f>
        <v/>
      </c>
      <c r="O1207" s="16" t="str">
        <f>IF($A1207&lt;Notes!$B$5,"",IF(COUNTIFS(Release_Calendar!$A$2:$A$755,"NZ_LABOUR",Release_Calendar!$B$2:$B$755,$A1207)&gt;0,1,0))</f>
        <v/>
      </c>
      <c r="P1207" s="16">
        <f t="shared" si="4"/>
        <v>0</v>
      </c>
    </row>
    <row r="1208" ht="15.75" customHeight="1">
      <c r="A1208" s="14">
        <v>38216.0</v>
      </c>
      <c r="B1208" s="15">
        <v>2.44</v>
      </c>
      <c r="C1208" s="15"/>
      <c r="D1208" s="15">
        <v>6.19</v>
      </c>
      <c r="E1208" s="15"/>
      <c r="F1208" s="15" t="str">
        <f t="shared" si="1"/>
        <v/>
      </c>
      <c r="G1208" s="15">
        <f t="shared" si="2"/>
        <v>6.19</v>
      </c>
      <c r="H1208" s="16">
        <v>1.0</v>
      </c>
      <c r="I1208" s="15">
        <f t="shared" si="3"/>
        <v>3.75</v>
      </c>
      <c r="J1208" s="15">
        <v>17.02</v>
      </c>
      <c r="K1208" s="16">
        <f>IF(COUNTIFS(Release_Calendar!$A$2:$A$755,"US_CPI",Release_Calendar!$B$2:$B$755,$A1208)&gt;0,1,0)</f>
        <v>1</v>
      </c>
      <c r="L1208" s="16">
        <f>IF(COUNTIFS(Release_Calendar!$A$2:$A$755,"US_NFP",Release_Calendar!$B$2:$B$755,$A1208)&gt;0,1,0)</f>
        <v>0</v>
      </c>
      <c r="M1208" s="16" t="str">
        <f>IF($A1208&lt;Notes!$B$5,"",IF(COUNTIFS(Release_Calendar!$A$2:$A$755,"NZ_CPI",Release_Calendar!$B$2:$B$755,$A1208)&gt;0,1,0))</f>
        <v/>
      </c>
      <c r="N1208" s="16" t="str">
        <f>IF($A1208&lt;Notes!$B$5,"",IF(COUNTIFS(Release_Calendar!$A$2:$A$755,"NZ_GDP",Release_Calendar!$B$2:$B$755,$A1208)&gt;0,1,0))</f>
        <v/>
      </c>
      <c r="O1208" s="16" t="str">
        <f>IF($A1208&lt;Notes!$B$5,"",IF(COUNTIFS(Release_Calendar!$A$2:$A$755,"NZ_LABOUR",Release_Calendar!$B$2:$B$755,$A1208)&gt;0,1,0))</f>
        <v/>
      </c>
      <c r="P1208" s="16">
        <f t="shared" si="4"/>
        <v>1</v>
      </c>
    </row>
    <row r="1209" ht="15.75" customHeight="1">
      <c r="A1209" s="14">
        <v>38217.0</v>
      </c>
      <c r="B1209" s="15">
        <v>2.44</v>
      </c>
      <c r="C1209" s="15"/>
      <c r="D1209" s="15">
        <v>6.14</v>
      </c>
      <c r="E1209" s="15"/>
      <c r="F1209" s="15" t="str">
        <f t="shared" si="1"/>
        <v/>
      </c>
      <c r="G1209" s="15">
        <f t="shared" si="2"/>
        <v>6.14</v>
      </c>
      <c r="H1209" s="16">
        <v>1.0</v>
      </c>
      <c r="I1209" s="15">
        <f t="shared" si="3"/>
        <v>3.7</v>
      </c>
      <c r="J1209" s="15">
        <v>16.23</v>
      </c>
      <c r="K1209" s="16">
        <f>IF(COUNTIFS(Release_Calendar!$A$2:$A$755,"US_CPI",Release_Calendar!$B$2:$B$755,$A1209)&gt;0,1,0)</f>
        <v>0</v>
      </c>
      <c r="L1209" s="16">
        <f>IF(COUNTIFS(Release_Calendar!$A$2:$A$755,"US_NFP",Release_Calendar!$B$2:$B$755,$A1209)&gt;0,1,0)</f>
        <v>0</v>
      </c>
      <c r="M1209" s="16" t="str">
        <f>IF($A1209&lt;Notes!$B$5,"",IF(COUNTIFS(Release_Calendar!$A$2:$A$755,"NZ_CPI",Release_Calendar!$B$2:$B$755,$A1209)&gt;0,1,0))</f>
        <v/>
      </c>
      <c r="N1209" s="16" t="str">
        <f>IF($A1209&lt;Notes!$B$5,"",IF(COUNTIFS(Release_Calendar!$A$2:$A$755,"NZ_GDP",Release_Calendar!$B$2:$B$755,$A1209)&gt;0,1,0))</f>
        <v/>
      </c>
      <c r="O1209" s="16" t="str">
        <f>IF($A1209&lt;Notes!$B$5,"",IF(COUNTIFS(Release_Calendar!$A$2:$A$755,"NZ_LABOUR",Release_Calendar!$B$2:$B$755,$A1209)&gt;0,1,0))</f>
        <v/>
      </c>
      <c r="P1209" s="16">
        <f t="shared" si="4"/>
        <v>0</v>
      </c>
    </row>
    <row r="1210" ht="15.75" customHeight="1">
      <c r="A1210" s="14">
        <v>38218.0</v>
      </c>
      <c r="B1210" s="15">
        <v>2.43</v>
      </c>
      <c r="C1210" s="15"/>
      <c r="D1210" s="15">
        <v>6.17</v>
      </c>
      <c r="E1210" s="15"/>
      <c r="F1210" s="15" t="str">
        <f t="shared" si="1"/>
        <v/>
      </c>
      <c r="G1210" s="15">
        <f t="shared" si="2"/>
        <v>6.17</v>
      </c>
      <c r="H1210" s="16">
        <v>1.0</v>
      </c>
      <c r="I1210" s="15">
        <f t="shared" si="3"/>
        <v>3.74</v>
      </c>
      <c r="J1210" s="15">
        <v>16.96</v>
      </c>
      <c r="K1210" s="16">
        <f>IF(COUNTIFS(Release_Calendar!$A$2:$A$755,"US_CPI",Release_Calendar!$B$2:$B$755,$A1210)&gt;0,1,0)</f>
        <v>0</v>
      </c>
      <c r="L1210" s="16">
        <f>IF(COUNTIFS(Release_Calendar!$A$2:$A$755,"US_NFP",Release_Calendar!$B$2:$B$755,$A1210)&gt;0,1,0)</f>
        <v>0</v>
      </c>
      <c r="M1210" s="16" t="str">
        <f>IF($A1210&lt;Notes!$B$5,"",IF(COUNTIFS(Release_Calendar!$A$2:$A$755,"NZ_CPI",Release_Calendar!$B$2:$B$755,$A1210)&gt;0,1,0))</f>
        <v/>
      </c>
      <c r="N1210" s="16" t="str">
        <f>IF($A1210&lt;Notes!$B$5,"",IF(COUNTIFS(Release_Calendar!$A$2:$A$755,"NZ_GDP",Release_Calendar!$B$2:$B$755,$A1210)&gt;0,1,0))</f>
        <v/>
      </c>
      <c r="O1210" s="16" t="str">
        <f>IF($A1210&lt;Notes!$B$5,"",IF(COUNTIFS(Release_Calendar!$A$2:$A$755,"NZ_LABOUR",Release_Calendar!$B$2:$B$755,$A1210)&gt;0,1,0))</f>
        <v/>
      </c>
      <c r="P1210" s="16">
        <f t="shared" si="4"/>
        <v>0</v>
      </c>
    </row>
    <row r="1211" ht="15.75" customHeight="1">
      <c r="A1211" s="14">
        <v>38219.0</v>
      </c>
      <c r="B1211" s="15">
        <v>2.46</v>
      </c>
      <c r="C1211" s="15"/>
      <c r="D1211" s="15">
        <v>6.14</v>
      </c>
      <c r="E1211" s="15"/>
      <c r="F1211" s="15" t="str">
        <f t="shared" si="1"/>
        <v/>
      </c>
      <c r="G1211" s="15">
        <f t="shared" si="2"/>
        <v>6.14</v>
      </c>
      <c r="H1211" s="16">
        <v>1.0</v>
      </c>
      <c r="I1211" s="15">
        <f t="shared" si="3"/>
        <v>3.68</v>
      </c>
      <c r="J1211" s="15">
        <v>16.0</v>
      </c>
      <c r="K1211" s="16">
        <f>IF(COUNTIFS(Release_Calendar!$A$2:$A$755,"US_CPI",Release_Calendar!$B$2:$B$755,$A1211)&gt;0,1,0)</f>
        <v>0</v>
      </c>
      <c r="L1211" s="16">
        <f>IF(COUNTIFS(Release_Calendar!$A$2:$A$755,"US_NFP",Release_Calendar!$B$2:$B$755,$A1211)&gt;0,1,0)</f>
        <v>0</v>
      </c>
      <c r="M1211" s="16" t="str">
        <f>IF($A1211&lt;Notes!$B$5,"",IF(COUNTIFS(Release_Calendar!$A$2:$A$755,"NZ_CPI",Release_Calendar!$B$2:$B$755,$A1211)&gt;0,1,0))</f>
        <v/>
      </c>
      <c r="N1211" s="16" t="str">
        <f>IF($A1211&lt;Notes!$B$5,"",IF(COUNTIFS(Release_Calendar!$A$2:$A$755,"NZ_GDP",Release_Calendar!$B$2:$B$755,$A1211)&gt;0,1,0))</f>
        <v/>
      </c>
      <c r="O1211" s="16" t="str">
        <f>IF($A1211&lt;Notes!$B$5,"",IF(COUNTIFS(Release_Calendar!$A$2:$A$755,"NZ_LABOUR",Release_Calendar!$B$2:$B$755,$A1211)&gt;0,1,0))</f>
        <v/>
      </c>
      <c r="P1211" s="16">
        <f t="shared" si="4"/>
        <v>0</v>
      </c>
    </row>
    <row r="1212" ht="15.75" customHeight="1">
      <c r="A1212" s="14">
        <v>38222.0</v>
      </c>
      <c r="B1212" s="15">
        <v>2.5</v>
      </c>
      <c r="C1212" s="15"/>
      <c r="D1212" s="15">
        <v>6.14</v>
      </c>
      <c r="E1212" s="15"/>
      <c r="F1212" s="15" t="str">
        <f t="shared" si="1"/>
        <v/>
      </c>
      <c r="G1212" s="15">
        <f t="shared" si="2"/>
        <v>6.14</v>
      </c>
      <c r="H1212" s="16">
        <v>1.0</v>
      </c>
      <c r="I1212" s="15">
        <f t="shared" si="3"/>
        <v>3.64</v>
      </c>
      <c r="J1212" s="15">
        <v>15.88</v>
      </c>
      <c r="K1212" s="16">
        <f>IF(COUNTIFS(Release_Calendar!$A$2:$A$755,"US_CPI",Release_Calendar!$B$2:$B$755,$A1212)&gt;0,1,0)</f>
        <v>0</v>
      </c>
      <c r="L1212" s="16">
        <f>IF(COUNTIFS(Release_Calendar!$A$2:$A$755,"US_NFP",Release_Calendar!$B$2:$B$755,$A1212)&gt;0,1,0)</f>
        <v>0</v>
      </c>
      <c r="M1212" s="16" t="str">
        <f>IF($A1212&lt;Notes!$B$5,"",IF(COUNTIFS(Release_Calendar!$A$2:$A$755,"NZ_CPI",Release_Calendar!$B$2:$B$755,$A1212)&gt;0,1,0))</f>
        <v/>
      </c>
      <c r="N1212" s="16" t="str">
        <f>IF($A1212&lt;Notes!$B$5,"",IF(COUNTIFS(Release_Calendar!$A$2:$A$755,"NZ_GDP",Release_Calendar!$B$2:$B$755,$A1212)&gt;0,1,0))</f>
        <v/>
      </c>
      <c r="O1212" s="16" t="str">
        <f>IF($A1212&lt;Notes!$B$5,"",IF(COUNTIFS(Release_Calendar!$A$2:$A$755,"NZ_LABOUR",Release_Calendar!$B$2:$B$755,$A1212)&gt;0,1,0))</f>
        <v/>
      </c>
      <c r="P1212" s="16">
        <f t="shared" si="4"/>
        <v>0</v>
      </c>
    </row>
    <row r="1213" ht="15.75" customHeight="1">
      <c r="A1213" s="14">
        <v>38223.0</v>
      </c>
      <c r="B1213" s="15">
        <v>2.5</v>
      </c>
      <c r="C1213" s="15"/>
      <c r="D1213" s="15">
        <v>6.21</v>
      </c>
      <c r="E1213" s="15"/>
      <c r="F1213" s="15" t="str">
        <f t="shared" si="1"/>
        <v/>
      </c>
      <c r="G1213" s="15">
        <f t="shared" si="2"/>
        <v>6.21</v>
      </c>
      <c r="H1213" s="16">
        <v>1.0</v>
      </c>
      <c r="I1213" s="15">
        <f t="shared" si="3"/>
        <v>3.71</v>
      </c>
      <c r="J1213" s="15">
        <v>15.33</v>
      </c>
      <c r="K1213" s="16">
        <f>IF(COUNTIFS(Release_Calendar!$A$2:$A$755,"US_CPI",Release_Calendar!$B$2:$B$755,$A1213)&gt;0,1,0)</f>
        <v>0</v>
      </c>
      <c r="L1213" s="16">
        <f>IF(COUNTIFS(Release_Calendar!$A$2:$A$755,"US_NFP",Release_Calendar!$B$2:$B$755,$A1213)&gt;0,1,0)</f>
        <v>0</v>
      </c>
      <c r="M1213" s="16" t="str">
        <f>IF($A1213&lt;Notes!$B$5,"",IF(COUNTIFS(Release_Calendar!$A$2:$A$755,"NZ_CPI",Release_Calendar!$B$2:$B$755,$A1213)&gt;0,1,0))</f>
        <v/>
      </c>
      <c r="N1213" s="16" t="str">
        <f>IF($A1213&lt;Notes!$B$5,"",IF(COUNTIFS(Release_Calendar!$A$2:$A$755,"NZ_GDP",Release_Calendar!$B$2:$B$755,$A1213)&gt;0,1,0))</f>
        <v/>
      </c>
      <c r="O1213" s="16" t="str">
        <f>IF($A1213&lt;Notes!$B$5,"",IF(COUNTIFS(Release_Calendar!$A$2:$A$755,"NZ_LABOUR",Release_Calendar!$B$2:$B$755,$A1213)&gt;0,1,0))</f>
        <v/>
      </c>
      <c r="P1213" s="16">
        <f t="shared" si="4"/>
        <v>0</v>
      </c>
    </row>
    <row r="1214" ht="15.75" customHeight="1">
      <c r="A1214" s="14">
        <v>38224.0</v>
      </c>
      <c r="B1214" s="15">
        <v>2.51</v>
      </c>
      <c r="C1214" s="15"/>
      <c r="D1214" s="15">
        <v>6.2</v>
      </c>
      <c r="E1214" s="15"/>
      <c r="F1214" s="15" t="str">
        <f t="shared" si="1"/>
        <v/>
      </c>
      <c r="G1214" s="15">
        <f t="shared" si="2"/>
        <v>6.2</v>
      </c>
      <c r="H1214" s="16">
        <v>1.0</v>
      </c>
      <c r="I1214" s="15">
        <f t="shared" si="3"/>
        <v>3.69</v>
      </c>
      <c r="J1214" s="15">
        <v>14.98</v>
      </c>
      <c r="K1214" s="16">
        <f>IF(COUNTIFS(Release_Calendar!$A$2:$A$755,"US_CPI",Release_Calendar!$B$2:$B$755,$A1214)&gt;0,1,0)</f>
        <v>0</v>
      </c>
      <c r="L1214" s="16">
        <f>IF(COUNTIFS(Release_Calendar!$A$2:$A$755,"US_NFP",Release_Calendar!$B$2:$B$755,$A1214)&gt;0,1,0)</f>
        <v>0</v>
      </c>
      <c r="M1214" s="16" t="str">
        <f>IF($A1214&lt;Notes!$B$5,"",IF(COUNTIFS(Release_Calendar!$A$2:$A$755,"NZ_CPI",Release_Calendar!$B$2:$B$755,$A1214)&gt;0,1,0))</f>
        <v/>
      </c>
      <c r="N1214" s="16" t="str">
        <f>IF($A1214&lt;Notes!$B$5,"",IF(COUNTIFS(Release_Calendar!$A$2:$A$755,"NZ_GDP",Release_Calendar!$B$2:$B$755,$A1214)&gt;0,1,0))</f>
        <v/>
      </c>
      <c r="O1214" s="16" t="str">
        <f>IF($A1214&lt;Notes!$B$5,"",IF(COUNTIFS(Release_Calendar!$A$2:$A$755,"NZ_LABOUR",Release_Calendar!$B$2:$B$755,$A1214)&gt;0,1,0))</f>
        <v/>
      </c>
      <c r="P1214" s="16">
        <f t="shared" si="4"/>
        <v>0</v>
      </c>
    </row>
    <row r="1215" ht="15.75" customHeight="1">
      <c r="A1215" s="14">
        <v>38225.0</v>
      </c>
      <c r="B1215" s="15">
        <v>2.48</v>
      </c>
      <c r="C1215" s="15"/>
      <c r="D1215" s="15">
        <v>6.19</v>
      </c>
      <c r="E1215" s="15"/>
      <c r="F1215" s="15" t="str">
        <f t="shared" si="1"/>
        <v/>
      </c>
      <c r="G1215" s="15">
        <f t="shared" si="2"/>
        <v>6.19</v>
      </c>
      <c r="H1215" s="16">
        <v>1.0</v>
      </c>
      <c r="I1215" s="15">
        <f t="shared" si="3"/>
        <v>3.71</v>
      </c>
      <c r="J1215" s="15">
        <v>14.91</v>
      </c>
      <c r="K1215" s="16">
        <f>IF(COUNTIFS(Release_Calendar!$A$2:$A$755,"US_CPI",Release_Calendar!$B$2:$B$755,$A1215)&gt;0,1,0)</f>
        <v>0</v>
      </c>
      <c r="L1215" s="16">
        <f>IF(COUNTIFS(Release_Calendar!$A$2:$A$755,"US_NFP",Release_Calendar!$B$2:$B$755,$A1215)&gt;0,1,0)</f>
        <v>0</v>
      </c>
      <c r="M1215" s="16" t="str">
        <f>IF($A1215&lt;Notes!$B$5,"",IF(COUNTIFS(Release_Calendar!$A$2:$A$755,"NZ_CPI",Release_Calendar!$B$2:$B$755,$A1215)&gt;0,1,0))</f>
        <v/>
      </c>
      <c r="N1215" s="16" t="str">
        <f>IF($A1215&lt;Notes!$B$5,"",IF(COUNTIFS(Release_Calendar!$A$2:$A$755,"NZ_GDP",Release_Calendar!$B$2:$B$755,$A1215)&gt;0,1,0))</f>
        <v/>
      </c>
      <c r="O1215" s="16" t="str">
        <f>IF($A1215&lt;Notes!$B$5,"",IF(COUNTIFS(Release_Calendar!$A$2:$A$755,"NZ_LABOUR",Release_Calendar!$B$2:$B$755,$A1215)&gt;0,1,0))</f>
        <v/>
      </c>
      <c r="P1215" s="16">
        <f t="shared" si="4"/>
        <v>0</v>
      </c>
    </row>
    <row r="1216" ht="15.75" customHeight="1">
      <c r="A1216" s="14">
        <v>38226.0</v>
      </c>
      <c r="B1216" s="15">
        <v>2.48</v>
      </c>
      <c r="C1216" s="15"/>
      <c r="D1216" s="15">
        <v>6.17</v>
      </c>
      <c r="E1216" s="15"/>
      <c r="F1216" s="15" t="str">
        <f t="shared" si="1"/>
        <v/>
      </c>
      <c r="G1216" s="15">
        <f t="shared" si="2"/>
        <v>6.17</v>
      </c>
      <c r="H1216" s="16">
        <v>1.0</v>
      </c>
      <c r="I1216" s="15">
        <f t="shared" si="3"/>
        <v>3.69</v>
      </c>
      <c r="J1216" s="15">
        <v>14.71</v>
      </c>
      <c r="K1216" s="16">
        <f>IF(COUNTIFS(Release_Calendar!$A$2:$A$755,"US_CPI",Release_Calendar!$B$2:$B$755,$A1216)&gt;0,1,0)</f>
        <v>0</v>
      </c>
      <c r="L1216" s="16">
        <f>IF(COUNTIFS(Release_Calendar!$A$2:$A$755,"US_NFP",Release_Calendar!$B$2:$B$755,$A1216)&gt;0,1,0)</f>
        <v>0</v>
      </c>
      <c r="M1216" s="16" t="str">
        <f>IF($A1216&lt;Notes!$B$5,"",IF(COUNTIFS(Release_Calendar!$A$2:$A$755,"NZ_CPI",Release_Calendar!$B$2:$B$755,$A1216)&gt;0,1,0))</f>
        <v/>
      </c>
      <c r="N1216" s="16" t="str">
        <f>IF($A1216&lt;Notes!$B$5,"",IF(COUNTIFS(Release_Calendar!$A$2:$A$755,"NZ_GDP",Release_Calendar!$B$2:$B$755,$A1216)&gt;0,1,0))</f>
        <v/>
      </c>
      <c r="O1216" s="16" t="str">
        <f>IF($A1216&lt;Notes!$B$5,"",IF(COUNTIFS(Release_Calendar!$A$2:$A$755,"NZ_LABOUR",Release_Calendar!$B$2:$B$755,$A1216)&gt;0,1,0))</f>
        <v/>
      </c>
      <c r="P1216" s="16">
        <f t="shared" si="4"/>
        <v>0</v>
      </c>
    </row>
    <row r="1217" ht="15.75" customHeight="1">
      <c r="A1217" s="14">
        <v>38229.0</v>
      </c>
      <c r="B1217" s="15">
        <v>2.47</v>
      </c>
      <c r="C1217" s="15"/>
      <c r="D1217" s="15">
        <v>6.18</v>
      </c>
      <c r="E1217" s="15"/>
      <c r="F1217" s="15" t="str">
        <f t="shared" si="1"/>
        <v/>
      </c>
      <c r="G1217" s="15">
        <f t="shared" si="2"/>
        <v>6.18</v>
      </c>
      <c r="H1217" s="16">
        <v>1.0</v>
      </c>
      <c r="I1217" s="15">
        <f t="shared" si="3"/>
        <v>3.71</v>
      </c>
      <c r="J1217" s="15">
        <v>15.44</v>
      </c>
      <c r="K1217" s="16">
        <f>IF(COUNTIFS(Release_Calendar!$A$2:$A$755,"US_CPI",Release_Calendar!$B$2:$B$755,$A1217)&gt;0,1,0)</f>
        <v>0</v>
      </c>
      <c r="L1217" s="16">
        <f>IF(COUNTIFS(Release_Calendar!$A$2:$A$755,"US_NFP",Release_Calendar!$B$2:$B$755,$A1217)&gt;0,1,0)</f>
        <v>0</v>
      </c>
      <c r="M1217" s="16" t="str">
        <f>IF($A1217&lt;Notes!$B$5,"",IF(COUNTIFS(Release_Calendar!$A$2:$A$755,"NZ_CPI",Release_Calendar!$B$2:$B$755,$A1217)&gt;0,1,0))</f>
        <v/>
      </c>
      <c r="N1217" s="16" t="str">
        <f>IF($A1217&lt;Notes!$B$5,"",IF(COUNTIFS(Release_Calendar!$A$2:$A$755,"NZ_GDP",Release_Calendar!$B$2:$B$755,$A1217)&gt;0,1,0))</f>
        <v/>
      </c>
      <c r="O1217" s="16" t="str">
        <f>IF($A1217&lt;Notes!$B$5,"",IF(COUNTIFS(Release_Calendar!$A$2:$A$755,"NZ_LABOUR",Release_Calendar!$B$2:$B$755,$A1217)&gt;0,1,0))</f>
        <v/>
      </c>
      <c r="P1217" s="16">
        <f t="shared" si="4"/>
        <v>0</v>
      </c>
    </row>
    <row r="1218" ht="15.75" customHeight="1">
      <c r="A1218" s="14">
        <v>38230.0</v>
      </c>
      <c r="B1218" s="15">
        <v>2.41</v>
      </c>
      <c r="C1218" s="15"/>
      <c r="D1218" s="15">
        <v>6.17</v>
      </c>
      <c r="E1218" s="15"/>
      <c r="F1218" s="15" t="str">
        <f t="shared" si="1"/>
        <v/>
      </c>
      <c r="G1218" s="15">
        <f t="shared" si="2"/>
        <v>6.17</v>
      </c>
      <c r="H1218" s="16">
        <v>1.0</v>
      </c>
      <c r="I1218" s="15">
        <f t="shared" si="3"/>
        <v>3.76</v>
      </c>
      <c r="J1218" s="15">
        <v>15.29</v>
      </c>
      <c r="K1218" s="16">
        <f>IF(COUNTIFS(Release_Calendar!$A$2:$A$755,"US_CPI",Release_Calendar!$B$2:$B$755,$A1218)&gt;0,1,0)</f>
        <v>0</v>
      </c>
      <c r="L1218" s="16">
        <f>IF(COUNTIFS(Release_Calendar!$A$2:$A$755,"US_NFP",Release_Calendar!$B$2:$B$755,$A1218)&gt;0,1,0)</f>
        <v>0</v>
      </c>
      <c r="M1218" s="16" t="str">
        <f>IF($A1218&lt;Notes!$B$5,"",IF(COUNTIFS(Release_Calendar!$A$2:$A$755,"NZ_CPI",Release_Calendar!$B$2:$B$755,$A1218)&gt;0,1,0))</f>
        <v/>
      </c>
      <c r="N1218" s="16" t="str">
        <f>IF($A1218&lt;Notes!$B$5,"",IF(COUNTIFS(Release_Calendar!$A$2:$A$755,"NZ_GDP",Release_Calendar!$B$2:$B$755,$A1218)&gt;0,1,0))</f>
        <v/>
      </c>
      <c r="O1218" s="16" t="str">
        <f>IF($A1218&lt;Notes!$B$5,"",IF(COUNTIFS(Release_Calendar!$A$2:$A$755,"NZ_LABOUR",Release_Calendar!$B$2:$B$755,$A1218)&gt;0,1,0))</f>
        <v/>
      </c>
      <c r="P1218" s="16">
        <f t="shared" si="4"/>
        <v>0</v>
      </c>
    </row>
    <row r="1219" ht="15.75" customHeight="1">
      <c r="A1219" s="14">
        <v>38231.0</v>
      </c>
      <c r="B1219" s="15">
        <v>2.41</v>
      </c>
      <c r="C1219" s="15"/>
      <c r="D1219" s="15">
        <v>6.17</v>
      </c>
      <c r="E1219" s="15"/>
      <c r="F1219" s="15" t="str">
        <f t="shared" si="1"/>
        <v/>
      </c>
      <c r="G1219" s="15">
        <f t="shared" si="2"/>
        <v>6.17</v>
      </c>
      <c r="H1219" s="16">
        <v>1.0</v>
      </c>
      <c r="I1219" s="15">
        <f t="shared" si="3"/>
        <v>3.76</v>
      </c>
      <c r="J1219" s="15">
        <v>14.91</v>
      </c>
      <c r="K1219" s="16">
        <f>IF(COUNTIFS(Release_Calendar!$A$2:$A$755,"US_CPI",Release_Calendar!$B$2:$B$755,$A1219)&gt;0,1,0)</f>
        <v>0</v>
      </c>
      <c r="L1219" s="16">
        <f>IF(COUNTIFS(Release_Calendar!$A$2:$A$755,"US_NFP",Release_Calendar!$B$2:$B$755,$A1219)&gt;0,1,0)</f>
        <v>0</v>
      </c>
      <c r="M1219" s="16" t="str">
        <f>IF($A1219&lt;Notes!$B$5,"",IF(COUNTIFS(Release_Calendar!$A$2:$A$755,"NZ_CPI",Release_Calendar!$B$2:$B$755,$A1219)&gt;0,1,0))</f>
        <v/>
      </c>
      <c r="N1219" s="16" t="str">
        <f>IF($A1219&lt;Notes!$B$5,"",IF(COUNTIFS(Release_Calendar!$A$2:$A$755,"NZ_GDP",Release_Calendar!$B$2:$B$755,$A1219)&gt;0,1,0))</f>
        <v/>
      </c>
      <c r="O1219" s="16" t="str">
        <f>IF($A1219&lt;Notes!$B$5,"",IF(COUNTIFS(Release_Calendar!$A$2:$A$755,"NZ_LABOUR",Release_Calendar!$B$2:$B$755,$A1219)&gt;0,1,0))</f>
        <v/>
      </c>
      <c r="P1219" s="16">
        <f t="shared" si="4"/>
        <v>0</v>
      </c>
    </row>
    <row r="1220" ht="15.75" customHeight="1">
      <c r="A1220" s="14">
        <v>38232.0</v>
      </c>
      <c r="B1220" s="15">
        <v>2.46</v>
      </c>
      <c r="C1220" s="15"/>
      <c r="D1220" s="15">
        <v>6.15</v>
      </c>
      <c r="E1220" s="15"/>
      <c r="F1220" s="15" t="str">
        <f t="shared" si="1"/>
        <v/>
      </c>
      <c r="G1220" s="15">
        <f t="shared" si="2"/>
        <v>6.15</v>
      </c>
      <c r="H1220" s="16">
        <v>1.0</v>
      </c>
      <c r="I1220" s="15">
        <f t="shared" si="3"/>
        <v>3.69</v>
      </c>
      <c r="J1220" s="15">
        <v>14.28</v>
      </c>
      <c r="K1220" s="16">
        <f>IF(COUNTIFS(Release_Calendar!$A$2:$A$755,"US_CPI",Release_Calendar!$B$2:$B$755,$A1220)&gt;0,1,0)</f>
        <v>0</v>
      </c>
      <c r="L1220" s="16">
        <f>IF(COUNTIFS(Release_Calendar!$A$2:$A$755,"US_NFP",Release_Calendar!$B$2:$B$755,$A1220)&gt;0,1,0)</f>
        <v>0</v>
      </c>
      <c r="M1220" s="16" t="str">
        <f>IF($A1220&lt;Notes!$B$5,"",IF(COUNTIFS(Release_Calendar!$A$2:$A$755,"NZ_CPI",Release_Calendar!$B$2:$B$755,$A1220)&gt;0,1,0))</f>
        <v/>
      </c>
      <c r="N1220" s="16" t="str">
        <f>IF($A1220&lt;Notes!$B$5,"",IF(COUNTIFS(Release_Calendar!$A$2:$A$755,"NZ_GDP",Release_Calendar!$B$2:$B$755,$A1220)&gt;0,1,0))</f>
        <v/>
      </c>
      <c r="O1220" s="16" t="str">
        <f>IF($A1220&lt;Notes!$B$5,"",IF(COUNTIFS(Release_Calendar!$A$2:$A$755,"NZ_LABOUR",Release_Calendar!$B$2:$B$755,$A1220)&gt;0,1,0))</f>
        <v/>
      </c>
      <c r="P1220" s="16">
        <f t="shared" si="4"/>
        <v>0</v>
      </c>
    </row>
    <row r="1221" ht="15.75" customHeight="1">
      <c r="A1221" s="14">
        <v>38233.0</v>
      </c>
      <c r="B1221" s="15">
        <v>2.61</v>
      </c>
      <c r="C1221" s="15"/>
      <c r="D1221" s="15">
        <v>6.16</v>
      </c>
      <c r="E1221" s="15"/>
      <c r="F1221" s="15" t="str">
        <f t="shared" si="1"/>
        <v/>
      </c>
      <c r="G1221" s="15">
        <f t="shared" si="2"/>
        <v>6.16</v>
      </c>
      <c r="H1221" s="16">
        <v>1.0</v>
      </c>
      <c r="I1221" s="15">
        <f t="shared" si="3"/>
        <v>3.55</v>
      </c>
      <c r="J1221" s="15">
        <v>13.91</v>
      </c>
      <c r="K1221" s="16">
        <f>IF(COUNTIFS(Release_Calendar!$A$2:$A$755,"US_CPI",Release_Calendar!$B$2:$B$755,$A1221)&gt;0,1,0)</f>
        <v>0</v>
      </c>
      <c r="L1221" s="16">
        <f>IF(COUNTIFS(Release_Calendar!$A$2:$A$755,"US_NFP",Release_Calendar!$B$2:$B$755,$A1221)&gt;0,1,0)</f>
        <v>1</v>
      </c>
      <c r="M1221" s="16" t="str">
        <f>IF($A1221&lt;Notes!$B$5,"",IF(COUNTIFS(Release_Calendar!$A$2:$A$755,"NZ_CPI",Release_Calendar!$B$2:$B$755,$A1221)&gt;0,1,0))</f>
        <v/>
      </c>
      <c r="N1221" s="16" t="str">
        <f>IF($A1221&lt;Notes!$B$5,"",IF(COUNTIFS(Release_Calendar!$A$2:$A$755,"NZ_GDP",Release_Calendar!$B$2:$B$755,$A1221)&gt;0,1,0))</f>
        <v/>
      </c>
      <c r="O1221" s="16" t="str">
        <f>IF($A1221&lt;Notes!$B$5,"",IF(COUNTIFS(Release_Calendar!$A$2:$A$755,"NZ_LABOUR",Release_Calendar!$B$2:$B$755,$A1221)&gt;0,1,0))</f>
        <v/>
      </c>
      <c r="P1221" s="16">
        <f t="shared" si="4"/>
        <v>1</v>
      </c>
    </row>
    <row r="1222" ht="15.75" customHeight="1">
      <c r="A1222" s="14">
        <v>38236.0</v>
      </c>
      <c r="B1222" s="15"/>
      <c r="C1222" s="15"/>
      <c r="D1222" s="15">
        <v>6.22</v>
      </c>
      <c r="E1222" s="15"/>
      <c r="F1222" s="15" t="str">
        <f t="shared" si="1"/>
        <v/>
      </c>
      <c r="G1222" s="15">
        <f t="shared" si="2"/>
        <v>6.22</v>
      </c>
      <c r="H1222" s="16">
        <v>1.0</v>
      </c>
      <c r="I1222" s="15" t="str">
        <f t="shared" si="3"/>
        <v/>
      </c>
      <c r="J1222" s="15"/>
      <c r="K1222" s="16">
        <f>IF(COUNTIFS(Release_Calendar!$A$2:$A$755,"US_CPI",Release_Calendar!$B$2:$B$755,$A1222)&gt;0,1,0)</f>
        <v>0</v>
      </c>
      <c r="L1222" s="16">
        <f>IF(COUNTIFS(Release_Calendar!$A$2:$A$755,"US_NFP",Release_Calendar!$B$2:$B$755,$A1222)&gt;0,1,0)</f>
        <v>0</v>
      </c>
      <c r="M1222" s="16" t="str">
        <f>IF($A1222&lt;Notes!$B$5,"",IF(COUNTIFS(Release_Calendar!$A$2:$A$755,"NZ_CPI",Release_Calendar!$B$2:$B$755,$A1222)&gt;0,1,0))</f>
        <v/>
      </c>
      <c r="N1222" s="16" t="str">
        <f>IF($A1222&lt;Notes!$B$5,"",IF(COUNTIFS(Release_Calendar!$A$2:$A$755,"NZ_GDP",Release_Calendar!$B$2:$B$755,$A1222)&gt;0,1,0))</f>
        <v/>
      </c>
      <c r="O1222" s="16" t="str">
        <f>IF($A1222&lt;Notes!$B$5,"",IF(COUNTIFS(Release_Calendar!$A$2:$A$755,"NZ_LABOUR",Release_Calendar!$B$2:$B$755,$A1222)&gt;0,1,0))</f>
        <v/>
      </c>
      <c r="P1222" s="16">
        <f t="shared" si="4"/>
        <v>0</v>
      </c>
    </row>
    <row r="1223" ht="15.75" customHeight="1">
      <c r="A1223" s="14">
        <v>38237.0</v>
      </c>
      <c r="B1223" s="15">
        <v>2.58</v>
      </c>
      <c r="C1223" s="15"/>
      <c r="D1223" s="15">
        <v>6.23</v>
      </c>
      <c r="E1223" s="15"/>
      <c r="F1223" s="15" t="str">
        <f t="shared" si="1"/>
        <v/>
      </c>
      <c r="G1223" s="15">
        <f t="shared" si="2"/>
        <v>6.23</v>
      </c>
      <c r="H1223" s="16">
        <v>1.0</v>
      </c>
      <c r="I1223" s="15">
        <f t="shared" si="3"/>
        <v>3.65</v>
      </c>
      <c r="J1223" s="15">
        <v>14.07</v>
      </c>
      <c r="K1223" s="16">
        <f>IF(COUNTIFS(Release_Calendar!$A$2:$A$755,"US_CPI",Release_Calendar!$B$2:$B$755,$A1223)&gt;0,1,0)</f>
        <v>0</v>
      </c>
      <c r="L1223" s="16">
        <f>IF(COUNTIFS(Release_Calendar!$A$2:$A$755,"US_NFP",Release_Calendar!$B$2:$B$755,$A1223)&gt;0,1,0)</f>
        <v>0</v>
      </c>
      <c r="M1223" s="16" t="str">
        <f>IF($A1223&lt;Notes!$B$5,"",IF(COUNTIFS(Release_Calendar!$A$2:$A$755,"NZ_CPI",Release_Calendar!$B$2:$B$755,$A1223)&gt;0,1,0))</f>
        <v/>
      </c>
      <c r="N1223" s="16" t="str">
        <f>IF($A1223&lt;Notes!$B$5,"",IF(COUNTIFS(Release_Calendar!$A$2:$A$755,"NZ_GDP",Release_Calendar!$B$2:$B$755,$A1223)&gt;0,1,0))</f>
        <v/>
      </c>
      <c r="O1223" s="16" t="str">
        <f>IF($A1223&lt;Notes!$B$5,"",IF(COUNTIFS(Release_Calendar!$A$2:$A$755,"NZ_LABOUR",Release_Calendar!$B$2:$B$755,$A1223)&gt;0,1,0))</f>
        <v/>
      </c>
      <c r="P1223" s="16">
        <f t="shared" si="4"/>
        <v>0</v>
      </c>
    </row>
    <row r="1224" ht="15.75" customHeight="1">
      <c r="A1224" s="14">
        <v>38238.0</v>
      </c>
      <c r="B1224" s="15">
        <v>2.5</v>
      </c>
      <c r="C1224" s="15"/>
      <c r="D1224" s="15">
        <v>6.21</v>
      </c>
      <c r="E1224" s="15"/>
      <c r="F1224" s="15" t="str">
        <f t="shared" si="1"/>
        <v/>
      </c>
      <c r="G1224" s="15">
        <f t="shared" si="2"/>
        <v>6.21</v>
      </c>
      <c r="H1224" s="16">
        <v>1.0</v>
      </c>
      <c r="I1224" s="15">
        <f t="shared" si="3"/>
        <v>3.71</v>
      </c>
      <c r="J1224" s="15">
        <v>14.06</v>
      </c>
      <c r="K1224" s="16">
        <f>IF(COUNTIFS(Release_Calendar!$A$2:$A$755,"US_CPI",Release_Calendar!$B$2:$B$755,$A1224)&gt;0,1,0)</f>
        <v>0</v>
      </c>
      <c r="L1224" s="16">
        <f>IF(COUNTIFS(Release_Calendar!$A$2:$A$755,"US_NFP",Release_Calendar!$B$2:$B$755,$A1224)&gt;0,1,0)</f>
        <v>0</v>
      </c>
      <c r="M1224" s="16" t="str">
        <f>IF($A1224&lt;Notes!$B$5,"",IF(COUNTIFS(Release_Calendar!$A$2:$A$755,"NZ_CPI",Release_Calendar!$B$2:$B$755,$A1224)&gt;0,1,0))</f>
        <v/>
      </c>
      <c r="N1224" s="16" t="str">
        <f>IF($A1224&lt;Notes!$B$5,"",IF(COUNTIFS(Release_Calendar!$A$2:$A$755,"NZ_GDP",Release_Calendar!$B$2:$B$755,$A1224)&gt;0,1,0))</f>
        <v/>
      </c>
      <c r="O1224" s="16" t="str">
        <f>IF($A1224&lt;Notes!$B$5,"",IF(COUNTIFS(Release_Calendar!$A$2:$A$755,"NZ_LABOUR",Release_Calendar!$B$2:$B$755,$A1224)&gt;0,1,0))</f>
        <v/>
      </c>
      <c r="P1224" s="16">
        <f t="shared" si="4"/>
        <v>0</v>
      </c>
    </row>
    <row r="1225" ht="15.75" customHeight="1">
      <c r="A1225" s="14">
        <v>38239.0</v>
      </c>
      <c r="B1225" s="15">
        <v>2.5</v>
      </c>
      <c r="C1225" s="15"/>
      <c r="D1225" s="15">
        <v>6.26</v>
      </c>
      <c r="E1225" s="15"/>
      <c r="F1225" s="15" t="str">
        <f t="shared" si="1"/>
        <v/>
      </c>
      <c r="G1225" s="15">
        <f t="shared" si="2"/>
        <v>6.26</v>
      </c>
      <c r="H1225" s="16">
        <v>1.0</v>
      </c>
      <c r="I1225" s="15">
        <f t="shared" si="3"/>
        <v>3.76</v>
      </c>
      <c r="J1225" s="15">
        <v>14.01</v>
      </c>
      <c r="K1225" s="16">
        <f>IF(COUNTIFS(Release_Calendar!$A$2:$A$755,"US_CPI",Release_Calendar!$B$2:$B$755,$A1225)&gt;0,1,0)</f>
        <v>0</v>
      </c>
      <c r="L1225" s="16">
        <f>IF(COUNTIFS(Release_Calendar!$A$2:$A$755,"US_NFP",Release_Calendar!$B$2:$B$755,$A1225)&gt;0,1,0)</f>
        <v>0</v>
      </c>
      <c r="M1225" s="16" t="str">
        <f>IF($A1225&lt;Notes!$B$5,"",IF(COUNTIFS(Release_Calendar!$A$2:$A$755,"NZ_CPI",Release_Calendar!$B$2:$B$755,$A1225)&gt;0,1,0))</f>
        <v/>
      </c>
      <c r="N1225" s="16" t="str">
        <f>IF($A1225&lt;Notes!$B$5,"",IF(COUNTIFS(Release_Calendar!$A$2:$A$755,"NZ_GDP",Release_Calendar!$B$2:$B$755,$A1225)&gt;0,1,0))</f>
        <v/>
      </c>
      <c r="O1225" s="16" t="str">
        <f>IF($A1225&lt;Notes!$B$5,"",IF(COUNTIFS(Release_Calendar!$A$2:$A$755,"NZ_LABOUR",Release_Calendar!$B$2:$B$755,$A1225)&gt;0,1,0))</f>
        <v/>
      </c>
      <c r="P1225" s="16">
        <f t="shared" si="4"/>
        <v>0</v>
      </c>
    </row>
    <row r="1226" ht="15.75" customHeight="1">
      <c r="A1226" s="14">
        <v>38240.0</v>
      </c>
      <c r="B1226" s="15">
        <v>2.5</v>
      </c>
      <c r="C1226" s="15"/>
      <c r="D1226" s="15">
        <v>6.27</v>
      </c>
      <c r="E1226" s="15"/>
      <c r="F1226" s="15" t="str">
        <f t="shared" si="1"/>
        <v/>
      </c>
      <c r="G1226" s="15">
        <f t="shared" si="2"/>
        <v>6.27</v>
      </c>
      <c r="H1226" s="16">
        <v>1.0</v>
      </c>
      <c r="I1226" s="15">
        <f t="shared" si="3"/>
        <v>3.77</v>
      </c>
      <c r="J1226" s="15">
        <v>13.76</v>
      </c>
      <c r="K1226" s="16">
        <f>IF(COUNTIFS(Release_Calendar!$A$2:$A$755,"US_CPI",Release_Calendar!$B$2:$B$755,$A1226)&gt;0,1,0)</f>
        <v>0</v>
      </c>
      <c r="L1226" s="16">
        <f>IF(COUNTIFS(Release_Calendar!$A$2:$A$755,"US_NFP",Release_Calendar!$B$2:$B$755,$A1226)&gt;0,1,0)</f>
        <v>0</v>
      </c>
      <c r="M1226" s="16" t="str">
        <f>IF($A1226&lt;Notes!$B$5,"",IF(COUNTIFS(Release_Calendar!$A$2:$A$755,"NZ_CPI",Release_Calendar!$B$2:$B$755,$A1226)&gt;0,1,0))</f>
        <v/>
      </c>
      <c r="N1226" s="16" t="str">
        <f>IF($A1226&lt;Notes!$B$5,"",IF(COUNTIFS(Release_Calendar!$A$2:$A$755,"NZ_GDP",Release_Calendar!$B$2:$B$755,$A1226)&gt;0,1,0))</f>
        <v/>
      </c>
      <c r="O1226" s="16" t="str">
        <f>IF($A1226&lt;Notes!$B$5,"",IF(COUNTIFS(Release_Calendar!$A$2:$A$755,"NZ_LABOUR",Release_Calendar!$B$2:$B$755,$A1226)&gt;0,1,0))</f>
        <v/>
      </c>
      <c r="P1226" s="16">
        <f t="shared" si="4"/>
        <v>0</v>
      </c>
    </row>
    <row r="1227" ht="15.75" customHeight="1">
      <c r="A1227" s="14">
        <v>38243.0</v>
      </c>
      <c r="B1227" s="15">
        <v>2.5</v>
      </c>
      <c r="C1227" s="15"/>
      <c r="D1227" s="15">
        <v>6.28</v>
      </c>
      <c r="E1227" s="15"/>
      <c r="F1227" s="15" t="str">
        <f t="shared" si="1"/>
        <v/>
      </c>
      <c r="G1227" s="15">
        <f t="shared" si="2"/>
        <v>6.28</v>
      </c>
      <c r="H1227" s="16">
        <v>1.0</v>
      </c>
      <c r="I1227" s="15">
        <f t="shared" si="3"/>
        <v>3.78</v>
      </c>
      <c r="J1227" s="15">
        <v>13.17</v>
      </c>
      <c r="K1227" s="16">
        <f>IF(COUNTIFS(Release_Calendar!$A$2:$A$755,"US_CPI",Release_Calendar!$B$2:$B$755,$A1227)&gt;0,1,0)</f>
        <v>0</v>
      </c>
      <c r="L1227" s="16">
        <f>IF(COUNTIFS(Release_Calendar!$A$2:$A$755,"US_NFP",Release_Calendar!$B$2:$B$755,$A1227)&gt;0,1,0)</f>
        <v>0</v>
      </c>
      <c r="M1227" s="16" t="str">
        <f>IF($A1227&lt;Notes!$B$5,"",IF(COUNTIFS(Release_Calendar!$A$2:$A$755,"NZ_CPI",Release_Calendar!$B$2:$B$755,$A1227)&gt;0,1,0))</f>
        <v/>
      </c>
      <c r="N1227" s="16" t="str">
        <f>IF($A1227&lt;Notes!$B$5,"",IF(COUNTIFS(Release_Calendar!$A$2:$A$755,"NZ_GDP",Release_Calendar!$B$2:$B$755,$A1227)&gt;0,1,0))</f>
        <v/>
      </c>
      <c r="O1227" s="16" t="str">
        <f>IF($A1227&lt;Notes!$B$5,"",IF(COUNTIFS(Release_Calendar!$A$2:$A$755,"NZ_LABOUR",Release_Calendar!$B$2:$B$755,$A1227)&gt;0,1,0))</f>
        <v/>
      </c>
      <c r="P1227" s="16">
        <f t="shared" si="4"/>
        <v>0</v>
      </c>
    </row>
    <row r="1228" ht="15.75" customHeight="1">
      <c r="A1228" s="14">
        <v>38244.0</v>
      </c>
      <c r="B1228" s="15">
        <v>2.47</v>
      </c>
      <c r="C1228" s="15"/>
      <c r="D1228" s="15">
        <v>6.27</v>
      </c>
      <c r="E1228" s="15"/>
      <c r="F1228" s="15" t="str">
        <f t="shared" si="1"/>
        <v/>
      </c>
      <c r="G1228" s="15">
        <f t="shared" si="2"/>
        <v>6.27</v>
      </c>
      <c r="H1228" s="16">
        <v>1.0</v>
      </c>
      <c r="I1228" s="15">
        <f t="shared" si="3"/>
        <v>3.8</v>
      </c>
      <c r="J1228" s="15">
        <v>13.56</v>
      </c>
      <c r="K1228" s="16">
        <f>IF(COUNTIFS(Release_Calendar!$A$2:$A$755,"US_CPI",Release_Calendar!$B$2:$B$755,$A1228)&gt;0,1,0)</f>
        <v>0</v>
      </c>
      <c r="L1228" s="16">
        <f>IF(COUNTIFS(Release_Calendar!$A$2:$A$755,"US_NFP",Release_Calendar!$B$2:$B$755,$A1228)&gt;0,1,0)</f>
        <v>0</v>
      </c>
      <c r="M1228" s="16" t="str">
        <f>IF($A1228&lt;Notes!$B$5,"",IF(COUNTIFS(Release_Calendar!$A$2:$A$755,"NZ_CPI",Release_Calendar!$B$2:$B$755,$A1228)&gt;0,1,0))</f>
        <v/>
      </c>
      <c r="N1228" s="16" t="str">
        <f>IF($A1228&lt;Notes!$B$5,"",IF(COUNTIFS(Release_Calendar!$A$2:$A$755,"NZ_GDP",Release_Calendar!$B$2:$B$755,$A1228)&gt;0,1,0))</f>
        <v/>
      </c>
      <c r="O1228" s="16" t="str">
        <f>IF($A1228&lt;Notes!$B$5,"",IF(COUNTIFS(Release_Calendar!$A$2:$A$755,"NZ_LABOUR",Release_Calendar!$B$2:$B$755,$A1228)&gt;0,1,0))</f>
        <v/>
      </c>
      <c r="P1228" s="16">
        <f t="shared" si="4"/>
        <v>0</v>
      </c>
    </row>
    <row r="1229" ht="15.75" customHeight="1">
      <c r="A1229" s="14">
        <v>38245.0</v>
      </c>
      <c r="B1229" s="15">
        <v>2.51</v>
      </c>
      <c r="C1229" s="15"/>
      <c r="D1229" s="15">
        <v>6.24</v>
      </c>
      <c r="E1229" s="15"/>
      <c r="F1229" s="15" t="str">
        <f t="shared" si="1"/>
        <v/>
      </c>
      <c r="G1229" s="15">
        <f t="shared" si="2"/>
        <v>6.24</v>
      </c>
      <c r="H1229" s="16">
        <v>1.0</v>
      </c>
      <c r="I1229" s="15">
        <f t="shared" si="3"/>
        <v>3.73</v>
      </c>
      <c r="J1229" s="15">
        <v>14.64</v>
      </c>
      <c r="K1229" s="16">
        <f>IF(COUNTIFS(Release_Calendar!$A$2:$A$755,"US_CPI",Release_Calendar!$B$2:$B$755,$A1229)&gt;0,1,0)</f>
        <v>0</v>
      </c>
      <c r="L1229" s="16">
        <f>IF(COUNTIFS(Release_Calendar!$A$2:$A$755,"US_NFP",Release_Calendar!$B$2:$B$755,$A1229)&gt;0,1,0)</f>
        <v>0</v>
      </c>
      <c r="M1229" s="16" t="str">
        <f>IF($A1229&lt;Notes!$B$5,"",IF(COUNTIFS(Release_Calendar!$A$2:$A$755,"NZ_CPI",Release_Calendar!$B$2:$B$755,$A1229)&gt;0,1,0))</f>
        <v/>
      </c>
      <c r="N1229" s="16" t="str">
        <f>IF($A1229&lt;Notes!$B$5,"",IF(COUNTIFS(Release_Calendar!$A$2:$A$755,"NZ_GDP",Release_Calendar!$B$2:$B$755,$A1229)&gt;0,1,0))</f>
        <v/>
      </c>
      <c r="O1229" s="16" t="str">
        <f>IF($A1229&lt;Notes!$B$5,"",IF(COUNTIFS(Release_Calendar!$A$2:$A$755,"NZ_LABOUR",Release_Calendar!$B$2:$B$755,$A1229)&gt;0,1,0))</f>
        <v/>
      </c>
      <c r="P1229" s="16">
        <f t="shared" si="4"/>
        <v>0</v>
      </c>
    </row>
    <row r="1230" ht="15.75" customHeight="1">
      <c r="A1230" s="14">
        <v>38246.0</v>
      </c>
      <c r="B1230" s="15">
        <v>2.44</v>
      </c>
      <c r="C1230" s="15"/>
      <c r="D1230" s="15">
        <v>6.3</v>
      </c>
      <c r="E1230" s="15"/>
      <c r="F1230" s="15" t="str">
        <f t="shared" si="1"/>
        <v/>
      </c>
      <c r="G1230" s="15">
        <f t="shared" si="2"/>
        <v>6.3</v>
      </c>
      <c r="H1230" s="16">
        <v>1.0</v>
      </c>
      <c r="I1230" s="15">
        <f t="shared" si="3"/>
        <v>3.86</v>
      </c>
      <c r="J1230" s="15">
        <v>14.39</v>
      </c>
      <c r="K1230" s="16">
        <f>IF(COUNTIFS(Release_Calendar!$A$2:$A$755,"US_CPI",Release_Calendar!$B$2:$B$755,$A1230)&gt;0,1,0)</f>
        <v>1</v>
      </c>
      <c r="L1230" s="16">
        <f>IF(COUNTIFS(Release_Calendar!$A$2:$A$755,"US_NFP",Release_Calendar!$B$2:$B$755,$A1230)&gt;0,1,0)</f>
        <v>0</v>
      </c>
      <c r="M1230" s="16" t="str">
        <f>IF($A1230&lt;Notes!$B$5,"",IF(COUNTIFS(Release_Calendar!$A$2:$A$755,"NZ_CPI",Release_Calendar!$B$2:$B$755,$A1230)&gt;0,1,0))</f>
        <v/>
      </c>
      <c r="N1230" s="16" t="str">
        <f>IF($A1230&lt;Notes!$B$5,"",IF(COUNTIFS(Release_Calendar!$A$2:$A$755,"NZ_GDP",Release_Calendar!$B$2:$B$755,$A1230)&gt;0,1,0))</f>
        <v/>
      </c>
      <c r="O1230" s="16" t="str">
        <f>IF($A1230&lt;Notes!$B$5,"",IF(COUNTIFS(Release_Calendar!$A$2:$A$755,"NZ_LABOUR",Release_Calendar!$B$2:$B$755,$A1230)&gt;0,1,0))</f>
        <v/>
      </c>
      <c r="P1230" s="16">
        <f t="shared" si="4"/>
        <v>1</v>
      </c>
    </row>
    <row r="1231" ht="15.75" customHeight="1">
      <c r="A1231" s="14">
        <v>38247.0</v>
      </c>
      <c r="B1231" s="15">
        <v>2.53</v>
      </c>
      <c r="C1231" s="15"/>
      <c r="D1231" s="15">
        <v>6.27</v>
      </c>
      <c r="E1231" s="15"/>
      <c r="F1231" s="15" t="str">
        <f t="shared" si="1"/>
        <v/>
      </c>
      <c r="G1231" s="15">
        <f t="shared" si="2"/>
        <v>6.27</v>
      </c>
      <c r="H1231" s="16">
        <v>1.0</v>
      </c>
      <c r="I1231" s="15">
        <f t="shared" si="3"/>
        <v>3.74</v>
      </c>
      <c r="J1231" s="15">
        <v>14.03</v>
      </c>
      <c r="K1231" s="16">
        <f>IF(COUNTIFS(Release_Calendar!$A$2:$A$755,"US_CPI",Release_Calendar!$B$2:$B$755,$A1231)&gt;0,1,0)</f>
        <v>0</v>
      </c>
      <c r="L1231" s="16">
        <f>IF(COUNTIFS(Release_Calendar!$A$2:$A$755,"US_NFP",Release_Calendar!$B$2:$B$755,$A1231)&gt;0,1,0)</f>
        <v>0</v>
      </c>
      <c r="M1231" s="16" t="str">
        <f>IF($A1231&lt;Notes!$B$5,"",IF(COUNTIFS(Release_Calendar!$A$2:$A$755,"NZ_CPI",Release_Calendar!$B$2:$B$755,$A1231)&gt;0,1,0))</f>
        <v/>
      </c>
      <c r="N1231" s="16" t="str">
        <f>IF($A1231&lt;Notes!$B$5,"",IF(COUNTIFS(Release_Calendar!$A$2:$A$755,"NZ_GDP",Release_Calendar!$B$2:$B$755,$A1231)&gt;0,1,0))</f>
        <v/>
      </c>
      <c r="O1231" s="16" t="str">
        <f>IF($A1231&lt;Notes!$B$5,"",IF(COUNTIFS(Release_Calendar!$A$2:$A$755,"NZ_LABOUR",Release_Calendar!$B$2:$B$755,$A1231)&gt;0,1,0))</f>
        <v/>
      </c>
      <c r="P1231" s="16">
        <f t="shared" si="4"/>
        <v>0</v>
      </c>
    </row>
    <row r="1232" ht="15.75" customHeight="1">
      <c r="A1232" s="14">
        <v>38250.0</v>
      </c>
      <c r="B1232" s="15">
        <v>2.46</v>
      </c>
      <c r="C1232" s="15"/>
      <c r="D1232" s="15">
        <v>6.33</v>
      </c>
      <c r="E1232" s="15"/>
      <c r="F1232" s="15" t="str">
        <f t="shared" si="1"/>
        <v/>
      </c>
      <c r="G1232" s="15">
        <f t="shared" si="2"/>
        <v>6.33</v>
      </c>
      <c r="H1232" s="16">
        <v>1.0</v>
      </c>
      <c r="I1232" s="15">
        <f t="shared" si="3"/>
        <v>3.87</v>
      </c>
      <c r="J1232" s="15">
        <v>14.43</v>
      </c>
      <c r="K1232" s="16">
        <f>IF(COUNTIFS(Release_Calendar!$A$2:$A$755,"US_CPI",Release_Calendar!$B$2:$B$755,$A1232)&gt;0,1,0)</f>
        <v>0</v>
      </c>
      <c r="L1232" s="16">
        <f>IF(COUNTIFS(Release_Calendar!$A$2:$A$755,"US_NFP",Release_Calendar!$B$2:$B$755,$A1232)&gt;0,1,0)</f>
        <v>0</v>
      </c>
      <c r="M1232" s="16" t="str">
        <f>IF($A1232&lt;Notes!$B$5,"",IF(COUNTIFS(Release_Calendar!$A$2:$A$755,"NZ_CPI",Release_Calendar!$B$2:$B$755,$A1232)&gt;0,1,0))</f>
        <v/>
      </c>
      <c r="N1232" s="16" t="str">
        <f>IF($A1232&lt;Notes!$B$5,"",IF(COUNTIFS(Release_Calendar!$A$2:$A$755,"NZ_GDP",Release_Calendar!$B$2:$B$755,$A1232)&gt;0,1,0))</f>
        <v/>
      </c>
      <c r="O1232" s="16" t="str">
        <f>IF($A1232&lt;Notes!$B$5,"",IF(COUNTIFS(Release_Calendar!$A$2:$A$755,"NZ_LABOUR",Release_Calendar!$B$2:$B$755,$A1232)&gt;0,1,0))</f>
        <v/>
      </c>
      <c r="P1232" s="16">
        <f t="shared" si="4"/>
        <v>0</v>
      </c>
    </row>
    <row r="1233" ht="15.75" customHeight="1">
      <c r="A1233" s="14">
        <v>38251.0</v>
      </c>
      <c r="B1233" s="15">
        <v>2.49</v>
      </c>
      <c r="C1233" s="15"/>
      <c r="D1233" s="15">
        <v>6.31</v>
      </c>
      <c r="E1233" s="15"/>
      <c r="F1233" s="15" t="str">
        <f t="shared" si="1"/>
        <v/>
      </c>
      <c r="G1233" s="15">
        <f t="shared" si="2"/>
        <v>6.31</v>
      </c>
      <c r="H1233" s="16">
        <v>1.0</v>
      </c>
      <c r="I1233" s="15">
        <f t="shared" si="3"/>
        <v>3.82</v>
      </c>
      <c r="J1233" s="15">
        <v>13.66</v>
      </c>
      <c r="K1233" s="16">
        <f>IF(COUNTIFS(Release_Calendar!$A$2:$A$755,"US_CPI",Release_Calendar!$B$2:$B$755,$A1233)&gt;0,1,0)</f>
        <v>0</v>
      </c>
      <c r="L1233" s="16">
        <f>IF(COUNTIFS(Release_Calendar!$A$2:$A$755,"US_NFP",Release_Calendar!$B$2:$B$755,$A1233)&gt;0,1,0)</f>
        <v>0</v>
      </c>
      <c r="M1233" s="16" t="str">
        <f>IF($A1233&lt;Notes!$B$5,"",IF(COUNTIFS(Release_Calendar!$A$2:$A$755,"NZ_CPI",Release_Calendar!$B$2:$B$755,$A1233)&gt;0,1,0))</f>
        <v/>
      </c>
      <c r="N1233" s="16" t="str">
        <f>IF($A1233&lt;Notes!$B$5,"",IF(COUNTIFS(Release_Calendar!$A$2:$A$755,"NZ_GDP",Release_Calendar!$B$2:$B$755,$A1233)&gt;0,1,0))</f>
        <v/>
      </c>
      <c r="O1233" s="16" t="str">
        <f>IF($A1233&lt;Notes!$B$5,"",IF(COUNTIFS(Release_Calendar!$A$2:$A$755,"NZ_LABOUR",Release_Calendar!$B$2:$B$755,$A1233)&gt;0,1,0))</f>
        <v/>
      </c>
      <c r="P1233" s="16">
        <f t="shared" si="4"/>
        <v>0</v>
      </c>
    </row>
    <row r="1234" ht="15.75" customHeight="1">
      <c r="A1234" s="14">
        <v>38252.0</v>
      </c>
      <c r="B1234" s="15">
        <v>2.5</v>
      </c>
      <c r="C1234" s="15"/>
      <c r="D1234" s="15">
        <v>6.32</v>
      </c>
      <c r="E1234" s="15"/>
      <c r="F1234" s="15" t="str">
        <f t="shared" si="1"/>
        <v/>
      </c>
      <c r="G1234" s="15">
        <f t="shared" si="2"/>
        <v>6.32</v>
      </c>
      <c r="H1234" s="16">
        <v>1.0</v>
      </c>
      <c r="I1234" s="15">
        <f t="shared" si="3"/>
        <v>3.82</v>
      </c>
      <c r="J1234" s="15">
        <v>14.74</v>
      </c>
      <c r="K1234" s="16">
        <f>IF(COUNTIFS(Release_Calendar!$A$2:$A$755,"US_CPI",Release_Calendar!$B$2:$B$755,$A1234)&gt;0,1,0)</f>
        <v>0</v>
      </c>
      <c r="L1234" s="16">
        <f>IF(COUNTIFS(Release_Calendar!$A$2:$A$755,"US_NFP",Release_Calendar!$B$2:$B$755,$A1234)&gt;0,1,0)</f>
        <v>0</v>
      </c>
      <c r="M1234" s="16" t="str">
        <f>IF($A1234&lt;Notes!$B$5,"",IF(COUNTIFS(Release_Calendar!$A$2:$A$755,"NZ_CPI",Release_Calendar!$B$2:$B$755,$A1234)&gt;0,1,0))</f>
        <v/>
      </c>
      <c r="N1234" s="16" t="str">
        <f>IF($A1234&lt;Notes!$B$5,"",IF(COUNTIFS(Release_Calendar!$A$2:$A$755,"NZ_GDP",Release_Calendar!$B$2:$B$755,$A1234)&gt;0,1,0))</f>
        <v/>
      </c>
      <c r="O1234" s="16" t="str">
        <f>IF($A1234&lt;Notes!$B$5,"",IF(COUNTIFS(Release_Calendar!$A$2:$A$755,"NZ_LABOUR",Release_Calendar!$B$2:$B$755,$A1234)&gt;0,1,0))</f>
        <v/>
      </c>
      <c r="P1234" s="16">
        <f t="shared" si="4"/>
        <v>0</v>
      </c>
    </row>
    <row r="1235" ht="15.75" customHeight="1">
      <c r="A1235" s="14">
        <v>38253.0</v>
      </c>
      <c r="B1235" s="15">
        <v>2.57</v>
      </c>
      <c r="C1235" s="15"/>
      <c r="D1235" s="15">
        <v>6.32</v>
      </c>
      <c r="E1235" s="15"/>
      <c r="F1235" s="15" t="str">
        <f t="shared" si="1"/>
        <v/>
      </c>
      <c r="G1235" s="15">
        <f t="shared" si="2"/>
        <v>6.32</v>
      </c>
      <c r="H1235" s="16">
        <v>1.0</v>
      </c>
      <c r="I1235" s="15">
        <f t="shared" si="3"/>
        <v>3.75</v>
      </c>
      <c r="J1235" s="15">
        <v>14.8</v>
      </c>
      <c r="K1235" s="16">
        <f>IF(COUNTIFS(Release_Calendar!$A$2:$A$755,"US_CPI",Release_Calendar!$B$2:$B$755,$A1235)&gt;0,1,0)</f>
        <v>0</v>
      </c>
      <c r="L1235" s="16">
        <f>IF(COUNTIFS(Release_Calendar!$A$2:$A$755,"US_NFP",Release_Calendar!$B$2:$B$755,$A1235)&gt;0,1,0)</f>
        <v>0</v>
      </c>
      <c r="M1235" s="16" t="str">
        <f>IF($A1235&lt;Notes!$B$5,"",IF(COUNTIFS(Release_Calendar!$A$2:$A$755,"NZ_CPI",Release_Calendar!$B$2:$B$755,$A1235)&gt;0,1,0))</f>
        <v/>
      </c>
      <c r="N1235" s="16" t="str">
        <f>IF($A1235&lt;Notes!$B$5,"",IF(COUNTIFS(Release_Calendar!$A$2:$A$755,"NZ_GDP",Release_Calendar!$B$2:$B$755,$A1235)&gt;0,1,0))</f>
        <v/>
      </c>
      <c r="O1235" s="16" t="str">
        <f>IF($A1235&lt;Notes!$B$5,"",IF(COUNTIFS(Release_Calendar!$A$2:$A$755,"NZ_LABOUR",Release_Calendar!$B$2:$B$755,$A1235)&gt;0,1,0))</f>
        <v/>
      </c>
      <c r="P1235" s="16">
        <f t="shared" si="4"/>
        <v>0</v>
      </c>
    </row>
    <row r="1236" ht="15.75" customHeight="1">
      <c r="A1236" s="14">
        <v>38254.0</v>
      </c>
      <c r="B1236" s="15">
        <v>2.62</v>
      </c>
      <c r="C1236" s="15"/>
      <c r="D1236" s="15">
        <v>6.35</v>
      </c>
      <c r="E1236" s="15"/>
      <c r="F1236" s="15" t="str">
        <f t="shared" si="1"/>
        <v/>
      </c>
      <c r="G1236" s="15">
        <f t="shared" si="2"/>
        <v>6.35</v>
      </c>
      <c r="H1236" s="16">
        <v>1.0</v>
      </c>
      <c r="I1236" s="15">
        <f t="shared" si="3"/>
        <v>3.73</v>
      </c>
      <c r="J1236" s="15">
        <v>14.28</v>
      </c>
      <c r="K1236" s="16">
        <f>IF(COUNTIFS(Release_Calendar!$A$2:$A$755,"US_CPI",Release_Calendar!$B$2:$B$755,$A1236)&gt;0,1,0)</f>
        <v>0</v>
      </c>
      <c r="L1236" s="16">
        <f>IF(COUNTIFS(Release_Calendar!$A$2:$A$755,"US_NFP",Release_Calendar!$B$2:$B$755,$A1236)&gt;0,1,0)</f>
        <v>0</v>
      </c>
      <c r="M1236" s="16" t="str">
        <f>IF($A1236&lt;Notes!$B$5,"",IF(COUNTIFS(Release_Calendar!$A$2:$A$755,"NZ_CPI",Release_Calendar!$B$2:$B$755,$A1236)&gt;0,1,0))</f>
        <v/>
      </c>
      <c r="N1236" s="16" t="str">
        <f>IF($A1236&lt;Notes!$B$5,"",IF(COUNTIFS(Release_Calendar!$A$2:$A$755,"NZ_GDP",Release_Calendar!$B$2:$B$755,$A1236)&gt;0,1,0))</f>
        <v/>
      </c>
      <c r="O1236" s="16" t="str">
        <f>IF($A1236&lt;Notes!$B$5,"",IF(COUNTIFS(Release_Calendar!$A$2:$A$755,"NZ_LABOUR",Release_Calendar!$B$2:$B$755,$A1236)&gt;0,1,0))</f>
        <v/>
      </c>
      <c r="P1236" s="16">
        <f t="shared" si="4"/>
        <v>0</v>
      </c>
    </row>
    <row r="1237" ht="15.75" customHeight="1">
      <c r="A1237" s="14">
        <v>38257.0</v>
      </c>
      <c r="B1237" s="15">
        <v>2.59</v>
      </c>
      <c r="C1237" s="15"/>
      <c r="D1237" s="15">
        <v>6.34</v>
      </c>
      <c r="E1237" s="15"/>
      <c r="F1237" s="15" t="str">
        <f t="shared" si="1"/>
        <v/>
      </c>
      <c r="G1237" s="15">
        <f t="shared" si="2"/>
        <v>6.34</v>
      </c>
      <c r="H1237" s="16">
        <v>1.0</v>
      </c>
      <c r="I1237" s="15">
        <f t="shared" si="3"/>
        <v>3.75</v>
      </c>
      <c r="J1237" s="15">
        <v>14.62</v>
      </c>
      <c r="K1237" s="16">
        <f>IF(COUNTIFS(Release_Calendar!$A$2:$A$755,"US_CPI",Release_Calendar!$B$2:$B$755,$A1237)&gt;0,1,0)</f>
        <v>0</v>
      </c>
      <c r="L1237" s="16">
        <f>IF(COUNTIFS(Release_Calendar!$A$2:$A$755,"US_NFP",Release_Calendar!$B$2:$B$755,$A1237)&gt;0,1,0)</f>
        <v>0</v>
      </c>
      <c r="M1237" s="16" t="str">
        <f>IF($A1237&lt;Notes!$B$5,"",IF(COUNTIFS(Release_Calendar!$A$2:$A$755,"NZ_CPI",Release_Calendar!$B$2:$B$755,$A1237)&gt;0,1,0))</f>
        <v/>
      </c>
      <c r="N1237" s="16" t="str">
        <f>IF($A1237&lt;Notes!$B$5,"",IF(COUNTIFS(Release_Calendar!$A$2:$A$755,"NZ_GDP",Release_Calendar!$B$2:$B$755,$A1237)&gt;0,1,0))</f>
        <v/>
      </c>
      <c r="O1237" s="16" t="str">
        <f>IF($A1237&lt;Notes!$B$5,"",IF(COUNTIFS(Release_Calendar!$A$2:$A$755,"NZ_LABOUR",Release_Calendar!$B$2:$B$755,$A1237)&gt;0,1,0))</f>
        <v/>
      </c>
      <c r="P1237" s="16">
        <f t="shared" si="4"/>
        <v>0</v>
      </c>
    </row>
    <row r="1238" ht="15.75" customHeight="1">
      <c r="A1238" s="14">
        <v>38258.0</v>
      </c>
      <c r="B1238" s="15">
        <v>2.55</v>
      </c>
      <c r="C1238" s="15"/>
      <c r="D1238" s="15">
        <v>6.31</v>
      </c>
      <c r="E1238" s="15"/>
      <c r="F1238" s="15" t="str">
        <f t="shared" si="1"/>
        <v/>
      </c>
      <c r="G1238" s="15">
        <f t="shared" si="2"/>
        <v>6.31</v>
      </c>
      <c r="H1238" s="16">
        <v>1.0</v>
      </c>
      <c r="I1238" s="15">
        <f t="shared" si="3"/>
        <v>3.76</v>
      </c>
      <c r="J1238" s="15">
        <v>13.83</v>
      </c>
      <c r="K1238" s="16">
        <f>IF(COUNTIFS(Release_Calendar!$A$2:$A$755,"US_CPI",Release_Calendar!$B$2:$B$755,$A1238)&gt;0,1,0)</f>
        <v>0</v>
      </c>
      <c r="L1238" s="16">
        <f>IF(COUNTIFS(Release_Calendar!$A$2:$A$755,"US_NFP",Release_Calendar!$B$2:$B$755,$A1238)&gt;0,1,0)</f>
        <v>0</v>
      </c>
      <c r="M1238" s="16" t="str">
        <f>IF($A1238&lt;Notes!$B$5,"",IF(COUNTIFS(Release_Calendar!$A$2:$A$755,"NZ_CPI",Release_Calendar!$B$2:$B$755,$A1238)&gt;0,1,0))</f>
        <v/>
      </c>
      <c r="N1238" s="16" t="str">
        <f>IF($A1238&lt;Notes!$B$5,"",IF(COUNTIFS(Release_Calendar!$A$2:$A$755,"NZ_GDP",Release_Calendar!$B$2:$B$755,$A1238)&gt;0,1,0))</f>
        <v/>
      </c>
      <c r="O1238" s="16" t="str">
        <f>IF($A1238&lt;Notes!$B$5,"",IF(COUNTIFS(Release_Calendar!$A$2:$A$755,"NZ_LABOUR",Release_Calendar!$B$2:$B$755,$A1238)&gt;0,1,0))</f>
        <v/>
      </c>
      <c r="P1238" s="16">
        <f t="shared" si="4"/>
        <v>0</v>
      </c>
    </row>
    <row r="1239" ht="15.75" customHeight="1">
      <c r="A1239" s="14">
        <v>38259.0</v>
      </c>
      <c r="B1239" s="15">
        <v>2.61</v>
      </c>
      <c r="C1239" s="15"/>
      <c r="D1239" s="15">
        <v>6.26</v>
      </c>
      <c r="E1239" s="15"/>
      <c r="F1239" s="15" t="str">
        <f t="shared" si="1"/>
        <v/>
      </c>
      <c r="G1239" s="15">
        <f t="shared" si="2"/>
        <v>6.26</v>
      </c>
      <c r="H1239" s="16">
        <v>1.0</v>
      </c>
      <c r="I1239" s="15">
        <f t="shared" si="3"/>
        <v>3.65</v>
      </c>
      <c r="J1239" s="15">
        <v>13.21</v>
      </c>
      <c r="K1239" s="16">
        <f>IF(COUNTIFS(Release_Calendar!$A$2:$A$755,"US_CPI",Release_Calendar!$B$2:$B$755,$A1239)&gt;0,1,0)</f>
        <v>0</v>
      </c>
      <c r="L1239" s="16">
        <f>IF(COUNTIFS(Release_Calendar!$A$2:$A$755,"US_NFP",Release_Calendar!$B$2:$B$755,$A1239)&gt;0,1,0)</f>
        <v>0</v>
      </c>
      <c r="M1239" s="16" t="str">
        <f>IF($A1239&lt;Notes!$B$5,"",IF(COUNTIFS(Release_Calendar!$A$2:$A$755,"NZ_CPI",Release_Calendar!$B$2:$B$755,$A1239)&gt;0,1,0))</f>
        <v/>
      </c>
      <c r="N1239" s="16" t="str">
        <f>IF($A1239&lt;Notes!$B$5,"",IF(COUNTIFS(Release_Calendar!$A$2:$A$755,"NZ_GDP",Release_Calendar!$B$2:$B$755,$A1239)&gt;0,1,0))</f>
        <v/>
      </c>
      <c r="O1239" s="16" t="str">
        <f>IF($A1239&lt;Notes!$B$5,"",IF(COUNTIFS(Release_Calendar!$A$2:$A$755,"NZ_LABOUR",Release_Calendar!$B$2:$B$755,$A1239)&gt;0,1,0))</f>
        <v/>
      </c>
      <c r="P1239" s="16">
        <f t="shared" si="4"/>
        <v>0</v>
      </c>
    </row>
    <row r="1240" ht="15.75" customHeight="1">
      <c r="A1240" s="14">
        <v>38260.0</v>
      </c>
      <c r="B1240" s="15">
        <v>2.63</v>
      </c>
      <c r="C1240" s="15"/>
      <c r="D1240" s="15">
        <v>6.26</v>
      </c>
      <c r="E1240" s="15"/>
      <c r="F1240" s="15" t="str">
        <f t="shared" si="1"/>
        <v/>
      </c>
      <c r="G1240" s="15">
        <f t="shared" si="2"/>
        <v>6.26</v>
      </c>
      <c r="H1240" s="16">
        <v>1.0</v>
      </c>
      <c r="I1240" s="15">
        <f t="shared" si="3"/>
        <v>3.63</v>
      </c>
      <c r="J1240" s="15">
        <v>13.34</v>
      </c>
      <c r="K1240" s="16">
        <f>IF(COUNTIFS(Release_Calendar!$A$2:$A$755,"US_CPI",Release_Calendar!$B$2:$B$755,$A1240)&gt;0,1,0)</f>
        <v>0</v>
      </c>
      <c r="L1240" s="16">
        <f>IF(COUNTIFS(Release_Calendar!$A$2:$A$755,"US_NFP",Release_Calendar!$B$2:$B$755,$A1240)&gt;0,1,0)</f>
        <v>0</v>
      </c>
      <c r="M1240" s="16" t="str">
        <f>IF($A1240&lt;Notes!$B$5,"",IF(COUNTIFS(Release_Calendar!$A$2:$A$755,"NZ_CPI",Release_Calendar!$B$2:$B$755,$A1240)&gt;0,1,0))</f>
        <v/>
      </c>
      <c r="N1240" s="16" t="str">
        <f>IF($A1240&lt;Notes!$B$5,"",IF(COUNTIFS(Release_Calendar!$A$2:$A$755,"NZ_GDP",Release_Calendar!$B$2:$B$755,$A1240)&gt;0,1,0))</f>
        <v/>
      </c>
      <c r="O1240" s="16" t="str">
        <f>IF($A1240&lt;Notes!$B$5,"",IF(COUNTIFS(Release_Calendar!$A$2:$A$755,"NZ_LABOUR",Release_Calendar!$B$2:$B$755,$A1240)&gt;0,1,0))</f>
        <v/>
      </c>
      <c r="P1240" s="16">
        <f t="shared" si="4"/>
        <v>0</v>
      </c>
    </row>
    <row r="1241" ht="15.75" customHeight="1">
      <c r="A1241" s="14">
        <v>38261.0</v>
      </c>
      <c r="B1241" s="15">
        <v>2.63</v>
      </c>
      <c r="C1241" s="15"/>
      <c r="D1241" s="15">
        <v>6.27</v>
      </c>
      <c r="E1241" s="15"/>
      <c r="F1241" s="15" t="str">
        <f t="shared" si="1"/>
        <v/>
      </c>
      <c r="G1241" s="15">
        <f t="shared" si="2"/>
        <v>6.27</v>
      </c>
      <c r="H1241" s="16">
        <v>1.0</v>
      </c>
      <c r="I1241" s="15">
        <f t="shared" si="3"/>
        <v>3.64</v>
      </c>
      <c r="J1241" s="15">
        <v>12.75</v>
      </c>
      <c r="K1241" s="16">
        <f>IF(COUNTIFS(Release_Calendar!$A$2:$A$755,"US_CPI",Release_Calendar!$B$2:$B$755,$A1241)&gt;0,1,0)</f>
        <v>0</v>
      </c>
      <c r="L1241" s="16">
        <f>IF(COUNTIFS(Release_Calendar!$A$2:$A$755,"US_NFP",Release_Calendar!$B$2:$B$755,$A1241)&gt;0,1,0)</f>
        <v>0</v>
      </c>
      <c r="M1241" s="16" t="str">
        <f>IF($A1241&lt;Notes!$B$5,"",IF(COUNTIFS(Release_Calendar!$A$2:$A$755,"NZ_CPI",Release_Calendar!$B$2:$B$755,$A1241)&gt;0,1,0))</f>
        <v/>
      </c>
      <c r="N1241" s="16" t="str">
        <f>IF($A1241&lt;Notes!$B$5,"",IF(COUNTIFS(Release_Calendar!$A$2:$A$755,"NZ_GDP",Release_Calendar!$B$2:$B$755,$A1241)&gt;0,1,0))</f>
        <v/>
      </c>
      <c r="O1241" s="16" t="str">
        <f>IF($A1241&lt;Notes!$B$5,"",IF(COUNTIFS(Release_Calendar!$A$2:$A$755,"NZ_LABOUR",Release_Calendar!$B$2:$B$755,$A1241)&gt;0,1,0))</f>
        <v/>
      </c>
      <c r="P1241" s="16">
        <f t="shared" si="4"/>
        <v>0</v>
      </c>
    </row>
    <row r="1242" ht="15.75" customHeight="1">
      <c r="A1242" s="14">
        <v>38264.0</v>
      </c>
      <c r="B1242" s="15">
        <v>2.65</v>
      </c>
      <c r="C1242" s="15"/>
      <c r="D1242" s="15">
        <v>6.29</v>
      </c>
      <c r="E1242" s="15"/>
      <c r="F1242" s="15" t="str">
        <f t="shared" si="1"/>
        <v/>
      </c>
      <c r="G1242" s="15">
        <f t="shared" si="2"/>
        <v>6.29</v>
      </c>
      <c r="H1242" s="16">
        <v>1.0</v>
      </c>
      <c r="I1242" s="15">
        <f t="shared" si="3"/>
        <v>3.64</v>
      </c>
      <c r="J1242" s="15">
        <v>13.41</v>
      </c>
      <c r="K1242" s="16">
        <f>IF(COUNTIFS(Release_Calendar!$A$2:$A$755,"US_CPI",Release_Calendar!$B$2:$B$755,$A1242)&gt;0,1,0)</f>
        <v>0</v>
      </c>
      <c r="L1242" s="16">
        <f>IF(COUNTIFS(Release_Calendar!$A$2:$A$755,"US_NFP",Release_Calendar!$B$2:$B$755,$A1242)&gt;0,1,0)</f>
        <v>0</v>
      </c>
      <c r="M1242" s="16" t="str">
        <f>IF($A1242&lt;Notes!$B$5,"",IF(COUNTIFS(Release_Calendar!$A$2:$A$755,"NZ_CPI",Release_Calendar!$B$2:$B$755,$A1242)&gt;0,1,0))</f>
        <v/>
      </c>
      <c r="N1242" s="16" t="str">
        <f>IF($A1242&lt;Notes!$B$5,"",IF(COUNTIFS(Release_Calendar!$A$2:$A$755,"NZ_GDP",Release_Calendar!$B$2:$B$755,$A1242)&gt;0,1,0))</f>
        <v/>
      </c>
      <c r="O1242" s="16" t="str">
        <f>IF($A1242&lt;Notes!$B$5,"",IF(COUNTIFS(Release_Calendar!$A$2:$A$755,"NZ_LABOUR",Release_Calendar!$B$2:$B$755,$A1242)&gt;0,1,0))</f>
        <v/>
      </c>
      <c r="P1242" s="16">
        <f t="shared" si="4"/>
        <v>0</v>
      </c>
    </row>
    <row r="1243" ht="15.75" customHeight="1">
      <c r="A1243" s="14">
        <v>38265.0</v>
      </c>
      <c r="B1243" s="15">
        <v>2.65</v>
      </c>
      <c r="C1243" s="15"/>
      <c r="D1243" s="15">
        <v>6.26</v>
      </c>
      <c r="E1243" s="15"/>
      <c r="F1243" s="15" t="str">
        <f t="shared" si="1"/>
        <v/>
      </c>
      <c r="G1243" s="15">
        <f t="shared" si="2"/>
        <v>6.26</v>
      </c>
      <c r="H1243" s="16">
        <v>1.0</v>
      </c>
      <c r="I1243" s="15">
        <f t="shared" si="3"/>
        <v>3.61</v>
      </c>
      <c r="J1243" s="15">
        <v>13.95</v>
      </c>
      <c r="K1243" s="16">
        <f>IF(COUNTIFS(Release_Calendar!$A$2:$A$755,"US_CPI",Release_Calendar!$B$2:$B$755,$A1243)&gt;0,1,0)</f>
        <v>0</v>
      </c>
      <c r="L1243" s="16">
        <f>IF(COUNTIFS(Release_Calendar!$A$2:$A$755,"US_NFP",Release_Calendar!$B$2:$B$755,$A1243)&gt;0,1,0)</f>
        <v>0</v>
      </c>
      <c r="M1243" s="16" t="str">
        <f>IF($A1243&lt;Notes!$B$5,"",IF(COUNTIFS(Release_Calendar!$A$2:$A$755,"NZ_CPI",Release_Calendar!$B$2:$B$755,$A1243)&gt;0,1,0))</f>
        <v/>
      </c>
      <c r="N1243" s="16" t="str">
        <f>IF($A1243&lt;Notes!$B$5,"",IF(COUNTIFS(Release_Calendar!$A$2:$A$755,"NZ_GDP",Release_Calendar!$B$2:$B$755,$A1243)&gt;0,1,0))</f>
        <v/>
      </c>
      <c r="O1243" s="16" t="str">
        <f>IF($A1243&lt;Notes!$B$5,"",IF(COUNTIFS(Release_Calendar!$A$2:$A$755,"NZ_LABOUR",Release_Calendar!$B$2:$B$755,$A1243)&gt;0,1,0))</f>
        <v/>
      </c>
      <c r="P1243" s="16">
        <f t="shared" si="4"/>
        <v>0</v>
      </c>
    </row>
    <row r="1244" ht="15.75" customHeight="1">
      <c r="A1244" s="14">
        <v>38266.0</v>
      </c>
      <c r="B1244" s="15">
        <v>2.7</v>
      </c>
      <c r="C1244" s="15"/>
      <c r="D1244" s="15">
        <v>6.28</v>
      </c>
      <c r="E1244" s="15"/>
      <c r="F1244" s="15" t="str">
        <f t="shared" si="1"/>
        <v/>
      </c>
      <c r="G1244" s="15">
        <f t="shared" si="2"/>
        <v>6.28</v>
      </c>
      <c r="H1244" s="16">
        <v>1.0</v>
      </c>
      <c r="I1244" s="15">
        <f t="shared" si="3"/>
        <v>3.58</v>
      </c>
      <c r="J1244" s="15">
        <v>13.28</v>
      </c>
      <c r="K1244" s="16">
        <f>IF(COUNTIFS(Release_Calendar!$A$2:$A$755,"US_CPI",Release_Calendar!$B$2:$B$755,$A1244)&gt;0,1,0)</f>
        <v>0</v>
      </c>
      <c r="L1244" s="16">
        <f>IF(COUNTIFS(Release_Calendar!$A$2:$A$755,"US_NFP",Release_Calendar!$B$2:$B$755,$A1244)&gt;0,1,0)</f>
        <v>0</v>
      </c>
      <c r="M1244" s="16" t="str">
        <f>IF($A1244&lt;Notes!$B$5,"",IF(COUNTIFS(Release_Calendar!$A$2:$A$755,"NZ_CPI",Release_Calendar!$B$2:$B$755,$A1244)&gt;0,1,0))</f>
        <v/>
      </c>
      <c r="N1244" s="16" t="str">
        <f>IF($A1244&lt;Notes!$B$5,"",IF(COUNTIFS(Release_Calendar!$A$2:$A$755,"NZ_GDP",Release_Calendar!$B$2:$B$755,$A1244)&gt;0,1,0))</f>
        <v/>
      </c>
      <c r="O1244" s="16" t="str">
        <f>IF($A1244&lt;Notes!$B$5,"",IF(COUNTIFS(Release_Calendar!$A$2:$A$755,"NZ_LABOUR",Release_Calendar!$B$2:$B$755,$A1244)&gt;0,1,0))</f>
        <v/>
      </c>
      <c r="P1244" s="16">
        <f t="shared" si="4"/>
        <v>0</v>
      </c>
    </row>
    <row r="1245" ht="15.75" customHeight="1">
      <c r="A1245" s="14">
        <v>38267.0</v>
      </c>
      <c r="B1245" s="15">
        <v>2.72</v>
      </c>
      <c r="C1245" s="15"/>
      <c r="D1245" s="15">
        <v>6.28</v>
      </c>
      <c r="E1245" s="15"/>
      <c r="F1245" s="15" t="str">
        <f t="shared" si="1"/>
        <v/>
      </c>
      <c r="G1245" s="15">
        <f t="shared" si="2"/>
        <v>6.28</v>
      </c>
      <c r="H1245" s="16">
        <v>1.0</v>
      </c>
      <c r="I1245" s="15">
        <f t="shared" si="3"/>
        <v>3.56</v>
      </c>
      <c r="J1245" s="15">
        <v>14.5</v>
      </c>
      <c r="K1245" s="16">
        <f>IF(COUNTIFS(Release_Calendar!$A$2:$A$755,"US_CPI",Release_Calendar!$B$2:$B$755,$A1245)&gt;0,1,0)</f>
        <v>0</v>
      </c>
      <c r="L1245" s="16">
        <f>IF(COUNTIFS(Release_Calendar!$A$2:$A$755,"US_NFP",Release_Calendar!$B$2:$B$755,$A1245)&gt;0,1,0)</f>
        <v>0</v>
      </c>
      <c r="M1245" s="16" t="str">
        <f>IF($A1245&lt;Notes!$B$5,"",IF(COUNTIFS(Release_Calendar!$A$2:$A$755,"NZ_CPI",Release_Calendar!$B$2:$B$755,$A1245)&gt;0,1,0))</f>
        <v/>
      </c>
      <c r="N1245" s="16" t="str">
        <f>IF($A1245&lt;Notes!$B$5,"",IF(COUNTIFS(Release_Calendar!$A$2:$A$755,"NZ_GDP",Release_Calendar!$B$2:$B$755,$A1245)&gt;0,1,0))</f>
        <v/>
      </c>
      <c r="O1245" s="16" t="str">
        <f>IF($A1245&lt;Notes!$B$5,"",IF(COUNTIFS(Release_Calendar!$A$2:$A$755,"NZ_LABOUR",Release_Calendar!$B$2:$B$755,$A1245)&gt;0,1,0))</f>
        <v/>
      </c>
      <c r="P1245" s="16">
        <f t="shared" si="4"/>
        <v>0</v>
      </c>
    </row>
    <row r="1246" ht="15.75" customHeight="1">
      <c r="A1246" s="14">
        <v>38268.0</v>
      </c>
      <c r="B1246" s="15">
        <v>2.61</v>
      </c>
      <c r="C1246" s="15"/>
      <c r="D1246" s="15">
        <v>6.25</v>
      </c>
      <c r="E1246" s="15"/>
      <c r="F1246" s="15" t="str">
        <f t="shared" si="1"/>
        <v/>
      </c>
      <c r="G1246" s="15">
        <f t="shared" si="2"/>
        <v>6.25</v>
      </c>
      <c r="H1246" s="16">
        <v>1.0</v>
      </c>
      <c r="I1246" s="15">
        <f t="shared" si="3"/>
        <v>3.64</v>
      </c>
      <c r="J1246" s="15">
        <v>15.05</v>
      </c>
      <c r="K1246" s="16">
        <f>IF(COUNTIFS(Release_Calendar!$A$2:$A$755,"US_CPI",Release_Calendar!$B$2:$B$755,$A1246)&gt;0,1,0)</f>
        <v>0</v>
      </c>
      <c r="L1246" s="16">
        <f>IF(COUNTIFS(Release_Calendar!$A$2:$A$755,"US_NFP",Release_Calendar!$B$2:$B$755,$A1246)&gt;0,1,0)</f>
        <v>1</v>
      </c>
      <c r="M1246" s="16" t="str">
        <f>IF($A1246&lt;Notes!$B$5,"",IF(COUNTIFS(Release_Calendar!$A$2:$A$755,"NZ_CPI",Release_Calendar!$B$2:$B$755,$A1246)&gt;0,1,0))</f>
        <v/>
      </c>
      <c r="N1246" s="16" t="str">
        <f>IF($A1246&lt;Notes!$B$5,"",IF(COUNTIFS(Release_Calendar!$A$2:$A$755,"NZ_GDP",Release_Calendar!$B$2:$B$755,$A1246)&gt;0,1,0))</f>
        <v/>
      </c>
      <c r="O1246" s="16" t="str">
        <f>IF($A1246&lt;Notes!$B$5,"",IF(COUNTIFS(Release_Calendar!$A$2:$A$755,"NZ_LABOUR",Release_Calendar!$B$2:$B$755,$A1246)&gt;0,1,0))</f>
        <v/>
      </c>
      <c r="P1246" s="16">
        <f t="shared" si="4"/>
        <v>1</v>
      </c>
    </row>
    <row r="1247" ht="15.75" customHeight="1">
      <c r="A1247" s="14">
        <v>38271.0</v>
      </c>
      <c r="B1247" s="15"/>
      <c r="C1247" s="15"/>
      <c r="D1247" s="15">
        <v>6.19</v>
      </c>
      <c r="E1247" s="15"/>
      <c r="F1247" s="15" t="str">
        <f t="shared" si="1"/>
        <v/>
      </c>
      <c r="G1247" s="15">
        <f t="shared" si="2"/>
        <v>6.19</v>
      </c>
      <c r="H1247" s="16">
        <v>1.0</v>
      </c>
      <c r="I1247" s="15" t="str">
        <f t="shared" si="3"/>
        <v/>
      </c>
      <c r="J1247" s="15">
        <v>14.71</v>
      </c>
      <c r="K1247" s="16">
        <f>IF(COUNTIFS(Release_Calendar!$A$2:$A$755,"US_CPI",Release_Calendar!$B$2:$B$755,$A1247)&gt;0,1,0)</f>
        <v>0</v>
      </c>
      <c r="L1247" s="16">
        <f>IF(COUNTIFS(Release_Calendar!$A$2:$A$755,"US_NFP",Release_Calendar!$B$2:$B$755,$A1247)&gt;0,1,0)</f>
        <v>0</v>
      </c>
      <c r="M1247" s="16" t="str">
        <f>IF($A1247&lt;Notes!$B$5,"",IF(COUNTIFS(Release_Calendar!$A$2:$A$755,"NZ_CPI",Release_Calendar!$B$2:$B$755,$A1247)&gt;0,1,0))</f>
        <v/>
      </c>
      <c r="N1247" s="16" t="str">
        <f>IF($A1247&lt;Notes!$B$5,"",IF(COUNTIFS(Release_Calendar!$A$2:$A$755,"NZ_GDP",Release_Calendar!$B$2:$B$755,$A1247)&gt;0,1,0))</f>
        <v/>
      </c>
      <c r="O1247" s="16" t="str">
        <f>IF($A1247&lt;Notes!$B$5,"",IF(COUNTIFS(Release_Calendar!$A$2:$A$755,"NZ_LABOUR",Release_Calendar!$B$2:$B$755,$A1247)&gt;0,1,0))</f>
        <v/>
      </c>
      <c r="P1247" s="16">
        <f t="shared" si="4"/>
        <v>0</v>
      </c>
    </row>
    <row r="1248" ht="15.75" customHeight="1">
      <c r="A1248" s="14">
        <v>38272.0</v>
      </c>
      <c r="B1248" s="15">
        <v>2.56</v>
      </c>
      <c r="C1248" s="15"/>
      <c r="D1248" s="15">
        <v>6.15</v>
      </c>
      <c r="E1248" s="15"/>
      <c r="F1248" s="15" t="str">
        <f t="shared" si="1"/>
        <v/>
      </c>
      <c r="G1248" s="15">
        <f t="shared" si="2"/>
        <v>6.15</v>
      </c>
      <c r="H1248" s="16">
        <v>1.0</v>
      </c>
      <c r="I1248" s="15">
        <f t="shared" si="3"/>
        <v>3.59</v>
      </c>
      <c r="J1248" s="15">
        <v>15.05</v>
      </c>
      <c r="K1248" s="16">
        <f>IF(COUNTIFS(Release_Calendar!$A$2:$A$755,"US_CPI",Release_Calendar!$B$2:$B$755,$A1248)&gt;0,1,0)</f>
        <v>0</v>
      </c>
      <c r="L1248" s="16">
        <f>IF(COUNTIFS(Release_Calendar!$A$2:$A$755,"US_NFP",Release_Calendar!$B$2:$B$755,$A1248)&gt;0,1,0)</f>
        <v>0</v>
      </c>
      <c r="M1248" s="16" t="str">
        <f>IF($A1248&lt;Notes!$B$5,"",IF(COUNTIFS(Release_Calendar!$A$2:$A$755,"NZ_CPI",Release_Calendar!$B$2:$B$755,$A1248)&gt;0,1,0))</f>
        <v/>
      </c>
      <c r="N1248" s="16" t="str">
        <f>IF($A1248&lt;Notes!$B$5,"",IF(COUNTIFS(Release_Calendar!$A$2:$A$755,"NZ_GDP",Release_Calendar!$B$2:$B$755,$A1248)&gt;0,1,0))</f>
        <v/>
      </c>
      <c r="O1248" s="16" t="str">
        <f>IF($A1248&lt;Notes!$B$5,"",IF(COUNTIFS(Release_Calendar!$A$2:$A$755,"NZ_LABOUR",Release_Calendar!$B$2:$B$755,$A1248)&gt;0,1,0))</f>
        <v/>
      </c>
      <c r="P1248" s="16">
        <f t="shared" si="4"/>
        <v>0</v>
      </c>
    </row>
    <row r="1249" ht="15.75" customHeight="1">
      <c r="A1249" s="14">
        <v>38273.0</v>
      </c>
      <c r="B1249" s="15">
        <v>2.53</v>
      </c>
      <c r="C1249" s="15"/>
      <c r="D1249" s="15">
        <v>6.15</v>
      </c>
      <c r="E1249" s="15"/>
      <c r="F1249" s="15" t="str">
        <f t="shared" si="1"/>
        <v/>
      </c>
      <c r="G1249" s="15">
        <f t="shared" si="2"/>
        <v>6.15</v>
      </c>
      <c r="H1249" s="16">
        <v>1.0</v>
      </c>
      <c r="I1249" s="15">
        <f t="shared" si="3"/>
        <v>3.62</v>
      </c>
      <c r="J1249" s="15">
        <v>15.42</v>
      </c>
      <c r="K1249" s="16">
        <f>IF(COUNTIFS(Release_Calendar!$A$2:$A$755,"US_CPI",Release_Calendar!$B$2:$B$755,$A1249)&gt;0,1,0)</f>
        <v>0</v>
      </c>
      <c r="L1249" s="16">
        <f>IF(COUNTIFS(Release_Calendar!$A$2:$A$755,"US_NFP",Release_Calendar!$B$2:$B$755,$A1249)&gt;0,1,0)</f>
        <v>0</v>
      </c>
      <c r="M1249" s="16" t="str">
        <f>IF($A1249&lt;Notes!$B$5,"",IF(COUNTIFS(Release_Calendar!$A$2:$A$755,"NZ_CPI",Release_Calendar!$B$2:$B$755,$A1249)&gt;0,1,0))</f>
        <v/>
      </c>
      <c r="N1249" s="16" t="str">
        <f>IF($A1249&lt;Notes!$B$5,"",IF(COUNTIFS(Release_Calendar!$A$2:$A$755,"NZ_GDP",Release_Calendar!$B$2:$B$755,$A1249)&gt;0,1,0))</f>
        <v/>
      </c>
      <c r="O1249" s="16" t="str">
        <f>IF($A1249&lt;Notes!$B$5,"",IF(COUNTIFS(Release_Calendar!$A$2:$A$755,"NZ_LABOUR",Release_Calendar!$B$2:$B$755,$A1249)&gt;0,1,0))</f>
        <v/>
      </c>
      <c r="P1249" s="16">
        <f t="shared" si="4"/>
        <v>0</v>
      </c>
    </row>
    <row r="1250" ht="15.75" customHeight="1">
      <c r="A1250" s="14">
        <v>38274.0</v>
      </c>
      <c r="B1250" s="15">
        <v>2.48</v>
      </c>
      <c r="C1250" s="15"/>
      <c r="D1250" s="15">
        <v>6.12</v>
      </c>
      <c r="E1250" s="15"/>
      <c r="F1250" s="15" t="str">
        <f t="shared" si="1"/>
        <v/>
      </c>
      <c r="G1250" s="15">
        <f t="shared" si="2"/>
        <v>6.12</v>
      </c>
      <c r="H1250" s="16">
        <v>1.0</v>
      </c>
      <c r="I1250" s="15">
        <f t="shared" si="3"/>
        <v>3.64</v>
      </c>
      <c r="J1250" s="15">
        <v>16.43</v>
      </c>
      <c r="K1250" s="16">
        <f>IF(COUNTIFS(Release_Calendar!$A$2:$A$755,"US_CPI",Release_Calendar!$B$2:$B$755,$A1250)&gt;0,1,0)</f>
        <v>0</v>
      </c>
      <c r="L1250" s="16">
        <f>IF(COUNTIFS(Release_Calendar!$A$2:$A$755,"US_NFP",Release_Calendar!$B$2:$B$755,$A1250)&gt;0,1,0)</f>
        <v>0</v>
      </c>
      <c r="M1250" s="16" t="str">
        <f>IF($A1250&lt;Notes!$B$5,"",IF(COUNTIFS(Release_Calendar!$A$2:$A$755,"NZ_CPI",Release_Calendar!$B$2:$B$755,$A1250)&gt;0,1,0))</f>
        <v/>
      </c>
      <c r="N1250" s="16" t="str">
        <f>IF($A1250&lt;Notes!$B$5,"",IF(COUNTIFS(Release_Calendar!$A$2:$A$755,"NZ_GDP",Release_Calendar!$B$2:$B$755,$A1250)&gt;0,1,0))</f>
        <v/>
      </c>
      <c r="O1250" s="16" t="str">
        <f>IF($A1250&lt;Notes!$B$5,"",IF(COUNTIFS(Release_Calendar!$A$2:$A$755,"NZ_LABOUR",Release_Calendar!$B$2:$B$755,$A1250)&gt;0,1,0))</f>
        <v/>
      </c>
      <c r="P1250" s="16">
        <f t="shared" si="4"/>
        <v>0</v>
      </c>
    </row>
    <row r="1251" ht="15.75" customHeight="1">
      <c r="A1251" s="14">
        <v>38275.0</v>
      </c>
      <c r="B1251" s="15">
        <v>2.53</v>
      </c>
      <c r="C1251" s="15"/>
      <c r="D1251" s="15">
        <v>6.1</v>
      </c>
      <c r="E1251" s="15"/>
      <c r="F1251" s="15" t="str">
        <f t="shared" si="1"/>
        <v/>
      </c>
      <c r="G1251" s="15">
        <f t="shared" si="2"/>
        <v>6.1</v>
      </c>
      <c r="H1251" s="16">
        <v>1.0</v>
      </c>
      <c r="I1251" s="15">
        <f t="shared" si="3"/>
        <v>3.57</v>
      </c>
      <c r="J1251" s="15">
        <v>15.04</v>
      </c>
      <c r="K1251" s="16">
        <f>IF(COUNTIFS(Release_Calendar!$A$2:$A$755,"US_CPI",Release_Calendar!$B$2:$B$755,$A1251)&gt;0,1,0)</f>
        <v>0</v>
      </c>
      <c r="L1251" s="16">
        <f>IF(COUNTIFS(Release_Calendar!$A$2:$A$755,"US_NFP",Release_Calendar!$B$2:$B$755,$A1251)&gt;0,1,0)</f>
        <v>0</v>
      </c>
      <c r="M1251" s="16" t="str">
        <f>IF($A1251&lt;Notes!$B$5,"",IF(COUNTIFS(Release_Calendar!$A$2:$A$755,"NZ_CPI",Release_Calendar!$B$2:$B$755,$A1251)&gt;0,1,0))</f>
        <v/>
      </c>
      <c r="N1251" s="16" t="str">
        <f>IF($A1251&lt;Notes!$B$5,"",IF(COUNTIFS(Release_Calendar!$A$2:$A$755,"NZ_GDP",Release_Calendar!$B$2:$B$755,$A1251)&gt;0,1,0))</f>
        <v/>
      </c>
      <c r="O1251" s="16" t="str">
        <f>IF($A1251&lt;Notes!$B$5,"",IF(COUNTIFS(Release_Calendar!$A$2:$A$755,"NZ_LABOUR",Release_Calendar!$B$2:$B$755,$A1251)&gt;0,1,0))</f>
        <v/>
      </c>
      <c r="P1251" s="16">
        <f t="shared" si="4"/>
        <v>0</v>
      </c>
    </row>
    <row r="1252" ht="15.75" customHeight="1">
      <c r="A1252" s="14">
        <v>38278.0</v>
      </c>
      <c r="B1252" s="15">
        <v>2.55</v>
      </c>
      <c r="C1252" s="15"/>
      <c r="D1252" s="15">
        <v>6.1</v>
      </c>
      <c r="E1252" s="15"/>
      <c r="F1252" s="15" t="str">
        <f t="shared" si="1"/>
        <v/>
      </c>
      <c r="G1252" s="15">
        <f t="shared" si="2"/>
        <v>6.1</v>
      </c>
      <c r="H1252" s="16">
        <v>1.0</v>
      </c>
      <c r="I1252" s="15">
        <f t="shared" si="3"/>
        <v>3.55</v>
      </c>
      <c r="J1252" s="15">
        <v>14.71</v>
      </c>
      <c r="K1252" s="16">
        <f>IF(COUNTIFS(Release_Calendar!$A$2:$A$755,"US_CPI",Release_Calendar!$B$2:$B$755,$A1252)&gt;0,1,0)</f>
        <v>0</v>
      </c>
      <c r="L1252" s="16">
        <f>IF(COUNTIFS(Release_Calendar!$A$2:$A$755,"US_NFP",Release_Calendar!$B$2:$B$755,$A1252)&gt;0,1,0)</f>
        <v>0</v>
      </c>
      <c r="M1252" s="16" t="str">
        <f>IF($A1252&lt;Notes!$B$5,"",IF(COUNTIFS(Release_Calendar!$A$2:$A$755,"NZ_CPI",Release_Calendar!$B$2:$B$755,$A1252)&gt;0,1,0))</f>
        <v/>
      </c>
      <c r="N1252" s="16" t="str">
        <f>IF($A1252&lt;Notes!$B$5,"",IF(COUNTIFS(Release_Calendar!$A$2:$A$755,"NZ_GDP",Release_Calendar!$B$2:$B$755,$A1252)&gt;0,1,0))</f>
        <v/>
      </c>
      <c r="O1252" s="16" t="str">
        <f>IF($A1252&lt;Notes!$B$5,"",IF(COUNTIFS(Release_Calendar!$A$2:$A$755,"NZ_LABOUR",Release_Calendar!$B$2:$B$755,$A1252)&gt;0,1,0))</f>
        <v/>
      </c>
      <c r="P1252" s="16">
        <f t="shared" si="4"/>
        <v>0</v>
      </c>
    </row>
    <row r="1253" ht="15.75" customHeight="1">
      <c r="A1253" s="14">
        <v>38279.0</v>
      </c>
      <c r="B1253" s="15">
        <v>2.57</v>
      </c>
      <c r="C1253" s="15"/>
      <c r="D1253" s="15">
        <v>6.08</v>
      </c>
      <c r="E1253" s="15"/>
      <c r="F1253" s="15" t="str">
        <f t="shared" si="1"/>
        <v/>
      </c>
      <c r="G1253" s="15">
        <f t="shared" si="2"/>
        <v>6.08</v>
      </c>
      <c r="H1253" s="16">
        <v>1.0</v>
      </c>
      <c r="I1253" s="15">
        <f t="shared" si="3"/>
        <v>3.51</v>
      </c>
      <c r="J1253" s="15">
        <v>15.13</v>
      </c>
      <c r="K1253" s="16">
        <f>IF(COUNTIFS(Release_Calendar!$A$2:$A$755,"US_CPI",Release_Calendar!$B$2:$B$755,$A1253)&gt;0,1,0)</f>
        <v>1</v>
      </c>
      <c r="L1253" s="16">
        <f>IF(COUNTIFS(Release_Calendar!$A$2:$A$755,"US_NFP",Release_Calendar!$B$2:$B$755,$A1253)&gt;0,1,0)</f>
        <v>0</v>
      </c>
      <c r="M1253" s="16" t="str">
        <f>IF($A1253&lt;Notes!$B$5,"",IF(COUNTIFS(Release_Calendar!$A$2:$A$755,"NZ_CPI",Release_Calendar!$B$2:$B$755,$A1253)&gt;0,1,0))</f>
        <v/>
      </c>
      <c r="N1253" s="16" t="str">
        <f>IF($A1253&lt;Notes!$B$5,"",IF(COUNTIFS(Release_Calendar!$A$2:$A$755,"NZ_GDP",Release_Calendar!$B$2:$B$755,$A1253)&gt;0,1,0))</f>
        <v/>
      </c>
      <c r="O1253" s="16" t="str">
        <f>IF($A1253&lt;Notes!$B$5,"",IF(COUNTIFS(Release_Calendar!$A$2:$A$755,"NZ_LABOUR",Release_Calendar!$B$2:$B$755,$A1253)&gt;0,1,0))</f>
        <v/>
      </c>
      <c r="P1253" s="16">
        <f t="shared" si="4"/>
        <v>1</v>
      </c>
    </row>
    <row r="1254" ht="15.75" customHeight="1">
      <c r="A1254" s="14">
        <v>38280.0</v>
      </c>
      <c r="B1254" s="15">
        <v>2.53</v>
      </c>
      <c r="C1254" s="15"/>
      <c r="D1254" s="15">
        <v>6.08</v>
      </c>
      <c r="E1254" s="15"/>
      <c r="F1254" s="15" t="str">
        <f t="shared" si="1"/>
        <v/>
      </c>
      <c r="G1254" s="15">
        <f t="shared" si="2"/>
        <v>6.08</v>
      </c>
      <c r="H1254" s="16">
        <v>1.0</v>
      </c>
      <c r="I1254" s="15">
        <f t="shared" si="3"/>
        <v>3.55</v>
      </c>
      <c r="J1254" s="15">
        <v>14.85</v>
      </c>
      <c r="K1254" s="16">
        <f>IF(COUNTIFS(Release_Calendar!$A$2:$A$755,"US_CPI",Release_Calendar!$B$2:$B$755,$A1254)&gt;0,1,0)</f>
        <v>0</v>
      </c>
      <c r="L1254" s="16">
        <f>IF(COUNTIFS(Release_Calendar!$A$2:$A$755,"US_NFP",Release_Calendar!$B$2:$B$755,$A1254)&gt;0,1,0)</f>
        <v>0</v>
      </c>
      <c r="M1254" s="16" t="str">
        <f>IF($A1254&lt;Notes!$B$5,"",IF(COUNTIFS(Release_Calendar!$A$2:$A$755,"NZ_CPI",Release_Calendar!$B$2:$B$755,$A1254)&gt;0,1,0))</f>
        <v/>
      </c>
      <c r="N1254" s="16" t="str">
        <f>IF($A1254&lt;Notes!$B$5,"",IF(COUNTIFS(Release_Calendar!$A$2:$A$755,"NZ_GDP",Release_Calendar!$B$2:$B$755,$A1254)&gt;0,1,0))</f>
        <v/>
      </c>
      <c r="O1254" s="16" t="str">
        <f>IF($A1254&lt;Notes!$B$5,"",IF(COUNTIFS(Release_Calendar!$A$2:$A$755,"NZ_LABOUR",Release_Calendar!$B$2:$B$755,$A1254)&gt;0,1,0))</f>
        <v/>
      </c>
      <c r="P1254" s="16">
        <f t="shared" si="4"/>
        <v>0</v>
      </c>
    </row>
    <row r="1255" ht="15.75" customHeight="1">
      <c r="A1255" s="14">
        <v>38281.0</v>
      </c>
      <c r="B1255" s="15">
        <v>2.57</v>
      </c>
      <c r="C1255" s="15"/>
      <c r="D1255" s="15">
        <v>6.08</v>
      </c>
      <c r="E1255" s="15"/>
      <c r="F1255" s="15" t="str">
        <f t="shared" si="1"/>
        <v/>
      </c>
      <c r="G1255" s="15">
        <f t="shared" si="2"/>
        <v>6.08</v>
      </c>
      <c r="H1255" s="16">
        <v>1.0</v>
      </c>
      <c r="I1255" s="15">
        <f t="shared" si="3"/>
        <v>3.51</v>
      </c>
      <c r="J1255" s="15">
        <v>14.54</v>
      </c>
      <c r="K1255" s="16">
        <f>IF(COUNTIFS(Release_Calendar!$A$2:$A$755,"US_CPI",Release_Calendar!$B$2:$B$755,$A1255)&gt;0,1,0)</f>
        <v>0</v>
      </c>
      <c r="L1255" s="16">
        <f>IF(COUNTIFS(Release_Calendar!$A$2:$A$755,"US_NFP",Release_Calendar!$B$2:$B$755,$A1255)&gt;0,1,0)</f>
        <v>0</v>
      </c>
      <c r="M1255" s="16" t="str">
        <f>IF($A1255&lt;Notes!$B$5,"",IF(COUNTIFS(Release_Calendar!$A$2:$A$755,"NZ_CPI",Release_Calendar!$B$2:$B$755,$A1255)&gt;0,1,0))</f>
        <v/>
      </c>
      <c r="N1255" s="16" t="str">
        <f>IF($A1255&lt;Notes!$B$5,"",IF(COUNTIFS(Release_Calendar!$A$2:$A$755,"NZ_GDP",Release_Calendar!$B$2:$B$755,$A1255)&gt;0,1,0))</f>
        <v/>
      </c>
      <c r="O1255" s="16" t="str">
        <f>IF($A1255&lt;Notes!$B$5,"",IF(COUNTIFS(Release_Calendar!$A$2:$A$755,"NZ_LABOUR",Release_Calendar!$B$2:$B$755,$A1255)&gt;0,1,0))</f>
        <v/>
      </c>
      <c r="P1255" s="16">
        <f t="shared" si="4"/>
        <v>0</v>
      </c>
    </row>
    <row r="1256" ht="15.75" customHeight="1">
      <c r="A1256" s="14">
        <v>38282.0</v>
      </c>
      <c r="B1256" s="15">
        <v>2.55</v>
      </c>
      <c r="C1256" s="15"/>
      <c r="D1256" s="15">
        <v>6.1</v>
      </c>
      <c r="E1256" s="15"/>
      <c r="F1256" s="15" t="str">
        <f t="shared" si="1"/>
        <v/>
      </c>
      <c r="G1256" s="15">
        <f t="shared" si="2"/>
        <v>6.1</v>
      </c>
      <c r="H1256" s="16">
        <v>1.0</v>
      </c>
      <c r="I1256" s="15">
        <f t="shared" si="3"/>
        <v>3.55</v>
      </c>
      <c r="J1256" s="15">
        <v>15.28</v>
      </c>
      <c r="K1256" s="16">
        <f>IF(COUNTIFS(Release_Calendar!$A$2:$A$755,"US_CPI",Release_Calendar!$B$2:$B$755,$A1256)&gt;0,1,0)</f>
        <v>0</v>
      </c>
      <c r="L1256" s="16">
        <f>IF(COUNTIFS(Release_Calendar!$A$2:$A$755,"US_NFP",Release_Calendar!$B$2:$B$755,$A1256)&gt;0,1,0)</f>
        <v>0</v>
      </c>
      <c r="M1256" s="16" t="str">
        <f>IF($A1256&lt;Notes!$B$5,"",IF(COUNTIFS(Release_Calendar!$A$2:$A$755,"NZ_CPI",Release_Calendar!$B$2:$B$755,$A1256)&gt;0,1,0))</f>
        <v/>
      </c>
      <c r="N1256" s="16" t="str">
        <f>IF($A1256&lt;Notes!$B$5,"",IF(COUNTIFS(Release_Calendar!$A$2:$A$755,"NZ_GDP",Release_Calendar!$B$2:$B$755,$A1256)&gt;0,1,0))</f>
        <v/>
      </c>
      <c r="O1256" s="16" t="str">
        <f>IF($A1256&lt;Notes!$B$5,"",IF(COUNTIFS(Release_Calendar!$A$2:$A$755,"NZ_LABOUR",Release_Calendar!$B$2:$B$755,$A1256)&gt;0,1,0))</f>
        <v/>
      </c>
      <c r="P1256" s="16">
        <f t="shared" si="4"/>
        <v>0</v>
      </c>
    </row>
    <row r="1257" ht="15.75" customHeight="1">
      <c r="A1257" s="14">
        <v>38285.0</v>
      </c>
      <c r="B1257" s="15">
        <v>2.54</v>
      </c>
      <c r="C1257" s="15"/>
      <c r="D1257" s="15"/>
      <c r="E1257" s="15"/>
      <c r="F1257" s="15" t="str">
        <f t="shared" si="1"/>
        <v/>
      </c>
      <c r="G1257" s="15" t="str">
        <f t="shared" si="2"/>
        <v/>
      </c>
      <c r="H1257" s="16">
        <v>1.0</v>
      </c>
      <c r="I1257" s="15" t="str">
        <f t="shared" si="3"/>
        <v/>
      </c>
      <c r="J1257" s="15">
        <v>16.58</v>
      </c>
      <c r="K1257" s="16">
        <f>IF(COUNTIFS(Release_Calendar!$A$2:$A$755,"US_CPI",Release_Calendar!$B$2:$B$755,$A1257)&gt;0,1,0)</f>
        <v>0</v>
      </c>
      <c r="L1257" s="16">
        <f>IF(COUNTIFS(Release_Calendar!$A$2:$A$755,"US_NFP",Release_Calendar!$B$2:$B$755,$A1257)&gt;0,1,0)</f>
        <v>0</v>
      </c>
      <c r="M1257" s="16" t="str">
        <f>IF($A1257&lt;Notes!$B$5,"",IF(COUNTIFS(Release_Calendar!$A$2:$A$755,"NZ_CPI",Release_Calendar!$B$2:$B$755,$A1257)&gt;0,1,0))</f>
        <v/>
      </c>
      <c r="N1257" s="16" t="str">
        <f>IF($A1257&lt;Notes!$B$5,"",IF(COUNTIFS(Release_Calendar!$A$2:$A$755,"NZ_GDP",Release_Calendar!$B$2:$B$755,$A1257)&gt;0,1,0))</f>
        <v/>
      </c>
      <c r="O1257" s="16" t="str">
        <f>IF($A1257&lt;Notes!$B$5,"",IF(COUNTIFS(Release_Calendar!$A$2:$A$755,"NZ_LABOUR",Release_Calendar!$B$2:$B$755,$A1257)&gt;0,1,0))</f>
        <v/>
      </c>
      <c r="P1257" s="16">
        <f t="shared" si="4"/>
        <v>0</v>
      </c>
    </row>
    <row r="1258" ht="15.75" customHeight="1">
      <c r="A1258" s="14">
        <v>38286.0</v>
      </c>
      <c r="B1258" s="15">
        <v>2.54</v>
      </c>
      <c r="C1258" s="15"/>
      <c r="D1258" s="15">
        <v>6.07</v>
      </c>
      <c r="E1258" s="15"/>
      <c r="F1258" s="15" t="str">
        <f t="shared" si="1"/>
        <v/>
      </c>
      <c r="G1258" s="15">
        <f t="shared" si="2"/>
        <v>6.07</v>
      </c>
      <c r="H1258" s="16">
        <v>1.0</v>
      </c>
      <c r="I1258" s="15">
        <f t="shared" si="3"/>
        <v>3.53</v>
      </c>
      <c r="J1258" s="15">
        <v>16.39</v>
      </c>
      <c r="K1258" s="16">
        <f>IF(COUNTIFS(Release_Calendar!$A$2:$A$755,"US_CPI",Release_Calendar!$B$2:$B$755,$A1258)&gt;0,1,0)</f>
        <v>0</v>
      </c>
      <c r="L1258" s="16">
        <f>IF(COUNTIFS(Release_Calendar!$A$2:$A$755,"US_NFP",Release_Calendar!$B$2:$B$755,$A1258)&gt;0,1,0)</f>
        <v>0</v>
      </c>
      <c r="M1258" s="16" t="str">
        <f>IF($A1258&lt;Notes!$B$5,"",IF(COUNTIFS(Release_Calendar!$A$2:$A$755,"NZ_CPI",Release_Calendar!$B$2:$B$755,$A1258)&gt;0,1,0))</f>
        <v/>
      </c>
      <c r="N1258" s="16" t="str">
        <f>IF($A1258&lt;Notes!$B$5,"",IF(COUNTIFS(Release_Calendar!$A$2:$A$755,"NZ_GDP",Release_Calendar!$B$2:$B$755,$A1258)&gt;0,1,0))</f>
        <v/>
      </c>
      <c r="O1258" s="16" t="str">
        <f>IF($A1258&lt;Notes!$B$5,"",IF(COUNTIFS(Release_Calendar!$A$2:$A$755,"NZ_LABOUR",Release_Calendar!$B$2:$B$755,$A1258)&gt;0,1,0))</f>
        <v/>
      </c>
      <c r="P1258" s="16">
        <f t="shared" si="4"/>
        <v>0</v>
      </c>
    </row>
    <row r="1259" ht="15.75" customHeight="1">
      <c r="A1259" s="14">
        <v>38287.0</v>
      </c>
      <c r="B1259" s="15">
        <v>2.63</v>
      </c>
      <c r="C1259" s="15"/>
      <c r="D1259" s="15">
        <v>6.09</v>
      </c>
      <c r="E1259" s="15"/>
      <c r="F1259" s="15" t="str">
        <f t="shared" si="1"/>
        <v/>
      </c>
      <c r="G1259" s="15">
        <f t="shared" si="2"/>
        <v>6.09</v>
      </c>
      <c r="H1259" s="16">
        <v>1.0</v>
      </c>
      <c r="I1259" s="15">
        <f t="shared" si="3"/>
        <v>3.46</v>
      </c>
      <c r="J1259" s="15">
        <v>15.72</v>
      </c>
      <c r="K1259" s="16">
        <f>IF(COUNTIFS(Release_Calendar!$A$2:$A$755,"US_CPI",Release_Calendar!$B$2:$B$755,$A1259)&gt;0,1,0)</f>
        <v>0</v>
      </c>
      <c r="L1259" s="16">
        <f>IF(COUNTIFS(Release_Calendar!$A$2:$A$755,"US_NFP",Release_Calendar!$B$2:$B$755,$A1259)&gt;0,1,0)</f>
        <v>0</v>
      </c>
      <c r="M1259" s="16" t="str">
        <f>IF($A1259&lt;Notes!$B$5,"",IF(COUNTIFS(Release_Calendar!$A$2:$A$755,"NZ_CPI",Release_Calendar!$B$2:$B$755,$A1259)&gt;0,1,0))</f>
        <v/>
      </c>
      <c r="N1259" s="16" t="str">
        <f>IF($A1259&lt;Notes!$B$5,"",IF(COUNTIFS(Release_Calendar!$A$2:$A$755,"NZ_GDP",Release_Calendar!$B$2:$B$755,$A1259)&gt;0,1,0))</f>
        <v/>
      </c>
      <c r="O1259" s="16" t="str">
        <f>IF($A1259&lt;Notes!$B$5,"",IF(COUNTIFS(Release_Calendar!$A$2:$A$755,"NZ_LABOUR",Release_Calendar!$B$2:$B$755,$A1259)&gt;0,1,0))</f>
        <v/>
      </c>
      <c r="P1259" s="16">
        <f t="shared" si="4"/>
        <v>0</v>
      </c>
    </row>
    <row r="1260" ht="15.75" customHeight="1">
      <c r="A1260" s="14">
        <v>38288.0</v>
      </c>
      <c r="B1260" s="15">
        <v>2.59</v>
      </c>
      <c r="C1260" s="15"/>
      <c r="D1260" s="15">
        <v>6.05</v>
      </c>
      <c r="E1260" s="15"/>
      <c r="F1260" s="15" t="str">
        <f t="shared" si="1"/>
        <v/>
      </c>
      <c r="G1260" s="15">
        <f t="shared" si="2"/>
        <v>6.05</v>
      </c>
      <c r="H1260" s="16">
        <v>1.0</v>
      </c>
      <c r="I1260" s="15">
        <f t="shared" si="3"/>
        <v>3.46</v>
      </c>
      <c r="J1260" s="15">
        <v>15.39</v>
      </c>
      <c r="K1260" s="16">
        <f>IF(COUNTIFS(Release_Calendar!$A$2:$A$755,"US_CPI",Release_Calendar!$B$2:$B$755,$A1260)&gt;0,1,0)</f>
        <v>0</v>
      </c>
      <c r="L1260" s="16">
        <f>IF(COUNTIFS(Release_Calendar!$A$2:$A$755,"US_NFP",Release_Calendar!$B$2:$B$755,$A1260)&gt;0,1,0)</f>
        <v>0</v>
      </c>
      <c r="M1260" s="16" t="str">
        <f>IF($A1260&lt;Notes!$B$5,"",IF(COUNTIFS(Release_Calendar!$A$2:$A$755,"NZ_CPI",Release_Calendar!$B$2:$B$755,$A1260)&gt;0,1,0))</f>
        <v/>
      </c>
      <c r="N1260" s="16" t="str">
        <f>IF($A1260&lt;Notes!$B$5,"",IF(COUNTIFS(Release_Calendar!$A$2:$A$755,"NZ_GDP",Release_Calendar!$B$2:$B$755,$A1260)&gt;0,1,0))</f>
        <v/>
      </c>
      <c r="O1260" s="16" t="str">
        <f>IF($A1260&lt;Notes!$B$5,"",IF(COUNTIFS(Release_Calendar!$A$2:$A$755,"NZ_LABOUR",Release_Calendar!$B$2:$B$755,$A1260)&gt;0,1,0))</f>
        <v/>
      </c>
      <c r="P1260" s="16">
        <f t="shared" si="4"/>
        <v>0</v>
      </c>
    </row>
    <row r="1261" ht="15.75" customHeight="1">
      <c r="A1261" s="14">
        <v>38289.0</v>
      </c>
      <c r="B1261" s="15">
        <v>2.56</v>
      </c>
      <c r="C1261" s="15"/>
      <c r="D1261" s="15">
        <v>6.05</v>
      </c>
      <c r="E1261" s="15"/>
      <c r="F1261" s="15" t="str">
        <f t="shared" si="1"/>
        <v/>
      </c>
      <c r="G1261" s="15">
        <f t="shared" si="2"/>
        <v>6.05</v>
      </c>
      <c r="H1261" s="16">
        <v>1.0</v>
      </c>
      <c r="I1261" s="15">
        <f t="shared" si="3"/>
        <v>3.49</v>
      </c>
      <c r="J1261" s="15">
        <v>16.27</v>
      </c>
      <c r="K1261" s="16">
        <f>IF(COUNTIFS(Release_Calendar!$A$2:$A$755,"US_CPI",Release_Calendar!$B$2:$B$755,$A1261)&gt;0,1,0)</f>
        <v>0</v>
      </c>
      <c r="L1261" s="16">
        <f>IF(COUNTIFS(Release_Calendar!$A$2:$A$755,"US_NFP",Release_Calendar!$B$2:$B$755,$A1261)&gt;0,1,0)</f>
        <v>0</v>
      </c>
      <c r="M1261" s="16" t="str">
        <f>IF($A1261&lt;Notes!$B$5,"",IF(COUNTIFS(Release_Calendar!$A$2:$A$755,"NZ_CPI",Release_Calendar!$B$2:$B$755,$A1261)&gt;0,1,0))</f>
        <v/>
      </c>
      <c r="N1261" s="16" t="str">
        <f>IF($A1261&lt;Notes!$B$5,"",IF(COUNTIFS(Release_Calendar!$A$2:$A$755,"NZ_GDP",Release_Calendar!$B$2:$B$755,$A1261)&gt;0,1,0))</f>
        <v/>
      </c>
      <c r="O1261" s="16" t="str">
        <f>IF($A1261&lt;Notes!$B$5,"",IF(COUNTIFS(Release_Calendar!$A$2:$A$755,"NZ_LABOUR",Release_Calendar!$B$2:$B$755,$A1261)&gt;0,1,0))</f>
        <v/>
      </c>
      <c r="P1261" s="16">
        <f t="shared" si="4"/>
        <v>0</v>
      </c>
    </row>
    <row r="1262" ht="15.75" customHeight="1">
      <c r="A1262" s="14">
        <v>38292.0</v>
      </c>
      <c r="B1262" s="15">
        <v>2.61</v>
      </c>
      <c r="C1262" s="15"/>
      <c r="D1262" s="15">
        <v>6.02</v>
      </c>
      <c r="E1262" s="15"/>
      <c r="F1262" s="15" t="str">
        <f t="shared" si="1"/>
        <v/>
      </c>
      <c r="G1262" s="15">
        <f t="shared" si="2"/>
        <v>6.02</v>
      </c>
      <c r="H1262" s="16">
        <v>1.0</v>
      </c>
      <c r="I1262" s="15">
        <f t="shared" si="3"/>
        <v>3.41</v>
      </c>
      <c r="J1262" s="15">
        <v>16.27</v>
      </c>
      <c r="K1262" s="16">
        <f>IF(COUNTIFS(Release_Calendar!$A$2:$A$755,"US_CPI",Release_Calendar!$B$2:$B$755,$A1262)&gt;0,1,0)</f>
        <v>0</v>
      </c>
      <c r="L1262" s="16">
        <f>IF(COUNTIFS(Release_Calendar!$A$2:$A$755,"US_NFP",Release_Calendar!$B$2:$B$755,$A1262)&gt;0,1,0)</f>
        <v>0</v>
      </c>
      <c r="M1262" s="16" t="str">
        <f>IF($A1262&lt;Notes!$B$5,"",IF(COUNTIFS(Release_Calendar!$A$2:$A$755,"NZ_CPI",Release_Calendar!$B$2:$B$755,$A1262)&gt;0,1,0))</f>
        <v/>
      </c>
      <c r="N1262" s="16" t="str">
        <f>IF($A1262&lt;Notes!$B$5,"",IF(COUNTIFS(Release_Calendar!$A$2:$A$755,"NZ_GDP",Release_Calendar!$B$2:$B$755,$A1262)&gt;0,1,0))</f>
        <v/>
      </c>
      <c r="O1262" s="16" t="str">
        <f>IF($A1262&lt;Notes!$B$5,"",IF(COUNTIFS(Release_Calendar!$A$2:$A$755,"NZ_LABOUR",Release_Calendar!$B$2:$B$755,$A1262)&gt;0,1,0))</f>
        <v/>
      </c>
      <c r="P1262" s="16">
        <f t="shared" si="4"/>
        <v>0</v>
      </c>
    </row>
    <row r="1263" ht="15.75" customHeight="1">
      <c r="A1263" s="14">
        <v>38293.0</v>
      </c>
      <c r="B1263" s="15">
        <v>2.6</v>
      </c>
      <c r="C1263" s="15"/>
      <c r="D1263" s="15">
        <v>6.06</v>
      </c>
      <c r="E1263" s="15"/>
      <c r="F1263" s="15" t="str">
        <f t="shared" si="1"/>
        <v/>
      </c>
      <c r="G1263" s="15">
        <f t="shared" si="2"/>
        <v>6.06</v>
      </c>
      <c r="H1263" s="16">
        <v>1.0</v>
      </c>
      <c r="I1263" s="15">
        <f t="shared" si="3"/>
        <v>3.46</v>
      </c>
      <c r="J1263" s="15">
        <v>16.18</v>
      </c>
      <c r="K1263" s="16">
        <f>IF(COUNTIFS(Release_Calendar!$A$2:$A$755,"US_CPI",Release_Calendar!$B$2:$B$755,$A1263)&gt;0,1,0)</f>
        <v>0</v>
      </c>
      <c r="L1263" s="16">
        <f>IF(COUNTIFS(Release_Calendar!$A$2:$A$755,"US_NFP",Release_Calendar!$B$2:$B$755,$A1263)&gt;0,1,0)</f>
        <v>0</v>
      </c>
      <c r="M1263" s="16" t="str">
        <f>IF($A1263&lt;Notes!$B$5,"",IF(COUNTIFS(Release_Calendar!$A$2:$A$755,"NZ_CPI",Release_Calendar!$B$2:$B$755,$A1263)&gt;0,1,0))</f>
        <v/>
      </c>
      <c r="N1263" s="16" t="str">
        <f>IF($A1263&lt;Notes!$B$5,"",IF(COUNTIFS(Release_Calendar!$A$2:$A$755,"NZ_GDP",Release_Calendar!$B$2:$B$755,$A1263)&gt;0,1,0))</f>
        <v/>
      </c>
      <c r="O1263" s="16" t="str">
        <f>IF($A1263&lt;Notes!$B$5,"",IF(COUNTIFS(Release_Calendar!$A$2:$A$755,"NZ_LABOUR",Release_Calendar!$B$2:$B$755,$A1263)&gt;0,1,0))</f>
        <v/>
      </c>
      <c r="P1263" s="16">
        <f t="shared" si="4"/>
        <v>0</v>
      </c>
    </row>
    <row r="1264" ht="15.75" customHeight="1">
      <c r="A1264" s="14">
        <v>38294.0</v>
      </c>
      <c r="B1264" s="15">
        <v>2.6</v>
      </c>
      <c r="C1264" s="15"/>
      <c r="D1264" s="15">
        <v>6.06</v>
      </c>
      <c r="E1264" s="15"/>
      <c r="F1264" s="15" t="str">
        <f t="shared" si="1"/>
        <v/>
      </c>
      <c r="G1264" s="15">
        <f t="shared" si="2"/>
        <v>6.06</v>
      </c>
      <c r="H1264" s="16">
        <v>1.0</v>
      </c>
      <c r="I1264" s="15">
        <f t="shared" si="3"/>
        <v>3.46</v>
      </c>
      <c r="J1264" s="15">
        <v>14.04</v>
      </c>
      <c r="K1264" s="16">
        <f>IF(COUNTIFS(Release_Calendar!$A$2:$A$755,"US_CPI",Release_Calendar!$B$2:$B$755,$A1264)&gt;0,1,0)</f>
        <v>0</v>
      </c>
      <c r="L1264" s="16">
        <f>IF(COUNTIFS(Release_Calendar!$A$2:$A$755,"US_NFP",Release_Calendar!$B$2:$B$755,$A1264)&gt;0,1,0)</f>
        <v>0</v>
      </c>
      <c r="M1264" s="16" t="str">
        <f>IF($A1264&lt;Notes!$B$5,"",IF(COUNTIFS(Release_Calendar!$A$2:$A$755,"NZ_CPI",Release_Calendar!$B$2:$B$755,$A1264)&gt;0,1,0))</f>
        <v/>
      </c>
      <c r="N1264" s="16" t="str">
        <f>IF($A1264&lt;Notes!$B$5,"",IF(COUNTIFS(Release_Calendar!$A$2:$A$755,"NZ_GDP",Release_Calendar!$B$2:$B$755,$A1264)&gt;0,1,0))</f>
        <v/>
      </c>
      <c r="O1264" s="16" t="str">
        <f>IF($A1264&lt;Notes!$B$5,"",IF(COUNTIFS(Release_Calendar!$A$2:$A$755,"NZ_LABOUR",Release_Calendar!$B$2:$B$755,$A1264)&gt;0,1,0))</f>
        <v/>
      </c>
      <c r="P1264" s="16">
        <f t="shared" si="4"/>
        <v>0</v>
      </c>
    </row>
    <row r="1265" ht="15.75" customHeight="1">
      <c r="A1265" s="14">
        <v>38295.0</v>
      </c>
      <c r="B1265" s="15">
        <v>2.63</v>
      </c>
      <c r="C1265" s="15"/>
      <c r="D1265" s="15">
        <v>6.07</v>
      </c>
      <c r="E1265" s="15"/>
      <c r="F1265" s="15" t="str">
        <f t="shared" si="1"/>
        <v/>
      </c>
      <c r="G1265" s="15">
        <f t="shared" si="2"/>
        <v>6.07</v>
      </c>
      <c r="H1265" s="16">
        <v>1.0</v>
      </c>
      <c r="I1265" s="15">
        <f t="shared" si="3"/>
        <v>3.44</v>
      </c>
      <c r="J1265" s="15">
        <v>13.97</v>
      </c>
      <c r="K1265" s="16">
        <f>IF(COUNTIFS(Release_Calendar!$A$2:$A$755,"US_CPI",Release_Calendar!$B$2:$B$755,$A1265)&gt;0,1,0)</f>
        <v>0</v>
      </c>
      <c r="L1265" s="16">
        <f>IF(COUNTIFS(Release_Calendar!$A$2:$A$755,"US_NFP",Release_Calendar!$B$2:$B$755,$A1265)&gt;0,1,0)</f>
        <v>0</v>
      </c>
      <c r="M1265" s="16" t="str">
        <f>IF($A1265&lt;Notes!$B$5,"",IF(COUNTIFS(Release_Calendar!$A$2:$A$755,"NZ_CPI",Release_Calendar!$B$2:$B$755,$A1265)&gt;0,1,0))</f>
        <v/>
      </c>
      <c r="N1265" s="16" t="str">
        <f>IF($A1265&lt;Notes!$B$5,"",IF(COUNTIFS(Release_Calendar!$A$2:$A$755,"NZ_GDP",Release_Calendar!$B$2:$B$755,$A1265)&gt;0,1,0))</f>
        <v/>
      </c>
      <c r="O1265" s="16" t="str">
        <f>IF($A1265&lt;Notes!$B$5,"",IF(COUNTIFS(Release_Calendar!$A$2:$A$755,"NZ_LABOUR",Release_Calendar!$B$2:$B$755,$A1265)&gt;0,1,0))</f>
        <v/>
      </c>
      <c r="P1265" s="16">
        <f t="shared" si="4"/>
        <v>0</v>
      </c>
    </row>
    <row r="1266" ht="15.75" customHeight="1">
      <c r="A1266" s="14">
        <v>38296.0</v>
      </c>
      <c r="B1266" s="15">
        <v>2.8</v>
      </c>
      <c r="C1266" s="15"/>
      <c r="D1266" s="15">
        <v>6.08</v>
      </c>
      <c r="E1266" s="15"/>
      <c r="F1266" s="15" t="str">
        <f t="shared" si="1"/>
        <v/>
      </c>
      <c r="G1266" s="15">
        <f t="shared" si="2"/>
        <v>6.08</v>
      </c>
      <c r="H1266" s="16">
        <v>1.0</v>
      </c>
      <c r="I1266" s="15">
        <f t="shared" si="3"/>
        <v>3.28</v>
      </c>
      <c r="J1266" s="15">
        <v>13.84</v>
      </c>
      <c r="K1266" s="16">
        <f>IF(COUNTIFS(Release_Calendar!$A$2:$A$755,"US_CPI",Release_Calendar!$B$2:$B$755,$A1266)&gt;0,1,0)</f>
        <v>0</v>
      </c>
      <c r="L1266" s="16">
        <f>IF(COUNTIFS(Release_Calendar!$A$2:$A$755,"US_NFP",Release_Calendar!$B$2:$B$755,$A1266)&gt;0,1,0)</f>
        <v>1</v>
      </c>
      <c r="M1266" s="16" t="str">
        <f>IF($A1266&lt;Notes!$B$5,"",IF(COUNTIFS(Release_Calendar!$A$2:$A$755,"NZ_CPI",Release_Calendar!$B$2:$B$755,$A1266)&gt;0,1,0))</f>
        <v/>
      </c>
      <c r="N1266" s="16" t="str">
        <f>IF($A1266&lt;Notes!$B$5,"",IF(COUNTIFS(Release_Calendar!$A$2:$A$755,"NZ_GDP",Release_Calendar!$B$2:$B$755,$A1266)&gt;0,1,0))</f>
        <v/>
      </c>
      <c r="O1266" s="16" t="str">
        <f>IF($A1266&lt;Notes!$B$5,"",IF(COUNTIFS(Release_Calendar!$A$2:$A$755,"NZ_LABOUR",Release_Calendar!$B$2:$B$755,$A1266)&gt;0,1,0))</f>
        <v/>
      </c>
      <c r="P1266" s="16">
        <f t="shared" si="4"/>
        <v>1</v>
      </c>
    </row>
    <row r="1267" ht="15.75" customHeight="1">
      <c r="A1267" s="14">
        <v>38299.0</v>
      </c>
      <c r="B1267" s="15">
        <v>2.8</v>
      </c>
      <c r="C1267" s="15"/>
      <c r="D1267" s="15">
        <v>6.14</v>
      </c>
      <c r="E1267" s="15"/>
      <c r="F1267" s="15" t="str">
        <f t="shared" si="1"/>
        <v/>
      </c>
      <c r="G1267" s="15">
        <f t="shared" si="2"/>
        <v>6.14</v>
      </c>
      <c r="H1267" s="16">
        <v>1.0</v>
      </c>
      <c r="I1267" s="15">
        <f t="shared" si="3"/>
        <v>3.34</v>
      </c>
      <c r="J1267" s="15">
        <v>13.8</v>
      </c>
      <c r="K1267" s="16">
        <f>IF(COUNTIFS(Release_Calendar!$A$2:$A$755,"US_CPI",Release_Calendar!$B$2:$B$755,$A1267)&gt;0,1,0)</f>
        <v>0</v>
      </c>
      <c r="L1267" s="16">
        <f>IF(COUNTIFS(Release_Calendar!$A$2:$A$755,"US_NFP",Release_Calendar!$B$2:$B$755,$A1267)&gt;0,1,0)</f>
        <v>0</v>
      </c>
      <c r="M1267" s="16" t="str">
        <f>IF($A1267&lt;Notes!$B$5,"",IF(COUNTIFS(Release_Calendar!$A$2:$A$755,"NZ_CPI",Release_Calendar!$B$2:$B$755,$A1267)&gt;0,1,0))</f>
        <v/>
      </c>
      <c r="N1267" s="16" t="str">
        <f>IF($A1267&lt;Notes!$B$5,"",IF(COUNTIFS(Release_Calendar!$A$2:$A$755,"NZ_GDP",Release_Calendar!$B$2:$B$755,$A1267)&gt;0,1,0))</f>
        <v/>
      </c>
      <c r="O1267" s="16" t="str">
        <f>IF($A1267&lt;Notes!$B$5,"",IF(COUNTIFS(Release_Calendar!$A$2:$A$755,"NZ_LABOUR",Release_Calendar!$B$2:$B$755,$A1267)&gt;0,1,0))</f>
        <v/>
      </c>
      <c r="P1267" s="16">
        <f t="shared" si="4"/>
        <v>0</v>
      </c>
    </row>
    <row r="1268" ht="15.75" customHeight="1">
      <c r="A1268" s="14">
        <v>38300.0</v>
      </c>
      <c r="B1268" s="15">
        <v>2.8</v>
      </c>
      <c r="C1268" s="15"/>
      <c r="D1268" s="15">
        <v>6.13</v>
      </c>
      <c r="E1268" s="15"/>
      <c r="F1268" s="15" t="str">
        <f t="shared" si="1"/>
        <v/>
      </c>
      <c r="G1268" s="15">
        <f t="shared" si="2"/>
        <v>6.13</v>
      </c>
      <c r="H1268" s="16">
        <v>1.0</v>
      </c>
      <c r="I1268" s="15">
        <f t="shared" si="3"/>
        <v>3.33</v>
      </c>
      <c r="J1268" s="15">
        <v>13.61</v>
      </c>
      <c r="K1268" s="16">
        <f>IF(COUNTIFS(Release_Calendar!$A$2:$A$755,"US_CPI",Release_Calendar!$B$2:$B$755,$A1268)&gt;0,1,0)</f>
        <v>0</v>
      </c>
      <c r="L1268" s="16">
        <f>IF(COUNTIFS(Release_Calendar!$A$2:$A$755,"US_NFP",Release_Calendar!$B$2:$B$755,$A1268)&gt;0,1,0)</f>
        <v>0</v>
      </c>
      <c r="M1268" s="16" t="str">
        <f>IF($A1268&lt;Notes!$B$5,"",IF(COUNTIFS(Release_Calendar!$A$2:$A$755,"NZ_CPI",Release_Calendar!$B$2:$B$755,$A1268)&gt;0,1,0))</f>
        <v/>
      </c>
      <c r="N1268" s="16" t="str">
        <f>IF($A1268&lt;Notes!$B$5,"",IF(COUNTIFS(Release_Calendar!$A$2:$A$755,"NZ_GDP",Release_Calendar!$B$2:$B$755,$A1268)&gt;0,1,0))</f>
        <v/>
      </c>
      <c r="O1268" s="16" t="str">
        <f>IF($A1268&lt;Notes!$B$5,"",IF(COUNTIFS(Release_Calendar!$A$2:$A$755,"NZ_LABOUR",Release_Calendar!$B$2:$B$755,$A1268)&gt;0,1,0))</f>
        <v/>
      </c>
      <c r="P1268" s="16">
        <f t="shared" si="4"/>
        <v>0</v>
      </c>
    </row>
    <row r="1269" ht="15.75" customHeight="1">
      <c r="A1269" s="14">
        <v>38301.0</v>
      </c>
      <c r="B1269" s="15">
        <v>2.82</v>
      </c>
      <c r="C1269" s="15"/>
      <c r="D1269" s="15">
        <v>6.13</v>
      </c>
      <c r="E1269" s="15"/>
      <c r="F1269" s="15" t="str">
        <f t="shared" si="1"/>
        <v/>
      </c>
      <c r="G1269" s="15">
        <f t="shared" si="2"/>
        <v>6.13</v>
      </c>
      <c r="H1269" s="16">
        <v>1.0</v>
      </c>
      <c r="I1269" s="15">
        <f t="shared" si="3"/>
        <v>3.31</v>
      </c>
      <c r="J1269" s="15">
        <v>13.08</v>
      </c>
      <c r="K1269" s="16">
        <f>IF(COUNTIFS(Release_Calendar!$A$2:$A$755,"US_CPI",Release_Calendar!$B$2:$B$755,$A1269)&gt;0,1,0)</f>
        <v>0</v>
      </c>
      <c r="L1269" s="16">
        <f>IF(COUNTIFS(Release_Calendar!$A$2:$A$755,"US_NFP",Release_Calendar!$B$2:$B$755,$A1269)&gt;0,1,0)</f>
        <v>0</v>
      </c>
      <c r="M1269" s="16" t="str">
        <f>IF($A1269&lt;Notes!$B$5,"",IF(COUNTIFS(Release_Calendar!$A$2:$A$755,"NZ_CPI",Release_Calendar!$B$2:$B$755,$A1269)&gt;0,1,0))</f>
        <v/>
      </c>
      <c r="N1269" s="16" t="str">
        <f>IF($A1269&lt;Notes!$B$5,"",IF(COUNTIFS(Release_Calendar!$A$2:$A$755,"NZ_GDP",Release_Calendar!$B$2:$B$755,$A1269)&gt;0,1,0))</f>
        <v/>
      </c>
      <c r="O1269" s="16" t="str">
        <f>IF($A1269&lt;Notes!$B$5,"",IF(COUNTIFS(Release_Calendar!$A$2:$A$755,"NZ_LABOUR",Release_Calendar!$B$2:$B$755,$A1269)&gt;0,1,0))</f>
        <v/>
      </c>
      <c r="P1269" s="16">
        <f t="shared" si="4"/>
        <v>0</v>
      </c>
    </row>
    <row r="1270" ht="15.75" customHeight="1">
      <c r="A1270" s="14">
        <v>38302.0</v>
      </c>
      <c r="B1270" s="15"/>
      <c r="C1270" s="15"/>
      <c r="D1270" s="15">
        <v>6.14</v>
      </c>
      <c r="E1270" s="15"/>
      <c r="F1270" s="15" t="str">
        <f t="shared" si="1"/>
        <v/>
      </c>
      <c r="G1270" s="15">
        <f t="shared" si="2"/>
        <v>6.14</v>
      </c>
      <c r="H1270" s="16">
        <v>1.0</v>
      </c>
      <c r="I1270" s="15" t="str">
        <f t="shared" si="3"/>
        <v/>
      </c>
      <c r="J1270" s="15">
        <v>13.04</v>
      </c>
      <c r="K1270" s="16">
        <f>IF(COUNTIFS(Release_Calendar!$A$2:$A$755,"US_CPI",Release_Calendar!$B$2:$B$755,$A1270)&gt;0,1,0)</f>
        <v>0</v>
      </c>
      <c r="L1270" s="16">
        <f>IF(COUNTIFS(Release_Calendar!$A$2:$A$755,"US_NFP",Release_Calendar!$B$2:$B$755,$A1270)&gt;0,1,0)</f>
        <v>0</v>
      </c>
      <c r="M1270" s="16" t="str">
        <f>IF($A1270&lt;Notes!$B$5,"",IF(COUNTIFS(Release_Calendar!$A$2:$A$755,"NZ_CPI",Release_Calendar!$B$2:$B$755,$A1270)&gt;0,1,0))</f>
        <v/>
      </c>
      <c r="N1270" s="16" t="str">
        <f>IF($A1270&lt;Notes!$B$5,"",IF(COUNTIFS(Release_Calendar!$A$2:$A$755,"NZ_GDP",Release_Calendar!$B$2:$B$755,$A1270)&gt;0,1,0))</f>
        <v/>
      </c>
      <c r="O1270" s="16" t="str">
        <f>IF($A1270&lt;Notes!$B$5,"",IF(COUNTIFS(Release_Calendar!$A$2:$A$755,"NZ_LABOUR",Release_Calendar!$B$2:$B$755,$A1270)&gt;0,1,0))</f>
        <v/>
      </c>
      <c r="P1270" s="16">
        <f t="shared" si="4"/>
        <v>0</v>
      </c>
    </row>
    <row r="1271" ht="15.75" customHeight="1">
      <c r="A1271" s="14">
        <v>38303.0</v>
      </c>
      <c r="B1271" s="15">
        <v>2.86</v>
      </c>
      <c r="C1271" s="15"/>
      <c r="D1271" s="15">
        <v>6.14</v>
      </c>
      <c r="E1271" s="15"/>
      <c r="F1271" s="15" t="str">
        <f t="shared" si="1"/>
        <v/>
      </c>
      <c r="G1271" s="15">
        <f t="shared" si="2"/>
        <v>6.14</v>
      </c>
      <c r="H1271" s="16">
        <v>1.0</v>
      </c>
      <c r="I1271" s="15">
        <f t="shared" si="3"/>
        <v>3.28</v>
      </c>
      <c r="J1271" s="15">
        <v>13.33</v>
      </c>
      <c r="K1271" s="16">
        <f>IF(COUNTIFS(Release_Calendar!$A$2:$A$755,"US_CPI",Release_Calendar!$B$2:$B$755,$A1271)&gt;0,1,0)</f>
        <v>0</v>
      </c>
      <c r="L1271" s="16">
        <f>IF(COUNTIFS(Release_Calendar!$A$2:$A$755,"US_NFP",Release_Calendar!$B$2:$B$755,$A1271)&gt;0,1,0)</f>
        <v>0</v>
      </c>
      <c r="M1271" s="16" t="str">
        <f>IF($A1271&lt;Notes!$B$5,"",IF(COUNTIFS(Release_Calendar!$A$2:$A$755,"NZ_CPI",Release_Calendar!$B$2:$B$755,$A1271)&gt;0,1,0))</f>
        <v/>
      </c>
      <c r="N1271" s="16" t="str">
        <f>IF($A1271&lt;Notes!$B$5,"",IF(COUNTIFS(Release_Calendar!$A$2:$A$755,"NZ_GDP",Release_Calendar!$B$2:$B$755,$A1271)&gt;0,1,0))</f>
        <v/>
      </c>
      <c r="O1271" s="16" t="str">
        <f>IF($A1271&lt;Notes!$B$5,"",IF(COUNTIFS(Release_Calendar!$A$2:$A$755,"NZ_LABOUR",Release_Calendar!$B$2:$B$755,$A1271)&gt;0,1,0))</f>
        <v/>
      </c>
      <c r="P1271" s="16">
        <f t="shared" si="4"/>
        <v>0</v>
      </c>
    </row>
    <row r="1272" ht="15.75" customHeight="1">
      <c r="A1272" s="14">
        <v>38306.0</v>
      </c>
      <c r="B1272" s="15">
        <v>2.89</v>
      </c>
      <c r="C1272" s="15"/>
      <c r="D1272" s="15">
        <v>6.1</v>
      </c>
      <c r="E1272" s="15"/>
      <c r="F1272" s="15" t="str">
        <f t="shared" si="1"/>
        <v/>
      </c>
      <c r="G1272" s="15">
        <f t="shared" si="2"/>
        <v>6.1</v>
      </c>
      <c r="H1272" s="16">
        <v>1.0</v>
      </c>
      <c r="I1272" s="15">
        <f t="shared" si="3"/>
        <v>3.21</v>
      </c>
      <c r="J1272" s="15">
        <v>13.38</v>
      </c>
      <c r="K1272" s="16">
        <f>IF(COUNTIFS(Release_Calendar!$A$2:$A$755,"US_CPI",Release_Calendar!$B$2:$B$755,$A1272)&gt;0,1,0)</f>
        <v>0</v>
      </c>
      <c r="L1272" s="16">
        <f>IF(COUNTIFS(Release_Calendar!$A$2:$A$755,"US_NFP",Release_Calendar!$B$2:$B$755,$A1272)&gt;0,1,0)</f>
        <v>0</v>
      </c>
      <c r="M1272" s="16" t="str">
        <f>IF($A1272&lt;Notes!$B$5,"",IF(COUNTIFS(Release_Calendar!$A$2:$A$755,"NZ_CPI",Release_Calendar!$B$2:$B$755,$A1272)&gt;0,1,0))</f>
        <v/>
      </c>
      <c r="N1272" s="16" t="str">
        <f>IF($A1272&lt;Notes!$B$5,"",IF(COUNTIFS(Release_Calendar!$A$2:$A$755,"NZ_GDP",Release_Calendar!$B$2:$B$755,$A1272)&gt;0,1,0))</f>
        <v/>
      </c>
      <c r="O1272" s="16" t="str">
        <f>IF($A1272&lt;Notes!$B$5,"",IF(COUNTIFS(Release_Calendar!$A$2:$A$755,"NZ_LABOUR",Release_Calendar!$B$2:$B$755,$A1272)&gt;0,1,0))</f>
        <v/>
      </c>
      <c r="P1272" s="16">
        <f t="shared" si="4"/>
        <v>0</v>
      </c>
    </row>
    <row r="1273" ht="15.75" customHeight="1">
      <c r="A1273" s="14">
        <v>38307.0</v>
      </c>
      <c r="B1273" s="15">
        <v>2.91</v>
      </c>
      <c r="C1273" s="15"/>
      <c r="D1273" s="15">
        <v>6.11</v>
      </c>
      <c r="E1273" s="15"/>
      <c r="F1273" s="15" t="str">
        <f t="shared" si="1"/>
        <v/>
      </c>
      <c r="G1273" s="15">
        <f t="shared" si="2"/>
        <v>6.11</v>
      </c>
      <c r="H1273" s="16">
        <v>1.0</v>
      </c>
      <c r="I1273" s="15">
        <f t="shared" si="3"/>
        <v>3.2</v>
      </c>
      <c r="J1273" s="15">
        <v>13.21</v>
      </c>
      <c r="K1273" s="16">
        <f>IF(COUNTIFS(Release_Calendar!$A$2:$A$755,"US_CPI",Release_Calendar!$B$2:$B$755,$A1273)&gt;0,1,0)</f>
        <v>0</v>
      </c>
      <c r="L1273" s="16">
        <f>IF(COUNTIFS(Release_Calendar!$A$2:$A$755,"US_NFP",Release_Calendar!$B$2:$B$755,$A1273)&gt;0,1,0)</f>
        <v>0</v>
      </c>
      <c r="M1273" s="16" t="str">
        <f>IF($A1273&lt;Notes!$B$5,"",IF(COUNTIFS(Release_Calendar!$A$2:$A$755,"NZ_CPI",Release_Calendar!$B$2:$B$755,$A1273)&gt;0,1,0))</f>
        <v/>
      </c>
      <c r="N1273" s="16" t="str">
        <f>IF($A1273&lt;Notes!$B$5,"",IF(COUNTIFS(Release_Calendar!$A$2:$A$755,"NZ_GDP",Release_Calendar!$B$2:$B$755,$A1273)&gt;0,1,0))</f>
        <v/>
      </c>
      <c r="O1273" s="16" t="str">
        <f>IF($A1273&lt;Notes!$B$5,"",IF(COUNTIFS(Release_Calendar!$A$2:$A$755,"NZ_LABOUR",Release_Calendar!$B$2:$B$755,$A1273)&gt;0,1,0))</f>
        <v/>
      </c>
      <c r="P1273" s="16">
        <f t="shared" si="4"/>
        <v>0</v>
      </c>
    </row>
    <row r="1274" ht="15.75" customHeight="1">
      <c r="A1274" s="14">
        <v>38308.0</v>
      </c>
      <c r="B1274" s="15">
        <v>2.85</v>
      </c>
      <c r="C1274" s="15"/>
      <c r="D1274" s="15">
        <v>6.11</v>
      </c>
      <c r="E1274" s="15"/>
      <c r="F1274" s="15" t="str">
        <f t="shared" si="1"/>
        <v/>
      </c>
      <c r="G1274" s="15">
        <f t="shared" si="2"/>
        <v>6.11</v>
      </c>
      <c r="H1274" s="16">
        <v>1.0</v>
      </c>
      <c r="I1274" s="15">
        <f t="shared" si="3"/>
        <v>3.26</v>
      </c>
      <c r="J1274" s="15">
        <v>13.21</v>
      </c>
      <c r="K1274" s="16">
        <f>IF(COUNTIFS(Release_Calendar!$A$2:$A$755,"US_CPI",Release_Calendar!$B$2:$B$755,$A1274)&gt;0,1,0)</f>
        <v>1</v>
      </c>
      <c r="L1274" s="16">
        <f>IF(COUNTIFS(Release_Calendar!$A$2:$A$755,"US_NFP",Release_Calendar!$B$2:$B$755,$A1274)&gt;0,1,0)</f>
        <v>0</v>
      </c>
      <c r="M1274" s="16" t="str">
        <f>IF($A1274&lt;Notes!$B$5,"",IF(COUNTIFS(Release_Calendar!$A$2:$A$755,"NZ_CPI",Release_Calendar!$B$2:$B$755,$A1274)&gt;0,1,0))</f>
        <v/>
      </c>
      <c r="N1274" s="16" t="str">
        <f>IF($A1274&lt;Notes!$B$5,"",IF(COUNTIFS(Release_Calendar!$A$2:$A$755,"NZ_GDP",Release_Calendar!$B$2:$B$755,$A1274)&gt;0,1,0))</f>
        <v/>
      </c>
      <c r="O1274" s="16" t="str">
        <f>IF($A1274&lt;Notes!$B$5,"",IF(COUNTIFS(Release_Calendar!$A$2:$A$755,"NZ_LABOUR",Release_Calendar!$B$2:$B$755,$A1274)&gt;0,1,0))</f>
        <v/>
      </c>
      <c r="P1274" s="16">
        <f t="shared" si="4"/>
        <v>1</v>
      </c>
    </row>
    <row r="1275" ht="15.75" customHeight="1">
      <c r="A1275" s="14">
        <v>38309.0</v>
      </c>
      <c r="B1275" s="15">
        <v>2.86</v>
      </c>
      <c r="C1275" s="15"/>
      <c r="D1275" s="15">
        <v>6.08</v>
      </c>
      <c r="E1275" s="15"/>
      <c r="F1275" s="15" t="str">
        <f t="shared" si="1"/>
        <v/>
      </c>
      <c r="G1275" s="15">
        <f t="shared" si="2"/>
        <v>6.08</v>
      </c>
      <c r="H1275" s="16">
        <v>1.0</v>
      </c>
      <c r="I1275" s="15">
        <f t="shared" si="3"/>
        <v>3.22</v>
      </c>
      <c r="J1275" s="15">
        <v>12.98</v>
      </c>
      <c r="K1275" s="16">
        <f>IF(COUNTIFS(Release_Calendar!$A$2:$A$755,"US_CPI",Release_Calendar!$B$2:$B$755,$A1275)&gt;0,1,0)</f>
        <v>0</v>
      </c>
      <c r="L1275" s="16">
        <f>IF(COUNTIFS(Release_Calendar!$A$2:$A$755,"US_NFP",Release_Calendar!$B$2:$B$755,$A1275)&gt;0,1,0)</f>
        <v>0</v>
      </c>
      <c r="M1275" s="16" t="str">
        <f>IF($A1275&lt;Notes!$B$5,"",IF(COUNTIFS(Release_Calendar!$A$2:$A$755,"NZ_CPI",Release_Calendar!$B$2:$B$755,$A1275)&gt;0,1,0))</f>
        <v/>
      </c>
      <c r="N1275" s="16" t="str">
        <f>IF($A1275&lt;Notes!$B$5,"",IF(COUNTIFS(Release_Calendar!$A$2:$A$755,"NZ_GDP",Release_Calendar!$B$2:$B$755,$A1275)&gt;0,1,0))</f>
        <v/>
      </c>
      <c r="O1275" s="16" t="str">
        <f>IF($A1275&lt;Notes!$B$5,"",IF(COUNTIFS(Release_Calendar!$A$2:$A$755,"NZ_LABOUR",Release_Calendar!$B$2:$B$755,$A1275)&gt;0,1,0))</f>
        <v/>
      </c>
      <c r="P1275" s="16">
        <f t="shared" si="4"/>
        <v>0</v>
      </c>
    </row>
    <row r="1276" ht="15.75" customHeight="1">
      <c r="A1276" s="14">
        <v>38310.0</v>
      </c>
      <c r="B1276" s="15">
        <v>2.95</v>
      </c>
      <c r="C1276" s="15"/>
      <c r="D1276" s="15">
        <v>6.09</v>
      </c>
      <c r="E1276" s="15"/>
      <c r="F1276" s="15" t="str">
        <f t="shared" si="1"/>
        <v/>
      </c>
      <c r="G1276" s="15">
        <f t="shared" si="2"/>
        <v>6.09</v>
      </c>
      <c r="H1276" s="16">
        <v>1.0</v>
      </c>
      <c r="I1276" s="15">
        <f t="shared" si="3"/>
        <v>3.14</v>
      </c>
      <c r="J1276" s="15">
        <v>13.5</v>
      </c>
      <c r="K1276" s="16">
        <f>IF(COUNTIFS(Release_Calendar!$A$2:$A$755,"US_CPI",Release_Calendar!$B$2:$B$755,$A1276)&gt;0,1,0)</f>
        <v>0</v>
      </c>
      <c r="L1276" s="16">
        <f>IF(COUNTIFS(Release_Calendar!$A$2:$A$755,"US_NFP",Release_Calendar!$B$2:$B$755,$A1276)&gt;0,1,0)</f>
        <v>0</v>
      </c>
      <c r="M1276" s="16" t="str">
        <f>IF($A1276&lt;Notes!$B$5,"",IF(COUNTIFS(Release_Calendar!$A$2:$A$755,"NZ_CPI",Release_Calendar!$B$2:$B$755,$A1276)&gt;0,1,0))</f>
        <v/>
      </c>
      <c r="N1276" s="16" t="str">
        <f>IF($A1276&lt;Notes!$B$5,"",IF(COUNTIFS(Release_Calendar!$A$2:$A$755,"NZ_GDP",Release_Calendar!$B$2:$B$755,$A1276)&gt;0,1,0))</f>
        <v/>
      </c>
      <c r="O1276" s="16" t="str">
        <f>IF($A1276&lt;Notes!$B$5,"",IF(COUNTIFS(Release_Calendar!$A$2:$A$755,"NZ_LABOUR",Release_Calendar!$B$2:$B$755,$A1276)&gt;0,1,0))</f>
        <v/>
      </c>
      <c r="P1276" s="16">
        <f t="shared" si="4"/>
        <v>0</v>
      </c>
    </row>
    <row r="1277" ht="15.75" customHeight="1">
      <c r="A1277" s="14">
        <v>38313.0</v>
      </c>
      <c r="B1277" s="15">
        <v>2.95</v>
      </c>
      <c r="C1277" s="15"/>
      <c r="D1277" s="15">
        <v>6.11</v>
      </c>
      <c r="E1277" s="15"/>
      <c r="F1277" s="15" t="str">
        <f t="shared" si="1"/>
        <v/>
      </c>
      <c r="G1277" s="15">
        <f t="shared" si="2"/>
        <v>6.11</v>
      </c>
      <c r="H1277" s="16">
        <v>1.0</v>
      </c>
      <c r="I1277" s="15">
        <f t="shared" si="3"/>
        <v>3.16</v>
      </c>
      <c r="J1277" s="15">
        <v>12.97</v>
      </c>
      <c r="K1277" s="16">
        <f>IF(COUNTIFS(Release_Calendar!$A$2:$A$755,"US_CPI",Release_Calendar!$B$2:$B$755,$A1277)&gt;0,1,0)</f>
        <v>0</v>
      </c>
      <c r="L1277" s="16">
        <f>IF(COUNTIFS(Release_Calendar!$A$2:$A$755,"US_NFP",Release_Calendar!$B$2:$B$755,$A1277)&gt;0,1,0)</f>
        <v>0</v>
      </c>
      <c r="M1277" s="16" t="str">
        <f>IF($A1277&lt;Notes!$B$5,"",IF(COUNTIFS(Release_Calendar!$A$2:$A$755,"NZ_CPI",Release_Calendar!$B$2:$B$755,$A1277)&gt;0,1,0))</f>
        <v/>
      </c>
      <c r="N1277" s="16" t="str">
        <f>IF($A1277&lt;Notes!$B$5,"",IF(COUNTIFS(Release_Calendar!$A$2:$A$755,"NZ_GDP",Release_Calendar!$B$2:$B$755,$A1277)&gt;0,1,0))</f>
        <v/>
      </c>
      <c r="O1277" s="16" t="str">
        <f>IF($A1277&lt;Notes!$B$5,"",IF(COUNTIFS(Release_Calendar!$A$2:$A$755,"NZ_LABOUR",Release_Calendar!$B$2:$B$755,$A1277)&gt;0,1,0))</f>
        <v/>
      </c>
      <c r="P1277" s="16">
        <f t="shared" si="4"/>
        <v>0</v>
      </c>
    </row>
    <row r="1278" ht="15.75" customHeight="1">
      <c r="A1278" s="14">
        <v>38314.0</v>
      </c>
      <c r="B1278" s="15">
        <v>2.98</v>
      </c>
      <c r="C1278" s="15"/>
      <c r="D1278" s="15">
        <v>6.12</v>
      </c>
      <c r="E1278" s="15"/>
      <c r="F1278" s="15" t="str">
        <f t="shared" si="1"/>
        <v/>
      </c>
      <c r="G1278" s="15">
        <f t="shared" si="2"/>
        <v>6.12</v>
      </c>
      <c r="H1278" s="16">
        <v>1.0</v>
      </c>
      <c r="I1278" s="15">
        <f t="shared" si="3"/>
        <v>3.14</v>
      </c>
      <c r="J1278" s="15">
        <v>12.67</v>
      </c>
      <c r="K1278" s="16">
        <f>IF(COUNTIFS(Release_Calendar!$A$2:$A$755,"US_CPI",Release_Calendar!$B$2:$B$755,$A1278)&gt;0,1,0)</f>
        <v>0</v>
      </c>
      <c r="L1278" s="16">
        <f>IF(COUNTIFS(Release_Calendar!$A$2:$A$755,"US_NFP",Release_Calendar!$B$2:$B$755,$A1278)&gt;0,1,0)</f>
        <v>0</v>
      </c>
      <c r="M1278" s="16" t="str">
        <f>IF($A1278&lt;Notes!$B$5,"",IF(COUNTIFS(Release_Calendar!$A$2:$A$755,"NZ_CPI",Release_Calendar!$B$2:$B$755,$A1278)&gt;0,1,0))</f>
        <v/>
      </c>
      <c r="N1278" s="16" t="str">
        <f>IF($A1278&lt;Notes!$B$5,"",IF(COUNTIFS(Release_Calendar!$A$2:$A$755,"NZ_GDP",Release_Calendar!$B$2:$B$755,$A1278)&gt;0,1,0))</f>
        <v/>
      </c>
      <c r="O1278" s="16" t="str">
        <f>IF($A1278&lt;Notes!$B$5,"",IF(COUNTIFS(Release_Calendar!$A$2:$A$755,"NZ_LABOUR",Release_Calendar!$B$2:$B$755,$A1278)&gt;0,1,0))</f>
        <v/>
      </c>
      <c r="P1278" s="16">
        <f t="shared" si="4"/>
        <v>0</v>
      </c>
    </row>
    <row r="1279" ht="15.75" customHeight="1">
      <c r="A1279" s="14">
        <v>38315.0</v>
      </c>
      <c r="B1279" s="15">
        <v>3.01</v>
      </c>
      <c r="C1279" s="15"/>
      <c r="D1279" s="15">
        <v>6.12</v>
      </c>
      <c r="E1279" s="15"/>
      <c r="F1279" s="15" t="str">
        <f t="shared" si="1"/>
        <v/>
      </c>
      <c r="G1279" s="15">
        <f t="shared" si="2"/>
        <v>6.12</v>
      </c>
      <c r="H1279" s="16">
        <v>1.0</v>
      </c>
      <c r="I1279" s="15">
        <f t="shared" si="3"/>
        <v>3.11</v>
      </c>
      <c r="J1279" s="15">
        <v>12.72</v>
      </c>
      <c r="K1279" s="16">
        <f>IF(COUNTIFS(Release_Calendar!$A$2:$A$755,"US_CPI",Release_Calendar!$B$2:$B$755,$A1279)&gt;0,1,0)</f>
        <v>0</v>
      </c>
      <c r="L1279" s="16">
        <f>IF(COUNTIFS(Release_Calendar!$A$2:$A$755,"US_NFP",Release_Calendar!$B$2:$B$755,$A1279)&gt;0,1,0)</f>
        <v>0</v>
      </c>
      <c r="M1279" s="16" t="str">
        <f>IF($A1279&lt;Notes!$B$5,"",IF(COUNTIFS(Release_Calendar!$A$2:$A$755,"NZ_CPI",Release_Calendar!$B$2:$B$755,$A1279)&gt;0,1,0))</f>
        <v/>
      </c>
      <c r="N1279" s="16" t="str">
        <f>IF($A1279&lt;Notes!$B$5,"",IF(COUNTIFS(Release_Calendar!$A$2:$A$755,"NZ_GDP",Release_Calendar!$B$2:$B$755,$A1279)&gt;0,1,0))</f>
        <v/>
      </c>
      <c r="O1279" s="16" t="str">
        <f>IF($A1279&lt;Notes!$B$5,"",IF(COUNTIFS(Release_Calendar!$A$2:$A$755,"NZ_LABOUR",Release_Calendar!$B$2:$B$755,$A1279)&gt;0,1,0))</f>
        <v/>
      </c>
      <c r="P1279" s="16">
        <f t="shared" si="4"/>
        <v>0</v>
      </c>
    </row>
    <row r="1280" ht="15.75" customHeight="1">
      <c r="A1280" s="14">
        <v>38316.0</v>
      </c>
      <c r="B1280" s="15"/>
      <c r="C1280" s="15"/>
      <c r="D1280" s="15">
        <v>6.1</v>
      </c>
      <c r="E1280" s="15"/>
      <c r="F1280" s="15" t="str">
        <f t="shared" si="1"/>
        <v/>
      </c>
      <c r="G1280" s="15">
        <f t="shared" si="2"/>
        <v>6.1</v>
      </c>
      <c r="H1280" s="16">
        <v>1.0</v>
      </c>
      <c r="I1280" s="15" t="str">
        <f t="shared" si="3"/>
        <v/>
      </c>
      <c r="J1280" s="15"/>
      <c r="K1280" s="16">
        <f>IF(COUNTIFS(Release_Calendar!$A$2:$A$755,"US_CPI",Release_Calendar!$B$2:$B$755,$A1280)&gt;0,1,0)</f>
        <v>0</v>
      </c>
      <c r="L1280" s="16">
        <f>IF(COUNTIFS(Release_Calendar!$A$2:$A$755,"US_NFP",Release_Calendar!$B$2:$B$755,$A1280)&gt;0,1,0)</f>
        <v>0</v>
      </c>
      <c r="M1280" s="16" t="str">
        <f>IF($A1280&lt;Notes!$B$5,"",IF(COUNTIFS(Release_Calendar!$A$2:$A$755,"NZ_CPI",Release_Calendar!$B$2:$B$755,$A1280)&gt;0,1,0))</f>
        <v/>
      </c>
      <c r="N1280" s="16" t="str">
        <f>IF($A1280&lt;Notes!$B$5,"",IF(COUNTIFS(Release_Calendar!$A$2:$A$755,"NZ_GDP",Release_Calendar!$B$2:$B$755,$A1280)&gt;0,1,0))</f>
        <v/>
      </c>
      <c r="O1280" s="16" t="str">
        <f>IF($A1280&lt;Notes!$B$5,"",IF(COUNTIFS(Release_Calendar!$A$2:$A$755,"NZ_LABOUR",Release_Calendar!$B$2:$B$755,$A1280)&gt;0,1,0))</f>
        <v/>
      </c>
      <c r="P1280" s="16">
        <f t="shared" si="4"/>
        <v>0</v>
      </c>
    </row>
    <row r="1281" ht="15.75" customHeight="1">
      <c r="A1281" s="14">
        <v>38317.0</v>
      </c>
      <c r="B1281" s="15">
        <v>3.03</v>
      </c>
      <c r="C1281" s="15"/>
      <c r="D1281" s="15">
        <v>6.06</v>
      </c>
      <c r="E1281" s="15"/>
      <c r="F1281" s="15" t="str">
        <f t="shared" si="1"/>
        <v/>
      </c>
      <c r="G1281" s="15">
        <f t="shared" si="2"/>
        <v>6.06</v>
      </c>
      <c r="H1281" s="16">
        <v>1.0</v>
      </c>
      <c r="I1281" s="15">
        <f t="shared" si="3"/>
        <v>3.03</v>
      </c>
      <c r="J1281" s="15">
        <v>12.79</v>
      </c>
      <c r="K1281" s="16">
        <f>IF(COUNTIFS(Release_Calendar!$A$2:$A$755,"US_CPI",Release_Calendar!$B$2:$B$755,$A1281)&gt;0,1,0)</f>
        <v>0</v>
      </c>
      <c r="L1281" s="16">
        <f>IF(COUNTIFS(Release_Calendar!$A$2:$A$755,"US_NFP",Release_Calendar!$B$2:$B$755,$A1281)&gt;0,1,0)</f>
        <v>0</v>
      </c>
      <c r="M1281" s="16" t="str">
        <f>IF($A1281&lt;Notes!$B$5,"",IF(COUNTIFS(Release_Calendar!$A$2:$A$755,"NZ_CPI",Release_Calendar!$B$2:$B$755,$A1281)&gt;0,1,0))</f>
        <v/>
      </c>
      <c r="N1281" s="16" t="str">
        <f>IF($A1281&lt;Notes!$B$5,"",IF(COUNTIFS(Release_Calendar!$A$2:$A$755,"NZ_GDP",Release_Calendar!$B$2:$B$755,$A1281)&gt;0,1,0))</f>
        <v/>
      </c>
      <c r="O1281" s="16" t="str">
        <f>IF($A1281&lt;Notes!$B$5,"",IF(COUNTIFS(Release_Calendar!$A$2:$A$755,"NZ_LABOUR",Release_Calendar!$B$2:$B$755,$A1281)&gt;0,1,0))</f>
        <v/>
      </c>
      <c r="P1281" s="16">
        <f t="shared" si="4"/>
        <v>0</v>
      </c>
    </row>
    <row r="1282" ht="15.75" customHeight="1">
      <c r="A1282" s="14">
        <v>38320.0</v>
      </c>
      <c r="B1282" s="15">
        <v>3.07</v>
      </c>
      <c r="C1282" s="15"/>
      <c r="D1282" s="15">
        <v>6.06</v>
      </c>
      <c r="E1282" s="15"/>
      <c r="F1282" s="15" t="str">
        <f t="shared" si="1"/>
        <v/>
      </c>
      <c r="G1282" s="15">
        <f t="shared" si="2"/>
        <v>6.06</v>
      </c>
      <c r="H1282" s="16">
        <v>1.0</v>
      </c>
      <c r="I1282" s="15">
        <f t="shared" si="3"/>
        <v>2.99</v>
      </c>
      <c r="J1282" s="15">
        <v>13.3</v>
      </c>
      <c r="K1282" s="16">
        <f>IF(COUNTIFS(Release_Calendar!$A$2:$A$755,"US_CPI",Release_Calendar!$B$2:$B$755,$A1282)&gt;0,1,0)</f>
        <v>0</v>
      </c>
      <c r="L1282" s="16">
        <f>IF(COUNTIFS(Release_Calendar!$A$2:$A$755,"US_NFP",Release_Calendar!$B$2:$B$755,$A1282)&gt;0,1,0)</f>
        <v>0</v>
      </c>
      <c r="M1282" s="16" t="str">
        <f>IF($A1282&lt;Notes!$B$5,"",IF(COUNTIFS(Release_Calendar!$A$2:$A$755,"NZ_CPI",Release_Calendar!$B$2:$B$755,$A1282)&gt;0,1,0))</f>
        <v/>
      </c>
      <c r="N1282" s="16" t="str">
        <f>IF($A1282&lt;Notes!$B$5,"",IF(COUNTIFS(Release_Calendar!$A$2:$A$755,"NZ_GDP",Release_Calendar!$B$2:$B$755,$A1282)&gt;0,1,0))</f>
        <v/>
      </c>
      <c r="O1282" s="16" t="str">
        <f>IF($A1282&lt;Notes!$B$5,"",IF(COUNTIFS(Release_Calendar!$A$2:$A$755,"NZ_LABOUR",Release_Calendar!$B$2:$B$755,$A1282)&gt;0,1,0))</f>
        <v/>
      </c>
      <c r="P1282" s="16">
        <f t="shared" si="4"/>
        <v>0</v>
      </c>
    </row>
    <row r="1283" ht="15.75" customHeight="1">
      <c r="A1283" s="14">
        <v>38321.0</v>
      </c>
      <c r="B1283" s="15">
        <v>3.02</v>
      </c>
      <c r="C1283" s="15"/>
      <c r="D1283" s="15">
        <v>6.06</v>
      </c>
      <c r="E1283" s="15"/>
      <c r="F1283" s="15" t="str">
        <f t="shared" si="1"/>
        <v/>
      </c>
      <c r="G1283" s="15">
        <f t="shared" si="2"/>
        <v>6.06</v>
      </c>
      <c r="H1283" s="16">
        <v>1.0</v>
      </c>
      <c r="I1283" s="15">
        <f t="shared" si="3"/>
        <v>3.04</v>
      </c>
      <c r="J1283" s="15">
        <v>13.24</v>
      </c>
      <c r="K1283" s="16">
        <f>IF(COUNTIFS(Release_Calendar!$A$2:$A$755,"US_CPI",Release_Calendar!$B$2:$B$755,$A1283)&gt;0,1,0)</f>
        <v>0</v>
      </c>
      <c r="L1283" s="16">
        <f>IF(COUNTIFS(Release_Calendar!$A$2:$A$755,"US_NFP",Release_Calendar!$B$2:$B$755,$A1283)&gt;0,1,0)</f>
        <v>0</v>
      </c>
      <c r="M1283" s="16" t="str">
        <f>IF($A1283&lt;Notes!$B$5,"",IF(COUNTIFS(Release_Calendar!$A$2:$A$755,"NZ_CPI",Release_Calendar!$B$2:$B$755,$A1283)&gt;0,1,0))</f>
        <v/>
      </c>
      <c r="N1283" s="16" t="str">
        <f>IF($A1283&lt;Notes!$B$5,"",IF(COUNTIFS(Release_Calendar!$A$2:$A$755,"NZ_GDP",Release_Calendar!$B$2:$B$755,$A1283)&gt;0,1,0))</f>
        <v/>
      </c>
      <c r="O1283" s="16" t="str">
        <f>IF($A1283&lt;Notes!$B$5,"",IF(COUNTIFS(Release_Calendar!$A$2:$A$755,"NZ_LABOUR",Release_Calendar!$B$2:$B$755,$A1283)&gt;0,1,0))</f>
        <v/>
      </c>
      <c r="P1283" s="16">
        <f t="shared" si="4"/>
        <v>0</v>
      </c>
    </row>
    <row r="1284" ht="15.75" customHeight="1">
      <c r="A1284" s="14">
        <v>38322.0</v>
      </c>
      <c r="B1284" s="15">
        <v>3.01</v>
      </c>
      <c r="C1284" s="15"/>
      <c r="D1284" s="15">
        <v>6.03</v>
      </c>
      <c r="E1284" s="15"/>
      <c r="F1284" s="15" t="str">
        <f t="shared" si="1"/>
        <v/>
      </c>
      <c r="G1284" s="15">
        <f t="shared" si="2"/>
        <v>6.03</v>
      </c>
      <c r="H1284" s="16">
        <v>1.0</v>
      </c>
      <c r="I1284" s="15">
        <f t="shared" si="3"/>
        <v>3.02</v>
      </c>
      <c r="J1284" s="15">
        <v>12.97</v>
      </c>
      <c r="K1284" s="16">
        <f>IF(COUNTIFS(Release_Calendar!$A$2:$A$755,"US_CPI",Release_Calendar!$B$2:$B$755,$A1284)&gt;0,1,0)</f>
        <v>0</v>
      </c>
      <c r="L1284" s="16">
        <f>IF(COUNTIFS(Release_Calendar!$A$2:$A$755,"US_NFP",Release_Calendar!$B$2:$B$755,$A1284)&gt;0,1,0)</f>
        <v>0</v>
      </c>
      <c r="M1284" s="16" t="str">
        <f>IF($A1284&lt;Notes!$B$5,"",IF(COUNTIFS(Release_Calendar!$A$2:$A$755,"NZ_CPI",Release_Calendar!$B$2:$B$755,$A1284)&gt;0,1,0))</f>
        <v/>
      </c>
      <c r="N1284" s="16" t="str">
        <f>IF($A1284&lt;Notes!$B$5,"",IF(COUNTIFS(Release_Calendar!$A$2:$A$755,"NZ_GDP",Release_Calendar!$B$2:$B$755,$A1284)&gt;0,1,0))</f>
        <v/>
      </c>
      <c r="O1284" s="16" t="str">
        <f>IF($A1284&lt;Notes!$B$5,"",IF(COUNTIFS(Release_Calendar!$A$2:$A$755,"NZ_LABOUR",Release_Calendar!$B$2:$B$755,$A1284)&gt;0,1,0))</f>
        <v/>
      </c>
      <c r="P1284" s="16">
        <f t="shared" si="4"/>
        <v>0</v>
      </c>
    </row>
    <row r="1285" ht="15.75" customHeight="1">
      <c r="A1285" s="14">
        <v>38323.0</v>
      </c>
      <c r="B1285" s="15">
        <v>3.04</v>
      </c>
      <c r="C1285" s="15"/>
      <c r="D1285" s="15">
        <v>6.04</v>
      </c>
      <c r="E1285" s="15"/>
      <c r="F1285" s="15" t="str">
        <f t="shared" si="1"/>
        <v/>
      </c>
      <c r="G1285" s="15">
        <f t="shared" si="2"/>
        <v>6.04</v>
      </c>
      <c r="H1285" s="16">
        <v>1.0</v>
      </c>
      <c r="I1285" s="15">
        <f t="shared" si="3"/>
        <v>3</v>
      </c>
      <c r="J1285" s="15">
        <v>12.98</v>
      </c>
      <c r="K1285" s="16">
        <f>IF(COUNTIFS(Release_Calendar!$A$2:$A$755,"US_CPI",Release_Calendar!$B$2:$B$755,$A1285)&gt;0,1,0)</f>
        <v>0</v>
      </c>
      <c r="L1285" s="16">
        <f>IF(COUNTIFS(Release_Calendar!$A$2:$A$755,"US_NFP",Release_Calendar!$B$2:$B$755,$A1285)&gt;0,1,0)</f>
        <v>0</v>
      </c>
      <c r="M1285" s="16" t="str">
        <f>IF($A1285&lt;Notes!$B$5,"",IF(COUNTIFS(Release_Calendar!$A$2:$A$755,"NZ_CPI",Release_Calendar!$B$2:$B$755,$A1285)&gt;0,1,0))</f>
        <v/>
      </c>
      <c r="N1285" s="16" t="str">
        <f>IF($A1285&lt;Notes!$B$5,"",IF(COUNTIFS(Release_Calendar!$A$2:$A$755,"NZ_GDP",Release_Calendar!$B$2:$B$755,$A1285)&gt;0,1,0))</f>
        <v/>
      </c>
      <c r="O1285" s="16" t="str">
        <f>IF($A1285&lt;Notes!$B$5,"",IF(COUNTIFS(Release_Calendar!$A$2:$A$755,"NZ_LABOUR",Release_Calendar!$B$2:$B$755,$A1285)&gt;0,1,0))</f>
        <v/>
      </c>
      <c r="P1285" s="16">
        <f t="shared" si="4"/>
        <v>0</v>
      </c>
    </row>
    <row r="1286" ht="15.75" customHeight="1">
      <c r="A1286" s="14">
        <v>38324.0</v>
      </c>
      <c r="B1286" s="15">
        <v>2.94</v>
      </c>
      <c r="C1286" s="15"/>
      <c r="D1286" s="15">
        <v>6.05</v>
      </c>
      <c r="E1286" s="15"/>
      <c r="F1286" s="15" t="str">
        <f t="shared" si="1"/>
        <v/>
      </c>
      <c r="G1286" s="15">
        <f t="shared" si="2"/>
        <v>6.05</v>
      </c>
      <c r="H1286" s="16">
        <v>1.0</v>
      </c>
      <c r="I1286" s="15">
        <f t="shared" si="3"/>
        <v>3.11</v>
      </c>
      <c r="J1286" s="15">
        <v>12.96</v>
      </c>
      <c r="K1286" s="16">
        <f>IF(COUNTIFS(Release_Calendar!$A$2:$A$755,"US_CPI",Release_Calendar!$B$2:$B$755,$A1286)&gt;0,1,0)</f>
        <v>0</v>
      </c>
      <c r="L1286" s="16">
        <f>IF(COUNTIFS(Release_Calendar!$A$2:$A$755,"US_NFP",Release_Calendar!$B$2:$B$755,$A1286)&gt;0,1,0)</f>
        <v>1</v>
      </c>
      <c r="M1286" s="16" t="str">
        <f>IF($A1286&lt;Notes!$B$5,"",IF(COUNTIFS(Release_Calendar!$A$2:$A$755,"NZ_CPI",Release_Calendar!$B$2:$B$755,$A1286)&gt;0,1,0))</f>
        <v/>
      </c>
      <c r="N1286" s="16" t="str">
        <f>IF($A1286&lt;Notes!$B$5,"",IF(COUNTIFS(Release_Calendar!$A$2:$A$755,"NZ_GDP",Release_Calendar!$B$2:$B$755,$A1286)&gt;0,1,0))</f>
        <v/>
      </c>
      <c r="O1286" s="16" t="str">
        <f>IF($A1286&lt;Notes!$B$5,"",IF(COUNTIFS(Release_Calendar!$A$2:$A$755,"NZ_LABOUR",Release_Calendar!$B$2:$B$755,$A1286)&gt;0,1,0))</f>
        <v/>
      </c>
      <c r="P1286" s="16">
        <f t="shared" si="4"/>
        <v>1</v>
      </c>
    </row>
    <row r="1287" ht="15.75" customHeight="1">
      <c r="A1287" s="14">
        <v>38327.0</v>
      </c>
      <c r="B1287" s="15">
        <v>2.93</v>
      </c>
      <c r="C1287" s="15"/>
      <c r="D1287" s="15">
        <v>6.03</v>
      </c>
      <c r="E1287" s="15"/>
      <c r="F1287" s="15" t="str">
        <f t="shared" si="1"/>
        <v/>
      </c>
      <c r="G1287" s="15">
        <f t="shared" si="2"/>
        <v>6.03</v>
      </c>
      <c r="H1287" s="16">
        <v>1.0</v>
      </c>
      <c r="I1287" s="15">
        <f t="shared" si="3"/>
        <v>3.1</v>
      </c>
      <c r="J1287" s="15">
        <v>13.19</v>
      </c>
      <c r="K1287" s="16">
        <f>IF(COUNTIFS(Release_Calendar!$A$2:$A$755,"US_CPI",Release_Calendar!$B$2:$B$755,$A1287)&gt;0,1,0)</f>
        <v>0</v>
      </c>
      <c r="L1287" s="16">
        <f>IF(COUNTIFS(Release_Calendar!$A$2:$A$755,"US_NFP",Release_Calendar!$B$2:$B$755,$A1287)&gt;0,1,0)</f>
        <v>0</v>
      </c>
      <c r="M1287" s="16" t="str">
        <f>IF($A1287&lt;Notes!$B$5,"",IF(COUNTIFS(Release_Calendar!$A$2:$A$755,"NZ_CPI",Release_Calendar!$B$2:$B$755,$A1287)&gt;0,1,0))</f>
        <v/>
      </c>
      <c r="N1287" s="16" t="str">
        <f>IF($A1287&lt;Notes!$B$5,"",IF(COUNTIFS(Release_Calendar!$A$2:$A$755,"NZ_GDP",Release_Calendar!$B$2:$B$755,$A1287)&gt;0,1,0))</f>
        <v/>
      </c>
      <c r="O1287" s="16" t="str">
        <f>IF($A1287&lt;Notes!$B$5,"",IF(COUNTIFS(Release_Calendar!$A$2:$A$755,"NZ_LABOUR",Release_Calendar!$B$2:$B$755,$A1287)&gt;0,1,0))</f>
        <v/>
      </c>
      <c r="P1287" s="16">
        <f t="shared" si="4"/>
        <v>0</v>
      </c>
    </row>
    <row r="1288" ht="15.75" customHeight="1">
      <c r="A1288" s="14">
        <v>38328.0</v>
      </c>
      <c r="B1288" s="15">
        <v>2.95</v>
      </c>
      <c r="C1288" s="15"/>
      <c r="D1288" s="15">
        <v>6.04</v>
      </c>
      <c r="E1288" s="15"/>
      <c r="F1288" s="15" t="str">
        <f t="shared" si="1"/>
        <v/>
      </c>
      <c r="G1288" s="15">
        <f t="shared" si="2"/>
        <v>6.04</v>
      </c>
      <c r="H1288" s="16">
        <v>1.0</v>
      </c>
      <c r="I1288" s="15">
        <f t="shared" si="3"/>
        <v>3.09</v>
      </c>
      <c r="J1288" s="15">
        <v>13.67</v>
      </c>
      <c r="K1288" s="16">
        <f>IF(COUNTIFS(Release_Calendar!$A$2:$A$755,"US_CPI",Release_Calendar!$B$2:$B$755,$A1288)&gt;0,1,0)</f>
        <v>0</v>
      </c>
      <c r="L1288" s="16">
        <f>IF(COUNTIFS(Release_Calendar!$A$2:$A$755,"US_NFP",Release_Calendar!$B$2:$B$755,$A1288)&gt;0,1,0)</f>
        <v>0</v>
      </c>
      <c r="M1288" s="16" t="str">
        <f>IF($A1288&lt;Notes!$B$5,"",IF(COUNTIFS(Release_Calendar!$A$2:$A$755,"NZ_CPI",Release_Calendar!$B$2:$B$755,$A1288)&gt;0,1,0))</f>
        <v/>
      </c>
      <c r="N1288" s="16" t="str">
        <f>IF($A1288&lt;Notes!$B$5,"",IF(COUNTIFS(Release_Calendar!$A$2:$A$755,"NZ_GDP",Release_Calendar!$B$2:$B$755,$A1288)&gt;0,1,0))</f>
        <v/>
      </c>
      <c r="O1288" s="16" t="str">
        <f>IF($A1288&lt;Notes!$B$5,"",IF(COUNTIFS(Release_Calendar!$A$2:$A$755,"NZ_LABOUR",Release_Calendar!$B$2:$B$755,$A1288)&gt;0,1,0))</f>
        <v/>
      </c>
      <c r="P1288" s="16">
        <f t="shared" si="4"/>
        <v>0</v>
      </c>
    </row>
    <row r="1289" ht="15.75" customHeight="1">
      <c r="A1289" s="14">
        <v>38329.0</v>
      </c>
      <c r="B1289" s="15">
        <v>2.91</v>
      </c>
      <c r="C1289" s="15"/>
      <c r="D1289" s="15">
        <v>6.05</v>
      </c>
      <c r="E1289" s="15"/>
      <c r="F1289" s="15" t="str">
        <f t="shared" si="1"/>
        <v/>
      </c>
      <c r="G1289" s="15">
        <f t="shared" si="2"/>
        <v>6.05</v>
      </c>
      <c r="H1289" s="16">
        <v>1.0</v>
      </c>
      <c r="I1289" s="15">
        <f t="shared" si="3"/>
        <v>3.14</v>
      </c>
      <c r="J1289" s="15">
        <v>13.19</v>
      </c>
      <c r="K1289" s="16">
        <f>IF(COUNTIFS(Release_Calendar!$A$2:$A$755,"US_CPI",Release_Calendar!$B$2:$B$755,$A1289)&gt;0,1,0)</f>
        <v>0</v>
      </c>
      <c r="L1289" s="16">
        <f>IF(COUNTIFS(Release_Calendar!$A$2:$A$755,"US_NFP",Release_Calendar!$B$2:$B$755,$A1289)&gt;0,1,0)</f>
        <v>0</v>
      </c>
      <c r="M1289" s="16" t="str">
        <f>IF($A1289&lt;Notes!$B$5,"",IF(COUNTIFS(Release_Calendar!$A$2:$A$755,"NZ_CPI",Release_Calendar!$B$2:$B$755,$A1289)&gt;0,1,0))</f>
        <v/>
      </c>
      <c r="N1289" s="16" t="str">
        <f>IF($A1289&lt;Notes!$B$5,"",IF(COUNTIFS(Release_Calendar!$A$2:$A$755,"NZ_GDP",Release_Calendar!$B$2:$B$755,$A1289)&gt;0,1,0))</f>
        <v/>
      </c>
      <c r="O1289" s="16" t="str">
        <f>IF($A1289&lt;Notes!$B$5,"",IF(COUNTIFS(Release_Calendar!$A$2:$A$755,"NZ_LABOUR",Release_Calendar!$B$2:$B$755,$A1289)&gt;0,1,0))</f>
        <v/>
      </c>
      <c r="P1289" s="16">
        <f t="shared" si="4"/>
        <v>0</v>
      </c>
    </row>
    <row r="1290" ht="15.75" customHeight="1">
      <c r="A1290" s="14">
        <v>38330.0</v>
      </c>
      <c r="B1290" s="15">
        <v>2.93</v>
      </c>
      <c r="C1290" s="15"/>
      <c r="D1290" s="15">
        <v>6.09</v>
      </c>
      <c r="E1290" s="15"/>
      <c r="F1290" s="15" t="str">
        <f t="shared" si="1"/>
        <v/>
      </c>
      <c r="G1290" s="15">
        <f t="shared" si="2"/>
        <v>6.09</v>
      </c>
      <c r="H1290" s="16">
        <v>1.0</v>
      </c>
      <c r="I1290" s="15">
        <f t="shared" si="3"/>
        <v>3.16</v>
      </c>
      <c r="J1290" s="15">
        <v>12.88</v>
      </c>
      <c r="K1290" s="16">
        <f>IF(COUNTIFS(Release_Calendar!$A$2:$A$755,"US_CPI",Release_Calendar!$B$2:$B$755,$A1290)&gt;0,1,0)</f>
        <v>0</v>
      </c>
      <c r="L1290" s="16">
        <f>IF(COUNTIFS(Release_Calendar!$A$2:$A$755,"US_NFP",Release_Calendar!$B$2:$B$755,$A1290)&gt;0,1,0)</f>
        <v>0</v>
      </c>
      <c r="M1290" s="16" t="str">
        <f>IF($A1290&lt;Notes!$B$5,"",IF(COUNTIFS(Release_Calendar!$A$2:$A$755,"NZ_CPI",Release_Calendar!$B$2:$B$755,$A1290)&gt;0,1,0))</f>
        <v/>
      </c>
      <c r="N1290" s="16" t="str">
        <f>IF($A1290&lt;Notes!$B$5,"",IF(COUNTIFS(Release_Calendar!$A$2:$A$755,"NZ_GDP",Release_Calendar!$B$2:$B$755,$A1290)&gt;0,1,0))</f>
        <v/>
      </c>
      <c r="O1290" s="16" t="str">
        <f>IF($A1290&lt;Notes!$B$5,"",IF(COUNTIFS(Release_Calendar!$A$2:$A$755,"NZ_LABOUR",Release_Calendar!$B$2:$B$755,$A1290)&gt;0,1,0))</f>
        <v/>
      </c>
      <c r="P1290" s="16">
        <f t="shared" si="4"/>
        <v>0</v>
      </c>
    </row>
    <row r="1291" ht="15.75" customHeight="1">
      <c r="A1291" s="14">
        <v>38331.0</v>
      </c>
      <c r="B1291" s="15">
        <v>2.95</v>
      </c>
      <c r="C1291" s="15"/>
      <c r="D1291" s="15">
        <v>6.11</v>
      </c>
      <c r="E1291" s="15"/>
      <c r="F1291" s="15" t="str">
        <f t="shared" si="1"/>
        <v/>
      </c>
      <c r="G1291" s="15">
        <f t="shared" si="2"/>
        <v>6.11</v>
      </c>
      <c r="H1291" s="16">
        <v>1.0</v>
      </c>
      <c r="I1291" s="15">
        <f t="shared" si="3"/>
        <v>3.16</v>
      </c>
      <c r="J1291" s="15">
        <v>12.76</v>
      </c>
      <c r="K1291" s="16">
        <f>IF(COUNTIFS(Release_Calendar!$A$2:$A$755,"US_CPI",Release_Calendar!$B$2:$B$755,$A1291)&gt;0,1,0)</f>
        <v>0</v>
      </c>
      <c r="L1291" s="16">
        <f>IF(COUNTIFS(Release_Calendar!$A$2:$A$755,"US_NFP",Release_Calendar!$B$2:$B$755,$A1291)&gt;0,1,0)</f>
        <v>0</v>
      </c>
      <c r="M1291" s="16" t="str">
        <f>IF($A1291&lt;Notes!$B$5,"",IF(COUNTIFS(Release_Calendar!$A$2:$A$755,"NZ_CPI",Release_Calendar!$B$2:$B$755,$A1291)&gt;0,1,0))</f>
        <v/>
      </c>
      <c r="N1291" s="16" t="str">
        <f>IF($A1291&lt;Notes!$B$5,"",IF(COUNTIFS(Release_Calendar!$A$2:$A$755,"NZ_GDP",Release_Calendar!$B$2:$B$755,$A1291)&gt;0,1,0))</f>
        <v/>
      </c>
      <c r="O1291" s="16" t="str">
        <f>IF($A1291&lt;Notes!$B$5,"",IF(COUNTIFS(Release_Calendar!$A$2:$A$755,"NZ_LABOUR",Release_Calendar!$B$2:$B$755,$A1291)&gt;0,1,0))</f>
        <v/>
      </c>
      <c r="P1291" s="16">
        <f t="shared" si="4"/>
        <v>0</v>
      </c>
    </row>
    <row r="1292" ht="15.75" customHeight="1">
      <c r="A1292" s="14">
        <v>38334.0</v>
      </c>
      <c r="B1292" s="15">
        <v>2.98</v>
      </c>
      <c r="C1292" s="15"/>
      <c r="D1292" s="15">
        <v>6.11</v>
      </c>
      <c r="E1292" s="15"/>
      <c r="F1292" s="15" t="str">
        <f t="shared" si="1"/>
        <v/>
      </c>
      <c r="G1292" s="15">
        <f t="shared" si="2"/>
        <v>6.11</v>
      </c>
      <c r="H1292" s="16">
        <v>1.0</v>
      </c>
      <c r="I1292" s="15">
        <f t="shared" si="3"/>
        <v>3.13</v>
      </c>
      <c r="J1292" s="15">
        <v>12.54</v>
      </c>
      <c r="K1292" s="16">
        <f>IF(COUNTIFS(Release_Calendar!$A$2:$A$755,"US_CPI",Release_Calendar!$B$2:$B$755,$A1292)&gt;0,1,0)</f>
        <v>0</v>
      </c>
      <c r="L1292" s="16">
        <f>IF(COUNTIFS(Release_Calendar!$A$2:$A$755,"US_NFP",Release_Calendar!$B$2:$B$755,$A1292)&gt;0,1,0)</f>
        <v>0</v>
      </c>
      <c r="M1292" s="16" t="str">
        <f>IF($A1292&lt;Notes!$B$5,"",IF(COUNTIFS(Release_Calendar!$A$2:$A$755,"NZ_CPI",Release_Calendar!$B$2:$B$755,$A1292)&gt;0,1,0))</f>
        <v/>
      </c>
      <c r="N1292" s="16" t="str">
        <f>IF($A1292&lt;Notes!$B$5,"",IF(COUNTIFS(Release_Calendar!$A$2:$A$755,"NZ_GDP",Release_Calendar!$B$2:$B$755,$A1292)&gt;0,1,0))</f>
        <v/>
      </c>
      <c r="O1292" s="16" t="str">
        <f>IF($A1292&lt;Notes!$B$5,"",IF(COUNTIFS(Release_Calendar!$A$2:$A$755,"NZ_LABOUR",Release_Calendar!$B$2:$B$755,$A1292)&gt;0,1,0))</f>
        <v/>
      </c>
      <c r="P1292" s="16">
        <f t="shared" si="4"/>
        <v>0</v>
      </c>
    </row>
    <row r="1293" ht="15.75" customHeight="1">
      <c r="A1293" s="14">
        <v>38335.0</v>
      </c>
      <c r="B1293" s="15">
        <v>2.99</v>
      </c>
      <c r="C1293" s="15"/>
      <c r="D1293" s="15">
        <v>6.12</v>
      </c>
      <c r="E1293" s="15"/>
      <c r="F1293" s="15" t="str">
        <f t="shared" si="1"/>
        <v/>
      </c>
      <c r="G1293" s="15">
        <f t="shared" si="2"/>
        <v>6.12</v>
      </c>
      <c r="H1293" s="16">
        <v>1.0</v>
      </c>
      <c r="I1293" s="15">
        <f t="shared" si="3"/>
        <v>3.13</v>
      </c>
      <c r="J1293" s="15">
        <v>12.73</v>
      </c>
      <c r="K1293" s="16">
        <f>IF(COUNTIFS(Release_Calendar!$A$2:$A$755,"US_CPI",Release_Calendar!$B$2:$B$755,$A1293)&gt;0,1,0)</f>
        <v>0</v>
      </c>
      <c r="L1293" s="16">
        <f>IF(COUNTIFS(Release_Calendar!$A$2:$A$755,"US_NFP",Release_Calendar!$B$2:$B$755,$A1293)&gt;0,1,0)</f>
        <v>0</v>
      </c>
      <c r="M1293" s="16" t="str">
        <f>IF($A1293&lt;Notes!$B$5,"",IF(COUNTIFS(Release_Calendar!$A$2:$A$755,"NZ_CPI",Release_Calendar!$B$2:$B$755,$A1293)&gt;0,1,0))</f>
        <v/>
      </c>
      <c r="N1293" s="16" t="str">
        <f>IF($A1293&lt;Notes!$B$5,"",IF(COUNTIFS(Release_Calendar!$A$2:$A$755,"NZ_GDP",Release_Calendar!$B$2:$B$755,$A1293)&gt;0,1,0))</f>
        <v/>
      </c>
      <c r="O1293" s="16" t="str">
        <f>IF($A1293&lt;Notes!$B$5,"",IF(COUNTIFS(Release_Calendar!$A$2:$A$755,"NZ_LABOUR",Release_Calendar!$B$2:$B$755,$A1293)&gt;0,1,0))</f>
        <v/>
      </c>
      <c r="P1293" s="16">
        <f t="shared" si="4"/>
        <v>0</v>
      </c>
    </row>
    <row r="1294" ht="15.75" customHeight="1">
      <c r="A1294" s="14">
        <v>38336.0</v>
      </c>
      <c r="B1294" s="15">
        <v>2.97</v>
      </c>
      <c r="C1294" s="15"/>
      <c r="D1294" s="15">
        <v>6.11</v>
      </c>
      <c r="E1294" s="15"/>
      <c r="F1294" s="15" t="str">
        <f t="shared" si="1"/>
        <v/>
      </c>
      <c r="G1294" s="15">
        <f t="shared" si="2"/>
        <v>6.11</v>
      </c>
      <c r="H1294" s="16">
        <v>1.0</v>
      </c>
      <c r="I1294" s="15">
        <f t="shared" si="3"/>
        <v>3.14</v>
      </c>
      <c r="J1294" s="15">
        <v>12.35</v>
      </c>
      <c r="K1294" s="16">
        <f>IF(COUNTIFS(Release_Calendar!$A$2:$A$755,"US_CPI",Release_Calendar!$B$2:$B$755,$A1294)&gt;0,1,0)</f>
        <v>0</v>
      </c>
      <c r="L1294" s="16">
        <f>IF(COUNTIFS(Release_Calendar!$A$2:$A$755,"US_NFP",Release_Calendar!$B$2:$B$755,$A1294)&gt;0,1,0)</f>
        <v>0</v>
      </c>
      <c r="M1294" s="16" t="str">
        <f>IF($A1294&lt;Notes!$B$5,"",IF(COUNTIFS(Release_Calendar!$A$2:$A$755,"NZ_CPI",Release_Calendar!$B$2:$B$755,$A1294)&gt;0,1,0))</f>
        <v/>
      </c>
      <c r="N1294" s="16" t="str">
        <f>IF($A1294&lt;Notes!$B$5,"",IF(COUNTIFS(Release_Calendar!$A$2:$A$755,"NZ_GDP",Release_Calendar!$B$2:$B$755,$A1294)&gt;0,1,0))</f>
        <v/>
      </c>
      <c r="O1294" s="16" t="str">
        <f>IF($A1294&lt;Notes!$B$5,"",IF(COUNTIFS(Release_Calendar!$A$2:$A$755,"NZ_LABOUR",Release_Calendar!$B$2:$B$755,$A1294)&gt;0,1,0))</f>
        <v/>
      </c>
      <c r="P1294" s="16">
        <f t="shared" si="4"/>
        <v>0</v>
      </c>
    </row>
    <row r="1295" ht="15.75" customHeight="1">
      <c r="A1295" s="14">
        <v>38337.0</v>
      </c>
      <c r="B1295" s="15">
        <v>3.01</v>
      </c>
      <c r="C1295" s="15"/>
      <c r="D1295" s="15">
        <v>6.11</v>
      </c>
      <c r="E1295" s="15"/>
      <c r="F1295" s="15" t="str">
        <f t="shared" si="1"/>
        <v/>
      </c>
      <c r="G1295" s="15">
        <f t="shared" si="2"/>
        <v>6.11</v>
      </c>
      <c r="H1295" s="16">
        <v>1.0</v>
      </c>
      <c r="I1295" s="15">
        <f t="shared" si="3"/>
        <v>3.1</v>
      </c>
      <c r="J1295" s="15">
        <v>12.27</v>
      </c>
      <c r="K1295" s="16">
        <f>IF(COUNTIFS(Release_Calendar!$A$2:$A$755,"US_CPI",Release_Calendar!$B$2:$B$755,$A1295)&gt;0,1,0)</f>
        <v>0</v>
      </c>
      <c r="L1295" s="16">
        <f>IF(COUNTIFS(Release_Calendar!$A$2:$A$755,"US_NFP",Release_Calendar!$B$2:$B$755,$A1295)&gt;0,1,0)</f>
        <v>0</v>
      </c>
      <c r="M1295" s="16" t="str">
        <f>IF($A1295&lt;Notes!$B$5,"",IF(COUNTIFS(Release_Calendar!$A$2:$A$755,"NZ_CPI",Release_Calendar!$B$2:$B$755,$A1295)&gt;0,1,0))</f>
        <v/>
      </c>
      <c r="N1295" s="16" t="str">
        <f>IF($A1295&lt;Notes!$B$5,"",IF(COUNTIFS(Release_Calendar!$A$2:$A$755,"NZ_GDP",Release_Calendar!$B$2:$B$755,$A1295)&gt;0,1,0))</f>
        <v/>
      </c>
      <c r="O1295" s="16" t="str">
        <f>IF($A1295&lt;Notes!$B$5,"",IF(COUNTIFS(Release_Calendar!$A$2:$A$755,"NZ_LABOUR",Release_Calendar!$B$2:$B$755,$A1295)&gt;0,1,0))</f>
        <v/>
      </c>
      <c r="P1295" s="16">
        <f t="shared" si="4"/>
        <v>0</v>
      </c>
    </row>
    <row r="1296" ht="15.75" customHeight="1">
      <c r="A1296" s="14">
        <v>38338.0</v>
      </c>
      <c r="B1296" s="15">
        <v>3.03</v>
      </c>
      <c r="C1296" s="15"/>
      <c r="D1296" s="15">
        <v>6.13</v>
      </c>
      <c r="E1296" s="15"/>
      <c r="F1296" s="15" t="str">
        <f t="shared" si="1"/>
        <v/>
      </c>
      <c r="G1296" s="15">
        <f t="shared" si="2"/>
        <v>6.13</v>
      </c>
      <c r="H1296" s="16">
        <v>1.0</v>
      </c>
      <c r="I1296" s="15">
        <f t="shared" si="3"/>
        <v>3.1</v>
      </c>
      <c r="J1296" s="15">
        <v>11.95</v>
      </c>
      <c r="K1296" s="16">
        <f>IF(COUNTIFS(Release_Calendar!$A$2:$A$755,"US_CPI",Release_Calendar!$B$2:$B$755,$A1296)&gt;0,1,0)</f>
        <v>1</v>
      </c>
      <c r="L1296" s="16">
        <f>IF(COUNTIFS(Release_Calendar!$A$2:$A$755,"US_NFP",Release_Calendar!$B$2:$B$755,$A1296)&gt;0,1,0)</f>
        <v>0</v>
      </c>
      <c r="M1296" s="16" t="str">
        <f>IF($A1296&lt;Notes!$B$5,"",IF(COUNTIFS(Release_Calendar!$A$2:$A$755,"NZ_CPI",Release_Calendar!$B$2:$B$755,$A1296)&gt;0,1,0))</f>
        <v/>
      </c>
      <c r="N1296" s="16" t="str">
        <f>IF($A1296&lt;Notes!$B$5,"",IF(COUNTIFS(Release_Calendar!$A$2:$A$755,"NZ_GDP",Release_Calendar!$B$2:$B$755,$A1296)&gt;0,1,0))</f>
        <v/>
      </c>
      <c r="O1296" s="16" t="str">
        <f>IF($A1296&lt;Notes!$B$5,"",IF(COUNTIFS(Release_Calendar!$A$2:$A$755,"NZ_LABOUR",Release_Calendar!$B$2:$B$755,$A1296)&gt;0,1,0))</f>
        <v/>
      </c>
      <c r="P1296" s="16">
        <f t="shared" si="4"/>
        <v>1</v>
      </c>
    </row>
    <row r="1297" ht="15.75" customHeight="1">
      <c r="A1297" s="14">
        <v>38341.0</v>
      </c>
      <c r="B1297" s="15">
        <v>3.06</v>
      </c>
      <c r="C1297" s="15"/>
      <c r="D1297" s="15">
        <v>6.12</v>
      </c>
      <c r="E1297" s="15"/>
      <c r="F1297" s="15" t="str">
        <f t="shared" si="1"/>
        <v/>
      </c>
      <c r="G1297" s="15">
        <f t="shared" si="2"/>
        <v>6.12</v>
      </c>
      <c r="H1297" s="16">
        <v>1.0</v>
      </c>
      <c r="I1297" s="15">
        <f t="shared" si="3"/>
        <v>3.06</v>
      </c>
      <c r="J1297" s="15">
        <v>11.83</v>
      </c>
      <c r="K1297" s="16">
        <f>IF(COUNTIFS(Release_Calendar!$A$2:$A$755,"US_CPI",Release_Calendar!$B$2:$B$755,$A1297)&gt;0,1,0)</f>
        <v>0</v>
      </c>
      <c r="L1297" s="16">
        <f>IF(COUNTIFS(Release_Calendar!$A$2:$A$755,"US_NFP",Release_Calendar!$B$2:$B$755,$A1297)&gt;0,1,0)</f>
        <v>0</v>
      </c>
      <c r="M1297" s="16" t="str">
        <f>IF($A1297&lt;Notes!$B$5,"",IF(COUNTIFS(Release_Calendar!$A$2:$A$755,"NZ_CPI",Release_Calendar!$B$2:$B$755,$A1297)&gt;0,1,0))</f>
        <v/>
      </c>
      <c r="N1297" s="16" t="str">
        <f>IF($A1297&lt;Notes!$B$5,"",IF(COUNTIFS(Release_Calendar!$A$2:$A$755,"NZ_GDP",Release_Calendar!$B$2:$B$755,$A1297)&gt;0,1,0))</f>
        <v/>
      </c>
      <c r="O1297" s="16" t="str">
        <f>IF($A1297&lt;Notes!$B$5,"",IF(COUNTIFS(Release_Calendar!$A$2:$A$755,"NZ_LABOUR",Release_Calendar!$B$2:$B$755,$A1297)&gt;0,1,0))</f>
        <v/>
      </c>
      <c r="P1297" s="16">
        <f t="shared" si="4"/>
        <v>0</v>
      </c>
    </row>
    <row r="1298" ht="15.75" customHeight="1">
      <c r="A1298" s="14">
        <v>38342.0</v>
      </c>
      <c r="B1298" s="15">
        <v>3.05</v>
      </c>
      <c r="C1298" s="15"/>
      <c r="D1298" s="15">
        <v>6.1</v>
      </c>
      <c r="E1298" s="15"/>
      <c r="F1298" s="15" t="str">
        <f t="shared" si="1"/>
        <v/>
      </c>
      <c r="G1298" s="15">
        <f t="shared" si="2"/>
        <v>6.1</v>
      </c>
      <c r="H1298" s="16">
        <v>1.0</v>
      </c>
      <c r="I1298" s="15">
        <f t="shared" si="3"/>
        <v>3.05</v>
      </c>
      <c r="J1298" s="15">
        <v>11.55</v>
      </c>
      <c r="K1298" s="16">
        <f>IF(COUNTIFS(Release_Calendar!$A$2:$A$755,"US_CPI",Release_Calendar!$B$2:$B$755,$A1298)&gt;0,1,0)</f>
        <v>0</v>
      </c>
      <c r="L1298" s="16">
        <f>IF(COUNTIFS(Release_Calendar!$A$2:$A$755,"US_NFP",Release_Calendar!$B$2:$B$755,$A1298)&gt;0,1,0)</f>
        <v>0</v>
      </c>
      <c r="M1298" s="16" t="str">
        <f>IF($A1298&lt;Notes!$B$5,"",IF(COUNTIFS(Release_Calendar!$A$2:$A$755,"NZ_CPI",Release_Calendar!$B$2:$B$755,$A1298)&gt;0,1,0))</f>
        <v/>
      </c>
      <c r="N1298" s="16" t="str">
        <f>IF($A1298&lt;Notes!$B$5,"",IF(COUNTIFS(Release_Calendar!$A$2:$A$755,"NZ_GDP",Release_Calendar!$B$2:$B$755,$A1298)&gt;0,1,0))</f>
        <v/>
      </c>
      <c r="O1298" s="16" t="str">
        <f>IF($A1298&lt;Notes!$B$5,"",IF(COUNTIFS(Release_Calendar!$A$2:$A$755,"NZ_LABOUR",Release_Calendar!$B$2:$B$755,$A1298)&gt;0,1,0))</f>
        <v/>
      </c>
      <c r="P1298" s="16">
        <f t="shared" si="4"/>
        <v>0</v>
      </c>
    </row>
    <row r="1299" ht="15.75" customHeight="1">
      <c r="A1299" s="14">
        <v>38343.0</v>
      </c>
      <c r="B1299" s="15">
        <v>3.04</v>
      </c>
      <c r="C1299" s="15"/>
      <c r="D1299" s="15">
        <v>6.15</v>
      </c>
      <c r="E1299" s="15"/>
      <c r="F1299" s="15" t="str">
        <f t="shared" si="1"/>
        <v/>
      </c>
      <c r="G1299" s="15">
        <f t="shared" si="2"/>
        <v>6.15</v>
      </c>
      <c r="H1299" s="16">
        <v>1.0</v>
      </c>
      <c r="I1299" s="15">
        <f t="shared" si="3"/>
        <v>3.11</v>
      </c>
      <c r="J1299" s="15">
        <v>11.45</v>
      </c>
      <c r="K1299" s="16">
        <f>IF(COUNTIFS(Release_Calendar!$A$2:$A$755,"US_CPI",Release_Calendar!$B$2:$B$755,$A1299)&gt;0,1,0)</f>
        <v>0</v>
      </c>
      <c r="L1299" s="16">
        <f>IF(COUNTIFS(Release_Calendar!$A$2:$A$755,"US_NFP",Release_Calendar!$B$2:$B$755,$A1299)&gt;0,1,0)</f>
        <v>0</v>
      </c>
      <c r="M1299" s="16" t="str">
        <f>IF($A1299&lt;Notes!$B$5,"",IF(COUNTIFS(Release_Calendar!$A$2:$A$755,"NZ_CPI",Release_Calendar!$B$2:$B$755,$A1299)&gt;0,1,0))</f>
        <v/>
      </c>
      <c r="N1299" s="16" t="str">
        <f>IF($A1299&lt;Notes!$B$5,"",IF(COUNTIFS(Release_Calendar!$A$2:$A$755,"NZ_GDP",Release_Calendar!$B$2:$B$755,$A1299)&gt;0,1,0))</f>
        <v/>
      </c>
      <c r="O1299" s="16" t="str">
        <f>IF($A1299&lt;Notes!$B$5,"",IF(COUNTIFS(Release_Calendar!$A$2:$A$755,"NZ_LABOUR",Release_Calendar!$B$2:$B$755,$A1299)&gt;0,1,0))</f>
        <v/>
      </c>
      <c r="P1299" s="16">
        <f t="shared" si="4"/>
        <v>0</v>
      </c>
    </row>
    <row r="1300" ht="15.75" customHeight="1">
      <c r="A1300" s="14">
        <v>38344.0</v>
      </c>
      <c r="B1300" s="15">
        <v>3.02</v>
      </c>
      <c r="C1300" s="15"/>
      <c r="D1300" s="15">
        <v>6.16</v>
      </c>
      <c r="E1300" s="15"/>
      <c r="F1300" s="15" t="str">
        <f t="shared" si="1"/>
        <v/>
      </c>
      <c r="G1300" s="15">
        <f t="shared" si="2"/>
        <v>6.16</v>
      </c>
      <c r="H1300" s="16">
        <v>1.0</v>
      </c>
      <c r="I1300" s="15">
        <f t="shared" si="3"/>
        <v>3.14</v>
      </c>
      <c r="J1300" s="15">
        <v>11.23</v>
      </c>
      <c r="K1300" s="16">
        <f>IF(COUNTIFS(Release_Calendar!$A$2:$A$755,"US_CPI",Release_Calendar!$B$2:$B$755,$A1300)&gt;0,1,0)</f>
        <v>0</v>
      </c>
      <c r="L1300" s="16">
        <f>IF(COUNTIFS(Release_Calendar!$A$2:$A$755,"US_NFP",Release_Calendar!$B$2:$B$755,$A1300)&gt;0,1,0)</f>
        <v>0</v>
      </c>
      <c r="M1300" s="16" t="str">
        <f>IF($A1300&lt;Notes!$B$5,"",IF(COUNTIFS(Release_Calendar!$A$2:$A$755,"NZ_CPI",Release_Calendar!$B$2:$B$755,$A1300)&gt;0,1,0))</f>
        <v/>
      </c>
      <c r="N1300" s="16" t="str">
        <f>IF($A1300&lt;Notes!$B$5,"",IF(COUNTIFS(Release_Calendar!$A$2:$A$755,"NZ_GDP",Release_Calendar!$B$2:$B$755,$A1300)&gt;0,1,0))</f>
        <v/>
      </c>
      <c r="O1300" s="16" t="str">
        <f>IF($A1300&lt;Notes!$B$5,"",IF(COUNTIFS(Release_Calendar!$A$2:$A$755,"NZ_LABOUR",Release_Calendar!$B$2:$B$755,$A1300)&gt;0,1,0))</f>
        <v/>
      </c>
      <c r="P1300" s="16">
        <f t="shared" si="4"/>
        <v>0</v>
      </c>
    </row>
    <row r="1301" ht="15.75" customHeight="1">
      <c r="A1301" s="14">
        <v>38345.0</v>
      </c>
      <c r="B1301" s="15"/>
      <c r="C1301" s="15"/>
      <c r="D1301" s="15">
        <v>6.16</v>
      </c>
      <c r="E1301" s="15"/>
      <c r="F1301" s="15" t="str">
        <f t="shared" si="1"/>
        <v/>
      </c>
      <c r="G1301" s="15">
        <f t="shared" si="2"/>
        <v>6.16</v>
      </c>
      <c r="H1301" s="16">
        <v>1.0</v>
      </c>
      <c r="I1301" s="15" t="str">
        <f t="shared" si="3"/>
        <v/>
      </c>
      <c r="J1301" s="15"/>
      <c r="K1301" s="16">
        <f>IF(COUNTIFS(Release_Calendar!$A$2:$A$755,"US_CPI",Release_Calendar!$B$2:$B$755,$A1301)&gt;0,1,0)</f>
        <v>0</v>
      </c>
      <c r="L1301" s="16">
        <f>IF(COUNTIFS(Release_Calendar!$A$2:$A$755,"US_NFP",Release_Calendar!$B$2:$B$755,$A1301)&gt;0,1,0)</f>
        <v>0</v>
      </c>
      <c r="M1301" s="16" t="str">
        <f>IF($A1301&lt;Notes!$B$5,"",IF(COUNTIFS(Release_Calendar!$A$2:$A$755,"NZ_CPI",Release_Calendar!$B$2:$B$755,$A1301)&gt;0,1,0))</f>
        <v/>
      </c>
      <c r="N1301" s="16" t="str">
        <f>IF($A1301&lt;Notes!$B$5,"",IF(COUNTIFS(Release_Calendar!$A$2:$A$755,"NZ_GDP",Release_Calendar!$B$2:$B$755,$A1301)&gt;0,1,0))</f>
        <v/>
      </c>
      <c r="O1301" s="16" t="str">
        <f>IF($A1301&lt;Notes!$B$5,"",IF(COUNTIFS(Release_Calendar!$A$2:$A$755,"NZ_LABOUR",Release_Calendar!$B$2:$B$755,$A1301)&gt;0,1,0))</f>
        <v/>
      </c>
      <c r="P1301" s="16">
        <f t="shared" si="4"/>
        <v>0</v>
      </c>
    </row>
    <row r="1302" ht="15.75" customHeight="1">
      <c r="A1302" s="14">
        <v>38348.0</v>
      </c>
      <c r="B1302" s="15">
        <v>3.07</v>
      </c>
      <c r="C1302" s="15"/>
      <c r="D1302" s="15"/>
      <c r="E1302" s="15"/>
      <c r="F1302" s="15" t="str">
        <f t="shared" si="1"/>
        <v/>
      </c>
      <c r="G1302" s="15" t="str">
        <f t="shared" si="2"/>
        <v/>
      </c>
      <c r="H1302" s="16">
        <v>1.0</v>
      </c>
      <c r="I1302" s="15" t="str">
        <f t="shared" si="3"/>
        <v/>
      </c>
      <c r="J1302" s="15">
        <v>12.14</v>
      </c>
      <c r="K1302" s="16">
        <f>IF(COUNTIFS(Release_Calendar!$A$2:$A$755,"US_CPI",Release_Calendar!$B$2:$B$755,$A1302)&gt;0,1,0)</f>
        <v>0</v>
      </c>
      <c r="L1302" s="16">
        <f>IF(COUNTIFS(Release_Calendar!$A$2:$A$755,"US_NFP",Release_Calendar!$B$2:$B$755,$A1302)&gt;0,1,0)</f>
        <v>0</v>
      </c>
      <c r="M1302" s="16" t="str">
        <f>IF($A1302&lt;Notes!$B$5,"",IF(COUNTIFS(Release_Calendar!$A$2:$A$755,"NZ_CPI",Release_Calendar!$B$2:$B$755,$A1302)&gt;0,1,0))</f>
        <v/>
      </c>
      <c r="N1302" s="16" t="str">
        <f>IF($A1302&lt;Notes!$B$5,"",IF(COUNTIFS(Release_Calendar!$A$2:$A$755,"NZ_GDP",Release_Calendar!$B$2:$B$755,$A1302)&gt;0,1,0))</f>
        <v/>
      </c>
      <c r="O1302" s="16" t="str">
        <f>IF($A1302&lt;Notes!$B$5,"",IF(COUNTIFS(Release_Calendar!$A$2:$A$755,"NZ_LABOUR",Release_Calendar!$B$2:$B$755,$A1302)&gt;0,1,0))</f>
        <v/>
      </c>
      <c r="P1302" s="16">
        <f t="shared" si="4"/>
        <v>0</v>
      </c>
    </row>
    <row r="1303" ht="15.75" customHeight="1">
      <c r="A1303" s="14">
        <v>38349.0</v>
      </c>
      <c r="B1303" s="15">
        <v>3.08</v>
      </c>
      <c r="C1303" s="15"/>
      <c r="D1303" s="15"/>
      <c r="E1303" s="15"/>
      <c r="F1303" s="15" t="str">
        <f t="shared" si="1"/>
        <v/>
      </c>
      <c r="G1303" s="15" t="str">
        <f t="shared" si="2"/>
        <v/>
      </c>
      <c r="H1303" s="16">
        <v>1.0</v>
      </c>
      <c r="I1303" s="15" t="str">
        <f t="shared" si="3"/>
        <v/>
      </c>
      <c r="J1303" s="15">
        <v>12.0</v>
      </c>
      <c r="K1303" s="16">
        <f>IF(COUNTIFS(Release_Calendar!$A$2:$A$755,"US_CPI",Release_Calendar!$B$2:$B$755,$A1303)&gt;0,1,0)</f>
        <v>0</v>
      </c>
      <c r="L1303" s="16">
        <f>IF(COUNTIFS(Release_Calendar!$A$2:$A$755,"US_NFP",Release_Calendar!$B$2:$B$755,$A1303)&gt;0,1,0)</f>
        <v>0</v>
      </c>
      <c r="M1303" s="16" t="str">
        <f>IF($A1303&lt;Notes!$B$5,"",IF(COUNTIFS(Release_Calendar!$A$2:$A$755,"NZ_CPI",Release_Calendar!$B$2:$B$755,$A1303)&gt;0,1,0))</f>
        <v/>
      </c>
      <c r="N1303" s="16" t="str">
        <f>IF($A1303&lt;Notes!$B$5,"",IF(COUNTIFS(Release_Calendar!$A$2:$A$755,"NZ_GDP",Release_Calendar!$B$2:$B$755,$A1303)&gt;0,1,0))</f>
        <v/>
      </c>
      <c r="O1303" s="16" t="str">
        <f>IF($A1303&lt;Notes!$B$5,"",IF(COUNTIFS(Release_Calendar!$A$2:$A$755,"NZ_LABOUR",Release_Calendar!$B$2:$B$755,$A1303)&gt;0,1,0))</f>
        <v/>
      </c>
      <c r="P1303" s="16">
        <f t="shared" si="4"/>
        <v>0</v>
      </c>
    </row>
    <row r="1304" ht="15.75" customHeight="1">
      <c r="A1304" s="14">
        <v>38350.0</v>
      </c>
      <c r="B1304" s="15">
        <v>3.12</v>
      </c>
      <c r="C1304" s="15"/>
      <c r="D1304" s="15">
        <v>6.19</v>
      </c>
      <c r="E1304" s="15"/>
      <c r="F1304" s="15" t="str">
        <f t="shared" si="1"/>
        <v/>
      </c>
      <c r="G1304" s="15">
        <f t="shared" si="2"/>
        <v>6.19</v>
      </c>
      <c r="H1304" s="16">
        <v>1.0</v>
      </c>
      <c r="I1304" s="15">
        <f t="shared" si="3"/>
        <v>3.07</v>
      </c>
      <c r="J1304" s="15">
        <v>11.62</v>
      </c>
      <c r="K1304" s="16">
        <f>IF(COUNTIFS(Release_Calendar!$A$2:$A$755,"US_CPI",Release_Calendar!$B$2:$B$755,$A1304)&gt;0,1,0)</f>
        <v>0</v>
      </c>
      <c r="L1304" s="16">
        <f>IF(COUNTIFS(Release_Calendar!$A$2:$A$755,"US_NFP",Release_Calendar!$B$2:$B$755,$A1304)&gt;0,1,0)</f>
        <v>0</v>
      </c>
      <c r="M1304" s="16" t="str">
        <f>IF($A1304&lt;Notes!$B$5,"",IF(COUNTIFS(Release_Calendar!$A$2:$A$755,"NZ_CPI",Release_Calendar!$B$2:$B$755,$A1304)&gt;0,1,0))</f>
        <v/>
      </c>
      <c r="N1304" s="16" t="str">
        <f>IF($A1304&lt;Notes!$B$5,"",IF(COUNTIFS(Release_Calendar!$A$2:$A$755,"NZ_GDP",Release_Calendar!$B$2:$B$755,$A1304)&gt;0,1,0))</f>
        <v/>
      </c>
      <c r="O1304" s="16" t="str">
        <f>IF($A1304&lt;Notes!$B$5,"",IF(COUNTIFS(Release_Calendar!$A$2:$A$755,"NZ_LABOUR",Release_Calendar!$B$2:$B$755,$A1304)&gt;0,1,0))</f>
        <v/>
      </c>
      <c r="P1304" s="16">
        <f t="shared" si="4"/>
        <v>0</v>
      </c>
    </row>
    <row r="1305" ht="15.75" customHeight="1">
      <c r="A1305" s="14">
        <v>38351.0</v>
      </c>
      <c r="B1305" s="15">
        <v>3.1</v>
      </c>
      <c r="C1305" s="15"/>
      <c r="D1305" s="15">
        <v>6.2</v>
      </c>
      <c r="E1305" s="15"/>
      <c r="F1305" s="15" t="str">
        <f t="shared" si="1"/>
        <v/>
      </c>
      <c r="G1305" s="15">
        <f t="shared" si="2"/>
        <v>6.2</v>
      </c>
      <c r="H1305" s="16">
        <v>1.0</v>
      </c>
      <c r="I1305" s="15">
        <f t="shared" si="3"/>
        <v>3.1</v>
      </c>
      <c r="J1305" s="15">
        <v>12.56</v>
      </c>
      <c r="K1305" s="16">
        <f>IF(COUNTIFS(Release_Calendar!$A$2:$A$755,"US_CPI",Release_Calendar!$B$2:$B$755,$A1305)&gt;0,1,0)</f>
        <v>0</v>
      </c>
      <c r="L1305" s="16">
        <f>IF(COUNTIFS(Release_Calendar!$A$2:$A$755,"US_NFP",Release_Calendar!$B$2:$B$755,$A1305)&gt;0,1,0)</f>
        <v>0</v>
      </c>
      <c r="M1305" s="16" t="str">
        <f>IF($A1305&lt;Notes!$B$5,"",IF(COUNTIFS(Release_Calendar!$A$2:$A$755,"NZ_CPI",Release_Calendar!$B$2:$B$755,$A1305)&gt;0,1,0))</f>
        <v/>
      </c>
      <c r="N1305" s="16" t="str">
        <f>IF($A1305&lt;Notes!$B$5,"",IF(COUNTIFS(Release_Calendar!$A$2:$A$755,"NZ_GDP",Release_Calendar!$B$2:$B$755,$A1305)&gt;0,1,0))</f>
        <v/>
      </c>
      <c r="O1305" s="16" t="str">
        <f>IF($A1305&lt;Notes!$B$5,"",IF(COUNTIFS(Release_Calendar!$A$2:$A$755,"NZ_LABOUR",Release_Calendar!$B$2:$B$755,$A1305)&gt;0,1,0))</f>
        <v/>
      </c>
      <c r="P1305" s="16">
        <f t="shared" si="4"/>
        <v>0</v>
      </c>
    </row>
    <row r="1306" ht="15.75" customHeight="1">
      <c r="A1306" s="14">
        <v>38352.0</v>
      </c>
      <c r="B1306" s="15">
        <v>3.08</v>
      </c>
      <c r="C1306" s="15"/>
      <c r="D1306" s="15">
        <v>6.18</v>
      </c>
      <c r="E1306" s="15"/>
      <c r="F1306" s="15" t="str">
        <f t="shared" si="1"/>
        <v/>
      </c>
      <c r="G1306" s="15">
        <f t="shared" si="2"/>
        <v>6.18</v>
      </c>
      <c r="H1306" s="16">
        <v>1.0</v>
      </c>
      <c r="I1306" s="15">
        <f t="shared" si="3"/>
        <v>3.1</v>
      </c>
      <c r="J1306" s="15">
        <v>13.29</v>
      </c>
      <c r="K1306" s="16">
        <f>IF(COUNTIFS(Release_Calendar!$A$2:$A$755,"US_CPI",Release_Calendar!$B$2:$B$755,$A1306)&gt;0,1,0)</f>
        <v>0</v>
      </c>
      <c r="L1306" s="16">
        <f>IF(COUNTIFS(Release_Calendar!$A$2:$A$755,"US_NFP",Release_Calendar!$B$2:$B$755,$A1306)&gt;0,1,0)</f>
        <v>0</v>
      </c>
      <c r="M1306" s="16" t="str">
        <f>IF($A1306&lt;Notes!$B$5,"",IF(COUNTIFS(Release_Calendar!$A$2:$A$755,"NZ_CPI",Release_Calendar!$B$2:$B$755,$A1306)&gt;0,1,0))</f>
        <v/>
      </c>
      <c r="N1306" s="16" t="str">
        <f>IF($A1306&lt;Notes!$B$5,"",IF(COUNTIFS(Release_Calendar!$A$2:$A$755,"NZ_GDP",Release_Calendar!$B$2:$B$755,$A1306)&gt;0,1,0))</f>
        <v/>
      </c>
      <c r="O1306" s="16" t="str">
        <f>IF($A1306&lt;Notes!$B$5,"",IF(COUNTIFS(Release_Calendar!$A$2:$A$755,"NZ_LABOUR",Release_Calendar!$B$2:$B$755,$A1306)&gt;0,1,0))</f>
        <v/>
      </c>
      <c r="P1306" s="16">
        <f t="shared" si="4"/>
        <v>0</v>
      </c>
    </row>
    <row r="1307" ht="15.75" customHeight="1">
      <c r="A1307" s="14">
        <v>38355.0</v>
      </c>
      <c r="B1307" s="15">
        <v>3.1</v>
      </c>
      <c r="C1307" s="15"/>
      <c r="D1307" s="15"/>
      <c r="E1307" s="15"/>
      <c r="F1307" s="15" t="str">
        <f t="shared" si="1"/>
        <v/>
      </c>
      <c r="G1307" s="15" t="str">
        <f t="shared" si="2"/>
        <v/>
      </c>
      <c r="H1307" s="16">
        <v>1.0</v>
      </c>
      <c r="I1307" s="15" t="str">
        <f t="shared" si="3"/>
        <v/>
      </c>
      <c r="J1307" s="15">
        <v>14.08</v>
      </c>
      <c r="K1307" s="16">
        <f>IF(COUNTIFS(Release_Calendar!$A$2:$A$755,"US_CPI",Release_Calendar!$B$2:$B$755,$A1307)&gt;0,1,0)</f>
        <v>0</v>
      </c>
      <c r="L1307" s="16">
        <f>IF(COUNTIFS(Release_Calendar!$A$2:$A$755,"US_NFP",Release_Calendar!$B$2:$B$755,$A1307)&gt;0,1,0)</f>
        <v>0</v>
      </c>
      <c r="M1307" s="16" t="str">
        <f>IF($A1307&lt;Notes!$B$5,"",IF(COUNTIFS(Release_Calendar!$A$2:$A$755,"NZ_CPI",Release_Calendar!$B$2:$B$755,$A1307)&gt;0,1,0))</f>
        <v/>
      </c>
      <c r="N1307" s="16" t="str">
        <f>IF($A1307&lt;Notes!$B$5,"",IF(COUNTIFS(Release_Calendar!$A$2:$A$755,"NZ_GDP",Release_Calendar!$B$2:$B$755,$A1307)&gt;0,1,0))</f>
        <v/>
      </c>
      <c r="O1307" s="16" t="str">
        <f>IF($A1307&lt;Notes!$B$5,"",IF(COUNTIFS(Release_Calendar!$A$2:$A$755,"NZ_LABOUR",Release_Calendar!$B$2:$B$755,$A1307)&gt;0,1,0))</f>
        <v/>
      </c>
      <c r="P1307" s="16">
        <f t="shared" si="4"/>
        <v>0</v>
      </c>
    </row>
    <row r="1308" ht="15.75" customHeight="1">
      <c r="A1308" s="14">
        <v>38356.0</v>
      </c>
      <c r="B1308" s="15">
        <v>3.2</v>
      </c>
      <c r="C1308" s="15"/>
      <c r="D1308" s="15"/>
      <c r="E1308" s="15"/>
      <c r="F1308" s="15" t="str">
        <f t="shared" si="1"/>
        <v/>
      </c>
      <c r="G1308" s="15" t="str">
        <f t="shared" si="2"/>
        <v/>
      </c>
      <c r="H1308" s="16">
        <v>1.0</v>
      </c>
      <c r="I1308" s="15" t="str">
        <f t="shared" si="3"/>
        <v/>
      </c>
      <c r="J1308" s="15">
        <v>13.98</v>
      </c>
      <c r="K1308" s="16">
        <f>IF(COUNTIFS(Release_Calendar!$A$2:$A$755,"US_CPI",Release_Calendar!$B$2:$B$755,$A1308)&gt;0,1,0)</f>
        <v>0</v>
      </c>
      <c r="L1308" s="16">
        <f>IF(COUNTIFS(Release_Calendar!$A$2:$A$755,"US_NFP",Release_Calendar!$B$2:$B$755,$A1308)&gt;0,1,0)</f>
        <v>0</v>
      </c>
      <c r="M1308" s="16" t="str">
        <f>IF($A1308&lt;Notes!$B$5,"",IF(COUNTIFS(Release_Calendar!$A$2:$A$755,"NZ_CPI",Release_Calendar!$B$2:$B$755,$A1308)&gt;0,1,0))</f>
        <v/>
      </c>
      <c r="N1308" s="16" t="str">
        <f>IF($A1308&lt;Notes!$B$5,"",IF(COUNTIFS(Release_Calendar!$A$2:$A$755,"NZ_GDP",Release_Calendar!$B$2:$B$755,$A1308)&gt;0,1,0))</f>
        <v/>
      </c>
      <c r="O1308" s="16" t="str">
        <f>IF($A1308&lt;Notes!$B$5,"",IF(COUNTIFS(Release_Calendar!$A$2:$A$755,"NZ_LABOUR",Release_Calendar!$B$2:$B$755,$A1308)&gt;0,1,0))</f>
        <v/>
      </c>
      <c r="P1308" s="16">
        <f t="shared" si="4"/>
        <v>0</v>
      </c>
    </row>
    <row r="1309" ht="15.75" customHeight="1">
      <c r="A1309" s="14">
        <v>38357.0</v>
      </c>
      <c r="B1309" s="15">
        <v>3.22</v>
      </c>
      <c r="C1309" s="15"/>
      <c r="D1309" s="15">
        <v>6.25</v>
      </c>
      <c r="E1309" s="15"/>
      <c r="F1309" s="15" t="str">
        <f t="shared" si="1"/>
        <v/>
      </c>
      <c r="G1309" s="15">
        <f t="shared" si="2"/>
        <v>6.25</v>
      </c>
      <c r="H1309" s="16">
        <v>1.0</v>
      </c>
      <c r="I1309" s="15">
        <f t="shared" si="3"/>
        <v>3.03</v>
      </c>
      <c r="J1309" s="15">
        <v>14.09</v>
      </c>
      <c r="K1309" s="16">
        <f>IF(COUNTIFS(Release_Calendar!$A$2:$A$755,"US_CPI",Release_Calendar!$B$2:$B$755,$A1309)&gt;0,1,0)</f>
        <v>0</v>
      </c>
      <c r="L1309" s="16">
        <f>IF(COUNTIFS(Release_Calendar!$A$2:$A$755,"US_NFP",Release_Calendar!$B$2:$B$755,$A1309)&gt;0,1,0)</f>
        <v>0</v>
      </c>
      <c r="M1309" s="16" t="str">
        <f>IF($A1309&lt;Notes!$B$5,"",IF(COUNTIFS(Release_Calendar!$A$2:$A$755,"NZ_CPI",Release_Calendar!$B$2:$B$755,$A1309)&gt;0,1,0))</f>
        <v/>
      </c>
      <c r="N1309" s="16" t="str">
        <f>IF($A1309&lt;Notes!$B$5,"",IF(COUNTIFS(Release_Calendar!$A$2:$A$755,"NZ_GDP",Release_Calendar!$B$2:$B$755,$A1309)&gt;0,1,0))</f>
        <v/>
      </c>
      <c r="O1309" s="16" t="str">
        <f>IF($A1309&lt;Notes!$B$5,"",IF(COUNTIFS(Release_Calendar!$A$2:$A$755,"NZ_LABOUR",Release_Calendar!$B$2:$B$755,$A1309)&gt;0,1,0))</f>
        <v/>
      </c>
      <c r="P1309" s="16">
        <f t="shared" si="4"/>
        <v>0</v>
      </c>
    </row>
    <row r="1310" ht="15.75" customHeight="1">
      <c r="A1310" s="14">
        <v>38358.0</v>
      </c>
      <c r="B1310" s="15">
        <v>3.18</v>
      </c>
      <c r="C1310" s="15"/>
      <c r="D1310" s="15">
        <v>6.23</v>
      </c>
      <c r="E1310" s="15"/>
      <c r="F1310" s="15" t="str">
        <f t="shared" si="1"/>
        <v/>
      </c>
      <c r="G1310" s="15">
        <f t="shared" si="2"/>
        <v>6.23</v>
      </c>
      <c r="H1310" s="16">
        <v>1.0</v>
      </c>
      <c r="I1310" s="15">
        <f t="shared" si="3"/>
        <v>3.05</v>
      </c>
      <c r="J1310" s="15">
        <v>13.58</v>
      </c>
      <c r="K1310" s="16">
        <f>IF(COUNTIFS(Release_Calendar!$A$2:$A$755,"US_CPI",Release_Calendar!$B$2:$B$755,$A1310)&gt;0,1,0)</f>
        <v>0</v>
      </c>
      <c r="L1310" s="16">
        <f>IF(COUNTIFS(Release_Calendar!$A$2:$A$755,"US_NFP",Release_Calendar!$B$2:$B$755,$A1310)&gt;0,1,0)</f>
        <v>0</v>
      </c>
      <c r="M1310" s="16" t="str">
        <f>IF($A1310&lt;Notes!$B$5,"",IF(COUNTIFS(Release_Calendar!$A$2:$A$755,"NZ_CPI",Release_Calendar!$B$2:$B$755,$A1310)&gt;0,1,0))</f>
        <v/>
      </c>
      <c r="N1310" s="16" t="str">
        <f>IF($A1310&lt;Notes!$B$5,"",IF(COUNTIFS(Release_Calendar!$A$2:$A$755,"NZ_GDP",Release_Calendar!$B$2:$B$755,$A1310)&gt;0,1,0))</f>
        <v/>
      </c>
      <c r="O1310" s="16" t="str">
        <f>IF($A1310&lt;Notes!$B$5,"",IF(COUNTIFS(Release_Calendar!$A$2:$A$755,"NZ_LABOUR",Release_Calendar!$B$2:$B$755,$A1310)&gt;0,1,0))</f>
        <v/>
      </c>
      <c r="P1310" s="16">
        <f t="shared" si="4"/>
        <v>0</v>
      </c>
    </row>
    <row r="1311" ht="15.75" customHeight="1">
      <c r="A1311" s="14">
        <v>38359.0</v>
      </c>
      <c r="B1311" s="15">
        <v>3.2</v>
      </c>
      <c r="C1311" s="15"/>
      <c r="D1311" s="15">
        <v>6.22</v>
      </c>
      <c r="E1311" s="15"/>
      <c r="F1311" s="15" t="str">
        <f t="shared" si="1"/>
        <v/>
      </c>
      <c r="G1311" s="15">
        <f t="shared" si="2"/>
        <v>6.22</v>
      </c>
      <c r="H1311" s="16">
        <v>1.0</v>
      </c>
      <c r="I1311" s="15">
        <f t="shared" si="3"/>
        <v>3.02</v>
      </c>
      <c r="J1311" s="15">
        <v>13.49</v>
      </c>
      <c r="K1311" s="16">
        <f>IF(COUNTIFS(Release_Calendar!$A$2:$A$755,"US_CPI",Release_Calendar!$B$2:$B$755,$A1311)&gt;0,1,0)</f>
        <v>0</v>
      </c>
      <c r="L1311" s="16">
        <f>IF(COUNTIFS(Release_Calendar!$A$2:$A$755,"US_NFP",Release_Calendar!$B$2:$B$755,$A1311)&gt;0,1,0)</f>
        <v>1</v>
      </c>
      <c r="M1311" s="16" t="str">
        <f>IF($A1311&lt;Notes!$B$5,"",IF(COUNTIFS(Release_Calendar!$A$2:$A$755,"NZ_CPI",Release_Calendar!$B$2:$B$755,$A1311)&gt;0,1,0))</f>
        <v/>
      </c>
      <c r="N1311" s="16" t="str">
        <f>IF($A1311&lt;Notes!$B$5,"",IF(COUNTIFS(Release_Calendar!$A$2:$A$755,"NZ_GDP",Release_Calendar!$B$2:$B$755,$A1311)&gt;0,1,0))</f>
        <v/>
      </c>
      <c r="O1311" s="16" t="str">
        <f>IF($A1311&lt;Notes!$B$5,"",IF(COUNTIFS(Release_Calendar!$A$2:$A$755,"NZ_LABOUR",Release_Calendar!$B$2:$B$755,$A1311)&gt;0,1,0))</f>
        <v/>
      </c>
      <c r="P1311" s="16">
        <f t="shared" si="4"/>
        <v>1</v>
      </c>
    </row>
    <row r="1312" ht="15.75" customHeight="1">
      <c r="A1312" s="14">
        <v>38362.0</v>
      </c>
      <c r="B1312" s="15">
        <v>3.23</v>
      </c>
      <c r="C1312" s="15"/>
      <c r="D1312" s="15">
        <v>6.21</v>
      </c>
      <c r="E1312" s="15"/>
      <c r="F1312" s="15" t="str">
        <f t="shared" si="1"/>
        <v/>
      </c>
      <c r="G1312" s="15">
        <f t="shared" si="2"/>
        <v>6.21</v>
      </c>
      <c r="H1312" s="16">
        <v>1.0</v>
      </c>
      <c r="I1312" s="15">
        <f t="shared" si="3"/>
        <v>2.98</v>
      </c>
      <c r="J1312" s="15">
        <v>13.23</v>
      </c>
      <c r="K1312" s="16">
        <f>IF(COUNTIFS(Release_Calendar!$A$2:$A$755,"US_CPI",Release_Calendar!$B$2:$B$755,$A1312)&gt;0,1,0)</f>
        <v>0</v>
      </c>
      <c r="L1312" s="16">
        <f>IF(COUNTIFS(Release_Calendar!$A$2:$A$755,"US_NFP",Release_Calendar!$B$2:$B$755,$A1312)&gt;0,1,0)</f>
        <v>0</v>
      </c>
      <c r="M1312" s="16" t="str">
        <f>IF($A1312&lt;Notes!$B$5,"",IF(COUNTIFS(Release_Calendar!$A$2:$A$755,"NZ_CPI",Release_Calendar!$B$2:$B$755,$A1312)&gt;0,1,0))</f>
        <v/>
      </c>
      <c r="N1312" s="16" t="str">
        <f>IF($A1312&lt;Notes!$B$5,"",IF(COUNTIFS(Release_Calendar!$A$2:$A$755,"NZ_GDP",Release_Calendar!$B$2:$B$755,$A1312)&gt;0,1,0))</f>
        <v/>
      </c>
      <c r="O1312" s="16" t="str">
        <f>IF($A1312&lt;Notes!$B$5,"",IF(COUNTIFS(Release_Calendar!$A$2:$A$755,"NZ_LABOUR",Release_Calendar!$B$2:$B$755,$A1312)&gt;0,1,0))</f>
        <v/>
      </c>
      <c r="P1312" s="16">
        <f t="shared" si="4"/>
        <v>0</v>
      </c>
    </row>
    <row r="1313" ht="15.75" customHeight="1">
      <c r="A1313" s="14">
        <v>38363.0</v>
      </c>
      <c r="B1313" s="15">
        <v>3.24</v>
      </c>
      <c r="C1313" s="15"/>
      <c r="D1313" s="15">
        <v>6.19</v>
      </c>
      <c r="E1313" s="15"/>
      <c r="F1313" s="15" t="str">
        <f t="shared" si="1"/>
        <v/>
      </c>
      <c r="G1313" s="15">
        <f t="shared" si="2"/>
        <v>6.19</v>
      </c>
      <c r="H1313" s="16">
        <v>1.0</v>
      </c>
      <c r="I1313" s="15">
        <f t="shared" si="3"/>
        <v>2.95</v>
      </c>
      <c r="J1313" s="15">
        <v>13.19</v>
      </c>
      <c r="K1313" s="16">
        <f>IF(COUNTIFS(Release_Calendar!$A$2:$A$755,"US_CPI",Release_Calendar!$B$2:$B$755,$A1313)&gt;0,1,0)</f>
        <v>0</v>
      </c>
      <c r="L1313" s="16">
        <f>IF(COUNTIFS(Release_Calendar!$A$2:$A$755,"US_NFP",Release_Calendar!$B$2:$B$755,$A1313)&gt;0,1,0)</f>
        <v>0</v>
      </c>
      <c r="M1313" s="16" t="str">
        <f>IF($A1313&lt;Notes!$B$5,"",IF(COUNTIFS(Release_Calendar!$A$2:$A$755,"NZ_CPI",Release_Calendar!$B$2:$B$755,$A1313)&gt;0,1,0))</f>
        <v/>
      </c>
      <c r="N1313" s="16" t="str">
        <f>IF($A1313&lt;Notes!$B$5,"",IF(COUNTIFS(Release_Calendar!$A$2:$A$755,"NZ_GDP",Release_Calendar!$B$2:$B$755,$A1313)&gt;0,1,0))</f>
        <v/>
      </c>
      <c r="O1313" s="16" t="str">
        <f>IF($A1313&lt;Notes!$B$5,"",IF(COUNTIFS(Release_Calendar!$A$2:$A$755,"NZ_LABOUR",Release_Calendar!$B$2:$B$755,$A1313)&gt;0,1,0))</f>
        <v/>
      </c>
      <c r="P1313" s="16">
        <f t="shared" si="4"/>
        <v>0</v>
      </c>
    </row>
    <row r="1314" ht="15.75" customHeight="1">
      <c r="A1314" s="14">
        <v>38364.0</v>
      </c>
      <c r="B1314" s="15">
        <v>3.22</v>
      </c>
      <c r="C1314" s="15"/>
      <c r="D1314" s="15">
        <v>6.14</v>
      </c>
      <c r="E1314" s="15"/>
      <c r="F1314" s="15" t="str">
        <f t="shared" si="1"/>
        <v/>
      </c>
      <c r="G1314" s="15">
        <f t="shared" si="2"/>
        <v>6.14</v>
      </c>
      <c r="H1314" s="16">
        <v>1.0</v>
      </c>
      <c r="I1314" s="15">
        <f t="shared" si="3"/>
        <v>2.92</v>
      </c>
      <c r="J1314" s="15">
        <v>12.56</v>
      </c>
      <c r="K1314" s="16">
        <f>IF(COUNTIFS(Release_Calendar!$A$2:$A$755,"US_CPI",Release_Calendar!$B$2:$B$755,$A1314)&gt;0,1,0)</f>
        <v>0</v>
      </c>
      <c r="L1314" s="16">
        <f>IF(COUNTIFS(Release_Calendar!$A$2:$A$755,"US_NFP",Release_Calendar!$B$2:$B$755,$A1314)&gt;0,1,0)</f>
        <v>0</v>
      </c>
      <c r="M1314" s="16" t="str">
        <f>IF($A1314&lt;Notes!$B$5,"",IF(COUNTIFS(Release_Calendar!$A$2:$A$755,"NZ_CPI",Release_Calendar!$B$2:$B$755,$A1314)&gt;0,1,0))</f>
        <v/>
      </c>
      <c r="N1314" s="16" t="str">
        <f>IF($A1314&lt;Notes!$B$5,"",IF(COUNTIFS(Release_Calendar!$A$2:$A$755,"NZ_GDP",Release_Calendar!$B$2:$B$755,$A1314)&gt;0,1,0))</f>
        <v/>
      </c>
      <c r="O1314" s="16" t="str">
        <f>IF($A1314&lt;Notes!$B$5,"",IF(COUNTIFS(Release_Calendar!$A$2:$A$755,"NZ_LABOUR",Release_Calendar!$B$2:$B$755,$A1314)&gt;0,1,0))</f>
        <v/>
      </c>
      <c r="P1314" s="16">
        <f t="shared" si="4"/>
        <v>0</v>
      </c>
    </row>
    <row r="1315" ht="15.75" customHeight="1">
      <c r="A1315" s="14">
        <v>38365.0</v>
      </c>
      <c r="B1315" s="15">
        <v>3.21</v>
      </c>
      <c r="C1315" s="15"/>
      <c r="D1315" s="15">
        <v>6.14</v>
      </c>
      <c r="E1315" s="15"/>
      <c r="F1315" s="15" t="str">
        <f t="shared" si="1"/>
        <v/>
      </c>
      <c r="G1315" s="15">
        <f t="shared" si="2"/>
        <v>6.14</v>
      </c>
      <c r="H1315" s="16">
        <v>1.0</v>
      </c>
      <c r="I1315" s="15">
        <f t="shared" si="3"/>
        <v>2.93</v>
      </c>
      <c r="J1315" s="15">
        <v>12.84</v>
      </c>
      <c r="K1315" s="16">
        <f>IF(COUNTIFS(Release_Calendar!$A$2:$A$755,"US_CPI",Release_Calendar!$B$2:$B$755,$A1315)&gt;0,1,0)</f>
        <v>0</v>
      </c>
      <c r="L1315" s="16">
        <f>IF(COUNTIFS(Release_Calendar!$A$2:$A$755,"US_NFP",Release_Calendar!$B$2:$B$755,$A1315)&gt;0,1,0)</f>
        <v>0</v>
      </c>
      <c r="M1315" s="16" t="str">
        <f>IF($A1315&lt;Notes!$B$5,"",IF(COUNTIFS(Release_Calendar!$A$2:$A$755,"NZ_CPI",Release_Calendar!$B$2:$B$755,$A1315)&gt;0,1,0))</f>
        <v/>
      </c>
      <c r="N1315" s="16" t="str">
        <f>IF($A1315&lt;Notes!$B$5,"",IF(COUNTIFS(Release_Calendar!$A$2:$A$755,"NZ_GDP",Release_Calendar!$B$2:$B$755,$A1315)&gt;0,1,0))</f>
        <v/>
      </c>
      <c r="O1315" s="16" t="str">
        <f>IF($A1315&lt;Notes!$B$5,"",IF(COUNTIFS(Release_Calendar!$A$2:$A$755,"NZ_LABOUR",Release_Calendar!$B$2:$B$755,$A1315)&gt;0,1,0))</f>
        <v/>
      </c>
      <c r="P1315" s="16">
        <f t="shared" si="4"/>
        <v>0</v>
      </c>
    </row>
    <row r="1316" ht="15.75" customHeight="1">
      <c r="A1316" s="14">
        <v>38366.0</v>
      </c>
      <c r="B1316" s="15">
        <v>3.24</v>
      </c>
      <c r="C1316" s="15"/>
      <c r="D1316" s="15">
        <v>6.11</v>
      </c>
      <c r="E1316" s="15"/>
      <c r="F1316" s="15" t="str">
        <f t="shared" si="1"/>
        <v/>
      </c>
      <c r="G1316" s="15">
        <f t="shared" si="2"/>
        <v>6.11</v>
      </c>
      <c r="H1316" s="16">
        <v>1.0</v>
      </c>
      <c r="I1316" s="15">
        <f t="shared" si="3"/>
        <v>2.87</v>
      </c>
      <c r="J1316" s="15">
        <v>12.43</v>
      </c>
      <c r="K1316" s="16">
        <f>IF(COUNTIFS(Release_Calendar!$A$2:$A$755,"US_CPI",Release_Calendar!$B$2:$B$755,$A1316)&gt;0,1,0)</f>
        <v>0</v>
      </c>
      <c r="L1316" s="16">
        <f>IF(COUNTIFS(Release_Calendar!$A$2:$A$755,"US_NFP",Release_Calendar!$B$2:$B$755,$A1316)&gt;0,1,0)</f>
        <v>0</v>
      </c>
      <c r="M1316" s="16" t="str">
        <f>IF($A1316&lt;Notes!$B$5,"",IF(COUNTIFS(Release_Calendar!$A$2:$A$755,"NZ_CPI",Release_Calendar!$B$2:$B$755,$A1316)&gt;0,1,0))</f>
        <v/>
      </c>
      <c r="N1316" s="16" t="str">
        <f>IF($A1316&lt;Notes!$B$5,"",IF(COUNTIFS(Release_Calendar!$A$2:$A$755,"NZ_GDP",Release_Calendar!$B$2:$B$755,$A1316)&gt;0,1,0))</f>
        <v/>
      </c>
      <c r="O1316" s="16" t="str">
        <f>IF($A1316&lt;Notes!$B$5,"",IF(COUNTIFS(Release_Calendar!$A$2:$A$755,"NZ_LABOUR",Release_Calendar!$B$2:$B$755,$A1316)&gt;0,1,0))</f>
        <v/>
      </c>
      <c r="P1316" s="16">
        <f t="shared" si="4"/>
        <v>0</v>
      </c>
    </row>
    <row r="1317" ht="15.75" customHeight="1">
      <c r="A1317" s="14">
        <v>38369.0</v>
      </c>
      <c r="B1317" s="15"/>
      <c r="C1317" s="15"/>
      <c r="D1317" s="15">
        <v>6.16</v>
      </c>
      <c r="E1317" s="15"/>
      <c r="F1317" s="15" t="str">
        <f t="shared" si="1"/>
        <v/>
      </c>
      <c r="G1317" s="15">
        <f t="shared" si="2"/>
        <v>6.16</v>
      </c>
      <c r="H1317" s="16">
        <v>1.0</v>
      </c>
      <c r="I1317" s="15" t="str">
        <f t="shared" si="3"/>
        <v/>
      </c>
      <c r="J1317" s="15"/>
      <c r="K1317" s="16">
        <f>IF(COUNTIFS(Release_Calendar!$A$2:$A$755,"US_CPI",Release_Calendar!$B$2:$B$755,$A1317)&gt;0,1,0)</f>
        <v>0</v>
      </c>
      <c r="L1317" s="16">
        <f>IF(COUNTIFS(Release_Calendar!$A$2:$A$755,"US_NFP",Release_Calendar!$B$2:$B$755,$A1317)&gt;0,1,0)</f>
        <v>0</v>
      </c>
      <c r="M1317" s="16" t="str">
        <f>IF($A1317&lt;Notes!$B$5,"",IF(COUNTIFS(Release_Calendar!$A$2:$A$755,"NZ_CPI",Release_Calendar!$B$2:$B$755,$A1317)&gt;0,1,0))</f>
        <v/>
      </c>
      <c r="N1317" s="16" t="str">
        <f>IF($A1317&lt;Notes!$B$5,"",IF(COUNTIFS(Release_Calendar!$A$2:$A$755,"NZ_GDP",Release_Calendar!$B$2:$B$755,$A1317)&gt;0,1,0))</f>
        <v/>
      </c>
      <c r="O1317" s="16" t="str">
        <f>IF($A1317&lt;Notes!$B$5,"",IF(COUNTIFS(Release_Calendar!$A$2:$A$755,"NZ_LABOUR",Release_Calendar!$B$2:$B$755,$A1317)&gt;0,1,0))</f>
        <v/>
      </c>
      <c r="P1317" s="16">
        <f t="shared" si="4"/>
        <v>0</v>
      </c>
    </row>
    <row r="1318" ht="15.75" customHeight="1">
      <c r="A1318" s="14">
        <v>38370.0</v>
      </c>
      <c r="B1318" s="15">
        <v>3.26</v>
      </c>
      <c r="C1318" s="15"/>
      <c r="D1318" s="15">
        <v>6.17</v>
      </c>
      <c r="E1318" s="15"/>
      <c r="F1318" s="15" t="str">
        <f t="shared" si="1"/>
        <v/>
      </c>
      <c r="G1318" s="15">
        <f t="shared" si="2"/>
        <v>6.17</v>
      </c>
      <c r="H1318" s="16">
        <v>1.0</v>
      </c>
      <c r="I1318" s="15">
        <f t="shared" si="3"/>
        <v>2.91</v>
      </c>
      <c r="J1318" s="15">
        <v>12.47</v>
      </c>
      <c r="K1318" s="16">
        <f>IF(COUNTIFS(Release_Calendar!$A$2:$A$755,"US_CPI",Release_Calendar!$B$2:$B$755,$A1318)&gt;0,1,0)</f>
        <v>0</v>
      </c>
      <c r="L1318" s="16">
        <f>IF(COUNTIFS(Release_Calendar!$A$2:$A$755,"US_NFP",Release_Calendar!$B$2:$B$755,$A1318)&gt;0,1,0)</f>
        <v>0</v>
      </c>
      <c r="M1318" s="16" t="str">
        <f>IF($A1318&lt;Notes!$B$5,"",IF(COUNTIFS(Release_Calendar!$A$2:$A$755,"NZ_CPI",Release_Calendar!$B$2:$B$755,$A1318)&gt;0,1,0))</f>
        <v/>
      </c>
      <c r="N1318" s="16" t="str">
        <f>IF($A1318&lt;Notes!$B$5,"",IF(COUNTIFS(Release_Calendar!$A$2:$A$755,"NZ_GDP",Release_Calendar!$B$2:$B$755,$A1318)&gt;0,1,0))</f>
        <v/>
      </c>
      <c r="O1318" s="16" t="str">
        <f>IF($A1318&lt;Notes!$B$5,"",IF(COUNTIFS(Release_Calendar!$A$2:$A$755,"NZ_LABOUR",Release_Calendar!$B$2:$B$755,$A1318)&gt;0,1,0))</f>
        <v/>
      </c>
      <c r="P1318" s="16">
        <f t="shared" si="4"/>
        <v>0</v>
      </c>
    </row>
    <row r="1319" ht="15.75" customHeight="1">
      <c r="A1319" s="14">
        <v>38371.0</v>
      </c>
      <c r="B1319" s="15">
        <v>3.26</v>
      </c>
      <c r="C1319" s="15"/>
      <c r="D1319" s="15">
        <v>6.21</v>
      </c>
      <c r="E1319" s="15"/>
      <c r="F1319" s="15" t="str">
        <f t="shared" si="1"/>
        <v/>
      </c>
      <c r="G1319" s="15">
        <f t="shared" si="2"/>
        <v>6.21</v>
      </c>
      <c r="H1319" s="16">
        <v>1.0</v>
      </c>
      <c r="I1319" s="15">
        <f t="shared" si="3"/>
        <v>2.95</v>
      </c>
      <c r="J1319" s="15">
        <v>13.18</v>
      </c>
      <c r="K1319" s="16">
        <f>IF(COUNTIFS(Release_Calendar!$A$2:$A$755,"US_CPI",Release_Calendar!$B$2:$B$755,$A1319)&gt;0,1,0)</f>
        <v>1</v>
      </c>
      <c r="L1319" s="16">
        <f>IF(COUNTIFS(Release_Calendar!$A$2:$A$755,"US_NFP",Release_Calendar!$B$2:$B$755,$A1319)&gt;0,1,0)</f>
        <v>0</v>
      </c>
      <c r="M1319" s="16" t="str">
        <f>IF($A1319&lt;Notes!$B$5,"",IF(COUNTIFS(Release_Calendar!$A$2:$A$755,"NZ_CPI",Release_Calendar!$B$2:$B$755,$A1319)&gt;0,1,0))</f>
        <v/>
      </c>
      <c r="N1319" s="16" t="str">
        <f>IF($A1319&lt;Notes!$B$5,"",IF(COUNTIFS(Release_Calendar!$A$2:$A$755,"NZ_GDP",Release_Calendar!$B$2:$B$755,$A1319)&gt;0,1,0))</f>
        <v/>
      </c>
      <c r="O1319" s="16" t="str">
        <f>IF($A1319&lt;Notes!$B$5,"",IF(COUNTIFS(Release_Calendar!$A$2:$A$755,"NZ_LABOUR",Release_Calendar!$B$2:$B$755,$A1319)&gt;0,1,0))</f>
        <v/>
      </c>
      <c r="P1319" s="16">
        <f t="shared" si="4"/>
        <v>1</v>
      </c>
    </row>
    <row r="1320" ht="15.75" customHeight="1">
      <c r="A1320" s="14">
        <v>38372.0</v>
      </c>
      <c r="B1320" s="15">
        <v>3.21</v>
      </c>
      <c r="C1320" s="15"/>
      <c r="D1320" s="15">
        <v>6.24</v>
      </c>
      <c r="E1320" s="15"/>
      <c r="F1320" s="15" t="str">
        <f t="shared" si="1"/>
        <v/>
      </c>
      <c r="G1320" s="15">
        <f t="shared" si="2"/>
        <v>6.24</v>
      </c>
      <c r="H1320" s="16">
        <v>1.0</v>
      </c>
      <c r="I1320" s="15">
        <f t="shared" si="3"/>
        <v>3.03</v>
      </c>
      <c r="J1320" s="15">
        <v>13.83</v>
      </c>
      <c r="K1320" s="16">
        <f>IF(COUNTIFS(Release_Calendar!$A$2:$A$755,"US_CPI",Release_Calendar!$B$2:$B$755,$A1320)&gt;0,1,0)</f>
        <v>0</v>
      </c>
      <c r="L1320" s="16">
        <f>IF(COUNTIFS(Release_Calendar!$A$2:$A$755,"US_NFP",Release_Calendar!$B$2:$B$755,$A1320)&gt;0,1,0)</f>
        <v>0</v>
      </c>
      <c r="M1320" s="16" t="str">
        <f>IF($A1320&lt;Notes!$B$5,"",IF(COUNTIFS(Release_Calendar!$A$2:$A$755,"NZ_CPI",Release_Calendar!$B$2:$B$755,$A1320)&gt;0,1,0))</f>
        <v/>
      </c>
      <c r="N1320" s="16" t="str">
        <f>IF($A1320&lt;Notes!$B$5,"",IF(COUNTIFS(Release_Calendar!$A$2:$A$755,"NZ_GDP",Release_Calendar!$B$2:$B$755,$A1320)&gt;0,1,0))</f>
        <v/>
      </c>
      <c r="O1320" s="16" t="str">
        <f>IF($A1320&lt;Notes!$B$5,"",IF(COUNTIFS(Release_Calendar!$A$2:$A$755,"NZ_LABOUR",Release_Calendar!$B$2:$B$755,$A1320)&gt;0,1,0))</f>
        <v/>
      </c>
      <c r="P1320" s="16">
        <f t="shared" si="4"/>
        <v>0</v>
      </c>
    </row>
    <row r="1321" ht="15.75" customHeight="1">
      <c r="A1321" s="14">
        <v>38373.0</v>
      </c>
      <c r="B1321" s="15">
        <v>3.16</v>
      </c>
      <c r="C1321" s="15"/>
      <c r="D1321" s="15">
        <v>6.27</v>
      </c>
      <c r="E1321" s="15"/>
      <c r="F1321" s="15" t="str">
        <f t="shared" si="1"/>
        <v/>
      </c>
      <c r="G1321" s="15">
        <f t="shared" si="2"/>
        <v>6.27</v>
      </c>
      <c r="H1321" s="16">
        <v>1.0</v>
      </c>
      <c r="I1321" s="15">
        <f t="shared" si="3"/>
        <v>3.11</v>
      </c>
      <c r="J1321" s="15">
        <v>14.36</v>
      </c>
      <c r="K1321" s="16">
        <f>IF(COUNTIFS(Release_Calendar!$A$2:$A$755,"US_CPI",Release_Calendar!$B$2:$B$755,$A1321)&gt;0,1,0)</f>
        <v>0</v>
      </c>
      <c r="L1321" s="16">
        <f>IF(COUNTIFS(Release_Calendar!$A$2:$A$755,"US_NFP",Release_Calendar!$B$2:$B$755,$A1321)&gt;0,1,0)</f>
        <v>0</v>
      </c>
      <c r="M1321" s="16" t="str">
        <f>IF($A1321&lt;Notes!$B$5,"",IF(COUNTIFS(Release_Calendar!$A$2:$A$755,"NZ_CPI",Release_Calendar!$B$2:$B$755,$A1321)&gt;0,1,0))</f>
        <v/>
      </c>
      <c r="N1321" s="16" t="str">
        <f>IF($A1321&lt;Notes!$B$5,"",IF(COUNTIFS(Release_Calendar!$A$2:$A$755,"NZ_GDP",Release_Calendar!$B$2:$B$755,$A1321)&gt;0,1,0))</f>
        <v/>
      </c>
      <c r="O1321" s="16" t="str">
        <f>IF($A1321&lt;Notes!$B$5,"",IF(COUNTIFS(Release_Calendar!$A$2:$A$755,"NZ_LABOUR",Release_Calendar!$B$2:$B$755,$A1321)&gt;0,1,0))</f>
        <v/>
      </c>
      <c r="P1321" s="16">
        <f t="shared" si="4"/>
        <v>0</v>
      </c>
    </row>
    <row r="1322" ht="15.75" customHeight="1">
      <c r="A1322" s="14">
        <v>38376.0</v>
      </c>
      <c r="B1322" s="15">
        <v>3.2</v>
      </c>
      <c r="C1322" s="15"/>
      <c r="D1322" s="15">
        <v>6.3</v>
      </c>
      <c r="E1322" s="15"/>
      <c r="F1322" s="15" t="str">
        <f t="shared" si="1"/>
        <v/>
      </c>
      <c r="G1322" s="15">
        <f t="shared" si="2"/>
        <v>6.3</v>
      </c>
      <c r="H1322" s="16">
        <v>1.0</v>
      </c>
      <c r="I1322" s="15">
        <f t="shared" si="3"/>
        <v>3.1</v>
      </c>
      <c r="J1322" s="15">
        <v>14.65</v>
      </c>
      <c r="K1322" s="16">
        <f>IF(COUNTIFS(Release_Calendar!$A$2:$A$755,"US_CPI",Release_Calendar!$B$2:$B$755,$A1322)&gt;0,1,0)</f>
        <v>0</v>
      </c>
      <c r="L1322" s="16">
        <f>IF(COUNTIFS(Release_Calendar!$A$2:$A$755,"US_NFP",Release_Calendar!$B$2:$B$755,$A1322)&gt;0,1,0)</f>
        <v>0</v>
      </c>
      <c r="M1322" s="16" t="str">
        <f>IF($A1322&lt;Notes!$B$5,"",IF(COUNTIFS(Release_Calendar!$A$2:$A$755,"NZ_CPI",Release_Calendar!$B$2:$B$755,$A1322)&gt;0,1,0))</f>
        <v/>
      </c>
      <c r="N1322" s="16" t="str">
        <f>IF($A1322&lt;Notes!$B$5,"",IF(COUNTIFS(Release_Calendar!$A$2:$A$755,"NZ_GDP",Release_Calendar!$B$2:$B$755,$A1322)&gt;0,1,0))</f>
        <v/>
      </c>
      <c r="O1322" s="16" t="str">
        <f>IF($A1322&lt;Notes!$B$5,"",IF(COUNTIFS(Release_Calendar!$A$2:$A$755,"NZ_LABOUR",Release_Calendar!$B$2:$B$755,$A1322)&gt;0,1,0))</f>
        <v/>
      </c>
      <c r="P1322" s="16">
        <f t="shared" si="4"/>
        <v>0</v>
      </c>
    </row>
    <row r="1323" ht="15.75" customHeight="1">
      <c r="A1323" s="14">
        <v>38377.0</v>
      </c>
      <c r="B1323" s="15">
        <v>3.23</v>
      </c>
      <c r="C1323" s="15"/>
      <c r="D1323" s="15">
        <v>6.31</v>
      </c>
      <c r="E1323" s="15"/>
      <c r="F1323" s="15" t="str">
        <f t="shared" si="1"/>
        <v/>
      </c>
      <c r="G1323" s="15">
        <f t="shared" si="2"/>
        <v>6.31</v>
      </c>
      <c r="H1323" s="16">
        <v>1.0</v>
      </c>
      <c r="I1323" s="15">
        <f t="shared" si="3"/>
        <v>3.08</v>
      </c>
      <c r="J1323" s="15">
        <v>14.06</v>
      </c>
      <c r="K1323" s="16">
        <f>IF(COUNTIFS(Release_Calendar!$A$2:$A$755,"US_CPI",Release_Calendar!$B$2:$B$755,$A1323)&gt;0,1,0)</f>
        <v>0</v>
      </c>
      <c r="L1323" s="16">
        <f>IF(COUNTIFS(Release_Calendar!$A$2:$A$755,"US_NFP",Release_Calendar!$B$2:$B$755,$A1323)&gt;0,1,0)</f>
        <v>0</v>
      </c>
      <c r="M1323" s="16" t="str">
        <f>IF($A1323&lt;Notes!$B$5,"",IF(COUNTIFS(Release_Calendar!$A$2:$A$755,"NZ_CPI",Release_Calendar!$B$2:$B$755,$A1323)&gt;0,1,0))</f>
        <v/>
      </c>
      <c r="N1323" s="16" t="str">
        <f>IF($A1323&lt;Notes!$B$5,"",IF(COUNTIFS(Release_Calendar!$A$2:$A$755,"NZ_GDP",Release_Calendar!$B$2:$B$755,$A1323)&gt;0,1,0))</f>
        <v/>
      </c>
      <c r="O1323" s="16" t="str">
        <f>IF($A1323&lt;Notes!$B$5,"",IF(COUNTIFS(Release_Calendar!$A$2:$A$755,"NZ_LABOUR",Release_Calendar!$B$2:$B$755,$A1323)&gt;0,1,0))</f>
        <v/>
      </c>
      <c r="P1323" s="16">
        <f t="shared" si="4"/>
        <v>0</v>
      </c>
    </row>
    <row r="1324" ht="15.75" customHeight="1">
      <c r="A1324" s="14">
        <v>38378.0</v>
      </c>
      <c r="B1324" s="15">
        <v>3.27</v>
      </c>
      <c r="C1324" s="15"/>
      <c r="D1324" s="15">
        <v>6.34</v>
      </c>
      <c r="E1324" s="15"/>
      <c r="F1324" s="15" t="str">
        <f t="shared" si="1"/>
        <v/>
      </c>
      <c r="G1324" s="15">
        <f t="shared" si="2"/>
        <v>6.34</v>
      </c>
      <c r="H1324" s="16">
        <v>1.0</v>
      </c>
      <c r="I1324" s="15">
        <f t="shared" si="3"/>
        <v>3.07</v>
      </c>
      <c r="J1324" s="15">
        <v>13.44</v>
      </c>
      <c r="K1324" s="16">
        <f>IF(COUNTIFS(Release_Calendar!$A$2:$A$755,"US_CPI",Release_Calendar!$B$2:$B$755,$A1324)&gt;0,1,0)</f>
        <v>0</v>
      </c>
      <c r="L1324" s="16">
        <f>IF(COUNTIFS(Release_Calendar!$A$2:$A$755,"US_NFP",Release_Calendar!$B$2:$B$755,$A1324)&gt;0,1,0)</f>
        <v>0</v>
      </c>
      <c r="M1324" s="16" t="str">
        <f>IF($A1324&lt;Notes!$B$5,"",IF(COUNTIFS(Release_Calendar!$A$2:$A$755,"NZ_CPI",Release_Calendar!$B$2:$B$755,$A1324)&gt;0,1,0))</f>
        <v/>
      </c>
      <c r="N1324" s="16" t="str">
        <f>IF($A1324&lt;Notes!$B$5,"",IF(COUNTIFS(Release_Calendar!$A$2:$A$755,"NZ_GDP",Release_Calendar!$B$2:$B$755,$A1324)&gt;0,1,0))</f>
        <v/>
      </c>
      <c r="O1324" s="16" t="str">
        <f>IF($A1324&lt;Notes!$B$5,"",IF(COUNTIFS(Release_Calendar!$A$2:$A$755,"NZ_LABOUR",Release_Calendar!$B$2:$B$755,$A1324)&gt;0,1,0))</f>
        <v/>
      </c>
      <c r="P1324" s="16">
        <f t="shared" si="4"/>
        <v>0</v>
      </c>
    </row>
    <row r="1325" ht="15.75" customHeight="1">
      <c r="A1325" s="14">
        <v>38379.0</v>
      </c>
      <c r="B1325" s="15">
        <v>3.28</v>
      </c>
      <c r="C1325" s="15"/>
      <c r="D1325" s="15">
        <v>6.31</v>
      </c>
      <c r="E1325" s="15"/>
      <c r="F1325" s="15" t="str">
        <f t="shared" si="1"/>
        <v/>
      </c>
      <c r="G1325" s="15">
        <f t="shared" si="2"/>
        <v>6.31</v>
      </c>
      <c r="H1325" s="16">
        <v>1.0</v>
      </c>
      <c r="I1325" s="15">
        <f t="shared" si="3"/>
        <v>3.03</v>
      </c>
      <c r="J1325" s="15">
        <v>13.24</v>
      </c>
      <c r="K1325" s="16">
        <f>IF(COUNTIFS(Release_Calendar!$A$2:$A$755,"US_CPI",Release_Calendar!$B$2:$B$755,$A1325)&gt;0,1,0)</f>
        <v>0</v>
      </c>
      <c r="L1325" s="16">
        <f>IF(COUNTIFS(Release_Calendar!$A$2:$A$755,"US_NFP",Release_Calendar!$B$2:$B$755,$A1325)&gt;0,1,0)</f>
        <v>0</v>
      </c>
      <c r="M1325" s="16" t="str">
        <f>IF($A1325&lt;Notes!$B$5,"",IF(COUNTIFS(Release_Calendar!$A$2:$A$755,"NZ_CPI",Release_Calendar!$B$2:$B$755,$A1325)&gt;0,1,0))</f>
        <v/>
      </c>
      <c r="N1325" s="16" t="str">
        <f>IF($A1325&lt;Notes!$B$5,"",IF(COUNTIFS(Release_Calendar!$A$2:$A$755,"NZ_GDP",Release_Calendar!$B$2:$B$755,$A1325)&gt;0,1,0))</f>
        <v/>
      </c>
      <c r="O1325" s="16" t="str">
        <f>IF($A1325&lt;Notes!$B$5,"",IF(COUNTIFS(Release_Calendar!$A$2:$A$755,"NZ_LABOUR",Release_Calendar!$B$2:$B$755,$A1325)&gt;0,1,0))</f>
        <v/>
      </c>
      <c r="P1325" s="16">
        <f t="shared" si="4"/>
        <v>0</v>
      </c>
    </row>
    <row r="1326" ht="15.75" customHeight="1">
      <c r="A1326" s="14">
        <v>38380.0</v>
      </c>
      <c r="B1326" s="15">
        <v>3.25</v>
      </c>
      <c r="C1326" s="15"/>
      <c r="D1326" s="15">
        <v>6.33</v>
      </c>
      <c r="E1326" s="15"/>
      <c r="F1326" s="15" t="str">
        <f t="shared" si="1"/>
        <v/>
      </c>
      <c r="G1326" s="15">
        <f t="shared" si="2"/>
        <v>6.33</v>
      </c>
      <c r="H1326" s="16">
        <v>1.0</v>
      </c>
      <c r="I1326" s="15">
        <f t="shared" si="3"/>
        <v>3.08</v>
      </c>
      <c r="J1326" s="15">
        <v>13.24</v>
      </c>
      <c r="K1326" s="16">
        <f>IF(COUNTIFS(Release_Calendar!$A$2:$A$755,"US_CPI",Release_Calendar!$B$2:$B$755,$A1326)&gt;0,1,0)</f>
        <v>0</v>
      </c>
      <c r="L1326" s="16">
        <f>IF(COUNTIFS(Release_Calendar!$A$2:$A$755,"US_NFP",Release_Calendar!$B$2:$B$755,$A1326)&gt;0,1,0)</f>
        <v>0</v>
      </c>
      <c r="M1326" s="16" t="str">
        <f>IF($A1326&lt;Notes!$B$5,"",IF(COUNTIFS(Release_Calendar!$A$2:$A$755,"NZ_CPI",Release_Calendar!$B$2:$B$755,$A1326)&gt;0,1,0))</f>
        <v/>
      </c>
      <c r="N1326" s="16" t="str">
        <f>IF($A1326&lt;Notes!$B$5,"",IF(COUNTIFS(Release_Calendar!$A$2:$A$755,"NZ_GDP",Release_Calendar!$B$2:$B$755,$A1326)&gt;0,1,0))</f>
        <v/>
      </c>
      <c r="O1326" s="16" t="str">
        <f>IF($A1326&lt;Notes!$B$5,"",IF(COUNTIFS(Release_Calendar!$A$2:$A$755,"NZ_LABOUR",Release_Calendar!$B$2:$B$755,$A1326)&gt;0,1,0))</f>
        <v/>
      </c>
      <c r="P1326" s="16">
        <f t="shared" si="4"/>
        <v>0</v>
      </c>
    </row>
    <row r="1327" ht="15.75" customHeight="1">
      <c r="A1327" s="14">
        <v>38383.0</v>
      </c>
      <c r="B1327" s="15">
        <v>3.29</v>
      </c>
      <c r="C1327" s="15"/>
      <c r="D1327" s="15">
        <v>6.33</v>
      </c>
      <c r="E1327" s="15"/>
      <c r="F1327" s="15" t="str">
        <f t="shared" si="1"/>
        <v/>
      </c>
      <c r="G1327" s="15">
        <f t="shared" si="2"/>
        <v>6.33</v>
      </c>
      <c r="H1327" s="16">
        <v>1.0</v>
      </c>
      <c r="I1327" s="15">
        <f t="shared" si="3"/>
        <v>3.04</v>
      </c>
      <c r="J1327" s="15">
        <v>12.82</v>
      </c>
      <c r="K1327" s="16">
        <f>IF(COUNTIFS(Release_Calendar!$A$2:$A$755,"US_CPI",Release_Calendar!$B$2:$B$755,$A1327)&gt;0,1,0)</f>
        <v>0</v>
      </c>
      <c r="L1327" s="16">
        <f>IF(COUNTIFS(Release_Calendar!$A$2:$A$755,"US_NFP",Release_Calendar!$B$2:$B$755,$A1327)&gt;0,1,0)</f>
        <v>0</v>
      </c>
      <c r="M1327" s="16" t="str">
        <f>IF($A1327&lt;Notes!$B$5,"",IF(COUNTIFS(Release_Calendar!$A$2:$A$755,"NZ_CPI",Release_Calendar!$B$2:$B$755,$A1327)&gt;0,1,0))</f>
        <v/>
      </c>
      <c r="N1327" s="16" t="str">
        <f>IF($A1327&lt;Notes!$B$5,"",IF(COUNTIFS(Release_Calendar!$A$2:$A$755,"NZ_GDP",Release_Calendar!$B$2:$B$755,$A1327)&gt;0,1,0))</f>
        <v/>
      </c>
      <c r="O1327" s="16" t="str">
        <f>IF($A1327&lt;Notes!$B$5,"",IF(COUNTIFS(Release_Calendar!$A$2:$A$755,"NZ_LABOUR",Release_Calendar!$B$2:$B$755,$A1327)&gt;0,1,0))</f>
        <v/>
      </c>
      <c r="P1327" s="16">
        <f t="shared" si="4"/>
        <v>0</v>
      </c>
    </row>
    <row r="1328" ht="15.75" customHeight="1">
      <c r="A1328" s="14">
        <v>38384.0</v>
      </c>
      <c r="B1328" s="15">
        <v>3.29</v>
      </c>
      <c r="C1328" s="15"/>
      <c r="D1328" s="15">
        <v>6.33</v>
      </c>
      <c r="E1328" s="15"/>
      <c r="F1328" s="15" t="str">
        <f t="shared" si="1"/>
        <v/>
      </c>
      <c r="G1328" s="15">
        <f t="shared" si="2"/>
        <v>6.33</v>
      </c>
      <c r="H1328" s="16">
        <v>1.0</v>
      </c>
      <c r="I1328" s="15">
        <f t="shared" si="3"/>
        <v>3.04</v>
      </c>
      <c r="J1328" s="15">
        <v>12.03</v>
      </c>
      <c r="K1328" s="16">
        <f>IF(COUNTIFS(Release_Calendar!$A$2:$A$755,"US_CPI",Release_Calendar!$B$2:$B$755,$A1328)&gt;0,1,0)</f>
        <v>0</v>
      </c>
      <c r="L1328" s="16">
        <f>IF(COUNTIFS(Release_Calendar!$A$2:$A$755,"US_NFP",Release_Calendar!$B$2:$B$755,$A1328)&gt;0,1,0)</f>
        <v>0</v>
      </c>
      <c r="M1328" s="16" t="str">
        <f>IF($A1328&lt;Notes!$B$5,"",IF(COUNTIFS(Release_Calendar!$A$2:$A$755,"NZ_CPI",Release_Calendar!$B$2:$B$755,$A1328)&gt;0,1,0))</f>
        <v/>
      </c>
      <c r="N1328" s="16" t="str">
        <f>IF($A1328&lt;Notes!$B$5,"",IF(COUNTIFS(Release_Calendar!$A$2:$A$755,"NZ_GDP",Release_Calendar!$B$2:$B$755,$A1328)&gt;0,1,0))</f>
        <v/>
      </c>
      <c r="O1328" s="16" t="str">
        <f>IF($A1328&lt;Notes!$B$5,"",IF(COUNTIFS(Release_Calendar!$A$2:$A$755,"NZ_LABOUR",Release_Calendar!$B$2:$B$755,$A1328)&gt;0,1,0))</f>
        <v/>
      </c>
      <c r="P1328" s="16">
        <f t="shared" si="4"/>
        <v>0</v>
      </c>
    </row>
    <row r="1329" ht="15.75" customHeight="1">
      <c r="A1329" s="14">
        <v>38385.0</v>
      </c>
      <c r="B1329" s="15">
        <v>3.32</v>
      </c>
      <c r="C1329" s="15"/>
      <c r="D1329" s="15">
        <v>6.3</v>
      </c>
      <c r="E1329" s="15"/>
      <c r="F1329" s="15" t="str">
        <f t="shared" si="1"/>
        <v/>
      </c>
      <c r="G1329" s="15">
        <f t="shared" si="2"/>
        <v>6.3</v>
      </c>
      <c r="H1329" s="16">
        <v>1.0</v>
      </c>
      <c r="I1329" s="15">
        <f t="shared" si="3"/>
        <v>2.98</v>
      </c>
      <c r="J1329" s="15">
        <v>11.66</v>
      </c>
      <c r="K1329" s="16">
        <f>IF(COUNTIFS(Release_Calendar!$A$2:$A$755,"US_CPI",Release_Calendar!$B$2:$B$755,$A1329)&gt;0,1,0)</f>
        <v>0</v>
      </c>
      <c r="L1329" s="16">
        <f>IF(COUNTIFS(Release_Calendar!$A$2:$A$755,"US_NFP",Release_Calendar!$B$2:$B$755,$A1329)&gt;0,1,0)</f>
        <v>0</v>
      </c>
      <c r="M1329" s="16" t="str">
        <f>IF($A1329&lt;Notes!$B$5,"",IF(COUNTIFS(Release_Calendar!$A$2:$A$755,"NZ_CPI",Release_Calendar!$B$2:$B$755,$A1329)&gt;0,1,0))</f>
        <v/>
      </c>
      <c r="N1329" s="16" t="str">
        <f>IF($A1329&lt;Notes!$B$5,"",IF(COUNTIFS(Release_Calendar!$A$2:$A$755,"NZ_GDP",Release_Calendar!$B$2:$B$755,$A1329)&gt;0,1,0))</f>
        <v/>
      </c>
      <c r="O1329" s="16" t="str">
        <f>IF($A1329&lt;Notes!$B$5,"",IF(COUNTIFS(Release_Calendar!$A$2:$A$755,"NZ_LABOUR",Release_Calendar!$B$2:$B$755,$A1329)&gt;0,1,0))</f>
        <v/>
      </c>
      <c r="P1329" s="16">
        <f t="shared" si="4"/>
        <v>0</v>
      </c>
    </row>
    <row r="1330" ht="15.75" customHeight="1">
      <c r="A1330" s="14">
        <v>38386.0</v>
      </c>
      <c r="B1330" s="15">
        <v>3.34</v>
      </c>
      <c r="C1330" s="15"/>
      <c r="D1330" s="15">
        <v>6.31</v>
      </c>
      <c r="E1330" s="15"/>
      <c r="F1330" s="15" t="str">
        <f t="shared" si="1"/>
        <v/>
      </c>
      <c r="G1330" s="15">
        <f t="shared" si="2"/>
        <v>6.31</v>
      </c>
      <c r="H1330" s="16">
        <v>1.0</v>
      </c>
      <c r="I1330" s="15">
        <f t="shared" si="3"/>
        <v>2.97</v>
      </c>
      <c r="J1330" s="15">
        <v>11.79</v>
      </c>
      <c r="K1330" s="16">
        <f>IF(COUNTIFS(Release_Calendar!$A$2:$A$755,"US_CPI",Release_Calendar!$B$2:$B$755,$A1330)&gt;0,1,0)</f>
        <v>0</v>
      </c>
      <c r="L1330" s="16">
        <f>IF(COUNTIFS(Release_Calendar!$A$2:$A$755,"US_NFP",Release_Calendar!$B$2:$B$755,$A1330)&gt;0,1,0)</f>
        <v>0</v>
      </c>
      <c r="M1330" s="16" t="str">
        <f>IF($A1330&lt;Notes!$B$5,"",IF(COUNTIFS(Release_Calendar!$A$2:$A$755,"NZ_CPI",Release_Calendar!$B$2:$B$755,$A1330)&gt;0,1,0))</f>
        <v/>
      </c>
      <c r="N1330" s="16" t="str">
        <f>IF($A1330&lt;Notes!$B$5,"",IF(COUNTIFS(Release_Calendar!$A$2:$A$755,"NZ_GDP",Release_Calendar!$B$2:$B$755,$A1330)&gt;0,1,0))</f>
        <v/>
      </c>
      <c r="O1330" s="16" t="str">
        <f>IF($A1330&lt;Notes!$B$5,"",IF(COUNTIFS(Release_Calendar!$A$2:$A$755,"NZ_LABOUR",Release_Calendar!$B$2:$B$755,$A1330)&gt;0,1,0))</f>
        <v/>
      </c>
      <c r="P1330" s="16">
        <f t="shared" si="4"/>
        <v>0</v>
      </c>
    </row>
    <row r="1331" ht="15.75" customHeight="1">
      <c r="A1331" s="14">
        <v>38387.0</v>
      </c>
      <c r="B1331" s="15">
        <v>3.29</v>
      </c>
      <c r="C1331" s="15"/>
      <c r="D1331" s="15">
        <v>6.32</v>
      </c>
      <c r="E1331" s="15"/>
      <c r="F1331" s="15" t="str">
        <f t="shared" si="1"/>
        <v/>
      </c>
      <c r="G1331" s="15">
        <f t="shared" si="2"/>
        <v>6.32</v>
      </c>
      <c r="H1331" s="16">
        <v>1.0</v>
      </c>
      <c r="I1331" s="15">
        <f t="shared" si="3"/>
        <v>3.03</v>
      </c>
      <c r="J1331" s="15">
        <v>11.21</v>
      </c>
      <c r="K1331" s="16">
        <f>IF(COUNTIFS(Release_Calendar!$A$2:$A$755,"US_CPI",Release_Calendar!$B$2:$B$755,$A1331)&gt;0,1,0)</f>
        <v>0</v>
      </c>
      <c r="L1331" s="16">
        <f>IF(COUNTIFS(Release_Calendar!$A$2:$A$755,"US_NFP",Release_Calendar!$B$2:$B$755,$A1331)&gt;0,1,0)</f>
        <v>1</v>
      </c>
      <c r="M1331" s="16" t="str">
        <f>IF($A1331&lt;Notes!$B$5,"",IF(COUNTIFS(Release_Calendar!$A$2:$A$755,"NZ_CPI",Release_Calendar!$B$2:$B$755,$A1331)&gt;0,1,0))</f>
        <v/>
      </c>
      <c r="N1331" s="16" t="str">
        <f>IF($A1331&lt;Notes!$B$5,"",IF(COUNTIFS(Release_Calendar!$A$2:$A$755,"NZ_GDP",Release_Calendar!$B$2:$B$755,$A1331)&gt;0,1,0))</f>
        <v/>
      </c>
      <c r="O1331" s="16" t="str">
        <f>IF($A1331&lt;Notes!$B$5,"",IF(COUNTIFS(Release_Calendar!$A$2:$A$755,"NZ_LABOUR",Release_Calendar!$B$2:$B$755,$A1331)&gt;0,1,0))</f>
        <v/>
      </c>
      <c r="P1331" s="16">
        <f t="shared" si="4"/>
        <v>1</v>
      </c>
    </row>
    <row r="1332" ht="15.75" customHeight="1">
      <c r="A1332" s="14">
        <v>38390.0</v>
      </c>
      <c r="B1332" s="15">
        <v>3.31</v>
      </c>
      <c r="C1332" s="15"/>
      <c r="D1332" s="15">
        <v>6.28</v>
      </c>
      <c r="E1332" s="15"/>
      <c r="F1332" s="15" t="str">
        <f t="shared" si="1"/>
        <v/>
      </c>
      <c r="G1332" s="15">
        <f t="shared" si="2"/>
        <v>6.28</v>
      </c>
      <c r="H1332" s="16">
        <v>1.0</v>
      </c>
      <c r="I1332" s="15">
        <f t="shared" si="3"/>
        <v>2.97</v>
      </c>
      <c r="J1332" s="15">
        <v>11.73</v>
      </c>
      <c r="K1332" s="16">
        <f>IF(COUNTIFS(Release_Calendar!$A$2:$A$755,"US_CPI",Release_Calendar!$B$2:$B$755,$A1332)&gt;0,1,0)</f>
        <v>0</v>
      </c>
      <c r="L1332" s="16">
        <f>IF(COUNTIFS(Release_Calendar!$A$2:$A$755,"US_NFP",Release_Calendar!$B$2:$B$755,$A1332)&gt;0,1,0)</f>
        <v>0</v>
      </c>
      <c r="M1332" s="16" t="str">
        <f>IF($A1332&lt;Notes!$B$5,"",IF(COUNTIFS(Release_Calendar!$A$2:$A$755,"NZ_CPI",Release_Calendar!$B$2:$B$755,$A1332)&gt;0,1,0))</f>
        <v/>
      </c>
      <c r="N1332" s="16" t="str">
        <f>IF($A1332&lt;Notes!$B$5,"",IF(COUNTIFS(Release_Calendar!$A$2:$A$755,"NZ_GDP",Release_Calendar!$B$2:$B$755,$A1332)&gt;0,1,0))</f>
        <v/>
      </c>
      <c r="O1332" s="16" t="str">
        <f>IF($A1332&lt;Notes!$B$5,"",IF(COUNTIFS(Release_Calendar!$A$2:$A$755,"NZ_LABOUR",Release_Calendar!$B$2:$B$755,$A1332)&gt;0,1,0))</f>
        <v/>
      </c>
      <c r="P1332" s="16">
        <f t="shared" si="4"/>
        <v>0</v>
      </c>
    </row>
    <row r="1333" ht="15.75" customHeight="1">
      <c r="A1333" s="14">
        <v>38391.0</v>
      </c>
      <c r="B1333" s="15">
        <v>3.33</v>
      </c>
      <c r="C1333" s="15"/>
      <c r="D1333" s="15">
        <v>6.36</v>
      </c>
      <c r="E1333" s="15"/>
      <c r="F1333" s="15" t="str">
        <f t="shared" si="1"/>
        <v/>
      </c>
      <c r="G1333" s="15">
        <f t="shared" si="2"/>
        <v>6.36</v>
      </c>
      <c r="H1333" s="16">
        <v>1.0</v>
      </c>
      <c r="I1333" s="15">
        <f t="shared" si="3"/>
        <v>3.03</v>
      </c>
      <c r="J1333" s="15">
        <v>11.6</v>
      </c>
      <c r="K1333" s="16">
        <f>IF(COUNTIFS(Release_Calendar!$A$2:$A$755,"US_CPI",Release_Calendar!$B$2:$B$755,$A1333)&gt;0,1,0)</f>
        <v>0</v>
      </c>
      <c r="L1333" s="16">
        <f>IF(COUNTIFS(Release_Calendar!$A$2:$A$755,"US_NFP",Release_Calendar!$B$2:$B$755,$A1333)&gt;0,1,0)</f>
        <v>0</v>
      </c>
      <c r="M1333" s="16" t="str">
        <f>IF($A1333&lt;Notes!$B$5,"",IF(COUNTIFS(Release_Calendar!$A$2:$A$755,"NZ_CPI",Release_Calendar!$B$2:$B$755,$A1333)&gt;0,1,0))</f>
        <v/>
      </c>
      <c r="N1333" s="16" t="str">
        <f>IF($A1333&lt;Notes!$B$5,"",IF(COUNTIFS(Release_Calendar!$A$2:$A$755,"NZ_GDP",Release_Calendar!$B$2:$B$755,$A1333)&gt;0,1,0))</f>
        <v/>
      </c>
      <c r="O1333" s="16" t="str">
        <f>IF($A1333&lt;Notes!$B$5,"",IF(COUNTIFS(Release_Calendar!$A$2:$A$755,"NZ_LABOUR",Release_Calendar!$B$2:$B$755,$A1333)&gt;0,1,0))</f>
        <v/>
      </c>
      <c r="P1333" s="16">
        <f t="shared" si="4"/>
        <v>0</v>
      </c>
    </row>
    <row r="1334" ht="15.75" customHeight="1">
      <c r="A1334" s="14">
        <v>38392.0</v>
      </c>
      <c r="B1334" s="15">
        <v>3.24</v>
      </c>
      <c r="C1334" s="15"/>
      <c r="D1334" s="15">
        <v>6.36</v>
      </c>
      <c r="E1334" s="15"/>
      <c r="F1334" s="15" t="str">
        <f t="shared" si="1"/>
        <v/>
      </c>
      <c r="G1334" s="15">
        <f t="shared" si="2"/>
        <v>6.36</v>
      </c>
      <c r="H1334" s="16">
        <v>1.0</v>
      </c>
      <c r="I1334" s="15">
        <f t="shared" si="3"/>
        <v>3.12</v>
      </c>
      <c r="J1334" s="15">
        <v>12.0</v>
      </c>
      <c r="K1334" s="16">
        <f>IF(COUNTIFS(Release_Calendar!$A$2:$A$755,"US_CPI",Release_Calendar!$B$2:$B$755,$A1334)&gt;0,1,0)</f>
        <v>0</v>
      </c>
      <c r="L1334" s="16">
        <f>IF(COUNTIFS(Release_Calendar!$A$2:$A$755,"US_NFP",Release_Calendar!$B$2:$B$755,$A1334)&gt;0,1,0)</f>
        <v>0</v>
      </c>
      <c r="M1334" s="16" t="str">
        <f>IF($A1334&lt;Notes!$B$5,"",IF(COUNTIFS(Release_Calendar!$A$2:$A$755,"NZ_CPI",Release_Calendar!$B$2:$B$755,$A1334)&gt;0,1,0))</f>
        <v/>
      </c>
      <c r="N1334" s="16" t="str">
        <f>IF($A1334&lt;Notes!$B$5,"",IF(COUNTIFS(Release_Calendar!$A$2:$A$755,"NZ_GDP",Release_Calendar!$B$2:$B$755,$A1334)&gt;0,1,0))</f>
        <v/>
      </c>
      <c r="O1334" s="16" t="str">
        <f>IF($A1334&lt;Notes!$B$5,"",IF(COUNTIFS(Release_Calendar!$A$2:$A$755,"NZ_LABOUR",Release_Calendar!$B$2:$B$755,$A1334)&gt;0,1,0))</f>
        <v/>
      </c>
      <c r="P1334" s="16">
        <f t="shared" si="4"/>
        <v>0</v>
      </c>
    </row>
    <row r="1335" ht="15.75" customHeight="1">
      <c r="A1335" s="14">
        <v>38393.0</v>
      </c>
      <c r="B1335" s="15">
        <v>3.29</v>
      </c>
      <c r="C1335" s="15"/>
      <c r="D1335" s="15">
        <v>6.33</v>
      </c>
      <c r="E1335" s="15"/>
      <c r="F1335" s="15" t="str">
        <f t="shared" si="1"/>
        <v/>
      </c>
      <c r="G1335" s="15">
        <f t="shared" si="2"/>
        <v>6.33</v>
      </c>
      <c r="H1335" s="16">
        <v>1.0</v>
      </c>
      <c r="I1335" s="15">
        <f t="shared" si="3"/>
        <v>3.04</v>
      </c>
      <c r="J1335" s="15">
        <v>11.51</v>
      </c>
      <c r="K1335" s="16">
        <f>IF(COUNTIFS(Release_Calendar!$A$2:$A$755,"US_CPI",Release_Calendar!$B$2:$B$755,$A1335)&gt;0,1,0)</f>
        <v>0</v>
      </c>
      <c r="L1335" s="16">
        <f>IF(COUNTIFS(Release_Calendar!$A$2:$A$755,"US_NFP",Release_Calendar!$B$2:$B$755,$A1335)&gt;0,1,0)</f>
        <v>0</v>
      </c>
      <c r="M1335" s="16" t="str">
        <f>IF($A1335&lt;Notes!$B$5,"",IF(COUNTIFS(Release_Calendar!$A$2:$A$755,"NZ_CPI",Release_Calendar!$B$2:$B$755,$A1335)&gt;0,1,0))</f>
        <v/>
      </c>
      <c r="N1335" s="16" t="str">
        <f>IF($A1335&lt;Notes!$B$5,"",IF(COUNTIFS(Release_Calendar!$A$2:$A$755,"NZ_GDP",Release_Calendar!$B$2:$B$755,$A1335)&gt;0,1,0))</f>
        <v/>
      </c>
      <c r="O1335" s="16" t="str">
        <f>IF($A1335&lt;Notes!$B$5,"",IF(COUNTIFS(Release_Calendar!$A$2:$A$755,"NZ_LABOUR",Release_Calendar!$B$2:$B$755,$A1335)&gt;0,1,0))</f>
        <v/>
      </c>
      <c r="P1335" s="16">
        <f t="shared" si="4"/>
        <v>0</v>
      </c>
    </row>
    <row r="1336" ht="15.75" customHeight="1">
      <c r="A1336" s="14">
        <v>38394.0</v>
      </c>
      <c r="B1336" s="15">
        <v>3.34</v>
      </c>
      <c r="C1336" s="15"/>
      <c r="D1336" s="15">
        <v>6.38</v>
      </c>
      <c r="E1336" s="15"/>
      <c r="F1336" s="15" t="str">
        <f t="shared" si="1"/>
        <v/>
      </c>
      <c r="G1336" s="15">
        <f t="shared" si="2"/>
        <v>6.38</v>
      </c>
      <c r="H1336" s="16">
        <v>1.0</v>
      </c>
      <c r="I1336" s="15">
        <f t="shared" si="3"/>
        <v>3.04</v>
      </c>
      <c r="J1336" s="15">
        <v>11.43</v>
      </c>
      <c r="K1336" s="16">
        <f>IF(COUNTIFS(Release_Calendar!$A$2:$A$755,"US_CPI",Release_Calendar!$B$2:$B$755,$A1336)&gt;0,1,0)</f>
        <v>0</v>
      </c>
      <c r="L1336" s="16">
        <f>IF(COUNTIFS(Release_Calendar!$A$2:$A$755,"US_NFP",Release_Calendar!$B$2:$B$755,$A1336)&gt;0,1,0)</f>
        <v>0</v>
      </c>
      <c r="M1336" s="16" t="str">
        <f>IF($A1336&lt;Notes!$B$5,"",IF(COUNTIFS(Release_Calendar!$A$2:$A$755,"NZ_CPI",Release_Calendar!$B$2:$B$755,$A1336)&gt;0,1,0))</f>
        <v/>
      </c>
      <c r="N1336" s="16" t="str">
        <f>IF($A1336&lt;Notes!$B$5,"",IF(COUNTIFS(Release_Calendar!$A$2:$A$755,"NZ_GDP",Release_Calendar!$B$2:$B$755,$A1336)&gt;0,1,0))</f>
        <v/>
      </c>
      <c r="O1336" s="16" t="str">
        <f>IF($A1336&lt;Notes!$B$5,"",IF(COUNTIFS(Release_Calendar!$A$2:$A$755,"NZ_LABOUR",Release_Calendar!$B$2:$B$755,$A1336)&gt;0,1,0))</f>
        <v/>
      </c>
      <c r="P1336" s="16">
        <f t="shared" si="4"/>
        <v>0</v>
      </c>
    </row>
    <row r="1337" ht="15.75" customHeight="1">
      <c r="A1337" s="14">
        <v>38397.0</v>
      </c>
      <c r="B1337" s="15">
        <v>3.38</v>
      </c>
      <c r="C1337" s="15"/>
      <c r="D1337" s="15">
        <v>6.35</v>
      </c>
      <c r="E1337" s="15"/>
      <c r="F1337" s="15" t="str">
        <f t="shared" si="1"/>
        <v/>
      </c>
      <c r="G1337" s="15">
        <f t="shared" si="2"/>
        <v>6.35</v>
      </c>
      <c r="H1337" s="16">
        <v>1.0</v>
      </c>
      <c r="I1337" s="15">
        <f t="shared" si="3"/>
        <v>2.97</v>
      </c>
      <c r="J1337" s="15">
        <v>11.52</v>
      </c>
      <c r="K1337" s="16">
        <f>IF(COUNTIFS(Release_Calendar!$A$2:$A$755,"US_CPI",Release_Calendar!$B$2:$B$755,$A1337)&gt;0,1,0)</f>
        <v>0</v>
      </c>
      <c r="L1337" s="16">
        <f>IF(COUNTIFS(Release_Calendar!$A$2:$A$755,"US_NFP",Release_Calendar!$B$2:$B$755,$A1337)&gt;0,1,0)</f>
        <v>0</v>
      </c>
      <c r="M1337" s="16" t="str">
        <f>IF($A1337&lt;Notes!$B$5,"",IF(COUNTIFS(Release_Calendar!$A$2:$A$755,"NZ_CPI",Release_Calendar!$B$2:$B$755,$A1337)&gt;0,1,0))</f>
        <v/>
      </c>
      <c r="N1337" s="16" t="str">
        <f>IF($A1337&lt;Notes!$B$5,"",IF(COUNTIFS(Release_Calendar!$A$2:$A$755,"NZ_GDP",Release_Calendar!$B$2:$B$755,$A1337)&gt;0,1,0))</f>
        <v/>
      </c>
      <c r="O1337" s="16" t="str">
        <f>IF($A1337&lt;Notes!$B$5,"",IF(COUNTIFS(Release_Calendar!$A$2:$A$755,"NZ_LABOUR",Release_Calendar!$B$2:$B$755,$A1337)&gt;0,1,0))</f>
        <v/>
      </c>
      <c r="P1337" s="16">
        <f t="shared" si="4"/>
        <v>0</v>
      </c>
    </row>
    <row r="1338" ht="15.75" customHeight="1">
      <c r="A1338" s="14">
        <v>38398.0</v>
      </c>
      <c r="B1338" s="15">
        <v>3.37</v>
      </c>
      <c r="C1338" s="15"/>
      <c r="D1338" s="15">
        <v>6.25</v>
      </c>
      <c r="E1338" s="15"/>
      <c r="F1338" s="15" t="str">
        <f t="shared" si="1"/>
        <v/>
      </c>
      <c r="G1338" s="15">
        <f t="shared" si="2"/>
        <v>6.25</v>
      </c>
      <c r="H1338" s="16">
        <v>1.0</v>
      </c>
      <c r="I1338" s="15">
        <f t="shared" si="3"/>
        <v>2.88</v>
      </c>
      <c r="J1338" s="15">
        <v>11.27</v>
      </c>
      <c r="K1338" s="16">
        <f>IF(COUNTIFS(Release_Calendar!$A$2:$A$755,"US_CPI",Release_Calendar!$B$2:$B$755,$A1338)&gt;0,1,0)</f>
        <v>0</v>
      </c>
      <c r="L1338" s="16">
        <f>IF(COUNTIFS(Release_Calendar!$A$2:$A$755,"US_NFP",Release_Calendar!$B$2:$B$755,$A1338)&gt;0,1,0)</f>
        <v>0</v>
      </c>
      <c r="M1338" s="16" t="str">
        <f>IF($A1338&lt;Notes!$B$5,"",IF(COUNTIFS(Release_Calendar!$A$2:$A$755,"NZ_CPI",Release_Calendar!$B$2:$B$755,$A1338)&gt;0,1,0))</f>
        <v/>
      </c>
      <c r="N1338" s="16" t="str">
        <f>IF($A1338&lt;Notes!$B$5,"",IF(COUNTIFS(Release_Calendar!$A$2:$A$755,"NZ_GDP",Release_Calendar!$B$2:$B$755,$A1338)&gt;0,1,0))</f>
        <v/>
      </c>
      <c r="O1338" s="16" t="str">
        <f>IF($A1338&lt;Notes!$B$5,"",IF(COUNTIFS(Release_Calendar!$A$2:$A$755,"NZ_LABOUR",Release_Calendar!$B$2:$B$755,$A1338)&gt;0,1,0))</f>
        <v/>
      </c>
      <c r="P1338" s="16">
        <f t="shared" si="4"/>
        <v>0</v>
      </c>
    </row>
    <row r="1339" ht="15.75" customHeight="1">
      <c r="A1339" s="14">
        <v>38399.0</v>
      </c>
      <c r="B1339" s="15">
        <v>3.41</v>
      </c>
      <c r="C1339" s="15"/>
      <c r="D1339" s="15">
        <v>6.2</v>
      </c>
      <c r="E1339" s="15"/>
      <c r="F1339" s="15" t="str">
        <f t="shared" si="1"/>
        <v/>
      </c>
      <c r="G1339" s="15">
        <f t="shared" si="2"/>
        <v>6.2</v>
      </c>
      <c r="H1339" s="16">
        <v>1.0</v>
      </c>
      <c r="I1339" s="15">
        <f t="shared" si="3"/>
        <v>2.79</v>
      </c>
      <c r="J1339" s="15">
        <v>11.1</v>
      </c>
      <c r="K1339" s="16">
        <f>IF(COUNTIFS(Release_Calendar!$A$2:$A$755,"US_CPI",Release_Calendar!$B$2:$B$755,$A1339)&gt;0,1,0)</f>
        <v>0</v>
      </c>
      <c r="L1339" s="16">
        <f>IF(COUNTIFS(Release_Calendar!$A$2:$A$755,"US_NFP",Release_Calendar!$B$2:$B$755,$A1339)&gt;0,1,0)</f>
        <v>0</v>
      </c>
      <c r="M1339" s="16" t="str">
        <f>IF($A1339&lt;Notes!$B$5,"",IF(COUNTIFS(Release_Calendar!$A$2:$A$755,"NZ_CPI",Release_Calendar!$B$2:$B$755,$A1339)&gt;0,1,0))</f>
        <v/>
      </c>
      <c r="N1339" s="16" t="str">
        <f>IF($A1339&lt;Notes!$B$5,"",IF(COUNTIFS(Release_Calendar!$A$2:$A$755,"NZ_GDP",Release_Calendar!$B$2:$B$755,$A1339)&gt;0,1,0))</f>
        <v/>
      </c>
      <c r="O1339" s="16" t="str">
        <f>IF($A1339&lt;Notes!$B$5,"",IF(COUNTIFS(Release_Calendar!$A$2:$A$755,"NZ_LABOUR",Release_Calendar!$B$2:$B$755,$A1339)&gt;0,1,0))</f>
        <v/>
      </c>
      <c r="P1339" s="16">
        <f t="shared" si="4"/>
        <v>0</v>
      </c>
    </row>
    <row r="1340" ht="15.75" customHeight="1">
      <c r="A1340" s="14">
        <v>38400.0</v>
      </c>
      <c r="B1340" s="15">
        <v>3.38</v>
      </c>
      <c r="C1340" s="15"/>
      <c r="D1340" s="15">
        <v>6.24</v>
      </c>
      <c r="E1340" s="15"/>
      <c r="F1340" s="15" t="str">
        <f t="shared" si="1"/>
        <v/>
      </c>
      <c r="G1340" s="15">
        <f t="shared" si="2"/>
        <v>6.24</v>
      </c>
      <c r="H1340" s="16">
        <v>1.0</v>
      </c>
      <c r="I1340" s="15">
        <f t="shared" si="3"/>
        <v>2.86</v>
      </c>
      <c r="J1340" s="15">
        <v>11.77</v>
      </c>
      <c r="K1340" s="16">
        <f>IF(COUNTIFS(Release_Calendar!$A$2:$A$755,"US_CPI",Release_Calendar!$B$2:$B$755,$A1340)&gt;0,1,0)</f>
        <v>0</v>
      </c>
      <c r="L1340" s="16">
        <f>IF(COUNTIFS(Release_Calendar!$A$2:$A$755,"US_NFP",Release_Calendar!$B$2:$B$755,$A1340)&gt;0,1,0)</f>
        <v>0</v>
      </c>
      <c r="M1340" s="16" t="str">
        <f>IF($A1340&lt;Notes!$B$5,"",IF(COUNTIFS(Release_Calendar!$A$2:$A$755,"NZ_CPI",Release_Calendar!$B$2:$B$755,$A1340)&gt;0,1,0))</f>
        <v/>
      </c>
      <c r="N1340" s="16" t="str">
        <f>IF($A1340&lt;Notes!$B$5,"",IF(COUNTIFS(Release_Calendar!$A$2:$A$755,"NZ_GDP",Release_Calendar!$B$2:$B$755,$A1340)&gt;0,1,0))</f>
        <v/>
      </c>
      <c r="O1340" s="16" t="str">
        <f>IF($A1340&lt;Notes!$B$5,"",IF(COUNTIFS(Release_Calendar!$A$2:$A$755,"NZ_LABOUR",Release_Calendar!$B$2:$B$755,$A1340)&gt;0,1,0))</f>
        <v/>
      </c>
      <c r="P1340" s="16">
        <f t="shared" si="4"/>
        <v>0</v>
      </c>
    </row>
    <row r="1341" ht="15.75" customHeight="1">
      <c r="A1341" s="14">
        <v>38401.0</v>
      </c>
      <c r="B1341" s="15">
        <v>3.45</v>
      </c>
      <c r="C1341" s="15"/>
      <c r="D1341" s="15">
        <v>6.24</v>
      </c>
      <c r="E1341" s="15"/>
      <c r="F1341" s="15" t="str">
        <f t="shared" si="1"/>
        <v/>
      </c>
      <c r="G1341" s="15">
        <f t="shared" si="2"/>
        <v>6.24</v>
      </c>
      <c r="H1341" s="16">
        <v>1.0</v>
      </c>
      <c r="I1341" s="15">
        <f t="shared" si="3"/>
        <v>2.79</v>
      </c>
      <c r="J1341" s="15">
        <v>11.18</v>
      </c>
      <c r="K1341" s="16">
        <f>IF(COUNTIFS(Release_Calendar!$A$2:$A$755,"US_CPI",Release_Calendar!$B$2:$B$755,$A1341)&gt;0,1,0)</f>
        <v>0</v>
      </c>
      <c r="L1341" s="16">
        <f>IF(COUNTIFS(Release_Calendar!$A$2:$A$755,"US_NFP",Release_Calendar!$B$2:$B$755,$A1341)&gt;0,1,0)</f>
        <v>0</v>
      </c>
      <c r="M1341" s="16" t="str">
        <f>IF($A1341&lt;Notes!$B$5,"",IF(COUNTIFS(Release_Calendar!$A$2:$A$755,"NZ_CPI",Release_Calendar!$B$2:$B$755,$A1341)&gt;0,1,0))</f>
        <v/>
      </c>
      <c r="N1341" s="16" t="str">
        <f>IF($A1341&lt;Notes!$B$5,"",IF(COUNTIFS(Release_Calendar!$A$2:$A$755,"NZ_GDP",Release_Calendar!$B$2:$B$755,$A1341)&gt;0,1,0))</f>
        <v/>
      </c>
      <c r="O1341" s="16" t="str">
        <f>IF($A1341&lt;Notes!$B$5,"",IF(COUNTIFS(Release_Calendar!$A$2:$A$755,"NZ_LABOUR",Release_Calendar!$B$2:$B$755,$A1341)&gt;0,1,0))</f>
        <v/>
      </c>
      <c r="P1341" s="16">
        <f t="shared" si="4"/>
        <v>0</v>
      </c>
    </row>
    <row r="1342" ht="15.75" customHeight="1">
      <c r="A1342" s="14">
        <v>38404.0</v>
      </c>
      <c r="B1342" s="15"/>
      <c r="C1342" s="15"/>
      <c r="D1342" s="15">
        <v>6.31</v>
      </c>
      <c r="E1342" s="15"/>
      <c r="F1342" s="15" t="str">
        <f t="shared" si="1"/>
        <v/>
      </c>
      <c r="G1342" s="15">
        <f t="shared" si="2"/>
        <v>6.31</v>
      </c>
      <c r="H1342" s="16">
        <v>1.0</v>
      </c>
      <c r="I1342" s="15" t="str">
        <f t="shared" si="3"/>
        <v/>
      </c>
      <c r="J1342" s="15"/>
      <c r="K1342" s="16">
        <f>IF(COUNTIFS(Release_Calendar!$A$2:$A$755,"US_CPI",Release_Calendar!$B$2:$B$755,$A1342)&gt;0,1,0)</f>
        <v>0</v>
      </c>
      <c r="L1342" s="16">
        <f>IF(COUNTIFS(Release_Calendar!$A$2:$A$755,"US_NFP",Release_Calendar!$B$2:$B$755,$A1342)&gt;0,1,0)</f>
        <v>0</v>
      </c>
      <c r="M1342" s="16" t="str">
        <f>IF($A1342&lt;Notes!$B$5,"",IF(COUNTIFS(Release_Calendar!$A$2:$A$755,"NZ_CPI",Release_Calendar!$B$2:$B$755,$A1342)&gt;0,1,0))</f>
        <v/>
      </c>
      <c r="N1342" s="16" t="str">
        <f>IF($A1342&lt;Notes!$B$5,"",IF(COUNTIFS(Release_Calendar!$A$2:$A$755,"NZ_GDP",Release_Calendar!$B$2:$B$755,$A1342)&gt;0,1,0))</f>
        <v/>
      </c>
      <c r="O1342" s="16" t="str">
        <f>IF($A1342&lt;Notes!$B$5,"",IF(COUNTIFS(Release_Calendar!$A$2:$A$755,"NZ_LABOUR",Release_Calendar!$B$2:$B$755,$A1342)&gt;0,1,0))</f>
        <v/>
      </c>
      <c r="P1342" s="16">
        <f t="shared" si="4"/>
        <v>0</v>
      </c>
    </row>
    <row r="1343" ht="15.75" customHeight="1">
      <c r="A1343" s="14">
        <v>38405.0</v>
      </c>
      <c r="B1343" s="15">
        <v>3.46</v>
      </c>
      <c r="C1343" s="15"/>
      <c r="D1343" s="15">
        <v>6.31</v>
      </c>
      <c r="E1343" s="15"/>
      <c r="F1343" s="15" t="str">
        <f t="shared" si="1"/>
        <v/>
      </c>
      <c r="G1343" s="15">
        <f t="shared" si="2"/>
        <v>6.31</v>
      </c>
      <c r="H1343" s="16">
        <v>1.0</v>
      </c>
      <c r="I1343" s="15">
        <f t="shared" si="3"/>
        <v>2.85</v>
      </c>
      <c r="J1343" s="15">
        <v>13.14</v>
      </c>
      <c r="K1343" s="16">
        <f>IF(COUNTIFS(Release_Calendar!$A$2:$A$755,"US_CPI",Release_Calendar!$B$2:$B$755,$A1343)&gt;0,1,0)</f>
        <v>0</v>
      </c>
      <c r="L1343" s="16">
        <f>IF(COUNTIFS(Release_Calendar!$A$2:$A$755,"US_NFP",Release_Calendar!$B$2:$B$755,$A1343)&gt;0,1,0)</f>
        <v>0</v>
      </c>
      <c r="M1343" s="16" t="str">
        <f>IF($A1343&lt;Notes!$B$5,"",IF(COUNTIFS(Release_Calendar!$A$2:$A$755,"NZ_CPI",Release_Calendar!$B$2:$B$755,$A1343)&gt;0,1,0))</f>
        <v/>
      </c>
      <c r="N1343" s="16" t="str">
        <f>IF($A1343&lt;Notes!$B$5,"",IF(COUNTIFS(Release_Calendar!$A$2:$A$755,"NZ_GDP",Release_Calendar!$B$2:$B$755,$A1343)&gt;0,1,0))</f>
        <v/>
      </c>
      <c r="O1343" s="16" t="str">
        <f>IF($A1343&lt;Notes!$B$5,"",IF(COUNTIFS(Release_Calendar!$A$2:$A$755,"NZ_LABOUR",Release_Calendar!$B$2:$B$755,$A1343)&gt;0,1,0))</f>
        <v/>
      </c>
      <c r="P1343" s="16">
        <f t="shared" si="4"/>
        <v>0</v>
      </c>
    </row>
    <row r="1344" ht="15.75" customHeight="1">
      <c r="A1344" s="14">
        <v>38406.0</v>
      </c>
      <c r="B1344" s="15">
        <v>3.46</v>
      </c>
      <c r="C1344" s="15"/>
      <c r="D1344" s="15">
        <v>6.16</v>
      </c>
      <c r="E1344" s="15"/>
      <c r="F1344" s="15" t="str">
        <f t="shared" si="1"/>
        <v/>
      </c>
      <c r="G1344" s="15">
        <f t="shared" si="2"/>
        <v>6.16</v>
      </c>
      <c r="H1344" s="16">
        <v>1.0</v>
      </c>
      <c r="I1344" s="15">
        <f t="shared" si="3"/>
        <v>2.7</v>
      </c>
      <c r="J1344" s="15">
        <v>12.39</v>
      </c>
      <c r="K1344" s="16">
        <f>IF(COUNTIFS(Release_Calendar!$A$2:$A$755,"US_CPI",Release_Calendar!$B$2:$B$755,$A1344)&gt;0,1,0)</f>
        <v>1</v>
      </c>
      <c r="L1344" s="16">
        <f>IF(COUNTIFS(Release_Calendar!$A$2:$A$755,"US_NFP",Release_Calendar!$B$2:$B$755,$A1344)&gt;0,1,0)</f>
        <v>0</v>
      </c>
      <c r="M1344" s="16" t="str">
        <f>IF($A1344&lt;Notes!$B$5,"",IF(COUNTIFS(Release_Calendar!$A$2:$A$755,"NZ_CPI",Release_Calendar!$B$2:$B$755,$A1344)&gt;0,1,0))</f>
        <v/>
      </c>
      <c r="N1344" s="16" t="str">
        <f>IF($A1344&lt;Notes!$B$5,"",IF(COUNTIFS(Release_Calendar!$A$2:$A$755,"NZ_GDP",Release_Calendar!$B$2:$B$755,$A1344)&gt;0,1,0))</f>
        <v/>
      </c>
      <c r="O1344" s="16" t="str">
        <f>IF($A1344&lt;Notes!$B$5,"",IF(COUNTIFS(Release_Calendar!$A$2:$A$755,"NZ_LABOUR",Release_Calendar!$B$2:$B$755,$A1344)&gt;0,1,0))</f>
        <v/>
      </c>
      <c r="P1344" s="16">
        <f t="shared" si="4"/>
        <v>1</v>
      </c>
    </row>
    <row r="1345" ht="15.75" customHeight="1">
      <c r="A1345" s="14">
        <v>38407.0</v>
      </c>
      <c r="B1345" s="15">
        <v>3.52</v>
      </c>
      <c r="C1345" s="15"/>
      <c r="D1345" s="15">
        <v>6.31</v>
      </c>
      <c r="E1345" s="15"/>
      <c r="F1345" s="15" t="str">
        <f t="shared" si="1"/>
        <v/>
      </c>
      <c r="G1345" s="15">
        <f t="shared" si="2"/>
        <v>6.31</v>
      </c>
      <c r="H1345" s="16">
        <v>1.0</v>
      </c>
      <c r="I1345" s="15">
        <f t="shared" si="3"/>
        <v>2.79</v>
      </c>
      <c r="J1345" s="15">
        <v>11.57</v>
      </c>
      <c r="K1345" s="16">
        <f>IF(COUNTIFS(Release_Calendar!$A$2:$A$755,"US_CPI",Release_Calendar!$B$2:$B$755,$A1345)&gt;0,1,0)</f>
        <v>0</v>
      </c>
      <c r="L1345" s="16">
        <f>IF(COUNTIFS(Release_Calendar!$A$2:$A$755,"US_NFP",Release_Calendar!$B$2:$B$755,$A1345)&gt;0,1,0)</f>
        <v>0</v>
      </c>
      <c r="M1345" s="16" t="str">
        <f>IF($A1345&lt;Notes!$B$5,"",IF(COUNTIFS(Release_Calendar!$A$2:$A$755,"NZ_CPI",Release_Calendar!$B$2:$B$755,$A1345)&gt;0,1,0))</f>
        <v/>
      </c>
      <c r="N1345" s="16" t="str">
        <f>IF($A1345&lt;Notes!$B$5,"",IF(COUNTIFS(Release_Calendar!$A$2:$A$755,"NZ_GDP",Release_Calendar!$B$2:$B$755,$A1345)&gt;0,1,0))</f>
        <v/>
      </c>
      <c r="O1345" s="16" t="str">
        <f>IF($A1345&lt;Notes!$B$5,"",IF(COUNTIFS(Release_Calendar!$A$2:$A$755,"NZ_LABOUR",Release_Calendar!$B$2:$B$755,$A1345)&gt;0,1,0))</f>
        <v/>
      </c>
      <c r="P1345" s="16">
        <f t="shared" si="4"/>
        <v>0</v>
      </c>
    </row>
    <row r="1346" ht="15.75" customHeight="1">
      <c r="A1346" s="14">
        <v>38408.0</v>
      </c>
      <c r="B1346" s="15">
        <v>3.54</v>
      </c>
      <c r="C1346" s="15"/>
      <c r="D1346" s="15">
        <v>6.32</v>
      </c>
      <c r="E1346" s="15"/>
      <c r="F1346" s="15" t="str">
        <f t="shared" si="1"/>
        <v/>
      </c>
      <c r="G1346" s="15">
        <f t="shared" si="2"/>
        <v>6.32</v>
      </c>
      <c r="H1346" s="16">
        <v>1.0</v>
      </c>
      <c r="I1346" s="15">
        <f t="shared" si="3"/>
        <v>2.78</v>
      </c>
      <c r="J1346" s="15">
        <v>11.49</v>
      </c>
      <c r="K1346" s="16">
        <f>IF(COUNTIFS(Release_Calendar!$A$2:$A$755,"US_CPI",Release_Calendar!$B$2:$B$755,$A1346)&gt;0,1,0)</f>
        <v>0</v>
      </c>
      <c r="L1346" s="16">
        <f>IF(COUNTIFS(Release_Calendar!$A$2:$A$755,"US_NFP",Release_Calendar!$B$2:$B$755,$A1346)&gt;0,1,0)</f>
        <v>0</v>
      </c>
      <c r="M1346" s="16" t="str">
        <f>IF($A1346&lt;Notes!$B$5,"",IF(COUNTIFS(Release_Calendar!$A$2:$A$755,"NZ_CPI",Release_Calendar!$B$2:$B$755,$A1346)&gt;0,1,0))</f>
        <v/>
      </c>
      <c r="N1346" s="16" t="str">
        <f>IF($A1346&lt;Notes!$B$5,"",IF(COUNTIFS(Release_Calendar!$A$2:$A$755,"NZ_GDP",Release_Calendar!$B$2:$B$755,$A1346)&gt;0,1,0))</f>
        <v/>
      </c>
      <c r="O1346" s="16" t="str">
        <f>IF($A1346&lt;Notes!$B$5,"",IF(COUNTIFS(Release_Calendar!$A$2:$A$755,"NZ_LABOUR",Release_Calendar!$B$2:$B$755,$A1346)&gt;0,1,0))</f>
        <v/>
      </c>
      <c r="P1346" s="16">
        <f t="shared" si="4"/>
        <v>0</v>
      </c>
    </row>
    <row r="1347" ht="15.75" customHeight="1">
      <c r="A1347" s="14">
        <v>38411.0</v>
      </c>
      <c r="B1347" s="15">
        <v>3.59</v>
      </c>
      <c r="C1347" s="15"/>
      <c r="D1347" s="15">
        <v>6.33</v>
      </c>
      <c r="E1347" s="15"/>
      <c r="F1347" s="15" t="str">
        <f t="shared" si="1"/>
        <v/>
      </c>
      <c r="G1347" s="15">
        <f t="shared" si="2"/>
        <v>6.33</v>
      </c>
      <c r="H1347" s="16">
        <v>1.0</v>
      </c>
      <c r="I1347" s="15">
        <f t="shared" si="3"/>
        <v>2.74</v>
      </c>
      <c r="J1347" s="15">
        <v>12.08</v>
      </c>
      <c r="K1347" s="16">
        <f>IF(COUNTIFS(Release_Calendar!$A$2:$A$755,"US_CPI",Release_Calendar!$B$2:$B$755,$A1347)&gt;0,1,0)</f>
        <v>0</v>
      </c>
      <c r="L1347" s="16">
        <f>IF(COUNTIFS(Release_Calendar!$A$2:$A$755,"US_NFP",Release_Calendar!$B$2:$B$755,$A1347)&gt;0,1,0)</f>
        <v>0</v>
      </c>
      <c r="M1347" s="16" t="str">
        <f>IF($A1347&lt;Notes!$B$5,"",IF(COUNTIFS(Release_Calendar!$A$2:$A$755,"NZ_CPI",Release_Calendar!$B$2:$B$755,$A1347)&gt;0,1,0))</f>
        <v/>
      </c>
      <c r="N1347" s="16" t="str">
        <f>IF($A1347&lt;Notes!$B$5,"",IF(COUNTIFS(Release_Calendar!$A$2:$A$755,"NZ_GDP",Release_Calendar!$B$2:$B$755,$A1347)&gt;0,1,0))</f>
        <v/>
      </c>
      <c r="O1347" s="16" t="str">
        <f>IF($A1347&lt;Notes!$B$5,"",IF(COUNTIFS(Release_Calendar!$A$2:$A$755,"NZ_LABOUR",Release_Calendar!$B$2:$B$755,$A1347)&gt;0,1,0))</f>
        <v/>
      </c>
      <c r="P1347" s="16">
        <f t="shared" si="4"/>
        <v>0</v>
      </c>
    </row>
    <row r="1348" ht="15.75" customHeight="1">
      <c r="A1348" s="14">
        <v>38412.0</v>
      </c>
      <c r="B1348" s="15">
        <v>3.59</v>
      </c>
      <c r="C1348" s="15"/>
      <c r="D1348" s="15">
        <v>6.39</v>
      </c>
      <c r="E1348" s="15"/>
      <c r="F1348" s="15" t="str">
        <f t="shared" si="1"/>
        <v/>
      </c>
      <c r="G1348" s="15">
        <f t="shared" si="2"/>
        <v>6.39</v>
      </c>
      <c r="H1348" s="16">
        <v>1.0</v>
      </c>
      <c r="I1348" s="15">
        <f t="shared" si="3"/>
        <v>2.8</v>
      </c>
      <c r="J1348" s="15">
        <v>12.04</v>
      </c>
      <c r="K1348" s="16">
        <f>IF(COUNTIFS(Release_Calendar!$A$2:$A$755,"US_CPI",Release_Calendar!$B$2:$B$755,$A1348)&gt;0,1,0)</f>
        <v>0</v>
      </c>
      <c r="L1348" s="16">
        <f>IF(COUNTIFS(Release_Calendar!$A$2:$A$755,"US_NFP",Release_Calendar!$B$2:$B$755,$A1348)&gt;0,1,0)</f>
        <v>0</v>
      </c>
      <c r="M1348" s="16" t="str">
        <f>IF($A1348&lt;Notes!$B$5,"",IF(COUNTIFS(Release_Calendar!$A$2:$A$755,"NZ_CPI",Release_Calendar!$B$2:$B$755,$A1348)&gt;0,1,0))</f>
        <v/>
      </c>
      <c r="N1348" s="16" t="str">
        <f>IF($A1348&lt;Notes!$B$5,"",IF(COUNTIFS(Release_Calendar!$A$2:$A$755,"NZ_GDP",Release_Calendar!$B$2:$B$755,$A1348)&gt;0,1,0))</f>
        <v/>
      </c>
      <c r="O1348" s="16" t="str">
        <f>IF($A1348&lt;Notes!$B$5,"",IF(COUNTIFS(Release_Calendar!$A$2:$A$755,"NZ_LABOUR",Release_Calendar!$B$2:$B$755,$A1348)&gt;0,1,0))</f>
        <v/>
      </c>
      <c r="P1348" s="16">
        <f t="shared" si="4"/>
        <v>0</v>
      </c>
    </row>
    <row r="1349" ht="15.75" customHeight="1">
      <c r="A1349" s="14">
        <v>38413.0</v>
      </c>
      <c r="B1349" s="15">
        <v>3.57</v>
      </c>
      <c r="C1349" s="15"/>
      <c r="D1349" s="15">
        <v>6.38</v>
      </c>
      <c r="E1349" s="15"/>
      <c r="F1349" s="15" t="str">
        <f t="shared" si="1"/>
        <v/>
      </c>
      <c r="G1349" s="15">
        <f t="shared" si="2"/>
        <v>6.38</v>
      </c>
      <c r="H1349" s="16">
        <v>1.0</v>
      </c>
      <c r="I1349" s="15">
        <f t="shared" si="3"/>
        <v>2.81</v>
      </c>
      <c r="J1349" s="15">
        <v>12.5</v>
      </c>
      <c r="K1349" s="16">
        <f>IF(COUNTIFS(Release_Calendar!$A$2:$A$755,"US_CPI",Release_Calendar!$B$2:$B$755,$A1349)&gt;0,1,0)</f>
        <v>0</v>
      </c>
      <c r="L1349" s="16">
        <f>IF(COUNTIFS(Release_Calendar!$A$2:$A$755,"US_NFP",Release_Calendar!$B$2:$B$755,$A1349)&gt;0,1,0)</f>
        <v>0</v>
      </c>
      <c r="M1349" s="16" t="str">
        <f>IF($A1349&lt;Notes!$B$5,"",IF(COUNTIFS(Release_Calendar!$A$2:$A$755,"NZ_CPI",Release_Calendar!$B$2:$B$755,$A1349)&gt;0,1,0))</f>
        <v/>
      </c>
      <c r="N1349" s="16" t="str">
        <f>IF($A1349&lt;Notes!$B$5,"",IF(COUNTIFS(Release_Calendar!$A$2:$A$755,"NZ_GDP",Release_Calendar!$B$2:$B$755,$A1349)&gt;0,1,0))</f>
        <v/>
      </c>
      <c r="O1349" s="16" t="str">
        <f>IF($A1349&lt;Notes!$B$5,"",IF(COUNTIFS(Release_Calendar!$A$2:$A$755,"NZ_LABOUR",Release_Calendar!$B$2:$B$755,$A1349)&gt;0,1,0))</f>
        <v/>
      </c>
      <c r="P1349" s="16">
        <f t="shared" si="4"/>
        <v>0</v>
      </c>
    </row>
    <row r="1350" ht="15.75" customHeight="1">
      <c r="A1350" s="14">
        <v>38414.0</v>
      </c>
      <c r="B1350" s="15">
        <v>3.59</v>
      </c>
      <c r="C1350" s="15"/>
      <c r="D1350" s="15">
        <v>6.37</v>
      </c>
      <c r="E1350" s="15"/>
      <c r="F1350" s="15" t="str">
        <f t="shared" si="1"/>
        <v/>
      </c>
      <c r="G1350" s="15">
        <f t="shared" si="2"/>
        <v>6.37</v>
      </c>
      <c r="H1350" s="16">
        <v>1.0</v>
      </c>
      <c r="I1350" s="15">
        <f t="shared" si="3"/>
        <v>2.78</v>
      </c>
      <c r="J1350" s="15">
        <v>12.93</v>
      </c>
      <c r="K1350" s="16">
        <f>IF(COUNTIFS(Release_Calendar!$A$2:$A$755,"US_CPI",Release_Calendar!$B$2:$B$755,$A1350)&gt;0,1,0)</f>
        <v>0</v>
      </c>
      <c r="L1350" s="16">
        <f>IF(COUNTIFS(Release_Calendar!$A$2:$A$755,"US_NFP",Release_Calendar!$B$2:$B$755,$A1350)&gt;0,1,0)</f>
        <v>0</v>
      </c>
      <c r="M1350" s="16" t="str">
        <f>IF($A1350&lt;Notes!$B$5,"",IF(COUNTIFS(Release_Calendar!$A$2:$A$755,"NZ_CPI",Release_Calendar!$B$2:$B$755,$A1350)&gt;0,1,0))</f>
        <v/>
      </c>
      <c r="N1350" s="16" t="str">
        <f>IF($A1350&lt;Notes!$B$5,"",IF(COUNTIFS(Release_Calendar!$A$2:$A$755,"NZ_GDP",Release_Calendar!$B$2:$B$755,$A1350)&gt;0,1,0))</f>
        <v/>
      </c>
      <c r="O1350" s="16" t="str">
        <f>IF($A1350&lt;Notes!$B$5,"",IF(COUNTIFS(Release_Calendar!$A$2:$A$755,"NZ_LABOUR",Release_Calendar!$B$2:$B$755,$A1350)&gt;0,1,0))</f>
        <v/>
      </c>
      <c r="P1350" s="16">
        <f t="shared" si="4"/>
        <v>0</v>
      </c>
    </row>
    <row r="1351" ht="15.75" customHeight="1">
      <c r="A1351" s="14">
        <v>38415.0</v>
      </c>
      <c r="B1351" s="15">
        <v>3.57</v>
      </c>
      <c r="C1351" s="15"/>
      <c r="D1351" s="15">
        <v>6.39</v>
      </c>
      <c r="E1351" s="15"/>
      <c r="F1351" s="15" t="str">
        <f t="shared" si="1"/>
        <v/>
      </c>
      <c r="G1351" s="15">
        <f t="shared" si="2"/>
        <v>6.39</v>
      </c>
      <c r="H1351" s="16">
        <v>1.0</v>
      </c>
      <c r="I1351" s="15">
        <f t="shared" si="3"/>
        <v>2.82</v>
      </c>
      <c r="J1351" s="15">
        <v>11.94</v>
      </c>
      <c r="K1351" s="16">
        <f>IF(COUNTIFS(Release_Calendar!$A$2:$A$755,"US_CPI",Release_Calendar!$B$2:$B$755,$A1351)&gt;0,1,0)</f>
        <v>0</v>
      </c>
      <c r="L1351" s="16">
        <f>IF(COUNTIFS(Release_Calendar!$A$2:$A$755,"US_NFP",Release_Calendar!$B$2:$B$755,$A1351)&gt;0,1,0)</f>
        <v>1</v>
      </c>
      <c r="M1351" s="16" t="str">
        <f>IF($A1351&lt;Notes!$B$5,"",IF(COUNTIFS(Release_Calendar!$A$2:$A$755,"NZ_CPI",Release_Calendar!$B$2:$B$755,$A1351)&gt;0,1,0))</f>
        <v/>
      </c>
      <c r="N1351" s="16" t="str">
        <f>IF($A1351&lt;Notes!$B$5,"",IF(COUNTIFS(Release_Calendar!$A$2:$A$755,"NZ_GDP",Release_Calendar!$B$2:$B$755,$A1351)&gt;0,1,0))</f>
        <v/>
      </c>
      <c r="O1351" s="16" t="str">
        <f>IF($A1351&lt;Notes!$B$5,"",IF(COUNTIFS(Release_Calendar!$A$2:$A$755,"NZ_LABOUR",Release_Calendar!$B$2:$B$755,$A1351)&gt;0,1,0))</f>
        <v/>
      </c>
      <c r="P1351" s="16">
        <f t="shared" si="4"/>
        <v>1</v>
      </c>
    </row>
    <row r="1352" ht="15.75" customHeight="1">
      <c r="A1352" s="14">
        <v>38418.0</v>
      </c>
      <c r="B1352" s="15">
        <v>3.61</v>
      </c>
      <c r="C1352" s="15"/>
      <c r="D1352" s="15">
        <v>6.38</v>
      </c>
      <c r="E1352" s="15"/>
      <c r="F1352" s="15" t="str">
        <f t="shared" si="1"/>
        <v/>
      </c>
      <c r="G1352" s="15">
        <f t="shared" si="2"/>
        <v>6.38</v>
      </c>
      <c r="H1352" s="16">
        <v>1.0</v>
      </c>
      <c r="I1352" s="15">
        <f t="shared" si="3"/>
        <v>2.77</v>
      </c>
      <c r="J1352" s="15">
        <v>12.26</v>
      </c>
      <c r="K1352" s="16">
        <f>IF(COUNTIFS(Release_Calendar!$A$2:$A$755,"US_CPI",Release_Calendar!$B$2:$B$755,$A1352)&gt;0,1,0)</f>
        <v>0</v>
      </c>
      <c r="L1352" s="16">
        <f>IF(COUNTIFS(Release_Calendar!$A$2:$A$755,"US_NFP",Release_Calendar!$B$2:$B$755,$A1352)&gt;0,1,0)</f>
        <v>0</v>
      </c>
      <c r="M1352" s="16" t="str">
        <f>IF($A1352&lt;Notes!$B$5,"",IF(COUNTIFS(Release_Calendar!$A$2:$A$755,"NZ_CPI",Release_Calendar!$B$2:$B$755,$A1352)&gt;0,1,0))</f>
        <v/>
      </c>
      <c r="N1352" s="16" t="str">
        <f>IF($A1352&lt;Notes!$B$5,"",IF(COUNTIFS(Release_Calendar!$A$2:$A$755,"NZ_GDP",Release_Calendar!$B$2:$B$755,$A1352)&gt;0,1,0))</f>
        <v/>
      </c>
      <c r="O1352" s="16" t="str">
        <f>IF($A1352&lt;Notes!$B$5,"",IF(COUNTIFS(Release_Calendar!$A$2:$A$755,"NZ_LABOUR",Release_Calendar!$B$2:$B$755,$A1352)&gt;0,1,0))</f>
        <v/>
      </c>
      <c r="P1352" s="16">
        <f t="shared" si="4"/>
        <v>0</v>
      </c>
    </row>
    <row r="1353" ht="15.75" customHeight="1">
      <c r="A1353" s="14">
        <v>38419.0</v>
      </c>
      <c r="B1353" s="15">
        <v>3.62</v>
      </c>
      <c r="C1353" s="15"/>
      <c r="D1353" s="15">
        <v>6.39</v>
      </c>
      <c r="E1353" s="15"/>
      <c r="F1353" s="15" t="str">
        <f t="shared" si="1"/>
        <v/>
      </c>
      <c r="G1353" s="15">
        <f t="shared" si="2"/>
        <v>6.39</v>
      </c>
      <c r="H1353" s="16">
        <v>1.0</v>
      </c>
      <c r="I1353" s="15">
        <f t="shared" si="3"/>
        <v>2.77</v>
      </c>
      <c r="J1353" s="15">
        <v>12.4</v>
      </c>
      <c r="K1353" s="16">
        <f>IF(COUNTIFS(Release_Calendar!$A$2:$A$755,"US_CPI",Release_Calendar!$B$2:$B$755,$A1353)&gt;0,1,0)</f>
        <v>0</v>
      </c>
      <c r="L1353" s="16">
        <f>IF(COUNTIFS(Release_Calendar!$A$2:$A$755,"US_NFP",Release_Calendar!$B$2:$B$755,$A1353)&gt;0,1,0)</f>
        <v>0</v>
      </c>
      <c r="M1353" s="16" t="str">
        <f>IF($A1353&lt;Notes!$B$5,"",IF(COUNTIFS(Release_Calendar!$A$2:$A$755,"NZ_CPI",Release_Calendar!$B$2:$B$755,$A1353)&gt;0,1,0))</f>
        <v/>
      </c>
      <c r="N1353" s="16" t="str">
        <f>IF($A1353&lt;Notes!$B$5,"",IF(COUNTIFS(Release_Calendar!$A$2:$A$755,"NZ_GDP",Release_Calendar!$B$2:$B$755,$A1353)&gt;0,1,0))</f>
        <v/>
      </c>
      <c r="O1353" s="16" t="str">
        <f>IF($A1353&lt;Notes!$B$5,"",IF(COUNTIFS(Release_Calendar!$A$2:$A$755,"NZ_LABOUR",Release_Calendar!$B$2:$B$755,$A1353)&gt;0,1,0))</f>
        <v/>
      </c>
      <c r="P1353" s="16">
        <f t="shared" si="4"/>
        <v>0</v>
      </c>
    </row>
    <row r="1354" ht="15.75" customHeight="1">
      <c r="A1354" s="14">
        <v>38420.0</v>
      </c>
      <c r="B1354" s="15">
        <v>3.66</v>
      </c>
      <c r="C1354" s="15"/>
      <c r="D1354" s="15">
        <v>6.39</v>
      </c>
      <c r="E1354" s="15"/>
      <c r="F1354" s="15" t="str">
        <f t="shared" si="1"/>
        <v/>
      </c>
      <c r="G1354" s="15">
        <f t="shared" si="2"/>
        <v>6.39</v>
      </c>
      <c r="H1354" s="16">
        <v>1.0</v>
      </c>
      <c r="I1354" s="15">
        <f t="shared" si="3"/>
        <v>2.73</v>
      </c>
      <c r="J1354" s="15">
        <v>12.7</v>
      </c>
      <c r="K1354" s="16">
        <f>IF(COUNTIFS(Release_Calendar!$A$2:$A$755,"US_CPI",Release_Calendar!$B$2:$B$755,$A1354)&gt;0,1,0)</f>
        <v>0</v>
      </c>
      <c r="L1354" s="16">
        <f>IF(COUNTIFS(Release_Calendar!$A$2:$A$755,"US_NFP",Release_Calendar!$B$2:$B$755,$A1354)&gt;0,1,0)</f>
        <v>0</v>
      </c>
      <c r="M1354" s="16" t="str">
        <f>IF($A1354&lt;Notes!$B$5,"",IF(COUNTIFS(Release_Calendar!$A$2:$A$755,"NZ_CPI",Release_Calendar!$B$2:$B$755,$A1354)&gt;0,1,0))</f>
        <v/>
      </c>
      <c r="N1354" s="16" t="str">
        <f>IF($A1354&lt;Notes!$B$5,"",IF(COUNTIFS(Release_Calendar!$A$2:$A$755,"NZ_GDP",Release_Calendar!$B$2:$B$755,$A1354)&gt;0,1,0))</f>
        <v/>
      </c>
      <c r="O1354" s="16" t="str">
        <f>IF($A1354&lt;Notes!$B$5,"",IF(COUNTIFS(Release_Calendar!$A$2:$A$755,"NZ_LABOUR",Release_Calendar!$B$2:$B$755,$A1354)&gt;0,1,0))</f>
        <v/>
      </c>
      <c r="P1354" s="16">
        <f t="shared" si="4"/>
        <v>0</v>
      </c>
    </row>
    <row r="1355" ht="15.75" customHeight="1">
      <c r="A1355" s="14">
        <v>38421.0</v>
      </c>
      <c r="B1355" s="15">
        <v>3.68</v>
      </c>
      <c r="C1355" s="15"/>
      <c r="D1355" s="15">
        <v>6.44</v>
      </c>
      <c r="E1355" s="15"/>
      <c r="F1355" s="15" t="str">
        <f t="shared" si="1"/>
        <v/>
      </c>
      <c r="G1355" s="15">
        <f t="shared" si="2"/>
        <v>6.44</v>
      </c>
      <c r="H1355" s="16">
        <v>1.0</v>
      </c>
      <c r="I1355" s="15">
        <f t="shared" si="3"/>
        <v>2.76</v>
      </c>
      <c r="J1355" s="15">
        <v>12.49</v>
      </c>
      <c r="K1355" s="16">
        <f>IF(COUNTIFS(Release_Calendar!$A$2:$A$755,"US_CPI",Release_Calendar!$B$2:$B$755,$A1355)&gt;0,1,0)</f>
        <v>0</v>
      </c>
      <c r="L1355" s="16">
        <f>IF(COUNTIFS(Release_Calendar!$A$2:$A$755,"US_NFP",Release_Calendar!$B$2:$B$755,$A1355)&gt;0,1,0)</f>
        <v>0</v>
      </c>
      <c r="M1355" s="16" t="str">
        <f>IF($A1355&lt;Notes!$B$5,"",IF(COUNTIFS(Release_Calendar!$A$2:$A$755,"NZ_CPI",Release_Calendar!$B$2:$B$755,$A1355)&gt;0,1,0))</f>
        <v/>
      </c>
      <c r="N1355" s="16" t="str">
        <f>IF($A1355&lt;Notes!$B$5,"",IF(COUNTIFS(Release_Calendar!$A$2:$A$755,"NZ_GDP",Release_Calendar!$B$2:$B$755,$A1355)&gt;0,1,0))</f>
        <v/>
      </c>
      <c r="O1355" s="16" t="str">
        <f>IF($A1355&lt;Notes!$B$5,"",IF(COUNTIFS(Release_Calendar!$A$2:$A$755,"NZ_LABOUR",Release_Calendar!$B$2:$B$755,$A1355)&gt;0,1,0))</f>
        <v/>
      </c>
      <c r="P1355" s="16">
        <f t="shared" si="4"/>
        <v>0</v>
      </c>
    </row>
    <row r="1356" ht="15.75" customHeight="1">
      <c r="A1356" s="14">
        <v>38422.0</v>
      </c>
      <c r="B1356" s="15">
        <v>3.73</v>
      </c>
      <c r="C1356" s="15"/>
      <c r="D1356" s="15">
        <v>6.44</v>
      </c>
      <c r="E1356" s="15"/>
      <c r="F1356" s="15" t="str">
        <f t="shared" si="1"/>
        <v/>
      </c>
      <c r="G1356" s="15">
        <f t="shared" si="2"/>
        <v>6.44</v>
      </c>
      <c r="H1356" s="16">
        <v>1.0</v>
      </c>
      <c r="I1356" s="15">
        <f t="shared" si="3"/>
        <v>2.71</v>
      </c>
      <c r="J1356" s="15">
        <v>12.8</v>
      </c>
      <c r="K1356" s="16">
        <f>IF(COUNTIFS(Release_Calendar!$A$2:$A$755,"US_CPI",Release_Calendar!$B$2:$B$755,$A1356)&gt;0,1,0)</f>
        <v>0</v>
      </c>
      <c r="L1356" s="16">
        <f>IF(COUNTIFS(Release_Calendar!$A$2:$A$755,"US_NFP",Release_Calendar!$B$2:$B$755,$A1356)&gt;0,1,0)</f>
        <v>0</v>
      </c>
      <c r="M1356" s="16" t="str">
        <f>IF($A1356&lt;Notes!$B$5,"",IF(COUNTIFS(Release_Calendar!$A$2:$A$755,"NZ_CPI",Release_Calendar!$B$2:$B$755,$A1356)&gt;0,1,0))</f>
        <v/>
      </c>
      <c r="N1356" s="16" t="str">
        <f>IF($A1356&lt;Notes!$B$5,"",IF(COUNTIFS(Release_Calendar!$A$2:$A$755,"NZ_GDP",Release_Calendar!$B$2:$B$755,$A1356)&gt;0,1,0))</f>
        <v/>
      </c>
      <c r="O1356" s="16" t="str">
        <f>IF($A1356&lt;Notes!$B$5,"",IF(COUNTIFS(Release_Calendar!$A$2:$A$755,"NZ_LABOUR",Release_Calendar!$B$2:$B$755,$A1356)&gt;0,1,0))</f>
        <v/>
      </c>
      <c r="P1356" s="16">
        <f t="shared" si="4"/>
        <v>0</v>
      </c>
    </row>
    <row r="1357" ht="15.75" customHeight="1">
      <c r="A1357" s="14">
        <v>38425.0</v>
      </c>
      <c r="B1357" s="15">
        <v>3.75</v>
      </c>
      <c r="C1357" s="15"/>
      <c r="D1357" s="15">
        <v>6.44</v>
      </c>
      <c r="E1357" s="15"/>
      <c r="F1357" s="15" t="str">
        <f t="shared" si="1"/>
        <v/>
      </c>
      <c r="G1357" s="15">
        <f t="shared" si="2"/>
        <v>6.44</v>
      </c>
      <c r="H1357" s="16">
        <v>1.0</v>
      </c>
      <c r="I1357" s="15">
        <f t="shared" si="3"/>
        <v>2.69</v>
      </c>
      <c r="J1357" s="15">
        <v>12.39</v>
      </c>
      <c r="K1357" s="16">
        <f>IF(COUNTIFS(Release_Calendar!$A$2:$A$755,"US_CPI",Release_Calendar!$B$2:$B$755,$A1357)&gt;0,1,0)</f>
        <v>0</v>
      </c>
      <c r="L1357" s="16">
        <f>IF(COUNTIFS(Release_Calendar!$A$2:$A$755,"US_NFP",Release_Calendar!$B$2:$B$755,$A1357)&gt;0,1,0)</f>
        <v>0</v>
      </c>
      <c r="M1357" s="16" t="str">
        <f>IF($A1357&lt;Notes!$B$5,"",IF(COUNTIFS(Release_Calendar!$A$2:$A$755,"NZ_CPI",Release_Calendar!$B$2:$B$755,$A1357)&gt;0,1,0))</f>
        <v/>
      </c>
      <c r="N1357" s="16" t="str">
        <f>IF($A1357&lt;Notes!$B$5,"",IF(COUNTIFS(Release_Calendar!$A$2:$A$755,"NZ_GDP",Release_Calendar!$B$2:$B$755,$A1357)&gt;0,1,0))</f>
        <v/>
      </c>
      <c r="O1357" s="16" t="str">
        <f>IF($A1357&lt;Notes!$B$5,"",IF(COUNTIFS(Release_Calendar!$A$2:$A$755,"NZ_LABOUR",Release_Calendar!$B$2:$B$755,$A1357)&gt;0,1,0))</f>
        <v/>
      </c>
      <c r="P1357" s="16">
        <f t="shared" si="4"/>
        <v>0</v>
      </c>
    </row>
    <row r="1358" ht="15.75" customHeight="1">
      <c r="A1358" s="14">
        <v>38426.0</v>
      </c>
      <c r="B1358" s="15">
        <v>3.75</v>
      </c>
      <c r="C1358" s="15"/>
      <c r="D1358" s="15">
        <v>6.45</v>
      </c>
      <c r="E1358" s="15"/>
      <c r="F1358" s="15" t="str">
        <f t="shared" si="1"/>
        <v/>
      </c>
      <c r="G1358" s="15">
        <f t="shared" si="2"/>
        <v>6.45</v>
      </c>
      <c r="H1358" s="16">
        <v>1.0</v>
      </c>
      <c r="I1358" s="15">
        <f t="shared" si="3"/>
        <v>2.7</v>
      </c>
      <c r="J1358" s="15">
        <v>13.15</v>
      </c>
      <c r="K1358" s="16">
        <f>IF(COUNTIFS(Release_Calendar!$A$2:$A$755,"US_CPI",Release_Calendar!$B$2:$B$755,$A1358)&gt;0,1,0)</f>
        <v>0</v>
      </c>
      <c r="L1358" s="16">
        <f>IF(COUNTIFS(Release_Calendar!$A$2:$A$755,"US_NFP",Release_Calendar!$B$2:$B$755,$A1358)&gt;0,1,0)</f>
        <v>0</v>
      </c>
      <c r="M1358" s="16" t="str">
        <f>IF($A1358&lt;Notes!$B$5,"",IF(COUNTIFS(Release_Calendar!$A$2:$A$755,"NZ_CPI",Release_Calendar!$B$2:$B$755,$A1358)&gt;0,1,0))</f>
        <v/>
      </c>
      <c r="N1358" s="16" t="str">
        <f>IF($A1358&lt;Notes!$B$5,"",IF(COUNTIFS(Release_Calendar!$A$2:$A$755,"NZ_GDP",Release_Calendar!$B$2:$B$755,$A1358)&gt;0,1,0))</f>
        <v/>
      </c>
      <c r="O1358" s="16" t="str">
        <f>IF($A1358&lt;Notes!$B$5,"",IF(COUNTIFS(Release_Calendar!$A$2:$A$755,"NZ_LABOUR",Release_Calendar!$B$2:$B$755,$A1358)&gt;0,1,0))</f>
        <v/>
      </c>
      <c r="P1358" s="16">
        <f t="shared" si="4"/>
        <v>0</v>
      </c>
    </row>
    <row r="1359" ht="15.75" customHeight="1">
      <c r="A1359" s="14">
        <v>38427.0</v>
      </c>
      <c r="B1359" s="15">
        <v>3.72</v>
      </c>
      <c r="C1359" s="15"/>
      <c r="D1359" s="15">
        <v>6.43</v>
      </c>
      <c r="E1359" s="15"/>
      <c r="F1359" s="15" t="str">
        <f t="shared" si="1"/>
        <v/>
      </c>
      <c r="G1359" s="15">
        <f t="shared" si="2"/>
        <v>6.43</v>
      </c>
      <c r="H1359" s="16">
        <v>1.0</v>
      </c>
      <c r="I1359" s="15">
        <f t="shared" si="3"/>
        <v>2.71</v>
      </c>
      <c r="J1359" s="15">
        <v>13.49</v>
      </c>
      <c r="K1359" s="16">
        <f>IF(COUNTIFS(Release_Calendar!$A$2:$A$755,"US_CPI",Release_Calendar!$B$2:$B$755,$A1359)&gt;0,1,0)</f>
        <v>0</v>
      </c>
      <c r="L1359" s="16">
        <f>IF(COUNTIFS(Release_Calendar!$A$2:$A$755,"US_NFP",Release_Calendar!$B$2:$B$755,$A1359)&gt;0,1,0)</f>
        <v>0</v>
      </c>
      <c r="M1359" s="16" t="str">
        <f>IF($A1359&lt;Notes!$B$5,"",IF(COUNTIFS(Release_Calendar!$A$2:$A$755,"NZ_CPI",Release_Calendar!$B$2:$B$755,$A1359)&gt;0,1,0))</f>
        <v/>
      </c>
      <c r="N1359" s="16" t="str">
        <f>IF($A1359&lt;Notes!$B$5,"",IF(COUNTIFS(Release_Calendar!$A$2:$A$755,"NZ_GDP",Release_Calendar!$B$2:$B$755,$A1359)&gt;0,1,0))</f>
        <v/>
      </c>
      <c r="O1359" s="16" t="str">
        <f>IF($A1359&lt;Notes!$B$5,"",IF(COUNTIFS(Release_Calendar!$A$2:$A$755,"NZ_LABOUR",Release_Calendar!$B$2:$B$755,$A1359)&gt;0,1,0))</f>
        <v/>
      </c>
      <c r="P1359" s="16">
        <f t="shared" si="4"/>
        <v>0</v>
      </c>
    </row>
    <row r="1360" ht="15.75" customHeight="1">
      <c r="A1360" s="14">
        <v>38428.0</v>
      </c>
      <c r="B1360" s="15">
        <v>3.7</v>
      </c>
      <c r="C1360" s="15"/>
      <c r="D1360" s="15">
        <v>6.43</v>
      </c>
      <c r="E1360" s="15"/>
      <c r="F1360" s="15" t="str">
        <f t="shared" si="1"/>
        <v/>
      </c>
      <c r="G1360" s="15">
        <f t="shared" si="2"/>
        <v>6.43</v>
      </c>
      <c r="H1360" s="16">
        <v>1.0</v>
      </c>
      <c r="I1360" s="15">
        <f t="shared" si="3"/>
        <v>2.73</v>
      </c>
      <c r="J1360" s="15">
        <v>13.29</v>
      </c>
      <c r="K1360" s="16">
        <f>IF(COUNTIFS(Release_Calendar!$A$2:$A$755,"US_CPI",Release_Calendar!$B$2:$B$755,$A1360)&gt;0,1,0)</f>
        <v>0</v>
      </c>
      <c r="L1360" s="16">
        <f>IF(COUNTIFS(Release_Calendar!$A$2:$A$755,"US_NFP",Release_Calendar!$B$2:$B$755,$A1360)&gt;0,1,0)</f>
        <v>0</v>
      </c>
      <c r="M1360" s="16" t="str">
        <f>IF($A1360&lt;Notes!$B$5,"",IF(COUNTIFS(Release_Calendar!$A$2:$A$755,"NZ_CPI",Release_Calendar!$B$2:$B$755,$A1360)&gt;0,1,0))</f>
        <v/>
      </c>
      <c r="N1360" s="16" t="str">
        <f>IF($A1360&lt;Notes!$B$5,"",IF(COUNTIFS(Release_Calendar!$A$2:$A$755,"NZ_GDP",Release_Calendar!$B$2:$B$755,$A1360)&gt;0,1,0))</f>
        <v/>
      </c>
      <c r="O1360" s="16" t="str">
        <f>IF($A1360&lt;Notes!$B$5,"",IF(COUNTIFS(Release_Calendar!$A$2:$A$755,"NZ_LABOUR",Release_Calendar!$B$2:$B$755,$A1360)&gt;0,1,0))</f>
        <v/>
      </c>
      <c r="P1360" s="16">
        <f t="shared" si="4"/>
        <v>0</v>
      </c>
    </row>
    <row r="1361" ht="15.75" customHeight="1">
      <c r="A1361" s="14">
        <v>38429.0</v>
      </c>
      <c r="B1361" s="15">
        <v>3.72</v>
      </c>
      <c r="C1361" s="15"/>
      <c r="D1361" s="15">
        <v>6.43</v>
      </c>
      <c r="E1361" s="15"/>
      <c r="F1361" s="15" t="str">
        <f t="shared" si="1"/>
        <v/>
      </c>
      <c r="G1361" s="15">
        <f t="shared" si="2"/>
        <v>6.43</v>
      </c>
      <c r="H1361" s="16">
        <v>1.0</v>
      </c>
      <c r="I1361" s="15">
        <f t="shared" si="3"/>
        <v>2.71</v>
      </c>
      <c r="J1361" s="15">
        <v>13.14</v>
      </c>
      <c r="K1361" s="16">
        <f>IF(COUNTIFS(Release_Calendar!$A$2:$A$755,"US_CPI",Release_Calendar!$B$2:$B$755,$A1361)&gt;0,1,0)</f>
        <v>0</v>
      </c>
      <c r="L1361" s="16">
        <f>IF(COUNTIFS(Release_Calendar!$A$2:$A$755,"US_NFP",Release_Calendar!$B$2:$B$755,$A1361)&gt;0,1,0)</f>
        <v>0</v>
      </c>
      <c r="M1361" s="16" t="str">
        <f>IF($A1361&lt;Notes!$B$5,"",IF(COUNTIFS(Release_Calendar!$A$2:$A$755,"NZ_CPI",Release_Calendar!$B$2:$B$755,$A1361)&gt;0,1,0))</f>
        <v/>
      </c>
      <c r="N1361" s="16" t="str">
        <f>IF($A1361&lt;Notes!$B$5,"",IF(COUNTIFS(Release_Calendar!$A$2:$A$755,"NZ_GDP",Release_Calendar!$B$2:$B$755,$A1361)&gt;0,1,0))</f>
        <v/>
      </c>
      <c r="O1361" s="16" t="str">
        <f>IF($A1361&lt;Notes!$B$5,"",IF(COUNTIFS(Release_Calendar!$A$2:$A$755,"NZ_LABOUR",Release_Calendar!$B$2:$B$755,$A1361)&gt;0,1,0))</f>
        <v/>
      </c>
      <c r="P1361" s="16">
        <f t="shared" si="4"/>
        <v>0</v>
      </c>
    </row>
    <row r="1362" ht="15.75" customHeight="1">
      <c r="A1362" s="14">
        <v>38432.0</v>
      </c>
      <c r="B1362" s="15">
        <v>3.72</v>
      </c>
      <c r="C1362" s="15"/>
      <c r="D1362" s="15">
        <v>6.39</v>
      </c>
      <c r="E1362" s="15"/>
      <c r="F1362" s="15" t="str">
        <f t="shared" si="1"/>
        <v/>
      </c>
      <c r="G1362" s="15">
        <f t="shared" si="2"/>
        <v>6.39</v>
      </c>
      <c r="H1362" s="16">
        <v>1.0</v>
      </c>
      <c r="I1362" s="15">
        <f t="shared" si="3"/>
        <v>2.67</v>
      </c>
      <c r="J1362" s="15">
        <v>13.61</v>
      </c>
      <c r="K1362" s="16">
        <f>IF(COUNTIFS(Release_Calendar!$A$2:$A$755,"US_CPI",Release_Calendar!$B$2:$B$755,$A1362)&gt;0,1,0)</f>
        <v>0</v>
      </c>
      <c r="L1362" s="16">
        <f>IF(COUNTIFS(Release_Calendar!$A$2:$A$755,"US_NFP",Release_Calendar!$B$2:$B$755,$A1362)&gt;0,1,0)</f>
        <v>0</v>
      </c>
      <c r="M1362" s="16" t="str">
        <f>IF($A1362&lt;Notes!$B$5,"",IF(COUNTIFS(Release_Calendar!$A$2:$A$755,"NZ_CPI",Release_Calendar!$B$2:$B$755,$A1362)&gt;0,1,0))</f>
        <v/>
      </c>
      <c r="N1362" s="16" t="str">
        <f>IF($A1362&lt;Notes!$B$5,"",IF(COUNTIFS(Release_Calendar!$A$2:$A$755,"NZ_GDP",Release_Calendar!$B$2:$B$755,$A1362)&gt;0,1,0))</f>
        <v/>
      </c>
      <c r="O1362" s="16" t="str">
        <f>IF($A1362&lt;Notes!$B$5,"",IF(COUNTIFS(Release_Calendar!$A$2:$A$755,"NZ_LABOUR",Release_Calendar!$B$2:$B$755,$A1362)&gt;0,1,0))</f>
        <v/>
      </c>
      <c r="P1362" s="16">
        <f t="shared" si="4"/>
        <v>0</v>
      </c>
    </row>
    <row r="1363" ht="15.75" customHeight="1">
      <c r="A1363" s="14">
        <v>38433.0</v>
      </c>
      <c r="B1363" s="15">
        <v>3.86</v>
      </c>
      <c r="C1363" s="15"/>
      <c r="D1363" s="15">
        <v>6.39</v>
      </c>
      <c r="E1363" s="15"/>
      <c r="F1363" s="15" t="str">
        <f t="shared" si="1"/>
        <v/>
      </c>
      <c r="G1363" s="15">
        <f t="shared" si="2"/>
        <v>6.39</v>
      </c>
      <c r="H1363" s="16">
        <v>1.0</v>
      </c>
      <c r="I1363" s="15">
        <f t="shared" si="3"/>
        <v>2.53</v>
      </c>
      <c r="J1363" s="15">
        <v>14.27</v>
      </c>
      <c r="K1363" s="16">
        <f>IF(COUNTIFS(Release_Calendar!$A$2:$A$755,"US_CPI",Release_Calendar!$B$2:$B$755,$A1363)&gt;0,1,0)</f>
        <v>0</v>
      </c>
      <c r="L1363" s="16">
        <f>IF(COUNTIFS(Release_Calendar!$A$2:$A$755,"US_NFP",Release_Calendar!$B$2:$B$755,$A1363)&gt;0,1,0)</f>
        <v>0</v>
      </c>
      <c r="M1363" s="16" t="str">
        <f>IF($A1363&lt;Notes!$B$5,"",IF(COUNTIFS(Release_Calendar!$A$2:$A$755,"NZ_CPI",Release_Calendar!$B$2:$B$755,$A1363)&gt;0,1,0))</f>
        <v/>
      </c>
      <c r="N1363" s="16" t="str">
        <f>IF($A1363&lt;Notes!$B$5,"",IF(COUNTIFS(Release_Calendar!$A$2:$A$755,"NZ_GDP",Release_Calendar!$B$2:$B$755,$A1363)&gt;0,1,0))</f>
        <v/>
      </c>
      <c r="O1363" s="16" t="str">
        <f>IF($A1363&lt;Notes!$B$5,"",IF(COUNTIFS(Release_Calendar!$A$2:$A$755,"NZ_LABOUR",Release_Calendar!$B$2:$B$755,$A1363)&gt;0,1,0))</f>
        <v/>
      </c>
      <c r="P1363" s="16">
        <f t="shared" si="4"/>
        <v>0</v>
      </c>
    </row>
    <row r="1364" ht="15.75" customHeight="1">
      <c r="A1364" s="14">
        <v>38434.0</v>
      </c>
      <c r="B1364" s="15">
        <v>3.84</v>
      </c>
      <c r="C1364" s="15"/>
      <c r="D1364" s="15">
        <v>6.42</v>
      </c>
      <c r="E1364" s="15"/>
      <c r="F1364" s="15" t="str">
        <f t="shared" si="1"/>
        <v/>
      </c>
      <c r="G1364" s="15">
        <f t="shared" si="2"/>
        <v>6.42</v>
      </c>
      <c r="H1364" s="16">
        <v>1.0</v>
      </c>
      <c r="I1364" s="15">
        <f t="shared" si="3"/>
        <v>2.58</v>
      </c>
      <c r="J1364" s="15">
        <v>14.06</v>
      </c>
      <c r="K1364" s="16">
        <f>IF(COUNTIFS(Release_Calendar!$A$2:$A$755,"US_CPI",Release_Calendar!$B$2:$B$755,$A1364)&gt;0,1,0)</f>
        <v>1</v>
      </c>
      <c r="L1364" s="16">
        <f>IF(COUNTIFS(Release_Calendar!$A$2:$A$755,"US_NFP",Release_Calendar!$B$2:$B$755,$A1364)&gt;0,1,0)</f>
        <v>0</v>
      </c>
      <c r="M1364" s="16" t="str">
        <f>IF($A1364&lt;Notes!$B$5,"",IF(COUNTIFS(Release_Calendar!$A$2:$A$755,"NZ_CPI",Release_Calendar!$B$2:$B$755,$A1364)&gt;0,1,0))</f>
        <v/>
      </c>
      <c r="N1364" s="16" t="str">
        <f>IF($A1364&lt;Notes!$B$5,"",IF(COUNTIFS(Release_Calendar!$A$2:$A$755,"NZ_GDP",Release_Calendar!$B$2:$B$755,$A1364)&gt;0,1,0))</f>
        <v/>
      </c>
      <c r="O1364" s="16" t="str">
        <f>IF($A1364&lt;Notes!$B$5,"",IF(COUNTIFS(Release_Calendar!$A$2:$A$755,"NZ_LABOUR",Release_Calendar!$B$2:$B$755,$A1364)&gt;0,1,0))</f>
        <v/>
      </c>
      <c r="P1364" s="16">
        <f t="shared" si="4"/>
        <v>1</v>
      </c>
    </row>
    <row r="1365" ht="15.75" customHeight="1">
      <c r="A1365" s="14">
        <v>38435.0</v>
      </c>
      <c r="B1365" s="15">
        <v>3.88</v>
      </c>
      <c r="C1365" s="15"/>
      <c r="D1365" s="15">
        <v>6.35</v>
      </c>
      <c r="E1365" s="15"/>
      <c r="F1365" s="15" t="str">
        <f t="shared" si="1"/>
        <v/>
      </c>
      <c r="G1365" s="15">
        <f t="shared" si="2"/>
        <v>6.35</v>
      </c>
      <c r="H1365" s="16">
        <v>1.0</v>
      </c>
      <c r="I1365" s="15">
        <f t="shared" si="3"/>
        <v>2.47</v>
      </c>
      <c r="J1365" s="15">
        <v>13.42</v>
      </c>
      <c r="K1365" s="16">
        <f>IF(COUNTIFS(Release_Calendar!$A$2:$A$755,"US_CPI",Release_Calendar!$B$2:$B$755,$A1365)&gt;0,1,0)</f>
        <v>0</v>
      </c>
      <c r="L1365" s="16">
        <f>IF(COUNTIFS(Release_Calendar!$A$2:$A$755,"US_NFP",Release_Calendar!$B$2:$B$755,$A1365)&gt;0,1,0)</f>
        <v>0</v>
      </c>
      <c r="M1365" s="16" t="str">
        <f>IF($A1365&lt;Notes!$B$5,"",IF(COUNTIFS(Release_Calendar!$A$2:$A$755,"NZ_CPI",Release_Calendar!$B$2:$B$755,$A1365)&gt;0,1,0))</f>
        <v/>
      </c>
      <c r="N1365" s="16" t="str">
        <f>IF($A1365&lt;Notes!$B$5,"",IF(COUNTIFS(Release_Calendar!$A$2:$A$755,"NZ_GDP",Release_Calendar!$B$2:$B$755,$A1365)&gt;0,1,0))</f>
        <v/>
      </c>
      <c r="O1365" s="16" t="str">
        <f>IF($A1365&lt;Notes!$B$5,"",IF(COUNTIFS(Release_Calendar!$A$2:$A$755,"NZ_LABOUR",Release_Calendar!$B$2:$B$755,$A1365)&gt;0,1,0))</f>
        <v/>
      </c>
      <c r="P1365" s="16">
        <f t="shared" si="4"/>
        <v>0</v>
      </c>
    </row>
    <row r="1366" ht="15.75" customHeight="1">
      <c r="A1366" s="14">
        <v>38436.0</v>
      </c>
      <c r="B1366" s="15"/>
      <c r="C1366" s="15"/>
      <c r="D1366" s="15"/>
      <c r="E1366" s="15"/>
      <c r="F1366" s="15" t="str">
        <f t="shared" si="1"/>
        <v/>
      </c>
      <c r="G1366" s="15" t="str">
        <f t="shared" si="2"/>
        <v/>
      </c>
      <c r="H1366" s="16">
        <v>1.0</v>
      </c>
      <c r="I1366" s="15" t="str">
        <f t="shared" si="3"/>
        <v/>
      </c>
      <c r="J1366" s="15"/>
      <c r="K1366" s="16">
        <f>IF(COUNTIFS(Release_Calendar!$A$2:$A$755,"US_CPI",Release_Calendar!$B$2:$B$755,$A1366)&gt;0,1,0)</f>
        <v>0</v>
      </c>
      <c r="L1366" s="16">
        <f>IF(COUNTIFS(Release_Calendar!$A$2:$A$755,"US_NFP",Release_Calendar!$B$2:$B$755,$A1366)&gt;0,1,0)</f>
        <v>0</v>
      </c>
      <c r="M1366" s="16" t="str">
        <f>IF($A1366&lt;Notes!$B$5,"",IF(COUNTIFS(Release_Calendar!$A$2:$A$755,"NZ_CPI",Release_Calendar!$B$2:$B$755,$A1366)&gt;0,1,0))</f>
        <v/>
      </c>
      <c r="N1366" s="16" t="str">
        <f>IF($A1366&lt;Notes!$B$5,"",IF(COUNTIFS(Release_Calendar!$A$2:$A$755,"NZ_GDP",Release_Calendar!$B$2:$B$755,$A1366)&gt;0,1,0))</f>
        <v/>
      </c>
      <c r="O1366" s="16" t="str">
        <f>IF($A1366&lt;Notes!$B$5,"",IF(COUNTIFS(Release_Calendar!$A$2:$A$755,"NZ_LABOUR",Release_Calendar!$B$2:$B$755,$A1366)&gt;0,1,0))</f>
        <v/>
      </c>
      <c r="P1366" s="16">
        <f t="shared" si="4"/>
        <v>0</v>
      </c>
    </row>
    <row r="1367" ht="15.75" customHeight="1">
      <c r="A1367" s="14">
        <v>38439.0</v>
      </c>
      <c r="B1367" s="15">
        <v>3.9</v>
      </c>
      <c r="C1367" s="15"/>
      <c r="D1367" s="15"/>
      <c r="E1367" s="15"/>
      <c r="F1367" s="15" t="str">
        <f t="shared" si="1"/>
        <v/>
      </c>
      <c r="G1367" s="15" t="str">
        <f t="shared" si="2"/>
        <v/>
      </c>
      <c r="H1367" s="16">
        <v>1.0</v>
      </c>
      <c r="I1367" s="15" t="str">
        <f t="shared" si="3"/>
        <v/>
      </c>
      <c r="J1367" s="15">
        <v>13.75</v>
      </c>
      <c r="K1367" s="16">
        <f>IF(COUNTIFS(Release_Calendar!$A$2:$A$755,"US_CPI",Release_Calendar!$B$2:$B$755,$A1367)&gt;0,1,0)</f>
        <v>0</v>
      </c>
      <c r="L1367" s="16">
        <f>IF(COUNTIFS(Release_Calendar!$A$2:$A$755,"US_NFP",Release_Calendar!$B$2:$B$755,$A1367)&gt;0,1,0)</f>
        <v>0</v>
      </c>
      <c r="M1367" s="16" t="str">
        <f>IF($A1367&lt;Notes!$B$5,"",IF(COUNTIFS(Release_Calendar!$A$2:$A$755,"NZ_CPI",Release_Calendar!$B$2:$B$755,$A1367)&gt;0,1,0))</f>
        <v/>
      </c>
      <c r="N1367" s="16" t="str">
        <f>IF($A1367&lt;Notes!$B$5,"",IF(COUNTIFS(Release_Calendar!$A$2:$A$755,"NZ_GDP",Release_Calendar!$B$2:$B$755,$A1367)&gt;0,1,0))</f>
        <v/>
      </c>
      <c r="O1367" s="16" t="str">
        <f>IF($A1367&lt;Notes!$B$5,"",IF(COUNTIFS(Release_Calendar!$A$2:$A$755,"NZ_LABOUR",Release_Calendar!$B$2:$B$755,$A1367)&gt;0,1,0))</f>
        <v/>
      </c>
      <c r="P1367" s="16">
        <f t="shared" si="4"/>
        <v>0</v>
      </c>
    </row>
    <row r="1368" ht="15.75" customHeight="1">
      <c r="A1368" s="14">
        <v>38440.0</v>
      </c>
      <c r="B1368" s="15">
        <v>3.87</v>
      </c>
      <c r="C1368" s="15"/>
      <c r="D1368" s="15">
        <v>6.31</v>
      </c>
      <c r="E1368" s="15"/>
      <c r="F1368" s="15" t="str">
        <f t="shared" si="1"/>
        <v/>
      </c>
      <c r="G1368" s="15">
        <f t="shared" si="2"/>
        <v>6.31</v>
      </c>
      <c r="H1368" s="16">
        <v>1.0</v>
      </c>
      <c r="I1368" s="15">
        <f t="shared" si="3"/>
        <v>2.44</v>
      </c>
      <c r="J1368" s="15">
        <v>14.49</v>
      </c>
      <c r="K1368" s="16">
        <f>IF(COUNTIFS(Release_Calendar!$A$2:$A$755,"US_CPI",Release_Calendar!$B$2:$B$755,$A1368)&gt;0,1,0)</f>
        <v>0</v>
      </c>
      <c r="L1368" s="16">
        <f>IF(COUNTIFS(Release_Calendar!$A$2:$A$755,"US_NFP",Release_Calendar!$B$2:$B$755,$A1368)&gt;0,1,0)</f>
        <v>0</v>
      </c>
      <c r="M1368" s="16" t="str">
        <f>IF($A1368&lt;Notes!$B$5,"",IF(COUNTIFS(Release_Calendar!$A$2:$A$755,"NZ_CPI",Release_Calendar!$B$2:$B$755,$A1368)&gt;0,1,0))</f>
        <v/>
      </c>
      <c r="N1368" s="16" t="str">
        <f>IF($A1368&lt;Notes!$B$5,"",IF(COUNTIFS(Release_Calendar!$A$2:$A$755,"NZ_GDP",Release_Calendar!$B$2:$B$755,$A1368)&gt;0,1,0))</f>
        <v/>
      </c>
      <c r="O1368" s="16" t="str">
        <f>IF($A1368&lt;Notes!$B$5,"",IF(COUNTIFS(Release_Calendar!$A$2:$A$755,"NZ_LABOUR",Release_Calendar!$B$2:$B$755,$A1368)&gt;0,1,0))</f>
        <v/>
      </c>
      <c r="P1368" s="16">
        <f t="shared" si="4"/>
        <v>0</v>
      </c>
    </row>
    <row r="1369" ht="15.75" customHeight="1">
      <c r="A1369" s="14">
        <v>38441.0</v>
      </c>
      <c r="B1369" s="15">
        <v>3.86</v>
      </c>
      <c r="C1369" s="15"/>
      <c r="D1369" s="15">
        <v>6.32</v>
      </c>
      <c r="E1369" s="15"/>
      <c r="F1369" s="15" t="str">
        <f t="shared" si="1"/>
        <v/>
      </c>
      <c r="G1369" s="15">
        <f t="shared" si="2"/>
        <v>6.32</v>
      </c>
      <c r="H1369" s="16">
        <v>1.0</v>
      </c>
      <c r="I1369" s="15">
        <f t="shared" si="3"/>
        <v>2.46</v>
      </c>
      <c r="J1369" s="15">
        <v>13.64</v>
      </c>
      <c r="K1369" s="16">
        <f>IF(COUNTIFS(Release_Calendar!$A$2:$A$755,"US_CPI",Release_Calendar!$B$2:$B$755,$A1369)&gt;0,1,0)</f>
        <v>0</v>
      </c>
      <c r="L1369" s="16">
        <f>IF(COUNTIFS(Release_Calendar!$A$2:$A$755,"US_NFP",Release_Calendar!$B$2:$B$755,$A1369)&gt;0,1,0)</f>
        <v>0</v>
      </c>
      <c r="M1369" s="16" t="str">
        <f>IF($A1369&lt;Notes!$B$5,"",IF(COUNTIFS(Release_Calendar!$A$2:$A$755,"NZ_CPI",Release_Calendar!$B$2:$B$755,$A1369)&gt;0,1,0))</f>
        <v/>
      </c>
      <c r="N1369" s="16" t="str">
        <f>IF($A1369&lt;Notes!$B$5,"",IF(COUNTIFS(Release_Calendar!$A$2:$A$755,"NZ_GDP",Release_Calendar!$B$2:$B$755,$A1369)&gt;0,1,0))</f>
        <v/>
      </c>
      <c r="O1369" s="16" t="str">
        <f>IF($A1369&lt;Notes!$B$5,"",IF(COUNTIFS(Release_Calendar!$A$2:$A$755,"NZ_LABOUR",Release_Calendar!$B$2:$B$755,$A1369)&gt;0,1,0))</f>
        <v/>
      </c>
      <c r="P1369" s="16">
        <f t="shared" si="4"/>
        <v>0</v>
      </c>
    </row>
    <row r="1370" ht="15.75" customHeight="1">
      <c r="A1370" s="14">
        <v>38442.0</v>
      </c>
      <c r="B1370" s="15">
        <v>3.8</v>
      </c>
      <c r="C1370" s="15"/>
      <c r="D1370" s="15">
        <v>6.36</v>
      </c>
      <c r="E1370" s="15"/>
      <c r="F1370" s="15" t="str">
        <f t="shared" si="1"/>
        <v/>
      </c>
      <c r="G1370" s="15">
        <f t="shared" si="2"/>
        <v>6.36</v>
      </c>
      <c r="H1370" s="16">
        <v>1.0</v>
      </c>
      <c r="I1370" s="15">
        <f t="shared" si="3"/>
        <v>2.56</v>
      </c>
      <c r="J1370" s="15">
        <v>14.02</v>
      </c>
      <c r="K1370" s="16">
        <f>IF(COUNTIFS(Release_Calendar!$A$2:$A$755,"US_CPI",Release_Calendar!$B$2:$B$755,$A1370)&gt;0,1,0)</f>
        <v>0</v>
      </c>
      <c r="L1370" s="16">
        <f>IF(COUNTIFS(Release_Calendar!$A$2:$A$755,"US_NFP",Release_Calendar!$B$2:$B$755,$A1370)&gt;0,1,0)</f>
        <v>0</v>
      </c>
      <c r="M1370" s="16" t="str">
        <f>IF($A1370&lt;Notes!$B$5,"",IF(COUNTIFS(Release_Calendar!$A$2:$A$755,"NZ_CPI",Release_Calendar!$B$2:$B$755,$A1370)&gt;0,1,0))</f>
        <v/>
      </c>
      <c r="N1370" s="16" t="str">
        <f>IF($A1370&lt;Notes!$B$5,"",IF(COUNTIFS(Release_Calendar!$A$2:$A$755,"NZ_GDP",Release_Calendar!$B$2:$B$755,$A1370)&gt;0,1,0))</f>
        <v/>
      </c>
      <c r="O1370" s="16" t="str">
        <f>IF($A1370&lt;Notes!$B$5,"",IF(COUNTIFS(Release_Calendar!$A$2:$A$755,"NZ_LABOUR",Release_Calendar!$B$2:$B$755,$A1370)&gt;0,1,0))</f>
        <v/>
      </c>
      <c r="P1370" s="16">
        <f t="shared" si="4"/>
        <v>0</v>
      </c>
    </row>
    <row r="1371" ht="15.75" customHeight="1">
      <c r="A1371" s="14">
        <v>38443.0</v>
      </c>
      <c r="B1371" s="15">
        <v>3.75</v>
      </c>
      <c r="C1371" s="15"/>
      <c r="D1371" s="15">
        <v>6.32</v>
      </c>
      <c r="E1371" s="15"/>
      <c r="F1371" s="15" t="str">
        <f t="shared" si="1"/>
        <v/>
      </c>
      <c r="G1371" s="15">
        <f t="shared" si="2"/>
        <v>6.32</v>
      </c>
      <c r="H1371" s="16">
        <v>1.0</v>
      </c>
      <c r="I1371" s="15">
        <f t="shared" si="3"/>
        <v>2.57</v>
      </c>
      <c r="J1371" s="15">
        <v>14.09</v>
      </c>
      <c r="K1371" s="16">
        <f>IF(COUNTIFS(Release_Calendar!$A$2:$A$755,"US_CPI",Release_Calendar!$B$2:$B$755,$A1371)&gt;0,1,0)</f>
        <v>0</v>
      </c>
      <c r="L1371" s="16">
        <f>IF(COUNTIFS(Release_Calendar!$A$2:$A$755,"US_NFP",Release_Calendar!$B$2:$B$755,$A1371)&gt;0,1,0)</f>
        <v>1</v>
      </c>
      <c r="M1371" s="16" t="str">
        <f>IF($A1371&lt;Notes!$B$5,"",IF(COUNTIFS(Release_Calendar!$A$2:$A$755,"NZ_CPI",Release_Calendar!$B$2:$B$755,$A1371)&gt;0,1,0))</f>
        <v/>
      </c>
      <c r="N1371" s="16" t="str">
        <f>IF($A1371&lt;Notes!$B$5,"",IF(COUNTIFS(Release_Calendar!$A$2:$A$755,"NZ_GDP",Release_Calendar!$B$2:$B$755,$A1371)&gt;0,1,0))</f>
        <v/>
      </c>
      <c r="O1371" s="16" t="str">
        <f>IF($A1371&lt;Notes!$B$5,"",IF(COUNTIFS(Release_Calendar!$A$2:$A$755,"NZ_LABOUR",Release_Calendar!$B$2:$B$755,$A1371)&gt;0,1,0))</f>
        <v/>
      </c>
      <c r="P1371" s="16">
        <f t="shared" si="4"/>
        <v>1</v>
      </c>
    </row>
    <row r="1372" ht="15.75" customHeight="1">
      <c r="A1372" s="14">
        <v>38446.0</v>
      </c>
      <c r="B1372" s="15">
        <v>3.74</v>
      </c>
      <c r="C1372" s="15"/>
      <c r="D1372" s="15">
        <v>6.33</v>
      </c>
      <c r="E1372" s="15"/>
      <c r="F1372" s="15" t="str">
        <f t="shared" si="1"/>
        <v/>
      </c>
      <c r="G1372" s="15">
        <f t="shared" si="2"/>
        <v>6.33</v>
      </c>
      <c r="H1372" s="16">
        <v>1.0</v>
      </c>
      <c r="I1372" s="15">
        <f t="shared" si="3"/>
        <v>2.59</v>
      </c>
      <c r="J1372" s="15">
        <v>14.11</v>
      </c>
      <c r="K1372" s="16">
        <f>IF(COUNTIFS(Release_Calendar!$A$2:$A$755,"US_CPI",Release_Calendar!$B$2:$B$755,$A1372)&gt;0,1,0)</f>
        <v>0</v>
      </c>
      <c r="L1372" s="16">
        <f>IF(COUNTIFS(Release_Calendar!$A$2:$A$755,"US_NFP",Release_Calendar!$B$2:$B$755,$A1372)&gt;0,1,0)</f>
        <v>0</v>
      </c>
      <c r="M1372" s="16" t="str">
        <f>IF($A1372&lt;Notes!$B$5,"",IF(COUNTIFS(Release_Calendar!$A$2:$A$755,"NZ_CPI",Release_Calendar!$B$2:$B$755,$A1372)&gt;0,1,0))</f>
        <v/>
      </c>
      <c r="N1372" s="16" t="str">
        <f>IF($A1372&lt;Notes!$B$5,"",IF(COUNTIFS(Release_Calendar!$A$2:$A$755,"NZ_GDP",Release_Calendar!$B$2:$B$755,$A1372)&gt;0,1,0))</f>
        <v/>
      </c>
      <c r="O1372" s="16" t="str">
        <f>IF($A1372&lt;Notes!$B$5,"",IF(COUNTIFS(Release_Calendar!$A$2:$A$755,"NZ_LABOUR",Release_Calendar!$B$2:$B$755,$A1372)&gt;0,1,0))</f>
        <v/>
      </c>
      <c r="P1372" s="16">
        <f t="shared" si="4"/>
        <v>0</v>
      </c>
    </row>
    <row r="1373" ht="15.75" customHeight="1">
      <c r="A1373" s="14">
        <v>38447.0</v>
      </c>
      <c r="B1373" s="15">
        <v>3.75</v>
      </c>
      <c r="C1373" s="15"/>
      <c r="D1373" s="15">
        <v>6.36</v>
      </c>
      <c r="E1373" s="15"/>
      <c r="F1373" s="15" t="str">
        <f t="shared" si="1"/>
        <v/>
      </c>
      <c r="G1373" s="15">
        <f t="shared" si="2"/>
        <v>6.36</v>
      </c>
      <c r="H1373" s="16">
        <v>1.0</v>
      </c>
      <c r="I1373" s="15">
        <f t="shared" si="3"/>
        <v>2.61</v>
      </c>
      <c r="J1373" s="15">
        <v>13.68</v>
      </c>
      <c r="K1373" s="16">
        <f>IF(COUNTIFS(Release_Calendar!$A$2:$A$755,"US_CPI",Release_Calendar!$B$2:$B$755,$A1373)&gt;0,1,0)</f>
        <v>0</v>
      </c>
      <c r="L1373" s="16">
        <f>IF(COUNTIFS(Release_Calendar!$A$2:$A$755,"US_NFP",Release_Calendar!$B$2:$B$755,$A1373)&gt;0,1,0)</f>
        <v>0</v>
      </c>
      <c r="M1373" s="16" t="str">
        <f>IF($A1373&lt;Notes!$B$5,"",IF(COUNTIFS(Release_Calendar!$A$2:$A$755,"NZ_CPI",Release_Calendar!$B$2:$B$755,$A1373)&gt;0,1,0))</f>
        <v/>
      </c>
      <c r="N1373" s="16" t="str">
        <f>IF($A1373&lt;Notes!$B$5,"",IF(COUNTIFS(Release_Calendar!$A$2:$A$755,"NZ_GDP",Release_Calendar!$B$2:$B$755,$A1373)&gt;0,1,0))</f>
        <v/>
      </c>
      <c r="O1373" s="16" t="str">
        <f>IF($A1373&lt;Notes!$B$5,"",IF(COUNTIFS(Release_Calendar!$A$2:$A$755,"NZ_LABOUR",Release_Calendar!$B$2:$B$755,$A1373)&gt;0,1,0))</f>
        <v/>
      </c>
      <c r="P1373" s="16">
        <f t="shared" si="4"/>
        <v>0</v>
      </c>
    </row>
    <row r="1374" ht="15.75" customHeight="1">
      <c r="A1374" s="14">
        <v>38448.0</v>
      </c>
      <c r="B1374" s="15">
        <v>3.7</v>
      </c>
      <c r="C1374" s="15"/>
      <c r="D1374" s="15">
        <v>6.35</v>
      </c>
      <c r="E1374" s="15"/>
      <c r="F1374" s="15" t="str">
        <f t="shared" si="1"/>
        <v/>
      </c>
      <c r="G1374" s="15">
        <f t="shared" si="2"/>
        <v>6.35</v>
      </c>
      <c r="H1374" s="16">
        <v>1.0</v>
      </c>
      <c r="I1374" s="15">
        <f t="shared" si="3"/>
        <v>2.65</v>
      </c>
      <c r="J1374" s="15">
        <v>13.15</v>
      </c>
      <c r="K1374" s="16">
        <f>IF(COUNTIFS(Release_Calendar!$A$2:$A$755,"US_CPI",Release_Calendar!$B$2:$B$755,$A1374)&gt;0,1,0)</f>
        <v>0</v>
      </c>
      <c r="L1374" s="16">
        <f>IF(COUNTIFS(Release_Calendar!$A$2:$A$755,"US_NFP",Release_Calendar!$B$2:$B$755,$A1374)&gt;0,1,0)</f>
        <v>0</v>
      </c>
      <c r="M1374" s="16" t="str">
        <f>IF($A1374&lt;Notes!$B$5,"",IF(COUNTIFS(Release_Calendar!$A$2:$A$755,"NZ_CPI",Release_Calendar!$B$2:$B$755,$A1374)&gt;0,1,0))</f>
        <v/>
      </c>
      <c r="N1374" s="16" t="str">
        <f>IF($A1374&lt;Notes!$B$5,"",IF(COUNTIFS(Release_Calendar!$A$2:$A$755,"NZ_GDP",Release_Calendar!$B$2:$B$755,$A1374)&gt;0,1,0))</f>
        <v/>
      </c>
      <c r="O1374" s="16" t="str">
        <f>IF($A1374&lt;Notes!$B$5,"",IF(COUNTIFS(Release_Calendar!$A$2:$A$755,"NZ_LABOUR",Release_Calendar!$B$2:$B$755,$A1374)&gt;0,1,0))</f>
        <v/>
      </c>
      <c r="P1374" s="16">
        <f t="shared" si="4"/>
        <v>0</v>
      </c>
    </row>
    <row r="1375" ht="15.75" customHeight="1">
      <c r="A1375" s="14">
        <v>38449.0</v>
      </c>
      <c r="B1375" s="15">
        <v>3.72</v>
      </c>
      <c r="C1375" s="15"/>
      <c r="D1375" s="15">
        <v>6.34</v>
      </c>
      <c r="E1375" s="15"/>
      <c r="F1375" s="15" t="str">
        <f t="shared" si="1"/>
        <v/>
      </c>
      <c r="G1375" s="15">
        <f t="shared" si="2"/>
        <v>6.34</v>
      </c>
      <c r="H1375" s="16">
        <v>1.0</v>
      </c>
      <c r="I1375" s="15">
        <f t="shared" si="3"/>
        <v>2.62</v>
      </c>
      <c r="J1375" s="15">
        <v>12.33</v>
      </c>
      <c r="K1375" s="16">
        <f>IF(COUNTIFS(Release_Calendar!$A$2:$A$755,"US_CPI",Release_Calendar!$B$2:$B$755,$A1375)&gt;0,1,0)</f>
        <v>0</v>
      </c>
      <c r="L1375" s="16">
        <f>IF(COUNTIFS(Release_Calendar!$A$2:$A$755,"US_NFP",Release_Calendar!$B$2:$B$755,$A1375)&gt;0,1,0)</f>
        <v>0</v>
      </c>
      <c r="M1375" s="16" t="str">
        <f>IF($A1375&lt;Notes!$B$5,"",IF(COUNTIFS(Release_Calendar!$A$2:$A$755,"NZ_CPI",Release_Calendar!$B$2:$B$755,$A1375)&gt;0,1,0))</f>
        <v/>
      </c>
      <c r="N1375" s="16" t="str">
        <f>IF($A1375&lt;Notes!$B$5,"",IF(COUNTIFS(Release_Calendar!$A$2:$A$755,"NZ_GDP",Release_Calendar!$B$2:$B$755,$A1375)&gt;0,1,0))</f>
        <v/>
      </c>
      <c r="O1375" s="16" t="str">
        <f>IF($A1375&lt;Notes!$B$5,"",IF(COUNTIFS(Release_Calendar!$A$2:$A$755,"NZ_LABOUR",Release_Calendar!$B$2:$B$755,$A1375)&gt;0,1,0))</f>
        <v/>
      </c>
      <c r="P1375" s="16">
        <f t="shared" si="4"/>
        <v>0</v>
      </c>
    </row>
    <row r="1376" ht="15.75" customHeight="1">
      <c r="A1376" s="14">
        <v>38450.0</v>
      </c>
      <c r="B1376" s="15">
        <v>3.77</v>
      </c>
      <c r="C1376" s="15"/>
      <c r="D1376" s="15">
        <v>6.38</v>
      </c>
      <c r="E1376" s="15"/>
      <c r="F1376" s="15" t="str">
        <f t="shared" si="1"/>
        <v/>
      </c>
      <c r="G1376" s="15">
        <f t="shared" si="2"/>
        <v>6.38</v>
      </c>
      <c r="H1376" s="16">
        <v>1.0</v>
      </c>
      <c r="I1376" s="15">
        <f t="shared" si="3"/>
        <v>2.61</v>
      </c>
      <c r="J1376" s="15">
        <v>12.62</v>
      </c>
      <c r="K1376" s="16">
        <f>IF(COUNTIFS(Release_Calendar!$A$2:$A$755,"US_CPI",Release_Calendar!$B$2:$B$755,$A1376)&gt;0,1,0)</f>
        <v>0</v>
      </c>
      <c r="L1376" s="16">
        <f>IF(COUNTIFS(Release_Calendar!$A$2:$A$755,"US_NFP",Release_Calendar!$B$2:$B$755,$A1376)&gt;0,1,0)</f>
        <v>0</v>
      </c>
      <c r="M1376" s="16" t="str">
        <f>IF($A1376&lt;Notes!$B$5,"",IF(COUNTIFS(Release_Calendar!$A$2:$A$755,"NZ_CPI",Release_Calendar!$B$2:$B$755,$A1376)&gt;0,1,0))</f>
        <v/>
      </c>
      <c r="N1376" s="16" t="str">
        <f>IF($A1376&lt;Notes!$B$5,"",IF(COUNTIFS(Release_Calendar!$A$2:$A$755,"NZ_GDP",Release_Calendar!$B$2:$B$755,$A1376)&gt;0,1,0))</f>
        <v/>
      </c>
      <c r="O1376" s="16" t="str">
        <f>IF($A1376&lt;Notes!$B$5,"",IF(COUNTIFS(Release_Calendar!$A$2:$A$755,"NZ_LABOUR",Release_Calendar!$B$2:$B$755,$A1376)&gt;0,1,0))</f>
        <v/>
      </c>
      <c r="P1376" s="16">
        <f t="shared" si="4"/>
        <v>0</v>
      </c>
    </row>
    <row r="1377" ht="15.75" customHeight="1">
      <c r="A1377" s="14">
        <v>38453.0</v>
      </c>
      <c r="B1377" s="15">
        <v>3.75</v>
      </c>
      <c r="C1377" s="15"/>
      <c r="D1377" s="15">
        <v>6.39</v>
      </c>
      <c r="E1377" s="15"/>
      <c r="F1377" s="15" t="str">
        <f t="shared" si="1"/>
        <v/>
      </c>
      <c r="G1377" s="15">
        <f t="shared" si="2"/>
        <v>6.39</v>
      </c>
      <c r="H1377" s="16">
        <v>1.0</v>
      </c>
      <c r="I1377" s="15">
        <f t="shared" si="3"/>
        <v>2.64</v>
      </c>
      <c r="J1377" s="15">
        <v>11.98</v>
      </c>
      <c r="K1377" s="16">
        <f>IF(COUNTIFS(Release_Calendar!$A$2:$A$755,"US_CPI",Release_Calendar!$B$2:$B$755,$A1377)&gt;0,1,0)</f>
        <v>0</v>
      </c>
      <c r="L1377" s="16">
        <f>IF(COUNTIFS(Release_Calendar!$A$2:$A$755,"US_NFP",Release_Calendar!$B$2:$B$755,$A1377)&gt;0,1,0)</f>
        <v>0</v>
      </c>
      <c r="M1377" s="16" t="str">
        <f>IF($A1377&lt;Notes!$B$5,"",IF(COUNTIFS(Release_Calendar!$A$2:$A$755,"NZ_CPI",Release_Calendar!$B$2:$B$755,$A1377)&gt;0,1,0))</f>
        <v/>
      </c>
      <c r="N1377" s="16" t="str">
        <f>IF($A1377&lt;Notes!$B$5,"",IF(COUNTIFS(Release_Calendar!$A$2:$A$755,"NZ_GDP",Release_Calendar!$B$2:$B$755,$A1377)&gt;0,1,0))</f>
        <v/>
      </c>
      <c r="O1377" s="16" t="str">
        <f>IF($A1377&lt;Notes!$B$5,"",IF(COUNTIFS(Release_Calendar!$A$2:$A$755,"NZ_LABOUR",Release_Calendar!$B$2:$B$755,$A1377)&gt;0,1,0))</f>
        <v/>
      </c>
      <c r="P1377" s="16">
        <f t="shared" si="4"/>
        <v>0</v>
      </c>
    </row>
    <row r="1378" ht="15.75" customHeight="1">
      <c r="A1378" s="14">
        <v>38454.0</v>
      </c>
      <c r="B1378" s="15">
        <v>3.71</v>
      </c>
      <c r="C1378" s="15"/>
      <c r="D1378" s="15">
        <v>6.37</v>
      </c>
      <c r="E1378" s="15"/>
      <c r="F1378" s="15" t="str">
        <f t="shared" si="1"/>
        <v/>
      </c>
      <c r="G1378" s="15">
        <f t="shared" si="2"/>
        <v>6.37</v>
      </c>
      <c r="H1378" s="16">
        <v>1.0</v>
      </c>
      <c r="I1378" s="15">
        <f t="shared" si="3"/>
        <v>2.66</v>
      </c>
      <c r="J1378" s="15">
        <v>11.3</v>
      </c>
      <c r="K1378" s="16">
        <f>IF(COUNTIFS(Release_Calendar!$A$2:$A$755,"US_CPI",Release_Calendar!$B$2:$B$755,$A1378)&gt;0,1,0)</f>
        <v>0</v>
      </c>
      <c r="L1378" s="16">
        <f>IF(COUNTIFS(Release_Calendar!$A$2:$A$755,"US_NFP",Release_Calendar!$B$2:$B$755,$A1378)&gt;0,1,0)</f>
        <v>0</v>
      </c>
      <c r="M1378" s="16" t="str">
        <f>IF($A1378&lt;Notes!$B$5,"",IF(COUNTIFS(Release_Calendar!$A$2:$A$755,"NZ_CPI",Release_Calendar!$B$2:$B$755,$A1378)&gt;0,1,0))</f>
        <v/>
      </c>
      <c r="N1378" s="16" t="str">
        <f>IF($A1378&lt;Notes!$B$5,"",IF(COUNTIFS(Release_Calendar!$A$2:$A$755,"NZ_GDP",Release_Calendar!$B$2:$B$755,$A1378)&gt;0,1,0))</f>
        <v/>
      </c>
      <c r="O1378" s="16" t="str">
        <f>IF($A1378&lt;Notes!$B$5,"",IF(COUNTIFS(Release_Calendar!$A$2:$A$755,"NZ_LABOUR",Release_Calendar!$B$2:$B$755,$A1378)&gt;0,1,0))</f>
        <v/>
      </c>
      <c r="P1378" s="16">
        <f t="shared" si="4"/>
        <v>0</v>
      </c>
    </row>
    <row r="1379" ht="15.75" customHeight="1">
      <c r="A1379" s="14">
        <v>38455.0</v>
      </c>
      <c r="B1379" s="15">
        <v>3.66</v>
      </c>
      <c r="C1379" s="15"/>
      <c r="D1379" s="15">
        <v>6.31</v>
      </c>
      <c r="E1379" s="15"/>
      <c r="F1379" s="15" t="str">
        <f t="shared" si="1"/>
        <v/>
      </c>
      <c r="G1379" s="15">
        <f t="shared" si="2"/>
        <v>6.31</v>
      </c>
      <c r="H1379" s="16">
        <v>1.0</v>
      </c>
      <c r="I1379" s="15">
        <f t="shared" si="3"/>
        <v>2.65</v>
      </c>
      <c r="J1379" s="15">
        <v>13.31</v>
      </c>
      <c r="K1379" s="16">
        <f>IF(COUNTIFS(Release_Calendar!$A$2:$A$755,"US_CPI",Release_Calendar!$B$2:$B$755,$A1379)&gt;0,1,0)</f>
        <v>0</v>
      </c>
      <c r="L1379" s="16">
        <f>IF(COUNTIFS(Release_Calendar!$A$2:$A$755,"US_NFP",Release_Calendar!$B$2:$B$755,$A1379)&gt;0,1,0)</f>
        <v>0</v>
      </c>
      <c r="M1379" s="16" t="str">
        <f>IF($A1379&lt;Notes!$B$5,"",IF(COUNTIFS(Release_Calendar!$A$2:$A$755,"NZ_CPI",Release_Calendar!$B$2:$B$755,$A1379)&gt;0,1,0))</f>
        <v/>
      </c>
      <c r="N1379" s="16" t="str">
        <f>IF($A1379&lt;Notes!$B$5,"",IF(COUNTIFS(Release_Calendar!$A$2:$A$755,"NZ_GDP",Release_Calendar!$B$2:$B$755,$A1379)&gt;0,1,0))</f>
        <v/>
      </c>
      <c r="O1379" s="16" t="str">
        <f>IF($A1379&lt;Notes!$B$5,"",IF(COUNTIFS(Release_Calendar!$A$2:$A$755,"NZ_LABOUR",Release_Calendar!$B$2:$B$755,$A1379)&gt;0,1,0))</f>
        <v/>
      </c>
      <c r="P1379" s="16">
        <f t="shared" si="4"/>
        <v>0</v>
      </c>
    </row>
    <row r="1380" ht="15.75" customHeight="1">
      <c r="A1380" s="14">
        <v>38456.0</v>
      </c>
      <c r="B1380" s="15">
        <v>3.6</v>
      </c>
      <c r="C1380" s="15"/>
      <c r="D1380" s="15">
        <v>6.32</v>
      </c>
      <c r="E1380" s="15"/>
      <c r="F1380" s="15" t="str">
        <f t="shared" si="1"/>
        <v/>
      </c>
      <c r="G1380" s="15">
        <f t="shared" si="2"/>
        <v>6.32</v>
      </c>
      <c r="H1380" s="16">
        <v>1.0</v>
      </c>
      <c r="I1380" s="15">
        <f t="shared" si="3"/>
        <v>2.72</v>
      </c>
      <c r="J1380" s="15">
        <v>14.53</v>
      </c>
      <c r="K1380" s="16">
        <f>IF(COUNTIFS(Release_Calendar!$A$2:$A$755,"US_CPI",Release_Calendar!$B$2:$B$755,$A1380)&gt;0,1,0)</f>
        <v>0</v>
      </c>
      <c r="L1380" s="16">
        <f>IF(COUNTIFS(Release_Calendar!$A$2:$A$755,"US_NFP",Release_Calendar!$B$2:$B$755,$A1380)&gt;0,1,0)</f>
        <v>0</v>
      </c>
      <c r="M1380" s="16" t="str">
        <f>IF($A1380&lt;Notes!$B$5,"",IF(COUNTIFS(Release_Calendar!$A$2:$A$755,"NZ_CPI",Release_Calendar!$B$2:$B$755,$A1380)&gt;0,1,0))</f>
        <v/>
      </c>
      <c r="N1380" s="16" t="str">
        <f>IF($A1380&lt;Notes!$B$5,"",IF(COUNTIFS(Release_Calendar!$A$2:$A$755,"NZ_GDP",Release_Calendar!$B$2:$B$755,$A1380)&gt;0,1,0))</f>
        <v/>
      </c>
      <c r="O1380" s="16" t="str">
        <f>IF($A1380&lt;Notes!$B$5,"",IF(COUNTIFS(Release_Calendar!$A$2:$A$755,"NZ_LABOUR",Release_Calendar!$B$2:$B$755,$A1380)&gt;0,1,0))</f>
        <v/>
      </c>
      <c r="P1380" s="16">
        <f t="shared" si="4"/>
        <v>0</v>
      </c>
    </row>
    <row r="1381" ht="15.75" customHeight="1">
      <c r="A1381" s="14">
        <v>38457.0</v>
      </c>
      <c r="B1381" s="15">
        <v>3.54</v>
      </c>
      <c r="C1381" s="15"/>
      <c r="D1381" s="15">
        <v>6.27</v>
      </c>
      <c r="E1381" s="15"/>
      <c r="F1381" s="15" t="str">
        <f t="shared" si="1"/>
        <v/>
      </c>
      <c r="G1381" s="15">
        <f t="shared" si="2"/>
        <v>6.27</v>
      </c>
      <c r="H1381" s="16">
        <v>1.0</v>
      </c>
      <c r="I1381" s="15">
        <f t="shared" si="3"/>
        <v>2.73</v>
      </c>
      <c r="J1381" s="15">
        <v>17.74</v>
      </c>
      <c r="K1381" s="16">
        <f>IF(COUNTIFS(Release_Calendar!$A$2:$A$755,"US_CPI",Release_Calendar!$B$2:$B$755,$A1381)&gt;0,1,0)</f>
        <v>0</v>
      </c>
      <c r="L1381" s="16">
        <f>IF(COUNTIFS(Release_Calendar!$A$2:$A$755,"US_NFP",Release_Calendar!$B$2:$B$755,$A1381)&gt;0,1,0)</f>
        <v>0</v>
      </c>
      <c r="M1381" s="16" t="str">
        <f>IF($A1381&lt;Notes!$B$5,"",IF(COUNTIFS(Release_Calendar!$A$2:$A$755,"NZ_CPI",Release_Calendar!$B$2:$B$755,$A1381)&gt;0,1,0))</f>
        <v/>
      </c>
      <c r="N1381" s="16" t="str">
        <f>IF($A1381&lt;Notes!$B$5,"",IF(COUNTIFS(Release_Calendar!$A$2:$A$755,"NZ_GDP",Release_Calendar!$B$2:$B$755,$A1381)&gt;0,1,0))</f>
        <v/>
      </c>
      <c r="O1381" s="16" t="str">
        <f>IF($A1381&lt;Notes!$B$5,"",IF(COUNTIFS(Release_Calendar!$A$2:$A$755,"NZ_LABOUR",Release_Calendar!$B$2:$B$755,$A1381)&gt;0,1,0))</f>
        <v/>
      </c>
      <c r="P1381" s="16">
        <f t="shared" si="4"/>
        <v>0</v>
      </c>
    </row>
    <row r="1382" ht="15.75" customHeight="1">
      <c r="A1382" s="14">
        <v>38460.0</v>
      </c>
      <c r="B1382" s="15">
        <v>3.55</v>
      </c>
      <c r="C1382" s="15"/>
      <c r="D1382" s="15">
        <v>6.21</v>
      </c>
      <c r="E1382" s="15"/>
      <c r="F1382" s="15" t="str">
        <f t="shared" si="1"/>
        <v/>
      </c>
      <c r="G1382" s="15">
        <f t="shared" si="2"/>
        <v>6.21</v>
      </c>
      <c r="H1382" s="16">
        <v>1.0</v>
      </c>
      <c r="I1382" s="15">
        <f t="shared" si="3"/>
        <v>2.66</v>
      </c>
      <c r="J1382" s="15">
        <v>16.56</v>
      </c>
      <c r="K1382" s="16">
        <f>IF(COUNTIFS(Release_Calendar!$A$2:$A$755,"US_CPI",Release_Calendar!$B$2:$B$755,$A1382)&gt;0,1,0)</f>
        <v>0</v>
      </c>
      <c r="L1382" s="16">
        <f>IF(COUNTIFS(Release_Calendar!$A$2:$A$755,"US_NFP",Release_Calendar!$B$2:$B$755,$A1382)&gt;0,1,0)</f>
        <v>0</v>
      </c>
      <c r="M1382" s="16" t="str">
        <f>IF($A1382&lt;Notes!$B$5,"",IF(COUNTIFS(Release_Calendar!$A$2:$A$755,"NZ_CPI",Release_Calendar!$B$2:$B$755,$A1382)&gt;0,1,0))</f>
        <v/>
      </c>
      <c r="N1382" s="16" t="str">
        <f>IF($A1382&lt;Notes!$B$5,"",IF(COUNTIFS(Release_Calendar!$A$2:$A$755,"NZ_GDP",Release_Calendar!$B$2:$B$755,$A1382)&gt;0,1,0))</f>
        <v/>
      </c>
      <c r="O1382" s="16" t="str">
        <f>IF($A1382&lt;Notes!$B$5,"",IF(COUNTIFS(Release_Calendar!$A$2:$A$755,"NZ_LABOUR",Release_Calendar!$B$2:$B$755,$A1382)&gt;0,1,0))</f>
        <v/>
      </c>
      <c r="P1382" s="16">
        <f t="shared" si="4"/>
        <v>0</v>
      </c>
    </row>
    <row r="1383" ht="15.75" customHeight="1">
      <c r="A1383" s="14">
        <v>38461.0</v>
      </c>
      <c r="B1383" s="15">
        <v>3.5</v>
      </c>
      <c r="C1383" s="15"/>
      <c r="D1383" s="15">
        <v>6.22</v>
      </c>
      <c r="E1383" s="15"/>
      <c r="F1383" s="15" t="str">
        <f t="shared" si="1"/>
        <v/>
      </c>
      <c r="G1383" s="15">
        <f t="shared" si="2"/>
        <v>6.22</v>
      </c>
      <c r="H1383" s="16">
        <v>1.0</v>
      </c>
      <c r="I1383" s="15">
        <f t="shared" si="3"/>
        <v>2.72</v>
      </c>
      <c r="J1383" s="15">
        <v>14.96</v>
      </c>
      <c r="K1383" s="16">
        <f>IF(COUNTIFS(Release_Calendar!$A$2:$A$755,"US_CPI",Release_Calendar!$B$2:$B$755,$A1383)&gt;0,1,0)</f>
        <v>0</v>
      </c>
      <c r="L1383" s="16">
        <f>IF(COUNTIFS(Release_Calendar!$A$2:$A$755,"US_NFP",Release_Calendar!$B$2:$B$755,$A1383)&gt;0,1,0)</f>
        <v>0</v>
      </c>
      <c r="M1383" s="16" t="str">
        <f>IF($A1383&lt;Notes!$B$5,"",IF(COUNTIFS(Release_Calendar!$A$2:$A$755,"NZ_CPI",Release_Calendar!$B$2:$B$755,$A1383)&gt;0,1,0))</f>
        <v/>
      </c>
      <c r="N1383" s="16" t="str">
        <f>IF($A1383&lt;Notes!$B$5,"",IF(COUNTIFS(Release_Calendar!$A$2:$A$755,"NZ_GDP",Release_Calendar!$B$2:$B$755,$A1383)&gt;0,1,0))</f>
        <v/>
      </c>
      <c r="O1383" s="16" t="str">
        <f>IF($A1383&lt;Notes!$B$5,"",IF(COUNTIFS(Release_Calendar!$A$2:$A$755,"NZ_LABOUR",Release_Calendar!$B$2:$B$755,$A1383)&gt;0,1,0))</f>
        <v/>
      </c>
      <c r="P1383" s="16">
        <f t="shared" si="4"/>
        <v>0</v>
      </c>
    </row>
    <row r="1384" ht="15.75" customHeight="1">
      <c r="A1384" s="14">
        <v>38462.0</v>
      </c>
      <c r="B1384" s="15">
        <v>3.52</v>
      </c>
      <c r="C1384" s="15"/>
      <c r="D1384" s="15">
        <v>6.16</v>
      </c>
      <c r="E1384" s="15"/>
      <c r="F1384" s="15" t="str">
        <f t="shared" si="1"/>
        <v/>
      </c>
      <c r="G1384" s="15">
        <f t="shared" si="2"/>
        <v>6.16</v>
      </c>
      <c r="H1384" s="16">
        <v>1.0</v>
      </c>
      <c r="I1384" s="15">
        <f t="shared" si="3"/>
        <v>2.64</v>
      </c>
      <c r="J1384" s="15">
        <v>16.92</v>
      </c>
      <c r="K1384" s="16">
        <f>IF(COUNTIFS(Release_Calendar!$A$2:$A$755,"US_CPI",Release_Calendar!$B$2:$B$755,$A1384)&gt;0,1,0)</f>
        <v>1</v>
      </c>
      <c r="L1384" s="16">
        <f>IF(COUNTIFS(Release_Calendar!$A$2:$A$755,"US_NFP",Release_Calendar!$B$2:$B$755,$A1384)&gt;0,1,0)</f>
        <v>0</v>
      </c>
      <c r="M1384" s="16" t="str">
        <f>IF($A1384&lt;Notes!$B$5,"",IF(COUNTIFS(Release_Calendar!$A$2:$A$755,"NZ_CPI",Release_Calendar!$B$2:$B$755,$A1384)&gt;0,1,0))</f>
        <v/>
      </c>
      <c r="N1384" s="16" t="str">
        <f>IF($A1384&lt;Notes!$B$5,"",IF(COUNTIFS(Release_Calendar!$A$2:$A$755,"NZ_GDP",Release_Calendar!$B$2:$B$755,$A1384)&gt;0,1,0))</f>
        <v/>
      </c>
      <c r="O1384" s="16" t="str">
        <f>IF($A1384&lt;Notes!$B$5,"",IF(COUNTIFS(Release_Calendar!$A$2:$A$755,"NZ_LABOUR",Release_Calendar!$B$2:$B$755,$A1384)&gt;0,1,0))</f>
        <v/>
      </c>
      <c r="P1384" s="16">
        <f t="shared" si="4"/>
        <v>1</v>
      </c>
    </row>
    <row r="1385" ht="15.75" customHeight="1">
      <c r="A1385" s="14">
        <v>38463.0</v>
      </c>
      <c r="B1385" s="15">
        <v>3.65</v>
      </c>
      <c r="C1385" s="15"/>
      <c r="D1385" s="15">
        <v>6.17</v>
      </c>
      <c r="E1385" s="15"/>
      <c r="F1385" s="15" t="str">
        <f t="shared" si="1"/>
        <v/>
      </c>
      <c r="G1385" s="15">
        <f t="shared" si="2"/>
        <v>6.17</v>
      </c>
      <c r="H1385" s="16">
        <v>1.0</v>
      </c>
      <c r="I1385" s="15">
        <f t="shared" si="3"/>
        <v>2.52</v>
      </c>
      <c r="J1385" s="15">
        <v>14.41</v>
      </c>
      <c r="K1385" s="16">
        <f>IF(COUNTIFS(Release_Calendar!$A$2:$A$755,"US_CPI",Release_Calendar!$B$2:$B$755,$A1385)&gt;0,1,0)</f>
        <v>0</v>
      </c>
      <c r="L1385" s="16">
        <f>IF(COUNTIFS(Release_Calendar!$A$2:$A$755,"US_NFP",Release_Calendar!$B$2:$B$755,$A1385)&gt;0,1,0)</f>
        <v>0</v>
      </c>
      <c r="M1385" s="16" t="str">
        <f>IF($A1385&lt;Notes!$B$5,"",IF(COUNTIFS(Release_Calendar!$A$2:$A$755,"NZ_CPI",Release_Calendar!$B$2:$B$755,$A1385)&gt;0,1,0))</f>
        <v/>
      </c>
      <c r="N1385" s="16" t="str">
        <f>IF($A1385&lt;Notes!$B$5,"",IF(COUNTIFS(Release_Calendar!$A$2:$A$755,"NZ_GDP",Release_Calendar!$B$2:$B$755,$A1385)&gt;0,1,0))</f>
        <v/>
      </c>
      <c r="O1385" s="16" t="str">
        <f>IF($A1385&lt;Notes!$B$5,"",IF(COUNTIFS(Release_Calendar!$A$2:$A$755,"NZ_LABOUR",Release_Calendar!$B$2:$B$755,$A1385)&gt;0,1,0))</f>
        <v/>
      </c>
      <c r="P1385" s="16">
        <f t="shared" si="4"/>
        <v>0</v>
      </c>
    </row>
    <row r="1386" ht="15.75" customHeight="1">
      <c r="A1386" s="14">
        <v>38464.0</v>
      </c>
      <c r="B1386" s="15">
        <v>3.62</v>
      </c>
      <c r="C1386" s="15"/>
      <c r="D1386" s="15">
        <v>6.2</v>
      </c>
      <c r="E1386" s="15"/>
      <c r="F1386" s="15" t="str">
        <f t="shared" si="1"/>
        <v/>
      </c>
      <c r="G1386" s="15">
        <f t="shared" si="2"/>
        <v>6.2</v>
      </c>
      <c r="H1386" s="16">
        <v>1.0</v>
      </c>
      <c r="I1386" s="15">
        <f t="shared" si="3"/>
        <v>2.58</v>
      </c>
      <c r="J1386" s="15">
        <v>15.38</v>
      </c>
      <c r="K1386" s="16">
        <f>IF(COUNTIFS(Release_Calendar!$A$2:$A$755,"US_CPI",Release_Calendar!$B$2:$B$755,$A1386)&gt;0,1,0)</f>
        <v>0</v>
      </c>
      <c r="L1386" s="16">
        <f>IF(COUNTIFS(Release_Calendar!$A$2:$A$755,"US_NFP",Release_Calendar!$B$2:$B$755,$A1386)&gt;0,1,0)</f>
        <v>0</v>
      </c>
      <c r="M1386" s="16" t="str">
        <f>IF($A1386&lt;Notes!$B$5,"",IF(COUNTIFS(Release_Calendar!$A$2:$A$755,"NZ_CPI",Release_Calendar!$B$2:$B$755,$A1386)&gt;0,1,0))</f>
        <v/>
      </c>
      <c r="N1386" s="16" t="str">
        <f>IF($A1386&lt;Notes!$B$5,"",IF(COUNTIFS(Release_Calendar!$A$2:$A$755,"NZ_GDP",Release_Calendar!$B$2:$B$755,$A1386)&gt;0,1,0))</f>
        <v/>
      </c>
      <c r="O1386" s="16" t="str">
        <f>IF($A1386&lt;Notes!$B$5,"",IF(COUNTIFS(Release_Calendar!$A$2:$A$755,"NZ_LABOUR",Release_Calendar!$B$2:$B$755,$A1386)&gt;0,1,0))</f>
        <v/>
      </c>
      <c r="P1386" s="16">
        <f t="shared" si="4"/>
        <v>0</v>
      </c>
    </row>
    <row r="1387" ht="15.75" customHeight="1">
      <c r="A1387" s="14">
        <v>38467.0</v>
      </c>
      <c r="B1387" s="15">
        <v>3.64</v>
      </c>
      <c r="C1387" s="15"/>
      <c r="D1387" s="15"/>
      <c r="E1387" s="15"/>
      <c r="F1387" s="15" t="str">
        <f t="shared" si="1"/>
        <v/>
      </c>
      <c r="G1387" s="15" t="str">
        <f t="shared" si="2"/>
        <v/>
      </c>
      <c r="H1387" s="16">
        <v>1.0</v>
      </c>
      <c r="I1387" s="15" t="str">
        <f t="shared" si="3"/>
        <v/>
      </c>
      <c r="J1387" s="15">
        <v>14.62</v>
      </c>
      <c r="K1387" s="16">
        <f>IF(COUNTIFS(Release_Calendar!$A$2:$A$755,"US_CPI",Release_Calendar!$B$2:$B$755,$A1387)&gt;0,1,0)</f>
        <v>0</v>
      </c>
      <c r="L1387" s="16">
        <f>IF(COUNTIFS(Release_Calendar!$A$2:$A$755,"US_NFP",Release_Calendar!$B$2:$B$755,$A1387)&gt;0,1,0)</f>
        <v>0</v>
      </c>
      <c r="M1387" s="16" t="str">
        <f>IF($A1387&lt;Notes!$B$5,"",IF(COUNTIFS(Release_Calendar!$A$2:$A$755,"NZ_CPI",Release_Calendar!$B$2:$B$755,$A1387)&gt;0,1,0))</f>
        <v/>
      </c>
      <c r="N1387" s="16" t="str">
        <f>IF($A1387&lt;Notes!$B$5,"",IF(COUNTIFS(Release_Calendar!$A$2:$A$755,"NZ_GDP",Release_Calendar!$B$2:$B$755,$A1387)&gt;0,1,0))</f>
        <v/>
      </c>
      <c r="O1387" s="16" t="str">
        <f>IF($A1387&lt;Notes!$B$5,"",IF(COUNTIFS(Release_Calendar!$A$2:$A$755,"NZ_LABOUR",Release_Calendar!$B$2:$B$755,$A1387)&gt;0,1,0))</f>
        <v/>
      </c>
      <c r="P1387" s="16">
        <f t="shared" si="4"/>
        <v>0</v>
      </c>
    </row>
    <row r="1388" ht="15.75" customHeight="1">
      <c r="A1388" s="14">
        <v>38468.0</v>
      </c>
      <c r="B1388" s="15">
        <v>3.67</v>
      </c>
      <c r="C1388" s="15"/>
      <c r="D1388" s="15">
        <v>6.21</v>
      </c>
      <c r="E1388" s="15"/>
      <c r="F1388" s="15" t="str">
        <f t="shared" si="1"/>
        <v/>
      </c>
      <c r="G1388" s="15">
        <f t="shared" si="2"/>
        <v>6.21</v>
      </c>
      <c r="H1388" s="16">
        <v>1.0</v>
      </c>
      <c r="I1388" s="15">
        <f t="shared" si="3"/>
        <v>2.54</v>
      </c>
      <c r="J1388" s="15">
        <v>14.91</v>
      </c>
      <c r="K1388" s="16">
        <f>IF(COUNTIFS(Release_Calendar!$A$2:$A$755,"US_CPI",Release_Calendar!$B$2:$B$755,$A1388)&gt;0,1,0)</f>
        <v>0</v>
      </c>
      <c r="L1388" s="16">
        <f>IF(COUNTIFS(Release_Calendar!$A$2:$A$755,"US_NFP",Release_Calendar!$B$2:$B$755,$A1388)&gt;0,1,0)</f>
        <v>0</v>
      </c>
      <c r="M1388" s="16" t="str">
        <f>IF($A1388&lt;Notes!$B$5,"",IF(COUNTIFS(Release_Calendar!$A$2:$A$755,"NZ_CPI",Release_Calendar!$B$2:$B$755,$A1388)&gt;0,1,0))</f>
        <v/>
      </c>
      <c r="N1388" s="16" t="str">
        <f>IF($A1388&lt;Notes!$B$5,"",IF(COUNTIFS(Release_Calendar!$A$2:$A$755,"NZ_GDP",Release_Calendar!$B$2:$B$755,$A1388)&gt;0,1,0))</f>
        <v/>
      </c>
      <c r="O1388" s="16" t="str">
        <f>IF($A1388&lt;Notes!$B$5,"",IF(COUNTIFS(Release_Calendar!$A$2:$A$755,"NZ_LABOUR",Release_Calendar!$B$2:$B$755,$A1388)&gt;0,1,0))</f>
        <v/>
      </c>
      <c r="P1388" s="16">
        <f t="shared" si="4"/>
        <v>0</v>
      </c>
    </row>
    <row r="1389" ht="15.75" customHeight="1">
      <c r="A1389" s="14">
        <v>38469.0</v>
      </c>
      <c r="B1389" s="15">
        <v>3.64</v>
      </c>
      <c r="C1389" s="15"/>
      <c r="D1389" s="15">
        <v>6.18</v>
      </c>
      <c r="E1389" s="15"/>
      <c r="F1389" s="15" t="str">
        <f t="shared" si="1"/>
        <v/>
      </c>
      <c r="G1389" s="15">
        <f t="shared" si="2"/>
        <v>6.18</v>
      </c>
      <c r="H1389" s="16">
        <v>1.0</v>
      </c>
      <c r="I1389" s="15">
        <f t="shared" si="3"/>
        <v>2.54</v>
      </c>
      <c r="J1389" s="15">
        <v>14.87</v>
      </c>
      <c r="K1389" s="16">
        <f>IF(COUNTIFS(Release_Calendar!$A$2:$A$755,"US_CPI",Release_Calendar!$B$2:$B$755,$A1389)&gt;0,1,0)</f>
        <v>0</v>
      </c>
      <c r="L1389" s="16">
        <f>IF(COUNTIFS(Release_Calendar!$A$2:$A$755,"US_NFP",Release_Calendar!$B$2:$B$755,$A1389)&gt;0,1,0)</f>
        <v>0</v>
      </c>
      <c r="M1389" s="16" t="str">
        <f>IF($A1389&lt;Notes!$B$5,"",IF(COUNTIFS(Release_Calendar!$A$2:$A$755,"NZ_CPI",Release_Calendar!$B$2:$B$755,$A1389)&gt;0,1,0))</f>
        <v/>
      </c>
      <c r="N1389" s="16" t="str">
        <f>IF($A1389&lt;Notes!$B$5,"",IF(COUNTIFS(Release_Calendar!$A$2:$A$755,"NZ_GDP",Release_Calendar!$B$2:$B$755,$A1389)&gt;0,1,0))</f>
        <v/>
      </c>
      <c r="O1389" s="16" t="str">
        <f>IF($A1389&lt;Notes!$B$5,"",IF(COUNTIFS(Release_Calendar!$A$2:$A$755,"NZ_LABOUR",Release_Calendar!$B$2:$B$755,$A1389)&gt;0,1,0))</f>
        <v/>
      </c>
      <c r="P1389" s="16">
        <f t="shared" si="4"/>
        <v>0</v>
      </c>
    </row>
    <row r="1390" ht="15.75" customHeight="1">
      <c r="A1390" s="14">
        <v>38470.0</v>
      </c>
      <c r="B1390" s="15">
        <v>3.59</v>
      </c>
      <c r="C1390" s="15"/>
      <c r="D1390" s="15">
        <v>6.19</v>
      </c>
      <c r="E1390" s="15"/>
      <c r="F1390" s="15" t="str">
        <f t="shared" si="1"/>
        <v/>
      </c>
      <c r="G1390" s="15">
        <f t="shared" si="2"/>
        <v>6.19</v>
      </c>
      <c r="H1390" s="16">
        <v>1.0</v>
      </c>
      <c r="I1390" s="15">
        <f t="shared" si="3"/>
        <v>2.6</v>
      </c>
      <c r="J1390" s="15">
        <v>16.86</v>
      </c>
      <c r="K1390" s="16">
        <f>IF(COUNTIFS(Release_Calendar!$A$2:$A$755,"US_CPI",Release_Calendar!$B$2:$B$755,$A1390)&gt;0,1,0)</f>
        <v>0</v>
      </c>
      <c r="L1390" s="16">
        <f>IF(COUNTIFS(Release_Calendar!$A$2:$A$755,"US_NFP",Release_Calendar!$B$2:$B$755,$A1390)&gt;0,1,0)</f>
        <v>0</v>
      </c>
      <c r="M1390" s="16" t="str">
        <f>IF($A1390&lt;Notes!$B$5,"",IF(COUNTIFS(Release_Calendar!$A$2:$A$755,"NZ_CPI",Release_Calendar!$B$2:$B$755,$A1390)&gt;0,1,0))</f>
        <v/>
      </c>
      <c r="N1390" s="16" t="str">
        <f>IF($A1390&lt;Notes!$B$5,"",IF(COUNTIFS(Release_Calendar!$A$2:$A$755,"NZ_GDP",Release_Calendar!$B$2:$B$755,$A1390)&gt;0,1,0))</f>
        <v/>
      </c>
      <c r="O1390" s="16" t="str">
        <f>IF($A1390&lt;Notes!$B$5,"",IF(COUNTIFS(Release_Calendar!$A$2:$A$755,"NZ_LABOUR",Release_Calendar!$B$2:$B$755,$A1390)&gt;0,1,0))</f>
        <v/>
      </c>
      <c r="P1390" s="16">
        <f t="shared" si="4"/>
        <v>0</v>
      </c>
    </row>
    <row r="1391" ht="15.75" customHeight="1">
      <c r="A1391" s="14">
        <v>38471.0</v>
      </c>
      <c r="B1391" s="15">
        <v>3.66</v>
      </c>
      <c r="C1391" s="15"/>
      <c r="D1391" s="15">
        <v>6.16</v>
      </c>
      <c r="E1391" s="15"/>
      <c r="F1391" s="15" t="str">
        <f t="shared" si="1"/>
        <v/>
      </c>
      <c r="G1391" s="15">
        <f t="shared" si="2"/>
        <v>6.16</v>
      </c>
      <c r="H1391" s="16">
        <v>1.0</v>
      </c>
      <c r="I1391" s="15">
        <f t="shared" si="3"/>
        <v>2.5</v>
      </c>
      <c r="J1391" s="15">
        <v>15.31</v>
      </c>
      <c r="K1391" s="16">
        <f>IF(COUNTIFS(Release_Calendar!$A$2:$A$755,"US_CPI",Release_Calendar!$B$2:$B$755,$A1391)&gt;0,1,0)</f>
        <v>0</v>
      </c>
      <c r="L1391" s="16">
        <f>IF(COUNTIFS(Release_Calendar!$A$2:$A$755,"US_NFP",Release_Calendar!$B$2:$B$755,$A1391)&gt;0,1,0)</f>
        <v>0</v>
      </c>
      <c r="M1391" s="16" t="str">
        <f>IF($A1391&lt;Notes!$B$5,"",IF(COUNTIFS(Release_Calendar!$A$2:$A$755,"NZ_CPI",Release_Calendar!$B$2:$B$755,$A1391)&gt;0,1,0))</f>
        <v/>
      </c>
      <c r="N1391" s="16" t="str">
        <f>IF($A1391&lt;Notes!$B$5,"",IF(COUNTIFS(Release_Calendar!$A$2:$A$755,"NZ_GDP",Release_Calendar!$B$2:$B$755,$A1391)&gt;0,1,0))</f>
        <v/>
      </c>
      <c r="O1391" s="16" t="str">
        <f>IF($A1391&lt;Notes!$B$5,"",IF(COUNTIFS(Release_Calendar!$A$2:$A$755,"NZ_LABOUR",Release_Calendar!$B$2:$B$755,$A1391)&gt;0,1,0))</f>
        <v/>
      </c>
      <c r="P1391" s="16">
        <f t="shared" si="4"/>
        <v>0</v>
      </c>
    </row>
    <row r="1392" ht="15.75" customHeight="1">
      <c r="A1392" s="14">
        <v>38474.0</v>
      </c>
      <c r="B1392" s="15">
        <v>3.64</v>
      </c>
      <c r="C1392" s="15"/>
      <c r="D1392" s="15">
        <v>6.21</v>
      </c>
      <c r="E1392" s="15"/>
      <c r="F1392" s="15" t="str">
        <f t="shared" si="1"/>
        <v/>
      </c>
      <c r="G1392" s="15">
        <f t="shared" si="2"/>
        <v>6.21</v>
      </c>
      <c r="H1392" s="16">
        <v>1.0</v>
      </c>
      <c r="I1392" s="15">
        <f t="shared" si="3"/>
        <v>2.57</v>
      </c>
      <c r="J1392" s="15">
        <v>15.12</v>
      </c>
      <c r="K1392" s="16">
        <f>IF(COUNTIFS(Release_Calendar!$A$2:$A$755,"US_CPI",Release_Calendar!$B$2:$B$755,$A1392)&gt;0,1,0)</f>
        <v>0</v>
      </c>
      <c r="L1392" s="16">
        <f>IF(COUNTIFS(Release_Calendar!$A$2:$A$755,"US_NFP",Release_Calendar!$B$2:$B$755,$A1392)&gt;0,1,0)</f>
        <v>0</v>
      </c>
      <c r="M1392" s="16" t="str">
        <f>IF($A1392&lt;Notes!$B$5,"",IF(COUNTIFS(Release_Calendar!$A$2:$A$755,"NZ_CPI",Release_Calendar!$B$2:$B$755,$A1392)&gt;0,1,0))</f>
        <v/>
      </c>
      <c r="N1392" s="16" t="str">
        <f>IF($A1392&lt;Notes!$B$5,"",IF(COUNTIFS(Release_Calendar!$A$2:$A$755,"NZ_GDP",Release_Calendar!$B$2:$B$755,$A1392)&gt;0,1,0))</f>
        <v/>
      </c>
      <c r="O1392" s="16" t="str">
        <f>IF($A1392&lt;Notes!$B$5,"",IF(COUNTIFS(Release_Calendar!$A$2:$A$755,"NZ_LABOUR",Release_Calendar!$B$2:$B$755,$A1392)&gt;0,1,0))</f>
        <v/>
      </c>
      <c r="P1392" s="16">
        <f t="shared" si="4"/>
        <v>0</v>
      </c>
    </row>
    <row r="1393" ht="15.75" customHeight="1">
      <c r="A1393" s="14">
        <v>38475.0</v>
      </c>
      <c r="B1393" s="15">
        <v>3.68</v>
      </c>
      <c r="C1393" s="15"/>
      <c r="D1393" s="15">
        <v>6.22</v>
      </c>
      <c r="E1393" s="15"/>
      <c r="F1393" s="15" t="str">
        <f t="shared" si="1"/>
        <v/>
      </c>
      <c r="G1393" s="15">
        <f t="shared" si="2"/>
        <v>6.22</v>
      </c>
      <c r="H1393" s="16">
        <v>1.0</v>
      </c>
      <c r="I1393" s="15">
        <f t="shared" si="3"/>
        <v>2.54</v>
      </c>
      <c r="J1393" s="15">
        <v>14.53</v>
      </c>
      <c r="K1393" s="16">
        <f>IF(COUNTIFS(Release_Calendar!$A$2:$A$755,"US_CPI",Release_Calendar!$B$2:$B$755,$A1393)&gt;0,1,0)</f>
        <v>0</v>
      </c>
      <c r="L1393" s="16">
        <f>IF(COUNTIFS(Release_Calendar!$A$2:$A$755,"US_NFP",Release_Calendar!$B$2:$B$755,$A1393)&gt;0,1,0)</f>
        <v>0</v>
      </c>
      <c r="M1393" s="16" t="str">
        <f>IF($A1393&lt;Notes!$B$5,"",IF(COUNTIFS(Release_Calendar!$A$2:$A$755,"NZ_CPI",Release_Calendar!$B$2:$B$755,$A1393)&gt;0,1,0))</f>
        <v/>
      </c>
      <c r="N1393" s="16" t="str">
        <f>IF($A1393&lt;Notes!$B$5,"",IF(COUNTIFS(Release_Calendar!$A$2:$A$755,"NZ_GDP",Release_Calendar!$B$2:$B$755,$A1393)&gt;0,1,0))</f>
        <v/>
      </c>
      <c r="O1393" s="16" t="str">
        <f>IF($A1393&lt;Notes!$B$5,"",IF(COUNTIFS(Release_Calendar!$A$2:$A$755,"NZ_LABOUR",Release_Calendar!$B$2:$B$755,$A1393)&gt;0,1,0))</f>
        <v/>
      </c>
      <c r="P1393" s="16">
        <f t="shared" si="4"/>
        <v>0</v>
      </c>
    </row>
    <row r="1394" ht="15.75" customHeight="1">
      <c r="A1394" s="14">
        <v>38476.0</v>
      </c>
      <c r="B1394" s="15">
        <v>3.63</v>
      </c>
      <c r="C1394" s="15"/>
      <c r="D1394" s="15">
        <v>6.24</v>
      </c>
      <c r="E1394" s="15"/>
      <c r="F1394" s="15" t="str">
        <f t="shared" si="1"/>
        <v/>
      </c>
      <c r="G1394" s="15">
        <f t="shared" si="2"/>
        <v>6.24</v>
      </c>
      <c r="H1394" s="16">
        <v>1.0</v>
      </c>
      <c r="I1394" s="15">
        <f t="shared" si="3"/>
        <v>2.61</v>
      </c>
      <c r="J1394" s="15">
        <v>13.85</v>
      </c>
      <c r="K1394" s="16">
        <f>IF(COUNTIFS(Release_Calendar!$A$2:$A$755,"US_CPI",Release_Calendar!$B$2:$B$755,$A1394)&gt;0,1,0)</f>
        <v>0</v>
      </c>
      <c r="L1394" s="16">
        <f>IF(COUNTIFS(Release_Calendar!$A$2:$A$755,"US_NFP",Release_Calendar!$B$2:$B$755,$A1394)&gt;0,1,0)</f>
        <v>0</v>
      </c>
      <c r="M1394" s="16" t="str">
        <f>IF($A1394&lt;Notes!$B$5,"",IF(COUNTIFS(Release_Calendar!$A$2:$A$755,"NZ_CPI",Release_Calendar!$B$2:$B$755,$A1394)&gt;0,1,0))</f>
        <v/>
      </c>
      <c r="N1394" s="16" t="str">
        <f>IF($A1394&lt;Notes!$B$5,"",IF(COUNTIFS(Release_Calendar!$A$2:$A$755,"NZ_GDP",Release_Calendar!$B$2:$B$755,$A1394)&gt;0,1,0))</f>
        <v/>
      </c>
      <c r="O1394" s="16" t="str">
        <f>IF($A1394&lt;Notes!$B$5,"",IF(COUNTIFS(Release_Calendar!$A$2:$A$755,"NZ_LABOUR",Release_Calendar!$B$2:$B$755,$A1394)&gt;0,1,0))</f>
        <v/>
      </c>
      <c r="P1394" s="16">
        <f t="shared" si="4"/>
        <v>0</v>
      </c>
    </row>
    <row r="1395" ht="15.75" customHeight="1">
      <c r="A1395" s="14">
        <v>38477.0</v>
      </c>
      <c r="B1395" s="15">
        <v>3.58</v>
      </c>
      <c r="C1395" s="15"/>
      <c r="D1395" s="15">
        <v>6.24</v>
      </c>
      <c r="E1395" s="15"/>
      <c r="F1395" s="15" t="str">
        <f t="shared" si="1"/>
        <v/>
      </c>
      <c r="G1395" s="15">
        <f t="shared" si="2"/>
        <v>6.24</v>
      </c>
      <c r="H1395" s="16">
        <v>1.0</v>
      </c>
      <c r="I1395" s="15">
        <f t="shared" si="3"/>
        <v>2.66</v>
      </c>
      <c r="J1395" s="15">
        <v>13.98</v>
      </c>
      <c r="K1395" s="16">
        <f>IF(COUNTIFS(Release_Calendar!$A$2:$A$755,"US_CPI",Release_Calendar!$B$2:$B$755,$A1395)&gt;0,1,0)</f>
        <v>0</v>
      </c>
      <c r="L1395" s="16">
        <f>IF(COUNTIFS(Release_Calendar!$A$2:$A$755,"US_NFP",Release_Calendar!$B$2:$B$755,$A1395)&gt;0,1,0)</f>
        <v>0</v>
      </c>
      <c r="M1395" s="16" t="str">
        <f>IF($A1395&lt;Notes!$B$5,"",IF(COUNTIFS(Release_Calendar!$A$2:$A$755,"NZ_CPI",Release_Calendar!$B$2:$B$755,$A1395)&gt;0,1,0))</f>
        <v/>
      </c>
      <c r="N1395" s="16" t="str">
        <f>IF($A1395&lt;Notes!$B$5,"",IF(COUNTIFS(Release_Calendar!$A$2:$A$755,"NZ_GDP",Release_Calendar!$B$2:$B$755,$A1395)&gt;0,1,0))</f>
        <v/>
      </c>
      <c r="O1395" s="16" t="str">
        <f>IF($A1395&lt;Notes!$B$5,"",IF(COUNTIFS(Release_Calendar!$A$2:$A$755,"NZ_LABOUR",Release_Calendar!$B$2:$B$755,$A1395)&gt;0,1,0))</f>
        <v/>
      </c>
      <c r="P1395" s="16">
        <f t="shared" si="4"/>
        <v>0</v>
      </c>
    </row>
    <row r="1396" ht="15.75" customHeight="1">
      <c r="A1396" s="14">
        <v>38478.0</v>
      </c>
      <c r="B1396" s="15">
        <v>3.73</v>
      </c>
      <c r="C1396" s="15"/>
      <c r="D1396" s="15">
        <v>6.24</v>
      </c>
      <c r="E1396" s="15"/>
      <c r="F1396" s="15" t="str">
        <f t="shared" si="1"/>
        <v/>
      </c>
      <c r="G1396" s="15">
        <f t="shared" si="2"/>
        <v>6.24</v>
      </c>
      <c r="H1396" s="16">
        <v>1.0</v>
      </c>
      <c r="I1396" s="15">
        <f t="shared" si="3"/>
        <v>2.51</v>
      </c>
      <c r="J1396" s="15">
        <v>14.05</v>
      </c>
      <c r="K1396" s="16">
        <f>IF(COUNTIFS(Release_Calendar!$A$2:$A$755,"US_CPI",Release_Calendar!$B$2:$B$755,$A1396)&gt;0,1,0)</f>
        <v>0</v>
      </c>
      <c r="L1396" s="16">
        <f>IF(COUNTIFS(Release_Calendar!$A$2:$A$755,"US_NFP",Release_Calendar!$B$2:$B$755,$A1396)&gt;0,1,0)</f>
        <v>1</v>
      </c>
      <c r="M1396" s="16" t="str">
        <f>IF($A1396&lt;Notes!$B$5,"",IF(COUNTIFS(Release_Calendar!$A$2:$A$755,"NZ_CPI",Release_Calendar!$B$2:$B$755,$A1396)&gt;0,1,0))</f>
        <v/>
      </c>
      <c r="N1396" s="16" t="str">
        <f>IF($A1396&lt;Notes!$B$5,"",IF(COUNTIFS(Release_Calendar!$A$2:$A$755,"NZ_GDP",Release_Calendar!$B$2:$B$755,$A1396)&gt;0,1,0))</f>
        <v/>
      </c>
      <c r="O1396" s="16" t="str">
        <f>IF($A1396&lt;Notes!$B$5,"",IF(COUNTIFS(Release_Calendar!$A$2:$A$755,"NZ_LABOUR",Release_Calendar!$B$2:$B$755,$A1396)&gt;0,1,0))</f>
        <v/>
      </c>
      <c r="P1396" s="16">
        <f t="shared" si="4"/>
        <v>1</v>
      </c>
    </row>
    <row r="1397" ht="15.75" customHeight="1">
      <c r="A1397" s="14">
        <v>38481.0</v>
      </c>
      <c r="B1397" s="15">
        <v>3.76</v>
      </c>
      <c r="C1397" s="15"/>
      <c r="D1397" s="15">
        <v>6.29</v>
      </c>
      <c r="E1397" s="15"/>
      <c r="F1397" s="15" t="str">
        <f t="shared" si="1"/>
        <v/>
      </c>
      <c r="G1397" s="15">
        <f t="shared" si="2"/>
        <v>6.29</v>
      </c>
      <c r="H1397" s="16">
        <v>1.0</v>
      </c>
      <c r="I1397" s="15">
        <f t="shared" si="3"/>
        <v>2.53</v>
      </c>
      <c r="J1397" s="15">
        <v>13.75</v>
      </c>
      <c r="K1397" s="16">
        <f>IF(COUNTIFS(Release_Calendar!$A$2:$A$755,"US_CPI",Release_Calendar!$B$2:$B$755,$A1397)&gt;0,1,0)</f>
        <v>0</v>
      </c>
      <c r="L1397" s="16">
        <f>IF(COUNTIFS(Release_Calendar!$A$2:$A$755,"US_NFP",Release_Calendar!$B$2:$B$755,$A1397)&gt;0,1,0)</f>
        <v>0</v>
      </c>
      <c r="M1397" s="16" t="str">
        <f>IF($A1397&lt;Notes!$B$5,"",IF(COUNTIFS(Release_Calendar!$A$2:$A$755,"NZ_CPI",Release_Calendar!$B$2:$B$755,$A1397)&gt;0,1,0))</f>
        <v/>
      </c>
      <c r="N1397" s="16" t="str">
        <f>IF($A1397&lt;Notes!$B$5,"",IF(COUNTIFS(Release_Calendar!$A$2:$A$755,"NZ_GDP",Release_Calendar!$B$2:$B$755,$A1397)&gt;0,1,0))</f>
        <v/>
      </c>
      <c r="O1397" s="16" t="str">
        <f>IF($A1397&lt;Notes!$B$5,"",IF(COUNTIFS(Release_Calendar!$A$2:$A$755,"NZ_LABOUR",Release_Calendar!$B$2:$B$755,$A1397)&gt;0,1,0))</f>
        <v/>
      </c>
      <c r="P1397" s="16">
        <f t="shared" si="4"/>
        <v>0</v>
      </c>
    </row>
    <row r="1398" ht="15.75" customHeight="1">
      <c r="A1398" s="14">
        <v>38482.0</v>
      </c>
      <c r="B1398" s="15">
        <v>3.69</v>
      </c>
      <c r="C1398" s="15"/>
      <c r="D1398" s="15">
        <v>6.28</v>
      </c>
      <c r="E1398" s="15"/>
      <c r="F1398" s="15" t="str">
        <f t="shared" si="1"/>
        <v/>
      </c>
      <c r="G1398" s="15">
        <f t="shared" si="2"/>
        <v>6.28</v>
      </c>
      <c r="H1398" s="16">
        <v>1.0</v>
      </c>
      <c r="I1398" s="15">
        <f t="shared" si="3"/>
        <v>2.59</v>
      </c>
      <c r="J1398" s="15">
        <v>14.91</v>
      </c>
      <c r="K1398" s="16">
        <f>IF(COUNTIFS(Release_Calendar!$A$2:$A$755,"US_CPI",Release_Calendar!$B$2:$B$755,$A1398)&gt;0,1,0)</f>
        <v>0</v>
      </c>
      <c r="L1398" s="16">
        <f>IF(COUNTIFS(Release_Calendar!$A$2:$A$755,"US_NFP",Release_Calendar!$B$2:$B$755,$A1398)&gt;0,1,0)</f>
        <v>0</v>
      </c>
      <c r="M1398" s="16" t="str">
        <f>IF($A1398&lt;Notes!$B$5,"",IF(COUNTIFS(Release_Calendar!$A$2:$A$755,"NZ_CPI",Release_Calendar!$B$2:$B$755,$A1398)&gt;0,1,0))</f>
        <v/>
      </c>
      <c r="N1398" s="16" t="str">
        <f>IF($A1398&lt;Notes!$B$5,"",IF(COUNTIFS(Release_Calendar!$A$2:$A$755,"NZ_GDP",Release_Calendar!$B$2:$B$755,$A1398)&gt;0,1,0))</f>
        <v/>
      </c>
      <c r="O1398" s="16" t="str">
        <f>IF($A1398&lt;Notes!$B$5,"",IF(COUNTIFS(Release_Calendar!$A$2:$A$755,"NZ_LABOUR",Release_Calendar!$B$2:$B$755,$A1398)&gt;0,1,0))</f>
        <v/>
      </c>
      <c r="P1398" s="16">
        <f t="shared" si="4"/>
        <v>0</v>
      </c>
    </row>
    <row r="1399" ht="15.75" customHeight="1">
      <c r="A1399" s="14">
        <v>38483.0</v>
      </c>
      <c r="B1399" s="15">
        <v>3.68</v>
      </c>
      <c r="C1399" s="15"/>
      <c r="D1399" s="15">
        <v>6.25</v>
      </c>
      <c r="E1399" s="15"/>
      <c r="F1399" s="15" t="str">
        <f t="shared" si="1"/>
        <v/>
      </c>
      <c r="G1399" s="15">
        <f t="shared" si="2"/>
        <v>6.25</v>
      </c>
      <c r="H1399" s="16">
        <v>1.0</v>
      </c>
      <c r="I1399" s="15">
        <f t="shared" si="3"/>
        <v>2.57</v>
      </c>
      <c r="J1399" s="15">
        <v>14.45</v>
      </c>
      <c r="K1399" s="16">
        <f>IF(COUNTIFS(Release_Calendar!$A$2:$A$755,"US_CPI",Release_Calendar!$B$2:$B$755,$A1399)&gt;0,1,0)</f>
        <v>0</v>
      </c>
      <c r="L1399" s="16">
        <f>IF(COUNTIFS(Release_Calendar!$A$2:$A$755,"US_NFP",Release_Calendar!$B$2:$B$755,$A1399)&gt;0,1,0)</f>
        <v>0</v>
      </c>
      <c r="M1399" s="16" t="str">
        <f>IF($A1399&lt;Notes!$B$5,"",IF(COUNTIFS(Release_Calendar!$A$2:$A$755,"NZ_CPI",Release_Calendar!$B$2:$B$755,$A1399)&gt;0,1,0))</f>
        <v/>
      </c>
      <c r="N1399" s="16" t="str">
        <f>IF($A1399&lt;Notes!$B$5,"",IF(COUNTIFS(Release_Calendar!$A$2:$A$755,"NZ_GDP",Release_Calendar!$B$2:$B$755,$A1399)&gt;0,1,0))</f>
        <v/>
      </c>
      <c r="O1399" s="16" t="str">
        <f>IF($A1399&lt;Notes!$B$5,"",IF(COUNTIFS(Release_Calendar!$A$2:$A$755,"NZ_LABOUR",Release_Calendar!$B$2:$B$755,$A1399)&gt;0,1,0))</f>
        <v/>
      </c>
      <c r="P1399" s="16">
        <f t="shared" si="4"/>
        <v>0</v>
      </c>
    </row>
    <row r="1400" ht="15.75" customHeight="1">
      <c r="A1400" s="14">
        <v>38484.0</v>
      </c>
      <c r="B1400" s="15">
        <v>3.66</v>
      </c>
      <c r="C1400" s="15"/>
      <c r="D1400" s="15">
        <v>6.2</v>
      </c>
      <c r="E1400" s="15"/>
      <c r="F1400" s="15" t="str">
        <f t="shared" si="1"/>
        <v/>
      </c>
      <c r="G1400" s="15">
        <f t="shared" si="2"/>
        <v>6.2</v>
      </c>
      <c r="H1400" s="16">
        <v>1.0</v>
      </c>
      <c r="I1400" s="15">
        <f t="shared" si="3"/>
        <v>2.54</v>
      </c>
      <c r="J1400" s="15">
        <v>16.12</v>
      </c>
      <c r="K1400" s="16">
        <f>IF(COUNTIFS(Release_Calendar!$A$2:$A$755,"US_CPI",Release_Calendar!$B$2:$B$755,$A1400)&gt;0,1,0)</f>
        <v>0</v>
      </c>
      <c r="L1400" s="16">
        <f>IF(COUNTIFS(Release_Calendar!$A$2:$A$755,"US_NFP",Release_Calendar!$B$2:$B$755,$A1400)&gt;0,1,0)</f>
        <v>0</v>
      </c>
      <c r="M1400" s="16" t="str">
        <f>IF($A1400&lt;Notes!$B$5,"",IF(COUNTIFS(Release_Calendar!$A$2:$A$755,"NZ_CPI",Release_Calendar!$B$2:$B$755,$A1400)&gt;0,1,0))</f>
        <v/>
      </c>
      <c r="N1400" s="16" t="str">
        <f>IF($A1400&lt;Notes!$B$5,"",IF(COUNTIFS(Release_Calendar!$A$2:$A$755,"NZ_GDP",Release_Calendar!$B$2:$B$755,$A1400)&gt;0,1,0))</f>
        <v/>
      </c>
      <c r="O1400" s="16" t="str">
        <f>IF($A1400&lt;Notes!$B$5,"",IF(COUNTIFS(Release_Calendar!$A$2:$A$755,"NZ_LABOUR",Release_Calendar!$B$2:$B$755,$A1400)&gt;0,1,0))</f>
        <v/>
      </c>
      <c r="P1400" s="16">
        <f t="shared" si="4"/>
        <v>0</v>
      </c>
    </row>
    <row r="1401" ht="15.75" customHeight="1">
      <c r="A1401" s="14">
        <v>38485.0</v>
      </c>
      <c r="B1401" s="15">
        <v>3.61</v>
      </c>
      <c r="C1401" s="15"/>
      <c r="D1401" s="15">
        <v>6.19</v>
      </c>
      <c r="E1401" s="15"/>
      <c r="F1401" s="15" t="str">
        <f t="shared" si="1"/>
        <v/>
      </c>
      <c r="G1401" s="15">
        <f t="shared" si="2"/>
        <v>6.19</v>
      </c>
      <c r="H1401" s="16">
        <v>1.0</v>
      </c>
      <c r="I1401" s="15">
        <f t="shared" si="3"/>
        <v>2.58</v>
      </c>
      <c r="J1401" s="15">
        <v>16.32</v>
      </c>
      <c r="K1401" s="16">
        <f>IF(COUNTIFS(Release_Calendar!$A$2:$A$755,"US_CPI",Release_Calendar!$B$2:$B$755,$A1401)&gt;0,1,0)</f>
        <v>0</v>
      </c>
      <c r="L1401" s="16">
        <f>IF(COUNTIFS(Release_Calendar!$A$2:$A$755,"US_NFP",Release_Calendar!$B$2:$B$755,$A1401)&gt;0,1,0)</f>
        <v>0</v>
      </c>
      <c r="M1401" s="16" t="str">
        <f>IF($A1401&lt;Notes!$B$5,"",IF(COUNTIFS(Release_Calendar!$A$2:$A$755,"NZ_CPI",Release_Calendar!$B$2:$B$755,$A1401)&gt;0,1,0))</f>
        <v/>
      </c>
      <c r="N1401" s="16" t="str">
        <f>IF($A1401&lt;Notes!$B$5,"",IF(COUNTIFS(Release_Calendar!$A$2:$A$755,"NZ_GDP",Release_Calendar!$B$2:$B$755,$A1401)&gt;0,1,0))</f>
        <v/>
      </c>
      <c r="O1401" s="16" t="str">
        <f>IF($A1401&lt;Notes!$B$5,"",IF(COUNTIFS(Release_Calendar!$A$2:$A$755,"NZ_LABOUR",Release_Calendar!$B$2:$B$755,$A1401)&gt;0,1,0))</f>
        <v/>
      </c>
      <c r="P1401" s="16">
        <f t="shared" si="4"/>
        <v>0</v>
      </c>
    </row>
    <row r="1402" ht="15.75" customHeight="1">
      <c r="A1402" s="14">
        <v>38488.0</v>
      </c>
      <c r="B1402" s="15">
        <v>3.61</v>
      </c>
      <c r="C1402" s="15"/>
      <c r="D1402" s="15">
        <v>6.11</v>
      </c>
      <c r="E1402" s="15"/>
      <c r="F1402" s="15" t="str">
        <f t="shared" si="1"/>
        <v/>
      </c>
      <c r="G1402" s="15">
        <f t="shared" si="2"/>
        <v>6.11</v>
      </c>
      <c r="H1402" s="16">
        <v>1.0</v>
      </c>
      <c r="I1402" s="15">
        <f t="shared" si="3"/>
        <v>2.5</v>
      </c>
      <c r="J1402" s="15">
        <v>15.68</v>
      </c>
      <c r="K1402" s="16">
        <f>IF(COUNTIFS(Release_Calendar!$A$2:$A$755,"US_CPI",Release_Calendar!$B$2:$B$755,$A1402)&gt;0,1,0)</f>
        <v>0</v>
      </c>
      <c r="L1402" s="16">
        <f>IF(COUNTIFS(Release_Calendar!$A$2:$A$755,"US_NFP",Release_Calendar!$B$2:$B$755,$A1402)&gt;0,1,0)</f>
        <v>0</v>
      </c>
      <c r="M1402" s="16" t="str">
        <f>IF($A1402&lt;Notes!$B$5,"",IF(COUNTIFS(Release_Calendar!$A$2:$A$755,"NZ_CPI",Release_Calendar!$B$2:$B$755,$A1402)&gt;0,1,0))</f>
        <v/>
      </c>
      <c r="N1402" s="16" t="str">
        <f>IF($A1402&lt;Notes!$B$5,"",IF(COUNTIFS(Release_Calendar!$A$2:$A$755,"NZ_GDP",Release_Calendar!$B$2:$B$755,$A1402)&gt;0,1,0))</f>
        <v/>
      </c>
      <c r="O1402" s="16" t="str">
        <f>IF($A1402&lt;Notes!$B$5,"",IF(COUNTIFS(Release_Calendar!$A$2:$A$755,"NZ_LABOUR",Release_Calendar!$B$2:$B$755,$A1402)&gt;0,1,0))</f>
        <v/>
      </c>
      <c r="P1402" s="16">
        <f t="shared" si="4"/>
        <v>0</v>
      </c>
    </row>
    <row r="1403" ht="15.75" customHeight="1">
      <c r="A1403" s="14">
        <v>38489.0</v>
      </c>
      <c r="B1403" s="15">
        <v>3.61</v>
      </c>
      <c r="C1403" s="15"/>
      <c r="D1403" s="15">
        <v>6.15</v>
      </c>
      <c r="E1403" s="15"/>
      <c r="F1403" s="15" t="str">
        <f t="shared" si="1"/>
        <v/>
      </c>
      <c r="G1403" s="15">
        <f t="shared" si="2"/>
        <v>6.15</v>
      </c>
      <c r="H1403" s="16">
        <v>1.0</v>
      </c>
      <c r="I1403" s="15">
        <f t="shared" si="3"/>
        <v>2.54</v>
      </c>
      <c r="J1403" s="15">
        <v>14.57</v>
      </c>
      <c r="K1403" s="16">
        <f>IF(COUNTIFS(Release_Calendar!$A$2:$A$755,"US_CPI",Release_Calendar!$B$2:$B$755,$A1403)&gt;0,1,0)</f>
        <v>0</v>
      </c>
      <c r="L1403" s="16">
        <f>IF(COUNTIFS(Release_Calendar!$A$2:$A$755,"US_NFP",Release_Calendar!$B$2:$B$755,$A1403)&gt;0,1,0)</f>
        <v>0</v>
      </c>
      <c r="M1403" s="16" t="str">
        <f>IF($A1403&lt;Notes!$B$5,"",IF(COUNTIFS(Release_Calendar!$A$2:$A$755,"NZ_CPI",Release_Calendar!$B$2:$B$755,$A1403)&gt;0,1,0))</f>
        <v/>
      </c>
      <c r="N1403" s="16" t="str">
        <f>IF($A1403&lt;Notes!$B$5,"",IF(COUNTIFS(Release_Calendar!$A$2:$A$755,"NZ_GDP",Release_Calendar!$B$2:$B$755,$A1403)&gt;0,1,0))</f>
        <v/>
      </c>
      <c r="O1403" s="16" t="str">
        <f>IF($A1403&lt;Notes!$B$5,"",IF(COUNTIFS(Release_Calendar!$A$2:$A$755,"NZ_LABOUR",Release_Calendar!$B$2:$B$755,$A1403)&gt;0,1,0))</f>
        <v/>
      </c>
      <c r="P1403" s="16">
        <f t="shared" si="4"/>
        <v>0</v>
      </c>
    </row>
    <row r="1404" ht="15.75" customHeight="1">
      <c r="A1404" s="14">
        <v>38490.0</v>
      </c>
      <c r="B1404" s="15">
        <v>3.56</v>
      </c>
      <c r="C1404" s="15"/>
      <c r="D1404" s="15">
        <v>6.16</v>
      </c>
      <c r="E1404" s="15"/>
      <c r="F1404" s="15" t="str">
        <f t="shared" si="1"/>
        <v/>
      </c>
      <c r="G1404" s="15">
        <f t="shared" si="2"/>
        <v>6.16</v>
      </c>
      <c r="H1404" s="16">
        <v>1.0</v>
      </c>
      <c r="I1404" s="15">
        <f t="shared" si="3"/>
        <v>2.6</v>
      </c>
      <c r="J1404" s="15">
        <v>13.63</v>
      </c>
      <c r="K1404" s="16">
        <f>IF(COUNTIFS(Release_Calendar!$A$2:$A$755,"US_CPI",Release_Calendar!$B$2:$B$755,$A1404)&gt;0,1,0)</f>
        <v>1</v>
      </c>
      <c r="L1404" s="16">
        <f>IF(COUNTIFS(Release_Calendar!$A$2:$A$755,"US_NFP",Release_Calendar!$B$2:$B$755,$A1404)&gt;0,1,0)</f>
        <v>0</v>
      </c>
      <c r="M1404" s="16" t="str">
        <f>IF($A1404&lt;Notes!$B$5,"",IF(COUNTIFS(Release_Calendar!$A$2:$A$755,"NZ_CPI",Release_Calendar!$B$2:$B$755,$A1404)&gt;0,1,0))</f>
        <v/>
      </c>
      <c r="N1404" s="16" t="str">
        <f>IF($A1404&lt;Notes!$B$5,"",IF(COUNTIFS(Release_Calendar!$A$2:$A$755,"NZ_GDP",Release_Calendar!$B$2:$B$755,$A1404)&gt;0,1,0))</f>
        <v/>
      </c>
      <c r="O1404" s="16" t="str">
        <f>IF($A1404&lt;Notes!$B$5,"",IF(COUNTIFS(Release_Calendar!$A$2:$A$755,"NZ_LABOUR",Release_Calendar!$B$2:$B$755,$A1404)&gt;0,1,0))</f>
        <v/>
      </c>
      <c r="P1404" s="16">
        <f t="shared" si="4"/>
        <v>1</v>
      </c>
    </row>
    <row r="1405" ht="15.75" customHeight="1">
      <c r="A1405" s="14">
        <v>38491.0</v>
      </c>
      <c r="B1405" s="15">
        <v>3.64</v>
      </c>
      <c r="C1405" s="15"/>
      <c r="D1405" s="15">
        <v>6.15</v>
      </c>
      <c r="E1405" s="15"/>
      <c r="F1405" s="15" t="str">
        <f t="shared" si="1"/>
        <v/>
      </c>
      <c r="G1405" s="15">
        <f t="shared" si="2"/>
        <v>6.15</v>
      </c>
      <c r="H1405" s="16">
        <v>1.0</v>
      </c>
      <c r="I1405" s="15">
        <f t="shared" si="3"/>
        <v>2.51</v>
      </c>
      <c r="J1405" s="15">
        <v>13.32</v>
      </c>
      <c r="K1405" s="16">
        <f>IF(COUNTIFS(Release_Calendar!$A$2:$A$755,"US_CPI",Release_Calendar!$B$2:$B$755,$A1405)&gt;0,1,0)</f>
        <v>0</v>
      </c>
      <c r="L1405" s="16">
        <f>IF(COUNTIFS(Release_Calendar!$A$2:$A$755,"US_NFP",Release_Calendar!$B$2:$B$755,$A1405)&gt;0,1,0)</f>
        <v>0</v>
      </c>
      <c r="M1405" s="16" t="str">
        <f>IF($A1405&lt;Notes!$B$5,"",IF(COUNTIFS(Release_Calendar!$A$2:$A$755,"NZ_CPI",Release_Calendar!$B$2:$B$755,$A1405)&gt;0,1,0))</f>
        <v/>
      </c>
      <c r="N1405" s="16" t="str">
        <f>IF($A1405&lt;Notes!$B$5,"",IF(COUNTIFS(Release_Calendar!$A$2:$A$755,"NZ_GDP",Release_Calendar!$B$2:$B$755,$A1405)&gt;0,1,0))</f>
        <v/>
      </c>
      <c r="O1405" s="16" t="str">
        <f>IF($A1405&lt;Notes!$B$5,"",IF(COUNTIFS(Release_Calendar!$A$2:$A$755,"NZ_LABOUR",Release_Calendar!$B$2:$B$755,$A1405)&gt;0,1,0))</f>
        <v/>
      </c>
      <c r="P1405" s="16">
        <f t="shared" si="4"/>
        <v>0</v>
      </c>
    </row>
    <row r="1406" ht="15.75" customHeight="1">
      <c r="A1406" s="14">
        <v>38492.0</v>
      </c>
      <c r="B1406" s="15">
        <v>3.69</v>
      </c>
      <c r="C1406" s="15"/>
      <c r="D1406" s="15">
        <v>6.18</v>
      </c>
      <c r="E1406" s="15"/>
      <c r="F1406" s="15" t="str">
        <f t="shared" si="1"/>
        <v/>
      </c>
      <c r="G1406" s="15">
        <f t="shared" si="2"/>
        <v>6.18</v>
      </c>
      <c r="H1406" s="16">
        <v>1.0</v>
      </c>
      <c r="I1406" s="15">
        <f t="shared" si="3"/>
        <v>2.49</v>
      </c>
      <c r="J1406" s="15">
        <v>13.14</v>
      </c>
      <c r="K1406" s="16">
        <f>IF(COUNTIFS(Release_Calendar!$A$2:$A$755,"US_CPI",Release_Calendar!$B$2:$B$755,$A1406)&gt;0,1,0)</f>
        <v>0</v>
      </c>
      <c r="L1406" s="16">
        <f>IF(COUNTIFS(Release_Calendar!$A$2:$A$755,"US_NFP",Release_Calendar!$B$2:$B$755,$A1406)&gt;0,1,0)</f>
        <v>0</v>
      </c>
      <c r="M1406" s="16" t="str">
        <f>IF($A1406&lt;Notes!$B$5,"",IF(COUNTIFS(Release_Calendar!$A$2:$A$755,"NZ_CPI",Release_Calendar!$B$2:$B$755,$A1406)&gt;0,1,0))</f>
        <v/>
      </c>
      <c r="N1406" s="16" t="str">
        <f>IF($A1406&lt;Notes!$B$5,"",IF(COUNTIFS(Release_Calendar!$A$2:$A$755,"NZ_GDP",Release_Calendar!$B$2:$B$755,$A1406)&gt;0,1,0))</f>
        <v/>
      </c>
      <c r="O1406" s="16" t="str">
        <f>IF($A1406&lt;Notes!$B$5,"",IF(COUNTIFS(Release_Calendar!$A$2:$A$755,"NZ_LABOUR",Release_Calendar!$B$2:$B$755,$A1406)&gt;0,1,0))</f>
        <v/>
      </c>
      <c r="P1406" s="16">
        <f t="shared" si="4"/>
        <v>0</v>
      </c>
    </row>
    <row r="1407" ht="15.75" customHeight="1">
      <c r="A1407" s="14">
        <v>38495.0</v>
      </c>
      <c r="B1407" s="15">
        <v>3.65</v>
      </c>
      <c r="C1407" s="15"/>
      <c r="D1407" s="15">
        <v>6.2</v>
      </c>
      <c r="E1407" s="15"/>
      <c r="F1407" s="15" t="str">
        <f t="shared" si="1"/>
        <v/>
      </c>
      <c r="G1407" s="15">
        <f t="shared" si="2"/>
        <v>6.2</v>
      </c>
      <c r="H1407" s="16">
        <v>1.0</v>
      </c>
      <c r="I1407" s="15">
        <f t="shared" si="3"/>
        <v>2.55</v>
      </c>
      <c r="J1407" s="15">
        <v>12.95</v>
      </c>
      <c r="K1407" s="16">
        <f>IF(COUNTIFS(Release_Calendar!$A$2:$A$755,"US_CPI",Release_Calendar!$B$2:$B$755,$A1407)&gt;0,1,0)</f>
        <v>0</v>
      </c>
      <c r="L1407" s="16">
        <f>IF(COUNTIFS(Release_Calendar!$A$2:$A$755,"US_NFP",Release_Calendar!$B$2:$B$755,$A1407)&gt;0,1,0)</f>
        <v>0</v>
      </c>
      <c r="M1407" s="16" t="str">
        <f>IF($A1407&lt;Notes!$B$5,"",IF(COUNTIFS(Release_Calendar!$A$2:$A$755,"NZ_CPI",Release_Calendar!$B$2:$B$755,$A1407)&gt;0,1,0))</f>
        <v/>
      </c>
      <c r="N1407" s="16" t="str">
        <f>IF($A1407&lt;Notes!$B$5,"",IF(COUNTIFS(Release_Calendar!$A$2:$A$755,"NZ_GDP",Release_Calendar!$B$2:$B$755,$A1407)&gt;0,1,0))</f>
        <v/>
      </c>
      <c r="O1407" s="16" t="str">
        <f>IF($A1407&lt;Notes!$B$5,"",IF(COUNTIFS(Release_Calendar!$A$2:$A$755,"NZ_LABOUR",Release_Calendar!$B$2:$B$755,$A1407)&gt;0,1,0))</f>
        <v/>
      </c>
      <c r="P1407" s="16">
        <f t="shared" si="4"/>
        <v>0</v>
      </c>
    </row>
    <row r="1408" ht="15.75" customHeight="1">
      <c r="A1408" s="14">
        <v>38496.0</v>
      </c>
      <c r="B1408" s="15">
        <v>3.61</v>
      </c>
      <c r="C1408" s="15"/>
      <c r="D1408" s="15">
        <v>6.19</v>
      </c>
      <c r="E1408" s="15"/>
      <c r="F1408" s="15" t="str">
        <f t="shared" si="1"/>
        <v/>
      </c>
      <c r="G1408" s="15">
        <f t="shared" si="2"/>
        <v>6.19</v>
      </c>
      <c r="H1408" s="16">
        <v>1.0</v>
      </c>
      <c r="I1408" s="15">
        <f t="shared" si="3"/>
        <v>2.58</v>
      </c>
      <c r="J1408" s="15">
        <v>12.69</v>
      </c>
      <c r="K1408" s="16">
        <f>IF(COUNTIFS(Release_Calendar!$A$2:$A$755,"US_CPI",Release_Calendar!$B$2:$B$755,$A1408)&gt;0,1,0)</f>
        <v>0</v>
      </c>
      <c r="L1408" s="16">
        <f>IF(COUNTIFS(Release_Calendar!$A$2:$A$755,"US_NFP",Release_Calendar!$B$2:$B$755,$A1408)&gt;0,1,0)</f>
        <v>0</v>
      </c>
      <c r="M1408" s="16" t="str">
        <f>IF($A1408&lt;Notes!$B$5,"",IF(COUNTIFS(Release_Calendar!$A$2:$A$755,"NZ_CPI",Release_Calendar!$B$2:$B$755,$A1408)&gt;0,1,0))</f>
        <v/>
      </c>
      <c r="N1408" s="16" t="str">
        <f>IF($A1408&lt;Notes!$B$5,"",IF(COUNTIFS(Release_Calendar!$A$2:$A$755,"NZ_GDP",Release_Calendar!$B$2:$B$755,$A1408)&gt;0,1,0))</f>
        <v/>
      </c>
      <c r="O1408" s="16" t="str">
        <f>IF($A1408&lt;Notes!$B$5,"",IF(COUNTIFS(Release_Calendar!$A$2:$A$755,"NZ_LABOUR",Release_Calendar!$B$2:$B$755,$A1408)&gt;0,1,0))</f>
        <v/>
      </c>
      <c r="P1408" s="16">
        <f t="shared" si="4"/>
        <v>0</v>
      </c>
    </row>
    <row r="1409" ht="15.75" customHeight="1">
      <c r="A1409" s="14">
        <v>38497.0</v>
      </c>
      <c r="B1409" s="15">
        <v>3.61</v>
      </c>
      <c r="C1409" s="15"/>
      <c r="D1409" s="15">
        <v>6.16</v>
      </c>
      <c r="E1409" s="15"/>
      <c r="F1409" s="15" t="str">
        <f t="shared" si="1"/>
        <v/>
      </c>
      <c r="G1409" s="15">
        <f t="shared" si="2"/>
        <v>6.16</v>
      </c>
      <c r="H1409" s="16">
        <v>1.0</v>
      </c>
      <c r="I1409" s="15">
        <f t="shared" si="3"/>
        <v>2.55</v>
      </c>
      <c r="J1409" s="15">
        <v>12.58</v>
      </c>
      <c r="K1409" s="16">
        <f>IF(COUNTIFS(Release_Calendar!$A$2:$A$755,"US_CPI",Release_Calendar!$B$2:$B$755,$A1409)&gt;0,1,0)</f>
        <v>0</v>
      </c>
      <c r="L1409" s="16">
        <f>IF(COUNTIFS(Release_Calendar!$A$2:$A$755,"US_NFP",Release_Calendar!$B$2:$B$755,$A1409)&gt;0,1,0)</f>
        <v>0</v>
      </c>
      <c r="M1409" s="16" t="str">
        <f>IF($A1409&lt;Notes!$B$5,"",IF(COUNTIFS(Release_Calendar!$A$2:$A$755,"NZ_CPI",Release_Calendar!$B$2:$B$755,$A1409)&gt;0,1,0))</f>
        <v/>
      </c>
      <c r="N1409" s="16" t="str">
        <f>IF($A1409&lt;Notes!$B$5,"",IF(COUNTIFS(Release_Calendar!$A$2:$A$755,"NZ_GDP",Release_Calendar!$B$2:$B$755,$A1409)&gt;0,1,0))</f>
        <v/>
      </c>
      <c r="O1409" s="16" t="str">
        <f>IF($A1409&lt;Notes!$B$5,"",IF(COUNTIFS(Release_Calendar!$A$2:$A$755,"NZ_LABOUR",Release_Calendar!$B$2:$B$755,$A1409)&gt;0,1,0))</f>
        <v/>
      </c>
      <c r="P1409" s="16">
        <f t="shared" si="4"/>
        <v>0</v>
      </c>
    </row>
    <row r="1410" ht="15.75" customHeight="1">
      <c r="A1410" s="14">
        <v>38498.0</v>
      </c>
      <c r="B1410" s="15">
        <v>3.64</v>
      </c>
      <c r="C1410" s="15"/>
      <c r="D1410" s="15">
        <v>6.17</v>
      </c>
      <c r="E1410" s="15"/>
      <c r="F1410" s="15" t="str">
        <f t="shared" si="1"/>
        <v/>
      </c>
      <c r="G1410" s="15">
        <f t="shared" si="2"/>
        <v>6.17</v>
      </c>
      <c r="H1410" s="16">
        <v>1.0</v>
      </c>
      <c r="I1410" s="15">
        <f t="shared" si="3"/>
        <v>2.53</v>
      </c>
      <c r="J1410" s="15">
        <v>12.24</v>
      </c>
      <c r="K1410" s="16">
        <f>IF(COUNTIFS(Release_Calendar!$A$2:$A$755,"US_CPI",Release_Calendar!$B$2:$B$755,$A1410)&gt;0,1,0)</f>
        <v>0</v>
      </c>
      <c r="L1410" s="16">
        <f>IF(COUNTIFS(Release_Calendar!$A$2:$A$755,"US_NFP",Release_Calendar!$B$2:$B$755,$A1410)&gt;0,1,0)</f>
        <v>0</v>
      </c>
      <c r="M1410" s="16" t="str">
        <f>IF($A1410&lt;Notes!$B$5,"",IF(COUNTIFS(Release_Calendar!$A$2:$A$755,"NZ_CPI",Release_Calendar!$B$2:$B$755,$A1410)&gt;0,1,0))</f>
        <v/>
      </c>
      <c r="N1410" s="16" t="str">
        <f>IF($A1410&lt;Notes!$B$5,"",IF(COUNTIFS(Release_Calendar!$A$2:$A$755,"NZ_GDP",Release_Calendar!$B$2:$B$755,$A1410)&gt;0,1,0))</f>
        <v/>
      </c>
      <c r="O1410" s="16" t="str">
        <f>IF($A1410&lt;Notes!$B$5,"",IF(COUNTIFS(Release_Calendar!$A$2:$A$755,"NZ_LABOUR",Release_Calendar!$B$2:$B$755,$A1410)&gt;0,1,0))</f>
        <v/>
      </c>
      <c r="P1410" s="16">
        <f t="shared" si="4"/>
        <v>0</v>
      </c>
    </row>
    <row r="1411" ht="15.75" customHeight="1">
      <c r="A1411" s="14">
        <v>38499.0</v>
      </c>
      <c r="B1411" s="15">
        <v>3.64</v>
      </c>
      <c r="C1411" s="15"/>
      <c r="D1411" s="15">
        <v>6.16</v>
      </c>
      <c r="E1411" s="15"/>
      <c r="F1411" s="15" t="str">
        <f t="shared" si="1"/>
        <v/>
      </c>
      <c r="G1411" s="15">
        <f t="shared" si="2"/>
        <v>6.16</v>
      </c>
      <c r="H1411" s="16">
        <v>1.0</v>
      </c>
      <c r="I1411" s="15">
        <f t="shared" si="3"/>
        <v>2.52</v>
      </c>
      <c r="J1411" s="15">
        <v>12.15</v>
      </c>
      <c r="K1411" s="16">
        <f>IF(COUNTIFS(Release_Calendar!$A$2:$A$755,"US_CPI",Release_Calendar!$B$2:$B$755,$A1411)&gt;0,1,0)</f>
        <v>0</v>
      </c>
      <c r="L1411" s="16">
        <f>IF(COUNTIFS(Release_Calendar!$A$2:$A$755,"US_NFP",Release_Calendar!$B$2:$B$755,$A1411)&gt;0,1,0)</f>
        <v>0</v>
      </c>
      <c r="M1411" s="16" t="str">
        <f>IF($A1411&lt;Notes!$B$5,"",IF(COUNTIFS(Release_Calendar!$A$2:$A$755,"NZ_CPI",Release_Calendar!$B$2:$B$755,$A1411)&gt;0,1,0))</f>
        <v/>
      </c>
      <c r="N1411" s="16" t="str">
        <f>IF($A1411&lt;Notes!$B$5,"",IF(COUNTIFS(Release_Calendar!$A$2:$A$755,"NZ_GDP",Release_Calendar!$B$2:$B$755,$A1411)&gt;0,1,0))</f>
        <v/>
      </c>
      <c r="O1411" s="16" t="str">
        <f>IF($A1411&lt;Notes!$B$5,"",IF(COUNTIFS(Release_Calendar!$A$2:$A$755,"NZ_LABOUR",Release_Calendar!$B$2:$B$755,$A1411)&gt;0,1,0))</f>
        <v/>
      </c>
      <c r="P1411" s="16">
        <f t="shared" si="4"/>
        <v>0</v>
      </c>
    </row>
    <row r="1412" ht="15.75" customHeight="1">
      <c r="A1412" s="14">
        <v>38502.0</v>
      </c>
      <c r="B1412" s="15"/>
      <c r="C1412" s="15"/>
      <c r="D1412" s="15">
        <v>6.16</v>
      </c>
      <c r="E1412" s="15"/>
      <c r="F1412" s="15" t="str">
        <f t="shared" si="1"/>
        <v/>
      </c>
      <c r="G1412" s="15">
        <f t="shared" si="2"/>
        <v>6.16</v>
      </c>
      <c r="H1412" s="16">
        <v>1.0</v>
      </c>
      <c r="I1412" s="15" t="str">
        <f t="shared" si="3"/>
        <v/>
      </c>
      <c r="J1412" s="15"/>
      <c r="K1412" s="16">
        <f>IF(COUNTIFS(Release_Calendar!$A$2:$A$755,"US_CPI",Release_Calendar!$B$2:$B$755,$A1412)&gt;0,1,0)</f>
        <v>0</v>
      </c>
      <c r="L1412" s="16">
        <f>IF(COUNTIFS(Release_Calendar!$A$2:$A$755,"US_NFP",Release_Calendar!$B$2:$B$755,$A1412)&gt;0,1,0)</f>
        <v>0</v>
      </c>
      <c r="M1412" s="16" t="str">
        <f>IF($A1412&lt;Notes!$B$5,"",IF(COUNTIFS(Release_Calendar!$A$2:$A$755,"NZ_CPI",Release_Calendar!$B$2:$B$755,$A1412)&gt;0,1,0))</f>
        <v/>
      </c>
      <c r="N1412" s="16" t="str">
        <f>IF($A1412&lt;Notes!$B$5,"",IF(COUNTIFS(Release_Calendar!$A$2:$A$755,"NZ_GDP",Release_Calendar!$B$2:$B$755,$A1412)&gt;0,1,0))</f>
        <v/>
      </c>
      <c r="O1412" s="16" t="str">
        <f>IF($A1412&lt;Notes!$B$5,"",IF(COUNTIFS(Release_Calendar!$A$2:$A$755,"NZ_LABOUR",Release_Calendar!$B$2:$B$755,$A1412)&gt;0,1,0))</f>
        <v/>
      </c>
      <c r="P1412" s="16">
        <f t="shared" si="4"/>
        <v>0</v>
      </c>
    </row>
    <row r="1413" ht="15.75" customHeight="1">
      <c r="A1413" s="14">
        <v>38503.0</v>
      </c>
      <c r="B1413" s="15">
        <v>3.6</v>
      </c>
      <c r="C1413" s="15"/>
      <c r="D1413" s="15">
        <v>6.06</v>
      </c>
      <c r="E1413" s="15"/>
      <c r="F1413" s="15" t="str">
        <f t="shared" si="1"/>
        <v/>
      </c>
      <c r="G1413" s="15">
        <f t="shared" si="2"/>
        <v>6.06</v>
      </c>
      <c r="H1413" s="16">
        <v>1.0</v>
      </c>
      <c r="I1413" s="15">
        <f t="shared" si="3"/>
        <v>2.46</v>
      </c>
      <c r="J1413" s="15">
        <v>13.29</v>
      </c>
      <c r="K1413" s="16">
        <f>IF(COUNTIFS(Release_Calendar!$A$2:$A$755,"US_CPI",Release_Calendar!$B$2:$B$755,$A1413)&gt;0,1,0)</f>
        <v>0</v>
      </c>
      <c r="L1413" s="16">
        <f>IF(COUNTIFS(Release_Calendar!$A$2:$A$755,"US_NFP",Release_Calendar!$B$2:$B$755,$A1413)&gt;0,1,0)</f>
        <v>0</v>
      </c>
      <c r="M1413" s="16" t="str">
        <f>IF($A1413&lt;Notes!$B$5,"",IF(COUNTIFS(Release_Calendar!$A$2:$A$755,"NZ_CPI",Release_Calendar!$B$2:$B$755,$A1413)&gt;0,1,0))</f>
        <v/>
      </c>
      <c r="N1413" s="16" t="str">
        <f>IF($A1413&lt;Notes!$B$5,"",IF(COUNTIFS(Release_Calendar!$A$2:$A$755,"NZ_GDP",Release_Calendar!$B$2:$B$755,$A1413)&gt;0,1,0))</f>
        <v/>
      </c>
      <c r="O1413" s="16" t="str">
        <f>IF($A1413&lt;Notes!$B$5,"",IF(COUNTIFS(Release_Calendar!$A$2:$A$755,"NZ_LABOUR",Release_Calendar!$B$2:$B$755,$A1413)&gt;0,1,0))</f>
        <v/>
      </c>
      <c r="P1413" s="16">
        <f t="shared" si="4"/>
        <v>0</v>
      </c>
    </row>
    <row r="1414" ht="15.75" customHeight="1">
      <c r="A1414" s="14">
        <v>38504.0</v>
      </c>
      <c r="B1414" s="15">
        <v>3.5</v>
      </c>
      <c r="C1414" s="15"/>
      <c r="D1414" s="15">
        <v>6.02</v>
      </c>
      <c r="E1414" s="15"/>
      <c r="F1414" s="15" t="str">
        <f t="shared" si="1"/>
        <v/>
      </c>
      <c r="G1414" s="15">
        <f t="shared" si="2"/>
        <v>6.02</v>
      </c>
      <c r="H1414" s="16">
        <v>1.0</v>
      </c>
      <c r="I1414" s="15">
        <f t="shared" si="3"/>
        <v>2.52</v>
      </c>
      <c r="J1414" s="15">
        <v>12.36</v>
      </c>
      <c r="K1414" s="16">
        <f>IF(COUNTIFS(Release_Calendar!$A$2:$A$755,"US_CPI",Release_Calendar!$B$2:$B$755,$A1414)&gt;0,1,0)</f>
        <v>0</v>
      </c>
      <c r="L1414" s="16">
        <f>IF(COUNTIFS(Release_Calendar!$A$2:$A$755,"US_NFP",Release_Calendar!$B$2:$B$755,$A1414)&gt;0,1,0)</f>
        <v>0</v>
      </c>
      <c r="M1414" s="16" t="str">
        <f>IF($A1414&lt;Notes!$B$5,"",IF(COUNTIFS(Release_Calendar!$A$2:$A$755,"NZ_CPI",Release_Calendar!$B$2:$B$755,$A1414)&gt;0,1,0))</f>
        <v/>
      </c>
      <c r="N1414" s="16" t="str">
        <f>IF($A1414&lt;Notes!$B$5,"",IF(COUNTIFS(Release_Calendar!$A$2:$A$755,"NZ_GDP",Release_Calendar!$B$2:$B$755,$A1414)&gt;0,1,0))</f>
        <v/>
      </c>
      <c r="O1414" s="16" t="str">
        <f>IF($A1414&lt;Notes!$B$5,"",IF(COUNTIFS(Release_Calendar!$A$2:$A$755,"NZ_LABOUR",Release_Calendar!$B$2:$B$755,$A1414)&gt;0,1,0))</f>
        <v/>
      </c>
      <c r="P1414" s="16">
        <f t="shared" si="4"/>
        <v>0</v>
      </c>
    </row>
    <row r="1415" ht="15.75" customHeight="1">
      <c r="A1415" s="14">
        <v>38505.0</v>
      </c>
      <c r="B1415" s="15">
        <v>3.52</v>
      </c>
      <c r="C1415" s="15"/>
      <c r="D1415" s="15">
        <v>5.99</v>
      </c>
      <c r="E1415" s="15"/>
      <c r="F1415" s="15" t="str">
        <f t="shared" si="1"/>
        <v/>
      </c>
      <c r="G1415" s="15">
        <f t="shared" si="2"/>
        <v>5.99</v>
      </c>
      <c r="H1415" s="16">
        <v>1.0</v>
      </c>
      <c r="I1415" s="15">
        <f t="shared" si="3"/>
        <v>2.47</v>
      </c>
      <c r="J1415" s="15">
        <v>11.84</v>
      </c>
      <c r="K1415" s="16">
        <f>IF(COUNTIFS(Release_Calendar!$A$2:$A$755,"US_CPI",Release_Calendar!$B$2:$B$755,$A1415)&gt;0,1,0)</f>
        <v>0</v>
      </c>
      <c r="L1415" s="16">
        <f>IF(COUNTIFS(Release_Calendar!$A$2:$A$755,"US_NFP",Release_Calendar!$B$2:$B$755,$A1415)&gt;0,1,0)</f>
        <v>0</v>
      </c>
      <c r="M1415" s="16" t="str">
        <f>IF($A1415&lt;Notes!$B$5,"",IF(COUNTIFS(Release_Calendar!$A$2:$A$755,"NZ_CPI",Release_Calendar!$B$2:$B$755,$A1415)&gt;0,1,0))</f>
        <v/>
      </c>
      <c r="N1415" s="16" t="str">
        <f>IF($A1415&lt;Notes!$B$5,"",IF(COUNTIFS(Release_Calendar!$A$2:$A$755,"NZ_GDP",Release_Calendar!$B$2:$B$755,$A1415)&gt;0,1,0))</f>
        <v/>
      </c>
      <c r="O1415" s="16" t="str">
        <f>IF($A1415&lt;Notes!$B$5,"",IF(COUNTIFS(Release_Calendar!$A$2:$A$755,"NZ_LABOUR",Release_Calendar!$B$2:$B$755,$A1415)&gt;0,1,0))</f>
        <v/>
      </c>
      <c r="P1415" s="16">
        <f t="shared" si="4"/>
        <v>0</v>
      </c>
    </row>
    <row r="1416" ht="15.75" customHeight="1">
      <c r="A1416" s="14">
        <v>38506.0</v>
      </c>
      <c r="B1416" s="15">
        <v>3.57</v>
      </c>
      <c r="C1416" s="15"/>
      <c r="D1416" s="15">
        <v>6.0</v>
      </c>
      <c r="E1416" s="15"/>
      <c r="F1416" s="15" t="str">
        <f t="shared" si="1"/>
        <v/>
      </c>
      <c r="G1416" s="15">
        <f t="shared" si="2"/>
        <v>6</v>
      </c>
      <c r="H1416" s="16">
        <v>1.0</v>
      </c>
      <c r="I1416" s="15">
        <f t="shared" si="3"/>
        <v>2.43</v>
      </c>
      <c r="J1416" s="15">
        <v>12.15</v>
      </c>
      <c r="K1416" s="16">
        <f>IF(COUNTIFS(Release_Calendar!$A$2:$A$755,"US_CPI",Release_Calendar!$B$2:$B$755,$A1416)&gt;0,1,0)</f>
        <v>0</v>
      </c>
      <c r="L1416" s="16">
        <f>IF(COUNTIFS(Release_Calendar!$A$2:$A$755,"US_NFP",Release_Calendar!$B$2:$B$755,$A1416)&gt;0,1,0)</f>
        <v>1</v>
      </c>
      <c r="M1416" s="16" t="str">
        <f>IF($A1416&lt;Notes!$B$5,"",IF(COUNTIFS(Release_Calendar!$A$2:$A$755,"NZ_CPI",Release_Calendar!$B$2:$B$755,$A1416)&gt;0,1,0))</f>
        <v/>
      </c>
      <c r="N1416" s="16" t="str">
        <f>IF($A1416&lt;Notes!$B$5,"",IF(COUNTIFS(Release_Calendar!$A$2:$A$755,"NZ_GDP",Release_Calendar!$B$2:$B$755,$A1416)&gt;0,1,0))</f>
        <v/>
      </c>
      <c r="O1416" s="16" t="str">
        <f>IF($A1416&lt;Notes!$B$5,"",IF(COUNTIFS(Release_Calendar!$A$2:$A$755,"NZ_LABOUR",Release_Calendar!$B$2:$B$755,$A1416)&gt;0,1,0))</f>
        <v/>
      </c>
      <c r="P1416" s="16">
        <f t="shared" si="4"/>
        <v>1</v>
      </c>
    </row>
    <row r="1417" ht="15.75" customHeight="1">
      <c r="A1417" s="14">
        <v>38509.0</v>
      </c>
      <c r="B1417" s="15">
        <v>3.59</v>
      </c>
      <c r="C1417" s="15"/>
      <c r="D1417" s="15"/>
      <c r="E1417" s="15"/>
      <c r="F1417" s="15" t="str">
        <f t="shared" si="1"/>
        <v/>
      </c>
      <c r="G1417" s="15" t="str">
        <f t="shared" si="2"/>
        <v/>
      </c>
      <c r="H1417" s="16">
        <v>1.0</v>
      </c>
      <c r="I1417" s="15" t="str">
        <f t="shared" si="3"/>
        <v/>
      </c>
      <c r="J1417" s="15">
        <v>12.28</v>
      </c>
      <c r="K1417" s="16">
        <f>IF(COUNTIFS(Release_Calendar!$A$2:$A$755,"US_CPI",Release_Calendar!$B$2:$B$755,$A1417)&gt;0,1,0)</f>
        <v>0</v>
      </c>
      <c r="L1417" s="16">
        <f>IF(COUNTIFS(Release_Calendar!$A$2:$A$755,"US_NFP",Release_Calendar!$B$2:$B$755,$A1417)&gt;0,1,0)</f>
        <v>0</v>
      </c>
      <c r="M1417" s="16" t="str">
        <f>IF($A1417&lt;Notes!$B$5,"",IF(COUNTIFS(Release_Calendar!$A$2:$A$755,"NZ_CPI",Release_Calendar!$B$2:$B$755,$A1417)&gt;0,1,0))</f>
        <v/>
      </c>
      <c r="N1417" s="16" t="str">
        <f>IF($A1417&lt;Notes!$B$5,"",IF(COUNTIFS(Release_Calendar!$A$2:$A$755,"NZ_GDP",Release_Calendar!$B$2:$B$755,$A1417)&gt;0,1,0))</f>
        <v/>
      </c>
      <c r="O1417" s="16" t="str">
        <f>IF($A1417&lt;Notes!$B$5,"",IF(COUNTIFS(Release_Calendar!$A$2:$A$755,"NZ_LABOUR",Release_Calendar!$B$2:$B$755,$A1417)&gt;0,1,0))</f>
        <v/>
      </c>
      <c r="P1417" s="16">
        <f t="shared" si="4"/>
        <v>0</v>
      </c>
    </row>
    <row r="1418" ht="15.75" customHeight="1">
      <c r="A1418" s="14">
        <v>38510.0</v>
      </c>
      <c r="B1418" s="15">
        <v>3.57</v>
      </c>
      <c r="C1418" s="15"/>
      <c r="D1418" s="15">
        <v>5.94</v>
      </c>
      <c r="E1418" s="15"/>
      <c r="F1418" s="15" t="str">
        <f t="shared" si="1"/>
        <v/>
      </c>
      <c r="G1418" s="15">
        <f t="shared" si="2"/>
        <v>5.94</v>
      </c>
      <c r="H1418" s="16">
        <v>1.0</v>
      </c>
      <c r="I1418" s="15">
        <f t="shared" si="3"/>
        <v>2.37</v>
      </c>
      <c r="J1418" s="15">
        <v>12.39</v>
      </c>
      <c r="K1418" s="16">
        <f>IF(COUNTIFS(Release_Calendar!$A$2:$A$755,"US_CPI",Release_Calendar!$B$2:$B$755,$A1418)&gt;0,1,0)</f>
        <v>0</v>
      </c>
      <c r="L1418" s="16">
        <f>IF(COUNTIFS(Release_Calendar!$A$2:$A$755,"US_NFP",Release_Calendar!$B$2:$B$755,$A1418)&gt;0,1,0)</f>
        <v>0</v>
      </c>
      <c r="M1418" s="16" t="str">
        <f>IF($A1418&lt;Notes!$B$5,"",IF(COUNTIFS(Release_Calendar!$A$2:$A$755,"NZ_CPI",Release_Calendar!$B$2:$B$755,$A1418)&gt;0,1,0))</f>
        <v/>
      </c>
      <c r="N1418" s="16" t="str">
        <f>IF($A1418&lt;Notes!$B$5,"",IF(COUNTIFS(Release_Calendar!$A$2:$A$755,"NZ_GDP",Release_Calendar!$B$2:$B$755,$A1418)&gt;0,1,0))</f>
        <v/>
      </c>
      <c r="O1418" s="16" t="str">
        <f>IF($A1418&lt;Notes!$B$5,"",IF(COUNTIFS(Release_Calendar!$A$2:$A$755,"NZ_LABOUR",Release_Calendar!$B$2:$B$755,$A1418)&gt;0,1,0))</f>
        <v/>
      </c>
      <c r="P1418" s="16">
        <f t="shared" si="4"/>
        <v>0</v>
      </c>
    </row>
    <row r="1419" ht="15.75" customHeight="1">
      <c r="A1419" s="14">
        <v>38511.0</v>
      </c>
      <c r="B1419" s="15">
        <v>3.6</v>
      </c>
      <c r="C1419" s="15"/>
      <c r="D1419" s="15">
        <v>5.9</v>
      </c>
      <c r="E1419" s="15"/>
      <c r="F1419" s="15" t="str">
        <f t="shared" si="1"/>
        <v/>
      </c>
      <c r="G1419" s="15">
        <f t="shared" si="2"/>
        <v>5.9</v>
      </c>
      <c r="H1419" s="16">
        <v>1.0</v>
      </c>
      <c r="I1419" s="15">
        <f t="shared" si="3"/>
        <v>2.3</v>
      </c>
      <c r="J1419" s="15">
        <v>12.7</v>
      </c>
      <c r="K1419" s="16">
        <f>IF(COUNTIFS(Release_Calendar!$A$2:$A$755,"US_CPI",Release_Calendar!$B$2:$B$755,$A1419)&gt;0,1,0)</f>
        <v>0</v>
      </c>
      <c r="L1419" s="16">
        <f>IF(COUNTIFS(Release_Calendar!$A$2:$A$755,"US_NFP",Release_Calendar!$B$2:$B$755,$A1419)&gt;0,1,0)</f>
        <v>0</v>
      </c>
      <c r="M1419" s="16" t="str">
        <f>IF($A1419&lt;Notes!$B$5,"",IF(COUNTIFS(Release_Calendar!$A$2:$A$755,"NZ_CPI",Release_Calendar!$B$2:$B$755,$A1419)&gt;0,1,0))</f>
        <v/>
      </c>
      <c r="N1419" s="16" t="str">
        <f>IF($A1419&lt;Notes!$B$5,"",IF(COUNTIFS(Release_Calendar!$A$2:$A$755,"NZ_GDP",Release_Calendar!$B$2:$B$755,$A1419)&gt;0,1,0))</f>
        <v/>
      </c>
      <c r="O1419" s="16" t="str">
        <f>IF($A1419&lt;Notes!$B$5,"",IF(COUNTIFS(Release_Calendar!$A$2:$A$755,"NZ_LABOUR",Release_Calendar!$B$2:$B$755,$A1419)&gt;0,1,0))</f>
        <v/>
      </c>
      <c r="P1419" s="16">
        <f t="shared" si="4"/>
        <v>0</v>
      </c>
    </row>
    <row r="1420" ht="15.75" customHeight="1">
      <c r="A1420" s="14">
        <v>38512.0</v>
      </c>
      <c r="B1420" s="15">
        <v>3.64</v>
      </c>
      <c r="C1420" s="15"/>
      <c r="D1420" s="15">
        <v>5.98</v>
      </c>
      <c r="E1420" s="15"/>
      <c r="F1420" s="15" t="str">
        <f t="shared" si="1"/>
        <v/>
      </c>
      <c r="G1420" s="15">
        <f t="shared" si="2"/>
        <v>5.98</v>
      </c>
      <c r="H1420" s="16">
        <v>1.0</v>
      </c>
      <c r="I1420" s="15">
        <f t="shared" si="3"/>
        <v>2.34</v>
      </c>
      <c r="J1420" s="15">
        <v>12.08</v>
      </c>
      <c r="K1420" s="16">
        <f>IF(COUNTIFS(Release_Calendar!$A$2:$A$755,"US_CPI",Release_Calendar!$B$2:$B$755,$A1420)&gt;0,1,0)</f>
        <v>0</v>
      </c>
      <c r="L1420" s="16">
        <f>IF(COUNTIFS(Release_Calendar!$A$2:$A$755,"US_NFP",Release_Calendar!$B$2:$B$755,$A1420)&gt;0,1,0)</f>
        <v>0</v>
      </c>
      <c r="M1420" s="16" t="str">
        <f>IF($A1420&lt;Notes!$B$5,"",IF(COUNTIFS(Release_Calendar!$A$2:$A$755,"NZ_CPI",Release_Calendar!$B$2:$B$755,$A1420)&gt;0,1,0))</f>
        <v/>
      </c>
      <c r="N1420" s="16" t="str">
        <f>IF($A1420&lt;Notes!$B$5,"",IF(COUNTIFS(Release_Calendar!$A$2:$A$755,"NZ_GDP",Release_Calendar!$B$2:$B$755,$A1420)&gt;0,1,0))</f>
        <v/>
      </c>
      <c r="O1420" s="16" t="str">
        <f>IF($A1420&lt;Notes!$B$5,"",IF(COUNTIFS(Release_Calendar!$A$2:$A$755,"NZ_LABOUR",Release_Calendar!$B$2:$B$755,$A1420)&gt;0,1,0))</f>
        <v/>
      </c>
      <c r="P1420" s="16">
        <f t="shared" si="4"/>
        <v>0</v>
      </c>
    </row>
    <row r="1421" ht="15.75" customHeight="1">
      <c r="A1421" s="14">
        <v>38513.0</v>
      </c>
      <c r="B1421" s="15">
        <v>3.71</v>
      </c>
      <c r="C1421" s="15"/>
      <c r="D1421" s="15">
        <v>6.02</v>
      </c>
      <c r="E1421" s="15"/>
      <c r="F1421" s="15" t="str">
        <f t="shared" si="1"/>
        <v/>
      </c>
      <c r="G1421" s="15">
        <f t="shared" si="2"/>
        <v>6.02</v>
      </c>
      <c r="H1421" s="16">
        <v>1.0</v>
      </c>
      <c r="I1421" s="15">
        <f t="shared" si="3"/>
        <v>2.31</v>
      </c>
      <c r="J1421" s="15">
        <v>11.96</v>
      </c>
      <c r="K1421" s="16">
        <f>IF(COUNTIFS(Release_Calendar!$A$2:$A$755,"US_CPI",Release_Calendar!$B$2:$B$755,$A1421)&gt;0,1,0)</f>
        <v>0</v>
      </c>
      <c r="L1421" s="16">
        <f>IF(COUNTIFS(Release_Calendar!$A$2:$A$755,"US_NFP",Release_Calendar!$B$2:$B$755,$A1421)&gt;0,1,0)</f>
        <v>0</v>
      </c>
      <c r="M1421" s="16" t="str">
        <f>IF($A1421&lt;Notes!$B$5,"",IF(COUNTIFS(Release_Calendar!$A$2:$A$755,"NZ_CPI",Release_Calendar!$B$2:$B$755,$A1421)&gt;0,1,0))</f>
        <v/>
      </c>
      <c r="N1421" s="16" t="str">
        <f>IF($A1421&lt;Notes!$B$5,"",IF(COUNTIFS(Release_Calendar!$A$2:$A$755,"NZ_GDP",Release_Calendar!$B$2:$B$755,$A1421)&gt;0,1,0))</f>
        <v/>
      </c>
      <c r="O1421" s="16" t="str">
        <f>IF($A1421&lt;Notes!$B$5,"",IF(COUNTIFS(Release_Calendar!$A$2:$A$755,"NZ_LABOUR",Release_Calendar!$B$2:$B$755,$A1421)&gt;0,1,0))</f>
        <v/>
      </c>
      <c r="P1421" s="16">
        <f t="shared" si="4"/>
        <v>0</v>
      </c>
    </row>
    <row r="1422" ht="15.75" customHeight="1">
      <c r="A1422" s="14">
        <v>38516.0</v>
      </c>
      <c r="B1422" s="15">
        <v>3.71</v>
      </c>
      <c r="C1422" s="15"/>
      <c r="D1422" s="15">
        <v>6.08</v>
      </c>
      <c r="E1422" s="15"/>
      <c r="F1422" s="15" t="str">
        <f t="shared" si="1"/>
        <v/>
      </c>
      <c r="G1422" s="15">
        <f t="shared" si="2"/>
        <v>6.08</v>
      </c>
      <c r="H1422" s="16">
        <v>1.0</v>
      </c>
      <c r="I1422" s="15">
        <f t="shared" si="3"/>
        <v>2.37</v>
      </c>
      <c r="J1422" s="15">
        <v>11.65</v>
      </c>
      <c r="K1422" s="16">
        <f>IF(COUNTIFS(Release_Calendar!$A$2:$A$755,"US_CPI",Release_Calendar!$B$2:$B$755,$A1422)&gt;0,1,0)</f>
        <v>0</v>
      </c>
      <c r="L1422" s="16">
        <f>IF(COUNTIFS(Release_Calendar!$A$2:$A$755,"US_NFP",Release_Calendar!$B$2:$B$755,$A1422)&gt;0,1,0)</f>
        <v>0</v>
      </c>
      <c r="M1422" s="16" t="str">
        <f>IF($A1422&lt;Notes!$B$5,"",IF(COUNTIFS(Release_Calendar!$A$2:$A$755,"NZ_CPI",Release_Calendar!$B$2:$B$755,$A1422)&gt;0,1,0))</f>
        <v/>
      </c>
      <c r="N1422" s="16" t="str">
        <f>IF($A1422&lt;Notes!$B$5,"",IF(COUNTIFS(Release_Calendar!$A$2:$A$755,"NZ_GDP",Release_Calendar!$B$2:$B$755,$A1422)&gt;0,1,0))</f>
        <v/>
      </c>
      <c r="O1422" s="16" t="str">
        <f>IF($A1422&lt;Notes!$B$5,"",IF(COUNTIFS(Release_Calendar!$A$2:$A$755,"NZ_LABOUR",Release_Calendar!$B$2:$B$755,$A1422)&gt;0,1,0))</f>
        <v/>
      </c>
      <c r="P1422" s="16">
        <f t="shared" si="4"/>
        <v>0</v>
      </c>
    </row>
    <row r="1423" ht="15.75" customHeight="1">
      <c r="A1423" s="14">
        <v>38517.0</v>
      </c>
      <c r="B1423" s="15">
        <v>3.71</v>
      </c>
      <c r="C1423" s="15"/>
      <c r="D1423" s="15">
        <v>6.12</v>
      </c>
      <c r="E1423" s="15"/>
      <c r="F1423" s="15" t="str">
        <f t="shared" si="1"/>
        <v/>
      </c>
      <c r="G1423" s="15">
        <f t="shared" si="2"/>
        <v>6.12</v>
      </c>
      <c r="H1423" s="16">
        <v>1.0</v>
      </c>
      <c r="I1423" s="15">
        <f t="shared" si="3"/>
        <v>2.41</v>
      </c>
      <c r="J1423" s="15">
        <v>11.79</v>
      </c>
      <c r="K1423" s="16">
        <f>IF(COUNTIFS(Release_Calendar!$A$2:$A$755,"US_CPI",Release_Calendar!$B$2:$B$755,$A1423)&gt;0,1,0)</f>
        <v>0</v>
      </c>
      <c r="L1423" s="16">
        <f>IF(COUNTIFS(Release_Calendar!$A$2:$A$755,"US_NFP",Release_Calendar!$B$2:$B$755,$A1423)&gt;0,1,0)</f>
        <v>0</v>
      </c>
      <c r="M1423" s="16" t="str">
        <f>IF($A1423&lt;Notes!$B$5,"",IF(COUNTIFS(Release_Calendar!$A$2:$A$755,"NZ_CPI",Release_Calendar!$B$2:$B$755,$A1423)&gt;0,1,0))</f>
        <v/>
      </c>
      <c r="N1423" s="16" t="str">
        <f>IF($A1423&lt;Notes!$B$5,"",IF(COUNTIFS(Release_Calendar!$A$2:$A$755,"NZ_GDP",Release_Calendar!$B$2:$B$755,$A1423)&gt;0,1,0))</f>
        <v/>
      </c>
      <c r="O1423" s="16" t="str">
        <f>IF($A1423&lt;Notes!$B$5,"",IF(COUNTIFS(Release_Calendar!$A$2:$A$755,"NZ_LABOUR",Release_Calendar!$B$2:$B$755,$A1423)&gt;0,1,0))</f>
        <v/>
      </c>
      <c r="P1423" s="16">
        <f t="shared" si="4"/>
        <v>0</v>
      </c>
    </row>
    <row r="1424" ht="15.75" customHeight="1">
      <c r="A1424" s="14">
        <v>38518.0</v>
      </c>
      <c r="B1424" s="15">
        <v>3.72</v>
      </c>
      <c r="C1424" s="15"/>
      <c r="D1424" s="15">
        <v>6.15</v>
      </c>
      <c r="E1424" s="15"/>
      <c r="F1424" s="15" t="str">
        <f t="shared" si="1"/>
        <v/>
      </c>
      <c r="G1424" s="15">
        <f t="shared" si="2"/>
        <v>6.15</v>
      </c>
      <c r="H1424" s="16">
        <v>1.0</v>
      </c>
      <c r="I1424" s="15">
        <f t="shared" si="3"/>
        <v>2.43</v>
      </c>
      <c r="J1424" s="15">
        <v>11.46</v>
      </c>
      <c r="K1424" s="16">
        <f>IF(COUNTIFS(Release_Calendar!$A$2:$A$755,"US_CPI",Release_Calendar!$B$2:$B$755,$A1424)&gt;0,1,0)</f>
        <v>1</v>
      </c>
      <c r="L1424" s="16">
        <f>IF(COUNTIFS(Release_Calendar!$A$2:$A$755,"US_NFP",Release_Calendar!$B$2:$B$755,$A1424)&gt;0,1,0)</f>
        <v>0</v>
      </c>
      <c r="M1424" s="16" t="str">
        <f>IF($A1424&lt;Notes!$B$5,"",IF(COUNTIFS(Release_Calendar!$A$2:$A$755,"NZ_CPI",Release_Calendar!$B$2:$B$755,$A1424)&gt;0,1,0))</f>
        <v/>
      </c>
      <c r="N1424" s="16" t="str">
        <f>IF($A1424&lt;Notes!$B$5,"",IF(COUNTIFS(Release_Calendar!$A$2:$A$755,"NZ_GDP",Release_Calendar!$B$2:$B$755,$A1424)&gt;0,1,0))</f>
        <v/>
      </c>
      <c r="O1424" s="16" t="str">
        <f>IF($A1424&lt;Notes!$B$5,"",IF(COUNTIFS(Release_Calendar!$A$2:$A$755,"NZ_LABOUR",Release_Calendar!$B$2:$B$755,$A1424)&gt;0,1,0))</f>
        <v/>
      </c>
      <c r="P1424" s="16">
        <f t="shared" si="4"/>
        <v>1</v>
      </c>
    </row>
    <row r="1425" ht="15.75" customHeight="1">
      <c r="A1425" s="14">
        <v>38519.0</v>
      </c>
      <c r="B1425" s="15">
        <v>3.7</v>
      </c>
      <c r="C1425" s="15"/>
      <c r="D1425" s="15">
        <v>6.13</v>
      </c>
      <c r="E1425" s="15"/>
      <c r="F1425" s="15" t="str">
        <f t="shared" si="1"/>
        <v/>
      </c>
      <c r="G1425" s="15">
        <f t="shared" si="2"/>
        <v>6.13</v>
      </c>
      <c r="H1425" s="16">
        <v>1.0</v>
      </c>
      <c r="I1425" s="15">
        <f t="shared" si="3"/>
        <v>2.43</v>
      </c>
      <c r="J1425" s="15">
        <v>11.15</v>
      </c>
      <c r="K1425" s="16">
        <f>IF(COUNTIFS(Release_Calendar!$A$2:$A$755,"US_CPI",Release_Calendar!$B$2:$B$755,$A1425)&gt;0,1,0)</f>
        <v>0</v>
      </c>
      <c r="L1425" s="16">
        <f>IF(COUNTIFS(Release_Calendar!$A$2:$A$755,"US_NFP",Release_Calendar!$B$2:$B$755,$A1425)&gt;0,1,0)</f>
        <v>0</v>
      </c>
      <c r="M1425" s="16" t="str">
        <f>IF($A1425&lt;Notes!$B$5,"",IF(COUNTIFS(Release_Calendar!$A$2:$A$755,"NZ_CPI",Release_Calendar!$B$2:$B$755,$A1425)&gt;0,1,0))</f>
        <v/>
      </c>
      <c r="N1425" s="16" t="str">
        <f>IF($A1425&lt;Notes!$B$5,"",IF(COUNTIFS(Release_Calendar!$A$2:$A$755,"NZ_GDP",Release_Calendar!$B$2:$B$755,$A1425)&gt;0,1,0))</f>
        <v/>
      </c>
      <c r="O1425" s="16" t="str">
        <f>IF($A1425&lt;Notes!$B$5,"",IF(COUNTIFS(Release_Calendar!$A$2:$A$755,"NZ_LABOUR",Release_Calendar!$B$2:$B$755,$A1425)&gt;0,1,0))</f>
        <v/>
      </c>
      <c r="P1425" s="16">
        <f t="shared" si="4"/>
        <v>0</v>
      </c>
    </row>
    <row r="1426" ht="15.75" customHeight="1">
      <c r="A1426" s="14">
        <v>38520.0</v>
      </c>
      <c r="B1426" s="15">
        <v>3.72</v>
      </c>
      <c r="C1426" s="15"/>
      <c r="D1426" s="15">
        <v>6.11</v>
      </c>
      <c r="E1426" s="15"/>
      <c r="F1426" s="15" t="str">
        <f t="shared" si="1"/>
        <v/>
      </c>
      <c r="G1426" s="15">
        <f t="shared" si="2"/>
        <v>6.11</v>
      </c>
      <c r="H1426" s="16">
        <v>1.0</v>
      </c>
      <c r="I1426" s="15">
        <f t="shared" si="3"/>
        <v>2.39</v>
      </c>
      <c r="J1426" s="15">
        <v>11.48</v>
      </c>
      <c r="K1426" s="16">
        <f>IF(COUNTIFS(Release_Calendar!$A$2:$A$755,"US_CPI",Release_Calendar!$B$2:$B$755,$A1426)&gt;0,1,0)</f>
        <v>0</v>
      </c>
      <c r="L1426" s="16">
        <f>IF(COUNTIFS(Release_Calendar!$A$2:$A$755,"US_NFP",Release_Calendar!$B$2:$B$755,$A1426)&gt;0,1,0)</f>
        <v>0</v>
      </c>
      <c r="M1426" s="16" t="str">
        <f>IF($A1426&lt;Notes!$B$5,"",IF(COUNTIFS(Release_Calendar!$A$2:$A$755,"NZ_CPI",Release_Calendar!$B$2:$B$755,$A1426)&gt;0,1,0))</f>
        <v/>
      </c>
      <c r="N1426" s="16" t="str">
        <f>IF($A1426&lt;Notes!$B$5,"",IF(COUNTIFS(Release_Calendar!$A$2:$A$755,"NZ_GDP",Release_Calendar!$B$2:$B$755,$A1426)&gt;0,1,0))</f>
        <v/>
      </c>
      <c r="O1426" s="16" t="str">
        <f>IF($A1426&lt;Notes!$B$5,"",IF(COUNTIFS(Release_Calendar!$A$2:$A$755,"NZ_LABOUR",Release_Calendar!$B$2:$B$755,$A1426)&gt;0,1,0))</f>
        <v/>
      </c>
      <c r="P1426" s="16">
        <f t="shared" si="4"/>
        <v>0</v>
      </c>
    </row>
    <row r="1427" ht="15.75" customHeight="1">
      <c r="A1427" s="14">
        <v>38523.0</v>
      </c>
      <c r="B1427" s="15">
        <v>3.72</v>
      </c>
      <c r="C1427" s="15"/>
      <c r="D1427" s="15">
        <v>6.12</v>
      </c>
      <c r="E1427" s="15"/>
      <c r="F1427" s="15" t="str">
        <f t="shared" si="1"/>
        <v/>
      </c>
      <c r="G1427" s="15">
        <f t="shared" si="2"/>
        <v>6.12</v>
      </c>
      <c r="H1427" s="16">
        <v>1.0</v>
      </c>
      <c r="I1427" s="15">
        <f t="shared" si="3"/>
        <v>2.4</v>
      </c>
      <c r="J1427" s="15">
        <v>11.47</v>
      </c>
      <c r="K1427" s="16">
        <f>IF(COUNTIFS(Release_Calendar!$A$2:$A$755,"US_CPI",Release_Calendar!$B$2:$B$755,$A1427)&gt;0,1,0)</f>
        <v>0</v>
      </c>
      <c r="L1427" s="16">
        <f>IF(COUNTIFS(Release_Calendar!$A$2:$A$755,"US_NFP",Release_Calendar!$B$2:$B$755,$A1427)&gt;0,1,0)</f>
        <v>0</v>
      </c>
      <c r="M1427" s="16" t="str">
        <f>IF($A1427&lt;Notes!$B$5,"",IF(COUNTIFS(Release_Calendar!$A$2:$A$755,"NZ_CPI",Release_Calendar!$B$2:$B$755,$A1427)&gt;0,1,0))</f>
        <v/>
      </c>
      <c r="N1427" s="16" t="str">
        <f>IF($A1427&lt;Notes!$B$5,"",IF(COUNTIFS(Release_Calendar!$A$2:$A$755,"NZ_GDP",Release_Calendar!$B$2:$B$755,$A1427)&gt;0,1,0))</f>
        <v/>
      </c>
      <c r="O1427" s="16" t="str">
        <f>IF($A1427&lt;Notes!$B$5,"",IF(COUNTIFS(Release_Calendar!$A$2:$A$755,"NZ_LABOUR",Release_Calendar!$B$2:$B$755,$A1427)&gt;0,1,0))</f>
        <v/>
      </c>
      <c r="P1427" s="16">
        <f t="shared" si="4"/>
        <v>0</v>
      </c>
    </row>
    <row r="1428" ht="15.75" customHeight="1">
      <c r="A1428" s="14">
        <v>38524.0</v>
      </c>
      <c r="B1428" s="15">
        <v>3.71</v>
      </c>
      <c r="C1428" s="15"/>
      <c r="D1428" s="15">
        <v>6.14</v>
      </c>
      <c r="E1428" s="15"/>
      <c r="F1428" s="15" t="str">
        <f t="shared" si="1"/>
        <v/>
      </c>
      <c r="G1428" s="15">
        <f t="shared" si="2"/>
        <v>6.14</v>
      </c>
      <c r="H1428" s="16">
        <v>1.0</v>
      </c>
      <c r="I1428" s="15">
        <f t="shared" si="3"/>
        <v>2.43</v>
      </c>
      <c r="J1428" s="15">
        <v>11.08</v>
      </c>
      <c r="K1428" s="16">
        <f>IF(COUNTIFS(Release_Calendar!$A$2:$A$755,"US_CPI",Release_Calendar!$B$2:$B$755,$A1428)&gt;0,1,0)</f>
        <v>0</v>
      </c>
      <c r="L1428" s="16">
        <f>IF(COUNTIFS(Release_Calendar!$A$2:$A$755,"US_NFP",Release_Calendar!$B$2:$B$755,$A1428)&gt;0,1,0)</f>
        <v>0</v>
      </c>
      <c r="M1428" s="16" t="str">
        <f>IF($A1428&lt;Notes!$B$5,"",IF(COUNTIFS(Release_Calendar!$A$2:$A$755,"NZ_CPI",Release_Calendar!$B$2:$B$755,$A1428)&gt;0,1,0))</f>
        <v/>
      </c>
      <c r="N1428" s="16" t="str">
        <f>IF($A1428&lt;Notes!$B$5,"",IF(COUNTIFS(Release_Calendar!$A$2:$A$755,"NZ_GDP",Release_Calendar!$B$2:$B$755,$A1428)&gt;0,1,0))</f>
        <v/>
      </c>
      <c r="O1428" s="16" t="str">
        <f>IF($A1428&lt;Notes!$B$5,"",IF(COUNTIFS(Release_Calendar!$A$2:$A$755,"NZ_LABOUR",Release_Calendar!$B$2:$B$755,$A1428)&gt;0,1,0))</f>
        <v/>
      </c>
      <c r="P1428" s="16">
        <f t="shared" si="4"/>
        <v>0</v>
      </c>
    </row>
    <row r="1429" ht="15.75" customHeight="1">
      <c r="A1429" s="14">
        <v>38525.0</v>
      </c>
      <c r="B1429" s="15">
        <v>3.62</v>
      </c>
      <c r="C1429" s="15"/>
      <c r="D1429" s="15">
        <v>6.12</v>
      </c>
      <c r="E1429" s="15"/>
      <c r="F1429" s="15" t="str">
        <f t="shared" si="1"/>
        <v/>
      </c>
      <c r="G1429" s="15">
        <f t="shared" si="2"/>
        <v>6.12</v>
      </c>
      <c r="H1429" s="16">
        <v>1.0</v>
      </c>
      <c r="I1429" s="15">
        <f t="shared" si="3"/>
        <v>2.5</v>
      </c>
      <c r="J1429" s="15">
        <v>11.05</v>
      </c>
      <c r="K1429" s="16">
        <f>IF(COUNTIFS(Release_Calendar!$A$2:$A$755,"US_CPI",Release_Calendar!$B$2:$B$755,$A1429)&gt;0,1,0)</f>
        <v>0</v>
      </c>
      <c r="L1429" s="16">
        <f>IF(COUNTIFS(Release_Calendar!$A$2:$A$755,"US_NFP",Release_Calendar!$B$2:$B$755,$A1429)&gt;0,1,0)</f>
        <v>0</v>
      </c>
      <c r="M1429" s="16" t="str">
        <f>IF($A1429&lt;Notes!$B$5,"",IF(COUNTIFS(Release_Calendar!$A$2:$A$755,"NZ_CPI",Release_Calendar!$B$2:$B$755,$A1429)&gt;0,1,0))</f>
        <v/>
      </c>
      <c r="N1429" s="16" t="str">
        <f>IF($A1429&lt;Notes!$B$5,"",IF(COUNTIFS(Release_Calendar!$A$2:$A$755,"NZ_GDP",Release_Calendar!$B$2:$B$755,$A1429)&gt;0,1,0))</f>
        <v/>
      </c>
      <c r="O1429" s="16" t="str">
        <f>IF($A1429&lt;Notes!$B$5,"",IF(COUNTIFS(Release_Calendar!$A$2:$A$755,"NZ_LABOUR",Release_Calendar!$B$2:$B$755,$A1429)&gt;0,1,0))</f>
        <v/>
      </c>
      <c r="P1429" s="16">
        <f t="shared" si="4"/>
        <v>0</v>
      </c>
    </row>
    <row r="1430" ht="15.75" customHeight="1">
      <c r="A1430" s="14">
        <v>38526.0</v>
      </c>
      <c r="B1430" s="15">
        <v>3.63</v>
      </c>
      <c r="C1430" s="15"/>
      <c r="D1430" s="15">
        <v>6.11</v>
      </c>
      <c r="E1430" s="15"/>
      <c r="F1430" s="15" t="str">
        <f t="shared" si="1"/>
        <v/>
      </c>
      <c r="G1430" s="15">
        <f t="shared" si="2"/>
        <v>6.11</v>
      </c>
      <c r="H1430" s="16">
        <v>1.0</v>
      </c>
      <c r="I1430" s="15">
        <f t="shared" si="3"/>
        <v>2.48</v>
      </c>
      <c r="J1430" s="15">
        <v>12.13</v>
      </c>
      <c r="K1430" s="16">
        <f>IF(COUNTIFS(Release_Calendar!$A$2:$A$755,"US_CPI",Release_Calendar!$B$2:$B$755,$A1430)&gt;0,1,0)</f>
        <v>0</v>
      </c>
      <c r="L1430" s="16">
        <f>IF(COUNTIFS(Release_Calendar!$A$2:$A$755,"US_NFP",Release_Calendar!$B$2:$B$755,$A1430)&gt;0,1,0)</f>
        <v>0</v>
      </c>
      <c r="M1430" s="16" t="str">
        <f>IF($A1430&lt;Notes!$B$5,"",IF(COUNTIFS(Release_Calendar!$A$2:$A$755,"NZ_CPI",Release_Calendar!$B$2:$B$755,$A1430)&gt;0,1,0))</f>
        <v/>
      </c>
      <c r="N1430" s="16" t="str">
        <f>IF($A1430&lt;Notes!$B$5,"",IF(COUNTIFS(Release_Calendar!$A$2:$A$755,"NZ_GDP",Release_Calendar!$B$2:$B$755,$A1430)&gt;0,1,0))</f>
        <v/>
      </c>
      <c r="O1430" s="16" t="str">
        <f>IF($A1430&lt;Notes!$B$5,"",IF(COUNTIFS(Release_Calendar!$A$2:$A$755,"NZ_LABOUR",Release_Calendar!$B$2:$B$755,$A1430)&gt;0,1,0))</f>
        <v/>
      </c>
      <c r="P1430" s="16">
        <f t="shared" si="4"/>
        <v>0</v>
      </c>
    </row>
    <row r="1431" ht="15.75" customHeight="1">
      <c r="A1431" s="14">
        <v>38527.0</v>
      </c>
      <c r="B1431" s="15">
        <v>3.59</v>
      </c>
      <c r="C1431" s="15"/>
      <c r="D1431" s="15">
        <v>6.05</v>
      </c>
      <c r="E1431" s="15"/>
      <c r="F1431" s="15" t="str">
        <f t="shared" si="1"/>
        <v/>
      </c>
      <c r="G1431" s="15">
        <f t="shared" si="2"/>
        <v>6.05</v>
      </c>
      <c r="H1431" s="16">
        <v>1.0</v>
      </c>
      <c r="I1431" s="15">
        <f t="shared" si="3"/>
        <v>2.46</v>
      </c>
      <c r="J1431" s="15">
        <v>12.18</v>
      </c>
      <c r="K1431" s="16">
        <f>IF(COUNTIFS(Release_Calendar!$A$2:$A$755,"US_CPI",Release_Calendar!$B$2:$B$755,$A1431)&gt;0,1,0)</f>
        <v>0</v>
      </c>
      <c r="L1431" s="16">
        <f>IF(COUNTIFS(Release_Calendar!$A$2:$A$755,"US_NFP",Release_Calendar!$B$2:$B$755,$A1431)&gt;0,1,0)</f>
        <v>0</v>
      </c>
      <c r="M1431" s="16" t="str">
        <f>IF($A1431&lt;Notes!$B$5,"",IF(COUNTIFS(Release_Calendar!$A$2:$A$755,"NZ_CPI",Release_Calendar!$B$2:$B$755,$A1431)&gt;0,1,0))</f>
        <v/>
      </c>
      <c r="N1431" s="16" t="str">
        <f>IF($A1431&lt;Notes!$B$5,"",IF(COUNTIFS(Release_Calendar!$A$2:$A$755,"NZ_GDP",Release_Calendar!$B$2:$B$755,$A1431)&gt;0,1,0))</f>
        <v/>
      </c>
      <c r="O1431" s="16" t="str">
        <f>IF($A1431&lt;Notes!$B$5,"",IF(COUNTIFS(Release_Calendar!$A$2:$A$755,"NZ_LABOUR",Release_Calendar!$B$2:$B$755,$A1431)&gt;0,1,0))</f>
        <v/>
      </c>
      <c r="P1431" s="16">
        <f t="shared" si="4"/>
        <v>0</v>
      </c>
    </row>
    <row r="1432" ht="15.75" customHeight="1">
      <c r="A1432" s="14">
        <v>38530.0</v>
      </c>
      <c r="B1432" s="15">
        <v>3.6</v>
      </c>
      <c r="C1432" s="15"/>
      <c r="D1432" s="15">
        <v>5.97</v>
      </c>
      <c r="E1432" s="15"/>
      <c r="F1432" s="15" t="str">
        <f t="shared" si="1"/>
        <v/>
      </c>
      <c r="G1432" s="15">
        <f t="shared" si="2"/>
        <v>5.97</v>
      </c>
      <c r="H1432" s="16">
        <v>1.0</v>
      </c>
      <c r="I1432" s="15">
        <f t="shared" si="3"/>
        <v>2.37</v>
      </c>
      <c r="J1432" s="15">
        <v>12.52</v>
      </c>
      <c r="K1432" s="16">
        <f>IF(COUNTIFS(Release_Calendar!$A$2:$A$755,"US_CPI",Release_Calendar!$B$2:$B$755,$A1432)&gt;0,1,0)</f>
        <v>0</v>
      </c>
      <c r="L1432" s="16">
        <f>IF(COUNTIFS(Release_Calendar!$A$2:$A$755,"US_NFP",Release_Calendar!$B$2:$B$755,$A1432)&gt;0,1,0)</f>
        <v>0</v>
      </c>
      <c r="M1432" s="16" t="str">
        <f>IF($A1432&lt;Notes!$B$5,"",IF(COUNTIFS(Release_Calendar!$A$2:$A$755,"NZ_CPI",Release_Calendar!$B$2:$B$755,$A1432)&gt;0,1,0))</f>
        <v/>
      </c>
      <c r="N1432" s="16" t="str">
        <f>IF($A1432&lt;Notes!$B$5,"",IF(COUNTIFS(Release_Calendar!$A$2:$A$755,"NZ_GDP",Release_Calendar!$B$2:$B$755,$A1432)&gt;0,1,0))</f>
        <v/>
      </c>
      <c r="O1432" s="16" t="str">
        <f>IF($A1432&lt;Notes!$B$5,"",IF(COUNTIFS(Release_Calendar!$A$2:$A$755,"NZ_LABOUR",Release_Calendar!$B$2:$B$755,$A1432)&gt;0,1,0))</f>
        <v/>
      </c>
      <c r="P1432" s="16">
        <f t="shared" si="4"/>
        <v>0</v>
      </c>
    </row>
    <row r="1433" ht="15.75" customHeight="1">
      <c r="A1433" s="14">
        <v>38531.0</v>
      </c>
      <c r="B1433" s="15">
        <v>3.65</v>
      </c>
      <c r="C1433" s="15"/>
      <c r="D1433" s="15">
        <v>6.0</v>
      </c>
      <c r="E1433" s="15"/>
      <c r="F1433" s="15" t="str">
        <f t="shared" si="1"/>
        <v/>
      </c>
      <c r="G1433" s="15">
        <f t="shared" si="2"/>
        <v>6</v>
      </c>
      <c r="H1433" s="16">
        <v>1.0</v>
      </c>
      <c r="I1433" s="15">
        <f t="shared" si="3"/>
        <v>2.35</v>
      </c>
      <c r="J1433" s="15">
        <v>11.58</v>
      </c>
      <c r="K1433" s="16">
        <f>IF(COUNTIFS(Release_Calendar!$A$2:$A$755,"US_CPI",Release_Calendar!$B$2:$B$755,$A1433)&gt;0,1,0)</f>
        <v>0</v>
      </c>
      <c r="L1433" s="16">
        <f>IF(COUNTIFS(Release_Calendar!$A$2:$A$755,"US_NFP",Release_Calendar!$B$2:$B$755,$A1433)&gt;0,1,0)</f>
        <v>0</v>
      </c>
      <c r="M1433" s="16" t="str">
        <f>IF($A1433&lt;Notes!$B$5,"",IF(COUNTIFS(Release_Calendar!$A$2:$A$755,"NZ_CPI",Release_Calendar!$B$2:$B$755,$A1433)&gt;0,1,0))</f>
        <v/>
      </c>
      <c r="N1433" s="16" t="str">
        <f>IF($A1433&lt;Notes!$B$5,"",IF(COUNTIFS(Release_Calendar!$A$2:$A$755,"NZ_GDP",Release_Calendar!$B$2:$B$755,$A1433)&gt;0,1,0))</f>
        <v/>
      </c>
      <c r="O1433" s="16" t="str">
        <f>IF($A1433&lt;Notes!$B$5,"",IF(COUNTIFS(Release_Calendar!$A$2:$A$755,"NZ_LABOUR",Release_Calendar!$B$2:$B$755,$A1433)&gt;0,1,0))</f>
        <v/>
      </c>
      <c r="P1433" s="16">
        <f t="shared" si="4"/>
        <v>0</v>
      </c>
    </row>
    <row r="1434" ht="15.75" customHeight="1">
      <c r="A1434" s="14">
        <v>38532.0</v>
      </c>
      <c r="B1434" s="15">
        <v>3.65</v>
      </c>
      <c r="C1434" s="15"/>
      <c r="D1434" s="15">
        <v>6.03</v>
      </c>
      <c r="E1434" s="15"/>
      <c r="F1434" s="15" t="str">
        <f t="shared" si="1"/>
        <v/>
      </c>
      <c r="G1434" s="15">
        <f t="shared" si="2"/>
        <v>6.03</v>
      </c>
      <c r="H1434" s="16">
        <v>1.0</v>
      </c>
      <c r="I1434" s="15">
        <f t="shared" si="3"/>
        <v>2.38</v>
      </c>
      <c r="J1434" s="15">
        <v>11.77</v>
      </c>
      <c r="K1434" s="16">
        <f>IF(COUNTIFS(Release_Calendar!$A$2:$A$755,"US_CPI",Release_Calendar!$B$2:$B$755,$A1434)&gt;0,1,0)</f>
        <v>0</v>
      </c>
      <c r="L1434" s="16">
        <f>IF(COUNTIFS(Release_Calendar!$A$2:$A$755,"US_NFP",Release_Calendar!$B$2:$B$755,$A1434)&gt;0,1,0)</f>
        <v>0</v>
      </c>
      <c r="M1434" s="16" t="str">
        <f>IF($A1434&lt;Notes!$B$5,"",IF(COUNTIFS(Release_Calendar!$A$2:$A$755,"NZ_CPI",Release_Calendar!$B$2:$B$755,$A1434)&gt;0,1,0))</f>
        <v/>
      </c>
      <c r="N1434" s="16" t="str">
        <f>IF($A1434&lt;Notes!$B$5,"",IF(COUNTIFS(Release_Calendar!$A$2:$A$755,"NZ_GDP",Release_Calendar!$B$2:$B$755,$A1434)&gt;0,1,0))</f>
        <v/>
      </c>
      <c r="O1434" s="16" t="str">
        <f>IF($A1434&lt;Notes!$B$5,"",IF(COUNTIFS(Release_Calendar!$A$2:$A$755,"NZ_LABOUR",Release_Calendar!$B$2:$B$755,$A1434)&gt;0,1,0))</f>
        <v/>
      </c>
      <c r="P1434" s="16">
        <f t="shared" si="4"/>
        <v>0</v>
      </c>
    </row>
    <row r="1435" ht="15.75" customHeight="1">
      <c r="A1435" s="14">
        <v>38533.0</v>
      </c>
      <c r="B1435" s="15">
        <v>3.66</v>
      </c>
      <c r="C1435" s="15"/>
      <c r="D1435" s="15">
        <v>6.04</v>
      </c>
      <c r="E1435" s="15"/>
      <c r="F1435" s="15" t="str">
        <f t="shared" si="1"/>
        <v/>
      </c>
      <c r="G1435" s="15">
        <f t="shared" si="2"/>
        <v>6.04</v>
      </c>
      <c r="H1435" s="16">
        <v>1.0</v>
      </c>
      <c r="I1435" s="15">
        <f t="shared" si="3"/>
        <v>2.38</v>
      </c>
      <c r="J1435" s="15">
        <v>12.04</v>
      </c>
      <c r="K1435" s="16">
        <f>IF(COUNTIFS(Release_Calendar!$A$2:$A$755,"US_CPI",Release_Calendar!$B$2:$B$755,$A1435)&gt;0,1,0)</f>
        <v>0</v>
      </c>
      <c r="L1435" s="16">
        <f>IF(COUNTIFS(Release_Calendar!$A$2:$A$755,"US_NFP",Release_Calendar!$B$2:$B$755,$A1435)&gt;0,1,0)</f>
        <v>0</v>
      </c>
      <c r="M1435" s="16" t="str">
        <f>IF($A1435&lt;Notes!$B$5,"",IF(COUNTIFS(Release_Calendar!$A$2:$A$755,"NZ_CPI",Release_Calendar!$B$2:$B$755,$A1435)&gt;0,1,0))</f>
        <v/>
      </c>
      <c r="N1435" s="16" t="str">
        <f>IF($A1435&lt;Notes!$B$5,"",IF(COUNTIFS(Release_Calendar!$A$2:$A$755,"NZ_GDP",Release_Calendar!$B$2:$B$755,$A1435)&gt;0,1,0))</f>
        <v/>
      </c>
      <c r="O1435" s="16" t="str">
        <f>IF($A1435&lt;Notes!$B$5,"",IF(COUNTIFS(Release_Calendar!$A$2:$A$755,"NZ_LABOUR",Release_Calendar!$B$2:$B$755,$A1435)&gt;0,1,0))</f>
        <v/>
      </c>
      <c r="P1435" s="16">
        <f t="shared" si="4"/>
        <v>0</v>
      </c>
    </row>
    <row r="1436" ht="15.75" customHeight="1">
      <c r="A1436" s="14">
        <v>38534.0</v>
      </c>
      <c r="B1436" s="15">
        <v>3.76</v>
      </c>
      <c r="C1436" s="15"/>
      <c r="D1436" s="15">
        <v>6.0</v>
      </c>
      <c r="E1436" s="15"/>
      <c r="F1436" s="15" t="str">
        <f t="shared" si="1"/>
        <v/>
      </c>
      <c r="G1436" s="15">
        <f t="shared" si="2"/>
        <v>6</v>
      </c>
      <c r="H1436" s="16">
        <v>1.0</v>
      </c>
      <c r="I1436" s="15">
        <f t="shared" si="3"/>
        <v>2.24</v>
      </c>
      <c r="J1436" s="15">
        <v>11.4</v>
      </c>
      <c r="K1436" s="16">
        <f>IF(COUNTIFS(Release_Calendar!$A$2:$A$755,"US_CPI",Release_Calendar!$B$2:$B$755,$A1436)&gt;0,1,0)</f>
        <v>0</v>
      </c>
      <c r="L1436" s="16">
        <f>IF(COUNTIFS(Release_Calendar!$A$2:$A$755,"US_NFP",Release_Calendar!$B$2:$B$755,$A1436)&gt;0,1,0)</f>
        <v>0</v>
      </c>
      <c r="M1436" s="16" t="str">
        <f>IF($A1436&lt;Notes!$B$5,"",IF(COUNTIFS(Release_Calendar!$A$2:$A$755,"NZ_CPI",Release_Calendar!$B$2:$B$755,$A1436)&gt;0,1,0))</f>
        <v/>
      </c>
      <c r="N1436" s="16" t="str">
        <f>IF($A1436&lt;Notes!$B$5,"",IF(COUNTIFS(Release_Calendar!$A$2:$A$755,"NZ_GDP",Release_Calendar!$B$2:$B$755,$A1436)&gt;0,1,0))</f>
        <v/>
      </c>
      <c r="O1436" s="16" t="str">
        <f>IF($A1436&lt;Notes!$B$5,"",IF(COUNTIFS(Release_Calendar!$A$2:$A$755,"NZ_LABOUR",Release_Calendar!$B$2:$B$755,$A1436)&gt;0,1,0))</f>
        <v/>
      </c>
      <c r="P1436" s="16">
        <f t="shared" si="4"/>
        <v>0</v>
      </c>
    </row>
    <row r="1437" ht="15.75" customHeight="1">
      <c r="A1437" s="14">
        <v>38537.0</v>
      </c>
      <c r="B1437" s="15"/>
      <c r="C1437" s="15"/>
      <c r="D1437" s="15">
        <v>6.06</v>
      </c>
      <c r="E1437" s="15"/>
      <c r="F1437" s="15" t="str">
        <f t="shared" si="1"/>
        <v/>
      </c>
      <c r="G1437" s="15">
        <f t="shared" si="2"/>
        <v>6.06</v>
      </c>
      <c r="H1437" s="16">
        <v>1.0</v>
      </c>
      <c r="I1437" s="15" t="str">
        <f t="shared" si="3"/>
        <v/>
      </c>
      <c r="J1437" s="15"/>
      <c r="K1437" s="16">
        <f>IF(COUNTIFS(Release_Calendar!$A$2:$A$755,"US_CPI",Release_Calendar!$B$2:$B$755,$A1437)&gt;0,1,0)</f>
        <v>0</v>
      </c>
      <c r="L1437" s="16">
        <f>IF(COUNTIFS(Release_Calendar!$A$2:$A$755,"US_NFP",Release_Calendar!$B$2:$B$755,$A1437)&gt;0,1,0)</f>
        <v>0</v>
      </c>
      <c r="M1437" s="16" t="str">
        <f>IF($A1437&lt;Notes!$B$5,"",IF(COUNTIFS(Release_Calendar!$A$2:$A$755,"NZ_CPI",Release_Calendar!$B$2:$B$755,$A1437)&gt;0,1,0))</f>
        <v/>
      </c>
      <c r="N1437" s="16" t="str">
        <f>IF($A1437&lt;Notes!$B$5,"",IF(COUNTIFS(Release_Calendar!$A$2:$A$755,"NZ_GDP",Release_Calendar!$B$2:$B$755,$A1437)&gt;0,1,0))</f>
        <v/>
      </c>
      <c r="O1437" s="16" t="str">
        <f>IF($A1437&lt;Notes!$B$5,"",IF(COUNTIFS(Release_Calendar!$A$2:$A$755,"NZ_LABOUR",Release_Calendar!$B$2:$B$755,$A1437)&gt;0,1,0))</f>
        <v/>
      </c>
      <c r="P1437" s="16">
        <f t="shared" si="4"/>
        <v>0</v>
      </c>
    </row>
    <row r="1438" ht="15.75" customHeight="1">
      <c r="A1438" s="14">
        <v>38538.0</v>
      </c>
      <c r="B1438" s="15">
        <v>3.79</v>
      </c>
      <c r="C1438" s="15"/>
      <c r="D1438" s="15">
        <v>6.07</v>
      </c>
      <c r="E1438" s="15"/>
      <c r="F1438" s="15" t="str">
        <f t="shared" si="1"/>
        <v/>
      </c>
      <c r="G1438" s="15">
        <f t="shared" si="2"/>
        <v>6.07</v>
      </c>
      <c r="H1438" s="16">
        <v>1.0</v>
      </c>
      <c r="I1438" s="15">
        <f t="shared" si="3"/>
        <v>2.28</v>
      </c>
      <c r="J1438" s="15">
        <v>11.68</v>
      </c>
      <c r="K1438" s="16">
        <f>IF(COUNTIFS(Release_Calendar!$A$2:$A$755,"US_CPI",Release_Calendar!$B$2:$B$755,$A1438)&gt;0,1,0)</f>
        <v>0</v>
      </c>
      <c r="L1438" s="16">
        <f>IF(COUNTIFS(Release_Calendar!$A$2:$A$755,"US_NFP",Release_Calendar!$B$2:$B$755,$A1438)&gt;0,1,0)</f>
        <v>0</v>
      </c>
      <c r="M1438" s="16" t="str">
        <f>IF($A1438&lt;Notes!$B$5,"",IF(COUNTIFS(Release_Calendar!$A$2:$A$755,"NZ_CPI",Release_Calendar!$B$2:$B$755,$A1438)&gt;0,1,0))</f>
        <v/>
      </c>
      <c r="N1438" s="16" t="str">
        <f>IF($A1438&lt;Notes!$B$5,"",IF(COUNTIFS(Release_Calendar!$A$2:$A$755,"NZ_GDP",Release_Calendar!$B$2:$B$755,$A1438)&gt;0,1,0))</f>
        <v/>
      </c>
      <c r="O1438" s="16" t="str">
        <f>IF($A1438&lt;Notes!$B$5,"",IF(COUNTIFS(Release_Calendar!$A$2:$A$755,"NZ_LABOUR",Release_Calendar!$B$2:$B$755,$A1438)&gt;0,1,0))</f>
        <v/>
      </c>
      <c r="P1438" s="16">
        <f t="shared" si="4"/>
        <v>0</v>
      </c>
    </row>
    <row r="1439" ht="15.75" customHeight="1">
      <c r="A1439" s="14">
        <v>38539.0</v>
      </c>
      <c r="B1439" s="15">
        <v>3.77</v>
      </c>
      <c r="C1439" s="15"/>
      <c r="D1439" s="15">
        <v>6.08</v>
      </c>
      <c r="E1439" s="15"/>
      <c r="F1439" s="15" t="str">
        <f t="shared" si="1"/>
        <v/>
      </c>
      <c r="G1439" s="15">
        <f t="shared" si="2"/>
        <v>6.08</v>
      </c>
      <c r="H1439" s="16">
        <v>1.0</v>
      </c>
      <c r="I1439" s="15">
        <f t="shared" si="3"/>
        <v>2.31</v>
      </c>
      <c r="J1439" s="15">
        <v>12.27</v>
      </c>
      <c r="K1439" s="16">
        <f>IF(COUNTIFS(Release_Calendar!$A$2:$A$755,"US_CPI",Release_Calendar!$B$2:$B$755,$A1439)&gt;0,1,0)</f>
        <v>0</v>
      </c>
      <c r="L1439" s="16">
        <f>IF(COUNTIFS(Release_Calendar!$A$2:$A$755,"US_NFP",Release_Calendar!$B$2:$B$755,$A1439)&gt;0,1,0)</f>
        <v>0</v>
      </c>
      <c r="M1439" s="16" t="str">
        <f>IF($A1439&lt;Notes!$B$5,"",IF(COUNTIFS(Release_Calendar!$A$2:$A$755,"NZ_CPI",Release_Calendar!$B$2:$B$755,$A1439)&gt;0,1,0))</f>
        <v/>
      </c>
      <c r="N1439" s="16" t="str">
        <f>IF($A1439&lt;Notes!$B$5,"",IF(COUNTIFS(Release_Calendar!$A$2:$A$755,"NZ_GDP",Release_Calendar!$B$2:$B$755,$A1439)&gt;0,1,0))</f>
        <v/>
      </c>
      <c r="O1439" s="16" t="str">
        <f>IF($A1439&lt;Notes!$B$5,"",IF(COUNTIFS(Release_Calendar!$A$2:$A$755,"NZ_LABOUR",Release_Calendar!$B$2:$B$755,$A1439)&gt;0,1,0))</f>
        <v/>
      </c>
      <c r="P1439" s="16">
        <f t="shared" si="4"/>
        <v>0</v>
      </c>
    </row>
    <row r="1440" ht="15.75" customHeight="1">
      <c r="A1440" s="14">
        <v>38540.0</v>
      </c>
      <c r="B1440" s="15">
        <v>3.71</v>
      </c>
      <c r="C1440" s="15"/>
      <c r="D1440" s="15">
        <v>6.05</v>
      </c>
      <c r="E1440" s="15"/>
      <c r="F1440" s="15" t="str">
        <f t="shared" si="1"/>
        <v/>
      </c>
      <c r="G1440" s="15">
        <f t="shared" si="2"/>
        <v>6.05</v>
      </c>
      <c r="H1440" s="16">
        <v>1.0</v>
      </c>
      <c r="I1440" s="15">
        <f t="shared" si="3"/>
        <v>2.34</v>
      </c>
      <c r="J1440" s="15">
        <v>12.49</v>
      </c>
      <c r="K1440" s="16">
        <f>IF(COUNTIFS(Release_Calendar!$A$2:$A$755,"US_CPI",Release_Calendar!$B$2:$B$755,$A1440)&gt;0,1,0)</f>
        <v>0</v>
      </c>
      <c r="L1440" s="16">
        <f>IF(COUNTIFS(Release_Calendar!$A$2:$A$755,"US_NFP",Release_Calendar!$B$2:$B$755,$A1440)&gt;0,1,0)</f>
        <v>0</v>
      </c>
      <c r="M1440" s="16" t="str">
        <f>IF($A1440&lt;Notes!$B$5,"",IF(COUNTIFS(Release_Calendar!$A$2:$A$755,"NZ_CPI",Release_Calendar!$B$2:$B$755,$A1440)&gt;0,1,0))</f>
        <v/>
      </c>
      <c r="N1440" s="16" t="str">
        <f>IF($A1440&lt;Notes!$B$5,"",IF(COUNTIFS(Release_Calendar!$A$2:$A$755,"NZ_GDP",Release_Calendar!$B$2:$B$755,$A1440)&gt;0,1,0))</f>
        <v/>
      </c>
      <c r="O1440" s="16" t="str">
        <f>IF($A1440&lt;Notes!$B$5,"",IF(COUNTIFS(Release_Calendar!$A$2:$A$755,"NZ_LABOUR",Release_Calendar!$B$2:$B$755,$A1440)&gt;0,1,0))</f>
        <v/>
      </c>
      <c r="P1440" s="16">
        <f t="shared" si="4"/>
        <v>0</v>
      </c>
    </row>
    <row r="1441" ht="15.75" customHeight="1">
      <c r="A1441" s="14">
        <v>38541.0</v>
      </c>
      <c r="B1441" s="15">
        <v>3.78</v>
      </c>
      <c r="C1441" s="15"/>
      <c r="D1441" s="15">
        <v>6.02</v>
      </c>
      <c r="E1441" s="15"/>
      <c r="F1441" s="15" t="str">
        <f t="shared" si="1"/>
        <v/>
      </c>
      <c r="G1441" s="15">
        <f t="shared" si="2"/>
        <v>6.02</v>
      </c>
      <c r="H1441" s="16">
        <v>1.0</v>
      </c>
      <c r="I1441" s="15">
        <f t="shared" si="3"/>
        <v>2.24</v>
      </c>
      <c r="J1441" s="15">
        <v>11.45</v>
      </c>
      <c r="K1441" s="16">
        <f>IF(COUNTIFS(Release_Calendar!$A$2:$A$755,"US_CPI",Release_Calendar!$B$2:$B$755,$A1441)&gt;0,1,0)</f>
        <v>0</v>
      </c>
      <c r="L1441" s="16">
        <f>IF(COUNTIFS(Release_Calendar!$A$2:$A$755,"US_NFP",Release_Calendar!$B$2:$B$755,$A1441)&gt;0,1,0)</f>
        <v>1</v>
      </c>
      <c r="M1441" s="16" t="str">
        <f>IF($A1441&lt;Notes!$B$5,"",IF(COUNTIFS(Release_Calendar!$A$2:$A$755,"NZ_CPI",Release_Calendar!$B$2:$B$755,$A1441)&gt;0,1,0))</f>
        <v/>
      </c>
      <c r="N1441" s="16" t="str">
        <f>IF($A1441&lt;Notes!$B$5,"",IF(COUNTIFS(Release_Calendar!$A$2:$A$755,"NZ_GDP",Release_Calendar!$B$2:$B$755,$A1441)&gt;0,1,0))</f>
        <v/>
      </c>
      <c r="O1441" s="16" t="str">
        <f>IF($A1441&lt;Notes!$B$5,"",IF(COUNTIFS(Release_Calendar!$A$2:$A$755,"NZ_LABOUR",Release_Calendar!$B$2:$B$755,$A1441)&gt;0,1,0))</f>
        <v/>
      </c>
      <c r="P1441" s="16">
        <f t="shared" si="4"/>
        <v>1</v>
      </c>
    </row>
    <row r="1442" ht="15.75" customHeight="1">
      <c r="A1442" s="14">
        <v>38544.0</v>
      </c>
      <c r="B1442" s="15">
        <v>3.81</v>
      </c>
      <c r="C1442" s="15"/>
      <c r="D1442" s="15">
        <v>6.06</v>
      </c>
      <c r="E1442" s="15"/>
      <c r="F1442" s="15" t="str">
        <f t="shared" si="1"/>
        <v/>
      </c>
      <c r="G1442" s="15">
        <f t="shared" si="2"/>
        <v>6.06</v>
      </c>
      <c r="H1442" s="16">
        <v>1.0</v>
      </c>
      <c r="I1442" s="15">
        <f t="shared" si="3"/>
        <v>2.25</v>
      </c>
      <c r="J1442" s="15">
        <v>11.28</v>
      </c>
      <c r="K1442" s="16">
        <f>IF(COUNTIFS(Release_Calendar!$A$2:$A$755,"US_CPI",Release_Calendar!$B$2:$B$755,$A1442)&gt;0,1,0)</f>
        <v>0</v>
      </c>
      <c r="L1442" s="16">
        <f>IF(COUNTIFS(Release_Calendar!$A$2:$A$755,"US_NFP",Release_Calendar!$B$2:$B$755,$A1442)&gt;0,1,0)</f>
        <v>0</v>
      </c>
      <c r="M1442" s="16" t="str">
        <f>IF($A1442&lt;Notes!$B$5,"",IF(COUNTIFS(Release_Calendar!$A$2:$A$755,"NZ_CPI",Release_Calendar!$B$2:$B$755,$A1442)&gt;0,1,0))</f>
        <v/>
      </c>
      <c r="N1442" s="16" t="str">
        <f>IF($A1442&lt;Notes!$B$5,"",IF(COUNTIFS(Release_Calendar!$A$2:$A$755,"NZ_GDP",Release_Calendar!$B$2:$B$755,$A1442)&gt;0,1,0))</f>
        <v/>
      </c>
      <c r="O1442" s="16" t="str">
        <f>IF($A1442&lt;Notes!$B$5,"",IF(COUNTIFS(Release_Calendar!$A$2:$A$755,"NZ_LABOUR",Release_Calendar!$B$2:$B$755,$A1442)&gt;0,1,0))</f>
        <v/>
      </c>
      <c r="P1442" s="16">
        <f t="shared" si="4"/>
        <v>0</v>
      </c>
    </row>
    <row r="1443" ht="15.75" customHeight="1">
      <c r="A1443" s="14">
        <v>38545.0</v>
      </c>
      <c r="B1443" s="15">
        <v>3.82</v>
      </c>
      <c r="C1443" s="15"/>
      <c r="D1443" s="15">
        <v>6.03</v>
      </c>
      <c r="E1443" s="15"/>
      <c r="F1443" s="15" t="str">
        <f t="shared" si="1"/>
        <v/>
      </c>
      <c r="G1443" s="15">
        <f t="shared" si="2"/>
        <v>6.03</v>
      </c>
      <c r="H1443" s="16">
        <v>1.0</v>
      </c>
      <c r="I1443" s="15">
        <f t="shared" si="3"/>
        <v>2.21</v>
      </c>
      <c r="J1443" s="15">
        <v>10.95</v>
      </c>
      <c r="K1443" s="16">
        <f>IF(COUNTIFS(Release_Calendar!$A$2:$A$755,"US_CPI",Release_Calendar!$B$2:$B$755,$A1443)&gt;0,1,0)</f>
        <v>0</v>
      </c>
      <c r="L1443" s="16">
        <f>IF(COUNTIFS(Release_Calendar!$A$2:$A$755,"US_NFP",Release_Calendar!$B$2:$B$755,$A1443)&gt;0,1,0)</f>
        <v>0</v>
      </c>
      <c r="M1443" s="16" t="str">
        <f>IF($A1443&lt;Notes!$B$5,"",IF(COUNTIFS(Release_Calendar!$A$2:$A$755,"NZ_CPI",Release_Calendar!$B$2:$B$755,$A1443)&gt;0,1,0))</f>
        <v/>
      </c>
      <c r="N1443" s="16" t="str">
        <f>IF($A1443&lt;Notes!$B$5,"",IF(COUNTIFS(Release_Calendar!$A$2:$A$755,"NZ_GDP",Release_Calendar!$B$2:$B$755,$A1443)&gt;0,1,0))</f>
        <v/>
      </c>
      <c r="O1443" s="16" t="str">
        <f>IF($A1443&lt;Notes!$B$5,"",IF(COUNTIFS(Release_Calendar!$A$2:$A$755,"NZ_LABOUR",Release_Calendar!$B$2:$B$755,$A1443)&gt;0,1,0))</f>
        <v/>
      </c>
      <c r="P1443" s="16">
        <f t="shared" si="4"/>
        <v>0</v>
      </c>
    </row>
    <row r="1444" ht="15.75" customHeight="1">
      <c r="A1444" s="14">
        <v>38546.0</v>
      </c>
      <c r="B1444" s="15">
        <v>3.84</v>
      </c>
      <c r="C1444" s="15"/>
      <c r="D1444" s="15">
        <v>6.0</v>
      </c>
      <c r="E1444" s="15"/>
      <c r="F1444" s="15" t="str">
        <f t="shared" si="1"/>
        <v/>
      </c>
      <c r="G1444" s="15">
        <f t="shared" si="2"/>
        <v>6</v>
      </c>
      <c r="H1444" s="16">
        <v>1.0</v>
      </c>
      <c r="I1444" s="15">
        <f t="shared" si="3"/>
        <v>2.16</v>
      </c>
      <c r="J1444" s="15">
        <v>10.84</v>
      </c>
      <c r="K1444" s="16">
        <f>IF(COUNTIFS(Release_Calendar!$A$2:$A$755,"US_CPI",Release_Calendar!$B$2:$B$755,$A1444)&gt;0,1,0)</f>
        <v>0</v>
      </c>
      <c r="L1444" s="16">
        <f>IF(COUNTIFS(Release_Calendar!$A$2:$A$755,"US_NFP",Release_Calendar!$B$2:$B$755,$A1444)&gt;0,1,0)</f>
        <v>0</v>
      </c>
      <c r="M1444" s="16" t="str">
        <f>IF($A1444&lt;Notes!$B$5,"",IF(COUNTIFS(Release_Calendar!$A$2:$A$755,"NZ_CPI",Release_Calendar!$B$2:$B$755,$A1444)&gt;0,1,0))</f>
        <v/>
      </c>
      <c r="N1444" s="16" t="str">
        <f>IF($A1444&lt;Notes!$B$5,"",IF(COUNTIFS(Release_Calendar!$A$2:$A$755,"NZ_GDP",Release_Calendar!$B$2:$B$755,$A1444)&gt;0,1,0))</f>
        <v/>
      </c>
      <c r="O1444" s="16" t="str">
        <f>IF($A1444&lt;Notes!$B$5,"",IF(COUNTIFS(Release_Calendar!$A$2:$A$755,"NZ_LABOUR",Release_Calendar!$B$2:$B$755,$A1444)&gt;0,1,0))</f>
        <v/>
      </c>
      <c r="P1444" s="16">
        <f t="shared" si="4"/>
        <v>0</v>
      </c>
    </row>
    <row r="1445" ht="15.75" customHeight="1">
      <c r="A1445" s="14">
        <v>38547.0</v>
      </c>
      <c r="B1445" s="15">
        <v>3.86</v>
      </c>
      <c r="C1445" s="15"/>
      <c r="D1445" s="15">
        <v>5.89</v>
      </c>
      <c r="E1445" s="15"/>
      <c r="F1445" s="15" t="str">
        <f t="shared" si="1"/>
        <v/>
      </c>
      <c r="G1445" s="15">
        <f t="shared" si="2"/>
        <v>5.89</v>
      </c>
      <c r="H1445" s="16">
        <v>1.0</v>
      </c>
      <c r="I1445" s="15">
        <f t="shared" si="3"/>
        <v>2.03</v>
      </c>
      <c r="J1445" s="15">
        <v>10.81</v>
      </c>
      <c r="K1445" s="16">
        <f>IF(COUNTIFS(Release_Calendar!$A$2:$A$755,"US_CPI",Release_Calendar!$B$2:$B$755,$A1445)&gt;0,1,0)</f>
        <v>1</v>
      </c>
      <c r="L1445" s="16">
        <f>IF(COUNTIFS(Release_Calendar!$A$2:$A$755,"US_NFP",Release_Calendar!$B$2:$B$755,$A1445)&gt;0,1,0)</f>
        <v>0</v>
      </c>
      <c r="M1445" s="16" t="str">
        <f>IF($A1445&lt;Notes!$B$5,"",IF(COUNTIFS(Release_Calendar!$A$2:$A$755,"NZ_CPI",Release_Calendar!$B$2:$B$755,$A1445)&gt;0,1,0))</f>
        <v/>
      </c>
      <c r="N1445" s="16" t="str">
        <f>IF($A1445&lt;Notes!$B$5,"",IF(COUNTIFS(Release_Calendar!$A$2:$A$755,"NZ_GDP",Release_Calendar!$B$2:$B$755,$A1445)&gt;0,1,0))</f>
        <v/>
      </c>
      <c r="O1445" s="16" t="str">
        <f>IF($A1445&lt;Notes!$B$5,"",IF(COUNTIFS(Release_Calendar!$A$2:$A$755,"NZ_LABOUR",Release_Calendar!$B$2:$B$755,$A1445)&gt;0,1,0))</f>
        <v/>
      </c>
      <c r="P1445" s="16">
        <f t="shared" si="4"/>
        <v>1</v>
      </c>
    </row>
    <row r="1446" ht="15.75" customHeight="1">
      <c r="A1446" s="14">
        <v>38548.0</v>
      </c>
      <c r="B1446" s="15">
        <v>3.86</v>
      </c>
      <c r="C1446" s="15"/>
      <c r="D1446" s="15">
        <v>5.89</v>
      </c>
      <c r="E1446" s="15"/>
      <c r="F1446" s="15" t="str">
        <f t="shared" si="1"/>
        <v/>
      </c>
      <c r="G1446" s="15">
        <f t="shared" si="2"/>
        <v>5.89</v>
      </c>
      <c r="H1446" s="16">
        <v>1.0</v>
      </c>
      <c r="I1446" s="15">
        <f t="shared" si="3"/>
        <v>2.03</v>
      </c>
      <c r="J1446" s="15">
        <v>10.33</v>
      </c>
      <c r="K1446" s="16">
        <f>IF(COUNTIFS(Release_Calendar!$A$2:$A$755,"US_CPI",Release_Calendar!$B$2:$B$755,$A1446)&gt;0,1,0)</f>
        <v>0</v>
      </c>
      <c r="L1446" s="16">
        <f>IF(COUNTIFS(Release_Calendar!$A$2:$A$755,"US_NFP",Release_Calendar!$B$2:$B$755,$A1446)&gt;0,1,0)</f>
        <v>0</v>
      </c>
      <c r="M1446" s="16" t="str">
        <f>IF($A1446&lt;Notes!$B$5,"",IF(COUNTIFS(Release_Calendar!$A$2:$A$755,"NZ_CPI",Release_Calendar!$B$2:$B$755,$A1446)&gt;0,1,0))</f>
        <v/>
      </c>
      <c r="N1446" s="16" t="str">
        <f>IF($A1446&lt;Notes!$B$5,"",IF(COUNTIFS(Release_Calendar!$A$2:$A$755,"NZ_GDP",Release_Calendar!$B$2:$B$755,$A1446)&gt;0,1,0))</f>
        <v/>
      </c>
      <c r="O1446" s="16" t="str">
        <f>IF($A1446&lt;Notes!$B$5,"",IF(COUNTIFS(Release_Calendar!$A$2:$A$755,"NZ_LABOUR",Release_Calendar!$B$2:$B$755,$A1446)&gt;0,1,0))</f>
        <v/>
      </c>
      <c r="P1446" s="16">
        <f t="shared" si="4"/>
        <v>0</v>
      </c>
    </row>
    <row r="1447" ht="15.75" customHeight="1">
      <c r="A1447" s="14">
        <v>38551.0</v>
      </c>
      <c r="B1447" s="15">
        <v>3.89</v>
      </c>
      <c r="C1447" s="15"/>
      <c r="D1447" s="15">
        <v>5.91</v>
      </c>
      <c r="E1447" s="15"/>
      <c r="F1447" s="15" t="str">
        <f t="shared" si="1"/>
        <v/>
      </c>
      <c r="G1447" s="15">
        <f t="shared" si="2"/>
        <v>5.91</v>
      </c>
      <c r="H1447" s="16">
        <v>1.0</v>
      </c>
      <c r="I1447" s="15">
        <f t="shared" si="3"/>
        <v>2.02</v>
      </c>
      <c r="J1447" s="15">
        <v>10.77</v>
      </c>
      <c r="K1447" s="16">
        <f>IF(COUNTIFS(Release_Calendar!$A$2:$A$755,"US_CPI",Release_Calendar!$B$2:$B$755,$A1447)&gt;0,1,0)</f>
        <v>0</v>
      </c>
      <c r="L1447" s="16">
        <f>IF(COUNTIFS(Release_Calendar!$A$2:$A$755,"US_NFP",Release_Calendar!$B$2:$B$755,$A1447)&gt;0,1,0)</f>
        <v>0</v>
      </c>
      <c r="M1447" s="16" t="str">
        <f>IF($A1447&lt;Notes!$B$5,"",IF(COUNTIFS(Release_Calendar!$A$2:$A$755,"NZ_CPI",Release_Calendar!$B$2:$B$755,$A1447)&gt;0,1,0))</f>
        <v/>
      </c>
      <c r="N1447" s="16" t="str">
        <f>IF($A1447&lt;Notes!$B$5,"",IF(COUNTIFS(Release_Calendar!$A$2:$A$755,"NZ_GDP",Release_Calendar!$B$2:$B$755,$A1447)&gt;0,1,0))</f>
        <v/>
      </c>
      <c r="O1447" s="16" t="str">
        <f>IF($A1447&lt;Notes!$B$5,"",IF(COUNTIFS(Release_Calendar!$A$2:$A$755,"NZ_LABOUR",Release_Calendar!$B$2:$B$755,$A1447)&gt;0,1,0))</f>
        <v/>
      </c>
      <c r="P1447" s="16">
        <f t="shared" si="4"/>
        <v>0</v>
      </c>
    </row>
    <row r="1448" ht="15.75" customHeight="1">
      <c r="A1448" s="14">
        <v>38552.0</v>
      </c>
      <c r="B1448" s="15">
        <v>3.88</v>
      </c>
      <c r="C1448" s="15"/>
      <c r="D1448" s="15">
        <v>5.94</v>
      </c>
      <c r="E1448" s="15"/>
      <c r="F1448" s="15" t="str">
        <f t="shared" si="1"/>
        <v/>
      </c>
      <c r="G1448" s="15">
        <f t="shared" si="2"/>
        <v>5.94</v>
      </c>
      <c r="H1448" s="16">
        <v>1.0</v>
      </c>
      <c r="I1448" s="15">
        <f t="shared" si="3"/>
        <v>2.06</v>
      </c>
      <c r="J1448" s="15">
        <v>10.45</v>
      </c>
      <c r="K1448" s="16">
        <f>IF(COUNTIFS(Release_Calendar!$A$2:$A$755,"US_CPI",Release_Calendar!$B$2:$B$755,$A1448)&gt;0,1,0)</f>
        <v>0</v>
      </c>
      <c r="L1448" s="16">
        <f>IF(COUNTIFS(Release_Calendar!$A$2:$A$755,"US_NFP",Release_Calendar!$B$2:$B$755,$A1448)&gt;0,1,0)</f>
        <v>0</v>
      </c>
      <c r="M1448" s="16" t="str">
        <f>IF($A1448&lt;Notes!$B$5,"",IF(COUNTIFS(Release_Calendar!$A$2:$A$755,"NZ_CPI",Release_Calendar!$B$2:$B$755,$A1448)&gt;0,1,0))</f>
        <v/>
      </c>
      <c r="N1448" s="16" t="str">
        <f>IF($A1448&lt;Notes!$B$5,"",IF(COUNTIFS(Release_Calendar!$A$2:$A$755,"NZ_GDP",Release_Calendar!$B$2:$B$755,$A1448)&gt;0,1,0))</f>
        <v/>
      </c>
      <c r="O1448" s="16" t="str">
        <f>IF($A1448&lt;Notes!$B$5,"",IF(COUNTIFS(Release_Calendar!$A$2:$A$755,"NZ_LABOUR",Release_Calendar!$B$2:$B$755,$A1448)&gt;0,1,0))</f>
        <v/>
      </c>
      <c r="P1448" s="16">
        <f t="shared" si="4"/>
        <v>0</v>
      </c>
    </row>
    <row r="1449" ht="15.75" customHeight="1">
      <c r="A1449" s="14">
        <v>38553.0</v>
      </c>
      <c r="B1449" s="15">
        <v>3.9</v>
      </c>
      <c r="C1449" s="15"/>
      <c r="D1449" s="15">
        <v>5.94</v>
      </c>
      <c r="E1449" s="15"/>
      <c r="F1449" s="15" t="str">
        <f t="shared" si="1"/>
        <v/>
      </c>
      <c r="G1449" s="15">
        <f t="shared" si="2"/>
        <v>5.94</v>
      </c>
      <c r="H1449" s="16">
        <v>1.0</v>
      </c>
      <c r="I1449" s="15">
        <f t="shared" si="3"/>
        <v>2.04</v>
      </c>
      <c r="J1449" s="15">
        <v>10.23</v>
      </c>
      <c r="K1449" s="16">
        <f>IF(COUNTIFS(Release_Calendar!$A$2:$A$755,"US_CPI",Release_Calendar!$B$2:$B$755,$A1449)&gt;0,1,0)</f>
        <v>0</v>
      </c>
      <c r="L1449" s="16">
        <f>IF(COUNTIFS(Release_Calendar!$A$2:$A$755,"US_NFP",Release_Calendar!$B$2:$B$755,$A1449)&gt;0,1,0)</f>
        <v>0</v>
      </c>
      <c r="M1449" s="16" t="str">
        <f>IF($A1449&lt;Notes!$B$5,"",IF(COUNTIFS(Release_Calendar!$A$2:$A$755,"NZ_CPI",Release_Calendar!$B$2:$B$755,$A1449)&gt;0,1,0))</f>
        <v/>
      </c>
      <c r="N1449" s="16" t="str">
        <f>IF($A1449&lt;Notes!$B$5,"",IF(COUNTIFS(Release_Calendar!$A$2:$A$755,"NZ_GDP",Release_Calendar!$B$2:$B$755,$A1449)&gt;0,1,0))</f>
        <v/>
      </c>
      <c r="O1449" s="16" t="str">
        <f>IF($A1449&lt;Notes!$B$5,"",IF(COUNTIFS(Release_Calendar!$A$2:$A$755,"NZ_LABOUR",Release_Calendar!$B$2:$B$755,$A1449)&gt;0,1,0))</f>
        <v/>
      </c>
      <c r="P1449" s="16">
        <f t="shared" si="4"/>
        <v>0</v>
      </c>
    </row>
    <row r="1450" ht="15.75" customHeight="1">
      <c r="A1450" s="14">
        <v>38554.0</v>
      </c>
      <c r="B1450" s="15">
        <v>3.96</v>
      </c>
      <c r="C1450" s="15"/>
      <c r="D1450" s="15">
        <v>5.96</v>
      </c>
      <c r="E1450" s="15"/>
      <c r="F1450" s="15" t="str">
        <f t="shared" si="1"/>
        <v/>
      </c>
      <c r="G1450" s="15">
        <f t="shared" si="2"/>
        <v>5.96</v>
      </c>
      <c r="H1450" s="16">
        <v>1.0</v>
      </c>
      <c r="I1450" s="15">
        <f t="shared" si="3"/>
        <v>2</v>
      </c>
      <c r="J1450" s="15">
        <v>10.97</v>
      </c>
      <c r="K1450" s="16">
        <f>IF(COUNTIFS(Release_Calendar!$A$2:$A$755,"US_CPI",Release_Calendar!$B$2:$B$755,$A1450)&gt;0,1,0)</f>
        <v>0</v>
      </c>
      <c r="L1450" s="16">
        <f>IF(COUNTIFS(Release_Calendar!$A$2:$A$755,"US_NFP",Release_Calendar!$B$2:$B$755,$A1450)&gt;0,1,0)</f>
        <v>0</v>
      </c>
      <c r="M1450" s="16" t="str">
        <f>IF($A1450&lt;Notes!$B$5,"",IF(COUNTIFS(Release_Calendar!$A$2:$A$755,"NZ_CPI",Release_Calendar!$B$2:$B$755,$A1450)&gt;0,1,0))</f>
        <v/>
      </c>
      <c r="N1450" s="16" t="str">
        <f>IF($A1450&lt;Notes!$B$5,"",IF(COUNTIFS(Release_Calendar!$A$2:$A$755,"NZ_GDP",Release_Calendar!$B$2:$B$755,$A1450)&gt;0,1,0))</f>
        <v/>
      </c>
      <c r="O1450" s="16" t="str">
        <f>IF($A1450&lt;Notes!$B$5,"",IF(COUNTIFS(Release_Calendar!$A$2:$A$755,"NZ_LABOUR",Release_Calendar!$B$2:$B$755,$A1450)&gt;0,1,0))</f>
        <v/>
      </c>
      <c r="P1450" s="16">
        <f t="shared" si="4"/>
        <v>0</v>
      </c>
    </row>
    <row r="1451" ht="15.75" customHeight="1">
      <c r="A1451" s="14">
        <v>38555.0</v>
      </c>
      <c r="B1451" s="15">
        <v>3.92</v>
      </c>
      <c r="C1451" s="15"/>
      <c r="D1451" s="15">
        <v>6.04</v>
      </c>
      <c r="E1451" s="15"/>
      <c r="F1451" s="15" t="str">
        <f t="shared" si="1"/>
        <v/>
      </c>
      <c r="G1451" s="15">
        <f t="shared" si="2"/>
        <v>6.04</v>
      </c>
      <c r="H1451" s="16">
        <v>1.0</v>
      </c>
      <c r="I1451" s="15">
        <f t="shared" si="3"/>
        <v>2.12</v>
      </c>
      <c r="J1451" s="15">
        <v>10.52</v>
      </c>
      <c r="K1451" s="16">
        <f>IF(COUNTIFS(Release_Calendar!$A$2:$A$755,"US_CPI",Release_Calendar!$B$2:$B$755,$A1451)&gt;0,1,0)</f>
        <v>0</v>
      </c>
      <c r="L1451" s="16">
        <f>IF(COUNTIFS(Release_Calendar!$A$2:$A$755,"US_NFP",Release_Calendar!$B$2:$B$755,$A1451)&gt;0,1,0)</f>
        <v>0</v>
      </c>
      <c r="M1451" s="16" t="str">
        <f>IF($A1451&lt;Notes!$B$5,"",IF(COUNTIFS(Release_Calendar!$A$2:$A$755,"NZ_CPI",Release_Calendar!$B$2:$B$755,$A1451)&gt;0,1,0))</f>
        <v/>
      </c>
      <c r="N1451" s="16" t="str">
        <f>IF($A1451&lt;Notes!$B$5,"",IF(COUNTIFS(Release_Calendar!$A$2:$A$755,"NZ_GDP",Release_Calendar!$B$2:$B$755,$A1451)&gt;0,1,0))</f>
        <v/>
      </c>
      <c r="O1451" s="16" t="str">
        <f>IF($A1451&lt;Notes!$B$5,"",IF(COUNTIFS(Release_Calendar!$A$2:$A$755,"NZ_LABOUR",Release_Calendar!$B$2:$B$755,$A1451)&gt;0,1,0))</f>
        <v/>
      </c>
      <c r="P1451" s="16">
        <f t="shared" si="4"/>
        <v>0</v>
      </c>
    </row>
    <row r="1452" ht="15.75" customHeight="1">
      <c r="A1452" s="14">
        <v>38558.0</v>
      </c>
      <c r="B1452" s="15">
        <v>3.95</v>
      </c>
      <c r="C1452" s="15"/>
      <c r="D1452" s="15">
        <v>5.98</v>
      </c>
      <c r="E1452" s="15"/>
      <c r="F1452" s="15" t="str">
        <f t="shared" si="1"/>
        <v/>
      </c>
      <c r="G1452" s="15">
        <f t="shared" si="2"/>
        <v>5.98</v>
      </c>
      <c r="H1452" s="16">
        <v>1.0</v>
      </c>
      <c r="I1452" s="15">
        <f t="shared" si="3"/>
        <v>2.03</v>
      </c>
      <c r="J1452" s="15">
        <v>11.1</v>
      </c>
      <c r="K1452" s="16">
        <f>IF(COUNTIFS(Release_Calendar!$A$2:$A$755,"US_CPI",Release_Calendar!$B$2:$B$755,$A1452)&gt;0,1,0)</f>
        <v>0</v>
      </c>
      <c r="L1452" s="16">
        <f>IF(COUNTIFS(Release_Calendar!$A$2:$A$755,"US_NFP",Release_Calendar!$B$2:$B$755,$A1452)&gt;0,1,0)</f>
        <v>0</v>
      </c>
      <c r="M1452" s="16" t="str">
        <f>IF($A1452&lt;Notes!$B$5,"",IF(COUNTIFS(Release_Calendar!$A$2:$A$755,"NZ_CPI",Release_Calendar!$B$2:$B$755,$A1452)&gt;0,1,0))</f>
        <v/>
      </c>
      <c r="N1452" s="16" t="str">
        <f>IF($A1452&lt;Notes!$B$5,"",IF(COUNTIFS(Release_Calendar!$A$2:$A$755,"NZ_GDP",Release_Calendar!$B$2:$B$755,$A1452)&gt;0,1,0))</f>
        <v/>
      </c>
      <c r="O1452" s="16" t="str">
        <f>IF($A1452&lt;Notes!$B$5,"",IF(COUNTIFS(Release_Calendar!$A$2:$A$755,"NZ_LABOUR",Release_Calendar!$B$2:$B$755,$A1452)&gt;0,1,0))</f>
        <v/>
      </c>
      <c r="P1452" s="16">
        <f t="shared" si="4"/>
        <v>0</v>
      </c>
    </row>
    <row r="1453" ht="15.75" customHeight="1">
      <c r="A1453" s="14">
        <v>38559.0</v>
      </c>
      <c r="B1453" s="15">
        <v>3.95</v>
      </c>
      <c r="C1453" s="15"/>
      <c r="D1453" s="15">
        <v>6.0</v>
      </c>
      <c r="E1453" s="15"/>
      <c r="F1453" s="15" t="str">
        <f t="shared" si="1"/>
        <v/>
      </c>
      <c r="G1453" s="15">
        <f t="shared" si="2"/>
        <v>6</v>
      </c>
      <c r="H1453" s="16">
        <v>1.0</v>
      </c>
      <c r="I1453" s="15">
        <f t="shared" si="3"/>
        <v>2.05</v>
      </c>
      <c r="J1453" s="15">
        <v>10.99</v>
      </c>
      <c r="K1453" s="16">
        <f>IF(COUNTIFS(Release_Calendar!$A$2:$A$755,"US_CPI",Release_Calendar!$B$2:$B$755,$A1453)&gt;0,1,0)</f>
        <v>0</v>
      </c>
      <c r="L1453" s="16">
        <f>IF(COUNTIFS(Release_Calendar!$A$2:$A$755,"US_NFP",Release_Calendar!$B$2:$B$755,$A1453)&gt;0,1,0)</f>
        <v>0</v>
      </c>
      <c r="M1453" s="16" t="str">
        <f>IF($A1453&lt;Notes!$B$5,"",IF(COUNTIFS(Release_Calendar!$A$2:$A$755,"NZ_CPI",Release_Calendar!$B$2:$B$755,$A1453)&gt;0,1,0))</f>
        <v/>
      </c>
      <c r="N1453" s="16" t="str">
        <f>IF($A1453&lt;Notes!$B$5,"",IF(COUNTIFS(Release_Calendar!$A$2:$A$755,"NZ_GDP",Release_Calendar!$B$2:$B$755,$A1453)&gt;0,1,0))</f>
        <v/>
      </c>
      <c r="O1453" s="16" t="str">
        <f>IF($A1453&lt;Notes!$B$5,"",IF(COUNTIFS(Release_Calendar!$A$2:$A$755,"NZ_LABOUR",Release_Calendar!$B$2:$B$755,$A1453)&gt;0,1,0))</f>
        <v/>
      </c>
      <c r="P1453" s="16">
        <f t="shared" si="4"/>
        <v>0</v>
      </c>
    </row>
    <row r="1454" ht="15.75" customHeight="1">
      <c r="A1454" s="14">
        <v>38560.0</v>
      </c>
      <c r="B1454" s="15">
        <v>3.99</v>
      </c>
      <c r="C1454" s="15"/>
      <c r="D1454" s="15">
        <v>5.99</v>
      </c>
      <c r="E1454" s="15"/>
      <c r="F1454" s="15" t="str">
        <f t="shared" si="1"/>
        <v/>
      </c>
      <c r="G1454" s="15">
        <f t="shared" si="2"/>
        <v>5.99</v>
      </c>
      <c r="H1454" s="16">
        <v>1.0</v>
      </c>
      <c r="I1454" s="15">
        <f t="shared" si="3"/>
        <v>2</v>
      </c>
      <c r="J1454" s="15">
        <v>10.36</v>
      </c>
      <c r="K1454" s="16">
        <f>IF(COUNTIFS(Release_Calendar!$A$2:$A$755,"US_CPI",Release_Calendar!$B$2:$B$755,$A1454)&gt;0,1,0)</f>
        <v>0</v>
      </c>
      <c r="L1454" s="16">
        <f>IF(COUNTIFS(Release_Calendar!$A$2:$A$755,"US_NFP",Release_Calendar!$B$2:$B$755,$A1454)&gt;0,1,0)</f>
        <v>0</v>
      </c>
      <c r="M1454" s="16" t="str">
        <f>IF($A1454&lt;Notes!$B$5,"",IF(COUNTIFS(Release_Calendar!$A$2:$A$755,"NZ_CPI",Release_Calendar!$B$2:$B$755,$A1454)&gt;0,1,0))</f>
        <v/>
      </c>
      <c r="N1454" s="16" t="str">
        <f>IF($A1454&lt;Notes!$B$5,"",IF(COUNTIFS(Release_Calendar!$A$2:$A$755,"NZ_GDP",Release_Calendar!$B$2:$B$755,$A1454)&gt;0,1,0))</f>
        <v/>
      </c>
      <c r="O1454" s="16" t="str">
        <f>IF($A1454&lt;Notes!$B$5,"",IF(COUNTIFS(Release_Calendar!$A$2:$A$755,"NZ_LABOUR",Release_Calendar!$B$2:$B$755,$A1454)&gt;0,1,0))</f>
        <v/>
      </c>
      <c r="P1454" s="16">
        <f t="shared" si="4"/>
        <v>0</v>
      </c>
    </row>
    <row r="1455" ht="15.75" customHeight="1">
      <c r="A1455" s="14">
        <v>38561.0</v>
      </c>
      <c r="B1455" s="15">
        <v>3.96</v>
      </c>
      <c r="C1455" s="15"/>
      <c r="D1455" s="15">
        <v>5.97</v>
      </c>
      <c r="E1455" s="15"/>
      <c r="F1455" s="15" t="str">
        <f t="shared" si="1"/>
        <v/>
      </c>
      <c r="G1455" s="15">
        <f t="shared" si="2"/>
        <v>5.97</v>
      </c>
      <c r="H1455" s="16">
        <v>1.0</v>
      </c>
      <c r="I1455" s="15">
        <f t="shared" si="3"/>
        <v>2.01</v>
      </c>
      <c r="J1455" s="15">
        <v>10.52</v>
      </c>
      <c r="K1455" s="16">
        <f>IF(COUNTIFS(Release_Calendar!$A$2:$A$755,"US_CPI",Release_Calendar!$B$2:$B$755,$A1455)&gt;0,1,0)</f>
        <v>0</v>
      </c>
      <c r="L1455" s="16">
        <f>IF(COUNTIFS(Release_Calendar!$A$2:$A$755,"US_NFP",Release_Calendar!$B$2:$B$755,$A1455)&gt;0,1,0)</f>
        <v>0</v>
      </c>
      <c r="M1455" s="16" t="str">
        <f>IF($A1455&lt;Notes!$B$5,"",IF(COUNTIFS(Release_Calendar!$A$2:$A$755,"NZ_CPI",Release_Calendar!$B$2:$B$755,$A1455)&gt;0,1,0))</f>
        <v/>
      </c>
      <c r="N1455" s="16" t="str">
        <f>IF($A1455&lt;Notes!$B$5,"",IF(COUNTIFS(Release_Calendar!$A$2:$A$755,"NZ_GDP",Release_Calendar!$B$2:$B$755,$A1455)&gt;0,1,0))</f>
        <v/>
      </c>
      <c r="O1455" s="16" t="str">
        <f>IF($A1455&lt;Notes!$B$5,"",IF(COUNTIFS(Release_Calendar!$A$2:$A$755,"NZ_LABOUR",Release_Calendar!$B$2:$B$755,$A1455)&gt;0,1,0))</f>
        <v/>
      </c>
      <c r="P1455" s="16">
        <f t="shared" si="4"/>
        <v>0</v>
      </c>
    </row>
    <row r="1456" ht="15.75" customHeight="1">
      <c r="A1456" s="14">
        <v>38562.0</v>
      </c>
      <c r="B1456" s="15">
        <v>4.02</v>
      </c>
      <c r="C1456" s="15"/>
      <c r="D1456" s="15">
        <v>5.96</v>
      </c>
      <c r="E1456" s="15"/>
      <c r="F1456" s="15" t="str">
        <f t="shared" si="1"/>
        <v/>
      </c>
      <c r="G1456" s="15">
        <f t="shared" si="2"/>
        <v>5.96</v>
      </c>
      <c r="H1456" s="16">
        <v>1.0</v>
      </c>
      <c r="I1456" s="15">
        <f t="shared" si="3"/>
        <v>1.94</v>
      </c>
      <c r="J1456" s="15">
        <v>11.57</v>
      </c>
      <c r="K1456" s="16">
        <f>IF(COUNTIFS(Release_Calendar!$A$2:$A$755,"US_CPI",Release_Calendar!$B$2:$B$755,$A1456)&gt;0,1,0)</f>
        <v>0</v>
      </c>
      <c r="L1456" s="16">
        <f>IF(COUNTIFS(Release_Calendar!$A$2:$A$755,"US_NFP",Release_Calendar!$B$2:$B$755,$A1456)&gt;0,1,0)</f>
        <v>0</v>
      </c>
      <c r="M1456" s="16" t="str">
        <f>IF($A1456&lt;Notes!$B$5,"",IF(COUNTIFS(Release_Calendar!$A$2:$A$755,"NZ_CPI",Release_Calendar!$B$2:$B$755,$A1456)&gt;0,1,0))</f>
        <v/>
      </c>
      <c r="N1456" s="16" t="str">
        <f>IF($A1456&lt;Notes!$B$5,"",IF(COUNTIFS(Release_Calendar!$A$2:$A$755,"NZ_GDP",Release_Calendar!$B$2:$B$755,$A1456)&gt;0,1,0))</f>
        <v/>
      </c>
      <c r="O1456" s="16" t="str">
        <f>IF($A1456&lt;Notes!$B$5,"",IF(COUNTIFS(Release_Calendar!$A$2:$A$755,"NZ_LABOUR",Release_Calendar!$B$2:$B$755,$A1456)&gt;0,1,0))</f>
        <v/>
      </c>
      <c r="P1456" s="16">
        <f t="shared" si="4"/>
        <v>0</v>
      </c>
    </row>
    <row r="1457" ht="15.75" customHeight="1">
      <c r="A1457" s="14">
        <v>38565.0</v>
      </c>
      <c r="B1457" s="15">
        <v>4.04</v>
      </c>
      <c r="C1457" s="15"/>
      <c r="D1457" s="15">
        <v>5.98</v>
      </c>
      <c r="E1457" s="15"/>
      <c r="F1457" s="15" t="str">
        <f t="shared" si="1"/>
        <v/>
      </c>
      <c r="G1457" s="15">
        <f t="shared" si="2"/>
        <v>5.98</v>
      </c>
      <c r="H1457" s="16">
        <v>1.0</v>
      </c>
      <c r="I1457" s="15">
        <f t="shared" si="3"/>
        <v>1.94</v>
      </c>
      <c r="J1457" s="15">
        <v>12.08</v>
      </c>
      <c r="K1457" s="16">
        <f>IF(COUNTIFS(Release_Calendar!$A$2:$A$755,"US_CPI",Release_Calendar!$B$2:$B$755,$A1457)&gt;0,1,0)</f>
        <v>0</v>
      </c>
      <c r="L1457" s="16">
        <f>IF(COUNTIFS(Release_Calendar!$A$2:$A$755,"US_NFP",Release_Calendar!$B$2:$B$755,$A1457)&gt;0,1,0)</f>
        <v>0</v>
      </c>
      <c r="M1457" s="16" t="str">
        <f>IF($A1457&lt;Notes!$B$5,"",IF(COUNTIFS(Release_Calendar!$A$2:$A$755,"NZ_CPI",Release_Calendar!$B$2:$B$755,$A1457)&gt;0,1,0))</f>
        <v/>
      </c>
      <c r="N1457" s="16" t="str">
        <f>IF($A1457&lt;Notes!$B$5,"",IF(COUNTIFS(Release_Calendar!$A$2:$A$755,"NZ_GDP",Release_Calendar!$B$2:$B$755,$A1457)&gt;0,1,0))</f>
        <v/>
      </c>
      <c r="O1457" s="16" t="str">
        <f>IF($A1457&lt;Notes!$B$5,"",IF(COUNTIFS(Release_Calendar!$A$2:$A$755,"NZ_LABOUR",Release_Calendar!$B$2:$B$755,$A1457)&gt;0,1,0))</f>
        <v/>
      </c>
      <c r="P1457" s="16">
        <f t="shared" si="4"/>
        <v>0</v>
      </c>
    </row>
    <row r="1458" ht="15.75" customHeight="1">
      <c r="A1458" s="14">
        <v>38566.0</v>
      </c>
      <c r="B1458" s="15">
        <v>4.06</v>
      </c>
      <c r="C1458" s="15"/>
      <c r="D1458" s="15">
        <v>6.0</v>
      </c>
      <c r="E1458" s="15"/>
      <c r="F1458" s="15" t="str">
        <f t="shared" si="1"/>
        <v/>
      </c>
      <c r="G1458" s="15">
        <f t="shared" si="2"/>
        <v>6</v>
      </c>
      <c r="H1458" s="16">
        <v>1.0</v>
      </c>
      <c r="I1458" s="15">
        <f t="shared" si="3"/>
        <v>1.94</v>
      </c>
      <c r="J1458" s="15">
        <v>11.75</v>
      </c>
      <c r="K1458" s="16">
        <f>IF(COUNTIFS(Release_Calendar!$A$2:$A$755,"US_CPI",Release_Calendar!$B$2:$B$755,$A1458)&gt;0,1,0)</f>
        <v>0</v>
      </c>
      <c r="L1458" s="16">
        <f>IF(COUNTIFS(Release_Calendar!$A$2:$A$755,"US_NFP",Release_Calendar!$B$2:$B$755,$A1458)&gt;0,1,0)</f>
        <v>0</v>
      </c>
      <c r="M1458" s="16" t="str">
        <f>IF($A1458&lt;Notes!$B$5,"",IF(COUNTIFS(Release_Calendar!$A$2:$A$755,"NZ_CPI",Release_Calendar!$B$2:$B$755,$A1458)&gt;0,1,0))</f>
        <v/>
      </c>
      <c r="N1458" s="16" t="str">
        <f>IF($A1458&lt;Notes!$B$5,"",IF(COUNTIFS(Release_Calendar!$A$2:$A$755,"NZ_GDP",Release_Calendar!$B$2:$B$755,$A1458)&gt;0,1,0))</f>
        <v/>
      </c>
      <c r="O1458" s="16" t="str">
        <f>IF($A1458&lt;Notes!$B$5,"",IF(COUNTIFS(Release_Calendar!$A$2:$A$755,"NZ_LABOUR",Release_Calendar!$B$2:$B$755,$A1458)&gt;0,1,0))</f>
        <v/>
      </c>
      <c r="P1458" s="16">
        <f t="shared" si="4"/>
        <v>0</v>
      </c>
    </row>
    <row r="1459" ht="15.75" customHeight="1">
      <c r="A1459" s="14">
        <v>38567.0</v>
      </c>
      <c r="B1459" s="15">
        <v>4.02</v>
      </c>
      <c r="C1459" s="15"/>
      <c r="D1459" s="15">
        <v>6.02</v>
      </c>
      <c r="E1459" s="15"/>
      <c r="F1459" s="15" t="str">
        <f t="shared" si="1"/>
        <v/>
      </c>
      <c r="G1459" s="15">
        <f t="shared" si="2"/>
        <v>6.02</v>
      </c>
      <c r="H1459" s="16">
        <v>1.0</v>
      </c>
      <c r="I1459" s="15">
        <f t="shared" si="3"/>
        <v>2</v>
      </c>
      <c r="J1459" s="15">
        <v>11.83</v>
      </c>
      <c r="K1459" s="16">
        <f>IF(COUNTIFS(Release_Calendar!$A$2:$A$755,"US_CPI",Release_Calendar!$B$2:$B$755,$A1459)&gt;0,1,0)</f>
        <v>0</v>
      </c>
      <c r="L1459" s="16">
        <f>IF(COUNTIFS(Release_Calendar!$A$2:$A$755,"US_NFP",Release_Calendar!$B$2:$B$755,$A1459)&gt;0,1,0)</f>
        <v>0</v>
      </c>
      <c r="M1459" s="16" t="str">
        <f>IF($A1459&lt;Notes!$B$5,"",IF(COUNTIFS(Release_Calendar!$A$2:$A$755,"NZ_CPI",Release_Calendar!$B$2:$B$755,$A1459)&gt;0,1,0))</f>
        <v/>
      </c>
      <c r="N1459" s="16" t="str">
        <f>IF($A1459&lt;Notes!$B$5,"",IF(COUNTIFS(Release_Calendar!$A$2:$A$755,"NZ_GDP",Release_Calendar!$B$2:$B$755,$A1459)&gt;0,1,0))</f>
        <v/>
      </c>
      <c r="O1459" s="16" t="str">
        <f>IF($A1459&lt;Notes!$B$5,"",IF(COUNTIFS(Release_Calendar!$A$2:$A$755,"NZ_LABOUR",Release_Calendar!$B$2:$B$755,$A1459)&gt;0,1,0))</f>
        <v/>
      </c>
      <c r="P1459" s="16">
        <f t="shared" si="4"/>
        <v>0</v>
      </c>
    </row>
    <row r="1460" ht="15.75" customHeight="1">
      <c r="A1460" s="14">
        <v>38568.0</v>
      </c>
      <c r="B1460" s="15">
        <v>4.04</v>
      </c>
      <c r="C1460" s="15"/>
      <c r="D1460" s="15">
        <v>6.01</v>
      </c>
      <c r="E1460" s="15"/>
      <c r="F1460" s="15" t="str">
        <f t="shared" si="1"/>
        <v/>
      </c>
      <c r="G1460" s="15">
        <f t="shared" si="2"/>
        <v>6.01</v>
      </c>
      <c r="H1460" s="16">
        <v>1.0</v>
      </c>
      <c r="I1460" s="15">
        <f t="shared" si="3"/>
        <v>1.97</v>
      </c>
      <c r="J1460" s="15">
        <v>12.52</v>
      </c>
      <c r="K1460" s="16">
        <f>IF(COUNTIFS(Release_Calendar!$A$2:$A$755,"US_CPI",Release_Calendar!$B$2:$B$755,$A1460)&gt;0,1,0)</f>
        <v>0</v>
      </c>
      <c r="L1460" s="16">
        <f>IF(COUNTIFS(Release_Calendar!$A$2:$A$755,"US_NFP",Release_Calendar!$B$2:$B$755,$A1460)&gt;0,1,0)</f>
        <v>0</v>
      </c>
      <c r="M1460" s="16" t="str">
        <f>IF($A1460&lt;Notes!$B$5,"",IF(COUNTIFS(Release_Calendar!$A$2:$A$755,"NZ_CPI",Release_Calendar!$B$2:$B$755,$A1460)&gt;0,1,0))</f>
        <v/>
      </c>
      <c r="N1460" s="16" t="str">
        <f>IF($A1460&lt;Notes!$B$5,"",IF(COUNTIFS(Release_Calendar!$A$2:$A$755,"NZ_GDP",Release_Calendar!$B$2:$B$755,$A1460)&gt;0,1,0))</f>
        <v/>
      </c>
      <c r="O1460" s="16" t="str">
        <f>IF($A1460&lt;Notes!$B$5,"",IF(COUNTIFS(Release_Calendar!$A$2:$A$755,"NZ_LABOUR",Release_Calendar!$B$2:$B$755,$A1460)&gt;0,1,0))</f>
        <v/>
      </c>
      <c r="P1460" s="16">
        <f t="shared" si="4"/>
        <v>0</v>
      </c>
    </row>
    <row r="1461" ht="15.75" customHeight="1">
      <c r="A1461" s="14">
        <v>38569.0</v>
      </c>
      <c r="B1461" s="15">
        <v>4.11</v>
      </c>
      <c r="C1461" s="15"/>
      <c r="D1461" s="15">
        <v>6.02</v>
      </c>
      <c r="E1461" s="15"/>
      <c r="F1461" s="15" t="str">
        <f t="shared" si="1"/>
        <v/>
      </c>
      <c r="G1461" s="15">
        <f t="shared" si="2"/>
        <v>6.02</v>
      </c>
      <c r="H1461" s="16">
        <v>1.0</v>
      </c>
      <c r="I1461" s="15">
        <f t="shared" si="3"/>
        <v>1.91</v>
      </c>
      <c r="J1461" s="15">
        <v>12.48</v>
      </c>
      <c r="K1461" s="16">
        <f>IF(COUNTIFS(Release_Calendar!$A$2:$A$755,"US_CPI",Release_Calendar!$B$2:$B$755,$A1461)&gt;0,1,0)</f>
        <v>0</v>
      </c>
      <c r="L1461" s="16">
        <f>IF(COUNTIFS(Release_Calendar!$A$2:$A$755,"US_NFP",Release_Calendar!$B$2:$B$755,$A1461)&gt;0,1,0)</f>
        <v>1</v>
      </c>
      <c r="M1461" s="16" t="str">
        <f>IF($A1461&lt;Notes!$B$5,"",IF(COUNTIFS(Release_Calendar!$A$2:$A$755,"NZ_CPI",Release_Calendar!$B$2:$B$755,$A1461)&gt;0,1,0))</f>
        <v/>
      </c>
      <c r="N1461" s="16" t="str">
        <f>IF($A1461&lt;Notes!$B$5,"",IF(COUNTIFS(Release_Calendar!$A$2:$A$755,"NZ_GDP",Release_Calendar!$B$2:$B$755,$A1461)&gt;0,1,0))</f>
        <v/>
      </c>
      <c r="O1461" s="16" t="str">
        <f>IF($A1461&lt;Notes!$B$5,"",IF(COUNTIFS(Release_Calendar!$A$2:$A$755,"NZ_LABOUR",Release_Calendar!$B$2:$B$755,$A1461)&gt;0,1,0))</f>
        <v/>
      </c>
      <c r="P1461" s="16">
        <f t="shared" si="4"/>
        <v>1</v>
      </c>
    </row>
    <row r="1462" ht="15.75" customHeight="1">
      <c r="A1462" s="14">
        <v>38572.0</v>
      </c>
      <c r="B1462" s="15">
        <v>4.16</v>
      </c>
      <c r="C1462" s="15"/>
      <c r="D1462" s="15">
        <v>6.06</v>
      </c>
      <c r="E1462" s="15"/>
      <c r="F1462" s="15" t="str">
        <f t="shared" si="1"/>
        <v/>
      </c>
      <c r="G1462" s="15">
        <f t="shared" si="2"/>
        <v>6.06</v>
      </c>
      <c r="H1462" s="16">
        <v>1.0</v>
      </c>
      <c r="I1462" s="15">
        <f t="shared" si="3"/>
        <v>1.9</v>
      </c>
      <c r="J1462" s="15">
        <v>13.21</v>
      </c>
      <c r="K1462" s="16">
        <f>IF(COUNTIFS(Release_Calendar!$A$2:$A$755,"US_CPI",Release_Calendar!$B$2:$B$755,$A1462)&gt;0,1,0)</f>
        <v>0</v>
      </c>
      <c r="L1462" s="16">
        <f>IF(COUNTIFS(Release_Calendar!$A$2:$A$755,"US_NFP",Release_Calendar!$B$2:$B$755,$A1462)&gt;0,1,0)</f>
        <v>0</v>
      </c>
      <c r="M1462" s="16" t="str">
        <f>IF($A1462&lt;Notes!$B$5,"",IF(COUNTIFS(Release_Calendar!$A$2:$A$755,"NZ_CPI",Release_Calendar!$B$2:$B$755,$A1462)&gt;0,1,0))</f>
        <v/>
      </c>
      <c r="N1462" s="16" t="str">
        <f>IF($A1462&lt;Notes!$B$5,"",IF(COUNTIFS(Release_Calendar!$A$2:$A$755,"NZ_GDP",Release_Calendar!$B$2:$B$755,$A1462)&gt;0,1,0))</f>
        <v/>
      </c>
      <c r="O1462" s="16" t="str">
        <f>IF($A1462&lt;Notes!$B$5,"",IF(COUNTIFS(Release_Calendar!$A$2:$A$755,"NZ_LABOUR",Release_Calendar!$B$2:$B$755,$A1462)&gt;0,1,0))</f>
        <v/>
      </c>
      <c r="P1462" s="16">
        <f t="shared" si="4"/>
        <v>0</v>
      </c>
    </row>
    <row r="1463" ht="15.75" customHeight="1">
      <c r="A1463" s="14">
        <v>38573.0</v>
      </c>
      <c r="B1463" s="15">
        <v>4.13</v>
      </c>
      <c r="C1463" s="15"/>
      <c r="D1463" s="15">
        <v>6.04</v>
      </c>
      <c r="E1463" s="15"/>
      <c r="F1463" s="15" t="str">
        <f t="shared" si="1"/>
        <v/>
      </c>
      <c r="G1463" s="15">
        <f t="shared" si="2"/>
        <v>6.04</v>
      </c>
      <c r="H1463" s="16">
        <v>1.0</v>
      </c>
      <c r="I1463" s="15">
        <f t="shared" si="3"/>
        <v>1.91</v>
      </c>
      <c r="J1463" s="15">
        <v>12.4</v>
      </c>
      <c r="K1463" s="16">
        <f>IF(COUNTIFS(Release_Calendar!$A$2:$A$755,"US_CPI",Release_Calendar!$B$2:$B$755,$A1463)&gt;0,1,0)</f>
        <v>0</v>
      </c>
      <c r="L1463" s="16">
        <f>IF(COUNTIFS(Release_Calendar!$A$2:$A$755,"US_NFP",Release_Calendar!$B$2:$B$755,$A1463)&gt;0,1,0)</f>
        <v>0</v>
      </c>
      <c r="M1463" s="16" t="str">
        <f>IF($A1463&lt;Notes!$B$5,"",IF(COUNTIFS(Release_Calendar!$A$2:$A$755,"NZ_CPI",Release_Calendar!$B$2:$B$755,$A1463)&gt;0,1,0))</f>
        <v/>
      </c>
      <c r="N1463" s="16" t="str">
        <f>IF($A1463&lt;Notes!$B$5,"",IF(COUNTIFS(Release_Calendar!$A$2:$A$755,"NZ_GDP",Release_Calendar!$B$2:$B$755,$A1463)&gt;0,1,0))</f>
        <v/>
      </c>
      <c r="O1463" s="16" t="str">
        <f>IF($A1463&lt;Notes!$B$5,"",IF(COUNTIFS(Release_Calendar!$A$2:$A$755,"NZ_LABOUR",Release_Calendar!$B$2:$B$755,$A1463)&gt;0,1,0))</f>
        <v/>
      </c>
      <c r="P1463" s="16">
        <f t="shared" si="4"/>
        <v>0</v>
      </c>
    </row>
    <row r="1464" ht="15.75" customHeight="1">
      <c r="A1464" s="14">
        <v>38574.0</v>
      </c>
      <c r="B1464" s="15">
        <v>4.13</v>
      </c>
      <c r="C1464" s="15"/>
      <c r="D1464" s="15">
        <v>6.02</v>
      </c>
      <c r="E1464" s="15"/>
      <c r="F1464" s="15" t="str">
        <f t="shared" si="1"/>
        <v/>
      </c>
      <c r="G1464" s="15">
        <f t="shared" si="2"/>
        <v>6.02</v>
      </c>
      <c r="H1464" s="16">
        <v>1.0</v>
      </c>
      <c r="I1464" s="15">
        <f t="shared" si="3"/>
        <v>1.89</v>
      </c>
      <c r="J1464" s="15">
        <v>12.38</v>
      </c>
      <c r="K1464" s="16">
        <f>IF(COUNTIFS(Release_Calendar!$A$2:$A$755,"US_CPI",Release_Calendar!$B$2:$B$755,$A1464)&gt;0,1,0)</f>
        <v>0</v>
      </c>
      <c r="L1464" s="16">
        <f>IF(COUNTIFS(Release_Calendar!$A$2:$A$755,"US_NFP",Release_Calendar!$B$2:$B$755,$A1464)&gt;0,1,0)</f>
        <v>0</v>
      </c>
      <c r="M1464" s="16" t="str">
        <f>IF($A1464&lt;Notes!$B$5,"",IF(COUNTIFS(Release_Calendar!$A$2:$A$755,"NZ_CPI",Release_Calendar!$B$2:$B$755,$A1464)&gt;0,1,0))</f>
        <v/>
      </c>
      <c r="N1464" s="16" t="str">
        <f>IF($A1464&lt;Notes!$B$5,"",IF(COUNTIFS(Release_Calendar!$A$2:$A$755,"NZ_GDP",Release_Calendar!$B$2:$B$755,$A1464)&gt;0,1,0))</f>
        <v/>
      </c>
      <c r="O1464" s="16" t="str">
        <f>IF($A1464&lt;Notes!$B$5,"",IF(COUNTIFS(Release_Calendar!$A$2:$A$755,"NZ_LABOUR",Release_Calendar!$B$2:$B$755,$A1464)&gt;0,1,0))</f>
        <v/>
      </c>
      <c r="P1464" s="16">
        <f t="shared" si="4"/>
        <v>0</v>
      </c>
    </row>
    <row r="1465" ht="15.75" customHeight="1">
      <c r="A1465" s="14">
        <v>38575.0</v>
      </c>
      <c r="B1465" s="15">
        <v>4.1</v>
      </c>
      <c r="C1465" s="15"/>
      <c r="D1465" s="15">
        <v>6.05</v>
      </c>
      <c r="E1465" s="15"/>
      <c r="F1465" s="15" t="str">
        <f t="shared" si="1"/>
        <v/>
      </c>
      <c r="G1465" s="15">
        <f t="shared" si="2"/>
        <v>6.05</v>
      </c>
      <c r="H1465" s="16">
        <v>1.0</v>
      </c>
      <c r="I1465" s="15">
        <f t="shared" si="3"/>
        <v>1.95</v>
      </c>
      <c r="J1465" s="15">
        <v>12.42</v>
      </c>
      <c r="K1465" s="16">
        <f>IF(COUNTIFS(Release_Calendar!$A$2:$A$755,"US_CPI",Release_Calendar!$B$2:$B$755,$A1465)&gt;0,1,0)</f>
        <v>0</v>
      </c>
      <c r="L1465" s="16">
        <f>IF(COUNTIFS(Release_Calendar!$A$2:$A$755,"US_NFP",Release_Calendar!$B$2:$B$755,$A1465)&gt;0,1,0)</f>
        <v>0</v>
      </c>
      <c r="M1465" s="16" t="str">
        <f>IF($A1465&lt;Notes!$B$5,"",IF(COUNTIFS(Release_Calendar!$A$2:$A$755,"NZ_CPI",Release_Calendar!$B$2:$B$755,$A1465)&gt;0,1,0))</f>
        <v/>
      </c>
      <c r="N1465" s="16" t="str">
        <f>IF($A1465&lt;Notes!$B$5,"",IF(COUNTIFS(Release_Calendar!$A$2:$A$755,"NZ_GDP",Release_Calendar!$B$2:$B$755,$A1465)&gt;0,1,0))</f>
        <v/>
      </c>
      <c r="O1465" s="16" t="str">
        <f>IF($A1465&lt;Notes!$B$5,"",IF(COUNTIFS(Release_Calendar!$A$2:$A$755,"NZ_LABOUR",Release_Calendar!$B$2:$B$755,$A1465)&gt;0,1,0))</f>
        <v/>
      </c>
      <c r="P1465" s="16">
        <f t="shared" si="4"/>
        <v>0</v>
      </c>
    </row>
    <row r="1466" ht="15.75" customHeight="1">
      <c r="A1466" s="14">
        <v>38576.0</v>
      </c>
      <c r="B1466" s="15">
        <v>4.05</v>
      </c>
      <c r="C1466" s="15"/>
      <c r="D1466" s="15">
        <v>6.03</v>
      </c>
      <c r="E1466" s="15"/>
      <c r="F1466" s="15" t="str">
        <f t="shared" si="1"/>
        <v/>
      </c>
      <c r="G1466" s="15">
        <f t="shared" si="2"/>
        <v>6.03</v>
      </c>
      <c r="H1466" s="16">
        <v>1.0</v>
      </c>
      <c r="I1466" s="15">
        <f t="shared" si="3"/>
        <v>1.98</v>
      </c>
      <c r="J1466" s="15">
        <v>12.74</v>
      </c>
      <c r="K1466" s="16">
        <f>IF(COUNTIFS(Release_Calendar!$A$2:$A$755,"US_CPI",Release_Calendar!$B$2:$B$755,$A1466)&gt;0,1,0)</f>
        <v>0</v>
      </c>
      <c r="L1466" s="16">
        <f>IF(COUNTIFS(Release_Calendar!$A$2:$A$755,"US_NFP",Release_Calendar!$B$2:$B$755,$A1466)&gt;0,1,0)</f>
        <v>0</v>
      </c>
      <c r="M1466" s="16" t="str">
        <f>IF($A1466&lt;Notes!$B$5,"",IF(COUNTIFS(Release_Calendar!$A$2:$A$755,"NZ_CPI",Release_Calendar!$B$2:$B$755,$A1466)&gt;0,1,0))</f>
        <v/>
      </c>
      <c r="N1466" s="16" t="str">
        <f>IF($A1466&lt;Notes!$B$5,"",IF(COUNTIFS(Release_Calendar!$A$2:$A$755,"NZ_GDP",Release_Calendar!$B$2:$B$755,$A1466)&gt;0,1,0))</f>
        <v/>
      </c>
      <c r="O1466" s="16" t="str">
        <f>IF($A1466&lt;Notes!$B$5,"",IF(COUNTIFS(Release_Calendar!$A$2:$A$755,"NZ_LABOUR",Release_Calendar!$B$2:$B$755,$A1466)&gt;0,1,0))</f>
        <v/>
      </c>
      <c r="P1466" s="16">
        <f t="shared" si="4"/>
        <v>0</v>
      </c>
    </row>
    <row r="1467" ht="15.75" customHeight="1">
      <c r="A1467" s="14">
        <v>38579.0</v>
      </c>
      <c r="B1467" s="15">
        <v>4.08</v>
      </c>
      <c r="C1467" s="15"/>
      <c r="D1467" s="15">
        <v>6.0</v>
      </c>
      <c r="E1467" s="15"/>
      <c r="F1467" s="15" t="str">
        <f t="shared" si="1"/>
        <v/>
      </c>
      <c r="G1467" s="15">
        <f t="shared" si="2"/>
        <v>6</v>
      </c>
      <c r="H1467" s="16">
        <v>1.0</v>
      </c>
      <c r="I1467" s="15">
        <f t="shared" si="3"/>
        <v>1.92</v>
      </c>
      <c r="J1467" s="15">
        <v>12.26</v>
      </c>
      <c r="K1467" s="16">
        <f>IF(COUNTIFS(Release_Calendar!$A$2:$A$755,"US_CPI",Release_Calendar!$B$2:$B$755,$A1467)&gt;0,1,0)</f>
        <v>0</v>
      </c>
      <c r="L1467" s="16">
        <f>IF(COUNTIFS(Release_Calendar!$A$2:$A$755,"US_NFP",Release_Calendar!$B$2:$B$755,$A1467)&gt;0,1,0)</f>
        <v>0</v>
      </c>
      <c r="M1467" s="16" t="str">
        <f>IF($A1467&lt;Notes!$B$5,"",IF(COUNTIFS(Release_Calendar!$A$2:$A$755,"NZ_CPI",Release_Calendar!$B$2:$B$755,$A1467)&gt;0,1,0))</f>
        <v/>
      </c>
      <c r="N1467" s="16" t="str">
        <f>IF($A1467&lt;Notes!$B$5,"",IF(COUNTIFS(Release_Calendar!$A$2:$A$755,"NZ_GDP",Release_Calendar!$B$2:$B$755,$A1467)&gt;0,1,0))</f>
        <v/>
      </c>
      <c r="O1467" s="16" t="str">
        <f>IF($A1467&lt;Notes!$B$5,"",IF(COUNTIFS(Release_Calendar!$A$2:$A$755,"NZ_LABOUR",Release_Calendar!$B$2:$B$755,$A1467)&gt;0,1,0))</f>
        <v/>
      </c>
      <c r="P1467" s="16">
        <f t="shared" si="4"/>
        <v>0</v>
      </c>
    </row>
    <row r="1468" ht="15.75" customHeight="1">
      <c r="A1468" s="14">
        <v>38580.0</v>
      </c>
      <c r="B1468" s="15">
        <v>4.03</v>
      </c>
      <c r="C1468" s="15"/>
      <c r="D1468" s="15">
        <v>6.0</v>
      </c>
      <c r="E1468" s="15"/>
      <c r="F1468" s="15" t="str">
        <f t="shared" si="1"/>
        <v/>
      </c>
      <c r="G1468" s="15">
        <f t="shared" si="2"/>
        <v>6</v>
      </c>
      <c r="H1468" s="16">
        <v>1.0</v>
      </c>
      <c r="I1468" s="15">
        <f t="shared" si="3"/>
        <v>1.97</v>
      </c>
      <c r="J1468" s="15">
        <v>13.52</v>
      </c>
      <c r="K1468" s="16">
        <f>IF(COUNTIFS(Release_Calendar!$A$2:$A$755,"US_CPI",Release_Calendar!$B$2:$B$755,$A1468)&gt;0,1,0)</f>
        <v>1</v>
      </c>
      <c r="L1468" s="16">
        <f>IF(COUNTIFS(Release_Calendar!$A$2:$A$755,"US_NFP",Release_Calendar!$B$2:$B$755,$A1468)&gt;0,1,0)</f>
        <v>0</v>
      </c>
      <c r="M1468" s="16" t="str">
        <f>IF($A1468&lt;Notes!$B$5,"",IF(COUNTIFS(Release_Calendar!$A$2:$A$755,"NZ_CPI",Release_Calendar!$B$2:$B$755,$A1468)&gt;0,1,0))</f>
        <v/>
      </c>
      <c r="N1468" s="16" t="str">
        <f>IF($A1468&lt;Notes!$B$5,"",IF(COUNTIFS(Release_Calendar!$A$2:$A$755,"NZ_GDP",Release_Calendar!$B$2:$B$755,$A1468)&gt;0,1,0))</f>
        <v/>
      </c>
      <c r="O1468" s="16" t="str">
        <f>IF($A1468&lt;Notes!$B$5,"",IF(COUNTIFS(Release_Calendar!$A$2:$A$755,"NZ_LABOUR",Release_Calendar!$B$2:$B$755,$A1468)&gt;0,1,0))</f>
        <v/>
      </c>
      <c r="P1468" s="16">
        <f t="shared" si="4"/>
        <v>1</v>
      </c>
    </row>
    <row r="1469" ht="15.75" customHeight="1">
      <c r="A1469" s="14">
        <v>38581.0</v>
      </c>
      <c r="B1469" s="15">
        <v>4.07</v>
      </c>
      <c r="C1469" s="15"/>
      <c r="D1469" s="15">
        <v>5.98</v>
      </c>
      <c r="E1469" s="15"/>
      <c r="F1469" s="15" t="str">
        <f t="shared" si="1"/>
        <v/>
      </c>
      <c r="G1469" s="15">
        <f t="shared" si="2"/>
        <v>5.98</v>
      </c>
      <c r="H1469" s="16">
        <v>1.0</v>
      </c>
      <c r="I1469" s="15">
        <f t="shared" si="3"/>
        <v>1.91</v>
      </c>
      <c r="J1469" s="15">
        <v>13.3</v>
      </c>
      <c r="K1469" s="16">
        <f>IF(COUNTIFS(Release_Calendar!$A$2:$A$755,"US_CPI",Release_Calendar!$B$2:$B$755,$A1469)&gt;0,1,0)</f>
        <v>0</v>
      </c>
      <c r="L1469" s="16">
        <f>IF(COUNTIFS(Release_Calendar!$A$2:$A$755,"US_NFP",Release_Calendar!$B$2:$B$755,$A1469)&gt;0,1,0)</f>
        <v>0</v>
      </c>
      <c r="M1469" s="16" t="str">
        <f>IF($A1469&lt;Notes!$B$5,"",IF(COUNTIFS(Release_Calendar!$A$2:$A$755,"NZ_CPI",Release_Calendar!$B$2:$B$755,$A1469)&gt;0,1,0))</f>
        <v/>
      </c>
      <c r="N1469" s="16" t="str">
        <f>IF($A1469&lt;Notes!$B$5,"",IF(COUNTIFS(Release_Calendar!$A$2:$A$755,"NZ_GDP",Release_Calendar!$B$2:$B$755,$A1469)&gt;0,1,0))</f>
        <v/>
      </c>
      <c r="O1469" s="16" t="str">
        <f>IF($A1469&lt;Notes!$B$5,"",IF(COUNTIFS(Release_Calendar!$A$2:$A$755,"NZ_LABOUR",Release_Calendar!$B$2:$B$755,$A1469)&gt;0,1,0))</f>
        <v/>
      </c>
      <c r="P1469" s="16">
        <f t="shared" si="4"/>
        <v>0</v>
      </c>
    </row>
    <row r="1470" ht="15.75" customHeight="1">
      <c r="A1470" s="14">
        <v>38582.0</v>
      </c>
      <c r="B1470" s="15">
        <v>4.01</v>
      </c>
      <c r="C1470" s="15"/>
      <c r="D1470" s="15">
        <v>6.0</v>
      </c>
      <c r="E1470" s="15"/>
      <c r="F1470" s="15" t="str">
        <f t="shared" si="1"/>
        <v/>
      </c>
      <c r="G1470" s="15">
        <f t="shared" si="2"/>
        <v>6</v>
      </c>
      <c r="H1470" s="16">
        <v>1.0</v>
      </c>
      <c r="I1470" s="15">
        <f t="shared" si="3"/>
        <v>1.99</v>
      </c>
      <c r="J1470" s="15">
        <v>13.42</v>
      </c>
      <c r="K1470" s="16">
        <f>IF(COUNTIFS(Release_Calendar!$A$2:$A$755,"US_CPI",Release_Calendar!$B$2:$B$755,$A1470)&gt;0,1,0)</f>
        <v>0</v>
      </c>
      <c r="L1470" s="16">
        <f>IF(COUNTIFS(Release_Calendar!$A$2:$A$755,"US_NFP",Release_Calendar!$B$2:$B$755,$A1470)&gt;0,1,0)</f>
        <v>0</v>
      </c>
      <c r="M1470" s="16" t="str">
        <f>IF($A1470&lt;Notes!$B$5,"",IF(COUNTIFS(Release_Calendar!$A$2:$A$755,"NZ_CPI",Release_Calendar!$B$2:$B$755,$A1470)&gt;0,1,0))</f>
        <v/>
      </c>
      <c r="N1470" s="16" t="str">
        <f>IF($A1470&lt;Notes!$B$5,"",IF(COUNTIFS(Release_Calendar!$A$2:$A$755,"NZ_GDP",Release_Calendar!$B$2:$B$755,$A1470)&gt;0,1,0))</f>
        <v/>
      </c>
      <c r="O1470" s="16" t="str">
        <f>IF($A1470&lt;Notes!$B$5,"",IF(COUNTIFS(Release_Calendar!$A$2:$A$755,"NZ_LABOUR",Release_Calendar!$B$2:$B$755,$A1470)&gt;0,1,0))</f>
        <v/>
      </c>
      <c r="P1470" s="16">
        <f t="shared" si="4"/>
        <v>0</v>
      </c>
    </row>
    <row r="1471" ht="15.75" customHeight="1">
      <c r="A1471" s="14">
        <v>38583.0</v>
      </c>
      <c r="B1471" s="15">
        <v>4.03</v>
      </c>
      <c r="C1471" s="15"/>
      <c r="D1471" s="15">
        <v>5.98</v>
      </c>
      <c r="E1471" s="15"/>
      <c r="F1471" s="15" t="str">
        <f t="shared" si="1"/>
        <v/>
      </c>
      <c r="G1471" s="15">
        <f t="shared" si="2"/>
        <v>5.98</v>
      </c>
      <c r="H1471" s="16">
        <v>1.0</v>
      </c>
      <c r="I1471" s="15">
        <f t="shared" si="3"/>
        <v>1.95</v>
      </c>
      <c r="J1471" s="15">
        <v>13.42</v>
      </c>
      <c r="K1471" s="16">
        <f>IF(COUNTIFS(Release_Calendar!$A$2:$A$755,"US_CPI",Release_Calendar!$B$2:$B$755,$A1471)&gt;0,1,0)</f>
        <v>0</v>
      </c>
      <c r="L1471" s="16">
        <f>IF(COUNTIFS(Release_Calendar!$A$2:$A$755,"US_NFP",Release_Calendar!$B$2:$B$755,$A1471)&gt;0,1,0)</f>
        <v>0</v>
      </c>
      <c r="M1471" s="16" t="str">
        <f>IF($A1471&lt;Notes!$B$5,"",IF(COUNTIFS(Release_Calendar!$A$2:$A$755,"NZ_CPI",Release_Calendar!$B$2:$B$755,$A1471)&gt;0,1,0))</f>
        <v/>
      </c>
      <c r="N1471" s="16" t="str">
        <f>IF($A1471&lt;Notes!$B$5,"",IF(COUNTIFS(Release_Calendar!$A$2:$A$755,"NZ_GDP",Release_Calendar!$B$2:$B$755,$A1471)&gt;0,1,0))</f>
        <v/>
      </c>
      <c r="O1471" s="16" t="str">
        <f>IF($A1471&lt;Notes!$B$5,"",IF(COUNTIFS(Release_Calendar!$A$2:$A$755,"NZ_LABOUR",Release_Calendar!$B$2:$B$755,$A1471)&gt;0,1,0))</f>
        <v/>
      </c>
      <c r="P1471" s="16">
        <f t="shared" si="4"/>
        <v>0</v>
      </c>
    </row>
    <row r="1472" ht="15.75" customHeight="1">
      <c r="A1472" s="14">
        <v>38586.0</v>
      </c>
      <c r="B1472" s="15">
        <v>4.03</v>
      </c>
      <c r="C1472" s="15"/>
      <c r="D1472" s="15">
        <v>5.98</v>
      </c>
      <c r="E1472" s="15"/>
      <c r="F1472" s="15" t="str">
        <f t="shared" si="1"/>
        <v/>
      </c>
      <c r="G1472" s="15">
        <f t="shared" si="2"/>
        <v>5.98</v>
      </c>
      <c r="H1472" s="16">
        <v>1.0</v>
      </c>
      <c r="I1472" s="15">
        <f t="shared" si="3"/>
        <v>1.95</v>
      </c>
      <c r="J1472" s="15">
        <v>13.42</v>
      </c>
      <c r="K1472" s="16">
        <f>IF(COUNTIFS(Release_Calendar!$A$2:$A$755,"US_CPI",Release_Calendar!$B$2:$B$755,$A1472)&gt;0,1,0)</f>
        <v>0</v>
      </c>
      <c r="L1472" s="16">
        <f>IF(COUNTIFS(Release_Calendar!$A$2:$A$755,"US_NFP",Release_Calendar!$B$2:$B$755,$A1472)&gt;0,1,0)</f>
        <v>0</v>
      </c>
      <c r="M1472" s="16" t="str">
        <f>IF($A1472&lt;Notes!$B$5,"",IF(COUNTIFS(Release_Calendar!$A$2:$A$755,"NZ_CPI",Release_Calendar!$B$2:$B$755,$A1472)&gt;0,1,0))</f>
        <v/>
      </c>
      <c r="N1472" s="16" t="str">
        <f>IF($A1472&lt;Notes!$B$5,"",IF(COUNTIFS(Release_Calendar!$A$2:$A$755,"NZ_GDP",Release_Calendar!$B$2:$B$755,$A1472)&gt;0,1,0))</f>
        <v/>
      </c>
      <c r="O1472" s="16" t="str">
        <f>IF($A1472&lt;Notes!$B$5,"",IF(COUNTIFS(Release_Calendar!$A$2:$A$755,"NZ_LABOUR",Release_Calendar!$B$2:$B$755,$A1472)&gt;0,1,0))</f>
        <v/>
      </c>
      <c r="P1472" s="16">
        <f t="shared" si="4"/>
        <v>0</v>
      </c>
    </row>
    <row r="1473" ht="15.75" customHeight="1">
      <c r="A1473" s="14">
        <v>38587.0</v>
      </c>
      <c r="B1473" s="15">
        <v>4.01</v>
      </c>
      <c r="C1473" s="15"/>
      <c r="D1473" s="15">
        <v>6.0</v>
      </c>
      <c r="E1473" s="15"/>
      <c r="F1473" s="15" t="str">
        <f t="shared" si="1"/>
        <v/>
      </c>
      <c r="G1473" s="15">
        <f t="shared" si="2"/>
        <v>6</v>
      </c>
      <c r="H1473" s="16">
        <v>1.0</v>
      </c>
      <c r="I1473" s="15">
        <f t="shared" si="3"/>
        <v>1.99</v>
      </c>
      <c r="J1473" s="15">
        <v>13.34</v>
      </c>
      <c r="K1473" s="16">
        <f>IF(COUNTIFS(Release_Calendar!$A$2:$A$755,"US_CPI",Release_Calendar!$B$2:$B$755,$A1473)&gt;0,1,0)</f>
        <v>0</v>
      </c>
      <c r="L1473" s="16">
        <f>IF(COUNTIFS(Release_Calendar!$A$2:$A$755,"US_NFP",Release_Calendar!$B$2:$B$755,$A1473)&gt;0,1,0)</f>
        <v>0</v>
      </c>
      <c r="M1473" s="16" t="str">
        <f>IF($A1473&lt;Notes!$B$5,"",IF(COUNTIFS(Release_Calendar!$A$2:$A$755,"NZ_CPI",Release_Calendar!$B$2:$B$755,$A1473)&gt;0,1,0))</f>
        <v/>
      </c>
      <c r="N1473" s="16" t="str">
        <f>IF($A1473&lt;Notes!$B$5,"",IF(COUNTIFS(Release_Calendar!$A$2:$A$755,"NZ_GDP",Release_Calendar!$B$2:$B$755,$A1473)&gt;0,1,0))</f>
        <v/>
      </c>
      <c r="O1473" s="16" t="str">
        <f>IF($A1473&lt;Notes!$B$5,"",IF(COUNTIFS(Release_Calendar!$A$2:$A$755,"NZ_LABOUR",Release_Calendar!$B$2:$B$755,$A1473)&gt;0,1,0))</f>
        <v/>
      </c>
      <c r="P1473" s="16">
        <f t="shared" si="4"/>
        <v>0</v>
      </c>
    </row>
    <row r="1474" ht="15.75" customHeight="1">
      <c r="A1474" s="14">
        <v>38588.0</v>
      </c>
      <c r="B1474" s="15">
        <v>3.99</v>
      </c>
      <c r="C1474" s="15"/>
      <c r="D1474" s="15">
        <v>5.99</v>
      </c>
      <c r="E1474" s="15"/>
      <c r="F1474" s="15" t="str">
        <f t="shared" si="1"/>
        <v/>
      </c>
      <c r="G1474" s="15">
        <f t="shared" si="2"/>
        <v>5.99</v>
      </c>
      <c r="H1474" s="16">
        <v>1.0</v>
      </c>
      <c r="I1474" s="15">
        <f t="shared" si="3"/>
        <v>2</v>
      </c>
      <c r="J1474" s="15">
        <v>14.17</v>
      </c>
      <c r="K1474" s="16">
        <f>IF(COUNTIFS(Release_Calendar!$A$2:$A$755,"US_CPI",Release_Calendar!$B$2:$B$755,$A1474)&gt;0,1,0)</f>
        <v>0</v>
      </c>
      <c r="L1474" s="16">
        <f>IF(COUNTIFS(Release_Calendar!$A$2:$A$755,"US_NFP",Release_Calendar!$B$2:$B$755,$A1474)&gt;0,1,0)</f>
        <v>0</v>
      </c>
      <c r="M1474" s="16" t="str">
        <f>IF($A1474&lt;Notes!$B$5,"",IF(COUNTIFS(Release_Calendar!$A$2:$A$755,"NZ_CPI",Release_Calendar!$B$2:$B$755,$A1474)&gt;0,1,0))</f>
        <v/>
      </c>
      <c r="N1474" s="16" t="str">
        <f>IF($A1474&lt;Notes!$B$5,"",IF(COUNTIFS(Release_Calendar!$A$2:$A$755,"NZ_GDP",Release_Calendar!$B$2:$B$755,$A1474)&gt;0,1,0))</f>
        <v/>
      </c>
      <c r="O1474" s="16" t="str">
        <f>IF($A1474&lt;Notes!$B$5,"",IF(COUNTIFS(Release_Calendar!$A$2:$A$755,"NZ_LABOUR",Release_Calendar!$B$2:$B$755,$A1474)&gt;0,1,0))</f>
        <v/>
      </c>
      <c r="P1474" s="16">
        <f t="shared" si="4"/>
        <v>0</v>
      </c>
    </row>
    <row r="1475" ht="15.75" customHeight="1">
      <c r="A1475" s="14">
        <v>38589.0</v>
      </c>
      <c r="B1475" s="15">
        <v>4.0</v>
      </c>
      <c r="C1475" s="15"/>
      <c r="D1475" s="15">
        <v>6.0</v>
      </c>
      <c r="E1475" s="15"/>
      <c r="F1475" s="15" t="str">
        <f t="shared" si="1"/>
        <v/>
      </c>
      <c r="G1475" s="15">
        <f t="shared" si="2"/>
        <v>6</v>
      </c>
      <c r="H1475" s="16">
        <v>1.0</v>
      </c>
      <c r="I1475" s="15">
        <f t="shared" si="3"/>
        <v>2</v>
      </c>
      <c r="J1475" s="15">
        <v>13.73</v>
      </c>
      <c r="K1475" s="16">
        <f>IF(COUNTIFS(Release_Calendar!$A$2:$A$755,"US_CPI",Release_Calendar!$B$2:$B$755,$A1475)&gt;0,1,0)</f>
        <v>0</v>
      </c>
      <c r="L1475" s="16">
        <f>IF(COUNTIFS(Release_Calendar!$A$2:$A$755,"US_NFP",Release_Calendar!$B$2:$B$755,$A1475)&gt;0,1,0)</f>
        <v>0</v>
      </c>
      <c r="M1475" s="16" t="str">
        <f>IF($A1475&lt;Notes!$B$5,"",IF(COUNTIFS(Release_Calendar!$A$2:$A$755,"NZ_CPI",Release_Calendar!$B$2:$B$755,$A1475)&gt;0,1,0))</f>
        <v/>
      </c>
      <c r="N1475" s="16" t="str">
        <f>IF($A1475&lt;Notes!$B$5,"",IF(COUNTIFS(Release_Calendar!$A$2:$A$755,"NZ_GDP",Release_Calendar!$B$2:$B$755,$A1475)&gt;0,1,0))</f>
        <v/>
      </c>
      <c r="O1475" s="16" t="str">
        <f>IF($A1475&lt;Notes!$B$5,"",IF(COUNTIFS(Release_Calendar!$A$2:$A$755,"NZ_LABOUR",Release_Calendar!$B$2:$B$755,$A1475)&gt;0,1,0))</f>
        <v/>
      </c>
      <c r="P1475" s="16">
        <f t="shared" si="4"/>
        <v>0</v>
      </c>
    </row>
    <row r="1476" ht="15.75" customHeight="1">
      <c r="A1476" s="14">
        <v>38590.0</v>
      </c>
      <c r="B1476" s="15">
        <v>4.06</v>
      </c>
      <c r="C1476" s="15"/>
      <c r="D1476" s="15">
        <v>5.99</v>
      </c>
      <c r="E1476" s="15"/>
      <c r="F1476" s="15" t="str">
        <f t="shared" si="1"/>
        <v/>
      </c>
      <c r="G1476" s="15">
        <f t="shared" si="2"/>
        <v>5.99</v>
      </c>
      <c r="H1476" s="16">
        <v>1.0</v>
      </c>
      <c r="I1476" s="15">
        <f t="shared" si="3"/>
        <v>1.93</v>
      </c>
      <c r="J1476" s="15">
        <v>13.72</v>
      </c>
      <c r="K1476" s="16">
        <f>IF(COUNTIFS(Release_Calendar!$A$2:$A$755,"US_CPI",Release_Calendar!$B$2:$B$755,$A1476)&gt;0,1,0)</f>
        <v>0</v>
      </c>
      <c r="L1476" s="16">
        <f>IF(COUNTIFS(Release_Calendar!$A$2:$A$755,"US_NFP",Release_Calendar!$B$2:$B$755,$A1476)&gt;0,1,0)</f>
        <v>0</v>
      </c>
      <c r="M1476" s="16" t="str">
        <f>IF($A1476&lt;Notes!$B$5,"",IF(COUNTIFS(Release_Calendar!$A$2:$A$755,"NZ_CPI",Release_Calendar!$B$2:$B$755,$A1476)&gt;0,1,0))</f>
        <v/>
      </c>
      <c r="N1476" s="16" t="str">
        <f>IF($A1476&lt;Notes!$B$5,"",IF(COUNTIFS(Release_Calendar!$A$2:$A$755,"NZ_GDP",Release_Calendar!$B$2:$B$755,$A1476)&gt;0,1,0))</f>
        <v/>
      </c>
      <c r="O1476" s="16" t="str">
        <f>IF($A1476&lt;Notes!$B$5,"",IF(COUNTIFS(Release_Calendar!$A$2:$A$755,"NZ_LABOUR",Release_Calendar!$B$2:$B$755,$A1476)&gt;0,1,0))</f>
        <v/>
      </c>
      <c r="P1476" s="16">
        <f t="shared" si="4"/>
        <v>0</v>
      </c>
    </row>
    <row r="1477" ht="15.75" customHeight="1">
      <c r="A1477" s="14">
        <v>38593.0</v>
      </c>
      <c r="B1477" s="15">
        <v>4.06</v>
      </c>
      <c r="C1477" s="15"/>
      <c r="D1477" s="15">
        <v>5.96</v>
      </c>
      <c r="E1477" s="15"/>
      <c r="F1477" s="15" t="str">
        <f t="shared" si="1"/>
        <v/>
      </c>
      <c r="G1477" s="15">
        <f t="shared" si="2"/>
        <v>5.96</v>
      </c>
      <c r="H1477" s="16">
        <v>1.0</v>
      </c>
      <c r="I1477" s="15">
        <f t="shared" si="3"/>
        <v>1.9</v>
      </c>
      <c r="J1477" s="15">
        <v>13.52</v>
      </c>
      <c r="K1477" s="16">
        <f>IF(COUNTIFS(Release_Calendar!$A$2:$A$755,"US_CPI",Release_Calendar!$B$2:$B$755,$A1477)&gt;0,1,0)</f>
        <v>0</v>
      </c>
      <c r="L1477" s="16">
        <f>IF(COUNTIFS(Release_Calendar!$A$2:$A$755,"US_NFP",Release_Calendar!$B$2:$B$755,$A1477)&gt;0,1,0)</f>
        <v>0</v>
      </c>
      <c r="M1477" s="16" t="str">
        <f>IF($A1477&lt;Notes!$B$5,"",IF(COUNTIFS(Release_Calendar!$A$2:$A$755,"NZ_CPI",Release_Calendar!$B$2:$B$755,$A1477)&gt;0,1,0))</f>
        <v/>
      </c>
      <c r="N1477" s="16" t="str">
        <f>IF($A1477&lt;Notes!$B$5,"",IF(COUNTIFS(Release_Calendar!$A$2:$A$755,"NZ_GDP",Release_Calendar!$B$2:$B$755,$A1477)&gt;0,1,0))</f>
        <v/>
      </c>
      <c r="O1477" s="16" t="str">
        <f>IF($A1477&lt;Notes!$B$5,"",IF(COUNTIFS(Release_Calendar!$A$2:$A$755,"NZ_LABOUR",Release_Calendar!$B$2:$B$755,$A1477)&gt;0,1,0))</f>
        <v/>
      </c>
      <c r="P1477" s="16">
        <f t="shared" si="4"/>
        <v>0</v>
      </c>
    </row>
    <row r="1478" ht="15.75" customHeight="1">
      <c r="A1478" s="14">
        <v>38594.0</v>
      </c>
      <c r="B1478" s="15">
        <v>3.97</v>
      </c>
      <c r="C1478" s="15"/>
      <c r="D1478" s="15">
        <v>5.93</v>
      </c>
      <c r="E1478" s="15"/>
      <c r="F1478" s="15" t="str">
        <f t="shared" si="1"/>
        <v/>
      </c>
      <c r="G1478" s="15">
        <f t="shared" si="2"/>
        <v>5.93</v>
      </c>
      <c r="H1478" s="16">
        <v>1.0</v>
      </c>
      <c r="I1478" s="15">
        <f t="shared" si="3"/>
        <v>1.96</v>
      </c>
      <c r="J1478" s="15">
        <v>13.65</v>
      </c>
      <c r="K1478" s="16">
        <f>IF(COUNTIFS(Release_Calendar!$A$2:$A$755,"US_CPI",Release_Calendar!$B$2:$B$755,$A1478)&gt;0,1,0)</f>
        <v>0</v>
      </c>
      <c r="L1478" s="16">
        <f>IF(COUNTIFS(Release_Calendar!$A$2:$A$755,"US_NFP",Release_Calendar!$B$2:$B$755,$A1478)&gt;0,1,0)</f>
        <v>0</v>
      </c>
      <c r="M1478" s="16" t="str">
        <f>IF($A1478&lt;Notes!$B$5,"",IF(COUNTIFS(Release_Calendar!$A$2:$A$755,"NZ_CPI",Release_Calendar!$B$2:$B$755,$A1478)&gt;0,1,0))</f>
        <v/>
      </c>
      <c r="N1478" s="16" t="str">
        <f>IF($A1478&lt;Notes!$B$5,"",IF(COUNTIFS(Release_Calendar!$A$2:$A$755,"NZ_GDP",Release_Calendar!$B$2:$B$755,$A1478)&gt;0,1,0))</f>
        <v/>
      </c>
      <c r="O1478" s="16" t="str">
        <f>IF($A1478&lt;Notes!$B$5,"",IF(COUNTIFS(Release_Calendar!$A$2:$A$755,"NZ_LABOUR",Release_Calendar!$B$2:$B$755,$A1478)&gt;0,1,0))</f>
        <v/>
      </c>
      <c r="P1478" s="16">
        <f t="shared" si="4"/>
        <v>0</v>
      </c>
    </row>
    <row r="1479" ht="15.75" customHeight="1">
      <c r="A1479" s="14">
        <v>38595.0</v>
      </c>
      <c r="B1479" s="15">
        <v>3.84</v>
      </c>
      <c r="C1479" s="15"/>
      <c r="D1479" s="15">
        <v>5.89</v>
      </c>
      <c r="E1479" s="15"/>
      <c r="F1479" s="15" t="str">
        <f t="shared" si="1"/>
        <v/>
      </c>
      <c r="G1479" s="15">
        <f t="shared" si="2"/>
        <v>5.89</v>
      </c>
      <c r="H1479" s="16">
        <v>1.0</v>
      </c>
      <c r="I1479" s="15">
        <f t="shared" si="3"/>
        <v>2.05</v>
      </c>
      <c r="J1479" s="15">
        <v>12.6</v>
      </c>
      <c r="K1479" s="16">
        <f>IF(COUNTIFS(Release_Calendar!$A$2:$A$755,"US_CPI",Release_Calendar!$B$2:$B$755,$A1479)&gt;0,1,0)</f>
        <v>0</v>
      </c>
      <c r="L1479" s="16">
        <f>IF(COUNTIFS(Release_Calendar!$A$2:$A$755,"US_NFP",Release_Calendar!$B$2:$B$755,$A1479)&gt;0,1,0)</f>
        <v>0</v>
      </c>
      <c r="M1479" s="16" t="str">
        <f>IF($A1479&lt;Notes!$B$5,"",IF(COUNTIFS(Release_Calendar!$A$2:$A$755,"NZ_CPI",Release_Calendar!$B$2:$B$755,$A1479)&gt;0,1,0))</f>
        <v/>
      </c>
      <c r="N1479" s="16" t="str">
        <f>IF($A1479&lt;Notes!$B$5,"",IF(COUNTIFS(Release_Calendar!$A$2:$A$755,"NZ_GDP",Release_Calendar!$B$2:$B$755,$A1479)&gt;0,1,0))</f>
        <v/>
      </c>
      <c r="O1479" s="16" t="str">
        <f>IF($A1479&lt;Notes!$B$5,"",IF(COUNTIFS(Release_Calendar!$A$2:$A$755,"NZ_LABOUR",Release_Calendar!$B$2:$B$755,$A1479)&gt;0,1,0))</f>
        <v/>
      </c>
      <c r="P1479" s="16">
        <f t="shared" si="4"/>
        <v>0</v>
      </c>
    </row>
    <row r="1480" ht="15.75" customHeight="1">
      <c r="A1480" s="14">
        <v>38596.0</v>
      </c>
      <c r="B1480" s="15">
        <v>3.72</v>
      </c>
      <c r="C1480" s="15"/>
      <c r="D1480" s="15">
        <v>5.86</v>
      </c>
      <c r="E1480" s="15"/>
      <c r="F1480" s="15" t="str">
        <f t="shared" si="1"/>
        <v/>
      </c>
      <c r="G1480" s="15">
        <f t="shared" si="2"/>
        <v>5.86</v>
      </c>
      <c r="H1480" s="16">
        <v>1.0</v>
      </c>
      <c r="I1480" s="15">
        <f t="shared" si="3"/>
        <v>2.14</v>
      </c>
      <c r="J1480" s="15">
        <v>13.15</v>
      </c>
      <c r="K1480" s="16">
        <f>IF(COUNTIFS(Release_Calendar!$A$2:$A$755,"US_CPI",Release_Calendar!$B$2:$B$755,$A1480)&gt;0,1,0)</f>
        <v>0</v>
      </c>
      <c r="L1480" s="16">
        <f>IF(COUNTIFS(Release_Calendar!$A$2:$A$755,"US_NFP",Release_Calendar!$B$2:$B$755,$A1480)&gt;0,1,0)</f>
        <v>0</v>
      </c>
      <c r="M1480" s="16" t="str">
        <f>IF($A1480&lt;Notes!$B$5,"",IF(COUNTIFS(Release_Calendar!$A$2:$A$755,"NZ_CPI",Release_Calendar!$B$2:$B$755,$A1480)&gt;0,1,0))</f>
        <v/>
      </c>
      <c r="N1480" s="16" t="str">
        <f>IF($A1480&lt;Notes!$B$5,"",IF(COUNTIFS(Release_Calendar!$A$2:$A$755,"NZ_GDP",Release_Calendar!$B$2:$B$755,$A1480)&gt;0,1,0))</f>
        <v/>
      </c>
      <c r="O1480" s="16" t="str">
        <f>IF($A1480&lt;Notes!$B$5,"",IF(COUNTIFS(Release_Calendar!$A$2:$A$755,"NZ_LABOUR",Release_Calendar!$B$2:$B$755,$A1480)&gt;0,1,0))</f>
        <v/>
      </c>
      <c r="P1480" s="16">
        <f t="shared" si="4"/>
        <v>0</v>
      </c>
    </row>
    <row r="1481" ht="15.75" customHeight="1">
      <c r="A1481" s="14">
        <v>38597.0</v>
      </c>
      <c r="B1481" s="15">
        <v>3.75</v>
      </c>
      <c r="C1481" s="15"/>
      <c r="D1481" s="15">
        <v>5.86</v>
      </c>
      <c r="E1481" s="15"/>
      <c r="F1481" s="15" t="str">
        <f t="shared" si="1"/>
        <v/>
      </c>
      <c r="G1481" s="15">
        <f t="shared" si="2"/>
        <v>5.86</v>
      </c>
      <c r="H1481" s="16">
        <v>1.0</v>
      </c>
      <c r="I1481" s="15">
        <f t="shared" si="3"/>
        <v>2.11</v>
      </c>
      <c r="J1481" s="15">
        <v>13.57</v>
      </c>
      <c r="K1481" s="16">
        <f>IF(COUNTIFS(Release_Calendar!$A$2:$A$755,"US_CPI",Release_Calendar!$B$2:$B$755,$A1481)&gt;0,1,0)</f>
        <v>0</v>
      </c>
      <c r="L1481" s="16">
        <f>IF(COUNTIFS(Release_Calendar!$A$2:$A$755,"US_NFP",Release_Calendar!$B$2:$B$755,$A1481)&gt;0,1,0)</f>
        <v>1</v>
      </c>
      <c r="M1481" s="16" t="str">
        <f>IF($A1481&lt;Notes!$B$5,"",IF(COUNTIFS(Release_Calendar!$A$2:$A$755,"NZ_CPI",Release_Calendar!$B$2:$B$755,$A1481)&gt;0,1,0))</f>
        <v/>
      </c>
      <c r="N1481" s="16" t="str">
        <f>IF($A1481&lt;Notes!$B$5,"",IF(COUNTIFS(Release_Calendar!$A$2:$A$755,"NZ_GDP",Release_Calendar!$B$2:$B$755,$A1481)&gt;0,1,0))</f>
        <v/>
      </c>
      <c r="O1481" s="16" t="str">
        <f>IF($A1481&lt;Notes!$B$5,"",IF(COUNTIFS(Release_Calendar!$A$2:$A$755,"NZ_LABOUR",Release_Calendar!$B$2:$B$755,$A1481)&gt;0,1,0))</f>
        <v/>
      </c>
      <c r="P1481" s="16">
        <f t="shared" si="4"/>
        <v>1</v>
      </c>
    </row>
    <row r="1482" ht="15.75" customHeight="1">
      <c r="A1482" s="14">
        <v>38600.0</v>
      </c>
      <c r="B1482" s="15"/>
      <c r="C1482" s="15"/>
      <c r="D1482" s="15">
        <v>5.85</v>
      </c>
      <c r="E1482" s="15"/>
      <c r="F1482" s="15" t="str">
        <f t="shared" si="1"/>
        <v/>
      </c>
      <c r="G1482" s="15">
        <f t="shared" si="2"/>
        <v>5.85</v>
      </c>
      <c r="H1482" s="16">
        <v>1.0</v>
      </c>
      <c r="I1482" s="15" t="str">
        <f t="shared" si="3"/>
        <v/>
      </c>
      <c r="J1482" s="15"/>
      <c r="K1482" s="16">
        <f>IF(COUNTIFS(Release_Calendar!$A$2:$A$755,"US_CPI",Release_Calendar!$B$2:$B$755,$A1482)&gt;0,1,0)</f>
        <v>0</v>
      </c>
      <c r="L1482" s="16">
        <f>IF(COUNTIFS(Release_Calendar!$A$2:$A$755,"US_NFP",Release_Calendar!$B$2:$B$755,$A1482)&gt;0,1,0)</f>
        <v>0</v>
      </c>
      <c r="M1482" s="16" t="str">
        <f>IF($A1482&lt;Notes!$B$5,"",IF(COUNTIFS(Release_Calendar!$A$2:$A$755,"NZ_CPI",Release_Calendar!$B$2:$B$755,$A1482)&gt;0,1,0))</f>
        <v/>
      </c>
      <c r="N1482" s="16" t="str">
        <f>IF($A1482&lt;Notes!$B$5,"",IF(COUNTIFS(Release_Calendar!$A$2:$A$755,"NZ_GDP",Release_Calendar!$B$2:$B$755,$A1482)&gt;0,1,0))</f>
        <v/>
      </c>
      <c r="O1482" s="16" t="str">
        <f>IF($A1482&lt;Notes!$B$5,"",IF(COUNTIFS(Release_Calendar!$A$2:$A$755,"NZ_LABOUR",Release_Calendar!$B$2:$B$755,$A1482)&gt;0,1,0))</f>
        <v/>
      </c>
      <c r="P1482" s="16">
        <f t="shared" si="4"/>
        <v>0</v>
      </c>
    </row>
    <row r="1483" ht="15.75" customHeight="1">
      <c r="A1483" s="14">
        <v>38601.0</v>
      </c>
      <c r="B1483" s="15">
        <v>3.8</v>
      </c>
      <c r="C1483" s="15"/>
      <c r="D1483" s="15">
        <v>5.85</v>
      </c>
      <c r="E1483" s="15"/>
      <c r="F1483" s="15" t="str">
        <f t="shared" si="1"/>
        <v/>
      </c>
      <c r="G1483" s="15">
        <f t="shared" si="2"/>
        <v>5.85</v>
      </c>
      <c r="H1483" s="16">
        <v>1.0</v>
      </c>
      <c r="I1483" s="15">
        <f t="shared" si="3"/>
        <v>2.05</v>
      </c>
      <c r="J1483" s="15">
        <v>12.93</v>
      </c>
      <c r="K1483" s="16">
        <f>IF(COUNTIFS(Release_Calendar!$A$2:$A$755,"US_CPI",Release_Calendar!$B$2:$B$755,$A1483)&gt;0,1,0)</f>
        <v>0</v>
      </c>
      <c r="L1483" s="16">
        <f>IF(COUNTIFS(Release_Calendar!$A$2:$A$755,"US_NFP",Release_Calendar!$B$2:$B$755,$A1483)&gt;0,1,0)</f>
        <v>0</v>
      </c>
      <c r="M1483" s="16" t="str">
        <f>IF($A1483&lt;Notes!$B$5,"",IF(COUNTIFS(Release_Calendar!$A$2:$A$755,"NZ_CPI",Release_Calendar!$B$2:$B$755,$A1483)&gt;0,1,0))</f>
        <v/>
      </c>
      <c r="N1483" s="16" t="str">
        <f>IF($A1483&lt;Notes!$B$5,"",IF(COUNTIFS(Release_Calendar!$A$2:$A$755,"NZ_GDP",Release_Calendar!$B$2:$B$755,$A1483)&gt;0,1,0))</f>
        <v/>
      </c>
      <c r="O1483" s="16" t="str">
        <f>IF($A1483&lt;Notes!$B$5,"",IF(COUNTIFS(Release_Calendar!$A$2:$A$755,"NZ_LABOUR",Release_Calendar!$B$2:$B$755,$A1483)&gt;0,1,0))</f>
        <v/>
      </c>
      <c r="P1483" s="16">
        <f t="shared" si="4"/>
        <v>0</v>
      </c>
    </row>
    <row r="1484" ht="15.75" customHeight="1">
      <c r="A1484" s="14">
        <v>38602.0</v>
      </c>
      <c r="B1484" s="15">
        <v>3.87</v>
      </c>
      <c r="C1484" s="15"/>
      <c r="D1484" s="15">
        <v>5.89</v>
      </c>
      <c r="E1484" s="15"/>
      <c r="F1484" s="15" t="str">
        <f t="shared" si="1"/>
        <v/>
      </c>
      <c r="G1484" s="15">
        <f t="shared" si="2"/>
        <v>5.89</v>
      </c>
      <c r="H1484" s="16">
        <v>1.0</v>
      </c>
      <c r="I1484" s="15">
        <f t="shared" si="3"/>
        <v>2.02</v>
      </c>
      <c r="J1484" s="15">
        <v>12.52</v>
      </c>
      <c r="K1484" s="16">
        <f>IF(COUNTIFS(Release_Calendar!$A$2:$A$755,"US_CPI",Release_Calendar!$B$2:$B$755,$A1484)&gt;0,1,0)</f>
        <v>0</v>
      </c>
      <c r="L1484" s="16">
        <f>IF(COUNTIFS(Release_Calendar!$A$2:$A$755,"US_NFP",Release_Calendar!$B$2:$B$755,$A1484)&gt;0,1,0)</f>
        <v>0</v>
      </c>
      <c r="M1484" s="16" t="str">
        <f>IF($A1484&lt;Notes!$B$5,"",IF(COUNTIFS(Release_Calendar!$A$2:$A$755,"NZ_CPI",Release_Calendar!$B$2:$B$755,$A1484)&gt;0,1,0))</f>
        <v/>
      </c>
      <c r="N1484" s="16" t="str">
        <f>IF($A1484&lt;Notes!$B$5,"",IF(COUNTIFS(Release_Calendar!$A$2:$A$755,"NZ_GDP",Release_Calendar!$B$2:$B$755,$A1484)&gt;0,1,0))</f>
        <v/>
      </c>
      <c r="O1484" s="16" t="str">
        <f>IF($A1484&lt;Notes!$B$5,"",IF(COUNTIFS(Release_Calendar!$A$2:$A$755,"NZ_LABOUR",Release_Calendar!$B$2:$B$755,$A1484)&gt;0,1,0))</f>
        <v/>
      </c>
      <c r="P1484" s="16">
        <f t="shared" si="4"/>
        <v>0</v>
      </c>
    </row>
    <row r="1485" ht="15.75" customHeight="1">
      <c r="A1485" s="14">
        <v>38603.0</v>
      </c>
      <c r="B1485" s="15">
        <v>3.87</v>
      </c>
      <c r="C1485" s="15"/>
      <c r="D1485" s="15">
        <v>5.91</v>
      </c>
      <c r="E1485" s="15"/>
      <c r="F1485" s="15" t="str">
        <f t="shared" si="1"/>
        <v/>
      </c>
      <c r="G1485" s="15">
        <f t="shared" si="2"/>
        <v>5.91</v>
      </c>
      <c r="H1485" s="16">
        <v>1.0</v>
      </c>
      <c r="I1485" s="15">
        <f t="shared" si="3"/>
        <v>2.04</v>
      </c>
      <c r="J1485" s="15">
        <v>12.93</v>
      </c>
      <c r="K1485" s="16">
        <f>IF(COUNTIFS(Release_Calendar!$A$2:$A$755,"US_CPI",Release_Calendar!$B$2:$B$755,$A1485)&gt;0,1,0)</f>
        <v>0</v>
      </c>
      <c r="L1485" s="16">
        <f>IF(COUNTIFS(Release_Calendar!$A$2:$A$755,"US_NFP",Release_Calendar!$B$2:$B$755,$A1485)&gt;0,1,0)</f>
        <v>0</v>
      </c>
      <c r="M1485" s="16" t="str">
        <f>IF($A1485&lt;Notes!$B$5,"",IF(COUNTIFS(Release_Calendar!$A$2:$A$755,"NZ_CPI",Release_Calendar!$B$2:$B$755,$A1485)&gt;0,1,0))</f>
        <v/>
      </c>
      <c r="N1485" s="16" t="str">
        <f>IF($A1485&lt;Notes!$B$5,"",IF(COUNTIFS(Release_Calendar!$A$2:$A$755,"NZ_GDP",Release_Calendar!$B$2:$B$755,$A1485)&gt;0,1,0))</f>
        <v/>
      </c>
      <c r="O1485" s="16" t="str">
        <f>IF($A1485&lt;Notes!$B$5,"",IF(COUNTIFS(Release_Calendar!$A$2:$A$755,"NZ_LABOUR",Release_Calendar!$B$2:$B$755,$A1485)&gt;0,1,0))</f>
        <v/>
      </c>
      <c r="P1485" s="16">
        <f t="shared" si="4"/>
        <v>0</v>
      </c>
    </row>
    <row r="1486" ht="15.75" customHeight="1">
      <c r="A1486" s="14">
        <v>38604.0</v>
      </c>
      <c r="B1486" s="15">
        <v>3.88</v>
      </c>
      <c r="C1486" s="15"/>
      <c r="D1486" s="15">
        <v>5.92</v>
      </c>
      <c r="E1486" s="15"/>
      <c r="F1486" s="15" t="str">
        <f t="shared" si="1"/>
        <v/>
      </c>
      <c r="G1486" s="15">
        <f t="shared" si="2"/>
        <v>5.92</v>
      </c>
      <c r="H1486" s="16">
        <v>1.0</v>
      </c>
      <c r="I1486" s="15">
        <f t="shared" si="3"/>
        <v>2.04</v>
      </c>
      <c r="J1486" s="15">
        <v>11.98</v>
      </c>
      <c r="K1486" s="16">
        <f>IF(COUNTIFS(Release_Calendar!$A$2:$A$755,"US_CPI",Release_Calendar!$B$2:$B$755,$A1486)&gt;0,1,0)</f>
        <v>0</v>
      </c>
      <c r="L1486" s="16">
        <f>IF(COUNTIFS(Release_Calendar!$A$2:$A$755,"US_NFP",Release_Calendar!$B$2:$B$755,$A1486)&gt;0,1,0)</f>
        <v>0</v>
      </c>
      <c r="M1486" s="16" t="str">
        <f>IF($A1486&lt;Notes!$B$5,"",IF(COUNTIFS(Release_Calendar!$A$2:$A$755,"NZ_CPI",Release_Calendar!$B$2:$B$755,$A1486)&gt;0,1,0))</f>
        <v/>
      </c>
      <c r="N1486" s="16" t="str">
        <f>IF($A1486&lt;Notes!$B$5,"",IF(COUNTIFS(Release_Calendar!$A$2:$A$755,"NZ_GDP",Release_Calendar!$B$2:$B$755,$A1486)&gt;0,1,0))</f>
        <v/>
      </c>
      <c r="O1486" s="16" t="str">
        <f>IF($A1486&lt;Notes!$B$5,"",IF(COUNTIFS(Release_Calendar!$A$2:$A$755,"NZ_LABOUR",Release_Calendar!$B$2:$B$755,$A1486)&gt;0,1,0))</f>
        <v/>
      </c>
      <c r="P1486" s="16">
        <f t="shared" si="4"/>
        <v>0</v>
      </c>
    </row>
    <row r="1487" ht="15.75" customHeight="1">
      <c r="A1487" s="14">
        <v>38607.0</v>
      </c>
      <c r="B1487" s="15">
        <v>3.92</v>
      </c>
      <c r="C1487" s="15"/>
      <c r="D1487" s="15">
        <v>5.91</v>
      </c>
      <c r="E1487" s="15"/>
      <c r="F1487" s="15" t="str">
        <f t="shared" si="1"/>
        <v/>
      </c>
      <c r="G1487" s="15">
        <f t="shared" si="2"/>
        <v>5.91</v>
      </c>
      <c r="H1487" s="16">
        <v>1.0</v>
      </c>
      <c r="I1487" s="15">
        <f t="shared" si="3"/>
        <v>1.99</v>
      </c>
      <c r="J1487" s="15">
        <v>11.65</v>
      </c>
      <c r="K1487" s="16">
        <f>IF(COUNTIFS(Release_Calendar!$A$2:$A$755,"US_CPI",Release_Calendar!$B$2:$B$755,$A1487)&gt;0,1,0)</f>
        <v>0</v>
      </c>
      <c r="L1487" s="16">
        <f>IF(COUNTIFS(Release_Calendar!$A$2:$A$755,"US_NFP",Release_Calendar!$B$2:$B$755,$A1487)&gt;0,1,0)</f>
        <v>0</v>
      </c>
      <c r="M1487" s="16" t="str">
        <f>IF($A1487&lt;Notes!$B$5,"",IF(COUNTIFS(Release_Calendar!$A$2:$A$755,"NZ_CPI",Release_Calendar!$B$2:$B$755,$A1487)&gt;0,1,0))</f>
        <v/>
      </c>
      <c r="N1487" s="16" t="str">
        <f>IF($A1487&lt;Notes!$B$5,"",IF(COUNTIFS(Release_Calendar!$A$2:$A$755,"NZ_GDP",Release_Calendar!$B$2:$B$755,$A1487)&gt;0,1,0))</f>
        <v/>
      </c>
      <c r="O1487" s="16" t="str">
        <f>IF($A1487&lt;Notes!$B$5,"",IF(COUNTIFS(Release_Calendar!$A$2:$A$755,"NZ_LABOUR",Release_Calendar!$B$2:$B$755,$A1487)&gt;0,1,0))</f>
        <v/>
      </c>
      <c r="P1487" s="16">
        <f t="shared" si="4"/>
        <v>0</v>
      </c>
    </row>
    <row r="1488" ht="15.75" customHeight="1">
      <c r="A1488" s="14">
        <v>38608.0</v>
      </c>
      <c r="B1488" s="15">
        <v>3.88</v>
      </c>
      <c r="C1488" s="15"/>
      <c r="D1488" s="15">
        <v>5.93</v>
      </c>
      <c r="E1488" s="15"/>
      <c r="F1488" s="15" t="str">
        <f t="shared" si="1"/>
        <v/>
      </c>
      <c r="G1488" s="15">
        <f t="shared" si="2"/>
        <v>5.93</v>
      </c>
      <c r="H1488" s="16">
        <v>1.0</v>
      </c>
      <c r="I1488" s="15">
        <f t="shared" si="3"/>
        <v>2.05</v>
      </c>
      <c r="J1488" s="15">
        <v>12.39</v>
      </c>
      <c r="K1488" s="16">
        <f>IF(COUNTIFS(Release_Calendar!$A$2:$A$755,"US_CPI",Release_Calendar!$B$2:$B$755,$A1488)&gt;0,1,0)</f>
        <v>0</v>
      </c>
      <c r="L1488" s="16">
        <f>IF(COUNTIFS(Release_Calendar!$A$2:$A$755,"US_NFP",Release_Calendar!$B$2:$B$755,$A1488)&gt;0,1,0)</f>
        <v>0</v>
      </c>
      <c r="M1488" s="16" t="str">
        <f>IF($A1488&lt;Notes!$B$5,"",IF(COUNTIFS(Release_Calendar!$A$2:$A$755,"NZ_CPI",Release_Calendar!$B$2:$B$755,$A1488)&gt;0,1,0))</f>
        <v/>
      </c>
      <c r="N1488" s="16" t="str">
        <f>IF($A1488&lt;Notes!$B$5,"",IF(COUNTIFS(Release_Calendar!$A$2:$A$755,"NZ_GDP",Release_Calendar!$B$2:$B$755,$A1488)&gt;0,1,0))</f>
        <v/>
      </c>
      <c r="O1488" s="16" t="str">
        <f>IF($A1488&lt;Notes!$B$5,"",IF(COUNTIFS(Release_Calendar!$A$2:$A$755,"NZ_LABOUR",Release_Calendar!$B$2:$B$755,$A1488)&gt;0,1,0))</f>
        <v/>
      </c>
      <c r="P1488" s="16">
        <f t="shared" si="4"/>
        <v>0</v>
      </c>
    </row>
    <row r="1489" ht="15.75" customHeight="1">
      <c r="A1489" s="14">
        <v>38609.0</v>
      </c>
      <c r="B1489" s="15">
        <v>3.9</v>
      </c>
      <c r="C1489" s="15"/>
      <c r="D1489" s="15">
        <v>5.93</v>
      </c>
      <c r="E1489" s="15"/>
      <c r="F1489" s="15" t="str">
        <f t="shared" si="1"/>
        <v/>
      </c>
      <c r="G1489" s="15">
        <f t="shared" si="2"/>
        <v>5.93</v>
      </c>
      <c r="H1489" s="16">
        <v>1.0</v>
      </c>
      <c r="I1489" s="15">
        <f t="shared" si="3"/>
        <v>2.03</v>
      </c>
      <c r="J1489" s="15">
        <v>12.91</v>
      </c>
      <c r="K1489" s="16">
        <f>IF(COUNTIFS(Release_Calendar!$A$2:$A$755,"US_CPI",Release_Calendar!$B$2:$B$755,$A1489)&gt;0,1,0)</f>
        <v>0</v>
      </c>
      <c r="L1489" s="16">
        <f>IF(COUNTIFS(Release_Calendar!$A$2:$A$755,"US_NFP",Release_Calendar!$B$2:$B$755,$A1489)&gt;0,1,0)</f>
        <v>0</v>
      </c>
      <c r="M1489" s="16" t="str">
        <f>IF($A1489&lt;Notes!$B$5,"",IF(COUNTIFS(Release_Calendar!$A$2:$A$755,"NZ_CPI",Release_Calendar!$B$2:$B$755,$A1489)&gt;0,1,0))</f>
        <v/>
      </c>
      <c r="N1489" s="16" t="str">
        <f>IF($A1489&lt;Notes!$B$5,"",IF(COUNTIFS(Release_Calendar!$A$2:$A$755,"NZ_GDP",Release_Calendar!$B$2:$B$755,$A1489)&gt;0,1,0))</f>
        <v/>
      </c>
      <c r="O1489" s="16" t="str">
        <f>IF($A1489&lt;Notes!$B$5,"",IF(COUNTIFS(Release_Calendar!$A$2:$A$755,"NZ_LABOUR",Release_Calendar!$B$2:$B$755,$A1489)&gt;0,1,0))</f>
        <v/>
      </c>
      <c r="P1489" s="16">
        <f t="shared" si="4"/>
        <v>0</v>
      </c>
    </row>
    <row r="1490" ht="15.75" customHeight="1">
      <c r="A1490" s="14">
        <v>38610.0</v>
      </c>
      <c r="B1490" s="15">
        <v>3.9</v>
      </c>
      <c r="C1490" s="15"/>
      <c r="D1490" s="15">
        <v>5.98</v>
      </c>
      <c r="E1490" s="15"/>
      <c r="F1490" s="15" t="str">
        <f t="shared" si="1"/>
        <v/>
      </c>
      <c r="G1490" s="15">
        <f t="shared" si="2"/>
        <v>5.98</v>
      </c>
      <c r="H1490" s="16">
        <v>1.0</v>
      </c>
      <c r="I1490" s="15">
        <f t="shared" si="3"/>
        <v>2.08</v>
      </c>
      <c r="J1490" s="15">
        <v>12.49</v>
      </c>
      <c r="K1490" s="16">
        <f>IF(COUNTIFS(Release_Calendar!$A$2:$A$755,"US_CPI",Release_Calendar!$B$2:$B$755,$A1490)&gt;0,1,0)</f>
        <v>1</v>
      </c>
      <c r="L1490" s="16">
        <f>IF(COUNTIFS(Release_Calendar!$A$2:$A$755,"US_NFP",Release_Calendar!$B$2:$B$755,$A1490)&gt;0,1,0)</f>
        <v>0</v>
      </c>
      <c r="M1490" s="16" t="str">
        <f>IF($A1490&lt;Notes!$B$5,"",IF(COUNTIFS(Release_Calendar!$A$2:$A$755,"NZ_CPI",Release_Calendar!$B$2:$B$755,$A1490)&gt;0,1,0))</f>
        <v/>
      </c>
      <c r="N1490" s="16" t="str">
        <f>IF($A1490&lt;Notes!$B$5,"",IF(COUNTIFS(Release_Calendar!$A$2:$A$755,"NZ_GDP",Release_Calendar!$B$2:$B$755,$A1490)&gt;0,1,0))</f>
        <v/>
      </c>
      <c r="O1490" s="16" t="str">
        <f>IF($A1490&lt;Notes!$B$5,"",IF(COUNTIFS(Release_Calendar!$A$2:$A$755,"NZ_LABOUR",Release_Calendar!$B$2:$B$755,$A1490)&gt;0,1,0))</f>
        <v/>
      </c>
      <c r="P1490" s="16">
        <f t="shared" si="4"/>
        <v>1</v>
      </c>
    </row>
    <row r="1491" ht="15.75" customHeight="1">
      <c r="A1491" s="14">
        <v>38611.0</v>
      </c>
      <c r="B1491" s="15">
        <v>3.97</v>
      </c>
      <c r="C1491" s="15"/>
      <c r="D1491" s="15">
        <v>6.0</v>
      </c>
      <c r="E1491" s="15"/>
      <c r="F1491" s="15" t="str">
        <f t="shared" si="1"/>
        <v/>
      </c>
      <c r="G1491" s="15">
        <f t="shared" si="2"/>
        <v>6</v>
      </c>
      <c r="H1491" s="16">
        <v>1.0</v>
      </c>
      <c r="I1491" s="15">
        <f t="shared" si="3"/>
        <v>2.03</v>
      </c>
      <c r="J1491" s="15">
        <v>11.22</v>
      </c>
      <c r="K1491" s="16">
        <f>IF(COUNTIFS(Release_Calendar!$A$2:$A$755,"US_CPI",Release_Calendar!$B$2:$B$755,$A1491)&gt;0,1,0)</f>
        <v>0</v>
      </c>
      <c r="L1491" s="16">
        <f>IF(COUNTIFS(Release_Calendar!$A$2:$A$755,"US_NFP",Release_Calendar!$B$2:$B$755,$A1491)&gt;0,1,0)</f>
        <v>0</v>
      </c>
      <c r="M1491" s="16" t="str">
        <f>IF($A1491&lt;Notes!$B$5,"",IF(COUNTIFS(Release_Calendar!$A$2:$A$755,"NZ_CPI",Release_Calendar!$B$2:$B$755,$A1491)&gt;0,1,0))</f>
        <v/>
      </c>
      <c r="N1491" s="16" t="str">
        <f>IF($A1491&lt;Notes!$B$5,"",IF(COUNTIFS(Release_Calendar!$A$2:$A$755,"NZ_GDP",Release_Calendar!$B$2:$B$755,$A1491)&gt;0,1,0))</f>
        <v/>
      </c>
      <c r="O1491" s="16" t="str">
        <f>IF($A1491&lt;Notes!$B$5,"",IF(COUNTIFS(Release_Calendar!$A$2:$A$755,"NZ_LABOUR",Release_Calendar!$B$2:$B$755,$A1491)&gt;0,1,0))</f>
        <v/>
      </c>
      <c r="P1491" s="16">
        <f t="shared" si="4"/>
        <v>0</v>
      </c>
    </row>
    <row r="1492" ht="15.75" customHeight="1">
      <c r="A1492" s="14">
        <v>38614.0</v>
      </c>
      <c r="B1492" s="15">
        <v>3.93</v>
      </c>
      <c r="C1492" s="15"/>
      <c r="D1492" s="15">
        <v>6.04</v>
      </c>
      <c r="E1492" s="15"/>
      <c r="F1492" s="15" t="str">
        <f t="shared" si="1"/>
        <v/>
      </c>
      <c r="G1492" s="15">
        <f t="shared" si="2"/>
        <v>6.04</v>
      </c>
      <c r="H1492" s="16">
        <v>1.0</v>
      </c>
      <c r="I1492" s="15">
        <f t="shared" si="3"/>
        <v>2.11</v>
      </c>
      <c r="J1492" s="15">
        <v>12.14</v>
      </c>
      <c r="K1492" s="16">
        <f>IF(COUNTIFS(Release_Calendar!$A$2:$A$755,"US_CPI",Release_Calendar!$B$2:$B$755,$A1492)&gt;0,1,0)</f>
        <v>0</v>
      </c>
      <c r="L1492" s="16">
        <f>IF(COUNTIFS(Release_Calendar!$A$2:$A$755,"US_NFP",Release_Calendar!$B$2:$B$755,$A1492)&gt;0,1,0)</f>
        <v>0</v>
      </c>
      <c r="M1492" s="16" t="str">
        <f>IF($A1492&lt;Notes!$B$5,"",IF(COUNTIFS(Release_Calendar!$A$2:$A$755,"NZ_CPI",Release_Calendar!$B$2:$B$755,$A1492)&gt;0,1,0))</f>
        <v/>
      </c>
      <c r="N1492" s="16" t="str">
        <f>IF($A1492&lt;Notes!$B$5,"",IF(COUNTIFS(Release_Calendar!$A$2:$A$755,"NZ_GDP",Release_Calendar!$B$2:$B$755,$A1492)&gt;0,1,0))</f>
        <v/>
      </c>
      <c r="O1492" s="16" t="str">
        <f>IF($A1492&lt;Notes!$B$5,"",IF(COUNTIFS(Release_Calendar!$A$2:$A$755,"NZ_LABOUR",Release_Calendar!$B$2:$B$755,$A1492)&gt;0,1,0))</f>
        <v/>
      </c>
      <c r="P1492" s="16">
        <f t="shared" si="4"/>
        <v>0</v>
      </c>
    </row>
    <row r="1493" ht="15.75" customHeight="1">
      <c r="A1493" s="14">
        <v>38615.0</v>
      </c>
      <c r="B1493" s="15">
        <v>4.0</v>
      </c>
      <c r="C1493" s="15"/>
      <c r="D1493" s="15">
        <v>5.99</v>
      </c>
      <c r="E1493" s="15"/>
      <c r="F1493" s="15" t="str">
        <f t="shared" si="1"/>
        <v/>
      </c>
      <c r="G1493" s="15">
        <f t="shared" si="2"/>
        <v>5.99</v>
      </c>
      <c r="H1493" s="16">
        <v>1.0</v>
      </c>
      <c r="I1493" s="15">
        <f t="shared" si="3"/>
        <v>1.99</v>
      </c>
      <c r="J1493" s="15">
        <v>12.64</v>
      </c>
      <c r="K1493" s="16">
        <f>IF(COUNTIFS(Release_Calendar!$A$2:$A$755,"US_CPI",Release_Calendar!$B$2:$B$755,$A1493)&gt;0,1,0)</f>
        <v>0</v>
      </c>
      <c r="L1493" s="16">
        <f>IF(COUNTIFS(Release_Calendar!$A$2:$A$755,"US_NFP",Release_Calendar!$B$2:$B$755,$A1493)&gt;0,1,0)</f>
        <v>0</v>
      </c>
      <c r="M1493" s="16" t="str">
        <f>IF($A1493&lt;Notes!$B$5,"",IF(COUNTIFS(Release_Calendar!$A$2:$A$755,"NZ_CPI",Release_Calendar!$B$2:$B$755,$A1493)&gt;0,1,0))</f>
        <v/>
      </c>
      <c r="N1493" s="16" t="str">
        <f>IF($A1493&lt;Notes!$B$5,"",IF(COUNTIFS(Release_Calendar!$A$2:$A$755,"NZ_GDP",Release_Calendar!$B$2:$B$755,$A1493)&gt;0,1,0))</f>
        <v/>
      </c>
      <c r="O1493" s="16" t="str">
        <f>IF($A1493&lt;Notes!$B$5,"",IF(COUNTIFS(Release_Calendar!$A$2:$A$755,"NZ_LABOUR",Release_Calendar!$B$2:$B$755,$A1493)&gt;0,1,0))</f>
        <v/>
      </c>
      <c r="P1493" s="16">
        <f t="shared" si="4"/>
        <v>0</v>
      </c>
    </row>
    <row r="1494" ht="15.75" customHeight="1">
      <c r="A1494" s="14">
        <v>38616.0</v>
      </c>
      <c r="B1494" s="15">
        <v>3.96</v>
      </c>
      <c r="C1494" s="15"/>
      <c r="D1494" s="15">
        <v>6.01</v>
      </c>
      <c r="E1494" s="15"/>
      <c r="F1494" s="15" t="str">
        <f t="shared" si="1"/>
        <v/>
      </c>
      <c r="G1494" s="15">
        <f t="shared" si="2"/>
        <v>6.01</v>
      </c>
      <c r="H1494" s="16">
        <v>1.0</v>
      </c>
      <c r="I1494" s="15">
        <f t="shared" si="3"/>
        <v>2.05</v>
      </c>
      <c r="J1494" s="15">
        <v>13.79</v>
      </c>
      <c r="K1494" s="16">
        <f>IF(COUNTIFS(Release_Calendar!$A$2:$A$755,"US_CPI",Release_Calendar!$B$2:$B$755,$A1494)&gt;0,1,0)</f>
        <v>0</v>
      </c>
      <c r="L1494" s="16">
        <f>IF(COUNTIFS(Release_Calendar!$A$2:$A$755,"US_NFP",Release_Calendar!$B$2:$B$755,$A1494)&gt;0,1,0)</f>
        <v>0</v>
      </c>
      <c r="M1494" s="16" t="str">
        <f>IF($A1494&lt;Notes!$B$5,"",IF(COUNTIFS(Release_Calendar!$A$2:$A$755,"NZ_CPI",Release_Calendar!$B$2:$B$755,$A1494)&gt;0,1,0))</f>
        <v/>
      </c>
      <c r="N1494" s="16" t="str">
        <f>IF($A1494&lt;Notes!$B$5,"",IF(COUNTIFS(Release_Calendar!$A$2:$A$755,"NZ_GDP",Release_Calendar!$B$2:$B$755,$A1494)&gt;0,1,0))</f>
        <v/>
      </c>
      <c r="O1494" s="16" t="str">
        <f>IF($A1494&lt;Notes!$B$5,"",IF(COUNTIFS(Release_Calendar!$A$2:$A$755,"NZ_LABOUR",Release_Calendar!$B$2:$B$755,$A1494)&gt;0,1,0))</f>
        <v/>
      </c>
      <c r="P1494" s="16">
        <f t="shared" si="4"/>
        <v>0</v>
      </c>
    </row>
    <row r="1495" ht="15.75" customHeight="1">
      <c r="A1495" s="14">
        <v>38617.0</v>
      </c>
      <c r="B1495" s="15">
        <v>3.95</v>
      </c>
      <c r="C1495" s="15"/>
      <c r="D1495" s="15">
        <v>5.96</v>
      </c>
      <c r="E1495" s="15"/>
      <c r="F1495" s="15" t="str">
        <f t="shared" si="1"/>
        <v/>
      </c>
      <c r="G1495" s="15">
        <f t="shared" si="2"/>
        <v>5.96</v>
      </c>
      <c r="H1495" s="16">
        <v>1.0</v>
      </c>
      <c r="I1495" s="15">
        <f t="shared" si="3"/>
        <v>2.01</v>
      </c>
      <c r="J1495" s="15">
        <v>13.33</v>
      </c>
      <c r="K1495" s="16">
        <f>IF(COUNTIFS(Release_Calendar!$A$2:$A$755,"US_CPI",Release_Calendar!$B$2:$B$755,$A1495)&gt;0,1,0)</f>
        <v>0</v>
      </c>
      <c r="L1495" s="16">
        <f>IF(COUNTIFS(Release_Calendar!$A$2:$A$755,"US_NFP",Release_Calendar!$B$2:$B$755,$A1495)&gt;0,1,0)</f>
        <v>0</v>
      </c>
      <c r="M1495" s="16" t="str">
        <f>IF($A1495&lt;Notes!$B$5,"",IF(COUNTIFS(Release_Calendar!$A$2:$A$755,"NZ_CPI",Release_Calendar!$B$2:$B$755,$A1495)&gt;0,1,0))</f>
        <v/>
      </c>
      <c r="N1495" s="16" t="str">
        <f>IF($A1495&lt;Notes!$B$5,"",IF(COUNTIFS(Release_Calendar!$A$2:$A$755,"NZ_GDP",Release_Calendar!$B$2:$B$755,$A1495)&gt;0,1,0))</f>
        <v/>
      </c>
      <c r="O1495" s="16" t="str">
        <f>IF($A1495&lt;Notes!$B$5,"",IF(COUNTIFS(Release_Calendar!$A$2:$A$755,"NZ_LABOUR",Release_Calendar!$B$2:$B$755,$A1495)&gt;0,1,0))</f>
        <v/>
      </c>
      <c r="P1495" s="16">
        <f t="shared" si="4"/>
        <v>0</v>
      </c>
    </row>
    <row r="1496" ht="15.75" customHeight="1">
      <c r="A1496" s="14">
        <v>38618.0</v>
      </c>
      <c r="B1496" s="15">
        <v>4.02</v>
      </c>
      <c r="C1496" s="15"/>
      <c r="D1496" s="15">
        <v>5.96</v>
      </c>
      <c r="E1496" s="15"/>
      <c r="F1496" s="15" t="str">
        <f t="shared" si="1"/>
        <v/>
      </c>
      <c r="G1496" s="15">
        <f t="shared" si="2"/>
        <v>5.96</v>
      </c>
      <c r="H1496" s="16">
        <v>1.0</v>
      </c>
      <c r="I1496" s="15">
        <f t="shared" si="3"/>
        <v>1.94</v>
      </c>
      <c r="J1496" s="15">
        <v>12.96</v>
      </c>
      <c r="K1496" s="16">
        <f>IF(COUNTIFS(Release_Calendar!$A$2:$A$755,"US_CPI",Release_Calendar!$B$2:$B$755,$A1496)&gt;0,1,0)</f>
        <v>0</v>
      </c>
      <c r="L1496" s="16">
        <f>IF(COUNTIFS(Release_Calendar!$A$2:$A$755,"US_NFP",Release_Calendar!$B$2:$B$755,$A1496)&gt;0,1,0)</f>
        <v>0</v>
      </c>
      <c r="M1496" s="16" t="str">
        <f>IF($A1496&lt;Notes!$B$5,"",IF(COUNTIFS(Release_Calendar!$A$2:$A$755,"NZ_CPI",Release_Calendar!$B$2:$B$755,$A1496)&gt;0,1,0))</f>
        <v/>
      </c>
      <c r="N1496" s="16" t="str">
        <f>IF($A1496&lt;Notes!$B$5,"",IF(COUNTIFS(Release_Calendar!$A$2:$A$755,"NZ_GDP",Release_Calendar!$B$2:$B$755,$A1496)&gt;0,1,0))</f>
        <v/>
      </c>
      <c r="O1496" s="16" t="str">
        <f>IF($A1496&lt;Notes!$B$5,"",IF(COUNTIFS(Release_Calendar!$A$2:$A$755,"NZ_LABOUR",Release_Calendar!$B$2:$B$755,$A1496)&gt;0,1,0))</f>
        <v/>
      </c>
      <c r="P1496" s="16">
        <f t="shared" si="4"/>
        <v>0</v>
      </c>
    </row>
    <row r="1497" ht="15.75" customHeight="1">
      <c r="A1497" s="14">
        <v>38621.0</v>
      </c>
      <c r="B1497" s="15">
        <v>4.07</v>
      </c>
      <c r="C1497" s="15"/>
      <c r="D1497" s="15">
        <v>6.01</v>
      </c>
      <c r="E1497" s="15"/>
      <c r="F1497" s="15" t="str">
        <f t="shared" si="1"/>
        <v/>
      </c>
      <c r="G1497" s="15">
        <f t="shared" si="2"/>
        <v>6.01</v>
      </c>
      <c r="H1497" s="16">
        <v>1.0</v>
      </c>
      <c r="I1497" s="15">
        <f t="shared" si="3"/>
        <v>1.94</v>
      </c>
      <c r="J1497" s="15">
        <v>13.04</v>
      </c>
      <c r="K1497" s="16">
        <f>IF(COUNTIFS(Release_Calendar!$A$2:$A$755,"US_CPI",Release_Calendar!$B$2:$B$755,$A1497)&gt;0,1,0)</f>
        <v>0</v>
      </c>
      <c r="L1497" s="16">
        <f>IF(COUNTIFS(Release_Calendar!$A$2:$A$755,"US_NFP",Release_Calendar!$B$2:$B$755,$A1497)&gt;0,1,0)</f>
        <v>0</v>
      </c>
      <c r="M1497" s="16" t="str">
        <f>IF($A1497&lt;Notes!$B$5,"",IF(COUNTIFS(Release_Calendar!$A$2:$A$755,"NZ_CPI",Release_Calendar!$B$2:$B$755,$A1497)&gt;0,1,0))</f>
        <v/>
      </c>
      <c r="N1497" s="16" t="str">
        <f>IF($A1497&lt;Notes!$B$5,"",IF(COUNTIFS(Release_Calendar!$A$2:$A$755,"NZ_GDP",Release_Calendar!$B$2:$B$755,$A1497)&gt;0,1,0))</f>
        <v/>
      </c>
      <c r="O1497" s="16" t="str">
        <f>IF($A1497&lt;Notes!$B$5,"",IF(COUNTIFS(Release_Calendar!$A$2:$A$755,"NZ_LABOUR",Release_Calendar!$B$2:$B$755,$A1497)&gt;0,1,0))</f>
        <v/>
      </c>
      <c r="P1497" s="16">
        <f t="shared" si="4"/>
        <v>0</v>
      </c>
    </row>
    <row r="1498" ht="15.75" customHeight="1">
      <c r="A1498" s="14">
        <v>38622.0</v>
      </c>
      <c r="B1498" s="15">
        <v>4.08</v>
      </c>
      <c r="C1498" s="15"/>
      <c r="D1498" s="15">
        <v>6.02</v>
      </c>
      <c r="E1498" s="15"/>
      <c r="F1498" s="15" t="str">
        <f t="shared" si="1"/>
        <v/>
      </c>
      <c r="G1498" s="15">
        <f t="shared" si="2"/>
        <v>6.02</v>
      </c>
      <c r="H1498" s="16">
        <v>1.0</v>
      </c>
      <c r="I1498" s="15">
        <f t="shared" si="3"/>
        <v>1.94</v>
      </c>
      <c r="J1498" s="15">
        <v>12.76</v>
      </c>
      <c r="K1498" s="16">
        <f>IF(COUNTIFS(Release_Calendar!$A$2:$A$755,"US_CPI",Release_Calendar!$B$2:$B$755,$A1498)&gt;0,1,0)</f>
        <v>0</v>
      </c>
      <c r="L1498" s="16">
        <f>IF(COUNTIFS(Release_Calendar!$A$2:$A$755,"US_NFP",Release_Calendar!$B$2:$B$755,$A1498)&gt;0,1,0)</f>
        <v>0</v>
      </c>
      <c r="M1498" s="16" t="str">
        <f>IF($A1498&lt;Notes!$B$5,"",IF(COUNTIFS(Release_Calendar!$A$2:$A$755,"NZ_CPI",Release_Calendar!$B$2:$B$755,$A1498)&gt;0,1,0))</f>
        <v/>
      </c>
      <c r="N1498" s="16" t="str">
        <f>IF($A1498&lt;Notes!$B$5,"",IF(COUNTIFS(Release_Calendar!$A$2:$A$755,"NZ_GDP",Release_Calendar!$B$2:$B$755,$A1498)&gt;0,1,0))</f>
        <v/>
      </c>
      <c r="O1498" s="16" t="str">
        <f>IF($A1498&lt;Notes!$B$5,"",IF(COUNTIFS(Release_Calendar!$A$2:$A$755,"NZ_LABOUR",Release_Calendar!$B$2:$B$755,$A1498)&gt;0,1,0))</f>
        <v/>
      </c>
      <c r="P1498" s="16">
        <f t="shared" si="4"/>
        <v>0</v>
      </c>
    </row>
    <row r="1499" ht="15.75" customHeight="1">
      <c r="A1499" s="14">
        <v>38623.0</v>
      </c>
      <c r="B1499" s="15">
        <v>4.09</v>
      </c>
      <c r="C1499" s="15"/>
      <c r="D1499" s="15">
        <v>6.01</v>
      </c>
      <c r="E1499" s="15"/>
      <c r="F1499" s="15" t="str">
        <f t="shared" si="1"/>
        <v/>
      </c>
      <c r="G1499" s="15">
        <f t="shared" si="2"/>
        <v>6.01</v>
      </c>
      <c r="H1499" s="16">
        <v>1.0</v>
      </c>
      <c r="I1499" s="15">
        <f t="shared" si="3"/>
        <v>1.92</v>
      </c>
      <c r="J1499" s="15">
        <v>12.63</v>
      </c>
      <c r="K1499" s="16">
        <f>IF(COUNTIFS(Release_Calendar!$A$2:$A$755,"US_CPI",Release_Calendar!$B$2:$B$755,$A1499)&gt;0,1,0)</f>
        <v>0</v>
      </c>
      <c r="L1499" s="16">
        <f>IF(COUNTIFS(Release_Calendar!$A$2:$A$755,"US_NFP",Release_Calendar!$B$2:$B$755,$A1499)&gt;0,1,0)</f>
        <v>0</v>
      </c>
      <c r="M1499" s="16" t="str">
        <f>IF($A1499&lt;Notes!$B$5,"",IF(COUNTIFS(Release_Calendar!$A$2:$A$755,"NZ_CPI",Release_Calendar!$B$2:$B$755,$A1499)&gt;0,1,0))</f>
        <v/>
      </c>
      <c r="N1499" s="16" t="str">
        <f>IF($A1499&lt;Notes!$B$5,"",IF(COUNTIFS(Release_Calendar!$A$2:$A$755,"NZ_GDP",Release_Calendar!$B$2:$B$755,$A1499)&gt;0,1,0))</f>
        <v/>
      </c>
      <c r="O1499" s="16" t="str">
        <f>IF($A1499&lt;Notes!$B$5,"",IF(COUNTIFS(Release_Calendar!$A$2:$A$755,"NZ_LABOUR",Release_Calendar!$B$2:$B$755,$A1499)&gt;0,1,0))</f>
        <v/>
      </c>
      <c r="P1499" s="16">
        <f t="shared" si="4"/>
        <v>0</v>
      </c>
    </row>
    <row r="1500" ht="15.75" customHeight="1">
      <c r="A1500" s="14">
        <v>38624.0</v>
      </c>
      <c r="B1500" s="15">
        <v>4.13</v>
      </c>
      <c r="C1500" s="15"/>
      <c r="D1500" s="15">
        <v>6.05</v>
      </c>
      <c r="E1500" s="15"/>
      <c r="F1500" s="15" t="str">
        <f t="shared" si="1"/>
        <v/>
      </c>
      <c r="G1500" s="15">
        <f t="shared" si="2"/>
        <v>6.05</v>
      </c>
      <c r="H1500" s="16">
        <v>1.0</v>
      </c>
      <c r="I1500" s="15">
        <f t="shared" si="3"/>
        <v>1.92</v>
      </c>
      <c r="J1500" s="15">
        <v>12.24</v>
      </c>
      <c r="K1500" s="16">
        <f>IF(COUNTIFS(Release_Calendar!$A$2:$A$755,"US_CPI",Release_Calendar!$B$2:$B$755,$A1500)&gt;0,1,0)</f>
        <v>0</v>
      </c>
      <c r="L1500" s="16">
        <f>IF(COUNTIFS(Release_Calendar!$A$2:$A$755,"US_NFP",Release_Calendar!$B$2:$B$755,$A1500)&gt;0,1,0)</f>
        <v>0</v>
      </c>
      <c r="M1500" s="16" t="str">
        <f>IF($A1500&lt;Notes!$B$5,"",IF(COUNTIFS(Release_Calendar!$A$2:$A$755,"NZ_CPI",Release_Calendar!$B$2:$B$755,$A1500)&gt;0,1,0))</f>
        <v/>
      </c>
      <c r="N1500" s="16" t="str">
        <f>IF($A1500&lt;Notes!$B$5,"",IF(COUNTIFS(Release_Calendar!$A$2:$A$755,"NZ_GDP",Release_Calendar!$B$2:$B$755,$A1500)&gt;0,1,0))</f>
        <v/>
      </c>
      <c r="O1500" s="16" t="str">
        <f>IF($A1500&lt;Notes!$B$5,"",IF(COUNTIFS(Release_Calendar!$A$2:$A$755,"NZ_LABOUR",Release_Calendar!$B$2:$B$755,$A1500)&gt;0,1,0))</f>
        <v/>
      </c>
      <c r="P1500" s="16">
        <f t="shared" si="4"/>
        <v>0</v>
      </c>
    </row>
    <row r="1501" ht="15.75" customHeight="1">
      <c r="A1501" s="14">
        <v>38625.0</v>
      </c>
      <c r="B1501" s="15">
        <v>4.18</v>
      </c>
      <c r="C1501" s="15"/>
      <c r="D1501" s="15">
        <v>6.08</v>
      </c>
      <c r="E1501" s="15"/>
      <c r="F1501" s="15" t="str">
        <f t="shared" si="1"/>
        <v/>
      </c>
      <c r="G1501" s="15">
        <f t="shared" si="2"/>
        <v>6.08</v>
      </c>
      <c r="H1501" s="16">
        <v>1.0</v>
      </c>
      <c r="I1501" s="15">
        <f t="shared" si="3"/>
        <v>1.9</v>
      </c>
      <c r="J1501" s="15">
        <v>11.92</v>
      </c>
      <c r="K1501" s="16">
        <f>IF(COUNTIFS(Release_Calendar!$A$2:$A$755,"US_CPI",Release_Calendar!$B$2:$B$755,$A1501)&gt;0,1,0)</f>
        <v>0</v>
      </c>
      <c r="L1501" s="16">
        <f>IF(COUNTIFS(Release_Calendar!$A$2:$A$755,"US_NFP",Release_Calendar!$B$2:$B$755,$A1501)&gt;0,1,0)</f>
        <v>0</v>
      </c>
      <c r="M1501" s="16" t="str">
        <f>IF($A1501&lt;Notes!$B$5,"",IF(COUNTIFS(Release_Calendar!$A$2:$A$755,"NZ_CPI",Release_Calendar!$B$2:$B$755,$A1501)&gt;0,1,0))</f>
        <v/>
      </c>
      <c r="N1501" s="16" t="str">
        <f>IF($A1501&lt;Notes!$B$5,"",IF(COUNTIFS(Release_Calendar!$A$2:$A$755,"NZ_GDP",Release_Calendar!$B$2:$B$755,$A1501)&gt;0,1,0))</f>
        <v/>
      </c>
      <c r="O1501" s="16" t="str">
        <f>IF($A1501&lt;Notes!$B$5,"",IF(COUNTIFS(Release_Calendar!$A$2:$A$755,"NZ_LABOUR",Release_Calendar!$B$2:$B$755,$A1501)&gt;0,1,0))</f>
        <v/>
      </c>
      <c r="P1501" s="16">
        <f t="shared" si="4"/>
        <v>0</v>
      </c>
    </row>
    <row r="1502" ht="15.75" customHeight="1">
      <c r="A1502" s="14">
        <v>38628.0</v>
      </c>
      <c r="B1502" s="15">
        <v>4.21</v>
      </c>
      <c r="C1502" s="15"/>
      <c r="D1502" s="15">
        <v>6.11</v>
      </c>
      <c r="E1502" s="15"/>
      <c r="F1502" s="15" t="str">
        <f t="shared" si="1"/>
        <v/>
      </c>
      <c r="G1502" s="15">
        <f t="shared" si="2"/>
        <v>6.11</v>
      </c>
      <c r="H1502" s="16">
        <v>1.0</v>
      </c>
      <c r="I1502" s="15">
        <f t="shared" si="3"/>
        <v>1.9</v>
      </c>
      <c r="J1502" s="15">
        <v>12.46</v>
      </c>
      <c r="K1502" s="16">
        <f>IF(COUNTIFS(Release_Calendar!$A$2:$A$755,"US_CPI",Release_Calendar!$B$2:$B$755,$A1502)&gt;0,1,0)</f>
        <v>0</v>
      </c>
      <c r="L1502" s="16">
        <f>IF(COUNTIFS(Release_Calendar!$A$2:$A$755,"US_NFP",Release_Calendar!$B$2:$B$755,$A1502)&gt;0,1,0)</f>
        <v>0</v>
      </c>
      <c r="M1502" s="16" t="str">
        <f>IF($A1502&lt;Notes!$B$5,"",IF(COUNTIFS(Release_Calendar!$A$2:$A$755,"NZ_CPI",Release_Calendar!$B$2:$B$755,$A1502)&gt;0,1,0))</f>
        <v/>
      </c>
      <c r="N1502" s="16" t="str">
        <f>IF($A1502&lt;Notes!$B$5,"",IF(COUNTIFS(Release_Calendar!$A$2:$A$755,"NZ_GDP",Release_Calendar!$B$2:$B$755,$A1502)&gt;0,1,0))</f>
        <v/>
      </c>
      <c r="O1502" s="16" t="str">
        <f>IF($A1502&lt;Notes!$B$5,"",IF(COUNTIFS(Release_Calendar!$A$2:$A$755,"NZ_LABOUR",Release_Calendar!$B$2:$B$755,$A1502)&gt;0,1,0))</f>
        <v/>
      </c>
      <c r="P1502" s="16">
        <f t="shared" si="4"/>
        <v>0</v>
      </c>
    </row>
    <row r="1503" ht="15.75" customHeight="1">
      <c r="A1503" s="14">
        <v>38629.0</v>
      </c>
      <c r="B1503" s="15">
        <v>4.22</v>
      </c>
      <c r="C1503" s="15"/>
      <c r="D1503" s="15">
        <v>6.13</v>
      </c>
      <c r="E1503" s="15"/>
      <c r="F1503" s="15" t="str">
        <f t="shared" si="1"/>
        <v/>
      </c>
      <c r="G1503" s="15">
        <f t="shared" si="2"/>
        <v>6.13</v>
      </c>
      <c r="H1503" s="16">
        <v>1.0</v>
      </c>
      <c r="I1503" s="15">
        <f t="shared" si="3"/>
        <v>1.91</v>
      </c>
      <c r="J1503" s="15">
        <v>13.2</v>
      </c>
      <c r="K1503" s="16">
        <f>IF(COUNTIFS(Release_Calendar!$A$2:$A$755,"US_CPI",Release_Calendar!$B$2:$B$755,$A1503)&gt;0,1,0)</f>
        <v>0</v>
      </c>
      <c r="L1503" s="16">
        <f>IF(COUNTIFS(Release_Calendar!$A$2:$A$755,"US_NFP",Release_Calendar!$B$2:$B$755,$A1503)&gt;0,1,0)</f>
        <v>0</v>
      </c>
      <c r="M1503" s="16" t="str">
        <f>IF($A1503&lt;Notes!$B$5,"",IF(COUNTIFS(Release_Calendar!$A$2:$A$755,"NZ_CPI",Release_Calendar!$B$2:$B$755,$A1503)&gt;0,1,0))</f>
        <v/>
      </c>
      <c r="N1503" s="16" t="str">
        <f>IF($A1503&lt;Notes!$B$5,"",IF(COUNTIFS(Release_Calendar!$A$2:$A$755,"NZ_GDP",Release_Calendar!$B$2:$B$755,$A1503)&gt;0,1,0))</f>
        <v/>
      </c>
      <c r="O1503" s="16" t="str">
        <f>IF($A1503&lt;Notes!$B$5,"",IF(COUNTIFS(Release_Calendar!$A$2:$A$755,"NZ_LABOUR",Release_Calendar!$B$2:$B$755,$A1503)&gt;0,1,0))</f>
        <v/>
      </c>
      <c r="P1503" s="16">
        <f t="shared" si="4"/>
        <v>0</v>
      </c>
    </row>
    <row r="1504" ht="15.75" customHeight="1">
      <c r="A1504" s="14">
        <v>38630.0</v>
      </c>
      <c r="B1504" s="15">
        <v>4.21</v>
      </c>
      <c r="C1504" s="15"/>
      <c r="D1504" s="15">
        <v>6.1</v>
      </c>
      <c r="E1504" s="15"/>
      <c r="F1504" s="15" t="str">
        <f t="shared" si="1"/>
        <v/>
      </c>
      <c r="G1504" s="15">
        <f t="shared" si="2"/>
        <v>6.1</v>
      </c>
      <c r="H1504" s="16">
        <v>1.0</v>
      </c>
      <c r="I1504" s="15">
        <f t="shared" si="3"/>
        <v>1.89</v>
      </c>
      <c r="J1504" s="15">
        <v>14.55</v>
      </c>
      <c r="K1504" s="16">
        <f>IF(COUNTIFS(Release_Calendar!$A$2:$A$755,"US_CPI",Release_Calendar!$B$2:$B$755,$A1504)&gt;0,1,0)</f>
        <v>0</v>
      </c>
      <c r="L1504" s="16">
        <f>IF(COUNTIFS(Release_Calendar!$A$2:$A$755,"US_NFP",Release_Calendar!$B$2:$B$755,$A1504)&gt;0,1,0)</f>
        <v>0</v>
      </c>
      <c r="M1504" s="16" t="str">
        <f>IF($A1504&lt;Notes!$B$5,"",IF(COUNTIFS(Release_Calendar!$A$2:$A$755,"NZ_CPI",Release_Calendar!$B$2:$B$755,$A1504)&gt;0,1,0))</f>
        <v/>
      </c>
      <c r="N1504" s="16" t="str">
        <f>IF($A1504&lt;Notes!$B$5,"",IF(COUNTIFS(Release_Calendar!$A$2:$A$755,"NZ_GDP",Release_Calendar!$B$2:$B$755,$A1504)&gt;0,1,0))</f>
        <v/>
      </c>
      <c r="O1504" s="16" t="str">
        <f>IF($A1504&lt;Notes!$B$5,"",IF(COUNTIFS(Release_Calendar!$A$2:$A$755,"NZ_LABOUR",Release_Calendar!$B$2:$B$755,$A1504)&gt;0,1,0))</f>
        <v/>
      </c>
      <c r="P1504" s="16">
        <f t="shared" si="4"/>
        <v>0</v>
      </c>
    </row>
    <row r="1505" ht="15.75" customHeight="1">
      <c r="A1505" s="14">
        <v>38631.0</v>
      </c>
      <c r="B1505" s="15">
        <v>4.2</v>
      </c>
      <c r="C1505" s="15"/>
      <c r="D1505" s="15">
        <v>6.08</v>
      </c>
      <c r="E1505" s="15"/>
      <c r="F1505" s="15" t="str">
        <f t="shared" si="1"/>
        <v/>
      </c>
      <c r="G1505" s="15">
        <f t="shared" si="2"/>
        <v>6.08</v>
      </c>
      <c r="H1505" s="16">
        <v>1.0</v>
      </c>
      <c r="I1505" s="15">
        <f t="shared" si="3"/>
        <v>1.88</v>
      </c>
      <c r="J1505" s="15">
        <v>14.96</v>
      </c>
      <c r="K1505" s="16">
        <f>IF(COUNTIFS(Release_Calendar!$A$2:$A$755,"US_CPI",Release_Calendar!$B$2:$B$755,$A1505)&gt;0,1,0)</f>
        <v>0</v>
      </c>
      <c r="L1505" s="16">
        <f>IF(COUNTIFS(Release_Calendar!$A$2:$A$755,"US_NFP",Release_Calendar!$B$2:$B$755,$A1505)&gt;0,1,0)</f>
        <v>0</v>
      </c>
      <c r="M1505" s="16" t="str">
        <f>IF($A1505&lt;Notes!$B$5,"",IF(COUNTIFS(Release_Calendar!$A$2:$A$755,"NZ_CPI",Release_Calendar!$B$2:$B$755,$A1505)&gt;0,1,0))</f>
        <v/>
      </c>
      <c r="N1505" s="16" t="str">
        <f>IF($A1505&lt;Notes!$B$5,"",IF(COUNTIFS(Release_Calendar!$A$2:$A$755,"NZ_GDP",Release_Calendar!$B$2:$B$755,$A1505)&gt;0,1,0))</f>
        <v/>
      </c>
      <c r="O1505" s="16" t="str">
        <f>IF($A1505&lt;Notes!$B$5,"",IF(COUNTIFS(Release_Calendar!$A$2:$A$755,"NZ_LABOUR",Release_Calendar!$B$2:$B$755,$A1505)&gt;0,1,0))</f>
        <v/>
      </c>
      <c r="P1505" s="16">
        <f t="shared" si="4"/>
        <v>0</v>
      </c>
    </row>
    <row r="1506" ht="15.75" customHeight="1">
      <c r="A1506" s="14">
        <v>38632.0</v>
      </c>
      <c r="B1506" s="15">
        <v>4.18</v>
      </c>
      <c r="C1506" s="15"/>
      <c r="D1506" s="15">
        <v>6.11</v>
      </c>
      <c r="E1506" s="15"/>
      <c r="F1506" s="15" t="str">
        <f t="shared" si="1"/>
        <v/>
      </c>
      <c r="G1506" s="15">
        <f t="shared" si="2"/>
        <v>6.11</v>
      </c>
      <c r="H1506" s="16">
        <v>1.0</v>
      </c>
      <c r="I1506" s="15">
        <f t="shared" si="3"/>
        <v>1.93</v>
      </c>
      <c r="J1506" s="15">
        <v>14.59</v>
      </c>
      <c r="K1506" s="16">
        <f>IF(COUNTIFS(Release_Calendar!$A$2:$A$755,"US_CPI",Release_Calendar!$B$2:$B$755,$A1506)&gt;0,1,0)</f>
        <v>0</v>
      </c>
      <c r="L1506" s="16">
        <f>IF(COUNTIFS(Release_Calendar!$A$2:$A$755,"US_NFP",Release_Calendar!$B$2:$B$755,$A1506)&gt;0,1,0)</f>
        <v>1</v>
      </c>
      <c r="M1506" s="16" t="str">
        <f>IF($A1506&lt;Notes!$B$5,"",IF(COUNTIFS(Release_Calendar!$A$2:$A$755,"NZ_CPI",Release_Calendar!$B$2:$B$755,$A1506)&gt;0,1,0))</f>
        <v/>
      </c>
      <c r="N1506" s="16" t="str">
        <f>IF($A1506&lt;Notes!$B$5,"",IF(COUNTIFS(Release_Calendar!$A$2:$A$755,"NZ_GDP",Release_Calendar!$B$2:$B$755,$A1506)&gt;0,1,0))</f>
        <v/>
      </c>
      <c r="O1506" s="16" t="str">
        <f>IF($A1506&lt;Notes!$B$5,"",IF(COUNTIFS(Release_Calendar!$A$2:$A$755,"NZ_LABOUR",Release_Calendar!$B$2:$B$755,$A1506)&gt;0,1,0))</f>
        <v/>
      </c>
      <c r="P1506" s="16">
        <f t="shared" si="4"/>
        <v>1</v>
      </c>
    </row>
    <row r="1507" ht="15.75" customHeight="1">
      <c r="A1507" s="14">
        <v>38635.0</v>
      </c>
      <c r="B1507" s="15"/>
      <c r="C1507" s="15"/>
      <c r="D1507" s="15">
        <v>6.1</v>
      </c>
      <c r="E1507" s="15"/>
      <c r="F1507" s="15" t="str">
        <f t="shared" si="1"/>
        <v/>
      </c>
      <c r="G1507" s="15">
        <f t="shared" si="2"/>
        <v>6.1</v>
      </c>
      <c r="H1507" s="16">
        <v>1.0</v>
      </c>
      <c r="I1507" s="15" t="str">
        <f t="shared" si="3"/>
        <v/>
      </c>
      <c r="J1507" s="15">
        <v>15.55</v>
      </c>
      <c r="K1507" s="16">
        <f>IF(COUNTIFS(Release_Calendar!$A$2:$A$755,"US_CPI",Release_Calendar!$B$2:$B$755,$A1507)&gt;0,1,0)</f>
        <v>0</v>
      </c>
      <c r="L1507" s="16">
        <f>IF(COUNTIFS(Release_Calendar!$A$2:$A$755,"US_NFP",Release_Calendar!$B$2:$B$755,$A1507)&gt;0,1,0)</f>
        <v>0</v>
      </c>
      <c r="M1507" s="16" t="str">
        <f>IF($A1507&lt;Notes!$B$5,"",IF(COUNTIFS(Release_Calendar!$A$2:$A$755,"NZ_CPI",Release_Calendar!$B$2:$B$755,$A1507)&gt;0,1,0))</f>
        <v/>
      </c>
      <c r="N1507" s="16" t="str">
        <f>IF($A1507&lt;Notes!$B$5,"",IF(COUNTIFS(Release_Calendar!$A$2:$A$755,"NZ_GDP",Release_Calendar!$B$2:$B$755,$A1507)&gt;0,1,0))</f>
        <v/>
      </c>
      <c r="O1507" s="16" t="str">
        <f>IF($A1507&lt;Notes!$B$5,"",IF(COUNTIFS(Release_Calendar!$A$2:$A$755,"NZ_LABOUR",Release_Calendar!$B$2:$B$755,$A1507)&gt;0,1,0))</f>
        <v/>
      </c>
      <c r="P1507" s="16">
        <f t="shared" si="4"/>
        <v>0</v>
      </c>
    </row>
    <row r="1508" ht="15.75" customHeight="1">
      <c r="A1508" s="14">
        <v>38636.0</v>
      </c>
      <c r="B1508" s="15">
        <v>4.22</v>
      </c>
      <c r="C1508" s="15"/>
      <c r="D1508" s="15">
        <v>6.11</v>
      </c>
      <c r="E1508" s="15"/>
      <c r="F1508" s="15" t="str">
        <f t="shared" si="1"/>
        <v/>
      </c>
      <c r="G1508" s="15">
        <f t="shared" si="2"/>
        <v>6.11</v>
      </c>
      <c r="H1508" s="16">
        <v>1.0</v>
      </c>
      <c r="I1508" s="15">
        <f t="shared" si="3"/>
        <v>1.89</v>
      </c>
      <c r="J1508" s="15">
        <v>15.63</v>
      </c>
      <c r="K1508" s="16">
        <f>IF(COUNTIFS(Release_Calendar!$A$2:$A$755,"US_CPI",Release_Calendar!$B$2:$B$755,$A1508)&gt;0,1,0)</f>
        <v>0</v>
      </c>
      <c r="L1508" s="16">
        <f>IF(COUNTIFS(Release_Calendar!$A$2:$A$755,"US_NFP",Release_Calendar!$B$2:$B$755,$A1508)&gt;0,1,0)</f>
        <v>0</v>
      </c>
      <c r="M1508" s="16" t="str">
        <f>IF($A1508&lt;Notes!$B$5,"",IF(COUNTIFS(Release_Calendar!$A$2:$A$755,"NZ_CPI",Release_Calendar!$B$2:$B$755,$A1508)&gt;0,1,0))</f>
        <v/>
      </c>
      <c r="N1508" s="16" t="str">
        <f>IF($A1508&lt;Notes!$B$5,"",IF(COUNTIFS(Release_Calendar!$A$2:$A$755,"NZ_GDP",Release_Calendar!$B$2:$B$755,$A1508)&gt;0,1,0))</f>
        <v/>
      </c>
      <c r="O1508" s="16" t="str">
        <f>IF($A1508&lt;Notes!$B$5,"",IF(COUNTIFS(Release_Calendar!$A$2:$A$755,"NZ_LABOUR",Release_Calendar!$B$2:$B$755,$A1508)&gt;0,1,0))</f>
        <v/>
      </c>
      <c r="P1508" s="16">
        <f t="shared" si="4"/>
        <v>0</v>
      </c>
    </row>
    <row r="1509" ht="15.75" customHeight="1">
      <c r="A1509" s="14">
        <v>38637.0</v>
      </c>
      <c r="B1509" s="15">
        <v>4.24</v>
      </c>
      <c r="C1509" s="15"/>
      <c r="D1509" s="15">
        <v>6.11</v>
      </c>
      <c r="E1509" s="15"/>
      <c r="F1509" s="15" t="str">
        <f t="shared" si="1"/>
        <v/>
      </c>
      <c r="G1509" s="15">
        <f t="shared" si="2"/>
        <v>6.11</v>
      </c>
      <c r="H1509" s="16">
        <v>1.0</v>
      </c>
      <c r="I1509" s="15">
        <f t="shared" si="3"/>
        <v>1.87</v>
      </c>
      <c r="J1509" s="15">
        <v>16.22</v>
      </c>
      <c r="K1509" s="16">
        <f>IF(COUNTIFS(Release_Calendar!$A$2:$A$755,"US_CPI",Release_Calendar!$B$2:$B$755,$A1509)&gt;0,1,0)</f>
        <v>0</v>
      </c>
      <c r="L1509" s="16">
        <f>IF(COUNTIFS(Release_Calendar!$A$2:$A$755,"US_NFP",Release_Calendar!$B$2:$B$755,$A1509)&gt;0,1,0)</f>
        <v>0</v>
      </c>
      <c r="M1509" s="16" t="str">
        <f>IF($A1509&lt;Notes!$B$5,"",IF(COUNTIFS(Release_Calendar!$A$2:$A$755,"NZ_CPI",Release_Calendar!$B$2:$B$755,$A1509)&gt;0,1,0))</f>
        <v/>
      </c>
      <c r="N1509" s="16" t="str">
        <f>IF($A1509&lt;Notes!$B$5,"",IF(COUNTIFS(Release_Calendar!$A$2:$A$755,"NZ_GDP",Release_Calendar!$B$2:$B$755,$A1509)&gt;0,1,0))</f>
        <v/>
      </c>
      <c r="O1509" s="16" t="str">
        <f>IF($A1509&lt;Notes!$B$5,"",IF(COUNTIFS(Release_Calendar!$A$2:$A$755,"NZ_LABOUR",Release_Calendar!$B$2:$B$755,$A1509)&gt;0,1,0))</f>
        <v/>
      </c>
      <c r="P1509" s="16">
        <f t="shared" si="4"/>
        <v>0</v>
      </c>
    </row>
    <row r="1510" ht="15.75" customHeight="1">
      <c r="A1510" s="14">
        <v>38638.0</v>
      </c>
      <c r="B1510" s="15">
        <v>4.24</v>
      </c>
      <c r="C1510" s="15"/>
      <c r="D1510" s="15">
        <v>6.11</v>
      </c>
      <c r="E1510" s="15"/>
      <c r="F1510" s="15" t="str">
        <f t="shared" si="1"/>
        <v/>
      </c>
      <c r="G1510" s="15">
        <f t="shared" si="2"/>
        <v>6.11</v>
      </c>
      <c r="H1510" s="16">
        <v>1.0</v>
      </c>
      <c r="I1510" s="15">
        <f t="shared" si="3"/>
        <v>1.87</v>
      </c>
      <c r="J1510" s="15">
        <v>16.47</v>
      </c>
      <c r="K1510" s="16">
        <f>IF(COUNTIFS(Release_Calendar!$A$2:$A$755,"US_CPI",Release_Calendar!$B$2:$B$755,$A1510)&gt;0,1,0)</f>
        <v>0</v>
      </c>
      <c r="L1510" s="16">
        <f>IF(COUNTIFS(Release_Calendar!$A$2:$A$755,"US_NFP",Release_Calendar!$B$2:$B$755,$A1510)&gt;0,1,0)</f>
        <v>0</v>
      </c>
      <c r="M1510" s="16" t="str">
        <f>IF($A1510&lt;Notes!$B$5,"",IF(COUNTIFS(Release_Calendar!$A$2:$A$755,"NZ_CPI",Release_Calendar!$B$2:$B$755,$A1510)&gt;0,1,0))</f>
        <v/>
      </c>
      <c r="N1510" s="16" t="str">
        <f>IF($A1510&lt;Notes!$B$5,"",IF(COUNTIFS(Release_Calendar!$A$2:$A$755,"NZ_GDP",Release_Calendar!$B$2:$B$755,$A1510)&gt;0,1,0))</f>
        <v/>
      </c>
      <c r="O1510" s="16" t="str">
        <f>IF($A1510&lt;Notes!$B$5,"",IF(COUNTIFS(Release_Calendar!$A$2:$A$755,"NZ_LABOUR",Release_Calendar!$B$2:$B$755,$A1510)&gt;0,1,0))</f>
        <v/>
      </c>
      <c r="P1510" s="16">
        <f t="shared" si="4"/>
        <v>0</v>
      </c>
    </row>
    <row r="1511" ht="15.75" customHeight="1">
      <c r="A1511" s="14">
        <v>38639.0</v>
      </c>
      <c r="B1511" s="15">
        <v>4.27</v>
      </c>
      <c r="C1511" s="15"/>
      <c r="D1511" s="15">
        <v>6.1</v>
      </c>
      <c r="E1511" s="15"/>
      <c r="F1511" s="15" t="str">
        <f t="shared" si="1"/>
        <v/>
      </c>
      <c r="G1511" s="15">
        <f t="shared" si="2"/>
        <v>6.1</v>
      </c>
      <c r="H1511" s="16">
        <v>1.0</v>
      </c>
      <c r="I1511" s="15">
        <f t="shared" si="3"/>
        <v>1.83</v>
      </c>
      <c r="J1511" s="15">
        <v>14.87</v>
      </c>
      <c r="K1511" s="16">
        <f>IF(COUNTIFS(Release_Calendar!$A$2:$A$755,"US_CPI",Release_Calendar!$B$2:$B$755,$A1511)&gt;0,1,0)</f>
        <v>1</v>
      </c>
      <c r="L1511" s="16">
        <f>IF(COUNTIFS(Release_Calendar!$A$2:$A$755,"US_NFP",Release_Calendar!$B$2:$B$755,$A1511)&gt;0,1,0)</f>
        <v>0</v>
      </c>
      <c r="M1511" s="16" t="str">
        <f>IF($A1511&lt;Notes!$B$5,"",IF(COUNTIFS(Release_Calendar!$A$2:$A$755,"NZ_CPI",Release_Calendar!$B$2:$B$755,$A1511)&gt;0,1,0))</f>
        <v/>
      </c>
      <c r="N1511" s="16" t="str">
        <f>IF($A1511&lt;Notes!$B$5,"",IF(COUNTIFS(Release_Calendar!$A$2:$A$755,"NZ_GDP",Release_Calendar!$B$2:$B$755,$A1511)&gt;0,1,0))</f>
        <v/>
      </c>
      <c r="O1511" s="16" t="str">
        <f>IF($A1511&lt;Notes!$B$5,"",IF(COUNTIFS(Release_Calendar!$A$2:$A$755,"NZ_LABOUR",Release_Calendar!$B$2:$B$755,$A1511)&gt;0,1,0))</f>
        <v/>
      </c>
      <c r="P1511" s="16">
        <f t="shared" si="4"/>
        <v>1</v>
      </c>
    </row>
    <row r="1512" ht="15.75" customHeight="1">
      <c r="A1512" s="14">
        <v>38642.0</v>
      </c>
      <c r="B1512" s="15">
        <v>4.29</v>
      </c>
      <c r="C1512" s="15"/>
      <c r="D1512" s="15">
        <v>6.15</v>
      </c>
      <c r="E1512" s="15"/>
      <c r="F1512" s="15" t="str">
        <f t="shared" si="1"/>
        <v/>
      </c>
      <c r="G1512" s="15">
        <f t="shared" si="2"/>
        <v>6.15</v>
      </c>
      <c r="H1512" s="16">
        <v>1.0</v>
      </c>
      <c r="I1512" s="15">
        <f t="shared" si="3"/>
        <v>1.86</v>
      </c>
      <c r="J1512" s="15">
        <v>14.67</v>
      </c>
      <c r="K1512" s="16">
        <f>IF(COUNTIFS(Release_Calendar!$A$2:$A$755,"US_CPI",Release_Calendar!$B$2:$B$755,$A1512)&gt;0,1,0)</f>
        <v>0</v>
      </c>
      <c r="L1512" s="16">
        <f>IF(COUNTIFS(Release_Calendar!$A$2:$A$755,"US_NFP",Release_Calendar!$B$2:$B$755,$A1512)&gt;0,1,0)</f>
        <v>0</v>
      </c>
      <c r="M1512" s="16" t="str">
        <f>IF($A1512&lt;Notes!$B$5,"",IF(COUNTIFS(Release_Calendar!$A$2:$A$755,"NZ_CPI",Release_Calendar!$B$2:$B$755,$A1512)&gt;0,1,0))</f>
        <v/>
      </c>
      <c r="N1512" s="16" t="str">
        <f>IF($A1512&lt;Notes!$B$5,"",IF(COUNTIFS(Release_Calendar!$A$2:$A$755,"NZ_GDP",Release_Calendar!$B$2:$B$755,$A1512)&gt;0,1,0))</f>
        <v/>
      </c>
      <c r="O1512" s="16" t="str">
        <f>IF($A1512&lt;Notes!$B$5,"",IF(COUNTIFS(Release_Calendar!$A$2:$A$755,"NZ_LABOUR",Release_Calendar!$B$2:$B$755,$A1512)&gt;0,1,0))</f>
        <v/>
      </c>
      <c r="P1512" s="16">
        <f t="shared" si="4"/>
        <v>0</v>
      </c>
    </row>
    <row r="1513" ht="15.75" customHeight="1">
      <c r="A1513" s="14">
        <v>38643.0</v>
      </c>
      <c r="B1513" s="15">
        <v>4.27</v>
      </c>
      <c r="C1513" s="15"/>
      <c r="D1513" s="15">
        <v>6.14</v>
      </c>
      <c r="E1513" s="15"/>
      <c r="F1513" s="15" t="str">
        <f t="shared" si="1"/>
        <v/>
      </c>
      <c r="G1513" s="15">
        <f t="shared" si="2"/>
        <v>6.14</v>
      </c>
      <c r="H1513" s="16">
        <v>1.0</v>
      </c>
      <c r="I1513" s="15">
        <f t="shared" si="3"/>
        <v>1.87</v>
      </c>
      <c r="J1513" s="15">
        <v>15.33</v>
      </c>
      <c r="K1513" s="16">
        <f>IF(COUNTIFS(Release_Calendar!$A$2:$A$755,"US_CPI",Release_Calendar!$B$2:$B$755,$A1513)&gt;0,1,0)</f>
        <v>0</v>
      </c>
      <c r="L1513" s="16">
        <f>IF(COUNTIFS(Release_Calendar!$A$2:$A$755,"US_NFP",Release_Calendar!$B$2:$B$755,$A1513)&gt;0,1,0)</f>
        <v>0</v>
      </c>
      <c r="M1513" s="16" t="str">
        <f>IF($A1513&lt;Notes!$B$5,"",IF(COUNTIFS(Release_Calendar!$A$2:$A$755,"NZ_CPI",Release_Calendar!$B$2:$B$755,$A1513)&gt;0,1,0))</f>
        <v/>
      </c>
      <c r="N1513" s="16" t="str">
        <f>IF($A1513&lt;Notes!$B$5,"",IF(COUNTIFS(Release_Calendar!$A$2:$A$755,"NZ_GDP",Release_Calendar!$B$2:$B$755,$A1513)&gt;0,1,0))</f>
        <v/>
      </c>
      <c r="O1513" s="16" t="str">
        <f>IF($A1513&lt;Notes!$B$5,"",IF(COUNTIFS(Release_Calendar!$A$2:$A$755,"NZ_LABOUR",Release_Calendar!$B$2:$B$755,$A1513)&gt;0,1,0))</f>
        <v/>
      </c>
      <c r="P1513" s="16">
        <f t="shared" si="4"/>
        <v>0</v>
      </c>
    </row>
    <row r="1514" ht="15.75" customHeight="1">
      <c r="A1514" s="14">
        <v>38644.0</v>
      </c>
      <c r="B1514" s="15">
        <v>4.25</v>
      </c>
      <c r="C1514" s="15"/>
      <c r="D1514" s="15">
        <v>6.14</v>
      </c>
      <c r="E1514" s="15"/>
      <c r="F1514" s="15" t="str">
        <f t="shared" si="1"/>
        <v/>
      </c>
      <c r="G1514" s="15">
        <f t="shared" si="2"/>
        <v>6.14</v>
      </c>
      <c r="H1514" s="16">
        <v>1.0</v>
      </c>
      <c r="I1514" s="15">
        <f t="shared" si="3"/>
        <v>1.89</v>
      </c>
      <c r="J1514" s="15">
        <v>13.5</v>
      </c>
      <c r="K1514" s="16">
        <f>IF(COUNTIFS(Release_Calendar!$A$2:$A$755,"US_CPI",Release_Calendar!$B$2:$B$755,$A1514)&gt;0,1,0)</f>
        <v>0</v>
      </c>
      <c r="L1514" s="16">
        <f>IF(COUNTIFS(Release_Calendar!$A$2:$A$755,"US_NFP",Release_Calendar!$B$2:$B$755,$A1514)&gt;0,1,0)</f>
        <v>0</v>
      </c>
      <c r="M1514" s="16" t="str">
        <f>IF($A1514&lt;Notes!$B$5,"",IF(COUNTIFS(Release_Calendar!$A$2:$A$755,"NZ_CPI",Release_Calendar!$B$2:$B$755,$A1514)&gt;0,1,0))</f>
        <v/>
      </c>
      <c r="N1514" s="16" t="str">
        <f>IF($A1514&lt;Notes!$B$5,"",IF(COUNTIFS(Release_Calendar!$A$2:$A$755,"NZ_GDP",Release_Calendar!$B$2:$B$755,$A1514)&gt;0,1,0))</f>
        <v/>
      </c>
      <c r="O1514" s="16" t="str">
        <f>IF($A1514&lt;Notes!$B$5,"",IF(COUNTIFS(Release_Calendar!$A$2:$A$755,"NZ_LABOUR",Release_Calendar!$B$2:$B$755,$A1514)&gt;0,1,0))</f>
        <v/>
      </c>
      <c r="P1514" s="16">
        <f t="shared" si="4"/>
        <v>0</v>
      </c>
    </row>
    <row r="1515" ht="15.75" customHeight="1">
      <c r="A1515" s="14">
        <v>38645.0</v>
      </c>
      <c r="B1515" s="15">
        <v>4.27</v>
      </c>
      <c r="C1515" s="15"/>
      <c r="D1515" s="15">
        <v>6.16</v>
      </c>
      <c r="E1515" s="15"/>
      <c r="F1515" s="15" t="str">
        <f t="shared" si="1"/>
        <v/>
      </c>
      <c r="G1515" s="15">
        <f t="shared" si="2"/>
        <v>6.16</v>
      </c>
      <c r="H1515" s="16">
        <v>1.0</v>
      </c>
      <c r="I1515" s="15">
        <f t="shared" si="3"/>
        <v>1.89</v>
      </c>
      <c r="J1515" s="15">
        <v>16.11</v>
      </c>
      <c r="K1515" s="16">
        <f>IF(COUNTIFS(Release_Calendar!$A$2:$A$755,"US_CPI",Release_Calendar!$B$2:$B$755,$A1515)&gt;0,1,0)</f>
        <v>0</v>
      </c>
      <c r="L1515" s="16">
        <f>IF(COUNTIFS(Release_Calendar!$A$2:$A$755,"US_NFP",Release_Calendar!$B$2:$B$755,$A1515)&gt;0,1,0)</f>
        <v>0</v>
      </c>
      <c r="M1515" s="16" t="str">
        <f>IF($A1515&lt;Notes!$B$5,"",IF(COUNTIFS(Release_Calendar!$A$2:$A$755,"NZ_CPI",Release_Calendar!$B$2:$B$755,$A1515)&gt;0,1,0))</f>
        <v/>
      </c>
      <c r="N1515" s="16" t="str">
        <f>IF($A1515&lt;Notes!$B$5,"",IF(COUNTIFS(Release_Calendar!$A$2:$A$755,"NZ_GDP",Release_Calendar!$B$2:$B$755,$A1515)&gt;0,1,0))</f>
        <v/>
      </c>
      <c r="O1515" s="16" t="str">
        <f>IF($A1515&lt;Notes!$B$5,"",IF(COUNTIFS(Release_Calendar!$A$2:$A$755,"NZ_LABOUR",Release_Calendar!$B$2:$B$755,$A1515)&gt;0,1,0))</f>
        <v/>
      </c>
      <c r="P1515" s="16">
        <f t="shared" si="4"/>
        <v>0</v>
      </c>
    </row>
    <row r="1516" ht="15.75" customHeight="1">
      <c r="A1516" s="14">
        <v>38646.0</v>
      </c>
      <c r="B1516" s="15">
        <v>4.22</v>
      </c>
      <c r="C1516" s="15"/>
      <c r="D1516" s="15">
        <v>6.19</v>
      </c>
      <c r="E1516" s="15"/>
      <c r="F1516" s="15" t="str">
        <f t="shared" si="1"/>
        <v/>
      </c>
      <c r="G1516" s="15">
        <f t="shared" si="2"/>
        <v>6.19</v>
      </c>
      <c r="H1516" s="16">
        <v>1.0</v>
      </c>
      <c r="I1516" s="15">
        <f t="shared" si="3"/>
        <v>1.97</v>
      </c>
      <c r="J1516" s="15">
        <v>16.13</v>
      </c>
      <c r="K1516" s="16">
        <f>IF(COUNTIFS(Release_Calendar!$A$2:$A$755,"US_CPI",Release_Calendar!$B$2:$B$755,$A1516)&gt;0,1,0)</f>
        <v>0</v>
      </c>
      <c r="L1516" s="16">
        <f>IF(COUNTIFS(Release_Calendar!$A$2:$A$755,"US_NFP",Release_Calendar!$B$2:$B$755,$A1516)&gt;0,1,0)</f>
        <v>0</v>
      </c>
      <c r="M1516" s="16" t="str">
        <f>IF($A1516&lt;Notes!$B$5,"",IF(COUNTIFS(Release_Calendar!$A$2:$A$755,"NZ_CPI",Release_Calendar!$B$2:$B$755,$A1516)&gt;0,1,0))</f>
        <v/>
      </c>
      <c r="N1516" s="16" t="str">
        <f>IF($A1516&lt;Notes!$B$5,"",IF(COUNTIFS(Release_Calendar!$A$2:$A$755,"NZ_GDP",Release_Calendar!$B$2:$B$755,$A1516)&gt;0,1,0))</f>
        <v/>
      </c>
      <c r="O1516" s="16" t="str">
        <f>IF($A1516&lt;Notes!$B$5,"",IF(COUNTIFS(Release_Calendar!$A$2:$A$755,"NZ_LABOUR",Release_Calendar!$B$2:$B$755,$A1516)&gt;0,1,0))</f>
        <v/>
      </c>
      <c r="P1516" s="16">
        <f t="shared" si="4"/>
        <v>0</v>
      </c>
    </row>
    <row r="1517" ht="15.75" customHeight="1">
      <c r="A1517" s="14">
        <v>38649.0</v>
      </c>
      <c r="B1517" s="15">
        <v>4.25</v>
      </c>
      <c r="C1517" s="15"/>
      <c r="D1517" s="15"/>
      <c r="E1517" s="15"/>
      <c r="F1517" s="15" t="str">
        <f t="shared" si="1"/>
        <v/>
      </c>
      <c r="G1517" s="15" t="str">
        <f t="shared" si="2"/>
        <v/>
      </c>
      <c r="H1517" s="16">
        <v>1.0</v>
      </c>
      <c r="I1517" s="15" t="str">
        <f t="shared" si="3"/>
        <v/>
      </c>
      <c r="J1517" s="15">
        <v>14.74</v>
      </c>
      <c r="K1517" s="16">
        <f>IF(COUNTIFS(Release_Calendar!$A$2:$A$755,"US_CPI",Release_Calendar!$B$2:$B$755,$A1517)&gt;0,1,0)</f>
        <v>0</v>
      </c>
      <c r="L1517" s="16">
        <f>IF(COUNTIFS(Release_Calendar!$A$2:$A$755,"US_NFP",Release_Calendar!$B$2:$B$755,$A1517)&gt;0,1,0)</f>
        <v>0</v>
      </c>
      <c r="M1517" s="16" t="str">
        <f>IF($A1517&lt;Notes!$B$5,"",IF(COUNTIFS(Release_Calendar!$A$2:$A$755,"NZ_CPI",Release_Calendar!$B$2:$B$755,$A1517)&gt;0,1,0))</f>
        <v/>
      </c>
      <c r="N1517" s="16" t="str">
        <f>IF($A1517&lt;Notes!$B$5,"",IF(COUNTIFS(Release_Calendar!$A$2:$A$755,"NZ_GDP",Release_Calendar!$B$2:$B$755,$A1517)&gt;0,1,0))</f>
        <v/>
      </c>
      <c r="O1517" s="16" t="str">
        <f>IF($A1517&lt;Notes!$B$5,"",IF(COUNTIFS(Release_Calendar!$A$2:$A$755,"NZ_LABOUR",Release_Calendar!$B$2:$B$755,$A1517)&gt;0,1,0))</f>
        <v/>
      </c>
      <c r="P1517" s="16">
        <f t="shared" si="4"/>
        <v>0</v>
      </c>
    </row>
    <row r="1518" ht="15.75" customHeight="1">
      <c r="A1518" s="14">
        <v>38650.0</v>
      </c>
      <c r="B1518" s="15">
        <v>4.34</v>
      </c>
      <c r="C1518" s="15"/>
      <c r="D1518" s="15">
        <v>6.25</v>
      </c>
      <c r="E1518" s="15"/>
      <c r="F1518" s="15" t="str">
        <f t="shared" si="1"/>
        <v/>
      </c>
      <c r="G1518" s="15">
        <f t="shared" si="2"/>
        <v>6.25</v>
      </c>
      <c r="H1518" s="16">
        <v>1.0</v>
      </c>
      <c r="I1518" s="15">
        <f t="shared" si="3"/>
        <v>1.91</v>
      </c>
      <c r="J1518" s="15">
        <v>14.53</v>
      </c>
      <c r="K1518" s="16">
        <f>IF(COUNTIFS(Release_Calendar!$A$2:$A$755,"US_CPI",Release_Calendar!$B$2:$B$755,$A1518)&gt;0,1,0)</f>
        <v>0</v>
      </c>
      <c r="L1518" s="16">
        <f>IF(COUNTIFS(Release_Calendar!$A$2:$A$755,"US_NFP",Release_Calendar!$B$2:$B$755,$A1518)&gt;0,1,0)</f>
        <v>0</v>
      </c>
      <c r="M1518" s="16" t="str">
        <f>IF($A1518&lt;Notes!$B$5,"",IF(COUNTIFS(Release_Calendar!$A$2:$A$755,"NZ_CPI",Release_Calendar!$B$2:$B$755,$A1518)&gt;0,1,0))</f>
        <v/>
      </c>
      <c r="N1518" s="16" t="str">
        <f>IF($A1518&lt;Notes!$B$5,"",IF(COUNTIFS(Release_Calendar!$A$2:$A$755,"NZ_GDP",Release_Calendar!$B$2:$B$755,$A1518)&gt;0,1,0))</f>
        <v/>
      </c>
      <c r="O1518" s="16" t="str">
        <f>IF($A1518&lt;Notes!$B$5,"",IF(COUNTIFS(Release_Calendar!$A$2:$A$755,"NZ_LABOUR",Release_Calendar!$B$2:$B$755,$A1518)&gt;0,1,0))</f>
        <v/>
      </c>
      <c r="P1518" s="16">
        <f t="shared" si="4"/>
        <v>0</v>
      </c>
    </row>
    <row r="1519" ht="15.75" customHeight="1">
      <c r="A1519" s="14">
        <v>38651.0</v>
      </c>
      <c r="B1519" s="15">
        <v>4.38</v>
      </c>
      <c r="C1519" s="15"/>
      <c r="D1519" s="15">
        <v>6.27</v>
      </c>
      <c r="E1519" s="15"/>
      <c r="F1519" s="15" t="str">
        <f t="shared" si="1"/>
        <v/>
      </c>
      <c r="G1519" s="15">
        <f t="shared" si="2"/>
        <v>6.27</v>
      </c>
      <c r="H1519" s="16">
        <v>1.0</v>
      </c>
      <c r="I1519" s="15">
        <f t="shared" si="3"/>
        <v>1.89</v>
      </c>
      <c r="J1519" s="15">
        <v>14.59</v>
      </c>
      <c r="K1519" s="16">
        <f>IF(COUNTIFS(Release_Calendar!$A$2:$A$755,"US_CPI",Release_Calendar!$B$2:$B$755,$A1519)&gt;0,1,0)</f>
        <v>0</v>
      </c>
      <c r="L1519" s="16">
        <f>IF(COUNTIFS(Release_Calendar!$A$2:$A$755,"US_NFP",Release_Calendar!$B$2:$B$755,$A1519)&gt;0,1,0)</f>
        <v>0</v>
      </c>
      <c r="M1519" s="16" t="str">
        <f>IF($A1519&lt;Notes!$B$5,"",IF(COUNTIFS(Release_Calendar!$A$2:$A$755,"NZ_CPI",Release_Calendar!$B$2:$B$755,$A1519)&gt;0,1,0))</f>
        <v/>
      </c>
      <c r="N1519" s="16" t="str">
        <f>IF($A1519&lt;Notes!$B$5,"",IF(COUNTIFS(Release_Calendar!$A$2:$A$755,"NZ_GDP",Release_Calendar!$B$2:$B$755,$A1519)&gt;0,1,0))</f>
        <v/>
      </c>
      <c r="O1519" s="16" t="str">
        <f>IF($A1519&lt;Notes!$B$5,"",IF(COUNTIFS(Release_Calendar!$A$2:$A$755,"NZ_LABOUR",Release_Calendar!$B$2:$B$755,$A1519)&gt;0,1,0))</f>
        <v/>
      </c>
      <c r="P1519" s="16">
        <f t="shared" si="4"/>
        <v>0</v>
      </c>
    </row>
    <row r="1520" ht="15.75" customHeight="1">
      <c r="A1520" s="14">
        <v>38652.0</v>
      </c>
      <c r="B1520" s="15">
        <v>4.36</v>
      </c>
      <c r="C1520" s="15"/>
      <c r="D1520" s="15">
        <v>6.3</v>
      </c>
      <c r="E1520" s="15"/>
      <c r="F1520" s="15" t="str">
        <f t="shared" si="1"/>
        <v/>
      </c>
      <c r="G1520" s="15">
        <f t="shared" si="2"/>
        <v>6.3</v>
      </c>
      <c r="H1520" s="16">
        <v>1.0</v>
      </c>
      <c r="I1520" s="15">
        <f t="shared" si="3"/>
        <v>1.94</v>
      </c>
      <c r="J1520" s="15">
        <v>16.02</v>
      </c>
      <c r="K1520" s="16">
        <f>IF(COUNTIFS(Release_Calendar!$A$2:$A$755,"US_CPI",Release_Calendar!$B$2:$B$755,$A1520)&gt;0,1,0)</f>
        <v>0</v>
      </c>
      <c r="L1520" s="16">
        <f>IF(COUNTIFS(Release_Calendar!$A$2:$A$755,"US_NFP",Release_Calendar!$B$2:$B$755,$A1520)&gt;0,1,0)</f>
        <v>0</v>
      </c>
      <c r="M1520" s="16" t="str">
        <f>IF($A1520&lt;Notes!$B$5,"",IF(COUNTIFS(Release_Calendar!$A$2:$A$755,"NZ_CPI",Release_Calendar!$B$2:$B$755,$A1520)&gt;0,1,0))</f>
        <v/>
      </c>
      <c r="N1520" s="16" t="str">
        <f>IF($A1520&lt;Notes!$B$5,"",IF(COUNTIFS(Release_Calendar!$A$2:$A$755,"NZ_GDP",Release_Calendar!$B$2:$B$755,$A1520)&gt;0,1,0))</f>
        <v/>
      </c>
      <c r="O1520" s="16" t="str">
        <f>IF($A1520&lt;Notes!$B$5,"",IF(COUNTIFS(Release_Calendar!$A$2:$A$755,"NZ_LABOUR",Release_Calendar!$B$2:$B$755,$A1520)&gt;0,1,0))</f>
        <v/>
      </c>
      <c r="P1520" s="16">
        <f t="shared" si="4"/>
        <v>0</v>
      </c>
    </row>
    <row r="1521" ht="15.75" customHeight="1">
      <c r="A1521" s="14">
        <v>38653.0</v>
      </c>
      <c r="B1521" s="15">
        <v>4.4</v>
      </c>
      <c r="C1521" s="15"/>
      <c r="D1521" s="15">
        <v>6.29</v>
      </c>
      <c r="E1521" s="15"/>
      <c r="F1521" s="15" t="str">
        <f t="shared" si="1"/>
        <v/>
      </c>
      <c r="G1521" s="15">
        <f t="shared" si="2"/>
        <v>6.29</v>
      </c>
      <c r="H1521" s="16">
        <v>1.0</v>
      </c>
      <c r="I1521" s="15">
        <f t="shared" si="3"/>
        <v>1.89</v>
      </c>
      <c r="J1521" s="15">
        <v>14.25</v>
      </c>
      <c r="K1521" s="16">
        <f>IF(COUNTIFS(Release_Calendar!$A$2:$A$755,"US_CPI",Release_Calendar!$B$2:$B$755,$A1521)&gt;0,1,0)</f>
        <v>0</v>
      </c>
      <c r="L1521" s="16">
        <f>IF(COUNTIFS(Release_Calendar!$A$2:$A$755,"US_NFP",Release_Calendar!$B$2:$B$755,$A1521)&gt;0,1,0)</f>
        <v>0</v>
      </c>
      <c r="M1521" s="16" t="str">
        <f>IF($A1521&lt;Notes!$B$5,"",IF(COUNTIFS(Release_Calendar!$A$2:$A$755,"NZ_CPI",Release_Calendar!$B$2:$B$755,$A1521)&gt;0,1,0))</f>
        <v/>
      </c>
      <c r="N1521" s="16" t="str">
        <f>IF($A1521&lt;Notes!$B$5,"",IF(COUNTIFS(Release_Calendar!$A$2:$A$755,"NZ_GDP",Release_Calendar!$B$2:$B$755,$A1521)&gt;0,1,0))</f>
        <v/>
      </c>
      <c r="O1521" s="16" t="str">
        <f>IF($A1521&lt;Notes!$B$5,"",IF(COUNTIFS(Release_Calendar!$A$2:$A$755,"NZ_LABOUR",Release_Calendar!$B$2:$B$755,$A1521)&gt;0,1,0))</f>
        <v/>
      </c>
      <c r="P1521" s="16">
        <f t="shared" si="4"/>
        <v>0</v>
      </c>
    </row>
    <row r="1522" ht="15.75" customHeight="1">
      <c r="A1522" s="14">
        <v>38656.0</v>
      </c>
      <c r="B1522" s="15">
        <v>4.4</v>
      </c>
      <c r="C1522" s="15"/>
      <c r="D1522" s="15">
        <v>6.35</v>
      </c>
      <c r="E1522" s="15"/>
      <c r="F1522" s="15" t="str">
        <f t="shared" si="1"/>
        <v/>
      </c>
      <c r="G1522" s="15">
        <f t="shared" si="2"/>
        <v>6.35</v>
      </c>
      <c r="H1522" s="16">
        <v>1.0</v>
      </c>
      <c r="I1522" s="15">
        <f t="shared" si="3"/>
        <v>1.95</v>
      </c>
      <c r="J1522" s="15">
        <v>15.32</v>
      </c>
      <c r="K1522" s="16">
        <f>IF(COUNTIFS(Release_Calendar!$A$2:$A$755,"US_CPI",Release_Calendar!$B$2:$B$755,$A1522)&gt;0,1,0)</f>
        <v>0</v>
      </c>
      <c r="L1522" s="16">
        <f>IF(COUNTIFS(Release_Calendar!$A$2:$A$755,"US_NFP",Release_Calendar!$B$2:$B$755,$A1522)&gt;0,1,0)</f>
        <v>0</v>
      </c>
      <c r="M1522" s="16" t="str">
        <f>IF($A1522&lt;Notes!$B$5,"",IF(COUNTIFS(Release_Calendar!$A$2:$A$755,"NZ_CPI",Release_Calendar!$B$2:$B$755,$A1522)&gt;0,1,0))</f>
        <v/>
      </c>
      <c r="N1522" s="16" t="str">
        <f>IF($A1522&lt;Notes!$B$5,"",IF(COUNTIFS(Release_Calendar!$A$2:$A$755,"NZ_GDP",Release_Calendar!$B$2:$B$755,$A1522)&gt;0,1,0))</f>
        <v/>
      </c>
      <c r="O1522" s="16" t="str">
        <f>IF($A1522&lt;Notes!$B$5,"",IF(COUNTIFS(Release_Calendar!$A$2:$A$755,"NZ_LABOUR",Release_Calendar!$B$2:$B$755,$A1522)&gt;0,1,0))</f>
        <v/>
      </c>
      <c r="P1522" s="16">
        <f t="shared" si="4"/>
        <v>0</v>
      </c>
    </row>
    <row r="1523" ht="15.75" customHeight="1">
      <c r="A1523" s="14">
        <v>38657.0</v>
      </c>
      <c r="B1523" s="15">
        <v>4.42</v>
      </c>
      <c r="C1523" s="15"/>
      <c r="D1523" s="15">
        <v>6.39</v>
      </c>
      <c r="E1523" s="15"/>
      <c r="F1523" s="15" t="str">
        <f t="shared" si="1"/>
        <v/>
      </c>
      <c r="G1523" s="15">
        <f t="shared" si="2"/>
        <v>6.39</v>
      </c>
      <c r="H1523" s="16">
        <v>1.0</v>
      </c>
      <c r="I1523" s="15">
        <f t="shared" si="3"/>
        <v>1.97</v>
      </c>
      <c r="J1523" s="15">
        <v>14.85</v>
      </c>
      <c r="K1523" s="16">
        <f>IF(COUNTIFS(Release_Calendar!$A$2:$A$755,"US_CPI",Release_Calendar!$B$2:$B$755,$A1523)&gt;0,1,0)</f>
        <v>0</v>
      </c>
      <c r="L1523" s="16">
        <f>IF(COUNTIFS(Release_Calendar!$A$2:$A$755,"US_NFP",Release_Calendar!$B$2:$B$755,$A1523)&gt;0,1,0)</f>
        <v>0</v>
      </c>
      <c r="M1523" s="16" t="str">
        <f>IF($A1523&lt;Notes!$B$5,"",IF(COUNTIFS(Release_Calendar!$A$2:$A$755,"NZ_CPI",Release_Calendar!$B$2:$B$755,$A1523)&gt;0,1,0))</f>
        <v/>
      </c>
      <c r="N1523" s="16" t="str">
        <f>IF($A1523&lt;Notes!$B$5,"",IF(COUNTIFS(Release_Calendar!$A$2:$A$755,"NZ_GDP",Release_Calendar!$B$2:$B$755,$A1523)&gt;0,1,0))</f>
        <v/>
      </c>
      <c r="O1523" s="16" t="str">
        <f>IF($A1523&lt;Notes!$B$5,"",IF(COUNTIFS(Release_Calendar!$A$2:$A$755,"NZ_LABOUR",Release_Calendar!$B$2:$B$755,$A1523)&gt;0,1,0))</f>
        <v/>
      </c>
      <c r="P1523" s="16">
        <f t="shared" si="4"/>
        <v>0</v>
      </c>
    </row>
    <row r="1524" ht="15.75" customHeight="1">
      <c r="A1524" s="14">
        <v>38658.0</v>
      </c>
      <c r="B1524" s="15">
        <v>4.43</v>
      </c>
      <c r="C1524" s="15"/>
      <c r="D1524" s="15">
        <v>6.41</v>
      </c>
      <c r="E1524" s="15"/>
      <c r="F1524" s="15" t="str">
        <f t="shared" si="1"/>
        <v/>
      </c>
      <c r="G1524" s="15">
        <f t="shared" si="2"/>
        <v>6.41</v>
      </c>
      <c r="H1524" s="16">
        <v>1.0</v>
      </c>
      <c r="I1524" s="15">
        <f t="shared" si="3"/>
        <v>1.98</v>
      </c>
      <c r="J1524" s="15">
        <v>13.48</v>
      </c>
      <c r="K1524" s="16">
        <f>IF(COUNTIFS(Release_Calendar!$A$2:$A$755,"US_CPI",Release_Calendar!$B$2:$B$755,$A1524)&gt;0,1,0)</f>
        <v>0</v>
      </c>
      <c r="L1524" s="16">
        <f>IF(COUNTIFS(Release_Calendar!$A$2:$A$755,"US_NFP",Release_Calendar!$B$2:$B$755,$A1524)&gt;0,1,0)</f>
        <v>0</v>
      </c>
      <c r="M1524" s="16" t="str">
        <f>IF($A1524&lt;Notes!$B$5,"",IF(COUNTIFS(Release_Calendar!$A$2:$A$755,"NZ_CPI",Release_Calendar!$B$2:$B$755,$A1524)&gt;0,1,0))</f>
        <v/>
      </c>
      <c r="N1524" s="16" t="str">
        <f>IF($A1524&lt;Notes!$B$5,"",IF(COUNTIFS(Release_Calendar!$A$2:$A$755,"NZ_GDP",Release_Calendar!$B$2:$B$755,$A1524)&gt;0,1,0))</f>
        <v/>
      </c>
      <c r="O1524" s="16" t="str">
        <f>IF($A1524&lt;Notes!$B$5,"",IF(COUNTIFS(Release_Calendar!$A$2:$A$755,"NZ_LABOUR",Release_Calendar!$B$2:$B$755,$A1524)&gt;0,1,0))</f>
        <v/>
      </c>
      <c r="P1524" s="16">
        <f t="shared" si="4"/>
        <v>0</v>
      </c>
    </row>
    <row r="1525" ht="15.75" customHeight="1">
      <c r="A1525" s="14">
        <v>38659.0</v>
      </c>
      <c r="B1525" s="15">
        <v>4.47</v>
      </c>
      <c r="C1525" s="15"/>
      <c r="D1525" s="15">
        <v>6.44</v>
      </c>
      <c r="E1525" s="15"/>
      <c r="F1525" s="15" t="str">
        <f t="shared" si="1"/>
        <v/>
      </c>
      <c r="G1525" s="15">
        <f t="shared" si="2"/>
        <v>6.44</v>
      </c>
      <c r="H1525" s="16">
        <v>1.0</v>
      </c>
      <c r="I1525" s="15">
        <f t="shared" si="3"/>
        <v>1.97</v>
      </c>
      <c r="J1525" s="15">
        <v>13.0</v>
      </c>
      <c r="K1525" s="16">
        <f>IF(COUNTIFS(Release_Calendar!$A$2:$A$755,"US_CPI",Release_Calendar!$B$2:$B$755,$A1525)&gt;0,1,0)</f>
        <v>0</v>
      </c>
      <c r="L1525" s="16">
        <f>IF(COUNTIFS(Release_Calendar!$A$2:$A$755,"US_NFP",Release_Calendar!$B$2:$B$755,$A1525)&gt;0,1,0)</f>
        <v>0</v>
      </c>
      <c r="M1525" s="16" t="str">
        <f>IF($A1525&lt;Notes!$B$5,"",IF(COUNTIFS(Release_Calendar!$A$2:$A$755,"NZ_CPI",Release_Calendar!$B$2:$B$755,$A1525)&gt;0,1,0))</f>
        <v/>
      </c>
      <c r="N1525" s="16" t="str">
        <f>IF($A1525&lt;Notes!$B$5,"",IF(COUNTIFS(Release_Calendar!$A$2:$A$755,"NZ_GDP",Release_Calendar!$B$2:$B$755,$A1525)&gt;0,1,0))</f>
        <v/>
      </c>
      <c r="O1525" s="16" t="str">
        <f>IF($A1525&lt;Notes!$B$5,"",IF(COUNTIFS(Release_Calendar!$A$2:$A$755,"NZ_LABOUR",Release_Calendar!$B$2:$B$755,$A1525)&gt;0,1,0))</f>
        <v/>
      </c>
      <c r="P1525" s="16">
        <f t="shared" si="4"/>
        <v>0</v>
      </c>
    </row>
    <row r="1526" ht="15.75" customHeight="1">
      <c r="A1526" s="14">
        <v>38660.0</v>
      </c>
      <c r="B1526" s="15">
        <v>4.47</v>
      </c>
      <c r="C1526" s="15"/>
      <c r="D1526" s="15">
        <v>6.49</v>
      </c>
      <c r="E1526" s="15"/>
      <c r="F1526" s="15" t="str">
        <f t="shared" si="1"/>
        <v/>
      </c>
      <c r="G1526" s="15">
        <f t="shared" si="2"/>
        <v>6.49</v>
      </c>
      <c r="H1526" s="16">
        <v>1.0</v>
      </c>
      <c r="I1526" s="15">
        <f t="shared" si="3"/>
        <v>2.02</v>
      </c>
      <c r="J1526" s="15">
        <v>13.17</v>
      </c>
      <c r="K1526" s="16">
        <f>IF(COUNTIFS(Release_Calendar!$A$2:$A$755,"US_CPI",Release_Calendar!$B$2:$B$755,$A1526)&gt;0,1,0)</f>
        <v>0</v>
      </c>
      <c r="L1526" s="16">
        <f>IF(COUNTIFS(Release_Calendar!$A$2:$A$755,"US_NFP",Release_Calendar!$B$2:$B$755,$A1526)&gt;0,1,0)</f>
        <v>1</v>
      </c>
      <c r="M1526" s="16" t="str">
        <f>IF($A1526&lt;Notes!$B$5,"",IF(COUNTIFS(Release_Calendar!$A$2:$A$755,"NZ_CPI",Release_Calendar!$B$2:$B$755,$A1526)&gt;0,1,0))</f>
        <v/>
      </c>
      <c r="N1526" s="16" t="str">
        <f>IF($A1526&lt;Notes!$B$5,"",IF(COUNTIFS(Release_Calendar!$A$2:$A$755,"NZ_GDP",Release_Calendar!$B$2:$B$755,$A1526)&gt;0,1,0))</f>
        <v/>
      </c>
      <c r="O1526" s="16" t="str">
        <f>IF($A1526&lt;Notes!$B$5,"",IF(COUNTIFS(Release_Calendar!$A$2:$A$755,"NZ_LABOUR",Release_Calendar!$B$2:$B$755,$A1526)&gt;0,1,0))</f>
        <v/>
      </c>
      <c r="P1526" s="16">
        <f t="shared" si="4"/>
        <v>1</v>
      </c>
    </row>
    <row r="1527" ht="15.75" customHeight="1">
      <c r="A1527" s="14">
        <v>38663.0</v>
      </c>
      <c r="B1527" s="15">
        <v>4.47</v>
      </c>
      <c r="C1527" s="15"/>
      <c r="D1527" s="15">
        <v>6.5</v>
      </c>
      <c r="E1527" s="15"/>
      <c r="F1527" s="15" t="str">
        <f t="shared" si="1"/>
        <v/>
      </c>
      <c r="G1527" s="15">
        <f t="shared" si="2"/>
        <v>6.5</v>
      </c>
      <c r="H1527" s="16">
        <v>1.0</v>
      </c>
      <c r="I1527" s="15">
        <f t="shared" si="3"/>
        <v>2.03</v>
      </c>
      <c r="J1527" s="15">
        <v>13.1</v>
      </c>
      <c r="K1527" s="16">
        <f>IF(COUNTIFS(Release_Calendar!$A$2:$A$755,"US_CPI",Release_Calendar!$B$2:$B$755,$A1527)&gt;0,1,0)</f>
        <v>0</v>
      </c>
      <c r="L1527" s="16">
        <f>IF(COUNTIFS(Release_Calendar!$A$2:$A$755,"US_NFP",Release_Calendar!$B$2:$B$755,$A1527)&gt;0,1,0)</f>
        <v>0</v>
      </c>
      <c r="M1527" s="16" t="str">
        <f>IF($A1527&lt;Notes!$B$5,"",IF(COUNTIFS(Release_Calendar!$A$2:$A$755,"NZ_CPI",Release_Calendar!$B$2:$B$755,$A1527)&gt;0,1,0))</f>
        <v/>
      </c>
      <c r="N1527" s="16" t="str">
        <f>IF($A1527&lt;Notes!$B$5,"",IF(COUNTIFS(Release_Calendar!$A$2:$A$755,"NZ_GDP",Release_Calendar!$B$2:$B$755,$A1527)&gt;0,1,0))</f>
        <v/>
      </c>
      <c r="O1527" s="16" t="str">
        <f>IF($A1527&lt;Notes!$B$5,"",IF(COUNTIFS(Release_Calendar!$A$2:$A$755,"NZ_LABOUR",Release_Calendar!$B$2:$B$755,$A1527)&gt;0,1,0))</f>
        <v/>
      </c>
      <c r="P1527" s="16">
        <f t="shared" si="4"/>
        <v>0</v>
      </c>
    </row>
    <row r="1528" ht="15.75" customHeight="1">
      <c r="A1528" s="14">
        <v>38664.0</v>
      </c>
      <c r="B1528" s="15">
        <v>4.43</v>
      </c>
      <c r="C1528" s="15"/>
      <c r="D1528" s="15">
        <v>6.48</v>
      </c>
      <c r="E1528" s="15"/>
      <c r="F1528" s="15" t="str">
        <f t="shared" si="1"/>
        <v/>
      </c>
      <c r="G1528" s="15">
        <f t="shared" si="2"/>
        <v>6.48</v>
      </c>
      <c r="H1528" s="16">
        <v>1.0</v>
      </c>
      <c r="I1528" s="15">
        <f t="shared" si="3"/>
        <v>2.05</v>
      </c>
      <c r="J1528" s="15">
        <v>13.08</v>
      </c>
      <c r="K1528" s="16">
        <f>IF(COUNTIFS(Release_Calendar!$A$2:$A$755,"US_CPI",Release_Calendar!$B$2:$B$755,$A1528)&gt;0,1,0)</f>
        <v>0</v>
      </c>
      <c r="L1528" s="16">
        <f>IF(COUNTIFS(Release_Calendar!$A$2:$A$755,"US_NFP",Release_Calendar!$B$2:$B$755,$A1528)&gt;0,1,0)</f>
        <v>0</v>
      </c>
      <c r="M1528" s="16" t="str">
        <f>IF($A1528&lt;Notes!$B$5,"",IF(COUNTIFS(Release_Calendar!$A$2:$A$755,"NZ_CPI",Release_Calendar!$B$2:$B$755,$A1528)&gt;0,1,0))</f>
        <v/>
      </c>
      <c r="N1528" s="16" t="str">
        <f>IF($A1528&lt;Notes!$B$5,"",IF(COUNTIFS(Release_Calendar!$A$2:$A$755,"NZ_GDP",Release_Calendar!$B$2:$B$755,$A1528)&gt;0,1,0))</f>
        <v/>
      </c>
      <c r="O1528" s="16" t="str">
        <f>IF($A1528&lt;Notes!$B$5,"",IF(COUNTIFS(Release_Calendar!$A$2:$A$755,"NZ_LABOUR",Release_Calendar!$B$2:$B$755,$A1528)&gt;0,1,0))</f>
        <v/>
      </c>
      <c r="P1528" s="16">
        <f t="shared" si="4"/>
        <v>0</v>
      </c>
    </row>
    <row r="1529" ht="15.75" customHeight="1">
      <c r="A1529" s="14">
        <v>38665.0</v>
      </c>
      <c r="B1529" s="15">
        <v>4.49</v>
      </c>
      <c r="C1529" s="15"/>
      <c r="D1529" s="15">
        <v>6.53</v>
      </c>
      <c r="E1529" s="15"/>
      <c r="F1529" s="15" t="str">
        <f t="shared" si="1"/>
        <v/>
      </c>
      <c r="G1529" s="15">
        <f t="shared" si="2"/>
        <v>6.53</v>
      </c>
      <c r="H1529" s="16">
        <v>1.0</v>
      </c>
      <c r="I1529" s="15">
        <f t="shared" si="3"/>
        <v>2.04</v>
      </c>
      <c r="J1529" s="15">
        <v>12.8</v>
      </c>
      <c r="K1529" s="16">
        <f>IF(COUNTIFS(Release_Calendar!$A$2:$A$755,"US_CPI",Release_Calendar!$B$2:$B$755,$A1529)&gt;0,1,0)</f>
        <v>0</v>
      </c>
      <c r="L1529" s="16">
        <f>IF(COUNTIFS(Release_Calendar!$A$2:$A$755,"US_NFP",Release_Calendar!$B$2:$B$755,$A1529)&gt;0,1,0)</f>
        <v>0</v>
      </c>
      <c r="M1529" s="16" t="str">
        <f>IF($A1529&lt;Notes!$B$5,"",IF(COUNTIFS(Release_Calendar!$A$2:$A$755,"NZ_CPI",Release_Calendar!$B$2:$B$755,$A1529)&gt;0,1,0))</f>
        <v/>
      </c>
      <c r="N1529" s="16" t="str">
        <f>IF($A1529&lt;Notes!$B$5,"",IF(COUNTIFS(Release_Calendar!$A$2:$A$755,"NZ_GDP",Release_Calendar!$B$2:$B$755,$A1529)&gt;0,1,0))</f>
        <v/>
      </c>
      <c r="O1529" s="16" t="str">
        <f>IF($A1529&lt;Notes!$B$5,"",IF(COUNTIFS(Release_Calendar!$A$2:$A$755,"NZ_LABOUR",Release_Calendar!$B$2:$B$755,$A1529)&gt;0,1,0))</f>
        <v/>
      </c>
      <c r="P1529" s="16">
        <f t="shared" si="4"/>
        <v>0</v>
      </c>
    </row>
    <row r="1530" ht="15.75" customHeight="1">
      <c r="A1530" s="14">
        <v>38666.0</v>
      </c>
      <c r="B1530" s="15">
        <v>4.44</v>
      </c>
      <c r="C1530" s="15"/>
      <c r="D1530" s="15">
        <v>6.6</v>
      </c>
      <c r="E1530" s="15"/>
      <c r="F1530" s="15" t="str">
        <f t="shared" si="1"/>
        <v/>
      </c>
      <c r="G1530" s="15">
        <f t="shared" si="2"/>
        <v>6.6</v>
      </c>
      <c r="H1530" s="16">
        <v>1.0</v>
      </c>
      <c r="I1530" s="15">
        <f t="shared" si="3"/>
        <v>2.16</v>
      </c>
      <c r="J1530" s="15">
        <v>11.9</v>
      </c>
      <c r="K1530" s="16">
        <f>IF(COUNTIFS(Release_Calendar!$A$2:$A$755,"US_CPI",Release_Calendar!$B$2:$B$755,$A1530)&gt;0,1,0)</f>
        <v>0</v>
      </c>
      <c r="L1530" s="16">
        <f>IF(COUNTIFS(Release_Calendar!$A$2:$A$755,"US_NFP",Release_Calendar!$B$2:$B$755,$A1530)&gt;0,1,0)</f>
        <v>0</v>
      </c>
      <c r="M1530" s="16" t="str">
        <f>IF($A1530&lt;Notes!$B$5,"",IF(COUNTIFS(Release_Calendar!$A$2:$A$755,"NZ_CPI",Release_Calendar!$B$2:$B$755,$A1530)&gt;0,1,0))</f>
        <v/>
      </c>
      <c r="N1530" s="16" t="str">
        <f>IF($A1530&lt;Notes!$B$5,"",IF(COUNTIFS(Release_Calendar!$A$2:$A$755,"NZ_GDP",Release_Calendar!$B$2:$B$755,$A1530)&gt;0,1,0))</f>
        <v/>
      </c>
      <c r="O1530" s="16" t="str">
        <f>IF($A1530&lt;Notes!$B$5,"",IF(COUNTIFS(Release_Calendar!$A$2:$A$755,"NZ_LABOUR",Release_Calendar!$B$2:$B$755,$A1530)&gt;0,1,0))</f>
        <v/>
      </c>
      <c r="P1530" s="16">
        <f t="shared" si="4"/>
        <v>0</v>
      </c>
    </row>
    <row r="1531" ht="15.75" customHeight="1">
      <c r="A1531" s="14">
        <v>38667.0</v>
      </c>
      <c r="B1531" s="15"/>
      <c r="C1531" s="15"/>
      <c r="D1531" s="15">
        <v>6.68</v>
      </c>
      <c r="E1531" s="15"/>
      <c r="F1531" s="15" t="str">
        <f t="shared" si="1"/>
        <v/>
      </c>
      <c r="G1531" s="15">
        <f t="shared" si="2"/>
        <v>6.68</v>
      </c>
      <c r="H1531" s="16">
        <v>1.0</v>
      </c>
      <c r="I1531" s="15" t="str">
        <f t="shared" si="3"/>
        <v/>
      </c>
      <c r="J1531" s="15">
        <v>11.63</v>
      </c>
      <c r="K1531" s="16">
        <f>IF(COUNTIFS(Release_Calendar!$A$2:$A$755,"US_CPI",Release_Calendar!$B$2:$B$755,$A1531)&gt;0,1,0)</f>
        <v>0</v>
      </c>
      <c r="L1531" s="16">
        <f>IF(COUNTIFS(Release_Calendar!$A$2:$A$755,"US_NFP",Release_Calendar!$B$2:$B$755,$A1531)&gt;0,1,0)</f>
        <v>0</v>
      </c>
      <c r="M1531" s="16" t="str">
        <f>IF($A1531&lt;Notes!$B$5,"",IF(COUNTIFS(Release_Calendar!$A$2:$A$755,"NZ_CPI",Release_Calendar!$B$2:$B$755,$A1531)&gt;0,1,0))</f>
        <v/>
      </c>
      <c r="N1531" s="16" t="str">
        <f>IF($A1531&lt;Notes!$B$5,"",IF(COUNTIFS(Release_Calendar!$A$2:$A$755,"NZ_GDP",Release_Calendar!$B$2:$B$755,$A1531)&gt;0,1,0))</f>
        <v/>
      </c>
      <c r="O1531" s="16" t="str">
        <f>IF($A1531&lt;Notes!$B$5,"",IF(COUNTIFS(Release_Calendar!$A$2:$A$755,"NZ_LABOUR",Release_Calendar!$B$2:$B$755,$A1531)&gt;0,1,0))</f>
        <v/>
      </c>
      <c r="P1531" s="16">
        <f t="shared" si="4"/>
        <v>0</v>
      </c>
    </row>
    <row r="1532" ht="15.75" customHeight="1">
      <c r="A1532" s="14">
        <v>38670.0</v>
      </c>
      <c r="B1532" s="15">
        <v>4.5</v>
      </c>
      <c r="C1532" s="15"/>
      <c r="D1532" s="15">
        <v>6.68</v>
      </c>
      <c r="E1532" s="15"/>
      <c r="F1532" s="15" t="str">
        <f t="shared" si="1"/>
        <v/>
      </c>
      <c r="G1532" s="15">
        <f t="shared" si="2"/>
        <v>6.68</v>
      </c>
      <c r="H1532" s="16">
        <v>1.0</v>
      </c>
      <c r="I1532" s="15">
        <f t="shared" si="3"/>
        <v>2.18</v>
      </c>
      <c r="J1532" s="15">
        <v>12.18</v>
      </c>
      <c r="K1532" s="16">
        <f>IF(COUNTIFS(Release_Calendar!$A$2:$A$755,"US_CPI",Release_Calendar!$B$2:$B$755,$A1532)&gt;0,1,0)</f>
        <v>0</v>
      </c>
      <c r="L1532" s="16">
        <f>IF(COUNTIFS(Release_Calendar!$A$2:$A$755,"US_NFP",Release_Calendar!$B$2:$B$755,$A1532)&gt;0,1,0)</f>
        <v>0</v>
      </c>
      <c r="M1532" s="16" t="str">
        <f>IF($A1532&lt;Notes!$B$5,"",IF(COUNTIFS(Release_Calendar!$A$2:$A$755,"NZ_CPI",Release_Calendar!$B$2:$B$755,$A1532)&gt;0,1,0))</f>
        <v/>
      </c>
      <c r="N1532" s="16" t="str">
        <f>IF($A1532&lt;Notes!$B$5,"",IF(COUNTIFS(Release_Calendar!$A$2:$A$755,"NZ_GDP",Release_Calendar!$B$2:$B$755,$A1532)&gt;0,1,0))</f>
        <v/>
      </c>
      <c r="O1532" s="16" t="str">
        <f>IF($A1532&lt;Notes!$B$5,"",IF(COUNTIFS(Release_Calendar!$A$2:$A$755,"NZ_LABOUR",Release_Calendar!$B$2:$B$755,$A1532)&gt;0,1,0))</f>
        <v/>
      </c>
      <c r="P1532" s="16">
        <f t="shared" si="4"/>
        <v>0</v>
      </c>
    </row>
    <row r="1533" ht="15.75" customHeight="1">
      <c r="A1533" s="14">
        <v>38671.0</v>
      </c>
      <c r="B1533" s="15">
        <v>4.47</v>
      </c>
      <c r="C1533" s="15"/>
      <c r="D1533" s="15">
        <v>6.7</v>
      </c>
      <c r="E1533" s="15"/>
      <c r="F1533" s="15" t="str">
        <f t="shared" si="1"/>
        <v/>
      </c>
      <c r="G1533" s="15">
        <f t="shared" si="2"/>
        <v>6.7</v>
      </c>
      <c r="H1533" s="16">
        <v>1.0</v>
      </c>
      <c r="I1533" s="15">
        <f t="shared" si="3"/>
        <v>2.23</v>
      </c>
      <c r="J1533" s="15">
        <v>12.23</v>
      </c>
      <c r="K1533" s="16">
        <f>IF(COUNTIFS(Release_Calendar!$A$2:$A$755,"US_CPI",Release_Calendar!$B$2:$B$755,$A1533)&gt;0,1,0)</f>
        <v>0</v>
      </c>
      <c r="L1533" s="16">
        <f>IF(COUNTIFS(Release_Calendar!$A$2:$A$755,"US_NFP",Release_Calendar!$B$2:$B$755,$A1533)&gt;0,1,0)</f>
        <v>0</v>
      </c>
      <c r="M1533" s="16" t="str">
        <f>IF($A1533&lt;Notes!$B$5,"",IF(COUNTIFS(Release_Calendar!$A$2:$A$755,"NZ_CPI",Release_Calendar!$B$2:$B$755,$A1533)&gt;0,1,0))</f>
        <v/>
      </c>
      <c r="N1533" s="16" t="str">
        <f>IF($A1533&lt;Notes!$B$5,"",IF(COUNTIFS(Release_Calendar!$A$2:$A$755,"NZ_GDP",Release_Calendar!$B$2:$B$755,$A1533)&gt;0,1,0))</f>
        <v/>
      </c>
      <c r="O1533" s="16" t="str">
        <f>IF($A1533&lt;Notes!$B$5,"",IF(COUNTIFS(Release_Calendar!$A$2:$A$755,"NZ_LABOUR",Release_Calendar!$B$2:$B$755,$A1533)&gt;0,1,0))</f>
        <v/>
      </c>
      <c r="P1533" s="16">
        <f t="shared" si="4"/>
        <v>0</v>
      </c>
    </row>
    <row r="1534" ht="15.75" customHeight="1">
      <c r="A1534" s="14">
        <v>38672.0</v>
      </c>
      <c r="B1534" s="15">
        <v>4.42</v>
      </c>
      <c r="C1534" s="15"/>
      <c r="D1534" s="15">
        <v>6.75</v>
      </c>
      <c r="E1534" s="15"/>
      <c r="F1534" s="15" t="str">
        <f t="shared" si="1"/>
        <v/>
      </c>
      <c r="G1534" s="15">
        <f t="shared" si="2"/>
        <v>6.75</v>
      </c>
      <c r="H1534" s="16">
        <v>1.0</v>
      </c>
      <c r="I1534" s="15">
        <f t="shared" si="3"/>
        <v>2.33</v>
      </c>
      <c r="J1534" s="15">
        <v>12.26</v>
      </c>
      <c r="K1534" s="16">
        <f>IF(COUNTIFS(Release_Calendar!$A$2:$A$755,"US_CPI",Release_Calendar!$B$2:$B$755,$A1534)&gt;0,1,0)</f>
        <v>1</v>
      </c>
      <c r="L1534" s="16">
        <f>IF(COUNTIFS(Release_Calendar!$A$2:$A$755,"US_NFP",Release_Calendar!$B$2:$B$755,$A1534)&gt;0,1,0)</f>
        <v>0</v>
      </c>
      <c r="M1534" s="16" t="str">
        <f>IF($A1534&lt;Notes!$B$5,"",IF(COUNTIFS(Release_Calendar!$A$2:$A$755,"NZ_CPI",Release_Calendar!$B$2:$B$755,$A1534)&gt;0,1,0))</f>
        <v/>
      </c>
      <c r="N1534" s="16" t="str">
        <f>IF($A1534&lt;Notes!$B$5,"",IF(COUNTIFS(Release_Calendar!$A$2:$A$755,"NZ_GDP",Release_Calendar!$B$2:$B$755,$A1534)&gt;0,1,0))</f>
        <v/>
      </c>
      <c r="O1534" s="16" t="str">
        <f>IF($A1534&lt;Notes!$B$5,"",IF(COUNTIFS(Release_Calendar!$A$2:$A$755,"NZ_LABOUR",Release_Calendar!$B$2:$B$755,$A1534)&gt;0,1,0))</f>
        <v/>
      </c>
      <c r="P1534" s="16">
        <f t="shared" si="4"/>
        <v>1</v>
      </c>
    </row>
    <row r="1535" ht="15.75" customHeight="1">
      <c r="A1535" s="14">
        <v>38673.0</v>
      </c>
      <c r="B1535" s="15">
        <v>4.37</v>
      </c>
      <c r="C1535" s="15"/>
      <c r="D1535" s="15">
        <v>6.77</v>
      </c>
      <c r="E1535" s="15"/>
      <c r="F1535" s="15" t="str">
        <f t="shared" si="1"/>
        <v/>
      </c>
      <c r="G1535" s="15">
        <f t="shared" si="2"/>
        <v>6.77</v>
      </c>
      <c r="H1535" s="16">
        <v>1.0</v>
      </c>
      <c r="I1535" s="15">
        <f t="shared" si="3"/>
        <v>2.4</v>
      </c>
      <c r="J1535" s="15">
        <v>11.25</v>
      </c>
      <c r="K1535" s="16">
        <f>IF(COUNTIFS(Release_Calendar!$A$2:$A$755,"US_CPI",Release_Calendar!$B$2:$B$755,$A1535)&gt;0,1,0)</f>
        <v>0</v>
      </c>
      <c r="L1535" s="16">
        <f>IF(COUNTIFS(Release_Calendar!$A$2:$A$755,"US_NFP",Release_Calendar!$B$2:$B$755,$A1535)&gt;0,1,0)</f>
        <v>0</v>
      </c>
      <c r="M1535" s="16" t="str">
        <f>IF($A1535&lt;Notes!$B$5,"",IF(COUNTIFS(Release_Calendar!$A$2:$A$755,"NZ_CPI",Release_Calendar!$B$2:$B$755,$A1535)&gt;0,1,0))</f>
        <v/>
      </c>
      <c r="N1535" s="16" t="str">
        <f>IF($A1535&lt;Notes!$B$5,"",IF(COUNTIFS(Release_Calendar!$A$2:$A$755,"NZ_GDP",Release_Calendar!$B$2:$B$755,$A1535)&gt;0,1,0))</f>
        <v/>
      </c>
      <c r="O1535" s="16" t="str">
        <f>IF($A1535&lt;Notes!$B$5,"",IF(COUNTIFS(Release_Calendar!$A$2:$A$755,"NZ_LABOUR",Release_Calendar!$B$2:$B$755,$A1535)&gt;0,1,0))</f>
        <v/>
      </c>
      <c r="P1535" s="16">
        <f t="shared" si="4"/>
        <v>0</v>
      </c>
    </row>
    <row r="1536" ht="15.75" customHeight="1">
      <c r="A1536" s="14">
        <v>38674.0</v>
      </c>
      <c r="B1536" s="15">
        <v>4.4</v>
      </c>
      <c r="C1536" s="15"/>
      <c r="D1536" s="15">
        <v>6.78</v>
      </c>
      <c r="E1536" s="15"/>
      <c r="F1536" s="15" t="str">
        <f t="shared" si="1"/>
        <v/>
      </c>
      <c r="G1536" s="15">
        <f t="shared" si="2"/>
        <v>6.78</v>
      </c>
      <c r="H1536" s="16">
        <v>1.0</v>
      </c>
      <c r="I1536" s="15">
        <f t="shared" si="3"/>
        <v>2.38</v>
      </c>
      <c r="J1536" s="15">
        <v>11.12</v>
      </c>
      <c r="K1536" s="16">
        <f>IF(COUNTIFS(Release_Calendar!$A$2:$A$755,"US_CPI",Release_Calendar!$B$2:$B$755,$A1536)&gt;0,1,0)</f>
        <v>0</v>
      </c>
      <c r="L1536" s="16">
        <f>IF(COUNTIFS(Release_Calendar!$A$2:$A$755,"US_NFP",Release_Calendar!$B$2:$B$755,$A1536)&gt;0,1,0)</f>
        <v>0</v>
      </c>
      <c r="M1536" s="16" t="str">
        <f>IF($A1536&lt;Notes!$B$5,"",IF(COUNTIFS(Release_Calendar!$A$2:$A$755,"NZ_CPI",Release_Calendar!$B$2:$B$755,$A1536)&gt;0,1,0))</f>
        <v/>
      </c>
      <c r="N1536" s="16" t="str">
        <f>IF($A1536&lt;Notes!$B$5,"",IF(COUNTIFS(Release_Calendar!$A$2:$A$755,"NZ_GDP",Release_Calendar!$B$2:$B$755,$A1536)&gt;0,1,0))</f>
        <v/>
      </c>
      <c r="O1536" s="16" t="str">
        <f>IF($A1536&lt;Notes!$B$5,"",IF(COUNTIFS(Release_Calendar!$A$2:$A$755,"NZ_LABOUR",Release_Calendar!$B$2:$B$755,$A1536)&gt;0,1,0))</f>
        <v/>
      </c>
      <c r="P1536" s="16">
        <f t="shared" si="4"/>
        <v>0</v>
      </c>
    </row>
    <row r="1537" ht="15.75" customHeight="1">
      <c r="A1537" s="14">
        <v>38677.0</v>
      </c>
      <c r="B1537" s="15">
        <v>4.39</v>
      </c>
      <c r="C1537" s="15"/>
      <c r="D1537" s="15">
        <v>6.8</v>
      </c>
      <c r="E1537" s="15"/>
      <c r="F1537" s="15" t="str">
        <f t="shared" si="1"/>
        <v/>
      </c>
      <c r="G1537" s="15">
        <f t="shared" si="2"/>
        <v>6.8</v>
      </c>
      <c r="H1537" s="16">
        <v>1.0</v>
      </c>
      <c r="I1537" s="15">
        <f t="shared" si="3"/>
        <v>2.41</v>
      </c>
      <c r="J1537" s="15">
        <v>10.82</v>
      </c>
      <c r="K1537" s="16">
        <f>IF(COUNTIFS(Release_Calendar!$A$2:$A$755,"US_CPI",Release_Calendar!$B$2:$B$755,$A1537)&gt;0,1,0)</f>
        <v>0</v>
      </c>
      <c r="L1537" s="16">
        <f>IF(COUNTIFS(Release_Calendar!$A$2:$A$755,"US_NFP",Release_Calendar!$B$2:$B$755,$A1537)&gt;0,1,0)</f>
        <v>0</v>
      </c>
      <c r="M1537" s="16" t="str">
        <f>IF($A1537&lt;Notes!$B$5,"",IF(COUNTIFS(Release_Calendar!$A$2:$A$755,"NZ_CPI",Release_Calendar!$B$2:$B$755,$A1537)&gt;0,1,0))</f>
        <v/>
      </c>
      <c r="N1537" s="16" t="str">
        <f>IF($A1537&lt;Notes!$B$5,"",IF(COUNTIFS(Release_Calendar!$A$2:$A$755,"NZ_GDP",Release_Calendar!$B$2:$B$755,$A1537)&gt;0,1,0))</f>
        <v/>
      </c>
      <c r="O1537" s="16" t="str">
        <f>IF($A1537&lt;Notes!$B$5,"",IF(COUNTIFS(Release_Calendar!$A$2:$A$755,"NZ_LABOUR",Release_Calendar!$B$2:$B$755,$A1537)&gt;0,1,0))</f>
        <v/>
      </c>
      <c r="P1537" s="16">
        <f t="shared" si="4"/>
        <v>0</v>
      </c>
    </row>
    <row r="1538" ht="15.75" customHeight="1">
      <c r="A1538" s="14">
        <v>38678.0</v>
      </c>
      <c r="B1538" s="15">
        <v>4.32</v>
      </c>
      <c r="C1538" s="15"/>
      <c r="D1538" s="15">
        <v>6.79</v>
      </c>
      <c r="E1538" s="15"/>
      <c r="F1538" s="15" t="str">
        <f t="shared" si="1"/>
        <v/>
      </c>
      <c r="G1538" s="15">
        <f t="shared" si="2"/>
        <v>6.79</v>
      </c>
      <c r="H1538" s="16">
        <v>1.0</v>
      </c>
      <c r="I1538" s="15">
        <f t="shared" si="3"/>
        <v>2.47</v>
      </c>
      <c r="J1538" s="15">
        <v>10.6</v>
      </c>
      <c r="K1538" s="16">
        <f>IF(COUNTIFS(Release_Calendar!$A$2:$A$755,"US_CPI",Release_Calendar!$B$2:$B$755,$A1538)&gt;0,1,0)</f>
        <v>0</v>
      </c>
      <c r="L1538" s="16">
        <f>IF(COUNTIFS(Release_Calendar!$A$2:$A$755,"US_NFP",Release_Calendar!$B$2:$B$755,$A1538)&gt;0,1,0)</f>
        <v>0</v>
      </c>
      <c r="M1538" s="16" t="str">
        <f>IF($A1538&lt;Notes!$B$5,"",IF(COUNTIFS(Release_Calendar!$A$2:$A$755,"NZ_CPI",Release_Calendar!$B$2:$B$755,$A1538)&gt;0,1,0))</f>
        <v/>
      </c>
      <c r="N1538" s="16" t="str">
        <f>IF($A1538&lt;Notes!$B$5,"",IF(COUNTIFS(Release_Calendar!$A$2:$A$755,"NZ_GDP",Release_Calendar!$B$2:$B$755,$A1538)&gt;0,1,0))</f>
        <v/>
      </c>
      <c r="O1538" s="16" t="str">
        <f>IF($A1538&lt;Notes!$B$5,"",IF(COUNTIFS(Release_Calendar!$A$2:$A$755,"NZ_LABOUR",Release_Calendar!$B$2:$B$755,$A1538)&gt;0,1,0))</f>
        <v/>
      </c>
      <c r="P1538" s="16">
        <f t="shared" si="4"/>
        <v>0</v>
      </c>
    </row>
    <row r="1539" ht="15.75" customHeight="1">
      <c r="A1539" s="14">
        <v>38679.0</v>
      </c>
      <c r="B1539" s="15">
        <v>4.36</v>
      </c>
      <c r="C1539" s="15"/>
      <c r="D1539" s="15">
        <v>6.8</v>
      </c>
      <c r="E1539" s="15"/>
      <c r="F1539" s="15" t="str">
        <f t="shared" si="1"/>
        <v/>
      </c>
      <c r="G1539" s="15">
        <f t="shared" si="2"/>
        <v>6.8</v>
      </c>
      <c r="H1539" s="16">
        <v>1.0</v>
      </c>
      <c r="I1539" s="15">
        <f t="shared" si="3"/>
        <v>2.44</v>
      </c>
      <c r="J1539" s="15">
        <v>10.96</v>
      </c>
      <c r="K1539" s="16">
        <f>IF(COUNTIFS(Release_Calendar!$A$2:$A$755,"US_CPI",Release_Calendar!$B$2:$B$755,$A1539)&gt;0,1,0)</f>
        <v>0</v>
      </c>
      <c r="L1539" s="16">
        <f>IF(COUNTIFS(Release_Calendar!$A$2:$A$755,"US_NFP",Release_Calendar!$B$2:$B$755,$A1539)&gt;0,1,0)</f>
        <v>0</v>
      </c>
      <c r="M1539" s="16" t="str">
        <f>IF($A1539&lt;Notes!$B$5,"",IF(COUNTIFS(Release_Calendar!$A$2:$A$755,"NZ_CPI",Release_Calendar!$B$2:$B$755,$A1539)&gt;0,1,0))</f>
        <v/>
      </c>
      <c r="N1539" s="16" t="str">
        <f>IF($A1539&lt;Notes!$B$5,"",IF(COUNTIFS(Release_Calendar!$A$2:$A$755,"NZ_GDP",Release_Calendar!$B$2:$B$755,$A1539)&gt;0,1,0))</f>
        <v/>
      </c>
      <c r="O1539" s="16" t="str">
        <f>IF($A1539&lt;Notes!$B$5,"",IF(COUNTIFS(Release_Calendar!$A$2:$A$755,"NZ_LABOUR",Release_Calendar!$B$2:$B$755,$A1539)&gt;0,1,0))</f>
        <v/>
      </c>
      <c r="P1539" s="16">
        <f t="shared" si="4"/>
        <v>0</v>
      </c>
    </row>
    <row r="1540" ht="15.75" customHeight="1">
      <c r="A1540" s="14">
        <v>38680.0</v>
      </c>
      <c r="B1540" s="15"/>
      <c r="C1540" s="15"/>
      <c r="D1540" s="15">
        <v>6.83</v>
      </c>
      <c r="E1540" s="15"/>
      <c r="F1540" s="15" t="str">
        <f t="shared" si="1"/>
        <v/>
      </c>
      <c r="G1540" s="15">
        <f t="shared" si="2"/>
        <v>6.83</v>
      </c>
      <c r="H1540" s="16">
        <v>1.0</v>
      </c>
      <c r="I1540" s="15" t="str">
        <f t="shared" si="3"/>
        <v/>
      </c>
      <c r="J1540" s="15"/>
      <c r="K1540" s="16">
        <f>IF(COUNTIFS(Release_Calendar!$A$2:$A$755,"US_CPI",Release_Calendar!$B$2:$B$755,$A1540)&gt;0,1,0)</f>
        <v>0</v>
      </c>
      <c r="L1540" s="16">
        <f>IF(COUNTIFS(Release_Calendar!$A$2:$A$755,"US_NFP",Release_Calendar!$B$2:$B$755,$A1540)&gt;0,1,0)</f>
        <v>0</v>
      </c>
      <c r="M1540" s="16" t="str">
        <f>IF($A1540&lt;Notes!$B$5,"",IF(COUNTIFS(Release_Calendar!$A$2:$A$755,"NZ_CPI",Release_Calendar!$B$2:$B$755,$A1540)&gt;0,1,0))</f>
        <v/>
      </c>
      <c r="N1540" s="16" t="str">
        <f>IF($A1540&lt;Notes!$B$5,"",IF(COUNTIFS(Release_Calendar!$A$2:$A$755,"NZ_GDP",Release_Calendar!$B$2:$B$755,$A1540)&gt;0,1,0))</f>
        <v/>
      </c>
      <c r="O1540" s="16" t="str">
        <f>IF($A1540&lt;Notes!$B$5,"",IF(COUNTIFS(Release_Calendar!$A$2:$A$755,"NZ_LABOUR",Release_Calendar!$B$2:$B$755,$A1540)&gt;0,1,0))</f>
        <v/>
      </c>
      <c r="P1540" s="16">
        <f t="shared" si="4"/>
        <v>0</v>
      </c>
    </row>
    <row r="1541" ht="15.75" customHeight="1">
      <c r="A1541" s="14">
        <v>38681.0</v>
      </c>
      <c r="B1541" s="15">
        <v>4.33</v>
      </c>
      <c r="C1541" s="15"/>
      <c r="D1541" s="15">
        <v>6.9</v>
      </c>
      <c r="E1541" s="15"/>
      <c r="F1541" s="15" t="str">
        <f t="shared" si="1"/>
        <v/>
      </c>
      <c r="G1541" s="15">
        <f t="shared" si="2"/>
        <v>6.9</v>
      </c>
      <c r="H1541" s="16">
        <v>1.0</v>
      </c>
      <c r="I1541" s="15">
        <f t="shared" si="3"/>
        <v>2.57</v>
      </c>
      <c r="J1541" s="15">
        <v>10.88</v>
      </c>
      <c r="K1541" s="16">
        <f>IF(COUNTIFS(Release_Calendar!$A$2:$A$755,"US_CPI",Release_Calendar!$B$2:$B$755,$A1541)&gt;0,1,0)</f>
        <v>0</v>
      </c>
      <c r="L1541" s="16">
        <f>IF(COUNTIFS(Release_Calendar!$A$2:$A$755,"US_NFP",Release_Calendar!$B$2:$B$755,$A1541)&gt;0,1,0)</f>
        <v>0</v>
      </c>
      <c r="M1541" s="16" t="str">
        <f>IF($A1541&lt;Notes!$B$5,"",IF(COUNTIFS(Release_Calendar!$A$2:$A$755,"NZ_CPI",Release_Calendar!$B$2:$B$755,$A1541)&gt;0,1,0))</f>
        <v/>
      </c>
      <c r="N1541" s="16" t="str">
        <f>IF($A1541&lt;Notes!$B$5,"",IF(COUNTIFS(Release_Calendar!$A$2:$A$755,"NZ_GDP",Release_Calendar!$B$2:$B$755,$A1541)&gt;0,1,0))</f>
        <v/>
      </c>
      <c r="O1541" s="16" t="str">
        <f>IF($A1541&lt;Notes!$B$5,"",IF(COUNTIFS(Release_Calendar!$A$2:$A$755,"NZ_LABOUR",Release_Calendar!$B$2:$B$755,$A1541)&gt;0,1,0))</f>
        <v/>
      </c>
      <c r="P1541" s="16">
        <f t="shared" si="4"/>
        <v>0</v>
      </c>
    </row>
    <row r="1542" ht="15.75" customHeight="1">
      <c r="A1542" s="14">
        <v>38684.0</v>
      </c>
      <c r="B1542" s="15">
        <v>4.33</v>
      </c>
      <c r="C1542" s="15"/>
      <c r="D1542" s="15">
        <v>6.89</v>
      </c>
      <c r="E1542" s="15"/>
      <c r="F1542" s="15" t="str">
        <f t="shared" si="1"/>
        <v/>
      </c>
      <c r="G1542" s="15">
        <f t="shared" si="2"/>
        <v>6.89</v>
      </c>
      <c r="H1542" s="16">
        <v>1.0</v>
      </c>
      <c r="I1542" s="15">
        <f t="shared" si="3"/>
        <v>2.56</v>
      </c>
      <c r="J1542" s="15">
        <v>11.84</v>
      </c>
      <c r="K1542" s="16">
        <f>IF(COUNTIFS(Release_Calendar!$A$2:$A$755,"US_CPI",Release_Calendar!$B$2:$B$755,$A1542)&gt;0,1,0)</f>
        <v>0</v>
      </c>
      <c r="L1542" s="16">
        <f>IF(COUNTIFS(Release_Calendar!$A$2:$A$755,"US_NFP",Release_Calendar!$B$2:$B$755,$A1542)&gt;0,1,0)</f>
        <v>0</v>
      </c>
      <c r="M1542" s="16" t="str">
        <f>IF($A1542&lt;Notes!$B$5,"",IF(COUNTIFS(Release_Calendar!$A$2:$A$755,"NZ_CPI",Release_Calendar!$B$2:$B$755,$A1542)&gt;0,1,0))</f>
        <v/>
      </c>
      <c r="N1542" s="16" t="str">
        <f>IF($A1542&lt;Notes!$B$5,"",IF(COUNTIFS(Release_Calendar!$A$2:$A$755,"NZ_GDP",Release_Calendar!$B$2:$B$755,$A1542)&gt;0,1,0))</f>
        <v/>
      </c>
      <c r="O1542" s="16" t="str">
        <f>IF($A1542&lt;Notes!$B$5,"",IF(COUNTIFS(Release_Calendar!$A$2:$A$755,"NZ_LABOUR",Release_Calendar!$B$2:$B$755,$A1542)&gt;0,1,0))</f>
        <v/>
      </c>
      <c r="P1542" s="16">
        <f t="shared" si="4"/>
        <v>0</v>
      </c>
    </row>
    <row r="1543" ht="15.75" customHeight="1">
      <c r="A1543" s="14">
        <v>38685.0</v>
      </c>
      <c r="B1543" s="15">
        <v>4.4</v>
      </c>
      <c r="C1543" s="15"/>
      <c r="D1543" s="15">
        <v>6.89</v>
      </c>
      <c r="E1543" s="15"/>
      <c r="F1543" s="15" t="str">
        <f t="shared" si="1"/>
        <v/>
      </c>
      <c r="G1543" s="15">
        <f t="shared" si="2"/>
        <v>6.89</v>
      </c>
      <c r="H1543" s="16">
        <v>1.0</v>
      </c>
      <c r="I1543" s="15">
        <f t="shared" si="3"/>
        <v>2.49</v>
      </c>
      <c r="J1543" s="15">
        <v>11.89</v>
      </c>
      <c r="K1543" s="16">
        <f>IF(COUNTIFS(Release_Calendar!$A$2:$A$755,"US_CPI",Release_Calendar!$B$2:$B$755,$A1543)&gt;0,1,0)</f>
        <v>0</v>
      </c>
      <c r="L1543" s="16">
        <f>IF(COUNTIFS(Release_Calendar!$A$2:$A$755,"US_NFP",Release_Calendar!$B$2:$B$755,$A1543)&gt;0,1,0)</f>
        <v>0</v>
      </c>
      <c r="M1543" s="16" t="str">
        <f>IF($A1543&lt;Notes!$B$5,"",IF(COUNTIFS(Release_Calendar!$A$2:$A$755,"NZ_CPI",Release_Calendar!$B$2:$B$755,$A1543)&gt;0,1,0))</f>
        <v/>
      </c>
      <c r="N1543" s="16" t="str">
        <f>IF($A1543&lt;Notes!$B$5,"",IF(COUNTIFS(Release_Calendar!$A$2:$A$755,"NZ_GDP",Release_Calendar!$B$2:$B$755,$A1543)&gt;0,1,0))</f>
        <v/>
      </c>
      <c r="O1543" s="16" t="str">
        <f>IF($A1543&lt;Notes!$B$5,"",IF(COUNTIFS(Release_Calendar!$A$2:$A$755,"NZ_LABOUR",Release_Calendar!$B$2:$B$755,$A1543)&gt;0,1,0))</f>
        <v/>
      </c>
      <c r="P1543" s="16">
        <f t="shared" si="4"/>
        <v>0</v>
      </c>
    </row>
    <row r="1544" ht="15.75" customHeight="1">
      <c r="A1544" s="14">
        <v>38686.0</v>
      </c>
      <c r="B1544" s="15">
        <v>4.42</v>
      </c>
      <c r="C1544" s="15"/>
      <c r="D1544" s="15">
        <v>6.91</v>
      </c>
      <c r="E1544" s="15"/>
      <c r="F1544" s="15" t="str">
        <f t="shared" si="1"/>
        <v/>
      </c>
      <c r="G1544" s="15">
        <f t="shared" si="2"/>
        <v>6.91</v>
      </c>
      <c r="H1544" s="16">
        <v>1.0</v>
      </c>
      <c r="I1544" s="15">
        <f t="shared" si="3"/>
        <v>2.49</v>
      </c>
      <c r="J1544" s="15">
        <v>12.06</v>
      </c>
      <c r="K1544" s="16">
        <f>IF(COUNTIFS(Release_Calendar!$A$2:$A$755,"US_CPI",Release_Calendar!$B$2:$B$755,$A1544)&gt;0,1,0)</f>
        <v>0</v>
      </c>
      <c r="L1544" s="16">
        <f>IF(COUNTIFS(Release_Calendar!$A$2:$A$755,"US_NFP",Release_Calendar!$B$2:$B$755,$A1544)&gt;0,1,0)</f>
        <v>0</v>
      </c>
      <c r="M1544" s="16" t="str">
        <f>IF($A1544&lt;Notes!$B$5,"",IF(COUNTIFS(Release_Calendar!$A$2:$A$755,"NZ_CPI",Release_Calendar!$B$2:$B$755,$A1544)&gt;0,1,0))</f>
        <v/>
      </c>
      <c r="N1544" s="16" t="str">
        <f>IF($A1544&lt;Notes!$B$5,"",IF(COUNTIFS(Release_Calendar!$A$2:$A$755,"NZ_GDP",Release_Calendar!$B$2:$B$755,$A1544)&gt;0,1,0))</f>
        <v/>
      </c>
      <c r="O1544" s="16" t="str">
        <f>IF($A1544&lt;Notes!$B$5,"",IF(COUNTIFS(Release_Calendar!$A$2:$A$755,"NZ_LABOUR",Release_Calendar!$B$2:$B$755,$A1544)&gt;0,1,0))</f>
        <v/>
      </c>
      <c r="P1544" s="16">
        <f t="shared" si="4"/>
        <v>0</v>
      </c>
    </row>
    <row r="1545" ht="15.75" customHeight="1">
      <c r="A1545" s="14">
        <v>38687.0</v>
      </c>
      <c r="B1545" s="15">
        <v>4.45</v>
      </c>
      <c r="C1545" s="15"/>
      <c r="D1545" s="15">
        <v>6.91</v>
      </c>
      <c r="E1545" s="15"/>
      <c r="F1545" s="15" t="str">
        <f t="shared" si="1"/>
        <v/>
      </c>
      <c r="G1545" s="15">
        <f t="shared" si="2"/>
        <v>6.91</v>
      </c>
      <c r="H1545" s="16">
        <v>1.0</v>
      </c>
      <c r="I1545" s="15">
        <f t="shared" si="3"/>
        <v>2.46</v>
      </c>
      <c r="J1545" s="15">
        <v>11.24</v>
      </c>
      <c r="K1545" s="16">
        <f>IF(COUNTIFS(Release_Calendar!$A$2:$A$755,"US_CPI",Release_Calendar!$B$2:$B$755,$A1545)&gt;0,1,0)</f>
        <v>0</v>
      </c>
      <c r="L1545" s="16">
        <f>IF(COUNTIFS(Release_Calendar!$A$2:$A$755,"US_NFP",Release_Calendar!$B$2:$B$755,$A1545)&gt;0,1,0)</f>
        <v>0</v>
      </c>
      <c r="M1545" s="16" t="str">
        <f>IF($A1545&lt;Notes!$B$5,"",IF(COUNTIFS(Release_Calendar!$A$2:$A$755,"NZ_CPI",Release_Calendar!$B$2:$B$755,$A1545)&gt;0,1,0))</f>
        <v/>
      </c>
      <c r="N1545" s="16" t="str">
        <f>IF($A1545&lt;Notes!$B$5,"",IF(COUNTIFS(Release_Calendar!$A$2:$A$755,"NZ_GDP",Release_Calendar!$B$2:$B$755,$A1545)&gt;0,1,0))</f>
        <v/>
      </c>
      <c r="O1545" s="16" t="str">
        <f>IF($A1545&lt;Notes!$B$5,"",IF(COUNTIFS(Release_Calendar!$A$2:$A$755,"NZ_LABOUR",Release_Calendar!$B$2:$B$755,$A1545)&gt;0,1,0))</f>
        <v/>
      </c>
      <c r="P1545" s="16">
        <f t="shared" si="4"/>
        <v>0</v>
      </c>
    </row>
    <row r="1546" ht="15.75" customHeight="1">
      <c r="A1546" s="14">
        <v>38688.0</v>
      </c>
      <c r="B1546" s="15">
        <v>4.43</v>
      </c>
      <c r="C1546" s="15"/>
      <c r="D1546" s="15">
        <v>6.93</v>
      </c>
      <c r="E1546" s="15"/>
      <c r="F1546" s="15" t="str">
        <f t="shared" si="1"/>
        <v/>
      </c>
      <c r="G1546" s="15">
        <f t="shared" si="2"/>
        <v>6.93</v>
      </c>
      <c r="H1546" s="16">
        <v>1.0</v>
      </c>
      <c r="I1546" s="15">
        <f t="shared" si="3"/>
        <v>2.5</v>
      </c>
      <c r="J1546" s="15">
        <v>11.01</v>
      </c>
      <c r="K1546" s="16">
        <f>IF(COUNTIFS(Release_Calendar!$A$2:$A$755,"US_CPI",Release_Calendar!$B$2:$B$755,$A1546)&gt;0,1,0)</f>
        <v>0</v>
      </c>
      <c r="L1546" s="16">
        <f>IF(COUNTIFS(Release_Calendar!$A$2:$A$755,"US_NFP",Release_Calendar!$B$2:$B$755,$A1546)&gt;0,1,0)</f>
        <v>1</v>
      </c>
      <c r="M1546" s="16" t="str">
        <f>IF($A1546&lt;Notes!$B$5,"",IF(COUNTIFS(Release_Calendar!$A$2:$A$755,"NZ_CPI",Release_Calendar!$B$2:$B$755,$A1546)&gt;0,1,0))</f>
        <v/>
      </c>
      <c r="N1546" s="16" t="str">
        <f>IF($A1546&lt;Notes!$B$5,"",IF(COUNTIFS(Release_Calendar!$A$2:$A$755,"NZ_GDP",Release_Calendar!$B$2:$B$755,$A1546)&gt;0,1,0))</f>
        <v/>
      </c>
      <c r="O1546" s="16" t="str">
        <f>IF($A1546&lt;Notes!$B$5,"",IF(COUNTIFS(Release_Calendar!$A$2:$A$755,"NZ_LABOUR",Release_Calendar!$B$2:$B$755,$A1546)&gt;0,1,0))</f>
        <v/>
      </c>
      <c r="P1546" s="16">
        <f t="shared" si="4"/>
        <v>1</v>
      </c>
    </row>
    <row r="1547" ht="15.75" customHeight="1">
      <c r="A1547" s="14">
        <v>38691.0</v>
      </c>
      <c r="B1547" s="15">
        <v>4.47</v>
      </c>
      <c r="C1547" s="15"/>
      <c r="D1547" s="15">
        <v>6.91</v>
      </c>
      <c r="E1547" s="15"/>
      <c r="F1547" s="15" t="str">
        <f t="shared" si="1"/>
        <v/>
      </c>
      <c r="G1547" s="15">
        <f t="shared" si="2"/>
        <v>6.91</v>
      </c>
      <c r="H1547" s="16">
        <v>1.0</v>
      </c>
      <c r="I1547" s="15">
        <f t="shared" si="3"/>
        <v>2.44</v>
      </c>
      <c r="J1547" s="15">
        <v>11.6</v>
      </c>
      <c r="K1547" s="16">
        <f>IF(COUNTIFS(Release_Calendar!$A$2:$A$755,"US_CPI",Release_Calendar!$B$2:$B$755,$A1547)&gt;0,1,0)</f>
        <v>0</v>
      </c>
      <c r="L1547" s="16">
        <f>IF(COUNTIFS(Release_Calendar!$A$2:$A$755,"US_NFP",Release_Calendar!$B$2:$B$755,$A1547)&gt;0,1,0)</f>
        <v>0</v>
      </c>
      <c r="M1547" s="16" t="str">
        <f>IF($A1547&lt;Notes!$B$5,"",IF(COUNTIFS(Release_Calendar!$A$2:$A$755,"NZ_CPI",Release_Calendar!$B$2:$B$755,$A1547)&gt;0,1,0))</f>
        <v/>
      </c>
      <c r="N1547" s="16" t="str">
        <f>IF($A1547&lt;Notes!$B$5,"",IF(COUNTIFS(Release_Calendar!$A$2:$A$755,"NZ_GDP",Release_Calendar!$B$2:$B$755,$A1547)&gt;0,1,0))</f>
        <v/>
      </c>
      <c r="O1547" s="16" t="str">
        <f>IF($A1547&lt;Notes!$B$5,"",IF(COUNTIFS(Release_Calendar!$A$2:$A$755,"NZ_LABOUR",Release_Calendar!$B$2:$B$755,$A1547)&gt;0,1,0))</f>
        <v/>
      </c>
      <c r="P1547" s="16">
        <f t="shared" si="4"/>
        <v>0</v>
      </c>
    </row>
    <row r="1548" ht="15.75" customHeight="1">
      <c r="A1548" s="14">
        <v>38692.0</v>
      </c>
      <c r="B1548" s="15">
        <v>4.42</v>
      </c>
      <c r="C1548" s="15"/>
      <c r="D1548" s="15">
        <v>6.24</v>
      </c>
      <c r="E1548" s="15"/>
      <c r="F1548" s="15" t="str">
        <f t="shared" si="1"/>
        <v/>
      </c>
      <c r="G1548" s="15">
        <f t="shared" si="2"/>
        <v>6.24</v>
      </c>
      <c r="H1548" s="16">
        <v>1.0</v>
      </c>
      <c r="I1548" s="15">
        <f t="shared" si="3"/>
        <v>1.82</v>
      </c>
      <c r="J1548" s="15">
        <v>11.52</v>
      </c>
      <c r="K1548" s="16">
        <f>IF(COUNTIFS(Release_Calendar!$A$2:$A$755,"US_CPI",Release_Calendar!$B$2:$B$755,$A1548)&gt;0,1,0)</f>
        <v>0</v>
      </c>
      <c r="L1548" s="16">
        <f>IF(COUNTIFS(Release_Calendar!$A$2:$A$755,"US_NFP",Release_Calendar!$B$2:$B$755,$A1548)&gt;0,1,0)</f>
        <v>0</v>
      </c>
      <c r="M1548" s="16" t="str">
        <f>IF($A1548&lt;Notes!$B$5,"",IF(COUNTIFS(Release_Calendar!$A$2:$A$755,"NZ_CPI",Release_Calendar!$B$2:$B$755,$A1548)&gt;0,1,0))</f>
        <v/>
      </c>
      <c r="N1548" s="16" t="str">
        <f>IF($A1548&lt;Notes!$B$5,"",IF(COUNTIFS(Release_Calendar!$A$2:$A$755,"NZ_GDP",Release_Calendar!$B$2:$B$755,$A1548)&gt;0,1,0))</f>
        <v/>
      </c>
      <c r="O1548" s="16" t="str">
        <f>IF($A1548&lt;Notes!$B$5,"",IF(COUNTIFS(Release_Calendar!$A$2:$A$755,"NZ_LABOUR",Release_Calendar!$B$2:$B$755,$A1548)&gt;0,1,0))</f>
        <v/>
      </c>
      <c r="P1548" s="16">
        <f t="shared" si="4"/>
        <v>0</v>
      </c>
    </row>
    <row r="1549" ht="15.75" customHeight="1">
      <c r="A1549" s="14">
        <v>38693.0</v>
      </c>
      <c r="B1549" s="15">
        <v>4.42</v>
      </c>
      <c r="C1549" s="15"/>
      <c r="D1549" s="15">
        <v>6.19</v>
      </c>
      <c r="E1549" s="15"/>
      <c r="F1549" s="15" t="str">
        <f t="shared" si="1"/>
        <v/>
      </c>
      <c r="G1549" s="15">
        <f t="shared" si="2"/>
        <v>6.19</v>
      </c>
      <c r="H1549" s="16">
        <v>1.0</v>
      </c>
      <c r="I1549" s="15">
        <f t="shared" si="3"/>
        <v>1.77</v>
      </c>
      <c r="J1549" s="15">
        <v>12.18</v>
      </c>
      <c r="K1549" s="16">
        <f>IF(COUNTIFS(Release_Calendar!$A$2:$A$755,"US_CPI",Release_Calendar!$B$2:$B$755,$A1549)&gt;0,1,0)</f>
        <v>0</v>
      </c>
      <c r="L1549" s="16">
        <f>IF(COUNTIFS(Release_Calendar!$A$2:$A$755,"US_NFP",Release_Calendar!$B$2:$B$755,$A1549)&gt;0,1,0)</f>
        <v>0</v>
      </c>
      <c r="M1549" s="16" t="str">
        <f>IF($A1549&lt;Notes!$B$5,"",IF(COUNTIFS(Release_Calendar!$A$2:$A$755,"NZ_CPI",Release_Calendar!$B$2:$B$755,$A1549)&gt;0,1,0))</f>
        <v/>
      </c>
      <c r="N1549" s="16" t="str">
        <f>IF($A1549&lt;Notes!$B$5,"",IF(COUNTIFS(Release_Calendar!$A$2:$A$755,"NZ_GDP",Release_Calendar!$B$2:$B$755,$A1549)&gt;0,1,0))</f>
        <v/>
      </c>
      <c r="O1549" s="16" t="str">
        <f>IF($A1549&lt;Notes!$B$5,"",IF(COUNTIFS(Release_Calendar!$A$2:$A$755,"NZ_LABOUR",Release_Calendar!$B$2:$B$755,$A1549)&gt;0,1,0))</f>
        <v/>
      </c>
      <c r="P1549" s="16">
        <f t="shared" si="4"/>
        <v>0</v>
      </c>
    </row>
    <row r="1550" ht="15.75" customHeight="1">
      <c r="A1550" s="14">
        <v>38694.0</v>
      </c>
      <c r="B1550" s="15">
        <v>4.37</v>
      </c>
      <c r="C1550" s="15"/>
      <c r="D1550" s="15">
        <v>6.14</v>
      </c>
      <c r="E1550" s="15"/>
      <c r="F1550" s="15" t="str">
        <f t="shared" si="1"/>
        <v/>
      </c>
      <c r="G1550" s="15">
        <f t="shared" si="2"/>
        <v>6.14</v>
      </c>
      <c r="H1550" s="16">
        <v>1.0</v>
      </c>
      <c r="I1550" s="15">
        <f t="shared" si="3"/>
        <v>1.77</v>
      </c>
      <c r="J1550" s="15">
        <v>12.21</v>
      </c>
      <c r="K1550" s="16">
        <f>IF(COUNTIFS(Release_Calendar!$A$2:$A$755,"US_CPI",Release_Calendar!$B$2:$B$755,$A1550)&gt;0,1,0)</f>
        <v>0</v>
      </c>
      <c r="L1550" s="16">
        <f>IF(COUNTIFS(Release_Calendar!$A$2:$A$755,"US_NFP",Release_Calendar!$B$2:$B$755,$A1550)&gt;0,1,0)</f>
        <v>0</v>
      </c>
      <c r="M1550" s="16" t="str">
        <f>IF($A1550&lt;Notes!$B$5,"",IF(COUNTIFS(Release_Calendar!$A$2:$A$755,"NZ_CPI",Release_Calendar!$B$2:$B$755,$A1550)&gt;0,1,0))</f>
        <v/>
      </c>
      <c r="N1550" s="16" t="str">
        <f>IF($A1550&lt;Notes!$B$5,"",IF(COUNTIFS(Release_Calendar!$A$2:$A$755,"NZ_GDP",Release_Calendar!$B$2:$B$755,$A1550)&gt;0,1,0))</f>
        <v/>
      </c>
      <c r="O1550" s="16" t="str">
        <f>IF($A1550&lt;Notes!$B$5,"",IF(COUNTIFS(Release_Calendar!$A$2:$A$755,"NZ_LABOUR",Release_Calendar!$B$2:$B$755,$A1550)&gt;0,1,0))</f>
        <v/>
      </c>
      <c r="P1550" s="16">
        <f t="shared" si="4"/>
        <v>0</v>
      </c>
    </row>
    <row r="1551" ht="15.75" customHeight="1">
      <c r="A1551" s="14">
        <v>38695.0</v>
      </c>
      <c r="B1551" s="15">
        <v>4.43</v>
      </c>
      <c r="C1551" s="15"/>
      <c r="D1551" s="15">
        <v>6.18</v>
      </c>
      <c r="E1551" s="15"/>
      <c r="F1551" s="15" t="str">
        <f t="shared" si="1"/>
        <v/>
      </c>
      <c r="G1551" s="15">
        <f t="shared" si="2"/>
        <v>6.18</v>
      </c>
      <c r="H1551" s="16">
        <v>1.0</v>
      </c>
      <c r="I1551" s="15">
        <f t="shared" si="3"/>
        <v>1.75</v>
      </c>
      <c r="J1551" s="15">
        <v>11.69</v>
      </c>
      <c r="K1551" s="16">
        <f>IF(COUNTIFS(Release_Calendar!$A$2:$A$755,"US_CPI",Release_Calendar!$B$2:$B$755,$A1551)&gt;0,1,0)</f>
        <v>0</v>
      </c>
      <c r="L1551" s="16">
        <f>IF(COUNTIFS(Release_Calendar!$A$2:$A$755,"US_NFP",Release_Calendar!$B$2:$B$755,$A1551)&gt;0,1,0)</f>
        <v>0</v>
      </c>
      <c r="M1551" s="16" t="str">
        <f>IF($A1551&lt;Notes!$B$5,"",IF(COUNTIFS(Release_Calendar!$A$2:$A$755,"NZ_CPI",Release_Calendar!$B$2:$B$755,$A1551)&gt;0,1,0))</f>
        <v/>
      </c>
      <c r="N1551" s="16" t="str">
        <f>IF($A1551&lt;Notes!$B$5,"",IF(COUNTIFS(Release_Calendar!$A$2:$A$755,"NZ_GDP",Release_Calendar!$B$2:$B$755,$A1551)&gt;0,1,0))</f>
        <v/>
      </c>
      <c r="O1551" s="16" t="str">
        <f>IF($A1551&lt;Notes!$B$5,"",IF(COUNTIFS(Release_Calendar!$A$2:$A$755,"NZ_LABOUR",Release_Calendar!$B$2:$B$755,$A1551)&gt;0,1,0))</f>
        <v/>
      </c>
      <c r="P1551" s="16">
        <f t="shared" si="4"/>
        <v>0</v>
      </c>
    </row>
    <row r="1552" ht="15.75" customHeight="1">
      <c r="A1552" s="14">
        <v>38698.0</v>
      </c>
      <c r="B1552" s="15">
        <v>4.45</v>
      </c>
      <c r="C1552" s="15"/>
      <c r="D1552" s="15">
        <v>6.19</v>
      </c>
      <c r="E1552" s="15"/>
      <c r="F1552" s="15" t="str">
        <f t="shared" si="1"/>
        <v/>
      </c>
      <c r="G1552" s="15">
        <f t="shared" si="2"/>
        <v>6.19</v>
      </c>
      <c r="H1552" s="16">
        <v>1.0</v>
      </c>
      <c r="I1552" s="15">
        <f t="shared" si="3"/>
        <v>1.74</v>
      </c>
      <c r="J1552" s="15">
        <v>11.47</v>
      </c>
      <c r="K1552" s="16">
        <f>IF(COUNTIFS(Release_Calendar!$A$2:$A$755,"US_CPI",Release_Calendar!$B$2:$B$755,$A1552)&gt;0,1,0)</f>
        <v>0</v>
      </c>
      <c r="L1552" s="16">
        <f>IF(COUNTIFS(Release_Calendar!$A$2:$A$755,"US_NFP",Release_Calendar!$B$2:$B$755,$A1552)&gt;0,1,0)</f>
        <v>0</v>
      </c>
      <c r="M1552" s="16" t="str">
        <f>IF($A1552&lt;Notes!$B$5,"",IF(COUNTIFS(Release_Calendar!$A$2:$A$755,"NZ_CPI",Release_Calendar!$B$2:$B$755,$A1552)&gt;0,1,0))</f>
        <v/>
      </c>
      <c r="N1552" s="16" t="str">
        <f>IF($A1552&lt;Notes!$B$5,"",IF(COUNTIFS(Release_Calendar!$A$2:$A$755,"NZ_GDP",Release_Calendar!$B$2:$B$755,$A1552)&gt;0,1,0))</f>
        <v/>
      </c>
      <c r="O1552" s="16" t="str">
        <f>IF($A1552&lt;Notes!$B$5,"",IF(COUNTIFS(Release_Calendar!$A$2:$A$755,"NZ_LABOUR",Release_Calendar!$B$2:$B$755,$A1552)&gt;0,1,0))</f>
        <v/>
      </c>
      <c r="P1552" s="16">
        <f t="shared" si="4"/>
        <v>0</v>
      </c>
    </row>
    <row r="1553" ht="15.75" customHeight="1">
      <c r="A1553" s="14">
        <v>38699.0</v>
      </c>
      <c r="B1553" s="15">
        <v>4.43</v>
      </c>
      <c r="C1553" s="15"/>
      <c r="D1553" s="15">
        <v>6.18</v>
      </c>
      <c r="E1553" s="15"/>
      <c r="F1553" s="15" t="str">
        <f t="shared" si="1"/>
        <v/>
      </c>
      <c r="G1553" s="15">
        <f t="shared" si="2"/>
        <v>6.18</v>
      </c>
      <c r="H1553" s="16">
        <v>1.0</v>
      </c>
      <c r="I1553" s="15">
        <f t="shared" si="3"/>
        <v>1.75</v>
      </c>
      <c r="J1553" s="15">
        <v>11.11</v>
      </c>
      <c r="K1553" s="16">
        <f>IF(COUNTIFS(Release_Calendar!$A$2:$A$755,"US_CPI",Release_Calendar!$B$2:$B$755,$A1553)&gt;0,1,0)</f>
        <v>0</v>
      </c>
      <c r="L1553" s="16">
        <f>IF(COUNTIFS(Release_Calendar!$A$2:$A$755,"US_NFP",Release_Calendar!$B$2:$B$755,$A1553)&gt;0,1,0)</f>
        <v>0</v>
      </c>
      <c r="M1553" s="16" t="str">
        <f>IF($A1553&lt;Notes!$B$5,"",IF(COUNTIFS(Release_Calendar!$A$2:$A$755,"NZ_CPI",Release_Calendar!$B$2:$B$755,$A1553)&gt;0,1,0))</f>
        <v/>
      </c>
      <c r="N1553" s="16" t="str">
        <f>IF($A1553&lt;Notes!$B$5,"",IF(COUNTIFS(Release_Calendar!$A$2:$A$755,"NZ_GDP",Release_Calendar!$B$2:$B$755,$A1553)&gt;0,1,0))</f>
        <v/>
      </c>
      <c r="O1553" s="16" t="str">
        <f>IF($A1553&lt;Notes!$B$5,"",IF(COUNTIFS(Release_Calendar!$A$2:$A$755,"NZ_LABOUR",Release_Calendar!$B$2:$B$755,$A1553)&gt;0,1,0))</f>
        <v/>
      </c>
      <c r="P1553" s="16">
        <f t="shared" si="4"/>
        <v>0</v>
      </c>
    </row>
    <row r="1554" ht="15.75" customHeight="1">
      <c r="A1554" s="14">
        <v>38700.0</v>
      </c>
      <c r="B1554" s="15">
        <v>4.37</v>
      </c>
      <c r="C1554" s="15"/>
      <c r="D1554" s="15">
        <v>6.16</v>
      </c>
      <c r="E1554" s="15"/>
      <c r="F1554" s="15" t="str">
        <f t="shared" si="1"/>
        <v/>
      </c>
      <c r="G1554" s="15">
        <f t="shared" si="2"/>
        <v>6.16</v>
      </c>
      <c r="H1554" s="16">
        <v>1.0</v>
      </c>
      <c r="I1554" s="15">
        <f t="shared" si="3"/>
        <v>1.79</v>
      </c>
      <c r="J1554" s="15">
        <v>10.48</v>
      </c>
      <c r="K1554" s="16">
        <f>IF(COUNTIFS(Release_Calendar!$A$2:$A$755,"US_CPI",Release_Calendar!$B$2:$B$755,$A1554)&gt;0,1,0)</f>
        <v>0</v>
      </c>
      <c r="L1554" s="16">
        <f>IF(COUNTIFS(Release_Calendar!$A$2:$A$755,"US_NFP",Release_Calendar!$B$2:$B$755,$A1554)&gt;0,1,0)</f>
        <v>0</v>
      </c>
      <c r="M1554" s="16" t="str">
        <f>IF($A1554&lt;Notes!$B$5,"",IF(COUNTIFS(Release_Calendar!$A$2:$A$755,"NZ_CPI",Release_Calendar!$B$2:$B$755,$A1554)&gt;0,1,0))</f>
        <v/>
      </c>
      <c r="N1554" s="16" t="str">
        <f>IF($A1554&lt;Notes!$B$5,"",IF(COUNTIFS(Release_Calendar!$A$2:$A$755,"NZ_GDP",Release_Calendar!$B$2:$B$755,$A1554)&gt;0,1,0))</f>
        <v/>
      </c>
      <c r="O1554" s="16" t="str">
        <f>IF($A1554&lt;Notes!$B$5,"",IF(COUNTIFS(Release_Calendar!$A$2:$A$755,"NZ_LABOUR",Release_Calendar!$B$2:$B$755,$A1554)&gt;0,1,0))</f>
        <v/>
      </c>
      <c r="P1554" s="16">
        <f t="shared" si="4"/>
        <v>0</v>
      </c>
    </row>
    <row r="1555" ht="15.75" customHeight="1">
      <c r="A1555" s="14">
        <v>38701.0</v>
      </c>
      <c r="B1555" s="15">
        <v>4.37</v>
      </c>
      <c r="C1555" s="15"/>
      <c r="D1555" s="15">
        <v>6.12</v>
      </c>
      <c r="E1555" s="15"/>
      <c r="F1555" s="15" t="str">
        <f t="shared" si="1"/>
        <v/>
      </c>
      <c r="G1555" s="15">
        <f t="shared" si="2"/>
        <v>6.12</v>
      </c>
      <c r="H1555" s="16">
        <v>1.0</v>
      </c>
      <c r="I1555" s="15">
        <f t="shared" si="3"/>
        <v>1.75</v>
      </c>
      <c r="J1555" s="15">
        <v>10.73</v>
      </c>
      <c r="K1555" s="16">
        <f>IF(COUNTIFS(Release_Calendar!$A$2:$A$755,"US_CPI",Release_Calendar!$B$2:$B$755,$A1555)&gt;0,1,0)</f>
        <v>1</v>
      </c>
      <c r="L1555" s="16">
        <f>IF(COUNTIFS(Release_Calendar!$A$2:$A$755,"US_NFP",Release_Calendar!$B$2:$B$755,$A1555)&gt;0,1,0)</f>
        <v>0</v>
      </c>
      <c r="M1555" s="16" t="str">
        <f>IF($A1555&lt;Notes!$B$5,"",IF(COUNTIFS(Release_Calendar!$A$2:$A$755,"NZ_CPI",Release_Calendar!$B$2:$B$755,$A1555)&gt;0,1,0))</f>
        <v/>
      </c>
      <c r="N1555" s="16" t="str">
        <f>IF($A1555&lt;Notes!$B$5,"",IF(COUNTIFS(Release_Calendar!$A$2:$A$755,"NZ_GDP",Release_Calendar!$B$2:$B$755,$A1555)&gt;0,1,0))</f>
        <v/>
      </c>
      <c r="O1555" s="16" t="str">
        <f>IF($A1555&lt;Notes!$B$5,"",IF(COUNTIFS(Release_Calendar!$A$2:$A$755,"NZ_LABOUR",Release_Calendar!$B$2:$B$755,$A1555)&gt;0,1,0))</f>
        <v/>
      </c>
      <c r="P1555" s="16">
        <f t="shared" si="4"/>
        <v>1</v>
      </c>
    </row>
    <row r="1556" ht="15.75" customHeight="1">
      <c r="A1556" s="14">
        <v>38702.0</v>
      </c>
      <c r="B1556" s="15">
        <v>4.37</v>
      </c>
      <c r="C1556" s="15"/>
      <c r="D1556" s="15">
        <v>6.1</v>
      </c>
      <c r="E1556" s="15"/>
      <c r="F1556" s="15" t="str">
        <f t="shared" si="1"/>
        <v/>
      </c>
      <c r="G1556" s="15">
        <f t="shared" si="2"/>
        <v>6.1</v>
      </c>
      <c r="H1556" s="16">
        <v>1.0</v>
      </c>
      <c r="I1556" s="15">
        <f t="shared" si="3"/>
        <v>1.73</v>
      </c>
      <c r="J1556" s="15">
        <v>10.68</v>
      </c>
      <c r="K1556" s="16">
        <f>IF(COUNTIFS(Release_Calendar!$A$2:$A$755,"US_CPI",Release_Calendar!$B$2:$B$755,$A1556)&gt;0,1,0)</f>
        <v>0</v>
      </c>
      <c r="L1556" s="16">
        <f>IF(COUNTIFS(Release_Calendar!$A$2:$A$755,"US_NFP",Release_Calendar!$B$2:$B$755,$A1556)&gt;0,1,0)</f>
        <v>0</v>
      </c>
      <c r="M1556" s="16" t="str">
        <f>IF($A1556&lt;Notes!$B$5,"",IF(COUNTIFS(Release_Calendar!$A$2:$A$755,"NZ_CPI",Release_Calendar!$B$2:$B$755,$A1556)&gt;0,1,0))</f>
        <v/>
      </c>
      <c r="N1556" s="16" t="str">
        <f>IF($A1556&lt;Notes!$B$5,"",IF(COUNTIFS(Release_Calendar!$A$2:$A$755,"NZ_GDP",Release_Calendar!$B$2:$B$755,$A1556)&gt;0,1,0))</f>
        <v/>
      </c>
      <c r="O1556" s="16" t="str">
        <f>IF($A1556&lt;Notes!$B$5,"",IF(COUNTIFS(Release_Calendar!$A$2:$A$755,"NZ_LABOUR",Release_Calendar!$B$2:$B$755,$A1556)&gt;0,1,0))</f>
        <v/>
      </c>
      <c r="P1556" s="16">
        <f t="shared" si="4"/>
        <v>0</v>
      </c>
    </row>
    <row r="1557" ht="15.75" customHeight="1">
      <c r="A1557" s="14">
        <v>38705.0</v>
      </c>
      <c r="B1557" s="15">
        <v>4.38</v>
      </c>
      <c r="C1557" s="15"/>
      <c r="D1557" s="15">
        <v>6.07</v>
      </c>
      <c r="E1557" s="15"/>
      <c r="F1557" s="15" t="str">
        <f t="shared" si="1"/>
        <v/>
      </c>
      <c r="G1557" s="15">
        <f t="shared" si="2"/>
        <v>6.07</v>
      </c>
      <c r="H1557" s="16">
        <v>1.0</v>
      </c>
      <c r="I1557" s="15">
        <f t="shared" si="3"/>
        <v>1.69</v>
      </c>
      <c r="J1557" s="15">
        <v>11.38</v>
      </c>
      <c r="K1557" s="16">
        <f>IF(COUNTIFS(Release_Calendar!$A$2:$A$755,"US_CPI",Release_Calendar!$B$2:$B$755,$A1557)&gt;0,1,0)</f>
        <v>0</v>
      </c>
      <c r="L1557" s="16">
        <f>IF(COUNTIFS(Release_Calendar!$A$2:$A$755,"US_NFP",Release_Calendar!$B$2:$B$755,$A1557)&gt;0,1,0)</f>
        <v>0</v>
      </c>
      <c r="M1557" s="16" t="str">
        <f>IF($A1557&lt;Notes!$B$5,"",IF(COUNTIFS(Release_Calendar!$A$2:$A$755,"NZ_CPI",Release_Calendar!$B$2:$B$755,$A1557)&gt;0,1,0))</f>
        <v/>
      </c>
      <c r="N1557" s="16" t="str">
        <f>IF($A1557&lt;Notes!$B$5,"",IF(COUNTIFS(Release_Calendar!$A$2:$A$755,"NZ_GDP",Release_Calendar!$B$2:$B$755,$A1557)&gt;0,1,0))</f>
        <v/>
      </c>
      <c r="O1557" s="16" t="str">
        <f>IF($A1557&lt;Notes!$B$5,"",IF(COUNTIFS(Release_Calendar!$A$2:$A$755,"NZ_LABOUR",Release_Calendar!$B$2:$B$755,$A1557)&gt;0,1,0))</f>
        <v/>
      </c>
      <c r="P1557" s="16">
        <f t="shared" si="4"/>
        <v>0</v>
      </c>
    </row>
    <row r="1558" ht="15.75" customHeight="1">
      <c r="A1558" s="14">
        <v>38706.0</v>
      </c>
      <c r="B1558" s="15">
        <v>4.42</v>
      </c>
      <c r="C1558" s="15"/>
      <c r="D1558" s="15">
        <v>6.13</v>
      </c>
      <c r="E1558" s="15"/>
      <c r="F1558" s="15" t="str">
        <f t="shared" si="1"/>
        <v/>
      </c>
      <c r="G1558" s="15">
        <f t="shared" si="2"/>
        <v>6.13</v>
      </c>
      <c r="H1558" s="16">
        <v>1.0</v>
      </c>
      <c r="I1558" s="15">
        <f t="shared" si="3"/>
        <v>1.71</v>
      </c>
      <c r="J1558" s="15">
        <v>11.19</v>
      </c>
      <c r="K1558" s="16">
        <f>IF(COUNTIFS(Release_Calendar!$A$2:$A$755,"US_CPI",Release_Calendar!$B$2:$B$755,$A1558)&gt;0,1,0)</f>
        <v>0</v>
      </c>
      <c r="L1558" s="16">
        <f>IF(COUNTIFS(Release_Calendar!$A$2:$A$755,"US_NFP",Release_Calendar!$B$2:$B$755,$A1558)&gt;0,1,0)</f>
        <v>0</v>
      </c>
      <c r="M1558" s="16" t="str">
        <f>IF($A1558&lt;Notes!$B$5,"",IF(COUNTIFS(Release_Calendar!$A$2:$A$755,"NZ_CPI",Release_Calendar!$B$2:$B$755,$A1558)&gt;0,1,0))</f>
        <v/>
      </c>
      <c r="N1558" s="16" t="str">
        <f>IF($A1558&lt;Notes!$B$5,"",IF(COUNTIFS(Release_Calendar!$A$2:$A$755,"NZ_GDP",Release_Calendar!$B$2:$B$755,$A1558)&gt;0,1,0))</f>
        <v/>
      </c>
      <c r="O1558" s="16" t="str">
        <f>IF($A1558&lt;Notes!$B$5,"",IF(COUNTIFS(Release_Calendar!$A$2:$A$755,"NZ_LABOUR",Release_Calendar!$B$2:$B$755,$A1558)&gt;0,1,0))</f>
        <v/>
      </c>
      <c r="P1558" s="16">
        <f t="shared" si="4"/>
        <v>0</v>
      </c>
    </row>
    <row r="1559" ht="15.75" customHeight="1">
      <c r="A1559" s="14">
        <v>38707.0</v>
      </c>
      <c r="B1559" s="15">
        <v>4.43</v>
      </c>
      <c r="C1559" s="15"/>
      <c r="D1559" s="15">
        <v>6.11</v>
      </c>
      <c r="E1559" s="15"/>
      <c r="F1559" s="15" t="str">
        <f t="shared" si="1"/>
        <v/>
      </c>
      <c r="G1559" s="15">
        <f t="shared" si="2"/>
        <v>6.11</v>
      </c>
      <c r="H1559" s="16">
        <v>1.0</v>
      </c>
      <c r="I1559" s="15">
        <f t="shared" si="3"/>
        <v>1.68</v>
      </c>
      <c r="J1559" s="15">
        <v>10.81</v>
      </c>
      <c r="K1559" s="16">
        <f>IF(COUNTIFS(Release_Calendar!$A$2:$A$755,"US_CPI",Release_Calendar!$B$2:$B$755,$A1559)&gt;0,1,0)</f>
        <v>0</v>
      </c>
      <c r="L1559" s="16">
        <f>IF(COUNTIFS(Release_Calendar!$A$2:$A$755,"US_NFP",Release_Calendar!$B$2:$B$755,$A1559)&gt;0,1,0)</f>
        <v>0</v>
      </c>
      <c r="M1559" s="16" t="str">
        <f>IF($A1559&lt;Notes!$B$5,"",IF(COUNTIFS(Release_Calendar!$A$2:$A$755,"NZ_CPI",Release_Calendar!$B$2:$B$755,$A1559)&gt;0,1,0))</f>
        <v/>
      </c>
      <c r="N1559" s="16" t="str">
        <f>IF($A1559&lt;Notes!$B$5,"",IF(COUNTIFS(Release_Calendar!$A$2:$A$755,"NZ_GDP",Release_Calendar!$B$2:$B$755,$A1559)&gt;0,1,0))</f>
        <v/>
      </c>
      <c r="O1559" s="16" t="str">
        <f>IF($A1559&lt;Notes!$B$5,"",IF(COUNTIFS(Release_Calendar!$A$2:$A$755,"NZ_LABOUR",Release_Calendar!$B$2:$B$755,$A1559)&gt;0,1,0))</f>
        <v/>
      </c>
      <c r="P1559" s="16">
        <f t="shared" si="4"/>
        <v>0</v>
      </c>
    </row>
    <row r="1560" ht="15.75" customHeight="1">
      <c r="A1560" s="14">
        <v>38708.0</v>
      </c>
      <c r="B1560" s="15">
        <v>4.4</v>
      </c>
      <c r="C1560" s="15"/>
      <c r="D1560" s="15">
        <v>6.07</v>
      </c>
      <c r="E1560" s="15"/>
      <c r="F1560" s="15" t="str">
        <f t="shared" si="1"/>
        <v/>
      </c>
      <c r="G1560" s="15">
        <f t="shared" si="2"/>
        <v>6.07</v>
      </c>
      <c r="H1560" s="16">
        <v>1.0</v>
      </c>
      <c r="I1560" s="15">
        <f t="shared" si="3"/>
        <v>1.67</v>
      </c>
      <c r="J1560" s="15">
        <v>10.29</v>
      </c>
      <c r="K1560" s="16">
        <f>IF(COUNTIFS(Release_Calendar!$A$2:$A$755,"US_CPI",Release_Calendar!$B$2:$B$755,$A1560)&gt;0,1,0)</f>
        <v>0</v>
      </c>
      <c r="L1560" s="16">
        <f>IF(COUNTIFS(Release_Calendar!$A$2:$A$755,"US_NFP",Release_Calendar!$B$2:$B$755,$A1560)&gt;0,1,0)</f>
        <v>0</v>
      </c>
      <c r="M1560" s="16" t="str">
        <f>IF($A1560&lt;Notes!$B$5,"",IF(COUNTIFS(Release_Calendar!$A$2:$A$755,"NZ_CPI",Release_Calendar!$B$2:$B$755,$A1560)&gt;0,1,0))</f>
        <v/>
      </c>
      <c r="N1560" s="16" t="str">
        <f>IF($A1560&lt;Notes!$B$5,"",IF(COUNTIFS(Release_Calendar!$A$2:$A$755,"NZ_GDP",Release_Calendar!$B$2:$B$755,$A1560)&gt;0,1,0))</f>
        <v/>
      </c>
      <c r="O1560" s="16" t="str">
        <f>IF($A1560&lt;Notes!$B$5,"",IF(COUNTIFS(Release_Calendar!$A$2:$A$755,"NZ_LABOUR",Release_Calendar!$B$2:$B$755,$A1560)&gt;0,1,0))</f>
        <v/>
      </c>
      <c r="P1560" s="16">
        <f t="shared" si="4"/>
        <v>0</v>
      </c>
    </row>
    <row r="1561" ht="15.75" customHeight="1">
      <c r="A1561" s="14">
        <v>38709.0</v>
      </c>
      <c r="B1561" s="15">
        <v>4.37</v>
      </c>
      <c r="C1561" s="15"/>
      <c r="D1561" s="15">
        <v>6.02</v>
      </c>
      <c r="E1561" s="15"/>
      <c r="F1561" s="15" t="str">
        <f t="shared" si="1"/>
        <v/>
      </c>
      <c r="G1561" s="15">
        <f t="shared" si="2"/>
        <v>6.02</v>
      </c>
      <c r="H1561" s="16">
        <v>1.0</v>
      </c>
      <c r="I1561" s="15">
        <f t="shared" si="3"/>
        <v>1.65</v>
      </c>
      <c r="J1561" s="15">
        <v>10.27</v>
      </c>
      <c r="K1561" s="16">
        <f>IF(COUNTIFS(Release_Calendar!$A$2:$A$755,"US_CPI",Release_Calendar!$B$2:$B$755,$A1561)&gt;0,1,0)</f>
        <v>0</v>
      </c>
      <c r="L1561" s="16">
        <f>IF(COUNTIFS(Release_Calendar!$A$2:$A$755,"US_NFP",Release_Calendar!$B$2:$B$755,$A1561)&gt;0,1,0)</f>
        <v>0</v>
      </c>
      <c r="M1561" s="16" t="str">
        <f>IF($A1561&lt;Notes!$B$5,"",IF(COUNTIFS(Release_Calendar!$A$2:$A$755,"NZ_CPI",Release_Calendar!$B$2:$B$755,$A1561)&gt;0,1,0))</f>
        <v/>
      </c>
      <c r="N1561" s="16" t="str">
        <f>IF($A1561&lt;Notes!$B$5,"",IF(COUNTIFS(Release_Calendar!$A$2:$A$755,"NZ_GDP",Release_Calendar!$B$2:$B$755,$A1561)&gt;0,1,0))</f>
        <v/>
      </c>
      <c r="O1561" s="16" t="str">
        <f>IF($A1561&lt;Notes!$B$5,"",IF(COUNTIFS(Release_Calendar!$A$2:$A$755,"NZ_LABOUR",Release_Calendar!$B$2:$B$755,$A1561)&gt;0,1,0))</f>
        <v/>
      </c>
      <c r="P1561" s="16">
        <f t="shared" si="4"/>
        <v>0</v>
      </c>
    </row>
    <row r="1562" ht="15.75" customHeight="1">
      <c r="A1562" s="14">
        <v>38712.0</v>
      </c>
      <c r="B1562" s="15"/>
      <c r="C1562" s="15"/>
      <c r="D1562" s="15"/>
      <c r="E1562" s="15"/>
      <c r="F1562" s="15" t="str">
        <f t="shared" si="1"/>
        <v/>
      </c>
      <c r="G1562" s="15" t="str">
        <f t="shared" si="2"/>
        <v/>
      </c>
      <c r="H1562" s="16">
        <v>1.0</v>
      </c>
      <c r="I1562" s="15" t="str">
        <f t="shared" si="3"/>
        <v/>
      </c>
      <c r="J1562" s="15"/>
      <c r="K1562" s="16">
        <f>IF(COUNTIFS(Release_Calendar!$A$2:$A$755,"US_CPI",Release_Calendar!$B$2:$B$755,$A1562)&gt;0,1,0)</f>
        <v>0</v>
      </c>
      <c r="L1562" s="16">
        <f>IF(COUNTIFS(Release_Calendar!$A$2:$A$755,"US_NFP",Release_Calendar!$B$2:$B$755,$A1562)&gt;0,1,0)</f>
        <v>0</v>
      </c>
      <c r="M1562" s="16" t="str">
        <f>IF($A1562&lt;Notes!$B$5,"",IF(COUNTIFS(Release_Calendar!$A$2:$A$755,"NZ_CPI",Release_Calendar!$B$2:$B$755,$A1562)&gt;0,1,0))</f>
        <v/>
      </c>
      <c r="N1562" s="16" t="str">
        <f>IF($A1562&lt;Notes!$B$5,"",IF(COUNTIFS(Release_Calendar!$A$2:$A$755,"NZ_GDP",Release_Calendar!$B$2:$B$755,$A1562)&gt;0,1,0))</f>
        <v/>
      </c>
      <c r="O1562" s="16" t="str">
        <f>IF($A1562&lt;Notes!$B$5,"",IF(COUNTIFS(Release_Calendar!$A$2:$A$755,"NZ_LABOUR",Release_Calendar!$B$2:$B$755,$A1562)&gt;0,1,0))</f>
        <v/>
      </c>
      <c r="P1562" s="16">
        <f t="shared" si="4"/>
        <v>0</v>
      </c>
    </row>
    <row r="1563" ht="15.75" customHeight="1">
      <c r="A1563" s="14">
        <v>38713.0</v>
      </c>
      <c r="B1563" s="15">
        <v>4.35</v>
      </c>
      <c r="C1563" s="15"/>
      <c r="D1563" s="15"/>
      <c r="E1563" s="15"/>
      <c r="F1563" s="15" t="str">
        <f t="shared" si="1"/>
        <v/>
      </c>
      <c r="G1563" s="15" t="str">
        <f t="shared" si="2"/>
        <v/>
      </c>
      <c r="H1563" s="16">
        <v>1.0</v>
      </c>
      <c r="I1563" s="15" t="str">
        <f t="shared" si="3"/>
        <v/>
      </c>
      <c r="J1563" s="15">
        <v>11.57</v>
      </c>
      <c r="K1563" s="16">
        <f>IF(COUNTIFS(Release_Calendar!$A$2:$A$755,"US_CPI",Release_Calendar!$B$2:$B$755,$A1563)&gt;0,1,0)</f>
        <v>0</v>
      </c>
      <c r="L1563" s="16">
        <f>IF(COUNTIFS(Release_Calendar!$A$2:$A$755,"US_NFP",Release_Calendar!$B$2:$B$755,$A1563)&gt;0,1,0)</f>
        <v>0</v>
      </c>
      <c r="M1563" s="16" t="str">
        <f>IF($A1563&lt;Notes!$B$5,"",IF(COUNTIFS(Release_Calendar!$A$2:$A$755,"NZ_CPI",Release_Calendar!$B$2:$B$755,$A1563)&gt;0,1,0))</f>
        <v/>
      </c>
      <c r="N1563" s="16" t="str">
        <f>IF($A1563&lt;Notes!$B$5,"",IF(COUNTIFS(Release_Calendar!$A$2:$A$755,"NZ_GDP",Release_Calendar!$B$2:$B$755,$A1563)&gt;0,1,0))</f>
        <v/>
      </c>
      <c r="O1563" s="16" t="str">
        <f>IF($A1563&lt;Notes!$B$5,"",IF(COUNTIFS(Release_Calendar!$A$2:$A$755,"NZ_LABOUR",Release_Calendar!$B$2:$B$755,$A1563)&gt;0,1,0))</f>
        <v/>
      </c>
      <c r="P1563" s="16">
        <f t="shared" si="4"/>
        <v>0</v>
      </c>
    </row>
    <row r="1564" ht="15.75" customHeight="1">
      <c r="A1564" s="14">
        <v>38714.0</v>
      </c>
      <c r="B1564" s="15">
        <v>4.37</v>
      </c>
      <c r="C1564" s="15"/>
      <c r="D1564" s="15">
        <v>5.97</v>
      </c>
      <c r="E1564" s="15"/>
      <c r="F1564" s="15" t="str">
        <f t="shared" si="1"/>
        <v/>
      </c>
      <c r="G1564" s="15">
        <f t="shared" si="2"/>
        <v>5.97</v>
      </c>
      <c r="H1564" s="16">
        <v>1.0</v>
      </c>
      <c r="I1564" s="15">
        <f t="shared" si="3"/>
        <v>1.6</v>
      </c>
      <c r="J1564" s="15">
        <v>11.35</v>
      </c>
      <c r="K1564" s="16">
        <f>IF(COUNTIFS(Release_Calendar!$A$2:$A$755,"US_CPI",Release_Calendar!$B$2:$B$755,$A1564)&gt;0,1,0)</f>
        <v>0</v>
      </c>
      <c r="L1564" s="16">
        <f>IF(COUNTIFS(Release_Calendar!$A$2:$A$755,"US_NFP",Release_Calendar!$B$2:$B$755,$A1564)&gt;0,1,0)</f>
        <v>0</v>
      </c>
      <c r="M1564" s="16" t="str">
        <f>IF($A1564&lt;Notes!$B$5,"",IF(COUNTIFS(Release_Calendar!$A$2:$A$755,"NZ_CPI",Release_Calendar!$B$2:$B$755,$A1564)&gt;0,1,0))</f>
        <v/>
      </c>
      <c r="N1564" s="16" t="str">
        <f>IF($A1564&lt;Notes!$B$5,"",IF(COUNTIFS(Release_Calendar!$A$2:$A$755,"NZ_GDP",Release_Calendar!$B$2:$B$755,$A1564)&gt;0,1,0))</f>
        <v/>
      </c>
      <c r="O1564" s="16" t="str">
        <f>IF($A1564&lt;Notes!$B$5,"",IF(COUNTIFS(Release_Calendar!$A$2:$A$755,"NZ_LABOUR",Release_Calendar!$B$2:$B$755,$A1564)&gt;0,1,0))</f>
        <v/>
      </c>
      <c r="P1564" s="16">
        <f t="shared" si="4"/>
        <v>0</v>
      </c>
    </row>
    <row r="1565" ht="15.75" customHeight="1">
      <c r="A1565" s="14">
        <v>38715.0</v>
      </c>
      <c r="B1565" s="15">
        <v>4.38</v>
      </c>
      <c r="C1565" s="15"/>
      <c r="D1565" s="15">
        <v>5.99</v>
      </c>
      <c r="E1565" s="15"/>
      <c r="F1565" s="15" t="str">
        <f t="shared" si="1"/>
        <v/>
      </c>
      <c r="G1565" s="15">
        <f t="shared" si="2"/>
        <v>5.99</v>
      </c>
      <c r="H1565" s="16">
        <v>1.0</v>
      </c>
      <c r="I1565" s="15">
        <f t="shared" si="3"/>
        <v>1.61</v>
      </c>
      <c r="J1565" s="15">
        <v>11.61</v>
      </c>
      <c r="K1565" s="16">
        <f>IF(COUNTIFS(Release_Calendar!$A$2:$A$755,"US_CPI",Release_Calendar!$B$2:$B$755,$A1565)&gt;0,1,0)</f>
        <v>0</v>
      </c>
      <c r="L1565" s="16">
        <f>IF(COUNTIFS(Release_Calendar!$A$2:$A$755,"US_NFP",Release_Calendar!$B$2:$B$755,$A1565)&gt;0,1,0)</f>
        <v>0</v>
      </c>
      <c r="M1565" s="16" t="str">
        <f>IF($A1565&lt;Notes!$B$5,"",IF(COUNTIFS(Release_Calendar!$A$2:$A$755,"NZ_CPI",Release_Calendar!$B$2:$B$755,$A1565)&gt;0,1,0))</f>
        <v/>
      </c>
      <c r="N1565" s="16" t="str">
        <f>IF($A1565&lt;Notes!$B$5,"",IF(COUNTIFS(Release_Calendar!$A$2:$A$755,"NZ_GDP",Release_Calendar!$B$2:$B$755,$A1565)&gt;0,1,0))</f>
        <v/>
      </c>
      <c r="O1565" s="16" t="str">
        <f>IF($A1565&lt;Notes!$B$5,"",IF(COUNTIFS(Release_Calendar!$A$2:$A$755,"NZ_LABOUR",Release_Calendar!$B$2:$B$755,$A1565)&gt;0,1,0))</f>
        <v/>
      </c>
      <c r="P1565" s="16">
        <f t="shared" si="4"/>
        <v>0</v>
      </c>
    </row>
    <row r="1566" ht="15.75" customHeight="1">
      <c r="A1566" s="14">
        <v>38716.0</v>
      </c>
      <c r="B1566" s="15">
        <v>4.41</v>
      </c>
      <c r="C1566" s="15"/>
      <c r="D1566" s="15">
        <v>5.96</v>
      </c>
      <c r="E1566" s="15"/>
      <c r="F1566" s="15" t="str">
        <f t="shared" si="1"/>
        <v/>
      </c>
      <c r="G1566" s="15">
        <f t="shared" si="2"/>
        <v>5.96</v>
      </c>
      <c r="H1566" s="16">
        <v>1.0</v>
      </c>
      <c r="I1566" s="15">
        <f t="shared" si="3"/>
        <v>1.55</v>
      </c>
      <c r="J1566" s="15">
        <v>12.07</v>
      </c>
      <c r="K1566" s="16">
        <f>IF(COUNTIFS(Release_Calendar!$A$2:$A$755,"US_CPI",Release_Calendar!$B$2:$B$755,$A1566)&gt;0,1,0)</f>
        <v>0</v>
      </c>
      <c r="L1566" s="16">
        <f>IF(COUNTIFS(Release_Calendar!$A$2:$A$755,"US_NFP",Release_Calendar!$B$2:$B$755,$A1566)&gt;0,1,0)</f>
        <v>0</v>
      </c>
      <c r="M1566" s="16" t="str">
        <f>IF($A1566&lt;Notes!$B$5,"",IF(COUNTIFS(Release_Calendar!$A$2:$A$755,"NZ_CPI",Release_Calendar!$B$2:$B$755,$A1566)&gt;0,1,0))</f>
        <v/>
      </c>
      <c r="N1566" s="16" t="str">
        <f>IF($A1566&lt;Notes!$B$5,"",IF(COUNTIFS(Release_Calendar!$A$2:$A$755,"NZ_GDP",Release_Calendar!$B$2:$B$755,$A1566)&gt;0,1,0))</f>
        <v/>
      </c>
      <c r="O1566" s="16" t="str">
        <f>IF($A1566&lt;Notes!$B$5,"",IF(COUNTIFS(Release_Calendar!$A$2:$A$755,"NZ_LABOUR",Release_Calendar!$B$2:$B$755,$A1566)&gt;0,1,0))</f>
        <v/>
      </c>
      <c r="P1566" s="16">
        <f t="shared" si="4"/>
        <v>0</v>
      </c>
    </row>
    <row r="1567" ht="15.75" customHeight="1">
      <c r="A1567" s="14">
        <v>38719.0</v>
      </c>
      <c r="B1567" s="15"/>
      <c r="C1567" s="15"/>
      <c r="D1567" s="15"/>
      <c r="E1567" s="15"/>
      <c r="F1567" s="15" t="str">
        <f t="shared" si="1"/>
        <v/>
      </c>
      <c r="G1567" s="15" t="str">
        <f t="shared" si="2"/>
        <v/>
      </c>
      <c r="H1567" s="16">
        <v>1.0</v>
      </c>
      <c r="I1567" s="15" t="str">
        <f t="shared" si="3"/>
        <v/>
      </c>
      <c r="J1567" s="15"/>
      <c r="K1567" s="16">
        <f>IF(COUNTIFS(Release_Calendar!$A$2:$A$755,"US_CPI",Release_Calendar!$B$2:$B$755,$A1567)&gt;0,1,0)</f>
        <v>0</v>
      </c>
      <c r="L1567" s="16">
        <f>IF(COUNTIFS(Release_Calendar!$A$2:$A$755,"US_NFP",Release_Calendar!$B$2:$B$755,$A1567)&gt;0,1,0)</f>
        <v>0</v>
      </c>
      <c r="M1567" s="16" t="str">
        <f>IF($A1567&lt;Notes!$B$5,"",IF(COUNTIFS(Release_Calendar!$A$2:$A$755,"NZ_CPI",Release_Calendar!$B$2:$B$755,$A1567)&gt;0,1,0))</f>
        <v/>
      </c>
      <c r="N1567" s="16" t="str">
        <f>IF($A1567&lt;Notes!$B$5,"",IF(COUNTIFS(Release_Calendar!$A$2:$A$755,"NZ_GDP",Release_Calendar!$B$2:$B$755,$A1567)&gt;0,1,0))</f>
        <v/>
      </c>
      <c r="O1567" s="16" t="str">
        <f>IF($A1567&lt;Notes!$B$5,"",IF(COUNTIFS(Release_Calendar!$A$2:$A$755,"NZ_LABOUR",Release_Calendar!$B$2:$B$755,$A1567)&gt;0,1,0))</f>
        <v/>
      </c>
      <c r="P1567" s="16">
        <f t="shared" si="4"/>
        <v>0</v>
      </c>
    </row>
    <row r="1568" ht="15.75" customHeight="1">
      <c r="A1568" s="14">
        <v>38720.0</v>
      </c>
      <c r="B1568" s="15">
        <v>4.34</v>
      </c>
      <c r="C1568" s="15"/>
      <c r="D1568" s="15"/>
      <c r="E1568" s="15"/>
      <c r="F1568" s="15" t="str">
        <f t="shared" si="1"/>
        <v/>
      </c>
      <c r="G1568" s="15" t="str">
        <f t="shared" si="2"/>
        <v/>
      </c>
      <c r="H1568" s="16">
        <v>1.0</v>
      </c>
      <c r="I1568" s="15" t="str">
        <f t="shared" si="3"/>
        <v/>
      </c>
      <c r="J1568" s="15">
        <v>11.14</v>
      </c>
      <c r="K1568" s="16">
        <f>IF(COUNTIFS(Release_Calendar!$A$2:$A$755,"US_CPI",Release_Calendar!$B$2:$B$755,$A1568)&gt;0,1,0)</f>
        <v>0</v>
      </c>
      <c r="L1568" s="16">
        <f>IF(COUNTIFS(Release_Calendar!$A$2:$A$755,"US_NFP",Release_Calendar!$B$2:$B$755,$A1568)&gt;0,1,0)</f>
        <v>0</v>
      </c>
      <c r="M1568" s="16" t="str">
        <f>IF($A1568&lt;Notes!$B$5,"",IF(COUNTIFS(Release_Calendar!$A$2:$A$755,"NZ_CPI",Release_Calendar!$B$2:$B$755,$A1568)&gt;0,1,0))</f>
        <v/>
      </c>
      <c r="N1568" s="16" t="str">
        <f>IF($A1568&lt;Notes!$B$5,"",IF(COUNTIFS(Release_Calendar!$A$2:$A$755,"NZ_GDP",Release_Calendar!$B$2:$B$755,$A1568)&gt;0,1,0))</f>
        <v/>
      </c>
      <c r="O1568" s="16" t="str">
        <f>IF($A1568&lt;Notes!$B$5,"",IF(COUNTIFS(Release_Calendar!$A$2:$A$755,"NZ_LABOUR",Release_Calendar!$B$2:$B$755,$A1568)&gt;0,1,0))</f>
        <v/>
      </c>
      <c r="P1568" s="16">
        <f t="shared" si="4"/>
        <v>0</v>
      </c>
    </row>
    <row r="1569" ht="15.75" customHeight="1">
      <c r="A1569" s="14">
        <v>38721.0</v>
      </c>
      <c r="B1569" s="15">
        <v>4.31</v>
      </c>
      <c r="C1569" s="15"/>
      <c r="D1569" s="15">
        <v>5.95</v>
      </c>
      <c r="E1569" s="15"/>
      <c r="F1569" s="15" t="str">
        <f t="shared" si="1"/>
        <v/>
      </c>
      <c r="G1569" s="15">
        <f t="shared" si="2"/>
        <v>5.95</v>
      </c>
      <c r="H1569" s="16">
        <v>1.0</v>
      </c>
      <c r="I1569" s="15">
        <f t="shared" si="3"/>
        <v>1.64</v>
      </c>
      <c r="J1569" s="15">
        <v>11.37</v>
      </c>
      <c r="K1569" s="16">
        <f>IF(COUNTIFS(Release_Calendar!$A$2:$A$755,"US_CPI",Release_Calendar!$B$2:$B$755,$A1569)&gt;0,1,0)</f>
        <v>0</v>
      </c>
      <c r="L1569" s="16">
        <f>IF(COUNTIFS(Release_Calendar!$A$2:$A$755,"US_NFP",Release_Calendar!$B$2:$B$755,$A1569)&gt;0,1,0)</f>
        <v>0</v>
      </c>
      <c r="M1569" s="16" t="str">
        <f>IF($A1569&lt;Notes!$B$5,"",IF(COUNTIFS(Release_Calendar!$A$2:$A$755,"NZ_CPI",Release_Calendar!$B$2:$B$755,$A1569)&gt;0,1,0))</f>
        <v/>
      </c>
      <c r="N1569" s="16" t="str">
        <f>IF($A1569&lt;Notes!$B$5,"",IF(COUNTIFS(Release_Calendar!$A$2:$A$755,"NZ_GDP",Release_Calendar!$B$2:$B$755,$A1569)&gt;0,1,0))</f>
        <v/>
      </c>
      <c r="O1569" s="16" t="str">
        <f>IF($A1569&lt;Notes!$B$5,"",IF(COUNTIFS(Release_Calendar!$A$2:$A$755,"NZ_LABOUR",Release_Calendar!$B$2:$B$755,$A1569)&gt;0,1,0))</f>
        <v/>
      </c>
      <c r="P1569" s="16">
        <f t="shared" si="4"/>
        <v>0</v>
      </c>
    </row>
    <row r="1570" ht="15.75" customHeight="1">
      <c r="A1570" s="14">
        <v>38722.0</v>
      </c>
      <c r="B1570" s="15">
        <v>4.32</v>
      </c>
      <c r="C1570" s="15"/>
      <c r="D1570" s="15">
        <v>5.94</v>
      </c>
      <c r="E1570" s="15"/>
      <c r="F1570" s="15" t="str">
        <f t="shared" si="1"/>
        <v/>
      </c>
      <c r="G1570" s="15">
        <f t="shared" si="2"/>
        <v>5.94</v>
      </c>
      <c r="H1570" s="16">
        <v>1.0</v>
      </c>
      <c r="I1570" s="15">
        <f t="shared" si="3"/>
        <v>1.62</v>
      </c>
      <c r="J1570" s="15">
        <v>11.31</v>
      </c>
      <c r="K1570" s="16">
        <f>IF(COUNTIFS(Release_Calendar!$A$2:$A$755,"US_CPI",Release_Calendar!$B$2:$B$755,$A1570)&gt;0,1,0)</f>
        <v>0</v>
      </c>
      <c r="L1570" s="16">
        <f>IF(COUNTIFS(Release_Calendar!$A$2:$A$755,"US_NFP",Release_Calendar!$B$2:$B$755,$A1570)&gt;0,1,0)</f>
        <v>0</v>
      </c>
      <c r="M1570" s="16" t="str">
        <f>IF($A1570&lt;Notes!$B$5,"",IF(COUNTIFS(Release_Calendar!$A$2:$A$755,"NZ_CPI",Release_Calendar!$B$2:$B$755,$A1570)&gt;0,1,0))</f>
        <v/>
      </c>
      <c r="N1570" s="16" t="str">
        <f>IF($A1570&lt;Notes!$B$5,"",IF(COUNTIFS(Release_Calendar!$A$2:$A$755,"NZ_GDP",Release_Calendar!$B$2:$B$755,$A1570)&gt;0,1,0))</f>
        <v/>
      </c>
      <c r="O1570" s="16" t="str">
        <f>IF($A1570&lt;Notes!$B$5,"",IF(COUNTIFS(Release_Calendar!$A$2:$A$755,"NZ_LABOUR",Release_Calendar!$B$2:$B$755,$A1570)&gt;0,1,0))</f>
        <v/>
      </c>
      <c r="P1570" s="16">
        <f t="shared" si="4"/>
        <v>0</v>
      </c>
    </row>
    <row r="1571" ht="15.75" customHeight="1">
      <c r="A1571" s="14">
        <v>38723.0</v>
      </c>
      <c r="B1571" s="15">
        <v>4.36</v>
      </c>
      <c r="C1571" s="15"/>
      <c r="D1571" s="15">
        <v>5.95</v>
      </c>
      <c r="E1571" s="15"/>
      <c r="F1571" s="15" t="str">
        <f t="shared" si="1"/>
        <v/>
      </c>
      <c r="G1571" s="15">
        <f t="shared" si="2"/>
        <v>5.95</v>
      </c>
      <c r="H1571" s="16">
        <v>1.0</v>
      </c>
      <c r="I1571" s="15">
        <f t="shared" si="3"/>
        <v>1.59</v>
      </c>
      <c r="J1571" s="15">
        <v>11.0</v>
      </c>
      <c r="K1571" s="16">
        <f>IF(COUNTIFS(Release_Calendar!$A$2:$A$755,"US_CPI",Release_Calendar!$B$2:$B$755,$A1571)&gt;0,1,0)</f>
        <v>0</v>
      </c>
      <c r="L1571" s="16">
        <f>IF(COUNTIFS(Release_Calendar!$A$2:$A$755,"US_NFP",Release_Calendar!$B$2:$B$755,$A1571)&gt;0,1,0)</f>
        <v>1</v>
      </c>
      <c r="M1571" s="16" t="str">
        <f>IF($A1571&lt;Notes!$B$5,"",IF(COUNTIFS(Release_Calendar!$A$2:$A$755,"NZ_CPI",Release_Calendar!$B$2:$B$755,$A1571)&gt;0,1,0))</f>
        <v/>
      </c>
      <c r="N1571" s="16" t="str">
        <f>IF($A1571&lt;Notes!$B$5,"",IF(COUNTIFS(Release_Calendar!$A$2:$A$755,"NZ_GDP",Release_Calendar!$B$2:$B$755,$A1571)&gt;0,1,0))</f>
        <v/>
      </c>
      <c r="O1571" s="16" t="str">
        <f>IF($A1571&lt;Notes!$B$5,"",IF(COUNTIFS(Release_Calendar!$A$2:$A$755,"NZ_LABOUR",Release_Calendar!$B$2:$B$755,$A1571)&gt;0,1,0))</f>
        <v/>
      </c>
      <c r="P1571" s="16">
        <f t="shared" si="4"/>
        <v>1</v>
      </c>
    </row>
    <row r="1572" ht="15.75" customHeight="1">
      <c r="A1572" s="14">
        <v>38726.0</v>
      </c>
      <c r="B1572" s="15">
        <v>4.36</v>
      </c>
      <c r="C1572" s="15"/>
      <c r="D1572" s="15">
        <v>5.96</v>
      </c>
      <c r="E1572" s="15"/>
      <c r="F1572" s="15" t="str">
        <f t="shared" si="1"/>
        <v/>
      </c>
      <c r="G1572" s="15">
        <f t="shared" si="2"/>
        <v>5.96</v>
      </c>
      <c r="H1572" s="16">
        <v>1.0</v>
      </c>
      <c r="I1572" s="15">
        <f t="shared" si="3"/>
        <v>1.6</v>
      </c>
      <c r="J1572" s="15">
        <v>11.13</v>
      </c>
      <c r="K1572" s="16">
        <f>IF(COUNTIFS(Release_Calendar!$A$2:$A$755,"US_CPI",Release_Calendar!$B$2:$B$755,$A1572)&gt;0,1,0)</f>
        <v>0</v>
      </c>
      <c r="L1572" s="16">
        <f>IF(COUNTIFS(Release_Calendar!$A$2:$A$755,"US_NFP",Release_Calendar!$B$2:$B$755,$A1572)&gt;0,1,0)</f>
        <v>0</v>
      </c>
      <c r="M1572" s="16" t="str">
        <f>IF($A1572&lt;Notes!$B$5,"",IF(COUNTIFS(Release_Calendar!$A$2:$A$755,"NZ_CPI",Release_Calendar!$B$2:$B$755,$A1572)&gt;0,1,0))</f>
        <v/>
      </c>
      <c r="N1572" s="16" t="str">
        <f>IF($A1572&lt;Notes!$B$5,"",IF(COUNTIFS(Release_Calendar!$A$2:$A$755,"NZ_GDP",Release_Calendar!$B$2:$B$755,$A1572)&gt;0,1,0))</f>
        <v/>
      </c>
      <c r="O1572" s="16" t="str">
        <f>IF($A1572&lt;Notes!$B$5,"",IF(COUNTIFS(Release_Calendar!$A$2:$A$755,"NZ_LABOUR",Release_Calendar!$B$2:$B$755,$A1572)&gt;0,1,0))</f>
        <v/>
      </c>
      <c r="P1572" s="16">
        <f t="shared" si="4"/>
        <v>0</v>
      </c>
    </row>
    <row r="1573" ht="15.75" customHeight="1">
      <c r="A1573" s="14">
        <v>38727.0</v>
      </c>
      <c r="B1573" s="15">
        <v>4.41</v>
      </c>
      <c r="C1573" s="15"/>
      <c r="D1573" s="15">
        <v>5.98</v>
      </c>
      <c r="E1573" s="15"/>
      <c r="F1573" s="15" t="str">
        <f t="shared" si="1"/>
        <v/>
      </c>
      <c r="G1573" s="15">
        <f t="shared" si="2"/>
        <v>5.98</v>
      </c>
      <c r="H1573" s="16">
        <v>1.0</v>
      </c>
      <c r="I1573" s="15">
        <f t="shared" si="3"/>
        <v>1.57</v>
      </c>
      <c r="J1573" s="15">
        <v>10.86</v>
      </c>
      <c r="K1573" s="16">
        <f>IF(COUNTIFS(Release_Calendar!$A$2:$A$755,"US_CPI",Release_Calendar!$B$2:$B$755,$A1573)&gt;0,1,0)</f>
        <v>0</v>
      </c>
      <c r="L1573" s="16">
        <f>IF(COUNTIFS(Release_Calendar!$A$2:$A$755,"US_NFP",Release_Calendar!$B$2:$B$755,$A1573)&gt;0,1,0)</f>
        <v>0</v>
      </c>
      <c r="M1573" s="16" t="str">
        <f>IF($A1573&lt;Notes!$B$5,"",IF(COUNTIFS(Release_Calendar!$A$2:$A$755,"NZ_CPI",Release_Calendar!$B$2:$B$755,$A1573)&gt;0,1,0))</f>
        <v/>
      </c>
      <c r="N1573" s="16" t="str">
        <f>IF($A1573&lt;Notes!$B$5,"",IF(COUNTIFS(Release_Calendar!$A$2:$A$755,"NZ_GDP",Release_Calendar!$B$2:$B$755,$A1573)&gt;0,1,0))</f>
        <v/>
      </c>
      <c r="O1573" s="16" t="str">
        <f>IF($A1573&lt;Notes!$B$5,"",IF(COUNTIFS(Release_Calendar!$A$2:$A$755,"NZ_LABOUR",Release_Calendar!$B$2:$B$755,$A1573)&gt;0,1,0))</f>
        <v/>
      </c>
      <c r="P1573" s="16">
        <f t="shared" si="4"/>
        <v>0</v>
      </c>
    </row>
    <row r="1574" ht="15.75" customHeight="1">
      <c r="A1574" s="14">
        <v>38728.0</v>
      </c>
      <c r="B1574" s="15">
        <v>4.44</v>
      </c>
      <c r="C1574" s="15"/>
      <c r="D1574" s="15">
        <v>6.03</v>
      </c>
      <c r="E1574" s="15"/>
      <c r="F1574" s="15" t="str">
        <f t="shared" si="1"/>
        <v/>
      </c>
      <c r="G1574" s="15">
        <f t="shared" si="2"/>
        <v>6.03</v>
      </c>
      <c r="H1574" s="16">
        <v>1.0</v>
      </c>
      <c r="I1574" s="15">
        <f t="shared" si="3"/>
        <v>1.59</v>
      </c>
      <c r="J1574" s="15">
        <v>10.94</v>
      </c>
      <c r="K1574" s="16">
        <f>IF(COUNTIFS(Release_Calendar!$A$2:$A$755,"US_CPI",Release_Calendar!$B$2:$B$755,$A1574)&gt;0,1,0)</f>
        <v>0</v>
      </c>
      <c r="L1574" s="16">
        <f>IF(COUNTIFS(Release_Calendar!$A$2:$A$755,"US_NFP",Release_Calendar!$B$2:$B$755,$A1574)&gt;0,1,0)</f>
        <v>0</v>
      </c>
      <c r="M1574" s="16" t="str">
        <f>IF($A1574&lt;Notes!$B$5,"",IF(COUNTIFS(Release_Calendar!$A$2:$A$755,"NZ_CPI",Release_Calendar!$B$2:$B$755,$A1574)&gt;0,1,0))</f>
        <v/>
      </c>
      <c r="N1574" s="16" t="str">
        <f>IF($A1574&lt;Notes!$B$5,"",IF(COUNTIFS(Release_Calendar!$A$2:$A$755,"NZ_GDP",Release_Calendar!$B$2:$B$755,$A1574)&gt;0,1,0))</f>
        <v/>
      </c>
      <c r="O1574" s="16" t="str">
        <f>IF($A1574&lt;Notes!$B$5,"",IF(COUNTIFS(Release_Calendar!$A$2:$A$755,"NZ_LABOUR",Release_Calendar!$B$2:$B$755,$A1574)&gt;0,1,0))</f>
        <v/>
      </c>
      <c r="P1574" s="16">
        <f t="shared" si="4"/>
        <v>0</v>
      </c>
    </row>
    <row r="1575" ht="15.75" customHeight="1">
      <c r="A1575" s="14">
        <v>38729.0</v>
      </c>
      <c r="B1575" s="15">
        <v>4.39</v>
      </c>
      <c r="C1575" s="15"/>
      <c r="D1575" s="15">
        <v>6.05</v>
      </c>
      <c r="E1575" s="15"/>
      <c r="F1575" s="15" t="str">
        <f t="shared" si="1"/>
        <v/>
      </c>
      <c r="G1575" s="15">
        <f t="shared" si="2"/>
        <v>6.05</v>
      </c>
      <c r="H1575" s="16">
        <v>1.0</v>
      </c>
      <c r="I1575" s="15">
        <f t="shared" si="3"/>
        <v>1.66</v>
      </c>
      <c r="J1575" s="15">
        <v>11.2</v>
      </c>
      <c r="K1575" s="16">
        <f>IF(COUNTIFS(Release_Calendar!$A$2:$A$755,"US_CPI",Release_Calendar!$B$2:$B$755,$A1575)&gt;0,1,0)</f>
        <v>0</v>
      </c>
      <c r="L1575" s="16">
        <f>IF(COUNTIFS(Release_Calendar!$A$2:$A$755,"US_NFP",Release_Calendar!$B$2:$B$755,$A1575)&gt;0,1,0)</f>
        <v>0</v>
      </c>
      <c r="M1575" s="16" t="str">
        <f>IF($A1575&lt;Notes!$B$5,"",IF(COUNTIFS(Release_Calendar!$A$2:$A$755,"NZ_CPI",Release_Calendar!$B$2:$B$755,$A1575)&gt;0,1,0))</f>
        <v/>
      </c>
      <c r="N1575" s="16" t="str">
        <f>IF($A1575&lt;Notes!$B$5,"",IF(COUNTIFS(Release_Calendar!$A$2:$A$755,"NZ_GDP",Release_Calendar!$B$2:$B$755,$A1575)&gt;0,1,0))</f>
        <v/>
      </c>
      <c r="O1575" s="16" t="str">
        <f>IF($A1575&lt;Notes!$B$5,"",IF(COUNTIFS(Release_Calendar!$A$2:$A$755,"NZ_LABOUR",Release_Calendar!$B$2:$B$755,$A1575)&gt;0,1,0))</f>
        <v/>
      </c>
      <c r="P1575" s="16">
        <f t="shared" si="4"/>
        <v>0</v>
      </c>
    </row>
    <row r="1576" ht="15.75" customHeight="1">
      <c r="A1576" s="14">
        <v>38730.0</v>
      </c>
      <c r="B1576" s="15">
        <v>4.34</v>
      </c>
      <c r="C1576" s="15"/>
      <c r="D1576" s="15">
        <v>6.02</v>
      </c>
      <c r="E1576" s="15"/>
      <c r="F1576" s="15" t="str">
        <f t="shared" si="1"/>
        <v/>
      </c>
      <c r="G1576" s="15">
        <f t="shared" si="2"/>
        <v>6.02</v>
      </c>
      <c r="H1576" s="16">
        <v>1.0</v>
      </c>
      <c r="I1576" s="15">
        <f t="shared" si="3"/>
        <v>1.68</v>
      </c>
      <c r="J1576" s="15">
        <v>11.23</v>
      </c>
      <c r="K1576" s="16">
        <f>IF(COUNTIFS(Release_Calendar!$A$2:$A$755,"US_CPI",Release_Calendar!$B$2:$B$755,$A1576)&gt;0,1,0)</f>
        <v>0</v>
      </c>
      <c r="L1576" s="16">
        <f>IF(COUNTIFS(Release_Calendar!$A$2:$A$755,"US_NFP",Release_Calendar!$B$2:$B$755,$A1576)&gt;0,1,0)</f>
        <v>0</v>
      </c>
      <c r="M1576" s="16" t="str">
        <f>IF($A1576&lt;Notes!$B$5,"",IF(COUNTIFS(Release_Calendar!$A$2:$A$755,"NZ_CPI",Release_Calendar!$B$2:$B$755,$A1576)&gt;0,1,0))</f>
        <v/>
      </c>
      <c r="N1576" s="16" t="str">
        <f>IF($A1576&lt;Notes!$B$5,"",IF(COUNTIFS(Release_Calendar!$A$2:$A$755,"NZ_GDP",Release_Calendar!$B$2:$B$755,$A1576)&gt;0,1,0))</f>
        <v/>
      </c>
      <c r="O1576" s="16" t="str">
        <f>IF($A1576&lt;Notes!$B$5,"",IF(COUNTIFS(Release_Calendar!$A$2:$A$755,"NZ_LABOUR",Release_Calendar!$B$2:$B$755,$A1576)&gt;0,1,0))</f>
        <v/>
      </c>
      <c r="P1576" s="16">
        <f t="shared" si="4"/>
        <v>0</v>
      </c>
    </row>
    <row r="1577" ht="15.75" customHeight="1">
      <c r="A1577" s="14">
        <v>38733.0</v>
      </c>
      <c r="B1577" s="15"/>
      <c r="C1577" s="15"/>
      <c r="D1577" s="15">
        <v>5.99</v>
      </c>
      <c r="E1577" s="15"/>
      <c r="F1577" s="15" t="str">
        <f t="shared" si="1"/>
        <v/>
      </c>
      <c r="G1577" s="15">
        <f t="shared" si="2"/>
        <v>5.99</v>
      </c>
      <c r="H1577" s="16">
        <v>1.0</v>
      </c>
      <c r="I1577" s="15" t="str">
        <f t="shared" si="3"/>
        <v/>
      </c>
      <c r="J1577" s="15"/>
      <c r="K1577" s="16">
        <f>IF(COUNTIFS(Release_Calendar!$A$2:$A$755,"US_CPI",Release_Calendar!$B$2:$B$755,$A1577)&gt;0,1,0)</f>
        <v>0</v>
      </c>
      <c r="L1577" s="16">
        <f>IF(COUNTIFS(Release_Calendar!$A$2:$A$755,"US_NFP",Release_Calendar!$B$2:$B$755,$A1577)&gt;0,1,0)</f>
        <v>0</v>
      </c>
      <c r="M1577" s="16" t="str">
        <f>IF($A1577&lt;Notes!$B$5,"",IF(COUNTIFS(Release_Calendar!$A$2:$A$755,"NZ_CPI",Release_Calendar!$B$2:$B$755,$A1577)&gt;0,1,0))</f>
        <v/>
      </c>
      <c r="N1577" s="16" t="str">
        <f>IF($A1577&lt;Notes!$B$5,"",IF(COUNTIFS(Release_Calendar!$A$2:$A$755,"NZ_GDP",Release_Calendar!$B$2:$B$755,$A1577)&gt;0,1,0))</f>
        <v/>
      </c>
      <c r="O1577" s="16" t="str">
        <f>IF($A1577&lt;Notes!$B$5,"",IF(COUNTIFS(Release_Calendar!$A$2:$A$755,"NZ_LABOUR",Release_Calendar!$B$2:$B$755,$A1577)&gt;0,1,0))</f>
        <v/>
      </c>
      <c r="P1577" s="16">
        <f t="shared" si="4"/>
        <v>0</v>
      </c>
    </row>
    <row r="1578" ht="15.75" customHeight="1">
      <c r="A1578" s="14">
        <v>38734.0</v>
      </c>
      <c r="B1578" s="15">
        <v>4.33</v>
      </c>
      <c r="C1578" s="15"/>
      <c r="D1578" s="15">
        <v>6.0</v>
      </c>
      <c r="E1578" s="15"/>
      <c r="F1578" s="15" t="str">
        <f t="shared" si="1"/>
        <v/>
      </c>
      <c r="G1578" s="15">
        <f t="shared" si="2"/>
        <v>6</v>
      </c>
      <c r="H1578" s="16">
        <v>1.0</v>
      </c>
      <c r="I1578" s="15">
        <f t="shared" si="3"/>
        <v>1.67</v>
      </c>
      <c r="J1578" s="15">
        <v>11.91</v>
      </c>
      <c r="K1578" s="16">
        <f>IF(COUNTIFS(Release_Calendar!$A$2:$A$755,"US_CPI",Release_Calendar!$B$2:$B$755,$A1578)&gt;0,1,0)</f>
        <v>0</v>
      </c>
      <c r="L1578" s="16">
        <f>IF(COUNTIFS(Release_Calendar!$A$2:$A$755,"US_NFP",Release_Calendar!$B$2:$B$755,$A1578)&gt;0,1,0)</f>
        <v>0</v>
      </c>
      <c r="M1578" s="16" t="str">
        <f>IF($A1578&lt;Notes!$B$5,"",IF(COUNTIFS(Release_Calendar!$A$2:$A$755,"NZ_CPI",Release_Calendar!$B$2:$B$755,$A1578)&gt;0,1,0))</f>
        <v/>
      </c>
      <c r="N1578" s="16" t="str">
        <f>IF($A1578&lt;Notes!$B$5,"",IF(COUNTIFS(Release_Calendar!$A$2:$A$755,"NZ_GDP",Release_Calendar!$B$2:$B$755,$A1578)&gt;0,1,0))</f>
        <v/>
      </c>
      <c r="O1578" s="16" t="str">
        <f>IF($A1578&lt;Notes!$B$5,"",IF(COUNTIFS(Release_Calendar!$A$2:$A$755,"NZ_LABOUR",Release_Calendar!$B$2:$B$755,$A1578)&gt;0,1,0))</f>
        <v/>
      </c>
      <c r="P1578" s="16">
        <f t="shared" si="4"/>
        <v>0</v>
      </c>
    </row>
    <row r="1579" ht="15.75" customHeight="1">
      <c r="A1579" s="14">
        <v>38735.0</v>
      </c>
      <c r="B1579" s="15">
        <v>4.33</v>
      </c>
      <c r="C1579" s="15"/>
      <c r="D1579" s="15">
        <v>5.93</v>
      </c>
      <c r="E1579" s="15"/>
      <c r="F1579" s="15" t="str">
        <f t="shared" si="1"/>
        <v/>
      </c>
      <c r="G1579" s="15">
        <f t="shared" si="2"/>
        <v>5.93</v>
      </c>
      <c r="H1579" s="16">
        <v>1.0</v>
      </c>
      <c r="I1579" s="15">
        <f t="shared" si="3"/>
        <v>1.6</v>
      </c>
      <c r="J1579" s="15">
        <v>12.25</v>
      </c>
      <c r="K1579" s="16">
        <f>IF(COUNTIFS(Release_Calendar!$A$2:$A$755,"US_CPI",Release_Calendar!$B$2:$B$755,$A1579)&gt;0,1,0)</f>
        <v>1</v>
      </c>
      <c r="L1579" s="16">
        <f>IF(COUNTIFS(Release_Calendar!$A$2:$A$755,"US_NFP",Release_Calendar!$B$2:$B$755,$A1579)&gt;0,1,0)</f>
        <v>0</v>
      </c>
      <c r="M1579" s="16" t="str">
        <f>IF($A1579&lt;Notes!$B$5,"",IF(COUNTIFS(Release_Calendar!$A$2:$A$755,"NZ_CPI",Release_Calendar!$B$2:$B$755,$A1579)&gt;0,1,0))</f>
        <v/>
      </c>
      <c r="N1579" s="16" t="str">
        <f>IF($A1579&lt;Notes!$B$5,"",IF(COUNTIFS(Release_Calendar!$A$2:$A$755,"NZ_GDP",Release_Calendar!$B$2:$B$755,$A1579)&gt;0,1,0))</f>
        <v/>
      </c>
      <c r="O1579" s="16" t="str">
        <f>IF($A1579&lt;Notes!$B$5,"",IF(COUNTIFS(Release_Calendar!$A$2:$A$755,"NZ_LABOUR",Release_Calendar!$B$2:$B$755,$A1579)&gt;0,1,0))</f>
        <v/>
      </c>
      <c r="P1579" s="16">
        <f t="shared" si="4"/>
        <v>1</v>
      </c>
    </row>
    <row r="1580" ht="15.75" customHeight="1">
      <c r="A1580" s="14">
        <v>38736.0</v>
      </c>
      <c r="B1580" s="15">
        <v>4.37</v>
      </c>
      <c r="C1580" s="15"/>
      <c r="D1580" s="15">
        <v>5.88</v>
      </c>
      <c r="E1580" s="15"/>
      <c r="F1580" s="15" t="str">
        <f t="shared" si="1"/>
        <v/>
      </c>
      <c r="G1580" s="15">
        <f t="shared" si="2"/>
        <v>5.88</v>
      </c>
      <c r="H1580" s="16">
        <v>1.0</v>
      </c>
      <c r="I1580" s="15">
        <f t="shared" si="3"/>
        <v>1.51</v>
      </c>
      <c r="J1580" s="15">
        <v>11.98</v>
      </c>
      <c r="K1580" s="16">
        <f>IF(COUNTIFS(Release_Calendar!$A$2:$A$755,"US_CPI",Release_Calendar!$B$2:$B$755,$A1580)&gt;0,1,0)</f>
        <v>0</v>
      </c>
      <c r="L1580" s="16">
        <f>IF(COUNTIFS(Release_Calendar!$A$2:$A$755,"US_NFP",Release_Calendar!$B$2:$B$755,$A1580)&gt;0,1,0)</f>
        <v>0</v>
      </c>
      <c r="M1580" s="16" t="str">
        <f>IF($A1580&lt;Notes!$B$5,"",IF(COUNTIFS(Release_Calendar!$A$2:$A$755,"NZ_CPI",Release_Calendar!$B$2:$B$755,$A1580)&gt;0,1,0))</f>
        <v/>
      </c>
      <c r="N1580" s="16" t="str">
        <f>IF($A1580&lt;Notes!$B$5,"",IF(COUNTIFS(Release_Calendar!$A$2:$A$755,"NZ_GDP",Release_Calendar!$B$2:$B$755,$A1580)&gt;0,1,0))</f>
        <v/>
      </c>
      <c r="O1580" s="16" t="str">
        <f>IF($A1580&lt;Notes!$B$5,"",IF(COUNTIFS(Release_Calendar!$A$2:$A$755,"NZ_LABOUR",Release_Calendar!$B$2:$B$755,$A1580)&gt;0,1,0))</f>
        <v/>
      </c>
      <c r="P1580" s="16">
        <f t="shared" si="4"/>
        <v>0</v>
      </c>
    </row>
    <row r="1581" ht="15.75" customHeight="1">
      <c r="A1581" s="14">
        <v>38737.0</v>
      </c>
      <c r="B1581" s="15">
        <v>4.37</v>
      </c>
      <c r="C1581" s="15"/>
      <c r="D1581" s="15">
        <v>5.88</v>
      </c>
      <c r="E1581" s="15"/>
      <c r="F1581" s="15" t="str">
        <f t="shared" si="1"/>
        <v/>
      </c>
      <c r="G1581" s="15">
        <f t="shared" si="2"/>
        <v>5.88</v>
      </c>
      <c r="H1581" s="16">
        <v>1.0</v>
      </c>
      <c r="I1581" s="15">
        <f t="shared" si="3"/>
        <v>1.51</v>
      </c>
      <c r="J1581" s="15">
        <v>14.56</v>
      </c>
      <c r="K1581" s="16">
        <f>IF(COUNTIFS(Release_Calendar!$A$2:$A$755,"US_CPI",Release_Calendar!$B$2:$B$755,$A1581)&gt;0,1,0)</f>
        <v>0</v>
      </c>
      <c r="L1581" s="16">
        <f>IF(COUNTIFS(Release_Calendar!$A$2:$A$755,"US_NFP",Release_Calendar!$B$2:$B$755,$A1581)&gt;0,1,0)</f>
        <v>0</v>
      </c>
      <c r="M1581" s="16" t="str">
        <f>IF($A1581&lt;Notes!$B$5,"",IF(COUNTIFS(Release_Calendar!$A$2:$A$755,"NZ_CPI",Release_Calendar!$B$2:$B$755,$A1581)&gt;0,1,0))</f>
        <v/>
      </c>
      <c r="N1581" s="16" t="str">
        <f>IF($A1581&lt;Notes!$B$5,"",IF(COUNTIFS(Release_Calendar!$A$2:$A$755,"NZ_GDP",Release_Calendar!$B$2:$B$755,$A1581)&gt;0,1,0))</f>
        <v/>
      </c>
      <c r="O1581" s="16" t="str">
        <f>IF($A1581&lt;Notes!$B$5,"",IF(COUNTIFS(Release_Calendar!$A$2:$A$755,"NZ_LABOUR",Release_Calendar!$B$2:$B$755,$A1581)&gt;0,1,0))</f>
        <v/>
      </c>
      <c r="P1581" s="16">
        <f t="shared" si="4"/>
        <v>0</v>
      </c>
    </row>
    <row r="1582" ht="15.75" customHeight="1">
      <c r="A1582" s="14">
        <v>38740.0</v>
      </c>
      <c r="B1582" s="15">
        <v>4.35</v>
      </c>
      <c r="C1582" s="15"/>
      <c r="D1582" s="15">
        <v>5.89</v>
      </c>
      <c r="E1582" s="15"/>
      <c r="F1582" s="15" t="str">
        <f t="shared" si="1"/>
        <v/>
      </c>
      <c r="G1582" s="15">
        <f t="shared" si="2"/>
        <v>5.89</v>
      </c>
      <c r="H1582" s="16">
        <v>1.0</v>
      </c>
      <c r="I1582" s="15">
        <f t="shared" si="3"/>
        <v>1.54</v>
      </c>
      <c r="J1582" s="15">
        <v>13.93</v>
      </c>
      <c r="K1582" s="16">
        <f>IF(COUNTIFS(Release_Calendar!$A$2:$A$755,"US_CPI",Release_Calendar!$B$2:$B$755,$A1582)&gt;0,1,0)</f>
        <v>0</v>
      </c>
      <c r="L1582" s="16">
        <f>IF(COUNTIFS(Release_Calendar!$A$2:$A$755,"US_NFP",Release_Calendar!$B$2:$B$755,$A1582)&gt;0,1,0)</f>
        <v>0</v>
      </c>
      <c r="M1582" s="16" t="str">
        <f>IF($A1582&lt;Notes!$B$5,"",IF(COUNTIFS(Release_Calendar!$A$2:$A$755,"NZ_CPI",Release_Calendar!$B$2:$B$755,$A1582)&gt;0,1,0))</f>
        <v/>
      </c>
      <c r="N1582" s="16" t="str">
        <f>IF($A1582&lt;Notes!$B$5,"",IF(COUNTIFS(Release_Calendar!$A$2:$A$755,"NZ_GDP",Release_Calendar!$B$2:$B$755,$A1582)&gt;0,1,0))</f>
        <v/>
      </c>
      <c r="O1582" s="16" t="str">
        <f>IF($A1582&lt;Notes!$B$5,"",IF(COUNTIFS(Release_Calendar!$A$2:$A$755,"NZ_LABOUR",Release_Calendar!$B$2:$B$755,$A1582)&gt;0,1,0))</f>
        <v/>
      </c>
      <c r="P1582" s="16">
        <f t="shared" si="4"/>
        <v>0</v>
      </c>
    </row>
    <row r="1583" ht="15.75" customHeight="1">
      <c r="A1583" s="14">
        <v>38741.0</v>
      </c>
      <c r="B1583" s="15">
        <v>4.37</v>
      </c>
      <c r="C1583" s="15"/>
      <c r="D1583" s="15">
        <v>5.87</v>
      </c>
      <c r="E1583" s="15"/>
      <c r="F1583" s="15" t="str">
        <f t="shared" si="1"/>
        <v/>
      </c>
      <c r="G1583" s="15">
        <f t="shared" si="2"/>
        <v>5.87</v>
      </c>
      <c r="H1583" s="16">
        <v>1.0</v>
      </c>
      <c r="I1583" s="15">
        <f t="shared" si="3"/>
        <v>1.5</v>
      </c>
      <c r="J1583" s="15">
        <v>13.31</v>
      </c>
      <c r="K1583" s="16">
        <f>IF(COUNTIFS(Release_Calendar!$A$2:$A$755,"US_CPI",Release_Calendar!$B$2:$B$755,$A1583)&gt;0,1,0)</f>
        <v>0</v>
      </c>
      <c r="L1583" s="16">
        <f>IF(COUNTIFS(Release_Calendar!$A$2:$A$755,"US_NFP",Release_Calendar!$B$2:$B$755,$A1583)&gt;0,1,0)</f>
        <v>0</v>
      </c>
      <c r="M1583" s="16" t="str">
        <f>IF($A1583&lt;Notes!$B$5,"",IF(COUNTIFS(Release_Calendar!$A$2:$A$755,"NZ_CPI",Release_Calendar!$B$2:$B$755,$A1583)&gt;0,1,0))</f>
        <v/>
      </c>
      <c r="N1583" s="16" t="str">
        <f>IF($A1583&lt;Notes!$B$5,"",IF(COUNTIFS(Release_Calendar!$A$2:$A$755,"NZ_GDP",Release_Calendar!$B$2:$B$755,$A1583)&gt;0,1,0))</f>
        <v/>
      </c>
      <c r="O1583" s="16" t="str">
        <f>IF($A1583&lt;Notes!$B$5,"",IF(COUNTIFS(Release_Calendar!$A$2:$A$755,"NZ_LABOUR",Release_Calendar!$B$2:$B$755,$A1583)&gt;0,1,0))</f>
        <v/>
      </c>
      <c r="P1583" s="16">
        <f t="shared" si="4"/>
        <v>0</v>
      </c>
    </row>
    <row r="1584" ht="15.75" customHeight="1">
      <c r="A1584" s="14">
        <v>38742.0</v>
      </c>
      <c r="B1584" s="15">
        <v>4.46</v>
      </c>
      <c r="C1584" s="15"/>
      <c r="D1584" s="15">
        <v>5.8</v>
      </c>
      <c r="E1584" s="15"/>
      <c r="F1584" s="15" t="str">
        <f t="shared" si="1"/>
        <v/>
      </c>
      <c r="G1584" s="15">
        <f t="shared" si="2"/>
        <v>5.8</v>
      </c>
      <c r="H1584" s="16">
        <v>1.0</v>
      </c>
      <c r="I1584" s="15">
        <f t="shared" si="3"/>
        <v>1.34</v>
      </c>
      <c r="J1584" s="15">
        <v>12.87</v>
      </c>
      <c r="K1584" s="16">
        <f>IF(COUNTIFS(Release_Calendar!$A$2:$A$755,"US_CPI",Release_Calendar!$B$2:$B$755,$A1584)&gt;0,1,0)</f>
        <v>0</v>
      </c>
      <c r="L1584" s="16">
        <f>IF(COUNTIFS(Release_Calendar!$A$2:$A$755,"US_NFP",Release_Calendar!$B$2:$B$755,$A1584)&gt;0,1,0)</f>
        <v>0</v>
      </c>
      <c r="M1584" s="16" t="str">
        <f>IF($A1584&lt;Notes!$B$5,"",IF(COUNTIFS(Release_Calendar!$A$2:$A$755,"NZ_CPI",Release_Calendar!$B$2:$B$755,$A1584)&gt;0,1,0))</f>
        <v/>
      </c>
      <c r="N1584" s="16" t="str">
        <f>IF($A1584&lt;Notes!$B$5,"",IF(COUNTIFS(Release_Calendar!$A$2:$A$755,"NZ_GDP",Release_Calendar!$B$2:$B$755,$A1584)&gt;0,1,0))</f>
        <v/>
      </c>
      <c r="O1584" s="16" t="str">
        <f>IF($A1584&lt;Notes!$B$5,"",IF(COUNTIFS(Release_Calendar!$A$2:$A$755,"NZ_LABOUR",Release_Calendar!$B$2:$B$755,$A1584)&gt;0,1,0))</f>
        <v/>
      </c>
      <c r="P1584" s="16">
        <f t="shared" si="4"/>
        <v>0</v>
      </c>
    </row>
    <row r="1585" ht="15.75" customHeight="1">
      <c r="A1585" s="14">
        <v>38743.0</v>
      </c>
      <c r="B1585" s="15">
        <v>4.49</v>
      </c>
      <c r="C1585" s="15"/>
      <c r="D1585" s="15">
        <v>5.83</v>
      </c>
      <c r="E1585" s="15"/>
      <c r="F1585" s="15" t="str">
        <f t="shared" si="1"/>
        <v/>
      </c>
      <c r="G1585" s="15">
        <f t="shared" si="2"/>
        <v>5.83</v>
      </c>
      <c r="H1585" s="16">
        <v>1.0</v>
      </c>
      <c r="I1585" s="15">
        <f t="shared" si="3"/>
        <v>1.34</v>
      </c>
      <c r="J1585" s="15">
        <v>12.42</v>
      </c>
      <c r="K1585" s="16">
        <f>IF(COUNTIFS(Release_Calendar!$A$2:$A$755,"US_CPI",Release_Calendar!$B$2:$B$755,$A1585)&gt;0,1,0)</f>
        <v>0</v>
      </c>
      <c r="L1585" s="16">
        <f>IF(COUNTIFS(Release_Calendar!$A$2:$A$755,"US_NFP",Release_Calendar!$B$2:$B$755,$A1585)&gt;0,1,0)</f>
        <v>0</v>
      </c>
      <c r="M1585" s="16" t="str">
        <f>IF($A1585&lt;Notes!$B$5,"",IF(COUNTIFS(Release_Calendar!$A$2:$A$755,"NZ_CPI",Release_Calendar!$B$2:$B$755,$A1585)&gt;0,1,0))</f>
        <v/>
      </c>
      <c r="N1585" s="16" t="str">
        <f>IF($A1585&lt;Notes!$B$5,"",IF(COUNTIFS(Release_Calendar!$A$2:$A$755,"NZ_GDP",Release_Calendar!$B$2:$B$755,$A1585)&gt;0,1,0))</f>
        <v/>
      </c>
      <c r="O1585" s="16" t="str">
        <f>IF($A1585&lt;Notes!$B$5,"",IF(COUNTIFS(Release_Calendar!$A$2:$A$755,"NZ_LABOUR",Release_Calendar!$B$2:$B$755,$A1585)&gt;0,1,0))</f>
        <v/>
      </c>
      <c r="P1585" s="16">
        <f t="shared" si="4"/>
        <v>0</v>
      </c>
    </row>
    <row r="1586" ht="15.75" customHeight="1">
      <c r="A1586" s="14">
        <v>38744.0</v>
      </c>
      <c r="B1586" s="15">
        <v>4.51</v>
      </c>
      <c r="C1586" s="15"/>
      <c r="D1586" s="15">
        <v>5.83</v>
      </c>
      <c r="E1586" s="15"/>
      <c r="F1586" s="15" t="str">
        <f t="shared" si="1"/>
        <v/>
      </c>
      <c r="G1586" s="15">
        <f t="shared" si="2"/>
        <v>5.83</v>
      </c>
      <c r="H1586" s="16">
        <v>1.0</v>
      </c>
      <c r="I1586" s="15">
        <f t="shared" si="3"/>
        <v>1.32</v>
      </c>
      <c r="J1586" s="15">
        <v>11.97</v>
      </c>
      <c r="K1586" s="16">
        <f>IF(COUNTIFS(Release_Calendar!$A$2:$A$755,"US_CPI",Release_Calendar!$B$2:$B$755,$A1586)&gt;0,1,0)</f>
        <v>0</v>
      </c>
      <c r="L1586" s="16">
        <f>IF(COUNTIFS(Release_Calendar!$A$2:$A$755,"US_NFP",Release_Calendar!$B$2:$B$755,$A1586)&gt;0,1,0)</f>
        <v>0</v>
      </c>
      <c r="M1586" s="16" t="str">
        <f>IF($A1586&lt;Notes!$B$5,"",IF(COUNTIFS(Release_Calendar!$A$2:$A$755,"NZ_CPI",Release_Calendar!$B$2:$B$755,$A1586)&gt;0,1,0))</f>
        <v/>
      </c>
      <c r="N1586" s="16" t="str">
        <f>IF($A1586&lt;Notes!$B$5,"",IF(COUNTIFS(Release_Calendar!$A$2:$A$755,"NZ_GDP",Release_Calendar!$B$2:$B$755,$A1586)&gt;0,1,0))</f>
        <v/>
      </c>
      <c r="O1586" s="16" t="str">
        <f>IF($A1586&lt;Notes!$B$5,"",IF(COUNTIFS(Release_Calendar!$A$2:$A$755,"NZ_LABOUR",Release_Calendar!$B$2:$B$755,$A1586)&gt;0,1,0))</f>
        <v/>
      </c>
      <c r="P1586" s="16">
        <f t="shared" si="4"/>
        <v>0</v>
      </c>
    </row>
    <row r="1587" ht="15.75" customHeight="1">
      <c r="A1587" s="14">
        <v>38747.0</v>
      </c>
      <c r="B1587" s="15">
        <v>4.52</v>
      </c>
      <c r="C1587" s="15"/>
      <c r="D1587" s="15">
        <v>5.83</v>
      </c>
      <c r="E1587" s="15"/>
      <c r="F1587" s="15" t="str">
        <f t="shared" si="1"/>
        <v/>
      </c>
      <c r="G1587" s="15">
        <f t="shared" si="2"/>
        <v>5.83</v>
      </c>
      <c r="H1587" s="16">
        <v>1.0</v>
      </c>
      <c r="I1587" s="15">
        <f t="shared" si="3"/>
        <v>1.31</v>
      </c>
      <c r="J1587" s="15">
        <v>12.39</v>
      </c>
      <c r="K1587" s="16">
        <f>IF(COUNTIFS(Release_Calendar!$A$2:$A$755,"US_CPI",Release_Calendar!$B$2:$B$755,$A1587)&gt;0,1,0)</f>
        <v>0</v>
      </c>
      <c r="L1587" s="16">
        <f>IF(COUNTIFS(Release_Calendar!$A$2:$A$755,"US_NFP",Release_Calendar!$B$2:$B$755,$A1587)&gt;0,1,0)</f>
        <v>0</v>
      </c>
      <c r="M1587" s="16" t="str">
        <f>IF($A1587&lt;Notes!$B$5,"",IF(COUNTIFS(Release_Calendar!$A$2:$A$755,"NZ_CPI",Release_Calendar!$B$2:$B$755,$A1587)&gt;0,1,0))</f>
        <v/>
      </c>
      <c r="N1587" s="16" t="str">
        <f>IF($A1587&lt;Notes!$B$5,"",IF(COUNTIFS(Release_Calendar!$A$2:$A$755,"NZ_GDP",Release_Calendar!$B$2:$B$755,$A1587)&gt;0,1,0))</f>
        <v/>
      </c>
      <c r="O1587" s="16" t="str">
        <f>IF($A1587&lt;Notes!$B$5,"",IF(COUNTIFS(Release_Calendar!$A$2:$A$755,"NZ_LABOUR",Release_Calendar!$B$2:$B$755,$A1587)&gt;0,1,0))</f>
        <v/>
      </c>
      <c r="P1587" s="16">
        <f t="shared" si="4"/>
        <v>0</v>
      </c>
    </row>
    <row r="1588" ht="15.75" customHeight="1">
      <c r="A1588" s="14">
        <v>38748.0</v>
      </c>
      <c r="B1588" s="15">
        <v>4.54</v>
      </c>
      <c r="C1588" s="15"/>
      <c r="D1588" s="15">
        <v>5.82</v>
      </c>
      <c r="E1588" s="15"/>
      <c r="F1588" s="15" t="str">
        <f t="shared" si="1"/>
        <v/>
      </c>
      <c r="G1588" s="15">
        <f t="shared" si="2"/>
        <v>5.82</v>
      </c>
      <c r="H1588" s="16">
        <v>1.0</v>
      </c>
      <c r="I1588" s="15">
        <f t="shared" si="3"/>
        <v>1.28</v>
      </c>
      <c r="J1588" s="15">
        <v>12.95</v>
      </c>
      <c r="K1588" s="16">
        <f>IF(COUNTIFS(Release_Calendar!$A$2:$A$755,"US_CPI",Release_Calendar!$B$2:$B$755,$A1588)&gt;0,1,0)</f>
        <v>0</v>
      </c>
      <c r="L1588" s="16">
        <f>IF(COUNTIFS(Release_Calendar!$A$2:$A$755,"US_NFP",Release_Calendar!$B$2:$B$755,$A1588)&gt;0,1,0)</f>
        <v>0</v>
      </c>
      <c r="M1588" s="16" t="str">
        <f>IF($A1588&lt;Notes!$B$5,"",IF(COUNTIFS(Release_Calendar!$A$2:$A$755,"NZ_CPI",Release_Calendar!$B$2:$B$755,$A1588)&gt;0,1,0))</f>
        <v/>
      </c>
      <c r="N1588" s="16" t="str">
        <f>IF($A1588&lt;Notes!$B$5,"",IF(COUNTIFS(Release_Calendar!$A$2:$A$755,"NZ_GDP",Release_Calendar!$B$2:$B$755,$A1588)&gt;0,1,0))</f>
        <v/>
      </c>
      <c r="O1588" s="16" t="str">
        <f>IF($A1588&lt;Notes!$B$5,"",IF(COUNTIFS(Release_Calendar!$A$2:$A$755,"NZ_LABOUR",Release_Calendar!$B$2:$B$755,$A1588)&gt;0,1,0))</f>
        <v/>
      </c>
      <c r="P1588" s="16">
        <f t="shared" si="4"/>
        <v>0</v>
      </c>
    </row>
    <row r="1589" ht="15.75" customHeight="1">
      <c r="A1589" s="14">
        <v>38749.0</v>
      </c>
      <c r="B1589" s="15">
        <v>4.59</v>
      </c>
      <c r="C1589" s="15"/>
      <c r="D1589" s="15">
        <v>5.8</v>
      </c>
      <c r="E1589" s="15"/>
      <c r="F1589" s="15" t="str">
        <f t="shared" si="1"/>
        <v/>
      </c>
      <c r="G1589" s="15">
        <f t="shared" si="2"/>
        <v>5.8</v>
      </c>
      <c r="H1589" s="16">
        <v>1.0</v>
      </c>
      <c r="I1589" s="15">
        <f t="shared" si="3"/>
        <v>1.21</v>
      </c>
      <c r="J1589" s="15">
        <v>12.36</v>
      </c>
      <c r="K1589" s="16">
        <f>IF(COUNTIFS(Release_Calendar!$A$2:$A$755,"US_CPI",Release_Calendar!$B$2:$B$755,$A1589)&gt;0,1,0)</f>
        <v>0</v>
      </c>
      <c r="L1589" s="16">
        <f>IF(COUNTIFS(Release_Calendar!$A$2:$A$755,"US_NFP",Release_Calendar!$B$2:$B$755,$A1589)&gt;0,1,0)</f>
        <v>0</v>
      </c>
      <c r="M1589" s="16" t="str">
        <f>IF($A1589&lt;Notes!$B$5,"",IF(COUNTIFS(Release_Calendar!$A$2:$A$755,"NZ_CPI",Release_Calendar!$B$2:$B$755,$A1589)&gt;0,1,0))</f>
        <v/>
      </c>
      <c r="N1589" s="16" t="str">
        <f>IF($A1589&lt;Notes!$B$5,"",IF(COUNTIFS(Release_Calendar!$A$2:$A$755,"NZ_GDP",Release_Calendar!$B$2:$B$755,$A1589)&gt;0,1,0))</f>
        <v/>
      </c>
      <c r="O1589" s="16" t="str">
        <f>IF($A1589&lt;Notes!$B$5,"",IF(COUNTIFS(Release_Calendar!$A$2:$A$755,"NZ_LABOUR",Release_Calendar!$B$2:$B$755,$A1589)&gt;0,1,0))</f>
        <v/>
      </c>
      <c r="P1589" s="16">
        <f t="shared" si="4"/>
        <v>0</v>
      </c>
    </row>
    <row r="1590" ht="15.75" customHeight="1">
      <c r="A1590" s="14">
        <v>38750.0</v>
      </c>
      <c r="B1590" s="15">
        <v>4.59</v>
      </c>
      <c r="C1590" s="15"/>
      <c r="D1590" s="15">
        <v>5.81</v>
      </c>
      <c r="E1590" s="15"/>
      <c r="F1590" s="15" t="str">
        <f t="shared" si="1"/>
        <v/>
      </c>
      <c r="G1590" s="15">
        <f t="shared" si="2"/>
        <v>5.81</v>
      </c>
      <c r="H1590" s="16">
        <v>1.0</v>
      </c>
      <c r="I1590" s="15">
        <f t="shared" si="3"/>
        <v>1.22</v>
      </c>
      <c r="J1590" s="15">
        <v>13.23</v>
      </c>
      <c r="K1590" s="16">
        <f>IF(COUNTIFS(Release_Calendar!$A$2:$A$755,"US_CPI",Release_Calendar!$B$2:$B$755,$A1590)&gt;0,1,0)</f>
        <v>0</v>
      </c>
      <c r="L1590" s="16">
        <f>IF(COUNTIFS(Release_Calendar!$A$2:$A$755,"US_NFP",Release_Calendar!$B$2:$B$755,$A1590)&gt;0,1,0)</f>
        <v>0</v>
      </c>
      <c r="M1590" s="16" t="str">
        <f>IF($A1590&lt;Notes!$B$5,"",IF(COUNTIFS(Release_Calendar!$A$2:$A$755,"NZ_CPI",Release_Calendar!$B$2:$B$755,$A1590)&gt;0,1,0))</f>
        <v/>
      </c>
      <c r="N1590" s="16" t="str">
        <f>IF($A1590&lt;Notes!$B$5,"",IF(COUNTIFS(Release_Calendar!$A$2:$A$755,"NZ_GDP",Release_Calendar!$B$2:$B$755,$A1590)&gt;0,1,0))</f>
        <v/>
      </c>
      <c r="O1590" s="16" t="str">
        <f>IF($A1590&lt;Notes!$B$5,"",IF(COUNTIFS(Release_Calendar!$A$2:$A$755,"NZ_LABOUR",Release_Calendar!$B$2:$B$755,$A1590)&gt;0,1,0))</f>
        <v/>
      </c>
      <c r="P1590" s="16">
        <f t="shared" si="4"/>
        <v>0</v>
      </c>
    </row>
    <row r="1591" ht="15.75" customHeight="1">
      <c r="A1591" s="14">
        <v>38751.0</v>
      </c>
      <c r="B1591" s="15">
        <v>4.59</v>
      </c>
      <c r="C1591" s="15"/>
      <c r="D1591" s="15">
        <v>5.83</v>
      </c>
      <c r="E1591" s="15"/>
      <c r="F1591" s="15" t="str">
        <f t="shared" si="1"/>
        <v/>
      </c>
      <c r="G1591" s="15">
        <f t="shared" si="2"/>
        <v>5.83</v>
      </c>
      <c r="H1591" s="16">
        <v>1.0</v>
      </c>
      <c r="I1591" s="15">
        <f t="shared" si="3"/>
        <v>1.24</v>
      </c>
      <c r="J1591" s="15">
        <v>12.96</v>
      </c>
      <c r="K1591" s="16">
        <f>IF(COUNTIFS(Release_Calendar!$A$2:$A$755,"US_CPI",Release_Calendar!$B$2:$B$755,$A1591)&gt;0,1,0)</f>
        <v>0</v>
      </c>
      <c r="L1591" s="16">
        <f>IF(COUNTIFS(Release_Calendar!$A$2:$A$755,"US_NFP",Release_Calendar!$B$2:$B$755,$A1591)&gt;0,1,0)</f>
        <v>1</v>
      </c>
      <c r="M1591" s="16" t="str">
        <f>IF($A1591&lt;Notes!$B$5,"",IF(COUNTIFS(Release_Calendar!$A$2:$A$755,"NZ_CPI",Release_Calendar!$B$2:$B$755,$A1591)&gt;0,1,0))</f>
        <v/>
      </c>
      <c r="N1591" s="16" t="str">
        <f>IF($A1591&lt;Notes!$B$5,"",IF(COUNTIFS(Release_Calendar!$A$2:$A$755,"NZ_GDP",Release_Calendar!$B$2:$B$755,$A1591)&gt;0,1,0))</f>
        <v/>
      </c>
      <c r="O1591" s="16" t="str">
        <f>IF($A1591&lt;Notes!$B$5,"",IF(COUNTIFS(Release_Calendar!$A$2:$A$755,"NZ_LABOUR",Release_Calendar!$B$2:$B$755,$A1591)&gt;0,1,0))</f>
        <v/>
      </c>
      <c r="P1591" s="16">
        <f t="shared" si="4"/>
        <v>1</v>
      </c>
    </row>
    <row r="1592" ht="15.75" customHeight="1">
      <c r="A1592" s="14">
        <v>38754.0</v>
      </c>
      <c r="B1592" s="15">
        <v>4.62</v>
      </c>
      <c r="C1592" s="15"/>
      <c r="D1592" s="15"/>
      <c r="E1592" s="15"/>
      <c r="F1592" s="15" t="str">
        <f t="shared" si="1"/>
        <v/>
      </c>
      <c r="G1592" s="15" t="str">
        <f t="shared" si="2"/>
        <v/>
      </c>
      <c r="H1592" s="16">
        <v>1.0</v>
      </c>
      <c r="I1592" s="15" t="str">
        <f t="shared" si="3"/>
        <v/>
      </c>
      <c r="J1592" s="15">
        <v>13.04</v>
      </c>
      <c r="K1592" s="16">
        <f>IF(COUNTIFS(Release_Calendar!$A$2:$A$755,"US_CPI",Release_Calendar!$B$2:$B$755,$A1592)&gt;0,1,0)</f>
        <v>0</v>
      </c>
      <c r="L1592" s="16">
        <f>IF(COUNTIFS(Release_Calendar!$A$2:$A$755,"US_NFP",Release_Calendar!$B$2:$B$755,$A1592)&gt;0,1,0)</f>
        <v>0</v>
      </c>
      <c r="M1592" s="16" t="str">
        <f>IF($A1592&lt;Notes!$B$5,"",IF(COUNTIFS(Release_Calendar!$A$2:$A$755,"NZ_CPI",Release_Calendar!$B$2:$B$755,$A1592)&gt;0,1,0))</f>
        <v/>
      </c>
      <c r="N1592" s="16" t="str">
        <f>IF($A1592&lt;Notes!$B$5,"",IF(COUNTIFS(Release_Calendar!$A$2:$A$755,"NZ_GDP",Release_Calendar!$B$2:$B$755,$A1592)&gt;0,1,0))</f>
        <v/>
      </c>
      <c r="O1592" s="16" t="str">
        <f>IF($A1592&lt;Notes!$B$5,"",IF(COUNTIFS(Release_Calendar!$A$2:$A$755,"NZ_LABOUR",Release_Calendar!$B$2:$B$755,$A1592)&gt;0,1,0))</f>
        <v/>
      </c>
      <c r="P1592" s="16">
        <f t="shared" si="4"/>
        <v>0</v>
      </c>
    </row>
    <row r="1593" ht="15.75" customHeight="1">
      <c r="A1593" s="14">
        <v>38755.0</v>
      </c>
      <c r="B1593" s="15">
        <v>4.61</v>
      </c>
      <c r="C1593" s="15"/>
      <c r="D1593" s="15">
        <v>5.8</v>
      </c>
      <c r="E1593" s="15"/>
      <c r="F1593" s="15" t="str">
        <f t="shared" si="1"/>
        <v/>
      </c>
      <c r="G1593" s="15">
        <f t="shared" si="2"/>
        <v>5.8</v>
      </c>
      <c r="H1593" s="16">
        <v>1.0</v>
      </c>
      <c r="I1593" s="15">
        <f t="shared" si="3"/>
        <v>1.19</v>
      </c>
      <c r="J1593" s="15">
        <v>13.59</v>
      </c>
      <c r="K1593" s="16">
        <f>IF(COUNTIFS(Release_Calendar!$A$2:$A$755,"US_CPI",Release_Calendar!$B$2:$B$755,$A1593)&gt;0,1,0)</f>
        <v>0</v>
      </c>
      <c r="L1593" s="16">
        <f>IF(COUNTIFS(Release_Calendar!$A$2:$A$755,"US_NFP",Release_Calendar!$B$2:$B$755,$A1593)&gt;0,1,0)</f>
        <v>0</v>
      </c>
      <c r="M1593" s="16" t="str">
        <f>IF($A1593&lt;Notes!$B$5,"",IF(COUNTIFS(Release_Calendar!$A$2:$A$755,"NZ_CPI",Release_Calendar!$B$2:$B$755,$A1593)&gt;0,1,0))</f>
        <v/>
      </c>
      <c r="N1593" s="16" t="str">
        <f>IF($A1593&lt;Notes!$B$5,"",IF(COUNTIFS(Release_Calendar!$A$2:$A$755,"NZ_GDP",Release_Calendar!$B$2:$B$755,$A1593)&gt;0,1,0))</f>
        <v/>
      </c>
      <c r="O1593" s="16" t="str">
        <f>IF($A1593&lt;Notes!$B$5,"",IF(COUNTIFS(Release_Calendar!$A$2:$A$755,"NZ_LABOUR",Release_Calendar!$B$2:$B$755,$A1593)&gt;0,1,0))</f>
        <v/>
      </c>
      <c r="P1593" s="16">
        <f t="shared" si="4"/>
        <v>0</v>
      </c>
    </row>
    <row r="1594" ht="15.75" customHeight="1">
      <c r="A1594" s="14">
        <v>38756.0</v>
      </c>
      <c r="B1594" s="15">
        <v>4.64</v>
      </c>
      <c r="C1594" s="15"/>
      <c r="D1594" s="15">
        <v>5.79</v>
      </c>
      <c r="E1594" s="15"/>
      <c r="F1594" s="15" t="str">
        <f t="shared" si="1"/>
        <v/>
      </c>
      <c r="G1594" s="15">
        <f t="shared" si="2"/>
        <v>5.79</v>
      </c>
      <c r="H1594" s="16">
        <v>1.0</v>
      </c>
      <c r="I1594" s="15">
        <f t="shared" si="3"/>
        <v>1.15</v>
      </c>
      <c r="J1594" s="15">
        <v>12.83</v>
      </c>
      <c r="K1594" s="16">
        <f>IF(COUNTIFS(Release_Calendar!$A$2:$A$755,"US_CPI",Release_Calendar!$B$2:$B$755,$A1594)&gt;0,1,0)</f>
        <v>0</v>
      </c>
      <c r="L1594" s="16">
        <f>IF(COUNTIFS(Release_Calendar!$A$2:$A$755,"US_NFP",Release_Calendar!$B$2:$B$755,$A1594)&gt;0,1,0)</f>
        <v>0</v>
      </c>
      <c r="M1594" s="16" t="str">
        <f>IF($A1594&lt;Notes!$B$5,"",IF(COUNTIFS(Release_Calendar!$A$2:$A$755,"NZ_CPI",Release_Calendar!$B$2:$B$755,$A1594)&gt;0,1,0))</f>
        <v/>
      </c>
      <c r="N1594" s="16" t="str">
        <f>IF($A1594&lt;Notes!$B$5,"",IF(COUNTIFS(Release_Calendar!$A$2:$A$755,"NZ_GDP",Release_Calendar!$B$2:$B$755,$A1594)&gt;0,1,0))</f>
        <v/>
      </c>
      <c r="O1594" s="16" t="str">
        <f>IF($A1594&lt;Notes!$B$5,"",IF(COUNTIFS(Release_Calendar!$A$2:$A$755,"NZ_LABOUR",Release_Calendar!$B$2:$B$755,$A1594)&gt;0,1,0))</f>
        <v/>
      </c>
      <c r="P1594" s="16">
        <f t="shared" si="4"/>
        <v>0</v>
      </c>
    </row>
    <row r="1595" ht="15.75" customHeight="1">
      <c r="A1595" s="14">
        <v>38757.0</v>
      </c>
      <c r="B1595" s="15">
        <v>4.66</v>
      </c>
      <c r="C1595" s="15"/>
      <c r="D1595" s="15">
        <v>5.77</v>
      </c>
      <c r="E1595" s="15"/>
      <c r="F1595" s="15" t="str">
        <f t="shared" si="1"/>
        <v/>
      </c>
      <c r="G1595" s="15">
        <f t="shared" si="2"/>
        <v>5.77</v>
      </c>
      <c r="H1595" s="16">
        <v>1.0</v>
      </c>
      <c r="I1595" s="15">
        <f t="shared" si="3"/>
        <v>1.11</v>
      </c>
      <c r="J1595" s="15">
        <v>13.12</v>
      </c>
      <c r="K1595" s="16">
        <f>IF(COUNTIFS(Release_Calendar!$A$2:$A$755,"US_CPI",Release_Calendar!$B$2:$B$755,$A1595)&gt;0,1,0)</f>
        <v>0</v>
      </c>
      <c r="L1595" s="16">
        <f>IF(COUNTIFS(Release_Calendar!$A$2:$A$755,"US_NFP",Release_Calendar!$B$2:$B$755,$A1595)&gt;0,1,0)</f>
        <v>0</v>
      </c>
      <c r="M1595" s="16" t="str">
        <f>IF($A1595&lt;Notes!$B$5,"",IF(COUNTIFS(Release_Calendar!$A$2:$A$755,"NZ_CPI",Release_Calendar!$B$2:$B$755,$A1595)&gt;0,1,0))</f>
        <v/>
      </c>
      <c r="N1595" s="16" t="str">
        <f>IF($A1595&lt;Notes!$B$5,"",IF(COUNTIFS(Release_Calendar!$A$2:$A$755,"NZ_GDP",Release_Calendar!$B$2:$B$755,$A1595)&gt;0,1,0))</f>
        <v/>
      </c>
      <c r="O1595" s="16" t="str">
        <f>IF($A1595&lt;Notes!$B$5,"",IF(COUNTIFS(Release_Calendar!$A$2:$A$755,"NZ_LABOUR",Release_Calendar!$B$2:$B$755,$A1595)&gt;0,1,0))</f>
        <v/>
      </c>
      <c r="P1595" s="16">
        <f t="shared" si="4"/>
        <v>0</v>
      </c>
    </row>
    <row r="1596" ht="15.75" customHeight="1">
      <c r="A1596" s="14">
        <v>38758.0</v>
      </c>
      <c r="B1596" s="15">
        <v>4.69</v>
      </c>
      <c r="C1596" s="15"/>
      <c r="D1596" s="15">
        <v>5.76</v>
      </c>
      <c r="E1596" s="15"/>
      <c r="F1596" s="15" t="str">
        <f t="shared" si="1"/>
        <v/>
      </c>
      <c r="G1596" s="15">
        <f t="shared" si="2"/>
        <v>5.76</v>
      </c>
      <c r="H1596" s="16">
        <v>1.0</v>
      </c>
      <c r="I1596" s="15">
        <f t="shared" si="3"/>
        <v>1.07</v>
      </c>
      <c r="J1596" s="15">
        <v>12.87</v>
      </c>
      <c r="K1596" s="16">
        <f>IF(COUNTIFS(Release_Calendar!$A$2:$A$755,"US_CPI",Release_Calendar!$B$2:$B$755,$A1596)&gt;0,1,0)</f>
        <v>0</v>
      </c>
      <c r="L1596" s="16">
        <f>IF(COUNTIFS(Release_Calendar!$A$2:$A$755,"US_NFP",Release_Calendar!$B$2:$B$755,$A1596)&gt;0,1,0)</f>
        <v>0</v>
      </c>
      <c r="M1596" s="16" t="str">
        <f>IF($A1596&lt;Notes!$B$5,"",IF(COUNTIFS(Release_Calendar!$A$2:$A$755,"NZ_CPI",Release_Calendar!$B$2:$B$755,$A1596)&gt;0,1,0))</f>
        <v/>
      </c>
      <c r="N1596" s="16" t="str">
        <f>IF($A1596&lt;Notes!$B$5,"",IF(COUNTIFS(Release_Calendar!$A$2:$A$755,"NZ_GDP",Release_Calendar!$B$2:$B$755,$A1596)&gt;0,1,0))</f>
        <v/>
      </c>
      <c r="O1596" s="16" t="str">
        <f>IF($A1596&lt;Notes!$B$5,"",IF(COUNTIFS(Release_Calendar!$A$2:$A$755,"NZ_LABOUR",Release_Calendar!$B$2:$B$755,$A1596)&gt;0,1,0))</f>
        <v/>
      </c>
      <c r="P1596" s="16">
        <f t="shared" si="4"/>
        <v>0</v>
      </c>
    </row>
    <row r="1597" ht="15.75" customHeight="1">
      <c r="A1597" s="14">
        <v>38761.0</v>
      </c>
      <c r="B1597" s="15">
        <v>4.68</v>
      </c>
      <c r="C1597" s="15"/>
      <c r="D1597" s="15">
        <v>5.78</v>
      </c>
      <c r="E1597" s="15"/>
      <c r="F1597" s="15" t="str">
        <f t="shared" si="1"/>
        <v/>
      </c>
      <c r="G1597" s="15">
        <f t="shared" si="2"/>
        <v>5.78</v>
      </c>
      <c r="H1597" s="16">
        <v>1.0</v>
      </c>
      <c r="I1597" s="15">
        <f t="shared" si="3"/>
        <v>1.1</v>
      </c>
      <c r="J1597" s="15">
        <v>13.35</v>
      </c>
      <c r="K1597" s="16">
        <f>IF(COUNTIFS(Release_Calendar!$A$2:$A$755,"US_CPI",Release_Calendar!$B$2:$B$755,$A1597)&gt;0,1,0)</f>
        <v>0</v>
      </c>
      <c r="L1597" s="16">
        <f>IF(COUNTIFS(Release_Calendar!$A$2:$A$755,"US_NFP",Release_Calendar!$B$2:$B$755,$A1597)&gt;0,1,0)</f>
        <v>0</v>
      </c>
      <c r="M1597" s="16" t="str">
        <f>IF($A1597&lt;Notes!$B$5,"",IF(COUNTIFS(Release_Calendar!$A$2:$A$755,"NZ_CPI",Release_Calendar!$B$2:$B$755,$A1597)&gt;0,1,0))</f>
        <v/>
      </c>
      <c r="N1597" s="16" t="str">
        <f>IF($A1597&lt;Notes!$B$5,"",IF(COUNTIFS(Release_Calendar!$A$2:$A$755,"NZ_GDP",Release_Calendar!$B$2:$B$755,$A1597)&gt;0,1,0))</f>
        <v/>
      </c>
      <c r="O1597" s="16" t="str">
        <f>IF($A1597&lt;Notes!$B$5,"",IF(COUNTIFS(Release_Calendar!$A$2:$A$755,"NZ_LABOUR",Release_Calendar!$B$2:$B$755,$A1597)&gt;0,1,0))</f>
        <v/>
      </c>
      <c r="P1597" s="16">
        <f t="shared" si="4"/>
        <v>0</v>
      </c>
    </row>
    <row r="1598" ht="15.75" customHeight="1">
      <c r="A1598" s="14">
        <v>38762.0</v>
      </c>
      <c r="B1598" s="15">
        <v>4.69</v>
      </c>
      <c r="C1598" s="15"/>
      <c r="D1598" s="15">
        <v>5.76</v>
      </c>
      <c r="E1598" s="15"/>
      <c r="F1598" s="15" t="str">
        <f t="shared" si="1"/>
        <v/>
      </c>
      <c r="G1598" s="15">
        <f t="shared" si="2"/>
        <v>5.76</v>
      </c>
      <c r="H1598" s="16">
        <v>1.0</v>
      </c>
      <c r="I1598" s="15">
        <f t="shared" si="3"/>
        <v>1.07</v>
      </c>
      <c r="J1598" s="15">
        <v>12.25</v>
      </c>
      <c r="K1598" s="16">
        <f>IF(COUNTIFS(Release_Calendar!$A$2:$A$755,"US_CPI",Release_Calendar!$B$2:$B$755,$A1598)&gt;0,1,0)</f>
        <v>0</v>
      </c>
      <c r="L1598" s="16">
        <f>IF(COUNTIFS(Release_Calendar!$A$2:$A$755,"US_NFP",Release_Calendar!$B$2:$B$755,$A1598)&gt;0,1,0)</f>
        <v>0</v>
      </c>
      <c r="M1598" s="16" t="str">
        <f>IF($A1598&lt;Notes!$B$5,"",IF(COUNTIFS(Release_Calendar!$A$2:$A$755,"NZ_CPI",Release_Calendar!$B$2:$B$755,$A1598)&gt;0,1,0))</f>
        <v/>
      </c>
      <c r="N1598" s="16" t="str">
        <f>IF($A1598&lt;Notes!$B$5,"",IF(COUNTIFS(Release_Calendar!$A$2:$A$755,"NZ_GDP",Release_Calendar!$B$2:$B$755,$A1598)&gt;0,1,0))</f>
        <v/>
      </c>
      <c r="O1598" s="16" t="str">
        <f>IF($A1598&lt;Notes!$B$5,"",IF(COUNTIFS(Release_Calendar!$A$2:$A$755,"NZ_LABOUR",Release_Calendar!$B$2:$B$755,$A1598)&gt;0,1,0))</f>
        <v/>
      </c>
      <c r="P1598" s="16">
        <f t="shared" si="4"/>
        <v>0</v>
      </c>
    </row>
    <row r="1599" ht="15.75" customHeight="1">
      <c r="A1599" s="14">
        <v>38763.0</v>
      </c>
      <c r="B1599" s="15">
        <v>4.71</v>
      </c>
      <c r="C1599" s="15"/>
      <c r="D1599" s="15">
        <v>5.75</v>
      </c>
      <c r="E1599" s="15"/>
      <c r="F1599" s="15" t="str">
        <f t="shared" si="1"/>
        <v/>
      </c>
      <c r="G1599" s="15">
        <f t="shared" si="2"/>
        <v>5.75</v>
      </c>
      <c r="H1599" s="16">
        <v>1.0</v>
      </c>
      <c r="I1599" s="15">
        <f t="shared" si="3"/>
        <v>1.04</v>
      </c>
      <c r="J1599" s="15">
        <v>12.31</v>
      </c>
      <c r="K1599" s="16">
        <f>IF(COUNTIFS(Release_Calendar!$A$2:$A$755,"US_CPI",Release_Calendar!$B$2:$B$755,$A1599)&gt;0,1,0)</f>
        <v>0</v>
      </c>
      <c r="L1599" s="16">
        <f>IF(COUNTIFS(Release_Calendar!$A$2:$A$755,"US_NFP",Release_Calendar!$B$2:$B$755,$A1599)&gt;0,1,0)</f>
        <v>0</v>
      </c>
      <c r="M1599" s="16" t="str">
        <f>IF($A1599&lt;Notes!$B$5,"",IF(COUNTIFS(Release_Calendar!$A$2:$A$755,"NZ_CPI",Release_Calendar!$B$2:$B$755,$A1599)&gt;0,1,0))</f>
        <v/>
      </c>
      <c r="N1599" s="16" t="str">
        <f>IF($A1599&lt;Notes!$B$5,"",IF(COUNTIFS(Release_Calendar!$A$2:$A$755,"NZ_GDP",Release_Calendar!$B$2:$B$755,$A1599)&gt;0,1,0))</f>
        <v/>
      </c>
      <c r="O1599" s="16" t="str">
        <f>IF($A1599&lt;Notes!$B$5,"",IF(COUNTIFS(Release_Calendar!$A$2:$A$755,"NZ_LABOUR",Release_Calendar!$B$2:$B$755,$A1599)&gt;0,1,0))</f>
        <v/>
      </c>
      <c r="P1599" s="16">
        <f t="shared" si="4"/>
        <v>0</v>
      </c>
    </row>
    <row r="1600" ht="15.75" customHeight="1">
      <c r="A1600" s="14">
        <v>38764.0</v>
      </c>
      <c r="B1600" s="15">
        <v>4.69</v>
      </c>
      <c r="C1600" s="15"/>
      <c r="D1600" s="15">
        <v>5.77</v>
      </c>
      <c r="E1600" s="15"/>
      <c r="F1600" s="15" t="str">
        <f t="shared" si="1"/>
        <v/>
      </c>
      <c r="G1600" s="15">
        <f t="shared" si="2"/>
        <v>5.77</v>
      </c>
      <c r="H1600" s="16">
        <v>1.0</v>
      </c>
      <c r="I1600" s="15">
        <f t="shared" si="3"/>
        <v>1.08</v>
      </c>
      <c r="J1600" s="15">
        <v>11.48</v>
      </c>
      <c r="K1600" s="16">
        <f>IF(COUNTIFS(Release_Calendar!$A$2:$A$755,"US_CPI",Release_Calendar!$B$2:$B$755,$A1600)&gt;0,1,0)</f>
        <v>0</v>
      </c>
      <c r="L1600" s="16">
        <f>IF(COUNTIFS(Release_Calendar!$A$2:$A$755,"US_NFP",Release_Calendar!$B$2:$B$755,$A1600)&gt;0,1,0)</f>
        <v>0</v>
      </c>
      <c r="M1600" s="16" t="str">
        <f>IF($A1600&lt;Notes!$B$5,"",IF(COUNTIFS(Release_Calendar!$A$2:$A$755,"NZ_CPI",Release_Calendar!$B$2:$B$755,$A1600)&gt;0,1,0))</f>
        <v/>
      </c>
      <c r="N1600" s="16" t="str">
        <f>IF($A1600&lt;Notes!$B$5,"",IF(COUNTIFS(Release_Calendar!$A$2:$A$755,"NZ_GDP",Release_Calendar!$B$2:$B$755,$A1600)&gt;0,1,0))</f>
        <v/>
      </c>
      <c r="O1600" s="16" t="str">
        <f>IF($A1600&lt;Notes!$B$5,"",IF(COUNTIFS(Release_Calendar!$A$2:$A$755,"NZ_LABOUR",Release_Calendar!$B$2:$B$755,$A1600)&gt;0,1,0))</f>
        <v/>
      </c>
      <c r="P1600" s="16">
        <f t="shared" si="4"/>
        <v>0</v>
      </c>
    </row>
    <row r="1601" ht="15.75" customHeight="1">
      <c r="A1601" s="14">
        <v>38765.0</v>
      </c>
      <c r="B1601" s="15">
        <v>4.66</v>
      </c>
      <c r="C1601" s="15"/>
      <c r="D1601" s="15">
        <v>5.76</v>
      </c>
      <c r="E1601" s="15"/>
      <c r="F1601" s="15" t="str">
        <f t="shared" si="1"/>
        <v/>
      </c>
      <c r="G1601" s="15">
        <f t="shared" si="2"/>
        <v>5.76</v>
      </c>
      <c r="H1601" s="16">
        <v>1.0</v>
      </c>
      <c r="I1601" s="15">
        <f t="shared" si="3"/>
        <v>1.1</v>
      </c>
      <c r="J1601" s="15">
        <v>12.01</v>
      </c>
      <c r="K1601" s="16">
        <f>IF(COUNTIFS(Release_Calendar!$A$2:$A$755,"US_CPI",Release_Calendar!$B$2:$B$755,$A1601)&gt;0,1,0)</f>
        <v>0</v>
      </c>
      <c r="L1601" s="16">
        <f>IF(COUNTIFS(Release_Calendar!$A$2:$A$755,"US_NFP",Release_Calendar!$B$2:$B$755,$A1601)&gt;0,1,0)</f>
        <v>0</v>
      </c>
      <c r="M1601" s="16" t="str">
        <f>IF($A1601&lt;Notes!$B$5,"",IF(COUNTIFS(Release_Calendar!$A$2:$A$755,"NZ_CPI",Release_Calendar!$B$2:$B$755,$A1601)&gt;0,1,0))</f>
        <v/>
      </c>
      <c r="N1601" s="16" t="str">
        <f>IF($A1601&lt;Notes!$B$5,"",IF(COUNTIFS(Release_Calendar!$A$2:$A$755,"NZ_GDP",Release_Calendar!$B$2:$B$755,$A1601)&gt;0,1,0))</f>
        <v/>
      </c>
      <c r="O1601" s="16" t="str">
        <f>IF($A1601&lt;Notes!$B$5,"",IF(COUNTIFS(Release_Calendar!$A$2:$A$755,"NZ_LABOUR",Release_Calendar!$B$2:$B$755,$A1601)&gt;0,1,0))</f>
        <v/>
      </c>
      <c r="P1601" s="16">
        <f t="shared" si="4"/>
        <v>0</v>
      </c>
    </row>
    <row r="1602" ht="15.75" customHeight="1">
      <c r="A1602" s="14">
        <v>38768.0</v>
      </c>
      <c r="B1602" s="15"/>
      <c r="C1602" s="15"/>
      <c r="D1602" s="15">
        <v>5.75</v>
      </c>
      <c r="E1602" s="15"/>
      <c r="F1602" s="15" t="str">
        <f t="shared" si="1"/>
        <v/>
      </c>
      <c r="G1602" s="15">
        <f t="shared" si="2"/>
        <v>5.75</v>
      </c>
      <c r="H1602" s="16">
        <v>1.0</v>
      </c>
      <c r="I1602" s="15" t="str">
        <f t="shared" si="3"/>
        <v/>
      </c>
      <c r="J1602" s="15"/>
      <c r="K1602" s="16">
        <f>IF(COUNTIFS(Release_Calendar!$A$2:$A$755,"US_CPI",Release_Calendar!$B$2:$B$755,$A1602)&gt;0,1,0)</f>
        <v>0</v>
      </c>
      <c r="L1602" s="16">
        <f>IF(COUNTIFS(Release_Calendar!$A$2:$A$755,"US_NFP",Release_Calendar!$B$2:$B$755,$A1602)&gt;0,1,0)</f>
        <v>0</v>
      </c>
      <c r="M1602" s="16" t="str">
        <f>IF($A1602&lt;Notes!$B$5,"",IF(COUNTIFS(Release_Calendar!$A$2:$A$755,"NZ_CPI",Release_Calendar!$B$2:$B$755,$A1602)&gt;0,1,0))</f>
        <v/>
      </c>
      <c r="N1602" s="16" t="str">
        <f>IF($A1602&lt;Notes!$B$5,"",IF(COUNTIFS(Release_Calendar!$A$2:$A$755,"NZ_GDP",Release_Calendar!$B$2:$B$755,$A1602)&gt;0,1,0))</f>
        <v/>
      </c>
      <c r="O1602" s="16" t="str">
        <f>IF($A1602&lt;Notes!$B$5,"",IF(COUNTIFS(Release_Calendar!$A$2:$A$755,"NZ_LABOUR",Release_Calendar!$B$2:$B$755,$A1602)&gt;0,1,0))</f>
        <v/>
      </c>
      <c r="P1602" s="16">
        <f t="shared" si="4"/>
        <v>0</v>
      </c>
    </row>
    <row r="1603" ht="15.75" customHeight="1">
      <c r="A1603" s="14">
        <v>38769.0</v>
      </c>
      <c r="B1603" s="15">
        <v>4.71</v>
      </c>
      <c r="C1603" s="15"/>
      <c r="D1603" s="15">
        <v>5.75</v>
      </c>
      <c r="E1603" s="15"/>
      <c r="F1603" s="15" t="str">
        <f t="shared" si="1"/>
        <v/>
      </c>
      <c r="G1603" s="15">
        <f t="shared" si="2"/>
        <v>5.75</v>
      </c>
      <c r="H1603" s="16">
        <v>1.0</v>
      </c>
      <c r="I1603" s="15">
        <f t="shared" si="3"/>
        <v>1.04</v>
      </c>
      <c r="J1603" s="15">
        <v>12.41</v>
      </c>
      <c r="K1603" s="16">
        <f>IF(COUNTIFS(Release_Calendar!$A$2:$A$755,"US_CPI",Release_Calendar!$B$2:$B$755,$A1603)&gt;0,1,0)</f>
        <v>0</v>
      </c>
      <c r="L1603" s="16">
        <f>IF(COUNTIFS(Release_Calendar!$A$2:$A$755,"US_NFP",Release_Calendar!$B$2:$B$755,$A1603)&gt;0,1,0)</f>
        <v>0</v>
      </c>
      <c r="M1603" s="16" t="str">
        <f>IF($A1603&lt;Notes!$B$5,"",IF(COUNTIFS(Release_Calendar!$A$2:$A$755,"NZ_CPI",Release_Calendar!$B$2:$B$755,$A1603)&gt;0,1,0))</f>
        <v/>
      </c>
      <c r="N1603" s="16" t="str">
        <f>IF($A1603&lt;Notes!$B$5,"",IF(COUNTIFS(Release_Calendar!$A$2:$A$755,"NZ_GDP",Release_Calendar!$B$2:$B$755,$A1603)&gt;0,1,0))</f>
        <v/>
      </c>
      <c r="O1603" s="16" t="str">
        <f>IF($A1603&lt;Notes!$B$5,"",IF(COUNTIFS(Release_Calendar!$A$2:$A$755,"NZ_LABOUR",Release_Calendar!$B$2:$B$755,$A1603)&gt;0,1,0))</f>
        <v/>
      </c>
      <c r="P1603" s="16">
        <f t="shared" si="4"/>
        <v>0</v>
      </c>
    </row>
    <row r="1604" ht="15.75" customHeight="1">
      <c r="A1604" s="14">
        <v>38770.0</v>
      </c>
      <c r="B1604" s="15">
        <v>4.68</v>
      </c>
      <c r="C1604" s="15"/>
      <c r="D1604" s="15">
        <v>5.79</v>
      </c>
      <c r="E1604" s="15"/>
      <c r="F1604" s="15" t="str">
        <f t="shared" si="1"/>
        <v/>
      </c>
      <c r="G1604" s="15">
        <f t="shared" si="2"/>
        <v>5.79</v>
      </c>
      <c r="H1604" s="16">
        <v>1.0</v>
      </c>
      <c r="I1604" s="15">
        <f t="shared" si="3"/>
        <v>1.11</v>
      </c>
      <c r="J1604" s="15">
        <v>11.88</v>
      </c>
      <c r="K1604" s="16">
        <f>IF(COUNTIFS(Release_Calendar!$A$2:$A$755,"US_CPI",Release_Calendar!$B$2:$B$755,$A1604)&gt;0,1,0)</f>
        <v>1</v>
      </c>
      <c r="L1604" s="16">
        <f>IF(COUNTIFS(Release_Calendar!$A$2:$A$755,"US_NFP",Release_Calendar!$B$2:$B$755,$A1604)&gt;0,1,0)</f>
        <v>0</v>
      </c>
      <c r="M1604" s="16" t="str">
        <f>IF($A1604&lt;Notes!$B$5,"",IF(COUNTIFS(Release_Calendar!$A$2:$A$755,"NZ_CPI",Release_Calendar!$B$2:$B$755,$A1604)&gt;0,1,0))</f>
        <v/>
      </c>
      <c r="N1604" s="16" t="str">
        <f>IF($A1604&lt;Notes!$B$5,"",IF(COUNTIFS(Release_Calendar!$A$2:$A$755,"NZ_GDP",Release_Calendar!$B$2:$B$755,$A1604)&gt;0,1,0))</f>
        <v/>
      </c>
      <c r="O1604" s="16" t="str">
        <f>IF($A1604&lt;Notes!$B$5,"",IF(COUNTIFS(Release_Calendar!$A$2:$A$755,"NZ_LABOUR",Release_Calendar!$B$2:$B$755,$A1604)&gt;0,1,0))</f>
        <v/>
      </c>
      <c r="P1604" s="16">
        <f t="shared" si="4"/>
        <v>1</v>
      </c>
    </row>
    <row r="1605" ht="15.75" customHeight="1">
      <c r="A1605" s="14">
        <v>38771.0</v>
      </c>
      <c r="B1605" s="15">
        <v>4.72</v>
      </c>
      <c r="C1605" s="15"/>
      <c r="D1605" s="15">
        <v>5.79</v>
      </c>
      <c r="E1605" s="15"/>
      <c r="F1605" s="15" t="str">
        <f t="shared" si="1"/>
        <v/>
      </c>
      <c r="G1605" s="15">
        <f t="shared" si="2"/>
        <v>5.79</v>
      </c>
      <c r="H1605" s="16">
        <v>1.0</v>
      </c>
      <c r="I1605" s="15">
        <f t="shared" si="3"/>
        <v>1.07</v>
      </c>
      <c r="J1605" s="15">
        <v>11.87</v>
      </c>
      <c r="K1605" s="16">
        <f>IF(COUNTIFS(Release_Calendar!$A$2:$A$755,"US_CPI",Release_Calendar!$B$2:$B$755,$A1605)&gt;0,1,0)</f>
        <v>0</v>
      </c>
      <c r="L1605" s="16">
        <f>IF(COUNTIFS(Release_Calendar!$A$2:$A$755,"US_NFP",Release_Calendar!$B$2:$B$755,$A1605)&gt;0,1,0)</f>
        <v>0</v>
      </c>
      <c r="M1605" s="16" t="str">
        <f>IF($A1605&lt;Notes!$B$5,"",IF(COUNTIFS(Release_Calendar!$A$2:$A$755,"NZ_CPI",Release_Calendar!$B$2:$B$755,$A1605)&gt;0,1,0))</f>
        <v/>
      </c>
      <c r="N1605" s="16" t="str">
        <f>IF($A1605&lt;Notes!$B$5,"",IF(COUNTIFS(Release_Calendar!$A$2:$A$755,"NZ_GDP",Release_Calendar!$B$2:$B$755,$A1605)&gt;0,1,0))</f>
        <v/>
      </c>
      <c r="O1605" s="16" t="str">
        <f>IF($A1605&lt;Notes!$B$5,"",IF(COUNTIFS(Release_Calendar!$A$2:$A$755,"NZ_LABOUR",Release_Calendar!$B$2:$B$755,$A1605)&gt;0,1,0))</f>
        <v/>
      </c>
      <c r="P1605" s="16">
        <f t="shared" si="4"/>
        <v>0</v>
      </c>
    </row>
    <row r="1606" ht="15.75" customHeight="1">
      <c r="A1606" s="14">
        <v>38772.0</v>
      </c>
      <c r="B1606" s="15">
        <v>4.74</v>
      </c>
      <c r="C1606" s="15"/>
      <c r="D1606" s="15">
        <v>5.87</v>
      </c>
      <c r="E1606" s="15"/>
      <c r="F1606" s="15" t="str">
        <f t="shared" si="1"/>
        <v/>
      </c>
      <c r="G1606" s="15">
        <f t="shared" si="2"/>
        <v>5.87</v>
      </c>
      <c r="H1606" s="16">
        <v>1.0</v>
      </c>
      <c r="I1606" s="15">
        <f t="shared" si="3"/>
        <v>1.13</v>
      </c>
      <c r="J1606" s="15">
        <v>11.46</v>
      </c>
      <c r="K1606" s="16">
        <f>IF(COUNTIFS(Release_Calendar!$A$2:$A$755,"US_CPI",Release_Calendar!$B$2:$B$755,$A1606)&gt;0,1,0)</f>
        <v>0</v>
      </c>
      <c r="L1606" s="16">
        <f>IF(COUNTIFS(Release_Calendar!$A$2:$A$755,"US_NFP",Release_Calendar!$B$2:$B$755,$A1606)&gt;0,1,0)</f>
        <v>0</v>
      </c>
      <c r="M1606" s="16" t="str">
        <f>IF($A1606&lt;Notes!$B$5,"",IF(COUNTIFS(Release_Calendar!$A$2:$A$755,"NZ_CPI",Release_Calendar!$B$2:$B$755,$A1606)&gt;0,1,0))</f>
        <v/>
      </c>
      <c r="N1606" s="16" t="str">
        <f>IF($A1606&lt;Notes!$B$5,"",IF(COUNTIFS(Release_Calendar!$A$2:$A$755,"NZ_GDP",Release_Calendar!$B$2:$B$755,$A1606)&gt;0,1,0))</f>
        <v/>
      </c>
      <c r="O1606" s="16" t="str">
        <f>IF($A1606&lt;Notes!$B$5,"",IF(COUNTIFS(Release_Calendar!$A$2:$A$755,"NZ_LABOUR",Release_Calendar!$B$2:$B$755,$A1606)&gt;0,1,0))</f>
        <v/>
      </c>
      <c r="P1606" s="16">
        <f t="shared" si="4"/>
        <v>0</v>
      </c>
    </row>
    <row r="1607" ht="15.75" customHeight="1">
      <c r="A1607" s="14">
        <v>38775.0</v>
      </c>
      <c r="B1607" s="15">
        <v>4.74</v>
      </c>
      <c r="C1607" s="15"/>
      <c r="D1607" s="15">
        <v>5.87</v>
      </c>
      <c r="E1607" s="15"/>
      <c r="F1607" s="15" t="str">
        <f t="shared" si="1"/>
        <v/>
      </c>
      <c r="G1607" s="15">
        <f t="shared" si="2"/>
        <v>5.87</v>
      </c>
      <c r="H1607" s="16">
        <v>1.0</v>
      </c>
      <c r="I1607" s="15">
        <f t="shared" si="3"/>
        <v>1.13</v>
      </c>
      <c r="J1607" s="15">
        <v>11.59</v>
      </c>
      <c r="K1607" s="16">
        <f>IF(COUNTIFS(Release_Calendar!$A$2:$A$755,"US_CPI",Release_Calendar!$B$2:$B$755,$A1607)&gt;0,1,0)</f>
        <v>0</v>
      </c>
      <c r="L1607" s="16">
        <f>IF(COUNTIFS(Release_Calendar!$A$2:$A$755,"US_NFP",Release_Calendar!$B$2:$B$755,$A1607)&gt;0,1,0)</f>
        <v>0</v>
      </c>
      <c r="M1607" s="16" t="str">
        <f>IF($A1607&lt;Notes!$B$5,"",IF(COUNTIFS(Release_Calendar!$A$2:$A$755,"NZ_CPI",Release_Calendar!$B$2:$B$755,$A1607)&gt;0,1,0))</f>
        <v/>
      </c>
      <c r="N1607" s="16" t="str">
        <f>IF($A1607&lt;Notes!$B$5,"",IF(COUNTIFS(Release_Calendar!$A$2:$A$755,"NZ_GDP",Release_Calendar!$B$2:$B$755,$A1607)&gt;0,1,0))</f>
        <v/>
      </c>
      <c r="O1607" s="16" t="str">
        <f>IF($A1607&lt;Notes!$B$5,"",IF(COUNTIFS(Release_Calendar!$A$2:$A$755,"NZ_LABOUR",Release_Calendar!$B$2:$B$755,$A1607)&gt;0,1,0))</f>
        <v/>
      </c>
      <c r="P1607" s="16">
        <f t="shared" si="4"/>
        <v>0</v>
      </c>
    </row>
    <row r="1608" ht="15.75" customHeight="1">
      <c r="A1608" s="14">
        <v>38776.0</v>
      </c>
      <c r="B1608" s="15">
        <v>4.69</v>
      </c>
      <c r="C1608" s="15"/>
      <c r="D1608" s="15">
        <v>5.92</v>
      </c>
      <c r="E1608" s="15"/>
      <c r="F1608" s="15" t="str">
        <f t="shared" si="1"/>
        <v/>
      </c>
      <c r="G1608" s="15">
        <f t="shared" si="2"/>
        <v>5.92</v>
      </c>
      <c r="H1608" s="16">
        <v>1.0</v>
      </c>
      <c r="I1608" s="15">
        <f t="shared" si="3"/>
        <v>1.23</v>
      </c>
      <c r="J1608" s="15">
        <v>12.34</v>
      </c>
      <c r="K1608" s="16">
        <f>IF(COUNTIFS(Release_Calendar!$A$2:$A$755,"US_CPI",Release_Calendar!$B$2:$B$755,$A1608)&gt;0,1,0)</f>
        <v>0</v>
      </c>
      <c r="L1608" s="16">
        <f>IF(COUNTIFS(Release_Calendar!$A$2:$A$755,"US_NFP",Release_Calendar!$B$2:$B$755,$A1608)&gt;0,1,0)</f>
        <v>0</v>
      </c>
      <c r="M1608" s="16" t="str">
        <f>IF($A1608&lt;Notes!$B$5,"",IF(COUNTIFS(Release_Calendar!$A$2:$A$755,"NZ_CPI",Release_Calendar!$B$2:$B$755,$A1608)&gt;0,1,0))</f>
        <v/>
      </c>
      <c r="N1608" s="16" t="str">
        <f>IF($A1608&lt;Notes!$B$5,"",IF(COUNTIFS(Release_Calendar!$A$2:$A$755,"NZ_GDP",Release_Calendar!$B$2:$B$755,$A1608)&gt;0,1,0))</f>
        <v/>
      </c>
      <c r="O1608" s="16" t="str">
        <f>IF($A1608&lt;Notes!$B$5,"",IF(COUNTIFS(Release_Calendar!$A$2:$A$755,"NZ_LABOUR",Release_Calendar!$B$2:$B$755,$A1608)&gt;0,1,0))</f>
        <v/>
      </c>
      <c r="P1608" s="16">
        <f t="shared" si="4"/>
        <v>0</v>
      </c>
    </row>
    <row r="1609" ht="15.75" customHeight="1">
      <c r="A1609" s="14">
        <v>38777.0</v>
      </c>
      <c r="B1609" s="15">
        <v>4.71</v>
      </c>
      <c r="C1609" s="15"/>
      <c r="D1609" s="15">
        <v>5.89</v>
      </c>
      <c r="E1609" s="15"/>
      <c r="F1609" s="15" t="str">
        <f t="shared" si="1"/>
        <v/>
      </c>
      <c r="G1609" s="15">
        <f t="shared" si="2"/>
        <v>5.89</v>
      </c>
      <c r="H1609" s="16">
        <v>1.0</v>
      </c>
      <c r="I1609" s="15">
        <f t="shared" si="3"/>
        <v>1.18</v>
      </c>
      <c r="J1609" s="15">
        <v>11.54</v>
      </c>
      <c r="K1609" s="16">
        <f>IF(COUNTIFS(Release_Calendar!$A$2:$A$755,"US_CPI",Release_Calendar!$B$2:$B$755,$A1609)&gt;0,1,0)</f>
        <v>0</v>
      </c>
      <c r="L1609" s="16">
        <f>IF(COUNTIFS(Release_Calendar!$A$2:$A$755,"US_NFP",Release_Calendar!$B$2:$B$755,$A1609)&gt;0,1,0)</f>
        <v>0</v>
      </c>
      <c r="M1609" s="16" t="str">
        <f>IF($A1609&lt;Notes!$B$5,"",IF(COUNTIFS(Release_Calendar!$A$2:$A$755,"NZ_CPI",Release_Calendar!$B$2:$B$755,$A1609)&gt;0,1,0))</f>
        <v/>
      </c>
      <c r="N1609" s="16" t="str">
        <f>IF($A1609&lt;Notes!$B$5,"",IF(COUNTIFS(Release_Calendar!$A$2:$A$755,"NZ_GDP",Release_Calendar!$B$2:$B$755,$A1609)&gt;0,1,0))</f>
        <v/>
      </c>
      <c r="O1609" s="16" t="str">
        <f>IF($A1609&lt;Notes!$B$5,"",IF(COUNTIFS(Release_Calendar!$A$2:$A$755,"NZ_LABOUR",Release_Calendar!$B$2:$B$755,$A1609)&gt;0,1,0))</f>
        <v/>
      </c>
      <c r="P1609" s="16">
        <f t="shared" si="4"/>
        <v>0</v>
      </c>
    </row>
    <row r="1610" ht="15.75" customHeight="1">
      <c r="A1610" s="14">
        <v>38778.0</v>
      </c>
      <c r="B1610" s="15">
        <v>4.72</v>
      </c>
      <c r="C1610" s="15"/>
      <c r="D1610" s="15">
        <v>5.88</v>
      </c>
      <c r="E1610" s="15"/>
      <c r="F1610" s="15" t="str">
        <f t="shared" si="1"/>
        <v/>
      </c>
      <c r="G1610" s="15">
        <f t="shared" si="2"/>
        <v>5.88</v>
      </c>
      <c r="H1610" s="16">
        <v>1.0</v>
      </c>
      <c r="I1610" s="15">
        <f t="shared" si="3"/>
        <v>1.16</v>
      </c>
      <c r="J1610" s="15">
        <v>11.72</v>
      </c>
      <c r="K1610" s="16">
        <f>IF(COUNTIFS(Release_Calendar!$A$2:$A$755,"US_CPI",Release_Calendar!$B$2:$B$755,$A1610)&gt;0,1,0)</f>
        <v>0</v>
      </c>
      <c r="L1610" s="16">
        <f>IF(COUNTIFS(Release_Calendar!$A$2:$A$755,"US_NFP",Release_Calendar!$B$2:$B$755,$A1610)&gt;0,1,0)</f>
        <v>0</v>
      </c>
      <c r="M1610" s="16" t="str">
        <f>IF($A1610&lt;Notes!$B$5,"",IF(COUNTIFS(Release_Calendar!$A$2:$A$755,"NZ_CPI",Release_Calendar!$B$2:$B$755,$A1610)&gt;0,1,0))</f>
        <v/>
      </c>
      <c r="N1610" s="16" t="str">
        <f>IF($A1610&lt;Notes!$B$5,"",IF(COUNTIFS(Release_Calendar!$A$2:$A$755,"NZ_GDP",Release_Calendar!$B$2:$B$755,$A1610)&gt;0,1,0))</f>
        <v/>
      </c>
      <c r="O1610" s="16" t="str">
        <f>IF($A1610&lt;Notes!$B$5,"",IF(COUNTIFS(Release_Calendar!$A$2:$A$755,"NZ_LABOUR",Release_Calendar!$B$2:$B$755,$A1610)&gt;0,1,0))</f>
        <v/>
      </c>
      <c r="P1610" s="16">
        <f t="shared" si="4"/>
        <v>0</v>
      </c>
    </row>
    <row r="1611" ht="15.75" customHeight="1">
      <c r="A1611" s="14">
        <v>38779.0</v>
      </c>
      <c r="B1611" s="15">
        <v>4.76</v>
      </c>
      <c r="C1611" s="15"/>
      <c r="D1611" s="15">
        <v>5.9</v>
      </c>
      <c r="E1611" s="15"/>
      <c r="F1611" s="15" t="str">
        <f t="shared" si="1"/>
        <v/>
      </c>
      <c r="G1611" s="15">
        <f t="shared" si="2"/>
        <v>5.9</v>
      </c>
      <c r="H1611" s="16">
        <v>1.0</v>
      </c>
      <c r="I1611" s="15">
        <f t="shared" si="3"/>
        <v>1.14</v>
      </c>
      <c r="J1611" s="15">
        <v>11.96</v>
      </c>
      <c r="K1611" s="16">
        <f>IF(COUNTIFS(Release_Calendar!$A$2:$A$755,"US_CPI",Release_Calendar!$B$2:$B$755,$A1611)&gt;0,1,0)</f>
        <v>0</v>
      </c>
      <c r="L1611" s="16">
        <f>IF(COUNTIFS(Release_Calendar!$A$2:$A$755,"US_NFP",Release_Calendar!$B$2:$B$755,$A1611)&gt;0,1,0)</f>
        <v>0</v>
      </c>
      <c r="M1611" s="16" t="str">
        <f>IF($A1611&lt;Notes!$B$5,"",IF(COUNTIFS(Release_Calendar!$A$2:$A$755,"NZ_CPI",Release_Calendar!$B$2:$B$755,$A1611)&gt;0,1,0))</f>
        <v/>
      </c>
      <c r="N1611" s="16" t="str">
        <f>IF($A1611&lt;Notes!$B$5,"",IF(COUNTIFS(Release_Calendar!$A$2:$A$755,"NZ_GDP",Release_Calendar!$B$2:$B$755,$A1611)&gt;0,1,0))</f>
        <v/>
      </c>
      <c r="O1611" s="16" t="str">
        <f>IF($A1611&lt;Notes!$B$5,"",IF(COUNTIFS(Release_Calendar!$A$2:$A$755,"NZ_LABOUR",Release_Calendar!$B$2:$B$755,$A1611)&gt;0,1,0))</f>
        <v/>
      </c>
      <c r="P1611" s="16">
        <f t="shared" si="4"/>
        <v>0</v>
      </c>
    </row>
    <row r="1612" ht="15.75" customHeight="1">
      <c r="A1612" s="14">
        <v>38782.0</v>
      </c>
      <c r="B1612" s="15">
        <v>4.77</v>
      </c>
      <c r="C1612" s="15"/>
      <c r="D1612" s="15">
        <v>5.92</v>
      </c>
      <c r="E1612" s="15"/>
      <c r="F1612" s="15" t="str">
        <f t="shared" si="1"/>
        <v/>
      </c>
      <c r="G1612" s="15">
        <f t="shared" si="2"/>
        <v>5.92</v>
      </c>
      <c r="H1612" s="16">
        <v>1.0</v>
      </c>
      <c r="I1612" s="15">
        <f t="shared" si="3"/>
        <v>1.15</v>
      </c>
      <c r="J1612" s="15">
        <v>12.74</v>
      </c>
      <c r="K1612" s="16">
        <f>IF(COUNTIFS(Release_Calendar!$A$2:$A$755,"US_CPI",Release_Calendar!$B$2:$B$755,$A1612)&gt;0,1,0)</f>
        <v>0</v>
      </c>
      <c r="L1612" s="16">
        <f>IF(COUNTIFS(Release_Calendar!$A$2:$A$755,"US_NFP",Release_Calendar!$B$2:$B$755,$A1612)&gt;0,1,0)</f>
        <v>0</v>
      </c>
      <c r="M1612" s="16" t="str">
        <f>IF($A1612&lt;Notes!$B$5,"",IF(COUNTIFS(Release_Calendar!$A$2:$A$755,"NZ_CPI",Release_Calendar!$B$2:$B$755,$A1612)&gt;0,1,0))</f>
        <v/>
      </c>
      <c r="N1612" s="16" t="str">
        <f>IF($A1612&lt;Notes!$B$5,"",IF(COUNTIFS(Release_Calendar!$A$2:$A$755,"NZ_GDP",Release_Calendar!$B$2:$B$755,$A1612)&gt;0,1,0))</f>
        <v/>
      </c>
      <c r="O1612" s="16" t="str">
        <f>IF($A1612&lt;Notes!$B$5,"",IF(COUNTIFS(Release_Calendar!$A$2:$A$755,"NZ_LABOUR",Release_Calendar!$B$2:$B$755,$A1612)&gt;0,1,0))</f>
        <v/>
      </c>
      <c r="P1612" s="16">
        <f t="shared" si="4"/>
        <v>0</v>
      </c>
    </row>
    <row r="1613" ht="15.75" customHeight="1">
      <c r="A1613" s="14">
        <v>38783.0</v>
      </c>
      <c r="B1613" s="15">
        <v>4.77</v>
      </c>
      <c r="C1613" s="15"/>
      <c r="D1613" s="15">
        <v>5.97</v>
      </c>
      <c r="E1613" s="15"/>
      <c r="F1613" s="15" t="str">
        <f t="shared" si="1"/>
        <v/>
      </c>
      <c r="G1613" s="15">
        <f t="shared" si="2"/>
        <v>5.97</v>
      </c>
      <c r="H1613" s="16">
        <v>1.0</v>
      </c>
      <c r="I1613" s="15">
        <f t="shared" si="3"/>
        <v>1.2</v>
      </c>
      <c r="J1613" s="15">
        <v>12.66</v>
      </c>
      <c r="K1613" s="16">
        <f>IF(COUNTIFS(Release_Calendar!$A$2:$A$755,"US_CPI",Release_Calendar!$B$2:$B$755,$A1613)&gt;0,1,0)</f>
        <v>0</v>
      </c>
      <c r="L1613" s="16">
        <f>IF(COUNTIFS(Release_Calendar!$A$2:$A$755,"US_NFP",Release_Calendar!$B$2:$B$755,$A1613)&gt;0,1,0)</f>
        <v>0</v>
      </c>
      <c r="M1613" s="16" t="str">
        <f>IF($A1613&lt;Notes!$B$5,"",IF(COUNTIFS(Release_Calendar!$A$2:$A$755,"NZ_CPI",Release_Calendar!$B$2:$B$755,$A1613)&gt;0,1,0))</f>
        <v/>
      </c>
      <c r="N1613" s="16" t="str">
        <f>IF($A1613&lt;Notes!$B$5,"",IF(COUNTIFS(Release_Calendar!$A$2:$A$755,"NZ_GDP",Release_Calendar!$B$2:$B$755,$A1613)&gt;0,1,0))</f>
        <v/>
      </c>
      <c r="O1613" s="16" t="str">
        <f>IF($A1613&lt;Notes!$B$5,"",IF(COUNTIFS(Release_Calendar!$A$2:$A$755,"NZ_LABOUR",Release_Calendar!$B$2:$B$755,$A1613)&gt;0,1,0))</f>
        <v/>
      </c>
      <c r="P1613" s="16">
        <f t="shared" si="4"/>
        <v>0</v>
      </c>
    </row>
    <row r="1614" ht="15.75" customHeight="1">
      <c r="A1614" s="14">
        <v>38784.0</v>
      </c>
      <c r="B1614" s="15">
        <v>4.72</v>
      </c>
      <c r="C1614" s="15"/>
      <c r="D1614" s="15">
        <v>5.95</v>
      </c>
      <c r="E1614" s="15"/>
      <c r="F1614" s="15" t="str">
        <f t="shared" si="1"/>
        <v/>
      </c>
      <c r="G1614" s="15">
        <f t="shared" si="2"/>
        <v>5.95</v>
      </c>
      <c r="H1614" s="16">
        <v>1.0</v>
      </c>
      <c r="I1614" s="15">
        <f t="shared" si="3"/>
        <v>1.23</v>
      </c>
      <c r="J1614" s="15">
        <v>12.32</v>
      </c>
      <c r="K1614" s="16">
        <f>IF(COUNTIFS(Release_Calendar!$A$2:$A$755,"US_CPI",Release_Calendar!$B$2:$B$755,$A1614)&gt;0,1,0)</f>
        <v>0</v>
      </c>
      <c r="L1614" s="16">
        <f>IF(COUNTIFS(Release_Calendar!$A$2:$A$755,"US_NFP",Release_Calendar!$B$2:$B$755,$A1614)&gt;0,1,0)</f>
        <v>0</v>
      </c>
      <c r="M1614" s="16" t="str">
        <f>IF($A1614&lt;Notes!$B$5,"",IF(COUNTIFS(Release_Calendar!$A$2:$A$755,"NZ_CPI",Release_Calendar!$B$2:$B$755,$A1614)&gt;0,1,0))</f>
        <v/>
      </c>
      <c r="N1614" s="16" t="str">
        <f>IF($A1614&lt;Notes!$B$5,"",IF(COUNTIFS(Release_Calendar!$A$2:$A$755,"NZ_GDP",Release_Calendar!$B$2:$B$755,$A1614)&gt;0,1,0))</f>
        <v/>
      </c>
      <c r="O1614" s="16" t="str">
        <f>IF($A1614&lt;Notes!$B$5,"",IF(COUNTIFS(Release_Calendar!$A$2:$A$755,"NZ_LABOUR",Release_Calendar!$B$2:$B$755,$A1614)&gt;0,1,0))</f>
        <v/>
      </c>
      <c r="P1614" s="16">
        <f t="shared" si="4"/>
        <v>0</v>
      </c>
    </row>
    <row r="1615" ht="15.75" customHeight="1">
      <c r="A1615" s="14">
        <v>38785.0</v>
      </c>
      <c r="B1615" s="15">
        <v>4.72</v>
      </c>
      <c r="C1615" s="15"/>
      <c r="D1615" s="15">
        <v>5.97</v>
      </c>
      <c r="E1615" s="15"/>
      <c r="F1615" s="15" t="str">
        <f t="shared" si="1"/>
        <v/>
      </c>
      <c r="G1615" s="15">
        <f t="shared" si="2"/>
        <v>5.97</v>
      </c>
      <c r="H1615" s="16">
        <v>1.0</v>
      </c>
      <c r="I1615" s="15">
        <f t="shared" si="3"/>
        <v>1.25</v>
      </c>
      <c r="J1615" s="15">
        <v>12.68</v>
      </c>
      <c r="K1615" s="16">
        <f>IF(COUNTIFS(Release_Calendar!$A$2:$A$755,"US_CPI",Release_Calendar!$B$2:$B$755,$A1615)&gt;0,1,0)</f>
        <v>0</v>
      </c>
      <c r="L1615" s="16">
        <f>IF(COUNTIFS(Release_Calendar!$A$2:$A$755,"US_NFP",Release_Calendar!$B$2:$B$755,$A1615)&gt;0,1,0)</f>
        <v>0</v>
      </c>
      <c r="M1615" s="16" t="str">
        <f>IF($A1615&lt;Notes!$B$5,"",IF(COUNTIFS(Release_Calendar!$A$2:$A$755,"NZ_CPI",Release_Calendar!$B$2:$B$755,$A1615)&gt;0,1,0))</f>
        <v/>
      </c>
      <c r="N1615" s="16" t="str">
        <f>IF($A1615&lt;Notes!$B$5,"",IF(COUNTIFS(Release_Calendar!$A$2:$A$755,"NZ_GDP",Release_Calendar!$B$2:$B$755,$A1615)&gt;0,1,0))</f>
        <v/>
      </c>
      <c r="O1615" s="16" t="str">
        <f>IF($A1615&lt;Notes!$B$5,"",IF(COUNTIFS(Release_Calendar!$A$2:$A$755,"NZ_LABOUR",Release_Calendar!$B$2:$B$755,$A1615)&gt;0,1,0))</f>
        <v/>
      </c>
      <c r="P1615" s="16">
        <f t="shared" si="4"/>
        <v>0</v>
      </c>
    </row>
    <row r="1616" ht="15.75" customHeight="1">
      <c r="A1616" s="14">
        <v>38786.0</v>
      </c>
      <c r="B1616" s="15">
        <v>4.74</v>
      </c>
      <c r="C1616" s="15"/>
      <c r="D1616" s="15">
        <v>5.97</v>
      </c>
      <c r="E1616" s="15"/>
      <c r="F1616" s="15" t="str">
        <f t="shared" si="1"/>
        <v/>
      </c>
      <c r="G1616" s="15">
        <f t="shared" si="2"/>
        <v>5.97</v>
      </c>
      <c r="H1616" s="16">
        <v>1.0</v>
      </c>
      <c r="I1616" s="15">
        <f t="shared" si="3"/>
        <v>1.23</v>
      </c>
      <c r="J1616" s="15">
        <v>11.85</v>
      </c>
      <c r="K1616" s="16">
        <f>IF(COUNTIFS(Release_Calendar!$A$2:$A$755,"US_CPI",Release_Calendar!$B$2:$B$755,$A1616)&gt;0,1,0)</f>
        <v>0</v>
      </c>
      <c r="L1616" s="16">
        <f>IF(COUNTIFS(Release_Calendar!$A$2:$A$755,"US_NFP",Release_Calendar!$B$2:$B$755,$A1616)&gt;0,1,0)</f>
        <v>1</v>
      </c>
      <c r="M1616" s="16" t="str">
        <f>IF($A1616&lt;Notes!$B$5,"",IF(COUNTIFS(Release_Calendar!$A$2:$A$755,"NZ_CPI",Release_Calendar!$B$2:$B$755,$A1616)&gt;0,1,0))</f>
        <v/>
      </c>
      <c r="N1616" s="16" t="str">
        <f>IF($A1616&lt;Notes!$B$5,"",IF(COUNTIFS(Release_Calendar!$A$2:$A$755,"NZ_GDP",Release_Calendar!$B$2:$B$755,$A1616)&gt;0,1,0))</f>
        <v/>
      </c>
      <c r="O1616" s="16" t="str">
        <f>IF($A1616&lt;Notes!$B$5,"",IF(COUNTIFS(Release_Calendar!$A$2:$A$755,"NZ_LABOUR",Release_Calendar!$B$2:$B$755,$A1616)&gt;0,1,0))</f>
        <v/>
      </c>
      <c r="P1616" s="16">
        <f t="shared" si="4"/>
        <v>1</v>
      </c>
    </row>
    <row r="1617" ht="15.75" customHeight="1">
      <c r="A1617" s="14">
        <v>38789.0</v>
      </c>
      <c r="B1617" s="15">
        <v>4.74</v>
      </c>
      <c r="C1617" s="15"/>
      <c r="D1617" s="15">
        <v>5.96</v>
      </c>
      <c r="E1617" s="15"/>
      <c r="F1617" s="15" t="str">
        <f t="shared" si="1"/>
        <v/>
      </c>
      <c r="G1617" s="15">
        <f t="shared" si="2"/>
        <v>5.96</v>
      </c>
      <c r="H1617" s="16">
        <v>1.0</v>
      </c>
      <c r="I1617" s="15">
        <f t="shared" si="3"/>
        <v>1.22</v>
      </c>
      <c r="J1617" s="15">
        <v>11.37</v>
      </c>
      <c r="K1617" s="16">
        <f>IF(COUNTIFS(Release_Calendar!$A$2:$A$755,"US_CPI",Release_Calendar!$B$2:$B$755,$A1617)&gt;0,1,0)</f>
        <v>0</v>
      </c>
      <c r="L1617" s="16">
        <f>IF(COUNTIFS(Release_Calendar!$A$2:$A$755,"US_NFP",Release_Calendar!$B$2:$B$755,$A1617)&gt;0,1,0)</f>
        <v>0</v>
      </c>
      <c r="M1617" s="16" t="str">
        <f>IF($A1617&lt;Notes!$B$5,"",IF(COUNTIFS(Release_Calendar!$A$2:$A$755,"NZ_CPI",Release_Calendar!$B$2:$B$755,$A1617)&gt;0,1,0))</f>
        <v/>
      </c>
      <c r="N1617" s="16" t="str">
        <f>IF($A1617&lt;Notes!$B$5,"",IF(COUNTIFS(Release_Calendar!$A$2:$A$755,"NZ_GDP",Release_Calendar!$B$2:$B$755,$A1617)&gt;0,1,0))</f>
        <v/>
      </c>
      <c r="O1617" s="16" t="str">
        <f>IF($A1617&lt;Notes!$B$5,"",IF(COUNTIFS(Release_Calendar!$A$2:$A$755,"NZ_LABOUR",Release_Calendar!$B$2:$B$755,$A1617)&gt;0,1,0))</f>
        <v/>
      </c>
      <c r="P1617" s="16">
        <f t="shared" si="4"/>
        <v>0</v>
      </c>
    </row>
    <row r="1618" ht="15.75" customHeight="1">
      <c r="A1618" s="14">
        <v>38790.0</v>
      </c>
      <c r="B1618" s="15">
        <v>4.66</v>
      </c>
      <c r="C1618" s="15"/>
      <c r="D1618" s="15">
        <v>6.0</v>
      </c>
      <c r="E1618" s="15"/>
      <c r="F1618" s="15" t="str">
        <f t="shared" si="1"/>
        <v/>
      </c>
      <c r="G1618" s="15">
        <f t="shared" si="2"/>
        <v>6</v>
      </c>
      <c r="H1618" s="16">
        <v>1.0</v>
      </c>
      <c r="I1618" s="15">
        <f t="shared" si="3"/>
        <v>1.34</v>
      </c>
      <c r="J1618" s="15">
        <v>10.74</v>
      </c>
      <c r="K1618" s="16">
        <f>IF(COUNTIFS(Release_Calendar!$A$2:$A$755,"US_CPI",Release_Calendar!$B$2:$B$755,$A1618)&gt;0,1,0)</f>
        <v>0</v>
      </c>
      <c r="L1618" s="16">
        <f>IF(COUNTIFS(Release_Calendar!$A$2:$A$755,"US_NFP",Release_Calendar!$B$2:$B$755,$A1618)&gt;0,1,0)</f>
        <v>0</v>
      </c>
      <c r="M1618" s="16" t="str">
        <f>IF($A1618&lt;Notes!$B$5,"",IF(COUNTIFS(Release_Calendar!$A$2:$A$755,"NZ_CPI",Release_Calendar!$B$2:$B$755,$A1618)&gt;0,1,0))</f>
        <v/>
      </c>
      <c r="N1618" s="16" t="str">
        <f>IF($A1618&lt;Notes!$B$5,"",IF(COUNTIFS(Release_Calendar!$A$2:$A$755,"NZ_GDP",Release_Calendar!$B$2:$B$755,$A1618)&gt;0,1,0))</f>
        <v/>
      </c>
      <c r="O1618" s="16" t="str">
        <f>IF($A1618&lt;Notes!$B$5,"",IF(COUNTIFS(Release_Calendar!$A$2:$A$755,"NZ_LABOUR",Release_Calendar!$B$2:$B$755,$A1618)&gt;0,1,0))</f>
        <v/>
      </c>
      <c r="P1618" s="16">
        <f t="shared" si="4"/>
        <v>0</v>
      </c>
    </row>
    <row r="1619" ht="15.75" customHeight="1">
      <c r="A1619" s="14">
        <v>38791.0</v>
      </c>
      <c r="B1619" s="15">
        <v>4.69</v>
      </c>
      <c r="C1619" s="15"/>
      <c r="D1619" s="15">
        <v>5.93</v>
      </c>
      <c r="E1619" s="15"/>
      <c r="F1619" s="15" t="str">
        <f t="shared" si="1"/>
        <v/>
      </c>
      <c r="G1619" s="15">
        <f t="shared" si="2"/>
        <v>5.93</v>
      </c>
      <c r="H1619" s="16">
        <v>1.0</v>
      </c>
      <c r="I1619" s="15">
        <f t="shared" si="3"/>
        <v>1.24</v>
      </c>
      <c r="J1619" s="15">
        <v>11.35</v>
      </c>
      <c r="K1619" s="16">
        <f>IF(COUNTIFS(Release_Calendar!$A$2:$A$755,"US_CPI",Release_Calendar!$B$2:$B$755,$A1619)&gt;0,1,0)</f>
        <v>0</v>
      </c>
      <c r="L1619" s="16">
        <f>IF(COUNTIFS(Release_Calendar!$A$2:$A$755,"US_NFP",Release_Calendar!$B$2:$B$755,$A1619)&gt;0,1,0)</f>
        <v>0</v>
      </c>
      <c r="M1619" s="16" t="str">
        <f>IF($A1619&lt;Notes!$B$5,"",IF(COUNTIFS(Release_Calendar!$A$2:$A$755,"NZ_CPI",Release_Calendar!$B$2:$B$755,$A1619)&gt;0,1,0))</f>
        <v/>
      </c>
      <c r="N1619" s="16" t="str">
        <f>IF($A1619&lt;Notes!$B$5,"",IF(COUNTIFS(Release_Calendar!$A$2:$A$755,"NZ_GDP",Release_Calendar!$B$2:$B$755,$A1619)&gt;0,1,0))</f>
        <v/>
      </c>
      <c r="O1619" s="16" t="str">
        <f>IF($A1619&lt;Notes!$B$5,"",IF(COUNTIFS(Release_Calendar!$A$2:$A$755,"NZ_LABOUR",Release_Calendar!$B$2:$B$755,$A1619)&gt;0,1,0))</f>
        <v/>
      </c>
      <c r="P1619" s="16">
        <f t="shared" si="4"/>
        <v>0</v>
      </c>
    </row>
    <row r="1620" ht="15.75" customHeight="1">
      <c r="A1620" s="14">
        <v>38792.0</v>
      </c>
      <c r="B1620" s="15">
        <v>4.62</v>
      </c>
      <c r="C1620" s="15"/>
      <c r="D1620" s="15">
        <v>5.95</v>
      </c>
      <c r="E1620" s="15"/>
      <c r="F1620" s="15" t="str">
        <f t="shared" si="1"/>
        <v/>
      </c>
      <c r="G1620" s="15">
        <f t="shared" si="2"/>
        <v>5.95</v>
      </c>
      <c r="H1620" s="16">
        <v>1.0</v>
      </c>
      <c r="I1620" s="15">
        <f t="shared" si="3"/>
        <v>1.33</v>
      </c>
      <c r="J1620" s="15">
        <v>11.98</v>
      </c>
      <c r="K1620" s="16">
        <f>IF(COUNTIFS(Release_Calendar!$A$2:$A$755,"US_CPI",Release_Calendar!$B$2:$B$755,$A1620)&gt;0,1,0)</f>
        <v>1</v>
      </c>
      <c r="L1620" s="16">
        <f>IF(COUNTIFS(Release_Calendar!$A$2:$A$755,"US_NFP",Release_Calendar!$B$2:$B$755,$A1620)&gt;0,1,0)</f>
        <v>0</v>
      </c>
      <c r="M1620" s="16" t="str">
        <f>IF($A1620&lt;Notes!$B$5,"",IF(COUNTIFS(Release_Calendar!$A$2:$A$755,"NZ_CPI",Release_Calendar!$B$2:$B$755,$A1620)&gt;0,1,0))</f>
        <v/>
      </c>
      <c r="N1620" s="16" t="str">
        <f>IF($A1620&lt;Notes!$B$5,"",IF(COUNTIFS(Release_Calendar!$A$2:$A$755,"NZ_GDP",Release_Calendar!$B$2:$B$755,$A1620)&gt;0,1,0))</f>
        <v/>
      </c>
      <c r="O1620" s="16" t="str">
        <f>IF($A1620&lt;Notes!$B$5,"",IF(COUNTIFS(Release_Calendar!$A$2:$A$755,"NZ_LABOUR",Release_Calendar!$B$2:$B$755,$A1620)&gt;0,1,0))</f>
        <v/>
      </c>
      <c r="P1620" s="16">
        <f t="shared" si="4"/>
        <v>1</v>
      </c>
    </row>
    <row r="1621" ht="15.75" customHeight="1">
      <c r="A1621" s="14">
        <v>38793.0</v>
      </c>
      <c r="B1621" s="15">
        <v>4.65</v>
      </c>
      <c r="C1621" s="15"/>
      <c r="D1621" s="15">
        <v>6.0</v>
      </c>
      <c r="E1621" s="15"/>
      <c r="F1621" s="15" t="str">
        <f t="shared" si="1"/>
        <v/>
      </c>
      <c r="G1621" s="15">
        <f t="shared" si="2"/>
        <v>6</v>
      </c>
      <c r="H1621" s="16">
        <v>1.0</v>
      </c>
      <c r="I1621" s="15">
        <f t="shared" si="3"/>
        <v>1.35</v>
      </c>
      <c r="J1621" s="15">
        <v>12.12</v>
      </c>
      <c r="K1621" s="16">
        <f>IF(COUNTIFS(Release_Calendar!$A$2:$A$755,"US_CPI",Release_Calendar!$B$2:$B$755,$A1621)&gt;0,1,0)</f>
        <v>0</v>
      </c>
      <c r="L1621" s="16">
        <f>IF(COUNTIFS(Release_Calendar!$A$2:$A$755,"US_NFP",Release_Calendar!$B$2:$B$755,$A1621)&gt;0,1,0)</f>
        <v>0</v>
      </c>
      <c r="M1621" s="16" t="str">
        <f>IF($A1621&lt;Notes!$B$5,"",IF(COUNTIFS(Release_Calendar!$A$2:$A$755,"NZ_CPI",Release_Calendar!$B$2:$B$755,$A1621)&gt;0,1,0))</f>
        <v/>
      </c>
      <c r="N1621" s="16" t="str">
        <f>IF($A1621&lt;Notes!$B$5,"",IF(COUNTIFS(Release_Calendar!$A$2:$A$755,"NZ_GDP",Release_Calendar!$B$2:$B$755,$A1621)&gt;0,1,0))</f>
        <v/>
      </c>
      <c r="O1621" s="16" t="str">
        <f>IF($A1621&lt;Notes!$B$5,"",IF(COUNTIFS(Release_Calendar!$A$2:$A$755,"NZ_LABOUR",Release_Calendar!$B$2:$B$755,$A1621)&gt;0,1,0))</f>
        <v/>
      </c>
      <c r="P1621" s="16">
        <f t="shared" si="4"/>
        <v>0</v>
      </c>
    </row>
    <row r="1622" ht="15.75" customHeight="1">
      <c r="A1622" s="14">
        <v>38796.0</v>
      </c>
      <c r="B1622" s="15">
        <v>4.65</v>
      </c>
      <c r="C1622" s="15"/>
      <c r="D1622" s="15">
        <v>6.13</v>
      </c>
      <c r="E1622" s="15"/>
      <c r="F1622" s="15" t="str">
        <f t="shared" si="1"/>
        <v/>
      </c>
      <c r="G1622" s="15">
        <f t="shared" si="2"/>
        <v>6.13</v>
      </c>
      <c r="H1622" s="16">
        <v>1.0</v>
      </c>
      <c r="I1622" s="15">
        <f t="shared" si="3"/>
        <v>1.48</v>
      </c>
      <c r="J1622" s="15">
        <v>11.79</v>
      </c>
      <c r="K1622" s="16">
        <f>IF(COUNTIFS(Release_Calendar!$A$2:$A$755,"US_CPI",Release_Calendar!$B$2:$B$755,$A1622)&gt;0,1,0)</f>
        <v>0</v>
      </c>
      <c r="L1622" s="16">
        <f>IF(COUNTIFS(Release_Calendar!$A$2:$A$755,"US_NFP",Release_Calendar!$B$2:$B$755,$A1622)&gt;0,1,0)</f>
        <v>0</v>
      </c>
      <c r="M1622" s="16" t="str">
        <f>IF($A1622&lt;Notes!$B$5,"",IF(COUNTIFS(Release_Calendar!$A$2:$A$755,"NZ_CPI",Release_Calendar!$B$2:$B$755,$A1622)&gt;0,1,0))</f>
        <v/>
      </c>
      <c r="N1622" s="16" t="str">
        <f>IF($A1622&lt;Notes!$B$5,"",IF(COUNTIFS(Release_Calendar!$A$2:$A$755,"NZ_GDP",Release_Calendar!$B$2:$B$755,$A1622)&gt;0,1,0))</f>
        <v/>
      </c>
      <c r="O1622" s="16" t="str">
        <f>IF($A1622&lt;Notes!$B$5,"",IF(COUNTIFS(Release_Calendar!$A$2:$A$755,"NZ_LABOUR",Release_Calendar!$B$2:$B$755,$A1622)&gt;0,1,0))</f>
        <v/>
      </c>
      <c r="P1622" s="16">
        <f t="shared" si="4"/>
        <v>0</v>
      </c>
    </row>
    <row r="1623" ht="15.75" customHeight="1">
      <c r="A1623" s="14">
        <v>38797.0</v>
      </c>
      <c r="B1623" s="15">
        <v>4.72</v>
      </c>
      <c r="C1623" s="15"/>
      <c r="D1623" s="15">
        <v>6.16</v>
      </c>
      <c r="E1623" s="15"/>
      <c r="F1623" s="15" t="str">
        <f t="shared" si="1"/>
        <v/>
      </c>
      <c r="G1623" s="15">
        <f t="shared" si="2"/>
        <v>6.16</v>
      </c>
      <c r="H1623" s="16">
        <v>1.0</v>
      </c>
      <c r="I1623" s="15">
        <f t="shared" si="3"/>
        <v>1.44</v>
      </c>
      <c r="J1623" s="15">
        <v>11.62</v>
      </c>
      <c r="K1623" s="16">
        <f>IF(COUNTIFS(Release_Calendar!$A$2:$A$755,"US_CPI",Release_Calendar!$B$2:$B$755,$A1623)&gt;0,1,0)</f>
        <v>0</v>
      </c>
      <c r="L1623" s="16">
        <f>IF(COUNTIFS(Release_Calendar!$A$2:$A$755,"US_NFP",Release_Calendar!$B$2:$B$755,$A1623)&gt;0,1,0)</f>
        <v>0</v>
      </c>
      <c r="M1623" s="16" t="str">
        <f>IF($A1623&lt;Notes!$B$5,"",IF(COUNTIFS(Release_Calendar!$A$2:$A$755,"NZ_CPI",Release_Calendar!$B$2:$B$755,$A1623)&gt;0,1,0))</f>
        <v/>
      </c>
      <c r="N1623" s="16" t="str">
        <f>IF($A1623&lt;Notes!$B$5,"",IF(COUNTIFS(Release_Calendar!$A$2:$A$755,"NZ_GDP",Release_Calendar!$B$2:$B$755,$A1623)&gt;0,1,0))</f>
        <v/>
      </c>
      <c r="O1623" s="16" t="str">
        <f>IF($A1623&lt;Notes!$B$5,"",IF(COUNTIFS(Release_Calendar!$A$2:$A$755,"NZ_LABOUR",Release_Calendar!$B$2:$B$755,$A1623)&gt;0,1,0))</f>
        <v/>
      </c>
      <c r="P1623" s="16">
        <f t="shared" si="4"/>
        <v>0</v>
      </c>
    </row>
    <row r="1624" ht="15.75" customHeight="1">
      <c r="A1624" s="14">
        <v>38798.0</v>
      </c>
      <c r="B1624" s="15">
        <v>4.74</v>
      </c>
      <c r="C1624" s="15"/>
      <c r="D1624" s="15">
        <v>6.18</v>
      </c>
      <c r="E1624" s="15"/>
      <c r="F1624" s="15" t="str">
        <f t="shared" si="1"/>
        <v/>
      </c>
      <c r="G1624" s="15">
        <f t="shared" si="2"/>
        <v>6.18</v>
      </c>
      <c r="H1624" s="16">
        <v>1.0</v>
      </c>
      <c r="I1624" s="15">
        <f t="shared" si="3"/>
        <v>1.44</v>
      </c>
      <c r="J1624" s="15">
        <v>11.21</v>
      </c>
      <c r="K1624" s="16">
        <f>IF(COUNTIFS(Release_Calendar!$A$2:$A$755,"US_CPI",Release_Calendar!$B$2:$B$755,$A1624)&gt;0,1,0)</f>
        <v>0</v>
      </c>
      <c r="L1624" s="16">
        <f>IF(COUNTIFS(Release_Calendar!$A$2:$A$755,"US_NFP",Release_Calendar!$B$2:$B$755,$A1624)&gt;0,1,0)</f>
        <v>0</v>
      </c>
      <c r="M1624" s="16" t="str">
        <f>IF($A1624&lt;Notes!$B$5,"",IF(COUNTIFS(Release_Calendar!$A$2:$A$755,"NZ_CPI",Release_Calendar!$B$2:$B$755,$A1624)&gt;0,1,0))</f>
        <v/>
      </c>
      <c r="N1624" s="16" t="str">
        <f>IF($A1624&lt;Notes!$B$5,"",IF(COUNTIFS(Release_Calendar!$A$2:$A$755,"NZ_GDP",Release_Calendar!$B$2:$B$755,$A1624)&gt;0,1,0))</f>
        <v/>
      </c>
      <c r="O1624" s="16" t="str">
        <f>IF($A1624&lt;Notes!$B$5,"",IF(COUNTIFS(Release_Calendar!$A$2:$A$755,"NZ_LABOUR",Release_Calendar!$B$2:$B$755,$A1624)&gt;0,1,0))</f>
        <v/>
      </c>
      <c r="P1624" s="16">
        <f t="shared" si="4"/>
        <v>0</v>
      </c>
    </row>
    <row r="1625" ht="15.75" customHeight="1">
      <c r="A1625" s="14">
        <v>38799.0</v>
      </c>
      <c r="B1625" s="15">
        <v>4.77</v>
      </c>
      <c r="C1625" s="15"/>
      <c r="D1625" s="15">
        <v>6.18</v>
      </c>
      <c r="E1625" s="15"/>
      <c r="F1625" s="15" t="str">
        <f t="shared" si="1"/>
        <v/>
      </c>
      <c r="G1625" s="15">
        <f t="shared" si="2"/>
        <v>6.18</v>
      </c>
      <c r="H1625" s="16">
        <v>1.0</v>
      </c>
      <c r="I1625" s="15">
        <f t="shared" si="3"/>
        <v>1.41</v>
      </c>
      <c r="J1625" s="15">
        <v>11.17</v>
      </c>
      <c r="K1625" s="16">
        <f>IF(COUNTIFS(Release_Calendar!$A$2:$A$755,"US_CPI",Release_Calendar!$B$2:$B$755,$A1625)&gt;0,1,0)</f>
        <v>0</v>
      </c>
      <c r="L1625" s="16">
        <f>IF(COUNTIFS(Release_Calendar!$A$2:$A$755,"US_NFP",Release_Calendar!$B$2:$B$755,$A1625)&gt;0,1,0)</f>
        <v>0</v>
      </c>
      <c r="M1625" s="16" t="str">
        <f>IF($A1625&lt;Notes!$B$5,"",IF(COUNTIFS(Release_Calendar!$A$2:$A$755,"NZ_CPI",Release_Calendar!$B$2:$B$755,$A1625)&gt;0,1,0))</f>
        <v/>
      </c>
      <c r="N1625" s="16" t="str">
        <f>IF($A1625&lt;Notes!$B$5,"",IF(COUNTIFS(Release_Calendar!$A$2:$A$755,"NZ_GDP",Release_Calendar!$B$2:$B$755,$A1625)&gt;0,1,0))</f>
        <v/>
      </c>
      <c r="O1625" s="16" t="str">
        <f>IF($A1625&lt;Notes!$B$5,"",IF(COUNTIFS(Release_Calendar!$A$2:$A$755,"NZ_LABOUR",Release_Calendar!$B$2:$B$755,$A1625)&gt;0,1,0))</f>
        <v/>
      </c>
      <c r="P1625" s="16">
        <f t="shared" si="4"/>
        <v>0</v>
      </c>
    </row>
    <row r="1626" ht="15.75" customHeight="1">
      <c r="A1626" s="14">
        <v>38800.0</v>
      </c>
      <c r="B1626" s="15">
        <v>4.72</v>
      </c>
      <c r="C1626" s="15"/>
      <c r="D1626" s="15">
        <v>6.1</v>
      </c>
      <c r="E1626" s="15"/>
      <c r="F1626" s="15" t="str">
        <f t="shared" si="1"/>
        <v/>
      </c>
      <c r="G1626" s="15">
        <f t="shared" si="2"/>
        <v>6.1</v>
      </c>
      <c r="H1626" s="16">
        <v>1.0</v>
      </c>
      <c r="I1626" s="15">
        <f t="shared" si="3"/>
        <v>1.38</v>
      </c>
      <c r="J1626" s="15">
        <v>11.19</v>
      </c>
      <c r="K1626" s="16">
        <f>IF(COUNTIFS(Release_Calendar!$A$2:$A$755,"US_CPI",Release_Calendar!$B$2:$B$755,$A1626)&gt;0,1,0)</f>
        <v>0</v>
      </c>
      <c r="L1626" s="16">
        <f>IF(COUNTIFS(Release_Calendar!$A$2:$A$755,"US_NFP",Release_Calendar!$B$2:$B$755,$A1626)&gt;0,1,0)</f>
        <v>0</v>
      </c>
      <c r="M1626" s="16" t="str">
        <f>IF($A1626&lt;Notes!$B$5,"",IF(COUNTIFS(Release_Calendar!$A$2:$A$755,"NZ_CPI",Release_Calendar!$B$2:$B$755,$A1626)&gt;0,1,0))</f>
        <v/>
      </c>
      <c r="N1626" s="16" t="str">
        <f>IF($A1626&lt;Notes!$B$5,"",IF(COUNTIFS(Release_Calendar!$A$2:$A$755,"NZ_GDP",Release_Calendar!$B$2:$B$755,$A1626)&gt;0,1,0))</f>
        <v/>
      </c>
      <c r="O1626" s="16" t="str">
        <f>IF($A1626&lt;Notes!$B$5,"",IF(COUNTIFS(Release_Calendar!$A$2:$A$755,"NZ_LABOUR",Release_Calendar!$B$2:$B$755,$A1626)&gt;0,1,0))</f>
        <v/>
      </c>
      <c r="P1626" s="16">
        <f t="shared" si="4"/>
        <v>0</v>
      </c>
    </row>
    <row r="1627" ht="15.75" customHeight="1">
      <c r="A1627" s="14">
        <v>38803.0</v>
      </c>
      <c r="B1627" s="15">
        <v>4.72</v>
      </c>
      <c r="C1627" s="15"/>
      <c r="D1627" s="15">
        <v>5.91</v>
      </c>
      <c r="E1627" s="15"/>
      <c r="F1627" s="15" t="str">
        <f t="shared" si="1"/>
        <v/>
      </c>
      <c r="G1627" s="15">
        <f t="shared" si="2"/>
        <v>5.91</v>
      </c>
      <c r="H1627" s="16">
        <v>1.0</v>
      </c>
      <c r="I1627" s="15">
        <f t="shared" si="3"/>
        <v>1.19</v>
      </c>
      <c r="J1627" s="15">
        <v>11.46</v>
      </c>
      <c r="K1627" s="16">
        <f>IF(COUNTIFS(Release_Calendar!$A$2:$A$755,"US_CPI",Release_Calendar!$B$2:$B$755,$A1627)&gt;0,1,0)</f>
        <v>0</v>
      </c>
      <c r="L1627" s="16">
        <f>IF(COUNTIFS(Release_Calendar!$A$2:$A$755,"US_NFP",Release_Calendar!$B$2:$B$755,$A1627)&gt;0,1,0)</f>
        <v>0</v>
      </c>
      <c r="M1627" s="16" t="str">
        <f>IF($A1627&lt;Notes!$B$5,"",IF(COUNTIFS(Release_Calendar!$A$2:$A$755,"NZ_CPI",Release_Calendar!$B$2:$B$755,$A1627)&gt;0,1,0))</f>
        <v/>
      </c>
      <c r="N1627" s="16" t="str">
        <f>IF($A1627&lt;Notes!$B$5,"",IF(COUNTIFS(Release_Calendar!$A$2:$A$755,"NZ_GDP",Release_Calendar!$B$2:$B$755,$A1627)&gt;0,1,0))</f>
        <v/>
      </c>
      <c r="O1627" s="16" t="str">
        <f>IF($A1627&lt;Notes!$B$5,"",IF(COUNTIFS(Release_Calendar!$A$2:$A$755,"NZ_LABOUR",Release_Calendar!$B$2:$B$755,$A1627)&gt;0,1,0))</f>
        <v/>
      </c>
      <c r="P1627" s="16">
        <f t="shared" si="4"/>
        <v>0</v>
      </c>
    </row>
    <row r="1628" ht="15.75" customHeight="1">
      <c r="A1628" s="14">
        <v>38804.0</v>
      </c>
      <c r="B1628" s="15">
        <v>4.81</v>
      </c>
      <c r="C1628" s="15"/>
      <c r="D1628" s="15">
        <v>5.95</v>
      </c>
      <c r="E1628" s="15"/>
      <c r="F1628" s="15" t="str">
        <f t="shared" si="1"/>
        <v/>
      </c>
      <c r="G1628" s="15">
        <f t="shared" si="2"/>
        <v>5.95</v>
      </c>
      <c r="H1628" s="16">
        <v>1.0</v>
      </c>
      <c r="I1628" s="15">
        <f t="shared" si="3"/>
        <v>1.14</v>
      </c>
      <c r="J1628" s="15">
        <v>11.58</v>
      </c>
      <c r="K1628" s="16">
        <f>IF(COUNTIFS(Release_Calendar!$A$2:$A$755,"US_CPI",Release_Calendar!$B$2:$B$755,$A1628)&gt;0,1,0)</f>
        <v>0</v>
      </c>
      <c r="L1628" s="16">
        <f>IF(COUNTIFS(Release_Calendar!$A$2:$A$755,"US_NFP",Release_Calendar!$B$2:$B$755,$A1628)&gt;0,1,0)</f>
        <v>0</v>
      </c>
      <c r="M1628" s="16" t="str">
        <f>IF($A1628&lt;Notes!$B$5,"",IF(COUNTIFS(Release_Calendar!$A$2:$A$755,"NZ_CPI",Release_Calendar!$B$2:$B$755,$A1628)&gt;0,1,0))</f>
        <v/>
      </c>
      <c r="N1628" s="16" t="str">
        <f>IF($A1628&lt;Notes!$B$5,"",IF(COUNTIFS(Release_Calendar!$A$2:$A$755,"NZ_GDP",Release_Calendar!$B$2:$B$755,$A1628)&gt;0,1,0))</f>
        <v/>
      </c>
      <c r="O1628" s="16" t="str">
        <f>IF($A1628&lt;Notes!$B$5,"",IF(COUNTIFS(Release_Calendar!$A$2:$A$755,"NZ_LABOUR",Release_Calendar!$B$2:$B$755,$A1628)&gt;0,1,0))</f>
        <v/>
      </c>
      <c r="P1628" s="16">
        <f t="shared" si="4"/>
        <v>0</v>
      </c>
    </row>
    <row r="1629" ht="15.75" customHeight="1">
      <c r="A1629" s="14">
        <v>38805.0</v>
      </c>
      <c r="B1629" s="15">
        <v>4.82</v>
      </c>
      <c r="C1629" s="15"/>
      <c r="D1629" s="15">
        <v>6.0</v>
      </c>
      <c r="E1629" s="15"/>
      <c r="F1629" s="15" t="str">
        <f t="shared" si="1"/>
        <v/>
      </c>
      <c r="G1629" s="15">
        <f t="shared" si="2"/>
        <v>6</v>
      </c>
      <c r="H1629" s="16">
        <v>1.0</v>
      </c>
      <c r="I1629" s="15">
        <f t="shared" si="3"/>
        <v>1.18</v>
      </c>
      <c r="J1629" s="15">
        <v>10.95</v>
      </c>
      <c r="K1629" s="16">
        <f>IF(COUNTIFS(Release_Calendar!$A$2:$A$755,"US_CPI",Release_Calendar!$B$2:$B$755,$A1629)&gt;0,1,0)</f>
        <v>0</v>
      </c>
      <c r="L1629" s="16">
        <f>IF(COUNTIFS(Release_Calendar!$A$2:$A$755,"US_NFP",Release_Calendar!$B$2:$B$755,$A1629)&gt;0,1,0)</f>
        <v>0</v>
      </c>
      <c r="M1629" s="16" t="str">
        <f>IF($A1629&lt;Notes!$B$5,"",IF(COUNTIFS(Release_Calendar!$A$2:$A$755,"NZ_CPI",Release_Calendar!$B$2:$B$755,$A1629)&gt;0,1,0))</f>
        <v/>
      </c>
      <c r="N1629" s="16" t="str">
        <f>IF($A1629&lt;Notes!$B$5,"",IF(COUNTIFS(Release_Calendar!$A$2:$A$755,"NZ_GDP",Release_Calendar!$B$2:$B$755,$A1629)&gt;0,1,0))</f>
        <v/>
      </c>
      <c r="O1629" s="16" t="str">
        <f>IF($A1629&lt;Notes!$B$5,"",IF(COUNTIFS(Release_Calendar!$A$2:$A$755,"NZ_LABOUR",Release_Calendar!$B$2:$B$755,$A1629)&gt;0,1,0))</f>
        <v/>
      </c>
      <c r="P1629" s="16">
        <f t="shared" si="4"/>
        <v>0</v>
      </c>
    </row>
    <row r="1630" ht="15.75" customHeight="1">
      <c r="A1630" s="14">
        <v>38806.0</v>
      </c>
      <c r="B1630" s="15">
        <v>4.84</v>
      </c>
      <c r="C1630" s="15"/>
      <c r="D1630" s="15">
        <v>6.03</v>
      </c>
      <c r="E1630" s="15"/>
      <c r="F1630" s="15" t="str">
        <f t="shared" si="1"/>
        <v/>
      </c>
      <c r="G1630" s="15">
        <f t="shared" si="2"/>
        <v>6.03</v>
      </c>
      <c r="H1630" s="16">
        <v>1.0</v>
      </c>
      <c r="I1630" s="15">
        <f t="shared" si="3"/>
        <v>1.19</v>
      </c>
      <c r="J1630" s="15">
        <v>11.57</v>
      </c>
      <c r="K1630" s="16">
        <f>IF(COUNTIFS(Release_Calendar!$A$2:$A$755,"US_CPI",Release_Calendar!$B$2:$B$755,$A1630)&gt;0,1,0)</f>
        <v>0</v>
      </c>
      <c r="L1630" s="16">
        <f>IF(COUNTIFS(Release_Calendar!$A$2:$A$755,"US_NFP",Release_Calendar!$B$2:$B$755,$A1630)&gt;0,1,0)</f>
        <v>0</v>
      </c>
      <c r="M1630" s="16" t="str">
        <f>IF($A1630&lt;Notes!$B$5,"",IF(COUNTIFS(Release_Calendar!$A$2:$A$755,"NZ_CPI",Release_Calendar!$B$2:$B$755,$A1630)&gt;0,1,0))</f>
        <v/>
      </c>
      <c r="N1630" s="16" t="str">
        <f>IF($A1630&lt;Notes!$B$5,"",IF(COUNTIFS(Release_Calendar!$A$2:$A$755,"NZ_GDP",Release_Calendar!$B$2:$B$755,$A1630)&gt;0,1,0))</f>
        <v/>
      </c>
      <c r="O1630" s="16" t="str">
        <f>IF($A1630&lt;Notes!$B$5,"",IF(COUNTIFS(Release_Calendar!$A$2:$A$755,"NZ_LABOUR",Release_Calendar!$B$2:$B$755,$A1630)&gt;0,1,0))</f>
        <v/>
      </c>
      <c r="P1630" s="16">
        <f t="shared" si="4"/>
        <v>0</v>
      </c>
    </row>
    <row r="1631" ht="15.75" customHeight="1">
      <c r="A1631" s="14">
        <v>38807.0</v>
      </c>
      <c r="B1631" s="15">
        <v>4.82</v>
      </c>
      <c r="C1631" s="15"/>
      <c r="D1631" s="15">
        <v>6.04</v>
      </c>
      <c r="E1631" s="15"/>
      <c r="F1631" s="15" t="str">
        <f t="shared" si="1"/>
        <v/>
      </c>
      <c r="G1631" s="15">
        <f t="shared" si="2"/>
        <v>6.04</v>
      </c>
      <c r="H1631" s="16">
        <v>1.0</v>
      </c>
      <c r="I1631" s="15">
        <f t="shared" si="3"/>
        <v>1.22</v>
      </c>
      <c r="J1631" s="15">
        <v>11.39</v>
      </c>
      <c r="K1631" s="16">
        <f>IF(COUNTIFS(Release_Calendar!$A$2:$A$755,"US_CPI",Release_Calendar!$B$2:$B$755,$A1631)&gt;0,1,0)</f>
        <v>0</v>
      </c>
      <c r="L1631" s="16">
        <f>IF(COUNTIFS(Release_Calendar!$A$2:$A$755,"US_NFP",Release_Calendar!$B$2:$B$755,$A1631)&gt;0,1,0)</f>
        <v>0</v>
      </c>
      <c r="M1631" s="16" t="str">
        <f>IF($A1631&lt;Notes!$B$5,"",IF(COUNTIFS(Release_Calendar!$A$2:$A$755,"NZ_CPI",Release_Calendar!$B$2:$B$755,$A1631)&gt;0,1,0))</f>
        <v/>
      </c>
      <c r="N1631" s="16" t="str">
        <f>IF($A1631&lt;Notes!$B$5,"",IF(COUNTIFS(Release_Calendar!$A$2:$A$755,"NZ_GDP",Release_Calendar!$B$2:$B$755,$A1631)&gt;0,1,0))</f>
        <v/>
      </c>
      <c r="O1631" s="16" t="str">
        <f>IF($A1631&lt;Notes!$B$5,"",IF(COUNTIFS(Release_Calendar!$A$2:$A$755,"NZ_LABOUR",Release_Calendar!$B$2:$B$755,$A1631)&gt;0,1,0))</f>
        <v/>
      </c>
      <c r="P1631" s="16">
        <f t="shared" si="4"/>
        <v>0</v>
      </c>
    </row>
    <row r="1632" ht="15.75" customHeight="1">
      <c r="A1632" s="14">
        <v>38810.0</v>
      </c>
      <c r="B1632" s="15">
        <v>4.86</v>
      </c>
      <c r="C1632" s="15"/>
      <c r="D1632" s="15">
        <v>6.03</v>
      </c>
      <c r="E1632" s="15"/>
      <c r="F1632" s="15" t="str">
        <f t="shared" si="1"/>
        <v/>
      </c>
      <c r="G1632" s="15">
        <f t="shared" si="2"/>
        <v>6.03</v>
      </c>
      <c r="H1632" s="16">
        <v>1.0</v>
      </c>
      <c r="I1632" s="15">
        <f t="shared" si="3"/>
        <v>1.17</v>
      </c>
      <c r="J1632" s="15">
        <v>11.57</v>
      </c>
      <c r="K1632" s="16">
        <f>IF(COUNTIFS(Release_Calendar!$A$2:$A$755,"US_CPI",Release_Calendar!$B$2:$B$755,$A1632)&gt;0,1,0)</f>
        <v>0</v>
      </c>
      <c r="L1632" s="16">
        <f>IF(COUNTIFS(Release_Calendar!$A$2:$A$755,"US_NFP",Release_Calendar!$B$2:$B$755,$A1632)&gt;0,1,0)</f>
        <v>0</v>
      </c>
      <c r="M1632" s="16" t="str">
        <f>IF($A1632&lt;Notes!$B$5,"",IF(COUNTIFS(Release_Calendar!$A$2:$A$755,"NZ_CPI",Release_Calendar!$B$2:$B$755,$A1632)&gt;0,1,0))</f>
        <v/>
      </c>
      <c r="N1632" s="16" t="str">
        <f>IF($A1632&lt;Notes!$B$5,"",IF(COUNTIFS(Release_Calendar!$A$2:$A$755,"NZ_GDP",Release_Calendar!$B$2:$B$755,$A1632)&gt;0,1,0))</f>
        <v/>
      </c>
      <c r="O1632" s="16" t="str">
        <f>IF($A1632&lt;Notes!$B$5,"",IF(COUNTIFS(Release_Calendar!$A$2:$A$755,"NZ_LABOUR",Release_Calendar!$B$2:$B$755,$A1632)&gt;0,1,0))</f>
        <v/>
      </c>
      <c r="P1632" s="16">
        <f t="shared" si="4"/>
        <v>0</v>
      </c>
    </row>
    <row r="1633" ht="15.75" customHeight="1">
      <c r="A1633" s="14">
        <v>38811.0</v>
      </c>
      <c r="B1633" s="15">
        <v>4.84</v>
      </c>
      <c r="C1633" s="15"/>
      <c r="D1633" s="15">
        <v>6.02</v>
      </c>
      <c r="E1633" s="15"/>
      <c r="F1633" s="15" t="str">
        <f t="shared" si="1"/>
        <v/>
      </c>
      <c r="G1633" s="15">
        <f t="shared" si="2"/>
        <v>6.02</v>
      </c>
      <c r="H1633" s="16">
        <v>1.0</v>
      </c>
      <c r="I1633" s="15">
        <f t="shared" si="3"/>
        <v>1.18</v>
      </c>
      <c r="J1633" s="15">
        <v>11.14</v>
      </c>
      <c r="K1633" s="16">
        <f>IF(COUNTIFS(Release_Calendar!$A$2:$A$755,"US_CPI",Release_Calendar!$B$2:$B$755,$A1633)&gt;0,1,0)</f>
        <v>0</v>
      </c>
      <c r="L1633" s="16">
        <f>IF(COUNTIFS(Release_Calendar!$A$2:$A$755,"US_NFP",Release_Calendar!$B$2:$B$755,$A1633)&gt;0,1,0)</f>
        <v>0</v>
      </c>
      <c r="M1633" s="16" t="str">
        <f>IF($A1633&lt;Notes!$B$5,"",IF(COUNTIFS(Release_Calendar!$A$2:$A$755,"NZ_CPI",Release_Calendar!$B$2:$B$755,$A1633)&gt;0,1,0))</f>
        <v/>
      </c>
      <c r="N1633" s="16" t="str">
        <f>IF($A1633&lt;Notes!$B$5,"",IF(COUNTIFS(Release_Calendar!$A$2:$A$755,"NZ_GDP",Release_Calendar!$B$2:$B$755,$A1633)&gt;0,1,0))</f>
        <v/>
      </c>
      <c r="O1633" s="16" t="str">
        <f>IF($A1633&lt;Notes!$B$5,"",IF(COUNTIFS(Release_Calendar!$A$2:$A$755,"NZ_LABOUR",Release_Calendar!$B$2:$B$755,$A1633)&gt;0,1,0))</f>
        <v/>
      </c>
      <c r="P1633" s="16">
        <f t="shared" si="4"/>
        <v>0</v>
      </c>
    </row>
    <row r="1634" ht="15.75" customHeight="1">
      <c r="A1634" s="14">
        <v>38812.0</v>
      </c>
      <c r="B1634" s="15">
        <v>4.81</v>
      </c>
      <c r="C1634" s="15"/>
      <c r="D1634" s="15">
        <v>6.06</v>
      </c>
      <c r="E1634" s="15"/>
      <c r="F1634" s="15" t="str">
        <f t="shared" si="1"/>
        <v/>
      </c>
      <c r="G1634" s="15">
        <f t="shared" si="2"/>
        <v>6.06</v>
      </c>
      <c r="H1634" s="16">
        <v>1.0</v>
      </c>
      <c r="I1634" s="15">
        <f t="shared" si="3"/>
        <v>1.25</v>
      </c>
      <c r="J1634" s="15">
        <v>11.13</v>
      </c>
      <c r="K1634" s="16">
        <f>IF(COUNTIFS(Release_Calendar!$A$2:$A$755,"US_CPI",Release_Calendar!$B$2:$B$755,$A1634)&gt;0,1,0)</f>
        <v>0</v>
      </c>
      <c r="L1634" s="16">
        <f>IF(COUNTIFS(Release_Calendar!$A$2:$A$755,"US_NFP",Release_Calendar!$B$2:$B$755,$A1634)&gt;0,1,0)</f>
        <v>0</v>
      </c>
      <c r="M1634" s="16" t="str">
        <f>IF($A1634&lt;Notes!$B$5,"",IF(COUNTIFS(Release_Calendar!$A$2:$A$755,"NZ_CPI",Release_Calendar!$B$2:$B$755,$A1634)&gt;0,1,0))</f>
        <v/>
      </c>
      <c r="N1634" s="16" t="str">
        <f>IF($A1634&lt;Notes!$B$5,"",IF(COUNTIFS(Release_Calendar!$A$2:$A$755,"NZ_GDP",Release_Calendar!$B$2:$B$755,$A1634)&gt;0,1,0))</f>
        <v/>
      </c>
      <c r="O1634" s="16" t="str">
        <f>IF($A1634&lt;Notes!$B$5,"",IF(COUNTIFS(Release_Calendar!$A$2:$A$755,"NZ_LABOUR",Release_Calendar!$B$2:$B$755,$A1634)&gt;0,1,0))</f>
        <v/>
      </c>
      <c r="P1634" s="16">
        <f t="shared" si="4"/>
        <v>0</v>
      </c>
    </row>
    <row r="1635" ht="15.75" customHeight="1">
      <c r="A1635" s="14">
        <v>38813.0</v>
      </c>
      <c r="B1635" s="15">
        <v>4.84</v>
      </c>
      <c r="C1635" s="15"/>
      <c r="D1635" s="15">
        <v>6.06</v>
      </c>
      <c r="E1635" s="15"/>
      <c r="F1635" s="15" t="str">
        <f t="shared" si="1"/>
        <v/>
      </c>
      <c r="G1635" s="15">
        <f t="shared" si="2"/>
        <v>6.06</v>
      </c>
      <c r="H1635" s="16">
        <v>1.0</v>
      </c>
      <c r="I1635" s="15">
        <f t="shared" si="3"/>
        <v>1.22</v>
      </c>
      <c r="J1635" s="15">
        <v>11.45</v>
      </c>
      <c r="K1635" s="16">
        <f>IF(COUNTIFS(Release_Calendar!$A$2:$A$755,"US_CPI",Release_Calendar!$B$2:$B$755,$A1635)&gt;0,1,0)</f>
        <v>0</v>
      </c>
      <c r="L1635" s="16">
        <f>IF(COUNTIFS(Release_Calendar!$A$2:$A$755,"US_NFP",Release_Calendar!$B$2:$B$755,$A1635)&gt;0,1,0)</f>
        <v>0</v>
      </c>
      <c r="M1635" s="16" t="str">
        <f>IF($A1635&lt;Notes!$B$5,"",IF(COUNTIFS(Release_Calendar!$A$2:$A$755,"NZ_CPI",Release_Calendar!$B$2:$B$755,$A1635)&gt;0,1,0))</f>
        <v/>
      </c>
      <c r="N1635" s="16" t="str">
        <f>IF($A1635&lt;Notes!$B$5,"",IF(COUNTIFS(Release_Calendar!$A$2:$A$755,"NZ_GDP",Release_Calendar!$B$2:$B$755,$A1635)&gt;0,1,0))</f>
        <v/>
      </c>
      <c r="O1635" s="16" t="str">
        <f>IF($A1635&lt;Notes!$B$5,"",IF(COUNTIFS(Release_Calendar!$A$2:$A$755,"NZ_LABOUR",Release_Calendar!$B$2:$B$755,$A1635)&gt;0,1,0))</f>
        <v/>
      </c>
      <c r="P1635" s="16">
        <f t="shared" si="4"/>
        <v>0</v>
      </c>
    </row>
    <row r="1636" ht="15.75" customHeight="1">
      <c r="A1636" s="14">
        <v>38814.0</v>
      </c>
      <c r="B1636" s="15">
        <v>4.89</v>
      </c>
      <c r="C1636" s="15"/>
      <c r="D1636" s="15">
        <v>6.09</v>
      </c>
      <c r="E1636" s="15"/>
      <c r="F1636" s="15" t="str">
        <f t="shared" si="1"/>
        <v/>
      </c>
      <c r="G1636" s="15">
        <f t="shared" si="2"/>
        <v>6.09</v>
      </c>
      <c r="H1636" s="16">
        <v>1.0</v>
      </c>
      <c r="I1636" s="15">
        <f t="shared" si="3"/>
        <v>1.2</v>
      </c>
      <c r="J1636" s="15">
        <v>12.26</v>
      </c>
      <c r="K1636" s="16">
        <f>IF(COUNTIFS(Release_Calendar!$A$2:$A$755,"US_CPI",Release_Calendar!$B$2:$B$755,$A1636)&gt;0,1,0)</f>
        <v>0</v>
      </c>
      <c r="L1636" s="16">
        <f>IF(COUNTIFS(Release_Calendar!$A$2:$A$755,"US_NFP",Release_Calendar!$B$2:$B$755,$A1636)&gt;0,1,0)</f>
        <v>1</v>
      </c>
      <c r="M1636" s="16" t="str">
        <f>IF($A1636&lt;Notes!$B$5,"",IF(COUNTIFS(Release_Calendar!$A$2:$A$755,"NZ_CPI",Release_Calendar!$B$2:$B$755,$A1636)&gt;0,1,0))</f>
        <v/>
      </c>
      <c r="N1636" s="16" t="str">
        <f>IF($A1636&lt;Notes!$B$5,"",IF(COUNTIFS(Release_Calendar!$A$2:$A$755,"NZ_GDP",Release_Calendar!$B$2:$B$755,$A1636)&gt;0,1,0))</f>
        <v/>
      </c>
      <c r="O1636" s="16" t="str">
        <f>IF($A1636&lt;Notes!$B$5,"",IF(COUNTIFS(Release_Calendar!$A$2:$A$755,"NZ_LABOUR",Release_Calendar!$B$2:$B$755,$A1636)&gt;0,1,0))</f>
        <v/>
      </c>
      <c r="P1636" s="16">
        <f t="shared" si="4"/>
        <v>1</v>
      </c>
    </row>
    <row r="1637" ht="15.75" customHeight="1">
      <c r="A1637" s="14">
        <v>38817.0</v>
      </c>
      <c r="B1637" s="15">
        <v>4.89</v>
      </c>
      <c r="C1637" s="15"/>
      <c r="D1637" s="15">
        <v>6.15</v>
      </c>
      <c r="E1637" s="15"/>
      <c r="F1637" s="15" t="str">
        <f t="shared" si="1"/>
        <v/>
      </c>
      <c r="G1637" s="15">
        <f t="shared" si="2"/>
        <v>6.15</v>
      </c>
      <c r="H1637" s="16">
        <v>1.0</v>
      </c>
      <c r="I1637" s="15">
        <f t="shared" si="3"/>
        <v>1.26</v>
      </c>
      <c r="J1637" s="15">
        <v>12.19</v>
      </c>
      <c r="K1637" s="16">
        <f>IF(COUNTIFS(Release_Calendar!$A$2:$A$755,"US_CPI",Release_Calendar!$B$2:$B$755,$A1637)&gt;0,1,0)</f>
        <v>0</v>
      </c>
      <c r="L1637" s="16">
        <f>IF(COUNTIFS(Release_Calendar!$A$2:$A$755,"US_NFP",Release_Calendar!$B$2:$B$755,$A1637)&gt;0,1,0)</f>
        <v>0</v>
      </c>
      <c r="M1637" s="16" t="str">
        <f>IF($A1637&lt;Notes!$B$5,"",IF(COUNTIFS(Release_Calendar!$A$2:$A$755,"NZ_CPI",Release_Calendar!$B$2:$B$755,$A1637)&gt;0,1,0))</f>
        <v/>
      </c>
      <c r="N1637" s="16" t="str">
        <f>IF($A1637&lt;Notes!$B$5,"",IF(COUNTIFS(Release_Calendar!$A$2:$A$755,"NZ_GDP",Release_Calendar!$B$2:$B$755,$A1637)&gt;0,1,0))</f>
        <v/>
      </c>
      <c r="O1637" s="16" t="str">
        <f>IF($A1637&lt;Notes!$B$5,"",IF(COUNTIFS(Release_Calendar!$A$2:$A$755,"NZ_LABOUR",Release_Calendar!$B$2:$B$755,$A1637)&gt;0,1,0))</f>
        <v/>
      </c>
      <c r="P1637" s="16">
        <f t="shared" si="4"/>
        <v>0</v>
      </c>
    </row>
    <row r="1638" ht="15.75" customHeight="1">
      <c r="A1638" s="14">
        <v>38818.0</v>
      </c>
      <c r="B1638" s="15">
        <v>4.88</v>
      </c>
      <c r="C1638" s="15"/>
      <c r="D1638" s="15">
        <v>6.08</v>
      </c>
      <c r="E1638" s="15"/>
      <c r="F1638" s="15" t="str">
        <f t="shared" si="1"/>
        <v/>
      </c>
      <c r="G1638" s="15">
        <f t="shared" si="2"/>
        <v>6.08</v>
      </c>
      <c r="H1638" s="16">
        <v>1.0</v>
      </c>
      <c r="I1638" s="15">
        <f t="shared" si="3"/>
        <v>1.2</v>
      </c>
      <c r="J1638" s="15">
        <v>13.0</v>
      </c>
      <c r="K1638" s="16">
        <f>IF(COUNTIFS(Release_Calendar!$A$2:$A$755,"US_CPI",Release_Calendar!$B$2:$B$755,$A1638)&gt;0,1,0)</f>
        <v>0</v>
      </c>
      <c r="L1638" s="16">
        <f>IF(COUNTIFS(Release_Calendar!$A$2:$A$755,"US_NFP",Release_Calendar!$B$2:$B$755,$A1638)&gt;0,1,0)</f>
        <v>0</v>
      </c>
      <c r="M1638" s="16" t="str">
        <f>IF($A1638&lt;Notes!$B$5,"",IF(COUNTIFS(Release_Calendar!$A$2:$A$755,"NZ_CPI",Release_Calendar!$B$2:$B$755,$A1638)&gt;0,1,0))</f>
        <v/>
      </c>
      <c r="N1638" s="16" t="str">
        <f>IF($A1638&lt;Notes!$B$5,"",IF(COUNTIFS(Release_Calendar!$A$2:$A$755,"NZ_GDP",Release_Calendar!$B$2:$B$755,$A1638)&gt;0,1,0))</f>
        <v/>
      </c>
      <c r="O1638" s="16" t="str">
        <f>IF($A1638&lt;Notes!$B$5,"",IF(COUNTIFS(Release_Calendar!$A$2:$A$755,"NZ_LABOUR",Release_Calendar!$B$2:$B$755,$A1638)&gt;0,1,0))</f>
        <v/>
      </c>
      <c r="P1638" s="16">
        <f t="shared" si="4"/>
        <v>0</v>
      </c>
    </row>
    <row r="1639" ht="15.75" customHeight="1">
      <c r="A1639" s="14">
        <v>38819.0</v>
      </c>
      <c r="B1639" s="15">
        <v>4.91</v>
      </c>
      <c r="C1639" s="15"/>
      <c r="D1639" s="15">
        <v>6.06</v>
      </c>
      <c r="E1639" s="15"/>
      <c r="F1639" s="15" t="str">
        <f t="shared" si="1"/>
        <v/>
      </c>
      <c r="G1639" s="15">
        <f t="shared" si="2"/>
        <v>6.06</v>
      </c>
      <c r="H1639" s="16">
        <v>1.0</v>
      </c>
      <c r="I1639" s="15">
        <f t="shared" si="3"/>
        <v>1.15</v>
      </c>
      <c r="J1639" s="15">
        <v>12.76</v>
      </c>
      <c r="K1639" s="16">
        <f>IF(COUNTIFS(Release_Calendar!$A$2:$A$755,"US_CPI",Release_Calendar!$B$2:$B$755,$A1639)&gt;0,1,0)</f>
        <v>0</v>
      </c>
      <c r="L1639" s="16">
        <f>IF(COUNTIFS(Release_Calendar!$A$2:$A$755,"US_NFP",Release_Calendar!$B$2:$B$755,$A1639)&gt;0,1,0)</f>
        <v>0</v>
      </c>
      <c r="M1639" s="16" t="str">
        <f>IF($A1639&lt;Notes!$B$5,"",IF(COUNTIFS(Release_Calendar!$A$2:$A$755,"NZ_CPI",Release_Calendar!$B$2:$B$755,$A1639)&gt;0,1,0))</f>
        <v/>
      </c>
      <c r="N1639" s="16" t="str">
        <f>IF($A1639&lt;Notes!$B$5,"",IF(COUNTIFS(Release_Calendar!$A$2:$A$755,"NZ_GDP",Release_Calendar!$B$2:$B$755,$A1639)&gt;0,1,0))</f>
        <v/>
      </c>
      <c r="O1639" s="16" t="str">
        <f>IF($A1639&lt;Notes!$B$5,"",IF(COUNTIFS(Release_Calendar!$A$2:$A$755,"NZ_LABOUR",Release_Calendar!$B$2:$B$755,$A1639)&gt;0,1,0))</f>
        <v/>
      </c>
      <c r="P1639" s="16">
        <f t="shared" si="4"/>
        <v>0</v>
      </c>
    </row>
    <row r="1640" ht="15.75" customHeight="1">
      <c r="A1640" s="14">
        <v>38820.0</v>
      </c>
      <c r="B1640" s="15">
        <v>4.96</v>
      </c>
      <c r="C1640" s="15"/>
      <c r="D1640" s="15">
        <v>6.13</v>
      </c>
      <c r="E1640" s="15"/>
      <c r="F1640" s="15" t="str">
        <f t="shared" si="1"/>
        <v/>
      </c>
      <c r="G1640" s="15">
        <f t="shared" si="2"/>
        <v>6.13</v>
      </c>
      <c r="H1640" s="16">
        <v>1.0</v>
      </c>
      <c r="I1640" s="15">
        <f t="shared" si="3"/>
        <v>1.17</v>
      </c>
      <c r="J1640" s="15">
        <v>12.38</v>
      </c>
      <c r="K1640" s="16">
        <f>IF(COUNTIFS(Release_Calendar!$A$2:$A$755,"US_CPI",Release_Calendar!$B$2:$B$755,$A1640)&gt;0,1,0)</f>
        <v>0</v>
      </c>
      <c r="L1640" s="16">
        <f>IF(COUNTIFS(Release_Calendar!$A$2:$A$755,"US_NFP",Release_Calendar!$B$2:$B$755,$A1640)&gt;0,1,0)</f>
        <v>0</v>
      </c>
      <c r="M1640" s="16" t="str">
        <f>IF($A1640&lt;Notes!$B$5,"",IF(COUNTIFS(Release_Calendar!$A$2:$A$755,"NZ_CPI",Release_Calendar!$B$2:$B$755,$A1640)&gt;0,1,0))</f>
        <v/>
      </c>
      <c r="N1640" s="16" t="str">
        <f>IF($A1640&lt;Notes!$B$5,"",IF(COUNTIFS(Release_Calendar!$A$2:$A$755,"NZ_GDP",Release_Calendar!$B$2:$B$755,$A1640)&gt;0,1,0))</f>
        <v/>
      </c>
      <c r="O1640" s="16" t="str">
        <f>IF($A1640&lt;Notes!$B$5,"",IF(COUNTIFS(Release_Calendar!$A$2:$A$755,"NZ_LABOUR",Release_Calendar!$B$2:$B$755,$A1640)&gt;0,1,0))</f>
        <v/>
      </c>
      <c r="P1640" s="16">
        <f t="shared" si="4"/>
        <v>0</v>
      </c>
    </row>
    <row r="1641" ht="15.75" customHeight="1">
      <c r="A1641" s="14">
        <v>38821.0</v>
      </c>
      <c r="B1641" s="15"/>
      <c r="C1641" s="15"/>
      <c r="D1641" s="15"/>
      <c r="E1641" s="15"/>
      <c r="F1641" s="15" t="str">
        <f t="shared" si="1"/>
        <v/>
      </c>
      <c r="G1641" s="15" t="str">
        <f t="shared" si="2"/>
        <v/>
      </c>
      <c r="H1641" s="16">
        <v>1.0</v>
      </c>
      <c r="I1641" s="15" t="str">
        <f t="shared" si="3"/>
        <v/>
      </c>
      <c r="J1641" s="15"/>
      <c r="K1641" s="16">
        <f>IF(COUNTIFS(Release_Calendar!$A$2:$A$755,"US_CPI",Release_Calendar!$B$2:$B$755,$A1641)&gt;0,1,0)</f>
        <v>0</v>
      </c>
      <c r="L1641" s="16">
        <f>IF(COUNTIFS(Release_Calendar!$A$2:$A$755,"US_NFP",Release_Calendar!$B$2:$B$755,$A1641)&gt;0,1,0)</f>
        <v>0</v>
      </c>
      <c r="M1641" s="16" t="str">
        <f>IF($A1641&lt;Notes!$B$5,"",IF(COUNTIFS(Release_Calendar!$A$2:$A$755,"NZ_CPI",Release_Calendar!$B$2:$B$755,$A1641)&gt;0,1,0))</f>
        <v/>
      </c>
      <c r="N1641" s="16" t="str">
        <f>IF($A1641&lt;Notes!$B$5,"",IF(COUNTIFS(Release_Calendar!$A$2:$A$755,"NZ_GDP",Release_Calendar!$B$2:$B$755,$A1641)&gt;0,1,0))</f>
        <v/>
      </c>
      <c r="O1641" s="16" t="str">
        <f>IF($A1641&lt;Notes!$B$5,"",IF(COUNTIFS(Release_Calendar!$A$2:$A$755,"NZ_LABOUR",Release_Calendar!$B$2:$B$755,$A1641)&gt;0,1,0))</f>
        <v/>
      </c>
      <c r="P1641" s="16">
        <f t="shared" si="4"/>
        <v>0</v>
      </c>
    </row>
    <row r="1642" ht="15.75" customHeight="1">
      <c r="A1642" s="14">
        <v>38824.0</v>
      </c>
      <c r="B1642" s="15">
        <v>4.91</v>
      </c>
      <c r="C1642" s="15"/>
      <c r="D1642" s="15"/>
      <c r="E1642" s="15"/>
      <c r="F1642" s="15" t="str">
        <f t="shared" si="1"/>
        <v/>
      </c>
      <c r="G1642" s="15" t="str">
        <f t="shared" si="2"/>
        <v/>
      </c>
      <c r="H1642" s="16">
        <v>1.0</v>
      </c>
      <c r="I1642" s="15" t="str">
        <f t="shared" si="3"/>
        <v/>
      </c>
      <c r="J1642" s="15">
        <v>12.58</v>
      </c>
      <c r="K1642" s="16">
        <f>IF(COUNTIFS(Release_Calendar!$A$2:$A$755,"US_CPI",Release_Calendar!$B$2:$B$755,$A1642)&gt;0,1,0)</f>
        <v>0</v>
      </c>
      <c r="L1642" s="16">
        <f>IF(COUNTIFS(Release_Calendar!$A$2:$A$755,"US_NFP",Release_Calendar!$B$2:$B$755,$A1642)&gt;0,1,0)</f>
        <v>0</v>
      </c>
      <c r="M1642" s="16" t="str">
        <f>IF($A1642&lt;Notes!$B$5,"",IF(COUNTIFS(Release_Calendar!$A$2:$A$755,"NZ_CPI",Release_Calendar!$B$2:$B$755,$A1642)&gt;0,1,0))</f>
        <v/>
      </c>
      <c r="N1642" s="16" t="str">
        <f>IF($A1642&lt;Notes!$B$5,"",IF(COUNTIFS(Release_Calendar!$A$2:$A$755,"NZ_GDP",Release_Calendar!$B$2:$B$755,$A1642)&gt;0,1,0))</f>
        <v/>
      </c>
      <c r="O1642" s="16" t="str">
        <f>IF($A1642&lt;Notes!$B$5,"",IF(COUNTIFS(Release_Calendar!$A$2:$A$755,"NZ_LABOUR",Release_Calendar!$B$2:$B$755,$A1642)&gt;0,1,0))</f>
        <v/>
      </c>
      <c r="P1642" s="16">
        <f t="shared" si="4"/>
        <v>0</v>
      </c>
    </row>
    <row r="1643" ht="15.75" customHeight="1">
      <c r="A1643" s="14">
        <v>38825.0</v>
      </c>
      <c r="B1643" s="15">
        <v>4.84</v>
      </c>
      <c r="C1643" s="15"/>
      <c r="D1643" s="15">
        <v>6.14</v>
      </c>
      <c r="E1643" s="15"/>
      <c r="F1643" s="15" t="str">
        <f t="shared" si="1"/>
        <v/>
      </c>
      <c r="G1643" s="15">
        <f t="shared" si="2"/>
        <v>6.14</v>
      </c>
      <c r="H1643" s="16">
        <v>1.0</v>
      </c>
      <c r="I1643" s="15">
        <f t="shared" si="3"/>
        <v>1.3</v>
      </c>
      <c r="J1643" s="15">
        <v>11.4</v>
      </c>
      <c r="K1643" s="16">
        <f>IF(COUNTIFS(Release_Calendar!$A$2:$A$755,"US_CPI",Release_Calendar!$B$2:$B$755,$A1643)&gt;0,1,0)</f>
        <v>0</v>
      </c>
      <c r="L1643" s="16">
        <f>IF(COUNTIFS(Release_Calendar!$A$2:$A$755,"US_NFP",Release_Calendar!$B$2:$B$755,$A1643)&gt;0,1,0)</f>
        <v>0</v>
      </c>
      <c r="M1643" s="16" t="str">
        <f>IF($A1643&lt;Notes!$B$5,"",IF(COUNTIFS(Release_Calendar!$A$2:$A$755,"NZ_CPI",Release_Calendar!$B$2:$B$755,$A1643)&gt;0,1,0))</f>
        <v/>
      </c>
      <c r="N1643" s="16" t="str">
        <f>IF($A1643&lt;Notes!$B$5,"",IF(COUNTIFS(Release_Calendar!$A$2:$A$755,"NZ_GDP",Release_Calendar!$B$2:$B$755,$A1643)&gt;0,1,0))</f>
        <v/>
      </c>
      <c r="O1643" s="16" t="str">
        <f>IF($A1643&lt;Notes!$B$5,"",IF(COUNTIFS(Release_Calendar!$A$2:$A$755,"NZ_LABOUR",Release_Calendar!$B$2:$B$755,$A1643)&gt;0,1,0))</f>
        <v/>
      </c>
      <c r="P1643" s="16">
        <f t="shared" si="4"/>
        <v>0</v>
      </c>
    </row>
    <row r="1644" ht="15.75" customHeight="1">
      <c r="A1644" s="14">
        <v>38826.0</v>
      </c>
      <c r="B1644" s="15">
        <v>4.86</v>
      </c>
      <c r="C1644" s="15"/>
      <c r="D1644" s="15">
        <v>6.13</v>
      </c>
      <c r="E1644" s="15"/>
      <c r="F1644" s="15" t="str">
        <f t="shared" si="1"/>
        <v/>
      </c>
      <c r="G1644" s="15">
        <f t="shared" si="2"/>
        <v>6.13</v>
      </c>
      <c r="H1644" s="16">
        <v>1.0</v>
      </c>
      <c r="I1644" s="15">
        <f t="shared" si="3"/>
        <v>1.27</v>
      </c>
      <c r="J1644" s="15">
        <v>11.32</v>
      </c>
      <c r="K1644" s="16">
        <f>IF(COUNTIFS(Release_Calendar!$A$2:$A$755,"US_CPI",Release_Calendar!$B$2:$B$755,$A1644)&gt;0,1,0)</f>
        <v>1</v>
      </c>
      <c r="L1644" s="16">
        <f>IF(COUNTIFS(Release_Calendar!$A$2:$A$755,"US_NFP",Release_Calendar!$B$2:$B$755,$A1644)&gt;0,1,0)</f>
        <v>0</v>
      </c>
      <c r="M1644" s="16" t="str">
        <f>IF($A1644&lt;Notes!$B$5,"",IF(COUNTIFS(Release_Calendar!$A$2:$A$755,"NZ_CPI",Release_Calendar!$B$2:$B$755,$A1644)&gt;0,1,0))</f>
        <v/>
      </c>
      <c r="N1644" s="16" t="str">
        <f>IF($A1644&lt;Notes!$B$5,"",IF(COUNTIFS(Release_Calendar!$A$2:$A$755,"NZ_GDP",Release_Calendar!$B$2:$B$755,$A1644)&gt;0,1,0))</f>
        <v/>
      </c>
      <c r="O1644" s="16" t="str">
        <f>IF($A1644&lt;Notes!$B$5,"",IF(COUNTIFS(Release_Calendar!$A$2:$A$755,"NZ_LABOUR",Release_Calendar!$B$2:$B$755,$A1644)&gt;0,1,0))</f>
        <v/>
      </c>
      <c r="P1644" s="16">
        <f t="shared" si="4"/>
        <v>1</v>
      </c>
    </row>
    <row r="1645" ht="15.75" customHeight="1">
      <c r="A1645" s="14">
        <v>38827.0</v>
      </c>
      <c r="B1645" s="15">
        <v>4.89</v>
      </c>
      <c r="C1645" s="15"/>
      <c r="D1645" s="15">
        <v>6.14</v>
      </c>
      <c r="E1645" s="15"/>
      <c r="F1645" s="15" t="str">
        <f t="shared" si="1"/>
        <v/>
      </c>
      <c r="G1645" s="15">
        <f t="shared" si="2"/>
        <v>6.14</v>
      </c>
      <c r="H1645" s="16">
        <v>1.0</v>
      </c>
      <c r="I1645" s="15">
        <f t="shared" si="3"/>
        <v>1.25</v>
      </c>
      <c r="J1645" s="15">
        <v>11.64</v>
      </c>
      <c r="K1645" s="16">
        <f>IF(COUNTIFS(Release_Calendar!$A$2:$A$755,"US_CPI",Release_Calendar!$B$2:$B$755,$A1645)&gt;0,1,0)</f>
        <v>0</v>
      </c>
      <c r="L1645" s="16">
        <f>IF(COUNTIFS(Release_Calendar!$A$2:$A$755,"US_NFP",Release_Calendar!$B$2:$B$755,$A1645)&gt;0,1,0)</f>
        <v>0</v>
      </c>
      <c r="M1645" s="16" t="str">
        <f>IF($A1645&lt;Notes!$B$5,"",IF(COUNTIFS(Release_Calendar!$A$2:$A$755,"NZ_CPI",Release_Calendar!$B$2:$B$755,$A1645)&gt;0,1,0))</f>
        <v/>
      </c>
      <c r="N1645" s="16" t="str">
        <f>IF($A1645&lt;Notes!$B$5,"",IF(COUNTIFS(Release_Calendar!$A$2:$A$755,"NZ_GDP",Release_Calendar!$B$2:$B$755,$A1645)&gt;0,1,0))</f>
        <v/>
      </c>
      <c r="O1645" s="16" t="str">
        <f>IF($A1645&lt;Notes!$B$5,"",IF(COUNTIFS(Release_Calendar!$A$2:$A$755,"NZ_LABOUR",Release_Calendar!$B$2:$B$755,$A1645)&gt;0,1,0))</f>
        <v/>
      </c>
      <c r="P1645" s="16">
        <f t="shared" si="4"/>
        <v>0</v>
      </c>
    </row>
    <row r="1646" ht="15.75" customHeight="1">
      <c r="A1646" s="14">
        <v>38828.0</v>
      </c>
      <c r="B1646" s="15">
        <v>4.9</v>
      </c>
      <c r="C1646" s="15"/>
      <c r="D1646" s="15">
        <v>6.13</v>
      </c>
      <c r="E1646" s="15"/>
      <c r="F1646" s="15" t="str">
        <f t="shared" si="1"/>
        <v/>
      </c>
      <c r="G1646" s="15">
        <f t="shared" si="2"/>
        <v>6.13</v>
      </c>
      <c r="H1646" s="16">
        <v>1.0</v>
      </c>
      <c r="I1646" s="15">
        <f t="shared" si="3"/>
        <v>1.23</v>
      </c>
      <c r="J1646" s="15">
        <v>11.59</v>
      </c>
      <c r="K1646" s="16">
        <f>IF(COUNTIFS(Release_Calendar!$A$2:$A$755,"US_CPI",Release_Calendar!$B$2:$B$755,$A1646)&gt;0,1,0)</f>
        <v>0</v>
      </c>
      <c r="L1646" s="16">
        <f>IF(COUNTIFS(Release_Calendar!$A$2:$A$755,"US_NFP",Release_Calendar!$B$2:$B$755,$A1646)&gt;0,1,0)</f>
        <v>0</v>
      </c>
      <c r="M1646" s="16" t="str">
        <f>IF($A1646&lt;Notes!$B$5,"",IF(COUNTIFS(Release_Calendar!$A$2:$A$755,"NZ_CPI",Release_Calendar!$B$2:$B$755,$A1646)&gt;0,1,0))</f>
        <v/>
      </c>
      <c r="N1646" s="16" t="str">
        <f>IF($A1646&lt;Notes!$B$5,"",IF(COUNTIFS(Release_Calendar!$A$2:$A$755,"NZ_GDP",Release_Calendar!$B$2:$B$755,$A1646)&gt;0,1,0))</f>
        <v/>
      </c>
      <c r="O1646" s="16" t="str">
        <f>IF($A1646&lt;Notes!$B$5,"",IF(COUNTIFS(Release_Calendar!$A$2:$A$755,"NZ_LABOUR",Release_Calendar!$B$2:$B$755,$A1646)&gt;0,1,0))</f>
        <v/>
      </c>
      <c r="P1646" s="16">
        <f t="shared" si="4"/>
        <v>0</v>
      </c>
    </row>
    <row r="1647" ht="15.75" customHeight="1">
      <c r="A1647" s="14">
        <v>38831.0</v>
      </c>
      <c r="B1647" s="15">
        <v>4.89</v>
      </c>
      <c r="C1647" s="15"/>
      <c r="D1647" s="15">
        <v>6.09</v>
      </c>
      <c r="E1647" s="15"/>
      <c r="F1647" s="15" t="str">
        <f t="shared" si="1"/>
        <v/>
      </c>
      <c r="G1647" s="15">
        <f t="shared" si="2"/>
        <v>6.09</v>
      </c>
      <c r="H1647" s="16">
        <v>1.0</v>
      </c>
      <c r="I1647" s="15">
        <f t="shared" si="3"/>
        <v>1.2</v>
      </c>
      <c r="J1647" s="15">
        <v>11.75</v>
      </c>
      <c r="K1647" s="16">
        <f>IF(COUNTIFS(Release_Calendar!$A$2:$A$755,"US_CPI",Release_Calendar!$B$2:$B$755,$A1647)&gt;0,1,0)</f>
        <v>0</v>
      </c>
      <c r="L1647" s="16">
        <f>IF(COUNTIFS(Release_Calendar!$A$2:$A$755,"US_NFP",Release_Calendar!$B$2:$B$755,$A1647)&gt;0,1,0)</f>
        <v>0</v>
      </c>
      <c r="M1647" s="16" t="str">
        <f>IF($A1647&lt;Notes!$B$5,"",IF(COUNTIFS(Release_Calendar!$A$2:$A$755,"NZ_CPI",Release_Calendar!$B$2:$B$755,$A1647)&gt;0,1,0))</f>
        <v/>
      </c>
      <c r="N1647" s="16" t="str">
        <f>IF($A1647&lt;Notes!$B$5,"",IF(COUNTIFS(Release_Calendar!$A$2:$A$755,"NZ_GDP",Release_Calendar!$B$2:$B$755,$A1647)&gt;0,1,0))</f>
        <v/>
      </c>
      <c r="O1647" s="16" t="str">
        <f>IF($A1647&lt;Notes!$B$5,"",IF(COUNTIFS(Release_Calendar!$A$2:$A$755,"NZ_LABOUR",Release_Calendar!$B$2:$B$755,$A1647)&gt;0,1,0))</f>
        <v/>
      </c>
      <c r="P1647" s="16">
        <f t="shared" si="4"/>
        <v>0</v>
      </c>
    </row>
    <row r="1648" ht="15.75" customHeight="1">
      <c r="A1648" s="14">
        <v>38832.0</v>
      </c>
      <c r="B1648" s="15">
        <v>4.95</v>
      </c>
      <c r="C1648" s="15"/>
      <c r="D1648" s="15"/>
      <c r="E1648" s="15"/>
      <c r="F1648" s="15" t="str">
        <f t="shared" si="1"/>
        <v/>
      </c>
      <c r="G1648" s="15" t="str">
        <f t="shared" si="2"/>
        <v/>
      </c>
      <c r="H1648" s="16">
        <v>1.0</v>
      </c>
      <c r="I1648" s="15" t="str">
        <f t="shared" si="3"/>
        <v/>
      </c>
      <c r="J1648" s="15">
        <v>11.75</v>
      </c>
      <c r="K1648" s="16">
        <f>IF(COUNTIFS(Release_Calendar!$A$2:$A$755,"US_CPI",Release_Calendar!$B$2:$B$755,$A1648)&gt;0,1,0)</f>
        <v>0</v>
      </c>
      <c r="L1648" s="16">
        <f>IF(COUNTIFS(Release_Calendar!$A$2:$A$755,"US_NFP",Release_Calendar!$B$2:$B$755,$A1648)&gt;0,1,0)</f>
        <v>0</v>
      </c>
      <c r="M1648" s="16" t="str">
        <f>IF($A1648&lt;Notes!$B$5,"",IF(COUNTIFS(Release_Calendar!$A$2:$A$755,"NZ_CPI",Release_Calendar!$B$2:$B$755,$A1648)&gt;0,1,0))</f>
        <v/>
      </c>
      <c r="N1648" s="16" t="str">
        <f>IF($A1648&lt;Notes!$B$5,"",IF(COUNTIFS(Release_Calendar!$A$2:$A$755,"NZ_GDP",Release_Calendar!$B$2:$B$755,$A1648)&gt;0,1,0))</f>
        <v/>
      </c>
      <c r="O1648" s="16" t="str">
        <f>IF($A1648&lt;Notes!$B$5,"",IF(COUNTIFS(Release_Calendar!$A$2:$A$755,"NZ_LABOUR",Release_Calendar!$B$2:$B$755,$A1648)&gt;0,1,0))</f>
        <v/>
      </c>
      <c r="P1648" s="16">
        <f t="shared" si="4"/>
        <v>0</v>
      </c>
    </row>
    <row r="1649" ht="15.75" customHeight="1">
      <c r="A1649" s="14">
        <v>38833.0</v>
      </c>
      <c r="B1649" s="15">
        <v>4.99</v>
      </c>
      <c r="C1649" s="15"/>
      <c r="D1649" s="15">
        <v>6.09</v>
      </c>
      <c r="E1649" s="15"/>
      <c r="F1649" s="15" t="str">
        <f t="shared" si="1"/>
        <v/>
      </c>
      <c r="G1649" s="15">
        <f t="shared" si="2"/>
        <v>6.09</v>
      </c>
      <c r="H1649" s="16">
        <v>1.0</v>
      </c>
      <c r="I1649" s="15">
        <f t="shared" si="3"/>
        <v>1.1</v>
      </c>
      <c r="J1649" s="15">
        <v>11.76</v>
      </c>
      <c r="K1649" s="16">
        <f>IF(COUNTIFS(Release_Calendar!$A$2:$A$755,"US_CPI",Release_Calendar!$B$2:$B$755,$A1649)&gt;0,1,0)</f>
        <v>0</v>
      </c>
      <c r="L1649" s="16">
        <f>IF(COUNTIFS(Release_Calendar!$A$2:$A$755,"US_NFP",Release_Calendar!$B$2:$B$755,$A1649)&gt;0,1,0)</f>
        <v>0</v>
      </c>
      <c r="M1649" s="16" t="str">
        <f>IF($A1649&lt;Notes!$B$5,"",IF(COUNTIFS(Release_Calendar!$A$2:$A$755,"NZ_CPI",Release_Calendar!$B$2:$B$755,$A1649)&gt;0,1,0))</f>
        <v/>
      </c>
      <c r="N1649" s="16" t="str">
        <f>IF($A1649&lt;Notes!$B$5,"",IF(COUNTIFS(Release_Calendar!$A$2:$A$755,"NZ_GDP",Release_Calendar!$B$2:$B$755,$A1649)&gt;0,1,0))</f>
        <v/>
      </c>
      <c r="O1649" s="16" t="str">
        <f>IF($A1649&lt;Notes!$B$5,"",IF(COUNTIFS(Release_Calendar!$A$2:$A$755,"NZ_LABOUR",Release_Calendar!$B$2:$B$755,$A1649)&gt;0,1,0))</f>
        <v/>
      </c>
      <c r="P1649" s="16">
        <f t="shared" si="4"/>
        <v>0</v>
      </c>
    </row>
    <row r="1650" ht="15.75" customHeight="1">
      <c r="A1650" s="14">
        <v>38834.0</v>
      </c>
      <c r="B1650" s="15">
        <v>4.91</v>
      </c>
      <c r="C1650" s="15"/>
      <c r="D1650" s="15">
        <v>6.23</v>
      </c>
      <c r="E1650" s="15"/>
      <c r="F1650" s="15" t="str">
        <f t="shared" si="1"/>
        <v/>
      </c>
      <c r="G1650" s="15">
        <f t="shared" si="2"/>
        <v>6.23</v>
      </c>
      <c r="H1650" s="16">
        <v>1.0</v>
      </c>
      <c r="I1650" s="15">
        <f t="shared" si="3"/>
        <v>1.32</v>
      </c>
      <c r="J1650" s="15">
        <v>11.84</v>
      </c>
      <c r="K1650" s="16">
        <f>IF(COUNTIFS(Release_Calendar!$A$2:$A$755,"US_CPI",Release_Calendar!$B$2:$B$755,$A1650)&gt;0,1,0)</f>
        <v>0</v>
      </c>
      <c r="L1650" s="16">
        <f>IF(COUNTIFS(Release_Calendar!$A$2:$A$755,"US_NFP",Release_Calendar!$B$2:$B$755,$A1650)&gt;0,1,0)</f>
        <v>0</v>
      </c>
      <c r="M1650" s="16" t="str">
        <f>IF($A1650&lt;Notes!$B$5,"",IF(COUNTIFS(Release_Calendar!$A$2:$A$755,"NZ_CPI",Release_Calendar!$B$2:$B$755,$A1650)&gt;0,1,0))</f>
        <v/>
      </c>
      <c r="N1650" s="16" t="str">
        <f>IF($A1650&lt;Notes!$B$5,"",IF(COUNTIFS(Release_Calendar!$A$2:$A$755,"NZ_GDP",Release_Calendar!$B$2:$B$755,$A1650)&gt;0,1,0))</f>
        <v/>
      </c>
      <c r="O1650" s="16" t="str">
        <f>IF($A1650&lt;Notes!$B$5,"",IF(COUNTIFS(Release_Calendar!$A$2:$A$755,"NZ_LABOUR",Release_Calendar!$B$2:$B$755,$A1650)&gt;0,1,0))</f>
        <v/>
      </c>
      <c r="P1650" s="16">
        <f t="shared" si="4"/>
        <v>0</v>
      </c>
    </row>
    <row r="1651" ht="15.75" customHeight="1">
      <c r="A1651" s="14">
        <v>38835.0</v>
      </c>
      <c r="B1651" s="15">
        <v>4.87</v>
      </c>
      <c r="C1651" s="15"/>
      <c r="D1651" s="15">
        <v>6.19</v>
      </c>
      <c r="E1651" s="15"/>
      <c r="F1651" s="15" t="str">
        <f t="shared" si="1"/>
        <v/>
      </c>
      <c r="G1651" s="15">
        <f t="shared" si="2"/>
        <v>6.19</v>
      </c>
      <c r="H1651" s="16">
        <v>1.0</v>
      </c>
      <c r="I1651" s="15">
        <f t="shared" si="3"/>
        <v>1.32</v>
      </c>
      <c r="J1651" s="15">
        <v>11.59</v>
      </c>
      <c r="K1651" s="16">
        <f>IF(COUNTIFS(Release_Calendar!$A$2:$A$755,"US_CPI",Release_Calendar!$B$2:$B$755,$A1651)&gt;0,1,0)</f>
        <v>0</v>
      </c>
      <c r="L1651" s="16">
        <f>IF(COUNTIFS(Release_Calendar!$A$2:$A$755,"US_NFP",Release_Calendar!$B$2:$B$755,$A1651)&gt;0,1,0)</f>
        <v>0</v>
      </c>
      <c r="M1651" s="16" t="str">
        <f>IF($A1651&lt;Notes!$B$5,"",IF(COUNTIFS(Release_Calendar!$A$2:$A$755,"NZ_CPI",Release_Calendar!$B$2:$B$755,$A1651)&gt;0,1,0))</f>
        <v/>
      </c>
      <c r="N1651" s="16" t="str">
        <f>IF($A1651&lt;Notes!$B$5,"",IF(COUNTIFS(Release_Calendar!$A$2:$A$755,"NZ_GDP",Release_Calendar!$B$2:$B$755,$A1651)&gt;0,1,0))</f>
        <v/>
      </c>
      <c r="O1651" s="16" t="str">
        <f>IF($A1651&lt;Notes!$B$5,"",IF(COUNTIFS(Release_Calendar!$A$2:$A$755,"NZ_LABOUR",Release_Calendar!$B$2:$B$755,$A1651)&gt;0,1,0))</f>
        <v/>
      </c>
      <c r="P1651" s="16">
        <f t="shared" si="4"/>
        <v>0</v>
      </c>
    </row>
    <row r="1652" ht="15.75" customHeight="1">
      <c r="A1652" s="14">
        <v>38838.0</v>
      </c>
      <c r="B1652" s="15">
        <v>4.94</v>
      </c>
      <c r="C1652" s="15"/>
      <c r="D1652" s="15">
        <v>6.16</v>
      </c>
      <c r="E1652" s="15"/>
      <c r="F1652" s="15" t="str">
        <f t="shared" si="1"/>
        <v/>
      </c>
      <c r="G1652" s="15">
        <f t="shared" si="2"/>
        <v>6.16</v>
      </c>
      <c r="H1652" s="16">
        <v>1.0</v>
      </c>
      <c r="I1652" s="15">
        <f t="shared" si="3"/>
        <v>1.22</v>
      </c>
      <c r="J1652" s="15">
        <v>12.54</v>
      </c>
      <c r="K1652" s="16">
        <f>IF(COUNTIFS(Release_Calendar!$A$2:$A$755,"US_CPI",Release_Calendar!$B$2:$B$755,$A1652)&gt;0,1,0)</f>
        <v>0</v>
      </c>
      <c r="L1652" s="16">
        <f>IF(COUNTIFS(Release_Calendar!$A$2:$A$755,"US_NFP",Release_Calendar!$B$2:$B$755,$A1652)&gt;0,1,0)</f>
        <v>0</v>
      </c>
      <c r="M1652" s="16" t="str">
        <f>IF($A1652&lt;Notes!$B$5,"",IF(COUNTIFS(Release_Calendar!$A$2:$A$755,"NZ_CPI",Release_Calendar!$B$2:$B$755,$A1652)&gt;0,1,0))</f>
        <v/>
      </c>
      <c r="N1652" s="16" t="str">
        <f>IF($A1652&lt;Notes!$B$5,"",IF(COUNTIFS(Release_Calendar!$A$2:$A$755,"NZ_GDP",Release_Calendar!$B$2:$B$755,$A1652)&gt;0,1,0))</f>
        <v/>
      </c>
      <c r="O1652" s="16" t="str">
        <f>IF($A1652&lt;Notes!$B$5,"",IF(COUNTIFS(Release_Calendar!$A$2:$A$755,"NZ_LABOUR",Release_Calendar!$B$2:$B$755,$A1652)&gt;0,1,0))</f>
        <v/>
      </c>
      <c r="P1652" s="16">
        <f t="shared" si="4"/>
        <v>0</v>
      </c>
    </row>
    <row r="1653" ht="15.75" customHeight="1">
      <c r="A1653" s="14">
        <v>38839.0</v>
      </c>
      <c r="B1653" s="15">
        <v>4.92</v>
      </c>
      <c r="C1653" s="15"/>
      <c r="D1653" s="15">
        <v>6.19</v>
      </c>
      <c r="E1653" s="15"/>
      <c r="F1653" s="15" t="str">
        <f t="shared" si="1"/>
        <v/>
      </c>
      <c r="G1653" s="15">
        <f t="shared" si="2"/>
        <v>6.19</v>
      </c>
      <c r="H1653" s="16">
        <v>1.0</v>
      </c>
      <c r="I1653" s="15">
        <f t="shared" si="3"/>
        <v>1.27</v>
      </c>
      <c r="J1653" s="15">
        <v>11.99</v>
      </c>
      <c r="K1653" s="16">
        <f>IF(COUNTIFS(Release_Calendar!$A$2:$A$755,"US_CPI",Release_Calendar!$B$2:$B$755,$A1653)&gt;0,1,0)</f>
        <v>0</v>
      </c>
      <c r="L1653" s="16">
        <f>IF(COUNTIFS(Release_Calendar!$A$2:$A$755,"US_NFP",Release_Calendar!$B$2:$B$755,$A1653)&gt;0,1,0)</f>
        <v>0</v>
      </c>
      <c r="M1653" s="16" t="str">
        <f>IF($A1653&lt;Notes!$B$5,"",IF(COUNTIFS(Release_Calendar!$A$2:$A$755,"NZ_CPI",Release_Calendar!$B$2:$B$755,$A1653)&gt;0,1,0))</f>
        <v/>
      </c>
      <c r="N1653" s="16" t="str">
        <f>IF($A1653&lt;Notes!$B$5,"",IF(COUNTIFS(Release_Calendar!$A$2:$A$755,"NZ_GDP",Release_Calendar!$B$2:$B$755,$A1653)&gt;0,1,0))</f>
        <v/>
      </c>
      <c r="O1653" s="16" t="str">
        <f>IF($A1653&lt;Notes!$B$5,"",IF(COUNTIFS(Release_Calendar!$A$2:$A$755,"NZ_LABOUR",Release_Calendar!$B$2:$B$755,$A1653)&gt;0,1,0))</f>
        <v/>
      </c>
      <c r="P1653" s="16">
        <f t="shared" si="4"/>
        <v>0</v>
      </c>
    </row>
    <row r="1654" ht="15.75" customHeight="1">
      <c r="A1654" s="14">
        <v>38840.0</v>
      </c>
      <c r="B1654" s="15">
        <v>4.94</v>
      </c>
      <c r="C1654" s="15"/>
      <c r="D1654" s="15">
        <v>6.19</v>
      </c>
      <c r="E1654" s="15"/>
      <c r="F1654" s="15" t="str">
        <f t="shared" si="1"/>
        <v/>
      </c>
      <c r="G1654" s="15">
        <f t="shared" si="2"/>
        <v>6.19</v>
      </c>
      <c r="H1654" s="16">
        <v>1.0</v>
      </c>
      <c r="I1654" s="15">
        <f t="shared" si="3"/>
        <v>1.25</v>
      </c>
      <c r="J1654" s="15">
        <v>11.99</v>
      </c>
      <c r="K1654" s="16">
        <f>IF(COUNTIFS(Release_Calendar!$A$2:$A$755,"US_CPI",Release_Calendar!$B$2:$B$755,$A1654)&gt;0,1,0)</f>
        <v>0</v>
      </c>
      <c r="L1654" s="16">
        <f>IF(COUNTIFS(Release_Calendar!$A$2:$A$755,"US_NFP",Release_Calendar!$B$2:$B$755,$A1654)&gt;0,1,0)</f>
        <v>0</v>
      </c>
      <c r="M1654" s="16" t="str">
        <f>IF($A1654&lt;Notes!$B$5,"",IF(COUNTIFS(Release_Calendar!$A$2:$A$755,"NZ_CPI",Release_Calendar!$B$2:$B$755,$A1654)&gt;0,1,0))</f>
        <v/>
      </c>
      <c r="N1654" s="16" t="str">
        <f>IF($A1654&lt;Notes!$B$5,"",IF(COUNTIFS(Release_Calendar!$A$2:$A$755,"NZ_GDP",Release_Calendar!$B$2:$B$755,$A1654)&gt;0,1,0))</f>
        <v/>
      </c>
      <c r="O1654" s="16" t="str">
        <f>IF($A1654&lt;Notes!$B$5,"",IF(COUNTIFS(Release_Calendar!$A$2:$A$755,"NZ_LABOUR",Release_Calendar!$B$2:$B$755,$A1654)&gt;0,1,0))</f>
        <v/>
      </c>
      <c r="P1654" s="16">
        <f t="shared" si="4"/>
        <v>0</v>
      </c>
    </row>
    <row r="1655" ht="15.75" customHeight="1">
      <c r="A1655" s="14">
        <v>38841.0</v>
      </c>
      <c r="B1655" s="15">
        <v>4.97</v>
      </c>
      <c r="C1655" s="15"/>
      <c r="D1655" s="15">
        <v>6.24</v>
      </c>
      <c r="E1655" s="15"/>
      <c r="F1655" s="15" t="str">
        <f t="shared" si="1"/>
        <v/>
      </c>
      <c r="G1655" s="15">
        <f t="shared" si="2"/>
        <v>6.24</v>
      </c>
      <c r="H1655" s="16">
        <v>1.0</v>
      </c>
      <c r="I1655" s="15">
        <f t="shared" si="3"/>
        <v>1.27</v>
      </c>
      <c r="J1655" s="15">
        <v>11.86</v>
      </c>
      <c r="K1655" s="16">
        <f>IF(COUNTIFS(Release_Calendar!$A$2:$A$755,"US_CPI",Release_Calendar!$B$2:$B$755,$A1655)&gt;0,1,0)</f>
        <v>0</v>
      </c>
      <c r="L1655" s="16">
        <f>IF(COUNTIFS(Release_Calendar!$A$2:$A$755,"US_NFP",Release_Calendar!$B$2:$B$755,$A1655)&gt;0,1,0)</f>
        <v>0</v>
      </c>
      <c r="M1655" s="16" t="str">
        <f>IF($A1655&lt;Notes!$B$5,"",IF(COUNTIFS(Release_Calendar!$A$2:$A$755,"NZ_CPI",Release_Calendar!$B$2:$B$755,$A1655)&gt;0,1,0))</f>
        <v/>
      </c>
      <c r="N1655" s="16" t="str">
        <f>IF($A1655&lt;Notes!$B$5,"",IF(COUNTIFS(Release_Calendar!$A$2:$A$755,"NZ_GDP",Release_Calendar!$B$2:$B$755,$A1655)&gt;0,1,0))</f>
        <v/>
      </c>
      <c r="O1655" s="16" t="str">
        <f>IF($A1655&lt;Notes!$B$5,"",IF(COUNTIFS(Release_Calendar!$A$2:$A$755,"NZ_LABOUR",Release_Calendar!$B$2:$B$755,$A1655)&gt;0,1,0))</f>
        <v/>
      </c>
      <c r="P1655" s="16">
        <f t="shared" si="4"/>
        <v>0</v>
      </c>
    </row>
    <row r="1656" ht="15.75" customHeight="1">
      <c r="A1656" s="14">
        <v>38842.0</v>
      </c>
      <c r="B1656" s="15">
        <v>4.94</v>
      </c>
      <c r="C1656" s="15"/>
      <c r="D1656" s="15">
        <v>6.25</v>
      </c>
      <c r="E1656" s="15"/>
      <c r="F1656" s="15" t="str">
        <f t="shared" si="1"/>
        <v/>
      </c>
      <c r="G1656" s="15">
        <f t="shared" si="2"/>
        <v>6.25</v>
      </c>
      <c r="H1656" s="16">
        <v>1.0</v>
      </c>
      <c r="I1656" s="15">
        <f t="shared" si="3"/>
        <v>1.31</v>
      </c>
      <c r="J1656" s="15">
        <v>11.62</v>
      </c>
      <c r="K1656" s="16">
        <f>IF(COUNTIFS(Release_Calendar!$A$2:$A$755,"US_CPI",Release_Calendar!$B$2:$B$755,$A1656)&gt;0,1,0)</f>
        <v>0</v>
      </c>
      <c r="L1656" s="16">
        <f>IF(COUNTIFS(Release_Calendar!$A$2:$A$755,"US_NFP",Release_Calendar!$B$2:$B$755,$A1656)&gt;0,1,0)</f>
        <v>1</v>
      </c>
      <c r="M1656" s="16" t="str">
        <f>IF($A1656&lt;Notes!$B$5,"",IF(COUNTIFS(Release_Calendar!$A$2:$A$755,"NZ_CPI",Release_Calendar!$B$2:$B$755,$A1656)&gt;0,1,0))</f>
        <v/>
      </c>
      <c r="N1656" s="16" t="str">
        <f>IF($A1656&lt;Notes!$B$5,"",IF(COUNTIFS(Release_Calendar!$A$2:$A$755,"NZ_GDP",Release_Calendar!$B$2:$B$755,$A1656)&gt;0,1,0))</f>
        <v/>
      </c>
      <c r="O1656" s="16" t="str">
        <f>IF($A1656&lt;Notes!$B$5,"",IF(COUNTIFS(Release_Calendar!$A$2:$A$755,"NZ_LABOUR",Release_Calendar!$B$2:$B$755,$A1656)&gt;0,1,0))</f>
        <v/>
      </c>
      <c r="P1656" s="16">
        <f t="shared" si="4"/>
        <v>1</v>
      </c>
    </row>
    <row r="1657" ht="15.75" customHeight="1">
      <c r="A1657" s="14">
        <v>38845.0</v>
      </c>
      <c r="B1657" s="15">
        <v>4.97</v>
      </c>
      <c r="C1657" s="15"/>
      <c r="D1657" s="15">
        <v>6.23</v>
      </c>
      <c r="E1657" s="15"/>
      <c r="F1657" s="15" t="str">
        <f t="shared" si="1"/>
        <v/>
      </c>
      <c r="G1657" s="15">
        <f t="shared" si="2"/>
        <v>6.23</v>
      </c>
      <c r="H1657" s="16">
        <v>1.0</v>
      </c>
      <c r="I1657" s="15">
        <f t="shared" si="3"/>
        <v>1.26</v>
      </c>
      <c r="J1657" s="15">
        <v>12.0</v>
      </c>
      <c r="K1657" s="16">
        <f>IF(COUNTIFS(Release_Calendar!$A$2:$A$755,"US_CPI",Release_Calendar!$B$2:$B$755,$A1657)&gt;0,1,0)</f>
        <v>0</v>
      </c>
      <c r="L1657" s="16">
        <f>IF(COUNTIFS(Release_Calendar!$A$2:$A$755,"US_NFP",Release_Calendar!$B$2:$B$755,$A1657)&gt;0,1,0)</f>
        <v>0</v>
      </c>
      <c r="M1657" s="16" t="str">
        <f>IF($A1657&lt;Notes!$B$5,"",IF(COUNTIFS(Release_Calendar!$A$2:$A$755,"NZ_CPI",Release_Calendar!$B$2:$B$755,$A1657)&gt;0,1,0))</f>
        <v/>
      </c>
      <c r="N1657" s="16" t="str">
        <f>IF($A1657&lt;Notes!$B$5,"",IF(COUNTIFS(Release_Calendar!$A$2:$A$755,"NZ_GDP",Release_Calendar!$B$2:$B$755,$A1657)&gt;0,1,0))</f>
        <v/>
      </c>
      <c r="O1657" s="16" t="str">
        <f>IF($A1657&lt;Notes!$B$5,"",IF(COUNTIFS(Release_Calendar!$A$2:$A$755,"NZ_LABOUR",Release_Calendar!$B$2:$B$755,$A1657)&gt;0,1,0))</f>
        <v/>
      </c>
      <c r="P1657" s="16">
        <f t="shared" si="4"/>
        <v>0</v>
      </c>
    </row>
    <row r="1658" ht="15.75" customHeight="1">
      <c r="A1658" s="14">
        <v>38846.0</v>
      </c>
      <c r="B1658" s="15">
        <v>4.97</v>
      </c>
      <c r="C1658" s="15"/>
      <c r="D1658" s="15">
        <v>6.23</v>
      </c>
      <c r="E1658" s="15"/>
      <c r="F1658" s="15" t="str">
        <f t="shared" si="1"/>
        <v/>
      </c>
      <c r="G1658" s="15">
        <f t="shared" si="2"/>
        <v>6.23</v>
      </c>
      <c r="H1658" s="16">
        <v>1.0</v>
      </c>
      <c r="I1658" s="15">
        <f t="shared" si="3"/>
        <v>1.26</v>
      </c>
      <c r="J1658" s="15">
        <v>11.99</v>
      </c>
      <c r="K1658" s="16">
        <f>IF(COUNTIFS(Release_Calendar!$A$2:$A$755,"US_CPI",Release_Calendar!$B$2:$B$755,$A1658)&gt;0,1,0)</f>
        <v>0</v>
      </c>
      <c r="L1658" s="16">
        <f>IF(COUNTIFS(Release_Calendar!$A$2:$A$755,"US_NFP",Release_Calendar!$B$2:$B$755,$A1658)&gt;0,1,0)</f>
        <v>0</v>
      </c>
      <c r="M1658" s="16" t="str">
        <f>IF($A1658&lt;Notes!$B$5,"",IF(COUNTIFS(Release_Calendar!$A$2:$A$755,"NZ_CPI",Release_Calendar!$B$2:$B$755,$A1658)&gt;0,1,0))</f>
        <v/>
      </c>
      <c r="N1658" s="16" t="str">
        <f>IF($A1658&lt;Notes!$B$5,"",IF(COUNTIFS(Release_Calendar!$A$2:$A$755,"NZ_GDP",Release_Calendar!$B$2:$B$755,$A1658)&gt;0,1,0))</f>
        <v/>
      </c>
      <c r="O1658" s="16" t="str">
        <f>IF($A1658&lt;Notes!$B$5,"",IF(COUNTIFS(Release_Calendar!$A$2:$A$755,"NZ_LABOUR",Release_Calendar!$B$2:$B$755,$A1658)&gt;0,1,0))</f>
        <v/>
      </c>
      <c r="P1658" s="16">
        <f t="shared" si="4"/>
        <v>0</v>
      </c>
    </row>
    <row r="1659" ht="15.75" customHeight="1">
      <c r="A1659" s="14">
        <v>38847.0</v>
      </c>
      <c r="B1659" s="15">
        <v>5.01</v>
      </c>
      <c r="C1659" s="15"/>
      <c r="D1659" s="15">
        <v>6.3</v>
      </c>
      <c r="E1659" s="15"/>
      <c r="F1659" s="15" t="str">
        <f t="shared" si="1"/>
        <v/>
      </c>
      <c r="G1659" s="15">
        <f t="shared" si="2"/>
        <v>6.3</v>
      </c>
      <c r="H1659" s="16">
        <v>1.0</v>
      </c>
      <c r="I1659" s="15">
        <f t="shared" si="3"/>
        <v>1.29</v>
      </c>
      <c r="J1659" s="15">
        <v>11.78</v>
      </c>
      <c r="K1659" s="16">
        <f>IF(COUNTIFS(Release_Calendar!$A$2:$A$755,"US_CPI",Release_Calendar!$B$2:$B$755,$A1659)&gt;0,1,0)</f>
        <v>0</v>
      </c>
      <c r="L1659" s="16">
        <f>IF(COUNTIFS(Release_Calendar!$A$2:$A$755,"US_NFP",Release_Calendar!$B$2:$B$755,$A1659)&gt;0,1,0)</f>
        <v>0</v>
      </c>
      <c r="M1659" s="16" t="str">
        <f>IF($A1659&lt;Notes!$B$5,"",IF(COUNTIFS(Release_Calendar!$A$2:$A$755,"NZ_CPI",Release_Calendar!$B$2:$B$755,$A1659)&gt;0,1,0))</f>
        <v/>
      </c>
      <c r="N1659" s="16" t="str">
        <f>IF($A1659&lt;Notes!$B$5,"",IF(COUNTIFS(Release_Calendar!$A$2:$A$755,"NZ_GDP",Release_Calendar!$B$2:$B$755,$A1659)&gt;0,1,0))</f>
        <v/>
      </c>
      <c r="O1659" s="16" t="str">
        <f>IF($A1659&lt;Notes!$B$5,"",IF(COUNTIFS(Release_Calendar!$A$2:$A$755,"NZ_LABOUR",Release_Calendar!$B$2:$B$755,$A1659)&gt;0,1,0))</f>
        <v/>
      </c>
      <c r="P1659" s="16">
        <f t="shared" si="4"/>
        <v>0</v>
      </c>
    </row>
    <row r="1660" ht="15.75" customHeight="1">
      <c r="A1660" s="14">
        <v>38848.0</v>
      </c>
      <c r="B1660" s="15">
        <v>4.99</v>
      </c>
      <c r="C1660" s="15"/>
      <c r="D1660" s="15">
        <v>6.3</v>
      </c>
      <c r="E1660" s="15"/>
      <c r="F1660" s="15" t="str">
        <f t="shared" si="1"/>
        <v/>
      </c>
      <c r="G1660" s="15">
        <f t="shared" si="2"/>
        <v>6.3</v>
      </c>
      <c r="H1660" s="16">
        <v>1.0</v>
      </c>
      <c r="I1660" s="15">
        <f t="shared" si="3"/>
        <v>1.31</v>
      </c>
      <c r="J1660" s="15">
        <v>12.49</v>
      </c>
      <c r="K1660" s="16">
        <f>IF(COUNTIFS(Release_Calendar!$A$2:$A$755,"US_CPI",Release_Calendar!$B$2:$B$755,$A1660)&gt;0,1,0)</f>
        <v>0</v>
      </c>
      <c r="L1660" s="16">
        <f>IF(COUNTIFS(Release_Calendar!$A$2:$A$755,"US_NFP",Release_Calendar!$B$2:$B$755,$A1660)&gt;0,1,0)</f>
        <v>0</v>
      </c>
      <c r="M1660" s="16" t="str">
        <f>IF($A1660&lt;Notes!$B$5,"",IF(COUNTIFS(Release_Calendar!$A$2:$A$755,"NZ_CPI",Release_Calendar!$B$2:$B$755,$A1660)&gt;0,1,0))</f>
        <v/>
      </c>
      <c r="N1660" s="16" t="str">
        <f>IF($A1660&lt;Notes!$B$5,"",IF(COUNTIFS(Release_Calendar!$A$2:$A$755,"NZ_GDP",Release_Calendar!$B$2:$B$755,$A1660)&gt;0,1,0))</f>
        <v/>
      </c>
      <c r="O1660" s="16" t="str">
        <f>IF($A1660&lt;Notes!$B$5,"",IF(COUNTIFS(Release_Calendar!$A$2:$A$755,"NZ_LABOUR",Release_Calendar!$B$2:$B$755,$A1660)&gt;0,1,0))</f>
        <v/>
      </c>
      <c r="P1660" s="16">
        <f t="shared" si="4"/>
        <v>0</v>
      </c>
    </row>
    <row r="1661" ht="15.75" customHeight="1">
      <c r="A1661" s="14">
        <v>38849.0</v>
      </c>
      <c r="B1661" s="15">
        <v>5.01</v>
      </c>
      <c r="C1661" s="15"/>
      <c r="D1661" s="15">
        <v>6.31</v>
      </c>
      <c r="E1661" s="15"/>
      <c r="F1661" s="15" t="str">
        <f t="shared" si="1"/>
        <v/>
      </c>
      <c r="G1661" s="15">
        <f t="shared" si="2"/>
        <v>6.31</v>
      </c>
      <c r="H1661" s="16">
        <v>1.0</v>
      </c>
      <c r="I1661" s="15">
        <f t="shared" si="3"/>
        <v>1.3</v>
      </c>
      <c r="J1661" s="15">
        <v>14.19</v>
      </c>
      <c r="K1661" s="16">
        <f>IF(COUNTIFS(Release_Calendar!$A$2:$A$755,"US_CPI",Release_Calendar!$B$2:$B$755,$A1661)&gt;0,1,0)</f>
        <v>0</v>
      </c>
      <c r="L1661" s="16">
        <f>IF(COUNTIFS(Release_Calendar!$A$2:$A$755,"US_NFP",Release_Calendar!$B$2:$B$755,$A1661)&gt;0,1,0)</f>
        <v>0</v>
      </c>
      <c r="M1661" s="16" t="str">
        <f>IF($A1661&lt;Notes!$B$5,"",IF(COUNTIFS(Release_Calendar!$A$2:$A$755,"NZ_CPI",Release_Calendar!$B$2:$B$755,$A1661)&gt;0,1,0))</f>
        <v/>
      </c>
      <c r="N1661" s="16" t="str">
        <f>IF($A1661&lt;Notes!$B$5,"",IF(COUNTIFS(Release_Calendar!$A$2:$A$755,"NZ_GDP",Release_Calendar!$B$2:$B$755,$A1661)&gt;0,1,0))</f>
        <v/>
      </c>
      <c r="O1661" s="16" t="str">
        <f>IF($A1661&lt;Notes!$B$5,"",IF(COUNTIFS(Release_Calendar!$A$2:$A$755,"NZ_LABOUR",Release_Calendar!$B$2:$B$755,$A1661)&gt;0,1,0))</f>
        <v/>
      </c>
      <c r="P1661" s="16">
        <f t="shared" si="4"/>
        <v>0</v>
      </c>
    </row>
    <row r="1662" ht="15.75" customHeight="1">
      <c r="A1662" s="14">
        <v>38852.0</v>
      </c>
      <c r="B1662" s="15">
        <v>4.99</v>
      </c>
      <c r="C1662" s="15"/>
      <c r="D1662" s="15">
        <v>6.33</v>
      </c>
      <c r="E1662" s="15"/>
      <c r="F1662" s="15" t="str">
        <f t="shared" si="1"/>
        <v/>
      </c>
      <c r="G1662" s="15">
        <f t="shared" si="2"/>
        <v>6.33</v>
      </c>
      <c r="H1662" s="16">
        <v>1.0</v>
      </c>
      <c r="I1662" s="15">
        <f t="shared" si="3"/>
        <v>1.34</v>
      </c>
      <c r="J1662" s="15">
        <v>13.57</v>
      </c>
      <c r="K1662" s="16">
        <f>IF(COUNTIFS(Release_Calendar!$A$2:$A$755,"US_CPI",Release_Calendar!$B$2:$B$755,$A1662)&gt;0,1,0)</f>
        <v>0</v>
      </c>
      <c r="L1662" s="16">
        <f>IF(COUNTIFS(Release_Calendar!$A$2:$A$755,"US_NFP",Release_Calendar!$B$2:$B$755,$A1662)&gt;0,1,0)</f>
        <v>0</v>
      </c>
      <c r="M1662" s="16" t="str">
        <f>IF($A1662&lt;Notes!$B$5,"",IF(COUNTIFS(Release_Calendar!$A$2:$A$755,"NZ_CPI",Release_Calendar!$B$2:$B$755,$A1662)&gt;0,1,0))</f>
        <v/>
      </c>
      <c r="N1662" s="16" t="str">
        <f>IF($A1662&lt;Notes!$B$5,"",IF(COUNTIFS(Release_Calendar!$A$2:$A$755,"NZ_GDP",Release_Calendar!$B$2:$B$755,$A1662)&gt;0,1,0))</f>
        <v/>
      </c>
      <c r="O1662" s="16" t="str">
        <f>IF($A1662&lt;Notes!$B$5,"",IF(COUNTIFS(Release_Calendar!$A$2:$A$755,"NZ_LABOUR",Release_Calendar!$B$2:$B$755,$A1662)&gt;0,1,0))</f>
        <v/>
      </c>
      <c r="P1662" s="16">
        <f t="shared" si="4"/>
        <v>0</v>
      </c>
    </row>
    <row r="1663" ht="15.75" customHeight="1">
      <c r="A1663" s="14">
        <v>38853.0</v>
      </c>
      <c r="B1663" s="15">
        <v>4.96</v>
      </c>
      <c r="C1663" s="15"/>
      <c r="D1663" s="15">
        <v>6.31</v>
      </c>
      <c r="E1663" s="15"/>
      <c r="F1663" s="15" t="str">
        <f t="shared" si="1"/>
        <v/>
      </c>
      <c r="G1663" s="15">
        <f t="shared" si="2"/>
        <v>6.31</v>
      </c>
      <c r="H1663" s="16">
        <v>1.0</v>
      </c>
      <c r="I1663" s="15">
        <f t="shared" si="3"/>
        <v>1.35</v>
      </c>
      <c r="J1663" s="15">
        <v>13.35</v>
      </c>
      <c r="K1663" s="16">
        <f>IF(COUNTIFS(Release_Calendar!$A$2:$A$755,"US_CPI",Release_Calendar!$B$2:$B$755,$A1663)&gt;0,1,0)</f>
        <v>0</v>
      </c>
      <c r="L1663" s="16">
        <f>IF(COUNTIFS(Release_Calendar!$A$2:$A$755,"US_NFP",Release_Calendar!$B$2:$B$755,$A1663)&gt;0,1,0)</f>
        <v>0</v>
      </c>
      <c r="M1663" s="16" t="str">
        <f>IF($A1663&lt;Notes!$B$5,"",IF(COUNTIFS(Release_Calendar!$A$2:$A$755,"NZ_CPI",Release_Calendar!$B$2:$B$755,$A1663)&gt;0,1,0))</f>
        <v/>
      </c>
      <c r="N1663" s="16" t="str">
        <f>IF($A1663&lt;Notes!$B$5,"",IF(COUNTIFS(Release_Calendar!$A$2:$A$755,"NZ_GDP",Release_Calendar!$B$2:$B$755,$A1663)&gt;0,1,0))</f>
        <v/>
      </c>
      <c r="O1663" s="16" t="str">
        <f>IF($A1663&lt;Notes!$B$5,"",IF(COUNTIFS(Release_Calendar!$A$2:$A$755,"NZ_LABOUR",Release_Calendar!$B$2:$B$755,$A1663)&gt;0,1,0))</f>
        <v/>
      </c>
      <c r="P1663" s="16">
        <f t="shared" si="4"/>
        <v>0</v>
      </c>
    </row>
    <row r="1664" ht="15.75" customHeight="1">
      <c r="A1664" s="14">
        <v>38854.0</v>
      </c>
      <c r="B1664" s="15">
        <v>4.97</v>
      </c>
      <c r="C1664" s="15"/>
      <c r="D1664" s="15">
        <v>6.28</v>
      </c>
      <c r="E1664" s="15"/>
      <c r="F1664" s="15" t="str">
        <f t="shared" si="1"/>
        <v/>
      </c>
      <c r="G1664" s="15">
        <f t="shared" si="2"/>
        <v>6.28</v>
      </c>
      <c r="H1664" s="16">
        <v>1.0</v>
      </c>
      <c r="I1664" s="15">
        <f t="shared" si="3"/>
        <v>1.31</v>
      </c>
      <c r="J1664" s="15">
        <v>16.26</v>
      </c>
      <c r="K1664" s="16">
        <f>IF(COUNTIFS(Release_Calendar!$A$2:$A$755,"US_CPI",Release_Calendar!$B$2:$B$755,$A1664)&gt;0,1,0)</f>
        <v>1</v>
      </c>
      <c r="L1664" s="16">
        <f>IF(COUNTIFS(Release_Calendar!$A$2:$A$755,"US_NFP",Release_Calendar!$B$2:$B$755,$A1664)&gt;0,1,0)</f>
        <v>0</v>
      </c>
      <c r="M1664" s="16" t="str">
        <f>IF($A1664&lt;Notes!$B$5,"",IF(COUNTIFS(Release_Calendar!$A$2:$A$755,"NZ_CPI",Release_Calendar!$B$2:$B$755,$A1664)&gt;0,1,0))</f>
        <v/>
      </c>
      <c r="N1664" s="16" t="str">
        <f>IF($A1664&lt;Notes!$B$5,"",IF(COUNTIFS(Release_Calendar!$A$2:$A$755,"NZ_GDP",Release_Calendar!$B$2:$B$755,$A1664)&gt;0,1,0))</f>
        <v/>
      </c>
      <c r="O1664" s="16" t="str">
        <f>IF($A1664&lt;Notes!$B$5,"",IF(COUNTIFS(Release_Calendar!$A$2:$A$755,"NZ_LABOUR",Release_Calendar!$B$2:$B$755,$A1664)&gt;0,1,0))</f>
        <v/>
      </c>
      <c r="P1664" s="16">
        <f t="shared" si="4"/>
        <v>1</v>
      </c>
    </row>
    <row r="1665" ht="15.75" customHeight="1">
      <c r="A1665" s="14">
        <v>38855.0</v>
      </c>
      <c r="B1665" s="15">
        <v>4.94</v>
      </c>
      <c r="C1665" s="15"/>
      <c r="D1665" s="15">
        <v>6.32</v>
      </c>
      <c r="E1665" s="15"/>
      <c r="F1665" s="15" t="str">
        <f t="shared" si="1"/>
        <v/>
      </c>
      <c r="G1665" s="15">
        <f t="shared" si="2"/>
        <v>6.32</v>
      </c>
      <c r="H1665" s="16">
        <v>1.0</v>
      </c>
      <c r="I1665" s="15">
        <f t="shared" si="3"/>
        <v>1.38</v>
      </c>
      <c r="J1665" s="15">
        <v>16.99</v>
      </c>
      <c r="K1665" s="16">
        <f>IF(COUNTIFS(Release_Calendar!$A$2:$A$755,"US_CPI",Release_Calendar!$B$2:$B$755,$A1665)&gt;0,1,0)</f>
        <v>0</v>
      </c>
      <c r="L1665" s="16">
        <f>IF(COUNTIFS(Release_Calendar!$A$2:$A$755,"US_NFP",Release_Calendar!$B$2:$B$755,$A1665)&gt;0,1,0)</f>
        <v>0</v>
      </c>
      <c r="M1665" s="16" t="str">
        <f>IF($A1665&lt;Notes!$B$5,"",IF(COUNTIFS(Release_Calendar!$A$2:$A$755,"NZ_CPI",Release_Calendar!$B$2:$B$755,$A1665)&gt;0,1,0))</f>
        <v/>
      </c>
      <c r="N1665" s="16" t="str">
        <f>IF($A1665&lt;Notes!$B$5,"",IF(COUNTIFS(Release_Calendar!$A$2:$A$755,"NZ_GDP",Release_Calendar!$B$2:$B$755,$A1665)&gt;0,1,0))</f>
        <v/>
      </c>
      <c r="O1665" s="16" t="str">
        <f>IF($A1665&lt;Notes!$B$5,"",IF(COUNTIFS(Release_Calendar!$A$2:$A$755,"NZ_LABOUR",Release_Calendar!$B$2:$B$755,$A1665)&gt;0,1,0))</f>
        <v/>
      </c>
      <c r="P1665" s="16">
        <f t="shared" si="4"/>
        <v>0</v>
      </c>
    </row>
    <row r="1666" ht="15.75" customHeight="1">
      <c r="A1666" s="14">
        <v>38856.0</v>
      </c>
      <c r="B1666" s="15">
        <v>4.96</v>
      </c>
      <c r="C1666" s="15"/>
      <c r="D1666" s="15">
        <v>6.31</v>
      </c>
      <c r="E1666" s="15"/>
      <c r="F1666" s="15" t="str">
        <f t="shared" si="1"/>
        <v/>
      </c>
      <c r="G1666" s="15">
        <f t="shared" si="2"/>
        <v>6.31</v>
      </c>
      <c r="H1666" s="16">
        <v>1.0</v>
      </c>
      <c r="I1666" s="15">
        <f t="shared" si="3"/>
        <v>1.35</v>
      </c>
      <c r="J1666" s="15">
        <v>17.18</v>
      </c>
      <c r="K1666" s="16">
        <f>IF(COUNTIFS(Release_Calendar!$A$2:$A$755,"US_CPI",Release_Calendar!$B$2:$B$755,$A1666)&gt;0,1,0)</f>
        <v>0</v>
      </c>
      <c r="L1666" s="16">
        <f>IF(COUNTIFS(Release_Calendar!$A$2:$A$755,"US_NFP",Release_Calendar!$B$2:$B$755,$A1666)&gt;0,1,0)</f>
        <v>0</v>
      </c>
      <c r="M1666" s="16" t="str">
        <f>IF($A1666&lt;Notes!$B$5,"",IF(COUNTIFS(Release_Calendar!$A$2:$A$755,"NZ_CPI",Release_Calendar!$B$2:$B$755,$A1666)&gt;0,1,0))</f>
        <v/>
      </c>
      <c r="N1666" s="16" t="str">
        <f>IF($A1666&lt;Notes!$B$5,"",IF(COUNTIFS(Release_Calendar!$A$2:$A$755,"NZ_GDP",Release_Calendar!$B$2:$B$755,$A1666)&gt;0,1,0))</f>
        <v/>
      </c>
      <c r="O1666" s="16" t="str">
        <f>IF($A1666&lt;Notes!$B$5,"",IF(COUNTIFS(Release_Calendar!$A$2:$A$755,"NZ_LABOUR",Release_Calendar!$B$2:$B$755,$A1666)&gt;0,1,0))</f>
        <v/>
      </c>
      <c r="P1666" s="16">
        <f t="shared" si="4"/>
        <v>0</v>
      </c>
    </row>
    <row r="1667" ht="15.75" customHeight="1">
      <c r="A1667" s="14">
        <v>38859.0</v>
      </c>
      <c r="B1667" s="15">
        <v>4.94</v>
      </c>
      <c r="C1667" s="15"/>
      <c r="D1667" s="15">
        <v>6.28</v>
      </c>
      <c r="E1667" s="15"/>
      <c r="F1667" s="15" t="str">
        <f t="shared" si="1"/>
        <v/>
      </c>
      <c r="G1667" s="15">
        <f t="shared" si="2"/>
        <v>6.28</v>
      </c>
      <c r="H1667" s="16">
        <v>1.0</v>
      </c>
      <c r="I1667" s="15">
        <f t="shared" si="3"/>
        <v>1.34</v>
      </c>
      <c r="J1667" s="15">
        <v>17.72</v>
      </c>
      <c r="K1667" s="16">
        <f>IF(COUNTIFS(Release_Calendar!$A$2:$A$755,"US_CPI",Release_Calendar!$B$2:$B$755,$A1667)&gt;0,1,0)</f>
        <v>0</v>
      </c>
      <c r="L1667" s="16">
        <f>IF(COUNTIFS(Release_Calendar!$A$2:$A$755,"US_NFP",Release_Calendar!$B$2:$B$755,$A1667)&gt;0,1,0)</f>
        <v>0</v>
      </c>
      <c r="M1667" s="16" t="str">
        <f>IF($A1667&lt;Notes!$B$5,"",IF(COUNTIFS(Release_Calendar!$A$2:$A$755,"NZ_CPI",Release_Calendar!$B$2:$B$755,$A1667)&gt;0,1,0))</f>
        <v/>
      </c>
      <c r="N1667" s="16" t="str">
        <f>IF($A1667&lt;Notes!$B$5,"",IF(COUNTIFS(Release_Calendar!$A$2:$A$755,"NZ_GDP",Release_Calendar!$B$2:$B$755,$A1667)&gt;0,1,0))</f>
        <v/>
      </c>
      <c r="O1667" s="16" t="str">
        <f>IF($A1667&lt;Notes!$B$5,"",IF(COUNTIFS(Release_Calendar!$A$2:$A$755,"NZ_LABOUR",Release_Calendar!$B$2:$B$755,$A1667)&gt;0,1,0))</f>
        <v/>
      </c>
      <c r="P1667" s="16">
        <f t="shared" si="4"/>
        <v>0</v>
      </c>
    </row>
    <row r="1668" ht="15.75" customHeight="1">
      <c r="A1668" s="14">
        <v>38860.0</v>
      </c>
      <c r="B1668" s="15">
        <v>4.97</v>
      </c>
      <c r="C1668" s="15"/>
      <c r="D1668" s="15">
        <v>6.28</v>
      </c>
      <c r="E1668" s="15"/>
      <c r="F1668" s="15" t="str">
        <f t="shared" si="1"/>
        <v/>
      </c>
      <c r="G1668" s="15">
        <f t="shared" si="2"/>
        <v>6.28</v>
      </c>
      <c r="H1668" s="16">
        <v>1.0</v>
      </c>
      <c r="I1668" s="15">
        <f t="shared" si="3"/>
        <v>1.31</v>
      </c>
      <c r="J1668" s="15">
        <v>18.26</v>
      </c>
      <c r="K1668" s="16">
        <f>IF(COUNTIFS(Release_Calendar!$A$2:$A$755,"US_CPI",Release_Calendar!$B$2:$B$755,$A1668)&gt;0,1,0)</f>
        <v>0</v>
      </c>
      <c r="L1668" s="16">
        <f>IF(COUNTIFS(Release_Calendar!$A$2:$A$755,"US_NFP",Release_Calendar!$B$2:$B$755,$A1668)&gt;0,1,0)</f>
        <v>0</v>
      </c>
      <c r="M1668" s="16" t="str">
        <f>IF($A1668&lt;Notes!$B$5,"",IF(COUNTIFS(Release_Calendar!$A$2:$A$755,"NZ_CPI",Release_Calendar!$B$2:$B$755,$A1668)&gt;0,1,0))</f>
        <v/>
      </c>
      <c r="N1668" s="16" t="str">
        <f>IF($A1668&lt;Notes!$B$5,"",IF(COUNTIFS(Release_Calendar!$A$2:$A$755,"NZ_GDP",Release_Calendar!$B$2:$B$755,$A1668)&gt;0,1,0))</f>
        <v/>
      </c>
      <c r="O1668" s="16" t="str">
        <f>IF($A1668&lt;Notes!$B$5,"",IF(COUNTIFS(Release_Calendar!$A$2:$A$755,"NZ_LABOUR",Release_Calendar!$B$2:$B$755,$A1668)&gt;0,1,0))</f>
        <v/>
      </c>
      <c r="P1668" s="16">
        <f t="shared" si="4"/>
        <v>0</v>
      </c>
    </row>
    <row r="1669" ht="15.75" customHeight="1">
      <c r="A1669" s="14">
        <v>38861.0</v>
      </c>
      <c r="B1669" s="15">
        <v>4.94</v>
      </c>
      <c r="C1669" s="15"/>
      <c r="D1669" s="15">
        <v>6.28</v>
      </c>
      <c r="E1669" s="15"/>
      <c r="F1669" s="15" t="str">
        <f t="shared" si="1"/>
        <v/>
      </c>
      <c r="G1669" s="15">
        <f t="shared" si="2"/>
        <v>6.28</v>
      </c>
      <c r="H1669" s="16">
        <v>1.0</v>
      </c>
      <c r="I1669" s="15">
        <f t="shared" si="3"/>
        <v>1.34</v>
      </c>
      <c r="J1669" s="15">
        <v>17.36</v>
      </c>
      <c r="K1669" s="16">
        <f>IF(COUNTIFS(Release_Calendar!$A$2:$A$755,"US_CPI",Release_Calendar!$B$2:$B$755,$A1669)&gt;0,1,0)</f>
        <v>0</v>
      </c>
      <c r="L1669" s="16">
        <f>IF(COUNTIFS(Release_Calendar!$A$2:$A$755,"US_NFP",Release_Calendar!$B$2:$B$755,$A1669)&gt;0,1,0)</f>
        <v>0</v>
      </c>
      <c r="M1669" s="16" t="str">
        <f>IF($A1669&lt;Notes!$B$5,"",IF(COUNTIFS(Release_Calendar!$A$2:$A$755,"NZ_CPI",Release_Calendar!$B$2:$B$755,$A1669)&gt;0,1,0))</f>
        <v/>
      </c>
      <c r="N1669" s="16" t="str">
        <f>IF($A1669&lt;Notes!$B$5,"",IF(COUNTIFS(Release_Calendar!$A$2:$A$755,"NZ_GDP",Release_Calendar!$B$2:$B$755,$A1669)&gt;0,1,0))</f>
        <v/>
      </c>
      <c r="O1669" s="16" t="str">
        <f>IF($A1669&lt;Notes!$B$5,"",IF(COUNTIFS(Release_Calendar!$A$2:$A$755,"NZ_LABOUR",Release_Calendar!$B$2:$B$755,$A1669)&gt;0,1,0))</f>
        <v/>
      </c>
      <c r="P1669" s="16">
        <f t="shared" si="4"/>
        <v>0</v>
      </c>
    </row>
    <row r="1670" ht="15.75" customHeight="1">
      <c r="A1670" s="14">
        <v>38862.0</v>
      </c>
      <c r="B1670" s="15">
        <v>4.98</v>
      </c>
      <c r="C1670" s="15"/>
      <c r="D1670" s="15">
        <v>6.28</v>
      </c>
      <c r="E1670" s="15"/>
      <c r="F1670" s="15" t="str">
        <f t="shared" si="1"/>
        <v/>
      </c>
      <c r="G1670" s="15">
        <f t="shared" si="2"/>
        <v>6.28</v>
      </c>
      <c r="H1670" s="16">
        <v>1.0</v>
      </c>
      <c r="I1670" s="15">
        <f t="shared" si="3"/>
        <v>1.3</v>
      </c>
      <c r="J1670" s="15">
        <v>15.5</v>
      </c>
      <c r="K1670" s="16">
        <f>IF(COUNTIFS(Release_Calendar!$A$2:$A$755,"US_CPI",Release_Calendar!$B$2:$B$755,$A1670)&gt;0,1,0)</f>
        <v>0</v>
      </c>
      <c r="L1670" s="16">
        <f>IF(COUNTIFS(Release_Calendar!$A$2:$A$755,"US_NFP",Release_Calendar!$B$2:$B$755,$A1670)&gt;0,1,0)</f>
        <v>0</v>
      </c>
      <c r="M1670" s="16" t="str">
        <f>IF($A1670&lt;Notes!$B$5,"",IF(COUNTIFS(Release_Calendar!$A$2:$A$755,"NZ_CPI",Release_Calendar!$B$2:$B$755,$A1670)&gt;0,1,0))</f>
        <v/>
      </c>
      <c r="N1670" s="16" t="str">
        <f>IF($A1670&lt;Notes!$B$5,"",IF(COUNTIFS(Release_Calendar!$A$2:$A$755,"NZ_GDP",Release_Calendar!$B$2:$B$755,$A1670)&gt;0,1,0))</f>
        <v/>
      </c>
      <c r="O1670" s="16" t="str">
        <f>IF($A1670&lt;Notes!$B$5,"",IF(COUNTIFS(Release_Calendar!$A$2:$A$755,"NZ_LABOUR",Release_Calendar!$B$2:$B$755,$A1670)&gt;0,1,0))</f>
        <v/>
      </c>
      <c r="P1670" s="16">
        <f t="shared" si="4"/>
        <v>0</v>
      </c>
    </row>
    <row r="1671" ht="15.75" customHeight="1">
      <c r="A1671" s="14">
        <v>38863.0</v>
      </c>
      <c r="B1671" s="15">
        <v>4.96</v>
      </c>
      <c r="C1671" s="15"/>
      <c r="D1671" s="15">
        <v>6.26</v>
      </c>
      <c r="E1671" s="15"/>
      <c r="F1671" s="15" t="str">
        <f t="shared" si="1"/>
        <v/>
      </c>
      <c r="G1671" s="15">
        <f t="shared" si="2"/>
        <v>6.26</v>
      </c>
      <c r="H1671" s="16">
        <v>1.0</v>
      </c>
      <c r="I1671" s="15">
        <f t="shared" si="3"/>
        <v>1.3</v>
      </c>
      <c r="J1671" s="15">
        <v>14.26</v>
      </c>
      <c r="K1671" s="16">
        <f>IF(COUNTIFS(Release_Calendar!$A$2:$A$755,"US_CPI",Release_Calendar!$B$2:$B$755,$A1671)&gt;0,1,0)</f>
        <v>0</v>
      </c>
      <c r="L1671" s="16">
        <f>IF(COUNTIFS(Release_Calendar!$A$2:$A$755,"US_NFP",Release_Calendar!$B$2:$B$755,$A1671)&gt;0,1,0)</f>
        <v>0</v>
      </c>
      <c r="M1671" s="16" t="str">
        <f>IF($A1671&lt;Notes!$B$5,"",IF(COUNTIFS(Release_Calendar!$A$2:$A$755,"NZ_CPI",Release_Calendar!$B$2:$B$755,$A1671)&gt;0,1,0))</f>
        <v/>
      </c>
      <c r="N1671" s="16" t="str">
        <f>IF($A1671&lt;Notes!$B$5,"",IF(COUNTIFS(Release_Calendar!$A$2:$A$755,"NZ_GDP",Release_Calendar!$B$2:$B$755,$A1671)&gt;0,1,0))</f>
        <v/>
      </c>
      <c r="O1671" s="16" t="str">
        <f>IF($A1671&lt;Notes!$B$5,"",IF(COUNTIFS(Release_Calendar!$A$2:$A$755,"NZ_LABOUR",Release_Calendar!$B$2:$B$755,$A1671)&gt;0,1,0))</f>
        <v/>
      </c>
      <c r="P1671" s="16">
        <f t="shared" si="4"/>
        <v>0</v>
      </c>
    </row>
    <row r="1672" ht="15.75" customHeight="1">
      <c r="A1672" s="14">
        <v>38866.0</v>
      </c>
      <c r="B1672" s="15"/>
      <c r="C1672" s="15"/>
      <c r="D1672" s="15">
        <v>6.26</v>
      </c>
      <c r="E1672" s="15"/>
      <c r="F1672" s="15" t="str">
        <f t="shared" si="1"/>
        <v/>
      </c>
      <c r="G1672" s="15">
        <f t="shared" si="2"/>
        <v>6.26</v>
      </c>
      <c r="H1672" s="16">
        <v>1.0</v>
      </c>
      <c r="I1672" s="15" t="str">
        <f t="shared" si="3"/>
        <v/>
      </c>
      <c r="J1672" s="15"/>
      <c r="K1672" s="16">
        <f>IF(COUNTIFS(Release_Calendar!$A$2:$A$755,"US_CPI",Release_Calendar!$B$2:$B$755,$A1672)&gt;0,1,0)</f>
        <v>0</v>
      </c>
      <c r="L1672" s="16">
        <f>IF(COUNTIFS(Release_Calendar!$A$2:$A$755,"US_NFP",Release_Calendar!$B$2:$B$755,$A1672)&gt;0,1,0)</f>
        <v>0</v>
      </c>
      <c r="M1672" s="16" t="str">
        <f>IF($A1672&lt;Notes!$B$5,"",IF(COUNTIFS(Release_Calendar!$A$2:$A$755,"NZ_CPI",Release_Calendar!$B$2:$B$755,$A1672)&gt;0,1,0))</f>
        <v/>
      </c>
      <c r="N1672" s="16" t="str">
        <f>IF($A1672&lt;Notes!$B$5,"",IF(COUNTIFS(Release_Calendar!$A$2:$A$755,"NZ_GDP",Release_Calendar!$B$2:$B$755,$A1672)&gt;0,1,0))</f>
        <v/>
      </c>
      <c r="O1672" s="16" t="str">
        <f>IF($A1672&lt;Notes!$B$5,"",IF(COUNTIFS(Release_Calendar!$A$2:$A$755,"NZ_LABOUR",Release_Calendar!$B$2:$B$755,$A1672)&gt;0,1,0))</f>
        <v/>
      </c>
      <c r="P1672" s="16">
        <f t="shared" si="4"/>
        <v>0</v>
      </c>
    </row>
    <row r="1673" ht="15.75" customHeight="1">
      <c r="A1673" s="14">
        <v>38867.0</v>
      </c>
      <c r="B1673" s="15">
        <v>4.99</v>
      </c>
      <c r="C1673" s="15"/>
      <c r="D1673" s="15">
        <v>6.27</v>
      </c>
      <c r="E1673" s="15"/>
      <c r="F1673" s="15" t="str">
        <f t="shared" si="1"/>
        <v/>
      </c>
      <c r="G1673" s="15">
        <f t="shared" si="2"/>
        <v>6.27</v>
      </c>
      <c r="H1673" s="16">
        <v>1.0</v>
      </c>
      <c r="I1673" s="15">
        <f t="shared" si="3"/>
        <v>1.28</v>
      </c>
      <c r="J1673" s="15">
        <v>18.66</v>
      </c>
      <c r="K1673" s="16">
        <f>IF(COUNTIFS(Release_Calendar!$A$2:$A$755,"US_CPI",Release_Calendar!$B$2:$B$755,$A1673)&gt;0,1,0)</f>
        <v>0</v>
      </c>
      <c r="L1673" s="16">
        <f>IF(COUNTIFS(Release_Calendar!$A$2:$A$755,"US_NFP",Release_Calendar!$B$2:$B$755,$A1673)&gt;0,1,0)</f>
        <v>0</v>
      </c>
      <c r="M1673" s="16" t="str">
        <f>IF($A1673&lt;Notes!$B$5,"",IF(COUNTIFS(Release_Calendar!$A$2:$A$755,"NZ_CPI",Release_Calendar!$B$2:$B$755,$A1673)&gt;0,1,0))</f>
        <v/>
      </c>
      <c r="N1673" s="16" t="str">
        <f>IF($A1673&lt;Notes!$B$5,"",IF(COUNTIFS(Release_Calendar!$A$2:$A$755,"NZ_GDP",Release_Calendar!$B$2:$B$755,$A1673)&gt;0,1,0))</f>
        <v/>
      </c>
      <c r="O1673" s="16" t="str">
        <f>IF($A1673&lt;Notes!$B$5,"",IF(COUNTIFS(Release_Calendar!$A$2:$A$755,"NZ_LABOUR",Release_Calendar!$B$2:$B$755,$A1673)&gt;0,1,0))</f>
        <v/>
      </c>
      <c r="P1673" s="16">
        <f t="shared" si="4"/>
        <v>0</v>
      </c>
    </row>
    <row r="1674" ht="15.75" customHeight="1">
      <c r="A1674" s="14">
        <v>38868.0</v>
      </c>
      <c r="B1674" s="15">
        <v>5.04</v>
      </c>
      <c r="C1674" s="15"/>
      <c r="D1674" s="15">
        <v>6.28</v>
      </c>
      <c r="E1674" s="15"/>
      <c r="F1674" s="15" t="str">
        <f t="shared" si="1"/>
        <v/>
      </c>
      <c r="G1674" s="15">
        <f t="shared" si="2"/>
        <v>6.28</v>
      </c>
      <c r="H1674" s="16">
        <v>1.0</v>
      </c>
      <c r="I1674" s="15">
        <f t="shared" si="3"/>
        <v>1.24</v>
      </c>
      <c r="J1674" s="15">
        <v>16.44</v>
      </c>
      <c r="K1674" s="16">
        <f>IF(COUNTIFS(Release_Calendar!$A$2:$A$755,"US_CPI",Release_Calendar!$B$2:$B$755,$A1674)&gt;0,1,0)</f>
        <v>0</v>
      </c>
      <c r="L1674" s="16">
        <f>IF(COUNTIFS(Release_Calendar!$A$2:$A$755,"US_NFP",Release_Calendar!$B$2:$B$755,$A1674)&gt;0,1,0)</f>
        <v>0</v>
      </c>
      <c r="M1674" s="16" t="str">
        <f>IF($A1674&lt;Notes!$B$5,"",IF(COUNTIFS(Release_Calendar!$A$2:$A$755,"NZ_CPI",Release_Calendar!$B$2:$B$755,$A1674)&gt;0,1,0))</f>
        <v/>
      </c>
      <c r="N1674" s="16" t="str">
        <f>IF($A1674&lt;Notes!$B$5,"",IF(COUNTIFS(Release_Calendar!$A$2:$A$755,"NZ_GDP",Release_Calendar!$B$2:$B$755,$A1674)&gt;0,1,0))</f>
        <v/>
      </c>
      <c r="O1674" s="16" t="str">
        <f>IF($A1674&lt;Notes!$B$5,"",IF(COUNTIFS(Release_Calendar!$A$2:$A$755,"NZ_LABOUR",Release_Calendar!$B$2:$B$755,$A1674)&gt;0,1,0))</f>
        <v/>
      </c>
      <c r="P1674" s="16">
        <f t="shared" si="4"/>
        <v>0</v>
      </c>
    </row>
    <row r="1675" ht="15.75" customHeight="1">
      <c r="A1675" s="14">
        <v>38869.0</v>
      </c>
      <c r="B1675" s="15">
        <v>5.04</v>
      </c>
      <c r="C1675" s="15"/>
      <c r="D1675" s="15">
        <v>6.29</v>
      </c>
      <c r="E1675" s="15"/>
      <c r="F1675" s="15" t="str">
        <f t="shared" si="1"/>
        <v/>
      </c>
      <c r="G1675" s="15">
        <f t="shared" si="2"/>
        <v>6.29</v>
      </c>
      <c r="H1675" s="16">
        <v>1.0</v>
      </c>
      <c r="I1675" s="15">
        <f t="shared" si="3"/>
        <v>1.25</v>
      </c>
      <c r="J1675" s="15">
        <v>14.52</v>
      </c>
      <c r="K1675" s="16">
        <f>IF(COUNTIFS(Release_Calendar!$A$2:$A$755,"US_CPI",Release_Calendar!$B$2:$B$755,$A1675)&gt;0,1,0)</f>
        <v>0</v>
      </c>
      <c r="L1675" s="16">
        <f>IF(COUNTIFS(Release_Calendar!$A$2:$A$755,"US_NFP",Release_Calendar!$B$2:$B$755,$A1675)&gt;0,1,0)</f>
        <v>0</v>
      </c>
      <c r="M1675" s="16" t="str">
        <f>IF($A1675&lt;Notes!$B$5,"",IF(COUNTIFS(Release_Calendar!$A$2:$A$755,"NZ_CPI",Release_Calendar!$B$2:$B$755,$A1675)&gt;0,1,0))</f>
        <v/>
      </c>
      <c r="N1675" s="16" t="str">
        <f>IF($A1675&lt;Notes!$B$5,"",IF(COUNTIFS(Release_Calendar!$A$2:$A$755,"NZ_GDP",Release_Calendar!$B$2:$B$755,$A1675)&gt;0,1,0))</f>
        <v/>
      </c>
      <c r="O1675" s="16" t="str">
        <f>IF($A1675&lt;Notes!$B$5,"",IF(COUNTIFS(Release_Calendar!$A$2:$A$755,"NZ_LABOUR",Release_Calendar!$B$2:$B$755,$A1675)&gt;0,1,0))</f>
        <v/>
      </c>
      <c r="P1675" s="16">
        <f t="shared" si="4"/>
        <v>0</v>
      </c>
    </row>
    <row r="1676" ht="15.75" customHeight="1">
      <c r="A1676" s="14">
        <v>38870.0</v>
      </c>
      <c r="B1676" s="15">
        <v>4.92</v>
      </c>
      <c r="C1676" s="15"/>
      <c r="D1676" s="15">
        <v>6.28</v>
      </c>
      <c r="E1676" s="15"/>
      <c r="F1676" s="15" t="str">
        <f t="shared" si="1"/>
        <v/>
      </c>
      <c r="G1676" s="15">
        <f t="shared" si="2"/>
        <v>6.28</v>
      </c>
      <c r="H1676" s="16">
        <v>1.0</v>
      </c>
      <c r="I1676" s="15">
        <f t="shared" si="3"/>
        <v>1.36</v>
      </c>
      <c r="J1676" s="15">
        <v>14.32</v>
      </c>
      <c r="K1676" s="16">
        <f>IF(COUNTIFS(Release_Calendar!$A$2:$A$755,"US_CPI",Release_Calendar!$B$2:$B$755,$A1676)&gt;0,1,0)</f>
        <v>0</v>
      </c>
      <c r="L1676" s="16">
        <f>IF(COUNTIFS(Release_Calendar!$A$2:$A$755,"US_NFP",Release_Calendar!$B$2:$B$755,$A1676)&gt;0,1,0)</f>
        <v>1</v>
      </c>
      <c r="M1676" s="16" t="str">
        <f>IF($A1676&lt;Notes!$B$5,"",IF(COUNTIFS(Release_Calendar!$A$2:$A$755,"NZ_CPI",Release_Calendar!$B$2:$B$755,$A1676)&gt;0,1,0))</f>
        <v/>
      </c>
      <c r="N1676" s="16" t="str">
        <f>IF($A1676&lt;Notes!$B$5,"",IF(COUNTIFS(Release_Calendar!$A$2:$A$755,"NZ_GDP",Release_Calendar!$B$2:$B$755,$A1676)&gt;0,1,0))</f>
        <v/>
      </c>
      <c r="O1676" s="16" t="str">
        <f>IF($A1676&lt;Notes!$B$5,"",IF(COUNTIFS(Release_Calendar!$A$2:$A$755,"NZ_LABOUR",Release_Calendar!$B$2:$B$755,$A1676)&gt;0,1,0))</f>
        <v/>
      </c>
      <c r="P1676" s="16">
        <f t="shared" si="4"/>
        <v>1</v>
      </c>
    </row>
    <row r="1677" ht="15.75" customHeight="1">
      <c r="A1677" s="14">
        <v>38873.0</v>
      </c>
      <c r="B1677" s="15">
        <v>4.99</v>
      </c>
      <c r="C1677" s="15"/>
      <c r="D1677" s="15"/>
      <c r="E1677" s="15"/>
      <c r="F1677" s="15" t="str">
        <f t="shared" si="1"/>
        <v/>
      </c>
      <c r="G1677" s="15" t="str">
        <f t="shared" si="2"/>
        <v/>
      </c>
      <c r="H1677" s="16">
        <v>1.0</v>
      </c>
      <c r="I1677" s="15" t="str">
        <f t="shared" si="3"/>
        <v/>
      </c>
      <c r="J1677" s="15">
        <v>16.65</v>
      </c>
      <c r="K1677" s="16">
        <f>IF(COUNTIFS(Release_Calendar!$A$2:$A$755,"US_CPI",Release_Calendar!$B$2:$B$755,$A1677)&gt;0,1,0)</f>
        <v>0</v>
      </c>
      <c r="L1677" s="16">
        <f>IF(COUNTIFS(Release_Calendar!$A$2:$A$755,"US_NFP",Release_Calendar!$B$2:$B$755,$A1677)&gt;0,1,0)</f>
        <v>0</v>
      </c>
      <c r="M1677" s="16" t="str">
        <f>IF($A1677&lt;Notes!$B$5,"",IF(COUNTIFS(Release_Calendar!$A$2:$A$755,"NZ_CPI",Release_Calendar!$B$2:$B$755,$A1677)&gt;0,1,0))</f>
        <v/>
      </c>
      <c r="N1677" s="16" t="str">
        <f>IF($A1677&lt;Notes!$B$5,"",IF(COUNTIFS(Release_Calendar!$A$2:$A$755,"NZ_GDP",Release_Calendar!$B$2:$B$755,$A1677)&gt;0,1,0))</f>
        <v/>
      </c>
      <c r="O1677" s="16" t="str">
        <f>IF($A1677&lt;Notes!$B$5,"",IF(COUNTIFS(Release_Calendar!$A$2:$A$755,"NZ_LABOUR",Release_Calendar!$B$2:$B$755,$A1677)&gt;0,1,0))</f>
        <v/>
      </c>
      <c r="P1677" s="16">
        <f t="shared" si="4"/>
        <v>0</v>
      </c>
    </row>
    <row r="1678" ht="15.75" customHeight="1">
      <c r="A1678" s="14">
        <v>38874.0</v>
      </c>
      <c r="B1678" s="15">
        <v>4.99</v>
      </c>
      <c r="C1678" s="15"/>
      <c r="D1678" s="15">
        <v>6.27</v>
      </c>
      <c r="E1678" s="15"/>
      <c r="F1678" s="15" t="str">
        <f t="shared" si="1"/>
        <v/>
      </c>
      <c r="G1678" s="15">
        <f t="shared" si="2"/>
        <v>6.27</v>
      </c>
      <c r="H1678" s="16">
        <v>1.0</v>
      </c>
      <c r="I1678" s="15">
        <f t="shared" si="3"/>
        <v>1.28</v>
      </c>
      <c r="J1678" s="15">
        <v>17.34</v>
      </c>
      <c r="K1678" s="16">
        <f>IF(COUNTIFS(Release_Calendar!$A$2:$A$755,"US_CPI",Release_Calendar!$B$2:$B$755,$A1678)&gt;0,1,0)</f>
        <v>0</v>
      </c>
      <c r="L1678" s="16">
        <f>IF(COUNTIFS(Release_Calendar!$A$2:$A$755,"US_NFP",Release_Calendar!$B$2:$B$755,$A1678)&gt;0,1,0)</f>
        <v>0</v>
      </c>
      <c r="M1678" s="16" t="str">
        <f>IF($A1678&lt;Notes!$B$5,"",IF(COUNTIFS(Release_Calendar!$A$2:$A$755,"NZ_CPI",Release_Calendar!$B$2:$B$755,$A1678)&gt;0,1,0))</f>
        <v/>
      </c>
      <c r="N1678" s="16" t="str">
        <f>IF($A1678&lt;Notes!$B$5,"",IF(COUNTIFS(Release_Calendar!$A$2:$A$755,"NZ_GDP",Release_Calendar!$B$2:$B$755,$A1678)&gt;0,1,0))</f>
        <v/>
      </c>
      <c r="O1678" s="16" t="str">
        <f>IF($A1678&lt;Notes!$B$5,"",IF(COUNTIFS(Release_Calendar!$A$2:$A$755,"NZ_LABOUR",Release_Calendar!$B$2:$B$755,$A1678)&gt;0,1,0))</f>
        <v/>
      </c>
      <c r="P1678" s="16">
        <f t="shared" si="4"/>
        <v>0</v>
      </c>
    </row>
    <row r="1679" ht="15.75" customHeight="1">
      <c r="A1679" s="14">
        <v>38875.0</v>
      </c>
      <c r="B1679" s="15">
        <v>5.02</v>
      </c>
      <c r="C1679" s="15"/>
      <c r="D1679" s="15">
        <v>6.29</v>
      </c>
      <c r="E1679" s="15"/>
      <c r="F1679" s="15" t="str">
        <f t="shared" si="1"/>
        <v/>
      </c>
      <c r="G1679" s="15">
        <f t="shared" si="2"/>
        <v>6.29</v>
      </c>
      <c r="H1679" s="16">
        <v>1.0</v>
      </c>
      <c r="I1679" s="15">
        <f t="shared" si="3"/>
        <v>1.27</v>
      </c>
      <c r="J1679" s="15">
        <v>17.8</v>
      </c>
      <c r="K1679" s="16">
        <f>IF(COUNTIFS(Release_Calendar!$A$2:$A$755,"US_CPI",Release_Calendar!$B$2:$B$755,$A1679)&gt;0,1,0)</f>
        <v>0</v>
      </c>
      <c r="L1679" s="16">
        <f>IF(COUNTIFS(Release_Calendar!$A$2:$A$755,"US_NFP",Release_Calendar!$B$2:$B$755,$A1679)&gt;0,1,0)</f>
        <v>0</v>
      </c>
      <c r="M1679" s="16" t="str">
        <f>IF($A1679&lt;Notes!$B$5,"",IF(COUNTIFS(Release_Calendar!$A$2:$A$755,"NZ_CPI",Release_Calendar!$B$2:$B$755,$A1679)&gt;0,1,0))</f>
        <v/>
      </c>
      <c r="N1679" s="16" t="str">
        <f>IF($A1679&lt;Notes!$B$5,"",IF(COUNTIFS(Release_Calendar!$A$2:$A$755,"NZ_GDP",Release_Calendar!$B$2:$B$755,$A1679)&gt;0,1,0))</f>
        <v/>
      </c>
      <c r="O1679" s="16" t="str">
        <f>IF($A1679&lt;Notes!$B$5,"",IF(COUNTIFS(Release_Calendar!$A$2:$A$755,"NZ_LABOUR",Release_Calendar!$B$2:$B$755,$A1679)&gt;0,1,0))</f>
        <v/>
      </c>
      <c r="P1679" s="16">
        <f t="shared" si="4"/>
        <v>0</v>
      </c>
    </row>
    <row r="1680" ht="15.75" customHeight="1">
      <c r="A1680" s="14">
        <v>38876.0</v>
      </c>
      <c r="B1680" s="15">
        <v>5.01</v>
      </c>
      <c r="C1680" s="15"/>
      <c r="D1680" s="15">
        <v>6.37</v>
      </c>
      <c r="E1680" s="15"/>
      <c r="F1680" s="15" t="str">
        <f t="shared" si="1"/>
        <v/>
      </c>
      <c r="G1680" s="15">
        <f t="shared" si="2"/>
        <v>6.37</v>
      </c>
      <c r="H1680" s="16">
        <v>1.0</v>
      </c>
      <c r="I1680" s="15">
        <f t="shared" si="3"/>
        <v>1.36</v>
      </c>
      <c r="J1680" s="15">
        <v>18.35</v>
      </c>
      <c r="K1680" s="16">
        <f>IF(COUNTIFS(Release_Calendar!$A$2:$A$755,"US_CPI",Release_Calendar!$B$2:$B$755,$A1680)&gt;0,1,0)</f>
        <v>0</v>
      </c>
      <c r="L1680" s="16">
        <f>IF(COUNTIFS(Release_Calendar!$A$2:$A$755,"US_NFP",Release_Calendar!$B$2:$B$755,$A1680)&gt;0,1,0)</f>
        <v>0</v>
      </c>
      <c r="M1680" s="16" t="str">
        <f>IF($A1680&lt;Notes!$B$5,"",IF(COUNTIFS(Release_Calendar!$A$2:$A$755,"NZ_CPI",Release_Calendar!$B$2:$B$755,$A1680)&gt;0,1,0))</f>
        <v/>
      </c>
      <c r="N1680" s="16" t="str">
        <f>IF($A1680&lt;Notes!$B$5,"",IF(COUNTIFS(Release_Calendar!$A$2:$A$755,"NZ_GDP",Release_Calendar!$B$2:$B$755,$A1680)&gt;0,1,0))</f>
        <v/>
      </c>
      <c r="O1680" s="16" t="str">
        <f>IF($A1680&lt;Notes!$B$5,"",IF(COUNTIFS(Release_Calendar!$A$2:$A$755,"NZ_LABOUR",Release_Calendar!$B$2:$B$755,$A1680)&gt;0,1,0))</f>
        <v/>
      </c>
      <c r="P1680" s="16">
        <f t="shared" si="4"/>
        <v>0</v>
      </c>
    </row>
    <row r="1681" ht="15.75" customHeight="1">
      <c r="A1681" s="14">
        <v>38877.0</v>
      </c>
      <c r="B1681" s="15">
        <v>5.01</v>
      </c>
      <c r="C1681" s="15"/>
      <c r="D1681" s="15">
        <v>6.39</v>
      </c>
      <c r="E1681" s="15"/>
      <c r="F1681" s="15" t="str">
        <f t="shared" si="1"/>
        <v/>
      </c>
      <c r="G1681" s="15">
        <f t="shared" si="2"/>
        <v>6.39</v>
      </c>
      <c r="H1681" s="16">
        <v>1.0</v>
      </c>
      <c r="I1681" s="15">
        <f t="shared" si="3"/>
        <v>1.38</v>
      </c>
      <c r="J1681" s="15">
        <v>18.12</v>
      </c>
      <c r="K1681" s="16">
        <f>IF(COUNTIFS(Release_Calendar!$A$2:$A$755,"US_CPI",Release_Calendar!$B$2:$B$755,$A1681)&gt;0,1,0)</f>
        <v>0</v>
      </c>
      <c r="L1681" s="16">
        <f>IF(COUNTIFS(Release_Calendar!$A$2:$A$755,"US_NFP",Release_Calendar!$B$2:$B$755,$A1681)&gt;0,1,0)</f>
        <v>0</v>
      </c>
      <c r="M1681" s="16" t="str">
        <f>IF($A1681&lt;Notes!$B$5,"",IF(COUNTIFS(Release_Calendar!$A$2:$A$755,"NZ_CPI",Release_Calendar!$B$2:$B$755,$A1681)&gt;0,1,0))</f>
        <v/>
      </c>
      <c r="N1681" s="16" t="str">
        <f>IF($A1681&lt;Notes!$B$5,"",IF(COUNTIFS(Release_Calendar!$A$2:$A$755,"NZ_GDP",Release_Calendar!$B$2:$B$755,$A1681)&gt;0,1,0))</f>
        <v/>
      </c>
      <c r="O1681" s="16" t="str">
        <f>IF($A1681&lt;Notes!$B$5,"",IF(COUNTIFS(Release_Calendar!$A$2:$A$755,"NZ_LABOUR",Release_Calendar!$B$2:$B$755,$A1681)&gt;0,1,0))</f>
        <v/>
      </c>
      <c r="P1681" s="16">
        <f t="shared" si="4"/>
        <v>0</v>
      </c>
    </row>
    <row r="1682" ht="15.75" customHeight="1">
      <c r="A1682" s="14">
        <v>38880.0</v>
      </c>
      <c r="B1682" s="15">
        <v>5.02</v>
      </c>
      <c r="C1682" s="15"/>
      <c r="D1682" s="15">
        <v>6.38</v>
      </c>
      <c r="E1682" s="15"/>
      <c r="F1682" s="15" t="str">
        <f t="shared" si="1"/>
        <v/>
      </c>
      <c r="G1682" s="15">
        <f t="shared" si="2"/>
        <v>6.38</v>
      </c>
      <c r="H1682" s="16">
        <v>1.0</v>
      </c>
      <c r="I1682" s="15">
        <f t="shared" si="3"/>
        <v>1.36</v>
      </c>
      <c r="J1682" s="15">
        <v>20.96</v>
      </c>
      <c r="K1682" s="16">
        <f>IF(COUNTIFS(Release_Calendar!$A$2:$A$755,"US_CPI",Release_Calendar!$B$2:$B$755,$A1682)&gt;0,1,0)</f>
        <v>0</v>
      </c>
      <c r="L1682" s="16">
        <f>IF(COUNTIFS(Release_Calendar!$A$2:$A$755,"US_NFP",Release_Calendar!$B$2:$B$755,$A1682)&gt;0,1,0)</f>
        <v>0</v>
      </c>
      <c r="M1682" s="16" t="str">
        <f>IF($A1682&lt;Notes!$B$5,"",IF(COUNTIFS(Release_Calendar!$A$2:$A$755,"NZ_CPI",Release_Calendar!$B$2:$B$755,$A1682)&gt;0,1,0))</f>
        <v/>
      </c>
      <c r="N1682" s="16" t="str">
        <f>IF($A1682&lt;Notes!$B$5,"",IF(COUNTIFS(Release_Calendar!$A$2:$A$755,"NZ_GDP",Release_Calendar!$B$2:$B$755,$A1682)&gt;0,1,0))</f>
        <v/>
      </c>
      <c r="O1682" s="16" t="str">
        <f>IF($A1682&lt;Notes!$B$5,"",IF(COUNTIFS(Release_Calendar!$A$2:$A$755,"NZ_LABOUR",Release_Calendar!$B$2:$B$755,$A1682)&gt;0,1,0))</f>
        <v/>
      </c>
      <c r="P1682" s="16">
        <f t="shared" si="4"/>
        <v>0</v>
      </c>
    </row>
    <row r="1683" ht="15.75" customHeight="1">
      <c r="A1683" s="14">
        <v>38881.0</v>
      </c>
      <c r="B1683" s="15">
        <v>5.02</v>
      </c>
      <c r="C1683" s="15"/>
      <c r="D1683" s="15">
        <v>6.36</v>
      </c>
      <c r="E1683" s="15"/>
      <c r="F1683" s="15" t="str">
        <f t="shared" si="1"/>
        <v/>
      </c>
      <c r="G1683" s="15">
        <f t="shared" si="2"/>
        <v>6.36</v>
      </c>
      <c r="H1683" s="16">
        <v>1.0</v>
      </c>
      <c r="I1683" s="15">
        <f t="shared" si="3"/>
        <v>1.34</v>
      </c>
      <c r="J1683" s="15">
        <v>23.81</v>
      </c>
      <c r="K1683" s="16">
        <f>IF(COUNTIFS(Release_Calendar!$A$2:$A$755,"US_CPI",Release_Calendar!$B$2:$B$755,$A1683)&gt;0,1,0)</f>
        <v>0</v>
      </c>
      <c r="L1683" s="16">
        <f>IF(COUNTIFS(Release_Calendar!$A$2:$A$755,"US_NFP",Release_Calendar!$B$2:$B$755,$A1683)&gt;0,1,0)</f>
        <v>0</v>
      </c>
      <c r="M1683" s="16" t="str">
        <f>IF($A1683&lt;Notes!$B$5,"",IF(COUNTIFS(Release_Calendar!$A$2:$A$755,"NZ_CPI",Release_Calendar!$B$2:$B$755,$A1683)&gt;0,1,0))</f>
        <v/>
      </c>
      <c r="N1683" s="16" t="str">
        <f>IF($A1683&lt;Notes!$B$5,"",IF(COUNTIFS(Release_Calendar!$A$2:$A$755,"NZ_GDP",Release_Calendar!$B$2:$B$755,$A1683)&gt;0,1,0))</f>
        <v/>
      </c>
      <c r="O1683" s="16" t="str">
        <f>IF($A1683&lt;Notes!$B$5,"",IF(COUNTIFS(Release_Calendar!$A$2:$A$755,"NZ_LABOUR",Release_Calendar!$B$2:$B$755,$A1683)&gt;0,1,0))</f>
        <v/>
      </c>
      <c r="P1683" s="16">
        <f t="shared" si="4"/>
        <v>0</v>
      </c>
    </row>
    <row r="1684" ht="15.75" customHeight="1">
      <c r="A1684" s="14">
        <v>38882.0</v>
      </c>
      <c r="B1684" s="15">
        <v>5.11</v>
      </c>
      <c r="C1684" s="15"/>
      <c r="D1684" s="15">
        <v>6.34</v>
      </c>
      <c r="E1684" s="15"/>
      <c r="F1684" s="15" t="str">
        <f t="shared" si="1"/>
        <v/>
      </c>
      <c r="G1684" s="15">
        <f t="shared" si="2"/>
        <v>6.34</v>
      </c>
      <c r="H1684" s="16">
        <v>1.0</v>
      </c>
      <c r="I1684" s="15">
        <f t="shared" si="3"/>
        <v>1.23</v>
      </c>
      <c r="J1684" s="15">
        <v>21.46</v>
      </c>
      <c r="K1684" s="16">
        <f>IF(COUNTIFS(Release_Calendar!$A$2:$A$755,"US_CPI",Release_Calendar!$B$2:$B$755,$A1684)&gt;0,1,0)</f>
        <v>1</v>
      </c>
      <c r="L1684" s="16">
        <f>IF(COUNTIFS(Release_Calendar!$A$2:$A$755,"US_NFP",Release_Calendar!$B$2:$B$755,$A1684)&gt;0,1,0)</f>
        <v>0</v>
      </c>
      <c r="M1684" s="16" t="str">
        <f>IF($A1684&lt;Notes!$B$5,"",IF(COUNTIFS(Release_Calendar!$A$2:$A$755,"NZ_CPI",Release_Calendar!$B$2:$B$755,$A1684)&gt;0,1,0))</f>
        <v/>
      </c>
      <c r="N1684" s="16" t="str">
        <f>IF($A1684&lt;Notes!$B$5,"",IF(COUNTIFS(Release_Calendar!$A$2:$A$755,"NZ_GDP",Release_Calendar!$B$2:$B$755,$A1684)&gt;0,1,0))</f>
        <v/>
      </c>
      <c r="O1684" s="16" t="str">
        <f>IF($A1684&lt;Notes!$B$5,"",IF(COUNTIFS(Release_Calendar!$A$2:$A$755,"NZ_LABOUR",Release_Calendar!$B$2:$B$755,$A1684)&gt;0,1,0))</f>
        <v/>
      </c>
      <c r="P1684" s="16">
        <f t="shared" si="4"/>
        <v>1</v>
      </c>
    </row>
    <row r="1685" ht="15.75" customHeight="1">
      <c r="A1685" s="14">
        <v>38883.0</v>
      </c>
      <c r="B1685" s="15">
        <v>5.14</v>
      </c>
      <c r="C1685" s="15"/>
      <c r="D1685" s="15">
        <v>6.35</v>
      </c>
      <c r="E1685" s="15"/>
      <c r="F1685" s="15" t="str">
        <f t="shared" si="1"/>
        <v/>
      </c>
      <c r="G1685" s="15">
        <f t="shared" si="2"/>
        <v>6.35</v>
      </c>
      <c r="H1685" s="16">
        <v>1.0</v>
      </c>
      <c r="I1685" s="15">
        <f t="shared" si="3"/>
        <v>1.21</v>
      </c>
      <c r="J1685" s="15">
        <v>15.9</v>
      </c>
      <c r="K1685" s="16">
        <f>IF(COUNTIFS(Release_Calendar!$A$2:$A$755,"US_CPI",Release_Calendar!$B$2:$B$755,$A1685)&gt;0,1,0)</f>
        <v>0</v>
      </c>
      <c r="L1685" s="16">
        <f>IF(COUNTIFS(Release_Calendar!$A$2:$A$755,"US_NFP",Release_Calendar!$B$2:$B$755,$A1685)&gt;0,1,0)</f>
        <v>0</v>
      </c>
      <c r="M1685" s="16" t="str">
        <f>IF($A1685&lt;Notes!$B$5,"",IF(COUNTIFS(Release_Calendar!$A$2:$A$755,"NZ_CPI",Release_Calendar!$B$2:$B$755,$A1685)&gt;0,1,0))</f>
        <v/>
      </c>
      <c r="N1685" s="16" t="str">
        <f>IF($A1685&lt;Notes!$B$5,"",IF(COUNTIFS(Release_Calendar!$A$2:$A$755,"NZ_GDP",Release_Calendar!$B$2:$B$755,$A1685)&gt;0,1,0))</f>
        <v/>
      </c>
      <c r="O1685" s="16" t="str">
        <f>IF($A1685&lt;Notes!$B$5,"",IF(COUNTIFS(Release_Calendar!$A$2:$A$755,"NZ_LABOUR",Release_Calendar!$B$2:$B$755,$A1685)&gt;0,1,0))</f>
        <v/>
      </c>
      <c r="P1685" s="16">
        <f t="shared" si="4"/>
        <v>0</v>
      </c>
    </row>
    <row r="1686" ht="15.75" customHeight="1">
      <c r="A1686" s="14">
        <v>38884.0</v>
      </c>
      <c r="B1686" s="15">
        <v>5.16</v>
      </c>
      <c r="C1686" s="15"/>
      <c r="D1686" s="15">
        <v>6.36</v>
      </c>
      <c r="E1686" s="15"/>
      <c r="F1686" s="15" t="str">
        <f t="shared" si="1"/>
        <v/>
      </c>
      <c r="G1686" s="15">
        <f t="shared" si="2"/>
        <v>6.36</v>
      </c>
      <c r="H1686" s="16">
        <v>1.0</v>
      </c>
      <c r="I1686" s="15">
        <f t="shared" si="3"/>
        <v>1.2</v>
      </c>
      <c r="J1686" s="15">
        <v>17.25</v>
      </c>
      <c r="K1686" s="16">
        <f>IF(COUNTIFS(Release_Calendar!$A$2:$A$755,"US_CPI",Release_Calendar!$B$2:$B$755,$A1686)&gt;0,1,0)</f>
        <v>0</v>
      </c>
      <c r="L1686" s="16">
        <f>IF(COUNTIFS(Release_Calendar!$A$2:$A$755,"US_NFP",Release_Calendar!$B$2:$B$755,$A1686)&gt;0,1,0)</f>
        <v>0</v>
      </c>
      <c r="M1686" s="16" t="str">
        <f>IF($A1686&lt;Notes!$B$5,"",IF(COUNTIFS(Release_Calendar!$A$2:$A$755,"NZ_CPI",Release_Calendar!$B$2:$B$755,$A1686)&gt;0,1,0))</f>
        <v/>
      </c>
      <c r="N1686" s="16" t="str">
        <f>IF($A1686&lt;Notes!$B$5,"",IF(COUNTIFS(Release_Calendar!$A$2:$A$755,"NZ_GDP",Release_Calendar!$B$2:$B$755,$A1686)&gt;0,1,0))</f>
        <v/>
      </c>
      <c r="O1686" s="16" t="str">
        <f>IF($A1686&lt;Notes!$B$5,"",IF(COUNTIFS(Release_Calendar!$A$2:$A$755,"NZ_LABOUR",Release_Calendar!$B$2:$B$755,$A1686)&gt;0,1,0))</f>
        <v/>
      </c>
      <c r="P1686" s="16">
        <f t="shared" si="4"/>
        <v>0</v>
      </c>
    </row>
    <row r="1687" ht="15.75" customHeight="1">
      <c r="A1687" s="14">
        <v>38887.0</v>
      </c>
      <c r="B1687" s="15">
        <v>5.19</v>
      </c>
      <c r="C1687" s="15"/>
      <c r="D1687" s="15">
        <v>6.4</v>
      </c>
      <c r="E1687" s="15"/>
      <c r="F1687" s="15" t="str">
        <f t="shared" si="1"/>
        <v/>
      </c>
      <c r="G1687" s="15">
        <f t="shared" si="2"/>
        <v>6.4</v>
      </c>
      <c r="H1687" s="16">
        <v>1.0</v>
      </c>
      <c r="I1687" s="15">
        <f t="shared" si="3"/>
        <v>1.21</v>
      </c>
      <c r="J1687" s="15">
        <v>17.83</v>
      </c>
      <c r="K1687" s="16">
        <f>IF(COUNTIFS(Release_Calendar!$A$2:$A$755,"US_CPI",Release_Calendar!$B$2:$B$755,$A1687)&gt;0,1,0)</f>
        <v>0</v>
      </c>
      <c r="L1687" s="16">
        <f>IF(COUNTIFS(Release_Calendar!$A$2:$A$755,"US_NFP",Release_Calendar!$B$2:$B$755,$A1687)&gt;0,1,0)</f>
        <v>0</v>
      </c>
      <c r="M1687" s="16" t="str">
        <f>IF($A1687&lt;Notes!$B$5,"",IF(COUNTIFS(Release_Calendar!$A$2:$A$755,"NZ_CPI",Release_Calendar!$B$2:$B$755,$A1687)&gt;0,1,0))</f>
        <v/>
      </c>
      <c r="N1687" s="16" t="str">
        <f>IF($A1687&lt;Notes!$B$5,"",IF(COUNTIFS(Release_Calendar!$A$2:$A$755,"NZ_GDP",Release_Calendar!$B$2:$B$755,$A1687)&gt;0,1,0))</f>
        <v/>
      </c>
      <c r="O1687" s="16" t="str">
        <f>IF($A1687&lt;Notes!$B$5,"",IF(COUNTIFS(Release_Calendar!$A$2:$A$755,"NZ_LABOUR",Release_Calendar!$B$2:$B$755,$A1687)&gt;0,1,0))</f>
        <v/>
      </c>
      <c r="P1687" s="16">
        <f t="shared" si="4"/>
        <v>0</v>
      </c>
    </row>
    <row r="1688" ht="15.75" customHeight="1">
      <c r="A1688" s="14">
        <v>38888.0</v>
      </c>
      <c r="B1688" s="15">
        <v>5.19</v>
      </c>
      <c r="C1688" s="15"/>
      <c r="D1688" s="15">
        <v>6.42</v>
      </c>
      <c r="E1688" s="15"/>
      <c r="F1688" s="15" t="str">
        <f t="shared" si="1"/>
        <v/>
      </c>
      <c r="G1688" s="15">
        <f t="shared" si="2"/>
        <v>6.42</v>
      </c>
      <c r="H1688" s="16">
        <v>1.0</v>
      </c>
      <c r="I1688" s="15">
        <f t="shared" si="3"/>
        <v>1.23</v>
      </c>
      <c r="J1688" s="15">
        <v>16.69</v>
      </c>
      <c r="K1688" s="16">
        <f>IF(COUNTIFS(Release_Calendar!$A$2:$A$755,"US_CPI",Release_Calendar!$B$2:$B$755,$A1688)&gt;0,1,0)</f>
        <v>0</v>
      </c>
      <c r="L1688" s="16">
        <f>IF(COUNTIFS(Release_Calendar!$A$2:$A$755,"US_NFP",Release_Calendar!$B$2:$B$755,$A1688)&gt;0,1,0)</f>
        <v>0</v>
      </c>
      <c r="M1688" s="16" t="str">
        <f>IF($A1688&lt;Notes!$B$5,"",IF(COUNTIFS(Release_Calendar!$A$2:$A$755,"NZ_CPI",Release_Calendar!$B$2:$B$755,$A1688)&gt;0,1,0))</f>
        <v/>
      </c>
      <c r="N1688" s="16" t="str">
        <f>IF($A1688&lt;Notes!$B$5,"",IF(COUNTIFS(Release_Calendar!$A$2:$A$755,"NZ_GDP",Release_Calendar!$B$2:$B$755,$A1688)&gt;0,1,0))</f>
        <v/>
      </c>
      <c r="O1688" s="16" t="str">
        <f>IF($A1688&lt;Notes!$B$5,"",IF(COUNTIFS(Release_Calendar!$A$2:$A$755,"NZ_LABOUR",Release_Calendar!$B$2:$B$755,$A1688)&gt;0,1,0))</f>
        <v/>
      </c>
      <c r="P1688" s="16">
        <f t="shared" si="4"/>
        <v>0</v>
      </c>
    </row>
    <row r="1689" ht="15.75" customHeight="1">
      <c r="A1689" s="14">
        <v>38889.0</v>
      </c>
      <c r="B1689" s="15">
        <v>5.2</v>
      </c>
      <c r="C1689" s="15"/>
      <c r="D1689" s="15">
        <v>6.42</v>
      </c>
      <c r="E1689" s="15"/>
      <c r="F1689" s="15" t="str">
        <f t="shared" si="1"/>
        <v/>
      </c>
      <c r="G1689" s="15">
        <f t="shared" si="2"/>
        <v>6.42</v>
      </c>
      <c r="H1689" s="16">
        <v>1.0</v>
      </c>
      <c r="I1689" s="15">
        <f t="shared" si="3"/>
        <v>1.22</v>
      </c>
      <c r="J1689" s="15">
        <v>15.52</v>
      </c>
      <c r="K1689" s="16">
        <f>IF(COUNTIFS(Release_Calendar!$A$2:$A$755,"US_CPI",Release_Calendar!$B$2:$B$755,$A1689)&gt;0,1,0)</f>
        <v>0</v>
      </c>
      <c r="L1689" s="16">
        <f>IF(COUNTIFS(Release_Calendar!$A$2:$A$755,"US_NFP",Release_Calendar!$B$2:$B$755,$A1689)&gt;0,1,0)</f>
        <v>0</v>
      </c>
      <c r="M1689" s="16" t="str">
        <f>IF($A1689&lt;Notes!$B$5,"",IF(COUNTIFS(Release_Calendar!$A$2:$A$755,"NZ_CPI",Release_Calendar!$B$2:$B$755,$A1689)&gt;0,1,0))</f>
        <v/>
      </c>
      <c r="N1689" s="16" t="str">
        <f>IF($A1689&lt;Notes!$B$5,"",IF(COUNTIFS(Release_Calendar!$A$2:$A$755,"NZ_GDP",Release_Calendar!$B$2:$B$755,$A1689)&gt;0,1,0))</f>
        <v/>
      </c>
      <c r="O1689" s="16" t="str">
        <f>IF($A1689&lt;Notes!$B$5,"",IF(COUNTIFS(Release_Calendar!$A$2:$A$755,"NZ_LABOUR",Release_Calendar!$B$2:$B$755,$A1689)&gt;0,1,0))</f>
        <v/>
      </c>
      <c r="P1689" s="16">
        <f t="shared" si="4"/>
        <v>0</v>
      </c>
    </row>
    <row r="1690" ht="15.75" customHeight="1">
      <c r="A1690" s="14">
        <v>38890.0</v>
      </c>
      <c r="B1690" s="15">
        <v>5.23</v>
      </c>
      <c r="C1690" s="15"/>
      <c r="D1690" s="15">
        <v>6.4</v>
      </c>
      <c r="E1690" s="15"/>
      <c r="F1690" s="15" t="str">
        <f t="shared" si="1"/>
        <v/>
      </c>
      <c r="G1690" s="15">
        <f t="shared" si="2"/>
        <v>6.4</v>
      </c>
      <c r="H1690" s="16">
        <v>1.0</v>
      </c>
      <c r="I1690" s="15">
        <f t="shared" si="3"/>
        <v>1.17</v>
      </c>
      <c r="J1690" s="15">
        <v>15.88</v>
      </c>
      <c r="K1690" s="16">
        <f>IF(COUNTIFS(Release_Calendar!$A$2:$A$755,"US_CPI",Release_Calendar!$B$2:$B$755,$A1690)&gt;0,1,0)</f>
        <v>0</v>
      </c>
      <c r="L1690" s="16">
        <f>IF(COUNTIFS(Release_Calendar!$A$2:$A$755,"US_NFP",Release_Calendar!$B$2:$B$755,$A1690)&gt;0,1,0)</f>
        <v>0</v>
      </c>
      <c r="M1690" s="16" t="str">
        <f>IF($A1690&lt;Notes!$B$5,"",IF(COUNTIFS(Release_Calendar!$A$2:$A$755,"NZ_CPI",Release_Calendar!$B$2:$B$755,$A1690)&gt;0,1,0))</f>
        <v/>
      </c>
      <c r="N1690" s="16" t="str">
        <f>IF($A1690&lt;Notes!$B$5,"",IF(COUNTIFS(Release_Calendar!$A$2:$A$755,"NZ_GDP",Release_Calendar!$B$2:$B$755,$A1690)&gt;0,1,0))</f>
        <v/>
      </c>
      <c r="O1690" s="16" t="str">
        <f>IF($A1690&lt;Notes!$B$5,"",IF(COUNTIFS(Release_Calendar!$A$2:$A$755,"NZ_LABOUR",Release_Calendar!$B$2:$B$755,$A1690)&gt;0,1,0))</f>
        <v/>
      </c>
      <c r="P1690" s="16">
        <f t="shared" si="4"/>
        <v>0</v>
      </c>
    </row>
    <row r="1691" ht="15.75" customHeight="1">
      <c r="A1691" s="14">
        <v>38891.0</v>
      </c>
      <c r="B1691" s="15">
        <v>5.27</v>
      </c>
      <c r="C1691" s="15"/>
      <c r="D1691" s="15">
        <v>6.42</v>
      </c>
      <c r="E1691" s="15"/>
      <c r="F1691" s="15" t="str">
        <f t="shared" si="1"/>
        <v/>
      </c>
      <c r="G1691" s="15">
        <f t="shared" si="2"/>
        <v>6.42</v>
      </c>
      <c r="H1691" s="16">
        <v>1.0</v>
      </c>
      <c r="I1691" s="15">
        <f t="shared" si="3"/>
        <v>1.15</v>
      </c>
      <c r="J1691" s="15">
        <v>15.89</v>
      </c>
      <c r="K1691" s="16">
        <f>IF(COUNTIFS(Release_Calendar!$A$2:$A$755,"US_CPI",Release_Calendar!$B$2:$B$755,$A1691)&gt;0,1,0)</f>
        <v>0</v>
      </c>
      <c r="L1691" s="16">
        <f>IF(COUNTIFS(Release_Calendar!$A$2:$A$755,"US_NFP",Release_Calendar!$B$2:$B$755,$A1691)&gt;0,1,0)</f>
        <v>0</v>
      </c>
      <c r="M1691" s="16" t="str">
        <f>IF($A1691&lt;Notes!$B$5,"",IF(COUNTIFS(Release_Calendar!$A$2:$A$755,"NZ_CPI",Release_Calendar!$B$2:$B$755,$A1691)&gt;0,1,0))</f>
        <v/>
      </c>
      <c r="N1691" s="16" t="str">
        <f>IF($A1691&lt;Notes!$B$5,"",IF(COUNTIFS(Release_Calendar!$A$2:$A$755,"NZ_GDP",Release_Calendar!$B$2:$B$755,$A1691)&gt;0,1,0))</f>
        <v/>
      </c>
      <c r="O1691" s="16" t="str">
        <f>IF($A1691&lt;Notes!$B$5,"",IF(COUNTIFS(Release_Calendar!$A$2:$A$755,"NZ_LABOUR",Release_Calendar!$B$2:$B$755,$A1691)&gt;0,1,0))</f>
        <v/>
      </c>
      <c r="P1691" s="16">
        <f t="shared" si="4"/>
        <v>0</v>
      </c>
    </row>
    <row r="1692" ht="15.75" customHeight="1">
      <c r="A1692" s="14">
        <v>38894.0</v>
      </c>
      <c r="B1692" s="15">
        <v>5.27</v>
      </c>
      <c r="C1692" s="15"/>
      <c r="D1692" s="15">
        <v>6.43</v>
      </c>
      <c r="E1692" s="15"/>
      <c r="F1692" s="15" t="str">
        <f t="shared" si="1"/>
        <v/>
      </c>
      <c r="G1692" s="15">
        <f t="shared" si="2"/>
        <v>6.43</v>
      </c>
      <c r="H1692" s="16">
        <v>1.0</v>
      </c>
      <c r="I1692" s="15">
        <f t="shared" si="3"/>
        <v>1.16</v>
      </c>
      <c r="J1692" s="15">
        <v>15.62</v>
      </c>
      <c r="K1692" s="16">
        <f>IF(COUNTIFS(Release_Calendar!$A$2:$A$755,"US_CPI",Release_Calendar!$B$2:$B$755,$A1692)&gt;0,1,0)</f>
        <v>0</v>
      </c>
      <c r="L1692" s="16">
        <f>IF(COUNTIFS(Release_Calendar!$A$2:$A$755,"US_NFP",Release_Calendar!$B$2:$B$755,$A1692)&gt;0,1,0)</f>
        <v>0</v>
      </c>
      <c r="M1692" s="16" t="str">
        <f>IF($A1692&lt;Notes!$B$5,"",IF(COUNTIFS(Release_Calendar!$A$2:$A$755,"NZ_CPI",Release_Calendar!$B$2:$B$755,$A1692)&gt;0,1,0))</f>
        <v/>
      </c>
      <c r="N1692" s="16" t="str">
        <f>IF($A1692&lt;Notes!$B$5,"",IF(COUNTIFS(Release_Calendar!$A$2:$A$755,"NZ_GDP",Release_Calendar!$B$2:$B$755,$A1692)&gt;0,1,0))</f>
        <v/>
      </c>
      <c r="O1692" s="16" t="str">
        <f>IF($A1692&lt;Notes!$B$5,"",IF(COUNTIFS(Release_Calendar!$A$2:$A$755,"NZ_LABOUR",Release_Calendar!$B$2:$B$755,$A1692)&gt;0,1,0))</f>
        <v/>
      </c>
      <c r="P1692" s="16">
        <f t="shared" si="4"/>
        <v>0</v>
      </c>
    </row>
    <row r="1693" ht="15.75" customHeight="1">
      <c r="A1693" s="14">
        <v>38895.0</v>
      </c>
      <c r="B1693" s="15">
        <v>5.24</v>
      </c>
      <c r="C1693" s="15"/>
      <c r="D1693" s="15">
        <v>6.42</v>
      </c>
      <c r="E1693" s="15"/>
      <c r="F1693" s="15" t="str">
        <f t="shared" si="1"/>
        <v/>
      </c>
      <c r="G1693" s="15">
        <f t="shared" si="2"/>
        <v>6.42</v>
      </c>
      <c r="H1693" s="16">
        <v>1.0</v>
      </c>
      <c r="I1693" s="15">
        <f t="shared" si="3"/>
        <v>1.18</v>
      </c>
      <c r="J1693" s="15">
        <v>16.4</v>
      </c>
      <c r="K1693" s="16">
        <f>IF(COUNTIFS(Release_Calendar!$A$2:$A$755,"US_CPI",Release_Calendar!$B$2:$B$755,$A1693)&gt;0,1,0)</f>
        <v>0</v>
      </c>
      <c r="L1693" s="16">
        <f>IF(COUNTIFS(Release_Calendar!$A$2:$A$755,"US_NFP",Release_Calendar!$B$2:$B$755,$A1693)&gt;0,1,0)</f>
        <v>0</v>
      </c>
      <c r="M1693" s="16" t="str">
        <f>IF($A1693&lt;Notes!$B$5,"",IF(COUNTIFS(Release_Calendar!$A$2:$A$755,"NZ_CPI",Release_Calendar!$B$2:$B$755,$A1693)&gt;0,1,0))</f>
        <v/>
      </c>
      <c r="N1693" s="16" t="str">
        <f>IF($A1693&lt;Notes!$B$5,"",IF(COUNTIFS(Release_Calendar!$A$2:$A$755,"NZ_GDP",Release_Calendar!$B$2:$B$755,$A1693)&gt;0,1,0))</f>
        <v/>
      </c>
      <c r="O1693" s="16" t="str">
        <f>IF($A1693&lt;Notes!$B$5,"",IF(COUNTIFS(Release_Calendar!$A$2:$A$755,"NZ_LABOUR",Release_Calendar!$B$2:$B$755,$A1693)&gt;0,1,0))</f>
        <v/>
      </c>
      <c r="P1693" s="16">
        <f t="shared" si="4"/>
        <v>0</v>
      </c>
    </row>
    <row r="1694" ht="15.75" customHeight="1">
      <c r="A1694" s="14">
        <v>38896.0</v>
      </c>
      <c r="B1694" s="15">
        <v>5.29</v>
      </c>
      <c r="C1694" s="15"/>
      <c r="D1694" s="15">
        <v>6.39</v>
      </c>
      <c r="E1694" s="15"/>
      <c r="F1694" s="15" t="str">
        <f t="shared" si="1"/>
        <v/>
      </c>
      <c r="G1694" s="15">
        <f t="shared" si="2"/>
        <v>6.39</v>
      </c>
      <c r="H1694" s="16">
        <v>1.0</v>
      </c>
      <c r="I1694" s="15">
        <f t="shared" si="3"/>
        <v>1.1</v>
      </c>
      <c r="J1694" s="15">
        <v>15.79</v>
      </c>
      <c r="K1694" s="16">
        <f>IF(COUNTIFS(Release_Calendar!$A$2:$A$755,"US_CPI",Release_Calendar!$B$2:$B$755,$A1694)&gt;0,1,0)</f>
        <v>0</v>
      </c>
      <c r="L1694" s="16">
        <f>IF(COUNTIFS(Release_Calendar!$A$2:$A$755,"US_NFP",Release_Calendar!$B$2:$B$755,$A1694)&gt;0,1,0)</f>
        <v>0</v>
      </c>
      <c r="M1694" s="16" t="str">
        <f>IF($A1694&lt;Notes!$B$5,"",IF(COUNTIFS(Release_Calendar!$A$2:$A$755,"NZ_CPI",Release_Calendar!$B$2:$B$755,$A1694)&gt;0,1,0))</f>
        <v/>
      </c>
      <c r="N1694" s="16" t="str">
        <f>IF($A1694&lt;Notes!$B$5,"",IF(COUNTIFS(Release_Calendar!$A$2:$A$755,"NZ_GDP",Release_Calendar!$B$2:$B$755,$A1694)&gt;0,1,0))</f>
        <v/>
      </c>
      <c r="O1694" s="16" t="str">
        <f>IF($A1694&lt;Notes!$B$5,"",IF(COUNTIFS(Release_Calendar!$A$2:$A$755,"NZ_LABOUR",Release_Calendar!$B$2:$B$755,$A1694)&gt;0,1,0))</f>
        <v/>
      </c>
      <c r="P1694" s="16">
        <f t="shared" si="4"/>
        <v>0</v>
      </c>
    </row>
    <row r="1695" ht="15.75" customHeight="1">
      <c r="A1695" s="14">
        <v>38897.0</v>
      </c>
      <c r="B1695" s="15">
        <v>5.21</v>
      </c>
      <c r="C1695" s="15"/>
      <c r="D1695" s="15">
        <v>6.41</v>
      </c>
      <c r="E1695" s="15"/>
      <c r="F1695" s="15" t="str">
        <f t="shared" si="1"/>
        <v/>
      </c>
      <c r="G1695" s="15">
        <f t="shared" si="2"/>
        <v>6.41</v>
      </c>
      <c r="H1695" s="16">
        <v>1.0</v>
      </c>
      <c r="I1695" s="15">
        <f t="shared" si="3"/>
        <v>1.2</v>
      </c>
      <c r="J1695" s="15">
        <v>13.03</v>
      </c>
      <c r="K1695" s="16">
        <f>IF(COUNTIFS(Release_Calendar!$A$2:$A$755,"US_CPI",Release_Calendar!$B$2:$B$755,$A1695)&gt;0,1,0)</f>
        <v>0</v>
      </c>
      <c r="L1695" s="16">
        <f>IF(COUNTIFS(Release_Calendar!$A$2:$A$755,"US_NFP",Release_Calendar!$B$2:$B$755,$A1695)&gt;0,1,0)</f>
        <v>0</v>
      </c>
      <c r="M1695" s="16" t="str">
        <f>IF($A1695&lt;Notes!$B$5,"",IF(COUNTIFS(Release_Calendar!$A$2:$A$755,"NZ_CPI",Release_Calendar!$B$2:$B$755,$A1695)&gt;0,1,0))</f>
        <v/>
      </c>
      <c r="N1695" s="16" t="str">
        <f>IF($A1695&lt;Notes!$B$5,"",IF(COUNTIFS(Release_Calendar!$A$2:$A$755,"NZ_GDP",Release_Calendar!$B$2:$B$755,$A1695)&gt;0,1,0))</f>
        <v/>
      </c>
      <c r="O1695" s="16" t="str">
        <f>IF($A1695&lt;Notes!$B$5,"",IF(COUNTIFS(Release_Calendar!$A$2:$A$755,"NZ_LABOUR",Release_Calendar!$B$2:$B$755,$A1695)&gt;0,1,0))</f>
        <v/>
      </c>
      <c r="P1695" s="16">
        <f t="shared" si="4"/>
        <v>0</v>
      </c>
    </row>
    <row r="1696" ht="15.75" customHeight="1">
      <c r="A1696" s="14">
        <v>38898.0</v>
      </c>
      <c r="B1696" s="15">
        <v>5.16</v>
      </c>
      <c r="C1696" s="15"/>
      <c r="D1696" s="15">
        <v>6.4</v>
      </c>
      <c r="E1696" s="15"/>
      <c r="F1696" s="15" t="str">
        <f t="shared" si="1"/>
        <v/>
      </c>
      <c r="G1696" s="15">
        <f t="shared" si="2"/>
        <v>6.4</v>
      </c>
      <c r="H1696" s="16">
        <v>1.0</v>
      </c>
      <c r="I1696" s="15">
        <f t="shared" si="3"/>
        <v>1.24</v>
      </c>
      <c r="J1696" s="15">
        <v>13.08</v>
      </c>
      <c r="K1696" s="16">
        <f>IF(COUNTIFS(Release_Calendar!$A$2:$A$755,"US_CPI",Release_Calendar!$B$2:$B$755,$A1696)&gt;0,1,0)</f>
        <v>0</v>
      </c>
      <c r="L1696" s="16">
        <f>IF(COUNTIFS(Release_Calendar!$A$2:$A$755,"US_NFP",Release_Calendar!$B$2:$B$755,$A1696)&gt;0,1,0)</f>
        <v>0</v>
      </c>
      <c r="M1696" s="16" t="str">
        <f>IF($A1696&lt;Notes!$B$5,"",IF(COUNTIFS(Release_Calendar!$A$2:$A$755,"NZ_CPI",Release_Calendar!$B$2:$B$755,$A1696)&gt;0,1,0))</f>
        <v/>
      </c>
      <c r="N1696" s="16" t="str">
        <f>IF($A1696&lt;Notes!$B$5,"",IF(COUNTIFS(Release_Calendar!$A$2:$A$755,"NZ_GDP",Release_Calendar!$B$2:$B$755,$A1696)&gt;0,1,0))</f>
        <v/>
      </c>
      <c r="O1696" s="16" t="str">
        <f>IF($A1696&lt;Notes!$B$5,"",IF(COUNTIFS(Release_Calendar!$A$2:$A$755,"NZ_LABOUR",Release_Calendar!$B$2:$B$755,$A1696)&gt;0,1,0))</f>
        <v/>
      </c>
      <c r="P1696" s="16">
        <f t="shared" si="4"/>
        <v>0</v>
      </c>
    </row>
    <row r="1697" ht="15.75" customHeight="1">
      <c r="A1697" s="14">
        <v>38901.0</v>
      </c>
      <c r="B1697" s="15">
        <v>5.17</v>
      </c>
      <c r="C1697" s="15"/>
      <c r="D1697" s="15">
        <v>6.41</v>
      </c>
      <c r="E1697" s="15"/>
      <c r="F1697" s="15" t="str">
        <f t="shared" si="1"/>
        <v/>
      </c>
      <c r="G1697" s="15">
        <f t="shared" si="2"/>
        <v>6.41</v>
      </c>
      <c r="H1697" s="16">
        <v>1.0</v>
      </c>
      <c r="I1697" s="15">
        <f t="shared" si="3"/>
        <v>1.24</v>
      </c>
      <c r="J1697" s="15">
        <v>13.05</v>
      </c>
      <c r="K1697" s="16">
        <f>IF(COUNTIFS(Release_Calendar!$A$2:$A$755,"US_CPI",Release_Calendar!$B$2:$B$755,$A1697)&gt;0,1,0)</f>
        <v>0</v>
      </c>
      <c r="L1697" s="16">
        <f>IF(COUNTIFS(Release_Calendar!$A$2:$A$755,"US_NFP",Release_Calendar!$B$2:$B$755,$A1697)&gt;0,1,0)</f>
        <v>0</v>
      </c>
      <c r="M1697" s="16" t="str">
        <f>IF($A1697&lt;Notes!$B$5,"",IF(COUNTIFS(Release_Calendar!$A$2:$A$755,"NZ_CPI",Release_Calendar!$B$2:$B$755,$A1697)&gt;0,1,0))</f>
        <v/>
      </c>
      <c r="N1697" s="16" t="str">
        <f>IF($A1697&lt;Notes!$B$5,"",IF(COUNTIFS(Release_Calendar!$A$2:$A$755,"NZ_GDP",Release_Calendar!$B$2:$B$755,$A1697)&gt;0,1,0))</f>
        <v/>
      </c>
      <c r="O1697" s="16" t="str">
        <f>IF($A1697&lt;Notes!$B$5,"",IF(COUNTIFS(Release_Calendar!$A$2:$A$755,"NZ_LABOUR",Release_Calendar!$B$2:$B$755,$A1697)&gt;0,1,0))</f>
        <v/>
      </c>
      <c r="P1697" s="16">
        <f t="shared" si="4"/>
        <v>0</v>
      </c>
    </row>
    <row r="1698" ht="15.75" customHeight="1">
      <c r="A1698" s="14">
        <v>38902.0</v>
      </c>
      <c r="B1698" s="15"/>
      <c r="C1698" s="15"/>
      <c r="D1698" s="15">
        <v>6.44</v>
      </c>
      <c r="E1698" s="15"/>
      <c r="F1698" s="15" t="str">
        <f t="shared" si="1"/>
        <v/>
      </c>
      <c r="G1698" s="15">
        <f t="shared" si="2"/>
        <v>6.44</v>
      </c>
      <c r="H1698" s="16">
        <v>1.0</v>
      </c>
      <c r="I1698" s="15" t="str">
        <f t="shared" si="3"/>
        <v/>
      </c>
      <c r="J1698" s="15"/>
      <c r="K1698" s="16">
        <f>IF(COUNTIFS(Release_Calendar!$A$2:$A$755,"US_CPI",Release_Calendar!$B$2:$B$755,$A1698)&gt;0,1,0)</f>
        <v>0</v>
      </c>
      <c r="L1698" s="16">
        <f>IF(COUNTIFS(Release_Calendar!$A$2:$A$755,"US_NFP",Release_Calendar!$B$2:$B$755,$A1698)&gt;0,1,0)</f>
        <v>0</v>
      </c>
      <c r="M1698" s="16" t="str">
        <f>IF($A1698&lt;Notes!$B$5,"",IF(COUNTIFS(Release_Calendar!$A$2:$A$755,"NZ_CPI",Release_Calendar!$B$2:$B$755,$A1698)&gt;0,1,0))</f>
        <v/>
      </c>
      <c r="N1698" s="16" t="str">
        <f>IF($A1698&lt;Notes!$B$5,"",IF(COUNTIFS(Release_Calendar!$A$2:$A$755,"NZ_GDP",Release_Calendar!$B$2:$B$755,$A1698)&gt;0,1,0))</f>
        <v/>
      </c>
      <c r="O1698" s="16" t="str">
        <f>IF($A1698&lt;Notes!$B$5,"",IF(COUNTIFS(Release_Calendar!$A$2:$A$755,"NZ_LABOUR",Release_Calendar!$B$2:$B$755,$A1698)&gt;0,1,0))</f>
        <v/>
      </c>
      <c r="P1698" s="16">
        <f t="shared" si="4"/>
        <v>0</v>
      </c>
    </row>
    <row r="1699" ht="15.75" customHeight="1">
      <c r="A1699" s="14">
        <v>38903.0</v>
      </c>
      <c r="B1699" s="15">
        <v>5.24</v>
      </c>
      <c r="C1699" s="15"/>
      <c r="D1699" s="15">
        <v>6.46</v>
      </c>
      <c r="E1699" s="15"/>
      <c r="F1699" s="15" t="str">
        <f t="shared" si="1"/>
        <v/>
      </c>
      <c r="G1699" s="15">
        <f t="shared" si="2"/>
        <v>6.46</v>
      </c>
      <c r="H1699" s="16">
        <v>1.0</v>
      </c>
      <c r="I1699" s="15">
        <f t="shared" si="3"/>
        <v>1.22</v>
      </c>
      <c r="J1699" s="15">
        <v>14.15</v>
      </c>
      <c r="K1699" s="16">
        <f>IF(COUNTIFS(Release_Calendar!$A$2:$A$755,"US_CPI",Release_Calendar!$B$2:$B$755,$A1699)&gt;0,1,0)</f>
        <v>0</v>
      </c>
      <c r="L1699" s="16">
        <f>IF(COUNTIFS(Release_Calendar!$A$2:$A$755,"US_NFP",Release_Calendar!$B$2:$B$755,$A1699)&gt;0,1,0)</f>
        <v>0</v>
      </c>
      <c r="M1699" s="16" t="str">
        <f>IF($A1699&lt;Notes!$B$5,"",IF(COUNTIFS(Release_Calendar!$A$2:$A$755,"NZ_CPI",Release_Calendar!$B$2:$B$755,$A1699)&gt;0,1,0))</f>
        <v/>
      </c>
      <c r="N1699" s="16" t="str">
        <f>IF($A1699&lt;Notes!$B$5,"",IF(COUNTIFS(Release_Calendar!$A$2:$A$755,"NZ_GDP",Release_Calendar!$B$2:$B$755,$A1699)&gt;0,1,0))</f>
        <v/>
      </c>
      <c r="O1699" s="16" t="str">
        <f>IF($A1699&lt;Notes!$B$5,"",IF(COUNTIFS(Release_Calendar!$A$2:$A$755,"NZ_LABOUR",Release_Calendar!$B$2:$B$755,$A1699)&gt;0,1,0))</f>
        <v/>
      </c>
      <c r="P1699" s="16">
        <f t="shared" si="4"/>
        <v>0</v>
      </c>
    </row>
    <row r="1700" ht="15.75" customHeight="1">
      <c r="A1700" s="14">
        <v>38904.0</v>
      </c>
      <c r="B1700" s="15">
        <v>5.22</v>
      </c>
      <c r="C1700" s="15"/>
      <c r="D1700" s="15">
        <v>6.53</v>
      </c>
      <c r="E1700" s="15"/>
      <c r="F1700" s="15" t="str">
        <f t="shared" si="1"/>
        <v/>
      </c>
      <c r="G1700" s="15">
        <f t="shared" si="2"/>
        <v>6.53</v>
      </c>
      <c r="H1700" s="16">
        <v>1.0</v>
      </c>
      <c r="I1700" s="15">
        <f t="shared" si="3"/>
        <v>1.31</v>
      </c>
      <c r="J1700" s="15">
        <v>13.65</v>
      </c>
      <c r="K1700" s="16">
        <f>IF(COUNTIFS(Release_Calendar!$A$2:$A$755,"US_CPI",Release_Calendar!$B$2:$B$755,$A1700)&gt;0,1,0)</f>
        <v>0</v>
      </c>
      <c r="L1700" s="16">
        <f>IF(COUNTIFS(Release_Calendar!$A$2:$A$755,"US_NFP",Release_Calendar!$B$2:$B$755,$A1700)&gt;0,1,0)</f>
        <v>0</v>
      </c>
      <c r="M1700" s="16" t="str">
        <f>IF($A1700&lt;Notes!$B$5,"",IF(COUNTIFS(Release_Calendar!$A$2:$A$755,"NZ_CPI",Release_Calendar!$B$2:$B$755,$A1700)&gt;0,1,0))</f>
        <v/>
      </c>
      <c r="N1700" s="16" t="str">
        <f>IF($A1700&lt;Notes!$B$5,"",IF(COUNTIFS(Release_Calendar!$A$2:$A$755,"NZ_GDP",Release_Calendar!$B$2:$B$755,$A1700)&gt;0,1,0))</f>
        <v/>
      </c>
      <c r="O1700" s="16" t="str">
        <f>IF($A1700&lt;Notes!$B$5,"",IF(COUNTIFS(Release_Calendar!$A$2:$A$755,"NZ_LABOUR",Release_Calendar!$B$2:$B$755,$A1700)&gt;0,1,0))</f>
        <v/>
      </c>
      <c r="P1700" s="16">
        <f t="shared" si="4"/>
        <v>0</v>
      </c>
    </row>
    <row r="1701" ht="15.75" customHeight="1">
      <c r="A1701" s="14">
        <v>38905.0</v>
      </c>
      <c r="B1701" s="15">
        <v>5.17</v>
      </c>
      <c r="C1701" s="15"/>
      <c r="D1701" s="15">
        <v>6.51</v>
      </c>
      <c r="E1701" s="15"/>
      <c r="F1701" s="15" t="str">
        <f t="shared" si="1"/>
        <v/>
      </c>
      <c r="G1701" s="15">
        <f t="shared" si="2"/>
        <v>6.51</v>
      </c>
      <c r="H1701" s="16">
        <v>1.0</v>
      </c>
      <c r="I1701" s="15">
        <f t="shared" si="3"/>
        <v>1.34</v>
      </c>
      <c r="J1701" s="15">
        <v>13.97</v>
      </c>
      <c r="K1701" s="16">
        <f>IF(COUNTIFS(Release_Calendar!$A$2:$A$755,"US_CPI",Release_Calendar!$B$2:$B$755,$A1701)&gt;0,1,0)</f>
        <v>0</v>
      </c>
      <c r="L1701" s="16">
        <f>IF(COUNTIFS(Release_Calendar!$A$2:$A$755,"US_NFP",Release_Calendar!$B$2:$B$755,$A1701)&gt;0,1,0)</f>
        <v>1</v>
      </c>
      <c r="M1701" s="16" t="str">
        <f>IF($A1701&lt;Notes!$B$5,"",IF(COUNTIFS(Release_Calendar!$A$2:$A$755,"NZ_CPI",Release_Calendar!$B$2:$B$755,$A1701)&gt;0,1,0))</f>
        <v/>
      </c>
      <c r="N1701" s="16" t="str">
        <f>IF($A1701&lt;Notes!$B$5,"",IF(COUNTIFS(Release_Calendar!$A$2:$A$755,"NZ_GDP",Release_Calendar!$B$2:$B$755,$A1701)&gt;0,1,0))</f>
        <v/>
      </c>
      <c r="O1701" s="16" t="str">
        <f>IF($A1701&lt;Notes!$B$5,"",IF(COUNTIFS(Release_Calendar!$A$2:$A$755,"NZ_LABOUR",Release_Calendar!$B$2:$B$755,$A1701)&gt;0,1,0))</f>
        <v/>
      </c>
      <c r="P1701" s="16">
        <f t="shared" si="4"/>
        <v>1</v>
      </c>
    </row>
    <row r="1702" ht="15.75" customHeight="1">
      <c r="A1702" s="14">
        <v>38908.0</v>
      </c>
      <c r="B1702" s="15">
        <v>5.17</v>
      </c>
      <c r="C1702" s="15"/>
      <c r="D1702" s="15">
        <v>6.51</v>
      </c>
      <c r="E1702" s="15"/>
      <c r="F1702" s="15" t="str">
        <f t="shared" si="1"/>
        <v/>
      </c>
      <c r="G1702" s="15">
        <f t="shared" si="2"/>
        <v>6.51</v>
      </c>
      <c r="H1702" s="16">
        <v>1.0</v>
      </c>
      <c r="I1702" s="15">
        <f t="shared" si="3"/>
        <v>1.34</v>
      </c>
      <c r="J1702" s="15">
        <v>14.02</v>
      </c>
      <c r="K1702" s="16">
        <f>IF(COUNTIFS(Release_Calendar!$A$2:$A$755,"US_CPI",Release_Calendar!$B$2:$B$755,$A1702)&gt;0,1,0)</f>
        <v>0</v>
      </c>
      <c r="L1702" s="16">
        <f>IF(COUNTIFS(Release_Calendar!$A$2:$A$755,"US_NFP",Release_Calendar!$B$2:$B$755,$A1702)&gt;0,1,0)</f>
        <v>0</v>
      </c>
      <c r="M1702" s="16" t="str">
        <f>IF($A1702&lt;Notes!$B$5,"",IF(COUNTIFS(Release_Calendar!$A$2:$A$755,"NZ_CPI",Release_Calendar!$B$2:$B$755,$A1702)&gt;0,1,0))</f>
        <v/>
      </c>
      <c r="N1702" s="16" t="str">
        <f>IF($A1702&lt;Notes!$B$5,"",IF(COUNTIFS(Release_Calendar!$A$2:$A$755,"NZ_GDP",Release_Calendar!$B$2:$B$755,$A1702)&gt;0,1,0))</f>
        <v/>
      </c>
      <c r="O1702" s="16" t="str">
        <f>IF($A1702&lt;Notes!$B$5,"",IF(COUNTIFS(Release_Calendar!$A$2:$A$755,"NZ_LABOUR",Release_Calendar!$B$2:$B$755,$A1702)&gt;0,1,0))</f>
        <v/>
      </c>
      <c r="P1702" s="16">
        <f t="shared" si="4"/>
        <v>0</v>
      </c>
    </row>
    <row r="1703" ht="15.75" customHeight="1">
      <c r="A1703" s="14">
        <v>38909.0</v>
      </c>
      <c r="B1703" s="15">
        <v>5.17</v>
      </c>
      <c r="C1703" s="15"/>
      <c r="D1703" s="15">
        <v>6.51</v>
      </c>
      <c r="E1703" s="15"/>
      <c r="F1703" s="15" t="str">
        <f t="shared" si="1"/>
        <v/>
      </c>
      <c r="G1703" s="15">
        <f t="shared" si="2"/>
        <v>6.51</v>
      </c>
      <c r="H1703" s="16">
        <v>1.0</v>
      </c>
      <c r="I1703" s="15">
        <f t="shared" si="3"/>
        <v>1.34</v>
      </c>
      <c r="J1703" s="15">
        <v>13.14</v>
      </c>
      <c r="K1703" s="16">
        <f>IF(COUNTIFS(Release_Calendar!$A$2:$A$755,"US_CPI",Release_Calendar!$B$2:$B$755,$A1703)&gt;0,1,0)</f>
        <v>0</v>
      </c>
      <c r="L1703" s="16">
        <f>IF(COUNTIFS(Release_Calendar!$A$2:$A$755,"US_NFP",Release_Calendar!$B$2:$B$755,$A1703)&gt;0,1,0)</f>
        <v>0</v>
      </c>
      <c r="M1703" s="16" t="str">
        <f>IF($A1703&lt;Notes!$B$5,"",IF(COUNTIFS(Release_Calendar!$A$2:$A$755,"NZ_CPI",Release_Calendar!$B$2:$B$755,$A1703)&gt;0,1,0))</f>
        <v/>
      </c>
      <c r="N1703" s="16" t="str">
        <f>IF($A1703&lt;Notes!$B$5,"",IF(COUNTIFS(Release_Calendar!$A$2:$A$755,"NZ_GDP",Release_Calendar!$B$2:$B$755,$A1703)&gt;0,1,0))</f>
        <v/>
      </c>
      <c r="O1703" s="16" t="str">
        <f>IF($A1703&lt;Notes!$B$5,"",IF(COUNTIFS(Release_Calendar!$A$2:$A$755,"NZ_LABOUR",Release_Calendar!$B$2:$B$755,$A1703)&gt;0,1,0))</f>
        <v/>
      </c>
      <c r="P1703" s="16">
        <f t="shared" si="4"/>
        <v>0</v>
      </c>
    </row>
    <row r="1704" ht="15.75" customHeight="1">
      <c r="A1704" s="14">
        <v>38910.0</v>
      </c>
      <c r="B1704" s="15">
        <v>5.17</v>
      </c>
      <c r="C1704" s="15"/>
      <c r="D1704" s="15">
        <v>6.54</v>
      </c>
      <c r="E1704" s="15"/>
      <c r="F1704" s="15" t="str">
        <f t="shared" si="1"/>
        <v/>
      </c>
      <c r="G1704" s="15">
        <f t="shared" si="2"/>
        <v>6.54</v>
      </c>
      <c r="H1704" s="16">
        <v>1.0</v>
      </c>
      <c r="I1704" s="15">
        <f t="shared" si="3"/>
        <v>1.37</v>
      </c>
      <c r="J1704" s="15">
        <v>14.49</v>
      </c>
      <c r="K1704" s="16">
        <f>IF(COUNTIFS(Release_Calendar!$A$2:$A$755,"US_CPI",Release_Calendar!$B$2:$B$755,$A1704)&gt;0,1,0)</f>
        <v>0</v>
      </c>
      <c r="L1704" s="16">
        <f>IF(COUNTIFS(Release_Calendar!$A$2:$A$755,"US_NFP",Release_Calendar!$B$2:$B$755,$A1704)&gt;0,1,0)</f>
        <v>0</v>
      </c>
      <c r="M1704" s="16" t="str">
        <f>IF($A1704&lt;Notes!$B$5,"",IF(COUNTIFS(Release_Calendar!$A$2:$A$755,"NZ_CPI",Release_Calendar!$B$2:$B$755,$A1704)&gt;0,1,0))</f>
        <v/>
      </c>
      <c r="N1704" s="16" t="str">
        <f>IF($A1704&lt;Notes!$B$5,"",IF(COUNTIFS(Release_Calendar!$A$2:$A$755,"NZ_GDP",Release_Calendar!$B$2:$B$755,$A1704)&gt;0,1,0))</f>
        <v/>
      </c>
      <c r="O1704" s="16" t="str">
        <f>IF($A1704&lt;Notes!$B$5,"",IF(COUNTIFS(Release_Calendar!$A$2:$A$755,"NZ_LABOUR",Release_Calendar!$B$2:$B$755,$A1704)&gt;0,1,0))</f>
        <v/>
      </c>
      <c r="P1704" s="16">
        <f t="shared" si="4"/>
        <v>0</v>
      </c>
    </row>
    <row r="1705" ht="15.75" customHeight="1">
      <c r="A1705" s="14">
        <v>38911.0</v>
      </c>
      <c r="B1705" s="15">
        <v>5.12</v>
      </c>
      <c r="C1705" s="15"/>
      <c r="D1705" s="15">
        <v>6.6</v>
      </c>
      <c r="E1705" s="15"/>
      <c r="F1705" s="15" t="str">
        <f t="shared" si="1"/>
        <v/>
      </c>
      <c r="G1705" s="15">
        <f t="shared" si="2"/>
        <v>6.6</v>
      </c>
      <c r="H1705" s="16">
        <v>1.0</v>
      </c>
      <c r="I1705" s="15">
        <f t="shared" si="3"/>
        <v>1.48</v>
      </c>
      <c r="J1705" s="15">
        <v>17.79</v>
      </c>
      <c r="K1705" s="16">
        <f>IF(COUNTIFS(Release_Calendar!$A$2:$A$755,"US_CPI",Release_Calendar!$B$2:$B$755,$A1705)&gt;0,1,0)</f>
        <v>0</v>
      </c>
      <c r="L1705" s="16">
        <f>IF(COUNTIFS(Release_Calendar!$A$2:$A$755,"US_NFP",Release_Calendar!$B$2:$B$755,$A1705)&gt;0,1,0)</f>
        <v>0</v>
      </c>
      <c r="M1705" s="16" t="str">
        <f>IF($A1705&lt;Notes!$B$5,"",IF(COUNTIFS(Release_Calendar!$A$2:$A$755,"NZ_CPI",Release_Calendar!$B$2:$B$755,$A1705)&gt;0,1,0))</f>
        <v/>
      </c>
      <c r="N1705" s="16" t="str">
        <f>IF($A1705&lt;Notes!$B$5,"",IF(COUNTIFS(Release_Calendar!$A$2:$A$755,"NZ_GDP",Release_Calendar!$B$2:$B$755,$A1705)&gt;0,1,0))</f>
        <v/>
      </c>
      <c r="O1705" s="16" t="str">
        <f>IF($A1705&lt;Notes!$B$5,"",IF(COUNTIFS(Release_Calendar!$A$2:$A$755,"NZ_LABOUR",Release_Calendar!$B$2:$B$755,$A1705)&gt;0,1,0))</f>
        <v/>
      </c>
      <c r="P1705" s="16">
        <f t="shared" si="4"/>
        <v>0</v>
      </c>
    </row>
    <row r="1706" ht="15.75" customHeight="1">
      <c r="A1706" s="14">
        <v>38912.0</v>
      </c>
      <c r="B1706" s="15">
        <v>5.08</v>
      </c>
      <c r="C1706" s="15"/>
      <c r="D1706" s="15">
        <v>6.6</v>
      </c>
      <c r="E1706" s="15"/>
      <c r="F1706" s="15" t="str">
        <f t="shared" si="1"/>
        <v/>
      </c>
      <c r="G1706" s="15">
        <f t="shared" si="2"/>
        <v>6.6</v>
      </c>
      <c r="H1706" s="16">
        <v>1.0</v>
      </c>
      <c r="I1706" s="15">
        <f t="shared" si="3"/>
        <v>1.52</v>
      </c>
      <c r="J1706" s="15">
        <v>18.05</v>
      </c>
      <c r="K1706" s="16">
        <f>IF(COUNTIFS(Release_Calendar!$A$2:$A$755,"US_CPI",Release_Calendar!$B$2:$B$755,$A1706)&gt;0,1,0)</f>
        <v>0</v>
      </c>
      <c r="L1706" s="16">
        <f>IF(COUNTIFS(Release_Calendar!$A$2:$A$755,"US_NFP",Release_Calendar!$B$2:$B$755,$A1706)&gt;0,1,0)</f>
        <v>0</v>
      </c>
      <c r="M1706" s="16" t="str">
        <f>IF($A1706&lt;Notes!$B$5,"",IF(COUNTIFS(Release_Calendar!$A$2:$A$755,"NZ_CPI",Release_Calendar!$B$2:$B$755,$A1706)&gt;0,1,0))</f>
        <v/>
      </c>
      <c r="N1706" s="16" t="str">
        <f>IF($A1706&lt;Notes!$B$5,"",IF(COUNTIFS(Release_Calendar!$A$2:$A$755,"NZ_GDP",Release_Calendar!$B$2:$B$755,$A1706)&gt;0,1,0))</f>
        <v/>
      </c>
      <c r="O1706" s="16" t="str">
        <f>IF($A1706&lt;Notes!$B$5,"",IF(COUNTIFS(Release_Calendar!$A$2:$A$755,"NZ_LABOUR",Release_Calendar!$B$2:$B$755,$A1706)&gt;0,1,0))</f>
        <v/>
      </c>
      <c r="P1706" s="16">
        <f t="shared" si="4"/>
        <v>0</v>
      </c>
    </row>
    <row r="1707" ht="15.75" customHeight="1">
      <c r="A1707" s="14">
        <v>38915.0</v>
      </c>
      <c r="B1707" s="15">
        <v>5.12</v>
      </c>
      <c r="C1707" s="15"/>
      <c r="D1707" s="15">
        <v>6.61</v>
      </c>
      <c r="E1707" s="15"/>
      <c r="F1707" s="15" t="str">
        <f t="shared" si="1"/>
        <v/>
      </c>
      <c r="G1707" s="15">
        <f t="shared" si="2"/>
        <v>6.61</v>
      </c>
      <c r="H1707" s="16">
        <v>1.0</v>
      </c>
      <c r="I1707" s="15">
        <f t="shared" si="3"/>
        <v>1.49</v>
      </c>
      <c r="J1707" s="15">
        <v>18.64</v>
      </c>
      <c r="K1707" s="16">
        <f>IF(COUNTIFS(Release_Calendar!$A$2:$A$755,"US_CPI",Release_Calendar!$B$2:$B$755,$A1707)&gt;0,1,0)</f>
        <v>0</v>
      </c>
      <c r="L1707" s="16">
        <f>IF(COUNTIFS(Release_Calendar!$A$2:$A$755,"US_NFP",Release_Calendar!$B$2:$B$755,$A1707)&gt;0,1,0)</f>
        <v>0</v>
      </c>
      <c r="M1707" s="16" t="str">
        <f>IF($A1707&lt;Notes!$B$5,"",IF(COUNTIFS(Release_Calendar!$A$2:$A$755,"NZ_CPI",Release_Calendar!$B$2:$B$755,$A1707)&gt;0,1,0))</f>
        <v/>
      </c>
      <c r="N1707" s="16" t="str">
        <f>IF($A1707&lt;Notes!$B$5,"",IF(COUNTIFS(Release_Calendar!$A$2:$A$755,"NZ_GDP",Release_Calendar!$B$2:$B$755,$A1707)&gt;0,1,0))</f>
        <v/>
      </c>
      <c r="O1707" s="16" t="str">
        <f>IF($A1707&lt;Notes!$B$5,"",IF(COUNTIFS(Release_Calendar!$A$2:$A$755,"NZ_LABOUR",Release_Calendar!$B$2:$B$755,$A1707)&gt;0,1,0))</f>
        <v/>
      </c>
      <c r="P1707" s="16">
        <f t="shared" si="4"/>
        <v>0</v>
      </c>
    </row>
    <row r="1708" ht="15.75" customHeight="1">
      <c r="A1708" s="14">
        <v>38916.0</v>
      </c>
      <c r="B1708" s="15">
        <v>5.19</v>
      </c>
      <c r="C1708" s="15"/>
      <c r="D1708" s="15">
        <v>6.66</v>
      </c>
      <c r="E1708" s="15"/>
      <c r="F1708" s="15" t="str">
        <f t="shared" si="1"/>
        <v/>
      </c>
      <c r="G1708" s="15">
        <f t="shared" si="2"/>
        <v>6.66</v>
      </c>
      <c r="H1708" s="16">
        <v>1.0</v>
      </c>
      <c r="I1708" s="15">
        <f t="shared" si="3"/>
        <v>1.47</v>
      </c>
      <c r="J1708" s="15">
        <v>17.74</v>
      </c>
      <c r="K1708" s="16">
        <f>IF(COUNTIFS(Release_Calendar!$A$2:$A$755,"US_CPI",Release_Calendar!$B$2:$B$755,$A1708)&gt;0,1,0)</f>
        <v>0</v>
      </c>
      <c r="L1708" s="16">
        <f>IF(COUNTIFS(Release_Calendar!$A$2:$A$755,"US_NFP",Release_Calendar!$B$2:$B$755,$A1708)&gt;0,1,0)</f>
        <v>0</v>
      </c>
      <c r="M1708" s="16" t="str">
        <f>IF($A1708&lt;Notes!$B$5,"",IF(COUNTIFS(Release_Calendar!$A$2:$A$755,"NZ_CPI",Release_Calendar!$B$2:$B$755,$A1708)&gt;0,1,0))</f>
        <v/>
      </c>
      <c r="N1708" s="16" t="str">
        <f>IF($A1708&lt;Notes!$B$5,"",IF(COUNTIFS(Release_Calendar!$A$2:$A$755,"NZ_GDP",Release_Calendar!$B$2:$B$755,$A1708)&gt;0,1,0))</f>
        <v/>
      </c>
      <c r="O1708" s="16" t="str">
        <f>IF($A1708&lt;Notes!$B$5,"",IF(COUNTIFS(Release_Calendar!$A$2:$A$755,"NZ_LABOUR",Release_Calendar!$B$2:$B$755,$A1708)&gt;0,1,0))</f>
        <v/>
      </c>
      <c r="P1708" s="16">
        <f t="shared" si="4"/>
        <v>0</v>
      </c>
    </row>
    <row r="1709" ht="15.75" customHeight="1">
      <c r="A1709" s="14">
        <v>38917.0</v>
      </c>
      <c r="B1709" s="15">
        <v>5.12</v>
      </c>
      <c r="C1709" s="15"/>
      <c r="D1709" s="15">
        <v>6.66</v>
      </c>
      <c r="E1709" s="15"/>
      <c r="F1709" s="15" t="str">
        <f t="shared" si="1"/>
        <v/>
      </c>
      <c r="G1709" s="15">
        <f t="shared" si="2"/>
        <v>6.66</v>
      </c>
      <c r="H1709" s="16">
        <v>1.0</v>
      </c>
      <c r="I1709" s="15">
        <f t="shared" si="3"/>
        <v>1.54</v>
      </c>
      <c r="J1709" s="15">
        <v>15.55</v>
      </c>
      <c r="K1709" s="16">
        <f>IF(COUNTIFS(Release_Calendar!$A$2:$A$755,"US_CPI",Release_Calendar!$B$2:$B$755,$A1709)&gt;0,1,0)</f>
        <v>1</v>
      </c>
      <c r="L1709" s="16">
        <f>IF(COUNTIFS(Release_Calendar!$A$2:$A$755,"US_NFP",Release_Calendar!$B$2:$B$755,$A1709)&gt;0,1,0)</f>
        <v>0</v>
      </c>
      <c r="M1709" s="16" t="str">
        <f>IF($A1709&lt;Notes!$B$5,"",IF(COUNTIFS(Release_Calendar!$A$2:$A$755,"NZ_CPI",Release_Calendar!$B$2:$B$755,$A1709)&gt;0,1,0))</f>
        <v/>
      </c>
      <c r="N1709" s="16" t="str">
        <f>IF($A1709&lt;Notes!$B$5,"",IF(COUNTIFS(Release_Calendar!$A$2:$A$755,"NZ_GDP",Release_Calendar!$B$2:$B$755,$A1709)&gt;0,1,0))</f>
        <v/>
      </c>
      <c r="O1709" s="16" t="str">
        <f>IF($A1709&lt;Notes!$B$5,"",IF(COUNTIFS(Release_Calendar!$A$2:$A$755,"NZ_LABOUR",Release_Calendar!$B$2:$B$755,$A1709)&gt;0,1,0))</f>
        <v/>
      </c>
      <c r="P1709" s="16">
        <f t="shared" si="4"/>
        <v>1</v>
      </c>
    </row>
    <row r="1710" ht="15.75" customHeight="1">
      <c r="A1710" s="14">
        <v>38918.0</v>
      </c>
      <c r="B1710" s="15">
        <v>5.06</v>
      </c>
      <c r="C1710" s="15"/>
      <c r="D1710" s="15">
        <v>6.63</v>
      </c>
      <c r="E1710" s="15"/>
      <c r="F1710" s="15" t="str">
        <f t="shared" si="1"/>
        <v/>
      </c>
      <c r="G1710" s="15">
        <f t="shared" si="2"/>
        <v>6.63</v>
      </c>
      <c r="H1710" s="16">
        <v>1.0</v>
      </c>
      <c r="I1710" s="15">
        <f t="shared" si="3"/>
        <v>1.57</v>
      </c>
      <c r="J1710" s="15">
        <v>16.21</v>
      </c>
      <c r="K1710" s="16">
        <f>IF(COUNTIFS(Release_Calendar!$A$2:$A$755,"US_CPI",Release_Calendar!$B$2:$B$755,$A1710)&gt;0,1,0)</f>
        <v>0</v>
      </c>
      <c r="L1710" s="16">
        <f>IF(COUNTIFS(Release_Calendar!$A$2:$A$755,"US_NFP",Release_Calendar!$B$2:$B$755,$A1710)&gt;0,1,0)</f>
        <v>0</v>
      </c>
      <c r="M1710" s="16" t="str">
        <f>IF($A1710&lt;Notes!$B$5,"",IF(COUNTIFS(Release_Calendar!$A$2:$A$755,"NZ_CPI",Release_Calendar!$B$2:$B$755,$A1710)&gt;0,1,0))</f>
        <v/>
      </c>
      <c r="N1710" s="16" t="str">
        <f>IF($A1710&lt;Notes!$B$5,"",IF(COUNTIFS(Release_Calendar!$A$2:$A$755,"NZ_GDP",Release_Calendar!$B$2:$B$755,$A1710)&gt;0,1,0))</f>
        <v/>
      </c>
      <c r="O1710" s="16" t="str">
        <f>IF($A1710&lt;Notes!$B$5,"",IF(COUNTIFS(Release_Calendar!$A$2:$A$755,"NZ_LABOUR",Release_Calendar!$B$2:$B$755,$A1710)&gt;0,1,0))</f>
        <v/>
      </c>
      <c r="P1710" s="16">
        <f t="shared" si="4"/>
        <v>0</v>
      </c>
    </row>
    <row r="1711" ht="15.75" customHeight="1">
      <c r="A1711" s="14">
        <v>38919.0</v>
      </c>
      <c r="B1711" s="15">
        <v>5.08</v>
      </c>
      <c r="C1711" s="15"/>
      <c r="D1711" s="15">
        <v>6.68</v>
      </c>
      <c r="E1711" s="15"/>
      <c r="F1711" s="15" t="str">
        <f t="shared" si="1"/>
        <v/>
      </c>
      <c r="G1711" s="15">
        <f t="shared" si="2"/>
        <v>6.68</v>
      </c>
      <c r="H1711" s="16">
        <v>1.0</v>
      </c>
      <c r="I1711" s="15">
        <f t="shared" si="3"/>
        <v>1.6</v>
      </c>
      <c r="J1711" s="15">
        <v>17.4</v>
      </c>
      <c r="K1711" s="16">
        <f>IF(COUNTIFS(Release_Calendar!$A$2:$A$755,"US_CPI",Release_Calendar!$B$2:$B$755,$A1711)&gt;0,1,0)</f>
        <v>0</v>
      </c>
      <c r="L1711" s="16">
        <f>IF(COUNTIFS(Release_Calendar!$A$2:$A$755,"US_NFP",Release_Calendar!$B$2:$B$755,$A1711)&gt;0,1,0)</f>
        <v>0</v>
      </c>
      <c r="M1711" s="16" t="str">
        <f>IF($A1711&lt;Notes!$B$5,"",IF(COUNTIFS(Release_Calendar!$A$2:$A$755,"NZ_CPI",Release_Calendar!$B$2:$B$755,$A1711)&gt;0,1,0))</f>
        <v/>
      </c>
      <c r="N1711" s="16" t="str">
        <f>IF($A1711&lt;Notes!$B$5,"",IF(COUNTIFS(Release_Calendar!$A$2:$A$755,"NZ_GDP",Release_Calendar!$B$2:$B$755,$A1711)&gt;0,1,0))</f>
        <v/>
      </c>
      <c r="O1711" s="16" t="str">
        <f>IF($A1711&lt;Notes!$B$5,"",IF(COUNTIFS(Release_Calendar!$A$2:$A$755,"NZ_LABOUR",Release_Calendar!$B$2:$B$755,$A1711)&gt;0,1,0))</f>
        <v/>
      </c>
      <c r="P1711" s="16">
        <f t="shared" si="4"/>
        <v>0</v>
      </c>
    </row>
    <row r="1712" ht="15.75" customHeight="1">
      <c r="A1712" s="14">
        <v>38922.0</v>
      </c>
      <c r="B1712" s="15">
        <v>5.1</v>
      </c>
      <c r="C1712" s="15"/>
      <c r="D1712" s="15">
        <v>6.67</v>
      </c>
      <c r="E1712" s="15"/>
      <c r="F1712" s="15" t="str">
        <f t="shared" si="1"/>
        <v/>
      </c>
      <c r="G1712" s="15">
        <f t="shared" si="2"/>
        <v>6.67</v>
      </c>
      <c r="H1712" s="16">
        <v>1.0</v>
      </c>
      <c r="I1712" s="15">
        <f t="shared" si="3"/>
        <v>1.57</v>
      </c>
      <c r="J1712" s="15">
        <v>14.98</v>
      </c>
      <c r="K1712" s="16">
        <f>IF(COUNTIFS(Release_Calendar!$A$2:$A$755,"US_CPI",Release_Calendar!$B$2:$B$755,$A1712)&gt;0,1,0)</f>
        <v>0</v>
      </c>
      <c r="L1712" s="16">
        <f>IF(COUNTIFS(Release_Calendar!$A$2:$A$755,"US_NFP",Release_Calendar!$B$2:$B$755,$A1712)&gt;0,1,0)</f>
        <v>0</v>
      </c>
      <c r="M1712" s="16" t="str">
        <f>IF($A1712&lt;Notes!$B$5,"",IF(COUNTIFS(Release_Calendar!$A$2:$A$755,"NZ_CPI",Release_Calendar!$B$2:$B$755,$A1712)&gt;0,1,0))</f>
        <v/>
      </c>
      <c r="N1712" s="16" t="str">
        <f>IF($A1712&lt;Notes!$B$5,"",IF(COUNTIFS(Release_Calendar!$A$2:$A$755,"NZ_GDP",Release_Calendar!$B$2:$B$755,$A1712)&gt;0,1,0))</f>
        <v/>
      </c>
      <c r="O1712" s="16" t="str">
        <f>IF($A1712&lt;Notes!$B$5,"",IF(COUNTIFS(Release_Calendar!$A$2:$A$755,"NZ_LABOUR",Release_Calendar!$B$2:$B$755,$A1712)&gt;0,1,0))</f>
        <v/>
      </c>
      <c r="P1712" s="16">
        <f t="shared" si="4"/>
        <v>0</v>
      </c>
    </row>
    <row r="1713" ht="15.75" customHeight="1">
      <c r="A1713" s="14">
        <v>38923.0</v>
      </c>
      <c r="B1713" s="15">
        <v>5.11</v>
      </c>
      <c r="C1713" s="15"/>
      <c r="D1713" s="15">
        <v>6.71</v>
      </c>
      <c r="E1713" s="15"/>
      <c r="F1713" s="15" t="str">
        <f t="shared" si="1"/>
        <v/>
      </c>
      <c r="G1713" s="15">
        <f t="shared" si="2"/>
        <v>6.71</v>
      </c>
      <c r="H1713" s="16">
        <v>1.0</v>
      </c>
      <c r="I1713" s="15">
        <f t="shared" si="3"/>
        <v>1.6</v>
      </c>
      <c r="J1713" s="15">
        <v>14.85</v>
      </c>
      <c r="K1713" s="16">
        <f>IF(COUNTIFS(Release_Calendar!$A$2:$A$755,"US_CPI",Release_Calendar!$B$2:$B$755,$A1713)&gt;0,1,0)</f>
        <v>0</v>
      </c>
      <c r="L1713" s="16">
        <f>IF(COUNTIFS(Release_Calendar!$A$2:$A$755,"US_NFP",Release_Calendar!$B$2:$B$755,$A1713)&gt;0,1,0)</f>
        <v>0</v>
      </c>
      <c r="M1713" s="16" t="str">
        <f>IF($A1713&lt;Notes!$B$5,"",IF(COUNTIFS(Release_Calendar!$A$2:$A$755,"NZ_CPI",Release_Calendar!$B$2:$B$755,$A1713)&gt;0,1,0))</f>
        <v/>
      </c>
      <c r="N1713" s="16" t="str">
        <f>IF($A1713&lt;Notes!$B$5,"",IF(COUNTIFS(Release_Calendar!$A$2:$A$755,"NZ_GDP",Release_Calendar!$B$2:$B$755,$A1713)&gt;0,1,0))</f>
        <v/>
      </c>
      <c r="O1713" s="16" t="str">
        <f>IF($A1713&lt;Notes!$B$5,"",IF(COUNTIFS(Release_Calendar!$A$2:$A$755,"NZ_LABOUR",Release_Calendar!$B$2:$B$755,$A1713)&gt;0,1,0))</f>
        <v/>
      </c>
      <c r="P1713" s="16">
        <f t="shared" si="4"/>
        <v>0</v>
      </c>
    </row>
    <row r="1714" ht="15.75" customHeight="1">
      <c r="A1714" s="14">
        <v>38924.0</v>
      </c>
      <c r="B1714" s="15">
        <v>5.06</v>
      </c>
      <c r="C1714" s="15"/>
      <c r="D1714" s="15">
        <v>6.69</v>
      </c>
      <c r="E1714" s="15"/>
      <c r="F1714" s="15" t="str">
        <f t="shared" si="1"/>
        <v/>
      </c>
      <c r="G1714" s="15">
        <f t="shared" si="2"/>
        <v>6.69</v>
      </c>
      <c r="H1714" s="16">
        <v>1.0</v>
      </c>
      <c r="I1714" s="15">
        <f t="shared" si="3"/>
        <v>1.63</v>
      </c>
      <c r="J1714" s="15">
        <v>14.62</v>
      </c>
      <c r="K1714" s="16">
        <f>IF(COUNTIFS(Release_Calendar!$A$2:$A$755,"US_CPI",Release_Calendar!$B$2:$B$755,$A1714)&gt;0,1,0)</f>
        <v>0</v>
      </c>
      <c r="L1714" s="16">
        <f>IF(COUNTIFS(Release_Calendar!$A$2:$A$755,"US_NFP",Release_Calendar!$B$2:$B$755,$A1714)&gt;0,1,0)</f>
        <v>0</v>
      </c>
      <c r="M1714" s="16" t="str">
        <f>IF($A1714&lt;Notes!$B$5,"",IF(COUNTIFS(Release_Calendar!$A$2:$A$755,"NZ_CPI",Release_Calendar!$B$2:$B$755,$A1714)&gt;0,1,0))</f>
        <v/>
      </c>
      <c r="N1714" s="16" t="str">
        <f>IF($A1714&lt;Notes!$B$5,"",IF(COUNTIFS(Release_Calendar!$A$2:$A$755,"NZ_GDP",Release_Calendar!$B$2:$B$755,$A1714)&gt;0,1,0))</f>
        <v/>
      </c>
      <c r="O1714" s="16" t="str">
        <f>IF($A1714&lt;Notes!$B$5,"",IF(COUNTIFS(Release_Calendar!$A$2:$A$755,"NZ_LABOUR",Release_Calendar!$B$2:$B$755,$A1714)&gt;0,1,0))</f>
        <v/>
      </c>
      <c r="P1714" s="16">
        <f t="shared" si="4"/>
        <v>0</v>
      </c>
    </row>
    <row r="1715" ht="15.75" customHeight="1">
      <c r="A1715" s="14">
        <v>38925.0</v>
      </c>
      <c r="B1715" s="15">
        <v>5.07</v>
      </c>
      <c r="C1715" s="15"/>
      <c r="D1715" s="15">
        <v>6.65</v>
      </c>
      <c r="E1715" s="15"/>
      <c r="F1715" s="15" t="str">
        <f t="shared" si="1"/>
        <v/>
      </c>
      <c r="G1715" s="15">
        <f t="shared" si="2"/>
        <v>6.65</v>
      </c>
      <c r="H1715" s="16">
        <v>1.0</v>
      </c>
      <c r="I1715" s="15">
        <f t="shared" si="3"/>
        <v>1.58</v>
      </c>
      <c r="J1715" s="15">
        <v>14.94</v>
      </c>
      <c r="K1715" s="16">
        <f>IF(COUNTIFS(Release_Calendar!$A$2:$A$755,"US_CPI",Release_Calendar!$B$2:$B$755,$A1715)&gt;0,1,0)</f>
        <v>0</v>
      </c>
      <c r="L1715" s="16">
        <f>IF(COUNTIFS(Release_Calendar!$A$2:$A$755,"US_NFP",Release_Calendar!$B$2:$B$755,$A1715)&gt;0,1,0)</f>
        <v>0</v>
      </c>
      <c r="M1715" s="16" t="str">
        <f>IF($A1715&lt;Notes!$B$5,"",IF(COUNTIFS(Release_Calendar!$A$2:$A$755,"NZ_CPI",Release_Calendar!$B$2:$B$755,$A1715)&gt;0,1,0))</f>
        <v/>
      </c>
      <c r="N1715" s="16" t="str">
        <f>IF($A1715&lt;Notes!$B$5,"",IF(COUNTIFS(Release_Calendar!$A$2:$A$755,"NZ_GDP",Release_Calendar!$B$2:$B$755,$A1715)&gt;0,1,0))</f>
        <v/>
      </c>
      <c r="O1715" s="16" t="str">
        <f>IF($A1715&lt;Notes!$B$5,"",IF(COUNTIFS(Release_Calendar!$A$2:$A$755,"NZ_LABOUR",Release_Calendar!$B$2:$B$755,$A1715)&gt;0,1,0))</f>
        <v/>
      </c>
      <c r="P1715" s="16">
        <f t="shared" si="4"/>
        <v>0</v>
      </c>
    </row>
    <row r="1716" ht="15.75" customHeight="1">
      <c r="A1716" s="14">
        <v>38926.0</v>
      </c>
      <c r="B1716" s="15">
        <v>4.98</v>
      </c>
      <c r="C1716" s="15"/>
      <c r="D1716" s="15">
        <v>6.65</v>
      </c>
      <c r="E1716" s="15"/>
      <c r="F1716" s="15" t="str">
        <f t="shared" si="1"/>
        <v/>
      </c>
      <c r="G1716" s="15">
        <f t="shared" si="2"/>
        <v>6.65</v>
      </c>
      <c r="H1716" s="16">
        <v>1.0</v>
      </c>
      <c r="I1716" s="15">
        <f t="shared" si="3"/>
        <v>1.67</v>
      </c>
      <c r="J1716" s="15">
        <v>14.33</v>
      </c>
      <c r="K1716" s="16">
        <f>IF(COUNTIFS(Release_Calendar!$A$2:$A$755,"US_CPI",Release_Calendar!$B$2:$B$755,$A1716)&gt;0,1,0)</f>
        <v>0</v>
      </c>
      <c r="L1716" s="16">
        <f>IF(COUNTIFS(Release_Calendar!$A$2:$A$755,"US_NFP",Release_Calendar!$B$2:$B$755,$A1716)&gt;0,1,0)</f>
        <v>0</v>
      </c>
      <c r="M1716" s="16" t="str">
        <f>IF($A1716&lt;Notes!$B$5,"",IF(COUNTIFS(Release_Calendar!$A$2:$A$755,"NZ_CPI",Release_Calendar!$B$2:$B$755,$A1716)&gt;0,1,0))</f>
        <v/>
      </c>
      <c r="N1716" s="16" t="str">
        <f>IF($A1716&lt;Notes!$B$5,"",IF(COUNTIFS(Release_Calendar!$A$2:$A$755,"NZ_GDP",Release_Calendar!$B$2:$B$755,$A1716)&gt;0,1,0))</f>
        <v/>
      </c>
      <c r="O1716" s="16" t="str">
        <f>IF($A1716&lt;Notes!$B$5,"",IF(COUNTIFS(Release_Calendar!$A$2:$A$755,"NZ_LABOUR",Release_Calendar!$B$2:$B$755,$A1716)&gt;0,1,0))</f>
        <v/>
      </c>
      <c r="P1716" s="16">
        <f t="shared" si="4"/>
        <v>0</v>
      </c>
    </row>
    <row r="1717" ht="15.75" customHeight="1">
      <c r="A1717" s="14">
        <v>38929.0</v>
      </c>
      <c r="B1717" s="15">
        <v>4.97</v>
      </c>
      <c r="C1717" s="15"/>
      <c r="D1717" s="15">
        <v>6.63</v>
      </c>
      <c r="E1717" s="15"/>
      <c r="F1717" s="15" t="str">
        <f t="shared" si="1"/>
        <v/>
      </c>
      <c r="G1717" s="15">
        <f t="shared" si="2"/>
        <v>6.63</v>
      </c>
      <c r="H1717" s="16">
        <v>1.0</v>
      </c>
      <c r="I1717" s="15">
        <f t="shared" si="3"/>
        <v>1.66</v>
      </c>
      <c r="J1717" s="15">
        <v>14.95</v>
      </c>
      <c r="K1717" s="16">
        <f>IF(COUNTIFS(Release_Calendar!$A$2:$A$755,"US_CPI",Release_Calendar!$B$2:$B$755,$A1717)&gt;0,1,0)</f>
        <v>0</v>
      </c>
      <c r="L1717" s="16">
        <f>IF(COUNTIFS(Release_Calendar!$A$2:$A$755,"US_NFP",Release_Calendar!$B$2:$B$755,$A1717)&gt;0,1,0)</f>
        <v>0</v>
      </c>
      <c r="M1717" s="16" t="str">
        <f>IF($A1717&lt;Notes!$B$5,"",IF(COUNTIFS(Release_Calendar!$A$2:$A$755,"NZ_CPI",Release_Calendar!$B$2:$B$755,$A1717)&gt;0,1,0))</f>
        <v/>
      </c>
      <c r="N1717" s="16" t="str">
        <f>IF($A1717&lt;Notes!$B$5,"",IF(COUNTIFS(Release_Calendar!$A$2:$A$755,"NZ_GDP",Release_Calendar!$B$2:$B$755,$A1717)&gt;0,1,0))</f>
        <v/>
      </c>
      <c r="O1717" s="16" t="str">
        <f>IF($A1717&lt;Notes!$B$5,"",IF(COUNTIFS(Release_Calendar!$A$2:$A$755,"NZ_LABOUR",Release_Calendar!$B$2:$B$755,$A1717)&gt;0,1,0))</f>
        <v/>
      </c>
      <c r="P1717" s="16">
        <f t="shared" si="4"/>
        <v>0</v>
      </c>
    </row>
    <row r="1718" ht="15.75" customHeight="1">
      <c r="A1718" s="14">
        <v>38930.0</v>
      </c>
      <c r="B1718" s="15">
        <v>4.97</v>
      </c>
      <c r="C1718" s="15"/>
      <c r="D1718" s="15">
        <v>6.6</v>
      </c>
      <c r="E1718" s="15"/>
      <c r="F1718" s="15" t="str">
        <f t="shared" si="1"/>
        <v/>
      </c>
      <c r="G1718" s="15">
        <f t="shared" si="2"/>
        <v>6.6</v>
      </c>
      <c r="H1718" s="16">
        <v>1.0</v>
      </c>
      <c r="I1718" s="15">
        <f t="shared" si="3"/>
        <v>1.63</v>
      </c>
      <c r="J1718" s="15">
        <v>15.05</v>
      </c>
      <c r="K1718" s="16">
        <f>IF(COUNTIFS(Release_Calendar!$A$2:$A$755,"US_CPI",Release_Calendar!$B$2:$B$755,$A1718)&gt;0,1,0)</f>
        <v>0</v>
      </c>
      <c r="L1718" s="16">
        <f>IF(COUNTIFS(Release_Calendar!$A$2:$A$755,"US_NFP",Release_Calendar!$B$2:$B$755,$A1718)&gt;0,1,0)</f>
        <v>0</v>
      </c>
      <c r="M1718" s="16" t="str">
        <f>IF($A1718&lt;Notes!$B$5,"",IF(COUNTIFS(Release_Calendar!$A$2:$A$755,"NZ_CPI",Release_Calendar!$B$2:$B$755,$A1718)&gt;0,1,0))</f>
        <v/>
      </c>
      <c r="N1718" s="16" t="str">
        <f>IF($A1718&lt;Notes!$B$5,"",IF(COUNTIFS(Release_Calendar!$A$2:$A$755,"NZ_GDP",Release_Calendar!$B$2:$B$755,$A1718)&gt;0,1,0))</f>
        <v/>
      </c>
      <c r="O1718" s="16" t="str">
        <f>IF($A1718&lt;Notes!$B$5,"",IF(COUNTIFS(Release_Calendar!$A$2:$A$755,"NZ_LABOUR",Release_Calendar!$B$2:$B$755,$A1718)&gt;0,1,0))</f>
        <v/>
      </c>
      <c r="P1718" s="16">
        <f t="shared" si="4"/>
        <v>0</v>
      </c>
    </row>
    <row r="1719" ht="15.75" customHeight="1">
      <c r="A1719" s="14">
        <v>38931.0</v>
      </c>
      <c r="B1719" s="15">
        <v>4.97</v>
      </c>
      <c r="C1719" s="15"/>
      <c r="D1719" s="15">
        <v>6.6</v>
      </c>
      <c r="E1719" s="15"/>
      <c r="F1719" s="15" t="str">
        <f t="shared" si="1"/>
        <v/>
      </c>
      <c r="G1719" s="15">
        <f t="shared" si="2"/>
        <v>6.6</v>
      </c>
      <c r="H1719" s="16">
        <v>1.0</v>
      </c>
      <c r="I1719" s="15">
        <f t="shared" si="3"/>
        <v>1.63</v>
      </c>
      <c r="J1719" s="15">
        <v>14.34</v>
      </c>
      <c r="K1719" s="16">
        <f>IF(COUNTIFS(Release_Calendar!$A$2:$A$755,"US_CPI",Release_Calendar!$B$2:$B$755,$A1719)&gt;0,1,0)</f>
        <v>0</v>
      </c>
      <c r="L1719" s="16">
        <f>IF(COUNTIFS(Release_Calendar!$A$2:$A$755,"US_NFP",Release_Calendar!$B$2:$B$755,$A1719)&gt;0,1,0)</f>
        <v>0</v>
      </c>
      <c r="M1719" s="16" t="str">
        <f>IF($A1719&lt;Notes!$B$5,"",IF(COUNTIFS(Release_Calendar!$A$2:$A$755,"NZ_CPI",Release_Calendar!$B$2:$B$755,$A1719)&gt;0,1,0))</f>
        <v/>
      </c>
      <c r="N1719" s="16" t="str">
        <f>IF($A1719&lt;Notes!$B$5,"",IF(COUNTIFS(Release_Calendar!$A$2:$A$755,"NZ_GDP",Release_Calendar!$B$2:$B$755,$A1719)&gt;0,1,0))</f>
        <v/>
      </c>
      <c r="O1719" s="16" t="str">
        <f>IF($A1719&lt;Notes!$B$5,"",IF(COUNTIFS(Release_Calendar!$A$2:$A$755,"NZ_LABOUR",Release_Calendar!$B$2:$B$755,$A1719)&gt;0,1,0))</f>
        <v/>
      </c>
      <c r="P1719" s="16">
        <f t="shared" si="4"/>
        <v>0</v>
      </c>
    </row>
    <row r="1720" ht="15.75" customHeight="1">
      <c r="A1720" s="14">
        <v>38932.0</v>
      </c>
      <c r="B1720" s="15">
        <v>4.98</v>
      </c>
      <c r="C1720" s="15"/>
      <c r="D1720" s="15">
        <v>6.59</v>
      </c>
      <c r="E1720" s="15"/>
      <c r="F1720" s="15" t="str">
        <f t="shared" si="1"/>
        <v/>
      </c>
      <c r="G1720" s="15">
        <f t="shared" si="2"/>
        <v>6.59</v>
      </c>
      <c r="H1720" s="16">
        <v>1.0</v>
      </c>
      <c r="I1720" s="15">
        <f t="shared" si="3"/>
        <v>1.61</v>
      </c>
      <c r="J1720" s="15">
        <v>14.46</v>
      </c>
      <c r="K1720" s="16">
        <f>IF(COUNTIFS(Release_Calendar!$A$2:$A$755,"US_CPI",Release_Calendar!$B$2:$B$755,$A1720)&gt;0,1,0)</f>
        <v>0</v>
      </c>
      <c r="L1720" s="16">
        <f>IF(COUNTIFS(Release_Calendar!$A$2:$A$755,"US_NFP",Release_Calendar!$B$2:$B$755,$A1720)&gt;0,1,0)</f>
        <v>0</v>
      </c>
      <c r="M1720" s="16" t="str">
        <f>IF($A1720&lt;Notes!$B$5,"",IF(COUNTIFS(Release_Calendar!$A$2:$A$755,"NZ_CPI",Release_Calendar!$B$2:$B$755,$A1720)&gt;0,1,0))</f>
        <v/>
      </c>
      <c r="N1720" s="16" t="str">
        <f>IF($A1720&lt;Notes!$B$5,"",IF(COUNTIFS(Release_Calendar!$A$2:$A$755,"NZ_GDP",Release_Calendar!$B$2:$B$755,$A1720)&gt;0,1,0))</f>
        <v/>
      </c>
      <c r="O1720" s="16" t="str">
        <f>IF($A1720&lt;Notes!$B$5,"",IF(COUNTIFS(Release_Calendar!$A$2:$A$755,"NZ_LABOUR",Release_Calendar!$B$2:$B$755,$A1720)&gt;0,1,0))</f>
        <v/>
      </c>
      <c r="P1720" s="16">
        <f t="shared" si="4"/>
        <v>0</v>
      </c>
    </row>
    <row r="1721" ht="15.75" customHeight="1">
      <c r="A1721" s="14">
        <v>38933.0</v>
      </c>
      <c r="B1721" s="15">
        <v>4.91</v>
      </c>
      <c r="C1721" s="15"/>
      <c r="D1721" s="15">
        <v>6.59</v>
      </c>
      <c r="E1721" s="15"/>
      <c r="F1721" s="15" t="str">
        <f t="shared" si="1"/>
        <v/>
      </c>
      <c r="G1721" s="15">
        <f t="shared" si="2"/>
        <v>6.59</v>
      </c>
      <c r="H1721" s="16">
        <v>1.0</v>
      </c>
      <c r="I1721" s="15">
        <f t="shared" si="3"/>
        <v>1.68</v>
      </c>
      <c r="J1721" s="15">
        <v>14.34</v>
      </c>
      <c r="K1721" s="16">
        <f>IF(COUNTIFS(Release_Calendar!$A$2:$A$755,"US_CPI",Release_Calendar!$B$2:$B$755,$A1721)&gt;0,1,0)</f>
        <v>0</v>
      </c>
      <c r="L1721" s="16">
        <f>IF(COUNTIFS(Release_Calendar!$A$2:$A$755,"US_NFP",Release_Calendar!$B$2:$B$755,$A1721)&gt;0,1,0)</f>
        <v>1</v>
      </c>
      <c r="M1721" s="16" t="str">
        <f>IF($A1721&lt;Notes!$B$5,"",IF(COUNTIFS(Release_Calendar!$A$2:$A$755,"NZ_CPI",Release_Calendar!$B$2:$B$755,$A1721)&gt;0,1,0))</f>
        <v/>
      </c>
      <c r="N1721" s="16" t="str">
        <f>IF($A1721&lt;Notes!$B$5,"",IF(COUNTIFS(Release_Calendar!$A$2:$A$755,"NZ_GDP",Release_Calendar!$B$2:$B$755,$A1721)&gt;0,1,0))</f>
        <v/>
      </c>
      <c r="O1721" s="16" t="str">
        <f>IF($A1721&lt;Notes!$B$5,"",IF(COUNTIFS(Release_Calendar!$A$2:$A$755,"NZ_LABOUR",Release_Calendar!$B$2:$B$755,$A1721)&gt;0,1,0))</f>
        <v/>
      </c>
      <c r="P1721" s="16">
        <f t="shared" si="4"/>
        <v>1</v>
      </c>
    </row>
    <row r="1722" ht="15.75" customHeight="1">
      <c r="A1722" s="14">
        <v>38936.0</v>
      </c>
      <c r="B1722" s="15">
        <v>4.96</v>
      </c>
      <c r="C1722" s="15"/>
      <c r="D1722" s="15">
        <v>6.57</v>
      </c>
      <c r="E1722" s="15"/>
      <c r="F1722" s="15" t="str">
        <f t="shared" si="1"/>
        <v/>
      </c>
      <c r="G1722" s="15">
        <f t="shared" si="2"/>
        <v>6.57</v>
      </c>
      <c r="H1722" s="16">
        <v>1.0</v>
      </c>
      <c r="I1722" s="15">
        <f t="shared" si="3"/>
        <v>1.61</v>
      </c>
      <c r="J1722" s="15">
        <v>15.23</v>
      </c>
      <c r="K1722" s="16">
        <f>IF(COUNTIFS(Release_Calendar!$A$2:$A$755,"US_CPI",Release_Calendar!$B$2:$B$755,$A1722)&gt;0,1,0)</f>
        <v>0</v>
      </c>
      <c r="L1722" s="16">
        <f>IF(COUNTIFS(Release_Calendar!$A$2:$A$755,"US_NFP",Release_Calendar!$B$2:$B$755,$A1722)&gt;0,1,0)</f>
        <v>0</v>
      </c>
      <c r="M1722" s="16" t="str">
        <f>IF($A1722&lt;Notes!$B$5,"",IF(COUNTIFS(Release_Calendar!$A$2:$A$755,"NZ_CPI",Release_Calendar!$B$2:$B$755,$A1722)&gt;0,1,0))</f>
        <v/>
      </c>
      <c r="N1722" s="16" t="str">
        <f>IF($A1722&lt;Notes!$B$5,"",IF(COUNTIFS(Release_Calendar!$A$2:$A$755,"NZ_GDP",Release_Calendar!$B$2:$B$755,$A1722)&gt;0,1,0))</f>
        <v/>
      </c>
      <c r="O1722" s="16" t="str">
        <f>IF($A1722&lt;Notes!$B$5,"",IF(COUNTIFS(Release_Calendar!$A$2:$A$755,"NZ_LABOUR",Release_Calendar!$B$2:$B$755,$A1722)&gt;0,1,0))</f>
        <v/>
      </c>
      <c r="P1722" s="16">
        <f t="shared" si="4"/>
        <v>0</v>
      </c>
    </row>
    <row r="1723" ht="15.75" customHeight="1">
      <c r="A1723" s="14">
        <v>38937.0</v>
      </c>
      <c r="B1723" s="15">
        <v>4.91</v>
      </c>
      <c r="C1723" s="15"/>
      <c r="D1723" s="15">
        <v>6.57</v>
      </c>
      <c r="E1723" s="15"/>
      <c r="F1723" s="15" t="str">
        <f t="shared" si="1"/>
        <v/>
      </c>
      <c r="G1723" s="15">
        <f t="shared" si="2"/>
        <v>6.57</v>
      </c>
      <c r="H1723" s="16">
        <v>1.0</v>
      </c>
      <c r="I1723" s="15">
        <f t="shared" si="3"/>
        <v>1.66</v>
      </c>
      <c r="J1723" s="15">
        <v>15.23</v>
      </c>
      <c r="K1723" s="16">
        <f>IF(COUNTIFS(Release_Calendar!$A$2:$A$755,"US_CPI",Release_Calendar!$B$2:$B$755,$A1723)&gt;0,1,0)</f>
        <v>0</v>
      </c>
      <c r="L1723" s="16">
        <f>IF(COUNTIFS(Release_Calendar!$A$2:$A$755,"US_NFP",Release_Calendar!$B$2:$B$755,$A1723)&gt;0,1,0)</f>
        <v>0</v>
      </c>
      <c r="M1723" s="16" t="str">
        <f>IF($A1723&lt;Notes!$B$5,"",IF(COUNTIFS(Release_Calendar!$A$2:$A$755,"NZ_CPI",Release_Calendar!$B$2:$B$755,$A1723)&gt;0,1,0))</f>
        <v/>
      </c>
      <c r="N1723" s="16" t="str">
        <f>IF($A1723&lt;Notes!$B$5,"",IF(COUNTIFS(Release_Calendar!$A$2:$A$755,"NZ_GDP",Release_Calendar!$B$2:$B$755,$A1723)&gt;0,1,0))</f>
        <v/>
      </c>
      <c r="O1723" s="16" t="str">
        <f>IF($A1723&lt;Notes!$B$5,"",IF(COUNTIFS(Release_Calendar!$A$2:$A$755,"NZ_LABOUR",Release_Calendar!$B$2:$B$755,$A1723)&gt;0,1,0))</f>
        <v/>
      </c>
      <c r="P1723" s="16">
        <f t="shared" si="4"/>
        <v>0</v>
      </c>
    </row>
    <row r="1724" ht="15.75" customHeight="1">
      <c r="A1724" s="14">
        <v>38938.0</v>
      </c>
      <c r="B1724" s="15">
        <v>4.91</v>
      </c>
      <c r="C1724" s="15"/>
      <c r="D1724" s="15">
        <v>6.57</v>
      </c>
      <c r="E1724" s="15"/>
      <c r="F1724" s="15" t="str">
        <f t="shared" si="1"/>
        <v/>
      </c>
      <c r="G1724" s="15">
        <f t="shared" si="2"/>
        <v>6.57</v>
      </c>
      <c r="H1724" s="16">
        <v>1.0</v>
      </c>
      <c r="I1724" s="15">
        <f t="shared" si="3"/>
        <v>1.66</v>
      </c>
      <c r="J1724" s="15">
        <v>15.2</v>
      </c>
      <c r="K1724" s="16">
        <f>IF(COUNTIFS(Release_Calendar!$A$2:$A$755,"US_CPI",Release_Calendar!$B$2:$B$755,$A1724)&gt;0,1,0)</f>
        <v>0</v>
      </c>
      <c r="L1724" s="16">
        <f>IF(COUNTIFS(Release_Calendar!$A$2:$A$755,"US_NFP",Release_Calendar!$B$2:$B$755,$A1724)&gt;0,1,0)</f>
        <v>0</v>
      </c>
      <c r="M1724" s="16" t="str">
        <f>IF($A1724&lt;Notes!$B$5,"",IF(COUNTIFS(Release_Calendar!$A$2:$A$755,"NZ_CPI",Release_Calendar!$B$2:$B$755,$A1724)&gt;0,1,0))</f>
        <v/>
      </c>
      <c r="N1724" s="16" t="str">
        <f>IF($A1724&lt;Notes!$B$5,"",IF(COUNTIFS(Release_Calendar!$A$2:$A$755,"NZ_GDP",Release_Calendar!$B$2:$B$755,$A1724)&gt;0,1,0))</f>
        <v/>
      </c>
      <c r="O1724" s="16" t="str">
        <f>IF($A1724&lt;Notes!$B$5,"",IF(COUNTIFS(Release_Calendar!$A$2:$A$755,"NZ_LABOUR",Release_Calendar!$B$2:$B$755,$A1724)&gt;0,1,0))</f>
        <v/>
      </c>
      <c r="P1724" s="16">
        <f t="shared" si="4"/>
        <v>0</v>
      </c>
    </row>
    <row r="1725" ht="15.75" customHeight="1">
      <c r="A1725" s="14">
        <v>38939.0</v>
      </c>
      <c r="B1725" s="15">
        <v>4.93</v>
      </c>
      <c r="C1725" s="15"/>
      <c r="D1725" s="15">
        <v>6.64</v>
      </c>
      <c r="E1725" s="15"/>
      <c r="F1725" s="15" t="str">
        <f t="shared" si="1"/>
        <v/>
      </c>
      <c r="G1725" s="15">
        <f t="shared" si="2"/>
        <v>6.64</v>
      </c>
      <c r="H1725" s="16">
        <v>1.0</v>
      </c>
      <c r="I1725" s="15">
        <f t="shared" si="3"/>
        <v>1.71</v>
      </c>
      <c r="J1725" s="15">
        <v>14.46</v>
      </c>
      <c r="K1725" s="16">
        <f>IF(COUNTIFS(Release_Calendar!$A$2:$A$755,"US_CPI",Release_Calendar!$B$2:$B$755,$A1725)&gt;0,1,0)</f>
        <v>0</v>
      </c>
      <c r="L1725" s="16">
        <f>IF(COUNTIFS(Release_Calendar!$A$2:$A$755,"US_NFP",Release_Calendar!$B$2:$B$755,$A1725)&gt;0,1,0)</f>
        <v>0</v>
      </c>
      <c r="M1725" s="16" t="str">
        <f>IF($A1725&lt;Notes!$B$5,"",IF(COUNTIFS(Release_Calendar!$A$2:$A$755,"NZ_CPI",Release_Calendar!$B$2:$B$755,$A1725)&gt;0,1,0))</f>
        <v/>
      </c>
      <c r="N1725" s="16" t="str">
        <f>IF($A1725&lt;Notes!$B$5,"",IF(COUNTIFS(Release_Calendar!$A$2:$A$755,"NZ_GDP",Release_Calendar!$B$2:$B$755,$A1725)&gt;0,1,0))</f>
        <v/>
      </c>
      <c r="O1725" s="16" t="str">
        <f>IF($A1725&lt;Notes!$B$5,"",IF(COUNTIFS(Release_Calendar!$A$2:$A$755,"NZ_LABOUR",Release_Calendar!$B$2:$B$755,$A1725)&gt;0,1,0))</f>
        <v/>
      </c>
      <c r="P1725" s="16">
        <f t="shared" si="4"/>
        <v>0</v>
      </c>
    </row>
    <row r="1726" ht="15.75" customHeight="1">
      <c r="A1726" s="14">
        <v>38940.0</v>
      </c>
      <c r="B1726" s="15">
        <v>4.96</v>
      </c>
      <c r="C1726" s="15"/>
      <c r="D1726" s="15">
        <v>6.65</v>
      </c>
      <c r="E1726" s="15"/>
      <c r="F1726" s="15" t="str">
        <f t="shared" si="1"/>
        <v/>
      </c>
      <c r="G1726" s="15">
        <f t="shared" si="2"/>
        <v>6.65</v>
      </c>
      <c r="H1726" s="16">
        <v>1.0</v>
      </c>
      <c r="I1726" s="15">
        <f t="shared" si="3"/>
        <v>1.69</v>
      </c>
      <c r="J1726" s="15">
        <v>14.3</v>
      </c>
      <c r="K1726" s="16">
        <f>IF(COUNTIFS(Release_Calendar!$A$2:$A$755,"US_CPI",Release_Calendar!$B$2:$B$755,$A1726)&gt;0,1,0)</f>
        <v>0</v>
      </c>
      <c r="L1726" s="16">
        <f>IF(COUNTIFS(Release_Calendar!$A$2:$A$755,"US_NFP",Release_Calendar!$B$2:$B$755,$A1726)&gt;0,1,0)</f>
        <v>0</v>
      </c>
      <c r="M1726" s="16" t="str">
        <f>IF($A1726&lt;Notes!$B$5,"",IF(COUNTIFS(Release_Calendar!$A$2:$A$755,"NZ_CPI",Release_Calendar!$B$2:$B$755,$A1726)&gt;0,1,0))</f>
        <v/>
      </c>
      <c r="N1726" s="16" t="str">
        <f>IF($A1726&lt;Notes!$B$5,"",IF(COUNTIFS(Release_Calendar!$A$2:$A$755,"NZ_GDP",Release_Calendar!$B$2:$B$755,$A1726)&gt;0,1,0))</f>
        <v/>
      </c>
      <c r="O1726" s="16" t="str">
        <f>IF($A1726&lt;Notes!$B$5,"",IF(COUNTIFS(Release_Calendar!$A$2:$A$755,"NZ_LABOUR",Release_Calendar!$B$2:$B$755,$A1726)&gt;0,1,0))</f>
        <v/>
      </c>
      <c r="P1726" s="16">
        <f t="shared" si="4"/>
        <v>0</v>
      </c>
    </row>
    <row r="1727" ht="15.75" customHeight="1">
      <c r="A1727" s="14">
        <v>38943.0</v>
      </c>
      <c r="B1727" s="15">
        <v>5.01</v>
      </c>
      <c r="C1727" s="15"/>
      <c r="D1727" s="15">
        <v>6.67</v>
      </c>
      <c r="E1727" s="15"/>
      <c r="F1727" s="15" t="str">
        <f t="shared" si="1"/>
        <v/>
      </c>
      <c r="G1727" s="15">
        <f t="shared" si="2"/>
        <v>6.67</v>
      </c>
      <c r="H1727" s="16">
        <v>1.0</v>
      </c>
      <c r="I1727" s="15">
        <f t="shared" si="3"/>
        <v>1.66</v>
      </c>
      <c r="J1727" s="15">
        <v>14.26</v>
      </c>
      <c r="K1727" s="16">
        <f>IF(COUNTIFS(Release_Calendar!$A$2:$A$755,"US_CPI",Release_Calendar!$B$2:$B$755,$A1727)&gt;0,1,0)</f>
        <v>0</v>
      </c>
      <c r="L1727" s="16">
        <f>IF(COUNTIFS(Release_Calendar!$A$2:$A$755,"US_NFP",Release_Calendar!$B$2:$B$755,$A1727)&gt;0,1,0)</f>
        <v>0</v>
      </c>
      <c r="M1727" s="16" t="str">
        <f>IF($A1727&lt;Notes!$B$5,"",IF(COUNTIFS(Release_Calendar!$A$2:$A$755,"NZ_CPI",Release_Calendar!$B$2:$B$755,$A1727)&gt;0,1,0))</f>
        <v/>
      </c>
      <c r="N1727" s="16" t="str">
        <f>IF($A1727&lt;Notes!$B$5,"",IF(COUNTIFS(Release_Calendar!$A$2:$A$755,"NZ_GDP",Release_Calendar!$B$2:$B$755,$A1727)&gt;0,1,0))</f>
        <v/>
      </c>
      <c r="O1727" s="16" t="str">
        <f>IF($A1727&lt;Notes!$B$5,"",IF(COUNTIFS(Release_Calendar!$A$2:$A$755,"NZ_LABOUR",Release_Calendar!$B$2:$B$755,$A1727)&gt;0,1,0))</f>
        <v/>
      </c>
      <c r="P1727" s="16">
        <f t="shared" si="4"/>
        <v>0</v>
      </c>
    </row>
    <row r="1728" ht="15.75" customHeight="1">
      <c r="A1728" s="14">
        <v>38944.0</v>
      </c>
      <c r="B1728" s="15">
        <v>4.94</v>
      </c>
      <c r="C1728" s="15"/>
      <c r="D1728" s="15">
        <v>6.74</v>
      </c>
      <c r="E1728" s="15"/>
      <c r="F1728" s="15" t="str">
        <f t="shared" si="1"/>
        <v/>
      </c>
      <c r="G1728" s="15">
        <f t="shared" si="2"/>
        <v>6.74</v>
      </c>
      <c r="H1728" s="16">
        <v>1.0</v>
      </c>
      <c r="I1728" s="15">
        <f t="shared" si="3"/>
        <v>1.8</v>
      </c>
      <c r="J1728" s="15">
        <v>13.42</v>
      </c>
      <c r="K1728" s="16">
        <f>IF(COUNTIFS(Release_Calendar!$A$2:$A$755,"US_CPI",Release_Calendar!$B$2:$B$755,$A1728)&gt;0,1,0)</f>
        <v>0</v>
      </c>
      <c r="L1728" s="16">
        <f>IF(COUNTIFS(Release_Calendar!$A$2:$A$755,"US_NFP",Release_Calendar!$B$2:$B$755,$A1728)&gt;0,1,0)</f>
        <v>0</v>
      </c>
      <c r="M1728" s="16" t="str">
        <f>IF($A1728&lt;Notes!$B$5,"",IF(COUNTIFS(Release_Calendar!$A$2:$A$755,"NZ_CPI",Release_Calendar!$B$2:$B$755,$A1728)&gt;0,1,0))</f>
        <v/>
      </c>
      <c r="N1728" s="16" t="str">
        <f>IF($A1728&lt;Notes!$B$5,"",IF(COUNTIFS(Release_Calendar!$A$2:$A$755,"NZ_GDP",Release_Calendar!$B$2:$B$755,$A1728)&gt;0,1,0))</f>
        <v/>
      </c>
      <c r="O1728" s="16" t="str">
        <f>IF($A1728&lt;Notes!$B$5,"",IF(COUNTIFS(Release_Calendar!$A$2:$A$755,"NZ_LABOUR",Release_Calendar!$B$2:$B$755,$A1728)&gt;0,1,0))</f>
        <v/>
      </c>
      <c r="P1728" s="16">
        <f t="shared" si="4"/>
        <v>0</v>
      </c>
    </row>
    <row r="1729" ht="15.75" customHeight="1">
      <c r="A1729" s="14">
        <v>38945.0</v>
      </c>
      <c r="B1729" s="15">
        <v>4.87</v>
      </c>
      <c r="C1729" s="15"/>
      <c r="D1729" s="15">
        <v>6.72</v>
      </c>
      <c r="E1729" s="15"/>
      <c r="F1729" s="15" t="str">
        <f t="shared" si="1"/>
        <v/>
      </c>
      <c r="G1729" s="15">
        <f t="shared" si="2"/>
        <v>6.72</v>
      </c>
      <c r="H1729" s="16">
        <v>1.0</v>
      </c>
      <c r="I1729" s="15">
        <f t="shared" si="3"/>
        <v>1.85</v>
      </c>
      <c r="J1729" s="15">
        <v>12.41</v>
      </c>
      <c r="K1729" s="16">
        <f>IF(COUNTIFS(Release_Calendar!$A$2:$A$755,"US_CPI",Release_Calendar!$B$2:$B$755,$A1729)&gt;0,1,0)</f>
        <v>1</v>
      </c>
      <c r="L1729" s="16">
        <f>IF(COUNTIFS(Release_Calendar!$A$2:$A$755,"US_NFP",Release_Calendar!$B$2:$B$755,$A1729)&gt;0,1,0)</f>
        <v>0</v>
      </c>
      <c r="M1729" s="16" t="str">
        <f>IF($A1729&lt;Notes!$B$5,"",IF(COUNTIFS(Release_Calendar!$A$2:$A$755,"NZ_CPI",Release_Calendar!$B$2:$B$755,$A1729)&gt;0,1,0))</f>
        <v/>
      </c>
      <c r="N1729" s="16" t="str">
        <f>IF($A1729&lt;Notes!$B$5,"",IF(COUNTIFS(Release_Calendar!$A$2:$A$755,"NZ_GDP",Release_Calendar!$B$2:$B$755,$A1729)&gt;0,1,0))</f>
        <v/>
      </c>
      <c r="O1729" s="16" t="str">
        <f>IF($A1729&lt;Notes!$B$5,"",IF(COUNTIFS(Release_Calendar!$A$2:$A$755,"NZ_LABOUR",Release_Calendar!$B$2:$B$755,$A1729)&gt;0,1,0))</f>
        <v/>
      </c>
      <c r="P1729" s="16">
        <f t="shared" si="4"/>
        <v>1</v>
      </c>
    </row>
    <row r="1730" ht="15.75" customHeight="1">
      <c r="A1730" s="14">
        <v>38946.0</v>
      </c>
      <c r="B1730" s="15">
        <v>4.89</v>
      </c>
      <c r="C1730" s="15"/>
      <c r="D1730" s="15">
        <v>6.73</v>
      </c>
      <c r="E1730" s="15"/>
      <c r="F1730" s="15" t="str">
        <f t="shared" si="1"/>
        <v/>
      </c>
      <c r="G1730" s="15">
        <f t="shared" si="2"/>
        <v>6.73</v>
      </c>
      <c r="H1730" s="16">
        <v>1.0</v>
      </c>
      <c r="I1730" s="15">
        <f t="shared" si="3"/>
        <v>1.84</v>
      </c>
      <c r="J1730" s="15">
        <v>12.24</v>
      </c>
      <c r="K1730" s="16">
        <f>IF(COUNTIFS(Release_Calendar!$A$2:$A$755,"US_CPI",Release_Calendar!$B$2:$B$755,$A1730)&gt;0,1,0)</f>
        <v>0</v>
      </c>
      <c r="L1730" s="16">
        <f>IF(COUNTIFS(Release_Calendar!$A$2:$A$755,"US_NFP",Release_Calendar!$B$2:$B$755,$A1730)&gt;0,1,0)</f>
        <v>0</v>
      </c>
      <c r="M1730" s="16" t="str">
        <f>IF($A1730&lt;Notes!$B$5,"",IF(COUNTIFS(Release_Calendar!$A$2:$A$755,"NZ_CPI",Release_Calendar!$B$2:$B$755,$A1730)&gt;0,1,0))</f>
        <v/>
      </c>
      <c r="N1730" s="16" t="str">
        <f>IF($A1730&lt;Notes!$B$5,"",IF(COUNTIFS(Release_Calendar!$A$2:$A$755,"NZ_GDP",Release_Calendar!$B$2:$B$755,$A1730)&gt;0,1,0))</f>
        <v/>
      </c>
      <c r="O1730" s="16" t="str">
        <f>IF($A1730&lt;Notes!$B$5,"",IF(COUNTIFS(Release_Calendar!$A$2:$A$755,"NZ_LABOUR",Release_Calendar!$B$2:$B$755,$A1730)&gt;0,1,0))</f>
        <v/>
      </c>
      <c r="P1730" s="16">
        <f t="shared" si="4"/>
        <v>0</v>
      </c>
    </row>
    <row r="1731" ht="15.75" customHeight="1">
      <c r="A1731" s="14">
        <v>38947.0</v>
      </c>
      <c r="B1731" s="15">
        <v>4.87</v>
      </c>
      <c r="C1731" s="15"/>
      <c r="D1731" s="15">
        <v>6.73</v>
      </c>
      <c r="E1731" s="15"/>
      <c r="F1731" s="15" t="str">
        <f t="shared" si="1"/>
        <v/>
      </c>
      <c r="G1731" s="15">
        <f t="shared" si="2"/>
        <v>6.73</v>
      </c>
      <c r="H1731" s="16">
        <v>1.0</v>
      </c>
      <c r="I1731" s="15">
        <f t="shared" si="3"/>
        <v>1.86</v>
      </c>
      <c r="J1731" s="15">
        <v>11.64</v>
      </c>
      <c r="K1731" s="16">
        <f>IF(COUNTIFS(Release_Calendar!$A$2:$A$755,"US_CPI",Release_Calendar!$B$2:$B$755,$A1731)&gt;0,1,0)</f>
        <v>0</v>
      </c>
      <c r="L1731" s="16">
        <f>IF(COUNTIFS(Release_Calendar!$A$2:$A$755,"US_NFP",Release_Calendar!$B$2:$B$755,$A1731)&gt;0,1,0)</f>
        <v>0</v>
      </c>
      <c r="M1731" s="16" t="str">
        <f>IF($A1731&lt;Notes!$B$5,"",IF(COUNTIFS(Release_Calendar!$A$2:$A$755,"NZ_CPI",Release_Calendar!$B$2:$B$755,$A1731)&gt;0,1,0))</f>
        <v/>
      </c>
      <c r="N1731" s="16" t="str">
        <f>IF($A1731&lt;Notes!$B$5,"",IF(COUNTIFS(Release_Calendar!$A$2:$A$755,"NZ_GDP",Release_Calendar!$B$2:$B$755,$A1731)&gt;0,1,0))</f>
        <v/>
      </c>
      <c r="O1731" s="16" t="str">
        <f>IF($A1731&lt;Notes!$B$5,"",IF(COUNTIFS(Release_Calendar!$A$2:$A$755,"NZ_LABOUR",Release_Calendar!$B$2:$B$755,$A1731)&gt;0,1,0))</f>
        <v/>
      </c>
      <c r="P1731" s="16">
        <f t="shared" si="4"/>
        <v>0</v>
      </c>
    </row>
    <row r="1732" ht="15.75" customHeight="1">
      <c r="A1732" s="14">
        <v>38950.0</v>
      </c>
      <c r="B1732" s="15">
        <v>4.85</v>
      </c>
      <c r="C1732" s="15"/>
      <c r="D1732" s="15">
        <v>6.71</v>
      </c>
      <c r="E1732" s="15"/>
      <c r="F1732" s="15" t="str">
        <f t="shared" si="1"/>
        <v/>
      </c>
      <c r="G1732" s="15">
        <f t="shared" si="2"/>
        <v>6.71</v>
      </c>
      <c r="H1732" s="16">
        <v>1.0</v>
      </c>
      <c r="I1732" s="15">
        <f t="shared" si="3"/>
        <v>1.86</v>
      </c>
      <c r="J1732" s="15">
        <v>12.22</v>
      </c>
      <c r="K1732" s="16">
        <f>IF(COUNTIFS(Release_Calendar!$A$2:$A$755,"US_CPI",Release_Calendar!$B$2:$B$755,$A1732)&gt;0,1,0)</f>
        <v>0</v>
      </c>
      <c r="L1732" s="16">
        <f>IF(COUNTIFS(Release_Calendar!$A$2:$A$755,"US_NFP",Release_Calendar!$B$2:$B$755,$A1732)&gt;0,1,0)</f>
        <v>0</v>
      </c>
      <c r="M1732" s="16" t="str">
        <f>IF($A1732&lt;Notes!$B$5,"",IF(COUNTIFS(Release_Calendar!$A$2:$A$755,"NZ_CPI",Release_Calendar!$B$2:$B$755,$A1732)&gt;0,1,0))</f>
        <v/>
      </c>
      <c r="N1732" s="16" t="str">
        <f>IF($A1732&lt;Notes!$B$5,"",IF(COUNTIFS(Release_Calendar!$A$2:$A$755,"NZ_GDP",Release_Calendar!$B$2:$B$755,$A1732)&gt;0,1,0))</f>
        <v/>
      </c>
      <c r="O1732" s="16" t="str">
        <f>IF($A1732&lt;Notes!$B$5,"",IF(COUNTIFS(Release_Calendar!$A$2:$A$755,"NZ_LABOUR",Release_Calendar!$B$2:$B$755,$A1732)&gt;0,1,0))</f>
        <v/>
      </c>
      <c r="P1732" s="16">
        <f t="shared" si="4"/>
        <v>0</v>
      </c>
    </row>
    <row r="1733" ht="15.75" customHeight="1">
      <c r="A1733" s="14">
        <v>38951.0</v>
      </c>
      <c r="B1733" s="15">
        <v>4.87</v>
      </c>
      <c r="C1733" s="15"/>
      <c r="D1733" s="15">
        <v>6.68</v>
      </c>
      <c r="E1733" s="15"/>
      <c r="F1733" s="15" t="str">
        <f t="shared" si="1"/>
        <v/>
      </c>
      <c r="G1733" s="15">
        <f t="shared" si="2"/>
        <v>6.68</v>
      </c>
      <c r="H1733" s="16">
        <v>1.0</v>
      </c>
      <c r="I1733" s="15">
        <f t="shared" si="3"/>
        <v>1.81</v>
      </c>
      <c r="J1733" s="15">
        <v>12.19</v>
      </c>
      <c r="K1733" s="16">
        <f>IF(COUNTIFS(Release_Calendar!$A$2:$A$755,"US_CPI",Release_Calendar!$B$2:$B$755,$A1733)&gt;0,1,0)</f>
        <v>0</v>
      </c>
      <c r="L1733" s="16">
        <f>IF(COUNTIFS(Release_Calendar!$A$2:$A$755,"US_NFP",Release_Calendar!$B$2:$B$755,$A1733)&gt;0,1,0)</f>
        <v>0</v>
      </c>
      <c r="M1733" s="16" t="str">
        <f>IF($A1733&lt;Notes!$B$5,"",IF(COUNTIFS(Release_Calendar!$A$2:$A$755,"NZ_CPI",Release_Calendar!$B$2:$B$755,$A1733)&gt;0,1,0))</f>
        <v/>
      </c>
      <c r="N1733" s="16" t="str">
        <f>IF($A1733&lt;Notes!$B$5,"",IF(COUNTIFS(Release_Calendar!$A$2:$A$755,"NZ_GDP",Release_Calendar!$B$2:$B$755,$A1733)&gt;0,1,0))</f>
        <v/>
      </c>
      <c r="O1733" s="16" t="str">
        <f>IF($A1733&lt;Notes!$B$5,"",IF(COUNTIFS(Release_Calendar!$A$2:$A$755,"NZ_LABOUR",Release_Calendar!$B$2:$B$755,$A1733)&gt;0,1,0))</f>
        <v/>
      </c>
      <c r="P1733" s="16">
        <f t="shared" si="4"/>
        <v>0</v>
      </c>
    </row>
    <row r="1734" ht="15.75" customHeight="1">
      <c r="A1734" s="14">
        <v>38952.0</v>
      </c>
      <c r="B1734" s="15">
        <v>4.87</v>
      </c>
      <c r="C1734" s="15"/>
      <c r="D1734" s="15">
        <v>6.69</v>
      </c>
      <c r="E1734" s="15"/>
      <c r="F1734" s="15" t="str">
        <f t="shared" si="1"/>
        <v/>
      </c>
      <c r="G1734" s="15">
        <f t="shared" si="2"/>
        <v>6.69</v>
      </c>
      <c r="H1734" s="16">
        <v>1.0</v>
      </c>
      <c r="I1734" s="15">
        <f t="shared" si="3"/>
        <v>1.82</v>
      </c>
      <c r="J1734" s="15">
        <v>12.4</v>
      </c>
      <c r="K1734" s="16">
        <f>IF(COUNTIFS(Release_Calendar!$A$2:$A$755,"US_CPI",Release_Calendar!$B$2:$B$755,$A1734)&gt;0,1,0)</f>
        <v>0</v>
      </c>
      <c r="L1734" s="16">
        <f>IF(COUNTIFS(Release_Calendar!$A$2:$A$755,"US_NFP",Release_Calendar!$B$2:$B$755,$A1734)&gt;0,1,0)</f>
        <v>0</v>
      </c>
      <c r="M1734" s="16" t="str">
        <f>IF($A1734&lt;Notes!$B$5,"",IF(COUNTIFS(Release_Calendar!$A$2:$A$755,"NZ_CPI",Release_Calendar!$B$2:$B$755,$A1734)&gt;0,1,0))</f>
        <v/>
      </c>
      <c r="N1734" s="16" t="str">
        <f>IF($A1734&lt;Notes!$B$5,"",IF(COUNTIFS(Release_Calendar!$A$2:$A$755,"NZ_GDP",Release_Calendar!$B$2:$B$755,$A1734)&gt;0,1,0))</f>
        <v/>
      </c>
      <c r="O1734" s="16" t="str">
        <f>IF($A1734&lt;Notes!$B$5,"",IF(COUNTIFS(Release_Calendar!$A$2:$A$755,"NZ_LABOUR",Release_Calendar!$B$2:$B$755,$A1734)&gt;0,1,0))</f>
        <v/>
      </c>
      <c r="P1734" s="16">
        <f t="shared" si="4"/>
        <v>0</v>
      </c>
    </row>
    <row r="1735" ht="15.75" customHeight="1">
      <c r="A1735" s="14">
        <v>38953.0</v>
      </c>
      <c r="B1735" s="15">
        <v>4.88</v>
      </c>
      <c r="C1735" s="15"/>
      <c r="D1735" s="15">
        <v>6.68</v>
      </c>
      <c r="E1735" s="15"/>
      <c r="F1735" s="15" t="str">
        <f t="shared" si="1"/>
        <v/>
      </c>
      <c r="G1735" s="15">
        <f t="shared" si="2"/>
        <v>6.68</v>
      </c>
      <c r="H1735" s="16">
        <v>1.0</v>
      </c>
      <c r="I1735" s="15">
        <f t="shared" si="3"/>
        <v>1.8</v>
      </c>
      <c r="J1735" s="15">
        <v>12.4</v>
      </c>
      <c r="K1735" s="16">
        <f>IF(COUNTIFS(Release_Calendar!$A$2:$A$755,"US_CPI",Release_Calendar!$B$2:$B$755,$A1735)&gt;0,1,0)</f>
        <v>0</v>
      </c>
      <c r="L1735" s="16">
        <f>IF(COUNTIFS(Release_Calendar!$A$2:$A$755,"US_NFP",Release_Calendar!$B$2:$B$755,$A1735)&gt;0,1,0)</f>
        <v>0</v>
      </c>
      <c r="M1735" s="16" t="str">
        <f>IF($A1735&lt;Notes!$B$5,"",IF(COUNTIFS(Release_Calendar!$A$2:$A$755,"NZ_CPI",Release_Calendar!$B$2:$B$755,$A1735)&gt;0,1,0))</f>
        <v/>
      </c>
      <c r="N1735" s="16" t="str">
        <f>IF($A1735&lt;Notes!$B$5,"",IF(COUNTIFS(Release_Calendar!$A$2:$A$755,"NZ_GDP",Release_Calendar!$B$2:$B$755,$A1735)&gt;0,1,0))</f>
        <v/>
      </c>
      <c r="O1735" s="16" t="str">
        <f>IF($A1735&lt;Notes!$B$5,"",IF(COUNTIFS(Release_Calendar!$A$2:$A$755,"NZ_LABOUR",Release_Calendar!$B$2:$B$755,$A1735)&gt;0,1,0))</f>
        <v/>
      </c>
      <c r="P1735" s="16">
        <f t="shared" si="4"/>
        <v>0</v>
      </c>
    </row>
    <row r="1736" ht="15.75" customHeight="1">
      <c r="A1736" s="14">
        <v>38954.0</v>
      </c>
      <c r="B1736" s="15">
        <v>4.86</v>
      </c>
      <c r="C1736" s="15"/>
      <c r="D1736" s="15">
        <v>6.67</v>
      </c>
      <c r="E1736" s="15"/>
      <c r="F1736" s="15" t="str">
        <f t="shared" si="1"/>
        <v/>
      </c>
      <c r="G1736" s="15">
        <f t="shared" si="2"/>
        <v>6.67</v>
      </c>
      <c r="H1736" s="16">
        <v>1.0</v>
      </c>
      <c r="I1736" s="15">
        <f t="shared" si="3"/>
        <v>1.81</v>
      </c>
      <c r="J1736" s="15">
        <v>12.31</v>
      </c>
      <c r="K1736" s="16">
        <f>IF(COUNTIFS(Release_Calendar!$A$2:$A$755,"US_CPI",Release_Calendar!$B$2:$B$755,$A1736)&gt;0,1,0)</f>
        <v>0</v>
      </c>
      <c r="L1736" s="16">
        <f>IF(COUNTIFS(Release_Calendar!$A$2:$A$755,"US_NFP",Release_Calendar!$B$2:$B$755,$A1736)&gt;0,1,0)</f>
        <v>0</v>
      </c>
      <c r="M1736" s="16" t="str">
        <f>IF($A1736&lt;Notes!$B$5,"",IF(COUNTIFS(Release_Calendar!$A$2:$A$755,"NZ_CPI",Release_Calendar!$B$2:$B$755,$A1736)&gt;0,1,0))</f>
        <v/>
      </c>
      <c r="N1736" s="16" t="str">
        <f>IF($A1736&lt;Notes!$B$5,"",IF(COUNTIFS(Release_Calendar!$A$2:$A$755,"NZ_GDP",Release_Calendar!$B$2:$B$755,$A1736)&gt;0,1,0))</f>
        <v/>
      </c>
      <c r="O1736" s="16" t="str">
        <f>IF($A1736&lt;Notes!$B$5,"",IF(COUNTIFS(Release_Calendar!$A$2:$A$755,"NZ_LABOUR",Release_Calendar!$B$2:$B$755,$A1736)&gt;0,1,0))</f>
        <v/>
      </c>
      <c r="P1736" s="16">
        <f t="shared" si="4"/>
        <v>0</v>
      </c>
    </row>
    <row r="1737" ht="15.75" customHeight="1">
      <c r="A1737" s="14">
        <v>38957.0</v>
      </c>
      <c r="B1737" s="15">
        <v>4.88</v>
      </c>
      <c r="C1737" s="15"/>
      <c r="D1737" s="15">
        <v>6.65</v>
      </c>
      <c r="E1737" s="15"/>
      <c r="F1737" s="15" t="str">
        <f t="shared" si="1"/>
        <v/>
      </c>
      <c r="G1737" s="15">
        <f t="shared" si="2"/>
        <v>6.65</v>
      </c>
      <c r="H1737" s="16">
        <v>1.0</v>
      </c>
      <c r="I1737" s="15">
        <f t="shared" si="3"/>
        <v>1.77</v>
      </c>
      <c r="J1737" s="15">
        <v>12.18</v>
      </c>
      <c r="K1737" s="16">
        <f>IF(COUNTIFS(Release_Calendar!$A$2:$A$755,"US_CPI",Release_Calendar!$B$2:$B$755,$A1737)&gt;0,1,0)</f>
        <v>0</v>
      </c>
      <c r="L1737" s="16">
        <f>IF(COUNTIFS(Release_Calendar!$A$2:$A$755,"US_NFP",Release_Calendar!$B$2:$B$755,$A1737)&gt;0,1,0)</f>
        <v>0</v>
      </c>
      <c r="M1737" s="16" t="str">
        <f>IF($A1737&lt;Notes!$B$5,"",IF(COUNTIFS(Release_Calendar!$A$2:$A$755,"NZ_CPI",Release_Calendar!$B$2:$B$755,$A1737)&gt;0,1,0))</f>
        <v/>
      </c>
      <c r="N1737" s="16" t="str">
        <f>IF($A1737&lt;Notes!$B$5,"",IF(COUNTIFS(Release_Calendar!$A$2:$A$755,"NZ_GDP",Release_Calendar!$B$2:$B$755,$A1737)&gt;0,1,0))</f>
        <v/>
      </c>
      <c r="O1737" s="16" t="str">
        <f>IF($A1737&lt;Notes!$B$5,"",IF(COUNTIFS(Release_Calendar!$A$2:$A$755,"NZ_LABOUR",Release_Calendar!$B$2:$B$755,$A1737)&gt;0,1,0))</f>
        <v/>
      </c>
      <c r="P1737" s="16">
        <f t="shared" si="4"/>
        <v>0</v>
      </c>
    </row>
    <row r="1738" ht="15.75" customHeight="1">
      <c r="A1738" s="14">
        <v>38958.0</v>
      </c>
      <c r="B1738" s="15">
        <v>4.87</v>
      </c>
      <c r="C1738" s="15"/>
      <c r="D1738" s="15">
        <v>6.65</v>
      </c>
      <c r="E1738" s="15"/>
      <c r="F1738" s="15" t="str">
        <f t="shared" si="1"/>
        <v/>
      </c>
      <c r="G1738" s="15">
        <f t="shared" si="2"/>
        <v>6.65</v>
      </c>
      <c r="H1738" s="16">
        <v>1.0</v>
      </c>
      <c r="I1738" s="15">
        <f t="shared" si="3"/>
        <v>1.78</v>
      </c>
      <c r="J1738" s="15">
        <v>12.28</v>
      </c>
      <c r="K1738" s="16">
        <f>IF(COUNTIFS(Release_Calendar!$A$2:$A$755,"US_CPI",Release_Calendar!$B$2:$B$755,$A1738)&gt;0,1,0)</f>
        <v>0</v>
      </c>
      <c r="L1738" s="16">
        <f>IF(COUNTIFS(Release_Calendar!$A$2:$A$755,"US_NFP",Release_Calendar!$B$2:$B$755,$A1738)&gt;0,1,0)</f>
        <v>0</v>
      </c>
      <c r="M1738" s="16" t="str">
        <f>IF($A1738&lt;Notes!$B$5,"",IF(COUNTIFS(Release_Calendar!$A$2:$A$755,"NZ_CPI",Release_Calendar!$B$2:$B$755,$A1738)&gt;0,1,0))</f>
        <v/>
      </c>
      <c r="N1738" s="16" t="str">
        <f>IF($A1738&lt;Notes!$B$5,"",IF(COUNTIFS(Release_Calendar!$A$2:$A$755,"NZ_GDP",Release_Calendar!$B$2:$B$755,$A1738)&gt;0,1,0))</f>
        <v/>
      </c>
      <c r="O1738" s="16" t="str">
        <f>IF($A1738&lt;Notes!$B$5,"",IF(COUNTIFS(Release_Calendar!$A$2:$A$755,"NZ_LABOUR",Release_Calendar!$B$2:$B$755,$A1738)&gt;0,1,0))</f>
        <v/>
      </c>
      <c r="P1738" s="16">
        <f t="shared" si="4"/>
        <v>0</v>
      </c>
    </row>
    <row r="1739" ht="15.75" customHeight="1">
      <c r="A1739" s="14">
        <v>38959.0</v>
      </c>
      <c r="B1739" s="15">
        <v>4.83</v>
      </c>
      <c r="C1739" s="15"/>
      <c r="D1739" s="15">
        <v>6.64</v>
      </c>
      <c r="E1739" s="15"/>
      <c r="F1739" s="15" t="str">
        <f t="shared" si="1"/>
        <v/>
      </c>
      <c r="G1739" s="15">
        <f t="shared" si="2"/>
        <v>6.64</v>
      </c>
      <c r="H1739" s="16">
        <v>1.0</v>
      </c>
      <c r="I1739" s="15">
        <f t="shared" si="3"/>
        <v>1.81</v>
      </c>
      <c r="J1739" s="15">
        <v>12.22</v>
      </c>
      <c r="K1739" s="16">
        <f>IF(COUNTIFS(Release_Calendar!$A$2:$A$755,"US_CPI",Release_Calendar!$B$2:$B$755,$A1739)&gt;0,1,0)</f>
        <v>0</v>
      </c>
      <c r="L1739" s="16">
        <f>IF(COUNTIFS(Release_Calendar!$A$2:$A$755,"US_NFP",Release_Calendar!$B$2:$B$755,$A1739)&gt;0,1,0)</f>
        <v>0</v>
      </c>
      <c r="M1739" s="16" t="str">
        <f>IF($A1739&lt;Notes!$B$5,"",IF(COUNTIFS(Release_Calendar!$A$2:$A$755,"NZ_CPI",Release_Calendar!$B$2:$B$755,$A1739)&gt;0,1,0))</f>
        <v/>
      </c>
      <c r="N1739" s="16" t="str">
        <f>IF($A1739&lt;Notes!$B$5,"",IF(COUNTIFS(Release_Calendar!$A$2:$A$755,"NZ_GDP",Release_Calendar!$B$2:$B$755,$A1739)&gt;0,1,0))</f>
        <v/>
      </c>
      <c r="O1739" s="16" t="str">
        <f>IF($A1739&lt;Notes!$B$5,"",IF(COUNTIFS(Release_Calendar!$A$2:$A$755,"NZ_LABOUR",Release_Calendar!$B$2:$B$755,$A1739)&gt;0,1,0))</f>
        <v/>
      </c>
      <c r="P1739" s="16">
        <f t="shared" si="4"/>
        <v>0</v>
      </c>
    </row>
    <row r="1740" ht="15.75" customHeight="1">
      <c r="A1740" s="14">
        <v>38960.0</v>
      </c>
      <c r="B1740" s="15">
        <v>4.79</v>
      </c>
      <c r="C1740" s="15"/>
      <c r="D1740" s="15">
        <v>6.63</v>
      </c>
      <c r="E1740" s="15"/>
      <c r="F1740" s="15" t="str">
        <f t="shared" si="1"/>
        <v/>
      </c>
      <c r="G1740" s="15">
        <f t="shared" si="2"/>
        <v>6.63</v>
      </c>
      <c r="H1740" s="16">
        <v>1.0</v>
      </c>
      <c r="I1740" s="15">
        <f t="shared" si="3"/>
        <v>1.84</v>
      </c>
      <c r="J1740" s="15">
        <v>12.31</v>
      </c>
      <c r="K1740" s="16">
        <f>IF(COUNTIFS(Release_Calendar!$A$2:$A$755,"US_CPI",Release_Calendar!$B$2:$B$755,$A1740)&gt;0,1,0)</f>
        <v>0</v>
      </c>
      <c r="L1740" s="16">
        <f>IF(COUNTIFS(Release_Calendar!$A$2:$A$755,"US_NFP",Release_Calendar!$B$2:$B$755,$A1740)&gt;0,1,0)</f>
        <v>0</v>
      </c>
      <c r="M1740" s="16" t="str">
        <f>IF($A1740&lt;Notes!$B$5,"",IF(COUNTIFS(Release_Calendar!$A$2:$A$755,"NZ_CPI",Release_Calendar!$B$2:$B$755,$A1740)&gt;0,1,0))</f>
        <v/>
      </c>
      <c r="N1740" s="16" t="str">
        <f>IF($A1740&lt;Notes!$B$5,"",IF(COUNTIFS(Release_Calendar!$A$2:$A$755,"NZ_GDP",Release_Calendar!$B$2:$B$755,$A1740)&gt;0,1,0))</f>
        <v/>
      </c>
      <c r="O1740" s="16" t="str">
        <f>IF($A1740&lt;Notes!$B$5,"",IF(COUNTIFS(Release_Calendar!$A$2:$A$755,"NZ_LABOUR",Release_Calendar!$B$2:$B$755,$A1740)&gt;0,1,0))</f>
        <v/>
      </c>
      <c r="P1740" s="16">
        <f t="shared" si="4"/>
        <v>0</v>
      </c>
    </row>
    <row r="1741" ht="15.75" customHeight="1">
      <c r="A1741" s="14">
        <v>38961.0</v>
      </c>
      <c r="B1741" s="15">
        <v>4.77</v>
      </c>
      <c r="C1741" s="15"/>
      <c r="D1741" s="15">
        <v>6.62</v>
      </c>
      <c r="E1741" s="15"/>
      <c r="F1741" s="15" t="str">
        <f t="shared" si="1"/>
        <v/>
      </c>
      <c r="G1741" s="15">
        <f t="shared" si="2"/>
        <v>6.62</v>
      </c>
      <c r="H1741" s="16">
        <v>1.0</v>
      </c>
      <c r="I1741" s="15">
        <f t="shared" si="3"/>
        <v>1.85</v>
      </c>
      <c r="J1741" s="15">
        <v>11.96</v>
      </c>
      <c r="K1741" s="16">
        <f>IF(COUNTIFS(Release_Calendar!$A$2:$A$755,"US_CPI",Release_Calendar!$B$2:$B$755,$A1741)&gt;0,1,0)</f>
        <v>0</v>
      </c>
      <c r="L1741" s="16">
        <f>IF(COUNTIFS(Release_Calendar!$A$2:$A$755,"US_NFP",Release_Calendar!$B$2:$B$755,$A1741)&gt;0,1,0)</f>
        <v>1</v>
      </c>
      <c r="M1741" s="16" t="str">
        <f>IF($A1741&lt;Notes!$B$5,"",IF(COUNTIFS(Release_Calendar!$A$2:$A$755,"NZ_CPI",Release_Calendar!$B$2:$B$755,$A1741)&gt;0,1,0))</f>
        <v/>
      </c>
      <c r="N1741" s="16" t="str">
        <f>IF($A1741&lt;Notes!$B$5,"",IF(COUNTIFS(Release_Calendar!$A$2:$A$755,"NZ_GDP",Release_Calendar!$B$2:$B$755,$A1741)&gt;0,1,0))</f>
        <v/>
      </c>
      <c r="O1741" s="16" t="str">
        <f>IF($A1741&lt;Notes!$B$5,"",IF(COUNTIFS(Release_Calendar!$A$2:$A$755,"NZ_LABOUR",Release_Calendar!$B$2:$B$755,$A1741)&gt;0,1,0))</f>
        <v/>
      </c>
      <c r="P1741" s="16">
        <f t="shared" si="4"/>
        <v>1</v>
      </c>
    </row>
    <row r="1742" ht="15.75" customHeight="1">
      <c r="A1742" s="14">
        <v>38964.0</v>
      </c>
      <c r="B1742" s="15"/>
      <c r="C1742" s="15"/>
      <c r="D1742" s="15">
        <v>6.62</v>
      </c>
      <c r="E1742" s="15"/>
      <c r="F1742" s="15" t="str">
        <f t="shared" si="1"/>
        <v/>
      </c>
      <c r="G1742" s="15">
        <f t="shared" si="2"/>
        <v>6.62</v>
      </c>
      <c r="H1742" s="16">
        <v>1.0</v>
      </c>
      <c r="I1742" s="15" t="str">
        <f t="shared" si="3"/>
        <v/>
      </c>
      <c r="J1742" s="15"/>
      <c r="K1742" s="16">
        <f>IF(COUNTIFS(Release_Calendar!$A$2:$A$755,"US_CPI",Release_Calendar!$B$2:$B$755,$A1742)&gt;0,1,0)</f>
        <v>0</v>
      </c>
      <c r="L1742" s="16">
        <f>IF(COUNTIFS(Release_Calendar!$A$2:$A$755,"US_NFP",Release_Calendar!$B$2:$B$755,$A1742)&gt;0,1,0)</f>
        <v>0</v>
      </c>
      <c r="M1742" s="16" t="str">
        <f>IF($A1742&lt;Notes!$B$5,"",IF(COUNTIFS(Release_Calendar!$A$2:$A$755,"NZ_CPI",Release_Calendar!$B$2:$B$755,$A1742)&gt;0,1,0))</f>
        <v/>
      </c>
      <c r="N1742" s="16" t="str">
        <f>IF($A1742&lt;Notes!$B$5,"",IF(COUNTIFS(Release_Calendar!$A$2:$A$755,"NZ_GDP",Release_Calendar!$B$2:$B$755,$A1742)&gt;0,1,0))</f>
        <v/>
      </c>
      <c r="O1742" s="16" t="str">
        <f>IF($A1742&lt;Notes!$B$5,"",IF(COUNTIFS(Release_Calendar!$A$2:$A$755,"NZ_LABOUR",Release_Calendar!$B$2:$B$755,$A1742)&gt;0,1,0))</f>
        <v/>
      </c>
      <c r="P1742" s="16">
        <f t="shared" si="4"/>
        <v>0</v>
      </c>
    </row>
    <row r="1743" ht="15.75" customHeight="1">
      <c r="A1743" s="14">
        <v>38965.0</v>
      </c>
      <c r="B1743" s="15">
        <v>4.8</v>
      </c>
      <c r="C1743" s="15"/>
      <c r="D1743" s="15">
        <v>6.64</v>
      </c>
      <c r="E1743" s="15"/>
      <c r="F1743" s="15" t="str">
        <f t="shared" si="1"/>
        <v/>
      </c>
      <c r="G1743" s="15">
        <f t="shared" si="2"/>
        <v>6.64</v>
      </c>
      <c r="H1743" s="16">
        <v>1.0</v>
      </c>
      <c r="I1743" s="15">
        <f t="shared" si="3"/>
        <v>1.84</v>
      </c>
      <c r="J1743" s="15">
        <v>12.63</v>
      </c>
      <c r="K1743" s="16">
        <f>IF(COUNTIFS(Release_Calendar!$A$2:$A$755,"US_CPI",Release_Calendar!$B$2:$B$755,$A1743)&gt;0,1,0)</f>
        <v>0</v>
      </c>
      <c r="L1743" s="16">
        <f>IF(COUNTIFS(Release_Calendar!$A$2:$A$755,"US_NFP",Release_Calendar!$B$2:$B$755,$A1743)&gt;0,1,0)</f>
        <v>0</v>
      </c>
      <c r="M1743" s="16" t="str">
        <f>IF($A1743&lt;Notes!$B$5,"",IF(COUNTIFS(Release_Calendar!$A$2:$A$755,"NZ_CPI",Release_Calendar!$B$2:$B$755,$A1743)&gt;0,1,0))</f>
        <v/>
      </c>
      <c r="N1743" s="16" t="str">
        <f>IF($A1743&lt;Notes!$B$5,"",IF(COUNTIFS(Release_Calendar!$A$2:$A$755,"NZ_GDP",Release_Calendar!$B$2:$B$755,$A1743)&gt;0,1,0))</f>
        <v/>
      </c>
      <c r="O1743" s="16" t="str">
        <f>IF($A1743&lt;Notes!$B$5,"",IF(COUNTIFS(Release_Calendar!$A$2:$A$755,"NZ_LABOUR",Release_Calendar!$B$2:$B$755,$A1743)&gt;0,1,0))</f>
        <v/>
      </c>
      <c r="P1743" s="16">
        <f t="shared" si="4"/>
        <v>0</v>
      </c>
    </row>
    <row r="1744" ht="15.75" customHeight="1">
      <c r="A1744" s="14">
        <v>38966.0</v>
      </c>
      <c r="B1744" s="15">
        <v>4.82</v>
      </c>
      <c r="C1744" s="15"/>
      <c r="D1744" s="15">
        <v>6.68</v>
      </c>
      <c r="E1744" s="15"/>
      <c r="F1744" s="15" t="str">
        <f t="shared" si="1"/>
        <v/>
      </c>
      <c r="G1744" s="15">
        <f t="shared" si="2"/>
        <v>6.68</v>
      </c>
      <c r="H1744" s="16">
        <v>1.0</v>
      </c>
      <c r="I1744" s="15">
        <f t="shared" si="3"/>
        <v>1.86</v>
      </c>
      <c r="J1744" s="15">
        <v>13.74</v>
      </c>
      <c r="K1744" s="16">
        <f>IF(COUNTIFS(Release_Calendar!$A$2:$A$755,"US_CPI",Release_Calendar!$B$2:$B$755,$A1744)&gt;0,1,0)</f>
        <v>0</v>
      </c>
      <c r="L1744" s="16">
        <f>IF(COUNTIFS(Release_Calendar!$A$2:$A$755,"US_NFP",Release_Calendar!$B$2:$B$755,$A1744)&gt;0,1,0)</f>
        <v>0</v>
      </c>
      <c r="M1744" s="16" t="str">
        <f>IF($A1744&lt;Notes!$B$5,"",IF(COUNTIFS(Release_Calendar!$A$2:$A$755,"NZ_CPI",Release_Calendar!$B$2:$B$755,$A1744)&gt;0,1,0))</f>
        <v/>
      </c>
      <c r="N1744" s="16" t="str">
        <f>IF($A1744&lt;Notes!$B$5,"",IF(COUNTIFS(Release_Calendar!$A$2:$A$755,"NZ_GDP",Release_Calendar!$B$2:$B$755,$A1744)&gt;0,1,0))</f>
        <v/>
      </c>
      <c r="O1744" s="16" t="str">
        <f>IF($A1744&lt;Notes!$B$5,"",IF(COUNTIFS(Release_Calendar!$A$2:$A$755,"NZ_LABOUR",Release_Calendar!$B$2:$B$755,$A1744)&gt;0,1,0))</f>
        <v/>
      </c>
      <c r="P1744" s="16">
        <f t="shared" si="4"/>
        <v>0</v>
      </c>
    </row>
    <row r="1745" ht="15.75" customHeight="1">
      <c r="A1745" s="14">
        <v>38967.0</v>
      </c>
      <c r="B1745" s="15">
        <v>4.82</v>
      </c>
      <c r="C1745" s="15"/>
      <c r="D1745" s="15">
        <v>6.67</v>
      </c>
      <c r="E1745" s="15"/>
      <c r="F1745" s="15" t="str">
        <f t="shared" si="1"/>
        <v/>
      </c>
      <c r="G1745" s="15">
        <f t="shared" si="2"/>
        <v>6.67</v>
      </c>
      <c r="H1745" s="16">
        <v>1.0</v>
      </c>
      <c r="I1745" s="15">
        <f t="shared" si="3"/>
        <v>1.85</v>
      </c>
      <c r="J1745" s="15">
        <v>13.88</v>
      </c>
      <c r="K1745" s="16">
        <f>IF(COUNTIFS(Release_Calendar!$A$2:$A$755,"US_CPI",Release_Calendar!$B$2:$B$755,$A1745)&gt;0,1,0)</f>
        <v>0</v>
      </c>
      <c r="L1745" s="16">
        <f>IF(COUNTIFS(Release_Calendar!$A$2:$A$755,"US_NFP",Release_Calendar!$B$2:$B$755,$A1745)&gt;0,1,0)</f>
        <v>0</v>
      </c>
      <c r="M1745" s="16" t="str">
        <f>IF($A1745&lt;Notes!$B$5,"",IF(COUNTIFS(Release_Calendar!$A$2:$A$755,"NZ_CPI",Release_Calendar!$B$2:$B$755,$A1745)&gt;0,1,0))</f>
        <v/>
      </c>
      <c r="N1745" s="16" t="str">
        <f>IF($A1745&lt;Notes!$B$5,"",IF(COUNTIFS(Release_Calendar!$A$2:$A$755,"NZ_GDP",Release_Calendar!$B$2:$B$755,$A1745)&gt;0,1,0))</f>
        <v/>
      </c>
      <c r="O1745" s="16" t="str">
        <f>IF($A1745&lt;Notes!$B$5,"",IF(COUNTIFS(Release_Calendar!$A$2:$A$755,"NZ_LABOUR",Release_Calendar!$B$2:$B$755,$A1745)&gt;0,1,0))</f>
        <v/>
      </c>
      <c r="P1745" s="16">
        <f t="shared" si="4"/>
        <v>0</v>
      </c>
    </row>
    <row r="1746" ht="15.75" customHeight="1">
      <c r="A1746" s="14">
        <v>38968.0</v>
      </c>
      <c r="B1746" s="15">
        <v>4.8</v>
      </c>
      <c r="C1746" s="15"/>
      <c r="D1746" s="15">
        <v>6.66</v>
      </c>
      <c r="E1746" s="15"/>
      <c r="F1746" s="15" t="str">
        <f t="shared" si="1"/>
        <v/>
      </c>
      <c r="G1746" s="15">
        <f t="shared" si="2"/>
        <v>6.66</v>
      </c>
      <c r="H1746" s="16">
        <v>1.0</v>
      </c>
      <c r="I1746" s="15">
        <f t="shared" si="3"/>
        <v>1.86</v>
      </c>
      <c r="J1746" s="15">
        <v>13.16</v>
      </c>
      <c r="K1746" s="16">
        <f>IF(COUNTIFS(Release_Calendar!$A$2:$A$755,"US_CPI",Release_Calendar!$B$2:$B$755,$A1746)&gt;0,1,0)</f>
        <v>0</v>
      </c>
      <c r="L1746" s="16">
        <f>IF(COUNTIFS(Release_Calendar!$A$2:$A$755,"US_NFP",Release_Calendar!$B$2:$B$755,$A1746)&gt;0,1,0)</f>
        <v>0</v>
      </c>
      <c r="M1746" s="16" t="str">
        <f>IF($A1746&lt;Notes!$B$5,"",IF(COUNTIFS(Release_Calendar!$A$2:$A$755,"NZ_CPI",Release_Calendar!$B$2:$B$755,$A1746)&gt;0,1,0))</f>
        <v/>
      </c>
      <c r="N1746" s="16" t="str">
        <f>IF($A1746&lt;Notes!$B$5,"",IF(COUNTIFS(Release_Calendar!$A$2:$A$755,"NZ_GDP",Release_Calendar!$B$2:$B$755,$A1746)&gt;0,1,0))</f>
        <v/>
      </c>
      <c r="O1746" s="16" t="str">
        <f>IF($A1746&lt;Notes!$B$5,"",IF(COUNTIFS(Release_Calendar!$A$2:$A$755,"NZ_LABOUR",Release_Calendar!$B$2:$B$755,$A1746)&gt;0,1,0))</f>
        <v/>
      </c>
      <c r="P1746" s="16">
        <f t="shared" si="4"/>
        <v>0</v>
      </c>
    </row>
    <row r="1747" ht="15.75" customHeight="1">
      <c r="A1747" s="14">
        <v>38971.0</v>
      </c>
      <c r="B1747" s="15">
        <v>4.83</v>
      </c>
      <c r="C1747" s="15"/>
      <c r="D1747" s="15">
        <v>6.62</v>
      </c>
      <c r="E1747" s="15"/>
      <c r="F1747" s="15" t="str">
        <f t="shared" si="1"/>
        <v/>
      </c>
      <c r="G1747" s="15">
        <f t="shared" si="2"/>
        <v>6.62</v>
      </c>
      <c r="H1747" s="16">
        <v>1.0</v>
      </c>
      <c r="I1747" s="15">
        <f t="shared" si="3"/>
        <v>1.79</v>
      </c>
      <c r="J1747" s="15">
        <v>12.99</v>
      </c>
      <c r="K1747" s="16">
        <f>IF(COUNTIFS(Release_Calendar!$A$2:$A$755,"US_CPI",Release_Calendar!$B$2:$B$755,$A1747)&gt;0,1,0)</f>
        <v>0</v>
      </c>
      <c r="L1747" s="16">
        <f>IF(COUNTIFS(Release_Calendar!$A$2:$A$755,"US_NFP",Release_Calendar!$B$2:$B$755,$A1747)&gt;0,1,0)</f>
        <v>0</v>
      </c>
      <c r="M1747" s="16" t="str">
        <f>IF($A1747&lt;Notes!$B$5,"",IF(COUNTIFS(Release_Calendar!$A$2:$A$755,"NZ_CPI",Release_Calendar!$B$2:$B$755,$A1747)&gt;0,1,0))</f>
        <v/>
      </c>
      <c r="N1747" s="16" t="str">
        <f>IF($A1747&lt;Notes!$B$5,"",IF(COUNTIFS(Release_Calendar!$A$2:$A$755,"NZ_GDP",Release_Calendar!$B$2:$B$755,$A1747)&gt;0,1,0))</f>
        <v/>
      </c>
      <c r="O1747" s="16" t="str">
        <f>IF($A1747&lt;Notes!$B$5,"",IF(COUNTIFS(Release_Calendar!$A$2:$A$755,"NZ_LABOUR",Release_Calendar!$B$2:$B$755,$A1747)&gt;0,1,0))</f>
        <v/>
      </c>
      <c r="P1747" s="16">
        <f t="shared" si="4"/>
        <v>0</v>
      </c>
    </row>
    <row r="1748" ht="15.75" customHeight="1">
      <c r="A1748" s="14">
        <v>38972.0</v>
      </c>
      <c r="B1748" s="15">
        <v>4.82</v>
      </c>
      <c r="C1748" s="15"/>
      <c r="D1748" s="15">
        <v>6.63</v>
      </c>
      <c r="E1748" s="15"/>
      <c r="F1748" s="15" t="str">
        <f t="shared" si="1"/>
        <v/>
      </c>
      <c r="G1748" s="15">
        <f t="shared" si="2"/>
        <v>6.63</v>
      </c>
      <c r="H1748" s="16">
        <v>1.0</v>
      </c>
      <c r="I1748" s="15">
        <f t="shared" si="3"/>
        <v>1.81</v>
      </c>
      <c r="J1748" s="15">
        <v>11.92</v>
      </c>
      <c r="K1748" s="16">
        <f>IF(COUNTIFS(Release_Calendar!$A$2:$A$755,"US_CPI",Release_Calendar!$B$2:$B$755,$A1748)&gt;0,1,0)</f>
        <v>0</v>
      </c>
      <c r="L1748" s="16">
        <f>IF(COUNTIFS(Release_Calendar!$A$2:$A$755,"US_NFP",Release_Calendar!$B$2:$B$755,$A1748)&gt;0,1,0)</f>
        <v>0</v>
      </c>
      <c r="M1748" s="16" t="str">
        <f>IF($A1748&lt;Notes!$B$5,"",IF(COUNTIFS(Release_Calendar!$A$2:$A$755,"NZ_CPI",Release_Calendar!$B$2:$B$755,$A1748)&gt;0,1,0))</f>
        <v/>
      </c>
      <c r="N1748" s="16" t="str">
        <f>IF($A1748&lt;Notes!$B$5,"",IF(COUNTIFS(Release_Calendar!$A$2:$A$755,"NZ_GDP",Release_Calendar!$B$2:$B$755,$A1748)&gt;0,1,0))</f>
        <v/>
      </c>
      <c r="O1748" s="16" t="str">
        <f>IF($A1748&lt;Notes!$B$5,"",IF(COUNTIFS(Release_Calendar!$A$2:$A$755,"NZ_LABOUR",Release_Calendar!$B$2:$B$755,$A1748)&gt;0,1,0))</f>
        <v/>
      </c>
      <c r="P1748" s="16">
        <f t="shared" si="4"/>
        <v>0</v>
      </c>
    </row>
    <row r="1749" ht="15.75" customHeight="1">
      <c r="A1749" s="14">
        <v>38973.0</v>
      </c>
      <c r="B1749" s="15">
        <v>4.8</v>
      </c>
      <c r="C1749" s="15"/>
      <c r="D1749" s="15">
        <v>6.61</v>
      </c>
      <c r="E1749" s="15"/>
      <c r="F1749" s="15" t="str">
        <f t="shared" si="1"/>
        <v/>
      </c>
      <c r="G1749" s="15">
        <f t="shared" si="2"/>
        <v>6.61</v>
      </c>
      <c r="H1749" s="16">
        <v>1.0</v>
      </c>
      <c r="I1749" s="15">
        <f t="shared" si="3"/>
        <v>1.81</v>
      </c>
      <c r="J1749" s="15">
        <v>11.18</v>
      </c>
      <c r="K1749" s="16">
        <f>IF(COUNTIFS(Release_Calendar!$A$2:$A$755,"US_CPI",Release_Calendar!$B$2:$B$755,$A1749)&gt;0,1,0)</f>
        <v>0</v>
      </c>
      <c r="L1749" s="16">
        <f>IF(COUNTIFS(Release_Calendar!$A$2:$A$755,"US_NFP",Release_Calendar!$B$2:$B$755,$A1749)&gt;0,1,0)</f>
        <v>0</v>
      </c>
      <c r="M1749" s="16" t="str">
        <f>IF($A1749&lt;Notes!$B$5,"",IF(COUNTIFS(Release_Calendar!$A$2:$A$755,"NZ_CPI",Release_Calendar!$B$2:$B$755,$A1749)&gt;0,1,0))</f>
        <v/>
      </c>
      <c r="N1749" s="16" t="str">
        <f>IF($A1749&lt;Notes!$B$5,"",IF(COUNTIFS(Release_Calendar!$A$2:$A$755,"NZ_GDP",Release_Calendar!$B$2:$B$755,$A1749)&gt;0,1,0))</f>
        <v/>
      </c>
      <c r="O1749" s="16" t="str">
        <f>IF($A1749&lt;Notes!$B$5,"",IF(COUNTIFS(Release_Calendar!$A$2:$A$755,"NZ_LABOUR",Release_Calendar!$B$2:$B$755,$A1749)&gt;0,1,0))</f>
        <v/>
      </c>
      <c r="P1749" s="16">
        <f t="shared" si="4"/>
        <v>0</v>
      </c>
    </row>
    <row r="1750" ht="15.75" customHeight="1">
      <c r="A1750" s="14">
        <v>38974.0</v>
      </c>
      <c r="B1750" s="15">
        <v>4.83</v>
      </c>
      <c r="C1750" s="15"/>
      <c r="D1750" s="15">
        <v>6.61</v>
      </c>
      <c r="E1750" s="15"/>
      <c r="F1750" s="15" t="str">
        <f t="shared" si="1"/>
        <v/>
      </c>
      <c r="G1750" s="15">
        <f t="shared" si="2"/>
        <v>6.61</v>
      </c>
      <c r="H1750" s="16">
        <v>1.0</v>
      </c>
      <c r="I1750" s="15">
        <f t="shared" si="3"/>
        <v>1.78</v>
      </c>
      <c r="J1750" s="15">
        <v>11.55</v>
      </c>
      <c r="K1750" s="16">
        <f>IF(COUNTIFS(Release_Calendar!$A$2:$A$755,"US_CPI",Release_Calendar!$B$2:$B$755,$A1750)&gt;0,1,0)</f>
        <v>0</v>
      </c>
      <c r="L1750" s="16">
        <f>IF(COUNTIFS(Release_Calendar!$A$2:$A$755,"US_NFP",Release_Calendar!$B$2:$B$755,$A1750)&gt;0,1,0)</f>
        <v>0</v>
      </c>
      <c r="M1750" s="16" t="str">
        <f>IF($A1750&lt;Notes!$B$5,"",IF(COUNTIFS(Release_Calendar!$A$2:$A$755,"NZ_CPI",Release_Calendar!$B$2:$B$755,$A1750)&gt;0,1,0))</f>
        <v/>
      </c>
      <c r="N1750" s="16" t="str">
        <f>IF($A1750&lt;Notes!$B$5,"",IF(COUNTIFS(Release_Calendar!$A$2:$A$755,"NZ_GDP",Release_Calendar!$B$2:$B$755,$A1750)&gt;0,1,0))</f>
        <v/>
      </c>
      <c r="O1750" s="16" t="str">
        <f>IF($A1750&lt;Notes!$B$5,"",IF(COUNTIFS(Release_Calendar!$A$2:$A$755,"NZ_LABOUR",Release_Calendar!$B$2:$B$755,$A1750)&gt;0,1,0))</f>
        <v/>
      </c>
      <c r="P1750" s="16">
        <f t="shared" si="4"/>
        <v>0</v>
      </c>
    </row>
    <row r="1751" ht="15.75" customHeight="1">
      <c r="A1751" s="14">
        <v>38975.0</v>
      </c>
      <c r="B1751" s="15">
        <v>4.87</v>
      </c>
      <c r="C1751" s="15"/>
      <c r="D1751" s="15">
        <v>6.72</v>
      </c>
      <c r="E1751" s="15"/>
      <c r="F1751" s="15" t="str">
        <f t="shared" si="1"/>
        <v/>
      </c>
      <c r="G1751" s="15">
        <f t="shared" si="2"/>
        <v>6.72</v>
      </c>
      <c r="H1751" s="16">
        <v>1.0</v>
      </c>
      <c r="I1751" s="15">
        <f t="shared" si="3"/>
        <v>1.85</v>
      </c>
      <c r="J1751" s="15">
        <v>11.76</v>
      </c>
      <c r="K1751" s="16">
        <f>IF(COUNTIFS(Release_Calendar!$A$2:$A$755,"US_CPI",Release_Calendar!$B$2:$B$755,$A1751)&gt;0,1,0)</f>
        <v>1</v>
      </c>
      <c r="L1751" s="16">
        <f>IF(COUNTIFS(Release_Calendar!$A$2:$A$755,"US_NFP",Release_Calendar!$B$2:$B$755,$A1751)&gt;0,1,0)</f>
        <v>0</v>
      </c>
      <c r="M1751" s="16" t="str">
        <f>IF($A1751&lt;Notes!$B$5,"",IF(COUNTIFS(Release_Calendar!$A$2:$A$755,"NZ_CPI",Release_Calendar!$B$2:$B$755,$A1751)&gt;0,1,0))</f>
        <v/>
      </c>
      <c r="N1751" s="16" t="str">
        <f>IF($A1751&lt;Notes!$B$5,"",IF(COUNTIFS(Release_Calendar!$A$2:$A$755,"NZ_GDP",Release_Calendar!$B$2:$B$755,$A1751)&gt;0,1,0))</f>
        <v/>
      </c>
      <c r="O1751" s="16" t="str">
        <f>IF($A1751&lt;Notes!$B$5,"",IF(COUNTIFS(Release_Calendar!$A$2:$A$755,"NZ_LABOUR",Release_Calendar!$B$2:$B$755,$A1751)&gt;0,1,0))</f>
        <v/>
      </c>
      <c r="P1751" s="16">
        <f t="shared" si="4"/>
        <v>1</v>
      </c>
    </row>
    <row r="1752" ht="15.75" customHeight="1">
      <c r="A1752" s="14">
        <v>38978.0</v>
      </c>
      <c r="B1752" s="15">
        <v>4.88</v>
      </c>
      <c r="C1752" s="15"/>
      <c r="D1752" s="15">
        <v>6.71</v>
      </c>
      <c r="E1752" s="15"/>
      <c r="F1752" s="15" t="str">
        <f t="shared" si="1"/>
        <v/>
      </c>
      <c r="G1752" s="15">
        <f t="shared" si="2"/>
        <v>6.71</v>
      </c>
      <c r="H1752" s="16">
        <v>1.0</v>
      </c>
      <c r="I1752" s="15">
        <f t="shared" si="3"/>
        <v>1.83</v>
      </c>
      <c r="J1752" s="15">
        <v>11.78</v>
      </c>
      <c r="K1752" s="16">
        <f>IF(COUNTIFS(Release_Calendar!$A$2:$A$755,"US_CPI",Release_Calendar!$B$2:$B$755,$A1752)&gt;0,1,0)</f>
        <v>0</v>
      </c>
      <c r="L1752" s="16">
        <f>IF(COUNTIFS(Release_Calendar!$A$2:$A$755,"US_NFP",Release_Calendar!$B$2:$B$755,$A1752)&gt;0,1,0)</f>
        <v>0</v>
      </c>
      <c r="M1752" s="16" t="str">
        <f>IF($A1752&lt;Notes!$B$5,"",IF(COUNTIFS(Release_Calendar!$A$2:$A$755,"NZ_CPI",Release_Calendar!$B$2:$B$755,$A1752)&gt;0,1,0))</f>
        <v/>
      </c>
      <c r="N1752" s="16" t="str">
        <f>IF($A1752&lt;Notes!$B$5,"",IF(COUNTIFS(Release_Calendar!$A$2:$A$755,"NZ_GDP",Release_Calendar!$B$2:$B$755,$A1752)&gt;0,1,0))</f>
        <v/>
      </c>
      <c r="O1752" s="16" t="str">
        <f>IF($A1752&lt;Notes!$B$5,"",IF(COUNTIFS(Release_Calendar!$A$2:$A$755,"NZ_LABOUR",Release_Calendar!$B$2:$B$755,$A1752)&gt;0,1,0))</f>
        <v/>
      </c>
      <c r="P1752" s="16">
        <f t="shared" si="4"/>
        <v>0</v>
      </c>
    </row>
    <row r="1753" ht="15.75" customHeight="1">
      <c r="A1753" s="14">
        <v>38979.0</v>
      </c>
      <c r="B1753" s="15">
        <v>4.79</v>
      </c>
      <c r="C1753" s="15"/>
      <c r="D1753" s="15">
        <v>6.73</v>
      </c>
      <c r="E1753" s="15"/>
      <c r="F1753" s="15" t="str">
        <f t="shared" si="1"/>
        <v/>
      </c>
      <c r="G1753" s="15">
        <f t="shared" si="2"/>
        <v>6.73</v>
      </c>
      <c r="H1753" s="16">
        <v>1.0</v>
      </c>
      <c r="I1753" s="15">
        <f t="shared" si="3"/>
        <v>1.94</v>
      </c>
      <c r="J1753" s="15">
        <v>11.98</v>
      </c>
      <c r="K1753" s="16">
        <f>IF(COUNTIFS(Release_Calendar!$A$2:$A$755,"US_CPI",Release_Calendar!$B$2:$B$755,$A1753)&gt;0,1,0)</f>
        <v>0</v>
      </c>
      <c r="L1753" s="16">
        <f>IF(COUNTIFS(Release_Calendar!$A$2:$A$755,"US_NFP",Release_Calendar!$B$2:$B$755,$A1753)&gt;0,1,0)</f>
        <v>0</v>
      </c>
      <c r="M1753" s="16" t="str">
        <f>IF($A1753&lt;Notes!$B$5,"",IF(COUNTIFS(Release_Calendar!$A$2:$A$755,"NZ_CPI",Release_Calendar!$B$2:$B$755,$A1753)&gt;0,1,0))</f>
        <v/>
      </c>
      <c r="N1753" s="16" t="str">
        <f>IF($A1753&lt;Notes!$B$5,"",IF(COUNTIFS(Release_Calendar!$A$2:$A$755,"NZ_GDP",Release_Calendar!$B$2:$B$755,$A1753)&gt;0,1,0))</f>
        <v/>
      </c>
      <c r="O1753" s="16" t="str">
        <f>IF($A1753&lt;Notes!$B$5,"",IF(COUNTIFS(Release_Calendar!$A$2:$A$755,"NZ_LABOUR",Release_Calendar!$B$2:$B$755,$A1753)&gt;0,1,0))</f>
        <v/>
      </c>
      <c r="P1753" s="16">
        <f t="shared" si="4"/>
        <v>0</v>
      </c>
    </row>
    <row r="1754" ht="15.75" customHeight="1">
      <c r="A1754" s="14">
        <v>38980.0</v>
      </c>
      <c r="B1754" s="15">
        <v>4.81</v>
      </c>
      <c r="C1754" s="15"/>
      <c r="D1754" s="15">
        <v>6.7</v>
      </c>
      <c r="E1754" s="15"/>
      <c r="F1754" s="15" t="str">
        <f t="shared" si="1"/>
        <v/>
      </c>
      <c r="G1754" s="15">
        <f t="shared" si="2"/>
        <v>6.7</v>
      </c>
      <c r="H1754" s="16">
        <v>1.0</v>
      </c>
      <c r="I1754" s="15">
        <f t="shared" si="3"/>
        <v>1.89</v>
      </c>
      <c r="J1754" s="15">
        <v>11.39</v>
      </c>
      <c r="K1754" s="16">
        <f>IF(COUNTIFS(Release_Calendar!$A$2:$A$755,"US_CPI",Release_Calendar!$B$2:$B$755,$A1754)&gt;0,1,0)</f>
        <v>0</v>
      </c>
      <c r="L1754" s="16">
        <f>IF(COUNTIFS(Release_Calendar!$A$2:$A$755,"US_NFP",Release_Calendar!$B$2:$B$755,$A1754)&gt;0,1,0)</f>
        <v>0</v>
      </c>
      <c r="M1754" s="16" t="str">
        <f>IF($A1754&lt;Notes!$B$5,"",IF(COUNTIFS(Release_Calendar!$A$2:$A$755,"NZ_CPI",Release_Calendar!$B$2:$B$755,$A1754)&gt;0,1,0))</f>
        <v/>
      </c>
      <c r="N1754" s="16" t="str">
        <f>IF($A1754&lt;Notes!$B$5,"",IF(COUNTIFS(Release_Calendar!$A$2:$A$755,"NZ_GDP",Release_Calendar!$B$2:$B$755,$A1754)&gt;0,1,0))</f>
        <v/>
      </c>
      <c r="O1754" s="16" t="str">
        <f>IF($A1754&lt;Notes!$B$5,"",IF(COUNTIFS(Release_Calendar!$A$2:$A$755,"NZ_LABOUR",Release_Calendar!$B$2:$B$755,$A1754)&gt;0,1,0))</f>
        <v/>
      </c>
      <c r="P1754" s="16">
        <f t="shared" si="4"/>
        <v>0</v>
      </c>
    </row>
    <row r="1755" ht="15.75" customHeight="1">
      <c r="A1755" s="14">
        <v>38981.0</v>
      </c>
      <c r="B1755" s="15">
        <v>4.71</v>
      </c>
      <c r="C1755" s="15"/>
      <c r="D1755" s="15">
        <v>6.66</v>
      </c>
      <c r="E1755" s="15"/>
      <c r="F1755" s="15" t="str">
        <f t="shared" si="1"/>
        <v/>
      </c>
      <c r="G1755" s="15">
        <f t="shared" si="2"/>
        <v>6.66</v>
      </c>
      <c r="H1755" s="16">
        <v>1.0</v>
      </c>
      <c r="I1755" s="15">
        <f t="shared" si="3"/>
        <v>1.95</v>
      </c>
      <c r="J1755" s="15">
        <v>12.25</v>
      </c>
      <c r="K1755" s="16">
        <f>IF(COUNTIFS(Release_Calendar!$A$2:$A$755,"US_CPI",Release_Calendar!$B$2:$B$755,$A1755)&gt;0,1,0)</f>
        <v>0</v>
      </c>
      <c r="L1755" s="16">
        <f>IF(COUNTIFS(Release_Calendar!$A$2:$A$755,"US_NFP",Release_Calendar!$B$2:$B$755,$A1755)&gt;0,1,0)</f>
        <v>0</v>
      </c>
      <c r="M1755" s="16" t="str">
        <f>IF($A1755&lt;Notes!$B$5,"",IF(COUNTIFS(Release_Calendar!$A$2:$A$755,"NZ_CPI",Release_Calendar!$B$2:$B$755,$A1755)&gt;0,1,0))</f>
        <v/>
      </c>
      <c r="N1755" s="16" t="str">
        <f>IF($A1755&lt;Notes!$B$5,"",IF(COUNTIFS(Release_Calendar!$A$2:$A$755,"NZ_GDP",Release_Calendar!$B$2:$B$755,$A1755)&gt;0,1,0))</f>
        <v/>
      </c>
      <c r="O1755" s="16" t="str">
        <f>IF($A1755&lt;Notes!$B$5,"",IF(COUNTIFS(Release_Calendar!$A$2:$A$755,"NZ_LABOUR",Release_Calendar!$B$2:$B$755,$A1755)&gt;0,1,0))</f>
        <v/>
      </c>
      <c r="P1755" s="16">
        <f t="shared" si="4"/>
        <v>0</v>
      </c>
    </row>
    <row r="1756" ht="15.75" customHeight="1">
      <c r="A1756" s="14">
        <v>38982.0</v>
      </c>
      <c r="B1756" s="15">
        <v>4.67</v>
      </c>
      <c r="C1756" s="15"/>
      <c r="D1756" s="15">
        <v>6.6</v>
      </c>
      <c r="E1756" s="15"/>
      <c r="F1756" s="15" t="str">
        <f t="shared" si="1"/>
        <v/>
      </c>
      <c r="G1756" s="15">
        <f t="shared" si="2"/>
        <v>6.6</v>
      </c>
      <c r="H1756" s="16">
        <v>1.0</v>
      </c>
      <c r="I1756" s="15">
        <f t="shared" si="3"/>
        <v>1.93</v>
      </c>
      <c r="J1756" s="15">
        <v>12.59</v>
      </c>
      <c r="K1756" s="16">
        <f>IF(COUNTIFS(Release_Calendar!$A$2:$A$755,"US_CPI",Release_Calendar!$B$2:$B$755,$A1756)&gt;0,1,0)</f>
        <v>0</v>
      </c>
      <c r="L1756" s="16">
        <f>IF(COUNTIFS(Release_Calendar!$A$2:$A$755,"US_NFP",Release_Calendar!$B$2:$B$755,$A1756)&gt;0,1,0)</f>
        <v>0</v>
      </c>
      <c r="M1756" s="16" t="str">
        <f>IF($A1756&lt;Notes!$B$5,"",IF(COUNTIFS(Release_Calendar!$A$2:$A$755,"NZ_CPI",Release_Calendar!$B$2:$B$755,$A1756)&gt;0,1,0))</f>
        <v/>
      </c>
      <c r="N1756" s="16" t="str">
        <f>IF($A1756&lt;Notes!$B$5,"",IF(COUNTIFS(Release_Calendar!$A$2:$A$755,"NZ_GDP",Release_Calendar!$B$2:$B$755,$A1756)&gt;0,1,0))</f>
        <v/>
      </c>
      <c r="O1756" s="16" t="str">
        <f>IF($A1756&lt;Notes!$B$5,"",IF(COUNTIFS(Release_Calendar!$A$2:$A$755,"NZ_LABOUR",Release_Calendar!$B$2:$B$755,$A1756)&gt;0,1,0))</f>
        <v/>
      </c>
      <c r="P1756" s="16">
        <f t="shared" si="4"/>
        <v>0</v>
      </c>
    </row>
    <row r="1757" ht="15.75" customHeight="1">
      <c r="A1757" s="14">
        <v>38985.0</v>
      </c>
      <c r="B1757" s="15">
        <v>4.63</v>
      </c>
      <c r="C1757" s="15"/>
      <c r="D1757" s="15">
        <v>6.58</v>
      </c>
      <c r="E1757" s="15"/>
      <c r="F1757" s="15" t="str">
        <f t="shared" si="1"/>
        <v/>
      </c>
      <c r="G1757" s="15">
        <f t="shared" si="2"/>
        <v>6.58</v>
      </c>
      <c r="H1757" s="16">
        <v>1.0</v>
      </c>
      <c r="I1757" s="15">
        <f t="shared" si="3"/>
        <v>1.95</v>
      </c>
      <c r="J1757" s="15">
        <v>12.12</v>
      </c>
      <c r="K1757" s="16">
        <f>IF(COUNTIFS(Release_Calendar!$A$2:$A$755,"US_CPI",Release_Calendar!$B$2:$B$755,$A1757)&gt;0,1,0)</f>
        <v>0</v>
      </c>
      <c r="L1757" s="16">
        <f>IF(COUNTIFS(Release_Calendar!$A$2:$A$755,"US_NFP",Release_Calendar!$B$2:$B$755,$A1757)&gt;0,1,0)</f>
        <v>0</v>
      </c>
      <c r="M1757" s="16" t="str">
        <f>IF($A1757&lt;Notes!$B$5,"",IF(COUNTIFS(Release_Calendar!$A$2:$A$755,"NZ_CPI",Release_Calendar!$B$2:$B$755,$A1757)&gt;0,1,0))</f>
        <v/>
      </c>
      <c r="N1757" s="16" t="str">
        <f>IF($A1757&lt;Notes!$B$5,"",IF(COUNTIFS(Release_Calendar!$A$2:$A$755,"NZ_GDP",Release_Calendar!$B$2:$B$755,$A1757)&gt;0,1,0))</f>
        <v/>
      </c>
      <c r="O1757" s="16" t="str">
        <f>IF($A1757&lt;Notes!$B$5,"",IF(COUNTIFS(Release_Calendar!$A$2:$A$755,"NZ_LABOUR",Release_Calendar!$B$2:$B$755,$A1757)&gt;0,1,0))</f>
        <v/>
      </c>
      <c r="P1757" s="16">
        <f t="shared" si="4"/>
        <v>0</v>
      </c>
    </row>
    <row r="1758" ht="15.75" customHeight="1">
      <c r="A1758" s="14">
        <v>38986.0</v>
      </c>
      <c r="B1758" s="15">
        <v>4.68</v>
      </c>
      <c r="C1758" s="15"/>
      <c r="D1758" s="15">
        <v>6.6</v>
      </c>
      <c r="E1758" s="15"/>
      <c r="F1758" s="15" t="str">
        <f t="shared" si="1"/>
        <v/>
      </c>
      <c r="G1758" s="15">
        <f t="shared" si="2"/>
        <v>6.6</v>
      </c>
      <c r="H1758" s="16">
        <v>1.0</v>
      </c>
      <c r="I1758" s="15">
        <f t="shared" si="3"/>
        <v>1.92</v>
      </c>
      <c r="J1758" s="15">
        <v>11.53</v>
      </c>
      <c r="K1758" s="16">
        <f>IF(COUNTIFS(Release_Calendar!$A$2:$A$755,"US_CPI",Release_Calendar!$B$2:$B$755,$A1758)&gt;0,1,0)</f>
        <v>0</v>
      </c>
      <c r="L1758" s="16">
        <f>IF(COUNTIFS(Release_Calendar!$A$2:$A$755,"US_NFP",Release_Calendar!$B$2:$B$755,$A1758)&gt;0,1,0)</f>
        <v>0</v>
      </c>
      <c r="M1758" s="16" t="str">
        <f>IF($A1758&lt;Notes!$B$5,"",IF(COUNTIFS(Release_Calendar!$A$2:$A$755,"NZ_CPI",Release_Calendar!$B$2:$B$755,$A1758)&gt;0,1,0))</f>
        <v/>
      </c>
      <c r="N1758" s="16" t="str">
        <f>IF($A1758&lt;Notes!$B$5,"",IF(COUNTIFS(Release_Calendar!$A$2:$A$755,"NZ_GDP",Release_Calendar!$B$2:$B$755,$A1758)&gt;0,1,0))</f>
        <v/>
      </c>
      <c r="O1758" s="16" t="str">
        <f>IF($A1758&lt;Notes!$B$5,"",IF(COUNTIFS(Release_Calendar!$A$2:$A$755,"NZ_LABOUR",Release_Calendar!$B$2:$B$755,$A1758)&gt;0,1,0))</f>
        <v/>
      </c>
      <c r="P1758" s="16">
        <f t="shared" si="4"/>
        <v>0</v>
      </c>
    </row>
    <row r="1759" ht="15.75" customHeight="1">
      <c r="A1759" s="14">
        <v>38987.0</v>
      </c>
      <c r="B1759" s="15">
        <v>4.66</v>
      </c>
      <c r="C1759" s="15"/>
      <c r="D1759" s="15">
        <v>6.64</v>
      </c>
      <c r="E1759" s="15"/>
      <c r="F1759" s="15" t="str">
        <f t="shared" si="1"/>
        <v/>
      </c>
      <c r="G1759" s="15">
        <f t="shared" si="2"/>
        <v>6.64</v>
      </c>
      <c r="H1759" s="16">
        <v>1.0</v>
      </c>
      <c r="I1759" s="15">
        <f t="shared" si="3"/>
        <v>1.98</v>
      </c>
      <c r="J1759" s="15">
        <v>11.58</v>
      </c>
      <c r="K1759" s="16">
        <f>IF(COUNTIFS(Release_Calendar!$A$2:$A$755,"US_CPI",Release_Calendar!$B$2:$B$755,$A1759)&gt;0,1,0)</f>
        <v>0</v>
      </c>
      <c r="L1759" s="16">
        <f>IF(COUNTIFS(Release_Calendar!$A$2:$A$755,"US_NFP",Release_Calendar!$B$2:$B$755,$A1759)&gt;0,1,0)</f>
        <v>0</v>
      </c>
      <c r="M1759" s="16" t="str">
        <f>IF($A1759&lt;Notes!$B$5,"",IF(COUNTIFS(Release_Calendar!$A$2:$A$755,"NZ_CPI",Release_Calendar!$B$2:$B$755,$A1759)&gt;0,1,0))</f>
        <v/>
      </c>
      <c r="N1759" s="16" t="str">
        <f>IF($A1759&lt;Notes!$B$5,"",IF(COUNTIFS(Release_Calendar!$A$2:$A$755,"NZ_GDP",Release_Calendar!$B$2:$B$755,$A1759)&gt;0,1,0))</f>
        <v/>
      </c>
      <c r="O1759" s="16" t="str">
        <f>IF($A1759&lt;Notes!$B$5,"",IF(COUNTIFS(Release_Calendar!$A$2:$A$755,"NZ_LABOUR",Release_Calendar!$B$2:$B$755,$A1759)&gt;0,1,0))</f>
        <v/>
      </c>
      <c r="P1759" s="16">
        <f t="shared" si="4"/>
        <v>0</v>
      </c>
    </row>
    <row r="1760" ht="15.75" customHeight="1">
      <c r="A1760" s="14">
        <v>38988.0</v>
      </c>
      <c r="B1760" s="15">
        <v>4.68</v>
      </c>
      <c r="C1760" s="15"/>
      <c r="D1760" s="15">
        <v>6.64</v>
      </c>
      <c r="E1760" s="15"/>
      <c r="F1760" s="15" t="str">
        <f t="shared" si="1"/>
        <v/>
      </c>
      <c r="G1760" s="15">
        <f t="shared" si="2"/>
        <v>6.64</v>
      </c>
      <c r="H1760" s="16">
        <v>1.0</v>
      </c>
      <c r="I1760" s="15">
        <f t="shared" si="3"/>
        <v>1.96</v>
      </c>
      <c r="J1760" s="15">
        <v>11.72</v>
      </c>
      <c r="K1760" s="16">
        <f>IF(COUNTIFS(Release_Calendar!$A$2:$A$755,"US_CPI",Release_Calendar!$B$2:$B$755,$A1760)&gt;0,1,0)</f>
        <v>0</v>
      </c>
      <c r="L1760" s="16">
        <f>IF(COUNTIFS(Release_Calendar!$A$2:$A$755,"US_NFP",Release_Calendar!$B$2:$B$755,$A1760)&gt;0,1,0)</f>
        <v>0</v>
      </c>
      <c r="M1760" s="16" t="str">
        <f>IF($A1760&lt;Notes!$B$5,"",IF(COUNTIFS(Release_Calendar!$A$2:$A$755,"NZ_CPI",Release_Calendar!$B$2:$B$755,$A1760)&gt;0,1,0))</f>
        <v/>
      </c>
      <c r="N1760" s="16" t="str">
        <f>IF($A1760&lt;Notes!$B$5,"",IF(COUNTIFS(Release_Calendar!$A$2:$A$755,"NZ_GDP",Release_Calendar!$B$2:$B$755,$A1760)&gt;0,1,0))</f>
        <v/>
      </c>
      <c r="O1760" s="16" t="str">
        <f>IF($A1760&lt;Notes!$B$5,"",IF(COUNTIFS(Release_Calendar!$A$2:$A$755,"NZ_LABOUR",Release_Calendar!$B$2:$B$755,$A1760)&gt;0,1,0))</f>
        <v/>
      </c>
      <c r="P1760" s="16">
        <f t="shared" si="4"/>
        <v>0</v>
      </c>
    </row>
    <row r="1761" ht="15.75" customHeight="1">
      <c r="A1761" s="14">
        <v>38989.0</v>
      </c>
      <c r="B1761" s="15">
        <v>4.71</v>
      </c>
      <c r="C1761" s="15"/>
      <c r="D1761" s="15">
        <v>6.62</v>
      </c>
      <c r="E1761" s="15"/>
      <c r="F1761" s="15" t="str">
        <f t="shared" si="1"/>
        <v/>
      </c>
      <c r="G1761" s="15">
        <f t="shared" si="2"/>
        <v>6.62</v>
      </c>
      <c r="H1761" s="16">
        <v>1.0</v>
      </c>
      <c r="I1761" s="15">
        <f t="shared" si="3"/>
        <v>1.91</v>
      </c>
      <c r="J1761" s="15">
        <v>11.98</v>
      </c>
      <c r="K1761" s="16">
        <f>IF(COUNTIFS(Release_Calendar!$A$2:$A$755,"US_CPI",Release_Calendar!$B$2:$B$755,$A1761)&gt;0,1,0)</f>
        <v>0</v>
      </c>
      <c r="L1761" s="16">
        <f>IF(COUNTIFS(Release_Calendar!$A$2:$A$755,"US_NFP",Release_Calendar!$B$2:$B$755,$A1761)&gt;0,1,0)</f>
        <v>0</v>
      </c>
      <c r="M1761" s="16" t="str">
        <f>IF($A1761&lt;Notes!$B$5,"",IF(COUNTIFS(Release_Calendar!$A$2:$A$755,"NZ_CPI",Release_Calendar!$B$2:$B$755,$A1761)&gt;0,1,0))</f>
        <v/>
      </c>
      <c r="N1761" s="16" t="str">
        <f>IF($A1761&lt;Notes!$B$5,"",IF(COUNTIFS(Release_Calendar!$A$2:$A$755,"NZ_GDP",Release_Calendar!$B$2:$B$755,$A1761)&gt;0,1,0))</f>
        <v/>
      </c>
      <c r="O1761" s="16" t="str">
        <f>IF($A1761&lt;Notes!$B$5,"",IF(COUNTIFS(Release_Calendar!$A$2:$A$755,"NZ_LABOUR",Release_Calendar!$B$2:$B$755,$A1761)&gt;0,1,0))</f>
        <v/>
      </c>
      <c r="P1761" s="16">
        <f t="shared" si="4"/>
        <v>0</v>
      </c>
    </row>
    <row r="1762" ht="15.75" customHeight="1">
      <c r="A1762" s="14">
        <v>38992.0</v>
      </c>
      <c r="B1762" s="15">
        <v>4.66</v>
      </c>
      <c r="C1762" s="15"/>
      <c r="D1762" s="15">
        <v>6.63</v>
      </c>
      <c r="E1762" s="15"/>
      <c r="F1762" s="15" t="str">
        <f t="shared" si="1"/>
        <v/>
      </c>
      <c r="G1762" s="15">
        <f t="shared" si="2"/>
        <v>6.63</v>
      </c>
      <c r="H1762" s="16">
        <v>1.0</v>
      </c>
      <c r="I1762" s="15">
        <f t="shared" si="3"/>
        <v>1.97</v>
      </c>
      <c r="J1762" s="15">
        <v>12.57</v>
      </c>
      <c r="K1762" s="16">
        <f>IF(COUNTIFS(Release_Calendar!$A$2:$A$755,"US_CPI",Release_Calendar!$B$2:$B$755,$A1762)&gt;0,1,0)</f>
        <v>0</v>
      </c>
      <c r="L1762" s="16">
        <f>IF(COUNTIFS(Release_Calendar!$A$2:$A$755,"US_NFP",Release_Calendar!$B$2:$B$755,$A1762)&gt;0,1,0)</f>
        <v>0</v>
      </c>
      <c r="M1762" s="16" t="str">
        <f>IF($A1762&lt;Notes!$B$5,"",IF(COUNTIFS(Release_Calendar!$A$2:$A$755,"NZ_CPI",Release_Calendar!$B$2:$B$755,$A1762)&gt;0,1,0))</f>
        <v/>
      </c>
      <c r="N1762" s="16" t="str">
        <f>IF($A1762&lt;Notes!$B$5,"",IF(COUNTIFS(Release_Calendar!$A$2:$A$755,"NZ_GDP",Release_Calendar!$B$2:$B$755,$A1762)&gt;0,1,0))</f>
        <v/>
      </c>
      <c r="O1762" s="16" t="str">
        <f>IF($A1762&lt;Notes!$B$5,"",IF(COUNTIFS(Release_Calendar!$A$2:$A$755,"NZ_LABOUR",Release_Calendar!$B$2:$B$755,$A1762)&gt;0,1,0))</f>
        <v/>
      </c>
      <c r="P1762" s="16">
        <f t="shared" si="4"/>
        <v>0</v>
      </c>
    </row>
    <row r="1763" ht="15.75" customHeight="1">
      <c r="A1763" s="14">
        <v>38993.0</v>
      </c>
      <c r="B1763" s="15">
        <v>4.67</v>
      </c>
      <c r="C1763" s="15"/>
      <c r="D1763" s="15">
        <v>6.62</v>
      </c>
      <c r="E1763" s="15"/>
      <c r="F1763" s="15" t="str">
        <f t="shared" si="1"/>
        <v/>
      </c>
      <c r="G1763" s="15">
        <f t="shared" si="2"/>
        <v>6.62</v>
      </c>
      <c r="H1763" s="16">
        <v>1.0</v>
      </c>
      <c r="I1763" s="15">
        <f t="shared" si="3"/>
        <v>1.95</v>
      </c>
      <c r="J1763" s="15">
        <v>12.24</v>
      </c>
      <c r="K1763" s="16">
        <f>IF(COUNTIFS(Release_Calendar!$A$2:$A$755,"US_CPI",Release_Calendar!$B$2:$B$755,$A1763)&gt;0,1,0)</f>
        <v>0</v>
      </c>
      <c r="L1763" s="16">
        <f>IF(COUNTIFS(Release_Calendar!$A$2:$A$755,"US_NFP",Release_Calendar!$B$2:$B$755,$A1763)&gt;0,1,0)</f>
        <v>0</v>
      </c>
      <c r="M1763" s="16" t="str">
        <f>IF($A1763&lt;Notes!$B$5,"",IF(COUNTIFS(Release_Calendar!$A$2:$A$755,"NZ_CPI",Release_Calendar!$B$2:$B$755,$A1763)&gt;0,1,0))</f>
        <v/>
      </c>
      <c r="N1763" s="16" t="str">
        <f>IF($A1763&lt;Notes!$B$5,"",IF(COUNTIFS(Release_Calendar!$A$2:$A$755,"NZ_GDP",Release_Calendar!$B$2:$B$755,$A1763)&gt;0,1,0))</f>
        <v/>
      </c>
      <c r="O1763" s="16" t="str">
        <f>IF($A1763&lt;Notes!$B$5,"",IF(COUNTIFS(Release_Calendar!$A$2:$A$755,"NZ_LABOUR",Release_Calendar!$B$2:$B$755,$A1763)&gt;0,1,0))</f>
        <v/>
      </c>
      <c r="P1763" s="16">
        <f t="shared" si="4"/>
        <v>0</v>
      </c>
    </row>
    <row r="1764" ht="15.75" customHeight="1">
      <c r="A1764" s="14">
        <v>38994.0</v>
      </c>
      <c r="B1764" s="15">
        <v>4.6</v>
      </c>
      <c r="C1764" s="15"/>
      <c r="D1764" s="15">
        <v>6.65</v>
      </c>
      <c r="E1764" s="15"/>
      <c r="F1764" s="15" t="str">
        <f t="shared" si="1"/>
        <v/>
      </c>
      <c r="G1764" s="15">
        <f t="shared" si="2"/>
        <v>6.65</v>
      </c>
      <c r="H1764" s="16">
        <v>1.0</v>
      </c>
      <c r="I1764" s="15">
        <f t="shared" si="3"/>
        <v>2.05</v>
      </c>
      <c r="J1764" s="15">
        <v>11.86</v>
      </c>
      <c r="K1764" s="16">
        <f>IF(COUNTIFS(Release_Calendar!$A$2:$A$755,"US_CPI",Release_Calendar!$B$2:$B$755,$A1764)&gt;0,1,0)</f>
        <v>0</v>
      </c>
      <c r="L1764" s="16">
        <f>IF(COUNTIFS(Release_Calendar!$A$2:$A$755,"US_NFP",Release_Calendar!$B$2:$B$755,$A1764)&gt;0,1,0)</f>
        <v>0</v>
      </c>
      <c r="M1764" s="16" t="str">
        <f>IF($A1764&lt;Notes!$B$5,"",IF(COUNTIFS(Release_Calendar!$A$2:$A$755,"NZ_CPI",Release_Calendar!$B$2:$B$755,$A1764)&gt;0,1,0))</f>
        <v/>
      </c>
      <c r="N1764" s="16" t="str">
        <f>IF($A1764&lt;Notes!$B$5,"",IF(COUNTIFS(Release_Calendar!$A$2:$A$755,"NZ_GDP",Release_Calendar!$B$2:$B$755,$A1764)&gt;0,1,0))</f>
        <v/>
      </c>
      <c r="O1764" s="16" t="str">
        <f>IF($A1764&lt;Notes!$B$5,"",IF(COUNTIFS(Release_Calendar!$A$2:$A$755,"NZ_LABOUR",Release_Calendar!$B$2:$B$755,$A1764)&gt;0,1,0))</f>
        <v/>
      </c>
      <c r="P1764" s="16">
        <f t="shared" si="4"/>
        <v>0</v>
      </c>
    </row>
    <row r="1765" ht="15.75" customHeight="1">
      <c r="A1765" s="14">
        <v>38995.0</v>
      </c>
      <c r="B1765" s="15">
        <v>4.65</v>
      </c>
      <c r="C1765" s="15"/>
      <c r="D1765" s="15">
        <v>6.63</v>
      </c>
      <c r="E1765" s="15"/>
      <c r="F1765" s="15" t="str">
        <f t="shared" si="1"/>
        <v/>
      </c>
      <c r="G1765" s="15">
        <f t="shared" si="2"/>
        <v>6.63</v>
      </c>
      <c r="H1765" s="16">
        <v>1.0</v>
      </c>
      <c r="I1765" s="15">
        <f t="shared" si="3"/>
        <v>1.98</v>
      </c>
      <c r="J1765" s="15">
        <v>11.98</v>
      </c>
      <c r="K1765" s="16">
        <f>IF(COUNTIFS(Release_Calendar!$A$2:$A$755,"US_CPI",Release_Calendar!$B$2:$B$755,$A1765)&gt;0,1,0)</f>
        <v>0</v>
      </c>
      <c r="L1765" s="16">
        <f>IF(COUNTIFS(Release_Calendar!$A$2:$A$755,"US_NFP",Release_Calendar!$B$2:$B$755,$A1765)&gt;0,1,0)</f>
        <v>0</v>
      </c>
      <c r="M1765" s="16" t="str">
        <f>IF($A1765&lt;Notes!$B$5,"",IF(COUNTIFS(Release_Calendar!$A$2:$A$755,"NZ_CPI",Release_Calendar!$B$2:$B$755,$A1765)&gt;0,1,0))</f>
        <v/>
      </c>
      <c r="N1765" s="16" t="str">
        <f>IF($A1765&lt;Notes!$B$5,"",IF(COUNTIFS(Release_Calendar!$A$2:$A$755,"NZ_GDP",Release_Calendar!$B$2:$B$755,$A1765)&gt;0,1,0))</f>
        <v/>
      </c>
      <c r="O1765" s="16" t="str">
        <f>IF($A1765&lt;Notes!$B$5,"",IF(COUNTIFS(Release_Calendar!$A$2:$A$755,"NZ_LABOUR",Release_Calendar!$B$2:$B$755,$A1765)&gt;0,1,0))</f>
        <v/>
      </c>
      <c r="P1765" s="16">
        <f t="shared" si="4"/>
        <v>0</v>
      </c>
    </row>
    <row r="1766" ht="15.75" customHeight="1">
      <c r="A1766" s="14">
        <v>38996.0</v>
      </c>
      <c r="B1766" s="15">
        <v>4.74</v>
      </c>
      <c r="C1766" s="15"/>
      <c r="D1766" s="15">
        <v>6.66</v>
      </c>
      <c r="E1766" s="15"/>
      <c r="F1766" s="15" t="str">
        <f t="shared" si="1"/>
        <v/>
      </c>
      <c r="G1766" s="15">
        <f t="shared" si="2"/>
        <v>6.66</v>
      </c>
      <c r="H1766" s="16">
        <v>1.0</v>
      </c>
      <c r="I1766" s="15">
        <f t="shared" si="3"/>
        <v>1.92</v>
      </c>
      <c r="J1766" s="15">
        <v>11.56</v>
      </c>
      <c r="K1766" s="16">
        <f>IF(COUNTIFS(Release_Calendar!$A$2:$A$755,"US_CPI",Release_Calendar!$B$2:$B$755,$A1766)&gt;0,1,0)</f>
        <v>0</v>
      </c>
      <c r="L1766" s="16">
        <f>IF(COUNTIFS(Release_Calendar!$A$2:$A$755,"US_NFP",Release_Calendar!$B$2:$B$755,$A1766)&gt;0,1,0)</f>
        <v>1</v>
      </c>
      <c r="M1766" s="16" t="str">
        <f>IF($A1766&lt;Notes!$B$5,"",IF(COUNTIFS(Release_Calendar!$A$2:$A$755,"NZ_CPI",Release_Calendar!$B$2:$B$755,$A1766)&gt;0,1,0))</f>
        <v/>
      </c>
      <c r="N1766" s="16" t="str">
        <f>IF($A1766&lt;Notes!$B$5,"",IF(COUNTIFS(Release_Calendar!$A$2:$A$755,"NZ_GDP",Release_Calendar!$B$2:$B$755,$A1766)&gt;0,1,0))</f>
        <v/>
      </c>
      <c r="O1766" s="16" t="str">
        <f>IF($A1766&lt;Notes!$B$5,"",IF(COUNTIFS(Release_Calendar!$A$2:$A$755,"NZ_LABOUR",Release_Calendar!$B$2:$B$755,$A1766)&gt;0,1,0))</f>
        <v/>
      </c>
      <c r="P1766" s="16">
        <f t="shared" si="4"/>
        <v>1</v>
      </c>
    </row>
    <row r="1767" ht="15.75" customHeight="1">
      <c r="A1767" s="14">
        <v>38999.0</v>
      </c>
      <c r="B1767" s="15"/>
      <c r="C1767" s="15"/>
      <c r="D1767" s="15">
        <v>6.71</v>
      </c>
      <c r="E1767" s="15"/>
      <c r="F1767" s="15" t="str">
        <f t="shared" si="1"/>
        <v/>
      </c>
      <c r="G1767" s="15">
        <f t="shared" si="2"/>
        <v>6.71</v>
      </c>
      <c r="H1767" s="16">
        <v>1.0</v>
      </c>
      <c r="I1767" s="15" t="str">
        <f t="shared" si="3"/>
        <v/>
      </c>
      <c r="J1767" s="15">
        <v>11.68</v>
      </c>
      <c r="K1767" s="16">
        <f>IF(COUNTIFS(Release_Calendar!$A$2:$A$755,"US_CPI",Release_Calendar!$B$2:$B$755,$A1767)&gt;0,1,0)</f>
        <v>0</v>
      </c>
      <c r="L1767" s="16">
        <f>IF(COUNTIFS(Release_Calendar!$A$2:$A$755,"US_NFP",Release_Calendar!$B$2:$B$755,$A1767)&gt;0,1,0)</f>
        <v>0</v>
      </c>
      <c r="M1767" s="16" t="str">
        <f>IF($A1767&lt;Notes!$B$5,"",IF(COUNTIFS(Release_Calendar!$A$2:$A$755,"NZ_CPI",Release_Calendar!$B$2:$B$755,$A1767)&gt;0,1,0))</f>
        <v/>
      </c>
      <c r="N1767" s="16" t="str">
        <f>IF($A1767&lt;Notes!$B$5,"",IF(COUNTIFS(Release_Calendar!$A$2:$A$755,"NZ_GDP",Release_Calendar!$B$2:$B$755,$A1767)&gt;0,1,0))</f>
        <v/>
      </c>
      <c r="O1767" s="16" t="str">
        <f>IF($A1767&lt;Notes!$B$5,"",IF(COUNTIFS(Release_Calendar!$A$2:$A$755,"NZ_LABOUR",Release_Calendar!$B$2:$B$755,$A1767)&gt;0,1,0))</f>
        <v/>
      </c>
      <c r="P1767" s="16">
        <f t="shared" si="4"/>
        <v>0</v>
      </c>
    </row>
    <row r="1768" ht="15.75" customHeight="1">
      <c r="A1768" s="14">
        <v>39000.0</v>
      </c>
      <c r="B1768" s="15">
        <v>4.82</v>
      </c>
      <c r="C1768" s="15"/>
      <c r="D1768" s="15">
        <v>6.75</v>
      </c>
      <c r="E1768" s="15"/>
      <c r="F1768" s="15" t="str">
        <f t="shared" si="1"/>
        <v/>
      </c>
      <c r="G1768" s="15">
        <f t="shared" si="2"/>
        <v>6.75</v>
      </c>
      <c r="H1768" s="16">
        <v>1.0</v>
      </c>
      <c r="I1768" s="15">
        <f t="shared" si="3"/>
        <v>1.93</v>
      </c>
      <c r="J1768" s="15">
        <v>11.52</v>
      </c>
      <c r="K1768" s="16">
        <f>IF(COUNTIFS(Release_Calendar!$A$2:$A$755,"US_CPI",Release_Calendar!$B$2:$B$755,$A1768)&gt;0,1,0)</f>
        <v>0</v>
      </c>
      <c r="L1768" s="16">
        <f>IF(COUNTIFS(Release_Calendar!$A$2:$A$755,"US_NFP",Release_Calendar!$B$2:$B$755,$A1768)&gt;0,1,0)</f>
        <v>0</v>
      </c>
      <c r="M1768" s="16" t="str">
        <f>IF($A1768&lt;Notes!$B$5,"",IF(COUNTIFS(Release_Calendar!$A$2:$A$755,"NZ_CPI",Release_Calendar!$B$2:$B$755,$A1768)&gt;0,1,0))</f>
        <v/>
      </c>
      <c r="N1768" s="16" t="str">
        <f>IF($A1768&lt;Notes!$B$5,"",IF(COUNTIFS(Release_Calendar!$A$2:$A$755,"NZ_GDP",Release_Calendar!$B$2:$B$755,$A1768)&gt;0,1,0))</f>
        <v/>
      </c>
      <c r="O1768" s="16" t="str">
        <f>IF($A1768&lt;Notes!$B$5,"",IF(COUNTIFS(Release_Calendar!$A$2:$A$755,"NZ_LABOUR",Release_Calendar!$B$2:$B$755,$A1768)&gt;0,1,0))</f>
        <v/>
      </c>
      <c r="P1768" s="16">
        <f t="shared" si="4"/>
        <v>0</v>
      </c>
    </row>
    <row r="1769" ht="15.75" customHeight="1">
      <c r="A1769" s="14">
        <v>39001.0</v>
      </c>
      <c r="B1769" s="15">
        <v>4.85</v>
      </c>
      <c r="C1769" s="15"/>
      <c r="D1769" s="15">
        <v>6.78</v>
      </c>
      <c r="E1769" s="15"/>
      <c r="F1769" s="15" t="str">
        <f t="shared" si="1"/>
        <v/>
      </c>
      <c r="G1769" s="15">
        <f t="shared" si="2"/>
        <v>6.78</v>
      </c>
      <c r="H1769" s="16">
        <v>1.0</v>
      </c>
      <c r="I1769" s="15">
        <f t="shared" si="3"/>
        <v>1.93</v>
      </c>
      <c r="J1769" s="15">
        <v>11.62</v>
      </c>
      <c r="K1769" s="16">
        <f>IF(COUNTIFS(Release_Calendar!$A$2:$A$755,"US_CPI",Release_Calendar!$B$2:$B$755,$A1769)&gt;0,1,0)</f>
        <v>0</v>
      </c>
      <c r="L1769" s="16">
        <f>IF(COUNTIFS(Release_Calendar!$A$2:$A$755,"US_NFP",Release_Calendar!$B$2:$B$755,$A1769)&gt;0,1,0)</f>
        <v>0</v>
      </c>
      <c r="M1769" s="16" t="str">
        <f>IF($A1769&lt;Notes!$B$5,"",IF(COUNTIFS(Release_Calendar!$A$2:$A$755,"NZ_CPI",Release_Calendar!$B$2:$B$755,$A1769)&gt;0,1,0))</f>
        <v/>
      </c>
      <c r="N1769" s="16" t="str">
        <f>IF($A1769&lt;Notes!$B$5,"",IF(COUNTIFS(Release_Calendar!$A$2:$A$755,"NZ_GDP",Release_Calendar!$B$2:$B$755,$A1769)&gt;0,1,0))</f>
        <v/>
      </c>
      <c r="O1769" s="16" t="str">
        <f>IF($A1769&lt;Notes!$B$5,"",IF(COUNTIFS(Release_Calendar!$A$2:$A$755,"NZ_LABOUR",Release_Calendar!$B$2:$B$755,$A1769)&gt;0,1,0))</f>
        <v/>
      </c>
      <c r="P1769" s="16">
        <f t="shared" si="4"/>
        <v>0</v>
      </c>
    </row>
    <row r="1770" ht="15.75" customHeight="1">
      <c r="A1770" s="14">
        <v>39002.0</v>
      </c>
      <c r="B1770" s="15">
        <v>4.85</v>
      </c>
      <c r="C1770" s="15"/>
      <c r="D1770" s="15">
        <v>6.75</v>
      </c>
      <c r="E1770" s="15"/>
      <c r="F1770" s="15" t="str">
        <f t="shared" si="1"/>
        <v/>
      </c>
      <c r="G1770" s="15">
        <f t="shared" si="2"/>
        <v>6.75</v>
      </c>
      <c r="H1770" s="16">
        <v>1.0</v>
      </c>
      <c r="I1770" s="15">
        <f t="shared" si="3"/>
        <v>1.9</v>
      </c>
      <c r="J1770" s="15">
        <v>11.09</v>
      </c>
      <c r="K1770" s="16">
        <f>IF(COUNTIFS(Release_Calendar!$A$2:$A$755,"US_CPI",Release_Calendar!$B$2:$B$755,$A1770)&gt;0,1,0)</f>
        <v>0</v>
      </c>
      <c r="L1770" s="16">
        <f>IF(COUNTIFS(Release_Calendar!$A$2:$A$755,"US_NFP",Release_Calendar!$B$2:$B$755,$A1770)&gt;0,1,0)</f>
        <v>0</v>
      </c>
      <c r="M1770" s="16" t="str">
        <f>IF($A1770&lt;Notes!$B$5,"",IF(COUNTIFS(Release_Calendar!$A$2:$A$755,"NZ_CPI",Release_Calendar!$B$2:$B$755,$A1770)&gt;0,1,0))</f>
        <v/>
      </c>
      <c r="N1770" s="16" t="str">
        <f>IF($A1770&lt;Notes!$B$5,"",IF(COUNTIFS(Release_Calendar!$A$2:$A$755,"NZ_GDP",Release_Calendar!$B$2:$B$755,$A1770)&gt;0,1,0))</f>
        <v/>
      </c>
      <c r="O1770" s="16" t="str">
        <f>IF($A1770&lt;Notes!$B$5,"",IF(COUNTIFS(Release_Calendar!$A$2:$A$755,"NZ_LABOUR",Release_Calendar!$B$2:$B$755,$A1770)&gt;0,1,0))</f>
        <v/>
      </c>
      <c r="P1770" s="16">
        <f t="shared" si="4"/>
        <v>0</v>
      </c>
    </row>
    <row r="1771" ht="15.75" customHeight="1">
      <c r="A1771" s="14">
        <v>39003.0</v>
      </c>
      <c r="B1771" s="15">
        <v>4.87</v>
      </c>
      <c r="C1771" s="15"/>
      <c r="D1771" s="15">
        <v>6.75</v>
      </c>
      <c r="E1771" s="15"/>
      <c r="F1771" s="15" t="str">
        <f t="shared" si="1"/>
        <v/>
      </c>
      <c r="G1771" s="15">
        <f t="shared" si="2"/>
        <v>6.75</v>
      </c>
      <c r="H1771" s="16">
        <v>1.0</v>
      </c>
      <c r="I1771" s="15">
        <f t="shared" si="3"/>
        <v>1.88</v>
      </c>
      <c r="J1771" s="15">
        <v>10.75</v>
      </c>
      <c r="K1771" s="16">
        <f>IF(COUNTIFS(Release_Calendar!$A$2:$A$755,"US_CPI",Release_Calendar!$B$2:$B$755,$A1771)&gt;0,1,0)</f>
        <v>0</v>
      </c>
      <c r="L1771" s="16">
        <f>IF(COUNTIFS(Release_Calendar!$A$2:$A$755,"US_NFP",Release_Calendar!$B$2:$B$755,$A1771)&gt;0,1,0)</f>
        <v>0</v>
      </c>
      <c r="M1771" s="16" t="str">
        <f>IF($A1771&lt;Notes!$B$5,"",IF(COUNTIFS(Release_Calendar!$A$2:$A$755,"NZ_CPI",Release_Calendar!$B$2:$B$755,$A1771)&gt;0,1,0))</f>
        <v/>
      </c>
      <c r="N1771" s="16" t="str">
        <f>IF($A1771&lt;Notes!$B$5,"",IF(COUNTIFS(Release_Calendar!$A$2:$A$755,"NZ_GDP",Release_Calendar!$B$2:$B$755,$A1771)&gt;0,1,0))</f>
        <v/>
      </c>
      <c r="O1771" s="16" t="str">
        <f>IF($A1771&lt;Notes!$B$5,"",IF(COUNTIFS(Release_Calendar!$A$2:$A$755,"NZ_LABOUR",Release_Calendar!$B$2:$B$755,$A1771)&gt;0,1,0))</f>
        <v/>
      </c>
      <c r="P1771" s="16">
        <f t="shared" si="4"/>
        <v>0</v>
      </c>
    </row>
    <row r="1772" ht="15.75" customHeight="1">
      <c r="A1772" s="14">
        <v>39006.0</v>
      </c>
      <c r="B1772" s="15">
        <v>4.85</v>
      </c>
      <c r="C1772" s="15"/>
      <c r="D1772" s="15">
        <v>6.72</v>
      </c>
      <c r="E1772" s="15"/>
      <c r="F1772" s="15" t="str">
        <f t="shared" si="1"/>
        <v/>
      </c>
      <c r="G1772" s="15">
        <f t="shared" si="2"/>
        <v>6.72</v>
      </c>
      <c r="H1772" s="16">
        <v>1.0</v>
      </c>
      <c r="I1772" s="15">
        <f t="shared" si="3"/>
        <v>1.87</v>
      </c>
      <c r="J1772" s="15">
        <v>11.09</v>
      </c>
      <c r="K1772" s="16">
        <f>IF(COUNTIFS(Release_Calendar!$A$2:$A$755,"US_CPI",Release_Calendar!$B$2:$B$755,$A1772)&gt;0,1,0)</f>
        <v>0</v>
      </c>
      <c r="L1772" s="16">
        <f>IF(COUNTIFS(Release_Calendar!$A$2:$A$755,"US_NFP",Release_Calendar!$B$2:$B$755,$A1772)&gt;0,1,0)</f>
        <v>0</v>
      </c>
      <c r="M1772" s="16" t="str">
        <f>IF($A1772&lt;Notes!$B$5,"",IF(COUNTIFS(Release_Calendar!$A$2:$A$755,"NZ_CPI",Release_Calendar!$B$2:$B$755,$A1772)&gt;0,1,0))</f>
        <v/>
      </c>
      <c r="N1772" s="16" t="str">
        <f>IF($A1772&lt;Notes!$B$5,"",IF(COUNTIFS(Release_Calendar!$A$2:$A$755,"NZ_GDP",Release_Calendar!$B$2:$B$755,$A1772)&gt;0,1,0))</f>
        <v/>
      </c>
      <c r="O1772" s="16" t="str">
        <f>IF($A1772&lt;Notes!$B$5,"",IF(COUNTIFS(Release_Calendar!$A$2:$A$755,"NZ_LABOUR",Release_Calendar!$B$2:$B$755,$A1772)&gt;0,1,0))</f>
        <v/>
      </c>
      <c r="P1772" s="16">
        <f t="shared" si="4"/>
        <v>0</v>
      </c>
    </row>
    <row r="1773" ht="15.75" customHeight="1">
      <c r="A1773" s="14">
        <v>39007.0</v>
      </c>
      <c r="B1773" s="15">
        <v>4.83</v>
      </c>
      <c r="C1773" s="15"/>
      <c r="D1773" s="15">
        <v>6.72</v>
      </c>
      <c r="E1773" s="15"/>
      <c r="F1773" s="15" t="str">
        <f t="shared" si="1"/>
        <v/>
      </c>
      <c r="G1773" s="15">
        <f t="shared" si="2"/>
        <v>6.72</v>
      </c>
      <c r="H1773" s="16">
        <v>1.0</v>
      </c>
      <c r="I1773" s="15">
        <f t="shared" si="3"/>
        <v>1.89</v>
      </c>
      <c r="J1773" s="15">
        <v>11.73</v>
      </c>
      <c r="K1773" s="16">
        <f>IF(COUNTIFS(Release_Calendar!$A$2:$A$755,"US_CPI",Release_Calendar!$B$2:$B$755,$A1773)&gt;0,1,0)</f>
        <v>0</v>
      </c>
      <c r="L1773" s="16">
        <f>IF(COUNTIFS(Release_Calendar!$A$2:$A$755,"US_NFP",Release_Calendar!$B$2:$B$755,$A1773)&gt;0,1,0)</f>
        <v>0</v>
      </c>
      <c r="M1773" s="16" t="str">
        <f>IF($A1773&lt;Notes!$B$5,"",IF(COUNTIFS(Release_Calendar!$A$2:$A$755,"NZ_CPI",Release_Calendar!$B$2:$B$755,$A1773)&gt;0,1,0))</f>
        <v/>
      </c>
      <c r="N1773" s="16" t="str">
        <f>IF($A1773&lt;Notes!$B$5,"",IF(COUNTIFS(Release_Calendar!$A$2:$A$755,"NZ_GDP",Release_Calendar!$B$2:$B$755,$A1773)&gt;0,1,0))</f>
        <v/>
      </c>
      <c r="O1773" s="16" t="str">
        <f>IF($A1773&lt;Notes!$B$5,"",IF(COUNTIFS(Release_Calendar!$A$2:$A$755,"NZ_LABOUR",Release_Calendar!$B$2:$B$755,$A1773)&gt;0,1,0))</f>
        <v/>
      </c>
      <c r="P1773" s="16">
        <f t="shared" si="4"/>
        <v>0</v>
      </c>
    </row>
    <row r="1774" ht="15.75" customHeight="1">
      <c r="A1774" s="14">
        <v>39008.0</v>
      </c>
      <c r="B1774" s="15">
        <v>4.85</v>
      </c>
      <c r="C1774" s="15"/>
      <c r="D1774" s="15">
        <v>6.7</v>
      </c>
      <c r="E1774" s="15"/>
      <c r="F1774" s="15" t="str">
        <f t="shared" si="1"/>
        <v/>
      </c>
      <c r="G1774" s="15">
        <f t="shared" si="2"/>
        <v>6.7</v>
      </c>
      <c r="H1774" s="16">
        <v>1.0</v>
      </c>
      <c r="I1774" s="15">
        <f t="shared" si="3"/>
        <v>1.85</v>
      </c>
      <c r="J1774" s="15">
        <v>11.34</v>
      </c>
      <c r="K1774" s="16">
        <f>IF(COUNTIFS(Release_Calendar!$A$2:$A$755,"US_CPI",Release_Calendar!$B$2:$B$755,$A1774)&gt;0,1,0)</f>
        <v>1</v>
      </c>
      <c r="L1774" s="16">
        <f>IF(COUNTIFS(Release_Calendar!$A$2:$A$755,"US_NFP",Release_Calendar!$B$2:$B$755,$A1774)&gt;0,1,0)</f>
        <v>0</v>
      </c>
      <c r="M1774" s="16" t="str">
        <f>IF($A1774&lt;Notes!$B$5,"",IF(COUNTIFS(Release_Calendar!$A$2:$A$755,"NZ_CPI",Release_Calendar!$B$2:$B$755,$A1774)&gt;0,1,0))</f>
        <v/>
      </c>
      <c r="N1774" s="16" t="str">
        <f>IF($A1774&lt;Notes!$B$5,"",IF(COUNTIFS(Release_Calendar!$A$2:$A$755,"NZ_GDP",Release_Calendar!$B$2:$B$755,$A1774)&gt;0,1,0))</f>
        <v/>
      </c>
      <c r="O1774" s="16" t="str">
        <f>IF($A1774&lt;Notes!$B$5,"",IF(COUNTIFS(Release_Calendar!$A$2:$A$755,"NZ_LABOUR",Release_Calendar!$B$2:$B$755,$A1774)&gt;0,1,0))</f>
        <v/>
      </c>
      <c r="P1774" s="16">
        <f t="shared" si="4"/>
        <v>1</v>
      </c>
    </row>
    <row r="1775" ht="15.75" customHeight="1">
      <c r="A1775" s="14">
        <v>39009.0</v>
      </c>
      <c r="B1775" s="15">
        <v>4.85</v>
      </c>
      <c r="C1775" s="15"/>
      <c r="D1775" s="15">
        <v>6.68</v>
      </c>
      <c r="E1775" s="15"/>
      <c r="F1775" s="15" t="str">
        <f t="shared" si="1"/>
        <v/>
      </c>
      <c r="G1775" s="15">
        <f t="shared" si="2"/>
        <v>6.68</v>
      </c>
      <c r="H1775" s="16">
        <v>1.0</v>
      </c>
      <c r="I1775" s="15">
        <f t="shared" si="3"/>
        <v>1.83</v>
      </c>
      <c r="J1775" s="15">
        <v>10.9</v>
      </c>
      <c r="K1775" s="16">
        <f>IF(COUNTIFS(Release_Calendar!$A$2:$A$755,"US_CPI",Release_Calendar!$B$2:$B$755,$A1775)&gt;0,1,0)</f>
        <v>0</v>
      </c>
      <c r="L1775" s="16">
        <f>IF(COUNTIFS(Release_Calendar!$A$2:$A$755,"US_NFP",Release_Calendar!$B$2:$B$755,$A1775)&gt;0,1,0)</f>
        <v>0</v>
      </c>
      <c r="M1775" s="16" t="str">
        <f>IF($A1775&lt;Notes!$B$5,"",IF(COUNTIFS(Release_Calendar!$A$2:$A$755,"NZ_CPI",Release_Calendar!$B$2:$B$755,$A1775)&gt;0,1,0))</f>
        <v/>
      </c>
      <c r="N1775" s="16" t="str">
        <f>IF($A1775&lt;Notes!$B$5,"",IF(COUNTIFS(Release_Calendar!$A$2:$A$755,"NZ_GDP",Release_Calendar!$B$2:$B$755,$A1775)&gt;0,1,0))</f>
        <v/>
      </c>
      <c r="O1775" s="16" t="str">
        <f>IF($A1775&lt;Notes!$B$5,"",IF(COUNTIFS(Release_Calendar!$A$2:$A$755,"NZ_LABOUR",Release_Calendar!$B$2:$B$755,$A1775)&gt;0,1,0))</f>
        <v/>
      </c>
      <c r="P1775" s="16">
        <f t="shared" si="4"/>
        <v>0</v>
      </c>
    </row>
    <row r="1776" ht="15.75" customHeight="1">
      <c r="A1776" s="14">
        <v>39010.0</v>
      </c>
      <c r="B1776" s="15">
        <v>4.87</v>
      </c>
      <c r="C1776" s="15"/>
      <c r="D1776" s="15">
        <v>6.69</v>
      </c>
      <c r="E1776" s="15"/>
      <c r="F1776" s="15" t="str">
        <f t="shared" si="1"/>
        <v/>
      </c>
      <c r="G1776" s="15">
        <f t="shared" si="2"/>
        <v>6.69</v>
      </c>
      <c r="H1776" s="16">
        <v>1.0</v>
      </c>
      <c r="I1776" s="15">
        <f t="shared" si="3"/>
        <v>1.82</v>
      </c>
      <c r="J1776" s="15">
        <v>10.63</v>
      </c>
      <c r="K1776" s="16">
        <f>IF(COUNTIFS(Release_Calendar!$A$2:$A$755,"US_CPI",Release_Calendar!$B$2:$B$755,$A1776)&gt;0,1,0)</f>
        <v>0</v>
      </c>
      <c r="L1776" s="16">
        <f>IF(COUNTIFS(Release_Calendar!$A$2:$A$755,"US_NFP",Release_Calendar!$B$2:$B$755,$A1776)&gt;0,1,0)</f>
        <v>0</v>
      </c>
      <c r="M1776" s="16" t="str">
        <f>IF($A1776&lt;Notes!$B$5,"",IF(COUNTIFS(Release_Calendar!$A$2:$A$755,"NZ_CPI",Release_Calendar!$B$2:$B$755,$A1776)&gt;0,1,0))</f>
        <v/>
      </c>
      <c r="N1776" s="16" t="str">
        <f>IF($A1776&lt;Notes!$B$5,"",IF(COUNTIFS(Release_Calendar!$A$2:$A$755,"NZ_GDP",Release_Calendar!$B$2:$B$755,$A1776)&gt;0,1,0))</f>
        <v/>
      </c>
      <c r="O1776" s="16" t="str">
        <f>IF($A1776&lt;Notes!$B$5,"",IF(COUNTIFS(Release_Calendar!$A$2:$A$755,"NZ_LABOUR",Release_Calendar!$B$2:$B$755,$A1776)&gt;0,1,0))</f>
        <v/>
      </c>
      <c r="P1776" s="16">
        <f t="shared" si="4"/>
        <v>0</v>
      </c>
    </row>
    <row r="1777" ht="15.75" customHeight="1">
      <c r="A1777" s="14">
        <v>39013.0</v>
      </c>
      <c r="B1777" s="15">
        <v>4.9</v>
      </c>
      <c r="C1777" s="15"/>
      <c r="D1777" s="15"/>
      <c r="E1777" s="15"/>
      <c r="F1777" s="15" t="str">
        <f t="shared" si="1"/>
        <v/>
      </c>
      <c r="G1777" s="15" t="str">
        <f t="shared" si="2"/>
        <v/>
      </c>
      <c r="H1777" s="16">
        <v>1.0</v>
      </c>
      <c r="I1777" s="15" t="str">
        <f t="shared" si="3"/>
        <v/>
      </c>
      <c r="J1777" s="15">
        <v>11.08</v>
      </c>
      <c r="K1777" s="16">
        <f>IF(COUNTIFS(Release_Calendar!$A$2:$A$755,"US_CPI",Release_Calendar!$B$2:$B$755,$A1777)&gt;0,1,0)</f>
        <v>0</v>
      </c>
      <c r="L1777" s="16">
        <f>IF(COUNTIFS(Release_Calendar!$A$2:$A$755,"US_NFP",Release_Calendar!$B$2:$B$755,$A1777)&gt;0,1,0)</f>
        <v>0</v>
      </c>
      <c r="M1777" s="16" t="str">
        <f>IF($A1777&lt;Notes!$B$5,"",IF(COUNTIFS(Release_Calendar!$A$2:$A$755,"NZ_CPI",Release_Calendar!$B$2:$B$755,$A1777)&gt;0,1,0))</f>
        <v/>
      </c>
      <c r="N1777" s="16" t="str">
        <f>IF($A1777&lt;Notes!$B$5,"",IF(COUNTIFS(Release_Calendar!$A$2:$A$755,"NZ_GDP",Release_Calendar!$B$2:$B$755,$A1777)&gt;0,1,0))</f>
        <v/>
      </c>
      <c r="O1777" s="16" t="str">
        <f>IF($A1777&lt;Notes!$B$5,"",IF(COUNTIFS(Release_Calendar!$A$2:$A$755,"NZ_LABOUR",Release_Calendar!$B$2:$B$755,$A1777)&gt;0,1,0))</f>
        <v/>
      </c>
      <c r="P1777" s="16">
        <f t="shared" si="4"/>
        <v>0</v>
      </c>
    </row>
    <row r="1778" ht="15.75" customHeight="1">
      <c r="A1778" s="14">
        <v>39014.0</v>
      </c>
      <c r="B1778" s="15">
        <v>4.91</v>
      </c>
      <c r="C1778" s="15"/>
      <c r="D1778" s="15">
        <v>6.72</v>
      </c>
      <c r="E1778" s="15"/>
      <c r="F1778" s="15" t="str">
        <f t="shared" si="1"/>
        <v/>
      </c>
      <c r="G1778" s="15">
        <f t="shared" si="2"/>
        <v>6.72</v>
      </c>
      <c r="H1778" s="16">
        <v>1.0</v>
      </c>
      <c r="I1778" s="15">
        <f t="shared" si="3"/>
        <v>1.81</v>
      </c>
      <c r="J1778" s="15">
        <v>10.78</v>
      </c>
      <c r="K1778" s="16">
        <f>IF(COUNTIFS(Release_Calendar!$A$2:$A$755,"US_CPI",Release_Calendar!$B$2:$B$755,$A1778)&gt;0,1,0)</f>
        <v>0</v>
      </c>
      <c r="L1778" s="16">
        <f>IF(COUNTIFS(Release_Calendar!$A$2:$A$755,"US_NFP",Release_Calendar!$B$2:$B$755,$A1778)&gt;0,1,0)</f>
        <v>0</v>
      </c>
      <c r="M1778" s="16" t="str">
        <f>IF($A1778&lt;Notes!$B$5,"",IF(COUNTIFS(Release_Calendar!$A$2:$A$755,"NZ_CPI",Release_Calendar!$B$2:$B$755,$A1778)&gt;0,1,0))</f>
        <v/>
      </c>
      <c r="N1778" s="16" t="str">
        <f>IF($A1778&lt;Notes!$B$5,"",IF(COUNTIFS(Release_Calendar!$A$2:$A$755,"NZ_GDP",Release_Calendar!$B$2:$B$755,$A1778)&gt;0,1,0))</f>
        <v/>
      </c>
      <c r="O1778" s="16" t="str">
        <f>IF($A1778&lt;Notes!$B$5,"",IF(COUNTIFS(Release_Calendar!$A$2:$A$755,"NZ_LABOUR",Release_Calendar!$B$2:$B$755,$A1778)&gt;0,1,0))</f>
        <v/>
      </c>
      <c r="P1778" s="16">
        <f t="shared" si="4"/>
        <v>0</v>
      </c>
    </row>
    <row r="1779" ht="15.75" customHeight="1">
      <c r="A1779" s="14">
        <v>39015.0</v>
      </c>
      <c r="B1779" s="15">
        <v>4.88</v>
      </c>
      <c r="C1779" s="15"/>
      <c r="D1779" s="15">
        <v>6.72</v>
      </c>
      <c r="E1779" s="15"/>
      <c r="F1779" s="15" t="str">
        <f t="shared" si="1"/>
        <v/>
      </c>
      <c r="G1779" s="15">
        <f t="shared" si="2"/>
        <v>6.72</v>
      </c>
      <c r="H1779" s="16">
        <v>1.0</v>
      </c>
      <c r="I1779" s="15">
        <f t="shared" si="3"/>
        <v>1.84</v>
      </c>
      <c r="J1779" s="15">
        <v>10.66</v>
      </c>
      <c r="K1779" s="16">
        <f>IF(COUNTIFS(Release_Calendar!$A$2:$A$755,"US_CPI",Release_Calendar!$B$2:$B$755,$A1779)&gt;0,1,0)</f>
        <v>0</v>
      </c>
      <c r="L1779" s="16">
        <f>IF(COUNTIFS(Release_Calendar!$A$2:$A$755,"US_NFP",Release_Calendar!$B$2:$B$755,$A1779)&gt;0,1,0)</f>
        <v>0</v>
      </c>
      <c r="M1779" s="16" t="str">
        <f>IF($A1779&lt;Notes!$B$5,"",IF(COUNTIFS(Release_Calendar!$A$2:$A$755,"NZ_CPI",Release_Calendar!$B$2:$B$755,$A1779)&gt;0,1,0))</f>
        <v/>
      </c>
      <c r="N1779" s="16" t="str">
        <f>IF($A1779&lt;Notes!$B$5,"",IF(COUNTIFS(Release_Calendar!$A$2:$A$755,"NZ_GDP",Release_Calendar!$B$2:$B$755,$A1779)&gt;0,1,0))</f>
        <v/>
      </c>
      <c r="O1779" s="16" t="str">
        <f>IF($A1779&lt;Notes!$B$5,"",IF(COUNTIFS(Release_Calendar!$A$2:$A$755,"NZ_LABOUR",Release_Calendar!$B$2:$B$755,$A1779)&gt;0,1,0))</f>
        <v/>
      </c>
      <c r="P1779" s="16">
        <f t="shared" si="4"/>
        <v>0</v>
      </c>
    </row>
    <row r="1780" ht="15.75" customHeight="1">
      <c r="A1780" s="14">
        <v>39016.0</v>
      </c>
      <c r="B1780" s="15">
        <v>4.81</v>
      </c>
      <c r="C1780" s="15"/>
      <c r="D1780" s="15">
        <v>6.6</v>
      </c>
      <c r="E1780" s="15"/>
      <c r="F1780" s="15" t="str">
        <f t="shared" si="1"/>
        <v/>
      </c>
      <c r="G1780" s="15">
        <f t="shared" si="2"/>
        <v>6.6</v>
      </c>
      <c r="H1780" s="16">
        <v>1.0</v>
      </c>
      <c r="I1780" s="15">
        <f t="shared" si="3"/>
        <v>1.79</v>
      </c>
      <c r="J1780" s="15">
        <v>10.56</v>
      </c>
      <c r="K1780" s="16">
        <f>IF(COUNTIFS(Release_Calendar!$A$2:$A$755,"US_CPI",Release_Calendar!$B$2:$B$755,$A1780)&gt;0,1,0)</f>
        <v>0</v>
      </c>
      <c r="L1780" s="16">
        <f>IF(COUNTIFS(Release_Calendar!$A$2:$A$755,"US_NFP",Release_Calendar!$B$2:$B$755,$A1780)&gt;0,1,0)</f>
        <v>0</v>
      </c>
      <c r="M1780" s="16" t="str">
        <f>IF($A1780&lt;Notes!$B$5,"",IF(COUNTIFS(Release_Calendar!$A$2:$A$755,"NZ_CPI",Release_Calendar!$B$2:$B$755,$A1780)&gt;0,1,0))</f>
        <v/>
      </c>
      <c r="N1780" s="16" t="str">
        <f>IF($A1780&lt;Notes!$B$5,"",IF(COUNTIFS(Release_Calendar!$A$2:$A$755,"NZ_GDP",Release_Calendar!$B$2:$B$755,$A1780)&gt;0,1,0))</f>
        <v/>
      </c>
      <c r="O1780" s="16" t="str">
        <f>IF($A1780&lt;Notes!$B$5,"",IF(COUNTIFS(Release_Calendar!$A$2:$A$755,"NZ_LABOUR",Release_Calendar!$B$2:$B$755,$A1780)&gt;0,1,0))</f>
        <v/>
      </c>
      <c r="P1780" s="16">
        <f t="shared" si="4"/>
        <v>0</v>
      </c>
    </row>
    <row r="1781" ht="15.75" customHeight="1">
      <c r="A1781" s="14">
        <v>39017.0</v>
      </c>
      <c r="B1781" s="15">
        <v>4.76</v>
      </c>
      <c r="C1781" s="15"/>
      <c r="D1781" s="15">
        <v>6.6</v>
      </c>
      <c r="E1781" s="15"/>
      <c r="F1781" s="15" t="str">
        <f t="shared" si="1"/>
        <v/>
      </c>
      <c r="G1781" s="15">
        <f t="shared" si="2"/>
        <v>6.6</v>
      </c>
      <c r="H1781" s="16">
        <v>1.0</v>
      </c>
      <c r="I1781" s="15">
        <f t="shared" si="3"/>
        <v>1.84</v>
      </c>
      <c r="J1781" s="15">
        <v>10.8</v>
      </c>
      <c r="K1781" s="16">
        <f>IF(COUNTIFS(Release_Calendar!$A$2:$A$755,"US_CPI",Release_Calendar!$B$2:$B$755,$A1781)&gt;0,1,0)</f>
        <v>0</v>
      </c>
      <c r="L1781" s="16">
        <f>IF(COUNTIFS(Release_Calendar!$A$2:$A$755,"US_NFP",Release_Calendar!$B$2:$B$755,$A1781)&gt;0,1,0)</f>
        <v>0</v>
      </c>
      <c r="M1781" s="16" t="str">
        <f>IF($A1781&lt;Notes!$B$5,"",IF(COUNTIFS(Release_Calendar!$A$2:$A$755,"NZ_CPI",Release_Calendar!$B$2:$B$755,$A1781)&gt;0,1,0))</f>
        <v/>
      </c>
      <c r="N1781" s="16" t="str">
        <f>IF($A1781&lt;Notes!$B$5,"",IF(COUNTIFS(Release_Calendar!$A$2:$A$755,"NZ_GDP",Release_Calendar!$B$2:$B$755,$A1781)&gt;0,1,0))</f>
        <v/>
      </c>
      <c r="O1781" s="16" t="str">
        <f>IF($A1781&lt;Notes!$B$5,"",IF(COUNTIFS(Release_Calendar!$A$2:$A$755,"NZ_LABOUR",Release_Calendar!$B$2:$B$755,$A1781)&gt;0,1,0))</f>
        <v/>
      </c>
      <c r="P1781" s="16">
        <f t="shared" si="4"/>
        <v>0</v>
      </c>
    </row>
    <row r="1782" ht="15.75" customHeight="1">
      <c r="A1782" s="14">
        <v>39020.0</v>
      </c>
      <c r="B1782" s="15">
        <v>4.78</v>
      </c>
      <c r="C1782" s="15"/>
      <c r="D1782" s="15">
        <v>6.58</v>
      </c>
      <c r="E1782" s="15"/>
      <c r="F1782" s="15" t="str">
        <f t="shared" si="1"/>
        <v/>
      </c>
      <c r="G1782" s="15">
        <f t="shared" si="2"/>
        <v>6.58</v>
      </c>
      <c r="H1782" s="16">
        <v>1.0</v>
      </c>
      <c r="I1782" s="15">
        <f t="shared" si="3"/>
        <v>1.8</v>
      </c>
      <c r="J1782" s="15">
        <v>11.2</v>
      </c>
      <c r="K1782" s="16">
        <f>IF(COUNTIFS(Release_Calendar!$A$2:$A$755,"US_CPI",Release_Calendar!$B$2:$B$755,$A1782)&gt;0,1,0)</f>
        <v>0</v>
      </c>
      <c r="L1782" s="16">
        <f>IF(COUNTIFS(Release_Calendar!$A$2:$A$755,"US_NFP",Release_Calendar!$B$2:$B$755,$A1782)&gt;0,1,0)</f>
        <v>0</v>
      </c>
      <c r="M1782" s="16" t="str">
        <f>IF($A1782&lt;Notes!$B$5,"",IF(COUNTIFS(Release_Calendar!$A$2:$A$755,"NZ_CPI",Release_Calendar!$B$2:$B$755,$A1782)&gt;0,1,0))</f>
        <v/>
      </c>
      <c r="N1782" s="16" t="str">
        <f>IF($A1782&lt;Notes!$B$5,"",IF(COUNTIFS(Release_Calendar!$A$2:$A$755,"NZ_GDP",Release_Calendar!$B$2:$B$755,$A1782)&gt;0,1,0))</f>
        <v/>
      </c>
      <c r="O1782" s="16" t="str">
        <f>IF($A1782&lt;Notes!$B$5,"",IF(COUNTIFS(Release_Calendar!$A$2:$A$755,"NZ_LABOUR",Release_Calendar!$B$2:$B$755,$A1782)&gt;0,1,0))</f>
        <v/>
      </c>
      <c r="P1782" s="16">
        <f t="shared" si="4"/>
        <v>0</v>
      </c>
    </row>
    <row r="1783" ht="15.75" customHeight="1">
      <c r="A1783" s="14">
        <v>39021.0</v>
      </c>
      <c r="B1783" s="15">
        <v>4.71</v>
      </c>
      <c r="C1783" s="15"/>
      <c r="D1783" s="15">
        <v>6.56</v>
      </c>
      <c r="E1783" s="15"/>
      <c r="F1783" s="15" t="str">
        <f t="shared" si="1"/>
        <v/>
      </c>
      <c r="G1783" s="15">
        <f t="shared" si="2"/>
        <v>6.56</v>
      </c>
      <c r="H1783" s="16">
        <v>1.0</v>
      </c>
      <c r="I1783" s="15">
        <f t="shared" si="3"/>
        <v>1.85</v>
      </c>
      <c r="J1783" s="15">
        <v>11.1</v>
      </c>
      <c r="K1783" s="16">
        <f>IF(COUNTIFS(Release_Calendar!$A$2:$A$755,"US_CPI",Release_Calendar!$B$2:$B$755,$A1783)&gt;0,1,0)</f>
        <v>0</v>
      </c>
      <c r="L1783" s="16">
        <f>IF(COUNTIFS(Release_Calendar!$A$2:$A$755,"US_NFP",Release_Calendar!$B$2:$B$755,$A1783)&gt;0,1,0)</f>
        <v>0</v>
      </c>
      <c r="M1783" s="16" t="str">
        <f>IF($A1783&lt;Notes!$B$5,"",IF(COUNTIFS(Release_Calendar!$A$2:$A$755,"NZ_CPI",Release_Calendar!$B$2:$B$755,$A1783)&gt;0,1,0))</f>
        <v/>
      </c>
      <c r="N1783" s="16" t="str">
        <f>IF($A1783&lt;Notes!$B$5,"",IF(COUNTIFS(Release_Calendar!$A$2:$A$755,"NZ_GDP",Release_Calendar!$B$2:$B$755,$A1783)&gt;0,1,0))</f>
        <v/>
      </c>
      <c r="O1783" s="16" t="str">
        <f>IF($A1783&lt;Notes!$B$5,"",IF(COUNTIFS(Release_Calendar!$A$2:$A$755,"NZ_LABOUR",Release_Calendar!$B$2:$B$755,$A1783)&gt;0,1,0))</f>
        <v/>
      </c>
      <c r="P1783" s="16">
        <f t="shared" si="4"/>
        <v>0</v>
      </c>
    </row>
    <row r="1784" ht="15.75" customHeight="1">
      <c r="A1784" s="14">
        <v>39022.0</v>
      </c>
      <c r="B1784" s="15">
        <v>4.66</v>
      </c>
      <c r="C1784" s="15"/>
      <c r="D1784" s="15">
        <v>6.53</v>
      </c>
      <c r="E1784" s="15"/>
      <c r="F1784" s="15" t="str">
        <f t="shared" si="1"/>
        <v/>
      </c>
      <c r="G1784" s="15">
        <f t="shared" si="2"/>
        <v>6.53</v>
      </c>
      <c r="H1784" s="16">
        <v>1.0</v>
      </c>
      <c r="I1784" s="15">
        <f t="shared" si="3"/>
        <v>1.87</v>
      </c>
      <c r="J1784" s="15">
        <v>11.51</v>
      </c>
      <c r="K1784" s="16">
        <f>IF(COUNTIFS(Release_Calendar!$A$2:$A$755,"US_CPI",Release_Calendar!$B$2:$B$755,$A1784)&gt;0,1,0)</f>
        <v>0</v>
      </c>
      <c r="L1784" s="16">
        <f>IF(COUNTIFS(Release_Calendar!$A$2:$A$755,"US_NFP",Release_Calendar!$B$2:$B$755,$A1784)&gt;0,1,0)</f>
        <v>0</v>
      </c>
      <c r="M1784" s="16" t="str">
        <f>IF($A1784&lt;Notes!$B$5,"",IF(COUNTIFS(Release_Calendar!$A$2:$A$755,"NZ_CPI",Release_Calendar!$B$2:$B$755,$A1784)&gt;0,1,0))</f>
        <v/>
      </c>
      <c r="N1784" s="16" t="str">
        <f>IF($A1784&lt;Notes!$B$5,"",IF(COUNTIFS(Release_Calendar!$A$2:$A$755,"NZ_GDP",Release_Calendar!$B$2:$B$755,$A1784)&gt;0,1,0))</f>
        <v/>
      </c>
      <c r="O1784" s="16" t="str">
        <f>IF($A1784&lt;Notes!$B$5,"",IF(COUNTIFS(Release_Calendar!$A$2:$A$755,"NZ_LABOUR",Release_Calendar!$B$2:$B$755,$A1784)&gt;0,1,0))</f>
        <v/>
      </c>
      <c r="P1784" s="16">
        <f t="shared" si="4"/>
        <v>0</v>
      </c>
    </row>
    <row r="1785" ht="15.75" customHeight="1">
      <c r="A1785" s="14">
        <v>39023.0</v>
      </c>
      <c r="B1785" s="15">
        <v>4.67</v>
      </c>
      <c r="C1785" s="15"/>
      <c r="D1785" s="15">
        <v>6.5</v>
      </c>
      <c r="E1785" s="15"/>
      <c r="F1785" s="15" t="str">
        <f t="shared" si="1"/>
        <v/>
      </c>
      <c r="G1785" s="15">
        <f t="shared" si="2"/>
        <v>6.5</v>
      </c>
      <c r="H1785" s="16">
        <v>1.0</v>
      </c>
      <c r="I1785" s="15">
        <f t="shared" si="3"/>
        <v>1.83</v>
      </c>
      <c r="J1785" s="15">
        <v>11.42</v>
      </c>
      <c r="K1785" s="16">
        <f>IF(COUNTIFS(Release_Calendar!$A$2:$A$755,"US_CPI",Release_Calendar!$B$2:$B$755,$A1785)&gt;0,1,0)</f>
        <v>0</v>
      </c>
      <c r="L1785" s="16">
        <f>IF(COUNTIFS(Release_Calendar!$A$2:$A$755,"US_NFP",Release_Calendar!$B$2:$B$755,$A1785)&gt;0,1,0)</f>
        <v>0</v>
      </c>
      <c r="M1785" s="16" t="str">
        <f>IF($A1785&lt;Notes!$B$5,"",IF(COUNTIFS(Release_Calendar!$A$2:$A$755,"NZ_CPI",Release_Calendar!$B$2:$B$755,$A1785)&gt;0,1,0))</f>
        <v/>
      </c>
      <c r="N1785" s="16" t="str">
        <f>IF($A1785&lt;Notes!$B$5,"",IF(COUNTIFS(Release_Calendar!$A$2:$A$755,"NZ_GDP",Release_Calendar!$B$2:$B$755,$A1785)&gt;0,1,0))</f>
        <v/>
      </c>
      <c r="O1785" s="16" t="str">
        <f>IF($A1785&lt;Notes!$B$5,"",IF(COUNTIFS(Release_Calendar!$A$2:$A$755,"NZ_LABOUR",Release_Calendar!$B$2:$B$755,$A1785)&gt;0,1,0))</f>
        <v/>
      </c>
      <c r="P1785" s="16">
        <f t="shared" si="4"/>
        <v>0</v>
      </c>
    </row>
    <row r="1786" ht="15.75" customHeight="1">
      <c r="A1786" s="14">
        <v>39024.0</v>
      </c>
      <c r="B1786" s="15">
        <v>4.82</v>
      </c>
      <c r="C1786" s="15"/>
      <c r="D1786" s="15">
        <v>6.47</v>
      </c>
      <c r="E1786" s="15"/>
      <c r="F1786" s="15" t="str">
        <f t="shared" si="1"/>
        <v/>
      </c>
      <c r="G1786" s="15">
        <f t="shared" si="2"/>
        <v>6.47</v>
      </c>
      <c r="H1786" s="16">
        <v>1.0</v>
      </c>
      <c r="I1786" s="15">
        <f t="shared" si="3"/>
        <v>1.65</v>
      </c>
      <c r="J1786" s="15">
        <v>11.16</v>
      </c>
      <c r="K1786" s="16">
        <f>IF(COUNTIFS(Release_Calendar!$A$2:$A$755,"US_CPI",Release_Calendar!$B$2:$B$755,$A1786)&gt;0,1,0)</f>
        <v>0</v>
      </c>
      <c r="L1786" s="16">
        <f>IF(COUNTIFS(Release_Calendar!$A$2:$A$755,"US_NFP",Release_Calendar!$B$2:$B$755,$A1786)&gt;0,1,0)</f>
        <v>1</v>
      </c>
      <c r="M1786" s="16" t="str">
        <f>IF($A1786&lt;Notes!$B$5,"",IF(COUNTIFS(Release_Calendar!$A$2:$A$755,"NZ_CPI",Release_Calendar!$B$2:$B$755,$A1786)&gt;0,1,0))</f>
        <v/>
      </c>
      <c r="N1786" s="16" t="str">
        <f>IF($A1786&lt;Notes!$B$5,"",IF(COUNTIFS(Release_Calendar!$A$2:$A$755,"NZ_GDP",Release_Calendar!$B$2:$B$755,$A1786)&gt;0,1,0))</f>
        <v/>
      </c>
      <c r="O1786" s="16" t="str">
        <f>IF($A1786&lt;Notes!$B$5,"",IF(COUNTIFS(Release_Calendar!$A$2:$A$755,"NZ_LABOUR",Release_Calendar!$B$2:$B$755,$A1786)&gt;0,1,0))</f>
        <v/>
      </c>
      <c r="P1786" s="16">
        <f t="shared" si="4"/>
        <v>1</v>
      </c>
    </row>
    <row r="1787" ht="15.75" customHeight="1">
      <c r="A1787" s="14">
        <v>39027.0</v>
      </c>
      <c r="B1787" s="15">
        <v>4.82</v>
      </c>
      <c r="C1787" s="15"/>
      <c r="D1787" s="15">
        <v>6.51</v>
      </c>
      <c r="E1787" s="15"/>
      <c r="F1787" s="15" t="str">
        <f t="shared" si="1"/>
        <v/>
      </c>
      <c r="G1787" s="15">
        <f t="shared" si="2"/>
        <v>6.51</v>
      </c>
      <c r="H1787" s="16">
        <v>1.0</v>
      </c>
      <c r="I1787" s="15">
        <f t="shared" si="3"/>
        <v>1.69</v>
      </c>
      <c r="J1787" s="15">
        <v>11.16</v>
      </c>
      <c r="K1787" s="16">
        <f>IF(COUNTIFS(Release_Calendar!$A$2:$A$755,"US_CPI",Release_Calendar!$B$2:$B$755,$A1787)&gt;0,1,0)</f>
        <v>0</v>
      </c>
      <c r="L1787" s="16">
        <f>IF(COUNTIFS(Release_Calendar!$A$2:$A$755,"US_NFP",Release_Calendar!$B$2:$B$755,$A1787)&gt;0,1,0)</f>
        <v>0</v>
      </c>
      <c r="M1787" s="16" t="str">
        <f>IF($A1787&lt;Notes!$B$5,"",IF(COUNTIFS(Release_Calendar!$A$2:$A$755,"NZ_CPI",Release_Calendar!$B$2:$B$755,$A1787)&gt;0,1,0))</f>
        <v/>
      </c>
      <c r="N1787" s="16" t="str">
        <f>IF($A1787&lt;Notes!$B$5,"",IF(COUNTIFS(Release_Calendar!$A$2:$A$755,"NZ_GDP",Release_Calendar!$B$2:$B$755,$A1787)&gt;0,1,0))</f>
        <v/>
      </c>
      <c r="O1787" s="16" t="str">
        <f>IF($A1787&lt;Notes!$B$5,"",IF(COUNTIFS(Release_Calendar!$A$2:$A$755,"NZ_LABOUR",Release_Calendar!$B$2:$B$755,$A1787)&gt;0,1,0))</f>
        <v/>
      </c>
      <c r="P1787" s="16">
        <f t="shared" si="4"/>
        <v>0</v>
      </c>
    </row>
    <row r="1788" ht="15.75" customHeight="1">
      <c r="A1788" s="14">
        <v>39028.0</v>
      </c>
      <c r="B1788" s="15">
        <v>4.77</v>
      </c>
      <c r="C1788" s="15"/>
      <c r="D1788" s="15">
        <v>6.49</v>
      </c>
      <c r="E1788" s="15"/>
      <c r="F1788" s="15" t="str">
        <f t="shared" si="1"/>
        <v/>
      </c>
      <c r="G1788" s="15">
        <f t="shared" si="2"/>
        <v>6.49</v>
      </c>
      <c r="H1788" s="16">
        <v>1.0</v>
      </c>
      <c r="I1788" s="15">
        <f t="shared" si="3"/>
        <v>1.72</v>
      </c>
      <c r="J1788" s="15">
        <v>11.09</v>
      </c>
      <c r="K1788" s="16">
        <f>IF(COUNTIFS(Release_Calendar!$A$2:$A$755,"US_CPI",Release_Calendar!$B$2:$B$755,$A1788)&gt;0,1,0)</f>
        <v>0</v>
      </c>
      <c r="L1788" s="16">
        <f>IF(COUNTIFS(Release_Calendar!$A$2:$A$755,"US_NFP",Release_Calendar!$B$2:$B$755,$A1788)&gt;0,1,0)</f>
        <v>0</v>
      </c>
      <c r="M1788" s="16" t="str">
        <f>IF($A1788&lt;Notes!$B$5,"",IF(COUNTIFS(Release_Calendar!$A$2:$A$755,"NZ_CPI",Release_Calendar!$B$2:$B$755,$A1788)&gt;0,1,0))</f>
        <v/>
      </c>
      <c r="N1788" s="16" t="str">
        <f>IF($A1788&lt;Notes!$B$5,"",IF(COUNTIFS(Release_Calendar!$A$2:$A$755,"NZ_GDP",Release_Calendar!$B$2:$B$755,$A1788)&gt;0,1,0))</f>
        <v/>
      </c>
      <c r="O1788" s="16" t="str">
        <f>IF($A1788&lt;Notes!$B$5,"",IF(COUNTIFS(Release_Calendar!$A$2:$A$755,"NZ_LABOUR",Release_Calendar!$B$2:$B$755,$A1788)&gt;0,1,0))</f>
        <v/>
      </c>
      <c r="P1788" s="16">
        <f t="shared" si="4"/>
        <v>0</v>
      </c>
    </row>
    <row r="1789" ht="15.75" customHeight="1">
      <c r="A1789" s="14">
        <v>39029.0</v>
      </c>
      <c r="B1789" s="15">
        <v>4.75</v>
      </c>
      <c r="C1789" s="15"/>
      <c r="D1789" s="15">
        <v>6.46</v>
      </c>
      <c r="E1789" s="15"/>
      <c r="F1789" s="15" t="str">
        <f t="shared" si="1"/>
        <v/>
      </c>
      <c r="G1789" s="15">
        <f t="shared" si="2"/>
        <v>6.46</v>
      </c>
      <c r="H1789" s="16">
        <v>1.0</v>
      </c>
      <c r="I1789" s="15">
        <f t="shared" si="3"/>
        <v>1.71</v>
      </c>
      <c r="J1789" s="15">
        <v>10.75</v>
      </c>
      <c r="K1789" s="16">
        <f>IF(COUNTIFS(Release_Calendar!$A$2:$A$755,"US_CPI",Release_Calendar!$B$2:$B$755,$A1789)&gt;0,1,0)</f>
        <v>0</v>
      </c>
      <c r="L1789" s="16">
        <f>IF(COUNTIFS(Release_Calendar!$A$2:$A$755,"US_NFP",Release_Calendar!$B$2:$B$755,$A1789)&gt;0,1,0)</f>
        <v>0</v>
      </c>
      <c r="M1789" s="16" t="str">
        <f>IF($A1789&lt;Notes!$B$5,"",IF(COUNTIFS(Release_Calendar!$A$2:$A$755,"NZ_CPI",Release_Calendar!$B$2:$B$755,$A1789)&gt;0,1,0))</f>
        <v/>
      </c>
      <c r="N1789" s="16" t="str">
        <f>IF($A1789&lt;Notes!$B$5,"",IF(COUNTIFS(Release_Calendar!$A$2:$A$755,"NZ_GDP",Release_Calendar!$B$2:$B$755,$A1789)&gt;0,1,0))</f>
        <v/>
      </c>
      <c r="O1789" s="16" t="str">
        <f>IF($A1789&lt;Notes!$B$5,"",IF(COUNTIFS(Release_Calendar!$A$2:$A$755,"NZ_LABOUR",Release_Calendar!$B$2:$B$755,$A1789)&gt;0,1,0))</f>
        <v/>
      </c>
      <c r="P1789" s="16">
        <f t="shared" si="4"/>
        <v>0</v>
      </c>
    </row>
    <row r="1790" ht="15.75" customHeight="1">
      <c r="A1790" s="14">
        <v>39030.0</v>
      </c>
      <c r="B1790" s="15">
        <v>4.75</v>
      </c>
      <c r="C1790" s="15"/>
      <c r="D1790" s="15">
        <v>6.39</v>
      </c>
      <c r="E1790" s="15"/>
      <c r="F1790" s="15" t="str">
        <f t="shared" si="1"/>
        <v/>
      </c>
      <c r="G1790" s="15">
        <f t="shared" si="2"/>
        <v>6.39</v>
      </c>
      <c r="H1790" s="16">
        <v>1.0</v>
      </c>
      <c r="I1790" s="15">
        <f t="shared" si="3"/>
        <v>1.64</v>
      </c>
      <c r="J1790" s="15">
        <v>11.01</v>
      </c>
      <c r="K1790" s="16">
        <f>IF(COUNTIFS(Release_Calendar!$A$2:$A$755,"US_CPI",Release_Calendar!$B$2:$B$755,$A1790)&gt;0,1,0)</f>
        <v>0</v>
      </c>
      <c r="L1790" s="16">
        <f>IF(COUNTIFS(Release_Calendar!$A$2:$A$755,"US_NFP",Release_Calendar!$B$2:$B$755,$A1790)&gt;0,1,0)</f>
        <v>0</v>
      </c>
      <c r="M1790" s="16" t="str">
        <f>IF($A1790&lt;Notes!$B$5,"",IF(COUNTIFS(Release_Calendar!$A$2:$A$755,"NZ_CPI",Release_Calendar!$B$2:$B$755,$A1790)&gt;0,1,0))</f>
        <v/>
      </c>
      <c r="N1790" s="16" t="str">
        <f>IF($A1790&lt;Notes!$B$5,"",IF(COUNTIFS(Release_Calendar!$A$2:$A$755,"NZ_GDP",Release_Calendar!$B$2:$B$755,$A1790)&gt;0,1,0))</f>
        <v/>
      </c>
      <c r="O1790" s="16" t="str">
        <f>IF($A1790&lt;Notes!$B$5,"",IF(COUNTIFS(Release_Calendar!$A$2:$A$755,"NZ_LABOUR",Release_Calendar!$B$2:$B$755,$A1790)&gt;0,1,0))</f>
        <v/>
      </c>
      <c r="P1790" s="16">
        <f t="shared" si="4"/>
        <v>0</v>
      </c>
    </row>
    <row r="1791" ht="15.75" customHeight="1">
      <c r="A1791" s="14">
        <v>39031.0</v>
      </c>
      <c r="B1791" s="15">
        <v>4.73</v>
      </c>
      <c r="C1791" s="15"/>
      <c r="D1791" s="15">
        <v>6.36</v>
      </c>
      <c r="E1791" s="15"/>
      <c r="F1791" s="15" t="str">
        <f t="shared" si="1"/>
        <v/>
      </c>
      <c r="G1791" s="15">
        <f t="shared" si="2"/>
        <v>6.36</v>
      </c>
      <c r="H1791" s="16">
        <v>1.0</v>
      </c>
      <c r="I1791" s="15">
        <f t="shared" si="3"/>
        <v>1.63</v>
      </c>
      <c r="J1791" s="15">
        <v>10.79</v>
      </c>
      <c r="K1791" s="16">
        <f>IF(COUNTIFS(Release_Calendar!$A$2:$A$755,"US_CPI",Release_Calendar!$B$2:$B$755,$A1791)&gt;0,1,0)</f>
        <v>0</v>
      </c>
      <c r="L1791" s="16">
        <f>IF(COUNTIFS(Release_Calendar!$A$2:$A$755,"US_NFP",Release_Calendar!$B$2:$B$755,$A1791)&gt;0,1,0)</f>
        <v>0</v>
      </c>
      <c r="M1791" s="16" t="str">
        <f>IF($A1791&lt;Notes!$B$5,"",IF(COUNTIFS(Release_Calendar!$A$2:$A$755,"NZ_CPI",Release_Calendar!$B$2:$B$755,$A1791)&gt;0,1,0))</f>
        <v/>
      </c>
      <c r="N1791" s="16" t="str">
        <f>IF($A1791&lt;Notes!$B$5,"",IF(COUNTIFS(Release_Calendar!$A$2:$A$755,"NZ_GDP",Release_Calendar!$B$2:$B$755,$A1791)&gt;0,1,0))</f>
        <v/>
      </c>
      <c r="O1791" s="16" t="str">
        <f>IF($A1791&lt;Notes!$B$5,"",IF(COUNTIFS(Release_Calendar!$A$2:$A$755,"NZ_LABOUR",Release_Calendar!$B$2:$B$755,$A1791)&gt;0,1,0))</f>
        <v/>
      </c>
      <c r="P1791" s="16">
        <f t="shared" si="4"/>
        <v>0</v>
      </c>
    </row>
    <row r="1792" ht="15.75" customHeight="1">
      <c r="A1792" s="14">
        <v>39034.0</v>
      </c>
      <c r="B1792" s="15">
        <v>4.76</v>
      </c>
      <c r="C1792" s="15"/>
      <c r="D1792" s="15">
        <v>6.33</v>
      </c>
      <c r="E1792" s="15"/>
      <c r="F1792" s="15" t="str">
        <f t="shared" si="1"/>
        <v/>
      </c>
      <c r="G1792" s="15">
        <f t="shared" si="2"/>
        <v>6.33</v>
      </c>
      <c r="H1792" s="16">
        <v>1.0</v>
      </c>
      <c r="I1792" s="15">
        <f t="shared" si="3"/>
        <v>1.57</v>
      </c>
      <c r="J1792" s="15">
        <v>10.86</v>
      </c>
      <c r="K1792" s="16">
        <f>IF(COUNTIFS(Release_Calendar!$A$2:$A$755,"US_CPI",Release_Calendar!$B$2:$B$755,$A1792)&gt;0,1,0)</f>
        <v>0</v>
      </c>
      <c r="L1792" s="16">
        <f>IF(COUNTIFS(Release_Calendar!$A$2:$A$755,"US_NFP",Release_Calendar!$B$2:$B$755,$A1792)&gt;0,1,0)</f>
        <v>0</v>
      </c>
      <c r="M1792" s="16" t="str">
        <f>IF($A1792&lt;Notes!$B$5,"",IF(COUNTIFS(Release_Calendar!$A$2:$A$755,"NZ_CPI",Release_Calendar!$B$2:$B$755,$A1792)&gt;0,1,0))</f>
        <v/>
      </c>
      <c r="N1792" s="16" t="str">
        <f>IF($A1792&lt;Notes!$B$5,"",IF(COUNTIFS(Release_Calendar!$A$2:$A$755,"NZ_GDP",Release_Calendar!$B$2:$B$755,$A1792)&gt;0,1,0))</f>
        <v/>
      </c>
      <c r="O1792" s="16" t="str">
        <f>IF($A1792&lt;Notes!$B$5,"",IF(COUNTIFS(Release_Calendar!$A$2:$A$755,"NZ_LABOUR",Release_Calendar!$B$2:$B$755,$A1792)&gt;0,1,0))</f>
        <v/>
      </c>
      <c r="P1792" s="16">
        <f t="shared" si="4"/>
        <v>0</v>
      </c>
    </row>
    <row r="1793" ht="15.75" customHeight="1">
      <c r="A1793" s="14">
        <v>39035.0</v>
      </c>
      <c r="B1793" s="15">
        <v>4.74</v>
      </c>
      <c r="C1793" s="15"/>
      <c r="D1793" s="15">
        <v>6.32</v>
      </c>
      <c r="E1793" s="15"/>
      <c r="F1793" s="15" t="str">
        <f t="shared" si="1"/>
        <v/>
      </c>
      <c r="G1793" s="15">
        <f t="shared" si="2"/>
        <v>6.32</v>
      </c>
      <c r="H1793" s="16">
        <v>1.0</v>
      </c>
      <c r="I1793" s="15">
        <f t="shared" si="3"/>
        <v>1.58</v>
      </c>
      <c r="J1793" s="15">
        <v>10.5</v>
      </c>
      <c r="K1793" s="16">
        <f>IF(COUNTIFS(Release_Calendar!$A$2:$A$755,"US_CPI",Release_Calendar!$B$2:$B$755,$A1793)&gt;0,1,0)</f>
        <v>0</v>
      </c>
      <c r="L1793" s="16">
        <f>IF(COUNTIFS(Release_Calendar!$A$2:$A$755,"US_NFP",Release_Calendar!$B$2:$B$755,$A1793)&gt;0,1,0)</f>
        <v>0</v>
      </c>
      <c r="M1793" s="16" t="str">
        <f>IF($A1793&lt;Notes!$B$5,"",IF(COUNTIFS(Release_Calendar!$A$2:$A$755,"NZ_CPI",Release_Calendar!$B$2:$B$755,$A1793)&gt;0,1,0))</f>
        <v/>
      </c>
      <c r="N1793" s="16" t="str">
        <f>IF($A1793&lt;Notes!$B$5,"",IF(COUNTIFS(Release_Calendar!$A$2:$A$755,"NZ_GDP",Release_Calendar!$B$2:$B$755,$A1793)&gt;0,1,0))</f>
        <v/>
      </c>
      <c r="O1793" s="16" t="str">
        <f>IF($A1793&lt;Notes!$B$5,"",IF(COUNTIFS(Release_Calendar!$A$2:$A$755,"NZ_LABOUR",Release_Calendar!$B$2:$B$755,$A1793)&gt;0,1,0))</f>
        <v/>
      </c>
      <c r="P1793" s="16">
        <f t="shared" si="4"/>
        <v>0</v>
      </c>
    </row>
    <row r="1794" ht="15.75" customHeight="1">
      <c r="A1794" s="14">
        <v>39036.0</v>
      </c>
      <c r="B1794" s="15">
        <v>4.8</v>
      </c>
      <c r="C1794" s="15"/>
      <c r="D1794" s="15">
        <v>6.43</v>
      </c>
      <c r="E1794" s="15"/>
      <c r="F1794" s="15" t="str">
        <f t="shared" si="1"/>
        <v/>
      </c>
      <c r="G1794" s="15">
        <f t="shared" si="2"/>
        <v>6.43</v>
      </c>
      <c r="H1794" s="16">
        <v>1.0</v>
      </c>
      <c r="I1794" s="15">
        <f t="shared" si="3"/>
        <v>1.63</v>
      </c>
      <c r="J1794" s="15">
        <v>10.31</v>
      </c>
      <c r="K1794" s="16">
        <f>IF(COUNTIFS(Release_Calendar!$A$2:$A$755,"US_CPI",Release_Calendar!$B$2:$B$755,$A1794)&gt;0,1,0)</f>
        <v>0</v>
      </c>
      <c r="L1794" s="16">
        <f>IF(COUNTIFS(Release_Calendar!$A$2:$A$755,"US_NFP",Release_Calendar!$B$2:$B$755,$A1794)&gt;0,1,0)</f>
        <v>0</v>
      </c>
      <c r="M1794" s="16" t="str">
        <f>IF($A1794&lt;Notes!$B$5,"",IF(COUNTIFS(Release_Calendar!$A$2:$A$755,"NZ_CPI",Release_Calendar!$B$2:$B$755,$A1794)&gt;0,1,0))</f>
        <v/>
      </c>
      <c r="N1794" s="16" t="str">
        <f>IF($A1794&lt;Notes!$B$5,"",IF(COUNTIFS(Release_Calendar!$A$2:$A$755,"NZ_GDP",Release_Calendar!$B$2:$B$755,$A1794)&gt;0,1,0))</f>
        <v/>
      </c>
      <c r="O1794" s="16" t="str">
        <f>IF($A1794&lt;Notes!$B$5,"",IF(COUNTIFS(Release_Calendar!$A$2:$A$755,"NZ_LABOUR",Release_Calendar!$B$2:$B$755,$A1794)&gt;0,1,0))</f>
        <v/>
      </c>
      <c r="P1794" s="16">
        <f t="shared" si="4"/>
        <v>0</v>
      </c>
    </row>
    <row r="1795" ht="15.75" customHeight="1">
      <c r="A1795" s="14">
        <v>39037.0</v>
      </c>
      <c r="B1795" s="15">
        <v>4.85</v>
      </c>
      <c r="C1795" s="15"/>
      <c r="D1795" s="15">
        <v>6.44</v>
      </c>
      <c r="E1795" s="15"/>
      <c r="F1795" s="15" t="str">
        <f t="shared" si="1"/>
        <v/>
      </c>
      <c r="G1795" s="15">
        <f t="shared" si="2"/>
        <v>6.44</v>
      </c>
      <c r="H1795" s="16">
        <v>1.0</v>
      </c>
      <c r="I1795" s="15">
        <f t="shared" si="3"/>
        <v>1.59</v>
      </c>
      <c r="J1795" s="15">
        <v>10.16</v>
      </c>
      <c r="K1795" s="16">
        <f>IF(COUNTIFS(Release_Calendar!$A$2:$A$755,"US_CPI",Release_Calendar!$B$2:$B$755,$A1795)&gt;0,1,0)</f>
        <v>1</v>
      </c>
      <c r="L1795" s="16">
        <f>IF(COUNTIFS(Release_Calendar!$A$2:$A$755,"US_NFP",Release_Calendar!$B$2:$B$755,$A1795)&gt;0,1,0)</f>
        <v>0</v>
      </c>
      <c r="M1795" s="16" t="str">
        <f>IF($A1795&lt;Notes!$B$5,"",IF(COUNTIFS(Release_Calendar!$A$2:$A$755,"NZ_CPI",Release_Calendar!$B$2:$B$755,$A1795)&gt;0,1,0))</f>
        <v/>
      </c>
      <c r="N1795" s="16" t="str">
        <f>IF($A1795&lt;Notes!$B$5,"",IF(COUNTIFS(Release_Calendar!$A$2:$A$755,"NZ_GDP",Release_Calendar!$B$2:$B$755,$A1795)&gt;0,1,0))</f>
        <v/>
      </c>
      <c r="O1795" s="16" t="str">
        <f>IF($A1795&lt;Notes!$B$5,"",IF(COUNTIFS(Release_Calendar!$A$2:$A$755,"NZ_LABOUR",Release_Calendar!$B$2:$B$755,$A1795)&gt;0,1,0))</f>
        <v/>
      </c>
      <c r="P1795" s="16">
        <f t="shared" si="4"/>
        <v>1</v>
      </c>
    </row>
    <row r="1796" ht="15.75" customHeight="1">
      <c r="A1796" s="14">
        <v>39038.0</v>
      </c>
      <c r="B1796" s="15">
        <v>4.76</v>
      </c>
      <c r="C1796" s="15"/>
      <c r="D1796" s="15">
        <v>6.5</v>
      </c>
      <c r="E1796" s="15"/>
      <c r="F1796" s="15" t="str">
        <f t="shared" si="1"/>
        <v/>
      </c>
      <c r="G1796" s="15">
        <f t="shared" si="2"/>
        <v>6.5</v>
      </c>
      <c r="H1796" s="16">
        <v>1.0</v>
      </c>
      <c r="I1796" s="15">
        <f t="shared" si="3"/>
        <v>1.74</v>
      </c>
      <c r="J1796" s="15">
        <v>10.05</v>
      </c>
      <c r="K1796" s="16">
        <f>IF(COUNTIFS(Release_Calendar!$A$2:$A$755,"US_CPI",Release_Calendar!$B$2:$B$755,$A1796)&gt;0,1,0)</f>
        <v>0</v>
      </c>
      <c r="L1796" s="16">
        <f>IF(COUNTIFS(Release_Calendar!$A$2:$A$755,"US_NFP",Release_Calendar!$B$2:$B$755,$A1796)&gt;0,1,0)</f>
        <v>0</v>
      </c>
      <c r="M1796" s="16" t="str">
        <f>IF($A1796&lt;Notes!$B$5,"",IF(COUNTIFS(Release_Calendar!$A$2:$A$755,"NZ_CPI",Release_Calendar!$B$2:$B$755,$A1796)&gt;0,1,0))</f>
        <v/>
      </c>
      <c r="N1796" s="16" t="str">
        <f>IF($A1796&lt;Notes!$B$5,"",IF(COUNTIFS(Release_Calendar!$A$2:$A$755,"NZ_GDP",Release_Calendar!$B$2:$B$755,$A1796)&gt;0,1,0))</f>
        <v/>
      </c>
      <c r="O1796" s="16" t="str">
        <f>IF($A1796&lt;Notes!$B$5,"",IF(COUNTIFS(Release_Calendar!$A$2:$A$755,"NZ_LABOUR",Release_Calendar!$B$2:$B$755,$A1796)&gt;0,1,0))</f>
        <v/>
      </c>
      <c r="P1796" s="16">
        <f t="shared" si="4"/>
        <v>0</v>
      </c>
    </row>
    <row r="1797" ht="15.75" customHeight="1">
      <c r="A1797" s="14">
        <v>39041.0</v>
      </c>
      <c r="B1797" s="15">
        <v>4.76</v>
      </c>
      <c r="C1797" s="15"/>
      <c r="D1797" s="15">
        <v>6.46</v>
      </c>
      <c r="E1797" s="15"/>
      <c r="F1797" s="15" t="str">
        <f t="shared" si="1"/>
        <v/>
      </c>
      <c r="G1797" s="15">
        <f t="shared" si="2"/>
        <v>6.46</v>
      </c>
      <c r="H1797" s="16">
        <v>1.0</v>
      </c>
      <c r="I1797" s="15">
        <f t="shared" si="3"/>
        <v>1.7</v>
      </c>
      <c r="J1797" s="15">
        <v>9.97</v>
      </c>
      <c r="K1797" s="16">
        <f>IF(COUNTIFS(Release_Calendar!$A$2:$A$755,"US_CPI",Release_Calendar!$B$2:$B$755,$A1797)&gt;0,1,0)</f>
        <v>0</v>
      </c>
      <c r="L1797" s="16">
        <f>IF(COUNTIFS(Release_Calendar!$A$2:$A$755,"US_NFP",Release_Calendar!$B$2:$B$755,$A1797)&gt;0,1,0)</f>
        <v>0</v>
      </c>
      <c r="M1797" s="16" t="str">
        <f>IF($A1797&lt;Notes!$B$5,"",IF(COUNTIFS(Release_Calendar!$A$2:$A$755,"NZ_CPI",Release_Calendar!$B$2:$B$755,$A1797)&gt;0,1,0))</f>
        <v/>
      </c>
      <c r="N1797" s="16" t="str">
        <f>IF($A1797&lt;Notes!$B$5,"",IF(COUNTIFS(Release_Calendar!$A$2:$A$755,"NZ_GDP",Release_Calendar!$B$2:$B$755,$A1797)&gt;0,1,0))</f>
        <v/>
      </c>
      <c r="O1797" s="16" t="str">
        <f>IF($A1797&lt;Notes!$B$5,"",IF(COUNTIFS(Release_Calendar!$A$2:$A$755,"NZ_LABOUR",Release_Calendar!$B$2:$B$755,$A1797)&gt;0,1,0))</f>
        <v/>
      </c>
      <c r="P1797" s="16">
        <f t="shared" si="4"/>
        <v>0</v>
      </c>
    </row>
    <row r="1798" ht="15.75" customHeight="1">
      <c r="A1798" s="14">
        <v>39042.0</v>
      </c>
      <c r="B1798" s="15">
        <v>4.75</v>
      </c>
      <c r="C1798" s="15"/>
      <c r="D1798" s="15">
        <v>6.44</v>
      </c>
      <c r="E1798" s="15"/>
      <c r="F1798" s="15" t="str">
        <f t="shared" si="1"/>
        <v/>
      </c>
      <c r="G1798" s="15">
        <f t="shared" si="2"/>
        <v>6.44</v>
      </c>
      <c r="H1798" s="16">
        <v>1.0</v>
      </c>
      <c r="I1798" s="15">
        <f t="shared" si="3"/>
        <v>1.69</v>
      </c>
      <c r="J1798" s="15">
        <v>9.9</v>
      </c>
      <c r="K1798" s="16">
        <f>IF(COUNTIFS(Release_Calendar!$A$2:$A$755,"US_CPI",Release_Calendar!$B$2:$B$755,$A1798)&gt;0,1,0)</f>
        <v>0</v>
      </c>
      <c r="L1798" s="16">
        <f>IF(COUNTIFS(Release_Calendar!$A$2:$A$755,"US_NFP",Release_Calendar!$B$2:$B$755,$A1798)&gt;0,1,0)</f>
        <v>0</v>
      </c>
      <c r="M1798" s="16" t="str">
        <f>IF($A1798&lt;Notes!$B$5,"",IF(COUNTIFS(Release_Calendar!$A$2:$A$755,"NZ_CPI",Release_Calendar!$B$2:$B$755,$A1798)&gt;0,1,0))</f>
        <v/>
      </c>
      <c r="N1798" s="16" t="str">
        <f>IF($A1798&lt;Notes!$B$5,"",IF(COUNTIFS(Release_Calendar!$A$2:$A$755,"NZ_GDP",Release_Calendar!$B$2:$B$755,$A1798)&gt;0,1,0))</f>
        <v/>
      </c>
      <c r="O1798" s="16" t="str">
        <f>IF($A1798&lt;Notes!$B$5,"",IF(COUNTIFS(Release_Calendar!$A$2:$A$755,"NZ_LABOUR",Release_Calendar!$B$2:$B$755,$A1798)&gt;0,1,0))</f>
        <v/>
      </c>
      <c r="P1798" s="16">
        <f t="shared" si="4"/>
        <v>0</v>
      </c>
    </row>
    <row r="1799" ht="15.75" customHeight="1">
      <c r="A1799" s="14">
        <v>39043.0</v>
      </c>
      <c r="B1799" s="15">
        <v>4.74</v>
      </c>
      <c r="C1799" s="15"/>
      <c r="D1799" s="15">
        <v>6.43</v>
      </c>
      <c r="E1799" s="15"/>
      <c r="F1799" s="15" t="str">
        <f t="shared" si="1"/>
        <v/>
      </c>
      <c r="G1799" s="15">
        <f t="shared" si="2"/>
        <v>6.43</v>
      </c>
      <c r="H1799" s="16">
        <v>1.0</v>
      </c>
      <c r="I1799" s="15">
        <f t="shared" si="3"/>
        <v>1.69</v>
      </c>
      <c r="J1799" s="15">
        <v>10.14</v>
      </c>
      <c r="K1799" s="16">
        <f>IF(COUNTIFS(Release_Calendar!$A$2:$A$755,"US_CPI",Release_Calendar!$B$2:$B$755,$A1799)&gt;0,1,0)</f>
        <v>0</v>
      </c>
      <c r="L1799" s="16">
        <f>IF(COUNTIFS(Release_Calendar!$A$2:$A$755,"US_NFP",Release_Calendar!$B$2:$B$755,$A1799)&gt;0,1,0)</f>
        <v>0</v>
      </c>
      <c r="M1799" s="16" t="str">
        <f>IF($A1799&lt;Notes!$B$5,"",IF(COUNTIFS(Release_Calendar!$A$2:$A$755,"NZ_CPI",Release_Calendar!$B$2:$B$755,$A1799)&gt;0,1,0))</f>
        <v/>
      </c>
      <c r="N1799" s="16" t="str">
        <f>IF($A1799&lt;Notes!$B$5,"",IF(COUNTIFS(Release_Calendar!$A$2:$A$755,"NZ_GDP",Release_Calendar!$B$2:$B$755,$A1799)&gt;0,1,0))</f>
        <v/>
      </c>
      <c r="O1799" s="16" t="str">
        <f>IF($A1799&lt;Notes!$B$5,"",IF(COUNTIFS(Release_Calendar!$A$2:$A$755,"NZ_LABOUR",Release_Calendar!$B$2:$B$755,$A1799)&gt;0,1,0))</f>
        <v/>
      </c>
      <c r="P1799" s="16">
        <f t="shared" si="4"/>
        <v>0</v>
      </c>
    </row>
    <row r="1800" ht="15.75" customHeight="1">
      <c r="A1800" s="14">
        <v>39044.0</v>
      </c>
      <c r="B1800" s="15"/>
      <c r="C1800" s="15"/>
      <c r="D1800" s="15">
        <v>6.42</v>
      </c>
      <c r="E1800" s="15"/>
      <c r="F1800" s="15" t="str">
        <f t="shared" si="1"/>
        <v/>
      </c>
      <c r="G1800" s="15">
        <f t="shared" si="2"/>
        <v>6.42</v>
      </c>
      <c r="H1800" s="16">
        <v>1.0</v>
      </c>
      <c r="I1800" s="15" t="str">
        <f t="shared" si="3"/>
        <v/>
      </c>
      <c r="J1800" s="15"/>
      <c r="K1800" s="16">
        <f>IF(COUNTIFS(Release_Calendar!$A$2:$A$755,"US_CPI",Release_Calendar!$B$2:$B$755,$A1800)&gt;0,1,0)</f>
        <v>0</v>
      </c>
      <c r="L1800" s="16">
        <f>IF(COUNTIFS(Release_Calendar!$A$2:$A$755,"US_NFP",Release_Calendar!$B$2:$B$755,$A1800)&gt;0,1,0)</f>
        <v>0</v>
      </c>
      <c r="M1800" s="16" t="str">
        <f>IF($A1800&lt;Notes!$B$5,"",IF(COUNTIFS(Release_Calendar!$A$2:$A$755,"NZ_CPI",Release_Calendar!$B$2:$B$755,$A1800)&gt;0,1,0))</f>
        <v/>
      </c>
      <c r="N1800" s="16" t="str">
        <f>IF($A1800&lt;Notes!$B$5,"",IF(COUNTIFS(Release_Calendar!$A$2:$A$755,"NZ_GDP",Release_Calendar!$B$2:$B$755,$A1800)&gt;0,1,0))</f>
        <v/>
      </c>
      <c r="O1800" s="16" t="str">
        <f>IF($A1800&lt;Notes!$B$5,"",IF(COUNTIFS(Release_Calendar!$A$2:$A$755,"NZ_LABOUR",Release_Calendar!$B$2:$B$755,$A1800)&gt;0,1,0))</f>
        <v/>
      </c>
      <c r="P1800" s="16">
        <f t="shared" si="4"/>
        <v>0</v>
      </c>
    </row>
    <row r="1801" ht="15.75" customHeight="1">
      <c r="A1801" s="14">
        <v>39045.0</v>
      </c>
      <c r="B1801" s="15">
        <v>4.73</v>
      </c>
      <c r="C1801" s="15"/>
      <c r="D1801" s="15">
        <v>6.43</v>
      </c>
      <c r="E1801" s="15"/>
      <c r="F1801" s="15" t="str">
        <f t="shared" si="1"/>
        <v/>
      </c>
      <c r="G1801" s="15">
        <f t="shared" si="2"/>
        <v>6.43</v>
      </c>
      <c r="H1801" s="16">
        <v>1.0</v>
      </c>
      <c r="I1801" s="15">
        <f t="shared" si="3"/>
        <v>1.7</v>
      </c>
      <c r="J1801" s="15">
        <v>10.73</v>
      </c>
      <c r="K1801" s="16">
        <f>IF(COUNTIFS(Release_Calendar!$A$2:$A$755,"US_CPI",Release_Calendar!$B$2:$B$755,$A1801)&gt;0,1,0)</f>
        <v>0</v>
      </c>
      <c r="L1801" s="16">
        <f>IF(COUNTIFS(Release_Calendar!$A$2:$A$755,"US_NFP",Release_Calendar!$B$2:$B$755,$A1801)&gt;0,1,0)</f>
        <v>0</v>
      </c>
      <c r="M1801" s="16" t="str">
        <f>IF($A1801&lt;Notes!$B$5,"",IF(COUNTIFS(Release_Calendar!$A$2:$A$755,"NZ_CPI",Release_Calendar!$B$2:$B$755,$A1801)&gt;0,1,0))</f>
        <v/>
      </c>
      <c r="N1801" s="16" t="str">
        <f>IF($A1801&lt;Notes!$B$5,"",IF(COUNTIFS(Release_Calendar!$A$2:$A$755,"NZ_GDP",Release_Calendar!$B$2:$B$755,$A1801)&gt;0,1,0))</f>
        <v/>
      </c>
      <c r="O1801" s="16" t="str">
        <f>IF($A1801&lt;Notes!$B$5,"",IF(COUNTIFS(Release_Calendar!$A$2:$A$755,"NZ_LABOUR",Release_Calendar!$B$2:$B$755,$A1801)&gt;0,1,0))</f>
        <v/>
      </c>
      <c r="P1801" s="16">
        <f t="shared" si="4"/>
        <v>0</v>
      </c>
    </row>
    <row r="1802" ht="15.75" customHeight="1">
      <c r="A1802" s="14">
        <v>39048.0</v>
      </c>
      <c r="B1802" s="15">
        <v>4.71</v>
      </c>
      <c r="C1802" s="15"/>
      <c r="D1802" s="15">
        <v>6.44</v>
      </c>
      <c r="E1802" s="15"/>
      <c r="F1802" s="15" t="str">
        <f t="shared" si="1"/>
        <v/>
      </c>
      <c r="G1802" s="15">
        <f t="shared" si="2"/>
        <v>6.44</v>
      </c>
      <c r="H1802" s="16">
        <v>1.0</v>
      </c>
      <c r="I1802" s="15">
        <f t="shared" si="3"/>
        <v>1.73</v>
      </c>
      <c r="J1802" s="15">
        <v>12.3</v>
      </c>
      <c r="K1802" s="16">
        <f>IF(COUNTIFS(Release_Calendar!$A$2:$A$755,"US_CPI",Release_Calendar!$B$2:$B$755,$A1802)&gt;0,1,0)</f>
        <v>0</v>
      </c>
      <c r="L1802" s="16">
        <f>IF(COUNTIFS(Release_Calendar!$A$2:$A$755,"US_NFP",Release_Calendar!$B$2:$B$755,$A1802)&gt;0,1,0)</f>
        <v>0</v>
      </c>
      <c r="M1802" s="16" t="str">
        <f>IF($A1802&lt;Notes!$B$5,"",IF(COUNTIFS(Release_Calendar!$A$2:$A$755,"NZ_CPI",Release_Calendar!$B$2:$B$755,$A1802)&gt;0,1,0))</f>
        <v/>
      </c>
      <c r="N1802" s="16" t="str">
        <f>IF($A1802&lt;Notes!$B$5,"",IF(COUNTIFS(Release_Calendar!$A$2:$A$755,"NZ_GDP",Release_Calendar!$B$2:$B$755,$A1802)&gt;0,1,0))</f>
        <v/>
      </c>
      <c r="O1802" s="16" t="str">
        <f>IF($A1802&lt;Notes!$B$5,"",IF(COUNTIFS(Release_Calendar!$A$2:$A$755,"NZ_LABOUR",Release_Calendar!$B$2:$B$755,$A1802)&gt;0,1,0))</f>
        <v/>
      </c>
      <c r="P1802" s="16">
        <f t="shared" si="4"/>
        <v>0</v>
      </c>
    </row>
    <row r="1803" ht="15.75" customHeight="1">
      <c r="A1803" s="14">
        <v>39049.0</v>
      </c>
      <c r="B1803" s="15">
        <v>4.67</v>
      </c>
      <c r="C1803" s="15"/>
      <c r="D1803" s="15">
        <v>6.46</v>
      </c>
      <c r="E1803" s="15"/>
      <c r="F1803" s="15" t="str">
        <f t="shared" si="1"/>
        <v/>
      </c>
      <c r="G1803" s="15">
        <f t="shared" si="2"/>
        <v>6.46</v>
      </c>
      <c r="H1803" s="16">
        <v>1.0</v>
      </c>
      <c r="I1803" s="15">
        <f t="shared" si="3"/>
        <v>1.79</v>
      </c>
      <c r="J1803" s="15">
        <v>11.62</v>
      </c>
      <c r="K1803" s="16">
        <f>IF(COUNTIFS(Release_Calendar!$A$2:$A$755,"US_CPI",Release_Calendar!$B$2:$B$755,$A1803)&gt;0,1,0)</f>
        <v>0</v>
      </c>
      <c r="L1803" s="16">
        <f>IF(COUNTIFS(Release_Calendar!$A$2:$A$755,"US_NFP",Release_Calendar!$B$2:$B$755,$A1803)&gt;0,1,0)</f>
        <v>0</v>
      </c>
      <c r="M1803" s="16" t="str">
        <f>IF($A1803&lt;Notes!$B$5,"",IF(COUNTIFS(Release_Calendar!$A$2:$A$755,"NZ_CPI",Release_Calendar!$B$2:$B$755,$A1803)&gt;0,1,0))</f>
        <v/>
      </c>
      <c r="N1803" s="16" t="str">
        <f>IF($A1803&lt;Notes!$B$5,"",IF(COUNTIFS(Release_Calendar!$A$2:$A$755,"NZ_GDP",Release_Calendar!$B$2:$B$755,$A1803)&gt;0,1,0))</f>
        <v/>
      </c>
      <c r="O1803" s="16" t="str">
        <f>IF($A1803&lt;Notes!$B$5,"",IF(COUNTIFS(Release_Calendar!$A$2:$A$755,"NZ_LABOUR",Release_Calendar!$B$2:$B$755,$A1803)&gt;0,1,0))</f>
        <v/>
      </c>
      <c r="P1803" s="16">
        <f t="shared" si="4"/>
        <v>0</v>
      </c>
    </row>
    <row r="1804" ht="15.75" customHeight="1">
      <c r="A1804" s="14">
        <v>39050.0</v>
      </c>
      <c r="B1804" s="15">
        <v>4.69</v>
      </c>
      <c r="C1804" s="15"/>
      <c r="D1804" s="15">
        <v>6.46</v>
      </c>
      <c r="E1804" s="15"/>
      <c r="F1804" s="15" t="str">
        <f t="shared" si="1"/>
        <v/>
      </c>
      <c r="G1804" s="15">
        <f t="shared" si="2"/>
        <v>6.46</v>
      </c>
      <c r="H1804" s="16">
        <v>1.0</v>
      </c>
      <c r="I1804" s="15">
        <f t="shared" si="3"/>
        <v>1.77</v>
      </c>
      <c r="J1804" s="15">
        <v>10.83</v>
      </c>
      <c r="K1804" s="16">
        <f>IF(COUNTIFS(Release_Calendar!$A$2:$A$755,"US_CPI",Release_Calendar!$B$2:$B$755,$A1804)&gt;0,1,0)</f>
        <v>0</v>
      </c>
      <c r="L1804" s="16">
        <f>IF(COUNTIFS(Release_Calendar!$A$2:$A$755,"US_NFP",Release_Calendar!$B$2:$B$755,$A1804)&gt;0,1,0)</f>
        <v>0</v>
      </c>
      <c r="M1804" s="16" t="str">
        <f>IF($A1804&lt;Notes!$B$5,"",IF(COUNTIFS(Release_Calendar!$A$2:$A$755,"NZ_CPI",Release_Calendar!$B$2:$B$755,$A1804)&gt;0,1,0))</f>
        <v/>
      </c>
      <c r="N1804" s="16" t="str">
        <f>IF($A1804&lt;Notes!$B$5,"",IF(COUNTIFS(Release_Calendar!$A$2:$A$755,"NZ_GDP",Release_Calendar!$B$2:$B$755,$A1804)&gt;0,1,0))</f>
        <v/>
      </c>
      <c r="O1804" s="16" t="str">
        <f>IF($A1804&lt;Notes!$B$5,"",IF(COUNTIFS(Release_Calendar!$A$2:$A$755,"NZ_LABOUR",Release_Calendar!$B$2:$B$755,$A1804)&gt;0,1,0))</f>
        <v/>
      </c>
      <c r="P1804" s="16">
        <f t="shared" si="4"/>
        <v>0</v>
      </c>
    </row>
    <row r="1805" ht="15.75" customHeight="1">
      <c r="A1805" s="14">
        <v>39051.0</v>
      </c>
      <c r="B1805" s="15">
        <v>4.62</v>
      </c>
      <c r="C1805" s="15"/>
      <c r="D1805" s="15">
        <v>6.46</v>
      </c>
      <c r="E1805" s="15"/>
      <c r="F1805" s="15" t="str">
        <f t="shared" si="1"/>
        <v/>
      </c>
      <c r="G1805" s="15">
        <f t="shared" si="2"/>
        <v>6.46</v>
      </c>
      <c r="H1805" s="16">
        <v>1.0</v>
      </c>
      <c r="I1805" s="15">
        <f t="shared" si="3"/>
        <v>1.84</v>
      </c>
      <c r="J1805" s="15">
        <v>10.91</v>
      </c>
      <c r="K1805" s="16">
        <f>IF(COUNTIFS(Release_Calendar!$A$2:$A$755,"US_CPI",Release_Calendar!$B$2:$B$755,$A1805)&gt;0,1,0)</f>
        <v>0</v>
      </c>
      <c r="L1805" s="16">
        <f>IF(COUNTIFS(Release_Calendar!$A$2:$A$755,"US_NFP",Release_Calendar!$B$2:$B$755,$A1805)&gt;0,1,0)</f>
        <v>0</v>
      </c>
      <c r="M1805" s="16" t="str">
        <f>IF($A1805&lt;Notes!$B$5,"",IF(COUNTIFS(Release_Calendar!$A$2:$A$755,"NZ_CPI",Release_Calendar!$B$2:$B$755,$A1805)&gt;0,1,0))</f>
        <v/>
      </c>
      <c r="N1805" s="16" t="str">
        <f>IF($A1805&lt;Notes!$B$5,"",IF(COUNTIFS(Release_Calendar!$A$2:$A$755,"NZ_GDP",Release_Calendar!$B$2:$B$755,$A1805)&gt;0,1,0))</f>
        <v/>
      </c>
      <c r="O1805" s="16" t="str">
        <f>IF($A1805&lt;Notes!$B$5,"",IF(COUNTIFS(Release_Calendar!$A$2:$A$755,"NZ_LABOUR",Release_Calendar!$B$2:$B$755,$A1805)&gt;0,1,0))</f>
        <v/>
      </c>
      <c r="P1805" s="16">
        <f t="shared" si="4"/>
        <v>0</v>
      </c>
    </row>
    <row r="1806" ht="15.75" customHeight="1">
      <c r="A1806" s="14">
        <v>39052.0</v>
      </c>
      <c r="B1806" s="15">
        <v>4.52</v>
      </c>
      <c r="C1806" s="15"/>
      <c r="D1806" s="15">
        <v>6.47</v>
      </c>
      <c r="E1806" s="15"/>
      <c r="F1806" s="15" t="str">
        <f t="shared" si="1"/>
        <v/>
      </c>
      <c r="G1806" s="15">
        <f t="shared" si="2"/>
        <v>6.47</v>
      </c>
      <c r="H1806" s="16">
        <v>1.0</v>
      </c>
      <c r="I1806" s="15">
        <f t="shared" si="3"/>
        <v>1.95</v>
      </c>
      <c r="J1806" s="15">
        <v>11.66</v>
      </c>
      <c r="K1806" s="16">
        <f>IF(COUNTIFS(Release_Calendar!$A$2:$A$755,"US_CPI",Release_Calendar!$B$2:$B$755,$A1806)&gt;0,1,0)</f>
        <v>0</v>
      </c>
      <c r="L1806" s="16">
        <f>IF(COUNTIFS(Release_Calendar!$A$2:$A$755,"US_NFP",Release_Calendar!$B$2:$B$755,$A1806)&gt;0,1,0)</f>
        <v>0</v>
      </c>
      <c r="M1806" s="16" t="str">
        <f>IF($A1806&lt;Notes!$B$5,"",IF(COUNTIFS(Release_Calendar!$A$2:$A$755,"NZ_CPI",Release_Calendar!$B$2:$B$755,$A1806)&gt;0,1,0))</f>
        <v/>
      </c>
      <c r="N1806" s="16" t="str">
        <f>IF($A1806&lt;Notes!$B$5,"",IF(COUNTIFS(Release_Calendar!$A$2:$A$755,"NZ_GDP",Release_Calendar!$B$2:$B$755,$A1806)&gt;0,1,0))</f>
        <v/>
      </c>
      <c r="O1806" s="16" t="str">
        <f>IF($A1806&lt;Notes!$B$5,"",IF(COUNTIFS(Release_Calendar!$A$2:$A$755,"NZ_LABOUR",Release_Calendar!$B$2:$B$755,$A1806)&gt;0,1,0))</f>
        <v/>
      </c>
      <c r="P1806" s="16">
        <f t="shared" si="4"/>
        <v>0</v>
      </c>
    </row>
    <row r="1807" ht="15.75" customHeight="1">
      <c r="A1807" s="14">
        <v>39055.0</v>
      </c>
      <c r="B1807" s="15">
        <v>4.52</v>
      </c>
      <c r="C1807" s="15"/>
      <c r="D1807" s="15">
        <v>6.44</v>
      </c>
      <c r="E1807" s="15"/>
      <c r="F1807" s="15" t="str">
        <f t="shared" si="1"/>
        <v/>
      </c>
      <c r="G1807" s="15">
        <f t="shared" si="2"/>
        <v>6.44</v>
      </c>
      <c r="H1807" s="16">
        <v>1.0</v>
      </c>
      <c r="I1807" s="15">
        <f t="shared" si="3"/>
        <v>1.92</v>
      </c>
      <c r="J1807" s="15">
        <v>11.23</v>
      </c>
      <c r="K1807" s="16">
        <f>IF(COUNTIFS(Release_Calendar!$A$2:$A$755,"US_CPI",Release_Calendar!$B$2:$B$755,$A1807)&gt;0,1,0)</f>
        <v>0</v>
      </c>
      <c r="L1807" s="16">
        <f>IF(COUNTIFS(Release_Calendar!$A$2:$A$755,"US_NFP",Release_Calendar!$B$2:$B$755,$A1807)&gt;0,1,0)</f>
        <v>0</v>
      </c>
      <c r="M1807" s="16" t="str">
        <f>IF($A1807&lt;Notes!$B$5,"",IF(COUNTIFS(Release_Calendar!$A$2:$A$755,"NZ_CPI",Release_Calendar!$B$2:$B$755,$A1807)&gt;0,1,0))</f>
        <v/>
      </c>
      <c r="N1807" s="16" t="str">
        <f>IF($A1807&lt;Notes!$B$5,"",IF(COUNTIFS(Release_Calendar!$A$2:$A$755,"NZ_GDP",Release_Calendar!$B$2:$B$755,$A1807)&gt;0,1,0))</f>
        <v/>
      </c>
      <c r="O1807" s="16" t="str">
        <f>IF($A1807&lt;Notes!$B$5,"",IF(COUNTIFS(Release_Calendar!$A$2:$A$755,"NZ_LABOUR",Release_Calendar!$B$2:$B$755,$A1807)&gt;0,1,0))</f>
        <v/>
      </c>
      <c r="P1807" s="16">
        <f t="shared" si="4"/>
        <v>0</v>
      </c>
    </row>
    <row r="1808" ht="15.75" customHeight="1">
      <c r="A1808" s="14">
        <v>39056.0</v>
      </c>
      <c r="B1808" s="15">
        <v>4.52</v>
      </c>
      <c r="C1808" s="15"/>
      <c r="D1808" s="15">
        <v>6.44</v>
      </c>
      <c r="E1808" s="15"/>
      <c r="F1808" s="15" t="str">
        <f t="shared" si="1"/>
        <v/>
      </c>
      <c r="G1808" s="15">
        <f t="shared" si="2"/>
        <v>6.44</v>
      </c>
      <c r="H1808" s="16">
        <v>1.0</v>
      </c>
      <c r="I1808" s="15">
        <f t="shared" si="3"/>
        <v>1.92</v>
      </c>
      <c r="J1808" s="15">
        <v>11.27</v>
      </c>
      <c r="K1808" s="16">
        <f>IF(COUNTIFS(Release_Calendar!$A$2:$A$755,"US_CPI",Release_Calendar!$B$2:$B$755,$A1808)&gt;0,1,0)</f>
        <v>0</v>
      </c>
      <c r="L1808" s="16">
        <f>IF(COUNTIFS(Release_Calendar!$A$2:$A$755,"US_NFP",Release_Calendar!$B$2:$B$755,$A1808)&gt;0,1,0)</f>
        <v>0</v>
      </c>
      <c r="M1808" s="16" t="str">
        <f>IF($A1808&lt;Notes!$B$5,"",IF(COUNTIFS(Release_Calendar!$A$2:$A$755,"NZ_CPI",Release_Calendar!$B$2:$B$755,$A1808)&gt;0,1,0))</f>
        <v/>
      </c>
      <c r="N1808" s="16" t="str">
        <f>IF($A1808&lt;Notes!$B$5,"",IF(COUNTIFS(Release_Calendar!$A$2:$A$755,"NZ_GDP",Release_Calendar!$B$2:$B$755,$A1808)&gt;0,1,0))</f>
        <v/>
      </c>
      <c r="O1808" s="16" t="str">
        <f>IF($A1808&lt;Notes!$B$5,"",IF(COUNTIFS(Release_Calendar!$A$2:$A$755,"NZ_LABOUR",Release_Calendar!$B$2:$B$755,$A1808)&gt;0,1,0))</f>
        <v/>
      </c>
      <c r="P1808" s="16">
        <f t="shared" si="4"/>
        <v>0</v>
      </c>
    </row>
    <row r="1809" ht="15.75" customHeight="1">
      <c r="A1809" s="14">
        <v>39057.0</v>
      </c>
      <c r="B1809" s="15">
        <v>4.59</v>
      </c>
      <c r="C1809" s="15"/>
      <c r="D1809" s="15">
        <v>6.45</v>
      </c>
      <c r="E1809" s="15"/>
      <c r="F1809" s="15" t="str">
        <f t="shared" si="1"/>
        <v/>
      </c>
      <c r="G1809" s="15">
        <f t="shared" si="2"/>
        <v>6.45</v>
      </c>
      <c r="H1809" s="16">
        <v>1.0</v>
      </c>
      <c r="I1809" s="15">
        <f t="shared" si="3"/>
        <v>1.86</v>
      </c>
      <c r="J1809" s="15">
        <v>11.33</v>
      </c>
      <c r="K1809" s="16">
        <f>IF(COUNTIFS(Release_Calendar!$A$2:$A$755,"US_CPI",Release_Calendar!$B$2:$B$755,$A1809)&gt;0,1,0)</f>
        <v>0</v>
      </c>
      <c r="L1809" s="16">
        <f>IF(COUNTIFS(Release_Calendar!$A$2:$A$755,"US_NFP",Release_Calendar!$B$2:$B$755,$A1809)&gt;0,1,0)</f>
        <v>0</v>
      </c>
      <c r="M1809" s="16" t="str">
        <f>IF($A1809&lt;Notes!$B$5,"",IF(COUNTIFS(Release_Calendar!$A$2:$A$755,"NZ_CPI",Release_Calendar!$B$2:$B$755,$A1809)&gt;0,1,0))</f>
        <v/>
      </c>
      <c r="N1809" s="16" t="str">
        <f>IF($A1809&lt;Notes!$B$5,"",IF(COUNTIFS(Release_Calendar!$A$2:$A$755,"NZ_GDP",Release_Calendar!$B$2:$B$755,$A1809)&gt;0,1,0))</f>
        <v/>
      </c>
      <c r="O1809" s="16" t="str">
        <f>IF($A1809&lt;Notes!$B$5,"",IF(COUNTIFS(Release_Calendar!$A$2:$A$755,"NZ_LABOUR",Release_Calendar!$B$2:$B$755,$A1809)&gt;0,1,0))</f>
        <v/>
      </c>
      <c r="P1809" s="16">
        <f t="shared" si="4"/>
        <v>0</v>
      </c>
    </row>
    <row r="1810" ht="15.75" customHeight="1">
      <c r="A1810" s="14">
        <v>39058.0</v>
      </c>
      <c r="B1810" s="15">
        <v>4.58</v>
      </c>
      <c r="C1810" s="15"/>
      <c r="D1810" s="15">
        <v>6.5</v>
      </c>
      <c r="E1810" s="15"/>
      <c r="F1810" s="15" t="str">
        <f t="shared" si="1"/>
        <v/>
      </c>
      <c r="G1810" s="15">
        <f t="shared" si="2"/>
        <v>6.5</v>
      </c>
      <c r="H1810" s="16">
        <v>1.0</v>
      </c>
      <c r="I1810" s="15">
        <f t="shared" si="3"/>
        <v>1.92</v>
      </c>
      <c r="J1810" s="15">
        <v>12.67</v>
      </c>
      <c r="K1810" s="16">
        <f>IF(COUNTIFS(Release_Calendar!$A$2:$A$755,"US_CPI",Release_Calendar!$B$2:$B$755,$A1810)&gt;0,1,0)</f>
        <v>0</v>
      </c>
      <c r="L1810" s="16">
        <f>IF(COUNTIFS(Release_Calendar!$A$2:$A$755,"US_NFP",Release_Calendar!$B$2:$B$755,$A1810)&gt;0,1,0)</f>
        <v>0</v>
      </c>
      <c r="M1810" s="16" t="str">
        <f>IF($A1810&lt;Notes!$B$5,"",IF(COUNTIFS(Release_Calendar!$A$2:$A$755,"NZ_CPI",Release_Calendar!$B$2:$B$755,$A1810)&gt;0,1,0))</f>
        <v/>
      </c>
      <c r="N1810" s="16" t="str">
        <f>IF($A1810&lt;Notes!$B$5,"",IF(COUNTIFS(Release_Calendar!$A$2:$A$755,"NZ_GDP",Release_Calendar!$B$2:$B$755,$A1810)&gt;0,1,0))</f>
        <v/>
      </c>
      <c r="O1810" s="16" t="str">
        <f>IF($A1810&lt;Notes!$B$5,"",IF(COUNTIFS(Release_Calendar!$A$2:$A$755,"NZ_LABOUR",Release_Calendar!$B$2:$B$755,$A1810)&gt;0,1,0))</f>
        <v/>
      </c>
      <c r="P1810" s="16">
        <f t="shared" si="4"/>
        <v>0</v>
      </c>
    </row>
    <row r="1811" ht="15.75" customHeight="1">
      <c r="A1811" s="14">
        <v>39059.0</v>
      </c>
      <c r="B1811" s="15">
        <v>4.68</v>
      </c>
      <c r="C1811" s="15"/>
      <c r="D1811" s="15">
        <v>6.48</v>
      </c>
      <c r="E1811" s="15"/>
      <c r="F1811" s="15" t="str">
        <f t="shared" si="1"/>
        <v/>
      </c>
      <c r="G1811" s="15">
        <f t="shared" si="2"/>
        <v>6.48</v>
      </c>
      <c r="H1811" s="16">
        <v>1.0</v>
      </c>
      <c r="I1811" s="15">
        <f t="shared" si="3"/>
        <v>1.8</v>
      </c>
      <c r="J1811" s="15">
        <v>12.07</v>
      </c>
      <c r="K1811" s="16">
        <f>IF(COUNTIFS(Release_Calendar!$A$2:$A$755,"US_CPI",Release_Calendar!$B$2:$B$755,$A1811)&gt;0,1,0)</f>
        <v>0</v>
      </c>
      <c r="L1811" s="16">
        <f>IF(COUNTIFS(Release_Calendar!$A$2:$A$755,"US_NFP",Release_Calendar!$B$2:$B$755,$A1811)&gt;0,1,0)</f>
        <v>1</v>
      </c>
      <c r="M1811" s="16" t="str">
        <f>IF($A1811&lt;Notes!$B$5,"",IF(COUNTIFS(Release_Calendar!$A$2:$A$755,"NZ_CPI",Release_Calendar!$B$2:$B$755,$A1811)&gt;0,1,0))</f>
        <v/>
      </c>
      <c r="N1811" s="16" t="str">
        <f>IF($A1811&lt;Notes!$B$5,"",IF(COUNTIFS(Release_Calendar!$A$2:$A$755,"NZ_GDP",Release_Calendar!$B$2:$B$755,$A1811)&gt;0,1,0))</f>
        <v/>
      </c>
      <c r="O1811" s="16" t="str">
        <f>IF($A1811&lt;Notes!$B$5,"",IF(COUNTIFS(Release_Calendar!$A$2:$A$755,"NZ_LABOUR",Release_Calendar!$B$2:$B$755,$A1811)&gt;0,1,0))</f>
        <v/>
      </c>
      <c r="P1811" s="16">
        <f t="shared" si="4"/>
        <v>1</v>
      </c>
    </row>
    <row r="1812" ht="15.75" customHeight="1">
      <c r="A1812" s="14">
        <v>39062.0</v>
      </c>
      <c r="B1812" s="15">
        <v>4.67</v>
      </c>
      <c r="C1812" s="15"/>
      <c r="D1812" s="15">
        <v>6.48</v>
      </c>
      <c r="E1812" s="15"/>
      <c r="F1812" s="15" t="str">
        <f t="shared" si="1"/>
        <v/>
      </c>
      <c r="G1812" s="15">
        <f t="shared" si="2"/>
        <v>6.48</v>
      </c>
      <c r="H1812" s="16">
        <v>1.0</v>
      </c>
      <c r="I1812" s="15">
        <f t="shared" si="3"/>
        <v>1.81</v>
      </c>
      <c r="J1812" s="15">
        <v>10.71</v>
      </c>
      <c r="K1812" s="16">
        <f>IF(COUNTIFS(Release_Calendar!$A$2:$A$755,"US_CPI",Release_Calendar!$B$2:$B$755,$A1812)&gt;0,1,0)</f>
        <v>0</v>
      </c>
      <c r="L1812" s="16">
        <f>IF(COUNTIFS(Release_Calendar!$A$2:$A$755,"US_NFP",Release_Calendar!$B$2:$B$755,$A1812)&gt;0,1,0)</f>
        <v>0</v>
      </c>
      <c r="M1812" s="16" t="str">
        <f>IF($A1812&lt;Notes!$B$5,"",IF(COUNTIFS(Release_Calendar!$A$2:$A$755,"NZ_CPI",Release_Calendar!$B$2:$B$755,$A1812)&gt;0,1,0))</f>
        <v/>
      </c>
      <c r="N1812" s="16" t="str">
        <f>IF($A1812&lt;Notes!$B$5,"",IF(COUNTIFS(Release_Calendar!$A$2:$A$755,"NZ_GDP",Release_Calendar!$B$2:$B$755,$A1812)&gt;0,1,0))</f>
        <v/>
      </c>
      <c r="O1812" s="16" t="str">
        <f>IF($A1812&lt;Notes!$B$5,"",IF(COUNTIFS(Release_Calendar!$A$2:$A$755,"NZ_LABOUR",Release_Calendar!$B$2:$B$755,$A1812)&gt;0,1,0))</f>
        <v/>
      </c>
      <c r="P1812" s="16">
        <f t="shared" si="4"/>
        <v>0</v>
      </c>
    </row>
    <row r="1813" ht="15.75" customHeight="1">
      <c r="A1813" s="14">
        <v>39063.0</v>
      </c>
      <c r="B1813" s="15">
        <v>4.61</v>
      </c>
      <c r="C1813" s="15"/>
      <c r="D1813" s="15">
        <v>6.48</v>
      </c>
      <c r="E1813" s="15"/>
      <c r="F1813" s="15" t="str">
        <f t="shared" si="1"/>
        <v/>
      </c>
      <c r="G1813" s="15">
        <f t="shared" si="2"/>
        <v>6.48</v>
      </c>
      <c r="H1813" s="16">
        <v>1.0</v>
      </c>
      <c r="I1813" s="15">
        <f t="shared" si="3"/>
        <v>1.87</v>
      </c>
      <c r="J1813" s="15">
        <v>10.65</v>
      </c>
      <c r="K1813" s="16">
        <f>IF(COUNTIFS(Release_Calendar!$A$2:$A$755,"US_CPI",Release_Calendar!$B$2:$B$755,$A1813)&gt;0,1,0)</f>
        <v>0</v>
      </c>
      <c r="L1813" s="16">
        <f>IF(COUNTIFS(Release_Calendar!$A$2:$A$755,"US_NFP",Release_Calendar!$B$2:$B$755,$A1813)&gt;0,1,0)</f>
        <v>0</v>
      </c>
      <c r="M1813" s="16" t="str">
        <f>IF($A1813&lt;Notes!$B$5,"",IF(COUNTIFS(Release_Calendar!$A$2:$A$755,"NZ_CPI",Release_Calendar!$B$2:$B$755,$A1813)&gt;0,1,0))</f>
        <v/>
      </c>
      <c r="N1813" s="16" t="str">
        <f>IF($A1813&lt;Notes!$B$5,"",IF(COUNTIFS(Release_Calendar!$A$2:$A$755,"NZ_GDP",Release_Calendar!$B$2:$B$755,$A1813)&gt;0,1,0))</f>
        <v/>
      </c>
      <c r="O1813" s="16" t="str">
        <f>IF($A1813&lt;Notes!$B$5,"",IF(COUNTIFS(Release_Calendar!$A$2:$A$755,"NZ_LABOUR",Release_Calendar!$B$2:$B$755,$A1813)&gt;0,1,0))</f>
        <v/>
      </c>
      <c r="P1813" s="16">
        <f t="shared" si="4"/>
        <v>0</v>
      </c>
    </row>
    <row r="1814" ht="15.75" customHeight="1">
      <c r="A1814" s="14">
        <v>39064.0</v>
      </c>
      <c r="B1814" s="15">
        <v>4.7</v>
      </c>
      <c r="C1814" s="15"/>
      <c r="D1814" s="15">
        <v>6.46</v>
      </c>
      <c r="E1814" s="15"/>
      <c r="F1814" s="15" t="str">
        <f t="shared" si="1"/>
        <v/>
      </c>
      <c r="G1814" s="15">
        <f t="shared" si="2"/>
        <v>6.46</v>
      </c>
      <c r="H1814" s="16">
        <v>1.0</v>
      </c>
      <c r="I1814" s="15">
        <f t="shared" si="3"/>
        <v>1.76</v>
      </c>
      <c r="J1814" s="15">
        <v>10.18</v>
      </c>
      <c r="K1814" s="16">
        <f>IF(COUNTIFS(Release_Calendar!$A$2:$A$755,"US_CPI",Release_Calendar!$B$2:$B$755,$A1814)&gt;0,1,0)</f>
        <v>0</v>
      </c>
      <c r="L1814" s="16">
        <f>IF(COUNTIFS(Release_Calendar!$A$2:$A$755,"US_NFP",Release_Calendar!$B$2:$B$755,$A1814)&gt;0,1,0)</f>
        <v>0</v>
      </c>
      <c r="M1814" s="16" t="str">
        <f>IF($A1814&lt;Notes!$B$5,"",IF(COUNTIFS(Release_Calendar!$A$2:$A$755,"NZ_CPI",Release_Calendar!$B$2:$B$755,$A1814)&gt;0,1,0))</f>
        <v/>
      </c>
      <c r="N1814" s="16" t="str">
        <f>IF($A1814&lt;Notes!$B$5,"",IF(COUNTIFS(Release_Calendar!$A$2:$A$755,"NZ_GDP",Release_Calendar!$B$2:$B$755,$A1814)&gt;0,1,0))</f>
        <v/>
      </c>
      <c r="O1814" s="16" t="str">
        <f>IF($A1814&lt;Notes!$B$5,"",IF(COUNTIFS(Release_Calendar!$A$2:$A$755,"NZ_LABOUR",Release_Calendar!$B$2:$B$755,$A1814)&gt;0,1,0))</f>
        <v/>
      </c>
      <c r="P1814" s="16">
        <f t="shared" si="4"/>
        <v>0</v>
      </c>
    </row>
    <row r="1815" ht="15.75" customHeight="1">
      <c r="A1815" s="14">
        <v>39065.0</v>
      </c>
      <c r="B1815" s="15">
        <v>4.73</v>
      </c>
      <c r="C1815" s="15"/>
      <c r="D1815" s="15">
        <v>6.51</v>
      </c>
      <c r="E1815" s="15"/>
      <c r="F1815" s="15" t="str">
        <f t="shared" si="1"/>
        <v/>
      </c>
      <c r="G1815" s="15">
        <f t="shared" si="2"/>
        <v>6.51</v>
      </c>
      <c r="H1815" s="16">
        <v>1.0</v>
      </c>
      <c r="I1815" s="15">
        <f t="shared" si="3"/>
        <v>1.78</v>
      </c>
      <c r="J1815" s="15">
        <v>9.97</v>
      </c>
      <c r="K1815" s="16">
        <f>IF(COUNTIFS(Release_Calendar!$A$2:$A$755,"US_CPI",Release_Calendar!$B$2:$B$755,$A1815)&gt;0,1,0)</f>
        <v>0</v>
      </c>
      <c r="L1815" s="16">
        <f>IF(COUNTIFS(Release_Calendar!$A$2:$A$755,"US_NFP",Release_Calendar!$B$2:$B$755,$A1815)&gt;0,1,0)</f>
        <v>0</v>
      </c>
      <c r="M1815" s="16" t="str">
        <f>IF($A1815&lt;Notes!$B$5,"",IF(COUNTIFS(Release_Calendar!$A$2:$A$755,"NZ_CPI",Release_Calendar!$B$2:$B$755,$A1815)&gt;0,1,0))</f>
        <v/>
      </c>
      <c r="N1815" s="16" t="str">
        <f>IF($A1815&lt;Notes!$B$5,"",IF(COUNTIFS(Release_Calendar!$A$2:$A$755,"NZ_GDP",Release_Calendar!$B$2:$B$755,$A1815)&gt;0,1,0))</f>
        <v/>
      </c>
      <c r="O1815" s="16" t="str">
        <f>IF($A1815&lt;Notes!$B$5,"",IF(COUNTIFS(Release_Calendar!$A$2:$A$755,"NZ_LABOUR",Release_Calendar!$B$2:$B$755,$A1815)&gt;0,1,0))</f>
        <v/>
      </c>
      <c r="P1815" s="16">
        <f t="shared" si="4"/>
        <v>0</v>
      </c>
    </row>
    <row r="1816" ht="15.75" customHeight="1">
      <c r="A1816" s="14">
        <v>39066.0</v>
      </c>
      <c r="B1816" s="15">
        <v>4.73</v>
      </c>
      <c r="C1816" s="15"/>
      <c r="D1816" s="15">
        <v>6.49</v>
      </c>
      <c r="E1816" s="15"/>
      <c r="F1816" s="15" t="str">
        <f t="shared" si="1"/>
        <v/>
      </c>
      <c r="G1816" s="15">
        <f t="shared" si="2"/>
        <v>6.49</v>
      </c>
      <c r="H1816" s="16">
        <v>1.0</v>
      </c>
      <c r="I1816" s="15">
        <f t="shared" si="3"/>
        <v>1.76</v>
      </c>
      <c r="J1816" s="15">
        <v>10.05</v>
      </c>
      <c r="K1816" s="16">
        <f>IF(COUNTIFS(Release_Calendar!$A$2:$A$755,"US_CPI",Release_Calendar!$B$2:$B$755,$A1816)&gt;0,1,0)</f>
        <v>1</v>
      </c>
      <c r="L1816" s="16">
        <f>IF(COUNTIFS(Release_Calendar!$A$2:$A$755,"US_NFP",Release_Calendar!$B$2:$B$755,$A1816)&gt;0,1,0)</f>
        <v>0</v>
      </c>
      <c r="M1816" s="16" t="str">
        <f>IF($A1816&lt;Notes!$B$5,"",IF(COUNTIFS(Release_Calendar!$A$2:$A$755,"NZ_CPI",Release_Calendar!$B$2:$B$755,$A1816)&gt;0,1,0))</f>
        <v/>
      </c>
      <c r="N1816" s="16" t="str">
        <f>IF($A1816&lt;Notes!$B$5,"",IF(COUNTIFS(Release_Calendar!$A$2:$A$755,"NZ_GDP",Release_Calendar!$B$2:$B$755,$A1816)&gt;0,1,0))</f>
        <v/>
      </c>
      <c r="O1816" s="16" t="str">
        <f>IF($A1816&lt;Notes!$B$5,"",IF(COUNTIFS(Release_Calendar!$A$2:$A$755,"NZ_LABOUR",Release_Calendar!$B$2:$B$755,$A1816)&gt;0,1,0))</f>
        <v/>
      </c>
      <c r="P1816" s="16">
        <f t="shared" si="4"/>
        <v>1</v>
      </c>
    </row>
    <row r="1817" ht="15.75" customHeight="1">
      <c r="A1817" s="14">
        <v>39069.0</v>
      </c>
      <c r="B1817" s="15">
        <v>4.71</v>
      </c>
      <c r="C1817" s="15"/>
      <c r="D1817" s="15">
        <v>6.49</v>
      </c>
      <c r="E1817" s="15"/>
      <c r="F1817" s="15" t="str">
        <f t="shared" si="1"/>
        <v/>
      </c>
      <c r="G1817" s="15">
        <f t="shared" si="2"/>
        <v>6.49</v>
      </c>
      <c r="H1817" s="16">
        <v>1.0</v>
      </c>
      <c r="I1817" s="15">
        <f t="shared" si="3"/>
        <v>1.78</v>
      </c>
      <c r="J1817" s="15">
        <v>10.6</v>
      </c>
      <c r="K1817" s="16">
        <f>IF(COUNTIFS(Release_Calendar!$A$2:$A$755,"US_CPI",Release_Calendar!$B$2:$B$755,$A1817)&gt;0,1,0)</f>
        <v>0</v>
      </c>
      <c r="L1817" s="16">
        <f>IF(COUNTIFS(Release_Calendar!$A$2:$A$755,"US_NFP",Release_Calendar!$B$2:$B$755,$A1817)&gt;0,1,0)</f>
        <v>0</v>
      </c>
      <c r="M1817" s="16" t="str">
        <f>IF($A1817&lt;Notes!$B$5,"",IF(COUNTIFS(Release_Calendar!$A$2:$A$755,"NZ_CPI",Release_Calendar!$B$2:$B$755,$A1817)&gt;0,1,0))</f>
        <v/>
      </c>
      <c r="N1817" s="16" t="str">
        <f>IF($A1817&lt;Notes!$B$5,"",IF(COUNTIFS(Release_Calendar!$A$2:$A$755,"NZ_GDP",Release_Calendar!$B$2:$B$755,$A1817)&gt;0,1,0))</f>
        <v/>
      </c>
      <c r="O1817" s="16" t="str">
        <f>IF($A1817&lt;Notes!$B$5,"",IF(COUNTIFS(Release_Calendar!$A$2:$A$755,"NZ_LABOUR",Release_Calendar!$B$2:$B$755,$A1817)&gt;0,1,0))</f>
        <v/>
      </c>
      <c r="P1817" s="16">
        <f t="shared" si="4"/>
        <v>0</v>
      </c>
    </row>
    <row r="1818" ht="15.75" customHeight="1">
      <c r="A1818" s="14">
        <v>39070.0</v>
      </c>
      <c r="B1818" s="15">
        <v>4.71</v>
      </c>
      <c r="C1818" s="15"/>
      <c r="D1818" s="15">
        <v>6.48</v>
      </c>
      <c r="E1818" s="15"/>
      <c r="F1818" s="15" t="str">
        <f t="shared" si="1"/>
        <v/>
      </c>
      <c r="G1818" s="15">
        <f t="shared" si="2"/>
        <v>6.48</v>
      </c>
      <c r="H1818" s="16">
        <v>1.0</v>
      </c>
      <c r="I1818" s="15">
        <f t="shared" si="3"/>
        <v>1.77</v>
      </c>
      <c r="J1818" s="15">
        <v>10.3</v>
      </c>
      <c r="K1818" s="16">
        <f>IF(COUNTIFS(Release_Calendar!$A$2:$A$755,"US_CPI",Release_Calendar!$B$2:$B$755,$A1818)&gt;0,1,0)</f>
        <v>0</v>
      </c>
      <c r="L1818" s="16">
        <f>IF(COUNTIFS(Release_Calendar!$A$2:$A$755,"US_NFP",Release_Calendar!$B$2:$B$755,$A1818)&gt;0,1,0)</f>
        <v>0</v>
      </c>
      <c r="M1818" s="16" t="str">
        <f>IF($A1818&lt;Notes!$B$5,"",IF(COUNTIFS(Release_Calendar!$A$2:$A$755,"NZ_CPI",Release_Calendar!$B$2:$B$755,$A1818)&gt;0,1,0))</f>
        <v/>
      </c>
      <c r="N1818" s="16" t="str">
        <f>IF($A1818&lt;Notes!$B$5,"",IF(COUNTIFS(Release_Calendar!$A$2:$A$755,"NZ_GDP",Release_Calendar!$B$2:$B$755,$A1818)&gt;0,1,0))</f>
        <v/>
      </c>
      <c r="O1818" s="16" t="str">
        <f>IF($A1818&lt;Notes!$B$5,"",IF(COUNTIFS(Release_Calendar!$A$2:$A$755,"NZ_LABOUR",Release_Calendar!$B$2:$B$755,$A1818)&gt;0,1,0))</f>
        <v/>
      </c>
      <c r="P1818" s="16">
        <f t="shared" si="4"/>
        <v>0</v>
      </c>
    </row>
    <row r="1819" ht="15.75" customHeight="1">
      <c r="A1819" s="14">
        <v>39071.0</v>
      </c>
      <c r="B1819" s="15">
        <v>4.71</v>
      </c>
      <c r="C1819" s="15"/>
      <c r="D1819" s="15">
        <v>6.48</v>
      </c>
      <c r="E1819" s="15"/>
      <c r="F1819" s="15" t="str">
        <f t="shared" si="1"/>
        <v/>
      </c>
      <c r="G1819" s="15">
        <f t="shared" si="2"/>
        <v>6.48</v>
      </c>
      <c r="H1819" s="16">
        <v>1.0</v>
      </c>
      <c r="I1819" s="15">
        <f t="shared" si="3"/>
        <v>1.77</v>
      </c>
      <c r="J1819" s="15">
        <v>10.26</v>
      </c>
      <c r="K1819" s="16">
        <f>IF(COUNTIFS(Release_Calendar!$A$2:$A$755,"US_CPI",Release_Calendar!$B$2:$B$755,$A1819)&gt;0,1,0)</f>
        <v>0</v>
      </c>
      <c r="L1819" s="16">
        <f>IF(COUNTIFS(Release_Calendar!$A$2:$A$755,"US_NFP",Release_Calendar!$B$2:$B$755,$A1819)&gt;0,1,0)</f>
        <v>0</v>
      </c>
      <c r="M1819" s="16" t="str">
        <f>IF($A1819&lt;Notes!$B$5,"",IF(COUNTIFS(Release_Calendar!$A$2:$A$755,"NZ_CPI",Release_Calendar!$B$2:$B$755,$A1819)&gt;0,1,0))</f>
        <v/>
      </c>
      <c r="N1819" s="16" t="str">
        <f>IF($A1819&lt;Notes!$B$5,"",IF(COUNTIFS(Release_Calendar!$A$2:$A$755,"NZ_GDP",Release_Calendar!$B$2:$B$755,$A1819)&gt;0,1,0))</f>
        <v/>
      </c>
      <c r="O1819" s="16" t="str">
        <f>IF($A1819&lt;Notes!$B$5,"",IF(COUNTIFS(Release_Calendar!$A$2:$A$755,"NZ_LABOUR",Release_Calendar!$B$2:$B$755,$A1819)&gt;0,1,0))</f>
        <v/>
      </c>
      <c r="P1819" s="16">
        <f t="shared" si="4"/>
        <v>0</v>
      </c>
    </row>
    <row r="1820" ht="15.75" customHeight="1">
      <c r="A1820" s="14">
        <v>39072.0</v>
      </c>
      <c r="B1820" s="15">
        <v>4.66</v>
      </c>
      <c r="C1820" s="15"/>
      <c r="D1820" s="15">
        <v>6.5</v>
      </c>
      <c r="E1820" s="15"/>
      <c r="F1820" s="15" t="str">
        <f t="shared" si="1"/>
        <v/>
      </c>
      <c r="G1820" s="15">
        <f t="shared" si="2"/>
        <v>6.5</v>
      </c>
      <c r="H1820" s="16">
        <v>1.0</v>
      </c>
      <c r="I1820" s="15">
        <f t="shared" si="3"/>
        <v>1.84</v>
      </c>
      <c r="J1820" s="15">
        <v>10.53</v>
      </c>
      <c r="K1820" s="16">
        <f>IF(COUNTIFS(Release_Calendar!$A$2:$A$755,"US_CPI",Release_Calendar!$B$2:$B$755,$A1820)&gt;0,1,0)</f>
        <v>0</v>
      </c>
      <c r="L1820" s="16">
        <f>IF(COUNTIFS(Release_Calendar!$A$2:$A$755,"US_NFP",Release_Calendar!$B$2:$B$755,$A1820)&gt;0,1,0)</f>
        <v>0</v>
      </c>
      <c r="M1820" s="16" t="str">
        <f>IF($A1820&lt;Notes!$B$5,"",IF(COUNTIFS(Release_Calendar!$A$2:$A$755,"NZ_CPI",Release_Calendar!$B$2:$B$755,$A1820)&gt;0,1,0))</f>
        <v/>
      </c>
      <c r="N1820" s="16" t="str">
        <f>IF($A1820&lt;Notes!$B$5,"",IF(COUNTIFS(Release_Calendar!$A$2:$A$755,"NZ_GDP",Release_Calendar!$B$2:$B$755,$A1820)&gt;0,1,0))</f>
        <v/>
      </c>
      <c r="O1820" s="16" t="str">
        <f>IF($A1820&lt;Notes!$B$5,"",IF(COUNTIFS(Release_Calendar!$A$2:$A$755,"NZ_LABOUR",Release_Calendar!$B$2:$B$755,$A1820)&gt;0,1,0))</f>
        <v/>
      </c>
      <c r="P1820" s="16">
        <f t="shared" si="4"/>
        <v>0</v>
      </c>
    </row>
    <row r="1821" ht="15.75" customHeight="1">
      <c r="A1821" s="14">
        <v>39073.0</v>
      </c>
      <c r="B1821" s="15">
        <v>4.71</v>
      </c>
      <c r="C1821" s="15"/>
      <c r="D1821" s="15">
        <v>6.51</v>
      </c>
      <c r="E1821" s="15"/>
      <c r="F1821" s="15" t="str">
        <f t="shared" si="1"/>
        <v/>
      </c>
      <c r="G1821" s="15">
        <f t="shared" si="2"/>
        <v>6.51</v>
      </c>
      <c r="H1821" s="16">
        <v>1.0</v>
      </c>
      <c r="I1821" s="15">
        <f t="shared" si="3"/>
        <v>1.8</v>
      </c>
      <c r="J1821" s="15">
        <v>11.36</v>
      </c>
      <c r="K1821" s="16">
        <f>IF(COUNTIFS(Release_Calendar!$A$2:$A$755,"US_CPI",Release_Calendar!$B$2:$B$755,$A1821)&gt;0,1,0)</f>
        <v>0</v>
      </c>
      <c r="L1821" s="16">
        <f>IF(COUNTIFS(Release_Calendar!$A$2:$A$755,"US_NFP",Release_Calendar!$B$2:$B$755,$A1821)&gt;0,1,0)</f>
        <v>0</v>
      </c>
      <c r="M1821" s="16" t="str">
        <f>IF($A1821&lt;Notes!$B$5,"",IF(COUNTIFS(Release_Calendar!$A$2:$A$755,"NZ_CPI",Release_Calendar!$B$2:$B$755,$A1821)&gt;0,1,0))</f>
        <v/>
      </c>
      <c r="N1821" s="16" t="str">
        <f>IF($A1821&lt;Notes!$B$5,"",IF(COUNTIFS(Release_Calendar!$A$2:$A$755,"NZ_GDP",Release_Calendar!$B$2:$B$755,$A1821)&gt;0,1,0))</f>
        <v/>
      </c>
      <c r="O1821" s="16" t="str">
        <f>IF($A1821&lt;Notes!$B$5,"",IF(COUNTIFS(Release_Calendar!$A$2:$A$755,"NZ_LABOUR",Release_Calendar!$B$2:$B$755,$A1821)&gt;0,1,0))</f>
        <v/>
      </c>
      <c r="P1821" s="16">
        <f t="shared" si="4"/>
        <v>0</v>
      </c>
    </row>
    <row r="1822" ht="15.75" customHeight="1">
      <c r="A1822" s="14">
        <v>39076.0</v>
      </c>
      <c r="B1822" s="15"/>
      <c r="C1822" s="15"/>
      <c r="D1822" s="15"/>
      <c r="E1822" s="15"/>
      <c r="F1822" s="15" t="str">
        <f t="shared" si="1"/>
        <v/>
      </c>
      <c r="G1822" s="15" t="str">
        <f t="shared" si="2"/>
        <v/>
      </c>
      <c r="H1822" s="16">
        <v>1.0</v>
      </c>
      <c r="I1822" s="15" t="str">
        <f t="shared" si="3"/>
        <v/>
      </c>
      <c r="J1822" s="15"/>
      <c r="K1822" s="16">
        <f>IF(COUNTIFS(Release_Calendar!$A$2:$A$755,"US_CPI",Release_Calendar!$B$2:$B$755,$A1822)&gt;0,1,0)</f>
        <v>0</v>
      </c>
      <c r="L1822" s="16">
        <f>IF(COUNTIFS(Release_Calendar!$A$2:$A$755,"US_NFP",Release_Calendar!$B$2:$B$755,$A1822)&gt;0,1,0)</f>
        <v>0</v>
      </c>
      <c r="M1822" s="16" t="str">
        <f>IF($A1822&lt;Notes!$B$5,"",IF(COUNTIFS(Release_Calendar!$A$2:$A$755,"NZ_CPI",Release_Calendar!$B$2:$B$755,$A1822)&gt;0,1,0))</f>
        <v/>
      </c>
      <c r="N1822" s="16" t="str">
        <f>IF($A1822&lt;Notes!$B$5,"",IF(COUNTIFS(Release_Calendar!$A$2:$A$755,"NZ_GDP",Release_Calendar!$B$2:$B$755,$A1822)&gt;0,1,0))</f>
        <v/>
      </c>
      <c r="O1822" s="16" t="str">
        <f>IF($A1822&lt;Notes!$B$5,"",IF(COUNTIFS(Release_Calendar!$A$2:$A$755,"NZ_LABOUR",Release_Calendar!$B$2:$B$755,$A1822)&gt;0,1,0))</f>
        <v/>
      </c>
      <c r="P1822" s="16">
        <f t="shared" si="4"/>
        <v>0</v>
      </c>
    </row>
    <row r="1823" ht="15.75" customHeight="1">
      <c r="A1823" s="14">
        <v>39077.0</v>
      </c>
      <c r="B1823" s="15">
        <v>4.71</v>
      </c>
      <c r="C1823" s="15"/>
      <c r="D1823" s="15"/>
      <c r="E1823" s="15"/>
      <c r="F1823" s="15" t="str">
        <f t="shared" si="1"/>
        <v/>
      </c>
      <c r="G1823" s="15" t="str">
        <f t="shared" si="2"/>
        <v/>
      </c>
      <c r="H1823" s="16">
        <v>1.0</v>
      </c>
      <c r="I1823" s="15" t="str">
        <f t="shared" si="3"/>
        <v/>
      </c>
      <c r="J1823" s="15">
        <v>11.26</v>
      </c>
      <c r="K1823" s="16">
        <f>IF(COUNTIFS(Release_Calendar!$A$2:$A$755,"US_CPI",Release_Calendar!$B$2:$B$755,$A1823)&gt;0,1,0)</f>
        <v>0</v>
      </c>
      <c r="L1823" s="16">
        <f>IF(COUNTIFS(Release_Calendar!$A$2:$A$755,"US_NFP",Release_Calendar!$B$2:$B$755,$A1823)&gt;0,1,0)</f>
        <v>0</v>
      </c>
      <c r="M1823" s="16" t="str">
        <f>IF($A1823&lt;Notes!$B$5,"",IF(COUNTIFS(Release_Calendar!$A$2:$A$755,"NZ_CPI",Release_Calendar!$B$2:$B$755,$A1823)&gt;0,1,0))</f>
        <v/>
      </c>
      <c r="N1823" s="16" t="str">
        <f>IF($A1823&lt;Notes!$B$5,"",IF(COUNTIFS(Release_Calendar!$A$2:$A$755,"NZ_GDP",Release_Calendar!$B$2:$B$755,$A1823)&gt;0,1,0))</f>
        <v/>
      </c>
      <c r="O1823" s="16" t="str">
        <f>IF($A1823&lt;Notes!$B$5,"",IF(COUNTIFS(Release_Calendar!$A$2:$A$755,"NZ_LABOUR",Release_Calendar!$B$2:$B$755,$A1823)&gt;0,1,0))</f>
        <v/>
      </c>
      <c r="P1823" s="16">
        <f t="shared" si="4"/>
        <v>0</v>
      </c>
    </row>
    <row r="1824" ht="15.75" customHeight="1">
      <c r="A1824" s="14">
        <v>39078.0</v>
      </c>
      <c r="B1824" s="15">
        <v>4.77</v>
      </c>
      <c r="C1824" s="15"/>
      <c r="D1824" s="15">
        <v>6.53</v>
      </c>
      <c r="E1824" s="15"/>
      <c r="F1824" s="15" t="str">
        <f t="shared" si="1"/>
        <v/>
      </c>
      <c r="G1824" s="15">
        <f t="shared" si="2"/>
        <v>6.53</v>
      </c>
      <c r="H1824" s="16">
        <v>1.0</v>
      </c>
      <c r="I1824" s="15">
        <f t="shared" si="3"/>
        <v>1.76</v>
      </c>
      <c r="J1824" s="15">
        <v>10.64</v>
      </c>
      <c r="K1824" s="16">
        <f>IF(COUNTIFS(Release_Calendar!$A$2:$A$755,"US_CPI",Release_Calendar!$B$2:$B$755,$A1824)&gt;0,1,0)</f>
        <v>0</v>
      </c>
      <c r="L1824" s="16">
        <f>IF(COUNTIFS(Release_Calendar!$A$2:$A$755,"US_NFP",Release_Calendar!$B$2:$B$755,$A1824)&gt;0,1,0)</f>
        <v>0</v>
      </c>
      <c r="M1824" s="16" t="str">
        <f>IF($A1824&lt;Notes!$B$5,"",IF(COUNTIFS(Release_Calendar!$A$2:$A$755,"NZ_CPI",Release_Calendar!$B$2:$B$755,$A1824)&gt;0,1,0))</f>
        <v/>
      </c>
      <c r="N1824" s="16" t="str">
        <f>IF($A1824&lt;Notes!$B$5,"",IF(COUNTIFS(Release_Calendar!$A$2:$A$755,"NZ_GDP",Release_Calendar!$B$2:$B$755,$A1824)&gt;0,1,0))</f>
        <v/>
      </c>
      <c r="O1824" s="16" t="str">
        <f>IF($A1824&lt;Notes!$B$5,"",IF(COUNTIFS(Release_Calendar!$A$2:$A$755,"NZ_LABOUR",Release_Calendar!$B$2:$B$755,$A1824)&gt;0,1,0))</f>
        <v/>
      </c>
      <c r="P1824" s="16">
        <f t="shared" si="4"/>
        <v>0</v>
      </c>
    </row>
    <row r="1825" ht="15.75" customHeight="1">
      <c r="A1825" s="14">
        <v>39079.0</v>
      </c>
      <c r="B1825" s="15">
        <v>4.82</v>
      </c>
      <c r="C1825" s="15"/>
      <c r="D1825" s="15">
        <v>6.61</v>
      </c>
      <c r="E1825" s="15"/>
      <c r="F1825" s="15" t="str">
        <f t="shared" si="1"/>
        <v/>
      </c>
      <c r="G1825" s="15">
        <f t="shared" si="2"/>
        <v>6.61</v>
      </c>
      <c r="H1825" s="16">
        <v>1.0</v>
      </c>
      <c r="I1825" s="15">
        <f t="shared" si="3"/>
        <v>1.79</v>
      </c>
      <c r="J1825" s="15">
        <v>10.99</v>
      </c>
      <c r="K1825" s="16">
        <f>IF(COUNTIFS(Release_Calendar!$A$2:$A$755,"US_CPI",Release_Calendar!$B$2:$B$755,$A1825)&gt;0,1,0)</f>
        <v>0</v>
      </c>
      <c r="L1825" s="16">
        <f>IF(COUNTIFS(Release_Calendar!$A$2:$A$755,"US_NFP",Release_Calendar!$B$2:$B$755,$A1825)&gt;0,1,0)</f>
        <v>0</v>
      </c>
      <c r="M1825" s="16" t="str">
        <f>IF($A1825&lt;Notes!$B$5,"",IF(COUNTIFS(Release_Calendar!$A$2:$A$755,"NZ_CPI",Release_Calendar!$B$2:$B$755,$A1825)&gt;0,1,0))</f>
        <v/>
      </c>
      <c r="N1825" s="16" t="str">
        <f>IF($A1825&lt;Notes!$B$5,"",IF(COUNTIFS(Release_Calendar!$A$2:$A$755,"NZ_GDP",Release_Calendar!$B$2:$B$755,$A1825)&gt;0,1,0))</f>
        <v/>
      </c>
      <c r="O1825" s="16" t="str">
        <f>IF($A1825&lt;Notes!$B$5,"",IF(COUNTIFS(Release_Calendar!$A$2:$A$755,"NZ_LABOUR",Release_Calendar!$B$2:$B$755,$A1825)&gt;0,1,0))</f>
        <v/>
      </c>
      <c r="P1825" s="16">
        <f t="shared" si="4"/>
        <v>0</v>
      </c>
    </row>
    <row r="1826" ht="15.75" customHeight="1">
      <c r="A1826" s="14">
        <v>39080.0</v>
      </c>
      <c r="B1826" s="15">
        <v>4.82</v>
      </c>
      <c r="C1826" s="15"/>
      <c r="D1826" s="15">
        <v>6.63</v>
      </c>
      <c r="E1826" s="15"/>
      <c r="F1826" s="15" t="str">
        <f t="shared" si="1"/>
        <v/>
      </c>
      <c r="G1826" s="15">
        <f t="shared" si="2"/>
        <v>6.63</v>
      </c>
      <c r="H1826" s="16">
        <v>1.0</v>
      </c>
      <c r="I1826" s="15">
        <f t="shared" si="3"/>
        <v>1.81</v>
      </c>
      <c r="J1826" s="15">
        <v>11.56</v>
      </c>
      <c r="K1826" s="16">
        <f>IF(COUNTIFS(Release_Calendar!$A$2:$A$755,"US_CPI",Release_Calendar!$B$2:$B$755,$A1826)&gt;0,1,0)</f>
        <v>0</v>
      </c>
      <c r="L1826" s="16">
        <f>IF(COUNTIFS(Release_Calendar!$A$2:$A$755,"US_NFP",Release_Calendar!$B$2:$B$755,$A1826)&gt;0,1,0)</f>
        <v>0</v>
      </c>
      <c r="M1826" s="16" t="str">
        <f>IF($A1826&lt;Notes!$B$5,"",IF(COUNTIFS(Release_Calendar!$A$2:$A$755,"NZ_CPI",Release_Calendar!$B$2:$B$755,$A1826)&gt;0,1,0))</f>
        <v/>
      </c>
      <c r="N1826" s="16" t="str">
        <f>IF($A1826&lt;Notes!$B$5,"",IF(COUNTIFS(Release_Calendar!$A$2:$A$755,"NZ_GDP",Release_Calendar!$B$2:$B$755,$A1826)&gt;0,1,0))</f>
        <v/>
      </c>
      <c r="O1826" s="16" t="str">
        <f>IF($A1826&lt;Notes!$B$5,"",IF(COUNTIFS(Release_Calendar!$A$2:$A$755,"NZ_LABOUR",Release_Calendar!$B$2:$B$755,$A1826)&gt;0,1,0))</f>
        <v/>
      </c>
      <c r="P1826" s="16">
        <f t="shared" si="4"/>
        <v>0</v>
      </c>
    </row>
    <row r="1827" ht="15.75" customHeight="1">
      <c r="A1827" s="14">
        <v>39083.0</v>
      </c>
      <c r="B1827" s="15"/>
      <c r="C1827" s="15"/>
      <c r="D1827" s="15"/>
      <c r="E1827" s="15"/>
      <c r="F1827" s="15" t="str">
        <f t="shared" si="1"/>
        <v/>
      </c>
      <c r="G1827" s="15" t="str">
        <f t="shared" si="2"/>
        <v/>
      </c>
      <c r="H1827" s="16">
        <v>1.0</v>
      </c>
      <c r="I1827" s="15" t="str">
        <f t="shared" si="3"/>
        <v/>
      </c>
      <c r="J1827" s="15"/>
      <c r="K1827" s="16">
        <f>IF(COUNTIFS(Release_Calendar!$A$2:$A$755,"US_CPI",Release_Calendar!$B$2:$B$755,$A1827)&gt;0,1,0)</f>
        <v>0</v>
      </c>
      <c r="L1827" s="16">
        <f>IF(COUNTIFS(Release_Calendar!$A$2:$A$755,"US_NFP",Release_Calendar!$B$2:$B$755,$A1827)&gt;0,1,0)</f>
        <v>0</v>
      </c>
      <c r="M1827" s="16" t="str">
        <f>IF($A1827&lt;Notes!$B$5,"",IF(COUNTIFS(Release_Calendar!$A$2:$A$755,"NZ_CPI",Release_Calendar!$B$2:$B$755,$A1827)&gt;0,1,0))</f>
        <v/>
      </c>
      <c r="N1827" s="16" t="str">
        <f>IF($A1827&lt;Notes!$B$5,"",IF(COUNTIFS(Release_Calendar!$A$2:$A$755,"NZ_GDP",Release_Calendar!$B$2:$B$755,$A1827)&gt;0,1,0))</f>
        <v/>
      </c>
      <c r="O1827" s="16" t="str">
        <f>IF($A1827&lt;Notes!$B$5,"",IF(COUNTIFS(Release_Calendar!$A$2:$A$755,"NZ_LABOUR",Release_Calendar!$B$2:$B$755,$A1827)&gt;0,1,0))</f>
        <v/>
      </c>
      <c r="P1827" s="16">
        <f t="shared" si="4"/>
        <v>0</v>
      </c>
    </row>
    <row r="1828" ht="15.75" customHeight="1">
      <c r="A1828" s="14">
        <v>39084.0</v>
      </c>
      <c r="B1828" s="15">
        <v>4.8</v>
      </c>
      <c r="C1828" s="15"/>
      <c r="D1828" s="15"/>
      <c r="E1828" s="15"/>
      <c r="F1828" s="15" t="str">
        <f t="shared" si="1"/>
        <v/>
      </c>
      <c r="G1828" s="15" t="str">
        <f t="shared" si="2"/>
        <v/>
      </c>
      <c r="H1828" s="16">
        <v>1.0</v>
      </c>
      <c r="I1828" s="15" t="str">
        <f t="shared" si="3"/>
        <v/>
      </c>
      <c r="J1828" s="15"/>
      <c r="K1828" s="16">
        <f>IF(COUNTIFS(Release_Calendar!$A$2:$A$755,"US_CPI",Release_Calendar!$B$2:$B$755,$A1828)&gt;0,1,0)</f>
        <v>0</v>
      </c>
      <c r="L1828" s="16">
        <f>IF(COUNTIFS(Release_Calendar!$A$2:$A$755,"US_NFP",Release_Calendar!$B$2:$B$755,$A1828)&gt;0,1,0)</f>
        <v>0</v>
      </c>
      <c r="M1828" s="16" t="str">
        <f>IF($A1828&lt;Notes!$B$5,"",IF(COUNTIFS(Release_Calendar!$A$2:$A$755,"NZ_CPI",Release_Calendar!$B$2:$B$755,$A1828)&gt;0,1,0))</f>
        <v/>
      </c>
      <c r="N1828" s="16" t="str">
        <f>IF($A1828&lt;Notes!$B$5,"",IF(COUNTIFS(Release_Calendar!$A$2:$A$755,"NZ_GDP",Release_Calendar!$B$2:$B$755,$A1828)&gt;0,1,0))</f>
        <v/>
      </c>
      <c r="O1828" s="16" t="str">
        <f>IF($A1828&lt;Notes!$B$5,"",IF(COUNTIFS(Release_Calendar!$A$2:$A$755,"NZ_LABOUR",Release_Calendar!$B$2:$B$755,$A1828)&gt;0,1,0))</f>
        <v/>
      </c>
      <c r="P1828" s="16">
        <f t="shared" si="4"/>
        <v>0</v>
      </c>
    </row>
    <row r="1829" ht="15.75" customHeight="1">
      <c r="A1829" s="14">
        <v>39085.0</v>
      </c>
      <c r="B1829" s="15">
        <v>4.76</v>
      </c>
      <c r="C1829" s="15"/>
      <c r="D1829" s="15">
        <v>6.61</v>
      </c>
      <c r="E1829" s="15"/>
      <c r="F1829" s="15" t="str">
        <f t="shared" si="1"/>
        <v/>
      </c>
      <c r="G1829" s="15">
        <f t="shared" si="2"/>
        <v>6.61</v>
      </c>
      <c r="H1829" s="16">
        <v>1.0</v>
      </c>
      <c r="I1829" s="15">
        <f t="shared" si="3"/>
        <v>1.85</v>
      </c>
      <c r="J1829" s="15">
        <v>12.04</v>
      </c>
      <c r="K1829" s="16">
        <f>IF(COUNTIFS(Release_Calendar!$A$2:$A$755,"US_CPI",Release_Calendar!$B$2:$B$755,$A1829)&gt;0,1,0)</f>
        <v>0</v>
      </c>
      <c r="L1829" s="16">
        <f>IF(COUNTIFS(Release_Calendar!$A$2:$A$755,"US_NFP",Release_Calendar!$B$2:$B$755,$A1829)&gt;0,1,0)</f>
        <v>0</v>
      </c>
      <c r="M1829" s="16" t="str">
        <f>IF($A1829&lt;Notes!$B$5,"",IF(COUNTIFS(Release_Calendar!$A$2:$A$755,"NZ_CPI",Release_Calendar!$B$2:$B$755,$A1829)&gt;0,1,0))</f>
        <v/>
      </c>
      <c r="N1829" s="16" t="str">
        <f>IF($A1829&lt;Notes!$B$5,"",IF(COUNTIFS(Release_Calendar!$A$2:$A$755,"NZ_GDP",Release_Calendar!$B$2:$B$755,$A1829)&gt;0,1,0))</f>
        <v/>
      </c>
      <c r="O1829" s="16" t="str">
        <f>IF($A1829&lt;Notes!$B$5,"",IF(COUNTIFS(Release_Calendar!$A$2:$A$755,"NZ_LABOUR",Release_Calendar!$B$2:$B$755,$A1829)&gt;0,1,0))</f>
        <v/>
      </c>
      <c r="P1829" s="16">
        <f t="shared" si="4"/>
        <v>0</v>
      </c>
    </row>
    <row r="1830" ht="15.75" customHeight="1">
      <c r="A1830" s="14">
        <v>39086.0</v>
      </c>
      <c r="B1830" s="15">
        <v>4.71</v>
      </c>
      <c r="C1830" s="15"/>
      <c r="D1830" s="15">
        <v>6.6</v>
      </c>
      <c r="E1830" s="15"/>
      <c r="F1830" s="15" t="str">
        <f t="shared" si="1"/>
        <v/>
      </c>
      <c r="G1830" s="15">
        <f t="shared" si="2"/>
        <v>6.6</v>
      </c>
      <c r="H1830" s="16">
        <v>1.0</v>
      </c>
      <c r="I1830" s="15">
        <f t="shared" si="3"/>
        <v>1.89</v>
      </c>
      <c r="J1830" s="15">
        <v>11.51</v>
      </c>
      <c r="K1830" s="16">
        <f>IF(COUNTIFS(Release_Calendar!$A$2:$A$755,"US_CPI",Release_Calendar!$B$2:$B$755,$A1830)&gt;0,1,0)</f>
        <v>0</v>
      </c>
      <c r="L1830" s="16">
        <f>IF(COUNTIFS(Release_Calendar!$A$2:$A$755,"US_NFP",Release_Calendar!$B$2:$B$755,$A1830)&gt;0,1,0)</f>
        <v>0</v>
      </c>
      <c r="M1830" s="16" t="str">
        <f>IF($A1830&lt;Notes!$B$5,"",IF(COUNTIFS(Release_Calendar!$A$2:$A$755,"NZ_CPI",Release_Calendar!$B$2:$B$755,$A1830)&gt;0,1,0))</f>
        <v/>
      </c>
      <c r="N1830" s="16" t="str">
        <f>IF($A1830&lt;Notes!$B$5,"",IF(COUNTIFS(Release_Calendar!$A$2:$A$755,"NZ_GDP",Release_Calendar!$B$2:$B$755,$A1830)&gt;0,1,0))</f>
        <v/>
      </c>
      <c r="O1830" s="16" t="str">
        <f>IF($A1830&lt;Notes!$B$5,"",IF(COUNTIFS(Release_Calendar!$A$2:$A$755,"NZ_LABOUR",Release_Calendar!$B$2:$B$755,$A1830)&gt;0,1,0))</f>
        <v/>
      </c>
      <c r="P1830" s="16">
        <f t="shared" si="4"/>
        <v>0</v>
      </c>
    </row>
    <row r="1831" ht="15.75" customHeight="1">
      <c r="A1831" s="14">
        <v>39087.0</v>
      </c>
      <c r="B1831" s="15">
        <v>4.76</v>
      </c>
      <c r="C1831" s="15"/>
      <c r="D1831" s="15">
        <v>6.57</v>
      </c>
      <c r="E1831" s="15"/>
      <c r="F1831" s="15" t="str">
        <f t="shared" si="1"/>
        <v/>
      </c>
      <c r="G1831" s="15">
        <f t="shared" si="2"/>
        <v>6.57</v>
      </c>
      <c r="H1831" s="16">
        <v>1.0</v>
      </c>
      <c r="I1831" s="15">
        <f t="shared" si="3"/>
        <v>1.81</v>
      </c>
      <c r="J1831" s="15">
        <v>12.14</v>
      </c>
      <c r="K1831" s="16">
        <f>IF(COUNTIFS(Release_Calendar!$A$2:$A$755,"US_CPI",Release_Calendar!$B$2:$B$755,$A1831)&gt;0,1,0)</f>
        <v>0</v>
      </c>
      <c r="L1831" s="16">
        <f>IF(COUNTIFS(Release_Calendar!$A$2:$A$755,"US_NFP",Release_Calendar!$B$2:$B$755,$A1831)&gt;0,1,0)</f>
        <v>1</v>
      </c>
      <c r="M1831" s="16" t="str">
        <f>IF($A1831&lt;Notes!$B$5,"",IF(COUNTIFS(Release_Calendar!$A$2:$A$755,"NZ_CPI",Release_Calendar!$B$2:$B$755,$A1831)&gt;0,1,0))</f>
        <v/>
      </c>
      <c r="N1831" s="16" t="str">
        <f>IF($A1831&lt;Notes!$B$5,"",IF(COUNTIFS(Release_Calendar!$A$2:$A$755,"NZ_GDP",Release_Calendar!$B$2:$B$755,$A1831)&gt;0,1,0))</f>
        <v/>
      </c>
      <c r="O1831" s="16" t="str">
        <f>IF($A1831&lt;Notes!$B$5,"",IF(COUNTIFS(Release_Calendar!$A$2:$A$755,"NZ_LABOUR",Release_Calendar!$B$2:$B$755,$A1831)&gt;0,1,0))</f>
        <v/>
      </c>
      <c r="P1831" s="16">
        <f t="shared" si="4"/>
        <v>1</v>
      </c>
    </row>
    <row r="1832" ht="15.75" customHeight="1">
      <c r="A1832" s="14">
        <v>39090.0</v>
      </c>
      <c r="B1832" s="15">
        <v>4.78</v>
      </c>
      <c r="C1832" s="15"/>
      <c r="D1832" s="15">
        <v>6.61</v>
      </c>
      <c r="E1832" s="15"/>
      <c r="F1832" s="15" t="str">
        <f t="shared" si="1"/>
        <v/>
      </c>
      <c r="G1832" s="15">
        <f t="shared" si="2"/>
        <v>6.61</v>
      </c>
      <c r="H1832" s="16">
        <v>1.0</v>
      </c>
      <c r="I1832" s="15">
        <f t="shared" si="3"/>
        <v>1.83</v>
      </c>
      <c r="J1832" s="15">
        <v>12.0</v>
      </c>
      <c r="K1832" s="16">
        <f>IF(COUNTIFS(Release_Calendar!$A$2:$A$755,"US_CPI",Release_Calendar!$B$2:$B$755,$A1832)&gt;0,1,0)</f>
        <v>0</v>
      </c>
      <c r="L1832" s="16">
        <f>IF(COUNTIFS(Release_Calendar!$A$2:$A$755,"US_NFP",Release_Calendar!$B$2:$B$755,$A1832)&gt;0,1,0)</f>
        <v>0</v>
      </c>
      <c r="M1832" s="16" t="str">
        <f>IF($A1832&lt;Notes!$B$5,"",IF(COUNTIFS(Release_Calendar!$A$2:$A$755,"NZ_CPI",Release_Calendar!$B$2:$B$755,$A1832)&gt;0,1,0))</f>
        <v/>
      </c>
      <c r="N1832" s="16" t="str">
        <f>IF($A1832&lt;Notes!$B$5,"",IF(COUNTIFS(Release_Calendar!$A$2:$A$755,"NZ_GDP",Release_Calendar!$B$2:$B$755,$A1832)&gt;0,1,0))</f>
        <v/>
      </c>
      <c r="O1832" s="16" t="str">
        <f>IF($A1832&lt;Notes!$B$5,"",IF(COUNTIFS(Release_Calendar!$A$2:$A$755,"NZ_LABOUR",Release_Calendar!$B$2:$B$755,$A1832)&gt;0,1,0))</f>
        <v/>
      </c>
      <c r="P1832" s="16">
        <f t="shared" si="4"/>
        <v>0</v>
      </c>
    </row>
    <row r="1833" ht="15.75" customHeight="1">
      <c r="A1833" s="14">
        <v>39091.0</v>
      </c>
      <c r="B1833" s="15">
        <v>4.79</v>
      </c>
      <c r="C1833" s="15"/>
      <c r="D1833" s="15">
        <v>6.59</v>
      </c>
      <c r="E1833" s="15"/>
      <c r="F1833" s="15" t="str">
        <f t="shared" si="1"/>
        <v/>
      </c>
      <c r="G1833" s="15">
        <f t="shared" si="2"/>
        <v>6.59</v>
      </c>
      <c r="H1833" s="16">
        <v>1.0</v>
      </c>
      <c r="I1833" s="15">
        <f t="shared" si="3"/>
        <v>1.8</v>
      </c>
      <c r="J1833" s="15">
        <v>11.91</v>
      </c>
      <c r="K1833" s="16">
        <f>IF(COUNTIFS(Release_Calendar!$A$2:$A$755,"US_CPI",Release_Calendar!$B$2:$B$755,$A1833)&gt;0,1,0)</f>
        <v>0</v>
      </c>
      <c r="L1833" s="16">
        <f>IF(COUNTIFS(Release_Calendar!$A$2:$A$755,"US_NFP",Release_Calendar!$B$2:$B$755,$A1833)&gt;0,1,0)</f>
        <v>0</v>
      </c>
      <c r="M1833" s="16" t="str">
        <f>IF($A1833&lt;Notes!$B$5,"",IF(COUNTIFS(Release_Calendar!$A$2:$A$755,"NZ_CPI",Release_Calendar!$B$2:$B$755,$A1833)&gt;0,1,0))</f>
        <v/>
      </c>
      <c r="N1833" s="16" t="str">
        <f>IF($A1833&lt;Notes!$B$5,"",IF(COUNTIFS(Release_Calendar!$A$2:$A$755,"NZ_GDP",Release_Calendar!$B$2:$B$755,$A1833)&gt;0,1,0))</f>
        <v/>
      </c>
      <c r="O1833" s="16" t="str">
        <f>IF($A1833&lt;Notes!$B$5,"",IF(COUNTIFS(Release_Calendar!$A$2:$A$755,"NZ_LABOUR",Release_Calendar!$B$2:$B$755,$A1833)&gt;0,1,0))</f>
        <v/>
      </c>
      <c r="P1833" s="16">
        <f t="shared" si="4"/>
        <v>0</v>
      </c>
    </row>
    <row r="1834" ht="15.75" customHeight="1">
      <c r="A1834" s="14">
        <v>39092.0</v>
      </c>
      <c r="B1834" s="15">
        <v>4.81</v>
      </c>
      <c r="C1834" s="15"/>
      <c r="D1834" s="15">
        <v>6.57</v>
      </c>
      <c r="E1834" s="15"/>
      <c r="F1834" s="15" t="str">
        <f t="shared" si="1"/>
        <v/>
      </c>
      <c r="G1834" s="15">
        <f t="shared" si="2"/>
        <v>6.57</v>
      </c>
      <c r="H1834" s="16">
        <v>1.0</v>
      </c>
      <c r="I1834" s="15">
        <f t="shared" si="3"/>
        <v>1.76</v>
      </c>
      <c r="J1834" s="15">
        <v>11.47</v>
      </c>
      <c r="K1834" s="16">
        <f>IF(COUNTIFS(Release_Calendar!$A$2:$A$755,"US_CPI",Release_Calendar!$B$2:$B$755,$A1834)&gt;0,1,0)</f>
        <v>0</v>
      </c>
      <c r="L1834" s="16">
        <f>IF(COUNTIFS(Release_Calendar!$A$2:$A$755,"US_NFP",Release_Calendar!$B$2:$B$755,$A1834)&gt;0,1,0)</f>
        <v>0</v>
      </c>
      <c r="M1834" s="16" t="str">
        <f>IF($A1834&lt;Notes!$B$5,"",IF(COUNTIFS(Release_Calendar!$A$2:$A$755,"NZ_CPI",Release_Calendar!$B$2:$B$755,$A1834)&gt;0,1,0))</f>
        <v/>
      </c>
      <c r="N1834" s="16" t="str">
        <f>IF($A1834&lt;Notes!$B$5,"",IF(COUNTIFS(Release_Calendar!$A$2:$A$755,"NZ_GDP",Release_Calendar!$B$2:$B$755,$A1834)&gt;0,1,0))</f>
        <v/>
      </c>
      <c r="O1834" s="16" t="str">
        <f>IF($A1834&lt;Notes!$B$5,"",IF(COUNTIFS(Release_Calendar!$A$2:$A$755,"NZ_LABOUR",Release_Calendar!$B$2:$B$755,$A1834)&gt;0,1,0))</f>
        <v/>
      </c>
      <c r="P1834" s="16">
        <f t="shared" si="4"/>
        <v>0</v>
      </c>
    </row>
    <row r="1835" ht="15.75" customHeight="1">
      <c r="A1835" s="14">
        <v>39093.0</v>
      </c>
      <c r="B1835" s="15">
        <v>4.86</v>
      </c>
      <c r="C1835" s="15"/>
      <c r="D1835" s="15">
        <v>6.57</v>
      </c>
      <c r="E1835" s="15"/>
      <c r="F1835" s="15" t="str">
        <f t="shared" si="1"/>
        <v/>
      </c>
      <c r="G1835" s="15">
        <f t="shared" si="2"/>
        <v>6.57</v>
      </c>
      <c r="H1835" s="16">
        <v>1.0</v>
      </c>
      <c r="I1835" s="15">
        <f t="shared" si="3"/>
        <v>1.71</v>
      </c>
      <c r="J1835" s="15">
        <v>10.87</v>
      </c>
      <c r="K1835" s="16">
        <f>IF(COUNTIFS(Release_Calendar!$A$2:$A$755,"US_CPI",Release_Calendar!$B$2:$B$755,$A1835)&gt;0,1,0)</f>
        <v>0</v>
      </c>
      <c r="L1835" s="16">
        <f>IF(COUNTIFS(Release_Calendar!$A$2:$A$755,"US_NFP",Release_Calendar!$B$2:$B$755,$A1835)&gt;0,1,0)</f>
        <v>0</v>
      </c>
      <c r="M1835" s="16" t="str">
        <f>IF($A1835&lt;Notes!$B$5,"",IF(COUNTIFS(Release_Calendar!$A$2:$A$755,"NZ_CPI",Release_Calendar!$B$2:$B$755,$A1835)&gt;0,1,0))</f>
        <v/>
      </c>
      <c r="N1835" s="16" t="str">
        <f>IF($A1835&lt;Notes!$B$5,"",IF(COUNTIFS(Release_Calendar!$A$2:$A$755,"NZ_GDP",Release_Calendar!$B$2:$B$755,$A1835)&gt;0,1,0))</f>
        <v/>
      </c>
      <c r="O1835" s="16" t="str">
        <f>IF($A1835&lt;Notes!$B$5,"",IF(COUNTIFS(Release_Calendar!$A$2:$A$755,"NZ_LABOUR",Release_Calendar!$B$2:$B$755,$A1835)&gt;0,1,0))</f>
        <v/>
      </c>
      <c r="P1835" s="16">
        <f t="shared" si="4"/>
        <v>0</v>
      </c>
    </row>
    <row r="1836" ht="15.75" customHeight="1">
      <c r="A1836" s="14">
        <v>39094.0</v>
      </c>
      <c r="B1836" s="15">
        <v>4.88</v>
      </c>
      <c r="C1836" s="15"/>
      <c r="D1836" s="15">
        <v>6.53</v>
      </c>
      <c r="E1836" s="15"/>
      <c r="F1836" s="15" t="str">
        <f t="shared" si="1"/>
        <v/>
      </c>
      <c r="G1836" s="15">
        <f t="shared" si="2"/>
        <v>6.53</v>
      </c>
      <c r="H1836" s="16">
        <v>1.0</v>
      </c>
      <c r="I1836" s="15">
        <f t="shared" si="3"/>
        <v>1.65</v>
      </c>
      <c r="J1836" s="15">
        <v>10.15</v>
      </c>
      <c r="K1836" s="16">
        <f>IF(COUNTIFS(Release_Calendar!$A$2:$A$755,"US_CPI",Release_Calendar!$B$2:$B$755,$A1836)&gt;0,1,0)</f>
        <v>0</v>
      </c>
      <c r="L1836" s="16">
        <f>IF(COUNTIFS(Release_Calendar!$A$2:$A$755,"US_NFP",Release_Calendar!$B$2:$B$755,$A1836)&gt;0,1,0)</f>
        <v>0</v>
      </c>
      <c r="M1836" s="16" t="str">
        <f>IF($A1836&lt;Notes!$B$5,"",IF(COUNTIFS(Release_Calendar!$A$2:$A$755,"NZ_CPI",Release_Calendar!$B$2:$B$755,$A1836)&gt;0,1,0))</f>
        <v/>
      </c>
      <c r="N1836" s="16" t="str">
        <f>IF($A1836&lt;Notes!$B$5,"",IF(COUNTIFS(Release_Calendar!$A$2:$A$755,"NZ_GDP",Release_Calendar!$B$2:$B$755,$A1836)&gt;0,1,0))</f>
        <v/>
      </c>
      <c r="O1836" s="16" t="str">
        <f>IF($A1836&lt;Notes!$B$5,"",IF(COUNTIFS(Release_Calendar!$A$2:$A$755,"NZ_LABOUR",Release_Calendar!$B$2:$B$755,$A1836)&gt;0,1,0))</f>
        <v/>
      </c>
      <c r="P1836" s="16">
        <f t="shared" si="4"/>
        <v>0</v>
      </c>
    </row>
    <row r="1837" ht="15.75" customHeight="1">
      <c r="A1837" s="14">
        <v>39097.0</v>
      </c>
      <c r="B1837" s="15"/>
      <c r="C1837" s="15"/>
      <c r="D1837" s="15">
        <v>6.5</v>
      </c>
      <c r="E1837" s="15"/>
      <c r="F1837" s="15" t="str">
        <f t="shared" si="1"/>
        <v/>
      </c>
      <c r="G1837" s="15">
        <f t="shared" si="2"/>
        <v>6.5</v>
      </c>
      <c r="H1837" s="16">
        <v>1.0</v>
      </c>
      <c r="I1837" s="15" t="str">
        <f t="shared" si="3"/>
        <v/>
      </c>
      <c r="J1837" s="15"/>
      <c r="K1837" s="16">
        <f>IF(COUNTIFS(Release_Calendar!$A$2:$A$755,"US_CPI",Release_Calendar!$B$2:$B$755,$A1837)&gt;0,1,0)</f>
        <v>0</v>
      </c>
      <c r="L1837" s="16">
        <f>IF(COUNTIFS(Release_Calendar!$A$2:$A$755,"US_NFP",Release_Calendar!$B$2:$B$755,$A1837)&gt;0,1,0)</f>
        <v>0</v>
      </c>
      <c r="M1837" s="16" t="str">
        <f>IF($A1837&lt;Notes!$B$5,"",IF(COUNTIFS(Release_Calendar!$A$2:$A$755,"NZ_CPI",Release_Calendar!$B$2:$B$755,$A1837)&gt;0,1,0))</f>
        <v/>
      </c>
      <c r="N1837" s="16" t="str">
        <f>IF($A1837&lt;Notes!$B$5,"",IF(COUNTIFS(Release_Calendar!$A$2:$A$755,"NZ_GDP",Release_Calendar!$B$2:$B$755,$A1837)&gt;0,1,0))</f>
        <v/>
      </c>
      <c r="O1837" s="16" t="str">
        <f>IF($A1837&lt;Notes!$B$5,"",IF(COUNTIFS(Release_Calendar!$A$2:$A$755,"NZ_LABOUR",Release_Calendar!$B$2:$B$755,$A1837)&gt;0,1,0))</f>
        <v/>
      </c>
      <c r="P1837" s="16">
        <f t="shared" si="4"/>
        <v>0</v>
      </c>
    </row>
    <row r="1838" ht="15.75" customHeight="1">
      <c r="A1838" s="14">
        <v>39098.0</v>
      </c>
      <c r="B1838" s="15">
        <v>4.86</v>
      </c>
      <c r="C1838" s="15"/>
      <c r="D1838" s="15">
        <v>6.5</v>
      </c>
      <c r="E1838" s="15"/>
      <c r="F1838" s="15" t="str">
        <f t="shared" si="1"/>
        <v/>
      </c>
      <c r="G1838" s="15">
        <f t="shared" si="2"/>
        <v>6.5</v>
      </c>
      <c r="H1838" s="16">
        <v>1.0</v>
      </c>
      <c r="I1838" s="15">
        <f t="shared" si="3"/>
        <v>1.64</v>
      </c>
      <c r="J1838" s="15">
        <v>10.74</v>
      </c>
      <c r="K1838" s="16">
        <f>IF(COUNTIFS(Release_Calendar!$A$2:$A$755,"US_CPI",Release_Calendar!$B$2:$B$755,$A1838)&gt;0,1,0)</f>
        <v>0</v>
      </c>
      <c r="L1838" s="16">
        <f>IF(COUNTIFS(Release_Calendar!$A$2:$A$755,"US_NFP",Release_Calendar!$B$2:$B$755,$A1838)&gt;0,1,0)</f>
        <v>0</v>
      </c>
      <c r="M1838" s="16" t="str">
        <f>IF($A1838&lt;Notes!$B$5,"",IF(COUNTIFS(Release_Calendar!$A$2:$A$755,"NZ_CPI",Release_Calendar!$B$2:$B$755,$A1838)&gt;0,1,0))</f>
        <v/>
      </c>
      <c r="N1838" s="16" t="str">
        <f>IF($A1838&lt;Notes!$B$5,"",IF(COUNTIFS(Release_Calendar!$A$2:$A$755,"NZ_GDP",Release_Calendar!$B$2:$B$755,$A1838)&gt;0,1,0))</f>
        <v/>
      </c>
      <c r="O1838" s="16" t="str">
        <f>IF($A1838&lt;Notes!$B$5,"",IF(COUNTIFS(Release_Calendar!$A$2:$A$755,"NZ_LABOUR",Release_Calendar!$B$2:$B$755,$A1838)&gt;0,1,0))</f>
        <v/>
      </c>
      <c r="P1838" s="16">
        <f t="shared" si="4"/>
        <v>0</v>
      </c>
    </row>
    <row r="1839" ht="15.75" customHeight="1">
      <c r="A1839" s="14">
        <v>39099.0</v>
      </c>
      <c r="B1839" s="15">
        <v>4.91</v>
      </c>
      <c r="C1839" s="15"/>
      <c r="D1839" s="15">
        <v>6.47</v>
      </c>
      <c r="E1839" s="15"/>
      <c r="F1839" s="15" t="str">
        <f t="shared" si="1"/>
        <v/>
      </c>
      <c r="G1839" s="15">
        <f t="shared" si="2"/>
        <v>6.47</v>
      </c>
      <c r="H1839" s="16">
        <v>1.0</v>
      </c>
      <c r="I1839" s="15">
        <f t="shared" si="3"/>
        <v>1.56</v>
      </c>
      <c r="J1839" s="15">
        <v>10.59</v>
      </c>
      <c r="K1839" s="16">
        <f>IF(COUNTIFS(Release_Calendar!$A$2:$A$755,"US_CPI",Release_Calendar!$B$2:$B$755,$A1839)&gt;0,1,0)</f>
        <v>0</v>
      </c>
      <c r="L1839" s="16">
        <f>IF(COUNTIFS(Release_Calendar!$A$2:$A$755,"US_NFP",Release_Calendar!$B$2:$B$755,$A1839)&gt;0,1,0)</f>
        <v>0</v>
      </c>
      <c r="M1839" s="16" t="str">
        <f>IF($A1839&lt;Notes!$B$5,"",IF(COUNTIFS(Release_Calendar!$A$2:$A$755,"NZ_CPI",Release_Calendar!$B$2:$B$755,$A1839)&gt;0,1,0))</f>
        <v/>
      </c>
      <c r="N1839" s="16" t="str">
        <f>IF($A1839&lt;Notes!$B$5,"",IF(COUNTIFS(Release_Calendar!$A$2:$A$755,"NZ_GDP",Release_Calendar!$B$2:$B$755,$A1839)&gt;0,1,0))</f>
        <v/>
      </c>
      <c r="O1839" s="16" t="str">
        <f>IF($A1839&lt;Notes!$B$5,"",IF(COUNTIFS(Release_Calendar!$A$2:$A$755,"NZ_LABOUR",Release_Calendar!$B$2:$B$755,$A1839)&gt;0,1,0))</f>
        <v/>
      </c>
      <c r="P1839" s="16">
        <f t="shared" si="4"/>
        <v>0</v>
      </c>
    </row>
    <row r="1840" ht="15.75" customHeight="1">
      <c r="A1840" s="14">
        <v>39100.0</v>
      </c>
      <c r="B1840" s="15">
        <v>4.89</v>
      </c>
      <c r="C1840" s="15"/>
      <c r="D1840" s="15">
        <v>6.43</v>
      </c>
      <c r="E1840" s="15"/>
      <c r="F1840" s="15" t="str">
        <f t="shared" si="1"/>
        <v/>
      </c>
      <c r="G1840" s="15">
        <f t="shared" si="2"/>
        <v>6.43</v>
      </c>
      <c r="H1840" s="16">
        <v>1.0</v>
      </c>
      <c r="I1840" s="15">
        <f t="shared" si="3"/>
        <v>1.54</v>
      </c>
      <c r="J1840" s="15">
        <v>10.85</v>
      </c>
      <c r="K1840" s="16">
        <f>IF(COUNTIFS(Release_Calendar!$A$2:$A$755,"US_CPI",Release_Calendar!$B$2:$B$755,$A1840)&gt;0,1,0)</f>
        <v>1</v>
      </c>
      <c r="L1840" s="16">
        <f>IF(COUNTIFS(Release_Calendar!$A$2:$A$755,"US_NFP",Release_Calendar!$B$2:$B$755,$A1840)&gt;0,1,0)</f>
        <v>0</v>
      </c>
      <c r="M1840" s="16" t="str">
        <f>IF($A1840&lt;Notes!$B$5,"",IF(COUNTIFS(Release_Calendar!$A$2:$A$755,"NZ_CPI",Release_Calendar!$B$2:$B$755,$A1840)&gt;0,1,0))</f>
        <v/>
      </c>
      <c r="N1840" s="16" t="str">
        <f>IF($A1840&lt;Notes!$B$5,"",IF(COUNTIFS(Release_Calendar!$A$2:$A$755,"NZ_GDP",Release_Calendar!$B$2:$B$755,$A1840)&gt;0,1,0))</f>
        <v/>
      </c>
      <c r="O1840" s="16" t="str">
        <f>IF($A1840&lt;Notes!$B$5,"",IF(COUNTIFS(Release_Calendar!$A$2:$A$755,"NZ_LABOUR",Release_Calendar!$B$2:$B$755,$A1840)&gt;0,1,0))</f>
        <v/>
      </c>
      <c r="P1840" s="16">
        <f t="shared" si="4"/>
        <v>1</v>
      </c>
    </row>
    <row r="1841" ht="15.75" customHeight="1">
      <c r="A1841" s="14">
        <v>39101.0</v>
      </c>
      <c r="B1841" s="15">
        <v>4.93</v>
      </c>
      <c r="C1841" s="15"/>
      <c r="D1841" s="15">
        <v>6.43</v>
      </c>
      <c r="E1841" s="15"/>
      <c r="F1841" s="15" t="str">
        <f t="shared" si="1"/>
        <v/>
      </c>
      <c r="G1841" s="15">
        <f t="shared" si="2"/>
        <v>6.43</v>
      </c>
      <c r="H1841" s="16">
        <v>1.0</v>
      </c>
      <c r="I1841" s="15">
        <f t="shared" si="3"/>
        <v>1.5</v>
      </c>
      <c r="J1841" s="15">
        <v>10.4</v>
      </c>
      <c r="K1841" s="16">
        <f>IF(COUNTIFS(Release_Calendar!$A$2:$A$755,"US_CPI",Release_Calendar!$B$2:$B$755,$A1841)&gt;0,1,0)</f>
        <v>0</v>
      </c>
      <c r="L1841" s="16">
        <f>IF(COUNTIFS(Release_Calendar!$A$2:$A$755,"US_NFP",Release_Calendar!$B$2:$B$755,$A1841)&gt;0,1,0)</f>
        <v>0</v>
      </c>
      <c r="M1841" s="16" t="str">
        <f>IF($A1841&lt;Notes!$B$5,"",IF(COUNTIFS(Release_Calendar!$A$2:$A$755,"NZ_CPI",Release_Calendar!$B$2:$B$755,$A1841)&gt;0,1,0))</f>
        <v/>
      </c>
      <c r="N1841" s="16" t="str">
        <f>IF($A1841&lt;Notes!$B$5,"",IF(COUNTIFS(Release_Calendar!$A$2:$A$755,"NZ_GDP",Release_Calendar!$B$2:$B$755,$A1841)&gt;0,1,0))</f>
        <v/>
      </c>
      <c r="O1841" s="16" t="str">
        <f>IF($A1841&lt;Notes!$B$5,"",IF(COUNTIFS(Release_Calendar!$A$2:$A$755,"NZ_LABOUR",Release_Calendar!$B$2:$B$755,$A1841)&gt;0,1,0))</f>
        <v/>
      </c>
      <c r="P1841" s="16">
        <f t="shared" si="4"/>
        <v>0</v>
      </c>
    </row>
    <row r="1842" ht="15.75" customHeight="1">
      <c r="A1842" s="14">
        <v>39104.0</v>
      </c>
      <c r="B1842" s="15">
        <v>4.91</v>
      </c>
      <c r="C1842" s="15"/>
      <c r="D1842" s="15">
        <v>6.43</v>
      </c>
      <c r="E1842" s="15"/>
      <c r="F1842" s="15" t="str">
        <f t="shared" si="1"/>
        <v/>
      </c>
      <c r="G1842" s="15">
        <f t="shared" si="2"/>
        <v>6.43</v>
      </c>
      <c r="H1842" s="16">
        <v>1.0</v>
      </c>
      <c r="I1842" s="15">
        <f t="shared" si="3"/>
        <v>1.52</v>
      </c>
      <c r="J1842" s="15">
        <v>10.77</v>
      </c>
      <c r="K1842" s="16">
        <f>IF(COUNTIFS(Release_Calendar!$A$2:$A$755,"US_CPI",Release_Calendar!$B$2:$B$755,$A1842)&gt;0,1,0)</f>
        <v>0</v>
      </c>
      <c r="L1842" s="16">
        <f>IF(COUNTIFS(Release_Calendar!$A$2:$A$755,"US_NFP",Release_Calendar!$B$2:$B$755,$A1842)&gt;0,1,0)</f>
        <v>0</v>
      </c>
      <c r="M1842" s="16" t="str">
        <f>IF($A1842&lt;Notes!$B$5,"",IF(COUNTIFS(Release_Calendar!$A$2:$A$755,"NZ_CPI",Release_Calendar!$B$2:$B$755,$A1842)&gt;0,1,0))</f>
        <v/>
      </c>
      <c r="N1842" s="16" t="str">
        <f>IF($A1842&lt;Notes!$B$5,"",IF(COUNTIFS(Release_Calendar!$A$2:$A$755,"NZ_GDP",Release_Calendar!$B$2:$B$755,$A1842)&gt;0,1,0))</f>
        <v/>
      </c>
      <c r="O1842" s="16" t="str">
        <f>IF($A1842&lt;Notes!$B$5,"",IF(COUNTIFS(Release_Calendar!$A$2:$A$755,"NZ_LABOUR",Release_Calendar!$B$2:$B$755,$A1842)&gt;0,1,0))</f>
        <v/>
      </c>
      <c r="P1842" s="16">
        <f t="shared" si="4"/>
        <v>0</v>
      </c>
    </row>
    <row r="1843" ht="15.75" customHeight="1">
      <c r="A1843" s="14">
        <v>39105.0</v>
      </c>
      <c r="B1843" s="15">
        <v>4.94</v>
      </c>
      <c r="C1843" s="15"/>
      <c r="D1843" s="15">
        <v>6.44</v>
      </c>
      <c r="E1843" s="15"/>
      <c r="F1843" s="15" t="str">
        <f t="shared" si="1"/>
        <v/>
      </c>
      <c r="G1843" s="15">
        <f t="shared" si="2"/>
        <v>6.44</v>
      </c>
      <c r="H1843" s="16">
        <v>1.0</v>
      </c>
      <c r="I1843" s="15">
        <f t="shared" si="3"/>
        <v>1.5</v>
      </c>
      <c r="J1843" s="15">
        <v>10.34</v>
      </c>
      <c r="K1843" s="16">
        <f>IF(COUNTIFS(Release_Calendar!$A$2:$A$755,"US_CPI",Release_Calendar!$B$2:$B$755,$A1843)&gt;0,1,0)</f>
        <v>0</v>
      </c>
      <c r="L1843" s="16">
        <f>IF(COUNTIFS(Release_Calendar!$A$2:$A$755,"US_NFP",Release_Calendar!$B$2:$B$755,$A1843)&gt;0,1,0)</f>
        <v>0</v>
      </c>
      <c r="M1843" s="16" t="str">
        <f>IF($A1843&lt;Notes!$B$5,"",IF(COUNTIFS(Release_Calendar!$A$2:$A$755,"NZ_CPI",Release_Calendar!$B$2:$B$755,$A1843)&gt;0,1,0))</f>
        <v/>
      </c>
      <c r="N1843" s="16" t="str">
        <f>IF($A1843&lt;Notes!$B$5,"",IF(COUNTIFS(Release_Calendar!$A$2:$A$755,"NZ_GDP",Release_Calendar!$B$2:$B$755,$A1843)&gt;0,1,0))</f>
        <v/>
      </c>
      <c r="O1843" s="16" t="str">
        <f>IF($A1843&lt;Notes!$B$5,"",IF(COUNTIFS(Release_Calendar!$A$2:$A$755,"NZ_LABOUR",Release_Calendar!$B$2:$B$755,$A1843)&gt;0,1,0))</f>
        <v/>
      </c>
      <c r="P1843" s="16">
        <f t="shared" si="4"/>
        <v>0</v>
      </c>
    </row>
    <row r="1844" ht="15.75" customHeight="1">
      <c r="A1844" s="14">
        <v>39106.0</v>
      </c>
      <c r="B1844" s="15">
        <v>4.93</v>
      </c>
      <c r="C1844" s="15"/>
      <c r="D1844" s="15">
        <v>6.45</v>
      </c>
      <c r="E1844" s="15"/>
      <c r="F1844" s="15" t="str">
        <f t="shared" si="1"/>
        <v/>
      </c>
      <c r="G1844" s="15">
        <f t="shared" si="2"/>
        <v>6.45</v>
      </c>
      <c r="H1844" s="16">
        <v>1.0</v>
      </c>
      <c r="I1844" s="15">
        <f t="shared" si="3"/>
        <v>1.52</v>
      </c>
      <c r="J1844" s="15">
        <v>9.89</v>
      </c>
      <c r="K1844" s="16">
        <f>IF(COUNTIFS(Release_Calendar!$A$2:$A$755,"US_CPI",Release_Calendar!$B$2:$B$755,$A1844)&gt;0,1,0)</f>
        <v>0</v>
      </c>
      <c r="L1844" s="16">
        <f>IF(COUNTIFS(Release_Calendar!$A$2:$A$755,"US_NFP",Release_Calendar!$B$2:$B$755,$A1844)&gt;0,1,0)</f>
        <v>0</v>
      </c>
      <c r="M1844" s="16" t="str">
        <f>IF($A1844&lt;Notes!$B$5,"",IF(COUNTIFS(Release_Calendar!$A$2:$A$755,"NZ_CPI",Release_Calendar!$B$2:$B$755,$A1844)&gt;0,1,0))</f>
        <v/>
      </c>
      <c r="N1844" s="16" t="str">
        <f>IF($A1844&lt;Notes!$B$5,"",IF(COUNTIFS(Release_Calendar!$A$2:$A$755,"NZ_GDP",Release_Calendar!$B$2:$B$755,$A1844)&gt;0,1,0))</f>
        <v/>
      </c>
      <c r="O1844" s="16" t="str">
        <f>IF($A1844&lt;Notes!$B$5,"",IF(COUNTIFS(Release_Calendar!$A$2:$A$755,"NZ_LABOUR",Release_Calendar!$B$2:$B$755,$A1844)&gt;0,1,0))</f>
        <v/>
      </c>
      <c r="P1844" s="16">
        <f t="shared" si="4"/>
        <v>0</v>
      </c>
    </row>
    <row r="1845" ht="15.75" customHeight="1">
      <c r="A1845" s="14">
        <v>39107.0</v>
      </c>
      <c r="B1845" s="15">
        <v>4.98</v>
      </c>
      <c r="C1845" s="15"/>
      <c r="D1845" s="15">
        <v>6.47</v>
      </c>
      <c r="E1845" s="15"/>
      <c r="F1845" s="15" t="str">
        <f t="shared" si="1"/>
        <v/>
      </c>
      <c r="G1845" s="15">
        <f t="shared" si="2"/>
        <v>6.47</v>
      </c>
      <c r="H1845" s="16">
        <v>1.0</v>
      </c>
      <c r="I1845" s="15">
        <f t="shared" si="3"/>
        <v>1.49</v>
      </c>
      <c r="J1845" s="15">
        <v>11.22</v>
      </c>
      <c r="K1845" s="16">
        <f>IF(COUNTIFS(Release_Calendar!$A$2:$A$755,"US_CPI",Release_Calendar!$B$2:$B$755,$A1845)&gt;0,1,0)</f>
        <v>0</v>
      </c>
      <c r="L1845" s="16">
        <f>IF(COUNTIFS(Release_Calendar!$A$2:$A$755,"US_NFP",Release_Calendar!$B$2:$B$755,$A1845)&gt;0,1,0)</f>
        <v>0</v>
      </c>
      <c r="M1845" s="16" t="str">
        <f>IF($A1845&lt;Notes!$B$5,"",IF(COUNTIFS(Release_Calendar!$A$2:$A$755,"NZ_CPI",Release_Calendar!$B$2:$B$755,$A1845)&gt;0,1,0))</f>
        <v/>
      </c>
      <c r="N1845" s="16" t="str">
        <f>IF($A1845&lt;Notes!$B$5,"",IF(COUNTIFS(Release_Calendar!$A$2:$A$755,"NZ_GDP",Release_Calendar!$B$2:$B$755,$A1845)&gt;0,1,0))</f>
        <v/>
      </c>
      <c r="O1845" s="16" t="str">
        <f>IF($A1845&lt;Notes!$B$5,"",IF(COUNTIFS(Release_Calendar!$A$2:$A$755,"NZ_LABOUR",Release_Calendar!$B$2:$B$755,$A1845)&gt;0,1,0))</f>
        <v/>
      </c>
      <c r="P1845" s="16">
        <f t="shared" si="4"/>
        <v>0</v>
      </c>
    </row>
    <row r="1846" ht="15.75" customHeight="1">
      <c r="A1846" s="14">
        <v>39108.0</v>
      </c>
      <c r="B1846" s="15">
        <v>4.99</v>
      </c>
      <c r="C1846" s="15"/>
      <c r="D1846" s="15">
        <v>6.53</v>
      </c>
      <c r="E1846" s="15"/>
      <c r="F1846" s="15" t="str">
        <f t="shared" si="1"/>
        <v/>
      </c>
      <c r="G1846" s="15">
        <f t="shared" si="2"/>
        <v>6.53</v>
      </c>
      <c r="H1846" s="16">
        <v>1.0</v>
      </c>
      <c r="I1846" s="15">
        <f t="shared" si="3"/>
        <v>1.54</v>
      </c>
      <c r="J1846" s="15">
        <v>11.13</v>
      </c>
      <c r="K1846" s="16">
        <f>IF(COUNTIFS(Release_Calendar!$A$2:$A$755,"US_CPI",Release_Calendar!$B$2:$B$755,$A1846)&gt;0,1,0)</f>
        <v>0</v>
      </c>
      <c r="L1846" s="16">
        <f>IF(COUNTIFS(Release_Calendar!$A$2:$A$755,"US_NFP",Release_Calendar!$B$2:$B$755,$A1846)&gt;0,1,0)</f>
        <v>0</v>
      </c>
      <c r="M1846" s="16" t="str">
        <f>IF($A1846&lt;Notes!$B$5,"",IF(COUNTIFS(Release_Calendar!$A$2:$A$755,"NZ_CPI",Release_Calendar!$B$2:$B$755,$A1846)&gt;0,1,0))</f>
        <v/>
      </c>
      <c r="N1846" s="16" t="str">
        <f>IF($A1846&lt;Notes!$B$5,"",IF(COUNTIFS(Release_Calendar!$A$2:$A$755,"NZ_GDP",Release_Calendar!$B$2:$B$755,$A1846)&gt;0,1,0))</f>
        <v/>
      </c>
      <c r="O1846" s="16" t="str">
        <f>IF($A1846&lt;Notes!$B$5,"",IF(COUNTIFS(Release_Calendar!$A$2:$A$755,"NZ_LABOUR",Release_Calendar!$B$2:$B$755,$A1846)&gt;0,1,0))</f>
        <v/>
      </c>
      <c r="P1846" s="16">
        <f t="shared" si="4"/>
        <v>0</v>
      </c>
    </row>
    <row r="1847" ht="15.75" customHeight="1">
      <c r="A1847" s="14">
        <v>39111.0</v>
      </c>
      <c r="B1847" s="15">
        <v>4.99</v>
      </c>
      <c r="C1847" s="15"/>
      <c r="D1847" s="15">
        <v>6.54</v>
      </c>
      <c r="E1847" s="15"/>
      <c r="F1847" s="15" t="str">
        <f t="shared" si="1"/>
        <v/>
      </c>
      <c r="G1847" s="15">
        <f t="shared" si="2"/>
        <v>6.54</v>
      </c>
      <c r="H1847" s="16">
        <v>1.0</v>
      </c>
      <c r="I1847" s="15">
        <f t="shared" si="3"/>
        <v>1.55</v>
      </c>
      <c r="J1847" s="15">
        <v>11.45</v>
      </c>
      <c r="K1847" s="16">
        <f>IF(COUNTIFS(Release_Calendar!$A$2:$A$755,"US_CPI",Release_Calendar!$B$2:$B$755,$A1847)&gt;0,1,0)</f>
        <v>0</v>
      </c>
      <c r="L1847" s="16">
        <f>IF(COUNTIFS(Release_Calendar!$A$2:$A$755,"US_NFP",Release_Calendar!$B$2:$B$755,$A1847)&gt;0,1,0)</f>
        <v>0</v>
      </c>
      <c r="M1847" s="16" t="str">
        <f>IF($A1847&lt;Notes!$B$5,"",IF(COUNTIFS(Release_Calendar!$A$2:$A$755,"NZ_CPI",Release_Calendar!$B$2:$B$755,$A1847)&gt;0,1,0))</f>
        <v/>
      </c>
      <c r="N1847" s="16" t="str">
        <f>IF($A1847&lt;Notes!$B$5,"",IF(COUNTIFS(Release_Calendar!$A$2:$A$755,"NZ_GDP",Release_Calendar!$B$2:$B$755,$A1847)&gt;0,1,0))</f>
        <v/>
      </c>
      <c r="O1847" s="16" t="str">
        <f>IF($A1847&lt;Notes!$B$5,"",IF(COUNTIFS(Release_Calendar!$A$2:$A$755,"NZ_LABOUR",Release_Calendar!$B$2:$B$755,$A1847)&gt;0,1,0))</f>
        <v/>
      </c>
      <c r="P1847" s="16">
        <f t="shared" si="4"/>
        <v>0</v>
      </c>
    </row>
    <row r="1848" ht="15.75" customHeight="1">
      <c r="A1848" s="14">
        <v>39112.0</v>
      </c>
      <c r="B1848" s="15">
        <v>4.98</v>
      </c>
      <c r="C1848" s="15"/>
      <c r="D1848" s="15">
        <v>6.55</v>
      </c>
      <c r="E1848" s="15"/>
      <c r="F1848" s="15" t="str">
        <f t="shared" si="1"/>
        <v/>
      </c>
      <c r="G1848" s="15">
        <f t="shared" si="2"/>
        <v>6.55</v>
      </c>
      <c r="H1848" s="16">
        <v>1.0</v>
      </c>
      <c r="I1848" s="15">
        <f t="shared" si="3"/>
        <v>1.57</v>
      </c>
      <c r="J1848" s="15">
        <v>10.96</v>
      </c>
      <c r="K1848" s="16">
        <f>IF(COUNTIFS(Release_Calendar!$A$2:$A$755,"US_CPI",Release_Calendar!$B$2:$B$755,$A1848)&gt;0,1,0)</f>
        <v>0</v>
      </c>
      <c r="L1848" s="16">
        <f>IF(COUNTIFS(Release_Calendar!$A$2:$A$755,"US_NFP",Release_Calendar!$B$2:$B$755,$A1848)&gt;0,1,0)</f>
        <v>0</v>
      </c>
      <c r="M1848" s="16" t="str">
        <f>IF($A1848&lt;Notes!$B$5,"",IF(COUNTIFS(Release_Calendar!$A$2:$A$755,"NZ_CPI",Release_Calendar!$B$2:$B$755,$A1848)&gt;0,1,0))</f>
        <v/>
      </c>
      <c r="N1848" s="16" t="str">
        <f>IF($A1848&lt;Notes!$B$5,"",IF(COUNTIFS(Release_Calendar!$A$2:$A$755,"NZ_GDP",Release_Calendar!$B$2:$B$755,$A1848)&gt;0,1,0))</f>
        <v/>
      </c>
      <c r="O1848" s="16" t="str">
        <f>IF($A1848&lt;Notes!$B$5,"",IF(COUNTIFS(Release_Calendar!$A$2:$A$755,"NZ_LABOUR",Release_Calendar!$B$2:$B$755,$A1848)&gt;0,1,0))</f>
        <v/>
      </c>
      <c r="P1848" s="16">
        <f t="shared" si="4"/>
        <v>0</v>
      </c>
    </row>
    <row r="1849" ht="15.75" customHeight="1">
      <c r="A1849" s="14">
        <v>39113.0</v>
      </c>
      <c r="B1849" s="15">
        <v>4.94</v>
      </c>
      <c r="C1849" s="15"/>
      <c r="D1849" s="15">
        <v>6.57</v>
      </c>
      <c r="E1849" s="15"/>
      <c r="F1849" s="15" t="str">
        <f t="shared" si="1"/>
        <v/>
      </c>
      <c r="G1849" s="15">
        <f t="shared" si="2"/>
        <v>6.57</v>
      </c>
      <c r="H1849" s="16">
        <v>1.0</v>
      </c>
      <c r="I1849" s="15">
        <f t="shared" si="3"/>
        <v>1.63</v>
      </c>
      <c r="J1849" s="15">
        <v>10.42</v>
      </c>
      <c r="K1849" s="16">
        <f>IF(COUNTIFS(Release_Calendar!$A$2:$A$755,"US_CPI",Release_Calendar!$B$2:$B$755,$A1849)&gt;0,1,0)</f>
        <v>0</v>
      </c>
      <c r="L1849" s="16">
        <f>IF(COUNTIFS(Release_Calendar!$A$2:$A$755,"US_NFP",Release_Calendar!$B$2:$B$755,$A1849)&gt;0,1,0)</f>
        <v>0</v>
      </c>
      <c r="M1849" s="16" t="str">
        <f>IF($A1849&lt;Notes!$B$5,"",IF(COUNTIFS(Release_Calendar!$A$2:$A$755,"NZ_CPI",Release_Calendar!$B$2:$B$755,$A1849)&gt;0,1,0))</f>
        <v/>
      </c>
      <c r="N1849" s="16" t="str">
        <f>IF($A1849&lt;Notes!$B$5,"",IF(COUNTIFS(Release_Calendar!$A$2:$A$755,"NZ_GDP",Release_Calendar!$B$2:$B$755,$A1849)&gt;0,1,0))</f>
        <v/>
      </c>
      <c r="O1849" s="16" t="str">
        <f>IF($A1849&lt;Notes!$B$5,"",IF(COUNTIFS(Release_Calendar!$A$2:$A$755,"NZ_LABOUR",Release_Calendar!$B$2:$B$755,$A1849)&gt;0,1,0))</f>
        <v/>
      </c>
      <c r="P1849" s="16">
        <f t="shared" si="4"/>
        <v>0</v>
      </c>
    </row>
    <row r="1850" ht="15.75" customHeight="1">
      <c r="A1850" s="14">
        <v>39114.0</v>
      </c>
      <c r="B1850" s="15">
        <v>4.96</v>
      </c>
      <c r="C1850" s="15"/>
      <c r="D1850" s="15">
        <v>6.56</v>
      </c>
      <c r="E1850" s="15"/>
      <c r="F1850" s="15" t="str">
        <f t="shared" si="1"/>
        <v/>
      </c>
      <c r="G1850" s="15">
        <f t="shared" si="2"/>
        <v>6.56</v>
      </c>
      <c r="H1850" s="16">
        <v>1.0</v>
      </c>
      <c r="I1850" s="15">
        <f t="shared" si="3"/>
        <v>1.6</v>
      </c>
      <c r="J1850" s="15">
        <v>10.31</v>
      </c>
      <c r="K1850" s="16">
        <f>IF(COUNTIFS(Release_Calendar!$A$2:$A$755,"US_CPI",Release_Calendar!$B$2:$B$755,$A1850)&gt;0,1,0)</f>
        <v>0</v>
      </c>
      <c r="L1850" s="16">
        <f>IF(COUNTIFS(Release_Calendar!$A$2:$A$755,"US_NFP",Release_Calendar!$B$2:$B$755,$A1850)&gt;0,1,0)</f>
        <v>0</v>
      </c>
      <c r="M1850" s="16" t="str">
        <f>IF($A1850&lt;Notes!$B$5,"",IF(COUNTIFS(Release_Calendar!$A$2:$A$755,"NZ_CPI",Release_Calendar!$B$2:$B$755,$A1850)&gt;0,1,0))</f>
        <v/>
      </c>
      <c r="N1850" s="16" t="str">
        <f>IF($A1850&lt;Notes!$B$5,"",IF(COUNTIFS(Release_Calendar!$A$2:$A$755,"NZ_GDP",Release_Calendar!$B$2:$B$755,$A1850)&gt;0,1,0))</f>
        <v/>
      </c>
      <c r="O1850" s="16" t="str">
        <f>IF($A1850&lt;Notes!$B$5,"",IF(COUNTIFS(Release_Calendar!$A$2:$A$755,"NZ_LABOUR",Release_Calendar!$B$2:$B$755,$A1850)&gt;0,1,0))</f>
        <v/>
      </c>
      <c r="P1850" s="16">
        <f t="shared" si="4"/>
        <v>0</v>
      </c>
    </row>
    <row r="1851" ht="15.75" customHeight="1">
      <c r="A1851" s="14">
        <v>39115.0</v>
      </c>
      <c r="B1851" s="15">
        <v>4.94</v>
      </c>
      <c r="C1851" s="15"/>
      <c r="D1851" s="15">
        <v>6.55</v>
      </c>
      <c r="E1851" s="15"/>
      <c r="F1851" s="15" t="str">
        <f t="shared" si="1"/>
        <v/>
      </c>
      <c r="G1851" s="15">
        <f t="shared" si="2"/>
        <v>6.55</v>
      </c>
      <c r="H1851" s="16">
        <v>1.0</v>
      </c>
      <c r="I1851" s="15">
        <f t="shared" si="3"/>
        <v>1.61</v>
      </c>
      <c r="J1851" s="15">
        <v>10.08</v>
      </c>
      <c r="K1851" s="16">
        <f>IF(COUNTIFS(Release_Calendar!$A$2:$A$755,"US_CPI",Release_Calendar!$B$2:$B$755,$A1851)&gt;0,1,0)</f>
        <v>0</v>
      </c>
      <c r="L1851" s="16">
        <f>IF(COUNTIFS(Release_Calendar!$A$2:$A$755,"US_NFP",Release_Calendar!$B$2:$B$755,$A1851)&gt;0,1,0)</f>
        <v>1</v>
      </c>
      <c r="M1851" s="16" t="str">
        <f>IF($A1851&lt;Notes!$B$5,"",IF(COUNTIFS(Release_Calendar!$A$2:$A$755,"NZ_CPI",Release_Calendar!$B$2:$B$755,$A1851)&gt;0,1,0))</f>
        <v/>
      </c>
      <c r="N1851" s="16" t="str">
        <f>IF($A1851&lt;Notes!$B$5,"",IF(COUNTIFS(Release_Calendar!$A$2:$A$755,"NZ_GDP",Release_Calendar!$B$2:$B$755,$A1851)&gt;0,1,0))</f>
        <v/>
      </c>
      <c r="O1851" s="16" t="str">
        <f>IF($A1851&lt;Notes!$B$5,"",IF(COUNTIFS(Release_Calendar!$A$2:$A$755,"NZ_LABOUR",Release_Calendar!$B$2:$B$755,$A1851)&gt;0,1,0))</f>
        <v/>
      </c>
      <c r="P1851" s="16">
        <f t="shared" si="4"/>
        <v>1</v>
      </c>
    </row>
    <row r="1852" ht="15.75" customHeight="1">
      <c r="A1852" s="14">
        <v>39118.0</v>
      </c>
      <c r="B1852" s="15">
        <v>4.92</v>
      </c>
      <c r="C1852" s="15"/>
      <c r="D1852" s="15">
        <v>6.59</v>
      </c>
      <c r="E1852" s="15"/>
      <c r="F1852" s="15" t="str">
        <f t="shared" si="1"/>
        <v/>
      </c>
      <c r="G1852" s="15">
        <f t="shared" si="2"/>
        <v>6.59</v>
      </c>
      <c r="H1852" s="16">
        <v>1.0</v>
      </c>
      <c r="I1852" s="15">
        <f t="shared" si="3"/>
        <v>1.67</v>
      </c>
      <c r="J1852" s="15">
        <v>10.55</v>
      </c>
      <c r="K1852" s="16">
        <f>IF(COUNTIFS(Release_Calendar!$A$2:$A$755,"US_CPI",Release_Calendar!$B$2:$B$755,$A1852)&gt;0,1,0)</f>
        <v>0</v>
      </c>
      <c r="L1852" s="16">
        <f>IF(COUNTIFS(Release_Calendar!$A$2:$A$755,"US_NFP",Release_Calendar!$B$2:$B$755,$A1852)&gt;0,1,0)</f>
        <v>0</v>
      </c>
      <c r="M1852" s="16" t="str">
        <f>IF($A1852&lt;Notes!$B$5,"",IF(COUNTIFS(Release_Calendar!$A$2:$A$755,"NZ_CPI",Release_Calendar!$B$2:$B$755,$A1852)&gt;0,1,0))</f>
        <v/>
      </c>
      <c r="N1852" s="16" t="str">
        <f>IF($A1852&lt;Notes!$B$5,"",IF(COUNTIFS(Release_Calendar!$A$2:$A$755,"NZ_GDP",Release_Calendar!$B$2:$B$755,$A1852)&gt;0,1,0))</f>
        <v/>
      </c>
      <c r="O1852" s="16" t="str">
        <f>IF($A1852&lt;Notes!$B$5,"",IF(COUNTIFS(Release_Calendar!$A$2:$A$755,"NZ_LABOUR",Release_Calendar!$B$2:$B$755,$A1852)&gt;0,1,0))</f>
        <v/>
      </c>
      <c r="P1852" s="16">
        <f t="shared" si="4"/>
        <v>0</v>
      </c>
    </row>
    <row r="1853" ht="15.75" customHeight="1">
      <c r="A1853" s="14">
        <v>39119.0</v>
      </c>
      <c r="B1853" s="15">
        <v>4.9</v>
      </c>
      <c r="C1853" s="15"/>
      <c r="D1853" s="15"/>
      <c r="E1853" s="15"/>
      <c r="F1853" s="15" t="str">
        <f t="shared" si="1"/>
        <v/>
      </c>
      <c r="G1853" s="15" t="str">
        <f t="shared" si="2"/>
        <v/>
      </c>
      <c r="H1853" s="16">
        <v>1.0</v>
      </c>
      <c r="I1853" s="15" t="str">
        <f t="shared" si="3"/>
        <v/>
      </c>
      <c r="J1853" s="15">
        <v>10.65</v>
      </c>
      <c r="K1853" s="16">
        <f>IF(COUNTIFS(Release_Calendar!$A$2:$A$755,"US_CPI",Release_Calendar!$B$2:$B$755,$A1853)&gt;0,1,0)</f>
        <v>0</v>
      </c>
      <c r="L1853" s="16">
        <f>IF(COUNTIFS(Release_Calendar!$A$2:$A$755,"US_NFP",Release_Calendar!$B$2:$B$755,$A1853)&gt;0,1,0)</f>
        <v>0</v>
      </c>
      <c r="M1853" s="16" t="str">
        <f>IF($A1853&lt;Notes!$B$5,"",IF(COUNTIFS(Release_Calendar!$A$2:$A$755,"NZ_CPI",Release_Calendar!$B$2:$B$755,$A1853)&gt;0,1,0))</f>
        <v/>
      </c>
      <c r="N1853" s="16" t="str">
        <f>IF($A1853&lt;Notes!$B$5,"",IF(COUNTIFS(Release_Calendar!$A$2:$A$755,"NZ_GDP",Release_Calendar!$B$2:$B$755,$A1853)&gt;0,1,0))</f>
        <v/>
      </c>
      <c r="O1853" s="16" t="str">
        <f>IF($A1853&lt;Notes!$B$5,"",IF(COUNTIFS(Release_Calendar!$A$2:$A$755,"NZ_LABOUR",Release_Calendar!$B$2:$B$755,$A1853)&gt;0,1,0))</f>
        <v/>
      </c>
      <c r="P1853" s="16">
        <f t="shared" si="4"/>
        <v>0</v>
      </c>
    </row>
    <row r="1854" ht="15.75" customHeight="1">
      <c r="A1854" s="14">
        <v>39120.0</v>
      </c>
      <c r="B1854" s="15">
        <v>4.87</v>
      </c>
      <c r="C1854" s="15"/>
      <c r="D1854" s="15">
        <v>6.57</v>
      </c>
      <c r="E1854" s="15"/>
      <c r="F1854" s="15" t="str">
        <f t="shared" si="1"/>
        <v/>
      </c>
      <c r="G1854" s="15">
        <f t="shared" si="2"/>
        <v>6.57</v>
      </c>
      <c r="H1854" s="16">
        <v>1.0</v>
      </c>
      <c r="I1854" s="15">
        <f t="shared" si="3"/>
        <v>1.7</v>
      </c>
      <c r="J1854" s="15">
        <v>10.32</v>
      </c>
      <c r="K1854" s="16">
        <f>IF(COUNTIFS(Release_Calendar!$A$2:$A$755,"US_CPI",Release_Calendar!$B$2:$B$755,$A1854)&gt;0,1,0)</f>
        <v>0</v>
      </c>
      <c r="L1854" s="16">
        <f>IF(COUNTIFS(Release_Calendar!$A$2:$A$755,"US_NFP",Release_Calendar!$B$2:$B$755,$A1854)&gt;0,1,0)</f>
        <v>0</v>
      </c>
      <c r="M1854" s="16" t="str">
        <f>IF($A1854&lt;Notes!$B$5,"",IF(COUNTIFS(Release_Calendar!$A$2:$A$755,"NZ_CPI",Release_Calendar!$B$2:$B$755,$A1854)&gt;0,1,0))</f>
        <v/>
      </c>
      <c r="N1854" s="16" t="str">
        <f>IF($A1854&lt;Notes!$B$5,"",IF(COUNTIFS(Release_Calendar!$A$2:$A$755,"NZ_GDP",Release_Calendar!$B$2:$B$755,$A1854)&gt;0,1,0))</f>
        <v/>
      </c>
      <c r="O1854" s="16" t="str">
        <f>IF($A1854&lt;Notes!$B$5,"",IF(COUNTIFS(Release_Calendar!$A$2:$A$755,"NZ_LABOUR",Release_Calendar!$B$2:$B$755,$A1854)&gt;0,1,0))</f>
        <v/>
      </c>
      <c r="P1854" s="16">
        <f t="shared" si="4"/>
        <v>0</v>
      </c>
    </row>
    <row r="1855" ht="15.75" customHeight="1">
      <c r="A1855" s="14">
        <v>39121.0</v>
      </c>
      <c r="B1855" s="15">
        <v>4.87</v>
      </c>
      <c r="C1855" s="15"/>
      <c r="D1855" s="15">
        <v>6.57</v>
      </c>
      <c r="E1855" s="15"/>
      <c r="F1855" s="15" t="str">
        <f t="shared" si="1"/>
        <v/>
      </c>
      <c r="G1855" s="15">
        <f t="shared" si="2"/>
        <v>6.57</v>
      </c>
      <c r="H1855" s="16">
        <v>1.0</v>
      </c>
      <c r="I1855" s="15">
        <f t="shared" si="3"/>
        <v>1.7</v>
      </c>
      <c r="J1855" s="15">
        <v>10.44</v>
      </c>
      <c r="K1855" s="16">
        <f>IF(COUNTIFS(Release_Calendar!$A$2:$A$755,"US_CPI",Release_Calendar!$B$2:$B$755,$A1855)&gt;0,1,0)</f>
        <v>0</v>
      </c>
      <c r="L1855" s="16">
        <f>IF(COUNTIFS(Release_Calendar!$A$2:$A$755,"US_NFP",Release_Calendar!$B$2:$B$755,$A1855)&gt;0,1,0)</f>
        <v>0</v>
      </c>
      <c r="M1855" s="16" t="str">
        <f>IF($A1855&lt;Notes!$B$5,"",IF(COUNTIFS(Release_Calendar!$A$2:$A$755,"NZ_CPI",Release_Calendar!$B$2:$B$755,$A1855)&gt;0,1,0))</f>
        <v/>
      </c>
      <c r="N1855" s="16" t="str">
        <f>IF($A1855&lt;Notes!$B$5,"",IF(COUNTIFS(Release_Calendar!$A$2:$A$755,"NZ_GDP",Release_Calendar!$B$2:$B$755,$A1855)&gt;0,1,0))</f>
        <v/>
      </c>
      <c r="O1855" s="16" t="str">
        <f>IF($A1855&lt;Notes!$B$5,"",IF(COUNTIFS(Release_Calendar!$A$2:$A$755,"NZ_LABOUR",Release_Calendar!$B$2:$B$755,$A1855)&gt;0,1,0))</f>
        <v/>
      </c>
      <c r="P1855" s="16">
        <f t="shared" si="4"/>
        <v>0</v>
      </c>
    </row>
    <row r="1856" ht="15.75" customHeight="1">
      <c r="A1856" s="14">
        <v>39122.0</v>
      </c>
      <c r="B1856" s="15">
        <v>4.92</v>
      </c>
      <c r="C1856" s="15"/>
      <c r="D1856" s="15">
        <v>6.56</v>
      </c>
      <c r="E1856" s="15"/>
      <c r="F1856" s="15" t="str">
        <f t="shared" si="1"/>
        <v/>
      </c>
      <c r="G1856" s="15">
        <f t="shared" si="2"/>
        <v>6.56</v>
      </c>
      <c r="H1856" s="16">
        <v>1.0</v>
      </c>
      <c r="I1856" s="15">
        <f t="shared" si="3"/>
        <v>1.64</v>
      </c>
      <c r="J1856" s="15">
        <v>11.1</v>
      </c>
      <c r="K1856" s="16">
        <f>IF(COUNTIFS(Release_Calendar!$A$2:$A$755,"US_CPI",Release_Calendar!$B$2:$B$755,$A1856)&gt;0,1,0)</f>
        <v>0</v>
      </c>
      <c r="L1856" s="16">
        <f>IF(COUNTIFS(Release_Calendar!$A$2:$A$755,"US_NFP",Release_Calendar!$B$2:$B$755,$A1856)&gt;0,1,0)</f>
        <v>0</v>
      </c>
      <c r="M1856" s="16" t="str">
        <f>IF($A1856&lt;Notes!$B$5,"",IF(COUNTIFS(Release_Calendar!$A$2:$A$755,"NZ_CPI",Release_Calendar!$B$2:$B$755,$A1856)&gt;0,1,0))</f>
        <v/>
      </c>
      <c r="N1856" s="16" t="str">
        <f>IF($A1856&lt;Notes!$B$5,"",IF(COUNTIFS(Release_Calendar!$A$2:$A$755,"NZ_GDP",Release_Calendar!$B$2:$B$755,$A1856)&gt;0,1,0))</f>
        <v/>
      </c>
      <c r="O1856" s="16" t="str">
        <f>IF($A1856&lt;Notes!$B$5,"",IF(COUNTIFS(Release_Calendar!$A$2:$A$755,"NZ_LABOUR",Release_Calendar!$B$2:$B$755,$A1856)&gt;0,1,0))</f>
        <v/>
      </c>
      <c r="P1856" s="16">
        <f t="shared" si="4"/>
        <v>0</v>
      </c>
    </row>
    <row r="1857" ht="15.75" customHeight="1">
      <c r="A1857" s="14">
        <v>39125.0</v>
      </c>
      <c r="B1857" s="15">
        <v>4.94</v>
      </c>
      <c r="C1857" s="15"/>
      <c r="D1857" s="15">
        <v>6.58</v>
      </c>
      <c r="E1857" s="15"/>
      <c r="F1857" s="15" t="str">
        <f t="shared" si="1"/>
        <v/>
      </c>
      <c r="G1857" s="15">
        <f t="shared" si="2"/>
        <v>6.58</v>
      </c>
      <c r="H1857" s="16">
        <v>1.0</v>
      </c>
      <c r="I1857" s="15">
        <f t="shared" si="3"/>
        <v>1.64</v>
      </c>
      <c r="J1857" s="15">
        <v>11.61</v>
      </c>
      <c r="K1857" s="16">
        <f>IF(COUNTIFS(Release_Calendar!$A$2:$A$755,"US_CPI",Release_Calendar!$B$2:$B$755,$A1857)&gt;0,1,0)</f>
        <v>0</v>
      </c>
      <c r="L1857" s="16">
        <f>IF(COUNTIFS(Release_Calendar!$A$2:$A$755,"US_NFP",Release_Calendar!$B$2:$B$755,$A1857)&gt;0,1,0)</f>
        <v>0</v>
      </c>
      <c r="M1857" s="16" t="str">
        <f>IF($A1857&lt;Notes!$B$5,"",IF(COUNTIFS(Release_Calendar!$A$2:$A$755,"NZ_CPI",Release_Calendar!$B$2:$B$755,$A1857)&gt;0,1,0))</f>
        <v/>
      </c>
      <c r="N1857" s="16" t="str">
        <f>IF($A1857&lt;Notes!$B$5,"",IF(COUNTIFS(Release_Calendar!$A$2:$A$755,"NZ_GDP",Release_Calendar!$B$2:$B$755,$A1857)&gt;0,1,0))</f>
        <v/>
      </c>
      <c r="O1857" s="16" t="str">
        <f>IF($A1857&lt;Notes!$B$5,"",IF(COUNTIFS(Release_Calendar!$A$2:$A$755,"NZ_LABOUR",Release_Calendar!$B$2:$B$755,$A1857)&gt;0,1,0))</f>
        <v/>
      </c>
      <c r="P1857" s="16">
        <f t="shared" si="4"/>
        <v>0</v>
      </c>
    </row>
    <row r="1858" ht="15.75" customHeight="1">
      <c r="A1858" s="14">
        <v>39126.0</v>
      </c>
      <c r="B1858" s="15">
        <v>4.95</v>
      </c>
      <c r="C1858" s="15"/>
      <c r="D1858" s="15">
        <v>6.59</v>
      </c>
      <c r="E1858" s="15"/>
      <c r="F1858" s="15" t="str">
        <f t="shared" si="1"/>
        <v/>
      </c>
      <c r="G1858" s="15">
        <f t="shared" si="2"/>
        <v>6.59</v>
      </c>
      <c r="H1858" s="16">
        <v>1.0</v>
      </c>
      <c r="I1858" s="15">
        <f t="shared" si="3"/>
        <v>1.64</v>
      </c>
      <c r="J1858" s="15">
        <v>10.34</v>
      </c>
      <c r="K1858" s="16">
        <f>IF(COUNTIFS(Release_Calendar!$A$2:$A$755,"US_CPI",Release_Calendar!$B$2:$B$755,$A1858)&gt;0,1,0)</f>
        <v>0</v>
      </c>
      <c r="L1858" s="16">
        <f>IF(COUNTIFS(Release_Calendar!$A$2:$A$755,"US_NFP",Release_Calendar!$B$2:$B$755,$A1858)&gt;0,1,0)</f>
        <v>0</v>
      </c>
      <c r="M1858" s="16" t="str">
        <f>IF($A1858&lt;Notes!$B$5,"",IF(COUNTIFS(Release_Calendar!$A$2:$A$755,"NZ_CPI",Release_Calendar!$B$2:$B$755,$A1858)&gt;0,1,0))</f>
        <v/>
      </c>
      <c r="N1858" s="16" t="str">
        <f>IF($A1858&lt;Notes!$B$5,"",IF(COUNTIFS(Release_Calendar!$A$2:$A$755,"NZ_GDP",Release_Calendar!$B$2:$B$755,$A1858)&gt;0,1,0))</f>
        <v/>
      </c>
      <c r="O1858" s="16" t="str">
        <f>IF($A1858&lt;Notes!$B$5,"",IF(COUNTIFS(Release_Calendar!$A$2:$A$755,"NZ_LABOUR",Release_Calendar!$B$2:$B$755,$A1858)&gt;0,1,0))</f>
        <v/>
      </c>
      <c r="P1858" s="16">
        <f t="shared" si="4"/>
        <v>0</v>
      </c>
    </row>
    <row r="1859" ht="15.75" customHeight="1">
      <c r="A1859" s="14">
        <v>39127.0</v>
      </c>
      <c r="B1859" s="15">
        <v>4.87</v>
      </c>
      <c r="C1859" s="15"/>
      <c r="D1859" s="15">
        <v>6.6</v>
      </c>
      <c r="E1859" s="15"/>
      <c r="F1859" s="15" t="str">
        <f t="shared" si="1"/>
        <v/>
      </c>
      <c r="G1859" s="15">
        <f t="shared" si="2"/>
        <v>6.6</v>
      </c>
      <c r="H1859" s="16">
        <v>1.0</v>
      </c>
      <c r="I1859" s="15">
        <f t="shared" si="3"/>
        <v>1.73</v>
      </c>
      <c r="J1859" s="15">
        <v>10.23</v>
      </c>
      <c r="K1859" s="16">
        <f>IF(COUNTIFS(Release_Calendar!$A$2:$A$755,"US_CPI",Release_Calendar!$B$2:$B$755,$A1859)&gt;0,1,0)</f>
        <v>0</v>
      </c>
      <c r="L1859" s="16">
        <f>IF(COUNTIFS(Release_Calendar!$A$2:$A$755,"US_NFP",Release_Calendar!$B$2:$B$755,$A1859)&gt;0,1,0)</f>
        <v>0</v>
      </c>
      <c r="M1859" s="16" t="str">
        <f>IF($A1859&lt;Notes!$B$5,"",IF(COUNTIFS(Release_Calendar!$A$2:$A$755,"NZ_CPI",Release_Calendar!$B$2:$B$755,$A1859)&gt;0,1,0))</f>
        <v/>
      </c>
      <c r="N1859" s="16" t="str">
        <f>IF($A1859&lt;Notes!$B$5,"",IF(COUNTIFS(Release_Calendar!$A$2:$A$755,"NZ_GDP",Release_Calendar!$B$2:$B$755,$A1859)&gt;0,1,0))</f>
        <v/>
      </c>
      <c r="O1859" s="16" t="str">
        <f>IF($A1859&lt;Notes!$B$5,"",IF(COUNTIFS(Release_Calendar!$A$2:$A$755,"NZ_LABOUR",Release_Calendar!$B$2:$B$755,$A1859)&gt;0,1,0))</f>
        <v/>
      </c>
      <c r="P1859" s="16">
        <f t="shared" si="4"/>
        <v>0</v>
      </c>
    </row>
    <row r="1860" ht="15.75" customHeight="1">
      <c r="A1860" s="14">
        <v>39128.0</v>
      </c>
      <c r="B1860" s="15">
        <v>4.83</v>
      </c>
      <c r="C1860" s="15"/>
      <c r="D1860" s="15">
        <v>6.59</v>
      </c>
      <c r="E1860" s="15"/>
      <c r="F1860" s="15" t="str">
        <f t="shared" si="1"/>
        <v/>
      </c>
      <c r="G1860" s="15">
        <f t="shared" si="2"/>
        <v>6.59</v>
      </c>
      <c r="H1860" s="16">
        <v>1.0</v>
      </c>
      <c r="I1860" s="15">
        <f t="shared" si="3"/>
        <v>1.76</v>
      </c>
      <c r="J1860" s="15">
        <v>10.22</v>
      </c>
      <c r="K1860" s="16">
        <f>IF(COUNTIFS(Release_Calendar!$A$2:$A$755,"US_CPI",Release_Calendar!$B$2:$B$755,$A1860)&gt;0,1,0)</f>
        <v>0</v>
      </c>
      <c r="L1860" s="16">
        <f>IF(COUNTIFS(Release_Calendar!$A$2:$A$755,"US_NFP",Release_Calendar!$B$2:$B$755,$A1860)&gt;0,1,0)</f>
        <v>0</v>
      </c>
      <c r="M1860" s="16" t="str">
        <f>IF($A1860&lt;Notes!$B$5,"",IF(COUNTIFS(Release_Calendar!$A$2:$A$755,"NZ_CPI",Release_Calendar!$B$2:$B$755,$A1860)&gt;0,1,0))</f>
        <v/>
      </c>
      <c r="N1860" s="16" t="str">
        <f>IF($A1860&lt;Notes!$B$5,"",IF(COUNTIFS(Release_Calendar!$A$2:$A$755,"NZ_GDP",Release_Calendar!$B$2:$B$755,$A1860)&gt;0,1,0))</f>
        <v/>
      </c>
      <c r="O1860" s="16" t="str">
        <f>IF($A1860&lt;Notes!$B$5,"",IF(COUNTIFS(Release_Calendar!$A$2:$A$755,"NZ_LABOUR",Release_Calendar!$B$2:$B$755,$A1860)&gt;0,1,0))</f>
        <v/>
      </c>
      <c r="P1860" s="16">
        <f t="shared" si="4"/>
        <v>0</v>
      </c>
    </row>
    <row r="1861" ht="15.75" customHeight="1">
      <c r="A1861" s="14">
        <v>39129.0</v>
      </c>
      <c r="B1861" s="15">
        <v>4.83</v>
      </c>
      <c r="C1861" s="15"/>
      <c r="D1861" s="15">
        <v>6.57</v>
      </c>
      <c r="E1861" s="15"/>
      <c r="F1861" s="15" t="str">
        <f t="shared" si="1"/>
        <v/>
      </c>
      <c r="G1861" s="15">
        <f t="shared" si="2"/>
        <v>6.57</v>
      </c>
      <c r="H1861" s="16">
        <v>1.0</v>
      </c>
      <c r="I1861" s="15">
        <f t="shared" si="3"/>
        <v>1.74</v>
      </c>
      <c r="J1861" s="15">
        <v>10.02</v>
      </c>
      <c r="K1861" s="16">
        <f>IF(COUNTIFS(Release_Calendar!$A$2:$A$755,"US_CPI",Release_Calendar!$B$2:$B$755,$A1861)&gt;0,1,0)</f>
        <v>0</v>
      </c>
      <c r="L1861" s="16">
        <f>IF(COUNTIFS(Release_Calendar!$A$2:$A$755,"US_NFP",Release_Calendar!$B$2:$B$755,$A1861)&gt;0,1,0)</f>
        <v>0</v>
      </c>
      <c r="M1861" s="16" t="str">
        <f>IF($A1861&lt;Notes!$B$5,"",IF(COUNTIFS(Release_Calendar!$A$2:$A$755,"NZ_CPI",Release_Calendar!$B$2:$B$755,$A1861)&gt;0,1,0))</f>
        <v/>
      </c>
      <c r="N1861" s="16" t="str">
        <f>IF($A1861&lt;Notes!$B$5,"",IF(COUNTIFS(Release_Calendar!$A$2:$A$755,"NZ_GDP",Release_Calendar!$B$2:$B$755,$A1861)&gt;0,1,0))</f>
        <v/>
      </c>
      <c r="O1861" s="16" t="str">
        <f>IF($A1861&lt;Notes!$B$5,"",IF(COUNTIFS(Release_Calendar!$A$2:$A$755,"NZ_LABOUR",Release_Calendar!$B$2:$B$755,$A1861)&gt;0,1,0))</f>
        <v/>
      </c>
      <c r="P1861" s="16">
        <f t="shared" si="4"/>
        <v>0</v>
      </c>
    </row>
    <row r="1862" ht="15.75" customHeight="1">
      <c r="A1862" s="14">
        <v>39132.0</v>
      </c>
      <c r="B1862" s="15"/>
      <c r="C1862" s="15"/>
      <c r="D1862" s="15">
        <v>6.57</v>
      </c>
      <c r="E1862" s="15"/>
      <c r="F1862" s="15" t="str">
        <f t="shared" si="1"/>
        <v/>
      </c>
      <c r="G1862" s="15">
        <f t="shared" si="2"/>
        <v>6.57</v>
      </c>
      <c r="H1862" s="16">
        <v>1.0</v>
      </c>
      <c r="I1862" s="15" t="str">
        <f t="shared" si="3"/>
        <v/>
      </c>
      <c r="J1862" s="15"/>
      <c r="K1862" s="16">
        <f>IF(COUNTIFS(Release_Calendar!$A$2:$A$755,"US_CPI",Release_Calendar!$B$2:$B$755,$A1862)&gt;0,1,0)</f>
        <v>0</v>
      </c>
      <c r="L1862" s="16">
        <f>IF(COUNTIFS(Release_Calendar!$A$2:$A$755,"US_NFP",Release_Calendar!$B$2:$B$755,$A1862)&gt;0,1,0)</f>
        <v>0</v>
      </c>
      <c r="M1862" s="16" t="str">
        <f>IF($A1862&lt;Notes!$B$5,"",IF(COUNTIFS(Release_Calendar!$A$2:$A$755,"NZ_CPI",Release_Calendar!$B$2:$B$755,$A1862)&gt;0,1,0))</f>
        <v/>
      </c>
      <c r="N1862" s="16" t="str">
        <f>IF($A1862&lt;Notes!$B$5,"",IF(COUNTIFS(Release_Calendar!$A$2:$A$755,"NZ_GDP",Release_Calendar!$B$2:$B$755,$A1862)&gt;0,1,0))</f>
        <v/>
      </c>
      <c r="O1862" s="16" t="str">
        <f>IF($A1862&lt;Notes!$B$5,"",IF(COUNTIFS(Release_Calendar!$A$2:$A$755,"NZ_LABOUR",Release_Calendar!$B$2:$B$755,$A1862)&gt;0,1,0))</f>
        <v/>
      </c>
      <c r="P1862" s="16">
        <f t="shared" si="4"/>
        <v>0</v>
      </c>
    </row>
    <row r="1863" ht="15.75" customHeight="1">
      <c r="A1863" s="14">
        <v>39133.0</v>
      </c>
      <c r="B1863" s="15">
        <v>4.81</v>
      </c>
      <c r="C1863" s="15"/>
      <c r="D1863" s="15">
        <v>6.58</v>
      </c>
      <c r="E1863" s="15"/>
      <c r="F1863" s="15" t="str">
        <f t="shared" si="1"/>
        <v/>
      </c>
      <c r="G1863" s="15">
        <f t="shared" si="2"/>
        <v>6.58</v>
      </c>
      <c r="H1863" s="16">
        <v>1.0</v>
      </c>
      <c r="I1863" s="15">
        <f t="shared" si="3"/>
        <v>1.77</v>
      </c>
      <c r="J1863" s="15">
        <v>10.24</v>
      </c>
      <c r="K1863" s="16">
        <f>IF(COUNTIFS(Release_Calendar!$A$2:$A$755,"US_CPI",Release_Calendar!$B$2:$B$755,$A1863)&gt;0,1,0)</f>
        <v>0</v>
      </c>
      <c r="L1863" s="16">
        <f>IF(COUNTIFS(Release_Calendar!$A$2:$A$755,"US_NFP",Release_Calendar!$B$2:$B$755,$A1863)&gt;0,1,0)</f>
        <v>0</v>
      </c>
      <c r="M1863" s="16" t="str">
        <f>IF($A1863&lt;Notes!$B$5,"",IF(COUNTIFS(Release_Calendar!$A$2:$A$755,"NZ_CPI",Release_Calendar!$B$2:$B$755,$A1863)&gt;0,1,0))</f>
        <v/>
      </c>
      <c r="N1863" s="16" t="str">
        <f>IF($A1863&lt;Notes!$B$5,"",IF(COUNTIFS(Release_Calendar!$A$2:$A$755,"NZ_GDP",Release_Calendar!$B$2:$B$755,$A1863)&gt;0,1,0))</f>
        <v/>
      </c>
      <c r="O1863" s="16" t="str">
        <f>IF($A1863&lt;Notes!$B$5,"",IF(COUNTIFS(Release_Calendar!$A$2:$A$755,"NZ_LABOUR",Release_Calendar!$B$2:$B$755,$A1863)&gt;0,1,0))</f>
        <v/>
      </c>
      <c r="P1863" s="16">
        <f t="shared" si="4"/>
        <v>0</v>
      </c>
    </row>
    <row r="1864" ht="15.75" customHeight="1">
      <c r="A1864" s="14">
        <v>39134.0</v>
      </c>
      <c r="B1864" s="15">
        <v>4.82</v>
      </c>
      <c r="C1864" s="15"/>
      <c r="D1864" s="15">
        <v>6.59</v>
      </c>
      <c r="E1864" s="15"/>
      <c r="F1864" s="15" t="str">
        <f t="shared" si="1"/>
        <v/>
      </c>
      <c r="G1864" s="15">
        <f t="shared" si="2"/>
        <v>6.59</v>
      </c>
      <c r="H1864" s="16">
        <v>1.0</v>
      </c>
      <c r="I1864" s="15">
        <f t="shared" si="3"/>
        <v>1.77</v>
      </c>
      <c r="J1864" s="15">
        <v>10.2</v>
      </c>
      <c r="K1864" s="16">
        <f>IF(COUNTIFS(Release_Calendar!$A$2:$A$755,"US_CPI",Release_Calendar!$B$2:$B$755,$A1864)&gt;0,1,0)</f>
        <v>1</v>
      </c>
      <c r="L1864" s="16">
        <f>IF(COUNTIFS(Release_Calendar!$A$2:$A$755,"US_NFP",Release_Calendar!$B$2:$B$755,$A1864)&gt;0,1,0)</f>
        <v>0</v>
      </c>
      <c r="M1864" s="16" t="str">
        <f>IF($A1864&lt;Notes!$B$5,"",IF(COUNTIFS(Release_Calendar!$A$2:$A$755,"NZ_CPI",Release_Calendar!$B$2:$B$755,$A1864)&gt;0,1,0))</f>
        <v/>
      </c>
      <c r="N1864" s="16" t="str">
        <f>IF($A1864&lt;Notes!$B$5,"",IF(COUNTIFS(Release_Calendar!$A$2:$A$755,"NZ_GDP",Release_Calendar!$B$2:$B$755,$A1864)&gt;0,1,0))</f>
        <v/>
      </c>
      <c r="O1864" s="16" t="str">
        <f>IF($A1864&lt;Notes!$B$5,"",IF(COUNTIFS(Release_Calendar!$A$2:$A$755,"NZ_LABOUR",Release_Calendar!$B$2:$B$755,$A1864)&gt;0,1,0))</f>
        <v/>
      </c>
      <c r="P1864" s="16">
        <f t="shared" si="4"/>
        <v>1</v>
      </c>
    </row>
    <row r="1865" ht="15.75" customHeight="1">
      <c r="A1865" s="14">
        <v>39135.0</v>
      </c>
      <c r="B1865" s="15">
        <v>4.87</v>
      </c>
      <c r="C1865" s="15"/>
      <c r="D1865" s="15">
        <v>6.62</v>
      </c>
      <c r="E1865" s="15"/>
      <c r="F1865" s="15" t="str">
        <f t="shared" si="1"/>
        <v/>
      </c>
      <c r="G1865" s="15">
        <f t="shared" si="2"/>
        <v>6.62</v>
      </c>
      <c r="H1865" s="16">
        <v>1.0</v>
      </c>
      <c r="I1865" s="15">
        <f t="shared" si="3"/>
        <v>1.75</v>
      </c>
      <c r="J1865" s="15">
        <v>10.18</v>
      </c>
      <c r="K1865" s="16">
        <f>IF(COUNTIFS(Release_Calendar!$A$2:$A$755,"US_CPI",Release_Calendar!$B$2:$B$755,$A1865)&gt;0,1,0)</f>
        <v>0</v>
      </c>
      <c r="L1865" s="16">
        <f>IF(COUNTIFS(Release_Calendar!$A$2:$A$755,"US_NFP",Release_Calendar!$B$2:$B$755,$A1865)&gt;0,1,0)</f>
        <v>0</v>
      </c>
      <c r="M1865" s="16" t="str">
        <f>IF($A1865&lt;Notes!$B$5,"",IF(COUNTIFS(Release_Calendar!$A$2:$A$755,"NZ_CPI",Release_Calendar!$B$2:$B$755,$A1865)&gt;0,1,0))</f>
        <v/>
      </c>
      <c r="N1865" s="16" t="str">
        <f>IF($A1865&lt;Notes!$B$5,"",IF(COUNTIFS(Release_Calendar!$A$2:$A$755,"NZ_GDP",Release_Calendar!$B$2:$B$755,$A1865)&gt;0,1,0))</f>
        <v/>
      </c>
      <c r="O1865" s="16" t="str">
        <f>IF($A1865&lt;Notes!$B$5,"",IF(COUNTIFS(Release_Calendar!$A$2:$A$755,"NZ_LABOUR",Release_Calendar!$B$2:$B$755,$A1865)&gt;0,1,0))</f>
        <v/>
      </c>
      <c r="P1865" s="16">
        <f t="shared" si="4"/>
        <v>0</v>
      </c>
    </row>
    <row r="1866" ht="15.75" customHeight="1">
      <c r="A1866" s="14">
        <v>39136.0</v>
      </c>
      <c r="B1866" s="15">
        <v>4.82</v>
      </c>
      <c r="C1866" s="15"/>
      <c r="D1866" s="15">
        <v>6.63</v>
      </c>
      <c r="E1866" s="15"/>
      <c r="F1866" s="15" t="str">
        <f t="shared" si="1"/>
        <v/>
      </c>
      <c r="G1866" s="15">
        <f t="shared" si="2"/>
        <v>6.63</v>
      </c>
      <c r="H1866" s="16">
        <v>1.0</v>
      </c>
      <c r="I1866" s="15">
        <f t="shared" si="3"/>
        <v>1.81</v>
      </c>
      <c r="J1866" s="15">
        <v>10.58</v>
      </c>
      <c r="K1866" s="16">
        <f>IF(COUNTIFS(Release_Calendar!$A$2:$A$755,"US_CPI",Release_Calendar!$B$2:$B$755,$A1866)&gt;0,1,0)</f>
        <v>0</v>
      </c>
      <c r="L1866" s="16">
        <f>IF(COUNTIFS(Release_Calendar!$A$2:$A$755,"US_NFP",Release_Calendar!$B$2:$B$755,$A1866)&gt;0,1,0)</f>
        <v>0</v>
      </c>
      <c r="M1866" s="16" t="str">
        <f>IF($A1866&lt;Notes!$B$5,"",IF(COUNTIFS(Release_Calendar!$A$2:$A$755,"NZ_CPI",Release_Calendar!$B$2:$B$755,$A1866)&gt;0,1,0))</f>
        <v/>
      </c>
      <c r="N1866" s="16" t="str">
        <f>IF($A1866&lt;Notes!$B$5,"",IF(COUNTIFS(Release_Calendar!$A$2:$A$755,"NZ_GDP",Release_Calendar!$B$2:$B$755,$A1866)&gt;0,1,0))</f>
        <v/>
      </c>
      <c r="O1866" s="16" t="str">
        <f>IF($A1866&lt;Notes!$B$5,"",IF(COUNTIFS(Release_Calendar!$A$2:$A$755,"NZ_LABOUR",Release_Calendar!$B$2:$B$755,$A1866)&gt;0,1,0))</f>
        <v/>
      </c>
      <c r="P1866" s="16">
        <f t="shared" si="4"/>
        <v>0</v>
      </c>
    </row>
    <row r="1867" ht="15.75" customHeight="1">
      <c r="A1867" s="14">
        <v>39139.0</v>
      </c>
      <c r="B1867" s="15">
        <v>4.77</v>
      </c>
      <c r="C1867" s="15"/>
      <c r="D1867" s="15">
        <v>6.63</v>
      </c>
      <c r="E1867" s="15"/>
      <c r="F1867" s="15" t="str">
        <f t="shared" si="1"/>
        <v/>
      </c>
      <c r="G1867" s="15">
        <f t="shared" si="2"/>
        <v>6.63</v>
      </c>
      <c r="H1867" s="16">
        <v>1.0</v>
      </c>
      <c r="I1867" s="15">
        <f t="shared" si="3"/>
        <v>1.86</v>
      </c>
      <c r="J1867" s="15">
        <v>11.15</v>
      </c>
      <c r="K1867" s="16">
        <f>IF(COUNTIFS(Release_Calendar!$A$2:$A$755,"US_CPI",Release_Calendar!$B$2:$B$755,$A1867)&gt;0,1,0)</f>
        <v>0</v>
      </c>
      <c r="L1867" s="16">
        <f>IF(COUNTIFS(Release_Calendar!$A$2:$A$755,"US_NFP",Release_Calendar!$B$2:$B$755,$A1867)&gt;0,1,0)</f>
        <v>0</v>
      </c>
      <c r="M1867" s="16" t="str">
        <f>IF($A1867&lt;Notes!$B$5,"",IF(COUNTIFS(Release_Calendar!$A$2:$A$755,"NZ_CPI",Release_Calendar!$B$2:$B$755,$A1867)&gt;0,1,0))</f>
        <v/>
      </c>
      <c r="N1867" s="16" t="str">
        <f>IF($A1867&lt;Notes!$B$5,"",IF(COUNTIFS(Release_Calendar!$A$2:$A$755,"NZ_GDP",Release_Calendar!$B$2:$B$755,$A1867)&gt;0,1,0))</f>
        <v/>
      </c>
      <c r="O1867" s="16" t="str">
        <f>IF($A1867&lt;Notes!$B$5,"",IF(COUNTIFS(Release_Calendar!$A$2:$A$755,"NZ_LABOUR",Release_Calendar!$B$2:$B$755,$A1867)&gt;0,1,0))</f>
        <v/>
      </c>
      <c r="P1867" s="16">
        <f t="shared" si="4"/>
        <v>0</v>
      </c>
    </row>
    <row r="1868" ht="15.75" customHeight="1">
      <c r="A1868" s="14">
        <v>39140.0</v>
      </c>
      <c r="B1868" s="15">
        <v>4.59</v>
      </c>
      <c r="C1868" s="15"/>
      <c r="D1868" s="15">
        <v>6.65</v>
      </c>
      <c r="E1868" s="15"/>
      <c r="F1868" s="15" t="str">
        <f t="shared" si="1"/>
        <v/>
      </c>
      <c r="G1868" s="15">
        <f t="shared" si="2"/>
        <v>6.65</v>
      </c>
      <c r="H1868" s="16">
        <v>1.0</v>
      </c>
      <c r="I1868" s="15">
        <f t="shared" si="3"/>
        <v>2.06</v>
      </c>
      <c r="J1868" s="15">
        <v>18.31</v>
      </c>
      <c r="K1868" s="16">
        <f>IF(COUNTIFS(Release_Calendar!$A$2:$A$755,"US_CPI",Release_Calendar!$B$2:$B$755,$A1868)&gt;0,1,0)</f>
        <v>0</v>
      </c>
      <c r="L1868" s="16">
        <f>IF(COUNTIFS(Release_Calendar!$A$2:$A$755,"US_NFP",Release_Calendar!$B$2:$B$755,$A1868)&gt;0,1,0)</f>
        <v>0</v>
      </c>
      <c r="M1868" s="16" t="str">
        <f>IF($A1868&lt;Notes!$B$5,"",IF(COUNTIFS(Release_Calendar!$A$2:$A$755,"NZ_CPI",Release_Calendar!$B$2:$B$755,$A1868)&gt;0,1,0))</f>
        <v/>
      </c>
      <c r="N1868" s="16" t="str">
        <f>IF($A1868&lt;Notes!$B$5,"",IF(COUNTIFS(Release_Calendar!$A$2:$A$755,"NZ_GDP",Release_Calendar!$B$2:$B$755,$A1868)&gt;0,1,0))</f>
        <v/>
      </c>
      <c r="O1868" s="16" t="str">
        <f>IF($A1868&lt;Notes!$B$5,"",IF(COUNTIFS(Release_Calendar!$A$2:$A$755,"NZ_LABOUR",Release_Calendar!$B$2:$B$755,$A1868)&gt;0,1,0))</f>
        <v/>
      </c>
      <c r="P1868" s="16">
        <f t="shared" si="4"/>
        <v>0</v>
      </c>
    </row>
    <row r="1869" ht="15.75" customHeight="1">
      <c r="A1869" s="14">
        <v>39141.0</v>
      </c>
      <c r="B1869" s="15">
        <v>4.65</v>
      </c>
      <c r="C1869" s="15"/>
      <c r="D1869" s="15">
        <v>6.62</v>
      </c>
      <c r="E1869" s="15"/>
      <c r="F1869" s="15" t="str">
        <f t="shared" si="1"/>
        <v/>
      </c>
      <c r="G1869" s="15">
        <f t="shared" si="2"/>
        <v>6.62</v>
      </c>
      <c r="H1869" s="16">
        <v>1.0</v>
      </c>
      <c r="I1869" s="15">
        <f t="shared" si="3"/>
        <v>1.97</v>
      </c>
      <c r="J1869" s="15">
        <v>15.42</v>
      </c>
      <c r="K1869" s="16">
        <f>IF(COUNTIFS(Release_Calendar!$A$2:$A$755,"US_CPI",Release_Calendar!$B$2:$B$755,$A1869)&gt;0,1,0)</f>
        <v>0</v>
      </c>
      <c r="L1869" s="16">
        <f>IF(COUNTIFS(Release_Calendar!$A$2:$A$755,"US_NFP",Release_Calendar!$B$2:$B$755,$A1869)&gt;0,1,0)</f>
        <v>0</v>
      </c>
      <c r="M1869" s="16" t="str">
        <f>IF($A1869&lt;Notes!$B$5,"",IF(COUNTIFS(Release_Calendar!$A$2:$A$755,"NZ_CPI",Release_Calendar!$B$2:$B$755,$A1869)&gt;0,1,0))</f>
        <v/>
      </c>
      <c r="N1869" s="16" t="str">
        <f>IF($A1869&lt;Notes!$B$5,"",IF(COUNTIFS(Release_Calendar!$A$2:$A$755,"NZ_GDP",Release_Calendar!$B$2:$B$755,$A1869)&gt;0,1,0))</f>
        <v/>
      </c>
      <c r="O1869" s="16" t="str">
        <f>IF($A1869&lt;Notes!$B$5,"",IF(COUNTIFS(Release_Calendar!$A$2:$A$755,"NZ_LABOUR",Release_Calendar!$B$2:$B$755,$A1869)&gt;0,1,0))</f>
        <v/>
      </c>
      <c r="P1869" s="16">
        <f t="shared" si="4"/>
        <v>0</v>
      </c>
    </row>
    <row r="1870" ht="15.75" customHeight="1">
      <c r="A1870" s="14">
        <v>39142.0</v>
      </c>
      <c r="B1870" s="15">
        <v>4.63</v>
      </c>
      <c r="C1870" s="15"/>
      <c r="D1870" s="15">
        <v>6.66</v>
      </c>
      <c r="E1870" s="15"/>
      <c r="F1870" s="15" t="str">
        <f t="shared" si="1"/>
        <v/>
      </c>
      <c r="G1870" s="15">
        <f t="shared" si="2"/>
        <v>6.66</v>
      </c>
      <c r="H1870" s="16">
        <v>1.0</v>
      </c>
      <c r="I1870" s="15">
        <f t="shared" si="3"/>
        <v>2.03</v>
      </c>
      <c r="J1870" s="15">
        <v>15.82</v>
      </c>
      <c r="K1870" s="16">
        <f>IF(COUNTIFS(Release_Calendar!$A$2:$A$755,"US_CPI",Release_Calendar!$B$2:$B$755,$A1870)&gt;0,1,0)</f>
        <v>0</v>
      </c>
      <c r="L1870" s="16">
        <f>IF(COUNTIFS(Release_Calendar!$A$2:$A$755,"US_NFP",Release_Calendar!$B$2:$B$755,$A1870)&gt;0,1,0)</f>
        <v>0</v>
      </c>
      <c r="M1870" s="16" t="str">
        <f>IF($A1870&lt;Notes!$B$5,"",IF(COUNTIFS(Release_Calendar!$A$2:$A$755,"NZ_CPI",Release_Calendar!$B$2:$B$755,$A1870)&gt;0,1,0))</f>
        <v/>
      </c>
      <c r="N1870" s="16" t="str">
        <f>IF($A1870&lt;Notes!$B$5,"",IF(COUNTIFS(Release_Calendar!$A$2:$A$755,"NZ_GDP",Release_Calendar!$B$2:$B$755,$A1870)&gt;0,1,0))</f>
        <v/>
      </c>
      <c r="O1870" s="16" t="str">
        <f>IF($A1870&lt;Notes!$B$5,"",IF(COUNTIFS(Release_Calendar!$A$2:$A$755,"NZ_LABOUR",Release_Calendar!$B$2:$B$755,$A1870)&gt;0,1,0))</f>
        <v/>
      </c>
      <c r="P1870" s="16">
        <f t="shared" si="4"/>
        <v>0</v>
      </c>
    </row>
    <row r="1871" ht="15.75" customHeight="1">
      <c r="A1871" s="14">
        <v>39143.0</v>
      </c>
      <c r="B1871" s="15">
        <v>4.56</v>
      </c>
      <c r="C1871" s="15"/>
      <c r="D1871" s="15">
        <v>6.67</v>
      </c>
      <c r="E1871" s="15"/>
      <c r="F1871" s="15" t="str">
        <f t="shared" si="1"/>
        <v/>
      </c>
      <c r="G1871" s="15">
        <f t="shared" si="2"/>
        <v>6.67</v>
      </c>
      <c r="H1871" s="16">
        <v>1.0</v>
      </c>
      <c r="I1871" s="15">
        <f t="shared" si="3"/>
        <v>2.11</v>
      </c>
      <c r="J1871" s="15">
        <v>18.61</v>
      </c>
      <c r="K1871" s="16">
        <f>IF(COUNTIFS(Release_Calendar!$A$2:$A$755,"US_CPI",Release_Calendar!$B$2:$B$755,$A1871)&gt;0,1,0)</f>
        <v>0</v>
      </c>
      <c r="L1871" s="16">
        <f>IF(COUNTIFS(Release_Calendar!$A$2:$A$755,"US_NFP",Release_Calendar!$B$2:$B$755,$A1871)&gt;0,1,0)</f>
        <v>0</v>
      </c>
      <c r="M1871" s="16" t="str">
        <f>IF($A1871&lt;Notes!$B$5,"",IF(COUNTIFS(Release_Calendar!$A$2:$A$755,"NZ_CPI",Release_Calendar!$B$2:$B$755,$A1871)&gt;0,1,0))</f>
        <v/>
      </c>
      <c r="N1871" s="16" t="str">
        <f>IF($A1871&lt;Notes!$B$5,"",IF(COUNTIFS(Release_Calendar!$A$2:$A$755,"NZ_GDP",Release_Calendar!$B$2:$B$755,$A1871)&gt;0,1,0))</f>
        <v/>
      </c>
      <c r="O1871" s="16" t="str">
        <f>IF($A1871&lt;Notes!$B$5,"",IF(COUNTIFS(Release_Calendar!$A$2:$A$755,"NZ_LABOUR",Release_Calendar!$B$2:$B$755,$A1871)&gt;0,1,0))</f>
        <v/>
      </c>
      <c r="P1871" s="16">
        <f t="shared" si="4"/>
        <v>0</v>
      </c>
    </row>
    <row r="1872" ht="15.75" customHeight="1">
      <c r="A1872" s="14">
        <v>39146.0</v>
      </c>
      <c r="B1872" s="15">
        <v>4.53</v>
      </c>
      <c r="C1872" s="15"/>
      <c r="D1872" s="15">
        <v>6.65</v>
      </c>
      <c r="E1872" s="15"/>
      <c r="F1872" s="15" t="str">
        <f t="shared" si="1"/>
        <v/>
      </c>
      <c r="G1872" s="15">
        <f t="shared" si="2"/>
        <v>6.65</v>
      </c>
      <c r="H1872" s="16">
        <v>1.0</v>
      </c>
      <c r="I1872" s="15">
        <f t="shared" si="3"/>
        <v>2.12</v>
      </c>
      <c r="J1872" s="15">
        <v>19.63</v>
      </c>
      <c r="K1872" s="16">
        <f>IF(COUNTIFS(Release_Calendar!$A$2:$A$755,"US_CPI",Release_Calendar!$B$2:$B$755,$A1872)&gt;0,1,0)</f>
        <v>0</v>
      </c>
      <c r="L1872" s="16">
        <f>IF(COUNTIFS(Release_Calendar!$A$2:$A$755,"US_NFP",Release_Calendar!$B$2:$B$755,$A1872)&gt;0,1,0)</f>
        <v>0</v>
      </c>
      <c r="M1872" s="16" t="str">
        <f>IF($A1872&lt;Notes!$B$5,"",IF(COUNTIFS(Release_Calendar!$A$2:$A$755,"NZ_CPI",Release_Calendar!$B$2:$B$755,$A1872)&gt;0,1,0))</f>
        <v/>
      </c>
      <c r="N1872" s="16" t="str">
        <f>IF($A1872&lt;Notes!$B$5,"",IF(COUNTIFS(Release_Calendar!$A$2:$A$755,"NZ_GDP",Release_Calendar!$B$2:$B$755,$A1872)&gt;0,1,0))</f>
        <v/>
      </c>
      <c r="O1872" s="16" t="str">
        <f>IF($A1872&lt;Notes!$B$5,"",IF(COUNTIFS(Release_Calendar!$A$2:$A$755,"NZ_LABOUR",Release_Calendar!$B$2:$B$755,$A1872)&gt;0,1,0))</f>
        <v/>
      </c>
      <c r="P1872" s="16">
        <f t="shared" si="4"/>
        <v>0</v>
      </c>
    </row>
    <row r="1873" ht="15.75" customHeight="1">
      <c r="A1873" s="14">
        <v>39147.0</v>
      </c>
      <c r="B1873" s="15">
        <v>4.58</v>
      </c>
      <c r="C1873" s="15"/>
      <c r="D1873" s="15">
        <v>6.65</v>
      </c>
      <c r="E1873" s="15"/>
      <c r="F1873" s="15" t="str">
        <f t="shared" si="1"/>
        <v/>
      </c>
      <c r="G1873" s="15">
        <f t="shared" si="2"/>
        <v>6.65</v>
      </c>
      <c r="H1873" s="16">
        <v>1.0</v>
      </c>
      <c r="I1873" s="15">
        <f t="shared" si="3"/>
        <v>2.07</v>
      </c>
      <c r="J1873" s="15">
        <v>15.96</v>
      </c>
      <c r="K1873" s="16">
        <f>IF(COUNTIFS(Release_Calendar!$A$2:$A$755,"US_CPI",Release_Calendar!$B$2:$B$755,$A1873)&gt;0,1,0)</f>
        <v>0</v>
      </c>
      <c r="L1873" s="16">
        <f>IF(COUNTIFS(Release_Calendar!$A$2:$A$755,"US_NFP",Release_Calendar!$B$2:$B$755,$A1873)&gt;0,1,0)</f>
        <v>0</v>
      </c>
      <c r="M1873" s="16" t="str">
        <f>IF($A1873&lt;Notes!$B$5,"",IF(COUNTIFS(Release_Calendar!$A$2:$A$755,"NZ_CPI",Release_Calendar!$B$2:$B$755,$A1873)&gt;0,1,0))</f>
        <v/>
      </c>
      <c r="N1873" s="16" t="str">
        <f>IF($A1873&lt;Notes!$B$5,"",IF(COUNTIFS(Release_Calendar!$A$2:$A$755,"NZ_GDP",Release_Calendar!$B$2:$B$755,$A1873)&gt;0,1,0))</f>
        <v/>
      </c>
      <c r="O1873" s="16" t="str">
        <f>IF($A1873&lt;Notes!$B$5,"",IF(COUNTIFS(Release_Calendar!$A$2:$A$755,"NZ_LABOUR",Release_Calendar!$B$2:$B$755,$A1873)&gt;0,1,0))</f>
        <v/>
      </c>
      <c r="P1873" s="16">
        <f t="shared" si="4"/>
        <v>0</v>
      </c>
    </row>
    <row r="1874" ht="15.75" customHeight="1">
      <c r="A1874" s="14">
        <v>39148.0</v>
      </c>
      <c r="B1874" s="15">
        <v>4.54</v>
      </c>
      <c r="C1874" s="15"/>
      <c r="D1874" s="15">
        <v>6.67</v>
      </c>
      <c r="E1874" s="15"/>
      <c r="F1874" s="15" t="str">
        <f t="shared" si="1"/>
        <v/>
      </c>
      <c r="G1874" s="15">
        <f t="shared" si="2"/>
        <v>6.67</v>
      </c>
      <c r="H1874" s="16">
        <v>1.0</v>
      </c>
      <c r="I1874" s="15">
        <f t="shared" si="3"/>
        <v>2.13</v>
      </c>
      <c r="J1874" s="15">
        <v>15.24</v>
      </c>
      <c r="K1874" s="16">
        <f>IF(COUNTIFS(Release_Calendar!$A$2:$A$755,"US_CPI",Release_Calendar!$B$2:$B$755,$A1874)&gt;0,1,0)</f>
        <v>0</v>
      </c>
      <c r="L1874" s="16">
        <f>IF(COUNTIFS(Release_Calendar!$A$2:$A$755,"US_NFP",Release_Calendar!$B$2:$B$755,$A1874)&gt;0,1,0)</f>
        <v>0</v>
      </c>
      <c r="M1874" s="16" t="str">
        <f>IF($A1874&lt;Notes!$B$5,"",IF(COUNTIFS(Release_Calendar!$A$2:$A$755,"NZ_CPI",Release_Calendar!$B$2:$B$755,$A1874)&gt;0,1,0))</f>
        <v/>
      </c>
      <c r="N1874" s="16" t="str">
        <f>IF($A1874&lt;Notes!$B$5,"",IF(COUNTIFS(Release_Calendar!$A$2:$A$755,"NZ_GDP",Release_Calendar!$B$2:$B$755,$A1874)&gt;0,1,0))</f>
        <v/>
      </c>
      <c r="O1874" s="16" t="str">
        <f>IF($A1874&lt;Notes!$B$5,"",IF(COUNTIFS(Release_Calendar!$A$2:$A$755,"NZ_LABOUR",Release_Calendar!$B$2:$B$755,$A1874)&gt;0,1,0))</f>
        <v/>
      </c>
      <c r="P1874" s="16">
        <f t="shared" si="4"/>
        <v>0</v>
      </c>
    </row>
    <row r="1875" ht="15.75" customHeight="1">
      <c r="A1875" s="14">
        <v>39149.0</v>
      </c>
      <c r="B1875" s="15">
        <v>4.56</v>
      </c>
      <c r="C1875" s="15"/>
      <c r="D1875" s="15">
        <v>6.65</v>
      </c>
      <c r="E1875" s="15"/>
      <c r="F1875" s="15" t="str">
        <f t="shared" si="1"/>
        <v/>
      </c>
      <c r="G1875" s="15">
        <f t="shared" si="2"/>
        <v>6.65</v>
      </c>
      <c r="H1875" s="16">
        <v>1.0</v>
      </c>
      <c r="I1875" s="15">
        <f t="shared" si="3"/>
        <v>2.09</v>
      </c>
      <c r="J1875" s="15">
        <v>14.29</v>
      </c>
      <c r="K1875" s="16">
        <f>IF(COUNTIFS(Release_Calendar!$A$2:$A$755,"US_CPI",Release_Calendar!$B$2:$B$755,$A1875)&gt;0,1,0)</f>
        <v>0</v>
      </c>
      <c r="L1875" s="16">
        <f>IF(COUNTIFS(Release_Calendar!$A$2:$A$755,"US_NFP",Release_Calendar!$B$2:$B$755,$A1875)&gt;0,1,0)</f>
        <v>0</v>
      </c>
      <c r="M1875" s="16" t="str">
        <f>IF($A1875&lt;Notes!$B$5,"",IF(COUNTIFS(Release_Calendar!$A$2:$A$755,"NZ_CPI",Release_Calendar!$B$2:$B$755,$A1875)&gt;0,1,0))</f>
        <v/>
      </c>
      <c r="N1875" s="16" t="str">
        <f>IF($A1875&lt;Notes!$B$5,"",IF(COUNTIFS(Release_Calendar!$A$2:$A$755,"NZ_GDP",Release_Calendar!$B$2:$B$755,$A1875)&gt;0,1,0))</f>
        <v/>
      </c>
      <c r="O1875" s="16" t="str">
        <f>IF($A1875&lt;Notes!$B$5,"",IF(COUNTIFS(Release_Calendar!$A$2:$A$755,"NZ_LABOUR",Release_Calendar!$B$2:$B$755,$A1875)&gt;0,1,0))</f>
        <v/>
      </c>
      <c r="P1875" s="16">
        <f t="shared" si="4"/>
        <v>0</v>
      </c>
    </row>
    <row r="1876" ht="15.75" customHeight="1">
      <c r="A1876" s="14">
        <v>39150.0</v>
      </c>
      <c r="B1876" s="15">
        <v>4.66</v>
      </c>
      <c r="C1876" s="15"/>
      <c r="D1876" s="15">
        <v>6.67</v>
      </c>
      <c r="E1876" s="15"/>
      <c r="F1876" s="15" t="str">
        <f t="shared" si="1"/>
        <v/>
      </c>
      <c r="G1876" s="15">
        <f t="shared" si="2"/>
        <v>6.67</v>
      </c>
      <c r="H1876" s="16">
        <v>1.0</v>
      </c>
      <c r="I1876" s="15">
        <f t="shared" si="3"/>
        <v>2.01</v>
      </c>
      <c r="J1876" s="15">
        <v>14.09</v>
      </c>
      <c r="K1876" s="16">
        <f>IF(COUNTIFS(Release_Calendar!$A$2:$A$755,"US_CPI",Release_Calendar!$B$2:$B$755,$A1876)&gt;0,1,0)</f>
        <v>0</v>
      </c>
      <c r="L1876" s="16">
        <f>IF(COUNTIFS(Release_Calendar!$A$2:$A$755,"US_NFP",Release_Calendar!$B$2:$B$755,$A1876)&gt;0,1,0)</f>
        <v>1</v>
      </c>
      <c r="M1876" s="16" t="str">
        <f>IF($A1876&lt;Notes!$B$5,"",IF(COUNTIFS(Release_Calendar!$A$2:$A$755,"NZ_CPI",Release_Calendar!$B$2:$B$755,$A1876)&gt;0,1,0))</f>
        <v/>
      </c>
      <c r="N1876" s="16" t="str">
        <f>IF($A1876&lt;Notes!$B$5,"",IF(COUNTIFS(Release_Calendar!$A$2:$A$755,"NZ_GDP",Release_Calendar!$B$2:$B$755,$A1876)&gt;0,1,0))</f>
        <v/>
      </c>
      <c r="O1876" s="16" t="str">
        <f>IF($A1876&lt;Notes!$B$5,"",IF(COUNTIFS(Release_Calendar!$A$2:$A$755,"NZ_LABOUR",Release_Calendar!$B$2:$B$755,$A1876)&gt;0,1,0))</f>
        <v/>
      </c>
      <c r="P1876" s="16">
        <f t="shared" si="4"/>
        <v>1</v>
      </c>
    </row>
    <row r="1877" ht="15.75" customHeight="1">
      <c r="A1877" s="14">
        <v>39153.0</v>
      </c>
      <c r="B1877" s="15">
        <v>4.62</v>
      </c>
      <c r="C1877" s="15"/>
      <c r="D1877" s="15">
        <v>6.75</v>
      </c>
      <c r="E1877" s="15"/>
      <c r="F1877" s="15" t="str">
        <f t="shared" si="1"/>
        <v/>
      </c>
      <c r="G1877" s="15">
        <f t="shared" si="2"/>
        <v>6.75</v>
      </c>
      <c r="H1877" s="16">
        <v>1.0</v>
      </c>
      <c r="I1877" s="15">
        <f t="shared" si="3"/>
        <v>2.13</v>
      </c>
      <c r="J1877" s="15">
        <v>13.99</v>
      </c>
      <c r="K1877" s="16">
        <f>IF(COUNTIFS(Release_Calendar!$A$2:$A$755,"US_CPI",Release_Calendar!$B$2:$B$755,$A1877)&gt;0,1,0)</f>
        <v>0</v>
      </c>
      <c r="L1877" s="16">
        <f>IF(COUNTIFS(Release_Calendar!$A$2:$A$755,"US_NFP",Release_Calendar!$B$2:$B$755,$A1877)&gt;0,1,0)</f>
        <v>0</v>
      </c>
      <c r="M1877" s="16" t="str">
        <f>IF($A1877&lt;Notes!$B$5,"",IF(COUNTIFS(Release_Calendar!$A$2:$A$755,"NZ_CPI",Release_Calendar!$B$2:$B$755,$A1877)&gt;0,1,0))</f>
        <v/>
      </c>
      <c r="N1877" s="16" t="str">
        <f>IF($A1877&lt;Notes!$B$5,"",IF(COUNTIFS(Release_Calendar!$A$2:$A$755,"NZ_GDP",Release_Calendar!$B$2:$B$755,$A1877)&gt;0,1,0))</f>
        <v/>
      </c>
      <c r="O1877" s="16" t="str">
        <f>IF($A1877&lt;Notes!$B$5,"",IF(COUNTIFS(Release_Calendar!$A$2:$A$755,"NZ_LABOUR",Release_Calendar!$B$2:$B$755,$A1877)&gt;0,1,0))</f>
        <v/>
      </c>
      <c r="P1877" s="16">
        <f t="shared" si="4"/>
        <v>0</v>
      </c>
    </row>
    <row r="1878" ht="15.75" customHeight="1">
      <c r="A1878" s="14">
        <v>39154.0</v>
      </c>
      <c r="B1878" s="15">
        <v>4.52</v>
      </c>
      <c r="C1878" s="15"/>
      <c r="D1878" s="15">
        <v>6.75</v>
      </c>
      <c r="E1878" s="15"/>
      <c r="F1878" s="15" t="str">
        <f t="shared" si="1"/>
        <v/>
      </c>
      <c r="G1878" s="15">
        <f t="shared" si="2"/>
        <v>6.75</v>
      </c>
      <c r="H1878" s="16">
        <v>1.0</v>
      </c>
      <c r="I1878" s="15">
        <f t="shared" si="3"/>
        <v>2.23</v>
      </c>
      <c r="J1878" s="15">
        <v>18.13</v>
      </c>
      <c r="K1878" s="16">
        <f>IF(COUNTIFS(Release_Calendar!$A$2:$A$755,"US_CPI",Release_Calendar!$B$2:$B$755,$A1878)&gt;0,1,0)</f>
        <v>0</v>
      </c>
      <c r="L1878" s="16">
        <f>IF(COUNTIFS(Release_Calendar!$A$2:$A$755,"US_NFP",Release_Calendar!$B$2:$B$755,$A1878)&gt;0,1,0)</f>
        <v>0</v>
      </c>
      <c r="M1878" s="16" t="str">
        <f>IF($A1878&lt;Notes!$B$5,"",IF(COUNTIFS(Release_Calendar!$A$2:$A$755,"NZ_CPI",Release_Calendar!$B$2:$B$755,$A1878)&gt;0,1,0))</f>
        <v/>
      </c>
      <c r="N1878" s="16" t="str">
        <f>IF($A1878&lt;Notes!$B$5,"",IF(COUNTIFS(Release_Calendar!$A$2:$A$755,"NZ_GDP",Release_Calendar!$B$2:$B$755,$A1878)&gt;0,1,0))</f>
        <v/>
      </c>
      <c r="O1878" s="16" t="str">
        <f>IF($A1878&lt;Notes!$B$5,"",IF(COUNTIFS(Release_Calendar!$A$2:$A$755,"NZ_LABOUR",Release_Calendar!$B$2:$B$755,$A1878)&gt;0,1,0))</f>
        <v/>
      </c>
      <c r="P1878" s="16">
        <f t="shared" si="4"/>
        <v>0</v>
      </c>
    </row>
    <row r="1879" ht="15.75" customHeight="1">
      <c r="A1879" s="14">
        <v>39155.0</v>
      </c>
      <c r="B1879" s="15">
        <v>4.54</v>
      </c>
      <c r="C1879" s="15"/>
      <c r="D1879" s="15">
        <v>6.75</v>
      </c>
      <c r="E1879" s="15"/>
      <c r="F1879" s="15" t="str">
        <f t="shared" si="1"/>
        <v/>
      </c>
      <c r="G1879" s="15">
        <f t="shared" si="2"/>
        <v>6.75</v>
      </c>
      <c r="H1879" s="16">
        <v>1.0</v>
      </c>
      <c r="I1879" s="15">
        <f t="shared" si="3"/>
        <v>2.21</v>
      </c>
      <c r="J1879" s="15">
        <v>17.27</v>
      </c>
      <c r="K1879" s="16">
        <f>IF(COUNTIFS(Release_Calendar!$A$2:$A$755,"US_CPI",Release_Calendar!$B$2:$B$755,$A1879)&gt;0,1,0)</f>
        <v>0</v>
      </c>
      <c r="L1879" s="16">
        <f>IF(COUNTIFS(Release_Calendar!$A$2:$A$755,"US_NFP",Release_Calendar!$B$2:$B$755,$A1879)&gt;0,1,0)</f>
        <v>0</v>
      </c>
      <c r="M1879" s="16" t="str">
        <f>IF($A1879&lt;Notes!$B$5,"",IF(COUNTIFS(Release_Calendar!$A$2:$A$755,"NZ_CPI",Release_Calendar!$B$2:$B$755,$A1879)&gt;0,1,0))</f>
        <v/>
      </c>
      <c r="N1879" s="16" t="str">
        <f>IF($A1879&lt;Notes!$B$5,"",IF(COUNTIFS(Release_Calendar!$A$2:$A$755,"NZ_GDP",Release_Calendar!$B$2:$B$755,$A1879)&gt;0,1,0))</f>
        <v/>
      </c>
      <c r="O1879" s="16" t="str">
        <f>IF($A1879&lt;Notes!$B$5,"",IF(COUNTIFS(Release_Calendar!$A$2:$A$755,"NZ_LABOUR",Release_Calendar!$B$2:$B$755,$A1879)&gt;0,1,0))</f>
        <v/>
      </c>
      <c r="P1879" s="16">
        <f t="shared" si="4"/>
        <v>0</v>
      </c>
    </row>
    <row r="1880" ht="15.75" customHeight="1">
      <c r="A1880" s="14">
        <v>39156.0</v>
      </c>
      <c r="B1880" s="15">
        <v>4.57</v>
      </c>
      <c r="C1880" s="15"/>
      <c r="D1880" s="15">
        <v>6.79</v>
      </c>
      <c r="E1880" s="15"/>
      <c r="F1880" s="15" t="str">
        <f t="shared" si="1"/>
        <v/>
      </c>
      <c r="G1880" s="15">
        <f t="shared" si="2"/>
        <v>6.79</v>
      </c>
      <c r="H1880" s="16">
        <v>1.0</v>
      </c>
      <c r="I1880" s="15">
        <f t="shared" si="3"/>
        <v>2.22</v>
      </c>
      <c r="J1880" s="15">
        <v>16.43</v>
      </c>
      <c r="K1880" s="16">
        <f>IF(COUNTIFS(Release_Calendar!$A$2:$A$755,"US_CPI",Release_Calendar!$B$2:$B$755,$A1880)&gt;0,1,0)</f>
        <v>0</v>
      </c>
      <c r="L1880" s="16">
        <f>IF(COUNTIFS(Release_Calendar!$A$2:$A$755,"US_NFP",Release_Calendar!$B$2:$B$755,$A1880)&gt;0,1,0)</f>
        <v>0</v>
      </c>
      <c r="M1880" s="16" t="str">
        <f>IF($A1880&lt;Notes!$B$5,"",IF(COUNTIFS(Release_Calendar!$A$2:$A$755,"NZ_CPI",Release_Calendar!$B$2:$B$755,$A1880)&gt;0,1,0))</f>
        <v/>
      </c>
      <c r="N1880" s="16" t="str">
        <f>IF($A1880&lt;Notes!$B$5,"",IF(COUNTIFS(Release_Calendar!$A$2:$A$755,"NZ_GDP",Release_Calendar!$B$2:$B$755,$A1880)&gt;0,1,0))</f>
        <v/>
      </c>
      <c r="O1880" s="16" t="str">
        <f>IF($A1880&lt;Notes!$B$5,"",IF(COUNTIFS(Release_Calendar!$A$2:$A$755,"NZ_LABOUR",Release_Calendar!$B$2:$B$755,$A1880)&gt;0,1,0))</f>
        <v/>
      </c>
      <c r="P1880" s="16">
        <f t="shared" si="4"/>
        <v>0</v>
      </c>
    </row>
    <row r="1881" ht="15.75" customHeight="1">
      <c r="A1881" s="14">
        <v>39157.0</v>
      </c>
      <c r="B1881" s="15">
        <v>4.58</v>
      </c>
      <c r="C1881" s="15"/>
      <c r="D1881" s="15">
        <v>6.82</v>
      </c>
      <c r="E1881" s="15"/>
      <c r="F1881" s="15" t="str">
        <f t="shared" si="1"/>
        <v/>
      </c>
      <c r="G1881" s="15">
        <f t="shared" si="2"/>
        <v>6.82</v>
      </c>
      <c r="H1881" s="16">
        <v>1.0</v>
      </c>
      <c r="I1881" s="15">
        <f t="shared" si="3"/>
        <v>2.24</v>
      </c>
      <c r="J1881" s="15">
        <v>16.79</v>
      </c>
      <c r="K1881" s="16">
        <f>IF(COUNTIFS(Release_Calendar!$A$2:$A$755,"US_CPI",Release_Calendar!$B$2:$B$755,$A1881)&gt;0,1,0)</f>
        <v>1</v>
      </c>
      <c r="L1881" s="16">
        <f>IF(COUNTIFS(Release_Calendar!$A$2:$A$755,"US_NFP",Release_Calendar!$B$2:$B$755,$A1881)&gt;0,1,0)</f>
        <v>0</v>
      </c>
      <c r="M1881" s="16" t="str">
        <f>IF($A1881&lt;Notes!$B$5,"",IF(COUNTIFS(Release_Calendar!$A$2:$A$755,"NZ_CPI",Release_Calendar!$B$2:$B$755,$A1881)&gt;0,1,0))</f>
        <v/>
      </c>
      <c r="N1881" s="16" t="str">
        <f>IF($A1881&lt;Notes!$B$5,"",IF(COUNTIFS(Release_Calendar!$A$2:$A$755,"NZ_GDP",Release_Calendar!$B$2:$B$755,$A1881)&gt;0,1,0))</f>
        <v/>
      </c>
      <c r="O1881" s="16" t="str">
        <f>IF($A1881&lt;Notes!$B$5,"",IF(COUNTIFS(Release_Calendar!$A$2:$A$755,"NZ_LABOUR",Release_Calendar!$B$2:$B$755,$A1881)&gt;0,1,0))</f>
        <v/>
      </c>
      <c r="P1881" s="16">
        <f t="shared" si="4"/>
        <v>1</v>
      </c>
    </row>
    <row r="1882" ht="15.75" customHeight="1">
      <c r="A1882" s="14">
        <v>39160.0</v>
      </c>
      <c r="B1882" s="15">
        <v>4.61</v>
      </c>
      <c r="C1882" s="15"/>
      <c r="D1882" s="15">
        <v>6.84</v>
      </c>
      <c r="E1882" s="15"/>
      <c r="F1882" s="15" t="str">
        <f t="shared" si="1"/>
        <v/>
      </c>
      <c r="G1882" s="15">
        <f t="shared" si="2"/>
        <v>6.84</v>
      </c>
      <c r="H1882" s="16">
        <v>1.0</v>
      </c>
      <c r="I1882" s="15">
        <f t="shared" si="3"/>
        <v>2.23</v>
      </c>
      <c r="J1882" s="15">
        <v>14.59</v>
      </c>
      <c r="K1882" s="16">
        <f>IF(COUNTIFS(Release_Calendar!$A$2:$A$755,"US_CPI",Release_Calendar!$B$2:$B$755,$A1882)&gt;0,1,0)</f>
        <v>0</v>
      </c>
      <c r="L1882" s="16">
        <f>IF(COUNTIFS(Release_Calendar!$A$2:$A$755,"US_NFP",Release_Calendar!$B$2:$B$755,$A1882)&gt;0,1,0)</f>
        <v>0</v>
      </c>
      <c r="M1882" s="16" t="str">
        <f>IF($A1882&lt;Notes!$B$5,"",IF(COUNTIFS(Release_Calendar!$A$2:$A$755,"NZ_CPI",Release_Calendar!$B$2:$B$755,$A1882)&gt;0,1,0))</f>
        <v/>
      </c>
      <c r="N1882" s="16" t="str">
        <f>IF($A1882&lt;Notes!$B$5,"",IF(COUNTIFS(Release_Calendar!$A$2:$A$755,"NZ_GDP",Release_Calendar!$B$2:$B$755,$A1882)&gt;0,1,0))</f>
        <v/>
      </c>
      <c r="O1882" s="16" t="str">
        <f>IF($A1882&lt;Notes!$B$5,"",IF(COUNTIFS(Release_Calendar!$A$2:$A$755,"NZ_LABOUR",Release_Calendar!$B$2:$B$755,$A1882)&gt;0,1,0))</f>
        <v/>
      </c>
      <c r="P1882" s="16">
        <f t="shared" si="4"/>
        <v>0</v>
      </c>
    </row>
    <row r="1883" ht="15.75" customHeight="1">
      <c r="A1883" s="14">
        <v>39161.0</v>
      </c>
      <c r="B1883" s="15">
        <v>4.6</v>
      </c>
      <c r="C1883" s="15"/>
      <c r="D1883" s="15">
        <v>6.87</v>
      </c>
      <c r="E1883" s="15"/>
      <c r="F1883" s="15" t="str">
        <f t="shared" si="1"/>
        <v/>
      </c>
      <c r="G1883" s="15">
        <f t="shared" si="2"/>
        <v>6.87</v>
      </c>
      <c r="H1883" s="16">
        <v>1.0</v>
      </c>
      <c r="I1883" s="15">
        <f t="shared" si="3"/>
        <v>2.27</v>
      </c>
      <c r="J1883" s="15">
        <v>13.27</v>
      </c>
      <c r="K1883" s="16">
        <f>IF(COUNTIFS(Release_Calendar!$A$2:$A$755,"US_CPI",Release_Calendar!$B$2:$B$755,$A1883)&gt;0,1,0)</f>
        <v>0</v>
      </c>
      <c r="L1883" s="16">
        <f>IF(COUNTIFS(Release_Calendar!$A$2:$A$755,"US_NFP",Release_Calendar!$B$2:$B$755,$A1883)&gt;0,1,0)</f>
        <v>0</v>
      </c>
      <c r="M1883" s="16" t="str">
        <f>IF($A1883&lt;Notes!$B$5,"",IF(COUNTIFS(Release_Calendar!$A$2:$A$755,"NZ_CPI",Release_Calendar!$B$2:$B$755,$A1883)&gt;0,1,0))</f>
        <v/>
      </c>
      <c r="N1883" s="16" t="str">
        <f>IF($A1883&lt;Notes!$B$5,"",IF(COUNTIFS(Release_Calendar!$A$2:$A$755,"NZ_GDP",Release_Calendar!$B$2:$B$755,$A1883)&gt;0,1,0))</f>
        <v/>
      </c>
      <c r="O1883" s="16" t="str">
        <f>IF($A1883&lt;Notes!$B$5,"",IF(COUNTIFS(Release_Calendar!$A$2:$A$755,"NZ_LABOUR",Release_Calendar!$B$2:$B$755,$A1883)&gt;0,1,0))</f>
        <v/>
      </c>
      <c r="P1883" s="16">
        <f t="shared" si="4"/>
        <v>0</v>
      </c>
    </row>
    <row r="1884" ht="15.75" customHeight="1">
      <c r="A1884" s="14">
        <v>39162.0</v>
      </c>
      <c r="B1884" s="15">
        <v>4.51</v>
      </c>
      <c r="C1884" s="15"/>
      <c r="D1884" s="15">
        <v>6.89</v>
      </c>
      <c r="E1884" s="15"/>
      <c r="F1884" s="15" t="str">
        <f t="shared" si="1"/>
        <v/>
      </c>
      <c r="G1884" s="15">
        <f t="shared" si="2"/>
        <v>6.89</v>
      </c>
      <c r="H1884" s="16">
        <v>1.0</v>
      </c>
      <c r="I1884" s="15">
        <f t="shared" si="3"/>
        <v>2.38</v>
      </c>
      <c r="J1884" s="15">
        <v>12.19</v>
      </c>
      <c r="K1884" s="16">
        <f>IF(COUNTIFS(Release_Calendar!$A$2:$A$755,"US_CPI",Release_Calendar!$B$2:$B$755,$A1884)&gt;0,1,0)</f>
        <v>0</v>
      </c>
      <c r="L1884" s="16">
        <f>IF(COUNTIFS(Release_Calendar!$A$2:$A$755,"US_NFP",Release_Calendar!$B$2:$B$755,$A1884)&gt;0,1,0)</f>
        <v>0</v>
      </c>
      <c r="M1884" s="16" t="str">
        <f>IF($A1884&lt;Notes!$B$5,"",IF(COUNTIFS(Release_Calendar!$A$2:$A$755,"NZ_CPI",Release_Calendar!$B$2:$B$755,$A1884)&gt;0,1,0))</f>
        <v/>
      </c>
      <c r="N1884" s="16" t="str">
        <f>IF($A1884&lt;Notes!$B$5,"",IF(COUNTIFS(Release_Calendar!$A$2:$A$755,"NZ_GDP",Release_Calendar!$B$2:$B$755,$A1884)&gt;0,1,0))</f>
        <v/>
      </c>
      <c r="O1884" s="16" t="str">
        <f>IF($A1884&lt;Notes!$B$5,"",IF(COUNTIFS(Release_Calendar!$A$2:$A$755,"NZ_LABOUR",Release_Calendar!$B$2:$B$755,$A1884)&gt;0,1,0))</f>
        <v/>
      </c>
      <c r="P1884" s="16">
        <f t="shared" si="4"/>
        <v>0</v>
      </c>
    </row>
    <row r="1885" ht="15.75" customHeight="1">
      <c r="A1885" s="14">
        <v>39163.0</v>
      </c>
      <c r="B1885" s="15">
        <v>4.58</v>
      </c>
      <c r="C1885" s="15"/>
      <c r="D1885" s="15">
        <v>6.89</v>
      </c>
      <c r="E1885" s="15"/>
      <c r="F1885" s="15" t="str">
        <f t="shared" si="1"/>
        <v/>
      </c>
      <c r="G1885" s="15">
        <f t="shared" si="2"/>
        <v>6.89</v>
      </c>
      <c r="H1885" s="16">
        <v>1.0</v>
      </c>
      <c r="I1885" s="15">
        <f t="shared" si="3"/>
        <v>2.31</v>
      </c>
      <c r="J1885" s="15">
        <v>12.93</v>
      </c>
      <c r="K1885" s="16">
        <f>IF(COUNTIFS(Release_Calendar!$A$2:$A$755,"US_CPI",Release_Calendar!$B$2:$B$755,$A1885)&gt;0,1,0)</f>
        <v>0</v>
      </c>
      <c r="L1885" s="16">
        <f>IF(COUNTIFS(Release_Calendar!$A$2:$A$755,"US_NFP",Release_Calendar!$B$2:$B$755,$A1885)&gt;0,1,0)</f>
        <v>0</v>
      </c>
      <c r="M1885" s="16" t="str">
        <f>IF($A1885&lt;Notes!$B$5,"",IF(COUNTIFS(Release_Calendar!$A$2:$A$755,"NZ_CPI",Release_Calendar!$B$2:$B$755,$A1885)&gt;0,1,0))</f>
        <v/>
      </c>
      <c r="N1885" s="16" t="str">
        <f>IF($A1885&lt;Notes!$B$5,"",IF(COUNTIFS(Release_Calendar!$A$2:$A$755,"NZ_GDP",Release_Calendar!$B$2:$B$755,$A1885)&gt;0,1,0))</f>
        <v/>
      </c>
      <c r="O1885" s="16" t="str">
        <f>IF($A1885&lt;Notes!$B$5,"",IF(COUNTIFS(Release_Calendar!$A$2:$A$755,"NZ_LABOUR",Release_Calendar!$B$2:$B$755,$A1885)&gt;0,1,0))</f>
        <v/>
      </c>
      <c r="P1885" s="16">
        <f t="shared" si="4"/>
        <v>0</v>
      </c>
    </row>
    <row r="1886" ht="15.75" customHeight="1">
      <c r="A1886" s="14">
        <v>39164.0</v>
      </c>
      <c r="B1886" s="15">
        <v>4.6</v>
      </c>
      <c r="C1886" s="15"/>
      <c r="D1886" s="15">
        <v>6.9</v>
      </c>
      <c r="E1886" s="15"/>
      <c r="F1886" s="15" t="str">
        <f t="shared" si="1"/>
        <v/>
      </c>
      <c r="G1886" s="15">
        <f t="shared" si="2"/>
        <v>6.9</v>
      </c>
      <c r="H1886" s="16">
        <v>1.0</v>
      </c>
      <c r="I1886" s="15">
        <f t="shared" si="3"/>
        <v>2.3</v>
      </c>
      <c r="J1886" s="15">
        <v>12.95</v>
      </c>
      <c r="K1886" s="16">
        <f>IF(COUNTIFS(Release_Calendar!$A$2:$A$755,"US_CPI",Release_Calendar!$B$2:$B$755,$A1886)&gt;0,1,0)</f>
        <v>0</v>
      </c>
      <c r="L1886" s="16">
        <f>IF(COUNTIFS(Release_Calendar!$A$2:$A$755,"US_NFP",Release_Calendar!$B$2:$B$755,$A1886)&gt;0,1,0)</f>
        <v>0</v>
      </c>
      <c r="M1886" s="16" t="str">
        <f>IF($A1886&lt;Notes!$B$5,"",IF(COUNTIFS(Release_Calendar!$A$2:$A$755,"NZ_CPI",Release_Calendar!$B$2:$B$755,$A1886)&gt;0,1,0))</f>
        <v/>
      </c>
      <c r="N1886" s="16" t="str">
        <f>IF($A1886&lt;Notes!$B$5,"",IF(COUNTIFS(Release_Calendar!$A$2:$A$755,"NZ_GDP",Release_Calendar!$B$2:$B$755,$A1886)&gt;0,1,0))</f>
        <v/>
      </c>
      <c r="O1886" s="16" t="str">
        <f>IF($A1886&lt;Notes!$B$5,"",IF(COUNTIFS(Release_Calendar!$A$2:$A$755,"NZ_LABOUR",Release_Calendar!$B$2:$B$755,$A1886)&gt;0,1,0))</f>
        <v/>
      </c>
      <c r="P1886" s="16">
        <f t="shared" si="4"/>
        <v>0</v>
      </c>
    </row>
    <row r="1887" ht="15.75" customHeight="1">
      <c r="A1887" s="14">
        <v>39167.0</v>
      </c>
      <c r="B1887" s="15">
        <v>4.56</v>
      </c>
      <c r="C1887" s="15"/>
      <c r="D1887" s="15">
        <v>6.92</v>
      </c>
      <c r="E1887" s="15"/>
      <c r="F1887" s="15" t="str">
        <f t="shared" si="1"/>
        <v/>
      </c>
      <c r="G1887" s="15">
        <f t="shared" si="2"/>
        <v>6.92</v>
      </c>
      <c r="H1887" s="16">
        <v>1.0</v>
      </c>
      <c r="I1887" s="15">
        <f t="shared" si="3"/>
        <v>2.36</v>
      </c>
      <c r="J1887" s="15">
        <v>13.16</v>
      </c>
      <c r="K1887" s="16">
        <f>IF(COUNTIFS(Release_Calendar!$A$2:$A$755,"US_CPI",Release_Calendar!$B$2:$B$755,$A1887)&gt;0,1,0)</f>
        <v>0</v>
      </c>
      <c r="L1887" s="16">
        <f>IF(COUNTIFS(Release_Calendar!$A$2:$A$755,"US_NFP",Release_Calendar!$B$2:$B$755,$A1887)&gt;0,1,0)</f>
        <v>0</v>
      </c>
      <c r="M1887" s="16" t="str">
        <f>IF($A1887&lt;Notes!$B$5,"",IF(COUNTIFS(Release_Calendar!$A$2:$A$755,"NZ_CPI",Release_Calendar!$B$2:$B$755,$A1887)&gt;0,1,0))</f>
        <v/>
      </c>
      <c r="N1887" s="16" t="str">
        <f>IF($A1887&lt;Notes!$B$5,"",IF(COUNTIFS(Release_Calendar!$A$2:$A$755,"NZ_GDP",Release_Calendar!$B$2:$B$755,$A1887)&gt;0,1,0))</f>
        <v/>
      </c>
      <c r="O1887" s="16" t="str">
        <f>IF($A1887&lt;Notes!$B$5,"",IF(COUNTIFS(Release_Calendar!$A$2:$A$755,"NZ_LABOUR",Release_Calendar!$B$2:$B$755,$A1887)&gt;0,1,0))</f>
        <v/>
      </c>
      <c r="P1887" s="16">
        <f t="shared" si="4"/>
        <v>0</v>
      </c>
    </row>
    <row r="1888" ht="15.75" customHeight="1">
      <c r="A1888" s="14">
        <v>39168.0</v>
      </c>
      <c r="B1888" s="15">
        <v>4.58</v>
      </c>
      <c r="C1888" s="15"/>
      <c r="D1888" s="15">
        <v>6.92</v>
      </c>
      <c r="E1888" s="15"/>
      <c r="F1888" s="15" t="str">
        <f t="shared" si="1"/>
        <v/>
      </c>
      <c r="G1888" s="15">
        <f t="shared" si="2"/>
        <v>6.92</v>
      </c>
      <c r="H1888" s="16">
        <v>1.0</v>
      </c>
      <c r="I1888" s="15">
        <f t="shared" si="3"/>
        <v>2.34</v>
      </c>
      <c r="J1888" s="15">
        <v>13.48</v>
      </c>
      <c r="K1888" s="16">
        <f>IF(COUNTIFS(Release_Calendar!$A$2:$A$755,"US_CPI",Release_Calendar!$B$2:$B$755,$A1888)&gt;0,1,0)</f>
        <v>0</v>
      </c>
      <c r="L1888" s="16">
        <f>IF(COUNTIFS(Release_Calendar!$A$2:$A$755,"US_NFP",Release_Calendar!$B$2:$B$755,$A1888)&gt;0,1,0)</f>
        <v>0</v>
      </c>
      <c r="M1888" s="16" t="str">
        <f>IF($A1888&lt;Notes!$B$5,"",IF(COUNTIFS(Release_Calendar!$A$2:$A$755,"NZ_CPI",Release_Calendar!$B$2:$B$755,$A1888)&gt;0,1,0))</f>
        <v/>
      </c>
      <c r="N1888" s="16" t="str">
        <f>IF($A1888&lt;Notes!$B$5,"",IF(COUNTIFS(Release_Calendar!$A$2:$A$755,"NZ_GDP",Release_Calendar!$B$2:$B$755,$A1888)&gt;0,1,0))</f>
        <v/>
      </c>
      <c r="O1888" s="16" t="str">
        <f>IF($A1888&lt;Notes!$B$5,"",IF(COUNTIFS(Release_Calendar!$A$2:$A$755,"NZ_LABOUR",Release_Calendar!$B$2:$B$755,$A1888)&gt;0,1,0))</f>
        <v/>
      </c>
      <c r="P1888" s="16">
        <f t="shared" si="4"/>
        <v>0</v>
      </c>
    </row>
    <row r="1889" ht="15.75" customHeight="1">
      <c r="A1889" s="14">
        <v>39169.0</v>
      </c>
      <c r="B1889" s="15">
        <v>4.53</v>
      </c>
      <c r="C1889" s="15"/>
      <c r="D1889" s="15">
        <v>6.91</v>
      </c>
      <c r="E1889" s="15"/>
      <c r="F1889" s="15" t="str">
        <f t="shared" si="1"/>
        <v/>
      </c>
      <c r="G1889" s="15">
        <f t="shared" si="2"/>
        <v>6.91</v>
      </c>
      <c r="H1889" s="16">
        <v>1.0</v>
      </c>
      <c r="I1889" s="15">
        <f t="shared" si="3"/>
        <v>2.38</v>
      </c>
      <c r="J1889" s="15">
        <v>14.98</v>
      </c>
      <c r="K1889" s="16">
        <f>IF(COUNTIFS(Release_Calendar!$A$2:$A$755,"US_CPI",Release_Calendar!$B$2:$B$755,$A1889)&gt;0,1,0)</f>
        <v>0</v>
      </c>
      <c r="L1889" s="16">
        <f>IF(COUNTIFS(Release_Calendar!$A$2:$A$755,"US_NFP",Release_Calendar!$B$2:$B$755,$A1889)&gt;0,1,0)</f>
        <v>0</v>
      </c>
      <c r="M1889" s="16" t="str">
        <f>IF($A1889&lt;Notes!$B$5,"",IF(COUNTIFS(Release_Calendar!$A$2:$A$755,"NZ_CPI",Release_Calendar!$B$2:$B$755,$A1889)&gt;0,1,0))</f>
        <v/>
      </c>
      <c r="N1889" s="16" t="str">
        <f>IF($A1889&lt;Notes!$B$5,"",IF(COUNTIFS(Release_Calendar!$A$2:$A$755,"NZ_GDP",Release_Calendar!$B$2:$B$755,$A1889)&gt;0,1,0))</f>
        <v/>
      </c>
      <c r="O1889" s="16" t="str">
        <f>IF($A1889&lt;Notes!$B$5,"",IF(COUNTIFS(Release_Calendar!$A$2:$A$755,"NZ_LABOUR",Release_Calendar!$B$2:$B$755,$A1889)&gt;0,1,0))</f>
        <v/>
      </c>
      <c r="P1889" s="16">
        <f t="shared" si="4"/>
        <v>0</v>
      </c>
    </row>
    <row r="1890" ht="15.75" customHeight="1">
      <c r="A1890" s="14">
        <v>39170.0</v>
      </c>
      <c r="B1890" s="15">
        <v>4.58</v>
      </c>
      <c r="C1890" s="15"/>
      <c r="D1890" s="15">
        <v>6.91</v>
      </c>
      <c r="E1890" s="15"/>
      <c r="F1890" s="15" t="str">
        <f t="shared" si="1"/>
        <v/>
      </c>
      <c r="G1890" s="15">
        <f t="shared" si="2"/>
        <v>6.91</v>
      </c>
      <c r="H1890" s="16">
        <v>1.0</v>
      </c>
      <c r="I1890" s="15">
        <f t="shared" si="3"/>
        <v>2.33</v>
      </c>
      <c r="J1890" s="15">
        <v>15.14</v>
      </c>
      <c r="K1890" s="16">
        <f>IF(COUNTIFS(Release_Calendar!$A$2:$A$755,"US_CPI",Release_Calendar!$B$2:$B$755,$A1890)&gt;0,1,0)</f>
        <v>0</v>
      </c>
      <c r="L1890" s="16">
        <f>IF(COUNTIFS(Release_Calendar!$A$2:$A$755,"US_NFP",Release_Calendar!$B$2:$B$755,$A1890)&gt;0,1,0)</f>
        <v>0</v>
      </c>
      <c r="M1890" s="16" t="str">
        <f>IF($A1890&lt;Notes!$B$5,"",IF(COUNTIFS(Release_Calendar!$A$2:$A$755,"NZ_CPI",Release_Calendar!$B$2:$B$755,$A1890)&gt;0,1,0))</f>
        <v/>
      </c>
      <c r="N1890" s="16" t="str">
        <f>IF($A1890&lt;Notes!$B$5,"",IF(COUNTIFS(Release_Calendar!$A$2:$A$755,"NZ_GDP",Release_Calendar!$B$2:$B$755,$A1890)&gt;0,1,0))</f>
        <v/>
      </c>
      <c r="O1890" s="16" t="str">
        <f>IF($A1890&lt;Notes!$B$5,"",IF(COUNTIFS(Release_Calendar!$A$2:$A$755,"NZ_LABOUR",Release_Calendar!$B$2:$B$755,$A1890)&gt;0,1,0))</f>
        <v/>
      </c>
      <c r="P1890" s="16">
        <f t="shared" si="4"/>
        <v>0</v>
      </c>
    </row>
    <row r="1891" ht="15.75" customHeight="1">
      <c r="A1891" s="14">
        <v>39171.0</v>
      </c>
      <c r="B1891" s="15">
        <v>4.58</v>
      </c>
      <c r="C1891" s="15"/>
      <c r="D1891" s="15">
        <v>6.93</v>
      </c>
      <c r="E1891" s="15"/>
      <c r="F1891" s="15" t="str">
        <f t="shared" si="1"/>
        <v/>
      </c>
      <c r="G1891" s="15">
        <f t="shared" si="2"/>
        <v>6.93</v>
      </c>
      <c r="H1891" s="16">
        <v>1.0</v>
      </c>
      <c r="I1891" s="15">
        <f t="shared" si="3"/>
        <v>2.35</v>
      </c>
      <c r="J1891" s="15">
        <v>14.64</v>
      </c>
      <c r="K1891" s="16">
        <f>IF(COUNTIFS(Release_Calendar!$A$2:$A$755,"US_CPI",Release_Calendar!$B$2:$B$755,$A1891)&gt;0,1,0)</f>
        <v>0</v>
      </c>
      <c r="L1891" s="16">
        <f>IF(COUNTIFS(Release_Calendar!$A$2:$A$755,"US_NFP",Release_Calendar!$B$2:$B$755,$A1891)&gt;0,1,0)</f>
        <v>0</v>
      </c>
      <c r="M1891" s="16" t="str">
        <f>IF($A1891&lt;Notes!$B$5,"",IF(COUNTIFS(Release_Calendar!$A$2:$A$755,"NZ_CPI",Release_Calendar!$B$2:$B$755,$A1891)&gt;0,1,0))</f>
        <v/>
      </c>
      <c r="N1891" s="16" t="str">
        <f>IF($A1891&lt;Notes!$B$5,"",IF(COUNTIFS(Release_Calendar!$A$2:$A$755,"NZ_GDP",Release_Calendar!$B$2:$B$755,$A1891)&gt;0,1,0))</f>
        <v/>
      </c>
      <c r="O1891" s="16" t="str">
        <f>IF($A1891&lt;Notes!$B$5,"",IF(COUNTIFS(Release_Calendar!$A$2:$A$755,"NZ_LABOUR",Release_Calendar!$B$2:$B$755,$A1891)&gt;0,1,0))</f>
        <v/>
      </c>
      <c r="P1891" s="16">
        <f t="shared" si="4"/>
        <v>0</v>
      </c>
    </row>
    <row r="1892" ht="15.75" customHeight="1">
      <c r="A1892" s="14">
        <v>39174.0</v>
      </c>
      <c r="B1892" s="15">
        <v>4.6</v>
      </c>
      <c r="C1892" s="15"/>
      <c r="D1892" s="15">
        <v>6.92</v>
      </c>
      <c r="E1892" s="15"/>
      <c r="F1892" s="15" t="str">
        <f t="shared" si="1"/>
        <v/>
      </c>
      <c r="G1892" s="15">
        <f t="shared" si="2"/>
        <v>6.92</v>
      </c>
      <c r="H1892" s="16">
        <v>1.0</v>
      </c>
      <c r="I1892" s="15">
        <f t="shared" si="3"/>
        <v>2.32</v>
      </c>
      <c r="J1892" s="15">
        <v>14.53</v>
      </c>
      <c r="K1892" s="16">
        <f>IF(COUNTIFS(Release_Calendar!$A$2:$A$755,"US_CPI",Release_Calendar!$B$2:$B$755,$A1892)&gt;0,1,0)</f>
        <v>0</v>
      </c>
      <c r="L1892" s="16">
        <f>IF(COUNTIFS(Release_Calendar!$A$2:$A$755,"US_NFP",Release_Calendar!$B$2:$B$755,$A1892)&gt;0,1,0)</f>
        <v>0</v>
      </c>
      <c r="M1892" s="16" t="str">
        <f>IF($A1892&lt;Notes!$B$5,"",IF(COUNTIFS(Release_Calendar!$A$2:$A$755,"NZ_CPI",Release_Calendar!$B$2:$B$755,$A1892)&gt;0,1,0))</f>
        <v/>
      </c>
      <c r="N1892" s="16" t="str">
        <f>IF($A1892&lt;Notes!$B$5,"",IF(COUNTIFS(Release_Calendar!$A$2:$A$755,"NZ_GDP",Release_Calendar!$B$2:$B$755,$A1892)&gt;0,1,0))</f>
        <v/>
      </c>
      <c r="O1892" s="16" t="str">
        <f>IF($A1892&lt;Notes!$B$5,"",IF(COUNTIFS(Release_Calendar!$A$2:$A$755,"NZ_LABOUR",Release_Calendar!$B$2:$B$755,$A1892)&gt;0,1,0))</f>
        <v/>
      </c>
      <c r="P1892" s="16">
        <f t="shared" si="4"/>
        <v>0</v>
      </c>
    </row>
    <row r="1893" ht="15.75" customHeight="1">
      <c r="A1893" s="14">
        <v>39175.0</v>
      </c>
      <c r="B1893" s="15">
        <v>4.63</v>
      </c>
      <c r="C1893" s="15"/>
      <c r="D1893" s="15">
        <v>6.94</v>
      </c>
      <c r="E1893" s="15"/>
      <c r="F1893" s="15" t="str">
        <f t="shared" si="1"/>
        <v/>
      </c>
      <c r="G1893" s="15">
        <f t="shared" si="2"/>
        <v>6.94</v>
      </c>
      <c r="H1893" s="16">
        <v>1.0</v>
      </c>
      <c r="I1893" s="15">
        <f t="shared" si="3"/>
        <v>2.31</v>
      </c>
      <c r="J1893" s="15">
        <v>13.46</v>
      </c>
      <c r="K1893" s="16">
        <f>IF(COUNTIFS(Release_Calendar!$A$2:$A$755,"US_CPI",Release_Calendar!$B$2:$B$755,$A1893)&gt;0,1,0)</f>
        <v>0</v>
      </c>
      <c r="L1893" s="16">
        <f>IF(COUNTIFS(Release_Calendar!$A$2:$A$755,"US_NFP",Release_Calendar!$B$2:$B$755,$A1893)&gt;0,1,0)</f>
        <v>0</v>
      </c>
      <c r="M1893" s="16" t="str">
        <f>IF($A1893&lt;Notes!$B$5,"",IF(COUNTIFS(Release_Calendar!$A$2:$A$755,"NZ_CPI",Release_Calendar!$B$2:$B$755,$A1893)&gt;0,1,0))</f>
        <v/>
      </c>
      <c r="N1893" s="16" t="str">
        <f>IF($A1893&lt;Notes!$B$5,"",IF(COUNTIFS(Release_Calendar!$A$2:$A$755,"NZ_GDP",Release_Calendar!$B$2:$B$755,$A1893)&gt;0,1,0))</f>
        <v/>
      </c>
      <c r="O1893" s="16" t="str">
        <f>IF($A1893&lt;Notes!$B$5,"",IF(COUNTIFS(Release_Calendar!$A$2:$A$755,"NZ_LABOUR",Release_Calendar!$B$2:$B$755,$A1893)&gt;0,1,0))</f>
        <v/>
      </c>
      <c r="P1893" s="16">
        <f t="shared" si="4"/>
        <v>0</v>
      </c>
    </row>
    <row r="1894" ht="15.75" customHeight="1">
      <c r="A1894" s="14">
        <v>39176.0</v>
      </c>
      <c r="B1894" s="15">
        <v>4.61</v>
      </c>
      <c r="C1894" s="15"/>
      <c r="D1894" s="15">
        <v>6.93</v>
      </c>
      <c r="E1894" s="15"/>
      <c r="F1894" s="15" t="str">
        <f t="shared" si="1"/>
        <v/>
      </c>
      <c r="G1894" s="15">
        <f t="shared" si="2"/>
        <v>6.93</v>
      </c>
      <c r="H1894" s="16">
        <v>1.0</v>
      </c>
      <c r="I1894" s="15">
        <f t="shared" si="3"/>
        <v>2.32</v>
      </c>
      <c r="J1894" s="15">
        <v>13.24</v>
      </c>
      <c r="K1894" s="16">
        <f>IF(COUNTIFS(Release_Calendar!$A$2:$A$755,"US_CPI",Release_Calendar!$B$2:$B$755,$A1894)&gt;0,1,0)</f>
        <v>0</v>
      </c>
      <c r="L1894" s="16">
        <f>IF(COUNTIFS(Release_Calendar!$A$2:$A$755,"US_NFP",Release_Calendar!$B$2:$B$755,$A1894)&gt;0,1,0)</f>
        <v>0</v>
      </c>
      <c r="M1894" s="16" t="str">
        <f>IF($A1894&lt;Notes!$B$5,"",IF(COUNTIFS(Release_Calendar!$A$2:$A$755,"NZ_CPI",Release_Calendar!$B$2:$B$755,$A1894)&gt;0,1,0))</f>
        <v/>
      </c>
      <c r="N1894" s="16" t="str">
        <f>IF($A1894&lt;Notes!$B$5,"",IF(COUNTIFS(Release_Calendar!$A$2:$A$755,"NZ_GDP",Release_Calendar!$B$2:$B$755,$A1894)&gt;0,1,0))</f>
        <v/>
      </c>
      <c r="O1894" s="16" t="str">
        <f>IF($A1894&lt;Notes!$B$5,"",IF(COUNTIFS(Release_Calendar!$A$2:$A$755,"NZ_LABOUR",Release_Calendar!$B$2:$B$755,$A1894)&gt;0,1,0))</f>
        <v/>
      </c>
      <c r="P1894" s="16">
        <f t="shared" si="4"/>
        <v>0</v>
      </c>
    </row>
    <row r="1895" ht="15.75" customHeight="1">
      <c r="A1895" s="14">
        <v>39177.0</v>
      </c>
      <c r="B1895" s="15">
        <v>4.63</v>
      </c>
      <c r="C1895" s="15"/>
      <c r="D1895" s="15">
        <v>6.9</v>
      </c>
      <c r="E1895" s="15"/>
      <c r="F1895" s="15" t="str">
        <f t="shared" si="1"/>
        <v/>
      </c>
      <c r="G1895" s="15">
        <f t="shared" si="2"/>
        <v>6.9</v>
      </c>
      <c r="H1895" s="16">
        <v>1.0</v>
      </c>
      <c r="I1895" s="15">
        <f t="shared" si="3"/>
        <v>2.27</v>
      </c>
      <c r="J1895" s="15">
        <v>13.23</v>
      </c>
      <c r="K1895" s="16">
        <f>IF(COUNTIFS(Release_Calendar!$A$2:$A$755,"US_CPI",Release_Calendar!$B$2:$B$755,$A1895)&gt;0,1,0)</f>
        <v>0</v>
      </c>
      <c r="L1895" s="16">
        <f>IF(COUNTIFS(Release_Calendar!$A$2:$A$755,"US_NFP",Release_Calendar!$B$2:$B$755,$A1895)&gt;0,1,0)</f>
        <v>0</v>
      </c>
      <c r="M1895" s="16" t="str">
        <f>IF($A1895&lt;Notes!$B$5,"",IF(COUNTIFS(Release_Calendar!$A$2:$A$755,"NZ_CPI",Release_Calendar!$B$2:$B$755,$A1895)&gt;0,1,0))</f>
        <v/>
      </c>
      <c r="N1895" s="16" t="str">
        <f>IF($A1895&lt;Notes!$B$5,"",IF(COUNTIFS(Release_Calendar!$A$2:$A$755,"NZ_GDP",Release_Calendar!$B$2:$B$755,$A1895)&gt;0,1,0))</f>
        <v/>
      </c>
      <c r="O1895" s="16" t="str">
        <f>IF($A1895&lt;Notes!$B$5,"",IF(COUNTIFS(Release_Calendar!$A$2:$A$755,"NZ_LABOUR",Release_Calendar!$B$2:$B$755,$A1895)&gt;0,1,0))</f>
        <v/>
      </c>
      <c r="P1895" s="16">
        <f t="shared" si="4"/>
        <v>0</v>
      </c>
    </row>
    <row r="1896" ht="15.75" customHeight="1">
      <c r="A1896" s="14">
        <v>39178.0</v>
      </c>
      <c r="B1896" s="15">
        <v>4.75</v>
      </c>
      <c r="C1896" s="15"/>
      <c r="D1896" s="15"/>
      <c r="E1896" s="15"/>
      <c r="F1896" s="15" t="str">
        <f t="shared" si="1"/>
        <v/>
      </c>
      <c r="G1896" s="15" t="str">
        <f t="shared" si="2"/>
        <v/>
      </c>
      <c r="H1896" s="16">
        <v>1.0</v>
      </c>
      <c r="I1896" s="15" t="str">
        <f t="shared" si="3"/>
        <v/>
      </c>
      <c r="J1896" s="15"/>
      <c r="K1896" s="16">
        <f>IF(COUNTIFS(Release_Calendar!$A$2:$A$755,"US_CPI",Release_Calendar!$B$2:$B$755,$A1896)&gt;0,1,0)</f>
        <v>0</v>
      </c>
      <c r="L1896" s="16">
        <f>IF(COUNTIFS(Release_Calendar!$A$2:$A$755,"US_NFP",Release_Calendar!$B$2:$B$755,$A1896)&gt;0,1,0)</f>
        <v>1</v>
      </c>
      <c r="M1896" s="16" t="str">
        <f>IF($A1896&lt;Notes!$B$5,"",IF(COUNTIFS(Release_Calendar!$A$2:$A$755,"NZ_CPI",Release_Calendar!$B$2:$B$755,$A1896)&gt;0,1,0))</f>
        <v/>
      </c>
      <c r="N1896" s="16" t="str">
        <f>IF($A1896&lt;Notes!$B$5,"",IF(COUNTIFS(Release_Calendar!$A$2:$A$755,"NZ_GDP",Release_Calendar!$B$2:$B$755,$A1896)&gt;0,1,0))</f>
        <v/>
      </c>
      <c r="O1896" s="16" t="str">
        <f>IF($A1896&lt;Notes!$B$5,"",IF(COUNTIFS(Release_Calendar!$A$2:$A$755,"NZ_LABOUR",Release_Calendar!$B$2:$B$755,$A1896)&gt;0,1,0))</f>
        <v/>
      </c>
      <c r="P1896" s="16">
        <f t="shared" si="4"/>
        <v>1</v>
      </c>
    </row>
    <row r="1897" ht="15.75" customHeight="1">
      <c r="A1897" s="14">
        <v>39181.0</v>
      </c>
      <c r="B1897" s="15">
        <v>4.73</v>
      </c>
      <c r="C1897" s="15"/>
      <c r="D1897" s="15"/>
      <c r="E1897" s="15"/>
      <c r="F1897" s="15" t="str">
        <f t="shared" si="1"/>
        <v/>
      </c>
      <c r="G1897" s="15" t="str">
        <f t="shared" si="2"/>
        <v/>
      </c>
      <c r="H1897" s="16">
        <v>1.0</v>
      </c>
      <c r="I1897" s="15" t="str">
        <f t="shared" si="3"/>
        <v/>
      </c>
      <c r="J1897" s="15">
        <v>13.14</v>
      </c>
      <c r="K1897" s="16">
        <f>IF(COUNTIFS(Release_Calendar!$A$2:$A$755,"US_CPI",Release_Calendar!$B$2:$B$755,$A1897)&gt;0,1,0)</f>
        <v>0</v>
      </c>
      <c r="L1897" s="16">
        <f>IF(COUNTIFS(Release_Calendar!$A$2:$A$755,"US_NFP",Release_Calendar!$B$2:$B$755,$A1897)&gt;0,1,0)</f>
        <v>0</v>
      </c>
      <c r="M1897" s="16" t="str">
        <f>IF($A1897&lt;Notes!$B$5,"",IF(COUNTIFS(Release_Calendar!$A$2:$A$755,"NZ_CPI",Release_Calendar!$B$2:$B$755,$A1897)&gt;0,1,0))</f>
        <v/>
      </c>
      <c r="N1897" s="16" t="str">
        <f>IF($A1897&lt;Notes!$B$5,"",IF(COUNTIFS(Release_Calendar!$A$2:$A$755,"NZ_GDP",Release_Calendar!$B$2:$B$755,$A1897)&gt;0,1,0))</f>
        <v/>
      </c>
      <c r="O1897" s="16" t="str">
        <f>IF($A1897&lt;Notes!$B$5,"",IF(COUNTIFS(Release_Calendar!$A$2:$A$755,"NZ_LABOUR",Release_Calendar!$B$2:$B$755,$A1897)&gt;0,1,0))</f>
        <v/>
      </c>
      <c r="P1897" s="16">
        <f t="shared" si="4"/>
        <v>0</v>
      </c>
    </row>
    <row r="1898" ht="15.75" customHeight="1">
      <c r="A1898" s="14">
        <v>39182.0</v>
      </c>
      <c r="B1898" s="15">
        <v>4.71</v>
      </c>
      <c r="C1898" s="15"/>
      <c r="D1898" s="15">
        <v>6.94</v>
      </c>
      <c r="E1898" s="15"/>
      <c r="F1898" s="15" t="str">
        <f t="shared" si="1"/>
        <v/>
      </c>
      <c r="G1898" s="15">
        <f t="shared" si="2"/>
        <v>6.94</v>
      </c>
      <c r="H1898" s="16">
        <v>1.0</v>
      </c>
      <c r="I1898" s="15">
        <f t="shared" si="3"/>
        <v>2.23</v>
      </c>
      <c r="J1898" s="15">
        <v>12.68</v>
      </c>
      <c r="K1898" s="16">
        <f>IF(COUNTIFS(Release_Calendar!$A$2:$A$755,"US_CPI",Release_Calendar!$B$2:$B$755,$A1898)&gt;0,1,0)</f>
        <v>0</v>
      </c>
      <c r="L1898" s="16">
        <f>IF(COUNTIFS(Release_Calendar!$A$2:$A$755,"US_NFP",Release_Calendar!$B$2:$B$755,$A1898)&gt;0,1,0)</f>
        <v>0</v>
      </c>
      <c r="M1898" s="16" t="str">
        <f>IF($A1898&lt;Notes!$B$5,"",IF(COUNTIFS(Release_Calendar!$A$2:$A$755,"NZ_CPI",Release_Calendar!$B$2:$B$755,$A1898)&gt;0,1,0))</f>
        <v/>
      </c>
      <c r="N1898" s="16" t="str">
        <f>IF($A1898&lt;Notes!$B$5,"",IF(COUNTIFS(Release_Calendar!$A$2:$A$755,"NZ_GDP",Release_Calendar!$B$2:$B$755,$A1898)&gt;0,1,0))</f>
        <v/>
      </c>
      <c r="O1898" s="16" t="str">
        <f>IF($A1898&lt;Notes!$B$5,"",IF(COUNTIFS(Release_Calendar!$A$2:$A$755,"NZ_LABOUR",Release_Calendar!$B$2:$B$755,$A1898)&gt;0,1,0))</f>
        <v/>
      </c>
      <c r="P1898" s="16">
        <f t="shared" si="4"/>
        <v>0</v>
      </c>
    </row>
    <row r="1899" ht="15.75" customHeight="1">
      <c r="A1899" s="14">
        <v>39183.0</v>
      </c>
      <c r="B1899" s="15">
        <v>4.73</v>
      </c>
      <c r="C1899" s="15"/>
      <c r="D1899" s="15">
        <v>6.95</v>
      </c>
      <c r="E1899" s="15"/>
      <c r="F1899" s="15" t="str">
        <f t="shared" si="1"/>
        <v/>
      </c>
      <c r="G1899" s="15">
        <f t="shared" si="2"/>
        <v>6.95</v>
      </c>
      <c r="H1899" s="16">
        <v>1.0</v>
      </c>
      <c r="I1899" s="15">
        <f t="shared" si="3"/>
        <v>2.22</v>
      </c>
      <c r="J1899" s="15">
        <v>13.49</v>
      </c>
      <c r="K1899" s="16">
        <f>IF(COUNTIFS(Release_Calendar!$A$2:$A$755,"US_CPI",Release_Calendar!$B$2:$B$755,$A1899)&gt;0,1,0)</f>
        <v>0</v>
      </c>
      <c r="L1899" s="16">
        <f>IF(COUNTIFS(Release_Calendar!$A$2:$A$755,"US_NFP",Release_Calendar!$B$2:$B$755,$A1899)&gt;0,1,0)</f>
        <v>0</v>
      </c>
      <c r="M1899" s="16" t="str">
        <f>IF($A1899&lt;Notes!$B$5,"",IF(COUNTIFS(Release_Calendar!$A$2:$A$755,"NZ_CPI",Release_Calendar!$B$2:$B$755,$A1899)&gt;0,1,0))</f>
        <v/>
      </c>
      <c r="N1899" s="16" t="str">
        <f>IF($A1899&lt;Notes!$B$5,"",IF(COUNTIFS(Release_Calendar!$A$2:$A$755,"NZ_GDP",Release_Calendar!$B$2:$B$755,$A1899)&gt;0,1,0))</f>
        <v/>
      </c>
      <c r="O1899" s="16" t="str">
        <f>IF($A1899&lt;Notes!$B$5,"",IF(COUNTIFS(Release_Calendar!$A$2:$A$755,"NZ_LABOUR",Release_Calendar!$B$2:$B$755,$A1899)&gt;0,1,0))</f>
        <v/>
      </c>
      <c r="P1899" s="16">
        <f t="shared" si="4"/>
        <v>0</v>
      </c>
    </row>
    <row r="1900" ht="15.75" customHeight="1">
      <c r="A1900" s="14">
        <v>39184.0</v>
      </c>
      <c r="B1900" s="15">
        <v>4.73</v>
      </c>
      <c r="C1900" s="15"/>
      <c r="D1900" s="15">
        <v>6.97</v>
      </c>
      <c r="E1900" s="15"/>
      <c r="F1900" s="15" t="str">
        <f t="shared" si="1"/>
        <v/>
      </c>
      <c r="G1900" s="15">
        <f t="shared" si="2"/>
        <v>6.97</v>
      </c>
      <c r="H1900" s="16">
        <v>1.0</v>
      </c>
      <c r="I1900" s="15">
        <f t="shared" si="3"/>
        <v>2.24</v>
      </c>
      <c r="J1900" s="15">
        <v>12.71</v>
      </c>
      <c r="K1900" s="16">
        <f>IF(COUNTIFS(Release_Calendar!$A$2:$A$755,"US_CPI",Release_Calendar!$B$2:$B$755,$A1900)&gt;0,1,0)</f>
        <v>0</v>
      </c>
      <c r="L1900" s="16">
        <f>IF(COUNTIFS(Release_Calendar!$A$2:$A$755,"US_NFP",Release_Calendar!$B$2:$B$755,$A1900)&gt;0,1,0)</f>
        <v>0</v>
      </c>
      <c r="M1900" s="16" t="str">
        <f>IF($A1900&lt;Notes!$B$5,"",IF(COUNTIFS(Release_Calendar!$A$2:$A$755,"NZ_CPI",Release_Calendar!$B$2:$B$755,$A1900)&gt;0,1,0))</f>
        <v/>
      </c>
      <c r="N1900" s="16" t="str">
        <f>IF($A1900&lt;Notes!$B$5,"",IF(COUNTIFS(Release_Calendar!$A$2:$A$755,"NZ_GDP",Release_Calendar!$B$2:$B$755,$A1900)&gt;0,1,0))</f>
        <v/>
      </c>
      <c r="O1900" s="16" t="str">
        <f>IF($A1900&lt;Notes!$B$5,"",IF(COUNTIFS(Release_Calendar!$A$2:$A$755,"NZ_LABOUR",Release_Calendar!$B$2:$B$755,$A1900)&gt;0,1,0))</f>
        <v/>
      </c>
      <c r="P1900" s="16">
        <f t="shared" si="4"/>
        <v>0</v>
      </c>
    </row>
    <row r="1901" ht="15.75" customHeight="1">
      <c r="A1901" s="14">
        <v>39185.0</v>
      </c>
      <c r="B1901" s="15">
        <v>4.76</v>
      </c>
      <c r="C1901" s="15"/>
      <c r="D1901" s="15">
        <v>7.04</v>
      </c>
      <c r="E1901" s="15"/>
      <c r="F1901" s="15" t="str">
        <f t="shared" si="1"/>
        <v/>
      </c>
      <c r="G1901" s="15">
        <f t="shared" si="2"/>
        <v>7.04</v>
      </c>
      <c r="H1901" s="16">
        <v>1.0</v>
      </c>
      <c r="I1901" s="15">
        <f t="shared" si="3"/>
        <v>2.28</v>
      </c>
      <c r="J1901" s="15">
        <v>12.2</v>
      </c>
      <c r="K1901" s="16">
        <f>IF(COUNTIFS(Release_Calendar!$A$2:$A$755,"US_CPI",Release_Calendar!$B$2:$B$755,$A1901)&gt;0,1,0)</f>
        <v>0</v>
      </c>
      <c r="L1901" s="16">
        <f>IF(COUNTIFS(Release_Calendar!$A$2:$A$755,"US_NFP",Release_Calendar!$B$2:$B$755,$A1901)&gt;0,1,0)</f>
        <v>0</v>
      </c>
      <c r="M1901" s="16" t="str">
        <f>IF($A1901&lt;Notes!$B$5,"",IF(COUNTIFS(Release_Calendar!$A$2:$A$755,"NZ_CPI",Release_Calendar!$B$2:$B$755,$A1901)&gt;0,1,0))</f>
        <v/>
      </c>
      <c r="N1901" s="16" t="str">
        <f>IF($A1901&lt;Notes!$B$5,"",IF(COUNTIFS(Release_Calendar!$A$2:$A$755,"NZ_GDP",Release_Calendar!$B$2:$B$755,$A1901)&gt;0,1,0))</f>
        <v/>
      </c>
      <c r="O1901" s="16" t="str">
        <f>IF($A1901&lt;Notes!$B$5,"",IF(COUNTIFS(Release_Calendar!$A$2:$A$755,"NZ_LABOUR",Release_Calendar!$B$2:$B$755,$A1901)&gt;0,1,0))</f>
        <v/>
      </c>
      <c r="P1901" s="16">
        <f t="shared" si="4"/>
        <v>0</v>
      </c>
    </row>
    <row r="1902" ht="15.75" customHeight="1">
      <c r="A1902" s="14">
        <v>39188.0</v>
      </c>
      <c r="B1902" s="15">
        <v>4.74</v>
      </c>
      <c r="C1902" s="15"/>
      <c r="D1902" s="15">
        <v>7.11</v>
      </c>
      <c r="E1902" s="15"/>
      <c r="F1902" s="15" t="str">
        <f t="shared" si="1"/>
        <v/>
      </c>
      <c r="G1902" s="15">
        <f t="shared" si="2"/>
        <v>7.11</v>
      </c>
      <c r="H1902" s="16">
        <v>1.0</v>
      </c>
      <c r="I1902" s="15">
        <f t="shared" si="3"/>
        <v>2.37</v>
      </c>
      <c r="J1902" s="15">
        <v>11.98</v>
      </c>
      <c r="K1902" s="16">
        <f>IF(COUNTIFS(Release_Calendar!$A$2:$A$755,"US_CPI",Release_Calendar!$B$2:$B$755,$A1902)&gt;0,1,0)</f>
        <v>0</v>
      </c>
      <c r="L1902" s="16">
        <f>IF(COUNTIFS(Release_Calendar!$A$2:$A$755,"US_NFP",Release_Calendar!$B$2:$B$755,$A1902)&gt;0,1,0)</f>
        <v>0</v>
      </c>
      <c r="M1902" s="16" t="str">
        <f>IF($A1902&lt;Notes!$B$5,"",IF(COUNTIFS(Release_Calendar!$A$2:$A$755,"NZ_CPI",Release_Calendar!$B$2:$B$755,$A1902)&gt;0,1,0))</f>
        <v/>
      </c>
      <c r="N1902" s="16" t="str">
        <f>IF($A1902&lt;Notes!$B$5,"",IF(COUNTIFS(Release_Calendar!$A$2:$A$755,"NZ_GDP",Release_Calendar!$B$2:$B$755,$A1902)&gt;0,1,0))</f>
        <v/>
      </c>
      <c r="O1902" s="16" t="str">
        <f>IF($A1902&lt;Notes!$B$5,"",IF(COUNTIFS(Release_Calendar!$A$2:$A$755,"NZ_LABOUR",Release_Calendar!$B$2:$B$755,$A1902)&gt;0,1,0))</f>
        <v/>
      </c>
      <c r="P1902" s="16">
        <f t="shared" si="4"/>
        <v>0</v>
      </c>
    </row>
    <row r="1903" ht="15.75" customHeight="1">
      <c r="A1903" s="14">
        <v>39189.0</v>
      </c>
      <c r="B1903" s="15">
        <v>4.68</v>
      </c>
      <c r="C1903" s="15"/>
      <c r="D1903" s="15">
        <v>7.12</v>
      </c>
      <c r="E1903" s="15"/>
      <c r="F1903" s="15" t="str">
        <f t="shared" si="1"/>
        <v/>
      </c>
      <c r="G1903" s="15">
        <f t="shared" si="2"/>
        <v>7.12</v>
      </c>
      <c r="H1903" s="16">
        <v>1.0</v>
      </c>
      <c r="I1903" s="15">
        <f t="shared" si="3"/>
        <v>2.44</v>
      </c>
      <c r="J1903" s="15">
        <v>12.14</v>
      </c>
      <c r="K1903" s="16">
        <f>IF(COUNTIFS(Release_Calendar!$A$2:$A$755,"US_CPI",Release_Calendar!$B$2:$B$755,$A1903)&gt;0,1,0)</f>
        <v>1</v>
      </c>
      <c r="L1903" s="16">
        <f>IF(COUNTIFS(Release_Calendar!$A$2:$A$755,"US_NFP",Release_Calendar!$B$2:$B$755,$A1903)&gt;0,1,0)</f>
        <v>0</v>
      </c>
      <c r="M1903" s="16" t="str">
        <f>IF($A1903&lt;Notes!$B$5,"",IF(COUNTIFS(Release_Calendar!$A$2:$A$755,"NZ_CPI",Release_Calendar!$B$2:$B$755,$A1903)&gt;0,1,0))</f>
        <v/>
      </c>
      <c r="N1903" s="16" t="str">
        <f>IF($A1903&lt;Notes!$B$5,"",IF(COUNTIFS(Release_Calendar!$A$2:$A$755,"NZ_GDP",Release_Calendar!$B$2:$B$755,$A1903)&gt;0,1,0))</f>
        <v/>
      </c>
      <c r="O1903" s="16" t="str">
        <f>IF($A1903&lt;Notes!$B$5,"",IF(COUNTIFS(Release_Calendar!$A$2:$A$755,"NZ_LABOUR",Release_Calendar!$B$2:$B$755,$A1903)&gt;0,1,0))</f>
        <v/>
      </c>
      <c r="P1903" s="16">
        <f t="shared" si="4"/>
        <v>1</v>
      </c>
    </row>
    <row r="1904" ht="15.75" customHeight="1">
      <c r="A1904" s="14">
        <v>39190.0</v>
      </c>
      <c r="B1904" s="15">
        <v>4.64</v>
      </c>
      <c r="C1904" s="15"/>
      <c r="D1904" s="15">
        <v>7.12</v>
      </c>
      <c r="E1904" s="15"/>
      <c r="F1904" s="15" t="str">
        <f t="shared" si="1"/>
        <v/>
      </c>
      <c r="G1904" s="15">
        <f t="shared" si="2"/>
        <v>7.12</v>
      </c>
      <c r="H1904" s="16">
        <v>1.0</v>
      </c>
      <c r="I1904" s="15">
        <f t="shared" si="3"/>
        <v>2.48</v>
      </c>
      <c r="J1904" s="15">
        <v>12.42</v>
      </c>
      <c r="K1904" s="16">
        <f>IF(COUNTIFS(Release_Calendar!$A$2:$A$755,"US_CPI",Release_Calendar!$B$2:$B$755,$A1904)&gt;0,1,0)</f>
        <v>0</v>
      </c>
      <c r="L1904" s="16">
        <f>IF(COUNTIFS(Release_Calendar!$A$2:$A$755,"US_NFP",Release_Calendar!$B$2:$B$755,$A1904)&gt;0,1,0)</f>
        <v>0</v>
      </c>
      <c r="M1904" s="16" t="str">
        <f>IF($A1904&lt;Notes!$B$5,"",IF(COUNTIFS(Release_Calendar!$A$2:$A$755,"NZ_CPI",Release_Calendar!$B$2:$B$755,$A1904)&gt;0,1,0))</f>
        <v/>
      </c>
      <c r="N1904" s="16" t="str">
        <f>IF($A1904&lt;Notes!$B$5,"",IF(COUNTIFS(Release_Calendar!$A$2:$A$755,"NZ_GDP",Release_Calendar!$B$2:$B$755,$A1904)&gt;0,1,0))</f>
        <v/>
      </c>
      <c r="O1904" s="16" t="str">
        <f>IF($A1904&lt;Notes!$B$5,"",IF(COUNTIFS(Release_Calendar!$A$2:$A$755,"NZ_LABOUR",Release_Calendar!$B$2:$B$755,$A1904)&gt;0,1,0))</f>
        <v/>
      </c>
      <c r="P1904" s="16">
        <f t="shared" si="4"/>
        <v>0</v>
      </c>
    </row>
    <row r="1905" ht="15.75" customHeight="1">
      <c r="A1905" s="14">
        <v>39191.0</v>
      </c>
      <c r="B1905" s="15">
        <v>4.64</v>
      </c>
      <c r="C1905" s="15"/>
      <c r="D1905" s="15">
        <v>7.17</v>
      </c>
      <c r="E1905" s="15"/>
      <c r="F1905" s="15" t="str">
        <f t="shared" si="1"/>
        <v/>
      </c>
      <c r="G1905" s="15">
        <f t="shared" si="2"/>
        <v>7.17</v>
      </c>
      <c r="H1905" s="16">
        <v>1.0</v>
      </c>
      <c r="I1905" s="15">
        <f t="shared" si="3"/>
        <v>2.53</v>
      </c>
      <c r="J1905" s="15">
        <v>12.54</v>
      </c>
      <c r="K1905" s="16">
        <f>IF(COUNTIFS(Release_Calendar!$A$2:$A$755,"US_CPI",Release_Calendar!$B$2:$B$755,$A1905)&gt;0,1,0)</f>
        <v>0</v>
      </c>
      <c r="L1905" s="16">
        <f>IF(COUNTIFS(Release_Calendar!$A$2:$A$755,"US_NFP",Release_Calendar!$B$2:$B$755,$A1905)&gt;0,1,0)</f>
        <v>0</v>
      </c>
      <c r="M1905" s="16" t="str">
        <f>IF($A1905&lt;Notes!$B$5,"",IF(COUNTIFS(Release_Calendar!$A$2:$A$755,"NZ_CPI",Release_Calendar!$B$2:$B$755,$A1905)&gt;0,1,0))</f>
        <v/>
      </c>
      <c r="N1905" s="16" t="str">
        <f>IF($A1905&lt;Notes!$B$5,"",IF(COUNTIFS(Release_Calendar!$A$2:$A$755,"NZ_GDP",Release_Calendar!$B$2:$B$755,$A1905)&gt;0,1,0))</f>
        <v/>
      </c>
      <c r="O1905" s="16" t="str">
        <f>IF($A1905&lt;Notes!$B$5,"",IF(COUNTIFS(Release_Calendar!$A$2:$A$755,"NZ_LABOUR",Release_Calendar!$B$2:$B$755,$A1905)&gt;0,1,0))</f>
        <v/>
      </c>
      <c r="P1905" s="16">
        <f t="shared" si="4"/>
        <v>0</v>
      </c>
    </row>
    <row r="1906" ht="15.75" customHeight="1">
      <c r="A1906" s="14">
        <v>39192.0</v>
      </c>
      <c r="B1906" s="15">
        <v>4.64</v>
      </c>
      <c r="C1906" s="15"/>
      <c r="D1906" s="15">
        <v>7.16</v>
      </c>
      <c r="E1906" s="15"/>
      <c r="F1906" s="15" t="str">
        <f t="shared" si="1"/>
        <v/>
      </c>
      <c r="G1906" s="15">
        <f t="shared" si="2"/>
        <v>7.16</v>
      </c>
      <c r="H1906" s="16">
        <v>1.0</v>
      </c>
      <c r="I1906" s="15">
        <f t="shared" si="3"/>
        <v>2.52</v>
      </c>
      <c r="J1906" s="15">
        <v>12.07</v>
      </c>
      <c r="K1906" s="16">
        <f>IF(COUNTIFS(Release_Calendar!$A$2:$A$755,"US_CPI",Release_Calendar!$B$2:$B$755,$A1906)&gt;0,1,0)</f>
        <v>0</v>
      </c>
      <c r="L1906" s="16">
        <f>IF(COUNTIFS(Release_Calendar!$A$2:$A$755,"US_NFP",Release_Calendar!$B$2:$B$755,$A1906)&gt;0,1,0)</f>
        <v>0</v>
      </c>
      <c r="M1906" s="16" t="str">
        <f>IF($A1906&lt;Notes!$B$5,"",IF(COUNTIFS(Release_Calendar!$A$2:$A$755,"NZ_CPI",Release_Calendar!$B$2:$B$755,$A1906)&gt;0,1,0))</f>
        <v/>
      </c>
      <c r="N1906" s="16" t="str">
        <f>IF($A1906&lt;Notes!$B$5,"",IF(COUNTIFS(Release_Calendar!$A$2:$A$755,"NZ_GDP",Release_Calendar!$B$2:$B$755,$A1906)&gt;0,1,0))</f>
        <v/>
      </c>
      <c r="O1906" s="16" t="str">
        <f>IF($A1906&lt;Notes!$B$5,"",IF(COUNTIFS(Release_Calendar!$A$2:$A$755,"NZ_LABOUR",Release_Calendar!$B$2:$B$755,$A1906)&gt;0,1,0))</f>
        <v/>
      </c>
      <c r="P1906" s="16">
        <f t="shared" si="4"/>
        <v>0</v>
      </c>
    </row>
    <row r="1907" ht="15.75" customHeight="1">
      <c r="A1907" s="14">
        <v>39195.0</v>
      </c>
      <c r="B1907" s="15">
        <v>4.62</v>
      </c>
      <c r="C1907" s="15"/>
      <c r="D1907" s="15">
        <v>7.17</v>
      </c>
      <c r="E1907" s="15"/>
      <c r="F1907" s="15" t="str">
        <f t="shared" si="1"/>
        <v/>
      </c>
      <c r="G1907" s="15">
        <f t="shared" si="2"/>
        <v>7.17</v>
      </c>
      <c r="H1907" s="16">
        <v>1.0</v>
      </c>
      <c r="I1907" s="15">
        <f t="shared" si="3"/>
        <v>2.55</v>
      </c>
      <c r="J1907" s="15">
        <v>13.04</v>
      </c>
      <c r="K1907" s="16">
        <f>IF(COUNTIFS(Release_Calendar!$A$2:$A$755,"US_CPI",Release_Calendar!$B$2:$B$755,$A1907)&gt;0,1,0)</f>
        <v>0</v>
      </c>
      <c r="L1907" s="16">
        <f>IF(COUNTIFS(Release_Calendar!$A$2:$A$755,"US_NFP",Release_Calendar!$B$2:$B$755,$A1907)&gt;0,1,0)</f>
        <v>0</v>
      </c>
      <c r="M1907" s="16" t="str">
        <f>IF($A1907&lt;Notes!$B$5,"",IF(COUNTIFS(Release_Calendar!$A$2:$A$755,"NZ_CPI",Release_Calendar!$B$2:$B$755,$A1907)&gt;0,1,0))</f>
        <v/>
      </c>
      <c r="N1907" s="16" t="str">
        <f>IF($A1907&lt;Notes!$B$5,"",IF(COUNTIFS(Release_Calendar!$A$2:$A$755,"NZ_GDP",Release_Calendar!$B$2:$B$755,$A1907)&gt;0,1,0))</f>
        <v/>
      </c>
      <c r="O1907" s="16" t="str">
        <f>IF($A1907&lt;Notes!$B$5,"",IF(COUNTIFS(Release_Calendar!$A$2:$A$755,"NZ_LABOUR",Release_Calendar!$B$2:$B$755,$A1907)&gt;0,1,0))</f>
        <v/>
      </c>
      <c r="P1907" s="16">
        <f t="shared" si="4"/>
        <v>0</v>
      </c>
    </row>
    <row r="1908" ht="15.75" customHeight="1">
      <c r="A1908" s="14">
        <v>39196.0</v>
      </c>
      <c r="B1908" s="15">
        <v>4.58</v>
      </c>
      <c r="C1908" s="15"/>
      <c r="D1908" s="15">
        <v>7.16</v>
      </c>
      <c r="E1908" s="15"/>
      <c r="F1908" s="15" t="str">
        <f t="shared" si="1"/>
        <v/>
      </c>
      <c r="G1908" s="15">
        <f t="shared" si="2"/>
        <v>7.16</v>
      </c>
      <c r="H1908" s="16">
        <v>1.0</v>
      </c>
      <c r="I1908" s="15">
        <f t="shared" si="3"/>
        <v>2.58</v>
      </c>
      <c r="J1908" s="15">
        <v>13.12</v>
      </c>
      <c r="K1908" s="16">
        <f>IF(COUNTIFS(Release_Calendar!$A$2:$A$755,"US_CPI",Release_Calendar!$B$2:$B$755,$A1908)&gt;0,1,0)</f>
        <v>0</v>
      </c>
      <c r="L1908" s="16">
        <f>IF(COUNTIFS(Release_Calendar!$A$2:$A$755,"US_NFP",Release_Calendar!$B$2:$B$755,$A1908)&gt;0,1,0)</f>
        <v>0</v>
      </c>
      <c r="M1908" s="16" t="str">
        <f>IF($A1908&lt;Notes!$B$5,"",IF(COUNTIFS(Release_Calendar!$A$2:$A$755,"NZ_CPI",Release_Calendar!$B$2:$B$755,$A1908)&gt;0,1,0))</f>
        <v/>
      </c>
      <c r="N1908" s="16" t="str">
        <f>IF($A1908&lt;Notes!$B$5,"",IF(COUNTIFS(Release_Calendar!$A$2:$A$755,"NZ_GDP",Release_Calendar!$B$2:$B$755,$A1908)&gt;0,1,0))</f>
        <v/>
      </c>
      <c r="O1908" s="16" t="str">
        <f>IF($A1908&lt;Notes!$B$5,"",IF(COUNTIFS(Release_Calendar!$A$2:$A$755,"NZ_LABOUR",Release_Calendar!$B$2:$B$755,$A1908)&gt;0,1,0))</f>
        <v/>
      </c>
      <c r="P1908" s="16">
        <f t="shared" si="4"/>
        <v>0</v>
      </c>
    </row>
    <row r="1909" ht="15.75" customHeight="1">
      <c r="A1909" s="14">
        <v>39197.0</v>
      </c>
      <c r="B1909" s="15">
        <v>4.63</v>
      </c>
      <c r="C1909" s="15"/>
      <c r="D1909" s="15"/>
      <c r="E1909" s="15"/>
      <c r="F1909" s="15" t="str">
        <f t="shared" si="1"/>
        <v/>
      </c>
      <c r="G1909" s="15" t="str">
        <f t="shared" si="2"/>
        <v/>
      </c>
      <c r="H1909" s="16">
        <v>1.0</v>
      </c>
      <c r="I1909" s="15" t="str">
        <f t="shared" si="3"/>
        <v/>
      </c>
      <c r="J1909" s="15">
        <v>13.21</v>
      </c>
      <c r="K1909" s="16">
        <f>IF(COUNTIFS(Release_Calendar!$A$2:$A$755,"US_CPI",Release_Calendar!$B$2:$B$755,$A1909)&gt;0,1,0)</f>
        <v>0</v>
      </c>
      <c r="L1909" s="16">
        <f>IF(COUNTIFS(Release_Calendar!$A$2:$A$755,"US_NFP",Release_Calendar!$B$2:$B$755,$A1909)&gt;0,1,0)</f>
        <v>0</v>
      </c>
      <c r="M1909" s="16" t="str">
        <f>IF($A1909&lt;Notes!$B$5,"",IF(COUNTIFS(Release_Calendar!$A$2:$A$755,"NZ_CPI",Release_Calendar!$B$2:$B$755,$A1909)&gt;0,1,0))</f>
        <v/>
      </c>
      <c r="N1909" s="16" t="str">
        <f>IF($A1909&lt;Notes!$B$5,"",IF(COUNTIFS(Release_Calendar!$A$2:$A$755,"NZ_GDP",Release_Calendar!$B$2:$B$755,$A1909)&gt;0,1,0))</f>
        <v/>
      </c>
      <c r="O1909" s="16" t="str">
        <f>IF($A1909&lt;Notes!$B$5,"",IF(COUNTIFS(Release_Calendar!$A$2:$A$755,"NZ_LABOUR",Release_Calendar!$B$2:$B$755,$A1909)&gt;0,1,0))</f>
        <v/>
      </c>
      <c r="P1909" s="16">
        <f t="shared" si="4"/>
        <v>0</v>
      </c>
    </row>
    <row r="1910" ht="15.75" customHeight="1">
      <c r="A1910" s="14">
        <v>39198.0</v>
      </c>
      <c r="B1910" s="15">
        <v>4.67</v>
      </c>
      <c r="C1910" s="15"/>
      <c r="D1910" s="15">
        <v>7.15</v>
      </c>
      <c r="E1910" s="15"/>
      <c r="F1910" s="15" t="str">
        <f t="shared" si="1"/>
        <v/>
      </c>
      <c r="G1910" s="15">
        <f t="shared" si="2"/>
        <v>7.15</v>
      </c>
      <c r="H1910" s="16">
        <v>1.0</v>
      </c>
      <c r="I1910" s="15">
        <f t="shared" si="3"/>
        <v>2.48</v>
      </c>
      <c r="J1910" s="15">
        <v>12.79</v>
      </c>
      <c r="K1910" s="16">
        <f>IF(COUNTIFS(Release_Calendar!$A$2:$A$755,"US_CPI",Release_Calendar!$B$2:$B$755,$A1910)&gt;0,1,0)</f>
        <v>0</v>
      </c>
      <c r="L1910" s="16">
        <f>IF(COUNTIFS(Release_Calendar!$A$2:$A$755,"US_NFP",Release_Calendar!$B$2:$B$755,$A1910)&gt;0,1,0)</f>
        <v>0</v>
      </c>
      <c r="M1910" s="16" t="str">
        <f>IF($A1910&lt;Notes!$B$5,"",IF(COUNTIFS(Release_Calendar!$A$2:$A$755,"NZ_CPI",Release_Calendar!$B$2:$B$755,$A1910)&gt;0,1,0))</f>
        <v/>
      </c>
      <c r="N1910" s="16" t="str">
        <f>IF($A1910&lt;Notes!$B$5,"",IF(COUNTIFS(Release_Calendar!$A$2:$A$755,"NZ_GDP",Release_Calendar!$B$2:$B$755,$A1910)&gt;0,1,0))</f>
        <v/>
      </c>
      <c r="O1910" s="16" t="str">
        <f>IF($A1910&lt;Notes!$B$5,"",IF(COUNTIFS(Release_Calendar!$A$2:$A$755,"NZ_LABOUR",Release_Calendar!$B$2:$B$755,$A1910)&gt;0,1,0))</f>
        <v/>
      </c>
      <c r="P1910" s="16">
        <f t="shared" si="4"/>
        <v>0</v>
      </c>
    </row>
    <row r="1911" ht="15.75" customHeight="1">
      <c r="A1911" s="14">
        <v>39199.0</v>
      </c>
      <c r="B1911" s="15">
        <v>4.67</v>
      </c>
      <c r="C1911" s="15"/>
      <c r="D1911" s="15">
        <v>7.16</v>
      </c>
      <c r="E1911" s="15"/>
      <c r="F1911" s="15" t="str">
        <f t="shared" si="1"/>
        <v/>
      </c>
      <c r="G1911" s="15">
        <f t="shared" si="2"/>
        <v>7.16</v>
      </c>
      <c r="H1911" s="16">
        <v>1.0</v>
      </c>
      <c r="I1911" s="15">
        <f t="shared" si="3"/>
        <v>2.49</v>
      </c>
      <c r="J1911" s="15">
        <v>12.45</v>
      </c>
      <c r="K1911" s="16">
        <f>IF(COUNTIFS(Release_Calendar!$A$2:$A$755,"US_CPI",Release_Calendar!$B$2:$B$755,$A1911)&gt;0,1,0)</f>
        <v>0</v>
      </c>
      <c r="L1911" s="16">
        <f>IF(COUNTIFS(Release_Calendar!$A$2:$A$755,"US_NFP",Release_Calendar!$B$2:$B$755,$A1911)&gt;0,1,0)</f>
        <v>0</v>
      </c>
      <c r="M1911" s="16" t="str">
        <f>IF($A1911&lt;Notes!$B$5,"",IF(COUNTIFS(Release_Calendar!$A$2:$A$755,"NZ_CPI",Release_Calendar!$B$2:$B$755,$A1911)&gt;0,1,0))</f>
        <v/>
      </c>
      <c r="N1911" s="16" t="str">
        <f>IF($A1911&lt;Notes!$B$5,"",IF(COUNTIFS(Release_Calendar!$A$2:$A$755,"NZ_GDP",Release_Calendar!$B$2:$B$755,$A1911)&gt;0,1,0))</f>
        <v/>
      </c>
      <c r="O1911" s="16" t="str">
        <f>IF($A1911&lt;Notes!$B$5,"",IF(COUNTIFS(Release_Calendar!$A$2:$A$755,"NZ_LABOUR",Release_Calendar!$B$2:$B$755,$A1911)&gt;0,1,0))</f>
        <v/>
      </c>
      <c r="P1911" s="16">
        <f t="shared" si="4"/>
        <v>0</v>
      </c>
    </row>
    <row r="1912" ht="15.75" customHeight="1">
      <c r="A1912" s="14">
        <v>39202.0</v>
      </c>
      <c r="B1912" s="15">
        <v>4.6</v>
      </c>
      <c r="C1912" s="15"/>
      <c r="D1912" s="15">
        <v>7.15</v>
      </c>
      <c r="E1912" s="15"/>
      <c r="F1912" s="15" t="str">
        <f t="shared" si="1"/>
        <v/>
      </c>
      <c r="G1912" s="15">
        <f t="shared" si="2"/>
        <v>7.15</v>
      </c>
      <c r="H1912" s="16">
        <v>1.0</v>
      </c>
      <c r="I1912" s="15">
        <f t="shared" si="3"/>
        <v>2.55</v>
      </c>
      <c r="J1912" s="15">
        <v>14.22</v>
      </c>
      <c r="K1912" s="16">
        <f>IF(COUNTIFS(Release_Calendar!$A$2:$A$755,"US_CPI",Release_Calendar!$B$2:$B$755,$A1912)&gt;0,1,0)</f>
        <v>0</v>
      </c>
      <c r="L1912" s="16">
        <f>IF(COUNTIFS(Release_Calendar!$A$2:$A$755,"US_NFP",Release_Calendar!$B$2:$B$755,$A1912)&gt;0,1,0)</f>
        <v>0</v>
      </c>
      <c r="M1912" s="16" t="str">
        <f>IF($A1912&lt;Notes!$B$5,"",IF(COUNTIFS(Release_Calendar!$A$2:$A$755,"NZ_CPI",Release_Calendar!$B$2:$B$755,$A1912)&gt;0,1,0))</f>
        <v/>
      </c>
      <c r="N1912" s="16" t="str">
        <f>IF($A1912&lt;Notes!$B$5,"",IF(COUNTIFS(Release_Calendar!$A$2:$A$755,"NZ_GDP",Release_Calendar!$B$2:$B$755,$A1912)&gt;0,1,0))</f>
        <v/>
      </c>
      <c r="O1912" s="16" t="str">
        <f>IF($A1912&lt;Notes!$B$5,"",IF(COUNTIFS(Release_Calendar!$A$2:$A$755,"NZ_LABOUR",Release_Calendar!$B$2:$B$755,$A1912)&gt;0,1,0))</f>
        <v/>
      </c>
      <c r="P1912" s="16">
        <f t="shared" si="4"/>
        <v>0</v>
      </c>
    </row>
    <row r="1913" ht="15.75" customHeight="1">
      <c r="A1913" s="14">
        <v>39203.0</v>
      </c>
      <c r="B1913" s="15">
        <v>4.63</v>
      </c>
      <c r="C1913" s="15"/>
      <c r="D1913" s="15">
        <v>7.11</v>
      </c>
      <c r="E1913" s="15"/>
      <c r="F1913" s="15" t="str">
        <f t="shared" si="1"/>
        <v/>
      </c>
      <c r="G1913" s="15">
        <f t="shared" si="2"/>
        <v>7.11</v>
      </c>
      <c r="H1913" s="16">
        <v>1.0</v>
      </c>
      <c r="I1913" s="15">
        <f t="shared" si="3"/>
        <v>2.48</v>
      </c>
      <c r="J1913" s="15">
        <v>13.51</v>
      </c>
      <c r="K1913" s="16">
        <f>IF(COUNTIFS(Release_Calendar!$A$2:$A$755,"US_CPI",Release_Calendar!$B$2:$B$755,$A1913)&gt;0,1,0)</f>
        <v>0</v>
      </c>
      <c r="L1913" s="16">
        <f>IF(COUNTIFS(Release_Calendar!$A$2:$A$755,"US_NFP",Release_Calendar!$B$2:$B$755,$A1913)&gt;0,1,0)</f>
        <v>0</v>
      </c>
      <c r="M1913" s="16" t="str">
        <f>IF($A1913&lt;Notes!$B$5,"",IF(COUNTIFS(Release_Calendar!$A$2:$A$755,"NZ_CPI",Release_Calendar!$B$2:$B$755,$A1913)&gt;0,1,0))</f>
        <v/>
      </c>
      <c r="N1913" s="16" t="str">
        <f>IF($A1913&lt;Notes!$B$5,"",IF(COUNTIFS(Release_Calendar!$A$2:$A$755,"NZ_GDP",Release_Calendar!$B$2:$B$755,$A1913)&gt;0,1,0))</f>
        <v/>
      </c>
      <c r="O1913" s="16" t="str">
        <f>IF($A1913&lt;Notes!$B$5,"",IF(COUNTIFS(Release_Calendar!$A$2:$A$755,"NZ_LABOUR",Release_Calendar!$B$2:$B$755,$A1913)&gt;0,1,0))</f>
        <v/>
      </c>
      <c r="P1913" s="16">
        <f t="shared" si="4"/>
        <v>0</v>
      </c>
    </row>
    <row r="1914" ht="15.75" customHeight="1">
      <c r="A1914" s="14">
        <v>39204.0</v>
      </c>
      <c r="B1914" s="15">
        <v>4.65</v>
      </c>
      <c r="C1914" s="15"/>
      <c r="D1914" s="15">
        <v>7.13</v>
      </c>
      <c r="E1914" s="15"/>
      <c r="F1914" s="15" t="str">
        <f t="shared" si="1"/>
        <v/>
      </c>
      <c r="G1914" s="15">
        <f t="shared" si="2"/>
        <v>7.13</v>
      </c>
      <c r="H1914" s="16">
        <v>1.0</v>
      </c>
      <c r="I1914" s="15">
        <f t="shared" si="3"/>
        <v>2.48</v>
      </c>
      <c r="J1914" s="15">
        <v>13.08</v>
      </c>
      <c r="K1914" s="16">
        <f>IF(COUNTIFS(Release_Calendar!$A$2:$A$755,"US_CPI",Release_Calendar!$B$2:$B$755,$A1914)&gt;0,1,0)</f>
        <v>0</v>
      </c>
      <c r="L1914" s="16">
        <f>IF(COUNTIFS(Release_Calendar!$A$2:$A$755,"US_NFP",Release_Calendar!$B$2:$B$755,$A1914)&gt;0,1,0)</f>
        <v>0</v>
      </c>
      <c r="M1914" s="16" t="str">
        <f>IF($A1914&lt;Notes!$B$5,"",IF(COUNTIFS(Release_Calendar!$A$2:$A$755,"NZ_CPI",Release_Calendar!$B$2:$B$755,$A1914)&gt;0,1,0))</f>
        <v/>
      </c>
      <c r="N1914" s="16" t="str">
        <f>IF($A1914&lt;Notes!$B$5,"",IF(COUNTIFS(Release_Calendar!$A$2:$A$755,"NZ_GDP",Release_Calendar!$B$2:$B$755,$A1914)&gt;0,1,0))</f>
        <v/>
      </c>
      <c r="O1914" s="16" t="str">
        <f>IF($A1914&lt;Notes!$B$5,"",IF(COUNTIFS(Release_Calendar!$A$2:$A$755,"NZ_LABOUR",Release_Calendar!$B$2:$B$755,$A1914)&gt;0,1,0))</f>
        <v/>
      </c>
      <c r="P1914" s="16">
        <f t="shared" si="4"/>
        <v>0</v>
      </c>
    </row>
    <row r="1915" ht="15.75" customHeight="1">
      <c r="A1915" s="14">
        <v>39205.0</v>
      </c>
      <c r="B1915" s="15">
        <v>4.71</v>
      </c>
      <c r="C1915" s="15"/>
      <c r="D1915" s="15">
        <v>7.13</v>
      </c>
      <c r="E1915" s="15"/>
      <c r="F1915" s="15" t="str">
        <f t="shared" si="1"/>
        <v/>
      </c>
      <c r="G1915" s="15">
        <f t="shared" si="2"/>
        <v>7.13</v>
      </c>
      <c r="H1915" s="16">
        <v>1.0</v>
      </c>
      <c r="I1915" s="15">
        <f t="shared" si="3"/>
        <v>2.42</v>
      </c>
      <c r="J1915" s="15">
        <v>13.09</v>
      </c>
      <c r="K1915" s="16">
        <f>IF(COUNTIFS(Release_Calendar!$A$2:$A$755,"US_CPI",Release_Calendar!$B$2:$B$755,$A1915)&gt;0,1,0)</f>
        <v>0</v>
      </c>
      <c r="L1915" s="16">
        <f>IF(COUNTIFS(Release_Calendar!$A$2:$A$755,"US_NFP",Release_Calendar!$B$2:$B$755,$A1915)&gt;0,1,0)</f>
        <v>0</v>
      </c>
      <c r="M1915" s="16" t="str">
        <f>IF($A1915&lt;Notes!$B$5,"",IF(COUNTIFS(Release_Calendar!$A$2:$A$755,"NZ_CPI",Release_Calendar!$B$2:$B$755,$A1915)&gt;0,1,0))</f>
        <v/>
      </c>
      <c r="N1915" s="16" t="str">
        <f>IF($A1915&lt;Notes!$B$5,"",IF(COUNTIFS(Release_Calendar!$A$2:$A$755,"NZ_GDP",Release_Calendar!$B$2:$B$755,$A1915)&gt;0,1,0))</f>
        <v/>
      </c>
      <c r="O1915" s="16" t="str">
        <f>IF($A1915&lt;Notes!$B$5,"",IF(COUNTIFS(Release_Calendar!$A$2:$A$755,"NZ_LABOUR",Release_Calendar!$B$2:$B$755,$A1915)&gt;0,1,0))</f>
        <v/>
      </c>
      <c r="P1915" s="16">
        <f t="shared" si="4"/>
        <v>0</v>
      </c>
    </row>
    <row r="1916" ht="15.75" customHeight="1">
      <c r="A1916" s="14">
        <v>39206.0</v>
      </c>
      <c r="B1916" s="15">
        <v>4.68</v>
      </c>
      <c r="C1916" s="15"/>
      <c r="D1916" s="15">
        <v>7.15</v>
      </c>
      <c r="E1916" s="15"/>
      <c r="F1916" s="15" t="str">
        <f t="shared" si="1"/>
        <v/>
      </c>
      <c r="G1916" s="15">
        <f t="shared" si="2"/>
        <v>7.15</v>
      </c>
      <c r="H1916" s="16">
        <v>1.0</v>
      </c>
      <c r="I1916" s="15">
        <f t="shared" si="3"/>
        <v>2.47</v>
      </c>
      <c r="J1916" s="15">
        <v>12.91</v>
      </c>
      <c r="K1916" s="16">
        <f>IF(COUNTIFS(Release_Calendar!$A$2:$A$755,"US_CPI",Release_Calendar!$B$2:$B$755,$A1916)&gt;0,1,0)</f>
        <v>0</v>
      </c>
      <c r="L1916" s="16">
        <f>IF(COUNTIFS(Release_Calendar!$A$2:$A$755,"US_NFP",Release_Calendar!$B$2:$B$755,$A1916)&gt;0,1,0)</f>
        <v>1</v>
      </c>
      <c r="M1916" s="16" t="str">
        <f>IF($A1916&lt;Notes!$B$5,"",IF(COUNTIFS(Release_Calendar!$A$2:$A$755,"NZ_CPI",Release_Calendar!$B$2:$B$755,$A1916)&gt;0,1,0))</f>
        <v/>
      </c>
      <c r="N1916" s="16" t="str">
        <f>IF($A1916&lt;Notes!$B$5,"",IF(COUNTIFS(Release_Calendar!$A$2:$A$755,"NZ_GDP",Release_Calendar!$B$2:$B$755,$A1916)&gt;0,1,0))</f>
        <v/>
      </c>
      <c r="O1916" s="16" t="str">
        <f>IF($A1916&lt;Notes!$B$5,"",IF(COUNTIFS(Release_Calendar!$A$2:$A$755,"NZ_LABOUR",Release_Calendar!$B$2:$B$755,$A1916)&gt;0,1,0))</f>
        <v/>
      </c>
      <c r="P1916" s="16">
        <f t="shared" si="4"/>
        <v>1</v>
      </c>
    </row>
    <row r="1917" ht="15.75" customHeight="1">
      <c r="A1917" s="14">
        <v>39209.0</v>
      </c>
      <c r="B1917" s="15">
        <v>4.68</v>
      </c>
      <c r="C1917" s="15"/>
      <c r="D1917" s="15">
        <v>7.14</v>
      </c>
      <c r="E1917" s="15"/>
      <c r="F1917" s="15" t="str">
        <f t="shared" si="1"/>
        <v/>
      </c>
      <c r="G1917" s="15">
        <f t="shared" si="2"/>
        <v>7.14</v>
      </c>
      <c r="H1917" s="16">
        <v>1.0</v>
      </c>
      <c r="I1917" s="15">
        <f t="shared" si="3"/>
        <v>2.46</v>
      </c>
      <c r="J1917" s="15">
        <v>13.15</v>
      </c>
      <c r="K1917" s="16">
        <f>IF(COUNTIFS(Release_Calendar!$A$2:$A$755,"US_CPI",Release_Calendar!$B$2:$B$755,$A1917)&gt;0,1,0)</f>
        <v>0</v>
      </c>
      <c r="L1917" s="16">
        <f>IF(COUNTIFS(Release_Calendar!$A$2:$A$755,"US_NFP",Release_Calendar!$B$2:$B$755,$A1917)&gt;0,1,0)</f>
        <v>0</v>
      </c>
      <c r="M1917" s="16" t="str">
        <f>IF($A1917&lt;Notes!$B$5,"",IF(COUNTIFS(Release_Calendar!$A$2:$A$755,"NZ_CPI",Release_Calendar!$B$2:$B$755,$A1917)&gt;0,1,0))</f>
        <v/>
      </c>
      <c r="N1917" s="16" t="str">
        <f>IF($A1917&lt;Notes!$B$5,"",IF(COUNTIFS(Release_Calendar!$A$2:$A$755,"NZ_GDP",Release_Calendar!$B$2:$B$755,$A1917)&gt;0,1,0))</f>
        <v/>
      </c>
      <c r="O1917" s="16" t="str">
        <f>IF($A1917&lt;Notes!$B$5,"",IF(COUNTIFS(Release_Calendar!$A$2:$A$755,"NZ_LABOUR",Release_Calendar!$B$2:$B$755,$A1917)&gt;0,1,0))</f>
        <v/>
      </c>
      <c r="P1917" s="16">
        <f t="shared" si="4"/>
        <v>0</v>
      </c>
    </row>
    <row r="1918" ht="15.75" customHeight="1">
      <c r="A1918" s="14">
        <v>39210.0</v>
      </c>
      <c r="B1918" s="15">
        <v>4.68</v>
      </c>
      <c r="C1918" s="15"/>
      <c r="D1918" s="15">
        <v>7.14</v>
      </c>
      <c r="E1918" s="15"/>
      <c r="F1918" s="15" t="str">
        <f t="shared" si="1"/>
        <v/>
      </c>
      <c r="G1918" s="15">
        <f t="shared" si="2"/>
        <v>7.14</v>
      </c>
      <c r="H1918" s="16">
        <v>1.0</v>
      </c>
      <c r="I1918" s="15">
        <f t="shared" si="3"/>
        <v>2.46</v>
      </c>
      <c r="J1918" s="15">
        <v>13.21</v>
      </c>
      <c r="K1918" s="16">
        <f>IF(COUNTIFS(Release_Calendar!$A$2:$A$755,"US_CPI",Release_Calendar!$B$2:$B$755,$A1918)&gt;0,1,0)</f>
        <v>0</v>
      </c>
      <c r="L1918" s="16">
        <f>IF(COUNTIFS(Release_Calendar!$A$2:$A$755,"US_NFP",Release_Calendar!$B$2:$B$755,$A1918)&gt;0,1,0)</f>
        <v>0</v>
      </c>
      <c r="M1918" s="16" t="str">
        <f>IF($A1918&lt;Notes!$B$5,"",IF(COUNTIFS(Release_Calendar!$A$2:$A$755,"NZ_CPI",Release_Calendar!$B$2:$B$755,$A1918)&gt;0,1,0))</f>
        <v/>
      </c>
      <c r="N1918" s="16" t="str">
        <f>IF($A1918&lt;Notes!$B$5,"",IF(COUNTIFS(Release_Calendar!$A$2:$A$755,"NZ_GDP",Release_Calendar!$B$2:$B$755,$A1918)&gt;0,1,0))</f>
        <v/>
      </c>
      <c r="O1918" s="16" t="str">
        <f>IF($A1918&lt;Notes!$B$5,"",IF(COUNTIFS(Release_Calendar!$A$2:$A$755,"NZ_LABOUR",Release_Calendar!$B$2:$B$755,$A1918)&gt;0,1,0))</f>
        <v/>
      </c>
      <c r="P1918" s="16">
        <f t="shared" si="4"/>
        <v>0</v>
      </c>
    </row>
    <row r="1919" ht="15.75" customHeight="1">
      <c r="A1919" s="14">
        <v>39211.0</v>
      </c>
      <c r="B1919" s="15">
        <v>4.73</v>
      </c>
      <c r="C1919" s="15"/>
      <c r="D1919" s="15">
        <v>7.14</v>
      </c>
      <c r="E1919" s="15"/>
      <c r="F1919" s="15" t="str">
        <f t="shared" si="1"/>
        <v/>
      </c>
      <c r="G1919" s="15">
        <f t="shared" si="2"/>
        <v>7.14</v>
      </c>
      <c r="H1919" s="16">
        <v>1.0</v>
      </c>
      <c r="I1919" s="15">
        <f t="shared" si="3"/>
        <v>2.41</v>
      </c>
      <c r="J1919" s="15">
        <v>12.88</v>
      </c>
      <c r="K1919" s="16">
        <f>IF(COUNTIFS(Release_Calendar!$A$2:$A$755,"US_CPI",Release_Calendar!$B$2:$B$755,$A1919)&gt;0,1,0)</f>
        <v>0</v>
      </c>
      <c r="L1919" s="16">
        <f>IF(COUNTIFS(Release_Calendar!$A$2:$A$755,"US_NFP",Release_Calendar!$B$2:$B$755,$A1919)&gt;0,1,0)</f>
        <v>0</v>
      </c>
      <c r="M1919" s="16" t="str">
        <f>IF($A1919&lt;Notes!$B$5,"",IF(COUNTIFS(Release_Calendar!$A$2:$A$755,"NZ_CPI",Release_Calendar!$B$2:$B$755,$A1919)&gt;0,1,0))</f>
        <v/>
      </c>
      <c r="N1919" s="16" t="str">
        <f>IF($A1919&lt;Notes!$B$5,"",IF(COUNTIFS(Release_Calendar!$A$2:$A$755,"NZ_GDP",Release_Calendar!$B$2:$B$755,$A1919)&gt;0,1,0))</f>
        <v/>
      </c>
      <c r="O1919" s="16" t="str">
        <f>IF($A1919&lt;Notes!$B$5,"",IF(COUNTIFS(Release_Calendar!$A$2:$A$755,"NZ_LABOUR",Release_Calendar!$B$2:$B$755,$A1919)&gt;0,1,0))</f>
        <v/>
      </c>
      <c r="P1919" s="16">
        <f t="shared" si="4"/>
        <v>0</v>
      </c>
    </row>
    <row r="1920" ht="15.75" customHeight="1">
      <c r="A1920" s="14">
        <v>39212.0</v>
      </c>
      <c r="B1920" s="15">
        <v>4.7</v>
      </c>
      <c r="C1920" s="15"/>
      <c r="D1920" s="15">
        <v>7.15</v>
      </c>
      <c r="E1920" s="15"/>
      <c r="F1920" s="15" t="str">
        <f t="shared" si="1"/>
        <v/>
      </c>
      <c r="G1920" s="15">
        <f t="shared" si="2"/>
        <v>7.15</v>
      </c>
      <c r="H1920" s="16">
        <v>1.0</v>
      </c>
      <c r="I1920" s="15">
        <f t="shared" si="3"/>
        <v>2.45</v>
      </c>
      <c r="J1920" s="15">
        <v>13.6</v>
      </c>
      <c r="K1920" s="16">
        <f>IF(COUNTIFS(Release_Calendar!$A$2:$A$755,"US_CPI",Release_Calendar!$B$2:$B$755,$A1920)&gt;0,1,0)</f>
        <v>0</v>
      </c>
      <c r="L1920" s="16">
        <f>IF(COUNTIFS(Release_Calendar!$A$2:$A$755,"US_NFP",Release_Calendar!$B$2:$B$755,$A1920)&gt;0,1,0)</f>
        <v>0</v>
      </c>
      <c r="M1920" s="16" t="str">
        <f>IF($A1920&lt;Notes!$B$5,"",IF(COUNTIFS(Release_Calendar!$A$2:$A$755,"NZ_CPI",Release_Calendar!$B$2:$B$755,$A1920)&gt;0,1,0))</f>
        <v/>
      </c>
      <c r="N1920" s="16" t="str">
        <f>IF($A1920&lt;Notes!$B$5,"",IF(COUNTIFS(Release_Calendar!$A$2:$A$755,"NZ_GDP",Release_Calendar!$B$2:$B$755,$A1920)&gt;0,1,0))</f>
        <v/>
      </c>
      <c r="O1920" s="16" t="str">
        <f>IF($A1920&lt;Notes!$B$5,"",IF(COUNTIFS(Release_Calendar!$A$2:$A$755,"NZ_LABOUR",Release_Calendar!$B$2:$B$755,$A1920)&gt;0,1,0))</f>
        <v/>
      </c>
      <c r="P1920" s="16">
        <f t="shared" si="4"/>
        <v>0</v>
      </c>
    </row>
    <row r="1921" ht="15.75" customHeight="1">
      <c r="A1921" s="14">
        <v>39213.0</v>
      </c>
      <c r="B1921" s="15">
        <v>4.71</v>
      </c>
      <c r="C1921" s="15"/>
      <c r="D1921" s="15">
        <v>7.15</v>
      </c>
      <c r="E1921" s="15"/>
      <c r="F1921" s="15" t="str">
        <f t="shared" si="1"/>
        <v/>
      </c>
      <c r="G1921" s="15">
        <f t="shared" si="2"/>
        <v>7.15</v>
      </c>
      <c r="H1921" s="16">
        <v>1.0</v>
      </c>
      <c r="I1921" s="15">
        <f t="shared" si="3"/>
        <v>2.44</v>
      </c>
      <c r="J1921" s="15">
        <v>12.95</v>
      </c>
      <c r="K1921" s="16">
        <f>IF(COUNTIFS(Release_Calendar!$A$2:$A$755,"US_CPI",Release_Calendar!$B$2:$B$755,$A1921)&gt;0,1,0)</f>
        <v>0</v>
      </c>
      <c r="L1921" s="16">
        <f>IF(COUNTIFS(Release_Calendar!$A$2:$A$755,"US_NFP",Release_Calendar!$B$2:$B$755,$A1921)&gt;0,1,0)</f>
        <v>0</v>
      </c>
      <c r="M1921" s="16" t="str">
        <f>IF($A1921&lt;Notes!$B$5,"",IF(COUNTIFS(Release_Calendar!$A$2:$A$755,"NZ_CPI",Release_Calendar!$B$2:$B$755,$A1921)&gt;0,1,0))</f>
        <v/>
      </c>
      <c r="N1921" s="16" t="str">
        <f>IF($A1921&lt;Notes!$B$5,"",IF(COUNTIFS(Release_Calendar!$A$2:$A$755,"NZ_GDP",Release_Calendar!$B$2:$B$755,$A1921)&gt;0,1,0))</f>
        <v/>
      </c>
      <c r="O1921" s="16" t="str">
        <f>IF($A1921&lt;Notes!$B$5,"",IF(COUNTIFS(Release_Calendar!$A$2:$A$755,"NZ_LABOUR",Release_Calendar!$B$2:$B$755,$A1921)&gt;0,1,0))</f>
        <v/>
      </c>
      <c r="P1921" s="16">
        <f t="shared" si="4"/>
        <v>0</v>
      </c>
    </row>
    <row r="1922" ht="15.75" customHeight="1">
      <c r="A1922" s="14">
        <v>39216.0</v>
      </c>
      <c r="B1922" s="15">
        <v>4.73</v>
      </c>
      <c r="C1922" s="15"/>
      <c r="D1922" s="15">
        <v>7.18</v>
      </c>
      <c r="E1922" s="15"/>
      <c r="F1922" s="15" t="str">
        <f t="shared" si="1"/>
        <v/>
      </c>
      <c r="G1922" s="15">
        <f t="shared" si="2"/>
        <v>7.18</v>
      </c>
      <c r="H1922" s="16">
        <v>1.0</v>
      </c>
      <c r="I1922" s="15">
        <f t="shared" si="3"/>
        <v>2.45</v>
      </c>
      <c r="J1922" s="15">
        <v>13.96</v>
      </c>
      <c r="K1922" s="16">
        <f>IF(COUNTIFS(Release_Calendar!$A$2:$A$755,"US_CPI",Release_Calendar!$B$2:$B$755,$A1922)&gt;0,1,0)</f>
        <v>0</v>
      </c>
      <c r="L1922" s="16">
        <f>IF(COUNTIFS(Release_Calendar!$A$2:$A$755,"US_NFP",Release_Calendar!$B$2:$B$755,$A1922)&gt;0,1,0)</f>
        <v>0</v>
      </c>
      <c r="M1922" s="16" t="str">
        <f>IF($A1922&lt;Notes!$B$5,"",IF(COUNTIFS(Release_Calendar!$A$2:$A$755,"NZ_CPI",Release_Calendar!$B$2:$B$755,$A1922)&gt;0,1,0))</f>
        <v/>
      </c>
      <c r="N1922" s="16" t="str">
        <f>IF($A1922&lt;Notes!$B$5,"",IF(COUNTIFS(Release_Calendar!$A$2:$A$755,"NZ_GDP",Release_Calendar!$B$2:$B$755,$A1922)&gt;0,1,0))</f>
        <v/>
      </c>
      <c r="O1922" s="16" t="str">
        <f>IF($A1922&lt;Notes!$B$5,"",IF(COUNTIFS(Release_Calendar!$A$2:$A$755,"NZ_LABOUR",Release_Calendar!$B$2:$B$755,$A1922)&gt;0,1,0))</f>
        <v/>
      </c>
      <c r="P1922" s="16">
        <f t="shared" si="4"/>
        <v>0</v>
      </c>
    </row>
    <row r="1923" ht="15.75" customHeight="1">
      <c r="A1923" s="14">
        <v>39217.0</v>
      </c>
      <c r="B1923" s="15">
        <v>4.75</v>
      </c>
      <c r="C1923" s="15"/>
      <c r="D1923" s="15">
        <v>7.15</v>
      </c>
      <c r="E1923" s="15"/>
      <c r="F1923" s="15" t="str">
        <f t="shared" si="1"/>
        <v/>
      </c>
      <c r="G1923" s="15">
        <f t="shared" si="2"/>
        <v>7.15</v>
      </c>
      <c r="H1923" s="16">
        <v>1.0</v>
      </c>
      <c r="I1923" s="15">
        <f t="shared" si="3"/>
        <v>2.4</v>
      </c>
      <c r="J1923" s="15">
        <v>14.01</v>
      </c>
      <c r="K1923" s="16">
        <f>IF(COUNTIFS(Release_Calendar!$A$2:$A$755,"US_CPI",Release_Calendar!$B$2:$B$755,$A1923)&gt;0,1,0)</f>
        <v>1</v>
      </c>
      <c r="L1923" s="16">
        <f>IF(COUNTIFS(Release_Calendar!$A$2:$A$755,"US_NFP",Release_Calendar!$B$2:$B$755,$A1923)&gt;0,1,0)</f>
        <v>0</v>
      </c>
      <c r="M1923" s="16" t="str">
        <f>IF($A1923&lt;Notes!$B$5,"",IF(COUNTIFS(Release_Calendar!$A$2:$A$755,"NZ_CPI",Release_Calendar!$B$2:$B$755,$A1923)&gt;0,1,0))</f>
        <v/>
      </c>
      <c r="N1923" s="16" t="str">
        <f>IF($A1923&lt;Notes!$B$5,"",IF(COUNTIFS(Release_Calendar!$A$2:$A$755,"NZ_GDP",Release_Calendar!$B$2:$B$755,$A1923)&gt;0,1,0))</f>
        <v/>
      </c>
      <c r="O1923" s="16" t="str">
        <f>IF($A1923&lt;Notes!$B$5,"",IF(COUNTIFS(Release_Calendar!$A$2:$A$755,"NZ_LABOUR",Release_Calendar!$B$2:$B$755,$A1923)&gt;0,1,0))</f>
        <v/>
      </c>
      <c r="P1923" s="16">
        <f t="shared" si="4"/>
        <v>1</v>
      </c>
    </row>
    <row r="1924" ht="15.75" customHeight="1">
      <c r="A1924" s="14">
        <v>39218.0</v>
      </c>
      <c r="B1924" s="15">
        <v>4.73</v>
      </c>
      <c r="C1924" s="15"/>
      <c r="D1924" s="15">
        <v>7.13</v>
      </c>
      <c r="E1924" s="15"/>
      <c r="F1924" s="15" t="str">
        <f t="shared" si="1"/>
        <v/>
      </c>
      <c r="G1924" s="15">
        <f t="shared" si="2"/>
        <v>7.13</v>
      </c>
      <c r="H1924" s="16">
        <v>1.0</v>
      </c>
      <c r="I1924" s="15">
        <f t="shared" si="3"/>
        <v>2.4</v>
      </c>
      <c r="J1924" s="15">
        <v>13.5</v>
      </c>
      <c r="K1924" s="16">
        <f>IF(COUNTIFS(Release_Calendar!$A$2:$A$755,"US_CPI",Release_Calendar!$B$2:$B$755,$A1924)&gt;0,1,0)</f>
        <v>0</v>
      </c>
      <c r="L1924" s="16">
        <f>IF(COUNTIFS(Release_Calendar!$A$2:$A$755,"US_NFP",Release_Calendar!$B$2:$B$755,$A1924)&gt;0,1,0)</f>
        <v>0</v>
      </c>
      <c r="M1924" s="16" t="str">
        <f>IF($A1924&lt;Notes!$B$5,"",IF(COUNTIFS(Release_Calendar!$A$2:$A$755,"NZ_CPI",Release_Calendar!$B$2:$B$755,$A1924)&gt;0,1,0))</f>
        <v/>
      </c>
      <c r="N1924" s="16" t="str">
        <f>IF($A1924&lt;Notes!$B$5,"",IF(COUNTIFS(Release_Calendar!$A$2:$A$755,"NZ_GDP",Release_Calendar!$B$2:$B$755,$A1924)&gt;0,1,0))</f>
        <v/>
      </c>
      <c r="O1924" s="16" t="str">
        <f>IF($A1924&lt;Notes!$B$5,"",IF(COUNTIFS(Release_Calendar!$A$2:$A$755,"NZ_LABOUR",Release_Calendar!$B$2:$B$755,$A1924)&gt;0,1,0))</f>
        <v/>
      </c>
      <c r="P1924" s="16">
        <f t="shared" si="4"/>
        <v>0</v>
      </c>
    </row>
    <row r="1925" ht="15.75" customHeight="1">
      <c r="A1925" s="14">
        <v>39219.0</v>
      </c>
      <c r="B1925" s="15">
        <v>4.78</v>
      </c>
      <c r="C1925" s="15"/>
      <c r="D1925" s="15">
        <v>7.12</v>
      </c>
      <c r="E1925" s="15"/>
      <c r="F1925" s="15" t="str">
        <f t="shared" si="1"/>
        <v/>
      </c>
      <c r="G1925" s="15">
        <f t="shared" si="2"/>
        <v>7.12</v>
      </c>
      <c r="H1925" s="16">
        <v>1.0</v>
      </c>
      <c r="I1925" s="15">
        <f t="shared" si="3"/>
        <v>2.34</v>
      </c>
      <c r="J1925" s="15">
        <v>13.51</v>
      </c>
      <c r="K1925" s="16">
        <f>IF(COUNTIFS(Release_Calendar!$A$2:$A$755,"US_CPI",Release_Calendar!$B$2:$B$755,$A1925)&gt;0,1,0)</f>
        <v>0</v>
      </c>
      <c r="L1925" s="16">
        <f>IF(COUNTIFS(Release_Calendar!$A$2:$A$755,"US_NFP",Release_Calendar!$B$2:$B$755,$A1925)&gt;0,1,0)</f>
        <v>0</v>
      </c>
      <c r="M1925" s="16" t="str">
        <f>IF($A1925&lt;Notes!$B$5,"",IF(COUNTIFS(Release_Calendar!$A$2:$A$755,"NZ_CPI",Release_Calendar!$B$2:$B$755,$A1925)&gt;0,1,0))</f>
        <v/>
      </c>
      <c r="N1925" s="16" t="str">
        <f>IF($A1925&lt;Notes!$B$5,"",IF(COUNTIFS(Release_Calendar!$A$2:$A$755,"NZ_GDP",Release_Calendar!$B$2:$B$755,$A1925)&gt;0,1,0))</f>
        <v/>
      </c>
      <c r="O1925" s="16" t="str">
        <f>IF($A1925&lt;Notes!$B$5,"",IF(COUNTIFS(Release_Calendar!$A$2:$A$755,"NZ_LABOUR",Release_Calendar!$B$2:$B$755,$A1925)&gt;0,1,0))</f>
        <v/>
      </c>
      <c r="P1925" s="16">
        <f t="shared" si="4"/>
        <v>0</v>
      </c>
    </row>
    <row r="1926" ht="15.75" customHeight="1">
      <c r="A1926" s="14">
        <v>39220.0</v>
      </c>
      <c r="B1926" s="15">
        <v>4.82</v>
      </c>
      <c r="C1926" s="15"/>
      <c r="D1926" s="15">
        <v>7.13</v>
      </c>
      <c r="E1926" s="15"/>
      <c r="F1926" s="15" t="str">
        <f t="shared" si="1"/>
        <v/>
      </c>
      <c r="G1926" s="15">
        <f t="shared" si="2"/>
        <v>7.13</v>
      </c>
      <c r="H1926" s="16">
        <v>1.0</v>
      </c>
      <c r="I1926" s="15">
        <f t="shared" si="3"/>
        <v>2.31</v>
      </c>
      <c r="J1926" s="15">
        <v>12.76</v>
      </c>
      <c r="K1926" s="16">
        <f>IF(COUNTIFS(Release_Calendar!$A$2:$A$755,"US_CPI",Release_Calendar!$B$2:$B$755,$A1926)&gt;0,1,0)</f>
        <v>0</v>
      </c>
      <c r="L1926" s="16">
        <f>IF(COUNTIFS(Release_Calendar!$A$2:$A$755,"US_NFP",Release_Calendar!$B$2:$B$755,$A1926)&gt;0,1,0)</f>
        <v>0</v>
      </c>
      <c r="M1926" s="16" t="str">
        <f>IF($A1926&lt;Notes!$B$5,"",IF(COUNTIFS(Release_Calendar!$A$2:$A$755,"NZ_CPI",Release_Calendar!$B$2:$B$755,$A1926)&gt;0,1,0))</f>
        <v/>
      </c>
      <c r="N1926" s="16" t="str">
        <f>IF($A1926&lt;Notes!$B$5,"",IF(COUNTIFS(Release_Calendar!$A$2:$A$755,"NZ_GDP",Release_Calendar!$B$2:$B$755,$A1926)&gt;0,1,0))</f>
        <v/>
      </c>
      <c r="O1926" s="16" t="str">
        <f>IF($A1926&lt;Notes!$B$5,"",IF(COUNTIFS(Release_Calendar!$A$2:$A$755,"NZ_LABOUR",Release_Calendar!$B$2:$B$755,$A1926)&gt;0,1,0))</f>
        <v/>
      </c>
      <c r="P1926" s="16">
        <f t="shared" si="4"/>
        <v>0</v>
      </c>
    </row>
    <row r="1927" ht="15.75" customHeight="1">
      <c r="A1927" s="14">
        <v>39223.0</v>
      </c>
      <c r="B1927" s="15">
        <v>4.81</v>
      </c>
      <c r="C1927" s="15"/>
      <c r="D1927" s="15">
        <v>7.13</v>
      </c>
      <c r="E1927" s="15"/>
      <c r="F1927" s="15" t="str">
        <f t="shared" si="1"/>
        <v/>
      </c>
      <c r="G1927" s="15">
        <f t="shared" si="2"/>
        <v>7.13</v>
      </c>
      <c r="H1927" s="16">
        <v>1.0</v>
      </c>
      <c r="I1927" s="15">
        <f t="shared" si="3"/>
        <v>2.32</v>
      </c>
      <c r="J1927" s="15">
        <v>13.3</v>
      </c>
      <c r="K1927" s="16">
        <f>IF(COUNTIFS(Release_Calendar!$A$2:$A$755,"US_CPI",Release_Calendar!$B$2:$B$755,$A1927)&gt;0,1,0)</f>
        <v>0</v>
      </c>
      <c r="L1927" s="16">
        <f>IF(COUNTIFS(Release_Calendar!$A$2:$A$755,"US_NFP",Release_Calendar!$B$2:$B$755,$A1927)&gt;0,1,0)</f>
        <v>0</v>
      </c>
      <c r="M1927" s="16" t="str">
        <f>IF($A1927&lt;Notes!$B$5,"",IF(COUNTIFS(Release_Calendar!$A$2:$A$755,"NZ_CPI",Release_Calendar!$B$2:$B$755,$A1927)&gt;0,1,0))</f>
        <v/>
      </c>
      <c r="N1927" s="16" t="str">
        <f>IF($A1927&lt;Notes!$B$5,"",IF(COUNTIFS(Release_Calendar!$A$2:$A$755,"NZ_GDP",Release_Calendar!$B$2:$B$755,$A1927)&gt;0,1,0))</f>
        <v/>
      </c>
      <c r="O1927" s="16" t="str">
        <f>IF($A1927&lt;Notes!$B$5,"",IF(COUNTIFS(Release_Calendar!$A$2:$A$755,"NZ_LABOUR",Release_Calendar!$B$2:$B$755,$A1927)&gt;0,1,0))</f>
        <v/>
      </c>
      <c r="P1927" s="16">
        <f t="shared" si="4"/>
        <v>0</v>
      </c>
    </row>
    <row r="1928" ht="15.75" customHeight="1">
      <c r="A1928" s="14">
        <v>39224.0</v>
      </c>
      <c r="B1928" s="15">
        <v>4.83</v>
      </c>
      <c r="C1928" s="15"/>
      <c r="D1928" s="15">
        <v>7.13</v>
      </c>
      <c r="E1928" s="15"/>
      <c r="F1928" s="15" t="str">
        <f t="shared" si="1"/>
        <v/>
      </c>
      <c r="G1928" s="15">
        <f t="shared" si="2"/>
        <v>7.13</v>
      </c>
      <c r="H1928" s="16">
        <v>1.0</v>
      </c>
      <c r="I1928" s="15">
        <f t="shared" si="3"/>
        <v>2.3</v>
      </c>
      <c r="J1928" s="15">
        <v>13.06</v>
      </c>
      <c r="K1928" s="16">
        <f>IF(COUNTIFS(Release_Calendar!$A$2:$A$755,"US_CPI",Release_Calendar!$B$2:$B$755,$A1928)&gt;0,1,0)</f>
        <v>0</v>
      </c>
      <c r="L1928" s="16">
        <f>IF(COUNTIFS(Release_Calendar!$A$2:$A$755,"US_NFP",Release_Calendar!$B$2:$B$755,$A1928)&gt;0,1,0)</f>
        <v>0</v>
      </c>
      <c r="M1928" s="16" t="str">
        <f>IF($A1928&lt;Notes!$B$5,"",IF(COUNTIFS(Release_Calendar!$A$2:$A$755,"NZ_CPI",Release_Calendar!$B$2:$B$755,$A1928)&gt;0,1,0))</f>
        <v/>
      </c>
      <c r="N1928" s="16" t="str">
        <f>IF($A1928&lt;Notes!$B$5,"",IF(COUNTIFS(Release_Calendar!$A$2:$A$755,"NZ_GDP",Release_Calendar!$B$2:$B$755,$A1928)&gt;0,1,0))</f>
        <v/>
      </c>
      <c r="O1928" s="16" t="str">
        <f>IF($A1928&lt;Notes!$B$5,"",IF(COUNTIFS(Release_Calendar!$A$2:$A$755,"NZ_LABOUR",Release_Calendar!$B$2:$B$755,$A1928)&gt;0,1,0))</f>
        <v/>
      </c>
      <c r="P1928" s="16">
        <f t="shared" si="4"/>
        <v>0</v>
      </c>
    </row>
    <row r="1929" ht="15.75" customHeight="1">
      <c r="A1929" s="14">
        <v>39225.0</v>
      </c>
      <c r="B1929" s="15">
        <v>4.85</v>
      </c>
      <c r="C1929" s="15"/>
      <c r="D1929" s="15">
        <v>7.13</v>
      </c>
      <c r="E1929" s="15"/>
      <c r="F1929" s="15" t="str">
        <f t="shared" si="1"/>
        <v/>
      </c>
      <c r="G1929" s="15">
        <f t="shared" si="2"/>
        <v>7.13</v>
      </c>
      <c r="H1929" s="16">
        <v>1.0</v>
      </c>
      <c r="I1929" s="15">
        <f t="shared" si="3"/>
        <v>2.28</v>
      </c>
      <c r="J1929" s="15">
        <v>13.24</v>
      </c>
      <c r="K1929" s="16">
        <f>IF(COUNTIFS(Release_Calendar!$A$2:$A$755,"US_CPI",Release_Calendar!$B$2:$B$755,$A1929)&gt;0,1,0)</f>
        <v>0</v>
      </c>
      <c r="L1929" s="16">
        <f>IF(COUNTIFS(Release_Calendar!$A$2:$A$755,"US_NFP",Release_Calendar!$B$2:$B$755,$A1929)&gt;0,1,0)</f>
        <v>0</v>
      </c>
      <c r="M1929" s="16" t="str">
        <f>IF($A1929&lt;Notes!$B$5,"",IF(COUNTIFS(Release_Calendar!$A$2:$A$755,"NZ_CPI",Release_Calendar!$B$2:$B$755,$A1929)&gt;0,1,0))</f>
        <v/>
      </c>
      <c r="N1929" s="16" t="str">
        <f>IF($A1929&lt;Notes!$B$5,"",IF(COUNTIFS(Release_Calendar!$A$2:$A$755,"NZ_GDP",Release_Calendar!$B$2:$B$755,$A1929)&gt;0,1,0))</f>
        <v/>
      </c>
      <c r="O1929" s="16" t="str">
        <f>IF($A1929&lt;Notes!$B$5,"",IF(COUNTIFS(Release_Calendar!$A$2:$A$755,"NZ_LABOUR",Release_Calendar!$B$2:$B$755,$A1929)&gt;0,1,0))</f>
        <v/>
      </c>
      <c r="P1929" s="16">
        <f t="shared" si="4"/>
        <v>0</v>
      </c>
    </row>
    <row r="1930" ht="15.75" customHeight="1">
      <c r="A1930" s="14">
        <v>39226.0</v>
      </c>
      <c r="B1930" s="15">
        <v>4.85</v>
      </c>
      <c r="C1930" s="15"/>
      <c r="D1930" s="15">
        <v>7.14</v>
      </c>
      <c r="E1930" s="15"/>
      <c r="F1930" s="15" t="str">
        <f t="shared" si="1"/>
        <v/>
      </c>
      <c r="G1930" s="15">
        <f t="shared" si="2"/>
        <v>7.14</v>
      </c>
      <c r="H1930" s="16">
        <v>1.0</v>
      </c>
      <c r="I1930" s="15">
        <f t="shared" si="3"/>
        <v>2.29</v>
      </c>
      <c r="J1930" s="15">
        <v>14.08</v>
      </c>
      <c r="K1930" s="16">
        <f>IF(COUNTIFS(Release_Calendar!$A$2:$A$755,"US_CPI",Release_Calendar!$B$2:$B$755,$A1930)&gt;0,1,0)</f>
        <v>0</v>
      </c>
      <c r="L1930" s="16">
        <f>IF(COUNTIFS(Release_Calendar!$A$2:$A$755,"US_NFP",Release_Calendar!$B$2:$B$755,$A1930)&gt;0,1,0)</f>
        <v>0</v>
      </c>
      <c r="M1930" s="16" t="str">
        <f>IF($A1930&lt;Notes!$B$5,"",IF(COUNTIFS(Release_Calendar!$A$2:$A$755,"NZ_CPI",Release_Calendar!$B$2:$B$755,$A1930)&gt;0,1,0))</f>
        <v/>
      </c>
      <c r="N1930" s="16" t="str">
        <f>IF($A1930&lt;Notes!$B$5,"",IF(COUNTIFS(Release_Calendar!$A$2:$A$755,"NZ_GDP",Release_Calendar!$B$2:$B$755,$A1930)&gt;0,1,0))</f>
        <v/>
      </c>
      <c r="O1930" s="16" t="str">
        <f>IF($A1930&lt;Notes!$B$5,"",IF(COUNTIFS(Release_Calendar!$A$2:$A$755,"NZ_LABOUR",Release_Calendar!$B$2:$B$755,$A1930)&gt;0,1,0))</f>
        <v/>
      </c>
      <c r="P1930" s="16">
        <f t="shared" si="4"/>
        <v>0</v>
      </c>
    </row>
    <row r="1931" ht="15.75" customHeight="1">
      <c r="A1931" s="14">
        <v>39227.0</v>
      </c>
      <c r="B1931" s="15">
        <v>4.85</v>
      </c>
      <c r="C1931" s="15"/>
      <c r="D1931" s="15">
        <v>7.17</v>
      </c>
      <c r="E1931" s="15"/>
      <c r="F1931" s="15" t="str">
        <f t="shared" si="1"/>
        <v/>
      </c>
      <c r="G1931" s="15">
        <f t="shared" si="2"/>
        <v>7.17</v>
      </c>
      <c r="H1931" s="16">
        <v>1.0</v>
      </c>
      <c r="I1931" s="15">
        <f t="shared" si="3"/>
        <v>2.32</v>
      </c>
      <c r="J1931" s="15">
        <v>13.34</v>
      </c>
      <c r="K1931" s="16">
        <f>IF(COUNTIFS(Release_Calendar!$A$2:$A$755,"US_CPI",Release_Calendar!$B$2:$B$755,$A1931)&gt;0,1,0)</f>
        <v>0</v>
      </c>
      <c r="L1931" s="16">
        <f>IF(COUNTIFS(Release_Calendar!$A$2:$A$755,"US_NFP",Release_Calendar!$B$2:$B$755,$A1931)&gt;0,1,0)</f>
        <v>0</v>
      </c>
      <c r="M1931" s="16" t="str">
        <f>IF($A1931&lt;Notes!$B$5,"",IF(COUNTIFS(Release_Calendar!$A$2:$A$755,"NZ_CPI",Release_Calendar!$B$2:$B$755,$A1931)&gt;0,1,0))</f>
        <v/>
      </c>
      <c r="N1931" s="16" t="str">
        <f>IF($A1931&lt;Notes!$B$5,"",IF(COUNTIFS(Release_Calendar!$A$2:$A$755,"NZ_GDP",Release_Calendar!$B$2:$B$755,$A1931)&gt;0,1,0))</f>
        <v/>
      </c>
      <c r="O1931" s="16" t="str">
        <f>IF($A1931&lt;Notes!$B$5,"",IF(COUNTIFS(Release_Calendar!$A$2:$A$755,"NZ_LABOUR",Release_Calendar!$B$2:$B$755,$A1931)&gt;0,1,0))</f>
        <v/>
      </c>
      <c r="P1931" s="16">
        <f t="shared" si="4"/>
        <v>0</v>
      </c>
    </row>
    <row r="1932" ht="15.75" customHeight="1">
      <c r="A1932" s="14">
        <v>39230.0</v>
      </c>
      <c r="B1932" s="15"/>
      <c r="C1932" s="15"/>
      <c r="D1932" s="15">
        <v>7.16</v>
      </c>
      <c r="E1932" s="15"/>
      <c r="F1932" s="15" t="str">
        <f t="shared" si="1"/>
        <v/>
      </c>
      <c r="G1932" s="15">
        <f t="shared" si="2"/>
        <v>7.16</v>
      </c>
      <c r="H1932" s="16">
        <v>1.0</v>
      </c>
      <c r="I1932" s="15" t="str">
        <f t="shared" si="3"/>
        <v/>
      </c>
      <c r="J1932" s="15"/>
      <c r="K1932" s="16">
        <f>IF(COUNTIFS(Release_Calendar!$A$2:$A$755,"US_CPI",Release_Calendar!$B$2:$B$755,$A1932)&gt;0,1,0)</f>
        <v>0</v>
      </c>
      <c r="L1932" s="16">
        <f>IF(COUNTIFS(Release_Calendar!$A$2:$A$755,"US_NFP",Release_Calendar!$B$2:$B$755,$A1932)&gt;0,1,0)</f>
        <v>0</v>
      </c>
      <c r="M1932" s="16" t="str">
        <f>IF($A1932&lt;Notes!$B$5,"",IF(COUNTIFS(Release_Calendar!$A$2:$A$755,"NZ_CPI",Release_Calendar!$B$2:$B$755,$A1932)&gt;0,1,0))</f>
        <v/>
      </c>
      <c r="N1932" s="16" t="str">
        <f>IF($A1932&lt;Notes!$B$5,"",IF(COUNTIFS(Release_Calendar!$A$2:$A$755,"NZ_GDP",Release_Calendar!$B$2:$B$755,$A1932)&gt;0,1,0))</f>
        <v/>
      </c>
      <c r="O1932" s="16" t="str">
        <f>IF($A1932&lt;Notes!$B$5,"",IF(COUNTIFS(Release_Calendar!$A$2:$A$755,"NZ_LABOUR",Release_Calendar!$B$2:$B$755,$A1932)&gt;0,1,0))</f>
        <v/>
      </c>
      <c r="P1932" s="16">
        <f t="shared" si="4"/>
        <v>0</v>
      </c>
    </row>
    <row r="1933" ht="15.75" customHeight="1">
      <c r="A1933" s="14">
        <v>39231.0</v>
      </c>
      <c r="B1933" s="15">
        <v>4.88</v>
      </c>
      <c r="C1933" s="15"/>
      <c r="D1933" s="15">
        <v>7.19</v>
      </c>
      <c r="E1933" s="15"/>
      <c r="F1933" s="15" t="str">
        <f t="shared" si="1"/>
        <v/>
      </c>
      <c r="G1933" s="15">
        <f t="shared" si="2"/>
        <v>7.19</v>
      </c>
      <c r="H1933" s="16">
        <v>1.0</v>
      </c>
      <c r="I1933" s="15">
        <f t="shared" si="3"/>
        <v>2.31</v>
      </c>
      <c r="J1933" s="15">
        <v>13.53</v>
      </c>
      <c r="K1933" s="16">
        <f>IF(COUNTIFS(Release_Calendar!$A$2:$A$755,"US_CPI",Release_Calendar!$B$2:$B$755,$A1933)&gt;0,1,0)</f>
        <v>0</v>
      </c>
      <c r="L1933" s="16">
        <f>IF(COUNTIFS(Release_Calendar!$A$2:$A$755,"US_NFP",Release_Calendar!$B$2:$B$755,$A1933)&gt;0,1,0)</f>
        <v>0</v>
      </c>
      <c r="M1933" s="16" t="str">
        <f>IF($A1933&lt;Notes!$B$5,"",IF(COUNTIFS(Release_Calendar!$A$2:$A$755,"NZ_CPI",Release_Calendar!$B$2:$B$755,$A1933)&gt;0,1,0))</f>
        <v/>
      </c>
      <c r="N1933" s="16" t="str">
        <f>IF($A1933&lt;Notes!$B$5,"",IF(COUNTIFS(Release_Calendar!$A$2:$A$755,"NZ_GDP",Release_Calendar!$B$2:$B$755,$A1933)&gt;0,1,0))</f>
        <v/>
      </c>
      <c r="O1933" s="16" t="str">
        <f>IF($A1933&lt;Notes!$B$5,"",IF(COUNTIFS(Release_Calendar!$A$2:$A$755,"NZ_LABOUR",Release_Calendar!$B$2:$B$755,$A1933)&gt;0,1,0))</f>
        <v/>
      </c>
      <c r="P1933" s="16">
        <f t="shared" si="4"/>
        <v>0</v>
      </c>
    </row>
    <row r="1934" ht="15.75" customHeight="1">
      <c r="A1934" s="14">
        <v>39232.0</v>
      </c>
      <c r="B1934" s="15">
        <v>4.89</v>
      </c>
      <c r="C1934" s="15"/>
      <c r="D1934" s="15">
        <v>7.22</v>
      </c>
      <c r="E1934" s="15"/>
      <c r="F1934" s="15" t="str">
        <f t="shared" si="1"/>
        <v/>
      </c>
      <c r="G1934" s="15">
        <f t="shared" si="2"/>
        <v>7.22</v>
      </c>
      <c r="H1934" s="16">
        <v>1.0</v>
      </c>
      <c r="I1934" s="15">
        <f t="shared" si="3"/>
        <v>2.33</v>
      </c>
      <c r="J1934" s="15">
        <v>12.83</v>
      </c>
      <c r="K1934" s="16">
        <f>IF(COUNTIFS(Release_Calendar!$A$2:$A$755,"US_CPI",Release_Calendar!$B$2:$B$755,$A1934)&gt;0,1,0)</f>
        <v>0</v>
      </c>
      <c r="L1934" s="16">
        <f>IF(COUNTIFS(Release_Calendar!$A$2:$A$755,"US_NFP",Release_Calendar!$B$2:$B$755,$A1934)&gt;0,1,0)</f>
        <v>0</v>
      </c>
      <c r="M1934" s="16" t="str">
        <f>IF($A1934&lt;Notes!$B$5,"",IF(COUNTIFS(Release_Calendar!$A$2:$A$755,"NZ_CPI",Release_Calendar!$B$2:$B$755,$A1934)&gt;0,1,0))</f>
        <v/>
      </c>
      <c r="N1934" s="16" t="str">
        <f>IF($A1934&lt;Notes!$B$5,"",IF(COUNTIFS(Release_Calendar!$A$2:$A$755,"NZ_GDP",Release_Calendar!$B$2:$B$755,$A1934)&gt;0,1,0))</f>
        <v/>
      </c>
      <c r="O1934" s="16" t="str">
        <f>IF($A1934&lt;Notes!$B$5,"",IF(COUNTIFS(Release_Calendar!$A$2:$A$755,"NZ_LABOUR",Release_Calendar!$B$2:$B$755,$A1934)&gt;0,1,0))</f>
        <v/>
      </c>
      <c r="P1934" s="16">
        <f t="shared" si="4"/>
        <v>0</v>
      </c>
    </row>
    <row r="1935" ht="15.75" customHeight="1">
      <c r="A1935" s="14">
        <v>39233.0</v>
      </c>
      <c r="B1935" s="15">
        <v>4.92</v>
      </c>
      <c r="C1935" s="15"/>
      <c r="D1935" s="15">
        <v>7.23</v>
      </c>
      <c r="E1935" s="15"/>
      <c r="F1935" s="15" t="str">
        <f t="shared" si="1"/>
        <v/>
      </c>
      <c r="G1935" s="15">
        <f t="shared" si="2"/>
        <v>7.23</v>
      </c>
      <c r="H1935" s="16">
        <v>1.0</v>
      </c>
      <c r="I1935" s="15">
        <f t="shared" si="3"/>
        <v>2.31</v>
      </c>
      <c r="J1935" s="15">
        <v>13.05</v>
      </c>
      <c r="K1935" s="16">
        <f>IF(COUNTIFS(Release_Calendar!$A$2:$A$755,"US_CPI",Release_Calendar!$B$2:$B$755,$A1935)&gt;0,1,0)</f>
        <v>0</v>
      </c>
      <c r="L1935" s="16">
        <f>IF(COUNTIFS(Release_Calendar!$A$2:$A$755,"US_NFP",Release_Calendar!$B$2:$B$755,$A1935)&gt;0,1,0)</f>
        <v>0</v>
      </c>
      <c r="M1935" s="16" t="str">
        <f>IF($A1935&lt;Notes!$B$5,"",IF(COUNTIFS(Release_Calendar!$A$2:$A$755,"NZ_CPI",Release_Calendar!$B$2:$B$755,$A1935)&gt;0,1,0))</f>
        <v/>
      </c>
      <c r="N1935" s="16" t="str">
        <f>IF($A1935&lt;Notes!$B$5,"",IF(COUNTIFS(Release_Calendar!$A$2:$A$755,"NZ_GDP",Release_Calendar!$B$2:$B$755,$A1935)&gt;0,1,0))</f>
        <v/>
      </c>
      <c r="O1935" s="16" t="str">
        <f>IF($A1935&lt;Notes!$B$5,"",IF(COUNTIFS(Release_Calendar!$A$2:$A$755,"NZ_LABOUR",Release_Calendar!$B$2:$B$755,$A1935)&gt;0,1,0))</f>
        <v/>
      </c>
      <c r="P1935" s="16">
        <f t="shared" si="4"/>
        <v>0</v>
      </c>
    </row>
    <row r="1936" ht="15.75" customHeight="1">
      <c r="A1936" s="14">
        <v>39234.0</v>
      </c>
      <c r="B1936" s="15">
        <v>4.97</v>
      </c>
      <c r="C1936" s="15"/>
      <c r="D1936" s="15">
        <v>7.24</v>
      </c>
      <c r="E1936" s="15"/>
      <c r="F1936" s="15" t="str">
        <f t="shared" si="1"/>
        <v/>
      </c>
      <c r="G1936" s="15">
        <f t="shared" si="2"/>
        <v>7.24</v>
      </c>
      <c r="H1936" s="16">
        <v>1.0</v>
      </c>
      <c r="I1936" s="15">
        <f t="shared" si="3"/>
        <v>2.27</v>
      </c>
      <c r="J1936" s="15">
        <v>12.78</v>
      </c>
      <c r="K1936" s="16">
        <f>IF(COUNTIFS(Release_Calendar!$A$2:$A$755,"US_CPI",Release_Calendar!$B$2:$B$755,$A1936)&gt;0,1,0)</f>
        <v>0</v>
      </c>
      <c r="L1936" s="16">
        <f>IF(COUNTIFS(Release_Calendar!$A$2:$A$755,"US_NFP",Release_Calendar!$B$2:$B$755,$A1936)&gt;0,1,0)</f>
        <v>1</v>
      </c>
      <c r="M1936" s="16" t="str">
        <f>IF($A1936&lt;Notes!$B$5,"",IF(COUNTIFS(Release_Calendar!$A$2:$A$755,"NZ_CPI",Release_Calendar!$B$2:$B$755,$A1936)&gt;0,1,0))</f>
        <v/>
      </c>
      <c r="N1936" s="16" t="str">
        <f>IF($A1936&lt;Notes!$B$5,"",IF(COUNTIFS(Release_Calendar!$A$2:$A$755,"NZ_GDP",Release_Calendar!$B$2:$B$755,$A1936)&gt;0,1,0))</f>
        <v/>
      </c>
      <c r="O1936" s="16" t="str">
        <f>IF($A1936&lt;Notes!$B$5,"",IF(COUNTIFS(Release_Calendar!$A$2:$A$755,"NZ_LABOUR",Release_Calendar!$B$2:$B$755,$A1936)&gt;0,1,0))</f>
        <v/>
      </c>
      <c r="P1936" s="16">
        <f t="shared" si="4"/>
        <v>1</v>
      </c>
    </row>
    <row r="1937" ht="15.75" customHeight="1">
      <c r="A1937" s="14">
        <v>39237.0</v>
      </c>
      <c r="B1937" s="15">
        <v>4.97</v>
      </c>
      <c r="C1937" s="15"/>
      <c r="D1937" s="15"/>
      <c r="E1937" s="15"/>
      <c r="F1937" s="15" t="str">
        <f t="shared" si="1"/>
        <v/>
      </c>
      <c r="G1937" s="15" t="str">
        <f t="shared" si="2"/>
        <v/>
      </c>
      <c r="H1937" s="16">
        <v>1.0</v>
      </c>
      <c r="I1937" s="15" t="str">
        <f t="shared" si="3"/>
        <v/>
      </c>
      <c r="J1937" s="15">
        <v>13.29</v>
      </c>
      <c r="K1937" s="16">
        <f>IF(COUNTIFS(Release_Calendar!$A$2:$A$755,"US_CPI",Release_Calendar!$B$2:$B$755,$A1937)&gt;0,1,0)</f>
        <v>0</v>
      </c>
      <c r="L1937" s="16">
        <f>IF(COUNTIFS(Release_Calendar!$A$2:$A$755,"US_NFP",Release_Calendar!$B$2:$B$755,$A1937)&gt;0,1,0)</f>
        <v>0</v>
      </c>
      <c r="M1937" s="16" t="str">
        <f>IF($A1937&lt;Notes!$B$5,"",IF(COUNTIFS(Release_Calendar!$A$2:$A$755,"NZ_CPI",Release_Calendar!$B$2:$B$755,$A1937)&gt;0,1,0))</f>
        <v/>
      </c>
      <c r="N1937" s="16" t="str">
        <f>IF($A1937&lt;Notes!$B$5,"",IF(COUNTIFS(Release_Calendar!$A$2:$A$755,"NZ_GDP",Release_Calendar!$B$2:$B$755,$A1937)&gt;0,1,0))</f>
        <v/>
      </c>
      <c r="O1937" s="16" t="str">
        <f>IF($A1937&lt;Notes!$B$5,"",IF(COUNTIFS(Release_Calendar!$A$2:$A$755,"NZ_LABOUR",Release_Calendar!$B$2:$B$755,$A1937)&gt;0,1,0))</f>
        <v/>
      </c>
      <c r="P1937" s="16">
        <f t="shared" si="4"/>
        <v>0</v>
      </c>
    </row>
    <row r="1938" ht="15.75" customHeight="1">
      <c r="A1938" s="14">
        <v>39238.0</v>
      </c>
      <c r="B1938" s="15">
        <v>4.99</v>
      </c>
      <c r="C1938" s="15"/>
      <c r="D1938" s="15">
        <v>7.27</v>
      </c>
      <c r="E1938" s="15"/>
      <c r="F1938" s="15" t="str">
        <f t="shared" si="1"/>
        <v/>
      </c>
      <c r="G1938" s="15">
        <f t="shared" si="2"/>
        <v>7.27</v>
      </c>
      <c r="H1938" s="16">
        <v>1.0</v>
      </c>
      <c r="I1938" s="15">
        <f t="shared" si="3"/>
        <v>2.28</v>
      </c>
      <c r="J1938" s="15">
        <v>13.63</v>
      </c>
      <c r="K1938" s="16">
        <f>IF(COUNTIFS(Release_Calendar!$A$2:$A$755,"US_CPI",Release_Calendar!$B$2:$B$755,$A1938)&gt;0,1,0)</f>
        <v>0</v>
      </c>
      <c r="L1938" s="16">
        <f>IF(COUNTIFS(Release_Calendar!$A$2:$A$755,"US_NFP",Release_Calendar!$B$2:$B$755,$A1938)&gt;0,1,0)</f>
        <v>0</v>
      </c>
      <c r="M1938" s="16" t="str">
        <f>IF($A1938&lt;Notes!$B$5,"",IF(COUNTIFS(Release_Calendar!$A$2:$A$755,"NZ_CPI",Release_Calendar!$B$2:$B$755,$A1938)&gt;0,1,0))</f>
        <v/>
      </c>
      <c r="N1938" s="16" t="str">
        <f>IF($A1938&lt;Notes!$B$5,"",IF(COUNTIFS(Release_Calendar!$A$2:$A$755,"NZ_GDP",Release_Calendar!$B$2:$B$755,$A1938)&gt;0,1,0))</f>
        <v/>
      </c>
      <c r="O1938" s="16" t="str">
        <f>IF($A1938&lt;Notes!$B$5,"",IF(COUNTIFS(Release_Calendar!$A$2:$A$755,"NZ_LABOUR",Release_Calendar!$B$2:$B$755,$A1938)&gt;0,1,0))</f>
        <v/>
      </c>
      <c r="P1938" s="16">
        <f t="shared" si="4"/>
        <v>0</v>
      </c>
    </row>
    <row r="1939" ht="15.75" customHeight="1">
      <c r="A1939" s="14">
        <v>39239.0</v>
      </c>
      <c r="B1939" s="15">
        <v>4.97</v>
      </c>
      <c r="C1939" s="15"/>
      <c r="D1939" s="15">
        <v>7.35</v>
      </c>
      <c r="E1939" s="15"/>
      <c r="F1939" s="15" t="str">
        <f t="shared" si="1"/>
        <v/>
      </c>
      <c r="G1939" s="15">
        <f t="shared" si="2"/>
        <v>7.35</v>
      </c>
      <c r="H1939" s="16">
        <v>1.0</v>
      </c>
      <c r="I1939" s="15">
        <f t="shared" si="3"/>
        <v>2.38</v>
      </c>
      <c r="J1939" s="15">
        <v>14.87</v>
      </c>
      <c r="K1939" s="16">
        <f>IF(COUNTIFS(Release_Calendar!$A$2:$A$755,"US_CPI",Release_Calendar!$B$2:$B$755,$A1939)&gt;0,1,0)</f>
        <v>0</v>
      </c>
      <c r="L1939" s="16">
        <f>IF(COUNTIFS(Release_Calendar!$A$2:$A$755,"US_NFP",Release_Calendar!$B$2:$B$755,$A1939)&gt;0,1,0)</f>
        <v>0</v>
      </c>
      <c r="M1939" s="16" t="str">
        <f>IF($A1939&lt;Notes!$B$5,"",IF(COUNTIFS(Release_Calendar!$A$2:$A$755,"NZ_CPI",Release_Calendar!$B$2:$B$755,$A1939)&gt;0,1,0))</f>
        <v/>
      </c>
      <c r="N1939" s="16" t="str">
        <f>IF($A1939&lt;Notes!$B$5,"",IF(COUNTIFS(Release_Calendar!$A$2:$A$755,"NZ_GDP",Release_Calendar!$B$2:$B$755,$A1939)&gt;0,1,0))</f>
        <v/>
      </c>
      <c r="O1939" s="16" t="str">
        <f>IF($A1939&lt;Notes!$B$5,"",IF(COUNTIFS(Release_Calendar!$A$2:$A$755,"NZ_LABOUR",Release_Calendar!$B$2:$B$755,$A1939)&gt;0,1,0))</f>
        <v/>
      </c>
      <c r="P1939" s="16">
        <f t="shared" si="4"/>
        <v>0</v>
      </c>
    </row>
    <row r="1940" ht="15.75" customHeight="1">
      <c r="A1940" s="14">
        <v>39240.0</v>
      </c>
      <c r="B1940" s="15">
        <v>5.03</v>
      </c>
      <c r="C1940" s="15"/>
      <c r="D1940" s="15">
        <v>7.41</v>
      </c>
      <c r="E1940" s="15"/>
      <c r="F1940" s="15" t="str">
        <f t="shared" si="1"/>
        <v/>
      </c>
      <c r="G1940" s="15">
        <f t="shared" si="2"/>
        <v>7.41</v>
      </c>
      <c r="H1940" s="16">
        <v>1.0</v>
      </c>
      <c r="I1940" s="15">
        <f t="shared" si="3"/>
        <v>2.38</v>
      </c>
      <c r="J1940" s="15">
        <v>17.06</v>
      </c>
      <c r="K1940" s="16">
        <f>IF(COUNTIFS(Release_Calendar!$A$2:$A$755,"US_CPI",Release_Calendar!$B$2:$B$755,$A1940)&gt;0,1,0)</f>
        <v>0</v>
      </c>
      <c r="L1940" s="16">
        <f>IF(COUNTIFS(Release_Calendar!$A$2:$A$755,"US_NFP",Release_Calendar!$B$2:$B$755,$A1940)&gt;0,1,0)</f>
        <v>0</v>
      </c>
      <c r="M1940" s="16" t="str">
        <f>IF($A1940&lt;Notes!$B$5,"",IF(COUNTIFS(Release_Calendar!$A$2:$A$755,"NZ_CPI",Release_Calendar!$B$2:$B$755,$A1940)&gt;0,1,0))</f>
        <v/>
      </c>
      <c r="N1940" s="16" t="str">
        <f>IF($A1940&lt;Notes!$B$5,"",IF(COUNTIFS(Release_Calendar!$A$2:$A$755,"NZ_GDP",Release_Calendar!$B$2:$B$755,$A1940)&gt;0,1,0))</f>
        <v/>
      </c>
      <c r="O1940" s="16" t="str">
        <f>IF($A1940&lt;Notes!$B$5,"",IF(COUNTIFS(Release_Calendar!$A$2:$A$755,"NZ_LABOUR",Release_Calendar!$B$2:$B$755,$A1940)&gt;0,1,0))</f>
        <v/>
      </c>
      <c r="P1940" s="16">
        <f t="shared" si="4"/>
        <v>0</v>
      </c>
    </row>
    <row r="1941" ht="15.75" customHeight="1">
      <c r="A1941" s="14">
        <v>39241.0</v>
      </c>
      <c r="B1941" s="15">
        <v>5.01</v>
      </c>
      <c r="C1941" s="15"/>
      <c r="D1941" s="15">
        <v>7.45</v>
      </c>
      <c r="E1941" s="15"/>
      <c r="F1941" s="15" t="str">
        <f t="shared" si="1"/>
        <v/>
      </c>
      <c r="G1941" s="15">
        <f t="shared" si="2"/>
        <v>7.45</v>
      </c>
      <c r="H1941" s="16">
        <v>1.0</v>
      </c>
      <c r="I1941" s="15">
        <f t="shared" si="3"/>
        <v>2.44</v>
      </c>
      <c r="J1941" s="15">
        <v>14.84</v>
      </c>
      <c r="K1941" s="16">
        <f>IF(COUNTIFS(Release_Calendar!$A$2:$A$755,"US_CPI",Release_Calendar!$B$2:$B$755,$A1941)&gt;0,1,0)</f>
        <v>0</v>
      </c>
      <c r="L1941" s="16">
        <f>IF(COUNTIFS(Release_Calendar!$A$2:$A$755,"US_NFP",Release_Calendar!$B$2:$B$755,$A1941)&gt;0,1,0)</f>
        <v>0</v>
      </c>
      <c r="M1941" s="16" t="str">
        <f>IF($A1941&lt;Notes!$B$5,"",IF(COUNTIFS(Release_Calendar!$A$2:$A$755,"NZ_CPI",Release_Calendar!$B$2:$B$755,$A1941)&gt;0,1,0))</f>
        <v/>
      </c>
      <c r="N1941" s="16" t="str">
        <f>IF($A1941&lt;Notes!$B$5,"",IF(COUNTIFS(Release_Calendar!$A$2:$A$755,"NZ_GDP",Release_Calendar!$B$2:$B$755,$A1941)&gt;0,1,0))</f>
        <v/>
      </c>
      <c r="O1941" s="16" t="str">
        <f>IF($A1941&lt;Notes!$B$5,"",IF(COUNTIFS(Release_Calendar!$A$2:$A$755,"NZ_LABOUR",Release_Calendar!$B$2:$B$755,$A1941)&gt;0,1,0))</f>
        <v/>
      </c>
      <c r="P1941" s="16">
        <f t="shared" si="4"/>
        <v>0</v>
      </c>
    </row>
    <row r="1942" ht="15.75" customHeight="1">
      <c r="A1942" s="14">
        <v>39244.0</v>
      </c>
      <c r="B1942" s="15">
        <v>5.01</v>
      </c>
      <c r="C1942" s="15"/>
      <c r="D1942" s="15">
        <v>7.41</v>
      </c>
      <c r="E1942" s="15"/>
      <c r="F1942" s="15" t="str">
        <f t="shared" si="1"/>
        <v/>
      </c>
      <c r="G1942" s="15">
        <f t="shared" si="2"/>
        <v>7.41</v>
      </c>
      <c r="H1942" s="16">
        <v>1.0</v>
      </c>
      <c r="I1942" s="15">
        <f t="shared" si="3"/>
        <v>2.4</v>
      </c>
      <c r="J1942" s="15">
        <v>14.71</v>
      </c>
      <c r="K1942" s="16">
        <f>IF(COUNTIFS(Release_Calendar!$A$2:$A$755,"US_CPI",Release_Calendar!$B$2:$B$755,$A1942)&gt;0,1,0)</f>
        <v>0</v>
      </c>
      <c r="L1942" s="16">
        <f>IF(COUNTIFS(Release_Calendar!$A$2:$A$755,"US_NFP",Release_Calendar!$B$2:$B$755,$A1942)&gt;0,1,0)</f>
        <v>0</v>
      </c>
      <c r="M1942" s="16" t="str">
        <f>IF($A1942&lt;Notes!$B$5,"",IF(COUNTIFS(Release_Calendar!$A$2:$A$755,"NZ_CPI",Release_Calendar!$B$2:$B$755,$A1942)&gt;0,1,0))</f>
        <v/>
      </c>
      <c r="N1942" s="16" t="str">
        <f>IF($A1942&lt;Notes!$B$5,"",IF(COUNTIFS(Release_Calendar!$A$2:$A$755,"NZ_GDP",Release_Calendar!$B$2:$B$755,$A1942)&gt;0,1,0))</f>
        <v/>
      </c>
      <c r="O1942" s="16" t="str">
        <f>IF($A1942&lt;Notes!$B$5,"",IF(COUNTIFS(Release_Calendar!$A$2:$A$755,"NZ_LABOUR",Release_Calendar!$B$2:$B$755,$A1942)&gt;0,1,0))</f>
        <v/>
      </c>
      <c r="P1942" s="16">
        <f t="shared" si="4"/>
        <v>0</v>
      </c>
    </row>
    <row r="1943" ht="15.75" customHeight="1">
      <c r="A1943" s="14">
        <v>39245.0</v>
      </c>
      <c r="B1943" s="15">
        <v>5.08</v>
      </c>
      <c r="C1943" s="15"/>
      <c r="D1943" s="15">
        <v>7.33</v>
      </c>
      <c r="E1943" s="15"/>
      <c r="F1943" s="15" t="str">
        <f t="shared" si="1"/>
        <v/>
      </c>
      <c r="G1943" s="15">
        <f t="shared" si="2"/>
        <v>7.33</v>
      </c>
      <c r="H1943" s="16">
        <v>1.0</v>
      </c>
      <c r="I1943" s="15">
        <f t="shared" si="3"/>
        <v>2.25</v>
      </c>
      <c r="J1943" s="15">
        <v>16.67</v>
      </c>
      <c r="K1943" s="16">
        <f>IF(COUNTIFS(Release_Calendar!$A$2:$A$755,"US_CPI",Release_Calendar!$B$2:$B$755,$A1943)&gt;0,1,0)</f>
        <v>0</v>
      </c>
      <c r="L1943" s="16">
        <f>IF(COUNTIFS(Release_Calendar!$A$2:$A$755,"US_NFP",Release_Calendar!$B$2:$B$755,$A1943)&gt;0,1,0)</f>
        <v>0</v>
      </c>
      <c r="M1943" s="16" t="str">
        <f>IF($A1943&lt;Notes!$B$5,"",IF(COUNTIFS(Release_Calendar!$A$2:$A$755,"NZ_CPI",Release_Calendar!$B$2:$B$755,$A1943)&gt;0,1,0))</f>
        <v/>
      </c>
      <c r="N1943" s="16" t="str">
        <f>IF($A1943&lt;Notes!$B$5,"",IF(COUNTIFS(Release_Calendar!$A$2:$A$755,"NZ_GDP",Release_Calendar!$B$2:$B$755,$A1943)&gt;0,1,0))</f>
        <v/>
      </c>
      <c r="O1943" s="16" t="str">
        <f>IF($A1943&lt;Notes!$B$5,"",IF(COUNTIFS(Release_Calendar!$A$2:$A$755,"NZ_LABOUR",Release_Calendar!$B$2:$B$755,$A1943)&gt;0,1,0))</f>
        <v/>
      </c>
      <c r="P1943" s="16">
        <f t="shared" si="4"/>
        <v>0</v>
      </c>
    </row>
    <row r="1944" ht="15.75" customHeight="1">
      <c r="A1944" s="14">
        <v>39246.0</v>
      </c>
      <c r="B1944" s="15">
        <v>5.08</v>
      </c>
      <c r="C1944" s="15"/>
      <c r="D1944" s="15">
        <v>7.35</v>
      </c>
      <c r="E1944" s="15"/>
      <c r="F1944" s="15" t="str">
        <f t="shared" si="1"/>
        <v/>
      </c>
      <c r="G1944" s="15">
        <f t="shared" si="2"/>
        <v>7.35</v>
      </c>
      <c r="H1944" s="16">
        <v>1.0</v>
      </c>
      <c r="I1944" s="15">
        <f t="shared" si="3"/>
        <v>2.27</v>
      </c>
      <c r="J1944" s="15">
        <v>14.73</v>
      </c>
      <c r="K1944" s="16">
        <f>IF(COUNTIFS(Release_Calendar!$A$2:$A$755,"US_CPI",Release_Calendar!$B$2:$B$755,$A1944)&gt;0,1,0)</f>
        <v>0</v>
      </c>
      <c r="L1944" s="16">
        <f>IF(COUNTIFS(Release_Calendar!$A$2:$A$755,"US_NFP",Release_Calendar!$B$2:$B$755,$A1944)&gt;0,1,0)</f>
        <v>0</v>
      </c>
      <c r="M1944" s="16" t="str">
        <f>IF($A1944&lt;Notes!$B$5,"",IF(COUNTIFS(Release_Calendar!$A$2:$A$755,"NZ_CPI",Release_Calendar!$B$2:$B$755,$A1944)&gt;0,1,0))</f>
        <v/>
      </c>
      <c r="N1944" s="16" t="str">
        <f>IF($A1944&lt;Notes!$B$5,"",IF(COUNTIFS(Release_Calendar!$A$2:$A$755,"NZ_GDP",Release_Calendar!$B$2:$B$755,$A1944)&gt;0,1,0))</f>
        <v/>
      </c>
      <c r="O1944" s="16" t="str">
        <f>IF($A1944&lt;Notes!$B$5,"",IF(COUNTIFS(Release_Calendar!$A$2:$A$755,"NZ_LABOUR",Release_Calendar!$B$2:$B$755,$A1944)&gt;0,1,0))</f>
        <v/>
      </c>
      <c r="P1944" s="16">
        <f t="shared" si="4"/>
        <v>0</v>
      </c>
    </row>
    <row r="1945" ht="15.75" customHeight="1">
      <c r="A1945" s="14">
        <v>39247.0</v>
      </c>
      <c r="B1945" s="15">
        <v>5.1</v>
      </c>
      <c r="C1945" s="15"/>
      <c r="D1945" s="15">
        <v>7.33</v>
      </c>
      <c r="E1945" s="15"/>
      <c r="F1945" s="15" t="str">
        <f t="shared" si="1"/>
        <v/>
      </c>
      <c r="G1945" s="15">
        <f t="shared" si="2"/>
        <v>7.33</v>
      </c>
      <c r="H1945" s="16">
        <v>1.0</v>
      </c>
      <c r="I1945" s="15">
        <f t="shared" si="3"/>
        <v>2.23</v>
      </c>
      <c r="J1945" s="15">
        <v>13.64</v>
      </c>
      <c r="K1945" s="16">
        <f>IF(COUNTIFS(Release_Calendar!$A$2:$A$755,"US_CPI",Release_Calendar!$B$2:$B$755,$A1945)&gt;0,1,0)</f>
        <v>0</v>
      </c>
      <c r="L1945" s="16">
        <f>IF(COUNTIFS(Release_Calendar!$A$2:$A$755,"US_NFP",Release_Calendar!$B$2:$B$755,$A1945)&gt;0,1,0)</f>
        <v>0</v>
      </c>
      <c r="M1945" s="16" t="str">
        <f>IF($A1945&lt;Notes!$B$5,"",IF(COUNTIFS(Release_Calendar!$A$2:$A$755,"NZ_CPI",Release_Calendar!$B$2:$B$755,$A1945)&gt;0,1,0))</f>
        <v/>
      </c>
      <c r="N1945" s="16" t="str">
        <f>IF($A1945&lt;Notes!$B$5,"",IF(COUNTIFS(Release_Calendar!$A$2:$A$755,"NZ_GDP",Release_Calendar!$B$2:$B$755,$A1945)&gt;0,1,0))</f>
        <v/>
      </c>
      <c r="O1945" s="16" t="str">
        <f>IF($A1945&lt;Notes!$B$5,"",IF(COUNTIFS(Release_Calendar!$A$2:$A$755,"NZ_LABOUR",Release_Calendar!$B$2:$B$755,$A1945)&gt;0,1,0))</f>
        <v/>
      </c>
      <c r="P1945" s="16">
        <f t="shared" si="4"/>
        <v>0</v>
      </c>
    </row>
    <row r="1946" ht="15.75" customHeight="1">
      <c r="A1946" s="14">
        <v>39248.0</v>
      </c>
      <c r="B1946" s="15">
        <v>5.05</v>
      </c>
      <c r="C1946" s="15"/>
      <c r="D1946" s="15">
        <v>7.34</v>
      </c>
      <c r="E1946" s="15"/>
      <c r="F1946" s="15" t="str">
        <f t="shared" si="1"/>
        <v/>
      </c>
      <c r="G1946" s="15">
        <f t="shared" si="2"/>
        <v>7.34</v>
      </c>
      <c r="H1946" s="16">
        <v>1.0</v>
      </c>
      <c r="I1946" s="15">
        <f t="shared" si="3"/>
        <v>2.29</v>
      </c>
      <c r="J1946" s="15">
        <v>13.94</v>
      </c>
      <c r="K1946" s="16">
        <f>IF(COUNTIFS(Release_Calendar!$A$2:$A$755,"US_CPI",Release_Calendar!$B$2:$B$755,$A1946)&gt;0,1,0)</f>
        <v>1</v>
      </c>
      <c r="L1946" s="16">
        <f>IF(COUNTIFS(Release_Calendar!$A$2:$A$755,"US_NFP",Release_Calendar!$B$2:$B$755,$A1946)&gt;0,1,0)</f>
        <v>0</v>
      </c>
      <c r="M1946" s="16" t="str">
        <f>IF($A1946&lt;Notes!$B$5,"",IF(COUNTIFS(Release_Calendar!$A$2:$A$755,"NZ_CPI",Release_Calendar!$B$2:$B$755,$A1946)&gt;0,1,0))</f>
        <v/>
      </c>
      <c r="N1946" s="16" t="str">
        <f>IF($A1946&lt;Notes!$B$5,"",IF(COUNTIFS(Release_Calendar!$A$2:$A$755,"NZ_GDP",Release_Calendar!$B$2:$B$755,$A1946)&gt;0,1,0))</f>
        <v/>
      </c>
      <c r="O1946" s="16" t="str">
        <f>IF($A1946&lt;Notes!$B$5,"",IF(COUNTIFS(Release_Calendar!$A$2:$A$755,"NZ_LABOUR",Release_Calendar!$B$2:$B$755,$A1946)&gt;0,1,0))</f>
        <v/>
      </c>
      <c r="P1946" s="16">
        <f t="shared" si="4"/>
        <v>1</v>
      </c>
    </row>
    <row r="1947" ht="15.75" customHeight="1">
      <c r="A1947" s="14">
        <v>39251.0</v>
      </c>
      <c r="B1947" s="15">
        <v>5.01</v>
      </c>
      <c r="C1947" s="15"/>
      <c r="D1947" s="15">
        <v>7.3</v>
      </c>
      <c r="E1947" s="15"/>
      <c r="F1947" s="15" t="str">
        <f t="shared" si="1"/>
        <v/>
      </c>
      <c r="G1947" s="15">
        <f t="shared" si="2"/>
        <v>7.3</v>
      </c>
      <c r="H1947" s="16">
        <v>1.0</v>
      </c>
      <c r="I1947" s="15">
        <f t="shared" si="3"/>
        <v>2.29</v>
      </c>
      <c r="J1947" s="15">
        <v>13.42</v>
      </c>
      <c r="K1947" s="16">
        <f>IF(COUNTIFS(Release_Calendar!$A$2:$A$755,"US_CPI",Release_Calendar!$B$2:$B$755,$A1947)&gt;0,1,0)</f>
        <v>0</v>
      </c>
      <c r="L1947" s="16">
        <f>IF(COUNTIFS(Release_Calendar!$A$2:$A$755,"US_NFP",Release_Calendar!$B$2:$B$755,$A1947)&gt;0,1,0)</f>
        <v>0</v>
      </c>
      <c r="M1947" s="16" t="str">
        <f>IF($A1947&lt;Notes!$B$5,"",IF(COUNTIFS(Release_Calendar!$A$2:$A$755,"NZ_CPI",Release_Calendar!$B$2:$B$755,$A1947)&gt;0,1,0))</f>
        <v/>
      </c>
      <c r="N1947" s="16" t="str">
        <f>IF($A1947&lt;Notes!$B$5,"",IF(COUNTIFS(Release_Calendar!$A$2:$A$755,"NZ_GDP",Release_Calendar!$B$2:$B$755,$A1947)&gt;0,1,0))</f>
        <v/>
      </c>
      <c r="O1947" s="16" t="str">
        <f>IF($A1947&lt;Notes!$B$5,"",IF(COUNTIFS(Release_Calendar!$A$2:$A$755,"NZ_LABOUR",Release_Calendar!$B$2:$B$755,$A1947)&gt;0,1,0))</f>
        <v/>
      </c>
      <c r="P1947" s="16">
        <f t="shared" si="4"/>
        <v>0</v>
      </c>
    </row>
    <row r="1948" ht="15.75" customHeight="1">
      <c r="A1948" s="14">
        <v>39252.0</v>
      </c>
      <c r="B1948" s="15">
        <v>4.94</v>
      </c>
      <c r="C1948" s="15"/>
      <c r="D1948" s="15">
        <v>7.28</v>
      </c>
      <c r="E1948" s="15"/>
      <c r="F1948" s="15" t="str">
        <f t="shared" si="1"/>
        <v/>
      </c>
      <c r="G1948" s="15">
        <f t="shared" si="2"/>
        <v>7.28</v>
      </c>
      <c r="H1948" s="16">
        <v>1.0</v>
      </c>
      <c r="I1948" s="15">
        <f t="shared" si="3"/>
        <v>2.34</v>
      </c>
      <c r="J1948" s="15">
        <v>12.85</v>
      </c>
      <c r="K1948" s="16">
        <f>IF(COUNTIFS(Release_Calendar!$A$2:$A$755,"US_CPI",Release_Calendar!$B$2:$B$755,$A1948)&gt;0,1,0)</f>
        <v>0</v>
      </c>
      <c r="L1948" s="16">
        <f>IF(COUNTIFS(Release_Calendar!$A$2:$A$755,"US_NFP",Release_Calendar!$B$2:$B$755,$A1948)&gt;0,1,0)</f>
        <v>0</v>
      </c>
      <c r="M1948" s="16" t="str">
        <f>IF($A1948&lt;Notes!$B$5,"",IF(COUNTIFS(Release_Calendar!$A$2:$A$755,"NZ_CPI",Release_Calendar!$B$2:$B$755,$A1948)&gt;0,1,0))</f>
        <v/>
      </c>
      <c r="N1948" s="16" t="str">
        <f>IF($A1948&lt;Notes!$B$5,"",IF(COUNTIFS(Release_Calendar!$A$2:$A$755,"NZ_GDP",Release_Calendar!$B$2:$B$755,$A1948)&gt;0,1,0))</f>
        <v/>
      </c>
      <c r="O1948" s="16" t="str">
        <f>IF($A1948&lt;Notes!$B$5,"",IF(COUNTIFS(Release_Calendar!$A$2:$A$755,"NZ_LABOUR",Release_Calendar!$B$2:$B$755,$A1948)&gt;0,1,0))</f>
        <v/>
      </c>
      <c r="P1948" s="16">
        <f t="shared" si="4"/>
        <v>0</v>
      </c>
    </row>
    <row r="1949" ht="15.75" customHeight="1">
      <c r="A1949" s="14">
        <v>39253.0</v>
      </c>
      <c r="B1949" s="15">
        <v>4.97</v>
      </c>
      <c r="C1949" s="15"/>
      <c r="D1949" s="15">
        <v>7.26</v>
      </c>
      <c r="E1949" s="15"/>
      <c r="F1949" s="15" t="str">
        <f t="shared" si="1"/>
        <v/>
      </c>
      <c r="G1949" s="15">
        <f t="shared" si="2"/>
        <v>7.26</v>
      </c>
      <c r="H1949" s="16">
        <v>1.0</v>
      </c>
      <c r="I1949" s="15">
        <f t="shared" si="3"/>
        <v>2.29</v>
      </c>
      <c r="J1949" s="15">
        <v>14.67</v>
      </c>
      <c r="K1949" s="16">
        <f>IF(COUNTIFS(Release_Calendar!$A$2:$A$755,"US_CPI",Release_Calendar!$B$2:$B$755,$A1949)&gt;0,1,0)</f>
        <v>0</v>
      </c>
      <c r="L1949" s="16">
        <f>IF(COUNTIFS(Release_Calendar!$A$2:$A$755,"US_NFP",Release_Calendar!$B$2:$B$755,$A1949)&gt;0,1,0)</f>
        <v>0</v>
      </c>
      <c r="M1949" s="16" t="str">
        <f>IF($A1949&lt;Notes!$B$5,"",IF(COUNTIFS(Release_Calendar!$A$2:$A$755,"NZ_CPI",Release_Calendar!$B$2:$B$755,$A1949)&gt;0,1,0))</f>
        <v/>
      </c>
      <c r="N1949" s="16" t="str">
        <f>IF($A1949&lt;Notes!$B$5,"",IF(COUNTIFS(Release_Calendar!$A$2:$A$755,"NZ_GDP",Release_Calendar!$B$2:$B$755,$A1949)&gt;0,1,0))</f>
        <v/>
      </c>
      <c r="O1949" s="16" t="str">
        <f>IF($A1949&lt;Notes!$B$5,"",IF(COUNTIFS(Release_Calendar!$A$2:$A$755,"NZ_LABOUR",Release_Calendar!$B$2:$B$755,$A1949)&gt;0,1,0))</f>
        <v/>
      </c>
      <c r="P1949" s="16">
        <f t="shared" si="4"/>
        <v>0</v>
      </c>
    </row>
    <row r="1950" ht="15.75" customHeight="1">
      <c r="A1950" s="14">
        <v>39254.0</v>
      </c>
      <c r="B1950" s="15">
        <v>4.98</v>
      </c>
      <c r="C1950" s="15"/>
      <c r="D1950" s="15">
        <v>7.3</v>
      </c>
      <c r="E1950" s="15"/>
      <c r="F1950" s="15" t="str">
        <f t="shared" si="1"/>
        <v/>
      </c>
      <c r="G1950" s="15">
        <f t="shared" si="2"/>
        <v>7.3</v>
      </c>
      <c r="H1950" s="16">
        <v>1.0</v>
      </c>
      <c r="I1950" s="15">
        <f t="shared" si="3"/>
        <v>2.32</v>
      </c>
      <c r="J1950" s="15">
        <v>14.21</v>
      </c>
      <c r="K1950" s="16">
        <f>IF(COUNTIFS(Release_Calendar!$A$2:$A$755,"US_CPI",Release_Calendar!$B$2:$B$755,$A1950)&gt;0,1,0)</f>
        <v>0</v>
      </c>
      <c r="L1950" s="16">
        <f>IF(COUNTIFS(Release_Calendar!$A$2:$A$755,"US_NFP",Release_Calendar!$B$2:$B$755,$A1950)&gt;0,1,0)</f>
        <v>0</v>
      </c>
      <c r="M1950" s="16" t="str">
        <f>IF($A1950&lt;Notes!$B$5,"",IF(COUNTIFS(Release_Calendar!$A$2:$A$755,"NZ_CPI",Release_Calendar!$B$2:$B$755,$A1950)&gt;0,1,0))</f>
        <v/>
      </c>
      <c r="N1950" s="16" t="str">
        <f>IF($A1950&lt;Notes!$B$5,"",IF(COUNTIFS(Release_Calendar!$A$2:$A$755,"NZ_GDP",Release_Calendar!$B$2:$B$755,$A1950)&gt;0,1,0))</f>
        <v/>
      </c>
      <c r="O1950" s="16" t="str">
        <f>IF($A1950&lt;Notes!$B$5,"",IF(COUNTIFS(Release_Calendar!$A$2:$A$755,"NZ_LABOUR",Release_Calendar!$B$2:$B$755,$A1950)&gt;0,1,0))</f>
        <v/>
      </c>
      <c r="P1950" s="16">
        <f t="shared" si="4"/>
        <v>0</v>
      </c>
    </row>
    <row r="1951" ht="15.75" customHeight="1">
      <c r="A1951" s="14">
        <v>39255.0</v>
      </c>
      <c r="B1951" s="15">
        <v>4.92</v>
      </c>
      <c r="C1951" s="15"/>
      <c r="D1951" s="15">
        <v>7.35</v>
      </c>
      <c r="E1951" s="15"/>
      <c r="F1951" s="15" t="str">
        <f t="shared" si="1"/>
        <v/>
      </c>
      <c r="G1951" s="15">
        <f t="shared" si="2"/>
        <v>7.35</v>
      </c>
      <c r="H1951" s="16">
        <v>1.0</v>
      </c>
      <c r="I1951" s="15">
        <f t="shared" si="3"/>
        <v>2.43</v>
      </c>
      <c r="J1951" s="15">
        <v>15.75</v>
      </c>
      <c r="K1951" s="16">
        <f>IF(COUNTIFS(Release_Calendar!$A$2:$A$755,"US_CPI",Release_Calendar!$B$2:$B$755,$A1951)&gt;0,1,0)</f>
        <v>0</v>
      </c>
      <c r="L1951" s="16">
        <f>IF(COUNTIFS(Release_Calendar!$A$2:$A$755,"US_NFP",Release_Calendar!$B$2:$B$755,$A1951)&gt;0,1,0)</f>
        <v>0</v>
      </c>
      <c r="M1951" s="16" t="str">
        <f>IF($A1951&lt;Notes!$B$5,"",IF(COUNTIFS(Release_Calendar!$A$2:$A$755,"NZ_CPI",Release_Calendar!$B$2:$B$755,$A1951)&gt;0,1,0))</f>
        <v/>
      </c>
      <c r="N1951" s="16" t="str">
        <f>IF($A1951&lt;Notes!$B$5,"",IF(COUNTIFS(Release_Calendar!$A$2:$A$755,"NZ_GDP",Release_Calendar!$B$2:$B$755,$A1951)&gt;0,1,0))</f>
        <v/>
      </c>
      <c r="O1951" s="16" t="str">
        <f>IF($A1951&lt;Notes!$B$5,"",IF(COUNTIFS(Release_Calendar!$A$2:$A$755,"NZ_LABOUR",Release_Calendar!$B$2:$B$755,$A1951)&gt;0,1,0))</f>
        <v/>
      </c>
      <c r="P1951" s="16">
        <f t="shared" si="4"/>
        <v>0</v>
      </c>
    </row>
    <row r="1952" ht="15.75" customHeight="1">
      <c r="A1952" s="14">
        <v>39258.0</v>
      </c>
      <c r="B1952" s="15">
        <v>4.87</v>
      </c>
      <c r="C1952" s="15"/>
      <c r="D1952" s="15">
        <v>7.33</v>
      </c>
      <c r="E1952" s="15"/>
      <c r="F1952" s="15" t="str">
        <f t="shared" si="1"/>
        <v/>
      </c>
      <c r="G1952" s="15">
        <f t="shared" si="2"/>
        <v>7.33</v>
      </c>
      <c r="H1952" s="16">
        <v>1.0</v>
      </c>
      <c r="I1952" s="15">
        <f t="shared" si="3"/>
        <v>2.46</v>
      </c>
      <c r="J1952" s="15">
        <v>16.65</v>
      </c>
      <c r="K1952" s="16">
        <f>IF(COUNTIFS(Release_Calendar!$A$2:$A$755,"US_CPI",Release_Calendar!$B$2:$B$755,$A1952)&gt;0,1,0)</f>
        <v>0</v>
      </c>
      <c r="L1952" s="16">
        <f>IF(COUNTIFS(Release_Calendar!$A$2:$A$755,"US_NFP",Release_Calendar!$B$2:$B$755,$A1952)&gt;0,1,0)</f>
        <v>0</v>
      </c>
      <c r="M1952" s="16" t="str">
        <f>IF($A1952&lt;Notes!$B$5,"",IF(COUNTIFS(Release_Calendar!$A$2:$A$755,"NZ_CPI",Release_Calendar!$B$2:$B$755,$A1952)&gt;0,1,0))</f>
        <v/>
      </c>
      <c r="N1952" s="16" t="str">
        <f>IF($A1952&lt;Notes!$B$5,"",IF(COUNTIFS(Release_Calendar!$A$2:$A$755,"NZ_GDP",Release_Calendar!$B$2:$B$755,$A1952)&gt;0,1,0))</f>
        <v/>
      </c>
      <c r="O1952" s="16" t="str">
        <f>IF($A1952&lt;Notes!$B$5,"",IF(COUNTIFS(Release_Calendar!$A$2:$A$755,"NZ_LABOUR",Release_Calendar!$B$2:$B$755,$A1952)&gt;0,1,0))</f>
        <v/>
      </c>
      <c r="P1952" s="16">
        <f t="shared" si="4"/>
        <v>0</v>
      </c>
    </row>
    <row r="1953" ht="15.75" customHeight="1">
      <c r="A1953" s="14">
        <v>39259.0</v>
      </c>
      <c r="B1953" s="15">
        <v>4.9</v>
      </c>
      <c r="C1953" s="15"/>
      <c r="D1953" s="15">
        <v>7.32</v>
      </c>
      <c r="E1953" s="15"/>
      <c r="F1953" s="15" t="str">
        <f t="shared" si="1"/>
        <v/>
      </c>
      <c r="G1953" s="15">
        <f t="shared" si="2"/>
        <v>7.32</v>
      </c>
      <c r="H1953" s="16">
        <v>1.0</v>
      </c>
      <c r="I1953" s="15">
        <f t="shared" si="3"/>
        <v>2.42</v>
      </c>
      <c r="J1953" s="15">
        <v>18.89</v>
      </c>
      <c r="K1953" s="16">
        <f>IF(COUNTIFS(Release_Calendar!$A$2:$A$755,"US_CPI",Release_Calendar!$B$2:$B$755,$A1953)&gt;0,1,0)</f>
        <v>0</v>
      </c>
      <c r="L1953" s="16">
        <f>IF(COUNTIFS(Release_Calendar!$A$2:$A$755,"US_NFP",Release_Calendar!$B$2:$B$755,$A1953)&gt;0,1,0)</f>
        <v>0</v>
      </c>
      <c r="M1953" s="16" t="str">
        <f>IF($A1953&lt;Notes!$B$5,"",IF(COUNTIFS(Release_Calendar!$A$2:$A$755,"NZ_CPI",Release_Calendar!$B$2:$B$755,$A1953)&gt;0,1,0))</f>
        <v/>
      </c>
      <c r="N1953" s="16" t="str">
        <f>IF($A1953&lt;Notes!$B$5,"",IF(COUNTIFS(Release_Calendar!$A$2:$A$755,"NZ_GDP",Release_Calendar!$B$2:$B$755,$A1953)&gt;0,1,0))</f>
        <v/>
      </c>
      <c r="O1953" s="16" t="str">
        <f>IF($A1953&lt;Notes!$B$5,"",IF(COUNTIFS(Release_Calendar!$A$2:$A$755,"NZ_LABOUR",Release_Calendar!$B$2:$B$755,$A1953)&gt;0,1,0))</f>
        <v/>
      </c>
      <c r="P1953" s="16">
        <f t="shared" si="4"/>
        <v>0</v>
      </c>
    </row>
    <row r="1954" ht="15.75" customHeight="1">
      <c r="A1954" s="14">
        <v>39260.0</v>
      </c>
      <c r="B1954" s="15">
        <v>4.91</v>
      </c>
      <c r="C1954" s="15"/>
      <c r="D1954" s="15">
        <v>7.32</v>
      </c>
      <c r="E1954" s="15"/>
      <c r="F1954" s="15" t="str">
        <f t="shared" si="1"/>
        <v/>
      </c>
      <c r="G1954" s="15">
        <f t="shared" si="2"/>
        <v>7.32</v>
      </c>
      <c r="H1954" s="16">
        <v>1.0</v>
      </c>
      <c r="I1954" s="15">
        <f t="shared" si="3"/>
        <v>2.41</v>
      </c>
      <c r="J1954" s="15">
        <v>15.53</v>
      </c>
      <c r="K1954" s="16">
        <f>IF(COUNTIFS(Release_Calendar!$A$2:$A$755,"US_CPI",Release_Calendar!$B$2:$B$755,$A1954)&gt;0,1,0)</f>
        <v>0</v>
      </c>
      <c r="L1954" s="16">
        <f>IF(COUNTIFS(Release_Calendar!$A$2:$A$755,"US_NFP",Release_Calendar!$B$2:$B$755,$A1954)&gt;0,1,0)</f>
        <v>0</v>
      </c>
      <c r="M1954" s="16" t="str">
        <f>IF($A1954&lt;Notes!$B$5,"",IF(COUNTIFS(Release_Calendar!$A$2:$A$755,"NZ_CPI",Release_Calendar!$B$2:$B$755,$A1954)&gt;0,1,0))</f>
        <v/>
      </c>
      <c r="N1954" s="16" t="str">
        <f>IF($A1954&lt;Notes!$B$5,"",IF(COUNTIFS(Release_Calendar!$A$2:$A$755,"NZ_GDP",Release_Calendar!$B$2:$B$755,$A1954)&gt;0,1,0))</f>
        <v/>
      </c>
      <c r="O1954" s="16" t="str">
        <f>IF($A1954&lt;Notes!$B$5,"",IF(COUNTIFS(Release_Calendar!$A$2:$A$755,"NZ_LABOUR",Release_Calendar!$B$2:$B$755,$A1954)&gt;0,1,0))</f>
        <v/>
      </c>
      <c r="P1954" s="16">
        <f t="shared" si="4"/>
        <v>0</v>
      </c>
    </row>
    <row r="1955" ht="15.75" customHeight="1">
      <c r="A1955" s="14">
        <v>39261.0</v>
      </c>
      <c r="B1955" s="15">
        <v>4.96</v>
      </c>
      <c r="C1955" s="15"/>
      <c r="D1955" s="15">
        <v>7.31</v>
      </c>
      <c r="E1955" s="15"/>
      <c r="F1955" s="15" t="str">
        <f t="shared" si="1"/>
        <v/>
      </c>
      <c r="G1955" s="15">
        <f t="shared" si="2"/>
        <v>7.31</v>
      </c>
      <c r="H1955" s="16">
        <v>1.0</v>
      </c>
      <c r="I1955" s="15">
        <f t="shared" si="3"/>
        <v>2.35</v>
      </c>
      <c r="J1955" s="15">
        <v>15.54</v>
      </c>
      <c r="K1955" s="16">
        <f>IF(COUNTIFS(Release_Calendar!$A$2:$A$755,"US_CPI",Release_Calendar!$B$2:$B$755,$A1955)&gt;0,1,0)</f>
        <v>0</v>
      </c>
      <c r="L1955" s="16">
        <f>IF(COUNTIFS(Release_Calendar!$A$2:$A$755,"US_NFP",Release_Calendar!$B$2:$B$755,$A1955)&gt;0,1,0)</f>
        <v>0</v>
      </c>
      <c r="M1955" s="16" t="str">
        <f>IF($A1955&lt;Notes!$B$5,"",IF(COUNTIFS(Release_Calendar!$A$2:$A$755,"NZ_CPI",Release_Calendar!$B$2:$B$755,$A1955)&gt;0,1,0))</f>
        <v/>
      </c>
      <c r="N1955" s="16" t="str">
        <f>IF($A1955&lt;Notes!$B$5,"",IF(COUNTIFS(Release_Calendar!$A$2:$A$755,"NZ_GDP",Release_Calendar!$B$2:$B$755,$A1955)&gt;0,1,0))</f>
        <v/>
      </c>
      <c r="O1955" s="16" t="str">
        <f>IF($A1955&lt;Notes!$B$5,"",IF(COUNTIFS(Release_Calendar!$A$2:$A$755,"NZ_LABOUR",Release_Calendar!$B$2:$B$755,$A1955)&gt;0,1,0))</f>
        <v/>
      </c>
      <c r="P1955" s="16">
        <f t="shared" si="4"/>
        <v>0</v>
      </c>
    </row>
    <row r="1956" ht="15.75" customHeight="1">
      <c r="A1956" s="14">
        <v>39262.0</v>
      </c>
      <c r="B1956" s="15">
        <v>4.87</v>
      </c>
      <c r="C1956" s="15"/>
      <c r="D1956" s="15">
        <v>7.32</v>
      </c>
      <c r="E1956" s="15"/>
      <c r="F1956" s="15" t="str">
        <f t="shared" si="1"/>
        <v/>
      </c>
      <c r="G1956" s="15">
        <f t="shared" si="2"/>
        <v>7.32</v>
      </c>
      <c r="H1956" s="16">
        <v>1.0</v>
      </c>
      <c r="I1956" s="15">
        <f t="shared" si="3"/>
        <v>2.45</v>
      </c>
      <c r="J1956" s="15">
        <v>16.23</v>
      </c>
      <c r="K1956" s="16">
        <f>IF(COUNTIFS(Release_Calendar!$A$2:$A$755,"US_CPI",Release_Calendar!$B$2:$B$755,$A1956)&gt;0,1,0)</f>
        <v>0</v>
      </c>
      <c r="L1956" s="16">
        <f>IF(COUNTIFS(Release_Calendar!$A$2:$A$755,"US_NFP",Release_Calendar!$B$2:$B$755,$A1956)&gt;0,1,0)</f>
        <v>0</v>
      </c>
      <c r="M1956" s="16" t="str">
        <f>IF($A1956&lt;Notes!$B$5,"",IF(COUNTIFS(Release_Calendar!$A$2:$A$755,"NZ_CPI",Release_Calendar!$B$2:$B$755,$A1956)&gt;0,1,0))</f>
        <v/>
      </c>
      <c r="N1956" s="16" t="str">
        <f>IF($A1956&lt;Notes!$B$5,"",IF(COUNTIFS(Release_Calendar!$A$2:$A$755,"NZ_GDP",Release_Calendar!$B$2:$B$755,$A1956)&gt;0,1,0))</f>
        <v/>
      </c>
      <c r="O1956" s="16" t="str">
        <f>IF($A1956&lt;Notes!$B$5,"",IF(COUNTIFS(Release_Calendar!$A$2:$A$755,"NZ_LABOUR",Release_Calendar!$B$2:$B$755,$A1956)&gt;0,1,0))</f>
        <v/>
      </c>
      <c r="P1956" s="16">
        <f t="shared" si="4"/>
        <v>0</v>
      </c>
    </row>
    <row r="1957" ht="15.75" customHeight="1">
      <c r="A1957" s="14">
        <v>39265.0</v>
      </c>
      <c r="B1957" s="15">
        <v>4.86</v>
      </c>
      <c r="C1957" s="15"/>
      <c r="D1957" s="15">
        <v>7.32</v>
      </c>
      <c r="E1957" s="15"/>
      <c r="F1957" s="15" t="str">
        <f t="shared" si="1"/>
        <v/>
      </c>
      <c r="G1957" s="15">
        <f t="shared" si="2"/>
        <v>7.32</v>
      </c>
      <c r="H1957" s="16">
        <v>1.0</v>
      </c>
      <c r="I1957" s="15">
        <f t="shared" si="3"/>
        <v>2.46</v>
      </c>
      <c r="J1957" s="15">
        <v>15.4</v>
      </c>
      <c r="K1957" s="16">
        <f>IF(COUNTIFS(Release_Calendar!$A$2:$A$755,"US_CPI",Release_Calendar!$B$2:$B$755,$A1957)&gt;0,1,0)</f>
        <v>0</v>
      </c>
      <c r="L1957" s="16">
        <f>IF(COUNTIFS(Release_Calendar!$A$2:$A$755,"US_NFP",Release_Calendar!$B$2:$B$755,$A1957)&gt;0,1,0)</f>
        <v>0</v>
      </c>
      <c r="M1957" s="16" t="str">
        <f>IF($A1957&lt;Notes!$B$5,"",IF(COUNTIFS(Release_Calendar!$A$2:$A$755,"NZ_CPI",Release_Calendar!$B$2:$B$755,$A1957)&gt;0,1,0))</f>
        <v/>
      </c>
      <c r="N1957" s="16" t="str">
        <f>IF($A1957&lt;Notes!$B$5,"",IF(COUNTIFS(Release_Calendar!$A$2:$A$755,"NZ_GDP",Release_Calendar!$B$2:$B$755,$A1957)&gt;0,1,0))</f>
        <v/>
      </c>
      <c r="O1957" s="16" t="str">
        <f>IF($A1957&lt;Notes!$B$5,"",IF(COUNTIFS(Release_Calendar!$A$2:$A$755,"NZ_LABOUR",Release_Calendar!$B$2:$B$755,$A1957)&gt;0,1,0))</f>
        <v/>
      </c>
      <c r="P1957" s="16">
        <f t="shared" si="4"/>
        <v>0</v>
      </c>
    </row>
    <row r="1958" ht="15.75" customHeight="1">
      <c r="A1958" s="14">
        <v>39266.0</v>
      </c>
      <c r="B1958" s="15">
        <v>4.89</v>
      </c>
      <c r="C1958" s="15"/>
      <c r="D1958" s="15">
        <v>7.31</v>
      </c>
      <c r="E1958" s="15"/>
      <c r="F1958" s="15" t="str">
        <f t="shared" si="1"/>
        <v/>
      </c>
      <c r="G1958" s="15">
        <f t="shared" si="2"/>
        <v>7.31</v>
      </c>
      <c r="H1958" s="16">
        <v>1.0</v>
      </c>
      <c r="I1958" s="15">
        <f t="shared" si="3"/>
        <v>2.42</v>
      </c>
      <c r="J1958" s="15">
        <v>14.92</v>
      </c>
      <c r="K1958" s="16">
        <f>IF(COUNTIFS(Release_Calendar!$A$2:$A$755,"US_CPI",Release_Calendar!$B$2:$B$755,$A1958)&gt;0,1,0)</f>
        <v>0</v>
      </c>
      <c r="L1958" s="16">
        <f>IF(COUNTIFS(Release_Calendar!$A$2:$A$755,"US_NFP",Release_Calendar!$B$2:$B$755,$A1958)&gt;0,1,0)</f>
        <v>0</v>
      </c>
      <c r="M1958" s="16" t="str">
        <f>IF($A1958&lt;Notes!$B$5,"",IF(COUNTIFS(Release_Calendar!$A$2:$A$755,"NZ_CPI",Release_Calendar!$B$2:$B$755,$A1958)&gt;0,1,0))</f>
        <v/>
      </c>
      <c r="N1958" s="16" t="str">
        <f>IF($A1958&lt;Notes!$B$5,"",IF(COUNTIFS(Release_Calendar!$A$2:$A$755,"NZ_GDP",Release_Calendar!$B$2:$B$755,$A1958)&gt;0,1,0))</f>
        <v/>
      </c>
      <c r="O1958" s="16" t="str">
        <f>IF($A1958&lt;Notes!$B$5,"",IF(COUNTIFS(Release_Calendar!$A$2:$A$755,"NZ_LABOUR",Release_Calendar!$B$2:$B$755,$A1958)&gt;0,1,0))</f>
        <v/>
      </c>
      <c r="P1958" s="16">
        <f t="shared" si="4"/>
        <v>0</v>
      </c>
    </row>
    <row r="1959" ht="15.75" customHeight="1">
      <c r="A1959" s="14">
        <v>39267.0</v>
      </c>
      <c r="B1959" s="15"/>
      <c r="C1959" s="15"/>
      <c r="D1959" s="15">
        <v>7.32</v>
      </c>
      <c r="E1959" s="15"/>
      <c r="F1959" s="15" t="str">
        <f t="shared" si="1"/>
        <v/>
      </c>
      <c r="G1959" s="15">
        <f t="shared" si="2"/>
        <v>7.32</v>
      </c>
      <c r="H1959" s="16">
        <v>1.0</v>
      </c>
      <c r="I1959" s="15" t="str">
        <f t="shared" si="3"/>
        <v/>
      </c>
      <c r="J1959" s="15"/>
      <c r="K1959" s="16">
        <f>IF(COUNTIFS(Release_Calendar!$A$2:$A$755,"US_CPI",Release_Calendar!$B$2:$B$755,$A1959)&gt;0,1,0)</f>
        <v>0</v>
      </c>
      <c r="L1959" s="16">
        <f>IF(COUNTIFS(Release_Calendar!$A$2:$A$755,"US_NFP",Release_Calendar!$B$2:$B$755,$A1959)&gt;0,1,0)</f>
        <v>0</v>
      </c>
      <c r="M1959" s="16" t="str">
        <f>IF($A1959&lt;Notes!$B$5,"",IF(COUNTIFS(Release_Calendar!$A$2:$A$755,"NZ_CPI",Release_Calendar!$B$2:$B$755,$A1959)&gt;0,1,0))</f>
        <v/>
      </c>
      <c r="N1959" s="16" t="str">
        <f>IF($A1959&lt;Notes!$B$5,"",IF(COUNTIFS(Release_Calendar!$A$2:$A$755,"NZ_GDP",Release_Calendar!$B$2:$B$755,$A1959)&gt;0,1,0))</f>
        <v/>
      </c>
      <c r="O1959" s="16" t="str">
        <f>IF($A1959&lt;Notes!$B$5,"",IF(COUNTIFS(Release_Calendar!$A$2:$A$755,"NZ_LABOUR",Release_Calendar!$B$2:$B$755,$A1959)&gt;0,1,0))</f>
        <v/>
      </c>
      <c r="P1959" s="16">
        <f t="shared" si="4"/>
        <v>0</v>
      </c>
    </row>
    <row r="1960" ht="15.75" customHeight="1">
      <c r="A1960" s="14">
        <v>39268.0</v>
      </c>
      <c r="B1960" s="15">
        <v>4.99</v>
      </c>
      <c r="C1960" s="15"/>
      <c r="D1960" s="15">
        <v>7.33</v>
      </c>
      <c r="E1960" s="15"/>
      <c r="F1960" s="15" t="str">
        <f t="shared" si="1"/>
        <v/>
      </c>
      <c r="G1960" s="15">
        <f t="shared" si="2"/>
        <v>7.33</v>
      </c>
      <c r="H1960" s="16">
        <v>1.0</v>
      </c>
      <c r="I1960" s="15">
        <f t="shared" si="3"/>
        <v>2.34</v>
      </c>
      <c r="J1960" s="15">
        <v>15.48</v>
      </c>
      <c r="K1960" s="16">
        <f>IF(COUNTIFS(Release_Calendar!$A$2:$A$755,"US_CPI",Release_Calendar!$B$2:$B$755,$A1960)&gt;0,1,0)</f>
        <v>0</v>
      </c>
      <c r="L1960" s="16">
        <f>IF(COUNTIFS(Release_Calendar!$A$2:$A$755,"US_NFP",Release_Calendar!$B$2:$B$755,$A1960)&gt;0,1,0)</f>
        <v>0</v>
      </c>
      <c r="M1960" s="16" t="str">
        <f>IF($A1960&lt;Notes!$B$5,"",IF(COUNTIFS(Release_Calendar!$A$2:$A$755,"NZ_CPI",Release_Calendar!$B$2:$B$755,$A1960)&gt;0,1,0))</f>
        <v/>
      </c>
      <c r="N1960" s="16" t="str">
        <f>IF($A1960&lt;Notes!$B$5,"",IF(COUNTIFS(Release_Calendar!$A$2:$A$755,"NZ_GDP",Release_Calendar!$B$2:$B$755,$A1960)&gt;0,1,0))</f>
        <v/>
      </c>
      <c r="O1960" s="16" t="str">
        <f>IF($A1960&lt;Notes!$B$5,"",IF(COUNTIFS(Release_Calendar!$A$2:$A$755,"NZ_LABOUR",Release_Calendar!$B$2:$B$755,$A1960)&gt;0,1,0))</f>
        <v/>
      </c>
      <c r="P1960" s="16">
        <f t="shared" si="4"/>
        <v>0</v>
      </c>
    </row>
    <row r="1961" ht="15.75" customHeight="1">
      <c r="A1961" s="14">
        <v>39269.0</v>
      </c>
      <c r="B1961" s="15">
        <v>4.99</v>
      </c>
      <c r="C1961" s="15"/>
      <c r="D1961" s="15">
        <v>7.38</v>
      </c>
      <c r="E1961" s="15"/>
      <c r="F1961" s="15" t="str">
        <f t="shared" si="1"/>
        <v/>
      </c>
      <c r="G1961" s="15">
        <f t="shared" si="2"/>
        <v>7.38</v>
      </c>
      <c r="H1961" s="16">
        <v>1.0</v>
      </c>
      <c r="I1961" s="15">
        <f t="shared" si="3"/>
        <v>2.39</v>
      </c>
      <c r="J1961" s="15">
        <v>14.72</v>
      </c>
      <c r="K1961" s="16">
        <f>IF(COUNTIFS(Release_Calendar!$A$2:$A$755,"US_CPI",Release_Calendar!$B$2:$B$755,$A1961)&gt;0,1,0)</f>
        <v>0</v>
      </c>
      <c r="L1961" s="16">
        <f>IF(COUNTIFS(Release_Calendar!$A$2:$A$755,"US_NFP",Release_Calendar!$B$2:$B$755,$A1961)&gt;0,1,0)</f>
        <v>1</v>
      </c>
      <c r="M1961" s="16" t="str">
        <f>IF($A1961&lt;Notes!$B$5,"",IF(COUNTIFS(Release_Calendar!$A$2:$A$755,"NZ_CPI",Release_Calendar!$B$2:$B$755,$A1961)&gt;0,1,0))</f>
        <v/>
      </c>
      <c r="N1961" s="16" t="str">
        <f>IF($A1961&lt;Notes!$B$5,"",IF(COUNTIFS(Release_Calendar!$A$2:$A$755,"NZ_GDP",Release_Calendar!$B$2:$B$755,$A1961)&gt;0,1,0))</f>
        <v/>
      </c>
      <c r="O1961" s="16" t="str">
        <f>IF($A1961&lt;Notes!$B$5,"",IF(COUNTIFS(Release_Calendar!$A$2:$A$755,"NZ_LABOUR",Release_Calendar!$B$2:$B$755,$A1961)&gt;0,1,0))</f>
        <v/>
      </c>
      <c r="P1961" s="16">
        <f t="shared" si="4"/>
        <v>1</v>
      </c>
    </row>
    <row r="1962" ht="15.75" customHeight="1">
      <c r="A1962" s="14">
        <v>39272.0</v>
      </c>
      <c r="B1962" s="15">
        <v>4.97</v>
      </c>
      <c r="C1962" s="15"/>
      <c r="D1962" s="15">
        <v>7.4</v>
      </c>
      <c r="E1962" s="15"/>
      <c r="F1962" s="15" t="str">
        <f t="shared" si="1"/>
        <v/>
      </c>
      <c r="G1962" s="15">
        <f t="shared" si="2"/>
        <v>7.4</v>
      </c>
      <c r="H1962" s="16">
        <v>1.0</v>
      </c>
      <c r="I1962" s="15">
        <f t="shared" si="3"/>
        <v>2.43</v>
      </c>
      <c r="J1962" s="15">
        <v>15.16</v>
      </c>
      <c r="K1962" s="16">
        <f>IF(COUNTIFS(Release_Calendar!$A$2:$A$755,"US_CPI",Release_Calendar!$B$2:$B$755,$A1962)&gt;0,1,0)</f>
        <v>0</v>
      </c>
      <c r="L1962" s="16">
        <f>IF(COUNTIFS(Release_Calendar!$A$2:$A$755,"US_NFP",Release_Calendar!$B$2:$B$755,$A1962)&gt;0,1,0)</f>
        <v>0</v>
      </c>
      <c r="M1962" s="16" t="str">
        <f>IF($A1962&lt;Notes!$B$5,"",IF(COUNTIFS(Release_Calendar!$A$2:$A$755,"NZ_CPI",Release_Calendar!$B$2:$B$755,$A1962)&gt;0,1,0))</f>
        <v/>
      </c>
      <c r="N1962" s="16" t="str">
        <f>IF($A1962&lt;Notes!$B$5,"",IF(COUNTIFS(Release_Calendar!$A$2:$A$755,"NZ_GDP",Release_Calendar!$B$2:$B$755,$A1962)&gt;0,1,0))</f>
        <v/>
      </c>
      <c r="O1962" s="16" t="str">
        <f>IF($A1962&lt;Notes!$B$5,"",IF(COUNTIFS(Release_Calendar!$A$2:$A$755,"NZ_LABOUR",Release_Calendar!$B$2:$B$755,$A1962)&gt;0,1,0))</f>
        <v/>
      </c>
      <c r="P1962" s="16">
        <f t="shared" si="4"/>
        <v>0</v>
      </c>
    </row>
    <row r="1963" ht="15.75" customHeight="1">
      <c r="A1963" s="14">
        <v>39273.0</v>
      </c>
      <c r="B1963" s="15">
        <v>4.85</v>
      </c>
      <c r="C1963" s="15"/>
      <c r="D1963" s="15">
        <v>7.38</v>
      </c>
      <c r="E1963" s="15"/>
      <c r="F1963" s="15" t="str">
        <f t="shared" si="1"/>
        <v/>
      </c>
      <c r="G1963" s="15">
        <f t="shared" si="2"/>
        <v>7.38</v>
      </c>
      <c r="H1963" s="16">
        <v>1.0</v>
      </c>
      <c r="I1963" s="15">
        <f t="shared" si="3"/>
        <v>2.53</v>
      </c>
      <c r="J1963" s="15">
        <v>17.57</v>
      </c>
      <c r="K1963" s="16">
        <f>IF(COUNTIFS(Release_Calendar!$A$2:$A$755,"US_CPI",Release_Calendar!$B$2:$B$755,$A1963)&gt;0,1,0)</f>
        <v>0</v>
      </c>
      <c r="L1963" s="16">
        <f>IF(COUNTIFS(Release_Calendar!$A$2:$A$755,"US_NFP",Release_Calendar!$B$2:$B$755,$A1963)&gt;0,1,0)</f>
        <v>0</v>
      </c>
      <c r="M1963" s="16" t="str">
        <f>IF($A1963&lt;Notes!$B$5,"",IF(COUNTIFS(Release_Calendar!$A$2:$A$755,"NZ_CPI",Release_Calendar!$B$2:$B$755,$A1963)&gt;0,1,0))</f>
        <v/>
      </c>
      <c r="N1963" s="16" t="str">
        <f>IF($A1963&lt;Notes!$B$5,"",IF(COUNTIFS(Release_Calendar!$A$2:$A$755,"NZ_GDP",Release_Calendar!$B$2:$B$755,$A1963)&gt;0,1,0))</f>
        <v/>
      </c>
      <c r="O1963" s="16" t="str">
        <f>IF($A1963&lt;Notes!$B$5,"",IF(COUNTIFS(Release_Calendar!$A$2:$A$755,"NZ_LABOUR",Release_Calendar!$B$2:$B$755,$A1963)&gt;0,1,0))</f>
        <v/>
      </c>
      <c r="P1963" s="16">
        <f t="shared" si="4"/>
        <v>0</v>
      </c>
    </row>
    <row r="1964" ht="15.75" customHeight="1">
      <c r="A1964" s="14">
        <v>39274.0</v>
      </c>
      <c r="B1964" s="15">
        <v>4.89</v>
      </c>
      <c r="C1964" s="15"/>
      <c r="D1964" s="15">
        <v>7.48</v>
      </c>
      <c r="E1964" s="15"/>
      <c r="F1964" s="15" t="str">
        <f t="shared" si="1"/>
        <v/>
      </c>
      <c r="G1964" s="15">
        <f t="shared" si="2"/>
        <v>7.48</v>
      </c>
      <c r="H1964" s="16">
        <v>1.0</v>
      </c>
      <c r="I1964" s="15">
        <f t="shared" si="3"/>
        <v>2.59</v>
      </c>
      <c r="J1964" s="15">
        <v>16.64</v>
      </c>
      <c r="K1964" s="16">
        <f>IF(COUNTIFS(Release_Calendar!$A$2:$A$755,"US_CPI",Release_Calendar!$B$2:$B$755,$A1964)&gt;0,1,0)</f>
        <v>0</v>
      </c>
      <c r="L1964" s="16">
        <f>IF(COUNTIFS(Release_Calendar!$A$2:$A$755,"US_NFP",Release_Calendar!$B$2:$B$755,$A1964)&gt;0,1,0)</f>
        <v>0</v>
      </c>
      <c r="M1964" s="16" t="str">
        <f>IF($A1964&lt;Notes!$B$5,"",IF(COUNTIFS(Release_Calendar!$A$2:$A$755,"NZ_CPI",Release_Calendar!$B$2:$B$755,$A1964)&gt;0,1,0))</f>
        <v/>
      </c>
      <c r="N1964" s="16" t="str">
        <f>IF($A1964&lt;Notes!$B$5,"",IF(COUNTIFS(Release_Calendar!$A$2:$A$755,"NZ_GDP",Release_Calendar!$B$2:$B$755,$A1964)&gt;0,1,0))</f>
        <v/>
      </c>
      <c r="O1964" s="16" t="str">
        <f>IF($A1964&lt;Notes!$B$5,"",IF(COUNTIFS(Release_Calendar!$A$2:$A$755,"NZ_LABOUR",Release_Calendar!$B$2:$B$755,$A1964)&gt;0,1,0))</f>
        <v/>
      </c>
      <c r="P1964" s="16">
        <f t="shared" si="4"/>
        <v>0</v>
      </c>
    </row>
    <row r="1965" ht="15.75" customHeight="1">
      <c r="A1965" s="14">
        <v>39275.0</v>
      </c>
      <c r="B1965" s="15">
        <v>4.94</v>
      </c>
      <c r="C1965" s="15"/>
      <c r="D1965" s="15">
        <v>7.51</v>
      </c>
      <c r="E1965" s="15"/>
      <c r="F1965" s="15" t="str">
        <f t="shared" si="1"/>
        <v/>
      </c>
      <c r="G1965" s="15">
        <f t="shared" si="2"/>
        <v>7.51</v>
      </c>
      <c r="H1965" s="16">
        <v>1.0</v>
      </c>
      <c r="I1965" s="15">
        <f t="shared" si="3"/>
        <v>2.57</v>
      </c>
      <c r="J1965" s="15">
        <v>15.54</v>
      </c>
      <c r="K1965" s="16">
        <f>IF(COUNTIFS(Release_Calendar!$A$2:$A$755,"US_CPI",Release_Calendar!$B$2:$B$755,$A1965)&gt;0,1,0)</f>
        <v>0</v>
      </c>
      <c r="L1965" s="16">
        <f>IF(COUNTIFS(Release_Calendar!$A$2:$A$755,"US_NFP",Release_Calendar!$B$2:$B$755,$A1965)&gt;0,1,0)</f>
        <v>0</v>
      </c>
      <c r="M1965" s="16" t="str">
        <f>IF($A1965&lt;Notes!$B$5,"",IF(COUNTIFS(Release_Calendar!$A$2:$A$755,"NZ_CPI",Release_Calendar!$B$2:$B$755,$A1965)&gt;0,1,0))</f>
        <v/>
      </c>
      <c r="N1965" s="16" t="str">
        <f>IF($A1965&lt;Notes!$B$5,"",IF(COUNTIFS(Release_Calendar!$A$2:$A$755,"NZ_GDP",Release_Calendar!$B$2:$B$755,$A1965)&gt;0,1,0))</f>
        <v/>
      </c>
      <c r="O1965" s="16" t="str">
        <f>IF($A1965&lt;Notes!$B$5,"",IF(COUNTIFS(Release_Calendar!$A$2:$A$755,"NZ_LABOUR",Release_Calendar!$B$2:$B$755,$A1965)&gt;0,1,0))</f>
        <v/>
      </c>
      <c r="P1965" s="16">
        <f t="shared" si="4"/>
        <v>0</v>
      </c>
    </row>
    <row r="1966" ht="15.75" customHeight="1">
      <c r="A1966" s="14">
        <v>39276.0</v>
      </c>
      <c r="B1966" s="15">
        <v>4.94</v>
      </c>
      <c r="C1966" s="15"/>
      <c r="D1966" s="15">
        <v>7.58</v>
      </c>
      <c r="E1966" s="15"/>
      <c r="F1966" s="15" t="str">
        <f t="shared" si="1"/>
        <v/>
      </c>
      <c r="G1966" s="15">
        <f t="shared" si="2"/>
        <v>7.58</v>
      </c>
      <c r="H1966" s="16">
        <v>1.0</v>
      </c>
      <c r="I1966" s="15">
        <f t="shared" si="3"/>
        <v>2.64</v>
      </c>
      <c r="J1966" s="15">
        <v>15.15</v>
      </c>
      <c r="K1966" s="16">
        <f>IF(COUNTIFS(Release_Calendar!$A$2:$A$755,"US_CPI",Release_Calendar!$B$2:$B$755,$A1966)&gt;0,1,0)</f>
        <v>0</v>
      </c>
      <c r="L1966" s="16">
        <f>IF(COUNTIFS(Release_Calendar!$A$2:$A$755,"US_NFP",Release_Calendar!$B$2:$B$755,$A1966)&gt;0,1,0)</f>
        <v>0</v>
      </c>
      <c r="M1966" s="16" t="str">
        <f>IF($A1966&lt;Notes!$B$5,"",IF(COUNTIFS(Release_Calendar!$A$2:$A$755,"NZ_CPI",Release_Calendar!$B$2:$B$755,$A1966)&gt;0,1,0))</f>
        <v/>
      </c>
      <c r="N1966" s="16" t="str">
        <f>IF($A1966&lt;Notes!$B$5,"",IF(COUNTIFS(Release_Calendar!$A$2:$A$755,"NZ_GDP",Release_Calendar!$B$2:$B$755,$A1966)&gt;0,1,0))</f>
        <v/>
      </c>
      <c r="O1966" s="16" t="str">
        <f>IF($A1966&lt;Notes!$B$5,"",IF(COUNTIFS(Release_Calendar!$A$2:$A$755,"NZ_LABOUR",Release_Calendar!$B$2:$B$755,$A1966)&gt;0,1,0))</f>
        <v/>
      </c>
      <c r="P1966" s="16">
        <f t="shared" si="4"/>
        <v>0</v>
      </c>
    </row>
    <row r="1967" ht="15.75" customHeight="1">
      <c r="A1967" s="14">
        <v>39279.0</v>
      </c>
      <c r="B1967" s="15">
        <v>4.89</v>
      </c>
      <c r="C1967" s="15"/>
      <c r="D1967" s="15">
        <v>7.66</v>
      </c>
      <c r="E1967" s="15"/>
      <c r="F1967" s="15" t="str">
        <f t="shared" si="1"/>
        <v/>
      </c>
      <c r="G1967" s="15">
        <f t="shared" si="2"/>
        <v>7.66</v>
      </c>
      <c r="H1967" s="16">
        <v>1.0</v>
      </c>
      <c r="I1967" s="15">
        <f t="shared" si="3"/>
        <v>2.77</v>
      </c>
      <c r="J1967" s="15">
        <v>15.59</v>
      </c>
      <c r="K1967" s="16">
        <f>IF(COUNTIFS(Release_Calendar!$A$2:$A$755,"US_CPI",Release_Calendar!$B$2:$B$755,$A1967)&gt;0,1,0)</f>
        <v>0</v>
      </c>
      <c r="L1967" s="16">
        <f>IF(COUNTIFS(Release_Calendar!$A$2:$A$755,"US_NFP",Release_Calendar!$B$2:$B$755,$A1967)&gt;0,1,0)</f>
        <v>0</v>
      </c>
      <c r="M1967" s="16" t="str">
        <f>IF($A1967&lt;Notes!$B$5,"",IF(COUNTIFS(Release_Calendar!$A$2:$A$755,"NZ_CPI",Release_Calendar!$B$2:$B$755,$A1967)&gt;0,1,0))</f>
        <v/>
      </c>
      <c r="N1967" s="16" t="str">
        <f>IF($A1967&lt;Notes!$B$5,"",IF(COUNTIFS(Release_Calendar!$A$2:$A$755,"NZ_GDP",Release_Calendar!$B$2:$B$755,$A1967)&gt;0,1,0))</f>
        <v/>
      </c>
      <c r="O1967" s="16" t="str">
        <f>IF($A1967&lt;Notes!$B$5,"",IF(COUNTIFS(Release_Calendar!$A$2:$A$755,"NZ_LABOUR",Release_Calendar!$B$2:$B$755,$A1967)&gt;0,1,0))</f>
        <v/>
      </c>
      <c r="P1967" s="16">
        <f t="shared" si="4"/>
        <v>0</v>
      </c>
    </row>
    <row r="1968" ht="15.75" customHeight="1">
      <c r="A1968" s="14">
        <v>39280.0</v>
      </c>
      <c r="B1968" s="15">
        <v>4.91</v>
      </c>
      <c r="C1968" s="15"/>
      <c r="D1968" s="15">
        <v>7.7</v>
      </c>
      <c r="E1968" s="15"/>
      <c r="F1968" s="15" t="str">
        <f t="shared" si="1"/>
        <v/>
      </c>
      <c r="G1968" s="15">
        <f t="shared" si="2"/>
        <v>7.7</v>
      </c>
      <c r="H1968" s="16">
        <v>1.0</v>
      </c>
      <c r="I1968" s="15">
        <f t="shared" si="3"/>
        <v>2.79</v>
      </c>
      <c r="J1968" s="15">
        <v>15.63</v>
      </c>
      <c r="K1968" s="16">
        <f>IF(COUNTIFS(Release_Calendar!$A$2:$A$755,"US_CPI",Release_Calendar!$B$2:$B$755,$A1968)&gt;0,1,0)</f>
        <v>0</v>
      </c>
      <c r="L1968" s="16">
        <f>IF(COUNTIFS(Release_Calendar!$A$2:$A$755,"US_NFP",Release_Calendar!$B$2:$B$755,$A1968)&gt;0,1,0)</f>
        <v>0</v>
      </c>
      <c r="M1968" s="16" t="str">
        <f>IF($A1968&lt;Notes!$B$5,"",IF(COUNTIFS(Release_Calendar!$A$2:$A$755,"NZ_CPI",Release_Calendar!$B$2:$B$755,$A1968)&gt;0,1,0))</f>
        <v/>
      </c>
      <c r="N1968" s="16" t="str">
        <f>IF($A1968&lt;Notes!$B$5,"",IF(COUNTIFS(Release_Calendar!$A$2:$A$755,"NZ_GDP",Release_Calendar!$B$2:$B$755,$A1968)&gt;0,1,0))</f>
        <v/>
      </c>
      <c r="O1968" s="16" t="str">
        <f>IF($A1968&lt;Notes!$B$5,"",IF(COUNTIFS(Release_Calendar!$A$2:$A$755,"NZ_LABOUR",Release_Calendar!$B$2:$B$755,$A1968)&gt;0,1,0))</f>
        <v/>
      </c>
      <c r="P1968" s="16">
        <f t="shared" si="4"/>
        <v>0</v>
      </c>
    </row>
    <row r="1969" ht="15.75" customHeight="1">
      <c r="A1969" s="14">
        <v>39281.0</v>
      </c>
      <c r="B1969" s="15">
        <v>4.84</v>
      </c>
      <c r="C1969" s="15"/>
      <c r="D1969" s="15">
        <v>7.76</v>
      </c>
      <c r="E1969" s="15"/>
      <c r="F1969" s="15" t="str">
        <f t="shared" si="1"/>
        <v/>
      </c>
      <c r="G1969" s="15">
        <f t="shared" si="2"/>
        <v>7.76</v>
      </c>
      <c r="H1969" s="16">
        <v>1.0</v>
      </c>
      <c r="I1969" s="15">
        <f t="shared" si="3"/>
        <v>2.92</v>
      </c>
      <c r="J1969" s="15">
        <v>16.0</v>
      </c>
      <c r="K1969" s="16">
        <f>IF(COUNTIFS(Release_Calendar!$A$2:$A$755,"US_CPI",Release_Calendar!$B$2:$B$755,$A1969)&gt;0,1,0)</f>
        <v>1</v>
      </c>
      <c r="L1969" s="16">
        <f>IF(COUNTIFS(Release_Calendar!$A$2:$A$755,"US_NFP",Release_Calendar!$B$2:$B$755,$A1969)&gt;0,1,0)</f>
        <v>0</v>
      </c>
      <c r="M1969" s="16" t="str">
        <f>IF($A1969&lt;Notes!$B$5,"",IF(COUNTIFS(Release_Calendar!$A$2:$A$755,"NZ_CPI",Release_Calendar!$B$2:$B$755,$A1969)&gt;0,1,0))</f>
        <v/>
      </c>
      <c r="N1969" s="16" t="str">
        <f>IF($A1969&lt;Notes!$B$5,"",IF(COUNTIFS(Release_Calendar!$A$2:$A$755,"NZ_GDP",Release_Calendar!$B$2:$B$755,$A1969)&gt;0,1,0))</f>
        <v/>
      </c>
      <c r="O1969" s="16" t="str">
        <f>IF($A1969&lt;Notes!$B$5,"",IF(COUNTIFS(Release_Calendar!$A$2:$A$755,"NZ_LABOUR",Release_Calendar!$B$2:$B$755,$A1969)&gt;0,1,0))</f>
        <v/>
      </c>
      <c r="P1969" s="16">
        <f t="shared" si="4"/>
        <v>1</v>
      </c>
    </row>
    <row r="1970" ht="15.75" customHeight="1">
      <c r="A1970" s="14">
        <v>39282.0</v>
      </c>
      <c r="B1970" s="15">
        <v>4.87</v>
      </c>
      <c r="C1970" s="15"/>
      <c r="D1970" s="15">
        <v>7.78</v>
      </c>
      <c r="E1970" s="15"/>
      <c r="F1970" s="15" t="str">
        <f t="shared" si="1"/>
        <v/>
      </c>
      <c r="G1970" s="15">
        <f t="shared" si="2"/>
        <v>7.78</v>
      </c>
      <c r="H1970" s="16">
        <v>1.0</v>
      </c>
      <c r="I1970" s="15">
        <f t="shared" si="3"/>
        <v>2.91</v>
      </c>
      <c r="J1970" s="15">
        <v>15.23</v>
      </c>
      <c r="K1970" s="16">
        <f>IF(COUNTIFS(Release_Calendar!$A$2:$A$755,"US_CPI",Release_Calendar!$B$2:$B$755,$A1970)&gt;0,1,0)</f>
        <v>0</v>
      </c>
      <c r="L1970" s="16">
        <f>IF(COUNTIFS(Release_Calendar!$A$2:$A$755,"US_NFP",Release_Calendar!$B$2:$B$755,$A1970)&gt;0,1,0)</f>
        <v>0</v>
      </c>
      <c r="M1970" s="16" t="str">
        <f>IF($A1970&lt;Notes!$B$5,"",IF(COUNTIFS(Release_Calendar!$A$2:$A$755,"NZ_CPI",Release_Calendar!$B$2:$B$755,$A1970)&gt;0,1,0))</f>
        <v/>
      </c>
      <c r="N1970" s="16" t="str">
        <f>IF($A1970&lt;Notes!$B$5,"",IF(COUNTIFS(Release_Calendar!$A$2:$A$755,"NZ_GDP",Release_Calendar!$B$2:$B$755,$A1970)&gt;0,1,0))</f>
        <v/>
      </c>
      <c r="O1970" s="16" t="str">
        <f>IF($A1970&lt;Notes!$B$5,"",IF(COUNTIFS(Release_Calendar!$A$2:$A$755,"NZ_LABOUR",Release_Calendar!$B$2:$B$755,$A1970)&gt;0,1,0))</f>
        <v/>
      </c>
      <c r="P1970" s="16">
        <f t="shared" si="4"/>
        <v>0</v>
      </c>
    </row>
    <row r="1971" ht="15.75" customHeight="1">
      <c r="A1971" s="14">
        <v>39283.0</v>
      </c>
      <c r="B1971" s="15">
        <v>4.79</v>
      </c>
      <c r="C1971" s="15"/>
      <c r="D1971" s="15">
        <v>7.78</v>
      </c>
      <c r="E1971" s="15"/>
      <c r="F1971" s="15" t="str">
        <f t="shared" si="1"/>
        <v/>
      </c>
      <c r="G1971" s="15">
        <f t="shared" si="2"/>
        <v>7.78</v>
      </c>
      <c r="H1971" s="16">
        <v>1.0</v>
      </c>
      <c r="I1971" s="15">
        <f t="shared" si="3"/>
        <v>2.99</v>
      </c>
      <c r="J1971" s="15">
        <v>16.95</v>
      </c>
      <c r="K1971" s="16">
        <f>IF(COUNTIFS(Release_Calendar!$A$2:$A$755,"US_CPI",Release_Calendar!$B$2:$B$755,$A1971)&gt;0,1,0)</f>
        <v>0</v>
      </c>
      <c r="L1971" s="16">
        <f>IF(COUNTIFS(Release_Calendar!$A$2:$A$755,"US_NFP",Release_Calendar!$B$2:$B$755,$A1971)&gt;0,1,0)</f>
        <v>0</v>
      </c>
      <c r="M1971" s="16" t="str">
        <f>IF($A1971&lt;Notes!$B$5,"",IF(COUNTIFS(Release_Calendar!$A$2:$A$755,"NZ_CPI",Release_Calendar!$B$2:$B$755,$A1971)&gt;0,1,0))</f>
        <v/>
      </c>
      <c r="N1971" s="16" t="str">
        <f>IF($A1971&lt;Notes!$B$5,"",IF(COUNTIFS(Release_Calendar!$A$2:$A$755,"NZ_GDP",Release_Calendar!$B$2:$B$755,$A1971)&gt;0,1,0))</f>
        <v/>
      </c>
      <c r="O1971" s="16" t="str">
        <f>IF($A1971&lt;Notes!$B$5,"",IF(COUNTIFS(Release_Calendar!$A$2:$A$755,"NZ_LABOUR",Release_Calendar!$B$2:$B$755,$A1971)&gt;0,1,0))</f>
        <v/>
      </c>
      <c r="P1971" s="16">
        <f t="shared" si="4"/>
        <v>0</v>
      </c>
    </row>
    <row r="1972" ht="15.75" customHeight="1">
      <c r="A1972" s="14">
        <v>39286.0</v>
      </c>
      <c r="B1972" s="15">
        <v>4.8</v>
      </c>
      <c r="C1972" s="15"/>
      <c r="D1972" s="15">
        <v>7.76</v>
      </c>
      <c r="E1972" s="15"/>
      <c r="F1972" s="15" t="str">
        <f t="shared" si="1"/>
        <v/>
      </c>
      <c r="G1972" s="15">
        <f t="shared" si="2"/>
        <v>7.76</v>
      </c>
      <c r="H1972" s="16">
        <v>1.0</v>
      </c>
      <c r="I1972" s="15">
        <f t="shared" si="3"/>
        <v>2.96</v>
      </c>
      <c r="J1972" s="15">
        <v>16.81</v>
      </c>
      <c r="K1972" s="16">
        <f>IF(COUNTIFS(Release_Calendar!$A$2:$A$755,"US_CPI",Release_Calendar!$B$2:$B$755,$A1972)&gt;0,1,0)</f>
        <v>0</v>
      </c>
      <c r="L1972" s="16">
        <f>IF(COUNTIFS(Release_Calendar!$A$2:$A$755,"US_NFP",Release_Calendar!$B$2:$B$755,$A1972)&gt;0,1,0)</f>
        <v>0</v>
      </c>
      <c r="M1972" s="16" t="str">
        <f>IF($A1972&lt;Notes!$B$5,"",IF(COUNTIFS(Release_Calendar!$A$2:$A$755,"NZ_CPI",Release_Calendar!$B$2:$B$755,$A1972)&gt;0,1,0))</f>
        <v/>
      </c>
      <c r="N1972" s="16" t="str">
        <f>IF($A1972&lt;Notes!$B$5,"",IF(COUNTIFS(Release_Calendar!$A$2:$A$755,"NZ_GDP",Release_Calendar!$B$2:$B$755,$A1972)&gt;0,1,0))</f>
        <v/>
      </c>
      <c r="O1972" s="16" t="str">
        <f>IF($A1972&lt;Notes!$B$5,"",IF(COUNTIFS(Release_Calendar!$A$2:$A$755,"NZ_LABOUR",Release_Calendar!$B$2:$B$755,$A1972)&gt;0,1,0))</f>
        <v/>
      </c>
      <c r="P1972" s="16">
        <f t="shared" si="4"/>
        <v>0</v>
      </c>
    </row>
    <row r="1973" ht="15.75" customHeight="1">
      <c r="A1973" s="14">
        <v>39287.0</v>
      </c>
      <c r="B1973" s="15">
        <v>4.77</v>
      </c>
      <c r="C1973" s="15"/>
      <c r="D1973" s="15">
        <v>7.8</v>
      </c>
      <c r="E1973" s="15"/>
      <c r="F1973" s="15" t="str">
        <f t="shared" si="1"/>
        <v/>
      </c>
      <c r="G1973" s="15">
        <f t="shared" si="2"/>
        <v>7.8</v>
      </c>
      <c r="H1973" s="16">
        <v>1.0</v>
      </c>
      <c r="I1973" s="15">
        <f t="shared" si="3"/>
        <v>3.03</v>
      </c>
      <c r="J1973" s="15">
        <v>18.55</v>
      </c>
      <c r="K1973" s="16">
        <f>IF(COUNTIFS(Release_Calendar!$A$2:$A$755,"US_CPI",Release_Calendar!$B$2:$B$755,$A1973)&gt;0,1,0)</f>
        <v>0</v>
      </c>
      <c r="L1973" s="16">
        <f>IF(COUNTIFS(Release_Calendar!$A$2:$A$755,"US_NFP",Release_Calendar!$B$2:$B$755,$A1973)&gt;0,1,0)</f>
        <v>0</v>
      </c>
      <c r="M1973" s="16" t="str">
        <f>IF($A1973&lt;Notes!$B$5,"",IF(COUNTIFS(Release_Calendar!$A$2:$A$755,"NZ_CPI",Release_Calendar!$B$2:$B$755,$A1973)&gt;0,1,0))</f>
        <v/>
      </c>
      <c r="N1973" s="16" t="str">
        <f>IF($A1973&lt;Notes!$B$5,"",IF(COUNTIFS(Release_Calendar!$A$2:$A$755,"NZ_GDP",Release_Calendar!$B$2:$B$755,$A1973)&gt;0,1,0))</f>
        <v/>
      </c>
      <c r="O1973" s="16" t="str">
        <f>IF($A1973&lt;Notes!$B$5,"",IF(COUNTIFS(Release_Calendar!$A$2:$A$755,"NZ_LABOUR",Release_Calendar!$B$2:$B$755,$A1973)&gt;0,1,0))</f>
        <v/>
      </c>
      <c r="P1973" s="16">
        <f t="shared" si="4"/>
        <v>0</v>
      </c>
    </row>
    <row r="1974" ht="15.75" customHeight="1">
      <c r="A1974" s="14">
        <v>39288.0</v>
      </c>
      <c r="B1974" s="15">
        <v>4.74</v>
      </c>
      <c r="C1974" s="15"/>
      <c r="D1974" s="15">
        <v>7.8</v>
      </c>
      <c r="E1974" s="15"/>
      <c r="F1974" s="15" t="str">
        <f t="shared" si="1"/>
        <v/>
      </c>
      <c r="G1974" s="15">
        <f t="shared" si="2"/>
        <v>7.8</v>
      </c>
      <c r="H1974" s="16">
        <v>1.0</v>
      </c>
      <c r="I1974" s="15">
        <f t="shared" si="3"/>
        <v>3.06</v>
      </c>
      <c r="J1974" s="15">
        <v>18.1</v>
      </c>
      <c r="K1974" s="16">
        <f>IF(COUNTIFS(Release_Calendar!$A$2:$A$755,"US_CPI",Release_Calendar!$B$2:$B$755,$A1974)&gt;0,1,0)</f>
        <v>0</v>
      </c>
      <c r="L1974" s="16">
        <f>IF(COUNTIFS(Release_Calendar!$A$2:$A$755,"US_NFP",Release_Calendar!$B$2:$B$755,$A1974)&gt;0,1,0)</f>
        <v>0</v>
      </c>
      <c r="M1974" s="16" t="str">
        <f>IF($A1974&lt;Notes!$B$5,"",IF(COUNTIFS(Release_Calendar!$A$2:$A$755,"NZ_CPI",Release_Calendar!$B$2:$B$755,$A1974)&gt;0,1,0))</f>
        <v/>
      </c>
      <c r="N1974" s="16" t="str">
        <f>IF($A1974&lt;Notes!$B$5,"",IF(COUNTIFS(Release_Calendar!$A$2:$A$755,"NZ_GDP",Release_Calendar!$B$2:$B$755,$A1974)&gt;0,1,0))</f>
        <v/>
      </c>
      <c r="O1974" s="16" t="str">
        <f>IF($A1974&lt;Notes!$B$5,"",IF(COUNTIFS(Release_Calendar!$A$2:$A$755,"NZ_LABOUR",Release_Calendar!$B$2:$B$755,$A1974)&gt;0,1,0))</f>
        <v/>
      </c>
      <c r="P1974" s="16">
        <f t="shared" si="4"/>
        <v>0</v>
      </c>
    </row>
    <row r="1975" ht="15.75" customHeight="1">
      <c r="A1975" s="14">
        <v>39289.0</v>
      </c>
      <c r="B1975" s="15">
        <v>4.56</v>
      </c>
      <c r="C1975" s="15"/>
      <c r="D1975" s="15">
        <v>7.81</v>
      </c>
      <c r="E1975" s="15"/>
      <c r="F1975" s="15" t="str">
        <f t="shared" si="1"/>
        <v/>
      </c>
      <c r="G1975" s="15">
        <f t="shared" si="2"/>
        <v>7.81</v>
      </c>
      <c r="H1975" s="16">
        <v>1.0</v>
      </c>
      <c r="I1975" s="15">
        <f t="shared" si="3"/>
        <v>3.25</v>
      </c>
      <c r="J1975" s="15">
        <v>20.74</v>
      </c>
      <c r="K1975" s="16">
        <f>IF(COUNTIFS(Release_Calendar!$A$2:$A$755,"US_CPI",Release_Calendar!$B$2:$B$755,$A1975)&gt;0,1,0)</f>
        <v>0</v>
      </c>
      <c r="L1975" s="16">
        <f>IF(COUNTIFS(Release_Calendar!$A$2:$A$755,"US_NFP",Release_Calendar!$B$2:$B$755,$A1975)&gt;0,1,0)</f>
        <v>0</v>
      </c>
      <c r="M1975" s="16" t="str">
        <f>IF($A1975&lt;Notes!$B$5,"",IF(COUNTIFS(Release_Calendar!$A$2:$A$755,"NZ_CPI",Release_Calendar!$B$2:$B$755,$A1975)&gt;0,1,0))</f>
        <v/>
      </c>
      <c r="N1975" s="16" t="str">
        <f>IF($A1975&lt;Notes!$B$5,"",IF(COUNTIFS(Release_Calendar!$A$2:$A$755,"NZ_GDP",Release_Calendar!$B$2:$B$755,$A1975)&gt;0,1,0))</f>
        <v/>
      </c>
      <c r="O1975" s="16" t="str">
        <f>IF($A1975&lt;Notes!$B$5,"",IF(COUNTIFS(Release_Calendar!$A$2:$A$755,"NZ_LABOUR",Release_Calendar!$B$2:$B$755,$A1975)&gt;0,1,0))</f>
        <v/>
      </c>
      <c r="P1975" s="16">
        <f t="shared" si="4"/>
        <v>0</v>
      </c>
    </row>
    <row r="1976" ht="15.75" customHeight="1">
      <c r="A1976" s="14">
        <v>39290.0</v>
      </c>
      <c r="B1976" s="15">
        <v>4.56</v>
      </c>
      <c r="C1976" s="15"/>
      <c r="D1976" s="15">
        <v>7.75</v>
      </c>
      <c r="E1976" s="15"/>
      <c r="F1976" s="15" t="str">
        <f t="shared" si="1"/>
        <v/>
      </c>
      <c r="G1976" s="15">
        <f t="shared" si="2"/>
        <v>7.75</v>
      </c>
      <c r="H1976" s="16">
        <v>1.0</v>
      </c>
      <c r="I1976" s="15">
        <f t="shared" si="3"/>
        <v>3.19</v>
      </c>
      <c r="J1976" s="15">
        <v>24.17</v>
      </c>
      <c r="K1976" s="16">
        <f>IF(COUNTIFS(Release_Calendar!$A$2:$A$755,"US_CPI",Release_Calendar!$B$2:$B$755,$A1976)&gt;0,1,0)</f>
        <v>0</v>
      </c>
      <c r="L1976" s="16">
        <f>IF(COUNTIFS(Release_Calendar!$A$2:$A$755,"US_NFP",Release_Calendar!$B$2:$B$755,$A1976)&gt;0,1,0)</f>
        <v>0</v>
      </c>
      <c r="M1976" s="16" t="str">
        <f>IF($A1976&lt;Notes!$B$5,"",IF(COUNTIFS(Release_Calendar!$A$2:$A$755,"NZ_CPI",Release_Calendar!$B$2:$B$755,$A1976)&gt;0,1,0))</f>
        <v/>
      </c>
      <c r="N1976" s="16" t="str">
        <f>IF($A1976&lt;Notes!$B$5,"",IF(COUNTIFS(Release_Calendar!$A$2:$A$755,"NZ_GDP",Release_Calendar!$B$2:$B$755,$A1976)&gt;0,1,0))</f>
        <v/>
      </c>
      <c r="O1976" s="16" t="str">
        <f>IF($A1976&lt;Notes!$B$5,"",IF(COUNTIFS(Release_Calendar!$A$2:$A$755,"NZ_LABOUR",Release_Calendar!$B$2:$B$755,$A1976)&gt;0,1,0))</f>
        <v/>
      </c>
      <c r="P1976" s="16">
        <f t="shared" si="4"/>
        <v>0</v>
      </c>
    </row>
    <row r="1977" ht="15.75" customHeight="1">
      <c r="A1977" s="14">
        <v>39293.0</v>
      </c>
      <c r="B1977" s="15">
        <v>4.59</v>
      </c>
      <c r="C1977" s="15"/>
      <c r="D1977" s="15">
        <v>7.77</v>
      </c>
      <c r="E1977" s="15"/>
      <c r="F1977" s="15" t="str">
        <f t="shared" si="1"/>
        <v/>
      </c>
      <c r="G1977" s="15">
        <f t="shared" si="2"/>
        <v>7.77</v>
      </c>
      <c r="H1977" s="16">
        <v>1.0</v>
      </c>
      <c r="I1977" s="15">
        <f t="shared" si="3"/>
        <v>3.18</v>
      </c>
      <c r="J1977" s="15">
        <v>20.87</v>
      </c>
      <c r="K1977" s="16">
        <f>IF(COUNTIFS(Release_Calendar!$A$2:$A$755,"US_CPI",Release_Calendar!$B$2:$B$755,$A1977)&gt;0,1,0)</f>
        <v>0</v>
      </c>
      <c r="L1977" s="16">
        <f>IF(COUNTIFS(Release_Calendar!$A$2:$A$755,"US_NFP",Release_Calendar!$B$2:$B$755,$A1977)&gt;0,1,0)</f>
        <v>0</v>
      </c>
      <c r="M1977" s="16" t="str">
        <f>IF($A1977&lt;Notes!$B$5,"",IF(COUNTIFS(Release_Calendar!$A$2:$A$755,"NZ_CPI",Release_Calendar!$B$2:$B$755,$A1977)&gt;0,1,0))</f>
        <v/>
      </c>
      <c r="N1977" s="16" t="str">
        <f>IF($A1977&lt;Notes!$B$5,"",IF(COUNTIFS(Release_Calendar!$A$2:$A$755,"NZ_GDP",Release_Calendar!$B$2:$B$755,$A1977)&gt;0,1,0))</f>
        <v/>
      </c>
      <c r="O1977" s="16" t="str">
        <f>IF($A1977&lt;Notes!$B$5,"",IF(COUNTIFS(Release_Calendar!$A$2:$A$755,"NZ_LABOUR",Release_Calendar!$B$2:$B$755,$A1977)&gt;0,1,0))</f>
        <v/>
      </c>
      <c r="P1977" s="16">
        <f t="shared" si="4"/>
        <v>0</v>
      </c>
    </row>
    <row r="1978" ht="15.75" customHeight="1">
      <c r="A1978" s="14">
        <v>39294.0</v>
      </c>
      <c r="B1978" s="15">
        <v>4.56</v>
      </c>
      <c r="C1978" s="15"/>
      <c r="D1978" s="15">
        <v>7.82</v>
      </c>
      <c r="E1978" s="15"/>
      <c r="F1978" s="15" t="str">
        <f t="shared" si="1"/>
        <v/>
      </c>
      <c r="G1978" s="15">
        <f t="shared" si="2"/>
        <v>7.82</v>
      </c>
      <c r="H1978" s="16">
        <v>1.0</v>
      </c>
      <c r="I1978" s="15">
        <f t="shared" si="3"/>
        <v>3.26</v>
      </c>
      <c r="J1978" s="15">
        <v>23.52</v>
      </c>
      <c r="K1978" s="16">
        <f>IF(COUNTIFS(Release_Calendar!$A$2:$A$755,"US_CPI",Release_Calendar!$B$2:$B$755,$A1978)&gt;0,1,0)</f>
        <v>0</v>
      </c>
      <c r="L1978" s="16">
        <f>IF(COUNTIFS(Release_Calendar!$A$2:$A$755,"US_NFP",Release_Calendar!$B$2:$B$755,$A1978)&gt;0,1,0)</f>
        <v>0</v>
      </c>
      <c r="M1978" s="16" t="str">
        <f>IF($A1978&lt;Notes!$B$5,"",IF(COUNTIFS(Release_Calendar!$A$2:$A$755,"NZ_CPI",Release_Calendar!$B$2:$B$755,$A1978)&gt;0,1,0))</f>
        <v/>
      </c>
      <c r="N1978" s="16" t="str">
        <f>IF($A1978&lt;Notes!$B$5,"",IF(COUNTIFS(Release_Calendar!$A$2:$A$755,"NZ_GDP",Release_Calendar!$B$2:$B$755,$A1978)&gt;0,1,0))</f>
        <v/>
      </c>
      <c r="O1978" s="16" t="str">
        <f>IF($A1978&lt;Notes!$B$5,"",IF(COUNTIFS(Release_Calendar!$A$2:$A$755,"NZ_LABOUR",Release_Calendar!$B$2:$B$755,$A1978)&gt;0,1,0))</f>
        <v/>
      </c>
      <c r="P1978" s="16">
        <f t="shared" si="4"/>
        <v>0</v>
      </c>
    </row>
    <row r="1979" ht="15.75" customHeight="1">
      <c r="A1979" s="14">
        <v>39295.0</v>
      </c>
      <c r="B1979" s="15">
        <v>4.56</v>
      </c>
      <c r="C1979" s="15"/>
      <c r="D1979" s="15">
        <v>7.85</v>
      </c>
      <c r="E1979" s="15"/>
      <c r="F1979" s="15" t="str">
        <f t="shared" si="1"/>
        <v/>
      </c>
      <c r="G1979" s="15">
        <f t="shared" si="2"/>
        <v>7.85</v>
      </c>
      <c r="H1979" s="16">
        <v>1.0</v>
      </c>
      <c r="I1979" s="15">
        <f t="shared" si="3"/>
        <v>3.29</v>
      </c>
      <c r="J1979" s="15">
        <v>23.67</v>
      </c>
      <c r="K1979" s="16">
        <f>IF(COUNTIFS(Release_Calendar!$A$2:$A$755,"US_CPI",Release_Calendar!$B$2:$B$755,$A1979)&gt;0,1,0)</f>
        <v>0</v>
      </c>
      <c r="L1979" s="16">
        <f>IF(COUNTIFS(Release_Calendar!$A$2:$A$755,"US_NFP",Release_Calendar!$B$2:$B$755,$A1979)&gt;0,1,0)</f>
        <v>0</v>
      </c>
      <c r="M1979" s="16" t="str">
        <f>IF($A1979&lt;Notes!$B$5,"",IF(COUNTIFS(Release_Calendar!$A$2:$A$755,"NZ_CPI",Release_Calendar!$B$2:$B$755,$A1979)&gt;0,1,0))</f>
        <v/>
      </c>
      <c r="N1979" s="16" t="str">
        <f>IF($A1979&lt;Notes!$B$5,"",IF(COUNTIFS(Release_Calendar!$A$2:$A$755,"NZ_GDP",Release_Calendar!$B$2:$B$755,$A1979)&gt;0,1,0))</f>
        <v/>
      </c>
      <c r="O1979" s="16" t="str">
        <f>IF($A1979&lt;Notes!$B$5,"",IF(COUNTIFS(Release_Calendar!$A$2:$A$755,"NZ_LABOUR",Release_Calendar!$B$2:$B$755,$A1979)&gt;0,1,0))</f>
        <v/>
      </c>
      <c r="P1979" s="16">
        <f t="shared" si="4"/>
        <v>0</v>
      </c>
    </row>
    <row r="1980" ht="15.75" customHeight="1">
      <c r="A1980" s="14">
        <v>39296.0</v>
      </c>
      <c r="B1980" s="15">
        <v>4.59</v>
      </c>
      <c r="C1980" s="15"/>
      <c r="D1980" s="15">
        <v>7.86</v>
      </c>
      <c r="E1980" s="15"/>
      <c r="F1980" s="15" t="str">
        <f t="shared" si="1"/>
        <v/>
      </c>
      <c r="G1980" s="15">
        <f t="shared" si="2"/>
        <v>7.86</v>
      </c>
      <c r="H1980" s="16">
        <v>1.0</v>
      </c>
      <c r="I1980" s="15">
        <f t="shared" si="3"/>
        <v>3.27</v>
      </c>
      <c r="J1980" s="15">
        <v>21.22</v>
      </c>
      <c r="K1980" s="16">
        <f>IF(COUNTIFS(Release_Calendar!$A$2:$A$755,"US_CPI",Release_Calendar!$B$2:$B$755,$A1980)&gt;0,1,0)</f>
        <v>0</v>
      </c>
      <c r="L1980" s="16">
        <f>IF(COUNTIFS(Release_Calendar!$A$2:$A$755,"US_NFP",Release_Calendar!$B$2:$B$755,$A1980)&gt;0,1,0)</f>
        <v>0</v>
      </c>
      <c r="M1980" s="16" t="str">
        <f>IF($A1980&lt;Notes!$B$5,"",IF(COUNTIFS(Release_Calendar!$A$2:$A$755,"NZ_CPI",Release_Calendar!$B$2:$B$755,$A1980)&gt;0,1,0))</f>
        <v/>
      </c>
      <c r="N1980" s="16" t="str">
        <f>IF($A1980&lt;Notes!$B$5,"",IF(COUNTIFS(Release_Calendar!$A$2:$A$755,"NZ_GDP",Release_Calendar!$B$2:$B$755,$A1980)&gt;0,1,0))</f>
        <v/>
      </c>
      <c r="O1980" s="16" t="str">
        <f>IF($A1980&lt;Notes!$B$5,"",IF(COUNTIFS(Release_Calendar!$A$2:$A$755,"NZ_LABOUR",Release_Calendar!$B$2:$B$755,$A1980)&gt;0,1,0))</f>
        <v/>
      </c>
      <c r="P1980" s="16">
        <f t="shared" si="4"/>
        <v>0</v>
      </c>
    </row>
    <row r="1981" ht="15.75" customHeight="1">
      <c r="A1981" s="14">
        <v>39297.0</v>
      </c>
      <c r="B1981" s="15">
        <v>4.46</v>
      </c>
      <c r="C1981" s="15"/>
      <c r="D1981" s="15">
        <v>7.8</v>
      </c>
      <c r="E1981" s="15"/>
      <c r="F1981" s="15" t="str">
        <f t="shared" si="1"/>
        <v/>
      </c>
      <c r="G1981" s="15">
        <f t="shared" si="2"/>
        <v>7.8</v>
      </c>
      <c r="H1981" s="16">
        <v>1.0</v>
      </c>
      <c r="I1981" s="15">
        <f t="shared" si="3"/>
        <v>3.34</v>
      </c>
      <c r="J1981" s="15">
        <v>25.16</v>
      </c>
      <c r="K1981" s="16">
        <f>IF(COUNTIFS(Release_Calendar!$A$2:$A$755,"US_CPI",Release_Calendar!$B$2:$B$755,$A1981)&gt;0,1,0)</f>
        <v>0</v>
      </c>
      <c r="L1981" s="16">
        <f>IF(COUNTIFS(Release_Calendar!$A$2:$A$755,"US_NFP",Release_Calendar!$B$2:$B$755,$A1981)&gt;0,1,0)</f>
        <v>1</v>
      </c>
      <c r="M1981" s="16" t="str">
        <f>IF($A1981&lt;Notes!$B$5,"",IF(COUNTIFS(Release_Calendar!$A$2:$A$755,"NZ_CPI",Release_Calendar!$B$2:$B$755,$A1981)&gt;0,1,0))</f>
        <v/>
      </c>
      <c r="N1981" s="16" t="str">
        <f>IF($A1981&lt;Notes!$B$5,"",IF(COUNTIFS(Release_Calendar!$A$2:$A$755,"NZ_GDP",Release_Calendar!$B$2:$B$755,$A1981)&gt;0,1,0))</f>
        <v/>
      </c>
      <c r="O1981" s="16" t="str">
        <f>IF($A1981&lt;Notes!$B$5,"",IF(COUNTIFS(Release_Calendar!$A$2:$A$755,"NZ_LABOUR",Release_Calendar!$B$2:$B$755,$A1981)&gt;0,1,0))</f>
        <v/>
      </c>
      <c r="P1981" s="16">
        <f t="shared" si="4"/>
        <v>1</v>
      </c>
    </row>
    <row r="1982" ht="15.75" customHeight="1">
      <c r="A1982" s="14">
        <v>39300.0</v>
      </c>
      <c r="B1982" s="15">
        <v>4.46</v>
      </c>
      <c r="C1982" s="15"/>
      <c r="D1982" s="15">
        <v>7.76</v>
      </c>
      <c r="E1982" s="15"/>
      <c r="F1982" s="15" t="str">
        <f t="shared" si="1"/>
        <v/>
      </c>
      <c r="G1982" s="15">
        <f t="shared" si="2"/>
        <v>7.76</v>
      </c>
      <c r="H1982" s="16">
        <v>1.0</v>
      </c>
      <c r="I1982" s="15">
        <f t="shared" si="3"/>
        <v>3.3</v>
      </c>
      <c r="J1982" s="15">
        <v>22.94</v>
      </c>
      <c r="K1982" s="16">
        <f>IF(COUNTIFS(Release_Calendar!$A$2:$A$755,"US_CPI",Release_Calendar!$B$2:$B$755,$A1982)&gt;0,1,0)</f>
        <v>0</v>
      </c>
      <c r="L1982" s="16">
        <f>IF(COUNTIFS(Release_Calendar!$A$2:$A$755,"US_NFP",Release_Calendar!$B$2:$B$755,$A1982)&gt;0,1,0)</f>
        <v>0</v>
      </c>
      <c r="M1982" s="16" t="str">
        <f>IF($A1982&lt;Notes!$B$5,"",IF(COUNTIFS(Release_Calendar!$A$2:$A$755,"NZ_CPI",Release_Calendar!$B$2:$B$755,$A1982)&gt;0,1,0))</f>
        <v/>
      </c>
      <c r="N1982" s="16" t="str">
        <f>IF($A1982&lt;Notes!$B$5,"",IF(COUNTIFS(Release_Calendar!$A$2:$A$755,"NZ_GDP",Release_Calendar!$B$2:$B$755,$A1982)&gt;0,1,0))</f>
        <v/>
      </c>
      <c r="O1982" s="16" t="str">
        <f>IF($A1982&lt;Notes!$B$5,"",IF(COUNTIFS(Release_Calendar!$A$2:$A$755,"NZ_LABOUR",Release_Calendar!$B$2:$B$755,$A1982)&gt;0,1,0))</f>
        <v/>
      </c>
      <c r="P1982" s="16">
        <f t="shared" si="4"/>
        <v>0</v>
      </c>
    </row>
    <row r="1983" ht="15.75" customHeight="1">
      <c r="A1983" s="14">
        <v>39301.0</v>
      </c>
      <c r="B1983" s="15">
        <v>4.56</v>
      </c>
      <c r="C1983" s="15"/>
      <c r="D1983" s="15">
        <v>7.78</v>
      </c>
      <c r="E1983" s="15"/>
      <c r="F1983" s="15" t="str">
        <f t="shared" si="1"/>
        <v/>
      </c>
      <c r="G1983" s="15">
        <f t="shared" si="2"/>
        <v>7.78</v>
      </c>
      <c r="H1983" s="16">
        <v>1.0</v>
      </c>
      <c r="I1983" s="15">
        <f t="shared" si="3"/>
        <v>3.22</v>
      </c>
      <c r="J1983" s="15">
        <v>21.56</v>
      </c>
      <c r="K1983" s="16">
        <f>IF(COUNTIFS(Release_Calendar!$A$2:$A$755,"US_CPI",Release_Calendar!$B$2:$B$755,$A1983)&gt;0,1,0)</f>
        <v>0</v>
      </c>
      <c r="L1983" s="16">
        <f>IF(COUNTIFS(Release_Calendar!$A$2:$A$755,"US_NFP",Release_Calendar!$B$2:$B$755,$A1983)&gt;0,1,0)</f>
        <v>0</v>
      </c>
      <c r="M1983" s="16" t="str">
        <f>IF($A1983&lt;Notes!$B$5,"",IF(COUNTIFS(Release_Calendar!$A$2:$A$755,"NZ_CPI",Release_Calendar!$B$2:$B$755,$A1983)&gt;0,1,0))</f>
        <v/>
      </c>
      <c r="N1983" s="16" t="str">
        <f>IF($A1983&lt;Notes!$B$5,"",IF(COUNTIFS(Release_Calendar!$A$2:$A$755,"NZ_GDP",Release_Calendar!$B$2:$B$755,$A1983)&gt;0,1,0))</f>
        <v/>
      </c>
      <c r="O1983" s="16" t="str">
        <f>IF($A1983&lt;Notes!$B$5,"",IF(COUNTIFS(Release_Calendar!$A$2:$A$755,"NZ_LABOUR",Release_Calendar!$B$2:$B$755,$A1983)&gt;0,1,0))</f>
        <v/>
      </c>
      <c r="P1983" s="16">
        <f t="shared" si="4"/>
        <v>0</v>
      </c>
    </row>
    <row r="1984" ht="15.75" customHeight="1">
      <c r="A1984" s="14">
        <v>39302.0</v>
      </c>
      <c r="B1984" s="15">
        <v>4.64</v>
      </c>
      <c r="C1984" s="15"/>
      <c r="D1984" s="15">
        <v>7.8</v>
      </c>
      <c r="E1984" s="15"/>
      <c r="F1984" s="15" t="str">
        <f t="shared" si="1"/>
        <v/>
      </c>
      <c r="G1984" s="15">
        <f t="shared" si="2"/>
        <v>7.8</v>
      </c>
      <c r="H1984" s="16">
        <v>1.0</v>
      </c>
      <c r="I1984" s="15">
        <f t="shared" si="3"/>
        <v>3.16</v>
      </c>
      <c r="J1984" s="15">
        <v>21.45</v>
      </c>
      <c r="K1984" s="16">
        <f>IF(COUNTIFS(Release_Calendar!$A$2:$A$755,"US_CPI",Release_Calendar!$B$2:$B$755,$A1984)&gt;0,1,0)</f>
        <v>0</v>
      </c>
      <c r="L1984" s="16">
        <f>IF(COUNTIFS(Release_Calendar!$A$2:$A$755,"US_NFP",Release_Calendar!$B$2:$B$755,$A1984)&gt;0,1,0)</f>
        <v>0</v>
      </c>
      <c r="M1984" s="16" t="str">
        <f>IF($A1984&lt;Notes!$B$5,"",IF(COUNTIFS(Release_Calendar!$A$2:$A$755,"NZ_CPI",Release_Calendar!$B$2:$B$755,$A1984)&gt;0,1,0))</f>
        <v/>
      </c>
      <c r="N1984" s="16" t="str">
        <f>IF($A1984&lt;Notes!$B$5,"",IF(COUNTIFS(Release_Calendar!$A$2:$A$755,"NZ_GDP",Release_Calendar!$B$2:$B$755,$A1984)&gt;0,1,0))</f>
        <v/>
      </c>
      <c r="O1984" s="16" t="str">
        <f>IF($A1984&lt;Notes!$B$5,"",IF(COUNTIFS(Release_Calendar!$A$2:$A$755,"NZ_LABOUR",Release_Calendar!$B$2:$B$755,$A1984)&gt;0,1,0))</f>
        <v/>
      </c>
      <c r="P1984" s="16">
        <f t="shared" si="4"/>
        <v>0</v>
      </c>
    </row>
    <row r="1985" ht="15.75" customHeight="1">
      <c r="A1985" s="14">
        <v>39303.0</v>
      </c>
      <c r="B1985" s="15">
        <v>4.49</v>
      </c>
      <c r="C1985" s="15"/>
      <c r="D1985" s="15">
        <v>7.82</v>
      </c>
      <c r="E1985" s="15"/>
      <c r="F1985" s="15" t="str">
        <f t="shared" si="1"/>
        <v/>
      </c>
      <c r="G1985" s="15">
        <f t="shared" si="2"/>
        <v>7.82</v>
      </c>
      <c r="H1985" s="16">
        <v>1.0</v>
      </c>
      <c r="I1985" s="15">
        <f t="shared" si="3"/>
        <v>3.33</v>
      </c>
      <c r="J1985" s="15">
        <v>26.48</v>
      </c>
      <c r="K1985" s="16">
        <f>IF(COUNTIFS(Release_Calendar!$A$2:$A$755,"US_CPI",Release_Calendar!$B$2:$B$755,$A1985)&gt;0,1,0)</f>
        <v>0</v>
      </c>
      <c r="L1985" s="16">
        <f>IF(COUNTIFS(Release_Calendar!$A$2:$A$755,"US_NFP",Release_Calendar!$B$2:$B$755,$A1985)&gt;0,1,0)</f>
        <v>0</v>
      </c>
      <c r="M1985" s="16" t="str">
        <f>IF($A1985&lt;Notes!$B$5,"",IF(COUNTIFS(Release_Calendar!$A$2:$A$755,"NZ_CPI",Release_Calendar!$B$2:$B$755,$A1985)&gt;0,1,0))</f>
        <v/>
      </c>
      <c r="N1985" s="16" t="str">
        <f>IF($A1985&lt;Notes!$B$5,"",IF(COUNTIFS(Release_Calendar!$A$2:$A$755,"NZ_GDP",Release_Calendar!$B$2:$B$755,$A1985)&gt;0,1,0))</f>
        <v/>
      </c>
      <c r="O1985" s="16" t="str">
        <f>IF($A1985&lt;Notes!$B$5,"",IF(COUNTIFS(Release_Calendar!$A$2:$A$755,"NZ_LABOUR",Release_Calendar!$B$2:$B$755,$A1985)&gt;0,1,0))</f>
        <v/>
      </c>
      <c r="P1985" s="16">
        <f t="shared" si="4"/>
        <v>0</v>
      </c>
    </row>
    <row r="1986" ht="15.75" customHeight="1">
      <c r="A1986" s="14">
        <v>39304.0</v>
      </c>
      <c r="B1986" s="15">
        <v>4.47</v>
      </c>
      <c r="C1986" s="15"/>
      <c r="D1986" s="15">
        <v>7.65</v>
      </c>
      <c r="E1986" s="15"/>
      <c r="F1986" s="15" t="str">
        <f t="shared" si="1"/>
        <v/>
      </c>
      <c r="G1986" s="15">
        <f t="shared" si="2"/>
        <v>7.65</v>
      </c>
      <c r="H1986" s="16">
        <v>1.0</v>
      </c>
      <c r="I1986" s="15">
        <f t="shared" si="3"/>
        <v>3.18</v>
      </c>
      <c r="J1986" s="15">
        <v>28.3</v>
      </c>
      <c r="K1986" s="16">
        <f>IF(COUNTIFS(Release_Calendar!$A$2:$A$755,"US_CPI",Release_Calendar!$B$2:$B$755,$A1986)&gt;0,1,0)</f>
        <v>0</v>
      </c>
      <c r="L1986" s="16">
        <f>IF(COUNTIFS(Release_Calendar!$A$2:$A$755,"US_NFP",Release_Calendar!$B$2:$B$755,$A1986)&gt;0,1,0)</f>
        <v>0</v>
      </c>
      <c r="M1986" s="16" t="str">
        <f>IF($A1986&lt;Notes!$B$5,"",IF(COUNTIFS(Release_Calendar!$A$2:$A$755,"NZ_CPI",Release_Calendar!$B$2:$B$755,$A1986)&gt;0,1,0))</f>
        <v/>
      </c>
      <c r="N1986" s="16" t="str">
        <f>IF($A1986&lt;Notes!$B$5,"",IF(COUNTIFS(Release_Calendar!$A$2:$A$755,"NZ_GDP",Release_Calendar!$B$2:$B$755,$A1986)&gt;0,1,0))</f>
        <v/>
      </c>
      <c r="O1986" s="16" t="str">
        <f>IF($A1986&lt;Notes!$B$5,"",IF(COUNTIFS(Release_Calendar!$A$2:$A$755,"NZ_LABOUR",Release_Calendar!$B$2:$B$755,$A1986)&gt;0,1,0))</f>
        <v/>
      </c>
      <c r="P1986" s="16">
        <f t="shared" si="4"/>
        <v>0</v>
      </c>
    </row>
    <row r="1987" ht="15.75" customHeight="1">
      <c r="A1987" s="14">
        <v>39307.0</v>
      </c>
      <c r="B1987" s="15">
        <v>4.46</v>
      </c>
      <c r="C1987" s="15"/>
      <c r="D1987" s="15">
        <v>7.66</v>
      </c>
      <c r="E1987" s="15"/>
      <c r="F1987" s="15" t="str">
        <f t="shared" si="1"/>
        <v/>
      </c>
      <c r="G1987" s="15">
        <f t="shared" si="2"/>
        <v>7.66</v>
      </c>
      <c r="H1987" s="16">
        <v>1.0</v>
      </c>
      <c r="I1987" s="15">
        <f t="shared" si="3"/>
        <v>3.2</v>
      </c>
      <c r="J1987" s="15">
        <v>26.57</v>
      </c>
      <c r="K1987" s="16">
        <f>IF(COUNTIFS(Release_Calendar!$A$2:$A$755,"US_CPI",Release_Calendar!$B$2:$B$755,$A1987)&gt;0,1,0)</f>
        <v>0</v>
      </c>
      <c r="L1987" s="16">
        <f>IF(COUNTIFS(Release_Calendar!$A$2:$A$755,"US_NFP",Release_Calendar!$B$2:$B$755,$A1987)&gt;0,1,0)</f>
        <v>0</v>
      </c>
      <c r="M1987" s="16" t="str">
        <f>IF($A1987&lt;Notes!$B$5,"",IF(COUNTIFS(Release_Calendar!$A$2:$A$755,"NZ_CPI",Release_Calendar!$B$2:$B$755,$A1987)&gt;0,1,0))</f>
        <v/>
      </c>
      <c r="N1987" s="16" t="str">
        <f>IF($A1987&lt;Notes!$B$5,"",IF(COUNTIFS(Release_Calendar!$A$2:$A$755,"NZ_GDP",Release_Calendar!$B$2:$B$755,$A1987)&gt;0,1,0))</f>
        <v/>
      </c>
      <c r="O1987" s="16" t="str">
        <f>IF($A1987&lt;Notes!$B$5,"",IF(COUNTIFS(Release_Calendar!$A$2:$A$755,"NZ_LABOUR",Release_Calendar!$B$2:$B$755,$A1987)&gt;0,1,0))</f>
        <v/>
      </c>
      <c r="P1987" s="16">
        <f t="shared" si="4"/>
        <v>0</v>
      </c>
    </row>
    <row r="1988" ht="15.75" customHeight="1">
      <c r="A1988" s="14">
        <v>39308.0</v>
      </c>
      <c r="B1988" s="15">
        <v>4.39</v>
      </c>
      <c r="C1988" s="15"/>
      <c r="D1988" s="15">
        <v>7.62</v>
      </c>
      <c r="E1988" s="15"/>
      <c r="F1988" s="15" t="str">
        <f t="shared" si="1"/>
        <v/>
      </c>
      <c r="G1988" s="15">
        <f t="shared" si="2"/>
        <v>7.62</v>
      </c>
      <c r="H1988" s="16">
        <v>1.0</v>
      </c>
      <c r="I1988" s="15">
        <f t="shared" si="3"/>
        <v>3.23</v>
      </c>
      <c r="J1988" s="15">
        <v>27.68</v>
      </c>
      <c r="K1988" s="16">
        <f>IF(COUNTIFS(Release_Calendar!$A$2:$A$755,"US_CPI",Release_Calendar!$B$2:$B$755,$A1988)&gt;0,1,0)</f>
        <v>0</v>
      </c>
      <c r="L1988" s="16">
        <f>IF(COUNTIFS(Release_Calendar!$A$2:$A$755,"US_NFP",Release_Calendar!$B$2:$B$755,$A1988)&gt;0,1,0)</f>
        <v>0</v>
      </c>
      <c r="M1988" s="16" t="str">
        <f>IF($A1988&lt;Notes!$B$5,"",IF(COUNTIFS(Release_Calendar!$A$2:$A$755,"NZ_CPI",Release_Calendar!$B$2:$B$755,$A1988)&gt;0,1,0))</f>
        <v/>
      </c>
      <c r="N1988" s="16" t="str">
        <f>IF($A1988&lt;Notes!$B$5,"",IF(COUNTIFS(Release_Calendar!$A$2:$A$755,"NZ_GDP",Release_Calendar!$B$2:$B$755,$A1988)&gt;0,1,0))</f>
        <v/>
      </c>
      <c r="O1988" s="16" t="str">
        <f>IF($A1988&lt;Notes!$B$5,"",IF(COUNTIFS(Release_Calendar!$A$2:$A$755,"NZ_LABOUR",Release_Calendar!$B$2:$B$755,$A1988)&gt;0,1,0))</f>
        <v/>
      </c>
      <c r="P1988" s="16">
        <f t="shared" si="4"/>
        <v>0</v>
      </c>
    </row>
    <row r="1989" ht="15.75" customHeight="1">
      <c r="A1989" s="14">
        <v>39309.0</v>
      </c>
      <c r="B1989" s="15">
        <v>4.27</v>
      </c>
      <c r="C1989" s="15"/>
      <c r="D1989" s="15">
        <v>7.62</v>
      </c>
      <c r="E1989" s="15"/>
      <c r="F1989" s="15" t="str">
        <f t="shared" si="1"/>
        <v/>
      </c>
      <c r="G1989" s="15">
        <f t="shared" si="2"/>
        <v>7.62</v>
      </c>
      <c r="H1989" s="16">
        <v>1.0</v>
      </c>
      <c r="I1989" s="15">
        <f t="shared" si="3"/>
        <v>3.35</v>
      </c>
      <c r="J1989" s="15">
        <v>30.67</v>
      </c>
      <c r="K1989" s="16">
        <f>IF(COUNTIFS(Release_Calendar!$A$2:$A$755,"US_CPI",Release_Calendar!$B$2:$B$755,$A1989)&gt;0,1,0)</f>
        <v>1</v>
      </c>
      <c r="L1989" s="16">
        <f>IF(COUNTIFS(Release_Calendar!$A$2:$A$755,"US_NFP",Release_Calendar!$B$2:$B$755,$A1989)&gt;0,1,0)</f>
        <v>0</v>
      </c>
      <c r="M1989" s="16" t="str">
        <f>IF($A1989&lt;Notes!$B$5,"",IF(COUNTIFS(Release_Calendar!$A$2:$A$755,"NZ_CPI",Release_Calendar!$B$2:$B$755,$A1989)&gt;0,1,0))</f>
        <v/>
      </c>
      <c r="N1989" s="16" t="str">
        <f>IF($A1989&lt;Notes!$B$5,"",IF(COUNTIFS(Release_Calendar!$A$2:$A$755,"NZ_GDP",Release_Calendar!$B$2:$B$755,$A1989)&gt;0,1,0))</f>
        <v/>
      </c>
      <c r="O1989" s="16" t="str">
        <f>IF($A1989&lt;Notes!$B$5,"",IF(COUNTIFS(Release_Calendar!$A$2:$A$755,"NZ_LABOUR",Release_Calendar!$B$2:$B$755,$A1989)&gt;0,1,0))</f>
        <v/>
      </c>
      <c r="P1989" s="16">
        <f t="shared" si="4"/>
        <v>1</v>
      </c>
    </row>
    <row r="1990" ht="15.75" customHeight="1">
      <c r="A1990" s="14">
        <v>39310.0</v>
      </c>
      <c r="B1990" s="15">
        <v>4.08</v>
      </c>
      <c r="C1990" s="15"/>
      <c r="D1990" s="15">
        <v>7.48</v>
      </c>
      <c r="E1990" s="15"/>
      <c r="F1990" s="15" t="str">
        <f t="shared" si="1"/>
        <v/>
      </c>
      <c r="G1990" s="15">
        <f t="shared" si="2"/>
        <v>7.48</v>
      </c>
      <c r="H1990" s="16">
        <v>1.0</v>
      </c>
      <c r="I1990" s="15">
        <f t="shared" si="3"/>
        <v>3.4</v>
      </c>
      <c r="J1990" s="15">
        <v>30.83</v>
      </c>
      <c r="K1990" s="16">
        <f>IF(COUNTIFS(Release_Calendar!$A$2:$A$755,"US_CPI",Release_Calendar!$B$2:$B$755,$A1990)&gt;0,1,0)</f>
        <v>0</v>
      </c>
      <c r="L1990" s="16">
        <f>IF(COUNTIFS(Release_Calendar!$A$2:$A$755,"US_NFP",Release_Calendar!$B$2:$B$755,$A1990)&gt;0,1,0)</f>
        <v>0</v>
      </c>
      <c r="M1990" s="16" t="str">
        <f>IF($A1990&lt;Notes!$B$5,"",IF(COUNTIFS(Release_Calendar!$A$2:$A$755,"NZ_CPI",Release_Calendar!$B$2:$B$755,$A1990)&gt;0,1,0))</f>
        <v/>
      </c>
      <c r="N1990" s="16" t="str">
        <f>IF($A1990&lt;Notes!$B$5,"",IF(COUNTIFS(Release_Calendar!$A$2:$A$755,"NZ_GDP",Release_Calendar!$B$2:$B$755,$A1990)&gt;0,1,0))</f>
        <v/>
      </c>
      <c r="O1990" s="16" t="str">
        <f>IF($A1990&lt;Notes!$B$5,"",IF(COUNTIFS(Release_Calendar!$A$2:$A$755,"NZ_LABOUR",Release_Calendar!$B$2:$B$755,$A1990)&gt;0,1,0))</f>
        <v/>
      </c>
      <c r="P1990" s="16">
        <f t="shared" si="4"/>
        <v>0</v>
      </c>
    </row>
    <row r="1991" ht="15.75" customHeight="1">
      <c r="A1991" s="14">
        <v>39311.0</v>
      </c>
      <c r="B1991" s="15">
        <v>4.18</v>
      </c>
      <c r="C1991" s="15"/>
      <c r="D1991" s="15">
        <v>7.35</v>
      </c>
      <c r="E1991" s="15"/>
      <c r="F1991" s="15" t="str">
        <f t="shared" si="1"/>
        <v/>
      </c>
      <c r="G1991" s="15">
        <f t="shared" si="2"/>
        <v>7.35</v>
      </c>
      <c r="H1991" s="16">
        <v>1.0</v>
      </c>
      <c r="I1991" s="15">
        <f t="shared" si="3"/>
        <v>3.17</v>
      </c>
      <c r="J1991" s="15">
        <v>29.99</v>
      </c>
      <c r="K1991" s="16">
        <f>IF(COUNTIFS(Release_Calendar!$A$2:$A$755,"US_CPI",Release_Calendar!$B$2:$B$755,$A1991)&gt;0,1,0)</f>
        <v>0</v>
      </c>
      <c r="L1991" s="16">
        <f>IF(COUNTIFS(Release_Calendar!$A$2:$A$755,"US_NFP",Release_Calendar!$B$2:$B$755,$A1991)&gt;0,1,0)</f>
        <v>0</v>
      </c>
      <c r="M1991" s="16" t="str">
        <f>IF($A1991&lt;Notes!$B$5,"",IF(COUNTIFS(Release_Calendar!$A$2:$A$755,"NZ_CPI",Release_Calendar!$B$2:$B$755,$A1991)&gt;0,1,0))</f>
        <v/>
      </c>
      <c r="N1991" s="16" t="str">
        <f>IF($A1991&lt;Notes!$B$5,"",IF(COUNTIFS(Release_Calendar!$A$2:$A$755,"NZ_GDP",Release_Calendar!$B$2:$B$755,$A1991)&gt;0,1,0))</f>
        <v/>
      </c>
      <c r="O1991" s="16" t="str">
        <f>IF($A1991&lt;Notes!$B$5,"",IF(COUNTIFS(Release_Calendar!$A$2:$A$755,"NZ_LABOUR",Release_Calendar!$B$2:$B$755,$A1991)&gt;0,1,0))</f>
        <v/>
      </c>
      <c r="P1991" s="16">
        <f t="shared" si="4"/>
        <v>0</v>
      </c>
    </row>
    <row r="1992" ht="15.75" customHeight="1">
      <c r="A1992" s="14">
        <v>39314.0</v>
      </c>
      <c r="B1992" s="15">
        <v>4.11</v>
      </c>
      <c r="C1992" s="15"/>
      <c r="D1992" s="15">
        <v>7.43</v>
      </c>
      <c r="E1992" s="15"/>
      <c r="F1992" s="15" t="str">
        <f t="shared" si="1"/>
        <v/>
      </c>
      <c r="G1992" s="15">
        <f t="shared" si="2"/>
        <v>7.43</v>
      </c>
      <c r="H1992" s="16">
        <v>1.0</v>
      </c>
      <c r="I1992" s="15">
        <f t="shared" si="3"/>
        <v>3.32</v>
      </c>
      <c r="J1992" s="15">
        <v>26.33</v>
      </c>
      <c r="K1992" s="16">
        <f>IF(COUNTIFS(Release_Calendar!$A$2:$A$755,"US_CPI",Release_Calendar!$B$2:$B$755,$A1992)&gt;0,1,0)</f>
        <v>0</v>
      </c>
      <c r="L1992" s="16">
        <f>IF(COUNTIFS(Release_Calendar!$A$2:$A$755,"US_NFP",Release_Calendar!$B$2:$B$755,$A1992)&gt;0,1,0)</f>
        <v>0</v>
      </c>
      <c r="M1992" s="16" t="str">
        <f>IF($A1992&lt;Notes!$B$5,"",IF(COUNTIFS(Release_Calendar!$A$2:$A$755,"NZ_CPI",Release_Calendar!$B$2:$B$755,$A1992)&gt;0,1,0))</f>
        <v/>
      </c>
      <c r="N1992" s="16" t="str">
        <f>IF($A1992&lt;Notes!$B$5,"",IF(COUNTIFS(Release_Calendar!$A$2:$A$755,"NZ_GDP",Release_Calendar!$B$2:$B$755,$A1992)&gt;0,1,0))</f>
        <v/>
      </c>
      <c r="O1992" s="16" t="str">
        <f>IF($A1992&lt;Notes!$B$5,"",IF(COUNTIFS(Release_Calendar!$A$2:$A$755,"NZ_LABOUR",Release_Calendar!$B$2:$B$755,$A1992)&gt;0,1,0))</f>
        <v/>
      </c>
      <c r="P1992" s="16">
        <f t="shared" si="4"/>
        <v>0</v>
      </c>
    </row>
    <row r="1993" ht="15.75" customHeight="1">
      <c r="A1993" s="14">
        <v>39315.0</v>
      </c>
      <c r="B1993" s="15">
        <v>4.05</v>
      </c>
      <c r="C1993" s="15"/>
      <c r="D1993" s="15">
        <v>7.37</v>
      </c>
      <c r="E1993" s="15"/>
      <c r="F1993" s="15" t="str">
        <f t="shared" si="1"/>
        <v/>
      </c>
      <c r="G1993" s="15">
        <f t="shared" si="2"/>
        <v>7.37</v>
      </c>
      <c r="H1993" s="16">
        <v>1.0</v>
      </c>
      <c r="I1993" s="15">
        <f t="shared" si="3"/>
        <v>3.32</v>
      </c>
      <c r="J1993" s="15">
        <v>25.25</v>
      </c>
      <c r="K1993" s="16">
        <f>IF(COUNTIFS(Release_Calendar!$A$2:$A$755,"US_CPI",Release_Calendar!$B$2:$B$755,$A1993)&gt;0,1,0)</f>
        <v>0</v>
      </c>
      <c r="L1993" s="16">
        <f>IF(COUNTIFS(Release_Calendar!$A$2:$A$755,"US_NFP",Release_Calendar!$B$2:$B$755,$A1993)&gt;0,1,0)</f>
        <v>0</v>
      </c>
      <c r="M1993" s="16" t="str">
        <f>IF($A1993&lt;Notes!$B$5,"",IF(COUNTIFS(Release_Calendar!$A$2:$A$755,"NZ_CPI",Release_Calendar!$B$2:$B$755,$A1993)&gt;0,1,0))</f>
        <v/>
      </c>
      <c r="N1993" s="16" t="str">
        <f>IF($A1993&lt;Notes!$B$5,"",IF(COUNTIFS(Release_Calendar!$A$2:$A$755,"NZ_GDP",Release_Calendar!$B$2:$B$755,$A1993)&gt;0,1,0))</f>
        <v/>
      </c>
      <c r="O1993" s="16" t="str">
        <f>IF($A1993&lt;Notes!$B$5,"",IF(COUNTIFS(Release_Calendar!$A$2:$A$755,"NZ_LABOUR",Release_Calendar!$B$2:$B$755,$A1993)&gt;0,1,0))</f>
        <v/>
      </c>
      <c r="P1993" s="16">
        <f t="shared" si="4"/>
        <v>0</v>
      </c>
    </row>
    <row r="1994" ht="15.75" customHeight="1">
      <c r="A1994" s="14">
        <v>39316.0</v>
      </c>
      <c r="B1994" s="15">
        <v>4.15</v>
      </c>
      <c r="C1994" s="15"/>
      <c r="D1994" s="15">
        <v>7.16</v>
      </c>
      <c r="E1994" s="15"/>
      <c r="F1994" s="15" t="str">
        <f t="shared" si="1"/>
        <v/>
      </c>
      <c r="G1994" s="15">
        <f t="shared" si="2"/>
        <v>7.16</v>
      </c>
      <c r="H1994" s="16">
        <v>1.0</v>
      </c>
      <c r="I1994" s="15">
        <f t="shared" si="3"/>
        <v>3.01</v>
      </c>
      <c r="J1994" s="15">
        <v>22.89</v>
      </c>
      <c r="K1994" s="16">
        <f>IF(COUNTIFS(Release_Calendar!$A$2:$A$755,"US_CPI",Release_Calendar!$B$2:$B$755,$A1994)&gt;0,1,0)</f>
        <v>0</v>
      </c>
      <c r="L1994" s="16">
        <f>IF(COUNTIFS(Release_Calendar!$A$2:$A$755,"US_NFP",Release_Calendar!$B$2:$B$755,$A1994)&gt;0,1,0)</f>
        <v>0</v>
      </c>
      <c r="M1994" s="16" t="str">
        <f>IF($A1994&lt;Notes!$B$5,"",IF(COUNTIFS(Release_Calendar!$A$2:$A$755,"NZ_CPI",Release_Calendar!$B$2:$B$755,$A1994)&gt;0,1,0))</f>
        <v/>
      </c>
      <c r="N1994" s="16" t="str">
        <f>IF($A1994&lt;Notes!$B$5,"",IF(COUNTIFS(Release_Calendar!$A$2:$A$755,"NZ_GDP",Release_Calendar!$B$2:$B$755,$A1994)&gt;0,1,0))</f>
        <v/>
      </c>
      <c r="O1994" s="16" t="str">
        <f>IF($A1994&lt;Notes!$B$5,"",IF(COUNTIFS(Release_Calendar!$A$2:$A$755,"NZ_LABOUR",Release_Calendar!$B$2:$B$755,$A1994)&gt;0,1,0))</f>
        <v/>
      </c>
      <c r="P1994" s="16">
        <f t="shared" si="4"/>
        <v>0</v>
      </c>
    </row>
    <row r="1995" ht="15.75" customHeight="1">
      <c r="A1995" s="14">
        <v>39317.0</v>
      </c>
      <c r="B1995" s="15">
        <v>4.2</v>
      </c>
      <c r="C1995" s="15"/>
      <c r="D1995" s="15">
        <v>7.49</v>
      </c>
      <c r="E1995" s="15"/>
      <c r="F1995" s="15" t="str">
        <f t="shared" si="1"/>
        <v/>
      </c>
      <c r="G1995" s="15">
        <f t="shared" si="2"/>
        <v>7.49</v>
      </c>
      <c r="H1995" s="16">
        <v>1.0</v>
      </c>
      <c r="I1995" s="15">
        <f t="shared" si="3"/>
        <v>3.29</v>
      </c>
      <c r="J1995" s="15">
        <v>22.62</v>
      </c>
      <c r="K1995" s="16">
        <f>IF(COUNTIFS(Release_Calendar!$A$2:$A$755,"US_CPI",Release_Calendar!$B$2:$B$755,$A1995)&gt;0,1,0)</f>
        <v>0</v>
      </c>
      <c r="L1995" s="16">
        <f>IF(COUNTIFS(Release_Calendar!$A$2:$A$755,"US_NFP",Release_Calendar!$B$2:$B$755,$A1995)&gt;0,1,0)</f>
        <v>0</v>
      </c>
      <c r="M1995" s="16" t="str">
        <f>IF($A1995&lt;Notes!$B$5,"",IF(COUNTIFS(Release_Calendar!$A$2:$A$755,"NZ_CPI",Release_Calendar!$B$2:$B$755,$A1995)&gt;0,1,0))</f>
        <v/>
      </c>
      <c r="N1995" s="16" t="str">
        <f>IF($A1995&lt;Notes!$B$5,"",IF(COUNTIFS(Release_Calendar!$A$2:$A$755,"NZ_GDP",Release_Calendar!$B$2:$B$755,$A1995)&gt;0,1,0))</f>
        <v/>
      </c>
      <c r="O1995" s="16" t="str">
        <f>IF($A1995&lt;Notes!$B$5,"",IF(COUNTIFS(Release_Calendar!$A$2:$A$755,"NZ_LABOUR",Release_Calendar!$B$2:$B$755,$A1995)&gt;0,1,0))</f>
        <v/>
      </c>
      <c r="P1995" s="16">
        <f t="shared" si="4"/>
        <v>0</v>
      </c>
    </row>
    <row r="1996" ht="15.75" customHeight="1">
      <c r="A1996" s="14">
        <v>39318.0</v>
      </c>
      <c r="B1996" s="15">
        <v>4.3</v>
      </c>
      <c r="C1996" s="15"/>
      <c r="D1996" s="15">
        <v>7.45</v>
      </c>
      <c r="E1996" s="15"/>
      <c r="F1996" s="15" t="str">
        <f t="shared" si="1"/>
        <v/>
      </c>
      <c r="G1996" s="15">
        <f t="shared" si="2"/>
        <v>7.45</v>
      </c>
      <c r="H1996" s="16">
        <v>1.0</v>
      </c>
      <c r="I1996" s="15">
        <f t="shared" si="3"/>
        <v>3.15</v>
      </c>
      <c r="J1996" s="15">
        <v>20.72</v>
      </c>
      <c r="K1996" s="16">
        <f>IF(COUNTIFS(Release_Calendar!$A$2:$A$755,"US_CPI",Release_Calendar!$B$2:$B$755,$A1996)&gt;0,1,0)</f>
        <v>0</v>
      </c>
      <c r="L1996" s="16">
        <f>IF(COUNTIFS(Release_Calendar!$A$2:$A$755,"US_NFP",Release_Calendar!$B$2:$B$755,$A1996)&gt;0,1,0)</f>
        <v>0</v>
      </c>
      <c r="M1996" s="16" t="str">
        <f>IF($A1996&lt;Notes!$B$5,"",IF(COUNTIFS(Release_Calendar!$A$2:$A$755,"NZ_CPI",Release_Calendar!$B$2:$B$755,$A1996)&gt;0,1,0))</f>
        <v/>
      </c>
      <c r="N1996" s="16" t="str">
        <f>IF($A1996&lt;Notes!$B$5,"",IF(COUNTIFS(Release_Calendar!$A$2:$A$755,"NZ_GDP",Release_Calendar!$B$2:$B$755,$A1996)&gt;0,1,0))</f>
        <v/>
      </c>
      <c r="O1996" s="16" t="str">
        <f>IF($A1996&lt;Notes!$B$5,"",IF(COUNTIFS(Release_Calendar!$A$2:$A$755,"NZ_LABOUR",Release_Calendar!$B$2:$B$755,$A1996)&gt;0,1,0))</f>
        <v/>
      </c>
      <c r="P1996" s="16">
        <f t="shared" si="4"/>
        <v>0</v>
      </c>
    </row>
    <row r="1997" ht="15.75" customHeight="1">
      <c r="A1997" s="14">
        <v>39321.0</v>
      </c>
      <c r="B1997" s="15">
        <v>4.28</v>
      </c>
      <c r="C1997" s="15"/>
      <c r="D1997" s="15">
        <v>7.47</v>
      </c>
      <c r="E1997" s="15"/>
      <c r="F1997" s="15" t="str">
        <f t="shared" si="1"/>
        <v/>
      </c>
      <c r="G1997" s="15">
        <f t="shared" si="2"/>
        <v>7.47</v>
      </c>
      <c r="H1997" s="16">
        <v>1.0</v>
      </c>
      <c r="I1997" s="15">
        <f t="shared" si="3"/>
        <v>3.19</v>
      </c>
      <c r="J1997" s="15">
        <v>22.72</v>
      </c>
      <c r="K1997" s="16">
        <f>IF(COUNTIFS(Release_Calendar!$A$2:$A$755,"US_CPI",Release_Calendar!$B$2:$B$755,$A1997)&gt;0,1,0)</f>
        <v>0</v>
      </c>
      <c r="L1997" s="16">
        <f>IF(COUNTIFS(Release_Calendar!$A$2:$A$755,"US_NFP",Release_Calendar!$B$2:$B$755,$A1997)&gt;0,1,0)</f>
        <v>0</v>
      </c>
      <c r="M1997" s="16" t="str">
        <f>IF($A1997&lt;Notes!$B$5,"",IF(COUNTIFS(Release_Calendar!$A$2:$A$755,"NZ_CPI",Release_Calendar!$B$2:$B$755,$A1997)&gt;0,1,0))</f>
        <v/>
      </c>
      <c r="N1997" s="16" t="str">
        <f>IF($A1997&lt;Notes!$B$5,"",IF(COUNTIFS(Release_Calendar!$A$2:$A$755,"NZ_GDP",Release_Calendar!$B$2:$B$755,$A1997)&gt;0,1,0))</f>
        <v/>
      </c>
      <c r="O1997" s="16" t="str">
        <f>IF($A1997&lt;Notes!$B$5,"",IF(COUNTIFS(Release_Calendar!$A$2:$A$755,"NZ_LABOUR",Release_Calendar!$B$2:$B$755,$A1997)&gt;0,1,0))</f>
        <v/>
      </c>
      <c r="P1997" s="16">
        <f t="shared" si="4"/>
        <v>0</v>
      </c>
    </row>
    <row r="1998" ht="15.75" customHeight="1">
      <c r="A1998" s="14">
        <v>39322.0</v>
      </c>
      <c r="B1998" s="15">
        <v>4.13</v>
      </c>
      <c r="C1998" s="15"/>
      <c r="D1998" s="15">
        <v>7.46</v>
      </c>
      <c r="E1998" s="15"/>
      <c r="F1998" s="15" t="str">
        <f t="shared" si="1"/>
        <v/>
      </c>
      <c r="G1998" s="15">
        <f t="shared" si="2"/>
        <v>7.46</v>
      </c>
      <c r="H1998" s="16">
        <v>1.0</v>
      </c>
      <c r="I1998" s="15">
        <f t="shared" si="3"/>
        <v>3.33</v>
      </c>
      <c r="J1998" s="15">
        <v>26.3</v>
      </c>
      <c r="K1998" s="16">
        <f>IF(COUNTIFS(Release_Calendar!$A$2:$A$755,"US_CPI",Release_Calendar!$B$2:$B$755,$A1998)&gt;0,1,0)</f>
        <v>0</v>
      </c>
      <c r="L1998" s="16">
        <f>IF(COUNTIFS(Release_Calendar!$A$2:$A$755,"US_NFP",Release_Calendar!$B$2:$B$755,$A1998)&gt;0,1,0)</f>
        <v>0</v>
      </c>
      <c r="M1998" s="16" t="str">
        <f>IF($A1998&lt;Notes!$B$5,"",IF(COUNTIFS(Release_Calendar!$A$2:$A$755,"NZ_CPI",Release_Calendar!$B$2:$B$755,$A1998)&gt;0,1,0))</f>
        <v/>
      </c>
      <c r="N1998" s="16" t="str">
        <f>IF($A1998&lt;Notes!$B$5,"",IF(COUNTIFS(Release_Calendar!$A$2:$A$755,"NZ_GDP",Release_Calendar!$B$2:$B$755,$A1998)&gt;0,1,0))</f>
        <v/>
      </c>
      <c r="O1998" s="16" t="str">
        <f>IF($A1998&lt;Notes!$B$5,"",IF(COUNTIFS(Release_Calendar!$A$2:$A$755,"NZ_LABOUR",Release_Calendar!$B$2:$B$755,$A1998)&gt;0,1,0))</f>
        <v/>
      </c>
      <c r="P1998" s="16">
        <f t="shared" si="4"/>
        <v>0</v>
      </c>
    </row>
    <row r="1999" ht="15.75" customHeight="1">
      <c r="A1999" s="14">
        <v>39323.0</v>
      </c>
      <c r="B1999" s="15">
        <v>4.14</v>
      </c>
      <c r="C1999" s="15"/>
      <c r="D1999" s="15">
        <v>7.4</v>
      </c>
      <c r="E1999" s="15"/>
      <c r="F1999" s="15" t="str">
        <f t="shared" si="1"/>
        <v/>
      </c>
      <c r="G1999" s="15">
        <f t="shared" si="2"/>
        <v>7.4</v>
      </c>
      <c r="H1999" s="16">
        <v>1.0</v>
      </c>
      <c r="I1999" s="15">
        <f t="shared" si="3"/>
        <v>3.26</v>
      </c>
      <c r="J1999" s="15">
        <v>23.81</v>
      </c>
      <c r="K1999" s="16">
        <f>IF(COUNTIFS(Release_Calendar!$A$2:$A$755,"US_CPI",Release_Calendar!$B$2:$B$755,$A1999)&gt;0,1,0)</f>
        <v>0</v>
      </c>
      <c r="L1999" s="16">
        <f>IF(COUNTIFS(Release_Calendar!$A$2:$A$755,"US_NFP",Release_Calendar!$B$2:$B$755,$A1999)&gt;0,1,0)</f>
        <v>0</v>
      </c>
      <c r="M1999" s="16" t="str">
        <f>IF($A1999&lt;Notes!$B$5,"",IF(COUNTIFS(Release_Calendar!$A$2:$A$755,"NZ_CPI",Release_Calendar!$B$2:$B$755,$A1999)&gt;0,1,0))</f>
        <v/>
      </c>
      <c r="N1999" s="16" t="str">
        <f>IF($A1999&lt;Notes!$B$5,"",IF(COUNTIFS(Release_Calendar!$A$2:$A$755,"NZ_GDP",Release_Calendar!$B$2:$B$755,$A1999)&gt;0,1,0))</f>
        <v/>
      </c>
      <c r="O1999" s="16" t="str">
        <f>IF($A1999&lt;Notes!$B$5,"",IF(COUNTIFS(Release_Calendar!$A$2:$A$755,"NZ_LABOUR",Release_Calendar!$B$2:$B$755,$A1999)&gt;0,1,0))</f>
        <v/>
      </c>
      <c r="P1999" s="16">
        <f t="shared" si="4"/>
        <v>0</v>
      </c>
    </row>
    <row r="2000" ht="15.75" customHeight="1">
      <c r="A2000" s="14">
        <v>39324.0</v>
      </c>
      <c r="B2000" s="15">
        <v>4.08</v>
      </c>
      <c r="C2000" s="15"/>
      <c r="D2000" s="15">
        <v>7.34</v>
      </c>
      <c r="E2000" s="15"/>
      <c r="F2000" s="15" t="str">
        <f t="shared" si="1"/>
        <v/>
      </c>
      <c r="G2000" s="15">
        <f t="shared" si="2"/>
        <v>7.34</v>
      </c>
      <c r="H2000" s="16">
        <v>1.0</v>
      </c>
      <c r="I2000" s="15">
        <f t="shared" si="3"/>
        <v>3.26</v>
      </c>
      <c r="J2000" s="15">
        <v>25.06</v>
      </c>
      <c r="K2000" s="16">
        <f>IF(COUNTIFS(Release_Calendar!$A$2:$A$755,"US_CPI",Release_Calendar!$B$2:$B$755,$A2000)&gt;0,1,0)</f>
        <v>0</v>
      </c>
      <c r="L2000" s="16">
        <f>IF(COUNTIFS(Release_Calendar!$A$2:$A$755,"US_NFP",Release_Calendar!$B$2:$B$755,$A2000)&gt;0,1,0)</f>
        <v>0</v>
      </c>
      <c r="M2000" s="16" t="str">
        <f>IF($A2000&lt;Notes!$B$5,"",IF(COUNTIFS(Release_Calendar!$A$2:$A$755,"NZ_CPI",Release_Calendar!$B$2:$B$755,$A2000)&gt;0,1,0))</f>
        <v/>
      </c>
      <c r="N2000" s="16" t="str">
        <f>IF($A2000&lt;Notes!$B$5,"",IF(COUNTIFS(Release_Calendar!$A$2:$A$755,"NZ_GDP",Release_Calendar!$B$2:$B$755,$A2000)&gt;0,1,0))</f>
        <v/>
      </c>
      <c r="O2000" s="16" t="str">
        <f>IF($A2000&lt;Notes!$B$5,"",IF(COUNTIFS(Release_Calendar!$A$2:$A$755,"NZ_LABOUR",Release_Calendar!$B$2:$B$755,$A2000)&gt;0,1,0))</f>
        <v/>
      </c>
      <c r="P2000" s="16">
        <f t="shared" si="4"/>
        <v>0</v>
      </c>
    </row>
    <row r="2001" ht="15.75" customHeight="1">
      <c r="A2001" s="14">
        <v>39325.0</v>
      </c>
      <c r="B2001" s="15">
        <v>4.15</v>
      </c>
      <c r="C2001" s="15"/>
      <c r="D2001" s="15">
        <v>7.2</v>
      </c>
      <c r="E2001" s="15"/>
      <c r="F2001" s="15" t="str">
        <f t="shared" si="1"/>
        <v/>
      </c>
      <c r="G2001" s="15">
        <f t="shared" si="2"/>
        <v>7.2</v>
      </c>
      <c r="H2001" s="16">
        <v>1.0</v>
      </c>
      <c r="I2001" s="15">
        <f t="shared" si="3"/>
        <v>3.05</v>
      </c>
      <c r="J2001" s="15">
        <v>23.38</v>
      </c>
      <c r="K2001" s="16">
        <f>IF(COUNTIFS(Release_Calendar!$A$2:$A$755,"US_CPI",Release_Calendar!$B$2:$B$755,$A2001)&gt;0,1,0)</f>
        <v>0</v>
      </c>
      <c r="L2001" s="16">
        <f>IF(COUNTIFS(Release_Calendar!$A$2:$A$755,"US_NFP",Release_Calendar!$B$2:$B$755,$A2001)&gt;0,1,0)</f>
        <v>0</v>
      </c>
      <c r="M2001" s="16" t="str">
        <f>IF($A2001&lt;Notes!$B$5,"",IF(COUNTIFS(Release_Calendar!$A$2:$A$755,"NZ_CPI",Release_Calendar!$B$2:$B$755,$A2001)&gt;0,1,0))</f>
        <v/>
      </c>
      <c r="N2001" s="16" t="str">
        <f>IF($A2001&lt;Notes!$B$5,"",IF(COUNTIFS(Release_Calendar!$A$2:$A$755,"NZ_GDP",Release_Calendar!$B$2:$B$755,$A2001)&gt;0,1,0))</f>
        <v/>
      </c>
      <c r="O2001" s="16" t="str">
        <f>IF($A2001&lt;Notes!$B$5,"",IF(COUNTIFS(Release_Calendar!$A$2:$A$755,"NZ_LABOUR",Release_Calendar!$B$2:$B$755,$A2001)&gt;0,1,0))</f>
        <v/>
      </c>
      <c r="P2001" s="16">
        <f t="shared" si="4"/>
        <v>0</v>
      </c>
    </row>
    <row r="2002" ht="15.75" customHeight="1">
      <c r="A2002" s="14">
        <v>39328.0</v>
      </c>
      <c r="B2002" s="15"/>
      <c r="C2002" s="15"/>
      <c r="D2002" s="15">
        <v>7.11</v>
      </c>
      <c r="E2002" s="15"/>
      <c r="F2002" s="15" t="str">
        <f t="shared" si="1"/>
        <v/>
      </c>
      <c r="G2002" s="15">
        <f t="shared" si="2"/>
        <v>7.11</v>
      </c>
      <c r="H2002" s="16">
        <v>1.0</v>
      </c>
      <c r="I2002" s="15" t="str">
        <f t="shared" si="3"/>
        <v/>
      </c>
      <c r="J2002" s="15"/>
      <c r="K2002" s="16">
        <f>IF(COUNTIFS(Release_Calendar!$A$2:$A$755,"US_CPI",Release_Calendar!$B$2:$B$755,$A2002)&gt;0,1,0)</f>
        <v>0</v>
      </c>
      <c r="L2002" s="16">
        <f>IF(COUNTIFS(Release_Calendar!$A$2:$A$755,"US_NFP",Release_Calendar!$B$2:$B$755,$A2002)&gt;0,1,0)</f>
        <v>0</v>
      </c>
      <c r="M2002" s="16" t="str">
        <f>IF($A2002&lt;Notes!$B$5,"",IF(COUNTIFS(Release_Calendar!$A$2:$A$755,"NZ_CPI",Release_Calendar!$B$2:$B$755,$A2002)&gt;0,1,0))</f>
        <v/>
      </c>
      <c r="N2002" s="16" t="str">
        <f>IF($A2002&lt;Notes!$B$5,"",IF(COUNTIFS(Release_Calendar!$A$2:$A$755,"NZ_GDP",Release_Calendar!$B$2:$B$755,$A2002)&gt;0,1,0))</f>
        <v/>
      </c>
      <c r="O2002" s="16" t="str">
        <f>IF($A2002&lt;Notes!$B$5,"",IF(COUNTIFS(Release_Calendar!$A$2:$A$755,"NZ_LABOUR",Release_Calendar!$B$2:$B$755,$A2002)&gt;0,1,0))</f>
        <v/>
      </c>
      <c r="P2002" s="16">
        <f t="shared" si="4"/>
        <v>0</v>
      </c>
    </row>
    <row r="2003" ht="15.75" customHeight="1">
      <c r="A2003" s="14">
        <v>39329.0</v>
      </c>
      <c r="B2003" s="15">
        <v>4.13</v>
      </c>
      <c r="C2003" s="15"/>
      <c r="D2003" s="15">
        <v>7.09</v>
      </c>
      <c r="E2003" s="15"/>
      <c r="F2003" s="15" t="str">
        <f t="shared" si="1"/>
        <v/>
      </c>
      <c r="G2003" s="15">
        <f t="shared" si="2"/>
        <v>7.09</v>
      </c>
      <c r="H2003" s="16">
        <v>1.0</v>
      </c>
      <c r="I2003" s="15">
        <f t="shared" si="3"/>
        <v>2.96</v>
      </c>
      <c r="J2003" s="15">
        <v>22.78</v>
      </c>
      <c r="K2003" s="16">
        <f>IF(COUNTIFS(Release_Calendar!$A$2:$A$755,"US_CPI",Release_Calendar!$B$2:$B$755,$A2003)&gt;0,1,0)</f>
        <v>0</v>
      </c>
      <c r="L2003" s="16">
        <f>IF(COUNTIFS(Release_Calendar!$A$2:$A$755,"US_NFP",Release_Calendar!$B$2:$B$755,$A2003)&gt;0,1,0)</f>
        <v>0</v>
      </c>
      <c r="M2003" s="16" t="str">
        <f>IF($A2003&lt;Notes!$B$5,"",IF(COUNTIFS(Release_Calendar!$A$2:$A$755,"NZ_CPI",Release_Calendar!$B$2:$B$755,$A2003)&gt;0,1,0))</f>
        <v/>
      </c>
      <c r="N2003" s="16" t="str">
        <f>IF($A2003&lt;Notes!$B$5,"",IF(COUNTIFS(Release_Calendar!$A$2:$A$755,"NZ_GDP",Release_Calendar!$B$2:$B$755,$A2003)&gt;0,1,0))</f>
        <v/>
      </c>
      <c r="O2003" s="16" t="str">
        <f>IF($A2003&lt;Notes!$B$5,"",IF(COUNTIFS(Release_Calendar!$A$2:$A$755,"NZ_LABOUR",Release_Calendar!$B$2:$B$755,$A2003)&gt;0,1,0))</f>
        <v/>
      </c>
      <c r="P2003" s="16">
        <f t="shared" si="4"/>
        <v>0</v>
      </c>
    </row>
    <row r="2004" ht="15.75" customHeight="1">
      <c r="A2004" s="14">
        <v>39330.0</v>
      </c>
      <c r="B2004" s="15">
        <v>4.03</v>
      </c>
      <c r="C2004" s="15"/>
      <c r="D2004" s="15">
        <v>7.09</v>
      </c>
      <c r="E2004" s="15"/>
      <c r="F2004" s="15" t="str">
        <f t="shared" si="1"/>
        <v/>
      </c>
      <c r="G2004" s="15">
        <f t="shared" si="2"/>
        <v>7.09</v>
      </c>
      <c r="H2004" s="16">
        <v>1.0</v>
      </c>
      <c r="I2004" s="15">
        <f t="shared" si="3"/>
        <v>3.06</v>
      </c>
      <c r="J2004" s="15">
        <v>24.58</v>
      </c>
      <c r="K2004" s="16">
        <f>IF(COUNTIFS(Release_Calendar!$A$2:$A$755,"US_CPI",Release_Calendar!$B$2:$B$755,$A2004)&gt;0,1,0)</f>
        <v>0</v>
      </c>
      <c r="L2004" s="16">
        <f>IF(COUNTIFS(Release_Calendar!$A$2:$A$755,"US_NFP",Release_Calendar!$B$2:$B$755,$A2004)&gt;0,1,0)</f>
        <v>0</v>
      </c>
      <c r="M2004" s="16" t="str">
        <f>IF($A2004&lt;Notes!$B$5,"",IF(COUNTIFS(Release_Calendar!$A$2:$A$755,"NZ_CPI",Release_Calendar!$B$2:$B$755,$A2004)&gt;0,1,0))</f>
        <v/>
      </c>
      <c r="N2004" s="16" t="str">
        <f>IF($A2004&lt;Notes!$B$5,"",IF(COUNTIFS(Release_Calendar!$A$2:$A$755,"NZ_GDP",Release_Calendar!$B$2:$B$755,$A2004)&gt;0,1,0))</f>
        <v/>
      </c>
      <c r="O2004" s="16" t="str">
        <f>IF($A2004&lt;Notes!$B$5,"",IF(COUNTIFS(Release_Calendar!$A$2:$A$755,"NZ_LABOUR",Release_Calendar!$B$2:$B$755,$A2004)&gt;0,1,0))</f>
        <v/>
      </c>
      <c r="P2004" s="16">
        <f t="shared" si="4"/>
        <v>0</v>
      </c>
    </row>
    <row r="2005" ht="15.75" customHeight="1">
      <c r="A2005" s="14">
        <v>39331.0</v>
      </c>
      <c r="B2005" s="15">
        <v>4.08</v>
      </c>
      <c r="C2005" s="15"/>
      <c r="D2005" s="15">
        <v>6.85</v>
      </c>
      <c r="E2005" s="15"/>
      <c r="F2005" s="15" t="str">
        <f t="shared" si="1"/>
        <v/>
      </c>
      <c r="G2005" s="15">
        <f t="shared" si="2"/>
        <v>6.85</v>
      </c>
      <c r="H2005" s="16">
        <v>1.0</v>
      </c>
      <c r="I2005" s="15">
        <f t="shared" si="3"/>
        <v>2.77</v>
      </c>
      <c r="J2005" s="15">
        <v>23.99</v>
      </c>
      <c r="K2005" s="16">
        <f>IF(COUNTIFS(Release_Calendar!$A$2:$A$755,"US_CPI",Release_Calendar!$B$2:$B$755,$A2005)&gt;0,1,0)</f>
        <v>0</v>
      </c>
      <c r="L2005" s="16">
        <f>IF(COUNTIFS(Release_Calendar!$A$2:$A$755,"US_NFP",Release_Calendar!$B$2:$B$755,$A2005)&gt;0,1,0)</f>
        <v>0</v>
      </c>
      <c r="M2005" s="16" t="str">
        <f>IF($A2005&lt;Notes!$B$5,"",IF(COUNTIFS(Release_Calendar!$A$2:$A$755,"NZ_CPI",Release_Calendar!$B$2:$B$755,$A2005)&gt;0,1,0))</f>
        <v/>
      </c>
      <c r="N2005" s="16" t="str">
        <f>IF($A2005&lt;Notes!$B$5,"",IF(COUNTIFS(Release_Calendar!$A$2:$A$755,"NZ_GDP",Release_Calendar!$B$2:$B$755,$A2005)&gt;0,1,0))</f>
        <v/>
      </c>
      <c r="O2005" s="16" t="str">
        <f>IF($A2005&lt;Notes!$B$5,"",IF(COUNTIFS(Release_Calendar!$A$2:$A$755,"NZ_LABOUR",Release_Calendar!$B$2:$B$755,$A2005)&gt;0,1,0))</f>
        <v/>
      </c>
      <c r="P2005" s="16">
        <f t="shared" si="4"/>
        <v>0</v>
      </c>
    </row>
    <row r="2006" ht="15.75" customHeight="1">
      <c r="A2006" s="14">
        <v>39332.0</v>
      </c>
      <c r="B2006" s="15">
        <v>3.9</v>
      </c>
      <c r="C2006" s="15"/>
      <c r="D2006" s="15">
        <v>6.85</v>
      </c>
      <c r="E2006" s="15"/>
      <c r="F2006" s="15" t="str">
        <f t="shared" si="1"/>
        <v/>
      </c>
      <c r="G2006" s="15">
        <f t="shared" si="2"/>
        <v>6.85</v>
      </c>
      <c r="H2006" s="16">
        <v>1.0</v>
      </c>
      <c r="I2006" s="15">
        <f t="shared" si="3"/>
        <v>2.95</v>
      </c>
      <c r="J2006" s="15">
        <v>26.23</v>
      </c>
      <c r="K2006" s="16">
        <f>IF(COUNTIFS(Release_Calendar!$A$2:$A$755,"US_CPI",Release_Calendar!$B$2:$B$755,$A2006)&gt;0,1,0)</f>
        <v>0</v>
      </c>
      <c r="L2006" s="16">
        <f>IF(COUNTIFS(Release_Calendar!$A$2:$A$755,"US_NFP",Release_Calendar!$B$2:$B$755,$A2006)&gt;0,1,0)</f>
        <v>1</v>
      </c>
      <c r="M2006" s="16" t="str">
        <f>IF($A2006&lt;Notes!$B$5,"",IF(COUNTIFS(Release_Calendar!$A$2:$A$755,"NZ_CPI",Release_Calendar!$B$2:$B$755,$A2006)&gt;0,1,0))</f>
        <v/>
      </c>
      <c r="N2006" s="16" t="str">
        <f>IF($A2006&lt;Notes!$B$5,"",IF(COUNTIFS(Release_Calendar!$A$2:$A$755,"NZ_GDP",Release_Calendar!$B$2:$B$755,$A2006)&gt;0,1,0))</f>
        <v/>
      </c>
      <c r="O2006" s="16" t="str">
        <f>IF($A2006&lt;Notes!$B$5,"",IF(COUNTIFS(Release_Calendar!$A$2:$A$755,"NZ_LABOUR",Release_Calendar!$B$2:$B$755,$A2006)&gt;0,1,0))</f>
        <v/>
      </c>
      <c r="P2006" s="16">
        <f t="shared" si="4"/>
        <v>1</v>
      </c>
    </row>
    <row r="2007" ht="15.75" customHeight="1">
      <c r="A2007" s="14">
        <v>39335.0</v>
      </c>
      <c r="B2007" s="15">
        <v>3.87</v>
      </c>
      <c r="C2007" s="15"/>
      <c r="D2007" s="15">
        <v>6.78</v>
      </c>
      <c r="E2007" s="15"/>
      <c r="F2007" s="15" t="str">
        <f t="shared" si="1"/>
        <v/>
      </c>
      <c r="G2007" s="15">
        <f t="shared" si="2"/>
        <v>6.78</v>
      </c>
      <c r="H2007" s="16">
        <v>1.0</v>
      </c>
      <c r="I2007" s="15">
        <f t="shared" si="3"/>
        <v>2.91</v>
      </c>
      <c r="J2007" s="15">
        <v>27.38</v>
      </c>
      <c r="K2007" s="16">
        <f>IF(COUNTIFS(Release_Calendar!$A$2:$A$755,"US_CPI",Release_Calendar!$B$2:$B$755,$A2007)&gt;0,1,0)</f>
        <v>0</v>
      </c>
      <c r="L2007" s="16">
        <f>IF(COUNTIFS(Release_Calendar!$A$2:$A$755,"US_NFP",Release_Calendar!$B$2:$B$755,$A2007)&gt;0,1,0)</f>
        <v>0</v>
      </c>
      <c r="M2007" s="16" t="str">
        <f>IF($A2007&lt;Notes!$B$5,"",IF(COUNTIFS(Release_Calendar!$A$2:$A$755,"NZ_CPI",Release_Calendar!$B$2:$B$755,$A2007)&gt;0,1,0))</f>
        <v/>
      </c>
      <c r="N2007" s="16" t="str">
        <f>IF($A2007&lt;Notes!$B$5,"",IF(COUNTIFS(Release_Calendar!$A$2:$A$755,"NZ_GDP",Release_Calendar!$B$2:$B$755,$A2007)&gt;0,1,0))</f>
        <v/>
      </c>
      <c r="O2007" s="16" t="str">
        <f>IF($A2007&lt;Notes!$B$5,"",IF(COUNTIFS(Release_Calendar!$A$2:$A$755,"NZ_LABOUR",Release_Calendar!$B$2:$B$755,$A2007)&gt;0,1,0))</f>
        <v/>
      </c>
      <c r="P2007" s="16">
        <f t="shared" si="4"/>
        <v>0</v>
      </c>
    </row>
    <row r="2008" ht="15.75" customHeight="1">
      <c r="A2008" s="14">
        <v>39336.0</v>
      </c>
      <c r="B2008" s="15">
        <v>3.95</v>
      </c>
      <c r="C2008" s="15"/>
      <c r="D2008" s="15">
        <v>6.72</v>
      </c>
      <c r="E2008" s="15"/>
      <c r="F2008" s="15" t="str">
        <f t="shared" si="1"/>
        <v/>
      </c>
      <c r="G2008" s="15">
        <f t="shared" si="2"/>
        <v>6.72</v>
      </c>
      <c r="H2008" s="16">
        <v>1.0</v>
      </c>
      <c r="I2008" s="15">
        <f t="shared" si="3"/>
        <v>2.77</v>
      </c>
      <c r="J2008" s="15">
        <v>25.27</v>
      </c>
      <c r="K2008" s="16">
        <f>IF(COUNTIFS(Release_Calendar!$A$2:$A$755,"US_CPI",Release_Calendar!$B$2:$B$755,$A2008)&gt;0,1,0)</f>
        <v>0</v>
      </c>
      <c r="L2008" s="16">
        <f>IF(COUNTIFS(Release_Calendar!$A$2:$A$755,"US_NFP",Release_Calendar!$B$2:$B$755,$A2008)&gt;0,1,0)</f>
        <v>0</v>
      </c>
      <c r="M2008" s="16" t="str">
        <f>IF($A2008&lt;Notes!$B$5,"",IF(COUNTIFS(Release_Calendar!$A$2:$A$755,"NZ_CPI",Release_Calendar!$B$2:$B$755,$A2008)&gt;0,1,0))</f>
        <v/>
      </c>
      <c r="N2008" s="16" t="str">
        <f>IF($A2008&lt;Notes!$B$5,"",IF(COUNTIFS(Release_Calendar!$A$2:$A$755,"NZ_GDP",Release_Calendar!$B$2:$B$755,$A2008)&gt;0,1,0))</f>
        <v/>
      </c>
      <c r="O2008" s="16" t="str">
        <f>IF($A2008&lt;Notes!$B$5,"",IF(COUNTIFS(Release_Calendar!$A$2:$A$755,"NZ_LABOUR",Release_Calendar!$B$2:$B$755,$A2008)&gt;0,1,0))</f>
        <v/>
      </c>
      <c r="P2008" s="16">
        <f t="shared" si="4"/>
        <v>0</v>
      </c>
    </row>
    <row r="2009" ht="15.75" customHeight="1">
      <c r="A2009" s="14">
        <v>39337.0</v>
      </c>
      <c r="B2009" s="15">
        <v>3.95</v>
      </c>
      <c r="C2009" s="15"/>
      <c r="D2009" s="15">
        <v>6.76</v>
      </c>
      <c r="E2009" s="15"/>
      <c r="F2009" s="15" t="str">
        <f t="shared" si="1"/>
        <v/>
      </c>
      <c r="G2009" s="15">
        <f t="shared" si="2"/>
        <v>6.76</v>
      </c>
      <c r="H2009" s="16">
        <v>1.0</v>
      </c>
      <c r="I2009" s="15">
        <f t="shared" si="3"/>
        <v>2.81</v>
      </c>
      <c r="J2009" s="15">
        <v>24.96</v>
      </c>
      <c r="K2009" s="16">
        <f>IF(COUNTIFS(Release_Calendar!$A$2:$A$755,"US_CPI",Release_Calendar!$B$2:$B$755,$A2009)&gt;0,1,0)</f>
        <v>0</v>
      </c>
      <c r="L2009" s="16">
        <f>IF(COUNTIFS(Release_Calendar!$A$2:$A$755,"US_NFP",Release_Calendar!$B$2:$B$755,$A2009)&gt;0,1,0)</f>
        <v>0</v>
      </c>
      <c r="M2009" s="16" t="str">
        <f>IF($A2009&lt;Notes!$B$5,"",IF(COUNTIFS(Release_Calendar!$A$2:$A$755,"NZ_CPI",Release_Calendar!$B$2:$B$755,$A2009)&gt;0,1,0))</f>
        <v/>
      </c>
      <c r="N2009" s="16" t="str">
        <f>IF($A2009&lt;Notes!$B$5,"",IF(COUNTIFS(Release_Calendar!$A$2:$A$755,"NZ_GDP",Release_Calendar!$B$2:$B$755,$A2009)&gt;0,1,0))</f>
        <v/>
      </c>
      <c r="O2009" s="16" t="str">
        <f>IF($A2009&lt;Notes!$B$5,"",IF(COUNTIFS(Release_Calendar!$A$2:$A$755,"NZ_LABOUR",Release_Calendar!$B$2:$B$755,$A2009)&gt;0,1,0))</f>
        <v/>
      </c>
      <c r="P2009" s="16">
        <f t="shared" si="4"/>
        <v>0</v>
      </c>
    </row>
    <row r="2010" ht="15.75" customHeight="1">
      <c r="A2010" s="14">
        <v>39338.0</v>
      </c>
      <c r="B2010" s="15">
        <v>4.08</v>
      </c>
      <c r="C2010" s="15"/>
      <c r="D2010" s="15">
        <v>6.84</v>
      </c>
      <c r="E2010" s="15"/>
      <c r="F2010" s="15" t="str">
        <f t="shared" si="1"/>
        <v/>
      </c>
      <c r="G2010" s="15">
        <f t="shared" si="2"/>
        <v>6.84</v>
      </c>
      <c r="H2010" s="16">
        <v>1.0</v>
      </c>
      <c r="I2010" s="15">
        <f t="shared" si="3"/>
        <v>2.76</v>
      </c>
      <c r="J2010" s="15">
        <v>24.76</v>
      </c>
      <c r="K2010" s="16">
        <f>IF(COUNTIFS(Release_Calendar!$A$2:$A$755,"US_CPI",Release_Calendar!$B$2:$B$755,$A2010)&gt;0,1,0)</f>
        <v>0</v>
      </c>
      <c r="L2010" s="16">
        <f>IF(COUNTIFS(Release_Calendar!$A$2:$A$755,"US_NFP",Release_Calendar!$B$2:$B$755,$A2010)&gt;0,1,0)</f>
        <v>0</v>
      </c>
      <c r="M2010" s="16" t="str">
        <f>IF($A2010&lt;Notes!$B$5,"",IF(COUNTIFS(Release_Calendar!$A$2:$A$755,"NZ_CPI",Release_Calendar!$B$2:$B$755,$A2010)&gt;0,1,0))</f>
        <v/>
      </c>
      <c r="N2010" s="16" t="str">
        <f>IF($A2010&lt;Notes!$B$5,"",IF(COUNTIFS(Release_Calendar!$A$2:$A$755,"NZ_GDP",Release_Calendar!$B$2:$B$755,$A2010)&gt;0,1,0))</f>
        <v/>
      </c>
      <c r="O2010" s="16" t="str">
        <f>IF($A2010&lt;Notes!$B$5,"",IF(COUNTIFS(Release_Calendar!$A$2:$A$755,"NZ_LABOUR",Release_Calendar!$B$2:$B$755,$A2010)&gt;0,1,0))</f>
        <v/>
      </c>
      <c r="P2010" s="16">
        <f t="shared" si="4"/>
        <v>0</v>
      </c>
    </row>
    <row r="2011" ht="15.75" customHeight="1">
      <c r="A2011" s="14">
        <v>39339.0</v>
      </c>
      <c r="B2011" s="15">
        <v>4.05</v>
      </c>
      <c r="C2011" s="15"/>
      <c r="D2011" s="15">
        <v>6.87</v>
      </c>
      <c r="E2011" s="15"/>
      <c r="F2011" s="15" t="str">
        <f t="shared" si="1"/>
        <v/>
      </c>
      <c r="G2011" s="15">
        <f t="shared" si="2"/>
        <v>6.87</v>
      </c>
      <c r="H2011" s="16">
        <v>1.0</v>
      </c>
      <c r="I2011" s="15">
        <f t="shared" si="3"/>
        <v>2.82</v>
      </c>
      <c r="J2011" s="15">
        <v>24.92</v>
      </c>
      <c r="K2011" s="16">
        <f>IF(COUNTIFS(Release_Calendar!$A$2:$A$755,"US_CPI",Release_Calendar!$B$2:$B$755,$A2011)&gt;0,1,0)</f>
        <v>0</v>
      </c>
      <c r="L2011" s="16">
        <f>IF(COUNTIFS(Release_Calendar!$A$2:$A$755,"US_NFP",Release_Calendar!$B$2:$B$755,$A2011)&gt;0,1,0)</f>
        <v>0</v>
      </c>
      <c r="M2011" s="16" t="str">
        <f>IF($A2011&lt;Notes!$B$5,"",IF(COUNTIFS(Release_Calendar!$A$2:$A$755,"NZ_CPI",Release_Calendar!$B$2:$B$755,$A2011)&gt;0,1,0))</f>
        <v/>
      </c>
      <c r="N2011" s="16" t="str">
        <f>IF($A2011&lt;Notes!$B$5,"",IF(COUNTIFS(Release_Calendar!$A$2:$A$755,"NZ_GDP",Release_Calendar!$B$2:$B$755,$A2011)&gt;0,1,0))</f>
        <v/>
      </c>
      <c r="O2011" s="16" t="str">
        <f>IF($A2011&lt;Notes!$B$5,"",IF(COUNTIFS(Release_Calendar!$A$2:$A$755,"NZ_LABOUR",Release_Calendar!$B$2:$B$755,$A2011)&gt;0,1,0))</f>
        <v/>
      </c>
      <c r="P2011" s="16">
        <f t="shared" si="4"/>
        <v>0</v>
      </c>
    </row>
    <row r="2012" ht="15.75" customHeight="1">
      <c r="A2012" s="14">
        <v>39342.0</v>
      </c>
      <c r="B2012" s="15">
        <v>4.08</v>
      </c>
      <c r="C2012" s="15"/>
      <c r="D2012" s="15">
        <v>6.84</v>
      </c>
      <c r="E2012" s="15"/>
      <c r="F2012" s="15" t="str">
        <f t="shared" si="1"/>
        <v/>
      </c>
      <c r="G2012" s="15">
        <f t="shared" si="2"/>
        <v>6.84</v>
      </c>
      <c r="H2012" s="16">
        <v>1.0</v>
      </c>
      <c r="I2012" s="15">
        <f t="shared" si="3"/>
        <v>2.76</v>
      </c>
      <c r="J2012" s="15">
        <v>26.48</v>
      </c>
      <c r="K2012" s="16">
        <f>IF(COUNTIFS(Release_Calendar!$A$2:$A$755,"US_CPI",Release_Calendar!$B$2:$B$755,$A2012)&gt;0,1,0)</f>
        <v>0</v>
      </c>
      <c r="L2012" s="16">
        <f>IF(COUNTIFS(Release_Calendar!$A$2:$A$755,"US_NFP",Release_Calendar!$B$2:$B$755,$A2012)&gt;0,1,0)</f>
        <v>0</v>
      </c>
      <c r="M2012" s="16" t="str">
        <f>IF($A2012&lt;Notes!$B$5,"",IF(COUNTIFS(Release_Calendar!$A$2:$A$755,"NZ_CPI",Release_Calendar!$B$2:$B$755,$A2012)&gt;0,1,0))</f>
        <v/>
      </c>
      <c r="N2012" s="16" t="str">
        <f>IF($A2012&lt;Notes!$B$5,"",IF(COUNTIFS(Release_Calendar!$A$2:$A$755,"NZ_GDP",Release_Calendar!$B$2:$B$755,$A2012)&gt;0,1,0))</f>
        <v/>
      </c>
      <c r="O2012" s="16" t="str">
        <f>IF($A2012&lt;Notes!$B$5,"",IF(COUNTIFS(Release_Calendar!$A$2:$A$755,"NZ_LABOUR",Release_Calendar!$B$2:$B$755,$A2012)&gt;0,1,0))</f>
        <v/>
      </c>
      <c r="P2012" s="16">
        <f t="shared" si="4"/>
        <v>0</v>
      </c>
    </row>
    <row r="2013" ht="15.75" customHeight="1">
      <c r="A2013" s="14">
        <v>39343.0</v>
      </c>
      <c r="B2013" s="15">
        <v>4.0</v>
      </c>
      <c r="C2013" s="15"/>
      <c r="D2013" s="15">
        <v>6.93</v>
      </c>
      <c r="E2013" s="15"/>
      <c r="F2013" s="15" t="str">
        <f t="shared" si="1"/>
        <v/>
      </c>
      <c r="G2013" s="15">
        <f t="shared" si="2"/>
        <v>6.93</v>
      </c>
      <c r="H2013" s="16">
        <v>1.0</v>
      </c>
      <c r="I2013" s="15">
        <f t="shared" si="3"/>
        <v>2.93</v>
      </c>
      <c r="J2013" s="15">
        <v>20.35</v>
      </c>
      <c r="K2013" s="16">
        <f>IF(COUNTIFS(Release_Calendar!$A$2:$A$755,"US_CPI",Release_Calendar!$B$2:$B$755,$A2013)&gt;0,1,0)</f>
        <v>0</v>
      </c>
      <c r="L2013" s="16">
        <f>IF(COUNTIFS(Release_Calendar!$A$2:$A$755,"US_NFP",Release_Calendar!$B$2:$B$755,$A2013)&gt;0,1,0)</f>
        <v>0</v>
      </c>
      <c r="M2013" s="16" t="str">
        <f>IF($A2013&lt;Notes!$B$5,"",IF(COUNTIFS(Release_Calendar!$A$2:$A$755,"NZ_CPI",Release_Calendar!$B$2:$B$755,$A2013)&gt;0,1,0))</f>
        <v/>
      </c>
      <c r="N2013" s="16" t="str">
        <f>IF($A2013&lt;Notes!$B$5,"",IF(COUNTIFS(Release_Calendar!$A$2:$A$755,"NZ_GDP",Release_Calendar!$B$2:$B$755,$A2013)&gt;0,1,0))</f>
        <v/>
      </c>
      <c r="O2013" s="16" t="str">
        <f>IF($A2013&lt;Notes!$B$5,"",IF(COUNTIFS(Release_Calendar!$A$2:$A$755,"NZ_LABOUR",Release_Calendar!$B$2:$B$755,$A2013)&gt;0,1,0))</f>
        <v/>
      </c>
      <c r="P2013" s="16">
        <f t="shared" si="4"/>
        <v>0</v>
      </c>
    </row>
    <row r="2014" ht="15.75" customHeight="1">
      <c r="A2014" s="14">
        <v>39344.0</v>
      </c>
      <c r="B2014" s="15">
        <v>4.0</v>
      </c>
      <c r="C2014" s="15"/>
      <c r="D2014" s="15">
        <v>6.92</v>
      </c>
      <c r="E2014" s="15"/>
      <c r="F2014" s="15" t="str">
        <f t="shared" si="1"/>
        <v/>
      </c>
      <c r="G2014" s="15">
        <f t="shared" si="2"/>
        <v>6.92</v>
      </c>
      <c r="H2014" s="16">
        <v>1.0</v>
      </c>
      <c r="I2014" s="15">
        <f t="shared" si="3"/>
        <v>2.92</v>
      </c>
      <c r="J2014" s="15">
        <v>20.03</v>
      </c>
      <c r="K2014" s="16">
        <f>IF(COUNTIFS(Release_Calendar!$A$2:$A$755,"US_CPI",Release_Calendar!$B$2:$B$755,$A2014)&gt;0,1,0)</f>
        <v>1</v>
      </c>
      <c r="L2014" s="16">
        <f>IF(COUNTIFS(Release_Calendar!$A$2:$A$755,"US_NFP",Release_Calendar!$B$2:$B$755,$A2014)&gt;0,1,0)</f>
        <v>0</v>
      </c>
      <c r="M2014" s="16" t="str">
        <f>IF($A2014&lt;Notes!$B$5,"",IF(COUNTIFS(Release_Calendar!$A$2:$A$755,"NZ_CPI",Release_Calendar!$B$2:$B$755,$A2014)&gt;0,1,0))</f>
        <v/>
      </c>
      <c r="N2014" s="16" t="str">
        <f>IF($A2014&lt;Notes!$B$5,"",IF(COUNTIFS(Release_Calendar!$A$2:$A$755,"NZ_GDP",Release_Calendar!$B$2:$B$755,$A2014)&gt;0,1,0))</f>
        <v/>
      </c>
      <c r="O2014" s="16" t="str">
        <f>IF($A2014&lt;Notes!$B$5,"",IF(COUNTIFS(Release_Calendar!$A$2:$A$755,"NZ_LABOUR",Release_Calendar!$B$2:$B$755,$A2014)&gt;0,1,0))</f>
        <v/>
      </c>
      <c r="P2014" s="16">
        <f t="shared" si="4"/>
        <v>1</v>
      </c>
    </row>
    <row r="2015" ht="15.75" customHeight="1">
      <c r="A2015" s="14">
        <v>39345.0</v>
      </c>
      <c r="B2015" s="15">
        <v>4.1</v>
      </c>
      <c r="C2015" s="15"/>
      <c r="D2015" s="15">
        <v>7.02</v>
      </c>
      <c r="E2015" s="15"/>
      <c r="F2015" s="15" t="str">
        <f t="shared" si="1"/>
        <v/>
      </c>
      <c r="G2015" s="15">
        <f t="shared" si="2"/>
        <v>7.02</v>
      </c>
      <c r="H2015" s="16">
        <v>1.0</v>
      </c>
      <c r="I2015" s="15">
        <f t="shared" si="3"/>
        <v>2.92</v>
      </c>
      <c r="J2015" s="15">
        <v>20.45</v>
      </c>
      <c r="K2015" s="16">
        <f>IF(COUNTIFS(Release_Calendar!$A$2:$A$755,"US_CPI",Release_Calendar!$B$2:$B$755,$A2015)&gt;0,1,0)</f>
        <v>0</v>
      </c>
      <c r="L2015" s="16">
        <f>IF(COUNTIFS(Release_Calendar!$A$2:$A$755,"US_NFP",Release_Calendar!$B$2:$B$755,$A2015)&gt;0,1,0)</f>
        <v>0</v>
      </c>
      <c r="M2015" s="16" t="str">
        <f>IF($A2015&lt;Notes!$B$5,"",IF(COUNTIFS(Release_Calendar!$A$2:$A$755,"NZ_CPI",Release_Calendar!$B$2:$B$755,$A2015)&gt;0,1,0))</f>
        <v/>
      </c>
      <c r="N2015" s="16" t="str">
        <f>IF($A2015&lt;Notes!$B$5,"",IF(COUNTIFS(Release_Calendar!$A$2:$A$755,"NZ_GDP",Release_Calendar!$B$2:$B$755,$A2015)&gt;0,1,0))</f>
        <v/>
      </c>
      <c r="O2015" s="16" t="str">
        <f>IF($A2015&lt;Notes!$B$5,"",IF(COUNTIFS(Release_Calendar!$A$2:$A$755,"NZ_LABOUR",Release_Calendar!$B$2:$B$755,$A2015)&gt;0,1,0))</f>
        <v/>
      </c>
      <c r="P2015" s="16">
        <f t="shared" si="4"/>
        <v>0</v>
      </c>
    </row>
    <row r="2016" ht="15.75" customHeight="1">
      <c r="A2016" s="14">
        <v>39346.0</v>
      </c>
      <c r="B2016" s="15">
        <v>4.06</v>
      </c>
      <c r="C2016" s="15"/>
      <c r="D2016" s="15">
        <v>7.06</v>
      </c>
      <c r="E2016" s="15"/>
      <c r="F2016" s="15" t="str">
        <f t="shared" si="1"/>
        <v/>
      </c>
      <c r="G2016" s="15">
        <f t="shared" si="2"/>
        <v>7.06</v>
      </c>
      <c r="H2016" s="16">
        <v>1.0</v>
      </c>
      <c r="I2016" s="15">
        <f t="shared" si="3"/>
        <v>3</v>
      </c>
      <c r="J2016" s="15">
        <v>19.0</v>
      </c>
      <c r="K2016" s="16">
        <f>IF(COUNTIFS(Release_Calendar!$A$2:$A$755,"US_CPI",Release_Calendar!$B$2:$B$755,$A2016)&gt;0,1,0)</f>
        <v>0</v>
      </c>
      <c r="L2016" s="16">
        <f>IF(COUNTIFS(Release_Calendar!$A$2:$A$755,"US_NFP",Release_Calendar!$B$2:$B$755,$A2016)&gt;0,1,0)</f>
        <v>0</v>
      </c>
      <c r="M2016" s="16" t="str">
        <f>IF($A2016&lt;Notes!$B$5,"",IF(COUNTIFS(Release_Calendar!$A$2:$A$755,"NZ_CPI",Release_Calendar!$B$2:$B$755,$A2016)&gt;0,1,0))</f>
        <v/>
      </c>
      <c r="N2016" s="16" t="str">
        <f>IF($A2016&lt;Notes!$B$5,"",IF(COUNTIFS(Release_Calendar!$A$2:$A$755,"NZ_GDP",Release_Calendar!$B$2:$B$755,$A2016)&gt;0,1,0))</f>
        <v/>
      </c>
      <c r="O2016" s="16" t="str">
        <f>IF($A2016&lt;Notes!$B$5,"",IF(COUNTIFS(Release_Calendar!$A$2:$A$755,"NZ_LABOUR",Release_Calendar!$B$2:$B$755,$A2016)&gt;0,1,0))</f>
        <v/>
      </c>
      <c r="P2016" s="16">
        <f t="shared" si="4"/>
        <v>0</v>
      </c>
    </row>
    <row r="2017" ht="15.75" customHeight="1">
      <c r="A2017" s="14">
        <v>39349.0</v>
      </c>
      <c r="B2017" s="15">
        <v>4.05</v>
      </c>
      <c r="C2017" s="15"/>
      <c r="D2017" s="15">
        <v>7.02</v>
      </c>
      <c r="E2017" s="15"/>
      <c r="F2017" s="15" t="str">
        <f t="shared" si="1"/>
        <v/>
      </c>
      <c r="G2017" s="15">
        <f t="shared" si="2"/>
        <v>7.02</v>
      </c>
      <c r="H2017" s="16">
        <v>1.0</v>
      </c>
      <c r="I2017" s="15">
        <f t="shared" si="3"/>
        <v>2.97</v>
      </c>
      <c r="J2017" s="15">
        <v>19.37</v>
      </c>
      <c r="K2017" s="16">
        <f>IF(COUNTIFS(Release_Calendar!$A$2:$A$755,"US_CPI",Release_Calendar!$B$2:$B$755,$A2017)&gt;0,1,0)</f>
        <v>0</v>
      </c>
      <c r="L2017" s="16">
        <f>IF(COUNTIFS(Release_Calendar!$A$2:$A$755,"US_NFP",Release_Calendar!$B$2:$B$755,$A2017)&gt;0,1,0)</f>
        <v>0</v>
      </c>
      <c r="M2017" s="16" t="str">
        <f>IF($A2017&lt;Notes!$B$5,"",IF(COUNTIFS(Release_Calendar!$A$2:$A$755,"NZ_CPI",Release_Calendar!$B$2:$B$755,$A2017)&gt;0,1,0))</f>
        <v/>
      </c>
      <c r="N2017" s="16" t="str">
        <f>IF($A2017&lt;Notes!$B$5,"",IF(COUNTIFS(Release_Calendar!$A$2:$A$755,"NZ_GDP",Release_Calendar!$B$2:$B$755,$A2017)&gt;0,1,0))</f>
        <v/>
      </c>
      <c r="O2017" s="16" t="str">
        <f>IF($A2017&lt;Notes!$B$5,"",IF(COUNTIFS(Release_Calendar!$A$2:$A$755,"NZ_LABOUR",Release_Calendar!$B$2:$B$755,$A2017)&gt;0,1,0))</f>
        <v/>
      </c>
      <c r="P2017" s="16">
        <f t="shared" si="4"/>
        <v>0</v>
      </c>
    </row>
    <row r="2018" ht="15.75" customHeight="1">
      <c r="A2018" s="14">
        <v>39350.0</v>
      </c>
      <c r="B2018" s="15">
        <v>4.0</v>
      </c>
      <c r="C2018" s="15"/>
      <c r="D2018" s="15">
        <v>7.03</v>
      </c>
      <c r="E2018" s="15"/>
      <c r="F2018" s="15" t="str">
        <f t="shared" si="1"/>
        <v/>
      </c>
      <c r="G2018" s="15">
        <f t="shared" si="2"/>
        <v>7.03</v>
      </c>
      <c r="H2018" s="16">
        <v>1.0</v>
      </c>
      <c r="I2018" s="15">
        <f t="shared" si="3"/>
        <v>3.03</v>
      </c>
      <c r="J2018" s="15">
        <v>18.6</v>
      </c>
      <c r="K2018" s="16">
        <f>IF(COUNTIFS(Release_Calendar!$A$2:$A$755,"US_CPI",Release_Calendar!$B$2:$B$755,$A2018)&gt;0,1,0)</f>
        <v>0</v>
      </c>
      <c r="L2018" s="16">
        <f>IF(COUNTIFS(Release_Calendar!$A$2:$A$755,"US_NFP",Release_Calendar!$B$2:$B$755,$A2018)&gt;0,1,0)</f>
        <v>0</v>
      </c>
      <c r="M2018" s="16" t="str">
        <f>IF($A2018&lt;Notes!$B$5,"",IF(COUNTIFS(Release_Calendar!$A$2:$A$755,"NZ_CPI",Release_Calendar!$B$2:$B$755,$A2018)&gt;0,1,0))</f>
        <v/>
      </c>
      <c r="N2018" s="16" t="str">
        <f>IF($A2018&lt;Notes!$B$5,"",IF(COUNTIFS(Release_Calendar!$A$2:$A$755,"NZ_GDP",Release_Calendar!$B$2:$B$755,$A2018)&gt;0,1,0))</f>
        <v/>
      </c>
      <c r="O2018" s="16" t="str">
        <f>IF($A2018&lt;Notes!$B$5,"",IF(COUNTIFS(Release_Calendar!$A$2:$A$755,"NZ_LABOUR",Release_Calendar!$B$2:$B$755,$A2018)&gt;0,1,0))</f>
        <v/>
      </c>
      <c r="P2018" s="16">
        <f t="shared" si="4"/>
        <v>0</v>
      </c>
    </row>
    <row r="2019" ht="15.75" customHeight="1">
      <c r="A2019" s="14">
        <v>39351.0</v>
      </c>
      <c r="B2019" s="15">
        <v>3.97</v>
      </c>
      <c r="C2019" s="15"/>
      <c r="D2019" s="15">
        <v>6.99</v>
      </c>
      <c r="E2019" s="15"/>
      <c r="F2019" s="15" t="str">
        <f t="shared" si="1"/>
        <v/>
      </c>
      <c r="G2019" s="15">
        <f t="shared" si="2"/>
        <v>6.99</v>
      </c>
      <c r="H2019" s="16">
        <v>1.0</v>
      </c>
      <c r="I2019" s="15">
        <f t="shared" si="3"/>
        <v>3.02</v>
      </c>
      <c r="J2019" s="15">
        <v>17.63</v>
      </c>
      <c r="K2019" s="16">
        <f>IF(COUNTIFS(Release_Calendar!$A$2:$A$755,"US_CPI",Release_Calendar!$B$2:$B$755,$A2019)&gt;0,1,0)</f>
        <v>0</v>
      </c>
      <c r="L2019" s="16">
        <f>IF(COUNTIFS(Release_Calendar!$A$2:$A$755,"US_NFP",Release_Calendar!$B$2:$B$755,$A2019)&gt;0,1,0)</f>
        <v>0</v>
      </c>
      <c r="M2019" s="16" t="str">
        <f>IF($A2019&lt;Notes!$B$5,"",IF(COUNTIFS(Release_Calendar!$A$2:$A$755,"NZ_CPI",Release_Calendar!$B$2:$B$755,$A2019)&gt;0,1,0))</f>
        <v/>
      </c>
      <c r="N2019" s="16" t="str">
        <f>IF($A2019&lt;Notes!$B$5,"",IF(COUNTIFS(Release_Calendar!$A$2:$A$755,"NZ_GDP",Release_Calendar!$B$2:$B$755,$A2019)&gt;0,1,0))</f>
        <v/>
      </c>
      <c r="O2019" s="16" t="str">
        <f>IF($A2019&lt;Notes!$B$5,"",IF(COUNTIFS(Release_Calendar!$A$2:$A$755,"NZ_LABOUR",Release_Calendar!$B$2:$B$755,$A2019)&gt;0,1,0))</f>
        <v/>
      </c>
      <c r="P2019" s="16">
        <f t="shared" si="4"/>
        <v>0</v>
      </c>
    </row>
    <row r="2020" ht="15.75" customHeight="1">
      <c r="A2020" s="14">
        <v>39352.0</v>
      </c>
      <c r="B2020" s="15">
        <v>3.95</v>
      </c>
      <c r="C2020" s="15"/>
      <c r="D2020" s="15">
        <v>6.97</v>
      </c>
      <c r="E2020" s="15"/>
      <c r="F2020" s="15" t="str">
        <f t="shared" si="1"/>
        <v/>
      </c>
      <c r="G2020" s="15">
        <f t="shared" si="2"/>
        <v>6.97</v>
      </c>
      <c r="H2020" s="16">
        <v>1.0</v>
      </c>
      <c r="I2020" s="15">
        <f t="shared" si="3"/>
        <v>3.02</v>
      </c>
      <c r="J2020" s="15">
        <v>17.0</v>
      </c>
      <c r="K2020" s="16">
        <f>IF(COUNTIFS(Release_Calendar!$A$2:$A$755,"US_CPI",Release_Calendar!$B$2:$B$755,$A2020)&gt;0,1,0)</f>
        <v>0</v>
      </c>
      <c r="L2020" s="16">
        <f>IF(COUNTIFS(Release_Calendar!$A$2:$A$755,"US_NFP",Release_Calendar!$B$2:$B$755,$A2020)&gt;0,1,0)</f>
        <v>0</v>
      </c>
      <c r="M2020" s="16" t="str">
        <f>IF($A2020&lt;Notes!$B$5,"",IF(COUNTIFS(Release_Calendar!$A$2:$A$755,"NZ_CPI",Release_Calendar!$B$2:$B$755,$A2020)&gt;0,1,0))</f>
        <v/>
      </c>
      <c r="N2020" s="16" t="str">
        <f>IF($A2020&lt;Notes!$B$5,"",IF(COUNTIFS(Release_Calendar!$A$2:$A$755,"NZ_GDP",Release_Calendar!$B$2:$B$755,$A2020)&gt;0,1,0))</f>
        <v/>
      </c>
      <c r="O2020" s="16" t="str">
        <f>IF($A2020&lt;Notes!$B$5,"",IF(COUNTIFS(Release_Calendar!$A$2:$A$755,"NZ_LABOUR",Release_Calendar!$B$2:$B$755,$A2020)&gt;0,1,0))</f>
        <v/>
      </c>
      <c r="P2020" s="16">
        <f t="shared" si="4"/>
        <v>0</v>
      </c>
    </row>
    <row r="2021" ht="15.75" customHeight="1">
      <c r="A2021" s="14">
        <v>39353.0</v>
      </c>
      <c r="B2021" s="15">
        <v>3.97</v>
      </c>
      <c r="C2021" s="15"/>
      <c r="D2021" s="15">
        <v>6.97</v>
      </c>
      <c r="E2021" s="15"/>
      <c r="F2021" s="15" t="str">
        <f t="shared" si="1"/>
        <v/>
      </c>
      <c r="G2021" s="15">
        <f t="shared" si="2"/>
        <v>6.97</v>
      </c>
      <c r="H2021" s="16">
        <v>1.0</v>
      </c>
      <c r="I2021" s="15">
        <f t="shared" si="3"/>
        <v>3</v>
      </c>
      <c r="J2021" s="15">
        <v>18.0</v>
      </c>
      <c r="K2021" s="16">
        <f>IF(COUNTIFS(Release_Calendar!$A$2:$A$755,"US_CPI",Release_Calendar!$B$2:$B$755,$A2021)&gt;0,1,0)</f>
        <v>0</v>
      </c>
      <c r="L2021" s="16">
        <f>IF(COUNTIFS(Release_Calendar!$A$2:$A$755,"US_NFP",Release_Calendar!$B$2:$B$755,$A2021)&gt;0,1,0)</f>
        <v>0</v>
      </c>
      <c r="M2021" s="16" t="str">
        <f>IF($A2021&lt;Notes!$B$5,"",IF(COUNTIFS(Release_Calendar!$A$2:$A$755,"NZ_CPI",Release_Calendar!$B$2:$B$755,$A2021)&gt;0,1,0))</f>
        <v/>
      </c>
      <c r="N2021" s="16" t="str">
        <f>IF($A2021&lt;Notes!$B$5,"",IF(COUNTIFS(Release_Calendar!$A$2:$A$755,"NZ_GDP",Release_Calendar!$B$2:$B$755,$A2021)&gt;0,1,0))</f>
        <v/>
      </c>
      <c r="O2021" s="16" t="str">
        <f>IF($A2021&lt;Notes!$B$5,"",IF(COUNTIFS(Release_Calendar!$A$2:$A$755,"NZ_LABOUR",Release_Calendar!$B$2:$B$755,$A2021)&gt;0,1,0))</f>
        <v/>
      </c>
      <c r="P2021" s="16">
        <f t="shared" si="4"/>
        <v>0</v>
      </c>
    </row>
    <row r="2022" ht="15.75" customHeight="1">
      <c r="A2022" s="14">
        <v>39356.0</v>
      </c>
      <c r="B2022" s="15">
        <v>4.02</v>
      </c>
      <c r="C2022" s="15"/>
      <c r="D2022" s="15">
        <v>6.96</v>
      </c>
      <c r="E2022" s="15"/>
      <c r="F2022" s="15" t="str">
        <f t="shared" si="1"/>
        <v/>
      </c>
      <c r="G2022" s="15">
        <f t="shared" si="2"/>
        <v>6.96</v>
      </c>
      <c r="H2022" s="16">
        <v>1.0</v>
      </c>
      <c r="I2022" s="15">
        <f t="shared" si="3"/>
        <v>2.94</v>
      </c>
      <c r="J2022" s="15">
        <v>17.84</v>
      </c>
      <c r="K2022" s="16">
        <f>IF(COUNTIFS(Release_Calendar!$A$2:$A$755,"US_CPI",Release_Calendar!$B$2:$B$755,$A2022)&gt;0,1,0)</f>
        <v>0</v>
      </c>
      <c r="L2022" s="16">
        <f>IF(COUNTIFS(Release_Calendar!$A$2:$A$755,"US_NFP",Release_Calendar!$B$2:$B$755,$A2022)&gt;0,1,0)</f>
        <v>0</v>
      </c>
      <c r="M2022" s="16" t="str">
        <f>IF($A2022&lt;Notes!$B$5,"",IF(COUNTIFS(Release_Calendar!$A$2:$A$755,"NZ_CPI",Release_Calendar!$B$2:$B$755,$A2022)&gt;0,1,0))</f>
        <v/>
      </c>
      <c r="N2022" s="16" t="str">
        <f>IF($A2022&lt;Notes!$B$5,"",IF(COUNTIFS(Release_Calendar!$A$2:$A$755,"NZ_GDP",Release_Calendar!$B$2:$B$755,$A2022)&gt;0,1,0))</f>
        <v/>
      </c>
      <c r="O2022" s="16" t="str">
        <f>IF($A2022&lt;Notes!$B$5,"",IF(COUNTIFS(Release_Calendar!$A$2:$A$755,"NZ_LABOUR",Release_Calendar!$B$2:$B$755,$A2022)&gt;0,1,0))</f>
        <v/>
      </c>
      <c r="P2022" s="16">
        <f t="shared" si="4"/>
        <v>0</v>
      </c>
    </row>
    <row r="2023" ht="15.75" customHeight="1">
      <c r="A2023" s="14">
        <v>39357.0</v>
      </c>
      <c r="B2023" s="15">
        <v>3.98</v>
      </c>
      <c r="C2023" s="15"/>
      <c r="D2023" s="15">
        <v>6.98</v>
      </c>
      <c r="E2023" s="15"/>
      <c r="F2023" s="15" t="str">
        <f t="shared" si="1"/>
        <v/>
      </c>
      <c r="G2023" s="15">
        <f t="shared" si="2"/>
        <v>6.98</v>
      </c>
      <c r="H2023" s="16">
        <v>1.0</v>
      </c>
      <c r="I2023" s="15">
        <f t="shared" si="3"/>
        <v>3</v>
      </c>
      <c r="J2023" s="15">
        <v>18.49</v>
      </c>
      <c r="K2023" s="16">
        <f>IF(COUNTIFS(Release_Calendar!$A$2:$A$755,"US_CPI",Release_Calendar!$B$2:$B$755,$A2023)&gt;0,1,0)</f>
        <v>0</v>
      </c>
      <c r="L2023" s="16">
        <f>IF(COUNTIFS(Release_Calendar!$A$2:$A$755,"US_NFP",Release_Calendar!$B$2:$B$755,$A2023)&gt;0,1,0)</f>
        <v>0</v>
      </c>
      <c r="M2023" s="16" t="str">
        <f>IF($A2023&lt;Notes!$B$5,"",IF(COUNTIFS(Release_Calendar!$A$2:$A$755,"NZ_CPI",Release_Calendar!$B$2:$B$755,$A2023)&gt;0,1,0))</f>
        <v/>
      </c>
      <c r="N2023" s="16" t="str">
        <f>IF($A2023&lt;Notes!$B$5,"",IF(COUNTIFS(Release_Calendar!$A$2:$A$755,"NZ_GDP",Release_Calendar!$B$2:$B$755,$A2023)&gt;0,1,0))</f>
        <v/>
      </c>
      <c r="O2023" s="16" t="str">
        <f>IF($A2023&lt;Notes!$B$5,"",IF(COUNTIFS(Release_Calendar!$A$2:$A$755,"NZ_LABOUR",Release_Calendar!$B$2:$B$755,$A2023)&gt;0,1,0))</f>
        <v/>
      </c>
      <c r="P2023" s="16">
        <f t="shared" si="4"/>
        <v>0</v>
      </c>
    </row>
    <row r="2024" ht="15.75" customHeight="1">
      <c r="A2024" s="14">
        <v>39358.0</v>
      </c>
      <c r="B2024" s="15">
        <v>4.02</v>
      </c>
      <c r="C2024" s="15"/>
      <c r="D2024" s="15">
        <v>6.99</v>
      </c>
      <c r="E2024" s="15"/>
      <c r="F2024" s="15" t="str">
        <f t="shared" si="1"/>
        <v/>
      </c>
      <c r="G2024" s="15">
        <f t="shared" si="2"/>
        <v>6.99</v>
      </c>
      <c r="H2024" s="16">
        <v>1.0</v>
      </c>
      <c r="I2024" s="15">
        <f t="shared" si="3"/>
        <v>2.97</v>
      </c>
      <c r="J2024" s="15">
        <v>18.8</v>
      </c>
      <c r="K2024" s="16">
        <f>IF(COUNTIFS(Release_Calendar!$A$2:$A$755,"US_CPI",Release_Calendar!$B$2:$B$755,$A2024)&gt;0,1,0)</f>
        <v>0</v>
      </c>
      <c r="L2024" s="16">
        <f>IF(COUNTIFS(Release_Calendar!$A$2:$A$755,"US_NFP",Release_Calendar!$B$2:$B$755,$A2024)&gt;0,1,0)</f>
        <v>0</v>
      </c>
      <c r="M2024" s="16" t="str">
        <f>IF($A2024&lt;Notes!$B$5,"",IF(COUNTIFS(Release_Calendar!$A$2:$A$755,"NZ_CPI",Release_Calendar!$B$2:$B$755,$A2024)&gt;0,1,0))</f>
        <v/>
      </c>
      <c r="N2024" s="16" t="str">
        <f>IF($A2024&lt;Notes!$B$5,"",IF(COUNTIFS(Release_Calendar!$A$2:$A$755,"NZ_GDP",Release_Calendar!$B$2:$B$755,$A2024)&gt;0,1,0))</f>
        <v/>
      </c>
      <c r="O2024" s="16" t="str">
        <f>IF($A2024&lt;Notes!$B$5,"",IF(COUNTIFS(Release_Calendar!$A$2:$A$755,"NZ_LABOUR",Release_Calendar!$B$2:$B$755,$A2024)&gt;0,1,0))</f>
        <v/>
      </c>
      <c r="P2024" s="16">
        <f t="shared" si="4"/>
        <v>0</v>
      </c>
    </row>
    <row r="2025" ht="15.75" customHeight="1">
      <c r="A2025" s="14">
        <v>39359.0</v>
      </c>
      <c r="B2025" s="15">
        <v>4.0</v>
      </c>
      <c r="C2025" s="15"/>
      <c r="D2025" s="15">
        <v>6.98</v>
      </c>
      <c r="E2025" s="15"/>
      <c r="F2025" s="15" t="str">
        <f t="shared" si="1"/>
        <v/>
      </c>
      <c r="G2025" s="15">
        <f t="shared" si="2"/>
        <v>6.98</v>
      </c>
      <c r="H2025" s="16">
        <v>1.0</v>
      </c>
      <c r="I2025" s="15">
        <f t="shared" si="3"/>
        <v>2.98</v>
      </c>
      <c r="J2025" s="15">
        <v>18.44</v>
      </c>
      <c r="K2025" s="16">
        <f>IF(COUNTIFS(Release_Calendar!$A$2:$A$755,"US_CPI",Release_Calendar!$B$2:$B$755,$A2025)&gt;0,1,0)</f>
        <v>0</v>
      </c>
      <c r="L2025" s="16">
        <f>IF(COUNTIFS(Release_Calendar!$A$2:$A$755,"US_NFP",Release_Calendar!$B$2:$B$755,$A2025)&gt;0,1,0)</f>
        <v>0</v>
      </c>
      <c r="M2025" s="16" t="str">
        <f>IF($A2025&lt;Notes!$B$5,"",IF(COUNTIFS(Release_Calendar!$A$2:$A$755,"NZ_CPI",Release_Calendar!$B$2:$B$755,$A2025)&gt;0,1,0))</f>
        <v/>
      </c>
      <c r="N2025" s="16" t="str">
        <f>IF($A2025&lt;Notes!$B$5,"",IF(COUNTIFS(Release_Calendar!$A$2:$A$755,"NZ_GDP",Release_Calendar!$B$2:$B$755,$A2025)&gt;0,1,0))</f>
        <v/>
      </c>
      <c r="O2025" s="16" t="str">
        <f>IF($A2025&lt;Notes!$B$5,"",IF(COUNTIFS(Release_Calendar!$A$2:$A$755,"NZ_LABOUR",Release_Calendar!$B$2:$B$755,$A2025)&gt;0,1,0))</f>
        <v/>
      </c>
      <c r="P2025" s="16">
        <f t="shared" si="4"/>
        <v>0</v>
      </c>
    </row>
    <row r="2026" ht="15.75" customHeight="1">
      <c r="A2026" s="14">
        <v>39360.0</v>
      </c>
      <c r="B2026" s="15">
        <v>4.08</v>
      </c>
      <c r="C2026" s="15"/>
      <c r="D2026" s="15">
        <v>6.98</v>
      </c>
      <c r="E2026" s="15"/>
      <c r="F2026" s="15" t="str">
        <f t="shared" si="1"/>
        <v/>
      </c>
      <c r="G2026" s="15">
        <f t="shared" si="2"/>
        <v>6.98</v>
      </c>
      <c r="H2026" s="16">
        <v>1.0</v>
      </c>
      <c r="I2026" s="15">
        <f t="shared" si="3"/>
        <v>2.9</v>
      </c>
      <c r="J2026" s="15">
        <v>16.91</v>
      </c>
      <c r="K2026" s="16">
        <f>IF(COUNTIFS(Release_Calendar!$A$2:$A$755,"US_CPI",Release_Calendar!$B$2:$B$755,$A2026)&gt;0,1,0)</f>
        <v>0</v>
      </c>
      <c r="L2026" s="16">
        <f>IF(COUNTIFS(Release_Calendar!$A$2:$A$755,"US_NFP",Release_Calendar!$B$2:$B$755,$A2026)&gt;0,1,0)</f>
        <v>1</v>
      </c>
      <c r="M2026" s="16" t="str">
        <f>IF($A2026&lt;Notes!$B$5,"",IF(COUNTIFS(Release_Calendar!$A$2:$A$755,"NZ_CPI",Release_Calendar!$B$2:$B$755,$A2026)&gt;0,1,0))</f>
        <v/>
      </c>
      <c r="N2026" s="16" t="str">
        <f>IF($A2026&lt;Notes!$B$5,"",IF(COUNTIFS(Release_Calendar!$A$2:$A$755,"NZ_GDP",Release_Calendar!$B$2:$B$755,$A2026)&gt;0,1,0))</f>
        <v/>
      </c>
      <c r="O2026" s="16" t="str">
        <f>IF($A2026&lt;Notes!$B$5,"",IF(COUNTIFS(Release_Calendar!$A$2:$A$755,"NZ_LABOUR",Release_Calendar!$B$2:$B$755,$A2026)&gt;0,1,0))</f>
        <v/>
      </c>
      <c r="P2026" s="16">
        <f t="shared" si="4"/>
        <v>1</v>
      </c>
    </row>
    <row r="2027" ht="15.75" customHeight="1">
      <c r="A2027" s="14">
        <v>39363.0</v>
      </c>
      <c r="B2027" s="15"/>
      <c r="C2027" s="15"/>
      <c r="D2027" s="15">
        <v>6.98</v>
      </c>
      <c r="E2027" s="15"/>
      <c r="F2027" s="15" t="str">
        <f t="shared" si="1"/>
        <v/>
      </c>
      <c r="G2027" s="15">
        <f t="shared" si="2"/>
        <v>6.98</v>
      </c>
      <c r="H2027" s="16">
        <v>1.0</v>
      </c>
      <c r="I2027" s="15" t="str">
        <f t="shared" si="3"/>
        <v/>
      </c>
      <c r="J2027" s="15">
        <v>17.46</v>
      </c>
      <c r="K2027" s="16">
        <f>IF(COUNTIFS(Release_Calendar!$A$2:$A$755,"US_CPI",Release_Calendar!$B$2:$B$755,$A2027)&gt;0,1,0)</f>
        <v>0</v>
      </c>
      <c r="L2027" s="16">
        <f>IF(COUNTIFS(Release_Calendar!$A$2:$A$755,"US_NFP",Release_Calendar!$B$2:$B$755,$A2027)&gt;0,1,0)</f>
        <v>0</v>
      </c>
      <c r="M2027" s="16" t="str">
        <f>IF($A2027&lt;Notes!$B$5,"",IF(COUNTIFS(Release_Calendar!$A$2:$A$755,"NZ_CPI",Release_Calendar!$B$2:$B$755,$A2027)&gt;0,1,0))</f>
        <v/>
      </c>
      <c r="N2027" s="16" t="str">
        <f>IF($A2027&lt;Notes!$B$5,"",IF(COUNTIFS(Release_Calendar!$A$2:$A$755,"NZ_GDP",Release_Calendar!$B$2:$B$755,$A2027)&gt;0,1,0))</f>
        <v/>
      </c>
      <c r="O2027" s="16" t="str">
        <f>IF($A2027&lt;Notes!$B$5,"",IF(COUNTIFS(Release_Calendar!$A$2:$A$755,"NZ_LABOUR",Release_Calendar!$B$2:$B$755,$A2027)&gt;0,1,0))</f>
        <v/>
      </c>
      <c r="P2027" s="16">
        <f t="shared" si="4"/>
        <v>0</v>
      </c>
    </row>
    <row r="2028" ht="15.75" customHeight="1">
      <c r="A2028" s="14">
        <v>39364.0</v>
      </c>
      <c r="B2028" s="15">
        <v>4.15</v>
      </c>
      <c r="C2028" s="15"/>
      <c r="D2028" s="15">
        <v>7.02</v>
      </c>
      <c r="E2028" s="15"/>
      <c r="F2028" s="15" t="str">
        <f t="shared" si="1"/>
        <v/>
      </c>
      <c r="G2028" s="15">
        <f t="shared" si="2"/>
        <v>7.02</v>
      </c>
      <c r="H2028" s="16">
        <v>1.0</v>
      </c>
      <c r="I2028" s="15">
        <f t="shared" si="3"/>
        <v>2.87</v>
      </c>
      <c r="J2028" s="15">
        <v>16.12</v>
      </c>
      <c r="K2028" s="16">
        <f>IF(COUNTIFS(Release_Calendar!$A$2:$A$755,"US_CPI",Release_Calendar!$B$2:$B$755,$A2028)&gt;0,1,0)</f>
        <v>0</v>
      </c>
      <c r="L2028" s="16">
        <f>IF(COUNTIFS(Release_Calendar!$A$2:$A$755,"US_NFP",Release_Calendar!$B$2:$B$755,$A2028)&gt;0,1,0)</f>
        <v>0</v>
      </c>
      <c r="M2028" s="16" t="str">
        <f>IF($A2028&lt;Notes!$B$5,"",IF(COUNTIFS(Release_Calendar!$A$2:$A$755,"NZ_CPI",Release_Calendar!$B$2:$B$755,$A2028)&gt;0,1,0))</f>
        <v/>
      </c>
      <c r="N2028" s="16" t="str">
        <f>IF($A2028&lt;Notes!$B$5,"",IF(COUNTIFS(Release_Calendar!$A$2:$A$755,"NZ_GDP",Release_Calendar!$B$2:$B$755,$A2028)&gt;0,1,0))</f>
        <v/>
      </c>
      <c r="O2028" s="16" t="str">
        <f>IF($A2028&lt;Notes!$B$5,"",IF(COUNTIFS(Release_Calendar!$A$2:$A$755,"NZ_LABOUR",Release_Calendar!$B$2:$B$755,$A2028)&gt;0,1,0))</f>
        <v/>
      </c>
      <c r="P2028" s="16">
        <f t="shared" si="4"/>
        <v>0</v>
      </c>
    </row>
    <row r="2029" ht="15.75" customHeight="1">
      <c r="A2029" s="14">
        <v>39365.0</v>
      </c>
      <c r="B2029" s="15">
        <v>4.15</v>
      </c>
      <c r="C2029" s="15"/>
      <c r="D2029" s="15">
        <v>7.0</v>
      </c>
      <c r="E2029" s="15"/>
      <c r="F2029" s="15" t="str">
        <f t="shared" si="1"/>
        <v/>
      </c>
      <c r="G2029" s="15">
        <f t="shared" si="2"/>
        <v>7</v>
      </c>
      <c r="H2029" s="16">
        <v>1.0</v>
      </c>
      <c r="I2029" s="15">
        <f t="shared" si="3"/>
        <v>2.85</v>
      </c>
      <c r="J2029" s="15">
        <v>16.67</v>
      </c>
      <c r="K2029" s="16">
        <f>IF(COUNTIFS(Release_Calendar!$A$2:$A$755,"US_CPI",Release_Calendar!$B$2:$B$755,$A2029)&gt;0,1,0)</f>
        <v>0</v>
      </c>
      <c r="L2029" s="16">
        <f>IF(COUNTIFS(Release_Calendar!$A$2:$A$755,"US_NFP",Release_Calendar!$B$2:$B$755,$A2029)&gt;0,1,0)</f>
        <v>0</v>
      </c>
      <c r="M2029" s="16" t="str">
        <f>IF($A2029&lt;Notes!$B$5,"",IF(COUNTIFS(Release_Calendar!$A$2:$A$755,"NZ_CPI",Release_Calendar!$B$2:$B$755,$A2029)&gt;0,1,0))</f>
        <v/>
      </c>
      <c r="N2029" s="16" t="str">
        <f>IF($A2029&lt;Notes!$B$5,"",IF(COUNTIFS(Release_Calendar!$A$2:$A$755,"NZ_GDP",Release_Calendar!$B$2:$B$755,$A2029)&gt;0,1,0))</f>
        <v/>
      </c>
      <c r="O2029" s="16" t="str">
        <f>IF($A2029&lt;Notes!$B$5,"",IF(COUNTIFS(Release_Calendar!$A$2:$A$755,"NZ_LABOUR",Release_Calendar!$B$2:$B$755,$A2029)&gt;0,1,0))</f>
        <v/>
      </c>
      <c r="P2029" s="16">
        <f t="shared" si="4"/>
        <v>0</v>
      </c>
    </row>
    <row r="2030" ht="15.75" customHeight="1">
      <c r="A2030" s="14">
        <v>39366.0</v>
      </c>
      <c r="B2030" s="15">
        <v>4.13</v>
      </c>
      <c r="C2030" s="15"/>
      <c r="D2030" s="15">
        <v>7.0</v>
      </c>
      <c r="E2030" s="15"/>
      <c r="F2030" s="15" t="str">
        <f t="shared" si="1"/>
        <v/>
      </c>
      <c r="G2030" s="15">
        <f t="shared" si="2"/>
        <v>7</v>
      </c>
      <c r="H2030" s="16">
        <v>1.0</v>
      </c>
      <c r="I2030" s="15">
        <f t="shared" si="3"/>
        <v>2.87</v>
      </c>
      <c r="J2030" s="15">
        <v>18.88</v>
      </c>
      <c r="K2030" s="16">
        <f>IF(COUNTIFS(Release_Calendar!$A$2:$A$755,"US_CPI",Release_Calendar!$B$2:$B$755,$A2030)&gt;0,1,0)</f>
        <v>0</v>
      </c>
      <c r="L2030" s="16">
        <f>IF(COUNTIFS(Release_Calendar!$A$2:$A$755,"US_NFP",Release_Calendar!$B$2:$B$755,$A2030)&gt;0,1,0)</f>
        <v>0</v>
      </c>
      <c r="M2030" s="16" t="str">
        <f>IF($A2030&lt;Notes!$B$5,"",IF(COUNTIFS(Release_Calendar!$A$2:$A$755,"NZ_CPI",Release_Calendar!$B$2:$B$755,$A2030)&gt;0,1,0))</f>
        <v/>
      </c>
      <c r="N2030" s="16" t="str">
        <f>IF($A2030&lt;Notes!$B$5,"",IF(COUNTIFS(Release_Calendar!$A$2:$A$755,"NZ_GDP",Release_Calendar!$B$2:$B$755,$A2030)&gt;0,1,0))</f>
        <v/>
      </c>
      <c r="O2030" s="16" t="str">
        <f>IF($A2030&lt;Notes!$B$5,"",IF(COUNTIFS(Release_Calendar!$A$2:$A$755,"NZ_LABOUR",Release_Calendar!$B$2:$B$755,$A2030)&gt;0,1,0))</f>
        <v/>
      </c>
      <c r="P2030" s="16">
        <f t="shared" si="4"/>
        <v>0</v>
      </c>
    </row>
    <row r="2031" ht="15.75" customHeight="1">
      <c r="A2031" s="14">
        <v>39367.0</v>
      </c>
      <c r="B2031" s="15">
        <v>4.23</v>
      </c>
      <c r="C2031" s="15"/>
      <c r="D2031" s="15">
        <v>7.01</v>
      </c>
      <c r="E2031" s="15"/>
      <c r="F2031" s="15" t="str">
        <f t="shared" si="1"/>
        <v/>
      </c>
      <c r="G2031" s="15">
        <f t="shared" si="2"/>
        <v>7.01</v>
      </c>
      <c r="H2031" s="16">
        <v>1.0</v>
      </c>
      <c r="I2031" s="15">
        <f t="shared" si="3"/>
        <v>2.78</v>
      </c>
      <c r="J2031" s="15">
        <v>17.73</v>
      </c>
      <c r="K2031" s="16">
        <f>IF(COUNTIFS(Release_Calendar!$A$2:$A$755,"US_CPI",Release_Calendar!$B$2:$B$755,$A2031)&gt;0,1,0)</f>
        <v>0</v>
      </c>
      <c r="L2031" s="16">
        <f>IF(COUNTIFS(Release_Calendar!$A$2:$A$755,"US_NFP",Release_Calendar!$B$2:$B$755,$A2031)&gt;0,1,0)</f>
        <v>0</v>
      </c>
      <c r="M2031" s="16" t="str">
        <f>IF($A2031&lt;Notes!$B$5,"",IF(COUNTIFS(Release_Calendar!$A$2:$A$755,"NZ_CPI",Release_Calendar!$B$2:$B$755,$A2031)&gt;0,1,0))</f>
        <v/>
      </c>
      <c r="N2031" s="16" t="str">
        <f>IF($A2031&lt;Notes!$B$5,"",IF(COUNTIFS(Release_Calendar!$A$2:$A$755,"NZ_GDP",Release_Calendar!$B$2:$B$755,$A2031)&gt;0,1,0))</f>
        <v/>
      </c>
      <c r="O2031" s="16" t="str">
        <f>IF($A2031&lt;Notes!$B$5,"",IF(COUNTIFS(Release_Calendar!$A$2:$A$755,"NZ_LABOUR",Release_Calendar!$B$2:$B$755,$A2031)&gt;0,1,0))</f>
        <v/>
      </c>
      <c r="P2031" s="16">
        <f t="shared" si="4"/>
        <v>0</v>
      </c>
    </row>
    <row r="2032" ht="15.75" customHeight="1">
      <c r="A2032" s="14">
        <v>39370.0</v>
      </c>
      <c r="B2032" s="15">
        <v>4.22</v>
      </c>
      <c r="C2032" s="15"/>
      <c r="D2032" s="15">
        <v>7.06</v>
      </c>
      <c r="E2032" s="15"/>
      <c r="F2032" s="15" t="str">
        <f t="shared" si="1"/>
        <v/>
      </c>
      <c r="G2032" s="15">
        <f t="shared" si="2"/>
        <v>7.06</v>
      </c>
      <c r="H2032" s="16">
        <v>1.0</v>
      </c>
      <c r="I2032" s="15">
        <f t="shared" si="3"/>
        <v>2.84</v>
      </c>
      <c r="J2032" s="15">
        <v>19.25</v>
      </c>
      <c r="K2032" s="16">
        <f>IF(COUNTIFS(Release_Calendar!$A$2:$A$755,"US_CPI",Release_Calendar!$B$2:$B$755,$A2032)&gt;0,1,0)</f>
        <v>0</v>
      </c>
      <c r="L2032" s="16">
        <f>IF(COUNTIFS(Release_Calendar!$A$2:$A$755,"US_NFP",Release_Calendar!$B$2:$B$755,$A2032)&gt;0,1,0)</f>
        <v>0</v>
      </c>
      <c r="M2032" s="16" t="str">
        <f>IF($A2032&lt;Notes!$B$5,"",IF(COUNTIFS(Release_Calendar!$A$2:$A$755,"NZ_CPI",Release_Calendar!$B$2:$B$755,$A2032)&gt;0,1,0))</f>
        <v/>
      </c>
      <c r="N2032" s="16" t="str">
        <f>IF($A2032&lt;Notes!$B$5,"",IF(COUNTIFS(Release_Calendar!$A$2:$A$755,"NZ_GDP",Release_Calendar!$B$2:$B$755,$A2032)&gt;0,1,0))</f>
        <v/>
      </c>
      <c r="O2032" s="16" t="str">
        <f>IF($A2032&lt;Notes!$B$5,"",IF(COUNTIFS(Release_Calendar!$A$2:$A$755,"NZ_LABOUR",Release_Calendar!$B$2:$B$755,$A2032)&gt;0,1,0))</f>
        <v/>
      </c>
      <c r="P2032" s="16">
        <f t="shared" si="4"/>
        <v>0</v>
      </c>
    </row>
    <row r="2033" ht="15.75" customHeight="1">
      <c r="A2033" s="14">
        <v>39371.0</v>
      </c>
      <c r="B2033" s="15">
        <v>4.12</v>
      </c>
      <c r="C2033" s="15"/>
      <c r="D2033" s="15">
        <v>7.06</v>
      </c>
      <c r="E2033" s="15"/>
      <c r="F2033" s="15" t="str">
        <f t="shared" si="1"/>
        <v/>
      </c>
      <c r="G2033" s="15">
        <f t="shared" si="2"/>
        <v>7.06</v>
      </c>
      <c r="H2033" s="16">
        <v>1.0</v>
      </c>
      <c r="I2033" s="15">
        <f t="shared" si="3"/>
        <v>2.94</v>
      </c>
      <c r="J2033" s="15">
        <v>20.02</v>
      </c>
      <c r="K2033" s="16">
        <f>IF(COUNTIFS(Release_Calendar!$A$2:$A$755,"US_CPI",Release_Calendar!$B$2:$B$755,$A2033)&gt;0,1,0)</f>
        <v>0</v>
      </c>
      <c r="L2033" s="16">
        <f>IF(COUNTIFS(Release_Calendar!$A$2:$A$755,"US_NFP",Release_Calendar!$B$2:$B$755,$A2033)&gt;0,1,0)</f>
        <v>0</v>
      </c>
      <c r="M2033" s="16" t="str">
        <f>IF($A2033&lt;Notes!$B$5,"",IF(COUNTIFS(Release_Calendar!$A$2:$A$755,"NZ_CPI",Release_Calendar!$B$2:$B$755,$A2033)&gt;0,1,0))</f>
        <v/>
      </c>
      <c r="N2033" s="16" t="str">
        <f>IF($A2033&lt;Notes!$B$5,"",IF(COUNTIFS(Release_Calendar!$A$2:$A$755,"NZ_GDP",Release_Calendar!$B$2:$B$755,$A2033)&gt;0,1,0))</f>
        <v/>
      </c>
      <c r="O2033" s="16" t="str">
        <f>IF($A2033&lt;Notes!$B$5,"",IF(COUNTIFS(Release_Calendar!$A$2:$A$755,"NZ_LABOUR",Release_Calendar!$B$2:$B$755,$A2033)&gt;0,1,0))</f>
        <v/>
      </c>
      <c r="P2033" s="16">
        <f t="shared" si="4"/>
        <v>0</v>
      </c>
    </row>
    <row r="2034" ht="15.75" customHeight="1">
      <c r="A2034" s="14">
        <v>39372.0</v>
      </c>
      <c r="B2034" s="15">
        <v>4.0</v>
      </c>
      <c r="C2034" s="15"/>
      <c r="D2034" s="15">
        <v>7.13</v>
      </c>
      <c r="E2034" s="15"/>
      <c r="F2034" s="15" t="str">
        <f t="shared" si="1"/>
        <v/>
      </c>
      <c r="G2034" s="15">
        <f t="shared" si="2"/>
        <v>7.13</v>
      </c>
      <c r="H2034" s="16">
        <v>1.0</v>
      </c>
      <c r="I2034" s="15">
        <f t="shared" si="3"/>
        <v>3.13</v>
      </c>
      <c r="J2034" s="15">
        <v>18.54</v>
      </c>
      <c r="K2034" s="16">
        <f>IF(COUNTIFS(Release_Calendar!$A$2:$A$755,"US_CPI",Release_Calendar!$B$2:$B$755,$A2034)&gt;0,1,0)</f>
        <v>1</v>
      </c>
      <c r="L2034" s="16">
        <f>IF(COUNTIFS(Release_Calendar!$A$2:$A$755,"US_NFP",Release_Calendar!$B$2:$B$755,$A2034)&gt;0,1,0)</f>
        <v>0</v>
      </c>
      <c r="M2034" s="16" t="str">
        <f>IF($A2034&lt;Notes!$B$5,"",IF(COUNTIFS(Release_Calendar!$A$2:$A$755,"NZ_CPI",Release_Calendar!$B$2:$B$755,$A2034)&gt;0,1,0))</f>
        <v/>
      </c>
      <c r="N2034" s="16" t="str">
        <f>IF($A2034&lt;Notes!$B$5,"",IF(COUNTIFS(Release_Calendar!$A$2:$A$755,"NZ_GDP",Release_Calendar!$B$2:$B$755,$A2034)&gt;0,1,0))</f>
        <v/>
      </c>
      <c r="O2034" s="16" t="str">
        <f>IF($A2034&lt;Notes!$B$5,"",IF(COUNTIFS(Release_Calendar!$A$2:$A$755,"NZ_LABOUR",Release_Calendar!$B$2:$B$755,$A2034)&gt;0,1,0))</f>
        <v/>
      </c>
      <c r="P2034" s="16">
        <f t="shared" si="4"/>
        <v>1</v>
      </c>
    </row>
    <row r="2035" ht="15.75" customHeight="1">
      <c r="A2035" s="14">
        <v>39373.0</v>
      </c>
      <c r="B2035" s="15">
        <v>3.93</v>
      </c>
      <c r="C2035" s="15"/>
      <c r="D2035" s="15">
        <v>7.11</v>
      </c>
      <c r="E2035" s="15"/>
      <c r="F2035" s="15" t="str">
        <f t="shared" si="1"/>
        <v/>
      </c>
      <c r="G2035" s="15">
        <f t="shared" si="2"/>
        <v>7.11</v>
      </c>
      <c r="H2035" s="16">
        <v>1.0</v>
      </c>
      <c r="I2035" s="15">
        <f t="shared" si="3"/>
        <v>3.18</v>
      </c>
      <c r="J2035" s="15">
        <v>18.5</v>
      </c>
      <c r="K2035" s="16">
        <f>IF(COUNTIFS(Release_Calendar!$A$2:$A$755,"US_CPI",Release_Calendar!$B$2:$B$755,$A2035)&gt;0,1,0)</f>
        <v>0</v>
      </c>
      <c r="L2035" s="16">
        <f>IF(COUNTIFS(Release_Calendar!$A$2:$A$755,"US_NFP",Release_Calendar!$B$2:$B$755,$A2035)&gt;0,1,0)</f>
        <v>0</v>
      </c>
      <c r="M2035" s="16" t="str">
        <f>IF($A2035&lt;Notes!$B$5,"",IF(COUNTIFS(Release_Calendar!$A$2:$A$755,"NZ_CPI",Release_Calendar!$B$2:$B$755,$A2035)&gt;0,1,0))</f>
        <v/>
      </c>
      <c r="N2035" s="16" t="str">
        <f>IF($A2035&lt;Notes!$B$5,"",IF(COUNTIFS(Release_Calendar!$A$2:$A$755,"NZ_GDP",Release_Calendar!$B$2:$B$755,$A2035)&gt;0,1,0))</f>
        <v/>
      </c>
      <c r="O2035" s="16" t="str">
        <f>IF($A2035&lt;Notes!$B$5,"",IF(COUNTIFS(Release_Calendar!$A$2:$A$755,"NZ_LABOUR",Release_Calendar!$B$2:$B$755,$A2035)&gt;0,1,0))</f>
        <v/>
      </c>
      <c r="P2035" s="16">
        <f t="shared" si="4"/>
        <v>0</v>
      </c>
    </row>
    <row r="2036" ht="15.75" customHeight="1">
      <c r="A2036" s="14">
        <v>39374.0</v>
      </c>
      <c r="B2036" s="15">
        <v>3.8</v>
      </c>
      <c r="C2036" s="15"/>
      <c r="D2036" s="15">
        <v>7.03</v>
      </c>
      <c r="E2036" s="15"/>
      <c r="F2036" s="15" t="str">
        <f t="shared" si="1"/>
        <v/>
      </c>
      <c r="G2036" s="15">
        <f t="shared" si="2"/>
        <v>7.03</v>
      </c>
      <c r="H2036" s="16">
        <v>1.0</v>
      </c>
      <c r="I2036" s="15">
        <f t="shared" si="3"/>
        <v>3.23</v>
      </c>
      <c r="J2036" s="15">
        <v>22.96</v>
      </c>
      <c r="K2036" s="16">
        <f>IF(COUNTIFS(Release_Calendar!$A$2:$A$755,"US_CPI",Release_Calendar!$B$2:$B$755,$A2036)&gt;0,1,0)</f>
        <v>0</v>
      </c>
      <c r="L2036" s="16">
        <f>IF(COUNTIFS(Release_Calendar!$A$2:$A$755,"US_NFP",Release_Calendar!$B$2:$B$755,$A2036)&gt;0,1,0)</f>
        <v>0</v>
      </c>
      <c r="M2036" s="16" t="str">
        <f>IF($A2036&lt;Notes!$B$5,"",IF(COUNTIFS(Release_Calendar!$A$2:$A$755,"NZ_CPI",Release_Calendar!$B$2:$B$755,$A2036)&gt;0,1,0))</f>
        <v/>
      </c>
      <c r="N2036" s="16" t="str">
        <f>IF($A2036&lt;Notes!$B$5,"",IF(COUNTIFS(Release_Calendar!$A$2:$A$755,"NZ_GDP",Release_Calendar!$B$2:$B$755,$A2036)&gt;0,1,0))</f>
        <v/>
      </c>
      <c r="O2036" s="16" t="str">
        <f>IF($A2036&lt;Notes!$B$5,"",IF(COUNTIFS(Release_Calendar!$A$2:$A$755,"NZ_LABOUR",Release_Calendar!$B$2:$B$755,$A2036)&gt;0,1,0))</f>
        <v/>
      </c>
      <c r="P2036" s="16">
        <f t="shared" si="4"/>
        <v>0</v>
      </c>
    </row>
    <row r="2037" ht="15.75" customHeight="1">
      <c r="A2037" s="14">
        <v>39377.0</v>
      </c>
      <c r="B2037" s="15">
        <v>3.85</v>
      </c>
      <c r="C2037" s="15"/>
      <c r="D2037" s="15"/>
      <c r="E2037" s="15"/>
      <c r="F2037" s="15" t="str">
        <f t="shared" si="1"/>
        <v/>
      </c>
      <c r="G2037" s="15" t="str">
        <f t="shared" si="2"/>
        <v/>
      </c>
      <c r="H2037" s="16">
        <v>1.0</v>
      </c>
      <c r="I2037" s="15" t="str">
        <f t="shared" si="3"/>
        <v/>
      </c>
      <c r="J2037" s="15">
        <v>21.64</v>
      </c>
      <c r="K2037" s="16">
        <f>IF(COUNTIFS(Release_Calendar!$A$2:$A$755,"US_CPI",Release_Calendar!$B$2:$B$755,$A2037)&gt;0,1,0)</f>
        <v>0</v>
      </c>
      <c r="L2037" s="16">
        <f>IF(COUNTIFS(Release_Calendar!$A$2:$A$755,"US_NFP",Release_Calendar!$B$2:$B$755,$A2037)&gt;0,1,0)</f>
        <v>0</v>
      </c>
      <c r="M2037" s="16" t="str">
        <f>IF($A2037&lt;Notes!$B$5,"",IF(COUNTIFS(Release_Calendar!$A$2:$A$755,"NZ_CPI",Release_Calendar!$B$2:$B$755,$A2037)&gt;0,1,0))</f>
        <v/>
      </c>
      <c r="N2037" s="16" t="str">
        <f>IF($A2037&lt;Notes!$B$5,"",IF(COUNTIFS(Release_Calendar!$A$2:$A$755,"NZ_GDP",Release_Calendar!$B$2:$B$755,$A2037)&gt;0,1,0))</f>
        <v/>
      </c>
      <c r="O2037" s="16" t="str">
        <f>IF($A2037&lt;Notes!$B$5,"",IF(COUNTIFS(Release_Calendar!$A$2:$A$755,"NZ_LABOUR",Release_Calendar!$B$2:$B$755,$A2037)&gt;0,1,0))</f>
        <v/>
      </c>
      <c r="P2037" s="16">
        <f t="shared" si="4"/>
        <v>0</v>
      </c>
    </row>
    <row r="2038" ht="15.75" customHeight="1">
      <c r="A2038" s="14">
        <v>39378.0</v>
      </c>
      <c r="B2038" s="15">
        <v>3.81</v>
      </c>
      <c r="C2038" s="15"/>
      <c r="D2038" s="15">
        <v>7.0</v>
      </c>
      <c r="E2038" s="15"/>
      <c r="F2038" s="15" t="str">
        <f t="shared" si="1"/>
        <v/>
      </c>
      <c r="G2038" s="15">
        <f t="shared" si="2"/>
        <v>7</v>
      </c>
      <c r="H2038" s="16">
        <v>1.0</v>
      </c>
      <c r="I2038" s="15">
        <f t="shared" si="3"/>
        <v>3.19</v>
      </c>
      <c r="J2038" s="15">
        <v>20.41</v>
      </c>
      <c r="K2038" s="16">
        <f>IF(COUNTIFS(Release_Calendar!$A$2:$A$755,"US_CPI",Release_Calendar!$B$2:$B$755,$A2038)&gt;0,1,0)</f>
        <v>0</v>
      </c>
      <c r="L2038" s="16">
        <f>IF(COUNTIFS(Release_Calendar!$A$2:$A$755,"US_NFP",Release_Calendar!$B$2:$B$755,$A2038)&gt;0,1,0)</f>
        <v>0</v>
      </c>
      <c r="M2038" s="16" t="str">
        <f>IF($A2038&lt;Notes!$B$5,"",IF(COUNTIFS(Release_Calendar!$A$2:$A$755,"NZ_CPI",Release_Calendar!$B$2:$B$755,$A2038)&gt;0,1,0))</f>
        <v/>
      </c>
      <c r="N2038" s="16" t="str">
        <f>IF($A2038&lt;Notes!$B$5,"",IF(COUNTIFS(Release_Calendar!$A$2:$A$755,"NZ_GDP",Release_Calendar!$B$2:$B$755,$A2038)&gt;0,1,0))</f>
        <v/>
      </c>
      <c r="O2038" s="16" t="str">
        <f>IF($A2038&lt;Notes!$B$5,"",IF(COUNTIFS(Release_Calendar!$A$2:$A$755,"NZ_LABOUR",Release_Calendar!$B$2:$B$755,$A2038)&gt;0,1,0))</f>
        <v/>
      </c>
      <c r="P2038" s="16">
        <f t="shared" si="4"/>
        <v>0</v>
      </c>
    </row>
    <row r="2039" ht="15.75" customHeight="1">
      <c r="A2039" s="14">
        <v>39379.0</v>
      </c>
      <c r="B2039" s="15">
        <v>3.74</v>
      </c>
      <c r="C2039" s="15"/>
      <c r="D2039" s="15">
        <v>6.99</v>
      </c>
      <c r="E2039" s="15"/>
      <c r="F2039" s="15" t="str">
        <f t="shared" si="1"/>
        <v/>
      </c>
      <c r="G2039" s="15">
        <f t="shared" si="2"/>
        <v>6.99</v>
      </c>
      <c r="H2039" s="16">
        <v>1.0</v>
      </c>
      <c r="I2039" s="15">
        <f t="shared" si="3"/>
        <v>3.25</v>
      </c>
      <c r="J2039" s="15">
        <v>20.8</v>
      </c>
      <c r="K2039" s="16">
        <f>IF(COUNTIFS(Release_Calendar!$A$2:$A$755,"US_CPI",Release_Calendar!$B$2:$B$755,$A2039)&gt;0,1,0)</f>
        <v>0</v>
      </c>
      <c r="L2039" s="16">
        <f>IF(COUNTIFS(Release_Calendar!$A$2:$A$755,"US_NFP",Release_Calendar!$B$2:$B$755,$A2039)&gt;0,1,0)</f>
        <v>0</v>
      </c>
      <c r="M2039" s="16" t="str">
        <f>IF($A2039&lt;Notes!$B$5,"",IF(COUNTIFS(Release_Calendar!$A$2:$A$755,"NZ_CPI",Release_Calendar!$B$2:$B$755,$A2039)&gt;0,1,0))</f>
        <v/>
      </c>
      <c r="N2039" s="16" t="str">
        <f>IF($A2039&lt;Notes!$B$5,"",IF(COUNTIFS(Release_Calendar!$A$2:$A$755,"NZ_GDP",Release_Calendar!$B$2:$B$755,$A2039)&gt;0,1,0))</f>
        <v/>
      </c>
      <c r="O2039" s="16" t="str">
        <f>IF($A2039&lt;Notes!$B$5,"",IF(COUNTIFS(Release_Calendar!$A$2:$A$755,"NZ_LABOUR",Release_Calendar!$B$2:$B$755,$A2039)&gt;0,1,0))</f>
        <v/>
      </c>
      <c r="P2039" s="16">
        <f t="shared" si="4"/>
        <v>0</v>
      </c>
    </row>
    <row r="2040" ht="15.75" customHeight="1">
      <c r="A2040" s="14">
        <v>39380.0</v>
      </c>
      <c r="B2040" s="15">
        <v>3.74</v>
      </c>
      <c r="C2040" s="15"/>
      <c r="D2040" s="15">
        <v>7.02</v>
      </c>
      <c r="E2040" s="15"/>
      <c r="F2040" s="15" t="str">
        <f t="shared" si="1"/>
        <v/>
      </c>
      <c r="G2040" s="15">
        <f t="shared" si="2"/>
        <v>7.02</v>
      </c>
      <c r="H2040" s="16">
        <v>1.0</v>
      </c>
      <c r="I2040" s="15">
        <f t="shared" si="3"/>
        <v>3.28</v>
      </c>
      <c r="J2040" s="15">
        <v>21.17</v>
      </c>
      <c r="K2040" s="16">
        <f>IF(COUNTIFS(Release_Calendar!$A$2:$A$755,"US_CPI",Release_Calendar!$B$2:$B$755,$A2040)&gt;0,1,0)</f>
        <v>0</v>
      </c>
      <c r="L2040" s="16">
        <f>IF(COUNTIFS(Release_Calendar!$A$2:$A$755,"US_NFP",Release_Calendar!$B$2:$B$755,$A2040)&gt;0,1,0)</f>
        <v>0</v>
      </c>
      <c r="M2040" s="16" t="str">
        <f>IF($A2040&lt;Notes!$B$5,"",IF(COUNTIFS(Release_Calendar!$A$2:$A$755,"NZ_CPI",Release_Calendar!$B$2:$B$755,$A2040)&gt;0,1,0))</f>
        <v/>
      </c>
      <c r="N2040" s="16" t="str">
        <f>IF($A2040&lt;Notes!$B$5,"",IF(COUNTIFS(Release_Calendar!$A$2:$A$755,"NZ_GDP",Release_Calendar!$B$2:$B$755,$A2040)&gt;0,1,0))</f>
        <v/>
      </c>
      <c r="O2040" s="16" t="str">
        <f>IF($A2040&lt;Notes!$B$5,"",IF(COUNTIFS(Release_Calendar!$A$2:$A$755,"NZ_LABOUR",Release_Calendar!$B$2:$B$755,$A2040)&gt;0,1,0))</f>
        <v/>
      </c>
      <c r="P2040" s="16">
        <f t="shared" si="4"/>
        <v>0</v>
      </c>
    </row>
    <row r="2041" ht="15.75" customHeight="1">
      <c r="A2041" s="14">
        <v>39381.0</v>
      </c>
      <c r="B2041" s="15">
        <v>3.77</v>
      </c>
      <c r="C2041" s="15"/>
      <c r="D2041" s="15">
        <v>7.02</v>
      </c>
      <c r="E2041" s="15"/>
      <c r="F2041" s="15" t="str">
        <f t="shared" si="1"/>
        <v/>
      </c>
      <c r="G2041" s="15">
        <f t="shared" si="2"/>
        <v>7.02</v>
      </c>
      <c r="H2041" s="16">
        <v>1.0</v>
      </c>
      <c r="I2041" s="15">
        <f t="shared" si="3"/>
        <v>3.25</v>
      </c>
      <c r="J2041" s="15">
        <v>19.56</v>
      </c>
      <c r="K2041" s="16">
        <f>IF(COUNTIFS(Release_Calendar!$A$2:$A$755,"US_CPI",Release_Calendar!$B$2:$B$755,$A2041)&gt;0,1,0)</f>
        <v>0</v>
      </c>
      <c r="L2041" s="16">
        <f>IF(COUNTIFS(Release_Calendar!$A$2:$A$755,"US_NFP",Release_Calendar!$B$2:$B$755,$A2041)&gt;0,1,0)</f>
        <v>0</v>
      </c>
      <c r="M2041" s="16" t="str">
        <f>IF($A2041&lt;Notes!$B$5,"",IF(COUNTIFS(Release_Calendar!$A$2:$A$755,"NZ_CPI",Release_Calendar!$B$2:$B$755,$A2041)&gt;0,1,0))</f>
        <v/>
      </c>
      <c r="N2041" s="16" t="str">
        <f>IF($A2041&lt;Notes!$B$5,"",IF(COUNTIFS(Release_Calendar!$A$2:$A$755,"NZ_GDP",Release_Calendar!$B$2:$B$755,$A2041)&gt;0,1,0))</f>
        <v/>
      </c>
      <c r="O2041" s="16" t="str">
        <f>IF($A2041&lt;Notes!$B$5,"",IF(COUNTIFS(Release_Calendar!$A$2:$A$755,"NZ_LABOUR",Release_Calendar!$B$2:$B$755,$A2041)&gt;0,1,0))</f>
        <v/>
      </c>
      <c r="P2041" s="16">
        <f t="shared" si="4"/>
        <v>0</v>
      </c>
    </row>
    <row r="2042" ht="15.75" customHeight="1">
      <c r="A2042" s="14">
        <v>39384.0</v>
      </c>
      <c r="B2042" s="15">
        <v>3.79</v>
      </c>
      <c r="C2042" s="15"/>
      <c r="D2042" s="15">
        <v>7.11</v>
      </c>
      <c r="E2042" s="15"/>
      <c r="F2042" s="15" t="str">
        <f t="shared" si="1"/>
        <v/>
      </c>
      <c r="G2042" s="15">
        <f t="shared" si="2"/>
        <v>7.11</v>
      </c>
      <c r="H2042" s="16">
        <v>1.0</v>
      </c>
      <c r="I2042" s="15">
        <f t="shared" si="3"/>
        <v>3.32</v>
      </c>
      <c r="J2042" s="15">
        <v>19.87</v>
      </c>
      <c r="K2042" s="16">
        <f>IF(COUNTIFS(Release_Calendar!$A$2:$A$755,"US_CPI",Release_Calendar!$B$2:$B$755,$A2042)&gt;0,1,0)</f>
        <v>0</v>
      </c>
      <c r="L2042" s="16">
        <f>IF(COUNTIFS(Release_Calendar!$A$2:$A$755,"US_NFP",Release_Calendar!$B$2:$B$755,$A2042)&gt;0,1,0)</f>
        <v>0</v>
      </c>
      <c r="M2042" s="16" t="str">
        <f>IF($A2042&lt;Notes!$B$5,"",IF(COUNTIFS(Release_Calendar!$A$2:$A$755,"NZ_CPI",Release_Calendar!$B$2:$B$755,$A2042)&gt;0,1,0))</f>
        <v/>
      </c>
      <c r="N2042" s="16" t="str">
        <f>IF($A2042&lt;Notes!$B$5,"",IF(COUNTIFS(Release_Calendar!$A$2:$A$755,"NZ_GDP",Release_Calendar!$B$2:$B$755,$A2042)&gt;0,1,0))</f>
        <v/>
      </c>
      <c r="O2042" s="16" t="str">
        <f>IF($A2042&lt;Notes!$B$5,"",IF(COUNTIFS(Release_Calendar!$A$2:$A$755,"NZ_LABOUR",Release_Calendar!$B$2:$B$755,$A2042)&gt;0,1,0))</f>
        <v/>
      </c>
      <c r="P2042" s="16">
        <f t="shared" si="4"/>
        <v>0</v>
      </c>
    </row>
    <row r="2043" ht="15.75" customHeight="1">
      <c r="A2043" s="14">
        <v>39385.0</v>
      </c>
      <c r="B2043" s="15">
        <v>3.82</v>
      </c>
      <c r="C2043" s="15"/>
      <c r="D2043" s="15">
        <v>7.12</v>
      </c>
      <c r="E2043" s="15"/>
      <c r="F2043" s="15" t="str">
        <f t="shared" si="1"/>
        <v/>
      </c>
      <c r="G2043" s="15">
        <f t="shared" si="2"/>
        <v>7.12</v>
      </c>
      <c r="H2043" s="16">
        <v>1.0</v>
      </c>
      <c r="I2043" s="15">
        <f t="shared" si="3"/>
        <v>3.3</v>
      </c>
      <c r="J2043" s="15">
        <v>21.07</v>
      </c>
      <c r="K2043" s="16">
        <f>IF(COUNTIFS(Release_Calendar!$A$2:$A$755,"US_CPI",Release_Calendar!$B$2:$B$755,$A2043)&gt;0,1,0)</f>
        <v>0</v>
      </c>
      <c r="L2043" s="16">
        <f>IF(COUNTIFS(Release_Calendar!$A$2:$A$755,"US_NFP",Release_Calendar!$B$2:$B$755,$A2043)&gt;0,1,0)</f>
        <v>0</v>
      </c>
      <c r="M2043" s="16" t="str">
        <f>IF($A2043&lt;Notes!$B$5,"",IF(COUNTIFS(Release_Calendar!$A$2:$A$755,"NZ_CPI",Release_Calendar!$B$2:$B$755,$A2043)&gt;0,1,0))</f>
        <v/>
      </c>
      <c r="N2043" s="16" t="str">
        <f>IF($A2043&lt;Notes!$B$5,"",IF(COUNTIFS(Release_Calendar!$A$2:$A$755,"NZ_GDP",Release_Calendar!$B$2:$B$755,$A2043)&gt;0,1,0))</f>
        <v/>
      </c>
      <c r="O2043" s="16" t="str">
        <f>IF($A2043&lt;Notes!$B$5,"",IF(COUNTIFS(Release_Calendar!$A$2:$A$755,"NZ_LABOUR",Release_Calendar!$B$2:$B$755,$A2043)&gt;0,1,0))</f>
        <v/>
      </c>
      <c r="P2043" s="16">
        <f t="shared" si="4"/>
        <v>0</v>
      </c>
    </row>
    <row r="2044" ht="15.75" customHeight="1">
      <c r="A2044" s="14">
        <v>39386.0</v>
      </c>
      <c r="B2044" s="15">
        <v>3.94</v>
      </c>
      <c r="C2044" s="15"/>
      <c r="D2044" s="15">
        <v>7.17</v>
      </c>
      <c r="E2044" s="15"/>
      <c r="F2044" s="15" t="str">
        <f t="shared" si="1"/>
        <v/>
      </c>
      <c r="G2044" s="15">
        <f t="shared" si="2"/>
        <v>7.17</v>
      </c>
      <c r="H2044" s="16">
        <v>1.0</v>
      </c>
      <c r="I2044" s="15">
        <f t="shared" si="3"/>
        <v>3.23</v>
      </c>
      <c r="J2044" s="15">
        <v>18.53</v>
      </c>
      <c r="K2044" s="16">
        <f>IF(COUNTIFS(Release_Calendar!$A$2:$A$755,"US_CPI",Release_Calendar!$B$2:$B$755,$A2044)&gt;0,1,0)</f>
        <v>0</v>
      </c>
      <c r="L2044" s="16">
        <f>IF(COUNTIFS(Release_Calendar!$A$2:$A$755,"US_NFP",Release_Calendar!$B$2:$B$755,$A2044)&gt;0,1,0)</f>
        <v>0</v>
      </c>
      <c r="M2044" s="16" t="str">
        <f>IF($A2044&lt;Notes!$B$5,"",IF(COUNTIFS(Release_Calendar!$A$2:$A$755,"NZ_CPI",Release_Calendar!$B$2:$B$755,$A2044)&gt;0,1,0))</f>
        <v/>
      </c>
      <c r="N2044" s="16" t="str">
        <f>IF($A2044&lt;Notes!$B$5,"",IF(COUNTIFS(Release_Calendar!$A$2:$A$755,"NZ_GDP",Release_Calendar!$B$2:$B$755,$A2044)&gt;0,1,0))</f>
        <v/>
      </c>
      <c r="O2044" s="16" t="str">
        <f>IF($A2044&lt;Notes!$B$5,"",IF(COUNTIFS(Release_Calendar!$A$2:$A$755,"NZ_LABOUR",Release_Calendar!$B$2:$B$755,$A2044)&gt;0,1,0))</f>
        <v/>
      </c>
      <c r="P2044" s="16">
        <f t="shared" si="4"/>
        <v>0</v>
      </c>
    </row>
    <row r="2045" ht="15.75" customHeight="1">
      <c r="A2045" s="14">
        <v>39387.0</v>
      </c>
      <c r="B2045" s="15">
        <v>3.77</v>
      </c>
      <c r="C2045" s="15"/>
      <c r="D2045" s="15">
        <v>7.23</v>
      </c>
      <c r="E2045" s="15"/>
      <c r="F2045" s="15" t="str">
        <f t="shared" si="1"/>
        <v/>
      </c>
      <c r="G2045" s="15">
        <f t="shared" si="2"/>
        <v>7.23</v>
      </c>
      <c r="H2045" s="16">
        <v>1.0</v>
      </c>
      <c r="I2045" s="15">
        <f t="shared" si="3"/>
        <v>3.46</v>
      </c>
      <c r="J2045" s="15">
        <v>23.21</v>
      </c>
      <c r="K2045" s="16">
        <f>IF(COUNTIFS(Release_Calendar!$A$2:$A$755,"US_CPI",Release_Calendar!$B$2:$B$755,$A2045)&gt;0,1,0)</f>
        <v>0</v>
      </c>
      <c r="L2045" s="16">
        <f>IF(COUNTIFS(Release_Calendar!$A$2:$A$755,"US_NFP",Release_Calendar!$B$2:$B$755,$A2045)&gt;0,1,0)</f>
        <v>0</v>
      </c>
      <c r="M2045" s="16" t="str">
        <f>IF($A2045&lt;Notes!$B$5,"",IF(COUNTIFS(Release_Calendar!$A$2:$A$755,"NZ_CPI",Release_Calendar!$B$2:$B$755,$A2045)&gt;0,1,0))</f>
        <v/>
      </c>
      <c r="N2045" s="16" t="str">
        <f>IF($A2045&lt;Notes!$B$5,"",IF(COUNTIFS(Release_Calendar!$A$2:$A$755,"NZ_GDP",Release_Calendar!$B$2:$B$755,$A2045)&gt;0,1,0))</f>
        <v/>
      </c>
      <c r="O2045" s="16" t="str">
        <f>IF($A2045&lt;Notes!$B$5,"",IF(COUNTIFS(Release_Calendar!$A$2:$A$755,"NZ_LABOUR",Release_Calendar!$B$2:$B$755,$A2045)&gt;0,1,0))</f>
        <v/>
      </c>
      <c r="P2045" s="16">
        <f t="shared" si="4"/>
        <v>0</v>
      </c>
    </row>
    <row r="2046" ht="15.75" customHeight="1">
      <c r="A2046" s="14">
        <v>39388.0</v>
      </c>
      <c r="B2046" s="15">
        <v>3.66</v>
      </c>
      <c r="C2046" s="15"/>
      <c r="D2046" s="15">
        <v>7.21</v>
      </c>
      <c r="E2046" s="15"/>
      <c r="F2046" s="15" t="str">
        <f t="shared" si="1"/>
        <v/>
      </c>
      <c r="G2046" s="15">
        <f t="shared" si="2"/>
        <v>7.21</v>
      </c>
      <c r="H2046" s="16">
        <v>1.0</v>
      </c>
      <c r="I2046" s="15">
        <f t="shared" si="3"/>
        <v>3.55</v>
      </c>
      <c r="J2046" s="15">
        <v>23.01</v>
      </c>
      <c r="K2046" s="16">
        <f>IF(COUNTIFS(Release_Calendar!$A$2:$A$755,"US_CPI",Release_Calendar!$B$2:$B$755,$A2046)&gt;0,1,0)</f>
        <v>0</v>
      </c>
      <c r="L2046" s="16">
        <f>IF(COUNTIFS(Release_Calendar!$A$2:$A$755,"US_NFP",Release_Calendar!$B$2:$B$755,$A2046)&gt;0,1,0)</f>
        <v>1</v>
      </c>
      <c r="M2046" s="16" t="str">
        <f>IF($A2046&lt;Notes!$B$5,"",IF(COUNTIFS(Release_Calendar!$A$2:$A$755,"NZ_CPI",Release_Calendar!$B$2:$B$755,$A2046)&gt;0,1,0))</f>
        <v/>
      </c>
      <c r="N2046" s="16" t="str">
        <f>IF($A2046&lt;Notes!$B$5,"",IF(COUNTIFS(Release_Calendar!$A$2:$A$755,"NZ_GDP",Release_Calendar!$B$2:$B$755,$A2046)&gt;0,1,0))</f>
        <v/>
      </c>
      <c r="O2046" s="16" t="str">
        <f>IF($A2046&lt;Notes!$B$5,"",IF(COUNTIFS(Release_Calendar!$A$2:$A$755,"NZ_LABOUR",Release_Calendar!$B$2:$B$755,$A2046)&gt;0,1,0))</f>
        <v/>
      </c>
      <c r="P2046" s="16">
        <f t="shared" si="4"/>
        <v>1</v>
      </c>
    </row>
    <row r="2047" ht="15.75" customHeight="1">
      <c r="A2047" s="14">
        <v>39391.0</v>
      </c>
      <c r="B2047" s="15">
        <v>3.69</v>
      </c>
      <c r="C2047" s="15"/>
      <c r="D2047" s="15">
        <v>7.22</v>
      </c>
      <c r="E2047" s="15"/>
      <c r="F2047" s="15" t="str">
        <f t="shared" si="1"/>
        <v/>
      </c>
      <c r="G2047" s="15">
        <f t="shared" si="2"/>
        <v>7.22</v>
      </c>
      <c r="H2047" s="16">
        <v>1.0</v>
      </c>
      <c r="I2047" s="15">
        <f t="shared" si="3"/>
        <v>3.53</v>
      </c>
      <c r="J2047" s="15">
        <v>24.31</v>
      </c>
      <c r="K2047" s="16">
        <f>IF(COUNTIFS(Release_Calendar!$A$2:$A$755,"US_CPI",Release_Calendar!$B$2:$B$755,$A2047)&gt;0,1,0)</f>
        <v>0</v>
      </c>
      <c r="L2047" s="16">
        <f>IF(COUNTIFS(Release_Calendar!$A$2:$A$755,"US_NFP",Release_Calendar!$B$2:$B$755,$A2047)&gt;0,1,0)</f>
        <v>0</v>
      </c>
      <c r="M2047" s="16" t="str">
        <f>IF($A2047&lt;Notes!$B$5,"",IF(COUNTIFS(Release_Calendar!$A$2:$A$755,"NZ_CPI",Release_Calendar!$B$2:$B$755,$A2047)&gt;0,1,0))</f>
        <v/>
      </c>
      <c r="N2047" s="16" t="str">
        <f>IF($A2047&lt;Notes!$B$5,"",IF(COUNTIFS(Release_Calendar!$A$2:$A$755,"NZ_GDP",Release_Calendar!$B$2:$B$755,$A2047)&gt;0,1,0))</f>
        <v/>
      </c>
      <c r="O2047" s="16" t="str">
        <f>IF($A2047&lt;Notes!$B$5,"",IF(COUNTIFS(Release_Calendar!$A$2:$A$755,"NZ_LABOUR",Release_Calendar!$B$2:$B$755,$A2047)&gt;0,1,0))</f>
        <v/>
      </c>
      <c r="P2047" s="16">
        <f t="shared" si="4"/>
        <v>0</v>
      </c>
    </row>
    <row r="2048" ht="15.75" customHeight="1">
      <c r="A2048" s="14">
        <v>39392.0</v>
      </c>
      <c r="B2048" s="15">
        <v>3.7</v>
      </c>
      <c r="C2048" s="15"/>
      <c r="D2048" s="15">
        <v>7.34</v>
      </c>
      <c r="E2048" s="15"/>
      <c r="F2048" s="15" t="str">
        <f t="shared" si="1"/>
        <v/>
      </c>
      <c r="G2048" s="15">
        <f t="shared" si="2"/>
        <v>7.34</v>
      </c>
      <c r="H2048" s="16">
        <v>1.0</v>
      </c>
      <c r="I2048" s="15">
        <f t="shared" si="3"/>
        <v>3.64</v>
      </c>
      <c r="J2048" s="15">
        <v>21.39</v>
      </c>
      <c r="K2048" s="16">
        <f>IF(COUNTIFS(Release_Calendar!$A$2:$A$755,"US_CPI",Release_Calendar!$B$2:$B$755,$A2048)&gt;0,1,0)</f>
        <v>0</v>
      </c>
      <c r="L2048" s="16">
        <f>IF(COUNTIFS(Release_Calendar!$A$2:$A$755,"US_NFP",Release_Calendar!$B$2:$B$755,$A2048)&gt;0,1,0)</f>
        <v>0</v>
      </c>
      <c r="M2048" s="16" t="str">
        <f>IF($A2048&lt;Notes!$B$5,"",IF(COUNTIFS(Release_Calendar!$A$2:$A$755,"NZ_CPI",Release_Calendar!$B$2:$B$755,$A2048)&gt;0,1,0))</f>
        <v/>
      </c>
      <c r="N2048" s="16" t="str">
        <f>IF($A2048&lt;Notes!$B$5,"",IF(COUNTIFS(Release_Calendar!$A$2:$A$755,"NZ_GDP",Release_Calendar!$B$2:$B$755,$A2048)&gt;0,1,0))</f>
        <v/>
      </c>
      <c r="O2048" s="16" t="str">
        <f>IF($A2048&lt;Notes!$B$5,"",IF(COUNTIFS(Release_Calendar!$A$2:$A$755,"NZ_LABOUR",Release_Calendar!$B$2:$B$755,$A2048)&gt;0,1,0))</f>
        <v/>
      </c>
      <c r="P2048" s="16">
        <f t="shared" si="4"/>
        <v>0</v>
      </c>
    </row>
    <row r="2049" ht="15.75" customHeight="1">
      <c r="A2049" s="14">
        <v>39393.0</v>
      </c>
      <c r="B2049" s="15">
        <v>3.61</v>
      </c>
      <c r="C2049" s="15"/>
      <c r="D2049" s="15">
        <v>7.34</v>
      </c>
      <c r="E2049" s="15"/>
      <c r="F2049" s="15" t="str">
        <f t="shared" si="1"/>
        <v/>
      </c>
      <c r="G2049" s="15">
        <f t="shared" si="2"/>
        <v>7.34</v>
      </c>
      <c r="H2049" s="16">
        <v>1.0</v>
      </c>
      <c r="I2049" s="15">
        <f t="shared" si="3"/>
        <v>3.73</v>
      </c>
      <c r="J2049" s="15">
        <v>26.49</v>
      </c>
      <c r="K2049" s="16">
        <f>IF(COUNTIFS(Release_Calendar!$A$2:$A$755,"US_CPI",Release_Calendar!$B$2:$B$755,$A2049)&gt;0,1,0)</f>
        <v>0</v>
      </c>
      <c r="L2049" s="16">
        <f>IF(COUNTIFS(Release_Calendar!$A$2:$A$755,"US_NFP",Release_Calendar!$B$2:$B$755,$A2049)&gt;0,1,0)</f>
        <v>0</v>
      </c>
      <c r="M2049" s="16" t="str">
        <f>IF($A2049&lt;Notes!$B$5,"",IF(COUNTIFS(Release_Calendar!$A$2:$A$755,"NZ_CPI",Release_Calendar!$B$2:$B$755,$A2049)&gt;0,1,0))</f>
        <v/>
      </c>
      <c r="N2049" s="16" t="str">
        <f>IF($A2049&lt;Notes!$B$5,"",IF(COUNTIFS(Release_Calendar!$A$2:$A$755,"NZ_GDP",Release_Calendar!$B$2:$B$755,$A2049)&gt;0,1,0))</f>
        <v/>
      </c>
      <c r="O2049" s="16" t="str">
        <f>IF($A2049&lt;Notes!$B$5,"",IF(COUNTIFS(Release_Calendar!$A$2:$A$755,"NZ_LABOUR",Release_Calendar!$B$2:$B$755,$A2049)&gt;0,1,0))</f>
        <v/>
      </c>
      <c r="P2049" s="16">
        <f t="shared" si="4"/>
        <v>0</v>
      </c>
    </row>
    <row r="2050" ht="15.75" customHeight="1">
      <c r="A2050" s="14">
        <v>39394.0</v>
      </c>
      <c r="B2050" s="15">
        <v>3.47</v>
      </c>
      <c r="C2050" s="15"/>
      <c r="D2050" s="15">
        <v>7.33</v>
      </c>
      <c r="E2050" s="15"/>
      <c r="F2050" s="15" t="str">
        <f t="shared" si="1"/>
        <v/>
      </c>
      <c r="G2050" s="15">
        <f t="shared" si="2"/>
        <v>7.33</v>
      </c>
      <c r="H2050" s="16">
        <v>1.0</v>
      </c>
      <c r="I2050" s="15">
        <f t="shared" si="3"/>
        <v>3.86</v>
      </c>
      <c r="J2050" s="15">
        <v>26.16</v>
      </c>
      <c r="K2050" s="16">
        <f>IF(COUNTIFS(Release_Calendar!$A$2:$A$755,"US_CPI",Release_Calendar!$B$2:$B$755,$A2050)&gt;0,1,0)</f>
        <v>0</v>
      </c>
      <c r="L2050" s="16">
        <f>IF(COUNTIFS(Release_Calendar!$A$2:$A$755,"US_NFP",Release_Calendar!$B$2:$B$755,$A2050)&gt;0,1,0)</f>
        <v>0</v>
      </c>
      <c r="M2050" s="16" t="str">
        <f>IF($A2050&lt;Notes!$B$5,"",IF(COUNTIFS(Release_Calendar!$A$2:$A$755,"NZ_CPI",Release_Calendar!$B$2:$B$755,$A2050)&gt;0,1,0))</f>
        <v/>
      </c>
      <c r="N2050" s="16" t="str">
        <f>IF($A2050&lt;Notes!$B$5,"",IF(COUNTIFS(Release_Calendar!$A$2:$A$755,"NZ_GDP",Release_Calendar!$B$2:$B$755,$A2050)&gt;0,1,0))</f>
        <v/>
      </c>
      <c r="O2050" s="16" t="str">
        <f>IF($A2050&lt;Notes!$B$5,"",IF(COUNTIFS(Release_Calendar!$A$2:$A$755,"NZ_LABOUR",Release_Calendar!$B$2:$B$755,$A2050)&gt;0,1,0))</f>
        <v/>
      </c>
      <c r="P2050" s="16">
        <f t="shared" si="4"/>
        <v>0</v>
      </c>
    </row>
    <row r="2051" ht="15.75" customHeight="1">
      <c r="A2051" s="14">
        <v>39395.0</v>
      </c>
      <c r="B2051" s="15">
        <v>3.42</v>
      </c>
      <c r="C2051" s="15"/>
      <c r="D2051" s="15">
        <v>7.24</v>
      </c>
      <c r="E2051" s="15"/>
      <c r="F2051" s="15" t="str">
        <f t="shared" si="1"/>
        <v/>
      </c>
      <c r="G2051" s="15">
        <f t="shared" si="2"/>
        <v>7.24</v>
      </c>
      <c r="H2051" s="16">
        <v>1.0</v>
      </c>
      <c r="I2051" s="15">
        <f t="shared" si="3"/>
        <v>3.82</v>
      </c>
      <c r="J2051" s="15">
        <v>28.5</v>
      </c>
      <c r="K2051" s="16">
        <f>IF(COUNTIFS(Release_Calendar!$A$2:$A$755,"US_CPI",Release_Calendar!$B$2:$B$755,$A2051)&gt;0,1,0)</f>
        <v>0</v>
      </c>
      <c r="L2051" s="16">
        <f>IF(COUNTIFS(Release_Calendar!$A$2:$A$755,"US_NFP",Release_Calendar!$B$2:$B$755,$A2051)&gt;0,1,0)</f>
        <v>0</v>
      </c>
      <c r="M2051" s="16" t="str">
        <f>IF($A2051&lt;Notes!$B$5,"",IF(COUNTIFS(Release_Calendar!$A$2:$A$755,"NZ_CPI",Release_Calendar!$B$2:$B$755,$A2051)&gt;0,1,0))</f>
        <v/>
      </c>
      <c r="N2051" s="16" t="str">
        <f>IF($A2051&lt;Notes!$B$5,"",IF(COUNTIFS(Release_Calendar!$A$2:$A$755,"NZ_GDP",Release_Calendar!$B$2:$B$755,$A2051)&gt;0,1,0))</f>
        <v/>
      </c>
      <c r="O2051" s="16" t="str">
        <f>IF($A2051&lt;Notes!$B$5,"",IF(COUNTIFS(Release_Calendar!$A$2:$A$755,"NZ_LABOUR",Release_Calendar!$B$2:$B$755,$A2051)&gt;0,1,0))</f>
        <v/>
      </c>
      <c r="P2051" s="16">
        <f t="shared" si="4"/>
        <v>0</v>
      </c>
    </row>
    <row r="2052" ht="15.75" customHeight="1">
      <c r="A2052" s="14">
        <v>39398.0</v>
      </c>
      <c r="B2052" s="15"/>
      <c r="C2052" s="15"/>
      <c r="D2052" s="15">
        <v>7.21</v>
      </c>
      <c r="E2052" s="15"/>
      <c r="F2052" s="15" t="str">
        <f t="shared" si="1"/>
        <v/>
      </c>
      <c r="G2052" s="15">
        <f t="shared" si="2"/>
        <v>7.21</v>
      </c>
      <c r="H2052" s="16">
        <v>1.0</v>
      </c>
      <c r="I2052" s="15" t="str">
        <f t="shared" si="3"/>
        <v/>
      </c>
      <c r="J2052" s="15">
        <v>31.09</v>
      </c>
      <c r="K2052" s="16">
        <f>IF(COUNTIFS(Release_Calendar!$A$2:$A$755,"US_CPI",Release_Calendar!$B$2:$B$755,$A2052)&gt;0,1,0)</f>
        <v>0</v>
      </c>
      <c r="L2052" s="16">
        <f>IF(COUNTIFS(Release_Calendar!$A$2:$A$755,"US_NFP",Release_Calendar!$B$2:$B$755,$A2052)&gt;0,1,0)</f>
        <v>0</v>
      </c>
      <c r="M2052" s="16" t="str">
        <f>IF($A2052&lt;Notes!$B$5,"",IF(COUNTIFS(Release_Calendar!$A$2:$A$755,"NZ_CPI",Release_Calendar!$B$2:$B$755,$A2052)&gt;0,1,0))</f>
        <v/>
      </c>
      <c r="N2052" s="16" t="str">
        <f>IF($A2052&lt;Notes!$B$5,"",IF(COUNTIFS(Release_Calendar!$A$2:$A$755,"NZ_GDP",Release_Calendar!$B$2:$B$755,$A2052)&gt;0,1,0))</f>
        <v/>
      </c>
      <c r="O2052" s="16" t="str">
        <f>IF($A2052&lt;Notes!$B$5,"",IF(COUNTIFS(Release_Calendar!$A$2:$A$755,"NZ_LABOUR",Release_Calendar!$B$2:$B$755,$A2052)&gt;0,1,0))</f>
        <v/>
      </c>
      <c r="P2052" s="16">
        <f t="shared" si="4"/>
        <v>0</v>
      </c>
    </row>
    <row r="2053" ht="15.75" customHeight="1">
      <c r="A2053" s="14">
        <v>39399.0</v>
      </c>
      <c r="B2053" s="15">
        <v>3.54</v>
      </c>
      <c r="C2053" s="15"/>
      <c r="D2053" s="15">
        <v>7.2</v>
      </c>
      <c r="E2053" s="15"/>
      <c r="F2053" s="15" t="str">
        <f t="shared" si="1"/>
        <v/>
      </c>
      <c r="G2053" s="15">
        <f t="shared" si="2"/>
        <v>7.2</v>
      </c>
      <c r="H2053" s="16">
        <v>1.0</v>
      </c>
      <c r="I2053" s="15">
        <f t="shared" si="3"/>
        <v>3.66</v>
      </c>
      <c r="J2053" s="15">
        <v>24.1</v>
      </c>
      <c r="K2053" s="16">
        <f>IF(COUNTIFS(Release_Calendar!$A$2:$A$755,"US_CPI",Release_Calendar!$B$2:$B$755,$A2053)&gt;0,1,0)</f>
        <v>0</v>
      </c>
      <c r="L2053" s="16">
        <f>IF(COUNTIFS(Release_Calendar!$A$2:$A$755,"US_NFP",Release_Calendar!$B$2:$B$755,$A2053)&gt;0,1,0)</f>
        <v>0</v>
      </c>
      <c r="M2053" s="16" t="str">
        <f>IF($A2053&lt;Notes!$B$5,"",IF(COUNTIFS(Release_Calendar!$A$2:$A$755,"NZ_CPI",Release_Calendar!$B$2:$B$755,$A2053)&gt;0,1,0))</f>
        <v/>
      </c>
      <c r="N2053" s="16" t="str">
        <f>IF($A2053&lt;Notes!$B$5,"",IF(COUNTIFS(Release_Calendar!$A$2:$A$755,"NZ_GDP",Release_Calendar!$B$2:$B$755,$A2053)&gt;0,1,0))</f>
        <v/>
      </c>
      <c r="O2053" s="16" t="str">
        <f>IF($A2053&lt;Notes!$B$5,"",IF(COUNTIFS(Release_Calendar!$A$2:$A$755,"NZ_LABOUR",Release_Calendar!$B$2:$B$755,$A2053)&gt;0,1,0))</f>
        <v/>
      </c>
      <c r="P2053" s="16">
        <f t="shared" si="4"/>
        <v>0</v>
      </c>
    </row>
    <row r="2054" ht="15.75" customHeight="1">
      <c r="A2054" s="14">
        <v>39400.0</v>
      </c>
      <c r="B2054" s="15">
        <v>3.57</v>
      </c>
      <c r="C2054" s="15"/>
      <c r="D2054" s="15">
        <v>7.37</v>
      </c>
      <c r="E2054" s="15"/>
      <c r="F2054" s="15" t="str">
        <f t="shared" si="1"/>
        <v/>
      </c>
      <c r="G2054" s="15">
        <f t="shared" si="2"/>
        <v>7.37</v>
      </c>
      <c r="H2054" s="16">
        <v>1.0</v>
      </c>
      <c r="I2054" s="15">
        <f t="shared" si="3"/>
        <v>3.8</v>
      </c>
      <c r="J2054" s="15">
        <v>25.94</v>
      </c>
      <c r="K2054" s="16">
        <f>IF(COUNTIFS(Release_Calendar!$A$2:$A$755,"US_CPI",Release_Calendar!$B$2:$B$755,$A2054)&gt;0,1,0)</f>
        <v>0</v>
      </c>
      <c r="L2054" s="16">
        <f>IF(COUNTIFS(Release_Calendar!$A$2:$A$755,"US_NFP",Release_Calendar!$B$2:$B$755,$A2054)&gt;0,1,0)</f>
        <v>0</v>
      </c>
      <c r="M2054" s="16" t="str">
        <f>IF($A2054&lt;Notes!$B$5,"",IF(COUNTIFS(Release_Calendar!$A$2:$A$755,"NZ_CPI",Release_Calendar!$B$2:$B$755,$A2054)&gt;0,1,0))</f>
        <v/>
      </c>
      <c r="N2054" s="16" t="str">
        <f>IF($A2054&lt;Notes!$B$5,"",IF(COUNTIFS(Release_Calendar!$A$2:$A$755,"NZ_GDP",Release_Calendar!$B$2:$B$755,$A2054)&gt;0,1,0))</f>
        <v/>
      </c>
      <c r="O2054" s="16" t="str">
        <f>IF($A2054&lt;Notes!$B$5,"",IF(COUNTIFS(Release_Calendar!$A$2:$A$755,"NZ_LABOUR",Release_Calendar!$B$2:$B$755,$A2054)&gt;0,1,0))</f>
        <v/>
      </c>
      <c r="P2054" s="16">
        <f t="shared" si="4"/>
        <v>0</v>
      </c>
    </row>
    <row r="2055" ht="15.75" customHeight="1">
      <c r="A2055" s="14">
        <v>39401.0</v>
      </c>
      <c r="B2055" s="15">
        <v>3.35</v>
      </c>
      <c r="C2055" s="15"/>
      <c r="D2055" s="15">
        <v>7.35</v>
      </c>
      <c r="E2055" s="15"/>
      <c r="F2055" s="15" t="str">
        <f t="shared" si="1"/>
        <v/>
      </c>
      <c r="G2055" s="15">
        <f t="shared" si="2"/>
        <v>7.35</v>
      </c>
      <c r="H2055" s="16">
        <v>1.0</v>
      </c>
      <c r="I2055" s="15">
        <f t="shared" si="3"/>
        <v>4</v>
      </c>
      <c r="J2055" s="15">
        <v>28.06</v>
      </c>
      <c r="K2055" s="16">
        <f>IF(COUNTIFS(Release_Calendar!$A$2:$A$755,"US_CPI",Release_Calendar!$B$2:$B$755,$A2055)&gt;0,1,0)</f>
        <v>1</v>
      </c>
      <c r="L2055" s="16">
        <f>IF(COUNTIFS(Release_Calendar!$A$2:$A$755,"US_NFP",Release_Calendar!$B$2:$B$755,$A2055)&gt;0,1,0)</f>
        <v>0</v>
      </c>
      <c r="M2055" s="16" t="str">
        <f>IF($A2055&lt;Notes!$B$5,"",IF(COUNTIFS(Release_Calendar!$A$2:$A$755,"NZ_CPI",Release_Calendar!$B$2:$B$755,$A2055)&gt;0,1,0))</f>
        <v/>
      </c>
      <c r="N2055" s="16" t="str">
        <f>IF($A2055&lt;Notes!$B$5,"",IF(COUNTIFS(Release_Calendar!$A$2:$A$755,"NZ_GDP",Release_Calendar!$B$2:$B$755,$A2055)&gt;0,1,0))</f>
        <v/>
      </c>
      <c r="O2055" s="16" t="str">
        <f>IF($A2055&lt;Notes!$B$5,"",IF(COUNTIFS(Release_Calendar!$A$2:$A$755,"NZ_LABOUR",Release_Calendar!$B$2:$B$755,$A2055)&gt;0,1,0))</f>
        <v/>
      </c>
      <c r="P2055" s="16">
        <f t="shared" si="4"/>
        <v>1</v>
      </c>
    </row>
    <row r="2056" ht="15.75" customHeight="1">
      <c r="A2056" s="14">
        <v>39402.0</v>
      </c>
      <c r="B2056" s="15">
        <v>3.33</v>
      </c>
      <c r="C2056" s="15"/>
      <c r="D2056" s="15">
        <v>7.41</v>
      </c>
      <c r="E2056" s="15"/>
      <c r="F2056" s="15" t="str">
        <f t="shared" si="1"/>
        <v/>
      </c>
      <c r="G2056" s="15">
        <f t="shared" si="2"/>
        <v>7.41</v>
      </c>
      <c r="H2056" s="16">
        <v>1.0</v>
      </c>
      <c r="I2056" s="15">
        <f t="shared" si="3"/>
        <v>4.08</v>
      </c>
      <c r="J2056" s="15">
        <v>25.49</v>
      </c>
      <c r="K2056" s="16">
        <f>IF(COUNTIFS(Release_Calendar!$A$2:$A$755,"US_CPI",Release_Calendar!$B$2:$B$755,$A2056)&gt;0,1,0)</f>
        <v>0</v>
      </c>
      <c r="L2056" s="16">
        <f>IF(COUNTIFS(Release_Calendar!$A$2:$A$755,"US_NFP",Release_Calendar!$B$2:$B$755,$A2056)&gt;0,1,0)</f>
        <v>0</v>
      </c>
      <c r="M2056" s="16" t="str">
        <f>IF($A2056&lt;Notes!$B$5,"",IF(COUNTIFS(Release_Calendar!$A$2:$A$755,"NZ_CPI",Release_Calendar!$B$2:$B$755,$A2056)&gt;0,1,0))</f>
        <v/>
      </c>
      <c r="N2056" s="16" t="str">
        <f>IF($A2056&lt;Notes!$B$5,"",IF(COUNTIFS(Release_Calendar!$A$2:$A$755,"NZ_GDP",Release_Calendar!$B$2:$B$755,$A2056)&gt;0,1,0))</f>
        <v/>
      </c>
      <c r="O2056" s="16" t="str">
        <f>IF($A2056&lt;Notes!$B$5,"",IF(COUNTIFS(Release_Calendar!$A$2:$A$755,"NZ_LABOUR",Release_Calendar!$B$2:$B$755,$A2056)&gt;0,1,0))</f>
        <v/>
      </c>
      <c r="P2056" s="16">
        <f t="shared" si="4"/>
        <v>0</v>
      </c>
    </row>
    <row r="2057" ht="15.75" customHeight="1">
      <c r="A2057" s="14">
        <v>39405.0</v>
      </c>
      <c r="B2057" s="15">
        <v>3.18</v>
      </c>
      <c r="C2057" s="15"/>
      <c r="D2057" s="15">
        <v>7.4</v>
      </c>
      <c r="E2057" s="15"/>
      <c r="F2057" s="15" t="str">
        <f t="shared" si="1"/>
        <v/>
      </c>
      <c r="G2057" s="15">
        <f t="shared" si="2"/>
        <v>7.4</v>
      </c>
      <c r="H2057" s="16">
        <v>1.0</v>
      </c>
      <c r="I2057" s="15">
        <f t="shared" si="3"/>
        <v>4.22</v>
      </c>
      <c r="J2057" s="15">
        <v>26.01</v>
      </c>
      <c r="K2057" s="16">
        <f>IF(COUNTIFS(Release_Calendar!$A$2:$A$755,"US_CPI",Release_Calendar!$B$2:$B$755,$A2057)&gt;0,1,0)</f>
        <v>0</v>
      </c>
      <c r="L2057" s="16">
        <f>IF(COUNTIFS(Release_Calendar!$A$2:$A$755,"US_NFP",Release_Calendar!$B$2:$B$755,$A2057)&gt;0,1,0)</f>
        <v>0</v>
      </c>
      <c r="M2057" s="16" t="str">
        <f>IF($A2057&lt;Notes!$B$5,"",IF(COUNTIFS(Release_Calendar!$A$2:$A$755,"NZ_CPI",Release_Calendar!$B$2:$B$755,$A2057)&gt;0,1,0))</f>
        <v/>
      </c>
      <c r="N2057" s="16" t="str">
        <f>IF($A2057&lt;Notes!$B$5,"",IF(COUNTIFS(Release_Calendar!$A$2:$A$755,"NZ_GDP",Release_Calendar!$B$2:$B$755,$A2057)&gt;0,1,0))</f>
        <v/>
      </c>
      <c r="O2057" s="16" t="str">
        <f>IF($A2057&lt;Notes!$B$5,"",IF(COUNTIFS(Release_Calendar!$A$2:$A$755,"NZ_LABOUR",Release_Calendar!$B$2:$B$755,$A2057)&gt;0,1,0))</f>
        <v/>
      </c>
      <c r="P2057" s="16">
        <f t="shared" si="4"/>
        <v>0</v>
      </c>
    </row>
    <row r="2058" ht="15.75" customHeight="1">
      <c r="A2058" s="14">
        <v>39406.0</v>
      </c>
      <c r="B2058" s="15">
        <v>3.14</v>
      </c>
      <c r="C2058" s="15"/>
      <c r="D2058" s="15">
        <v>7.37</v>
      </c>
      <c r="E2058" s="15"/>
      <c r="F2058" s="15" t="str">
        <f t="shared" si="1"/>
        <v/>
      </c>
      <c r="G2058" s="15">
        <f t="shared" si="2"/>
        <v>7.37</v>
      </c>
      <c r="H2058" s="16">
        <v>1.0</v>
      </c>
      <c r="I2058" s="15">
        <f t="shared" si="3"/>
        <v>4.23</v>
      </c>
      <c r="J2058" s="15">
        <v>24.88</v>
      </c>
      <c r="K2058" s="16">
        <f>IF(COUNTIFS(Release_Calendar!$A$2:$A$755,"US_CPI",Release_Calendar!$B$2:$B$755,$A2058)&gt;0,1,0)</f>
        <v>0</v>
      </c>
      <c r="L2058" s="16">
        <f>IF(COUNTIFS(Release_Calendar!$A$2:$A$755,"US_NFP",Release_Calendar!$B$2:$B$755,$A2058)&gt;0,1,0)</f>
        <v>0</v>
      </c>
      <c r="M2058" s="16" t="str">
        <f>IF($A2058&lt;Notes!$B$5,"",IF(COUNTIFS(Release_Calendar!$A$2:$A$755,"NZ_CPI",Release_Calendar!$B$2:$B$755,$A2058)&gt;0,1,0))</f>
        <v/>
      </c>
      <c r="N2058" s="16" t="str">
        <f>IF($A2058&lt;Notes!$B$5,"",IF(COUNTIFS(Release_Calendar!$A$2:$A$755,"NZ_GDP",Release_Calendar!$B$2:$B$755,$A2058)&gt;0,1,0))</f>
        <v/>
      </c>
      <c r="O2058" s="16" t="str">
        <f>IF($A2058&lt;Notes!$B$5,"",IF(COUNTIFS(Release_Calendar!$A$2:$A$755,"NZ_LABOUR",Release_Calendar!$B$2:$B$755,$A2058)&gt;0,1,0))</f>
        <v/>
      </c>
      <c r="P2058" s="16">
        <f t="shared" si="4"/>
        <v>0</v>
      </c>
    </row>
    <row r="2059" ht="15.75" customHeight="1">
      <c r="A2059" s="14">
        <v>39407.0</v>
      </c>
      <c r="B2059" s="15">
        <v>2.99</v>
      </c>
      <c r="C2059" s="15"/>
      <c r="D2059" s="15">
        <v>7.34</v>
      </c>
      <c r="E2059" s="15"/>
      <c r="F2059" s="15" t="str">
        <f t="shared" si="1"/>
        <v/>
      </c>
      <c r="G2059" s="15">
        <f t="shared" si="2"/>
        <v>7.34</v>
      </c>
      <c r="H2059" s="16">
        <v>1.0</v>
      </c>
      <c r="I2059" s="15">
        <f t="shared" si="3"/>
        <v>4.35</v>
      </c>
      <c r="J2059" s="15">
        <v>26.84</v>
      </c>
      <c r="K2059" s="16">
        <f>IF(COUNTIFS(Release_Calendar!$A$2:$A$755,"US_CPI",Release_Calendar!$B$2:$B$755,$A2059)&gt;0,1,0)</f>
        <v>0</v>
      </c>
      <c r="L2059" s="16">
        <f>IF(COUNTIFS(Release_Calendar!$A$2:$A$755,"US_NFP",Release_Calendar!$B$2:$B$755,$A2059)&gt;0,1,0)</f>
        <v>0</v>
      </c>
      <c r="M2059" s="16" t="str">
        <f>IF($A2059&lt;Notes!$B$5,"",IF(COUNTIFS(Release_Calendar!$A$2:$A$755,"NZ_CPI",Release_Calendar!$B$2:$B$755,$A2059)&gt;0,1,0))</f>
        <v/>
      </c>
      <c r="N2059" s="16" t="str">
        <f>IF($A2059&lt;Notes!$B$5,"",IF(COUNTIFS(Release_Calendar!$A$2:$A$755,"NZ_GDP",Release_Calendar!$B$2:$B$755,$A2059)&gt;0,1,0))</f>
        <v/>
      </c>
      <c r="O2059" s="16" t="str">
        <f>IF($A2059&lt;Notes!$B$5,"",IF(COUNTIFS(Release_Calendar!$A$2:$A$755,"NZ_LABOUR",Release_Calendar!$B$2:$B$755,$A2059)&gt;0,1,0))</f>
        <v/>
      </c>
      <c r="P2059" s="16">
        <f t="shared" si="4"/>
        <v>0</v>
      </c>
    </row>
    <row r="2060" ht="15.75" customHeight="1">
      <c r="A2060" s="14">
        <v>39408.0</v>
      </c>
      <c r="B2060" s="15"/>
      <c r="C2060" s="15"/>
      <c r="D2060" s="15">
        <v>7.29</v>
      </c>
      <c r="E2060" s="15"/>
      <c r="F2060" s="15" t="str">
        <f t="shared" si="1"/>
        <v/>
      </c>
      <c r="G2060" s="15">
        <f t="shared" si="2"/>
        <v>7.29</v>
      </c>
      <c r="H2060" s="16">
        <v>1.0</v>
      </c>
      <c r="I2060" s="15" t="str">
        <f t="shared" si="3"/>
        <v/>
      </c>
      <c r="J2060" s="15"/>
      <c r="K2060" s="16">
        <f>IF(COUNTIFS(Release_Calendar!$A$2:$A$755,"US_CPI",Release_Calendar!$B$2:$B$755,$A2060)&gt;0,1,0)</f>
        <v>0</v>
      </c>
      <c r="L2060" s="16">
        <f>IF(COUNTIFS(Release_Calendar!$A$2:$A$755,"US_NFP",Release_Calendar!$B$2:$B$755,$A2060)&gt;0,1,0)</f>
        <v>0</v>
      </c>
      <c r="M2060" s="16" t="str">
        <f>IF($A2060&lt;Notes!$B$5,"",IF(COUNTIFS(Release_Calendar!$A$2:$A$755,"NZ_CPI",Release_Calendar!$B$2:$B$755,$A2060)&gt;0,1,0))</f>
        <v/>
      </c>
      <c r="N2060" s="16" t="str">
        <f>IF($A2060&lt;Notes!$B$5,"",IF(COUNTIFS(Release_Calendar!$A$2:$A$755,"NZ_GDP",Release_Calendar!$B$2:$B$755,$A2060)&gt;0,1,0))</f>
        <v/>
      </c>
      <c r="O2060" s="16" t="str">
        <f>IF($A2060&lt;Notes!$B$5,"",IF(COUNTIFS(Release_Calendar!$A$2:$A$755,"NZ_LABOUR",Release_Calendar!$B$2:$B$755,$A2060)&gt;0,1,0))</f>
        <v/>
      </c>
      <c r="P2060" s="16">
        <f t="shared" si="4"/>
        <v>0</v>
      </c>
    </row>
    <row r="2061" ht="15.75" customHeight="1">
      <c r="A2061" s="14">
        <v>39409.0</v>
      </c>
      <c r="B2061" s="15">
        <v>3.07</v>
      </c>
      <c r="C2061" s="15"/>
      <c r="D2061" s="15">
        <v>7.33</v>
      </c>
      <c r="E2061" s="15"/>
      <c r="F2061" s="15" t="str">
        <f t="shared" si="1"/>
        <v/>
      </c>
      <c r="G2061" s="15">
        <f t="shared" si="2"/>
        <v>7.33</v>
      </c>
      <c r="H2061" s="16">
        <v>1.0</v>
      </c>
      <c r="I2061" s="15">
        <f t="shared" si="3"/>
        <v>4.26</v>
      </c>
      <c r="J2061" s="15">
        <v>25.61</v>
      </c>
      <c r="K2061" s="16">
        <f>IF(COUNTIFS(Release_Calendar!$A$2:$A$755,"US_CPI",Release_Calendar!$B$2:$B$755,$A2061)&gt;0,1,0)</f>
        <v>0</v>
      </c>
      <c r="L2061" s="16">
        <f>IF(COUNTIFS(Release_Calendar!$A$2:$A$755,"US_NFP",Release_Calendar!$B$2:$B$755,$A2061)&gt;0,1,0)</f>
        <v>0</v>
      </c>
      <c r="M2061" s="16" t="str">
        <f>IF($A2061&lt;Notes!$B$5,"",IF(COUNTIFS(Release_Calendar!$A$2:$A$755,"NZ_CPI",Release_Calendar!$B$2:$B$755,$A2061)&gt;0,1,0))</f>
        <v/>
      </c>
      <c r="N2061" s="16" t="str">
        <f>IF($A2061&lt;Notes!$B$5,"",IF(COUNTIFS(Release_Calendar!$A$2:$A$755,"NZ_GDP",Release_Calendar!$B$2:$B$755,$A2061)&gt;0,1,0))</f>
        <v/>
      </c>
      <c r="O2061" s="16" t="str">
        <f>IF($A2061&lt;Notes!$B$5,"",IF(COUNTIFS(Release_Calendar!$A$2:$A$755,"NZ_LABOUR",Release_Calendar!$B$2:$B$755,$A2061)&gt;0,1,0))</f>
        <v/>
      </c>
      <c r="P2061" s="16">
        <f t="shared" si="4"/>
        <v>0</v>
      </c>
    </row>
    <row r="2062" ht="15.75" customHeight="1">
      <c r="A2062" s="14">
        <v>39412.0</v>
      </c>
      <c r="B2062" s="15">
        <v>2.92</v>
      </c>
      <c r="C2062" s="15"/>
      <c r="D2062" s="15">
        <v>7.35</v>
      </c>
      <c r="E2062" s="15"/>
      <c r="F2062" s="15" t="str">
        <f t="shared" si="1"/>
        <v/>
      </c>
      <c r="G2062" s="15">
        <f t="shared" si="2"/>
        <v>7.35</v>
      </c>
      <c r="H2062" s="16">
        <v>1.0</v>
      </c>
      <c r="I2062" s="15">
        <f t="shared" si="3"/>
        <v>4.43</v>
      </c>
      <c r="J2062" s="15">
        <v>28.91</v>
      </c>
      <c r="K2062" s="16">
        <f>IF(COUNTIFS(Release_Calendar!$A$2:$A$755,"US_CPI",Release_Calendar!$B$2:$B$755,$A2062)&gt;0,1,0)</f>
        <v>0</v>
      </c>
      <c r="L2062" s="16">
        <f>IF(COUNTIFS(Release_Calendar!$A$2:$A$755,"US_NFP",Release_Calendar!$B$2:$B$755,$A2062)&gt;0,1,0)</f>
        <v>0</v>
      </c>
      <c r="M2062" s="16" t="str">
        <f>IF($A2062&lt;Notes!$B$5,"",IF(COUNTIFS(Release_Calendar!$A$2:$A$755,"NZ_CPI",Release_Calendar!$B$2:$B$755,$A2062)&gt;0,1,0))</f>
        <v/>
      </c>
      <c r="N2062" s="16" t="str">
        <f>IF($A2062&lt;Notes!$B$5,"",IF(COUNTIFS(Release_Calendar!$A$2:$A$755,"NZ_GDP",Release_Calendar!$B$2:$B$755,$A2062)&gt;0,1,0))</f>
        <v/>
      </c>
      <c r="O2062" s="16" t="str">
        <f>IF($A2062&lt;Notes!$B$5,"",IF(COUNTIFS(Release_Calendar!$A$2:$A$755,"NZ_LABOUR",Release_Calendar!$B$2:$B$755,$A2062)&gt;0,1,0))</f>
        <v/>
      </c>
      <c r="P2062" s="16">
        <f t="shared" si="4"/>
        <v>0</v>
      </c>
    </row>
    <row r="2063" ht="15.75" customHeight="1">
      <c r="A2063" s="14">
        <v>39413.0</v>
      </c>
      <c r="B2063" s="15">
        <v>3.05</v>
      </c>
      <c r="C2063" s="15"/>
      <c r="D2063" s="15">
        <v>7.32</v>
      </c>
      <c r="E2063" s="15"/>
      <c r="F2063" s="15" t="str">
        <f t="shared" si="1"/>
        <v/>
      </c>
      <c r="G2063" s="15">
        <f t="shared" si="2"/>
        <v>7.32</v>
      </c>
      <c r="H2063" s="16">
        <v>1.0</v>
      </c>
      <c r="I2063" s="15">
        <f t="shared" si="3"/>
        <v>4.27</v>
      </c>
      <c r="J2063" s="15">
        <v>26.28</v>
      </c>
      <c r="K2063" s="16">
        <f>IF(COUNTIFS(Release_Calendar!$A$2:$A$755,"US_CPI",Release_Calendar!$B$2:$B$755,$A2063)&gt;0,1,0)</f>
        <v>0</v>
      </c>
      <c r="L2063" s="16">
        <f>IF(COUNTIFS(Release_Calendar!$A$2:$A$755,"US_NFP",Release_Calendar!$B$2:$B$755,$A2063)&gt;0,1,0)</f>
        <v>0</v>
      </c>
      <c r="M2063" s="16" t="str">
        <f>IF($A2063&lt;Notes!$B$5,"",IF(COUNTIFS(Release_Calendar!$A$2:$A$755,"NZ_CPI",Release_Calendar!$B$2:$B$755,$A2063)&gt;0,1,0))</f>
        <v/>
      </c>
      <c r="N2063" s="16" t="str">
        <f>IF($A2063&lt;Notes!$B$5,"",IF(COUNTIFS(Release_Calendar!$A$2:$A$755,"NZ_GDP",Release_Calendar!$B$2:$B$755,$A2063)&gt;0,1,0))</f>
        <v/>
      </c>
      <c r="O2063" s="16" t="str">
        <f>IF($A2063&lt;Notes!$B$5,"",IF(COUNTIFS(Release_Calendar!$A$2:$A$755,"NZ_LABOUR",Release_Calendar!$B$2:$B$755,$A2063)&gt;0,1,0))</f>
        <v/>
      </c>
      <c r="P2063" s="16">
        <f t="shared" si="4"/>
        <v>0</v>
      </c>
    </row>
    <row r="2064" ht="15.75" customHeight="1">
      <c r="A2064" s="14">
        <v>39414.0</v>
      </c>
      <c r="B2064" s="15">
        <v>3.17</v>
      </c>
      <c r="C2064" s="15"/>
      <c r="D2064" s="15">
        <v>7.37</v>
      </c>
      <c r="E2064" s="15"/>
      <c r="F2064" s="15" t="str">
        <f t="shared" si="1"/>
        <v/>
      </c>
      <c r="G2064" s="15">
        <f t="shared" si="2"/>
        <v>7.37</v>
      </c>
      <c r="H2064" s="16">
        <v>1.0</v>
      </c>
      <c r="I2064" s="15">
        <f t="shared" si="3"/>
        <v>4.2</v>
      </c>
      <c r="J2064" s="15">
        <v>24.11</v>
      </c>
      <c r="K2064" s="16">
        <f>IF(COUNTIFS(Release_Calendar!$A$2:$A$755,"US_CPI",Release_Calendar!$B$2:$B$755,$A2064)&gt;0,1,0)</f>
        <v>0</v>
      </c>
      <c r="L2064" s="16">
        <f>IF(COUNTIFS(Release_Calendar!$A$2:$A$755,"US_NFP",Release_Calendar!$B$2:$B$755,$A2064)&gt;0,1,0)</f>
        <v>0</v>
      </c>
      <c r="M2064" s="16" t="str">
        <f>IF($A2064&lt;Notes!$B$5,"",IF(COUNTIFS(Release_Calendar!$A$2:$A$755,"NZ_CPI",Release_Calendar!$B$2:$B$755,$A2064)&gt;0,1,0))</f>
        <v/>
      </c>
      <c r="N2064" s="16" t="str">
        <f>IF($A2064&lt;Notes!$B$5,"",IF(COUNTIFS(Release_Calendar!$A$2:$A$755,"NZ_GDP",Release_Calendar!$B$2:$B$755,$A2064)&gt;0,1,0))</f>
        <v/>
      </c>
      <c r="O2064" s="16" t="str">
        <f>IF($A2064&lt;Notes!$B$5,"",IF(COUNTIFS(Release_Calendar!$A$2:$A$755,"NZ_LABOUR",Release_Calendar!$B$2:$B$755,$A2064)&gt;0,1,0))</f>
        <v/>
      </c>
      <c r="P2064" s="16">
        <f t="shared" si="4"/>
        <v>0</v>
      </c>
    </row>
    <row r="2065" ht="15.75" customHeight="1">
      <c r="A2065" s="14">
        <v>39415.0</v>
      </c>
      <c r="B2065" s="15">
        <v>3.06</v>
      </c>
      <c r="C2065" s="15"/>
      <c r="D2065" s="15">
        <v>7.41</v>
      </c>
      <c r="E2065" s="15"/>
      <c r="F2065" s="15" t="str">
        <f t="shared" si="1"/>
        <v/>
      </c>
      <c r="G2065" s="15">
        <f t="shared" si="2"/>
        <v>7.41</v>
      </c>
      <c r="H2065" s="16">
        <v>1.0</v>
      </c>
      <c r="I2065" s="15">
        <f t="shared" si="3"/>
        <v>4.35</v>
      </c>
      <c r="J2065" s="15">
        <v>23.97</v>
      </c>
      <c r="K2065" s="16">
        <f>IF(COUNTIFS(Release_Calendar!$A$2:$A$755,"US_CPI",Release_Calendar!$B$2:$B$755,$A2065)&gt;0,1,0)</f>
        <v>0</v>
      </c>
      <c r="L2065" s="16">
        <f>IF(COUNTIFS(Release_Calendar!$A$2:$A$755,"US_NFP",Release_Calendar!$B$2:$B$755,$A2065)&gt;0,1,0)</f>
        <v>0</v>
      </c>
      <c r="M2065" s="16" t="str">
        <f>IF($A2065&lt;Notes!$B$5,"",IF(COUNTIFS(Release_Calendar!$A$2:$A$755,"NZ_CPI",Release_Calendar!$B$2:$B$755,$A2065)&gt;0,1,0))</f>
        <v/>
      </c>
      <c r="N2065" s="16" t="str">
        <f>IF($A2065&lt;Notes!$B$5,"",IF(COUNTIFS(Release_Calendar!$A$2:$A$755,"NZ_GDP",Release_Calendar!$B$2:$B$755,$A2065)&gt;0,1,0))</f>
        <v/>
      </c>
      <c r="O2065" s="16" t="str">
        <f>IF($A2065&lt;Notes!$B$5,"",IF(COUNTIFS(Release_Calendar!$A$2:$A$755,"NZ_LABOUR",Release_Calendar!$B$2:$B$755,$A2065)&gt;0,1,0))</f>
        <v/>
      </c>
      <c r="P2065" s="16">
        <f t="shared" si="4"/>
        <v>0</v>
      </c>
    </row>
    <row r="2066" ht="15.75" customHeight="1">
      <c r="A2066" s="14">
        <v>39416.0</v>
      </c>
      <c r="B2066" s="15">
        <v>3.04</v>
      </c>
      <c r="C2066" s="15"/>
      <c r="D2066" s="15">
        <v>7.4</v>
      </c>
      <c r="E2066" s="15"/>
      <c r="F2066" s="15" t="str">
        <f t="shared" si="1"/>
        <v/>
      </c>
      <c r="G2066" s="15">
        <f t="shared" si="2"/>
        <v>7.4</v>
      </c>
      <c r="H2066" s="16">
        <v>1.0</v>
      </c>
      <c r="I2066" s="15">
        <f t="shared" si="3"/>
        <v>4.36</v>
      </c>
      <c r="J2066" s="15">
        <v>22.87</v>
      </c>
      <c r="K2066" s="16">
        <f>IF(COUNTIFS(Release_Calendar!$A$2:$A$755,"US_CPI",Release_Calendar!$B$2:$B$755,$A2066)&gt;0,1,0)</f>
        <v>0</v>
      </c>
      <c r="L2066" s="16">
        <f>IF(COUNTIFS(Release_Calendar!$A$2:$A$755,"US_NFP",Release_Calendar!$B$2:$B$755,$A2066)&gt;0,1,0)</f>
        <v>0</v>
      </c>
      <c r="M2066" s="16" t="str">
        <f>IF($A2066&lt;Notes!$B$5,"",IF(COUNTIFS(Release_Calendar!$A$2:$A$755,"NZ_CPI",Release_Calendar!$B$2:$B$755,$A2066)&gt;0,1,0))</f>
        <v/>
      </c>
      <c r="N2066" s="16" t="str">
        <f>IF($A2066&lt;Notes!$B$5,"",IF(COUNTIFS(Release_Calendar!$A$2:$A$755,"NZ_GDP",Release_Calendar!$B$2:$B$755,$A2066)&gt;0,1,0))</f>
        <v/>
      </c>
      <c r="O2066" s="16" t="str">
        <f>IF($A2066&lt;Notes!$B$5,"",IF(COUNTIFS(Release_Calendar!$A$2:$A$755,"NZ_LABOUR",Release_Calendar!$B$2:$B$755,$A2066)&gt;0,1,0))</f>
        <v/>
      </c>
      <c r="P2066" s="16">
        <f t="shared" si="4"/>
        <v>0</v>
      </c>
    </row>
    <row r="2067" ht="15.75" customHeight="1">
      <c r="A2067" s="14">
        <v>39419.0</v>
      </c>
      <c r="B2067" s="15">
        <v>2.9</v>
      </c>
      <c r="C2067" s="15"/>
      <c r="D2067" s="15">
        <v>7.43</v>
      </c>
      <c r="E2067" s="15"/>
      <c r="F2067" s="15" t="str">
        <f t="shared" si="1"/>
        <v/>
      </c>
      <c r="G2067" s="15">
        <f t="shared" si="2"/>
        <v>7.43</v>
      </c>
      <c r="H2067" s="16">
        <v>1.0</v>
      </c>
      <c r="I2067" s="15">
        <f t="shared" si="3"/>
        <v>4.53</v>
      </c>
      <c r="J2067" s="15">
        <v>23.61</v>
      </c>
      <c r="K2067" s="16">
        <f>IF(COUNTIFS(Release_Calendar!$A$2:$A$755,"US_CPI",Release_Calendar!$B$2:$B$755,$A2067)&gt;0,1,0)</f>
        <v>0</v>
      </c>
      <c r="L2067" s="16">
        <f>IF(COUNTIFS(Release_Calendar!$A$2:$A$755,"US_NFP",Release_Calendar!$B$2:$B$755,$A2067)&gt;0,1,0)</f>
        <v>0</v>
      </c>
      <c r="M2067" s="16" t="str">
        <f>IF($A2067&lt;Notes!$B$5,"",IF(COUNTIFS(Release_Calendar!$A$2:$A$755,"NZ_CPI",Release_Calendar!$B$2:$B$755,$A2067)&gt;0,1,0))</f>
        <v/>
      </c>
      <c r="N2067" s="16" t="str">
        <f>IF($A2067&lt;Notes!$B$5,"",IF(COUNTIFS(Release_Calendar!$A$2:$A$755,"NZ_GDP",Release_Calendar!$B$2:$B$755,$A2067)&gt;0,1,0))</f>
        <v/>
      </c>
      <c r="O2067" s="16" t="str">
        <f>IF($A2067&lt;Notes!$B$5,"",IF(COUNTIFS(Release_Calendar!$A$2:$A$755,"NZ_LABOUR",Release_Calendar!$B$2:$B$755,$A2067)&gt;0,1,0))</f>
        <v/>
      </c>
      <c r="P2067" s="16">
        <f t="shared" si="4"/>
        <v>0</v>
      </c>
    </row>
    <row r="2068" ht="15.75" customHeight="1">
      <c r="A2068" s="14">
        <v>39420.0</v>
      </c>
      <c r="B2068" s="15">
        <v>2.9</v>
      </c>
      <c r="C2068" s="15"/>
      <c r="D2068" s="15">
        <v>7.44</v>
      </c>
      <c r="E2068" s="15"/>
      <c r="F2068" s="15" t="str">
        <f t="shared" si="1"/>
        <v/>
      </c>
      <c r="G2068" s="15">
        <f t="shared" si="2"/>
        <v>7.44</v>
      </c>
      <c r="H2068" s="16">
        <v>1.0</v>
      </c>
      <c r="I2068" s="15">
        <f t="shared" si="3"/>
        <v>4.54</v>
      </c>
      <c r="J2068" s="15">
        <v>23.79</v>
      </c>
      <c r="K2068" s="16">
        <f>IF(COUNTIFS(Release_Calendar!$A$2:$A$755,"US_CPI",Release_Calendar!$B$2:$B$755,$A2068)&gt;0,1,0)</f>
        <v>0</v>
      </c>
      <c r="L2068" s="16">
        <f>IF(COUNTIFS(Release_Calendar!$A$2:$A$755,"US_NFP",Release_Calendar!$B$2:$B$755,$A2068)&gt;0,1,0)</f>
        <v>0</v>
      </c>
      <c r="M2068" s="16" t="str">
        <f>IF($A2068&lt;Notes!$B$5,"",IF(COUNTIFS(Release_Calendar!$A$2:$A$755,"NZ_CPI",Release_Calendar!$B$2:$B$755,$A2068)&gt;0,1,0))</f>
        <v/>
      </c>
      <c r="N2068" s="16" t="str">
        <f>IF($A2068&lt;Notes!$B$5,"",IF(COUNTIFS(Release_Calendar!$A$2:$A$755,"NZ_GDP",Release_Calendar!$B$2:$B$755,$A2068)&gt;0,1,0))</f>
        <v/>
      </c>
      <c r="O2068" s="16" t="str">
        <f>IF($A2068&lt;Notes!$B$5,"",IF(COUNTIFS(Release_Calendar!$A$2:$A$755,"NZ_LABOUR",Release_Calendar!$B$2:$B$755,$A2068)&gt;0,1,0))</f>
        <v/>
      </c>
      <c r="P2068" s="16">
        <f t="shared" si="4"/>
        <v>0</v>
      </c>
    </row>
    <row r="2069" ht="15.75" customHeight="1">
      <c r="A2069" s="14">
        <v>39421.0</v>
      </c>
      <c r="B2069" s="15">
        <v>2.9</v>
      </c>
      <c r="C2069" s="15"/>
      <c r="D2069" s="15">
        <v>7.45</v>
      </c>
      <c r="E2069" s="15"/>
      <c r="F2069" s="15" t="str">
        <f t="shared" si="1"/>
        <v/>
      </c>
      <c r="G2069" s="15">
        <f t="shared" si="2"/>
        <v>7.45</v>
      </c>
      <c r="H2069" s="16">
        <v>1.0</v>
      </c>
      <c r="I2069" s="15">
        <f t="shared" si="3"/>
        <v>4.55</v>
      </c>
      <c r="J2069" s="15">
        <v>22.53</v>
      </c>
      <c r="K2069" s="16">
        <f>IF(COUNTIFS(Release_Calendar!$A$2:$A$755,"US_CPI",Release_Calendar!$B$2:$B$755,$A2069)&gt;0,1,0)</f>
        <v>0</v>
      </c>
      <c r="L2069" s="16">
        <f>IF(COUNTIFS(Release_Calendar!$A$2:$A$755,"US_NFP",Release_Calendar!$B$2:$B$755,$A2069)&gt;0,1,0)</f>
        <v>0</v>
      </c>
      <c r="M2069" s="16" t="str">
        <f>IF($A2069&lt;Notes!$B$5,"",IF(COUNTIFS(Release_Calendar!$A$2:$A$755,"NZ_CPI",Release_Calendar!$B$2:$B$755,$A2069)&gt;0,1,0))</f>
        <v/>
      </c>
      <c r="N2069" s="16" t="str">
        <f>IF($A2069&lt;Notes!$B$5,"",IF(COUNTIFS(Release_Calendar!$A$2:$A$755,"NZ_GDP",Release_Calendar!$B$2:$B$755,$A2069)&gt;0,1,0))</f>
        <v/>
      </c>
      <c r="O2069" s="16" t="str">
        <f>IF($A2069&lt;Notes!$B$5,"",IF(COUNTIFS(Release_Calendar!$A$2:$A$755,"NZ_LABOUR",Release_Calendar!$B$2:$B$755,$A2069)&gt;0,1,0))</f>
        <v/>
      </c>
      <c r="P2069" s="16">
        <f t="shared" si="4"/>
        <v>0</v>
      </c>
    </row>
    <row r="2070" ht="15.75" customHeight="1">
      <c r="A2070" s="14">
        <v>39422.0</v>
      </c>
      <c r="B2070" s="15">
        <v>3.03</v>
      </c>
      <c r="C2070" s="15"/>
      <c r="D2070" s="15">
        <v>7.53</v>
      </c>
      <c r="E2070" s="15"/>
      <c r="F2070" s="15" t="str">
        <f t="shared" si="1"/>
        <v/>
      </c>
      <c r="G2070" s="15">
        <f t="shared" si="2"/>
        <v>7.53</v>
      </c>
      <c r="H2070" s="16">
        <v>1.0</v>
      </c>
      <c r="I2070" s="15">
        <f t="shared" si="3"/>
        <v>4.5</v>
      </c>
      <c r="J2070" s="15">
        <v>20.96</v>
      </c>
      <c r="K2070" s="16">
        <f>IF(COUNTIFS(Release_Calendar!$A$2:$A$755,"US_CPI",Release_Calendar!$B$2:$B$755,$A2070)&gt;0,1,0)</f>
        <v>0</v>
      </c>
      <c r="L2070" s="16">
        <f>IF(COUNTIFS(Release_Calendar!$A$2:$A$755,"US_NFP",Release_Calendar!$B$2:$B$755,$A2070)&gt;0,1,0)</f>
        <v>0</v>
      </c>
      <c r="M2070" s="16" t="str">
        <f>IF($A2070&lt;Notes!$B$5,"",IF(COUNTIFS(Release_Calendar!$A$2:$A$755,"NZ_CPI",Release_Calendar!$B$2:$B$755,$A2070)&gt;0,1,0))</f>
        <v/>
      </c>
      <c r="N2070" s="16" t="str">
        <f>IF($A2070&lt;Notes!$B$5,"",IF(COUNTIFS(Release_Calendar!$A$2:$A$755,"NZ_GDP",Release_Calendar!$B$2:$B$755,$A2070)&gt;0,1,0))</f>
        <v/>
      </c>
      <c r="O2070" s="16" t="str">
        <f>IF($A2070&lt;Notes!$B$5,"",IF(COUNTIFS(Release_Calendar!$A$2:$A$755,"NZ_LABOUR",Release_Calendar!$B$2:$B$755,$A2070)&gt;0,1,0))</f>
        <v/>
      </c>
      <c r="P2070" s="16">
        <f t="shared" si="4"/>
        <v>0</v>
      </c>
    </row>
    <row r="2071" ht="15.75" customHeight="1">
      <c r="A2071" s="14">
        <v>39423.0</v>
      </c>
      <c r="B2071" s="15">
        <v>3.12</v>
      </c>
      <c r="C2071" s="15"/>
      <c r="D2071" s="15">
        <v>7.58</v>
      </c>
      <c r="E2071" s="15"/>
      <c r="F2071" s="15" t="str">
        <f t="shared" si="1"/>
        <v/>
      </c>
      <c r="G2071" s="15">
        <f t="shared" si="2"/>
        <v>7.58</v>
      </c>
      <c r="H2071" s="16">
        <v>1.0</v>
      </c>
      <c r="I2071" s="15">
        <f t="shared" si="3"/>
        <v>4.46</v>
      </c>
      <c r="J2071" s="15">
        <v>20.85</v>
      </c>
      <c r="K2071" s="16">
        <f>IF(COUNTIFS(Release_Calendar!$A$2:$A$755,"US_CPI",Release_Calendar!$B$2:$B$755,$A2071)&gt;0,1,0)</f>
        <v>0</v>
      </c>
      <c r="L2071" s="16">
        <f>IF(COUNTIFS(Release_Calendar!$A$2:$A$755,"US_NFP",Release_Calendar!$B$2:$B$755,$A2071)&gt;0,1,0)</f>
        <v>1</v>
      </c>
      <c r="M2071" s="16" t="str">
        <f>IF($A2071&lt;Notes!$B$5,"",IF(COUNTIFS(Release_Calendar!$A$2:$A$755,"NZ_CPI",Release_Calendar!$B$2:$B$755,$A2071)&gt;0,1,0))</f>
        <v/>
      </c>
      <c r="N2071" s="16" t="str">
        <f>IF($A2071&lt;Notes!$B$5,"",IF(COUNTIFS(Release_Calendar!$A$2:$A$755,"NZ_GDP",Release_Calendar!$B$2:$B$755,$A2071)&gt;0,1,0))</f>
        <v/>
      </c>
      <c r="O2071" s="16" t="str">
        <f>IF($A2071&lt;Notes!$B$5,"",IF(COUNTIFS(Release_Calendar!$A$2:$A$755,"NZ_LABOUR",Release_Calendar!$B$2:$B$755,$A2071)&gt;0,1,0))</f>
        <v/>
      </c>
      <c r="P2071" s="16">
        <f t="shared" si="4"/>
        <v>1</v>
      </c>
    </row>
    <row r="2072" ht="15.75" customHeight="1">
      <c r="A2072" s="14">
        <v>39426.0</v>
      </c>
      <c r="B2072" s="15">
        <v>3.17</v>
      </c>
      <c r="C2072" s="15"/>
      <c r="D2072" s="15">
        <v>7.6</v>
      </c>
      <c r="E2072" s="15"/>
      <c r="F2072" s="15" t="str">
        <f t="shared" si="1"/>
        <v/>
      </c>
      <c r="G2072" s="15">
        <f t="shared" si="2"/>
        <v>7.6</v>
      </c>
      <c r="H2072" s="16">
        <v>1.0</v>
      </c>
      <c r="I2072" s="15">
        <f t="shared" si="3"/>
        <v>4.43</v>
      </c>
      <c r="J2072" s="15">
        <v>20.74</v>
      </c>
      <c r="K2072" s="16">
        <f>IF(COUNTIFS(Release_Calendar!$A$2:$A$755,"US_CPI",Release_Calendar!$B$2:$B$755,$A2072)&gt;0,1,0)</f>
        <v>0</v>
      </c>
      <c r="L2072" s="16">
        <f>IF(COUNTIFS(Release_Calendar!$A$2:$A$755,"US_NFP",Release_Calendar!$B$2:$B$755,$A2072)&gt;0,1,0)</f>
        <v>0</v>
      </c>
      <c r="M2072" s="16" t="str">
        <f>IF($A2072&lt;Notes!$B$5,"",IF(COUNTIFS(Release_Calendar!$A$2:$A$755,"NZ_CPI",Release_Calendar!$B$2:$B$755,$A2072)&gt;0,1,0))</f>
        <v/>
      </c>
      <c r="N2072" s="16" t="str">
        <f>IF($A2072&lt;Notes!$B$5,"",IF(COUNTIFS(Release_Calendar!$A$2:$A$755,"NZ_GDP",Release_Calendar!$B$2:$B$755,$A2072)&gt;0,1,0))</f>
        <v/>
      </c>
      <c r="O2072" s="16" t="str">
        <f>IF($A2072&lt;Notes!$B$5,"",IF(COUNTIFS(Release_Calendar!$A$2:$A$755,"NZ_LABOUR",Release_Calendar!$B$2:$B$755,$A2072)&gt;0,1,0))</f>
        <v/>
      </c>
      <c r="P2072" s="16">
        <f t="shared" si="4"/>
        <v>0</v>
      </c>
    </row>
    <row r="2073" ht="15.75" customHeight="1">
      <c r="A2073" s="14">
        <v>39427.0</v>
      </c>
      <c r="B2073" s="15">
        <v>2.94</v>
      </c>
      <c r="C2073" s="15"/>
      <c r="D2073" s="15">
        <v>7.61</v>
      </c>
      <c r="E2073" s="15"/>
      <c r="F2073" s="15" t="str">
        <f t="shared" si="1"/>
        <v/>
      </c>
      <c r="G2073" s="15">
        <f t="shared" si="2"/>
        <v>7.61</v>
      </c>
      <c r="H2073" s="16">
        <v>1.0</v>
      </c>
      <c r="I2073" s="15">
        <f t="shared" si="3"/>
        <v>4.67</v>
      </c>
      <c r="J2073" s="15">
        <v>23.59</v>
      </c>
      <c r="K2073" s="16">
        <f>IF(COUNTIFS(Release_Calendar!$A$2:$A$755,"US_CPI",Release_Calendar!$B$2:$B$755,$A2073)&gt;0,1,0)</f>
        <v>0</v>
      </c>
      <c r="L2073" s="16">
        <f>IF(COUNTIFS(Release_Calendar!$A$2:$A$755,"US_NFP",Release_Calendar!$B$2:$B$755,$A2073)&gt;0,1,0)</f>
        <v>0</v>
      </c>
      <c r="M2073" s="16" t="str">
        <f>IF($A2073&lt;Notes!$B$5,"",IF(COUNTIFS(Release_Calendar!$A$2:$A$755,"NZ_CPI",Release_Calendar!$B$2:$B$755,$A2073)&gt;0,1,0))</f>
        <v/>
      </c>
      <c r="N2073" s="16" t="str">
        <f>IF($A2073&lt;Notes!$B$5,"",IF(COUNTIFS(Release_Calendar!$A$2:$A$755,"NZ_GDP",Release_Calendar!$B$2:$B$755,$A2073)&gt;0,1,0))</f>
        <v/>
      </c>
      <c r="O2073" s="16" t="str">
        <f>IF($A2073&lt;Notes!$B$5,"",IF(COUNTIFS(Release_Calendar!$A$2:$A$755,"NZ_LABOUR",Release_Calendar!$B$2:$B$755,$A2073)&gt;0,1,0))</f>
        <v/>
      </c>
      <c r="P2073" s="16">
        <f t="shared" si="4"/>
        <v>0</v>
      </c>
    </row>
    <row r="2074" ht="15.75" customHeight="1">
      <c r="A2074" s="14">
        <v>39428.0</v>
      </c>
      <c r="B2074" s="15">
        <v>3.07</v>
      </c>
      <c r="C2074" s="15"/>
      <c r="D2074" s="15">
        <v>7.56</v>
      </c>
      <c r="E2074" s="15"/>
      <c r="F2074" s="15" t="str">
        <f t="shared" si="1"/>
        <v/>
      </c>
      <c r="G2074" s="15">
        <f t="shared" si="2"/>
        <v>7.56</v>
      </c>
      <c r="H2074" s="16">
        <v>1.0</v>
      </c>
      <c r="I2074" s="15">
        <f t="shared" si="3"/>
        <v>4.49</v>
      </c>
      <c r="J2074" s="15">
        <v>22.47</v>
      </c>
      <c r="K2074" s="16">
        <f>IF(COUNTIFS(Release_Calendar!$A$2:$A$755,"US_CPI",Release_Calendar!$B$2:$B$755,$A2074)&gt;0,1,0)</f>
        <v>0</v>
      </c>
      <c r="L2074" s="16">
        <f>IF(COUNTIFS(Release_Calendar!$A$2:$A$755,"US_NFP",Release_Calendar!$B$2:$B$755,$A2074)&gt;0,1,0)</f>
        <v>0</v>
      </c>
      <c r="M2074" s="16" t="str">
        <f>IF($A2074&lt;Notes!$B$5,"",IF(COUNTIFS(Release_Calendar!$A$2:$A$755,"NZ_CPI",Release_Calendar!$B$2:$B$755,$A2074)&gt;0,1,0))</f>
        <v/>
      </c>
      <c r="N2074" s="16" t="str">
        <f>IF($A2074&lt;Notes!$B$5,"",IF(COUNTIFS(Release_Calendar!$A$2:$A$755,"NZ_GDP",Release_Calendar!$B$2:$B$755,$A2074)&gt;0,1,0))</f>
        <v/>
      </c>
      <c r="O2074" s="16" t="str">
        <f>IF($A2074&lt;Notes!$B$5,"",IF(COUNTIFS(Release_Calendar!$A$2:$A$755,"NZ_LABOUR",Release_Calendar!$B$2:$B$755,$A2074)&gt;0,1,0))</f>
        <v/>
      </c>
      <c r="P2074" s="16">
        <f t="shared" si="4"/>
        <v>0</v>
      </c>
    </row>
    <row r="2075" ht="15.75" customHeight="1">
      <c r="A2075" s="14">
        <v>39429.0</v>
      </c>
      <c r="B2075" s="15">
        <v>3.21</v>
      </c>
      <c r="C2075" s="15"/>
      <c r="D2075" s="15">
        <v>7.59</v>
      </c>
      <c r="E2075" s="15"/>
      <c r="F2075" s="15" t="str">
        <f t="shared" si="1"/>
        <v/>
      </c>
      <c r="G2075" s="15">
        <f t="shared" si="2"/>
        <v>7.59</v>
      </c>
      <c r="H2075" s="16">
        <v>1.0</v>
      </c>
      <c r="I2075" s="15">
        <f t="shared" si="3"/>
        <v>4.38</v>
      </c>
      <c r="J2075" s="15">
        <v>22.56</v>
      </c>
      <c r="K2075" s="16">
        <f>IF(COUNTIFS(Release_Calendar!$A$2:$A$755,"US_CPI",Release_Calendar!$B$2:$B$755,$A2075)&gt;0,1,0)</f>
        <v>0</v>
      </c>
      <c r="L2075" s="16">
        <f>IF(COUNTIFS(Release_Calendar!$A$2:$A$755,"US_NFP",Release_Calendar!$B$2:$B$755,$A2075)&gt;0,1,0)</f>
        <v>0</v>
      </c>
      <c r="M2075" s="16" t="str">
        <f>IF($A2075&lt;Notes!$B$5,"",IF(COUNTIFS(Release_Calendar!$A$2:$A$755,"NZ_CPI",Release_Calendar!$B$2:$B$755,$A2075)&gt;0,1,0))</f>
        <v/>
      </c>
      <c r="N2075" s="16" t="str">
        <f>IF($A2075&lt;Notes!$B$5,"",IF(COUNTIFS(Release_Calendar!$A$2:$A$755,"NZ_GDP",Release_Calendar!$B$2:$B$755,$A2075)&gt;0,1,0))</f>
        <v/>
      </c>
      <c r="O2075" s="16" t="str">
        <f>IF($A2075&lt;Notes!$B$5,"",IF(COUNTIFS(Release_Calendar!$A$2:$A$755,"NZ_LABOUR",Release_Calendar!$B$2:$B$755,$A2075)&gt;0,1,0))</f>
        <v/>
      </c>
      <c r="P2075" s="16">
        <f t="shared" si="4"/>
        <v>0</v>
      </c>
    </row>
    <row r="2076" ht="15.75" customHeight="1">
      <c r="A2076" s="14">
        <v>39430.0</v>
      </c>
      <c r="B2076" s="15">
        <v>3.31</v>
      </c>
      <c r="C2076" s="15"/>
      <c r="D2076" s="15">
        <v>7.45</v>
      </c>
      <c r="E2076" s="15"/>
      <c r="F2076" s="15" t="str">
        <f t="shared" si="1"/>
        <v/>
      </c>
      <c r="G2076" s="15">
        <f t="shared" si="2"/>
        <v>7.45</v>
      </c>
      <c r="H2076" s="16">
        <v>1.0</v>
      </c>
      <c r="I2076" s="15">
        <f t="shared" si="3"/>
        <v>4.14</v>
      </c>
      <c r="J2076" s="15">
        <v>23.27</v>
      </c>
      <c r="K2076" s="16">
        <f>IF(COUNTIFS(Release_Calendar!$A$2:$A$755,"US_CPI",Release_Calendar!$B$2:$B$755,$A2076)&gt;0,1,0)</f>
        <v>1</v>
      </c>
      <c r="L2076" s="16">
        <f>IF(COUNTIFS(Release_Calendar!$A$2:$A$755,"US_NFP",Release_Calendar!$B$2:$B$755,$A2076)&gt;0,1,0)</f>
        <v>0</v>
      </c>
      <c r="M2076" s="16" t="str">
        <f>IF($A2076&lt;Notes!$B$5,"",IF(COUNTIFS(Release_Calendar!$A$2:$A$755,"NZ_CPI",Release_Calendar!$B$2:$B$755,$A2076)&gt;0,1,0))</f>
        <v/>
      </c>
      <c r="N2076" s="16" t="str">
        <f>IF($A2076&lt;Notes!$B$5,"",IF(COUNTIFS(Release_Calendar!$A$2:$A$755,"NZ_GDP",Release_Calendar!$B$2:$B$755,$A2076)&gt;0,1,0))</f>
        <v/>
      </c>
      <c r="O2076" s="16" t="str">
        <f>IF($A2076&lt;Notes!$B$5,"",IF(COUNTIFS(Release_Calendar!$A$2:$A$755,"NZ_LABOUR",Release_Calendar!$B$2:$B$755,$A2076)&gt;0,1,0))</f>
        <v/>
      </c>
      <c r="P2076" s="16">
        <f t="shared" si="4"/>
        <v>1</v>
      </c>
    </row>
    <row r="2077" ht="15.75" customHeight="1">
      <c r="A2077" s="14">
        <v>39433.0</v>
      </c>
      <c r="B2077" s="15">
        <v>3.24</v>
      </c>
      <c r="C2077" s="15"/>
      <c r="D2077" s="15">
        <v>7.46</v>
      </c>
      <c r="E2077" s="15"/>
      <c r="F2077" s="15" t="str">
        <f t="shared" si="1"/>
        <v/>
      </c>
      <c r="G2077" s="15">
        <f t="shared" si="2"/>
        <v>7.46</v>
      </c>
      <c r="H2077" s="16">
        <v>1.0</v>
      </c>
      <c r="I2077" s="15">
        <f t="shared" si="3"/>
        <v>4.22</v>
      </c>
      <c r="J2077" s="15">
        <v>24.52</v>
      </c>
      <c r="K2077" s="16">
        <f>IF(COUNTIFS(Release_Calendar!$A$2:$A$755,"US_CPI",Release_Calendar!$B$2:$B$755,$A2077)&gt;0,1,0)</f>
        <v>0</v>
      </c>
      <c r="L2077" s="16">
        <f>IF(COUNTIFS(Release_Calendar!$A$2:$A$755,"US_NFP",Release_Calendar!$B$2:$B$755,$A2077)&gt;0,1,0)</f>
        <v>0</v>
      </c>
      <c r="M2077" s="16" t="str">
        <f>IF($A2077&lt;Notes!$B$5,"",IF(COUNTIFS(Release_Calendar!$A$2:$A$755,"NZ_CPI",Release_Calendar!$B$2:$B$755,$A2077)&gt;0,1,0))</f>
        <v/>
      </c>
      <c r="N2077" s="16" t="str">
        <f>IF($A2077&lt;Notes!$B$5,"",IF(COUNTIFS(Release_Calendar!$A$2:$A$755,"NZ_GDP",Release_Calendar!$B$2:$B$755,$A2077)&gt;0,1,0))</f>
        <v/>
      </c>
      <c r="O2077" s="16" t="str">
        <f>IF($A2077&lt;Notes!$B$5,"",IF(COUNTIFS(Release_Calendar!$A$2:$A$755,"NZ_LABOUR",Release_Calendar!$B$2:$B$755,$A2077)&gt;0,1,0))</f>
        <v/>
      </c>
      <c r="P2077" s="16">
        <f t="shared" si="4"/>
        <v>0</v>
      </c>
    </row>
    <row r="2078" ht="15.75" customHeight="1">
      <c r="A2078" s="14">
        <v>39434.0</v>
      </c>
      <c r="B2078" s="15">
        <v>3.19</v>
      </c>
      <c r="C2078" s="15"/>
      <c r="D2078" s="15">
        <v>7.43</v>
      </c>
      <c r="E2078" s="15"/>
      <c r="F2078" s="15" t="str">
        <f t="shared" si="1"/>
        <v/>
      </c>
      <c r="G2078" s="15">
        <f t="shared" si="2"/>
        <v>7.43</v>
      </c>
      <c r="H2078" s="16">
        <v>1.0</v>
      </c>
      <c r="I2078" s="15">
        <f t="shared" si="3"/>
        <v>4.24</v>
      </c>
      <c r="J2078" s="15">
        <v>22.64</v>
      </c>
      <c r="K2078" s="16">
        <f>IF(COUNTIFS(Release_Calendar!$A$2:$A$755,"US_CPI",Release_Calendar!$B$2:$B$755,$A2078)&gt;0,1,0)</f>
        <v>0</v>
      </c>
      <c r="L2078" s="16">
        <f>IF(COUNTIFS(Release_Calendar!$A$2:$A$755,"US_NFP",Release_Calendar!$B$2:$B$755,$A2078)&gt;0,1,0)</f>
        <v>0</v>
      </c>
      <c r="M2078" s="16" t="str">
        <f>IF($A2078&lt;Notes!$B$5,"",IF(COUNTIFS(Release_Calendar!$A$2:$A$755,"NZ_CPI",Release_Calendar!$B$2:$B$755,$A2078)&gt;0,1,0))</f>
        <v/>
      </c>
      <c r="N2078" s="16" t="str">
        <f>IF($A2078&lt;Notes!$B$5,"",IF(COUNTIFS(Release_Calendar!$A$2:$A$755,"NZ_GDP",Release_Calendar!$B$2:$B$755,$A2078)&gt;0,1,0))</f>
        <v/>
      </c>
      <c r="O2078" s="16" t="str">
        <f>IF($A2078&lt;Notes!$B$5,"",IF(COUNTIFS(Release_Calendar!$A$2:$A$755,"NZ_LABOUR",Release_Calendar!$B$2:$B$755,$A2078)&gt;0,1,0))</f>
        <v/>
      </c>
      <c r="P2078" s="16">
        <f t="shared" si="4"/>
        <v>0</v>
      </c>
    </row>
    <row r="2079" ht="15.75" customHeight="1">
      <c r="A2079" s="14">
        <v>39435.0</v>
      </c>
      <c r="B2079" s="15">
        <v>3.12</v>
      </c>
      <c r="C2079" s="15"/>
      <c r="D2079" s="15">
        <v>7.43</v>
      </c>
      <c r="E2079" s="15"/>
      <c r="F2079" s="15" t="str">
        <f t="shared" si="1"/>
        <v/>
      </c>
      <c r="G2079" s="15">
        <f t="shared" si="2"/>
        <v>7.43</v>
      </c>
      <c r="H2079" s="16">
        <v>1.0</v>
      </c>
      <c r="I2079" s="15">
        <f t="shared" si="3"/>
        <v>4.31</v>
      </c>
      <c r="J2079" s="15">
        <v>21.68</v>
      </c>
      <c r="K2079" s="16">
        <f>IF(COUNTIFS(Release_Calendar!$A$2:$A$755,"US_CPI",Release_Calendar!$B$2:$B$755,$A2079)&gt;0,1,0)</f>
        <v>0</v>
      </c>
      <c r="L2079" s="16">
        <f>IF(COUNTIFS(Release_Calendar!$A$2:$A$755,"US_NFP",Release_Calendar!$B$2:$B$755,$A2079)&gt;0,1,0)</f>
        <v>0</v>
      </c>
      <c r="M2079" s="16" t="str">
        <f>IF($A2079&lt;Notes!$B$5,"",IF(COUNTIFS(Release_Calendar!$A$2:$A$755,"NZ_CPI",Release_Calendar!$B$2:$B$755,$A2079)&gt;0,1,0))</f>
        <v/>
      </c>
      <c r="N2079" s="16" t="str">
        <f>IF($A2079&lt;Notes!$B$5,"",IF(COUNTIFS(Release_Calendar!$A$2:$A$755,"NZ_GDP",Release_Calendar!$B$2:$B$755,$A2079)&gt;0,1,0))</f>
        <v/>
      </c>
      <c r="O2079" s="16" t="str">
        <f>IF($A2079&lt;Notes!$B$5,"",IF(COUNTIFS(Release_Calendar!$A$2:$A$755,"NZ_LABOUR",Release_Calendar!$B$2:$B$755,$A2079)&gt;0,1,0))</f>
        <v/>
      </c>
      <c r="P2079" s="16">
        <f t="shared" si="4"/>
        <v>0</v>
      </c>
    </row>
    <row r="2080" ht="15.75" customHeight="1">
      <c r="A2080" s="14">
        <v>39436.0</v>
      </c>
      <c r="B2080" s="15">
        <v>3.09</v>
      </c>
      <c r="C2080" s="15"/>
      <c r="D2080" s="15">
        <v>7.38</v>
      </c>
      <c r="E2080" s="15"/>
      <c r="F2080" s="15" t="str">
        <f t="shared" si="1"/>
        <v/>
      </c>
      <c r="G2080" s="15">
        <f t="shared" si="2"/>
        <v>7.38</v>
      </c>
      <c r="H2080" s="16">
        <v>1.0</v>
      </c>
      <c r="I2080" s="15">
        <f t="shared" si="3"/>
        <v>4.29</v>
      </c>
      <c r="J2080" s="15">
        <v>20.58</v>
      </c>
      <c r="K2080" s="16">
        <f>IF(COUNTIFS(Release_Calendar!$A$2:$A$755,"US_CPI",Release_Calendar!$B$2:$B$755,$A2080)&gt;0,1,0)</f>
        <v>0</v>
      </c>
      <c r="L2080" s="16">
        <f>IF(COUNTIFS(Release_Calendar!$A$2:$A$755,"US_NFP",Release_Calendar!$B$2:$B$755,$A2080)&gt;0,1,0)</f>
        <v>0</v>
      </c>
      <c r="M2080" s="16" t="str">
        <f>IF($A2080&lt;Notes!$B$5,"",IF(COUNTIFS(Release_Calendar!$A$2:$A$755,"NZ_CPI",Release_Calendar!$B$2:$B$755,$A2080)&gt;0,1,0))</f>
        <v/>
      </c>
      <c r="N2080" s="16" t="str">
        <f>IF($A2080&lt;Notes!$B$5,"",IF(COUNTIFS(Release_Calendar!$A$2:$A$755,"NZ_GDP",Release_Calendar!$B$2:$B$755,$A2080)&gt;0,1,0))</f>
        <v/>
      </c>
      <c r="O2080" s="16" t="str">
        <f>IF($A2080&lt;Notes!$B$5,"",IF(COUNTIFS(Release_Calendar!$A$2:$A$755,"NZ_LABOUR",Release_Calendar!$B$2:$B$755,$A2080)&gt;0,1,0))</f>
        <v/>
      </c>
      <c r="P2080" s="16">
        <f t="shared" si="4"/>
        <v>0</v>
      </c>
    </row>
    <row r="2081" ht="15.75" customHeight="1">
      <c r="A2081" s="14">
        <v>39437.0</v>
      </c>
      <c r="B2081" s="15">
        <v>3.19</v>
      </c>
      <c r="C2081" s="15"/>
      <c r="D2081" s="15">
        <v>7.41</v>
      </c>
      <c r="E2081" s="15"/>
      <c r="F2081" s="15" t="str">
        <f t="shared" si="1"/>
        <v/>
      </c>
      <c r="G2081" s="15">
        <f t="shared" si="2"/>
        <v>7.41</v>
      </c>
      <c r="H2081" s="16">
        <v>1.0</v>
      </c>
      <c r="I2081" s="15">
        <f t="shared" si="3"/>
        <v>4.22</v>
      </c>
      <c r="J2081" s="15">
        <v>18.47</v>
      </c>
      <c r="K2081" s="16">
        <f>IF(COUNTIFS(Release_Calendar!$A$2:$A$755,"US_CPI",Release_Calendar!$B$2:$B$755,$A2081)&gt;0,1,0)</f>
        <v>0</v>
      </c>
      <c r="L2081" s="16">
        <f>IF(COUNTIFS(Release_Calendar!$A$2:$A$755,"US_NFP",Release_Calendar!$B$2:$B$755,$A2081)&gt;0,1,0)</f>
        <v>0</v>
      </c>
      <c r="M2081" s="16" t="str">
        <f>IF($A2081&lt;Notes!$B$5,"",IF(COUNTIFS(Release_Calendar!$A$2:$A$755,"NZ_CPI",Release_Calendar!$B$2:$B$755,$A2081)&gt;0,1,0))</f>
        <v/>
      </c>
      <c r="N2081" s="16" t="str">
        <f>IF($A2081&lt;Notes!$B$5,"",IF(COUNTIFS(Release_Calendar!$A$2:$A$755,"NZ_GDP",Release_Calendar!$B$2:$B$755,$A2081)&gt;0,1,0))</f>
        <v/>
      </c>
      <c r="O2081" s="16" t="str">
        <f>IF($A2081&lt;Notes!$B$5,"",IF(COUNTIFS(Release_Calendar!$A$2:$A$755,"NZ_LABOUR",Release_Calendar!$B$2:$B$755,$A2081)&gt;0,1,0))</f>
        <v/>
      </c>
      <c r="P2081" s="16">
        <f t="shared" si="4"/>
        <v>0</v>
      </c>
    </row>
    <row r="2082" ht="15.75" customHeight="1">
      <c r="A2082" s="14">
        <v>39440.0</v>
      </c>
      <c r="B2082" s="15">
        <v>3.24</v>
      </c>
      <c r="C2082" s="15"/>
      <c r="D2082" s="15">
        <v>7.41</v>
      </c>
      <c r="E2082" s="15"/>
      <c r="F2082" s="15" t="str">
        <f t="shared" si="1"/>
        <v/>
      </c>
      <c r="G2082" s="15">
        <f t="shared" si="2"/>
        <v>7.41</v>
      </c>
      <c r="H2082" s="16">
        <v>1.0</v>
      </c>
      <c r="I2082" s="15">
        <f t="shared" si="3"/>
        <v>4.17</v>
      </c>
      <c r="J2082" s="15">
        <v>18.6</v>
      </c>
      <c r="K2082" s="16">
        <f>IF(COUNTIFS(Release_Calendar!$A$2:$A$755,"US_CPI",Release_Calendar!$B$2:$B$755,$A2082)&gt;0,1,0)</f>
        <v>0</v>
      </c>
      <c r="L2082" s="16">
        <f>IF(COUNTIFS(Release_Calendar!$A$2:$A$755,"US_NFP",Release_Calendar!$B$2:$B$755,$A2082)&gt;0,1,0)</f>
        <v>0</v>
      </c>
      <c r="M2082" s="16" t="str">
        <f>IF($A2082&lt;Notes!$B$5,"",IF(COUNTIFS(Release_Calendar!$A$2:$A$755,"NZ_CPI",Release_Calendar!$B$2:$B$755,$A2082)&gt;0,1,0))</f>
        <v/>
      </c>
      <c r="N2082" s="16" t="str">
        <f>IF($A2082&lt;Notes!$B$5,"",IF(COUNTIFS(Release_Calendar!$A$2:$A$755,"NZ_GDP",Release_Calendar!$B$2:$B$755,$A2082)&gt;0,1,0))</f>
        <v/>
      </c>
      <c r="O2082" s="16" t="str">
        <f>IF($A2082&lt;Notes!$B$5,"",IF(COUNTIFS(Release_Calendar!$A$2:$A$755,"NZ_LABOUR",Release_Calendar!$B$2:$B$755,$A2082)&gt;0,1,0))</f>
        <v/>
      </c>
      <c r="P2082" s="16">
        <f t="shared" si="4"/>
        <v>0</v>
      </c>
    </row>
    <row r="2083" ht="15.75" customHeight="1">
      <c r="A2083" s="14">
        <v>39441.0</v>
      </c>
      <c r="B2083" s="15"/>
      <c r="C2083" s="15"/>
      <c r="D2083" s="15"/>
      <c r="E2083" s="15"/>
      <c r="F2083" s="15" t="str">
        <f t="shared" si="1"/>
        <v/>
      </c>
      <c r="G2083" s="15" t="str">
        <f t="shared" si="2"/>
        <v/>
      </c>
      <c r="H2083" s="16">
        <v>1.0</v>
      </c>
      <c r="I2083" s="15" t="str">
        <f t="shared" si="3"/>
        <v/>
      </c>
      <c r="J2083" s="15"/>
      <c r="K2083" s="16">
        <f>IF(COUNTIFS(Release_Calendar!$A$2:$A$755,"US_CPI",Release_Calendar!$B$2:$B$755,$A2083)&gt;0,1,0)</f>
        <v>0</v>
      </c>
      <c r="L2083" s="16">
        <f>IF(COUNTIFS(Release_Calendar!$A$2:$A$755,"US_NFP",Release_Calendar!$B$2:$B$755,$A2083)&gt;0,1,0)</f>
        <v>0</v>
      </c>
      <c r="M2083" s="16" t="str">
        <f>IF($A2083&lt;Notes!$B$5,"",IF(COUNTIFS(Release_Calendar!$A$2:$A$755,"NZ_CPI",Release_Calendar!$B$2:$B$755,$A2083)&gt;0,1,0))</f>
        <v/>
      </c>
      <c r="N2083" s="16" t="str">
        <f>IF($A2083&lt;Notes!$B$5,"",IF(COUNTIFS(Release_Calendar!$A$2:$A$755,"NZ_GDP",Release_Calendar!$B$2:$B$755,$A2083)&gt;0,1,0))</f>
        <v/>
      </c>
      <c r="O2083" s="16" t="str">
        <f>IF($A2083&lt;Notes!$B$5,"",IF(COUNTIFS(Release_Calendar!$A$2:$A$755,"NZ_LABOUR",Release_Calendar!$B$2:$B$755,$A2083)&gt;0,1,0))</f>
        <v/>
      </c>
      <c r="P2083" s="16">
        <f t="shared" si="4"/>
        <v>0</v>
      </c>
    </row>
    <row r="2084" ht="15.75" customHeight="1">
      <c r="A2084" s="14">
        <v>39442.0</v>
      </c>
      <c r="B2084" s="15">
        <v>3.31</v>
      </c>
      <c r="C2084" s="15"/>
      <c r="D2084" s="15"/>
      <c r="E2084" s="15"/>
      <c r="F2084" s="15" t="str">
        <f t="shared" si="1"/>
        <v/>
      </c>
      <c r="G2084" s="15" t="str">
        <f t="shared" si="2"/>
        <v/>
      </c>
      <c r="H2084" s="16">
        <v>1.0</v>
      </c>
      <c r="I2084" s="15" t="str">
        <f t="shared" si="3"/>
        <v/>
      </c>
      <c r="J2084" s="15">
        <v>18.66</v>
      </c>
      <c r="K2084" s="16">
        <f>IF(COUNTIFS(Release_Calendar!$A$2:$A$755,"US_CPI",Release_Calendar!$B$2:$B$755,$A2084)&gt;0,1,0)</f>
        <v>0</v>
      </c>
      <c r="L2084" s="16">
        <f>IF(COUNTIFS(Release_Calendar!$A$2:$A$755,"US_NFP",Release_Calendar!$B$2:$B$755,$A2084)&gt;0,1,0)</f>
        <v>0</v>
      </c>
      <c r="M2084" s="16" t="str">
        <f>IF($A2084&lt;Notes!$B$5,"",IF(COUNTIFS(Release_Calendar!$A$2:$A$755,"NZ_CPI",Release_Calendar!$B$2:$B$755,$A2084)&gt;0,1,0))</f>
        <v/>
      </c>
      <c r="N2084" s="16" t="str">
        <f>IF($A2084&lt;Notes!$B$5,"",IF(COUNTIFS(Release_Calendar!$A$2:$A$755,"NZ_GDP",Release_Calendar!$B$2:$B$755,$A2084)&gt;0,1,0))</f>
        <v/>
      </c>
      <c r="O2084" s="16" t="str">
        <f>IF($A2084&lt;Notes!$B$5,"",IF(COUNTIFS(Release_Calendar!$A$2:$A$755,"NZ_LABOUR",Release_Calendar!$B$2:$B$755,$A2084)&gt;0,1,0))</f>
        <v/>
      </c>
      <c r="P2084" s="16">
        <f t="shared" si="4"/>
        <v>0</v>
      </c>
    </row>
    <row r="2085" ht="15.75" customHeight="1">
      <c r="A2085" s="14">
        <v>39443.0</v>
      </c>
      <c r="B2085" s="15">
        <v>3.24</v>
      </c>
      <c r="C2085" s="15"/>
      <c r="D2085" s="15">
        <v>7.45</v>
      </c>
      <c r="E2085" s="15"/>
      <c r="F2085" s="15" t="str">
        <f t="shared" si="1"/>
        <v/>
      </c>
      <c r="G2085" s="15">
        <f t="shared" si="2"/>
        <v>7.45</v>
      </c>
      <c r="H2085" s="16">
        <v>1.0</v>
      </c>
      <c r="I2085" s="15">
        <f t="shared" si="3"/>
        <v>4.21</v>
      </c>
      <c r="J2085" s="15">
        <v>20.26</v>
      </c>
      <c r="K2085" s="16">
        <f>IF(COUNTIFS(Release_Calendar!$A$2:$A$755,"US_CPI",Release_Calendar!$B$2:$B$755,$A2085)&gt;0,1,0)</f>
        <v>0</v>
      </c>
      <c r="L2085" s="16">
        <f>IF(COUNTIFS(Release_Calendar!$A$2:$A$755,"US_NFP",Release_Calendar!$B$2:$B$755,$A2085)&gt;0,1,0)</f>
        <v>0</v>
      </c>
      <c r="M2085" s="16" t="str">
        <f>IF($A2085&lt;Notes!$B$5,"",IF(COUNTIFS(Release_Calendar!$A$2:$A$755,"NZ_CPI",Release_Calendar!$B$2:$B$755,$A2085)&gt;0,1,0))</f>
        <v/>
      </c>
      <c r="N2085" s="16" t="str">
        <f>IF($A2085&lt;Notes!$B$5,"",IF(COUNTIFS(Release_Calendar!$A$2:$A$755,"NZ_GDP",Release_Calendar!$B$2:$B$755,$A2085)&gt;0,1,0))</f>
        <v/>
      </c>
      <c r="O2085" s="16" t="str">
        <f>IF($A2085&lt;Notes!$B$5,"",IF(COUNTIFS(Release_Calendar!$A$2:$A$755,"NZ_LABOUR",Release_Calendar!$B$2:$B$755,$A2085)&gt;0,1,0))</f>
        <v/>
      </c>
      <c r="P2085" s="16">
        <f t="shared" si="4"/>
        <v>0</v>
      </c>
    </row>
    <row r="2086" ht="15.75" customHeight="1">
      <c r="A2086" s="14">
        <v>39444.0</v>
      </c>
      <c r="B2086" s="15">
        <v>3.12</v>
      </c>
      <c r="C2086" s="15"/>
      <c r="D2086" s="15">
        <v>7.36</v>
      </c>
      <c r="E2086" s="15"/>
      <c r="F2086" s="15" t="str">
        <f t="shared" si="1"/>
        <v/>
      </c>
      <c r="G2086" s="15">
        <f t="shared" si="2"/>
        <v>7.36</v>
      </c>
      <c r="H2086" s="16">
        <v>1.0</v>
      </c>
      <c r="I2086" s="15">
        <f t="shared" si="3"/>
        <v>4.24</v>
      </c>
      <c r="J2086" s="15">
        <v>20.74</v>
      </c>
      <c r="K2086" s="16">
        <f>IF(COUNTIFS(Release_Calendar!$A$2:$A$755,"US_CPI",Release_Calendar!$B$2:$B$755,$A2086)&gt;0,1,0)</f>
        <v>0</v>
      </c>
      <c r="L2086" s="16">
        <f>IF(COUNTIFS(Release_Calendar!$A$2:$A$755,"US_NFP",Release_Calendar!$B$2:$B$755,$A2086)&gt;0,1,0)</f>
        <v>0</v>
      </c>
      <c r="M2086" s="16" t="str">
        <f>IF($A2086&lt;Notes!$B$5,"",IF(COUNTIFS(Release_Calendar!$A$2:$A$755,"NZ_CPI",Release_Calendar!$B$2:$B$755,$A2086)&gt;0,1,0))</f>
        <v/>
      </c>
      <c r="N2086" s="16" t="str">
        <f>IF($A2086&lt;Notes!$B$5,"",IF(COUNTIFS(Release_Calendar!$A$2:$A$755,"NZ_GDP",Release_Calendar!$B$2:$B$755,$A2086)&gt;0,1,0))</f>
        <v/>
      </c>
      <c r="O2086" s="16" t="str">
        <f>IF($A2086&lt;Notes!$B$5,"",IF(COUNTIFS(Release_Calendar!$A$2:$A$755,"NZ_LABOUR",Release_Calendar!$B$2:$B$755,$A2086)&gt;0,1,0))</f>
        <v/>
      </c>
      <c r="P2086" s="16">
        <f t="shared" si="4"/>
        <v>0</v>
      </c>
    </row>
    <row r="2087" ht="15.75" customHeight="1">
      <c r="A2087" s="14">
        <v>39447.0</v>
      </c>
      <c r="B2087" s="15">
        <v>3.05</v>
      </c>
      <c r="C2087" s="15"/>
      <c r="D2087" s="15">
        <v>7.35</v>
      </c>
      <c r="E2087" s="15"/>
      <c r="F2087" s="15" t="str">
        <f t="shared" si="1"/>
        <v/>
      </c>
      <c r="G2087" s="15">
        <f t="shared" si="2"/>
        <v>7.35</v>
      </c>
      <c r="H2087" s="16">
        <v>1.0</v>
      </c>
      <c r="I2087" s="15">
        <f t="shared" si="3"/>
        <v>4.3</v>
      </c>
      <c r="J2087" s="15">
        <v>22.5</v>
      </c>
      <c r="K2087" s="16">
        <f>IF(COUNTIFS(Release_Calendar!$A$2:$A$755,"US_CPI",Release_Calendar!$B$2:$B$755,$A2087)&gt;0,1,0)</f>
        <v>0</v>
      </c>
      <c r="L2087" s="16">
        <f>IF(COUNTIFS(Release_Calendar!$A$2:$A$755,"US_NFP",Release_Calendar!$B$2:$B$755,$A2087)&gt;0,1,0)</f>
        <v>0</v>
      </c>
      <c r="M2087" s="16" t="str">
        <f>IF($A2087&lt;Notes!$B$5,"",IF(COUNTIFS(Release_Calendar!$A$2:$A$755,"NZ_CPI",Release_Calendar!$B$2:$B$755,$A2087)&gt;0,1,0))</f>
        <v/>
      </c>
      <c r="N2087" s="16" t="str">
        <f>IF($A2087&lt;Notes!$B$5,"",IF(COUNTIFS(Release_Calendar!$A$2:$A$755,"NZ_GDP",Release_Calendar!$B$2:$B$755,$A2087)&gt;0,1,0))</f>
        <v/>
      </c>
      <c r="O2087" s="16" t="str">
        <f>IF($A2087&lt;Notes!$B$5,"",IF(COUNTIFS(Release_Calendar!$A$2:$A$755,"NZ_LABOUR",Release_Calendar!$B$2:$B$755,$A2087)&gt;0,1,0))</f>
        <v/>
      </c>
      <c r="P2087" s="16">
        <f t="shared" si="4"/>
        <v>0</v>
      </c>
    </row>
    <row r="2088" ht="15.75" customHeight="1">
      <c r="A2088" s="14">
        <v>39448.0</v>
      </c>
      <c r="B2088" s="15"/>
      <c r="C2088" s="15"/>
      <c r="D2088" s="15"/>
      <c r="E2088" s="15"/>
      <c r="F2088" s="15" t="str">
        <f t="shared" si="1"/>
        <v/>
      </c>
      <c r="G2088" s="15" t="str">
        <f t="shared" si="2"/>
        <v/>
      </c>
      <c r="H2088" s="16">
        <v>1.0</v>
      </c>
      <c r="I2088" s="15" t="str">
        <f t="shared" si="3"/>
        <v/>
      </c>
      <c r="J2088" s="15"/>
      <c r="K2088" s="16">
        <f>IF(COUNTIFS(Release_Calendar!$A$2:$A$755,"US_CPI",Release_Calendar!$B$2:$B$755,$A2088)&gt;0,1,0)</f>
        <v>0</v>
      </c>
      <c r="L2088" s="16">
        <f>IF(COUNTIFS(Release_Calendar!$A$2:$A$755,"US_NFP",Release_Calendar!$B$2:$B$755,$A2088)&gt;0,1,0)</f>
        <v>0</v>
      </c>
      <c r="M2088" s="16" t="str">
        <f>IF($A2088&lt;Notes!$B$5,"",IF(COUNTIFS(Release_Calendar!$A$2:$A$755,"NZ_CPI",Release_Calendar!$B$2:$B$755,$A2088)&gt;0,1,0))</f>
        <v/>
      </c>
      <c r="N2088" s="16" t="str">
        <f>IF($A2088&lt;Notes!$B$5,"",IF(COUNTIFS(Release_Calendar!$A$2:$A$755,"NZ_GDP",Release_Calendar!$B$2:$B$755,$A2088)&gt;0,1,0))</f>
        <v/>
      </c>
      <c r="O2088" s="16" t="str">
        <f>IF($A2088&lt;Notes!$B$5,"",IF(COUNTIFS(Release_Calendar!$A$2:$A$755,"NZ_LABOUR",Release_Calendar!$B$2:$B$755,$A2088)&gt;0,1,0))</f>
        <v/>
      </c>
      <c r="P2088" s="16">
        <f t="shared" si="4"/>
        <v>0</v>
      </c>
    </row>
    <row r="2089" ht="15.75" customHeight="1">
      <c r="A2089" s="14">
        <v>39449.0</v>
      </c>
      <c r="B2089" s="15">
        <v>2.88</v>
      </c>
      <c r="C2089" s="15"/>
      <c r="D2089" s="15"/>
      <c r="E2089" s="15"/>
      <c r="F2089" s="15" t="str">
        <f t="shared" si="1"/>
        <v/>
      </c>
      <c r="G2089" s="15" t="str">
        <f t="shared" si="2"/>
        <v/>
      </c>
      <c r="H2089" s="16">
        <v>1.0</v>
      </c>
      <c r="I2089" s="15" t="str">
        <f t="shared" si="3"/>
        <v/>
      </c>
      <c r="J2089" s="15">
        <v>23.17</v>
      </c>
      <c r="K2089" s="16">
        <f>IF(COUNTIFS(Release_Calendar!$A$2:$A$755,"US_CPI",Release_Calendar!$B$2:$B$755,$A2089)&gt;0,1,0)</f>
        <v>0</v>
      </c>
      <c r="L2089" s="16">
        <f>IF(COUNTIFS(Release_Calendar!$A$2:$A$755,"US_NFP",Release_Calendar!$B$2:$B$755,$A2089)&gt;0,1,0)</f>
        <v>0</v>
      </c>
      <c r="M2089" s="16" t="str">
        <f>IF($A2089&lt;Notes!$B$5,"",IF(COUNTIFS(Release_Calendar!$A$2:$A$755,"NZ_CPI",Release_Calendar!$B$2:$B$755,$A2089)&gt;0,1,0))</f>
        <v/>
      </c>
      <c r="N2089" s="16" t="str">
        <f>IF($A2089&lt;Notes!$B$5,"",IF(COUNTIFS(Release_Calendar!$A$2:$A$755,"NZ_GDP",Release_Calendar!$B$2:$B$755,$A2089)&gt;0,1,0))</f>
        <v/>
      </c>
      <c r="O2089" s="16" t="str">
        <f>IF($A2089&lt;Notes!$B$5,"",IF(COUNTIFS(Release_Calendar!$A$2:$A$755,"NZ_LABOUR",Release_Calendar!$B$2:$B$755,$A2089)&gt;0,1,0))</f>
        <v/>
      </c>
      <c r="P2089" s="16">
        <f t="shared" si="4"/>
        <v>0</v>
      </c>
    </row>
    <row r="2090" ht="15.75" customHeight="1">
      <c r="A2090" s="14">
        <v>39450.0</v>
      </c>
      <c r="B2090" s="15">
        <v>2.83</v>
      </c>
      <c r="C2090" s="15"/>
      <c r="D2090" s="15">
        <v>7.35</v>
      </c>
      <c r="E2090" s="15"/>
      <c r="F2090" s="15" t="str">
        <f t="shared" si="1"/>
        <v/>
      </c>
      <c r="G2090" s="15">
        <f t="shared" si="2"/>
        <v>7.35</v>
      </c>
      <c r="H2090" s="16">
        <v>1.0</v>
      </c>
      <c r="I2090" s="15">
        <f t="shared" si="3"/>
        <v>4.52</v>
      </c>
      <c r="J2090" s="15">
        <v>22.49</v>
      </c>
      <c r="K2090" s="16">
        <f>IF(COUNTIFS(Release_Calendar!$A$2:$A$755,"US_CPI",Release_Calendar!$B$2:$B$755,$A2090)&gt;0,1,0)</f>
        <v>0</v>
      </c>
      <c r="L2090" s="16">
        <f>IF(COUNTIFS(Release_Calendar!$A$2:$A$755,"US_NFP",Release_Calendar!$B$2:$B$755,$A2090)&gt;0,1,0)</f>
        <v>0</v>
      </c>
      <c r="M2090" s="16" t="str">
        <f>IF($A2090&lt;Notes!$B$5,"",IF(COUNTIFS(Release_Calendar!$A$2:$A$755,"NZ_CPI",Release_Calendar!$B$2:$B$755,$A2090)&gt;0,1,0))</f>
        <v/>
      </c>
      <c r="N2090" s="16" t="str">
        <f>IF($A2090&lt;Notes!$B$5,"",IF(COUNTIFS(Release_Calendar!$A$2:$A$755,"NZ_GDP",Release_Calendar!$B$2:$B$755,$A2090)&gt;0,1,0))</f>
        <v/>
      </c>
      <c r="O2090" s="16" t="str">
        <f>IF($A2090&lt;Notes!$B$5,"",IF(COUNTIFS(Release_Calendar!$A$2:$A$755,"NZ_LABOUR",Release_Calendar!$B$2:$B$755,$A2090)&gt;0,1,0))</f>
        <v/>
      </c>
      <c r="P2090" s="16">
        <f t="shared" si="4"/>
        <v>0</v>
      </c>
    </row>
    <row r="2091" ht="15.75" customHeight="1">
      <c r="A2091" s="14">
        <v>39451.0</v>
      </c>
      <c r="B2091" s="15">
        <v>2.74</v>
      </c>
      <c r="C2091" s="15"/>
      <c r="D2091" s="15">
        <v>7.3</v>
      </c>
      <c r="E2091" s="15"/>
      <c r="F2091" s="15" t="str">
        <f t="shared" si="1"/>
        <v/>
      </c>
      <c r="G2091" s="15">
        <f t="shared" si="2"/>
        <v>7.3</v>
      </c>
      <c r="H2091" s="16">
        <v>1.0</v>
      </c>
      <c r="I2091" s="15">
        <f t="shared" si="3"/>
        <v>4.56</v>
      </c>
      <c r="J2091" s="15">
        <v>23.94</v>
      </c>
      <c r="K2091" s="16">
        <f>IF(COUNTIFS(Release_Calendar!$A$2:$A$755,"US_CPI",Release_Calendar!$B$2:$B$755,$A2091)&gt;0,1,0)</f>
        <v>0</v>
      </c>
      <c r="L2091" s="16">
        <f>IF(COUNTIFS(Release_Calendar!$A$2:$A$755,"US_NFP",Release_Calendar!$B$2:$B$755,$A2091)&gt;0,1,0)</f>
        <v>1</v>
      </c>
      <c r="M2091" s="16" t="str">
        <f>IF($A2091&lt;Notes!$B$5,"",IF(COUNTIFS(Release_Calendar!$A$2:$A$755,"NZ_CPI",Release_Calendar!$B$2:$B$755,$A2091)&gt;0,1,0))</f>
        <v/>
      </c>
      <c r="N2091" s="16" t="str">
        <f>IF($A2091&lt;Notes!$B$5,"",IF(COUNTIFS(Release_Calendar!$A$2:$A$755,"NZ_GDP",Release_Calendar!$B$2:$B$755,$A2091)&gt;0,1,0))</f>
        <v/>
      </c>
      <c r="O2091" s="16" t="str">
        <f>IF($A2091&lt;Notes!$B$5,"",IF(COUNTIFS(Release_Calendar!$A$2:$A$755,"NZ_LABOUR",Release_Calendar!$B$2:$B$755,$A2091)&gt;0,1,0))</f>
        <v/>
      </c>
      <c r="P2091" s="16">
        <f t="shared" si="4"/>
        <v>1</v>
      </c>
    </row>
    <row r="2092" ht="15.75" customHeight="1">
      <c r="A2092" s="14">
        <v>39454.0</v>
      </c>
      <c r="B2092" s="15">
        <v>2.76</v>
      </c>
      <c r="C2092" s="15"/>
      <c r="D2092" s="15">
        <v>7.24</v>
      </c>
      <c r="E2092" s="15"/>
      <c r="F2092" s="15" t="str">
        <f t="shared" si="1"/>
        <v/>
      </c>
      <c r="G2092" s="15">
        <f t="shared" si="2"/>
        <v>7.24</v>
      </c>
      <c r="H2092" s="16">
        <v>1.0</v>
      </c>
      <c r="I2092" s="15">
        <f t="shared" si="3"/>
        <v>4.48</v>
      </c>
      <c r="J2092" s="15">
        <v>23.79</v>
      </c>
      <c r="K2092" s="16">
        <f>IF(COUNTIFS(Release_Calendar!$A$2:$A$755,"US_CPI",Release_Calendar!$B$2:$B$755,$A2092)&gt;0,1,0)</f>
        <v>0</v>
      </c>
      <c r="L2092" s="16">
        <f>IF(COUNTIFS(Release_Calendar!$A$2:$A$755,"US_NFP",Release_Calendar!$B$2:$B$755,$A2092)&gt;0,1,0)</f>
        <v>0</v>
      </c>
      <c r="M2092" s="16" t="str">
        <f>IF($A2092&lt;Notes!$B$5,"",IF(COUNTIFS(Release_Calendar!$A$2:$A$755,"NZ_CPI",Release_Calendar!$B$2:$B$755,$A2092)&gt;0,1,0))</f>
        <v/>
      </c>
      <c r="N2092" s="16" t="str">
        <f>IF($A2092&lt;Notes!$B$5,"",IF(COUNTIFS(Release_Calendar!$A$2:$A$755,"NZ_GDP",Release_Calendar!$B$2:$B$755,$A2092)&gt;0,1,0))</f>
        <v/>
      </c>
      <c r="O2092" s="16" t="str">
        <f>IF($A2092&lt;Notes!$B$5,"",IF(COUNTIFS(Release_Calendar!$A$2:$A$755,"NZ_LABOUR",Release_Calendar!$B$2:$B$755,$A2092)&gt;0,1,0))</f>
        <v/>
      </c>
      <c r="P2092" s="16">
        <f t="shared" si="4"/>
        <v>0</v>
      </c>
    </row>
    <row r="2093" ht="15.75" customHeight="1">
      <c r="A2093" s="14">
        <v>39455.0</v>
      </c>
      <c r="B2093" s="15">
        <v>2.76</v>
      </c>
      <c r="C2093" s="15"/>
      <c r="D2093" s="15">
        <v>7.23</v>
      </c>
      <c r="E2093" s="15"/>
      <c r="F2093" s="15" t="str">
        <f t="shared" si="1"/>
        <v/>
      </c>
      <c r="G2093" s="15">
        <f t="shared" si="2"/>
        <v>7.23</v>
      </c>
      <c r="H2093" s="16">
        <v>1.0</v>
      </c>
      <c r="I2093" s="15">
        <f t="shared" si="3"/>
        <v>4.47</v>
      </c>
      <c r="J2093" s="15">
        <v>25.43</v>
      </c>
      <c r="K2093" s="16">
        <f>IF(COUNTIFS(Release_Calendar!$A$2:$A$755,"US_CPI",Release_Calendar!$B$2:$B$755,$A2093)&gt;0,1,0)</f>
        <v>0</v>
      </c>
      <c r="L2093" s="16">
        <f>IF(COUNTIFS(Release_Calendar!$A$2:$A$755,"US_NFP",Release_Calendar!$B$2:$B$755,$A2093)&gt;0,1,0)</f>
        <v>0</v>
      </c>
      <c r="M2093" s="16" t="str">
        <f>IF($A2093&lt;Notes!$B$5,"",IF(COUNTIFS(Release_Calendar!$A$2:$A$755,"NZ_CPI",Release_Calendar!$B$2:$B$755,$A2093)&gt;0,1,0))</f>
        <v/>
      </c>
      <c r="N2093" s="16" t="str">
        <f>IF($A2093&lt;Notes!$B$5,"",IF(COUNTIFS(Release_Calendar!$A$2:$A$755,"NZ_GDP",Release_Calendar!$B$2:$B$755,$A2093)&gt;0,1,0))</f>
        <v/>
      </c>
      <c r="O2093" s="16" t="str">
        <f>IF($A2093&lt;Notes!$B$5,"",IF(COUNTIFS(Release_Calendar!$A$2:$A$755,"NZ_LABOUR",Release_Calendar!$B$2:$B$755,$A2093)&gt;0,1,0))</f>
        <v/>
      </c>
      <c r="P2093" s="16">
        <f t="shared" si="4"/>
        <v>0</v>
      </c>
    </row>
    <row r="2094" ht="15.75" customHeight="1">
      <c r="A2094" s="14">
        <v>39456.0</v>
      </c>
      <c r="B2094" s="15">
        <v>2.69</v>
      </c>
      <c r="C2094" s="15"/>
      <c r="D2094" s="15">
        <v>7.25</v>
      </c>
      <c r="E2094" s="15"/>
      <c r="F2094" s="15" t="str">
        <f t="shared" si="1"/>
        <v/>
      </c>
      <c r="G2094" s="15">
        <f t="shared" si="2"/>
        <v>7.25</v>
      </c>
      <c r="H2094" s="16">
        <v>1.0</v>
      </c>
      <c r="I2094" s="15">
        <f t="shared" si="3"/>
        <v>4.56</v>
      </c>
      <c r="J2094" s="15">
        <v>24.12</v>
      </c>
      <c r="K2094" s="16">
        <f>IF(COUNTIFS(Release_Calendar!$A$2:$A$755,"US_CPI",Release_Calendar!$B$2:$B$755,$A2094)&gt;0,1,0)</f>
        <v>0</v>
      </c>
      <c r="L2094" s="16">
        <f>IF(COUNTIFS(Release_Calendar!$A$2:$A$755,"US_NFP",Release_Calendar!$B$2:$B$755,$A2094)&gt;0,1,0)</f>
        <v>0</v>
      </c>
      <c r="M2094" s="16" t="str">
        <f>IF($A2094&lt;Notes!$B$5,"",IF(COUNTIFS(Release_Calendar!$A$2:$A$755,"NZ_CPI",Release_Calendar!$B$2:$B$755,$A2094)&gt;0,1,0))</f>
        <v/>
      </c>
      <c r="N2094" s="16" t="str">
        <f>IF($A2094&lt;Notes!$B$5,"",IF(COUNTIFS(Release_Calendar!$A$2:$A$755,"NZ_GDP",Release_Calendar!$B$2:$B$755,$A2094)&gt;0,1,0))</f>
        <v/>
      </c>
      <c r="O2094" s="16" t="str">
        <f>IF($A2094&lt;Notes!$B$5,"",IF(COUNTIFS(Release_Calendar!$A$2:$A$755,"NZ_LABOUR",Release_Calendar!$B$2:$B$755,$A2094)&gt;0,1,0))</f>
        <v/>
      </c>
      <c r="P2094" s="16">
        <f t="shared" si="4"/>
        <v>0</v>
      </c>
    </row>
    <row r="2095" ht="15.75" customHeight="1">
      <c r="A2095" s="14">
        <v>39457.0</v>
      </c>
      <c r="B2095" s="15">
        <v>2.71</v>
      </c>
      <c r="C2095" s="15"/>
      <c r="D2095" s="15">
        <v>7.26</v>
      </c>
      <c r="E2095" s="15"/>
      <c r="F2095" s="15" t="str">
        <f t="shared" si="1"/>
        <v/>
      </c>
      <c r="G2095" s="15">
        <f t="shared" si="2"/>
        <v>7.26</v>
      </c>
      <c r="H2095" s="16">
        <v>1.0</v>
      </c>
      <c r="I2095" s="15">
        <f t="shared" si="3"/>
        <v>4.55</v>
      </c>
      <c r="J2095" s="15">
        <v>23.45</v>
      </c>
      <c r="K2095" s="16">
        <f>IF(COUNTIFS(Release_Calendar!$A$2:$A$755,"US_CPI",Release_Calendar!$B$2:$B$755,$A2095)&gt;0,1,0)</f>
        <v>0</v>
      </c>
      <c r="L2095" s="16">
        <f>IF(COUNTIFS(Release_Calendar!$A$2:$A$755,"US_NFP",Release_Calendar!$B$2:$B$755,$A2095)&gt;0,1,0)</f>
        <v>0</v>
      </c>
      <c r="M2095" s="16" t="str">
        <f>IF($A2095&lt;Notes!$B$5,"",IF(COUNTIFS(Release_Calendar!$A$2:$A$755,"NZ_CPI",Release_Calendar!$B$2:$B$755,$A2095)&gt;0,1,0))</f>
        <v/>
      </c>
      <c r="N2095" s="16" t="str">
        <f>IF($A2095&lt;Notes!$B$5,"",IF(COUNTIFS(Release_Calendar!$A$2:$A$755,"NZ_GDP",Release_Calendar!$B$2:$B$755,$A2095)&gt;0,1,0))</f>
        <v/>
      </c>
      <c r="O2095" s="16" t="str">
        <f>IF($A2095&lt;Notes!$B$5,"",IF(COUNTIFS(Release_Calendar!$A$2:$A$755,"NZ_LABOUR",Release_Calendar!$B$2:$B$755,$A2095)&gt;0,1,0))</f>
        <v/>
      </c>
      <c r="P2095" s="16">
        <f t="shared" si="4"/>
        <v>0</v>
      </c>
    </row>
    <row r="2096" ht="15.75" customHeight="1">
      <c r="A2096" s="14">
        <v>39458.0</v>
      </c>
      <c r="B2096" s="15">
        <v>2.59</v>
      </c>
      <c r="C2096" s="15"/>
      <c r="D2096" s="15">
        <v>7.29</v>
      </c>
      <c r="E2096" s="15"/>
      <c r="F2096" s="15" t="str">
        <f t="shared" si="1"/>
        <v/>
      </c>
      <c r="G2096" s="15">
        <f t="shared" si="2"/>
        <v>7.29</v>
      </c>
      <c r="H2096" s="16">
        <v>1.0</v>
      </c>
      <c r="I2096" s="15">
        <f t="shared" si="3"/>
        <v>4.7</v>
      </c>
      <c r="J2096" s="15">
        <v>23.68</v>
      </c>
      <c r="K2096" s="16">
        <f>IF(COUNTIFS(Release_Calendar!$A$2:$A$755,"US_CPI",Release_Calendar!$B$2:$B$755,$A2096)&gt;0,1,0)</f>
        <v>0</v>
      </c>
      <c r="L2096" s="16">
        <f>IF(COUNTIFS(Release_Calendar!$A$2:$A$755,"US_NFP",Release_Calendar!$B$2:$B$755,$A2096)&gt;0,1,0)</f>
        <v>0</v>
      </c>
      <c r="M2096" s="16" t="str">
        <f>IF($A2096&lt;Notes!$B$5,"",IF(COUNTIFS(Release_Calendar!$A$2:$A$755,"NZ_CPI",Release_Calendar!$B$2:$B$755,$A2096)&gt;0,1,0))</f>
        <v/>
      </c>
      <c r="N2096" s="16" t="str">
        <f>IF($A2096&lt;Notes!$B$5,"",IF(COUNTIFS(Release_Calendar!$A$2:$A$755,"NZ_GDP",Release_Calendar!$B$2:$B$755,$A2096)&gt;0,1,0))</f>
        <v/>
      </c>
      <c r="O2096" s="16" t="str">
        <f>IF($A2096&lt;Notes!$B$5,"",IF(COUNTIFS(Release_Calendar!$A$2:$A$755,"NZ_LABOUR",Release_Calendar!$B$2:$B$755,$A2096)&gt;0,1,0))</f>
        <v/>
      </c>
      <c r="P2096" s="16">
        <f t="shared" si="4"/>
        <v>0</v>
      </c>
    </row>
    <row r="2097" ht="15.75" customHeight="1">
      <c r="A2097" s="14">
        <v>39461.0</v>
      </c>
      <c r="B2097" s="15">
        <v>2.58</v>
      </c>
      <c r="C2097" s="15"/>
      <c r="D2097" s="15">
        <v>7.26</v>
      </c>
      <c r="E2097" s="15"/>
      <c r="F2097" s="15" t="str">
        <f t="shared" si="1"/>
        <v/>
      </c>
      <c r="G2097" s="15">
        <f t="shared" si="2"/>
        <v>7.26</v>
      </c>
      <c r="H2097" s="16">
        <v>1.0</v>
      </c>
      <c r="I2097" s="15">
        <f t="shared" si="3"/>
        <v>4.68</v>
      </c>
      <c r="J2097" s="15">
        <v>22.9</v>
      </c>
      <c r="K2097" s="16">
        <f>IF(COUNTIFS(Release_Calendar!$A$2:$A$755,"US_CPI",Release_Calendar!$B$2:$B$755,$A2097)&gt;0,1,0)</f>
        <v>0</v>
      </c>
      <c r="L2097" s="16">
        <f>IF(COUNTIFS(Release_Calendar!$A$2:$A$755,"US_NFP",Release_Calendar!$B$2:$B$755,$A2097)&gt;0,1,0)</f>
        <v>0</v>
      </c>
      <c r="M2097" s="16" t="str">
        <f>IF($A2097&lt;Notes!$B$5,"",IF(COUNTIFS(Release_Calendar!$A$2:$A$755,"NZ_CPI",Release_Calendar!$B$2:$B$755,$A2097)&gt;0,1,0))</f>
        <v/>
      </c>
      <c r="N2097" s="16" t="str">
        <f>IF($A2097&lt;Notes!$B$5,"",IF(COUNTIFS(Release_Calendar!$A$2:$A$755,"NZ_GDP",Release_Calendar!$B$2:$B$755,$A2097)&gt;0,1,0))</f>
        <v/>
      </c>
      <c r="O2097" s="16" t="str">
        <f>IF($A2097&lt;Notes!$B$5,"",IF(COUNTIFS(Release_Calendar!$A$2:$A$755,"NZ_LABOUR",Release_Calendar!$B$2:$B$755,$A2097)&gt;0,1,0))</f>
        <v/>
      </c>
      <c r="P2097" s="16">
        <f t="shared" si="4"/>
        <v>0</v>
      </c>
    </row>
    <row r="2098" ht="15.75" customHeight="1">
      <c r="A2098" s="14">
        <v>39462.0</v>
      </c>
      <c r="B2098" s="15">
        <v>2.53</v>
      </c>
      <c r="C2098" s="15"/>
      <c r="D2098" s="15">
        <v>7.27</v>
      </c>
      <c r="E2098" s="15"/>
      <c r="F2098" s="15" t="str">
        <f t="shared" si="1"/>
        <v/>
      </c>
      <c r="G2098" s="15">
        <f t="shared" si="2"/>
        <v>7.27</v>
      </c>
      <c r="H2098" s="16">
        <v>1.0</v>
      </c>
      <c r="I2098" s="15">
        <f t="shared" si="3"/>
        <v>4.74</v>
      </c>
      <c r="J2098" s="15">
        <v>23.34</v>
      </c>
      <c r="K2098" s="16">
        <f>IF(COUNTIFS(Release_Calendar!$A$2:$A$755,"US_CPI",Release_Calendar!$B$2:$B$755,$A2098)&gt;0,1,0)</f>
        <v>0</v>
      </c>
      <c r="L2098" s="16">
        <f>IF(COUNTIFS(Release_Calendar!$A$2:$A$755,"US_NFP",Release_Calendar!$B$2:$B$755,$A2098)&gt;0,1,0)</f>
        <v>0</v>
      </c>
      <c r="M2098" s="16" t="str">
        <f>IF($A2098&lt;Notes!$B$5,"",IF(COUNTIFS(Release_Calendar!$A$2:$A$755,"NZ_CPI",Release_Calendar!$B$2:$B$755,$A2098)&gt;0,1,0))</f>
        <v/>
      </c>
      <c r="N2098" s="16" t="str">
        <f>IF($A2098&lt;Notes!$B$5,"",IF(COUNTIFS(Release_Calendar!$A$2:$A$755,"NZ_GDP",Release_Calendar!$B$2:$B$755,$A2098)&gt;0,1,0))</f>
        <v/>
      </c>
      <c r="O2098" s="16" t="str">
        <f>IF($A2098&lt;Notes!$B$5,"",IF(COUNTIFS(Release_Calendar!$A$2:$A$755,"NZ_LABOUR",Release_Calendar!$B$2:$B$755,$A2098)&gt;0,1,0))</f>
        <v/>
      </c>
      <c r="P2098" s="16">
        <f t="shared" si="4"/>
        <v>0</v>
      </c>
    </row>
    <row r="2099" ht="15.75" customHeight="1">
      <c r="A2099" s="14">
        <v>39463.0</v>
      </c>
      <c r="B2099" s="15">
        <v>2.51</v>
      </c>
      <c r="C2099" s="15"/>
      <c r="D2099" s="15">
        <v>7.31</v>
      </c>
      <c r="E2099" s="15"/>
      <c r="F2099" s="15" t="str">
        <f t="shared" si="1"/>
        <v/>
      </c>
      <c r="G2099" s="15">
        <f t="shared" si="2"/>
        <v>7.31</v>
      </c>
      <c r="H2099" s="16">
        <v>1.0</v>
      </c>
      <c r="I2099" s="15">
        <f t="shared" si="3"/>
        <v>4.8</v>
      </c>
      <c r="J2099" s="15">
        <v>24.38</v>
      </c>
      <c r="K2099" s="16">
        <f>IF(COUNTIFS(Release_Calendar!$A$2:$A$755,"US_CPI",Release_Calendar!$B$2:$B$755,$A2099)&gt;0,1,0)</f>
        <v>1</v>
      </c>
      <c r="L2099" s="16">
        <f>IF(COUNTIFS(Release_Calendar!$A$2:$A$755,"US_NFP",Release_Calendar!$B$2:$B$755,$A2099)&gt;0,1,0)</f>
        <v>0</v>
      </c>
      <c r="M2099" s="16" t="str">
        <f>IF($A2099&lt;Notes!$B$5,"",IF(COUNTIFS(Release_Calendar!$A$2:$A$755,"NZ_CPI",Release_Calendar!$B$2:$B$755,$A2099)&gt;0,1,0))</f>
        <v/>
      </c>
      <c r="N2099" s="16" t="str">
        <f>IF($A2099&lt;Notes!$B$5,"",IF(COUNTIFS(Release_Calendar!$A$2:$A$755,"NZ_GDP",Release_Calendar!$B$2:$B$755,$A2099)&gt;0,1,0))</f>
        <v/>
      </c>
      <c r="O2099" s="16" t="str">
        <f>IF($A2099&lt;Notes!$B$5,"",IF(COUNTIFS(Release_Calendar!$A$2:$A$755,"NZ_LABOUR",Release_Calendar!$B$2:$B$755,$A2099)&gt;0,1,0))</f>
        <v/>
      </c>
      <c r="P2099" s="16">
        <f t="shared" si="4"/>
        <v>1</v>
      </c>
    </row>
    <row r="2100" ht="15.75" customHeight="1">
      <c r="A2100" s="14">
        <v>39464.0</v>
      </c>
      <c r="B2100" s="15">
        <v>2.44</v>
      </c>
      <c r="C2100" s="15"/>
      <c r="D2100" s="15">
        <v>7.32</v>
      </c>
      <c r="E2100" s="15"/>
      <c r="F2100" s="15" t="str">
        <f t="shared" si="1"/>
        <v/>
      </c>
      <c r="G2100" s="15">
        <f t="shared" si="2"/>
        <v>7.32</v>
      </c>
      <c r="H2100" s="16">
        <v>1.0</v>
      </c>
      <c r="I2100" s="15">
        <f t="shared" si="3"/>
        <v>4.88</v>
      </c>
      <c r="J2100" s="15">
        <v>28.46</v>
      </c>
      <c r="K2100" s="16">
        <f>IF(COUNTIFS(Release_Calendar!$A$2:$A$755,"US_CPI",Release_Calendar!$B$2:$B$755,$A2100)&gt;0,1,0)</f>
        <v>0</v>
      </c>
      <c r="L2100" s="16">
        <f>IF(COUNTIFS(Release_Calendar!$A$2:$A$755,"US_NFP",Release_Calendar!$B$2:$B$755,$A2100)&gt;0,1,0)</f>
        <v>0</v>
      </c>
      <c r="M2100" s="16" t="str">
        <f>IF($A2100&lt;Notes!$B$5,"",IF(COUNTIFS(Release_Calendar!$A$2:$A$755,"NZ_CPI",Release_Calendar!$B$2:$B$755,$A2100)&gt;0,1,0))</f>
        <v/>
      </c>
      <c r="N2100" s="16" t="str">
        <f>IF($A2100&lt;Notes!$B$5,"",IF(COUNTIFS(Release_Calendar!$A$2:$A$755,"NZ_GDP",Release_Calendar!$B$2:$B$755,$A2100)&gt;0,1,0))</f>
        <v/>
      </c>
      <c r="O2100" s="16" t="str">
        <f>IF($A2100&lt;Notes!$B$5,"",IF(COUNTIFS(Release_Calendar!$A$2:$A$755,"NZ_LABOUR",Release_Calendar!$B$2:$B$755,$A2100)&gt;0,1,0))</f>
        <v/>
      </c>
      <c r="P2100" s="16">
        <f t="shared" si="4"/>
        <v>0</v>
      </c>
    </row>
    <row r="2101" ht="15.75" customHeight="1">
      <c r="A2101" s="14">
        <v>39465.0</v>
      </c>
      <c r="B2101" s="15">
        <v>2.36</v>
      </c>
      <c r="C2101" s="15"/>
      <c r="D2101" s="15">
        <v>7.28</v>
      </c>
      <c r="E2101" s="15"/>
      <c r="F2101" s="15" t="str">
        <f t="shared" si="1"/>
        <v/>
      </c>
      <c r="G2101" s="15">
        <f t="shared" si="2"/>
        <v>7.28</v>
      </c>
      <c r="H2101" s="16">
        <v>1.0</v>
      </c>
      <c r="I2101" s="15">
        <f t="shared" si="3"/>
        <v>4.92</v>
      </c>
      <c r="J2101" s="15">
        <v>27.18</v>
      </c>
      <c r="K2101" s="16">
        <f>IF(COUNTIFS(Release_Calendar!$A$2:$A$755,"US_CPI",Release_Calendar!$B$2:$B$755,$A2101)&gt;0,1,0)</f>
        <v>0</v>
      </c>
      <c r="L2101" s="16">
        <f>IF(COUNTIFS(Release_Calendar!$A$2:$A$755,"US_NFP",Release_Calendar!$B$2:$B$755,$A2101)&gt;0,1,0)</f>
        <v>0</v>
      </c>
      <c r="M2101" s="16" t="str">
        <f>IF($A2101&lt;Notes!$B$5,"",IF(COUNTIFS(Release_Calendar!$A$2:$A$755,"NZ_CPI",Release_Calendar!$B$2:$B$755,$A2101)&gt;0,1,0))</f>
        <v/>
      </c>
      <c r="N2101" s="16" t="str">
        <f>IF($A2101&lt;Notes!$B$5,"",IF(COUNTIFS(Release_Calendar!$A$2:$A$755,"NZ_GDP",Release_Calendar!$B$2:$B$755,$A2101)&gt;0,1,0))</f>
        <v/>
      </c>
      <c r="O2101" s="16" t="str">
        <f>IF($A2101&lt;Notes!$B$5,"",IF(COUNTIFS(Release_Calendar!$A$2:$A$755,"NZ_LABOUR",Release_Calendar!$B$2:$B$755,$A2101)&gt;0,1,0))</f>
        <v/>
      </c>
      <c r="P2101" s="16">
        <f t="shared" si="4"/>
        <v>0</v>
      </c>
    </row>
    <row r="2102" ht="15.75" customHeight="1">
      <c r="A2102" s="14">
        <v>39468.0</v>
      </c>
      <c r="B2102" s="15"/>
      <c r="C2102" s="15"/>
      <c r="D2102" s="15">
        <v>7.2</v>
      </c>
      <c r="E2102" s="15"/>
      <c r="F2102" s="15" t="str">
        <f t="shared" si="1"/>
        <v/>
      </c>
      <c r="G2102" s="15">
        <f t="shared" si="2"/>
        <v>7.2</v>
      </c>
      <c r="H2102" s="16">
        <v>1.0</v>
      </c>
      <c r="I2102" s="15" t="str">
        <f t="shared" si="3"/>
        <v/>
      </c>
      <c r="J2102" s="15"/>
      <c r="K2102" s="16">
        <f>IF(COUNTIFS(Release_Calendar!$A$2:$A$755,"US_CPI",Release_Calendar!$B$2:$B$755,$A2102)&gt;0,1,0)</f>
        <v>0</v>
      </c>
      <c r="L2102" s="16">
        <f>IF(COUNTIFS(Release_Calendar!$A$2:$A$755,"US_NFP",Release_Calendar!$B$2:$B$755,$A2102)&gt;0,1,0)</f>
        <v>0</v>
      </c>
      <c r="M2102" s="16" t="str">
        <f>IF($A2102&lt;Notes!$B$5,"",IF(COUNTIFS(Release_Calendar!$A$2:$A$755,"NZ_CPI",Release_Calendar!$B$2:$B$755,$A2102)&gt;0,1,0))</f>
        <v/>
      </c>
      <c r="N2102" s="16" t="str">
        <f>IF($A2102&lt;Notes!$B$5,"",IF(COUNTIFS(Release_Calendar!$A$2:$A$755,"NZ_GDP",Release_Calendar!$B$2:$B$755,$A2102)&gt;0,1,0))</f>
        <v/>
      </c>
      <c r="O2102" s="16" t="str">
        <f>IF($A2102&lt;Notes!$B$5,"",IF(COUNTIFS(Release_Calendar!$A$2:$A$755,"NZ_LABOUR",Release_Calendar!$B$2:$B$755,$A2102)&gt;0,1,0))</f>
        <v/>
      </c>
      <c r="P2102" s="16">
        <f t="shared" si="4"/>
        <v>0</v>
      </c>
    </row>
    <row r="2103" ht="15.75" customHeight="1">
      <c r="A2103" s="14">
        <v>39469.0</v>
      </c>
      <c r="B2103" s="15">
        <v>2.08</v>
      </c>
      <c r="C2103" s="15"/>
      <c r="D2103" s="15">
        <v>7.16</v>
      </c>
      <c r="E2103" s="15"/>
      <c r="F2103" s="15" t="str">
        <f t="shared" si="1"/>
        <v/>
      </c>
      <c r="G2103" s="15">
        <f t="shared" si="2"/>
        <v>7.16</v>
      </c>
      <c r="H2103" s="16">
        <v>1.0</v>
      </c>
      <c r="I2103" s="15">
        <f t="shared" si="3"/>
        <v>5.08</v>
      </c>
      <c r="J2103" s="15">
        <v>31.01</v>
      </c>
      <c r="K2103" s="16">
        <f>IF(COUNTIFS(Release_Calendar!$A$2:$A$755,"US_CPI",Release_Calendar!$B$2:$B$755,$A2103)&gt;0,1,0)</f>
        <v>0</v>
      </c>
      <c r="L2103" s="16">
        <f>IF(COUNTIFS(Release_Calendar!$A$2:$A$755,"US_NFP",Release_Calendar!$B$2:$B$755,$A2103)&gt;0,1,0)</f>
        <v>0</v>
      </c>
      <c r="M2103" s="16" t="str">
        <f>IF($A2103&lt;Notes!$B$5,"",IF(COUNTIFS(Release_Calendar!$A$2:$A$755,"NZ_CPI",Release_Calendar!$B$2:$B$755,$A2103)&gt;0,1,0))</f>
        <v/>
      </c>
      <c r="N2103" s="16" t="str">
        <f>IF($A2103&lt;Notes!$B$5,"",IF(COUNTIFS(Release_Calendar!$A$2:$A$755,"NZ_GDP",Release_Calendar!$B$2:$B$755,$A2103)&gt;0,1,0))</f>
        <v/>
      </c>
      <c r="O2103" s="16" t="str">
        <f>IF($A2103&lt;Notes!$B$5,"",IF(COUNTIFS(Release_Calendar!$A$2:$A$755,"NZ_LABOUR",Release_Calendar!$B$2:$B$755,$A2103)&gt;0,1,0))</f>
        <v/>
      </c>
      <c r="P2103" s="16">
        <f t="shared" si="4"/>
        <v>0</v>
      </c>
    </row>
    <row r="2104" ht="15.75" customHeight="1">
      <c r="A2104" s="14">
        <v>39470.0</v>
      </c>
      <c r="B2104" s="15">
        <v>2.09</v>
      </c>
      <c r="C2104" s="15"/>
      <c r="D2104" s="15">
        <v>7.15</v>
      </c>
      <c r="E2104" s="15"/>
      <c r="F2104" s="15" t="str">
        <f t="shared" si="1"/>
        <v/>
      </c>
      <c r="G2104" s="15">
        <f t="shared" si="2"/>
        <v>7.15</v>
      </c>
      <c r="H2104" s="16">
        <v>1.0</v>
      </c>
      <c r="I2104" s="15">
        <f t="shared" si="3"/>
        <v>5.06</v>
      </c>
      <c r="J2104" s="15">
        <v>29.02</v>
      </c>
      <c r="K2104" s="16">
        <f>IF(COUNTIFS(Release_Calendar!$A$2:$A$755,"US_CPI",Release_Calendar!$B$2:$B$755,$A2104)&gt;0,1,0)</f>
        <v>0</v>
      </c>
      <c r="L2104" s="16">
        <f>IF(COUNTIFS(Release_Calendar!$A$2:$A$755,"US_NFP",Release_Calendar!$B$2:$B$755,$A2104)&gt;0,1,0)</f>
        <v>0</v>
      </c>
      <c r="M2104" s="16" t="str">
        <f>IF($A2104&lt;Notes!$B$5,"",IF(COUNTIFS(Release_Calendar!$A$2:$A$755,"NZ_CPI",Release_Calendar!$B$2:$B$755,$A2104)&gt;0,1,0))</f>
        <v/>
      </c>
      <c r="N2104" s="16" t="str">
        <f>IF($A2104&lt;Notes!$B$5,"",IF(COUNTIFS(Release_Calendar!$A$2:$A$755,"NZ_GDP",Release_Calendar!$B$2:$B$755,$A2104)&gt;0,1,0))</f>
        <v/>
      </c>
      <c r="O2104" s="16" t="str">
        <f>IF($A2104&lt;Notes!$B$5,"",IF(COUNTIFS(Release_Calendar!$A$2:$A$755,"NZ_LABOUR",Release_Calendar!$B$2:$B$755,$A2104)&gt;0,1,0))</f>
        <v/>
      </c>
      <c r="P2104" s="16">
        <f t="shared" si="4"/>
        <v>0</v>
      </c>
    </row>
    <row r="2105" ht="15.75" customHeight="1">
      <c r="A2105" s="14">
        <v>39471.0</v>
      </c>
      <c r="B2105" s="15">
        <v>2.25</v>
      </c>
      <c r="C2105" s="15"/>
      <c r="D2105" s="15">
        <v>7.2</v>
      </c>
      <c r="E2105" s="15"/>
      <c r="F2105" s="15" t="str">
        <f t="shared" si="1"/>
        <v/>
      </c>
      <c r="G2105" s="15">
        <f t="shared" si="2"/>
        <v>7.2</v>
      </c>
      <c r="H2105" s="16">
        <v>1.0</v>
      </c>
      <c r="I2105" s="15">
        <f t="shared" si="3"/>
        <v>4.95</v>
      </c>
      <c r="J2105" s="15">
        <v>27.78</v>
      </c>
      <c r="K2105" s="16">
        <f>IF(COUNTIFS(Release_Calendar!$A$2:$A$755,"US_CPI",Release_Calendar!$B$2:$B$755,$A2105)&gt;0,1,0)</f>
        <v>0</v>
      </c>
      <c r="L2105" s="16">
        <f>IF(COUNTIFS(Release_Calendar!$A$2:$A$755,"US_NFP",Release_Calendar!$B$2:$B$755,$A2105)&gt;0,1,0)</f>
        <v>0</v>
      </c>
      <c r="M2105" s="16" t="str">
        <f>IF($A2105&lt;Notes!$B$5,"",IF(COUNTIFS(Release_Calendar!$A$2:$A$755,"NZ_CPI",Release_Calendar!$B$2:$B$755,$A2105)&gt;0,1,0))</f>
        <v/>
      </c>
      <c r="N2105" s="16" t="str">
        <f>IF($A2105&lt;Notes!$B$5,"",IF(COUNTIFS(Release_Calendar!$A$2:$A$755,"NZ_GDP",Release_Calendar!$B$2:$B$755,$A2105)&gt;0,1,0))</f>
        <v/>
      </c>
      <c r="O2105" s="16" t="str">
        <f>IF($A2105&lt;Notes!$B$5,"",IF(COUNTIFS(Release_Calendar!$A$2:$A$755,"NZ_LABOUR",Release_Calendar!$B$2:$B$755,$A2105)&gt;0,1,0))</f>
        <v/>
      </c>
      <c r="P2105" s="16">
        <f t="shared" si="4"/>
        <v>0</v>
      </c>
    </row>
    <row r="2106" ht="15.75" customHeight="1">
      <c r="A2106" s="14">
        <v>39472.0</v>
      </c>
      <c r="B2106" s="15">
        <v>2.23</v>
      </c>
      <c r="C2106" s="15"/>
      <c r="D2106" s="15">
        <v>7.24</v>
      </c>
      <c r="E2106" s="15"/>
      <c r="F2106" s="15" t="str">
        <f t="shared" si="1"/>
        <v/>
      </c>
      <c r="G2106" s="15">
        <f t="shared" si="2"/>
        <v>7.24</v>
      </c>
      <c r="H2106" s="16">
        <v>1.0</v>
      </c>
      <c r="I2106" s="15">
        <f t="shared" si="3"/>
        <v>5.01</v>
      </c>
      <c r="J2106" s="15">
        <v>29.08</v>
      </c>
      <c r="K2106" s="16">
        <f>IF(COUNTIFS(Release_Calendar!$A$2:$A$755,"US_CPI",Release_Calendar!$B$2:$B$755,$A2106)&gt;0,1,0)</f>
        <v>0</v>
      </c>
      <c r="L2106" s="16">
        <f>IF(COUNTIFS(Release_Calendar!$A$2:$A$755,"US_NFP",Release_Calendar!$B$2:$B$755,$A2106)&gt;0,1,0)</f>
        <v>0</v>
      </c>
      <c r="M2106" s="16" t="str">
        <f>IF($A2106&lt;Notes!$B$5,"",IF(COUNTIFS(Release_Calendar!$A$2:$A$755,"NZ_CPI",Release_Calendar!$B$2:$B$755,$A2106)&gt;0,1,0))</f>
        <v/>
      </c>
      <c r="N2106" s="16" t="str">
        <f>IF($A2106&lt;Notes!$B$5,"",IF(COUNTIFS(Release_Calendar!$A$2:$A$755,"NZ_GDP",Release_Calendar!$B$2:$B$755,$A2106)&gt;0,1,0))</f>
        <v/>
      </c>
      <c r="O2106" s="16" t="str">
        <f>IF($A2106&lt;Notes!$B$5,"",IF(COUNTIFS(Release_Calendar!$A$2:$A$755,"NZ_LABOUR",Release_Calendar!$B$2:$B$755,$A2106)&gt;0,1,0))</f>
        <v/>
      </c>
      <c r="P2106" s="16">
        <f t="shared" si="4"/>
        <v>0</v>
      </c>
    </row>
    <row r="2107" ht="15.75" customHeight="1">
      <c r="A2107" s="14">
        <v>39475.0</v>
      </c>
      <c r="B2107" s="15">
        <v>2.2</v>
      </c>
      <c r="C2107" s="15"/>
      <c r="D2107" s="15">
        <v>7.19</v>
      </c>
      <c r="E2107" s="15"/>
      <c r="F2107" s="15" t="str">
        <f t="shared" si="1"/>
        <v/>
      </c>
      <c r="G2107" s="15">
        <f t="shared" si="2"/>
        <v>7.19</v>
      </c>
      <c r="H2107" s="16">
        <v>1.0</v>
      </c>
      <c r="I2107" s="15">
        <f t="shared" si="3"/>
        <v>4.99</v>
      </c>
      <c r="J2107" s="15">
        <v>27.78</v>
      </c>
      <c r="K2107" s="16">
        <f>IF(COUNTIFS(Release_Calendar!$A$2:$A$755,"US_CPI",Release_Calendar!$B$2:$B$755,$A2107)&gt;0,1,0)</f>
        <v>0</v>
      </c>
      <c r="L2107" s="16">
        <f>IF(COUNTIFS(Release_Calendar!$A$2:$A$755,"US_NFP",Release_Calendar!$B$2:$B$755,$A2107)&gt;0,1,0)</f>
        <v>0</v>
      </c>
      <c r="M2107" s="16" t="str">
        <f>IF($A2107&lt;Notes!$B$5,"",IF(COUNTIFS(Release_Calendar!$A$2:$A$755,"NZ_CPI",Release_Calendar!$B$2:$B$755,$A2107)&gt;0,1,0))</f>
        <v/>
      </c>
      <c r="N2107" s="16" t="str">
        <f>IF($A2107&lt;Notes!$B$5,"",IF(COUNTIFS(Release_Calendar!$A$2:$A$755,"NZ_GDP",Release_Calendar!$B$2:$B$755,$A2107)&gt;0,1,0))</f>
        <v/>
      </c>
      <c r="O2107" s="16" t="str">
        <f>IF($A2107&lt;Notes!$B$5,"",IF(COUNTIFS(Release_Calendar!$A$2:$A$755,"NZ_LABOUR",Release_Calendar!$B$2:$B$755,$A2107)&gt;0,1,0))</f>
        <v/>
      </c>
      <c r="P2107" s="16">
        <f t="shared" si="4"/>
        <v>0</v>
      </c>
    </row>
    <row r="2108" ht="15.75" customHeight="1">
      <c r="A2108" s="14">
        <v>39476.0</v>
      </c>
      <c r="B2108" s="15">
        <v>2.29</v>
      </c>
      <c r="C2108" s="15"/>
      <c r="D2108" s="15">
        <v>7.17</v>
      </c>
      <c r="E2108" s="15"/>
      <c r="F2108" s="15" t="str">
        <f t="shared" si="1"/>
        <v/>
      </c>
      <c r="G2108" s="15">
        <f t="shared" si="2"/>
        <v>7.17</v>
      </c>
      <c r="H2108" s="16">
        <v>1.0</v>
      </c>
      <c r="I2108" s="15">
        <f t="shared" si="3"/>
        <v>4.88</v>
      </c>
      <c r="J2108" s="15">
        <v>27.32</v>
      </c>
      <c r="K2108" s="16">
        <f>IF(COUNTIFS(Release_Calendar!$A$2:$A$755,"US_CPI",Release_Calendar!$B$2:$B$755,$A2108)&gt;0,1,0)</f>
        <v>0</v>
      </c>
      <c r="L2108" s="16">
        <f>IF(COUNTIFS(Release_Calendar!$A$2:$A$755,"US_NFP",Release_Calendar!$B$2:$B$755,$A2108)&gt;0,1,0)</f>
        <v>0</v>
      </c>
      <c r="M2108" s="16" t="str">
        <f>IF($A2108&lt;Notes!$B$5,"",IF(COUNTIFS(Release_Calendar!$A$2:$A$755,"NZ_CPI",Release_Calendar!$B$2:$B$755,$A2108)&gt;0,1,0))</f>
        <v/>
      </c>
      <c r="N2108" s="16" t="str">
        <f>IF($A2108&lt;Notes!$B$5,"",IF(COUNTIFS(Release_Calendar!$A$2:$A$755,"NZ_GDP",Release_Calendar!$B$2:$B$755,$A2108)&gt;0,1,0))</f>
        <v/>
      </c>
      <c r="O2108" s="16" t="str">
        <f>IF($A2108&lt;Notes!$B$5,"",IF(COUNTIFS(Release_Calendar!$A$2:$A$755,"NZ_LABOUR",Release_Calendar!$B$2:$B$755,$A2108)&gt;0,1,0))</f>
        <v/>
      </c>
      <c r="P2108" s="16">
        <f t="shared" si="4"/>
        <v>0</v>
      </c>
    </row>
    <row r="2109" ht="15.75" customHeight="1">
      <c r="A2109" s="14">
        <v>39477.0</v>
      </c>
      <c r="B2109" s="15">
        <v>2.3</v>
      </c>
      <c r="C2109" s="15"/>
      <c r="D2109" s="15">
        <v>7.16</v>
      </c>
      <c r="E2109" s="15"/>
      <c r="F2109" s="15" t="str">
        <f t="shared" si="1"/>
        <v/>
      </c>
      <c r="G2109" s="15">
        <f t="shared" si="2"/>
        <v>7.16</v>
      </c>
      <c r="H2109" s="16">
        <v>1.0</v>
      </c>
      <c r="I2109" s="15">
        <f t="shared" si="3"/>
        <v>4.86</v>
      </c>
      <c r="J2109" s="15">
        <v>27.62</v>
      </c>
      <c r="K2109" s="16">
        <f>IF(COUNTIFS(Release_Calendar!$A$2:$A$755,"US_CPI",Release_Calendar!$B$2:$B$755,$A2109)&gt;0,1,0)</f>
        <v>0</v>
      </c>
      <c r="L2109" s="16">
        <f>IF(COUNTIFS(Release_Calendar!$A$2:$A$755,"US_NFP",Release_Calendar!$B$2:$B$755,$A2109)&gt;0,1,0)</f>
        <v>0</v>
      </c>
      <c r="M2109" s="16" t="str">
        <f>IF($A2109&lt;Notes!$B$5,"",IF(COUNTIFS(Release_Calendar!$A$2:$A$755,"NZ_CPI",Release_Calendar!$B$2:$B$755,$A2109)&gt;0,1,0))</f>
        <v/>
      </c>
      <c r="N2109" s="16" t="str">
        <f>IF($A2109&lt;Notes!$B$5,"",IF(COUNTIFS(Release_Calendar!$A$2:$A$755,"NZ_GDP",Release_Calendar!$B$2:$B$755,$A2109)&gt;0,1,0))</f>
        <v/>
      </c>
      <c r="O2109" s="16" t="str">
        <f>IF($A2109&lt;Notes!$B$5,"",IF(COUNTIFS(Release_Calendar!$A$2:$A$755,"NZ_LABOUR",Release_Calendar!$B$2:$B$755,$A2109)&gt;0,1,0))</f>
        <v/>
      </c>
      <c r="P2109" s="16">
        <f t="shared" si="4"/>
        <v>0</v>
      </c>
    </row>
    <row r="2110" ht="15.75" customHeight="1">
      <c r="A2110" s="14">
        <v>39478.0</v>
      </c>
      <c r="B2110" s="15">
        <v>2.17</v>
      </c>
      <c r="C2110" s="15"/>
      <c r="D2110" s="15">
        <v>7.21</v>
      </c>
      <c r="E2110" s="15"/>
      <c r="F2110" s="15" t="str">
        <f t="shared" si="1"/>
        <v/>
      </c>
      <c r="G2110" s="15">
        <f t="shared" si="2"/>
        <v>7.21</v>
      </c>
      <c r="H2110" s="16">
        <v>1.0</v>
      </c>
      <c r="I2110" s="15">
        <f t="shared" si="3"/>
        <v>5.04</v>
      </c>
      <c r="J2110" s="15">
        <v>26.2</v>
      </c>
      <c r="K2110" s="16">
        <f>IF(COUNTIFS(Release_Calendar!$A$2:$A$755,"US_CPI",Release_Calendar!$B$2:$B$755,$A2110)&gt;0,1,0)</f>
        <v>0</v>
      </c>
      <c r="L2110" s="16">
        <f>IF(COUNTIFS(Release_Calendar!$A$2:$A$755,"US_NFP",Release_Calendar!$B$2:$B$755,$A2110)&gt;0,1,0)</f>
        <v>0</v>
      </c>
      <c r="M2110" s="16" t="str">
        <f>IF($A2110&lt;Notes!$B$5,"",IF(COUNTIFS(Release_Calendar!$A$2:$A$755,"NZ_CPI",Release_Calendar!$B$2:$B$755,$A2110)&gt;0,1,0))</f>
        <v/>
      </c>
      <c r="N2110" s="16" t="str">
        <f>IF($A2110&lt;Notes!$B$5,"",IF(COUNTIFS(Release_Calendar!$A$2:$A$755,"NZ_GDP",Release_Calendar!$B$2:$B$755,$A2110)&gt;0,1,0))</f>
        <v/>
      </c>
      <c r="O2110" s="16" t="str">
        <f>IF($A2110&lt;Notes!$B$5,"",IF(COUNTIFS(Release_Calendar!$A$2:$A$755,"NZ_LABOUR",Release_Calendar!$B$2:$B$755,$A2110)&gt;0,1,0))</f>
        <v/>
      </c>
      <c r="P2110" s="16">
        <f t="shared" si="4"/>
        <v>0</v>
      </c>
    </row>
    <row r="2111" ht="15.75" customHeight="1">
      <c r="A2111" s="14">
        <v>39479.0</v>
      </c>
      <c r="B2111" s="15">
        <v>2.09</v>
      </c>
      <c r="C2111" s="15"/>
      <c r="D2111" s="15">
        <v>6.93</v>
      </c>
      <c r="E2111" s="15"/>
      <c r="F2111" s="15" t="str">
        <f t="shared" si="1"/>
        <v/>
      </c>
      <c r="G2111" s="15">
        <f t="shared" si="2"/>
        <v>6.93</v>
      </c>
      <c r="H2111" s="16">
        <v>1.0</v>
      </c>
      <c r="I2111" s="15">
        <f t="shared" si="3"/>
        <v>4.84</v>
      </c>
      <c r="J2111" s="15">
        <v>24.02</v>
      </c>
      <c r="K2111" s="16">
        <f>IF(COUNTIFS(Release_Calendar!$A$2:$A$755,"US_CPI",Release_Calendar!$B$2:$B$755,$A2111)&gt;0,1,0)</f>
        <v>0</v>
      </c>
      <c r="L2111" s="16">
        <f>IF(COUNTIFS(Release_Calendar!$A$2:$A$755,"US_NFP",Release_Calendar!$B$2:$B$755,$A2111)&gt;0,1,0)</f>
        <v>1</v>
      </c>
      <c r="M2111" s="16" t="str">
        <f>IF($A2111&lt;Notes!$B$5,"",IF(COUNTIFS(Release_Calendar!$A$2:$A$755,"NZ_CPI",Release_Calendar!$B$2:$B$755,$A2111)&gt;0,1,0))</f>
        <v/>
      </c>
      <c r="N2111" s="16" t="str">
        <f>IF($A2111&lt;Notes!$B$5,"",IF(COUNTIFS(Release_Calendar!$A$2:$A$755,"NZ_GDP",Release_Calendar!$B$2:$B$755,$A2111)&gt;0,1,0))</f>
        <v/>
      </c>
      <c r="O2111" s="16" t="str">
        <f>IF($A2111&lt;Notes!$B$5,"",IF(COUNTIFS(Release_Calendar!$A$2:$A$755,"NZ_LABOUR",Release_Calendar!$B$2:$B$755,$A2111)&gt;0,1,0))</f>
        <v/>
      </c>
      <c r="P2111" s="16">
        <f t="shared" si="4"/>
        <v>1</v>
      </c>
    </row>
    <row r="2112" ht="15.75" customHeight="1">
      <c r="A2112" s="14">
        <v>39482.0</v>
      </c>
      <c r="B2112" s="15">
        <v>2.08</v>
      </c>
      <c r="C2112" s="15"/>
      <c r="D2112" s="15">
        <v>6.97</v>
      </c>
      <c r="E2112" s="15"/>
      <c r="F2112" s="15" t="str">
        <f t="shared" si="1"/>
        <v/>
      </c>
      <c r="G2112" s="15">
        <f t="shared" si="2"/>
        <v>6.97</v>
      </c>
      <c r="H2112" s="16">
        <v>1.0</v>
      </c>
      <c r="I2112" s="15">
        <f t="shared" si="3"/>
        <v>4.89</v>
      </c>
      <c r="J2112" s="15">
        <v>25.99</v>
      </c>
      <c r="K2112" s="16">
        <f>IF(COUNTIFS(Release_Calendar!$A$2:$A$755,"US_CPI",Release_Calendar!$B$2:$B$755,$A2112)&gt;0,1,0)</f>
        <v>0</v>
      </c>
      <c r="L2112" s="16">
        <f>IF(COUNTIFS(Release_Calendar!$A$2:$A$755,"US_NFP",Release_Calendar!$B$2:$B$755,$A2112)&gt;0,1,0)</f>
        <v>0</v>
      </c>
      <c r="M2112" s="16" t="str">
        <f>IF($A2112&lt;Notes!$B$5,"",IF(COUNTIFS(Release_Calendar!$A$2:$A$755,"NZ_CPI",Release_Calendar!$B$2:$B$755,$A2112)&gt;0,1,0))</f>
        <v/>
      </c>
      <c r="N2112" s="16" t="str">
        <f>IF($A2112&lt;Notes!$B$5,"",IF(COUNTIFS(Release_Calendar!$A$2:$A$755,"NZ_GDP",Release_Calendar!$B$2:$B$755,$A2112)&gt;0,1,0))</f>
        <v/>
      </c>
      <c r="O2112" s="16" t="str">
        <f>IF($A2112&lt;Notes!$B$5,"",IF(COUNTIFS(Release_Calendar!$A$2:$A$755,"NZ_LABOUR",Release_Calendar!$B$2:$B$755,$A2112)&gt;0,1,0))</f>
        <v/>
      </c>
      <c r="P2112" s="16">
        <f t="shared" si="4"/>
        <v>0</v>
      </c>
    </row>
    <row r="2113" ht="15.75" customHeight="1">
      <c r="A2113" s="14">
        <v>39483.0</v>
      </c>
      <c r="B2113" s="15">
        <v>1.93</v>
      </c>
      <c r="C2113" s="15"/>
      <c r="D2113" s="15">
        <v>6.97</v>
      </c>
      <c r="E2113" s="15"/>
      <c r="F2113" s="15" t="str">
        <f t="shared" si="1"/>
        <v/>
      </c>
      <c r="G2113" s="15">
        <f t="shared" si="2"/>
        <v>6.97</v>
      </c>
      <c r="H2113" s="16">
        <v>1.0</v>
      </c>
      <c r="I2113" s="15">
        <f t="shared" si="3"/>
        <v>5.04</v>
      </c>
      <c r="J2113" s="15">
        <v>28.24</v>
      </c>
      <c r="K2113" s="16">
        <f>IF(COUNTIFS(Release_Calendar!$A$2:$A$755,"US_CPI",Release_Calendar!$B$2:$B$755,$A2113)&gt;0,1,0)</f>
        <v>0</v>
      </c>
      <c r="L2113" s="16">
        <f>IF(COUNTIFS(Release_Calendar!$A$2:$A$755,"US_NFP",Release_Calendar!$B$2:$B$755,$A2113)&gt;0,1,0)</f>
        <v>0</v>
      </c>
      <c r="M2113" s="16" t="str">
        <f>IF($A2113&lt;Notes!$B$5,"",IF(COUNTIFS(Release_Calendar!$A$2:$A$755,"NZ_CPI",Release_Calendar!$B$2:$B$755,$A2113)&gt;0,1,0))</f>
        <v/>
      </c>
      <c r="N2113" s="16" t="str">
        <f>IF($A2113&lt;Notes!$B$5,"",IF(COUNTIFS(Release_Calendar!$A$2:$A$755,"NZ_GDP",Release_Calendar!$B$2:$B$755,$A2113)&gt;0,1,0))</f>
        <v/>
      </c>
      <c r="O2113" s="16" t="str">
        <f>IF($A2113&lt;Notes!$B$5,"",IF(COUNTIFS(Release_Calendar!$A$2:$A$755,"NZ_LABOUR",Release_Calendar!$B$2:$B$755,$A2113)&gt;0,1,0))</f>
        <v/>
      </c>
      <c r="P2113" s="16">
        <f t="shared" si="4"/>
        <v>0</v>
      </c>
    </row>
    <row r="2114" ht="15.75" customHeight="1">
      <c r="A2114" s="14">
        <v>39484.0</v>
      </c>
      <c r="B2114" s="15">
        <v>1.96</v>
      </c>
      <c r="C2114" s="15"/>
      <c r="D2114" s="15"/>
      <c r="E2114" s="15"/>
      <c r="F2114" s="15" t="str">
        <f t="shared" si="1"/>
        <v/>
      </c>
      <c r="G2114" s="15" t="str">
        <f t="shared" si="2"/>
        <v/>
      </c>
      <c r="H2114" s="16">
        <v>1.0</v>
      </c>
      <c r="I2114" s="15" t="str">
        <f t="shared" si="3"/>
        <v/>
      </c>
      <c r="J2114" s="15">
        <v>28.97</v>
      </c>
      <c r="K2114" s="16">
        <f>IF(COUNTIFS(Release_Calendar!$A$2:$A$755,"US_CPI",Release_Calendar!$B$2:$B$755,$A2114)&gt;0,1,0)</f>
        <v>0</v>
      </c>
      <c r="L2114" s="16">
        <f>IF(COUNTIFS(Release_Calendar!$A$2:$A$755,"US_NFP",Release_Calendar!$B$2:$B$755,$A2114)&gt;0,1,0)</f>
        <v>0</v>
      </c>
      <c r="M2114" s="16" t="str">
        <f>IF($A2114&lt;Notes!$B$5,"",IF(COUNTIFS(Release_Calendar!$A$2:$A$755,"NZ_CPI",Release_Calendar!$B$2:$B$755,$A2114)&gt;0,1,0))</f>
        <v/>
      </c>
      <c r="N2114" s="16" t="str">
        <f>IF($A2114&lt;Notes!$B$5,"",IF(COUNTIFS(Release_Calendar!$A$2:$A$755,"NZ_GDP",Release_Calendar!$B$2:$B$755,$A2114)&gt;0,1,0))</f>
        <v/>
      </c>
      <c r="O2114" s="16" t="str">
        <f>IF($A2114&lt;Notes!$B$5,"",IF(COUNTIFS(Release_Calendar!$A$2:$A$755,"NZ_LABOUR",Release_Calendar!$B$2:$B$755,$A2114)&gt;0,1,0))</f>
        <v/>
      </c>
      <c r="P2114" s="16">
        <f t="shared" si="4"/>
        <v>0</v>
      </c>
    </row>
    <row r="2115" ht="15.75" customHeight="1">
      <c r="A2115" s="14">
        <v>39485.0</v>
      </c>
      <c r="B2115" s="15">
        <v>1.99</v>
      </c>
      <c r="C2115" s="15"/>
      <c r="D2115" s="15">
        <v>6.99</v>
      </c>
      <c r="E2115" s="15"/>
      <c r="F2115" s="15" t="str">
        <f t="shared" si="1"/>
        <v/>
      </c>
      <c r="G2115" s="15">
        <f t="shared" si="2"/>
        <v>6.99</v>
      </c>
      <c r="H2115" s="16">
        <v>1.0</v>
      </c>
      <c r="I2115" s="15">
        <f t="shared" si="3"/>
        <v>5</v>
      </c>
      <c r="J2115" s="15">
        <v>27.66</v>
      </c>
      <c r="K2115" s="16">
        <f>IF(COUNTIFS(Release_Calendar!$A$2:$A$755,"US_CPI",Release_Calendar!$B$2:$B$755,$A2115)&gt;0,1,0)</f>
        <v>0</v>
      </c>
      <c r="L2115" s="16">
        <f>IF(COUNTIFS(Release_Calendar!$A$2:$A$755,"US_NFP",Release_Calendar!$B$2:$B$755,$A2115)&gt;0,1,0)</f>
        <v>0</v>
      </c>
      <c r="M2115" s="16" t="str">
        <f>IF($A2115&lt;Notes!$B$5,"",IF(COUNTIFS(Release_Calendar!$A$2:$A$755,"NZ_CPI",Release_Calendar!$B$2:$B$755,$A2115)&gt;0,1,0))</f>
        <v/>
      </c>
      <c r="N2115" s="16" t="str">
        <f>IF($A2115&lt;Notes!$B$5,"",IF(COUNTIFS(Release_Calendar!$A$2:$A$755,"NZ_GDP",Release_Calendar!$B$2:$B$755,$A2115)&gt;0,1,0))</f>
        <v/>
      </c>
      <c r="O2115" s="16" t="str">
        <f>IF($A2115&lt;Notes!$B$5,"",IF(COUNTIFS(Release_Calendar!$A$2:$A$755,"NZ_LABOUR",Release_Calendar!$B$2:$B$755,$A2115)&gt;0,1,0))</f>
        <v/>
      </c>
      <c r="P2115" s="16">
        <f t="shared" si="4"/>
        <v>0</v>
      </c>
    </row>
    <row r="2116" ht="15.75" customHeight="1">
      <c r="A2116" s="14">
        <v>39486.0</v>
      </c>
      <c r="B2116" s="15">
        <v>1.93</v>
      </c>
      <c r="C2116" s="15"/>
      <c r="D2116" s="15">
        <v>7.02</v>
      </c>
      <c r="E2116" s="15"/>
      <c r="F2116" s="15" t="str">
        <f t="shared" si="1"/>
        <v/>
      </c>
      <c r="G2116" s="15">
        <f t="shared" si="2"/>
        <v>7.02</v>
      </c>
      <c r="H2116" s="16">
        <v>1.0</v>
      </c>
      <c r="I2116" s="15">
        <f t="shared" si="3"/>
        <v>5.09</v>
      </c>
      <c r="J2116" s="15">
        <v>28.01</v>
      </c>
      <c r="K2116" s="16">
        <f>IF(COUNTIFS(Release_Calendar!$A$2:$A$755,"US_CPI",Release_Calendar!$B$2:$B$755,$A2116)&gt;0,1,0)</f>
        <v>0</v>
      </c>
      <c r="L2116" s="16">
        <f>IF(COUNTIFS(Release_Calendar!$A$2:$A$755,"US_NFP",Release_Calendar!$B$2:$B$755,$A2116)&gt;0,1,0)</f>
        <v>0</v>
      </c>
      <c r="M2116" s="16" t="str">
        <f>IF($A2116&lt;Notes!$B$5,"",IF(COUNTIFS(Release_Calendar!$A$2:$A$755,"NZ_CPI",Release_Calendar!$B$2:$B$755,$A2116)&gt;0,1,0))</f>
        <v/>
      </c>
      <c r="N2116" s="16" t="str">
        <f>IF($A2116&lt;Notes!$B$5,"",IF(COUNTIFS(Release_Calendar!$A$2:$A$755,"NZ_GDP",Release_Calendar!$B$2:$B$755,$A2116)&gt;0,1,0))</f>
        <v/>
      </c>
      <c r="O2116" s="16" t="str">
        <f>IF($A2116&lt;Notes!$B$5,"",IF(COUNTIFS(Release_Calendar!$A$2:$A$755,"NZ_LABOUR",Release_Calendar!$B$2:$B$755,$A2116)&gt;0,1,0))</f>
        <v/>
      </c>
      <c r="P2116" s="16">
        <f t="shared" si="4"/>
        <v>0</v>
      </c>
    </row>
    <row r="2117" ht="15.75" customHeight="1">
      <c r="A2117" s="14">
        <v>39489.0</v>
      </c>
      <c r="B2117" s="15">
        <v>1.93</v>
      </c>
      <c r="C2117" s="15"/>
      <c r="D2117" s="15">
        <v>7.0</v>
      </c>
      <c r="E2117" s="15"/>
      <c r="F2117" s="15" t="str">
        <f t="shared" si="1"/>
        <v/>
      </c>
      <c r="G2117" s="15">
        <f t="shared" si="2"/>
        <v>7</v>
      </c>
      <c r="H2117" s="16">
        <v>1.0</v>
      </c>
      <c r="I2117" s="15">
        <f t="shared" si="3"/>
        <v>5.07</v>
      </c>
      <c r="J2117" s="15">
        <v>27.6</v>
      </c>
      <c r="K2117" s="16">
        <f>IF(COUNTIFS(Release_Calendar!$A$2:$A$755,"US_CPI",Release_Calendar!$B$2:$B$755,$A2117)&gt;0,1,0)</f>
        <v>0</v>
      </c>
      <c r="L2117" s="16">
        <f>IF(COUNTIFS(Release_Calendar!$A$2:$A$755,"US_NFP",Release_Calendar!$B$2:$B$755,$A2117)&gt;0,1,0)</f>
        <v>0</v>
      </c>
      <c r="M2117" s="16" t="str">
        <f>IF($A2117&lt;Notes!$B$5,"",IF(COUNTIFS(Release_Calendar!$A$2:$A$755,"NZ_CPI",Release_Calendar!$B$2:$B$755,$A2117)&gt;0,1,0))</f>
        <v/>
      </c>
      <c r="N2117" s="16" t="str">
        <f>IF($A2117&lt;Notes!$B$5,"",IF(COUNTIFS(Release_Calendar!$A$2:$A$755,"NZ_GDP",Release_Calendar!$B$2:$B$755,$A2117)&gt;0,1,0))</f>
        <v/>
      </c>
      <c r="O2117" s="16" t="str">
        <f>IF($A2117&lt;Notes!$B$5,"",IF(COUNTIFS(Release_Calendar!$A$2:$A$755,"NZ_LABOUR",Release_Calendar!$B$2:$B$755,$A2117)&gt;0,1,0))</f>
        <v/>
      </c>
      <c r="P2117" s="16">
        <f t="shared" si="4"/>
        <v>0</v>
      </c>
    </row>
    <row r="2118" ht="15.75" customHeight="1">
      <c r="A2118" s="14">
        <v>39490.0</v>
      </c>
      <c r="B2118" s="15">
        <v>1.94</v>
      </c>
      <c r="C2118" s="15"/>
      <c r="D2118" s="15">
        <v>7.05</v>
      </c>
      <c r="E2118" s="15"/>
      <c r="F2118" s="15" t="str">
        <f t="shared" si="1"/>
        <v/>
      </c>
      <c r="G2118" s="15">
        <f t="shared" si="2"/>
        <v>7.05</v>
      </c>
      <c r="H2118" s="16">
        <v>1.0</v>
      </c>
      <c r="I2118" s="15">
        <f t="shared" si="3"/>
        <v>5.11</v>
      </c>
      <c r="J2118" s="15">
        <v>26.33</v>
      </c>
      <c r="K2118" s="16">
        <f>IF(COUNTIFS(Release_Calendar!$A$2:$A$755,"US_CPI",Release_Calendar!$B$2:$B$755,$A2118)&gt;0,1,0)</f>
        <v>0</v>
      </c>
      <c r="L2118" s="16">
        <f>IF(COUNTIFS(Release_Calendar!$A$2:$A$755,"US_NFP",Release_Calendar!$B$2:$B$755,$A2118)&gt;0,1,0)</f>
        <v>0</v>
      </c>
      <c r="M2118" s="16" t="str">
        <f>IF($A2118&lt;Notes!$B$5,"",IF(COUNTIFS(Release_Calendar!$A$2:$A$755,"NZ_CPI",Release_Calendar!$B$2:$B$755,$A2118)&gt;0,1,0))</f>
        <v/>
      </c>
      <c r="N2118" s="16" t="str">
        <f>IF($A2118&lt;Notes!$B$5,"",IF(COUNTIFS(Release_Calendar!$A$2:$A$755,"NZ_GDP",Release_Calendar!$B$2:$B$755,$A2118)&gt;0,1,0))</f>
        <v/>
      </c>
      <c r="O2118" s="16" t="str">
        <f>IF($A2118&lt;Notes!$B$5,"",IF(COUNTIFS(Release_Calendar!$A$2:$A$755,"NZ_LABOUR",Release_Calendar!$B$2:$B$755,$A2118)&gt;0,1,0))</f>
        <v/>
      </c>
      <c r="P2118" s="16">
        <f t="shared" si="4"/>
        <v>0</v>
      </c>
    </row>
    <row r="2119" ht="15.75" customHeight="1">
      <c r="A2119" s="14">
        <v>39491.0</v>
      </c>
      <c r="B2119" s="15">
        <v>1.91</v>
      </c>
      <c r="C2119" s="15"/>
      <c r="D2119" s="15">
        <v>7.04</v>
      </c>
      <c r="E2119" s="15"/>
      <c r="F2119" s="15" t="str">
        <f t="shared" si="1"/>
        <v/>
      </c>
      <c r="G2119" s="15">
        <f t="shared" si="2"/>
        <v>7.04</v>
      </c>
      <c r="H2119" s="16">
        <v>1.0</v>
      </c>
      <c r="I2119" s="15">
        <f t="shared" si="3"/>
        <v>5.13</v>
      </c>
      <c r="J2119" s="15">
        <v>24.88</v>
      </c>
      <c r="K2119" s="16">
        <f>IF(COUNTIFS(Release_Calendar!$A$2:$A$755,"US_CPI",Release_Calendar!$B$2:$B$755,$A2119)&gt;0,1,0)</f>
        <v>0</v>
      </c>
      <c r="L2119" s="16">
        <f>IF(COUNTIFS(Release_Calendar!$A$2:$A$755,"US_NFP",Release_Calendar!$B$2:$B$755,$A2119)&gt;0,1,0)</f>
        <v>0</v>
      </c>
      <c r="M2119" s="16" t="str">
        <f>IF($A2119&lt;Notes!$B$5,"",IF(COUNTIFS(Release_Calendar!$A$2:$A$755,"NZ_CPI",Release_Calendar!$B$2:$B$755,$A2119)&gt;0,1,0))</f>
        <v/>
      </c>
      <c r="N2119" s="16" t="str">
        <f>IF($A2119&lt;Notes!$B$5,"",IF(COUNTIFS(Release_Calendar!$A$2:$A$755,"NZ_GDP",Release_Calendar!$B$2:$B$755,$A2119)&gt;0,1,0))</f>
        <v/>
      </c>
      <c r="O2119" s="16" t="str">
        <f>IF($A2119&lt;Notes!$B$5,"",IF(COUNTIFS(Release_Calendar!$A$2:$A$755,"NZ_LABOUR",Release_Calendar!$B$2:$B$755,$A2119)&gt;0,1,0))</f>
        <v/>
      </c>
      <c r="P2119" s="16">
        <f t="shared" si="4"/>
        <v>0</v>
      </c>
    </row>
    <row r="2120" ht="15.75" customHeight="1">
      <c r="A2120" s="14">
        <v>39492.0</v>
      </c>
      <c r="B2120" s="15">
        <v>1.93</v>
      </c>
      <c r="C2120" s="15"/>
      <c r="D2120" s="15">
        <v>7.03</v>
      </c>
      <c r="E2120" s="15"/>
      <c r="F2120" s="15" t="str">
        <f t="shared" si="1"/>
        <v/>
      </c>
      <c r="G2120" s="15">
        <f t="shared" si="2"/>
        <v>7.03</v>
      </c>
      <c r="H2120" s="16">
        <v>1.0</v>
      </c>
      <c r="I2120" s="15">
        <f t="shared" si="3"/>
        <v>5.1</v>
      </c>
      <c r="J2120" s="15">
        <v>25.54</v>
      </c>
      <c r="K2120" s="16">
        <f>IF(COUNTIFS(Release_Calendar!$A$2:$A$755,"US_CPI",Release_Calendar!$B$2:$B$755,$A2120)&gt;0,1,0)</f>
        <v>0</v>
      </c>
      <c r="L2120" s="16">
        <f>IF(COUNTIFS(Release_Calendar!$A$2:$A$755,"US_NFP",Release_Calendar!$B$2:$B$755,$A2120)&gt;0,1,0)</f>
        <v>0</v>
      </c>
      <c r="M2120" s="16" t="str">
        <f>IF($A2120&lt;Notes!$B$5,"",IF(COUNTIFS(Release_Calendar!$A$2:$A$755,"NZ_CPI",Release_Calendar!$B$2:$B$755,$A2120)&gt;0,1,0))</f>
        <v/>
      </c>
      <c r="N2120" s="16" t="str">
        <f>IF($A2120&lt;Notes!$B$5,"",IF(COUNTIFS(Release_Calendar!$A$2:$A$755,"NZ_GDP",Release_Calendar!$B$2:$B$755,$A2120)&gt;0,1,0))</f>
        <v/>
      </c>
      <c r="O2120" s="16" t="str">
        <f>IF($A2120&lt;Notes!$B$5,"",IF(COUNTIFS(Release_Calendar!$A$2:$A$755,"NZ_LABOUR",Release_Calendar!$B$2:$B$755,$A2120)&gt;0,1,0))</f>
        <v/>
      </c>
      <c r="P2120" s="16">
        <f t="shared" si="4"/>
        <v>0</v>
      </c>
    </row>
    <row r="2121" ht="15.75" customHeight="1">
      <c r="A2121" s="14">
        <v>39493.0</v>
      </c>
      <c r="B2121" s="15">
        <v>1.91</v>
      </c>
      <c r="C2121" s="15"/>
      <c r="D2121" s="15">
        <v>7.07</v>
      </c>
      <c r="E2121" s="15"/>
      <c r="F2121" s="15" t="str">
        <f t="shared" si="1"/>
        <v/>
      </c>
      <c r="G2121" s="15">
        <f t="shared" si="2"/>
        <v>7.07</v>
      </c>
      <c r="H2121" s="16">
        <v>1.0</v>
      </c>
      <c r="I2121" s="15">
        <f t="shared" si="3"/>
        <v>5.16</v>
      </c>
      <c r="J2121" s="15">
        <v>25.02</v>
      </c>
      <c r="K2121" s="16">
        <f>IF(COUNTIFS(Release_Calendar!$A$2:$A$755,"US_CPI",Release_Calendar!$B$2:$B$755,$A2121)&gt;0,1,0)</f>
        <v>0</v>
      </c>
      <c r="L2121" s="16">
        <f>IF(COUNTIFS(Release_Calendar!$A$2:$A$755,"US_NFP",Release_Calendar!$B$2:$B$755,$A2121)&gt;0,1,0)</f>
        <v>0</v>
      </c>
      <c r="M2121" s="16" t="str">
        <f>IF($A2121&lt;Notes!$B$5,"",IF(COUNTIFS(Release_Calendar!$A$2:$A$755,"NZ_CPI",Release_Calendar!$B$2:$B$755,$A2121)&gt;0,1,0))</f>
        <v/>
      </c>
      <c r="N2121" s="16" t="str">
        <f>IF($A2121&lt;Notes!$B$5,"",IF(COUNTIFS(Release_Calendar!$A$2:$A$755,"NZ_GDP",Release_Calendar!$B$2:$B$755,$A2121)&gt;0,1,0))</f>
        <v/>
      </c>
      <c r="O2121" s="16" t="str">
        <f>IF($A2121&lt;Notes!$B$5,"",IF(COUNTIFS(Release_Calendar!$A$2:$A$755,"NZ_LABOUR",Release_Calendar!$B$2:$B$755,$A2121)&gt;0,1,0))</f>
        <v/>
      </c>
      <c r="P2121" s="16">
        <f t="shared" si="4"/>
        <v>0</v>
      </c>
    </row>
    <row r="2122" ht="15.75" customHeight="1">
      <c r="A2122" s="14">
        <v>39496.0</v>
      </c>
      <c r="B2122" s="15"/>
      <c r="C2122" s="15"/>
      <c r="D2122" s="15">
        <v>7.05</v>
      </c>
      <c r="E2122" s="15"/>
      <c r="F2122" s="15" t="str">
        <f t="shared" si="1"/>
        <v/>
      </c>
      <c r="G2122" s="15">
        <f t="shared" si="2"/>
        <v>7.05</v>
      </c>
      <c r="H2122" s="16">
        <v>1.0</v>
      </c>
      <c r="I2122" s="15" t="str">
        <f t="shared" si="3"/>
        <v/>
      </c>
      <c r="J2122" s="15"/>
      <c r="K2122" s="16">
        <f>IF(COUNTIFS(Release_Calendar!$A$2:$A$755,"US_CPI",Release_Calendar!$B$2:$B$755,$A2122)&gt;0,1,0)</f>
        <v>0</v>
      </c>
      <c r="L2122" s="16">
        <f>IF(COUNTIFS(Release_Calendar!$A$2:$A$755,"US_NFP",Release_Calendar!$B$2:$B$755,$A2122)&gt;0,1,0)</f>
        <v>0</v>
      </c>
      <c r="M2122" s="16" t="str">
        <f>IF($A2122&lt;Notes!$B$5,"",IF(COUNTIFS(Release_Calendar!$A$2:$A$755,"NZ_CPI",Release_Calendar!$B$2:$B$755,$A2122)&gt;0,1,0))</f>
        <v/>
      </c>
      <c r="N2122" s="16" t="str">
        <f>IF($A2122&lt;Notes!$B$5,"",IF(COUNTIFS(Release_Calendar!$A$2:$A$755,"NZ_GDP",Release_Calendar!$B$2:$B$755,$A2122)&gt;0,1,0))</f>
        <v/>
      </c>
      <c r="O2122" s="16" t="str">
        <f>IF($A2122&lt;Notes!$B$5,"",IF(COUNTIFS(Release_Calendar!$A$2:$A$755,"NZ_LABOUR",Release_Calendar!$B$2:$B$755,$A2122)&gt;0,1,0))</f>
        <v/>
      </c>
      <c r="P2122" s="16">
        <f t="shared" si="4"/>
        <v>0</v>
      </c>
    </row>
    <row r="2123" ht="15.75" customHeight="1">
      <c r="A2123" s="14">
        <v>39497.0</v>
      </c>
      <c r="B2123" s="15">
        <v>2.06</v>
      </c>
      <c r="C2123" s="15"/>
      <c r="D2123" s="15">
        <v>7.09</v>
      </c>
      <c r="E2123" s="15"/>
      <c r="F2123" s="15" t="str">
        <f t="shared" si="1"/>
        <v/>
      </c>
      <c r="G2123" s="15">
        <f t="shared" si="2"/>
        <v>7.09</v>
      </c>
      <c r="H2123" s="16">
        <v>1.0</v>
      </c>
      <c r="I2123" s="15">
        <f t="shared" si="3"/>
        <v>5.03</v>
      </c>
      <c r="J2123" s="15">
        <v>25.59</v>
      </c>
      <c r="K2123" s="16">
        <f>IF(COUNTIFS(Release_Calendar!$A$2:$A$755,"US_CPI",Release_Calendar!$B$2:$B$755,$A2123)&gt;0,1,0)</f>
        <v>0</v>
      </c>
      <c r="L2123" s="16">
        <f>IF(COUNTIFS(Release_Calendar!$A$2:$A$755,"US_NFP",Release_Calendar!$B$2:$B$755,$A2123)&gt;0,1,0)</f>
        <v>0</v>
      </c>
      <c r="M2123" s="16" t="str">
        <f>IF($A2123&lt;Notes!$B$5,"",IF(COUNTIFS(Release_Calendar!$A$2:$A$755,"NZ_CPI",Release_Calendar!$B$2:$B$755,$A2123)&gt;0,1,0))</f>
        <v/>
      </c>
      <c r="N2123" s="16" t="str">
        <f>IF($A2123&lt;Notes!$B$5,"",IF(COUNTIFS(Release_Calendar!$A$2:$A$755,"NZ_GDP",Release_Calendar!$B$2:$B$755,$A2123)&gt;0,1,0))</f>
        <v/>
      </c>
      <c r="O2123" s="16" t="str">
        <f>IF($A2123&lt;Notes!$B$5,"",IF(COUNTIFS(Release_Calendar!$A$2:$A$755,"NZ_LABOUR",Release_Calendar!$B$2:$B$755,$A2123)&gt;0,1,0))</f>
        <v/>
      </c>
      <c r="P2123" s="16">
        <f t="shared" si="4"/>
        <v>0</v>
      </c>
    </row>
    <row r="2124" ht="15.75" customHeight="1">
      <c r="A2124" s="14">
        <v>39498.0</v>
      </c>
      <c r="B2124" s="15">
        <v>2.14</v>
      </c>
      <c r="C2124" s="15"/>
      <c r="D2124" s="15">
        <v>7.15</v>
      </c>
      <c r="E2124" s="15"/>
      <c r="F2124" s="15" t="str">
        <f t="shared" si="1"/>
        <v/>
      </c>
      <c r="G2124" s="15">
        <f t="shared" si="2"/>
        <v>7.15</v>
      </c>
      <c r="H2124" s="16">
        <v>1.0</v>
      </c>
      <c r="I2124" s="15">
        <f t="shared" si="3"/>
        <v>5.01</v>
      </c>
      <c r="J2124" s="15">
        <v>24.4</v>
      </c>
      <c r="K2124" s="16">
        <f>IF(COUNTIFS(Release_Calendar!$A$2:$A$755,"US_CPI",Release_Calendar!$B$2:$B$755,$A2124)&gt;0,1,0)</f>
        <v>1</v>
      </c>
      <c r="L2124" s="16">
        <f>IF(COUNTIFS(Release_Calendar!$A$2:$A$755,"US_NFP",Release_Calendar!$B$2:$B$755,$A2124)&gt;0,1,0)</f>
        <v>0</v>
      </c>
      <c r="M2124" s="16" t="str">
        <f>IF($A2124&lt;Notes!$B$5,"",IF(COUNTIFS(Release_Calendar!$A$2:$A$755,"NZ_CPI",Release_Calendar!$B$2:$B$755,$A2124)&gt;0,1,0))</f>
        <v/>
      </c>
      <c r="N2124" s="16" t="str">
        <f>IF($A2124&lt;Notes!$B$5,"",IF(COUNTIFS(Release_Calendar!$A$2:$A$755,"NZ_GDP",Release_Calendar!$B$2:$B$755,$A2124)&gt;0,1,0))</f>
        <v/>
      </c>
      <c r="O2124" s="16" t="str">
        <f>IF($A2124&lt;Notes!$B$5,"",IF(COUNTIFS(Release_Calendar!$A$2:$A$755,"NZ_LABOUR",Release_Calendar!$B$2:$B$755,$A2124)&gt;0,1,0))</f>
        <v/>
      </c>
      <c r="P2124" s="16">
        <f t="shared" si="4"/>
        <v>1</v>
      </c>
    </row>
    <row r="2125" ht="15.75" customHeight="1">
      <c r="A2125" s="14">
        <v>39499.0</v>
      </c>
      <c r="B2125" s="15">
        <v>1.98</v>
      </c>
      <c r="C2125" s="15"/>
      <c r="D2125" s="15">
        <v>7.12</v>
      </c>
      <c r="E2125" s="15"/>
      <c r="F2125" s="15" t="str">
        <f t="shared" si="1"/>
        <v/>
      </c>
      <c r="G2125" s="15">
        <f t="shared" si="2"/>
        <v>7.12</v>
      </c>
      <c r="H2125" s="16">
        <v>1.0</v>
      </c>
      <c r="I2125" s="15">
        <f t="shared" si="3"/>
        <v>5.14</v>
      </c>
      <c r="J2125" s="15">
        <v>25.12</v>
      </c>
      <c r="K2125" s="16">
        <f>IF(COUNTIFS(Release_Calendar!$A$2:$A$755,"US_CPI",Release_Calendar!$B$2:$B$755,$A2125)&gt;0,1,0)</f>
        <v>0</v>
      </c>
      <c r="L2125" s="16">
        <f>IF(COUNTIFS(Release_Calendar!$A$2:$A$755,"US_NFP",Release_Calendar!$B$2:$B$755,$A2125)&gt;0,1,0)</f>
        <v>0</v>
      </c>
      <c r="M2125" s="16" t="str">
        <f>IF($A2125&lt;Notes!$B$5,"",IF(COUNTIFS(Release_Calendar!$A$2:$A$755,"NZ_CPI",Release_Calendar!$B$2:$B$755,$A2125)&gt;0,1,0))</f>
        <v/>
      </c>
      <c r="N2125" s="16" t="str">
        <f>IF($A2125&lt;Notes!$B$5,"",IF(COUNTIFS(Release_Calendar!$A$2:$A$755,"NZ_GDP",Release_Calendar!$B$2:$B$755,$A2125)&gt;0,1,0))</f>
        <v/>
      </c>
      <c r="O2125" s="16" t="str">
        <f>IF($A2125&lt;Notes!$B$5,"",IF(COUNTIFS(Release_Calendar!$A$2:$A$755,"NZ_LABOUR",Release_Calendar!$B$2:$B$755,$A2125)&gt;0,1,0))</f>
        <v/>
      </c>
      <c r="P2125" s="16">
        <f t="shared" si="4"/>
        <v>0</v>
      </c>
    </row>
    <row r="2126" ht="15.75" customHeight="1">
      <c r="A2126" s="14">
        <v>39500.0</v>
      </c>
      <c r="B2126" s="15">
        <v>1.98</v>
      </c>
      <c r="C2126" s="15"/>
      <c r="D2126" s="15">
        <v>7.07</v>
      </c>
      <c r="E2126" s="15"/>
      <c r="F2126" s="15" t="str">
        <f t="shared" si="1"/>
        <v/>
      </c>
      <c r="G2126" s="15">
        <f t="shared" si="2"/>
        <v>7.07</v>
      </c>
      <c r="H2126" s="16">
        <v>1.0</v>
      </c>
      <c r="I2126" s="15">
        <f t="shared" si="3"/>
        <v>5.09</v>
      </c>
      <c r="J2126" s="15">
        <v>24.06</v>
      </c>
      <c r="K2126" s="16">
        <f>IF(COUNTIFS(Release_Calendar!$A$2:$A$755,"US_CPI",Release_Calendar!$B$2:$B$755,$A2126)&gt;0,1,0)</f>
        <v>0</v>
      </c>
      <c r="L2126" s="16">
        <f>IF(COUNTIFS(Release_Calendar!$A$2:$A$755,"US_NFP",Release_Calendar!$B$2:$B$755,$A2126)&gt;0,1,0)</f>
        <v>0</v>
      </c>
      <c r="M2126" s="16" t="str">
        <f>IF($A2126&lt;Notes!$B$5,"",IF(COUNTIFS(Release_Calendar!$A$2:$A$755,"NZ_CPI",Release_Calendar!$B$2:$B$755,$A2126)&gt;0,1,0))</f>
        <v/>
      </c>
      <c r="N2126" s="16" t="str">
        <f>IF($A2126&lt;Notes!$B$5,"",IF(COUNTIFS(Release_Calendar!$A$2:$A$755,"NZ_GDP",Release_Calendar!$B$2:$B$755,$A2126)&gt;0,1,0))</f>
        <v/>
      </c>
      <c r="O2126" s="16" t="str">
        <f>IF($A2126&lt;Notes!$B$5,"",IF(COUNTIFS(Release_Calendar!$A$2:$A$755,"NZ_LABOUR",Release_Calendar!$B$2:$B$755,$A2126)&gt;0,1,0))</f>
        <v/>
      </c>
      <c r="P2126" s="16">
        <f t="shared" si="4"/>
        <v>0</v>
      </c>
    </row>
    <row r="2127" ht="15.75" customHeight="1">
      <c r="A2127" s="14">
        <v>39503.0</v>
      </c>
      <c r="B2127" s="15">
        <v>2.13</v>
      </c>
      <c r="C2127" s="15"/>
      <c r="D2127" s="15">
        <v>7.09</v>
      </c>
      <c r="E2127" s="15"/>
      <c r="F2127" s="15" t="str">
        <f t="shared" si="1"/>
        <v/>
      </c>
      <c r="G2127" s="15">
        <f t="shared" si="2"/>
        <v>7.09</v>
      </c>
      <c r="H2127" s="16">
        <v>1.0</v>
      </c>
      <c r="I2127" s="15">
        <f t="shared" si="3"/>
        <v>4.96</v>
      </c>
      <c r="J2127" s="15">
        <v>23.03</v>
      </c>
      <c r="K2127" s="16">
        <f>IF(COUNTIFS(Release_Calendar!$A$2:$A$755,"US_CPI",Release_Calendar!$B$2:$B$755,$A2127)&gt;0,1,0)</f>
        <v>0</v>
      </c>
      <c r="L2127" s="16">
        <f>IF(COUNTIFS(Release_Calendar!$A$2:$A$755,"US_NFP",Release_Calendar!$B$2:$B$755,$A2127)&gt;0,1,0)</f>
        <v>0</v>
      </c>
      <c r="M2127" s="16" t="str">
        <f>IF($A2127&lt;Notes!$B$5,"",IF(COUNTIFS(Release_Calendar!$A$2:$A$755,"NZ_CPI",Release_Calendar!$B$2:$B$755,$A2127)&gt;0,1,0))</f>
        <v/>
      </c>
      <c r="N2127" s="16" t="str">
        <f>IF($A2127&lt;Notes!$B$5,"",IF(COUNTIFS(Release_Calendar!$A$2:$A$755,"NZ_GDP",Release_Calendar!$B$2:$B$755,$A2127)&gt;0,1,0))</f>
        <v/>
      </c>
      <c r="O2127" s="16" t="str">
        <f>IF($A2127&lt;Notes!$B$5,"",IF(COUNTIFS(Release_Calendar!$A$2:$A$755,"NZ_LABOUR",Release_Calendar!$B$2:$B$755,$A2127)&gt;0,1,0))</f>
        <v/>
      </c>
      <c r="P2127" s="16">
        <f t="shared" si="4"/>
        <v>0</v>
      </c>
    </row>
    <row r="2128" ht="15.75" customHeight="1">
      <c r="A2128" s="14">
        <v>39504.0</v>
      </c>
      <c r="B2128" s="15">
        <v>2.04</v>
      </c>
      <c r="C2128" s="15"/>
      <c r="D2128" s="15">
        <v>7.17</v>
      </c>
      <c r="E2128" s="15"/>
      <c r="F2128" s="15" t="str">
        <f t="shared" si="1"/>
        <v/>
      </c>
      <c r="G2128" s="15">
        <f t="shared" si="2"/>
        <v>7.17</v>
      </c>
      <c r="H2128" s="16">
        <v>1.0</v>
      </c>
      <c r="I2128" s="15">
        <f t="shared" si="3"/>
        <v>5.13</v>
      </c>
      <c r="J2128" s="15">
        <v>21.9</v>
      </c>
      <c r="K2128" s="16">
        <f>IF(COUNTIFS(Release_Calendar!$A$2:$A$755,"US_CPI",Release_Calendar!$B$2:$B$755,$A2128)&gt;0,1,0)</f>
        <v>0</v>
      </c>
      <c r="L2128" s="16">
        <f>IF(COUNTIFS(Release_Calendar!$A$2:$A$755,"US_NFP",Release_Calendar!$B$2:$B$755,$A2128)&gt;0,1,0)</f>
        <v>0</v>
      </c>
      <c r="M2128" s="16" t="str">
        <f>IF($A2128&lt;Notes!$B$5,"",IF(COUNTIFS(Release_Calendar!$A$2:$A$755,"NZ_CPI",Release_Calendar!$B$2:$B$755,$A2128)&gt;0,1,0))</f>
        <v/>
      </c>
      <c r="N2128" s="16" t="str">
        <f>IF($A2128&lt;Notes!$B$5,"",IF(COUNTIFS(Release_Calendar!$A$2:$A$755,"NZ_GDP",Release_Calendar!$B$2:$B$755,$A2128)&gt;0,1,0))</f>
        <v/>
      </c>
      <c r="O2128" s="16" t="str">
        <f>IF($A2128&lt;Notes!$B$5,"",IF(COUNTIFS(Release_Calendar!$A$2:$A$755,"NZ_LABOUR",Release_Calendar!$B$2:$B$755,$A2128)&gt;0,1,0))</f>
        <v/>
      </c>
      <c r="P2128" s="16">
        <f t="shared" si="4"/>
        <v>0</v>
      </c>
    </row>
    <row r="2129" ht="15.75" customHeight="1">
      <c r="A2129" s="14">
        <v>39505.0</v>
      </c>
      <c r="B2129" s="15">
        <v>2.01</v>
      </c>
      <c r="C2129" s="15"/>
      <c r="D2129" s="15">
        <v>7.16</v>
      </c>
      <c r="E2129" s="15"/>
      <c r="F2129" s="15" t="str">
        <f t="shared" si="1"/>
        <v/>
      </c>
      <c r="G2129" s="15">
        <f t="shared" si="2"/>
        <v>7.16</v>
      </c>
      <c r="H2129" s="16">
        <v>1.0</v>
      </c>
      <c r="I2129" s="15">
        <f t="shared" si="3"/>
        <v>5.15</v>
      </c>
      <c r="J2129" s="15">
        <v>22.69</v>
      </c>
      <c r="K2129" s="16">
        <f>IF(COUNTIFS(Release_Calendar!$A$2:$A$755,"US_CPI",Release_Calendar!$B$2:$B$755,$A2129)&gt;0,1,0)</f>
        <v>0</v>
      </c>
      <c r="L2129" s="16">
        <f>IF(COUNTIFS(Release_Calendar!$A$2:$A$755,"US_NFP",Release_Calendar!$B$2:$B$755,$A2129)&gt;0,1,0)</f>
        <v>0</v>
      </c>
      <c r="M2129" s="16" t="str">
        <f>IF($A2129&lt;Notes!$B$5,"",IF(COUNTIFS(Release_Calendar!$A$2:$A$755,"NZ_CPI",Release_Calendar!$B$2:$B$755,$A2129)&gt;0,1,0))</f>
        <v/>
      </c>
      <c r="N2129" s="16" t="str">
        <f>IF($A2129&lt;Notes!$B$5,"",IF(COUNTIFS(Release_Calendar!$A$2:$A$755,"NZ_GDP",Release_Calendar!$B$2:$B$755,$A2129)&gt;0,1,0))</f>
        <v/>
      </c>
      <c r="O2129" s="16" t="str">
        <f>IF($A2129&lt;Notes!$B$5,"",IF(COUNTIFS(Release_Calendar!$A$2:$A$755,"NZ_LABOUR",Release_Calendar!$B$2:$B$755,$A2129)&gt;0,1,0))</f>
        <v/>
      </c>
      <c r="P2129" s="16">
        <f t="shared" si="4"/>
        <v>0</v>
      </c>
    </row>
    <row r="2130" ht="15.75" customHeight="1">
      <c r="A2130" s="14">
        <v>39506.0</v>
      </c>
      <c r="B2130" s="15">
        <v>1.87</v>
      </c>
      <c r="C2130" s="15"/>
      <c r="D2130" s="15">
        <v>7.11</v>
      </c>
      <c r="E2130" s="15"/>
      <c r="F2130" s="15" t="str">
        <f t="shared" si="1"/>
        <v/>
      </c>
      <c r="G2130" s="15">
        <f t="shared" si="2"/>
        <v>7.11</v>
      </c>
      <c r="H2130" s="16">
        <v>1.0</v>
      </c>
      <c r="I2130" s="15">
        <f t="shared" si="3"/>
        <v>5.24</v>
      </c>
      <c r="J2130" s="15">
        <v>23.53</v>
      </c>
      <c r="K2130" s="16">
        <f>IF(COUNTIFS(Release_Calendar!$A$2:$A$755,"US_CPI",Release_Calendar!$B$2:$B$755,$A2130)&gt;0,1,0)</f>
        <v>0</v>
      </c>
      <c r="L2130" s="16">
        <f>IF(COUNTIFS(Release_Calendar!$A$2:$A$755,"US_NFP",Release_Calendar!$B$2:$B$755,$A2130)&gt;0,1,0)</f>
        <v>0</v>
      </c>
      <c r="M2130" s="16" t="str">
        <f>IF($A2130&lt;Notes!$B$5,"",IF(COUNTIFS(Release_Calendar!$A$2:$A$755,"NZ_CPI",Release_Calendar!$B$2:$B$755,$A2130)&gt;0,1,0))</f>
        <v/>
      </c>
      <c r="N2130" s="16" t="str">
        <f>IF($A2130&lt;Notes!$B$5,"",IF(COUNTIFS(Release_Calendar!$A$2:$A$755,"NZ_GDP",Release_Calendar!$B$2:$B$755,$A2130)&gt;0,1,0))</f>
        <v/>
      </c>
      <c r="O2130" s="16" t="str">
        <f>IF($A2130&lt;Notes!$B$5,"",IF(COUNTIFS(Release_Calendar!$A$2:$A$755,"NZ_LABOUR",Release_Calendar!$B$2:$B$755,$A2130)&gt;0,1,0))</f>
        <v/>
      </c>
      <c r="P2130" s="16">
        <f t="shared" si="4"/>
        <v>0</v>
      </c>
    </row>
    <row r="2131" ht="15.75" customHeight="1">
      <c r="A2131" s="14">
        <v>39507.0</v>
      </c>
      <c r="B2131" s="15">
        <v>1.65</v>
      </c>
      <c r="C2131" s="15"/>
      <c r="D2131" s="15">
        <v>7.05</v>
      </c>
      <c r="E2131" s="15"/>
      <c r="F2131" s="15" t="str">
        <f t="shared" si="1"/>
        <v/>
      </c>
      <c r="G2131" s="15">
        <f t="shared" si="2"/>
        <v>7.05</v>
      </c>
      <c r="H2131" s="16">
        <v>1.0</v>
      </c>
      <c r="I2131" s="15">
        <f t="shared" si="3"/>
        <v>5.4</v>
      </c>
      <c r="J2131" s="15">
        <v>26.54</v>
      </c>
      <c r="K2131" s="16">
        <f>IF(COUNTIFS(Release_Calendar!$A$2:$A$755,"US_CPI",Release_Calendar!$B$2:$B$755,$A2131)&gt;0,1,0)</f>
        <v>0</v>
      </c>
      <c r="L2131" s="16">
        <f>IF(COUNTIFS(Release_Calendar!$A$2:$A$755,"US_NFP",Release_Calendar!$B$2:$B$755,$A2131)&gt;0,1,0)</f>
        <v>0</v>
      </c>
      <c r="M2131" s="16" t="str">
        <f>IF($A2131&lt;Notes!$B$5,"",IF(COUNTIFS(Release_Calendar!$A$2:$A$755,"NZ_CPI",Release_Calendar!$B$2:$B$755,$A2131)&gt;0,1,0))</f>
        <v/>
      </c>
      <c r="N2131" s="16" t="str">
        <f>IF($A2131&lt;Notes!$B$5,"",IF(COUNTIFS(Release_Calendar!$A$2:$A$755,"NZ_GDP",Release_Calendar!$B$2:$B$755,$A2131)&gt;0,1,0))</f>
        <v/>
      </c>
      <c r="O2131" s="16" t="str">
        <f>IF($A2131&lt;Notes!$B$5,"",IF(COUNTIFS(Release_Calendar!$A$2:$A$755,"NZ_LABOUR",Release_Calendar!$B$2:$B$755,$A2131)&gt;0,1,0))</f>
        <v/>
      </c>
      <c r="P2131" s="16">
        <f t="shared" si="4"/>
        <v>0</v>
      </c>
    </row>
    <row r="2132" ht="15.75" customHeight="1">
      <c r="A2132" s="14">
        <v>39510.0</v>
      </c>
      <c r="B2132" s="15">
        <v>1.61</v>
      </c>
      <c r="C2132" s="15"/>
      <c r="D2132" s="15">
        <v>7.0</v>
      </c>
      <c r="E2132" s="15"/>
      <c r="F2132" s="15" t="str">
        <f t="shared" si="1"/>
        <v/>
      </c>
      <c r="G2132" s="15">
        <f t="shared" si="2"/>
        <v>7</v>
      </c>
      <c r="H2132" s="16">
        <v>1.0</v>
      </c>
      <c r="I2132" s="15">
        <f t="shared" si="3"/>
        <v>5.39</v>
      </c>
      <c r="J2132" s="15">
        <v>26.28</v>
      </c>
      <c r="K2132" s="16">
        <f>IF(COUNTIFS(Release_Calendar!$A$2:$A$755,"US_CPI",Release_Calendar!$B$2:$B$755,$A2132)&gt;0,1,0)</f>
        <v>0</v>
      </c>
      <c r="L2132" s="16">
        <f>IF(COUNTIFS(Release_Calendar!$A$2:$A$755,"US_NFP",Release_Calendar!$B$2:$B$755,$A2132)&gt;0,1,0)</f>
        <v>0</v>
      </c>
      <c r="M2132" s="16" t="str">
        <f>IF($A2132&lt;Notes!$B$5,"",IF(COUNTIFS(Release_Calendar!$A$2:$A$755,"NZ_CPI",Release_Calendar!$B$2:$B$755,$A2132)&gt;0,1,0))</f>
        <v/>
      </c>
      <c r="N2132" s="16" t="str">
        <f>IF($A2132&lt;Notes!$B$5,"",IF(COUNTIFS(Release_Calendar!$A$2:$A$755,"NZ_GDP",Release_Calendar!$B$2:$B$755,$A2132)&gt;0,1,0))</f>
        <v/>
      </c>
      <c r="O2132" s="16" t="str">
        <f>IF($A2132&lt;Notes!$B$5,"",IF(COUNTIFS(Release_Calendar!$A$2:$A$755,"NZ_LABOUR",Release_Calendar!$B$2:$B$755,$A2132)&gt;0,1,0))</f>
        <v/>
      </c>
      <c r="P2132" s="16">
        <f t="shared" si="4"/>
        <v>0</v>
      </c>
    </row>
    <row r="2133" ht="15.75" customHeight="1">
      <c r="A2133" s="14">
        <v>39511.0</v>
      </c>
      <c r="B2133" s="15">
        <v>1.65</v>
      </c>
      <c r="C2133" s="15"/>
      <c r="D2133" s="15">
        <v>7.02</v>
      </c>
      <c r="E2133" s="15"/>
      <c r="F2133" s="15" t="str">
        <f t="shared" si="1"/>
        <v/>
      </c>
      <c r="G2133" s="15">
        <f t="shared" si="2"/>
        <v>7.02</v>
      </c>
      <c r="H2133" s="16">
        <v>1.0</v>
      </c>
      <c r="I2133" s="15">
        <f t="shared" si="3"/>
        <v>5.37</v>
      </c>
      <c r="J2133" s="15">
        <v>25.52</v>
      </c>
      <c r="K2133" s="16">
        <f>IF(COUNTIFS(Release_Calendar!$A$2:$A$755,"US_CPI",Release_Calendar!$B$2:$B$755,$A2133)&gt;0,1,0)</f>
        <v>0</v>
      </c>
      <c r="L2133" s="16">
        <f>IF(COUNTIFS(Release_Calendar!$A$2:$A$755,"US_NFP",Release_Calendar!$B$2:$B$755,$A2133)&gt;0,1,0)</f>
        <v>0</v>
      </c>
      <c r="M2133" s="16" t="str">
        <f>IF($A2133&lt;Notes!$B$5,"",IF(COUNTIFS(Release_Calendar!$A$2:$A$755,"NZ_CPI",Release_Calendar!$B$2:$B$755,$A2133)&gt;0,1,0))</f>
        <v/>
      </c>
      <c r="N2133" s="16" t="str">
        <f>IF($A2133&lt;Notes!$B$5,"",IF(COUNTIFS(Release_Calendar!$A$2:$A$755,"NZ_GDP",Release_Calendar!$B$2:$B$755,$A2133)&gt;0,1,0))</f>
        <v/>
      </c>
      <c r="O2133" s="16" t="str">
        <f>IF($A2133&lt;Notes!$B$5,"",IF(COUNTIFS(Release_Calendar!$A$2:$A$755,"NZ_LABOUR",Release_Calendar!$B$2:$B$755,$A2133)&gt;0,1,0))</f>
        <v/>
      </c>
      <c r="P2133" s="16">
        <f t="shared" si="4"/>
        <v>0</v>
      </c>
    </row>
    <row r="2134" ht="15.75" customHeight="1">
      <c r="A2134" s="14">
        <v>39512.0</v>
      </c>
      <c r="B2134" s="15">
        <v>1.66</v>
      </c>
      <c r="C2134" s="15"/>
      <c r="D2134" s="15">
        <v>6.96</v>
      </c>
      <c r="E2134" s="15"/>
      <c r="F2134" s="15" t="str">
        <f t="shared" si="1"/>
        <v/>
      </c>
      <c r="G2134" s="15">
        <f t="shared" si="2"/>
        <v>6.96</v>
      </c>
      <c r="H2134" s="16">
        <v>1.0</v>
      </c>
      <c r="I2134" s="15">
        <f t="shared" si="3"/>
        <v>5.3</v>
      </c>
      <c r="J2134" s="15">
        <v>24.6</v>
      </c>
      <c r="K2134" s="16">
        <f>IF(COUNTIFS(Release_Calendar!$A$2:$A$755,"US_CPI",Release_Calendar!$B$2:$B$755,$A2134)&gt;0,1,0)</f>
        <v>0</v>
      </c>
      <c r="L2134" s="16">
        <f>IF(COUNTIFS(Release_Calendar!$A$2:$A$755,"US_NFP",Release_Calendar!$B$2:$B$755,$A2134)&gt;0,1,0)</f>
        <v>0</v>
      </c>
      <c r="M2134" s="16" t="str">
        <f>IF($A2134&lt;Notes!$B$5,"",IF(COUNTIFS(Release_Calendar!$A$2:$A$755,"NZ_CPI",Release_Calendar!$B$2:$B$755,$A2134)&gt;0,1,0))</f>
        <v/>
      </c>
      <c r="N2134" s="16" t="str">
        <f>IF($A2134&lt;Notes!$B$5,"",IF(COUNTIFS(Release_Calendar!$A$2:$A$755,"NZ_GDP",Release_Calendar!$B$2:$B$755,$A2134)&gt;0,1,0))</f>
        <v/>
      </c>
      <c r="O2134" s="16" t="str">
        <f>IF($A2134&lt;Notes!$B$5,"",IF(COUNTIFS(Release_Calendar!$A$2:$A$755,"NZ_LABOUR",Release_Calendar!$B$2:$B$755,$A2134)&gt;0,1,0))</f>
        <v/>
      </c>
      <c r="P2134" s="16">
        <f t="shared" si="4"/>
        <v>0</v>
      </c>
    </row>
    <row r="2135" ht="15.75" customHeight="1">
      <c r="A2135" s="14">
        <v>39513.0</v>
      </c>
      <c r="B2135" s="15">
        <v>1.53</v>
      </c>
      <c r="C2135" s="15"/>
      <c r="D2135" s="15">
        <v>6.92</v>
      </c>
      <c r="E2135" s="15"/>
      <c r="F2135" s="15" t="str">
        <f t="shared" si="1"/>
        <v/>
      </c>
      <c r="G2135" s="15">
        <f t="shared" si="2"/>
        <v>6.92</v>
      </c>
      <c r="H2135" s="16">
        <v>1.0</v>
      </c>
      <c r="I2135" s="15">
        <f t="shared" si="3"/>
        <v>5.39</v>
      </c>
      <c r="J2135" s="15">
        <v>27.55</v>
      </c>
      <c r="K2135" s="16">
        <f>IF(COUNTIFS(Release_Calendar!$A$2:$A$755,"US_CPI",Release_Calendar!$B$2:$B$755,$A2135)&gt;0,1,0)</f>
        <v>0</v>
      </c>
      <c r="L2135" s="16">
        <f>IF(COUNTIFS(Release_Calendar!$A$2:$A$755,"US_NFP",Release_Calendar!$B$2:$B$755,$A2135)&gt;0,1,0)</f>
        <v>0</v>
      </c>
      <c r="M2135" s="16" t="str">
        <f>IF($A2135&lt;Notes!$B$5,"",IF(COUNTIFS(Release_Calendar!$A$2:$A$755,"NZ_CPI",Release_Calendar!$B$2:$B$755,$A2135)&gt;0,1,0))</f>
        <v/>
      </c>
      <c r="N2135" s="16" t="str">
        <f>IF($A2135&lt;Notes!$B$5,"",IF(COUNTIFS(Release_Calendar!$A$2:$A$755,"NZ_GDP",Release_Calendar!$B$2:$B$755,$A2135)&gt;0,1,0))</f>
        <v/>
      </c>
      <c r="O2135" s="16" t="str">
        <f>IF($A2135&lt;Notes!$B$5,"",IF(COUNTIFS(Release_Calendar!$A$2:$A$755,"NZ_LABOUR",Release_Calendar!$B$2:$B$755,$A2135)&gt;0,1,0))</f>
        <v/>
      </c>
      <c r="P2135" s="16">
        <f t="shared" si="4"/>
        <v>0</v>
      </c>
    </row>
    <row r="2136" ht="15.75" customHeight="1">
      <c r="A2136" s="14">
        <v>39514.0</v>
      </c>
      <c r="B2136" s="15">
        <v>1.53</v>
      </c>
      <c r="C2136" s="15"/>
      <c r="D2136" s="15">
        <v>6.84</v>
      </c>
      <c r="E2136" s="15"/>
      <c r="F2136" s="15" t="str">
        <f t="shared" si="1"/>
        <v/>
      </c>
      <c r="G2136" s="15">
        <f t="shared" si="2"/>
        <v>6.84</v>
      </c>
      <c r="H2136" s="16">
        <v>1.0</v>
      </c>
      <c r="I2136" s="15">
        <f t="shared" si="3"/>
        <v>5.31</v>
      </c>
      <c r="J2136" s="15">
        <v>27.49</v>
      </c>
      <c r="K2136" s="16">
        <f>IF(COUNTIFS(Release_Calendar!$A$2:$A$755,"US_CPI",Release_Calendar!$B$2:$B$755,$A2136)&gt;0,1,0)</f>
        <v>0</v>
      </c>
      <c r="L2136" s="16">
        <f>IF(COUNTIFS(Release_Calendar!$A$2:$A$755,"US_NFP",Release_Calendar!$B$2:$B$755,$A2136)&gt;0,1,0)</f>
        <v>1</v>
      </c>
      <c r="M2136" s="16" t="str">
        <f>IF($A2136&lt;Notes!$B$5,"",IF(COUNTIFS(Release_Calendar!$A$2:$A$755,"NZ_CPI",Release_Calendar!$B$2:$B$755,$A2136)&gt;0,1,0))</f>
        <v/>
      </c>
      <c r="N2136" s="16" t="str">
        <f>IF($A2136&lt;Notes!$B$5,"",IF(COUNTIFS(Release_Calendar!$A$2:$A$755,"NZ_GDP",Release_Calendar!$B$2:$B$755,$A2136)&gt;0,1,0))</f>
        <v/>
      </c>
      <c r="O2136" s="16" t="str">
        <f>IF($A2136&lt;Notes!$B$5,"",IF(COUNTIFS(Release_Calendar!$A$2:$A$755,"NZ_LABOUR",Release_Calendar!$B$2:$B$755,$A2136)&gt;0,1,0))</f>
        <v/>
      </c>
      <c r="P2136" s="16">
        <f t="shared" si="4"/>
        <v>1</v>
      </c>
    </row>
    <row r="2137" ht="15.75" customHeight="1">
      <c r="A2137" s="14">
        <v>39517.0</v>
      </c>
      <c r="B2137" s="15">
        <v>1.47</v>
      </c>
      <c r="C2137" s="15"/>
      <c r="D2137" s="15">
        <v>6.76</v>
      </c>
      <c r="E2137" s="15"/>
      <c r="F2137" s="15" t="str">
        <f t="shared" si="1"/>
        <v/>
      </c>
      <c r="G2137" s="15">
        <f t="shared" si="2"/>
        <v>6.76</v>
      </c>
      <c r="H2137" s="16">
        <v>1.0</v>
      </c>
      <c r="I2137" s="15">
        <f t="shared" si="3"/>
        <v>5.29</v>
      </c>
      <c r="J2137" s="15">
        <v>29.38</v>
      </c>
      <c r="K2137" s="16">
        <f>IF(COUNTIFS(Release_Calendar!$A$2:$A$755,"US_CPI",Release_Calendar!$B$2:$B$755,$A2137)&gt;0,1,0)</f>
        <v>0</v>
      </c>
      <c r="L2137" s="16">
        <f>IF(COUNTIFS(Release_Calendar!$A$2:$A$755,"US_NFP",Release_Calendar!$B$2:$B$755,$A2137)&gt;0,1,0)</f>
        <v>0</v>
      </c>
      <c r="M2137" s="16" t="str">
        <f>IF($A2137&lt;Notes!$B$5,"",IF(COUNTIFS(Release_Calendar!$A$2:$A$755,"NZ_CPI",Release_Calendar!$B$2:$B$755,$A2137)&gt;0,1,0))</f>
        <v/>
      </c>
      <c r="N2137" s="16" t="str">
        <f>IF($A2137&lt;Notes!$B$5,"",IF(COUNTIFS(Release_Calendar!$A$2:$A$755,"NZ_GDP",Release_Calendar!$B$2:$B$755,$A2137)&gt;0,1,0))</f>
        <v/>
      </c>
      <c r="O2137" s="16" t="str">
        <f>IF($A2137&lt;Notes!$B$5,"",IF(COUNTIFS(Release_Calendar!$A$2:$A$755,"NZ_LABOUR",Release_Calendar!$B$2:$B$755,$A2137)&gt;0,1,0))</f>
        <v/>
      </c>
      <c r="P2137" s="16">
        <f t="shared" si="4"/>
        <v>0</v>
      </c>
    </row>
    <row r="2138" ht="15.75" customHeight="1">
      <c r="A2138" s="14">
        <v>39518.0</v>
      </c>
      <c r="B2138" s="15">
        <v>1.74</v>
      </c>
      <c r="C2138" s="15"/>
      <c r="D2138" s="15">
        <v>6.75</v>
      </c>
      <c r="E2138" s="15"/>
      <c r="F2138" s="15" t="str">
        <f t="shared" si="1"/>
        <v/>
      </c>
      <c r="G2138" s="15">
        <f t="shared" si="2"/>
        <v>6.75</v>
      </c>
      <c r="H2138" s="16">
        <v>1.0</v>
      </c>
      <c r="I2138" s="15">
        <f t="shared" si="3"/>
        <v>5.01</v>
      </c>
      <c r="J2138" s="15">
        <v>26.36</v>
      </c>
      <c r="K2138" s="16">
        <f>IF(COUNTIFS(Release_Calendar!$A$2:$A$755,"US_CPI",Release_Calendar!$B$2:$B$755,$A2138)&gt;0,1,0)</f>
        <v>0</v>
      </c>
      <c r="L2138" s="16">
        <f>IF(COUNTIFS(Release_Calendar!$A$2:$A$755,"US_NFP",Release_Calendar!$B$2:$B$755,$A2138)&gt;0,1,0)</f>
        <v>0</v>
      </c>
      <c r="M2138" s="16" t="str">
        <f>IF($A2138&lt;Notes!$B$5,"",IF(COUNTIFS(Release_Calendar!$A$2:$A$755,"NZ_CPI",Release_Calendar!$B$2:$B$755,$A2138)&gt;0,1,0))</f>
        <v/>
      </c>
      <c r="N2138" s="16" t="str">
        <f>IF($A2138&lt;Notes!$B$5,"",IF(COUNTIFS(Release_Calendar!$A$2:$A$755,"NZ_GDP",Release_Calendar!$B$2:$B$755,$A2138)&gt;0,1,0))</f>
        <v/>
      </c>
      <c r="O2138" s="16" t="str">
        <f>IF($A2138&lt;Notes!$B$5,"",IF(COUNTIFS(Release_Calendar!$A$2:$A$755,"NZ_LABOUR",Release_Calendar!$B$2:$B$755,$A2138)&gt;0,1,0))</f>
        <v/>
      </c>
      <c r="P2138" s="16">
        <f t="shared" si="4"/>
        <v>0</v>
      </c>
    </row>
    <row r="2139" ht="15.75" customHeight="1">
      <c r="A2139" s="14">
        <v>39519.0</v>
      </c>
      <c r="B2139" s="15">
        <v>1.63</v>
      </c>
      <c r="C2139" s="15"/>
      <c r="D2139" s="15">
        <v>6.79</v>
      </c>
      <c r="E2139" s="15"/>
      <c r="F2139" s="15" t="str">
        <f t="shared" si="1"/>
        <v/>
      </c>
      <c r="G2139" s="15">
        <f t="shared" si="2"/>
        <v>6.79</v>
      </c>
      <c r="H2139" s="16">
        <v>1.0</v>
      </c>
      <c r="I2139" s="15">
        <f t="shared" si="3"/>
        <v>5.16</v>
      </c>
      <c r="J2139" s="15">
        <v>27.22</v>
      </c>
      <c r="K2139" s="16">
        <f>IF(COUNTIFS(Release_Calendar!$A$2:$A$755,"US_CPI",Release_Calendar!$B$2:$B$755,$A2139)&gt;0,1,0)</f>
        <v>0</v>
      </c>
      <c r="L2139" s="16">
        <f>IF(COUNTIFS(Release_Calendar!$A$2:$A$755,"US_NFP",Release_Calendar!$B$2:$B$755,$A2139)&gt;0,1,0)</f>
        <v>0</v>
      </c>
      <c r="M2139" s="16" t="str">
        <f>IF($A2139&lt;Notes!$B$5,"",IF(COUNTIFS(Release_Calendar!$A$2:$A$755,"NZ_CPI",Release_Calendar!$B$2:$B$755,$A2139)&gt;0,1,0))</f>
        <v/>
      </c>
      <c r="N2139" s="16" t="str">
        <f>IF($A2139&lt;Notes!$B$5,"",IF(COUNTIFS(Release_Calendar!$A$2:$A$755,"NZ_GDP",Release_Calendar!$B$2:$B$755,$A2139)&gt;0,1,0))</f>
        <v/>
      </c>
      <c r="O2139" s="16" t="str">
        <f>IF($A2139&lt;Notes!$B$5,"",IF(COUNTIFS(Release_Calendar!$A$2:$A$755,"NZ_LABOUR",Release_Calendar!$B$2:$B$755,$A2139)&gt;0,1,0))</f>
        <v/>
      </c>
      <c r="P2139" s="16">
        <f t="shared" si="4"/>
        <v>0</v>
      </c>
    </row>
    <row r="2140" ht="15.75" customHeight="1">
      <c r="A2140" s="14">
        <v>39520.0</v>
      </c>
      <c r="B2140" s="15">
        <v>1.63</v>
      </c>
      <c r="C2140" s="15"/>
      <c r="D2140" s="15">
        <v>6.76</v>
      </c>
      <c r="E2140" s="15"/>
      <c r="F2140" s="15" t="str">
        <f t="shared" si="1"/>
        <v/>
      </c>
      <c r="G2140" s="15">
        <f t="shared" si="2"/>
        <v>6.76</v>
      </c>
      <c r="H2140" s="16">
        <v>1.0</v>
      </c>
      <c r="I2140" s="15">
        <f t="shared" si="3"/>
        <v>5.13</v>
      </c>
      <c r="J2140" s="15">
        <v>27.29</v>
      </c>
      <c r="K2140" s="16">
        <f>IF(COUNTIFS(Release_Calendar!$A$2:$A$755,"US_CPI",Release_Calendar!$B$2:$B$755,$A2140)&gt;0,1,0)</f>
        <v>0</v>
      </c>
      <c r="L2140" s="16">
        <f>IF(COUNTIFS(Release_Calendar!$A$2:$A$755,"US_NFP",Release_Calendar!$B$2:$B$755,$A2140)&gt;0,1,0)</f>
        <v>0</v>
      </c>
      <c r="M2140" s="16" t="str">
        <f>IF($A2140&lt;Notes!$B$5,"",IF(COUNTIFS(Release_Calendar!$A$2:$A$755,"NZ_CPI",Release_Calendar!$B$2:$B$755,$A2140)&gt;0,1,0))</f>
        <v/>
      </c>
      <c r="N2140" s="16" t="str">
        <f>IF($A2140&lt;Notes!$B$5,"",IF(COUNTIFS(Release_Calendar!$A$2:$A$755,"NZ_GDP",Release_Calendar!$B$2:$B$755,$A2140)&gt;0,1,0))</f>
        <v/>
      </c>
      <c r="O2140" s="16" t="str">
        <f>IF($A2140&lt;Notes!$B$5,"",IF(COUNTIFS(Release_Calendar!$A$2:$A$755,"NZ_LABOUR",Release_Calendar!$B$2:$B$755,$A2140)&gt;0,1,0))</f>
        <v/>
      </c>
      <c r="P2140" s="16">
        <f t="shared" si="4"/>
        <v>0</v>
      </c>
    </row>
    <row r="2141" ht="15.75" customHeight="1">
      <c r="A2141" s="14">
        <v>39521.0</v>
      </c>
      <c r="B2141" s="15">
        <v>1.47</v>
      </c>
      <c r="C2141" s="15"/>
      <c r="D2141" s="15">
        <v>6.78</v>
      </c>
      <c r="E2141" s="15"/>
      <c r="F2141" s="15" t="str">
        <f t="shared" si="1"/>
        <v/>
      </c>
      <c r="G2141" s="15">
        <f t="shared" si="2"/>
        <v>6.78</v>
      </c>
      <c r="H2141" s="16">
        <v>1.0</v>
      </c>
      <c r="I2141" s="15">
        <f t="shared" si="3"/>
        <v>5.31</v>
      </c>
      <c r="J2141" s="15">
        <v>31.16</v>
      </c>
      <c r="K2141" s="16">
        <f>IF(COUNTIFS(Release_Calendar!$A$2:$A$755,"US_CPI",Release_Calendar!$B$2:$B$755,$A2141)&gt;0,1,0)</f>
        <v>1</v>
      </c>
      <c r="L2141" s="16">
        <f>IF(COUNTIFS(Release_Calendar!$A$2:$A$755,"US_NFP",Release_Calendar!$B$2:$B$755,$A2141)&gt;0,1,0)</f>
        <v>0</v>
      </c>
      <c r="M2141" s="16" t="str">
        <f>IF($A2141&lt;Notes!$B$5,"",IF(COUNTIFS(Release_Calendar!$A$2:$A$755,"NZ_CPI",Release_Calendar!$B$2:$B$755,$A2141)&gt;0,1,0))</f>
        <v/>
      </c>
      <c r="N2141" s="16" t="str">
        <f>IF($A2141&lt;Notes!$B$5,"",IF(COUNTIFS(Release_Calendar!$A$2:$A$755,"NZ_GDP",Release_Calendar!$B$2:$B$755,$A2141)&gt;0,1,0))</f>
        <v/>
      </c>
      <c r="O2141" s="16" t="str">
        <f>IF($A2141&lt;Notes!$B$5,"",IF(COUNTIFS(Release_Calendar!$A$2:$A$755,"NZ_LABOUR",Release_Calendar!$B$2:$B$755,$A2141)&gt;0,1,0))</f>
        <v/>
      </c>
      <c r="P2141" s="16">
        <f t="shared" si="4"/>
        <v>1</v>
      </c>
    </row>
    <row r="2142" ht="15.75" customHeight="1">
      <c r="A2142" s="14">
        <v>39524.0</v>
      </c>
      <c r="B2142" s="15">
        <v>1.35</v>
      </c>
      <c r="C2142" s="15"/>
      <c r="D2142" s="15">
        <v>6.76</v>
      </c>
      <c r="E2142" s="15"/>
      <c r="F2142" s="15" t="str">
        <f t="shared" si="1"/>
        <v/>
      </c>
      <c r="G2142" s="15">
        <f t="shared" si="2"/>
        <v>6.76</v>
      </c>
      <c r="H2142" s="16">
        <v>1.0</v>
      </c>
      <c r="I2142" s="15">
        <f t="shared" si="3"/>
        <v>5.41</v>
      </c>
      <c r="J2142" s="15">
        <v>32.24</v>
      </c>
      <c r="K2142" s="16">
        <f>IF(COUNTIFS(Release_Calendar!$A$2:$A$755,"US_CPI",Release_Calendar!$B$2:$B$755,$A2142)&gt;0,1,0)</f>
        <v>0</v>
      </c>
      <c r="L2142" s="16">
        <f>IF(COUNTIFS(Release_Calendar!$A$2:$A$755,"US_NFP",Release_Calendar!$B$2:$B$755,$A2142)&gt;0,1,0)</f>
        <v>0</v>
      </c>
      <c r="M2142" s="16" t="str">
        <f>IF($A2142&lt;Notes!$B$5,"",IF(COUNTIFS(Release_Calendar!$A$2:$A$755,"NZ_CPI",Release_Calendar!$B$2:$B$755,$A2142)&gt;0,1,0))</f>
        <v/>
      </c>
      <c r="N2142" s="16" t="str">
        <f>IF($A2142&lt;Notes!$B$5,"",IF(COUNTIFS(Release_Calendar!$A$2:$A$755,"NZ_GDP",Release_Calendar!$B$2:$B$755,$A2142)&gt;0,1,0))</f>
        <v/>
      </c>
      <c r="O2142" s="16" t="str">
        <f>IF($A2142&lt;Notes!$B$5,"",IF(COUNTIFS(Release_Calendar!$A$2:$A$755,"NZ_LABOUR",Release_Calendar!$B$2:$B$755,$A2142)&gt;0,1,0))</f>
        <v/>
      </c>
      <c r="P2142" s="16">
        <f t="shared" si="4"/>
        <v>0</v>
      </c>
    </row>
    <row r="2143" ht="15.75" customHeight="1">
      <c r="A2143" s="14">
        <v>39525.0</v>
      </c>
      <c r="B2143" s="15">
        <v>1.58</v>
      </c>
      <c r="C2143" s="15"/>
      <c r="D2143" s="15">
        <v>6.66</v>
      </c>
      <c r="E2143" s="15"/>
      <c r="F2143" s="15" t="str">
        <f t="shared" si="1"/>
        <v/>
      </c>
      <c r="G2143" s="15">
        <f t="shared" si="2"/>
        <v>6.66</v>
      </c>
      <c r="H2143" s="16">
        <v>1.0</v>
      </c>
      <c r="I2143" s="15">
        <f t="shared" si="3"/>
        <v>5.08</v>
      </c>
      <c r="J2143" s="15">
        <v>25.79</v>
      </c>
      <c r="K2143" s="16">
        <f>IF(COUNTIFS(Release_Calendar!$A$2:$A$755,"US_CPI",Release_Calendar!$B$2:$B$755,$A2143)&gt;0,1,0)</f>
        <v>0</v>
      </c>
      <c r="L2143" s="16">
        <f>IF(COUNTIFS(Release_Calendar!$A$2:$A$755,"US_NFP",Release_Calendar!$B$2:$B$755,$A2143)&gt;0,1,0)</f>
        <v>0</v>
      </c>
      <c r="M2143" s="16" t="str">
        <f>IF($A2143&lt;Notes!$B$5,"",IF(COUNTIFS(Release_Calendar!$A$2:$A$755,"NZ_CPI",Release_Calendar!$B$2:$B$755,$A2143)&gt;0,1,0))</f>
        <v/>
      </c>
      <c r="N2143" s="16" t="str">
        <f>IF($A2143&lt;Notes!$B$5,"",IF(COUNTIFS(Release_Calendar!$A$2:$A$755,"NZ_GDP",Release_Calendar!$B$2:$B$755,$A2143)&gt;0,1,0))</f>
        <v/>
      </c>
      <c r="O2143" s="16" t="str">
        <f>IF($A2143&lt;Notes!$B$5,"",IF(COUNTIFS(Release_Calendar!$A$2:$A$755,"NZ_LABOUR",Release_Calendar!$B$2:$B$755,$A2143)&gt;0,1,0))</f>
        <v/>
      </c>
      <c r="P2143" s="16">
        <f t="shared" si="4"/>
        <v>0</v>
      </c>
    </row>
    <row r="2144" ht="15.75" customHeight="1">
      <c r="A2144" s="14">
        <v>39526.0</v>
      </c>
      <c r="B2144" s="15">
        <v>1.54</v>
      </c>
      <c r="C2144" s="15"/>
      <c r="D2144" s="15">
        <v>6.75</v>
      </c>
      <c r="E2144" s="15"/>
      <c r="F2144" s="15" t="str">
        <f t="shared" si="1"/>
        <v/>
      </c>
      <c r="G2144" s="15">
        <f t="shared" si="2"/>
        <v>6.75</v>
      </c>
      <c r="H2144" s="16">
        <v>1.0</v>
      </c>
      <c r="I2144" s="15">
        <f t="shared" si="3"/>
        <v>5.21</v>
      </c>
      <c r="J2144" s="15">
        <v>29.84</v>
      </c>
      <c r="K2144" s="16">
        <f>IF(COUNTIFS(Release_Calendar!$A$2:$A$755,"US_CPI",Release_Calendar!$B$2:$B$755,$A2144)&gt;0,1,0)</f>
        <v>0</v>
      </c>
      <c r="L2144" s="16">
        <f>IF(COUNTIFS(Release_Calendar!$A$2:$A$755,"US_NFP",Release_Calendar!$B$2:$B$755,$A2144)&gt;0,1,0)</f>
        <v>0</v>
      </c>
      <c r="M2144" s="16" t="str">
        <f>IF($A2144&lt;Notes!$B$5,"",IF(COUNTIFS(Release_Calendar!$A$2:$A$755,"NZ_CPI",Release_Calendar!$B$2:$B$755,$A2144)&gt;0,1,0))</f>
        <v/>
      </c>
      <c r="N2144" s="16" t="str">
        <f>IF($A2144&lt;Notes!$B$5,"",IF(COUNTIFS(Release_Calendar!$A$2:$A$755,"NZ_GDP",Release_Calendar!$B$2:$B$755,$A2144)&gt;0,1,0))</f>
        <v/>
      </c>
      <c r="O2144" s="16" t="str">
        <f>IF($A2144&lt;Notes!$B$5,"",IF(COUNTIFS(Release_Calendar!$A$2:$A$755,"NZ_LABOUR",Release_Calendar!$B$2:$B$755,$A2144)&gt;0,1,0))</f>
        <v/>
      </c>
      <c r="P2144" s="16">
        <f t="shared" si="4"/>
        <v>0</v>
      </c>
    </row>
    <row r="2145" ht="15.75" customHeight="1">
      <c r="A2145" s="14">
        <v>39527.0</v>
      </c>
      <c r="B2145" s="15">
        <v>1.59</v>
      </c>
      <c r="C2145" s="15"/>
      <c r="D2145" s="15">
        <v>6.63</v>
      </c>
      <c r="E2145" s="15"/>
      <c r="F2145" s="15" t="str">
        <f t="shared" si="1"/>
        <v/>
      </c>
      <c r="G2145" s="15">
        <f t="shared" si="2"/>
        <v>6.63</v>
      </c>
      <c r="H2145" s="16">
        <v>1.0</v>
      </c>
      <c r="I2145" s="15">
        <f t="shared" si="3"/>
        <v>5.04</v>
      </c>
      <c r="J2145" s="15">
        <v>26.62</v>
      </c>
      <c r="K2145" s="16">
        <f>IF(COUNTIFS(Release_Calendar!$A$2:$A$755,"US_CPI",Release_Calendar!$B$2:$B$755,$A2145)&gt;0,1,0)</f>
        <v>0</v>
      </c>
      <c r="L2145" s="16">
        <f>IF(COUNTIFS(Release_Calendar!$A$2:$A$755,"US_NFP",Release_Calendar!$B$2:$B$755,$A2145)&gt;0,1,0)</f>
        <v>0</v>
      </c>
      <c r="M2145" s="16" t="str">
        <f>IF($A2145&lt;Notes!$B$5,"",IF(COUNTIFS(Release_Calendar!$A$2:$A$755,"NZ_CPI",Release_Calendar!$B$2:$B$755,$A2145)&gt;0,1,0))</f>
        <v/>
      </c>
      <c r="N2145" s="16" t="str">
        <f>IF($A2145&lt;Notes!$B$5,"",IF(COUNTIFS(Release_Calendar!$A$2:$A$755,"NZ_GDP",Release_Calendar!$B$2:$B$755,$A2145)&gt;0,1,0))</f>
        <v/>
      </c>
      <c r="O2145" s="16" t="str">
        <f>IF($A2145&lt;Notes!$B$5,"",IF(COUNTIFS(Release_Calendar!$A$2:$A$755,"NZ_LABOUR",Release_Calendar!$B$2:$B$755,$A2145)&gt;0,1,0))</f>
        <v/>
      </c>
      <c r="P2145" s="16">
        <f t="shared" si="4"/>
        <v>0</v>
      </c>
    </row>
    <row r="2146" ht="15.75" customHeight="1">
      <c r="A2146" s="14">
        <v>39528.0</v>
      </c>
      <c r="B2146" s="15"/>
      <c r="C2146" s="15"/>
      <c r="D2146" s="15"/>
      <c r="E2146" s="15"/>
      <c r="F2146" s="15" t="str">
        <f t="shared" si="1"/>
        <v/>
      </c>
      <c r="G2146" s="15" t="str">
        <f t="shared" si="2"/>
        <v/>
      </c>
      <c r="H2146" s="16">
        <v>1.0</v>
      </c>
      <c r="I2146" s="15" t="str">
        <f t="shared" si="3"/>
        <v/>
      </c>
      <c r="J2146" s="15"/>
      <c r="K2146" s="16">
        <f>IF(COUNTIFS(Release_Calendar!$A$2:$A$755,"US_CPI",Release_Calendar!$B$2:$B$755,$A2146)&gt;0,1,0)</f>
        <v>0</v>
      </c>
      <c r="L2146" s="16">
        <f>IF(COUNTIFS(Release_Calendar!$A$2:$A$755,"US_NFP",Release_Calendar!$B$2:$B$755,$A2146)&gt;0,1,0)</f>
        <v>0</v>
      </c>
      <c r="M2146" s="16" t="str">
        <f>IF($A2146&lt;Notes!$B$5,"",IF(COUNTIFS(Release_Calendar!$A$2:$A$755,"NZ_CPI",Release_Calendar!$B$2:$B$755,$A2146)&gt;0,1,0))</f>
        <v/>
      </c>
      <c r="N2146" s="16" t="str">
        <f>IF($A2146&lt;Notes!$B$5,"",IF(COUNTIFS(Release_Calendar!$A$2:$A$755,"NZ_GDP",Release_Calendar!$B$2:$B$755,$A2146)&gt;0,1,0))</f>
        <v/>
      </c>
      <c r="O2146" s="16" t="str">
        <f>IF($A2146&lt;Notes!$B$5,"",IF(COUNTIFS(Release_Calendar!$A$2:$A$755,"NZ_LABOUR",Release_Calendar!$B$2:$B$755,$A2146)&gt;0,1,0))</f>
        <v/>
      </c>
      <c r="P2146" s="16">
        <f t="shared" si="4"/>
        <v>0</v>
      </c>
    </row>
    <row r="2147" ht="15.75" customHeight="1">
      <c r="A2147" s="14">
        <v>39531.0</v>
      </c>
      <c r="B2147" s="15">
        <v>1.84</v>
      </c>
      <c r="C2147" s="15"/>
      <c r="D2147" s="15"/>
      <c r="E2147" s="15"/>
      <c r="F2147" s="15" t="str">
        <f t="shared" si="1"/>
        <v/>
      </c>
      <c r="G2147" s="15" t="str">
        <f t="shared" si="2"/>
        <v/>
      </c>
      <c r="H2147" s="16">
        <v>1.0</v>
      </c>
      <c r="I2147" s="15" t="str">
        <f t="shared" si="3"/>
        <v/>
      </c>
      <c r="J2147" s="15">
        <v>25.73</v>
      </c>
      <c r="K2147" s="16">
        <f>IF(COUNTIFS(Release_Calendar!$A$2:$A$755,"US_CPI",Release_Calendar!$B$2:$B$755,$A2147)&gt;0,1,0)</f>
        <v>0</v>
      </c>
      <c r="L2147" s="16">
        <f>IF(COUNTIFS(Release_Calendar!$A$2:$A$755,"US_NFP",Release_Calendar!$B$2:$B$755,$A2147)&gt;0,1,0)</f>
        <v>0</v>
      </c>
      <c r="M2147" s="16" t="str">
        <f>IF($A2147&lt;Notes!$B$5,"",IF(COUNTIFS(Release_Calendar!$A$2:$A$755,"NZ_CPI",Release_Calendar!$B$2:$B$755,$A2147)&gt;0,1,0))</f>
        <v/>
      </c>
      <c r="N2147" s="16" t="str">
        <f>IF($A2147&lt;Notes!$B$5,"",IF(COUNTIFS(Release_Calendar!$A$2:$A$755,"NZ_GDP",Release_Calendar!$B$2:$B$755,$A2147)&gt;0,1,0))</f>
        <v/>
      </c>
      <c r="O2147" s="16" t="str">
        <f>IF($A2147&lt;Notes!$B$5,"",IF(COUNTIFS(Release_Calendar!$A$2:$A$755,"NZ_LABOUR",Release_Calendar!$B$2:$B$755,$A2147)&gt;0,1,0))</f>
        <v/>
      </c>
      <c r="P2147" s="16">
        <f t="shared" si="4"/>
        <v>0</v>
      </c>
    </row>
    <row r="2148" ht="15.75" customHeight="1">
      <c r="A2148" s="14">
        <v>39532.0</v>
      </c>
      <c r="B2148" s="15">
        <v>1.79</v>
      </c>
      <c r="C2148" s="15"/>
      <c r="D2148" s="15">
        <v>6.63</v>
      </c>
      <c r="E2148" s="15"/>
      <c r="F2148" s="15" t="str">
        <f t="shared" si="1"/>
        <v/>
      </c>
      <c r="G2148" s="15">
        <f t="shared" si="2"/>
        <v>6.63</v>
      </c>
      <c r="H2148" s="16">
        <v>1.0</v>
      </c>
      <c r="I2148" s="15">
        <f t="shared" si="3"/>
        <v>4.84</v>
      </c>
      <c r="J2148" s="15">
        <v>25.72</v>
      </c>
      <c r="K2148" s="16">
        <f>IF(COUNTIFS(Release_Calendar!$A$2:$A$755,"US_CPI",Release_Calendar!$B$2:$B$755,$A2148)&gt;0,1,0)</f>
        <v>0</v>
      </c>
      <c r="L2148" s="16">
        <f>IF(COUNTIFS(Release_Calendar!$A$2:$A$755,"US_NFP",Release_Calendar!$B$2:$B$755,$A2148)&gt;0,1,0)</f>
        <v>0</v>
      </c>
      <c r="M2148" s="16" t="str">
        <f>IF($A2148&lt;Notes!$B$5,"",IF(COUNTIFS(Release_Calendar!$A$2:$A$755,"NZ_CPI",Release_Calendar!$B$2:$B$755,$A2148)&gt;0,1,0))</f>
        <v/>
      </c>
      <c r="N2148" s="16" t="str">
        <f>IF($A2148&lt;Notes!$B$5,"",IF(COUNTIFS(Release_Calendar!$A$2:$A$755,"NZ_GDP",Release_Calendar!$B$2:$B$755,$A2148)&gt;0,1,0))</f>
        <v/>
      </c>
      <c r="O2148" s="16" t="str">
        <f>IF($A2148&lt;Notes!$B$5,"",IF(COUNTIFS(Release_Calendar!$A$2:$A$755,"NZ_LABOUR",Release_Calendar!$B$2:$B$755,$A2148)&gt;0,1,0))</f>
        <v/>
      </c>
      <c r="P2148" s="16">
        <f t="shared" si="4"/>
        <v>0</v>
      </c>
    </row>
    <row r="2149" ht="15.75" customHeight="1">
      <c r="A2149" s="14">
        <v>39533.0</v>
      </c>
      <c r="B2149" s="15">
        <v>1.71</v>
      </c>
      <c r="C2149" s="15"/>
      <c r="D2149" s="15">
        <v>6.53</v>
      </c>
      <c r="E2149" s="15"/>
      <c r="F2149" s="15" t="str">
        <f t="shared" si="1"/>
        <v/>
      </c>
      <c r="G2149" s="15">
        <f t="shared" si="2"/>
        <v>6.53</v>
      </c>
      <c r="H2149" s="16">
        <v>1.0</v>
      </c>
      <c r="I2149" s="15">
        <f t="shared" si="3"/>
        <v>4.82</v>
      </c>
      <c r="J2149" s="15">
        <v>26.08</v>
      </c>
      <c r="K2149" s="16">
        <f>IF(COUNTIFS(Release_Calendar!$A$2:$A$755,"US_CPI",Release_Calendar!$B$2:$B$755,$A2149)&gt;0,1,0)</f>
        <v>0</v>
      </c>
      <c r="L2149" s="16">
        <f>IF(COUNTIFS(Release_Calendar!$A$2:$A$755,"US_NFP",Release_Calendar!$B$2:$B$755,$A2149)&gt;0,1,0)</f>
        <v>0</v>
      </c>
      <c r="M2149" s="16" t="str">
        <f>IF($A2149&lt;Notes!$B$5,"",IF(COUNTIFS(Release_Calendar!$A$2:$A$755,"NZ_CPI",Release_Calendar!$B$2:$B$755,$A2149)&gt;0,1,0))</f>
        <v/>
      </c>
      <c r="N2149" s="16" t="str">
        <f>IF($A2149&lt;Notes!$B$5,"",IF(COUNTIFS(Release_Calendar!$A$2:$A$755,"NZ_GDP",Release_Calendar!$B$2:$B$755,$A2149)&gt;0,1,0))</f>
        <v/>
      </c>
      <c r="O2149" s="16" t="str">
        <f>IF($A2149&lt;Notes!$B$5,"",IF(COUNTIFS(Release_Calendar!$A$2:$A$755,"NZ_LABOUR",Release_Calendar!$B$2:$B$755,$A2149)&gt;0,1,0))</f>
        <v/>
      </c>
      <c r="P2149" s="16">
        <f t="shared" si="4"/>
        <v>0</v>
      </c>
    </row>
    <row r="2150" ht="15.75" customHeight="1">
      <c r="A2150" s="14">
        <v>39534.0</v>
      </c>
      <c r="B2150" s="15">
        <v>1.73</v>
      </c>
      <c r="C2150" s="15"/>
      <c r="D2150" s="15">
        <v>6.52</v>
      </c>
      <c r="E2150" s="15"/>
      <c r="F2150" s="15" t="str">
        <f t="shared" si="1"/>
        <v/>
      </c>
      <c r="G2150" s="15">
        <f t="shared" si="2"/>
        <v>6.52</v>
      </c>
      <c r="H2150" s="16">
        <v>1.0</v>
      </c>
      <c r="I2150" s="15">
        <f t="shared" si="3"/>
        <v>4.79</v>
      </c>
      <c r="J2150" s="15">
        <v>25.88</v>
      </c>
      <c r="K2150" s="16">
        <f>IF(COUNTIFS(Release_Calendar!$A$2:$A$755,"US_CPI",Release_Calendar!$B$2:$B$755,$A2150)&gt;0,1,0)</f>
        <v>0</v>
      </c>
      <c r="L2150" s="16">
        <f>IF(COUNTIFS(Release_Calendar!$A$2:$A$755,"US_NFP",Release_Calendar!$B$2:$B$755,$A2150)&gt;0,1,0)</f>
        <v>0</v>
      </c>
      <c r="M2150" s="16" t="str">
        <f>IF($A2150&lt;Notes!$B$5,"",IF(COUNTIFS(Release_Calendar!$A$2:$A$755,"NZ_CPI",Release_Calendar!$B$2:$B$755,$A2150)&gt;0,1,0))</f>
        <v/>
      </c>
      <c r="N2150" s="16" t="str">
        <f>IF($A2150&lt;Notes!$B$5,"",IF(COUNTIFS(Release_Calendar!$A$2:$A$755,"NZ_GDP",Release_Calendar!$B$2:$B$755,$A2150)&gt;0,1,0))</f>
        <v/>
      </c>
      <c r="O2150" s="16" t="str">
        <f>IF($A2150&lt;Notes!$B$5,"",IF(COUNTIFS(Release_Calendar!$A$2:$A$755,"NZ_LABOUR",Release_Calendar!$B$2:$B$755,$A2150)&gt;0,1,0))</f>
        <v/>
      </c>
      <c r="P2150" s="16">
        <f t="shared" si="4"/>
        <v>0</v>
      </c>
    </row>
    <row r="2151" ht="15.75" customHeight="1">
      <c r="A2151" s="14">
        <v>39535.0</v>
      </c>
      <c r="B2151" s="15">
        <v>1.67</v>
      </c>
      <c r="C2151" s="15"/>
      <c r="D2151" s="15">
        <v>6.53</v>
      </c>
      <c r="E2151" s="15"/>
      <c r="F2151" s="15" t="str">
        <f t="shared" si="1"/>
        <v/>
      </c>
      <c r="G2151" s="15">
        <f t="shared" si="2"/>
        <v>6.53</v>
      </c>
      <c r="H2151" s="16">
        <v>1.0</v>
      </c>
      <c r="I2151" s="15">
        <f t="shared" si="3"/>
        <v>4.86</v>
      </c>
      <c r="J2151" s="15">
        <v>25.71</v>
      </c>
      <c r="K2151" s="16">
        <f>IF(COUNTIFS(Release_Calendar!$A$2:$A$755,"US_CPI",Release_Calendar!$B$2:$B$755,$A2151)&gt;0,1,0)</f>
        <v>0</v>
      </c>
      <c r="L2151" s="16">
        <f>IF(COUNTIFS(Release_Calendar!$A$2:$A$755,"US_NFP",Release_Calendar!$B$2:$B$755,$A2151)&gt;0,1,0)</f>
        <v>0</v>
      </c>
      <c r="M2151" s="16" t="str">
        <f>IF($A2151&lt;Notes!$B$5,"",IF(COUNTIFS(Release_Calendar!$A$2:$A$755,"NZ_CPI",Release_Calendar!$B$2:$B$755,$A2151)&gt;0,1,0))</f>
        <v/>
      </c>
      <c r="N2151" s="16" t="str">
        <f>IF($A2151&lt;Notes!$B$5,"",IF(COUNTIFS(Release_Calendar!$A$2:$A$755,"NZ_GDP",Release_Calendar!$B$2:$B$755,$A2151)&gt;0,1,0))</f>
        <v/>
      </c>
      <c r="O2151" s="16" t="str">
        <f>IF($A2151&lt;Notes!$B$5,"",IF(COUNTIFS(Release_Calendar!$A$2:$A$755,"NZ_LABOUR",Release_Calendar!$B$2:$B$755,$A2151)&gt;0,1,0))</f>
        <v/>
      </c>
      <c r="P2151" s="16">
        <f t="shared" si="4"/>
        <v>0</v>
      </c>
    </row>
    <row r="2152" ht="15.75" customHeight="1">
      <c r="A2152" s="14">
        <v>39538.0</v>
      </c>
      <c r="B2152" s="15">
        <v>1.62</v>
      </c>
      <c r="C2152" s="15"/>
      <c r="D2152" s="15">
        <v>6.52</v>
      </c>
      <c r="E2152" s="15"/>
      <c r="F2152" s="15" t="str">
        <f t="shared" si="1"/>
        <v/>
      </c>
      <c r="G2152" s="15">
        <f t="shared" si="2"/>
        <v>6.52</v>
      </c>
      <c r="H2152" s="16">
        <v>1.0</v>
      </c>
      <c r="I2152" s="15">
        <f t="shared" si="3"/>
        <v>4.9</v>
      </c>
      <c r="J2152" s="15">
        <v>25.61</v>
      </c>
      <c r="K2152" s="16">
        <f>IF(COUNTIFS(Release_Calendar!$A$2:$A$755,"US_CPI",Release_Calendar!$B$2:$B$755,$A2152)&gt;0,1,0)</f>
        <v>0</v>
      </c>
      <c r="L2152" s="16">
        <f>IF(COUNTIFS(Release_Calendar!$A$2:$A$755,"US_NFP",Release_Calendar!$B$2:$B$755,$A2152)&gt;0,1,0)</f>
        <v>0</v>
      </c>
      <c r="M2152" s="16" t="str">
        <f>IF($A2152&lt;Notes!$B$5,"",IF(COUNTIFS(Release_Calendar!$A$2:$A$755,"NZ_CPI",Release_Calendar!$B$2:$B$755,$A2152)&gt;0,1,0))</f>
        <v/>
      </c>
      <c r="N2152" s="16" t="str">
        <f>IF($A2152&lt;Notes!$B$5,"",IF(COUNTIFS(Release_Calendar!$A$2:$A$755,"NZ_GDP",Release_Calendar!$B$2:$B$755,$A2152)&gt;0,1,0))</f>
        <v/>
      </c>
      <c r="O2152" s="16" t="str">
        <f>IF($A2152&lt;Notes!$B$5,"",IF(COUNTIFS(Release_Calendar!$A$2:$A$755,"NZ_LABOUR",Release_Calendar!$B$2:$B$755,$A2152)&gt;0,1,0))</f>
        <v/>
      </c>
      <c r="P2152" s="16">
        <f t="shared" si="4"/>
        <v>0</v>
      </c>
    </row>
    <row r="2153" ht="15.75" customHeight="1">
      <c r="A2153" s="14">
        <v>39539.0</v>
      </c>
      <c r="B2153" s="15">
        <v>1.8</v>
      </c>
      <c r="C2153" s="15"/>
      <c r="D2153" s="15">
        <v>6.4</v>
      </c>
      <c r="E2153" s="15"/>
      <c r="F2153" s="15" t="str">
        <f t="shared" si="1"/>
        <v/>
      </c>
      <c r="G2153" s="15">
        <f t="shared" si="2"/>
        <v>6.4</v>
      </c>
      <c r="H2153" s="16">
        <v>1.0</v>
      </c>
      <c r="I2153" s="15">
        <f t="shared" si="3"/>
        <v>4.6</v>
      </c>
      <c r="J2153" s="15">
        <v>22.68</v>
      </c>
      <c r="K2153" s="16">
        <f>IF(COUNTIFS(Release_Calendar!$A$2:$A$755,"US_CPI",Release_Calendar!$B$2:$B$755,$A2153)&gt;0,1,0)</f>
        <v>0</v>
      </c>
      <c r="L2153" s="16">
        <f>IF(COUNTIFS(Release_Calendar!$A$2:$A$755,"US_NFP",Release_Calendar!$B$2:$B$755,$A2153)&gt;0,1,0)</f>
        <v>0</v>
      </c>
      <c r="M2153" s="16" t="str">
        <f>IF($A2153&lt;Notes!$B$5,"",IF(COUNTIFS(Release_Calendar!$A$2:$A$755,"NZ_CPI",Release_Calendar!$B$2:$B$755,$A2153)&gt;0,1,0))</f>
        <v/>
      </c>
      <c r="N2153" s="16" t="str">
        <f>IF($A2153&lt;Notes!$B$5,"",IF(COUNTIFS(Release_Calendar!$A$2:$A$755,"NZ_GDP",Release_Calendar!$B$2:$B$755,$A2153)&gt;0,1,0))</f>
        <v/>
      </c>
      <c r="O2153" s="16" t="str">
        <f>IF($A2153&lt;Notes!$B$5,"",IF(COUNTIFS(Release_Calendar!$A$2:$A$755,"NZ_LABOUR",Release_Calendar!$B$2:$B$755,$A2153)&gt;0,1,0))</f>
        <v/>
      </c>
      <c r="P2153" s="16">
        <f t="shared" si="4"/>
        <v>0</v>
      </c>
    </row>
    <row r="2154" ht="15.75" customHeight="1">
      <c r="A2154" s="14">
        <v>39540.0</v>
      </c>
      <c r="B2154" s="15">
        <v>1.88</v>
      </c>
      <c r="C2154" s="15"/>
      <c r="D2154" s="15">
        <v>6.45</v>
      </c>
      <c r="E2154" s="15"/>
      <c r="F2154" s="15" t="str">
        <f t="shared" si="1"/>
        <v/>
      </c>
      <c r="G2154" s="15">
        <f t="shared" si="2"/>
        <v>6.45</v>
      </c>
      <c r="H2154" s="16">
        <v>1.0</v>
      </c>
      <c r="I2154" s="15">
        <f t="shared" si="3"/>
        <v>4.57</v>
      </c>
      <c r="J2154" s="15">
        <v>23.43</v>
      </c>
      <c r="K2154" s="16">
        <f>IF(COUNTIFS(Release_Calendar!$A$2:$A$755,"US_CPI",Release_Calendar!$B$2:$B$755,$A2154)&gt;0,1,0)</f>
        <v>0</v>
      </c>
      <c r="L2154" s="16">
        <f>IF(COUNTIFS(Release_Calendar!$A$2:$A$755,"US_NFP",Release_Calendar!$B$2:$B$755,$A2154)&gt;0,1,0)</f>
        <v>0</v>
      </c>
      <c r="M2154" s="16" t="str">
        <f>IF($A2154&lt;Notes!$B$5,"",IF(COUNTIFS(Release_Calendar!$A$2:$A$755,"NZ_CPI",Release_Calendar!$B$2:$B$755,$A2154)&gt;0,1,0))</f>
        <v/>
      </c>
      <c r="N2154" s="16" t="str">
        <f>IF($A2154&lt;Notes!$B$5,"",IF(COUNTIFS(Release_Calendar!$A$2:$A$755,"NZ_GDP",Release_Calendar!$B$2:$B$755,$A2154)&gt;0,1,0))</f>
        <v/>
      </c>
      <c r="O2154" s="16" t="str">
        <f>IF($A2154&lt;Notes!$B$5,"",IF(COUNTIFS(Release_Calendar!$A$2:$A$755,"NZ_LABOUR",Release_Calendar!$B$2:$B$755,$A2154)&gt;0,1,0))</f>
        <v/>
      </c>
      <c r="P2154" s="16">
        <f t="shared" si="4"/>
        <v>0</v>
      </c>
    </row>
    <row r="2155" ht="15.75" customHeight="1">
      <c r="A2155" s="14">
        <v>39541.0</v>
      </c>
      <c r="B2155" s="15">
        <v>1.91</v>
      </c>
      <c r="C2155" s="15"/>
      <c r="D2155" s="15">
        <v>6.48</v>
      </c>
      <c r="E2155" s="15"/>
      <c r="F2155" s="15" t="str">
        <f t="shared" si="1"/>
        <v/>
      </c>
      <c r="G2155" s="15">
        <f t="shared" si="2"/>
        <v>6.48</v>
      </c>
      <c r="H2155" s="16">
        <v>1.0</v>
      </c>
      <c r="I2155" s="15">
        <f t="shared" si="3"/>
        <v>4.57</v>
      </c>
      <c r="J2155" s="15">
        <v>23.21</v>
      </c>
      <c r="K2155" s="16">
        <f>IF(COUNTIFS(Release_Calendar!$A$2:$A$755,"US_CPI",Release_Calendar!$B$2:$B$755,$A2155)&gt;0,1,0)</f>
        <v>0</v>
      </c>
      <c r="L2155" s="16">
        <f>IF(COUNTIFS(Release_Calendar!$A$2:$A$755,"US_NFP",Release_Calendar!$B$2:$B$755,$A2155)&gt;0,1,0)</f>
        <v>0</v>
      </c>
      <c r="M2155" s="16" t="str">
        <f>IF($A2155&lt;Notes!$B$5,"",IF(COUNTIFS(Release_Calendar!$A$2:$A$755,"NZ_CPI",Release_Calendar!$B$2:$B$755,$A2155)&gt;0,1,0))</f>
        <v/>
      </c>
      <c r="N2155" s="16" t="str">
        <f>IF($A2155&lt;Notes!$B$5,"",IF(COUNTIFS(Release_Calendar!$A$2:$A$755,"NZ_GDP",Release_Calendar!$B$2:$B$755,$A2155)&gt;0,1,0))</f>
        <v/>
      </c>
      <c r="O2155" s="16" t="str">
        <f>IF($A2155&lt;Notes!$B$5,"",IF(COUNTIFS(Release_Calendar!$A$2:$A$755,"NZ_LABOUR",Release_Calendar!$B$2:$B$755,$A2155)&gt;0,1,0))</f>
        <v/>
      </c>
      <c r="P2155" s="16">
        <f t="shared" si="4"/>
        <v>0</v>
      </c>
    </row>
    <row r="2156" ht="15.75" customHeight="1">
      <c r="A2156" s="14">
        <v>39542.0</v>
      </c>
      <c r="B2156" s="15">
        <v>1.83</v>
      </c>
      <c r="C2156" s="15"/>
      <c r="D2156" s="15">
        <v>6.46</v>
      </c>
      <c r="E2156" s="15"/>
      <c r="F2156" s="15" t="str">
        <f t="shared" si="1"/>
        <v/>
      </c>
      <c r="G2156" s="15">
        <f t="shared" si="2"/>
        <v>6.46</v>
      </c>
      <c r="H2156" s="16">
        <v>1.0</v>
      </c>
      <c r="I2156" s="15">
        <f t="shared" si="3"/>
        <v>4.63</v>
      </c>
      <c r="J2156" s="15">
        <v>22.45</v>
      </c>
      <c r="K2156" s="16">
        <f>IF(COUNTIFS(Release_Calendar!$A$2:$A$755,"US_CPI",Release_Calendar!$B$2:$B$755,$A2156)&gt;0,1,0)</f>
        <v>0</v>
      </c>
      <c r="L2156" s="16">
        <f>IF(COUNTIFS(Release_Calendar!$A$2:$A$755,"US_NFP",Release_Calendar!$B$2:$B$755,$A2156)&gt;0,1,0)</f>
        <v>1</v>
      </c>
      <c r="M2156" s="16" t="str">
        <f>IF($A2156&lt;Notes!$B$5,"",IF(COUNTIFS(Release_Calendar!$A$2:$A$755,"NZ_CPI",Release_Calendar!$B$2:$B$755,$A2156)&gt;0,1,0))</f>
        <v/>
      </c>
      <c r="N2156" s="16" t="str">
        <f>IF($A2156&lt;Notes!$B$5,"",IF(COUNTIFS(Release_Calendar!$A$2:$A$755,"NZ_GDP",Release_Calendar!$B$2:$B$755,$A2156)&gt;0,1,0))</f>
        <v/>
      </c>
      <c r="O2156" s="16" t="str">
        <f>IF($A2156&lt;Notes!$B$5,"",IF(COUNTIFS(Release_Calendar!$A$2:$A$755,"NZ_LABOUR",Release_Calendar!$B$2:$B$755,$A2156)&gt;0,1,0))</f>
        <v/>
      </c>
      <c r="P2156" s="16">
        <f t="shared" si="4"/>
        <v>1</v>
      </c>
    </row>
    <row r="2157" ht="15.75" customHeight="1">
      <c r="A2157" s="14">
        <v>39545.0</v>
      </c>
      <c r="B2157" s="15">
        <v>1.95</v>
      </c>
      <c r="C2157" s="15"/>
      <c r="D2157" s="15">
        <v>6.46</v>
      </c>
      <c r="E2157" s="15"/>
      <c r="F2157" s="15" t="str">
        <f t="shared" si="1"/>
        <v/>
      </c>
      <c r="G2157" s="15">
        <f t="shared" si="2"/>
        <v>6.46</v>
      </c>
      <c r="H2157" s="16">
        <v>1.0</v>
      </c>
      <c r="I2157" s="15">
        <f t="shared" si="3"/>
        <v>4.51</v>
      </c>
      <c r="J2157" s="15">
        <v>22.42</v>
      </c>
      <c r="K2157" s="16">
        <f>IF(COUNTIFS(Release_Calendar!$A$2:$A$755,"US_CPI",Release_Calendar!$B$2:$B$755,$A2157)&gt;0,1,0)</f>
        <v>0</v>
      </c>
      <c r="L2157" s="16">
        <f>IF(COUNTIFS(Release_Calendar!$A$2:$A$755,"US_NFP",Release_Calendar!$B$2:$B$755,$A2157)&gt;0,1,0)</f>
        <v>0</v>
      </c>
      <c r="M2157" s="16" t="str">
        <f>IF($A2157&lt;Notes!$B$5,"",IF(COUNTIFS(Release_Calendar!$A$2:$A$755,"NZ_CPI",Release_Calendar!$B$2:$B$755,$A2157)&gt;0,1,0))</f>
        <v/>
      </c>
      <c r="N2157" s="16" t="str">
        <f>IF($A2157&lt;Notes!$B$5,"",IF(COUNTIFS(Release_Calendar!$A$2:$A$755,"NZ_GDP",Release_Calendar!$B$2:$B$755,$A2157)&gt;0,1,0))</f>
        <v/>
      </c>
      <c r="O2157" s="16" t="str">
        <f>IF($A2157&lt;Notes!$B$5,"",IF(COUNTIFS(Release_Calendar!$A$2:$A$755,"NZ_LABOUR",Release_Calendar!$B$2:$B$755,$A2157)&gt;0,1,0))</f>
        <v/>
      </c>
      <c r="P2157" s="16">
        <f t="shared" si="4"/>
        <v>0</v>
      </c>
    </row>
    <row r="2158" ht="15.75" customHeight="1">
      <c r="A2158" s="14">
        <v>39546.0</v>
      </c>
      <c r="B2158" s="15">
        <v>1.87</v>
      </c>
      <c r="C2158" s="15"/>
      <c r="D2158" s="15">
        <v>6.47</v>
      </c>
      <c r="E2158" s="15"/>
      <c r="F2158" s="15" t="str">
        <f t="shared" si="1"/>
        <v/>
      </c>
      <c r="G2158" s="15">
        <f t="shared" si="2"/>
        <v>6.47</v>
      </c>
      <c r="H2158" s="16">
        <v>1.0</v>
      </c>
      <c r="I2158" s="15">
        <f t="shared" si="3"/>
        <v>4.6</v>
      </c>
      <c r="J2158" s="15">
        <v>22.36</v>
      </c>
      <c r="K2158" s="16">
        <f>IF(COUNTIFS(Release_Calendar!$A$2:$A$755,"US_CPI",Release_Calendar!$B$2:$B$755,$A2158)&gt;0,1,0)</f>
        <v>0</v>
      </c>
      <c r="L2158" s="16">
        <f>IF(COUNTIFS(Release_Calendar!$A$2:$A$755,"US_NFP",Release_Calendar!$B$2:$B$755,$A2158)&gt;0,1,0)</f>
        <v>0</v>
      </c>
      <c r="M2158" s="16" t="str">
        <f>IF($A2158&lt;Notes!$B$5,"",IF(COUNTIFS(Release_Calendar!$A$2:$A$755,"NZ_CPI",Release_Calendar!$B$2:$B$755,$A2158)&gt;0,1,0))</f>
        <v/>
      </c>
      <c r="N2158" s="16" t="str">
        <f>IF($A2158&lt;Notes!$B$5,"",IF(COUNTIFS(Release_Calendar!$A$2:$A$755,"NZ_GDP",Release_Calendar!$B$2:$B$755,$A2158)&gt;0,1,0))</f>
        <v/>
      </c>
      <c r="O2158" s="16" t="str">
        <f>IF($A2158&lt;Notes!$B$5,"",IF(COUNTIFS(Release_Calendar!$A$2:$A$755,"NZ_LABOUR",Release_Calendar!$B$2:$B$755,$A2158)&gt;0,1,0))</f>
        <v/>
      </c>
      <c r="P2158" s="16">
        <f t="shared" si="4"/>
        <v>0</v>
      </c>
    </row>
    <row r="2159" ht="15.75" customHeight="1">
      <c r="A2159" s="14">
        <v>39547.0</v>
      </c>
      <c r="B2159" s="15">
        <v>1.77</v>
      </c>
      <c r="C2159" s="15"/>
      <c r="D2159" s="15">
        <v>6.48</v>
      </c>
      <c r="E2159" s="15"/>
      <c r="F2159" s="15" t="str">
        <f t="shared" si="1"/>
        <v/>
      </c>
      <c r="G2159" s="15">
        <f t="shared" si="2"/>
        <v>6.48</v>
      </c>
      <c r="H2159" s="16">
        <v>1.0</v>
      </c>
      <c r="I2159" s="15">
        <f t="shared" si="3"/>
        <v>4.71</v>
      </c>
      <c r="J2159" s="15">
        <v>22.81</v>
      </c>
      <c r="K2159" s="16">
        <f>IF(COUNTIFS(Release_Calendar!$A$2:$A$755,"US_CPI",Release_Calendar!$B$2:$B$755,$A2159)&gt;0,1,0)</f>
        <v>0</v>
      </c>
      <c r="L2159" s="16">
        <f>IF(COUNTIFS(Release_Calendar!$A$2:$A$755,"US_NFP",Release_Calendar!$B$2:$B$755,$A2159)&gt;0,1,0)</f>
        <v>0</v>
      </c>
      <c r="M2159" s="16" t="str">
        <f>IF($A2159&lt;Notes!$B$5,"",IF(COUNTIFS(Release_Calendar!$A$2:$A$755,"NZ_CPI",Release_Calendar!$B$2:$B$755,$A2159)&gt;0,1,0))</f>
        <v/>
      </c>
      <c r="N2159" s="16" t="str">
        <f>IF($A2159&lt;Notes!$B$5,"",IF(COUNTIFS(Release_Calendar!$A$2:$A$755,"NZ_GDP",Release_Calendar!$B$2:$B$755,$A2159)&gt;0,1,0))</f>
        <v/>
      </c>
      <c r="O2159" s="16" t="str">
        <f>IF($A2159&lt;Notes!$B$5,"",IF(COUNTIFS(Release_Calendar!$A$2:$A$755,"NZ_LABOUR",Release_Calendar!$B$2:$B$755,$A2159)&gt;0,1,0))</f>
        <v/>
      </c>
      <c r="P2159" s="16">
        <f t="shared" si="4"/>
        <v>0</v>
      </c>
    </row>
    <row r="2160" ht="15.75" customHeight="1">
      <c r="A2160" s="14">
        <v>39548.0</v>
      </c>
      <c r="B2160" s="15">
        <v>1.84</v>
      </c>
      <c r="C2160" s="15"/>
      <c r="D2160" s="15">
        <v>6.45</v>
      </c>
      <c r="E2160" s="15"/>
      <c r="F2160" s="15" t="str">
        <f t="shared" si="1"/>
        <v/>
      </c>
      <c r="G2160" s="15">
        <f t="shared" si="2"/>
        <v>6.45</v>
      </c>
      <c r="H2160" s="16">
        <v>1.0</v>
      </c>
      <c r="I2160" s="15">
        <f t="shared" si="3"/>
        <v>4.61</v>
      </c>
      <c r="J2160" s="15">
        <v>21.98</v>
      </c>
      <c r="K2160" s="16">
        <f>IF(COUNTIFS(Release_Calendar!$A$2:$A$755,"US_CPI",Release_Calendar!$B$2:$B$755,$A2160)&gt;0,1,0)</f>
        <v>0</v>
      </c>
      <c r="L2160" s="16">
        <f>IF(COUNTIFS(Release_Calendar!$A$2:$A$755,"US_NFP",Release_Calendar!$B$2:$B$755,$A2160)&gt;0,1,0)</f>
        <v>0</v>
      </c>
      <c r="M2160" s="16" t="str">
        <f>IF($A2160&lt;Notes!$B$5,"",IF(COUNTIFS(Release_Calendar!$A$2:$A$755,"NZ_CPI",Release_Calendar!$B$2:$B$755,$A2160)&gt;0,1,0))</f>
        <v/>
      </c>
      <c r="N2160" s="16" t="str">
        <f>IF($A2160&lt;Notes!$B$5,"",IF(COUNTIFS(Release_Calendar!$A$2:$A$755,"NZ_GDP",Release_Calendar!$B$2:$B$755,$A2160)&gt;0,1,0))</f>
        <v/>
      </c>
      <c r="O2160" s="16" t="str">
        <f>IF($A2160&lt;Notes!$B$5,"",IF(COUNTIFS(Release_Calendar!$A$2:$A$755,"NZ_LABOUR",Release_Calendar!$B$2:$B$755,$A2160)&gt;0,1,0))</f>
        <v/>
      </c>
      <c r="P2160" s="16">
        <f t="shared" si="4"/>
        <v>0</v>
      </c>
    </row>
    <row r="2161" ht="15.75" customHeight="1">
      <c r="A2161" s="14">
        <v>39549.0</v>
      </c>
      <c r="B2161" s="15">
        <v>1.76</v>
      </c>
      <c r="C2161" s="15"/>
      <c r="D2161" s="15">
        <v>6.65</v>
      </c>
      <c r="E2161" s="15"/>
      <c r="F2161" s="15" t="str">
        <f t="shared" si="1"/>
        <v/>
      </c>
      <c r="G2161" s="15">
        <f t="shared" si="2"/>
        <v>6.65</v>
      </c>
      <c r="H2161" s="16">
        <v>1.0</v>
      </c>
      <c r="I2161" s="15">
        <f t="shared" si="3"/>
        <v>4.89</v>
      </c>
      <c r="J2161" s="15">
        <v>23.46</v>
      </c>
      <c r="K2161" s="16">
        <f>IF(COUNTIFS(Release_Calendar!$A$2:$A$755,"US_CPI",Release_Calendar!$B$2:$B$755,$A2161)&gt;0,1,0)</f>
        <v>0</v>
      </c>
      <c r="L2161" s="16">
        <f>IF(COUNTIFS(Release_Calendar!$A$2:$A$755,"US_NFP",Release_Calendar!$B$2:$B$755,$A2161)&gt;0,1,0)</f>
        <v>0</v>
      </c>
      <c r="M2161" s="16" t="str">
        <f>IF($A2161&lt;Notes!$B$5,"",IF(COUNTIFS(Release_Calendar!$A$2:$A$755,"NZ_CPI",Release_Calendar!$B$2:$B$755,$A2161)&gt;0,1,0))</f>
        <v/>
      </c>
      <c r="N2161" s="16" t="str">
        <f>IF($A2161&lt;Notes!$B$5,"",IF(COUNTIFS(Release_Calendar!$A$2:$A$755,"NZ_GDP",Release_Calendar!$B$2:$B$755,$A2161)&gt;0,1,0))</f>
        <v/>
      </c>
      <c r="O2161" s="16" t="str">
        <f>IF($A2161&lt;Notes!$B$5,"",IF(COUNTIFS(Release_Calendar!$A$2:$A$755,"NZ_LABOUR",Release_Calendar!$B$2:$B$755,$A2161)&gt;0,1,0))</f>
        <v/>
      </c>
      <c r="P2161" s="16">
        <f t="shared" si="4"/>
        <v>0</v>
      </c>
    </row>
    <row r="2162" ht="15.75" customHeight="1">
      <c r="A2162" s="14">
        <v>39552.0</v>
      </c>
      <c r="B2162" s="15">
        <v>1.78</v>
      </c>
      <c r="C2162" s="15"/>
      <c r="D2162" s="15">
        <v>6.67</v>
      </c>
      <c r="E2162" s="15"/>
      <c r="F2162" s="15" t="str">
        <f t="shared" si="1"/>
        <v/>
      </c>
      <c r="G2162" s="15">
        <f t="shared" si="2"/>
        <v>6.67</v>
      </c>
      <c r="H2162" s="16">
        <v>1.0</v>
      </c>
      <c r="I2162" s="15">
        <f t="shared" si="3"/>
        <v>4.89</v>
      </c>
      <c r="J2162" s="15">
        <v>23.82</v>
      </c>
      <c r="K2162" s="16">
        <f>IF(COUNTIFS(Release_Calendar!$A$2:$A$755,"US_CPI",Release_Calendar!$B$2:$B$755,$A2162)&gt;0,1,0)</f>
        <v>0</v>
      </c>
      <c r="L2162" s="16">
        <f>IF(COUNTIFS(Release_Calendar!$A$2:$A$755,"US_NFP",Release_Calendar!$B$2:$B$755,$A2162)&gt;0,1,0)</f>
        <v>0</v>
      </c>
      <c r="M2162" s="16" t="str">
        <f>IF($A2162&lt;Notes!$B$5,"",IF(COUNTIFS(Release_Calendar!$A$2:$A$755,"NZ_CPI",Release_Calendar!$B$2:$B$755,$A2162)&gt;0,1,0))</f>
        <v/>
      </c>
      <c r="N2162" s="16" t="str">
        <f>IF($A2162&lt;Notes!$B$5,"",IF(COUNTIFS(Release_Calendar!$A$2:$A$755,"NZ_GDP",Release_Calendar!$B$2:$B$755,$A2162)&gt;0,1,0))</f>
        <v/>
      </c>
      <c r="O2162" s="16" t="str">
        <f>IF($A2162&lt;Notes!$B$5,"",IF(COUNTIFS(Release_Calendar!$A$2:$A$755,"NZ_LABOUR",Release_Calendar!$B$2:$B$755,$A2162)&gt;0,1,0))</f>
        <v/>
      </c>
      <c r="P2162" s="16">
        <f t="shared" si="4"/>
        <v>0</v>
      </c>
    </row>
    <row r="2163" ht="15.75" customHeight="1">
      <c r="A2163" s="14">
        <v>39553.0</v>
      </c>
      <c r="B2163" s="15">
        <v>1.84</v>
      </c>
      <c r="C2163" s="15"/>
      <c r="D2163" s="15">
        <v>6.76</v>
      </c>
      <c r="E2163" s="15"/>
      <c r="F2163" s="15" t="str">
        <f t="shared" si="1"/>
        <v/>
      </c>
      <c r="G2163" s="15">
        <f t="shared" si="2"/>
        <v>6.76</v>
      </c>
      <c r="H2163" s="16">
        <v>1.0</v>
      </c>
      <c r="I2163" s="15">
        <f t="shared" si="3"/>
        <v>4.92</v>
      </c>
      <c r="J2163" s="15">
        <v>22.78</v>
      </c>
      <c r="K2163" s="16">
        <f>IF(COUNTIFS(Release_Calendar!$A$2:$A$755,"US_CPI",Release_Calendar!$B$2:$B$755,$A2163)&gt;0,1,0)</f>
        <v>0</v>
      </c>
      <c r="L2163" s="16">
        <f>IF(COUNTIFS(Release_Calendar!$A$2:$A$755,"US_NFP",Release_Calendar!$B$2:$B$755,$A2163)&gt;0,1,0)</f>
        <v>0</v>
      </c>
      <c r="M2163" s="16" t="str">
        <f>IF($A2163&lt;Notes!$B$5,"",IF(COUNTIFS(Release_Calendar!$A$2:$A$755,"NZ_CPI",Release_Calendar!$B$2:$B$755,$A2163)&gt;0,1,0))</f>
        <v/>
      </c>
      <c r="N2163" s="16" t="str">
        <f>IF($A2163&lt;Notes!$B$5,"",IF(COUNTIFS(Release_Calendar!$A$2:$A$755,"NZ_GDP",Release_Calendar!$B$2:$B$755,$A2163)&gt;0,1,0))</f>
        <v/>
      </c>
      <c r="O2163" s="16" t="str">
        <f>IF($A2163&lt;Notes!$B$5,"",IF(COUNTIFS(Release_Calendar!$A$2:$A$755,"NZ_LABOUR",Release_Calendar!$B$2:$B$755,$A2163)&gt;0,1,0))</f>
        <v/>
      </c>
      <c r="P2163" s="16">
        <f t="shared" si="4"/>
        <v>0</v>
      </c>
    </row>
    <row r="2164" ht="15.75" customHeight="1">
      <c r="A2164" s="14">
        <v>39554.0</v>
      </c>
      <c r="B2164" s="15">
        <v>1.98</v>
      </c>
      <c r="C2164" s="15"/>
      <c r="D2164" s="15">
        <v>6.73</v>
      </c>
      <c r="E2164" s="15"/>
      <c r="F2164" s="15" t="str">
        <f t="shared" si="1"/>
        <v/>
      </c>
      <c r="G2164" s="15">
        <f t="shared" si="2"/>
        <v>6.73</v>
      </c>
      <c r="H2164" s="16">
        <v>1.0</v>
      </c>
      <c r="I2164" s="15">
        <f t="shared" si="3"/>
        <v>4.75</v>
      </c>
      <c r="J2164" s="15">
        <v>20.53</v>
      </c>
      <c r="K2164" s="16">
        <f>IF(COUNTIFS(Release_Calendar!$A$2:$A$755,"US_CPI",Release_Calendar!$B$2:$B$755,$A2164)&gt;0,1,0)</f>
        <v>1</v>
      </c>
      <c r="L2164" s="16">
        <f>IF(COUNTIFS(Release_Calendar!$A$2:$A$755,"US_NFP",Release_Calendar!$B$2:$B$755,$A2164)&gt;0,1,0)</f>
        <v>0</v>
      </c>
      <c r="M2164" s="16" t="str">
        <f>IF($A2164&lt;Notes!$B$5,"",IF(COUNTIFS(Release_Calendar!$A$2:$A$755,"NZ_CPI",Release_Calendar!$B$2:$B$755,$A2164)&gt;0,1,0))</f>
        <v/>
      </c>
      <c r="N2164" s="16" t="str">
        <f>IF($A2164&lt;Notes!$B$5,"",IF(COUNTIFS(Release_Calendar!$A$2:$A$755,"NZ_GDP",Release_Calendar!$B$2:$B$755,$A2164)&gt;0,1,0))</f>
        <v/>
      </c>
      <c r="O2164" s="16" t="str">
        <f>IF($A2164&lt;Notes!$B$5,"",IF(COUNTIFS(Release_Calendar!$A$2:$A$755,"NZ_LABOUR",Release_Calendar!$B$2:$B$755,$A2164)&gt;0,1,0))</f>
        <v/>
      </c>
      <c r="P2164" s="16">
        <f t="shared" si="4"/>
        <v>1</v>
      </c>
    </row>
    <row r="2165" ht="15.75" customHeight="1">
      <c r="A2165" s="14">
        <v>39555.0</v>
      </c>
      <c r="B2165" s="15">
        <v>2.13</v>
      </c>
      <c r="C2165" s="15"/>
      <c r="D2165" s="15">
        <v>6.73</v>
      </c>
      <c r="E2165" s="15"/>
      <c r="F2165" s="15" t="str">
        <f t="shared" si="1"/>
        <v/>
      </c>
      <c r="G2165" s="15">
        <f t="shared" si="2"/>
        <v>6.73</v>
      </c>
      <c r="H2165" s="16">
        <v>1.0</v>
      </c>
      <c r="I2165" s="15">
        <f t="shared" si="3"/>
        <v>4.6</v>
      </c>
      <c r="J2165" s="15">
        <v>20.37</v>
      </c>
      <c r="K2165" s="16">
        <f>IF(COUNTIFS(Release_Calendar!$A$2:$A$755,"US_CPI",Release_Calendar!$B$2:$B$755,$A2165)&gt;0,1,0)</f>
        <v>0</v>
      </c>
      <c r="L2165" s="16">
        <f>IF(COUNTIFS(Release_Calendar!$A$2:$A$755,"US_NFP",Release_Calendar!$B$2:$B$755,$A2165)&gt;0,1,0)</f>
        <v>0</v>
      </c>
      <c r="M2165" s="16" t="str">
        <f>IF($A2165&lt;Notes!$B$5,"",IF(COUNTIFS(Release_Calendar!$A$2:$A$755,"NZ_CPI",Release_Calendar!$B$2:$B$755,$A2165)&gt;0,1,0))</f>
        <v/>
      </c>
      <c r="N2165" s="16" t="str">
        <f>IF($A2165&lt;Notes!$B$5,"",IF(COUNTIFS(Release_Calendar!$A$2:$A$755,"NZ_GDP",Release_Calendar!$B$2:$B$755,$A2165)&gt;0,1,0))</f>
        <v/>
      </c>
      <c r="O2165" s="16" t="str">
        <f>IF($A2165&lt;Notes!$B$5,"",IF(COUNTIFS(Release_Calendar!$A$2:$A$755,"NZ_LABOUR",Release_Calendar!$B$2:$B$755,$A2165)&gt;0,1,0))</f>
        <v/>
      </c>
      <c r="P2165" s="16">
        <f t="shared" si="4"/>
        <v>0</v>
      </c>
    </row>
    <row r="2166" ht="15.75" customHeight="1">
      <c r="A2166" s="14">
        <v>39556.0</v>
      </c>
      <c r="B2166" s="15">
        <v>2.19</v>
      </c>
      <c r="C2166" s="15"/>
      <c r="D2166" s="15">
        <v>6.7</v>
      </c>
      <c r="E2166" s="15"/>
      <c r="F2166" s="15" t="str">
        <f t="shared" si="1"/>
        <v/>
      </c>
      <c r="G2166" s="15">
        <f t="shared" si="2"/>
        <v>6.7</v>
      </c>
      <c r="H2166" s="16">
        <v>1.0</v>
      </c>
      <c r="I2166" s="15">
        <f t="shared" si="3"/>
        <v>4.51</v>
      </c>
      <c r="J2166" s="15">
        <v>20.13</v>
      </c>
      <c r="K2166" s="16">
        <f>IF(COUNTIFS(Release_Calendar!$A$2:$A$755,"US_CPI",Release_Calendar!$B$2:$B$755,$A2166)&gt;0,1,0)</f>
        <v>0</v>
      </c>
      <c r="L2166" s="16">
        <f>IF(COUNTIFS(Release_Calendar!$A$2:$A$755,"US_NFP",Release_Calendar!$B$2:$B$755,$A2166)&gt;0,1,0)</f>
        <v>0</v>
      </c>
      <c r="M2166" s="16" t="str">
        <f>IF($A2166&lt;Notes!$B$5,"",IF(COUNTIFS(Release_Calendar!$A$2:$A$755,"NZ_CPI",Release_Calendar!$B$2:$B$755,$A2166)&gt;0,1,0))</f>
        <v/>
      </c>
      <c r="N2166" s="16" t="str">
        <f>IF($A2166&lt;Notes!$B$5,"",IF(COUNTIFS(Release_Calendar!$A$2:$A$755,"NZ_GDP",Release_Calendar!$B$2:$B$755,$A2166)&gt;0,1,0))</f>
        <v/>
      </c>
      <c r="O2166" s="16" t="str">
        <f>IF($A2166&lt;Notes!$B$5,"",IF(COUNTIFS(Release_Calendar!$A$2:$A$755,"NZ_LABOUR",Release_Calendar!$B$2:$B$755,$A2166)&gt;0,1,0))</f>
        <v/>
      </c>
      <c r="P2166" s="16">
        <f t="shared" si="4"/>
        <v>0</v>
      </c>
    </row>
    <row r="2167" ht="15.75" customHeight="1">
      <c r="A2167" s="14">
        <v>39559.0</v>
      </c>
      <c r="B2167" s="15">
        <v>2.2</v>
      </c>
      <c r="C2167" s="15"/>
      <c r="D2167" s="15">
        <v>6.71</v>
      </c>
      <c r="E2167" s="15"/>
      <c r="F2167" s="15" t="str">
        <f t="shared" si="1"/>
        <v/>
      </c>
      <c r="G2167" s="15">
        <f t="shared" si="2"/>
        <v>6.71</v>
      </c>
      <c r="H2167" s="16">
        <v>1.0</v>
      </c>
      <c r="I2167" s="15">
        <f t="shared" si="3"/>
        <v>4.51</v>
      </c>
      <c r="J2167" s="15">
        <v>20.5</v>
      </c>
      <c r="K2167" s="16">
        <f>IF(COUNTIFS(Release_Calendar!$A$2:$A$755,"US_CPI",Release_Calendar!$B$2:$B$755,$A2167)&gt;0,1,0)</f>
        <v>0</v>
      </c>
      <c r="L2167" s="16">
        <f>IF(COUNTIFS(Release_Calendar!$A$2:$A$755,"US_NFP",Release_Calendar!$B$2:$B$755,$A2167)&gt;0,1,0)</f>
        <v>0</v>
      </c>
      <c r="M2167" s="16" t="str">
        <f>IF($A2167&lt;Notes!$B$5,"",IF(COUNTIFS(Release_Calendar!$A$2:$A$755,"NZ_CPI",Release_Calendar!$B$2:$B$755,$A2167)&gt;0,1,0))</f>
        <v/>
      </c>
      <c r="N2167" s="16" t="str">
        <f>IF($A2167&lt;Notes!$B$5,"",IF(COUNTIFS(Release_Calendar!$A$2:$A$755,"NZ_GDP",Release_Calendar!$B$2:$B$755,$A2167)&gt;0,1,0))</f>
        <v/>
      </c>
      <c r="O2167" s="16" t="str">
        <f>IF($A2167&lt;Notes!$B$5,"",IF(COUNTIFS(Release_Calendar!$A$2:$A$755,"NZ_LABOUR",Release_Calendar!$B$2:$B$755,$A2167)&gt;0,1,0))</f>
        <v/>
      </c>
      <c r="P2167" s="16">
        <f t="shared" si="4"/>
        <v>0</v>
      </c>
    </row>
    <row r="2168" ht="15.75" customHeight="1">
      <c r="A2168" s="14">
        <v>39560.0</v>
      </c>
      <c r="B2168" s="15">
        <v>2.24</v>
      </c>
      <c r="C2168" s="15"/>
      <c r="D2168" s="15">
        <v>6.69</v>
      </c>
      <c r="E2168" s="15"/>
      <c r="F2168" s="15" t="str">
        <f t="shared" si="1"/>
        <v/>
      </c>
      <c r="G2168" s="15">
        <f t="shared" si="2"/>
        <v>6.69</v>
      </c>
      <c r="H2168" s="16">
        <v>1.0</v>
      </c>
      <c r="I2168" s="15">
        <f t="shared" si="3"/>
        <v>4.45</v>
      </c>
      <c r="J2168" s="15">
        <v>20.87</v>
      </c>
      <c r="K2168" s="16">
        <f>IF(COUNTIFS(Release_Calendar!$A$2:$A$755,"US_CPI",Release_Calendar!$B$2:$B$755,$A2168)&gt;0,1,0)</f>
        <v>0</v>
      </c>
      <c r="L2168" s="16">
        <f>IF(COUNTIFS(Release_Calendar!$A$2:$A$755,"US_NFP",Release_Calendar!$B$2:$B$755,$A2168)&gt;0,1,0)</f>
        <v>0</v>
      </c>
      <c r="M2168" s="16" t="str">
        <f>IF($A2168&lt;Notes!$B$5,"",IF(COUNTIFS(Release_Calendar!$A$2:$A$755,"NZ_CPI",Release_Calendar!$B$2:$B$755,$A2168)&gt;0,1,0))</f>
        <v/>
      </c>
      <c r="N2168" s="16" t="str">
        <f>IF($A2168&lt;Notes!$B$5,"",IF(COUNTIFS(Release_Calendar!$A$2:$A$755,"NZ_GDP",Release_Calendar!$B$2:$B$755,$A2168)&gt;0,1,0))</f>
        <v/>
      </c>
      <c r="O2168" s="16" t="str">
        <f>IF($A2168&lt;Notes!$B$5,"",IF(COUNTIFS(Release_Calendar!$A$2:$A$755,"NZ_LABOUR",Release_Calendar!$B$2:$B$755,$A2168)&gt;0,1,0))</f>
        <v/>
      </c>
      <c r="P2168" s="16">
        <f t="shared" si="4"/>
        <v>0</v>
      </c>
    </row>
    <row r="2169" ht="15.75" customHeight="1">
      <c r="A2169" s="14">
        <v>39561.0</v>
      </c>
      <c r="B2169" s="15">
        <v>2.22</v>
      </c>
      <c r="C2169" s="15"/>
      <c r="D2169" s="15">
        <v>6.71</v>
      </c>
      <c r="E2169" s="15"/>
      <c r="F2169" s="15" t="str">
        <f t="shared" si="1"/>
        <v/>
      </c>
      <c r="G2169" s="15">
        <f t="shared" si="2"/>
        <v>6.71</v>
      </c>
      <c r="H2169" s="16">
        <v>1.0</v>
      </c>
      <c r="I2169" s="15">
        <f t="shared" si="3"/>
        <v>4.49</v>
      </c>
      <c r="J2169" s="15">
        <v>20.26</v>
      </c>
      <c r="K2169" s="16">
        <f>IF(COUNTIFS(Release_Calendar!$A$2:$A$755,"US_CPI",Release_Calendar!$B$2:$B$755,$A2169)&gt;0,1,0)</f>
        <v>0</v>
      </c>
      <c r="L2169" s="16">
        <f>IF(COUNTIFS(Release_Calendar!$A$2:$A$755,"US_NFP",Release_Calendar!$B$2:$B$755,$A2169)&gt;0,1,0)</f>
        <v>0</v>
      </c>
      <c r="M2169" s="16" t="str">
        <f>IF($A2169&lt;Notes!$B$5,"",IF(COUNTIFS(Release_Calendar!$A$2:$A$755,"NZ_CPI",Release_Calendar!$B$2:$B$755,$A2169)&gt;0,1,0))</f>
        <v/>
      </c>
      <c r="N2169" s="16" t="str">
        <f>IF($A2169&lt;Notes!$B$5,"",IF(COUNTIFS(Release_Calendar!$A$2:$A$755,"NZ_GDP",Release_Calendar!$B$2:$B$755,$A2169)&gt;0,1,0))</f>
        <v/>
      </c>
      <c r="O2169" s="16" t="str">
        <f>IF($A2169&lt;Notes!$B$5,"",IF(COUNTIFS(Release_Calendar!$A$2:$A$755,"NZ_LABOUR",Release_Calendar!$B$2:$B$755,$A2169)&gt;0,1,0))</f>
        <v/>
      </c>
      <c r="P2169" s="16">
        <f t="shared" si="4"/>
        <v>0</v>
      </c>
    </row>
    <row r="2170" ht="15.75" customHeight="1">
      <c r="A2170" s="14">
        <v>39562.0</v>
      </c>
      <c r="B2170" s="15">
        <v>2.41</v>
      </c>
      <c r="C2170" s="15"/>
      <c r="D2170" s="15">
        <v>6.7</v>
      </c>
      <c r="E2170" s="15"/>
      <c r="F2170" s="15" t="str">
        <f t="shared" si="1"/>
        <v/>
      </c>
      <c r="G2170" s="15">
        <f t="shared" si="2"/>
        <v>6.7</v>
      </c>
      <c r="H2170" s="16">
        <v>1.0</v>
      </c>
      <c r="I2170" s="15">
        <f t="shared" si="3"/>
        <v>4.29</v>
      </c>
      <c r="J2170" s="15">
        <v>20.06</v>
      </c>
      <c r="K2170" s="16">
        <f>IF(COUNTIFS(Release_Calendar!$A$2:$A$755,"US_CPI",Release_Calendar!$B$2:$B$755,$A2170)&gt;0,1,0)</f>
        <v>0</v>
      </c>
      <c r="L2170" s="16">
        <f>IF(COUNTIFS(Release_Calendar!$A$2:$A$755,"US_NFP",Release_Calendar!$B$2:$B$755,$A2170)&gt;0,1,0)</f>
        <v>0</v>
      </c>
      <c r="M2170" s="16" t="str">
        <f>IF($A2170&lt;Notes!$B$5,"",IF(COUNTIFS(Release_Calendar!$A$2:$A$755,"NZ_CPI",Release_Calendar!$B$2:$B$755,$A2170)&gt;0,1,0))</f>
        <v/>
      </c>
      <c r="N2170" s="16" t="str">
        <f>IF($A2170&lt;Notes!$B$5,"",IF(COUNTIFS(Release_Calendar!$A$2:$A$755,"NZ_GDP",Release_Calendar!$B$2:$B$755,$A2170)&gt;0,1,0))</f>
        <v/>
      </c>
      <c r="O2170" s="16" t="str">
        <f>IF($A2170&lt;Notes!$B$5,"",IF(COUNTIFS(Release_Calendar!$A$2:$A$755,"NZ_LABOUR",Release_Calendar!$B$2:$B$755,$A2170)&gt;0,1,0))</f>
        <v/>
      </c>
      <c r="P2170" s="16">
        <f t="shared" si="4"/>
        <v>0</v>
      </c>
    </row>
    <row r="2171" ht="15.75" customHeight="1">
      <c r="A2171" s="14">
        <v>39563.0</v>
      </c>
      <c r="B2171" s="15">
        <v>2.44</v>
      </c>
      <c r="C2171" s="15"/>
      <c r="D2171" s="15"/>
      <c r="E2171" s="15"/>
      <c r="F2171" s="15" t="str">
        <f t="shared" si="1"/>
        <v/>
      </c>
      <c r="G2171" s="15" t="str">
        <f t="shared" si="2"/>
        <v/>
      </c>
      <c r="H2171" s="16">
        <v>1.0</v>
      </c>
      <c r="I2171" s="15" t="str">
        <f t="shared" si="3"/>
        <v/>
      </c>
      <c r="J2171" s="15">
        <v>19.59</v>
      </c>
      <c r="K2171" s="16">
        <f>IF(COUNTIFS(Release_Calendar!$A$2:$A$755,"US_CPI",Release_Calendar!$B$2:$B$755,$A2171)&gt;0,1,0)</f>
        <v>0</v>
      </c>
      <c r="L2171" s="16">
        <f>IF(COUNTIFS(Release_Calendar!$A$2:$A$755,"US_NFP",Release_Calendar!$B$2:$B$755,$A2171)&gt;0,1,0)</f>
        <v>0</v>
      </c>
      <c r="M2171" s="16" t="str">
        <f>IF($A2171&lt;Notes!$B$5,"",IF(COUNTIFS(Release_Calendar!$A$2:$A$755,"NZ_CPI",Release_Calendar!$B$2:$B$755,$A2171)&gt;0,1,0))</f>
        <v/>
      </c>
      <c r="N2171" s="16" t="str">
        <f>IF($A2171&lt;Notes!$B$5,"",IF(COUNTIFS(Release_Calendar!$A$2:$A$755,"NZ_GDP",Release_Calendar!$B$2:$B$755,$A2171)&gt;0,1,0))</f>
        <v/>
      </c>
      <c r="O2171" s="16" t="str">
        <f>IF($A2171&lt;Notes!$B$5,"",IF(COUNTIFS(Release_Calendar!$A$2:$A$755,"NZ_LABOUR",Release_Calendar!$B$2:$B$755,$A2171)&gt;0,1,0))</f>
        <v/>
      </c>
      <c r="P2171" s="16">
        <f t="shared" si="4"/>
        <v>0</v>
      </c>
    </row>
    <row r="2172" ht="15.75" customHeight="1">
      <c r="A2172" s="14">
        <v>39566.0</v>
      </c>
      <c r="B2172" s="15">
        <v>2.36</v>
      </c>
      <c r="C2172" s="15"/>
      <c r="D2172" s="15">
        <v>6.71</v>
      </c>
      <c r="E2172" s="15"/>
      <c r="F2172" s="15" t="str">
        <f t="shared" si="1"/>
        <v/>
      </c>
      <c r="G2172" s="15">
        <f t="shared" si="2"/>
        <v>6.71</v>
      </c>
      <c r="H2172" s="16">
        <v>1.0</v>
      </c>
      <c r="I2172" s="15">
        <f t="shared" si="3"/>
        <v>4.35</v>
      </c>
      <c r="J2172" s="15">
        <v>19.64</v>
      </c>
      <c r="K2172" s="16">
        <f>IF(COUNTIFS(Release_Calendar!$A$2:$A$755,"US_CPI",Release_Calendar!$B$2:$B$755,$A2172)&gt;0,1,0)</f>
        <v>0</v>
      </c>
      <c r="L2172" s="16">
        <f>IF(COUNTIFS(Release_Calendar!$A$2:$A$755,"US_NFP",Release_Calendar!$B$2:$B$755,$A2172)&gt;0,1,0)</f>
        <v>0</v>
      </c>
      <c r="M2172" s="16" t="str">
        <f>IF($A2172&lt;Notes!$B$5,"",IF(COUNTIFS(Release_Calendar!$A$2:$A$755,"NZ_CPI",Release_Calendar!$B$2:$B$755,$A2172)&gt;0,1,0))</f>
        <v/>
      </c>
      <c r="N2172" s="16" t="str">
        <f>IF($A2172&lt;Notes!$B$5,"",IF(COUNTIFS(Release_Calendar!$A$2:$A$755,"NZ_GDP",Release_Calendar!$B$2:$B$755,$A2172)&gt;0,1,0))</f>
        <v/>
      </c>
      <c r="O2172" s="16" t="str">
        <f>IF($A2172&lt;Notes!$B$5,"",IF(COUNTIFS(Release_Calendar!$A$2:$A$755,"NZ_LABOUR",Release_Calendar!$B$2:$B$755,$A2172)&gt;0,1,0))</f>
        <v/>
      </c>
      <c r="P2172" s="16">
        <f t="shared" si="4"/>
        <v>0</v>
      </c>
    </row>
    <row r="2173" ht="15.75" customHeight="1">
      <c r="A2173" s="14">
        <v>39567.0</v>
      </c>
      <c r="B2173" s="15">
        <v>2.35</v>
      </c>
      <c r="C2173" s="15"/>
      <c r="D2173" s="15">
        <v>6.76</v>
      </c>
      <c r="E2173" s="15"/>
      <c r="F2173" s="15" t="str">
        <f t="shared" si="1"/>
        <v/>
      </c>
      <c r="G2173" s="15">
        <f t="shared" si="2"/>
        <v>6.76</v>
      </c>
      <c r="H2173" s="16">
        <v>1.0</v>
      </c>
      <c r="I2173" s="15">
        <f t="shared" si="3"/>
        <v>4.41</v>
      </c>
      <c r="J2173" s="15">
        <v>20.24</v>
      </c>
      <c r="K2173" s="16">
        <f>IF(COUNTIFS(Release_Calendar!$A$2:$A$755,"US_CPI",Release_Calendar!$B$2:$B$755,$A2173)&gt;0,1,0)</f>
        <v>0</v>
      </c>
      <c r="L2173" s="16">
        <f>IF(COUNTIFS(Release_Calendar!$A$2:$A$755,"US_NFP",Release_Calendar!$B$2:$B$755,$A2173)&gt;0,1,0)</f>
        <v>0</v>
      </c>
      <c r="M2173" s="16" t="str">
        <f>IF($A2173&lt;Notes!$B$5,"",IF(COUNTIFS(Release_Calendar!$A$2:$A$755,"NZ_CPI",Release_Calendar!$B$2:$B$755,$A2173)&gt;0,1,0))</f>
        <v/>
      </c>
      <c r="N2173" s="16" t="str">
        <f>IF($A2173&lt;Notes!$B$5,"",IF(COUNTIFS(Release_Calendar!$A$2:$A$755,"NZ_GDP",Release_Calendar!$B$2:$B$755,$A2173)&gt;0,1,0))</f>
        <v/>
      </c>
      <c r="O2173" s="16" t="str">
        <f>IF($A2173&lt;Notes!$B$5,"",IF(COUNTIFS(Release_Calendar!$A$2:$A$755,"NZ_LABOUR",Release_Calendar!$B$2:$B$755,$A2173)&gt;0,1,0))</f>
        <v/>
      </c>
      <c r="P2173" s="16">
        <f t="shared" si="4"/>
        <v>0</v>
      </c>
    </row>
    <row r="2174" ht="15.75" customHeight="1">
      <c r="A2174" s="14">
        <v>39568.0</v>
      </c>
      <c r="B2174" s="15">
        <v>2.29</v>
      </c>
      <c r="C2174" s="15"/>
      <c r="D2174" s="15">
        <v>6.76</v>
      </c>
      <c r="E2174" s="15"/>
      <c r="F2174" s="15" t="str">
        <f t="shared" si="1"/>
        <v/>
      </c>
      <c r="G2174" s="15">
        <f t="shared" si="2"/>
        <v>6.76</v>
      </c>
      <c r="H2174" s="16">
        <v>1.0</v>
      </c>
      <c r="I2174" s="15">
        <f t="shared" si="3"/>
        <v>4.47</v>
      </c>
      <c r="J2174" s="15">
        <v>20.79</v>
      </c>
      <c r="K2174" s="16">
        <f>IF(COUNTIFS(Release_Calendar!$A$2:$A$755,"US_CPI",Release_Calendar!$B$2:$B$755,$A2174)&gt;0,1,0)</f>
        <v>0</v>
      </c>
      <c r="L2174" s="16">
        <f>IF(COUNTIFS(Release_Calendar!$A$2:$A$755,"US_NFP",Release_Calendar!$B$2:$B$755,$A2174)&gt;0,1,0)</f>
        <v>0</v>
      </c>
      <c r="M2174" s="16" t="str">
        <f>IF($A2174&lt;Notes!$B$5,"",IF(COUNTIFS(Release_Calendar!$A$2:$A$755,"NZ_CPI",Release_Calendar!$B$2:$B$755,$A2174)&gt;0,1,0))</f>
        <v/>
      </c>
      <c r="N2174" s="16" t="str">
        <f>IF($A2174&lt;Notes!$B$5,"",IF(COUNTIFS(Release_Calendar!$A$2:$A$755,"NZ_GDP",Release_Calendar!$B$2:$B$755,$A2174)&gt;0,1,0))</f>
        <v/>
      </c>
      <c r="O2174" s="16" t="str">
        <f>IF($A2174&lt;Notes!$B$5,"",IF(COUNTIFS(Release_Calendar!$A$2:$A$755,"NZ_LABOUR",Release_Calendar!$B$2:$B$755,$A2174)&gt;0,1,0))</f>
        <v/>
      </c>
      <c r="P2174" s="16">
        <f t="shared" si="4"/>
        <v>0</v>
      </c>
    </row>
    <row r="2175" ht="15.75" customHeight="1">
      <c r="A2175" s="14">
        <v>39569.0</v>
      </c>
      <c r="B2175" s="15">
        <v>2.37</v>
      </c>
      <c r="C2175" s="15"/>
      <c r="D2175" s="15">
        <v>6.72</v>
      </c>
      <c r="E2175" s="15"/>
      <c r="F2175" s="15" t="str">
        <f t="shared" si="1"/>
        <v/>
      </c>
      <c r="G2175" s="15">
        <f t="shared" si="2"/>
        <v>6.72</v>
      </c>
      <c r="H2175" s="16">
        <v>1.0</v>
      </c>
      <c r="I2175" s="15">
        <f t="shared" si="3"/>
        <v>4.35</v>
      </c>
      <c r="J2175" s="15">
        <v>18.88</v>
      </c>
      <c r="K2175" s="16">
        <f>IF(COUNTIFS(Release_Calendar!$A$2:$A$755,"US_CPI",Release_Calendar!$B$2:$B$755,$A2175)&gt;0,1,0)</f>
        <v>0</v>
      </c>
      <c r="L2175" s="16">
        <f>IF(COUNTIFS(Release_Calendar!$A$2:$A$755,"US_NFP",Release_Calendar!$B$2:$B$755,$A2175)&gt;0,1,0)</f>
        <v>0</v>
      </c>
      <c r="M2175" s="16" t="str">
        <f>IF($A2175&lt;Notes!$B$5,"",IF(COUNTIFS(Release_Calendar!$A$2:$A$755,"NZ_CPI",Release_Calendar!$B$2:$B$755,$A2175)&gt;0,1,0))</f>
        <v/>
      </c>
      <c r="N2175" s="16" t="str">
        <f>IF($A2175&lt;Notes!$B$5,"",IF(COUNTIFS(Release_Calendar!$A$2:$A$755,"NZ_GDP",Release_Calendar!$B$2:$B$755,$A2175)&gt;0,1,0))</f>
        <v/>
      </c>
      <c r="O2175" s="16" t="str">
        <f>IF($A2175&lt;Notes!$B$5,"",IF(COUNTIFS(Release_Calendar!$A$2:$A$755,"NZ_LABOUR",Release_Calendar!$B$2:$B$755,$A2175)&gt;0,1,0))</f>
        <v/>
      </c>
      <c r="P2175" s="16">
        <f t="shared" si="4"/>
        <v>0</v>
      </c>
    </row>
    <row r="2176" ht="15.75" customHeight="1">
      <c r="A2176" s="14">
        <v>39570.0</v>
      </c>
      <c r="B2176" s="15">
        <v>2.47</v>
      </c>
      <c r="C2176" s="15"/>
      <c r="D2176" s="15">
        <v>6.65</v>
      </c>
      <c r="E2176" s="15"/>
      <c r="F2176" s="15" t="str">
        <f t="shared" si="1"/>
        <v/>
      </c>
      <c r="G2176" s="15">
        <f t="shared" si="2"/>
        <v>6.65</v>
      </c>
      <c r="H2176" s="16">
        <v>1.0</v>
      </c>
      <c r="I2176" s="15">
        <f t="shared" si="3"/>
        <v>4.18</v>
      </c>
      <c r="J2176" s="15">
        <v>18.18</v>
      </c>
      <c r="K2176" s="16">
        <f>IF(COUNTIFS(Release_Calendar!$A$2:$A$755,"US_CPI",Release_Calendar!$B$2:$B$755,$A2176)&gt;0,1,0)</f>
        <v>0</v>
      </c>
      <c r="L2176" s="16">
        <f>IF(COUNTIFS(Release_Calendar!$A$2:$A$755,"US_NFP",Release_Calendar!$B$2:$B$755,$A2176)&gt;0,1,0)</f>
        <v>1</v>
      </c>
      <c r="M2176" s="16" t="str">
        <f>IF($A2176&lt;Notes!$B$5,"",IF(COUNTIFS(Release_Calendar!$A$2:$A$755,"NZ_CPI",Release_Calendar!$B$2:$B$755,$A2176)&gt;0,1,0))</f>
        <v/>
      </c>
      <c r="N2176" s="16" t="str">
        <f>IF($A2176&lt;Notes!$B$5,"",IF(COUNTIFS(Release_Calendar!$A$2:$A$755,"NZ_GDP",Release_Calendar!$B$2:$B$755,$A2176)&gt;0,1,0))</f>
        <v/>
      </c>
      <c r="O2176" s="16" t="str">
        <f>IF($A2176&lt;Notes!$B$5,"",IF(COUNTIFS(Release_Calendar!$A$2:$A$755,"NZ_LABOUR",Release_Calendar!$B$2:$B$755,$A2176)&gt;0,1,0))</f>
        <v/>
      </c>
      <c r="P2176" s="16">
        <f t="shared" si="4"/>
        <v>1</v>
      </c>
    </row>
    <row r="2177" ht="15.75" customHeight="1">
      <c r="A2177" s="14">
        <v>39573.0</v>
      </c>
      <c r="B2177" s="15">
        <v>2.42</v>
      </c>
      <c r="C2177" s="15"/>
      <c r="D2177" s="15">
        <v>6.68</v>
      </c>
      <c r="E2177" s="15"/>
      <c r="F2177" s="15" t="str">
        <f t="shared" si="1"/>
        <v/>
      </c>
      <c r="G2177" s="15">
        <f t="shared" si="2"/>
        <v>6.68</v>
      </c>
      <c r="H2177" s="16">
        <v>1.0</v>
      </c>
      <c r="I2177" s="15">
        <f t="shared" si="3"/>
        <v>4.26</v>
      </c>
      <c r="J2177" s="15">
        <v>18.9</v>
      </c>
      <c r="K2177" s="16">
        <f>IF(COUNTIFS(Release_Calendar!$A$2:$A$755,"US_CPI",Release_Calendar!$B$2:$B$755,$A2177)&gt;0,1,0)</f>
        <v>0</v>
      </c>
      <c r="L2177" s="16">
        <f>IF(COUNTIFS(Release_Calendar!$A$2:$A$755,"US_NFP",Release_Calendar!$B$2:$B$755,$A2177)&gt;0,1,0)</f>
        <v>0</v>
      </c>
      <c r="M2177" s="16" t="str">
        <f>IF($A2177&lt;Notes!$B$5,"",IF(COUNTIFS(Release_Calendar!$A$2:$A$755,"NZ_CPI",Release_Calendar!$B$2:$B$755,$A2177)&gt;0,1,0))</f>
        <v/>
      </c>
      <c r="N2177" s="16" t="str">
        <f>IF($A2177&lt;Notes!$B$5,"",IF(COUNTIFS(Release_Calendar!$A$2:$A$755,"NZ_GDP",Release_Calendar!$B$2:$B$755,$A2177)&gt;0,1,0))</f>
        <v/>
      </c>
      <c r="O2177" s="16" t="str">
        <f>IF($A2177&lt;Notes!$B$5,"",IF(COUNTIFS(Release_Calendar!$A$2:$A$755,"NZ_LABOUR",Release_Calendar!$B$2:$B$755,$A2177)&gt;0,1,0))</f>
        <v/>
      </c>
      <c r="P2177" s="16">
        <f t="shared" si="4"/>
        <v>0</v>
      </c>
    </row>
    <row r="2178" ht="15.75" customHeight="1">
      <c r="A2178" s="14">
        <v>39574.0</v>
      </c>
      <c r="B2178" s="15">
        <v>2.38</v>
      </c>
      <c r="C2178" s="15"/>
      <c r="D2178" s="15">
        <v>6.68</v>
      </c>
      <c r="E2178" s="15"/>
      <c r="F2178" s="15" t="str">
        <f t="shared" si="1"/>
        <v/>
      </c>
      <c r="G2178" s="15">
        <f t="shared" si="2"/>
        <v>6.68</v>
      </c>
      <c r="H2178" s="16">
        <v>1.0</v>
      </c>
      <c r="I2178" s="15">
        <f t="shared" si="3"/>
        <v>4.3</v>
      </c>
      <c r="J2178" s="15">
        <v>18.21</v>
      </c>
      <c r="K2178" s="16">
        <f>IF(COUNTIFS(Release_Calendar!$A$2:$A$755,"US_CPI",Release_Calendar!$B$2:$B$755,$A2178)&gt;0,1,0)</f>
        <v>0</v>
      </c>
      <c r="L2178" s="16">
        <f>IF(COUNTIFS(Release_Calendar!$A$2:$A$755,"US_NFP",Release_Calendar!$B$2:$B$755,$A2178)&gt;0,1,0)</f>
        <v>0</v>
      </c>
      <c r="M2178" s="16" t="str">
        <f>IF($A2178&lt;Notes!$B$5,"",IF(COUNTIFS(Release_Calendar!$A$2:$A$755,"NZ_CPI",Release_Calendar!$B$2:$B$755,$A2178)&gt;0,1,0))</f>
        <v/>
      </c>
      <c r="N2178" s="16" t="str">
        <f>IF($A2178&lt;Notes!$B$5,"",IF(COUNTIFS(Release_Calendar!$A$2:$A$755,"NZ_GDP",Release_Calendar!$B$2:$B$755,$A2178)&gt;0,1,0))</f>
        <v/>
      </c>
      <c r="O2178" s="16" t="str">
        <f>IF($A2178&lt;Notes!$B$5,"",IF(COUNTIFS(Release_Calendar!$A$2:$A$755,"NZ_LABOUR",Release_Calendar!$B$2:$B$755,$A2178)&gt;0,1,0))</f>
        <v/>
      </c>
      <c r="P2178" s="16">
        <f t="shared" si="4"/>
        <v>0</v>
      </c>
    </row>
    <row r="2179" ht="15.75" customHeight="1">
      <c r="A2179" s="14">
        <v>39575.0</v>
      </c>
      <c r="B2179" s="15">
        <v>2.31</v>
      </c>
      <c r="C2179" s="15"/>
      <c r="D2179" s="15">
        <v>6.66</v>
      </c>
      <c r="E2179" s="15"/>
      <c r="F2179" s="15" t="str">
        <f t="shared" si="1"/>
        <v/>
      </c>
      <c r="G2179" s="15">
        <f t="shared" si="2"/>
        <v>6.66</v>
      </c>
      <c r="H2179" s="16">
        <v>1.0</v>
      </c>
      <c r="I2179" s="15">
        <f t="shared" si="3"/>
        <v>4.35</v>
      </c>
      <c r="J2179" s="15">
        <v>19.73</v>
      </c>
      <c r="K2179" s="16">
        <f>IF(COUNTIFS(Release_Calendar!$A$2:$A$755,"US_CPI",Release_Calendar!$B$2:$B$755,$A2179)&gt;0,1,0)</f>
        <v>0</v>
      </c>
      <c r="L2179" s="16">
        <f>IF(COUNTIFS(Release_Calendar!$A$2:$A$755,"US_NFP",Release_Calendar!$B$2:$B$755,$A2179)&gt;0,1,0)</f>
        <v>0</v>
      </c>
      <c r="M2179" s="16" t="str">
        <f>IF($A2179&lt;Notes!$B$5,"",IF(COUNTIFS(Release_Calendar!$A$2:$A$755,"NZ_CPI",Release_Calendar!$B$2:$B$755,$A2179)&gt;0,1,0))</f>
        <v/>
      </c>
      <c r="N2179" s="16" t="str">
        <f>IF($A2179&lt;Notes!$B$5,"",IF(COUNTIFS(Release_Calendar!$A$2:$A$755,"NZ_GDP",Release_Calendar!$B$2:$B$755,$A2179)&gt;0,1,0))</f>
        <v/>
      </c>
      <c r="O2179" s="16" t="str">
        <f>IF($A2179&lt;Notes!$B$5,"",IF(COUNTIFS(Release_Calendar!$A$2:$A$755,"NZ_LABOUR",Release_Calendar!$B$2:$B$755,$A2179)&gt;0,1,0))</f>
        <v/>
      </c>
      <c r="P2179" s="16">
        <f t="shared" si="4"/>
        <v>0</v>
      </c>
    </row>
    <row r="2180" ht="15.75" customHeight="1">
      <c r="A2180" s="14">
        <v>39576.0</v>
      </c>
      <c r="B2180" s="15">
        <v>2.25</v>
      </c>
      <c r="C2180" s="15"/>
      <c r="D2180" s="15">
        <v>6.58</v>
      </c>
      <c r="E2180" s="15"/>
      <c r="F2180" s="15" t="str">
        <f t="shared" si="1"/>
        <v/>
      </c>
      <c r="G2180" s="15">
        <f t="shared" si="2"/>
        <v>6.58</v>
      </c>
      <c r="H2180" s="16">
        <v>1.0</v>
      </c>
      <c r="I2180" s="15">
        <f t="shared" si="3"/>
        <v>4.33</v>
      </c>
      <c r="J2180" s="15">
        <v>19.4</v>
      </c>
      <c r="K2180" s="16">
        <f>IF(COUNTIFS(Release_Calendar!$A$2:$A$755,"US_CPI",Release_Calendar!$B$2:$B$755,$A2180)&gt;0,1,0)</f>
        <v>0</v>
      </c>
      <c r="L2180" s="16">
        <f>IF(COUNTIFS(Release_Calendar!$A$2:$A$755,"US_NFP",Release_Calendar!$B$2:$B$755,$A2180)&gt;0,1,0)</f>
        <v>0</v>
      </c>
      <c r="M2180" s="16" t="str">
        <f>IF($A2180&lt;Notes!$B$5,"",IF(COUNTIFS(Release_Calendar!$A$2:$A$755,"NZ_CPI",Release_Calendar!$B$2:$B$755,$A2180)&gt;0,1,0))</f>
        <v/>
      </c>
      <c r="N2180" s="16" t="str">
        <f>IF($A2180&lt;Notes!$B$5,"",IF(COUNTIFS(Release_Calendar!$A$2:$A$755,"NZ_GDP",Release_Calendar!$B$2:$B$755,$A2180)&gt;0,1,0))</f>
        <v/>
      </c>
      <c r="O2180" s="16" t="str">
        <f>IF($A2180&lt;Notes!$B$5,"",IF(COUNTIFS(Release_Calendar!$A$2:$A$755,"NZ_LABOUR",Release_Calendar!$B$2:$B$755,$A2180)&gt;0,1,0))</f>
        <v/>
      </c>
      <c r="P2180" s="16">
        <f t="shared" si="4"/>
        <v>0</v>
      </c>
    </row>
    <row r="2181" ht="15.75" customHeight="1">
      <c r="A2181" s="14">
        <v>39577.0</v>
      </c>
      <c r="B2181" s="15">
        <v>2.25</v>
      </c>
      <c r="C2181" s="15"/>
      <c r="D2181" s="15">
        <v>6.49</v>
      </c>
      <c r="E2181" s="15"/>
      <c r="F2181" s="15" t="str">
        <f t="shared" si="1"/>
        <v/>
      </c>
      <c r="G2181" s="15">
        <f t="shared" si="2"/>
        <v>6.49</v>
      </c>
      <c r="H2181" s="16">
        <v>1.0</v>
      </c>
      <c r="I2181" s="15">
        <f t="shared" si="3"/>
        <v>4.24</v>
      </c>
      <c r="J2181" s="15">
        <v>19.41</v>
      </c>
      <c r="K2181" s="16">
        <f>IF(COUNTIFS(Release_Calendar!$A$2:$A$755,"US_CPI",Release_Calendar!$B$2:$B$755,$A2181)&gt;0,1,0)</f>
        <v>0</v>
      </c>
      <c r="L2181" s="16">
        <f>IF(COUNTIFS(Release_Calendar!$A$2:$A$755,"US_NFP",Release_Calendar!$B$2:$B$755,$A2181)&gt;0,1,0)</f>
        <v>0</v>
      </c>
      <c r="M2181" s="16" t="str">
        <f>IF($A2181&lt;Notes!$B$5,"",IF(COUNTIFS(Release_Calendar!$A$2:$A$755,"NZ_CPI",Release_Calendar!$B$2:$B$755,$A2181)&gt;0,1,0))</f>
        <v/>
      </c>
      <c r="N2181" s="16" t="str">
        <f>IF($A2181&lt;Notes!$B$5,"",IF(COUNTIFS(Release_Calendar!$A$2:$A$755,"NZ_GDP",Release_Calendar!$B$2:$B$755,$A2181)&gt;0,1,0))</f>
        <v/>
      </c>
      <c r="O2181" s="16" t="str">
        <f>IF($A2181&lt;Notes!$B$5,"",IF(COUNTIFS(Release_Calendar!$A$2:$A$755,"NZ_LABOUR",Release_Calendar!$B$2:$B$755,$A2181)&gt;0,1,0))</f>
        <v/>
      </c>
      <c r="P2181" s="16">
        <f t="shared" si="4"/>
        <v>0</v>
      </c>
    </row>
    <row r="2182" ht="15.75" customHeight="1">
      <c r="A2182" s="14">
        <v>39580.0</v>
      </c>
      <c r="B2182" s="15">
        <v>2.3</v>
      </c>
      <c r="C2182" s="15"/>
      <c r="D2182" s="15">
        <v>6.51</v>
      </c>
      <c r="E2182" s="15"/>
      <c r="F2182" s="15" t="str">
        <f t="shared" si="1"/>
        <v/>
      </c>
      <c r="G2182" s="15">
        <f t="shared" si="2"/>
        <v>6.51</v>
      </c>
      <c r="H2182" s="16">
        <v>1.0</v>
      </c>
      <c r="I2182" s="15">
        <f t="shared" si="3"/>
        <v>4.21</v>
      </c>
      <c r="J2182" s="15">
        <v>17.79</v>
      </c>
      <c r="K2182" s="16">
        <f>IF(COUNTIFS(Release_Calendar!$A$2:$A$755,"US_CPI",Release_Calendar!$B$2:$B$755,$A2182)&gt;0,1,0)</f>
        <v>0</v>
      </c>
      <c r="L2182" s="16">
        <f>IF(COUNTIFS(Release_Calendar!$A$2:$A$755,"US_NFP",Release_Calendar!$B$2:$B$755,$A2182)&gt;0,1,0)</f>
        <v>0</v>
      </c>
      <c r="M2182" s="16" t="str">
        <f>IF($A2182&lt;Notes!$B$5,"",IF(COUNTIFS(Release_Calendar!$A$2:$A$755,"NZ_CPI",Release_Calendar!$B$2:$B$755,$A2182)&gt;0,1,0))</f>
        <v/>
      </c>
      <c r="N2182" s="16" t="str">
        <f>IF($A2182&lt;Notes!$B$5,"",IF(COUNTIFS(Release_Calendar!$A$2:$A$755,"NZ_GDP",Release_Calendar!$B$2:$B$755,$A2182)&gt;0,1,0))</f>
        <v/>
      </c>
      <c r="O2182" s="16" t="str">
        <f>IF($A2182&lt;Notes!$B$5,"",IF(COUNTIFS(Release_Calendar!$A$2:$A$755,"NZ_LABOUR",Release_Calendar!$B$2:$B$755,$A2182)&gt;0,1,0))</f>
        <v/>
      </c>
      <c r="P2182" s="16">
        <f t="shared" si="4"/>
        <v>0</v>
      </c>
    </row>
    <row r="2183" ht="15.75" customHeight="1">
      <c r="A2183" s="14">
        <v>39581.0</v>
      </c>
      <c r="B2183" s="15">
        <v>2.47</v>
      </c>
      <c r="C2183" s="15"/>
      <c r="D2183" s="15">
        <v>6.5</v>
      </c>
      <c r="E2183" s="15"/>
      <c r="F2183" s="15" t="str">
        <f t="shared" si="1"/>
        <v/>
      </c>
      <c r="G2183" s="15">
        <f t="shared" si="2"/>
        <v>6.5</v>
      </c>
      <c r="H2183" s="16">
        <v>1.0</v>
      </c>
      <c r="I2183" s="15">
        <f t="shared" si="3"/>
        <v>4.03</v>
      </c>
      <c r="J2183" s="15">
        <v>17.98</v>
      </c>
      <c r="K2183" s="16">
        <f>IF(COUNTIFS(Release_Calendar!$A$2:$A$755,"US_CPI",Release_Calendar!$B$2:$B$755,$A2183)&gt;0,1,0)</f>
        <v>0</v>
      </c>
      <c r="L2183" s="16">
        <f>IF(COUNTIFS(Release_Calendar!$A$2:$A$755,"US_NFP",Release_Calendar!$B$2:$B$755,$A2183)&gt;0,1,0)</f>
        <v>0</v>
      </c>
      <c r="M2183" s="16" t="str">
        <f>IF($A2183&lt;Notes!$B$5,"",IF(COUNTIFS(Release_Calendar!$A$2:$A$755,"NZ_CPI",Release_Calendar!$B$2:$B$755,$A2183)&gt;0,1,0))</f>
        <v/>
      </c>
      <c r="N2183" s="16" t="str">
        <f>IF($A2183&lt;Notes!$B$5,"",IF(COUNTIFS(Release_Calendar!$A$2:$A$755,"NZ_GDP",Release_Calendar!$B$2:$B$755,$A2183)&gt;0,1,0))</f>
        <v/>
      </c>
      <c r="O2183" s="16" t="str">
        <f>IF($A2183&lt;Notes!$B$5,"",IF(COUNTIFS(Release_Calendar!$A$2:$A$755,"NZ_LABOUR",Release_Calendar!$B$2:$B$755,$A2183)&gt;0,1,0))</f>
        <v/>
      </c>
      <c r="P2183" s="16">
        <f t="shared" si="4"/>
        <v>0</v>
      </c>
    </row>
    <row r="2184" ht="15.75" customHeight="1">
      <c r="A2184" s="14">
        <v>39582.0</v>
      </c>
      <c r="B2184" s="15">
        <v>2.53</v>
      </c>
      <c r="C2184" s="15"/>
      <c r="D2184" s="15">
        <v>6.5</v>
      </c>
      <c r="E2184" s="15"/>
      <c r="F2184" s="15" t="str">
        <f t="shared" si="1"/>
        <v/>
      </c>
      <c r="G2184" s="15">
        <f t="shared" si="2"/>
        <v>6.5</v>
      </c>
      <c r="H2184" s="16">
        <v>1.0</v>
      </c>
      <c r="I2184" s="15">
        <f t="shared" si="3"/>
        <v>3.97</v>
      </c>
      <c r="J2184" s="15">
        <v>17.66</v>
      </c>
      <c r="K2184" s="16">
        <f>IF(COUNTIFS(Release_Calendar!$A$2:$A$755,"US_CPI",Release_Calendar!$B$2:$B$755,$A2184)&gt;0,1,0)</f>
        <v>1</v>
      </c>
      <c r="L2184" s="16">
        <f>IF(COUNTIFS(Release_Calendar!$A$2:$A$755,"US_NFP",Release_Calendar!$B$2:$B$755,$A2184)&gt;0,1,0)</f>
        <v>0</v>
      </c>
      <c r="M2184" s="16" t="str">
        <f>IF($A2184&lt;Notes!$B$5,"",IF(COUNTIFS(Release_Calendar!$A$2:$A$755,"NZ_CPI",Release_Calendar!$B$2:$B$755,$A2184)&gt;0,1,0))</f>
        <v/>
      </c>
      <c r="N2184" s="16" t="str">
        <f>IF($A2184&lt;Notes!$B$5,"",IF(COUNTIFS(Release_Calendar!$A$2:$A$755,"NZ_GDP",Release_Calendar!$B$2:$B$755,$A2184)&gt;0,1,0))</f>
        <v/>
      </c>
      <c r="O2184" s="16" t="str">
        <f>IF($A2184&lt;Notes!$B$5,"",IF(COUNTIFS(Release_Calendar!$A$2:$A$755,"NZ_LABOUR",Release_Calendar!$B$2:$B$755,$A2184)&gt;0,1,0))</f>
        <v/>
      </c>
      <c r="P2184" s="16">
        <f t="shared" si="4"/>
        <v>1</v>
      </c>
    </row>
    <row r="2185" ht="15.75" customHeight="1">
      <c r="A2185" s="14">
        <v>39583.0</v>
      </c>
      <c r="B2185" s="15">
        <v>2.45</v>
      </c>
      <c r="C2185" s="15"/>
      <c r="D2185" s="15">
        <v>6.48</v>
      </c>
      <c r="E2185" s="15"/>
      <c r="F2185" s="15" t="str">
        <f t="shared" si="1"/>
        <v/>
      </c>
      <c r="G2185" s="15">
        <f t="shared" si="2"/>
        <v>6.48</v>
      </c>
      <c r="H2185" s="16">
        <v>1.0</v>
      </c>
      <c r="I2185" s="15">
        <f t="shared" si="3"/>
        <v>4.03</v>
      </c>
      <c r="J2185" s="15">
        <v>16.3</v>
      </c>
      <c r="K2185" s="16">
        <f>IF(COUNTIFS(Release_Calendar!$A$2:$A$755,"US_CPI",Release_Calendar!$B$2:$B$755,$A2185)&gt;0,1,0)</f>
        <v>0</v>
      </c>
      <c r="L2185" s="16">
        <f>IF(COUNTIFS(Release_Calendar!$A$2:$A$755,"US_NFP",Release_Calendar!$B$2:$B$755,$A2185)&gt;0,1,0)</f>
        <v>0</v>
      </c>
      <c r="M2185" s="16" t="str">
        <f>IF($A2185&lt;Notes!$B$5,"",IF(COUNTIFS(Release_Calendar!$A$2:$A$755,"NZ_CPI",Release_Calendar!$B$2:$B$755,$A2185)&gt;0,1,0))</f>
        <v/>
      </c>
      <c r="N2185" s="16" t="str">
        <f>IF($A2185&lt;Notes!$B$5,"",IF(COUNTIFS(Release_Calendar!$A$2:$A$755,"NZ_GDP",Release_Calendar!$B$2:$B$755,$A2185)&gt;0,1,0))</f>
        <v/>
      </c>
      <c r="O2185" s="16" t="str">
        <f>IF($A2185&lt;Notes!$B$5,"",IF(COUNTIFS(Release_Calendar!$A$2:$A$755,"NZ_LABOUR",Release_Calendar!$B$2:$B$755,$A2185)&gt;0,1,0))</f>
        <v/>
      </c>
      <c r="P2185" s="16">
        <f t="shared" si="4"/>
        <v>0</v>
      </c>
    </row>
    <row r="2186" ht="15.75" customHeight="1">
      <c r="A2186" s="14">
        <v>39584.0</v>
      </c>
      <c r="B2186" s="15">
        <v>2.47</v>
      </c>
      <c r="C2186" s="15"/>
      <c r="D2186" s="15">
        <v>6.35</v>
      </c>
      <c r="E2186" s="15"/>
      <c r="F2186" s="15" t="str">
        <f t="shared" si="1"/>
        <v/>
      </c>
      <c r="G2186" s="15">
        <f t="shared" si="2"/>
        <v>6.35</v>
      </c>
      <c r="H2186" s="16">
        <v>1.0</v>
      </c>
      <c r="I2186" s="15">
        <f t="shared" si="3"/>
        <v>3.88</v>
      </c>
      <c r="J2186" s="15">
        <v>16.47</v>
      </c>
      <c r="K2186" s="16">
        <f>IF(COUNTIFS(Release_Calendar!$A$2:$A$755,"US_CPI",Release_Calendar!$B$2:$B$755,$A2186)&gt;0,1,0)</f>
        <v>0</v>
      </c>
      <c r="L2186" s="16">
        <f>IF(COUNTIFS(Release_Calendar!$A$2:$A$755,"US_NFP",Release_Calendar!$B$2:$B$755,$A2186)&gt;0,1,0)</f>
        <v>0</v>
      </c>
      <c r="M2186" s="16" t="str">
        <f>IF($A2186&lt;Notes!$B$5,"",IF(COUNTIFS(Release_Calendar!$A$2:$A$755,"NZ_CPI",Release_Calendar!$B$2:$B$755,$A2186)&gt;0,1,0))</f>
        <v/>
      </c>
      <c r="N2186" s="16" t="str">
        <f>IF($A2186&lt;Notes!$B$5,"",IF(COUNTIFS(Release_Calendar!$A$2:$A$755,"NZ_GDP",Release_Calendar!$B$2:$B$755,$A2186)&gt;0,1,0))</f>
        <v/>
      </c>
      <c r="O2186" s="16" t="str">
        <f>IF($A2186&lt;Notes!$B$5,"",IF(COUNTIFS(Release_Calendar!$A$2:$A$755,"NZ_LABOUR",Release_Calendar!$B$2:$B$755,$A2186)&gt;0,1,0))</f>
        <v/>
      </c>
      <c r="P2186" s="16">
        <f t="shared" si="4"/>
        <v>0</v>
      </c>
    </row>
    <row r="2187" ht="15.75" customHeight="1">
      <c r="A2187" s="14">
        <v>39587.0</v>
      </c>
      <c r="B2187" s="15">
        <v>2.42</v>
      </c>
      <c r="C2187" s="15"/>
      <c r="D2187" s="15">
        <v>6.41</v>
      </c>
      <c r="E2187" s="15"/>
      <c r="F2187" s="15" t="str">
        <f t="shared" si="1"/>
        <v/>
      </c>
      <c r="G2187" s="15">
        <f t="shared" si="2"/>
        <v>6.41</v>
      </c>
      <c r="H2187" s="16">
        <v>1.0</v>
      </c>
      <c r="I2187" s="15">
        <f t="shared" si="3"/>
        <v>3.99</v>
      </c>
      <c r="J2187" s="15">
        <v>17.01</v>
      </c>
      <c r="K2187" s="16">
        <f>IF(COUNTIFS(Release_Calendar!$A$2:$A$755,"US_CPI",Release_Calendar!$B$2:$B$755,$A2187)&gt;0,1,0)</f>
        <v>0</v>
      </c>
      <c r="L2187" s="16">
        <f>IF(COUNTIFS(Release_Calendar!$A$2:$A$755,"US_NFP",Release_Calendar!$B$2:$B$755,$A2187)&gt;0,1,0)</f>
        <v>0</v>
      </c>
      <c r="M2187" s="16" t="str">
        <f>IF($A2187&lt;Notes!$B$5,"",IF(COUNTIFS(Release_Calendar!$A$2:$A$755,"NZ_CPI",Release_Calendar!$B$2:$B$755,$A2187)&gt;0,1,0))</f>
        <v/>
      </c>
      <c r="N2187" s="16" t="str">
        <f>IF($A2187&lt;Notes!$B$5,"",IF(COUNTIFS(Release_Calendar!$A$2:$A$755,"NZ_GDP",Release_Calendar!$B$2:$B$755,$A2187)&gt;0,1,0))</f>
        <v/>
      </c>
      <c r="O2187" s="16" t="str">
        <f>IF($A2187&lt;Notes!$B$5,"",IF(COUNTIFS(Release_Calendar!$A$2:$A$755,"NZ_LABOUR",Release_Calendar!$B$2:$B$755,$A2187)&gt;0,1,0))</f>
        <v/>
      </c>
      <c r="P2187" s="16">
        <f t="shared" si="4"/>
        <v>0</v>
      </c>
    </row>
    <row r="2188" ht="15.75" customHeight="1">
      <c r="A2188" s="14">
        <v>39588.0</v>
      </c>
      <c r="B2188" s="15">
        <v>2.34</v>
      </c>
      <c r="C2188" s="15"/>
      <c r="D2188" s="15">
        <v>6.4</v>
      </c>
      <c r="E2188" s="15"/>
      <c r="F2188" s="15" t="str">
        <f t="shared" si="1"/>
        <v/>
      </c>
      <c r="G2188" s="15">
        <f t="shared" si="2"/>
        <v>6.4</v>
      </c>
      <c r="H2188" s="16">
        <v>1.0</v>
      </c>
      <c r="I2188" s="15">
        <f t="shared" si="3"/>
        <v>4.06</v>
      </c>
      <c r="J2188" s="15">
        <v>17.58</v>
      </c>
      <c r="K2188" s="16">
        <f>IF(COUNTIFS(Release_Calendar!$A$2:$A$755,"US_CPI",Release_Calendar!$B$2:$B$755,$A2188)&gt;0,1,0)</f>
        <v>0</v>
      </c>
      <c r="L2188" s="16">
        <f>IF(COUNTIFS(Release_Calendar!$A$2:$A$755,"US_NFP",Release_Calendar!$B$2:$B$755,$A2188)&gt;0,1,0)</f>
        <v>0</v>
      </c>
      <c r="M2188" s="16" t="str">
        <f>IF($A2188&lt;Notes!$B$5,"",IF(COUNTIFS(Release_Calendar!$A$2:$A$755,"NZ_CPI",Release_Calendar!$B$2:$B$755,$A2188)&gt;0,1,0))</f>
        <v/>
      </c>
      <c r="N2188" s="16" t="str">
        <f>IF($A2188&lt;Notes!$B$5,"",IF(COUNTIFS(Release_Calendar!$A$2:$A$755,"NZ_GDP",Release_Calendar!$B$2:$B$755,$A2188)&gt;0,1,0))</f>
        <v/>
      </c>
      <c r="O2188" s="16" t="str">
        <f>IF($A2188&lt;Notes!$B$5,"",IF(COUNTIFS(Release_Calendar!$A$2:$A$755,"NZ_LABOUR",Release_Calendar!$B$2:$B$755,$A2188)&gt;0,1,0))</f>
        <v/>
      </c>
      <c r="P2188" s="16">
        <f t="shared" si="4"/>
        <v>0</v>
      </c>
    </row>
    <row r="2189" ht="15.75" customHeight="1">
      <c r="A2189" s="14">
        <v>39589.0</v>
      </c>
      <c r="B2189" s="15">
        <v>2.41</v>
      </c>
      <c r="C2189" s="15"/>
      <c r="D2189" s="15">
        <v>6.42</v>
      </c>
      <c r="E2189" s="15"/>
      <c r="F2189" s="15" t="str">
        <f t="shared" si="1"/>
        <v/>
      </c>
      <c r="G2189" s="15">
        <f t="shared" si="2"/>
        <v>6.42</v>
      </c>
      <c r="H2189" s="16">
        <v>1.0</v>
      </c>
      <c r="I2189" s="15">
        <f t="shared" si="3"/>
        <v>4.01</v>
      </c>
      <c r="J2189" s="15">
        <v>18.59</v>
      </c>
      <c r="K2189" s="16">
        <f>IF(COUNTIFS(Release_Calendar!$A$2:$A$755,"US_CPI",Release_Calendar!$B$2:$B$755,$A2189)&gt;0,1,0)</f>
        <v>0</v>
      </c>
      <c r="L2189" s="16">
        <f>IF(COUNTIFS(Release_Calendar!$A$2:$A$755,"US_NFP",Release_Calendar!$B$2:$B$755,$A2189)&gt;0,1,0)</f>
        <v>0</v>
      </c>
      <c r="M2189" s="16" t="str">
        <f>IF($A2189&lt;Notes!$B$5,"",IF(COUNTIFS(Release_Calendar!$A$2:$A$755,"NZ_CPI",Release_Calendar!$B$2:$B$755,$A2189)&gt;0,1,0))</f>
        <v/>
      </c>
      <c r="N2189" s="16" t="str">
        <f>IF($A2189&lt;Notes!$B$5,"",IF(COUNTIFS(Release_Calendar!$A$2:$A$755,"NZ_GDP",Release_Calendar!$B$2:$B$755,$A2189)&gt;0,1,0))</f>
        <v/>
      </c>
      <c r="O2189" s="16" t="str">
        <f>IF($A2189&lt;Notes!$B$5,"",IF(COUNTIFS(Release_Calendar!$A$2:$A$755,"NZ_LABOUR",Release_Calendar!$B$2:$B$755,$A2189)&gt;0,1,0))</f>
        <v/>
      </c>
      <c r="P2189" s="16">
        <f t="shared" si="4"/>
        <v>0</v>
      </c>
    </row>
    <row r="2190" ht="15.75" customHeight="1">
      <c r="A2190" s="14">
        <v>39590.0</v>
      </c>
      <c r="B2190" s="15">
        <v>2.56</v>
      </c>
      <c r="C2190" s="15"/>
      <c r="D2190" s="15">
        <v>6.44</v>
      </c>
      <c r="E2190" s="15"/>
      <c r="F2190" s="15" t="str">
        <f t="shared" si="1"/>
        <v/>
      </c>
      <c r="G2190" s="15">
        <f t="shared" si="2"/>
        <v>6.44</v>
      </c>
      <c r="H2190" s="16">
        <v>1.0</v>
      </c>
      <c r="I2190" s="15">
        <f t="shared" si="3"/>
        <v>3.88</v>
      </c>
      <c r="J2190" s="15">
        <v>18.05</v>
      </c>
      <c r="K2190" s="16">
        <f>IF(COUNTIFS(Release_Calendar!$A$2:$A$755,"US_CPI",Release_Calendar!$B$2:$B$755,$A2190)&gt;0,1,0)</f>
        <v>0</v>
      </c>
      <c r="L2190" s="16">
        <f>IF(COUNTIFS(Release_Calendar!$A$2:$A$755,"US_NFP",Release_Calendar!$B$2:$B$755,$A2190)&gt;0,1,0)</f>
        <v>0</v>
      </c>
      <c r="M2190" s="16" t="str">
        <f>IF($A2190&lt;Notes!$B$5,"",IF(COUNTIFS(Release_Calendar!$A$2:$A$755,"NZ_CPI",Release_Calendar!$B$2:$B$755,$A2190)&gt;0,1,0))</f>
        <v/>
      </c>
      <c r="N2190" s="16" t="str">
        <f>IF($A2190&lt;Notes!$B$5,"",IF(COUNTIFS(Release_Calendar!$A$2:$A$755,"NZ_GDP",Release_Calendar!$B$2:$B$755,$A2190)&gt;0,1,0))</f>
        <v/>
      </c>
      <c r="O2190" s="16" t="str">
        <f>IF($A2190&lt;Notes!$B$5,"",IF(COUNTIFS(Release_Calendar!$A$2:$A$755,"NZ_LABOUR",Release_Calendar!$B$2:$B$755,$A2190)&gt;0,1,0))</f>
        <v/>
      </c>
      <c r="P2190" s="16">
        <f t="shared" si="4"/>
        <v>0</v>
      </c>
    </row>
    <row r="2191" ht="15.75" customHeight="1">
      <c r="A2191" s="14">
        <v>39591.0</v>
      </c>
      <c r="B2191" s="15">
        <v>2.46</v>
      </c>
      <c r="C2191" s="15"/>
      <c r="D2191" s="15">
        <v>6.84</v>
      </c>
      <c r="E2191" s="15"/>
      <c r="F2191" s="15" t="str">
        <f t="shared" si="1"/>
        <v/>
      </c>
      <c r="G2191" s="15">
        <f t="shared" si="2"/>
        <v>6.84</v>
      </c>
      <c r="H2191" s="16">
        <v>1.0</v>
      </c>
      <c r="I2191" s="15">
        <f t="shared" si="3"/>
        <v>4.38</v>
      </c>
      <c r="J2191" s="15">
        <v>19.55</v>
      </c>
      <c r="K2191" s="16">
        <f>IF(COUNTIFS(Release_Calendar!$A$2:$A$755,"US_CPI",Release_Calendar!$B$2:$B$755,$A2191)&gt;0,1,0)</f>
        <v>0</v>
      </c>
      <c r="L2191" s="16">
        <f>IF(COUNTIFS(Release_Calendar!$A$2:$A$755,"US_NFP",Release_Calendar!$B$2:$B$755,$A2191)&gt;0,1,0)</f>
        <v>0</v>
      </c>
      <c r="M2191" s="16" t="str">
        <f>IF($A2191&lt;Notes!$B$5,"",IF(COUNTIFS(Release_Calendar!$A$2:$A$755,"NZ_CPI",Release_Calendar!$B$2:$B$755,$A2191)&gt;0,1,0))</f>
        <v/>
      </c>
      <c r="N2191" s="16" t="str">
        <f>IF($A2191&lt;Notes!$B$5,"",IF(COUNTIFS(Release_Calendar!$A$2:$A$755,"NZ_GDP",Release_Calendar!$B$2:$B$755,$A2191)&gt;0,1,0))</f>
        <v/>
      </c>
      <c r="O2191" s="16" t="str">
        <f>IF($A2191&lt;Notes!$B$5,"",IF(COUNTIFS(Release_Calendar!$A$2:$A$755,"NZ_LABOUR",Release_Calendar!$B$2:$B$755,$A2191)&gt;0,1,0))</f>
        <v/>
      </c>
      <c r="P2191" s="16">
        <f t="shared" si="4"/>
        <v>0</v>
      </c>
    </row>
    <row r="2192" ht="15.75" customHeight="1">
      <c r="A2192" s="14">
        <v>39594.0</v>
      </c>
      <c r="B2192" s="15"/>
      <c r="C2192" s="15"/>
      <c r="D2192" s="15">
        <v>6.81</v>
      </c>
      <c r="E2192" s="15"/>
      <c r="F2192" s="15" t="str">
        <f t="shared" si="1"/>
        <v/>
      </c>
      <c r="G2192" s="15">
        <f t="shared" si="2"/>
        <v>6.81</v>
      </c>
      <c r="H2192" s="16">
        <v>1.0</v>
      </c>
      <c r="I2192" s="15" t="str">
        <f t="shared" si="3"/>
        <v/>
      </c>
      <c r="J2192" s="15"/>
      <c r="K2192" s="16">
        <f>IF(COUNTIFS(Release_Calendar!$A$2:$A$755,"US_CPI",Release_Calendar!$B$2:$B$755,$A2192)&gt;0,1,0)</f>
        <v>0</v>
      </c>
      <c r="L2192" s="16">
        <f>IF(COUNTIFS(Release_Calendar!$A$2:$A$755,"US_NFP",Release_Calendar!$B$2:$B$755,$A2192)&gt;0,1,0)</f>
        <v>0</v>
      </c>
      <c r="M2192" s="16" t="str">
        <f>IF($A2192&lt;Notes!$B$5,"",IF(COUNTIFS(Release_Calendar!$A$2:$A$755,"NZ_CPI",Release_Calendar!$B$2:$B$755,$A2192)&gt;0,1,0))</f>
        <v/>
      </c>
      <c r="N2192" s="16" t="str">
        <f>IF($A2192&lt;Notes!$B$5,"",IF(COUNTIFS(Release_Calendar!$A$2:$A$755,"NZ_GDP",Release_Calendar!$B$2:$B$755,$A2192)&gt;0,1,0))</f>
        <v/>
      </c>
      <c r="O2192" s="16" t="str">
        <f>IF($A2192&lt;Notes!$B$5,"",IF(COUNTIFS(Release_Calendar!$A$2:$A$755,"NZ_LABOUR",Release_Calendar!$B$2:$B$755,$A2192)&gt;0,1,0))</f>
        <v/>
      </c>
      <c r="P2192" s="16">
        <f t="shared" si="4"/>
        <v>0</v>
      </c>
    </row>
    <row r="2193" ht="15.75" customHeight="1">
      <c r="A2193" s="14">
        <v>39595.0</v>
      </c>
      <c r="B2193" s="15">
        <v>2.55</v>
      </c>
      <c r="C2193" s="15"/>
      <c r="D2193" s="15">
        <v>6.8</v>
      </c>
      <c r="E2193" s="15"/>
      <c r="F2193" s="15" t="str">
        <f t="shared" si="1"/>
        <v/>
      </c>
      <c r="G2193" s="15">
        <f t="shared" si="2"/>
        <v>6.8</v>
      </c>
      <c r="H2193" s="16">
        <v>1.0</v>
      </c>
      <c r="I2193" s="15">
        <f t="shared" si="3"/>
        <v>4.25</v>
      </c>
      <c r="J2193" s="15">
        <v>19.64</v>
      </c>
      <c r="K2193" s="16">
        <f>IF(COUNTIFS(Release_Calendar!$A$2:$A$755,"US_CPI",Release_Calendar!$B$2:$B$755,$A2193)&gt;0,1,0)</f>
        <v>0</v>
      </c>
      <c r="L2193" s="16">
        <f>IF(COUNTIFS(Release_Calendar!$A$2:$A$755,"US_NFP",Release_Calendar!$B$2:$B$755,$A2193)&gt;0,1,0)</f>
        <v>0</v>
      </c>
      <c r="M2193" s="16" t="str">
        <f>IF($A2193&lt;Notes!$B$5,"",IF(COUNTIFS(Release_Calendar!$A$2:$A$755,"NZ_CPI",Release_Calendar!$B$2:$B$755,$A2193)&gt;0,1,0))</f>
        <v/>
      </c>
      <c r="N2193" s="16" t="str">
        <f>IF($A2193&lt;Notes!$B$5,"",IF(COUNTIFS(Release_Calendar!$A$2:$A$755,"NZ_GDP",Release_Calendar!$B$2:$B$755,$A2193)&gt;0,1,0))</f>
        <v/>
      </c>
      <c r="O2193" s="16" t="str">
        <f>IF($A2193&lt;Notes!$B$5,"",IF(COUNTIFS(Release_Calendar!$A$2:$A$755,"NZ_LABOUR",Release_Calendar!$B$2:$B$755,$A2193)&gt;0,1,0))</f>
        <v/>
      </c>
      <c r="P2193" s="16">
        <f t="shared" si="4"/>
        <v>0</v>
      </c>
    </row>
    <row r="2194" ht="15.75" customHeight="1">
      <c r="A2194" s="14">
        <v>39596.0</v>
      </c>
      <c r="B2194" s="15">
        <v>2.62</v>
      </c>
      <c r="C2194" s="15"/>
      <c r="D2194" s="15">
        <v>6.69</v>
      </c>
      <c r="E2194" s="15"/>
      <c r="F2194" s="15" t="str">
        <f t="shared" si="1"/>
        <v/>
      </c>
      <c r="G2194" s="15">
        <f t="shared" si="2"/>
        <v>6.69</v>
      </c>
      <c r="H2194" s="16">
        <v>1.0</v>
      </c>
      <c r="I2194" s="15">
        <f t="shared" si="3"/>
        <v>4.07</v>
      </c>
      <c r="J2194" s="15">
        <v>19.07</v>
      </c>
      <c r="K2194" s="16">
        <f>IF(COUNTIFS(Release_Calendar!$A$2:$A$755,"US_CPI",Release_Calendar!$B$2:$B$755,$A2194)&gt;0,1,0)</f>
        <v>0</v>
      </c>
      <c r="L2194" s="16">
        <f>IF(COUNTIFS(Release_Calendar!$A$2:$A$755,"US_NFP",Release_Calendar!$B$2:$B$755,$A2194)&gt;0,1,0)</f>
        <v>0</v>
      </c>
      <c r="M2194" s="16" t="str">
        <f>IF($A2194&lt;Notes!$B$5,"",IF(COUNTIFS(Release_Calendar!$A$2:$A$755,"NZ_CPI",Release_Calendar!$B$2:$B$755,$A2194)&gt;0,1,0))</f>
        <v/>
      </c>
      <c r="N2194" s="16" t="str">
        <f>IF($A2194&lt;Notes!$B$5,"",IF(COUNTIFS(Release_Calendar!$A$2:$A$755,"NZ_GDP",Release_Calendar!$B$2:$B$755,$A2194)&gt;0,1,0))</f>
        <v/>
      </c>
      <c r="O2194" s="16" t="str">
        <f>IF($A2194&lt;Notes!$B$5,"",IF(COUNTIFS(Release_Calendar!$A$2:$A$755,"NZ_LABOUR",Release_Calendar!$B$2:$B$755,$A2194)&gt;0,1,0))</f>
        <v/>
      </c>
      <c r="P2194" s="16">
        <f t="shared" si="4"/>
        <v>0</v>
      </c>
    </row>
    <row r="2195" ht="15.75" customHeight="1">
      <c r="A2195" s="14">
        <v>39597.0</v>
      </c>
      <c r="B2195" s="15">
        <v>2.67</v>
      </c>
      <c r="C2195" s="15"/>
      <c r="D2195" s="15">
        <v>6.69</v>
      </c>
      <c r="E2195" s="15"/>
      <c r="F2195" s="15" t="str">
        <f t="shared" si="1"/>
        <v/>
      </c>
      <c r="G2195" s="15">
        <f t="shared" si="2"/>
        <v>6.69</v>
      </c>
      <c r="H2195" s="16">
        <v>1.0</v>
      </c>
      <c r="I2195" s="15">
        <f t="shared" si="3"/>
        <v>4.02</v>
      </c>
      <c r="J2195" s="15">
        <v>18.14</v>
      </c>
      <c r="K2195" s="16">
        <f>IF(COUNTIFS(Release_Calendar!$A$2:$A$755,"US_CPI",Release_Calendar!$B$2:$B$755,$A2195)&gt;0,1,0)</f>
        <v>0</v>
      </c>
      <c r="L2195" s="16">
        <f>IF(COUNTIFS(Release_Calendar!$A$2:$A$755,"US_NFP",Release_Calendar!$B$2:$B$755,$A2195)&gt;0,1,0)</f>
        <v>0</v>
      </c>
      <c r="M2195" s="16" t="str">
        <f>IF($A2195&lt;Notes!$B$5,"",IF(COUNTIFS(Release_Calendar!$A$2:$A$755,"NZ_CPI",Release_Calendar!$B$2:$B$755,$A2195)&gt;0,1,0))</f>
        <v/>
      </c>
      <c r="N2195" s="16" t="str">
        <f>IF($A2195&lt;Notes!$B$5,"",IF(COUNTIFS(Release_Calendar!$A$2:$A$755,"NZ_GDP",Release_Calendar!$B$2:$B$755,$A2195)&gt;0,1,0))</f>
        <v/>
      </c>
      <c r="O2195" s="16" t="str">
        <f>IF($A2195&lt;Notes!$B$5,"",IF(COUNTIFS(Release_Calendar!$A$2:$A$755,"NZ_LABOUR",Release_Calendar!$B$2:$B$755,$A2195)&gt;0,1,0))</f>
        <v/>
      </c>
      <c r="P2195" s="16">
        <f t="shared" si="4"/>
        <v>0</v>
      </c>
    </row>
    <row r="2196" ht="15.75" customHeight="1">
      <c r="A2196" s="14">
        <v>39598.0</v>
      </c>
      <c r="B2196" s="15">
        <v>2.66</v>
      </c>
      <c r="C2196" s="15"/>
      <c r="D2196" s="15">
        <v>6.7</v>
      </c>
      <c r="E2196" s="15"/>
      <c r="F2196" s="15" t="str">
        <f t="shared" si="1"/>
        <v/>
      </c>
      <c r="G2196" s="15">
        <f t="shared" si="2"/>
        <v>6.7</v>
      </c>
      <c r="H2196" s="16">
        <v>1.0</v>
      </c>
      <c r="I2196" s="15">
        <f t="shared" si="3"/>
        <v>4.04</v>
      </c>
      <c r="J2196" s="15">
        <v>17.83</v>
      </c>
      <c r="K2196" s="16">
        <f>IF(COUNTIFS(Release_Calendar!$A$2:$A$755,"US_CPI",Release_Calendar!$B$2:$B$755,$A2196)&gt;0,1,0)</f>
        <v>0</v>
      </c>
      <c r="L2196" s="16">
        <f>IF(COUNTIFS(Release_Calendar!$A$2:$A$755,"US_NFP",Release_Calendar!$B$2:$B$755,$A2196)&gt;0,1,0)</f>
        <v>0</v>
      </c>
      <c r="M2196" s="16" t="str">
        <f>IF($A2196&lt;Notes!$B$5,"",IF(COUNTIFS(Release_Calendar!$A$2:$A$755,"NZ_CPI",Release_Calendar!$B$2:$B$755,$A2196)&gt;0,1,0))</f>
        <v/>
      </c>
      <c r="N2196" s="16" t="str">
        <f>IF($A2196&lt;Notes!$B$5,"",IF(COUNTIFS(Release_Calendar!$A$2:$A$755,"NZ_GDP",Release_Calendar!$B$2:$B$755,$A2196)&gt;0,1,0))</f>
        <v/>
      </c>
      <c r="O2196" s="16" t="str">
        <f>IF($A2196&lt;Notes!$B$5,"",IF(COUNTIFS(Release_Calendar!$A$2:$A$755,"NZ_LABOUR",Release_Calendar!$B$2:$B$755,$A2196)&gt;0,1,0))</f>
        <v/>
      </c>
      <c r="P2196" s="16">
        <f t="shared" si="4"/>
        <v>0</v>
      </c>
    </row>
    <row r="2197" ht="15.75" customHeight="1">
      <c r="A2197" s="14">
        <v>39601.0</v>
      </c>
      <c r="B2197" s="15">
        <v>2.51</v>
      </c>
      <c r="C2197" s="15"/>
      <c r="D2197" s="15"/>
      <c r="E2197" s="15"/>
      <c r="F2197" s="15" t="str">
        <f t="shared" si="1"/>
        <v/>
      </c>
      <c r="G2197" s="15" t="str">
        <f t="shared" si="2"/>
        <v/>
      </c>
      <c r="H2197" s="16">
        <v>1.0</v>
      </c>
      <c r="I2197" s="15" t="str">
        <f t="shared" si="3"/>
        <v/>
      </c>
      <c r="J2197" s="15">
        <v>19.83</v>
      </c>
      <c r="K2197" s="16">
        <f>IF(COUNTIFS(Release_Calendar!$A$2:$A$755,"US_CPI",Release_Calendar!$B$2:$B$755,$A2197)&gt;0,1,0)</f>
        <v>0</v>
      </c>
      <c r="L2197" s="16">
        <f>IF(COUNTIFS(Release_Calendar!$A$2:$A$755,"US_NFP",Release_Calendar!$B$2:$B$755,$A2197)&gt;0,1,0)</f>
        <v>0</v>
      </c>
      <c r="M2197" s="16" t="str">
        <f>IF($A2197&lt;Notes!$B$5,"",IF(COUNTIFS(Release_Calendar!$A$2:$A$755,"NZ_CPI",Release_Calendar!$B$2:$B$755,$A2197)&gt;0,1,0))</f>
        <v/>
      </c>
      <c r="N2197" s="16" t="str">
        <f>IF($A2197&lt;Notes!$B$5,"",IF(COUNTIFS(Release_Calendar!$A$2:$A$755,"NZ_GDP",Release_Calendar!$B$2:$B$755,$A2197)&gt;0,1,0))</f>
        <v/>
      </c>
      <c r="O2197" s="16" t="str">
        <f>IF($A2197&lt;Notes!$B$5,"",IF(COUNTIFS(Release_Calendar!$A$2:$A$755,"NZ_LABOUR",Release_Calendar!$B$2:$B$755,$A2197)&gt;0,1,0))</f>
        <v/>
      </c>
      <c r="P2197" s="16">
        <f t="shared" si="4"/>
        <v>0</v>
      </c>
    </row>
    <row r="2198" ht="15.75" customHeight="1">
      <c r="A2198" s="14">
        <v>39602.0</v>
      </c>
      <c r="B2198" s="15">
        <v>2.45</v>
      </c>
      <c r="C2198" s="15"/>
      <c r="D2198" s="15">
        <v>6.71</v>
      </c>
      <c r="E2198" s="15"/>
      <c r="F2198" s="15" t="str">
        <f t="shared" si="1"/>
        <v/>
      </c>
      <c r="G2198" s="15">
        <f t="shared" si="2"/>
        <v>6.71</v>
      </c>
      <c r="H2198" s="16">
        <v>1.0</v>
      </c>
      <c r="I2198" s="15">
        <f t="shared" si="3"/>
        <v>4.26</v>
      </c>
      <c r="J2198" s="15">
        <v>20.24</v>
      </c>
      <c r="K2198" s="16">
        <f>IF(COUNTIFS(Release_Calendar!$A$2:$A$755,"US_CPI",Release_Calendar!$B$2:$B$755,$A2198)&gt;0,1,0)</f>
        <v>0</v>
      </c>
      <c r="L2198" s="16">
        <f>IF(COUNTIFS(Release_Calendar!$A$2:$A$755,"US_NFP",Release_Calendar!$B$2:$B$755,$A2198)&gt;0,1,0)</f>
        <v>0</v>
      </c>
      <c r="M2198" s="16" t="str">
        <f>IF($A2198&lt;Notes!$B$5,"",IF(COUNTIFS(Release_Calendar!$A$2:$A$755,"NZ_CPI",Release_Calendar!$B$2:$B$755,$A2198)&gt;0,1,0))</f>
        <v/>
      </c>
      <c r="N2198" s="16" t="str">
        <f>IF($A2198&lt;Notes!$B$5,"",IF(COUNTIFS(Release_Calendar!$A$2:$A$755,"NZ_GDP",Release_Calendar!$B$2:$B$755,$A2198)&gt;0,1,0))</f>
        <v/>
      </c>
      <c r="O2198" s="16" t="str">
        <f>IF($A2198&lt;Notes!$B$5,"",IF(COUNTIFS(Release_Calendar!$A$2:$A$755,"NZ_LABOUR",Release_Calendar!$B$2:$B$755,$A2198)&gt;0,1,0))</f>
        <v/>
      </c>
      <c r="P2198" s="16">
        <f t="shared" si="4"/>
        <v>0</v>
      </c>
    </row>
    <row r="2199" ht="15.75" customHeight="1">
      <c r="A2199" s="14">
        <v>39603.0</v>
      </c>
      <c r="B2199" s="15">
        <v>2.47</v>
      </c>
      <c r="C2199" s="15"/>
      <c r="D2199" s="15">
        <v>6.71</v>
      </c>
      <c r="E2199" s="15"/>
      <c r="F2199" s="15" t="str">
        <f t="shared" si="1"/>
        <v/>
      </c>
      <c r="G2199" s="15">
        <f t="shared" si="2"/>
        <v>6.71</v>
      </c>
      <c r="H2199" s="16">
        <v>1.0</v>
      </c>
      <c r="I2199" s="15">
        <f t="shared" si="3"/>
        <v>4.24</v>
      </c>
      <c r="J2199" s="15">
        <v>20.8</v>
      </c>
      <c r="K2199" s="16">
        <f>IF(COUNTIFS(Release_Calendar!$A$2:$A$755,"US_CPI",Release_Calendar!$B$2:$B$755,$A2199)&gt;0,1,0)</f>
        <v>0</v>
      </c>
      <c r="L2199" s="16">
        <f>IF(COUNTIFS(Release_Calendar!$A$2:$A$755,"US_NFP",Release_Calendar!$B$2:$B$755,$A2199)&gt;0,1,0)</f>
        <v>0</v>
      </c>
      <c r="M2199" s="16" t="str">
        <f>IF($A2199&lt;Notes!$B$5,"",IF(COUNTIFS(Release_Calendar!$A$2:$A$755,"NZ_CPI",Release_Calendar!$B$2:$B$755,$A2199)&gt;0,1,0))</f>
        <v/>
      </c>
      <c r="N2199" s="16" t="str">
        <f>IF($A2199&lt;Notes!$B$5,"",IF(COUNTIFS(Release_Calendar!$A$2:$A$755,"NZ_GDP",Release_Calendar!$B$2:$B$755,$A2199)&gt;0,1,0))</f>
        <v/>
      </c>
      <c r="O2199" s="16" t="str">
        <f>IF($A2199&lt;Notes!$B$5,"",IF(COUNTIFS(Release_Calendar!$A$2:$A$755,"NZ_LABOUR",Release_Calendar!$B$2:$B$755,$A2199)&gt;0,1,0))</f>
        <v/>
      </c>
      <c r="P2199" s="16">
        <f t="shared" si="4"/>
        <v>0</v>
      </c>
    </row>
    <row r="2200" ht="15.75" customHeight="1">
      <c r="A2200" s="14">
        <v>39604.0</v>
      </c>
      <c r="B2200" s="15">
        <v>2.52</v>
      </c>
      <c r="C2200" s="15"/>
      <c r="D2200" s="15">
        <v>6.61</v>
      </c>
      <c r="E2200" s="15"/>
      <c r="F2200" s="15" t="str">
        <f t="shared" si="1"/>
        <v/>
      </c>
      <c r="G2200" s="15">
        <f t="shared" si="2"/>
        <v>6.61</v>
      </c>
      <c r="H2200" s="16">
        <v>1.0</v>
      </c>
      <c r="I2200" s="15">
        <f t="shared" si="3"/>
        <v>4.09</v>
      </c>
      <c r="J2200" s="15">
        <v>18.63</v>
      </c>
      <c r="K2200" s="16">
        <f>IF(COUNTIFS(Release_Calendar!$A$2:$A$755,"US_CPI",Release_Calendar!$B$2:$B$755,$A2200)&gt;0,1,0)</f>
        <v>0</v>
      </c>
      <c r="L2200" s="16">
        <f>IF(COUNTIFS(Release_Calendar!$A$2:$A$755,"US_NFP",Release_Calendar!$B$2:$B$755,$A2200)&gt;0,1,0)</f>
        <v>0</v>
      </c>
      <c r="M2200" s="16" t="str">
        <f>IF($A2200&lt;Notes!$B$5,"",IF(COUNTIFS(Release_Calendar!$A$2:$A$755,"NZ_CPI",Release_Calendar!$B$2:$B$755,$A2200)&gt;0,1,0))</f>
        <v/>
      </c>
      <c r="N2200" s="16" t="str">
        <f>IF($A2200&lt;Notes!$B$5,"",IF(COUNTIFS(Release_Calendar!$A$2:$A$755,"NZ_GDP",Release_Calendar!$B$2:$B$755,$A2200)&gt;0,1,0))</f>
        <v/>
      </c>
      <c r="O2200" s="16" t="str">
        <f>IF($A2200&lt;Notes!$B$5,"",IF(COUNTIFS(Release_Calendar!$A$2:$A$755,"NZ_LABOUR",Release_Calendar!$B$2:$B$755,$A2200)&gt;0,1,0))</f>
        <v/>
      </c>
      <c r="P2200" s="16">
        <f t="shared" si="4"/>
        <v>0</v>
      </c>
    </row>
    <row r="2201" ht="15.75" customHeight="1">
      <c r="A2201" s="14">
        <v>39605.0</v>
      </c>
      <c r="B2201" s="15">
        <v>2.4</v>
      </c>
      <c r="C2201" s="15"/>
      <c r="D2201" s="15">
        <v>6.55</v>
      </c>
      <c r="E2201" s="15"/>
      <c r="F2201" s="15" t="str">
        <f t="shared" si="1"/>
        <v/>
      </c>
      <c r="G2201" s="15">
        <f t="shared" si="2"/>
        <v>6.55</v>
      </c>
      <c r="H2201" s="16">
        <v>1.0</v>
      </c>
      <c r="I2201" s="15">
        <f t="shared" si="3"/>
        <v>4.15</v>
      </c>
      <c r="J2201" s="15">
        <v>23.56</v>
      </c>
      <c r="K2201" s="16">
        <f>IF(COUNTIFS(Release_Calendar!$A$2:$A$755,"US_CPI",Release_Calendar!$B$2:$B$755,$A2201)&gt;0,1,0)</f>
        <v>0</v>
      </c>
      <c r="L2201" s="16">
        <f>IF(COUNTIFS(Release_Calendar!$A$2:$A$755,"US_NFP",Release_Calendar!$B$2:$B$755,$A2201)&gt;0,1,0)</f>
        <v>1</v>
      </c>
      <c r="M2201" s="16" t="str">
        <f>IF($A2201&lt;Notes!$B$5,"",IF(COUNTIFS(Release_Calendar!$A$2:$A$755,"NZ_CPI",Release_Calendar!$B$2:$B$755,$A2201)&gt;0,1,0))</f>
        <v/>
      </c>
      <c r="N2201" s="16" t="str">
        <f>IF($A2201&lt;Notes!$B$5,"",IF(COUNTIFS(Release_Calendar!$A$2:$A$755,"NZ_GDP",Release_Calendar!$B$2:$B$755,$A2201)&gt;0,1,0))</f>
        <v/>
      </c>
      <c r="O2201" s="16" t="str">
        <f>IF($A2201&lt;Notes!$B$5,"",IF(COUNTIFS(Release_Calendar!$A$2:$A$755,"NZ_LABOUR",Release_Calendar!$B$2:$B$755,$A2201)&gt;0,1,0))</f>
        <v/>
      </c>
      <c r="P2201" s="16">
        <f t="shared" si="4"/>
        <v>1</v>
      </c>
    </row>
    <row r="2202" ht="15.75" customHeight="1">
      <c r="A2202" s="14">
        <v>39608.0</v>
      </c>
      <c r="B2202" s="15">
        <v>2.73</v>
      </c>
      <c r="C2202" s="15"/>
      <c r="D2202" s="15">
        <v>6.59</v>
      </c>
      <c r="E2202" s="15"/>
      <c r="F2202" s="15" t="str">
        <f t="shared" si="1"/>
        <v/>
      </c>
      <c r="G2202" s="15">
        <f t="shared" si="2"/>
        <v>6.59</v>
      </c>
      <c r="H2202" s="16">
        <v>1.0</v>
      </c>
      <c r="I2202" s="15">
        <f t="shared" si="3"/>
        <v>3.86</v>
      </c>
      <c r="J2202" s="15">
        <v>23.12</v>
      </c>
      <c r="K2202" s="16">
        <f>IF(COUNTIFS(Release_Calendar!$A$2:$A$755,"US_CPI",Release_Calendar!$B$2:$B$755,$A2202)&gt;0,1,0)</f>
        <v>0</v>
      </c>
      <c r="L2202" s="16">
        <f>IF(COUNTIFS(Release_Calendar!$A$2:$A$755,"US_NFP",Release_Calendar!$B$2:$B$755,$A2202)&gt;0,1,0)</f>
        <v>0</v>
      </c>
      <c r="M2202" s="16" t="str">
        <f>IF($A2202&lt;Notes!$B$5,"",IF(COUNTIFS(Release_Calendar!$A$2:$A$755,"NZ_CPI",Release_Calendar!$B$2:$B$755,$A2202)&gt;0,1,0))</f>
        <v/>
      </c>
      <c r="N2202" s="16" t="str">
        <f>IF($A2202&lt;Notes!$B$5,"",IF(COUNTIFS(Release_Calendar!$A$2:$A$755,"NZ_GDP",Release_Calendar!$B$2:$B$755,$A2202)&gt;0,1,0))</f>
        <v/>
      </c>
      <c r="O2202" s="16" t="str">
        <f>IF($A2202&lt;Notes!$B$5,"",IF(COUNTIFS(Release_Calendar!$A$2:$A$755,"NZ_LABOUR",Release_Calendar!$B$2:$B$755,$A2202)&gt;0,1,0))</f>
        <v/>
      </c>
      <c r="P2202" s="16">
        <f t="shared" si="4"/>
        <v>0</v>
      </c>
    </row>
    <row r="2203" ht="15.75" customHeight="1">
      <c r="A2203" s="14">
        <v>39609.0</v>
      </c>
      <c r="B2203" s="15">
        <v>2.91</v>
      </c>
      <c r="C2203" s="15"/>
      <c r="D2203" s="15">
        <v>6.61</v>
      </c>
      <c r="E2203" s="15"/>
      <c r="F2203" s="15" t="str">
        <f t="shared" si="1"/>
        <v/>
      </c>
      <c r="G2203" s="15">
        <f t="shared" si="2"/>
        <v>6.61</v>
      </c>
      <c r="H2203" s="16">
        <v>1.0</v>
      </c>
      <c r="I2203" s="15">
        <f t="shared" si="3"/>
        <v>3.7</v>
      </c>
      <c r="J2203" s="15">
        <v>23.18</v>
      </c>
      <c r="K2203" s="16">
        <f>IF(COUNTIFS(Release_Calendar!$A$2:$A$755,"US_CPI",Release_Calendar!$B$2:$B$755,$A2203)&gt;0,1,0)</f>
        <v>0</v>
      </c>
      <c r="L2203" s="16">
        <f>IF(COUNTIFS(Release_Calendar!$A$2:$A$755,"US_NFP",Release_Calendar!$B$2:$B$755,$A2203)&gt;0,1,0)</f>
        <v>0</v>
      </c>
      <c r="M2203" s="16" t="str">
        <f>IF($A2203&lt;Notes!$B$5,"",IF(COUNTIFS(Release_Calendar!$A$2:$A$755,"NZ_CPI",Release_Calendar!$B$2:$B$755,$A2203)&gt;0,1,0))</f>
        <v/>
      </c>
      <c r="N2203" s="16" t="str">
        <f>IF($A2203&lt;Notes!$B$5,"",IF(COUNTIFS(Release_Calendar!$A$2:$A$755,"NZ_GDP",Release_Calendar!$B$2:$B$755,$A2203)&gt;0,1,0))</f>
        <v/>
      </c>
      <c r="O2203" s="16" t="str">
        <f>IF($A2203&lt;Notes!$B$5,"",IF(COUNTIFS(Release_Calendar!$A$2:$A$755,"NZ_LABOUR",Release_Calendar!$B$2:$B$755,$A2203)&gt;0,1,0))</f>
        <v/>
      </c>
      <c r="P2203" s="16">
        <f t="shared" si="4"/>
        <v>0</v>
      </c>
    </row>
    <row r="2204" ht="15.75" customHeight="1">
      <c r="A2204" s="14">
        <v>39610.0</v>
      </c>
      <c r="B2204" s="15">
        <v>2.83</v>
      </c>
      <c r="C2204" s="15"/>
      <c r="D2204" s="15">
        <v>6.69</v>
      </c>
      <c r="E2204" s="15"/>
      <c r="F2204" s="15" t="str">
        <f t="shared" si="1"/>
        <v/>
      </c>
      <c r="G2204" s="15">
        <f t="shared" si="2"/>
        <v>6.69</v>
      </c>
      <c r="H2204" s="16">
        <v>1.0</v>
      </c>
      <c r="I2204" s="15">
        <f t="shared" si="3"/>
        <v>3.86</v>
      </c>
      <c r="J2204" s="15">
        <v>24.12</v>
      </c>
      <c r="K2204" s="16">
        <f>IF(COUNTIFS(Release_Calendar!$A$2:$A$755,"US_CPI",Release_Calendar!$B$2:$B$755,$A2204)&gt;0,1,0)</f>
        <v>0</v>
      </c>
      <c r="L2204" s="16">
        <f>IF(COUNTIFS(Release_Calendar!$A$2:$A$755,"US_NFP",Release_Calendar!$B$2:$B$755,$A2204)&gt;0,1,0)</f>
        <v>0</v>
      </c>
      <c r="M2204" s="16" t="str">
        <f>IF($A2204&lt;Notes!$B$5,"",IF(COUNTIFS(Release_Calendar!$A$2:$A$755,"NZ_CPI",Release_Calendar!$B$2:$B$755,$A2204)&gt;0,1,0))</f>
        <v/>
      </c>
      <c r="N2204" s="16" t="str">
        <f>IF($A2204&lt;Notes!$B$5,"",IF(COUNTIFS(Release_Calendar!$A$2:$A$755,"NZ_GDP",Release_Calendar!$B$2:$B$755,$A2204)&gt;0,1,0))</f>
        <v/>
      </c>
      <c r="O2204" s="16" t="str">
        <f>IF($A2204&lt;Notes!$B$5,"",IF(COUNTIFS(Release_Calendar!$A$2:$A$755,"NZ_LABOUR",Release_Calendar!$B$2:$B$755,$A2204)&gt;0,1,0))</f>
        <v/>
      </c>
      <c r="P2204" s="16">
        <f t="shared" si="4"/>
        <v>0</v>
      </c>
    </row>
    <row r="2205" ht="15.75" customHeight="1">
      <c r="A2205" s="14">
        <v>39611.0</v>
      </c>
      <c r="B2205" s="15">
        <v>3.03</v>
      </c>
      <c r="C2205" s="15"/>
      <c r="D2205" s="15">
        <v>6.72</v>
      </c>
      <c r="E2205" s="15"/>
      <c r="F2205" s="15" t="str">
        <f t="shared" si="1"/>
        <v/>
      </c>
      <c r="G2205" s="15">
        <f t="shared" si="2"/>
        <v>6.72</v>
      </c>
      <c r="H2205" s="16">
        <v>1.0</v>
      </c>
      <c r="I2205" s="15">
        <f t="shared" si="3"/>
        <v>3.69</v>
      </c>
      <c r="J2205" s="15">
        <v>23.33</v>
      </c>
      <c r="K2205" s="16">
        <f>IF(COUNTIFS(Release_Calendar!$A$2:$A$755,"US_CPI",Release_Calendar!$B$2:$B$755,$A2205)&gt;0,1,0)</f>
        <v>0</v>
      </c>
      <c r="L2205" s="16">
        <f>IF(COUNTIFS(Release_Calendar!$A$2:$A$755,"US_NFP",Release_Calendar!$B$2:$B$755,$A2205)&gt;0,1,0)</f>
        <v>0</v>
      </c>
      <c r="M2205" s="16" t="str">
        <f>IF($A2205&lt;Notes!$B$5,"",IF(COUNTIFS(Release_Calendar!$A$2:$A$755,"NZ_CPI",Release_Calendar!$B$2:$B$755,$A2205)&gt;0,1,0))</f>
        <v/>
      </c>
      <c r="N2205" s="16" t="str">
        <f>IF($A2205&lt;Notes!$B$5,"",IF(COUNTIFS(Release_Calendar!$A$2:$A$755,"NZ_GDP",Release_Calendar!$B$2:$B$755,$A2205)&gt;0,1,0))</f>
        <v/>
      </c>
      <c r="O2205" s="16" t="str">
        <f>IF($A2205&lt;Notes!$B$5,"",IF(COUNTIFS(Release_Calendar!$A$2:$A$755,"NZ_LABOUR",Release_Calendar!$B$2:$B$755,$A2205)&gt;0,1,0))</f>
        <v/>
      </c>
      <c r="P2205" s="16">
        <f t="shared" si="4"/>
        <v>0</v>
      </c>
    </row>
    <row r="2206" ht="15.75" customHeight="1">
      <c r="A2206" s="14">
        <v>39612.0</v>
      </c>
      <c r="B2206" s="15">
        <v>3.05</v>
      </c>
      <c r="C2206" s="15"/>
      <c r="D2206" s="15">
        <v>6.63</v>
      </c>
      <c r="E2206" s="15"/>
      <c r="F2206" s="15" t="str">
        <f t="shared" si="1"/>
        <v/>
      </c>
      <c r="G2206" s="15">
        <f t="shared" si="2"/>
        <v>6.63</v>
      </c>
      <c r="H2206" s="16">
        <v>1.0</v>
      </c>
      <c r="I2206" s="15">
        <f t="shared" si="3"/>
        <v>3.58</v>
      </c>
      <c r="J2206" s="15">
        <v>21.22</v>
      </c>
      <c r="K2206" s="16">
        <f>IF(COUNTIFS(Release_Calendar!$A$2:$A$755,"US_CPI",Release_Calendar!$B$2:$B$755,$A2206)&gt;0,1,0)</f>
        <v>1</v>
      </c>
      <c r="L2206" s="16">
        <f>IF(COUNTIFS(Release_Calendar!$A$2:$A$755,"US_NFP",Release_Calendar!$B$2:$B$755,$A2206)&gt;0,1,0)</f>
        <v>0</v>
      </c>
      <c r="M2206" s="16" t="str">
        <f>IF($A2206&lt;Notes!$B$5,"",IF(COUNTIFS(Release_Calendar!$A$2:$A$755,"NZ_CPI",Release_Calendar!$B$2:$B$755,$A2206)&gt;0,1,0))</f>
        <v/>
      </c>
      <c r="N2206" s="16" t="str">
        <f>IF($A2206&lt;Notes!$B$5,"",IF(COUNTIFS(Release_Calendar!$A$2:$A$755,"NZ_GDP",Release_Calendar!$B$2:$B$755,$A2206)&gt;0,1,0))</f>
        <v/>
      </c>
      <c r="O2206" s="16" t="str">
        <f>IF($A2206&lt;Notes!$B$5,"",IF(COUNTIFS(Release_Calendar!$A$2:$A$755,"NZ_LABOUR",Release_Calendar!$B$2:$B$755,$A2206)&gt;0,1,0))</f>
        <v/>
      </c>
      <c r="P2206" s="16">
        <f t="shared" si="4"/>
        <v>1</v>
      </c>
    </row>
    <row r="2207" ht="15.75" customHeight="1">
      <c r="A2207" s="14">
        <v>39615.0</v>
      </c>
      <c r="B2207" s="15">
        <v>3.02</v>
      </c>
      <c r="C2207" s="15"/>
      <c r="D2207" s="15">
        <v>6.66</v>
      </c>
      <c r="E2207" s="15"/>
      <c r="F2207" s="15" t="str">
        <f t="shared" si="1"/>
        <v/>
      </c>
      <c r="G2207" s="15">
        <f t="shared" si="2"/>
        <v>6.66</v>
      </c>
      <c r="H2207" s="16">
        <v>1.0</v>
      </c>
      <c r="I2207" s="15">
        <f t="shared" si="3"/>
        <v>3.64</v>
      </c>
      <c r="J2207" s="15">
        <v>20.95</v>
      </c>
      <c r="K2207" s="16">
        <f>IF(COUNTIFS(Release_Calendar!$A$2:$A$755,"US_CPI",Release_Calendar!$B$2:$B$755,$A2207)&gt;0,1,0)</f>
        <v>0</v>
      </c>
      <c r="L2207" s="16">
        <f>IF(COUNTIFS(Release_Calendar!$A$2:$A$755,"US_NFP",Release_Calendar!$B$2:$B$755,$A2207)&gt;0,1,0)</f>
        <v>0</v>
      </c>
      <c r="M2207" s="16" t="str">
        <f>IF($A2207&lt;Notes!$B$5,"",IF(COUNTIFS(Release_Calendar!$A$2:$A$755,"NZ_CPI",Release_Calendar!$B$2:$B$755,$A2207)&gt;0,1,0))</f>
        <v/>
      </c>
      <c r="N2207" s="16" t="str">
        <f>IF($A2207&lt;Notes!$B$5,"",IF(COUNTIFS(Release_Calendar!$A$2:$A$755,"NZ_GDP",Release_Calendar!$B$2:$B$755,$A2207)&gt;0,1,0))</f>
        <v/>
      </c>
      <c r="O2207" s="16" t="str">
        <f>IF($A2207&lt;Notes!$B$5,"",IF(COUNTIFS(Release_Calendar!$A$2:$A$755,"NZ_LABOUR",Release_Calendar!$B$2:$B$755,$A2207)&gt;0,1,0))</f>
        <v/>
      </c>
      <c r="P2207" s="16">
        <f t="shared" si="4"/>
        <v>0</v>
      </c>
    </row>
    <row r="2208" ht="15.75" customHeight="1">
      <c r="A2208" s="14">
        <v>39616.0</v>
      </c>
      <c r="B2208" s="15">
        <v>2.94</v>
      </c>
      <c r="C2208" s="15"/>
      <c r="D2208" s="15">
        <v>6.65</v>
      </c>
      <c r="E2208" s="15"/>
      <c r="F2208" s="15" t="str">
        <f t="shared" si="1"/>
        <v/>
      </c>
      <c r="G2208" s="15">
        <f t="shared" si="2"/>
        <v>6.65</v>
      </c>
      <c r="H2208" s="16">
        <v>1.0</v>
      </c>
      <c r="I2208" s="15">
        <f t="shared" si="3"/>
        <v>3.71</v>
      </c>
      <c r="J2208" s="15">
        <v>21.13</v>
      </c>
      <c r="K2208" s="16">
        <f>IF(COUNTIFS(Release_Calendar!$A$2:$A$755,"US_CPI",Release_Calendar!$B$2:$B$755,$A2208)&gt;0,1,0)</f>
        <v>0</v>
      </c>
      <c r="L2208" s="16">
        <f>IF(COUNTIFS(Release_Calendar!$A$2:$A$755,"US_NFP",Release_Calendar!$B$2:$B$755,$A2208)&gt;0,1,0)</f>
        <v>0</v>
      </c>
      <c r="M2208" s="16" t="str">
        <f>IF($A2208&lt;Notes!$B$5,"",IF(COUNTIFS(Release_Calendar!$A$2:$A$755,"NZ_CPI",Release_Calendar!$B$2:$B$755,$A2208)&gt;0,1,0))</f>
        <v/>
      </c>
      <c r="N2208" s="16" t="str">
        <f>IF($A2208&lt;Notes!$B$5,"",IF(COUNTIFS(Release_Calendar!$A$2:$A$755,"NZ_GDP",Release_Calendar!$B$2:$B$755,$A2208)&gt;0,1,0))</f>
        <v/>
      </c>
      <c r="O2208" s="16" t="str">
        <f>IF($A2208&lt;Notes!$B$5,"",IF(COUNTIFS(Release_Calendar!$A$2:$A$755,"NZ_LABOUR",Release_Calendar!$B$2:$B$755,$A2208)&gt;0,1,0))</f>
        <v/>
      </c>
      <c r="P2208" s="16">
        <f t="shared" si="4"/>
        <v>0</v>
      </c>
    </row>
    <row r="2209" ht="15.75" customHeight="1">
      <c r="A2209" s="14">
        <v>39617.0</v>
      </c>
      <c r="B2209" s="15">
        <v>2.89</v>
      </c>
      <c r="C2209" s="15"/>
      <c r="D2209" s="15">
        <v>6.6</v>
      </c>
      <c r="E2209" s="15"/>
      <c r="F2209" s="15" t="str">
        <f t="shared" si="1"/>
        <v/>
      </c>
      <c r="G2209" s="15">
        <f t="shared" si="2"/>
        <v>6.6</v>
      </c>
      <c r="H2209" s="16">
        <v>1.0</v>
      </c>
      <c r="I2209" s="15">
        <f t="shared" si="3"/>
        <v>3.71</v>
      </c>
      <c r="J2209" s="15">
        <v>22.24</v>
      </c>
      <c r="K2209" s="16">
        <f>IF(COUNTIFS(Release_Calendar!$A$2:$A$755,"US_CPI",Release_Calendar!$B$2:$B$755,$A2209)&gt;0,1,0)</f>
        <v>0</v>
      </c>
      <c r="L2209" s="16">
        <f>IF(COUNTIFS(Release_Calendar!$A$2:$A$755,"US_NFP",Release_Calendar!$B$2:$B$755,$A2209)&gt;0,1,0)</f>
        <v>0</v>
      </c>
      <c r="M2209" s="16" t="str">
        <f>IF($A2209&lt;Notes!$B$5,"",IF(COUNTIFS(Release_Calendar!$A$2:$A$755,"NZ_CPI",Release_Calendar!$B$2:$B$755,$A2209)&gt;0,1,0))</f>
        <v/>
      </c>
      <c r="N2209" s="16" t="str">
        <f>IF($A2209&lt;Notes!$B$5,"",IF(COUNTIFS(Release_Calendar!$A$2:$A$755,"NZ_GDP",Release_Calendar!$B$2:$B$755,$A2209)&gt;0,1,0))</f>
        <v/>
      </c>
      <c r="O2209" s="16" t="str">
        <f>IF($A2209&lt;Notes!$B$5,"",IF(COUNTIFS(Release_Calendar!$A$2:$A$755,"NZ_LABOUR",Release_Calendar!$B$2:$B$755,$A2209)&gt;0,1,0))</f>
        <v/>
      </c>
      <c r="P2209" s="16">
        <f t="shared" si="4"/>
        <v>0</v>
      </c>
    </row>
    <row r="2210" ht="15.75" customHeight="1">
      <c r="A2210" s="14">
        <v>39618.0</v>
      </c>
      <c r="B2210" s="15">
        <v>2.99</v>
      </c>
      <c r="C2210" s="15"/>
      <c r="D2210" s="15">
        <v>6.58</v>
      </c>
      <c r="E2210" s="15"/>
      <c r="F2210" s="15" t="str">
        <f t="shared" si="1"/>
        <v/>
      </c>
      <c r="G2210" s="15">
        <f t="shared" si="2"/>
        <v>6.58</v>
      </c>
      <c r="H2210" s="16">
        <v>1.0</v>
      </c>
      <c r="I2210" s="15">
        <f t="shared" si="3"/>
        <v>3.59</v>
      </c>
      <c r="J2210" s="15">
        <v>21.58</v>
      </c>
      <c r="K2210" s="16">
        <f>IF(COUNTIFS(Release_Calendar!$A$2:$A$755,"US_CPI",Release_Calendar!$B$2:$B$755,$A2210)&gt;0,1,0)</f>
        <v>0</v>
      </c>
      <c r="L2210" s="16">
        <f>IF(COUNTIFS(Release_Calendar!$A$2:$A$755,"US_NFP",Release_Calendar!$B$2:$B$755,$A2210)&gt;0,1,0)</f>
        <v>0</v>
      </c>
      <c r="M2210" s="16" t="str">
        <f>IF($A2210&lt;Notes!$B$5,"",IF(COUNTIFS(Release_Calendar!$A$2:$A$755,"NZ_CPI",Release_Calendar!$B$2:$B$755,$A2210)&gt;0,1,0))</f>
        <v/>
      </c>
      <c r="N2210" s="16" t="str">
        <f>IF($A2210&lt;Notes!$B$5,"",IF(COUNTIFS(Release_Calendar!$A$2:$A$755,"NZ_GDP",Release_Calendar!$B$2:$B$755,$A2210)&gt;0,1,0))</f>
        <v/>
      </c>
      <c r="O2210" s="16" t="str">
        <f>IF($A2210&lt;Notes!$B$5,"",IF(COUNTIFS(Release_Calendar!$A$2:$A$755,"NZ_LABOUR",Release_Calendar!$B$2:$B$755,$A2210)&gt;0,1,0))</f>
        <v/>
      </c>
      <c r="P2210" s="16">
        <f t="shared" si="4"/>
        <v>0</v>
      </c>
    </row>
    <row r="2211" ht="15.75" customHeight="1">
      <c r="A2211" s="14">
        <v>39619.0</v>
      </c>
      <c r="B2211" s="15">
        <v>2.88</v>
      </c>
      <c r="C2211" s="15"/>
      <c r="D2211" s="15">
        <v>6.5</v>
      </c>
      <c r="E2211" s="15"/>
      <c r="F2211" s="15" t="str">
        <f t="shared" si="1"/>
        <v/>
      </c>
      <c r="G2211" s="15">
        <f t="shared" si="2"/>
        <v>6.5</v>
      </c>
      <c r="H2211" s="16">
        <v>1.0</v>
      </c>
      <c r="I2211" s="15">
        <f t="shared" si="3"/>
        <v>3.62</v>
      </c>
      <c r="J2211" s="15">
        <v>22.87</v>
      </c>
      <c r="K2211" s="16">
        <f>IF(COUNTIFS(Release_Calendar!$A$2:$A$755,"US_CPI",Release_Calendar!$B$2:$B$755,$A2211)&gt;0,1,0)</f>
        <v>0</v>
      </c>
      <c r="L2211" s="16">
        <f>IF(COUNTIFS(Release_Calendar!$A$2:$A$755,"US_NFP",Release_Calendar!$B$2:$B$755,$A2211)&gt;0,1,0)</f>
        <v>0</v>
      </c>
      <c r="M2211" s="16" t="str">
        <f>IF($A2211&lt;Notes!$B$5,"",IF(COUNTIFS(Release_Calendar!$A$2:$A$755,"NZ_CPI",Release_Calendar!$B$2:$B$755,$A2211)&gt;0,1,0))</f>
        <v/>
      </c>
      <c r="N2211" s="16" t="str">
        <f>IF($A2211&lt;Notes!$B$5,"",IF(COUNTIFS(Release_Calendar!$A$2:$A$755,"NZ_GDP",Release_Calendar!$B$2:$B$755,$A2211)&gt;0,1,0))</f>
        <v/>
      </c>
      <c r="O2211" s="16" t="str">
        <f>IF($A2211&lt;Notes!$B$5,"",IF(COUNTIFS(Release_Calendar!$A$2:$A$755,"NZ_LABOUR",Release_Calendar!$B$2:$B$755,$A2211)&gt;0,1,0))</f>
        <v/>
      </c>
      <c r="P2211" s="16">
        <f t="shared" si="4"/>
        <v>0</v>
      </c>
    </row>
    <row r="2212" ht="15.75" customHeight="1">
      <c r="A2212" s="14">
        <v>39622.0</v>
      </c>
      <c r="B2212" s="15">
        <v>2.98</v>
      </c>
      <c r="C2212" s="15"/>
      <c r="D2212" s="15">
        <v>6.5</v>
      </c>
      <c r="E2212" s="15"/>
      <c r="F2212" s="15" t="str">
        <f t="shared" si="1"/>
        <v/>
      </c>
      <c r="G2212" s="15">
        <f t="shared" si="2"/>
        <v>6.5</v>
      </c>
      <c r="H2212" s="16">
        <v>1.0</v>
      </c>
      <c r="I2212" s="15">
        <f t="shared" si="3"/>
        <v>3.52</v>
      </c>
      <c r="J2212" s="15">
        <v>22.64</v>
      </c>
      <c r="K2212" s="16">
        <f>IF(COUNTIFS(Release_Calendar!$A$2:$A$755,"US_CPI",Release_Calendar!$B$2:$B$755,$A2212)&gt;0,1,0)</f>
        <v>0</v>
      </c>
      <c r="L2212" s="16">
        <f>IF(COUNTIFS(Release_Calendar!$A$2:$A$755,"US_NFP",Release_Calendar!$B$2:$B$755,$A2212)&gt;0,1,0)</f>
        <v>0</v>
      </c>
      <c r="M2212" s="16" t="str">
        <f>IF($A2212&lt;Notes!$B$5,"",IF(COUNTIFS(Release_Calendar!$A$2:$A$755,"NZ_CPI",Release_Calendar!$B$2:$B$755,$A2212)&gt;0,1,0))</f>
        <v/>
      </c>
      <c r="N2212" s="16" t="str">
        <f>IF($A2212&lt;Notes!$B$5,"",IF(COUNTIFS(Release_Calendar!$A$2:$A$755,"NZ_GDP",Release_Calendar!$B$2:$B$755,$A2212)&gt;0,1,0))</f>
        <v/>
      </c>
      <c r="O2212" s="16" t="str">
        <f>IF($A2212&lt;Notes!$B$5,"",IF(COUNTIFS(Release_Calendar!$A$2:$A$755,"NZ_LABOUR",Release_Calendar!$B$2:$B$755,$A2212)&gt;0,1,0))</f>
        <v/>
      </c>
      <c r="P2212" s="16">
        <f t="shared" si="4"/>
        <v>0</v>
      </c>
    </row>
    <row r="2213" ht="15.75" customHeight="1">
      <c r="A2213" s="14">
        <v>39623.0</v>
      </c>
      <c r="B2213" s="15">
        <v>2.87</v>
      </c>
      <c r="C2213" s="15"/>
      <c r="D2213" s="15">
        <v>6.5</v>
      </c>
      <c r="E2213" s="15"/>
      <c r="F2213" s="15" t="str">
        <f t="shared" si="1"/>
        <v/>
      </c>
      <c r="G2213" s="15">
        <f t="shared" si="2"/>
        <v>6.5</v>
      </c>
      <c r="H2213" s="16">
        <v>1.0</v>
      </c>
      <c r="I2213" s="15">
        <f t="shared" si="3"/>
        <v>3.63</v>
      </c>
      <c r="J2213" s="15">
        <v>22.42</v>
      </c>
      <c r="K2213" s="16">
        <f>IF(COUNTIFS(Release_Calendar!$A$2:$A$755,"US_CPI",Release_Calendar!$B$2:$B$755,$A2213)&gt;0,1,0)</f>
        <v>0</v>
      </c>
      <c r="L2213" s="16">
        <f>IF(COUNTIFS(Release_Calendar!$A$2:$A$755,"US_NFP",Release_Calendar!$B$2:$B$755,$A2213)&gt;0,1,0)</f>
        <v>0</v>
      </c>
      <c r="M2213" s="16" t="str">
        <f>IF($A2213&lt;Notes!$B$5,"",IF(COUNTIFS(Release_Calendar!$A$2:$A$755,"NZ_CPI",Release_Calendar!$B$2:$B$755,$A2213)&gt;0,1,0))</f>
        <v/>
      </c>
      <c r="N2213" s="16" t="str">
        <f>IF($A2213&lt;Notes!$B$5,"",IF(COUNTIFS(Release_Calendar!$A$2:$A$755,"NZ_GDP",Release_Calendar!$B$2:$B$755,$A2213)&gt;0,1,0))</f>
        <v/>
      </c>
      <c r="O2213" s="16" t="str">
        <f>IF($A2213&lt;Notes!$B$5,"",IF(COUNTIFS(Release_Calendar!$A$2:$A$755,"NZ_LABOUR",Release_Calendar!$B$2:$B$755,$A2213)&gt;0,1,0))</f>
        <v/>
      </c>
      <c r="P2213" s="16">
        <f t="shared" si="4"/>
        <v>0</v>
      </c>
    </row>
    <row r="2214" ht="15.75" customHeight="1">
      <c r="A2214" s="14">
        <v>39624.0</v>
      </c>
      <c r="B2214" s="15">
        <v>2.82</v>
      </c>
      <c r="C2214" s="15"/>
      <c r="D2214" s="15">
        <v>6.48</v>
      </c>
      <c r="E2214" s="15"/>
      <c r="F2214" s="15" t="str">
        <f t="shared" si="1"/>
        <v/>
      </c>
      <c r="G2214" s="15">
        <f t="shared" si="2"/>
        <v>6.48</v>
      </c>
      <c r="H2214" s="16">
        <v>1.0</v>
      </c>
      <c r="I2214" s="15">
        <f t="shared" si="3"/>
        <v>3.66</v>
      </c>
      <c r="J2214" s="15">
        <v>21.14</v>
      </c>
      <c r="K2214" s="16">
        <f>IF(COUNTIFS(Release_Calendar!$A$2:$A$755,"US_CPI",Release_Calendar!$B$2:$B$755,$A2214)&gt;0,1,0)</f>
        <v>0</v>
      </c>
      <c r="L2214" s="16">
        <f>IF(COUNTIFS(Release_Calendar!$A$2:$A$755,"US_NFP",Release_Calendar!$B$2:$B$755,$A2214)&gt;0,1,0)</f>
        <v>0</v>
      </c>
      <c r="M2214" s="16" t="str">
        <f>IF($A2214&lt;Notes!$B$5,"",IF(COUNTIFS(Release_Calendar!$A$2:$A$755,"NZ_CPI",Release_Calendar!$B$2:$B$755,$A2214)&gt;0,1,0))</f>
        <v/>
      </c>
      <c r="N2214" s="16" t="str">
        <f>IF($A2214&lt;Notes!$B$5,"",IF(COUNTIFS(Release_Calendar!$A$2:$A$755,"NZ_GDP",Release_Calendar!$B$2:$B$755,$A2214)&gt;0,1,0))</f>
        <v/>
      </c>
      <c r="O2214" s="16" t="str">
        <f>IF($A2214&lt;Notes!$B$5,"",IF(COUNTIFS(Release_Calendar!$A$2:$A$755,"NZ_LABOUR",Release_Calendar!$B$2:$B$755,$A2214)&gt;0,1,0))</f>
        <v/>
      </c>
      <c r="P2214" s="16">
        <f t="shared" si="4"/>
        <v>0</v>
      </c>
    </row>
    <row r="2215" ht="15.75" customHeight="1">
      <c r="A2215" s="14">
        <v>39625.0</v>
      </c>
      <c r="B2215" s="15">
        <v>2.68</v>
      </c>
      <c r="C2215" s="15"/>
      <c r="D2215" s="15">
        <v>6.48</v>
      </c>
      <c r="E2215" s="15"/>
      <c r="F2215" s="15" t="str">
        <f t="shared" si="1"/>
        <v/>
      </c>
      <c r="G2215" s="15">
        <f t="shared" si="2"/>
        <v>6.48</v>
      </c>
      <c r="H2215" s="16">
        <v>1.0</v>
      </c>
      <c r="I2215" s="15">
        <f t="shared" si="3"/>
        <v>3.8</v>
      </c>
      <c r="J2215" s="15">
        <v>23.93</v>
      </c>
      <c r="K2215" s="16">
        <f>IF(COUNTIFS(Release_Calendar!$A$2:$A$755,"US_CPI",Release_Calendar!$B$2:$B$755,$A2215)&gt;0,1,0)</f>
        <v>0</v>
      </c>
      <c r="L2215" s="16">
        <f>IF(COUNTIFS(Release_Calendar!$A$2:$A$755,"US_NFP",Release_Calendar!$B$2:$B$755,$A2215)&gt;0,1,0)</f>
        <v>0</v>
      </c>
      <c r="M2215" s="16" t="str">
        <f>IF($A2215&lt;Notes!$B$5,"",IF(COUNTIFS(Release_Calendar!$A$2:$A$755,"NZ_CPI",Release_Calendar!$B$2:$B$755,$A2215)&gt;0,1,0))</f>
        <v/>
      </c>
      <c r="N2215" s="16" t="str">
        <f>IF($A2215&lt;Notes!$B$5,"",IF(COUNTIFS(Release_Calendar!$A$2:$A$755,"NZ_GDP",Release_Calendar!$B$2:$B$755,$A2215)&gt;0,1,0))</f>
        <v/>
      </c>
      <c r="O2215" s="16" t="str">
        <f>IF($A2215&lt;Notes!$B$5,"",IF(COUNTIFS(Release_Calendar!$A$2:$A$755,"NZ_LABOUR",Release_Calendar!$B$2:$B$755,$A2215)&gt;0,1,0))</f>
        <v/>
      </c>
      <c r="P2215" s="16">
        <f t="shared" si="4"/>
        <v>0</v>
      </c>
    </row>
    <row r="2216" ht="15.75" customHeight="1">
      <c r="A2216" s="14">
        <v>39626.0</v>
      </c>
      <c r="B2216" s="15">
        <v>2.65</v>
      </c>
      <c r="C2216" s="15"/>
      <c r="D2216" s="15">
        <v>6.42</v>
      </c>
      <c r="E2216" s="15"/>
      <c r="F2216" s="15" t="str">
        <f t="shared" si="1"/>
        <v/>
      </c>
      <c r="G2216" s="15">
        <f t="shared" si="2"/>
        <v>6.42</v>
      </c>
      <c r="H2216" s="16">
        <v>1.0</v>
      </c>
      <c r="I2216" s="15">
        <f t="shared" si="3"/>
        <v>3.77</v>
      </c>
      <c r="J2216" s="15">
        <v>23.44</v>
      </c>
      <c r="K2216" s="16">
        <f>IF(COUNTIFS(Release_Calendar!$A$2:$A$755,"US_CPI",Release_Calendar!$B$2:$B$755,$A2216)&gt;0,1,0)</f>
        <v>0</v>
      </c>
      <c r="L2216" s="16">
        <f>IF(COUNTIFS(Release_Calendar!$A$2:$A$755,"US_NFP",Release_Calendar!$B$2:$B$755,$A2216)&gt;0,1,0)</f>
        <v>0</v>
      </c>
      <c r="M2216" s="16" t="str">
        <f>IF($A2216&lt;Notes!$B$5,"",IF(COUNTIFS(Release_Calendar!$A$2:$A$755,"NZ_CPI",Release_Calendar!$B$2:$B$755,$A2216)&gt;0,1,0))</f>
        <v/>
      </c>
      <c r="N2216" s="16" t="str">
        <f>IF($A2216&lt;Notes!$B$5,"",IF(COUNTIFS(Release_Calendar!$A$2:$A$755,"NZ_GDP",Release_Calendar!$B$2:$B$755,$A2216)&gt;0,1,0))</f>
        <v/>
      </c>
      <c r="O2216" s="16" t="str">
        <f>IF($A2216&lt;Notes!$B$5,"",IF(COUNTIFS(Release_Calendar!$A$2:$A$755,"NZ_LABOUR",Release_Calendar!$B$2:$B$755,$A2216)&gt;0,1,0))</f>
        <v/>
      </c>
      <c r="P2216" s="16">
        <f t="shared" si="4"/>
        <v>0</v>
      </c>
    </row>
    <row r="2217" ht="15.75" customHeight="1">
      <c r="A2217" s="14">
        <v>39629.0</v>
      </c>
      <c r="B2217" s="15">
        <v>2.63</v>
      </c>
      <c r="C2217" s="15"/>
      <c r="D2217" s="15">
        <v>6.38</v>
      </c>
      <c r="E2217" s="15"/>
      <c r="F2217" s="15" t="str">
        <f t="shared" si="1"/>
        <v/>
      </c>
      <c r="G2217" s="15">
        <f t="shared" si="2"/>
        <v>6.38</v>
      </c>
      <c r="H2217" s="16">
        <v>1.0</v>
      </c>
      <c r="I2217" s="15">
        <f t="shared" si="3"/>
        <v>3.75</v>
      </c>
      <c r="J2217" s="15">
        <v>23.95</v>
      </c>
      <c r="K2217" s="16">
        <f>IF(COUNTIFS(Release_Calendar!$A$2:$A$755,"US_CPI",Release_Calendar!$B$2:$B$755,$A2217)&gt;0,1,0)</f>
        <v>0</v>
      </c>
      <c r="L2217" s="16">
        <f>IF(COUNTIFS(Release_Calendar!$A$2:$A$755,"US_NFP",Release_Calendar!$B$2:$B$755,$A2217)&gt;0,1,0)</f>
        <v>0</v>
      </c>
      <c r="M2217" s="16" t="str">
        <f>IF($A2217&lt;Notes!$B$5,"",IF(COUNTIFS(Release_Calendar!$A$2:$A$755,"NZ_CPI",Release_Calendar!$B$2:$B$755,$A2217)&gt;0,1,0))</f>
        <v/>
      </c>
      <c r="N2217" s="16" t="str">
        <f>IF($A2217&lt;Notes!$B$5,"",IF(COUNTIFS(Release_Calendar!$A$2:$A$755,"NZ_GDP",Release_Calendar!$B$2:$B$755,$A2217)&gt;0,1,0))</f>
        <v/>
      </c>
      <c r="O2217" s="16" t="str">
        <f>IF($A2217&lt;Notes!$B$5,"",IF(COUNTIFS(Release_Calendar!$A$2:$A$755,"NZ_LABOUR",Release_Calendar!$B$2:$B$755,$A2217)&gt;0,1,0))</f>
        <v/>
      </c>
      <c r="P2217" s="16">
        <f t="shared" si="4"/>
        <v>0</v>
      </c>
    </row>
    <row r="2218" ht="15.75" customHeight="1">
      <c r="A2218" s="14">
        <v>39630.0</v>
      </c>
      <c r="B2218" s="15">
        <v>2.63</v>
      </c>
      <c r="C2218" s="15"/>
      <c r="D2218" s="15">
        <v>6.35</v>
      </c>
      <c r="E2218" s="15"/>
      <c r="F2218" s="15" t="str">
        <f t="shared" si="1"/>
        <v/>
      </c>
      <c r="G2218" s="15">
        <f t="shared" si="2"/>
        <v>6.35</v>
      </c>
      <c r="H2218" s="16">
        <v>1.0</v>
      </c>
      <c r="I2218" s="15">
        <f t="shared" si="3"/>
        <v>3.72</v>
      </c>
      <c r="J2218" s="15">
        <v>23.65</v>
      </c>
      <c r="K2218" s="16">
        <f>IF(COUNTIFS(Release_Calendar!$A$2:$A$755,"US_CPI",Release_Calendar!$B$2:$B$755,$A2218)&gt;0,1,0)</f>
        <v>0</v>
      </c>
      <c r="L2218" s="16">
        <f>IF(COUNTIFS(Release_Calendar!$A$2:$A$755,"US_NFP",Release_Calendar!$B$2:$B$755,$A2218)&gt;0,1,0)</f>
        <v>0</v>
      </c>
      <c r="M2218" s="16" t="str">
        <f>IF($A2218&lt;Notes!$B$5,"",IF(COUNTIFS(Release_Calendar!$A$2:$A$755,"NZ_CPI",Release_Calendar!$B$2:$B$755,$A2218)&gt;0,1,0))</f>
        <v/>
      </c>
      <c r="N2218" s="16" t="str">
        <f>IF($A2218&lt;Notes!$B$5,"",IF(COUNTIFS(Release_Calendar!$A$2:$A$755,"NZ_GDP",Release_Calendar!$B$2:$B$755,$A2218)&gt;0,1,0))</f>
        <v/>
      </c>
      <c r="O2218" s="16" t="str">
        <f>IF($A2218&lt;Notes!$B$5,"",IF(COUNTIFS(Release_Calendar!$A$2:$A$755,"NZ_LABOUR",Release_Calendar!$B$2:$B$755,$A2218)&gt;0,1,0))</f>
        <v/>
      </c>
      <c r="P2218" s="16">
        <f t="shared" si="4"/>
        <v>0</v>
      </c>
    </row>
    <row r="2219" ht="15.75" customHeight="1">
      <c r="A2219" s="14">
        <v>39631.0</v>
      </c>
      <c r="B2219" s="15">
        <v>2.6</v>
      </c>
      <c r="C2219" s="15"/>
      <c r="D2219" s="15">
        <v>6.3</v>
      </c>
      <c r="E2219" s="15"/>
      <c r="F2219" s="15" t="str">
        <f t="shared" si="1"/>
        <v/>
      </c>
      <c r="G2219" s="15">
        <f t="shared" si="2"/>
        <v>6.3</v>
      </c>
      <c r="H2219" s="16">
        <v>1.0</v>
      </c>
      <c r="I2219" s="15">
        <f t="shared" si="3"/>
        <v>3.7</v>
      </c>
      <c r="J2219" s="15">
        <v>25.92</v>
      </c>
      <c r="K2219" s="16">
        <f>IF(COUNTIFS(Release_Calendar!$A$2:$A$755,"US_CPI",Release_Calendar!$B$2:$B$755,$A2219)&gt;0,1,0)</f>
        <v>0</v>
      </c>
      <c r="L2219" s="16">
        <f>IF(COUNTIFS(Release_Calendar!$A$2:$A$755,"US_NFP",Release_Calendar!$B$2:$B$755,$A2219)&gt;0,1,0)</f>
        <v>0</v>
      </c>
      <c r="M2219" s="16" t="str">
        <f>IF($A2219&lt;Notes!$B$5,"",IF(COUNTIFS(Release_Calendar!$A$2:$A$755,"NZ_CPI",Release_Calendar!$B$2:$B$755,$A2219)&gt;0,1,0))</f>
        <v/>
      </c>
      <c r="N2219" s="16" t="str">
        <f>IF($A2219&lt;Notes!$B$5,"",IF(COUNTIFS(Release_Calendar!$A$2:$A$755,"NZ_GDP",Release_Calendar!$B$2:$B$755,$A2219)&gt;0,1,0))</f>
        <v/>
      </c>
      <c r="O2219" s="16" t="str">
        <f>IF($A2219&lt;Notes!$B$5,"",IF(COUNTIFS(Release_Calendar!$A$2:$A$755,"NZ_LABOUR",Release_Calendar!$B$2:$B$755,$A2219)&gt;0,1,0))</f>
        <v/>
      </c>
      <c r="P2219" s="16">
        <f t="shared" si="4"/>
        <v>0</v>
      </c>
    </row>
    <row r="2220" ht="15.75" customHeight="1">
      <c r="A2220" s="14">
        <v>39632.0</v>
      </c>
      <c r="B2220" s="15">
        <v>2.54</v>
      </c>
      <c r="C2220" s="15"/>
      <c r="D2220" s="15">
        <v>6.29</v>
      </c>
      <c r="E2220" s="15"/>
      <c r="F2220" s="15" t="str">
        <f t="shared" si="1"/>
        <v/>
      </c>
      <c r="G2220" s="15">
        <f t="shared" si="2"/>
        <v>6.29</v>
      </c>
      <c r="H2220" s="16">
        <v>1.0</v>
      </c>
      <c r="I2220" s="15">
        <f t="shared" si="3"/>
        <v>3.75</v>
      </c>
      <c r="J2220" s="15">
        <v>24.79</v>
      </c>
      <c r="K2220" s="16">
        <f>IF(COUNTIFS(Release_Calendar!$A$2:$A$755,"US_CPI",Release_Calendar!$B$2:$B$755,$A2220)&gt;0,1,0)</f>
        <v>0</v>
      </c>
      <c r="L2220" s="16">
        <f>IF(COUNTIFS(Release_Calendar!$A$2:$A$755,"US_NFP",Release_Calendar!$B$2:$B$755,$A2220)&gt;0,1,0)</f>
        <v>1</v>
      </c>
      <c r="M2220" s="16" t="str">
        <f>IF($A2220&lt;Notes!$B$5,"",IF(COUNTIFS(Release_Calendar!$A$2:$A$755,"NZ_CPI",Release_Calendar!$B$2:$B$755,$A2220)&gt;0,1,0))</f>
        <v/>
      </c>
      <c r="N2220" s="16" t="str">
        <f>IF($A2220&lt;Notes!$B$5,"",IF(COUNTIFS(Release_Calendar!$A$2:$A$755,"NZ_GDP",Release_Calendar!$B$2:$B$755,$A2220)&gt;0,1,0))</f>
        <v/>
      </c>
      <c r="O2220" s="16" t="str">
        <f>IF($A2220&lt;Notes!$B$5,"",IF(COUNTIFS(Release_Calendar!$A$2:$A$755,"NZ_LABOUR",Release_Calendar!$B$2:$B$755,$A2220)&gt;0,1,0))</f>
        <v/>
      </c>
      <c r="P2220" s="16">
        <f t="shared" si="4"/>
        <v>1</v>
      </c>
    </row>
    <row r="2221" ht="15.75" customHeight="1">
      <c r="A2221" s="14">
        <v>39633.0</v>
      </c>
      <c r="B2221" s="15"/>
      <c r="C2221" s="15"/>
      <c r="D2221" s="15">
        <v>6.3</v>
      </c>
      <c r="E2221" s="15"/>
      <c r="F2221" s="15" t="str">
        <f t="shared" si="1"/>
        <v/>
      </c>
      <c r="G2221" s="15">
        <f t="shared" si="2"/>
        <v>6.3</v>
      </c>
      <c r="H2221" s="16">
        <v>1.0</v>
      </c>
      <c r="I2221" s="15" t="str">
        <f t="shared" si="3"/>
        <v/>
      </c>
      <c r="J2221" s="15"/>
      <c r="K2221" s="16">
        <f>IF(COUNTIFS(Release_Calendar!$A$2:$A$755,"US_CPI",Release_Calendar!$B$2:$B$755,$A2221)&gt;0,1,0)</f>
        <v>0</v>
      </c>
      <c r="L2221" s="16">
        <f>IF(COUNTIFS(Release_Calendar!$A$2:$A$755,"US_NFP",Release_Calendar!$B$2:$B$755,$A2221)&gt;0,1,0)</f>
        <v>0</v>
      </c>
      <c r="M2221" s="16" t="str">
        <f>IF($A2221&lt;Notes!$B$5,"",IF(COUNTIFS(Release_Calendar!$A$2:$A$755,"NZ_CPI",Release_Calendar!$B$2:$B$755,$A2221)&gt;0,1,0))</f>
        <v/>
      </c>
      <c r="N2221" s="16" t="str">
        <f>IF($A2221&lt;Notes!$B$5,"",IF(COUNTIFS(Release_Calendar!$A$2:$A$755,"NZ_GDP",Release_Calendar!$B$2:$B$755,$A2221)&gt;0,1,0))</f>
        <v/>
      </c>
      <c r="O2221" s="16" t="str">
        <f>IF($A2221&lt;Notes!$B$5,"",IF(COUNTIFS(Release_Calendar!$A$2:$A$755,"NZ_LABOUR",Release_Calendar!$B$2:$B$755,$A2221)&gt;0,1,0))</f>
        <v/>
      </c>
      <c r="P2221" s="16">
        <f t="shared" si="4"/>
        <v>0</v>
      </c>
    </row>
    <row r="2222" ht="15.75" customHeight="1">
      <c r="A2222" s="14">
        <v>39636.0</v>
      </c>
      <c r="B2222" s="15">
        <v>2.47</v>
      </c>
      <c r="C2222" s="15"/>
      <c r="D2222" s="15">
        <v>6.27</v>
      </c>
      <c r="E2222" s="15"/>
      <c r="F2222" s="15" t="str">
        <f t="shared" si="1"/>
        <v/>
      </c>
      <c r="G2222" s="15">
        <f t="shared" si="2"/>
        <v>6.27</v>
      </c>
      <c r="H2222" s="16">
        <v>1.0</v>
      </c>
      <c r="I2222" s="15">
        <f t="shared" si="3"/>
        <v>3.8</v>
      </c>
      <c r="J2222" s="15">
        <v>25.78</v>
      </c>
      <c r="K2222" s="16">
        <f>IF(COUNTIFS(Release_Calendar!$A$2:$A$755,"US_CPI",Release_Calendar!$B$2:$B$755,$A2222)&gt;0,1,0)</f>
        <v>0</v>
      </c>
      <c r="L2222" s="16">
        <f>IF(COUNTIFS(Release_Calendar!$A$2:$A$755,"US_NFP",Release_Calendar!$B$2:$B$755,$A2222)&gt;0,1,0)</f>
        <v>0</v>
      </c>
      <c r="M2222" s="16" t="str">
        <f>IF($A2222&lt;Notes!$B$5,"",IF(COUNTIFS(Release_Calendar!$A$2:$A$755,"NZ_CPI",Release_Calendar!$B$2:$B$755,$A2222)&gt;0,1,0))</f>
        <v/>
      </c>
      <c r="N2222" s="16" t="str">
        <f>IF($A2222&lt;Notes!$B$5,"",IF(COUNTIFS(Release_Calendar!$A$2:$A$755,"NZ_GDP",Release_Calendar!$B$2:$B$755,$A2222)&gt;0,1,0))</f>
        <v/>
      </c>
      <c r="O2222" s="16" t="str">
        <f>IF($A2222&lt;Notes!$B$5,"",IF(COUNTIFS(Release_Calendar!$A$2:$A$755,"NZ_LABOUR",Release_Calendar!$B$2:$B$755,$A2222)&gt;0,1,0))</f>
        <v/>
      </c>
      <c r="P2222" s="16">
        <f t="shared" si="4"/>
        <v>0</v>
      </c>
    </row>
    <row r="2223" ht="15.75" customHeight="1">
      <c r="A2223" s="14">
        <v>39637.0</v>
      </c>
      <c r="B2223" s="15">
        <v>2.47</v>
      </c>
      <c r="C2223" s="15"/>
      <c r="D2223" s="15">
        <v>6.23</v>
      </c>
      <c r="E2223" s="15"/>
      <c r="F2223" s="15" t="str">
        <f t="shared" si="1"/>
        <v/>
      </c>
      <c r="G2223" s="15">
        <f t="shared" si="2"/>
        <v>6.23</v>
      </c>
      <c r="H2223" s="16">
        <v>1.0</v>
      </c>
      <c r="I2223" s="15">
        <f t="shared" si="3"/>
        <v>3.76</v>
      </c>
      <c r="J2223" s="15">
        <v>23.15</v>
      </c>
      <c r="K2223" s="16">
        <f>IF(COUNTIFS(Release_Calendar!$A$2:$A$755,"US_CPI",Release_Calendar!$B$2:$B$755,$A2223)&gt;0,1,0)</f>
        <v>0</v>
      </c>
      <c r="L2223" s="16">
        <f>IF(COUNTIFS(Release_Calendar!$A$2:$A$755,"US_NFP",Release_Calendar!$B$2:$B$755,$A2223)&gt;0,1,0)</f>
        <v>0</v>
      </c>
      <c r="M2223" s="16" t="str">
        <f>IF($A2223&lt;Notes!$B$5,"",IF(COUNTIFS(Release_Calendar!$A$2:$A$755,"NZ_CPI",Release_Calendar!$B$2:$B$755,$A2223)&gt;0,1,0))</f>
        <v/>
      </c>
      <c r="N2223" s="16" t="str">
        <f>IF($A2223&lt;Notes!$B$5,"",IF(COUNTIFS(Release_Calendar!$A$2:$A$755,"NZ_GDP",Release_Calendar!$B$2:$B$755,$A2223)&gt;0,1,0))</f>
        <v/>
      </c>
      <c r="O2223" s="16" t="str">
        <f>IF($A2223&lt;Notes!$B$5,"",IF(COUNTIFS(Release_Calendar!$A$2:$A$755,"NZ_LABOUR",Release_Calendar!$B$2:$B$755,$A2223)&gt;0,1,0))</f>
        <v/>
      </c>
      <c r="P2223" s="16">
        <f t="shared" si="4"/>
        <v>0</v>
      </c>
    </row>
    <row r="2224" ht="15.75" customHeight="1">
      <c r="A2224" s="14">
        <v>39638.0</v>
      </c>
      <c r="B2224" s="15">
        <v>2.41</v>
      </c>
      <c r="C2224" s="15"/>
      <c r="D2224" s="15">
        <v>6.22</v>
      </c>
      <c r="E2224" s="15"/>
      <c r="F2224" s="15" t="str">
        <f t="shared" si="1"/>
        <v/>
      </c>
      <c r="G2224" s="15">
        <f t="shared" si="2"/>
        <v>6.22</v>
      </c>
      <c r="H2224" s="16">
        <v>1.0</v>
      </c>
      <c r="I2224" s="15">
        <f t="shared" si="3"/>
        <v>3.81</v>
      </c>
      <c r="J2224" s="15">
        <v>25.23</v>
      </c>
      <c r="K2224" s="16">
        <f>IF(COUNTIFS(Release_Calendar!$A$2:$A$755,"US_CPI",Release_Calendar!$B$2:$B$755,$A2224)&gt;0,1,0)</f>
        <v>0</v>
      </c>
      <c r="L2224" s="16">
        <f>IF(COUNTIFS(Release_Calendar!$A$2:$A$755,"US_NFP",Release_Calendar!$B$2:$B$755,$A2224)&gt;0,1,0)</f>
        <v>0</v>
      </c>
      <c r="M2224" s="16" t="str">
        <f>IF($A2224&lt;Notes!$B$5,"",IF(COUNTIFS(Release_Calendar!$A$2:$A$755,"NZ_CPI",Release_Calendar!$B$2:$B$755,$A2224)&gt;0,1,0))</f>
        <v/>
      </c>
      <c r="N2224" s="16" t="str">
        <f>IF($A2224&lt;Notes!$B$5,"",IF(COUNTIFS(Release_Calendar!$A$2:$A$755,"NZ_GDP",Release_Calendar!$B$2:$B$755,$A2224)&gt;0,1,0))</f>
        <v/>
      </c>
      <c r="O2224" s="16" t="str">
        <f>IF($A2224&lt;Notes!$B$5,"",IF(COUNTIFS(Release_Calendar!$A$2:$A$755,"NZ_LABOUR",Release_Calendar!$B$2:$B$755,$A2224)&gt;0,1,0))</f>
        <v/>
      </c>
      <c r="P2224" s="16">
        <f t="shared" si="4"/>
        <v>0</v>
      </c>
    </row>
    <row r="2225" ht="15.75" customHeight="1">
      <c r="A2225" s="14">
        <v>39639.0</v>
      </c>
      <c r="B2225" s="15">
        <v>2.44</v>
      </c>
      <c r="C2225" s="15"/>
      <c r="D2225" s="15">
        <v>6.19</v>
      </c>
      <c r="E2225" s="15"/>
      <c r="F2225" s="15" t="str">
        <f t="shared" si="1"/>
        <v/>
      </c>
      <c r="G2225" s="15">
        <f t="shared" si="2"/>
        <v>6.19</v>
      </c>
      <c r="H2225" s="16">
        <v>1.0</v>
      </c>
      <c r="I2225" s="15">
        <f t="shared" si="3"/>
        <v>3.75</v>
      </c>
      <c r="J2225" s="15">
        <v>25.59</v>
      </c>
      <c r="K2225" s="16">
        <f>IF(COUNTIFS(Release_Calendar!$A$2:$A$755,"US_CPI",Release_Calendar!$B$2:$B$755,$A2225)&gt;0,1,0)</f>
        <v>0</v>
      </c>
      <c r="L2225" s="16">
        <f>IF(COUNTIFS(Release_Calendar!$A$2:$A$755,"US_NFP",Release_Calendar!$B$2:$B$755,$A2225)&gt;0,1,0)</f>
        <v>0</v>
      </c>
      <c r="M2225" s="16" t="str">
        <f>IF($A2225&lt;Notes!$B$5,"",IF(COUNTIFS(Release_Calendar!$A$2:$A$755,"NZ_CPI",Release_Calendar!$B$2:$B$755,$A2225)&gt;0,1,0))</f>
        <v/>
      </c>
      <c r="N2225" s="16" t="str">
        <f>IF($A2225&lt;Notes!$B$5,"",IF(COUNTIFS(Release_Calendar!$A$2:$A$755,"NZ_GDP",Release_Calendar!$B$2:$B$755,$A2225)&gt;0,1,0))</f>
        <v/>
      </c>
      <c r="O2225" s="16" t="str">
        <f>IF($A2225&lt;Notes!$B$5,"",IF(COUNTIFS(Release_Calendar!$A$2:$A$755,"NZ_LABOUR",Release_Calendar!$B$2:$B$755,$A2225)&gt;0,1,0))</f>
        <v/>
      </c>
      <c r="P2225" s="16">
        <f t="shared" si="4"/>
        <v>0</v>
      </c>
    </row>
    <row r="2226" ht="15.75" customHeight="1">
      <c r="A2226" s="14">
        <v>39640.0</v>
      </c>
      <c r="B2226" s="15">
        <v>2.59</v>
      </c>
      <c r="C2226" s="15"/>
      <c r="D2226" s="15">
        <v>6.14</v>
      </c>
      <c r="E2226" s="15"/>
      <c r="F2226" s="15" t="str">
        <f t="shared" si="1"/>
        <v/>
      </c>
      <c r="G2226" s="15">
        <f t="shared" si="2"/>
        <v>6.14</v>
      </c>
      <c r="H2226" s="16">
        <v>1.0</v>
      </c>
      <c r="I2226" s="15">
        <f t="shared" si="3"/>
        <v>3.55</v>
      </c>
      <c r="J2226" s="15">
        <v>27.49</v>
      </c>
      <c r="K2226" s="16">
        <f>IF(COUNTIFS(Release_Calendar!$A$2:$A$755,"US_CPI",Release_Calendar!$B$2:$B$755,$A2226)&gt;0,1,0)</f>
        <v>0</v>
      </c>
      <c r="L2226" s="16">
        <f>IF(COUNTIFS(Release_Calendar!$A$2:$A$755,"US_NFP",Release_Calendar!$B$2:$B$755,$A2226)&gt;0,1,0)</f>
        <v>0</v>
      </c>
      <c r="M2226" s="16" t="str">
        <f>IF($A2226&lt;Notes!$B$5,"",IF(COUNTIFS(Release_Calendar!$A$2:$A$755,"NZ_CPI",Release_Calendar!$B$2:$B$755,$A2226)&gt;0,1,0))</f>
        <v/>
      </c>
      <c r="N2226" s="16" t="str">
        <f>IF($A2226&lt;Notes!$B$5,"",IF(COUNTIFS(Release_Calendar!$A$2:$A$755,"NZ_GDP",Release_Calendar!$B$2:$B$755,$A2226)&gt;0,1,0))</f>
        <v/>
      </c>
      <c r="O2226" s="16" t="str">
        <f>IF($A2226&lt;Notes!$B$5,"",IF(COUNTIFS(Release_Calendar!$A$2:$A$755,"NZ_LABOUR",Release_Calendar!$B$2:$B$755,$A2226)&gt;0,1,0))</f>
        <v/>
      </c>
      <c r="P2226" s="16">
        <f t="shared" si="4"/>
        <v>0</v>
      </c>
    </row>
    <row r="2227" ht="15.75" customHeight="1">
      <c r="A2227" s="14">
        <v>39643.0</v>
      </c>
      <c r="B2227" s="15">
        <v>2.47</v>
      </c>
      <c r="C2227" s="15"/>
      <c r="D2227" s="15">
        <v>6.06</v>
      </c>
      <c r="E2227" s="15"/>
      <c r="F2227" s="15" t="str">
        <f t="shared" si="1"/>
        <v/>
      </c>
      <c r="G2227" s="15">
        <f t="shared" si="2"/>
        <v>6.06</v>
      </c>
      <c r="H2227" s="16">
        <v>1.0</v>
      </c>
      <c r="I2227" s="15">
        <f t="shared" si="3"/>
        <v>3.59</v>
      </c>
      <c r="J2227" s="15">
        <v>28.48</v>
      </c>
      <c r="K2227" s="16">
        <f>IF(COUNTIFS(Release_Calendar!$A$2:$A$755,"US_CPI",Release_Calendar!$B$2:$B$755,$A2227)&gt;0,1,0)</f>
        <v>0</v>
      </c>
      <c r="L2227" s="16">
        <f>IF(COUNTIFS(Release_Calendar!$A$2:$A$755,"US_NFP",Release_Calendar!$B$2:$B$755,$A2227)&gt;0,1,0)</f>
        <v>0</v>
      </c>
      <c r="M2227" s="16" t="str">
        <f>IF($A2227&lt;Notes!$B$5,"",IF(COUNTIFS(Release_Calendar!$A$2:$A$755,"NZ_CPI",Release_Calendar!$B$2:$B$755,$A2227)&gt;0,1,0))</f>
        <v/>
      </c>
      <c r="N2227" s="16" t="str">
        <f>IF($A2227&lt;Notes!$B$5,"",IF(COUNTIFS(Release_Calendar!$A$2:$A$755,"NZ_GDP",Release_Calendar!$B$2:$B$755,$A2227)&gt;0,1,0))</f>
        <v/>
      </c>
      <c r="O2227" s="16" t="str">
        <f>IF($A2227&lt;Notes!$B$5,"",IF(COUNTIFS(Release_Calendar!$A$2:$A$755,"NZ_LABOUR",Release_Calendar!$B$2:$B$755,$A2227)&gt;0,1,0))</f>
        <v/>
      </c>
      <c r="P2227" s="16">
        <f t="shared" si="4"/>
        <v>0</v>
      </c>
    </row>
    <row r="2228" ht="15.75" customHeight="1">
      <c r="A2228" s="14">
        <v>39644.0</v>
      </c>
      <c r="B2228" s="15">
        <v>2.39</v>
      </c>
      <c r="C2228" s="15"/>
      <c r="D2228" s="15">
        <v>6.01</v>
      </c>
      <c r="E2228" s="15"/>
      <c r="F2228" s="15" t="str">
        <f t="shared" si="1"/>
        <v/>
      </c>
      <c r="G2228" s="15">
        <f t="shared" si="2"/>
        <v>6.01</v>
      </c>
      <c r="H2228" s="16">
        <v>1.0</v>
      </c>
      <c r="I2228" s="15">
        <f t="shared" si="3"/>
        <v>3.62</v>
      </c>
      <c r="J2228" s="15">
        <v>28.54</v>
      </c>
      <c r="K2228" s="16">
        <f>IF(COUNTIFS(Release_Calendar!$A$2:$A$755,"US_CPI",Release_Calendar!$B$2:$B$755,$A2228)&gt;0,1,0)</f>
        <v>0</v>
      </c>
      <c r="L2228" s="16">
        <f>IF(COUNTIFS(Release_Calendar!$A$2:$A$755,"US_NFP",Release_Calendar!$B$2:$B$755,$A2228)&gt;0,1,0)</f>
        <v>0</v>
      </c>
      <c r="M2228" s="16" t="str">
        <f>IF($A2228&lt;Notes!$B$5,"",IF(COUNTIFS(Release_Calendar!$A$2:$A$755,"NZ_CPI",Release_Calendar!$B$2:$B$755,$A2228)&gt;0,1,0))</f>
        <v/>
      </c>
      <c r="N2228" s="16" t="str">
        <f>IF($A2228&lt;Notes!$B$5,"",IF(COUNTIFS(Release_Calendar!$A$2:$A$755,"NZ_GDP",Release_Calendar!$B$2:$B$755,$A2228)&gt;0,1,0))</f>
        <v/>
      </c>
      <c r="O2228" s="16" t="str">
        <f>IF($A2228&lt;Notes!$B$5,"",IF(COUNTIFS(Release_Calendar!$A$2:$A$755,"NZ_LABOUR",Release_Calendar!$B$2:$B$755,$A2228)&gt;0,1,0))</f>
        <v/>
      </c>
      <c r="P2228" s="16">
        <f t="shared" si="4"/>
        <v>0</v>
      </c>
    </row>
    <row r="2229" ht="15.75" customHeight="1">
      <c r="A2229" s="14">
        <v>39645.0</v>
      </c>
      <c r="B2229" s="15">
        <v>2.44</v>
      </c>
      <c r="C2229" s="15"/>
      <c r="D2229" s="15">
        <v>6.09</v>
      </c>
      <c r="E2229" s="15"/>
      <c r="F2229" s="15" t="str">
        <f t="shared" si="1"/>
        <v/>
      </c>
      <c r="G2229" s="15">
        <f t="shared" si="2"/>
        <v>6.09</v>
      </c>
      <c r="H2229" s="16">
        <v>1.0</v>
      </c>
      <c r="I2229" s="15">
        <f t="shared" si="3"/>
        <v>3.65</v>
      </c>
      <c r="J2229" s="15">
        <v>25.1</v>
      </c>
      <c r="K2229" s="16">
        <f>IF(COUNTIFS(Release_Calendar!$A$2:$A$755,"US_CPI",Release_Calendar!$B$2:$B$755,$A2229)&gt;0,1,0)</f>
        <v>1</v>
      </c>
      <c r="L2229" s="16">
        <f>IF(COUNTIFS(Release_Calendar!$A$2:$A$755,"US_NFP",Release_Calendar!$B$2:$B$755,$A2229)&gt;0,1,0)</f>
        <v>0</v>
      </c>
      <c r="M2229" s="16" t="str">
        <f>IF($A2229&lt;Notes!$B$5,"",IF(COUNTIFS(Release_Calendar!$A$2:$A$755,"NZ_CPI",Release_Calendar!$B$2:$B$755,$A2229)&gt;0,1,0))</f>
        <v/>
      </c>
      <c r="N2229" s="16" t="str">
        <f>IF($A2229&lt;Notes!$B$5,"",IF(COUNTIFS(Release_Calendar!$A$2:$A$755,"NZ_GDP",Release_Calendar!$B$2:$B$755,$A2229)&gt;0,1,0))</f>
        <v/>
      </c>
      <c r="O2229" s="16" t="str">
        <f>IF($A2229&lt;Notes!$B$5,"",IF(COUNTIFS(Release_Calendar!$A$2:$A$755,"NZ_LABOUR",Release_Calendar!$B$2:$B$755,$A2229)&gt;0,1,0))</f>
        <v/>
      </c>
      <c r="P2229" s="16">
        <f t="shared" si="4"/>
        <v>1</v>
      </c>
    </row>
    <row r="2230" ht="15.75" customHeight="1">
      <c r="A2230" s="14">
        <v>39646.0</v>
      </c>
      <c r="B2230" s="15">
        <v>2.58</v>
      </c>
      <c r="C2230" s="15"/>
      <c r="D2230" s="15">
        <v>6.01</v>
      </c>
      <c r="E2230" s="15"/>
      <c r="F2230" s="15" t="str">
        <f t="shared" si="1"/>
        <v/>
      </c>
      <c r="G2230" s="15">
        <f t="shared" si="2"/>
        <v>6.01</v>
      </c>
      <c r="H2230" s="16">
        <v>1.0</v>
      </c>
      <c r="I2230" s="15">
        <f t="shared" si="3"/>
        <v>3.43</v>
      </c>
      <c r="J2230" s="15">
        <v>25.01</v>
      </c>
      <c r="K2230" s="16">
        <f>IF(COUNTIFS(Release_Calendar!$A$2:$A$755,"US_CPI",Release_Calendar!$B$2:$B$755,$A2230)&gt;0,1,0)</f>
        <v>0</v>
      </c>
      <c r="L2230" s="16">
        <f>IF(COUNTIFS(Release_Calendar!$A$2:$A$755,"US_NFP",Release_Calendar!$B$2:$B$755,$A2230)&gt;0,1,0)</f>
        <v>0</v>
      </c>
      <c r="M2230" s="16" t="str">
        <f>IF($A2230&lt;Notes!$B$5,"",IF(COUNTIFS(Release_Calendar!$A$2:$A$755,"NZ_CPI",Release_Calendar!$B$2:$B$755,$A2230)&gt;0,1,0))</f>
        <v/>
      </c>
      <c r="N2230" s="16" t="str">
        <f>IF($A2230&lt;Notes!$B$5,"",IF(COUNTIFS(Release_Calendar!$A$2:$A$755,"NZ_GDP",Release_Calendar!$B$2:$B$755,$A2230)&gt;0,1,0))</f>
        <v/>
      </c>
      <c r="O2230" s="16" t="str">
        <f>IF($A2230&lt;Notes!$B$5,"",IF(COUNTIFS(Release_Calendar!$A$2:$A$755,"NZ_LABOUR",Release_Calendar!$B$2:$B$755,$A2230)&gt;0,1,0))</f>
        <v/>
      </c>
      <c r="P2230" s="16">
        <f t="shared" si="4"/>
        <v>0</v>
      </c>
    </row>
    <row r="2231" ht="15.75" customHeight="1">
      <c r="A2231" s="14">
        <v>39647.0</v>
      </c>
      <c r="B2231" s="15">
        <v>2.66</v>
      </c>
      <c r="C2231" s="15"/>
      <c r="D2231" s="15">
        <v>6.1</v>
      </c>
      <c r="E2231" s="15"/>
      <c r="F2231" s="15" t="str">
        <f t="shared" si="1"/>
        <v/>
      </c>
      <c r="G2231" s="15">
        <f t="shared" si="2"/>
        <v>6.1</v>
      </c>
      <c r="H2231" s="16">
        <v>1.0</v>
      </c>
      <c r="I2231" s="15">
        <f t="shared" si="3"/>
        <v>3.44</v>
      </c>
      <c r="J2231" s="15">
        <v>24.05</v>
      </c>
      <c r="K2231" s="16">
        <f>IF(COUNTIFS(Release_Calendar!$A$2:$A$755,"US_CPI",Release_Calendar!$B$2:$B$755,$A2231)&gt;0,1,0)</f>
        <v>0</v>
      </c>
      <c r="L2231" s="16">
        <f>IF(COUNTIFS(Release_Calendar!$A$2:$A$755,"US_NFP",Release_Calendar!$B$2:$B$755,$A2231)&gt;0,1,0)</f>
        <v>0</v>
      </c>
      <c r="M2231" s="16" t="str">
        <f>IF($A2231&lt;Notes!$B$5,"",IF(COUNTIFS(Release_Calendar!$A$2:$A$755,"NZ_CPI",Release_Calendar!$B$2:$B$755,$A2231)&gt;0,1,0))</f>
        <v/>
      </c>
      <c r="N2231" s="16" t="str">
        <f>IF($A2231&lt;Notes!$B$5,"",IF(COUNTIFS(Release_Calendar!$A$2:$A$755,"NZ_GDP",Release_Calendar!$B$2:$B$755,$A2231)&gt;0,1,0))</f>
        <v/>
      </c>
      <c r="O2231" s="16" t="str">
        <f>IF($A2231&lt;Notes!$B$5,"",IF(COUNTIFS(Release_Calendar!$A$2:$A$755,"NZ_LABOUR",Release_Calendar!$B$2:$B$755,$A2231)&gt;0,1,0))</f>
        <v/>
      </c>
      <c r="P2231" s="16">
        <f t="shared" si="4"/>
        <v>0</v>
      </c>
    </row>
    <row r="2232" ht="15.75" customHeight="1">
      <c r="A2232" s="14">
        <v>39650.0</v>
      </c>
      <c r="B2232" s="15">
        <v>2.66</v>
      </c>
      <c r="C2232" s="15"/>
      <c r="D2232" s="15">
        <v>6.2</v>
      </c>
      <c r="E2232" s="15"/>
      <c r="F2232" s="15" t="str">
        <f t="shared" si="1"/>
        <v/>
      </c>
      <c r="G2232" s="15">
        <f t="shared" si="2"/>
        <v>6.2</v>
      </c>
      <c r="H2232" s="16">
        <v>1.0</v>
      </c>
      <c r="I2232" s="15">
        <f t="shared" si="3"/>
        <v>3.54</v>
      </c>
      <c r="J2232" s="15">
        <v>23.05</v>
      </c>
      <c r="K2232" s="16">
        <f>IF(COUNTIFS(Release_Calendar!$A$2:$A$755,"US_CPI",Release_Calendar!$B$2:$B$755,$A2232)&gt;0,1,0)</f>
        <v>0</v>
      </c>
      <c r="L2232" s="16">
        <f>IF(COUNTIFS(Release_Calendar!$A$2:$A$755,"US_NFP",Release_Calendar!$B$2:$B$755,$A2232)&gt;0,1,0)</f>
        <v>0</v>
      </c>
      <c r="M2232" s="16" t="str">
        <f>IF($A2232&lt;Notes!$B$5,"",IF(COUNTIFS(Release_Calendar!$A$2:$A$755,"NZ_CPI",Release_Calendar!$B$2:$B$755,$A2232)&gt;0,1,0))</f>
        <v/>
      </c>
      <c r="N2232" s="16" t="str">
        <f>IF($A2232&lt;Notes!$B$5,"",IF(COUNTIFS(Release_Calendar!$A$2:$A$755,"NZ_GDP",Release_Calendar!$B$2:$B$755,$A2232)&gt;0,1,0))</f>
        <v/>
      </c>
      <c r="O2232" s="16" t="str">
        <f>IF($A2232&lt;Notes!$B$5,"",IF(COUNTIFS(Release_Calendar!$A$2:$A$755,"NZ_LABOUR",Release_Calendar!$B$2:$B$755,$A2232)&gt;0,1,0))</f>
        <v/>
      </c>
      <c r="P2232" s="16">
        <f t="shared" si="4"/>
        <v>0</v>
      </c>
    </row>
    <row r="2233" ht="15.75" customHeight="1">
      <c r="A2233" s="14">
        <v>39651.0</v>
      </c>
      <c r="B2233" s="15">
        <v>2.74</v>
      </c>
      <c r="C2233" s="15"/>
      <c r="D2233" s="15">
        <v>6.21</v>
      </c>
      <c r="E2233" s="15"/>
      <c r="F2233" s="15" t="str">
        <f t="shared" si="1"/>
        <v/>
      </c>
      <c r="G2233" s="15">
        <f t="shared" si="2"/>
        <v>6.21</v>
      </c>
      <c r="H2233" s="16">
        <v>1.0</v>
      </c>
      <c r="I2233" s="15">
        <f t="shared" si="3"/>
        <v>3.47</v>
      </c>
      <c r="J2233" s="15">
        <v>21.18</v>
      </c>
      <c r="K2233" s="16">
        <f>IF(COUNTIFS(Release_Calendar!$A$2:$A$755,"US_CPI",Release_Calendar!$B$2:$B$755,$A2233)&gt;0,1,0)</f>
        <v>0</v>
      </c>
      <c r="L2233" s="16">
        <f>IF(COUNTIFS(Release_Calendar!$A$2:$A$755,"US_NFP",Release_Calendar!$B$2:$B$755,$A2233)&gt;0,1,0)</f>
        <v>0</v>
      </c>
      <c r="M2233" s="16" t="str">
        <f>IF($A2233&lt;Notes!$B$5,"",IF(COUNTIFS(Release_Calendar!$A$2:$A$755,"NZ_CPI",Release_Calendar!$B$2:$B$755,$A2233)&gt;0,1,0))</f>
        <v/>
      </c>
      <c r="N2233" s="16" t="str">
        <f>IF($A2233&lt;Notes!$B$5,"",IF(COUNTIFS(Release_Calendar!$A$2:$A$755,"NZ_GDP",Release_Calendar!$B$2:$B$755,$A2233)&gt;0,1,0))</f>
        <v/>
      </c>
      <c r="O2233" s="16" t="str">
        <f>IF($A2233&lt;Notes!$B$5,"",IF(COUNTIFS(Release_Calendar!$A$2:$A$755,"NZ_LABOUR",Release_Calendar!$B$2:$B$755,$A2233)&gt;0,1,0))</f>
        <v/>
      </c>
      <c r="P2233" s="16">
        <f t="shared" si="4"/>
        <v>0</v>
      </c>
    </row>
    <row r="2234" ht="15.75" customHeight="1">
      <c r="A2234" s="14">
        <v>39652.0</v>
      </c>
      <c r="B2234" s="15">
        <v>2.81</v>
      </c>
      <c r="C2234" s="15"/>
      <c r="D2234" s="15">
        <v>6.27</v>
      </c>
      <c r="E2234" s="15"/>
      <c r="F2234" s="15" t="str">
        <f t="shared" si="1"/>
        <v/>
      </c>
      <c r="G2234" s="15">
        <f t="shared" si="2"/>
        <v>6.27</v>
      </c>
      <c r="H2234" s="16">
        <v>1.0</v>
      </c>
      <c r="I2234" s="15">
        <f t="shared" si="3"/>
        <v>3.46</v>
      </c>
      <c r="J2234" s="15">
        <v>21.31</v>
      </c>
      <c r="K2234" s="16">
        <f>IF(COUNTIFS(Release_Calendar!$A$2:$A$755,"US_CPI",Release_Calendar!$B$2:$B$755,$A2234)&gt;0,1,0)</f>
        <v>0</v>
      </c>
      <c r="L2234" s="16">
        <f>IF(COUNTIFS(Release_Calendar!$A$2:$A$755,"US_NFP",Release_Calendar!$B$2:$B$755,$A2234)&gt;0,1,0)</f>
        <v>0</v>
      </c>
      <c r="M2234" s="16" t="str">
        <f>IF($A2234&lt;Notes!$B$5,"",IF(COUNTIFS(Release_Calendar!$A$2:$A$755,"NZ_CPI",Release_Calendar!$B$2:$B$755,$A2234)&gt;0,1,0))</f>
        <v/>
      </c>
      <c r="N2234" s="16" t="str">
        <f>IF($A2234&lt;Notes!$B$5,"",IF(COUNTIFS(Release_Calendar!$A$2:$A$755,"NZ_GDP",Release_Calendar!$B$2:$B$755,$A2234)&gt;0,1,0))</f>
        <v/>
      </c>
      <c r="O2234" s="16" t="str">
        <f>IF($A2234&lt;Notes!$B$5,"",IF(COUNTIFS(Release_Calendar!$A$2:$A$755,"NZ_LABOUR",Release_Calendar!$B$2:$B$755,$A2234)&gt;0,1,0))</f>
        <v/>
      </c>
      <c r="P2234" s="16">
        <f t="shared" si="4"/>
        <v>0</v>
      </c>
    </row>
    <row r="2235" ht="15.75" customHeight="1">
      <c r="A2235" s="14">
        <v>39653.0</v>
      </c>
      <c r="B2235" s="15">
        <v>2.61</v>
      </c>
      <c r="C2235" s="15"/>
      <c r="D2235" s="15">
        <v>6.17</v>
      </c>
      <c r="E2235" s="15"/>
      <c r="F2235" s="15" t="str">
        <f t="shared" si="1"/>
        <v/>
      </c>
      <c r="G2235" s="15">
        <f t="shared" si="2"/>
        <v>6.17</v>
      </c>
      <c r="H2235" s="16">
        <v>1.0</v>
      </c>
      <c r="I2235" s="15">
        <f t="shared" si="3"/>
        <v>3.56</v>
      </c>
      <c r="J2235" s="15">
        <v>23.44</v>
      </c>
      <c r="K2235" s="16">
        <f>IF(COUNTIFS(Release_Calendar!$A$2:$A$755,"US_CPI",Release_Calendar!$B$2:$B$755,$A2235)&gt;0,1,0)</f>
        <v>0</v>
      </c>
      <c r="L2235" s="16">
        <f>IF(COUNTIFS(Release_Calendar!$A$2:$A$755,"US_NFP",Release_Calendar!$B$2:$B$755,$A2235)&gt;0,1,0)</f>
        <v>0</v>
      </c>
      <c r="M2235" s="16" t="str">
        <f>IF($A2235&lt;Notes!$B$5,"",IF(COUNTIFS(Release_Calendar!$A$2:$A$755,"NZ_CPI",Release_Calendar!$B$2:$B$755,$A2235)&gt;0,1,0))</f>
        <v/>
      </c>
      <c r="N2235" s="16" t="str">
        <f>IF($A2235&lt;Notes!$B$5,"",IF(COUNTIFS(Release_Calendar!$A$2:$A$755,"NZ_GDP",Release_Calendar!$B$2:$B$755,$A2235)&gt;0,1,0))</f>
        <v/>
      </c>
      <c r="O2235" s="16" t="str">
        <f>IF($A2235&lt;Notes!$B$5,"",IF(COUNTIFS(Release_Calendar!$A$2:$A$755,"NZ_LABOUR",Release_Calendar!$B$2:$B$755,$A2235)&gt;0,1,0))</f>
        <v/>
      </c>
      <c r="P2235" s="16">
        <f t="shared" si="4"/>
        <v>0</v>
      </c>
    </row>
    <row r="2236" ht="15.75" customHeight="1">
      <c r="A2236" s="14">
        <v>39654.0</v>
      </c>
      <c r="B2236" s="15">
        <v>2.7</v>
      </c>
      <c r="C2236" s="15"/>
      <c r="D2236" s="15">
        <v>6.14</v>
      </c>
      <c r="E2236" s="15"/>
      <c r="F2236" s="15" t="str">
        <f t="shared" si="1"/>
        <v/>
      </c>
      <c r="G2236" s="15">
        <f t="shared" si="2"/>
        <v>6.14</v>
      </c>
      <c r="H2236" s="16">
        <v>1.0</v>
      </c>
      <c r="I2236" s="15">
        <f t="shared" si="3"/>
        <v>3.44</v>
      </c>
      <c r="J2236" s="15">
        <v>22.91</v>
      </c>
      <c r="K2236" s="16">
        <f>IF(COUNTIFS(Release_Calendar!$A$2:$A$755,"US_CPI",Release_Calendar!$B$2:$B$755,$A2236)&gt;0,1,0)</f>
        <v>0</v>
      </c>
      <c r="L2236" s="16">
        <f>IF(COUNTIFS(Release_Calendar!$A$2:$A$755,"US_NFP",Release_Calendar!$B$2:$B$755,$A2236)&gt;0,1,0)</f>
        <v>0</v>
      </c>
      <c r="M2236" s="16" t="str">
        <f>IF($A2236&lt;Notes!$B$5,"",IF(COUNTIFS(Release_Calendar!$A$2:$A$755,"NZ_CPI",Release_Calendar!$B$2:$B$755,$A2236)&gt;0,1,0))</f>
        <v/>
      </c>
      <c r="N2236" s="16" t="str">
        <f>IF($A2236&lt;Notes!$B$5,"",IF(COUNTIFS(Release_Calendar!$A$2:$A$755,"NZ_GDP",Release_Calendar!$B$2:$B$755,$A2236)&gt;0,1,0))</f>
        <v/>
      </c>
      <c r="O2236" s="16" t="str">
        <f>IF($A2236&lt;Notes!$B$5,"",IF(COUNTIFS(Release_Calendar!$A$2:$A$755,"NZ_LABOUR",Release_Calendar!$B$2:$B$755,$A2236)&gt;0,1,0))</f>
        <v/>
      </c>
      <c r="P2236" s="16">
        <f t="shared" si="4"/>
        <v>0</v>
      </c>
    </row>
    <row r="2237" ht="15.75" customHeight="1">
      <c r="A2237" s="14">
        <v>39657.0</v>
      </c>
      <c r="B2237" s="15">
        <v>2.59</v>
      </c>
      <c r="C2237" s="15"/>
      <c r="D2237" s="15">
        <v>6.18</v>
      </c>
      <c r="E2237" s="15"/>
      <c r="F2237" s="15" t="str">
        <f t="shared" si="1"/>
        <v/>
      </c>
      <c r="G2237" s="15">
        <f t="shared" si="2"/>
        <v>6.18</v>
      </c>
      <c r="H2237" s="16">
        <v>1.0</v>
      </c>
      <c r="I2237" s="15">
        <f t="shared" si="3"/>
        <v>3.59</v>
      </c>
      <c r="J2237" s="15">
        <v>24.23</v>
      </c>
      <c r="K2237" s="16">
        <f>IF(COUNTIFS(Release_Calendar!$A$2:$A$755,"US_CPI",Release_Calendar!$B$2:$B$755,$A2237)&gt;0,1,0)</f>
        <v>0</v>
      </c>
      <c r="L2237" s="16">
        <f>IF(COUNTIFS(Release_Calendar!$A$2:$A$755,"US_NFP",Release_Calendar!$B$2:$B$755,$A2237)&gt;0,1,0)</f>
        <v>0</v>
      </c>
      <c r="M2237" s="16" t="str">
        <f>IF($A2237&lt;Notes!$B$5,"",IF(COUNTIFS(Release_Calendar!$A$2:$A$755,"NZ_CPI",Release_Calendar!$B$2:$B$755,$A2237)&gt;0,1,0))</f>
        <v/>
      </c>
      <c r="N2237" s="16" t="str">
        <f>IF($A2237&lt;Notes!$B$5,"",IF(COUNTIFS(Release_Calendar!$A$2:$A$755,"NZ_GDP",Release_Calendar!$B$2:$B$755,$A2237)&gt;0,1,0))</f>
        <v/>
      </c>
      <c r="O2237" s="16" t="str">
        <f>IF($A2237&lt;Notes!$B$5,"",IF(COUNTIFS(Release_Calendar!$A$2:$A$755,"NZ_LABOUR",Release_Calendar!$B$2:$B$755,$A2237)&gt;0,1,0))</f>
        <v/>
      </c>
      <c r="P2237" s="16">
        <f t="shared" si="4"/>
        <v>0</v>
      </c>
    </row>
    <row r="2238" ht="15.75" customHeight="1">
      <c r="A2238" s="14">
        <v>39658.0</v>
      </c>
      <c r="B2238" s="15">
        <v>2.65</v>
      </c>
      <c r="C2238" s="15"/>
      <c r="D2238" s="15">
        <v>6.22</v>
      </c>
      <c r="E2238" s="15"/>
      <c r="F2238" s="15" t="str">
        <f t="shared" si="1"/>
        <v/>
      </c>
      <c r="G2238" s="15">
        <f t="shared" si="2"/>
        <v>6.22</v>
      </c>
      <c r="H2238" s="16">
        <v>1.0</v>
      </c>
      <c r="I2238" s="15">
        <f t="shared" si="3"/>
        <v>3.57</v>
      </c>
      <c r="J2238" s="15">
        <v>22.03</v>
      </c>
      <c r="K2238" s="16">
        <f>IF(COUNTIFS(Release_Calendar!$A$2:$A$755,"US_CPI",Release_Calendar!$B$2:$B$755,$A2238)&gt;0,1,0)</f>
        <v>0</v>
      </c>
      <c r="L2238" s="16">
        <f>IF(COUNTIFS(Release_Calendar!$A$2:$A$755,"US_NFP",Release_Calendar!$B$2:$B$755,$A2238)&gt;0,1,0)</f>
        <v>0</v>
      </c>
      <c r="M2238" s="16" t="str">
        <f>IF($A2238&lt;Notes!$B$5,"",IF(COUNTIFS(Release_Calendar!$A$2:$A$755,"NZ_CPI",Release_Calendar!$B$2:$B$755,$A2238)&gt;0,1,0))</f>
        <v/>
      </c>
      <c r="N2238" s="16" t="str">
        <f>IF($A2238&lt;Notes!$B$5,"",IF(COUNTIFS(Release_Calendar!$A$2:$A$755,"NZ_GDP",Release_Calendar!$B$2:$B$755,$A2238)&gt;0,1,0))</f>
        <v/>
      </c>
      <c r="O2238" s="16" t="str">
        <f>IF($A2238&lt;Notes!$B$5,"",IF(COUNTIFS(Release_Calendar!$A$2:$A$755,"NZ_LABOUR",Release_Calendar!$B$2:$B$755,$A2238)&gt;0,1,0))</f>
        <v/>
      </c>
      <c r="P2238" s="16">
        <f t="shared" si="4"/>
        <v>0</v>
      </c>
    </row>
    <row r="2239" ht="15.75" customHeight="1">
      <c r="A2239" s="14">
        <v>39659.0</v>
      </c>
      <c r="B2239" s="15">
        <v>2.64</v>
      </c>
      <c r="C2239" s="15"/>
      <c r="D2239" s="15">
        <v>6.23</v>
      </c>
      <c r="E2239" s="15"/>
      <c r="F2239" s="15" t="str">
        <f t="shared" si="1"/>
        <v/>
      </c>
      <c r="G2239" s="15">
        <f t="shared" si="2"/>
        <v>6.23</v>
      </c>
      <c r="H2239" s="16">
        <v>1.0</v>
      </c>
      <c r="I2239" s="15">
        <f t="shared" si="3"/>
        <v>3.59</v>
      </c>
      <c r="J2239" s="15">
        <v>21.21</v>
      </c>
      <c r="K2239" s="16">
        <f>IF(COUNTIFS(Release_Calendar!$A$2:$A$755,"US_CPI",Release_Calendar!$B$2:$B$755,$A2239)&gt;0,1,0)</f>
        <v>0</v>
      </c>
      <c r="L2239" s="16">
        <f>IF(COUNTIFS(Release_Calendar!$A$2:$A$755,"US_NFP",Release_Calendar!$B$2:$B$755,$A2239)&gt;0,1,0)</f>
        <v>0</v>
      </c>
      <c r="M2239" s="16" t="str">
        <f>IF($A2239&lt;Notes!$B$5,"",IF(COUNTIFS(Release_Calendar!$A$2:$A$755,"NZ_CPI",Release_Calendar!$B$2:$B$755,$A2239)&gt;0,1,0))</f>
        <v/>
      </c>
      <c r="N2239" s="16" t="str">
        <f>IF($A2239&lt;Notes!$B$5,"",IF(COUNTIFS(Release_Calendar!$A$2:$A$755,"NZ_GDP",Release_Calendar!$B$2:$B$755,$A2239)&gt;0,1,0))</f>
        <v/>
      </c>
      <c r="O2239" s="16" t="str">
        <f>IF($A2239&lt;Notes!$B$5,"",IF(COUNTIFS(Release_Calendar!$A$2:$A$755,"NZ_LABOUR",Release_Calendar!$B$2:$B$755,$A2239)&gt;0,1,0))</f>
        <v/>
      </c>
      <c r="P2239" s="16">
        <f t="shared" si="4"/>
        <v>0</v>
      </c>
    </row>
    <row r="2240" ht="15.75" customHeight="1">
      <c r="A2240" s="14">
        <v>39660.0</v>
      </c>
      <c r="B2240" s="15">
        <v>2.52</v>
      </c>
      <c r="C2240" s="15"/>
      <c r="D2240" s="15">
        <v>6.19</v>
      </c>
      <c r="E2240" s="15"/>
      <c r="F2240" s="15" t="str">
        <f t="shared" si="1"/>
        <v/>
      </c>
      <c r="G2240" s="15">
        <f t="shared" si="2"/>
        <v>6.19</v>
      </c>
      <c r="H2240" s="16">
        <v>1.0</v>
      </c>
      <c r="I2240" s="15">
        <f t="shared" si="3"/>
        <v>3.67</v>
      </c>
      <c r="J2240" s="15">
        <v>22.94</v>
      </c>
      <c r="K2240" s="16">
        <f>IF(COUNTIFS(Release_Calendar!$A$2:$A$755,"US_CPI",Release_Calendar!$B$2:$B$755,$A2240)&gt;0,1,0)</f>
        <v>0</v>
      </c>
      <c r="L2240" s="16">
        <f>IF(COUNTIFS(Release_Calendar!$A$2:$A$755,"US_NFP",Release_Calendar!$B$2:$B$755,$A2240)&gt;0,1,0)</f>
        <v>0</v>
      </c>
      <c r="M2240" s="16" t="str">
        <f>IF($A2240&lt;Notes!$B$5,"",IF(COUNTIFS(Release_Calendar!$A$2:$A$755,"NZ_CPI",Release_Calendar!$B$2:$B$755,$A2240)&gt;0,1,0))</f>
        <v/>
      </c>
      <c r="N2240" s="16" t="str">
        <f>IF($A2240&lt;Notes!$B$5,"",IF(COUNTIFS(Release_Calendar!$A$2:$A$755,"NZ_GDP",Release_Calendar!$B$2:$B$755,$A2240)&gt;0,1,0))</f>
        <v/>
      </c>
      <c r="O2240" s="16" t="str">
        <f>IF($A2240&lt;Notes!$B$5,"",IF(COUNTIFS(Release_Calendar!$A$2:$A$755,"NZ_LABOUR",Release_Calendar!$B$2:$B$755,$A2240)&gt;0,1,0))</f>
        <v/>
      </c>
      <c r="P2240" s="16">
        <f t="shared" si="4"/>
        <v>0</v>
      </c>
    </row>
    <row r="2241" ht="15.75" customHeight="1">
      <c r="A2241" s="14">
        <v>39661.0</v>
      </c>
      <c r="B2241" s="15">
        <v>2.51</v>
      </c>
      <c r="C2241" s="15"/>
      <c r="D2241" s="15">
        <v>6.12</v>
      </c>
      <c r="E2241" s="15"/>
      <c r="F2241" s="15" t="str">
        <f t="shared" si="1"/>
        <v/>
      </c>
      <c r="G2241" s="15">
        <f t="shared" si="2"/>
        <v>6.12</v>
      </c>
      <c r="H2241" s="16">
        <v>1.0</v>
      </c>
      <c r="I2241" s="15">
        <f t="shared" si="3"/>
        <v>3.61</v>
      </c>
      <c r="J2241" s="15">
        <v>22.57</v>
      </c>
      <c r="K2241" s="16">
        <f>IF(COUNTIFS(Release_Calendar!$A$2:$A$755,"US_CPI",Release_Calendar!$B$2:$B$755,$A2241)&gt;0,1,0)</f>
        <v>0</v>
      </c>
      <c r="L2241" s="16">
        <f>IF(COUNTIFS(Release_Calendar!$A$2:$A$755,"US_NFP",Release_Calendar!$B$2:$B$755,$A2241)&gt;0,1,0)</f>
        <v>1</v>
      </c>
      <c r="M2241" s="16" t="str">
        <f>IF($A2241&lt;Notes!$B$5,"",IF(COUNTIFS(Release_Calendar!$A$2:$A$755,"NZ_CPI",Release_Calendar!$B$2:$B$755,$A2241)&gt;0,1,0))</f>
        <v/>
      </c>
      <c r="N2241" s="16" t="str">
        <f>IF($A2241&lt;Notes!$B$5,"",IF(COUNTIFS(Release_Calendar!$A$2:$A$755,"NZ_GDP",Release_Calendar!$B$2:$B$755,$A2241)&gt;0,1,0))</f>
        <v/>
      </c>
      <c r="O2241" s="16" t="str">
        <f>IF($A2241&lt;Notes!$B$5,"",IF(COUNTIFS(Release_Calendar!$A$2:$A$755,"NZ_LABOUR",Release_Calendar!$B$2:$B$755,$A2241)&gt;0,1,0))</f>
        <v/>
      </c>
      <c r="P2241" s="16">
        <f t="shared" si="4"/>
        <v>1</v>
      </c>
    </row>
    <row r="2242" ht="15.75" customHeight="1">
      <c r="A2242" s="14">
        <v>39664.0</v>
      </c>
      <c r="B2242" s="15">
        <v>2.53</v>
      </c>
      <c r="C2242" s="15"/>
      <c r="D2242" s="15">
        <v>6.13</v>
      </c>
      <c r="E2242" s="15"/>
      <c r="F2242" s="15" t="str">
        <f t="shared" si="1"/>
        <v/>
      </c>
      <c r="G2242" s="15">
        <f t="shared" si="2"/>
        <v>6.13</v>
      </c>
      <c r="H2242" s="16">
        <v>1.0</v>
      </c>
      <c r="I2242" s="15">
        <f t="shared" si="3"/>
        <v>3.6</v>
      </c>
      <c r="J2242" s="15">
        <v>23.49</v>
      </c>
      <c r="K2242" s="16">
        <f>IF(COUNTIFS(Release_Calendar!$A$2:$A$755,"US_CPI",Release_Calendar!$B$2:$B$755,$A2242)&gt;0,1,0)</f>
        <v>0</v>
      </c>
      <c r="L2242" s="16">
        <f>IF(COUNTIFS(Release_Calendar!$A$2:$A$755,"US_NFP",Release_Calendar!$B$2:$B$755,$A2242)&gt;0,1,0)</f>
        <v>0</v>
      </c>
      <c r="M2242" s="16" t="str">
        <f>IF($A2242&lt;Notes!$B$5,"",IF(COUNTIFS(Release_Calendar!$A$2:$A$755,"NZ_CPI",Release_Calendar!$B$2:$B$755,$A2242)&gt;0,1,0))</f>
        <v/>
      </c>
      <c r="N2242" s="16" t="str">
        <f>IF($A2242&lt;Notes!$B$5,"",IF(COUNTIFS(Release_Calendar!$A$2:$A$755,"NZ_GDP",Release_Calendar!$B$2:$B$755,$A2242)&gt;0,1,0))</f>
        <v/>
      </c>
      <c r="O2242" s="16" t="str">
        <f>IF($A2242&lt;Notes!$B$5,"",IF(COUNTIFS(Release_Calendar!$A$2:$A$755,"NZ_LABOUR",Release_Calendar!$B$2:$B$755,$A2242)&gt;0,1,0))</f>
        <v/>
      </c>
      <c r="P2242" s="16">
        <f t="shared" si="4"/>
        <v>0</v>
      </c>
    </row>
    <row r="2243" ht="15.75" customHeight="1">
      <c r="A2243" s="14">
        <v>39665.0</v>
      </c>
      <c r="B2243" s="15">
        <v>2.54</v>
      </c>
      <c r="C2243" s="15"/>
      <c r="D2243" s="15">
        <v>6.14</v>
      </c>
      <c r="E2243" s="15"/>
      <c r="F2243" s="15" t="str">
        <f t="shared" si="1"/>
        <v/>
      </c>
      <c r="G2243" s="15">
        <f t="shared" si="2"/>
        <v>6.14</v>
      </c>
      <c r="H2243" s="16">
        <v>1.0</v>
      </c>
      <c r="I2243" s="15">
        <f t="shared" si="3"/>
        <v>3.6</v>
      </c>
      <c r="J2243" s="15">
        <v>21.14</v>
      </c>
      <c r="K2243" s="16">
        <f>IF(COUNTIFS(Release_Calendar!$A$2:$A$755,"US_CPI",Release_Calendar!$B$2:$B$755,$A2243)&gt;0,1,0)</f>
        <v>0</v>
      </c>
      <c r="L2243" s="16">
        <f>IF(COUNTIFS(Release_Calendar!$A$2:$A$755,"US_NFP",Release_Calendar!$B$2:$B$755,$A2243)&gt;0,1,0)</f>
        <v>0</v>
      </c>
      <c r="M2243" s="16" t="str">
        <f>IF($A2243&lt;Notes!$B$5,"",IF(COUNTIFS(Release_Calendar!$A$2:$A$755,"NZ_CPI",Release_Calendar!$B$2:$B$755,$A2243)&gt;0,1,0))</f>
        <v/>
      </c>
      <c r="N2243" s="16" t="str">
        <f>IF($A2243&lt;Notes!$B$5,"",IF(COUNTIFS(Release_Calendar!$A$2:$A$755,"NZ_GDP",Release_Calendar!$B$2:$B$755,$A2243)&gt;0,1,0))</f>
        <v/>
      </c>
      <c r="O2243" s="16" t="str">
        <f>IF($A2243&lt;Notes!$B$5,"",IF(COUNTIFS(Release_Calendar!$A$2:$A$755,"NZ_LABOUR",Release_Calendar!$B$2:$B$755,$A2243)&gt;0,1,0))</f>
        <v/>
      </c>
      <c r="P2243" s="16">
        <f t="shared" si="4"/>
        <v>0</v>
      </c>
    </row>
    <row r="2244" ht="15.75" customHeight="1">
      <c r="A2244" s="14">
        <v>39666.0</v>
      </c>
      <c r="B2244" s="15">
        <v>2.56</v>
      </c>
      <c r="C2244" s="15"/>
      <c r="D2244" s="15">
        <v>6.11</v>
      </c>
      <c r="E2244" s="15"/>
      <c r="F2244" s="15" t="str">
        <f t="shared" si="1"/>
        <v/>
      </c>
      <c r="G2244" s="15">
        <f t="shared" si="2"/>
        <v>6.11</v>
      </c>
      <c r="H2244" s="16">
        <v>1.0</v>
      </c>
      <c r="I2244" s="15">
        <f t="shared" si="3"/>
        <v>3.55</v>
      </c>
      <c r="J2244" s="15">
        <v>20.23</v>
      </c>
      <c r="K2244" s="16">
        <f>IF(COUNTIFS(Release_Calendar!$A$2:$A$755,"US_CPI",Release_Calendar!$B$2:$B$755,$A2244)&gt;0,1,0)</f>
        <v>0</v>
      </c>
      <c r="L2244" s="16">
        <f>IF(COUNTIFS(Release_Calendar!$A$2:$A$755,"US_NFP",Release_Calendar!$B$2:$B$755,$A2244)&gt;0,1,0)</f>
        <v>0</v>
      </c>
      <c r="M2244" s="16" t="str">
        <f>IF($A2244&lt;Notes!$B$5,"",IF(COUNTIFS(Release_Calendar!$A$2:$A$755,"NZ_CPI",Release_Calendar!$B$2:$B$755,$A2244)&gt;0,1,0))</f>
        <v/>
      </c>
      <c r="N2244" s="16" t="str">
        <f>IF($A2244&lt;Notes!$B$5,"",IF(COUNTIFS(Release_Calendar!$A$2:$A$755,"NZ_GDP",Release_Calendar!$B$2:$B$755,$A2244)&gt;0,1,0))</f>
        <v/>
      </c>
      <c r="O2244" s="16" t="str">
        <f>IF($A2244&lt;Notes!$B$5,"",IF(COUNTIFS(Release_Calendar!$A$2:$A$755,"NZ_LABOUR",Release_Calendar!$B$2:$B$755,$A2244)&gt;0,1,0))</f>
        <v/>
      </c>
      <c r="P2244" s="16">
        <f t="shared" si="4"/>
        <v>0</v>
      </c>
    </row>
    <row r="2245" ht="15.75" customHeight="1">
      <c r="A2245" s="14">
        <v>39667.0</v>
      </c>
      <c r="B2245" s="15">
        <v>2.43</v>
      </c>
      <c r="C2245" s="15"/>
      <c r="D2245" s="15">
        <v>6.18</v>
      </c>
      <c r="E2245" s="15"/>
      <c r="F2245" s="15" t="str">
        <f t="shared" si="1"/>
        <v/>
      </c>
      <c r="G2245" s="15">
        <f t="shared" si="2"/>
        <v>6.18</v>
      </c>
      <c r="H2245" s="16">
        <v>1.0</v>
      </c>
      <c r="I2245" s="15">
        <f t="shared" si="3"/>
        <v>3.75</v>
      </c>
      <c r="J2245" s="15">
        <v>21.15</v>
      </c>
      <c r="K2245" s="16">
        <f>IF(COUNTIFS(Release_Calendar!$A$2:$A$755,"US_CPI",Release_Calendar!$B$2:$B$755,$A2245)&gt;0,1,0)</f>
        <v>0</v>
      </c>
      <c r="L2245" s="16">
        <f>IF(COUNTIFS(Release_Calendar!$A$2:$A$755,"US_NFP",Release_Calendar!$B$2:$B$755,$A2245)&gt;0,1,0)</f>
        <v>0</v>
      </c>
      <c r="M2245" s="16" t="str">
        <f>IF($A2245&lt;Notes!$B$5,"",IF(COUNTIFS(Release_Calendar!$A$2:$A$755,"NZ_CPI",Release_Calendar!$B$2:$B$755,$A2245)&gt;0,1,0))</f>
        <v/>
      </c>
      <c r="N2245" s="16" t="str">
        <f>IF($A2245&lt;Notes!$B$5,"",IF(COUNTIFS(Release_Calendar!$A$2:$A$755,"NZ_GDP",Release_Calendar!$B$2:$B$755,$A2245)&gt;0,1,0))</f>
        <v/>
      </c>
      <c r="O2245" s="16" t="str">
        <f>IF($A2245&lt;Notes!$B$5,"",IF(COUNTIFS(Release_Calendar!$A$2:$A$755,"NZ_LABOUR",Release_Calendar!$B$2:$B$755,$A2245)&gt;0,1,0))</f>
        <v/>
      </c>
      <c r="P2245" s="16">
        <f t="shared" si="4"/>
        <v>0</v>
      </c>
    </row>
    <row r="2246" ht="15.75" customHeight="1">
      <c r="A2246" s="14">
        <v>39668.0</v>
      </c>
      <c r="B2246" s="15">
        <v>2.51</v>
      </c>
      <c r="C2246" s="15"/>
      <c r="D2246" s="15">
        <v>6.15</v>
      </c>
      <c r="E2246" s="15"/>
      <c r="F2246" s="15" t="str">
        <f t="shared" si="1"/>
        <v/>
      </c>
      <c r="G2246" s="15">
        <f t="shared" si="2"/>
        <v>6.15</v>
      </c>
      <c r="H2246" s="16">
        <v>1.0</v>
      </c>
      <c r="I2246" s="15">
        <f t="shared" si="3"/>
        <v>3.64</v>
      </c>
      <c r="J2246" s="15">
        <v>20.66</v>
      </c>
      <c r="K2246" s="16">
        <f>IF(COUNTIFS(Release_Calendar!$A$2:$A$755,"US_CPI",Release_Calendar!$B$2:$B$755,$A2246)&gt;0,1,0)</f>
        <v>0</v>
      </c>
      <c r="L2246" s="16">
        <f>IF(COUNTIFS(Release_Calendar!$A$2:$A$755,"US_NFP",Release_Calendar!$B$2:$B$755,$A2246)&gt;0,1,0)</f>
        <v>0</v>
      </c>
      <c r="M2246" s="16" t="str">
        <f>IF($A2246&lt;Notes!$B$5,"",IF(COUNTIFS(Release_Calendar!$A$2:$A$755,"NZ_CPI",Release_Calendar!$B$2:$B$755,$A2246)&gt;0,1,0))</f>
        <v/>
      </c>
      <c r="N2246" s="16" t="str">
        <f>IF($A2246&lt;Notes!$B$5,"",IF(COUNTIFS(Release_Calendar!$A$2:$A$755,"NZ_GDP",Release_Calendar!$B$2:$B$755,$A2246)&gt;0,1,0))</f>
        <v/>
      </c>
      <c r="O2246" s="16" t="str">
        <f>IF($A2246&lt;Notes!$B$5,"",IF(COUNTIFS(Release_Calendar!$A$2:$A$755,"NZ_LABOUR",Release_Calendar!$B$2:$B$755,$A2246)&gt;0,1,0))</f>
        <v/>
      </c>
      <c r="P2246" s="16">
        <f t="shared" si="4"/>
        <v>0</v>
      </c>
    </row>
    <row r="2247" ht="15.75" customHeight="1">
      <c r="A2247" s="14">
        <v>39671.0</v>
      </c>
      <c r="B2247" s="15">
        <v>2.56</v>
      </c>
      <c r="C2247" s="15"/>
      <c r="D2247" s="15">
        <v>6.2</v>
      </c>
      <c r="E2247" s="15"/>
      <c r="F2247" s="15" t="str">
        <f t="shared" si="1"/>
        <v/>
      </c>
      <c r="G2247" s="15">
        <f t="shared" si="2"/>
        <v>6.2</v>
      </c>
      <c r="H2247" s="16">
        <v>1.0</v>
      </c>
      <c r="I2247" s="15">
        <f t="shared" si="3"/>
        <v>3.64</v>
      </c>
      <c r="J2247" s="15">
        <v>20.12</v>
      </c>
      <c r="K2247" s="16">
        <f>IF(COUNTIFS(Release_Calendar!$A$2:$A$755,"US_CPI",Release_Calendar!$B$2:$B$755,$A2247)&gt;0,1,0)</f>
        <v>0</v>
      </c>
      <c r="L2247" s="16">
        <f>IF(COUNTIFS(Release_Calendar!$A$2:$A$755,"US_NFP",Release_Calendar!$B$2:$B$755,$A2247)&gt;0,1,0)</f>
        <v>0</v>
      </c>
      <c r="M2247" s="16" t="str">
        <f>IF($A2247&lt;Notes!$B$5,"",IF(COUNTIFS(Release_Calendar!$A$2:$A$755,"NZ_CPI",Release_Calendar!$B$2:$B$755,$A2247)&gt;0,1,0))</f>
        <v/>
      </c>
      <c r="N2247" s="16" t="str">
        <f>IF($A2247&lt;Notes!$B$5,"",IF(COUNTIFS(Release_Calendar!$A$2:$A$755,"NZ_GDP",Release_Calendar!$B$2:$B$755,$A2247)&gt;0,1,0))</f>
        <v/>
      </c>
      <c r="O2247" s="16" t="str">
        <f>IF($A2247&lt;Notes!$B$5,"",IF(COUNTIFS(Release_Calendar!$A$2:$A$755,"NZ_LABOUR",Release_Calendar!$B$2:$B$755,$A2247)&gt;0,1,0))</f>
        <v/>
      </c>
      <c r="P2247" s="16">
        <f t="shared" si="4"/>
        <v>0</v>
      </c>
    </row>
    <row r="2248" ht="15.75" customHeight="1">
      <c r="A2248" s="14">
        <v>39672.0</v>
      </c>
      <c r="B2248" s="15">
        <v>2.45</v>
      </c>
      <c r="C2248" s="15"/>
      <c r="D2248" s="15">
        <v>6.24</v>
      </c>
      <c r="E2248" s="15"/>
      <c r="F2248" s="15" t="str">
        <f t="shared" si="1"/>
        <v/>
      </c>
      <c r="G2248" s="15">
        <f t="shared" si="2"/>
        <v>6.24</v>
      </c>
      <c r="H2248" s="16">
        <v>1.0</v>
      </c>
      <c r="I2248" s="15">
        <f t="shared" si="3"/>
        <v>3.79</v>
      </c>
      <c r="J2248" s="15">
        <v>21.17</v>
      </c>
      <c r="K2248" s="16">
        <f>IF(COUNTIFS(Release_Calendar!$A$2:$A$755,"US_CPI",Release_Calendar!$B$2:$B$755,$A2248)&gt;0,1,0)</f>
        <v>0</v>
      </c>
      <c r="L2248" s="16">
        <f>IF(COUNTIFS(Release_Calendar!$A$2:$A$755,"US_NFP",Release_Calendar!$B$2:$B$755,$A2248)&gt;0,1,0)</f>
        <v>0</v>
      </c>
      <c r="M2248" s="16" t="str">
        <f>IF($A2248&lt;Notes!$B$5,"",IF(COUNTIFS(Release_Calendar!$A$2:$A$755,"NZ_CPI",Release_Calendar!$B$2:$B$755,$A2248)&gt;0,1,0))</f>
        <v/>
      </c>
      <c r="N2248" s="16" t="str">
        <f>IF($A2248&lt;Notes!$B$5,"",IF(COUNTIFS(Release_Calendar!$A$2:$A$755,"NZ_GDP",Release_Calendar!$B$2:$B$755,$A2248)&gt;0,1,0))</f>
        <v/>
      </c>
      <c r="O2248" s="16" t="str">
        <f>IF($A2248&lt;Notes!$B$5,"",IF(COUNTIFS(Release_Calendar!$A$2:$A$755,"NZ_LABOUR",Release_Calendar!$B$2:$B$755,$A2248)&gt;0,1,0))</f>
        <v/>
      </c>
      <c r="P2248" s="16">
        <f t="shared" si="4"/>
        <v>0</v>
      </c>
    </row>
    <row r="2249" ht="15.75" customHeight="1">
      <c r="A2249" s="14">
        <v>39673.0</v>
      </c>
      <c r="B2249" s="15">
        <v>2.5</v>
      </c>
      <c r="C2249" s="15"/>
      <c r="D2249" s="15">
        <v>6.24</v>
      </c>
      <c r="E2249" s="15"/>
      <c r="F2249" s="15" t="str">
        <f t="shared" si="1"/>
        <v/>
      </c>
      <c r="G2249" s="15">
        <f t="shared" si="2"/>
        <v>6.24</v>
      </c>
      <c r="H2249" s="16">
        <v>1.0</v>
      </c>
      <c r="I2249" s="15">
        <f t="shared" si="3"/>
        <v>3.74</v>
      </c>
      <c r="J2249" s="15">
        <v>21.55</v>
      </c>
      <c r="K2249" s="16">
        <f>IF(COUNTIFS(Release_Calendar!$A$2:$A$755,"US_CPI",Release_Calendar!$B$2:$B$755,$A2249)&gt;0,1,0)</f>
        <v>0</v>
      </c>
      <c r="L2249" s="16">
        <f>IF(COUNTIFS(Release_Calendar!$A$2:$A$755,"US_NFP",Release_Calendar!$B$2:$B$755,$A2249)&gt;0,1,0)</f>
        <v>0</v>
      </c>
      <c r="M2249" s="16" t="str">
        <f>IF($A2249&lt;Notes!$B$5,"",IF(COUNTIFS(Release_Calendar!$A$2:$A$755,"NZ_CPI",Release_Calendar!$B$2:$B$755,$A2249)&gt;0,1,0))</f>
        <v/>
      </c>
      <c r="N2249" s="16" t="str">
        <f>IF($A2249&lt;Notes!$B$5,"",IF(COUNTIFS(Release_Calendar!$A$2:$A$755,"NZ_GDP",Release_Calendar!$B$2:$B$755,$A2249)&gt;0,1,0))</f>
        <v/>
      </c>
      <c r="O2249" s="16" t="str">
        <f>IF($A2249&lt;Notes!$B$5,"",IF(COUNTIFS(Release_Calendar!$A$2:$A$755,"NZ_LABOUR",Release_Calendar!$B$2:$B$755,$A2249)&gt;0,1,0))</f>
        <v/>
      </c>
      <c r="P2249" s="16">
        <f t="shared" si="4"/>
        <v>0</v>
      </c>
    </row>
    <row r="2250" ht="15.75" customHeight="1">
      <c r="A2250" s="14">
        <v>39674.0</v>
      </c>
      <c r="B2250" s="15">
        <v>2.45</v>
      </c>
      <c r="C2250" s="15"/>
      <c r="D2250" s="15">
        <v>6.27</v>
      </c>
      <c r="E2250" s="15"/>
      <c r="F2250" s="15" t="str">
        <f t="shared" si="1"/>
        <v/>
      </c>
      <c r="G2250" s="15">
        <f t="shared" si="2"/>
        <v>6.27</v>
      </c>
      <c r="H2250" s="16">
        <v>1.0</v>
      </c>
      <c r="I2250" s="15">
        <f t="shared" si="3"/>
        <v>3.82</v>
      </c>
      <c r="J2250" s="15">
        <v>20.34</v>
      </c>
      <c r="K2250" s="16">
        <f>IF(COUNTIFS(Release_Calendar!$A$2:$A$755,"US_CPI",Release_Calendar!$B$2:$B$755,$A2250)&gt;0,1,0)</f>
        <v>1</v>
      </c>
      <c r="L2250" s="16">
        <f>IF(COUNTIFS(Release_Calendar!$A$2:$A$755,"US_NFP",Release_Calendar!$B$2:$B$755,$A2250)&gt;0,1,0)</f>
        <v>0</v>
      </c>
      <c r="M2250" s="16" t="str">
        <f>IF($A2250&lt;Notes!$B$5,"",IF(COUNTIFS(Release_Calendar!$A$2:$A$755,"NZ_CPI",Release_Calendar!$B$2:$B$755,$A2250)&gt;0,1,0))</f>
        <v/>
      </c>
      <c r="N2250" s="16" t="str">
        <f>IF($A2250&lt;Notes!$B$5,"",IF(COUNTIFS(Release_Calendar!$A$2:$A$755,"NZ_GDP",Release_Calendar!$B$2:$B$755,$A2250)&gt;0,1,0))</f>
        <v/>
      </c>
      <c r="O2250" s="16" t="str">
        <f>IF($A2250&lt;Notes!$B$5,"",IF(COUNTIFS(Release_Calendar!$A$2:$A$755,"NZ_LABOUR",Release_Calendar!$B$2:$B$755,$A2250)&gt;0,1,0))</f>
        <v/>
      </c>
      <c r="P2250" s="16">
        <f t="shared" si="4"/>
        <v>1</v>
      </c>
    </row>
    <row r="2251" ht="15.75" customHeight="1">
      <c r="A2251" s="14">
        <v>39675.0</v>
      </c>
      <c r="B2251" s="15">
        <v>2.4</v>
      </c>
      <c r="C2251" s="15"/>
      <c r="D2251" s="15">
        <v>6.26</v>
      </c>
      <c r="E2251" s="15"/>
      <c r="F2251" s="15" t="str">
        <f t="shared" si="1"/>
        <v/>
      </c>
      <c r="G2251" s="15">
        <f t="shared" si="2"/>
        <v>6.26</v>
      </c>
      <c r="H2251" s="16">
        <v>1.0</v>
      </c>
      <c r="I2251" s="15">
        <f t="shared" si="3"/>
        <v>3.86</v>
      </c>
      <c r="J2251" s="15">
        <v>19.58</v>
      </c>
      <c r="K2251" s="16">
        <f>IF(COUNTIFS(Release_Calendar!$A$2:$A$755,"US_CPI",Release_Calendar!$B$2:$B$755,$A2251)&gt;0,1,0)</f>
        <v>0</v>
      </c>
      <c r="L2251" s="16">
        <f>IF(COUNTIFS(Release_Calendar!$A$2:$A$755,"US_NFP",Release_Calendar!$B$2:$B$755,$A2251)&gt;0,1,0)</f>
        <v>0</v>
      </c>
      <c r="M2251" s="16" t="str">
        <f>IF($A2251&lt;Notes!$B$5,"",IF(COUNTIFS(Release_Calendar!$A$2:$A$755,"NZ_CPI",Release_Calendar!$B$2:$B$755,$A2251)&gt;0,1,0))</f>
        <v/>
      </c>
      <c r="N2251" s="16" t="str">
        <f>IF($A2251&lt;Notes!$B$5,"",IF(COUNTIFS(Release_Calendar!$A$2:$A$755,"NZ_GDP",Release_Calendar!$B$2:$B$755,$A2251)&gt;0,1,0))</f>
        <v/>
      </c>
      <c r="O2251" s="16" t="str">
        <f>IF($A2251&lt;Notes!$B$5,"",IF(COUNTIFS(Release_Calendar!$A$2:$A$755,"NZ_LABOUR",Release_Calendar!$B$2:$B$755,$A2251)&gt;0,1,0))</f>
        <v/>
      </c>
      <c r="P2251" s="16">
        <f t="shared" si="4"/>
        <v>0</v>
      </c>
    </row>
    <row r="2252" ht="15.75" customHeight="1">
      <c r="A2252" s="14">
        <v>39678.0</v>
      </c>
      <c r="B2252" s="15">
        <v>2.35</v>
      </c>
      <c r="C2252" s="15"/>
      <c r="D2252" s="15">
        <v>6.25</v>
      </c>
      <c r="E2252" s="15"/>
      <c r="F2252" s="15" t="str">
        <f t="shared" si="1"/>
        <v/>
      </c>
      <c r="G2252" s="15">
        <f t="shared" si="2"/>
        <v>6.25</v>
      </c>
      <c r="H2252" s="16">
        <v>1.0</v>
      </c>
      <c r="I2252" s="15">
        <f t="shared" si="3"/>
        <v>3.9</v>
      </c>
      <c r="J2252" s="15">
        <v>20.98</v>
      </c>
      <c r="K2252" s="16">
        <f>IF(COUNTIFS(Release_Calendar!$A$2:$A$755,"US_CPI",Release_Calendar!$B$2:$B$755,$A2252)&gt;0,1,0)</f>
        <v>0</v>
      </c>
      <c r="L2252" s="16">
        <f>IF(COUNTIFS(Release_Calendar!$A$2:$A$755,"US_NFP",Release_Calendar!$B$2:$B$755,$A2252)&gt;0,1,0)</f>
        <v>0</v>
      </c>
      <c r="M2252" s="16" t="str">
        <f>IF($A2252&lt;Notes!$B$5,"",IF(COUNTIFS(Release_Calendar!$A$2:$A$755,"NZ_CPI",Release_Calendar!$B$2:$B$755,$A2252)&gt;0,1,0))</f>
        <v/>
      </c>
      <c r="N2252" s="16" t="str">
        <f>IF($A2252&lt;Notes!$B$5,"",IF(COUNTIFS(Release_Calendar!$A$2:$A$755,"NZ_GDP",Release_Calendar!$B$2:$B$755,$A2252)&gt;0,1,0))</f>
        <v/>
      </c>
      <c r="O2252" s="16" t="str">
        <f>IF($A2252&lt;Notes!$B$5,"",IF(COUNTIFS(Release_Calendar!$A$2:$A$755,"NZ_LABOUR",Release_Calendar!$B$2:$B$755,$A2252)&gt;0,1,0))</f>
        <v/>
      </c>
      <c r="P2252" s="16">
        <f t="shared" si="4"/>
        <v>0</v>
      </c>
    </row>
    <row r="2253" ht="15.75" customHeight="1">
      <c r="A2253" s="14">
        <v>39679.0</v>
      </c>
      <c r="B2253" s="15">
        <v>2.32</v>
      </c>
      <c r="C2253" s="15"/>
      <c r="D2253" s="15">
        <v>6.25</v>
      </c>
      <c r="E2253" s="15"/>
      <c r="F2253" s="15" t="str">
        <f t="shared" si="1"/>
        <v/>
      </c>
      <c r="G2253" s="15">
        <f t="shared" si="2"/>
        <v>6.25</v>
      </c>
      <c r="H2253" s="16">
        <v>1.0</v>
      </c>
      <c r="I2253" s="15">
        <f t="shared" si="3"/>
        <v>3.93</v>
      </c>
      <c r="J2253" s="15">
        <v>21.28</v>
      </c>
      <c r="K2253" s="16">
        <f>IF(COUNTIFS(Release_Calendar!$A$2:$A$755,"US_CPI",Release_Calendar!$B$2:$B$755,$A2253)&gt;0,1,0)</f>
        <v>0</v>
      </c>
      <c r="L2253" s="16">
        <f>IF(COUNTIFS(Release_Calendar!$A$2:$A$755,"US_NFP",Release_Calendar!$B$2:$B$755,$A2253)&gt;0,1,0)</f>
        <v>0</v>
      </c>
      <c r="M2253" s="16" t="str">
        <f>IF($A2253&lt;Notes!$B$5,"",IF(COUNTIFS(Release_Calendar!$A$2:$A$755,"NZ_CPI",Release_Calendar!$B$2:$B$755,$A2253)&gt;0,1,0))</f>
        <v/>
      </c>
      <c r="N2253" s="16" t="str">
        <f>IF($A2253&lt;Notes!$B$5,"",IF(COUNTIFS(Release_Calendar!$A$2:$A$755,"NZ_GDP",Release_Calendar!$B$2:$B$755,$A2253)&gt;0,1,0))</f>
        <v/>
      </c>
      <c r="O2253" s="16" t="str">
        <f>IF($A2253&lt;Notes!$B$5,"",IF(COUNTIFS(Release_Calendar!$A$2:$A$755,"NZ_LABOUR",Release_Calendar!$B$2:$B$755,$A2253)&gt;0,1,0))</f>
        <v/>
      </c>
      <c r="P2253" s="16">
        <f t="shared" si="4"/>
        <v>0</v>
      </c>
    </row>
    <row r="2254" ht="15.75" customHeight="1">
      <c r="A2254" s="14">
        <v>39680.0</v>
      </c>
      <c r="B2254" s="15">
        <v>2.25</v>
      </c>
      <c r="C2254" s="15"/>
      <c r="D2254" s="15">
        <v>6.25</v>
      </c>
      <c r="E2254" s="15"/>
      <c r="F2254" s="15" t="str">
        <f t="shared" si="1"/>
        <v/>
      </c>
      <c r="G2254" s="15">
        <f t="shared" si="2"/>
        <v>6.25</v>
      </c>
      <c r="H2254" s="16">
        <v>1.0</v>
      </c>
      <c r="I2254" s="15">
        <f t="shared" si="3"/>
        <v>4</v>
      </c>
      <c r="J2254" s="15">
        <v>20.42</v>
      </c>
      <c r="K2254" s="16">
        <f>IF(COUNTIFS(Release_Calendar!$A$2:$A$755,"US_CPI",Release_Calendar!$B$2:$B$755,$A2254)&gt;0,1,0)</f>
        <v>0</v>
      </c>
      <c r="L2254" s="16">
        <f>IF(COUNTIFS(Release_Calendar!$A$2:$A$755,"US_NFP",Release_Calendar!$B$2:$B$755,$A2254)&gt;0,1,0)</f>
        <v>0</v>
      </c>
      <c r="M2254" s="16" t="str">
        <f>IF($A2254&lt;Notes!$B$5,"",IF(COUNTIFS(Release_Calendar!$A$2:$A$755,"NZ_CPI",Release_Calendar!$B$2:$B$755,$A2254)&gt;0,1,0))</f>
        <v/>
      </c>
      <c r="N2254" s="16" t="str">
        <f>IF($A2254&lt;Notes!$B$5,"",IF(COUNTIFS(Release_Calendar!$A$2:$A$755,"NZ_GDP",Release_Calendar!$B$2:$B$755,$A2254)&gt;0,1,0))</f>
        <v/>
      </c>
      <c r="O2254" s="16" t="str">
        <f>IF($A2254&lt;Notes!$B$5,"",IF(COUNTIFS(Release_Calendar!$A$2:$A$755,"NZ_LABOUR",Release_Calendar!$B$2:$B$755,$A2254)&gt;0,1,0))</f>
        <v/>
      </c>
      <c r="P2254" s="16">
        <f t="shared" si="4"/>
        <v>0</v>
      </c>
    </row>
    <row r="2255" ht="15.75" customHeight="1">
      <c r="A2255" s="14">
        <v>39681.0</v>
      </c>
      <c r="B2255" s="15">
        <v>2.33</v>
      </c>
      <c r="C2255" s="15"/>
      <c r="D2255" s="15">
        <v>6.24</v>
      </c>
      <c r="E2255" s="15"/>
      <c r="F2255" s="15" t="str">
        <f t="shared" si="1"/>
        <v/>
      </c>
      <c r="G2255" s="15">
        <f t="shared" si="2"/>
        <v>6.24</v>
      </c>
      <c r="H2255" s="16">
        <v>1.0</v>
      </c>
      <c r="I2255" s="15">
        <f t="shared" si="3"/>
        <v>3.91</v>
      </c>
      <c r="J2255" s="15">
        <v>19.82</v>
      </c>
      <c r="K2255" s="16">
        <f>IF(COUNTIFS(Release_Calendar!$A$2:$A$755,"US_CPI",Release_Calendar!$B$2:$B$755,$A2255)&gt;0,1,0)</f>
        <v>0</v>
      </c>
      <c r="L2255" s="16">
        <f>IF(COUNTIFS(Release_Calendar!$A$2:$A$755,"US_NFP",Release_Calendar!$B$2:$B$755,$A2255)&gt;0,1,0)</f>
        <v>0</v>
      </c>
      <c r="M2255" s="16" t="str">
        <f>IF($A2255&lt;Notes!$B$5,"",IF(COUNTIFS(Release_Calendar!$A$2:$A$755,"NZ_CPI",Release_Calendar!$B$2:$B$755,$A2255)&gt;0,1,0))</f>
        <v/>
      </c>
      <c r="N2255" s="16" t="str">
        <f>IF($A2255&lt;Notes!$B$5,"",IF(COUNTIFS(Release_Calendar!$A$2:$A$755,"NZ_GDP",Release_Calendar!$B$2:$B$755,$A2255)&gt;0,1,0))</f>
        <v/>
      </c>
      <c r="O2255" s="16" t="str">
        <f>IF($A2255&lt;Notes!$B$5,"",IF(COUNTIFS(Release_Calendar!$A$2:$A$755,"NZ_LABOUR",Release_Calendar!$B$2:$B$755,$A2255)&gt;0,1,0))</f>
        <v/>
      </c>
      <c r="P2255" s="16">
        <f t="shared" si="4"/>
        <v>0</v>
      </c>
    </row>
    <row r="2256" ht="15.75" customHeight="1">
      <c r="A2256" s="14">
        <v>39682.0</v>
      </c>
      <c r="B2256" s="15">
        <v>2.42</v>
      </c>
      <c r="C2256" s="15"/>
      <c r="D2256" s="15">
        <v>6.18</v>
      </c>
      <c r="E2256" s="15"/>
      <c r="F2256" s="15" t="str">
        <f t="shared" si="1"/>
        <v/>
      </c>
      <c r="G2256" s="15">
        <f t="shared" si="2"/>
        <v>6.18</v>
      </c>
      <c r="H2256" s="16">
        <v>1.0</v>
      </c>
      <c r="I2256" s="15">
        <f t="shared" si="3"/>
        <v>3.76</v>
      </c>
      <c r="J2256" s="15">
        <v>18.81</v>
      </c>
      <c r="K2256" s="16">
        <f>IF(COUNTIFS(Release_Calendar!$A$2:$A$755,"US_CPI",Release_Calendar!$B$2:$B$755,$A2256)&gt;0,1,0)</f>
        <v>0</v>
      </c>
      <c r="L2256" s="16">
        <f>IF(COUNTIFS(Release_Calendar!$A$2:$A$755,"US_NFP",Release_Calendar!$B$2:$B$755,$A2256)&gt;0,1,0)</f>
        <v>0</v>
      </c>
      <c r="M2256" s="16" t="str">
        <f>IF($A2256&lt;Notes!$B$5,"",IF(COUNTIFS(Release_Calendar!$A$2:$A$755,"NZ_CPI",Release_Calendar!$B$2:$B$755,$A2256)&gt;0,1,0))</f>
        <v/>
      </c>
      <c r="N2256" s="16" t="str">
        <f>IF($A2256&lt;Notes!$B$5,"",IF(COUNTIFS(Release_Calendar!$A$2:$A$755,"NZ_GDP",Release_Calendar!$B$2:$B$755,$A2256)&gt;0,1,0))</f>
        <v/>
      </c>
      <c r="O2256" s="16" t="str">
        <f>IF($A2256&lt;Notes!$B$5,"",IF(COUNTIFS(Release_Calendar!$A$2:$A$755,"NZ_LABOUR",Release_Calendar!$B$2:$B$755,$A2256)&gt;0,1,0))</f>
        <v/>
      </c>
      <c r="P2256" s="16">
        <f t="shared" si="4"/>
        <v>0</v>
      </c>
    </row>
    <row r="2257" ht="15.75" customHeight="1">
      <c r="A2257" s="14">
        <v>39685.0</v>
      </c>
      <c r="B2257" s="15">
        <v>2.33</v>
      </c>
      <c r="C2257" s="15"/>
      <c r="D2257" s="15">
        <v>6.18</v>
      </c>
      <c r="E2257" s="15"/>
      <c r="F2257" s="15" t="str">
        <f t="shared" si="1"/>
        <v/>
      </c>
      <c r="G2257" s="15">
        <f t="shared" si="2"/>
        <v>6.18</v>
      </c>
      <c r="H2257" s="16">
        <v>1.0</v>
      </c>
      <c r="I2257" s="15">
        <f t="shared" si="3"/>
        <v>3.85</v>
      </c>
      <c r="J2257" s="15">
        <v>20.97</v>
      </c>
      <c r="K2257" s="16">
        <f>IF(COUNTIFS(Release_Calendar!$A$2:$A$755,"US_CPI",Release_Calendar!$B$2:$B$755,$A2257)&gt;0,1,0)</f>
        <v>0</v>
      </c>
      <c r="L2257" s="16">
        <f>IF(COUNTIFS(Release_Calendar!$A$2:$A$755,"US_NFP",Release_Calendar!$B$2:$B$755,$A2257)&gt;0,1,0)</f>
        <v>0</v>
      </c>
      <c r="M2257" s="16" t="str">
        <f>IF($A2257&lt;Notes!$B$5,"",IF(COUNTIFS(Release_Calendar!$A$2:$A$755,"NZ_CPI",Release_Calendar!$B$2:$B$755,$A2257)&gt;0,1,0))</f>
        <v/>
      </c>
      <c r="N2257" s="16" t="str">
        <f>IF($A2257&lt;Notes!$B$5,"",IF(COUNTIFS(Release_Calendar!$A$2:$A$755,"NZ_GDP",Release_Calendar!$B$2:$B$755,$A2257)&gt;0,1,0))</f>
        <v/>
      </c>
      <c r="O2257" s="16" t="str">
        <f>IF($A2257&lt;Notes!$B$5,"",IF(COUNTIFS(Release_Calendar!$A$2:$A$755,"NZ_LABOUR",Release_Calendar!$B$2:$B$755,$A2257)&gt;0,1,0))</f>
        <v/>
      </c>
      <c r="P2257" s="16">
        <f t="shared" si="4"/>
        <v>0</v>
      </c>
    </row>
    <row r="2258" ht="15.75" customHeight="1">
      <c r="A2258" s="14">
        <v>39686.0</v>
      </c>
      <c r="B2258" s="15">
        <v>2.35</v>
      </c>
      <c r="C2258" s="15"/>
      <c r="D2258" s="15">
        <v>6.17</v>
      </c>
      <c r="E2258" s="15"/>
      <c r="F2258" s="15" t="str">
        <f t="shared" si="1"/>
        <v/>
      </c>
      <c r="G2258" s="15">
        <f t="shared" si="2"/>
        <v>6.17</v>
      </c>
      <c r="H2258" s="16">
        <v>1.0</v>
      </c>
      <c r="I2258" s="15">
        <f t="shared" si="3"/>
        <v>3.82</v>
      </c>
      <c r="J2258" s="15">
        <v>20.49</v>
      </c>
      <c r="K2258" s="16">
        <f>IF(COUNTIFS(Release_Calendar!$A$2:$A$755,"US_CPI",Release_Calendar!$B$2:$B$755,$A2258)&gt;0,1,0)</f>
        <v>0</v>
      </c>
      <c r="L2258" s="16">
        <f>IF(COUNTIFS(Release_Calendar!$A$2:$A$755,"US_NFP",Release_Calendar!$B$2:$B$755,$A2258)&gt;0,1,0)</f>
        <v>0</v>
      </c>
      <c r="M2258" s="16" t="str">
        <f>IF($A2258&lt;Notes!$B$5,"",IF(COUNTIFS(Release_Calendar!$A$2:$A$755,"NZ_CPI",Release_Calendar!$B$2:$B$755,$A2258)&gt;0,1,0))</f>
        <v/>
      </c>
      <c r="N2258" s="16" t="str">
        <f>IF($A2258&lt;Notes!$B$5,"",IF(COUNTIFS(Release_Calendar!$A$2:$A$755,"NZ_GDP",Release_Calendar!$B$2:$B$755,$A2258)&gt;0,1,0))</f>
        <v/>
      </c>
      <c r="O2258" s="16" t="str">
        <f>IF($A2258&lt;Notes!$B$5,"",IF(COUNTIFS(Release_Calendar!$A$2:$A$755,"NZ_LABOUR",Release_Calendar!$B$2:$B$755,$A2258)&gt;0,1,0))</f>
        <v/>
      </c>
      <c r="P2258" s="16">
        <f t="shared" si="4"/>
        <v>0</v>
      </c>
    </row>
    <row r="2259" ht="15.75" customHeight="1">
      <c r="A2259" s="14">
        <v>39687.0</v>
      </c>
      <c r="B2259" s="15">
        <v>2.31</v>
      </c>
      <c r="C2259" s="15"/>
      <c r="D2259" s="15">
        <v>6.13</v>
      </c>
      <c r="E2259" s="15"/>
      <c r="F2259" s="15" t="str">
        <f t="shared" si="1"/>
        <v/>
      </c>
      <c r="G2259" s="15">
        <f t="shared" si="2"/>
        <v>6.13</v>
      </c>
      <c r="H2259" s="16">
        <v>1.0</v>
      </c>
      <c r="I2259" s="15">
        <f t="shared" si="3"/>
        <v>3.82</v>
      </c>
      <c r="J2259" s="15">
        <v>19.76</v>
      </c>
      <c r="K2259" s="16">
        <f>IF(COUNTIFS(Release_Calendar!$A$2:$A$755,"US_CPI",Release_Calendar!$B$2:$B$755,$A2259)&gt;0,1,0)</f>
        <v>0</v>
      </c>
      <c r="L2259" s="16">
        <f>IF(COUNTIFS(Release_Calendar!$A$2:$A$755,"US_NFP",Release_Calendar!$B$2:$B$755,$A2259)&gt;0,1,0)</f>
        <v>0</v>
      </c>
      <c r="M2259" s="16" t="str">
        <f>IF($A2259&lt;Notes!$B$5,"",IF(COUNTIFS(Release_Calendar!$A$2:$A$755,"NZ_CPI",Release_Calendar!$B$2:$B$755,$A2259)&gt;0,1,0))</f>
        <v/>
      </c>
      <c r="N2259" s="16" t="str">
        <f>IF($A2259&lt;Notes!$B$5,"",IF(COUNTIFS(Release_Calendar!$A$2:$A$755,"NZ_GDP",Release_Calendar!$B$2:$B$755,$A2259)&gt;0,1,0))</f>
        <v/>
      </c>
      <c r="O2259" s="16" t="str">
        <f>IF($A2259&lt;Notes!$B$5,"",IF(COUNTIFS(Release_Calendar!$A$2:$A$755,"NZ_LABOUR",Release_Calendar!$B$2:$B$755,$A2259)&gt;0,1,0))</f>
        <v/>
      </c>
      <c r="P2259" s="16">
        <f t="shared" si="4"/>
        <v>0</v>
      </c>
    </row>
    <row r="2260" ht="15.75" customHeight="1">
      <c r="A2260" s="14">
        <v>39688.0</v>
      </c>
      <c r="B2260" s="15">
        <v>2.37</v>
      </c>
      <c r="C2260" s="15"/>
      <c r="D2260" s="15">
        <v>6.13</v>
      </c>
      <c r="E2260" s="15"/>
      <c r="F2260" s="15" t="str">
        <f t="shared" si="1"/>
        <v/>
      </c>
      <c r="G2260" s="15">
        <f t="shared" si="2"/>
        <v>6.13</v>
      </c>
      <c r="H2260" s="16">
        <v>1.0</v>
      </c>
      <c r="I2260" s="15">
        <f t="shared" si="3"/>
        <v>3.76</v>
      </c>
      <c r="J2260" s="15">
        <v>19.43</v>
      </c>
      <c r="K2260" s="16">
        <f>IF(COUNTIFS(Release_Calendar!$A$2:$A$755,"US_CPI",Release_Calendar!$B$2:$B$755,$A2260)&gt;0,1,0)</f>
        <v>0</v>
      </c>
      <c r="L2260" s="16">
        <f>IF(COUNTIFS(Release_Calendar!$A$2:$A$755,"US_NFP",Release_Calendar!$B$2:$B$755,$A2260)&gt;0,1,0)</f>
        <v>0</v>
      </c>
      <c r="M2260" s="16" t="str">
        <f>IF($A2260&lt;Notes!$B$5,"",IF(COUNTIFS(Release_Calendar!$A$2:$A$755,"NZ_CPI",Release_Calendar!$B$2:$B$755,$A2260)&gt;0,1,0))</f>
        <v/>
      </c>
      <c r="N2260" s="16" t="str">
        <f>IF($A2260&lt;Notes!$B$5,"",IF(COUNTIFS(Release_Calendar!$A$2:$A$755,"NZ_GDP",Release_Calendar!$B$2:$B$755,$A2260)&gt;0,1,0))</f>
        <v/>
      </c>
      <c r="O2260" s="16" t="str">
        <f>IF($A2260&lt;Notes!$B$5,"",IF(COUNTIFS(Release_Calendar!$A$2:$A$755,"NZ_LABOUR",Release_Calendar!$B$2:$B$755,$A2260)&gt;0,1,0))</f>
        <v/>
      </c>
      <c r="P2260" s="16">
        <f t="shared" si="4"/>
        <v>0</v>
      </c>
    </row>
    <row r="2261" ht="15.75" customHeight="1">
      <c r="A2261" s="14">
        <v>39689.0</v>
      </c>
      <c r="B2261" s="15">
        <v>2.36</v>
      </c>
      <c r="C2261" s="15"/>
      <c r="D2261" s="15">
        <v>6.1</v>
      </c>
      <c r="E2261" s="15"/>
      <c r="F2261" s="15" t="str">
        <f t="shared" si="1"/>
        <v/>
      </c>
      <c r="G2261" s="15">
        <f t="shared" si="2"/>
        <v>6.1</v>
      </c>
      <c r="H2261" s="16">
        <v>1.0</v>
      </c>
      <c r="I2261" s="15">
        <f t="shared" si="3"/>
        <v>3.74</v>
      </c>
      <c r="J2261" s="15">
        <v>20.65</v>
      </c>
      <c r="K2261" s="16">
        <f>IF(COUNTIFS(Release_Calendar!$A$2:$A$755,"US_CPI",Release_Calendar!$B$2:$B$755,$A2261)&gt;0,1,0)</f>
        <v>0</v>
      </c>
      <c r="L2261" s="16">
        <f>IF(COUNTIFS(Release_Calendar!$A$2:$A$755,"US_NFP",Release_Calendar!$B$2:$B$755,$A2261)&gt;0,1,0)</f>
        <v>0</v>
      </c>
      <c r="M2261" s="16" t="str">
        <f>IF($A2261&lt;Notes!$B$5,"",IF(COUNTIFS(Release_Calendar!$A$2:$A$755,"NZ_CPI",Release_Calendar!$B$2:$B$755,$A2261)&gt;0,1,0))</f>
        <v/>
      </c>
      <c r="N2261" s="16" t="str">
        <f>IF($A2261&lt;Notes!$B$5,"",IF(COUNTIFS(Release_Calendar!$A$2:$A$755,"NZ_GDP",Release_Calendar!$B$2:$B$755,$A2261)&gt;0,1,0))</f>
        <v/>
      </c>
      <c r="O2261" s="16" t="str">
        <f>IF($A2261&lt;Notes!$B$5,"",IF(COUNTIFS(Release_Calendar!$A$2:$A$755,"NZ_LABOUR",Release_Calendar!$B$2:$B$755,$A2261)&gt;0,1,0))</f>
        <v/>
      </c>
      <c r="P2261" s="16">
        <f t="shared" si="4"/>
        <v>0</v>
      </c>
    </row>
    <row r="2262" ht="15.75" customHeight="1">
      <c r="A2262" s="14">
        <v>39692.0</v>
      </c>
      <c r="B2262" s="15"/>
      <c r="C2262" s="15"/>
      <c r="D2262" s="15">
        <v>6.06</v>
      </c>
      <c r="E2262" s="15"/>
      <c r="F2262" s="15" t="str">
        <f t="shared" si="1"/>
        <v/>
      </c>
      <c r="G2262" s="15">
        <f t="shared" si="2"/>
        <v>6.06</v>
      </c>
      <c r="H2262" s="16">
        <v>1.0</v>
      </c>
      <c r="I2262" s="15" t="str">
        <f t="shared" si="3"/>
        <v/>
      </c>
      <c r="J2262" s="15"/>
      <c r="K2262" s="16">
        <f>IF(COUNTIFS(Release_Calendar!$A$2:$A$755,"US_CPI",Release_Calendar!$B$2:$B$755,$A2262)&gt;0,1,0)</f>
        <v>0</v>
      </c>
      <c r="L2262" s="16">
        <f>IF(COUNTIFS(Release_Calendar!$A$2:$A$755,"US_NFP",Release_Calendar!$B$2:$B$755,$A2262)&gt;0,1,0)</f>
        <v>0</v>
      </c>
      <c r="M2262" s="16" t="str">
        <f>IF($A2262&lt;Notes!$B$5,"",IF(COUNTIFS(Release_Calendar!$A$2:$A$755,"NZ_CPI",Release_Calendar!$B$2:$B$755,$A2262)&gt;0,1,0))</f>
        <v/>
      </c>
      <c r="N2262" s="16" t="str">
        <f>IF($A2262&lt;Notes!$B$5,"",IF(COUNTIFS(Release_Calendar!$A$2:$A$755,"NZ_GDP",Release_Calendar!$B$2:$B$755,$A2262)&gt;0,1,0))</f>
        <v/>
      </c>
      <c r="O2262" s="16" t="str">
        <f>IF($A2262&lt;Notes!$B$5,"",IF(COUNTIFS(Release_Calendar!$A$2:$A$755,"NZ_LABOUR",Release_Calendar!$B$2:$B$755,$A2262)&gt;0,1,0))</f>
        <v/>
      </c>
      <c r="P2262" s="16">
        <f t="shared" si="4"/>
        <v>0</v>
      </c>
    </row>
    <row r="2263" ht="15.75" customHeight="1">
      <c r="A2263" s="14">
        <v>39693.0</v>
      </c>
      <c r="B2263" s="15">
        <v>2.26</v>
      </c>
      <c r="C2263" s="15"/>
      <c r="D2263" s="15">
        <v>6.05</v>
      </c>
      <c r="E2263" s="15"/>
      <c r="F2263" s="15" t="str">
        <f t="shared" si="1"/>
        <v/>
      </c>
      <c r="G2263" s="15">
        <f t="shared" si="2"/>
        <v>6.05</v>
      </c>
      <c r="H2263" s="16">
        <v>1.0</v>
      </c>
      <c r="I2263" s="15">
        <f t="shared" si="3"/>
        <v>3.79</v>
      </c>
      <c r="J2263" s="15">
        <v>21.99</v>
      </c>
      <c r="K2263" s="16">
        <f>IF(COUNTIFS(Release_Calendar!$A$2:$A$755,"US_CPI",Release_Calendar!$B$2:$B$755,$A2263)&gt;0,1,0)</f>
        <v>0</v>
      </c>
      <c r="L2263" s="16">
        <f>IF(COUNTIFS(Release_Calendar!$A$2:$A$755,"US_NFP",Release_Calendar!$B$2:$B$755,$A2263)&gt;0,1,0)</f>
        <v>0</v>
      </c>
      <c r="M2263" s="16" t="str">
        <f>IF($A2263&lt;Notes!$B$5,"",IF(COUNTIFS(Release_Calendar!$A$2:$A$755,"NZ_CPI",Release_Calendar!$B$2:$B$755,$A2263)&gt;0,1,0))</f>
        <v/>
      </c>
      <c r="N2263" s="16" t="str">
        <f>IF($A2263&lt;Notes!$B$5,"",IF(COUNTIFS(Release_Calendar!$A$2:$A$755,"NZ_GDP",Release_Calendar!$B$2:$B$755,$A2263)&gt;0,1,0))</f>
        <v/>
      </c>
      <c r="O2263" s="16" t="str">
        <f>IF($A2263&lt;Notes!$B$5,"",IF(COUNTIFS(Release_Calendar!$A$2:$A$755,"NZ_LABOUR",Release_Calendar!$B$2:$B$755,$A2263)&gt;0,1,0))</f>
        <v/>
      </c>
      <c r="P2263" s="16">
        <f t="shared" si="4"/>
        <v>0</v>
      </c>
    </row>
    <row r="2264" ht="15.75" customHeight="1">
      <c r="A2264" s="14">
        <v>39694.0</v>
      </c>
      <c r="B2264" s="15">
        <v>2.26</v>
      </c>
      <c r="C2264" s="15"/>
      <c r="D2264" s="15">
        <v>6.04</v>
      </c>
      <c r="E2264" s="15"/>
      <c r="F2264" s="15" t="str">
        <f t="shared" si="1"/>
        <v/>
      </c>
      <c r="G2264" s="15">
        <f t="shared" si="2"/>
        <v>6.04</v>
      </c>
      <c r="H2264" s="16">
        <v>1.0</v>
      </c>
      <c r="I2264" s="15">
        <f t="shared" si="3"/>
        <v>3.78</v>
      </c>
      <c r="J2264" s="15">
        <v>21.43</v>
      </c>
      <c r="K2264" s="16">
        <f>IF(COUNTIFS(Release_Calendar!$A$2:$A$755,"US_CPI",Release_Calendar!$B$2:$B$755,$A2264)&gt;0,1,0)</f>
        <v>0</v>
      </c>
      <c r="L2264" s="16">
        <f>IF(COUNTIFS(Release_Calendar!$A$2:$A$755,"US_NFP",Release_Calendar!$B$2:$B$755,$A2264)&gt;0,1,0)</f>
        <v>0</v>
      </c>
      <c r="M2264" s="16" t="str">
        <f>IF($A2264&lt;Notes!$B$5,"",IF(COUNTIFS(Release_Calendar!$A$2:$A$755,"NZ_CPI",Release_Calendar!$B$2:$B$755,$A2264)&gt;0,1,0))</f>
        <v/>
      </c>
      <c r="N2264" s="16" t="str">
        <f>IF($A2264&lt;Notes!$B$5,"",IF(COUNTIFS(Release_Calendar!$A$2:$A$755,"NZ_GDP",Release_Calendar!$B$2:$B$755,$A2264)&gt;0,1,0))</f>
        <v/>
      </c>
      <c r="O2264" s="16" t="str">
        <f>IF($A2264&lt;Notes!$B$5,"",IF(COUNTIFS(Release_Calendar!$A$2:$A$755,"NZ_LABOUR",Release_Calendar!$B$2:$B$755,$A2264)&gt;0,1,0))</f>
        <v/>
      </c>
      <c r="P2264" s="16">
        <f t="shared" si="4"/>
        <v>0</v>
      </c>
    </row>
    <row r="2265" ht="15.75" customHeight="1">
      <c r="A2265" s="14">
        <v>39695.0</v>
      </c>
      <c r="B2265" s="15">
        <v>2.2</v>
      </c>
      <c r="C2265" s="15"/>
      <c r="D2265" s="15">
        <v>6.01</v>
      </c>
      <c r="E2265" s="15"/>
      <c r="F2265" s="15" t="str">
        <f t="shared" si="1"/>
        <v/>
      </c>
      <c r="G2265" s="15">
        <f t="shared" si="2"/>
        <v>6.01</v>
      </c>
      <c r="H2265" s="16">
        <v>1.0</v>
      </c>
      <c r="I2265" s="15">
        <f t="shared" si="3"/>
        <v>3.81</v>
      </c>
      <c r="J2265" s="15">
        <v>24.03</v>
      </c>
      <c r="K2265" s="16">
        <f>IF(COUNTIFS(Release_Calendar!$A$2:$A$755,"US_CPI",Release_Calendar!$B$2:$B$755,$A2265)&gt;0,1,0)</f>
        <v>0</v>
      </c>
      <c r="L2265" s="16">
        <f>IF(COUNTIFS(Release_Calendar!$A$2:$A$755,"US_NFP",Release_Calendar!$B$2:$B$755,$A2265)&gt;0,1,0)</f>
        <v>0</v>
      </c>
      <c r="M2265" s="16" t="str">
        <f>IF($A2265&lt;Notes!$B$5,"",IF(COUNTIFS(Release_Calendar!$A$2:$A$755,"NZ_CPI",Release_Calendar!$B$2:$B$755,$A2265)&gt;0,1,0))</f>
        <v/>
      </c>
      <c r="N2265" s="16" t="str">
        <f>IF($A2265&lt;Notes!$B$5,"",IF(COUNTIFS(Release_Calendar!$A$2:$A$755,"NZ_GDP",Release_Calendar!$B$2:$B$755,$A2265)&gt;0,1,0))</f>
        <v/>
      </c>
      <c r="O2265" s="16" t="str">
        <f>IF($A2265&lt;Notes!$B$5,"",IF(COUNTIFS(Release_Calendar!$A$2:$A$755,"NZ_LABOUR",Release_Calendar!$B$2:$B$755,$A2265)&gt;0,1,0))</f>
        <v/>
      </c>
      <c r="P2265" s="16">
        <f t="shared" si="4"/>
        <v>0</v>
      </c>
    </row>
    <row r="2266" ht="15.75" customHeight="1">
      <c r="A2266" s="14">
        <v>39696.0</v>
      </c>
      <c r="B2266" s="15">
        <v>2.23</v>
      </c>
      <c r="C2266" s="15"/>
      <c r="D2266" s="15">
        <v>5.97</v>
      </c>
      <c r="E2266" s="15"/>
      <c r="F2266" s="15" t="str">
        <f t="shared" si="1"/>
        <v/>
      </c>
      <c r="G2266" s="15">
        <f t="shared" si="2"/>
        <v>5.97</v>
      </c>
      <c r="H2266" s="16">
        <v>1.0</v>
      </c>
      <c r="I2266" s="15">
        <f t="shared" si="3"/>
        <v>3.74</v>
      </c>
      <c r="J2266" s="15">
        <v>23.06</v>
      </c>
      <c r="K2266" s="16">
        <f>IF(COUNTIFS(Release_Calendar!$A$2:$A$755,"US_CPI",Release_Calendar!$B$2:$B$755,$A2266)&gt;0,1,0)</f>
        <v>0</v>
      </c>
      <c r="L2266" s="16">
        <f>IF(COUNTIFS(Release_Calendar!$A$2:$A$755,"US_NFP",Release_Calendar!$B$2:$B$755,$A2266)&gt;0,1,0)</f>
        <v>1</v>
      </c>
      <c r="M2266" s="16" t="str">
        <f>IF($A2266&lt;Notes!$B$5,"",IF(COUNTIFS(Release_Calendar!$A$2:$A$755,"NZ_CPI",Release_Calendar!$B$2:$B$755,$A2266)&gt;0,1,0))</f>
        <v/>
      </c>
      <c r="N2266" s="16" t="str">
        <f>IF($A2266&lt;Notes!$B$5,"",IF(COUNTIFS(Release_Calendar!$A$2:$A$755,"NZ_GDP",Release_Calendar!$B$2:$B$755,$A2266)&gt;0,1,0))</f>
        <v/>
      </c>
      <c r="O2266" s="16" t="str">
        <f>IF($A2266&lt;Notes!$B$5,"",IF(COUNTIFS(Release_Calendar!$A$2:$A$755,"NZ_LABOUR",Release_Calendar!$B$2:$B$755,$A2266)&gt;0,1,0))</f>
        <v/>
      </c>
      <c r="P2266" s="16">
        <f t="shared" si="4"/>
        <v>1</v>
      </c>
    </row>
    <row r="2267" ht="15.75" customHeight="1">
      <c r="A2267" s="14">
        <v>39699.0</v>
      </c>
      <c r="B2267" s="15">
        <v>2.3</v>
      </c>
      <c r="C2267" s="15"/>
      <c r="D2267" s="15">
        <v>6.05</v>
      </c>
      <c r="E2267" s="15"/>
      <c r="F2267" s="15" t="str">
        <f t="shared" si="1"/>
        <v/>
      </c>
      <c r="G2267" s="15">
        <f t="shared" si="2"/>
        <v>6.05</v>
      </c>
      <c r="H2267" s="16">
        <v>1.0</v>
      </c>
      <c r="I2267" s="15">
        <f t="shared" si="3"/>
        <v>3.75</v>
      </c>
      <c r="J2267" s="15">
        <v>22.64</v>
      </c>
      <c r="K2267" s="16">
        <f>IF(COUNTIFS(Release_Calendar!$A$2:$A$755,"US_CPI",Release_Calendar!$B$2:$B$755,$A2267)&gt;0,1,0)</f>
        <v>0</v>
      </c>
      <c r="L2267" s="16">
        <f>IF(COUNTIFS(Release_Calendar!$A$2:$A$755,"US_NFP",Release_Calendar!$B$2:$B$755,$A2267)&gt;0,1,0)</f>
        <v>0</v>
      </c>
      <c r="M2267" s="16" t="str">
        <f>IF($A2267&lt;Notes!$B$5,"",IF(COUNTIFS(Release_Calendar!$A$2:$A$755,"NZ_CPI",Release_Calendar!$B$2:$B$755,$A2267)&gt;0,1,0))</f>
        <v/>
      </c>
      <c r="N2267" s="16" t="str">
        <f>IF($A2267&lt;Notes!$B$5,"",IF(COUNTIFS(Release_Calendar!$A$2:$A$755,"NZ_GDP",Release_Calendar!$B$2:$B$755,$A2267)&gt;0,1,0))</f>
        <v/>
      </c>
      <c r="O2267" s="16" t="str">
        <f>IF($A2267&lt;Notes!$B$5,"",IF(COUNTIFS(Release_Calendar!$A$2:$A$755,"NZ_LABOUR",Release_Calendar!$B$2:$B$755,$A2267)&gt;0,1,0))</f>
        <v/>
      </c>
      <c r="P2267" s="16">
        <f t="shared" si="4"/>
        <v>0</v>
      </c>
    </row>
    <row r="2268" ht="15.75" customHeight="1">
      <c r="A2268" s="14">
        <v>39700.0</v>
      </c>
      <c r="B2268" s="15">
        <v>2.23</v>
      </c>
      <c r="C2268" s="15"/>
      <c r="D2268" s="15">
        <v>6.03</v>
      </c>
      <c r="E2268" s="15"/>
      <c r="F2268" s="15" t="str">
        <f t="shared" si="1"/>
        <v/>
      </c>
      <c r="G2268" s="15">
        <f t="shared" si="2"/>
        <v>6.03</v>
      </c>
      <c r="H2268" s="16">
        <v>1.0</v>
      </c>
      <c r="I2268" s="15">
        <f t="shared" si="3"/>
        <v>3.8</v>
      </c>
      <c r="J2268" s="15">
        <v>25.47</v>
      </c>
      <c r="K2268" s="16">
        <f>IF(COUNTIFS(Release_Calendar!$A$2:$A$755,"US_CPI",Release_Calendar!$B$2:$B$755,$A2268)&gt;0,1,0)</f>
        <v>0</v>
      </c>
      <c r="L2268" s="16">
        <f>IF(COUNTIFS(Release_Calendar!$A$2:$A$755,"US_NFP",Release_Calendar!$B$2:$B$755,$A2268)&gt;0,1,0)</f>
        <v>0</v>
      </c>
      <c r="M2268" s="16" t="str">
        <f>IF($A2268&lt;Notes!$B$5,"",IF(COUNTIFS(Release_Calendar!$A$2:$A$755,"NZ_CPI",Release_Calendar!$B$2:$B$755,$A2268)&gt;0,1,0))</f>
        <v/>
      </c>
      <c r="N2268" s="16" t="str">
        <f>IF($A2268&lt;Notes!$B$5,"",IF(COUNTIFS(Release_Calendar!$A$2:$A$755,"NZ_GDP",Release_Calendar!$B$2:$B$755,$A2268)&gt;0,1,0))</f>
        <v/>
      </c>
      <c r="O2268" s="16" t="str">
        <f>IF($A2268&lt;Notes!$B$5,"",IF(COUNTIFS(Release_Calendar!$A$2:$A$755,"NZ_LABOUR",Release_Calendar!$B$2:$B$755,$A2268)&gt;0,1,0))</f>
        <v/>
      </c>
      <c r="P2268" s="16">
        <f t="shared" si="4"/>
        <v>0</v>
      </c>
    </row>
    <row r="2269" ht="15.75" customHeight="1">
      <c r="A2269" s="14">
        <v>39701.0</v>
      </c>
      <c r="B2269" s="15">
        <v>2.22</v>
      </c>
      <c r="C2269" s="15"/>
      <c r="D2269" s="15">
        <v>5.9</v>
      </c>
      <c r="E2269" s="15"/>
      <c r="F2269" s="15" t="str">
        <f t="shared" si="1"/>
        <v/>
      </c>
      <c r="G2269" s="15">
        <f t="shared" si="2"/>
        <v>5.9</v>
      </c>
      <c r="H2269" s="16">
        <v>1.0</v>
      </c>
      <c r="I2269" s="15">
        <f t="shared" si="3"/>
        <v>3.68</v>
      </c>
      <c r="J2269" s="15">
        <v>24.52</v>
      </c>
      <c r="K2269" s="16">
        <f>IF(COUNTIFS(Release_Calendar!$A$2:$A$755,"US_CPI",Release_Calendar!$B$2:$B$755,$A2269)&gt;0,1,0)</f>
        <v>0</v>
      </c>
      <c r="L2269" s="16">
        <f>IF(COUNTIFS(Release_Calendar!$A$2:$A$755,"US_NFP",Release_Calendar!$B$2:$B$755,$A2269)&gt;0,1,0)</f>
        <v>0</v>
      </c>
      <c r="M2269" s="16" t="str">
        <f>IF($A2269&lt;Notes!$B$5,"",IF(COUNTIFS(Release_Calendar!$A$2:$A$755,"NZ_CPI",Release_Calendar!$B$2:$B$755,$A2269)&gt;0,1,0))</f>
        <v/>
      </c>
      <c r="N2269" s="16" t="str">
        <f>IF($A2269&lt;Notes!$B$5,"",IF(COUNTIFS(Release_Calendar!$A$2:$A$755,"NZ_GDP",Release_Calendar!$B$2:$B$755,$A2269)&gt;0,1,0))</f>
        <v/>
      </c>
      <c r="O2269" s="16" t="str">
        <f>IF($A2269&lt;Notes!$B$5,"",IF(COUNTIFS(Release_Calendar!$A$2:$A$755,"NZ_LABOUR",Release_Calendar!$B$2:$B$755,$A2269)&gt;0,1,0))</f>
        <v/>
      </c>
      <c r="P2269" s="16">
        <f t="shared" si="4"/>
        <v>0</v>
      </c>
    </row>
    <row r="2270" ht="15.75" customHeight="1">
      <c r="A2270" s="14">
        <v>39702.0</v>
      </c>
      <c r="B2270" s="15">
        <v>2.18</v>
      </c>
      <c r="C2270" s="15"/>
      <c r="D2270" s="15">
        <v>5.72</v>
      </c>
      <c r="E2270" s="15"/>
      <c r="F2270" s="15" t="str">
        <f t="shared" si="1"/>
        <v/>
      </c>
      <c r="G2270" s="15">
        <f t="shared" si="2"/>
        <v>5.72</v>
      </c>
      <c r="H2270" s="16">
        <v>1.0</v>
      </c>
      <c r="I2270" s="15">
        <f t="shared" si="3"/>
        <v>3.54</v>
      </c>
      <c r="J2270" s="15">
        <v>24.39</v>
      </c>
      <c r="K2270" s="16">
        <f>IF(COUNTIFS(Release_Calendar!$A$2:$A$755,"US_CPI",Release_Calendar!$B$2:$B$755,$A2270)&gt;0,1,0)</f>
        <v>0</v>
      </c>
      <c r="L2270" s="16">
        <f>IF(COUNTIFS(Release_Calendar!$A$2:$A$755,"US_NFP",Release_Calendar!$B$2:$B$755,$A2270)&gt;0,1,0)</f>
        <v>0</v>
      </c>
      <c r="M2270" s="16" t="str">
        <f>IF($A2270&lt;Notes!$B$5,"",IF(COUNTIFS(Release_Calendar!$A$2:$A$755,"NZ_CPI",Release_Calendar!$B$2:$B$755,$A2270)&gt;0,1,0))</f>
        <v/>
      </c>
      <c r="N2270" s="16" t="str">
        <f>IF($A2270&lt;Notes!$B$5,"",IF(COUNTIFS(Release_Calendar!$A$2:$A$755,"NZ_GDP",Release_Calendar!$B$2:$B$755,$A2270)&gt;0,1,0))</f>
        <v/>
      </c>
      <c r="O2270" s="16" t="str">
        <f>IF($A2270&lt;Notes!$B$5,"",IF(COUNTIFS(Release_Calendar!$A$2:$A$755,"NZ_LABOUR",Release_Calendar!$B$2:$B$755,$A2270)&gt;0,1,0))</f>
        <v/>
      </c>
      <c r="P2270" s="16">
        <f t="shared" si="4"/>
        <v>0</v>
      </c>
    </row>
    <row r="2271" ht="15.75" customHeight="1">
      <c r="A2271" s="14">
        <v>39703.0</v>
      </c>
      <c r="B2271" s="15">
        <v>2.23</v>
      </c>
      <c r="C2271" s="15"/>
      <c r="D2271" s="15">
        <v>5.71</v>
      </c>
      <c r="E2271" s="15"/>
      <c r="F2271" s="15" t="str">
        <f t="shared" si="1"/>
        <v/>
      </c>
      <c r="G2271" s="15">
        <f t="shared" si="2"/>
        <v>5.71</v>
      </c>
      <c r="H2271" s="16">
        <v>1.0</v>
      </c>
      <c r="I2271" s="15">
        <f t="shared" si="3"/>
        <v>3.48</v>
      </c>
      <c r="J2271" s="15">
        <v>25.66</v>
      </c>
      <c r="K2271" s="16">
        <f>IF(COUNTIFS(Release_Calendar!$A$2:$A$755,"US_CPI",Release_Calendar!$B$2:$B$755,$A2271)&gt;0,1,0)</f>
        <v>0</v>
      </c>
      <c r="L2271" s="16">
        <f>IF(COUNTIFS(Release_Calendar!$A$2:$A$755,"US_NFP",Release_Calendar!$B$2:$B$755,$A2271)&gt;0,1,0)</f>
        <v>0</v>
      </c>
      <c r="M2271" s="16" t="str">
        <f>IF($A2271&lt;Notes!$B$5,"",IF(COUNTIFS(Release_Calendar!$A$2:$A$755,"NZ_CPI",Release_Calendar!$B$2:$B$755,$A2271)&gt;0,1,0))</f>
        <v/>
      </c>
      <c r="N2271" s="16" t="str">
        <f>IF($A2271&lt;Notes!$B$5,"",IF(COUNTIFS(Release_Calendar!$A$2:$A$755,"NZ_GDP",Release_Calendar!$B$2:$B$755,$A2271)&gt;0,1,0))</f>
        <v/>
      </c>
      <c r="O2271" s="16" t="str">
        <f>IF($A2271&lt;Notes!$B$5,"",IF(COUNTIFS(Release_Calendar!$A$2:$A$755,"NZ_LABOUR",Release_Calendar!$B$2:$B$755,$A2271)&gt;0,1,0))</f>
        <v/>
      </c>
      <c r="P2271" s="16">
        <f t="shared" si="4"/>
        <v>0</v>
      </c>
    </row>
    <row r="2272" ht="15.75" customHeight="1">
      <c r="A2272" s="14">
        <v>39706.0</v>
      </c>
      <c r="B2272" s="15">
        <v>1.78</v>
      </c>
      <c r="C2272" s="15"/>
      <c r="D2272" s="15">
        <v>5.65</v>
      </c>
      <c r="E2272" s="15"/>
      <c r="F2272" s="15" t="str">
        <f t="shared" si="1"/>
        <v/>
      </c>
      <c r="G2272" s="15">
        <f t="shared" si="2"/>
        <v>5.65</v>
      </c>
      <c r="H2272" s="16">
        <v>1.0</v>
      </c>
      <c r="I2272" s="15">
        <f t="shared" si="3"/>
        <v>3.87</v>
      </c>
      <c r="J2272" s="15">
        <v>31.7</v>
      </c>
      <c r="K2272" s="16">
        <f>IF(COUNTIFS(Release_Calendar!$A$2:$A$755,"US_CPI",Release_Calendar!$B$2:$B$755,$A2272)&gt;0,1,0)</f>
        <v>0</v>
      </c>
      <c r="L2272" s="16">
        <f>IF(COUNTIFS(Release_Calendar!$A$2:$A$755,"US_NFP",Release_Calendar!$B$2:$B$755,$A2272)&gt;0,1,0)</f>
        <v>0</v>
      </c>
      <c r="M2272" s="16" t="str">
        <f>IF($A2272&lt;Notes!$B$5,"",IF(COUNTIFS(Release_Calendar!$A$2:$A$755,"NZ_CPI",Release_Calendar!$B$2:$B$755,$A2272)&gt;0,1,0))</f>
        <v/>
      </c>
      <c r="N2272" s="16" t="str">
        <f>IF($A2272&lt;Notes!$B$5,"",IF(COUNTIFS(Release_Calendar!$A$2:$A$755,"NZ_GDP",Release_Calendar!$B$2:$B$755,$A2272)&gt;0,1,0))</f>
        <v/>
      </c>
      <c r="O2272" s="16" t="str">
        <f>IF($A2272&lt;Notes!$B$5,"",IF(COUNTIFS(Release_Calendar!$A$2:$A$755,"NZ_LABOUR",Release_Calendar!$B$2:$B$755,$A2272)&gt;0,1,0))</f>
        <v/>
      </c>
      <c r="P2272" s="16">
        <f t="shared" si="4"/>
        <v>0</v>
      </c>
    </row>
    <row r="2273" ht="15.75" customHeight="1">
      <c r="A2273" s="14">
        <v>39707.0</v>
      </c>
      <c r="B2273" s="15">
        <v>1.89</v>
      </c>
      <c r="C2273" s="15"/>
      <c r="D2273" s="15">
        <v>5.6</v>
      </c>
      <c r="E2273" s="15"/>
      <c r="F2273" s="15" t="str">
        <f t="shared" si="1"/>
        <v/>
      </c>
      <c r="G2273" s="15">
        <f t="shared" si="2"/>
        <v>5.6</v>
      </c>
      <c r="H2273" s="16">
        <v>1.0</v>
      </c>
      <c r="I2273" s="15">
        <f t="shared" si="3"/>
        <v>3.71</v>
      </c>
      <c r="J2273" s="15">
        <v>30.3</v>
      </c>
      <c r="K2273" s="16">
        <f>IF(COUNTIFS(Release_Calendar!$A$2:$A$755,"US_CPI",Release_Calendar!$B$2:$B$755,$A2273)&gt;0,1,0)</f>
        <v>1</v>
      </c>
      <c r="L2273" s="16">
        <f>IF(COUNTIFS(Release_Calendar!$A$2:$A$755,"US_NFP",Release_Calendar!$B$2:$B$755,$A2273)&gt;0,1,0)</f>
        <v>0</v>
      </c>
      <c r="M2273" s="16" t="str">
        <f>IF($A2273&lt;Notes!$B$5,"",IF(COUNTIFS(Release_Calendar!$A$2:$A$755,"NZ_CPI",Release_Calendar!$B$2:$B$755,$A2273)&gt;0,1,0))</f>
        <v/>
      </c>
      <c r="N2273" s="16" t="str">
        <f>IF($A2273&lt;Notes!$B$5,"",IF(COUNTIFS(Release_Calendar!$A$2:$A$755,"NZ_GDP",Release_Calendar!$B$2:$B$755,$A2273)&gt;0,1,0))</f>
        <v/>
      </c>
      <c r="O2273" s="16" t="str">
        <f>IF($A2273&lt;Notes!$B$5,"",IF(COUNTIFS(Release_Calendar!$A$2:$A$755,"NZ_LABOUR",Release_Calendar!$B$2:$B$755,$A2273)&gt;0,1,0))</f>
        <v/>
      </c>
      <c r="P2273" s="16">
        <f t="shared" si="4"/>
        <v>1</v>
      </c>
    </row>
    <row r="2274" ht="15.75" customHeight="1">
      <c r="A2274" s="14">
        <v>39708.0</v>
      </c>
      <c r="B2274" s="15">
        <v>1.64</v>
      </c>
      <c r="C2274" s="15"/>
      <c r="D2274" s="15">
        <v>5.65</v>
      </c>
      <c r="E2274" s="15"/>
      <c r="F2274" s="15" t="str">
        <f t="shared" si="1"/>
        <v/>
      </c>
      <c r="G2274" s="15">
        <f t="shared" si="2"/>
        <v>5.65</v>
      </c>
      <c r="H2274" s="16">
        <v>1.0</v>
      </c>
      <c r="I2274" s="15">
        <f t="shared" si="3"/>
        <v>4.01</v>
      </c>
      <c r="J2274" s="15">
        <v>36.22</v>
      </c>
      <c r="K2274" s="16">
        <f>IF(COUNTIFS(Release_Calendar!$A$2:$A$755,"US_CPI",Release_Calendar!$B$2:$B$755,$A2274)&gt;0,1,0)</f>
        <v>0</v>
      </c>
      <c r="L2274" s="16">
        <f>IF(COUNTIFS(Release_Calendar!$A$2:$A$755,"US_NFP",Release_Calendar!$B$2:$B$755,$A2274)&gt;0,1,0)</f>
        <v>0</v>
      </c>
      <c r="M2274" s="16" t="str">
        <f>IF($A2274&lt;Notes!$B$5,"",IF(COUNTIFS(Release_Calendar!$A$2:$A$755,"NZ_CPI",Release_Calendar!$B$2:$B$755,$A2274)&gt;0,1,0))</f>
        <v/>
      </c>
      <c r="N2274" s="16" t="str">
        <f>IF($A2274&lt;Notes!$B$5,"",IF(COUNTIFS(Release_Calendar!$A$2:$A$755,"NZ_GDP",Release_Calendar!$B$2:$B$755,$A2274)&gt;0,1,0))</f>
        <v/>
      </c>
      <c r="O2274" s="16" t="str">
        <f>IF($A2274&lt;Notes!$B$5,"",IF(COUNTIFS(Release_Calendar!$A$2:$A$755,"NZ_LABOUR",Release_Calendar!$B$2:$B$755,$A2274)&gt;0,1,0))</f>
        <v/>
      </c>
      <c r="P2274" s="16">
        <f t="shared" si="4"/>
        <v>0</v>
      </c>
    </row>
    <row r="2275" ht="15.75" customHeight="1">
      <c r="A2275" s="14">
        <v>39709.0</v>
      </c>
      <c r="B2275" s="15">
        <v>1.78</v>
      </c>
      <c r="C2275" s="15"/>
      <c r="D2275" s="15">
        <v>5.65</v>
      </c>
      <c r="E2275" s="15"/>
      <c r="F2275" s="15" t="str">
        <f t="shared" si="1"/>
        <v/>
      </c>
      <c r="G2275" s="15">
        <f t="shared" si="2"/>
        <v>5.65</v>
      </c>
      <c r="H2275" s="16">
        <v>1.0</v>
      </c>
      <c r="I2275" s="15">
        <f t="shared" si="3"/>
        <v>3.87</v>
      </c>
      <c r="J2275" s="15">
        <v>33.1</v>
      </c>
      <c r="K2275" s="16">
        <f>IF(COUNTIFS(Release_Calendar!$A$2:$A$755,"US_CPI",Release_Calendar!$B$2:$B$755,$A2275)&gt;0,1,0)</f>
        <v>0</v>
      </c>
      <c r="L2275" s="16">
        <f>IF(COUNTIFS(Release_Calendar!$A$2:$A$755,"US_NFP",Release_Calendar!$B$2:$B$755,$A2275)&gt;0,1,0)</f>
        <v>0</v>
      </c>
      <c r="M2275" s="16" t="str">
        <f>IF($A2275&lt;Notes!$B$5,"",IF(COUNTIFS(Release_Calendar!$A$2:$A$755,"NZ_CPI",Release_Calendar!$B$2:$B$755,$A2275)&gt;0,1,0))</f>
        <v/>
      </c>
      <c r="N2275" s="16" t="str">
        <f>IF($A2275&lt;Notes!$B$5,"",IF(COUNTIFS(Release_Calendar!$A$2:$A$755,"NZ_GDP",Release_Calendar!$B$2:$B$755,$A2275)&gt;0,1,0))</f>
        <v/>
      </c>
      <c r="O2275" s="16" t="str">
        <f>IF($A2275&lt;Notes!$B$5,"",IF(COUNTIFS(Release_Calendar!$A$2:$A$755,"NZ_LABOUR",Release_Calendar!$B$2:$B$755,$A2275)&gt;0,1,0))</f>
        <v/>
      </c>
      <c r="P2275" s="16">
        <f t="shared" si="4"/>
        <v>0</v>
      </c>
    </row>
    <row r="2276" ht="15.75" customHeight="1">
      <c r="A2276" s="14">
        <v>39710.0</v>
      </c>
      <c r="B2276" s="15">
        <v>2.16</v>
      </c>
      <c r="C2276" s="15"/>
      <c r="D2276" s="15">
        <v>5.55</v>
      </c>
      <c r="E2276" s="15"/>
      <c r="F2276" s="15" t="str">
        <f t="shared" si="1"/>
        <v/>
      </c>
      <c r="G2276" s="15">
        <f t="shared" si="2"/>
        <v>5.55</v>
      </c>
      <c r="H2276" s="16">
        <v>1.0</v>
      </c>
      <c r="I2276" s="15">
        <f t="shared" si="3"/>
        <v>3.39</v>
      </c>
      <c r="J2276" s="15">
        <v>32.07</v>
      </c>
      <c r="K2276" s="16">
        <f>IF(COUNTIFS(Release_Calendar!$A$2:$A$755,"US_CPI",Release_Calendar!$B$2:$B$755,$A2276)&gt;0,1,0)</f>
        <v>0</v>
      </c>
      <c r="L2276" s="16">
        <f>IF(COUNTIFS(Release_Calendar!$A$2:$A$755,"US_NFP",Release_Calendar!$B$2:$B$755,$A2276)&gt;0,1,0)</f>
        <v>0</v>
      </c>
      <c r="M2276" s="16" t="str">
        <f>IF($A2276&lt;Notes!$B$5,"",IF(COUNTIFS(Release_Calendar!$A$2:$A$755,"NZ_CPI",Release_Calendar!$B$2:$B$755,$A2276)&gt;0,1,0))</f>
        <v/>
      </c>
      <c r="N2276" s="16" t="str">
        <f>IF($A2276&lt;Notes!$B$5,"",IF(COUNTIFS(Release_Calendar!$A$2:$A$755,"NZ_GDP",Release_Calendar!$B$2:$B$755,$A2276)&gt;0,1,0))</f>
        <v/>
      </c>
      <c r="O2276" s="16" t="str">
        <f>IF($A2276&lt;Notes!$B$5,"",IF(COUNTIFS(Release_Calendar!$A$2:$A$755,"NZ_LABOUR",Release_Calendar!$B$2:$B$755,$A2276)&gt;0,1,0))</f>
        <v/>
      </c>
      <c r="P2276" s="16">
        <f t="shared" si="4"/>
        <v>0</v>
      </c>
    </row>
    <row r="2277" ht="15.75" customHeight="1">
      <c r="A2277" s="14">
        <v>39713.0</v>
      </c>
      <c r="B2277" s="15">
        <v>2.13</v>
      </c>
      <c r="C2277" s="15"/>
      <c r="D2277" s="15">
        <v>5.68</v>
      </c>
      <c r="E2277" s="15"/>
      <c r="F2277" s="15" t="str">
        <f t="shared" si="1"/>
        <v/>
      </c>
      <c r="G2277" s="15">
        <f t="shared" si="2"/>
        <v>5.68</v>
      </c>
      <c r="H2277" s="16">
        <v>1.0</v>
      </c>
      <c r="I2277" s="15">
        <f t="shared" si="3"/>
        <v>3.55</v>
      </c>
      <c r="J2277" s="15">
        <v>33.85</v>
      </c>
      <c r="K2277" s="16">
        <f>IF(COUNTIFS(Release_Calendar!$A$2:$A$755,"US_CPI",Release_Calendar!$B$2:$B$755,$A2277)&gt;0,1,0)</f>
        <v>0</v>
      </c>
      <c r="L2277" s="16">
        <f>IF(COUNTIFS(Release_Calendar!$A$2:$A$755,"US_NFP",Release_Calendar!$B$2:$B$755,$A2277)&gt;0,1,0)</f>
        <v>0</v>
      </c>
      <c r="M2277" s="16" t="str">
        <f>IF($A2277&lt;Notes!$B$5,"",IF(COUNTIFS(Release_Calendar!$A$2:$A$755,"NZ_CPI",Release_Calendar!$B$2:$B$755,$A2277)&gt;0,1,0))</f>
        <v/>
      </c>
      <c r="N2277" s="16" t="str">
        <f>IF($A2277&lt;Notes!$B$5,"",IF(COUNTIFS(Release_Calendar!$A$2:$A$755,"NZ_GDP",Release_Calendar!$B$2:$B$755,$A2277)&gt;0,1,0))</f>
        <v/>
      </c>
      <c r="O2277" s="16" t="str">
        <f>IF($A2277&lt;Notes!$B$5,"",IF(COUNTIFS(Release_Calendar!$A$2:$A$755,"NZ_LABOUR",Release_Calendar!$B$2:$B$755,$A2277)&gt;0,1,0))</f>
        <v/>
      </c>
      <c r="P2277" s="16">
        <f t="shared" si="4"/>
        <v>0</v>
      </c>
    </row>
    <row r="2278" ht="15.75" customHeight="1">
      <c r="A2278" s="14">
        <v>39714.0</v>
      </c>
      <c r="B2278" s="15">
        <v>2.11</v>
      </c>
      <c r="C2278" s="15"/>
      <c r="D2278" s="15">
        <v>5.74</v>
      </c>
      <c r="E2278" s="15"/>
      <c r="F2278" s="15" t="str">
        <f t="shared" si="1"/>
        <v/>
      </c>
      <c r="G2278" s="15">
        <f t="shared" si="2"/>
        <v>5.74</v>
      </c>
      <c r="H2278" s="16">
        <v>1.0</v>
      </c>
      <c r="I2278" s="15">
        <f t="shared" si="3"/>
        <v>3.63</v>
      </c>
      <c r="J2278" s="15">
        <v>35.72</v>
      </c>
      <c r="K2278" s="16">
        <f>IF(COUNTIFS(Release_Calendar!$A$2:$A$755,"US_CPI",Release_Calendar!$B$2:$B$755,$A2278)&gt;0,1,0)</f>
        <v>0</v>
      </c>
      <c r="L2278" s="16">
        <f>IF(COUNTIFS(Release_Calendar!$A$2:$A$755,"US_NFP",Release_Calendar!$B$2:$B$755,$A2278)&gt;0,1,0)</f>
        <v>0</v>
      </c>
      <c r="M2278" s="16" t="str">
        <f>IF($A2278&lt;Notes!$B$5,"",IF(COUNTIFS(Release_Calendar!$A$2:$A$755,"NZ_CPI",Release_Calendar!$B$2:$B$755,$A2278)&gt;0,1,0))</f>
        <v/>
      </c>
      <c r="N2278" s="16" t="str">
        <f>IF($A2278&lt;Notes!$B$5,"",IF(COUNTIFS(Release_Calendar!$A$2:$A$755,"NZ_GDP",Release_Calendar!$B$2:$B$755,$A2278)&gt;0,1,0))</f>
        <v/>
      </c>
      <c r="O2278" s="16" t="str">
        <f>IF($A2278&lt;Notes!$B$5,"",IF(COUNTIFS(Release_Calendar!$A$2:$A$755,"NZ_LABOUR",Release_Calendar!$B$2:$B$755,$A2278)&gt;0,1,0))</f>
        <v/>
      </c>
      <c r="P2278" s="16">
        <f t="shared" si="4"/>
        <v>0</v>
      </c>
    </row>
    <row r="2279" ht="15.75" customHeight="1">
      <c r="A2279" s="14">
        <v>39715.0</v>
      </c>
      <c r="B2279" s="15">
        <v>2.03</v>
      </c>
      <c r="C2279" s="15"/>
      <c r="D2279" s="15">
        <v>5.69</v>
      </c>
      <c r="E2279" s="15"/>
      <c r="F2279" s="15" t="str">
        <f t="shared" si="1"/>
        <v/>
      </c>
      <c r="G2279" s="15">
        <f t="shared" si="2"/>
        <v>5.69</v>
      </c>
      <c r="H2279" s="16">
        <v>1.0</v>
      </c>
      <c r="I2279" s="15">
        <f t="shared" si="3"/>
        <v>3.66</v>
      </c>
      <c r="J2279" s="15">
        <v>35.19</v>
      </c>
      <c r="K2279" s="16">
        <f>IF(COUNTIFS(Release_Calendar!$A$2:$A$755,"US_CPI",Release_Calendar!$B$2:$B$755,$A2279)&gt;0,1,0)</f>
        <v>0</v>
      </c>
      <c r="L2279" s="16">
        <f>IF(COUNTIFS(Release_Calendar!$A$2:$A$755,"US_NFP",Release_Calendar!$B$2:$B$755,$A2279)&gt;0,1,0)</f>
        <v>0</v>
      </c>
      <c r="M2279" s="16" t="str">
        <f>IF($A2279&lt;Notes!$B$5,"",IF(COUNTIFS(Release_Calendar!$A$2:$A$755,"NZ_CPI",Release_Calendar!$B$2:$B$755,$A2279)&gt;0,1,0))</f>
        <v/>
      </c>
      <c r="N2279" s="16" t="str">
        <f>IF($A2279&lt;Notes!$B$5,"",IF(COUNTIFS(Release_Calendar!$A$2:$A$755,"NZ_GDP",Release_Calendar!$B$2:$B$755,$A2279)&gt;0,1,0))</f>
        <v/>
      </c>
      <c r="O2279" s="16" t="str">
        <f>IF($A2279&lt;Notes!$B$5,"",IF(COUNTIFS(Release_Calendar!$A$2:$A$755,"NZ_LABOUR",Release_Calendar!$B$2:$B$755,$A2279)&gt;0,1,0))</f>
        <v/>
      </c>
      <c r="P2279" s="16">
        <f t="shared" si="4"/>
        <v>0</v>
      </c>
    </row>
    <row r="2280" ht="15.75" customHeight="1">
      <c r="A2280" s="14">
        <v>39716.0</v>
      </c>
      <c r="B2280" s="15">
        <v>2.16</v>
      </c>
      <c r="C2280" s="15"/>
      <c r="D2280" s="15">
        <v>5.51</v>
      </c>
      <c r="E2280" s="15"/>
      <c r="F2280" s="15" t="str">
        <f t="shared" si="1"/>
        <v/>
      </c>
      <c r="G2280" s="15">
        <f t="shared" si="2"/>
        <v>5.51</v>
      </c>
      <c r="H2280" s="16">
        <v>1.0</v>
      </c>
      <c r="I2280" s="15">
        <f t="shared" si="3"/>
        <v>3.35</v>
      </c>
      <c r="J2280" s="15">
        <v>32.82</v>
      </c>
      <c r="K2280" s="16">
        <f>IF(COUNTIFS(Release_Calendar!$A$2:$A$755,"US_CPI",Release_Calendar!$B$2:$B$755,$A2280)&gt;0,1,0)</f>
        <v>0</v>
      </c>
      <c r="L2280" s="16">
        <f>IF(COUNTIFS(Release_Calendar!$A$2:$A$755,"US_NFP",Release_Calendar!$B$2:$B$755,$A2280)&gt;0,1,0)</f>
        <v>0</v>
      </c>
      <c r="M2280" s="16" t="str">
        <f>IF($A2280&lt;Notes!$B$5,"",IF(COUNTIFS(Release_Calendar!$A$2:$A$755,"NZ_CPI",Release_Calendar!$B$2:$B$755,$A2280)&gt;0,1,0))</f>
        <v/>
      </c>
      <c r="N2280" s="16" t="str">
        <f>IF($A2280&lt;Notes!$B$5,"",IF(COUNTIFS(Release_Calendar!$A$2:$A$755,"NZ_GDP",Release_Calendar!$B$2:$B$755,$A2280)&gt;0,1,0))</f>
        <v/>
      </c>
      <c r="O2280" s="16" t="str">
        <f>IF($A2280&lt;Notes!$B$5,"",IF(COUNTIFS(Release_Calendar!$A$2:$A$755,"NZ_LABOUR",Release_Calendar!$B$2:$B$755,$A2280)&gt;0,1,0))</f>
        <v/>
      </c>
      <c r="P2280" s="16">
        <f t="shared" si="4"/>
        <v>0</v>
      </c>
    </row>
    <row r="2281" ht="15.75" customHeight="1">
      <c r="A2281" s="14">
        <v>39717.0</v>
      </c>
      <c r="B2281" s="15">
        <v>2.11</v>
      </c>
      <c r="C2281" s="15"/>
      <c r="D2281" s="15">
        <v>5.6</v>
      </c>
      <c r="E2281" s="15"/>
      <c r="F2281" s="15" t="str">
        <f t="shared" si="1"/>
        <v/>
      </c>
      <c r="G2281" s="15">
        <f t="shared" si="2"/>
        <v>5.6</v>
      </c>
      <c r="H2281" s="16">
        <v>1.0</v>
      </c>
      <c r="I2281" s="15">
        <f t="shared" si="3"/>
        <v>3.49</v>
      </c>
      <c r="J2281" s="15">
        <v>34.74</v>
      </c>
      <c r="K2281" s="16">
        <f>IF(COUNTIFS(Release_Calendar!$A$2:$A$755,"US_CPI",Release_Calendar!$B$2:$B$755,$A2281)&gt;0,1,0)</f>
        <v>0</v>
      </c>
      <c r="L2281" s="16">
        <f>IF(COUNTIFS(Release_Calendar!$A$2:$A$755,"US_NFP",Release_Calendar!$B$2:$B$755,$A2281)&gt;0,1,0)</f>
        <v>0</v>
      </c>
      <c r="M2281" s="16" t="str">
        <f>IF($A2281&lt;Notes!$B$5,"",IF(COUNTIFS(Release_Calendar!$A$2:$A$755,"NZ_CPI",Release_Calendar!$B$2:$B$755,$A2281)&gt;0,1,0))</f>
        <v/>
      </c>
      <c r="N2281" s="16" t="str">
        <f>IF($A2281&lt;Notes!$B$5,"",IF(COUNTIFS(Release_Calendar!$A$2:$A$755,"NZ_GDP",Release_Calendar!$B$2:$B$755,$A2281)&gt;0,1,0))</f>
        <v/>
      </c>
      <c r="O2281" s="16" t="str">
        <f>IF($A2281&lt;Notes!$B$5,"",IF(COUNTIFS(Release_Calendar!$A$2:$A$755,"NZ_LABOUR",Release_Calendar!$B$2:$B$755,$A2281)&gt;0,1,0))</f>
        <v/>
      </c>
      <c r="P2281" s="16">
        <f t="shared" si="4"/>
        <v>0</v>
      </c>
    </row>
    <row r="2282" ht="15.75" customHeight="1">
      <c r="A2282" s="14">
        <v>39720.0</v>
      </c>
      <c r="B2282" s="15">
        <v>1.7</v>
      </c>
      <c r="C2282" s="15"/>
      <c r="D2282" s="15">
        <v>5.6</v>
      </c>
      <c r="E2282" s="15"/>
      <c r="F2282" s="15" t="str">
        <f t="shared" si="1"/>
        <v/>
      </c>
      <c r="G2282" s="15">
        <f t="shared" si="2"/>
        <v>5.6</v>
      </c>
      <c r="H2282" s="16">
        <v>1.0</v>
      </c>
      <c r="I2282" s="15">
        <f t="shared" si="3"/>
        <v>3.9</v>
      </c>
      <c r="J2282" s="15">
        <v>46.72</v>
      </c>
      <c r="K2282" s="16">
        <f>IF(COUNTIFS(Release_Calendar!$A$2:$A$755,"US_CPI",Release_Calendar!$B$2:$B$755,$A2282)&gt;0,1,0)</f>
        <v>0</v>
      </c>
      <c r="L2282" s="16">
        <f>IF(COUNTIFS(Release_Calendar!$A$2:$A$755,"US_NFP",Release_Calendar!$B$2:$B$755,$A2282)&gt;0,1,0)</f>
        <v>0</v>
      </c>
      <c r="M2282" s="16" t="str">
        <f>IF($A2282&lt;Notes!$B$5,"",IF(COUNTIFS(Release_Calendar!$A$2:$A$755,"NZ_CPI",Release_Calendar!$B$2:$B$755,$A2282)&gt;0,1,0))</f>
        <v/>
      </c>
      <c r="N2282" s="16" t="str">
        <f>IF($A2282&lt;Notes!$B$5,"",IF(COUNTIFS(Release_Calendar!$A$2:$A$755,"NZ_GDP",Release_Calendar!$B$2:$B$755,$A2282)&gt;0,1,0))</f>
        <v/>
      </c>
      <c r="O2282" s="16" t="str">
        <f>IF($A2282&lt;Notes!$B$5,"",IF(COUNTIFS(Release_Calendar!$A$2:$A$755,"NZ_LABOUR",Release_Calendar!$B$2:$B$755,$A2282)&gt;0,1,0))</f>
        <v/>
      </c>
      <c r="P2282" s="16">
        <f t="shared" si="4"/>
        <v>0</v>
      </c>
    </row>
    <row r="2283" ht="15.75" customHeight="1">
      <c r="A2283" s="14">
        <v>39721.0</v>
      </c>
      <c r="B2283" s="15">
        <v>2.0</v>
      </c>
      <c r="C2283" s="15"/>
      <c r="D2283" s="15">
        <v>5.53</v>
      </c>
      <c r="E2283" s="15"/>
      <c r="F2283" s="15" t="str">
        <f t="shared" si="1"/>
        <v/>
      </c>
      <c r="G2283" s="15">
        <f t="shared" si="2"/>
        <v>5.53</v>
      </c>
      <c r="H2283" s="16">
        <v>1.0</v>
      </c>
      <c r="I2283" s="15">
        <f t="shared" si="3"/>
        <v>3.53</v>
      </c>
      <c r="J2283" s="15">
        <v>39.39</v>
      </c>
      <c r="K2283" s="16">
        <f>IF(COUNTIFS(Release_Calendar!$A$2:$A$755,"US_CPI",Release_Calendar!$B$2:$B$755,$A2283)&gt;0,1,0)</f>
        <v>0</v>
      </c>
      <c r="L2283" s="16">
        <f>IF(COUNTIFS(Release_Calendar!$A$2:$A$755,"US_NFP",Release_Calendar!$B$2:$B$755,$A2283)&gt;0,1,0)</f>
        <v>0</v>
      </c>
      <c r="M2283" s="16" t="str">
        <f>IF($A2283&lt;Notes!$B$5,"",IF(COUNTIFS(Release_Calendar!$A$2:$A$755,"NZ_CPI",Release_Calendar!$B$2:$B$755,$A2283)&gt;0,1,0))</f>
        <v/>
      </c>
      <c r="N2283" s="16" t="str">
        <f>IF($A2283&lt;Notes!$B$5,"",IF(COUNTIFS(Release_Calendar!$A$2:$A$755,"NZ_GDP",Release_Calendar!$B$2:$B$755,$A2283)&gt;0,1,0))</f>
        <v/>
      </c>
      <c r="O2283" s="16" t="str">
        <f>IF($A2283&lt;Notes!$B$5,"",IF(COUNTIFS(Release_Calendar!$A$2:$A$755,"NZ_LABOUR",Release_Calendar!$B$2:$B$755,$A2283)&gt;0,1,0))</f>
        <v/>
      </c>
      <c r="P2283" s="16">
        <f t="shared" si="4"/>
        <v>0</v>
      </c>
    </row>
    <row r="2284" ht="15.75" customHeight="1">
      <c r="A2284" s="14">
        <v>39722.0</v>
      </c>
      <c r="B2284" s="15">
        <v>1.82</v>
      </c>
      <c r="C2284" s="15"/>
      <c r="D2284" s="15">
        <v>5.56</v>
      </c>
      <c r="E2284" s="15"/>
      <c r="F2284" s="15" t="str">
        <f t="shared" si="1"/>
        <v/>
      </c>
      <c r="G2284" s="15">
        <f t="shared" si="2"/>
        <v>5.56</v>
      </c>
      <c r="H2284" s="16">
        <v>1.0</v>
      </c>
      <c r="I2284" s="15">
        <f t="shared" si="3"/>
        <v>3.74</v>
      </c>
      <c r="J2284" s="15">
        <v>39.81</v>
      </c>
      <c r="K2284" s="16">
        <f>IF(COUNTIFS(Release_Calendar!$A$2:$A$755,"US_CPI",Release_Calendar!$B$2:$B$755,$A2284)&gt;0,1,0)</f>
        <v>0</v>
      </c>
      <c r="L2284" s="16">
        <f>IF(COUNTIFS(Release_Calendar!$A$2:$A$755,"US_NFP",Release_Calendar!$B$2:$B$755,$A2284)&gt;0,1,0)</f>
        <v>0</v>
      </c>
      <c r="M2284" s="16" t="str">
        <f>IF($A2284&lt;Notes!$B$5,"",IF(COUNTIFS(Release_Calendar!$A$2:$A$755,"NZ_CPI",Release_Calendar!$B$2:$B$755,$A2284)&gt;0,1,0))</f>
        <v/>
      </c>
      <c r="N2284" s="16" t="str">
        <f>IF($A2284&lt;Notes!$B$5,"",IF(COUNTIFS(Release_Calendar!$A$2:$A$755,"NZ_GDP",Release_Calendar!$B$2:$B$755,$A2284)&gt;0,1,0))</f>
        <v/>
      </c>
      <c r="O2284" s="16" t="str">
        <f>IF($A2284&lt;Notes!$B$5,"",IF(COUNTIFS(Release_Calendar!$A$2:$A$755,"NZ_LABOUR",Release_Calendar!$B$2:$B$755,$A2284)&gt;0,1,0))</f>
        <v/>
      </c>
      <c r="P2284" s="16">
        <f t="shared" si="4"/>
        <v>0</v>
      </c>
    </row>
    <row r="2285" ht="15.75" customHeight="1">
      <c r="A2285" s="14">
        <v>39723.0</v>
      </c>
      <c r="B2285" s="15">
        <v>1.62</v>
      </c>
      <c r="C2285" s="15"/>
      <c r="D2285" s="15">
        <v>5.65</v>
      </c>
      <c r="E2285" s="15"/>
      <c r="F2285" s="15" t="str">
        <f t="shared" si="1"/>
        <v/>
      </c>
      <c r="G2285" s="15">
        <f t="shared" si="2"/>
        <v>5.65</v>
      </c>
      <c r="H2285" s="16">
        <v>1.0</v>
      </c>
      <c r="I2285" s="15">
        <f t="shared" si="3"/>
        <v>4.03</v>
      </c>
      <c r="J2285" s="15">
        <v>45.26</v>
      </c>
      <c r="K2285" s="16">
        <f>IF(COUNTIFS(Release_Calendar!$A$2:$A$755,"US_CPI",Release_Calendar!$B$2:$B$755,$A2285)&gt;0,1,0)</f>
        <v>0</v>
      </c>
      <c r="L2285" s="16">
        <f>IF(COUNTIFS(Release_Calendar!$A$2:$A$755,"US_NFP",Release_Calendar!$B$2:$B$755,$A2285)&gt;0,1,0)</f>
        <v>0</v>
      </c>
      <c r="M2285" s="16" t="str">
        <f>IF($A2285&lt;Notes!$B$5,"",IF(COUNTIFS(Release_Calendar!$A$2:$A$755,"NZ_CPI",Release_Calendar!$B$2:$B$755,$A2285)&gt;0,1,0))</f>
        <v/>
      </c>
      <c r="N2285" s="16" t="str">
        <f>IF($A2285&lt;Notes!$B$5,"",IF(COUNTIFS(Release_Calendar!$A$2:$A$755,"NZ_GDP",Release_Calendar!$B$2:$B$755,$A2285)&gt;0,1,0))</f>
        <v/>
      </c>
      <c r="O2285" s="16" t="str">
        <f>IF($A2285&lt;Notes!$B$5,"",IF(COUNTIFS(Release_Calendar!$A$2:$A$755,"NZ_LABOUR",Release_Calendar!$B$2:$B$755,$A2285)&gt;0,1,0))</f>
        <v/>
      </c>
      <c r="P2285" s="16">
        <f t="shared" si="4"/>
        <v>0</v>
      </c>
    </row>
    <row r="2286" ht="15.75" customHeight="1">
      <c r="A2286" s="14">
        <v>39724.0</v>
      </c>
      <c r="B2286" s="15">
        <v>1.6</v>
      </c>
      <c r="C2286" s="15"/>
      <c r="D2286" s="15">
        <v>5.57</v>
      </c>
      <c r="E2286" s="15"/>
      <c r="F2286" s="15" t="str">
        <f t="shared" si="1"/>
        <v/>
      </c>
      <c r="G2286" s="15">
        <f t="shared" si="2"/>
        <v>5.57</v>
      </c>
      <c r="H2286" s="16">
        <v>1.0</v>
      </c>
      <c r="I2286" s="15">
        <f t="shared" si="3"/>
        <v>3.97</v>
      </c>
      <c r="J2286" s="15">
        <v>45.14</v>
      </c>
      <c r="K2286" s="16">
        <f>IF(COUNTIFS(Release_Calendar!$A$2:$A$755,"US_CPI",Release_Calendar!$B$2:$B$755,$A2286)&gt;0,1,0)</f>
        <v>0</v>
      </c>
      <c r="L2286" s="16">
        <f>IF(COUNTIFS(Release_Calendar!$A$2:$A$755,"US_NFP",Release_Calendar!$B$2:$B$755,$A2286)&gt;0,1,0)</f>
        <v>1</v>
      </c>
      <c r="M2286" s="16" t="str">
        <f>IF($A2286&lt;Notes!$B$5,"",IF(COUNTIFS(Release_Calendar!$A$2:$A$755,"NZ_CPI",Release_Calendar!$B$2:$B$755,$A2286)&gt;0,1,0))</f>
        <v/>
      </c>
      <c r="N2286" s="16" t="str">
        <f>IF($A2286&lt;Notes!$B$5,"",IF(COUNTIFS(Release_Calendar!$A$2:$A$755,"NZ_GDP",Release_Calendar!$B$2:$B$755,$A2286)&gt;0,1,0))</f>
        <v/>
      </c>
      <c r="O2286" s="16" t="str">
        <f>IF($A2286&lt;Notes!$B$5,"",IF(COUNTIFS(Release_Calendar!$A$2:$A$755,"NZ_LABOUR",Release_Calendar!$B$2:$B$755,$A2286)&gt;0,1,0))</f>
        <v/>
      </c>
      <c r="P2286" s="16">
        <f t="shared" si="4"/>
        <v>1</v>
      </c>
    </row>
    <row r="2287" ht="15.75" customHeight="1">
      <c r="A2287" s="14">
        <v>39727.0</v>
      </c>
      <c r="B2287" s="15">
        <v>1.43</v>
      </c>
      <c r="C2287" s="15"/>
      <c r="D2287" s="15">
        <v>5.5</v>
      </c>
      <c r="E2287" s="15"/>
      <c r="F2287" s="15" t="str">
        <f t="shared" si="1"/>
        <v/>
      </c>
      <c r="G2287" s="15">
        <f t="shared" si="2"/>
        <v>5.5</v>
      </c>
      <c r="H2287" s="16">
        <v>1.0</v>
      </c>
      <c r="I2287" s="15">
        <f t="shared" si="3"/>
        <v>4.07</v>
      </c>
      <c r="J2287" s="15">
        <v>52.05</v>
      </c>
      <c r="K2287" s="16">
        <f>IF(COUNTIFS(Release_Calendar!$A$2:$A$755,"US_CPI",Release_Calendar!$B$2:$B$755,$A2287)&gt;0,1,0)</f>
        <v>0</v>
      </c>
      <c r="L2287" s="16">
        <f>IF(COUNTIFS(Release_Calendar!$A$2:$A$755,"US_NFP",Release_Calendar!$B$2:$B$755,$A2287)&gt;0,1,0)</f>
        <v>0</v>
      </c>
      <c r="M2287" s="16" t="str">
        <f>IF($A2287&lt;Notes!$B$5,"",IF(COUNTIFS(Release_Calendar!$A$2:$A$755,"NZ_CPI",Release_Calendar!$B$2:$B$755,$A2287)&gt;0,1,0))</f>
        <v/>
      </c>
      <c r="N2287" s="16" t="str">
        <f>IF($A2287&lt;Notes!$B$5,"",IF(COUNTIFS(Release_Calendar!$A$2:$A$755,"NZ_GDP",Release_Calendar!$B$2:$B$755,$A2287)&gt;0,1,0))</f>
        <v/>
      </c>
      <c r="O2287" s="16" t="str">
        <f>IF($A2287&lt;Notes!$B$5,"",IF(COUNTIFS(Release_Calendar!$A$2:$A$755,"NZ_LABOUR",Release_Calendar!$B$2:$B$755,$A2287)&gt;0,1,0))</f>
        <v/>
      </c>
      <c r="P2287" s="16">
        <f t="shared" si="4"/>
        <v>0</v>
      </c>
    </row>
    <row r="2288" ht="15.75" customHeight="1">
      <c r="A2288" s="14">
        <v>39728.0</v>
      </c>
      <c r="B2288" s="15">
        <v>1.47</v>
      </c>
      <c r="C2288" s="15"/>
      <c r="D2288" s="15">
        <v>5.54</v>
      </c>
      <c r="E2288" s="15"/>
      <c r="F2288" s="15" t="str">
        <f t="shared" si="1"/>
        <v/>
      </c>
      <c r="G2288" s="15">
        <f t="shared" si="2"/>
        <v>5.54</v>
      </c>
      <c r="H2288" s="16">
        <v>1.0</v>
      </c>
      <c r="I2288" s="15">
        <f t="shared" si="3"/>
        <v>4.07</v>
      </c>
      <c r="J2288" s="15">
        <v>53.68</v>
      </c>
      <c r="K2288" s="16">
        <f>IF(COUNTIFS(Release_Calendar!$A$2:$A$755,"US_CPI",Release_Calendar!$B$2:$B$755,$A2288)&gt;0,1,0)</f>
        <v>0</v>
      </c>
      <c r="L2288" s="16">
        <f>IF(COUNTIFS(Release_Calendar!$A$2:$A$755,"US_NFP",Release_Calendar!$B$2:$B$755,$A2288)&gt;0,1,0)</f>
        <v>0</v>
      </c>
      <c r="M2288" s="16" t="str">
        <f>IF($A2288&lt;Notes!$B$5,"",IF(COUNTIFS(Release_Calendar!$A$2:$A$755,"NZ_CPI",Release_Calendar!$B$2:$B$755,$A2288)&gt;0,1,0))</f>
        <v/>
      </c>
      <c r="N2288" s="16" t="str">
        <f>IF($A2288&lt;Notes!$B$5,"",IF(COUNTIFS(Release_Calendar!$A$2:$A$755,"NZ_GDP",Release_Calendar!$B$2:$B$755,$A2288)&gt;0,1,0))</f>
        <v/>
      </c>
      <c r="O2288" s="16" t="str">
        <f>IF($A2288&lt;Notes!$B$5,"",IF(COUNTIFS(Release_Calendar!$A$2:$A$755,"NZ_LABOUR",Release_Calendar!$B$2:$B$755,$A2288)&gt;0,1,0))</f>
        <v/>
      </c>
      <c r="P2288" s="16">
        <f t="shared" si="4"/>
        <v>0</v>
      </c>
    </row>
    <row r="2289" ht="15.75" customHeight="1">
      <c r="A2289" s="14">
        <v>39729.0</v>
      </c>
      <c r="B2289" s="15">
        <v>1.65</v>
      </c>
      <c r="C2289" s="15"/>
      <c r="D2289" s="15">
        <v>5.36</v>
      </c>
      <c r="E2289" s="15"/>
      <c r="F2289" s="15" t="str">
        <f t="shared" si="1"/>
        <v/>
      </c>
      <c r="G2289" s="15">
        <f t="shared" si="2"/>
        <v>5.36</v>
      </c>
      <c r="H2289" s="16">
        <v>1.0</v>
      </c>
      <c r="I2289" s="15">
        <f t="shared" si="3"/>
        <v>3.71</v>
      </c>
      <c r="J2289" s="15">
        <v>57.53</v>
      </c>
      <c r="K2289" s="16">
        <f>IF(COUNTIFS(Release_Calendar!$A$2:$A$755,"US_CPI",Release_Calendar!$B$2:$B$755,$A2289)&gt;0,1,0)</f>
        <v>0</v>
      </c>
      <c r="L2289" s="16">
        <f>IF(COUNTIFS(Release_Calendar!$A$2:$A$755,"US_NFP",Release_Calendar!$B$2:$B$755,$A2289)&gt;0,1,0)</f>
        <v>0</v>
      </c>
      <c r="M2289" s="16" t="str">
        <f>IF($A2289&lt;Notes!$B$5,"",IF(COUNTIFS(Release_Calendar!$A$2:$A$755,"NZ_CPI",Release_Calendar!$B$2:$B$755,$A2289)&gt;0,1,0))</f>
        <v/>
      </c>
      <c r="N2289" s="16" t="str">
        <f>IF($A2289&lt;Notes!$B$5,"",IF(COUNTIFS(Release_Calendar!$A$2:$A$755,"NZ_GDP",Release_Calendar!$B$2:$B$755,$A2289)&gt;0,1,0))</f>
        <v/>
      </c>
      <c r="O2289" s="16" t="str">
        <f>IF($A2289&lt;Notes!$B$5,"",IF(COUNTIFS(Release_Calendar!$A$2:$A$755,"NZ_LABOUR",Release_Calendar!$B$2:$B$755,$A2289)&gt;0,1,0))</f>
        <v/>
      </c>
      <c r="P2289" s="16">
        <f t="shared" si="4"/>
        <v>0</v>
      </c>
    </row>
    <row r="2290" ht="15.75" customHeight="1">
      <c r="A2290" s="14">
        <v>39730.0</v>
      </c>
      <c r="B2290" s="15">
        <v>1.65</v>
      </c>
      <c r="C2290" s="15"/>
      <c r="D2290" s="15">
        <v>5.26</v>
      </c>
      <c r="E2290" s="15"/>
      <c r="F2290" s="15" t="str">
        <f t="shared" si="1"/>
        <v/>
      </c>
      <c r="G2290" s="15">
        <f t="shared" si="2"/>
        <v>5.26</v>
      </c>
      <c r="H2290" s="16">
        <v>1.0</v>
      </c>
      <c r="I2290" s="15">
        <f t="shared" si="3"/>
        <v>3.61</v>
      </c>
      <c r="J2290" s="15">
        <v>63.92</v>
      </c>
      <c r="K2290" s="16">
        <f>IF(COUNTIFS(Release_Calendar!$A$2:$A$755,"US_CPI",Release_Calendar!$B$2:$B$755,$A2290)&gt;0,1,0)</f>
        <v>0</v>
      </c>
      <c r="L2290" s="16">
        <f>IF(COUNTIFS(Release_Calendar!$A$2:$A$755,"US_NFP",Release_Calendar!$B$2:$B$755,$A2290)&gt;0,1,0)</f>
        <v>0</v>
      </c>
      <c r="M2290" s="16" t="str">
        <f>IF($A2290&lt;Notes!$B$5,"",IF(COUNTIFS(Release_Calendar!$A$2:$A$755,"NZ_CPI",Release_Calendar!$B$2:$B$755,$A2290)&gt;0,1,0))</f>
        <v/>
      </c>
      <c r="N2290" s="16" t="str">
        <f>IF($A2290&lt;Notes!$B$5,"",IF(COUNTIFS(Release_Calendar!$A$2:$A$755,"NZ_GDP",Release_Calendar!$B$2:$B$755,$A2290)&gt;0,1,0))</f>
        <v/>
      </c>
      <c r="O2290" s="16" t="str">
        <f>IF($A2290&lt;Notes!$B$5,"",IF(COUNTIFS(Release_Calendar!$A$2:$A$755,"NZ_LABOUR",Release_Calendar!$B$2:$B$755,$A2290)&gt;0,1,0))</f>
        <v/>
      </c>
      <c r="P2290" s="16">
        <f t="shared" si="4"/>
        <v>0</v>
      </c>
    </row>
    <row r="2291" ht="15.75" customHeight="1">
      <c r="A2291" s="14">
        <v>39731.0</v>
      </c>
      <c r="B2291" s="15">
        <v>1.62</v>
      </c>
      <c r="C2291" s="15"/>
      <c r="D2291" s="15">
        <v>5.34</v>
      </c>
      <c r="E2291" s="15"/>
      <c r="F2291" s="15" t="str">
        <f t="shared" si="1"/>
        <v/>
      </c>
      <c r="G2291" s="15">
        <f t="shared" si="2"/>
        <v>5.34</v>
      </c>
      <c r="H2291" s="16">
        <v>1.0</v>
      </c>
      <c r="I2291" s="15">
        <f t="shared" si="3"/>
        <v>3.72</v>
      </c>
      <c r="J2291" s="15">
        <v>69.95</v>
      </c>
      <c r="K2291" s="16">
        <f>IF(COUNTIFS(Release_Calendar!$A$2:$A$755,"US_CPI",Release_Calendar!$B$2:$B$755,$A2291)&gt;0,1,0)</f>
        <v>0</v>
      </c>
      <c r="L2291" s="16">
        <f>IF(COUNTIFS(Release_Calendar!$A$2:$A$755,"US_NFP",Release_Calendar!$B$2:$B$755,$A2291)&gt;0,1,0)</f>
        <v>0</v>
      </c>
      <c r="M2291" s="16" t="str">
        <f>IF($A2291&lt;Notes!$B$5,"",IF(COUNTIFS(Release_Calendar!$A$2:$A$755,"NZ_CPI",Release_Calendar!$B$2:$B$755,$A2291)&gt;0,1,0))</f>
        <v/>
      </c>
      <c r="N2291" s="16" t="str">
        <f>IF($A2291&lt;Notes!$B$5,"",IF(COUNTIFS(Release_Calendar!$A$2:$A$755,"NZ_GDP",Release_Calendar!$B$2:$B$755,$A2291)&gt;0,1,0))</f>
        <v/>
      </c>
      <c r="O2291" s="16" t="str">
        <f>IF($A2291&lt;Notes!$B$5,"",IF(COUNTIFS(Release_Calendar!$A$2:$A$755,"NZ_LABOUR",Release_Calendar!$B$2:$B$755,$A2291)&gt;0,1,0))</f>
        <v/>
      </c>
      <c r="P2291" s="16">
        <f t="shared" si="4"/>
        <v>0</v>
      </c>
    </row>
    <row r="2292" ht="15.75" customHeight="1">
      <c r="A2292" s="14">
        <v>39734.0</v>
      </c>
      <c r="B2292" s="15"/>
      <c r="C2292" s="15"/>
      <c r="D2292" s="15">
        <v>5.4</v>
      </c>
      <c r="E2292" s="15"/>
      <c r="F2292" s="15" t="str">
        <f t="shared" si="1"/>
        <v/>
      </c>
      <c r="G2292" s="15">
        <f t="shared" si="2"/>
        <v>5.4</v>
      </c>
      <c r="H2292" s="16">
        <v>1.0</v>
      </c>
      <c r="I2292" s="15" t="str">
        <f t="shared" si="3"/>
        <v/>
      </c>
      <c r="J2292" s="15">
        <v>54.99</v>
      </c>
      <c r="K2292" s="16">
        <f>IF(COUNTIFS(Release_Calendar!$A$2:$A$755,"US_CPI",Release_Calendar!$B$2:$B$755,$A2292)&gt;0,1,0)</f>
        <v>0</v>
      </c>
      <c r="L2292" s="16">
        <f>IF(COUNTIFS(Release_Calendar!$A$2:$A$755,"US_NFP",Release_Calendar!$B$2:$B$755,$A2292)&gt;0,1,0)</f>
        <v>0</v>
      </c>
      <c r="M2292" s="16" t="str">
        <f>IF($A2292&lt;Notes!$B$5,"",IF(COUNTIFS(Release_Calendar!$A$2:$A$755,"NZ_CPI",Release_Calendar!$B$2:$B$755,$A2292)&gt;0,1,0))</f>
        <v/>
      </c>
      <c r="N2292" s="16" t="str">
        <f>IF($A2292&lt;Notes!$B$5,"",IF(COUNTIFS(Release_Calendar!$A$2:$A$755,"NZ_GDP",Release_Calendar!$B$2:$B$755,$A2292)&gt;0,1,0))</f>
        <v/>
      </c>
      <c r="O2292" s="16" t="str">
        <f>IF($A2292&lt;Notes!$B$5,"",IF(COUNTIFS(Release_Calendar!$A$2:$A$755,"NZ_LABOUR",Release_Calendar!$B$2:$B$755,$A2292)&gt;0,1,0))</f>
        <v/>
      </c>
      <c r="P2292" s="16">
        <f t="shared" si="4"/>
        <v>0</v>
      </c>
    </row>
    <row r="2293" ht="15.75" customHeight="1">
      <c r="A2293" s="14">
        <v>39735.0</v>
      </c>
      <c r="B2293" s="15">
        <v>1.82</v>
      </c>
      <c r="C2293" s="15"/>
      <c r="D2293" s="15">
        <v>5.85</v>
      </c>
      <c r="E2293" s="15"/>
      <c r="F2293" s="15" t="str">
        <f t="shared" si="1"/>
        <v/>
      </c>
      <c r="G2293" s="15">
        <f t="shared" si="2"/>
        <v>5.85</v>
      </c>
      <c r="H2293" s="16">
        <v>1.0</v>
      </c>
      <c r="I2293" s="15">
        <f t="shared" si="3"/>
        <v>4.03</v>
      </c>
      <c r="J2293" s="15">
        <v>55.13</v>
      </c>
      <c r="K2293" s="16">
        <f>IF(COUNTIFS(Release_Calendar!$A$2:$A$755,"US_CPI",Release_Calendar!$B$2:$B$755,$A2293)&gt;0,1,0)</f>
        <v>0</v>
      </c>
      <c r="L2293" s="16">
        <f>IF(COUNTIFS(Release_Calendar!$A$2:$A$755,"US_NFP",Release_Calendar!$B$2:$B$755,$A2293)&gt;0,1,0)</f>
        <v>0</v>
      </c>
      <c r="M2293" s="16" t="str">
        <f>IF($A2293&lt;Notes!$B$5,"",IF(COUNTIFS(Release_Calendar!$A$2:$A$755,"NZ_CPI",Release_Calendar!$B$2:$B$755,$A2293)&gt;0,1,0))</f>
        <v/>
      </c>
      <c r="N2293" s="16" t="str">
        <f>IF($A2293&lt;Notes!$B$5,"",IF(COUNTIFS(Release_Calendar!$A$2:$A$755,"NZ_GDP",Release_Calendar!$B$2:$B$755,$A2293)&gt;0,1,0))</f>
        <v/>
      </c>
      <c r="O2293" s="16" t="str">
        <f>IF($A2293&lt;Notes!$B$5,"",IF(COUNTIFS(Release_Calendar!$A$2:$A$755,"NZ_LABOUR",Release_Calendar!$B$2:$B$755,$A2293)&gt;0,1,0))</f>
        <v/>
      </c>
      <c r="P2293" s="16">
        <f t="shared" si="4"/>
        <v>0</v>
      </c>
    </row>
    <row r="2294" ht="15.75" customHeight="1">
      <c r="A2294" s="14">
        <v>39736.0</v>
      </c>
      <c r="B2294" s="15">
        <v>1.64</v>
      </c>
      <c r="C2294" s="15"/>
      <c r="D2294" s="15">
        <v>5.87</v>
      </c>
      <c r="E2294" s="15"/>
      <c r="F2294" s="15" t="str">
        <f t="shared" si="1"/>
        <v/>
      </c>
      <c r="G2294" s="15">
        <f t="shared" si="2"/>
        <v>5.87</v>
      </c>
      <c r="H2294" s="16">
        <v>1.0</v>
      </c>
      <c r="I2294" s="15">
        <f t="shared" si="3"/>
        <v>4.23</v>
      </c>
      <c r="J2294" s="15">
        <v>69.25</v>
      </c>
      <c r="K2294" s="16">
        <f>IF(COUNTIFS(Release_Calendar!$A$2:$A$755,"US_CPI",Release_Calendar!$B$2:$B$755,$A2294)&gt;0,1,0)</f>
        <v>0</v>
      </c>
      <c r="L2294" s="16">
        <f>IF(COUNTIFS(Release_Calendar!$A$2:$A$755,"US_NFP",Release_Calendar!$B$2:$B$755,$A2294)&gt;0,1,0)</f>
        <v>0</v>
      </c>
      <c r="M2294" s="16" t="str">
        <f>IF($A2294&lt;Notes!$B$5,"",IF(COUNTIFS(Release_Calendar!$A$2:$A$755,"NZ_CPI",Release_Calendar!$B$2:$B$755,$A2294)&gt;0,1,0))</f>
        <v/>
      </c>
      <c r="N2294" s="16" t="str">
        <f>IF($A2294&lt;Notes!$B$5,"",IF(COUNTIFS(Release_Calendar!$A$2:$A$755,"NZ_GDP",Release_Calendar!$B$2:$B$755,$A2294)&gt;0,1,0))</f>
        <v/>
      </c>
      <c r="O2294" s="16" t="str">
        <f>IF($A2294&lt;Notes!$B$5,"",IF(COUNTIFS(Release_Calendar!$A$2:$A$755,"NZ_LABOUR",Release_Calendar!$B$2:$B$755,$A2294)&gt;0,1,0))</f>
        <v/>
      </c>
      <c r="P2294" s="16">
        <f t="shared" si="4"/>
        <v>0</v>
      </c>
    </row>
    <row r="2295" ht="15.75" customHeight="1">
      <c r="A2295" s="14">
        <v>39737.0</v>
      </c>
      <c r="B2295" s="15">
        <v>1.61</v>
      </c>
      <c r="C2295" s="15"/>
      <c r="D2295" s="15">
        <v>5.61</v>
      </c>
      <c r="E2295" s="15"/>
      <c r="F2295" s="15" t="str">
        <f t="shared" si="1"/>
        <v/>
      </c>
      <c r="G2295" s="15">
        <f t="shared" si="2"/>
        <v>5.61</v>
      </c>
      <c r="H2295" s="16">
        <v>1.0</v>
      </c>
      <c r="I2295" s="15">
        <f t="shared" si="3"/>
        <v>4</v>
      </c>
      <c r="J2295" s="15">
        <v>67.61</v>
      </c>
      <c r="K2295" s="16">
        <f>IF(COUNTIFS(Release_Calendar!$A$2:$A$755,"US_CPI",Release_Calendar!$B$2:$B$755,$A2295)&gt;0,1,0)</f>
        <v>1</v>
      </c>
      <c r="L2295" s="16">
        <f>IF(COUNTIFS(Release_Calendar!$A$2:$A$755,"US_NFP",Release_Calendar!$B$2:$B$755,$A2295)&gt;0,1,0)</f>
        <v>0</v>
      </c>
      <c r="M2295" s="16" t="str">
        <f>IF($A2295&lt;Notes!$B$5,"",IF(COUNTIFS(Release_Calendar!$A$2:$A$755,"NZ_CPI",Release_Calendar!$B$2:$B$755,$A2295)&gt;0,1,0))</f>
        <v/>
      </c>
      <c r="N2295" s="16" t="str">
        <f>IF($A2295&lt;Notes!$B$5,"",IF(COUNTIFS(Release_Calendar!$A$2:$A$755,"NZ_GDP",Release_Calendar!$B$2:$B$755,$A2295)&gt;0,1,0))</f>
        <v/>
      </c>
      <c r="O2295" s="16" t="str">
        <f>IF($A2295&lt;Notes!$B$5,"",IF(COUNTIFS(Release_Calendar!$A$2:$A$755,"NZ_LABOUR",Release_Calendar!$B$2:$B$755,$A2295)&gt;0,1,0))</f>
        <v/>
      </c>
      <c r="P2295" s="16">
        <f t="shared" si="4"/>
        <v>1</v>
      </c>
    </row>
    <row r="2296" ht="15.75" customHeight="1">
      <c r="A2296" s="14">
        <v>39738.0</v>
      </c>
      <c r="B2296" s="15">
        <v>1.64</v>
      </c>
      <c r="C2296" s="15"/>
      <c r="D2296" s="15">
        <v>5.6</v>
      </c>
      <c r="E2296" s="15"/>
      <c r="F2296" s="15" t="str">
        <f t="shared" si="1"/>
        <v/>
      </c>
      <c r="G2296" s="15">
        <f t="shared" si="2"/>
        <v>5.6</v>
      </c>
      <c r="H2296" s="16">
        <v>1.0</v>
      </c>
      <c r="I2296" s="15">
        <f t="shared" si="3"/>
        <v>3.96</v>
      </c>
      <c r="J2296" s="15">
        <v>70.33</v>
      </c>
      <c r="K2296" s="16">
        <f>IF(COUNTIFS(Release_Calendar!$A$2:$A$755,"US_CPI",Release_Calendar!$B$2:$B$755,$A2296)&gt;0,1,0)</f>
        <v>0</v>
      </c>
      <c r="L2296" s="16">
        <f>IF(COUNTIFS(Release_Calendar!$A$2:$A$755,"US_NFP",Release_Calendar!$B$2:$B$755,$A2296)&gt;0,1,0)</f>
        <v>0</v>
      </c>
      <c r="M2296" s="16" t="str">
        <f>IF($A2296&lt;Notes!$B$5,"",IF(COUNTIFS(Release_Calendar!$A$2:$A$755,"NZ_CPI",Release_Calendar!$B$2:$B$755,$A2296)&gt;0,1,0))</f>
        <v/>
      </c>
      <c r="N2296" s="16" t="str">
        <f>IF($A2296&lt;Notes!$B$5,"",IF(COUNTIFS(Release_Calendar!$A$2:$A$755,"NZ_GDP",Release_Calendar!$B$2:$B$755,$A2296)&gt;0,1,0))</f>
        <v/>
      </c>
      <c r="O2296" s="16" t="str">
        <f>IF($A2296&lt;Notes!$B$5,"",IF(COUNTIFS(Release_Calendar!$A$2:$A$755,"NZ_LABOUR",Release_Calendar!$B$2:$B$755,$A2296)&gt;0,1,0))</f>
        <v/>
      </c>
      <c r="P2296" s="16">
        <f t="shared" si="4"/>
        <v>0</v>
      </c>
    </row>
    <row r="2297" ht="15.75" customHeight="1">
      <c r="A2297" s="14">
        <v>39741.0</v>
      </c>
      <c r="B2297" s="15">
        <v>1.71</v>
      </c>
      <c r="C2297" s="15"/>
      <c r="D2297" s="15">
        <v>5.64</v>
      </c>
      <c r="E2297" s="15"/>
      <c r="F2297" s="15" t="str">
        <f t="shared" si="1"/>
        <v/>
      </c>
      <c r="G2297" s="15">
        <f t="shared" si="2"/>
        <v>5.64</v>
      </c>
      <c r="H2297" s="16">
        <v>1.0</v>
      </c>
      <c r="I2297" s="15">
        <f t="shared" si="3"/>
        <v>3.93</v>
      </c>
      <c r="J2297" s="15">
        <v>52.97</v>
      </c>
      <c r="K2297" s="16">
        <f>IF(COUNTIFS(Release_Calendar!$A$2:$A$755,"US_CPI",Release_Calendar!$B$2:$B$755,$A2297)&gt;0,1,0)</f>
        <v>0</v>
      </c>
      <c r="L2297" s="16">
        <f>IF(COUNTIFS(Release_Calendar!$A$2:$A$755,"US_NFP",Release_Calendar!$B$2:$B$755,$A2297)&gt;0,1,0)</f>
        <v>0</v>
      </c>
      <c r="M2297" s="16" t="str">
        <f>IF($A2297&lt;Notes!$B$5,"",IF(COUNTIFS(Release_Calendar!$A$2:$A$755,"NZ_CPI",Release_Calendar!$B$2:$B$755,$A2297)&gt;0,1,0))</f>
        <v/>
      </c>
      <c r="N2297" s="16" t="str">
        <f>IF($A2297&lt;Notes!$B$5,"",IF(COUNTIFS(Release_Calendar!$A$2:$A$755,"NZ_GDP",Release_Calendar!$B$2:$B$755,$A2297)&gt;0,1,0))</f>
        <v/>
      </c>
      <c r="O2297" s="16" t="str">
        <f>IF($A2297&lt;Notes!$B$5,"",IF(COUNTIFS(Release_Calendar!$A$2:$A$755,"NZ_LABOUR",Release_Calendar!$B$2:$B$755,$A2297)&gt;0,1,0))</f>
        <v/>
      </c>
      <c r="P2297" s="16">
        <f t="shared" si="4"/>
        <v>0</v>
      </c>
    </row>
    <row r="2298" ht="15.75" customHeight="1">
      <c r="A2298" s="14">
        <v>39742.0</v>
      </c>
      <c r="B2298" s="15">
        <v>1.58</v>
      </c>
      <c r="C2298" s="15"/>
      <c r="D2298" s="15">
        <v>5.6</v>
      </c>
      <c r="E2298" s="15"/>
      <c r="F2298" s="15" t="str">
        <f t="shared" si="1"/>
        <v/>
      </c>
      <c r="G2298" s="15">
        <f t="shared" si="2"/>
        <v>5.6</v>
      </c>
      <c r="H2298" s="16">
        <v>1.0</v>
      </c>
      <c r="I2298" s="15">
        <f t="shared" si="3"/>
        <v>4.02</v>
      </c>
      <c r="J2298" s="15">
        <v>53.11</v>
      </c>
      <c r="K2298" s="16">
        <f>IF(COUNTIFS(Release_Calendar!$A$2:$A$755,"US_CPI",Release_Calendar!$B$2:$B$755,$A2298)&gt;0,1,0)</f>
        <v>0</v>
      </c>
      <c r="L2298" s="16">
        <f>IF(COUNTIFS(Release_Calendar!$A$2:$A$755,"US_NFP",Release_Calendar!$B$2:$B$755,$A2298)&gt;0,1,0)</f>
        <v>0</v>
      </c>
      <c r="M2298" s="16" t="str">
        <f>IF($A2298&lt;Notes!$B$5,"",IF(COUNTIFS(Release_Calendar!$A$2:$A$755,"NZ_CPI",Release_Calendar!$B$2:$B$755,$A2298)&gt;0,1,0))</f>
        <v/>
      </c>
      <c r="N2298" s="16" t="str">
        <f>IF($A2298&lt;Notes!$B$5,"",IF(COUNTIFS(Release_Calendar!$A$2:$A$755,"NZ_GDP",Release_Calendar!$B$2:$B$755,$A2298)&gt;0,1,0))</f>
        <v/>
      </c>
      <c r="O2298" s="16" t="str">
        <f>IF($A2298&lt;Notes!$B$5,"",IF(COUNTIFS(Release_Calendar!$A$2:$A$755,"NZ_LABOUR",Release_Calendar!$B$2:$B$755,$A2298)&gt;0,1,0))</f>
        <v/>
      </c>
      <c r="P2298" s="16">
        <f t="shared" si="4"/>
        <v>0</v>
      </c>
    </row>
    <row r="2299" ht="15.75" customHeight="1">
      <c r="A2299" s="14">
        <v>39743.0</v>
      </c>
      <c r="B2299" s="15">
        <v>1.53</v>
      </c>
      <c r="C2299" s="15"/>
      <c r="D2299" s="15">
        <v>5.6</v>
      </c>
      <c r="E2299" s="15"/>
      <c r="F2299" s="15" t="str">
        <f t="shared" si="1"/>
        <v/>
      </c>
      <c r="G2299" s="15">
        <f t="shared" si="2"/>
        <v>5.6</v>
      </c>
      <c r="H2299" s="16">
        <v>1.0</v>
      </c>
      <c r="I2299" s="15">
        <f t="shared" si="3"/>
        <v>4.07</v>
      </c>
      <c r="J2299" s="15">
        <v>69.65</v>
      </c>
      <c r="K2299" s="16">
        <f>IF(COUNTIFS(Release_Calendar!$A$2:$A$755,"US_CPI",Release_Calendar!$B$2:$B$755,$A2299)&gt;0,1,0)</f>
        <v>0</v>
      </c>
      <c r="L2299" s="16">
        <f>IF(COUNTIFS(Release_Calendar!$A$2:$A$755,"US_NFP",Release_Calendar!$B$2:$B$755,$A2299)&gt;0,1,0)</f>
        <v>0</v>
      </c>
      <c r="M2299" s="16" t="str">
        <f>IF($A2299&lt;Notes!$B$5,"",IF(COUNTIFS(Release_Calendar!$A$2:$A$755,"NZ_CPI",Release_Calendar!$B$2:$B$755,$A2299)&gt;0,1,0))</f>
        <v/>
      </c>
      <c r="N2299" s="16" t="str">
        <f>IF($A2299&lt;Notes!$B$5,"",IF(COUNTIFS(Release_Calendar!$A$2:$A$755,"NZ_GDP",Release_Calendar!$B$2:$B$755,$A2299)&gt;0,1,0))</f>
        <v/>
      </c>
      <c r="O2299" s="16" t="str">
        <f>IF($A2299&lt;Notes!$B$5,"",IF(COUNTIFS(Release_Calendar!$A$2:$A$755,"NZ_LABOUR",Release_Calendar!$B$2:$B$755,$A2299)&gt;0,1,0))</f>
        <v/>
      </c>
      <c r="P2299" s="16">
        <f t="shared" si="4"/>
        <v>0</v>
      </c>
    </row>
    <row r="2300" ht="15.75" customHeight="1">
      <c r="A2300" s="14">
        <v>39744.0</v>
      </c>
      <c r="B2300" s="15">
        <v>1.54</v>
      </c>
      <c r="C2300" s="15"/>
      <c r="D2300" s="15">
        <v>5.57</v>
      </c>
      <c r="E2300" s="15"/>
      <c r="F2300" s="15" t="str">
        <f t="shared" si="1"/>
        <v/>
      </c>
      <c r="G2300" s="15">
        <f t="shared" si="2"/>
        <v>5.57</v>
      </c>
      <c r="H2300" s="16">
        <v>1.0</v>
      </c>
      <c r="I2300" s="15">
        <f t="shared" si="3"/>
        <v>4.03</v>
      </c>
      <c r="J2300" s="15">
        <v>67.8</v>
      </c>
      <c r="K2300" s="16">
        <f>IF(COUNTIFS(Release_Calendar!$A$2:$A$755,"US_CPI",Release_Calendar!$B$2:$B$755,$A2300)&gt;0,1,0)</f>
        <v>0</v>
      </c>
      <c r="L2300" s="16">
        <f>IF(COUNTIFS(Release_Calendar!$A$2:$A$755,"US_NFP",Release_Calendar!$B$2:$B$755,$A2300)&gt;0,1,0)</f>
        <v>0</v>
      </c>
      <c r="M2300" s="16" t="str">
        <f>IF($A2300&lt;Notes!$B$5,"",IF(COUNTIFS(Release_Calendar!$A$2:$A$755,"NZ_CPI",Release_Calendar!$B$2:$B$755,$A2300)&gt;0,1,0))</f>
        <v/>
      </c>
      <c r="N2300" s="16" t="str">
        <f>IF($A2300&lt;Notes!$B$5,"",IF(COUNTIFS(Release_Calendar!$A$2:$A$755,"NZ_GDP",Release_Calendar!$B$2:$B$755,$A2300)&gt;0,1,0))</f>
        <v/>
      </c>
      <c r="O2300" s="16" t="str">
        <f>IF($A2300&lt;Notes!$B$5,"",IF(COUNTIFS(Release_Calendar!$A$2:$A$755,"NZ_LABOUR",Release_Calendar!$B$2:$B$755,$A2300)&gt;0,1,0))</f>
        <v/>
      </c>
      <c r="P2300" s="16">
        <f t="shared" si="4"/>
        <v>0</v>
      </c>
    </row>
    <row r="2301" ht="15.75" customHeight="1">
      <c r="A2301" s="14">
        <v>39745.0</v>
      </c>
      <c r="B2301" s="15">
        <v>1.57</v>
      </c>
      <c r="C2301" s="15"/>
      <c r="D2301" s="15">
        <v>5.6</v>
      </c>
      <c r="E2301" s="15"/>
      <c r="F2301" s="15" t="str">
        <f t="shared" si="1"/>
        <v/>
      </c>
      <c r="G2301" s="15">
        <f t="shared" si="2"/>
        <v>5.6</v>
      </c>
      <c r="H2301" s="16">
        <v>1.0</v>
      </c>
      <c r="I2301" s="15">
        <f t="shared" si="3"/>
        <v>4.03</v>
      </c>
      <c r="J2301" s="15">
        <v>79.13</v>
      </c>
      <c r="K2301" s="16">
        <f>IF(COUNTIFS(Release_Calendar!$A$2:$A$755,"US_CPI",Release_Calendar!$B$2:$B$755,$A2301)&gt;0,1,0)</f>
        <v>0</v>
      </c>
      <c r="L2301" s="16">
        <f>IF(COUNTIFS(Release_Calendar!$A$2:$A$755,"US_NFP",Release_Calendar!$B$2:$B$755,$A2301)&gt;0,1,0)</f>
        <v>0</v>
      </c>
      <c r="M2301" s="16" t="str">
        <f>IF($A2301&lt;Notes!$B$5,"",IF(COUNTIFS(Release_Calendar!$A$2:$A$755,"NZ_CPI",Release_Calendar!$B$2:$B$755,$A2301)&gt;0,1,0))</f>
        <v/>
      </c>
      <c r="N2301" s="16" t="str">
        <f>IF($A2301&lt;Notes!$B$5,"",IF(COUNTIFS(Release_Calendar!$A$2:$A$755,"NZ_GDP",Release_Calendar!$B$2:$B$755,$A2301)&gt;0,1,0))</f>
        <v/>
      </c>
      <c r="O2301" s="16" t="str">
        <f>IF($A2301&lt;Notes!$B$5,"",IF(COUNTIFS(Release_Calendar!$A$2:$A$755,"NZ_LABOUR",Release_Calendar!$B$2:$B$755,$A2301)&gt;0,1,0))</f>
        <v/>
      </c>
      <c r="P2301" s="16">
        <f t="shared" si="4"/>
        <v>0</v>
      </c>
    </row>
    <row r="2302" ht="15.75" customHeight="1">
      <c r="A2302" s="14">
        <v>39748.0</v>
      </c>
      <c r="B2302" s="15">
        <v>1.59</v>
      </c>
      <c r="C2302" s="15"/>
      <c r="D2302" s="15"/>
      <c r="E2302" s="15"/>
      <c r="F2302" s="15" t="str">
        <f t="shared" si="1"/>
        <v/>
      </c>
      <c r="G2302" s="15" t="str">
        <f t="shared" si="2"/>
        <v/>
      </c>
      <c r="H2302" s="16">
        <v>1.0</v>
      </c>
      <c r="I2302" s="15" t="str">
        <f t="shared" si="3"/>
        <v/>
      </c>
      <c r="J2302" s="15">
        <v>80.06</v>
      </c>
      <c r="K2302" s="16">
        <f>IF(COUNTIFS(Release_Calendar!$A$2:$A$755,"US_CPI",Release_Calendar!$B$2:$B$755,$A2302)&gt;0,1,0)</f>
        <v>0</v>
      </c>
      <c r="L2302" s="16">
        <f>IF(COUNTIFS(Release_Calendar!$A$2:$A$755,"US_NFP",Release_Calendar!$B$2:$B$755,$A2302)&gt;0,1,0)</f>
        <v>0</v>
      </c>
      <c r="M2302" s="16" t="str">
        <f>IF($A2302&lt;Notes!$B$5,"",IF(COUNTIFS(Release_Calendar!$A$2:$A$755,"NZ_CPI",Release_Calendar!$B$2:$B$755,$A2302)&gt;0,1,0))</f>
        <v/>
      </c>
      <c r="N2302" s="16" t="str">
        <f>IF($A2302&lt;Notes!$B$5,"",IF(COUNTIFS(Release_Calendar!$A$2:$A$755,"NZ_GDP",Release_Calendar!$B$2:$B$755,$A2302)&gt;0,1,0))</f>
        <v/>
      </c>
      <c r="O2302" s="16" t="str">
        <f>IF($A2302&lt;Notes!$B$5,"",IF(COUNTIFS(Release_Calendar!$A$2:$A$755,"NZ_LABOUR",Release_Calendar!$B$2:$B$755,$A2302)&gt;0,1,0))</f>
        <v/>
      </c>
      <c r="P2302" s="16">
        <f t="shared" si="4"/>
        <v>0</v>
      </c>
    </row>
    <row r="2303" ht="15.75" customHeight="1">
      <c r="A2303" s="14">
        <v>39749.0</v>
      </c>
      <c r="B2303" s="15">
        <v>1.65</v>
      </c>
      <c r="C2303" s="15"/>
      <c r="D2303" s="15">
        <v>5.59</v>
      </c>
      <c r="E2303" s="15"/>
      <c r="F2303" s="15" t="str">
        <f t="shared" si="1"/>
        <v/>
      </c>
      <c r="G2303" s="15">
        <f t="shared" si="2"/>
        <v>5.59</v>
      </c>
      <c r="H2303" s="16">
        <v>1.0</v>
      </c>
      <c r="I2303" s="15">
        <f t="shared" si="3"/>
        <v>3.94</v>
      </c>
      <c r="J2303" s="15">
        <v>66.96</v>
      </c>
      <c r="K2303" s="16">
        <f>IF(COUNTIFS(Release_Calendar!$A$2:$A$755,"US_CPI",Release_Calendar!$B$2:$B$755,$A2303)&gt;0,1,0)</f>
        <v>0</v>
      </c>
      <c r="L2303" s="16">
        <f>IF(COUNTIFS(Release_Calendar!$A$2:$A$755,"US_NFP",Release_Calendar!$B$2:$B$755,$A2303)&gt;0,1,0)</f>
        <v>0</v>
      </c>
      <c r="M2303" s="16" t="str">
        <f>IF($A2303&lt;Notes!$B$5,"",IF(COUNTIFS(Release_Calendar!$A$2:$A$755,"NZ_CPI",Release_Calendar!$B$2:$B$755,$A2303)&gt;0,1,0))</f>
        <v/>
      </c>
      <c r="N2303" s="16" t="str">
        <f>IF($A2303&lt;Notes!$B$5,"",IF(COUNTIFS(Release_Calendar!$A$2:$A$755,"NZ_GDP",Release_Calendar!$B$2:$B$755,$A2303)&gt;0,1,0))</f>
        <v/>
      </c>
      <c r="O2303" s="16" t="str">
        <f>IF($A2303&lt;Notes!$B$5,"",IF(COUNTIFS(Release_Calendar!$A$2:$A$755,"NZ_LABOUR",Release_Calendar!$B$2:$B$755,$A2303)&gt;0,1,0))</f>
        <v/>
      </c>
      <c r="P2303" s="16">
        <f t="shared" si="4"/>
        <v>0</v>
      </c>
    </row>
    <row r="2304" ht="15.75" customHeight="1">
      <c r="A2304" s="14">
        <v>39750.0</v>
      </c>
      <c r="B2304" s="15">
        <v>1.58</v>
      </c>
      <c r="C2304" s="15"/>
      <c r="D2304" s="15">
        <v>5.62</v>
      </c>
      <c r="E2304" s="15"/>
      <c r="F2304" s="15" t="str">
        <f t="shared" si="1"/>
        <v/>
      </c>
      <c r="G2304" s="15">
        <f t="shared" si="2"/>
        <v>5.62</v>
      </c>
      <c r="H2304" s="16">
        <v>1.0</v>
      </c>
      <c r="I2304" s="15">
        <f t="shared" si="3"/>
        <v>4.04</v>
      </c>
      <c r="J2304" s="15">
        <v>69.96</v>
      </c>
      <c r="K2304" s="16">
        <f>IF(COUNTIFS(Release_Calendar!$A$2:$A$755,"US_CPI",Release_Calendar!$B$2:$B$755,$A2304)&gt;0,1,0)</f>
        <v>0</v>
      </c>
      <c r="L2304" s="16">
        <f>IF(COUNTIFS(Release_Calendar!$A$2:$A$755,"US_NFP",Release_Calendar!$B$2:$B$755,$A2304)&gt;0,1,0)</f>
        <v>0</v>
      </c>
      <c r="M2304" s="16" t="str">
        <f>IF($A2304&lt;Notes!$B$5,"",IF(COUNTIFS(Release_Calendar!$A$2:$A$755,"NZ_CPI",Release_Calendar!$B$2:$B$755,$A2304)&gt;0,1,0))</f>
        <v/>
      </c>
      <c r="N2304" s="16" t="str">
        <f>IF($A2304&lt;Notes!$B$5,"",IF(COUNTIFS(Release_Calendar!$A$2:$A$755,"NZ_GDP",Release_Calendar!$B$2:$B$755,$A2304)&gt;0,1,0))</f>
        <v/>
      </c>
      <c r="O2304" s="16" t="str">
        <f>IF($A2304&lt;Notes!$B$5,"",IF(COUNTIFS(Release_Calendar!$A$2:$A$755,"NZ_LABOUR",Release_Calendar!$B$2:$B$755,$A2304)&gt;0,1,0))</f>
        <v/>
      </c>
      <c r="P2304" s="16">
        <f t="shared" si="4"/>
        <v>0</v>
      </c>
    </row>
    <row r="2305" ht="15.75" customHeight="1">
      <c r="A2305" s="14">
        <v>39751.0</v>
      </c>
      <c r="B2305" s="15">
        <v>1.59</v>
      </c>
      <c r="C2305" s="15"/>
      <c r="D2305" s="15">
        <v>5.65</v>
      </c>
      <c r="E2305" s="15"/>
      <c r="F2305" s="15" t="str">
        <f t="shared" si="1"/>
        <v/>
      </c>
      <c r="G2305" s="15">
        <f t="shared" si="2"/>
        <v>5.65</v>
      </c>
      <c r="H2305" s="16">
        <v>1.0</v>
      </c>
      <c r="I2305" s="15">
        <f t="shared" si="3"/>
        <v>4.06</v>
      </c>
      <c r="J2305" s="15">
        <v>62.9</v>
      </c>
      <c r="K2305" s="16">
        <f>IF(COUNTIFS(Release_Calendar!$A$2:$A$755,"US_CPI",Release_Calendar!$B$2:$B$755,$A2305)&gt;0,1,0)</f>
        <v>0</v>
      </c>
      <c r="L2305" s="16">
        <f>IF(COUNTIFS(Release_Calendar!$A$2:$A$755,"US_NFP",Release_Calendar!$B$2:$B$755,$A2305)&gt;0,1,0)</f>
        <v>0</v>
      </c>
      <c r="M2305" s="16" t="str">
        <f>IF($A2305&lt;Notes!$B$5,"",IF(COUNTIFS(Release_Calendar!$A$2:$A$755,"NZ_CPI",Release_Calendar!$B$2:$B$755,$A2305)&gt;0,1,0))</f>
        <v/>
      </c>
      <c r="N2305" s="16" t="str">
        <f>IF($A2305&lt;Notes!$B$5,"",IF(COUNTIFS(Release_Calendar!$A$2:$A$755,"NZ_GDP",Release_Calendar!$B$2:$B$755,$A2305)&gt;0,1,0))</f>
        <v/>
      </c>
      <c r="O2305" s="16" t="str">
        <f>IF($A2305&lt;Notes!$B$5,"",IF(COUNTIFS(Release_Calendar!$A$2:$A$755,"NZ_LABOUR",Release_Calendar!$B$2:$B$755,$A2305)&gt;0,1,0))</f>
        <v/>
      </c>
      <c r="P2305" s="16">
        <f t="shared" si="4"/>
        <v>0</v>
      </c>
    </row>
    <row r="2306" ht="15.75" customHeight="1">
      <c r="A2306" s="14">
        <v>39752.0</v>
      </c>
      <c r="B2306" s="15">
        <v>1.56</v>
      </c>
      <c r="C2306" s="15"/>
      <c r="D2306" s="15">
        <v>5.7</v>
      </c>
      <c r="E2306" s="15"/>
      <c r="F2306" s="15" t="str">
        <f t="shared" si="1"/>
        <v/>
      </c>
      <c r="G2306" s="15">
        <f t="shared" si="2"/>
        <v>5.7</v>
      </c>
      <c r="H2306" s="16">
        <v>1.0</v>
      </c>
      <c r="I2306" s="15">
        <f t="shared" si="3"/>
        <v>4.14</v>
      </c>
      <c r="J2306" s="15">
        <v>59.89</v>
      </c>
      <c r="K2306" s="16">
        <f>IF(COUNTIFS(Release_Calendar!$A$2:$A$755,"US_CPI",Release_Calendar!$B$2:$B$755,$A2306)&gt;0,1,0)</f>
        <v>0</v>
      </c>
      <c r="L2306" s="16">
        <f>IF(COUNTIFS(Release_Calendar!$A$2:$A$755,"US_NFP",Release_Calendar!$B$2:$B$755,$A2306)&gt;0,1,0)</f>
        <v>0</v>
      </c>
      <c r="M2306" s="16" t="str">
        <f>IF($A2306&lt;Notes!$B$5,"",IF(COUNTIFS(Release_Calendar!$A$2:$A$755,"NZ_CPI",Release_Calendar!$B$2:$B$755,$A2306)&gt;0,1,0))</f>
        <v/>
      </c>
      <c r="N2306" s="16" t="str">
        <f>IF($A2306&lt;Notes!$B$5,"",IF(COUNTIFS(Release_Calendar!$A$2:$A$755,"NZ_GDP",Release_Calendar!$B$2:$B$755,$A2306)&gt;0,1,0))</f>
        <v/>
      </c>
      <c r="O2306" s="16" t="str">
        <f>IF($A2306&lt;Notes!$B$5,"",IF(COUNTIFS(Release_Calendar!$A$2:$A$755,"NZ_LABOUR",Release_Calendar!$B$2:$B$755,$A2306)&gt;0,1,0))</f>
        <v/>
      </c>
      <c r="P2306" s="16">
        <f t="shared" si="4"/>
        <v>0</v>
      </c>
    </row>
    <row r="2307" ht="15.75" customHeight="1">
      <c r="A2307" s="14">
        <v>39755.0</v>
      </c>
      <c r="B2307" s="15">
        <v>1.45</v>
      </c>
      <c r="C2307" s="15"/>
      <c r="D2307" s="15">
        <v>5.72</v>
      </c>
      <c r="E2307" s="15"/>
      <c r="F2307" s="15" t="str">
        <f t="shared" si="1"/>
        <v/>
      </c>
      <c r="G2307" s="15">
        <f t="shared" si="2"/>
        <v>5.72</v>
      </c>
      <c r="H2307" s="16">
        <v>1.0</v>
      </c>
      <c r="I2307" s="15">
        <f t="shared" si="3"/>
        <v>4.27</v>
      </c>
      <c r="J2307" s="15">
        <v>53.68</v>
      </c>
      <c r="K2307" s="16">
        <f>IF(COUNTIFS(Release_Calendar!$A$2:$A$755,"US_CPI",Release_Calendar!$B$2:$B$755,$A2307)&gt;0,1,0)</f>
        <v>0</v>
      </c>
      <c r="L2307" s="16">
        <f>IF(COUNTIFS(Release_Calendar!$A$2:$A$755,"US_NFP",Release_Calendar!$B$2:$B$755,$A2307)&gt;0,1,0)</f>
        <v>0</v>
      </c>
      <c r="M2307" s="16" t="str">
        <f>IF($A2307&lt;Notes!$B$5,"",IF(COUNTIFS(Release_Calendar!$A$2:$A$755,"NZ_CPI",Release_Calendar!$B$2:$B$755,$A2307)&gt;0,1,0))</f>
        <v/>
      </c>
      <c r="N2307" s="16" t="str">
        <f>IF($A2307&lt;Notes!$B$5,"",IF(COUNTIFS(Release_Calendar!$A$2:$A$755,"NZ_GDP",Release_Calendar!$B$2:$B$755,$A2307)&gt;0,1,0))</f>
        <v/>
      </c>
      <c r="O2307" s="16" t="str">
        <f>IF($A2307&lt;Notes!$B$5,"",IF(COUNTIFS(Release_Calendar!$A$2:$A$755,"NZ_LABOUR",Release_Calendar!$B$2:$B$755,$A2307)&gt;0,1,0))</f>
        <v/>
      </c>
      <c r="P2307" s="16">
        <f t="shared" si="4"/>
        <v>0</v>
      </c>
    </row>
    <row r="2308" ht="15.75" customHeight="1">
      <c r="A2308" s="14">
        <v>39756.0</v>
      </c>
      <c r="B2308" s="15">
        <v>1.39</v>
      </c>
      <c r="C2308" s="15"/>
      <c r="D2308" s="15">
        <v>5.8</v>
      </c>
      <c r="E2308" s="15"/>
      <c r="F2308" s="15" t="str">
        <f t="shared" si="1"/>
        <v/>
      </c>
      <c r="G2308" s="15">
        <f t="shared" si="2"/>
        <v>5.8</v>
      </c>
      <c r="H2308" s="16">
        <v>1.0</v>
      </c>
      <c r="I2308" s="15">
        <f t="shared" si="3"/>
        <v>4.41</v>
      </c>
      <c r="J2308" s="15">
        <v>47.73</v>
      </c>
      <c r="K2308" s="16">
        <f>IF(COUNTIFS(Release_Calendar!$A$2:$A$755,"US_CPI",Release_Calendar!$B$2:$B$755,$A2308)&gt;0,1,0)</f>
        <v>0</v>
      </c>
      <c r="L2308" s="16">
        <f>IF(COUNTIFS(Release_Calendar!$A$2:$A$755,"US_NFP",Release_Calendar!$B$2:$B$755,$A2308)&gt;0,1,0)</f>
        <v>0</v>
      </c>
      <c r="M2308" s="16" t="str">
        <f>IF($A2308&lt;Notes!$B$5,"",IF(COUNTIFS(Release_Calendar!$A$2:$A$755,"NZ_CPI",Release_Calendar!$B$2:$B$755,$A2308)&gt;0,1,0))</f>
        <v/>
      </c>
      <c r="N2308" s="16" t="str">
        <f>IF($A2308&lt;Notes!$B$5,"",IF(COUNTIFS(Release_Calendar!$A$2:$A$755,"NZ_GDP",Release_Calendar!$B$2:$B$755,$A2308)&gt;0,1,0))</f>
        <v/>
      </c>
      <c r="O2308" s="16" t="str">
        <f>IF($A2308&lt;Notes!$B$5,"",IF(COUNTIFS(Release_Calendar!$A$2:$A$755,"NZ_LABOUR",Release_Calendar!$B$2:$B$755,$A2308)&gt;0,1,0))</f>
        <v/>
      </c>
      <c r="P2308" s="16">
        <f t="shared" si="4"/>
        <v>0</v>
      </c>
    </row>
    <row r="2309" ht="15.75" customHeight="1">
      <c r="A2309" s="14">
        <v>39757.0</v>
      </c>
      <c r="B2309" s="15">
        <v>1.36</v>
      </c>
      <c r="C2309" s="15"/>
      <c r="D2309" s="15">
        <v>5.58</v>
      </c>
      <c r="E2309" s="15"/>
      <c r="F2309" s="15" t="str">
        <f t="shared" si="1"/>
        <v/>
      </c>
      <c r="G2309" s="15">
        <f t="shared" si="2"/>
        <v>5.58</v>
      </c>
      <c r="H2309" s="16">
        <v>1.0</v>
      </c>
      <c r="I2309" s="15">
        <f t="shared" si="3"/>
        <v>4.22</v>
      </c>
      <c r="J2309" s="15">
        <v>54.56</v>
      </c>
      <c r="K2309" s="16">
        <f>IF(COUNTIFS(Release_Calendar!$A$2:$A$755,"US_CPI",Release_Calendar!$B$2:$B$755,$A2309)&gt;0,1,0)</f>
        <v>0</v>
      </c>
      <c r="L2309" s="16">
        <f>IF(COUNTIFS(Release_Calendar!$A$2:$A$755,"US_NFP",Release_Calendar!$B$2:$B$755,$A2309)&gt;0,1,0)</f>
        <v>0</v>
      </c>
      <c r="M2309" s="16" t="str">
        <f>IF($A2309&lt;Notes!$B$5,"",IF(COUNTIFS(Release_Calendar!$A$2:$A$755,"NZ_CPI",Release_Calendar!$B$2:$B$755,$A2309)&gt;0,1,0))</f>
        <v/>
      </c>
      <c r="N2309" s="16" t="str">
        <f>IF($A2309&lt;Notes!$B$5,"",IF(COUNTIFS(Release_Calendar!$A$2:$A$755,"NZ_GDP",Release_Calendar!$B$2:$B$755,$A2309)&gt;0,1,0))</f>
        <v/>
      </c>
      <c r="O2309" s="16" t="str">
        <f>IF($A2309&lt;Notes!$B$5,"",IF(COUNTIFS(Release_Calendar!$A$2:$A$755,"NZ_LABOUR",Release_Calendar!$B$2:$B$755,$A2309)&gt;0,1,0))</f>
        <v/>
      </c>
      <c r="P2309" s="16">
        <f t="shared" si="4"/>
        <v>0</v>
      </c>
    </row>
    <row r="2310" ht="15.75" customHeight="1">
      <c r="A2310" s="14">
        <v>39758.0</v>
      </c>
      <c r="B2310" s="15">
        <v>1.28</v>
      </c>
      <c r="C2310" s="15"/>
      <c r="D2310" s="15">
        <v>5.61</v>
      </c>
      <c r="E2310" s="15"/>
      <c r="F2310" s="15" t="str">
        <f t="shared" si="1"/>
        <v/>
      </c>
      <c r="G2310" s="15">
        <f t="shared" si="2"/>
        <v>5.61</v>
      </c>
      <c r="H2310" s="16">
        <v>1.0</v>
      </c>
      <c r="I2310" s="15">
        <f t="shared" si="3"/>
        <v>4.33</v>
      </c>
      <c r="J2310" s="15">
        <v>63.68</v>
      </c>
      <c r="K2310" s="16">
        <f>IF(COUNTIFS(Release_Calendar!$A$2:$A$755,"US_CPI",Release_Calendar!$B$2:$B$755,$A2310)&gt;0,1,0)</f>
        <v>0</v>
      </c>
      <c r="L2310" s="16">
        <f>IF(COUNTIFS(Release_Calendar!$A$2:$A$755,"US_NFP",Release_Calendar!$B$2:$B$755,$A2310)&gt;0,1,0)</f>
        <v>0</v>
      </c>
      <c r="M2310" s="16" t="str">
        <f>IF($A2310&lt;Notes!$B$5,"",IF(COUNTIFS(Release_Calendar!$A$2:$A$755,"NZ_CPI",Release_Calendar!$B$2:$B$755,$A2310)&gt;0,1,0))</f>
        <v/>
      </c>
      <c r="N2310" s="16" t="str">
        <f>IF($A2310&lt;Notes!$B$5,"",IF(COUNTIFS(Release_Calendar!$A$2:$A$755,"NZ_GDP",Release_Calendar!$B$2:$B$755,$A2310)&gt;0,1,0))</f>
        <v/>
      </c>
      <c r="O2310" s="16" t="str">
        <f>IF($A2310&lt;Notes!$B$5,"",IF(COUNTIFS(Release_Calendar!$A$2:$A$755,"NZ_LABOUR",Release_Calendar!$B$2:$B$755,$A2310)&gt;0,1,0))</f>
        <v/>
      </c>
      <c r="P2310" s="16">
        <f t="shared" si="4"/>
        <v>0</v>
      </c>
    </row>
    <row r="2311" ht="15.75" customHeight="1">
      <c r="A2311" s="14">
        <v>39759.0</v>
      </c>
      <c r="B2311" s="15">
        <v>1.33</v>
      </c>
      <c r="C2311" s="15"/>
      <c r="D2311" s="15">
        <v>5.5</v>
      </c>
      <c r="E2311" s="15"/>
      <c r="F2311" s="15" t="str">
        <f t="shared" si="1"/>
        <v/>
      </c>
      <c r="G2311" s="15">
        <f t="shared" si="2"/>
        <v>5.5</v>
      </c>
      <c r="H2311" s="16">
        <v>1.0</v>
      </c>
      <c r="I2311" s="15">
        <f t="shared" si="3"/>
        <v>4.17</v>
      </c>
      <c r="J2311" s="15">
        <v>56.1</v>
      </c>
      <c r="K2311" s="16">
        <f>IF(COUNTIFS(Release_Calendar!$A$2:$A$755,"US_CPI",Release_Calendar!$B$2:$B$755,$A2311)&gt;0,1,0)</f>
        <v>0</v>
      </c>
      <c r="L2311" s="16">
        <f>IF(COUNTIFS(Release_Calendar!$A$2:$A$755,"US_NFP",Release_Calendar!$B$2:$B$755,$A2311)&gt;0,1,0)</f>
        <v>1</v>
      </c>
      <c r="M2311" s="16" t="str">
        <f>IF($A2311&lt;Notes!$B$5,"",IF(COUNTIFS(Release_Calendar!$A$2:$A$755,"NZ_CPI",Release_Calendar!$B$2:$B$755,$A2311)&gt;0,1,0))</f>
        <v/>
      </c>
      <c r="N2311" s="16" t="str">
        <f>IF($A2311&lt;Notes!$B$5,"",IF(COUNTIFS(Release_Calendar!$A$2:$A$755,"NZ_GDP",Release_Calendar!$B$2:$B$755,$A2311)&gt;0,1,0))</f>
        <v/>
      </c>
      <c r="O2311" s="16" t="str">
        <f>IF($A2311&lt;Notes!$B$5,"",IF(COUNTIFS(Release_Calendar!$A$2:$A$755,"NZ_LABOUR",Release_Calendar!$B$2:$B$755,$A2311)&gt;0,1,0))</f>
        <v/>
      </c>
      <c r="P2311" s="16">
        <f t="shared" si="4"/>
        <v>1</v>
      </c>
    </row>
    <row r="2312" ht="15.75" customHeight="1">
      <c r="A2312" s="14">
        <v>39762.0</v>
      </c>
      <c r="B2312" s="15">
        <v>1.27</v>
      </c>
      <c r="C2312" s="15"/>
      <c r="D2312" s="15">
        <v>5.65</v>
      </c>
      <c r="E2312" s="15"/>
      <c r="F2312" s="15" t="str">
        <f t="shared" si="1"/>
        <v/>
      </c>
      <c r="G2312" s="15">
        <f t="shared" si="2"/>
        <v>5.65</v>
      </c>
      <c r="H2312" s="16">
        <v>1.0</v>
      </c>
      <c r="I2312" s="15">
        <f t="shared" si="3"/>
        <v>4.38</v>
      </c>
      <c r="J2312" s="15">
        <v>59.98</v>
      </c>
      <c r="K2312" s="16">
        <f>IF(COUNTIFS(Release_Calendar!$A$2:$A$755,"US_CPI",Release_Calendar!$B$2:$B$755,$A2312)&gt;0,1,0)</f>
        <v>0</v>
      </c>
      <c r="L2312" s="16">
        <f>IF(COUNTIFS(Release_Calendar!$A$2:$A$755,"US_NFP",Release_Calendar!$B$2:$B$755,$A2312)&gt;0,1,0)</f>
        <v>0</v>
      </c>
      <c r="M2312" s="16" t="str">
        <f>IF($A2312&lt;Notes!$B$5,"",IF(COUNTIFS(Release_Calendar!$A$2:$A$755,"NZ_CPI",Release_Calendar!$B$2:$B$755,$A2312)&gt;0,1,0))</f>
        <v/>
      </c>
      <c r="N2312" s="16" t="str">
        <f>IF($A2312&lt;Notes!$B$5,"",IF(COUNTIFS(Release_Calendar!$A$2:$A$755,"NZ_GDP",Release_Calendar!$B$2:$B$755,$A2312)&gt;0,1,0))</f>
        <v/>
      </c>
      <c r="O2312" s="16" t="str">
        <f>IF($A2312&lt;Notes!$B$5,"",IF(COUNTIFS(Release_Calendar!$A$2:$A$755,"NZ_LABOUR",Release_Calendar!$B$2:$B$755,$A2312)&gt;0,1,0))</f>
        <v/>
      </c>
      <c r="P2312" s="16">
        <f t="shared" si="4"/>
        <v>0</v>
      </c>
    </row>
    <row r="2313" ht="15.75" customHeight="1">
      <c r="A2313" s="14">
        <v>39763.0</v>
      </c>
      <c r="B2313" s="15"/>
      <c r="C2313" s="15"/>
      <c r="D2313" s="15">
        <v>5.65</v>
      </c>
      <c r="E2313" s="15"/>
      <c r="F2313" s="15" t="str">
        <f t="shared" si="1"/>
        <v/>
      </c>
      <c r="G2313" s="15">
        <f t="shared" si="2"/>
        <v>5.65</v>
      </c>
      <c r="H2313" s="16">
        <v>1.0</v>
      </c>
      <c r="I2313" s="15" t="str">
        <f t="shared" si="3"/>
        <v/>
      </c>
      <c r="J2313" s="15">
        <v>61.44</v>
      </c>
      <c r="K2313" s="16">
        <f>IF(COUNTIFS(Release_Calendar!$A$2:$A$755,"US_CPI",Release_Calendar!$B$2:$B$755,$A2313)&gt;0,1,0)</f>
        <v>0</v>
      </c>
      <c r="L2313" s="16">
        <f>IF(COUNTIFS(Release_Calendar!$A$2:$A$755,"US_NFP",Release_Calendar!$B$2:$B$755,$A2313)&gt;0,1,0)</f>
        <v>0</v>
      </c>
      <c r="M2313" s="16" t="str">
        <f>IF($A2313&lt;Notes!$B$5,"",IF(COUNTIFS(Release_Calendar!$A$2:$A$755,"NZ_CPI",Release_Calendar!$B$2:$B$755,$A2313)&gt;0,1,0))</f>
        <v/>
      </c>
      <c r="N2313" s="16" t="str">
        <f>IF($A2313&lt;Notes!$B$5,"",IF(COUNTIFS(Release_Calendar!$A$2:$A$755,"NZ_GDP",Release_Calendar!$B$2:$B$755,$A2313)&gt;0,1,0))</f>
        <v/>
      </c>
      <c r="O2313" s="16" t="str">
        <f>IF($A2313&lt;Notes!$B$5,"",IF(COUNTIFS(Release_Calendar!$A$2:$A$755,"NZ_LABOUR",Release_Calendar!$B$2:$B$755,$A2313)&gt;0,1,0))</f>
        <v/>
      </c>
      <c r="P2313" s="16">
        <f t="shared" si="4"/>
        <v>0</v>
      </c>
    </row>
    <row r="2314" ht="15.75" customHeight="1">
      <c r="A2314" s="14">
        <v>39764.0</v>
      </c>
      <c r="B2314" s="15">
        <v>1.19</v>
      </c>
      <c r="C2314" s="15"/>
      <c r="D2314" s="15">
        <v>5.49</v>
      </c>
      <c r="E2314" s="15"/>
      <c r="F2314" s="15" t="str">
        <f t="shared" si="1"/>
        <v/>
      </c>
      <c r="G2314" s="15">
        <f t="shared" si="2"/>
        <v>5.49</v>
      </c>
      <c r="H2314" s="16">
        <v>1.0</v>
      </c>
      <c r="I2314" s="15">
        <f t="shared" si="3"/>
        <v>4.3</v>
      </c>
      <c r="J2314" s="15">
        <v>66.46</v>
      </c>
      <c r="K2314" s="16">
        <f>IF(COUNTIFS(Release_Calendar!$A$2:$A$755,"US_CPI",Release_Calendar!$B$2:$B$755,$A2314)&gt;0,1,0)</f>
        <v>0</v>
      </c>
      <c r="L2314" s="16">
        <f>IF(COUNTIFS(Release_Calendar!$A$2:$A$755,"US_NFP",Release_Calendar!$B$2:$B$755,$A2314)&gt;0,1,0)</f>
        <v>0</v>
      </c>
      <c r="M2314" s="16" t="str">
        <f>IF($A2314&lt;Notes!$B$5,"",IF(COUNTIFS(Release_Calendar!$A$2:$A$755,"NZ_CPI",Release_Calendar!$B$2:$B$755,$A2314)&gt;0,1,0))</f>
        <v/>
      </c>
      <c r="N2314" s="16" t="str">
        <f>IF($A2314&lt;Notes!$B$5,"",IF(COUNTIFS(Release_Calendar!$A$2:$A$755,"NZ_GDP",Release_Calendar!$B$2:$B$755,$A2314)&gt;0,1,0))</f>
        <v/>
      </c>
      <c r="O2314" s="16" t="str">
        <f>IF($A2314&lt;Notes!$B$5,"",IF(COUNTIFS(Release_Calendar!$A$2:$A$755,"NZ_LABOUR",Release_Calendar!$B$2:$B$755,$A2314)&gt;0,1,0))</f>
        <v/>
      </c>
      <c r="P2314" s="16">
        <f t="shared" si="4"/>
        <v>0</v>
      </c>
    </row>
    <row r="2315" ht="15.75" customHeight="1">
      <c r="A2315" s="14">
        <v>39765.0</v>
      </c>
      <c r="B2315" s="15">
        <v>1.24</v>
      </c>
      <c r="C2315" s="15"/>
      <c r="D2315" s="15">
        <v>5.42</v>
      </c>
      <c r="E2315" s="15"/>
      <c r="F2315" s="15" t="str">
        <f t="shared" si="1"/>
        <v/>
      </c>
      <c r="G2315" s="15">
        <f t="shared" si="2"/>
        <v>5.42</v>
      </c>
      <c r="H2315" s="16">
        <v>1.0</v>
      </c>
      <c r="I2315" s="15">
        <f t="shared" si="3"/>
        <v>4.18</v>
      </c>
      <c r="J2315" s="15">
        <v>59.83</v>
      </c>
      <c r="K2315" s="16">
        <f>IF(COUNTIFS(Release_Calendar!$A$2:$A$755,"US_CPI",Release_Calendar!$B$2:$B$755,$A2315)&gt;0,1,0)</f>
        <v>0</v>
      </c>
      <c r="L2315" s="16">
        <f>IF(COUNTIFS(Release_Calendar!$A$2:$A$755,"US_NFP",Release_Calendar!$B$2:$B$755,$A2315)&gt;0,1,0)</f>
        <v>0</v>
      </c>
      <c r="M2315" s="16" t="str">
        <f>IF($A2315&lt;Notes!$B$5,"",IF(COUNTIFS(Release_Calendar!$A$2:$A$755,"NZ_CPI",Release_Calendar!$B$2:$B$755,$A2315)&gt;0,1,0))</f>
        <v/>
      </c>
      <c r="N2315" s="16" t="str">
        <f>IF($A2315&lt;Notes!$B$5,"",IF(COUNTIFS(Release_Calendar!$A$2:$A$755,"NZ_GDP",Release_Calendar!$B$2:$B$755,$A2315)&gt;0,1,0))</f>
        <v/>
      </c>
      <c r="O2315" s="16" t="str">
        <f>IF($A2315&lt;Notes!$B$5,"",IF(COUNTIFS(Release_Calendar!$A$2:$A$755,"NZ_LABOUR",Release_Calendar!$B$2:$B$755,$A2315)&gt;0,1,0))</f>
        <v/>
      </c>
      <c r="P2315" s="16">
        <f t="shared" si="4"/>
        <v>0</v>
      </c>
    </row>
    <row r="2316" ht="15.75" customHeight="1">
      <c r="A2316" s="14">
        <v>39766.0</v>
      </c>
      <c r="B2316" s="15">
        <v>1.22</v>
      </c>
      <c r="C2316" s="15"/>
      <c r="D2316" s="15">
        <v>5.46</v>
      </c>
      <c r="E2316" s="15"/>
      <c r="F2316" s="15" t="str">
        <f t="shared" si="1"/>
        <v/>
      </c>
      <c r="G2316" s="15">
        <f t="shared" si="2"/>
        <v>5.46</v>
      </c>
      <c r="H2316" s="16">
        <v>1.0</v>
      </c>
      <c r="I2316" s="15">
        <f t="shared" si="3"/>
        <v>4.24</v>
      </c>
      <c r="J2316" s="15">
        <v>66.31</v>
      </c>
      <c r="K2316" s="16">
        <f>IF(COUNTIFS(Release_Calendar!$A$2:$A$755,"US_CPI",Release_Calendar!$B$2:$B$755,$A2316)&gt;0,1,0)</f>
        <v>0</v>
      </c>
      <c r="L2316" s="16">
        <f>IF(COUNTIFS(Release_Calendar!$A$2:$A$755,"US_NFP",Release_Calendar!$B$2:$B$755,$A2316)&gt;0,1,0)</f>
        <v>0</v>
      </c>
      <c r="M2316" s="16" t="str">
        <f>IF($A2316&lt;Notes!$B$5,"",IF(COUNTIFS(Release_Calendar!$A$2:$A$755,"NZ_CPI",Release_Calendar!$B$2:$B$755,$A2316)&gt;0,1,0))</f>
        <v/>
      </c>
      <c r="N2316" s="16" t="str">
        <f>IF($A2316&lt;Notes!$B$5,"",IF(COUNTIFS(Release_Calendar!$A$2:$A$755,"NZ_GDP",Release_Calendar!$B$2:$B$755,$A2316)&gt;0,1,0))</f>
        <v/>
      </c>
      <c r="O2316" s="16" t="str">
        <f>IF($A2316&lt;Notes!$B$5,"",IF(COUNTIFS(Release_Calendar!$A$2:$A$755,"NZ_LABOUR",Release_Calendar!$B$2:$B$755,$A2316)&gt;0,1,0))</f>
        <v/>
      </c>
      <c r="P2316" s="16">
        <f t="shared" si="4"/>
        <v>0</v>
      </c>
    </row>
    <row r="2317" ht="15.75" customHeight="1">
      <c r="A2317" s="14">
        <v>39769.0</v>
      </c>
      <c r="B2317" s="15">
        <v>1.22</v>
      </c>
      <c r="C2317" s="15"/>
      <c r="D2317" s="15">
        <v>5.44</v>
      </c>
      <c r="E2317" s="15"/>
      <c r="F2317" s="15" t="str">
        <f t="shared" si="1"/>
        <v/>
      </c>
      <c r="G2317" s="15">
        <f t="shared" si="2"/>
        <v>5.44</v>
      </c>
      <c r="H2317" s="16">
        <v>1.0</v>
      </c>
      <c r="I2317" s="15">
        <f t="shared" si="3"/>
        <v>4.22</v>
      </c>
      <c r="J2317" s="15">
        <v>69.15</v>
      </c>
      <c r="K2317" s="16">
        <f>IF(COUNTIFS(Release_Calendar!$A$2:$A$755,"US_CPI",Release_Calendar!$B$2:$B$755,$A2317)&gt;0,1,0)</f>
        <v>0</v>
      </c>
      <c r="L2317" s="16">
        <f>IF(COUNTIFS(Release_Calendar!$A$2:$A$755,"US_NFP",Release_Calendar!$B$2:$B$755,$A2317)&gt;0,1,0)</f>
        <v>0</v>
      </c>
      <c r="M2317" s="16" t="str">
        <f>IF($A2317&lt;Notes!$B$5,"",IF(COUNTIFS(Release_Calendar!$A$2:$A$755,"NZ_CPI",Release_Calendar!$B$2:$B$755,$A2317)&gt;0,1,0))</f>
        <v/>
      </c>
      <c r="N2317" s="16" t="str">
        <f>IF($A2317&lt;Notes!$B$5,"",IF(COUNTIFS(Release_Calendar!$A$2:$A$755,"NZ_GDP",Release_Calendar!$B$2:$B$755,$A2317)&gt;0,1,0))</f>
        <v/>
      </c>
      <c r="O2317" s="16" t="str">
        <f>IF($A2317&lt;Notes!$B$5,"",IF(COUNTIFS(Release_Calendar!$A$2:$A$755,"NZ_LABOUR",Release_Calendar!$B$2:$B$755,$A2317)&gt;0,1,0))</f>
        <v/>
      </c>
      <c r="P2317" s="16">
        <f t="shared" si="4"/>
        <v>0</v>
      </c>
    </row>
    <row r="2318" ht="15.75" customHeight="1">
      <c r="A2318" s="14">
        <v>39770.0</v>
      </c>
      <c r="B2318" s="15">
        <v>1.15</v>
      </c>
      <c r="C2318" s="15"/>
      <c r="D2318" s="15">
        <v>5.23</v>
      </c>
      <c r="E2318" s="15"/>
      <c r="F2318" s="15" t="str">
        <f t="shared" si="1"/>
        <v/>
      </c>
      <c r="G2318" s="15">
        <f t="shared" si="2"/>
        <v>5.23</v>
      </c>
      <c r="H2318" s="16">
        <v>1.0</v>
      </c>
      <c r="I2318" s="15">
        <f t="shared" si="3"/>
        <v>4.08</v>
      </c>
      <c r="J2318" s="15">
        <v>67.64</v>
      </c>
      <c r="K2318" s="16">
        <f>IF(COUNTIFS(Release_Calendar!$A$2:$A$755,"US_CPI",Release_Calendar!$B$2:$B$755,$A2318)&gt;0,1,0)</f>
        <v>0</v>
      </c>
      <c r="L2318" s="16">
        <f>IF(COUNTIFS(Release_Calendar!$A$2:$A$755,"US_NFP",Release_Calendar!$B$2:$B$755,$A2318)&gt;0,1,0)</f>
        <v>0</v>
      </c>
      <c r="M2318" s="16" t="str">
        <f>IF($A2318&lt;Notes!$B$5,"",IF(COUNTIFS(Release_Calendar!$A$2:$A$755,"NZ_CPI",Release_Calendar!$B$2:$B$755,$A2318)&gt;0,1,0))</f>
        <v/>
      </c>
      <c r="N2318" s="16" t="str">
        <f>IF($A2318&lt;Notes!$B$5,"",IF(COUNTIFS(Release_Calendar!$A$2:$A$755,"NZ_GDP",Release_Calendar!$B$2:$B$755,$A2318)&gt;0,1,0))</f>
        <v/>
      </c>
      <c r="O2318" s="16" t="str">
        <f>IF($A2318&lt;Notes!$B$5,"",IF(COUNTIFS(Release_Calendar!$A$2:$A$755,"NZ_LABOUR",Release_Calendar!$B$2:$B$755,$A2318)&gt;0,1,0))</f>
        <v/>
      </c>
      <c r="P2318" s="16">
        <f t="shared" si="4"/>
        <v>0</v>
      </c>
    </row>
    <row r="2319" ht="15.75" customHeight="1">
      <c r="A2319" s="14">
        <v>39771.0</v>
      </c>
      <c r="B2319" s="15">
        <v>1.09</v>
      </c>
      <c r="C2319" s="15"/>
      <c r="D2319" s="15">
        <v>5.12</v>
      </c>
      <c r="E2319" s="15"/>
      <c r="F2319" s="15" t="str">
        <f t="shared" si="1"/>
        <v/>
      </c>
      <c r="G2319" s="15">
        <f t="shared" si="2"/>
        <v>5.12</v>
      </c>
      <c r="H2319" s="16">
        <v>1.0</v>
      </c>
      <c r="I2319" s="15">
        <f t="shared" si="3"/>
        <v>4.03</v>
      </c>
      <c r="J2319" s="15">
        <v>74.26</v>
      </c>
      <c r="K2319" s="16">
        <f>IF(COUNTIFS(Release_Calendar!$A$2:$A$755,"US_CPI",Release_Calendar!$B$2:$B$755,$A2319)&gt;0,1,0)</f>
        <v>1</v>
      </c>
      <c r="L2319" s="16">
        <f>IF(COUNTIFS(Release_Calendar!$A$2:$A$755,"US_NFP",Release_Calendar!$B$2:$B$755,$A2319)&gt;0,1,0)</f>
        <v>0</v>
      </c>
      <c r="M2319" s="16" t="str">
        <f>IF($A2319&lt;Notes!$B$5,"",IF(COUNTIFS(Release_Calendar!$A$2:$A$755,"NZ_CPI",Release_Calendar!$B$2:$B$755,$A2319)&gt;0,1,0))</f>
        <v/>
      </c>
      <c r="N2319" s="16" t="str">
        <f>IF($A2319&lt;Notes!$B$5,"",IF(COUNTIFS(Release_Calendar!$A$2:$A$755,"NZ_GDP",Release_Calendar!$B$2:$B$755,$A2319)&gt;0,1,0))</f>
        <v/>
      </c>
      <c r="O2319" s="16" t="str">
        <f>IF($A2319&lt;Notes!$B$5,"",IF(COUNTIFS(Release_Calendar!$A$2:$A$755,"NZ_LABOUR",Release_Calendar!$B$2:$B$755,$A2319)&gt;0,1,0))</f>
        <v/>
      </c>
      <c r="P2319" s="16">
        <f t="shared" si="4"/>
        <v>1</v>
      </c>
    </row>
    <row r="2320" ht="15.75" customHeight="1">
      <c r="A2320" s="14">
        <v>39772.0</v>
      </c>
      <c r="B2320" s="15">
        <v>1.0</v>
      </c>
      <c r="C2320" s="15"/>
      <c r="D2320" s="15">
        <v>5.08</v>
      </c>
      <c r="E2320" s="15"/>
      <c r="F2320" s="15" t="str">
        <f t="shared" si="1"/>
        <v/>
      </c>
      <c r="G2320" s="15">
        <f t="shared" si="2"/>
        <v>5.08</v>
      </c>
      <c r="H2320" s="16">
        <v>1.0</v>
      </c>
      <c r="I2320" s="15">
        <f t="shared" si="3"/>
        <v>4.08</v>
      </c>
      <c r="J2320" s="15">
        <v>80.86</v>
      </c>
      <c r="K2320" s="16">
        <f>IF(COUNTIFS(Release_Calendar!$A$2:$A$755,"US_CPI",Release_Calendar!$B$2:$B$755,$A2320)&gt;0,1,0)</f>
        <v>0</v>
      </c>
      <c r="L2320" s="16">
        <f>IF(COUNTIFS(Release_Calendar!$A$2:$A$755,"US_NFP",Release_Calendar!$B$2:$B$755,$A2320)&gt;0,1,0)</f>
        <v>0</v>
      </c>
      <c r="M2320" s="16" t="str">
        <f>IF($A2320&lt;Notes!$B$5,"",IF(COUNTIFS(Release_Calendar!$A$2:$A$755,"NZ_CPI",Release_Calendar!$B$2:$B$755,$A2320)&gt;0,1,0))</f>
        <v/>
      </c>
      <c r="N2320" s="16" t="str">
        <f>IF($A2320&lt;Notes!$B$5,"",IF(COUNTIFS(Release_Calendar!$A$2:$A$755,"NZ_GDP",Release_Calendar!$B$2:$B$755,$A2320)&gt;0,1,0))</f>
        <v/>
      </c>
      <c r="O2320" s="16" t="str">
        <f>IF($A2320&lt;Notes!$B$5,"",IF(COUNTIFS(Release_Calendar!$A$2:$A$755,"NZ_LABOUR",Release_Calendar!$B$2:$B$755,$A2320)&gt;0,1,0))</f>
        <v/>
      </c>
      <c r="P2320" s="16">
        <f t="shared" si="4"/>
        <v>0</v>
      </c>
    </row>
    <row r="2321" ht="15.75" customHeight="1">
      <c r="A2321" s="14">
        <v>39773.0</v>
      </c>
      <c r="B2321" s="15">
        <v>1.09</v>
      </c>
      <c r="C2321" s="15"/>
      <c r="D2321" s="15">
        <v>5.0</v>
      </c>
      <c r="E2321" s="15"/>
      <c r="F2321" s="15" t="str">
        <f t="shared" si="1"/>
        <v/>
      </c>
      <c r="G2321" s="15">
        <f t="shared" si="2"/>
        <v>5</v>
      </c>
      <c r="H2321" s="16">
        <v>1.0</v>
      </c>
      <c r="I2321" s="15">
        <f t="shared" si="3"/>
        <v>3.91</v>
      </c>
      <c r="J2321" s="15">
        <v>72.67</v>
      </c>
      <c r="K2321" s="16">
        <f>IF(COUNTIFS(Release_Calendar!$A$2:$A$755,"US_CPI",Release_Calendar!$B$2:$B$755,$A2321)&gt;0,1,0)</f>
        <v>0</v>
      </c>
      <c r="L2321" s="16">
        <f>IF(COUNTIFS(Release_Calendar!$A$2:$A$755,"US_NFP",Release_Calendar!$B$2:$B$755,$A2321)&gt;0,1,0)</f>
        <v>0</v>
      </c>
      <c r="M2321" s="16" t="str">
        <f>IF($A2321&lt;Notes!$B$5,"",IF(COUNTIFS(Release_Calendar!$A$2:$A$755,"NZ_CPI",Release_Calendar!$B$2:$B$755,$A2321)&gt;0,1,0))</f>
        <v/>
      </c>
      <c r="N2321" s="16" t="str">
        <f>IF($A2321&lt;Notes!$B$5,"",IF(COUNTIFS(Release_Calendar!$A$2:$A$755,"NZ_GDP",Release_Calendar!$B$2:$B$755,$A2321)&gt;0,1,0))</f>
        <v/>
      </c>
      <c r="O2321" s="16" t="str">
        <f>IF($A2321&lt;Notes!$B$5,"",IF(COUNTIFS(Release_Calendar!$A$2:$A$755,"NZ_LABOUR",Release_Calendar!$B$2:$B$755,$A2321)&gt;0,1,0))</f>
        <v/>
      </c>
      <c r="P2321" s="16">
        <f t="shared" si="4"/>
        <v>0</v>
      </c>
    </row>
    <row r="2322" ht="15.75" customHeight="1">
      <c r="A2322" s="14">
        <v>39776.0</v>
      </c>
      <c r="B2322" s="15">
        <v>1.31</v>
      </c>
      <c r="C2322" s="15"/>
      <c r="D2322" s="15">
        <v>4.92</v>
      </c>
      <c r="E2322" s="15"/>
      <c r="F2322" s="15" t="str">
        <f t="shared" si="1"/>
        <v/>
      </c>
      <c r="G2322" s="15">
        <f t="shared" si="2"/>
        <v>4.92</v>
      </c>
      <c r="H2322" s="16">
        <v>1.0</v>
      </c>
      <c r="I2322" s="15">
        <f t="shared" si="3"/>
        <v>3.61</v>
      </c>
      <c r="J2322" s="15">
        <v>64.7</v>
      </c>
      <c r="K2322" s="16">
        <f>IF(COUNTIFS(Release_Calendar!$A$2:$A$755,"US_CPI",Release_Calendar!$B$2:$B$755,$A2322)&gt;0,1,0)</f>
        <v>0</v>
      </c>
      <c r="L2322" s="16">
        <f>IF(COUNTIFS(Release_Calendar!$A$2:$A$755,"US_NFP",Release_Calendar!$B$2:$B$755,$A2322)&gt;0,1,0)</f>
        <v>0</v>
      </c>
      <c r="M2322" s="16" t="str">
        <f>IF($A2322&lt;Notes!$B$5,"",IF(COUNTIFS(Release_Calendar!$A$2:$A$755,"NZ_CPI",Release_Calendar!$B$2:$B$755,$A2322)&gt;0,1,0))</f>
        <v/>
      </c>
      <c r="N2322" s="16" t="str">
        <f>IF($A2322&lt;Notes!$B$5,"",IF(COUNTIFS(Release_Calendar!$A$2:$A$755,"NZ_GDP",Release_Calendar!$B$2:$B$755,$A2322)&gt;0,1,0))</f>
        <v/>
      </c>
      <c r="O2322" s="16" t="str">
        <f>IF($A2322&lt;Notes!$B$5,"",IF(COUNTIFS(Release_Calendar!$A$2:$A$755,"NZ_LABOUR",Release_Calendar!$B$2:$B$755,$A2322)&gt;0,1,0))</f>
        <v/>
      </c>
      <c r="P2322" s="16">
        <f t="shared" si="4"/>
        <v>0</v>
      </c>
    </row>
    <row r="2323" ht="15.75" customHeight="1">
      <c r="A2323" s="14">
        <v>39777.0</v>
      </c>
      <c r="B2323" s="15">
        <v>1.15</v>
      </c>
      <c r="C2323" s="15"/>
      <c r="D2323" s="15">
        <v>4.93</v>
      </c>
      <c r="E2323" s="15"/>
      <c r="F2323" s="15" t="str">
        <f t="shared" si="1"/>
        <v/>
      </c>
      <c r="G2323" s="15">
        <f t="shared" si="2"/>
        <v>4.93</v>
      </c>
      <c r="H2323" s="16">
        <v>1.0</v>
      </c>
      <c r="I2323" s="15">
        <f t="shared" si="3"/>
        <v>3.78</v>
      </c>
      <c r="J2323" s="15">
        <v>60.9</v>
      </c>
      <c r="K2323" s="16">
        <f>IF(COUNTIFS(Release_Calendar!$A$2:$A$755,"US_CPI",Release_Calendar!$B$2:$B$755,$A2323)&gt;0,1,0)</f>
        <v>0</v>
      </c>
      <c r="L2323" s="16">
        <f>IF(COUNTIFS(Release_Calendar!$A$2:$A$755,"US_NFP",Release_Calendar!$B$2:$B$755,$A2323)&gt;0,1,0)</f>
        <v>0</v>
      </c>
      <c r="M2323" s="16" t="str">
        <f>IF($A2323&lt;Notes!$B$5,"",IF(COUNTIFS(Release_Calendar!$A$2:$A$755,"NZ_CPI",Release_Calendar!$B$2:$B$755,$A2323)&gt;0,1,0))</f>
        <v/>
      </c>
      <c r="N2323" s="16" t="str">
        <f>IF($A2323&lt;Notes!$B$5,"",IF(COUNTIFS(Release_Calendar!$A$2:$A$755,"NZ_GDP",Release_Calendar!$B$2:$B$755,$A2323)&gt;0,1,0))</f>
        <v/>
      </c>
      <c r="O2323" s="16" t="str">
        <f>IF($A2323&lt;Notes!$B$5,"",IF(COUNTIFS(Release_Calendar!$A$2:$A$755,"NZ_LABOUR",Release_Calendar!$B$2:$B$755,$A2323)&gt;0,1,0))</f>
        <v/>
      </c>
      <c r="P2323" s="16">
        <f t="shared" si="4"/>
        <v>0</v>
      </c>
    </row>
    <row r="2324" ht="15.75" customHeight="1">
      <c r="A2324" s="14">
        <v>39778.0</v>
      </c>
      <c r="B2324" s="15">
        <v>1.09</v>
      </c>
      <c r="C2324" s="15"/>
      <c r="D2324" s="15">
        <v>4.9</v>
      </c>
      <c r="E2324" s="15"/>
      <c r="F2324" s="15" t="str">
        <f t="shared" si="1"/>
        <v/>
      </c>
      <c r="G2324" s="15">
        <f t="shared" si="2"/>
        <v>4.9</v>
      </c>
      <c r="H2324" s="16">
        <v>1.0</v>
      </c>
      <c r="I2324" s="15">
        <f t="shared" si="3"/>
        <v>3.81</v>
      </c>
      <c r="J2324" s="15">
        <v>54.92</v>
      </c>
      <c r="K2324" s="16">
        <f>IF(COUNTIFS(Release_Calendar!$A$2:$A$755,"US_CPI",Release_Calendar!$B$2:$B$755,$A2324)&gt;0,1,0)</f>
        <v>0</v>
      </c>
      <c r="L2324" s="16">
        <f>IF(COUNTIFS(Release_Calendar!$A$2:$A$755,"US_NFP",Release_Calendar!$B$2:$B$755,$A2324)&gt;0,1,0)</f>
        <v>0</v>
      </c>
      <c r="M2324" s="16" t="str">
        <f>IF($A2324&lt;Notes!$B$5,"",IF(COUNTIFS(Release_Calendar!$A$2:$A$755,"NZ_CPI",Release_Calendar!$B$2:$B$755,$A2324)&gt;0,1,0))</f>
        <v/>
      </c>
      <c r="N2324" s="16" t="str">
        <f>IF($A2324&lt;Notes!$B$5,"",IF(COUNTIFS(Release_Calendar!$A$2:$A$755,"NZ_GDP",Release_Calendar!$B$2:$B$755,$A2324)&gt;0,1,0))</f>
        <v/>
      </c>
      <c r="O2324" s="16" t="str">
        <f>IF($A2324&lt;Notes!$B$5,"",IF(COUNTIFS(Release_Calendar!$A$2:$A$755,"NZ_LABOUR",Release_Calendar!$B$2:$B$755,$A2324)&gt;0,1,0))</f>
        <v/>
      </c>
      <c r="P2324" s="16">
        <f t="shared" si="4"/>
        <v>0</v>
      </c>
    </row>
    <row r="2325" ht="15.75" customHeight="1">
      <c r="A2325" s="14">
        <v>39779.0</v>
      </c>
      <c r="B2325" s="15"/>
      <c r="C2325" s="15"/>
      <c r="D2325" s="15">
        <v>4.86</v>
      </c>
      <c r="E2325" s="15"/>
      <c r="F2325" s="15" t="str">
        <f t="shared" si="1"/>
        <v/>
      </c>
      <c r="G2325" s="15">
        <f t="shared" si="2"/>
        <v>4.86</v>
      </c>
      <c r="H2325" s="16">
        <v>1.0</v>
      </c>
      <c r="I2325" s="15" t="str">
        <f t="shared" si="3"/>
        <v/>
      </c>
      <c r="J2325" s="15"/>
      <c r="K2325" s="16">
        <f>IF(COUNTIFS(Release_Calendar!$A$2:$A$755,"US_CPI",Release_Calendar!$B$2:$B$755,$A2325)&gt;0,1,0)</f>
        <v>0</v>
      </c>
      <c r="L2325" s="16">
        <f>IF(COUNTIFS(Release_Calendar!$A$2:$A$755,"US_NFP",Release_Calendar!$B$2:$B$755,$A2325)&gt;0,1,0)</f>
        <v>0</v>
      </c>
      <c r="M2325" s="16" t="str">
        <f>IF($A2325&lt;Notes!$B$5,"",IF(COUNTIFS(Release_Calendar!$A$2:$A$755,"NZ_CPI",Release_Calendar!$B$2:$B$755,$A2325)&gt;0,1,0))</f>
        <v/>
      </c>
      <c r="N2325" s="16" t="str">
        <f>IF($A2325&lt;Notes!$B$5,"",IF(COUNTIFS(Release_Calendar!$A$2:$A$755,"NZ_GDP",Release_Calendar!$B$2:$B$755,$A2325)&gt;0,1,0))</f>
        <v/>
      </c>
      <c r="O2325" s="16" t="str">
        <f>IF($A2325&lt;Notes!$B$5,"",IF(COUNTIFS(Release_Calendar!$A$2:$A$755,"NZ_LABOUR",Release_Calendar!$B$2:$B$755,$A2325)&gt;0,1,0))</f>
        <v/>
      </c>
      <c r="P2325" s="16">
        <f t="shared" si="4"/>
        <v>0</v>
      </c>
    </row>
    <row r="2326" ht="15.75" customHeight="1">
      <c r="A2326" s="14">
        <v>39780.0</v>
      </c>
      <c r="B2326" s="15">
        <v>1.0</v>
      </c>
      <c r="C2326" s="15"/>
      <c r="D2326" s="15">
        <v>4.74</v>
      </c>
      <c r="E2326" s="15"/>
      <c r="F2326" s="15" t="str">
        <f t="shared" si="1"/>
        <v/>
      </c>
      <c r="G2326" s="15">
        <f t="shared" si="2"/>
        <v>4.74</v>
      </c>
      <c r="H2326" s="16">
        <v>1.0</v>
      </c>
      <c r="I2326" s="15">
        <f t="shared" si="3"/>
        <v>3.74</v>
      </c>
      <c r="J2326" s="15">
        <v>55.84</v>
      </c>
      <c r="K2326" s="16">
        <f>IF(COUNTIFS(Release_Calendar!$A$2:$A$755,"US_CPI",Release_Calendar!$B$2:$B$755,$A2326)&gt;0,1,0)</f>
        <v>0</v>
      </c>
      <c r="L2326" s="16">
        <f>IF(COUNTIFS(Release_Calendar!$A$2:$A$755,"US_NFP",Release_Calendar!$B$2:$B$755,$A2326)&gt;0,1,0)</f>
        <v>0</v>
      </c>
      <c r="M2326" s="16" t="str">
        <f>IF($A2326&lt;Notes!$B$5,"",IF(COUNTIFS(Release_Calendar!$A$2:$A$755,"NZ_CPI",Release_Calendar!$B$2:$B$755,$A2326)&gt;0,1,0))</f>
        <v/>
      </c>
      <c r="N2326" s="16" t="str">
        <f>IF($A2326&lt;Notes!$B$5,"",IF(COUNTIFS(Release_Calendar!$A$2:$A$755,"NZ_GDP",Release_Calendar!$B$2:$B$755,$A2326)&gt;0,1,0))</f>
        <v/>
      </c>
      <c r="O2326" s="16" t="str">
        <f>IF($A2326&lt;Notes!$B$5,"",IF(COUNTIFS(Release_Calendar!$A$2:$A$755,"NZ_LABOUR",Release_Calendar!$B$2:$B$755,$A2326)&gt;0,1,0))</f>
        <v/>
      </c>
      <c r="P2326" s="16">
        <f t="shared" si="4"/>
        <v>0</v>
      </c>
    </row>
    <row r="2327" ht="15.75" customHeight="1">
      <c r="A2327" s="14">
        <v>39783.0</v>
      </c>
      <c r="B2327" s="15">
        <v>0.9</v>
      </c>
      <c r="C2327" s="15"/>
      <c r="D2327" s="15">
        <v>4.64</v>
      </c>
      <c r="E2327" s="15"/>
      <c r="F2327" s="15" t="str">
        <f t="shared" si="1"/>
        <v/>
      </c>
      <c r="G2327" s="15">
        <f t="shared" si="2"/>
        <v>4.64</v>
      </c>
      <c r="H2327" s="16">
        <v>1.0</v>
      </c>
      <c r="I2327" s="15">
        <f t="shared" si="3"/>
        <v>3.74</v>
      </c>
      <c r="J2327" s="15">
        <v>68.51</v>
      </c>
      <c r="K2327" s="16">
        <f>IF(COUNTIFS(Release_Calendar!$A$2:$A$755,"US_CPI",Release_Calendar!$B$2:$B$755,$A2327)&gt;0,1,0)</f>
        <v>0</v>
      </c>
      <c r="L2327" s="16">
        <f>IF(COUNTIFS(Release_Calendar!$A$2:$A$755,"US_NFP",Release_Calendar!$B$2:$B$755,$A2327)&gt;0,1,0)</f>
        <v>0</v>
      </c>
      <c r="M2327" s="16" t="str">
        <f>IF($A2327&lt;Notes!$B$5,"",IF(COUNTIFS(Release_Calendar!$A$2:$A$755,"NZ_CPI",Release_Calendar!$B$2:$B$755,$A2327)&gt;0,1,0))</f>
        <v/>
      </c>
      <c r="N2327" s="16" t="str">
        <f>IF($A2327&lt;Notes!$B$5,"",IF(COUNTIFS(Release_Calendar!$A$2:$A$755,"NZ_GDP",Release_Calendar!$B$2:$B$755,$A2327)&gt;0,1,0))</f>
        <v/>
      </c>
      <c r="O2327" s="16" t="str">
        <f>IF($A2327&lt;Notes!$B$5,"",IF(COUNTIFS(Release_Calendar!$A$2:$A$755,"NZ_LABOUR",Release_Calendar!$B$2:$B$755,$A2327)&gt;0,1,0))</f>
        <v/>
      </c>
      <c r="P2327" s="16">
        <f t="shared" si="4"/>
        <v>0</v>
      </c>
    </row>
    <row r="2328" ht="15.75" customHeight="1">
      <c r="A2328" s="14">
        <v>39784.0</v>
      </c>
      <c r="B2328" s="15">
        <v>0.9</v>
      </c>
      <c r="C2328" s="15"/>
      <c r="D2328" s="15">
        <v>4.47</v>
      </c>
      <c r="E2328" s="15"/>
      <c r="F2328" s="15" t="str">
        <f t="shared" si="1"/>
        <v/>
      </c>
      <c r="G2328" s="15">
        <f t="shared" si="2"/>
        <v>4.47</v>
      </c>
      <c r="H2328" s="16">
        <v>1.0</v>
      </c>
      <c r="I2328" s="15">
        <f t="shared" si="3"/>
        <v>3.57</v>
      </c>
      <c r="J2328" s="15">
        <v>62.98</v>
      </c>
      <c r="K2328" s="16">
        <f>IF(COUNTIFS(Release_Calendar!$A$2:$A$755,"US_CPI",Release_Calendar!$B$2:$B$755,$A2328)&gt;0,1,0)</f>
        <v>0</v>
      </c>
      <c r="L2328" s="16">
        <f>IF(COUNTIFS(Release_Calendar!$A$2:$A$755,"US_NFP",Release_Calendar!$B$2:$B$755,$A2328)&gt;0,1,0)</f>
        <v>0</v>
      </c>
      <c r="M2328" s="16" t="str">
        <f>IF($A2328&lt;Notes!$B$5,"",IF(COUNTIFS(Release_Calendar!$A$2:$A$755,"NZ_CPI",Release_Calendar!$B$2:$B$755,$A2328)&gt;0,1,0))</f>
        <v/>
      </c>
      <c r="N2328" s="16" t="str">
        <f>IF($A2328&lt;Notes!$B$5,"",IF(COUNTIFS(Release_Calendar!$A$2:$A$755,"NZ_GDP",Release_Calendar!$B$2:$B$755,$A2328)&gt;0,1,0))</f>
        <v/>
      </c>
      <c r="O2328" s="16" t="str">
        <f>IF($A2328&lt;Notes!$B$5,"",IF(COUNTIFS(Release_Calendar!$A$2:$A$755,"NZ_LABOUR",Release_Calendar!$B$2:$B$755,$A2328)&gt;0,1,0))</f>
        <v/>
      </c>
      <c r="P2328" s="16">
        <f t="shared" si="4"/>
        <v>0</v>
      </c>
    </row>
    <row r="2329" ht="15.75" customHeight="1">
      <c r="A2329" s="14">
        <v>39785.0</v>
      </c>
      <c r="B2329" s="15">
        <v>0.87</v>
      </c>
      <c r="C2329" s="15"/>
      <c r="D2329" s="15">
        <v>4.49</v>
      </c>
      <c r="E2329" s="15"/>
      <c r="F2329" s="15" t="str">
        <f t="shared" si="1"/>
        <v/>
      </c>
      <c r="G2329" s="15">
        <f t="shared" si="2"/>
        <v>4.49</v>
      </c>
      <c r="H2329" s="16">
        <v>1.0</v>
      </c>
      <c r="I2329" s="15">
        <f t="shared" si="3"/>
        <v>3.62</v>
      </c>
      <c r="J2329" s="15">
        <v>60.72</v>
      </c>
      <c r="K2329" s="16">
        <f>IF(COUNTIFS(Release_Calendar!$A$2:$A$755,"US_CPI",Release_Calendar!$B$2:$B$755,$A2329)&gt;0,1,0)</f>
        <v>0</v>
      </c>
      <c r="L2329" s="16">
        <f>IF(COUNTIFS(Release_Calendar!$A$2:$A$755,"US_NFP",Release_Calendar!$B$2:$B$755,$A2329)&gt;0,1,0)</f>
        <v>0</v>
      </c>
      <c r="M2329" s="16" t="str">
        <f>IF($A2329&lt;Notes!$B$5,"",IF(COUNTIFS(Release_Calendar!$A$2:$A$755,"NZ_CPI",Release_Calendar!$B$2:$B$755,$A2329)&gt;0,1,0))</f>
        <v/>
      </c>
      <c r="N2329" s="16" t="str">
        <f>IF($A2329&lt;Notes!$B$5,"",IF(COUNTIFS(Release_Calendar!$A$2:$A$755,"NZ_GDP",Release_Calendar!$B$2:$B$755,$A2329)&gt;0,1,0))</f>
        <v/>
      </c>
      <c r="O2329" s="16" t="str">
        <f>IF($A2329&lt;Notes!$B$5,"",IF(COUNTIFS(Release_Calendar!$A$2:$A$755,"NZ_LABOUR",Release_Calendar!$B$2:$B$755,$A2329)&gt;0,1,0))</f>
        <v/>
      </c>
      <c r="P2329" s="16">
        <f t="shared" si="4"/>
        <v>0</v>
      </c>
    </row>
    <row r="2330" ht="15.75" customHeight="1">
      <c r="A2330" s="14">
        <v>39786.0</v>
      </c>
      <c r="B2330" s="15">
        <v>0.82</v>
      </c>
      <c r="C2330" s="15"/>
      <c r="D2330" s="15">
        <v>4.4</v>
      </c>
      <c r="E2330" s="15"/>
      <c r="F2330" s="15" t="str">
        <f t="shared" si="1"/>
        <v/>
      </c>
      <c r="G2330" s="15">
        <f t="shared" si="2"/>
        <v>4.4</v>
      </c>
      <c r="H2330" s="16">
        <v>1.0</v>
      </c>
      <c r="I2330" s="15">
        <f t="shared" si="3"/>
        <v>3.58</v>
      </c>
      <c r="J2330" s="15">
        <v>63.64</v>
      </c>
      <c r="K2330" s="16">
        <f>IF(COUNTIFS(Release_Calendar!$A$2:$A$755,"US_CPI",Release_Calendar!$B$2:$B$755,$A2330)&gt;0,1,0)</f>
        <v>0</v>
      </c>
      <c r="L2330" s="16">
        <f>IF(COUNTIFS(Release_Calendar!$A$2:$A$755,"US_NFP",Release_Calendar!$B$2:$B$755,$A2330)&gt;0,1,0)</f>
        <v>0</v>
      </c>
      <c r="M2330" s="16" t="str">
        <f>IF($A2330&lt;Notes!$B$5,"",IF(COUNTIFS(Release_Calendar!$A$2:$A$755,"NZ_CPI",Release_Calendar!$B$2:$B$755,$A2330)&gt;0,1,0))</f>
        <v/>
      </c>
      <c r="N2330" s="16" t="str">
        <f>IF($A2330&lt;Notes!$B$5,"",IF(COUNTIFS(Release_Calendar!$A$2:$A$755,"NZ_GDP",Release_Calendar!$B$2:$B$755,$A2330)&gt;0,1,0))</f>
        <v/>
      </c>
      <c r="O2330" s="16" t="str">
        <f>IF($A2330&lt;Notes!$B$5,"",IF(COUNTIFS(Release_Calendar!$A$2:$A$755,"NZ_LABOUR",Release_Calendar!$B$2:$B$755,$A2330)&gt;0,1,0))</f>
        <v/>
      </c>
      <c r="P2330" s="16">
        <f t="shared" si="4"/>
        <v>0</v>
      </c>
    </row>
    <row r="2331" ht="15.75" customHeight="1">
      <c r="A2331" s="14">
        <v>39787.0</v>
      </c>
      <c r="B2331" s="15">
        <v>0.93</v>
      </c>
      <c r="C2331" s="15"/>
      <c r="D2331" s="15">
        <v>4.47</v>
      </c>
      <c r="E2331" s="15"/>
      <c r="F2331" s="15" t="str">
        <f t="shared" si="1"/>
        <v/>
      </c>
      <c r="G2331" s="15">
        <f t="shared" si="2"/>
        <v>4.47</v>
      </c>
      <c r="H2331" s="16">
        <v>1.0</v>
      </c>
      <c r="I2331" s="15">
        <f t="shared" si="3"/>
        <v>3.54</v>
      </c>
      <c r="J2331" s="15">
        <v>59.93</v>
      </c>
      <c r="K2331" s="16">
        <f>IF(COUNTIFS(Release_Calendar!$A$2:$A$755,"US_CPI",Release_Calendar!$B$2:$B$755,$A2331)&gt;0,1,0)</f>
        <v>0</v>
      </c>
      <c r="L2331" s="16">
        <f>IF(COUNTIFS(Release_Calendar!$A$2:$A$755,"US_NFP",Release_Calendar!$B$2:$B$755,$A2331)&gt;0,1,0)</f>
        <v>1</v>
      </c>
      <c r="M2331" s="16" t="str">
        <f>IF($A2331&lt;Notes!$B$5,"",IF(COUNTIFS(Release_Calendar!$A$2:$A$755,"NZ_CPI",Release_Calendar!$B$2:$B$755,$A2331)&gt;0,1,0))</f>
        <v/>
      </c>
      <c r="N2331" s="16" t="str">
        <f>IF($A2331&lt;Notes!$B$5,"",IF(COUNTIFS(Release_Calendar!$A$2:$A$755,"NZ_GDP",Release_Calendar!$B$2:$B$755,$A2331)&gt;0,1,0))</f>
        <v/>
      </c>
      <c r="O2331" s="16" t="str">
        <f>IF($A2331&lt;Notes!$B$5,"",IF(COUNTIFS(Release_Calendar!$A$2:$A$755,"NZ_LABOUR",Release_Calendar!$B$2:$B$755,$A2331)&gt;0,1,0))</f>
        <v/>
      </c>
      <c r="P2331" s="16">
        <f t="shared" si="4"/>
        <v>1</v>
      </c>
    </row>
    <row r="2332" ht="15.75" customHeight="1">
      <c r="A2332" s="14">
        <v>39790.0</v>
      </c>
      <c r="B2332" s="15">
        <v>0.97</v>
      </c>
      <c r="C2332" s="15"/>
      <c r="D2332" s="15">
        <v>4.5</v>
      </c>
      <c r="E2332" s="15"/>
      <c r="F2332" s="15" t="str">
        <f t="shared" si="1"/>
        <v/>
      </c>
      <c r="G2332" s="15">
        <f t="shared" si="2"/>
        <v>4.5</v>
      </c>
      <c r="H2332" s="16">
        <v>1.0</v>
      </c>
      <c r="I2332" s="15">
        <f t="shared" si="3"/>
        <v>3.53</v>
      </c>
      <c r="J2332" s="15">
        <v>58.49</v>
      </c>
      <c r="K2332" s="16">
        <f>IF(COUNTIFS(Release_Calendar!$A$2:$A$755,"US_CPI",Release_Calendar!$B$2:$B$755,$A2332)&gt;0,1,0)</f>
        <v>0</v>
      </c>
      <c r="L2332" s="16">
        <f>IF(COUNTIFS(Release_Calendar!$A$2:$A$755,"US_NFP",Release_Calendar!$B$2:$B$755,$A2332)&gt;0,1,0)</f>
        <v>0</v>
      </c>
      <c r="M2332" s="16" t="str">
        <f>IF($A2332&lt;Notes!$B$5,"",IF(COUNTIFS(Release_Calendar!$A$2:$A$755,"NZ_CPI",Release_Calendar!$B$2:$B$755,$A2332)&gt;0,1,0))</f>
        <v/>
      </c>
      <c r="N2332" s="16" t="str">
        <f>IF($A2332&lt;Notes!$B$5,"",IF(COUNTIFS(Release_Calendar!$A$2:$A$755,"NZ_GDP",Release_Calendar!$B$2:$B$755,$A2332)&gt;0,1,0))</f>
        <v/>
      </c>
      <c r="O2332" s="16" t="str">
        <f>IF($A2332&lt;Notes!$B$5,"",IF(COUNTIFS(Release_Calendar!$A$2:$A$755,"NZ_LABOUR",Release_Calendar!$B$2:$B$755,$A2332)&gt;0,1,0))</f>
        <v/>
      </c>
      <c r="P2332" s="16">
        <f t="shared" si="4"/>
        <v>0</v>
      </c>
    </row>
    <row r="2333" ht="15.75" customHeight="1">
      <c r="A2333" s="14">
        <v>39791.0</v>
      </c>
      <c r="B2333" s="15">
        <v>0.84</v>
      </c>
      <c r="C2333" s="15"/>
      <c r="D2333" s="15">
        <v>4.55</v>
      </c>
      <c r="E2333" s="15"/>
      <c r="F2333" s="15" t="str">
        <f t="shared" si="1"/>
        <v/>
      </c>
      <c r="G2333" s="15">
        <f t="shared" si="2"/>
        <v>4.55</v>
      </c>
      <c r="H2333" s="16">
        <v>1.0</v>
      </c>
      <c r="I2333" s="15">
        <f t="shared" si="3"/>
        <v>3.71</v>
      </c>
      <c r="J2333" s="15">
        <v>58.91</v>
      </c>
      <c r="K2333" s="16">
        <f>IF(COUNTIFS(Release_Calendar!$A$2:$A$755,"US_CPI",Release_Calendar!$B$2:$B$755,$A2333)&gt;0,1,0)</f>
        <v>0</v>
      </c>
      <c r="L2333" s="16">
        <f>IF(COUNTIFS(Release_Calendar!$A$2:$A$755,"US_NFP",Release_Calendar!$B$2:$B$755,$A2333)&gt;0,1,0)</f>
        <v>0</v>
      </c>
      <c r="M2333" s="16" t="str">
        <f>IF($A2333&lt;Notes!$B$5,"",IF(COUNTIFS(Release_Calendar!$A$2:$A$755,"NZ_CPI",Release_Calendar!$B$2:$B$755,$A2333)&gt;0,1,0))</f>
        <v/>
      </c>
      <c r="N2333" s="16" t="str">
        <f>IF($A2333&lt;Notes!$B$5,"",IF(COUNTIFS(Release_Calendar!$A$2:$A$755,"NZ_GDP",Release_Calendar!$B$2:$B$755,$A2333)&gt;0,1,0))</f>
        <v/>
      </c>
      <c r="O2333" s="16" t="str">
        <f>IF($A2333&lt;Notes!$B$5,"",IF(COUNTIFS(Release_Calendar!$A$2:$A$755,"NZ_LABOUR",Release_Calendar!$B$2:$B$755,$A2333)&gt;0,1,0))</f>
        <v/>
      </c>
      <c r="P2333" s="16">
        <f t="shared" si="4"/>
        <v>0</v>
      </c>
    </row>
    <row r="2334" ht="15.75" customHeight="1">
      <c r="A2334" s="14">
        <v>39792.0</v>
      </c>
      <c r="B2334" s="15">
        <v>0.86</v>
      </c>
      <c r="C2334" s="15"/>
      <c r="D2334" s="15">
        <v>4.57</v>
      </c>
      <c r="E2334" s="15"/>
      <c r="F2334" s="15" t="str">
        <f t="shared" si="1"/>
        <v/>
      </c>
      <c r="G2334" s="15">
        <f t="shared" si="2"/>
        <v>4.57</v>
      </c>
      <c r="H2334" s="16">
        <v>1.0</v>
      </c>
      <c r="I2334" s="15">
        <f t="shared" si="3"/>
        <v>3.71</v>
      </c>
      <c r="J2334" s="15">
        <v>55.73</v>
      </c>
      <c r="K2334" s="16">
        <f>IF(COUNTIFS(Release_Calendar!$A$2:$A$755,"US_CPI",Release_Calendar!$B$2:$B$755,$A2334)&gt;0,1,0)</f>
        <v>0</v>
      </c>
      <c r="L2334" s="16">
        <f>IF(COUNTIFS(Release_Calendar!$A$2:$A$755,"US_NFP",Release_Calendar!$B$2:$B$755,$A2334)&gt;0,1,0)</f>
        <v>0</v>
      </c>
      <c r="M2334" s="16" t="str">
        <f>IF($A2334&lt;Notes!$B$5,"",IF(COUNTIFS(Release_Calendar!$A$2:$A$755,"NZ_CPI",Release_Calendar!$B$2:$B$755,$A2334)&gt;0,1,0))</f>
        <v/>
      </c>
      <c r="N2334" s="16" t="str">
        <f>IF($A2334&lt;Notes!$B$5,"",IF(COUNTIFS(Release_Calendar!$A$2:$A$755,"NZ_GDP",Release_Calendar!$B$2:$B$755,$A2334)&gt;0,1,0))</f>
        <v/>
      </c>
      <c r="O2334" s="16" t="str">
        <f>IF($A2334&lt;Notes!$B$5,"",IF(COUNTIFS(Release_Calendar!$A$2:$A$755,"NZ_LABOUR",Release_Calendar!$B$2:$B$755,$A2334)&gt;0,1,0))</f>
        <v/>
      </c>
      <c r="P2334" s="16">
        <f t="shared" si="4"/>
        <v>0</v>
      </c>
    </row>
    <row r="2335" ht="15.75" customHeight="1">
      <c r="A2335" s="14">
        <v>39793.0</v>
      </c>
      <c r="B2335" s="15">
        <v>0.79</v>
      </c>
      <c r="C2335" s="15"/>
      <c r="D2335" s="15">
        <v>4.58</v>
      </c>
      <c r="E2335" s="15"/>
      <c r="F2335" s="15" t="str">
        <f t="shared" si="1"/>
        <v/>
      </c>
      <c r="G2335" s="15">
        <f t="shared" si="2"/>
        <v>4.58</v>
      </c>
      <c r="H2335" s="16">
        <v>1.0</v>
      </c>
      <c r="I2335" s="15">
        <f t="shared" si="3"/>
        <v>3.79</v>
      </c>
      <c r="J2335" s="15">
        <v>55.78</v>
      </c>
      <c r="K2335" s="16">
        <f>IF(COUNTIFS(Release_Calendar!$A$2:$A$755,"US_CPI",Release_Calendar!$B$2:$B$755,$A2335)&gt;0,1,0)</f>
        <v>0</v>
      </c>
      <c r="L2335" s="16">
        <f>IF(COUNTIFS(Release_Calendar!$A$2:$A$755,"US_NFP",Release_Calendar!$B$2:$B$755,$A2335)&gt;0,1,0)</f>
        <v>0</v>
      </c>
      <c r="M2335" s="16" t="str">
        <f>IF($A2335&lt;Notes!$B$5,"",IF(COUNTIFS(Release_Calendar!$A$2:$A$755,"NZ_CPI",Release_Calendar!$B$2:$B$755,$A2335)&gt;0,1,0))</f>
        <v/>
      </c>
      <c r="N2335" s="16" t="str">
        <f>IF($A2335&lt;Notes!$B$5,"",IF(COUNTIFS(Release_Calendar!$A$2:$A$755,"NZ_GDP",Release_Calendar!$B$2:$B$755,$A2335)&gt;0,1,0))</f>
        <v/>
      </c>
      <c r="O2335" s="16" t="str">
        <f>IF($A2335&lt;Notes!$B$5,"",IF(COUNTIFS(Release_Calendar!$A$2:$A$755,"NZ_LABOUR",Release_Calendar!$B$2:$B$755,$A2335)&gt;0,1,0))</f>
        <v/>
      </c>
      <c r="P2335" s="16">
        <f t="shared" si="4"/>
        <v>0</v>
      </c>
    </row>
    <row r="2336" ht="15.75" customHeight="1">
      <c r="A2336" s="14">
        <v>39794.0</v>
      </c>
      <c r="B2336" s="15">
        <v>0.78</v>
      </c>
      <c r="C2336" s="15"/>
      <c r="D2336" s="15">
        <v>4.61</v>
      </c>
      <c r="E2336" s="15"/>
      <c r="F2336" s="15" t="str">
        <f t="shared" si="1"/>
        <v/>
      </c>
      <c r="G2336" s="15">
        <f t="shared" si="2"/>
        <v>4.61</v>
      </c>
      <c r="H2336" s="16">
        <v>1.0</v>
      </c>
      <c r="I2336" s="15">
        <f t="shared" si="3"/>
        <v>3.83</v>
      </c>
      <c r="J2336" s="15">
        <v>54.28</v>
      </c>
      <c r="K2336" s="16">
        <f>IF(COUNTIFS(Release_Calendar!$A$2:$A$755,"US_CPI",Release_Calendar!$B$2:$B$755,$A2336)&gt;0,1,0)</f>
        <v>0</v>
      </c>
      <c r="L2336" s="16">
        <f>IF(COUNTIFS(Release_Calendar!$A$2:$A$755,"US_NFP",Release_Calendar!$B$2:$B$755,$A2336)&gt;0,1,0)</f>
        <v>0</v>
      </c>
      <c r="M2336" s="16" t="str">
        <f>IF($A2336&lt;Notes!$B$5,"",IF(COUNTIFS(Release_Calendar!$A$2:$A$755,"NZ_CPI",Release_Calendar!$B$2:$B$755,$A2336)&gt;0,1,0))</f>
        <v/>
      </c>
      <c r="N2336" s="16" t="str">
        <f>IF($A2336&lt;Notes!$B$5,"",IF(COUNTIFS(Release_Calendar!$A$2:$A$755,"NZ_GDP",Release_Calendar!$B$2:$B$755,$A2336)&gt;0,1,0))</f>
        <v/>
      </c>
      <c r="O2336" s="16" t="str">
        <f>IF($A2336&lt;Notes!$B$5,"",IF(COUNTIFS(Release_Calendar!$A$2:$A$755,"NZ_LABOUR",Release_Calendar!$B$2:$B$755,$A2336)&gt;0,1,0))</f>
        <v/>
      </c>
      <c r="P2336" s="16">
        <f t="shared" si="4"/>
        <v>0</v>
      </c>
    </row>
    <row r="2337" ht="15.75" customHeight="1">
      <c r="A2337" s="14">
        <v>39797.0</v>
      </c>
      <c r="B2337" s="15">
        <v>0.75</v>
      </c>
      <c r="C2337" s="15"/>
      <c r="D2337" s="15">
        <v>4.61</v>
      </c>
      <c r="E2337" s="15"/>
      <c r="F2337" s="15" t="str">
        <f t="shared" si="1"/>
        <v/>
      </c>
      <c r="G2337" s="15">
        <f t="shared" si="2"/>
        <v>4.61</v>
      </c>
      <c r="H2337" s="16">
        <v>1.0</v>
      </c>
      <c r="I2337" s="15">
        <f t="shared" si="3"/>
        <v>3.86</v>
      </c>
      <c r="J2337" s="15">
        <v>56.76</v>
      </c>
      <c r="K2337" s="16">
        <f>IF(COUNTIFS(Release_Calendar!$A$2:$A$755,"US_CPI",Release_Calendar!$B$2:$B$755,$A2337)&gt;0,1,0)</f>
        <v>0</v>
      </c>
      <c r="L2337" s="16">
        <f>IF(COUNTIFS(Release_Calendar!$A$2:$A$755,"US_NFP",Release_Calendar!$B$2:$B$755,$A2337)&gt;0,1,0)</f>
        <v>0</v>
      </c>
      <c r="M2337" s="16" t="str">
        <f>IF($A2337&lt;Notes!$B$5,"",IF(COUNTIFS(Release_Calendar!$A$2:$A$755,"NZ_CPI",Release_Calendar!$B$2:$B$755,$A2337)&gt;0,1,0))</f>
        <v/>
      </c>
      <c r="N2337" s="16" t="str">
        <f>IF($A2337&lt;Notes!$B$5,"",IF(COUNTIFS(Release_Calendar!$A$2:$A$755,"NZ_GDP",Release_Calendar!$B$2:$B$755,$A2337)&gt;0,1,0))</f>
        <v/>
      </c>
      <c r="O2337" s="16" t="str">
        <f>IF($A2337&lt;Notes!$B$5,"",IF(COUNTIFS(Release_Calendar!$A$2:$A$755,"NZ_LABOUR",Release_Calendar!$B$2:$B$755,$A2337)&gt;0,1,0))</f>
        <v/>
      </c>
      <c r="P2337" s="16">
        <f t="shared" si="4"/>
        <v>0</v>
      </c>
    </row>
    <row r="2338" ht="15.75" customHeight="1">
      <c r="A2338" s="14">
        <v>39798.0</v>
      </c>
      <c r="B2338" s="15">
        <v>0.65</v>
      </c>
      <c r="C2338" s="15"/>
      <c r="D2338" s="15">
        <v>4.63</v>
      </c>
      <c r="E2338" s="15"/>
      <c r="F2338" s="15" t="str">
        <f t="shared" si="1"/>
        <v/>
      </c>
      <c r="G2338" s="15">
        <f t="shared" si="2"/>
        <v>4.63</v>
      </c>
      <c r="H2338" s="16">
        <v>1.0</v>
      </c>
      <c r="I2338" s="15">
        <f t="shared" si="3"/>
        <v>3.98</v>
      </c>
      <c r="J2338" s="15">
        <v>52.37</v>
      </c>
      <c r="K2338" s="16">
        <f>IF(COUNTIFS(Release_Calendar!$A$2:$A$755,"US_CPI",Release_Calendar!$B$2:$B$755,$A2338)&gt;0,1,0)</f>
        <v>1</v>
      </c>
      <c r="L2338" s="16">
        <f>IF(COUNTIFS(Release_Calendar!$A$2:$A$755,"US_NFP",Release_Calendar!$B$2:$B$755,$A2338)&gt;0,1,0)</f>
        <v>0</v>
      </c>
      <c r="M2338" s="16" t="str">
        <f>IF($A2338&lt;Notes!$B$5,"",IF(COUNTIFS(Release_Calendar!$A$2:$A$755,"NZ_CPI",Release_Calendar!$B$2:$B$755,$A2338)&gt;0,1,0))</f>
        <v/>
      </c>
      <c r="N2338" s="16" t="str">
        <f>IF($A2338&lt;Notes!$B$5,"",IF(COUNTIFS(Release_Calendar!$A$2:$A$755,"NZ_GDP",Release_Calendar!$B$2:$B$755,$A2338)&gt;0,1,0))</f>
        <v/>
      </c>
      <c r="O2338" s="16" t="str">
        <f>IF($A2338&lt;Notes!$B$5,"",IF(COUNTIFS(Release_Calendar!$A$2:$A$755,"NZ_LABOUR",Release_Calendar!$B$2:$B$755,$A2338)&gt;0,1,0))</f>
        <v/>
      </c>
      <c r="P2338" s="16">
        <f t="shared" si="4"/>
        <v>1</v>
      </c>
    </row>
    <row r="2339" ht="15.75" customHeight="1">
      <c r="A2339" s="14">
        <v>39799.0</v>
      </c>
      <c r="B2339" s="15">
        <v>0.73</v>
      </c>
      <c r="C2339" s="15"/>
      <c r="D2339" s="15">
        <v>4.62</v>
      </c>
      <c r="E2339" s="15"/>
      <c r="F2339" s="15" t="str">
        <f t="shared" si="1"/>
        <v/>
      </c>
      <c r="G2339" s="15">
        <f t="shared" si="2"/>
        <v>4.62</v>
      </c>
      <c r="H2339" s="16">
        <v>1.0</v>
      </c>
      <c r="I2339" s="15">
        <f t="shared" si="3"/>
        <v>3.89</v>
      </c>
      <c r="J2339" s="15">
        <v>49.84</v>
      </c>
      <c r="K2339" s="16">
        <f>IF(COUNTIFS(Release_Calendar!$A$2:$A$755,"US_CPI",Release_Calendar!$B$2:$B$755,$A2339)&gt;0,1,0)</f>
        <v>0</v>
      </c>
      <c r="L2339" s="16">
        <f>IF(COUNTIFS(Release_Calendar!$A$2:$A$755,"US_NFP",Release_Calendar!$B$2:$B$755,$A2339)&gt;0,1,0)</f>
        <v>0</v>
      </c>
      <c r="M2339" s="16" t="str">
        <f>IF($A2339&lt;Notes!$B$5,"",IF(COUNTIFS(Release_Calendar!$A$2:$A$755,"NZ_CPI",Release_Calendar!$B$2:$B$755,$A2339)&gt;0,1,0))</f>
        <v/>
      </c>
      <c r="N2339" s="16" t="str">
        <f>IF($A2339&lt;Notes!$B$5,"",IF(COUNTIFS(Release_Calendar!$A$2:$A$755,"NZ_GDP",Release_Calendar!$B$2:$B$755,$A2339)&gt;0,1,0))</f>
        <v/>
      </c>
      <c r="O2339" s="16" t="str">
        <f>IF($A2339&lt;Notes!$B$5,"",IF(COUNTIFS(Release_Calendar!$A$2:$A$755,"NZ_LABOUR",Release_Calendar!$B$2:$B$755,$A2339)&gt;0,1,0))</f>
        <v/>
      </c>
      <c r="P2339" s="16">
        <f t="shared" si="4"/>
        <v>0</v>
      </c>
    </row>
    <row r="2340" ht="15.75" customHeight="1">
      <c r="A2340" s="14">
        <v>39800.0</v>
      </c>
      <c r="B2340" s="15">
        <v>0.68</v>
      </c>
      <c r="C2340" s="15"/>
      <c r="D2340" s="15">
        <v>4.56</v>
      </c>
      <c r="E2340" s="15"/>
      <c r="F2340" s="15" t="str">
        <f t="shared" si="1"/>
        <v/>
      </c>
      <c r="G2340" s="15">
        <f t="shared" si="2"/>
        <v>4.56</v>
      </c>
      <c r="H2340" s="16">
        <v>1.0</v>
      </c>
      <c r="I2340" s="15">
        <f t="shared" si="3"/>
        <v>3.88</v>
      </c>
      <c r="J2340" s="15">
        <v>47.34</v>
      </c>
      <c r="K2340" s="16">
        <f>IF(COUNTIFS(Release_Calendar!$A$2:$A$755,"US_CPI",Release_Calendar!$B$2:$B$755,$A2340)&gt;0,1,0)</f>
        <v>0</v>
      </c>
      <c r="L2340" s="16">
        <f>IF(COUNTIFS(Release_Calendar!$A$2:$A$755,"US_NFP",Release_Calendar!$B$2:$B$755,$A2340)&gt;0,1,0)</f>
        <v>0</v>
      </c>
      <c r="M2340" s="16" t="str">
        <f>IF($A2340&lt;Notes!$B$5,"",IF(COUNTIFS(Release_Calendar!$A$2:$A$755,"NZ_CPI",Release_Calendar!$B$2:$B$755,$A2340)&gt;0,1,0))</f>
        <v/>
      </c>
      <c r="N2340" s="16" t="str">
        <f>IF($A2340&lt;Notes!$B$5,"",IF(COUNTIFS(Release_Calendar!$A$2:$A$755,"NZ_GDP",Release_Calendar!$B$2:$B$755,$A2340)&gt;0,1,0))</f>
        <v/>
      </c>
      <c r="O2340" s="16" t="str">
        <f>IF($A2340&lt;Notes!$B$5,"",IF(COUNTIFS(Release_Calendar!$A$2:$A$755,"NZ_LABOUR",Release_Calendar!$B$2:$B$755,$A2340)&gt;0,1,0))</f>
        <v/>
      </c>
      <c r="P2340" s="16">
        <f t="shared" si="4"/>
        <v>0</v>
      </c>
    </row>
    <row r="2341" ht="15.75" customHeight="1">
      <c r="A2341" s="14">
        <v>39801.0</v>
      </c>
      <c r="B2341" s="15">
        <v>0.74</v>
      </c>
      <c r="C2341" s="15"/>
      <c r="D2341" s="15">
        <v>4.59</v>
      </c>
      <c r="E2341" s="15"/>
      <c r="F2341" s="15" t="str">
        <f t="shared" si="1"/>
        <v/>
      </c>
      <c r="G2341" s="15">
        <f t="shared" si="2"/>
        <v>4.59</v>
      </c>
      <c r="H2341" s="16">
        <v>1.0</v>
      </c>
      <c r="I2341" s="15">
        <f t="shared" si="3"/>
        <v>3.85</v>
      </c>
      <c r="J2341" s="15">
        <v>44.93</v>
      </c>
      <c r="K2341" s="16">
        <f>IF(COUNTIFS(Release_Calendar!$A$2:$A$755,"US_CPI",Release_Calendar!$B$2:$B$755,$A2341)&gt;0,1,0)</f>
        <v>0</v>
      </c>
      <c r="L2341" s="16">
        <f>IF(COUNTIFS(Release_Calendar!$A$2:$A$755,"US_NFP",Release_Calendar!$B$2:$B$755,$A2341)&gt;0,1,0)</f>
        <v>0</v>
      </c>
      <c r="M2341" s="16" t="str">
        <f>IF($A2341&lt;Notes!$B$5,"",IF(COUNTIFS(Release_Calendar!$A$2:$A$755,"NZ_CPI",Release_Calendar!$B$2:$B$755,$A2341)&gt;0,1,0))</f>
        <v/>
      </c>
      <c r="N2341" s="16" t="str">
        <f>IF($A2341&lt;Notes!$B$5,"",IF(COUNTIFS(Release_Calendar!$A$2:$A$755,"NZ_GDP",Release_Calendar!$B$2:$B$755,$A2341)&gt;0,1,0))</f>
        <v/>
      </c>
      <c r="O2341" s="16" t="str">
        <f>IF($A2341&lt;Notes!$B$5,"",IF(COUNTIFS(Release_Calendar!$A$2:$A$755,"NZ_LABOUR",Release_Calendar!$B$2:$B$755,$A2341)&gt;0,1,0))</f>
        <v/>
      </c>
      <c r="P2341" s="16">
        <f t="shared" si="4"/>
        <v>0</v>
      </c>
    </row>
    <row r="2342" ht="15.75" customHeight="1">
      <c r="A2342" s="14">
        <v>39804.0</v>
      </c>
      <c r="B2342" s="15">
        <v>0.87</v>
      </c>
      <c r="C2342" s="15"/>
      <c r="D2342" s="15">
        <v>4.54</v>
      </c>
      <c r="E2342" s="15"/>
      <c r="F2342" s="15" t="str">
        <f t="shared" si="1"/>
        <v/>
      </c>
      <c r="G2342" s="15">
        <f t="shared" si="2"/>
        <v>4.54</v>
      </c>
      <c r="H2342" s="16">
        <v>1.0</v>
      </c>
      <c r="I2342" s="15">
        <f t="shared" si="3"/>
        <v>3.67</v>
      </c>
      <c r="J2342" s="15">
        <v>44.56</v>
      </c>
      <c r="K2342" s="16">
        <f>IF(COUNTIFS(Release_Calendar!$A$2:$A$755,"US_CPI",Release_Calendar!$B$2:$B$755,$A2342)&gt;0,1,0)</f>
        <v>0</v>
      </c>
      <c r="L2342" s="16">
        <f>IF(COUNTIFS(Release_Calendar!$A$2:$A$755,"US_NFP",Release_Calendar!$B$2:$B$755,$A2342)&gt;0,1,0)</f>
        <v>0</v>
      </c>
      <c r="M2342" s="16" t="str">
        <f>IF($A2342&lt;Notes!$B$5,"",IF(COUNTIFS(Release_Calendar!$A$2:$A$755,"NZ_CPI",Release_Calendar!$B$2:$B$755,$A2342)&gt;0,1,0))</f>
        <v/>
      </c>
      <c r="N2342" s="16" t="str">
        <f>IF($A2342&lt;Notes!$B$5,"",IF(COUNTIFS(Release_Calendar!$A$2:$A$755,"NZ_GDP",Release_Calendar!$B$2:$B$755,$A2342)&gt;0,1,0))</f>
        <v/>
      </c>
      <c r="O2342" s="16" t="str">
        <f>IF($A2342&lt;Notes!$B$5,"",IF(COUNTIFS(Release_Calendar!$A$2:$A$755,"NZ_LABOUR",Release_Calendar!$B$2:$B$755,$A2342)&gt;0,1,0))</f>
        <v/>
      </c>
      <c r="P2342" s="16">
        <f t="shared" si="4"/>
        <v>0</v>
      </c>
    </row>
    <row r="2343" ht="15.75" customHeight="1">
      <c r="A2343" s="14">
        <v>39805.0</v>
      </c>
      <c r="B2343" s="15">
        <v>0.9</v>
      </c>
      <c r="C2343" s="15"/>
      <c r="D2343" s="15">
        <v>4.54</v>
      </c>
      <c r="E2343" s="15"/>
      <c r="F2343" s="15" t="str">
        <f t="shared" si="1"/>
        <v/>
      </c>
      <c r="G2343" s="15">
        <f t="shared" si="2"/>
        <v>4.54</v>
      </c>
      <c r="H2343" s="16">
        <v>1.0</v>
      </c>
      <c r="I2343" s="15">
        <f t="shared" si="3"/>
        <v>3.64</v>
      </c>
      <c r="J2343" s="15">
        <v>45.02</v>
      </c>
      <c r="K2343" s="16">
        <f>IF(COUNTIFS(Release_Calendar!$A$2:$A$755,"US_CPI",Release_Calendar!$B$2:$B$755,$A2343)&gt;0,1,0)</f>
        <v>0</v>
      </c>
      <c r="L2343" s="16">
        <f>IF(COUNTIFS(Release_Calendar!$A$2:$A$755,"US_NFP",Release_Calendar!$B$2:$B$755,$A2343)&gt;0,1,0)</f>
        <v>0</v>
      </c>
      <c r="M2343" s="16" t="str">
        <f>IF($A2343&lt;Notes!$B$5,"",IF(COUNTIFS(Release_Calendar!$A$2:$A$755,"NZ_CPI",Release_Calendar!$B$2:$B$755,$A2343)&gt;0,1,0))</f>
        <v/>
      </c>
      <c r="N2343" s="16" t="str">
        <f>IF($A2343&lt;Notes!$B$5,"",IF(COUNTIFS(Release_Calendar!$A$2:$A$755,"NZ_GDP",Release_Calendar!$B$2:$B$755,$A2343)&gt;0,1,0))</f>
        <v/>
      </c>
      <c r="O2343" s="16" t="str">
        <f>IF($A2343&lt;Notes!$B$5,"",IF(COUNTIFS(Release_Calendar!$A$2:$A$755,"NZ_LABOUR",Release_Calendar!$B$2:$B$755,$A2343)&gt;0,1,0))</f>
        <v/>
      </c>
      <c r="P2343" s="16">
        <f t="shared" si="4"/>
        <v>0</v>
      </c>
    </row>
    <row r="2344" ht="15.75" customHeight="1">
      <c r="A2344" s="14">
        <v>39806.0</v>
      </c>
      <c r="B2344" s="15">
        <v>0.9</v>
      </c>
      <c r="C2344" s="15"/>
      <c r="D2344" s="15">
        <v>4.48</v>
      </c>
      <c r="E2344" s="15"/>
      <c r="F2344" s="15" t="str">
        <f t="shared" si="1"/>
        <v/>
      </c>
      <c r="G2344" s="15">
        <f t="shared" si="2"/>
        <v>4.48</v>
      </c>
      <c r="H2344" s="16">
        <v>1.0</v>
      </c>
      <c r="I2344" s="15">
        <f t="shared" si="3"/>
        <v>3.58</v>
      </c>
      <c r="J2344" s="15">
        <v>44.21</v>
      </c>
      <c r="K2344" s="16">
        <f>IF(COUNTIFS(Release_Calendar!$A$2:$A$755,"US_CPI",Release_Calendar!$B$2:$B$755,$A2344)&gt;0,1,0)</f>
        <v>0</v>
      </c>
      <c r="L2344" s="16">
        <f>IF(COUNTIFS(Release_Calendar!$A$2:$A$755,"US_NFP",Release_Calendar!$B$2:$B$755,$A2344)&gt;0,1,0)</f>
        <v>0</v>
      </c>
      <c r="M2344" s="16" t="str">
        <f>IF($A2344&lt;Notes!$B$5,"",IF(COUNTIFS(Release_Calendar!$A$2:$A$755,"NZ_CPI",Release_Calendar!$B$2:$B$755,$A2344)&gt;0,1,0))</f>
        <v/>
      </c>
      <c r="N2344" s="16" t="str">
        <f>IF($A2344&lt;Notes!$B$5,"",IF(COUNTIFS(Release_Calendar!$A$2:$A$755,"NZ_GDP",Release_Calendar!$B$2:$B$755,$A2344)&gt;0,1,0))</f>
        <v/>
      </c>
      <c r="O2344" s="16" t="str">
        <f>IF($A2344&lt;Notes!$B$5,"",IF(COUNTIFS(Release_Calendar!$A$2:$A$755,"NZ_LABOUR",Release_Calendar!$B$2:$B$755,$A2344)&gt;0,1,0))</f>
        <v/>
      </c>
      <c r="P2344" s="16">
        <f t="shared" si="4"/>
        <v>0</v>
      </c>
    </row>
    <row r="2345" ht="15.75" customHeight="1">
      <c r="A2345" s="14">
        <v>39807.0</v>
      </c>
      <c r="B2345" s="15"/>
      <c r="C2345" s="15"/>
      <c r="D2345" s="15"/>
      <c r="E2345" s="15"/>
      <c r="F2345" s="15" t="str">
        <f t="shared" si="1"/>
        <v/>
      </c>
      <c r="G2345" s="15" t="str">
        <f t="shared" si="2"/>
        <v/>
      </c>
      <c r="H2345" s="16">
        <v>1.0</v>
      </c>
      <c r="I2345" s="15" t="str">
        <f t="shared" si="3"/>
        <v/>
      </c>
      <c r="J2345" s="15"/>
      <c r="K2345" s="16">
        <f>IF(COUNTIFS(Release_Calendar!$A$2:$A$755,"US_CPI",Release_Calendar!$B$2:$B$755,$A2345)&gt;0,1,0)</f>
        <v>0</v>
      </c>
      <c r="L2345" s="16">
        <f>IF(COUNTIFS(Release_Calendar!$A$2:$A$755,"US_NFP",Release_Calendar!$B$2:$B$755,$A2345)&gt;0,1,0)</f>
        <v>0</v>
      </c>
      <c r="M2345" s="16" t="str">
        <f>IF($A2345&lt;Notes!$B$5,"",IF(COUNTIFS(Release_Calendar!$A$2:$A$755,"NZ_CPI",Release_Calendar!$B$2:$B$755,$A2345)&gt;0,1,0))</f>
        <v/>
      </c>
      <c r="N2345" s="16" t="str">
        <f>IF($A2345&lt;Notes!$B$5,"",IF(COUNTIFS(Release_Calendar!$A$2:$A$755,"NZ_GDP",Release_Calendar!$B$2:$B$755,$A2345)&gt;0,1,0))</f>
        <v/>
      </c>
      <c r="O2345" s="16" t="str">
        <f>IF($A2345&lt;Notes!$B$5,"",IF(COUNTIFS(Release_Calendar!$A$2:$A$755,"NZ_LABOUR",Release_Calendar!$B$2:$B$755,$A2345)&gt;0,1,0))</f>
        <v/>
      </c>
      <c r="P2345" s="16">
        <f t="shared" si="4"/>
        <v>0</v>
      </c>
    </row>
    <row r="2346" ht="15.75" customHeight="1">
      <c r="A2346" s="14">
        <v>39808.0</v>
      </c>
      <c r="B2346" s="15">
        <v>0.89</v>
      </c>
      <c r="C2346" s="15"/>
      <c r="D2346" s="15"/>
      <c r="E2346" s="15"/>
      <c r="F2346" s="15" t="str">
        <f t="shared" si="1"/>
        <v/>
      </c>
      <c r="G2346" s="15" t="str">
        <f t="shared" si="2"/>
        <v/>
      </c>
      <c r="H2346" s="16">
        <v>1.0</v>
      </c>
      <c r="I2346" s="15" t="str">
        <f t="shared" si="3"/>
        <v/>
      </c>
      <c r="J2346" s="15">
        <v>43.38</v>
      </c>
      <c r="K2346" s="16">
        <f>IF(COUNTIFS(Release_Calendar!$A$2:$A$755,"US_CPI",Release_Calendar!$B$2:$B$755,$A2346)&gt;0,1,0)</f>
        <v>0</v>
      </c>
      <c r="L2346" s="16">
        <f>IF(COUNTIFS(Release_Calendar!$A$2:$A$755,"US_NFP",Release_Calendar!$B$2:$B$755,$A2346)&gt;0,1,0)</f>
        <v>0</v>
      </c>
      <c r="M2346" s="16" t="str">
        <f>IF($A2346&lt;Notes!$B$5,"",IF(COUNTIFS(Release_Calendar!$A$2:$A$755,"NZ_CPI",Release_Calendar!$B$2:$B$755,$A2346)&gt;0,1,0))</f>
        <v/>
      </c>
      <c r="N2346" s="16" t="str">
        <f>IF($A2346&lt;Notes!$B$5,"",IF(COUNTIFS(Release_Calendar!$A$2:$A$755,"NZ_GDP",Release_Calendar!$B$2:$B$755,$A2346)&gt;0,1,0))</f>
        <v/>
      </c>
      <c r="O2346" s="16" t="str">
        <f>IF($A2346&lt;Notes!$B$5,"",IF(COUNTIFS(Release_Calendar!$A$2:$A$755,"NZ_LABOUR",Release_Calendar!$B$2:$B$755,$A2346)&gt;0,1,0))</f>
        <v/>
      </c>
      <c r="P2346" s="16">
        <f t="shared" si="4"/>
        <v>0</v>
      </c>
    </row>
    <row r="2347" ht="15.75" customHeight="1">
      <c r="A2347" s="14">
        <v>39811.0</v>
      </c>
      <c r="B2347" s="15">
        <v>0.78</v>
      </c>
      <c r="C2347" s="15"/>
      <c r="D2347" s="15">
        <v>4.48</v>
      </c>
      <c r="E2347" s="15"/>
      <c r="F2347" s="15" t="str">
        <f t="shared" si="1"/>
        <v/>
      </c>
      <c r="G2347" s="15">
        <f t="shared" si="2"/>
        <v>4.48</v>
      </c>
      <c r="H2347" s="16">
        <v>1.0</v>
      </c>
      <c r="I2347" s="15">
        <f t="shared" si="3"/>
        <v>3.7</v>
      </c>
      <c r="J2347" s="15">
        <v>43.9</v>
      </c>
      <c r="K2347" s="16">
        <f>IF(COUNTIFS(Release_Calendar!$A$2:$A$755,"US_CPI",Release_Calendar!$B$2:$B$755,$A2347)&gt;0,1,0)</f>
        <v>0</v>
      </c>
      <c r="L2347" s="16">
        <f>IF(COUNTIFS(Release_Calendar!$A$2:$A$755,"US_NFP",Release_Calendar!$B$2:$B$755,$A2347)&gt;0,1,0)</f>
        <v>0</v>
      </c>
      <c r="M2347" s="16" t="str">
        <f>IF($A2347&lt;Notes!$B$5,"",IF(COUNTIFS(Release_Calendar!$A$2:$A$755,"NZ_CPI",Release_Calendar!$B$2:$B$755,$A2347)&gt;0,1,0))</f>
        <v/>
      </c>
      <c r="N2347" s="16" t="str">
        <f>IF($A2347&lt;Notes!$B$5,"",IF(COUNTIFS(Release_Calendar!$A$2:$A$755,"NZ_GDP",Release_Calendar!$B$2:$B$755,$A2347)&gt;0,1,0))</f>
        <v/>
      </c>
      <c r="O2347" s="16" t="str">
        <f>IF($A2347&lt;Notes!$B$5,"",IF(COUNTIFS(Release_Calendar!$A$2:$A$755,"NZ_LABOUR",Release_Calendar!$B$2:$B$755,$A2347)&gt;0,1,0))</f>
        <v/>
      </c>
      <c r="P2347" s="16">
        <f t="shared" si="4"/>
        <v>0</v>
      </c>
    </row>
    <row r="2348" ht="15.75" customHeight="1">
      <c r="A2348" s="14">
        <v>39812.0</v>
      </c>
      <c r="B2348" s="15">
        <v>0.75</v>
      </c>
      <c r="C2348" s="15"/>
      <c r="D2348" s="15">
        <v>4.37</v>
      </c>
      <c r="E2348" s="15"/>
      <c r="F2348" s="15" t="str">
        <f t="shared" si="1"/>
        <v/>
      </c>
      <c r="G2348" s="15">
        <f t="shared" si="2"/>
        <v>4.37</v>
      </c>
      <c r="H2348" s="16">
        <v>1.0</v>
      </c>
      <c r="I2348" s="15">
        <f t="shared" si="3"/>
        <v>3.62</v>
      </c>
      <c r="J2348" s="15">
        <v>41.63</v>
      </c>
      <c r="K2348" s="16">
        <f>IF(COUNTIFS(Release_Calendar!$A$2:$A$755,"US_CPI",Release_Calendar!$B$2:$B$755,$A2348)&gt;0,1,0)</f>
        <v>0</v>
      </c>
      <c r="L2348" s="16">
        <f>IF(COUNTIFS(Release_Calendar!$A$2:$A$755,"US_NFP",Release_Calendar!$B$2:$B$755,$A2348)&gt;0,1,0)</f>
        <v>0</v>
      </c>
      <c r="M2348" s="16" t="str">
        <f>IF($A2348&lt;Notes!$B$5,"",IF(COUNTIFS(Release_Calendar!$A$2:$A$755,"NZ_CPI",Release_Calendar!$B$2:$B$755,$A2348)&gt;0,1,0))</f>
        <v/>
      </c>
      <c r="N2348" s="16" t="str">
        <f>IF($A2348&lt;Notes!$B$5,"",IF(COUNTIFS(Release_Calendar!$A$2:$A$755,"NZ_GDP",Release_Calendar!$B$2:$B$755,$A2348)&gt;0,1,0))</f>
        <v/>
      </c>
      <c r="O2348" s="16" t="str">
        <f>IF($A2348&lt;Notes!$B$5,"",IF(COUNTIFS(Release_Calendar!$A$2:$A$755,"NZ_LABOUR",Release_Calendar!$B$2:$B$755,$A2348)&gt;0,1,0))</f>
        <v/>
      </c>
      <c r="P2348" s="16">
        <f t="shared" si="4"/>
        <v>0</v>
      </c>
    </row>
    <row r="2349" ht="15.75" customHeight="1">
      <c r="A2349" s="14">
        <v>39813.0</v>
      </c>
      <c r="B2349" s="15">
        <v>0.76</v>
      </c>
      <c r="C2349" s="15"/>
      <c r="D2349" s="15">
        <v>4.17</v>
      </c>
      <c r="E2349" s="15"/>
      <c r="F2349" s="15" t="str">
        <f t="shared" si="1"/>
        <v/>
      </c>
      <c r="G2349" s="15">
        <f t="shared" si="2"/>
        <v>4.17</v>
      </c>
      <c r="H2349" s="16">
        <v>1.0</v>
      </c>
      <c r="I2349" s="15">
        <f t="shared" si="3"/>
        <v>3.41</v>
      </c>
      <c r="J2349" s="15">
        <v>40.0</v>
      </c>
      <c r="K2349" s="16">
        <f>IF(COUNTIFS(Release_Calendar!$A$2:$A$755,"US_CPI",Release_Calendar!$B$2:$B$755,$A2349)&gt;0,1,0)</f>
        <v>0</v>
      </c>
      <c r="L2349" s="16">
        <f>IF(COUNTIFS(Release_Calendar!$A$2:$A$755,"US_NFP",Release_Calendar!$B$2:$B$755,$A2349)&gt;0,1,0)</f>
        <v>0</v>
      </c>
      <c r="M2349" s="16" t="str">
        <f>IF($A2349&lt;Notes!$B$5,"",IF(COUNTIFS(Release_Calendar!$A$2:$A$755,"NZ_CPI",Release_Calendar!$B$2:$B$755,$A2349)&gt;0,1,0))</f>
        <v/>
      </c>
      <c r="N2349" s="16" t="str">
        <f>IF($A2349&lt;Notes!$B$5,"",IF(COUNTIFS(Release_Calendar!$A$2:$A$755,"NZ_GDP",Release_Calendar!$B$2:$B$755,$A2349)&gt;0,1,0))</f>
        <v/>
      </c>
      <c r="O2349" s="16" t="str">
        <f>IF($A2349&lt;Notes!$B$5,"",IF(COUNTIFS(Release_Calendar!$A$2:$A$755,"NZ_LABOUR",Release_Calendar!$B$2:$B$755,$A2349)&gt;0,1,0))</f>
        <v/>
      </c>
      <c r="P2349" s="16">
        <f t="shared" si="4"/>
        <v>0</v>
      </c>
    </row>
    <row r="2350" ht="15.75" customHeight="1">
      <c r="A2350" s="14">
        <v>39814.0</v>
      </c>
      <c r="B2350" s="15"/>
      <c r="C2350" s="15"/>
      <c r="D2350" s="15"/>
      <c r="E2350" s="15"/>
      <c r="F2350" s="15" t="str">
        <f t="shared" si="1"/>
        <v/>
      </c>
      <c r="G2350" s="15" t="str">
        <f t="shared" si="2"/>
        <v/>
      </c>
      <c r="H2350" s="16">
        <v>1.0</v>
      </c>
      <c r="I2350" s="15" t="str">
        <f t="shared" si="3"/>
        <v/>
      </c>
      <c r="J2350" s="15"/>
      <c r="K2350" s="16">
        <f>IF(COUNTIFS(Release_Calendar!$A$2:$A$755,"US_CPI",Release_Calendar!$B$2:$B$755,$A2350)&gt;0,1,0)</f>
        <v>0</v>
      </c>
      <c r="L2350" s="16">
        <f>IF(COUNTIFS(Release_Calendar!$A$2:$A$755,"US_NFP",Release_Calendar!$B$2:$B$755,$A2350)&gt;0,1,0)</f>
        <v>0</v>
      </c>
      <c r="M2350" s="16" t="str">
        <f>IF($A2350&lt;Notes!$B$5,"",IF(COUNTIFS(Release_Calendar!$A$2:$A$755,"NZ_CPI",Release_Calendar!$B$2:$B$755,$A2350)&gt;0,1,0))</f>
        <v/>
      </c>
      <c r="N2350" s="16" t="str">
        <f>IF($A2350&lt;Notes!$B$5,"",IF(COUNTIFS(Release_Calendar!$A$2:$A$755,"NZ_GDP",Release_Calendar!$B$2:$B$755,$A2350)&gt;0,1,0))</f>
        <v/>
      </c>
      <c r="O2350" s="16" t="str">
        <f>IF($A2350&lt;Notes!$B$5,"",IF(COUNTIFS(Release_Calendar!$A$2:$A$755,"NZ_LABOUR",Release_Calendar!$B$2:$B$755,$A2350)&gt;0,1,0))</f>
        <v/>
      </c>
      <c r="P2350" s="16">
        <f t="shared" si="4"/>
        <v>0</v>
      </c>
    </row>
    <row r="2351" ht="15.75" customHeight="1">
      <c r="A2351" s="14">
        <v>39815.0</v>
      </c>
      <c r="B2351" s="15">
        <v>0.88</v>
      </c>
      <c r="C2351" s="15"/>
      <c r="D2351" s="15"/>
      <c r="E2351" s="15"/>
      <c r="F2351" s="15" t="str">
        <f t="shared" si="1"/>
        <v/>
      </c>
      <c r="G2351" s="15" t="str">
        <f t="shared" si="2"/>
        <v/>
      </c>
      <c r="H2351" s="16">
        <v>1.0</v>
      </c>
      <c r="I2351" s="15" t="str">
        <f t="shared" si="3"/>
        <v/>
      </c>
      <c r="J2351" s="15">
        <v>39.19</v>
      </c>
      <c r="K2351" s="16">
        <f>IF(COUNTIFS(Release_Calendar!$A$2:$A$755,"US_CPI",Release_Calendar!$B$2:$B$755,$A2351)&gt;0,1,0)</f>
        <v>0</v>
      </c>
      <c r="L2351" s="16">
        <f>IF(COUNTIFS(Release_Calendar!$A$2:$A$755,"US_NFP",Release_Calendar!$B$2:$B$755,$A2351)&gt;0,1,0)</f>
        <v>0</v>
      </c>
      <c r="M2351" s="16" t="str">
        <f>IF($A2351&lt;Notes!$B$5,"",IF(COUNTIFS(Release_Calendar!$A$2:$A$755,"NZ_CPI",Release_Calendar!$B$2:$B$755,$A2351)&gt;0,1,0))</f>
        <v/>
      </c>
      <c r="N2351" s="16" t="str">
        <f>IF($A2351&lt;Notes!$B$5,"",IF(COUNTIFS(Release_Calendar!$A$2:$A$755,"NZ_GDP",Release_Calendar!$B$2:$B$755,$A2351)&gt;0,1,0))</f>
        <v/>
      </c>
      <c r="O2351" s="16" t="str">
        <f>IF($A2351&lt;Notes!$B$5,"",IF(COUNTIFS(Release_Calendar!$A$2:$A$755,"NZ_LABOUR",Release_Calendar!$B$2:$B$755,$A2351)&gt;0,1,0))</f>
        <v/>
      </c>
      <c r="P2351" s="16">
        <f t="shared" si="4"/>
        <v>0</v>
      </c>
    </row>
    <row r="2352" ht="15.75" customHeight="1">
      <c r="A2352" s="14">
        <v>39818.0</v>
      </c>
      <c r="B2352" s="15">
        <v>0.78</v>
      </c>
      <c r="C2352" s="15"/>
      <c r="D2352" s="15">
        <v>4.16</v>
      </c>
      <c r="E2352" s="15"/>
      <c r="F2352" s="15" t="str">
        <f t="shared" si="1"/>
        <v/>
      </c>
      <c r="G2352" s="15">
        <f t="shared" si="2"/>
        <v>4.16</v>
      </c>
      <c r="H2352" s="16">
        <v>1.0</v>
      </c>
      <c r="I2352" s="15">
        <f t="shared" si="3"/>
        <v>3.38</v>
      </c>
      <c r="J2352" s="15">
        <v>39.08</v>
      </c>
      <c r="K2352" s="16">
        <f>IF(COUNTIFS(Release_Calendar!$A$2:$A$755,"US_CPI",Release_Calendar!$B$2:$B$755,$A2352)&gt;0,1,0)</f>
        <v>0</v>
      </c>
      <c r="L2352" s="16">
        <f>IF(COUNTIFS(Release_Calendar!$A$2:$A$755,"US_NFP",Release_Calendar!$B$2:$B$755,$A2352)&gt;0,1,0)</f>
        <v>0</v>
      </c>
      <c r="M2352" s="16" t="str">
        <f>IF($A2352&lt;Notes!$B$5,"",IF(COUNTIFS(Release_Calendar!$A$2:$A$755,"NZ_CPI",Release_Calendar!$B$2:$B$755,$A2352)&gt;0,1,0))</f>
        <v/>
      </c>
      <c r="N2352" s="16" t="str">
        <f>IF($A2352&lt;Notes!$B$5,"",IF(COUNTIFS(Release_Calendar!$A$2:$A$755,"NZ_GDP",Release_Calendar!$B$2:$B$755,$A2352)&gt;0,1,0))</f>
        <v/>
      </c>
      <c r="O2352" s="16" t="str">
        <f>IF($A2352&lt;Notes!$B$5,"",IF(COUNTIFS(Release_Calendar!$A$2:$A$755,"NZ_LABOUR",Release_Calendar!$B$2:$B$755,$A2352)&gt;0,1,0))</f>
        <v/>
      </c>
      <c r="P2352" s="16">
        <f t="shared" si="4"/>
        <v>0</v>
      </c>
    </row>
    <row r="2353" ht="15.75" customHeight="1">
      <c r="A2353" s="14">
        <v>39819.0</v>
      </c>
      <c r="B2353" s="15">
        <v>0.8</v>
      </c>
      <c r="C2353" s="15"/>
      <c r="D2353" s="15">
        <v>4.22</v>
      </c>
      <c r="E2353" s="15"/>
      <c r="F2353" s="15" t="str">
        <f t="shared" si="1"/>
        <v/>
      </c>
      <c r="G2353" s="15">
        <f t="shared" si="2"/>
        <v>4.22</v>
      </c>
      <c r="H2353" s="16">
        <v>1.0</v>
      </c>
      <c r="I2353" s="15">
        <f t="shared" si="3"/>
        <v>3.42</v>
      </c>
      <c r="J2353" s="15">
        <v>38.56</v>
      </c>
      <c r="K2353" s="16">
        <f>IF(COUNTIFS(Release_Calendar!$A$2:$A$755,"US_CPI",Release_Calendar!$B$2:$B$755,$A2353)&gt;0,1,0)</f>
        <v>0</v>
      </c>
      <c r="L2353" s="16">
        <f>IF(COUNTIFS(Release_Calendar!$A$2:$A$755,"US_NFP",Release_Calendar!$B$2:$B$755,$A2353)&gt;0,1,0)</f>
        <v>0</v>
      </c>
      <c r="M2353" s="16" t="str">
        <f>IF($A2353&lt;Notes!$B$5,"",IF(COUNTIFS(Release_Calendar!$A$2:$A$755,"NZ_CPI",Release_Calendar!$B$2:$B$755,$A2353)&gt;0,1,0))</f>
        <v/>
      </c>
      <c r="N2353" s="16" t="str">
        <f>IF($A2353&lt;Notes!$B$5,"",IF(COUNTIFS(Release_Calendar!$A$2:$A$755,"NZ_GDP",Release_Calendar!$B$2:$B$755,$A2353)&gt;0,1,0))</f>
        <v/>
      </c>
      <c r="O2353" s="16" t="str">
        <f>IF($A2353&lt;Notes!$B$5,"",IF(COUNTIFS(Release_Calendar!$A$2:$A$755,"NZ_LABOUR",Release_Calendar!$B$2:$B$755,$A2353)&gt;0,1,0))</f>
        <v/>
      </c>
      <c r="P2353" s="16">
        <f t="shared" si="4"/>
        <v>0</v>
      </c>
    </row>
    <row r="2354" ht="15.75" customHeight="1">
      <c r="A2354" s="14">
        <v>39820.0</v>
      </c>
      <c r="B2354" s="15">
        <v>0.82</v>
      </c>
      <c r="C2354" s="15"/>
      <c r="D2354" s="15">
        <v>4.19</v>
      </c>
      <c r="E2354" s="15"/>
      <c r="F2354" s="15" t="str">
        <f t="shared" si="1"/>
        <v/>
      </c>
      <c r="G2354" s="15">
        <f t="shared" si="2"/>
        <v>4.19</v>
      </c>
      <c r="H2354" s="16">
        <v>1.0</v>
      </c>
      <c r="I2354" s="15">
        <f t="shared" si="3"/>
        <v>3.37</v>
      </c>
      <c r="J2354" s="15">
        <v>43.39</v>
      </c>
      <c r="K2354" s="16">
        <f>IF(COUNTIFS(Release_Calendar!$A$2:$A$755,"US_CPI",Release_Calendar!$B$2:$B$755,$A2354)&gt;0,1,0)</f>
        <v>0</v>
      </c>
      <c r="L2354" s="16">
        <f>IF(COUNTIFS(Release_Calendar!$A$2:$A$755,"US_NFP",Release_Calendar!$B$2:$B$755,$A2354)&gt;0,1,0)</f>
        <v>0</v>
      </c>
      <c r="M2354" s="16" t="str">
        <f>IF($A2354&lt;Notes!$B$5,"",IF(COUNTIFS(Release_Calendar!$A$2:$A$755,"NZ_CPI",Release_Calendar!$B$2:$B$755,$A2354)&gt;0,1,0))</f>
        <v/>
      </c>
      <c r="N2354" s="16" t="str">
        <f>IF($A2354&lt;Notes!$B$5,"",IF(COUNTIFS(Release_Calendar!$A$2:$A$755,"NZ_GDP",Release_Calendar!$B$2:$B$755,$A2354)&gt;0,1,0))</f>
        <v/>
      </c>
      <c r="O2354" s="16" t="str">
        <f>IF($A2354&lt;Notes!$B$5,"",IF(COUNTIFS(Release_Calendar!$A$2:$A$755,"NZ_LABOUR",Release_Calendar!$B$2:$B$755,$A2354)&gt;0,1,0))</f>
        <v/>
      </c>
      <c r="P2354" s="16">
        <f t="shared" si="4"/>
        <v>0</v>
      </c>
    </row>
    <row r="2355" ht="15.75" customHeight="1">
      <c r="A2355" s="14">
        <v>39821.0</v>
      </c>
      <c r="B2355" s="15">
        <v>0.83</v>
      </c>
      <c r="C2355" s="15"/>
      <c r="D2355" s="15">
        <v>4.21</v>
      </c>
      <c r="E2355" s="15"/>
      <c r="F2355" s="15" t="str">
        <f t="shared" si="1"/>
        <v/>
      </c>
      <c r="G2355" s="15">
        <f t="shared" si="2"/>
        <v>4.21</v>
      </c>
      <c r="H2355" s="16">
        <v>1.0</v>
      </c>
      <c r="I2355" s="15">
        <f t="shared" si="3"/>
        <v>3.38</v>
      </c>
      <c r="J2355" s="15">
        <v>42.56</v>
      </c>
      <c r="K2355" s="16">
        <f>IF(COUNTIFS(Release_Calendar!$A$2:$A$755,"US_CPI",Release_Calendar!$B$2:$B$755,$A2355)&gt;0,1,0)</f>
        <v>0</v>
      </c>
      <c r="L2355" s="16">
        <f>IF(COUNTIFS(Release_Calendar!$A$2:$A$755,"US_NFP",Release_Calendar!$B$2:$B$755,$A2355)&gt;0,1,0)</f>
        <v>0</v>
      </c>
      <c r="M2355" s="16" t="str">
        <f>IF($A2355&lt;Notes!$B$5,"",IF(COUNTIFS(Release_Calendar!$A$2:$A$755,"NZ_CPI",Release_Calendar!$B$2:$B$755,$A2355)&gt;0,1,0))</f>
        <v/>
      </c>
      <c r="N2355" s="16" t="str">
        <f>IF($A2355&lt;Notes!$B$5,"",IF(COUNTIFS(Release_Calendar!$A$2:$A$755,"NZ_GDP",Release_Calendar!$B$2:$B$755,$A2355)&gt;0,1,0))</f>
        <v/>
      </c>
      <c r="O2355" s="16" t="str">
        <f>IF($A2355&lt;Notes!$B$5,"",IF(COUNTIFS(Release_Calendar!$A$2:$A$755,"NZ_LABOUR",Release_Calendar!$B$2:$B$755,$A2355)&gt;0,1,0))</f>
        <v/>
      </c>
      <c r="P2355" s="16">
        <f t="shared" si="4"/>
        <v>0</v>
      </c>
    </row>
    <row r="2356" ht="15.75" customHeight="1">
      <c r="A2356" s="14">
        <v>39822.0</v>
      </c>
      <c r="B2356" s="15">
        <v>0.75</v>
      </c>
      <c r="C2356" s="15"/>
      <c r="D2356" s="15">
        <v>4.2</v>
      </c>
      <c r="E2356" s="15"/>
      <c r="F2356" s="15" t="str">
        <f t="shared" si="1"/>
        <v/>
      </c>
      <c r="G2356" s="15">
        <f t="shared" si="2"/>
        <v>4.2</v>
      </c>
      <c r="H2356" s="16">
        <v>1.0</v>
      </c>
      <c r="I2356" s="15">
        <f t="shared" si="3"/>
        <v>3.45</v>
      </c>
      <c r="J2356" s="15">
        <v>42.82</v>
      </c>
      <c r="K2356" s="16">
        <f>IF(COUNTIFS(Release_Calendar!$A$2:$A$755,"US_CPI",Release_Calendar!$B$2:$B$755,$A2356)&gt;0,1,0)</f>
        <v>0</v>
      </c>
      <c r="L2356" s="16">
        <f>IF(COUNTIFS(Release_Calendar!$A$2:$A$755,"US_NFP",Release_Calendar!$B$2:$B$755,$A2356)&gt;0,1,0)</f>
        <v>1</v>
      </c>
      <c r="M2356" s="16" t="str">
        <f>IF($A2356&lt;Notes!$B$5,"",IF(COUNTIFS(Release_Calendar!$A$2:$A$755,"NZ_CPI",Release_Calendar!$B$2:$B$755,$A2356)&gt;0,1,0))</f>
        <v/>
      </c>
      <c r="N2356" s="16" t="str">
        <f>IF($A2356&lt;Notes!$B$5,"",IF(COUNTIFS(Release_Calendar!$A$2:$A$755,"NZ_GDP",Release_Calendar!$B$2:$B$755,$A2356)&gt;0,1,0))</f>
        <v/>
      </c>
      <c r="O2356" s="16" t="str">
        <f>IF($A2356&lt;Notes!$B$5,"",IF(COUNTIFS(Release_Calendar!$A$2:$A$755,"NZ_LABOUR",Release_Calendar!$B$2:$B$755,$A2356)&gt;0,1,0))</f>
        <v/>
      </c>
      <c r="P2356" s="16">
        <f t="shared" si="4"/>
        <v>1</v>
      </c>
    </row>
    <row r="2357" ht="15.75" customHeight="1">
      <c r="A2357" s="14">
        <v>39825.0</v>
      </c>
      <c r="B2357" s="15">
        <v>0.74</v>
      </c>
      <c r="C2357" s="15"/>
      <c r="D2357" s="15">
        <v>4.15</v>
      </c>
      <c r="E2357" s="15"/>
      <c r="F2357" s="15" t="str">
        <f t="shared" si="1"/>
        <v/>
      </c>
      <c r="G2357" s="15">
        <f t="shared" si="2"/>
        <v>4.15</v>
      </c>
      <c r="H2357" s="16">
        <v>1.0</v>
      </c>
      <c r="I2357" s="15">
        <f t="shared" si="3"/>
        <v>3.41</v>
      </c>
      <c r="J2357" s="15">
        <v>45.84</v>
      </c>
      <c r="K2357" s="16">
        <f>IF(COUNTIFS(Release_Calendar!$A$2:$A$755,"US_CPI",Release_Calendar!$B$2:$B$755,$A2357)&gt;0,1,0)</f>
        <v>0</v>
      </c>
      <c r="L2357" s="16">
        <f>IF(COUNTIFS(Release_Calendar!$A$2:$A$755,"US_NFP",Release_Calendar!$B$2:$B$755,$A2357)&gt;0,1,0)</f>
        <v>0</v>
      </c>
      <c r="M2357" s="16" t="str">
        <f>IF($A2357&lt;Notes!$B$5,"",IF(COUNTIFS(Release_Calendar!$A$2:$A$755,"NZ_CPI",Release_Calendar!$B$2:$B$755,$A2357)&gt;0,1,0))</f>
        <v/>
      </c>
      <c r="N2357" s="16" t="str">
        <f>IF($A2357&lt;Notes!$B$5,"",IF(COUNTIFS(Release_Calendar!$A$2:$A$755,"NZ_GDP",Release_Calendar!$B$2:$B$755,$A2357)&gt;0,1,0))</f>
        <v/>
      </c>
      <c r="O2357" s="16" t="str">
        <f>IF($A2357&lt;Notes!$B$5,"",IF(COUNTIFS(Release_Calendar!$A$2:$A$755,"NZ_LABOUR",Release_Calendar!$B$2:$B$755,$A2357)&gt;0,1,0))</f>
        <v/>
      </c>
      <c r="P2357" s="16">
        <f t="shared" si="4"/>
        <v>0</v>
      </c>
    </row>
    <row r="2358" ht="15.75" customHeight="1">
      <c r="A2358" s="14">
        <v>39826.0</v>
      </c>
      <c r="B2358" s="15">
        <v>0.76</v>
      </c>
      <c r="C2358" s="15"/>
      <c r="D2358" s="15">
        <v>4.06</v>
      </c>
      <c r="E2358" s="15"/>
      <c r="F2358" s="15" t="str">
        <f t="shared" si="1"/>
        <v/>
      </c>
      <c r="G2358" s="15">
        <f t="shared" si="2"/>
        <v>4.06</v>
      </c>
      <c r="H2358" s="16">
        <v>1.0</v>
      </c>
      <c r="I2358" s="15">
        <f t="shared" si="3"/>
        <v>3.3</v>
      </c>
      <c r="J2358" s="15">
        <v>43.27</v>
      </c>
      <c r="K2358" s="16">
        <f>IF(COUNTIFS(Release_Calendar!$A$2:$A$755,"US_CPI",Release_Calendar!$B$2:$B$755,$A2358)&gt;0,1,0)</f>
        <v>0</v>
      </c>
      <c r="L2358" s="16">
        <f>IF(COUNTIFS(Release_Calendar!$A$2:$A$755,"US_NFP",Release_Calendar!$B$2:$B$755,$A2358)&gt;0,1,0)</f>
        <v>0</v>
      </c>
      <c r="M2358" s="16" t="str">
        <f>IF($A2358&lt;Notes!$B$5,"",IF(COUNTIFS(Release_Calendar!$A$2:$A$755,"NZ_CPI",Release_Calendar!$B$2:$B$755,$A2358)&gt;0,1,0))</f>
        <v/>
      </c>
      <c r="N2358" s="16" t="str">
        <f>IF($A2358&lt;Notes!$B$5,"",IF(COUNTIFS(Release_Calendar!$A$2:$A$755,"NZ_GDP",Release_Calendar!$B$2:$B$755,$A2358)&gt;0,1,0))</f>
        <v/>
      </c>
      <c r="O2358" s="16" t="str">
        <f>IF($A2358&lt;Notes!$B$5,"",IF(COUNTIFS(Release_Calendar!$A$2:$A$755,"NZ_LABOUR",Release_Calendar!$B$2:$B$755,$A2358)&gt;0,1,0))</f>
        <v/>
      </c>
      <c r="P2358" s="16">
        <f t="shared" si="4"/>
        <v>0</v>
      </c>
    </row>
    <row r="2359" ht="15.75" customHeight="1">
      <c r="A2359" s="14">
        <v>39827.0</v>
      </c>
      <c r="B2359" s="15">
        <v>0.73</v>
      </c>
      <c r="C2359" s="15"/>
      <c r="D2359" s="15">
        <v>4.04</v>
      </c>
      <c r="E2359" s="15"/>
      <c r="F2359" s="15" t="str">
        <f t="shared" si="1"/>
        <v/>
      </c>
      <c r="G2359" s="15">
        <f t="shared" si="2"/>
        <v>4.04</v>
      </c>
      <c r="H2359" s="16">
        <v>1.0</v>
      </c>
      <c r="I2359" s="15">
        <f t="shared" si="3"/>
        <v>3.31</v>
      </c>
      <c r="J2359" s="15">
        <v>49.14</v>
      </c>
      <c r="K2359" s="16">
        <f>IF(COUNTIFS(Release_Calendar!$A$2:$A$755,"US_CPI",Release_Calendar!$B$2:$B$755,$A2359)&gt;0,1,0)</f>
        <v>0</v>
      </c>
      <c r="L2359" s="16">
        <f>IF(COUNTIFS(Release_Calendar!$A$2:$A$755,"US_NFP",Release_Calendar!$B$2:$B$755,$A2359)&gt;0,1,0)</f>
        <v>0</v>
      </c>
      <c r="M2359" s="16" t="str">
        <f>IF($A2359&lt;Notes!$B$5,"",IF(COUNTIFS(Release_Calendar!$A$2:$A$755,"NZ_CPI",Release_Calendar!$B$2:$B$755,$A2359)&gt;0,1,0))</f>
        <v/>
      </c>
      <c r="N2359" s="16" t="str">
        <f>IF($A2359&lt;Notes!$B$5,"",IF(COUNTIFS(Release_Calendar!$A$2:$A$755,"NZ_GDP",Release_Calendar!$B$2:$B$755,$A2359)&gt;0,1,0))</f>
        <v/>
      </c>
      <c r="O2359" s="16" t="str">
        <f>IF($A2359&lt;Notes!$B$5,"",IF(COUNTIFS(Release_Calendar!$A$2:$A$755,"NZ_LABOUR",Release_Calendar!$B$2:$B$755,$A2359)&gt;0,1,0))</f>
        <v/>
      </c>
      <c r="P2359" s="16">
        <f t="shared" si="4"/>
        <v>0</v>
      </c>
    </row>
    <row r="2360" ht="15.75" customHeight="1">
      <c r="A2360" s="14">
        <v>39828.0</v>
      </c>
      <c r="B2360" s="15">
        <v>0.73</v>
      </c>
      <c r="C2360" s="15"/>
      <c r="D2360" s="15">
        <v>4.02</v>
      </c>
      <c r="E2360" s="15"/>
      <c r="F2360" s="15" t="str">
        <f t="shared" si="1"/>
        <v/>
      </c>
      <c r="G2360" s="15">
        <f t="shared" si="2"/>
        <v>4.02</v>
      </c>
      <c r="H2360" s="16">
        <v>1.0</v>
      </c>
      <c r="I2360" s="15">
        <f t="shared" si="3"/>
        <v>3.29</v>
      </c>
      <c r="J2360" s="15">
        <v>51.0</v>
      </c>
      <c r="K2360" s="16">
        <f>IF(COUNTIFS(Release_Calendar!$A$2:$A$755,"US_CPI",Release_Calendar!$B$2:$B$755,$A2360)&gt;0,1,0)</f>
        <v>0</v>
      </c>
      <c r="L2360" s="16">
        <f>IF(COUNTIFS(Release_Calendar!$A$2:$A$755,"US_NFP",Release_Calendar!$B$2:$B$755,$A2360)&gt;0,1,0)</f>
        <v>0</v>
      </c>
      <c r="M2360" s="16" t="str">
        <f>IF($A2360&lt;Notes!$B$5,"",IF(COUNTIFS(Release_Calendar!$A$2:$A$755,"NZ_CPI",Release_Calendar!$B$2:$B$755,$A2360)&gt;0,1,0))</f>
        <v/>
      </c>
      <c r="N2360" s="16" t="str">
        <f>IF($A2360&lt;Notes!$B$5,"",IF(COUNTIFS(Release_Calendar!$A$2:$A$755,"NZ_GDP",Release_Calendar!$B$2:$B$755,$A2360)&gt;0,1,0))</f>
        <v/>
      </c>
      <c r="O2360" s="16" t="str">
        <f>IF($A2360&lt;Notes!$B$5,"",IF(COUNTIFS(Release_Calendar!$A$2:$A$755,"NZ_LABOUR",Release_Calendar!$B$2:$B$755,$A2360)&gt;0,1,0))</f>
        <v/>
      </c>
      <c r="P2360" s="16">
        <f t="shared" si="4"/>
        <v>0</v>
      </c>
    </row>
    <row r="2361" ht="15.75" customHeight="1">
      <c r="A2361" s="14">
        <v>39829.0</v>
      </c>
      <c r="B2361" s="15">
        <v>0.73</v>
      </c>
      <c r="C2361" s="15"/>
      <c r="D2361" s="15">
        <v>3.71</v>
      </c>
      <c r="E2361" s="15"/>
      <c r="F2361" s="15" t="str">
        <f t="shared" si="1"/>
        <v/>
      </c>
      <c r="G2361" s="15">
        <f t="shared" si="2"/>
        <v>3.71</v>
      </c>
      <c r="H2361" s="16">
        <v>1.0</v>
      </c>
      <c r="I2361" s="15">
        <f t="shared" si="3"/>
        <v>2.98</v>
      </c>
      <c r="J2361" s="15">
        <v>46.11</v>
      </c>
      <c r="K2361" s="16">
        <f>IF(COUNTIFS(Release_Calendar!$A$2:$A$755,"US_CPI",Release_Calendar!$B$2:$B$755,$A2361)&gt;0,1,0)</f>
        <v>1</v>
      </c>
      <c r="L2361" s="16">
        <f>IF(COUNTIFS(Release_Calendar!$A$2:$A$755,"US_NFP",Release_Calendar!$B$2:$B$755,$A2361)&gt;0,1,0)</f>
        <v>0</v>
      </c>
      <c r="M2361" s="16" t="str">
        <f>IF($A2361&lt;Notes!$B$5,"",IF(COUNTIFS(Release_Calendar!$A$2:$A$755,"NZ_CPI",Release_Calendar!$B$2:$B$755,$A2361)&gt;0,1,0))</f>
        <v/>
      </c>
      <c r="N2361" s="16" t="str">
        <f>IF($A2361&lt;Notes!$B$5,"",IF(COUNTIFS(Release_Calendar!$A$2:$A$755,"NZ_GDP",Release_Calendar!$B$2:$B$755,$A2361)&gt;0,1,0))</f>
        <v/>
      </c>
      <c r="O2361" s="16" t="str">
        <f>IF($A2361&lt;Notes!$B$5,"",IF(COUNTIFS(Release_Calendar!$A$2:$A$755,"NZ_LABOUR",Release_Calendar!$B$2:$B$755,$A2361)&gt;0,1,0))</f>
        <v/>
      </c>
      <c r="P2361" s="16">
        <f t="shared" si="4"/>
        <v>1</v>
      </c>
    </row>
    <row r="2362" ht="15.75" customHeight="1">
      <c r="A2362" s="14">
        <v>39832.0</v>
      </c>
      <c r="B2362" s="15"/>
      <c r="C2362" s="15"/>
      <c r="D2362" s="15">
        <v>3.7</v>
      </c>
      <c r="E2362" s="15"/>
      <c r="F2362" s="15" t="str">
        <f t="shared" si="1"/>
        <v/>
      </c>
      <c r="G2362" s="15">
        <f t="shared" si="2"/>
        <v>3.7</v>
      </c>
      <c r="H2362" s="16">
        <v>1.0</v>
      </c>
      <c r="I2362" s="15" t="str">
        <f t="shared" si="3"/>
        <v/>
      </c>
      <c r="J2362" s="15"/>
      <c r="K2362" s="16">
        <f>IF(COUNTIFS(Release_Calendar!$A$2:$A$755,"US_CPI",Release_Calendar!$B$2:$B$755,$A2362)&gt;0,1,0)</f>
        <v>0</v>
      </c>
      <c r="L2362" s="16">
        <f>IF(COUNTIFS(Release_Calendar!$A$2:$A$755,"US_NFP",Release_Calendar!$B$2:$B$755,$A2362)&gt;0,1,0)</f>
        <v>0</v>
      </c>
      <c r="M2362" s="16" t="str">
        <f>IF($A2362&lt;Notes!$B$5,"",IF(COUNTIFS(Release_Calendar!$A$2:$A$755,"NZ_CPI",Release_Calendar!$B$2:$B$755,$A2362)&gt;0,1,0))</f>
        <v/>
      </c>
      <c r="N2362" s="16" t="str">
        <f>IF($A2362&lt;Notes!$B$5,"",IF(COUNTIFS(Release_Calendar!$A$2:$A$755,"NZ_GDP",Release_Calendar!$B$2:$B$755,$A2362)&gt;0,1,0))</f>
        <v/>
      </c>
      <c r="O2362" s="16" t="str">
        <f>IF($A2362&lt;Notes!$B$5,"",IF(COUNTIFS(Release_Calendar!$A$2:$A$755,"NZ_LABOUR",Release_Calendar!$B$2:$B$755,$A2362)&gt;0,1,0))</f>
        <v/>
      </c>
      <c r="P2362" s="16">
        <f t="shared" si="4"/>
        <v>0</v>
      </c>
    </row>
    <row r="2363" ht="15.75" customHeight="1">
      <c r="A2363" s="14">
        <v>39833.0</v>
      </c>
      <c r="B2363" s="15">
        <v>0.73</v>
      </c>
      <c r="C2363" s="15"/>
      <c r="D2363" s="15">
        <v>3.62</v>
      </c>
      <c r="E2363" s="15"/>
      <c r="F2363" s="15" t="str">
        <f t="shared" si="1"/>
        <v/>
      </c>
      <c r="G2363" s="15">
        <f t="shared" si="2"/>
        <v>3.62</v>
      </c>
      <c r="H2363" s="16">
        <v>1.0</v>
      </c>
      <c r="I2363" s="15">
        <f t="shared" si="3"/>
        <v>2.89</v>
      </c>
      <c r="J2363" s="15">
        <v>56.65</v>
      </c>
      <c r="K2363" s="16">
        <f>IF(COUNTIFS(Release_Calendar!$A$2:$A$755,"US_CPI",Release_Calendar!$B$2:$B$755,$A2363)&gt;0,1,0)</f>
        <v>0</v>
      </c>
      <c r="L2363" s="16">
        <f>IF(COUNTIFS(Release_Calendar!$A$2:$A$755,"US_NFP",Release_Calendar!$B$2:$B$755,$A2363)&gt;0,1,0)</f>
        <v>0</v>
      </c>
      <c r="M2363" s="16" t="str">
        <f>IF($A2363&lt;Notes!$B$5,"",IF(COUNTIFS(Release_Calendar!$A$2:$A$755,"NZ_CPI",Release_Calendar!$B$2:$B$755,$A2363)&gt;0,1,0))</f>
        <v/>
      </c>
      <c r="N2363" s="16" t="str">
        <f>IF($A2363&lt;Notes!$B$5,"",IF(COUNTIFS(Release_Calendar!$A$2:$A$755,"NZ_GDP",Release_Calendar!$B$2:$B$755,$A2363)&gt;0,1,0))</f>
        <v/>
      </c>
      <c r="O2363" s="16" t="str">
        <f>IF($A2363&lt;Notes!$B$5,"",IF(COUNTIFS(Release_Calendar!$A$2:$A$755,"NZ_LABOUR",Release_Calendar!$B$2:$B$755,$A2363)&gt;0,1,0))</f>
        <v/>
      </c>
      <c r="P2363" s="16">
        <f t="shared" si="4"/>
        <v>0</v>
      </c>
    </row>
    <row r="2364" ht="15.75" customHeight="1">
      <c r="A2364" s="14">
        <v>39834.0</v>
      </c>
      <c r="B2364" s="15">
        <v>0.78</v>
      </c>
      <c r="C2364" s="15"/>
      <c r="D2364" s="15">
        <v>3.56</v>
      </c>
      <c r="E2364" s="15"/>
      <c r="F2364" s="15" t="str">
        <f t="shared" si="1"/>
        <v/>
      </c>
      <c r="G2364" s="15">
        <f t="shared" si="2"/>
        <v>3.56</v>
      </c>
      <c r="H2364" s="16">
        <v>1.0</v>
      </c>
      <c r="I2364" s="15">
        <f t="shared" si="3"/>
        <v>2.78</v>
      </c>
      <c r="J2364" s="15">
        <v>46.42</v>
      </c>
      <c r="K2364" s="16">
        <f>IF(COUNTIFS(Release_Calendar!$A$2:$A$755,"US_CPI",Release_Calendar!$B$2:$B$755,$A2364)&gt;0,1,0)</f>
        <v>0</v>
      </c>
      <c r="L2364" s="16">
        <f>IF(COUNTIFS(Release_Calendar!$A$2:$A$755,"US_NFP",Release_Calendar!$B$2:$B$755,$A2364)&gt;0,1,0)</f>
        <v>0</v>
      </c>
      <c r="M2364" s="16" t="str">
        <f>IF($A2364&lt;Notes!$B$5,"",IF(COUNTIFS(Release_Calendar!$A$2:$A$755,"NZ_CPI",Release_Calendar!$B$2:$B$755,$A2364)&gt;0,1,0))</f>
        <v/>
      </c>
      <c r="N2364" s="16" t="str">
        <f>IF($A2364&lt;Notes!$B$5,"",IF(COUNTIFS(Release_Calendar!$A$2:$A$755,"NZ_GDP",Release_Calendar!$B$2:$B$755,$A2364)&gt;0,1,0))</f>
        <v/>
      </c>
      <c r="O2364" s="16" t="str">
        <f>IF($A2364&lt;Notes!$B$5,"",IF(COUNTIFS(Release_Calendar!$A$2:$A$755,"NZ_LABOUR",Release_Calendar!$B$2:$B$755,$A2364)&gt;0,1,0))</f>
        <v/>
      </c>
      <c r="P2364" s="16">
        <f t="shared" si="4"/>
        <v>0</v>
      </c>
    </row>
    <row r="2365" ht="15.75" customHeight="1">
      <c r="A2365" s="14">
        <v>39835.0</v>
      </c>
      <c r="B2365" s="15">
        <v>0.75</v>
      </c>
      <c r="C2365" s="15"/>
      <c r="D2365" s="15">
        <v>3.53</v>
      </c>
      <c r="E2365" s="15"/>
      <c r="F2365" s="15" t="str">
        <f t="shared" si="1"/>
        <v/>
      </c>
      <c r="G2365" s="15">
        <f t="shared" si="2"/>
        <v>3.53</v>
      </c>
      <c r="H2365" s="16">
        <v>1.0</v>
      </c>
      <c r="I2365" s="15">
        <f t="shared" si="3"/>
        <v>2.78</v>
      </c>
      <c r="J2365" s="15">
        <v>47.29</v>
      </c>
      <c r="K2365" s="16">
        <f>IF(COUNTIFS(Release_Calendar!$A$2:$A$755,"US_CPI",Release_Calendar!$B$2:$B$755,$A2365)&gt;0,1,0)</f>
        <v>0</v>
      </c>
      <c r="L2365" s="16">
        <f>IF(COUNTIFS(Release_Calendar!$A$2:$A$755,"US_NFP",Release_Calendar!$B$2:$B$755,$A2365)&gt;0,1,0)</f>
        <v>0</v>
      </c>
      <c r="M2365" s="16" t="str">
        <f>IF($A2365&lt;Notes!$B$5,"",IF(COUNTIFS(Release_Calendar!$A$2:$A$755,"NZ_CPI",Release_Calendar!$B$2:$B$755,$A2365)&gt;0,1,0))</f>
        <v/>
      </c>
      <c r="N2365" s="16" t="str">
        <f>IF($A2365&lt;Notes!$B$5,"",IF(COUNTIFS(Release_Calendar!$A$2:$A$755,"NZ_GDP",Release_Calendar!$B$2:$B$755,$A2365)&gt;0,1,0))</f>
        <v/>
      </c>
      <c r="O2365" s="16" t="str">
        <f>IF($A2365&lt;Notes!$B$5,"",IF(COUNTIFS(Release_Calendar!$A$2:$A$755,"NZ_LABOUR",Release_Calendar!$B$2:$B$755,$A2365)&gt;0,1,0))</f>
        <v/>
      </c>
      <c r="P2365" s="16">
        <f t="shared" si="4"/>
        <v>0</v>
      </c>
    </row>
    <row r="2366" ht="15.75" customHeight="1">
      <c r="A2366" s="14">
        <v>39836.0</v>
      </c>
      <c r="B2366" s="15">
        <v>0.83</v>
      </c>
      <c r="C2366" s="15"/>
      <c r="D2366" s="15">
        <v>3.49</v>
      </c>
      <c r="E2366" s="15"/>
      <c r="F2366" s="15" t="str">
        <f t="shared" si="1"/>
        <v/>
      </c>
      <c r="G2366" s="15">
        <f t="shared" si="2"/>
        <v>3.49</v>
      </c>
      <c r="H2366" s="16">
        <v>1.0</v>
      </c>
      <c r="I2366" s="15">
        <f t="shared" si="3"/>
        <v>2.66</v>
      </c>
      <c r="J2366" s="15">
        <v>47.27</v>
      </c>
      <c r="K2366" s="16">
        <f>IF(COUNTIFS(Release_Calendar!$A$2:$A$755,"US_CPI",Release_Calendar!$B$2:$B$755,$A2366)&gt;0,1,0)</f>
        <v>0</v>
      </c>
      <c r="L2366" s="16">
        <f>IF(COUNTIFS(Release_Calendar!$A$2:$A$755,"US_NFP",Release_Calendar!$B$2:$B$755,$A2366)&gt;0,1,0)</f>
        <v>0</v>
      </c>
      <c r="M2366" s="16" t="str">
        <f>IF($A2366&lt;Notes!$B$5,"",IF(COUNTIFS(Release_Calendar!$A$2:$A$755,"NZ_CPI",Release_Calendar!$B$2:$B$755,$A2366)&gt;0,1,0))</f>
        <v/>
      </c>
      <c r="N2366" s="16" t="str">
        <f>IF($A2366&lt;Notes!$B$5,"",IF(COUNTIFS(Release_Calendar!$A$2:$A$755,"NZ_GDP",Release_Calendar!$B$2:$B$755,$A2366)&gt;0,1,0))</f>
        <v/>
      </c>
      <c r="O2366" s="16" t="str">
        <f>IF($A2366&lt;Notes!$B$5,"",IF(COUNTIFS(Release_Calendar!$A$2:$A$755,"NZ_LABOUR",Release_Calendar!$B$2:$B$755,$A2366)&gt;0,1,0))</f>
        <v/>
      </c>
      <c r="P2366" s="16">
        <f t="shared" si="4"/>
        <v>0</v>
      </c>
    </row>
    <row r="2367" ht="15.75" customHeight="1">
      <c r="A2367" s="14">
        <v>39839.0</v>
      </c>
      <c r="B2367" s="15">
        <v>0.85</v>
      </c>
      <c r="C2367" s="15"/>
      <c r="D2367" s="15">
        <v>3.43</v>
      </c>
      <c r="E2367" s="15"/>
      <c r="F2367" s="15" t="str">
        <f t="shared" si="1"/>
        <v/>
      </c>
      <c r="G2367" s="15">
        <f t="shared" si="2"/>
        <v>3.43</v>
      </c>
      <c r="H2367" s="16">
        <v>1.0</v>
      </c>
      <c r="I2367" s="15">
        <f t="shared" si="3"/>
        <v>2.58</v>
      </c>
      <c r="J2367" s="15">
        <v>45.69</v>
      </c>
      <c r="K2367" s="16">
        <f>IF(COUNTIFS(Release_Calendar!$A$2:$A$755,"US_CPI",Release_Calendar!$B$2:$B$755,$A2367)&gt;0,1,0)</f>
        <v>0</v>
      </c>
      <c r="L2367" s="16">
        <f>IF(COUNTIFS(Release_Calendar!$A$2:$A$755,"US_NFP",Release_Calendar!$B$2:$B$755,$A2367)&gt;0,1,0)</f>
        <v>0</v>
      </c>
      <c r="M2367" s="16" t="str">
        <f>IF($A2367&lt;Notes!$B$5,"",IF(COUNTIFS(Release_Calendar!$A$2:$A$755,"NZ_CPI",Release_Calendar!$B$2:$B$755,$A2367)&gt;0,1,0))</f>
        <v/>
      </c>
      <c r="N2367" s="16" t="str">
        <f>IF($A2367&lt;Notes!$B$5,"",IF(COUNTIFS(Release_Calendar!$A$2:$A$755,"NZ_GDP",Release_Calendar!$B$2:$B$755,$A2367)&gt;0,1,0))</f>
        <v/>
      </c>
      <c r="O2367" s="16" t="str">
        <f>IF($A2367&lt;Notes!$B$5,"",IF(COUNTIFS(Release_Calendar!$A$2:$A$755,"NZ_LABOUR",Release_Calendar!$B$2:$B$755,$A2367)&gt;0,1,0))</f>
        <v/>
      </c>
      <c r="P2367" s="16">
        <f t="shared" si="4"/>
        <v>0</v>
      </c>
    </row>
    <row r="2368" ht="15.75" customHeight="1">
      <c r="A2368" s="14">
        <v>39840.0</v>
      </c>
      <c r="B2368" s="15">
        <v>0.87</v>
      </c>
      <c r="C2368" s="15"/>
      <c r="D2368" s="15">
        <v>3.43</v>
      </c>
      <c r="E2368" s="15"/>
      <c r="F2368" s="15" t="str">
        <f t="shared" si="1"/>
        <v/>
      </c>
      <c r="G2368" s="15">
        <f t="shared" si="2"/>
        <v>3.43</v>
      </c>
      <c r="H2368" s="16">
        <v>1.0</v>
      </c>
      <c r="I2368" s="15">
        <f t="shared" si="3"/>
        <v>2.56</v>
      </c>
      <c r="J2368" s="15">
        <v>42.25</v>
      </c>
      <c r="K2368" s="16">
        <f>IF(COUNTIFS(Release_Calendar!$A$2:$A$755,"US_CPI",Release_Calendar!$B$2:$B$755,$A2368)&gt;0,1,0)</f>
        <v>0</v>
      </c>
      <c r="L2368" s="16">
        <f>IF(COUNTIFS(Release_Calendar!$A$2:$A$755,"US_NFP",Release_Calendar!$B$2:$B$755,$A2368)&gt;0,1,0)</f>
        <v>0</v>
      </c>
      <c r="M2368" s="16" t="str">
        <f>IF($A2368&lt;Notes!$B$5,"",IF(COUNTIFS(Release_Calendar!$A$2:$A$755,"NZ_CPI",Release_Calendar!$B$2:$B$755,$A2368)&gt;0,1,0))</f>
        <v/>
      </c>
      <c r="N2368" s="16" t="str">
        <f>IF($A2368&lt;Notes!$B$5,"",IF(COUNTIFS(Release_Calendar!$A$2:$A$755,"NZ_GDP",Release_Calendar!$B$2:$B$755,$A2368)&gt;0,1,0))</f>
        <v/>
      </c>
      <c r="O2368" s="16" t="str">
        <f>IF($A2368&lt;Notes!$B$5,"",IF(COUNTIFS(Release_Calendar!$A$2:$A$755,"NZ_LABOUR",Release_Calendar!$B$2:$B$755,$A2368)&gt;0,1,0))</f>
        <v/>
      </c>
      <c r="P2368" s="16">
        <f t="shared" si="4"/>
        <v>0</v>
      </c>
    </row>
    <row r="2369" ht="15.75" customHeight="1">
      <c r="A2369" s="14">
        <v>39841.0</v>
      </c>
      <c r="B2369" s="15">
        <v>0.89</v>
      </c>
      <c r="C2369" s="15"/>
      <c r="D2369" s="15">
        <v>3.43</v>
      </c>
      <c r="E2369" s="15"/>
      <c r="F2369" s="15" t="str">
        <f t="shared" si="1"/>
        <v/>
      </c>
      <c r="G2369" s="15">
        <f t="shared" si="2"/>
        <v>3.43</v>
      </c>
      <c r="H2369" s="16">
        <v>1.0</v>
      </c>
      <c r="I2369" s="15">
        <f t="shared" si="3"/>
        <v>2.54</v>
      </c>
      <c r="J2369" s="15">
        <v>39.66</v>
      </c>
      <c r="K2369" s="16">
        <f>IF(COUNTIFS(Release_Calendar!$A$2:$A$755,"US_CPI",Release_Calendar!$B$2:$B$755,$A2369)&gt;0,1,0)</f>
        <v>0</v>
      </c>
      <c r="L2369" s="16">
        <f>IF(COUNTIFS(Release_Calendar!$A$2:$A$755,"US_NFP",Release_Calendar!$B$2:$B$755,$A2369)&gt;0,1,0)</f>
        <v>0</v>
      </c>
      <c r="M2369" s="16" t="str">
        <f>IF($A2369&lt;Notes!$B$5,"",IF(COUNTIFS(Release_Calendar!$A$2:$A$755,"NZ_CPI",Release_Calendar!$B$2:$B$755,$A2369)&gt;0,1,0))</f>
        <v/>
      </c>
      <c r="N2369" s="16" t="str">
        <f>IF($A2369&lt;Notes!$B$5,"",IF(COUNTIFS(Release_Calendar!$A$2:$A$755,"NZ_GDP",Release_Calendar!$B$2:$B$755,$A2369)&gt;0,1,0))</f>
        <v/>
      </c>
      <c r="O2369" s="16" t="str">
        <f>IF($A2369&lt;Notes!$B$5,"",IF(COUNTIFS(Release_Calendar!$A$2:$A$755,"NZ_LABOUR",Release_Calendar!$B$2:$B$755,$A2369)&gt;0,1,0))</f>
        <v/>
      </c>
      <c r="P2369" s="16">
        <f t="shared" si="4"/>
        <v>0</v>
      </c>
    </row>
    <row r="2370" ht="15.75" customHeight="1">
      <c r="A2370" s="14">
        <v>39842.0</v>
      </c>
      <c r="B2370" s="15">
        <v>0.95</v>
      </c>
      <c r="C2370" s="15"/>
      <c r="D2370" s="15">
        <v>3.36</v>
      </c>
      <c r="E2370" s="15">
        <v>3.4</v>
      </c>
      <c r="F2370" s="15" t="str">
        <f t="shared" si="1"/>
        <v/>
      </c>
      <c r="G2370" s="15">
        <f t="shared" si="2"/>
        <v>3.36</v>
      </c>
      <c r="H2370" s="16">
        <v>1.0</v>
      </c>
      <c r="I2370" s="15">
        <f t="shared" si="3"/>
        <v>2.41</v>
      </c>
      <c r="J2370" s="15">
        <v>42.63</v>
      </c>
      <c r="K2370" s="16">
        <f>IF(COUNTIFS(Release_Calendar!$A$2:$A$755,"US_CPI",Release_Calendar!$B$2:$B$755,$A2370)&gt;0,1,0)</f>
        <v>0</v>
      </c>
      <c r="L2370" s="16">
        <f>IF(COUNTIFS(Release_Calendar!$A$2:$A$755,"US_NFP",Release_Calendar!$B$2:$B$755,$A2370)&gt;0,1,0)</f>
        <v>0</v>
      </c>
      <c r="M2370" s="16" t="str">
        <f>IF($A2370&lt;Notes!$B$5,"",IF(COUNTIFS(Release_Calendar!$A$2:$A$755,"NZ_CPI",Release_Calendar!$B$2:$B$755,$A2370)&gt;0,1,0))</f>
        <v/>
      </c>
      <c r="N2370" s="16" t="str">
        <f>IF($A2370&lt;Notes!$B$5,"",IF(COUNTIFS(Release_Calendar!$A$2:$A$755,"NZ_GDP",Release_Calendar!$B$2:$B$755,$A2370)&gt;0,1,0))</f>
        <v/>
      </c>
      <c r="O2370" s="16" t="str">
        <f>IF($A2370&lt;Notes!$B$5,"",IF(COUNTIFS(Release_Calendar!$A$2:$A$755,"NZ_LABOUR",Release_Calendar!$B$2:$B$755,$A2370)&gt;0,1,0))</f>
        <v/>
      </c>
      <c r="P2370" s="16">
        <f t="shared" si="4"/>
        <v>0</v>
      </c>
    </row>
    <row r="2371" ht="15.75" customHeight="1">
      <c r="A2371" s="14">
        <v>39843.0</v>
      </c>
      <c r="B2371" s="15">
        <v>0.94</v>
      </c>
      <c r="C2371" s="15"/>
      <c r="D2371" s="15">
        <v>3.39</v>
      </c>
      <c r="E2371" s="15">
        <v>3.35</v>
      </c>
      <c r="F2371" s="15" t="str">
        <f t="shared" si="1"/>
        <v/>
      </c>
      <c r="G2371" s="15">
        <f t="shared" si="2"/>
        <v>3.39</v>
      </c>
      <c r="H2371" s="16">
        <v>1.0</v>
      </c>
      <c r="I2371" s="15">
        <f t="shared" si="3"/>
        <v>2.45</v>
      </c>
      <c r="J2371" s="15">
        <v>44.84</v>
      </c>
      <c r="K2371" s="16">
        <f>IF(COUNTIFS(Release_Calendar!$A$2:$A$755,"US_CPI",Release_Calendar!$B$2:$B$755,$A2371)&gt;0,1,0)</f>
        <v>0</v>
      </c>
      <c r="L2371" s="16">
        <f>IF(COUNTIFS(Release_Calendar!$A$2:$A$755,"US_NFP",Release_Calendar!$B$2:$B$755,$A2371)&gt;0,1,0)</f>
        <v>0</v>
      </c>
      <c r="M2371" s="16" t="str">
        <f>IF($A2371&lt;Notes!$B$5,"",IF(COUNTIFS(Release_Calendar!$A$2:$A$755,"NZ_CPI",Release_Calendar!$B$2:$B$755,$A2371)&gt;0,1,0))</f>
        <v/>
      </c>
      <c r="N2371" s="16" t="str">
        <f>IF($A2371&lt;Notes!$B$5,"",IF(COUNTIFS(Release_Calendar!$A$2:$A$755,"NZ_GDP",Release_Calendar!$B$2:$B$755,$A2371)&gt;0,1,0))</f>
        <v/>
      </c>
      <c r="O2371" s="16" t="str">
        <f>IF($A2371&lt;Notes!$B$5,"",IF(COUNTIFS(Release_Calendar!$A$2:$A$755,"NZ_LABOUR",Release_Calendar!$B$2:$B$755,$A2371)&gt;0,1,0))</f>
        <v/>
      </c>
      <c r="P2371" s="16">
        <f t="shared" si="4"/>
        <v>0</v>
      </c>
    </row>
    <row r="2372" ht="15.75" customHeight="1">
      <c r="A2372" s="14">
        <v>39846.0</v>
      </c>
      <c r="B2372" s="15">
        <v>0.89</v>
      </c>
      <c r="C2372" s="15"/>
      <c r="D2372" s="15">
        <v>3.34</v>
      </c>
      <c r="E2372" s="15">
        <v>3.34</v>
      </c>
      <c r="F2372" s="15" t="str">
        <f t="shared" si="1"/>
        <v/>
      </c>
      <c r="G2372" s="15">
        <f t="shared" si="2"/>
        <v>3.34</v>
      </c>
      <c r="H2372" s="16">
        <v>1.0</v>
      </c>
      <c r="I2372" s="15">
        <f t="shared" si="3"/>
        <v>2.45</v>
      </c>
      <c r="J2372" s="15">
        <v>45.52</v>
      </c>
      <c r="K2372" s="16">
        <f>IF(COUNTIFS(Release_Calendar!$A$2:$A$755,"US_CPI",Release_Calendar!$B$2:$B$755,$A2372)&gt;0,1,0)</f>
        <v>0</v>
      </c>
      <c r="L2372" s="16">
        <f>IF(COUNTIFS(Release_Calendar!$A$2:$A$755,"US_NFP",Release_Calendar!$B$2:$B$755,$A2372)&gt;0,1,0)</f>
        <v>0</v>
      </c>
      <c r="M2372" s="16" t="str">
        <f>IF($A2372&lt;Notes!$B$5,"",IF(COUNTIFS(Release_Calendar!$A$2:$A$755,"NZ_CPI",Release_Calendar!$B$2:$B$755,$A2372)&gt;0,1,0))</f>
        <v/>
      </c>
      <c r="N2372" s="16" t="str">
        <f>IF($A2372&lt;Notes!$B$5,"",IF(COUNTIFS(Release_Calendar!$A$2:$A$755,"NZ_GDP",Release_Calendar!$B$2:$B$755,$A2372)&gt;0,1,0))</f>
        <v/>
      </c>
      <c r="O2372" s="16" t="str">
        <f>IF($A2372&lt;Notes!$B$5,"",IF(COUNTIFS(Release_Calendar!$A$2:$A$755,"NZ_LABOUR",Release_Calendar!$B$2:$B$755,$A2372)&gt;0,1,0))</f>
        <v/>
      </c>
      <c r="P2372" s="16">
        <f t="shared" si="4"/>
        <v>0</v>
      </c>
    </row>
    <row r="2373" ht="15.75" customHeight="1">
      <c r="A2373" s="14">
        <v>39847.0</v>
      </c>
      <c r="B2373" s="15">
        <v>0.96</v>
      </c>
      <c r="C2373" s="15"/>
      <c r="D2373" s="15">
        <v>3.34</v>
      </c>
      <c r="E2373" s="15">
        <v>3.35</v>
      </c>
      <c r="F2373" s="15" t="str">
        <f t="shared" si="1"/>
        <v/>
      </c>
      <c r="G2373" s="15">
        <f t="shared" si="2"/>
        <v>3.34</v>
      </c>
      <c r="H2373" s="16">
        <v>1.0</v>
      </c>
      <c r="I2373" s="15">
        <f t="shared" si="3"/>
        <v>2.38</v>
      </c>
      <c r="J2373" s="15">
        <v>43.06</v>
      </c>
      <c r="K2373" s="16">
        <f>IF(COUNTIFS(Release_Calendar!$A$2:$A$755,"US_CPI",Release_Calendar!$B$2:$B$755,$A2373)&gt;0,1,0)</f>
        <v>0</v>
      </c>
      <c r="L2373" s="16">
        <f>IF(COUNTIFS(Release_Calendar!$A$2:$A$755,"US_NFP",Release_Calendar!$B$2:$B$755,$A2373)&gt;0,1,0)</f>
        <v>0</v>
      </c>
      <c r="M2373" s="16" t="str">
        <f>IF($A2373&lt;Notes!$B$5,"",IF(COUNTIFS(Release_Calendar!$A$2:$A$755,"NZ_CPI",Release_Calendar!$B$2:$B$755,$A2373)&gt;0,1,0))</f>
        <v/>
      </c>
      <c r="N2373" s="16" t="str">
        <f>IF($A2373&lt;Notes!$B$5,"",IF(COUNTIFS(Release_Calendar!$A$2:$A$755,"NZ_GDP",Release_Calendar!$B$2:$B$755,$A2373)&gt;0,1,0))</f>
        <v/>
      </c>
      <c r="O2373" s="16" t="str">
        <f>IF($A2373&lt;Notes!$B$5,"",IF(COUNTIFS(Release_Calendar!$A$2:$A$755,"NZ_LABOUR",Release_Calendar!$B$2:$B$755,$A2373)&gt;0,1,0))</f>
        <v/>
      </c>
      <c r="P2373" s="16">
        <f t="shared" si="4"/>
        <v>0</v>
      </c>
    </row>
    <row r="2374" ht="15.75" customHeight="1">
      <c r="A2374" s="14">
        <v>39848.0</v>
      </c>
      <c r="B2374" s="15">
        <v>0.98</v>
      </c>
      <c r="C2374" s="15"/>
      <c r="D2374" s="15">
        <v>3.4</v>
      </c>
      <c r="E2374" s="15">
        <v>3.38</v>
      </c>
      <c r="F2374" s="15" t="str">
        <f t="shared" si="1"/>
        <v/>
      </c>
      <c r="G2374" s="15">
        <f t="shared" si="2"/>
        <v>3.4</v>
      </c>
      <c r="H2374" s="16">
        <v>1.0</v>
      </c>
      <c r="I2374" s="15">
        <f t="shared" si="3"/>
        <v>2.42</v>
      </c>
      <c r="J2374" s="15">
        <v>43.85</v>
      </c>
      <c r="K2374" s="16">
        <f>IF(COUNTIFS(Release_Calendar!$A$2:$A$755,"US_CPI",Release_Calendar!$B$2:$B$755,$A2374)&gt;0,1,0)</f>
        <v>0</v>
      </c>
      <c r="L2374" s="16">
        <f>IF(COUNTIFS(Release_Calendar!$A$2:$A$755,"US_NFP",Release_Calendar!$B$2:$B$755,$A2374)&gt;0,1,0)</f>
        <v>0</v>
      </c>
      <c r="M2374" s="16" t="str">
        <f>IF($A2374&lt;Notes!$B$5,"",IF(COUNTIFS(Release_Calendar!$A$2:$A$755,"NZ_CPI",Release_Calendar!$B$2:$B$755,$A2374)&gt;0,1,0))</f>
        <v/>
      </c>
      <c r="N2374" s="16" t="str">
        <f>IF($A2374&lt;Notes!$B$5,"",IF(COUNTIFS(Release_Calendar!$A$2:$A$755,"NZ_GDP",Release_Calendar!$B$2:$B$755,$A2374)&gt;0,1,0))</f>
        <v/>
      </c>
      <c r="O2374" s="16" t="str">
        <f>IF($A2374&lt;Notes!$B$5,"",IF(COUNTIFS(Release_Calendar!$A$2:$A$755,"NZ_LABOUR",Release_Calendar!$B$2:$B$755,$A2374)&gt;0,1,0))</f>
        <v/>
      </c>
      <c r="P2374" s="16">
        <f t="shared" si="4"/>
        <v>0</v>
      </c>
    </row>
    <row r="2375" ht="15.75" customHeight="1">
      <c r="A2375" s="14">
        <v>39849.0</v>
      </c>
      <c r="B2375" s="15">
        <v>0.98</v>
      </c>
      <c r="C2375" s="15"/>
      <c r="D2375" s="15">
        <v>3.43</v>
      </c>
      <c r="E2375" s="15">
        <v>3.45</v>
      </c>
      <c r="F2375" s="15" t="str">
        <f t="shared" si="1"/>
        <v/>
      </c>
      <c r="G2375" s="15">
        <f t="shared" si="2"/>
        <v>3.43</v>
      </c>
      <c r="H2375" s="16">
        <v>1.0</v>
      </c>
      <c r="I2375" s="15">
        <f t="shared" si="3"/>
        <v>2.45</v>
      </c>
      <c r="J2375" s="15">
        <v>43.73</v>
      </c>
      <c r="K2375" s="16">
        <f>IF(COUNTIFS(Release_Calendar!$A$2:$A$755,"US_CPI",Release_Calendar!$B$2:$B$755,$A2375)&gt;0,1,0)</f>
        <v>0</v>
      </c>
      <c r="L2375" s="16">
        <f>IF(COUNTIFS(Release_Calendar!$A$2:$A$755,"US_NFP",Release_Calendar!$B$2:$B$755,$A2375)&gt;0,1,0)</f>
        <v>0</v>
      </c>
      <c r="M2375" s="16" t="str">
        <f>IF($A2375&lt;Notes!$B$5,"",IF(COUNTIFS(Release_Calendar!$A$2:$A$755,"NZ_CPI",Release_Calendar!$B$2:$B$755,$A2375)&gt;0,1,0))</f>
        <v/>
      </c>
      <c r="N2375" s="16" t="str">
        <f>IF($A2375&lt;Notes!$B$5,"",IF(COUNTIFS(Release_Calendar!$A$2:$A$755,"NZ_GDP",Release_Calendar!$B$2:$B$755,$A2375)&gt;0,1,0))</f>
        <v/>
      </c>
      <c r="O2375" s="16" t="str">
        <f>IF($A2375&lt;Notes!$B$5,"",IF(COUNTIFS(Release_Calendar!$A$2:$A$755,"NZ_LABOUR",Release_Calendar!$B$2:$B$755,$A2375)&gt;0,1,0))</f>
        <v/>
      </c>
      <c r="P2375" s="16">
        <f t="shared" si="4"/>
        <v>0</v>
      </c>
    </row>
    <row r="2376" ht="15.75" customHeight="1">
      <c r="A2376" s="14">
        <v>39850.0</v>
      </c>
      <c r="B2376" s="15">
        <v>0.99</v>
      </c>
      <c r="C2376" s="15"/>
      <c r="D2376" s="15"/>
      <c r="E2376" s="15"/>
      <c r="F2376" s="15" t="str">
        <f t="shared" si="1"/>
        <v/>
      </c>
      <c r="G2376" s="15" t="str">
        <f t="shared" si="2"/>
        <v/>
      </c>
      <c r="H2376" s="16">
        <v>1.0</v>
      </c>
      <c r="I2376" s="15" t="str">
        <f t="shared" si="3"/>
        <v/>
      </c>
      <c r="J2376" s="15">
        <v>43.37</v>
      </c>
      <c r="K2376" s="16">
        <f>IF(COUNTIFS(Release_Calendar!$A$2:$A$755,"US_CPI",Release_Calendar!$B$2:$B$755,$A2376)&gt;0,1,0)</f>
        <v>0</v>
      </c>
      <c r="L2376" s="16">
        <f>IF(COUNTIFS(Release_Calendar!$A$2:$A$755,"US_NFP",Release_Calendar!$B$2:$B$755,$A2376)&gt;0,1,0)</f>
        <v>1</v>
      </c>
      <c r="M2376" s="16" t="str">
        <f>IF($A2376&lt;Notes!$B$5,"",IF(COUNTIFS(Release_Calendar!$A$2:$A$755,"NZ_CPI",Release_Calendar!$B$2:$B$755,$A2376)&gt;0,1,0))</f>
        <v/>
      </c>
      <c r="N2376" s="16" t="str">
        <f>IF($A2376&lt;Notes!$B$5,"",IF(COUNTIFS(Release_Calendar!$A$2:$A$755,"NZ_GDP",Release_Calendar!$B$2:$B$755,$A2376)&gt;0,1,0))</f>
        <v/>
      </c>
      <c r="O2376" s="16" t="str">
        <f>IF($A2376&lt;Notes!$B$5,"",IF(COUNTIFS(Release_Calendar!$A$2:$A$755,"NZ_LABOUR",Release_Calendar!$B$2:$B$755,$A2376)&gt;0,1,0))</f>
        <v/>
      </c>
      <c r="P2376" s="16">
        <f t="shared" si="4"/>
        <v>1</v>
      </c>
    </row>
    <row r="2377" ht="15.75" customHeight="1">
      <c r="A2377" s="14">
        <v>39853.0</v>
      </c>
      <c r="B2377" s="15">
        <v>1.05</v>
      </c>
      <c r="C2377" s="15"/>
      <c r="D2377" s="15">
        <v>3.52</v>
      </c>
      <c r="E2377" s="15">
        <v>3.52</v>
      </c>
      <c r="F2377" s="15" t="str">
        <f t="shared" si="1"/>
        <v/>
      </c>
      <c r="G2377" s="15">
        <f t="shared" si="2"/>
        <v>3.52</v>
      </c>
      <c r="H2377" s="16">
        <v>1.0</v>
      </c>
      <c r="I2377" s="15">
        <f t="shared" si="3"/>
        <v>2.47</v>
      </c>
      <c r="J2377" s="15">
        <v>43.64</v>
      </c>
      <c r="K2377" s="16">
        <f>IF(COUNTIFS(Release_Calendar!$A$2:$A$755,"US_CPI",Release_Calendar!$B$2:$B$755,$A2377)&gt;0,1,0)</f>
        <v>0</v>
      </c>
      <c r="L2377" s="16">
        <f>IF(COUNTIFS(Release_Calendar!$A$2:$A$755,"US_NFP",Release_Calendar!$B$2:$B$755,$A2377)&gt;0,1,0)</f>
        <v>0</v>
      </c>
      <c r="M2377" s="16" t="str">
        <f>IF($A2377&lt;Notes!$B$5,"",IF(COUNTIFS(Release_Calendar!$A$2:$A$755,"NZ_CPI",Release_Calendar!$B$2:$B$755,$A2377)&gt;0,1,0))</f>
        <v/>
      </c>
      <c r="N2377" s="16" t="str">
        <f>IF($A2377&lt;Notes!$B$5,"",IF(COUNTIFS(Release_Calendar!$A$2:$A$755,"NZ_GDP",Release_Calendar!$B$2:$B$755,$A2377)&gt;0,1,0))</f>
        <v/>
      </c>
      <c r="O2377" s="16" t="str">
        <f>IF($A2377&lt;Notes!$B$5,"",IF(COUNTIFS(Release_Calendar!$A$2:$A$755,"NZ_LABOUR",Release_Calendar!$B$2:$B$755,$A2377)&gt;0,1,0))</f>
        <v/>
      </c>
      <c r="P2377" s="16">
        <f t="shared" si="4"/>
        <v>0</v>
      </c>
    </row>
    <row r="2378" ht="15.75" customHeight="1">
      <c r="A2378" s="14">
        <v>39854.0</v>
      </c>
      <c r="B2378" s="15">
        <v>0.92</v>
      </c>
      <c r="C2378" s="15"/>
      <c r="D2378" s="15">
        <v>3.53</v>
      </c>
      <c r="E2378" s="15">
        <v>3.52</v>
      </c>
      <c r="F2378" s="15" t="str">
        <f t="shared" si="1"/>
        <v/>
      </c>
      <c r="G2378" s="15">
        <f t="shared" si="2"/>
        <v>3.53</v>
      </c>
      <c r="H2378" s="16">
        <v>1.0</v>
      </c>
      <c r="I2378" s="15">
        <f t="shared" si="3"/>
        <v>2.61</v>
      </c>
      <c r="J2378" s="15">
        <v>46.67</v>
      </c>
      <c r="K2378" s="16">
        <f>IF(COUNTIFS(Release_Calendar!$A$2:$A$755,"US_CPI",Release_Calendar!$B$2:$B$755,$A2378)&gt;0,1,0)</f>
        <v>0</v>
      </c>
      <c r="L2378" s="16">
        <f>IF(COUNTIFS(Release_Calendar!$A$2:$A$755,"US_NFP",Release_Calendar!$B$2:$B$755,$A2378)&gt;0,1,0)</f>
        <v>0</v>
      </c>
      <c r="M2378" s="16" t="str">
        <f>IF($A2378&lt;Notes!$B$5,"",IF(COUNTIFS(Release_Calendar!$A$2:$A$755,"NZ_CPI",Release_Calendar!$B$2:$B$755,$A2378)&gt;0,1,0))</f>
        <v/>
      </c>
      <c r="N2378" s="16" t="str">
        <f>IF($A2378&lt;Notes!$B$5,"",IF(COUNTIFS(Release_Calendar!$A$2:$A$755,"NZ_GDP",Release_Calendar!$B$2:$B$755,$A2378)&gt;0,1,0))</f>
        <v/>
      </c>
      <c r="O2378" s="16" t="str">
        <f>IF($A2378&lt;Notes!$B$5,"",IF(COUNTIFS(Release_Calendar!$A$2:$A$755,"NZ_LABOUR",Release_Calendar!$B$2:$B$755,$A2378)&gt;0,1,0))</f>
        <v/>
      </c>
      <c r="P2378" s="16">
        <f t="shared" si="4"/>
        <v>0</v>
      </c>
    </row>
    <row r="2379" ht="15.75" customHeight="1">
      <c r="A2379" s="14">
        <v>39855.0</v>
      </c>
      <c r="B2379" s="15">
        <v>0.93</v>
      </c>
      <c r="C2379" s="15"/>
      <c r="D2379" s="15">
        <v>3.5</v>
      </c>
      <c r="E2379" s="15">
        <v>3.47</v>
      </c>
      <c r="F2379" s="15" t="str">
        <f t="shared" si="1"/>
        <v/>
      </c>
      <c r="G2379" s="15">
        <f t="shared" si="2"/>
        <v>3.5</v>
      </c>
      <c r="H2379" s="16">
        <v>1.0</v>
      </c>
      <c r="I2379" s="15">
        <f t="shared" si="3"/>
        <v>2.57</v>
      </c>
      <c r="J2379" s="15">
        <v>44.53</v>
      </c>
      <c r="K2379" s="16">
        <f>IF(COUNTIFS(Release_Calendar!$A$2:$A$755,"US_CPI",Release_Calendar!$B$2:$B$755,$A2379)&gt;0,1,0)</f>
        <v>0</v>
      </c>
      <c r="L2379" s="16">
        <f>IF(COUNTIFS(Release_Calendar!$A$2:$A$755,"US_NFP",Release_Calendar!$B$2:$B$755,$A2379)&gt;0,1,0)</f>
        <v>0</v>
      </c>
      <c r="M2379" s="16" t="str">
        <f>IF($A2379&lt;Notes!$B$5,"",IF(COUNTIFS(Release_Calendar!$A$2:$A$755,"NZ_CPI",Release_Calendar!$B$2:$B$755,$A2379)&gt;0,1,0))</f>
        <v/>
      </c>
      <c r="N2379" s="16" t="str">
        <f>IF($A2379&lt;Notes!$B$5,"",IF(COUNTIFS(Release_Calendar!$A$2:$A$755,"NZ_GDP",Release_Calendar!$B$2:$B$755,$A2379)&gt;0,1,0))</f>
        <v/>
      </c>
      <c r="O2379" s="16" t="str">
        <f>IF($A2379&lt;Notes!$B$5,"",IF(COUNTIFS(Release_Calendar!$A$2:$A$755,"NZ_LABOUR",Release_Calendar!$B$2:$B$755,$A2379)&gt;0,1,0))</f>
        <v/>
      </c>
      <c r="P2379" s="16">
        <f t="shared" si="4"/>
        <v>0</v>
      </c>
    </row>
    <row r="2380" ht="15.75" customHeight="1">
      <c r="A2380" s="14">
        <v>39856.0</v>
      </c>
      <c r="B2380" s="15">
        <v>0.89</v>
      </c>
      <c r="C2380" s="15"/>
      <c r="D2380" s="15">
        <v>3.43</v>
      </c>
      <c r="E2380" s="15">
        <v>3.45</v>
      </c>
      <c r="F2380" s="15" t="str">
        <f t="shared" si="1"/>
        <v/>
      </c>
      <c r="G2380" s="15">
        <f t="shared" si="2"/>
        <v>3.43</v>
      </c>
      <c r="H2380" s="16">
        <v>1.0</v>
      </c>
      <c r="I2380" s="15">
        <f t="shared" si="3"/>
        <v>2.54</v>
      </c>
      <c r="J2380" s="15">
        <v>41.25</v>
      </c>
      <c r="K2380" s="16">
        <f>IF(COUNTIFS(Release_Calendar!$A$2:$A$755,"US_CPI",Release_Calendar!$B$2:$B$755,$A2380)&gt;0,1,0)</f>
        <v>0</v>
      </c>
      <c r="L2380" s="16">
        <f>IF(COUNTIFS(Release_Calendar!$A$2:$A$755,"US_NFP",Release_Calendar!$B$2:$B$755,$A2380)&gt;0,1,0)</f>
        <v>0</v>
      </c>
      <c r="M2380" s="16" t="str">
        <f>IF($A2380&lt;Notes!$B$5,"",IF(COUNTIFS(Release_Calendar!$A$2:$A$755,"NZ_CPI",Release_Calendar!$B$2:$B$755,$A2380)&gt;0,1,0))</f>
        <v/>
      </c>
      <c r="N2380" s="16" t="str">
        <f>IF($A2380&lt;Notes!$B$5,"",IF(COUNTIFS(Release_Calendar!$A$2:$A$755,"NZ_GDP",Release_Calendar!$B$2:$B$755,$A2380)&gt;0,1,0))</f>
        <v/>
      </c>
      <c r="O2380" s="16" t="str">
        <f>IF($A2380&lt;Notes!$B$5,"",IF(COUNTIFS(Release_Calendar!$A$2:$A$755,"NZ_LABOUR",Release_Calendar!$B$2:$B$755,$A2380)&gt;0,1,0))</f>
        <v/>
      </c>
      <c r="P2380" s="16">
        <f t="shared" si="4"/>
        <v>0</v>
      </c>
    </row>
    <row r="2381" ht="15.75" customHeight="1">
      <c r="A2381" s="14">
        <v>39857.0</v>
      </c>
      <c r="B2381" s="15">
        <v>0.97</v>
      </c>
      <c r="C2381" s="15"/>
      <c r="D2381" s="15">
        <v>3.45</v>
      </c>
      <c r="E2381" s="15">
        <v>3.46</v>
      </c>
      <c r="F2381" s="15" t="str">
        <f t="shared" si="1"/>
        <v/>
      </c>
      <c r="G2381" s="15">
        <f t="shared" si="2"/>
        <v>3.45</v>
      </c>
      <c r="H2381" s="16">
        <v>1.0</v>
      </c>
      <c r="I2381" s="15">
        <f t="shared" si="3"/>
        <v>2.48</v>
      </c>
      <c r="J2381" s="15">
        <v>42.93</v>
      </c>
      <c r="K2381" s="16">
        <f>IF(COUNTIFS(Release_Calendar!$A$2:$A$755,"US_CPI",Release_Calendar!$B$2:$B$755,$A2381)&gt;0,1,0)</f>
        <v>0</v>
      </c>
      <c r="L2381" s="16">
        <f>IF(COUNTIFS(Release_Calendar!$A$2:$A$755,"US_NFP",Release_Calendar!$B$2:$B$755,$A2381)&gt;0,1,0)</f>
        <v>0</v>
      </c>
      <c r="M2381" s="16" t="str">
        <f>IF($A2381&lt;Notes!$B$5,"",IF(COUNTIFS(Release_Calendar!$A$2:$A$755,"NZ_CPI",Release_Calendar!$B$2:$B$755,$A2381)&gt;0,1,0))</f>
        <v/>
      </c>
      <c r="N2381" s="16" t="str">
        <f>IF($A2381&lt;Notes!$B$5,"",IF(COUNTIFS(Release_Calendar!$A$2:$A$755,"NZ_GDP",Release_Calendar!$B$2:$B$755,$A2381)&gt;0,1,0))</f>
        <v/>
      </c>
      <c r="O2381" s="16" t="str">
        <f>IF($A2381&lt;Notes!$B$5,"",IF(COUNTIFS(Release_Calendar!$A$2:$A$755,"NZ_LABOUR",Release_Calendar!$B$2:$B$755,$A2381)&gt;0,1,0))</f>
        <v/>
      </c>
      <c r="P2381" s="16">
        <f t="shared" si="4"/>
        <v>0</v>
      </c>
    </row>
    <row r="2382" ht="15.75" customHeight="1">
      <c r="A2382" s="14">
        <v>39860.0</v>
      </c>
      <c r="B2382" s="15"/>
      <c r="C2382" s="15"/>
      <c r="D2382" s="15">
        <v>3.48</v>
      </c>
      <c r="E2382" s="15">
        <v>3.56</v>
      </c>
      <c r="F2382" s="15" t="str">
        <f t="shared" si="1"/>
        <v/>
      </c>
      <c r="G2382" s="15">
        <f t="shared" si="2"/>
        <v>3.48</v>
      </c>
      <c r="H2382" s="16">
        <v>1.0</v>
      </c>
      <c r="I2382" s="15" t="str">
        <f t="shared" si="3"/>
        <v/>
      </c>
      <c r="J2382" s="15"/>
      <c r="K2382" s="16">
        <f>IF(COUNTIFS(Release_Calendar!$A$2:$A$755,"US_CPI",Release_Calendar!$B$2:$B$755,$A2382)&gt;0,1,0)</f>
        <v>0</v>
      </c>
      <c r="L2382" s="16">
        <f>IF(COUNTIFS(Release_Calendar!$A$2:$A$755,"US_NFP",Release_Calendar!$B$2:$B$755,$A2382)&gt;0,1,0)</f>
        <v>0</v>
      </c>
      <c r="M2382" s="16" t="str">
        <f>IF($A2382&lt;Notes!$B$5,"",IF(COUNTIFS(Release_Calendar!$A$2:$A$755,"NZ_CPI",Release_Calendar!$B$2:$B$755,$A2382)&gt;0,1,0))</f>
        <v/>
      </c>
      <c r="N2382" s="16" t="str">
        <f>IF($A2382&lt;Notes!$B$5,"",IF(COUNTIFS(Release_Calendar!$A$2:$A$755,"NZ_GDP",Release_Calendar!$B$2:$B$755,$A2382)&gt;0,1,0))</f>
        <v/>
      </c>
      <c r="O2382" s="16" t="str">
        <f>IF($A2382&lt;Notes!$B$5,"",IF(COUNTIFS(Release_Calendar!$A$2:$A$755,"NZ_LABOUR",Release_Calendar!$B$2:$B$755,$A2382)&gt;0,1,0))</f>
        <v/>
      </c>
      <c r="P2382" s="16">
        <f t="shared" si="4"/>
        <v>0</v>
      </c>
    </row>
    <row r="2383" ht="15.75" customHeight="1">
      <c r="A2383" s="14">
        <v>39861.0</v>
      </c>
      <c r="B2383" s="15">
        <v>0.87</v>
      </c>
      <c r="C2383" s="15"/>
      <c r="D2383" s="15">
        <v>3.58</v>
      </c>
      <c r="E2383" s="15">
        <v>3.59</v>
      </c>
      <c r="F2383" s="15" t="str">
        <f t="shared" si="1"/>
        <v/>
      </c>
      <c r="G2383" s="15">
        <f t="shared" si="2"/>
        <v>3.58</v>
      </c>
      <c r="H2383" s="16">
        <v>1.0</v>
      </c>
      <c r="I2383" s="15">
        <f t="shared" si="3"/>
        <v>2.71</v>
      </c>
      <c r="J2383" s="15">
        <v>48.66</v>
      </c>
      <c r="K2383" s="16">
        <f>IF(COUNTIFS(Release_Calendar!$A$2:$A$755,"US_CPI",Release_Calendar!$B$2:$B$755,$A2383)&gt;0,1,0)</f>
        <v>0</v>
      </c>
      <c r="L2383" s="16">
        <f>IF(COUNTIFS(Release_Calendar!$A$2:$A$755,"US_NFP",Release_Calendar!$B$2:$B$755,$A2383)&gt;0,1,0)</f>
        <v>0</v>
      </c>
      <c r="M2383" s="16" t="str">
        <f>IF($A2383&lt;Notes!$B$5,"",IF(COUNTIFS(Release_Calendar!$A$2:$A$755,"NZ_CPI",Release_Calendar!$B$2:$B$755,$A2383)&gt;0,1,0))</f>
        <v/>
      </c>
      <c r="N2383" s="16" t="str">
        <f>IF($A2383&lt;Notes!$B$5,"",IF(COUNTIFS(Release_Calendar!$A$2:$A$755,"NZ_GDP",Release_Calendar!$B$2:$B$755,$A2383)&gt;0,1,0))</f>
        <v/>
      </c>
      <c r="O2383" s="16" t="str">
        <f>IF($A2383&lt;Notes!$B$5,"",IF(COUNTIFS(Release_Calendar!$A$2:$A$755,"NZ_LABOUR",Release_Calendar!$B$2:$B$755,$A2383)&gt;0,1,0))</f>
        <v/>
      </c>
      <c r="P2383" s="16">
        <f t="shared" si="4"/>
        <v>0</v>
      </c>
    </row>
    <row r="2384" ht="15.75" customHeight="1">
      <c r="A2384" s="14">
        <v>39862.0</v>
      </c>
      <c r="B2384" s="15">
        <v>0.97</v>
      </c>
      <c r="C2384" s="15"/>
      <c r="D2384" s="15">
        <v>3.53</v>
      </c>
      <c r="E2384" s="15">
        <v>3.53</v>
      </c>
      <c r="F2384" s="15" t="str">
        <f t="shared" si="1"/>
        <v/>
      </c>
      <c r="G2384" s="15">
        <f t="shared" si="2"/>
        <v>3.53</v>
      </c>
      <c r="H2384" s="16">
        <v>1.0</v>
      </c>
      <c r="I2384" s="15">
        <f t="shared" si="3"/>
        <v>2.56</v>
      </c>
      <c r="J2384" s="15">
        <v>48.46</v>
      </c>
      <c r="K2384" s="16">
        <f>IF(COUNTIFS(Release_Calendar!$A$2:$A$755,"US_CPI",Release_Calendar!$B$2:$B$755,$A2384)&gt;0,1,0)</f>
        <v>0</v>
      </c>
      <c r="L2384" s="16">
        <f>IF(COUNTIFS(Release_Calendar!$A$2:$A$755,"US_NFP",Release_Calendar!$B$2:$B$755,$A2384)&gt;0,1,0)</f>
        <v>0</v>
      </c>
      <c r="M2384" s="16" t="str">
        <f>IF($A2384&lt;Notes!$B$5,"",IF(COUNTIFS(Release_Calendar!$A$2:$A$755,"NZ_CPI",Release_Calendar!$B$2:$B$755,$A2384)&gt;0,1,0))</f>
        <v/>
      </c>
      <c r="N2384" s="16" t="str">
        <f>IF($A2384&lt;Notes!$B$5,"",IF(COUNTIFS(Release_Calendar!$A$2:$A$755,"NZ_GDP",Release_Calendar!$B$2:$B$755,$A2384)&gt;0,1,0))</f>
        <v/>
      </c>
      <c r="O2384" s="16" t="str">
        <f>IF($A2384&lt;Notes!$B$5,"",IF(COUNTIFS(Release_Calendar!$A$2:$A$755,"NZ_LABOUR",Release_Calendar!$B$2:$B$755,$A2384)&gt;0,1,0))</f>
        <v/>
      </c>
      <c r="P2384" s="16">
        <f t="shared" si="4"/>
        <v>0</v>
      </c>
    </row>
    <row r="2385" ht="15.75" customHeight="1">
      <c r="A2385" s="14">
        <v>39863.0</v>
      </c>
      <c r="B2385" s="15">
        <v>1.01</v>
      </c>
      <c r="C2385" s="15"/>
      <c r="D2385" s="15">
        <v>3.55</v>
      </c>
      <c r="E2385" s="15">
        <v>3.55</v>
      </c>
      <c r="F2385" s="15" t="str">
        <f t="shared" si="1"/>
        <v/>
      </c>
      <c r="G2385" s="15">
        <f t="shared" si="2"/>
        <v>3.55</v>
      </c>
      <c r="H2385" s="16">
        <v>1.0</v>
      </c>
      <c r="I2385" s="15">
        <f t="shared" si="3"/>
        <v>2.54</v>
      </c>
      <c r="J2385" s="15">
        <v>47.08</v>
      </c>
      <c r="K2385" s="16">
        <f>IF(COUNTIFS(Release_Calendar!$A$2:$A$755,"US_CPI",Release_Calendar!$B$2:$B$755,$A2385)&gt;0,1,0)</f>
        <v>0</v>
      </c>
      <c r="L2385" s="16">
        <f>IF(COUNTIFS(Release_Calendar!$A$2:$A$755,"US_NFP",Release_Calendar!$B$2:$B$755,$A2385)&gt;0,1,0)</f>
        <v>0</v>
      </c>
      <c r="M2385" s="16" t="str">
        <f>IF($A2385&lt;Notes!$B$5,"",IF(COUNTIFS(Release_Calendar!$A$2:$A$755,"NZ_CPI",Release_Calendar!$B$2:$B$755,$A2385)&gt;0,1,0))</f>
        <v/>
      </c>
      <c r="N2385" s="16" t="str">
        <f>IF($A2385&lt;Notes!$B$5,"",IF(COUNTIFS(Release_Calendar!$A$2:$A$755,"NZ_GDP",Release_Calendar!$B$2:$B$755,$A2385)&gt;0,1,0))</f>
        <v/>
      </c>
      <c r="O2385" s="16" t="str">
        <f>IF($A2385&lt;Notes!$B$5,"",IF(COUNTIFS(Release_Calendar!$A$2:$A$755,"NZ_LABOUR",Release_Calendar!$B$2:$B$755,$A2385)&gt;0,1,0))</f>
        <v/>
      </c>
      <c r="P2385" s="16">
        <f t="shared" si="4"/>
        <v>0</v>
      </c>
    </row>
    <row r="2386" ht="15.75" customHeight="1">
      <c r="A2386" s="14">
        <v>39864.0</v>
      </c>
      <c r="B2386" s="15">
        <v>0.96</v>
      </c>
      <c r="C2386" s="15"/>
      <c r="D2386" s="15">
        <v>3.55</v>
      </c>
      <c r="E2386" s="15">
        <v>3.55</v>
      </c>
      <c r="F2386" s="15" t="str">
        <f t="shared" si="1"/>
        <v/>
      </c>
      <c r="G2386" s="15">
        <f t="shared" si="2"/>
        <v>3.55</v>
      </c>
      <c r="H2386" s="16">
        <v>1.0</v>
      </c>
      <c r="I2386" s="15">
        <f t="shared" si="3"/>
        <v>2.59</v>
      </c>
      <c r="J2386" s="15">
        <v>49.3</v>
      </c>
      <c r="K2386" s="16">
        <f>IF(COUNTIFS(Release_Calendar!$A$2:$A$755,"US_CPI",Release_Calendar!$B$2:$B$755,$A2386)&gt;0,1,0)</f>
        <v>1</v>
      </c>
      <c r="L2386" s="16">
        <f>IF(COUNTIFS(Release_Calendar!$A$2:$A$755,"US_NFP",Release_Calendar!$B$2:$B$755,$A2386)&gt;0,1,0)</f>
        <v>0</v>
      </c>
      <c r="M2386" s="16" t="str">
        <f>IF($A2386&lt;Notes!$B$5,"",IF(COUNTIFS(Release_Calendar!$A$2:$A$755,"NZ_CPI",Release_Calendar!$B$2:$B$755,$A2386)&gt;0,1,0))</f>
        <v/>
      </c>
      <c r="N2386" s="16" t="str">
        <f>IF($A2386&lt;Notes!$B$5,"",IF(COUNTIFS(Release_Calendar!$A$2:$A$755,"NZ_GDP",Release_Calendar!$B$2:$B$755,$A2386)&gt;0,1,0))</f>
        <v/>
      </c>
      <c r="O2386" s="16" t="str">
        <f>IF($A2386&lt;Notes!$B$5,"",IF(COUNTIFS(Release_Calendar!$A$2:$A$755,"NZ_LABOUR",Release_Calendar!$B$2:$B$755,$A2386)&gt;0,1,0))</f>
        <v/>
      </c>
      <c r="P2386" s="16">
        <f t="shared" si="4"/>
        <v>1</v>
      </c>
    </row>
    <row r="2387" ht="15.75" customHeight="1">
      <c r="A2387" s="14">
        <v>39867.0</v>
      </c>
      <c r="B2387" s="15">
        <v>0.96</v>
      </c>
      <c r="C2387" s="15"/>
      <c r="D2387" s="15">
        <v>3.52</v>
      </c>
      <c r="E2387" s="15">
        <v>3.54</v>
      </c>
      <c r="F2387" s="15" t="str">
        <f t="shared" si="1"/>
        <v/>
      </c>
      <c r="G2387" s="15">
        <f t="shared" si="2"/>
        <v>3.52</v>
      </c>
      <c r="H2387" s="16">
        <v>1.0</v>
      </c>
      <c r="I2387" s="15">
        <f t="shared" si="3"/>
        <v>2.56</v>
      </c>
      <c r="J2387" s="15">
        <v>52.62</v>
      </c>
      <c r="K2387" s="16">
        <f>IF(COUNTIFS(Release_Calendar!$A$2:$A$755,"US_CPI",Release_Calendar!$B$2:$B$755,$A2387)&gt;0,1,0)</f>
        <v>0</v>
      </c>
      <c r="L2387" s="16">
        <f>IF(COUNTIFS(Release_Calendar!$A$2:$A$755,"US_NFP",Release_Calendar!$B$2:$B$755,$A2387)&gt;0,1,0)</f>
        <v>0</v>
      </c>
      <c r="M2387" s="16" t="str">
        <f>IF($A2387&lt;Notes!$B$5,"",IF(COUNTIFS(Release_Calendar!$A$2:$A$755,"NZ_CPI",Release_Calendar!$B$2:$B$755,$A2387)&gt;0,1,0))</f>
        <v/>
      </c>
      <c r="N2387" s="16" t="str">
        <f>IF($A2387&lt;Notes!$B$5,"",IF(COUNTIFS(Release_Calendar!$A$2:$A$755,"NZ_GDP",Release_Calendar!$B$2:$B$755,$A2387)&gt;0,1,0))</f>
        <v/>
      </c>
      <c r="O2387" s="16" t="str">
        <f>IF($A2387&lt;Notes!$B$5,"",IF(COUNTIFS(Release_Calendar!$A$2:$A$755,"NZ_LABOUR",Release_Calendar!$B$2:$B$755,$A2387)&gt;0,1,0))</f>
        <v/>
      </c>
      <c r="P2387" s="16">
        <f t="shared" si="4"/>
        <v>0</v>
      </c>
    </row>
    <row r="2388" ht="15.75" customHeight="1">
      <c r="A2388" s="14">
        <v>39868.0</v>
      </c>
      <c r="B2388" s="15">
        <v>1.03</v>
      </c>
      <c r="C2388" s="15"/>
      <c r="D2388" s="15">
        <v>3.54</v>
      </c>
      <c r="E2388" s="15">
        <v>3.5</v>
      </c>
      <c r="F2388" s="15" t="str">
        <f t="shared" si="1"/>
        <v/>
      </c>
      <c r="G2388" s="15">
        <f t="shared" si="2"/>
        <v>3.54</v>
      </c>
      <c r="H2388" s="16">
        <v>1.0</v>
      </c>
      <c r="I2388" s="15">
        <f t="shared" si="3"/>
        <v>2.51</v>
      </c>
      <c r="J2388" s="15">
        <v>45.49</v>
      </c>
      <c r="K2388" s="16">
        <f>IF(COUNTIFS(Release_Calendar!$A$2:$A$755,"US_CPI",Release_Calendar!$B$2:$B$755,$A2388)&gt;0,1,0)</f>
        <v>0</v>
      </c>
      <c r="L2388" s="16">
        <f>IF(COUNTIFS(Release_Calendar!$A$2:$A$755,"US_NFP",Release_Calendar!$B$2:$B$755,$A2388)&gt;0,1,0)</f>
        <v>0</v>
      </c>
      <c r="M2388" s="16" t="str">
        <f>IF($A2388&lt;Notes!$B$5,"",IF(COUNTIFS(Release_Calendar!$A$2:$A$755,"NZ_CPI",Release_Calendar!$B$2:$B$755,$A2388)&gt;0,1,0))</f>
        <v/>
      </c>
      <c r="N2388" s="16" t="str">
        <f>IF($A2388&lt;Notes!$B$5,"",IF(COUNTIFS(Release_Calendar!$A$2:$A$755,"NZ_GDP",Release_Calendar!$B$2:$B$755,$A2388)&gt;0,1,0))</f>
        <v/>
      </c>
      <c r="O2388" s="16" t="str">
        <f>IF($A2388&lt;Notes!$B$5,"",IF(COUNTIFS(Release_Calendar!$A$2:$A$755,"NZ_LABOUR",Release_Calendar!$B$2:$B$755,$A2388)&gt;0,1,0))</f>
        <v/>
      </c>
      <c r="P2388" s="16">
        <f t="shared" si="4"/>
        <v>0</v>
      </c>
    </row>
    <row r="2389" ht="15.75" customHeight="1">
      <c r="A2389" s="14">
        <v>39869.0</v>
      </c>
      <c r="B2389" s="15">
        <v>1.09</v>
      </c>
      <c r="C2389" s="15"/>
      <c r="D2389" s="15">
        <v>3.52</v>
      </c>
      <c r="E2389" s="15">
        <v>3.53</v>
      </c>
      <c r="F2389" s="15" t="str">
        <f t="shared" si="1"/>
        <v/>
      </c>
      <c r="G2389" s="15">
        <f t="shared" si="2"/>
        <v>3.52</v>
      </c>
      <c r="H2389" s="16">
        <v>1.0</v>
      </c>
      <c r="I2389" s="15">
        <f t="shared" si="3"/>
        <v>2.43</v>
      </c>
      <c r="J2389" s="15">
        <v>44.67</v>
      </c>
      <c r="K2389" s="16">
        <f>IF(COUNTIFS(Release_Calendar!$A$2:$A$755,"US_CPI",Release_Calendar!$B$2:$B$755,$A2389)&gt;0,1,0)</f>
        <v>0</v>
      </c>
      <c r="L2389" s="16">
        <f>IF(COUNTIFS(Release_Calendar!$A$2:$A$755,"US_NFP",Release_Calendar!$B$2:$B$755,$A2389)&gt;0,1,0)</f>
        <v>0</v>
      </c>
      <c r="M2389" s="16" t="str">
        <f>IF($A2389&lt;Notes!$B$5,"",IF(COUNTIFS(Release_Calendar!$A$2:$A$755,"NZ_CPI",Release_Calendar!$B$2:$B$755,$A2389)&gt;0,1,0))</f>
        <v/>
      </c>
      <c r="N2389" s="16" t="str">
        <f>IF($A2389&lt;Notes!$B$5,"",IF(COUNTIFS(Release_Calendar!$A$2:$A$755,"NZ_GDP",Release_Calendar!$B$2:$B$755,$A2389)&gt;0,1,0))</f>
        <v/>
      </c>
      <c r="O2389" s="16" t="str">
        <f>IF($A2389&lt;Notes!$B$5,"",IF(COUNTIFS(Release_Calendar!$A$2:$A$755,"NZ_LABOUR",Release_Calendar!$B$2:$B$755,$A2389)&gt;0,1,0))</f>
        <v/>
      </c>
      <c r="P2389" s="16">
        <f t="shared" si="4"/>
        <v>0</v>
      </c>
    </row>
    <row r="2390" ht="15.75" customHeight="1">
      <c r="A2390" s="14">
        <v>39870.0</v>
      </c>
      <c r="B2390" s="15">
        <v>1.08</v>
      </c>
      <c r="C2390" s="15"/>
      <c r="D2390" s="15">
        <v>3.55</v>
      </c>
      <c r="E2390" s="15">
        <v>3.49</v>
      </c>
      <c r="F2390" s="15" t="str">
        <f t="shared" si="1"/>
        <v/>
      </c>
      <c r="G2390" s="15">
        <f t="shared" si="2"/>
        <v>3.55</v>
      </c>
      <c r="H2390" s="16">
        <v>1.0</v>
      </c>
      <c r="I2390" s="15">
        <f t="shared" si="3"/>
        <v>2.47</v>
      </c>
      <c r="J2390" s="15">
        <v>44.66</v>
      </c>
      <c r="K2390" s="16">
        <f>IF(COUNTIFS(Release_Calendar!$A$2:$A$755,"US_CPI",Release_Calendar!$B$2:$B$755,$A2390)&gt;0,1,0)</f>
        <v>0</v>
      </c>
      <c r="L2390" s="16">
        <f>IF(COUNTIFS(Release_Calendar!$A$2:$A$755,"US_NFP",Release_Calendar!$B$2:$B$755,$A2390)&gt;0,1,0)</f>
        <v>0</v>
      </c>
      <c r="M2390" s="16" t="str">
        <f>IF($A2390&lt;Notes!$B$5,"",IF(COUNTIFS(Release_Calendar!$A$2:$A$755,"NZ_CPI",Release_Calendar!$B$2:$B$755,$A2390)&gt;0,1,0))</f>
        <v/>
      </c>
      <c r="N2390" s="16" t="str">
        <f>IF($A2390&lt;Notes!$B$5,"",IF(COUNTIFS(Release_Calendar!$A$2:$A$755,"NZ_GDP",Release_Calendar!$B$2:$B$755,$A2390)&gt;0,1,0))</f>
        <v/>
      </c>
      <c r="O2390" s="16" t="str">
        <f>IF($A2390&lt;Notes!$B$5,"",IF(COUNTIFS(Release_Calendar!$A$2:$A$755,"NZ_LABOUR",Release_Calendar!$B$2:$B$755,$A2390)&gt;0,1,0))</f>
        <v/>
      </c>
      <c r="P2390" s="16">
        <f t="shared" si="4"/>
        <v>0</v>
      </c>
    </row>
    <row r="2391" ht="15.75" customHeight="1">
      <c r="A2391" s="14">
        <v>39871.0</v>
      </c>
      <c r="B2391" s="15">
        <v>1.0</v>
      </c>
      <c r="C2391" s="15"/>
      <c r="D2391" s="15">
        <v>3.5</v>
      </c>
      <c r="E2391" s="15">
        <v>3.49</v>
      </c>
      <c r="F2391" s="15" t="str">
        <f t="shared" si="1"/>
        <v/>
      </c>
      <c r="G2391" s="15">
        <f t="shared" si="2"/>
        <v>3.5</v>
      </c>
      <c r="H2391" s="16">
        <v>1.0</v>
      </c>
      <c r="I2391" s="15">
        <f t="shared" si="3"/>
        <v>2.5</v>
      </c>
      <c r="J2391" s="15">
        <v>46.35</v>
      </c>
      <c r="K2391" s="16">
        <f>IF(COUNTIFS(Release_Calendar!$A$2:$A$755,"US_CPI",Release_Calendar!$B$2:$B$755,$A2391)&gt;0,1,0)</f>
        <v>0</v>
      </c>
      <c r="L2391" s="16">
        <f>IF(COUNTIFS(Release_Calendar!$A$2:$A$755,"US_NFP",Release_Calendar!$B$2:$B$755,$A2391)&gt;0,1,0)</f>
        <v>0</v>
      </c>
      <c r="M2391" s="16" t="str">
        <f>IF($A2391&lt;Notes!$B$5,"",IF(COUNTIFS(Release_Calendar!$A$2:$A$755,"NZ_CPI",Release_Calendar!$B$2:$B$755,$A2391)&gt;0,1,0))</f>
        <v/>
      </c>
      <c r="N2391" s="16" t="str">
        <f>IF($A2391&lt;Notes!$B$5,"",IF(COUNTIFS(Release_Calendar!$A$2:$A$755,"NZ_GDP",Release_Calendar!$B$2:$B$755,$A2391)&gt;0,1,0))</f>
        <v/>
      </c>
      <c r="O2391" s="16" t="str">
        <f>IF($A2391&lt;Notes!$B$5,"",IF(COUNTIFS(Release_Calendar!$A$2:$A$755,"NZ_LABOUR",Release_Calendar!$B$2:$B$755,$A2391)&gt;0,1,0))</f>
        <v/>
      </c>
      <c r="P2391" s="16">
        <f t="shared" si="4"/>
        <v>0</v>
      </c>
    </row>
    <row r="2392" ht="15.75" customHeight="1">
      <c r="A2392" s="14">
        <v>39874.0</v>
      </c>
      <c r="B2392" s="15">
        <v>0.89</v>
      </c>
      <c r="C2392" s="15"/>
      <c r="D2392" s="15">
        <v>3.53</v>
      </c>
      <c r="E2392" s="15">
        <v>3.45</v>
      </c>
      <c r="F2392" s="15" t="str">
        <f t="shared" si="1"/>
        <v/>
      </c>
      <c r="G2392" s="15">
        <f t="shared" si="2"/>
        <v>3.53</v>
      </c>
      <c r="H2392" s="16">
        <v>1.0</v>
      </c>
      <c r="I2392" s="15">
        <f t="shared" si="3"/>
        <v>2.64</v>
      </c>
      <c r="J2392" s="15">
        <v>52.65</v>
      </c>
      <c r="K2392" s="16">
        <f>IF(COUNTIFS(Release_Calendar!$A$2:$A$755,"US_CPI",Release_Calendar!$B$2:$B$755,$A2392)&gt;0,1,0)</f>
        <v>0</v>
      </c>
      <c r="L2392" s="16">
        <f>IF(COUNTIFS(Release_Calendar!$A$2:$A$755,"US_NFP",Release_Calendar!$B$2:$B$755,$A2392)&gt;0,1,0)</f>
        <v>0</v>
      </c>
      <c r="M2392" s="16" t="str">
        <f>IF($A2392&lt;Notes!$B$5,"",IF(COUNTIFS(Release_Calendar!$A$2:$A$755,"NZ_CPI",Release_Calendar!$B$2:$B$755,$A2392)&gt;0,1,0))</f>
        <v/>
      </c>
      <c r="N2392" s="16" t="str">
        <f>IF($A2392&lt;Notes!$B$5,"",IF(COUNTIFS(Release_Calendar!$A$2:$A$755,"NZ_GDP",Release_Calendar!$B$2:$B$755,$A2392)&gt;0,1,0))</f>
        <v/>
      </c>
      <c r="O2392" s="16" t="str">
        <f>IF($A2392&lt;Notes!$B$5,"",IF(COUNTIFS(Release_Calendar!$A$2:$A$755,"NZ_LABOUR",Release_Calendar!$B$2:$B$755,$A2392)&gt;0,1,0))</f>
        <v/>
      </c>
      <c r="P2392" s="16">
        <f t="shared" si="4"/>
        <v>0</v>
      </c>
    </row>
    <row r="2393" ht="15.75" customHeight="1">
      <c r="A2393" s="14">
        <v>39875.0</v>
      </c>
      <c r="B2393" s="15">
        <v>0.91</v>
      </c>
      <c r="C2393" s="15"/>
      <c r="D2393" s="15">
        <v>3.41</v>
      </c>
      <c r="E2393" s="15">
        <v>3.4</v>
      </c>
      <c r="F2393" s="15" t="str">
        <f t="shared" si="1"/>
        <v/>
      </c>
      <c r="G2393" s="15">
        <f t="shared" si="2"/>
        <v>3.41</v>
      </c>
      <c r="H2393" s="16">
        <v>1.0</v>
      </c>
      <c r="I2393" s="15">
        <f t="shared" si="3"/>
        <v>2.5</v>
      </c>
      <c r="J2393" s="15">
        <v>50.93</v>
      </c>
      <c r="K2393" s="16">
        <f>IF(COUNTIFS(Release_Calendar!$A$2:$A$755,"US_CPI",Release_Calendar!$B$2:$B$755,$A2393)&gt;0,1,0)</f>
        <v>0</v>
      </c>
      <c r="L2393" s="16">
        <f>IF(COUNTIFS(Release_Calendar!$A$2:$A$755,"US_NFP",Release_Calendar!$B$2:$B$755,$A2393)&gt;0,1,0)</f>
        <v>0</v>
      </c>
      <c r="M2393" s="16" t="str">
        <f>IF($A2393&lt;Notes!$B$5,"",IF(COUNTIFS(Release_Calendar!$A$2:$A$755,"NZ_CPI",Release_Calendar!$B$2:$B$755,$A2393)&gt;0,1,0))</f>
        <v/>
      </c>
      <c r="N2393" s="16" t="str">
        <f>IF($A2393&lt;Notes!$B$5,"",IF(COUNTIFS(Release_Calendar!$A$2:$A$755,"NZ_GDP",Release_Calendar!$B$2:$B$755,$A2393)&gt;0,1,0))</f>
        <v/>
      </c>
      <c r="O2393" s="16" t="str">
        <f>IF($A2393&lt;Notes!$B$5,"",IF(COUNTIFS(Release_Calendar!$A$2:$A$755,"NZ_LABOUR",Release_Calendar!$B$2:$B$755,$A2393)&gt;0,1,0))</f>
        <v/>
      </c>
      <c r="P2393" s="16">
        <f t="shared" si="4"/>
        <v>0</v>
      </c>
    </row>
    <row r="2394" ht="15.75" customHeight="1">
      <c r="A2394" s="14">
        <v>39876.0</v>
      </c>
      <c r="B2394" s="15">
        <v>0.97</v>
      </c>
      <c r="C2394" s="15"/>
      <c r="D2394" s="15">
        <v>3.42</v>
      </c>
      <c r="E2394" s="15">
        <v>3.41</v>
      </c>
      <c r="F2394" s="15" t="str">
        <f t="shared" si="1"/>
        <v/>
      </c>
      <c r="G2394" s="15">
        <f t="shared" si="2"/>
        <v>3.42</v>
      </c>
      <c r="H2394" s="16">
        <v>1.0</v>
      </c>
      <c r="I2394" s="15">
        <f t="shared" si="3"/>
        <v>2.45</v>
      </c>
      <c r="J2394" s="15">
        <v>47.56</v>
      </c>
      <c r="K2394" s="16">
        <f>IF(COUNTIFS(Release_Calendar!$A$2:$A$755,"US_CPI",Release_Calendar!$B$2:$B$755,$A2394)&gt;0,1,0)</f>
        <v>0</v>
      </c>
      <c r="L2394" s="16">
        <f>IF(COUNTIFS(Release_Calendar!$A$2:$A$755,"US_NFP",Release_Calendar!$B$2:$B$755,$A2394)&gt;0,1,0)</f>
        <v>0</v>
      </c>
      <c r="M2394" s="16" t="str">
        <f>IF($A2394&lt;Notes!$B$5,"",IF(COUNTIFS(Release_Calendar!$A$2:$A$755,"NZ_CPI",Release_Calendar!$B$2:$B$755,$A2394)&gt;0,1,0))</f>
        <v/>
      </c>
      <c r="N2394" s="16" t="str">
        <f>IF($A2394&lt;Notes!$B$5,"",IF(COUNTIFS(Release_Calendar!$A$2:$A$755,"NZ_GDP",Release_Calendar!$B$2:$B$755,$A2394)&gt;0,1,0))</f>
        <v/>
      </c>
      <c r="O2394" s="16" t="str">
        <f>IF($A2394&lt;Notes!$B$5,"",IF(COUNTIFS(Release_Calendar!$A$2:$A$755,"NZ_LABOUR",Release_Calendar!$B$2:$B$755,$A2394)&gt;0,1,0))</f>
        <v/>
      </c>
      <c r="P2394" s="16">
        <f t="shared" si="4"/>
        <v>0</v>
      </c>
    </row>
    <row r="2395" ht="15.75" customHeight="1">
      <c r="A2395" s="14">
        <v>39877.0</v>
      </c>
      <c r="B2395" s="15">
        <v>0.9</v>
      </c>
      <c r="C2395" s="15"/>
      <c r="D2395" s="15">
        <v>3.45</v>
      </c>
      <c r="E2395" s="15">
        <v>3.42</v>
      </c>
      <c r="F2395" s="15" t="str">
        <f t="shared" si="1"/>
        <v/>
      </c>
      <c r="G2395" s="15">
        <f t="shared" si="2"/>
        <v>3.45</v>
      </c>
      <c r="H2395" s="16">
        <v>1.0</v>
      </c>
      <c r="I2395" s="15">
        <f t="shared" si="3"/>
        <v>2.55</v>
      </c>
      <c r="J2395" s="15">
        <v>50.17</v>
      </c>
      <c r="K2395" s="16">
        <f>IF(COUNTIFS(Release_Calendar!$A$2:$A$755,"US_CPI",Release_Calendar!$B$2:$B$755,$A2395)&gt;0,1,0)</f>
        <v>0</v>
      </c>
      <c r="L2395" s="16">
        <f>IF(COUNTIFS(Release_Calendar!$A$2:$A$755,"US_NFP",Release_Calendar!$B$2:$B$755,$A2395)&gt;0,1,0)</f>
        <v>0</v>
      </c>
      <c r="M2395" s="16" t="str">
        <f>IF($A2395&lt;Notes!$B$5,"",IF(COUNTIFS(Release_Calendar!$A$2:$A$755,"NZ_CPI",Release_Calendar!$B$2:$B$755,$A2395)&gt;0,1,0))</f>
        <v/>
      </c>
      <c r="N2395" s="16" t="str">
        <f>IF($A2395&lt;Notes!$B$5,"",IF(COUNTIFS(Release_Calendar!$A$2:$A$755,"NZ_GDP",Release_Calendar!$B$2:$B$755,$A2395)&gt;0,1,0))</f>
        <v/>
      </c>
      <c r="O2395" s="16" t="str">
        <f>IF($A2395&lt;Notes!$B$5,"",IF(COUNTIFS(Release_Calendar!$A$2:$A$755,"NZ_LABOUR",Release_Calendar!$B$2:$B$755,$A2395)&gt;0,1,0))</f>
        <v/>
      </c>
      <c r="P2395" s="16">
        <f t="shared" si="4"/>
        <v>0</v>
      </c>
    </row>
    <row r="2396" ht="15.75" customHeight="1">
      <c r="A2396" s="14">
        <v>39878.0</v>
      </c>
      <c r="B2396" s="15">
        <v>0.91</v>
      </c>
      <c r="C2396" s="15"/>
      <c r="D2396" s="15">
        <v>3.37</v>
      </c>
      <c r="E2396" s="15">
        <v>3.36</v>
      </c>
      <c r="F2396" s="15" t="str">
        <f t="shared" si="1"/>
        <v/>
      </c>
      <c r="G2396" s="15">
        <f t="shared" si="2"/>
        <v>3.37</v>
      </c>
      <c r="H2396" s="16">
        <v>1.0</v>
      </c>
      <c r="I2396" s="15">
        <f t="shared" si="3"/>
        <v>2.46</v>
      </c>
      <c r="J2396" s="15">
        <v>49.33</v>
      </c>
      <c r="K2396" s="16">
        <f>IF(COUNTIFS(Release_Calendar!$A$2:$A$755,"US_CPI",Release_Calendar!$B$2:$B$755,$A2396)&gt;0,1,0)</f>
        <v>0</v>
      </c>
      <c r="L2396" s="16">
        <f>IF(COUNTIFS(Release_Calendar!$A$2:$A$755,"US_NFP",Release_Calendar!$B$2:$B$755,$A2396)&gt;0,1,0)</f>
        <v>1</v>
      </c>
      <c r="M2396" s="16" t="str">
        <f>IF($A2396&lt;Notes!$B$5,"",IF(COUNTIFS(Release_Calendar!$A$2:$A$755,"NZ_CPI",Release_Calendar!$B$2:$B$755,$A2396)&gt;0,1,0))</f>
        <v/>
      </c>
      <c r="N2396" s="16" t="str">
        <f>IF($A2396&lt;Notes!$B$5,"",IF(COUNTIFS(Release_Calendar!$A$2:$A$755,"NZ_GDP",Release_Calendar!$B$2:$B$755,$A2396)&gt;0,1,0))</f>
        <v/>
      </c>
      <c r="O2396" s="16" t="str">
        <f>IF($A2396&lt;Notes!$B$5,"",IF(COUNTIFS(Release_Calendar!$A$2:$A$755,"NZ_LABOUR",Release_Calendar!$B$2:$B$755,$A2396)&gt;0,1,0))</f>
        <v/>
      </c>
      <c r="P2396" s="16">
        <f t="shared" si="4"/>
        <v>1</v>
      </c>
    </row>
    <row r="2397" ht="15.75" customHeight="1">
      <c r="A2397" s="14">
        <v>39881.0</v>
      </c>
      <c r="B2397" s="15">
        <v>0.96</v>
      </c>
      <c r="C2397" s="15"/>
      <c r="D2397" s="15">
        <v>3.34</v>
      </c>
      <c r="E2397" s="15">
        <v>3.3</v>
      </c>
      <c r="F2397" s="15" t="str">
        <f t="shared" si="1"/>
        <v/>
      </c>
      <c r="G2397" s="15">
        <f t="shared" si="2"/>
        <v>3.34</v>
      </c>
      <c r="H2397" s="16">
        <v>1.0</v>
      </c>
      <c r="I2397" s="15">
        <f t="shared" si="3"/>
        <v>2.38</v>
      </c>
      <c r="J2397" s="15">
        <v>49.68</v>
      </c>
      <c r="K2397" s="16">
        <f>IF(COUNTIFS(Release_Calendar!$A$2:$A$755,"US_CPI",Release_Calendar!$B$2:$B$755,$A2397)&gt;0,1,0)</f>
        <v>0</v>
      </c>
      <c r="L2397" s="16">
        <f>IF(COUNTIFS(Release_Calendar!$A$2:$A$755,"US_NFP",Release_Calendar!$B$2:$B$755,$A2397)&gt;0,1,0)</f>
        <v>0</v>
      </c>
      <c r="M2397" s="16" t="str">
        <f>IF($A2397&lt;Notes!$B$5,"",IF(COUNTIFS(Release_Calendar!$A$2:$A$755,"NZ_CPI",Release_Calendar!$B$2:$B$755,$A2397)&gt;0,1,0))</f>
        <v/>
      </c>
      <c r="N2397" s="16" t="str">
        <f>IF($A2397&lt;Notes!$B$5,"",IF(COUNTIFS(Release_Calendar!$A$2:$A$755,"NZ_GDP",Release_Calendar!$B$2:$B$755,$A2397)&gt;0,1,0))</f>
        <v/>
      </c>
      <c r="O2397" s="16" t="str">
        <f>IF($A2397&lt;Notes!$B$5,"",IF(COUNTIFS(Release_Calendar!$A$2:$A$755,"NZ_LABOUR",Release_Calendar!$B$2:$B$755,$A2397)&gt;0,1,0))</f>
        <v/>
      </c>
      <c r="P2397" s="16">
        <f t="shared" si="4"/>
        <v>0</v>
      </c>
    </row>
    <row r="2398" ht="15.75" customHeight="1">
      <c r="A2398" s="14">
        <v>39882.0</v>
      </c>
      <c r="B2398" s="15">
        <v>1.01</v>
      </c>
      <c r="C2398" s="15"/>
      <c r="D2398" s="15">
        <v>3.31</v>
      </c>
      <c r="E2398" s="15">
        <v>3.32</v>
      </c>
      <c r="F2398" s="15" t="str">
        <f t="shared" si="1"/>
        <v/>
      </c>
      <c r="G2398" s="15">
        <f t="shared" si="2"/>
        <v>3.31</v>
      </c>
      <c r="H2398" s="16">
        <v>1.0</v>
      </c>
      <c r="I2398" s="15">
        <f t="shared" si="3"/>
        <v>2.3</v>
      </c>
      <c r="J2398" s="15">
        <v>44.37</v>
      </c>
      <c r="K2398" s="16">
        <f>IF(COUNTIFS(Release_Calendar!$A$2:$A$755,"US_CPI",Release_Calendar!$B$2:$B$755,$A2398)&gt;0,1,0)</f>
        <v>0</v>
      </c>
      <c r="L2398" s="16">
        <f>IF(COUNTIFS(Release_Calendar!$A$2:$A$755,"US_NFP",Release_Calendar!$B$2:$B$755,$A2398)&gt;0,1,0)</f>
        <v>0</v>
      </c>
      <c r="M2398" s="16" t="str">
        <f>IF($A2398&lt;Notes!$B$5,"",IF(COUNTIFS(Release_Calendar!$A$2:$A$755,"NZ_CPI",Release_Calendar!$B$2:$B$755,$A2398)&gt;0,1,0))</f>
        <v/>
      </c>
      <c r="N2398" s="16" t="str">
        <f>IF($A2398&lt;Notes!$B$5,"",IF(COUNTIFS(Release_Calendar!$A$2:$A$755,"NZ_GDP",Release_Calendar!$B$2:$B$755,$A2398)&gt;0,1,0))</f>
        <v/>
      </c>
      <c r="O2398" s="16" t="str">
        <f>IF($A2398&lt;Notes!$B$5,"",IF(COUNTIFS(Release_Calendar!$A$2:$A$755,"NZ_LABOUR",Release_Calendar!$B$2:$B$755,$A2398)&gt;0,1,0))</f>
        <v/>
      </c>
      <c r="P2398" s="16">
        <f t="shared" si="4"/>
        <v>0</v>
      </c>
    </row>
    <row r="2399" ht="15.75" customHeight="1">
      <c r="A2399" s="14">
        <v>39883.0</v>
      </c>
      <c r="B2399" s="15">
        <v>1.03</v>
      </c>
      <c r="C2399" s="15"/>
      <c r="D2399" s="15">
        <v>3.37</v>
      </c>
      <c r="E2399" s="15">
        <v>3.39</v>
      </c>
      <c r="F2399" s="15" t="str">
        <f t="shared" si="1"/>
        <v/>
      </c>
      <c r="G2399" s="15">
        <f t="shared" si="2"/>
        <v>3.37</v>
      </c>
      <c r="H2399" s="16">
        <v>1.0</v>
      </c>
      <c r="I2399" s="15">
        <f t="shared" si="3"/>
        <v>2.34</v>
      </c>
      <c r="J2399" s="15">
        <v>43.61</v>
      </c>
      <c r="K2399" s="16">
        <f>IF(COUNTIFS(Release_Calendar!$A$2:$A$755,"US_CPI",Release_Calendar!$B$2:$B$755,$A2399)&gt;0,1,0)</f>
        <v>0</v>
      </c>
      <c r="L2399" s="16">
        <f>IF(COUNTIFS(Release_Calendar!$A$2:$A$755,"US_NFP",Release_Calendar!$B$2:$B$755,$A2399)&gt;0,1,0)</f>
        <v>0</v>
      </c>
      <c r="M2399" s="16" t="str">
        <f>IF($A2399&lt;Notes!$B$5,"",IF(COUNTIFS(Release_Calendar!$A$2:$A$755,"NZ_CPI",Release_Calendar!$B$2:$B$755,$A2399)&gt;0,1,0))</f>
        <v/>
      </c>
      <c r="N2399" s="16" t="str">
        <f>IF($A2399&lt;Notes!$B$5,"",IF(COUNTIFS(Release_Calendar!$A$2:$A$755,"NZ_GDP",Release_Calendar!$B$2:$B$755,$A2399)&gt;0,1,0))</f>
        <v/>
      </c>
      <c r="O2399" s="16" t="str">
        <f>IF($A2399&lt;Notes!$B$5,"",IF(COUNTIFS(Release_Calendar!$A$2:$A$755,"NZ_LABOUR",Release_Calendar!$B$2:$B$755,$A2399)&gt;0,1,0))</f>
        <v/>
      </c>
      <c r="P2399" s="16">
        <f t="shared" si="4"/>
        <v>0</v>
      </c>
    </row>
    <row r="2400" ht="15.75" customHeight="1">
      <c r="A2400" s="14">
        <v>39884.0</v>
      </c>
      <c r="B2400" s="15">
        <v>1.03</v>
      </c>
      <c r="C2400" s="15"/>
      <c r="D2400" s="15">
        <v>3.47</v>
      </c>
      <c r="E2400" s="15">
        <v>3.44</v>
      </c>
      <c r="F2400" s="15" t="str">
        <f t="shared" si="1"/>
        <v/>
      </c>
      <c r="G2400" s="15">
        <f t="shared" si="2"/>
        <v>3.47</v>
      </c>
      <c r="H2400" s="16">
        <v>1.0</v>
      </c>
      <c r="I2400" s="15">
        <f t="shared" si="3"/>
        <v>2.44</v>
      </c>
      <c r="J2400" s="15">
        <v>41.18</v>
      </c>
      <c r="K2400" s="16">
        <f>IF(COUNTIFS(Release_Calendar!$A$2:$A$755,"US_CPI",Release_Calendar!$B$2:$B$755,$A2400)&gt;0,1,0)</f>
        <v>0</v>
      </c>
      <c r="L2400" s="16">
        <f>IF(COUNTIFS(Release_Calendar!$A$2:$A$755,"US_NFP",Release_Calendar!$B$2:$B$755,$A2400)&gt;0,1,0)</f>
        <v>0</v>
      </c>
      <c r="M2400" s="16" t="str">
        <f>IF($A2400&lt;Notes!$B$5,"",IF(COUNTIFS(Release_Calendar!$A$2:$A$755,"NZ_CPI",Release_Calendar!$B$2:$B$755,$A2400)&gt;0,1,0))</f>
        <v/>
      </c>
      <c r="N2400" s="16" t="str">
        <f>IF($A2400&lt;Notes!$B$5,"",IF(COUNTIFS(Release_Calendar!$A$2:$A$755,"NZ_GDP",Release_Calendar!$B$2:$B$755,$A2400)&gt;0,1,0))</f>
        <v/>
      </c>
      <c r="O2400" s="16" t="str">
        <f>IF($A2400&lt;Notes!$B$5,"",IF(COUNTIFS(Release_Calendar!$A$2:$A$755,"NZ_LABOUR",Release_Calendar!$B$2:$B$755,$A2400)&gt;0,1,0))</f>
        <v/>
      </c>
      <c r="P2400" s="16">
        <f t="shared" si="4"/>
        <v>0</v>
      </c>
    </row>
    <row r="2401" ht="15.75" customHeight="1">
      <c r="A2401" s="14">
        <v>39885.0</v>
      </c>
      <c r="B2401" s="15">
        <v>0.98</v>
      </c>
      <c r="C2401" s="15"/>
      <c r="D2401" s="15">
        <v>3.47</v>
      </c>
      <c r="E2401" s="15">
        <v>3.45</v>
      </c>
      <c r="F2401" s="15" t="str">
        <f t="shared" si="1"/>
        <v/>
      </c>
      <c r="G2401" s="15">
        <f t="shared" si="2"/>
        <v>3.47</v>
      </c>
      <c r="H2401" s="16">
        <v>1.0</v>
      </c>
      <c r="I2401" s="15">
        <f t="shared" si="3"/>
        <v>2.49</v>
      </c>
      <c r="J2401" s="15">
        <v>42.36</v>
      </c>
      <c r="K2401" s="16">
        <f>IF(COUNTIFS(Release_Calendar!$A$2:$A$755,"US_CPI",Release_Calendar!$B$2:$B$755,$A2401)&gt;0,1,0)</f>
        <v>0</v>
      </c>
      <c r="L2401" s="16">
        <f>IF(COUNTIFS(Release_Calendar!$A$2:$A$755,"US_NFP",Release_Calendar!$B$2:$B$755,$A2401)&gt;0,1,0)</f>
        <v>0</v>
      </c>
      <c r="M2401" s="16" t="str">
        <f>IF($A2401&lt;Notes!$B$5,"",IF(COUNTIFS(Release_Calendar!$A$2:$A$755,"NZ_CPI",Release_Calendar!$B$2:$B$755,$A2401)&gt;0,1,0))</f>
        <v/>
      </c>
      <c r="N2401" s="16" t="str">
        <f>IF($A2401&lt;Notes!$B$5,"",IF(COUNTIFS(Release_Calendar!$A$2:$A$755,"NZ_GDP",Release_Calendar!$B$2:$B$755,$A2401)&gt;0,1,0))</f>
        <v/>
      </c>
      <c r="O2401" s="16" t="str">
        <f>IF($A2401&lt;Notes!$B$5,"",IF(COUNTIFS(Release_Calendar!$A$2:$A$755,"NZ_LABOUR",Release_Calendar!$B$2:$B$755,$A2401)&gt;0,1,0))</f>
        <v/>
      </c>
      <c r="P2401" s="16">
        <f t="shared" si="4"/>
        <v>0</v>
      </c>
    </row>
    <row r="2402" ht="15.75" customHeight="1">
      <c r="A2402" s="14">
        <v>39888.0</v>
      </c>
      <c r="B2402" s="15">
        <v>1.0</v>
      </c>
      <c r="C2402" s="15"/>
      <c r="D2402" s="15">
        <v>3.45</v>
      </c>
      <c r="E2402" s="15">
        <v>3.48</v>
      </c>
      <c r="F2402" s="15" t="str">
        <f t="shared" si="1"/>
        <v/>
      </c>
      <c r="G2402" s="15">
        <f t="shared" si="2"/>
        <v>3.45</v>
      </c>
      <c r="H2402" s="16">
        <v>1.0</v>
      </c>
      <c r="I2402" s="15">
        <f t="shared" si="3"/>
        <v>2.45</v>
      </c>
      <c r="J2402" s="15">
        <v>43.74</v>
      </c>
      <c r="K2402" s="16">
        <f>IF(COUNTIFS(Release_Calendar!$A$2:$A$755,"US_CPI",Release_Calendar!$B$2:$B$755,$A2402)&gt;0,1,0)</f>
        <v>0</v>
      </c>
      <c r="L2402" s="16">
        <f>IF(COUNTIFS(Release_Calendar!$A$2:$A$755,"US_NFP",Release_Calendar!$B$2:$B$755,$A2402)&gt;0,1,0)</f>
        <v>0</v>
      </c>
      <c r="M2402" s="16" t="str">
        <f>IF($A2402&lt;Notes!$B$5,"",IF(COUNTIFS(Release_Calendar!$A$2:$A$755,"NZ_CPI",Release_Calendar!$B$2:$B$755,$A2402)&gt;0,1,0))</f>
        <v/>
      </c>
      <c r="N2402" s="16" t="str">
        <f>IF($A2402&lt;Notes!$B$5,"",IF(COUNTIFS(Release_Calendar!$A$2:$A$755,"NZ_GDP",Release_Calendar!$B$2:$B$755,$A2402)&gt;0,1,0))</f>
        <v/>
      </c>
      <c r="O2402" s="16" t="str">
        <f>IF($A2402&lt;Notes!$B$5,"",IF(COUNTIFS(Release_Calendar!$A$2:$A$755,"NZ_LABOUR",Release_Calendar!$B$2:$B$755,$A2402)&gt;0,1,0))</f>
        <v/>
      </c>
      <c r="P2402" s="16">
        <f t="shared" si="4"/>
        <v>0</v>
      </c>
    </row>
    <row r="2403" ht="15.75" customHeight="1">
      <c r="A2403" s="14">
        <v>39889.0</v>
      </c>
      <c r="B2403" s="15">
        <v>1.05</v>
      </c>
      <c r="C2403" s="15"/>
      <c r="D2403" s="15">
        <v>3.5</v>
      </c>
      <c r="E2403" s="15">
        <v>3.51</v>
      </c>
      <c r="F2403" s="15" t="str">
        <f t="shared" si="1"/>
        <v/>
      </c>
      <c r="G2403" s="15">
        <f t="shared" si="2"/>
        <v>3.5</v>
      </c>
      <c r="H2403" s="16">
        <v>1.0</v>
      </c>
      <c r="I2403" s="15">
        <f t="shared" si="3"/>
        <v>2.45</v>
      </c>
      <c r="J2403" s="15">
        <v>40.8</v>
      </c>
      <c r="K2403" s="16">
        <f>IF(COUNTIFS(Release_Calendar!$A$2:$A$755,"US_CPI",Release_Calendar!$B$2:$B$755,$A2403)&gt;0,1,0)</f>
        <v>0</v>
      </c>
      <c r="L2403" s="16">
        <f>IF(COUNTIFS(Release_Calendar!$A$2:$A$755,"US_NFP",Release_Calendar!$B$2:$B$755,$A2403)&gt;0,1,0)</f>
        <v>0</v>
      </c>
      <c r="M2403" s="16" t="str">
        <f>IF($A2403&lt;Notes!$B$5,"",IF(COUNTIFS(Release_Calendar!$A$2:$A$755,"NZ_CPI",Release_Calendar!$B$2:$B$755,$A2403)&gt;0,1,0))</f>
        <v/>
      </c>
      <c r="N2403" s="16" t="str">
        <f>IF($A2403&lt;Notes!$B$5,"",IF(COUNTIFS(Release_Calendar!$A$2:$A$755,"NZ_GDP",Release_Calendar!$B$2:$B$755,$A2403)&gt;0,1,0))</f>
        <v/>
      </c>
      <c r="O2403" s="16" t="str">
        <f>IF($A2403&lt;Notes!$B$5,"",IF(COUNTIFS(Release_Calendar!$A$2:$A$755,"NZ_LABOUR",Release_Calendar!$B$2:$B$755,$A2403)&gt;0,1,0))</f>
        <v/>
      </c>
      <c r="P2403" s="16">
        <f t="shared" si="4"/>
        <v>0</v>
      </c>
    </row>
    <row r="2404" ht="15.75" customHeight="1">
      <c r="A2404" s="14">
        <v>39890.0</v>
      </c>
      <c r="B2404" s="15">
        <v>0.82</v>
      </c>
      <c r="C2404" s="15"/>
      <c r="D2404" s="15">
        <v>3.45</v>
      </c>
      <c r="E2404" s="15">
        <v>3.5</v>
      </c>
      <c r="F2404" s="15" t="str">
        <f t="shared" si="1"/>
        <v/>
      </c>
      <c r="G2404" s="15">
        <f t="shared" si="2"/>
        <v>3.45</v>
      </c>
      <c r="H2404" s="16">
        <v>1.0</v>
      </c>
      <c r="I2404" s="15">
        <f t="shared" si="3"/>
        <v>2.63</v>
      </c>
      <c r="J2404" s="15">
        <v>40.06</v>
      </c>
      <c r="K2404" s="16">
        <f>IF(COUNTIFS(Release_Calendar!$A$2:$A$755,"US_CPI",Release_Calendar!$B$2:$B$755,$A2404)&gt;0,1,0)</f>
        <v>1</v>
      </c>
      <c r="L2404" s="16">
        <f>IF(COUNTIFS(Release_Calendar!$A$2:$A$755,"US_NFP",Release_Calendar!$B$2:$B$755,$A2404)&gt;0,1,0)</f>
        <v>0</v>
      </c>
      <c r="M2404" s="16" t="str">
        <f>IF($A2404&lt;Notes!$B$5,"",IF(COUNTIFS(Release_Calendar!$A$2:$A$755,"NZ_CPI",Release_Calendar!$B$2:$B$755,$A2404)&gt;0,1,0))</f>
        <v/>
      </c>
      <c r="N2404" s="16" t="str">
        <f>IF($A2404&lt;Notes!$B$5,"",IF(COUNTIFS(Release_Calendar!$A$2:$A$755,"NZ_GDP",Release_Calendar!$B$2:$B$755,$A2404)&gt;0,1,0))</f>
        <v/>
      </c>
      <c r="O2404" s="16" t="str">
        <f>IF($A2404&lt;Notes!$B$5,"",IF(COUNTIFS(Release_Calendar!$A$2:$A$755,"NZ_LABOUR",Release_Calendar!$B$2:$B$755,$A2404)&gt;0,1,0))</f>
        <v/>
      </c>
      <c r="P2404" s="16">
        <f t="shared" si="4"/>
        <v>1</v>
      </c>
    </row>
    <row r="2405" ht="15.75" customHeight="1">
      <c r="A2405" s="14">
        <v>39891.0</v>
      </c>
      <c r="B2405" s="15">
        <v>0.87</v>
      </c>
      <c r="C2405" s="15"/>
      <c r="D2405" s="15">
        <v>3.34</v>
      </c>
      <c r="E2405" s="15">
        <v>3.35</v>
      </c>
      <c r="F2405" s="15" t="str">
        <f t="shared" si="1"/>
        <v/>
      </c>
      <c r="G2405" s="15">
        <f t="shared" si="2"/>
        <v>3.34</v>
      </c>
      <c r="H2405" s="16">
        <v>1.0</v>
      </c>
      <c r="I2405" s="15">
        <f t="shared" si="3"/>
        <v>2.47</v>
      </c>
      <c r="J2405" s="15">
        <v>43.68</v>
      </c>
      <c r="K2405" s="16">
        <f>IF(COUNTIFS(Release_Calendar!$A$2:$A$755,"US_CPI",Release_Calendar!$B$2:$B$755,$A2405)&gt;0,1,0)</f>
        <v>0</v>
      </c>
      <c r="L2405" s="16">
        <f>IF(COUNTIFS(Release_Calendar!$A$2:$A$755,"US_NFP",Release_Calendar!$B$2:$B$755,$A2405)&gt;0,1,0)</f>
        <v>0</v>
      </c>
      <c r="M2405" s="16" t="str">
        <f>IF($A2405&lt;Notes!$B$5,"",IF(COUNTIFS(Release_Calendar!$A$2:$A$755,"NZ_CPI",Release_Calendar!$B$2:$B$755,$A2405)&gt;0,1,0))</f>
        <v/>
      </c>
      <c r="N2405" s="16" t="str">
        <f>IF($A2405&lt;Notes!$B$5,"",IF(COUNTIFS(Release_Calendar!$A$2:$A$755,"NZ_GDP",Release_Calendar!$B$2:$B$755,$A2405)&gt;0,1,0))</f>
        <v/>
      </c>
      <c r="O2405" s="16" t="str">
        <f>IF($A2405&lt;Notes!$B$5,"",IF(COUNTIFS(Release_Calendar!$A$2:$A$755,"NZ_LABOUR",Release_Calendar!$B$2:$B$755,$A2405)&gt;0,1,0))</f>
        <v/>
      </c>
      <c r="P2405" s="16">
        <f t="shared" si="4"/>
        <v>0</v>
      </c>
    </row>
    <row r="2406" ht="15.75" customHeight="1">
      <c r="A2406" s="14">
        <v>39892.0</v>
      </c>
      <c r="B2406" s="15">
        <v>0.89</v>
      </c>
      <c r="C2406" s="15"/>
      <c r="D2406" s="15">
        <v>3.41</v>
      </c>
      <c r="E2406" s="15">
        <v>3.4</v>
      </c>
      <c r="F2406" s="15" t="str">
        <f t="shared" si="1"/>
        <v/>
      </c>
      <c r="G2406" s="15">
        <f t="shared" si="2"/>
        <v>3.41</v>
      </c>
      <c r="H2406" s="16">
        <v>1.0</v>
      </c>
      <c r="I2406" s="15">
        <f t="shared" si="3"/>
        <v>2.52</v>
      </c>
      <c r="J2406" s="15">
        <v>45.89</v>
      </c>
      <c r="K2406" s="16">
        <f>IF(COUNTIFS(Release_Calendar!$A$2:$A$755,"US_CPI",Release_Calendar!$B$2:$B$755,$A2406)&gt;0,1,0)</f>
        <v>0</v>
      </c>
      <c r="L2406" s="16">
        <f>IF(COUNTIFS(Release_Calendar!$A$2:$A$755,"US_NFP",Release_Calendar!$B$2:$B$755,$A2406)&gt;0,1,0)</f>
        <v>0</v>
      </c>
      <c r="M2406" s="16" t="str">
        <f>IF($A2406&lt;Notes!$B$5,"",IF(COUNTIFS(Release_Calendar!$A$2:$A$755,"NZ_CPI",Release_Calendar!$B$2:$B$755,$A2406)&gt;0,1,0))</f>
        <v/>
      </c>
      <c r="N2406" s="16" t="str">
        <f>IF($A2406&lt;Notes!$B$5,"",IF(COUNTIFS(Release_Calendar!$A$2:$A$755,"NZ_GDP",Release_Calendar!$B$2:$B$755,$A2406)&gt;0,1,0))</f>
        <v/>
      </c>
      <c r="O2406" s="16" t="str">
        <f>IF($A2406&lt;Notes!$B$5,"",IF(COUNTIFS(Release_Calendar!$A$2:$A$755,"NZ_LABOUR",Release_Calendar!$B$2:$B$755,$A2406)&gt;0,1,0))</f>
        <v/>
      </c>
      <c r="P2406" s="16">
        <f t="shared" si="4"/>
        <v>0</v>
      </c>
    </row>
    <row r="2407" ht="15.75" customHeight="1">
      <c r="A2407" s="14">
        <v>39895.0</v>
      </c>
      <c r="B2407" s="15">
        <v>0.93</v>
      </c>
      <c r="C2407" s="15"/>
      <c r="D2407" s="15">
        <v>3.42</v>
      </c>
      <c r="E2407" s="15">
        <v>3.46</v>
      </c>
      <c r="F2407" s="15" t="str">
        <f t="shared" si="1"/>
        <v/>
      </c>
      <c r="G2407" s="15">
        <f t="shared" si="2"/>
        <v>3.42</v>
      </c>
      <c r="H2407" s="16">
        <v>1.0</v>
      </c>
      <c r="I2407" s="15">
        <f t="shared" si="3"/>
        <v>2.49</v>
      </c>
      <c r="J2407" s="15">
        <v>43.23</v>
      </c>
      <c r="K2407" s="16">
        <f>IF(COUNTIFS(Release_Calendar!$A$2:$A$755,"US_CPI",Release_Calendar!$B$2:$B$755,$A2407)&gt;0,1,0)</f>
        <v>0</v>
      </c>
      <c r="L2407" s="16">
        <f>IF(COUNTIFS(Release_Calendar!$A$2:$A$755,"US_NFP",Release_Calendar!$B$2:$B$755,$A2407)&gt;0,1,0)</f>
        <v>0</v>
      </c>
      <c r="M2407" s="16" t="str">
        <f>IF($A2407&lt;Notes!$B$5,"",IF(COUNTIFS(Release_Calendar!$A$2:$A$755,"NZ_CPI",Release_Calendar!$B$2:$B$755,$A2407)&gt;0,1,0))</f>
        <v/>
      </c>
      <c r="N2407" s="16" t="str">
        <f>IF($A2407&lt;Notes!$B$5,"",IF(COUNTIFS(Release_Calendar!$A$2:$A$755,"NZ_GDP",Release_Calendar!$B$2:$B$755,$A2407)&gt;0,1,0))</f>
        <v/>
      </c>
      <c r="O2407" s="16" t="str">
        <f>IF($A2407&lt;Notes!$B$5,"",IF(COUNTIFS(Release_Calendar!$A$2:$A$755,"NZ_LABOUR",Release_Calendar!$B$2:$B$755,$A2407)&gt;0,1,0))</f>
        <v/>
      </c>
      <c r="P2407" s="16">
        <f t="shared" si="4"/>
        <v>0</v>
      </c>
    </row>
    <row r="2408" ht="15.75" customHeight="1">
      <c r="A2408" s="14">
        <v>39896.0</v>
      </c>
      <c r="B2408" s="15">
        <v>0.93</v>
      </c>
      <c r="C2408" s="15"/>
      <c r="D2408" s="15">
        <v>3.53</v>
      </c>
      <c r="E2408" s="15">
        <v>3.53</v>
      </c>
      <c r="F2408" s="15" t="str">
        <f t="shared" si="1"/>
        <v/>
      </c>
      <c r="G2408" s="15">
        <f t="shared" si="2"/>
        <v>3.53</v>
      </c>
      <c r="H2408" s="16">
        <v>1.0</v>
      </c>
      <c r="I2408" s="15">
        <f t="shared" si="3"/>
        <v>2.6</v>
      </c>
      <c r="J2408" s="15">
        <v>42.93</v>
      </c>
      <c r="K2408" s="16">
        <f>IF(COUNTIFS(Release_Calendar!$A$2:$A$755,"US_CPI",Release_Calendar!$B$2:$B$755,$A2408)&gt;0,1,0)</f>
        <v>0</v>
      </c>
      <c r="L2408" s="16">
        <f>IF(COUNTIFS(Release_Calendar!$A$2:$A$755,"US_NFP",Release_Calendar!$B$2:$B$755,$A2408)&gt;0,1,0)</f>
        <v>0</v>
      </c>
      <c r="M2408" s="16" t="str">
        <f>IF($A2408&lt;Notes!$B$5,"",IF(COUNTIFS(Release_Calendar!$A$2:$A$755,"NZ_CPI",Release_Calendar!$B$2:$B$755,$A2408)&gt;0,1,0))</f>
        <v/>
      </c>
      <c r="N2408" s="16" t="str">
        <f>IF($A2408&lt;Notes!$B$5,"",IF(COUNTIFS(Release_Calendar!$A$2:$A$755,"NZ_GDP",Release_Calendar!$B$2:$B$755,$A2408)&gt;0,1,0))</f>
        <v/>
      </c>
      <c r="O2408" s="16" t="str">
        <f>IF($A2408&lt;Notes!$B$5,"",IF(COUNTIFS(Release_Calendar!$A$2:$A$755,"NZ_LABOUR",Release_Calendar!$B$2:$B$755,$A2408)&gt;0,1,0))</f>
        <v/>
      </c>
      <c r="P2408" s="16">
        <f t="shared" si="4"/>
        <v>0</v>
      </c>
    </row>
    <row r="2409" ht="15.75" customHeight="1">
      <c r="A2409" s="14">
        <v>39897.0</v>
      </c>
      <c r="B2409" s="15">
        <v>0.96</v>
      </c>
      <c r="C2409" s="15"/>
      <c r="D2409" s="15">
        <v>3.61</v>
      </c>
      <c r="E2409" s="15">
        <v>3.69</v>
      </c>
      <c r="F2409" s="15" t="str">
        <f t="shared" si="1"/>
        <v/>
      </c>
      <c r="G2409" s="15">
        <f t="shared" si="2"/>
        <v>3.61</v>
      </c>
      <c r="H2409" s="16">
        <v>1.0</v>
      </c>
      <c r="I2409" s="15">
        <f t="shared" si="3"/>
        <v>2.65</v>
      </c>
      <c r="J2409" s="15">
        <v>42.25</v>
      </c>
      <c r="K2409" s="16">
        <f>IF(COUNTIFS(Release_Calendar!$A$2:$A$755,"US_CPI",Release_Calendar!$B$2:$B$755,$A2409)&gt;0,1,0)</f>
        <v>0</v>
      </c>
      <c r="L2409" s="16">
        <f>IF(COUNTIFS(Release_Calendar!$A$2:$A$755,"US_NFP",Release_Calendar!$B$2:$B$755,$A2409)&gt;0,1,0)</f>
        <v>0</v>
      </c>
      <c r="M2409" s="16" t="str">
        <f>IF($A2409&lt;Notes!$B$5,"",IF(COUNTIFS(Release_Calendar!$A$2:$A$755,"NZ_CPI",Release_Calendar!$B$2:$B$755,$A2409)&gt;0,1,0))</f>
        <v/>
      </c>
      <c r="N2409" s="16" t="str">
        <f>IF($A2409&lt;Notes!$B$5,"",IF(COUNTIFS(Release_Calendar!$A$2:$A$755,"NZ_GDP",Release_Calendar!$B$2:$B$755,$A2409)&gt;0,1,0))</f>
        <v/>
      </c>
      <c r="O2409" s="16" t="str">
        <f>IF($A2409&lt;Notes!$B$5,"",IF(COUNTIFS(Release_Calendar!$A$2:$A$755,"NZ_LABOUR",Release_Calendar!$B$2:$B$755,$A2409)&gt;0,1,0))</f>
        <v/>
      </c>
      <c r="P2409" s="16">
        <f t="shared" si="4"/>
        <v>0</v>
      </c>
    </row>
    <row r="2410" ht="15.75" customHeight="1">
      <c r="A2410" s="14">
        <v>39898.0</v>
      </c>
      <c r="B2410" s="15">
        <v>0.9</v>
      </c>
      <c r="C2410" s="15"/>
      <c r="D2410" s="15">
        <v>4.2</v>
      </c>
      <c r="E2410" s="15">
        <v>3.84</v>
      </c>
      <c r="F2410" s="15" t="str">
        <f t="shared" si="1"/>
        <v/>
      </c>
      <c r="G2410" s="15">
        <f t="shared" si="2"/>
        <v>4.2</v>
      </c>
      <c r="H2410" s="16">
        <v>1.0</v>
      </c>
      <c r="I2410" s="15">
        <f t="shared" si="3"/>
        <v>3.3</v>
      </c>
      <c r="J2410" s="15">
        <v>40.36</v>
      </c>
      <c r="K2410" s="16">
        <f>IF(COUNTIFS(Release_Calendar!$A$2:$A$755,"US_CPI",Release_Calendar!$B$2:$B$755,$A2410)&gt;0,1,0)</f>
        <v>0</v>
      </c>
      <c r="L2410" s="16">
        <f>IF(COUNTIFS(Release_Calendar!$A$2:$A$755,"US_NFP",Release_Calendar!$B$2:$B$755,$A2410)&gt;0,1,0)</f>
        <v>0</v>
      </c>
      <c r="M2410" s="16" t="str">
        <f>IF($A2410&lt;Notes!$B$5,"",IF(COUNTIFS(Release_Calendar!$A$2:$A$755,"NZ_CPI",Release_Calendar!$B$2:$B$755,$A2410)&gt;0,1,0))</f>
        <v/>
      </c>
      <c r="N2410" s="16" t="str">
        <f>IF($A2410&lt;Notes!$B$5,"",IF(COUNTIFS(Release_Calendar!$A$2:$A$755,"NZ_GDP",Release_Calendar!$B$2:$B$755,$A2410)&gt;0,1,0))</f>
        <v/>
      </c>
      <c r="O2410" s="16" t="str">
        <f>IF($A2410&lt;Notes!$B$5,"",IF(COUNTIFS(Release_Calendar!$A$2:$A$755,"NZ_LABOUR",Release_Calendar!$B$2:$B$755,$A2410)&gt;0,1,0))</f>
        <v/>
      </c>
      <c r="P2410" s="16">
        <f t="shared" si="4"/>
        <v>0</v>
      </c>
    </row>
    <row r="2411" ht="15.75" customHeight="1">
      <c r="A2411" s="14">
        <v>39899.0</v>
      </c>
      <c r="B2411" s="15">
        <v>0.9</v>
      </c>
      <c r="C2411" s="15"/>
      <c r="D2411" s="15">
        <v>3.76</v>
      </c>
      <c r="E2411" s="15">
        <v>3.87</v>
      </c>
      <c r="F2411" s="15" t="str">
        <f t="shared" si="1"/>
        <v/>
      </c>
      <c r="G2411" s="15">
        <f t="shared" si="2"/>
        <v>3.76</v>
      </c>
      <c r="H2411" s="16">
        <v>1.0</v>
      </c>
      <c r="I2411" s="15">
        <f t="shared" si="3"/>
        <v>2.86</v>
      </c>
      <c r="J2411" s="15">
        <v>41.04</v>
      </c>
      <c r="K2411" s="16">
        <f>IF(COUNTIFS(Release_Calendar!$A$2:$A$755,"US_CPI",Release_Calendar!$B$2:$B$755,$A2411)&gt;0,1,0)</f>
        <v>0</v>
      </c>
      <c r="L2411" s="16">
        <f>IF(COUNTIFS(Release_Calendar!$A$2:$A$755,"US_NFP",Release_Calendar!$B$2:$B$755,$A2411)&gt;0,1,0)</f>
        <v>0</v>
      </c>
      <c r="M2411" s="16" t="str">
        <f>IF($A2411&lt;Notes!$B$5,"",IF(COUNTIFS(Release_Calendar!$A$2:$A$755,"NZ_CPI",Release_Calendar!$B$2:$B$755,$A2411)&gt;0,1,0))</f>
        <v/>
      </c>
      <c r="N2411" s="16" t="str">
        <f>IF($A2411&lt;Notes!$B$5,"",IF(COUNTIFS(Release_Calendar!$A$2:$A$755,"NZ_GDP",Release_Calendar!$B$2:$B$755,$A2411)&gt;0,1,0))</f>
        <v/>
      </c>
      <c r="O2411" s="16" t="str">
        <f>IF($A2411&lt;Notes!$B$5,"",IF(COUNTIFS(Release_Calendar!$A$2:$A$755,"NZ_LABOUR",Release_Calendar!$B$2:$B$755,$A2411)&gt;0,1,0))</f>
        <v/>
      </c>
      <c r="P2411" s="16">
        <f t="shared" si="4"/>
        <v>0</v>
      </c>
    </row>
    <row r="2412" ht="15.75" customHeight="1">
      <c r="A2412" s="14">
        <v>39902.0</v>
      </c>
      <c r="B2412" s="15">
        <v>0.84</v>
      </c>
      <c r="C2412" s="15"/>
      <c r="D2412" s="15">
        <v>3.95</v>
      </c>
      <c r="E2412" s="15">
        <v>3.99</v>
      </c>
      <c r="F2412" s="15" t="str">
        <f t="shared" si="1"/>
        <v/>
      </c>
      <c r="G2412" s="15">
        <f t="shared" si="2"/>
        <v>3.95</v>
      </c>
      <c r="H2412" s="16">
        <v>1.0</v>
      </c>
      <c r="I2412" s="15">
        <f t="shared" si="3"/>
        <v>3.11</v>
      </c>
      <c r="J2412" s="15">
        <v>45.54</v>
      </c>
      <c r="K2412" s="16">
        <f>IF(COUNTIFS(Release_Calendar!$A$2:$A$755,"US_CPI",Release_Calendar!$B$2:$B$755,$A2412)&gt;0,1,0)</f>
        <v>0</v>
      </c>
      <c r="L2412" s="16">
        <f>IF(COUNTIFS(Release_Calendar!$A$2:$A$755,"US_NFP",Release_Calendar!$B$2:$B$755,$A2412)&gt;0,1,0)</f>
        <v>0</v>
      </c>
      <c r="M2412" s="16" t="str">
        <f>IF($A2412&lt;Notes!$B$5,"",IF(COUNTIFS(Release_Calendar!$A$2:$A$755,"NZ_CPI",Release_Calendar!$B$2:$B$755,$A2412)&gt;0,1,0))</f>
        <v/>
      </c>
      <c r="N2412" s="16" t="str">
        <f>IF($A2412&lt;Notes!$B$5,"",IF(COUNTIFS(Release_Calendar!$A$2:$A$755,"NZ_GDP",Release_Calendar!$B$2:$B$755,$A2412)&gt;0,1,0))</f>
        <v/>
      </c>
      <c r="O2412" s="16" t="str">
        <f>IF($A2412&lt;Notes!$B$5,"",IF(COUNTIFS(Release_Calendar!$A$2:$A$755,"NZ_LABOUR",Release_Calendar!$B$2:$B$755,$A2412)&gt;0,1,0))</f>
        <v/>
      </c>
      <c r="P2412" s="16">
        <f t="shared" si="4"/>
        <v>0</v>
      </c>
    </row>
    <row r="2413" ht="15.75" customHeight="1">
      <c r="A2413" s="14">
        <v>39903.0</v>
      </c>
      <c r="B2413" s="15">
        <v>0.81</v>
      </c>
      <c r="C2413" s="15"/>
      <c r="D2413" s="15">
        <v>3.96</v>
      </c>
      <c r="E2413" s="15">
        <v>3.9</v>
      </c>
      <c r="F2413" s="15" t="str">
        <f t="shared" si="1"/>
        <v/>
      </c>
      <c r="G2413" s="15">
        <f t="shared" si="2"/>
        <v>3.96</v>
      </c>
      <c r="H2413" s="16">
        <v>1.0</v>
      </c>
      <c r="I2413" s="15">
        <f t="shared" si="3"/>
        <v>3.15</v>
      </c>
      <c r="J2413" s="15">
        <v>44.14</v>
      </c>
      <c r="K2413" s="16">
        <f>IF(COUNTIFS(Release_Calendar!$A$2:$A$755,"US_CPI",Release_Calendar!$B$2:$B$755,$A2413)&gt;0,1,0)</f>
        <v>0</v>
      </c>
      <c r="L2413" s="16">
        <f>IF(COUNTIFS(Release_Calendar!$A$2:$A$755,"US_NFP",Release_Calendar!$B$2:$B$755,$A2413)&gt;0,1,0)</f>
        <v>0</v>
      </c>
      <c r="M2413" s="16" t="str">
        <f>IF($A2413&lt;Notes!$B$5,"",IF(COUNTIFS(Release_Calendar!$A$2:$A$755,"NZ_CPI",Release_Calendar!$B$2:$B$755,$A2413)&gt;0,1,0))</f>
        <v/>
      </c>
      <c r="N2413" s="16" t="str">
        <f>IF($A2413&lt;Notes!$B$5,"",IF(COUNTIFS(Release_Calendar!$A$2:$A$755,"NZ_GDP",Release_Calendar!$B$2:$B$755,$A2413)&gt;0,1,0))</f>
        <v/>
      </c>
      <c r="O2413" s="16" t="str">
        <f>IF($A2413&lt;Notes!$B$5,"",IF(COUNTIFS(Release_Calendar!$A$2:$A$755,"NZ_LABOUR",Release_Calendar!$B$2:$B$755,$A2413)&gt;0,1,0))</f>
        <v/>
      </c>
      <c r="P2413" s="16">
        <f t="shared" si="4"/>
        <v>0</v>
      </c>
    </row>
    <row r="2414" ht="15.75" customHeight="1">
      <c r="A2414" s="14">
        <v>39904.0</v>
      </c>
      <c r="B2414" s="15">
        <v>0.83</v>
      </c>
      <c r="C2414" s="15"/>
      <c r="D2414" s="15">
        <v>3.84</v>
      </c>
      <c r="E2414" s="15">
        <v>3.74</v>
      </c>
      <c r="F2414" s="15" t="str">
        <f t="shared" si="1"/>
        <v/>
      </c>
      <c r="G2414" s="15">
        <f t="shared" si="2"/>
        <v>3.84</v>
      </c>
      <c r="H2414" s="16">
        <v>1.0</v>
      </c>
      <c r="I2414" s="15">
        <f t="shared" si="3"/>
        <v>3.01</v>
      </c>
      <c r="J2414" s="15">
        <v>42.28</v>
      </c>
      <c r="K2414" s="16">
        <f>IF(COUNTIFS(Release_Calendar!$A$2:$A$755,"US_CPI",Release_Calendar!$B$2:$B$755,$A2414)&gt;0,1,0)</f>
        <v>0</v>
      </c>
      <c r="L2414" s="16">
        <f>IF(COUNTIFS(Release_Calendar!$A$2:$A$755,"US_NFP",Release_Calendar!$B$2:$B$755,$A2414)&gt;0,1,0)</f>
        <v>0</v>
      </c>
      <c r="M2414" s="16" t="str">
        <f>IF($A2414&lt;Notes!$B$5,"",IF(COUNTIFS(Release_Calendar!$A$2:$A$755,"NZ_CPI",Release_Calendar!$B$2:$B$755,$A2414)&gt;0,1,0))</f>
        <v/>
      </c>
      <c r="N2414" s="16" t="str">
        <f>IF($A2414&lt;Notes!$B$5,"",IF(COUNTIFS(Release_Calendar!$A$2:$A$755,"NZ_GDP",Release_Calendar!$B$2:$B$755,$A2414)&gt;0,1,0))</f>
        <v/>
      </c>
      <c r="O2414" s="16" t="str">
        <f>IF($A2414&lt;Notes!$B$5,"",IF(COUNTIFS(Release_Calendar!$A$2:$A$755,"NZ_LABOUR",Release_Calendar!$B$2:$B$755,$A2414)&gt;0,1,0))</f>
        <v/>
      </c>
      <c r="P2414" s="16">
        <f t="shared" si="4"/>
        <v>0</v>
      </c>
    </row>
    <row r="2415" ht="15.75" customHeight="1">
      <c r="A2415" s="14">
        <v>39905.0</v>
      </c>
      <c r="B2415" s="15">
        <v>0.88</v>
      </c>
      <c r="C2415" s="15"/>
      <c r="D2415" s="15">
        <v>3.71</v>
      </c>
      <c r="E2415" s="15">
        <v>3.72</v>
      </c>
      <c r="F2415" s="15" t="str">
        <f t="shared" si="1"/>
        <v/>
      </c>
      <c r="G2415" s="15">
        <f t="shared" si="2"/>
        <v>3.71</v>
      </c>
      <c r="H2415" s="16">
        <v>1.0</v>
      </c>
      <c r="I2415" s="15">
        <f t="shared" si="3"/>
        <v>2.83</v>
      </c>
      <c r="J2415" s="15">
        <v>42.04</v>
      </c>
      <c r="K2415" s="16">
        <f>IF(COUNTIFS(Release_Calendar!$A$2:$A$755,"US_CPI",Release_Calendar!$B$2:$B$755,$A2415)&gt;0,1,0)</f>
        <v>0</v>
      </c>
      <c r="L2415" s="16">
        <f>IF(COUNTIFS(Release_Calendar!$A$2:$A$755,"US_NFP",Release_Calendar!$B$2:$B$755,$A2415)&gt;0,1,0)</f>
        <v>0</v>
      </c>
      <c r="M2415" s="16" t="str">
        <f>IF($A2415&lt;Notes!$B$5,"",IF(COUNTIFS(Release_Calendar!$A$2:$A$755,"NZ_CPI",Release_Calendar!$B$2:$B$755,$A2415)&gt;0,1,0))</f>
        <v/>
      </c>
      <c r="N2415" s="16" t="str">
        <f>IF($A2415&lt;Notes!$B$5,"",IF(COUNTIFS(Release_Calendar!$A$2:$A$755,"NZ_GDP",Release_Calendar!$B$2:$B$755,$A2415)&gt;0,1,0))</f>
        <v/>
      </c>
      <c r="O2415" s="16" t="str">
        <f>IF($A2415&lt;Notes!$B$5,"",IF(COUNTIFS(Release_Calendar!$A$2:$A$755,"NZ_LABOUR",Release_Calendar!$B$2:$B$755,$A2415)&gt;0,1,0))</f>
        <v/>
      </c>
      <c r="P2415" s="16">
        <f t="shared" si="4"/>
        <v>0</v>
      </c>
    </row>
    <row r="2416" ht="15.75" customHeight="1">
      <c r="A2416" s="14">
        <v>39906.0</v>
      </c>
      <c r="B2416" s="15">
        <v>0.96</v>
      </c>
      <c r="C2416" s="15"/>
      <c r="D2416" s="15">
        <v>3.86</v>
      </c>
      <c r="E2416" s="15">
        <v>3.89</v>
      </c>
      <c r="F2416" s="15" t="str">
        <f t="shared" si="1"/>
        <v/>
      </c>
      <c r="G2416" s="15">
        <f t="shared" si="2"/>
        <v>3.86</v>
      </c>
      <c r="H2416" s="16">
        <v>1.0</v>
      </c>
      <c r="I2416" s="15">
        <f t="shared" si="3"/>
        <v>2.9</v>
      </c>
      <c r="J2416" s="15">
        <v>39.7</v>
      </c>
      <c r="K2416" s="16">
        <f>IF(COUNTIFS(Release_Calendar!$A$2:$A$755,"US_CPI",Release_Calendar!$B$2:$B$755,$A2416)&gt;0,1,0)</f>
        <v>0</v>
      </c>
      <c r="L2416" s="16">
        <f>IF(COUNTIFS(Release_Calendar!$A$2:$A$755,"US_NFP",Release_Calendar!$B$2:$B$755,$A2416)&gt;0,1,0)</f>
        <v>1</v>
      </c>
      <c r="M2416" s="16" t="str">
        <f>IF($A2416&lt;Notes!$B$5,"",IF(COUNTIFS(Release_Calendar!$A$2:$A$755,"NZ_CPI",Release_Calendar!$B$2:$B$755,$A2416)&gt;0,1,0))</f>
        <v/>
      </c>
      <c r="N2416" s="16" t="str">
        <f>IF($A2416&lt;Notes!$B$5,"",IF(COUNTIFS(Release_Calendar!$A$2:$A$755,"NZ_GDP",Release_Calendar!$B$2:$B$755,$A2416)&gt;0,1,0))</f>
        <v/>
      </c>
      <c r="O2416" s="16" t="str">
        <f>IF($A2416&lt;Notes!$B$5,"",IF(COUNTIFS(Release_Calendar!$A$2:$A$755,"NZ_LABOUR",Release_Calendar!$B$2:$B$755,$A2416)&gt;0,1,0))</f>
        <v/>
      </c>
      <c r="P2416" s="16">
        <f t="shared" si="4"/>
        <v>1</v>
      </c>
    </row>
    <row r="2417" ht="15.75" customHeight="1">
      <c r="A2417" s="14">
        <v>39909.0</v>
      </c>
      <c r="B2417" s="15">
        <v>0.94</v>
      </c>
      <c r="C2417" s="15"/>
      <c r="D2417" s="15">
        <v>3.89</v>
      </c>
      <c r="E2417" s="15">
        <v>3.89</v>
      </c>
      <c r="F2417" s="15" t="str">
        <f t="shared" si="1"/>
        <v/>
      </c>
      <c r="G2417" s="15">
        <f t="shared" si="2"/>
        <v>3.89</v>
      </c>
      <c r="H2417" s="16">
        <v>1.0</v>
      </c>
      <c r="I2417" s="15">
        <f t="shared" si="3"/>
        <v>2.95</v>
      </c>
      <c r="J2417" s="15">
        <v>40.93</v>
      </c>
      <c r="K2417" s="16">
        <f>IF(COUNTIFS(Release_Calendar!$A$2:$A$755,"US_CPI",Release_Calendar!$B$2:$B$755,$A2417)&gt;0,1,0)</f>
        <v>0</v>
      </c>
      <c r="L2417" s="16">
        <f>IF(COUNTIFS(Release_Calendar!$A$2:$A$755,"US_NFP",Release_Calendar!$B$2:$B$755,$A2417)&gt;0,1,0)</f>
        <v>0</v>
      </c>
      <c r="M2417" s="16" t="str">
        <f>IF($A2417&lt;Notes!$B$5,"",IF(COUNTIFS(Release_Calendar!$A$2:$A$755,"NZ_CPI",Release_Calendar!$B$2:$B$755,$A2417)&gt;0,1,0))</f>
        <v/>
      </c>
      <c r="N2417" s="16" t="str">
        <f>IF($A2417&lt;Notes!$B$5,"",IF(COUNTIFS(Release_Calendar!$A$2:$A$755,"NZ_GDP",Release_Calendar!$B$2:$B$755,$A2417)&gt;0,1,0))</f>
        <v/>
      </c>
      <c r="O2417" s="16" t="str">
        <f>IF($A2417&lt;Notes!$B$5,"",IF(COUNTIFS(Release_Calendar!$A$2:$A$755,"NZ_LABOUR",Release_Calendar!$B$2:$B$755,$A2417)&gt;0,1,0))</f>
        <v/>
      </c>
      <c r="P2417" s="16">
        <f t="shared" si="4"/>
        <v>0</v>
      </c>
    </row>
    <row r="2418" ht="15.75" customHeight="1">
      <c r="A2418" s="14">
        <v>39910.0</v>
      </c>
      <c r="B2418" s="15">
        <v>0.91</v>
      </c>
      <c r="C2418" s="15"/>
      <c r="D2418" s="15">
        <v>3.8</v>
      </c>
      <c r="E2418" s="15">
        <v>3.82</v>
      </c>
      <c r="F2418" s="15" t="str">
        <f t="shared" si="1"/>
        <v/>
      </c>
      <c r="G2418" s="15">
        <f t="shared" si="2"/>
        <v>3.8</v>
      </c>
      <c r="H2418" s="16">
        <v>1.0</v>
      </c>
      <c r="I2418" s="15">
        <f t="shared" si="3"/>
        <v>2.89</v>
      </c>
      <c r="J2418" s="15">
        <v>40.39</v>
      </c>
      <c r="K2418" s="16">
        <f>IF(COUNTIFS(Release_Calendar!$A$2:$A$755,"US_CPI",Release_Calendar!$B$2:$B$755,$A2418)&gt;0,1,0)</f>
        <v>0</v>
      </c>
      <c r="L2418" s="16">
        <f>IF(COUNTIFS(Release_Calendar!$A$2:$A$755,"US_NFP",Release_Calendar!$B$2:$B$755,$A2418)&gt;0,1,0)</f>
        <v>0</v>
      </c>
      <c r="M2418" s="16" t="str">
        <f>IF($A2418&lt;Notes!$B$5,"",IF(COUNTIFS(Release_Calendar!$A$2:$A$755,"NZ_CPI",Release_Calendar!$B$2:$B$755,$A2418)&gt;0,1,0))</f>
        <v/>
      </c>
      <c r="N2418" s="16" t="str">
        <f>IF($A2418&lt;Notes!$B$5,"",IF(COUNTIFS(Release_Calendar!$A$2:$A$755,"NZ_GDP",Release_Calendar!$B$2:$B$755,$A2418)&gt;0,1,0))</f>
        <v/>
      </c>
      <c r="O2418" s="16" t="str">
        <f>IF($A2418&lt;Notes!$B$5,"",IF(COUNTIFS(Release_Calendar!$A$2:$A$755,"NZ_LABOUR",Release_Calendar!$B$2:$B$755,$A2418)&gt;0,1,0))</f>
        <v/>
      </c>
      <c r="P2418" s="16">
        <f t="shared" si="4"/>
        <v>0</v>
      </c>
    </row>
    <row r="2419" ht="15.75" customHeight="1">
      <c r="A2419" s="14">
        <v>39911.0</v>
      </c>
      <c r="B2419" s="15">
        <v>0.93</v>
      </c>
      <c r="C2419" s="15"/>
      <c r="D2419" s="15">
        <v>3.91</v>
      </c>
      <c r="E2419" s="15">
        <v>3.93</v>
      </c>
      <c r="F2419" s="15" t="str">
        <f t="shared" si="1"/>
        <v/>
      </c>
      <c r="G2419" s="15">
        <f t="shared" si="2"/>
        <v>3.91</v>
      </c>
      <c r="H2419" s="16">
        <v>1.0</v>
      </c>
      <c r="I2419" s="15">
        <f t="shared" si="3"/>
        <v>2.98</v>
      </c>
      <c r="J2419" s="15">
        <v>38.85</v>
      </c>
      <c r="K2419" s="16">
        <f>IF(COUNTIFS(Release_Calendar!$A$2:$A$755,"US_CPI",Release_Calendar!$B$2:$B$755,$A2419)&gt;0,1,0)</f>
        <v>0</v>
      </c>
      <c r="L2419" s="16">
        <f>IF(COUNTIFS(Release_Calendar!$A$2:$A$755,"US_NFP",Release_Calendar!$B$2:$B$755,$A2419)&gt;0,1,0)</f>
        <v>0</v>
      </c>
      <c r="M2419" s="16" t="str">
        <f>IF($A2419&lt;Notes!$B$5,"",IF(COUNTIFS(Release_Calendar!$A$2:$A$755,"NZ_CPI",Release_Calendar!$B$2:$B$755,$A2419)&gt;0,1,0))</f>
        <v/>
      </c>
      <c r="N2419" s="16" t="str">
        <f>IF($A2419&lt;Notes!$B$5,"",IF(COUNTIFS(Release_Calendar!$A$2:$A$755,"NZ_GDP",Release_Calendar!$B$2:$B$755,$A2419)&gt;0,1,0))</f>
        <v/>
      </c>
      <c r="O2419" s="16" t="str">
        <f>IF($A2419&lt;Notes!$B$5,"",IF(COUNTIFS(Release_Calendar!$A$2:$A$755,"NZ_LABOUR",Release_Calendar!$B$2:$B$755,$A2419)&gt;0,1,0))</f>
        <v/>
      </c>
      <c r="P2419" s="16">
        <f t="shared" si="4"/>
        <v>0</v>
      </c>
    </row>
    <row r="2420" ht="15.75" customHeight="1">
      <c r="A2420" s="14">
        <v>39912.0</v>
      </c>
      <c r="B2420" s="15">
        <v>0.96</v>
      </c>
      <c r="C2420" s="15"/>
      <c r="D2420" s="15">
        <v>3.91</v>
      </c>
      <c r="E2420" s="15">
        <v>3.89</v>
      </c>
      <c r="F2420" s="15" t="str">
        <f t="shared" si="1"/>
        <v/>
      </c>
      <c r="G2420" s="15">
        <f t="shared" si="2"/>
        <v>3.91</v>
      </c>
      <c r="H2420" s="16">
        <v>1.0</v>
      </c>
      <c r="I2420" s="15">
        <f t="shared" si="3"/>
        <v>2.95</v>
      </c>
      <c r="J2420" s="15">
        <v>36.53</v>
      </c>
      <c r="K2420" s="16">
        <f>IF(COUNTIFS(Release_Calendar!$A$2:$A$755,"US_CPI",Release_Calendar!$B$2:$B$755,$A2420)&gt;0,1,0)</f>
        <v>0</v>
      </c>
      <c r="L2420" s="16">
        <f>IF(COUNTIFS(Release_Calendar!$A$2:$A$755,"US_NFP",Release_Calendar!$B$2:$B$755,$A2420)&gt;0,1,0)</f>
        <v>0</v>
      </c>
      <c r="M2420" s="16" t="str">
        <f>IF($A2420&lt;Notes!$B$5,"",IF(COUNTIFS(Release_Calendar!$A$2:$A$755,"NZ_CPI",Release_Calendar!$B$2:$B$755,$A2420)&gt;0,1,0))</f>
        <v/>
      </c>
      <c r="N2420" s="16" t="str">
        <f>IF($A2420&lt;Notes!$B$5,"",IF(COUNTIFS(Release_Calendar!$A$2:$A$755,"NZ_GDP",Release_Calendar!$B$2:$B$755,$A2420)&gt;0,1,0))</f>
        <v/>
      </c>
      <c r="O2420" s="16" t="str">
        <f>IF($A2420&lt;Notes!$B$5,"",IF(COUNTIFS(Release_Calendar!$A$2:$A$755,"NZ_LABOUR",Release_Calendar!$B$2:$B$755,$A2420)&gt;0,1,0))</f>
        <v/>
      </c>
      <c r="P2420" s="16">
        <f t="shared" si="4"/>
        <v>0</v>
      </c>
    </row>
    <row r="2421" ht="15.75" customHeight="1">
      <c r="A2421" s="14">
        <v>39913.0</v>
      </c>
      <c r="B2421" s="15"/>
      <c r="C2421" s="15"/>
      <c r="D2421" s="15"/>
      <c r="E2421" s="15"/>
      <c r="F2421" s="15" t="str">
        <f t="shared" si="1"/>
        <v/>
      </c>
      <c r="G2421" s="15" t="str">
        <f t="shared" si="2"/>
        <v/>
      </c>
      <c r="H2421" s="16">
        <v>1.0</v>
      </c>
      <c r="I2421" s="15" t="str">
        <f t="shared" si="3"/>
        <v/>
      </c>
      <c r="J2421" s="15"/>
      <c r="K2421" s="16">
        <f>IF(COUNTIFS(Release_Calendar!$A$2:$A$755,"US_CPI",Release_Calendar!$B$2:$B$755,$A2421)&gt;0,1,0)</f>
        <v>0</v>
      </c>
      <c r="L2421" s="16">
        <f>IF(COUNTIFS(Release_Calendar!$A$2:$A$755,"US_NFP",Release_Calendar!$B$2:$B$755,$A2421)&gt;0,1,0)</f>
        <v>0</v>
      </c>
      <c r="M2421" s="16" t="str">
        <f>IF($A2421&lt;Notes!$B$5,"",IF(COUNTIFS(Release_Calendar!$A$2:$A$755,"NZ_CPI",Release_Calendar!$B$2:$B$755,$A2421)&gt;0,1,0))</f>
        <v/>
      </c>
      <c r="N2421" s="16" t="str">
        <f>IF($A2421&lt;Notes!$B$5,"",IF(COUNTIFS(Release_Calendar!$A$2:$A$755,"NZ_GDP",Release_Calendar!$B$2:$B$755,$A2421)&gt;0,1,0))</f>
        <v/>
      </c>
      <c r="O2421" s="16" t="str">
        <f>IF($A2421&lt;Notes!$B$5,"",IF(COUNTIFS(Release_Calendar!$A$2:$A$755,"NZ_LABOUR",Release_Calendar!$B$2:$B$755,$A2421)&gt;0,1,0))</f>
        <v/>
      </c>
      <c r="P2421" s="16">
        <f t="shared" si="4"/>
        <v>0</v>
      </c>
    </row>
    <row r="2422" ht="15.75" customHeight="1">
      <c r="A2422" s="14">
        <v>39916.0</v>
      </c>
      <c r="B2422" s="15">
        <v>0.89</v>
      </c>
      <c r="C2422" s="15"/>
      <c r="D2422" s="15"/>
      <c r="E2422" s="15"/>
      <c r="F2422" s="15" t="str">
        <f t="shared" si="1"/>
        <v/>
      </c>
      <c r="G2422" s="15" t="str">
        <f t="shared" si="2"/>
        <v/>
      </c>
      <c r="H2422" s="16">
        <v>1.0</v>
      </c>
      <c r="I2422" s="15" t="str">
        <f t="shared" si="3"/>
        <v/>
      </c>
      <c r="J2422" s="15">
        <v>37.81</v>
      </c>
      <c r="K2422" s="16">
        <f>IF(COUNTIFS(Release_Calendar!$A$2:$A$755,"US_CPI",Release_Calendar!$B$2:$B$755,$A2422)&gt;0,1,0)</f>
        <v>0</v>
      </c>
      <c r="L2422" s="16">
        <f>IF(COUNTIFS(Release_Calendar!$A$2:$A$755,"US_NFP",Release_Calendar!$B$2:$B$755,$A2422)&gt;0,1,0)</f>
        <v>0</v>
      </c>
      <c r="M2422" s="16" t="str">
        <f>IF($A2422&lt;Notes!$B$5,"",IF(COUNTIFS(Release_Calendar!$A$2:$A$755,"NZ_CPI",Release_Calendar!$B$2:$B$755,$A2422)&gt;0,1,0))</f>
        <v/>
      </c>
      <c r="N2422" s="16" t="str">
        <f>IF($A2422&lt;Notes!$B$5,"",IF(COUNTIFS(Release_Calendar!$A$2:$A$755,"NZ_GDP",Release_Calendar!$B$2:$B$755,$A2422)&gt;0,1,0))</f>
        <v/>
      </c>
      <c r="O2422" s="16" t="str">
        <f>IF($A2422&lt;Notes!$B$5,"",IF(COUNTIFS(Release_Calendar!$A$2:$A$755,"NZ_LABOUR",Release_Calendar!$B$2:$B$755,$A2422)&gt;0,1,0))</f>
        <v/>
      </c>
      <c r="P2422" s="16">
        <f t="shared" si="4"/>
        <v>0</v>
      </c>
    </row>
    <row r="2423" ht="15.75" customHeight="1">
      <c r="A2423" s="14">
        <v>39917.0</v>
      </c>
      <c r="B2423" s="15">
        <v>0.86</v>
      </c>
      <c r="C2423" s="15"/>
      <c r="D2423" s="15">
        <v>3.88</v>
      </c>
      <c r="E2423" s="15">
        <v>3.82</v>
      </c>
      <c r="F2423" s="15" t="str">
        <f t="shared" si="1"/>
        <v/>
      </c>
      <c r="G2423" s="15">
        <f t="shared" si="2"/>
        <v>3.88</v>
      </c>
      <c r="H2423" s="16">
        <v>1.0</v>
      </c>
      <c r="I2423" s="15">
        <f t="shared" si="3"/>
        <v>3.02</v>
      </c>
      <c r="J2423" s="15">
        <v>37.67</v>
      </c>
      <c r="K2423" s="16">
        <f>IF(COUNTIFS(Release_Calendar!$A$2:$A$755,"US_CPI",Release_Calendar!$B$2:$B$755,$A2423)&gt;0,1,0)</f>
        <v>0</v>
      </c>
      <c r="L2423" s="16">
        <f>IF(COUNTIFS(Release_Calendar!$A$2:$A$755,"US_NFP",Release_Calendar!$B$2:$B$755,$A2423)&gt;0,1,0)</f>
        <v>0</v>
      </c>
      <c r="M2423" s="16" t="str">
        <f>IF($A2423&lt;Notes!$B$5,"",IF(COUNTIFS(Release_Calendar!$A$2:$A$755,"NZ_CPI",Release_Calendar!$B$2:$B$755,$A2423)&gt;0,1,0))</f>
        <v/>
      </c>
      <c r="N2423" s="16" t="str">
        <f>IF($A2423&lt;Notes!$B$5,"",IF(COUNTIFS(Release_Calendar!$A$2:$A$755,"NZ_GDP",Release_Calendar!$B$2:$B$755,$A2423)&gt;0,1,0))</f>
        <v/>
      </c>
      <c r="O2423" s="16" t="str">
        <f>IF($A2423&lt;Notes!$B$5,"",IF(COUNTIFS(Release_Calendar!$A$2:$A$755,"NZ_LABOUR",Release_Calendar!$B$2:$B$755,$A2423)&gt;0,1,0))</f>
        <v/>
      </c>
      <c r="P2423" s="16">
        <f t="shared" si="4"/>
        <v>0</v>
      </c>
    </row>
    <row r="2424" ht="15.75" customHeight="1">
      <c r="A2424" s="14">
        <v>39918.0</v>
      </c>
      <c r="B2424" s="15">
        <v>0.86</v>
      </c>
      <c r="C2424" s="15"/>
      <c r="D2424" s="15">
        <v>3.77</v>
      </c>
      <c r="E2424" s="15">
        <v>3.74</v>
      </c>
      <c r="F2424" s="15" t="str">
        <f t="shared" si="1"/>
        <v/>
      </c>
      <c r="G2424" s="15">
        <f t="shared" si="2"/>
        <v>3.77</v>
      </c>
      <c r="H2424" s="16">
        <v>1.0</v>
      </c>
      <c r="I2424" s="15">
        <f t="shared" si="3"/>
        <v>2.91</v>
      </c>
      <c r="J2424" s="15">
        <v>36.17</v>
      </c>
      <c r="K2424" s="16">
        <f>IF(COUNTIFS(Release_Calendar!$A$2:$A$755,"US_CPI",Release_Calendar!$B$2:$B$755,$A2424)&gt;0,1,0)</f>
        <v>1</v>
      </c>
      <c r="L2424" s="16">
        <f>IF(COUNTIFS(Release_Calendar!$A$2:$A$755,"US_NFP",Release_Calendar!$B$2:$B$755,$A2424)&gt;0,1,0)</f>
        <v>0</v>
      </c>
      <c r="M2424" s="16" t="str">
        <f>IF($A2424&lt;Notes!$B$5,"",IF(COUNTIFS(Release_Calendar!$A$2:$A$755,"NZ_CPI",Release_Calendar!$B$2:$B$755,$A2424)&gt;0,1,0))</f>
        <v/>
      </c>
      <c r="N2424" s="16" t="str">
        <f>IF($A2424&lt;Notes!$B$5,"",IF(COUNTIFS(Release_Calendar!$A$2:$A$755,"NZ_GDP",Release_Calendar!$B$2:$B$755,$A2424)&gt;0,1,0))</f>
        <v/>
      </c>
      <c r="O2424" s="16" t="str">
        <f>IF($A2424&lt;Notes!$B$5,"",IF(COUNTIFS(Release_Calendar!$A$2:$A$755,"NZ_LABOUR",Release_Calendar!$B$2:$B$755,$A2424)&gt;0,1,0))</f>
        <v/>
      </c>
      <c r="P2424" s="16">
        <f t="shared" si="4"/>
        <v>1</v>
      </c>
    </row>
    <row r="2425" ht="15.75" customHeight="1">
      <c r="A2425" s="14">
        <v>39919.0</v>
      </c>
      <c r="B2425" s="15">
        <v>0.91</v>
      </c>
      <c r="C2425" s="15"/>
      <c r="D2425" s="15">
        <v>3.72</v>
      </c>
      <c r="E2425" s="15">
        <v>3.66</v>
      </c>
      <c r="F2425" s="15" t="str">
        <f t="shared" si="1"/>
        <v/>
      </c>
      <c r="G2425" s="15">
        <f t="shared" si="2"/>
        <v>3.72</v>
      </c>
      <c r="H2425" s="16">
        <v>1.0</v>
      </c>
      <c r="I2425" s="15">
        <f t="shared" si="3"/>
        <v>2.81</v>
      </c>
      <c r="J2425" s="15">
        <v>35.79</v>
      </c>
      <c r="K2425" s="16">
        <f>IF(COUNTIFS(Release_Calendar!$A$2:$A$755,"US_CPI",Release_Calendar!$B$2:$B$755,$A2425)&gt;0,1,0)</f>
        <v>0</v>
      </c>
      <c r="L2425" s="16">
        <f>IF(COUNTIFS(Release_Calendar!$A$2:$A$755,"US_NFP",Release_Calendar!$B$2:$B$755,$A2425)&gt;0,1,0)</f>
        <v>0</v>
      </c>
      <c r="M2425" s="16" t="str">
        <f>IF($A2425&lt;Notes!$B$5,"",IF(COUNTIFS(Release_Calendar!$A$2:$A$755,"NZ_CPI",Release_Calendar!$B$2:$B$755,$A2425)&gt;0,1,0))</f>
        <v/>
      </c>
      <c r="N2425" s="16" t="str">
        <f>IF($A2425&lt;Notes!$B$5,"",IF(COUNTIFS(Release_Calendar!$A$2:$A$755,"NZ_GDP",Release_Calendar!$B$2:$B$755,$A2425)&gt;0,1,0))</f>
        <v/>
      </c>
      <c r="O2425" s="16" t="str">
        <f>IF($A2425&lt;Notes!$B$5,"",IF(COUNTIFS(Release_Calendar!$A$2:$A$755,"NZ_LABOUR",Release_Calendar!$B$2:$B$755,$A2425)&gt;0,1,0))</f>
        <v/>
      </c>
      <c r="P2425" s="16">
        <f t="shared" si="4"/>
        <v>0</v>
      </c>
    </row>
    <row r="2426" ht="15.75" customHeight="1">
      <c r="A2426" s="14">
        <v>39920.0</v>
      </c>
      <c r="B2426" s="15">
        <v>0.99</v>
      </c>
      <c r="C2426" s="15"/>
      <c r="D2426" s="15">
        <v>3.66</v>
      </c>
      <c r="E2426" s="15">
        <v>3.66</v>
      </c>
      <c r="F2426" s="15" t="str">
        <f t="shared" si="1"/>
        <v/>
      </c>
      <c r="G2426" s="15">
        <f t="shared" si="2"/>
        <v>3.66</v>
      </c>
      <c r="H2426" s="16">
        <v>1.0</v>
      </c>
      <c r="I2426" s="15">
        <f t="shared" si="3"/>
        <v>2.67</v>
      </c>
      <c r="J2426" s="15">
        <v>33.94</v>
      </c>
      <c r="K2426" s="16">
        <f>IF(COUNTIFS(Release_Calendar!$A$2:$A$755,"US_CPI",Release_Calendar!$B$2:$B$755,$A2426)&gt;0,1,0)</f>
        <v>0</v>
      </c>
      <c r="L2426" s="16">
        <f>IF(COUNTIFS(Release_Calendar!$A$2:$A$755,"US_NFP",Release_Calendar!$B$2:$B$755,$A2426)&gt;0,1,0)</f>
        <v>0</v>
      </c>
      <c r="M2426" s="16" t="str">
        <f>IF($A2426&lt;Notes!$B$5,"",IF(COUNTIFS(Release_Calendar!$A$2:$A$755,"NZ_CPI",Release_Calendar!$B$2:$B$755,$A2426)&gt;0,1,0))</f>
        <v/>
      </c>
      <c r="N2426" s="16" t="str">
        <f>IF($A2426&lt;Notes!$B$5,"",IF(COUNTIFS(Release_Calendar!$A$2:$A$755,"NZ_GDP",Release_Calendar!$B$2:$B$755,$A2426)&gt;0,1,0))</f>
        <v/>
      </c>
      <c r="O2426" s="16" t="str">
        <f>IF($A2426&lt;Notes!$B$5,"",IF(COUNTIFS(Release_Calendar!$A$2:$A$755,"NZ_LABOUR",Release_Calendar!$B$2:$B$755,$A2426)&gt;0,1,0))</f>
        <v/>
      </c>
      <c r="P2426" s="16">
        <f t="shared" si="4"/>
        <v>0</v>
      </c>
    </row>
    <row r="2427" ht="15.75" customHeight="1">
      <c r="A2427" s="14">
        <v>39923.0</v>
      </c>
      <c r="B2427" s="15">
        <v>0.93</v>
      </c>
      <c r="C2427" s="15"/>
      <c r="D2427" s="15">
        <v>3.67</v>
      </c>
      <c r="E2427" s="15">
        <v>3.64</v>
      </c>
      <c r="F2427" s="15" t="str">
        <f t="shared" si="1"/>
        <v/>
      </c>
      <c r="G2427" s="15">
        <f t="shared" si="2"/>
        <v>3.67</v>
      </c>
      <c r="H2427" s="16">
        <v>1.0</v>
      </c>
      <c r="I2427" s="15">
        <f t="shared" si="3"/>
        <v>2.74</v>
      </c>
      <c r="J2427" s="15">
        <v>39.18</v>
      </c>
      <c r="K2427" s="16">
        <f>IF(COUNTIFS(Release_Calendar!$A$2:$A$755,"US_CPI",Release_Calendar!$B$2:$B$755,$A2427)&gt;0,1,0)</f>
        <v>0</v>
      </c>
      <c r="L2427" s="16">
        <f>IF(COUNTIFS(Release_Calendar!$A$2:$A$755,"US_NFP",Release_Calendar!$B$2:$B$755,$A2427)&gt;0,1,0)</f>
        <v>0</v>
      </c>
      <c r="M2427" s="16" t="str">
        <f>IF($A2427&lt;Notes!$B$5,"",IF(COUNTIFS(Release_Calendar!$A$2:$A$755,"NZ_CPI",Release_Calendar!$B$2:$B$755,$A2427)&gt;0,1,0))</f>
        <v/>
      </c>
      <c r="N2427" s="16" t="str">
        <f>IF($A2427&lt;Notes!$B$5,"",IF(COUNTIFS(Release_Calendar!$A$2:$A$755,"NZ_GDP",Release_Calendar!$B$2:$B$755,$A2427)&gt;0,1,0))</f>
        <v/>
      </c>
      <c r="O2427" s="16" t="str">
        <f>IF($A2427&lt;Notes!$B$5,"",IF(COUNTIFS(Release_Calendar!$A$2:$A$755,"NZ_LABOUR",Release_Calendar!$B$2:$B$755,$A2427)&gt;0,1,0))</f>
        <v/>
      </c>
      <c r="P2427" s="16">
        <f t="shared" si="4"/>
        <v>0</v>
      </c>
    </row>
    <row r="2428" ht="15.75" customHeight="1">
      <c r="A2428" s="14">
        <v>39924.0</v>
      </c>
      <c r="B2428" s="15">
        <v>0.96</v>
      </c>
      <c r="C2428" s="15"/>
      <c r="D2428" s="15">
        <v>3.62</v>
      </c>
      <c r="E2428" s="15">
        <v>3.5</v>
      </c>
      <c r="F2428" s="15" t="str">
        <f t="shared" si="1"/>
        <v/>
      </c>
      <c r="G2428" s="15">
        <f t="shared" si="2"/>
        <v>3.62</v>
      </c>
      <c r="H2428" s="16">
        <v>1.0</v>
      </c>
      <c r="I2428" s="15">
        <f t="shared" si="3"/>
        <v>2.66</v>
      </c>
      <c r="J2428" s="15">
        <v>37.14</v>
      </c>
      <c r="K2428" s="16">
        <f>IF(COUNTIFS(Release_Calendar!$A$2:$A$755,"US_CPI",Release_Calendar!$B$2:$B$755,$A2428)&gt;0,1,0)</f>
        <v>0</v>
      </c>
      <c r="L2428" s="16">
        <f>IF(COUNTIFS(Release_Calendar!$A$2:$A$755,"US_NFP",Release_Calendar!$B$2:$B$755,$A2428)&gt;0,1,0)</f>
        <v>0</v>
      </c>
      <c r="M2428" s="16" t="str">
        <f>IF($A2428&lt;Notes!$B$5,"",IF(COUNTIFS(Release_Calendar!$A$2:$A$755,"NZ_CPI",Release_Calendar!$B$2:$B$755,$A2428)&gt;0,1,0))</f>
        <v/>
      </c>
      <c r="N2428" s="16" t="str">
        <f>IF($A2428&lt;Notes!$B$5,"",IF(COUNTIFS(Release_Calendar!$A$2:$A$755,"NZ_GDP",Release_Calendar!$B$2:$B$755,$A2428)&gt;0,1,0))</f>
        <v/>
      </c>
      <c r="O2428" s="16" t="str">
        <f>IF($A2428&lt;Notes!$B$5,"",IF(COUNTIFS(Release_Calendar!$A$2:$A$755,"NZ_LABOUR",Release_Calendar!$B$2:$B$755,$A2428)&gt;0,1,0))</f>
        <v/>
      </c>
      <c r="P2428" s="16">
        <f t="shared" si="4"/>
        <v>0</v>
      </c>
    </row>
    <row r="2429" ht="15.75" customHeight="1">
      <c r="A2429" s="14">
        <v>39925.0</v>
      </c>
      <c r="B2429" s="15">
        <v>1.0</v>
      </c>
      <c r="C2429" s="15"/>
      <c r="D2429" s="15">
        <v>3.52</v>
      </c>
      <c r="E2429" s="15">
        <v>3.5</v>
      </c>
      <c r="F2429" s="15" t="str">
        <f t="shared" si="1"/>
        <v/>
      </c>
      <c r="G2429" s="15">
        <f t="shared" si="2"/>
        <v>3.52</v>
      </c>
      <c r="H2429" s="16">
        <v>1.0</v>
      </c>
      <c r="I2429" s="15">
        <f t="shared" si="3"/>
        <v>2.52</v>
      </c>
      <c r="J2429" s="15">
        <v>38.1</v>
      </c>
      <c r="K2429" s="16">
        <f>IF(COUNTIFS(Release_Calendar!$A$2:$A$755,"US_CPI",Release_Calendar!$B$2:$B$755,$A2429)&gt;0,1,0)</f>
        <v>0</v>
      </c>
      <c r="L2429" s="16">
        <f>IF(COUNTIFS(Release_Calendar!$A$2:$A$755,"US_NFP",Release_Calendar!$B$2:$B$755,$A2429)&gt;0,1,0)</f>
        <v>0</v>
      </c>
      <c r="M2429" s="16" t="str">
        <f>IF($A2429&lt;Notes!$B$5,"",IF(COUNTIFS(Release_Calendar!$A$2:$A$755,"NZ_CPI",Release_Calendar!$B$2:$B$755,$A2429)&gt;0,1,0))</f>
        <v/>
      </c>
      <c r="N2429" s="16" t="str">
        <f>IF($A2429&lt;Notes!$B$5,"",IF(COUNTIFS(Release_Calendar!$A$2:$A$755,"NZ_GDP",Release_Calendar!$B$2:$B$755,$A2429)&gt;0,1,0))</f>
        <v/>
      </c>
      <c r="O2429" s="16" t="str">
        <f>IF($A2429&lt;Notes!$B$5,"",IF(COUNTIFS(Release_Calendar!$A$2:$A$755,"NZ_LABOUR",Release_Calendar!$B$2:$B$755,$A2429)&gt;0,1,0))</f>
        <v/>
      </c>
      <c r="P2429" s="16">
        <f t="shared" si="4"/>
        <v>0</v>
      </c>
    </row>
    <row r="2430" ht="15.75" customHeight="1">
      <c r="A2430" s="14">
        <v>39926.0</v>
      </c>
      <c r="B2430" s="15">
        <v>0.97</v>
      </c>
      <c r="C2430" s="15"/>
      <c r="D2430" s="15">
        <v>3.5</v>
      </c>
      <c r="E2430" s="15">
        <v>3.56</v>
      </c>
      <c r="F2430" s="15" t="str">
        <f t="shared" si="1"/>
        <v/>
      </c>
      <c r="G2430" s="15">
        <f t="shared" si="2"/>
        <v>3.5</v>
      </c>
      <c r="H2430" s="16">
        <v>1.0</v>
      </c>
      <c r="I2430" s="15">
        <f t="shared" si="3"/>
        <v>2.53</v>
      </c>
      <c r="J2430" s="15">
        <v>37.15</v>
      </c>
      <c r="K2430" s="16">
        <f>IF(COUNTIFS(Release_Calendar!$A$2:$A$755,"US_CPI",Release_Calendar!$B$2:$B$755,$A2430)&gt;0,1,0)</f>
        <v>0</v>
      </c>
      <c r="L2430" s="16">
        <f>IF(COUNTIFS(Release_Calendar!$A$2:$A$755,"US_NFP",Release_Calendar!$B$2:$B$755,$A2430)&gt;0,1,0)</f>
        <v>0</v>
      </c>
      <c r="M2430" s="16" t="str">
        <f>IF($A2430&lt;Notes!$B$5,"",IF(COUNTIFS(Release_Calendar!$A$2:$A$755,"NZ_CPI",Release_Calendar!$B$2:$B$755,$A2430)&gt;0,1,0))</f>
        <v/>
      </c>
      <c r="N2430" s="16" t="str">
        <f>IF($A2430&lt;Notes!$B$5,"",IF(COUNTIFS(Release_Calendar!$A$2:$A$755,"NZ_GDP",Release_Calendar!$B$2:$B$755,$A2430)&gt;0,1,0))</f>
        <v/>
      </c>
      <c r="O2430" s="16" t="str">
        <f>IF($A2430&lt;Notes!$B$5,"",IF(COUNTIFS(Release_Calendar!$A$2:$A$755,"NZ_LABOUR",Release_Calendar!$B$2:$B$755,$A2430)&gt;0,1,0))</f>
        <v/>
      </c>
      <c r="P2430" s="16">
        <f t="shared" si="4"/>
        <v>0</v>
      </c>
    </row>
    <row r="2431" ht="15.75" customHeight="1">
      <c r="A2431" s="14">
        <v>39927.0</v>
      </c>
      <c r="B2431" s="15">
        <v>0.99</v>
      </c>
      <c r="C2431" s="15"/>
      <c r="D2431" s="15">
        <v>3.56</v>
      </c>
      <c r="E2431" s="15">
        <v>3.68</v>
      </c>
      <c r="F2431" s="15" t="str">
        <f t="shared" si="1"/>
        <v/>
      </c>
      <c r="G2431" s="15">
        <f t="shared" si="2"/>
        <v>3.56</v>
      </c>
      <c r="H2431" s="16">
        <v>1.0</v>
      </c>
      <c r="I2431" s="15">
        <f t="shared" si="3"/>
        <v>2.57</v>
      </c>
      <c r="J2431" s="15">
        <v>36.82</v>
      </c>
      <c r="K2431" s="16">
        <f>IF(COUNTIFS(Release_Calendar!$A$2:$A$755,"US_CPI",Release_Calendar!$B$2:$B$755,$A2431)&gt;0,1,0)</f>
        <v>0</v>
      </c>
      <c r="L2431" s="16">
        <f>IF(COUNTIFS(Release_Calendar!$A$2:$A$755,"US_NFP",Release_Calendar!$B$2:$B$755,$A2431)&gt;0,1,0)</f>
        <v>0</v>
      </c>
      <c r="M2431" s="16" t="str">
        <f>IF($A2431&lt;Notes!$B$5,"",IF(COUNTIFS(Release_Calendar!$A$2:$A$755,"NZ_CPI",Release_Calendar!$B$2:$B$755,$A2431)&gt;0,1,0))</f>
        <v/>
      </c>
      <c r="N2431" s="16" t="str">
        <f>IF($A2431&lt;Notes!$B$5,"",IF(COUNTIFS(Release_Calendar!$A$2:$A$755,"NZ_GDP",Release_Calendar!$B$2:$B$755,$A2431)&gt;0,1,0))</f>
        <v/>
      </c>
      <c r="O2431" s="16" t="str">
        <f>IF($A2431&lt;Notes!$B$5,"",IF(COUNTIFS(Release_Calendar!$A$2:$A$755,"NZ_LABOUR",Release_Calendar!$B$2:$B$755,$A2431)&gt;0,1,0))</f>
        <v/>
      </c>
      <c r="P2431" s="16">
        <f t="shared" si="4"/>
        <v>0</v>
      </c>
    </row>
    <row r="2432" ht="15.75" customHeight="1">
      <c r="A2432" s="14">
        <v>39930.0</v>
      </c>
      <c r="B2432" s="15">
        <v>0.9</v>
      </c>
      <c r="C2432" s="15"/>
      <c r="D2432" s="15">
        <v>3.68</v>
      </c>
      <c r="E2432" s="15">
        <v>3.68</v>
      </c>
      <c r="F2432" s="15" t="str">
        <f t="shared" si="1"/>
        <v/>
      </c>
      <c r="G2432" s="15">
        <f t="shared" si="2"/>
        <v>3.68</v>
      </c>
      <c r="H2432" s="16">
        <v>1.0</v>
      </c>
      <c r="I2432" s="15">
        <f t="shared" si="3"/>
        <v>2.78</v>
      </c>
      <c r="J2432" s="15">
        <v>38.32</v>
      </c>
      <c r="K2432" s="16">
        <f>IF(COUNTIFS(Release_Calendar!$A$2:$A$755,"US_CPI",Release_Calendar!$B$2:$B$755,$A2432)&gt;0,1,0)</f>
        <v>0</v>
      </c>
      <c r="L2432" s="16">
        <f>IF(COUNTIFS(Release_Calendar!$A$2:$A$755,"US_NFP",Release_Calendar!$B$2:$B$755,$A2432)&gt;0,1,0)</f>
        <v>0</v>
      </c>
      <c r="M2432" s="16" t="str">
        <f>IF($A2432&lt;Notes!$B$5,"",IF(COUNTIFS(Release_Calendar!$A$2:$A$755,"NZ_CPI",Release_Calendar!$B$2:$B$755,$A2432)&gt;0,1,0))</f>
        <v/>
      </c>
      <c r="N2432" s="16" t="str">
        <f>IF($A2432&lt;Notes!$B$5,"",IF(COUNTIFS(Release_Calendar!$A$2:$A$755,"NZ_GDP",Release_Calendar!$B$2:$B$755,$A2432)&gt;0,1,0))</f>
        <v/>
      </c>
      <c r="O2432" s="16" t="str">
        <f>IF($A2432&lt;Notes!$B$5,"",IF(COUNTIFS(Release_Calendar!$A$2:$A$755,"NZ_LABOUR",Release_Calendar!$B$2:$B$755,$A2432)&gt;0,1,0))</f>
        <v/>
      </c>
      <c r="P2432" s="16">
        <f t="shared" si="4"/>
        <v>0</v>
      </c>
    </row>
    <row r="2433" ht="15.75" customHeight="1">
      <c r="A2433" s="14">
        <v>39931.0</v>
      </c>
      <c r="B2433" s="15">
        <v>0.95</v>
      </c>
      <c r="C2433" s="15"/>
      <c r="D2433" s="15">
        <v>3.63</v>
      </c>
      <c r="E2433" s="15">
        <v>3.68</v>
      </c>
      <c r="F2433" s="15" t="str">
        <f t="shared" si="1"/>
        <v/>
      </c>
      <c r="G2433" s="15">
        <f t="shared" si="2"/>
        <v>3.63</v>
      </c>
      <c r="H2433" s="16">
        <v>1.0</v>
      </c>
      <c r="I2433" s="15">
        <f t="shared" si="3"/>
        <v>2.68</v>
      </c>
      <c r="J2433" s="15">
        <v>37.95</v>
      </c>
      <c r="K2433" s="16">
        <f>IF(COUNTIFS(Release_Calendar!$A$2:$A$755,"US_CPI",Release_Calendar!$B$2:$B$755,$A2433)&gt;0,1,0)</f>
        <v>0</v>
      </c>
      <c r="L2433" s="16">
        <f>IF(COUNTIFS(Release_Calendar!$A$2:$A$755,"US_NFP",Release_Calendar!$B$2:$B$755,$A2433)&gt;0,1,0)</f>
        <v>0</v>
      </c>
      <c r="M2433" s="16" t="str">
        <f>IF($A2433&lt;Notes!$B$5,"",IF(COUNTIFS(Release_Calendar!$A$2:$A$755,"NZ_CPI",Release_Calendar!$B$2:$B$755,$A2433)&gt;0,1,0))</f>
        <v/>
      </c>
      <c r="N2433" s="16" t="str">
        <f>IF($A2433&lt;Notes!$B$5,"",IF(COUNTIFS(Release_Calendar!$A$2:$A$755,"NZ_GDP",Release_Calendar!$B$2:$B$755,$A2433)&gt;0,1,0))</f>
        <v/>
      </c>
      <c r="O2433" s="16" t="str">
        <f>IF($A2433&lt;Notes!$B$5,"",IF(COUNTIFS(Release_Calendar!$A$2:$A$755,"NZ_LABOUR",Release_Calendar!$B$2:$B$755,$A2433)&gt;0,1,0))</f>
        <v/>
      </c>
      <c r="P2433" s="16">
        <f t="shared" si="4"/>
        <v>0</v>
      </c>
    </row>
    <row r="2434" ht="15.75" customHeight="1">
      <c r="A2434" s="14">
        <v>39932.0</v>
      </c>
      <c r="B2434" s="15">
        <v>0.94</v>
      </c>
      <c r="C2434" s="15"/>
      <c r="D2434" s="15">
        <v>3.68</v>
      </c>
      <c r="E2434" s="15">
        <v>3.74</v>
      </c>
      <c r="F2434" s="15" t="str">
        <f t="shared" si="1"/>
        <v/>
      </c>
      <c r="G2434" s="15">
        <f t="shared" si="2"/>
        <v>3.68</v>
      </c>
      <c r="H2434" s="16">
        <v>1.0</v>
      </c>
      <c r="I2434" s="15">
        <f t="shared" si="3"/>
        <v>2.74</v>
      </c>
      <c r="J2434" s="15">
        <v>36.08</v>
      </c>
      <c r="K2434" s="16">
        <f>IF(COUNTIFS(Release_Calendar!$A$2:$A$755,"US_CPI",Release_Calendar!$B$2:$B$755,$A2434)&gt;0,1,0)</f>
        <v>0</v>
      </c>
      <c r="L2434" s="16">
        <f>IF(COUNTIFS(Release_Calendar!$A$2:$A$755,"US_NFP",Release_Calendar!$B$2:$B$755,$A2434)&gt;0,1,0)</f>
        <v>0</v>
      </c>
      <c r="M2434" s="16" t="str">
        <f>IF($A2434&lt;Notes!$B$5,"",IF(COUNTIFS(Release_Calendar!$A$2:$A$755,"NZ_CPI",Release_Calendar!$B$2:$B$755,$A2434)&gt;0,1,0))</f>
        <v/>
      </c>
      <c r="N2434" s="16" t="str">
        <f>IF($A2434&lt;Notes!$B$5,"",IF(COUNTIFS(Release_Calendar!$A$2:$A$755,"NZ_GDP",Release_Calendar!$B$2:$B$755,$A2434)&gt;0,1,0))</f>
        <v/>
      </c>
      <c r="O2434" s="16" t="str">
        <f>IF($A2434&lt;Notes!$B$5,"",IF(COUNTIFS(Release_Calendar!$A$2:$A$755,"NZ_LABOUR",Release_Calendar!$B$2:$B$755,$A2434)&gt;0,1,0))</f>
        <v/>
      </c>
      <c r="P2434" s="16">
        <f t="shared" si="4"/>
        <v>0</v>
      </c>
    </row>
    <row r="2435" ht="15.75" customHeight="1">
      <c r="A2435" s="14">
        <v>39933.0</v>
      </c>
      <c r="B2435" s="15">
        <v>0.91</v>
      </c>
      <c r="C2435" s="15"/>
      <c r="D2435" s="15">
        <v>3.43</v>
      </c>
      <c r="E2435" s="15">
        <v>3.45</v>
      </c>
      <c r="F2435" s="15" t="str">
        <f t="shared" si="1"/>
        <v/>
      </c>
      <c r="G2435" s="15">
        <f t="shared" si="2"/>
        <v>3.43</v>
      </c>
      <c r="H2435" s="16">
        <v>1.0</v>
      </c>
      <c r="I2435" s="15">
        <f t="shared" si="3"/>
        <v>2.52</v>
      </c>
      <c r="J2435" s="15">
        <v>36.5</v>
      </c>
      <c r="K2435" s="16">
        <f>IF(COUNTIFS(Release_Calendar!$A$2:$A$755,"US_CPI",Release_Calendar!$B$2:$B$755,$A2435)&gt;0,1,0)</f>
        <v>0</v>
      </c>
      <c r="L2435" s="16">
        <f>IF(COUNTIFS(Release_Calendar!$A$2:$A$755,"US_NFP",Release_Calendar!$B$2:$B$755,$A2435)&gt;0,1,0)</f>
        <v>0</v>
      </c>
      <c r="M2435" s="16" t="str">
        <f>IF($A2435&lt;Notes!$B$5,"",IF(COUNTIFS(Release_Calendar!$A$2:$A$755,"NZ_CPI",Release_Calendar!$B$2:$B$755,$A2435)&gt;0,1,0))</f>
        <v/>
      </c>
      <c r="N2435" s="16" t="str">
        <f>IF($A2435&lt;Notes!$B$5,"",IF(COUNTIFS(Release_Calendar!$A$2:$A$755,"NZ_GDP",Release_Calendar!$B$2:$B$755,$A2435)&gt;0,1,0))</f>
        <v/>
      </c>
      <c r="O2435" s="16" t="str">
        <f>IF($A2435&lt;Notes!$B$5,"",IF(COUNTIFS(Release_Calendar!$A$2:$A$755,"NZ_LABOUR",Release_Calendar!$B$2:$B$755,$A2435)&gt;0,1,0))</f>
        <v/>
      </c>
      <c r="P2435" s="16">
        <f t="shared" si="4"/>
        <v>0</v>
      </c>
    </row>
    <row r="2436" ht="15.75" customHeight="1">
      <c r="A2436" s="14">
        <v>39934.0</v>
      </c>
      <c r="B2436" s="15">
        <v>0.92</v>
      </c>
      <c r="C2436" s="15"/>
      <c r="D2436" s="15">
        <v>3.45</v>
      </c>
      <c r="E2436" s="15">
        <v>3.5</v>
      </c>
      <c r="F2436" s="15" t="str">
        <f t="shared" si="1"/>
        <v/>
      </c>
      <c r="G2436" s="15">
        <f t="shared" si="2"/>
        <v>3.45</v>
      </c>
      <c r="H2436" s="16">
        <v>1.0</v>
      </c>
      <c r="I2436" s="15">
        <f t="shared" si="3"/>
        <v>2.53</v>
      </c>
      <c r="J2436" s="15">
        <v>35.3</v>
      </c>
      <c r="K2436" s="16">
        <f>IF(COUNTIFS(Release_Calendar!$A$2:$A$755,"US_CPI",Release_Calendar!$B$2:$B$755,$A2436)&gt;0,1,0)</f>
        <v>0</v>
      </c>
      <c r="L2436" s="16">
        <f>IF(COUNTIFS(Release_Calendar!$A$2:$A$755,"US_NFP",Release_Calendar!$B$2:$B$755,$A2436)&gt;0,1,0)</f>
        <v>0</v>
      </c>
      <c r="M2436" s="16" t="str">
        <f>IF($A2436&lt;Notes!$B$5,"",IF(COUNTIFS(Release_Calendar!$A$2:$A$755,"NZ_CPI",Release_Calendar!$B$2:$B$755,$A2436)&gt;0,1,0))</f>
        <v/>
      </c>
      <c r="N2436" s="16" t="str">
        <f>IF($A2436&lt;Notes!$B$5,"",IF(COUNTIFS(Release_Calendar!$A$2:$A$755,"NZ_GDP",Release_Calendar!$B$2:$B$755,$A2436)&gt;0,1,0))</f>
        <v/>
      </c>
      <c r="O2436" s="16" t="str">
        <f>IF($A2436&lt;Notes!$B$5,"",IF(COUNTIFS(Release_Calendar!$A$2:$A$755,"NZ_LABOUR",Release_Calendar!$B$2:$B$755,$A2436)&gt;0,1,0))</f>
        <v/>
      </c>
      <c r="P2436" s="16">
        <f t="shared" si="4"/>
        <v>0</v>
      </c>
    </row>
    <row r="2437" ht="15.75" customHeight="1">
      <c r="A2437" s="14">
        <v>39937.0</v>
      </c>
      <c r="B2437" s="15">
        <v>0.94</v>
      </c>
      <c r="C2437" s="15"/>
      <c r="D2437" s="15">
        <v>3.5</v>
      </c>
      <c r="E2437" s="15">
        <v>3.54</v>
      </c>
      <c r="F2437" s="15" t="str">
        <f t="shared" si="1"/>
        <v/>
      </c>
      <c r="G2437" s="15">
        <f t="shared" si="2"/>
        <v>3.5</v>
      </c>
      <c r="H2437" s="16">
        <v>1.0</v>
      </c>
      <c r="I2437" s="15">
        <f t="shared" si="3"/>
        <v>2.56</v>
      </c>
      <c r="J2437" s="15">
        <v>34.53</v>
      </c>
      <c r="K2437" s="16">
        <f>IF(COUNTIFS(Release_Calendar!$A$2:$A$755,"US_CPI",Release_Calendar!$B$2:$B$755,$A2437)&gt;0,1,0)</f>
        <v>0</v>
      </c>
      <c r="L2437" s="16">
        <f>IF(COUNTIFS(Release_Calendar!$A$2:$A$755,"US_NFP",Release_Calendar!$B$2:$B$755,$A2437)&gt;0,1,0)</f>
        <v>0</v>
      </c>
      <c r="M2437" s="16" t="str">
        <f>IF($A2437&lt;Notes!$B$5,"",IF(COUNTIFS(Release_Calendar!$A$2:$A$755,"NZ_CPI",Release_Calendar!$B$2:$B$755,$A2437)&gt;0,1,0))</f>
        <v/>
      </c>
      <c r="N2437" s="16" t="str">
        <f>IF($A2437&lt;Notes!$B$5,"",IF(COUNTIFS(Release_Calendar!$A$2:$A$755,"NZ_GDP",Release_Calendar!$B$2:$B$755,$A2437)&gt;0,1,0))</f>
        <v/>
      </c>
      <c r="O2437" s="16" t="str">
        <f>IF($A2437&lt;Notes!$B$5,"",IF(COUNTIFS(Release_Calendar!$A$2:$A$755,"NZ_LABOUR",Release_Calendar!$B$2:$B$755,$A2437)&gt;0,1,0))</f>
        <v/>
      </c>
      <c r="P2437" s="16">
        <f t="shared" si="4"/>
        <v>0</v>
      </c>
    </row>
    <row r="2438" ht="15.75" customHeight="1">
      <c r="A2438" s="14">
        <v>39938.0</v>
      </c>
      <c r="B2438" s="15">
        <v>0.98</v>
      </c>
      <c r="C2438" s="15"/>
      <c r="D2438" s="15">
        <v>3.56</v>
      </c>
      <c r="E2438" s="15">
        <v>3.59</v>
      </c>
      <c r="F2438" s="15" t="str">
        <f t="shared" si="1"/>
        <v/>
      </c>
      <c r="G2438" s="15">
        <f t="shared" si="2"/>
        <v>3.56</v>
      </c>
      <c r="H2438" s="16">
        <v>1.0</v>
      </c>
      <c r="I2438" s="15">
        <f t="shared" si="3"/>
        <v>2.58</v>
      </c>
      <c r="J2438" s="15">
        <v>33.36</v>
      </c>
      <c r="K2438" s="16">
        <f>IF(COUNTIFS(Release_Calendar!$A$2:$A$755,"US_CPI",Release_Calendar!$B$2:$B$755,$A2438)&gt;0,1,0)</f>
        <v>0</v>
      </c>
      <c r="L2438" s="16">
        <f>IF(COUNTIFS(Release_Calendar!$A$2:$A$755,"US_NFP",Release_Calendar!$B$2:$B$755,$A2438)&gt;0,1,0)</f>
        <v>0</v>
      </c>
      <c r="M2438" s="16" t="str">
        <f>IF($A2438&lt;Notes!$B$5,"",IF(COUNTIFS(Release_Calendar!$A$2:$A$755,"NZ_CPI",Release_Calendar!$B$2:$B$755,$A2438)&gt;0,1,0))</f>
        <v/>
      </c>
      <c r="N2438" s="16" t="str">
        <f>IF($A2438&lt;Notes!$B$5,"",IF(COUNTIFS(Release_Calendar!$A$2:$A$755,"NZ_GDP",Release_Calendar!$B$2:$B$755,$A2438)&gt;0,1,0))</f>
        <v/>
      </c>
      <c r="O2438" s="16" t="str">
        <f>IF($A2438&lt;Notes!$B$5,"",IF(COUNTIFS(Release_Calendar!$A$2:$A$755,"NZ_LABOUR",Release_Calendar!$B$2:$B$755,$A2438)&gt;0,1,0))</f>
        <v/>
      </c>
      <c r="P2438" s="16">
        <f t="shared" si="4"/>
        <v>0</v>
      </c>
    </row>
    <row r="2439" ht="15.75" customHeight="1">
      <c r="A2439" s="14">
        <v>39939.0</v>
      </c>
      <c r="B2439" s="15">
        <v>0.96</v>
      </c>
      <c r="C2439" s="15"/>
      <c r="D2439" s="15">
        <v>3.63</v>
      </c>
      <c r="E2439" s="15">
        <v>3.62</v>
      </c>
      <c r="F2439" s="15" t="str">
        <f t="shared" si="1"/>
        <v/>
      </c>
      <c r="G2439" s="15">
        <f t="shared" si="2"/>
        <v>3.63</v>
      </c>
      <c r="H2439" s="16">
        <v>1.0</v>
      </c>
      <c r="I2439" s="15">
        <f t="shared" si="3"/>
        <v>2.67</v>
      </c>
      <c r="J2439" s="15">
        <v>32.45</v>
      </c>
      <c r="K2439" s="16">
        <f>IF(COUNTIFS(Release_Calendar!$A$2:$A$755,"US_CPI",Release_Calendar!$B$2:$B$755,$A2439)&gt;0,1,0)</f>
        <v>0</v>
      </c>
      <c r="L2439" s="16">
        <f>IF(COUNTIFS(Release_Calendar!$A$2:$A$755,"US_NFP",Release_Calendar!$B$2:$B$755,$A2439)&gt;0,1,0)</f>
        <v>0</v>
      </c>
      <c r="M2439" s="16" t="str">
        <f>IF($A2439&lt;Notes!$B$5,"",IF(COUNTIFS(Release_Calendar!$A$2:$A$755,"NZ_CPI",Release_Calendar!$B$2:$B$755,$A2439)&gt;0,1,0))</f>
        <v/>
      </c>
      <c r="N2439" s="16" t="str">
        <f>IF($A2439&lt;Notes!$B$5,"",IF(COUNTIFS(Release_Calendar!$A$2:$A$755,"NZ_GDP",Release_Calendar!$B$2:$B$755,$A2439)&gt;0,1,0))</f>
        <v/>
      </c>
      <c r="O2439" s="16" t="str">
        <f>IF($A2439&lt;Notes!$B$5,"",IF(COUNTIFS(Release_Calendar!$A$2:$A$755,"NZ_LABOUR",Release_Calendar!$B$2:$B$755,$A2439)&gt;0,1,0))</f>
        <v/>
      </c>
      <c r="P2439" s="16">
        <f t="shared" si="4"/>
        <v>0</v>
      </c>
    </row>
    <row r="2440" ht="15.75" customHeight="1">
      <c r="A2440" s="14">
        <v>39940.0</v>
      </c>
      <c r="B2440" s="15">
        <v>1.0</v>
      </c>
      <c r="C2440" s="15"/>
      <c r="D2440" s="15">
        <v>3.69</v>
      </c>
      <c r="E2440" s="15">
        <v>3.7</v>
      </c>
      <c r="F2440" s="15" t="str">
        <f t="shared" si="1"/>
        <v/>
      </c>
      <c r="G2440" s="15">
        <f t="shared" si="2"/>
        <v>3.69</v>
      </c>
      <c r="H2440" s="16">
        <v>1.0</v>
      </c>
      <c r="I2440" s="15">
        <f t="shared" si="3"/>
        <v>2.69</v>
      </c>
      <c r="J2440" s="15">
        <v>33.44</v>
      </c>
      <c r="K2440" s="16">
        <f>IF(COUNTIFS(Release_Calendar!$A$2:$A$755,"US_CPI",Release_Calendar!$B$2:$B$755,$A2440)&gt;0,1,0)</f>
        <v>0</v>
      </c>
      <c r="L2440" s="16">
        <f>IF(COUNTIFS(Release_Calendar!$A$2:$A$755,"US_NFP",Release_Calendar!$B$2:$B$755,$A2440)&gt;0,1,0)</f>
        <v>0</v>
      </c>
      <c r="M2440" s="16" t="str">
        <f>IF($A2440&lt;Notes!$B$5,"",IF(COUNTIFS(Release_Calendar!$A$2:$A$755,"NZ_CPI",Release_Calendar!$B$2:$B$755,$A2440)&gt;0,1,0))</f>
        <v/>
      </c>
      <c r="N2440" s="16" t="str">
        <f>IF($A2440&lt;Notes!$B$5,"",IF(COUNTIFS(Release_Calendar!$A$2:$A$755,"NZ_GDP",Release_Calendar!$B$2:$B$755,$A2440)&gt;0,1,0))</f>
        <v/>
      </c>
      <c r="O2440" s="16" t="str">
        <f>IF($A2440&lt;Notes!$B$5,"",IF(COUNTIFS(Release_Calendar!$A$2:$A$755,"NZ_LABOUR",Release_Calendar!$B$2:$B$755,$A2440)&gt;0,1,0))</f>
        <v/>
      </c>
      <c r="P2440" s="16">
        <f t="shared" si="4"/>
        <v>0</v>
      </c>
    </row>
    <row r="2441" ht="15.75" customHeight="1">
      <c r="A2441" s="14">
        <v>39941.0</v>
      </c>
      <c r="B2441" s="15">
        <v>1.0</v>
      </c>
      <c r="C2441" s="15"/>
      <c r="D2441" s="15">
        <v>3.71</v>
      </c>
      <c r="E2441" s="15">
        <v>3.7</v>
      </c>
      <c r="F2441" s="15" t="str">
        <f t="shared" si="1"/>
        <v/>
      </c>
      <c r="G2441" s="15">
        <f t="shared" si="2"/>
        <v>3.71</v>
      </c>
      <c r="H2441" s="16">
        <v>1.0</v>
      </c>
      <c r="I2441" s="15">
        <f t="shared" si="3"/>
        <v>2.71</v>
      </c>
      <c r="J2441" s="15">
        <v>32.05</v>
      </c>
      <c r="K2441" s="16">
        <f>IF(COUNTIFS(Release_Calendar!$A$2:$A$755,"US_CPI",Release_Calendar!$B$2:$B$755,$A2441)&gt;0,1,0)</f>
        <v>0</v>
      </c>
      <c r="L2441" s="16">
        <f>IF(COUNTIFS(Release_Calendar!$A$2:$A$755,"US_NFP",Release_Calendar!$B$2:$B$755,$A2441)&gt;0,1,0)</f>
        <v>1</v>
      </c>
      <c r="M2441" s="16" t="str">
        <f>IF($A2441&lt;Notes!$B$5,"",IF(COUNTIFS(Release_Calendar!$A$2:$A$755,"NZ_CPI",Release_Calendar!$B$2:$B$755,$A2441)&gt;0,1,0))</f>
        <v/>
      </c>
      <c r="N2441" s="16" t="str">
        <f>IF($A2441&lt;Notes!$B$5,"",IF(COUNTIFS(Release_Calendar!$A$2:$A$755,"NZ_GDP",Release_Calendar!$B$2:$B$755,$A2441)&gt;0,1,0))</f>
        <v/>
      </c>
      <c r="O2441" s="16" t="str">
        <f>IF($A2441&lt;Notes!$B$5,"",IF(COUNTIFS(Release_Calendar!$A$2:$A$755,"NZ_LABOUR",Release_Calendar!$B$2:$B$755,$A2441)&gt;0,1,0))</f>
        <v/>
      </c>
      <c r="P2441" s="16">
        <f t="shared" si="4"/>
        <v>1</v>
      </c>
    </row>
    <row r="2442" ht="15.75" customHeight="1">
      <c r="A2442" s="14">
        <v>39944.0</v>
      </c>
      <c r="B2442" s="15">
        <v>0.92</v>
      </c>
      <c r="C2442" s="15"/>
      <c r="D2442" s="15">
        <v>3.7</v>
      </c>
      <c r="E2442" s="15">
        <v>3.66</v>
      </c>
      <c r="F2442" s="15" t="str">
        <f t="shared" si="1"/>
        <v/>
      </c>
      <c r="G2442" s="15">
        <f t="shared" si="2"/>
        <v>3.7</v>
      </c>
      <c r="H2442" s="16">
        <v>1.0</v>
      </c>
      <c r="I2442" s="15">
        <f t="shared" si="3"/>
        <v>2.78</v>
      </c>
      <c r="J2442" s="15">
        <v>32.87</v>
      </c>
      <c r="K2442" s="16">
        <f>IF(COUNTIFS(Release_Calendar!$A$2:$A$755,"US_CPI",Release_Calendar!$B$2:$B$755,$A2442)&gt;0,1,0)</f>
        <v>0</v>
      </c>
      <c r="L2442" s="16">
        <f>IF(COUNTIFS(Release_Calendar!$A$2:$A$755,"US_NFP",Release_Calendar!$B$2:$B$755,$A2442)&gt;0,1,0)</f>
        <v>0</v>
      </c>
      <c r="M2442" s="16" t="str">
        <f>IF($A2442&lt;Notes!$B$5,"",IF(COUNTIFS(Release_Calendar!$A$2:$A$755,"NZ_CPI",Release_Calendar!$B$2:$B$755,$A2442)&gt;0,1,0))</f>
        <v/>
      </c>
      <c r="N2442" s="16" t="str">
        <f>IF($A2442&lt;Notes!$B$5,"",IF(COUNTIFS(Release_Calendar!$A$2:$A$755,"NZ_GDP",Release_Calendar!$B$2:$B$755,$A2442)&gt;0,1,0))</f>
        <v/>
      </c>
      <c r="O2442" s="16" t="str">
        <f>IF($A2442&lt;Notes!$B$5,"",IF(COUNTIFS(Release_Calendar!$A$2:$A$755,"NZ_LABOUR",Release_Calendar!$B$2:$B$755,$A2442)&gt;0,1,0))</f>
        <v/>
      </c>
      <c r="P2442" s="16">
        <f t="shared" si="4"/>
        <v>0</v>
      </c>
    </row>
    <row r="2443" ht="15.75" customHeight="1">
      <c r="A2443" s="14">
        <v>39945.0</v>
      </c>
      <c r="B2443" s="15">
        <v>0.9</v>
      </c>
      <c r="C2443" s="15"/>
      <c r="D2443" s="15">
        <v>3.64</v>
      </c>
      <c r="E2443" s="15">
        <v>3.6</v>
      </c>
      <c r="F2443" s="15" t="str">
        <f t="shared" si="1"/>
        <v/>
      </c>
      <c r="G2443" s="15">
        <f t="shared" si="2"/>
        <v>3.64</v>
      </c>
      <c r="H2443" s="16">
        <v>1.0</v>
      </c>
      <c r="I2443" s="15">
        <f t="shared" si="3"/>
        <v>2.74</v>
      </c>
      <c r="J2443" s="15">
        <v>31.8</v>
      </c>
      <c r="K2443" s="16">
        <f>IF(COUNTIFS(Release_Calendar!$A$2:$A$755,"US_CPI",Release_Calendar!$B$2:$B$755,$A2443)&gt;0,1,0)</f>
        <v>0</v>
      </c>
      <c r="L2443" s="16">
        <f>IF(COUNTIFS(Release_Calendar!$A$2:$A$755,"US_NFP",Release_Calendar!$B$2:$B$755,$A2443)&gt;0,1,0)</f>
        <v>0</v>
      </c>
      <c r="M2443" s="16" t="str">
        <f>IF($A2443&lt;Notes!$B$5,"",IF(COUNTIFS(Release_Calendar!$A$2:$A$755,"NZ_CPI",Release_Calendar!$B$2:$B$755,$A2443)&gt;0,1,0))</f>
        <v/>
      </c>
      <c r="N2443" s="16" t="str">
        <f>IF($A2443&lt;Notes!$B$5,"",IF(COUNTIFS(Release_Calendar!$A$2:$A$755,"NZ_GDP",Release_Calendar!$B$2:$B$755,$A2443)&gt;0,1,0))</f>
        <v/>
      </c>
      <c r="O2443" s="16" t="str">
        <f>IF($A2443&lt;Notes!$B$5,"",IF(COUNTIFS(Release_Calendar!$A$2:$A$755,"NZ_LABOUR",Release_Calendar!$B$2:$B$755,$A2443)&gt;0,1,0))</f>
        <v/>
      </c>
      <c r="P2443" s="16">
        <f t="shared" si="4"/>
        <v>0</v>
      </c>
    </row>
    <row r="2444" ht="15.75" customHeight="1">
      <c r="A2444" s="14">
        <v>39946.0</v>
      </c>
      <c r="B2444" s="15">
        <v>0.89</v>
      </c>
      <c r="C2444" s="15"/>
      <c r="D2444" s="15">
        <v>3.6</v>
      </c>
      <c r="E2444" s="15">
        <v>3.58</v>
      </c>
      <c r="F2444" s="15" t="str">
        <f t="shared" si="1"/>
        <v/>
      </c>
      <c r="G2444" s="15">
        <f t="shared" si="2"/>
        <v>3.6</v>
      </c>
      <c r="H2444" s="16">
        <v>1.0</v>
      </c>
      <c r="I2444" s="15">
        <f t="shared" si="3"/>
        <v>2.71</v>
      </c>
      <c r="J2444" s="15">
        <v>33.65</v>
      </c>
      <c r="K2444" s="16">
        <f>IF(COUNTIFS(Release_Calendar!$A$2:$A$755,"US_CPI",Release_Calendar!$B$2:$B$755,$A2444)&gt;0,1,0)</f>
        <v>0</v>
      </c>
      <c r="L2444" s="16">
        <f>IF(COUNTIFS(Release_Calendar!$A$2:$A$755,"US_NFP",Release_Calendar!$B$2:$B$755,$A2444)&gt;0,1,0)</f>
        <v>0</v>
      </c>
      <c r="M2444" s="16" t="str">
        <f>IF($A2444&lt;Notes!$B$5,"",IF(COUNTIFS(Release_Calendar!$A$2:$A$755,"NZ_CPI",Release_Calendar!$B$2:$B$755,$A2444)&gt;0,1,0))</f>
        <v/>
      </c>
      <c r="N2444" s="16" t="str">
        <f>IF($A2444&lt;Notes!$B$5,"",IF(COUNTIFS(Release_Calendar!$A$2:$A$755,"NZ_GDP",Release_Calendar!$B$2:$B$755,$A2444)&gt;0,1,0))</f>
        <v/>
      </c>
      <c r="O2444" s="16" t="str">
        <f>IF($A2444&lt;Notes!$B$5,"",IF(COUNTIFS(Release_Calendar!$A$2:$A$755,"NZ_LABOUR",Release_Calendar!$B$2:$B$755,$A2444)&gt;0,1,0))</f>
        <v/>
      </c>
      <c r="P2444" s="16">
        <f t="shared" si="4"/>
        <v>0</v>
      </c>
    </row>
    <row r="2445" ht="15.75" customHeight="1">
      <c r="A2445" s="14">
        <v>39947.0</v>
      </c>
      <c r="B2445" s="15">
        <v>0.87</v>
      </c>
      <c r="C2445" s="15"/>
      <c r="D2445" s="15">
        <v>3.55</v>
      </c>
      <c r="E2445" s="15">
        <v>3.5</v>
      </c>
      <c r="F2445" s="15" t="str">
        <f t="shared" si="1"/>
        <v/>
      </c>
      <c r="G2445" s="15">
        <f t="shared" si="2"/>
        <v>3.55</v>
      </c>
      <c r="H2445" s="16">
        <v>1.0</v>
      </c>
      <c r="I2445" s="15">
        <f t="shared" si="3"/>
        <v>2.68</v>
      </c>
      <c r="J2445" s="15">
        <v>31.37</v>
      </c>
      <c r="K2445" s="16">
        <f>IF(COUNTIFS(Release_Calendar!$A$2:$A$755,"US_CPI",Release_Calendar!$B$2:$B$755,$A2445)&gt;0,1,0)</f>
        <v>0</v>
      </c>
      <c r="L2445" s="16">
        <f>IF(COUNTIFS(Release_Calendar!$A$2:$A$755,"US_NFP",Release_Calendar!$B$2:$B$755,$A2445)&gt;0,1,0)</f>
        <v>0</v>
      </c>
      <c r="M2445" s="16" t="str">
        <f>IF($A2445&lt;Notes!$B$5,"",IF(COUNTIFS(Release_Calendar!$A$2:$A$755,"NZ_CPI",Release_Calendar!$B$2:$B$755,$A2445)&gt;0,1,0))</f>
        <v/>
      </c>
      <c r="N2445" s="16" t="str">
        <f>IF($A2445&lt;Notes!$B$5,"",IF(COUNTIFS(Release_Calendar!$A$2:$A$755,"NZ_GDP",Release_Calendar!$B$2:$B$755,$A2445)&gt;0,1,0))</f>
        <v/>
      </c>
      <c r="O2445" s="16" t="str">
        <f>IF($A2445&lt;Notes!$B$5,"",IF(COUNTIFS(Release_Calendar!$A$2:$A$755,"NZ_LABOUR",Release_Calendar!$B$2:$B$755,$A2445)&gt;0,1,0))</f>
        <v/>
      </c>
      <c r="P2445" s="16">
        <f t="shared" si="4"/>
        <v>0</v>
      </c>
    </row>
    <row r="2446" ht="15.75" customHeight="1">
      <c r="A2446" s="14">
        <v>39948.0</v>
      </c>
      <c r="B2446" s="15">
        <v>0.88</v>
      </c>
      <c r="C2446" s="15"/>
      <c r="D2446" s="15">
        <v>3.49</v>
      </c>
      <c r="E2446" s="15">
        <v>3.52</v>
      </c>
      <c r="F2446" s="15" t="str">
        <f t="shared" si="1"/>
        <v/>
      </c>
      <c r="G2446" s="15">
        <f t="shared" si="2"/>
        <v>3.49</v>
      </c>
      <c r="H2446" s="16">
        <v>1.0</v>
      </c>
      <c r="I2446" s="15">
        <f t="shared" si="3"/>
        <v>2.61</v>
      </c>
      <c r="J2446" s="15">
        <v>33.12</v>
      </c>
      <c r="K2446" s="16">
        <f>IF(COUNTIFS(Release_Calendar!$A$2:$A$755,"US_CPI",Release_Calendar!$B$2:$B$755,$A2446)&gt;0,1,0)</f>
        <v>1</v>
      </c>
      <c r="L2446" s="16">
        <f>IF(COUNTIFS(Release_Calendar!$A$2:$A$755,"US_NFP",Release_Calendar!$B$2:$B$755,$A2446)&gt;0,1,0)</f>
        <v>0</v>
      </c>
      <c r="M2446" s="16" t="str">
        <f>IF($A2446&lt;Notes!$B$5,"",IF(COUNTIFS(Release_Calendar!$A$2:$A$755,"NZ_CPI",Release_Calendar!$B$2:$B$755,$A2446)&gt;0,1,0))</f>
        <v/>
      </c>
      <c r="N2446" s="16" t="str">
        <f>IF($A2446&lt;Notes!$B$5,"",IF(COUNTIFS(Release_Calendar!$A$2:$A$755,"NZ_GDP",Release_Calendar!$B$2:$B$755,$A2446)&gt;0,1,0))</f>
        <v/>
      </c>
      <c r="O2446" s="16" t="str">
        <f>IF($A2446&lt;Notes!$B$5,"",IF(COUNTIFS(Release_Calendar!$A$2:$A$755,"NZ_LABOUR",Release_Calendar!$B$2:$B$755,$A2446)&gt;0,1,0))</f>
        <v/>
      </c>
      <c r="P2446" s="16">
        <f t="shared" si="4"/>
        <v>1</v>
      </c>
    </row>
    <row r="2447" ht="15.75" customHeight="1">
      <c r="A2447" s="14">
        <v>39951.0</v>
      </c>
      <c r="B2447" s="15">
        <v>0.93</v>
      </c>
      <c r="C2447" s="15"/>
      <c r="D2447" s="15">
        <v>3.52</v>
      </c>
      <c r="E2447" s="15">
        <v>3.51</v>
      </c>
      <c r="F2447" s="15" t="str">
        <f t="shared" si="1"/>
        <v/>
      </c>
      <c r="G2447" s="15">
        <f t="shared" si="2"/>
        <v>3.52</v>
      </c>
      <c r="H2447" s="16">
        <v>1.0</v>
      </c>
      <c r="I2447" s="15">
        <f t="shared" si="3"/>
        <v>2.59</v>
      </c>
      <c r="J2447" s="15">
        <v>30.24</v>
      </c>
      <c r="K2447" s="16">
        <f>IF(COUNTIFS(Release_Calendar!$A$2:$A$755,"US_CPI",Release_Calendar!$B$2:$B$755,$A2447)&gt;0,1,0)</f>
        <v>0</v>
      </c>
      <c r="L2447" s="16">
        <f>IF(COUNTIFS(Release_Calendar!$A$2:$A$755,"US_NFP",Release_Calendar!$B$2:$B$755,$A2447)&gt;0,1,0)</f>
        <v>0</v>
      </c>
      <c r="M2447" s="16" t="str">
        <f>IF($A2447&lt;Notes!$B$5,"",IF(COUNTIFS(Release_Calendar!$A$2:$A$755,"NZ_CPI",Release_Calendar!$B$2:$B$755,$A2447)&gt;0,1,0))</f>
        <v/>
      </c>
      <c r="N2447" s="16" t="str">
        <f>IF($A2447&lt;Notes!$B$5,"",IF(COUNTIFS(Release_Calendar!$A$2:$A$755,"NZ_GDP",Release_Calendar!$B$2:$B$755,$A2447)&gt;0,1,0))</f>
        <v/>
      </c>
      <c r="O2447" s="16" t="str">
        <f>IF($A2447&lt;Notes!$B$5,"",IF(COUNTIFS(Release_Calendar!$A$2:$A$755,"NZ_LABOUR",Release_Calendar!$B$2:$B$755,$A2447)&gt;0,1,0))</f>
        <v/>
      </c>
      <c r="P2447" s="16">
        <f t="shared" si="4"/>
        <v>0</v>
      </c>
    </row>
    <row r="2448" ht="15.75" customHeight="1">
      <c r="A2448" s="14">
        <v>39952.0</v>
      </c>
      <c r="B2448" s="15">
        <v>0.91</v>
      </c>
      <c r="C2448" s="15"/>
      <c r="D2448" s="15">
        <v>3.59</v>
      </c>
      <c r="E2448" s="15">
        <v>3.57</v>
      </c>
      <c r="F2448" s="15" t="str">
        <f t="shared" si="1"/>
        <v/>
      </c>
      <c r="G2448" s="15">
        <f t="shared" si="2"/>
        <v>3.59</v>
      </c>
      <c r="H2448" s="16">
        <v>1.0</v>
      </c>
      <c r="I2448" s="15">
        <f t="shared" si="3"/>
        <v>2.68</v>
      </c>
      <c r="J2448" s="15">
        <v>28.8</v>
      </c>
      <c r="K2448" s="16">
        <f>IF(COUNTIFS(Release_Calendar!$A$2:$A$755,"US_CPI",Release_Calendar!$B$2:$B$755,$A2448)&gt;0,1,0)</f>
        <v>0</v>
      </c>
      <c r="L2448" s="16">
        <f>IF(COUNTIFS(Release_Calendar!$A$2:$A$755,"US_NFP",Release_Calendar!$B$2:$B$755,$A2448)&gt;0,1,0)</f>
        <v>0</v>
      </c>
      <c r="M2448" s="16" t="str">
        <f>IF($A2448&lt;Notes!$B$5,"",IF(COUNTIFS(Release_Calendar!$A$2:$A$755,"NZ_CPI",Release_Calendar!$B$2:$B$755,$A2448)&gt;0,1,0))</f>
        <v/>
      </c>
      <c r="N2448" s="16" t="str">
        <f>IF($A2448&lt;Notes!$B$5,"",IF(COUNTIFS(Release_Calendar!$A$2:$A$755,"NZ_GDP",Release_Calendar!$B$2:$B$755,$A2448)&gt;0,1,0))</f>
        <v/>
      </c>
      <c r="O2448" s="16" t="str">
        <f>IF($A2448&lt;Notes!$B$5,"",IF(COUNTIFS(Release_Calendar!$A$2:$A$755,"NZ_LABOUR",Release_Calendar!$B$2:$B$755,$A2448)&gt;0,1,0))</f>
        <v/>
      </c>
      <c r="P2448" s="16">
        <f t="shared" si="4"/>
        <v>0</v>
      </c>
    </row>
    <row r="2449" ht="15.75" customHeight="1">
      <c r="A2449" s="14">
        <v>39953.0</v>
      </c>
      <c r="B2449" s="15">
        <v>0.87</v>
      </c>
      <c r="C2449" s="15"/>
      <c r="D2449" s="15">
        <v>3.66</v>
      </c>
      <c r="E2449" s="15">
        <v>3.63</v>
      </c>
      <c r="F2449" s="15" t="str">
        <f t="shared" si="1"/>
        <v/>
      </c>
      <c r="G2449" s="15">
        <f t="shared" si="2"/>
        <v>3.66</v>
      </c>
      <c r="H2449" s="16">
        <v>1.0</v>
      </c>
      <c r="I2449" s="15">
        <f t="shared" si="3"/>
        <v>2.79</v>
      </c>
      <c r="J2449" s="15">
        <v>29.03</v>
      </c>
      <c r="K2449" s="16">
        <f>IF(COUNTIFS(Release_Calendar!$A$2:$A$755,"US_CPI",Release_Calendar!$B$2:$B$755,$A2449)&gt;0,1,0)</f>
        <v>0</v>
      </c>
      <c r="L2449" s="16">
        <f>IF(COUNTIFS(Release_Calendar!$A$2:$A$755,"US_NFP",Release_Calendar!$B$2:$B$755,$A2449)&gt;0,1,0)</f>
        <v>0</v>
      </c>
      <c r="M2449" s="16" t="str">
        <f>IF($A2449&lt;Notes!$B$5,"",IF(COUNTIFS(Release_Calendar!$A$2:$A$755,"NZ_CPI",Release_Calendar!$B$2:$B$755,$A2449)&gt;0,1,0))</f>
        <v/>
      </c>
      <c r="N2449" s="16" t="str">
        <f>IF($A2449&lt;Notes!$B$5,"",IF(COUNTIFS(Release_Calendar!$A$2:$A$755,"NZ_GDP",Release_Calendar!$B$2:$B$755,$A2449)&gt;0,1,0))</f>
        <v/>
      </c>
      <c r="O2449" s="16" t="str">
        <f>IF($A2449&lt;Notes!$B$5,"",IF(COUNTIFS(Release_Calendar!$A$2:$A$755,"NZ_LABOUR",Release_Calendar!$B$2:$B$755,$A2449)&gt;0,1,0))</f>
        <v/>
      </c>
      <c r="P2449" s="16">
        <f t="shared" si="4"/>
        <v>0</v>
      </c>
    </row>
    <row r="2450" ht="15.75" customHeight="1">
      <c r="A2450" s="14">
        <v>39954.0</v>
      </c>
      <c r="B2450" s="15">
        <v>0.89</v>
      </c>
      <c r="C2450" s="15"/>
      <c r="D2450" s="15">
        <v>3.63</v>
      </c>
      <c r="E2450" s="15">
        <v>3.62</v>
      </c>
      <c r="F2450" s="15" t="str">
        <f t="shared" si="1"/>
        <v/>
      </c>
      <c r="G2450" s="15">
        <f t="shared" si="2"/>
        <v>3.63</v>
      </c>
      <c r="H2450" s="16">
        <v>1.0</v>
      </c>
      <c r="I2450" s="15">
        <f t="shared" si="3"/>
        <v>2.74</v>
      </c>
      <c r="J2450" s="15">
        <v>31.35</v>
      </c>
      <c r="K2450" s="16">
        <f>IF(COUNTIFS(Release_Calendar!$A$2:$A$755,"US_CPI",Release_Calendar!$B$2:$B$755,$A2450)&gt;0,1,0)</f>
        <v>0</v>
      </c>
      <c r="L2450" s="16">
        <f>IF(COUNTIFS(Release_Calendar!$A$2:$A$755,"US_NFP",Release_Calendar!$B$2:$B$755,$A2450)&gt;0,1,0)</f>
        <v>0</v>
      </c>
      <c r="M2450" s="16" t="str">
        <f>IF($A2450&lt;Notes!$B$5,"",IF(COUNTIFS(Release_Calendar!$A$2:$A$755,"NZ_CPI",Release_Calendar!$B$2:$B$755,$A2450)&gt;0,1,0))</f>
        <v/>
      </c>
      <c r="N2450" s="16" t="str">
        <f>IF($A2450&lt;Notes!$B$5,"",IF(COUNTIFS(Release_Calendar!$A$2:$A$755,"NZ_GDP",Release_Calendar!$B$2:$B$755,$A2450)&gt;0,1,0))</f>
        <v/>
      </c>
      <c r="O2450" s="16" t="str">
        <f>IF($A2450&lt;Notes!$B$5,"",IF(COUNTIFS(Release_Calendar!$A$2:$A$755,"NZ_LABOUR",Release_Calendar!$B$2:$B$755,$A2450)&gt;0,1,0))</f>
        <v/>
      </c>
      <c r="P2450" s="16">
        <f t="shared" si="4"/>
        <v>0</v>
      </c>
    </row>
    <row r="2451" ht="15.75" customHeight="1">
      <c r="A2451" s="14">
        <v>39955.0</v>
      </c>
      <c r="B2451" s="15">
        <v>0.92</v>
      </c>
      <c r="C2451" s="15"/>
      <c r="D2451" s="15">
        <v>3.66</v>
      </c>
      <c r="E2451" s="15">
        <v>3.66</v>
      </c>
      <c r="F2451" s="15" t="str">
        <f t="shared" si="1"/>
        <v/>
      </c>
      <c r="G2451" s="15">
        <f t="shared" si="2"/>
        <v>3.66</v>
      </c>
      <c r="H2451" s="16">
        <v>1.0</v>
      </c>
      <c r="I2451" s="15">
        <f t="shared" si="3"/>
        <v>2.74</v>
      </c>
      <c r="J2451" s="15">
        <v>32.63</v>
      </c>
      <c r="K2451" s="16">
        <f>IF(COUNTIFS(Release_Calendar!$A$2:$A$755,"US_CPI",Release_Calendar!$B$2:$B$755,$A2451)&gt;0,1,0)</f>
        <v>0</v>
      </c>
      <c r="L2451" s="16">
        <f>IF(COUNTIFS(Release_Calendar!$A$2:$A$755,"US_NFP",Release_Calendar!$B$2:$B$755,$A2451)&gt;0,1,0)</f>
        <v>0</v>
      </c>
      <c r="M2451" s="16" t="str">
        <f>IF($A2451&lt;Notes!$B$5,"",IF(COUNTIFS(Release_Calendar!$A$2:$A$755,"NZ_CPI",Release_Calendar!$B$2:$B$755,$A2451)&gt;0,1,0))</f>
        <v/>
      </c>
      <c r="N2451" s="16" t="str">
        <f>IF($A2451&lt;Notes!$B$5,"",IF(COUNTIFS(Release_Calendar!$A$2:$A$755,"NZ_GDP",Release_Calendar!$B$2:$B$755,$A2451)&gt;0,1,0))</f>
        <v/>
      </c>
      <c r="O2451" s="16" t="str">
        <f>IF($A2451&lt;Notes!$B$5,"",IF(COUNTIFS(Release_Calendar!$A$2:$A$755,"NZ_LABOUR",Release_Calendar!$B$2:$B$755,$A2451)&gt;0,1,0))</f>
        <v/>
      </c>
      <c r="P2451" s="16">
        <f t="shared" si="4"/>
        <v>0</v>
      </c>
    </row>
    <row r="2452" ht="15.75" customHeight="1">
      <c r="A2452" s="14">
        <v>39958.0</v>
      </c>
      <c r="B2452" s="15"/>
      <c r="C2452" s="15"/>
      <c r="D2452" s="15">
        <v>3.67</v>
      </c>
      <c r="E2452" s="15">
        <v>3.69</v>
      </c>
      <c r="F2452" s="15" t="str">
        <f t="shared" si="1"/>
        <v/>
      </c>
      <c r="G2452" s="15">
        <f t="shared" si="2"/>
        <v>3.67</v>
      </c>
      <c r="H2452" s="16">
        <v>1.0</v>
      </c>
      <c r="I2452" s="15" t="str">
        <f t="shared" si="3"/>
        <v/>
      </c>
      <c r="J2452" s="15"/>
      <c r="K2452" s="16">
        <f>IF(COUNTIFS(Release_Calendar!$A$2:$A$755,"US_CPI",Release_Calendar!$B$2:$B$755,$A2452)&gt;0,1,0)</f>
        <v>0</v>
      </c>
      <c r="L2452" s="16">
        <f>IF(COUNTIFS(Release_Calendar!$A$2:$A$755,"US_NFP",Release_Calendar!$B$2:$B$755,$A2452)&gt;0,1,0)</f>
        <v>0</v>
      </c>
      <c r="M2452" s="16" t="str">
        <f>IF($A2452&lt;Notes!$B$5,"",IF(COUNTIFS(Release_Calendar!$A$2:$A$755,"NZ_CPI",Release_Calendar!$B$2:$B$755,$A2452)&gt;0,1,0))</f>
        <v/>
      </c>
      <c r="N2452" s="16" t="str">
        <f>IF($A2452&lt;Notes!$B$5,"",IF(COUNTIFS(Release_Calendar!$A$2:$A$755,"NZ_GDP",Release_Calendar!$B$2:$B$755,$A2452)&gt;0,1,0))</f>
        <v/>
      </c>
      <c r="O2452" s="16" t="str">
        <f>IF($A2452&lt;Notes!$B$5,"",IF(COUNTIFS(Release_Calendar!$A$2:$A$755,"NZ_LABOUR",Release_Calendar!$B$2:$B$755,$A2452)&gt;0,1,0))</f>
        <v/>
      </c>
      <c r="P2452" s="16">
        <f t="shared" si="4"/>
        <v>0</v>
      </c>
    </row>
    <row r="2453" ht="15.75" customHeight="1">
      <c r="A2453" s="14">
        <v>39959.0</v>
      </c>
      <c r="B2453" s="15">
        <v>0.96</v>
      </c>
      <c r="C2453" s="15"/>
      <c r="D2453" s="15">
        <v>3.69</v>
      </c>
      <c r="E2453" s="15">
        <v>3.69</v>
      </c>
      <c r="F2453" s="15" t="str">
        <f t="shared" si="1"/>
        <v/>
      </c>
      <c r="G2453" s="15">
        <f t="shared" si="2"/>
        <v>3.69</v>
      </c>
      <c r="H2453" s="16">
        <v>1.0</v>
      </c>
      <c r="I2453" s="15">
        <f t="shared" si="3"/>
        <v>2.73</v>
      </c>
      <c r="J2453" s="15">
        <v>30.62</v>
      </c>
      <c r="K2453" s="16">
        <f>IF(COUNTIFS(Release_Calendar!$A$2:$A$755,"US_CPI",Release_Calendar!$B$2:$B$755,$A2453)&gt;0,1,0)</f>
        <v>0</v>
      </c>
      <c r="L2453" s="16">
        <f>IF(COUNTIFS(Release_Calendar!$A$2:$A$755,"US_NFP",Release_Calendar!$B$2:$B$755,$A2453)&gt;0,1,0)</f>
        <v>0</v>
      </c>
      <c r="M2453" s="16" t="str">
        <f>IF($A2453&lt;Notes!$B$5,"",IF(COUNTIFS(Release_Calendar!$A$2:$A$755,"NZ_CPI",Release_Calendar!$B$2:$B$755,$A2453)&gt;0,1,0))</f>
        <v/>
      </c>
      <c r="N2453" s="16" t="str">
        <f>IF($A2453&lt;Notes!$B$5,"",IF(COUNTIFS(Release_Calendar!$A$2:$A$755,"NZ_GDP",Release_Calendar!$B$2:$B$755,$A2453)&gt;0,1,0))</f>
        <v/>
      </c>
      <c r="O2453" s="16" t="str">
        <f>IF($A2453&lt;Notes!$B$5,"",IF(COUNTIFS(Release_Calendar!$A$2:$A$755,"NZ_LABOUR",Release_Calendar!$B$2:$B$755,$A2453)&gt;0,1,0))</f>
        <v/>
      </c>
      <c r="P2453" s="16">
        <f t="shared" si="4"/>
        <v>0</v>
      </c>
    </row>
    <row r="2454" ht="15.75" customHeight="1">
      <c r="A2454" s="14">
        <v>39960.0</v>
      </c>
      <c r="B2454" s="15">
        <v>0.96</v>
      </c>
      <c r="C2454" s="15"/>
      <c r="D2454" s="15">
        <v>3.73</v>
      </c>
      <c r="E2454" s="15">
        <v>3.74</v>
      </c>
      <c r="F2454" s="15" t="str">
        <f t="shared" si="1"/>
        <v/>
      </c>
      <c r="G2454" s="15">
        <f t="shared" si="2"/>
        <v>3.73</v>
      </c>
      <c r="H2454" s="16">
        <v>1.0</v>
      </c>
      <c r="I2454" s="15">
        <f t="shared" si="3"/>
        <v>2.77</v>
      </c>
      <c r="J2454" s="15">
        <v>32.36</v>
      </c>
      <c r="K2454" s="16">
        <f>IF(COUNTIFS(Release_Calendar!$A$2:$A$755,"US_CPI",Release_Calendar!$B$2:$B$755,$A2454)&gt;0,1,0)</f>
        <v>0</v>
      </c>
      <c r="L2454" s="16">
        <f>IF(COUNTIFS(Release_Calendar!$A$2:$A$755,"US_NFP",Release_Calendar!$B$2:$B$755,$A2454)&gt;0,1,0)</f>
        <v>0</v>
      </c>
      <c r="M2454" s="16" t="str">
        <f>IF($A2454&lt;Notes!$B$5,"",IF(COUNTIFS(Release_Calendar!$A$2:$A$755,"NZ_CPI",Release_Calendar!$B$2:$B$755,$A2454)&gt;0,1,0))</f>
        <v/>
      </c>
      <c r="N2454" s="16" t="str">
        <f>IF($A2454&lt;Notes!$B$5,"",IF(COUNTIFS(Release_Calendar!$A$2:$A$755,"NZ_GDP",Release_Calendar!$B$2:$B$755,$A2454)&gt;0,1,0))</f>
        <v/>
      </c>
      <c r="O2454" s="16" t="str">
        <f>IF($A2454&lt;Notes!$B$5,"",IF(COUNTIFS(Release_Calendar!$A$2:$A$755,"NZ_LABOUR",Release_Calendar!$B$2:$B$755,$A2454)&gt;0,1,0))</f>
        <v/>
      </c>
      <c r="P2454" s="16">
        <f t="shared" si="4"/>
        <v>0</v>
      </c>
    </row>
    <row r="2455" ht="15.75" customHeight="1">
      <c r="A2455" s="14">
        <v>39961.0</v>
      </c>
      <c r="B2455" s="15">
        <v>0.97</v>
      </c>
      <c r="C2455" s="15"/>
      <c r="D2455" s="15">
        <v>3.8</v>
      </c>
      <c r="E2455" s="15">
        <v>3.65</v>
      </c>
      <c r="F2455" s="15" t="str">
        <f t="shared" si="1"/>
        <v/>
      </c>
      <c r="G2455" s="15">
        <f t="shared" si="2"/>
        <v>3.8</v>
      </c>
      <c r="H2455" s="16">
        <v>1.0</v>
      </c>
      <c r="I2455" s="15">
        <f t="shared" si="3"/>
        <v>2.83</v>
      </c>
      <c r="J2455" s="15">
        <v>31.67</v>
      </c>
      <c r="K2455" s="16">
        <f>IF(COUNTIFS(Release_Calendar!$A$2:$A$755,"US_CPI",Release_Calendar!$B$2:$B$755,$A2455)&gt;0,1,0)</f>
        <v>0</v>
      </c>
      <c r="L2455" s="16">
        <f>IF(COUNTIFS(Release_Calendar!$A$2:$A$755,"US_NFP",Release_Calendar!$B$2:$B$755,$A2455)&gt;0,1,0)</f>
        <v>0</v>
      </c>
      <c r="M2455" s="16" t="str">
        <f>IF($A2455&lt;Notes!$B$5,"",IF(COUNTIFS(Release_Calendar!$A$2:$A$755,"NZ_CPI",Release_Calendar!$B$2:$B$755,$A2455)&gt;0,1,0))</f>
        <v/>
      </c>
      <c r="N2455" s="16" t="str">
        <f>IF($A2455&lt;Notes!$B$5,"",IF(COUNTIFS(Release_Calendar!$A$2:$A$755,"NZ_GDP",Release_Calendar!$B$2:$B$755,$A2455)&gt;0,1,0))</f>
        <v/>
      </c>
      <c r="O2455" s="16" t="str">
        <f>IF($A2455&lt;Notes!$B$5,"",IF(COUNTIFS(Release_Calendar!$A$2:$A$755,"NZ_LABOUR",Release_Calendar!$B$2:$B$755,$A2455)&gt;0,1,0))</f>
        <v/>
      </c>
      <c r="P2455" s="16">
        <f t="shared" si="4"/>
        <v>0</v>
      </c>
    </row>
    <row r="2456" ht="15.75" customHeight="1">
      <c r="A2456" s="14">
        <v>39962.0</v>
      </c>
      <c r="B2456" s="15">
        <v>0.92</v>
      </c>
      <c r="C2456" s="15"/>
      <c r="D2456" s="15">
        <v>3.59</v>
      </c>
      <c r="E2456" s="15">
        <v>3.56</v>
      </c>
      <c r="F2456" s="15" t="str">
        <f t="shared" si="1"/>
        <v/>
      </c>
      <c r="G2456" s="15">
        <f t="shared" si="2"/>
        <v>3.59</v>
      </c>
      <c r="H2456" s="16">
        <v>1.0</v>
      </c>
      <c r="I2456" s="15">
        <f t="shared" si="3"/>
        <v>2.67</v>
      </c>
      <c r="J2456" s="15">
        <v>28.92</v>
      </c>
      <c r="K2456" s="16">
        <f>IF(COUNTIFS(Release_Calendar!$A$2:$A$755,"US_CPI",Release_Calendar!$B$2:$B$755,$A2456)&gt;0,1,0)</f>
        <v>0</v>
      </c>
      <c r="L2456" s="16">
        <f>IF(COUNTIFS(Release_Calendar!$A$2:$A$755,"US_NFP",Release_Calendar!$B$2:$B$755,$A2456)&gt;0,1,0)</f>
        <v>0</v>
      </c>
      <c r="M2456" s="16" t="str">
        <f>IF($A2456&lt;Notes!$B$5,"",IF(COUNTIFS(Release_Calendar!$A$2:$A$755,"NZ_CPI",Release_Calendar!$B$2:$B$755,$A2456)&gt;0,1,0))</f>
        <v/>
      </c>
      <c r="N2456" s="16" t="str">
        <f>IF($A2456&lt;Notes!$B$5,"",IF(COUNTIFS(Release_Calendar!$A$2:$A$755,"NZ_GDP",Release_Calendar!$B$2:$B$755,$A2456)&gt;0,1,0))</f>
        <v/>
      </c>
      <c r="O2456" s="16" t="str">
        <f>IF($A2456&lt;Notes!$B$5,"",IF(COUNTIFS(Release_Calendar!$A$2:$A$755,"NZ_LABOUR",Release_Calendar!$B$2:$B$755,$A2456)&gt;0,1,0))</f>
        <v/>
      </c>
      <c r="P2456" s="16">
        <f t="shared" si="4"/>
        <v>0</v>
      </c>
    </row>
    <row r="2457" ht="15.75" customHeight="1">
      <c r="A2457" s="14">
        <v>39965.0</v>
      </c>
      <c r="B2457" s="15">
        <v>0.97</v>
      </c>
      <c r="C2457" s="15"/>
      <c r="D2457" s="15"/>
      <c r="E2457" s="15"/>
      <c r="F2457" s="15" t="str">
        <f t="shared" si="1"/>
        <v/>
      </c>
      <c r="G2457" s="15" t="str">
        <f t="shared" si="2"/>
        <v/>
      </c>
      <c r="H2457" s="16">
        <v>1.0</v>
      </c>
      <c r="I2457" s="15" t="str">
        <f t="shared" si="3"/>
        <v/>
      </c>
      <c r="J2457" s="15">
        <v>30.04</v>
      </c>
      <c r="K2457" s="16">
        <f>IF(COUNTIFS(Release_Calendar!$A$2:$A$755,"US_CPI",Release_Calendar!$B$2:$B$755,$A2457)&gt;0,1,0)</f>
        <v>0</v>
      </c>
      <c r="L2457" s="16">
        <f>IF(COUNTIFS(Release_Calendar!$A$2:$A$755,"US_NFP",Release_Calendar!$B$2:$B$755,$A2457)&gt;0,1,0)</f>
        <v>0</v>
      </c>
      <c r="M2457" s="16" t="str">
        <f>IF($A2457&lt;Notes!$B$5,"",IF(COUNTIFS(Release_Calendar!$A$2:$A$755,"NZ_CPI",Release_Calendar!$B$2:$B$755,$A2457)&gt;0,1,0))</f>
        <v/>
      </c>
      <c r="N2457" s="16" t="str">
        <f>IF($A2457&lt;Notes!$B$5,"",IF(COUNTIFS(Release_Calendar!$A$2:$A$755,"NZ_GDP",Release_Calendar!$B$2:$B$755,$A2457)&gt;0,1,0))</f>
        <v/>
      </c>
      <c r="O2457" s="16" t="str">
        <f>IF($A2457&lt;Notes!$B$5,"",IF(COUNTIFS(Release_Calendar!$A$2:$A$755,"NZ_LABOUR",Release_Calendar!$B$2:$B$755,$A2457)&gt;0,1,0))</f>
        <v/>
      </c>
      <c r="P2457" s="16">
        <f t="shared" si="4"/>
        <v>0</v>
      </c>
    </row>
    <row r="2458" ht="15.75" customHeight="1">
      <c r="A2458" s="14">
        <v>39966.0</v>
      </c>
      <c r="B2458" s="15">
        <v>0.96</v>
      </c>
      <c r="C2458" s="15"/>
      <c r="D2458" s="15">
        <v>3.59</v>
      </c>
      <c r="E2458" s="15">
        <v>3.66</v>
      </c>
      <c r="F2458" s="15" t="str">
        <f t="shared" si="1"/>
        <v/>
      </c>
      <c r="G2458" s="15">
        <f t="shared" si="2"/>
        <v>3.59</v>
      </c>
      <c r="H2458" s="16">
        <v>1.0</v>
      </c>
      <c r="I2458" s="15">
        <f t="shared" si="3"/>
        <v>2.63</v>
      </c>
      <c r="J2458" s="15">
        <v>29.63</v>
      </c>
      <c r="K2458" s="16">
        <f>IF(COUNTIFS(Release_Calendar!$A$2:$A$755,"US_CPI",Release_Calendar!$B$2:$B$755,$A2458)&gt;0,1,0)</f>
        <v>0</v>
      </c>
      <c r="L2458" s="16">
        <f>IF(COUNTIFS(Release_Calendar!$A$2:$A$755,"US_NFP",Release_Calendar!$B$2:$B$755,$A2458)&gt;0,1,0)</f>
        <v>0</v>
      </c>
      <c r="M2458" s="16" t="str">
        <f>IF($A2458&lt;Notes!$B$5,"",IF(COUNTIFS(Release_Calendar!$A$2:$A$755,"NZ_CPI",Release_Calendar!$B$2:$B$755,$A2458)&gt;0,1,0))</f>
        <v/>
      </c>
      <c r="N2458" s="16" t="str">
        <f>IF($A2458&lt;Notes!$B$5,"",IF(COUNTIFS(Release_Calendar!$A$2:$A$755,"NZ_GDP",Release_Calendar!$B$2:$B$755,$A2458)&gt;0,1,0))</f>
        <v/>
      </c>
      <c r="O2458" s="16" t="str">
        <f>IF($A2458&lt;Notes!$B$5,"",IF(COUNTIFS(Release_Calendar!$A$2:$A$755,"NZ_LABOUR",Release_Calendar!$B$2:$B$755,$A2458)&gt;0,1,0))</f>
        <v/>
      </c>
      <c r="P2458" s="16">
        <f t="shared" si="4"/>
        <v>0</v>
      </c>
    </row>
    <row r="2459" ht="15.75" customHeight="1">
      <c r="A2459" s="14">
        <v>39967.0</v>
      </c>
      <c r="B2459" s="15">
        <v>0.91</v>
      </c>
      <c r="C2459" s="15"/>
      <c r="D2459" s="15">
        <v>3.66</v>
      </c>
      <c r="E2459" s="15">
        <v>3.67</v>
      </c>
      <c r="F2459" s="15" t="str">
        <f t="shared" si="1"/>
        <v/>
      </c>
      <c r="G2459" s="15">
        <f t="shared" si="2"/>
        <v>3.66</v>
      </c>
      <c r="H2459" s="16">
        <v>1.0</v>
      </c>
      <c r="I2459" s="15">
        <f t="shared" si="3"/>
        <v>2.75</v>
      </c>
      <c r="J2459" s="15">
        <v>31.02</v>
      </c>
      <c r="K2459" s="16">
        <f>IF(COUNTIFS(Release_Calendar!$A$2:$A$755,"US_CPI",Release_Calendar!$B$2:$B$755,$A2459)&gt;0,1,0)</f>
        <v>0</v>
      </c>
      <c r="L2459" s="16">
        <f>IF(COUNTIFS(Release_Calendar!$A$2:$A$755,"US_NFP",Release_Calendar!$B$2:$B$755,$A2459)&gt;0,1,0)</f>
        <v>0</v>
      </c>
      <c r="M2459" s="16" t="str">
        <f>IF($A2459&lt;Notes!$B$5,"",IF(COUNTIFS(Release_Calendar!$A$2:$A$755,"NZ_CPI",Release_Calendar!$B$2:$B$755,$A2459)&gt;0,1,0))</f>
        <v/>
      </c>
      <c r="N2459" s="16" t="str">
        <f>IF($A2459&lt;Notes!$B$5,"",IF(COUNTIFS(Release_Calendar!$A$2:$A$755,"NZ_GDP",Release_Calendar!$B$2:$B$755,$A2459)&gt;0,1,0))</f>
        <v/>
      </c>
      <c r="O2459" s="16" t="str">
        <f>IF($A2459&lt;Notes!$B$5,"",IF(COUNTIFS(Release_Calendar!$A$2:$A$755,"NZ_LABOUR",Release_Calendar!$B$2:$B$755,$A2459)&gt;0,1,0))</f>
        <v/>
      </c>
      <c r="P2459" s="16">
        <f t="shared" si="4"/>
        <v>0</v>
      </c>
    </row>
    <row r="2460" ht="15.75" customHeight="1">
      <c r="A2460" s="14">
        <v>39968.0</v>
      </c>
      <c r="B2460" s="15">
        <v>0.96</v>
      </c>
      <c r="C2460" s="15"/>
      <c r="D2460" s="15">
        <v>3.65</v>
      </c>
      <c r="E2460" s="15">
        <v>3.65</v>
      </c>
      <c r="F2460" s="15" t="str">
        <f t="shared" si="1"/>
        <v/>
      </c>
      <c r="G2460" s="15">
        <f t="shared" si="2"/>
        <v>3.65</v>
      </c>
      <c r="H2460" s="16">
        <v>1.0</v>
      </c>
      <c r="I2460" s="15">
        <f t="shared" si="3"/>
        <v>2.69</v>
      </c>
      <c r="J2460" s="15">
        <v>30.18</v>
      </c>
      <c r="K2460" s="16">
        <f>IF(COUNTIFS(Release_Calendar!$A$2:$A$755,"US_CPI",Release_Calendar!$B$2:$B$755,$A2460)&gt;0,1,0)</f>
        <v>0</v>
      </c>
      <c r="L2460" s="16">
        <f>IF(COUNTIFS(Release_Calendar!$A$2:$A$755,"US_NFP",Release_Calendar!$B$2:$B$755,$A2460)&gt;0,1,0)</f>
        <v>0</v>
      </c>
      <c r="M2460" s="16" t="str">
        <f>IF($A2460&lt;Notes!$B$5,"",IF(COUNTIFS(Release_Calendar!$A$2:$A$755,"NZ_CPI",Release_Calendar!$B$2:$B$755,$A2460)&gt;0,1,0))</f>
        <v/>
      </c>
      <c r="N2460" s="16" t="str">
        <f>IF($A2460&lt;Notes!$B$5,"",IF(COUNTIFS(Release_Calendar!$A$2:$A$755,"NZ_GDP",Release_Calendar!$B$2:$B$755,$A2460)&gt;0,1,0))</f>
        <v/>
      </c>
      <c r="O2460" s="16" t="str">
        <f>IF($A2460&lt;Notes!$B$5,"",IF(COUNTIFS(Release_Calendar!$A$2:$A$755,"NZ_LABOUR",Release_Calendar!$B$2:$B$755,$A2460)&gt;0,1,0))</f>
        <v/>
      </c>
      <c r="P2460" s="16">
        <f t="shared" si="4"/>
        <v>0</v>
      </c>
    </row>
    <row r="2461" ht="15.75" customHeight="1">
      <c r="A2461" s="14">
        <v>39969.0</v>
      </c>
      <c r="B2461" s="15">
        <v>1.32</v>
      </c>
      <c r="C2461" s="15"/>
      <c r="D2461" s="15">
        <v>3.67</v>
      </c>
      <c r="E2461" s="15">
        <v>3.69</v>
      </c>
      <c r="F2461" s="15" t="str">
        <f t="shared" si="1"/>
        <v/>
      </c>
      <c r="G2461" s="15">
        <f t="shared" si="2"/>
        <v>3.67</v>
      </c>
      <c r="H2461" s="16">
        <v>1.0</v>
      </c>
      <c r="I2461" s="15">
        <f t="shared" si="3"/>
        <v>2.35</v>
      </c>
      <c r="J2461" s="15">
        <v>29.62</v>
      </c>
      <c r="K2461" s="16">
        <f>IF(COUNTIFS(Release_Calendar!$A$2:$A$755,"US_CPI",Release_Calendar!$B$2:$B$755,$A2461)&gt;0,1,0)</f>
        <v>0</v>
      </c>
      <c r="L2461" s="16">
        <f>IF(COUNTIFS(Release_Calendar!$A$2:$A$755,"US_NFP",Release_Calendar!$B$2:$B$755,$A2461)&gt;0,1,0)</f>
        <v>1</v>
      </c>
      <c r="M2461" s="16" t="str">
        <f>IF($A2461&lt;Notes!$B$5,"",IF(COUNTIFS(Release_Calendar!$A$2:$A$755,"NZ_CPI",Release_Calendar!$B$2:$B$755,$A2461)&gt;0,1,0))</f>
        <v/>
      </c>
      <c r="N2461" s="16" t="str">
        <f>IF($A2461&lt;Notes!$B$5,"",IF(COUNTIFS(Release_Calendar!$A$2:$A$755,"NZ_GDP",Release_Calendar!$B$2:$B$755,$A2461)&gt;0,1,0))</f>
        <v/>
      </c>
      <c r="O2461" s="16" t="str">
        <f>IF($A2461&lt;Notes!$B$5,"",IF(COUNTIFS(Release_Calendar!$A$2:$A$755,"NZ_LABOUR",Release_Calendar!$B$2:$B$755,$A2461)&gt;0,1,0))</f>
        <v/>
      </c>
      <c r="P2461" s="16">
        <f t="shared" si="4"/>
        <v>1</v>
      </c>
    </row>
    <row r="2462" ht="15.75" customHeight="1">
      <c r="A2462" s="14">
        <v>39972.0</v>
      </c>
      <c r="B2462" s="15">
        <v>1.42</v>
      </c>
      <c r="C2462" s="15"/>
      <c r="D2462" s="15">
        <v>3.77</v>
      </c>
      <c r="E2462" s="15">
        <v>3.75</v>
      </c>
      <c r="F2462" s="15" t="str">
        <f t="shared" si="1"/>
        <v/>
      </c>
      <c r="G2462" s="15">
        <f t="shared" si="2"/>
        <v>3.77</v>
      </c>
      <c r="H2462" s="16">
        <v>1.0</v>
      </c>
      <c r="I2462" s="15">
        <f t="shared" si="3"/>
        <v>2.35</v>
      </c>
      <c r="J2462" s="15">
        <v>29.77</v>
      </c>
      <c r="K2462" s="16">
        <f>IF(COUNTIFS(Release_Calendar!$A$2:$A$755,"US_CPI",Release_Calendar!$B$2:$B$755,$A2462)&gt;0,1,0)</f>
        <v>0</v>
      </c>
      <c r="L2462" s="16">
        <f>IF(COUNTIFS(Release_Calendar!$A$2:$A$755,"US_NFP",Release_Calendar!$B$2:$B$755,$A2462)&gt;0,1,0)</f>
        <v>0</v>
      </c>
      <c r="M2462" s="16" t="str">
        <f>IF($A2462&lt;Notes!$B$5,"",IF(COUNTIFS(Release_Calendar!$A$2:$A$755,"NZ_CPI",Release_Calendar!$B$2:$B$755,$A2462)&gt;0,1,0))</f>
        <v/>
      </c>
      <c r="N2462" s="16" t="str">
        <f>IF($A2462&lt;Notes!$B$5,"",IF(COUNTIFS(Release_Calendar!$A$2:$A$755,"NZ_GDP",Release_Calendar!$B$2:$B$755,$A2462)&gt;0,1,0))</f>
        <v/>
      </c>
      <c r="O2462" s="16" t="str">
        <f>IF($A2462&lt;Notes!$B$5,"",IF(COUNTIFS(Release_Calendar!$A$2:$A$755,"NZ_LABOUR",Release_Calendar!$B$2:$B$755,$A2462)&gt;0,1,0))</f>
        <v/>
      </c>
      <c r="P2462" s="16">
        <f t="shared" si="4"/>
        <v>0</v>
      </c>
    </row>
    <row r="2463" ht="15.75" customHeight="1">
      <c r="A2463" s="14">
        <v>39973.0</v>
      </c>
      <c r="B2463" s="15">
        <v>1.33</v>
      </c>
      <c r="C2463" s="15"/>
      <c r="D2463" s="15">
        <v>3.72</v>
      </c>
      <c r="E2463" s="15">
        <v>3.72</v>
      </c>
      <c r="F2463" s="15" t="str">
        <f t="shared" si="1"/>
        <v/>
      </c>
      <c r="G2463" s="15">
        <f t="shared" si="2"/>
        <v>3.72</v>
      </c>
      <c r="H2463" s="16">
        <v>1.0</v>
      </c>
      <c r="I2463" s="15">
        <f t="shared" si="3"/>
        <v>2.39</v>
      </c>
      <c r="J2463" s="15">
        <v>28.27</v>
      </c>
      <c r="K2463" s="16">
        <f>IF(COUNTIFS(Release_Calendar!$A$2:$A$755,"US_CPI",Release_Calendar!$B$2:$B$755,$A2463)&gt;0,1,0)</f>
        <v>0</v>
      </c>
      <c r="L2463" s="16">
        <f>IF(COUNTIFS(Release_Calendar!$A$2:$A$755,"US_NFP",Release_Calendar!$B$2:$B$755,$A2463)&gt;0,1,0)</f>
        <v>0</v>
      </c>
      <c r="M2463" s="16" t="str">
        <f>IF($A2463&lt;Notes!$B$5,"",IF(COUNTIFS(Release_Calendar!$A$2:$A$755,"NZ_CPI",Release_Calendar!$B$2:$B$755,$A2463)&gt;0,1,0))</f>
        <v/>
      </c>
      <c r="N2463" s="16" t="str">
        <f>IF($A2463&lt;Notes!$B$5,"",IF(COUNTIFS(Release_Calendar!$A$2:$A$755,"NZ_GDP",Release_Calendar!$B$2:$B$755,$A2463)&gt;0,1,0))</f>
        <v/>
      </c>
      <c r="O2463" s="16" t="str">
        <f>IF($A2463&lt;Notes!$B$5,"",IF(COUNTIFS(Release_Calendar!$A$2:$A$755,"NZ_LABOUR",Release_Calendar!$B$2:$B$755,$A2463)&gt;0,1,0))</f>
        <v/>
      </c>
      <c r="P2463" s="16">
        <f t="shared" si="4"/>
        <v>0</v>
      </c>
    </row>
    <row r="2464" ht="15.75" customHeight="1">
      <c r="A2464" s="14">
        <v>39974.0</v>
      </c>
      <c r="B2464" s="15">
        <v>1.38</v>
      </c>
      <c r="C2464" s="15"/>
      <c r="D2464" s="15">
        <v>3.69</v>
      </c>
      <c r="E2464" s="15">
        <v>3.73</v>
      </c>
      <c r="F2464" s="15" t="str">
        <f t="shared" si="1"/>
        <v/>
      </c>
      <c r="G2464" s="15">
        <f t="shared" si="2"/>
        <v>3.69</v>
      </c>
      <c r="H2464" s="16">
        <v>1.0</v>
      </c>
      <c r="I2464" s="15">
        <f t="shared" si="3"/>
        <v>2.31</v>
      </c>
      <c r="J2464" s="15">
        <v>28.46</v>
      </c>
      <c r="K2464" s="16">
        <f>IF(COUNTIFS(Release_Calendar!$A$2:$A$755,"US_CPI",Release_Calendar!$B$2:$B$755,$A2464)&gt;0,1,0)</f>
        <v>0</v>
      </c>
      <c r="L2464" s="16">
        <f>IF(COUNTIFS(Release_Calendar!$A$2:$A$755,"US_NFP",Release_Calendar!$B$2:$B$755,$A2464)&gt;0,1,0)</f>
        <v>0</v>
      </c>
      <c r="M2464" s="16" t="str">
        <f>IF($A2464&lt;Notes!$B$5,"",IF(COUNTIFS(Release_Calendar!$A$2:$A$755,"NZ_CPI",Release_Calendar!$B$2:$B$755,$A2464)&gt;0,1,0))</f>
        <v/>
      </c>
      <c r="N2464" s="16" t="str">
        <f>IF($A2464&lt;Notes!$B$5,"",IF(COUNTIFS(Release_Calendar!$A$2:$A$755,"NZ_GDP",Release_Calendar!$B$2:$B$755,$A2464)&gt;0,1,0))</f>
        <v/>
      </c>
      <c r="O2464" s="16" t="str">
        <f>IF($A2464&lt;Notes!$B$5,"",IF(COUNTIFS(Release_Calendar!$A$2:$A$755,"NZ_LABOUR",Release_Calendar!$B$2:$B$755,$A2464)&gt;0,1,0))</f>
        <v/>
      </c>
      <c r="P2464" s="16">
        <f t="shared" si="4"/>
        <v>0</v>
      </c>
    </row>
    <row r="2465" ht="15.75" customHeight="1">
      <c r="A2465" s="14">
        <v>39975.0</v>
      </c>
      <c r="B2465" s="15">
        <v>1.35</v>
      </c>
      <c r="C2465" s="15"/>
      <c r="D2465" s="15">
        <v>3.84</v>
      </c>
      <c r="E2465" s="15">
        <v>3.85</v>
      </c>
      <c r="F2465" s="15" t="str">
        <f t="shared" si="1"/>
        <v/>
      </c>
      <c r="G2465" s="15">
        <f t="shared" si="2"/>
        <v>3.84</v>
      </c>
      <c r="H2465" s="16">
        <v>1.0</v>
      </c>
      <c r="I2465" s="15">
        <f t="shared" si="3"/>
        <v>2.49</v>
      </c>
      <c r="J2465" s="15">
        <v>28.11</v>
      </c>
      <c r="K2465" s="16">
        <f>IF(COUNTIFS(Release_Calendar!$A$2:$A$755,"US_CPI",Release_Calendar!$B$2:$B$755,$A2465)&gt;0,1,0)</f>
        <v>0</v>
      </c>
      <c r="L2465" s="16">
        <f>IF(COUNTIFS(Release_Calendar!$A$2:$A$755,"US_NFP",Release_Calendar!$B$2:$B$755,$A2465)&gt;0,1,0)</f>
        <v>0</v>
      </c>
      <c r="M2465" s="16" t="str">
        <f>IF($A2465&lt;Notes!$B$5,"",IF(COUNTIFS(Release_Calendar!$A$2:$A$755,"NZ_CPI",Release_Calendar!$B$2:$B$755,$A2465)&gt;0,1,0))</f>
        <v/>
      </c>
      <c r="N2465" s="16" t="str">
        <f>IF($A2465&lt;Notes!$B$5,"",IF(COUNTIFS(Release_Calendar!$A$2:$A$755,"NZ_GDP",Release_Calendar!$B$2:$B$755,$A2465)&gt;0,1,0))</f>
        <v/>
      </c>
      <c r="O2465" s="16" t="str">
        <f>IF($A2465&lt;Notes!$B$5,"",IF(COUNTIFS(Release_Calendar!$A$2:$A$755,"NZ_LABOUR",Release_Calendar!$B$2:$B$755,$A2465)&gt;0,1,0))</f>
        <v/>
      </c>
      <c r="P2465" s="16">
        <f t="shared" si="4"/>
        <v>0</v>
      </c>
    </row>
    <row r="2466" ht="15.75" customHeight="1">
      <c r="A2466" s="14">
        <v>39976.0</v>
      </c>
      <c r="B2466" s="15">
        <v>1.3</v>
      </c>
      <c r="C2466" s="15"/>
      <c r="D2466" s="15">
        <v>3.88</v>
      </c>
      <c r="E2466" s="15">
        <v>3.8</v>
      </c>
      <c r="F2466" s="15" t="str">
        <f t="shared" si="1"/>
        <v/>
      </c>
      <c r="G2466" s="15">
        <f t="shared" si="2"/>
        <v>3.88</v>
      </c>
      <c r="H2466" s="16">
        <v>1.0</v>
      </c>
      <c r="I2466" s="15">
        <f t="shared" si="3"/>
        <v>2.58</v>
      </c>
      <c r="J2466" s="15">
        <v>28.15</v>
      </c>
      <c r="K2466" s="16">
        <f>IF(COUNTIFS(Release_Calendar!$A$2:$A$755,"US_CPI",Release_Calendar!$B$2:$B$755,$A2466)&gt;0,1,0)</f>
        <v>0</v>
      </c>
      <c r="L2466" s="16">
        <f>IF(COUNTIFS(Release_Calendar!$A$2:$A$755,"US_NFP",Release_Calendar!$B$2:$B$755,$A2466)&gt;0,1,0)</f>
        <v>0</v>
      </c>
      <c r="M2466" s="16" t="str">
        <f>IF($A2466&lt;Notes!$B$5,"",IF(COUNTIFS(Release_Calendar!$A$2:$A$755,"NZ_CPI",Release_Calendar!$B$2:$B$755,$A2466)&gt;0,1,0))</f>
        <v/>
      </c>
      <c r="N2466" s="16" t="str">
        <f>IF($A2466&lt;Notes!$B$5,"",IF(COUNTIFS(Release_Calendar!$A$2:$A$755,"NZ_GDP",Release_Calendar!$B$2:$B$755,$A2466)&gt;0,1,0))</f>
        <v/>
      </c>
      <c r="O2466" s="16" t="str">
        <f>IF($A2466&lt;Notes!$B$5,"",IF(COUNTIFS(Release_Calendar!$A$2:$A$755,"NZ_LABOUR",Release_Calendar!$B$2:$B$755,$A2466)&gt;0,1,0))</f>
        <v/>
      </c>
      <c r="P2466" s="16">
        <f t="shared" si="4"/>
        <v>0</v>
      </c>
    </row>
    <row r="2467" ht="15.75" customHeight="1">
      <c r="A2467" s="14">
        <v>39979.0</v>
      </c>
      <c r="B2467" s="15">
        <v>1.26</v>
      </c>
      <c r="C2467" s="15"/>
      <c r="D2467" s="15">
        <v>3.79</v>
      </c>
      <c r="E2467" s="15">
        <v>3.77</v>
      </c>
      <c r="F2467" s="15" t="str">
        <f t="shared" si="1"/>
        <v/>
      </c>
      <c r="G2467" s="15">
        <f t="shared" si="2"/>
        <v>3.79</v>
      </c>
      <c r="H2467" s="16">
        <v>1.0</v>
      </c>
      <c r="I2467" s="15">
        <f t="shared" si="3"/>
        <v>2.53</v>
      </c>
      <c r="J2467" s="15">
        <v>30.81</v>
      </c>
      <c r="K2467" s="16">
        <f>IF(COUNTIFS(Release_Calendar!$A$2:$A$755,"US_CPI",Release_Calendar!$B$2:$B$755,$A2467)&gt;0,1,0)</f>
        <v>0</v>
      </c>
      <c r="L2467" s="16">
        <f>IF(COUNTIFS(Release_Calendar!$A$2:$A$755,"US_NFP",Release_Calendar!$B$2:$B$755,$A2467)&gt;0,1,0)</f>
        <v>0</v>
      </c>
      <c r="M2467" s="16" t="str">
        <f>IF($A2467&lt;Notes!$B$5,"",IF(COUNTIFS(Release_Calendar!$A$2:$A$755,"NZ_CPI",Release_Calendar!$B$2:$B$755,$A2467)&gt;0,1,0))</f>
        <v/>
      </c>
      <c r="N2467" s="16" t="str">
        <f>IF($A2467&lt;Notes!$B$5,"",IF(COUNTIFS(Release_Calendar!$A$2:$A$755,"NZ_GDP",Release_Calendar!$B$2:$B$755,$A2467)&gt;0,1,0))</f>
        <v/>
      </c>
      <c r="O2467" s="16" t="str">
        <f>IF($A2467&lt;Notes!$B$5,"",IF(COUNTIFS(Release_Calendar!$A$2:$A$755,"NZ_LABOUR",Release_Calendar!$B$2:$B$755,$A2467)&gt;0,1,0))</f>
        <v/>
      </c>
      <c r="P2467" s="16">
        <f t="shared" si="4"/>
        <v>0</v>
      </c>
    </row>
    <row r="2468" ht="15.75" customHeight="1">
      <c r="A2468" s="14">
        <v>39980.0</v>
      </c>
      <c r="B2468" s="15">
        <v>1.23</v>
      </c>
      <c r="C2468" s="15"/>
      <c r="D2468" s="15">
        <v>3.76</v>
      </c>
      <c r="E2468" s="15">
        <v>3.76</v>
      </c>
      <c r="F2468" s="15" t="str">
        <f t="shared" si="1"/>
        <v/>
      </c>
      <c r="G2468" s="15">
        <f t="shared" si="2"/>
        <v>3.76</v>
      </c>
      <c r="H2468" s="16">
        <v>1.0</v>
      </c>
      <c r="I2468" s="15">
        <f t="shared" si="3"/>
        <v>2.53</v>
      </c>
      <c r="J2468" s="15">
        <v>32.68</v>
      </c>
      <c r="K2468" s="16">
        <f>IF(COUNTIFS(Release_Calendar!$A$2:$A$755,"US_CPI",Release_Calendar!$B$2:$B$755,$A2468)&gt;0,1,0)</f>
        <v>0</v>
      </c>
      <c r="L2468" s="16">
        <f>IF(COUNTIFS(Release_Calendar!$A$2:$A$755,"US_NFP",Release_Calendar!$B$2:$B$755,$A2468)&gt;0,1,0)</f>
        <v>0</v>
      </c>
      <c r="M2468" s="16" t="str">
        <f>IF($A2468&lt;Notes!$B$5,"",IF(COUNTIFS(Release_Calendar!$A$2:$A$755,"NZ_CPI",Release_Calendar!$B$2:$B$755,$A2468)&gt;0,1,0))</f>
        <v/>
      </c>
      <c r="N2468" s="16" t="str">
        <f>IF($A2468&lt;Notes!$B$5,"",IF(COUNTIFS(Release_Calendar!$A$2:$A$755,"NZ_GDP",Release_Calendar!$B$2:$B$755,$A2468)&gt;0,1,0))</f>
        <v/>
      </c>
      <c r="O2468" s="16" t="str">
        <f>IF($A2468&lt;Notes!$B$5,"",IF(COUNTIFS(Release_Calendar!$A$2:$A$755,"NZ_LABOUR",Release_Calendar!$B$2:$B$755,$A2468)&gt;0,1,0))</f>
        <v/>
      </c>
      <c r="P2468" s="16">
        <f t="shared" si="4"/>
        <v>0</v>
      </c>
    </row>
    <row r="2469" ht="15.75" customHeight="1">
      <c r="A2469" s="14">
        <v>39981.0</v>
      </c>
      <c r="B2469" s="15">
        <v>1.19</v>
      </c>
      <c r="C2469" s="15"/>
      <c r="D2469" s="15">
        <v>3.75</v>
      </c>
      <c r="E2469" s="15">
        <v>3.76</v>
      </c>
      <c r="F2469" s="15" t="str">
        <f t="shared" si="1"/>
        <v/>
      </c>
      <c r="G2469" s="15">
        <f t="shared" si="2"/>
        <v>3.75</v>
      </c>
      <c r="H2469" s="16">
        <v>1.0</v>
      </c>
      <c r="I2469" s="15">
        <f t="shared" si="3"/>
        <v>2.56</v>
      </c>
      <c r="J2469" s="15">
        <v>31.54</v>
      </c>
      <c r="K2469" s="16">
        <f>IF(COUNTIFS(Release_Calendar!$A$2:$A$755,"US_CPI",Release_Calendar!$B$2:$B$755,$A2469)&gt;0,1,0)</f>
        <v>1</v>
      </c>
      <c r="L2469" s="16">
        <f>IF(COUNTIFS(Release_Calendar!$A$2:$A$755,"US_NFP",Release_Calendar!$B$2:$B$755,$A2469)&gt;0,1,0)</f>
        <v>0</v>
      </c>
      <c r="M2469" s="16" t="str">
        <f>IF($A2469&lt;Notes!$B$5,"",IF(COUNTIFS(Release_Calendar!$A$2:$A$755,"NZ_CPI",Release_Calendar!$B$2:$B$755,$A2469)&gt;0,1,0))</f>
        <v/>
      </c>
      <c r="N2469" s="16" t="str">
        <f>IF($A2469&lt;Notes!$B$5,"",IF(COUNTIFS(Release_Calendar!$A$2:$A$755,"NZ_GDP",Release_Calendar!$B$2:$B$755,$A2469)&gt;0,1,0))</f>
        <v/>
      </c>
      <c r="O2469" s="16" t="str">
        <f>IF($A2469&lt;Notes!$B$5,"",IF(COUNTIFS(Release_Calendar!$A$2:$A$755,"NZ_LABOUR",Release_Calendar!$B$2:$B$755,$A2469)&gt;0,1,0))</f>
        <v/>
      </c>
      <c r="P2469" s="16">
        <f t="shared" si="4"/>
        <v>1</v>
      </c>
    </row>
    <row r="2470" ht="15.75" customHeight="1">
      <c r="A2470" s="14">
        <v>39982.0</v>
      </c>
      <c r="B2470" s="15">
        <v>1.28</v>
      </c>
      <c r="C2470" s="15"/>
      <c r="D2470" s="15">
        <v>3.79</v>
      </c>
      <c r="E2470" s="15">
        <v>3.81</v>
      </c>
      <c r="F2470" s="15" t="str">
        <f t="shared" si="1"/>
        <v/>
      </c>
      <c r="G2470" s="15">
        <f t="shared" si="2"/>
        <v>3.79</v>
      </c>
      <c r="H2470" s="16">
        <v>1.0</v>
      </c>
      <c r="I2470" s="15">
        <f t="shared" si="3"/>
        <v>2.51</v>
      </c>
      <c r="J2470" s="15">
        <v>30.03</v>
      </c>
      <c r="K2470" s="16">
        <f>IF(COUNTIFS(Release_Calendar!$A$2:$A$755,"US_CPI",Release_Calendar!$B$2:$B$755,$A2470)&gt;0,1,0)</f>
        <v>0</v>
      </c>
      <c r="L2470" s="16">
        <f>IF(COUNTIFS(Release_Calendar!$A$2:$A$755,"US_NFP",Release_Calendar!$B$2:$B$755,$A2470)&gt;0,1,0)</f>
        <v>0</v>
      </c>
      <c r="M2470" s="16" t="str">
        <f>IF($A2470&lt;Notes!$B$5,"",IF(COUNTIFS(Release_Calendar!$A$2:$A$755,"NZ_CPI",Release_Calendar!$B$2:$B$755,$A2470)&gt;0,1,0))</f>
        <v/>
      </c>
      <c r="N2470" s="16" t="str">
        <f>IF($A2470&lt;Notes!$B$5,"",IF(COUNTIFS(Release_Calendar!$A$2:$A$755,"NZ_GDP",Release_Calendar!$B$2:$B$755,$A2470)&gt;0,1,0))</f>
        <v/>
      </c>
      <c r="O2470" s="16" t="str">
        <f>IF($A2470&lt;Notes!$B$5,"",IF(COUNTIFS(Release_Calendar!$A$2:$A$755,"NZ_LABOUR",Release_Calendar!$B$2:$B$755,$A2470)&gt;0,1,0))</f>
        <v/>
      </c>
      <c r="P2470" s="16">
        <f t="shared" si="4"/>
        <v>0</v>
      </c>
    </row>
    <row r="2471" ht="15.75" customHeight="1">
      <c r="A2471" s="14">
        <v>39983.0</v>
      </c>
      <c r="B2471" s="15">
        <v>1.25</v>
      </c>
      <c r="C2471" s="15"/>
      <c r="D2471" s="15">
        <v>3.86</v>
      </c>
      <c r="E2471" s="15">
        <v>3.9</v>
      </c>
      <c r="F2471" s="15" t="str">
        <f t="shared" si="1"/>
        <v/>
      </c>
      <c r="G2471" s="15">
        <f t="shared" si="2"/>
        <v>3.86</v>
      </c>
      <c r="H2471" s="16">
        <v>1.0</v>
      </c>
      <c r="I2471" s="15">
        <f t="shared" si="3"/>
        <v>2.61</v>
      </c>
      <c r="J2471" s="15">
        <v>27.99</v>
      </c>
      <c r="K2471" s="16">
        <f>IF(COUNTIFS(Release_Calendar!$A$2:$A$755,"US_CPI",Release_Calendar!$B$2:$B$755,$A2471)&gt;0,1,0)</f>
        <v>0</v>
      </c>
      <c r="L2471" s="16">
        <f>IF(COUNTIFS(Release_Calendar!$A$2:$A$755,"US_NFP",Release_Calendar!$B$2:$B$755,$A2471)&gt;0,1,0)</f>
        <v>0</v>
      </c>
      <c r="M2471" s="16" t="str">
        <f>IF($A2471&lt;Notes!$B$5,"",IF(COUNTIFS(Release_Calendar!$A$2:$A$755,"NZ_CPI",Release_Calendar!$B$2:$B$755,$A2471)&gt;0,1,0))</f>
        <v/>
      </c>
      <c r="N2471" s="16" t="str">
        <f>IF($A2471&lt;Notes!$B$5,"",IF(COUNTIFS(Release_Calendar!$A$2:$A$755,"NZ_GDP",Release_Calendar!$B$2:$B$755,$A2471)&gt;0,1,0))</f>
        <v/>
      </c>
      <c r="O2471" s="16" t="str">
        <f>IF($A2471&lt;Notes!$B$5,"",IF(COUNTIFS(Release_Calendar!$A$2:$A$755,"NZ_LABOUR",Release_Calendar!$B$2:$B$755,$A2471)&gt;0,1,0))</f>
        <v/>
      </c>
      <c r="P2471" s="16">
        <f t="shared" si="4"/>
        <v>0</v>
      </c>
    </row>
    <row r="2472" ht="15.75" customHeight="1">
      <c r="A2472" s="14">
        <v>39986.0</v>
      </c>
      <c r="B2472" s="15">
        <v>1.17</v>
      </c>
      <c r="C2472" s="15"/>
      <c r="D2472" s="15">
        <v>3.9</v>
      </c>
      <c r="E2472" s="15">
        <v>3.9</v>
      </c>
      <c r="F2472" s="15" t="str">
        <f t="shared" si="1"/>
        <v/>
      </c>
      <c r="G2472" s="15">
        <f t="shared" si="2"/>
        <v>3.9</v>
      </c>
      <c r="H2472" s="16">
        <v>1.0</v>
      </c>
      <c r="I2472" s="15">
        <f t="shared" si="3"/>
        <v>2.73</v>
      </c>
      <c r="J2472" s="15">
        <v>31.17</v>
      </c>
      <c r="K2472" s="16">
        <f>IF(COUNTIFS(Release_Calendar!$A$2:$A$755,"US_CPI",Release_Calendar!$B$2:$B$755,$A2472)&gt;0,1,0)</f>
        <v>0</v>
      </c>
      <c r="L2472" s="16">
        <f>IF(COUNTIFS(Release_Calendar!$A$2:$A$755,"US_NFP",Release_Calendar!$B$2:$B$755,$A2472)&gt;0,1,0)</f>
        <v>0</v>
      </c>
      <c r="M2472" s="16" t="str">
        <f>IF($A2472&lt;Notes!$B$5,"",IF(COUNTIFS(Release_Calendar!$A$2:$A$755,"NZ_CPI",Release_Calendar!$B$2:$B$755,$A2472)&gt;0,1,0))</f>
        <v/>
      </c>
      <c r="N2472" s="16" t="str">
        <f>IF($A2472&lt;Notes!$B$5,"",IF(COUNTIFS(Release_Calendar!$A$2:$A$755,"NZ_GDP",Release_Calendar!$B$2:$B$755,$A2472)&gt;0,1,0))</f>
        <v/>
      </c>
      <c r="O2472" s="16" t="str">
        <f>IF($A2472&lt;Notes!$B$5,"",IF(COUNTIFS(Release_Calendar!$A$2:$A$755,"NZ_LABOUR",Release_Calendar!$B$2:$B$755,$A2472)&gt;0,1,0))</f>
        <v/>
      </c>
      <c r="P2472" s="16">
        <f t="shared" si="4"/>
        <v>0</v>
      </c>
    </row>
    <row r="2473" ht="15.75" customHeight="1">
      <c r="A2473" s="14">
        <v>39987.0</v>
      </c>
      <c r="B2473" s="15">
        <v>1.14</v>
      </c>
      <c r="C2473" s="15"/>
      <c r="D2473" s="15">
        <v>3.85</v>
      </c>
      <c r="E2473" s="15">
        <v>3.85</v>
      </c>
      <c r="F2473" s="15" t="str">
        <f t="shared" si="1"/>
        <v/>
      </c>
      <c r="G2473" s="15">
        <f t="shared" si="2"/>
        <v>3.85</v>
      </c>
      <c r="H2473" s="16">
        <v>1.0</v>
      </c>
      <c r="I2473" s="15">
        <f t="shared" si="3"/>
        <v>2.71</v>
      </c>
      <c r="J2473" s="15">
        <v>30.58</v>
      </c>
      <c r="K2473" s="16">
        <f>IF(COUNTIFS(Release_Calendar!$A$2:$A$755,"US_CPI",Release_Calendar!$B$2:$B$755,$A2473)&gt;0,1,0)</f>
        <v>0</v>
      </c>
      <c r="L2473" s="16">
        <f>IF(COUNTIFS(Release_Calendar!$A$2:$A$755,"US_NFP",Release_Calendar!$B$2:$B$755,$A2473)&gt;0,1,0)</f>
        <v>0</v>
      </c>
      <c r="M2473" s="16" t="str">
        <f>IF($A2473&lt;Notes!$B$5,"",IF(COUNTIFS(Release_Calendar!$A$2:$A$755,"NZ_CPI",Release_Calendar!$B$2:$B$755,$A2473)&gt;0,1,0))</f>
        <v/>
      </c>
      <c r="N2473" s="16" t="str">
        <f>IF($A2473&lt;Notes!$B$5,"",IF(COUNTIFS(Release_Calendar!$A$2:$A$755,"NZ_GDP",Release_Calendar!$B$2:$B$755,$A2473)&gt;0,1,0))</f>
        <v/>
      </c>
      <c r="O2473" s="16" t="str">
        <f>IF($A2473&lt;Notes!$B$5,"",IF(COUNTIFS(Release_Calendar!$A$2:$A$755,"NZ_LABOUR",Release_Calendar!$B$2:$B$755,$A2473)&gt;0,1,0))</f>
        <v/>
      </c>
      <c r="P2473" s="16">
        <f t="shared" si="4"/>
        <v>0</v>
      </c>
    </row>
    <row r="2474" ht="15.75" customHeight="1">
      <c r="A2474" s="14">
        <v>39988.0</v>
      </c>
      <c r="B2474" s="15">
        <v>1.19</v>
      </c>
      <c r="C2474" s="15"/>
      <c r="D2474" s="15">
        <v>3.85</v>
      </c>
      <c r="E2474" s="15">
        <v>3.86</v>
      </c>
      <c r="F2474" s="15" t="str">
        <f t="shared" si="1"/>
        <v/>
      </c>
      <c r="G2474" s="15">
        <f t="shared" si="2"/>
        <v>3.85</v>
      </c>
      <c r="H2474" s="16">
        <v>1.0</v>
      </c>
      <c r="I2474" s="15">
        <f t="shared" si="3"/>
        <v>2.66</v>
      </c>
      <c r="J2474" s="15">
        <v>29.05</v>
      </c>
      <c r="K2474" s="16">
        <f>IF(COUNTIFS(Release_Calendar!$A$2:$A$755,"US_CPI",Release_Calendar!$B$2:$B$755,$A2474)&gt;0,1,0)</f>
        <v>0</v>
      </c>
      <c r="L2474" s="16">
        <f>IF(COUNTIFS(Release_Calendar!$A$2:$A$755,"US_NFP",Release_Calendar!$B$2:$B$755,$A2474)&gt;0,1,0)</f>
        <v>0</v>
      </c>
      <c r="M2474" s="16" t="str">
        <f>IF($A2474&lt;Notes!$B$5,"",IF(COUNTIFS(Release_Calendar!$A$2:$A$755,"NZ_CPI",Release_Calendar!$B$2:$B$755,$A2474)&gt;0,1,0))</f>
        <v/>
      </c>
      <c r="N2474" s="16" t="str">
        <f>IF($A2474&lt;Notes!$B$5,"",IF(COUNTIFS(Release_Calendar!$A$2:$A$755,"NZ_GDP",Release_Calendar!$B$2:$B$755,$A2474)&gt;0,1,0))</f>
        <v/>
      </c>
      <c r="O2474" s="16" t="str">
        <f>IF($A2474&lt;Notes!$B$5,"",IF(COUNTIFS(Release_Calendar!$A$2:$A$755,"NZ_LABOUR",Release_Calendar!$B$2:$B$755,$A2474)&gt;0,1,0))</f>
        <v/>
      </c>
      <c r="P2474" s="16">
        <f t="shared" si="4"/>
        <v>0</v>
      </c>
    </row>
    <row r="2475" ht="15.75" customHeight="1">
      <c r="A2475" s="14">
        <v>39989.0</v>
      </c>
      <c r="B2475" s="15">
        <v>1.12</v>
      </c>
      <c r="C2475" s="15"/>
      <c r="D2475" s="15">
        <v>3.89</v>
      </c>
      <c r="E2475" s="15">
        <v>3.93</v>
      </c>
      <c r="F2475" s="15" t="str">
        <f t="shared" si="1"/>
        <v/>
      </c>
      <c r="G2475" s="15">
        <f t="shared" si="2"/>
        <v>3.89</v>
      </c>
      <c r="H2475" s="16">
        <v>1.0</v>
      </c>
      <c r="I2475" s="15">
        <f t="shared" si="3"/>
        <v>2.77</v>
      </c>
      <c r="J2475" s="15">
        <v>26.36</v>
      </c>
      <c r="K2475" s="16">
        <f>IF(COUNTIFS(Release_Calendar!$A$2:$A$755,"US_CPI",Release_Calendar!$B$2:$B$755,$A2475)&gt;0,1,0)</f>
        <v>0</v>
      </c>
      <c r="L2475" s="16">
        <f>IF(COUNTIFS(Release_Calendar!$A$2:$A$755,"US_NFP",Release_Calendar!$B$2:$B$755,$A2475)&gt;0,1,0)</f>
        <v>0</v>
      </c>
      <c r="M2475" s="16" t="str">
        <f>IF($A2475&lt;Notes!$B$5,"",IF(COUNTIFS(Release_Calendar!$A$2:$A$755,"NZ_CPI",Release_Calendar!$B$2:$B$755,$A2475)&gt;0,1,0))</f>
        <v/>
      </c>
      <c r="N2475" s="16" t="str">
        <f>IF($A2475&lt;Notes!$B$5,"",IF(COUNTIFS(Release_Calendar!$A$2:$A$755,"NZ_GDP",Release_Calendar!$B$2:$B$755,$A2475)&gt;0,1,0))</f>
        <v/>
      </c>
      <c r="O2475" s="16" t="str">
        <f>IF($A2475&lt;Notes!$B$5,"",IF(COUNTIFS(Release_Calendar!$A$2:$A$755,"NZ_LABOUR",Release_Calendar!$B$2:$B$755,$A2475)&gt;0,1,0))</f>
        <v/>
      </c>
      <c r="P2475" s="16">
        <f t="shared" si="4"/>
        <v>0</v>
      </c>
    </row>
    <row r="2476" ht="15.75" customHeight="1">
      <c r="A2476" s="14">
        <v>39990.0</v>
      </c>
      <c r="B2476" s="15">
        <v>1.1</v>
      </c>
      <c r="C2476" s="15"/>
      <c r="D2476" s="15">
        <v>3.88</v>
      </c>
      <c r="E2476" s="15">
        <v>3.88</v>
      </c>
      <c r="F2476" s="15" t="str">
        <f t="shared" si="1"/>
        <v/>
      </c>
      <c r="G2476" s="15">
        <f t="shared" si="2"/>
        <v>3.88</v>
      </c>
      <c r="H2476" s="16">
        <v>1.0</v>
      </c>
      <c r="I2476" s="15">
        <f t="shared" si="3"/>
        <v>2.78</v>
      </c>
      <c r="J2476" s="15">
        <v>25.93</v>
      </c>
      <c r="K2476" s="16">
        <f>IF(COUNTIFS(Release_Calendar!$A$2:$A$755,"US_CPI",Release_Calendar!$B$2:$B$755,$A2476)&gt;0,1,0)</f>
        <v>0</v>
      </c>
      <c r="L2476" s="16">
        <f>IF(COUNTIFS(Release_Calendar!$A$2:$A$755,"US_NFP",Release_Calendar!$B$2:$B$755,$A2476)&gt;0,1,0)</f>
        <v>0</v>
      </c>
      <c r="M2476" s="16" t="str">
        <f>IF($A2476&lt;Notes!$B$5,"",IF(COUNTIFS(Release_Calendar!$A$2:$A$755,"NZ_CPI",Release_Calendar!$B$2:$B$755,$A2476)&gt;0,1,0))</f>
        <v/>
      </c>
      <c r="N2476" s="16" t="str">
        <f>IF($A2476&lt;Notes!$B$5,"",IF(COUNTIFS(Release_Calendar!$A$2:$A$755,"NZ_GDP",Release_Calendar!$B$2:$B$755,$A2476)&gt;0,1,0))</f>
        <v/>
      </c>
      <c r="O2476" s="16" t="str">
        <f>IF($A2476&lt;Notes!$B$5,"",IF(COUNTIFS(Release_Calendar!$A$2:$A$755,"NZ_LABOUR",Release_Calendar!$B$2:$B$755,$A2476)&gt;0,1,0))</f>
        <v/>
      </c>
      <c r="P2476" s="16">
        <f t="shared" si="4"/>
        <v>0</v>
      </c>
    </row>
    <row r="2477" ht="15.75" customHeight="1">
      <c r="A2477" s="14">
        <v>39993.0</v>
      </c>
      <c r="B2477" s="15">
        <v>1.11</v>
      </c>
      <c r="C2477" s="15"/>
      <c r="D2477" s="15">
        <v>3.88</v>
      </c>
      <c r="E2477" s="15">
        <v>3.82</v>
      </c>
      <c r="F2477" s="15" t="str">
        <f t="shared" si="1"/>
        <v/>
      </c>
      <c r="G2477" s="15">
        <f t="shared" si="2"/>
        <v>3.88</v>
      </c>
      <c r="H2477" s="16">
        <v>1.0</v>
      </c>
      <c r="I2477" s="15">
        <f t="shared" si="3"/>
        <v>2.77</v>
      </c>
      <c r="J2477" s="15">
        <v>25.35</v>
      </c>
      <c r="K2477" s="16">
        <f>IF(COUNTIFS(Release_Calendar!$A$2:$A$755,"US_CPI",Release_Calendar!$B$2:$B$755,$A2477)&gt;0,1,0)</f>
        <v>0</v>
      </c>
      <c r="L2477" s="16">
        <f>IF(COUNTIFS(Release_Calendar!$A$2:$A$755,"US_NFP",Release_Calendar!$B$2:$B$755,$A2477)&gt;0,1,0)</f>
        <v>0</v>
      </c>
      <c r="M2477" s="16" t="str">
        <f>IF($A2477&lt;Notes!$B$5,"",IF(COUNTIFS(Release_Calendar!$A$2:$A$755,"NZ_CPI",Release_Calendar!$B$2:$B$755,$A2477)&gt;0,1,0))</f>
        <v/>
      </c>
      <c r="N2477" s="16" t="str">
        <f>IF($A2477&lt;Notes!$B$5,"",IF(COUNTIFS(Release_Calendar!$A$2:$A$755,"NZ_GDP",Release_Calendar!$B$2:$B$755,$A2477)&gt;0,1,0))</f>
        <v/>
      </c>
      <c r="O2477" s="16" t="str">
        <f>IF($A2477&lt;Notes!$B$5,"",IF(COUNTIFS(Release_Calendar!$A$2:$A$755,"NZ_LABOUR",Release_Calendar!$B$2:$B$755,$A2477)&gt;0,1,0))</f>
        <v/>
      </c>
      <c r="P2477" s="16">
        <f t="shared" si="4"/>
        <v>0</v>
      </c>
    </row>
    <row r="2478" ht="15.75" customHeight="1">
      <c r="A2478" s="14">
        <v>39994.0</v>
      </c>
      <c r="B2478" s="15">
        <v>1.11</v>
      </c>
      <c r="C2478" s="15"/>
      <c r="D2478" s="15">
        <v>3.82</v>
      </c>
      <c r="E2478" s="15">
        <v>3.8</v>
      </c>
      <c r="F2478" s="15" t="str">
        <f t="shared" si="1"/>
        <v/>
      </c>
      <c r="G2478" s="15">
        <f t="shared" si="2"/>
        <v>3.82</v>
      </c>
      <c r="H2478" s="16">
        <v>1.0</v>
      </c>
      <c r="I2478" s="15">
        <f t="shared" si="3"/>
        <v>2.71</v>
      </c>
      <c r="J2478" s="15">
        <v>26.35</v>
      </c>
      <c r="K2478" s="16">
        <f>IF(COUNTIFS(Release_Calendar!$A$2:$A$755,"US_CPI",Release_Calendar!$B$2:$B$755,$A2478)&gt;0,1,0)</f>
        <v>0</v>
      </c>
      <c r="L2478" s="16">
        <f>IF(COUNTIFS(Release_Calendar!$A$2:$A$755,"US_NFP",Release_Calendar!$B$2:$B$755,$A2478)&gt;0,1,0)</f>
        <v>0</v>
      </c>
      <c r="M2478" s="16" t="str">
        <f>IF($A2478&lt;Notes!$B$5,"",IF(COUNTIFS(Release_Calendar!$A$2:$A$755,"NZ_CPI",Release_Calendar!$B$2:$B$755,$A2478)&gt;0,1,0))</f>
        <v/>
      </c>
      <c r="N2478" s="16" t="str">
        <f>IF($A2478&lt;Notes!$B$5,"",IF(COUNTIFS(Release_Calendar!$A$2:$A$755,"NZ_GDP",Release_Calendar!$B$2:$B$755,$A2478)&gt;0,1,0))</f>
        <v/>
      </c>
      <c r="O2478" s="16" t="str">
        <f>IF($A2478&lt;Notes!$B$5,"",IF(COUNTIFS(Release_Calendar!$A$2:$A$755,"NZ_LABOUR",Release_Calendar!$B$2:$B$755,$A2478)&gt;0,1,0))</f>
        <v/>
      </c>
      <c r="P2478" s="16">
        <f t="shared" si="4"/>
        <v>0</v>
      </c>
    </row>
    <row r="2479" ht="15.75" customHeight="1">
      <c r="A2479" s="14">
        <v>39995.0</v>
      </c>
      <c r="B2479" s="15">
        <v>1.05</v>
      </c>
      <c r="C2479" s="15"/>
      <c r="D2479" s="15">
        <v>3.8</v>
      </c>
      <c r="E2479" s="15">
        <v>3.77</v>
      </c>
      <c r="F2479" s="15" t="str">
        <f t="shared" si="1"/>
        <v/>
      </c>
      <c r="G2479" s="15">
        <f t="shared" si="2"/>
        <v>3.8</v>
      </c>
      <c r="H2479" s="16">
        <v>1.0</v>
      </c>
      <c r="I2479" s="15">
        <f t="shared" si="3"/>
        <v>2.75</v>
      </c>
      <c r="J2479" s="15">
        <v>26.22</v>
      </c>
      <c r="K2479" s="16">
        <f>IF(COUNTIFS(Release_Calendar!$A$2:$A$755,"US_CPI",Release_Calendar!$B$2:$B$755,$A2479)&gt;0,1,0)</f>
        <v>0</v>
      </c>
      <c r="L2479" s="16">
        <f>IF(COUNTIFS(Release_Calendar!$A$2:$A$755,"US_NFP",Release_Calendar!$B$2:$B$755,$A2479)&gt;0,1,0)</f>
        <v>0</v>
      </c>
      <c r="M2479" s="16" t="str">
        <f>IF($A2479&lt;Notes!$B$5,"",IF(COUNTIFS(Release_Calendar!$A$2:$A$755,"NZ_CPI",Release_Calendar!$B$2:$B$755,$A2479)&gt;0,1,0))</f>
        <v/>
      </c>
      <c r="N2479" s="16" t="str">
        <f>IF($A2479&lt;Notes!$B$5,"",IF(COUNTIFS(Release_Calendar!$A$2:$A$755,"NZ_GDP",Release_Calendar!$B$2:$B$755,$A2479)&gt;0,1,0))</f>
        <v/>
      </c>
      <c r="O2479" s="16" t="str">
        <f>IF($A2479&lt;Notes!$B$5,"",IF(COUNTIFS(Release_Calendar!$A$2:$A$755,"NZ_LABOUR",Release_Calendar!$B$2:$B$755,$A2479)&gt;0,1,0))</f>
        <v/>
      </c>
      <c r="P2479" s="16">
        <f t="shared" si="4"/>
        <v>0</v>
      </c>
    </row>
    <row r="2480" ht="15.75" customHeight="1">
      <c r="A2480" s="14">
        <v>39996.0</v>
      </c>
      <c r="B2480" s="15">
        <v>0.98</v>
      </c>
      <c r="C2480" s="15"/>
      <c r="D2480" s="15">
        <v>3.76</v>
      </c>
      <c r="E2480" s="15">
        <v>3.73</v>
      </c>
      <c r="F2480" s="15" t="str">
        <f t="shared" si="1"/>
        <v/>
      </c>
      <c r="G2480" s="15">
        <f t="shared" si="2"/>
        <v>3.76</v>
      </c>
      <c r="H2480" s="16">
        <v>1.0</v>
      </c>
      <c r="I2480" s="15">
        <f t="shared" si="3"/>
        <v>2.78</v>
      </c>
      <c r="J2480" s="15">
        <v>27.95</v>
      </c>
      <c r="K2480" s="16">
        <f>IF(COUNTIFS(Release_Calendar!$A$2:$A$755,"US_CPI",Release_Calendar!$B$2:$B$755,$A2480)&gt;0,1,0)</f>
        <v>0</v>
      </c>
      <c r="L2480" s="16">
        <f>IF(COUNTIFS(Release_Calendar!$A$2:$A$755,"US_NFP",Release_Calendar!$B$2:$B$755,$A2480)&gt;0,1,0)</f>
        <v>1</v>
      </c>
      <c r="M2480" s="16" t="str">
        <f>IF($A2480&lt;Notes!$B$5,"",IF(COUNTIFS(Release_Calendar!$A$2:$A$755,"NZ_CPI",Release_Calendar!$B$2:$B$755,$A2480)&gt;0,1,0))</f>
        <v/>
      </c>
      <c r="N2480" s="16" t="str">
        <f>IF($A2480&lt;Notes!$B$5,"",IF(COUNTIFS(Release_Calendar!$A$2:$A$755,"NZ_GDP",Release_Calendar!$B$2:$B$755,$A2480)&gt;0,1,0))</f>
        <v/>
      </c>
      <c r="O2480" s="16" t="str">
        <f>IF($A2480&lt;Notes!$B$5,"",IF(COUNTIFS(Release_Calendar!$A$2:$A$755,"NZ_LABOUR",Release_Calendar!$B$2:$B$755,$A2480)&gt;0,1,0))</f>
        <v/>
      </c>
      <c r="P2480" s="16">
        <f t="shared" si="4"/>
        <v>1</v>
      </c>
    </row>
    <row r="2481" ht="15.75" customHeight="1">
      <c r="A2481" s="14">
        <v>39997.0</v>
      </c>
      <c r="B2481" s="15"/>
      <c r="C2481" s="15"/>
      <c r="D2481" s="15">
        <v>3.7</v>
      </c>
      <c r="E2481" s="15">
        <v>3.69</v>
      </c>
      <c r="F2481" s="15" t="str">
        <f t="shared" si="1"/>
        <v/>
      </c>
      <c r="G2481" s="15">
        <f t="shared" si="2"/>
        <v>3.7</v>
      </c>
      <c r="H2481" s="16">
        <v>1.0</v>
      </c>
      <c r="I2481" s="15" t="str">
        <f t="shared" si="3"/>
        <v/>
      </c>
      <c r="J2481" s="15"/>
      <c r="K2481" s="16">
        <f>IF(COUNTIFS(Release_Calendar!$A$2:$A$755,"US_CPI",Release_Calendar!$B$2:$B$755,$A2481)&gt;0,1,0)</f>
        <v>0</v>
      </c>
      <c r="L2481" s="16">
        <f>IF(COUNTIFS(Release_Calendar!$A$2:$A$755,"US_NFP",Release_Calendar!$B$2:$B$755,$A2481)&gt;0,1,0)</f>
        <v>0</v>
      </c>
      <c r="M2481" s="16" t="str">
        <f>IF($A2481&lt;Notes!$B$5,"",IF(COUNTIFS(Release_Calendar!$A$2:$A$755,"NZ_CPI",Release_Calendar!$B$2:$B$755,$A2481)&gt;0,1,0))</f>
        <v/>
      </c>
      <c r="N2481" s="16" t="str">
        <f>IF($A2481&lt;Notes!$B$5,"",IF(COUNTIFS(Release_Calendar!$A$2:$A$755,"NZ_GDP",Release_Calendar!$B$2:$B$755,$A2481)&gt;0,1,0))</f>
        <v/>
      </c>
      <c r="O2481" s="16" t="str">
        <f>IF($A2481&lt;Notes!$B$5,"",IF(COUNTIFS(Release_Calendar!$A$2:$A$755,"NZ_LABOUR",Release_Calendar!$B$2:$B$755,$A2481)&gt;0,1,0))</f>
        <v/>
      </c>
      <c r="P2481" s="16">
        <f t="shared" si="4"/>
        <v>0</v>
      </c>
    </row>
    <row r="2482" ht="15.75" customHeight="1">
      <c r="A2482" s="14">
        <v>40000.0</v>
      </c>
      <c r="B2482" s="15">
        <v>0.96</v>
      </c>
      <c r="C2482" s="15"/>
      <c r="D2482" s="15">
        <v>3.69</v>
      </c>
      <c r="E2482" s="15">
        <v>3.63</v>
      </c>
      <c r="F2482" s="15" t="str">
        <f t="shared" si="1"/>
        <v/>
      </c>
      <c r="G2482" s="15">
        <f t="shared" si="2"/>
        <v>3.69</v>
      </c>
      <c r="H2482" s="16">
        <v>1.0</v>
      </c>
      <c r="I2482" s="15">
        <f t="shared" si="3"/>
        <v>2.73</v>
      </c>
      <c r="J2482" s="15">
        <v>29.0</v>
      </c>
      <c r="K2482" s="16">
        <f>IF(COUNTIFS(Release_Calendar!$A$2:$A$755,"US_CPI",Release_Calendar!$B$2:$B$755,$A2482)&gt;0,1,0)</f>
        <v>0</v>
      </c>
      <c r="L2482" s="16">
        <f>IF(COUNTIFS(Release_Calendar!$A$2:$A$755,"US_NFP",Release_Calendar!$B$2:$B$755,$A2482)&gt;0,1,0)</f>
        <v>0</v>
      </c>
      <c r="M2482" s="16" t="str">
        <f>IF($A2482&lt;Notes!$B$5,"",IF(COUNTIFS(Release_Calendar!$A$2:$A$755,"NZ_CPI",Release_Calendar!$B$2:$B$755,$A2482)&gt;0,1,0))</f>
        <v/>
      </c>
      <c r="N2482" s="16" t="str">
        <f>IF($A2482&lt;Notes!$B$5,"",IF(COUNTIFS(Release_Calendar!$A$2:$A$755,"NZ_GDP",Release_Calendar!$B$2:$B$755,$A2482)&gt;0,1,0))</f>
        <v/>
      </c>
      <c r="O2482" s="16" t="str">
        <f>IF($A2482&lt;Notes!$B$5,"",IF(COUNTIFS(Release_Calendar!$A$2:$A$755,"NZ_LABOUR",Release_Calendar!$B$2:$B$755,$A2482)&gt;0,1,0))</f>
        <v/>
      </c>
      <c r="P2482" s="16">
        <f t="shared" si="4"/>
        <v>0</v>
      </c>
    </row>
    <row r="2483" ht="15.75" customHeight="1">
      <c r="A2483" s="14">
        <v>40001.0</v>
      </c>
      <c r="B2483" s="15">
        <v>0.98</v>
      </c>
      <c r="C2483" s="15"/>
      <c r="D2483" s="15">
        <v>3.63</v>
      </c>
      <c r="E2483" s="15">
        <v>3.6</v>
      </c>
      <c r="F2483" s="15" t="str">
        <f t="shared" si="1"/>
        <v/>
      </c>
      <c r="G2483" s="15">
        <f t="shared" si="2"/>
        <v>3.63</v>
      </c>
      <c r="H2483" s="16">
        <v>1.0</v>
      </c>
      <c r="I2483" s="15">
        <f t="shared" si="3"/>
        <v>2.65</v>
      </c>
      <c r="J2483" s="15">
        <v>30.85</v>
      </c>
      <c r="K2483" s="16">
        <f>IF(COUNTIFS(Release_Calendar!$A$2:$A$755,"US_CPI",Release_Calendar!$B$2:$B$755,$A2483)&gt;0,1,0)</f>
        <v>0</v>
      </c>
      <c r="L2483" s="16">
        <f>IF(COUNTIFS(Release_Calendar!$A$2:$A$755,"US_NFP",Release_Calendar!$B$2:$B$755,$A2483)&gt;0,1,0)</f>
        <v>0</v>
      </c>
      <c r="M2483" s="16" t="str">
        <f>IF($A2483&lt;Notes!$B$5,"",IF(COUNTIFS(Release_Calendar!$A$2:$A$755,"NZ_CPI",Release_Calendar!$B$2:$B$755,$A2483)&gt;0,1,0))</f>
        <v/>
      </c>
      <c r="N2483" s="16" t="str">
        <f>IF($A2483&lt;Notes!$B$5,"",IF(COUNTIFS(Release_Calendar!$A$2:$A$755,"NZ_GDP",Release_Calendar!$B$2:$B$755,$A2483)&gt;0,1,0))</f>
        <v/>
      </c>
      <c r="O2483" s="16" t="str">
        <f>IF($A2483&lt;Notes!$B$5,"",IF(COUNTIFS(Release_Calendar!$A$2:$A$755,"NZ_LABOUR",Release_Calendar!$B$2:$B$755,$A2483)&gt;0,1,0))</f>
        <v/>
      </c>
      <c r="P2483" s="16">
        <f t="shared" si="4"/>
        <v>0</v>
      </c>
    </row>
    <row r="2484" ht="15.75" customHeight="1">
      <c r="A2484" s="14">
        <v>40002.0</v>
      </c>
      <c r="B2484" s="15">
        <v>0.91</v>
      </c>
      <c r="C2484" s="15"/>
      <c r="D2484" s="15">
        <v>3.59</v>
      </c>
      <c r="E2484" s="15">
        <v>3.59</v>
      </c>
      <c r="F2484" s="15" t="str">
        <f t="shared" si="1"/>
        <v/>
      </c>
      <c r="G2484" s="15">
        <f t="shared" si="2"/>
        <v>3.59</v>
      </c>
      <c r="H2484" s="16">
        <v>1.0</v>
      </c>
      <c r="I2484" s="15">
        <f t="shared" si="3"/>
        <v>2.68</v>
      </c>
      <c r="J2484" s="15">
        <v>31.3</v>
      </c>
      <c r="K2484" s="16">
        <f>IF(COUNTIFS(Release_Calendar!$A$2:$A$755,"US_CPI",Release_Calendar!$B$2:$B$755,$A2484)&gt;0,1,0)</f>
        <v>0</v>
      </c>
      <c r="L2484" s="16">
        <f>IF(COUNTIFS(Release_Calendar!$A$2:$A$755,"US_NFP",Release_Calendar!$B$2:$B$755,$A2484)&gt;0,1,0)</f>
        <v>0</v>
      </c>
      <c r="M2484" s="16" t="str">
        <f>IF($A2484&lt;Notes!$B$5,"",IF(COUNTIFS(Release_Calendar!$A$2:$A$755,"NZ_CPI",Release_Calendar!$B$2:$B$755,$A2484)&gt;0,1,0))</f>
        <v/>
      </c>
      <c r="N2484" s="16" t="str">
        <f>IF($A2484&lt;Notes!$B$5,"",IF(COUNTIFS(Release_Calendar!$A$2:$A$755,"NZ_GDP",Release_Calendar!$B$2:$B$755,$A2484)&gt;0,1,0))</f>
        <v/>
      </c>
      <c r="O2484" s="16" t="str">
        <f>IF($A2484&lt;Notes!$B$5,"",IF(COUNTIFS(Release_Calendar!$A$2:$A$755,"NZ_LABOUR",Release_Calendar!$B$2:$B$755,$A2484)&gt;0,1,0))</f>
        <v/>
      </c>
      <c r="P2484" s="16">
        <f t="shared" si="4"/>
        <v>0</v>
      </c>
    </row>
    <row r="2485" ht="15.75" customHeight="1">
      <c r="A2485" s="14">
        <v>40003.0</v>
      </c>
      <c r="B2485" s="15">
        <v>0.94</v>
      </c>
      <c r="C2485" s="15"/>
      <c r="D2485" s="15">
        <v>3.58</v>
      </c>
      <c r="E2485" s="15">
        <v>3.6</v>
      </c>
      <c r="F2485" s="15" t="str">
        <f t="shared" si="1"/>
        <v/>
      </c>
      <c r="G2485" s="15">
        <f t="shared" si="2"/>
        <v>3.58</v>
      </c>
      <c r="H2485" s="16">
        <v>1.0</v>
      </c>
      <c r="I2485" s="15">
        <f t="shared" si="3"/>
        <v>2.64</v>
      </c>
      <c r="J2485" s="15">
        <v>29.78</v>
      </c>
      <c r="K2485" s="16">
        <f>IF(COUNTIFS(Release_Calendar!$A$2:$A$755,"US_CPI",Release_Calendar!$B$2:$B$755,$A2485)&gt;0,1,0)</f>
        <v>0</v>
      </c>
      <c r="L2485" s="16">
        <f>IF(COUNTIFS(Release_Calendar!$A$2:$A$755,"US_NFP",Release_Calendar!$B$2:$B$755,$A2485)&gt;0,1,0)</f>
        <v>0</v>
      </c>
      <c r="M2485" s="16" t="str">
        <f>IF($A2485&lt;Notes!$B$5,"",IF(COUNTIFS(Release_Calendar!$A$2:$A$755,"NZ_CPI",Release_Calendar!$B$2:$B$755,$A2485)&gt;0,1,0))</f>
        <v/>
      </c>
      <c r="N2485" s="16" t="str">
        <f>IF($A2485&lt;Notes!$B$5,"",IF(COUNTIFS(Release_Calendar!$A$2:$A$755,"NZ_GDP",Release_Calendar!$B$2:$B$755,$A2485)&gt;0,1,0))</f>
        <v/>
      </c>
      <c r="O2485" s="16" t="str">
        <f>IF($A2485&lt;Notes!$B$5,"",IF(COUNTIFS(Release_Calendar!$A$2:$A$755,"NZ_LABOUR",Release_Calendar!$B$2:$B$755,$A2485)&gt;0,1,0))</f>
        <v/>
      </c>
      <c r="P2485" s="16">
        <f t="shared" si="4"/>
        <v>0</v>
      </c>
    </row>
    <row r="2486" ht="15.75" customHeight="1">
      <c r="A2486" s="14">
        <v>40004.0</v>
      </c>
      <c r="B2486" s="15">
        <v>0.91</v>
      </c>
      <c r="C2486" s="15"/>
      <c r="D2486" s="15">
        <v>3.65</v>
      </c>
      <c r="E2486" s="15">
        <v>3.65</v>
      </c>
      <c r="F2486" s="15" t="str">
        <f t="shared" si="1"/>
        <v/>
      </c>
      <c r="G2486" s="15">
        <f t="shared" si="2"/>
        <v>3.65</v>
      </c>
      <c r="H2486" s="16">
        <v>1.0</v>
      </c>
      <c r="I2486" s="15">
        <f t="shared" si="3"/>
        <v>2.74</v>
      </c>
      <c r="J2486" s="15">
        <v>29.02</v>
      </c>
      <c r="K2486" s="16">
        <f>IF(COUNTIFS(Release_Calendar!$A$2:$A$755,"US_CPI",Release_Calendar!$B$2:$B$755,$A2486)&gt;0,1,0)</f>
        <v>0</v>
      </c>
      <c r="L2486" s="16">
        <f>IF(COUNTIFS(Release_Calendar!$A$2:$A$755,"US_NFP",Release_Calendar!$B$2:$B$755,$A2486)&gt;0,1,0)</f>
        <v>0</v>
      </c>
      <c r="M2486" s="16" t="str">
        <f>IF($A2486&lt;Notes!$B$5,"",IF(COUNTIFS(Release_Calendar!$A$2:$A$755,"NZ_CPI",Release_Calendar!$B$2:$B$755,$A2486)&gt;0,1,0))</f>
        <v/>
      </c>
      <c r="N2486" s="16" t="str">
        <f>IF($A2486&lt;Notes!$B$5,"",IF(COUNTIFS(Release_Calendar!$A$2:$A$755,"NZ_GDP",Release_Calendar!$B$2:$B$755,$A2486)&gt;0,1,0))</f>
        <v/>
      </c>
      <c r="O2486" s="16" t="str">
        <f>IF($A2486&lt;Notes!$B$5,"",IF(COUNTIFS(Release_Calendar!$A$2:$A$755,"NZ_LABOUR",Release_Calendar!$B$2:$B$755,$A2486)&gt;0,1,0))</f>
        <v/>
      </c>
      <c r="P2486" s="16">
        <f t="shared" si="4"/>
        <v>0</v>
      </c>
    </row>
    <row r="2487" ht="15.75" customHeight="1">
      <c r="A2487" s="14">
        <v>40007.0</v>
      </c>
      <c r="B2487" s="15">
        <v>0.92</v>
      </c>
      <c r="C2487" s="15"/>
      <c r="D2487" s="15">
        <v>3.63</v>
      </c>
      <c r="E2487" s="15">
        <v>3.68</v>
      </c>
      <c r="F2487" s="15" t="str">
        <f t="shared" si="1"/>
        <v/>
      </c>
      <c r="G2487" s="15">
        <f t="shared" si="2"/>
        <v>3.63</v>
      </c>
      <c r="H2487" s="16">
        <v>1.0</v>
      </c>
      <c r="I2487" s="15">
        <f t="shared" si="3"/>
        <v>2.71</v>
      </c>
      <c r="J2487" s="15">
        <v>26.31</v>
      </c>
      <c r="K2487" s="16">
        <f>IF(COUNTIFS(Release_Calendar!$A$2:$A$755,"US_CPI",Release_Calendar!$B$2:$B$755,$A2487)&gt;0,1,0)</f>
        <v>0</v>
      </c>
      <c r="L2487" s="16">
        <f>IF(COUNTIFS(Release_Calendar!$A$2:$A$755,"US_NFP",Release_Calendar!$B$2:$B$755,$A2487)&gt;0,1,0)</f>
        <v>0</v>
      </c>
      <c r="M2487" s="16" t="str">
        <f>IF($A2487&lt;Notes!$B$5,"",IF(COUNTIFS(Release_Calendar!$A$2:$A$755,"NZ_CPI",Release_Calendar!$B$2:$B$755,$A2487)&gt;0,1,0))</f>
        <v/>
      </c>
      <c r="N2487" s="16" t="str">
        <f>IF($A2487&lt;Notes!$B$5,"",IF(COUNTIFS(Release_Calendar!$A$2:$A$755,"NZ_GDP",Release_Calendar!$B$2:$B$755,$A2487)&gt;0,1,0))</f>
        <v/>
      </c>
      <c r="O2487" s="16" t="str">
        <f>IF($A2487&lt;Notes!$B$5,"",IF(COUNTIFS(Release_Calendar!$A$2:$A$755,"NZ_LABOUR",Release_Calendar!$B$2:$B$755,$A2487)&gt;0,1,0))</f>
        <v/>
      </c>
      <c r="P2487" s="16">
        <f t="shared" si="4"/>
        <v>0</v>
      </c>
    </row>
    <row r="2488" ht="15.75" customHeight="1">
      <c r="A2488" s="14">
        <v>40008.0</v>
      </c>
      <c r="B2488" s="15">
        <v>0.97</v>
      </c>
      <c r="C2488" s="15"/>
      <c r="D2488" s="15">
        <v>3.71</v>
      </c>
      <c r="E2488" s="15">
        <v>3.72</v>
      </c>
      <c r="F2488" s="15" t="str">
        <f t="shared" si="1"/>
        <v/>
      </c>
      <c r="G2488" s="15">
        <f t="shared" si="2"/>
        <v>3.71</v>
      </c>
      <c r="H2488" s="16">
        <v>1.0</v>
      </c>
      <c r="I2488" s="15">
        <f t="shared" si="3"/>
        <v>2.74</v>
      </c>
      <c r="J2488" s="15">
        <v>25.02</v>
      </c>
      <c r="K2488" s="16">
        <f>IF(COUNTIFS(Release_Calendar!$A$2:$A$755,"US_CPI",Release_Calendar!$B$2:$B$755,$A2488)&gt;0,1,0)</f>
        <v>0</v>
      </c>
      <c r="L2488" s="16">
        <f>IF(COUNTIFS(Release_Calendar!$A$2:$A$755,"US_NFP",Release_Calendar!$B$2:$B$755,$A2488)&gt;0,1,0)</f>
        <v>0</v>
      </c>
      <c r="M2488" s="16" t="str">
        <f>IF($A2488&lt;Notes!$B$5,"",IF(COUNTIFS(Release_Calendar!$A$2:$A$755,"NZ_CPI",Release_Calendar!$B$2:$B$755,$A2488)&gt;0,1,0))</f>
        <v/>
      </c>
      <c r="N2488" s="16" t="str">
        <f>IF($A2488&lt;Notes!$B$5,"",IF(COUNTIFS(Release_Calendar!$A$2:$A$755,"NZ_GDP",Release_Calendar!$B$2:$B$755,$A2488)&gt;0,1,0))</f>
        <v/>
      </c>
      <c r="O2488" s="16" t="str">
        <f>IF($A2488&lt;Notes!$B$5,"",IF(COUNTIFS(Release_Calendar!$A$2:$A$755,"NZ_LABOUR",Release_Calendar!$B$2:$B$755,$A2488)&gt;0,1,0))</f>
        <v/>
      </c>
      <c r="P2488" s="16">
        <f t="shared" si="4"/>
        <v>0</v>
      </c>
    </row>
    <row r="2489" ht="15.75" customHeight="1">
      <c r="A2489" s="14">
        <v>40009.0</v>
      </c>
      <c r="B2489" s="15">
        <v>1.03</v>
      </c>
      <c r="C2489" s="15"/>
      <c r="D2489" s="15">
        <v>3.81</v>
      </c>
      <c r="E2489" s="15">
        <v>3.76</v>
      </c>
      <c r="F2489" s="15" t="str">
        <f t="shared" si="1"/>
        <v/>
      </c>
      <c r="G2489" s="15">
        <f t="shared" si="2"/>
        <v>3.81</v>
      </c>
      <c r="H2489" s="16">
        <v>1.0</v>
      </c>
      <c r="I2489" s="15">
        <f t="shared" si="3"/>
        <v>2.78</v>
      </c>
      <c r="J2489" s="15">
        <v>25.89</v>
      </c>
      <c r="K2489" s="16">
        <f>IF(COUNTIFS(Release_Calendar!$A$2:$A$755,"US_CPI",Release_Calendar!$B$2:$B$755,$A2489)&gt;0,1,0)</f>
        <v>1</v>
      </c>
      <c r="L2489" s="16">
        <f>IF(COUNTIFS(Release_Calendar!$A$2:$A$755,"US_NFP",Release_Calendar!$B$2:$B$755,$A2489)&gt;0,1,0)</f>
        <v>0</v>
      </c>
      <c r="M2489" s="16" t="str">
        <f>IF($A2489&lt;Notes!$B$5,"",IF(COUNTIFS(Release_Calendar!$A$2:$A$755,"NZ_CPI",Release_Calendar!$B$2:$B$755,$A2489)&gt;0,1,0))</f>
        <v/>
      </c>
      <c r="N2489" s="16" t="str">
        <f>IF($A2489&lt;Notes!$B$5,"",IF(COUNTIFS(Release_Calendar!$A$2:$A$755,"NZ_GDP",Release_Calendar!$B$2:$B$755,$A2489)&gt;0,1,0))</f>
        <v/>
      </c>
      <c r="O2489" s="16" t="str">
        <f>IF($A2489&lt;Notes!$B$5,"",IF(COUNTIFS(Release_Calendar!$A$2:$A$755,"NZ_LABOUR",Release_Calendar!$B$2:$B$755,$A2489)&gt;0,1,0))</f>
        <v/>
      </c>
      <c r="P2489" s="16">
        <f t="shared" si="4"/>
        <v>1</v>
      </c>
    </row>
    <row r="2490" ht="15.75" customHeight="1">
      <c r="A2490" s="14">
        <v>40010.0</v>
      </c>
      <c r="B2490" s="15">
        <v>1.0</v>
      </c>
      <c r="C2490" s="15"/>
      <c r="D2490" s="15">
        <v>3.84</v>
      </c>
      <c r="E2490" s="15">
        <v>3.78</v>
      </c>
      <c r="F2490" s="15" t="str">
        <f t="shared" si="1"/>
        <v/>
      </c>
      <c r="G2490" s="15">
        <f t="shared" si="2"/>
        <v>3.84</v>
      </c>
      <c r="H2490" s="16">
        <v>1.0</v>
      </c>
      <c r="I2490" s="15">
        <f t="shared" si="3"/>
        <v>2.84</v>
      </c>
      <c r="J2490" s="15">
        <v>25.42</v>
      </c>
      <c r="K2490" s="16">
        <f>IF(COUNTIFS(Release_Calendar!$A$2:$A$755,"US_CPI",Release_Calendar!$B$2:$B$755,$A2490)&gt;0,1,0)</f>
        <v>0</v>
      </c>
      <c r="L2490" s="16">
        <f>IF(COUNTIFS(Release_Calendar!$A$2:$A$755,"US_NFP",Release_Calendar!$B$2:$B$755,$A2490)&gt;0,1,0)</f>
        <v>0</v>
      </c>
      <c r="M2490" s="16" t="str">
        <f>IF($A2490&lt;Notes!$B$5,"",IF(COUNTIFS(Release_Calendar!$A$2:$A$755,"NZ_CPI",Release_Calendar!$B$2:$B$755,$A2490)&gt;0,1,0))</f>
        <v/>
      </c>
      <c r="N2490" s="16" t="str">
        <f>IF($A2490&lt;Notes!$B$5,"",IF(COUNTIFS(Release_Calendar!$A$2:$A$755,"NZ_GDP",Release_Calendar!$B$2:$B$755,$A2490)&gt;0,1,0))</f>
        <v/>
      </c>
      <c r="O2490" s="16" t="str">
        <f>IF($A2490&lt;Notes!$B$5,"",IF(COUNTIFS(Release_Calendar!$A$2:$A$755,"NZ_LABOUR",Release_Calendar!$B$2:$B$755,$A2490)&gt;0,1,0))</f>
        <v/>
      </c>
      <c r="P2490" s="16">
        <f t="shared" si="4"/>
        <v>0</v>
      </c>
    </row>
    <row r="2491" ht="15.75" customHeight="1">
      <c r="A2491" s="14">
        <v>40011.0</v>
      </c>
      <c r="B2491" s="15">
        <v>1.02</v>
      </c>
      <c r="C2491" s="15"/>
      <c r="D2491" s="15">
        <v>3.78</v>
      </c>
      <c r="E2491" s="15">
        <v>3.74</v>
      </c>
      <c r="F2491" s="15" t="str">
        <f t="shared" si="1"/>
        <v/>
      </c>
      <c r="G2491" s="15">
        <f t="shared" si="2"/>
        <v>3.78</v>
      </c>
      <c r="H2491" s="16">
        <v>1.0</v>
      </c>
      <c r="I2491" s="15">
        <f t="shared" si="3"/>
        <v>2.76</v>
      </c>
      <c r="J2491" s="15">
        <v>24.34</v>
      </c>
      <c r="K2491" s="16">
        <f>IF(COUNTIFS(Release_Calendar!$A$2:$A$755,"US_CPI",Release_Calendar!$B$2:$B$755,$A2491)&gt;0,1,0)</f>
        <v>0</v>
      </c>
      <c r="L2491" s="16">
        <f>IF(COUNTIFS(Release_Calendar!$A$2:$A$755,"US_NFP",Release_Calendar!$B$2:$B$755,$A2491)&gt;0,1,0)</f>
        <v>0</v>
      </c>
      <c r="M2491" s="16" t="str">
        <f>IF($A2491&lt;Notes!$B$5,"",IF(COUNTIFS(Release_Calendar!$A$2:$A$755,"NZ_CPI",Release_Calendar!$B$2:$B$755,$A2491)&gt;0,1,0))</f>
        <v/>
      </c>
      <c r="N2491" s="16" t="str">
        <f>IF($A2491&lt;Notes!$B$5,"",IF(COUNTIFS(Release_Calendar!$A$2:$A$755,"NZ_GDP",Release_Calendar!$B$2:$B$755,$A2491)&gt;0,1,0))</f>
        <v/>
      </c>
      <c r="O2491" s="16" t="str">
        <f>IF($A2491&lt;Notes!$B$5,"",IF(COUNTIFS(Release_Calendar!$A$2:$A$755,"NZ_LABOUR",Release_Calendar!$B$2:$B$755,$A2491)&gt;0,1,0))</f>
        <v/>
      </c>
      <c r="P2491" s="16">
        <f t="shared" si="4"/>
        <v>0</v>
      </c>
    </row>
    <row r="2492" ht="15.75" customHeight="1">
      <c r="A2492" s="14">
        <v>40014.0</v>
      </c>
      <c r="B2492" s="15">
        <v>0.99</v>
      </c>
      <c r="C2492" s="15"/>
      <c r="D2492" s="15">
        <v>3.78</v>
      </c>
      <c r="E2492" s="15">
        <v>3.79</v>
      </c>
      <c r="F2492" s="15" t="str">
        <f t="shared" si="1"/>
        <v/>
      </c>
      <c r="G2492" s="15">
        <f t="shared" si="2"/>
        <v>3.78</v>
      </c>
      <c r="H2492" s="16">
        <v>1.0</v>
      </c>
      <c r="I2492" s="15">
        <f t="shared" si="3"/>
        <v>2.79</v>
      </c>
      <c r="J2492" s="15">
        <v>24.4</v>
      </c>
      <c r="K2492" s="16">
        <f>IF(COUNTIFS(Release_Calendar!$A$2:$A$755,"US_CPI",Release_Calendar!$B$2:$B$755,$A2492)&gt;0,1,0)</f>
        <v>0</v>
      </c>
      <c r="L2492" s="16">
        <f>IF(COUNTIFS(Release_Calendar!$A$2:$A$755,"US_NFP",Release_Calendar!$B$2:$B$755,$A2492)&gt;0,1,0)</f>
        <v>0</v>
      </c>
      <c r="M2492" s="16" t="str">
        <f>IF($A2492&lt;Notes!$B$5,"",IF(COUNTIFS(Release_Calendar!$A$2:$A$755,"NZ_CPI",Release_Calendar!$B$2:$B$755,$A2492)&gt;0,1,0))</f>
        <v/>
      </c>
      <c r="N2492" s="16" t="str">
        <f>IF($A2492&lt;Notes!$B$5,"",IF(COUNTIFS(Release_Calendar!$A$2:$A$755,"NZ_GDP",Release_Calendar!$B$2:$B$755,$A2492)&gt;0,1,0))</f>
        <v/>
      </c>
      <c r="O2492" s="16" t="str">
        <f>IF($A2492&lt;Notes!$B$5,"",IF(COUNTIFS(Release_Calendar!$A$2:$A$755,"NZ_LABOUR",Release_Calendar!$B$2:$B$755,$A2492)&gt;0,1,0))</f>
        <v/>
      </c>
      <c r="P2492" s="16">
        <f t="shared" si="4"/>
        <v>0</v>
      </c>
    </row>
    <row r="2493" ht="15.75" customHeight="1">
      <c r="A2493" s="14">
        <v>40015.0</v>
      </c>
      <c r="B2493" s="15">
        <v>0.96</v>
      </c>
      <c r="C2493" s="15"/>
      <c r="D2493" s="15">
        <v>3.79</v>
      </c>
      <c r="E2493" s="15">
        <v>3.78</v>
      </c>
      <c r="F2493" s="15" t="str">
        <f t="shared" si="1"/>
        <v/>
      </c>
      <c r="G2493" s="15">
        <f t="shared" si="2"/>
        <v>3.79</v>
      </c>
      <c r="H2493" s="16">
        <v>1.0</v>
      </c>
      <c r="I2493" s="15">
        <f t="shared" si="3"/>
        <v>2.83</v>
      </c>
      <c r="J2493" s="15">
        <v>23.87</v>
      </c>
      <c r="K2493" s="16">
        <f>IF(COUNTIFS(Release_Calendar!$A$2:$A$755,"US_CPI",Release_Calendar!$B$2:$B$755,$A2493)&gt;0,1,0)</f>
        <v>0</v>
      </c>
      <c r="L2493" s="16">
        <f>IF(COUNTIFS(Release_Calendar!$A$2:$A$755,"US_NFP",Release_Calendar!$B$2:$B$755,$A2493)&gt;0,1,0)</f>
        <v>0</v>
      </c>
      <c r="M2493" s="16" t="str">
        <f>IF($A2493&lt;Notes!$B$5,"",IF(COUNTIFS(Release_Calendar!$A$2:$A$755,"NZ_CPI",Release_Calendar!$B$2:$B$755,$A2493)&gt;0,1,0))</f>
        <v/>
      </c>
      <c r="N2493" s="16" t="str">
        <f>IF($A2493&lt;Notes!$B$5,"",IF(COUNTIFS(Release_Calendar!$A$2:$A$755,"NZ_GDP",Release_Calendar!$B$2:$B$755,$A2493)&gt;0,1,0))</f>
        <v/>
      </c>
      <c r="O2493" s="16" t="str">
        <f>IF($A2493&lt;Notes!$B$5,"",IF(COUNTIFS(Release_Calendar!$A$2:$A$755,"NZ_LABOUR",Release_Calendar!$B$2:$B$755,$A2493)&gt;0,1,0))</f>
        <v/>
      </c>
      <c r="P2493" s="16">
        <f t="shared" si="4"/>
        <v>0</v>
      </c>
    </row>
    <row r="2494" ht="15.75" customHeight="1">
      <c r="A2494" s="14">
        <v>40016.0</v>
      </c>
      <c r="B2494" s="15">
        <v>0.98</v>
      </c>
      <c r="C2494" s="15"/>
      <c r="D2494" s="15">
        <v>3.8</v>
      </c>
      <c r="E2494" s="15">
        <v>3.85</v>
      </c>
      <c r="F2494" s="15" t="str">
        <f t="shared" si="1"/>
        <v/>
      </c>
      <c r="G2494" s="15">
        <f t="shared" si="2"/>
        <v>3.8</v>
      </c>
      <c r="H2494" s="16">
        <v>1.0</v>
      </c>
      <c r="I2494" s="15">
        <f t="shared" si="3"/>
        <v>2.82</v>
      </c>
      <c r="J2494" s="15">
        <v>23.47</v>
      </c>
      <c r="K2494" s="16">
        <f>IF(COUNTIFS(Release_Calendar!$A$2:$A$755,"US_CPI",Release_Calendar!$B$2:$B$755,$A2494)&gt;0,1,0)</f>
        <v>0</v>
      </c>
      <c r="L2494" s="16">
        <f>IF(COUNTIFS(Release_Calendar!$A$2:$A$755,"US_NFP",Release_Calendar!$B$2:$B$755,$A2494)&gt;0,1,0)</f>
        <v>0</v>
      </c>
      <c r="M2494" s="16" t="str">
        <f>IF($A2494&lt;Notes!$B$5,"",IF(COUNTIFS(Release_Calendar!$A$2:$A$755,"NZ_CPI",Release_Calendar!$B$2:$B$755,$A2494)&gt;0,1,0))</f>
        <v/>
      </c>
      <c r="N2494" s="16" t="str">
        <f>IF($A2494&lt;Notes!$B$5,"",IF(COUNTIFS(Release_Calendar!$A$2:$A$755,"NZ_GDP",Release_Calendar!$B$2:$B$755,$A2494)&gt;0,1,0))</f>
        <v/>
      </c>
      <c r="O2494" s="16" t="str">
        <f>IF($A2494&lt;Notes!$B$5,"",IF(COUNTIFS(Release_Calendar!$A$2:$A$755,"NZ_LABOUR",Release_Calendar!$B$2:$B$755,$A2494)&gt;0,1,0))</f>
        <v/>
      </c>
      <c r="P2494" s="16">
        <f t="shared" si="4"/>
        <v>0</v>
      </c>
    </row>
    <row r="2495" ht="15.75" customHeight="1">
      <c r="A2495" s="14">
        <v>40017.0</v>
      </c>
      <c r="B2495" s="15">
        <v>1.08</v>
      </c>
      <c r="C2495" s="15"/>
      <c r="D2495" s="15">
        <v>3.85</v>
      </c>
      <c r="E2495" s="15">
        <v>3.81</v>
      </c>
      <c r="F2495" s="15" t="str">
        <f t="shared" si="1"/>
        <v/>
      </c>
      <c r="G2495" s="15">
        <f t="shared" si="2"/>
        <v>3.85</v>
      </c>
      <c r="H2495" s="16">
        <v>1.0</v>
      </c>
      <c r="I2495" s="15">
        <f t="shared" si="3"/>
        <v>2.77</v>
      </c>
      <c r="J2495" s="15">
        <v>23.43</v>
      </c>
      <c r="K2495" s="16">
        <f>IF(COUNTIFS(Release_Calendar!$A$2:$A$755,"US_CPI",Release_Calendar!$B$2:$B$755,$A2495)&gt;0,1,0)</f>
        <v>0</v>
      </c>
      <c r="L2495" s="16">
        <f>IF(COUNTIFS(Release_Calendar!$A$2:$A$755,"US_NFP",Release_Calendar!$B$2:$B$755,$A2495)&gt;0,1,0)</f>
        <v>0</v>
      </c>
      <c r="M2495" s="16" t="str">
        <f>IF($A2495&lt;Notes!$B$5,"",IF(COUNTIFS(Release_Calendar!$A$2:$A$755,"NZ_CPI",Release_Calendar!$B$2:$B$755,$A2495)&gt;0,1,0))</f>
        <v/>
      </c>
      <c r="N2495" s="16" t="str">
        <f>IF($A2495&lt;Notes!$B$5,"",IF(COUNTIFS(Release_Calendar!$A$2:$A$755,"NZ_GDP",Release_Calendar!$B$2:$B$755,$A2495)&gt;0,1,0))</f>
        <v/>
      </c>
      <c r="O2495" s="16" t="str">
        <f>IF($A2495&lt;Notes!$B$5,"",IF(COUNTIFS(Release_Calendar!$A$2:$A$755,"NZ_LABOUR",Release_Calendar!$B$2:$B$755,$A2495)&gt;0,1,0))</f>
        <v/>
      </c>
      <c r="P2495" s="16">
        <f t="shared" si="4"/>
        <v>0</v>
      </c>
    </row>
    <row r="2496" ht="15.75" customHeight="1">
      <c r="A2496" s="14">
        <v>40018.0</v>
      </c>
      <c r="B2496" s="15">
        <v>1.05</v>
      </c>
      <c r="C2496" s="15"/>
      <c r="D2496" s="15">
        <v>3.83</v>
      </c>
      <c r="E2496" s="15">
        <v>3.83</v>
      </c>
      <c r="F2496" s="15" t="str">
        <f t="shared" si="1"/>
        <v/>
      </c>
      <c r="G2496" s="15">
        <f t="shared" si="2"/>
        <v>3.83</v>
      </c>
      <c r="H2496" s="16">
        <v>1.0</v>
      </c>
      <c r="I2496" s="15">
        <f t="shared" si="3"/>
        <v>2.78</v>
      </c>
      <c r="J2496" s="15">
        <v>23.09</v>
      </c>
      <c r="K2496" s="16">
        <f>IF(COUNTIFS(Release_Calendar!$A$2:$A$755,"US_CPI",Release_Calendar!$B$2:$B$755,$A2496)&gt;0,1,0)</f>
        <v>0</v>
      </c>
      <c r="L2496" s="16">
        <f>IF(COUNTIFS(Release_Calendar!$A$2:$A$755,"US_NFP",Release_Calendar!$B$2:$B$755,$A2496)&gt;0,1,0)</f>
        <v>0</v>
      </c>
      <c r="M2496" s="16" t="str">
        <f>IF($A2496&lt;Notes!$B$5,"",IF(COUNTIFS(Release_Calendar!$A$2:$A$755,"NZ_CPI",Release_Calendar!$B$2:$B$755,$A2496)&gt;0,1,0))</f>
        <v/>
      </c>
      <c r="N2496" s="16" t="str">
        <f>IF($A2496&lt;Notes!$B$5,"",IF(COUNTIFS(Release_Calendar!$A$2:$A$755,"NZ_GDP",Release_Calendar!$B$2:$B$755,$A2496)&gt;0,1,0))</f>
        <v/>
      </c>
      <c r="O2496" s="16" t="str">
        <f>IF($A2496&lt;Notes!$B$5,"",IF(COUNTIFS(Release_Calendar!$A$2:$A$755,"NZ_LABOUR",Release_Calendar!$B$2:$B$755,$A2496)&gt;0,1,0))</f>
        <v/>
      </c>
      <c r="P2496" s="16">
        <f t="shared" si="4"/>
        <v>0</v>
      </c>
    </row>
    <row r="2497" ht="15.75" customHeight="1">
      <c r="A2497" s="14">
        <v>40021.0</v>
      </c>
      <c r="B2497" s="15">
        <v>1.08</v>
      </c>
      <c r="C2497" s="15"/>
      <c r="D2497" s="15">
        <v>3.83</v>
      </c>
      <c r="E2497" s="15">
        <v>3.81</v>
      </c>
      <c r="F2497" s="15" t="str">
        <f t="shared" si="1"/>
        <v/>
      </c>
      <c r="G2497" s="15">
        <f t="shared" si="2"/>
        <v>3.83</v>
      </c>
      <c r="H2497" s="16">
        <v>1.0</v>
      </c>
      <c r="I2497" s="15">
        <f t="shared" si="3"/>
        <v>2.75</v>
      </c>
      <c r="J2497" s="15">
        <v>24.28</v>
      </c>
      <c r="K2497" s="16">
        <f>IF(COUNTIFS(Release_Calendar!$A$2:$A$755,"US_CPI",Release_Calendar!$B$2:$B$755,$A2497)&gt;0,1,0)</f>
        <v>0</v>
      </c>
      <c r="L2497" s="16">
        <f>IF(COUNTIFS(Release_Calendar!$A$2:$A$755,"US_NFP",Release_Calendar!$B$2:$B$755,$A2497)&gt;0,1,0)</f>
        <v>0</v>
      </c>
      <c r="M2497" s="16" t="str">
        <f>IF($A2497&lt;Notes!$B$5,"",IF(COUNTIFS(Release_Calendar!$A$2:$A$755,"NZ_CPI",Release_Calendar!$B$2:$B$755,$A2497)&gt;0,1,0))</f>
        <v/>
      </c>
      <c r="N2497" s="16" t="str">
        <f>IF($A2497&lt;Notes!$B$5,"",IF(COUNTIFS(Release_Calendar!$A$2:$A$755,"NZ_GDP",Release_Calendar!$B$2:$B$755,$A2497)&gt;0,1,0))</f>
        <v/>
      </c>
      <c r="O2497" s="16" t="str">
        <f>IF($A2497&lt;Notes!$B$5,"",IF(COUNTIFS(Release_Calendar!$A$2:$A$755,"NZ_LABOUR",Release_Calendar!$B$2:$B$755,$A2497)&gt;0,1,0))</f>
        <v/>
      </c>
      <c r="P2497" s="16">
        <f t="shared" si="4"/>
        <v>0</v>
      </c>
    </row>
    <row r="2498" ht="15.75" customHeight="1">
      <c r="A2498" s="14">
        <v>40022.0</v>
      </c>
      <c r="B2498" s="15">
        <v>1.12</v>
      </c>
      <c r="C2498" s="15"/>
      <c r="D2498" s="15">
        <v>3.82</v>
      </c>
      <c r="E2498" s="15">
        <v>3.83</v>
      </c>
      <c r="F2498" s="15" t="str">
        <f t="shared" si="1"/>
        <v/>
      </c>
      <c r="G2498" s="15">
        <f t="shared" si="2"/>
        <v>3.82</v>
      </c>
      <c r="H2498" s="16">
        <v>1.0</v>
      </c>
      <c r="I2498" s="15">
        <f t="shared" si="3"/>
        <v>2.7</v>
      </c>
      <c r="J2498" s="15">
        <v>25.01</v>
      </c>
      <c r="K2498" s="16">
        <f>IF(COUNTIFS(Release_Calendar!$A$2:$A$755,"US_CPI",Release_Calendar!$B$2:$B$755,$A2498)&gt;0,1,0)</f>
        <v>0</v>
      </c>
      <c r="L2498" s="16">
        <f>IF(COUNTIFS(Release_Calendar!$A$2:$A$755,"US_NFP",Release_Calendar!$B$2:$B$755,$A2498)&gt;0,1,0)</f>
        <v>0</v>
      </c>
      <c r="M2498" s="16" t="str">
        <f>IF($A2498&lt;Notes!$B$5,"",IF(COUNTIFS(Release_Calendar!$A$2:$A$755,"NZ_CPI",Release_Calendar!$B$2:$B$755,$A2498)&gt;0,1,0))</f>
        <v/>
      </c>
      <c r="N2498" s="16" t="str">
        <f>IF($A2498&lt;Notes!$B$5,"",IF(COUNTIFS(Release_Calendar!$A$2:$A$755,"NZ_GDP",Release_Calendar!$B$2:$B$755,$A2498)&gt;0,1,0))</f>
        <v/>
      </c>
      <c r="O2498" s="16" t="str">
        <f>IF($A2498&lt;Notes!$B$5,"",IF(COUNTIFS(Release_Calendar!$A$2:$A$755,"NZ_LABOUR",Release_Calendar!$B$2:$B$755,$A2498)&gt;0,1,0))</f>
        <v/>
      </c>
      <c r="P2498" s="16">
        <f t="shared" si="4"/>
        <v>0</v>
      </c>
    </row>
    <row r="2499" ht="15.75" customHeight="1">
      <c r="A2499" s="14">
        <v>40023.0</v>
      </c>
      <c r="B2499" s="15">
        <v>1.17</v>
      </c>
      <c r="C2499" s="15"/>
      <c r="D2499" s="15">
        <v>3.84</v>
      </c>
      <c r="E2499" s="15">
        <v>3.85</v>
      </c>
      <c r="F2499" s="15" t="str">
        <f t="shared" si="1"/>
        <v/>
      </c>
      <c r="G2499" s="15">
        <f t="shared" si="2"/>
        <v>3.84</v>
      </c>
      <c r="H2499" s="16">
        <v>1.0</v>
      </c>
      <c r="I2499" s="15">
        <f t="shared" si="3"/>
        <v>2.67</v>
      </c>
      <c r="J2499" s="15">
        <v>25.61</v>
      </c>
      <c r="K2499" s="16">
        <f>IF(COUNTIFS(Release_Calendar!$A$2:$A$755,"US_CPI",Release_Calendar!$B$2:$B$755,$A2499)&gt;0,1,0)</f>
        <v>0</v>
      </c>
      <c r="L2499" s="16">
        <f>IF(COUNTIFS(Release_Calendar!$A$2:$A$755,"US_NFP",Release_Calendar!$B$2:$B$755,$A2499)&gt;0,1,0)</f>
        <v>0</v>
      </c>
      <c r="M2499" s="16" t="str">
        <f>IF($A2499&lt;Notes!$B$5,"",IF(COUNTIFS(Release_Calendar!$A$2:$A$755,"NZ_CPI",Release_Calendar!$B$2:$B$755,$A2499)&gt;0,1,0))</f>
        <v/>
      </c>
      <c r="N2499" s="16" t="str">
        <f>IF($A2499&lt;Notes!$B$5,"",IF(COUNTIFS(Release_Calendar!$A$2:$A$755,"NZ_GDP",Release_Calendar!$B$2:$B$755,$A2499)&gt;0,1,0))</f>
        <v/>
      </c>
      <c r="O2499" s="16" t="str">
        <f>IF($A2499&lt;Notes!$B$5,"",IF(COUNTIFS(Release_Calendar!$A$2:$A$755,"NZ_LABOUR",Release_Calendar!$B$2:$B$755,$A2499)&gt;0,1,0))</f>
        <v/>
      </c>
      <c r="P2499" s="16">
        <f t="shared" si="4"/>
        <v>0</v>
      </c>
    </row>
    <row r="2500" ht="15.75" customHeight="1">
      <c r="A2500" s="14">
        <v>40024.0</v>
      </c>
      <c r="B2500" s="15">
        <v>1.19</v>
      </c>
      <c r="C2500" s="15"/>
      <c r="D2500" s="15">
        <v>3.81</v>
      </c>
      <c r="E2500" s="15">
        <v>3.86</v>
      </c>
      <c r="F2500" s="15" t="str">
        <f t="shared" si="1"/>
        <v/>
      </c>
      <c r="G2500" s="15">
        <f t="shared" si="2"/>
        <v>3.81</v>
      </c>
      <c r="H2500" s="16">
        <v>1.0</v>
      </c>
      <c r="I2500" s="15">
        <f t="shared" si="3"/>
        <v>2.62</v>
      </c>
      <c r="J2500" s="15">
        <v>25.4</v>
      </c>
      <c r="K2500" s="16">
        <f>IF(COUNTIFS(Release_Calendar!$A$2:$A$755,"US_CPI",Release_Calendar!$B$2:$B$755,$A2500)&gt;0,1,0)</f>
        <v>0</v>
      </c>
      <c r="L2500" s="16">
        <f>IF(COUNTIFS(Release_Calendar!$A$2:$A$755,"US_NFP",Release_Calendar!$B$2:$B$755,$A2500)&gt;0,1,0)</f>
        <v>0</v>
      </c>
      <c r="M2500" s="16" t="str">
        <f>IF($A2500&lt;Notes!$B$5,"",IF(COUNTIFS(Release_Calendar!$A$2:$A$755,"NZ_CPI",Release_Calendar!$B$2:$B$755,$A2500)&gt;0,1,0))</f>
        <v/>
      </c>
      <c r="N2500" s="16" t="str">
        <f>IF($A2500&lt;Notes!$B$5,"",IF(COUNTIFS(Release_Calendar!$A$2:$A$755,"NZ_GDP",Release_Calendar!$B$2:$B$755,$A2500)&gt;0,1,0))</f>
        <v/>
      </c>
      <c r="O2500" s="16" t="str">
        <f>IF($A2500&lt;Notes!$B$5,"",IF(COUNTIFS(Release_Calendar!$A$2:$A$755,"NZ_LABOUR",Release_Calendar!$B$2:$B$755,$A2500)&gt;0,1,0))</f>
        <v/>
      </c>
      <c r="P2500" s="16">
        <f t="shared" si="4"/>
        <v>0</v>
      </c>
    </row>
    <row r="2501" ht="15.75" customHeight="1">
      <c r="A2501" s="14">
        <v>40025.0</v>
      </c>
      <c r="B2501" s="15">
        <v>1.13</v>
      </c>
      <c r="C2501" s="15"/>
      <c r="D2501" s="15">
        <v>3.86</v>
      </c>
      <c r="E2501" s="15">
        <v>3.83</v>
      </c>
      <c r="F2501" s="15" t="str">
        <f t="shared" si="1"/>
        <v/>
      </c>
      <c r="G2501" s="15">
        <f t="shared" si="2"/>
        <v>3.86</v>
      </c>
      <c r="H2501" s="16">
        <v>1.0</v>
      </c>
      <c r="I2501" s="15">
        <f t="shared" si="3"/>
        <v>2.73</v>
      </c>
      <c r="J2501" s="15">
        <v>25.92</v>
      </c>
      <c r="K2501" s="16">
        <f>IF(COUNTIFS(Release_Calendar!$A$2:$A$755,"US_CPI",Release_Calendar!$B$2:$B$755,$A2501)&gt;0,1,0)</f>
        <v>0</v>
      </c>
      <c r="L2501" s="16">
        <f>IF(COUNTIFS(Release_Calendar!$A$2:$A$755,"US_NFP",Release_Calendar!$B$2:$B$755,$A2501)&gt;0,1,0)</f>
        <v>0</v>
      </c>
      <c r="M2501" s="16" t="str">
        <f>IF($A2501&lt;Notes!$B$5,"",IF(COUNTIFS(Release_Calendar!$A$2:$A$755,"NZ_CPI",Release_Calendar!$B$2:$B$755,$A2501)&gt;0,1,0))</f>
        <v/>
      </c>
      <c r="N2501" s="16" t="str">
        <f>IF($A2501&lt;Notes!$B$5,"",IF(COUNTIFS(Release_Calendar!$A$2:$A$755,"NZ_GDP",Release_Calendar!$B$2:$B$755,$A2501)&gt;0,1,0))</f>
        <v/>
      </c>
      <c r="O2501" s="16" t="str">
        <f>IF($A2501&lt;Notes!$B$5,"",IF(COUNTIFS(Release_Calendar!$A$2:$A$755,"NZ_LABOUR",Release_Calendar!$B$2:$B$755,$A2501)&gt;0,1,0))</f>
        <v/>
      </c>
      <c r="P2501" s="16">
        <f t="shared" si="4"/>
        <v>0</v>
      </c>
    </row>
    <row r="2502" ht="15.75" customHeight="1">
      <c r="A2502" s="14">
        <v>40028.0</v>
      </c>
      <c r="B2502" s="15">
        <v>1.18</v>
      </c>
      <c r="C2502" s="15"/>
      <c r="D2502" s="15">
        <v>3.81</v>
      </c>
      <c r="E2502" s="15">
        <v>3.81</v>
      </c>
      <c r="F2502" s="15" t="str">
        <f t="shared" si="1"/>
        <v/>
      </c>
      <c r="G2502" s="15">
        <f t="shared" si="2"/>
        <v>3.81</v>
      </c>
      <c r="H2502" s="16">
        <v>1.0</v>
      </c>
      <c r="I2502" s="15">
        <f t="shared" si="3"/>
        <v>2.63</v>
      </c>
      <c r="J2502" s="15">
        <v>25.56</v>
      </c>
      <c r="K2502" s="16">
        <f>IF(COUNTIFS(Release_Calendar!$A$2:$A$755,"US_CPI",Release_Calendar!$B$2:$B$755,$A2502)&gt;0,1,0)</f>
        <v>0</v>
      </c>
      <c r="L2502" s="16">
        <f>IF(COUNTIFS(Release_Calendar!$A$2:$A$755,"US_NFP",Release_Calendar!$B$2:$B$755,$A2502)&gt;0,1,0)</f>
        <v>0</v>
      </c>
      <c r="M2502" s="16" t="str">
        <f>IF($A2502&lt;Notes!$B$5,"",IF(COUNTIFS(Release_Calendar!$A$2:$A$755,"NZ_CPI",Release_Calendar!$B$2:$B$755,$A2502)&gt;0,1,0))</f>
        <v/>
      </c>
      <c r="N2502" s="16" t="str">
        <f>IF($A2502&lt;Notes!$B$5,"",IF(COUNTIFS(Release_Calendar!$A$2:$A$755,"NZ_GDP",Release_Calendar!$B$2:$B$755,$A2502)&gt;0,1,0))</f>
        <v/>
      </c>
      <c r="O2502" s="16" t="str">
        <f>IF($A2502&lt;Notes!$B$5,"",IF(COUNTIFS(Release_Calendar!$A$2:$A$755,"NZ_LABOUR",Release_Calendar!$B$2:$B$755,$A2502)&gt;0,1,0))</f>
        <v/>
      </c>
      <c r="P2502" s="16">
        <f t="shared" si="4"/>
        <v>0</v>
      </c>
    </row>
    <row r="2503" ht="15.75" customHeight="1">
      <c r="A2503" s="14">
        <v>40029.0</v>
      </c>
      <c r="B2503" s="15">
        <v>1.2</v>
      </c>
      <c r="C2503" s="15"/>
      <c r="D2503" s="15">
        <v>3.85</v>
      </c>
      <c r="E2503" s="15">
        <v>3.85</v>
      </c>
      <c r="F2503" s="15" t="str">
        <f t="shared" si="1"/>
        <v/>
      </c>
      <c r="G2503" s="15">
        <f t="shared" si="2"/>
        <v>3.85</v>
      </c>
      <c r="H2503" s="16">
        <v>1.0</v>
      </c>
      <c r="I2503" s="15">
        <f t="shared" si="3"/>
        <v>2.65</v>
      </c>
      <c r="J2503" s="15">
        <v>24.89</v>
      </c>
      <c r="K2503" s="16">
        <f>IF(COUNTIFS(Release_Calendar!$A$2:$A$755,"US_CPI",Release_Calendar!$B$2:$B$755,$A2503)&gt;0,1,0)</f>
        <v>0</v>
      </c>
      <c r="L2503" s="16">
        <f>IF(COUNTIFS(Release_Calendar!$A$2:$A$755,"US_NFP",Release_Calendar!$B$2:$B$755,$A2503)&gt;0,1,0)</f>
        <v>0</v>
      </c>
      <c r="M2503" s="16" t="str">
        <f>IF($A2503&lt;Notes!$B$5,"",IF(COUNTIFS(Release_Calendar!$A$2:$A$755,"NZ_CPI",Release_Calendar!$B$2:$B$755,$A2503)&gt;0,1,0))</f>
        <v/>
      </c>
      <c r="N2503" s="16" t="str">
        <f>IF($A2503&lt;Notes!$B$5,"",IF(COUNTIFS(Release_Calendar!$A$2:$A$755,"NZ_GDP",Release_Calendar!$B$2:$B$755,$A2503)&gt;0,1,0))</f>
        <v/>
      </c>
      <c r="O2503" s="16" t="str">
        <f>IF($A2503&lt;Notes!$B$5,"",IF(COUNTIFS(Release_Calendar!$A$2:$A$755,"NZ_LABOUR",Release_Calendar!$B$2:$B$755,$A2503)&gt;0,1,0))</f>
        <v/>
      </c>
      <c r="P2503" s="16">
        <f t="shared" si="4"/>
        <v>0</v>
      </c>
    </row>
    <row r="2504" ht="15.75" customHeight="1">
      <c r="A2504" s="14">
        <v>40030.0</v>
      </c>
      <c r="B2504" s="15">
        <v>1.23</v>
      </c>
      <c r="C2504" s="15"/>
      <c r="D2504" s="15">
        <v>3.9</v>
      </c>
      <c r="E2504" s="15">
        <v>3.92</v>
      </c>
      <c r="F2504" s="15" t="str">
        <f t="shared" si="1"/>
        <v/>
      </c>
      <c r="G2504" s="15">
        <f t="shared" si="2"/>
        <v>3.9</v>
      </c>
      <c r="H2504" s="16">
        <v>1.0</v>
      </c>
      <c r="I2504" s="15">
        <f t="shared" si="3"/>
        <v>2.67</v>
      </c>
      <c r="J2504" s="15">
        <v>24.9</v>
      </c>
      <c r="K2504" s="16">
        <f>IF(COUNTIFS(Release_Calendar!$A$2:$A$755,"US_CPI",Release_Calendar!$B$2:$B$755,$A2504)&gt;0,1,0)</f>
        <v>0</v>
      </c>
      <c r="L2504" s="16">
        <f>IF(COUNTIFS(Release_Calendar!$A$2:$A$755,"US_NFP",Release_Calendar!$B$2:$B$755,$A2504)&gt;0,1,0)</f>
        <v>0</v>
      </c>
      <c r="M2504" s="16" t="str">
        <f>IF($A2504&lt;Notes!$B$5,"",IF(COUNTIFS(Release_Calendar!$A$2:$A$755,"NZ_CPI",Release_Calendar!$B$2:$B$755,$A2504)&gt;0,1,0))</f>
        <v/>
      </c>
      <c r="N2504" s="16" t="str">
        <f>IF($A2504&lt;Notes!$B$5,"",IF(COUNTIFS(Release_Calendar!$A$2:$A$755,"NZ_GDP",Release_Calendar!$B$2:$B$755,$A2504)&gt;0,1,0))</f>
        <v/>
      </c>
      <c r="O2504" s="16" t="str">
        <f>IF($A2504&lt;Notes!$B$5,"",IF(COUNTIFS(Release_Calendar!$A$2:$A$755,"NZ_LABOUR",Release_Calendar!$B$2:$B$755,$A2504)&gt;0,1,0))</f>
        <v/>
      </c>
      <c r="P2504" s="16">
        <f t="shared" si="4"/>
        <v>0</v>
      </c>
    </row>
    <row r="2505" ht="15.75" customHeight="1">
      <c r="A2505" s="14">
        <v>40031.0</v>
      </c>
      <c r="B2505" s="15">
        <v>1.22</v>
      </c>
      <c r="C2505" s="15"/>
      <c r="D2505" s="15">
        <v>3.93</v>
      </c>
      <c r="E2505" s="15">
        <v>3.89</v>
      </c>
      <c r="F2505" s="15" t="str">
        <f t="shared" si="1"/>
        <v/>
      </c>
      <c r="G2505" s="15">
        <f t="shared" si="2"/>
        <v>3.93</v>
      </c>
      <c r="H2505" s="16">
        <v>1.0</v>
      </c>
      <c r="I2505" s="15">
        <f t="shared" si="3"/>
        <v>2.71</v>
      </c>
      <c r="J2505" s="15">
        <v>25.67</v>
      </c>
      <c r="K2505" s="16">
        <f>IF(COUNTIFS(Release_Calendar!$A$2:$A$755,"US_CPI",Release_Calendar!$B$2:$B$755,$A2505)&gt;0,1,0)</f>
        <v>0</v>
      </c>
      <c r="L2505" s="16">
        <f>IF(COUNTIFS(Release_Calendar!$A$2:$A$755,"US_NFP",Release_Calendar!$B$2:$B$755,$A2505)&gt;0,1,0)</f>
        <v>0</v>
      </c>
      <c r="M2505" s="16" t="str">
        <f>IF($A2505&lt;Notes!$B$5,"",IF(COUNTIFS(Release_Calendar!$A$2:$A$755,"NZ_CPI",Release_Calendar!$B$2:$B$755,$A2505)&gt;0,1,0))</f>
        <v/>
      </c>
      <c r="N2505" s="16" t="str">
        <f>IF($A2505&lt;Notes!$B$5,"",IF(COUNTIFS(Release_Calendar!$A$2:$A$755,"NZ_GDP",Release_Calendar!$B$2:$B$755,$A2505)&gt;0,1,0))</f>
        <v/>
      </c>
      <c r="O2505" s="16" t="str">
        <f>IF($A2505&lt;Notes!$B$5,"",IF(COUNTIFS(Release_Calendar!$A$2:$A$755,"NZ_LABOUR",Release_Calendar!$B$2:$B$755,$A2505)&gt;0,1,0))</f>
        <v/>
      </c>
      <c r="P2505" s="16">
        <f t="shared" si="4"/>
        <v>0</v>
      </c>
    </row>
    <row r="2506" ht="15.75" customHeight="1">
      <c r="A2506" s="14">
        <v>40032.0</v>
      </c>
      <c r="B2506" s="15">
        <v>1.32</v>
      </c>
      <c r="C2506" s="15"/>
      <c r="D2506" s="15">
        <v>3.91</v>
      </c>
      <c r="E2506" s="15">
        <v>3.9</v>
      </c>
      <c r="F2506" s="15" t="str">
        <f t="shared" si="1"/>
        <v/>
      </c>
      <c r="G2506" s="15">
        <f t="shared" si="2"/>
        <v>3.91</v>
      </c>
      <c r="H2506" s="16">
        <v>1.0</v>
      </c>
      <c r="I2506" s="15">
        <f t="shared" si="3"/>
        <v>2.59</v>
      </c>
      <c r="J2506" s="15">
        <v>24.76</v>
      </c>
      <c r="K2506" s="16">
        <f>IF(COUNTIFS(Release_Calendar!$A$2:$A$755,"US_CPI",Release_Calendar!$B$2:$B$755,$A2506)&gt;0,1,0)</f>
        <v>0</v>
      </c>
      <c r="L2506" s="16">
        <f>IF(COUNTIFS(Release_Calendar!$A$2:$A$755,"US_NFP",Release_Calendar!$B$2:$B$755,$A2506)&gt;0,1,0)</f>
        <v>1</v>
      </c>
      <c r="M2506" s="16" t="str">
        <f>IF($A2506&lt;Notes!$B$5,"",IF(COUNTIFS(Release_Calendar!$A$2:$A$755,"NZ_CPI",Release_Calendar!$B$2:$B$755,$A2506)&gt;0,1,0))</f>
        <v/>
      </c>
      <c r="N2506" s="16" t="str">
        <f>IF($A2506&lt;Notes!$B$5,"",IF(COUNTIFS(Release_Calendar!$A$2:$A$755,"NZ_GDP",Release_Calendar!$B$2:$B$755,$A2506)&gt;0,1,0))</f>
        <v/>
      </c>
      <c r="O2506" s="16" t="str">
        <f>IF($A2506&lt;Notes!$B$5,"",IF(COUNTIFS(Release_Calendar!$A$2:$A$755,"NZ_LABOUR",Release_Calendar!$B$2:$B$755,$A2506)&gt;0,1,0))</f>
        <v/>
      </c>
      <c r="P2506" s="16">
        <f t="shared" si="4"/>
        <v>1</v>
      </c>
    </row>
    <row r="2507" ht="15.75" customHeight="1">
      <c r="A2507" s="14">
        <v>40035.0</v>
      </c>
      <c r="B2507" s="15">
        <v>1.24</v>
      </c>
      <c r="C2507" s="15"/>
      <c r="D2507" s="15">
        <v>3.94</v>
      </c>
      <c r="E2507" s="15">
        <v>3.99</v>
      </c>
      <c r="F2507" s="15" t="str">
        <f t="shared" si="1"/>
        <v/>
      </c>
      <c r="G2507" s="15">
        <f t="shared" si="2"/>
        <v>3.94</v>
      </c>
      <c r="H2507" s="16">
        <v>1.0</v>
      </c>
      <c r="I2507" s="15">
        <f t="shared" si="3"/>
        <v>2.7</v>
      </c>
      <c r="J2507" s="15">
        <v>24.99</v>
      </c>
      <c r="K2507" s="16">
        <f>IF(COUNTIFS(Release_Calendar!$A$2:$A$755,"US_CPI",Release_Calendar!$B$2:$B$755,$A2507)&gt;0,1,0)</f>
        <v>0</v>
      </c>
      <c r="L2507" s="16">
        <f>IF(COUNTIFS(Release_Calendar!$A$2:$A$755,"US_NFP",Release_Calendar!$B$2:$B$755,$A2507)&gt;0,1,0)</f>
        <v>0</v>
      </c>
      <c r="M2507" s="16" t="str">
        <f>IF($A2507&lt;Notes!$B$5,"",IF(COUNTIFS(Release_Calendar!$A$2:$A$755,"NZ_CPI",Release_Calendar!$B$2:$B$755,$A2507)&gt;0,1,0))</f>
        <v/>
      </c>
      <c r="N2507" s="16" t="str">
        <f>IF($A2507&lt;Notes!$B$5,"",IF(COUNTIFS(Release_Calendar!$A$2:$A$755,"NZ_GDP",Release_Calendar!$B$2:$B$755,$A2507)&gt;0,1,0))</f>
        <v/>
      </c>
      <c r="O2507" s="16" t="str">
        <f>IF($A2507&lt;Notes!$B$5,"",IF(COUNTIFS(Release_Calendar!$A$2:$A$755,"NZ_LABOUR",Release_Calendar!$B$2:$B$755,$A2507)&gt;0,1,0))</f>
        <v/>
      </c>
      <c r="P2507" s="16">
        <f t="shared" si="4"/>
        <v>0</v>
      </c>
    </row>
    <row r="2508" ht="15.75" customHeight="1">
      <c r="A2508" s="14">
        <v>40036.0</v>
      </c>
      <c r="B2508" s="15">
        <v>1.21</v>
      </c>
      <c r="C2508" s="15"/>
      <c r="D2508" s="15">
        <v>3.97</v>
      </c>
      <c r="E2508" s="15">
        <v>4.0</v>
      </c>
      <c r="F2508" s="15" t="str">
        <f t="shared" si="1"/>
        <v/>
      </c>
      <c r="G2508" s="15">
        <f t="shared" si="2"/>
        <v>3.97</v>
      </c>
      <c r="H2508" s="16">
        <v>1.0</v>
      </c>
      <c r="I2508" s="15">
        <f t="shared" si="3"/>
        <v>2.76</v>
      </c>
      <c r="J2508" s="15">
        <v>25.99</v>
      </c>
      <c r="K2508" s="16">
        <f>IF(COUNTIFS(Release_Calendar!$A$2:$A$755,"US_CPI",Release_Calendar!$B$2:$B$755,$A2508)&gt;0,1,0)</f>
        <v>0</v>
      </c>
      <c r="L2508" s="16">
        <f>IF(COUNTIFS(Release_Calendar!$A$2:$A$755,"US_NFP",Release_Calendar!$B$2:$B$755,$A2508)&gt;0,1,0)</f>
        <v>0</v>
      </c>
      <c r="M2508" s="16" t="str">
        <f>IF($A2508&lt;Notes!$B$5,"",IF(COUNTIFS(Release_Calendar!$A$2:$A$755,"NZ_CPI",Release_Calendar!$B$2:$B$755,$A2508)&gt;0,1,0))</f>
        <v/>
      </c>
      <c r="N2508" s="16" t="str">
        <f>IF($A2508&lt;Notes!$B$5,"",IF(COUNTIFS(Release_Calendar!$A$2:$A$755,"NZ_GDP",Release_Calendar!$B$2:$B$755,$A2508)&gt;0,1,0))</f>
        <v/>
      </c>
      <c r="O2508" s="16" t="str">
        <f>IF($A2508&lt;Notes!$B$5,"",IF(COUNTIFS(Release_Calendar!$A$2:$A$755,"NZ_LABOUR",Release_Calendar!$B$2:$B$755,$A2508)&gt;0,1,0))</f>
        <v/>
      </c>
      <c r="P2508" s="16">
        <f t="shared" si="4"/>
        <v>0</v>
      </c>
    </row>
    <row r="2509" ht="15.75" customHeight="1">
      <c r="A2509" s="14">
        <v>40037.0</v>
      </c>
      <c r="B2509" s="15">
        <v>1.18</v>
      </c>
      <c r="C2509" s="15"/>
      <c r="D2509" s="15">
        <v>3.98</v>
      </c>
      <c r="E2509" s="15">
        <v>3.99</v>
      </c>
      <c r="F2509" s="15" t="str">
        <f t="shared" si="1"/>
        <v/>
      </c>
      <c r="G2509" s="15">
        <f t="shared" si="2"/>
        <v>3.98</v>
      </c>
      <c r="H2509" s="16">
        <v>1.0</v>
      </c>
      <c r="I2509" s="15">
        <f t="shared" si="3"/>
        <v>2.8</v>
      </c>
      <c r="J2509" s="15">
        <v>25.45</v>
      </c>
      <c r="K2509" s="16">
        <f>IF(COUNTIFS(Release_Calendar!$A$2:$A$755,"US_CPI",Release_Calendar!$B$2:$B$755,$A2509)&gt;0,1,0)</f>
        <v>0</v>
      </c>
      <c r="L2509" s="16">
        <f>IF(COUNTIFS(Release_Calendar!$A$2:$A$755,"US_NFP",Release_Calendar!$B$2:$B$755,$A2509)&gt;0,1,0)</f>
        <v>0</v>
      </c>
      <c r="M2509" s="16" t="str">
        <f>IF($A2509&lt;Notes!$B$5,"",IF(COUNTIFS(Release_Calendar!$A$2:$A$755,"NZ_CPI",Release_Calendar!$B$2:$B$755,$A2509)&gt;0,1,0))</f>
        <v/>
      </c>
      <c r="N2509" s="16" t="str">
        <f>IF($A2509&lt;Notes!$B$5,"",IF(COUNTIFS(Release_Calendar!$A$2:$A$755,"NZ_GDP",Release_Calendar!$B$2:$B$755,$A2509)&gt;0,1,0))</f>
        <v/>
      </c>
      <c r="O2509" s="16" t="str">
        <f>IF($A2509&lt;Notes!$B$5,"",IF(COUNTIFS(Release_Calendar!$A$2:$A$755,"NZ_LABOUR",Release_Calendar!$B$2:$B$755,$A2509)&gt;0,1,0))</f>
        <v/>
      </c>
      <c r="P2509" s="16">
        <f t="shared" si="4"/>
        <v>0</v>
      </c>
    </row>
    <row r="2510" ht="15.75" customHeight="1">
      <c r="A2510" s="14">
        <v>40038.0</v>
      </c>
      <c r="B2510" s="15">
        <v>1.12</v>
      </c>
      <c r="C2510" s="15"/>
      <c r="D2510" s="15">
        <v>4.0</v>
      </c>
      <c r="E2510" s="15">
        <v>4.01</v>
      </c>
      <c r="F2510" s="15" t="str">
        <f t="shared" si="1"/>
        <v/>
      </c>
      <c r="G2510" s="15">
        <f t="shared" si="2"/>
        <v>4</v>
      </c>
      <c r="H2510" s="16">
        <v>1.0</v>
      </c>
      <c r="I2510" s="15">
        <f t="shared" si="3"/>
        <v>2.88</v>
      </c>
      <c r="J2510" s="15">
        <v>24.71</v>
      </c>
      <c r="K2510" s="16">
        <f>IF(COUNTIFS(Release_Calendar!$A$2:$A$755,"US_CPI",Release_Calendar!$B$2:$B$755,$A2510)&gt;0,1,0)</f>
        <v>0</v>
      </c>
      <c r="L2510" s="16">
        <f>IF(COUNTIFS(Release_Calendar!$A$2:$A$755,"US_NFP",Release_Calendar!$B$2:$B$755,$A2510)&gt;0,1,0)</f>
        <v>0</v>
      </c>
      <c r="M2510" s="16" t="str">
        <f>IF($A2510&lt;Notes!$B$5,"",IF(COUNTIFS(Release_Calendar!$A$2:$A$755,"NZ_CPI",Release_Calendar!$B$2:$B$755,$A2510)&gt;0,1,0))</f>
        <v/>
      </c>
      <c r="N2510" s="16" t="str">
        <f>IF($A2510&lt;Notes!$B$5,"",IF(COUNTIFS(Release_Calendar!$A$2:$A$755,"NZ_GDP",Release_Calendar!$B$2:$B$755,$A2510)&gt;0,1,0))</f>
        <v/>
      </c>
      <c r="O2510" s="16" t="str">
        <f>IF($A2510&lt;Notes!$B$5,"",IF(COUNTIFS(Release_Calendar!$A$2:$A$755,"NZ_LABOUR",Release_Calendar!$B$2:$B$755,$A2510)&gt;0,1,0))</f>
        <v/>
      </c>
      <c r="P2510" s="16">
        <f t="shared" si="4"/>
        <v>0</v>
      </c>
    </row>
    <row r="2511" ht="15.75" customHeight="1">
      <c r="A2511" s="14">
        <v>40039.0</v>
      </c>
      <c r="B2511" s="15">
        <v>1.07</v>
      </c>
      <c r="C2511" s="15"/>
      <c r="D2511" s="15">
        <v>4.0</v>
      </c>
      <c r="E2511" s="15">
        <v>4.03</v>
      </c>
      <c r="F2511" s="15" t="str">
        <f t="shared" si="1"/>
        <v/>
      </c>
      <c r="G2511" s="15">
        <f t="shared" si="2"/>
        <v>4</v>
      </c>
      <c r="H2511" s="16">
        <v>1.0</v>
      </c>
      <c r="I2511" s="15">
        <f t="shared" si="3"/>
        <v>2.93</v>
      </c>
      <c r="J2511" s="15">
        <v>24.27</v>
      </c>
      <c r="K2511" s="16">
        <f>IF(COUNTIFS(Release_Calendar!$A$2:$A$755,"US_CPI",Release_Calendar!$B$2:$B$755,$A2511)&gt;0,1,0)</f>
        <v>1</v>
      </c>
      <c r="L2511" s="16">
        <f>IF(COUNTIFS(Release_Calendar!$A$2:$A$755,"US_NFP",Release_Calendar!$B$2:$B$755,$A2511)&gt;0,1,0)</f>
        <v>0</v>
      </c>
      <c r="M2511" s="16" t="str">
        <f>IF($A2511&lt;Notes!$B$5,"",IF(COUNTIFS(Release_Calendar!$A$2:$A$755,"NZ_CPI",Release_Calendar!$B$2:$B$755,$A2511)&gt;0,1,0))</f>
        <v/>
      </c>
      <c r="N2511" s="16" t="str">
        <f>IF($A2511&lt;Notes!$B$5,"",IF(COUNTIFS(Release_Calendar!$A$2:$A$755,"NZ_GDP",Release_Calendar!$B$2:$B$755,$A2511)&gt;0,1,0))</f>
        <v/>
      </c>
      <c r="O2511" s="16" t="str">
        <f>IF($A2511&lt;Notes!$B$5,"",IF(COUNTIFS(Release_Calendar!$A$2:$A$755,"NZ_LABOUR",Release_Calendar!$B$2:$B$755,$A2511)&gt;0,1,0))</f>
        <v/>
      </c>
      <c r="P2511" s="16">
        <f t="shared" si="4"/>
        <v>1</v>
      </c>
    </row>
    <row r="2512" ht="15.75" customHeight="1">
      <c r="A2512" s="14">
        <v>40042.0</v>
      </c>
      <c r="B2512" s="15">
        <v>1.04</v>
      </c>
      <c r="C2512" s="15"/>
      <c r="D2512" s="15">
        <v>4.01</v>
      </c>
      <c r="E2512" s="15">
        <v>4.01</v>
      </c>
      <c r="F2512" s="15" t="str">
        <f t="shared" si="1"/>
        <v/>
      </c>
      <c r="G2512" s="15">
        <f t="shared" si="2"/>
        <v>4.01</v>
      </c>
      <c r="H2512" s="16">
        <v>1.0</v>
      </c>
      <c r="I2512" s="15">
        <f t="shared" si="3"/>
        <v>2.97</v>
      </c>
      <c r="J2512" s="15">
        <v>27.89</v>
      </c>
      <c r="K2512" s="16">
        <f>IF(COUNTIFS(Release_Calendar!$A$2:$A$755,"US_CPI",Release_Calendar!$B$2:$B$755,$A2512)&gt;0,1,0)</f>
        <v>0</v>
      </c>
      <c r="L2512" s="16">
        <f>IF(COUNTIFS(Release_Calendar!$A$2:$A$755,"US_NFP",Release_Calendar!$B$2:$B$755,$A2512)&gt;0,1,0)</f>
        <v>0</v>
      </c>
      <c r="M2512" s="16" t="str">
        <f>IF($A2512&lt;Notes!$B$5,"",IF(COUNTIFS(Release_Calendar!$A$2:$A$755,"NZ_CPI",Release_Calendar!$B$2:$B$755,$A2512)&gt;0,1,0))</f>
        <v/>
      </c>
      <c r="N2512" s="16" t="str">
        <f>IF($A2512&lt;Notes!$B$5,"",IF(COUNTIFS(Release_Calendar!$A$2:$A$755,"NZ_GDP",Release_Calendar!$B$2:$B$755,$A2512)&gt;0,1,0))</f>
        <v/>
      </c>
      <c r="O2512" s="16" t="str">
        <f>IF($A2512&lt;Notes!$B$5,"",IF(COUNTIFS(Release_Calendar!$A$2:$A$755,"NZ_LABOUR",Release_Calendar!$B$2:$B$755,$A2512)&gt;0,1,0))</f>
        <v/>
      </c>
      <c r="P2512" s="16">
        <f t="shared" si="4"/>
        <v>0</v>
      </c>
    </row>
    <row r="2513" ht="15.75" customHeight="1">
      <c r="A2513" s="14">
        <v>40043.0</v>
      </c>
      <c r="B2513" s="15">
        <v>1.06</v>
      </c>
      <c r="C2513" s="15"/>
      <c r="D2513" s="15">
        <v>4.0</v>
      </c>
      <c r="E2513" s="15">
        <v>4.02</v>
      </c>
      <c r="F2513" s="15" t="str">
        <f t="shared" si="1"/>
        <v/>
      </c>
      <c r="G2513" s="15">
        <f t="shared" si="2"/>
        <v>4</v>
      </c>
      <c r="H2513" s="16">
        <v>1.0</v>
      </c>
      <c r="I2513" s="15">
        <f t="shared" si="3"/>
        <v>2.94</v>
      </c>
      <c r="J2513" s="15">
        <v>26.18</v>
      </c>
      <c r="K2513" s="16">
        <f>IF(COUNTIFS(Release_Calendar!$A$2:$A$755,"US_CPI",Release_Calendar!$B$2:$B$755,$A2513)&gt;0,1,0)</f>
        <v>0</v>
      </c>
      <c r="L2513" s="16">
        <f>IF(COUNTIFS(Release_Calendar!$A$2:$A$755,"US_NFP",Release_Calendar!$B$2:$B$755,$A2513)&gt;0,1,0)</f>
        <v>0</v>
      </c>
      <c r="M2513" s="16" t="str">
        <f>IF($A2513&lt;Notes!$B$5,"",IF(COUNTIFS(Release_Calendar!$A$2:$A$755,"NZ_CPI",Release_Calendar!$B$2:$B$755,$A2513)&gt;0,1,0))</f>
        <v/>
      </c>
      <c r="N2513" s="16" t="str">
        <f>IF($A2513&lt;Notes!$B$5,"",IF(COUNTIFS(Release_Calendar!$A$2:$A$755,"NZ_GDP",Release_Calendar!$B$2:$B$755,$A2513)&gt;0,1,0))</f>
        <v/>
      </c>
      <c r="O2513" s="16" t="str">
        <f>IF($A2513&lt;Notes!$B$5,"",IF(COUNTIFS(Release_Calendar!$A$2:$A$755,"NZ_LABOUR",Release_Calendar!$B$2:$B$755,$A2513)&gt;0,1,0))</f>
        <v/>
      </c>
      <c r="P2513" s="16">
        <f t="shared" si="4"/>
        <v>0</v>
      </c>
    </row>
    <row r="2514" ht="15.75" customHeight="1">
      <c r="A2514" s="14">
        <v>40044.0</v>
      </c>
      <c r="B2514" s="15">
        <v>1.01</v>
      </c>
      <c r="C2514" s="15"/>
      <c r="D2514" s="15">
        <v>4.05</v>
      </c>
      <c r="E2514" s="15">
        <v>4.05</v>
      </c>
      <c r="F2514" s="15" t="str">
        <f t="shared" si="1"/>
        <v/>
      </c>
      <c r="G2514" s="15">
        <f t="shared" si="2"/>
        <v>4.05</v>
      </c>
      <c r="H2514" s="16">
        <v>1.0</v>
      </c>
      <c r="I2514" s="15">
        <f t="shared" si="3"/>
        <v>3.04</v>
      </c>
      <c r="J2514" s="15">
        <v>26.26</v>
      </c>
      <c r="K2514" s="16">
        <f>IF(COUNTIFS(Release_Calendar!$A$2:$A$755,"US_CPI",Release_Calendar!$B$2:$B$755,$A2514)&gt;0,1,0)</f>
        <v>0</v>
      </c>
      <c r="L2514" s="16">
        <f>IF(COUNTIFS(Release_Calendar!$A$2:$A$755,"US_NFP",Release_Calendar!$B$2:$B$755,$A2514)&gt;0,1,0)</f>
        <v>0</v>
      </c>
      <c r="M2514" s="16" t="str">
        <f>IF($A2514&lt;Notes!$B$5,"",IF(COUNTIFS(Release_Calendar!$A$2:$A$755,"NZ_CPI",Release_Calendar!$B$2:$B$755,$A2514)&gt;0,1,0))</f>
        <v/>
      </c>
      <c r="N2514" s="16" t="str">
        <f>IF($A2514&lt;Notes!$B$5,"",IF(COUNTIFS(Release_Calendar!$A$2:$A$755,"NZ_GDP",Release_Calendar!$B$2:$B$755,$A2514)&gt;0,1,0))</f>
        <v/>
      </c>
      <c r="O2514" s="16" t="str">
        <f>IF($A2514&lt;Notes!$B$5,"",IF(COUNTIFS(Release_Calendar!$A$2:$A$755,"NZ_LABOUR",Release_Calendar!$B$2:$B$755,$A2514)&gt;0,1,0))</f>
        <v/>
      </c>
      <c r="P2514" s="16">
        <f t="shared" si="4"/>
        <v>0</v>
      </c>
    </row>
    <row r="2515" ht="15.75" customHeight="1">
      <c r="A2515" s="14">
        <v>40045.0</v>
      </c>
      <c r="B2515" s="15">
        <v>1.03</v>
      </c>
      <c r="C2515" s="15"/>
      <c r="D2515" s="15">
        <v>4.03</v>
      </c>
      <c r="E2515" s="15">
        <v>4.02</v>
      </c>
      <c r="F2515" s="15" t="str">
        <f t="shared" si="1"/>
        <v/>
      </c>
      <c r="G2515" s="15">
        <f t="shared" si="2"/>
        <v>4.03</v>
      </c>
      <c r="H2515" s="16">
        <v>1.0</v>
      </c>
      <c r="I2515" s="15">
        <f t="shared" si="3"/>
        <v>3</v>
      </c>
      <c r="J2515" s="15">
        <v>25.09</v>
      </c>
      <c r="K2515" s="16">
        <f>IF(COUNTIFS(Release_Calendar!$A$2:$A$755,"US_CPI",Release_Calendar!$B$2:$B$755,$A2515)&gt;0,1,0)</f>
        <v>0</v>
      </c>
      <c r="L2515" s="16">
        <f>IF(COUNTIFS(Release_Calendar!$A$2:$A$755,"US_NFP",Release_Calendar!$B$2:$B$755,$A2515)&gt;0,1,0)</f>
        <v>0</v>
      </c>
      <c r="M2515" s="16" t="str">
        <f>IF($A2515&lt;Notes!$B$5,"",IF(COUNTIFS(Release_Calendar!$A$2:$A$755,"NZ_CPI",Release_Calendar!$B$2:$B$755,$A2515)&gt;0,1,0))</f>
        <v/>
      </c>
      <c r="N2515" s="16" t="str">
        <f>IF($A2515&lt;Notes!$B$5,"",IF(COUNTIFS(Release_Calendar!$A$2:$A$755,"NZ_GDP",Release_Calendar!$B$2:$B$755,$A2515)&gt;0,1,0))</f>
        <v/>
      </c>
      <c r="O2515" s="16" t="str">
        <f>IF($A2515&lt;Notes!$B$5,"",IF(COUNTIFS(Release_Calendar!$A$2:$A$755,"NZ_LABOUR",Release_Calendar!$B$2:$B$755,$A2515)&gt;0,1,0))</f>
        <v/>
      </c>
      <c r="P2515" s="16">
        <f t="shared" si="4"/>
        <v>0</v>
      </c>
    </row>
    <row r="2516" ht="15.75" customHeight="1">
      <c r="A2516" s="14">
        <v>40046.0</v>
      </c>
      <c r="B2516" s="15">
        <v>1.13</v>
      </c>
      <c r="C2516" s="15"/>
      <c r="D2516" s="15">
        <v>4.01</v>
      </c>
      <c r="E2516" s="15">
        <v>3.98</v>
      </c>
      <c r="F2516" s="15" t="str">
        <f t="shared" si="1"/>
        <v/>
      </c>
      <c r="G2516" s="15">
        <f t="shared" si="2"/>
        <v>4.01</v>
      </c>
      <c r="H2516" s="16">
        <v>1.0</v>
      </c>
      <c r="I2516" s="15">
        <f t="shared" si="3"/>
        <v>2.88</v>
      </c>
      <c r="J2516" s="15">
        <v>25.01</v>
      </c>
      <c r="K2516" s="16">
        <f>IF(COUNTIFS(Release_Calendar!$A$2:$A$755,"US_CPI",Release_Calendar!$B$2:$B$755,$A2516)&gt;0,1,0)</f>
        <v>0</v>
      </c>
      <c r="L2516" s="16">
        <f>IF(COUNTIFS(Release_Calendar!$A$2:$A$755,"US_NFP",Release_Calendar!$B$2:$B$755,$A2516)&gt;0,1,0)</f>
        <v>0</v>
      </c>
      <c r="M2516" s="16" t="str">
        <f>IF($A2516&lt;Notes!$B$5,"",IF(COUNTIFS(Release_Calendar!$A$2:$A$755,"NZ_CPI",Release_Calendar!$B$2:$B$755,$A2516)&gt;0,1,0))</f>
        <v/>
      </c>
      <c r="N2516" s="16" t="str">
        <f>IF($A2516&lt;Notes!$B$5,"",IF(COUNTIFS(Release_Calendar!$A$2:$A$755,"NZ_GDP",Release_Calendar!$B$2:$B$755,$A2516)&gt;0,1,0))</f>
        <v/>
      </c>
      <c r="O2516" s="16" t="str">
        <f>IF($A2516&lt;Notes!$B$5,"",IF(COUNTIFS(Release_Calendar!$A$2:$A$755,"NZ_LABOUR",Release_Calendar!$B$2:$B$755,$A2516)&gt;0,1,0))</f>
        <v/>
      </c>
      <c r="P2516" s="16">
        <f t="shared" si="4"/>
        <v>0</v>
      </c>
    </row>
    <row r="2517" ht="15.75" customHeight="1">
      <c r="A2517" s="14">
        <v>40049.0</v>
      </c>
      <c r="B2517" s="15">
        <v>1.05</v>
      </c>
      <c r="C2517" s="15"/>
      <c r="D2517" s="15">
        <v>4.05</v>
      </c>
      <c r="E2517" s="15">
        <v>4.05</v>
      </c>
      <c r="F2517" s="15" t="str">
        <f t="shared" si="1"/>
        <v/>
      </c>
      <c r="G2517" s="15">
        <f t="shared" si="2"/>
        <v>4.05</v>
      </c>
      <c r="H2517" s="16">
        <v>1.0</v>
      </c>
      <c r="I2517" s="15">
        <f t="shared" si="3"/>
        <v>3</v>
      </c>
      <c r="J2517" s="15">
        <v>25.14</v>
      </c>
      <c r="K2517" s="16">
        <f>IF(COUNTIFS(Release_Calendar!$A$2:$A$755,"US_CPI",Release_Calendar!$B$2:$B$755,$A2517)&gt;0,1,0)</f>
        <v>0</v>
      </c>
      <c r="L2517" s="16">
        <f>IF(COUNTIFS(Release_Calendar!$A$2:$A$755,"US_NFP",Release_Calendar!$B$2:$B$755,$A2517)&gt;0,1,0)</f>
        <v>0</v>
      </c>
      <c r="M2517" s="16" t="str">
        <f>IF($A2517&lt;Notes!$B$5,"",IF(COUNTIFS(Release_Calendar!$A$2:$A$755,"NZ_CPI",Release_Calendar!$B$2:$B$755,$A2517)&gt;0,1,0))</f>
        <v/>
      </c>
      <c r="N2517" s="16" t="str">
        <f>IF($A2517&lt;Notes!$B$5,"",IF(COUNTIFS(Release_Calendar!$A$2:$A$755,"NZ_GDP",Release_Calendar!$B$2:$B$755,$A2517)&gt;0,1,0))</f>
        <v/>
      </c>
      <c r="O2517" s="16" t="str">
        <f>IF($A2517&lt;Notes!$B$5,"",IF(COUNTIFS(Release_Calendar!$A$2:$A$755,"NZ_LABOUR",Release_Calendar!$B$2:$B$755,$A2517)&gt;0,1,0))</f>
        <v/>
      </c>
      <c r="P2517" s="16">
        <f t="shared" si="4"/>
        <v>0</v>
      </c>
    </row>
    <row r="2518" ht="15.75" customHeight="1">
      <c r="A2518" s="14">
        <v>40050.0</v>
      </c>
      <c r="B2518" s="15">
        <v>1.05</v>
      </c>
      <c r="C2518" s="15"/>
      <c r="D2518" s="15">
        <v>4.05</v>
      </c>
      <c r="E2518" s="15">
        <v>4.04</v>
      </c>
      <c r="F2518" s="15" t="str">
        <f t="shared" si="1"/>
        <v/>
      </c>
      <c r="G2518" s="15">
        <f t="shared" si="2"/>
        <v>4.05</v>
      </c>
      <c r="H2518" s="16">
        <v>1.0</v>
      </c>
      <c r="I2518" s="15">
        <f t="shared" si="3"/>
        <v>3</v>
      </c>
      <c r="J2518" s="15">
        <v>24.92</v>
      </c>
      <c r="K2518" s="16">
        <f>IF(COUNTIFS(Release_Calendar!$A$2:$A$755,"US_CPI",Release_Calendar!$B$2:$B$755,$A2518)&gt;0,1,0)</f>
        <v>0</v>
      </c>
      <c r="L2518" s="16">
        <f>IF(COUNTIFS(Release_Calendar!$A$2:$A$755,"US_NFP",Release_Calendar!$B$2:$B$755,$A2518)&gt;0,1,0)</f>
        <v>0</v>
      </c>
      <c r="M2518" s="16" t="str">
        <f>IF($A2518&lt;Notes!$B$5,"",IF(COUNTIFS(Release_Calendar!$A$2:$A$755,"NZ_CPI",Release_Calendar!$B$2:$B$755,$A2518)&gt;0,1,0))</f>
        <v/>
      </c>
      <c r="N2518" s="16" t="str">
        <f>IF($A2518&lt;Notes!$B$5,"",IF(COUNTIFS(Release_Calendar!$A$2:$A$755,"NZ_GDP",Release_Calendar!$B$2:$B$755,$A2518)&gt;0,1,0))</f>
        <v/>
      </c>
      <c r="O2518" s="16" t="str">
        <f>IF($A2518&lt;Notes!$B$5,"",IF(COUNTIFS(Release_Calendar!$A$2:$A$755,"NZ_LABOUR",Release_Calendar!$B$2:$B$755,$A2518)&gt;0,1,0))</f>
        <v/>
      </c>
      <c r="P2518" s="16">
        <f t="shared" si="4"/>
        <v>0</v>
      </c>
    </row>
    <row r="2519" ht="15.75" customHeight="1">
      <c r="A2519" s="14">
        <v>40051.0</v>
      </c>
      <c r="B2519" s="15">
        <v>1.06</v>
      </c>
      <c r="C2519" s="15"/>
      <c r="D2519" s="15">
        <v>4.03</v>
      </c>
      <c r="E2519" s="15">
        <v>4.03</v>
      </c>
      <c r="F2519" s="15" t="str">
        <f t="shared" si="1"/>
        <v/>
      </c>
      <c r="G2519" s="15">
        <f t="shared" si="2"/>
        <v>4.03</v>
      </c>
      <c r="H2519" s="16">
        <v>1.0</v>
      </c>
      <c r="I2519" s="15">
        <f t="shared" si="3"/>
        <v>2.97</v>
      </c>
      <c r="J2519" s="15">
        <v>24.95</v>
      </c>
      <c r="K2519" s="16">
        <f>IF(COUNTIFS(Release_Calendar!$A$2:$A$755,"US_CPI",Release_Calendar!$B$2:$B$755,$A2519)&gt;0,1,0)</f>
        <v>0</v>
      </c>
      <c r="L2519" s="16">
        <f>IF(COUNTIFS(Release_Calendar!$A$2:$A$755,"US_NFP",Release_Calendar!$B$2:$B$755,$A2519)&gt;0,1,0)</f>
        <v>0</v>
      </c>
      <c r="M2519" s="16" t="str">
        <f>IF($A2519&lt;Notes!$B$5,"",IF(COUNTIFS(Release_Calendar!$A$2:$A$755,"NZ_CPI",Release_Calendar!$B$2:$B$755,$A2519)&gt;0,1,0))</f>
        <v/>
      </c>
      <c r="N2519" s="16" t="str">
        <f>IF($A2519&lt;Notes!$B$5,"",IF(COUNTIFS(Release_Calendar!$A$2:$A$755,"NZ_GDP",Release_Calendar!$B$2:$B$755,$A2519)&gt;0,1,0))</f>
        <v/>
      </c>
      <c r="O2519" s="16" t="str">
        <f>IF($A2519&lt;Notes!$B$5,"",IF(COUNTIFS(Release_Calendar!$A$2:$A$755,"NZ_LABOUR",Release_Calendar!$B$2:$B$755,$A2519)&gt;0,1,0))</f>
        <v/>
      </c>
      <c r="P2519" s="16">
        <f t="shared" si="4"/>
        <v>0</v>
      </c>
    </row>
    <row r="2520" ht="15.75" customHeight="1">
      <c r="A2520" s="14">
        <v>40052.0</v>
      </c>
      <c r="B2520" s="15">
        <v>1.04</v>
      </c>
      <c r="C2520" s="15"/>
      <c r="D2520" s="15">
        <v>4.02</v>
      </c>
      <c r="E2520" s="15">
        <v>4.01</v>
      </c>
      <c r="F2520" s="15" t="str">
        <f t="shared" si="1"/>
        <v/>
      </c>
      <c r="G2520" s="15">
        <f t="shared" si="2"/>
        <v>4.02</v>
      </c>
      <c r="H2520" s="16">
        <v>1.0</v>
      </c>
      <c r="I2520" s="15">
        <f t="shared" si="3"/>
        <v>2.98</v>
      </c>
      <c r="J2520" s="15">
        <v>24.68</v>
      </c>
      <c r="K2520" s="16">
        <f>IF(COUNTIFS(Release_Calendar!$A$2:$A$755,"US_CPI",Release_Calendar!$B$2:$B$755,$A2520)&gt;0,1,0)</f>
        <v>0</v>
      </c>
      <c r="L2520" s="16">
        <f>IF(COUNTIFS(Release_Calendar!$A$2:$A$755,"US_NFP",Release_Calendar!$B$2:$B$755,$A2520)&gt;0,1,0)</f>
        <v>0</v>
      </c>
      <c r="M2520" s="16" t="str">
        <f>IF($A2520&lt;Notes!$B$5,"",IF(COUNTIFS(Release_Calendar!$A$2:$A$755,"NZ_CPI",Release_Calendar!$B$2:$B$755,$A2520)&gt;0,1,0))</f>
        <v/>
      </c>
      <c r="N2520" s="16" t="str">
        <f>IF($A2520&lt;Notes!$B$5,"",IF(COUNTIFS(Release_Calendar!$A$2:$A$755,"NZ_GDP",Release_Calendar!$B$2:$B$755,$A2520)&gt;0,1,0))</f>
        <v/>
      </c>
      <c r="O2520" s="16" t="str">
        <f>IF($A2520&lt;Notes!$B$5,"",IF(COUNTIFS(Release_Calendar!$A$2:$A$755,"NZ_LABOUR",Release_Calendar!$B$2:$B$755,$A2520)&gt;0,1,0))</f>
        <v/>
      </c>
      <c r="P2520" s="16">
        <f t="shared" si="4"/>
        <v>0</v>
      </c>
    </row>
    <row r="2521" ht="15.75" customHeight="1">
      <c r="A2521" s="14">
        <v>40053.0</v>
      </c>
      <c r="B2521" s="15">
        <v>1.01</v>
      </c>
      <c r="C2521" s="15"/>
      <c r="D2521" s="15">
        <v>4.04</v>
      </c>
      <c r="E2521" s="15">
        <v>4.04</v>
      </c>
      <c r="F2521" s="15" t="str">
        <f t="shared" si="1"/>
        <v/>
      </c>
      <c r="G2521" s="15">
        <f t="shared" si="2"/>
        <v>4.04</v>
      </c>
      <c r="H2521" s="16">
        <v>1.0</v>
      </c>
      <c r="I2521" s="15">
        <f t="shared" si="3"/>
        <v>3.03</v>
      </c>
      <c r="J2521" s="15">
        <v>24.76</v>
      </c>
      <c r="K2521" s="16">
        <f>IF(COUNTIFS(Release_Calendar!$A$2:$A$755,"US_CPI",Release_Calendar!$B$2:$B$755,$A2521)&gt;0,1,0)</f>
        <v>0</v>
      </c>
      <c r="L2521" s="16">
        <f>IF(COUNTIFS(Release_Calendar!$A$2:$A$755,"US_NFP",Release_Calendar!$B$2:$B$755,$A2521)&gt;0,1,0)</f>
        <v>0</v>
      </c>
      <c r="M2521" s="16" t="str">
        <f>IF($A2521&lt;Notes!$B$5,"",IF(COUNTIFS(Release_Calendar!$A$2:$A$755,"NZ_CPI",Release_Calendar!$B$2:$B$755,$A2521)&gt;0,1,0))</f>
        <v/>
      </c>
      <c r="N2521" s="16" t="str">
        <f>IF($A2521&lt;Notes!$B$5,"",IF(COUNTIFS(Release_Calendar!$A$2:$A$755,"NZ_GDP",Release_Calendar!$B$2:$B$755,$A2521)&gt;0,1,0))</f>
        <v/>
      </c>
      <c r="O2521" s="16" t="str">
        <f>IF($A2521&lt;Notes!$B$5,"",IF(COUNTIFS(Release_Calendar!$A$2:$A$755,"NZ_LABOUR",Release_Calendar!$B$2:$B$755,$A2521)&gt;0,1,0))</f>
        <v/>
      </c>
      <c r="P2521" s="16">
        <f t="shared" si="4"/>
        <v>0</v>
      </c>
    </row>
    <row r="2522" ht="15.75" customHeight="1">
      <c r="A2522" s="14">
        <v>40056.0</v>
      </c>
      <c r="B2522" s="15">
        <v>0.97</v>
      </c>
      <c r="C2522" s="15"/>
      <c r="D2522" s="15">
        <v>4.05</v>
      </c>
      <c r="E2522" s="15">
        <v>4.05</v>
      </c>
      <c r="F2522" s="15" t="str">
        <f t="shared" si="1"/>
        <v/>
      </c>
      <c r="G2522" s="15">
        <f t="shared" si="2"/>
        <v>4.05</v>
      </c>
      <c r="H2522" s="16">
        <v>1.0</v>
      </c>
      <c r="I2522" s="15">
        <f t="shared" si="3"/>
        <v>3.08</v>
      </c>
      <c r="J2522" s="15">
        <v>26.01</v>
      </c>
      <c r="K2522" s="16">
        <f>IF(COUNTIFS(Release_Calendar!$A$2:$A$755,"US_CPI",Release_Calendar!$B$2:$B$755,$A2522)&gt;0,1,0)</f>
        <v>0</v>
      </c>
      <c r="L2522" s="16">
        <f>IF(COUNTIFS(Release_Calendar!$A$2:$A$755,"US_NFP",Release_Calendar!$B$2:$B$755,$A2522)&gt;0,1,0)</f>
        <v>0</v>
      </c>
      <c r="M2522" s="16" t="str">
        <f>IF($A2522&lt;Notes!$B$5,"",IF(COUNTIFS(Release_Calendar!$A$2:$A$755,"NZ_CPI",Release_Calendar!$B$2:$B$755,$A2522)&gt;0,1,0))</f>
        <v/>
      </c>
      <c r="N2522" s="16" t="str">
        <f>IF($A2522&lt;Notes!$B$5,"",IF(COUNTIFS(Release_Calendar!$A$2:$A$755,"NZ_GDP",Release_Calendar!$B$2:$B$755,$A2522)&gt;0,1,0))</f>
        <v/>
      </c>
      <c r="O2522" s="16" t="str">
        <f>IF($A2522&lt;Notes!$B$5,"",IF(COUNTIFS(Release_Calendar!$A$2:$A$755,"NZ_LABOUR",Release_Calendar!$B$2:$B$755,$A2522)&gt;0,1,0))</f>
        <v/>
      </c>
      <c r="P2522" s="16">
        <f t="shared" si="4"/>
        <v>0</v>
      </c>
    </row>
    <row r="2523" ht="15.75" customHeight="1">
      <c r="A2523" s="14">
        <v>40057.0</v>
      </c>
      <c r="B2523" s="15">
        <v>0.92</v>
      </c>
      <c r="C2523" s="15"/>
      <c r="D2523" s="15">
        <v>4.05</v>
      </c>
      <c r="E2523" s="15">
        <v>4.05</v>
      </c>
      <c r="F2523" s="15" t="str">
        <f t="shared" si="1"/>
        <v/>
      </c>
      <c r="G2523" s="15">
        <f t="shared" si="2"/>
        <v>4.05</v>
      </c>
      <c r="H2523" s="16">
        <v>1.0</v>
      </c>
      <c r="I2523" s="15">
        <f t="shared" si="3"/>
        <v>3.13</v>
      </c>
      <c r="J2523" s="15">
        <v>29.15</v>
      </c>
      <c r="K2523" s="16">
        <f>IF(COUNTIFS(Release_Calendar!$A$2:$A$755,"US_CPI",Release_Calendar!$B$2:$B$755,$A2523)&gt;0,1,0)</f>
        <v>0</v>
      </c>
      <c r="L2523" s="16">
        <f>IF(COUNTIFS(Release_Calendar!$A$2:$A$755,"US_NFP",Release_Calendar!$B$2:$B$755,$A2523)&gt;0,1,0)</f>
        <v>0</v>
      </c>
      <c r="M2523" s="16" t="str">
        <f>IF($A2523&lt;Notes!$B$5,"",IF(COUNTIFS(Release_Calendar!$A$2:$A$755,"NZ_CPI",Release_Calendar!$B$2:$B$755,$A2523)&gt;0,1,0))</f>
        <v/>
      </c>
      <c r="N2523" s="16" t="str">
        <f>IF($A2523&lt;Notes!$B$5,"",IF(COUNTIFS(Release_Calendar!$A$2:$A$755,"NZ_GDP",Release_Calendar!$B$2:$B$755,$A2523)&gt;0,1,0))</f>
        <v/>
      </c>
      <c r="O2523" s="16" t="str">
        <f>IF($A2523&lt;Notes!$B$5,"",IF(COUNTIFS(Release_Calendar!$A$2:$A$755,"NZ_LABOUR",Release_Calendar!$B$2:$B$755,$A2523)&gt;0,1,0))</f>
        <v/>
      </c>
      <c r="P2523" s="16">
        <f t="shared" si="4"/>
        <v>0</v>
      </c>
    </row>
    <row r="2524" ht="15.75" customHeight="1">
      <c r="A2524" s="14">
        <v>40058.0</v>
      </c>
      <c r="B2524" s="15">
        <v>0.89</v>
      </c>
      <c r="C2524" s="15"/>
      <c r="D2524" s="15">
        <v>4.0</v>
      </c>
      <c r="E2524" s="15">
        <v>4.0</v>
      </c>
      <c r="F2524" s="15" t="str">
        <f t="shared" si="1"/>
        <v/>
      </c>
      <c r="G2524" s="15">
        <f t="shared" si="2"/>
        <v>4</v>
      </c>
      <c r="H2524" s="16">
        <v>1.0</v>
      </c>
      <c r="I2524" s="15">
        <f t="shared" si="3"/>
        <v>3.11</v>
      </c>
      <c r="J2524" s="15">
        <v>28.9</v>
      </c>
      <c r="K2524" s="16">
        <f>IF(COUNTIFS(Release_Calendar!$A$2:$A$755,"US_CPI",Release_Calendar!$B$2:$B$755,$A2524)&gt;0,1,0)</f>
        <v>0</v>
      </c>
      <c r="L2524" s="16">
        <f>IF(COUNTIFS(Release_Calendar!$A$2:$A$755,"US_NFP",Release_Calendar!$B$2:$B$755,$A2524)&gt;0,1,0)</f>
        <v>0</v>
      </c>
      <c r="M2524" s="16" t="str">
        <f>IF($A2524&lt;Notes!$B$5,"",IF(COUNTIFS(Release_Calendar!$A$2:$A$755,"NZ_CPI",Release_Calendar!$B$2:$B$755,$A2524)&gt;0,1,0))</f>
        <v/>
      </c>
      <c r="N2524" s="16" t="str">
        <f>IF($A2524&lt;Notes!$B$5,"",IF(COUNTIFS(Release_Calendar!$A$2:$A$755,"NZ_GDP",Release_Calendar!$B$2:$B$755,$A2524)&gt;0,1,0))</f>
        <v/>
      </c>
      <c r="O2524" s="16" t="str">
        <f>IF($A2524&lt;Notes!$B$5,"",IF(COUNTIFS(Release_Calendar!$A$2:$A$755,"NZ_LABOUR",Release_Calendar!$B$2:$B$755,$A2524)&gt;0,1,0))</f>
        <v/>
      </c>
      <c r="P2524" s="16">
        <f t="shared" si="4"/>
        <v>0</v>
      </c>
    </row>
    <row r="2525" ht="15.75" customHeight="1">
      <c r="A2525" s="14">
        <v>40059.0</v>
      </c>
      <c r="B2525" s="15">
        <v>0.91</v>
      </c>
      <c r="C2525" s="15"/>
      <c r="D2525" s="15">
        <v>3.99</v>
      </c>
      <c r="E2525" s="15">
        <v>3.98</v>
      </c>
      <c r="F2525" s="15" t="str">
        <f t="shared" si="1"/>
        <v/>
      </c>
      <c r="G2525" s="15">
        <f t="shared" si="2"/>
        <v>3.99</v>
      </c>
      <c r="H2525" s="16">
        <v>1.0</v>
      </c>
      <c r="I2525" s="15">
        <f t="shared" si="3"/>
        <v>3.08</v>
      </c>
      <c r="J2525" s="15">
        <v>27.1</v>
      </c>
      <c r="K2525" s="16">
        <f>IF(COUNTIFS(Release_Calendar!$A$2:$A$755,"US_CPI",Release_Calendar!$B$2:$B$755,$A2525)&gt;0,1,0)</f>
        <v>0</v>
      </c>
      <c r="L2525" s="16">
        <f>IF(COUNTIFS(Release_Calendar!$A$2:$A$755,"US_NFP",Release_Calendar!$B$2:$B$755,$A2525)&gt;0,1,0)</f>
        <v>0</v>
      </c>
      <c r="M2525" s="16" t="str">
        <f>IF($A2525&lt;Notes!$B$5,"",IF(COUNTIFS(Release_Calendar!$A$2:$A$755,"NZ_CPI",Release_Calendar!$B$2:$B$755,$A2525)&gt;0,1,0))</f>
        <v/>
      </c>
      <c r="N2525" s="16" t="str">
        <f>IF($A2525&lt;Notes!$B$5,"",IF(COUNTIFS(Release_Calendar!$A$2:$A$755,"NZ_GDP",Release_Calendar!$B$2:$B$755,$A2525)&gt;0,1,0))</f>
        <v/>
      </c>
      <c r="O2525" s="16" t="str">
        <f>IF($A2525&lt;Notes!$B$5,"",IF(COUNTIFS(Release_Calendar!$A$2:$A$755,"NZ_LABOUR",Release_Calendar!$B$2:$B$755,$A2525)&gt;0,1,0))</f>
        <v/>
      </c>
      <c r="P2525" s="16">
        <f t="shared" si="4"/>
        <v>0</v>
      </c>
    </row>
    <row r="2526" ht="15.75" customHeight="1">
      <c r="A2526" s="14">
        <v>40060.0</v>
      </c>
      <c r="B2526" s="15">
        <v>0.94</v>
      </c>
      <c r="C2526" s="15"/>
      <c r="D2526" s="15">
        <v>3.99</v>
      </c>
      <c r="E2526" s="15">
        <v>4.0</v>
      </c>
      <c r="F2526" s="15" t="str">
        <f t="shared" si="1"/>
        <v/>
      </c>
      <c r="G2526" s="15">
        <f t="shared" si="2"/>
        <v>3.99</v>
      </c>
      <c r="H2526" s="16">
        <v>1.0</v>
      </c>
      <c r="I2526" s="15">
        <f t="shared" si="3"/>
        <v>3.05</v>
      </c>
      <c r="J2526" s="15">
        <v>25.26</v>
      </c>
      <c r="K2526" s="16">
        <f>IF(COUNTIFS(Release_Calendar!$A$2:$A$755,"US_CPI",Release_Calendar!$B$2:$B$755,$A2526)&gt;0,1,0)</f>
        <v>0</v>
      </c>
      <c r="L2526" s="16">
        <f>IF(COUNTIFS(Release_Calendar!$A$2:$A$755,"US_NFP",Release_Calendar!$B$2:$B$755,$A2526)&gt;0,1,0)</f>
        <v>1</v>
      </c>
      <c r="M2526" s="16" t="str">
        <f>IF($A2526&lt;Notes!$B$5,"",IF(COUNTIFS(Release_Calendar!$A$2:$A$755,"NZ_CPI",Release_Calendar!$B$2:$B$755,$A2526)&gt;0,1,0))</f>
        <v/>
      </c>
      <c r="N2526" s="16" t="str">
        <f>IF($A2526&lt;Notes!$B$5,"",IF(COUNTIFS(Release_Calendar!$A$2:$A$755,"NZ_GDP",Release_Calendar!$B$2:$B$755,$A2526)&gt;0,1,0))</f>
        <v/>
      </c>
      <c r="O2526" s="16" t="str">
        <f>IF($A2526&lt;Notes!$B$5,"",IF(COUNTIFS(Release_Calendar!$A$2:$A$755,"NZ_LABOUR",Release_Calendar!$B$2:$B$755,$A2526)&gt;0,1,0))</f>
        <v/>
      </c>
      <c r="P2526" s="16">
        <f t="shared" si="4"/>
        <v>1</v>
      </c>
    </row>
    <row r="2527" ht="15.75" customHeight="1">
      <c r="A2527" s="14">
        <v>40063.0</v>
      </c>
      <c r="B2527" s="15"/>
      <c r="C2527" s="15"/>
      <c r="D2527" s="15">
        <v>4.0</v>
      </c>
      <c r="E2527" s="15">
        <v>4.02</v>
      </c>
      <c r="F2527" s="15" t="str">
        <f t="shared" si="1"/>
        <v/>
      </c>
      <c r="G2527" s="15">
        <f t="shared" si="2"/>
        <v>4</v>
      </c>
      <c r="H2527" s="16">
        <v>1.0</v>
      </c>
      <c r="I2527" s="15" t="str">
        <f t="shared" si="3"/>
        <v/>
      </c>
      <c r="J2527" s="15"/>
      <c r="K2527" s="16">
        <f>IF(COUNTIFS(Release_Calendar!$A$2:$A$755,"US_CPI",Release_Calendar!$B$2:$B$755,$A2527)&gt;0,1,0)</f>
        <v>0</v>
      </c>
      <c r="L2527" s="16">
        <f>IF(COUNTIFS(Release_Calendar!$A$2:$A$755,"US_NFP",Release_Calendar!$B$2:$B$755,$A2527)&gt;0,1,0)</f>
        <v>0</v>
      </c>
      <c r="M2527" s="16" t="str">
        <f>IF($A2527&lt;Notes!$B$5,"",IF(COUNTIFS(Release_Calendar!$A$2:$A$755,"NZ_CPI",Release_Calendar!$B$2:$B$755,$A2527)&gt;0,1,0))</f>
        <v/>
      </c>
      <c r="N2527" s="16" t="str">
        <f>IF($A2527&lt;Notes!$B$5,"",IF(COUNTIFS(Release_Calendar!$A$2:$A$755,"NZ_GDP",Release_Calendar!$B$2:$B$755,$A2527)&gt;0,1,0))</f>
        <v/>
      </c>
      <c r="O2527" s="16" t="str">
        <f>IF($A2527&lt;Notes!$B$5,"",IF(COUNTIFS(Release_Calendar!$A$2:$A$755,"NZ_LABOUR",Release_Calendar!$B$2:$B$755,$A2527)&gt;0,1,0))</f>
        <v/>
      </c>
      <c r="P2527" s="16">
        <f t="shared" si="4"/>
        <v>0</v>
      </c>
    </row>
    <row r="2528" ht="15.75" customHeight="1">
      <c r="A2528" s="14">
        <v>40064.0</v>
      </c>
      <c r="B2528" s="15">
        <v>0.93</v>
      </c>
      <c r="C2528" s="15"/>
      <c r="D2528" s="15">
        <v>4.01</v>
      </c>
      <c r="E2528" s="15">
        <v>3.99</v>
      </c>
      <c r="F2528" s="15" t="str">
        <f t="shared" si="1"/>
        <v/>
      </c>
      <c r="G2528" s="15">
        <f t="shared" si="2"/>
        <v>4.01</v>
      </c>
      <c r="H2528" s="16">
        <v>1.0</v>
      </c>
      <c r="I2528" s="15">
        <f t="shared" si="3"/>
        <v>3.08</v>
      </c>
      <c r="J2528" s="15">
        <v>25.62</v>
      </c>
      <c r="K2528" s="16">
        <f>IF(COUNTIFS(Release_Calendar!$A$2:$A$755,"US_CPI",Release_Calendar!$B$2:$B$755,$A2528)&gt;0,1,0)</f>
        <v>0</v>
      </c>
      <c r="L2528" s="16">
        <f>IF(COUNTIFS(Release_Calendar!$A$2:$A$755,"US_NFP",Release_Calendar!$B$2:$B$755,$A2528)&gt;0,1,0)</f>
        <v>0</v>
      </c>
      <c r="M2528" s="16" t="str">
        <f>IF($A2528&lt;Notes!$B$5,"",IF(COUNTIFS(Release_Calendar!$A$2:$A$755,"NZ_CPI",Release_Calendar!$B$2:$B$755,$A2528)&gt;0,1,0))</f>
        <v/>
      </c>
      <c r="N2528" s="16" t="str">
        <f>IF($A2528&lt;Notes!$B$5,"",IF(COUNTIFS(Release_Calendar!$A$2:$A$755,"NZ_GDP",Release_Calendar!$B$2:$B$755,$A2528)&gt;0,1,0))</f>
        <v/>
      </c>
      <c r="O2528" s="16" t="str">
        <f>IF($A2528&lt;Notes!$B$5,"",IF(COUNTIFS(Release_Calendar!$A$2:$A$755,"NZ_LABOUR",Release_Calendar!$B$2:$B$755,$A2528)&gt;0,1,0))</f>
        <v/>
      </c>
      <c r="P2528" s="16">
        <f t="shared" si="4"/>
        <v>0</v>
      </c>
    </row>
    <row r="2529" ht="15.75" customHeight="1">
      <c r="A2529" s="14">
        <v>40065.0</v>
      </c>
      <c r="B2529" s="15">
        <v>0.93</v>
      </c>
      <c r="C2529" s="15"/>
      <c r="D2529" s="15">
        <v>3.99</v>
      </c>
      <c r="E2529" s="15">
        <v>3.96</v>
      </c>
      <c r="F2529" s="15" t="str">
        <f t="shared" si="1"/>
        <v/>
      </c>
      <c r="G2529" s="15">
        <f t="shared" si="2"/>
        <v>3.99</v>
      </c>
      <c r="H2529" s="16">
        <v>1.0</v>
      </c>
      <c r="I2529" s="15">
        <f t="shared" si="3"/>
        <v>3.06</v>
      </c>
      <c r="J2529" s="15">
        <v>24.32</v>
      </c>
      <c r="K2529" s="16">
        <f>IF(COUNTIFS(Release_Calendar!$A$2:$A$755,"US_CPI",Release_Calendar!$B$2:$B$755,$A2529)&gt;0,1,0)</f>
        <v>0</v>
      </c>
      <c r="L2529" s="16">
        <f>IF(COUNTIFS(Release_Calendar!$A$2:$A$755,"US_NFP",Release_Calendar!$B$2:$B$755,$A2529)&gt;0,1,0)</f>
        <v>0</v>
      </c>
      <c r="M2529" s="16" t="str">
        <f>IF($A2529&lt;Notes!$B$5,"",IF(COUNTIFS(Release_Calendar!$A$2:$A$755,"NZ_CPI",Release_Calendar!$B$2:$B$755,$A2529)&gt;0,1,0))</f>
        <v/>
      </c>
      <c r="N2529" s="16" t="str">
        <f>IF($A2529&lt;Notes!$B$5,"",IF(COUNTIFS(Release_Calendar!$A$2:$A$755,"NZ_GDP",Release_Calendar!$B$2:$B$755,$A2529)&gt;0,1,0))</f>
        <v/>
      </c>
      <c r="O2529" s="16" t="str">
        <f>IF($A2529&lt;Notes!$B$5,"",IF(COUNTIFS(Release_Calendar!$A$2:$A$755,"NZ_LABOUR",Release_Calendar!$B$2:$B$755,$A2529)&gt;0,1,0))</f>
        <v/>
      </c>
      <c r="P2529" s="16">
        <f t="shared" si="4"/>
        <v>0</v>
      </c>
    </row>
    <row r="2530" ht="15.75" customHeight="1">
      <c r="A2530" s="14">
        <v>40066.0</v>
      </c>
      <c r="B2530" s="15">
        <v>0.9</v>
      </c>
      <c r="C2530" s="15"/>
      <c r="D2530" s="15">
        <v>3.96</v>
      </c>
      <c r="E2530" s="15">
        <v>3.95</v>
      </c>
      <c r="F2530" s="15" t="str">
        <f t="shared" si="1"/>
        <v/>
      </c>
      <c r="G2530" s="15">
        <f t="shared" si="2"/>
        <v>3.96</v>
      </c>
      <c r="H2530" s="16">
        <v>1.0</v>
      </c>
      <c r="I2530" s="15">
        <f t="shared" si="3"/>
        <v>3.06</v>
      </c>
      <c r="J2530" s="15">
        <v>23.55</v>
      </c>
      <c r="K2530" s="16">
        <f>IF(COUNTIFS(Release_Calendar!$A$2:$A$755,"US_CPI",Release_Calendar!$B$2:$B$755,$A2530)&gt;0,1,0)</f>
        <v>0</v>
      </c>
      <c r="L2530" s="16">
        <f>IF(COUNTIFS(Release_Calendar!$A$2:$A$755,"US_NFP",Release_Calendar!$B$2:$B$755,$A2530)&gt;0,1,0)</f>
        <v>0</v>
      </c>
      <c r="M2530" s="16" t="str">
        <f>IF($A2530&lt;Notes!$B$5,"",IF(COUNTIFS(Release_Calendar!$A$2:$A$755,"NZ_CPI",Release_Calendar!$B$2:$B$755,$A2530)&gt;0,1,0))</f>
        <v/>
      </c>
      <c r="N2530" s="16" t="str">
        <f>IF($A2530&lt;Notes!$B$5,"",IF(COUNTIFS(Release_Calendar!$A$2:$A$755,"NZ_GDP",Release_Calendar!$B$2:$B$755,$A2530)&gt;0,1,0))</f>
        <v/>
      </c>
      <c r="O2530" s="16" t="str">
        <f>IF($A2530&lt;Notes!$B$5,"",IF(COUNTIFS(Release_Calendar!$A$2:$A$755,"NZ_LABOUR",Release_Calendar!$B$2:$B$755,$A2530)&gt;0,1,0))</f>
        <v/>
      </c>
      <c r="P2530" s="16">
        <f t="shared" si="4"/>
        <v>0</v>
      </c>
    </row>
    <row r="2531" ht="15.75" customHeight="1">
      <c r="A2531" s="14">
        <v>40067.0</v>
      </c>
      <c r="B2531" s="15">
        <v>0.9</v>
      </c>
      <c r="C2531" s="15"/>
      <c r="D2531" s="15">
        <v>3.95</v>
      </c>
      <c r="E2531" s="15">
        <v>3.93</v>
      </c>
      <c r="F2531" s="15" t="str">
        <f t="shared" si="1"/>
        <v/>
      </c>
      <c r="G2531" s="15">
        <f t="shared" si="2"/>
        <v>3.95</v>
      </c>
      <c r="H2531" s="16">
        <v>1.0</v>
      </c>
      <c r="I2531" s="15">
        <f t="shared" si="3"/>
        <v>3.05</v>
      </c>
      <c r="J2531" s="15">
        <v>24.15</v>
      </c>
      <c r="K2531" s="16">
        <f>IF(COUNTIFS(Release_Calendar!$A$2:$A$755,"US_CPI",Release_Calendar!$B$2:$B$755,$A2531)&gt;0,1,0)</f>
        <v>0</v>
      </c>
      <c r="L2531" s="16">
        <f>IF(COUNTIFS(Release_Calendar!$A$2:$A$755,"US_NFP",Release_Calendar!$B$2:$B$755,$A2531)&gt;0,1,0)</f>
        <v>0</v>
      </c>
      <c r="M2531" s="16" t="str">
        <f>IF($A2531&lt;Notes!$B$5,"",IF(COUNTIFS(Release_Calendar!$A$2:$A$755,"NZ_CPI",Release_Calendar!$B$2:$B$755,$A2531)&gt;0,1,0))</f>
        <v/>
      </c>
      <c r="N2531" s="16" t="str">
        <f>IF($A2531&lt;Notes!$B$5,"",IF(COUNTIFS(Release_Calendar!$A$2:$A$755,"NZ_GDP",Release_Calendar!$B$2:$B$755,$A2531)&gt;0,1,0))</f>
        <v/>
      </c>
      <c r="O2531" s="16" t="str">
        <f>IF($A2531&lt;Notes!$B$5,"",IF(COUNTIFS(Release_Calendar!$A$2:$A$755,"NZ_LABOUR",Release_Calendar!$B$2:$B$755,$A2531)&gt;0,1,0))</f>
        <v/>
      </c>
      <c r="P2531" s="16">
        <f t="shared" si="4"/>
        <v>0</v>
      </c>
    </row>
    <row r="2532" ht="15.75" customHeight="1">
      <c r="A2532" s="14">
        <v>40070.0</v>
      </c>
      <c r="B2532" s="15">
        <v>0.94</v>
      </c>
      <c r="C2532" s="15"/>
      <c r="D2532" s="15">
        <v>3.93</v>
      </c>
      <c r="E2532" s="15">
        <v>3.93</v>
      </c>
      <c r="F2532" s="15" t="str">
        <f t="shared" si="1"/>
        <v/>
      </c>
      <c r="G2532" s="15">
        <f t="shared" si="2"/>
        <v>3.93</v>
      </c>
      <c r="H2532" s="16">
        <v>1.0</v>
      </c>
      <c r="I2532" s="15">
        <f t="shared" si="3"/>
        <v>2.99</v>
      </c>
      <c r="J2532" s="15">
        <v>23.86</v>
      </c>
      <c r="K2532" s="16">
        <f>IF(COUNTIFS(Release_Calendar!$A$2:$A$755,"US_CPI",Release_Calendar!$B$2:$B$755,$A2532)&gt;0,1,0)</f>
        <v>0</v>
      </c>
      <c r="L2532" s="16">
        <f>IF(COUNTIFS(Release_Calendar!$A$2:$A$755,"US_NFP",Release_Calendar!$B$2:$B$755,$A2532)&gt;0,1,0)</f>
        <v>0</v>
      </c>
      <c r="M2532" s="16" t="str">
        <f>IF($A2532&lt;Notes!$B$5,"",IF(COUNTIFS(Release_Calendar!$A$2:$A$755,"NZ_CPI",Release_Calendar!$B$2:$B$755,$A2532)&gt;0,1,0))</f>
        <v/>
      </c>
      <c r="N2532" s="16" t="str">
        <f>IF($A2532&lt;Notes!$B$5,"",IF(COUNTIFS(Release_Calendar!$A$2:$A$755,"NZ_GDP",Release_Calendar!$B$2:$B$755,$A2532)&gt;0,1,0))</f>
        <v/>
      </c>
      <c r="O2532" s="16" t="str">
        <f>IF($A2532&lt;Notes!$B$5,"",IF(COUNTIFS(Release_Calendar!$A$2:$A$755,"NZ_LABOUR",Release_Calendar!$B$2:$B$755,$A2532)&gt;0,1,0))</f>
        <v/>
      </c>
      <c r="P2532" s="16">
        <f t="shared" si="4"/>
        <v>0</v>
      </c>
    </row>
    <row r="2533" ht="15.75" customHeight="1">
      <c r="A2533" s="14">
        <v>40071.0</v>
      </c>
      <c r="B2533" s="15">
        <v>0.96</v>
      </c>
      <c r="C2533" s="15"/>
      <c r="D2533" s="15">
        <v>3.94</v>
      </c>
      <c r="E2533" s="15">
        <v>3.94</v>
      </c>
      <c r="F2533" s="15" t="str">
        <f t="shared" si="1"/>
        <v/>
      </c>
      <c r="G2533" s="15">
        <f t="shared" si="2"/>
        <v>3.94</v>
      </c>
      <c r="H2533" s="16">
        <v>1.0</v>
      </c>
      <c r="I2533" s="15">
        <f t="shared" si="3"/>
        <v>2.98</v>
      </c>
      <c r="J2533" s="15">
        <v>23.42</v>
      </c>
      <c r="K2533" s="16">
        <f>IF(COUNTIFS(Release_Calendar!$A$2:$A$755,"US_CPI",Release_Calendar!$B$2:$B$755,$A2533)&gt;0,1,0)</f>
        <v>0</v>
      </c>
      <c r="L2533" s="16">
        <f>IF(COUNTIFS(Release_Calendar!$A$2:$A$755,"US_NFP",Release_Calendar!$B$2:$B$755,$A2533)&gt;0,1,0)</f>
        <v>0</v>
      </c>
      <c r="M2533" s="16" t="str">
        <f>IF($A2533&lt;Notes!$B$5,"",IF(COUNTIFS(Release_Calendar!$A$2:$A$755,"NZ_CPI",Release_Calendar!$B$2:$B$755,$A2533)&gt;0,1,0))</f>
        <v/>
      </c>
      <c r="N2533" s="16" t="str">
        <f>IF($A2533&lt;Notes!$B$5,"",IF(COUNTIFS(Release_Calendar!$A$2:$A$755,"NZ_GDP",Release_Calendar!$B$2:$B$755,$A2533)&gt;0,1,0))</f>
        <v/>
      </c>
      <c r="O2533" s="16" t="str">
        <f>IF($A2533&lt;Notes!$B$5,"",IF(COUNTIFS(Release_Calendar!$A$2:$A$755,"NZ_LABOUR",Release_Calendar!$B$2:$B$755,$A2533)&gt;0,1,0))</f>
        <v/>
      </c>
      <c r="P2533" s="16">
        <f t="shared" si="4"/>
        <v>0</v>
      </c>
    </row>
    <row r="2534" ht="15.75" customHeight="1">
      <c r="A2534" s="14">
        <v>40072.0</v>
      </c>
      <c r="B2534" s="15">
        <v>1.01</v>
      </c>
      <c r="C2534" s="15"/>
      <c r="D2534" s="15">
        <v>4.02</v>
      </c>
      <c r="E2534" s="15">
        <v>4.02</v>
      </c>
      <c r="F2534" s="15" t="str">
        <f t="shared" si="1"/>
        <v/>
      </c>
      <c r="G2534" s="15">
        <f t="shared" si="2"/>
        <v>4.02</v>
      </c>
      <c r="H2534" s="16">
        <v>1.0</v>
      </c>
      <c r="I2534" s="15">
        <f t="shared" si="3"/>
        <v>3.01</v>
      </c>
      <c r="J2534" s="15">
        <v>23.69</v>
      </c>
      <c r="K2534" s="16">
        <f>IF(COUNTIFS(Release_Calendar!$A$2:$A$755,"US_CPI",Release_Calendar!$B$2:$B$755,$A2534)&gt;0,1,0)</f>
        <v>1</v>
      </c>
      <c r="L2534" s="16">
        <f>IF(COUNTIFS(Release_Calendar!$A$2:$A$755,"US_NFP",Release_Calendar!$B$2:$B$755,$A2534)&gt;0,1,0)</f>
        <v>0</v>
      </c>
      <c r="M2534" s="16" t="str">
        <f>IF($A2534&lt;Notes!$B$5,"",IF(COUNTIFS(Release_Calendar!$A$2:$A$755,"NZ_CPI",Release_Calendar!$B$2:$B$755,$A2534)&gt;0,1,0))</f>
        <v/>
      </c>
      <c r="N2534" s="16" t="str">
        <f>IF($A2534&lt;Notes!$B$5,"",IF(COUNTIFS(Release_Calendar!$A$2:$A$755,"NZ_GDP",Release_Calendar!$B$2:$B$755,$A2534)&gt;0,1,0))</f>
        <v/>
      </c>
      <c r="O2534" s="16" t="str">
        <f>IF($A2534&lt;Notes!$B$5,"",IF(COUNTIFS(Release_Calendar!$A$2:$A$755,"NZ_LABOUR",Release_Calendar!$B$2:$B$755,$A2534)&gt;0,1,0))</f>
        <v/>
      </c>
      <c r="P2534" s="16">
        <f t="shared" si="4"/>
        <v>1</v>
      </c>
    </row>
    <row r="2535" ht="15.75" customHeight="1">
      <c r="A2535" s="14">
        <v>40073.0</v>
      </c>
      <c r="B2535" s="15">
        <v>0.98</v>
      </c>
      <c r="C2535" s="15"/>
      <c r="D2535" s="15">
        <v>4.06</v>
      </c>
      <c r="E2535" s="15">
        <v>4.01</v>
      </c>
      <c r="F2535" s="15" t="str">
        <f t="shared" si="1"/>
        <v/>
      </c>
      <c r="G2535" s="15">
        <f t="shared" si="2"/>
        <v>4.06</v>
      </c>
      <c r="H2535" s="16">
        <v>1.0</v>
      </c>
      <c r="I2535" s="15">
        <f t="shared" si="3"/>
        <v>3.08</v>
      </c>
      <c r="J2535" s="15">
        <v>23.65</v>
      </c>
      <c r="K2535" s="16">
        <f>IF(COUNTIFS(Release_Calendar!$A$2:$A$755,"US_CPI",Release_Calendar!$B$2:$B$755,$A2535)&gt;0,1,0)</f>
        <v>0</v>
      </c>
      <c r="L2535" s="16">
        <f>IF(COUNTIFS(Release_Calendar!$A$2:$A$755,"US_NFP",Release_Calendar!$B$2:$B$755,$A2535)&gt;0,1,0)</f>
        <v>0</v>
      </c>
      <c r="M2535" s="16" t="str">
        <f>IF($A2535&lt;Notes!$B$5,"",IF(COUNTIFS(Release_Calendar!$A$2:$A$755,"NZ_CPI",Release_Calendar!$B$2:$B$755,$A2535)&gt;0,1,0))</f>
        <v/>
      </c>
      <c r="N2535" s="16" t="str">
        <f>IF($A2535&lt;Notes!$B$5,"",IF(COUNTIFS(Release_Calendar!$A$2:$A$755,"NZ_GDP",Release_Calendar!$B$2:$B$755,$A2535)&gt;0,1,0))</f>
        <v/>
      </c>
      <c r="O2535" s="16" t="str">
        <f>IF($A2535&lt;Notes!$B$5,"",IF(COUNTIFS(Release_Calendar!$A$2:$A$755,"NZ_LABOUR",Release_Calendar!$B$2:$B$755,$A2535)&gt;0,1,0))</f>
        <v/>
      </c>
      <c r="P2535" s="16">
        <f t="shared" si="4"/>
        <v>0</v>
      </c>
    </row>
    <row r="2536" ht="15.75" customHeight="1">
      <c r="A2536" s="14">
        <v>40074.0</v>
      </c>
      <c r="B2536" s="15">
        <v>1.03</v>
      </c>
      <c r="C2536" s="15"/>
      <c r="D2536" s="15">
        <v>3.99</v>
      </c>
      <c r="E2536" s="15">
        <v>3.94</v>
      </c>
      <c r="F2536" s="15" t="str">
        <f t="shared" si="1"/>
        <v/>
      </c>
      <c r="G2536" s="15">
        <f t="shared" si="2"/>
        <v>3.99</v>
      </c>
      <c r="H2536" s="16">
        <v>1.0</v>
      </c>
      <c r="I2536" s="15">
        <f t="shared" si="3"/>
        <v>2.96</v>
      </c>
      <c r="J2536" s="15">
        <v>23.92</v>
      </c>
      <c r="K2536" s="16">
        <f>IF(COUNTIFS(Release_Calendar!$A$2:$A$755,"US_CPI",Release_Calendar!$B$2:$B$755,$A2536)&gt;0,1,0)</f>
        <v>0</v>
      </c>
      <c r="L2536" s="16">
        <f>IF(COUNTIFS(Release_Calendar!$A$2:$A$755,"US_NFP",Release_Calendar!$B$2:$B$755,$A2536)&gt;0,1,0)</f>
        <v>0</v>
      </c>
      <c r="M2536" s="16" t="str">
        <f>IF($A2536&lt;Notes!$B$5,"",IF(COUNTIFS(Release_Calendar!$A$2:$A$755,"NZ_CPI",Release_Calendar!$B$2:$B$755,$A2536)&gt;0,1,0))</f>
        <v/>
      </c>
      <c r="N2536" s="16" t="str">
        <f>IF($A2536&lt;Notes!$B$5,"",IF(COUNTIFS(Release_Calendar!$A$2:$A$755,"NZ_GDP",Release_Calendar!$B$2:$B$755,$A2536)&gt;0,1,0))</f>
        <v/>
      </c>
      <c r="O2536" s="16" t="str">
        <f>IF($A2536&lt;Notes!$B$5,"",IF(COUNTIFS(Release_Calendar!$A$2:$A$755,"NZ_LABOUR",Release_Calendar!$B$2:$B$755,$A2536)&gt;0,1,0))</f>
        <v/>
      </c>
      <c r="P2536" s="16">
        <f t="shared" si="4"/>
        <v>0</v>
      </c>
    </row>
    <row r="2537" ht="15.75" customHeight="1">
      <c r="A2537" s="14">
        <v>40077.0</v>
      </c>
      <c r="B2537" s="15">
        <v>1.02</v>
      </c>
      <c r="C2537" s="15"/>
      <c r="D2537" s="15">
        <v>3.96</v>
      </c>
      <c r="E2537" s="15">
        <v>3.96</v>
      </c>
      <c r="F2537" s="15" t="str">
        <f t="shared" si="1"/>
        <v/>
      </c>
      <c r="G2537" s="15">
        <f t="shared" si="2"/>
        <v>3.96</v>
      </c>
      <c r="H2537" s="16">
        <v>1.0</v>
      </c>
      <c r="I2537" s="15">
        <f t="shared" si="3"/>
        <v>2.94</v>
      </c>
      <c r="J2537" s="15">
        <v>24.06</v>
      </c>
      <c r="K2537" s="16">
        <f>IF(COUNTIFS(Release_Calendar!$A$2:$A$755,"US_CPI",Release_Calendar!$B$2:$B$755,$A2537)&gt;0,1,0)</f>
        <v>0</v>
      </c>
      <c r="L2537" s="16">
        <f>IF(COUNTIFS(Release_Calendar!$A$2:$A$755,"US_NFP",Release_Calendar!$B$2:$B$755,$A2537)&gt;0,1,0)</f>
        <v>0</v>
      </c>
      <c r="M2537" s="16" t="str">
        <f>IF($A2537&lt;Notes!$B$5,"",IF(COUNTIFS(Release_Calendar!$A$2:$A$755,"NZ_CPI",Release_Calendar!$B$2:$B$755,$A2537)&gt;0,1,0))</f>
        <v/>
      </c>
      <c r="N2537" s="16" t="str">
        <f>IF($A2537&lt;Notes!$B$5,"",IF(COUNTIFS(Release_Calendar!$A$2:$A$755,"NZ_GDP",Release_Calendar!$B$2:$B$755,$A2537)&gt;0,1,0))</f>
        <v/>
      </c>
      <c r="O2537" s="16" t="str">
        <f>IF($A2537&lt;Notes!$B$5,"",IF(COUNTIFS(Release_Calendar!$A$2:$A$755,"NZ_LABOUR",Release_Calendar!$B$2:$B$755,$A2537)&gt;0,1,0))</f>
        <v/>
      </c>
      <c r="P2537" s="16">
        <f t="shared" si="4"/>
        <v>0</v>
      </c>
    </row>
    <row r="2538" ht="15.75" customHeight="1">
      <c r="A2538" s="14">
        <v>40078.0</v>
      </c>
      <c r="B2538" s="15">
        <v>1.02</v>
      </c>
      <c r="C2538" s="15"/>
      <c r="D2538" s="15">
        <v>3.96</v>
      </c>
      <c r="E2538" s="15">
        <v>4.02</v>
      </c>
      <c r="F2538" s="15" t="str">
        <f t="shared" si="1"/>
        <v/>
      </c>
      <c r="G2538" s="15">
        <f t="shared" si="2"/>
        <v>3.96</v>
      </c>
      <c r="H2538" s="16">
        <v>1.0</v>
      </c>
      <c r="I2538" s="15">
        <f t="shared" si="3"/>
        <v>2.94</v>
      </c>
      <c r="J2538" s="15">
        <v>23.08</v>
      </c>
      <c r="K2538" s="16">
        <f>IF(COUNTIFS(Release_Calendar!$A$2:$A$755,"US_CPI",Release_Calendar!$B$2:$B$755,$A2538)&gt;0,1,0)</f>
        <v>0</v>
      </c>
      <c r="L2538" s="16">
        <f>IF(COUNTIFS(Release_Calendar!$A$2:$A$755,"US_NFP",Release_Calendar!$B$2:$B$755,$A2538)&gt;0,1,0)</f>
        <v>0</v>
      </c>
      <c r="M2538" s="16" t="str">
        <f>IF($A2538&lt;Notes!$B$5,"",IF(COUNTIFS(Release_Calendar!$A$2:$A$755,"NZ_CPI",Release_Calendar!$B$2:$B$755,$A2538)&gt;0,1,0))</f>
        <v/>
      </c>
      <c r="N2538" s="16" t="str">
        <f>IF($A2538&lt;Notes!$B$5,"",IF(COUNTIFS(Release_Calendar!$A$2:$A$755,"NZ_GDP",Release_Calendar!$B$2:$B$755,$A2538)&gt;0,1,0))</f>
        <v/>
      </c>
      <c r="O2538" s="16" t="str">
        <f>IF($A2538&lt;Notes!$B$5,"",IF(COUNTIFS(Release_Calendar!$A$2:$A$755,"NZ_LABOUR",Release_Calendar!$B$2:$B$755,$A2538)&gt;0,1,0))</f>
        <v/>
      </c>
      <c r="P2538" s="16">
        <f t="shared" si="4"/>
        <v>0</v>
      </c>
    </row>
    <row r="2539" ht="15.75" customHeight="1">
      <c r="A2539" s="14">
        <v>40079.0</v>
      </c>
      <c r="B2539" s="15">
        <v>0.96</v>
      </c>
      <c r="C2539" s="15"/>
      <c r="D2539" s="15">
        <v>4.09</v>
      </c>
      <c r="E2539" s="15">
        <v>4.13</v>
      </c>
      <c r="F2539" s="15" t="str">
        <f t="shared" si="1"/>
        <v/>
      </c>
      <c r="G2539" s="15">
        <f t="shared" si="2"/>
        <v>4.09</v>
      </c>
      <c r="H2539" s="16">
        <v>1.0</v>
      </c>
      <c r="I2539" s="15">
        <f t="shared" si="3"/>
        <v>3.13</v>
      </c>
      <c r="J2539" s="15">
        <v>23.49</v>
      </c>
      <c r="K2539" s="16">
        <f>IF(COUNTIFS(Release_Calendar!$A$2:$A$755,"US_CPI",Release_Calendar!$B$2:$B$755,$A2539)&gt;0,1,0)</f>
        <v>0</v>
      </c>
      <c r="L2539" s="16">
        <f>IF(COUNTIFS(Release_Calendar!$A$2:$A$755,"US_NFP",Release_Calendar!$B$2:$B$755,$A2539)&gt;0,1,0)</f>
        <v>0</v>
      </c>
      <c r="M2539" s="16" t="str">
        <f>IF($A2539&lt;Notes!$B$5,"",IF(COUNTIFS(Release_Calendar!$A$2:$A$755,"NZ_CPI",Release_Calendar!$B$2:$B$755,$A2539)&gt;0,1,0))</f>
        <v/>
      </c>
      <c r="N2539" s="16" t="str">
        <f>IF($A2539&lt;Notes!$B$5,"",IF(COUNTIFS(Release_Calendar!$A$2:$A$755,"NZ_GDP",Release_Calendar!$B$2:$B$755,$A2539)&gt;0,1,0))</f>
        <v/>
      </c>
      <c r="O2539" s="16" t="str">
        <f>IF($A2539&lt;Notes!$B$5,"",IF(COUNTIFS(Release_Calendar!$A$2:$A$755,"NZ_LABOUR",Release_Calendar!$B$2:$B$755,$A2539)&gt;0,1,0))</f>
        <v/>
      </c>
      <c r="P2539" s="16">
        <f t="shared" si="4"/>
        <v>0</v>
      </c>
    </row>
    <row r="2540" ht="15.75" customHeight="1">
      <c r="A2540" s="14">
        <v>40080.0</v>
      </c>
      <c r="B2540" s="15">
        <v>0.93</v>
      </c>
      <c r="C2540" s="15"/>
      <c r="D2540" s="15">
        <v>4.13</v>
      </c>
      <c r="E2540" s="15">
        <v>4.09</v>
      </c>
      <c r="F2540" s="15" t="str">
        <f t="shared" si="1"/>
        <v/>
      </c>
      <c r="G2540" s="15">
        <f t="shared" si="2"/>
        <v>4.13</v>
      </c>
      <c r="H2540" s="16">
        <v>1.0</v>
      </c>
      <c r="I2540" s="15">
        <f t="shared" si="3"/>
        <v>3.2</v>
      </c>
      <c r="J2540" s="15">
        <v>24.95</v>
      </c>
      <c r="K2540" s="16">
        <f>IF(COUNTIFS(Release_Calendar!$A$2:$A$755,"US_CPI",Release_Calendar!$B$2:$B$755,$A2540)&gt;0,1,0)</f>
        <v>0</v>
      </c>
      <c r="L2540" s="16">
        <f>IF(COUNTIFS(Release_Calendar!$A$2:$A$755,"US_NFP",Release_Calendar!$B$2:$B$755,$A2540)&gt;0,1,0)</f>
        <v>0</v>
      </c>
      <c r="M2540" s="16" t="str">
        <f>IF($A2540&lt;Notes!$B$5,"",IF(COUNTIFS(Release_Calendar!$A$2:$A$755,"NZ_CPI",Release_Calendar!$B$2:$B$755,$A2540)&gt;0,1,0))</f>
        <v/>
      </c>
      <c r="N2540" s="16" t="str">
        <f>IF($A2540&lt;Notes!$B$5,"",IF(COUNTIFS(Release_Calendar!$A$2:$A$755,"NZ_GDP",Release_Calendar!$B$2:$B$755,$A2540)&gt;0,1,0))</f>
        <v/>
      </c>
      <c r="O2540" s="16" t="str">
        <f>IF($A2540&lt;Notes!$B$5,"",IF(COUNTIFS(Release_Calendar!$A$2:$A$755,"NZ_LABOUR",Release_Calendar!$B$2:$B$755,$A2540)&gt;0,1,0))</f>
        <v/>
      </c>
      <c r="P2540" s="16">
        <f t="shared" si="4"/>
        <v>0</v>
      </c>
    </row>
    <row r="2541" ht="15.75" customHeight="1">
      <c r="A2541" s="14">
        <v>40081.0</v>
      </c>
      <c r="B2541" s="15">
        <v>0.98</v>
      </c>
      <c r="C2541" s="15"/>
      <c r="D2541" s="15">
        <v>4.08</v>
      </c>
      <c r="E2541" s="15">
        <v>4.04</v>
      </c>
      <c r="F2541" s="15" t="str">
        <f t="shared" si="1"/>
        <v/>
      </c>
      <c r="G2541" s="15">
        <f t="shared" si="2"/>
        <v>4.08</v>
      </c>
      <c r="H2541" s="16">
        <v>1.0</v>
      </c>
      <c r="I2541" s="15">
        <f t="shared" si="3"/>
        <v>3.1</v>
      </c>
      <c r="J2541" s="15">
        <v>25.61</v>
      </c>
      <c r="K2541" s="16">
        <f>IF(COUNTIFS(Release_Calendar!$A$2:$A$755,"US_CPI",Release_Calendar!$B$2:$B$755,$A2541)&gt;0,1,0)</f>
        <v>0</v>
      </c>
      <c r="L2541" s="16">
        <f>IF(COUNTIFS(Release_Calendar!$A$2:$A$755,"US_NFP",Release_Calendar!$B$2:$B$755,$A2541)&gt;0,1,0)</f>
        <v>0</v>
      </c>
      <c r="M2541" s="16" t="str">
        <f>IF($A2541&lt;Notes!$B$5,"",IF(COUNTIFS(Release_Calendar!$A$2:$A$755,"NZ_CPI",Release_Calendar!$B$2:$B$755,$A2541)&gt;0,1,0))</f>
        <v/>
      </c>
      <c r="N2541" s="16" t="str">
        <f>IF($A2541&lt;Notes!$B$5,"",IF(COUNTIFS(Release_Calendar!$A$2:$A$755,"NZ_GDP",Release_Calendar!$B$2:$B$755,$A2541)&gt;0,1,0))</f>
        <v/>
      </c>
      <c r="O2541" s="16" t="str">
        <f>IF($A2541&lt;Notes!$B$5,"",IF(COUNTIFS(Release_Calendar!$A$2:$A$755,"NZ_LABOUR",Release_Calendar!$B$2:$B$755,$A2541)&gt;0,1,0))</f>
        <v/>
      </c>
      <c r="P2541" s="16">
        <f t="shared" si="4"/>
        <v>0</v>
      </c>
    </row>
    <row r="2542" ht="15.75" customHeight="1">
      <c r="A2542" s="14">
        <v>40084.0</v>
      </c>
      <c r="B2542" s="15">
        <v>0.98</v>
      </c>
      <c r="C2542" s="15"/>
      <c r="D2542" s="15">
        <v>4.04</v>
      </c>
      <c r="E2542" s="15">
        <v>4.05</v>
      </c>
      <c r="F2542" s="15" t="str">
        <f t="shared" si="1"/>
        <v/>
      </c>
      <c r="G2542" s="15">
        <f t="shared" si="2"/>
        <v>4.04</v>
      </c>
      <c r="H2542" s="16">
        <v>1.0</v>
      </c>
      <c r="I2542" s="15">
        <f t="shared" si="3"/>
        <v>3.06</v>
      </c>
      <c r="J2542" s="15">
        <v>24.88</v>
      </c>
      <c r="K2542" s="16">
        <f>IF(COUNTIFS(Release_Calendar!$A$2:$A$755,"US_CPI",Release_Calendar!$B$2:$B$755,$A2542)&gt;0,1,0)</f>
        <v>0</v>
      </c>
      <c r="L2542" s="16">
        <f>IF(COUNTIFS(Release_Calendar!$A$2:$A$755,"US_NFP",Release_Calendar!$B$2:$B$755,$A2542)&gt;0,1,0)</f>
        <v>0</v>
      </c>
      <c r="M2542" s="16" t="str">
        <f>IF($A2542&lt;Notes!$B$5,"",IF(COUNTIFS(Release_Calendar!$A$2:$A$755,"NZ_CPI",Release_Calendar!$B$2:$B$755,$A2542)&gt;0,1,0))</f>
        <v/>
      </c>
      <c r="N2542" s="16" t="str">
        <f>IF($A2542&lt;Notes!$B$5,"",IF(COUNTIFS(Release_Calendar!$A$2:$A$755,"NZ_GDP",Release_Calendar!$B$2:$B$755,$A2542)&gt;0,1,0))</f>
        <v/>
      </c>
      <c r="O2542" s="16" t="str">
        <f>IF($A2542&lt;Notes!$B$5,"",IF(COUNTIFS(Release_Calendar!$A$2:$A$755,"NZ_LABOUR",Release_Calendar!$B$2:$B$755,$A2542)&gt;0,1,0))</f>
        <v/>
      </c>
      <c r="P2542" s="16">
        <f t="shared" si="4"/>
        <v>0</v>
      </c>
    </row>
    <row r="2543" ht="15.75" customHeight="1">
      <c r="A2543" s="14">
        <v>40085.0</v>
      </c>
      <c r="B2543" s="15">
        <v>1.0</v>
      </c>
      <c r="C2543" s="15"/>
      <c r="D2543" s="15">
        <v>4.09</v>
      </c>
      <c r="E2543" s="15">
        <v>4.09</v>
      </c>
      <c r="F2543" s="15" t="str">
        <f t="shared" si="1"/>
        <v/>
      </c>
      <c r="G2543" s="15">
        <f t="shared" si="2"/>
        <v>4.09</v>
      </c>
      <c r="H2543" s="16">
        <v>1.0</v>
      </c>
      <c r="I2543" s="15">
        <f t="shared" si="3"/>
        <v>3.09</v>
      </c>
      <c r="J2543" s="15">
        <v>25.19</v>
      </c>
      <c r="K2543" s="16">
        <f>IF(COUNTIFS(Release_Calendar!$A$2:$A$755,"US_CPI",Release_Calendar!$B$2:$B$755,$A2543)&gt;0,1,0)</f>
        <v>0</v>
      </c>
      <c r="L2543" s="16">
        <f>IF(COUNTIFS(Release_Calendar!$A$2:$A$755,"US_NFP",Release_Calendar!$B$2:$B$755,$A2543)&gt;0,1,0)</f>
        <v>0</v>
      </c>
      <c r="M2543" s="16" t="str">
        <f>IF($A2543&lt;Notes!$B$5,"",IF(COUNTIFS(Release_Calendar!$A$2:$A$755,"NZ_CPI",Release_Calendar!$B$2:$B$755,$A2543)&gt;0,1,0))</f>
        <v/>
      </c>
      <c r="N2543" s="16" t="str">
        <f>IF($A2543&lt;Notes!$B$5,"",IF(COUNTIFS(Release_Calendar!$A$2:$A$755,"NZ_GDP",Release_Calendar!$B$2:$B$755,$A2543)&gt;0,1,0))</f>
        <v/>
      </c>
      <c r="O2543" s="16" t="str">
        <f>IF($A2543&lt;Notes!$B$5,"",IF(COUNTIFS(Release_Calendar!$A$2:$A$755,"NZ_LABOUR",Release_Calendar!$B$2:$B$755,$A2543)&gt;0,1,0))</f>
        <v/>
      </c>
      <c r="P2543" s="16">
        <f t="shared" si="4"/>
        <v>0</v>
      </c>
    </row>
    <row r="2544" ht="15.75" customHeight="1">
      <c r="A2544" s="14">
        <v>40086.0</v>
      </c>
      <c r="B2544" s="15">
        <v>0.95</v>
      </c>
      <c r="C2544" s="15"/>
      <c r="D2544" s="15">
        <v>4.09</v>
      </c>
      <c r="E2544" s="15">
        <v>4.17</v>
      </c>
      <c r="F2544" s="15" t="str">
        <f t="shared" si="1"/>
        <v/>
      </c>
      <c r="G2544" s="15">
        <f t="shared" si="2"/>
        <v>4.09</v>
      </c>
      <c r="H2544" s="16">
        <v>1.0</v>
      </c>
      <c r="I2544" s="15">
        <f t="shared" si="3"/>
        <v>3.14</v>
      </c>
      <c r="J2544" s="15">
        <v>25.61</v>
      </c>
      <c r="K2544" s="16">
        <f>IF(COUNTIFS(Release_Calendar!$A$2:$A$755,"US_CPI",Release_Calendar!$B$2:$B$755,$A2544)&gt;0,1,0)</f>
        <v>0</v>
      </c>
      <c r="L2544" s="16">
        <f>IF(COUNTIFS(Release_Calendar!$A$2:$A$755,"US_NFP",Release_Calendar!$B$2:$B$755,$A2544)&gt;0,1,0)</f>
        <v>0</v>
      </c>
      <c r="M2544" s="16" t="str">
        <f>IF($A2544&lt;Notes!$B$5,"",IF(COUNTIFS(Release_Calendar!$A$2:$A$755,"NZ_CPI",Release_Calendar!$B$2:$B$755,$A2544)&gt;0,1,0))</f>
        <v/>
      </c>
      <c r="N2544" s="16" t="str">
        <f>IF($A2544&lt;Notes!$B$5,"",IF(COUNTIFS(Release_Calendar!$A$2:$A$755,"NZ_GDP",Release_Calendar!$B$2:$B$755,$A2544)&gt;0,1,0))</f>
        <v/>
      </c>
      <c r="O2544" s="16" t="str">
        <f>IF($A2544&lt;Notes!$B$5,"",IF(COUNTIFS(Release_Calendar!$A$2:$A$755,"NZ_LABOUR",Release_Calendar!$B$2:$B$755,$A2544)&gt;0,1,0))</f>
        <v/>
      </c>
      <c r="P2544" s="16">
        <f t="shared" si="4"/>
        <v>0</v>
      </c>
    </row>
    <row r="2545" ht="15.75" customHeight="1">
      <c r="A2545" s="14">
        <v>40087.0</v>
      </c>
      <c r="B2545" s="15">
        <v>0.87</v>
      </c>
      <c r="C2545" s="15"/>
      <c r="D2545" s="15">
        <v>4.17</v>
      </c>
      <c r="E2545" s="15">
        <v>4.14</v>
      </c>
      <c r="F2545" s="15" t="str">
        <f t="shared" si="1"/>
        <v/>
      </c>
      <c r="G2545" s="15">
        <f t="shared" si="2"/>
        <v>4.17</v>
      </c>
      <c r="H2545" s="16">
        <v>1.0</v>
      </c>
      <c r="I2545" s="15">
        <f t="shared" si="3"/>
        <v>3.3</v>
      </c>
      <c r="J2545" s="15">
        <v>28.27</v>
      </c>
      <c r="K2545" s="16">
        <f>IF(COUNTIFS(Release_Calendar!$A$2:$A$755,"US_CPI",Release_Calendar!$B$2:$B$755,$A2545)&gt;0,1,0)</f>
        <v>0</v>
      </c>
      <c r="L2545" s="16">
        <f>IF(COUNTIFS(Release_Calendar!$A$2:$A$755,"US_NFP",Release_Calendar!$B$2:$B$755,$A2545)&gt;0,1,0)</f>
        <v>0</v>
      </c>
      <c r="M2545" s="16" t="str">
        <f>IF($A2545&lt;Notes!$B$5,"",IF(COUNTIFS(Release_Calendar!$A$2:$A$755,"NZ_CPI",Release_Calendar!$B$2:$B$755,$A2545)&gt;0,1,0))</f>
        <v/>
      </c>
      <c r="N2545" s="16" t="str">
        <f>IF($A2545&lt;Notes!$B$5,"",IF(COUNTIFS(Release_Calendar!$A$2:$A$755,"NZ_GDP",Release_Calendar!$B$2:$B$755,$A2545)&gt;0,1,0))</f>
        <v/>
      </c>
      <c r="O2545" s="16" t="str">
        <f>IF($A2545&lt;Notes!$B$5,"",IF(COUNTIFS(Release_Calendar!$A$2:$A$755,"NZ_LABOUR",Release_Calendar!$B$2:$B$755,$A2545)&gt;0,1,0))</f>
        <v/>
      </c>
      <c r="P2545" s="16">
        <f t="shared" si="4"/>
        <v>0</v>
      </c>
    </row>
    <row r="2546" ht="15.75" customHeight="1">
      <c r="A2546" s="14">
        <v>40088.0</v>
      </c>
      <c r="B2546" s="15">
        <v>0.88</v>
      </c>
      <c r="C2546" s="15"/>
      <c r="D2546" s="15">
        <v>4.09</v>
      </c>
      <c r="E2546" s="15">
        <v>4.07</v>
      </c>
      <c r="F2546" s="15" t="str">
        <f t="shared" si="1"/>
        <v/>
      </c>
      <c r="G2546" s="15">
        <f t="shared" si="2"/>
        <v>4.09</v>
      </c>
      <c r="H2546" s="16">
        <v>1.0</v>
      </c>
      <c r="I2546" s="15">
        <f t="shared" si="3"/>
        <v>3.21</v>
      </c>
      <c r="J2546" s="15">
        <v>28.68</v>
      </c>
      <c r="K2546" s="16">
        <f>IF(COUNTIFS(Release_Calendar!$A$2:$A$755,"US_CPI",Release_Calendar!$B$2:$B$755,$A2546)&gt;0,1,0)</f>
        <v>0</v>
      </c>
      <c r="L2546" s="16">
        <f>IF(COUNTIFS(Release_Calendar!$A$2:$A$755,"US_NFP",Release_Calendar!$B$2:$B$755,$A2546)&gt;0,1,0)</f>
        <v>1</v>
      </c>
      <c r="M2546" s="16" t="str">
        <f>IF($A2546&lt;Notes!$B$5,"",IF(COUNTIFS(Release_Calendar!$A$2:$A$755,"NZ_CPI",Release_Calendar!$B$2:$B$755,$A2546)&gt;0,1,0))</f>
        <v/>
      </c>
      <c r="N2546" s="16" t="str">
        <f>IF($A2546&lt;Notes!$B$5,"",IF(COUNTIFS(Release_Calendar!$A$2:$A$755,"NZ_GDP",Release_Calendar!$B$2:$B$755,$A2546)&gt;0,1,0))</f>
        <v/>
      </c>
      <c r="O2546" s="16" t="str">
        <f>IF($A2546&lt;Notes!$B$5,"",IF(COUNTIFS(Release_Calendar!$A$2:$A$755,"NZ_LABOUR",Release_Calendar!$B$2:$B$755,$A2546)&gt;0,1,0))</f>
        <v/>
      </c>
      <c r="P2546" s="16">
        <f t="shared" si="4"/>
        <v>1</v>
      </c>
    </row>
    <row r="2547" ht="15.75" customHeight="1">
      <c r="A2547" s="14">
        <v>40091.0</v>
      </c>
      <c r="B2547" s="15">
        <v>0.88</v>
      </c>
      <c r="C2547" s="15"/>
      <c r="D2547" s="15">
        <v>4.07</v>
      </c>
      <c r="E2547" s="15">
        <v>4.12</v>
      </c>
      <c r="F2547" s="15" t="str">
        <f t="shared" si="1"/>
        <v/>
      </c>
      <c r="G2547" s="15">
        <f t="shared" si="2"/>
        <v>4.07</v>
      </c>
      <c r="H2547" s="16">
        <v>1.0</v>
      </c>
      <c r="I2547" s="15">
        <f t="shared" si="3"/>
        <v>3.19</v>
      </c>
      <c r="J2547" s="15">
        <v>26.84</v>
      </c>
      <c r="K2547" s="16">
        <f>IF(COUNTIFS(Release_Calendar!$A$2:$A$755,"US_CPI",Release_Calendar!$B$2:$B$755,$A2547)&gt;0,1,0)</f>
        <v>0</v>
      </c>
      <c r="L2547" s="16">
        <f>IF(COUNTIFS(Release_Calendar!$A$2:$A$755,"US_NFP",Release_Calendar!$B$2:$B$755,$A2547)&gt;0,1,0)</f>
        <v>0</v>
      </c>
      <c r="M2547" s="16" t="str">
        <f>IF($A2547&lt;Notes!$B$5,"",IF(COUNTIFS(Release_Calendar!$A$2:$A$755,"NZ_CPI",Release_Calendar!$B$2:$B$755,$A2547)&gt;0,1,0))</f>
        <v/>
      </c>
      <c r="N2547" s="16" t="str">
        <f>IF($A2547&lt;Notes!$B$5,"",IF(COUNTIFS(Release_Calendar!$A$2:$A$755,"NZ_GDP",Release_Calendar!$B$2:$B$755,$A2547)&gt;0,1,0))</f>
        <v/>
      </c>
      <c r="O2547" s="16" t="str">
        <f>IF($A2547&lt;Notes!$B$5,"",IF(COUNTIFS(Release_Calendar!$A$2:$A$755,"NZ_LABOUR",Release_Calendar!$B$2:$B$755,$A2547)&gt;0,1,0))</f>
        <v/>
      </c>
      <c r="P2547" s="16">
        <f t="shared" si="4"/>
        <v>0</v>
      </c>
    </row>
    <row r="2548" ht="15.75" customHeight="1">
      <c r="A2548" s="14">
        <v>40092.0</v>
      </c>
      <c r="B2548" s="15">
        <v>0.91</v>
      </c>
      <c r="C2548" s="15"/>
      <c r="D2548" s="15">
        <v>4.12</v>
      </c>
      <c r="E2548" s="15">
        <v>4.12</v>
      </c>
      <c r="F2548" s="15" t="str">
        <f t="shared" si="1"/>
        <v/>
      </c>
      <c r="G2548" s="15">
        <f t="shared" si="2"/>
        <v>4.12</v>
      </c>
      <c r="H2548" s="16">
        <v>1.0</v>
      </c>
      <c r="I2548" s="15">
        <f t="shared" si="3"/>
        <v>3.21</v>
      </c>
      <c r="J2548" s="15">
        <v>25.7</v>
      </c>
      <c r="K2548" s="16">
        <f>IF(COUNTIFS(Release_Calendar!$A$2:$A$755,"US_CPI",Release_Calendar!$B$2:$B$755,$A2548)&gt;0,1,0)</f>
        <v>0</v>
      </c>
      <c r="L2548" s="16">
        <f>IF(COUNTIFS(Release_Calendar!$A$2:$A$755,"US_NFP",Release_Calendar!$B$2:$B$755,$A2548)&gt;0,1,0)</f>
        <v>0</v>
      </c>
      <c r="M2548" s="16" t="str">
        <f>IF($A2548&lt;Notes!$B$5,"",IF(COUNTIFS(Release_Calendar!$A$2:$A$755,"NZ_CPI",Release_Calendar!$B$2:$B$755,$A2548)&gt;0,1,0))</f>
        <v/>
      </c>
      <c r="N2548" s="16" t="str">
        <f>IF($A2548&lt;Notes!$B$5,"",IF(COUNTIFS(Release_Calendar!$A$2:$A$755,"NZ_GDP",Release_Calendar!$B$2:$B$755,$A2548)&gt;0,1,0))</f>
        <v/>
      </c>
      <c r="O2548" s="16" t="str">
        <f>IF($A2548&lt;Notes!$B$5,"",IF(COUNTIFS(Release_Calendar!$A$2:$A$755,"NZ_LABOUR",Release_Calendar!$B$2:$B$755,$A2548)&gt;0,1,0))</f>
        <v/>
      </c>
      <c r="P2548" s="16">
        <f t="shared" si="4"/>
        <v>0</v>
      </c>
    </row>
    <row r="2549" ht="15.75" customHeight="1">
      <c r="A2549" s="14">
        <v>40093.0</v>
      </c>
      <c r="B2549" s="15">
        <v>0.87</v>
      </c>
      <c r="C2549" s="15"/>
      <c r="D2549" s="15">
        <v>4.15</v>
      </c>
      <c r="E2549" s="15">
        <v>4.16</v>
      </c>
      <c r="F2549" s="15" t="str">
        <f t="shared" si="1"/>
        <v/>
      </c>
      <c r="G2549" s="15">
        <f t="shared" si="2"/>
        <v>4.15</v>
      </c>
      <c r="H2549" s="16">
        <v>1.0</v>
      </c>
      <c r="I2549" s="15">
        <f t="shared" si="3"/>
        <v>3.28</v>
      </c>
      <c r="J2549" s="15">
        <v>24.68</v>
      </c>
      <c r="K2549" s="16">
        <f>IF(COUNTIFS(Release_Calendar!$A$2:$A$755,"US_CPI",Release_Calendar!$B$2:$B$755,$A2549)&gt;0,1,0)</f>
        <v>0</v>
      </c>
      <c r="L2549" s="16">
        <f>IF(COUNTIFS(Release_Calendar!$A$2:$A$755,"US_NFP",Release_Calendar!$B$2:$B$755,$A2549)&gt;0,1,0)</f>
        <v>0</v>
      </c>
      <c r="M2549" s="16" t="str">
        <f>IF($A2549&lt;Notes!$B$5,"",IF(COUNTIFS(Release_Calendar!$A$2:$A$755,"NZ_CPI",Release_Calendar!$B$2:$B$755,$A2549)&gt;0,1,0))</f>
        <v/>
      </c>
      <c r="N2549" s="16" t="str">
        <f>IF($A2549&lt;Notes!$B$5,"",IF(COUNTIFS(Release_Calendar!$A$2:$A$755,"NZ_GDP",Release_Calendar!$B$2:$B$755,$A2549)&gt;0,1,0))</f>
        <v/>
      </c>
      <c r="O2549" s="16" t="str">
        <f>IF($A2549&lt;Notes!$B$5,"",IF(COUNTIFS(Release_Calendar!$A$2:$A$755,"NZ_LABOUR",Release_Calendar!$B$2:$B$755,$A2549)&gt;0,1,0))</f>
        <v/>
      </c>
      <c r="P2549" s="16">
        <f t="shared" si="4"/>
        <v>0</v>
      </c>
    </row>
    <row r="2550" ht="15.75" customHeight="1">
      <c r="A2550" s="14">
        <v>40094.0</v>
      </c>
      <c r="B2550" s="15">
        <v>0.9</v>
      </c>
      <c r="C2550" s="15"/>
      <c r="D2550" s="15">
        <v>4.15</v>
      </c>
      <c r="E2550" s="15">
        <v>4.2</v>
      </c>
      <c r="F2550" s="15" t="str">
        <f t="shared" si="1"/>
        <v/>
      </c>
      <c r="G2550" s="15">
        <f t="shared" si="2"/>
        <v>4.15</v>
      </c>
      <c r="H2550" s="16">
        <v>1.0</v>
      </c>
      <c r="I2550" s="15">
        <f t="shared" si="3"/>
        <v>3.25</v>
      </c>
      <c r="J2550" s="15">
        <v>24.18</v>
      </c>
      <c r="K2550" s="16">
        <f>IF(COUNTIFS(Release_Calendar!$A$2:$A$755,"US_CPI",Release_Calendar!$B$2:$B$755,$A2550)&gt;0,1,0)</f>
        <v>0</v>
      </c>
      <c r="L2550" s="16">
        <f>IF(COUNTIFS(Release_Calendar!$A$2:$A$755,"US_NFP",Release_Calendar!$B$2:$B$755,$A2550)&gt;0,1,0)</f>
        <v>0</v>
      </c>
      <c r="M2550" s="16" t="str">
        <f>IF($A2550&lt;Notes!$B$5,"",IF(COUNTIFS(Release_Calendar!$A$2:$A$755,"NZ_CPI",Release_Calendar!$B$2:$B$755,$A2550)&gt;0,1,0))</f>
        <v/>
      </c>
      <c r="N2550" s="16" t="str">
        <f>IF($A2550&lt;Notes!$B$5,"",IF(COUNTIFS(Release_Calendar!$A$2:$A$755,"NZ_GDP",Release_Calendar!$B$2:$B$755,$A2550)&gt;0,1,0))</f>
        <v/>
      </c>
      <c r="O2550" s="16" t="str">
        <f>IF($A2550&lt;Notes!$B$5,"",IF(COUNTIFS(Release_Calendar!$A$2:$A$755,"NZ_LABOUR",Release_Calendar!$B$2:$B$755,$A2550)&gt;0,1,0))</f>
        <v/>
      </c>
      <c r="P2550" s="16">
        <f t="shared" si="4"/>
        <v>0</v>
      </c>
    </row>
    <row r="2551" ht="15.75" customHeight="1">
      <c r="A2551" s="14">
        <v>40095.0</v>
      </c>
      <c r="B2551" s="15">
        <v>0.98</v>
      </c>
      <c r="C2551" s="15"/>
      <c r="D2551" s="15">
        <v>4.19</v>
      </c>
      <c r="E2551" s="15">
        <v>4.12</v>
      </c>
      <c r="F2551" s="15" t="str">
        <f t="shared" si="1"/>
        <v/>
      </c>
      <c r="G2551" s="15">
        <f t="shared" si="2"/>
        <v>4.19</v>
      </c>
      <c r="H2551" s="16">
        <v>1.0</v>
      </c>
      <c r="I2551" s="15">
        <f t="shared" si="3"/>
        <v>3.21</v>
      </c>
      <c r="J2551" s="15">
        <v>23.12</v>
      </c>
      <c r="K2551" s="16">
        <f>IF(COUNTIFS(Release_Calendar!$A$2:$A$755,"US_CPI",Release_Calendar!$B$2:$B$755,$A2551)&gt;0,1,0)</f>
        <v>0</v>
      </c>
      <c r="L2551" s="16">
        <f>IF(COUNTIFS(Release_Calendar!$A$2:$A$755,"US_NFP",Release_Calendar!$B$2:$B$755,$A2551)&gt;0,1,0)</f>
        <v>0</v>
      </c>
      <c r="M2551" s="16" t="str">
        <f>IF($A2551&lt;Notes!$B$5,"",IF(COUNTIFS(Release_Calendar!$A$2:$A$755,"NZ_CPI",Release_Calendar!$B$2:$B$755,$A2551)&gt;0,1,0))</f>
        <v/>
      </c>
      <c r="N2551" s="16" t="str">
        <f>IF($A2551&lt;Notes!$B$5,"",IF(COUNTIFS(Release_Calendar!$A$2:$A$755,"NZ_GDP",Release_Calendar!$B$2:$B$755,$A2551)&gt;0,1,0))</f>
        <v/>
      </c>
      <c r="O2551" s="16" t="str">
        <f>IF($A2551&lt;Notes!$B$5,"",IF(COUNTIFS(Release_Calendar!$A$2:$A$755,"NZ_LABOUR",Release_Calendar!$B$2:$B$755,$A2551)&gt;0,1,0))</f>
        <v/>
      </c>
      <c r="P2551" s="16">
        <f t="shared" si="4"/>
        <v>0</v>
      </c>
    </row>
    <row r="2552" ht="15.75" customHeight="1">
      <c r="A2552" s="14">
        <v>40098.0</v>
      </c>
      <c r="B2552" s="15"/>
      <c r="C2552" s="15"/>
      <c r="D2552" s="15">
        <v>4.15</v>
      </c>
      <c r="E2552" s="15">
        <v>4.17</v>
      </c>
      <c r="F2552" s="15" t="str">
        <f t="shared" si="1"/>
        <v/>
      </c>
      <c r="G2552" s="15">
        <f t="shared" si="2"/>
        <v>4.15</v>
      </c>
      <c r="H2552" s="16">
        <v>1.0</v>
      </c>
      <c r="I2552" s="15" t="str">
        <f t="shared" si="3"/>
        <v/>
      </c>
      <c r="J2552" s="15">
        <v>23.01</v>
      </c>
      <c r="K2552" s="16">
        <f>IF(COUNTIFS(Release_Calendar!$A$2:$A$755,"US_CPI",Release_Calendar!$B$2:$B$755,$A2552)&gt;0,1,0)</f>
        <v>0</v>
      </c>
      <c r="L2552" s="16">
        <f>IF(COUNTIFS(Release_Calendar!$A$2:$A$755,"US_NFP",Release_Calendar!$B$2:$B$755,$A2552)&gt;0,1,0)</f>
        <v>0</v>
      </c>
      <c r="M2552" s="16" t="str">
        <f>IF($A2552&lt;Notes!$B$5,"",IF(COUNTIFS(Release_Calendar!$A$2:$A$755,"NZ_CPI",Release_Calendar!$B$2:$B$755,$A2552)&gt;0,1,0))</f>
        <v/>
      </c>
      <c r="N2552" s="16" t="str">
        <f>IF($A2552&lt;Notes!$B$5,"",IF(COUNTIFS(Release_Calendar!$A$2:$A$755,"NZ_GDP",Release_Calendar!$B$2:$B$755,$A2552)&gt;0,1,0))</f>
        <v/>
      </c>
      <c r="O2552" s="16" t="str">
        <f>IF($A2552&lt;Notes!$B$5,"",IF(COUNTIFS(Release_Calendar!$A$2:$A$755,"NZ_LABOUR",Release_Calendar!$B$2:$B$755,$A2552)&gt;0,1,0))</f>
        <v/>
      </c>
      <c r="P2552" s="16">
        <f t="shared" si="4"/>
        <v>0</v>
      </c>
    </row>
    <row r="2553" ht="15.75" customHeight="1">
      <c r="A2553" s="14">
        <v>40099.0</v>
      </c>
      <c r="B2553" s="15">
        <v>0.91</v>
      </c>
      <c r="C2553" s="15"/>
      <c r="D2553" s="15">
        <v>4.16</v>
      </c>
      <c r="E2553" s="15">
        <v>4.16</v>
      </c>
      <c r="F2553" s="15" t="str">
        <f t="shared" si="1"/>
        <v/>
      </c>
      <c r="G2553" s="15">
        <f t="shared" si="2"/>
        <v>4.16</v>
      </c>
      <c r="H2553" s="16">
        <v>1.0</v>
      </c>
      <c r="I2553" s="15">
        <f t="shared" si="3"/>
        <v>3.25</v>
      </c>
      <c r="J2553" s="15">
        <v>22.99</v>
      </c>
      <c r="K2553" s="16">
        <f>IF(COUNTIFS(Release_Calendar!$A$2:$A$755,"US_CPI",Release_Calendar!$B$2:$B$755,$A2553)&gt;0,1,0)</f>
        <v>0</v>
      </c>
      <c r="L2553" s="16">
        <f>IF(COUNTIFS(Release_Calendar!$A$2:$A$755,"US_NFP",Release_Calendar!$B$2:$B$755,$A2553)&gt;0,1,0)</f>
        <v>0</v>
      </c>
      <c r="M2553" s="16" t="str">
        <f>IF($A2553&lt;Notes!$B$5,"",IF(COUNTIFS(Release_Calendar!$A$2:$A$755,"NZ_CPI",Release_Calendar!$B$2:$B$755,$A2553)&gt;0,1,0))</f>
        <v/>
      </c>
      <c r="N2553" s="16" t="str">
        <f>IF($A2553&lt;Notes!$B$5,"",IF(COUNTIFS(Release_Calendar!$A$2:$A$755,"NZ_GDP",Release_Calendar!$B$2:$B$755,$A2553)&gt;0,1,0))</f>
        <v/>
      </c>
      <c r="O2553" s="16" t="str">
        <f>IF($A2553&lt;Notes!$B$5,"",IF(COUNTIFS(Release_Calendar!$A$2:$A$755,"NZ_LABOUR",Release_Calendar!$B$2:$B$755,$A2553)&gt;0,1,0))</f>
        <v/>
      </c>
      <c r="P2553" s="16">
        <f t="shared" si="4"/>
        <v>0</v>
      </c>
    </row>
    <row r="2554" ht="15.75" customHeight="1">
      <c r="A2554" s="14">
        <v>40100.0</v>
      </c>
      <c r="B2554" s="15">
        <v>0.96</v>
      </c>
      <c r="C2554" s="15"/>
      <c r="D2554" s="15">
        <v>4.15</v>
      </c>
      <c r="E2554" s="15">
        <v>4.16</v>
      </c>
      <c r="F2554" s="15" t="str">
        <f t="shared" si="1"/>
        <v/>
      </c>
      <c r="G2554" s="15">
        <f t="shared" si="2"/>
        <v>4.15</v>
      </c>
      <c r="H2554" s="16">
        <v>1.0</v>
      </c>
      <c r="I2554" s="15">
        <f t="shared" si="3"/>
        <v>3.19</v>
      </c>
      <c r="J2554" s="15">
        <v>22.86</v>
      </c>
      <c r="K2554" s="16">
        <f>IF(COUNTIFS(Release_Calendar!$A$2:$A$755,"US_CPI",Release_Calendar!$B$2:$B$755,$A2554)&gt;0,1,0)</f>
        <v>0</v>
      </c>
      <c r="L2554" s="16">
        <f>IF(COUNTIFS(Release_Calendar!$A$2:$A$755,"US_NFP",Release_Calendar!$B$2:$B$755,$A2554)&gt;0,1,0)</f>
        <v>0</v>
      </c>
      <c r="M2554" s="16" t="str">
        <f>IF($A2554&lt;Notes!$B$5,"",IF(COUNTIFS(Release_Calendar!$A$2:$A$755,"NZ_CPI",Release_Calendar!$B$2:$B$755,$A2554)&gt;0,1,0))</f>
        <v/>
      </c>
      <c r="N2554" s="16" t="str">
        <f>IF($A2554&lt;Notes!$B$5,"",IF(COUNTIFS(Release_Calendar!$A$2:$A$755,"NZ_GDP",Release_Calendar!$B$2:$B$755,$A2554)&gt;0,1,0))</f>
        <v/>
      </c>
      <c r="O2554" s="16" t="str">
        <f>IF($A2554&lt;Notes!$B$5,"",IF(COUNTIFS(Release_Calendar!$A$2:$A$755,"NZ_LABOUR",Release_Calendar!$B$2:$B$755,$A2554)&gt;0,1,0))</f>
        <v/>
      </c>
      <c r="P2554" s="16">
        <f t="shared" si="4"/>
        <v>0</v>
      </c>
    </row>
    <row r="2555" ht="15.75" customHeight="1">
      <c r="A2555" s="14">
        <v>40101.0</v>
      </c>
      <c r="B2555" s="15">
        <v>0.97</v>
      </c>
      <c r="C2555" s="15"/>
      <c r="D2555" s="15">
        <v>4.26</v>
      </c>
      <c r="E2555" s="15">
        <v>4.37</v>
      </c>
      <c r="F2555" s="15" t="str">
        <f t="shared" si="1"/>
        <v/>
      </c>
      <c r="G2555" s="15">
        <f t="shared" si="2"/>
        <v>4.26</v>
      </c>
      <c r="H2555" s="16">
        <v>1.0</v>
      </c>
      <c r="I2555" s="15">
        <f t="shared" si="3"/>
        <v>3.29</v>
      </c>
      <c r="J2555" s="15">
        <v>21.72</v>
      </c>
      <c r="K2555" s="16">
        <f>IF(COUNTIFS(Release_Calendar!$A$2:$A$755,"US_CPI",Release_Calendar!$B$2:$B$755,$A2555)&gt;0,1,0)</f>
        <v>1</v>
      </c>
      <c r="L2555" s="16">
        <f>IF(COUNTIFS(Release_Calendar!$A$2:$A$755,"US_NFP",Release_Calendar!$B$2:$B$755,$A2555)&gt;0,1,0)</f>
        <v>0</v>
      </c>
      <c r="M2555" s="16" t="str">
        <f>IF($A2555&lt;Notes!$B$5,"",IF(COUNTIFS(Release_Calendar!$A$2:$A$755,"NZ_CPI",Release_Calendar!$B$2:$B$755,$A2555)&gt;0,1,0))</f>
        <v/>
      </c>
      <c r="N2555" s="16" t="str">
        <f>IF($A2555&lt;Notes!$B$5,"",IF(COUNTIFS(Release_Calendar!$A$2:$A$755,"NZ_GDP",Release_Calendar!$B$2:$B$755,$A2555)&gt;0,1,0))</f>
        <v/>
      </c>
      <c r="O2555" s="16" t="str">
        <f>IF($A2555&lt;Notes!$B$5,"",IF(COUNTIFS(Release_Calendar!$A$2:$A$755,"NZ_LABOUR",Release_Calendar!$B$2:$B$755,$A2555)&gt;0,1,0))</f>
        <v/>
      </c>
      <c r="P2555" s="16">
        <f t="shared" si="4"/>
        <v>1</v>
      </c>
    </row>
    <row r="2556" ht="15.75" customHeight="1">
      <c r="A2556" s="14">
        <v>40102.0</v>
      </c>
      <c r="B2556" s="15">
        <v>0.97</v>
      </c>
      <c r="C2556" s="15"/>
      <c r="D2556" s="15">
        <v>4.4</v>
      </c>
      <c r="E2556" s="15">
        <v>4.37</v>
      </c>
      <c r="F2556" s="15" t="str">
        <f t="shared" si="1"/>
        <v/>
      </c>
      <c r="G2556" s="15">
        <f t="shared" si="2"/>
        <v>4.4</v>
      </c>
      <c r="H2556" s="16">
        <v>1.0</v>
      </c>
      <c r="I2556" s="15">
        <f t="shared" si="3"/>
        <v>3.43</v>
      </c>
      <c r="J2556" s="15">
        <v>21.43</v>
      </c>
      <c r="K2556" s="16">
        <f>IF(COUNTIFS(Release_Calendar!$A$2:$A$755,"US_CPI",Release_Calendar!$B$2:$B$755,$A2556)&gt;0,1,0)</f>
        <v>0</v>
      </c>
      <c r="L2556" s="16">
        <f>IF(COUNTIFS(Release_Calendar!$A$2:$A$755,"US_NFP",Release_Calendar!$B$2:$B$755,$A2556)&gt;0,1,0)</f>
        <v>0</v>
      </c>
      <c r="M2556" s="16" t="str">
        <f>IF($A2556&lt;Notes!$B$5,"",IF(COUNTIFS(Release_Calendar!$A$2:$A$755,"NZ_CPI",Release_Calendar!$B$2:$B$755,$A2556)&gt;0,1,0))</f>
        <v/>
      </c>
      <c r="N2556" s="16" t="str">
        <f>IF($A2556&lt;Notes!$B$5,"",IF(COUNTIFS(Release_Calendar!$A$2:$A$755,"NZ_GDP",Release_Calendar!$B$2:$B$755,$A2556)&gt;0,1,0))</f>
        <v/>
      </c>
      <c r="O2556" s="16" t="str">
        <f>IF($A2556&lt;Notes!$B$5,"",IF(COUNTIFS(Release_Calendar!$A$2:$A$755,"NZ_LABOUR",Release_Calendar!$B$2:$B$755,$A2556)&gt;0,1,0))</f>
        <v/>
      </c>
      <c r="P2556" s="16">
        <f t="shared" si="4"/>
        <v>0</v>
      </c>
    </row>
    <row r="2557" ht="15.75" customHeight="1">
      <c r="A2557" s="14">
        <v>40105.0</v>
      </c>
      <c r="B2557" s="15">
        <v>0.99</v>
      </c>
      <c r="C2557" s="15"/>
      <c r="D2557" s="15">
        <v>4.38</v>
      </c>
      <c r="E2557" s="15">
        <v>4.38</v>
      </c>
      <c r="F2557" s="15" t="str">
        <f t="shared" si="1"/>
        <v/>
      </c>
      <c r="G2557" s="15">
        <f t="shared" si="2"/>
        <v>4.38</v>
      </c>
      <c r="H2557" s="16">
        <v>1.0</v>
      </c>
      <c r="I2557" s="15">
        <f t="shared" si="3"/>
        <v>3.39</v>
      </c>
      <c r="J2557" s="15">
        <v>21.49</v>
      </c>
      <c r="K2557" s="16">
        <f>IF(COUNTIFS(Release_Calendar!$A$2:$A$755,"US_CPI",Release_Calendar!$B$2:$B$755,$A2557)&gt;0,1,0)</f>
        <v>0</v>
      </c>
      <c r="L2557" s="16">
        <f>IF(COUNTIFS(Release_Calendar!$A$2:$A$755,"US_NFP",Release_Calendar!$B$2:$B$755,$A2557)&gt;0,1,0)</f>
        <v>0</v>
      </c>
      <c r="M2557" s="16" t="str">
        <f>IF($A2557&lt;Notes!$B$5,"",IF(COUNTIFS(Release_Calendar!$A$2:$A$755,"NZ_CPI",Release_Calendar!$B$2:$B$755,$A2557)&gt;0,1,0))</f>
        <v/>
      </c>
      <c r="N2557" s="16" t="str">
        <f>IF($A2557&lt;Notes!$B$5,"",IF(COUNTIFS(Release_Calendar!$A$2:$A$755,"NZ_GDP",Release_Calendar!$B$2:$B$755,$A2557)&gt;0,1,0))</f>
        <v/>
      </c>
      <c r="O2557" s="16" t="str">
        <f>IF($A2557&lt;Notes!$B$5,"",IF(COUNTIFS(Release_Calendar!$A$2:$A$755,"NZ_LABOUR",Release_Calendar!$B$2:$B$755,$A2557)&gt;0,1,0))</f>
        <v/>
      </c>
      <c r="P2557" s="16">
        <f t="shared" si="4"/>
        <v>0</v>
      </c>
    </row>
    <row r="2558" ht="15.75" customHeight="1">
      <c r="A2558" s="14">
        <v>40106.0</v>
      </c>
      <c r="B2558" s="15">
        <v>0.95</v>
      </c>
      <c r="C2558" s="15"/>
      <c r="D2558" s="15">
        <v>4.41</v>
      </c>
      <c r="E2558" s="15">
        <v>4.37</v>
      </c>
      <c r="F2558" s="15" t="str">
        <f t="shared" si="1"/>
        <v/>
      </c>
      <c r="G2558" s="15">
        <f t="shared" si="2"/>
        <v>4.41</v>
      </c>
      <c r="H2558" s="16">
        <v>1.0</v>
      </c>
      <c r="I2558" s="15">
        <f t="shared" si="3"/>
        <v>3.46</v>
      </c>
      <c r="J2558" s="15">
        <v>20.9</v>
      </c>
      <c r="K2558" s="16">
        <f>IF(COUNTIFS(Release_Calendar!$A$2:$A$755,"US_CPI",Release_Calendar!$B$2:$B$755,$A2558)&gt;0,1,0)</f>
        <v>0</v>
      </c>
      <c r="L2558" s="16">
        <f>IF(COUNTIFS(Release_Calendar!$A$2:$A$755,"US_NFP",Release_Calendar!$B$2:$B$755,$A2558)&gt;0,1,0)</f>
        <v>0</v>
      </c>
      <c r="M2558" s="16" t="str">
        <f>IF($A2558&lt;Notes!$B$5,"",IF(COUNTIFS(Release_Calendar!$A$2:$A$755,"NZ_CPI",Release_Calendar!$B$2:$B$755,$A2558)&gt;0,1,0))</f>
        <v/>
      </c>
      <c r="N2558" s="16" t="str">
        <f>IF($A2558&lt;Notes!$B$5,"",IF(COUNTIFS(Release_Calendar!$A$2:$A$755,"NZ_GDP",Release_Calendar!$B$2:$B$755,$A2558)&gt;0,1,0))</f>
        <v/>
      </c>
      <c r="O2558" s="16" t="str">
        <f>IF($A2558&lt;Notes!$B$5,"",IF(COUNTIFS(Release_Calendar!$A$2:$A$755,"NZ_LABOUR",Release_Calendar!$B$2:$B$755,$A2558)&gt;0,1,0))</f>
        <v/>
      </c>
      <c r="P2558" s="16">
        <f t="shared" si="4"/>
        <v>0</v>
      </c>
    </row>
    <row r="2559" ht="15.75" customHeight="1">
      <c r="A2559" s="14">
        <v>40107.0</v>
      </c>
      <c r="B2559" s="15">
        <v>1.0</v>
      </c>
      <c r="C2559" s="15"/>
      <c r="D2559" s="15">
        <v>4.36</v>
      </c>
      <c r="E2559" s="15">
        <v>4.38</v>
      </c>
      <c r="F2559" s="15" t="str">
        <f t="shared" si="1"/>
        <v/>
      </c>
      <c r="G2559" s="15">
        <f t="shared" si="2"/>
        <v>4.36</v>
      </c>
      <c r="H2559" s="16">
        <v>1.0</v>
      </c>
      <c r="I2559" s="15">
        <f t="shared" si="3"/>
        <v>3.36</v>
      </c>
      <c r="J2559" s="15">
        <v>22.22</v>
      </c>
      <c r="K2559" s="16">
        <f>IF(COUNTIFS(Release_Calendar!$A$2:$A$755,"US_CPI",Release_Calendar!$B$2:$B$755,$A2559)&gt;0,1,0)</f>
        <v>0</v>
      </c>
      <c r="L2559" s="16">
        <f>IF(COUNTIFS(Release_Calendar!$A$2:$A$755,"US_NFP",Release_Calendar!$B$2:$B$755,$A2559)&gt;0,1,0)</f>
        <v>0</v>
      </c>
      <c r="M2559" s="16" t="str">
        <f>IF($A2559&lt;Notes!$B$5,"",IF(COUNTIFS(Release_Calendar!$A$2:$A$755,"NZ_CPI",Release_Calendar!$B$2:$B$755,$A2559)&gt;0,1,0))</f>
        <v/>
      </c>
      <c r="N2559" s="16" t="str">
        <f>IF($A2559&lt;Notes!$B$5,"",IF(COUNTIFS(Release_Calendar!$A$2:$A$755,"NZ_GDP",Release_Calendar!$B$2:$B$755,$A2559)&gt;0,1,0))</f>
        <v/>
      </c>
      <c r="O2559" s="16" t="str">
        <f>IF($A2559&lt;Notes!$B$5,"",IF(COUNTIFS(Release_Calendar!$A$2:$A$755,"NZ_LABOUR",Release_Calendar!$B$2:$B$755,$A2559)&gt;0,1,0))</f>
        <v/>
      </c>
      <c r="P2559" s="16">
        <f t="shared" si="4"/>
        <v>0</v>
      </c>
    </row>
    <row r="2560" ht="15.75" customHeight="1">
      <c r="A2560" s="14">
        <v>40108.0</v>
      </c>
      <c r="B2560" s="15">
        <v>0.97</v>
      </c>
      <c r="C2560" s="15"/>
      <c r="D2560" s="15">
        <v>4.45</v>
      </c>
      <c r="E2560" s="15">
        <v>4.47</v>
      </c>
      <c r="F2560" s="15" t="str">
        <f t="shared" si="1"/>
        <v/>
      </c>
      <c r="G2560" s="15">
        <f t="shared" si="2"/>
        <v>4.45</v>
      </c>
      <c r="H2560" s="16">
        <v>1.0</v>
      </c>
      <c r="I2560" s="15">
        <f t="shared" si="3"/>
        <v>3.48</v>
      </c>
      <c r="J2560" s="15">
        <v>20.69</v>
      </c>
      <c r="K2560" s="16">
        <f>IF(COUNTIFS(Release_Calendar!$A$2:$A$755,"US_CPI",Release_Calendar!$B$2:$B$755,$A2560)&gt;0,1,0)</f>
        <v>0</v>
      </c>
      <c r="L2560" s="16">
        <f>IF(COUNTIFS(Release_Calendar!$A$2:$A$755,"US_NFP",Release_Calendar!$B$2:$B$755,$A2560)&gt;0,1,0)</f>
        <v>0</v>
      </c>
      <c r="M2560" s="16" t="str">
        <f>IF($A2560&lt;Notes!$B$5,"",IF(COUNTIFS(Release_Calendar!$A$2:$A$755,"NZ_CPI",Release_Calendar!$B$2:$B$755,$A2560)&gt;0,1,0))</f>
        <v/>
      </c>
      <c r="N2560" s="16" t="str">
        <f>IF($A2560&lt;Notes!$B$5,"",IF(COUNTIFS(Release_Calendar!$A$2:$A$755,"NZ_GDP",Release_Calendar!$B$2:$B$755,$A2560)&gt;0,1,0))</f>
        <v/>
      </c>
      <c r="O2560" s="16" t="str">
        <f>IF($A2560&lt;Notes!$B$5,"",IF(COUNTIFS(Release_Calendar!$A$2:$A$755,"NZ_LABOUR",Release_Calendar!$B$2:$B$755,$A2560)&gt;0,1,0))</f>
        <v/>
      </c>
      <c r="P2560" s="16">
        <f t="shared" si="4"/>
        <v>0</v>
      </c>
    </row>
    <row r="2561" ht="15.75" customHeight="1">
      <c r="A2561" s="14">
        <v>40109.0</v>
      </c>
      <c r="B2561" s="15">
        <v>1.04</v>
      </c>
      <c r="C2561" s="15"/>
      <c r="D2561" s="15">
        <v>4.47</v>
      </c>
      <c r="E2561" s="15">
        <v>4.52</v>
      </c>
      <c r="F2561" s="15" t="str">
        <f t="shared" si="1"/>
        <v/>
      </c>
      <c r="G2561" s="15">
        <f t="shared" si="2"/>
        <v>4.47</v>
      </c>
      <c r="H2561" s="16">
        <v>1.0</v>
      </c>
      <c r="I2561" s="15">
        <f t="shared" si="3"/>
        <v>3.43</v>
      </c>
      <c r="J2561" s="15">
        <v>22.27</v>
      </c>
      <c r="K2561" s="16">
        <f>IF(COUNTIFS(Release_Calendar!$A$2:$A$755,"US_CPI",Release_Calendar!$B$2:$B$755,$A2561)&gt;0,1,0)</f>
        <v>0</v>
      </c>
      <c r="L2561" s="16">
        <f>IF(COUNTIFS(Release_Calendar!$A$2:$A$755,"US_NFP",Release_Calendar!$B$2:$B$755,$A2561)&gt;0,1,0)</f>
        <v>0</v>
      </c>
      <c r="M2561" s="16" t="str">
        <f>IF($A2561&lt;Notes!$B$5,"",IF(COUNTIFS(Release_Calendar!$A$2:$A$755,"NZ_CPI",Release_Calendar!$B$2:$B$755,$A2561)&gt;0,1,0))</f>
        <v/>
      </c>
      <c r="N2561" s="16" t="str">
        <f>IF($A2561&lt;Notes!$B$5,"",IF(COUNTIFS(Release_Calendar!$A$2:$A$755,"NZ_GDP",Release_Calendar!$B$2:$B$755,$A2561)&gt;0,1,0))</f>
        <v/>
      </c>
      <c r="O2561" s="16" t="str">
        <f>IF($A2561&lt;Notes!$B$5,"",IF(COUNTIFS(Release_Calendar!$A$2:$A$755,"NZ_LABOUR",Release_Calendar!$B$2:$B$755,$A2561)&gt;0,1,0))</f>
        <v/>
      </c>
      <c r="P2561" s="16">
        <f t="shared" si="4"/>
        <v>0</v>
      </c>
    </row>
    <row r="2562" ht="15.75" customHeight="1">
      <c r="A2562" s="14">
        <v>40112.0</v>
      </c>
      <c r="B2562" s="15">
        <v>1.06</v>
      </c>
      <c r="C2562" s="15"/>
      <c r="D2562" s="15"/>
      <c r="E2562" s="15"/>
      <c r="F2562" s="15" t="str">
        <f t="shared" si="1"/>
        <v/>
      </c>
      <c r="G2562" s="15" t="str">
        <f t="shared" si="2"/>
        <v/>
      </c>
      <c r="H2562" s="16">
        <v>1.0</v>
      </c>
      <c r="I2562" s="15" t="str">
        <f t="shared" si="3"/>
        <v/>
      </c>
      <c r="J2562" s="15">
        <v>24.31</v>
      </c>
      <c r="K2562" s="16">
        <f>IF(COUNTIFS(Release_Calendar!$A$2:$A$755,"US_CPI",Release_Calendar!$B$2:$B$755,$A2562)&gt;0,1,0)</f>
        <v>0</v>
      </c>
      <c r="L2562" s="16">
        <f>IF(COUNTIFS(Release_Calendar!$A$2:$A$755,"US_NFP",Release_Calendar!$B$2:$B$755,$A2562)&gt;0,1,0)</f>
        <v>0</v>
      </c>
      <c r="M2562" s="16" t="str">
        <f>IF($A2562&lt;Notes!$B$5,"",IF(COUNTIFS(Release_Calendar!$A$2:$A$755,"NZ_CPI",Release_Calendar!$B$2:$B$755,$A2562)&gt;0,1,0))</f>
        <v/>
      </c>
      <c r="N2562" s="16" t="str">
        <f>IF($A2562&lt;Notes!$B$5,"",IF(COUNTIFS(Release_Calendar!$A$2:$A$755,"NZ_GDP",Release_Calendar!$B$2:$B$755,$A2562)&gt;0,1,0))</f>
        <v/>
      </c>
      <c r="O2562" s="16" t="str">
        <f>IF($A2562&lt;Notes!$B$5,"",IF(COUNTIFS(Release_Calendar!$A$2:$A$755,"NZ_LABOUR",Release_Calendar!$B$2:$B$755,$A2562)&gt;0,1,0))</f>
        <v/>
      </c>
      <c r="P2562" s="16">
        <f t="shared" si="4"/>
        <v>0</v>
      </c>
    </row>
    <row r="2563" ht="15.75" customHeight="1">
      <c r="A2563" s="14">
        <v>40113.0</v>
      </c>
      <c r="B2563" s="15">
        <v>0.99</v>
      </c>
      <c r="C2563" s="15"/>
      <c r="D2563" s="15">
        <v>4.55</v>
      </c>
      <c r="E2563" s="15">
        <v>4.52</v>
      </c>
      <c r="F2563" s="15" t="str">
        <f t="shared" si="1"/>
        <v/>
      </c>
      <c r="G2563" s="15">
        <f t="shared" si="2"/>
        <v>4.55</v>
      </c>
      <c r="H2563" s="16">
        <v>1.0</v>
      </c>
      <c r="I2563" s="15">
        <f t="shared" si="3"/>
        <v>3.56</v>
      </c>
      <c r="J2563" s="15">
        <v>24.83</v>
      </c>
      <c r="K2563" s="16">
        <f>IF(COUNTIFS(Release_Calendar!$A$2:$A$755,"US_CPI",Release_Calendar!$B$2:$B$755,$A2563)&gt;0,1,0)</f>
        <v>0</v>
      </c>
      <c r="L2563" s="16">
        <f>IF(COUNTIFS(Release_Calendar!$A$2:$A$755,"US_NFP",Release_Calendar!$B$2:$B$755,$A2563)&gt;0,1,0)</f>
        <v>0</v>
      </c>
      <c r="M2563" s="16" t="str">
        <f>IF($A2563&lt;Notes!$B$5,"",IF(COUNTIFS(Release_Calendar!$A$2:$A$755,"NZ_CPI",Release_Calendar!$B$2:$B$755,$A2563)&gt;0,1,0))</f>
        <v/>
      </c>
      <c r="N2563" s="16" t="str">
        <f>IF($A2563&lt;Notes!$B$5,"",IF(COUNTIFS(Release_Calendar!$A$2:$A$755,"NZ_GDP",Release_Calendar!$B$2:$B$755,$A2563)&gt;0,1,0))</f>
        <v/>
      </c>
      <c r="O2563" s="16" t="str">
        <f>IF($A2563&lt;Notes!$B$5,"",IF(COUNTIFS(Release_Calendar!$A$2:$A$755,"NZ_LABOUR",Release_Calendar!$B$2:$B$755,$A2563)&gt;0,1,0))</f>
        <v/>
      </c>
      <c r="P2563" s="16">
        <f t="shared" si="4"/>
        <v>0</v>
      </c>
    </row>
    <row r="2564" ht="15.75" customHeight="1">
      <c r="A2564" s="14">
        <v>40114.0</v>
      </c>
      <c r="B2564" s="15">
        <v>0.95</v>
      </c>
      <c r="C2564" s="15"/>
      <c r="D2564" s="15">
        <v>4.51</v>
      </c>
      <c r="E2564" s="15">
        <v>4.52</v>
      </c>
      <c r="F2564" s="15" t="str">
        <f t="shared" si="1"/>
        <v/>
      </c>
      <c r="G2564" s="15">
        <f t="shared" si="2"/>
        <v>4.51</v>
      </c>
      <c r="H2564" s="16">
        <v>1.0</v>
      </c>
      <c r="I2564" s="15">
        <f t="shared" si="3"/>
        <v>3.56</v>
      </c>
      <c r="J2564" s="15">
        <v>27.91</v>
      </c>
      <c r="K2564" s="16">
        <f>IF(COUNTIFS(Release_Calendar!$A$2:$A$755,"US_CPI",Release_Calendar!$B$2:$B$755,$A2564)&gt;0,1,0)</f>
        <v>0</v>
      </c>
      <c r="L2564" s="16">
        <f>IF(COUNTIFS(Release_Calendar!$A$2:$A$755,"US_NFP",Release_Calendar!$B$2:$B$755,$A2564)&gt;0,1,0)</f>
        <v>0</v>
      </c>
      <c r="M2564" s="16" t="str">
        <f>IF($A2564&lt;Notes!$B$5,"",IF(COUNTIFS(Release_Calendar!$A$2:$A$755,"NZ_CPI",Release_Calendar!$B$2:$B$755,$A2564)&gt;0,1,0))</f>
        <v/>
      </c>
      <c r="N2564" s="16" t="str">
        <f>IF($A2564&lt;Notes!$B$5,"",IF(COUNTIFS(Release_Calendar!$A$2:$A$755,"NZ_GDP",Release_Calendar!$B$2:$B$755,$A2564)&gt;0,1,0))</f>
        <v/>
      </c>
      <c r="O2564" s="16" t="str">
        <f>IF($A2564&lt;Notes!$B$5,"",IF(COUNTIFS(Release_Calendar!$A$2:$A$755,"NZ_LABOUR",Release_Calendar!$B$2:$B$755,$A2564)&gt;0,1,0))</f>
        <v/>
      </c>
      <c r="P2564" s="16">
        <f t="shared" si="4"/>
        <v>0</v>
      </c>
    </row>
    <row r="2565" ht="15.75" customHeight="1">
      <c r="A2565" s="14">
        <v>40115.0</v>
      </c>
      <c r="B2565" s="15">
        <v>0.98</v>
      </c>
      <c r="C2565" s="15"/>
      <c r="D2565" s="15">
        <v>4.37</v>
      </c>
      <c r="E2565" s="15">
        <v>4.33</v>
      </c>
      <c r="F2565" s="15" t="str">
        <f t="shared" si="1"/>
        <v/>
      </c>
      <c r="G2565" s="15">
        <f t="shared" si="2"/>
        <v>4.37</v>
      </c>
      <c r="H2565" s="16">
        <v>1.0</v>
      </c>
      <c r="I2565" s="15">
        <f t="shared" si="3"/>
        <v>3.39</v>
      </c>
      <c r="J2565" s="15">
        <v>24.76</v>
      </c>
      <c r="K2565" s="16">
        <f>IF(COUNTIFS(Release_Calendar!$A$2:$A$755,"US_CPI",Release_Calendar!$B$2:$B$755,$A2565)&gt;0,1,0)</f>
        <v>0</v>
      </c>
      <c r="L2565" s="16">
        <f>IF(COUNTIFS(Release_Calendar!$A$2:$A$755,"US_NFP",Release_Calendar!$B$2:$B$755,$A2565)&gt;0,1,0)</f>
        <v>0</v>
      </c>
      <c r="M2565" s="16" t="str">
        <f>IF($A2565&lt;Notes!$B$5,"",IF(COUNTIFS(Release_Calendar!$A$2:$A$755,"NZ_CPI",Release_Calendar!$B$2:$B$755,$A2565)&gt;0,1,0))</f>
        <v/>
      </c>
      <c r="N2565" s="16" t="str">
        <f>IF($A2565&lt;Notes!$B$5,"",IF(COUNTIFS(Release_Calendar!$A$2:$A$755,"NZ_GDP",Release_Calendar!$B$2:$B$755,$A2565)&gt;0,1,0))</f>
        <v/>
      </c>
      <c r="O2565" s="16" t="str">
        <f>IF($A2565&lt;Notes!$B$5,"",IF(COUNTIFS(Release_Calendar!$A$2:$A$755,"NZ_LABOUR",Release_Calendar!$B$2:$B$755,$A2565)&gt;0,1,0))</f>
        <v/>
      </c>
      <c r="P2565" s="16">
        <f t="shared" si="4"/>
        <v>0</v>
      </c>
    </row>
    <row r="2566" ht="15.75" customHeight="1">
      <c r="A2566" s="14">
        <v>40116.0</v>
      </c>
      <c r="B2566" s="15">
        <v>0.9</v>
      </c>
      <c r="C2566" s="15"/>
      <c r="D2566" s="15">
        <v>4.35</v>
      </c>
      <c r="E2566" s="15">
        <v>4.32</v>
      </c>
      <c r="F2566" s="15" t="str">
        <f t="shared" si="1"/>
        <v/>
      </c>
      <c r="G2566" s="15">
        <f t="shared" si="2"/>
        <v>4.35</v>
      </c>
      <c r="H2566" s="16">
        <v>1.0</v>
      </c>
      <c r="I2566" s="15">
        <f t="shared" si="3"/>
        <v>3.45</v>
      </c>
      <c r="J2566" s="15">
        <v>30.69</v>
      </c>
      <c r="K2566" s="16">
        <f>IF(COUNTIFS(Release_Calendar!$A$2:$A$755,"US_CPI",Release_Calendar!$B$2:$B$755,$A2566)&gt;0,1,0)</f>
        <v>0</v>
      </c>
      <c r="L2566" s="16">
        <f>IF(COUNTIFS(Release_Calendar!$A$2:$A$755,"US_NFP",Release_Calendar!$B$2:$B$755,$A2566)&gt;0,1,0)</f>
        <v>0</v>
      </c>
      <c r="M2566" s="16" t="str">
        <f>IF($A2566&lt;Notes!$B$5,"",IF(COUNTIFS(Release_Calendar!$A$2:$A$755,"NZ_CPI",Release_Calendar!$B$2:$B$755,$A2566)&gt;0,1,0))</f>
        <v/>
      </c>
      <c r="N2566" s="16" t="str">
        <f>IF($A2566&lt;Notes!$B$5,"",IF(COUNTIFS(Release_Calendar!$A$2:$A$755,"NZ_GDP",Release_Calendar!$B$2:$B$755,$A2566)&gt;0,1,0))</f>
        <v/>
      </c>
      <c r="O2566" s="16" t="str">
        <f>IF($A2566&lt;Notes!$B$5,"",IF(COUNTIFS(Release_Calendar!$A$2:$A$755,"NZ_LABOUR",Release_Calendar!$B$2:$B$755,$A2566)&gt;0,1,0))</f>
        <v/>
      </c>
      <c r="P2566" s="16">
        <f t="shared" si="4"/>
        <v>0</v>
      </c>
    </row>
    <row r="2567" ht="15.75" customHeight="1">
      <c r="A2567" s="14">
        <v>40119.0</v>
      </c>
      <c r="B2567" s="15">
        <v>0.92</v>
      </c>
      <c r="C2567" s="15"/>
      <c r="D2567" s="15">
        <v>4.29</v>
      </c>
      <c r="E2567" s="15">
        <v>4.27</v>
      </c>
      <c r="F2567" s="15" t="str">
        <f t="shared" si="1"/>
        <v/>
      </c>
      <c r="G2567" s="15">
        <f t="shared" si="2"/>
        <v>4.29</v>
      </c>
      <c r="H2567" s="16">
        <v>1.0</v>
      </c>
      <c r="I2567" s="15">
        <f t="shared" si="3"/>
        <v>3.37</v>
      </c>
      <c r="J2567" s="15">
        <v>29.78</v>
      </c>
      <c r="K2567" s="16">
        <f>IF(COUNTIFS(Release_Calendar!$A$2:$A$755,"US_CPI",Release_Calendar!$B$2:$B$755,$A2567)&gt;0,1,0)</f>
        <v>0</v>
      </c>
      <c r="L2567" s="16">
        <f>IF(COUNTIFS(Release_Calendar!$A$2:$A$755,"US_NFP",Release_Calendar!$B$2:$B$755,$A2567)&gt;0,1,0)</f>
        <v>0</v>
      </c>
      <c r="M2567" s="16" t="str">
        <f>IF($A2567&lt;Notes!$B$5,"",IF(COUNTIFS(Release_Calendar!$A$2:$A$755,"NZ_CPI",Release_Calendar!$B$2:$B$755,$A2567)&gt;0,1,0))</f>
        <v/>
      </c>
      <c r="N2567" s="16" t="str">
        <f>IF($A2567&lt;Notes!$B$5,"",IF(COUNTIFS(Release_Calendar!$A$2:$A$755,"NZ_GDP",Release_Calendar!$B$2:$B$755,$A2567)&gt;0,1,0))</f>
        <v/>
      </c>
      <c r="O2567" s="16" t="str">
        <f>IF($A2567&lt;Notes!$B$5,"",IF(COUNTIFS(Release_Calendar!$A$2:$A$755,"NZ_LABOUR",Release_Calendar!$B$2:$B$755,$A2567)&gt;0,1,0))</f>
        <v/>
      </c>
      <c r="P2567" s="16">
        <f t="shared" si="4"/>
        <v>0</v>
      </c>
    </row>
    <row r="2568" ht="15.75" customHeight="1">
      <c r="A2568" s="14">
        <v>40120.0</v>
      </c>
      <c r="B2568" s="15">
        <v>0.92</v>
      </c>
      <c r="C2568" s="15"/>
      <c r="D2568" s="15">
        <v>4.27</v>
      </c>
      <c r="E2568" s="15">
        <v>4.28</v>
      </c>
      <c r="F2568" s="15" t="str">
        <f t="shared" si="1"/>
        <v/>
      </c>
      <c r="G2568" s="15">
        <f t="shared" si="2"/>
        <v>4.27</v>
      </c>
      <c r="H2568" s="16">
        <v>1.0</v>
      </c>
      <c r="I2568" s="15">
        <f t="shared" si="3"/>
        <v>3.35</v>
      </c>
      <c r="J2568" s="15">
        <v>28.81</v>
      </c>
      <c r="K2568" s="16">
        <f>IF(COUNTIFS(Release_Calendar!$A$2:$A$755,"US_CPI",Release_Calendar!$B$2:$B$755,$A2568)&gt;0,1,0)</f>
        <v>0</v>
      </c>
      <c r="L2568" s="16">
        <f>IF(COUNTIFS(Release_Calendar!$A$2:$A$755,"US_NFP",Release_Calendar!$B$2:$B$755,$A2568)&gt;0,1,0)</f>
        <v>0</v>
      </c>
      <c r="M2568" s="16" t="str">
        <f>IF($A2568&lt;Notes!$B$5,"",IF(COUNTIFS(Release_Calendar!$A$2:$A$755,"NZ_CPI",Release_Calendar!$B$2:$B$755,$A2568)&gt;0,1,0))</f>
        <v/>
      </c>
      <c r="N2568" s="16" t="str">
        <f>IF($A2568&lt;Notes!$B$5,"",IF(COUNTIFS(Release_Calendar!$A$2:$A$755,"NZ_GDP",Release_Calendar!$B$2:$B$755,$A2568)&gt;0,1,0))</f>
        <v/>
      </c>
      <c r="O2568" s="16" t="str">
        <f>IF($A2568&lt;Notes!$B$5,"",IF(COUNTIFS(Release_Calendar!$A$2:$A$755,"NZ_LABOUR",Release_Calendar!$B$2:$B$755,$A2568)&gt;0,1,0))</f>
        <v/>
      </c>
      <c r="P2568" s="16">
        <f t="shared" si="4"/>
        <v>0</v>
      </c>
    </row>
    <row r="2569" ht="15.75" customHeight="1">
      <c r="A2569" s="14">
        <v>40121.0</v>
      </c>
      <c r="B2569" s="15">
        <v>0.91</v>
      </c>
      <c r="C2569" s="15"/>
      <c r="D2569" s="15">
        <v>4.25</v>
      </c>
      <c r="E2569" s="15">
        <v>4.26</v>
      </c>
      <c r="F2569" s="15" t="str">
        <f t="shared" si="1"/>
        <v/>
      </c>
      <c r="G2569" s="15">
        <f t="shared" si="2"/>
        <v>4.25</v>
      </c>
      <c r="H2569" s="16">
        <v>1.0</v>
      </c>
      <c r="I2569" s="15">
        <f t="shared" si="3"/>
        <v>3.34</v>
      </c>
      <c r="J2569" s="15">
        <v>27.72</v>
      </c>
      <c r="K2569" s="16">
        <f>IF(COUNTIFS(Release_Calendar!$A$2:$A$755,"US_CPI",Release_Calendar!$B$2:$B$755,$A2569)&gt;0,1,0)</f>
        <v>0</v>
      </c>
      <c r="L2569" s="16">
        <f>IF(COUNTIFS(Release_Calendar!$A$2:$A$755,"US_NFP",Release_Calendar!$B$2:$B$755,$A2569)&gt;0,1,0)</f>
        <v>0</v>
      </c>
      <c r="M2569" s="16" t="str">
        <f>IF($A2569&lt;Notes!$B$5,"",IF(COUNTIFS(Release_Calendar!$A$2:$A$755,"NZ_CPI",Release_Calendar!$B$2:$B$755,$A2569)&gt;0,1,0))</f>
        <v/>
      </c>
      <c r="N2569" s="16" t="str">
        <f>IF($A2569&lt;Notes!$B$5,"",IF(COUNTIFS(Release_Calendar!$A$2:$A$755,"NZ_GDP",Release_Calendar!$B$2:$B$755,$A2569)&gt;0,1,0))</f>
        <v/>
      </c>
      <c r="O2569" s="16" t="str">
        <f>IF($A2569&lt;Notes!$B$5,"",IF(COUNTIFS(Release_Calendar!$A$2:$A$755,"NZ_LABOUR",Release_Calendar!$B$2:$B$755,$A2569)&gt;0,1,0))</f>
        <v/>
      </c>
      <c r="P2569" s="16">
        <f t="shared" si="4"/>
        <v>0</v>
      </c>
    </row>
    <row r="2570" ht="15.75" customHeight="1">
      <c r="A2570" s="14">
        <v>40122.0</v>
      </c>
      <c r="B2570" s="15">
        <v>0.9</v>
      </c>
      <c r="C2570" s="15"/>
      <c r="D2570" s="15">
        <v>4.27</v>
      </c>
      <c r="E2570" s="15">
        <v>4.26</v>
      </c>
      <c r="F2570" s="15" t="str">
        <f t="shared" si="1"/>
        <v/>
      </c>
      <c r="G2570" s="15">
        <f t="shared" si="2"/>
        <v>4.27</v>
      </c>
      <c r="H2570" s="16">
        <v>1.0</v>
      </c>
      <c r="I2570" s="15">
        <f t="shared" si="3"/>
        <v>3.37</v>
      </c>
      <c r="J2570" s="15">
        <v>25.43</v>
      </c>
      <c r="K2570" s="16">
        <f>IF(COUNTIFS(Release_Calendar!$A$2:$A$755,"US_CPI",Release_Calendar!$B$2:$B$755,$A2570)&gt;0,1,0)</f>
        <v>0</v>
      </c>
      <c r="L2570" s="16">
        <f>IF(COUNTIFS(Release_Calendar!$A$2:$A$755,"US_NFP",Release_Calendar!$B$2:$B$755,$A2570)&gt;0,1,0)</f>
        <v>0</v>
      </c>
      <c r="M2570" s="16" t="str">
        <f>IF($A2570&lt;Notes!$B$5,"",IF(COUNTIFS(Release_Calendar!$A$2:$A$755,"NZ_CPI",Release_Calendar!$B$2:$B$755,$A2570)&gt;0,1,0))</f>
        <v/>
      </c>
      <c r="N2570" s="16" t="str">
        <f>IF($A2570&lt;Notes!$B$5,"",IF(COUNTIFS(Release_Calendar!$A$2:$A$755,"NZ_GDP",Release_Calendar!$B$2:$B$755,$A2570)&gt;0,1,0))</f>
        <v/>
      </c>
      <c r="O2570" s="16" t="str">
        <f>IF($A2570&lt;Notes!$B$5,"",IF(COUNTIFS(Release_Calendar!$A$2:$A$755,"NZ_LABOUR",Release_Calendar!$B$2:$B$755,$A2570)&gt;0,1,0))</f>
        <v/>
      </c>
      <c r="P2570" s="16">
        <f t="shared" si="4"/>
        <v>0</v>
      </c>
    </row>
    <row r="2571" ht="15.75" customHeight="1">
      <c r="A2571" s="14">
        <v>40123.0</v>
      </c>
      <c r="B2571" s="15">
        <v>0.86</v>
      </c>
      <c r="C2571" s="15"/>
      <c r="D2571" s="15">
        <v>4.26</v>
      </c>
      <c r="E2571" s="15">
        <v>4.29</v>
      </c>
      <c r="F2571" s="15" t="str">
        <f t="shared" si="1"/>
        <v/>
      </c>
      <c r="G2571" s="15">
        <f t="shared" si="2"/>
        <v>4.26</v>
      </c>
      <c r="H2571" s="16">
        <v>1.0</v>
      </c>
      <c r="I2571" s="15">
        <f t="shared" si="3"/>
        <v>3.4</v>
      </c>
      <c r="J2571" s="15">
        <v>24.19</v>
      </c>
      <c r="K2571" s="16">
        <f>IF(COUNTIFS(Release_Calendar!$A$2:$A$755,"US_CPI",Release_Calendar!$B$2:$B$755,$A2571)&gt;0,1,0)</f>
        <v>0</v>
      </c>
      <c r="L2571" s="16">
        <f>IF(COUNTIFS(Release_Calendar!$A$2:$A$755,"US_NFP",Release_Calendar!$B$2:$B$755,$A2571)&gt;0,1,0)</f>
        <v>1</v>
      </c>
      <c r="M2571" s="16" t="str">
        <f>IF($A2571&lt;Notes!$B$5,"",IF(COUNTIFS(Release_Calendar!$A$2:$A$755,"NZ_CPI",Release_Calendar!$B$2:$B$755,$A2571)&gt;0,1,0))</f>
        <v/>
      </c>
      <c r="N2571" s="16" t="str">
        <f>IF($A2571&lt;Notes!$B$5,"",IF(COUNTIFS(Release_Calendar!$A$2:$A$755,"NZ_GDP",Release_Calendar!$B$2:$B$755,$A2571)&gt;0,1,0))</f>
        <v/>
      </c>
      <c r="O2571" s="16" t="str">
        <f>IF($A2571&lt;Notes!$B$5,"",IF(COUNTIFS(Release_Calendar!$A$2:$A$755,"NZ_LABOUR",Release_Calendar!$B$2:$B$755,$A2571)&gt;0,1,0))</f>
        <v/>
      </c>
      <c r="P2571" s="16">
        <f t="shared" si="4"/>
        <v>1</v>
      </c>
    </row>
    <row r="2572" ht="15.75" customHeight="1">
      <c r="A2572" s="14">
        <v>40126.0</v>
      </c>
      <c r="B2572" s="15">
        <v>0.87</v>
      </c>
      <c r="C2572" s="15"/>
      <c r="D2572" s="15">
        <v>4.35</v>
      </c>
      <c r="E2572" s="15">
        <v>4.35</v>
      </c>
      <c r="F2572" s="15" t="str">
        <f t="shared" si="1"/>
        <v/>
      </c>
      <c r="G2572" s="15">
        <f t="shared" si="2"/>
        <v>4.35</v>
      </c>
      <c r="H2572" s="16">
        <v>1.0</v>
      </c>
      <c r="I2572" s="15">
        <f t="shared" si="3"/>
        <v>3.48</v>
      </c>
      <c r="J2572" s="15">
        <v>23.15</v>
      </c>
      <c r="K2572" s="16">
        <f>IF(COUNTIFS(Release_Calendar!$A$2:$A$755,"US_CPI",Release_Calendar!$B$2:$B$755,$A2572)&gt;0,1,0)</f>
        <v>0</v>
      </c>
      <c r="L2572" s="16">
        <f>IF(COUNTIFS(Release_Calendar!$A$2:$A$755,"US_NFP",Release_Calendar!$B$2:$B$755,$A2572)&gt;0,1,0)</f>
        <v>0</v>
      </c>
      <c r="M2572" s="16" t="str">
        <f>IF($A2572&lt;Notes!$B$5,"",IF(COUNTIFS(Release_Calendar!$A$2:$A$755,"NZ_CPI",Release_Calendar!$B$2:$B$755,$A2572)&gt;0,1,0))</f>
        <v/>
      </c>
      <c r="N2572" s="16" t="str">
        <f>IF($A2572&lt;Notes!$B$5,"",IF(COUNTIFS(Release_Calendar!$A$2:$A$755,"NZ_GDP",Release_Calendar!$B$2:$B$755,$A2572)&gt;0,1,0))</f>
        <v/>
      </c>
      <c r="O2572" s="16" t="str">
        <f>IF($A2572&lt;Notes!$B$5,"",IF(COUNTIFS(Release_Calendar!$A$2:$A$755,"NZ_LABOUR",Release_Calendar!$B$2:$B$755,$A2572)&gt;0,1,0))</f>
        <v/>
      </c>
      <c r="P2572" s="16">
        <f t="shared" si="4"/>
        <v>0</v>
      </c>
    </row>
    <row r="2573" ht="15.75" customHeight="1">
      <c r="A2573" s="14">
        <v>40127.0</v>
      </c>
      <c r="B2573" s="15">
        <v>0.85</v>
      </c>
      <c r="C2573" s="15"/>
      <c r="D2573" s="15">
        <v>4.37</v>
      </c>
      <c r="E2573" s="15">
        <v>4.4</v>
      </c>
      <c r="F2573" s="15" t="str">
        <f t="shared" si="1"/>
        <v/>
      </c>
      <c r="G2573" s="15">
        <f t="shared" si="2"/>
        <v>4.37</v>
      </c>
      <c r="H2573" s="16">
        <v>1.0</v>
      </c>
      <c r="I2573" s="15">
        <f t="shared" si="3"/>
        <v>3.52</v>
      </c>
      <c r="J2573" s="15">
        <v>22.84</v>
      </c>
      <c r="K2573" s="16">
        <f>IF(COUNTIFS(Release_Calendar!$A$2:$A$755,"US_CPI",Release_Calendar!$B$2:$B$755,$A2573)&gt;0,1,0)</f>
        <v>0</v>
      </c>
      <c r="L2573" s="16">
        <f>IF(COUNTIFS(Release_Calendar!$A$2:$A$755,"US_NFP",Release_Calendar!$B$2:$B$755,$A2573)&gt;0,1,0)</f>
        <v>0</v>
      </c>
      <c r="M2573" s="16" t="str">
        <f>IF($A2573&lt;Notes!$B$5,"",IF(COUNTIFS(Release_Calendar!$A$2:$A$755,"NZ_CPI",Release_Calendar!$B$2:$B$755,$A2573)&gt;0,1,0))</f>
        <v/>
      </c>
      <c r="N2573" s="16" t="str">
        <f>IF($A2573&lt;Notes!$B$5,"",IF(COUNTIFS(Release_Calendar!$A$2:$A$755,"NZ_GDP",Release_Calendar!$B$2:$B$755,$A2573)&gt;0,1,0))</f>
        <v/>
      </c>
      <c r="O2573" s="16" t="str">
        <f>IF($A2573&lt;Notes!$B$5,"",IF(COUNTIFS(Release_Calendar!$A$2:$A$755,"NZ_LABOUR",Release_Calendar!$B$2:$B$755,$A2573)&gt;0,1,0))</f>
        <v/>
      </c>
      <c r="P2573" s="16">
        <f t="shared" si="4"/>
        <v>0</v>
      </c>
    </row>
    <row r="2574" ht="15.75" customHeight="1">
      <c r="A2574" s="14">
        <v>40128.0</v>
      </c>
      <c r="B2574" s="15"/>
      <c r="C2574" s="15"/>
      <c r="D2574" s="15">
        <v>4.4</v>
      </c>
      <c r="E2574" s="15">
        <v>4.4</v>
      </c>
      <c r="F2574" s="15" t="str">
        <f t="shared" si="1"/>
        <v/>
      </c>
      <c r="G2574" s="15">
        <f t="shared" si="2"/>
        <v>4.4</v>
      </c>
      <c r="H2574" s="16">
        <v>1.0</v>
      </c>
      <c r="I2574" s="15" t="str">
        <f t="shared" si="3"/>
        <v/>
      </c>
      <c r="J2574" s="15">
        <v>23.04</v>
      </c>
      <c r="K2574" s="16">
        <f>IF(COUNTIFS(Release_Calendar!$A$2:$A$755,"US_CPI",Release_Calendar!$B$2:$B$755,$A2574)&gt;0,1,0)</f>
        <v>0</v>
      </c>
      <c r="L2574" s="16">
        <f>IF(COUNTIFS(Release_Calendar!$A$2:$A$755,"US_NFP",Release_Calendar!$B$2:$B$755,$A2574)&gt;0,1,0)</f>
        <v>0</v>
      </c>
      <c r="M2574" s="16" t="str">
        <f>IF($A2574&lt;Notes!$B$5,"",IF(COUNTIFS(Release_Calendar!$A$2:$A$755,"NZ_CPI",Release_Calendar!$B$2:$B$755,$A2574)&gt;0,1,0))</f>
        <v/>
      </c>
      <c r="N2574" s="16" t="str">
        <f>IF($A2574&lt;Notes!$B$5,"",IF(COUNTIFS(Release_Calendar!$A$2:$A$755,"NZ_GDP",Release_Calendar!$B$2:$B$755,$A2574)&gt;0,1,0))</f>
        <v/>
      </c>
      <c r="O2574" s="16" t="str">
        <f>IF($A2574&lt;Notes!$B$5,"",IF(COUNTIFS(Release_Calendar!$A$2:$A$755,"NZ_LABOUR",Release_Calendar!$B$2:$B$755,$A2574)&gt;0,1,0))</f>
        <v/>
      </c>
      <c r="P2574" s="16">
        <f t="shared" si="4"/>
        <v>0</v>
      </c>
    </row>
    <row r="2575" ht="15.75" customHeight="1">
      <c r="A2575" s="14">
        <v>40129.0</v>
      </c>
      <c r="B2575" s="15">
        <v>0.82</v>
      </c>
      <c r="C2575" s="15"/>
      <c r="D2575" s="15">
        <v>4.4</v>
      </c>
      <c r="E2575" s="15">
        <v>4.37</v>
      </c>
      <c r="F2575" s="15" t="str">
        <f t="shared" si="1"/>
        <v/>
      </c>
      <c r="G2575" s="15">
        <f t="shared" si="2"/>
        <v>4.4</v>
      </c>
      <c r="H2575" s="16">
        <v>1.0</v>
      </c>
      <c r="I2575" s="15">
        <f t="shared" si="3"/>
        <v>3.58</v>
      </c>
      <c r="J2575" s="15">
        <v>24.24</v>
      </c>
      <c r="K2575" s="16">
        <f>IF(COUNTIFS(Release_Calendar!$A$2:$A$755,"US_CPI",Release_Calendar!$B$2:$B$755,$A2575)&gt;0,1,0)</f>
        <v>0</v>
      </c>
      <c r="L2575" s="16">
        <f>IF(COUNTIFS(Release_Calendar!$A$2:$A$755,"US_NFP",Release_Calendar!$B$2:$B$755,$A2575)&gt;0,1,0)</f>
        <v>0</v>
      </c>
      <c r="M2575" s="16" t="str">
        <f>IF($A2575&lt;Notes!$B$5,"",IF(COUNTIFS(Release_Calendar!$A$2:$A$755,"NZ_CPI",Release_Calendar!$B$2:$B$755,$A2575)&gt;0,1,0))</f>
        <v/>
      </c>
      <c r="N2575" s="16" t="str">
        <f>IF($A2575&lt;Notes!$B$5,"",IF(COUNTIFS(Release_Calendar!$A$2:$A$755,"NZ_GDP",Release_Calendar!$B$2:$B$755,$A2575)&gt;0,1,0))</f>
        <v/>
      </c>
      <c r="O2575" s="16" t="str">
        <f>IF($A2575&lt;Notes!$B$5,"",IF(COUNTIFS(Release_Calendar!$A$2:$A$755,"NZ_LABOUR",Release_Calendar!$B$2:$B$755,$A2575)&gt;0,1,0))</f>
        <v/>
      </c>
      <c r="P2575" s="16">
        <f t="shared" si="4"/>
        <v>0</v>
      </c>
    </row>
    <row r="2576" ht="15.75" customHeight="1">
      <c r="A2576" s="14">
        <v>40130.0</v>
      </c>
      <c r="B2576" s="15">
        <v>0.82</v>
      </c>
      <c r="C2576" s="15"/>
      <c r="D2576" s="15">
        <v>4.34</v>
      </c>
      <c r="E2576" s="15">
        <v>4.34</v>
      </c>
      <c r="F2576" s="15" t="str">
        <f t="shared" si="1"/>
        <v/>
      </c>
      <c r="G2576" s="15">
        <f t="shared" si="2"/>
        <v>4.34</v>
      </c>
      <c r="H2576" s="16">
        <v>1.0</v>
      </c>
      <c r="I2576" s="15">
        <f t="shared" si="3"/>
        <v>3.52</v>
      </c>
      <c r="J2576" s="15">
        <v>23.36</v>
      </c>
      <c r="K2576" s="16">
        <f>IF(COUNTIFS(Release_Calendar!$A$2:$A$755,"US_CPI",Release_Calendar!$B$2:$B$755,$A2576)&gt;0,1,0)</f>
        <v>0</v>
      </c>
      <c r="L2576" s="16">
        <f>IF(COUNTIFS(Release_Calendar!$A$2:$A$755,"US_NFP",Release_Calendar!$B$2:$B$755,$A2576)&gt;0,1,0)</f>
        <v>0</v>
      </c>
      <c r="M2576" s="16" t="str">
        <f>IF($A2576&lt;Notes!$B$5,"",IF(COUNTIFS(Release_Calendar!$A$2:$A$755,"NZ_CPI",Release_Calendar!$B$2:$B$755,$A2576)&gt;0,1,0))</f>
        <v/>
      </c>
      <c r="N2576" s="16" t="str">
        <f>IF($A2576&lt;Notes!$B$5,"",IF(COUNTIFS(Release_Calendar!$A$2:$A$755,"NZ_GDP",Release_Calendar!$B$2:$B$755,$A2576)&gt;0,1,0))</f>
        <v/>
      </c>
      <c r="O2576" s="16" t="str">
        <f>IF($A2576&lt;Notes!$B$5,"",IF(COUNTIFS(Release_Calendar!$A$2:$A$755,"NZ_LABOUR",Release_Calendar!$B$2:$B$755,$A2576)&gt;0,1,0))</f>
        <v/>
      </c>
      <c r="P2576" s="16">
        <f t="shared" si="4"/>
        <v>0</v>
      </c>
    </row>
    <row r="2577" ht="15.75" customHeight="1">
      <c r="A2577" s="14">
        <v>40133.0</v>
      </c>
      <c r="B2577" s="15">
        <v>0.78</v>
      </c>
      <c r="C2577" s="15"/>
      <c r="D2577" s="15">
        <v>4.33</v>
      </c>
      <c r="E2577" s="15">
        <v>4.29</v>
      </c>
      <c r="F2577" s="15" t="str">
        <f t="shared" si="1"/>
        <v/>
      </c>
      <c r="G2577" s="15">
        <f t="shared" si="2"/>
        <v>4.33</v>
      </c>
      <c r="H2577" s="16">
        <v>1.0</v>
      </c>
      <c r="I2577" s="15">
        <f t="shared" si="3"/>
        <v>3.55</v>
      </c>
      <c r="J2577" s="15">
        <v>22.89</v>
      </c>
      <c r="K2577" s="16">
        <f>IF(COUNTIFS(Release_Calendar!$A$2:$A$755,"US_CPI",Release_Calendar!$B$2:$B$755,$A2577)&gt;0,1,0)</f>
        <v>0</v>
      </c>
      <c r="L2577" s="16">
        <f>IF(COUNTIFS(Release_Calendar!$A$2:$A$755,"US_NFP",Release_Calendar!$B$2:$B$755,$A2577)&gt;0,1,0)</f>
        <v>0</v>
      </c>
      <c r="M2577" s="16" t="str">
        <f>IF($A2577&lt;Notes!$B$5,"",IF(COUNTIFS(Release_Calendar!$A$2:$A$755,"NZ_CPI",Release_Calendar!$B$2:$B$755,$A2577)&gt;0,1,0))</f>
        <v/>
      </c>
      <c r="N2577" s="16" t="str">
        <f>IF($A2577&lt;Notes!$B$5,"",IF(COUNTIFS(Release_Calendar!$A$2:$A$755,"NZ_GDP",Release_Calendar!$B$2:$B$755,$A2577)&gt;0,1,0))</f>
        <v/>
      </c>
      <c r="O2577" s="16" t="str">
        <f>IF($A2577&lt;Notes!$B$5,"",IF(COUNTIFS(Release_Calendar!$A$2:$A$755,"NZ_LABOUR",Release_Calendar!$B$2:$B$755,$A2577)&gt;0,1,0))</f>
        <v/>
      </c>
      <c r="P2577" s="16">
        <f t="shared" si="4"/>
        <v>0</v>
      </c>
    </row>
    <row r="2578" ht="15.75" customHeight="1">
      <c r="A2578" s="14">
        <v>40134.0</v>
      </c>
      <c r="B2578" s="15">
        <v>0.78</v>
      </c>
      <c r="C2578" s="15"/>
      <c r="D2578" s="15">
        <v>4.26</v>
      </c>
      <c r="E2578" s="15">
        <v>4.21</v>
      </c>
      <c r="F2578" s="15" t="str">
        <f t="shared" si="1"/>
        <v/>
      </c>
      <c r="G2578" s="15">
        <f t="shared" si="2"/>
        <v>4.26</v>
      </c>
      <c r="H2578" s="16">
        <v>1.0</v>
      </c>
      <c r="I2578" s="15">
        <f t="shared" si="3"/>
        <v>3.48</v>
      </c>
      <c r="J2578" s="15">
        <v>22.41</v>
      </c>
      <c r="K2578" s="16">
        <f>IF(COUNTIFS(Release_Calendar!$A$2:$A$755,"US_CPI",Release_Calendar!$B$2:$B$755,$A2578)&gt;0,1,0)</f>
        <v>0</v>
      </c>
      <c r="L2578" s="16">
        <f>IF(COUNTIFS(Release_Calendar!$A$2:$A$755,"US_NFP",Release_Calendar!$B$2:$B$755,$A2578)&gt;0,1,0)</f>
        <v>0</v>
      </c>
      <c r="M2578" s="16" t="str">
        <f>IF($A2578&lt;Notes!$B$5,"",IF(COUNTIFS(Release_Calendar!$A$2:$A$755,"NZ_CPI",Release_Calendar!$B$2:$B$755,$A2578)&gt;0,1,0))</f>
        <v/>
      </c>
      <c r="N2578" s="16" t="str">
        <f>IF($A2578&lt;Notes!$B$5,"",IF(COUNTIFS(Release_Calendar!$A$2:$A$755,"NZ_GDP",Release_Calendar!$B$2:$B$755,$A2578)&gt;0,1,0))</f>
        <v/>
      </c>
      <c r="O2578" s="16" t="str">
        <f>IF($A2578&lt;Notes!$B$5,"",IF(COUNTIFS(Release_Calendar!$A$2:$A$755,"NZ_LABOUR",Release_Calendar!$B$2:$B$755,$A2578)&gt;0,1,0))</f>
        <v/>
      </c>
      <c r="P2578" s="16">
        <f t="shared" si="4"/>
        <v>0</v>
      </c>
    </row>
    <row r="2579" ht="15.75" customHeight="1">
      <c r="A2579" s="14">
        <v>40135.0</v>
      </c>
      <c r="B2579" s="15">
        <v>0.77</v>
      </c>
      <c r="C2579" s="15"/>
      <c r="D2579" s="15">
        <v>4.21</v>
      </c>
      <c r="E2579" s="15">
        <v>4.22</v>
      </c>
      <c r="F2579" s="15" t="str">
        <f t="shared" si="1"/>
        <v/>
      </c>
      <c r="G2579" s="15">
        <f t="shared" si="2"/>
        <v>4.21</v>
      </c>
      <c r="H2579" s="16">
        <v>1.0</v>
      </c>
      <c r="I2579" s="15">
        <f t="shared" si="3"/>
        <v>3.44</v>
      </c>
      <c r="J2579" s="15">
        <v>21.63</v>
      </c>
      <c r="K2579" s="16">
        <f>IF(COUNTIFS(Release_Calendar!$A$2:$A$755,"US_CPI",Release_Calendar!$B$2:$B$755,$A2579)&gt;0,1,0)</f>
        <v>1</v>
      </c>
      <c r="L2579" s="16">
        <f>IF(COUNTIFS(Release_Calendar!$A$2:$A$755,"US_NFP",Release_Calendar!$B$2:$B$755,$A2579)&gt;0,1,0)</f>
        <v>0</v>
      </c>
      <c r="M2579" s="16" t="str">
        <f>IF($A2579&lt;Notes!$B$5,"",IF(COUNTIFS(Release_Calendar!$A$2:$A$755,"NZ_CPI",Release_Calendar!$B$2:$B$755,$A2579)&gt;0,1,0))</f>
        <v/>
      </c>
      <c r="N2579" s="16" t="str">
        <f>IF($A2579&lt;Notes!$B$5,"",IF(COUNTIFS(Release_Calendar!$A$2:$A$755,"NZ_GDP",Release_Calendar!$B$2:$B$755,$A2579)&gt;0,1,0))</f>
        <v/>
      </c>
      <c r="O2579" s="16" t="str">
        <f>IF($A2579&lt;Notes!$B$5,"",IF(COUNTIFS(Release_Calendar!$A$2:$A$755,"NZ_LABOUR",Release_Calendar!$B$2:$B$755,$A2579)&gt;0,1,0))</f>
        <v/>
      </c>
      <c r="P2579" s="16">
        <f t="shared" si="4"/>
        <v>1</v>
      </c>
    </row>
    <row r="2580" ht="15.75" customHeight="1">
      <c r="A2580" s="14">
        <v>40136.0</v>
      </c>
      <c r="B2580" s="15">
        <v>0.73</v>
      </c>
      <c r="C2580" s="15"/>
      <c r="D2580" s="15">
        <v>4.22</v>
      </c>
      <c r="E2580" s="15">
        <v>4.14</v>
      </c>
      <c r="F2580" s="15" t="str">
        <f t="shared" si="1"/>
        <v/>
      </c>
      <c r="G2580" s="15">
        <f t="shared" si="2"/>
        <v>4.22</v>
      </c>
      <c r="H2580" s="16">
        <v>1.0</v>
      </c>
      <c r="I2580" s="15">
        <f t="shared" si="3"/>
        <v>3.49</v>
      </c>
      <c r="J2580" s="15">
        <v>22.63</v>
      </c>
      <c r="K2580" s="16">
        <f>IF(COUNTIFS(Release_Calendar!$A$2:$A$755,"US_CPI",Release_Calendar!$B$2:$B$755,$A2580)&gt;0,1,0)</f>
        <v>0</v>
      </c>
      <c r="L2580" s="16">
        <f>IF(COUNTIFS(Release_Calendar!$A$2:$A$755,"US_NFP",Release_Calendar!$B$2:$B$755,$A2580)&gt;0,1,0)</f>
        <v>0</v>
      </c>
      <c r="M2580" s="16" t="str">
        <f>IF($A2580&lt;Notes!$B$5,"",IF(COUNTIFS(Release_Calendar!$A$2:$A$755,"NZ_CPI",Release_Calendar!$B$2:$B$755,$A2580)&gt;0,1,0))</f>
        <v/>
      </c>
      <c r="N2580" s="16" t="str">
        <f>IF($A2580&lt;Notes!$B$5,"",IF(COUNTIFS(Release_Calendar!$A$2:$A$755,"NZ_GDP",Release_Calendar!$B$2:$B$755,$A2580)&gt;0,1,0))</f>
        <v/>
      </c>
      <c r="O2580" s="16" t="str">
        <f>IF($A2580&lt;Notes!$B$5,"",IF(COUNTIFS(Release_Calendar!$A$2:$A$755,"NZ_LABOUR",Release_Calendar!$B$2:$B$755,$A2580)&gt;0,1,0))</f>
        <v/>
      </c>
      <c r="P2580" s="16">
        <f t="shared" si="4"/>
        <v>0</v>
      </c>
    </row>
    <row r="2581" ht="15.75" customHeight="1">
      <c r="A2581" s="14">
        <v>40137.0</v>
      </c>
      <c r="B2581" s="15">
        <v>0.75</v>
      </c>
      <c r="C2581" s="15"/>
      <c r="D2581" s="15">
        <v>4.09</v>
      </c>
      <c r="E2581" s="15">
        <v>4.12</v>
      </c>
      <c r="F2581" s="15" t="str">
        <f t="shared" si="1"/>
        <v/>
      </c>
      <c r="G2581" s="15">
        <f t="shared" si="2"/>
        <v>4.09</v>
      </c>
      <c r="H2581" s="16">
        <v>1.0</v>
      </c>
      <c r="I2581" s="15">
        <f t="shared" si="3"/>
        <v>3.34</v>
      </c>
      <c r="J2581" s="15">
        <v>22.19</v>
      </c>
      <c r="K2581" s="16">
        <f>IF(COUNTIFS(Release_Calendar!$A$2:$A$755,"US_CPI",Release_Calendar!$B$2:$B$755,$A2581)&gt;0,1,0)</f>
        <v>0</v>
      </c>
      <c r="L2581" s="16">
        <f>IF(COUNTIFS(Release_Calendar!$A$2:$A$755,"US_NFP",Release_Calendar!$B$2:$B$755,$A2581)&gt;0,1,0)</f>
        <v>0</v>
      </c>
      <c r="M2581" s="16" t="str">
        <f>IF($A2581&lt;Notes!$B$5,"",IF(COUNTIFS(Release_Calendar!$A$2:$A$755,"NZ_CPI",Release_Calendar!$B$2:$B$755,$A2581)&gt;0,1,0))</f>
        <v/>
      </c>
      <c r="N2581" s="16" t="str">
        <f>IF($A2581&lt;Notes!$B$5,"",IF(COUNTIFS(Release_Calendar!$A$2:$A$755,"NZ_GDP",Release_Calendar!$B$2:$B$755,$A2581)&gt;0,1,0))</f>
        <v/>
      </c>
      <c r="O2581" s="16" t="str">
        <f>IF($A2581&lt;Notes!$B$5,"",IF(COUNTIFS(Release_Calendar!$A$2:$A$755,"NZ_LABOUR",Release_Calendar!$B$2:$B$755,$A2581)&gt;0,1,0))</f>
        <v/>
      </c>
      <c r="P2581" s="16">
        <f t="shared" si="4"/>
        <v>0</v>
      </c>
    </row>
    <row r="2582" ht="15.75" customHeight="1">
      <c r="A2582" s="14">
        <v>40140.0</v>
      </c>
      <c r="B2582" s="15">
        <v>0.77</v>
      </c>
      <c r="C2582" s="15"/>
      <c r="D2582" s="15">
        <v>4.12</v>
      </c>
      <c r="E2582" s="15">
        <v>4.12</v>
      </c>
      <c r="F2582" s="15" t="str">
        <f t="shared" si="1"/>
        <v/>
      </c>
      <c r="G2582" s="15">
        <f t="shared" si="2"/>
        <v>4.12</v>
      </c>
      <c r="H2582" s="16">
        <v>1.0</v>
      </c>
      <c r="I2582" s="15">
        <f t="shared" si="3"/>
        <v>3.35</v>
      </c>
      <c r="J2582" s="15">
        <v>21.16</v>
      </c>
      <c r="K2582" s="16">
        <f>IF(COUNTIFS(Release_Calendar!$A$2:$A$755,"US_CPI",Release_Calendar!$B$2:$B$755,$A2582)&gt;0,1,0)</f>
        <v>0</v>
      </c>
      <c r="L2582" s="16">
        <f>IF(COUNTIFS(Release_Calendar!$A$2:$A$755,"US_NFP",Release_Calendar!$B$2:$B$755,$A2582)&gt;0,1,0)</f>
        <v>0</v>
      </c>
      <c r="M2582" s="16" t="str">
        <f>IF($A2582&lt;Notes!$B$5,"",IF(COUNTIFS(Release_Calendar!$A$2:$A$755,"NZ_CPI",Release_Calendar!$B$2:$B$755,$A2582)&gt;0,1,0))</f>
        <v/>
      </c>
      <c r="N2582" s="16" t="str">
        <f>IF($A2582&lt;Notes!$B$5,"",IF(COUNTIFS(Release_Calendar!$A$2:$A$755,"NZ_GDP",Release_Calendar!$B$2:$B$755,$A2582)&gt;0,1,0))</f>
        <v/>
      </c>
      <c r="O2582" s="16" t="str">
        <f>IF($A2582&lt;Notes!$B$5,"",IF(COUNTIFS(Release_Calendar!$A$2:$A$755,"NZ_LABOUR",Release_Calendar!$B$2:$B$755,$A2582)&gt;0,1,0))</f>
        <v/>
      </c>
      <c r="P2582" s="16">
        <f t="shared" si="4"/>
        <v>0</v>
      </c>
    </row>
    <row r="2583" ht="15.75" customHeight="1">
      <c r="A2583" s="14">
        <v>40141.0</v>
      </c>
      <c r="B2583" s="15">
        <v>0.73</v>
      </c>
      <c r="C2583" s="15"/>
      <c r="D2583" s="15">
        <v>4.12</v>
      </c>
      <c r="E2583" s="15">
        <v>4.13</v>
      </c>
      <c r="F2583" s="15" t="str">
        <f t="shared" si="1"/>
        <v/>
      </c>
      <c r="G2583" s="15">
        <f t="shared" si="2"/>
        <v>4.12</v>
      </c>
      <c r="H2583" s="16">
        <v>1.0</v>
      </c>
      <c r="I2583" s="15">
        <f t="shared" si="3"/>
        <v>3.39</v>
      </c>
      <c r="J2583" s="15">
        <v>20.47</v>
      </c>
      <c r="K2583" s="16">
        <f>IF(COUNTIFS(Release_Calendar!$A$2:$A$755,"US_CPI",Release_Calendar!$B$2:$B$755,$A2583)&gt;0,1,0)</f>
        <v>0</v>
      </c>
      <c r="L2583" s="16">
        <f>IF(COUNTIFS(Release_Calendar!$A$2:$A$755,"US_NFP",Release_Calendar!$B$2:$B$755,$A2583)&gt;0,1,0)</f>
        <v>0</v>
      </c>
      <c r="M2583" s="16" t="str">
        <f>IF($A2583&lt;Notes!$B$5,"",IF(COUNTIFS(Release_Calendar!$A$2:$A$755,"NZ_CPI",Release_Calendar!$B$2:$B$755,$A2583)&gt;0,1,0))</f>
        <v/>
      </c>
      <c r="N2583" s="16" t="str">
        <f>IF($A2583&lt;Notes!$B$5,"",IF(COUNTIFS(Release_Calendar!$A$2:$A$755,"NZ_GDP",Release_Calendar!$B$2:$B$755,$A2583)&gt;0,1,0))</f>
        <v/>
      </c>
      <c r="O2583" s="16" t="str">
        <f>IF($A2583&lt;Notes!$B$5,"",IF(COUNTIFS(Release_Calendar!$A$2:$A$755,"NZ_LABOUR",Release_Calendar!$B$2:$B$755,$A2583)&gt;0,1,0))</f>
        <v/>
      </c>
      <c r="P2583" s="16">
        <f t="shared" si="4"/>
        <v>0</v>
      </c>
    </row>
    <row r="2584" ht="15.75" customHeight="1">
      <c r="A2584" s="14">
        <v>40142.0</v>
      </c>
      <c r="B2584" s="15">
        <v>0.73</v>
      </c>
      <c r="C2584" s="15"/>
      <c r="D2584" s="15">
        <v>4.13</v>
      </c>
      <c r="E2584" s="15">
        <v>4.13</v>
      </c>
      <c r="F2584" s="15" t="str">
        <f t="shared" si="1"/>
        <v/>
      </c>
      <c r="G2584" s="15">
        <f t="shared" si="2"/>
        <v>4.13</v>
      </c>
      <c r="H2584" s="16">
        <v>1.0</v>
      </c>
      <c r="I2584" s="15">
        <f t="shared" si="3"/>
        <v>3.4</v>
      </c>
      <c r="J2584" s="15">
        <v>20.48</v>
      </c>
      <c r="K2584" s="16">
        <f>IF(COUNTIFS(Release_Calendar!$A$2:$A$755,"US_CPI",Release_Calendar!$B$2:$B$755,$A2584)&gt;0,1,0)</f>
        <v>0</v>
      </c>
      <c r="L2584" s="16">
        <f>IF(COUNTIFS(Release_Calendar!$A$2:$A$755,"US_NFP",Release_Calendar!$B$2:$B$755,$A2584)&gt;0,1,0)</f>
        <v>0</v>
      </c>
      <c r="M2584" s="16" t="str">
        <f>IF($A2584&lt;Notes!$B$5,"",IF(COUNTIFS(Release_Calendar!$A$2:$A$755,"NZ_CPI",Release_Calendar!$B$2:$B$755,$A2584)&gt;0,1,0))</f>
        <v/>
      </c>
      <c r="N2584" s="16" t="str">
        <f>IF($A2584&lt;Notes!$B$5,"",IF(COUNTIFS(Release_Calendar!$A$2:$A$755,"NZ_GDP",Release_Calendar!$B$2:$B$755,$A2584)&gt;0,1,0))</f>
        <v/>
      </c>
      <c r="O2584" s="16" t="str">
        <f>IF($A2584&lt;Notes!$B$5,"",IF(COUNTIFS(Release_Calendar!$A$2:$A$755,"NZ_LABOUR",Release_Calendar!$B$2:$B$755,$A2584)&gt;0,1,0))</f>
        <v/>
      </c>
      <c r="P2584" s="16">
        <f t="shared" si="4"/>
        <v>0</v>
      </c>
    </row>
    <row r="2585" ht="15.75" customHeight="1">
      <c r="A2585" s="14">
        <v>40143.0</v>
      </c>
      <c r="B2585" s="15"/>
      <c r="C2585" s="15"/>
      <c r="D2585" s="15">
        <v>4.13</v>
      </c>
      <c r="E2585" s="15">
        <v>4.1</v>
      </c>
      <c r="F2585" s="15" t="str">
        <f t="shared" si="1"/>
        <v/>
      </c>
      <c r="G2585" s="15">
        <f t="shared" si="2"/>
        <v>4.13</v>
      </c>
      <c r="H2585" s="16">
        <v>1.0</v>
      </c>
      <c r="I2585" s="15" t="str">
        <f t="shared" si="3"/>
        <v/>
      </c>
      <c r="J2585" s="15"/>
      <c r="K2585" s="16">
        <f>IF(COUNTIFS(Release_Calendar!$A$2:$A$755,"US_CPI",Release_Calendar!$B$2:$B$755,$A2585)&gt;0,1,0)</f>
        <v>0</v>
      </c>
      <c r="L2585" s="16">
        <f>IF(COUNTIFS(Release_Calendar!$A$2:$A$755,"US_NFP",Release_Calendar!$B$2:$B$755,$A2585)&gt;0,1,0)</f>
        <v>0</v>
      </c>
      <c r="M2585" s="16" t="str">
        <f>IF($A2585&lt;Notes!$B$5,"",IF(COUNTIFS(Release_Calendar!$A$2:$A$755,"NZ_CPI",Release_Calendar!$B$2:$B$755,$A2585)&gt;0,1,0))</f>
        <v/>
      </c>
      <c r="N2585" s="16" t="str">
        <f>IF($A2585&lt;Notes!$B$5,"",IF(COUNTIFS(Release_Calendar!$A$2:$A$755,"NZ_GDP",Release_Calendar!$B$2:$B$755,$A2585)&gt;0,1,0))</f>
        <v/>
      </c>
      <c r="O2585" s="16" t="str">
        <f>IF($A2585&lt;Notes!$B$5,"",IF(COUNTIFS(Release_Calendar!$A$2:$A$755,"NZ_LABOUR",Release_Calendar!$B$2:$B$755,$A2585)&gt;0,1,0))</f>
        <v/>
      </c>
      <c r="P2585" s="16">
        <f t="shared" si="4"/>
        <v>0</v>
      </c>
    </row>
    <row r="2586" ht="15.75" customHeight="1">
      <c r="A2586" s="14">
        <v>40144.0</v>
      </c>
      <c r="B2586" s="15">
        <v>0.68</v>
      </c>
      <c r="C2586" s="15"/>
      <c r="D2586" s="15">
        <v>4.05</v>
      </c>
      <c r="E2586" s="15">
        <v>4.02</v>
      </c>
      <c r="F2586" s="15" t="str">
        <f t="shared" si="1"/>
        <v/>
      </c>
      <c r="G2586" s="15">
        <f t="shared" si="2"/>
        <v>4.05</v>
      </c>
      <c r="H2586" s="16">
        <v>1.0</v>
      </c>
      <c r="I2586" s="15">
        <f t="shared" si="3"/>
        <v>3.37</v>
      </c>
      <c r="J2586" s="15">
        <v>24.85</v>
      </c>
      <c r="K2586" s="16">
        <f>IF(COUNTIFS(Release_Calendar!$A$2:$A$755,"US_CPI",Release_Calendar!$B$2:$B$755,$A2586)&gt;0,1,0)</f>
        <v>0</v>
      </c>
      <c r="L2586" s="16">
        <f>IF(COUNTIFS(Release_Calendar!$A$2:$A$755,"US_NFP",Release_Calendar!$B$2:$B$755,$A2586)&gt;0,1,0)</f>
        <v>0</v>
      </c>
      <c r="M2586" s="16" t="str">
        <f>IF($A2586&lt;Notes!$B$5,"",IF(COUNTIFS(Release_Calendar!$A$2:$A$755,"NZ_CPI",Release_Calendar!$B$2:$B$755,$A2586)&gt;0,1,0))</f>
        <v/>
      </c>
      <c r="N2586" s="16" t="str">
        <f>IF($A2586&lt;Notes!$B$5,"",IF(COUNTIFS(Release_Calendar!$A$2:$A$755,"NZ_GDP",Release_Calendar!$B$2:$B$755,$A2586)&gt;0,1,0))</f>
        <v/>
      </c>
      <c r="O2586" s="16" t="str">
        <f>IF($A2586&lt;Notes!$B$5,"",IF(COUNTIFS(Release_Calendar!$A$2:$A$755,"NZ_LABOUR",Release_Calendar!$B$2:$B$755,$A2586)&gt;0,1,0))</f>
        <v/>
      </c>
      <c r="P2586" s="16">
        <f t="shared" si="4"/>
        <v>0</v>
      </c>
    </row>
    <row r="2587" ht="15.75" customHeight="1">
      <c r="A2587" s="14">
        <v>40147.0</v>
      </c>
      <c r="B2587" s="15">
        <v>0.67</v>
      </c>
      <c r="C2587" s="15"/>
      <c r="D2587" s="15">
        <v>4.03</v>
      </c>
      <c r="E2587" s="15">
        <v>4.04</v>
      </c>
      <c r="F2587" s="15" t="str">
        <f t="shared" si="1"/>
        <v/>
      </c>
      <c r="G2587" s="15">
        <f t="shared" si="2"/>
        <v>4.03</v>
      </c>
      <c r="H2587" s="16">
        <v>1.0</v>
      </c>
      <c r="I2587" s="15">
        <f t="shared" si="3"/>
        <v>3.36</v>
      </c>
      <c r="J2587" s="15">
        <v>24.51</v>
      </c>
      <c r="K2587" s="16">
        <f>IF(COUNTIFS(Release_Calendar!$A$2:$A$755,"US_CPI",Release_Calendar!$B$2:$B$755,$A2587)&gt;0,1,0)</f>
        <v>0</v>
      </c>
      <c r="L2587" s="16">
        <f>IF(COUNTIFS(Release_Calendar!$A$2:$A$755,"US_NFP",Release_Calendar!$B$2:$B$755,$A2587)&gt;0,1,0)</f>
        <v>0</v>
      </c>
      <c r="M2587" s="16" t="str">
        <f>IF($A2587&lt;Notes!$B$5,"",IF(COUNTIFS(Release_Calendar!$A$2:$A$755,"NZ_CPI",Release_Calendar!$B$2:$B$755,$A2587)&gt;0,1,0))</f>
        <v/>
      </c>
      <c r="N2587" s="16" t="str">
        <f>IF($A2587&lt;Notes!$B$5,"",IF(COUNTIFS(Release_Calendar!$A$2:$A$755,"NZ_GDP",Release_Calendar!$B$2:$B$755,$A2587)&gt;0,1,0))</f>
        <v/>
      </c>
      <c r="O2587" s="16" t="str">
        <f>IF($A2587&lt;Notes!$B$5,"",IF(COUNTIFS(Release_Calendar!$A$2:$A$755,"NZ_LABOUR",Release_Calendar!$B$2:$B$755,$A2587)&gt;0,1,0))</f>
        <v/>
      </c>
      <c r="P2587" s="16">
        <f t="shared" si="4"/>
        <v>0</v>
      </c>
    </row>
    <row r="2588" ht="15.75" customHeight="1">
      <c r="A2588" s="14">
        <v>40148.0</v>
      </c>
      <c r="B2588" s="15">
        <v>0.67</v>
      </c>
      <c r="C2588" s="15"/>
      <c r="D2588" s="15">
        <v>4.04</v>
      </c>
      <c r="E2588" s="15">
        <v>4.04</v>
      </c>
      <c r="F2588" s="15" t="str">
        <f t="shared" si="1"/>
        <v/>
      </c>
      <c r="G2588" s="15">
        <f t="shared" si="2"/>
        <v>4.04</v>
      </c>
      <c r="H2588" s="16">
        <v>1.0</v>
      </c>
      <c r="I2588" s="15">
        <f t="shared" si="3"/>
        <v>3.37</v>
      </c>
      <c r="J2588" s="15">
        <v>21.92</v>
      </c>
      <c r="K2588" s="16">
        <f>IF(COUNTIFS(Release_Calendar!$A$2:$A$755,"US_CPI",Release_Calendar!$B$2:$B$755,$A2588)&gt;0,1,0)</f>
        <v>0</v>
      </c>
      <c r="L2588" s="16">
        <f>IF(COUNTIFS(Release_Calendar!$A$2:$A$755,"US_NFP",Release_Calendar!$B$2:$B$755,$A2588)&gt;0,1,0)</f>
        <v>0</v>
      </c>
      <c r="M2588" s="16" t="str">
        <f>IF($A2588&lt;Notes!$B$5,"",IF(COUNTIFS(Release_Calendar!$A$2:$A$755,"NZ_CPI",Release_Calendar!$B$2:$B$755,$A2588)&gt;0,1,0))</f>
        <v/>
      </c>
      <c r="N2588" s="16" t="str">
        <f>IF($A2588&lt;Notes!$B$5,"",IF(COUNTIFS(Release_Calendar!$A$2:$A$755,"NZ_GDP",Release_Calendar!$B$2:$B$755,$A2588)&gt;0,1,0))</f>
        <v/>
      </c>
      <c r="O2588" s="16" t="str">
        <f>IF($A2588&lt;Notes!$B$5,"",IF(COUNTIFS(Release_Calendar!$A$2:$A$755,"NZ_LABOUR",Release_Calendar!$B$2:$B$755,$A2588)&gt;0,1,0))</f>
        <v/>
      </c>
      <c r="P2588" s="16">
        <f t="shared" si="4"/>
        <v>0</v>
      </c>
    </row>
    <row r="2589" ht="15.75" customHeight="1">
      <c r="A2589" s="14">
        <v>40149.0</v>
      </c>
      <c r="B2589" s="15">
        <v>0.72</v>
      </c>
      <c r="C2589" s="15"/>
      <c r="D2589" s="15">
        <v>4.04</v>
      </c>
      <c r="E2589" s="15">
        <v>4.05</v>
      </c>
      <c r="F2589" s="15" t="str">
        <f t="shared" si="1"/>
        <v/>
      </c>
      <c r="G2589" s="15">
        <f t="shared" si="2"/>
        <v>4.04</v>
      </c>
      <c r="H2589" s="16">
        <v>1.0</v>
      </c>
      <c r="I2589" s="15">
        <f t="shared" si="3"/>
        <v>3.32</v>
      </c>
      <c r="J2589" s="15">
        <v>21.12</v>
      </c>
      <c r="K2589" s="16">
        <f>IF(COUNTIFS(Release_Calendar!$A$2:$A$755,"US_CPI",Release_Calendar!$B$2:$B$755,$A2589)&gt;0,1,0)</f>
        <v>0</v>
      </c>
      <c r="L2589" s="16">
        <f>IF(COUNTIFS(Release_Calendar!$A$2:$A$755,"US_NFP",Release_Calendar!$B$2:$B$755,$A2589)&gt;0,1,0)</f>
        <v>0</v>
      </c>
      <c r="M2589" s="16" t="str">
        <f>IF($A2589&lt;Notes!$B$5,"",IF(COUNTIFS(Release_Calendar!$A$2:$A$755,"NZ_CPI",Release_Calendar!$B$2:$B$755,$A2589)&gt;0,1,0))</f>
        <v/>
      </c>
      <c r="N2589" s="16" t="str">
        <f>IF($A2589&lt;Notes!$B$5,"",IF(COUNTIFS(Release_Calendar!$A$2:$A$755,"NZ_GDP",Release_Calendar!$B$2:$B$755,$A2589)&gt;0,1,0))</f>
        <v/>
      </c>
      <c r="O2589" s="16" t="str">
        <f>IF($A2589&lt;Notes!$B$5,"",IF(COUNTIFS(Release_Calendar!$A$2:$A$755,"NZ_LABOUR",Release_Calendar!$B$2:$B$755,$A2589)&gt;0,1,0))</f>
        <v/>
      </c>
      <c r="P2589" s="16">
        <f t="shared" si="4"/>
        <v>0</v>
      </c>
    </row>
    <row r="2590" ht="15.75" customHeight="1">
      <c r="A2590" s="14">
        <v>40150.0</v>
      </c>
      <c r="B2590" s="15">
        <v>0.74</v>
      </c>
      <c r="C2590" s="15"/>
      <c r="D2590" s="15">
        <v>4.05</v>
      </c>
      <c r="E2590" s="15">
        <v>4.05</v>
      </c>
      <c r="F2590" s="15" t="str">
        <f t="shared" si="1"/>
        <v/>
      </c>
      <c r="G2590" s="15">
        <f t="shared" si="2"/>
        <v>4.05</v>
      </c>
      <c r="H2590" s="16">
        <v>1.0</v>
      </c>
      <c r="I2590" s="15">
        <f t="shared" si="3"/>
        <v>3.31</v>
      </c>
      <c r="J2590" s="15">
        <v>22.46</v>
      </c>
      <c r="K2590" s="16">
        <f>IF(COUNTIFS(Release_Calendar!$A$2:$A$755,"US_CPI",Release_Calendar!$B$2:$B$755,$A2590)&gt;0,1,0)</f>
        <v>0</v>
      </c>
      <c r="L2590" s="16">
        <f>IF(COUNTIFS(Release_Calendar!$A$2:$A$755,"US_NFP",Release_Calendar!$B$2:$B$755,$A2590)&gt;0,1,0)</f>
        <v>0</v>
      </c>
      <c r="M2590" s="16" t="str">
        <f>IF($A2590&lt;Notes!$B$5,"",IF(COUNTIFS(Release_Calendar!$A$2:$A$755,"NZ_CPI",Release_Calendar!$B$2:$B$755,$A2590)&gt;0,1,0))</f>
        <v/>
      </c>
      <c r="N2590" s="16" t="str">
        <f>IF($A2590&lt;Notes!$B$5,"",IF(COUNTIFS(Release_Calendar!$A$2:$A$755,"NZ_GDP",Release_Calendar!$B$2:$B$755,$A2590)&gt;0,1,0))</f>
        <v/>
      </c>
      <c r="O2590" s="16" t="str">
        <f>IF($A2590&lt;Notes!$B$5,"",IF(COUNTIFS(Release_Calendar!$A$2:$A$755,"NZ_LABOUR",Release_Calendar!$B$2:$B$755,$A2590)&gt;0,1,0))</f>
        <v/>
      </c>
      <c r="P2590" s="16">
        <f t="shared" si="4"/>
        <v>0</v>
      </c>
    </row>
    <row r="2591" ht="15.75" customHeight="1">
      <c r="A2591" s="14">
        <v>40151.0</v>
      </c>
      <c r="B2591" s="15">
        <v>0.84</v>
      </c>
      <c r="C2591" s="15"/>
      <c r="D2591" s="15">
        <v>4.05</v>
      </c>
      <c r="E2591" s="15">
        <v>4.05</v>
      </c>
      <c r="F2591" s="15" t="str">
        <f t="shared" si="1"/>
        <v/>
      </c>
      <c r="G2591" s="15">
        <f t="shared" si="2"/>
        <v>4.05</v>
      </c>
      <c r="H2591" s="16">
        <v>1.0</v>
      </c>
      <c r="I2591" s="15">
        <f t="shared" si="3"/>
        <v>3.21</v>
      </c>
      <c r="J2591" s="15">
        <v>21.25</v>
      </c>
      <c r="K2591" s="16">
        <f>IF(COUNTIFS(Release_Calendar!$A$2:$A$755,"US_CPI",Release_Calendar!$B$2:$B$755,$A2591)&gt;0,1,0)</f>
        <v>0</v>
      </c>
      <c r="L2591" s="16">
        <f>IF(COUNTIFS(Release_Calendar!$A$2:$A$755,"US_NFP",Release_Calendar!$B$2:$B$755,$A2591)&gt;0,1,0)</f>
        <v>1</v>
      </c>
      <c r="M2591" s="16" t="str">
        <f>IF($A2591&lt;Notes!$B$5,"",IF(COUNTIFS(Release_Calendar!$A$2:$A$755,"NZ_CPI",Release_Calendar!$B$2:$B$755,$A2591)&gt;0,1,0))</f>
        <v/>
      </c>
      <c r="N2591" s="16" t="str">
        <f>IF($A2591&lt;Notes!$B$5,"",IF(COUNTIFS(Release_Calendar!$A$2:$A$755,"NZ_GDP",Release_Calendar!$B$2:$B$755,$A2591)&gt;0,1,0))</f>
        <v/>
      </c>
      <c r="O2591" s="16" t="str">
        <f>IF($A2591&lt;Notes!$B$5,"",IF(COUNTIFS(Release_Calendar!$A$2:$A$755,"NZ_LABOUR",Release_Calendar!$B$2:$B$755,$A2591)&gt;0,1,0))</f>
        <v/>
      </c>
      <c r="P2591" s="16">
        <f t="shared" si="4"/>
        <v>1</v>
      </c>
    </row>
    <row r="2592" ht="15.75" customHeight="1">
      <c r="A2592" s="14">
        <v>40154.0</v>
      </c>
      <c r="B2592" s="15">
        <v>0.78</v>
      </c>
      <c r="C2592" s="15"/>
      <c r="D2592" s="15">
        <v>4.13</v>
      </c>
      <c r="E2592" s="15">
        <v>4.12</v>
      </c>
      <c r="F2592" s="15" t="str">
        <f t="shared" si="1"/>
        <v/>
      </c>
      <c r="G2592" s="15">
        <f t="shared" si="2"/>
        <v>4.13</v>
      </c>
      <c r="H2592" s="16">
        <v>1.0</v>
      </c>
      <c r="I2592" s="15">
        <f t="shared" si="3"/>
        <v>3.35</v>
      </c>
      <c r="J2592" s="15">
        <v>22.1</v>
      </c>
      <c r="K2592" s="16">
        <f>IF(COUNTIFS(Release_Calendar!$A$2:$A$755,"US_CPI",Release_Calendar!$B$2:$B$755,$A2592)&gt;0,1,0)</f>
        <v>0</v>
      </c>
      <c r="L2592" s="16">
        <f>IF(COUNTIFS(Release_Calendar!$A$2:$A$755,"US_NFP",Release_Calendar!$B$2:$B$755,$A2592)&gt;0,1,0)</f>
        <v>0</v>
      </c>
      <c r="M2592" s="16" t="str">
        <f>IF($A2592&lt;Notes!$B$5,"",IF(COUNTIFS(Release_Calendar!$A$2:$A$755,"NZ_CPI",Release_Calendar!$B$2:$B$755,$A2592)&gt;0,1,0))</f>
        <v/>
      </c>
      <c r="N2592" s="16" t="str">
        <f>IF($A2592&lt;Notes!$B$5,"",IF(COUNTIFS(Release_Calendar!$A$2:$A$755,"NZ_GDP",Release_Calendar!$B$2:$B$755,$A2592)&gt;0,1,0))</f>
        <v/>
      </c>
      <c r="O2592" s="16" t="str">
        <f>IF($A2592&lt;Notes!$B$5,"",IF(COUNTIFS(Release_Calendar!$A$2:$A$755,"NZ_LABOUR",Release_Calendar!$B$2:$B$755,$A2592)&gt;0,1,0))</f>
        <v/>
      </c>
      <c r="P2592" s="16">
        <f t="shared" si="4"/>
        <v>0</v>
      </c>
    </row>
    <row r="2593" ht="15.75" customHeight="1">
      <c r="A2593" s="14">
        <v>40155.0</v>
      </c>
      <c r="B2593" s="15">
        <v>0.73</v>
      </c>
      <c r="C2593" s="15"/>
      <c r="D2593" s="15">
        <v>4.1</v>
      </c>
      <c r="E2593" s="15">
        <v>4.12</v>
      </c>
      <c r="F2593" s="15" t="str">
        <f t="shared" si="1"/>
        <v/>
      </c>
      <c r="G2593" s="15">
        <f t="shared" si="2"/>
        <v>4.1</v>
      </c>
      <c r="H2593" s="16">
        <v>1.0</v>
      </c>
      <c r="I2593" s="15">
        <f t="shared" si="3"/>
        <v>3.37</v>
      </c>
      <c r="J2593" s="15">
        <v>23.69</v>
      </c>
      <c r="K2593" s="16">
        <f>IF(COUNTIFS(Release_Calendar!$A$2:$A$755,"US_CPI",Release_Calendar!$B$2:$B$755,$A2593)&gt;0,1,0)</f>
        <v>0</v>
      </c>
      <c r="L2593" s="16">
        <f>IF(COUNTIFS(Release_Calendar!$A$2:$A$755,"US_NFP",Release_Calendar!$B$2:$B$755,$A2593)&gt;0,1,0)</f>
        <v>0</v>
      </c>
      <c r="M2593" s="16" t="str">
        <f>IF($A2593&lt;Notes!$B$5,"",IF(COUNTIFS(Release_Calendar!$A$2:$A$755,"NZ_CPI",Release_Calendar!$B$2:$B$755,$A2593)&gt;0,1,0))</f>
        <v/>
      </c>
      <c r="N2593" s="16" t="str">
        <f>IF($A2593&lt;Notes!$B$5,"",IF(COUNTIFS(Release_Calendar!$A$2:$A$755,"NZ_GDP",Release_Calendar!$B$2:$B$755,$A2593)&gt;0,1,0))</f>
        <v/>
      </c>
      <c r="O2593" s="16" t="str">
        <f>IF($A2593&lt;Notes!$B$5,"",IF(COUNTIFS(Release_Calendar!$A$2:$A$755,"NZ_LABOUR",Release_Calendar!$B$2:$B$755,$A2593)&gt;0,1,0))</f>
        <v/>
      </c>
      <c r="P2593" s="16">
        <f t="shared" si="4"/>
        <v>0</v>
      </c>
    </row>
    <row r="2594" ht="15.75" customHeight="1">
      <c r="A2594" s="14">
        <v>40156.0</v>
      </c>
      <c r="B2594" s="15">
        <v>0.76</v>
      </c>
      <c r="C2594" s="15"/>
      <c r="D2594" s="15">
        <v>4.05</v>
      </c>
      <c r="E2594" s="15">
        <v>4.07</v>
      </c>
      <c r="F2594" s="15" t="str">
        <f t="shared" si="1"/>
        <v/>
      </c>
      <c r="G2594" s="15">
        <f t="shared" si="2"/>
        <v>4.05</v>
      </c>
      <c r="H2594" s="16">
        <v>1.0</v>
      </c>
      <c r="I2594" s="15">
        <f t="shared" si="3"/>
        <v>3.29</v>
      </c>
      <c r="J2594" s="15">
        <v>22.66</v>
      </c>
      <c r="K2594" s="16">
        <f>IF(COUNTIFS(Release_Calendar!$A$2:$A$755,"US_CPI",Release_Calendar!$B$2:$B$755,$A2594)&gt;0,1,0)</f>
        <v>0</v>
      </c>
      <c r="L2594" s="16">
        <f>IF(COUNTIFS(Release_Calendar!$A$2:$A$755,"US_NFP",Release_Calendar!$B$2:$B$755,$A2594)&gt;0,1,0)</f>
        <v>0</v>
      </c>
      <c r="M2594" s="16" t="str">
        <f>IF($A2594&lt;Notes!$B$5,"",IF(COUNTIFS(Release_Calendar!$A$2:$A$755,"NZ_CPI",Release_Calendar!$B$2:$B$755,$A2594)&gt;0,1,0))</f>
        <v/>
      </c>
      <c r="N2594" s="16" t="str">
        <f>IF($A2594&lt;Notes!$B$5,"",IF(COUNTIFS(Release_Calendar!$A$2:$A$755,"NZ_GDP",Release_Calendar!$B$2:$B$755,$A2594)&gt;0,1,0))</f>
        <v/>
      </c>
      <c r="O2594" s="16" t="str">
        <f>IF($A2594&lt;Notes!$B$5,"",IF(COUNTIFS(Release_Calendar!$A$2:$A$755,"NZ_LABOUR",Release_Calendar!$B$2:$B$755,$A2594)&gt;0,1,0))</f>
        <v/>
      </c>
      <c r="P2594" s="16">
        <f t="shared" si="4"/>
        <v>0</v>
      </c>
    </row>
    <row r="2595" ht="15.75" customHeight="1">
      <c r="A2595" s="14">
        <v>40157.0</v>
      </c>
      <c r="B2595" s="15">
        <v>0.78</v>
      </c>
      <c r="C2595" s="15"/>
      <c r="D2595" s="15">
        <v>4.21</v>
      </c>
      <c r="E2595" s="15">
        <v>4.25</v>
      </c>
      <c r="F2595" s="15" t="str">
        <f t="shared" si="1"/>
        <v/>
      </c>
      <c r="G2595" s="15">
        <f t="shared" si="2"/>
        <v>4.21</v>
      </c>
      <c r="H2595" s="16">
        <v>1.0</v>
      </c>
      <c r="I2595" s="15">
        <f t="shared" si="3"/>
        <v>3.43</v>
      </c>
      <c r="J2595" s="15">
        <v>22.32</v>
      </c>
      <c r="K2595" s="16">
        <f>IF(COUNTIFS(Release_Calendar!$A$2:$A$755,"US_CPI",Release_Calendar!$B$2:$B$755,$A2595)&gt;0,1,0)</f>
        <v>0</v>
      </c>
      <c r="L2595" s="16">
        <f>IF(COUNTIFS(Release_Calendar!$A$2:$A$755,"US_NFP",Release_Calendar!$B$2:$B$755,$A2595)&gt;0,1,0)</f>
        <v>0</v>
      </c>
      <c r="M2595" s="16" t="str">
        <f>IF($A2595&lt;Notes!$B$5,"",IF(COUNTIFS(Release_Calendar!$A$2:$A$755,"NZ_CPI",Release_Calendar!$B$2:$B$755,$A2595)&gt;0,1,0))</f>
        <v/>
      </c>
      <c r="N2595" s="16" t="str">
        <f>IF($A2595&lt;Notes!$B$5,"",IF(COUNTIFS(Release_Calendar!$A$2:$A$755,"NZ_GDP",Release_Calendar!$B$2:$B$755,$A2595)&gt;0,1,0))</f>
        <v/>
      </c>
      <c r="O2595" s="16" t="str">
        <f>IF($A2595&lt;Notes!$B$5,"",IF(COUNTIFS(Release_Calendar!$A$2:$A$755,"NZ_LABOUR",Release_Calendar!$B$2:$B$755,$A2595)&gt;0,1,0))</f>
        <v/>
      </c>
      <c r="P2595" s="16">
        <f t="shared" si="4"/>
        <v>0</v>
      </c>
    </row>
    <row r="2596" ht="15.75" customHeight="1">
      <c r="A2596" s="14">
        <v>40158.0</v>
      </c>
      <c r="B2596" s="15">
        <v>0.83</v>
      </c>
      <c r="C2596" s="15"/>
      <c r="D2596" s="15">
        <v>4.29</v>
      </c>
      <c r="E2596" s="15">
        <v>4.3</v>
      </c>
      <c r="F2596" s="15" t="str">
        <f t="shared" si="1"/>
        <v/>
      </c>
      <c r="G2596" s="15">
        <f t="shared" si="2"/>
        <v>4.29</v>
      </c>
      <c r="H2596" s="16">
        <v>1.0</v>
      </c>
      <c r="I2596" s="15">
        <f t="shared" si="3"/>
        <v>3.46</v>
      </c>
      <c r="J2596" s="15">
        <v>21.59</v>
      </c>
      <c r="K2596" s="16">
        <f>IF(COUNTIFS(Release_Calendar!$A$2:$A$755,"US_CPI",Release_Calendar!$B$2:$B$755,$A2596)&gt;0,1,0)</f>
        <v>0</v>
      </c>
      <c r="L2596" s="16">
        <f>IF(COUNTIFS(Release_Calendar!$A$2:$A$755,"US_NFP",Release_Calendar!$B$2:$B$755,$A2596)&gt;0,1,0)</f>
        <v>0</v>
      </c>
      <c r="M2596" s="16" t="str">
        <f>IF($A2596&lt;Notes!$B$5,"",IF(COUNTIFS(Release_Calendar!$A$2:$A$755,"NZ_CPI",Release_Calendar!$B$2:$B$755,$A2596)&gt;0,1,0))</f>
        <v/>
      </c>
      <c r="N2596" s="16" t="str">
        <f>IF($A2596&lt;Notes!$B$5,"",IF(COUNTIFS(Release_Calendar!$A$2:$A$755,"NZ_GDP",Release_Calendar!$B$2:$B$755,$A2596)&gt;0,1,0))</f>
        <v/>
      </c>
      <c r="O2596" s="16" t="str">
        <f>IF($A2596&lt;Notes!$B$5,"",IF(COUNTIFS(Release_Calendar!$A$2:$A$755,"NZ_LABOUR",Release_Calendar!$B$2:$B$755,$A2596)&gt;0,1,0))</f>
        <v/>
      </c>
      <c r="P2596" s="16">
        <f t="shared" si="4"/>
        <v>0</v>
      </c>
    </row>
    <row r="2597" ht="15.75" customHeight="1">
      <c r="A2597" s="14">
        <v>40161.0</v>
      </c>
      <c r="B2597" s="15">
        <v>0.87</v>
      </c>
      <c r="C2597" s="15"/>
      <c r="D2597" s="15">
        <v>4.34</v>
      </c>
      <c r="E2597" s="15">
        <v>4.33</v>
      </c>
      <c r="F2597" s="15" t="str">
        <f t="shared" si="1"/>
        <v/>
      </c>
      <c r="G2597" s="15">
        <f t="shared" si="2"/>
        <v>4.34</v>
      </c>
      <c r="H2597" s="16">
        <v>1.0</v>
      </c>
      <c r="I2597" s="15">
        <f t="shared" si="3"/>
        <v>3.47</v>
      </c>
      <c r="J2597" s="15">
        <v>21.15</v>
      </c>
      <c r="K2597" s="16">
        <f>IF(COUNTIFS(Release_Calendar!$A$2:$A$755,"US_CPI",Release_Calendar!$B$2:$B$755,$A2597)&gt;0,1,0)</f>
        <v>0</v>
      </c>
      <c r="L2597" s="16">
        <f>IF(COUNTIFS(Release_Calendar!$A$2:$A$755,"US_NFP",Release_Calendar!$B$2:$B$755,$A2597)&gt;0,1,0)</f>
        <v>0</v>
      </c>
      <c r="M2597" s="16" t="str">
        <f>IF($A2597&lt;Notes!$B$5,"",IF(COUNTIFS(Release_Calendar!$A$2:$A$755,"NZ_CPI",Release_Calendar!$B$2:$B$755,$A2597)&gt;0,1,0))</f>
        <v/>
      </c>
      <c r="N2597" s="16" t="str">
        <f>IF($A2597&lt;Notes!$B$5,"",IF(COUNTIFS(Release_Calendar!$A$2:$A$755,"NZ_GDP",Release_Calendar!$B$2:$B$755,$A2597)&gt;0,1,0))</f>
        <v/>
      </c>
      <c r="O2597" s="16" t="str">
        <f>IF($A2597&lt;Notes!$B$5,"",IF(COUNTIFS(Release_Calendar!$A$2:$A$755,"NZ_LABOUR",Release_Calendar!$B$2:$B$755,$A2597)&gt;0,1,0))</f>
        <v/>
      </c>
      <c r="P2597" s="16">
        <f t="shared" si="4"/>
        <v>0</v>
      </c>
    </row>
    <row r="2598" ht="15.75" customHeight="1">
      <c r="A2598" s="14">
        <v>40162.0</v>
      </c>
      <c r="B2598" s="15">
        <v>0.88</v>
      </c>
      <c r="C2598" s="15"/>
      <c r="D2598" s="15">
        <v>4.36</v>
      </c>
      <c r="E2598" s="15">
        <v>4.31</v>
      </c>
      <c r="F2598" s="15" t="str">
        <f t="shared" si="1"/>
        <v/>
      </c>
      <c r="G2598" s="15">
        <f t="shared" si="2"/>
        <v>4.36</v>
      </c>
      <c r="H2598" s="16">
        <v>1.0</v>
      </c>
      <c r="I2598" s="15">
        <f t="shared" si="3"/>
        <v>3.48</v>
      </c>
      <c r="J2598" s="15">
        <v>21.49</v>
      </c>
      <c r="K2598" s="16">
        <f>IF(COUNTIFS(Release_Calendar!$A$2:$A$755,"US_CPI",Release_Calendar!$B$2:$B$755,$A2598)&gt;0,1,0)</f>
        <v>0</v>
      </c>
      <c r="L2598" s="16">
        <f>IF(COUNTIFS(Release_Calendar!$A$2:$A$755,"US_NFP",Release_Calendar!$B$2:$B$755,$A2598)&gt;0,1,0)</f>
        <v>0</v>
      </c>
      <c r="M2598" s="16" t="str">
        <f>IF($A2598&lt;Notes!$B$5,"",IF(COUNTIFS(Release_Calendar!$A$2:$A$755,"NZ_CPI",Release_Calendar!$B$2:$B$755,$A2598)&gt;0,1,0))</f>
        <v/>
      </c>
      <c r="N2598" s="16" t="str">
        <f>IF($A2598&lt;Notes!$B$5,"",IF(COUNTIFS(Release_Calendar!$A$2:$A$755,"NZ_GDP",Release_Calendar!$B$2:$B$755,$A2598)&gt;0,1,0))</f>
        <v/>
      </c>
      <c r="O2598" s="16" t="str">
        <f>IF($A2598&lt;Notes!$B$5,"",IF(COUNTIFS(Release_Calendar!$A$2:$A$755,"NZ_LABOUR",Release_Calendar!$B$2:$B$755,$A2598)&gt;0,1,0))</f>
        <v/>
      </c>
      <c r="P2598" s="16">
        <f t="shared" si="4"/>
        <v>0</v>
      </c>
    </row>
    <row r="2599" ht="15.75" customHeight="1">
      <c r="A2599" s="14">
        <v>40163.0</v>
      </c>
      <c r="B2599" s="15">
        <v>0.85</v>
      </c>
      <c r="C2599" s="15"/>
      <c r="D2599" s="15">
        <v>4.33</v>
      </c>
      <c r="E2599" s="15">
        <v>4.27</v>
      </c>
      <c r="F2599" s="15" t="str">
        <f t="shared" si="1"/>
        <v/>
      </c>
      <c r="G2599" s="15">
        <f t="shared" si="2"/>
        <v>4.33</v>
      </c>
      <c r="H2599" s="16">
        <v>1.0</v>
      </c>
      <c r="I2599" s="15">
        <f t="shared" si="3"/>
        <v>3.48</v>
      </c>
      <c r="J2599" s="15">
        <v>20.54</v>
      </c>
      <c r="K2599" s="16">
        <f>IF(COUNTIFS(Release_Calendar!$A$2:$A$755,"US_CPI",Release_Calendar!$B$2:$B$755,$A2599)&gt;0,1,0)</f>
        <v>1</v>
      </c>
      <c r="L2599" s="16">
        <f>IF(COUNTIFS(Release_Calendar!$A$2:$A$755,"US_NFP",Release_Calendar!$B$2:$B$755,$A2599)&gt;0,1,0)</f>
        <v>0</v>
      </c>
      <c r="M2599" s="16" t="str">
        <f>IF($A2599&lt;Notes!$B$5,"",IF(COUNTIFS(Release_Calendar!$A$2:$A$755,"NZ_CPI",Release_Calendar!$B$2:$B$755,$A2599)&gt;0,1,0))</f>
        <v/>
      </c>
      <c r="N2599" s="16" t="str">
        <f>IF($A2599&lt;Notes!$B$5,"",IF(COUNTIFS(Release_Calendar!$A$2:$A$755,"NZ_GDP",Release_Calendar!$B$2:$B$755,$A2599)&gt;0,1,0))</f>
        <v/>
      </c>
      <c r="O2599" s="16" t="str">
        <f>IF($A2599&lt;Notes!$B$5,"",IF(COUNTIFS(Release_Calendar!$A$2:$A$755,"NZ_LABOUR",Release_Calendar!$B$2:$B$755,$A2599)&gt;0,1,0))</f>
        <v/>
      </c>
      <c r="P2599" s="16">
        <f t="shared" si="4"/>
        <v>1</v>
      </c>
    </row>
    <row r="2600" ht="15.75" customHeight="1">
      <c r="A2600" s="14">
        <v>40164.0</v>
      </c>
      <c r="B2600" s="15">
        <v>0.77</v>
      </c>
      <c r="C2600" s="15"/>
      <c r="D2600" s="15">
        <v>4.27</v>
      </c>
      <c r="E2600" s="15">
        <v>4.27</v>
      </c>
      <c r="F2600" s="15" t="str">
        <f t="shared" si="1"/>
        <v/>
      </c>
      <c r="G2600" s="15">
        <f t="shared" si="2"/>
        <v>4.27</v>
      </c>
      <c r="H2600" s="16">
        <v>1.0</v>
      </c>
      <c r="I2600" s="15">
        <f t="shared" si="3"/>
        <v>3.5</v>
      </c>
      <c r="J2600" s="15">
        <v>22.51</v>
      </c>
      <c r="K2600" s="16">
        <f>IF(COUNTIFS(Release_Calendar!$A$2:$A$755,"US_CPI",Release_Calendar!$B$2:$B$755,$A2600)&gt;0,1,0)</f>
        <v>0</v>
      </c>
      <c r="L2600" s="16">
        <f>IF(COUNTIFS(Release_Calendar!$A$2:$A$755,"US_NFP",Release_Calendar!$B$2:$B$755,$A2600)&gt;0,1,0)</f>
        <v>0</v>
      </c>
      <c r="M2600" s="16" t="str">
        <f>IF($A2600&lt;Notes!$B$5,"",IF(COUNTIFS(Release_Calendar!$A$2:$A$755,"NZ_CPI",Release_Calendar!$B$2:$B$755,$A2600)&gt;0,1,0))</f>
        <v/>
      </c>
      <c r="N2600" s="16" t="str">
        <f>IF($A2600&lt;Notes!$B$5,"",IF(COUNTIFS(Release_Calendar!$A$2:$A$755,"NZ_GDP",Release_Calendar!$B$2:$B$755,$A2600)&gt;0,1,0))</f>
        <v/>
      </c>
      <c r="O2600" s="16" t="str">
        <f>IF($A2600&lt;Notes!$B$5,"",IF(COUNTIFS(Release_Calendar!$A$2:$A$755,"NZ_LABOUR",Release_Calendar!$B$2:$B$755,$A2600)&gt;0,1,0))</f>
        <v/>
      </c>
      <c r="P2600" s="16">
        <f t="shared" si="4"/>
        <v>0</v>
      </c>
    </row>
    <row r="2601" ht="15.75" customHeight="1">
      <c r="A2601" s="14">
        <v>40165.0</v>
      </c>
      <c r="B2601" s="15">
        <v>0.82</v>
      </c>
      <c r="C2601" s="15"/>
      <c r="D2601" s="15">
        <v>4.25</v>
      </c>
      <c r="E2601" s="15">
        <v>4.22</v>
      </c>
      <c r="F2601" s="15" t="str">
        <f t="shared" si="1"/>
        <v/>
      </c>
      <c r="G2601" s="15">
        <f t="shared" si="2"/>
        <v>4.25</v>
      </c>
      <c r="H2601" s="16">
        <v>1.0</v>
      </c>
      <c r="I2601" s="15">
        <f t="shared" si="3"/>
        <v>3.43</v>
      </c>
      <c r="J2601" s="15">
        <v>21.68</v>
      </c>
      <c r="K2601" s="16">
        <f>IF(COUNTIFS(Release_Calendar!$A$2:$A$755,"US_CPI",Release_Calendar!$B$2:$B$755,$A2601)&gt;0,1,0)</f>
        <v>0</v>
      </c>
      <c r="L2601" s="16">
        <f>IF(COUNTIFS(Release_Calendar!$A$2:$A$755,"US_NFP",Release_Calendar!$B$2:$B$755,$A2601)&gt;0,1,0)</f>
        <v>0</v>
      </c>
      <c r="M2601" s="16" t="str">
        <f>IF($A2601&lt;Notes!$B$5,"",IF(COUNTIFS(Release_Calendar!$A$2:$A$755,"NZ_CPI",Release_Calendar!$B$2:$B$755,$A2601)&gt;0,1,0))</f>
        <v/>
      </c>
      <c r="N2601" s="16" t="str">
        <f>IF($A2601&lt;Notes!$B$5,"",IF(COUNTIFS(Release_Calendar!$A$2:$A$755,"NZ_GDP",Release_Calendar!$B$2:$B$755,$A2601)&gt;0,1,0))</f>
        <v/>
      </c>
      <c r="O2601" s="16" t="str">
        <f>IF($A2601&lt;Notes!$B$5,"",IF(COUNTIFS(Release_Calendar!$A$2:$A$755,"NZ_LABOUR",Release_Calendar!$B$2:$B$755,$A2601)&gt;0,1,0))</f>
        <v/>
      </c>
      <c r="P2601" s="16">
        <f t="shared" si="4"/>
        <v>0</v>
      </c>
    </row>
    <row r="2602" ht="15.75" customHeight="1">
      <c r="A2602" s="14">
        <v>40168.0</v>
      </c>
      <c r="B2602" s="15">
        <v>0.89</v>
      </c>
      <c r="C2602" s="15"/>
      <c r="D2602" s="15">
        <v>4.22</v>
      </c>
      <c r="E2602" s="15">
        <v>4.22</v>
      </c>
      <c r="F2602" s="15" t="str">
        <f t="shared" si="1"/>
        <v/>
      </c>
      <c r="G2602" s="15">
        <f t="shared" si="2"/>
        <v>4.22</v>
      </c>
      <c r="H2602" s="16">
        <v>1.0</v>
      </c>
      <c r="I2602" s="15">
        <f t="shared" si="3"/>
        <v>3.33</v>
      </c>
      <c r="J2602" s="15">
        <v>20.49</v>
      </c>
      <c r="K2602" s="16">
        <f>IF(COUNTIFS(Release_Calendar!$A$2:$A$755,"US_CPI",Release_Calendar!$B$2:$B$755,$A2602)&gt;0,1,0)</f>
        <v>0</v>
      </c>
      <c r="L2602" s="16">
        <f>IF(COUNTIFS(Release_Calendar!$A$2:$A$755,"US_NFP",Release_Calendar!$B$2:$B$755,$A2602)&gt;0,1,0)</f>
        <v>0</v>
      </c>
      <c r="M2602" s="16" t="str">
        <f>IF($A2602&lt;Notes!$B$5,"",IF(COUNTIFS(Release_Calendar!$A$2:$A$755,"NZ_CPI",Release_Calendar!$B$2:$B$755,$A2602)&gt;0,1,0))</f>
        <v/>
      </c>
      <c r="N2602" s="16" t="str">
        <f>IF($A2602&lt;Notes!$B$5,"",IF(COUNTIFS(Release_Calendar!$A$2:$A$755,"NZ_GDP",Release_Calendar!$B$2:$B$755,$A2602)&gt;0,1,0))</f>
        <v/>
      </c>
      <c r="O2602" s="16" t="str">
        <f>IF($A2602&lt;Notes!$B$5,"",IF(COUNTIFS(Release_Calendar!$A$2:$A$755,"NZ_LABOUR",Release_Calendar!$B$2:$B$755,$A2602)&gt;0,1,0))</f>
        <v/>
      </c>
      <c r="P2602" s="16">
        <f t="shared" si="4"/>
        <v>0</v>
      </c>
    </row>
    <row r="2603" ht="15.75" customHeight="1">
      <c r="A2603" s="14">
        <v>40169.0</v>
      </c>
      <c r="B2603" s="15">
        <v>0.95</v>
      </c>
      <c r="C2603" s="15"/>
      <c r="D2603" s="15">
        <v>4.26</v>
      </c>
      <c r="E2603" s="15">
        <v>4.26</v>
      </c>
      <c r="F2603" s="15" t="str">
        <f t="shared" si="1"/>
        <v/>
      </c>
      <c r="G2603" s="15">
        <f t="shared" si="2"/>
        <v>4.26</v>
      </c>
      <c r="H2603" s="16">
        <v>1.0</v>
      </c>
      <c r="I2603" s="15">
        <f t="shared" si="3"/>
        <v>3.31</v>
      </c>
      <c r="J2603" s="15">
        <v>19.54</v>
      </c>
      <c r="K2603" s="16">
        <f>IF(COUNTIFS(Release_Calendar!$A$2:$A$755,"US_CPI",Release_Calendar!$B$2:$B$755,$A2603)&gt;0,1,0)</f>
        <v>0</v>
      </c>
      <c r="L2603" s="16">
        <f>IF(COUNTIFS(Release_Calendar!$A$2:$A$755,"US_NFP",Release_Calendar!$B$2:$B$755,$A2603)&gt;0,1,0)</f>
        <v>0</v>
      </c>
      <c r="M2603" s="16" t="str">
        <f>IF($A2603&lt;Notes!$B$5,"",IF(COUNTIFS(Release_Calendar!$A$2:$A$755,"NZ_CPI",Release_Calendar!$B$2:$B$755,$A2603)&gt;0,1,0))</f>
        <v/>
      </c>
      <c r="N2603" s="16" t="str">
        <f>IF($A2603&lt;Notes!$B$5,"",IF(COUNTIFS(Release_Calendar!$A$2:$A$755,"NZ_GDP",Release_Calendar!$B$2:$B$755,$A2603)&gt;0,1,0))</f>
        <v/>
      </c>
      <c r="O2603" s="16" t="str">
        <f>IF($A2603&lt;Notes!$B$5,"",IF(COUNTIFS(Release_Calendar!$A$2:$A$755,"NZ_LABOUR",Release_Calendar!$B$2:$B$755,$A2603)&gt;0,1,0))</f>
        <v/>
      </c>
      <c r="P2603" s="16">
        <f t="shared" si="4"/>
        <v>0</v>
      </c>
    </row>
    <row r="2604" ht="15.75" customHeight="1">
      <c r="A2604" s="14">
        <v>40170.0</v>
      </c>
      <c r="B2604" s="15">
        <v>0.96</v>
      </c>
      <c r="C2604" s="15"/>
      <c r="D2604" s="15">
        <v>4.26</v>
      </c>
      <c r="E2604" s="15">
        <v>4.28</v>
      </c>
      <c r="F2604" s="15" t="str">
        <f t="shared" si="1"/>
        <v/>
      </c>
      <c r="G2604" s="15">
        <f t="shared" si="2"/>
        <v>4.26</v>
      </c>
      <c r="H2604" s="16">
        <v>1.0</v>
      </c>
      <c r="I2604" s="15">
        <f t="shared" si="3"/>
        <v>3.3</v>
      </c>
      <c r="J2604" s="15">
        <v>19.71</v>
      </c>
      <c r="K2604" s="16">
        <f>IF(COUNTIFS(Release_Calendar!$A$2:$A$755,"US_CPI",Release_Calendar!$B$2:$B$755,$A2604)&gt;0,1,0)</f>
        <v>0</v>
      </c>
      <c r="L2604" s="16">
        <f>IF(COUNTIFS(Release_Calendar!$A$2:$A$755,"US_NFP",Release_Calendar!$B$2:$B$755,$A2604)&gt;0,1,0)</f>
        <v>0</v>
      </c>
      <c r="M2604" s="16" t="str">
        <f>IF($A2604&lt;Notes!$B$5,"",IF(COUNTIFS(Release_Calendar!$A$2:$A$755,"NZ_CPI",Release_Calendar!$B$2:$B$755,$A2604)&gt;0,1,0))</f>
        <v/>
      </c>
      <c r="N2604" s="16" t="str">
        <f>IF($A2604&lt;Notes!$B$5,"",IF(COUNTIFS(Release_Calendar!$A$2:$A$755,"NZ_GDP",Release_Calendar!$B$2:$B$755,$A2604)&gt;0,1,0))</f>
        <v/>
      </c>
      <c r="O2604" s="16" t="str">
        <f>IF($A2604&lt;Notes!$B$5,"",IF(COUNTIFS(Release_Calendar!$A$2:$A$755,"NZ_LABOUR",Release_Calendar!$B$2:$B$755,$A2604)&gt;0,1,0))</f>
        <v/>
      </c>
      <c r="P2604" s="16">
        <f t="shared" si="4"/>
        <v>0</v>
      </c>
    </row>
    <row r="2605" ht="15.75" customHeight="1">
      <c r="A2605" s="14">
        <v>40171.0</v>
      </c>
      <c r="B2605" s="15">
        <v>1.0</v>
      </c>
      <c r="C2605" s="15"/>
      <c r="D2605" s="15">
        <v>4.25</v>
      </c>
      <c r="E2605" s="15">
        <v>4.25</v>
      </c>
      <c r="F2605" s="15" t="str">
        <f t="shared" si="1"/>
        <v/>
      </c>
      <c r="G2605" s="15">
        <f t="shared" si="2"/>
        <v>4.25</v>
      </c>
      <c r="H2605" s="16">
        <v>1.0</v>
      </c>
      <c r="I2605" s="15">
        <f t="shared" si="3"/>
        <v>3.25</v>
      </c>
      <c r="J2605" s="15">
        <v>19.47</v>
      </c>
      <c r="K2605" s="16">
        <f>IF(COUNTIFS(Release_Calendar!$A$2:$A$755,"US_CPI",Release_Calendar!$B$2:$B$755,$A2605)&gt;0,1,0)</f>
        <v>0</v>
      </c>
      <c r="L2605" s="16">
        <f>IF(COUNTIFS(Release_Calendar!$A$2:$A$755,"US_NFP",Release_Calendar!$B$2:$B$755,$A2605)&gt;0,1,0)</f>
        <v>0</v>
      </c>
      <c r="M2605" s="16" t="str">
        <f>IF($A2605&lt;Notes!$B$5,"",IF(COUNTIFS(Release_Calendar!$A$2:$A$755,"NZ_CPI",Release_Calendar!$B$2:$B$755,$A2605)&gt;0,1,0))</f>
        <v/>
      </c>
      <c r="N2605" s="16" t="str">
        <f>IF($A2605&lt;Notes!$B$5,"",IF(COUNTIFS(Release_Calendar!$A$2:$A$755,"NZ_GDP",Release_Calendar!$B$2:$B$755,$A2605)&gt;0,1,0))</f>
        <v/>
      </c>
      <c r="O2605" s="16" t="str">
        <f>IF($A2605&lt;Notes!$B$5,"",IF(COUNTIFS(Release_Calendar!$A$2:$A$755,"NZ_LABOUR",Release_Calendar!$B$2:$B$755,$A2605)&gt;0,1,0))</f>
        <v/>
      </c>
      <c r="P2605" s="16">
        <f t="shared" si="4"/>
        <v>0</v>
      </c>
    </row>
    <row r="2606" ht="15.75" customHeight="1">
      <c r="A2606" s="14">
        <v>40172.0</v>
      </c>
      <c r="B2606" s="15"/>
      <c r="C2606" s="15"/>
      <c r="D2606" s="15"/>
      <c r="E2606" s="15"/>
      <c r="F2606" s="15" t="str">
        <f t="shared" si="1"/>
        <v/>
      </c>
      <c r="G2606" s="15" t="str">
        <f t="shared" si="2"/>
        <v/>
      </c>
      <c r="H2606" s="16">
        <v>1.0</v>
      </c>
      <c r="I2606" s="15" t="str">
        <f t="shared" si="3"/>
        <v/>
      </c>
      <c r="J2606" s="15"/>
      <c r="K2606" s="16">
        <f>IF(COUNTIFS(Release_Calendar!$A$2:$A$755,"US_CPI",Release_Calendar!$B$2:$B$755,$A2606)&gt;0,1,0)</f>
        <v>0</v>
      </c>
      <c r="L2606" s="16">
        <f>IF(COUNTIFS(Release_Calendar!$A$2:$A$755,"US_NFP",Release_Calendar!$B$2:$B$755,$A2606)&gt;0,1,0)</f>
        <v>0</v>
      </c>
      <c r="M2606" s="16" t="str">
        <f>IF($A2606&lt;Notes!$B$5,"",IF(COUNTIFS(Release_Calendar!$A$2:$A$755,"NZ_CPI",Release_Calendar!$B$2:$B$755,$A2606)&gt;0,1,0))</f>
        <v/>
      </c>
      <c r="N2606" s="16" t="str">
        <f>IF($A2606&lt;Notes!$B$5,"",IF(COUNTIFS(Release_Calendar!$A$2:$A$755,"NZ_GDP",Release_Calendar!$B$2:$B$755,$A2606)&gt;0,1,0))</f>
        <v/>
      </c>
      <c r="O2606" s="16" t="str">
        <f>IF($A2606&lt;Notes!$B$5,"",IF(COUNTIFS(Release_Calendar!$A$2:$A$755,"NZ_LABOUR",Release_Calendar!$B$2:$B$755,$A2606)&gt;0,1,0))</f>
        <v/>
      </c>
      <c r="P2606" s="16">
        <f t="shared" si="4"/>
        <v>0</v>
      </c>
    </row>
    <row r="2607" ht="15.75" customHeight="1">
      <c r="A2607" s="14">
        <v>40175.0</v>
      </c>
      <c r="B2607" s="15">
        <v>1.09</v>
      </c>
      <c r="C2607" s="15"/>
      <c r="D2607" s="15"/>
      <c r="E2607" s="15"/>
      <c r="F2607" s="15" t="str">
        <f t="shared" si="1"/>
        <v/>
      </c>
      <c r="G2607" s="15" t="str">
        <f t="shared" si="2"/>
        <v/>
      </c>
      <c r="H2607" s="16">
        <v>1.0</v>
      </c>
      <c r="I2607" s="15" t="str">
        <f t="shared" si="3"/>
        <v/>
      </c>
      <c r="J2607" s="15">
        <v>19.93</v>
      </c>
      <c r="K2607" s="16">
        <f>IF(COUNTIFS(Release_Calendar!$A$2:$A$755,"US_CPI",Release_Calendar!$B$2:$B$755,$A2607)&gt;0,1,0)</f>
        <v>0</v>
      </c>
      <c r="L2607" s="16">
        <f>IF(COUNTIFS(Release_Calendar!$A$2:$A$755,"US_NFP",Release_Calendar!$B$2:$B$755,$A2607)&gt;0,1,0)</f>
        <v>0</v>
      </c>
      <c r="M2607" s="16" t="str">
        <f>IF($A2607&lt;Notes!$B$5,"",IF(COUNTIFS(Release_Calendar!$A$2:$A$755,"NZ_CPI",Release_Calendar!$B$2:$B$755,$A2607)&gt;0,1,0))</f>
        <v/>
      </c>
      <c r="N2607" s="16" t="str">
        <f>IF($A2607&lt;Notes!$B$5,"",IF(COUNTIFS(Release_Calendar!$A$2:$A$755,"NZ_GDP",Release_Calendar!$B$2:$B$755,$A2607)&gt;0,1,0))</f>
        <v/>
      </c>
      <c r="O2607" s="16" t="str">
        <f>IF($A2607&lt;Notes!$B$5,"",IF(COUNTIFS(Release_Calendar!$A$2:$A$755,"NZ_LABOUR",Release_Calendar!$B$2:$B$755,$A2607)&gt;0,1,0))</f>
        <v/>
      </c>
      <c r="P2607" s="16">
        <f t="shared" si="4"/>
        <v>0</v>
      </c>
    </row>
    <row r="2608" ht="15.75" customHeight="1">
      <c r="A2608" s="14">
        <v>40176.0</v>
      </c>
      <c r="B2608" s="15">
        <v>1.09</v>
      </c>
      <c r="C2608" s="15"/>
      <c r="D2608" s="15">
        <v>4.27</v>
      </c>
      <c r="E2608" s="15">
        <v>4.33</v>
      </c>
      <c r="F2608" s="15" t="str">
        <f t="shared" si="1"/>
        <v/>
      </c>
      <c r="G2608" s="15">
        <f t="shared" si="2"/>
        <v>4.27</v>
      </c>
      <c r="H2608" s="16">
        <v>1.0</v>
      </c>
      <c r="I2608" s="15">
        <f t="shared" si="3"/>
        <v>3.18</v>
      </c>
      <c r="J2608" s="15">
        <v>20.01</v>
      </c>
      <c r="K2608" s="16">
        <f>IF(COUNTIFS(Release_Calendar!$A$2:$A$755,"US_CPI",Release_Calendar!$B$2:$B$755,$A2608)&gt;0,1,0)</f>
        <v>0</v>
      </c>
      <c r="L2608" s="16">
        <f>IF(COUNTIFS(Release_Calendar!$A$2:$A$755,"US_NFP",Release_Calendar!$B$2:$B$755,$A2608)&gt;0,1,0)</f>
        <v>0</v>
      </c>
      <c r="M2608" s="16" t="str">
        <f>IF($A2608&lt;Notes!$B$5,"",IF(COUNTIFS(Release_Calendar!$A$2:$A$755,"NZ_CPI",Release_Calendar!$B$2:$B$755,$A2608)&gt;0,1,0))</f>
        <v/>
      </c>
      <c r="N2608" s="16" t="str">
        <f>IF($A2608&lt;Notes!$B$5,"",IF(COUNTIFS(Release_Calendar!$A$2:$A$755,"NZ_GDP",Release_Calendar!$B$2:$B$755,$A2608)&gt;0,1,0))</f>
        <v/>
      </c>
      <c r="O2608" s="16" t="str">
        <f>IF($A2608&lt;Notes!$B$5,"",IF(COUNTIFS(Release_Calendar!$A$2:$A$755,"NZ_LABOUR",Release_Calendar!$B$2:$B$755,$A2608)&gt;0,1,0))</f>
        <v/>
      </c>
      <c r="P2608" s="16">
        <f t="shared" si="4"/>
        <v>0</v>
      </c>
    </row>
    <row r="2609" ht="15.75" customHeight="1">
      <c r="A2609" s="14">
        <v>40177.0</v>
      </c>
      <c r="B2609" s="15">
        <v>1.08</v>
      </c>
      <c r="C2609" s="15"/>
      <c r="D2609" s="15">
        <v>4.33</v>
      </c>
      <c r="E2609" s="15">
        <v>4.32</v>
      </c>
      <c r="F2609" s="15" t="str">
        <f t="shared" si="1"/>
        <v/>
      </c>
      <c r="G2609" s="15">
        <f t="shared" si="2"/>
        <v>4.33</v>
      </c>
      <c r="H2609" s="16">
        <v>1.0</v>
      </c>
      <c r="I2609" s="15">
        <f t="shared" si="3"/>
        <v>3.25</v>
      </c>
      <c r="J2609" s="15">
        <v>19.96</v>
      </c>
      <c r="K2609" s="16">
        <f>IF(COUNTIFS(Release_Calendar!$A$2:$A$755,"US_CPI",Release_Calendar!$B$2:$B$755,$A2609)&gt;0,1,0)</f>
        <v>0</v>
      </c>
      <c r="L2609" s="16">
        <f>IF(COUNTIFS(Release_Calendar!$A$2:$A$755,"US_NFP",Release_Calendar!$B$2:$B$755,$A2609)&gt;0,1,0)</f>
        <v>0</v>
      </c>
      <c r="M2609" s="16" t="str">
        <f>IF($A2609&lt;Notes!$B$5,"",IF(COUNTIFS(Release_Calendar!$A$2:$A$755,"NZ_CPI",Release_Calendar!$B$2:$B$755,$A2609)&gt;0,1,0))</f>
        <v/>
      </c>
      <c r="N2609" s="16" t="str">
        <f>IF($A2609&lt;Notes!$B$5,"",IF(COUNTIFS(Release_Calendar!$A$2:$A$755,"NZ_GDP",Release_Calendar!$B$2:$B$755,$A2609)&gt;0,1,0))</f>
        <v/>
      </c>
      <c r="O2609" s="16" t="str">
        <f>IF($A2609&lt;Notes!$B$5,"",IF(COUNTIFS(Release_Calendar!$A$2:$A$755,"NZ_LABOUR",Release_Calendar!$B$2:$B$755,$A2609)&gt;0,1,0))</f>
        <v/>
      </c>
      <c r="P2609" s="16">
        <f t="shared" si="4"/>
        <v>0</v>
      </c>
    </row>
    <row r="2610" ht="15.75" customHeight="1">
      <c r="A2610" s="14">
        <v>40178.0</v>
      </c>
      <c r="B2610" s="15">
        <v>1.14</v>
      </c>
      <c r="C2610" s="15"/>
      <c r="D2610" s="15">
        <v>4.3</v>
      </c>
      <c r="E2610" s="15">
        <v>4.29</v>
      </c>
      <c r="F2610" s="15" t="str">
        <f t="shared" si="1"/>
        <v/>
      </c>
      <c r="G2610" s="15">
        <f t="shared" si="2"/>
        <v>4.3</v>
      </c>
      <c r="H2610" s="16">
        <v>1.0</v>
      </c>
      <c r="I2610" s="15">
        <f t="shared" si="3"/>
        <v>3.16</v>
      </c>
      <c r="J2610" s="15">
        <v>21.68</v>
      </c>
      <c r="K2610" s="16">
        <f>IF(COUNTIFS(Release_Calendar!$A$2:$A$755,"US_CPI",Release_Calendar!$B$2:$B$755,$A2610)&gt;0,1,0)</f>
        <v>0</v>
      </c>
      <c r="L2610" s="16">
        <f>IF(COUNTIFS(Release_Calendar!$A$2:$A$755,"US_NFP",Release_Calendar!$B$2:$B$755,$A2610)&gt;0,1,0)</f>
        <v>0</v>
      </c>
      <c r="M2610" s="16" t="str">
        <f>IF($A2610&lt;Notes!$B$5,"",IF(COUNTIFS(Release_Calendar!$A$2:$A$755,"NZ_CPI",Release_Calendar!$B$2:$B$755,$A2610)&gt;0,1,0))</f>
        <v/>
      </c>
      <c r="N2610" s="16" t="str">
        <f>IF($A2610&lt;Notes!$B$5,"",IF(COUNTIFS(Release_Calendar!$A$2:$A$755,"NZ_GDP",Release_Calendar!$B$2:$B$755,$A2610)&gt;0,1,0))</f>
        <v/>
      </c>
      <c r="O2610" s="16" t="str">
        <f>IF($A2610&lt;Notes!$B$5,"",IF(COUNTIFS(Release_Calendar!$A$2:$A$755,"NZ_LABOUR",Release_Calendar!$B$2:$B$755,$A2610)&gt;0,1,0))</f>
        <v/>
      </c>
      <c r="P2610" s="16">
        <f t="shared" si="4"/>
        <v>0</v>
      </c>
    </row>
    <row r="2611" ht="15.75" customHeight="1">
      <c r="A2611" s="14">
        <v>40179.0</v>
      </c>
      <c r="B2611" s="15"/>
      <c r="C2611" s="15"/>
      <c r="D2611" s="15"/>
      <c r="E2611" s="15"/>
      <c r="F2611" s="15" t="str">
        <f t="shared" si="1"/>
        <v/>
      </c>
      <c r="G2611" s="15" t="str">
        <f t="shared" si="2"/>
        <v/>
      </c>
      <c r="H2611" s="16">
        <v>1.0</v>
      </c>
      <c r="I2611" s="15" t="str">
        <f t="shared" si="3"/>
        <v/>
      </c>
      <c r="J2611" s="15"/>
      <c r="K2611" s="16">
        <f>IF(COUNTIFS(Release_Calendar!$A$2:$A$755,"US_CPI",Release_Calendar!$B$2:$B$755,$A2611)&gt;0,1,0)</f>
        <v>0</v>
      </c>
      <c r="L2611" s="16">
        <f>IF(COUNTIFS(Release_Calendar!$A$2:$A$755,"US_NFP",Release_Calendar!$B$2:$B$755,$A2611)&gt;0,1,0)</f>
        <v>0</v>
      </c>
      <c r="M2611" s="16" t="str">
        <f>IF($A2611&lt;Notes!$B$5,"",IF(COUNTIFS(Release_Calendar!$A$2:$A$755,"NZ_CPI",Release_Calendar!$B$2:$B$755,$A2611)&gt;0,1,0))</f>
        <v/>
      </c>
      <c r="N2611" s="16" t="str">
        <f>IF($A2611&lt;Notes!$B$5,"",IF(COUNTIFS(Release_Calendar!$A$2:$A$755,"NZ_GDP",Release_Calendar!$B$2:$B$755,$A2611)&gt;0,1,0))</f>
        <v/>
      </c>
      <c r="O2611" s="16" t="str">
        <f>IF($A2611&lt;Notes!$B$5,"",IF(COUNTIFS(Release_Calendar!$A$2:$A$755,"NZ_LABOUR",Release_Calendar!$B$2:$B$755,$A2611)&gt;0,1,0))</f>
        <v/>
      </c>
      <c r="P2611" s="16">
        <f t="shared" si="4"/>
        <v>0</v>
      </c>
    </row>
    <row r="2612" ht="15.75" customHeight="1">
      <c r="A2612" s="14">
        <v>40182.0</v>
      </c>
      <c r="B2612" s="15">
        <v>1.09</v>
      </c>
      <c r="C2612" s="15"/>
      <c r="D2612" s="15"/>
      <c r="E2612" s="15"/>
      <c r="F2612" s="15" t="str">
        <f t="shared" si="1"/>
        <v/>
      </c>
      <c r="G2612" s="15" t="str">
        <f t="shared" si="2"/>
        <v/>
      </c>
      <c r="H2612" s="16">
        <v>1.0</v>
      </c>
      <c r="I2612" s="15" t="str">
        <f t="shared" si="3"/>
        <v/>
      </c>
      <c r="J2612" s="15">
        <v>20.04</v>
      </c>
      <c r="K2612" s="16">
        <f>IF(COUNTIFS(Release_Calendar!$A$2:$A$755,"US_CPI",Release_Calendar!$B$2:$B$755,$A2612)&gt;0,1,0)</f>
        <v>0</v>
      </c>
      <c r="L2612" s="16">
        <f>IF(COUNTIFS(Release_Calendar!$A$2:$A$755,"US_NFP",Release_Calendar!$B$2:$B$755,$A2612)&gt;0,1,0)</f>
        <v>0</v>
      </c>
      <c r="M2612" s="16" t="str">
        <f>IF($A2612&lt;Notes!$B$5,"",IF(COUNTIFS(Release_Calendar!$A$2:$A$755,"NZ_CPI",Release_Calendar!$B$2:$B$755,$A2612)&gt;0,1,0))</f>
        <v/>
      </c>
      <c r="N2612" s="16" t="str">
        <f>IF($A2612&lt;Notes!$B$5,"",IF(COUNTIFS(Release_Calendar!$A$2:$A$755,"NZ_GDP",Release_Calendar!$B$2:$B$755,$A2612)&gt;0,1,0))</f>
        <v/>
      </c>
      <c r="O2612" s="16" t="str">
        <f>IF($A2612&lt;Notes!$B$5,"",IF(COUNTIFS(Release_Calendar!$A$2:$A$755,"NZ_LABOUR",Release_Calendar!$B$2:$B$755,$A2612)&gt;0,1,0))</f>
        <v/>
      </c>
      <c r="P2612" s="16">
        <f t="shared" si="4"/>
        <v>0</v>
      </c>
    </row>
    <row r="2613" ht="15.75" customHeight="1">
      <c r="A2613" s="14">
        <v>40183.0</v>
      </c>
      <c r="B2613" s="15">
        <v>1.01</v>
      </c>
      <c r="C2613" s="15"/>
      <c r="D2613" s="15">
        <v>4.32</v>
      </c>
      <c r="E2613" s="15">
        <v>4.3</v>
      </c>
      <c r="F2613" s="15" t="str">
        <f t="shared" si="1"/>
        <v/>
      </c>
      <c r="G2613" s="15">
        <f t="shared" si="2"/>
        <v>4.32</v>
      </c>
      <c r="H2613" s="16">
        <v>1.0</v>
      </c>
      <c r="I2613" s="15">
        <f t="shared" si="3"/>
        <v>3.31</v>
      </c>
      <c r="J2613" s="15">
        <v>19.35</v>
      </c>
      <c r="K2613" s="16">
        <f>IF(COUNTIFS(Release_Calendar!$A$2:$A$755,"US_CPI",Release_Calendar!$B$2:$B$755,$A2613)&gt;0,1,0)</f>
        <v>0</v>
      </c>
      <c r="L2613" s="16">
        <f>IF(COUNTIFS(Release_Calendar!$A$2:$A$755,"US_NFP",Release_Calendar!$B$2:$B$755,$A2613)&gt;0,1,0)</f>
        <v>0</v>
      </c>
      <c r="M2613" s="16" t="str">
        <f>IF($A2613&lt;Notes!$B$5,"",IF(COUNTIFS(Release_Calendar!$A$2:$A$755,"NZ_CPI",Release_Calendar!$B$2:$B$755,$A2613)&gt;0,1,0))</f>
        <v/>
      </c>
      <c r="N2613" s="16" t="str">
        <f>IF($A2613&lt;Notes!$B$5,"",IF(COUNTIFS(Release_Calendar!$A$2:$A$755,"NZ_GDP",Release_Calendar!$B$2:$B$755,$A2613)&gt;0,1,0))</f>
        <v/>
      </c>
      <c r="O2613" s="16" t="str">
        <f>IF($A2613&lt;Notes!$B$5,"",IF(COUNTIFS(Release_Calendar!$A$2:$A$755,"NZ_LABOUR",Release_Calendar!$B$2:$B$755,$A2613)&gt;0,1,0))</f>
        <v/>
      </c>
      <c r="P2613" s="16">
        <f t="shared" si="4"/>
        <v>0</v>
      </c>
    </row>
    <row r="2614" ht="15.75" customHeight="1">
      <c r="A2614" s="14">
        <v>40184.0</v>
      </c>
      <c r="B2614" s="15">
        <v>1.01</v>
      </c>
      <c r="C2614" s="15"/>
      <c r="D2614" s="15">
        <v>4.25</v>
      </c>
      <c r="E2614" s="15">
        <v>4.25</v>
      </c>
      <c r="F2614" s="15" t="str">
        <f t="shared" si="1"/>
        <v/>
      </c>
      <c r="G2614" s="15">
        <f t="shared" si="2"/>
        <v>4.25</v>
      </c>
      <c r="H2614" s="16">
        <v>1.0</v>
      </c>
      <c r="I2614" s="15">
        <f t="shared" si="3"/>
        <v>3.24</v>
      </c>
      <c r="J2614" s="15">
        <v>19.16</v>
      </c>
      <c r="K2614" s="16">
        <f>IF(COUNTIFS(Release_Calendar!$A$2:$A$755,"US_CPI",Release_Calendar!$B$2:$B$755,$A2614)&gt;0,1,0)</f>
        <v>0</v>
      </c>
      <c r="L2614" s="16">
        <f>IF(COUNTIFS(Release_Calendar!$A$2:$A$755,"US_NFP",Release_Calendar!$B$2:$B$755,$A2614)&gt;0,1,0)</f>
        <v>0</v>
      </c>
      <c r="M2614" s="16" t="str">
        <f>IF($A2614&lt;Notes!$B$5,"",IF(COUNTIFS(Release_Calendar!$A$2:$A$755,"NZ_CPI",Release_Calendar!$B$2:$B$755,$A2614)&gt;0,1,0))</f>
        <v/>
      </c>
      <c r="N2614" s="16" t="str">
        <f>IF($A2614&lt;Notes!$B$5,"",IF(COUNTIFS(Release_Calendar!$A$2:$A$755,"NZ_GDP",Release_Calendar!$B$2:$B$755,$A2614)&gt;0,1,0))</f>
        <v/>
      </c>
      <c r="O2614" s="16" t="str">
        <f>IF($A2614&lt;Notes!$B$5,"",IF(COUNTIFS(Release_Calendar!$A$2:$A$755,"NZ_LABOUR",Release_Calendar!$B$2:$B$755,$A2614)&gt;0,1,0))</f>
        <v/>
      </c>
      <c r="P2614" s="16">
        <f t="shared" si="4"/>
        <v>0</v>
      </c>
    </row>
    <row r="2615" ht="15.75" customHeight="1">
      <c r="A2615" s="14">
        <v>40185.0</v>
      </c>
      <c r="B2615" s="15">
        <v>1.03</v>
      </c>
      <c r="C2615" s="15"/>
      <c r="D2615" s="15">
        <v>4.25</v>
      </c>
      <c r="E2615" s="15">
        <v>4.24</v>
      </c>
      <c r="F2615" s="15" t="str">
        <f t="shared" si="1"/>
        <v/>
      </c>
      <c r="G2615" s="15">
        <f t="shared" si="2"/>
        <v>4.25</v>
      </c>
      <c r="H2615" s="16">
        <v>1.0</v>
      </c>
      <c r="I2615" s="15">
        <f t="shared" si="3"/>
        <v>3.22</v>
      </c>
      <c r="J2615" s="15">
        <v>19.06</v>
      </c>
      <c r="K2615" s="16">
        <f>IF(COUNTIFS(Release_Calendar!$A$2:$A$755,"US_CPI",Release_Calendar!$B$2:$B$755,$A2615)&gt;0,1,0)</f>
        <v>0</v>
      </c>
      <c r="L2615" s="16">
        <f>IF(COUNTIFS(Release_Calendar!$A$2:$A$755,"US_NFP",Release_Calendar!$B$2:$B$755,$A2615)&gt;0,1,0)</f>
        <v>0</v>
      </c>
      <c r="M2615" s="16" t="str">
        <f>IF($A2615&lt;Notes!$B$5,"",IF(COUNTIFS(Release_Calendar!$A$2:$A$755,"NZ_CPI",Release_Calendar!$B$2:$B$755,$A2615)&gt;0,1,0))</f>
        <v/>
      </c>
      <c r="N2615" s="16" t="str">
        <f>IF($A2615&lt;Notes!$B$5,"",IF(COUNTIFS(Release_Calendar!$A$2:$A$755,"NZ_GDP",Release_Calendar!$B$2:$B$755,$A2615)&gt;0,1,0))</f>
        <v/>
      </c>
      <c r="O2615" s="16" t="str">
        <f>IF($A2615&lt;Notes!$B$5,"",IF(COUNTIFS(Release_Calendar!$A$2:$A$755,"NZ_LABOUR",Release_Calendar!$B$2:$B$755,$A2615)&gt;0,1,0))</f>
        <v/>
      </c>
      <c r="P2615" s="16">
        <f t="shared" si="4"/>
        <v>0</v>
      </c>
    </row>
    <row r="2616" ht="15.75" customHeight="1">
      <c r="A2616" s="14">
        <v>40186.0</v>
      </c>
      <c r="B2616" s="15">
        <v>0.96</v>
      </c>
      <c r="C2616" s="15"/>
      <c r="D2616" s="15">
        <v>4.24</v>
      </c>
      <c r="E2616" s="15">
        <v>4.22</v>
      </c>
      <c r="F2616" s="15" t="str">
        <f t="shared" si="1"/>
        <v/>
      </c>
      <c r="G2616" s="15">
        <f t="shared" si="2"/>
        <v>4.24</v>
      </c>
      <c r="H2616" s="16">
        <v>1.0</v>
      </c>
      <c r="I2616" s="15">
        <f t="shared" si="3"/>
        <v>3.28</v>
      </c>
      <c r="J2616" s="15">
        <v>18.13</v>
      </c>
      <c r="K2616" s="16">
        <f>IF(COUNTIFS(Release_Calendar!$A$2:$A$755,"US_CPI",Release_Calendar!$B$2:$B$755,$A2616)&gt;0,1,0)</f>
        <v>0</v>
      </c>
      <c r="L2616" s="16">
        <f>IF(COUNTIFS(Release_Calendar!$A$2:$A$755,"US_NFP",Release_Calendar!$B$2:$B$755,$A2616)&gt;0,1,0)</f>
        <v>1</v>
      </c>
      <c r="M2616" s="16" t="str">
        <f>IF($A2616&lt;Notes!$B$5,"",IF(COUNTIFS(Release_Calendar!$A$2:$A$755,"NZ_CPI",Release_Calendar!$B$2:$B$755,$A2616)&gt;0,1,0))</f>
        <v/>
      </c>
      <c r="N2616" s="16" t="str">
        <f>IF($A2616&lt;Notes!$B$5,"",IF(COUNTIFS(Release_Calendar!$A$2:$A$755,"NZ_GDP",Release_Calendar!$B$2:$B$755,$A2616)&gt;0,1,0))</f>
        <v/>
      </c>
      <c r="O2616" s="16" t="str">
        <f>IF($A2616&lt;Notes!$B$5,"",IF(COUNTIFS(Release_Calendar!$A$2:$A$755,"NZ_LABOUR",Release_Calendar!$B$2:$B$755,$A2616)&gt;0,1,0))</f>
        <v/>
      </c>
      <c r="P2616" s="16">
        <f t="shared" si="4"/>
        <v>1</v>
      </c>
    </row>
    <row r="2617" ht="15.75" customHeight="1">
      <c r="A2617" s="14">
        <v>40189.0</v>
      </c>
      <c r="B2617" s="15">
        <v>0.95</v>
      </c>
      <c r="C2617" s="15"/>
      <c r="D2617" s="15">
        <v>4.21</v>
      </c>
      <c r="E2617" s="15">
        <v>4.25</v>
      </c>
      <c r="F2617" s="15" t="str">
        <f t="shared" si="1"/>
        <v/>
      </c>
      <c r="G2617" s="15">
        <f t="shared" si="2"/>
        <v>4.21</v>
      </c>
      <c r="H2617" s="16">
        <v>1.0</v>
      </c>
      <c r="I2617" s="15">
        <f t="shared" si="3"/>
        <v>3.26</v>
      </c>
      <c r="J2617" s="15">
        <v>17.55</v>
      </c>
      <c r="K2617" s="16">
        <f>IF(COUNTIFS(Release_Calendar!$A$2:$A$755,"US_CPI",Release_Calendar!$B$2:$B$755,$A2617)&gt;0,1,0)</f>
        <v>0</v>
      </c>
      <c r="L2617" s="16">
        <f>IF(COUNTIFS(Release_Calendar!$A$2:$A$755,"US_NFP",Release_Calendar!$B$2:$B$755,$A2617)&gt;0,1,0)</f>
        <v>0</v>
      </c>
      <c r="M2617" s="16" t="str">
        <f>IF($A2617&lt;Notes!$B$5,"",IF(COUNTIFS(Release_Calendar!$A$2:$A$755,"NZ_CPI",Release_Calendar!$B$2:$B$755,$A2617)&gt;0,1,0))</f>
        <v/>
      </c>
      <c r="N2617" s="16" t="str">
        <f>IF($A2617&lt;Notes!$B$5,"",IF(COUNTIFS(Release_Calendar!$A$2:$A$755,"NZ_GDP",Release_Calendar!$B$2:$B$755,$A2617)&gt;0,1,0))</f>
        <v/>
      </c>
      <c r="O2617" s="16" t="str">
        <f>IF($A2617&lt;Notes!$B$5,"",IF(COUNTIFS(Release_Calendar!$A$2:$A$755,"NZ_LABOUR",Release_Calendar!$B$2:$B$755,$A2617)&gt;0,1,0))</f>
        <v/>
      </c>
      <c r="P2617" s="16">
        <f t="shared" si="4"/>
        <v>0</v>
      </c>
    </row>
    <row r="2618" ht="15.75" customHeight="1">
      <c r="A2618" s="14">
        <v>40190.0</v>
      </c>
      <c r="B2618" s="15">
        <v>0.92</v>
      </c>
      <c r="C2618" s="15"/>
      <c r="D2618" s="15">
        <v>4.28</v>
      </c>
      <c r="E2618" s="15">
        <v>4.25</v>
      </c>
      <c r="F2618" s="15" t="str">
        <f t="shared" si="1"/>
        <v/>
      </c>
      <c r="G2618" s="15">
        <f t="shared" si="2"/>
        <v>4.28</v>
      </c>
      <c r="H2618" s="16">
        <v>1.0</v>
      </c>
      <c r="I2618" s="15">
        <f t="shared" si="3"/>
        <v>3.36</v>
      </c>
      <c r="J2618" s="15">
        <v>18.25</v>
      </c>
      <c r="K2618" s="16">
        <f>IF(COUNTIFS(Release_Calendar!$A$2:$A$755,"US_CPI",Release_Calendar!$B$2:$B$755,$A2618)&gt;0,1,0)</f>
        <v>0</v>
      </c>
      <c r="L2618" s="16">
        <f>IF(COUNTIFS(Release_Calendar!$A$2:$A$755,"US_NFP",Release_Calendar!$B$2:$B$755,$A2618)&gt;0,1,0)</f>
        <v>0</v>
      </c>
      <c r="M2618" s="16" t="str">
        <f>IF($A2618&lt;Notes!$B$5,"",IF(COUNTIFS(Release_Calendar!$A$2:$A$755,"NZ_CPI",Release_Calendar!$B$2:$B$755,$A2618)&gt;0,1,0))</f>
        <v/>
      </c>
      <c r="N2618" s="16" t="str">
        <f>IF($A2618&lt;Notes!$B$5,"",IF(COUNTIFS(Release_Calendar!$A$2:$A$755,"NZ_GDP",Release_Calendar!$B$2:$B$755,$A2618)&gt;0,1,0))</f>
        <v/>
      </c>
      <c r="O2618" s="16" t="str">
        <f>IF($A2618&lt;Notes!$B$5,"",IF(COUNTIFS(Release_Calendar!$A$2:$A$755,"NZ_LABOUR",Release_Calendar!$B$2:$B$755,$A2618)&gt;0,1,0))</f>
        <v/>
      </c>
      <c r="P2618" s="16">
        <f t="shared" si="4"/>
        <v>0</v>
      </c>
    </row>
    <row r="2619" ht="15.75" customHeight="1">
      <c r="A2619" s="14">
        <v>40191.0</v>
      </c>
      <c r="B2619" s="15">
        <v>0.97</v>
      </c>
      <c r="C2619" s="15"/>
      <c r="D2619" s="15">
        <v>4.23</v>
      </c>
      <c r="E2619" s="15">
        <v>4.22</v>
      </c>
      <c r="F2619" s="15" t="str">
        <f t="shared" si="1"/>
        <v/>
      </c>
      <c r="G2619" s="15">
        <f t="shared" si="2"/>
        <v>4.23</v>
      </c>
      <c r="H2619" s="16">
        <v>1.0</v>
      </c>
      <c r="I2619" s="15">
        <f t="shared" si="3"/>
        <v>3.26</v>
      </c>
      <c r="J2619" s="15">
        <v>17.85</v>
      </c>
      <c r="K2619" s="16">
        <f>IF(COUNTIFS(Release_Calendar!$A$2:$A$755,"US_CPI",Release_Calendar!$B$2:$B$755,$A2619)&gt;0,1,0)</f>
        <v>0</v>
      </c>
      <c r="L2619" s="16">
        <f>IF(COUNTIFS(Release_Calendar!$A$2:$A$755,"US_NFP",Release_Calendar!$B$2:$B$755,$A2619)&gt;0,1,0)</f>
        <v>0</v>
      </c>
      <c r="M2619" s="16" t="str">
        <f>IF($A2619&lt;Notes!$B$5,"",IF(COUNTIFS(Release_Calendar!$A$2:$A$755,"NZ_CPI",Release_Calendar!$B$2:$B$755,$A2619)&gt;0,1,0))</f>
        <v/>
      </c>
      <c r="N2619" s="16" t="str">
        <f>IF($A2619&lt;Notes!$B$5,"",IF(COUNTIFS(Release_Calendar!$A$2:$A$755,"NZ_GDP",Release_Calendar!$B$2:$B$755,$A2619)&gt;0,1,0))</f>
        <v/>
      </c>
      <c r="O2619" s="16" t="str">
        <f>IF($A2619&lt;Notes!$B$5,"",IF(COUNTIFS(Release_Calendar!$A$2:$A$755,"NZ_LABOUR",Release_Calendar!$B$2:$B$755,$A2619)&gt;0,1,0))</f>
        <v/>
      </c>
      <c r="P2619" s="16">
        <f t="shared" si="4"/>
        <v>0</v>
      </c>
    </row>
    <row r="2620" ht="15.75" customHeight="1">
      <c r="A2620" s="14">
        <v>40192.0</v>
      </c>
      <c r="B2620" s="15">
        <v>0.94</v>
      </c>
      <c r="C2620" s="15"/>
      <c r="D2620" s="15">
        <v>4.23</v>
      </c>
      <c r="E2620" s="15">
        <v>4.22</v>
      </c>
      <c r="F2620" s="15" t="str">
        <f t="shared" si="1"/>
        <v/>
      </c>
      <c r="G2620" s="15">
        <f t="shared" si="2"/>
        <v>4.23</v>
      </c>
      <c r="H2620" s="16">
        <v>1.0</v>
      </c>
      <c r="I2620" s="15">
        <f t="shared" si="3"/>
        <v>3.29</v>
      </c>
      <c r="J2620" s="15">
        <v>17.63</v>
      </c>
      <c r="K2620" s="16">
        <f>IF(COUNTIFS(Release_Calendar!$A$2:$A$755,"US_CPI",Release_Calendar!$B$2:$B$755,$A2620)&gt;0,1,0)</f>
        <v>0</v>
      </c>
      <c r="L2620" s="16">
        <f>IF(COUNTIFS(Release_Calendar!$A$2:$A$755,"US_NFP",Release_Calendar!$B$2:$B$755,$A2620)&gt;0,1,0)</f>
        <v>0</v>
      </c>
      <c r="M2620" s="16" t="str">
        <f>IF($A2620&lt;Notes!$B$5,"",IF(COUNTIFS(Release_Calendar!$A$2:$A$755,"NZ_CPI",Release_Calendar!$B$2:$B$755,$A2620)&gt;0,1,0))</f>
        <v/>
      </c>
      <c r="N2620" s="16" t="str">
        <f>IF($A2620&lt;Notes!$B$5,"",IF(COUNTIFS(Release_Calendar!$A$2:$A$755,"NZ_GDP",Release_Calendar!$B$2:$B$755,$A2620)&gt;0,1,0))</f>
        <v/>
      </c>
      <c r="O2620" s="16" t="str">
        <f>IF($A2620&lt;Notes!$B$5,"",IF(COUNTIFS(Release_Calendar!$A$2:$A$755,"NZ_LABOUR",Release_Calendar!$B$2:$B$755,$A2620)&gt;0,1,0))</f>
        <v/>
      </c>
      <c r="P2620" s="16">
        <f t="shared" si="4"/>
        <v>0</v>
      </c>
    </row>
    <row r="2621" ht="15.75" customHeight="1">
      <c r="A2621" s="14">
        <v>40193.0</v>
      </c>
      <c r="B2621" s="15">
        <v>0.89</v>
      </c>
      <c r="C2621" s="15"/>
      <c r="D2621" s="15">
        <v>4.21</v>
      </c>
      <c r="E2621" s="15">
        <v>4.21</v>
      </c>
      <c r="F2621" s="15" t="str">
        <f t="shared" si="1"/>
        <v/>
      </c>
      <c r="G2621" s="15">
        <f t="shared" si="2"/>
        <v>4.21</v>
      </c>
      <c r="H2621" s="16">
        <v>1.0</v>
      </c>
      <c r="I2621" s="15">
        <f t="shared" si="3"/>
        <v>3.32</v>
      </c>
      <c r="J2621" s="15">
        <v>17.91</v>
      </c>
      <c r="K2621" s="16">
        <f>IF(COUNTIFS(Release_Calendar!$A$2:$A$755,"US_CPI",Release_Calendar!$B$2:$B$755,$A2621)&gt;0,1,0)</f>
        <v>1</v>
      </c>
      <c r="L2621" s="16">
        <f>IF(COUNTIFS(Release_Calendar!$A$2:$A$755,"US_NFP",Release_Calendar!$B$2:$B$755,$A2621)&gt;0,1,0)</f>
        <v>0</v>
      </c>
      <c r="M2621" s="16" t="str">
        <f>IF($A2621&lt;Notes!$B$5,"",IF(COUNTIFS(Release_Calendar!$A$2:$A$755,"NZ_CPI",Release_Calendar!$B$2:$B$755,$A2621)&gt;0,1,0))</f>
        <v/>
      </c>
      <c r="N2621" s="16" t="str">
        <f>IF($A2621&lt;Notes!$B$5,"",IF(COUNTIFS(Release_Calendar!$A$2:$A$755,"NZ_GDP",Release_Calendar!$B$2:$B$755,$A2621)&gt;0,1,0))</f>
        <v/>
      </c>
      <c r="O2621" s="16" t="str">
        <f>IF($A2621&lt;Notes!$B$5,"",IF(COUNTIFS(Release_Calendar!$A$2:$A$755,"NZ_LABOUR",Release_Calendar!$B$2:$B$755,$A2621)&gt;0,1,0))</f>
        <v/>
      </c>
      <c r="P2621" s="16">
        <f t="shared" si="4"/>
        <v>1</v>
      </c>
    </row>
    <row r="2622" ht="15.75" customHeight="1">
      <c r="A2622" s="14">
        <v>40196.0</v>
      </c>
      <c r="B2622" s="15"/>
      <c r="C2622" s="15"/>
      <c r="D2622" s="15">
        <v>4.2</v>
      </c>
      <c r="E2622" s="15">
        <v>4.19</v>
      </c>
      <c r="F2622" s="15" t="str">
        <f t="shared" si="1"/>
        <v/>
      </c>
      <c r="G2622" s="15">
        <f t="shared" si="2"/>
        <v>4.2</v>
      </c>
      <c r="H2622" s="16">
        <v>1.0</v>
      </c>
      <c r="I2622" s="15" t="str">
        <f t="shared" si="3"/>
        <v/>
      </c>
      <c r="J2622" s="15"/>
      <c r="K2622" s="16">
        <f>IF(COUNTIFS(Release_Calendar!$A$2:$A$755,"US_CPI",Release_Calendar!$B$2:$B$755,$A2622)&gt;0,1,0)</f>
        <v>0</v>
      </c>
      <c r="L2622" s="16">
        <f>IF(COUNTIFS(Release_Calendar!$A$2:$A$755,"US_NFP",Release_Calendar!$B$2:$B$755,$A2622)&gt;0,1,0)</f>
        <v>0</v>
      </c>
      <c r="M2622" s="16" t="str">
        <f>IF($A2622&lt;Notes!$B$5,"",IF(COUNTIFS(Release_Calendar!$A$2:$A$755,"NZ_CPI",Release_Calendar!$B$2:$B$755,$A2622)&gt;0,1,0))</f>
        <v/>
      </c>
      <c r="N2622" s="16" t="str">
        <f>IF($A2622&lt;Notes!$B$5,"",IF(COUNTIFS(Release_Calendar!$A$2:$A$755,"NZ_GDP",Release_Calendar!$B$2:$B$755,$A2622)&gt;0,1,0))</f>
        <v/>
      </c>
      <c r="O2622" s="16" t="str">
        <f>IF($A2622&lt;Notes!$B$5,"",IF(COUNTIFS(Release_Calendar!$A$2:$A$755,"NZ_LABOUR",Release_Calendar!$B$2:$B$755,$A2622)&gt;0,1,0))</f>
        <v/>
      </c>
      <c r="P2622" s="16">
        <f t="shared" si="4"/>
        <v>0</v>
      </c>
    </row>
    <row r="2623" ht="15.75" customHeight="1">
      <c r="A2623" s="14">
        <v>40197.0</v>
      </c>
      <c r="B2623" s="15">
        <v>0.93</v>
      </c>
      <c r="C2623" s="15"/>
      <c r="D2623" s="15">
        <v>4.19</v>
      </c>
      <c r="E2623" s="15">
        <v>4.2</v>
      </c>
      <c r="F2623" s="15" t="str">
        <f t="shared" si="1"/>
        <v/>
      </c>
      <c r="G2623" s="15">
        <f t="shared" si="2"/>
        <v>4.19</v>
      </c>
      <c r="H2623" s="16">
        <v>1.0</v>
      </c>
      <c r="I2623" s="15">
        <f t="shared" si="3"/>
        <v>3.26</v>
      </c>
      <c r="J2623" s="15">
        <v>17.58</v>
      </c>
      <c r="K2623" s="16">
        <f>IF(COUNTIFS(Release_Calendar!$A$2:$A$755,"US_CPI",Release_Calendar!$B$2:$B$755,$A2623)&gt;0,1,0)</f>
        <v>0</v>
      </c>
      <c r="L2623" s="16">
        <f>IF(COUNTIFS(Release_Calendar!$A$2:$A$755,"US_NFP",Release_Calendar!$B$2:$B$755,$A2623)&gt;0,1,0)</f>
        <v>0</v>
      </c>
      <c r="M2623" s="16" t="str">
        <f>IF($A2623&lt;Notes!$B$5,"",IF(COUNTIFS(Release_Calendar!$A$2:$A$755,"NZ_CPI",Release_Calendar!$B$2:$B$755,$A2623)&gt;0,1,0))</f>
        <v/>
      </c>
      <c r="N2623" s="16" t="str">
        <f>IF($A2623&lt;Notes!$B$5,"",IF(COUNTIFS(Release_Calendar!$A$2:$A$755,"NZ_GDP",Release_Calendar!$B$2:$B$755,$A2623)&gt;0,1,0))</f>
        <v/>
      </c>
      <c r="O2623" s="16" t="str">
        <f>IF($A2623&lt;Notes!$B$5,"",IF(COUNTIFS(Release_Calendar!$A$2:$A$755,"NZ_LABOUR",Release_Calendar!$B$2:$B$755,$A2623)&gt;0,1,0))</f>
        <v/>
      </c>
      <c r="P2623" s="16">
        <f t="shared" si="4"/>
        <v>0</v>
      </c>
    </row>
    <row r="2624" ht="15.75" customHeight="1">
      <c r="A2624" s="14">
        <v>40198.0</v>
      </c>
      <c r="B2624" s="15">
        <v>0.92</v>
      </c>
      <c r="C2624" s="15"/>
      <c r="D2624" s="15">
        <v>4.15</v>
      </c>
      <c r="E2624" s="15">
        <v>4.16</v>
      </c>
      <c r="F2624" s="15" t="str">
        <f t="shared" si="1"/>
        <v/>
      </c>
      <c r="G2624" s="15">
        <f t="shared" si="2"/>
        <v>4.15</v>
      </c>
      <c r="H2624" s="16">
        <v>1.0</v>
      </c>
      <c r="I2624" s="15">
        <f t="shared" si="3"/>
        <v>3.23</v>
      </c>
      <c r="J2624" s="15">
        <v>18.68</v>
      </c>
      <c r="K2624" s="16">
        <f>IF(COUNTIFS(Release_Calendar!$A$2:$A$755,"US_CPI",Release_Calendar!$B$2:$B$755,$A2624)&gt;0,1,0)</f>
        <v>0</v>
      </c>
      <c r="L2624" s="16">
        <f>IF(COUNTIFS(Release_Calendar!$A$2:$A$755,"US_NFP",Release_Calendar!$B$2:$B$755,$A2624)&gt;0,1,0)</f>
        <v>0</v>
      </c>
      <c r="M2624" s="16" t="str">
        <f>IF($A2624&lt;Notes!$B$5,"",IF(COUNTIFS(Release_Calendar!$A$2:$A$755,"NZ_CPI",Release_Calendar!$B$2:$B$755,$A2624)&gt;0,1,0))</f>
        <v/>
      </c>
      <c r="N2624" s="16" t="str">
        <f>IF($A2624&lt;Notes!$B$5,"",IF(COUNTIFS(Release_Calendar!$A$2:$A$755,"NZ_GDP",Release_Calendar!$B$2:$B$755,$A2624)&gt;0,1,0))</f>
        <v/>
      </c>
      <c r="O2624" s="16" t="str">
        <f>IF($A2624&lt;Notes!$B$5,"",IF(COUNTIFS(Release_Calendar!$A$2:$A$755,"NZ_LABOUR",Release_Calendar!$B$2:$B$755,$A2624)&gt;0,1,0))</f>
        <v/>
      </c>
      <c r="P2624" s="16">
        <f t="shared" si="4"/>
        <v>0</v>
      </c>
    </row>
    <row r="2625" ht="15.75" customHeight="1">
      <c r="A2625" s="14">
        <v>40199.0</v>
      </c>
      <c r="B2625" s="15">
        <v>0.87</v>
      </c>
      <c r="C2625" s="15"/>
      <c r="D2625" s="15">
        <v>4.12</v>
      </c>
      <c r="E2625" s="15">
        <v>4.12</v>
      </c>
      <c r="F2625" s="15" t="str">
        <f t="shared" si="1"/>
        <v/>
      </c>
      <c r="G2625" s="15">
        <f t="shared" si="2"/>
        <v>4.12</v>
      </c>
      <c r="H2625" s="16">
        <v>1.0</v>
      </c>
      <c r="I2625" s="15">
        <f t="shared" si="3"/>
        <v>3.25</v>
      </c>
      <c r="J2625" s="15">
        <v>22.27</v>
      </c>
      <c r="K2625" s="16">
        <f>IF(COUNTIFS(Release_Calendar!$A$2:$A$755,"US_CPI",Release_Calendar!$B$2:$B$755,$A2625)&gt;0,1,0)</f>
        <v>0</v>
      </c>
      <c r="L2625" s="16">
        <f>IF(COUNTIFS(Release_Calendar!$A$2:$A$755,"US_NFP",Release_Calendar!$B$2:$B$755,$A2625)&gt;0,1,0)</f>
        <v>0</v>
      </c>
      <c r="M2625" s="16" t="str">
        <f>IF($A2625&lt;Notes!$B$5,"",IF(COUNTIFS(Release_Calendar!$A$2:$A$755,"NZ_CPI",Release_Calendar!$B$2:$B$755,$A2625)&gt;0,1,0))</f>
        <v/>
      </c>
      <c r="N2625" s="16" t="str">
        <f>IF($A2625&lt;Notes!$B$5,"",IF(COUNTIFS(Release_Calendar!$A$2:$A$755,"NZ_GDP",Release_Calendar!$B$2:$B$755,$A2625)&gt;0,1,0))</f>
        <v/>
      </c>
      <c r="O2625" s="16" t="str">
        <f>IF($A2625&lt;Notes!$B$5,"",IF(COUNTIFS(Release_Calendar!$A$2:$A$755,"NZ_LABOUR",Release_Calendar!$B$2:$B$755,$A2625)&gt;0,1,0))</f>
        <v/>
      </c>
      <c r="P2625" s="16">
        <f t="shared" si="4"/>
        <v>0</v>
      </c>
    </row>
    <row r="2626" ht="15.75" customHeight="1">
      <c r="A2626" s="14">
        <v>40200.0</v>
      </c>
      <c r="B2626" s="15">
        <v>0.84</v>
      </c>
      <c r="C2626" s="15"/>
      <c r="D2626" s="15">
        <v>4.06</v>
      </c>
      <c r="E2626" s="15">
        <v>4.05</v>
      </c>
      <c r="F2626" s="15" t="str">
        <f t="shared" si="1"/>
        <v/>
      </c>
      <c r="G2626" s="15">
        <f t="shared" si="2"/>
        <v>4.06</v>
      </c>
      <c r="H2626" s="16">
        <v>1.0</v>
      </c>
      <c r="I2626" s="15">
        <f t="shared" si="3"/>
        <v>3.22</v>
      </c>
      <c r="J2626" s="15">
        <v>27.31</v>
      </c>
      <c r="K2626" s="16">
        <f>IF(COUNTIFS(Release_Calendar!$A$2:$A$755,"US_CPI",Release_Calendar!$B$2:$B$755,$A2626)&gt;0,1,0)</f>
        <v>0</v>
      </c>
      <c r="L2626" s="16">
        <f>IF(COUNTIFS(Release_Calendar!$A$2:$A$755,"US_NFP",Release_Calendar!$B$2:$B$755,$A2626)&gt;0,1,0)</f>
        <v>0</v>
      </c>
      <c r="M2626" s="16" t="str">
        <f>IF($A2626&lt;Notes!$B$5,"",IF(COUNTIFS(Release_Calendar!$A$2:$A$755,"NZ_CPI",Release_Calendar!$B$2:$B$755,$A2626)&gt;0,1,0))</f>
        <v/>
      </c>
      <c r="N2626" s="16" t="str">
        <f>IF($A2626&lt;Notes!$B$5,"",IF(COUNTIFS(Release_Calendar!$A$2:$A$755,"NZ_GDP",Release_Calendar!$B$2:$B$755,$A2626)&gt;0,1,0))</f>
        <v/>
      </c>
      <c r="O2626" s="16" t="str">
        <f>IF($A2626&lt;Notes!$B$5,"",IF(COUNTIFS(Release_Calendar!$A$2:$A$755,"NZ_LABOUR",Release_Calendar!$B$2:$B$755,$A2626)&gt;0,1,0))</f>
        <v/>
      </c>
      <c r="P2626" s="16">
        <f t="shared" si="4"/>
        <v>0</v>
      </c>
    </row>
    <row r="2627" ht="15.75" customHeight="1">
      <c r="A2627" s="14">
        <v>40203.0</v>
      </c>
      <c r="B2627" s="15">
        <v>0.86</v>
      </c>
      <c r="C2627" s="15"/>
      <c r="D2627" s="15">
        <v>4.05</v>
      </c>
      <c r="E2627" s="15">
        <v>4.05</v>
      </c>
      <c r="F2627" s="15" t="str">
        <f t="shared" si="1"/>
        <v/>
      </c>
      <c r="G2627" s="15">
        <f t="shared" si="2"/>
        <v>4.05</v>
      </c>
      <c r="H2627" s="16">
        <v>1.0</v>
      </c>
      <c r="I2627" s="15">
        <f t="shared" si="3"/>
        <v>3.19</v>
      </c>
      <c r="J2627" s="15">
        <v>25.41</v>
      </c>
      <c r="K2627" s="16">
        <f>IF(COUNTIFS(Release_Calendar!$A$2:$A$755,"US_CPI",Release_Calendar!$B$2:$B$755,$A2627)&gt;0,1,0)</f>
        <v>0</v>
      </c>
      <c r="L2627" s="16">
        <f>IF(COUNTIFS(Release_Calendar!$A$2:$A$755,"US_NFP",Release_Calendar!$B$2:$B$755,$A2627)&gt;0,1,0)</f>
        <v>0</v>
      </c>
      <c r="M2627" s="16" t="str">
        <f>IF($A2627&lt;Notes!$B$5,"",IF(COUNTIFS(Release_Calendar!$A$2:$A$755,"NZ_CPI",Release_Calendar!$B$2:$B$755,$A2627)&gt;0,1,0))</f>
        <v/>
      </c>
      <c r="N2627" s="16" t="str">
        <f>IF($A2627&lt;Notes!$B$5,"",IF(COUNTIFS(Release_Calendar!$A$2:$A$755,"NZ_GDP",Release_Calendar!$B$2:$B$755,$A2627)&gt;0,1,0))</f>
        <v/>
      </c>
      <c r="O2627" s="16" t="str">
        <f>IF($A2627&lt;Notes!$B$5,"",IF(COUNTIFS(Release_Calendar!$A$2:$A$755,"NZ_LABOUR",Release_Calendar!$B$2:$B$755,$A2627)&gt;0,1,0))</f>
        <v/>
      </c>
      <c r="P2627" s="16">
        <f t="shared" si="4"/>
        <v>0</v>
      </c>
    </row>
    <row r="2628" ht="15.75" customHeight="1">
      <c r="A2628" s="14">
        <v>40204.0</v>
      </c>
      <c r="B2628" s="15">
        <v>0.87</v>
      </c>
      <c r="C2628" s="15"/>
      <c r="D2628" s="15">
        <v>4.04</v>
      </c>
      <c r="E2628" s="15">
        <v>4.04</v>
      </c>
      <c r="F2628" s="15" t="str">
        <f t="shared" si="1"/>
        <v/>
      </c>
      <c r="G2628" s="15">
        <f t="shared" si="2"/>
        <v>4.04</v>
      </c>
      <c r="H2628" s="16">
        <v>1.0</v>
      </c>
      <c r="I2628" s="15">
        <f t="shared" si="3"/>
        <v>3.17</v>
      </c>
      <c r="J2628" s="15">
        <v>24.55</v>
      </c>
      <c r="K2628" s="16">
        <f>IF(COUNTIFS(Release_Calendar!$A$2:$A$755,"US_CPI",Release_Calendar!$B$2:$B$755,$A2628)&gt;0,1,0)</f>
        <v>0</v>
      </c>
      <c r="L2628" s="16">
        <f>IF(COUNTIFS(Release_Calendar!$A$2:$A$755,"US_NFP",Release_Calendar!$B$2:$B$755,$A2628)&gt;0,1,0)</f>
        <v>0</v>
      </c>
      <c r="M2628" s="16" t="str">
        <f>IF($A2628&lt;Notes!$B$5,"",IF(COUNTIFS(Release_Calendar!$A$2:$A$755,"NZ_CPI",Release_Calendar!$B$2:$B$755,$A2628)&gt;0,1,0))</f>
        <v/>
      </c>
      <c r="N2628" s="16" t="str">
        <f>IF($A2628&lt;Notes!$B$5,"",IF(COUNTIFS(Release_Calendar!$A$2:$A$755,"NZ_GDP",Release_Calendar!$B$2:$B$755,$A2628)&gt;0,1,0))</f>
        <v/>
      </c>
      <c r="O2628" s="16" t="str">
        <f>IF($A2628&lt;Notes!$B$5,"",IF(COUNTIFS(Release_Calendar!$A$2:$A$755,"NZ_LABOUR",Release_Calendar!$B$2:$B$755,$A2628)&gt;0,1,0))</f>
        <v/>
      </c>
      <c r="P2628" s="16">
        <f t="shared" si="4"/>
        <v>0</v>
      </c>
    </row>
    <row r="2629" ht="15.75" customHeight="1">
      <c r="A2629" s="14">
        <v>40205.0</v>
      </c>
      <c r="B2629" s="15">
        <v>0.9</v>
      </c>
      <c r="C2629" s="15"/>
      <c r="D2629" s="15">
        <v>4.01</v>
      </c>
      <c r="E2629" s="15">
        <v>4.02</v>
      </c>
      <c r="F2629" s="15" t="str">
        <f t="shared" si="1"/>
        <v/>
      </c>
      <c r="G2629" s="15">
        <f t="shared" si="2"/>
        <v>4.01</v>
      </c>
      <c r="H2629" s="16">
        <v>1.0</v>
      </c>
      <c r="I2629" s="15">
        <f t="shared" si="3"/>
        <v>3.11</v>
      </c>
      <c r="J2629" s="15">
        <v>23.14</v>
      </c>
      <c r="K2629" s="16">
        <f>IF(COUNTIFS(Release_Calendar!$A$2:$A$755,"US_CPI",Release_Calendar!$B$2:$B$755,$A2629)&gt;0,1,0)</f>
        <v>0</v>
      </c>
      <c r="L2629" s="16">
        <f>IF(COUNTIFS(Release_Calendar!$A$2:$A$755,"US_NFP",Release_Calendar!$B$2:$B$755,$A2629)&gt;0,1,0)</f>
        <v>0</v>
      </c>
      <c r="M2629" s="16" t="str">
        <f>IF($A2629&lt;Notes!$B$5,"",IF(COUNTIFS(Release_Calendar!$A$2:$A$755,"NZ_CPI",Release_Calendar!$B$2:$B$755,$A2629)&gt;0,1,0))</f>
        <v/>
      </c>
      <c r="N2629" s="16" t="str">
        <f>IF($A2629&lt;Notes!$B$5,"",IF(COUNTIFS(Release_Calendar!$A$2:$A$755,"NZ_GDP",Release_Calendar!$B$2:$B$755,$A2629)&gt;0,1,0))</f>
        <v/>
      </c>
      <c r="O2629" s="16" t="str">
        <f>IF($A2629&lt;Notes!$B$5,"",IF(COUNTIFS(Release_Calendar!$A$2:$A$755,"NZ_LABOUR",Release_Calendar!$B$2:$B$755,$A2629)&gt;0,1,0))</f>
        <v/>
      </c>
      <c r="P2629" s="16">
        <f t="shared" si="4"/>
        <v>0</v>
      </c>
    </row>
    <row r="2630" ht="15.75" customHeight="1">
      <c r="A2630" s="14">
        <v>40206.0</v>
      </c>
      <c r="B2630" s="15">
        <v>0.87</v>
      </c>
      <c r="C2630" s="15"/>
      <c r="D2630" s="15">
        <v>4.03</v>
      </c>
      <c r="E2630" s="15">
        <v>4.05</v>
      </c>
      <c r="F2630" s="15" t="str">
        <f t="shared" si="1"/>
        <v/>
      </c>
      <c r="G2630" s="15">
        <f t="shared" si="2"/>
        <v>4.03</v>
      </c>
      <c r="H2630" s="16">
        <v>1.0</v>
      </c>
      <c r="I2630" s="15">
        <f t="shared" si="3"/>
        <v>3.16</v>
      </c>
      <c r="J2630" s="15">
        <v>23.73</v>
      </c>
      <c r="K2630" s="16">
        <f>IF(COUNTIFS(Release_Calendar!$A$2:$A$755,"US_CPI",Release_Calendar!$B$2:$B$755,$A2630)&gt;0,1,0)</f>
        <v>0</v>
      </c>
      <c r="L2630" s="16">
        <f>IF(COUNTIFS(Release_Calendar!$A$2:$A$755,"US_NFP",Release_Calendar!$B$2:$B$755,$A2630)&gt;0,1,0)</f>
        <v>0</v>
      </c>
      <c r="M2630" s="16" t="str">
        <f>IF($A2630&lt;Notes!$B$5,"",IF(COUNTIFS(Release_Calendar!$A$2:$A$755,"NZ_CPI",Release_Calendar!$B$2:$B$755,$A2630)&gt;0,1,0))</f>
        <v/>
      </c>
      <c r="N2630" s="16" t="str">
        <f>IF($A2630&lt;Notes!$B$5,"",IF(COUNTIFS(Release_Calendar!$A$2:$A$755,"NZ_GDP",Release_Calendar!$B$2:$B$755,$A2630)&gt;0,1,0))</f>
        <v/>
      </c>
      <c r="O2630" s="16" t="str">
        <f>IF($A2630&lt;Notes!$B$5,"",IF(COUNTIFS(Release_Calendar!$A$2:$A$755,"NZ_LABOUR",Release_Calendar!$B$2:$B$755,$A2630)&gt;0,1,0))</f>
        <v/>
      </c>
      <c r="P2630" s="16">
        <f t="shared" si="4"/>
        <v>0</v>
      </c>
    </row>
    <row r="2631" ht="15.75" customHeight="1">
      <c r="A2631" s="14">
        <v>40207.0</v>
      </c>
      <c r="B2631" s="15">
        <v>0.82</v>
      </c>
      <c r="C2631" s="15"/>
      <c r="D2631" s="15">
        <v>4.05</v>
      </c>
      <c r="E2631" s="15">
        <v>3.99</v>
      </c>
      <c r="F2631" s="15" t="str">
        <f t="shared" si="1"/>
        <v/>
      </c>
      <c r="G2631" s="15">
        <f t="shared" si="2"/>
        <v>4.05</v>
      </c>
      <c r="H2631" s="16">
        <v>1.0</v>
      </c>
      <c r="I2631" s="15">
        <f t="shared" si="3"/>
        <v>3.23</v>
      </c>
      <c r="J2631" s="15">
        <v>24.62</v>
      </c>
      <c r="K2631" s="16">
        <f>IF(COUNTIFS(Release_Calendar!$A$2:$A$755,"US_CPI",Release_Calendar!$B$2:$B$755,$A2631)&gt;0,1,0)</f>
        <v>0</v>
      </c>
      <c r="L2631" s="16">
        <f>IF(COUNTIFS(Release_Calendar!$A$2:$A$755,"US_NFP",Release_Calendar!$B$2:$B$755,$A2631)&gt;0,1,0)</f>
        <v>0</v>
      </c>
      <c r="M2631" s="16" t="str">
        <f>IF($A2631&lt;Notes!$B$5,"",IF(COUNTIFS(Release_Calendar!$A$2:$A$755,"NZ_CPI",Release_Calendar!$B$2:$B$755,$A2631)&gt;0,1,0))</f>
        <v/>
      </c>
      <c r="N2631" s="16" t="str">
        <f>IF($A2631&lt;Notes!$B$5,"",IF(COUNTIFS(Release_Calendar!$A$2:$A$755,"NZ_GDP",Release_Calendar!$B$2:$B$755,$A2631)&gt;0,1,0))</f>
        <v/>
      </c>
      <c r="O2631" s="16" t="str">
        <f>IF($A2631&lt;Notes!$B$5,"",IF(COUNTIFS(Release_Calendar!$A$2:$A$755,"NZ_LABOUR",Release_Calendar!$B$2:$B$755,$A2631)&gt;0,1,0))</f>
        <v/>
      </c>
      <c r="P2631" s="16">
        <f t="shared" si="4"/>
        <v>0</v>
      </c>
    </row>
    <row r="2632" ht="15.75" customHeight="1">
      <c r="A2632" s="14">
        <v>40210.0</v>
      </c>
      <c r="B2632" s="15">
        <v>0.86</v>
      </c>
      <c r="C2632" s="15"/>
      <c r="D2632" s="15">
        <v>3.99</v>
      </c>
      <c r="E2632" s="15">
        <v>3.99</v>
      </c>
      <c r="F2632" s="15" t="str">
        <f t="shared" si="1"/>
        <v/>
      </c>
      <c r="G2632" s="15">
        <f t="shared" si="2"/>
        <v>3.99</v>
      </c>
      <c r="H2632" s="16">
        <v>1.0</v>
      </c>
      <c r="I2632" s="15">
        <f t="shared" si="3"/>
        <v>3.13</v>
      </c>
      <c r="J2632" s="15">
        <v>22.59</v>
      </c>
      <c r="K2632" s="16">
        <f>IF(COUNTIFS(Release_Calendar!$A$2:$A$755,"US_CPI",Release_Calendar!$B$2:$B$755,$A2632)&gt;0,1,0)</f>
        <v>0</v>
      </c>
      <c r="L2632" s="16">
        <f>IF(COUNTIFS(Release_Calendar!$A$2:$A$755,"US_NFP",Release_Calendar!$B$2:$B$755,$A2632)&gt;0,1,0)</f>
        <v>0</v>
      </c>
      <c r="M2632" s="16" t="str">
        <f>IF($A2632&lt;Notes!$B$5,"",IF(COUNTIFS(Release_Calendar!$A$2:$A$755,"NZ_CPI",Release_Calendar!$B$2:$B$755,$A2632)&gt;0,1,0))</f>
        <v/>
      </c>
      <c r="N2632" s="16" t="str">
        <f>IF($A2632&lt;Notes!$B$5,"",IF(COUNTIFS(Release_Calendar!$A$2:$A$755,"NZ_GDP",Release_Calendar!$B$2:$B$755,$A2632)&gt;0,1,0))</f>
        <v/>
      </c>
      <c r="O2632" s="16" t="str">
        <f>IF($A2632&lt;Notes!$B$5,"",IF(COUNTIFS(Release_Calendar!$A$2:$A$755,"NZ_LABOUR",Release_Calendar!$B$2:$B$755,$A2632)&gt;0,1,0))</f>
        <v/>
      </c>
      <c r="P2632" s="16">
        <f t="shared" si="4"/>
        <v>0</v>
      </c>
    </row>
    <row r="2633" ht="15.75" customHeight="1">
      <c r="A2633" s="14">
        <v>40211.0</v>
      </c>
      <c r="B2633" s="15">
        <v>0.86</v>
      </c>
      <c r="C2633" s="15"/>
      <c r="D2633" s="15">
        <v>4.0</v>
      </c>
      <c r="E2633" s="15">
        <v>4.01</v>
      </c>
      <c r="F2633" s="15" t="str">
        <f t="shared" si="1"/>
        <v/>
      </c>
      <c r="G2633" s="15">
        <f t="shared" si="2"/>
        <v>4</v>
      </c>
      <c r="H2633" s="16">
        <v>1.0</v>
      </c>
      <c r="I2633" s="15">
        <f t="shared" si="3"/>
        <v>3.14</v>
      </c>
      <c r="J2633" s="15">
        <v>21.48</v>
      </c>
      <c r="K2633" s="16">
        <f>IF(COUNTIFS(Release_Calendar!$A$2:$A$755,"US_CPI",Release_Calendar!$B$2:$B$755,$A2633)&gt;0,1,0)</f>
        <v>0</v>
      </c>
      <c r="L2633" s="16">
        <f>IF(COUNTIFS(Release_Calendar!$A$2:$A$755,"US_NFP",Release_Calendar!$B$2:$B$755,$A2633)&gt;0,1,0)</f>
        <v>0</v>
      </c>
      <c r="M2633" s="16" t="str">
        <f>IF($A2633&lt;Notes!$B$5,"",IF(COUNTIFS(Release_Calendar!$A$2:$A$755,"NZ_CPI",Release_Calendar!$B$2:$B$755,$A2633)&gt;0,1,0))</f>
        <v/>
      </c>
      <c r="N2633" s="16" t="str">
        <f>IF($A2633&lt;Notes!$B$5,"",IF(COUNTIFS(Release_Calendar!$A$2:$A$755,"NZ_GDP",Release_Calendar!$B$2:$B$755,$A2633)&gt;0,1,0))</f>
        <v/>
      </c>
      <c r="O2633" s="16" t="str">
        <f>IF($A2633&lt;Notes!$B$5,"",IF(COUNTIFS(Release_Calendar!$A$2:$A$755,"NZ_LABOUR",Release_Calendar!$B$2:$B$755,$A2633)&gt;0,1,0))</f>
        <v/>
      </c>
      <c r="P2633" s="16">
        <f t="shared" si="4"/>
        <v>0</v>
      </c>
    </row>
    <row r="2634" ht="15.75" customHeight="1">
      <c r="A2634" s="14">
        <v>40212.0</v>
      </c>
      <c r="B2634" s="15">
        <v>0.88</v>
      </c>
      <c r="C2634" s="15"/>
      <c r="D2634" s="15">
        <v>3.96</v>
      </c>
      <c r="E2634" s="15">
        <v>3.96</v>
      </c>
      <c r="F2634" s="15" t="str">
        <f t="shared" si="1"/>
        <v/>
      </c>
      <c r="G2634" s="15">
        <f t="shared" si="2"/>
        <v>3.96</v>
      </c>
      <c r="H2634" s="16">
        <v>1.0</v>
      </c>
      <c r="I2634" s="15">
        <f t="shared" si="3"/>
        <v>3.08</v>
      </c>
      <c r="J2634" s="15">
        <v>21.6</v>
      </c>
      <c r="K2634" s="16">
        <f>IF(COUNTIFS(Release_Calendar!$A$2:$A$755,"US_CPI",Release_Calendar!$B$2:$B$755,$A2634)&gt;0,1,0)</f>
        <v>0</v>
      </c>
      <c r="L2634" s="16">
        <f>IF(COUNTIFS(Release_Calendar!$A$2:$A$755,"US_NFP",Release_Calendar!$B$2:$B$755,$A2634)&gt;0,1,0)</f>
        <v>0</v>
      </c>
      <c r="M2634" s="16" t="str">
        <f>IF($A2634&lt;Notes!$B$5,"",IF(COUNTIFS(Release_Calendar!$A$2:$A$755,"NZ_CPI",Release_Calendar!$B$2:$B$755,$A2634)&gt;0,1,0))</f>
        <v/>
      </c>
      <c r="N2634" s="16" t="str">
        <f>IF($A2634&lt;Notes!$B$5,"",IF(COUNTIFS(Release_Calendar!$A$2:$A$755,"NZ_GDP",Release_Calendar!$B$2:$B$755,$A2634)&gt;0,1,0))</f>
        <v/>
      </c>
      <c r="O2634" s="16" t="str">
        <f>IF($A2634&lt;Notes!$B$5,"",IF(COUNTIFS(Release_Calendar!$A$2:$A$755,"NZ_LABOUR",Release_Calendar!$B$2:$B$755,$A2634)&gt;0,1,0))</f>
        <v/>
      </c>
      <c r="P2634" s="16">
        <f t="shared" si="4"/>
        <v>0</v>
      </c>
    </row>
    <row r="2635" ht="15.75" customHeight="1">
      <c r="A2635" s="14">
        <v>40213.0</v>
      </c>
      <c r="B2635" s="15">
        <v>0.8</v>
      </c>
      <c r="C2635" s="15"/>
      <c r="D2635" s="15">
        <v>3.9</v>
      </c>
      <c r="E2635" s="15">
        <v>3.87</v>
      </c>
      <c r="F2635" s="15" t="str">
        <f t="shared" si="1"/>
        <v/>
      </c>
      <c r="G2635" s="15">
        <f t="shared" si="2"/>
        <v>3.9</v>
      </c>
      <c r="H2635" s="16">
        <v>1.0</v>
      </c>
      <c r="I2635" s="15">
        <f t="shared" si="3"/>
        <v>3.1</v>
      </c>
      <c r="J2635" s="15">
        <v>26.08</v>
      </c>
      <c r="K2635" s="16">
        <f>IF(COUNTIFS(Release_Calendar!$A$2:$A$755,"US_CPI",Release_Calendar!$B$2:$B$755,$A2635)&gt;0,1,0)</f>
        <v>0</v>
      </c>
      <c r="L2635" s="16">
        <f>IF(COUNTIFS(Release_Calendar!$A$2:$A$755,"US_NFP",Release_Calendar!$B$2:$B$755,$A2635)&gt;0,1,0)</f>
        <v>0</v>
      </c>
      <c r="M2635" s="16" t="str">
        <f>IF($A2635&lt;Notes!$B$5,"",IF(COUNTIFS(Release_Calendar!$A$2:$A$755,"NZ_CPI",Release_Calendar!$B$2:$B$755,$A2635)&gt;0,1,0))</f>
        <v/>
      </c>
      <c r="N2635" s="16" t="str">
        <f>IF($A2635&lt;Notes!$B$5,"",IF(COUNTIFS(Release_Calendar!$A$2:$A$755,"NZ_GDP",Release_Calendar!$B$2:$B$755,$A2635)&gt;0,1,0))</f>
        <v/>
      </c>
      <c r="O2635" s="16" t="str">
        <f>IF($A2635&lt;Notes!$B$5,"",IF(COUNTIFS(Release_Calendar!$A$2:$A$755,"NZ_LABOUR",Release_Calendar!$B$2:$B$755,$A2635)&gt;0,1,0))</f>
        <v/>
      </c>
      <c r="P2635" s="16">
        <f t="shared" si="4"/>
        <v>0</v>
      </c>
    </row>
    <row r="2636" ht="15.75" customHeight="1">
      <c r="A2636" s="14">
        <v>40214.0</v>
      </c>
      <c r="B2636" s="15">
        <v>0.77</v>
      </c>
      <c r="C2636" s="15"/>
      <c r="D2636" s="15">
        <v>3.84</v>
      </c>
      <c r="E2636" s="15">
        <v>3.84</v>
      </c>
      <c r="F2636" s="15" t="str">
        <f t="shared" si="1"/>
        <v/>
      </c>
      <c r="G2636" s="15">
        <f t="shared" si="2"/>
        <v>3.84</v>
      </c>
      <c r="H2636" s="16">
        <v>1.0</v>
      </c>
      <c r="I2636" s="15">
        <f t="shared" si="3"/>
        <v>3.07</v>
      </c>
      <c r="J2636" s="15">
        <v>26.11</v>
      </c>
      <c r="K2636" s="16">
        <f>IF(COUNTIFS(Release_Calendar!$A$2:$A$755,"US_CPI",Release_Calendar!$B$2:$B$755,$A2636)&gt;0,1,0)</f>
        <v>0</v>
      </c>
      <c r="L2636" s="16">
        <f>IF(COUNTIFS(Release_Calendar!$A$2:$A$755,"US_NFP",Release_Calendar!$B$2:$B$755,$A2636)&gt;0,1,0)</f>
        <v>1</v>
      </c>
      <c r="M2636" s="16" t="str">
        <f>IF($A2636&lt;Notes!$B$5,"",IF(COUNTIFS(Release_Calendar!$A$2:$A$755,"NZ_CPI",Release_Calendar!$B$2:$B$755,$A2636)&gt;0,1,0))</f>
        <v/>
      </c>
      <c r="N2636" s="16" t="str">
        <f>IF($A2636&lt;Notes!$B$5,"",IF(COUNTIFS(Release_Calendar!$A$2:$A$755,"NZ_GDP",Release_Calendar!$B$2:$B$755,$A2636)&gt;0,1,0))</f>
        <v/>
      </c>
      <c r="O2636" s="16" t="str">
        <f>IF($A2636&lt;Notes!$B$5,"",IF(COUNTIFS(Release_Calendar!$A$2:$A$755,"NZ_LABOUR",Release_Calendar!$B$2:$B$755,$A2636)&gt;0,1,0))</f>
        <v/>
      </c>
      <c r="P2636" s="16">
        <f t="shared" si="4"/>
        <v>1</v>
      </c>
    </row>
    <row r="2637" ht="15.75" customHeight="1">
      <c r="A2637" s="14">
        <v>40217.0</v>
      </c>
      <c r="B2637" s="15">
        <v>0.79</v>
      </c>
      <c r="C2637" s="15"/>
      <c r="D2637" s="15">
        <v>3.83</v>
      </c>
      <c r="E2637" s="15">
        <v>3.83</v>
      </c>
      <c r="F2637" s="15" t="str">
        <f t="shared" si="1"/>
        <v/>
      </c>
      <c r="G2637" s="15">
        <f t="shared" si="2"/>
        <v>3.83</v>
      </c>
      <c r="H2637" s="16">
        <v>1.0</v>
      </c>
      <c r="I2637" s="15">
        <f t="shared" si="3"/>
        <v>3.04</v>
      </c>
      <c r="J2637" s="15">
        <v>26.51</v>
      </c>
      <c r="K2637" s="16">
        <f>IF(COUNTIFS(Release_Calendar!$A$2:$A$755,"US_CPI",Release_Calendar!$B$2:$B$755,$A2637)&gt;0,1,0)</f>
        <v>0</v>
      </c>
      <c r="L2637" s="16">
        <f>IF(COUNTIFS(Release_Calendar!$A$2:$A$755,"US_NFP",Release_Calendar!$B$2:$B$755,$A2637)&gt;0,1,0)</f>
        <v>0</v>
      </c>
      <c r="M2637" s="16" t="str">
        <f>IF($A2637&lt;Notes!$B$5,"",IF(COUNTIFS(Release_Calendar!$A$2:$A$755,"NZ_CPI",Release_Calendar!$B$2:$B$755,$A2637)&gt;0,1,0))</f>
        <v/>
      </c>
      <c r="N2637" s="16" t="str">
        <f>IF($A2637&lt;Notes!$B$5,"",IF(COUNTIFS(Release_Calendar!$A$2:$A$755,"NZ_GDP",Release_Calendar!$B$2:$B$755,$A2637)&gt;0,1,0))</f>
        <v/>
      </c>
      <c r="O2637" s="16" t="str">
        <f>IF($A2637&lt;Notes!$B$5,"",IF(COUNTIFS(Release_Calendar!$A$2:$A$755,"NZ_LABOUR",Release_Calendar!$B$2:$B$755,$A2637)&gt;0,1,0))</f>
        <v/>
      </c>
      <c r="P2637" s="16">
        <f t="shared" si="4"/>
        <v>0</v>
      </c>
    </row>
    <row r="2638" ht="15.75" customHeight="1">
      <c r="A2638" s="14">
        <v>40218.0</v>
      </c>
      <c r="B2638" s="15">
        <v>0.84</v>
      </c>
      <c r="C2638" s="15"/>
      <c r="D2638" s="15">
        <v>3.83</v>
      </c>
      <c r="E2638" s="15">
        <v>3.81</v>
      </c>
      <c r="F2638" s="15" t="str">
        <f t="shared" si="1"/>
        <v/>
      </c>
      <c r="G2638" s="15">
        <f t="shared" si="2"/>
        <v>3.83</v>
      </c>
      <c r="H2638" s="16">
        <v>1.0</v>
      </c>
      <c r="I2638" s="15">
        <f t="shared" si="3"/>
        <v>2.99</v>
      </c>
      <c r="J2638" s="15">
        <v>26.0</v>
      </c>
      <c r="K2638" s="16">
        <f>IF(COUNTIFS(Release_Calendar!$A$2:$A$755,"US_CPI",Release_Calendar!$B$2:$B$755,$A2638)&gt;0,1,0)</f>
        <v>0</v>
      </c>
      <c r="L2638" s="16">
        <f>IF(COUNTIFS(Release_Calendar!$A$2:$A$755,"US_NFP",Release_Calendar!$B$2:$B$755,$A2638)&gt;0,1,0)</f>
        <v>0</v>
      </c>
      <c r="M2638" s="16" t="str">
        <f>IF($A2638&lt;Notes!$B$5,"",IF(COUNTIFS(Release_Calendar!$A$2:$A$755,"NZ_CPI",Release_Calendar!$B$2:$B$755,$A2638)&gt;0,1,0))</f>
        <v/>
      </c>
      <c r="N2638" s="16" t="str">
        <f>IF($A2638&lt;Notes!$B$5,"",IF(COUNTIFS(Release_Calendar!$A$2:$A$755,"NZ_GDP",Release_Calendar!$B$2:$B$755,$A2638)&gt;0,1,0))</f>
        <v/>
      </c>
      <c r="O2638" s="16" t="str">
        <f>IF($A2638&lt;Notes!$B$5,"",IF(COUNTIFS(Release_Calendar!$A$2:$A$755,"NZ_LABOUR",Release_Calendar!$B$2:$B$755,$A2638)&gt;0,1,0))</f>
        <v/>
      </c>
      <c r="P2638" s="16">
        <f t="shared" si="4"/>
        <v>0</v>
      </c>
    </row>
    <row r="2639" ht="15.75" customHeight="1">
      <c r="A2639" s="14">
        <v>40219.0</v>
      </c>
      <c r="B2639" s="15">
        <v>0.91</v>
      </c>
      <c r="C2639" s="15"/>
      <c r="D2639" s="15">
        <v>3.85</v>
      </c>
      <c r="E2639" s="15">
        <v>3.85</v>
      </c>
      <c r="F2639" s="15" t="str">
        <f t="shared" si="1"/>
        <v/>
      </c>
      <c r="G2639" s="15">
        <f t="shared" si="2"/>
        <v>3.85</v>
      </c>
      <c r="H2639" s="16">
        <v>1.0</v>
      </c>
      <c r="I2639" s="15">
        <f t="shared" si="3"/>
        <v>2.94</v>
      </c>
      <c r="J2639" s="15">
        <v>25.4</v>
      </c>
      <c r="K2639" s="16">
        <f>IF(COUNTIFS(Release_Calendar!$A$2:$A$755,"US_CPI",Release_Calendar!$B$2:$B$755,$A2639)&gt;0,1,0)</f>
        <v>0</v>
      </c>
      <c r="L2639" s="16">
        <f>IF(COUNTIFS(Release_Calendar!$A$2:$A$755,"US_NFP",Release_Calendar!$B$2:$B$755,$A2639)&gt;0,1,0)</f>
        <v>0</v>
      </c>
      <c r="M2639" s="16" t="str">
        <f>IF($A2639&lt;Notes!$B$5,"",IF(COUNTIFS(Release_Calendar!$A$2:$A$755,"NZ_CPI",Release_Calendar!$B$2:$B$755,$A2639)&gt;0,1,0))</f>
        <v/>
      </c>
      <c r="N2639" s="16" t="str">
        <f>IF($A2639&lt;Notes!$B$5,"",IF(COUNTIFS(Release_Calendar!$A$2:$A$755,"NZ_GDP",Release_Calendar!$B$2:$B$755,$A2639)&gt;0,1,0))</f>
        <v/>
      </c>
      <c r="O2639" s="16" t="str">
        <f>IF($A2639&lt;Notes!$B$5,"",IF(COUNTIFS(Release_Calendar!$A$2:$A$755,"NZ_LABOUR",Release_Calendar!$B$2:$B$755,$A2639)&gt;0,1,0))</f>
        <v/>
      </c>
      <c r="P2639" s="16">
        <f t="shared" si="4"/>
        <v>0</v>
      </c>
    </row>
    <row r="2640" ht="15.75" customHeight="1">
      <c r="A2640" s="14">
        <v>40220.0</v>
      </c>
      <c r="B2640" s="15">
        <v>0.91</v>
      </c>
      <c r="C2640" s="15"/>
      <c r="D2640" s="15">
        <v>3.86</v>
      </c>
      <c r="E2640" s="15">
        <v>3.91</v>
      </c>
      <c r="F2640" s="15" t="str">
        <f t="shared" si="1"/>
        <v/>
      </c>
      <c r="G2640" s="15">
        <f t="shared" si="2"/>
        <v>3.86</v>
      </c>
      <c r="H2640" s="16">
        <v>1.0</v>
      </c>
      <c r="I2640" s="15">
        <f t="shared" si="3"/>
        <v>2.95</v>
      </c>
      <c r="J2640" s="15">
        <v>23.96</v>
      </c>
      <c r="K2640" s="16">
        <f>IF(COUNTIFS(Release_Calendar!$A$2:$A$755,"US_CPI",Release_Calendar!$B$2:$B$755,$A2640)&gt;0,1,0)</f>
        <v>0</v>
      </c>
      <c r="L2640" s="16">
        <f>IF(COUNTIFS(Release_Calendar!$A$2:$A$755,"US_NFP",Release_Calendar!$B$2:$B$755,$A2640)&gt;0,1,0)</f>
        <v>0</v>
      </c>
      <c r="M2640" s="16" t="str">
        <f>IF($A2640&lt;Notes!$B$5,"",IF(COUNTIFS(Release_Calendar!$A$2:$A$755,"NZ_CPI",Release_Calendar!$B$2:$B$755,$A2640)&gt;0,1,0))</f>
        <v/>
      </c>
      <c r="N2640" s="16" t="str">
        <f>IF($A2640&lt;Notes!$B$5,"",IF(COUNTIFS(Release_Calendar!$A$2:$A$755,"NZ_GDP",Release_Calendar!$B$2:$B$755,$A2640)&gt;0,1,0))</f>
        <v/>
      </c>
      <c r="O2640" s="16" t="str">
        <f>IF($A2640&lt;Notes!$B$5,"",IF(COUNTIFS(Release_Calendar!$A$2:$A$755,"NZ_LABOUR",Release_Calendar!$B$2:$B$755,$A2640)&gt;0,1,0))</f>
        <v/>
      </c>
      <c r="P2640" s="16">
        <f t="shared" si="4"/>
        <v>0</v>
      </c>
    </row>
    <row r="2641" ht="15.75" customHeight="1">
      <c r="A2641" s="14">
        <v>40221.0</v>
      </c>
      <c r="B2641" s="15">
        <v>0.84</v>
      </c>
      <c r="C2641" s="15"/>
      <c r="D2641" s="15">
        <v>3.88</v>
      </c>
      <c r="E2641" s="15">
        <v>3.86</v>
      </c>
      <c r="F2641" s="15" t="str">
        <f t="shared" si="1"/>
        <v/>
      </c>
      <c r="G2641" s="15">
        <f t="shared" si="2"/>
        <v>3.88</v>
      </c>
      <c r="H2641" s="16">
        <v>1.0</v>
      </c>
      <c r="I2641" s="15">
        <f t="shared" si="3"/>
        <v>3.04</v>
      </c>
      <c r="J2641" s="15">
        <v>22.73</v>
      </c>
      <c r="K2641" s="16">
        <f>IF(COUNTIFS(Release_Calendar!$A$2:$A$755,"US_CPI",Release_Calendar!$B$2:$B$755,$A2641)&gt;0,1,0)</f>
        <v>0</v>
      </c>
      <c r="L2641" s="16">
        <f>IF(COUNTIFS(Release_Calendar!$A$2:$A$755,"US_NFP",Release_Calendar!$B$2:$B$755,$A2641)&gt;0,1,0)</f>
        <v>0</v>
      </c>
      <c r="M2641" s="16" t="str">
        <f>IF($A2641&lt;Notes!$B$5,"",IF(COUNTIFS(Release_Calendar!$A$2:$A$755,"NZ_CPI",Release_Calendar!$B$2:$B$755,$A2641)&gt;0,1,0))</f>
        <v/>
      </c>
      <c r="N2641" s="16" t="str">
        <f>IF($A2641&lt;Notes!$B$5,"",IF(COUNTIFS(Release_Calendar!$A$2:$A$755,"NZ_GDP",Release_Calendar!$B$2:$B$755,$A2641)&gt;0,1,0))</f>
        <v/>
      </c>
      <c r="O2641" s="16" t="str">
        <f>IF($A2641&lt;Notes!$B$5,"",IF(COUNTIFS(Release_Calendar!$A$2:$A$755,"NZ_LABOUR",Release_Calendar!$B$2:$B$755,$A2641)&gt;0,1,0))</f>
        <v/>
      </c>
      <c r="P2641" s="16">
        <f t="shared" si="4"/>
        <v>0</v>
      </c>
    </row>
    <row r="2642" ht="15.75" customHeight="1">
      <c r="A2642" s="14">
        <v>40224.0</v>
      </c>
      <c r="B2642" s="15"/>
      <c r="C2642" s="15"/>
      <c r="D2642" s="15">
        <v>3.84</v>
      </c>
      <c r="E2642" s="15">
        <v>3.82</v>
      </c>
      <c r="F2642" s="15" t="str">
        <f t="shared" si="1"/>
        <v/>
      </c>
      <c r="G2642" s="15">
        <f t="shared" si="2"/>
        <v>3.84</v>
      </c>
      <c r="H2642" s="16">
        <v>1.0</v>
      </c>
      <c r="I2642" s="15" t="str">
        <f t="shared" si="3"/>
        <v/>
      </c>
      <c r="J2642" s="15"/>
      <c r="K2642" s="16">
        <f>IF(COUNTIFS(Release_Calendar!$A$2:$A$755,"US_CPI",Release_Calendar!$B$2:$B$755,$A2642)&gt;0,1,0)</f>
        <v>0</v>
      </c>
      <c r="L2642" s="16">
        <f>IF(COUNTIFS(Release_Calendar!$A$2:$A$755,"US_NFP",Release_Calendar!$B$2:$B$755,$A2642)&gt;0,1,0)</f>
        <v>0</v>
      </c>
      <c r="M2642" s="16" t="str">
        <f>IF($A2642&lt;Notes!$B$5,"",IF(COUNTIFS(Release_Calendar!$A$2:$A$755,"NZ_CPI",Release_Calendar!$B$2:$B$755,$A2642)&gt;0,1,0))</f>
        <v/>
      </c>
      <c r="N2642" s="16" t="str">
        <f>IF($A2642&lt;Notes!$B$5,"",IF(COUNTIFS(Release_Calendar!$A$2:$A$755,"NZ_GDP",Release_Calendar!$B$2:$B$755,$A2642)&gt;0,1,0))</f>
        <v/>
      </c>
      <c r="O2642" s="16" t="str">
        <f>IF($A2642&lt;Notes!$B$5,"",IF(COUNTIFS(Release_Calendar!$A$2:$A$755,"NZ_LABOUR",Release_Calendar!$B$2:$B$755,$A2642)&gt;0,1,0))</f>
        <v/>
      </c>
      <c r="P2642" s="16">
        <f t="shared" si="4"/>
        <v>0</v>
      </c>
    </row>
    <row r="2643" ht="15.75" customHeight="1">
      <c r="A2643" s="14">
        <v>40225.0</v>
      </c>
      <c r="B2643" s="15">
        <v>0.82</v>
      </c>
      <c r="C2643" s="15"/>
      <c r="D2643" s="15">
        <v>3.82</v>
      </c>
      <c r="E2643" s="15">
        <v>3.79</v>
      </c>
      <c r="F2643" s="15" t="str">
        <f t="shared" si="1"/>
        <v/>
      </c>
      <c r="G2643" s="15">
        <f t="shared" si="2"/>
        <v>3.82</v>
      </c>
      <c r="H2643" s="16">
        <v>1.0</v>
      </c>
      <c r="I2643" s="15">
        <f t="shared" si="3"/>
        <v>3</v>
      </c>
      <c r="J2643" s="15">
        <v>22.25</v>
      </c>
      <c r="K2643" s="16">
        <f>IF(COUNTIFS(Release_Calendar!$A$2:$A$755,"US_CPI",Release_Calendar!$B$2:$B$755,$A2643)&gt;0,1,0)</f>
        <v>0</v>
      </c>
      <c r="L2643" s="16">
        <f>IF(COUNTIFS(Release_Calendar!$A$2:$A$755,"US_NFP",Release_Calendar!$B$2:$B$755,$A2643)&gt;0,1,0)</f>
        <v>0</v>
      </c>
      <c r="M2643" s="16" t="str">
        <f>IF($A2643&lt;Notes!$B$5,"",IF(COUNTIFS(Release_Calendar!$A$2:$A$755,"NZ_CPI",Release_Calendar!$B$2:$B$755,$A2643)&gt;0,1,0))</f>
        <v/>
      </c>
      <c r="N2643" s="16" t="str">
        <f>IF($A2643&lt;Notes!$B$5,"",IF(COUNTIFS(Release_Calendar!$A$2:$A$755,"NZ_GDP",Release_Calendar!$B$2:$B$755,$A2643)&gt;0,1,0))</f>
        <v/>
      </c>
      <c r="O2643" s="16" t="str">
        <f>IF($A2643&lt;Notes!$B$5,"",IF(COUNTIFS(Release_Calendar!$A$2:$A$755,"NZ_LABOUR",Release_Calendar!$B$2:$B$755,$A2643)&gt;0,1,0))</f>
        <v/>
      </c>
      <c r="P2643" s="16">
        <f t="shared" si="4"/>
        <v>0</v>
      </c>
    </row>
    <row r="2644" ht="15.75" customHeight="1">
      <c r="A2644" s="14">
        <v>40226.0</v>
      </c>
      <c r="B2644" s="15">
        <v>0.87</v>
      </c>
      <c r="C2644" s="15"/>
      <c r="D2644" s="15">
        <v>3.81</v>
      </c>
      <c r="E2644" s="15">
        <v>3.81</v>
      </c>
      <c r="F2644" s="15" t="str">
        <f t="shared" si="1"/>
        <v/>
      </c>
      <c r="G2644" s="15">
        <f t="shared" si="2"/>
        <v>3.81</v>
      </c>
      <c r="H2644" s="16">
        <v>1.0</v>
      </c>
      <c r="I2644" s="15">
        <f t="shared" si="3"/>
        <v>2.94</v>
      </c>
      <c r="J2644" s="15">
        <v>21.72</v>
      </c>
      <c r="K2644" s="16">
        <f>IF(COUNTIFS(Release_Calendar!$A$2:$A$755,"US_CPI",Release_Calendar!$B$2:$B$755,$A2644)&gt;0,1,0)</f>
        <v>0</v>
      </c>
      <c r="L2644" s="16">
        <f>IF(COUNTIFS(Release_Calendar!$A$2:$A$755,"US_NFP",Release_Calendar!$B$2:$B$755,$A2644)&gt;0,1,0)</f>
        <v>0</v>
      </c>
      <c r="M2644" s="16" t="str">
        <f>IF($A2644&lt;Notes!$B$5,"",IF(COUNTIFS(Release_Calendar!$A$2:$A$755,"NZ_CPI",Release_Calendar!$B$2:$B$755,$A2644)&gt;0,1,0))</f>
        <v/>
      </c>
      <c r="N2644" s="16" t="str">
        <f>IF($A2644&lt;Notes!$B$5,"",IF(COUNTIFS(Release_Calendar!$A$2:$A$755,"NZ_GDP",Release_Calendar!$B$2:$B$755,$A2644)&gt;0,1,0))</f>
        <v/>
      </c>
      <c r="O2644" s="16" t="str">
        <f>IF($A2644&lt;Notes!$B$5,"",IF(COUNTIFS(Release_Calendar!$A$2:$A$755,"NZ_LABOUR",Release_Calendar!$B$2:$B$755,$A2644)&gt;0,1,0))</f>
        <v/>
      </c>
      <c r="P2644" s="16">
        <f t="shared" si="4"/>
        <v>0</v>
      </c>
    </row>
    <row r="2645" ht="15.75" customHeight="1">
      <c r="A2645" s="14">
        <v>40227.0</v>
      </c>
      <c r="B2645" s="15">
        <v>0.9</v>
      </c>
      <c r="C2645" s="15"/>
      <c r="D2645" s="15">
        <v>3.82</v>
      </c>
      <c r="E2645" s="15">
        <v>3.8</v>
      </c>
      <c r="F2645" s="15" t="str">
        <f t="shared" si="1"/>
        <v/>
      </c>
      <c r="G2645" s="15">
        <f t="shared" si="2"/>
        <v>3.82</v>
      </c>
      <c r="H2645" s="16">
        <v>1.0</v>
      </c>
      <c r="I2645" s="15">
        <f t="shared" si="3"/>
        <v>2.92</v>
      </c>
      <c r="J2645" s="15">
        <v>20.63</v>
      </c>
      <c r="K2645" s="16">
        <f>IF(COUNTIFS(Release_Calendar!$A$2:$A$755,"US_CPI",Release_Calendar!$B$2:$B$755,$A2645)&gt;0,1,0)</f>
        <v>0</v>
      </c>
      <c r="L2645" s="16">
        <f>IF(COUNTIFS(Release_Calendar!$A$2:$A$755,"US_NFP",Release_Calendar!$B$2:$B$755,$A2645)&gt;0,1,0)</f>
        <v>0</v>
      </c>
      <c r="M2645" s="16" t="str">
        <f>IF($A2645&lt;Notes!$B$5,"",IF(COUNTIFS(Release_Calendar!$A$2:$A$755,"NZ_CPI",Release_Calendar!$B$2:$B$755,$A2645)&gt;0,1,0))</f>
        <v/>
      </c>
      <c r="N2645" s="16" t="str">
        <f>IF($A2645&lt;Notes!$B$5,"",IF(COUNTIFS(Release_Calendar!$A$2:$A$755,"NZ_GDP",Release_Calendar!$B$2:$B$755,$A2645)&gt;0,1,0))</f>
        <v/>
      </c>
      <c r="O2645" s="16" t="str">
        <f>IF($A2645&lt;Notes!$B$5,"",IF(COUNTIFS(Release_Calendar!$A$2:$A$755,"NZ_LABOUR",Release_Calendar!$B$2:$B$755,$A2645)&gt;0,1,0))</f>
        <v/>
      </c>
      <c r="P2645" s="16">
        <f t="shared" si="4"/>
        <v>0</v>
      </c>
    </row>
    <row r="2646" ht="15.75" customHeight="1">
      <c r="A2646" s="14">
        <v>40228.0</v>
      </c>
      <c r="B2646" s="15">
        <v>0.95</v>
      </c>
      <c r="C2646" s="15"/>
      <c r="D2646" s="15">
        <v>3.82</v>
      </c>
      <c r="E2646" s="15">
        <v>3.81</v>
      </c>
      <c r="F2646" s="15" t="str">
        <f t="shared" si="1"/>
        <v/>
      </c>
      <c r="G2646" s="15">
        <f t="shared" si="2"/>
        <v>3.82</v>
      </c>
      <c r="H2646" s="16">
        <v>1.0</v>
      </c>
      <c r="I2646" s="15">
        <f t="shared" si="3"/>
        <v>2.87</v>
      </c>
      <c r="J2646" s="15">
        <v>20.02</v>
      </c>
      <c r="K2646" s="16">
        <f>IF(COUNTIFS(Release_Calendar!$A$2:$A$755,"US_CPI",Release_Calendar!$B$2:$B$755,$A2646)&gt;0,1,0)</f>
        <v>1</v>
      </c>
      <c r="L2646" s="16">
        <f>IF(COUNTIFS(Release_Calendar!$A$2:$A$755,"US_NFP",Release_Calendar!$B$2:$B$755,$A2646)&gt;0,1,0)</f>
        <v>0</v>
      </c>
      <c r="M2646" s="16" t="str">
        <f>IF($A2646&lt;Notes!$B$5,"",IF(COUNTIFS(Release_Calendar!$A$2:$A$755,"NZ_CPI",Release_Calendar!$B$2:$B$755,$A2646)&gt;0,1,0))</f>
        <v/>
      </c>
      <c r="N2646" s="16" t="str">
        <f>IF($A2646&lt;Notes!$B$5,"",IF(COUNTIFS(Release_Calendar!$A$2:$A$755,"NZ_GDP",Release_Calendar!$B$2:$B$755,$A2646)&gt;0,1,0))</f>
        <v/>
      </c>
      <c r="O2646" s="16" t="str">
        <f>IF($A2646&lt;Notes!$B$5,"",IF(COUNTIFS(Release_Calendar!$A$2:$A$755,"NZ_LABOUR",Release_Calendar!$B$2:$B$755,$A2646)&gt;0,1,0))</f>
        <v/>
      </c>
      <c r="P2646" s="16">
        <f t="shared" si="4"/>
        <v>1</v>
      </c>
    </row>
    <row r="2647" ht="15.75" customHeight="1">
      <c r="A2647" s="14">
        <v>40231.0</v>
      </c>
      <c r="B2647" s="15">
        <v>0.91</v>
      </c>
      <c r="C2647" s="15"/>
      <c r="D2647" s="15">
        <v>3.82</v>
      </c>
      <c r="E2647" s="15">
        <v>3.81</v>
      </c>
      <c r="F2647" s="15" t="str">
        <f t="shared" si="1"/>
        <v/>
      </c>
      <c r="G2647" s="15">
        <f t="shared" si="2"/>
        <v>3.82</v>
      </c>
      <c r="H2647" s="16">
        <v>1.0</v>
      </c>
      <c r="I2647" s="15">
        <f t="shared" si="3"/>
        <v>2.91</v>
      </c>
      <c r="J2647" s="15">
        <v>19.94</v>
      </c>
      <c r="K2647" s="16">
        <f>IF(COUNTIFS(Release_Calendar!$A$2:$A$755,"US_CPI",Release_Calendar!$B$2:$B$755,$A2647)&gt;0,1,0)</f>
        <v>0</v>
      </c>
      <c r="L2647" s="16">
        <f>IF(COUNTIFS(Release_Calendar!$A$2:$A$755,"US_NFP",Release_Calendar!$B$2:$B$755,$A2647)&gt;0,1,0)</f>
        <v>0</v>
      </c>
      <c r="M2647" s="16" t="str">
        <f>IF($A2647&lt;Notes!$B$5,"",IF(COUNTIFS(Release_Calendar!$A$2:$A$755,"NZ_CPI",Release_Calendar!$B$2:$B$755,$A2647)&gt;0,1,0))</f>
        <v/>
      </c>
      <c r="N2647" s="16" t="str">
        <f>IF($A2647&lt;Notes!$B$5,"",IF(COUNTIFS(Release_Calendar!$A$2:$A$755,"NZ_GDP",Release_Calendar!$B$2:$B$755,$A2647)&gt;0,1,0))</f>
        <v/>
      </c>
      <c r="O2647" s="16" t="str">
        <f>IF($A2647&lt;Notes!$B$5,"",IF(COUNTIFS(Release_Calendar!$A$2:$A$755,"NZ_LABOUR",Release_Calendar!$B$2:$B$755,$A2647)&gt;0,1,0))</f>
        <v/>
      </c>
      <c r="P2647" s="16">
        <f t="shared" si="4"/>
        <v>0</v>
      </c>
    </row>
    <row r="2648" ht="15.75" customHeight="1">
      <c r="A2648" s="14">
        <v>40232.0</v>
      </c>
      <c r="B2648" s="15">
        <v>0.87</v>
      </c>
      <c r="C2648" s="15"/>
      <c r="D2648" s="15">
        <v>3.8</v>
      </c>
      <c r="E2648" s="15">
        <v>3.78</v>
      </c>
      <c r="F2648" s="15" t="str">
        <f t="shared" si="1"/>
        <v/>
      </c>
      <c r="G2648" s="15">
        <f t="shared" si="2"/>
        <v>3.8</v>
      </c>
      <c r="H2648" s="16">
        <v>1.0</v>
      </c>
      <c r="I2648" s="15">
        <f t="shared" si="3"/>
        <v>2.93</v>
      </c>
      <c r="J2648" s="15">
        <v>21.37</v>
      </c>
      <c r="K2648" s="16">
        <f>IF(COUNTIFS(Release_Calendar!$A$2:$A$755,"US_CPI",Release_Calendar!$B$2:$B$755,$A2648)&gt;0,1,0)</f>
        <v>0</v>
      </c>
      <c r="L2648" s="16">
        <f>IF(COUNTIFS(Release_Calendar!$A$2:$A$755,"US_NFP",Release_Calendar!$B$2:$B$755,$A2648)&gt;0,1,0)</f>
        <v>0</v>
      </c>
      <c r="M2648" s="16" t="str">
        <f>IF($A2648&lt;Notes!$B$5,"",IF(COUNTIFS(Release_Calendar!$A$2:$A$755,"NZ_CPI",Release_Calendar!$B$2:$B$755,$A2648)&gt;0,1,0))</f>
        <v/>
      </c>
      <c r="N2648" s="16" t="str">
        <f>IF($A2648&lt;Notes!$B$5,"",IF(COUNTIFS(Release_Calendar!$A$2:$A$755,"NZ_GDP",Release_Calendar!$B$2:$B$755,$A2648)&gt;0,1,0))</f>
        <v/>
      </c>
      <c r="O2648" s="16" t="str">
        <f>IF($A2648&lt;Notes!$B$5,"",IF(COUNTIFS(Release_Calendar!$A$2:$A$755,"NZ_LABOUR",Release_Calendar!$B$2:$B$755,$A2648)&gt;0,1,0))</f>
        <v/>
      </c>
      <c r="P2648" s="16">
        <f t="shared" si="4"/>
        <v>0</v>
      </c>
    </row>
    <row r="2649" ht="15.75" customHeight="1">
      <c r="A2649" s="14">
        <v>40233.0</v>
      </c>
      <c r="B2649" s="15">
        <v>0.87</v>
      </c>
      <c r="C2649" s="15"/>
      <c r="D2649" s="15">
        <v>3.73</v>
      </c>
      <c r="E2649" s="15">
        <v>3.73</v>
      </c>
      <c r="F2649" s="15" t="str">
        <f t="shared" si="1"/>
        <v/>
      </c>
      <c r="G2649" s="15">
        <f t="shared" si="2"/>
        <v>3.73</v>
      </c>
      <c r="H2649" s="16">
        <v>1.0</v>
      </c>
      <c r="I2649" s="15">
        <f t="shared" si="3"/>
        <v>2.86</v>
      </c>
      <c r="J2649" s="15">
        <v>20.27</v>
      </c>
      <c r="K2649" s="16">
        <f>IF(COUNTIFS(Release_Calendar!$A$2:$A$755,"US_CPI",Release_Calendar!$B$2:$B$755,$A2649)&gt;0,1,0)</f>
        <v>0</v>
      </c>
      <c r="L2649" s="16">
        <f>IF(COUNTIFS(Release_Calendar!$A$2:$A$755,"US_NFP",Release_Calendar!$B$2:$B$755,$A2649)&gt;0,1,0)</f>
        <v>0</v>
      </c>
      <c r="M2649" s="16" t="str">
        <f>IF($A2649&lt;Notes!$B$5,"",IF(COUNTIFS(Release_Calendar!$A$2:$A$755,"NZ_CPI",Release_Calendar!$B$2:$B$755,$A2649)&gt;0,1,0))</f>
        <v/>
      </c>
      <c r="N2649" s="16" t="str">
        <f>IF($A2649&lt;Notes!$B$5,"",IF(COUNTIFS(Release_Calendar!$A$2:$A$755,"NZ_GDP",Release_Calendar!$B$2:$B$755,$A2649)&gt;0,1,0))</f>
        <v/>
      </c>
      <c r="O2649" s="16" t="str">
        <f>IF($A2649&lt;Notes!$B$5,"",IF(COUNTIFS(Release_Calendar!$A$2:$A$755,"NZ_LABOUR",Release_Calendar!$B$2:$B$755,$A2649)&gt;0,1,0))</f>
        <v/>
      </c>
      <c r="P2649" s="16">
        <f t="shared" si="4"/>
        <v>0</v>
      </c>
    </row>
    <row r="2650" ht="15.75" customHeight="1">
      <c r="A2650" s="14">
        <v>40234.0</v>
      </c>
      <c r="B2650" s="15">
        <v>0.82</v>
      </c>
      <c r="C2650" s="15"/>
      <c r="D2650" s="15">
        <v>3.75</v>
      </c>
      <c r="E2650" s="15">
        <v>3.74</v>
      </c>
      <c r="F2650" s="15" t="str">
        <f t="shared" si="1"/>
        <v/>
      </c>
      <c r="G2650" s="15">
        <f t="shared" si="2"/>
        <v>3.75</v>
      </c>
      <c r="H2650" s="16">
        <v>1.0</v>
      </c>
      <c r="I2650" s="15">
        <f t="shared" si="3"/>
        <v>2.93</v>
      </c>
      <c r="J2650" s="15">
        <v>20.1</v>
      </c>
      <c r="K2650" s="16">
        <f>IF(COUNTIFS(Release_Calendar!$A$2:$A$755,"US_CPI",Release_Calendar!$B$2:$B$755,$A2650)&gt;0,1,0)</f>
        <v>0</v>
      </c>
      <c r="L2650" s="16">
        <f>IF(COUNTIFS(Release_Calendar!$A$2:$A$755,"US_NFP",Release_Calendar!$B$2:$B$755,$A2650)&gt;0,1,0)</f>
        <v>0</v>
      </c>
      <c r="M2650" s="16" t="str">
        <f>IF($A2650&lt;Notes!$B$5,"",IF(COUNTIFS(Release_Calendar!$A$2:$A$755,"NZ_CPI",Release_Calendar!$B$2:$B$755,$A2650)&gt;0,1,0))</f>
        <v/>
      </c>
      <c r="N2650" s="16" t="str">
        <f>IF($A2650&lt;Notes!$B$5,"",IF(COUNTIFS(Release_Calendar!$A$2:$A$755,"NZ_GDP",Release_Calendar!$B$2:$B$755,$A2650)&gt;0,1,0))</f>
        <v/>
      </c>
      <c r="O2650" s="16" t="str">
        <f>IF($A2650&lt;Notes!$B$5,"",IF(COUNTIFS(Release_Calendar!$A$2:$A$755,"NZ_LABOUR",Release_Calendar!$B$2:$B$755,$A2650)&gt;0,1,0))</f>
        <v/>
      </c>
      <c r="P2650" s="16">
        <f t="shared" si="4"/>
        <v>0</v>
      </c>
    </row>
    <row r="2651" ht="15.75" customHeight="1">
      <c r="A2651" s="14">
        <v>40235.0</v>
      </c>
      <c r="B2651" s="15">
        <v>0.81</v>
      </c>
      <c r="C2651" s="15"/>
      <c r="D2651" s="15">
        <v>3.7</v>
      </c>
      <c r="E2651" s="15">
        <v>3.69</v>
      </c>
      <c r="F2651" s="15" t="str">
        <f t="shared" si="1"/>
        <v/>
      </c>
      <c r="G2651" s="15">
        <f t="shared" si="2"/>
        <v>3.7</v>
      </c>
      <c r="H2651" s="16">
        <v>1.0</v>
      </c>
      <c r="I2651" s="15">
        <f t="shared" si="3"/>
        <v>2.89</v>
      </c>
      <c r="J2651" s="15">
        <v>19.5</v>
      </c>
      <c r="K2651" s="16">
        <f>IF(COUNTIFS(Release_Calendar!$A$2:$A$755,"US_CPI",Release_Calendar!$B$2:$B$755,$A2651)&gt;0,1,0)</f>
        <v>0</v>
      </c>
      <c r="L2651" s="16">
        <f>IF(COUNTIFS(Release_Calendar!$A$2:$A$755,"US_NFP",Release_Calendar!$B$2:$B$755,$A2651)&gt;0,1,0)</f>
        <v>0</v>
      </c>
      <c r="M2651" s="16" t="str">
        <f>IF($A2651&lt;Notes!$B$5,"",IF(COUNTIFS(Release_Calendar!$A$2:$A$755,"NZ_CPI",Release_Calendar!$B$2:$B$755,$A2651)&gt;0,1,0))</f>
        <v/>
      </c>
      <c r="N2651" s="16" t="str">
        <f>IF($A2651&lt;Notes!$B$5,"",IF(COUNTIFS(Release_Calendar!$A$2:$A$755,"NZ_GDP",Release_Calendar!$B$2:$B$755,$A2651)&gt;0,1,0))</f>
        <v/>
      </c>
      <c r="O2651" s="16" t="str">
        <f>IF($A2651&lt;Notes!$B$5,"",IF(COUNTIFS(Release_Calendar!$A$2:$A$755,"NZ_LABOUR",Release_Calendar!$B$2:$B$755,$A2651)&gt;0,1,0))</f>
        <v/>
      </c>
      <c r="P2651" s="16">
        <f t="shared" si="4"/>
        <v>0</v>
      </c>
    </row>
    <row r="2652" ht="15.75" customHeight="1">
      <c r="A2652" s="14">
        <v>40238.0</v>
      </c>
      <c r="B2652" s="15">
        <v>0.8</v>
      </c>
      <c r="C2652" s="15"/>
      <c r="D2652" s="15">
        <v>3.69</v>
      </c>
      <c r="E2652" s="15">
        <v>3.69</v>
      </c>
      <c r="F2652" s="15" t="str">
        <f t="shared" si="1"/>
        <v/>
      </c>
      <c r="G2652" s="15">
        <f t="shared" si="2"/>
        <v>3.69</v>
      </c>
      <c r="H2652" s="16">
        <v>1.0</v>
      </c>
      <c r="I2652" s="15">
        <f t="shared" si="3"/>
        <v>2.89</v>
      </c>
      <c r="J2652" s="15">
        <v>19.26</v>
      </c>
      <c r="K2652" s="16">
        <f>IF(COUNTIFS(Release_Calendar!$A$2:$A$755,"US_CPI",Release_Calendar!$B$2:$B$755,$A2652)&gt;0,1,0)</f>
        <v>0</v>
      </c>
      <c r="L2652" s="16">
        <f>IF(COUNTIFS(Release_Calendar!$A$2:$A$755,"US_NFP",Release_Calendar!$B$2:$B$755,$A2652)&gt;0,1,0)</f>
        <v>0</v>
      </c>
      <c r="M2652" s="16" t="str">
        <f>IF($A2652&lt;Notes!$B$5,"",IF(COUNTIFS(Release_Calendar!$A$2:$A$755,"NZ_CPI",Release_Calendar!$B$2:$B$755,$A2652)&gt;0,1,0))</f>
        <v/>
      </c>
      <c r="N2652" s="16" t="str">
        <f>IF($A2652&lt;Notes!$B$5,"",IF(COUNTIFS(Release_Calendar!$A$2:$A$755,"NZ_GDP",Release_Calendar!$B$2:$B$755,$A2652)&gt;0,1,0))</f>
        <v/>
      </c>
      <c r="O2652" s="16" t="str">
        <f>IF($A2652&lt;Notes!$B$5,"",IF(COUNTIFS(Release_Calendar!$A$2:$A$755,"NZ_LABOUR",Release_Calendar!$B$2:$B$755,$A2652)&gt;0,1,0))</f>
        <v/>
      </c>
      <c r="P2652" s="16">
        <f t="shared" si="4"/>
        <v>0</v>
      </c>
    </row>
    <row r="2653" ht="15.75" customHeight="1">
      <c r="A2653" s="14">
        <v>40239.0</v>
      </c>
      <c r="B2653" s="15">
        <v>0.8</v>
      </c>
      <c r="C2653" s="15"/>
      <c r="D2653" s="15">
        <v>3.69</v>
      </c>
      <c r="E2653" s="15">
        <v>3.69</v>
      </c>
      <c r="F2653" s="15" t="str">
        <f t="shared" si="1"/>
        <v/>
      </c>
      <c r="G2653" s="15">
        <f t="shared" si="2"/>
        <v>3.69</v>
      </c>
      <c r="H2653" s="16">
        <v>1.0</v>
      </c>
      <c r="I2653" s="15">
        <f t="shared" si="3"/>
        <v>2.89</v>
      </c>
      <c r="J2653" s="15">
        <v>19.06</v>
      </c>
      <c r="K2653" s="16">
        <f>IF(COUNTIFS(Release_Calendar!$A$2:$A$755,"US_CPI",Release_Calendar!$B$2:$B$755,$A2653)&gt;0,1,0)</f>
        <v>0</v>
      </c>
      <c r="L2653" s="16">
        <f>IF(COUNTIFS(Release_Calendar!$A$2:$A$755,"US_NFP",Release_Calendar!$B$2:$B$755,$A2653)&gt;0,1,0)</f>
        <v>0</v>
      </c>
      <c r="M2653" s="16" t="str">
        <f>IF($A2653&lt;Notes!$B$5,"",IF(COUNTIFS(Release_Calendar!$A$2:$A$755,"NZ_CPI",Release_Calendar!$B$2:$B$755,$A2653)&gt;0,1,0))</f>
        <v/>
      </c>
      <c r="N2653" s="16" t="str">
        <f>IF($A2653&lt;Notes!$B$5,"",IF(COUNTIFS(Release_Calendar!$A$2:$A$755,"NZ_GDP",Release_Calendar!$B$2:$B$755,$A2653)&gt;0,1,0))</f>
        <v/>
      </c>
      <c r="O2653" s="16" t="str">
        <f>IF($A2653&lt;Notes!$B$5,"",IF(COUNTIFS(Release_Calendar!$A$2:$A$755,"NZ_LABOUR",Release_Calendar!$B$2:$B$755,$A2653)&gt;0,1,0))</f>
        <v/>
      </c>
      <c r="P2653" s="16">
        <f t="shared" si="4"/>
        <v>0</v>
      </c>
    </row>
    <row r="2654" ht="15.75" customHeight="1">
      <c r="A2654" s="14">
        <v>40240.0</v>
      </c>
      <c r="B2654" s="15">
        <v>0.82</v>
      </c>
      <c r="C2654" s="15"/>
      <c r="D2654" s="15">
        <v>3.64</v>
      </c>
      <c r="E2654" s="15">
        <v>3.67</v>
      </c>
      <c r="F2654" s="15" t="str">
        <f t="shared" si="1"/>
        <v/>
      </c>
      <c r="G2654" s="15">
        <f t="shared" si="2"/>
        <v>3.64</v>
      </c>
      <c r="H2654" s="16">
        <v>1.0</v>
      </c>
      <c r="I2654" s="15">
        <f t="shared" si="3"/>
        <v>2.82</v>
      </c>
      <c r="J2654" s="15">
        <v>18.83</v>
      </c>
      <c r="K2654" s="16">
        <f>IF(COUNTIFS(Release_Calendar!$A$2:$A$755,"US_CPI",Release_Calendar!$B$2:$B$755,$A2654)&gt;0,1,0)</f>
        <v>0</v>
      </c>
      <c r="L2654" s="16">
        <f>IF(COUNTIFS(Release_Calendar!$A$2:$A$755,"US_NFP",Release_Calendar!$B$2:$B$755,$A2654)&gt;0,1,0)</f>
        <v>0</v>
      </c>
      <c r="M2654" s="16" t="str">
        <f>IF($A2654&lt;Notes!$B$5,"",IF(COUNTIFS(Release_Calendar!$A$2:$A$755,"NZ_CPI",Release_Calendar!$B$2:$B$755,$A2654)&gt;0,1,0))</f>
        <v/>
      </c>
      <c r="N2654" s="16" t="str">
        <f>IF($A2654&lt;Notes!$B$5,"",IF(COUNTIFS(Release_Calendar!$A$2:$A$755,"NZ_GDP",Release_Calendar!$B$2:$B$755,$A2654)&gt;0,1,0))</f>
        <v/>
      </c>
      <c r="O2654" s="16" t="str">
        <f>IF($A2654&lt;Notes!$B$5,"",IF(COUNTIFS(Release_Calendar!$A$2:$A$755,"NZ_LABOUR",Release_Calendar!$B$2:$B$755,$A2654)&gt;0,1,0))</f>
        <v/>
      </c>
      <c r="P2654" s="16">
        <f t="shared" si="4"/>
        <v>0</v>
      </c>
    </row>
    <row r="2655" ht="15.75" customHeight="1">
      <c r="A2655" s="14">
        <v>40241.0</v>
      </c>
      <c r="B2655" s="15">
        <v>0.86</v>
      </c>
      <c r="C2655" s="15"/>
      <c r="D2655" s="15">
        <v>3.68</v>
      </c>
      <c r="E2655" s="15">
        <v>3.68</v>
      </c>
      <c r="F2655" s="15" t="str">
        <f t="shared" si="1"/>
        <v/>
      </c>
      <c r="G2655" s="15">
        <f t="shared" si="2"/>
        <v>3.68</v>
      </c>
      <c r="H2655" s="16">
        <v>1.0</v>
      </c>
      <c r="I2655" s="15">
        <f t="shared" si="3"/>
        <v>2.82</v>
      </c>
      <c r="J2655" s="15">
        <v>18.72</v>
      </c>
      <c r="K2655" s="16">
        <f>IF(COUNTIFS(Release_Calendar!$A$2:$A$755,"US_CPI",Release_Calendar!$B$2:$B$755,$A2655)&gt;0,1,0)</f>
        <v>0</v>
      </c>
      <c r="L2655" s="16">
        <f>IF(COUNTIFS(Release_Calendar!$A$2:$A$755,"US_NFP",Release_Calendar!$B$2:$B$755,$A2655)&gt;0,1,0)</f>
        <v>0</v>
      </c>
      <c r="M2655" s="16" t="str">
        <f>IF($A2655&lt;Notes!$B$5,"",IF(COUNTIFS(Release_Calendar!$A$2:$A$755,"NZ_CPI",Release_Calendar!$B$2:$B$755,$A2655)&gt;0,1,0))</f>
        <v/>
      </c>
      <c r="N2655" s="16" t="str">
        <f>IF($A2655&lt;Notes!$B$5,"",IF(COUNTIFS(Release_Calendar!$A$2:$A$755,"NZ_GDP",Release_Calendar!$B$2:$B$755,$A2655)&gt;0,1,0))</f>
        <v/>
      </c>
      <c r="O2655" s="16" t="str">
        <f>IF($A2655&lt;Notes!$B$5,"",IF(COUNTIFS(Release_Calendar!$A$2:$A$755,"NZ_LABOUR",Release_Calendar!$B$2:$B$755,$A2655)&gt;0,1,0))</f>
        <v/>
      </c>
      <c r="P2655" s="16">
        <f t="shared" si="4"/>
        <v>0</v>
      </c>
    </row>
    <row r="2656" ht="15.75" customHeight="1">
      <c r="A2656" s="14">
        <v>40242.0</v>
      </c>
      <c r="B2656" s="15">
        <v>0.91</v>
      </c>
      <c r="C2656" s="15"/>
      <c r="D2656" s="15">
        <v>3.67</v>
      </c>
      <c r="E2656" s="15">
        <v>3.67</v>
      </c>
      <c r="F2656" s="15" t="str">
        <f t="shared" si="1"/>
        <v/>
      </c>
      <c r="G2656" s="15">
        <f t="shared" si="2"/>
        <v>3.67</v>
      </c>
      <c r="H2656" s="16">
        <v>1.0</v>
      </c>
      <c r="I2656" s="15">
        <f t="shared" si="3"/>
        <v>2.76</v>
      </c>
      <c r="J2656" s="15">
        <v>17.42</v>
      </c>
      <c r="K2656" s="16">
        <f>IF(COUNTIFS(Release_Calendar!$A$2:$A$755,"US_CPI",Release_Calendar!$B$2:$B$755,$A2656)&gt;0,1,0)</f>
        <v>0</v>
      </c>
      <c r="L2656" s="16">
        <f>IF(COUNTIFS(Release_Calendar!$A$2:$A$755,"US_NFP",Release_Calendar!$B$2:$B$755,$A2656)&gt;0,1,0)</f>
        <v>1</v>
      </c>
      <c r="M2656" s="16" t="str">
        <f>IF($A2656&lt;Notes!$B$5,"",IF(COUNTIFS(Release_Calendar!$A$2:$A$755,"NZ_CPI",Release_Calendar!$B$2:$B$755,$A2656)&gt;0,1,0))</f>
        <v/>
      </c>
      <c r="N2656" s="16" t="str">
        <f>IF($A2656&lt;Notes!$B$5,"",IF(COUNTIFS(Release_Calendar!$A$2:$A$755,"NZ_GDP",Release_Calendar!$B$2:$B$755,$A2656)&gt;0,1,0))</f>
        <v/>
      </c>
      <c r="O2656" s="16" t="str">
        <f>IF($A2656&lt;Notes!$B$5,"",IF(COUNTIFS(Release_Calendar!$A$2:$A$755,"NZ_LABOUR",Release_Calendar!$B$2:$B$755,$A2656)&gt;0,1,0))</f>
        <v/>
      </c>
      <c r="P2656" s="16">
        <f t="shared" si="4"/>
        <v>1</v>
      </c>
    </row>
    <row r="2657" ht="15.75" customHeight="1">
      <c r="A2657" s="14">
        <v>40245.0</v>
      </c>
      <c r="B2657" s="15">
        <v>0.9</v>
      </c>
      <c r="C2657" s="15"/>
      <c r="D2657" s="15">
        <v>3.69</v>
      </c>
      <c r="E2657" s="15">
        <v>3.7</v>
      </c>
      <c r="F2657" s="15" t="str">
        <f t="shared" si="1"/>
        <v/>
      </c>
      <c r="G2657" s="15">
        <f t="shared" si="2"/>
        <v>3.69</v>
      </c>
      <c r="H2657" s="16">
        <v>1.0</v>
      </c>
      <c r="I2657" s="15">
        <f t="shared" si="3"/>
        <v>2.79</v>
      </c>
      <c r="J2657" s="15">
        <v>17.79</v>
      </c>
      <c r="K2657" s="16">
        <f>IF(COUNTIFS(Release_Calendar!$A$2:$A$755,"US_CPI",Release_Calendar!$B$2:$B$755,$A2657)&gt;0,1,0)</f>
        <v>0</v>
      </c>
      <c r="L2657" s="16">
        <f>IF(COUNTIFS(Release_Calendar!$A$2:$A$755,"US_NFP",Release_Calendar!$B$2:$B$755,$A2657)&gt;0,1,0)</f>
        <v>0</v>
      </c>
      <c r="M2657" s="16" t="str">
        <f>IF($A2657&lt;Notes!$B$5,"",IF(COUNTIFS(Release_Calendar!$A$2:$A$755,"NZ_CPI",Release_Calendar!$B$2:$B$755,$A2657)&gt;0,1,0))</f>
        <v/>
      </c>
      <c r="N2657" s="16" t="str">
        <f>IF($A2657&lt;Notes!$B$5,"",IF(COUNTIFS(Release_Calendar!$A$2:$A$755,"NZ_GDP",Release_Calendar!$B$2:$B$755,$A2657)&gt;0,1,0))</f>
        <v/>
      </c>
      <c r="O2657" s="16" t="str">
        <f>IF($A2657&lt;Notes!$B$5,"",IF(COUNTIFS(Release_Calendar!$A$2:$A$755,"NZ_LABOUR",Release_Calendar!$B$2:$B$755,$A2657)&gt;0,1,0))</f>
        <v/>
      </c>
      <c r="P2657" s="16">
        <f t="shared" si="4"/>
        <v>0</v>
      </c>
    </row>
    <row r="2658" ht="15.75" customHeight="1">
      <c r="A2658" s="14">
        <v>40246.0</v>
      </c>
      <c r="B2658" s="15">
        <v>0.89</v>
      </c>
      <c r="C2658" s="15"/>
      <c r="D2658" s="15">
        <v>3.71</v>
      </c>
      <c r="E2658" s="15">
        <v>3.71</v>
      </c>
      <c r="F2658" s="15" t="str">
        <f t="shared" si="1"/>
        <v/>
      </c>
      <c r="G2658" s="15">
        <f t="shared" si="2"/>
        <v>3.71</v>
      </c>
      <c r="H2658" s="16">
        <v>1.0</v>
      </c>
      <c r="I2658" s="15">
        <f t="shared" si="3"/>
        <v>2.82</v>
      </c>
      <c r="J2658" s="15">
        <v>17.92</v>
      </c>
      <c r="K2658" s="16">
        <f>IF(COUNTIFS(Release_Calendar!$A$2:$A$755,"US_CPI",Release_Calendar!$B$2:$B$755,$A2658)&gt;0,1,0)</f>
        <v>0</v>
      </c>
      <c r="L2658" s="16">
        <f>IF(COUNTIFS(Release_Calendar!$A$2:$A$755,"US_NFP",Release_Calendar!$B$2:$B$755,$A2658)&gt;0,1,0)</f>
        <v>0</v>
      </c>
      <c r="M2658" s="16" t="str">
        <f>IF($A2658&lt;Notes!$B$5,"",IF(COUNTIFS(Release_Calendar!$A$2:$A$755,"NZ_CPI",Release_Calendar!$B$2:$B$755,$A2658)&gt;0,1,0))</f>
        <v/>
      </c>
      <c r="N2658" s="16" t="str">
        <f>IF($A2658&lt;Notes!$B$5,"",IF(COUNTIFS(Release_Calendar!$A$2:$A$755,"NZ_GDP",Release_Calendar!$B$2:$B$755,$A2658)&gt;0,1,0))</f>
        <v/>
      </c>
      <c r="O2658" s="16" t="str">
        <f>IF($A2658&lt;Notes!$B$5,"",IF(COUNTIFS(Release_Calendar!$A$2:$A$755,"NZ_LABOUR",Release_Calendar!$B$2:$B$755,$A2658)&gt;0,1,0))</f>
        <v/>
      </c>
      <c r="P2658" s="16">
        <f t="shared" si="4"/>
        <v>0</v>
      </c>
    </row>
    <row r="2659" ht="15.75" customHeight="1">
      <c r="A2659" s="14">
        <v>40247.0</v>
      </c>
      <c r="B2659" s="15">
        <v>0.92</v>
      </c>
      <c r="C2659" s="15"/>
      <c r="D2659" s="15">
        <v>3.72</v>
      </c>
      <c r="E2659" s="15">
        <v>3.75</v>
      </c>
      <c r="F2659" s="15" t="str">
        <f t="shared" si="1"/>
        <v/>
      </c>
      <c r="G2659" s="15">
        <f t="shared" si="2"/>
        <v>3.72</v>
      </c>
      <c r="H2659" s="16">
        <v>1.0</v>
      </c>
      <c r="I2659" s="15">
        <f t="shared" si="3"/>
        <v>2.8</v>
      </c>
      <c r="J2659" s="15">
        <v>18.57</v>
      </c>
      <c r="K2659" s="16">
        <f>IF(COUNTIFS(Release_Calendar!$A$2:$A$755,"US_CPI",Release_Calendar!$B$2:$B$755,$A2659)&gt;0,1,0)</f>
        <v>0</v>
      </c>
      <c r="L2659" s="16">
        <f>IF(COUNTIFS(Release_Calendar!$A$2:$A$755,"US_NFP",Release_Calendar!$B$2:$B$755,$A2659)&gt;0,1,0)</f>
        <v>0</v>
      </c>
      <c r="M2659" s="16" t="str">
        <f>IF($A2659&lt;Notes!$B$5,"",IF(COUNTIFS(Release_Calendar!$A$2:$A$755,"NZ_CPI",Release_Calendar!$B$2:$B$755,$A2659)&gt;0,1,0))</f>
        <v/>
      </c>
      <c r="N2659" s="16" t="str">
        <f>IF($A2659&lt;Notes!$B$5,"",IF(COUNTIFS(Release_Calendar!$A$2:$A$755,"NZ_GDP",Release_Calendar!$B$2:$B$755,$A2659)&gt;0,1,0))</f>
        <v/>
      </c>
      <c r="O2659" s="16" t="str">
        <f>IF($A2659&lt;Notes!$B$5,"",IF(COUNTIFS(Release_Calendar!$A$2:$A$755,"NZ_LABOUR",Release_Calendar!$B$2:$B$755,$A2659)&gt;0,1,0))</f>
        <v/>
      </c>
      <c r="P2659" s="16">
        <f t="shared" si="4"/>
        <v>0</v>
      </c>
    </row>
    <row r="2660" ht="15.75" customHeight="1">
      <c r="A2660" s="14">
        <v>40248.0</v>
      </c>
      <c r="B2660" s="15">
        <v>0.97</v>
      </c>
      <c r="C2660" s="15"/>
      <c r="D2660" s="15">
        <v>3.72</v>
      </c>
      <c r="E2660" s="15">
        <v>3.7</v>
      </c>
      <c r="F2660" s="15" t="str">
        <f t="shared" si="1"/>
        <v/>
      </c>
      <c r="G2660" s="15">
        <f t="shared" si="2"/>
        <v>3.72</v>
      </c>
      <c r="H2660" s="16">
        <v>1.0</v>
      </c>
      <c r="I2660" s="15">
        <f t="shared" si="3"/>
        <v>2.75</v>
      </c>
      <c r="J2660" s="15">
        <v>18.06</v>
      </c>
      <c r="K2660" s="16">
        <f>IF(COUNTIFS(Release_Calendar!$A$2:$A$755,"US_CPI",Release_Calendar!$B$2:$B$755,$A2660)&gt;0,1,0)</f>
        <v>0</v>
      </c>
      <c r="L2660" s="16">
        <f>IF(COUNTIFS(Release_Calendar!$A$2:$A$755,"US_NFP",Release_Calendar!$B$2:$B$755,$A2660)&gt;0,1,0)</f>
        <v>0</v>
      </c>
      <c r="M2660" s="16" t="str">
        <f>IF($A2660&lt;Notes!$B$5,"",IF(COUNTIFS(Release_Calendar!$A$2:$A$755,"NZ_CPI",Release_Calendar!$B$2:$B$755,$A2660)&gt;0,1,0))</f>
        <v/>
      </c>
      <c r="N2660" s="16" t="str">
        <f>IF($A2660&lt;Notes!$B$5,"",IF(COUNTIFS(Release_Calendar!$A$2:$A$755,"NZ_GDP",Release_Calendar!$B$2:$B$755,$A2660)&gt;0,1,0))</f>
        <v/>
      </c>
      <c r="O2660" s="16" t="str">
        <f>IF($A2660&lt;Notes!$B$5,"",IF(COUNTIFS(Release_Calendar!$A$2:$A$755,"NZ_LABOUR",Release_Calendar!$B$2:$B$755,$A2660)&gt;0,1,0))</f>
        <v/>
      </c>
      <c r="P2660" s="16">
        <f t="shared" si="4"/>
        <v>0</v>
      </c>
    </row>
    <row r="2661" ht="15.75" customHeight="1">
      <c r="A2661" s="14">
        <v>40249.0</v>
      </c>
      <c r="B2661" s="15">
        <v>0.97</v>
      </c>
      <c r="C2661" s="15"/>
      <c r="D2661" s="15">
        <v>3.74</v>
      </c>
      <c r="E2661" s="15">
        <v>3.74</v>
      </c>
      <c r="F2661" s="15" t="str">
        <f t="shared" si="1"/>
        <v/>
      </c>
      <c r="G2661" s="15">
        <f t="shared" si="2"/>
        <v>3.74</v>
      </c>
      <c r="H2661" s="16">
        <v>1.0</v>
      </c>
      <c r="I2661" s="15">
        <f t="shared" si="3"/>
        <v>2.77</v>
      </c>
      <c r="J2661" s="15">
        <v>17.58</v>
      </c>
      <c r="K2661" s="16">
        <f>IF(COUNTIFS(Release_Calendar!$A$2:$A$755,"US_CPI",Release_Calendar!$B$2:$B$755,$A2661)&gt;0,1,0)</f>
        <v>0</v>
      </c>
      <c r="L2661" s="16">
        <f>IF(COUNTIFS(Release_Calendar!$A$2:$A$755,"US_NFP",Release_Calendar!$B$2:$B$755,$A2661)&gt;0,1,0)</f>
        <v>0</v>
      </c>
      <c r="M2661" s="16" t="str">
        <f>IF($A2661&lt;Notes!$B$5,"",IF(COUNTIFS(Release_Calendar!$A$2:$A$755,"NZ_CPI",Release_Calendar!$B$2:$B$755,$A2661)&gt;0,1,0))</f>
        <v/>
      </c>
      <c r="N2661" s="16" t="str">
        <f>IF($A2661&lt;Notes!$B$5,"",IF(COUNTIFS(Release_Calendar!$A$2:$A$755,"NZ_GDP",Release_Calendar!$B$2:$B$755,$A2661)&gt;0,1,0))</f>
        <v/>
      </c>
      <c r="O2661" s="16" t="str">
        <f>IF($A2661&lt;Notes!$B$5,"",IF(COUNTIFS(Release_Calendar!$A$2:$A$755,"NZ_LABOUR",Release_Calendar!$B$2:$B$755,$A2661)&gt;0,1,0))</f>
        <v/>
      </c>
      <c r="P2661" s="16">
        <f t="shared" si="4"/>
        <v>0</v>
      </c>
    </row>
    <row r="2662" ht="15.75" customHeight="1">
      <c r="A2662" s="14">
        <v>40252.0</v>
      </c>
      <c r="B2662" s="15">
        <v>0.96</v>
      </c>
      <c r="C2662" s="15"/>
      <c r="D2662" s="15">
        <v>3.74</v>
      </c>
      <c r="E2662" s="15">
        <v>3.73</v>
      </c>
      <c r="F2662" s="15" t="str">
        <f t="shared" si="1"/>
        <v/>
      </c>
      <c r="G2662" s="15">
        <f t="shared" si="2"/>
        <v>3.74</v>
      </c>
      <c r="H2662" s="16">
        <v>1.0</v>
      </c>
      <c r="I2662" s="15">
        <f t="shared" si="3"/>
        <v>2.78</v>
      </c>
      <c r="J2662" s="15">
        <v>18.0</v>
      </c>
      <c r="K2662" s="16">
        <f>IF(COUNTIFS(Release_Calendar!$A$2:$A$755,"US_CPI",Release_Calendar!$B$2:$B$755,$A2662)&gt;0,1,0)</f>
        <v>0</v>
      </c>
      <c r="L2662" s="16">
        <f>IF(COUNTIFS(Release_Calendar!$A$2:$A$755,"US_NFP",Release_Calendar!$B$2:$B$755,$A2662)&gt;0,1,0)</f>
        <v>0</v>
      </c>
      <c r="M2662" s="16" t="str">
        <f>IF($A2662&lt;Notes!$B$5,"",IF(COUNTIFS(Release_Calendar!$A$2:$A$755,"NZ_CPI",Release_Calendar!$B$2:$B$755,$A2662)&gt;0,1,0))</f>
        <v/>
      </c>
      <c r="N2662" s="16" t="str">
        <f>IF($A2662&lt;Notes!$B$5,"",IF(COUNTIFS(Release_Calendar!$A$2:$A$755,"NZ_GDP",Release_Calendar!$B$2:$B$755,$A2662)&gt;0,1,0))</f>
        <v/>
      </c>
      <c r="O2662" s="16" t="str">
        <f>IF($A2662&lt;Notes!$B$5,"",IF(COUNTIFS(Release_Calendar!$A$2:$A$755,"NZ_LABOUR",Release_Calendar!$B$2:$B$755,$A2662)&gt;0,1,0))</f>
        <v/>
      </c>
      <c r="P2662" s="16">
        <f t="shared" si="4"/>
        <v>0</v>
      </c>
    </row>
    <row r="2663" ht="15.75" customHeight="1">
      <c r="A2663" s="14">
        <v>40253.0</v>
      </c>
      <c r="B2663" s="15">
        <v>0.93</v>
      </c>
      <c r="C2663" s="15"/>
      <c r="D2663" s="15">
        <v>3.73</v>
      </c>
      <c r="E2663" s="15">
        <v>3.71</v>
      </c>
      <c r="F2663" s="15" t="str">
        <f t="shared" si="1"/>
        <v/>
      </c>
      <c r="G2663" s="15">
        <f t="shared" si="2"/>
        <v>3.73</v>
      </c>
      <c r="H2663" s="16">
        <v>1.0</v>
      </c>
      <c r="I2663" s="15">
        <f t="shared" si="3"/>
        <v>2.8</v>
      </c>
      <c r="J2663" s="15">
        <v>17.69</v>
      </c>
      <c r="K2663" s="16">
        <f>IF(COUNTIFS(Release_Calendar!$A$2:$A$755,"US_CPI",Release_Calendar!$B$2:$B$755,$A2663)&gt;0,1,0)</f>
        <v>0</v>
      </c>
      <c r="L2663" s="16">
        <f>IF(COUNTIFS(Release_Calendar!$A$2:$A$755,"US_NFP",Release_Calendar!$B$2:$B$755,$A2663)&gt;0,1,0)</f>
        <v>0</v>
      </c>
      <c r="M2663" s="16" t="str">
        <f>IF($A2663&lt;Notes!$B$5,"",IF(COUNTIFS(Release_Calendar!$A$2:$A$755,"NZ_CPI",Release_Calendar!$B$2:$B$755,$A2663)&gt;0,1,0))</f>
        <v/>
      </c>
      <c r="N2663" s="16" t="str">
        <f>IF($A2663&lt;Notes!$B$5,"",IF(COUNTIFS(Release_Calendar!$A$2:$A$755,"NZ_GDP",Release_Calendar!$B$2:$B$755,$A2663)&gt;0,1,0))</f>
        <v/>
      </c>
      <c r="O2663" s="16" t="str">
        <f>IF($A2663&lt;Notes!$B$5,"",IF(COUNTIFS(Release_Calendar!$A$2:$A$755,"NZ_LABOUR",Release_Calendar!$B$2:$B$755,$A2663)&gt;0,1,0))</f>
        <v/>
      </c>
      <c r="P2663" s="16">
        <f t="shared" si="4"/>
        <v>0</v>
      </c>
    </row>
    <row r="2664" ht="15.75" customHeight="1">
      <c r="A2664" s="14">
        <v>40254.0</v>
      </c>
      <c r="B2664" s="15">
        <v>0.95</v>
      </c>
      <c r="C2664" s="15"/>
      <c r="D2664" s="15">
        <v>3.7</v>
      </c>
      <c r="E2664" s="15">
        <v>3.7</v>
      </c>
      <c r="F2664" s="15" t="str">
        <f t="shared" si="1"/>
        <v/>
      </c>
      <c r="G2664" s="15">
        <f t="shared" si="2"/>
        <v>3.7</v>
      </c>
      <c r="H2664" s="16">
        <v>1.0</v>
      </c>
      <c r="I2664" s="15">
        <f t="shared" si="3"/>
        <v>2.75</v>
      </c>
      <c r="J2664" s="15">
        <v>16.91</v>
      </c>
      <c r="K2664" s="16">
        <f>IF(COUNTIFS(Release_Calendar!$A$2:$A$755,"US_CPI",Release_Calendar!$B$2:$B$755,$A2664)&gt;0,1,0)</f>
        <v>0</v>
      </c>
      <c r="L2664" s="16">
        <f>IF(COUNTIFS(Release_Calendar!$A$2:$A$755,"US_NFP",Release_Calendar!$B$2:$B$755,$A2664)&gt;0,1,0)</f>
        <v>0</v>
      </c>
      <c r="M2664" s="16" t="str">
        <f>IF($A2664&lt;Notes!$B$5,"",IF(COUNTIFS(Release_Calendar!$A$2:$A$755,"NZ_CPI",Release_Calendar!$B$2:$B$755,$A2664)&gt;0,1,0))</f>
        <v/>
      </c>
      <c r="N2664" s="16" t="str">
        <f>IF($A2664&lt;Notes!$B$5,"",IF(COUNTIFS(Release_Calendar!$A$2:$A$755,"NZ_GDP",Release_Calendar!$B$2:$B$755,$A2664)&gt;0,1,0))</f>
        <v/>
      </c>
      <c r="O2664" s="16" t="str">
        <f>IF($A2664&lt;Notes!$B$5,"",IF(COUNTIFS(Release_Calendar!$A$2:$A$755,"NZ_LABOUR",Release_Calendar!$B$2:$B$755,$A2664)&gt;0,1,0))</f>
        <v/>
      </c>
      <c r="P2664" s="16">
        <f t="shared" si="4"/>
        <v>0</v>
      </c>
    </row>
    <row r="2665" ht="15.75" customHeight="1">
      <c r="A2665" s="14">
        <v>40255.0</v>
      </c>
      <c r="B2665" s="15">
        <v>0.98</v>
      </c>
      <c r="C2665" s="15"/>
      <c r="D2665" s="15">
        <v>3.71</v>
      </c>
      <c r="E2665" s="15">
        <v>3.73</v>
      </c>
      <c r="F2665" s="15" t="str">
        <f t="shared" si="1"/>
        <v/>
      </c>
      <c r="G2665" s="15">
        <f t="shared" si="2"/>
        <v>3.71</v>
      </c>
      <c r="H2665" s="16">
        <v>1.0</v>
      </c>
      <c r="I2665" s="15">
        <f t="shared" si="3"/>
        <v>2.73</v>
      </c>
      <c r="J2665" s="15">
        <v>16.62</v>
      </c>
      <c r="K2665" s="16">
        <f>IF(COUNTIFS(Release_Calendar!$A$2:$A$755,"US_CPI",Release_Calendar!$B$2:$B$755,$A2665)&gt;0,1,0)</f>
        <v>1</v>
      </c>
      <c r="L2665" s="16">
        <f>IF(COUNTIFS(Release_Calendar!$A$2:$A$755,"US_NFP",Release_Calendar!$B$2:$B$755,$A2665)&gt;0,1,0)</f>
        <v>0</v>
      </c>
      <c r="M2665" s="16" t="str">
        <f>IF($A2665&lt;Notes!$B$5,"",IF(COUNTIFS(Release_Calendar!$A$2:$A$755,"NZ_CPI",Release_Calendar!$B$2:$B$755,$A2665)&gt;0,1,0))</f>
        <v/>
      </c>
      <c r="N2665" s="16" t="str">
        <f>IF($A2665&lt;Notes!$B$5,"",IF(COUNTIFS(Release_Calendar!$A$2:$A$755,"NZ_GDP",Release_Calendar!$B$2:$B$755,$A2665)&gt;0,1,0))</f>
        <v/>
      </c>
      <c r="O2665" s="16" t="str">
        <f>IF($A2665&lt;Notes!$B$5,"",IF(COUNTIFS(Release_Calendar!$A$2:$A$755,"NZ_LABOUR",Release_Calendar!$B$2:$B$755,$A2665)&gt;0,1,0))</f>
        <v/>
      </c>
      <c r="P2665" s="16">
        <f t="shared" si="4"/>
        <v>1</v>
      </c>
    </row>
    <row r="2666" ht="15.75" customHeight="1">
      <c r="A2666" s="14">
        <v>40256.0</v>
      </c>
      <c r="B2666" s="15">
        <v>1.02</v>
      </c>
      <c r="C2666" s="15"/>
      <c r="D2666" s="15">
        <v>3.74</v>
      </c>
      <c r="E2666" s="15">
        <v>3.72</v>
      </c>
      <c r="F2666" s="15" t="str">
        <f t="shared" si="1"/>
        <v/>
      </c>
      <c r="G2666" s="15">
        <f t="shared" si="2"/>
        <v>3.74</v>
      </c>
      <c r="H2666" s="16">
        <v>1.0</v>
      </c>
      <c r="I2666" s="15">
        <f t="shared" si="3"/>
        <v>2.72</v>
      </c>
      <c r="J2666" s="15">
        <v>16.97</v>
      </c>
      <c r="K2666" s="16">
        <f>IF(COUNTIFS(Release_Calendar!$A$2:$A$755,"US_CPI",Release_Calendar!$B$2:$B$755,$A2666)&gt;0,1,0)</f>
        <v>0</v>
      </c>
      <c r="L2666" s="16">
        <f>IF(COUNTIFS(Release_Calendar!$A$2:$A$755,"US_NFP",Release_Calendar!$B$2:$B$755,$A2666)&gt;0,1,0)</f>
        <v>0</v>
      </c>
      <c r="M2666" s="16" t="str">
        <f>IF($A2666&lt;Notes!$B$5,"",IF(COUNTIFS(Release_Calendar!$A$2:$A$755,"NZ_CPI",Release_Calendar!$B$2:$B$755,$A2666)&gt;0,1,0))</f>
        <v/>
      </c>
      <c r="N2666" s="16" t="str">
        <f>IF($A2666&lt;Notes!$B$5,"",IF(COUNTIFS(Release_Calendar!$A$2:$A$755,"NZ_GDP",Release_Calendar!$B$2:$B$755,$A2666)&gt;0,1,0))</f>
        <v/>
      </c>
      <c r="O2666" s="16" t="str">
        <f>IF($A2666&lt;Notes!$B$5,"",IF(COUNTIFS(Release_Calendar!$A$2:$A$755,"NZ_LABOUR",Release_Calendar!$B$2:$B$755,$A2666)&gt;0,1,0))</f>
        <v/>
      </c>
      <c r="P2666" s="16">
        <f t="shared" si="4"/>
        <v>0</v>
      </c>
    </row>
    <row r="2667" ht="15.75" customHeight="1">
      <c r="A2667" s="14">
        <v>40259.0</v>
      </c>
      <c r="B2667" s="15">
        <v>1.01</v>
      </c>
      <c r="C2667" s="15"/>
      <c r="D2667" s="15">
        <v>3.73</v>
      </c>
      <c r="E2667" s="15">
        <v>3.73</v>
      </c>
      <c r="F2667" s="15" t="str">
        <f t="shared" si="1"/>
        <v/>
      </c>
      <c r="G2667" s="15">
        <f t="shared" si="2"/>
        <v>3.73</v>
      </c>
      <c r="H2667" s="16">
        <v>1.0</v>
      </c>
      <c r="I2667" s="15">
        <f t="shared" si="3"/>
        <v>2.72</v>
      </c>
      <c r="J2667" s="15">
        <v>16.87</v>
      </c>
      <c r="K2667" s="16">
        <f>IF(COUNTIFS(Release_Calendar!$A$2:$A$755,"US_CPI",Release_Calendar!$B$2:$B$755,$A2667)&gt;0,1,0)</f>
        <v>0</v>
      </c>
      <c r="L2667" s="16">
        <f>IF(COUNTIFS(Release_Calendar!$A$2:$A$755,"US_NFP",Release_Calendar!$B$2:$B$755,$A2667)&gt;0,1,0)</f>
        <v>0</v>
      </c>
      <c r="M2667" s="16" t="str">
        <f>IF($A2667&lt;Notes!$B$5,"",IF(COUNTIFS(Release_Calendar!$A$2:$A$755,"NZ_CPI",Release_Calendar!$B$2:$B$755,$A2667)&gt;0,1,0))</f>
        <v/>
      </c>
      <c r="N2667" s="16" t="str">
        <f>IF($A2667&lt;Notes!$B$5,"",IF(COUNTIFS(Release_Calendar!$A$2:$A$755,"NZ_GDP",Release_Calendar!$B$2:$B$755,$A2667)&gt;0,1,0))</f>
        <v/>
      </c>
      <c r="O2667" s="16" t="str">
        <f>IF($A2667&lt;Notes!$B$5,"",IF(COUNTIFS(Release_Calendar!$A$2:$A$755,"NZ_LABOUR",Release_Calendar!$B$2:$B$755,$A2667)&gt;0,1,0))</f>
        <v/>
      </c>
      <c r="P2667" s="16">
        <f t="shared" si="4"/>
        <v>0</v>
      </c>
    </row>
    <row r="2668" ht="15.75" customHeight="1">
      <c r="A2668" s="14">
        <v>40260.0</v>
      </c>
      <c r="B2668" s="15">
        <v>1.02</v>
      </c>
      <c r="C2668" s="15"/>
      <c r="D2668" s="15">
        <v>3.73</v>
      </c>
      <c r="E2668" s="15">
        <v>3.74</v>
      </c>
      <c r="F2668" s="15" t="str">
        <f t="shared" si="1"/>
        <v/>
      </c>
      <c r="G2668" s="15">
        <f t="shared" si="2"/>
        <v>3.73</v>
      </c>
      <c r="H2668" s="16">
        <v>1.0</v>
      </c>
      <c r="I2668" s="15">
        <f t="shared" si="3"/>
        <v>2.71</v>
      </c>
      <c r="J2668" s="15">
        <v>16.35</v>
      </c>
      <c r="K2668" s="16">
        <f>IF(COUNTIFS(Release_Calendar!$A$2:$A$755,"US_CPI",Release_Calendar!$B$2:$B$755,$A2668)&gt;0,1,0)</f>
        <v>0</v>
      </c>
      <c r="L2668" s="16">
        <f>IF(COUNTIFS(Release_Calendar!$A$2:$A$755,"US_NFP",Release_Calendar!$B$2:$B$755,$A2668)&gt;0,1,0)</f>
        <v>0</v>
      </c>
      <c r="M2668" s="16" t="str">
        <f>IF($A2668&lt;Notes!$B$5,"",IF(COUNTIFS(Release_Calendar!$A$2:$A$755,"NZ_CPI",Release_Calendar!$B$2:$B$755,$A2668)&gt;0,1,0))</f>
        <v/>
      </c>
      <c r="N2668" s="16" t="str">
        <f>IF($A2668&lt;Notes!$B$5,"",IF(COUNTIFS(Release_Calendar!$A$2:$A$755,"NZ_GDP",Release_Calendar!$B$2:$B$755,$A2668)&gt;0,1,0))</f>
        <v/>
      </c>
      <c r="O2668" s="16" t="str">
        <f>IF($A2668&lt;Notes!$B$5,"",IF(COUNTIFS(Release_Calendar!$A$2:$A$755,"NZ_LABOUR",Release_Calendar!$B$2:$B$755,$A2668)&gt;0,1,0))</f>
        <v/>
      </c>
      <c r="P2668" s="16">
        <f t="shared" si="4"/>
        <v>0</v>
      </c>
    </row>
    <row r="2669" ht="15.75" customHeight="1">
      <c r="A2669" s="14">
        <v>40261.0</v>
      </c>
      <c r="B2669" s="15">
        <v>1.08</v>
      </c>
      <c r="C2669" s="15"/>
      <c r="D2669" s="15">
        <v>3.75</v>
      </c>
      <c r="E2669" s="15">
        <v>3.75</v>
      </c>
      <c r="F2669" s="15" t="str">
        <f t="shared" si="1"/>
        <v/>
      </c>
      <c r="G2669" s="15">
        <f t="shared" si="2"/>
        <v>3.75</v>
      </c>
      <c r="H2669" s="16">
        <v>1.0</v>
      </c>
      <c r="I2669" s="15">
        <f t="shared" si="3"/>
        <v>2.67</v>
      </c>
      <c r="J2669" s="15">
        <v>17.55</v>
      </c>
      <c r="K2669" s="16">
        <f>IF(COUNTIFS(Release_Calendar!$A$2:$A$755,"US_CPI",Release_Calendar!$B$2:$B$755,$A2669)&gt;0,1,0)</f>
        <v>0</v>
      </c>
      <c r="L2669" s="16">
        <f>IF(COUNTIFS(Release_Calendar!$A$2:$A$755,"US_NFP",Release_Calendar!$B$2:$B$755,$A2669)&gt;0,1,0)</f>
        <v>0</v>
      </c>
      <c r="M2669" s="16" t="str">
        <f>IF($A2669&lt;Notes!$B$5,"",IF(COUNTIFS(Release_Calendar!$A$2:$A$755,"NZ_CPI",Release_Calendar!$B$2:$B$755,$A2669)&gt;0,1,0))</f>
        <v/>
      </c>
      <c r="N2669" s="16" t="str">
        <f>IF($A2669&lt;Notes!$B$5,"",IF(COUNTIFS(Release_Calendar!$A$2:$A$755,"NZ_GDP",Release_Calendar!$B$2:$B$755,$A2669)&gt;0,1,0))</f>
        <v/>
      </c>
      <c r="O2669" s="16" t="str">
        <f>IF($A2669&lt;Notes!$B$5,"",IF(COUNTIFS(Release_Calendar!$A$2:$A$755,"NZ_LABOUR",Release_Calendar!$B$2:$B$755,$A2669)&gt;0,1,0))</f>
        <v/>
      </c>
      <c r="P2669" s="16">
        <f t="shared" si="4"/>
        <v>0</v>
      </c>
    </row>
    <row r="2670" ht="15.75" customHeight="1">
      <c r="A2670" s="14">
        <v>40262.0</v>
      </c>
      <c r="B2670" s="15">
        <v>1.1</v>
      </c>
      <c r="C2670" s="15"/>
      <c r="D2670" s="15">
        <v>3.82</v>
      </c>
      <c r="E2670" s="15">
        <v>3.82</v>
      </c>
      <c r="F2670" s="15" t="str">
        <f t="shared" si="1"/>
        <v/>
      </c>
      <c r="G2670" s="15">
        <f t="shared" si="2"/>
        <v>3.82</v>
      </c>
      <c r="H2670" s="16">
        <v>1.0</v>
      </c>
      <c r="I2670" s="15">
        <f t="shared" si="3"/>
        <v>2.72</v>
      </c>
      <c r="J2670" s="15">
        <v>18.4</v>
      </c>
      <c r="K2670" s="16">
        <f>IF(COUNTIFS(Release_Calendar!$A$2:$A$755,"US_CPI",Release_Calendar!$B$2:$B$755,$A2670)&gt;0,1,0)</f>
        <v>0</v>
      </c>
      <c r="L2670" s="16">
        <f>IF(COUNTIFS(Release_Calendar!$A$2:$A$755,"US_NFP",Release_Calendar!$B$2:$B$755,$A2670)&gt;0,1,0)</f>
        <v>0</v>
      </c>
      <c r="M2670" s="16" t="str">
        <f>IF($A2670&lt;Notes!$B$5,"",IF(COUNTIFS(Release_Calendar!$A$2:$A$755,"NZ_CPI",Release_Calendar!$B$2:$B$755,$A2670)&gt;0,1,0))</f>
        <v/>
      </c>
      <c r="N2670" s="16" t="str">
        <f>IF($A2670&lt;Notes!$B$5,"",IF(COUNTIFS(Release_Calendar!$A$2:$A$755,"NZ_GDP",Release_Calendar!$B$2:$B$755,$A2670)&gt;0,1,0))</f>
        <v/>
      </c>
      <c r="O2670" s="16" t="str">
        <f>IF($A2670&lt;Notes!$B$5,"",IF(COUNTIFS(Release_Calendar!$A$2:$A$755,"NZ_LABOUR",Release_Calendar!$B$2:$B$755,$A2670)&gt;0,1,0))</f>
        <v/>
      </c>
      <c r="P2670" s="16">
        <f t="shared" si="4"/>
        <v>0</v>
      </c>
    </row>
    <row r="2671" ht="15.75" customHeight="1">
      <c r="A2671" s="14">
        <v>40263.0</v>
      </c>
      <c r="B2671" s="15">
        <v>1.04</v>
      </c>
      <c r="C2671" s="15"/>
      <c r="D2671" s="15">
        <v>3.82</v>
      </c>
      <c r="E2671" s="15">
        <v>3.82</v>
      </c>
      <c r="F2671" s="15" t="str">
        <f t="shared" si="1"/>
        <v/>
      </c>
      <c r="G2671" s="15">
        <f t="shared" si="2"/>
        <v>3.82</v>
      </c>
      <c r="H2671" s="16">
        <v>1.0</v>
      </c>
      <c r="I2671" s="15">
        <f t="shared" si="3"/>
        <v>2.78</v>
      </c>
      <c r="J2671" s="15">
        <v>17.77</v>
      </c>
      <c r="K2671" s="16">
        <f>IF(COUNTIFS(Release_Calendar!$A$2:$A$755,"US_CPI",Release_Calendar!$B$2:$B$755,$A2671)&gt;0,1,0)</f>
        <v>0</v>
      </c>
      <c r="L2671" s="16">
        <f>IF(COUNTIFS(Release_Calendar!$A$2:$A$755,"US_NFP",Release_Calendar!$B$2:$B$755,$A2671)&gt;0,1,0)</f>
        <v>0</v>
      </c>
      <c r="M2671" s="16" t="str">
        <f>IF($A2671&lt;Notes!$B$5,"",IF(COUNTIFS(Release_Calendar!$A$2:$A$755,"NZ_CPI",Release_Calendar!$B$2:$B$755,$A2671)&gt;0,1,0))</f>
        <v/>
      </c>
      <c r="N2671" s="16" t="str">
        <f>IF($A2671&lt;Notes!$B$5,"",IF(COUNTIFS(Release_Calendar!$A$2:$A$755,"NZ_GDP",Release_Calendar!$B$2:$B$755,$A2671)&gt;0,1,0))</f>
        <v/>
      </c>
      <c r="O2671" s="16" t="str">
        <f>IF($A2671&lt;Notes!$B$5,"",IF(COUNTIFS(Release_Calendar!$A$2:$A$755,"NZ_LABOUR",Release_Calendar!$B$2:$B$755,$A2671)&gt;0,1,0))</f>
        <v/>
      </c>
      <c r="P2671" s="16">
        <f t="shared" si="4"/>
        <v>0</v>
      </c>
    </row>
    <row r="2672" ht="15.75" customHeight="1">
      <c r="A2672" s="14">
        <v>40266.0</v>
      </c>
      <c r="B2672" s="15">
        <v>1.04</v>
      </c>
      <c r="C2672" s="15"/>
      <c r="D2672" s="15">
        <v>3.8</v>
      </c>
      <c r="E2672" s="15">
        <v>3.81</v>
      </c>
      <c r="F2672" s="15" t="str">
        <f t="shared" si="1"/>
        <v/>
      </c>
      <c r="G2672" s="15">
        <f t="shared" si="2"/>
        <v>3.8</v>
      </c>
      <c r="H2672" s="16">
        <v>1.0</v>
      </c>
      <c r="I2672" s="15">
        <f t="shared" si="3"/>
        <v>2.76</v>
      </c>
      <c r="J2672" s="15">
        <v>17.59</v>
      </c>
      <c r="K2672" s="16">
        <f>IF(COUNTIFS(Release_Calendar!$A$2:$A$755,"US_CPI",Release_Calendar!$B$2:$B$755,$A2672)&gt;0,1,0)</f>
        <v>0</v>
      </c>
      <c r="L2672" s="16">
        <f>IF(COUNTIFS(Release_Calendar!$A$2:$A$755,"US_NFP",Release_Calendar!$B$2:$B$755,$A2672)&gt;0,1,0)</f>
        <v>0</v>
      </c>
      <c r="M2672" s="16" t="str">
        <f>IF($A2672&lt;Notes!$B$5,"",IF(COUNTIFS(Release_Calendar!$A$2:$A$755,"NZ_CPI",Release_Calendar!$B$2:$B$755,$A2672)&gt;0,1,0))</f>
        <v/>
      </c>
      <c r="N2672" s="16" t="str">
        <f>IF($A2672&lt;Notes!$B$5,"",IF(COUNTIFS(Release_Calendar!$A$2:$A$755,"NZ_GDP",Release_Calendar!$B$2:$B$755,$A2672)&gt;0,1,0))</f>
        <v/>
      </c>
      <c r="O2672" s="16" t="str">
        <f>IF($A2672&lt;Notes!$B$5,"",IF(COUNTIFS(Release_Calendar!$A$2:$A$755,"NZ_LABOUR",Release_Calendar!$B$2:$B$755,$A2672)&gt;0,1,0))</f>
        <v/>
      </c>
      <c r="P2672" s="16">
        <f t="shared" si="4"/>
        <v>0</v>
      </c>
    </row>
    <row r="2673" ht="15.75" customHeight="1">
      <c r="A2673" s="14">
        <v>40267.0</v>
      </c>
      <c r="B2673" s="15">
        <v>1.06</v>
      </c>
      <c r="C2673" s="15"/>
      <c r="D2673" s="15">
        <v>3.83</v>
      </c>
      <c r="E2673" s="15">
        <v>3.8</v>
      </c>
      <c r="F2673" s="15" t="str">
        <f t="shared" si="1"/>
        <v/>
      </c>
      <c r="G2673" s="15">
        <f t="shared" si="2"/>
        <v>3.83</v>
      </c>
      <c r="H2673" s="16">
        <v>1.0</v>
      </c>
      <c r="I2673" s="15">
        <f t="shared" si="3"/>
        <v>2.77</v>
      </c>
      <c r="J2673" s="15">
        <v>17.13</v>
      </c>
      <c r="K2673" s="16">
        <f>IF(COUNTIFS(Release_Calendar!$A$2:$A$755,"US_CPI",Release_Calendar!$B$2:$B$755,$A2673)&gt;0,1,0)</f>
        <v>0</v>
      </c>
      <c r="L2673" s="16">
        <f>IF(COUNTIFS(Release_Calendar!$A$2:$A$755,"US_NFP",Release_Calendar!$B$2:$B$755,$A2673)&gt;0,1,0)</f>
        <v>0</v>
      </c>
      <c r="M2673" s="16" t="str">
        <f>IF($A2673&lt;Notes!$B$5,"",IF(COUNTIFS(Release_Calendar!$A$2:$A$755,"NZ_CPI",Release_Calendar!$B$2:$B$755,$A2673)&gt;0,1,0))</f>
        <v/>
      </c>
      <c r="N2673" s="16" t="str">
        <f>IF($A2673&lt;Notes!$B$5,"",IF(COUNTIFS(Release_Calendar!$A$2:$A$755,"NZ_GDP",Release_Calendar!$B$2:$B$755,$A2673)&gt;0,1,0))</f>
        <v/>
      </c>
      <c r="O2673" s="16" t="str">
        <f>IF($A2673&lt;Notes!$B$5,"",IF(COUNTIFS(Release_Calendar!$A$2:$A$755,"NZ_LABOUR",Release_Calendar!$B$2:$B$755,$A2673)&gt;0,1,0))</f>
        <v/>
      </c>
      <c r="P2673" s="16">
        <f t="shared" si="4"/>
        <v>0</v>
      </c>
    </row>
    <row r="2674" ht="15.75" customHeight="1">
      <c r="A2674" s="14">
        <v>40268.0</v>
      </c>
      <c r="B2674" s="15">
        <v>1.02</v>
      </c>
      <c r="C2674" s="15"/>
      <c r="D2674" s="15">
        <v>3.8</v>
      </c>
      <c r="E2674" s="15">
        <v>3.76</v>
      </c>
      <c r="F2674" s="15" t="str">
        <f t="shared" si="1"/>
        <v/>
      </c>
      <c r="G2674" s="15">
        <f t="shared" si="2"/>
        <v>3.8</v>
      </c>
      <c r="H2674" s="16">
        <v>1.0</v>
      </c>
      <c r="I2674" s="15">
        <f t="shared" si="3"/>
        <v>2.78</v>
      </c>
      <c r="J2674" s="15">
        <v>17.59</v>
      </c>
      <c r="K2674" s="16">
        <f>IF(COUNTIFS(Release_Calendar!$A$2:$A$755,"US_CPI",Release_Calendar!$B$2:$B$755,$A2674)&gt;0,1,0)</f>
        <v>0</v>
      </c>
      <c r="L2674" s="16">
        <f>IF(COUNTIFS(Release_Calendar!$A$2:$A$755,"US_NFP",Release_Calendar!$B$2:$B$755,$A2674)&gt;0,1,0)</f>
        <v>0</v>
      </c>
      <c r="M2674" s="16" t="str">
        <f>IF($A2674&lt;Notes!$B$5,"",IF(COUNTIFS(Release_Calendar!$A$2:$A$755,"NZ_CPI",Release_Calendar!$B$2:$B$755,$A2674)&gt;0,1,0))</f>
        <v/>
      </c>
      <c r="N2674" s="16" t="str">
        <f>IF($A2674&lt;Notes!$B$5,"",IF(COUNTIFS(Release_Calendar!$A$2:$A$755,"NZ_GDP",Release_Calendar!$B$2:$B$755,$A2674)&gt;0,1,0))</f>
        <v/>
      </c>
      <c r="O2674" s="16" t="str">
        <f>IF($A2674&lt;Notes!$B$5,"",IF(COUNTIFS(Release_Calendar!$A$2:$A$755,"NZ_LABOUR",Release_Calendar!$B$2:$B$755,$A2674)&gt;0,1,0))</f>
        <v/>
      </c>
      <c r="P2674" s="16">
        <f t="shared" si="4"/>
        <v>0</v>
      </c>
    </row>
    <row r="2675" ht="15.75" customHeight="1">
      <c r="A2675" s="14">
        <v>40269.0</v>
      </c>
      <c r="B2675" s="15">
        <v>1.05</v>
      </c>
      <c r="C2675" s="15"/>
      <c r="D2675" s="15">
        <v>3.75</v>
      </c>
      <c r="E2675" s="15">
        <v>3.75</v>
      </c>
      <c r="F2675" s="15" t="str">
        <f t="shared" si="1"/>
        <v/>
      </c>
      <c r="G2675" s="15">
        <f t="shared" si="2"/>
        <v>3.75</v>
      </c>
      <c r="H2675" s="16">
        <v>1.0</v>
      </c>
      <c r="I2675" s="15">
        <f t="shared" si="3"/>
        <v>2.7</v>
      </c>
      <c r="J2675" s="15">
        <v>17.47</v>
      </c>
      <c r="K2675" s="16">
        <f>IF(COUNTIFS(Release_Calendar!$A$2:$A$755,"US_CPI",Release_Calendar!$B$2:$B$755,$A2675)&gt;0,1,0)</f>
        <v>0</v>
      </c>
      <c r="L2675" s="16">
        <f>IF(COUNTIFS(Release_Calendar!$A$2:$A$755,"US_NFP",Release_Calendar!$B$2:$B$755,$A2675)&gt;0,1,0)</f>
        <v>0</v>
      </c>
      <c r="M2675" s="16" t="str">
        <f>IF($A2675&lt;Notes!$B$5,"",IF(COUNTIFS(Release_Calendar!$A$2:$A$755,"NZ_CPI",Release_Calendar!$B$2:$B$755,$A2675)&gt;0,1,0))</f>
        <v/>
      </c>
      <c r="N2675" s="16" t="str">
        <f>IF($A2675&lt;Notes!$B$5,"",IF(COUNTIFS(Release_Calendar!$A$2:$A$755,"NZ_GDP",Release_Calendar!$B$2:$B$755,$A2675)&gt;0,1,0))</f>
        <v/>
      </c>
      <c r="O2675" s="16" t="str">
        <f>IF($A2675&lt;Notes!$B$5,"",IF(COUNTIFS(Release_Calendar!$A$2:$A$755,"NZ_LABOUR",Release_Calendar!$B$2:$B$755,$A2675)&gt;0,1,0))</f>
        <v/>
      </c>
      <c r="P2675" s="16">
        <f t="shared" si="4"/>
        <v>0</v>
      </c>
    </row>
    <row r="2676" ht="15.75" customHeight="1">
      <c r="A2676" s="14">
        <v>40270.0</v>
      </c>
      <c r="B2676" s="15">
        <v>1.11</v>
      </c>
      <c r="C2676" s="15"/>
      <c r="D2676" s="15"/>
      <c r="E2676" s="15"/>
      <c r="F2676" s="15" t="str">
        <f t="shared" si="1"/>
        <v/>
      </c>
      <c r="G2676" s="15" t="str">
        <f t="shared" si="2"/>
        <v/>
      </c>
      <c r="H2676" s="16">
        <v>1.0</v>
      </c>
      <c r="I2676" s="15" t="str">
        <f t="shared" si="3"/>
        <v/>
      </c>
      <c r="J2676" s="15"/>
      <c r="K2676" s="16">
        <f>IF(COUNTIFS(Release_Calendar!$A$2:$A$755,"US_CPI",Release_Calendar!$B$2:$B$755,$A2676)&gt;0,1,0)</f>
        <v>0</v>
      </c>
      <c r="L2676" s="16">
        <f>IF(COUNTIFS(Release_Calendar!$A$2:$A$755,"US_NFP",Release_Calendar!$B$2:$B$755,$A2676)&gt;0,1,0)</f>
        <v>1</v>
      </c>
      <c r="M2676" s="16" t="str">
        <f>IF($A2676&lt;Notes!$B$5,"",IF(COUNTIFS(Release_Calendar!$A$2:$A$755,"NZ_CPI",Release_Calendar!$B$2:$B$755,$A2676)&gt;0,1,0))</f>
        <v/>
      </c>
      <c r="N2676" s="16" t="str">
        <f>IF($A2676&lt;Notes!$B$5,"",IF(COUNTIFS(Release_Calendar!$A$2:$A$755,"NZ_GDP",Release_Calendar!$B$2:$B$755,$A2676)&gt;0,1,0))</f>
        <v/>
      </c>
      <c r="O2676" s="16" t="str">
        <f>IF($A2676&lt;Notes!$B$5,"",IF(COUNTIFS(Release_Calendar!$A$2:$A$755,"NZ_LABOUR",Release_Calendar!$B$2:$B$755,$A2676)&gt;0,1,0))</f>
        <v/>
      </c>
      <c r="P2676" s="16">
        <f t="shared" si="4"/>
        <v>1</v>
      </c>
    </row>
    <row r="2677" ht="15.75" customHeight="1">
      <c r="A2677" s="14">
        <v>40273.0</v>
      </c>
      <c r="B2677" s="15">
        <v>1.18</v>
      </c>
      <c r="C2677" s="15"/>
      <c r="D2677" s="15"/>
      <c r="E2677" s="15"/>
      <c r="F2677" s="15" t="str">
        <f t="shared" si="1"/>
        <v/>
      </c>
      <c r="G2677" s="15" t="str">
        <f t="shared" si="2"/>
        <v/>
      </c>
      <c r="H2677" s="16">
        <v>1.0</v>
      </c>
      <c r="I2677" s="15" t="str">
        <f t="shared" si="3"/>
        <v/>
      </c>
      <c r="J2677" s="15">
        <v>17.02</v>
      </c>
      <c r="K2677" s="16">
        <f>IF(COUNTIFS(Release_Calendar!$A$2:$A$755,"US_CPI",Release_Calendar!$B$2:$B$755,$A2677)&gt;0,1,0)</f>
        <v>0</v>
      </c>
      <c r="L2677" s="16">
        <f>IF(COUNTIFS(Release_Calendar!$A$2:$A$755,"US_NFP",Release_Calendar!$B$2:$B$755,$A2677)&gt;0,1,0)</f>
        <v>0</v>
      </c>
      <c r="M2677" s="16" t="str">
        <f>IF($A2677&lt;Notes!$B$5,"",IF(COUNTIFS(Release_Calendar!$A$2:$A$755,"NZ_CPI",Release_Calendar!$B$2:$B$755,$A2677)&gt;0,1,0))</f>
        <v/>
      </c>
      <c r="N2677" s="16" t="str">
        <f>IF($A2677&lt;Notes!$B$5,"",IF(COUNTIFS(Release_Calendar!$A$2:$A$755,"NZ_GDP",Release_Calendar!$B$2:$B$755,$A2677)&gt;0,1,0))</f>
        <v/>
      </c>
      <c r="O2677" s="16" t="str">
        <f>IF($A2677&lt;Notes!$B$5,"",IF(COUNTIFS(Release_Calendar!$A$2:$A$755,"NZ_LABOUR",Release_Calendar!$B$2:$B$755,$A2677)&gt;0,1,0))</f>
        <v/>
      </c>
      <c r="P2677" s="16">
        <f t="shared" si="4"/>
        <v>0</v>
      </c>
    </row>
    <row r="2678" ht="15.75" customHeight="1">
      <c r="A2678" s="14">
        <v>40274.0</v>
      </c>
      <c r="B2678" s="15">
        <v>1.14</v>
      </c>
      <c r="C2678" s="15"/>
      <c r="D2678" s="15">
        <v>3.8</v>
      </c>
      <c r="E2678" s="15">
        <v>3.78</v>
      </c>
      <c r="F2678" s="15" t="str">
        <f t="shared" si="1"/>
        <v/>
      </c>
      <c r="G2678" s="15">
        <f t="shared" si="2"/>
        <v>3.8</v>
      </c>
      <c r="H2678" s="16">
        <v>1.0</v>
      </c>
      <c r="I2678" s="15">
        <f t="shared" si="3"/>
        <v>2.66</v>
      </c>
      <c r="J2678" s="15">
        <v>16.23</v>
      </c>
      <c r="K2678" s="16">
        <f>IF(COUNTIFS(Release_Calendar!$A$2:$A$755,"US_CPI",Release_Calendar!$B$2:$B$755,$A2678)&gt;0,1,0)</f>
        <v>0</v>
      </c>
      <c r="L2678" s="16">
        <f>IF(COUNTIFS(Release_Calendar!$A$2:$A$755,"US_NFP",Release_Calendar!$B$2:$B$755,$A2678)&gt;0,1,0)</f>
        <v>0</v>
      </c>
      <c r="M2678" s="16" t="str">
        <f>IF($A2678&lt;Notes!$B$5,"",IF(COUNTIFS(Release_Calendar!$A$2:$A$755,"NZ_CPI",Release_Calendar!$B$2:$B$755,$A2678)&gt;0,1,0))</f>
        <v/>
      </c>
      <c r="N2678" s="16" t="str">
        <f>IF($A2678&lt;Notes!$B$5,"",IF(COUNTIFS(Release_Calendar!$A$2:$A$755,"NZ_GDP",Release_Calendar!$B$2:$B$755,$A2678)&gt;0,1,0))</f>
        <v/>
      </c>
      <c r="O2678" s="16" t="str">
        <f>IF($A2678&lt;Notes!$B$5,"",IF(COUNTIFS(Release_Calendar!$A$2:$A$755,"NZ_LABOUR",Release_Calendar!$B$2:$B$755,$A2678)&gt;0,1,0))</f>
        <v/>
      </c>
      <c r="P2678" s="16">
        <f t="shared" si="4"/>
        <v>0</v>
      </c>
    </row>
    <row r="2679" ht="15.75" customHeight="1">
      <c r="A2679" s="14">
        <v>40275.0</v>
      </c>
      <c r="B2679" s="15">
        <v>1.06</v>
      </c>
      <c r="C2679" s="15"/>
      <c r="D2679" s="15">
        <v>3.79</v>
      </c>
      <c r="E2679" s="15">
        <v>3.78</v>
      </c>
      <c r="F2679" s="15" t="str">
        <f t="shared" si="1"/>
        <v/>
      </c>
      <c r="G2679" s="15">
        <f t="shared" si="2"/>
        <v>3.79</v>
      </c>
      <c r="H2679" s="16">
        <v>1.0</v>
      </c>
      <c r="I2679" s="15">
        <f t="shared" si="3"/>
        <v>2.73</v>
      </c>
      <c r="J2679" s="15">
        <v>16.62</v>
      </c>
      <c r="K2679" s="16">
        <f>IF(COUNTIFS(Release_Calendar!$A$2:$A$755,"US_CPI",Release_Calendar!$B$2:$B$755,$A2679)&gt;0,1,0)</f>
        <v>0</v>
      </c>
      <c r="L2679" s="16">
        <f>IF(COUNTIFS(Release_Calendar!$A$2:$A$755,"US_NFP",Release_Calendar!$B$2:$B$755,$A2679)&gt;0,1,0)</f>
        <v>0</v>
      </c>
      <c r="M2679" s="16" t="str">
        <f>IF($A2679&lt;Notes!$B$5,"",IF(COUNTIFS(Release_Calendar!$A$2:$A$755,"NZ_CPI",Release_Calendar!$B$2:$B$755,$A2679)&gt;0,1,0))</f>
        <v/>
      </c>
      <c r="N2679" s="16" t="str">
        <f>IF($A2679&lt;Notes!$B$5,"",IF(COUNTIFS(Release_Calendar!$A$2:$A$755,"NZ_GDP",Release_Calendar!$B$2:$B$755,$A2679)&gt;0,1,0))</f>
        <v/>
      </c>
      <c r="O2679" s="16" t="str">
        <f>IF($A2679&lt;Notes!$B$5,"",IF(COUNTIFS(Release_Calendar!$A$2:$A$755,"NZ_LABOUR",Release_Calendar!$B$2:$B$755,$A2679)&gt;0,1,0))</f>
        <v/>
      </c>
      <c r="P2679" s="16">
        <f t="shared" si="4"/>
        <v>0</v>
      </c>
    </row>
    <row r="2680" ht="15.75" customHeight="1">
      <c r="A2680" s="14">
        <v>40276.0</v>
      </c>
      <c r="B2680" s="15">
        <v>1.09</v>
      </c>
      <c r="C2680" s="15"/>
      <c r="D2680" s="15">
        <v>3.76</v>
      </c>
      <c r="E2680" s="15">
        <v>3.74</v>
      </c>
      <c r="F2680" s="15" t="str">
        <f t="shared" si="1"/>
        <v/>
      </c>
      <c r="G2680" s="15">
        <f t="shared" si="2"/>
        <v>3.76</v>
      </c>
      <c r="H2680" s="16">
        <v>1.0</v>
      </c>
      <c r="I2680" s="15">
        <f t="shared" si="3"/>
        <v>2.67</v>
      </c>
      <c r="J2680" s="15">
        <v>16.48</v>
      </c>
      <c r="K2680" s="16">
        <f>IF(COUNTIFS(Release_Calendar!$A$2:$A$755,"US_CPI",Release_Calendar!$B$2:$B$755,$A2680)&gt;0,1,0)</f>
        <v>0</v>
      </c>
      <c r="L2680" s="16">
        <f>IF(COUNTIFS(Release_Calendar!$A$2:$A$755,"US_NFP",Release_Calendar!$B$2:$B$755,$A2680)&gt;0,1,0)</f>
        <v>0</v>
      </c>
      <c r="M2680" s="16" t="str">
        <f>IF($A2680&lt;Notes!$B$5,"",IF(COUNTIFS(Release_Calendar!$A$2:$A$755,"NZ_CPI",Release_Calendar!$B$2:$B$755,$A2680)&gt;0,1,0))</f>
        <v/>
      </c>
      <c r="N2680" s="16" t="str">
        <f>IF($A2680&lt;Notes!$B$5,"",IF(COUNTIFS(Release_Calendar!$A$2:$A$755,"NZ_GDP",Release_Calendar!$B$2:$B$755,$A2680)&gt;0,1,0))</f>
        <v/>
      </c>
      <c r="O2680" s="16" t="str">
        <f>IF($A2680&lt;Notes!$B$5,"",IF(COUNTIFS(Release_Calendar!$A$2:$A$755,"NZ_LABOUR",Release_Calendar!$B$2:$B$755,$A2680)&gt;0,1,0))</f>
        <v/>
      </c>
      <c r="P2680" s="16">
        <f t="shared" si="4"/>
        <v>0</v>
      </c>
    </row>
    <row r="2681" ht="15.75" customHeight="1">
      <c r="A2681" s="14">
        <v>40277.0</v>
      </c>
      <c r="B2681" s="15">
        <v>1.08</v>
      </c>
      <c r="C2681" s="15"/>
      <c r="D2681" s="15">
        <v>3.74</v>
      </c>
      <c r="E2681" s="15">
        <v>3.76</v>
      </c>
      <c r="F2681" s="15" t="str">
        <f t="shared" si="1"/>
        <v/>
      </c>
      <c r="G2681" s="15">
        <f t="shared" si="2"/>
        <v>3.74</v>
      </c>
      <c r="H2681" s="16">
        <v>1.0</v>
      </c>
      <c r="I2681" s="15">
        <f t="shared" si="3"/>
        <v>2.66</v>
      </c>
      <c r="J2681" s="15">
        <v>16.14</v>
      </c>
      <c r="K2681" s="16">
        <f>IF(COUNTIFS(Release_Calendar!$A$2:$A$755,"US_CPI",Release_Calendar!$B$2:$B$755,$A2681)&gt;0,1,0)</f>
        <v>0</v>
      </c>
      <c r="L2681" s="16">
        <f>IF(COUNTIFS(Release_Calendar!$A$2:$A$755,"US_NFP",Release_Calendar!$B$2:$B$755,$A2681)&gt;0,1,0)</f>
        <v>0</v>
      </c>
      <c r="M2681" s="16" t="str">
        <f>IF($A2681&lt;Notes!$B$5,"",IF(COUNTIFS(Release_Calendar!$A$2:$A$755,"NZ_CPI",Release_Calendar!$B$2:$B$755,$A2681)&gt;0,1,0))</f>
        <v/>
      </c>
      <c r="N2681" s="16" t="str">
        <f>IF($A2681&lt;Notes!$B$5,"",IF(COUNTIFS(Release_Calendar!$A$2:$A$755,"NZ_GDP",Release_Calendar!$B$2:$B$755,$A2681)&gt;0,1,0))</f>
        <v/>
      </c>
      <c r="O2681" s="16" t="str">
        <f>IF($A2681&lt;Notes!$B$5,"",IF(COUNTIFS(Release_Calendar!$A$2:$A$755,"NZ_LABOUR",Release_Calendar!$B$2:$B$755,$A2681)&gt;0,1,0))</f>
        <v/>
      </c>
      <c r="P2681" s="16">
        <f t="shared" si="4"/>
        <v>0</v>
      </c>
    </row>
    <row r="2682" ht="15.75" customHeight="1">
      <c r="A2682" s="14">
        <v>40280.0</v>
      </c>
      <c r="B2682" s="15">
        <v>1.07</v>
      </c>
      <c r="C2682" s="15"/>
      <c r="D2682" s="15">
        <v>3.8</v>
      </c>
      <c r="E2682" s="15">
        <v>3.8</v>
      </c>
      <c r="F2682" s="15" t="str">
        <f t="shared" si="1"/>
        <v/>
      </c>
      <c r="G2682" s="15">
        <f t="shared" si="2"/>
        <v>3.8</v>
      </c>
      <c r="H2682" s="16">
        <v>1.0</v>
      </c>
      <c r="I2682" s="15">
        <f t="shared" si="3"/>
        <v>2.73</v>
      </c>
      <c r="J2682" s="15">
        <v>15.58</v>
      </c>
      <c r="K2682" s="16">
        <f>IF(COUNTIFS(Release_Calendar!$A$2:$A$755,"US_CPI",Release_Calendar!$B$2:$B$755,$A2682)&gt;0,1,0)</f>
        <v>0</v>
      </c>
      <c r="L2682" s="16">
        <f>IF(COUNTIFS(Release_Calendar!$A$2:$A$755,"US_NFP",Release_Calendar!$B$2:$B$755,$A2682)&gt;0,1,0)</f>
        <v>0</v>
      </c>
      <c r="M2682" s="16" t="str">
        <f>IF($A2682&lt;Notes!$B$5,"",IF(COUNTIFS(Release_Calendar!$A$2:$A$755,"NZ_CPI",Release_Calendar!$B$2:$B$755,$A2682)&gt;0,1,0))</f>
        <v/>
      </c>
      <c r="N2682" s="16" t="str">
        <f>IF($A2682&lt;Notes!$B$5,"",IF(COUNTIFS(Release_Calendar!$A$2:$A$755,"NZ_GDP",Release_Calendar!$B$2:$B$755,$A2682)&gt;0,1,0))</f>
        <v/>
      </c>
      <c r="O2682" s="16" t="str">
        <f>IF($A2682&lt;Notes!$B$5,"",IF(COUNTIFS(Release_Calendar!$A$2:$A$755,"NZ_LABOUR",Release_Calendar!$B$2:$B$755,$A2682)&gt;0,1,0))</f>
        <v/>
      </c>
      <c r="P2682" s="16">
        <f t="shared" si="4"/>
        <v>0</v>
      </c>
    </row>
    <row r="2683" ht="15.75" customHeight="1">
      <c r="A2683" s="14">
        <v>40281.0</v>
      </c>
      <c r="B2683" s="15">
        <v>1.07</v>
      </c>
      <c r="C2683" s="15"/>
      <c r="D2683" s="15">
        <v>3.79</v>
      </c>
      <c r="E2683" s="15">
        <v>3.77</v>
      </c>
      <c r="F2683" s="15" t="str">
        <f t="shared" si="1"/>
        <v/>
      </c>
      <c r="G2683" s="15">
        <f t="shared" si="2"/>
        <v>3.79</v>
      </c>
      <c r="H2683" s="16">
        <v>1.0</v>
      </c>
      <c r="I2683" s="15">
        <f t="shared" si="3"/>
        <v>2.72</v>
      </c>
      <c r="J2683" s="15">
        <v>16.2</v>
      </c>
      <c r="K2683" s="16">
        <f>IF(COUNTIFS(Release_Calendar!$A$2:$A$755,"US_CPI",Release_Calendar!$B$2:$B$755,$A2683)&gt;0,1,0)</f>
        <v>0</v>
      </c>
      <c r="L2683" s="16">
        <f>IF(COUNTIFS(Release_Calendar!$A$2:$A$755,"US_NFP",Release_Calendar!$B$2:$B$755,$A2683)&gt;0,1,0)</f>
        <v>0</v>
      </c>
      <c r="M2683" s="16" t="str">
        <f>IF($A2683&lt;Notes!$B$5,"",IF(COUNTIFS(Release_Calendar!$A$2:$A$755,"NZ_CPI",Release_Calendar!$B$2:$B$755,$A2683)&gt;0,1,0))</f>
        <v/>
      </c>
      <c r="N2683" s="16" t="str">
        <f>IF($A2683&lt;Notes!$B$5,"",IF(COUNTIFS(Release_Calendar!$A$2:$A$755,"NZ_GDP",Release_Calendar!$B$2:$B$755,$A2683)&gt;0,1,0))</f>
        <v/>
      </c>
      <c r="O2683" s="16" t="str">
        <f>IF($A2683&lt;Notes!$B$5,"",IF(COUNTIFS(Release_Calendar!$A$2:$A$755,"NZ_LABOUR",Release_Calendar!$B$2:$B$755,$A2683)&gt;0,1,0))</f>
        <v/>
      </c>
      <c r="P2683" s="16">
        <f t="shared" si="4"/>
        <v>0</v>
      </c>
    </row>
    <row r="2684" ht="15.75" customHeight="1">
      <c r="A2684" s="14">
        <v>40282.0</v>
      </c>
      <c r="B2684" s="15">
        <v>1.07</v>
      </c>
      <c r="C2684" s="15"/>
      <c r="D2684" s="15">
        <v>3.77</v>
      </c>
      <c r="E2684" s="15">
        <v>3.74</v>
      </c>
      <c r="F2684" s="15" t="str">
        <f t="shared" si="1"/>
        <v/>
      </c>
      <c r="G2684" s="15">
        <f t="shared" si="2"/>
        <v>3.77</v>
      </c>
      <c r="H2684" s="16">
        <v>1.0</v>
      </c>
      <c r="I2684" s="15">
        <f t="shared" si="3"/>
        <v>2.7</v>
      </c>
      <c r="J2684" s="15">
        <v>15.59</v>
      </c>
      <c r="K2684" s="16">
        <f>IF(COUNTIFS(Release_Calendar!$A$2:$A$755,"US_CPI",Release_Calendar!$B$2:$B$755,$A2684)&gt;0,1,0)</f>
        <v>1</v>
      </c>
      <c r="L2684" s="16">
        <f>IF(COUNTIFS(Release_Calendar!$A$2:$A$755,"US_NFP",Release_Calendar!$B$2:$B$755,$A2684)&gt;0,1,0)</f>
        <v>0</v>
      </c>
      <c r="M2684" s="16" t="str">
        <f>IF($A2684&lt;Notes!$B$5,"",IF(COUNTIFS(Release_Calendar!$A$2:$A$755,"NZ_CPI",Release_Calendar!$B$2:$B$755,$A2684)&gt;0,1,0))</f>
        <v/>
      </c>
      <c r="N2684" s="16" t="str">
        <f>IF($A2684&lt;Notes!$B$5,"",IF(COUNTIFS(Release_Calendar!$A$2:$A$755,"NZ_GDP",Release_Calendar!$B$2:$B$755,$A2684)&gt;0,1,0))</f>
        <v/>
      </c>
      <c r="O2684" s="16" t="str">
        <f>IF($A2684&lt;Notes!$B$5,"",IF(COUNTIFS(Release_Calendar!$A$2:$A$755,"NZ_LABOUR",Release_Calendar!$B$2:$B$755,$A2684)&gt;0,1,0))</f>
        <v/>
      </c>
      <c r="P2684" s="16">
        <f t="shared" si="4"/>
        <v>1</v>
      </c>
    </row>
    <row r="2685" ht="15.75" customHeight="1">
      <c r="A2685" s="14">
        <v>40283.0</v>
      </c>
      <c r="B2685" s="15">
        <v>1.04</v>
      </c>
      <c r="C2685" s="15"/>
      <c r="D2685" s="15">
        <v>3.74</v>
      </c>
      <c r="E2685" s="15">
        <v>3.74</v>
      </c>
      <c r="F2685" s="15" t="str">
        <f t="shared" si="1"/>
        <v/>
      </c>
      <c r="G2685" s="15">
        <f t="shared" si="2"/>
        <v>3.74</v>
      </c>
      <c r="H2685" s="16">
        <v>1.0</v>
      </c>
      <c r="I2685" s="15">
        <f t="shared" si="3"/>
        <v>2.7</v>
      </c>
      <c r="J2685" s="15">
        <v>15.89</v>
      </c>
      <c r="K2685" s="16">
        <f>IF(COUNTIFS(Release_Calendar!$A$2:$A$755,"US_CPI",Release_Calendar!$B$2:$B$755,$A2685)&gt;0,1,0)</f>
        <v>0</v>
      </c>
      <c r="L2685" s="16">
        <f>IF(COUNTIFS(Release_Calendar!$A$2:$A$755,"US_NFP",Release_Calendar!$B$2:$B$755,$A2685)&gt;0,1,0)</f>
        <v>0</v>
      </c>
      <c r="M2685" s="16" t="str">
        <f>IF($A2685&lt;Notes!$B$5,"",IF(COUNTIFS(Release_Calendar!$A$2:$A$755,"NZ_CPI",Release_Calendar!$B$2:$B$755,$A2685)&gt;0,1,0))</f>
        <v/>
      </c>
      <c r="N2685" s="16" t="str">
        <f>IF($A2685&lt;Notes!$B$5,"",IF(COUNTIFS(Release_Calendar!$A$2:$A$755,"NZ_GDP",Release_Calendar!$B$2:$B$755,$A2685)&gt;0,1,0))</f>
        <v/>
      </c>
      <c r="O2685" s="16" t="str">
        <f>IF($A2685&lt;Notes!$B$5,"",IF(COUNTIFS(Release_Calendar!$A$2:$A$755,"NZ_LABOUR",Release_Calendar!$B$2:$B$755,$A2685)&gt;0,1,0))</f>
        <v/>
      </c>
      <c r="P2685" s="16">
        <f t="shared" si="4"/>
        <v>0</v>
      </c>
    </row>
    <row r="2686" ht="15.75" customHeight="1">
      <c r="A2686" s="14">
        <v>40284.0</v>
      </c>
      <c r="B2686" s="15">
        <v>0.98</v>
      </c>
      <c r="C2686" s="15"/>
      <c r="D2686" s="15">
        <v>3.74</v>
      </c>
      <c r="E2686" s="15">
        <v>3.73</v>
      </c>
      <c r="F2686" s="15" t="str">
        <f t="shared" si="1"/>
        <v/>
      </c>
      <c r="G2686" s="15">
        <f t="shared" si="2"/>
        <v>3.74</v>
      </c>
      <c r="H2686" s="16">
        <v>1.0</v>
      </c>
      <c r="I2686" s="15">
        <f t="shared" si="3"/>
        <v>2.76</v>
      </c>
      <c r="J2686" s="15">
        <v>18.36</v>
      </c>
      <c r="K2686" s="16">
        <f>IF(COUNTIFS(Release_Calendar!$A$2:$A$755,"US_CPI",Release_Calendar!$B$2:$B$755,$A2686)&gt;0,1,0)</f>
        <v>0</v>
      </c>
      <c r="L2686" s="16">
        <f>IF(COUNTIFS(Release_Calendar!$A$2:$A$755,"US_NFP",Release_Calendar!$B$2:$B$755,$A2686)&gt;0,1,0)</f>
        <v>0</v>
      </c>
      <c r="M2686" s="16" t="str">
        <f>IF($A2686&lt;Notes!$B$5,"",IF(COUNTIFS(Release_Calendar!$A$2:$A$755,"NZ_CPI",Release_Calendar!$B$2:$B$755,$A2686)&gt;0,1,0))</f>
        <v/>
      </c>
      <c r="N2686" s="16" t="str">
        <f>IF($A2686&lt;Notes!$B$5,"",IF(COUNTIFS(Release_Calendar!$A$2:$A$755,"NZ_GDP",Release_Calendar!$B$2:$B$755,$A2686)&gt;0,1,0))</f>
        <v/>
      </c>
      <c r="O2686" s="16" t="str">
        <f>IF($A2686&lt;Notes!$B$5,"",IF(COUNTIFS(Release_Calendar!$A$2:$A$755,"NZ_LABOUR",Release_Calendar!$B$2:$B$755,$A2686)&gt;0,1,0))</f>
        <v/>
      </c>
      <c r="P2686" s="16">
        <f t="shared" si="4"/>
        <v>0</v>
      </c>
    </row>
    <row r="2687" ht="15.75" customHeight="1">
      <c r="A2687" s="14">
        <v>40287.0</v>
      </c>
      <c r="B2687" s="15">
        <v>1.01</v>
      </c>
      <c r="C2687" s="15"/>
      <c r="D2687" s="15">
        <v>3.72</v>
      </c>
      <c r="E2687" s="15">
        <v>3.71</v>
      </c>
      <c r="F2687" s="15" t="str">
        <f t="shared" si="1"/>
        <v/>
      </c>
      <c r="G2687" s="15">
        <f t="shared" si="2"/>
        <v>3.72</v>
      </c>
      <c r="H2687" s="16">
        <v>1.0</v>
      </c>
      <c r="I2687" s="15">
        <f t="shared" si="3"/>
        <v>2.71</v>
      </c>
      <c r="J2687" s="15">
        <v>17.34</v>
      </c>
      <c r="K2687" s="16">
        <f>IF(COUNTIFS(Release_Calendar!$A$2:$A$755,"US_CPI",Release_Calendar!$B$2:$B$755,$A2687)&gt;0,1,0)</f>
        <v>0</v>
      </c>
      <c r="L2687" s="16">
        <f>IF(COUNTIFS(Release_Calendar!$A$2:$A$755,"US_NFP",Release_Calendar!$B$2:$B$755,$A2687)&gt;0,1,0)</f>
        <v>0</v>
      </c>
      <c r="M2687" s="16" t="str">
        <f>IF($A2687&lt;Notes!$B$5,"",IF(COUNTIFS(Release_Calendar!$A$2:$A$755,"NZ_CPI",Release_Calendar!$B$2:$B$755,$A2687)&gt;0,1,0))</f>
        <v/>
      </c>
      <c r="N2687" s="16" t="str">
        <f>IF($A2687&lt;Notes!$B$5,"",IF(COUNTIFS(Release_Calendar!$A$2:$A$755,"NZ_GDP",Release_Calendar!$B$2:$B$755,$A2687)&gt;0,1,0))</f>
        <v/>
      </c>
      <c r="O2687" s="16" t="str">
        <f>IF($A2687&lt;Notes!$B$5,"",IF(COUNTIFS(Release_Calendar!$A$2:$A$755,"NZ_LABOUR",Release_Calendar!$B$2:$B$755,$A2687)&gt;0,1,0))</f>
        <v/>
      </c>
      <c r="P2687" s="16">
        <f t="shared" si="4"/>
        <v>0</v>
      </c>
    </row>
    <row r="2688" ht="15.75" customHeight="1">
      <c r="A2688" s="14">
        <v>40288.0</v>
      </c>
      <c r="B2688" s="15">
        <v>1.05</v>
      </c>
      <c r="C2688" s="15"/>
      <c r="D2688" s="15">
        <v>3.68</v>
      </c>
      <c r="E2688" s="15">
        <v>3.69</v>
      </c>
      <c r="F2688" s="15" t="str">
        <f t="shared" si="1"/>
        <v/>
      </c>
      <c r="G2688" s="15">
        <f t="shared" si="2"/>
        <v>3.68</v>
      </c>
      <c r="H2688" s="16">
        <v>1.0</v>
      </c>
      <c r="I2688" s="15">
        <f t="shared" si="3"/>
        <v>2.63</v>
      </c>
      <c r="J2688" s="15">
        <v>15.73</v>
      </c>
      <c r="K2688" s="16">
        <f>IF(COUNTIFS(Release_Calendar!$A$2:$A$755,"US_CPI",Release_Calendar!$B$2:$B$755,$A2688)&gt;0,1,0)</f>
        <v>0</v>
      </c>
      <c r="L2688" s="16">
        <f>IF(COUNTIFS(Release_Calendar!$A$2:$A$755,"US_NFP",Release_Calendar!$B$2:$B$755,$A2688)&gt;0,1,0)</f>
        <v>0</v>
      </c>
      <c r="M2688" s="16" t="str">
        <f>IF($A2688&lt;Notes!$B$5,"",IF(COUNTIFS(Release_Calendar!$A$2:$A$755,"NZ_CPI",Release_Calendar!$B$2:$B$755,$A2688)&gt;0,1,0))</f>
        <v/>
      </c>
      <c r="N2688" s="16" t="str">
        <f>IF($A2688&lt;Notes!$B$5,"",IF(COUNTIFS(Release_Calendar!$A$2:$A$755,"NZ_GDP",Release_Calendar!$B$2:$B$755,$A2688)&gt;0,1,0))</f>
        <v/>
      </c>
      <c r="O2688" s="16" t="str">
        <f>IF($A2688&lt;Notes!$B$5,"",IF(COUNTIFS(Release_Calendar!$A$2:$A$755,"NZ_LABOUR",Release_Calendar!$B$2:$B$755,$A2688)&gt;0,1,0))</f>
        <v/>
      </c>
      <c r="P2688" s="16">
        <f t="shared" si="4"/>
        <v>0</v>
      </c>
    </row>
    <row r="2689" ht="15.75" customHeight="1">
      <c r="A2689" s="14">
        <v>40289.0</v>
      </c>
      <c r="B2689" s="15">
        <v>1.03</v>
      </c>
      <c r="C2689" s="15"/>
      <c r="D2689" s="15">
        <v>3.71</v>
      </c>
      <c r="E2689" s="15">
        <v>3.73</v>
      </c>
      <c r="F2689" s="15" t="str">
        <f t="shared" si="1"/>
        <v/>
      </c>
      <c r="G2689" s="15">
        <f t="shared" si="2"/>
        <v>3.71</v>
      </c>
      <c r="H2689" s="16">
        <v>1.0</v>
      </c>
      <c r="I2689" s="15">
        <f t="shared" si="3"/>
        <v>2.68</v>
      </c>
      <c r="J2689" s="15">
        <v>16.32</v>
      </c>
      <c r="K2689" s="16">
        <f>IF(COUNTIFS(Release_Calendar!$A$2:$A$755,"US_CPI",Release_Calendar!$B$2:$B$755,$A2689)&gt;0,1,0)</f>
        <v>0</v>
      </c>
      <c r="L2689" s="16">
        <f>IF(COUNTIFS(Release_Calendar!$A$2:$A$755,"US_NFP",Release_Calendar!$B$2:$B$755,$A2689)&gt;0,1,0)</f>
        <v>0</v>
      </c>
      <c r="M2689" s="16" t="str">
        <f>IF($A2689&lt;Notes!$B$5,"",IF(COUNTIFS(Release_Calendar!$A$2:$A$755,"NZ_CPI",Release_Calendar!$B$2:$B$755,$A2689)&gt;0,1,0))</f>
        <v/>
      </c>
      <c r="N2689" s="16" t="str">
        <f>IF($A2689&lt;Notes!$B$5,"",IF(COUNTIFS(Release_Calendar!$A$2:$A$755,"NZ_GDP",Release_Calendar!$B$2:$B$755,$A2689)&gt;0,1,0))</f>
        <v/>
      </c>
      <c r="O2689" s="16" t="str">
        <f>IF($A2689&lt;Notes!$B$5,"",IF(COUNTIFS(Release_Calendar!$A$2:$A$755,"NZ_LABOUR",Release_Calendar!$B$2:$B$755,$A2689)&gt;0,1,0))</f>
        <v/>
      </c>
      <c r="P2689" s="16">
        <f t="shared" si="4"/>
        <v>0</v>
      </c>
    </row>
    <row r="2690" ht="15.75" customHeight="1">
      <c r="A2690" s="14">
        <v>40290.0</v>
      </c>
      <c r="B2690" s="15">
        <v>1.07</v>
      </c>
      <c r="C2690" s="15"/>
      <c r="D2690" s="15">
        <v>3.76</v>
      </c>
      <c r="E2690" s="15">
        <v>3.78</v>
      </c>
      <c r="F2690" s="15" t="str">
        <f t="shared" si="1"/>
        <v/>
      </c>
      <c r="G2690" s="15">
        <f t="shared" si="2"/>
        <v>3.76</v>
      </c>
      <c r="H2690" s="16">
        <v>1.0</v>
      </c>
      <c r="I2690" s="15">
        <f t="shared" si="3"/>
        <v>2.69</v>
      </c>
      <c r="J2690" s="15">
        <v>16.47</v>
      </c>
      <c r="K2690" s="16">
        <f>IF(COUNTIFS(Release_Calendar!$A$2:$A$755,"US_CPI",Release_Calendar!$B$2:$B$755,$A2690)&gt;0,1,0)</f>
        <v>0</v>
      </c>
      <c r="L2690" s="16">
        <f>IF(COUNTIFS(Release_Calendar!$A$2:$A$755,"US_NFP",Release_Calendar!$B$2:$B$755,$A2690)&gt;0,1,0)</f>
        <v>0</v>
      </c>
      <c r="M2690" s="16" t="str">
        <f>IF($A2690&lt;Notes!$B$5,"",IF(COUNTIFS(Release_Calendar!$A$2:$A$755,"NZ_CPI",Release_Calendar!$B$2:$B$755,$A2690)&gt;0,1,0))</f>
        <v/>
      </c>
      <c r="N2690" s="16" t="str">
        <f>IF($A2690&lt;Notes!$B$5,"",IF(COUNTIFS(Release_Calendar!$A$2:$A$755,"NZ_GDP",Release_Calendar!$B$2:$B$755,$A2690)&gt;0,1,0))</f>
        <v/>
      </c>
      <c r="O2690" s="16" t="str">
        <f>IF($A2690&lt;Notes!$B$5,"",IF(COUNTIFS(Release_Calendar!$A$2:$A$755,"NZ_LABOUR",Release_Calendar!$B$2:$B$755,$A2690)&gt;0,1,0))</f>
        <v/>
      </c>
      <c r="P2690" s="16">
        <f t="shared" si="4"/>
        <v>0</v>
      </c>
    </row>
    <row r="2691" ht="15.75" customHeight="1">
      <c r="A2691" s="14">
        <v>40291.0</v>
      </c>
      <c r="B2691" s="15">
        <v>1.1</v>
      </c>
      <c r="C2691" s="15"/>
      <c r="D2691" s="15">
        <v>3.79</v>
      </c>
      <c r="E2691" s="15">
        <v>3.77</v>
      </c>
      <c r="F2691" s="15" t="str">
        <f t="shared" si="1"/>
        <v/>
      </c>
      <c r="G2691" s="15">
        <f t="shared" si="2"/>
        <v>3.79</v>
      </c>
      <c r="H2691" s="16">
        <v>1.0</v>
      </c>
      <c r="I2691" s="15">
        <f t="shared" si="3"/>
        <v>2.69</v>
      </c>
      <c r="J2691" s="15">
        <v>16.62</v>
      </c>
      <c r="K2691" s="16">
        <f>IF(COUNTIFS(Release_Calendar!$A$2:$A$755,"US_CPI",Release_Calendar!$B$2:$B$755,$A2691)&gt;0,1,0)</f>
        <v>0</v>
      </c>
      <c r="L2691" s="16">
        <f>IF(COUNTIFS(Release_Calendar!$A$2:$A$755,"US_NFP",Release_Calendar!$B$2:$B$755,$A2691)&gt;0,1,0)</f>
        <v>0</v>
      </c>
      <c r="M2691" s="16" t="str">
        <f>IF($A2691&lt;Notes!$B$5,"",IF(COUNTIFS(Release_Calendar!$A$2:$A$755,"NZ_CPI",Release_Calendar!$B$2:$B$755,$A2691)&gt;0,1,0))</f>
        <v/>
      </c>
      <c r="N2691" s="16" t="str">
        <f>IF($A2691&lt;Notes!$B$5,"",IF(COUNTIFS(Release_Calendar!$A$2:$A$755,"NZ_GDP",Release_Calendar!$B$2:$B$755,$A2691)&gt;0,1,0))</f>
        <v/>
      </c>
      <c r="O2691" s="16" t="str">
        <f>IF($A2691&lt;Notes!$B$5,"",IF(COUNTIFS(Release_Calendar!$A$2:$A$755,"NZ_LABOUR",Release_Calendar!$B$2:$B$755,$A2691)&gt;0,1,0))</f>
        <v/>
      </c>
      <c r="P2691" s="16">
        <f t="shared" si="4"/>
        <v>0</v>
      </c>
    </row>
    <row r="2692" ht="15.75" customHeight="1">
      <c r="A2692" s="14">
        <v>40294.0</v>
      </c>
      <c r="B2692" s="15">
        <v>1.09</v>
      </c>
      <c r="C2692" s="15"/>
      <c r="D2692" s="15">
        <v>3.77</v>
      </c>
      <c r="E2692" s="15">
        <v>3.78</v>
      </c>
      <c r="F2692" s="15" t="str">
        <f t="shared" si="1"/>
        <v/>
      </c>
      <c r="G2692" s="15">
        <f t="shared" si="2"/>
        <v>3.77</v>
      </c>
      <c r="H2692" s="16">
        <v>1.0</v>
      </c>
      <c r="I2692" s="15">
        <f t="shared" si="3"/>
        <v>2.68</v>
      </c>
      <c r="J2692" s="15">
        <v>17.47</v>
      </c>
      <c r="K2692" s="16">
        <f>IF(COUNTIFS(Release_Calendar!$A$2:$A$755,"US_CPI",Release_Calendar!$B$2:$B$755,$A2692)&gt;0,1,0)</f>
        <v>0</v>
      </c>
      <c r="L2692" s="16">
        <f>IF(COUNTIFS(Release_Calendar!$A$2:$A$755,"US_NFP",Release_Calendar!$B$2:$B$755,$A2692)&gt;0,1,0)</f>
        <v>0</v>
      </c>
      <c r="M2692" s="16" t="str">
        <f>IF($A2692&lt;Notes!$B$5,"",IF(COUNTIFS(Release_Calendar!$A$2:$A$755,"NZ_CPI",Release_Calendar!$B$2:$B$755,$A2692)&gt;0,1,0))</f>
        <v/>
      </c>
      <c r="N2692" s="16" t="str">
        <f>IF($A2692&lt;Notes!$B$5,"",IF(COUNTIFS(Release_Calendar!$A$2:$A$755,"NZ_GDP",Release_Calendar!$B$2:$B$755,$A2692)&gt;0,1,0))</f>
        <v/>
      </c>
      <c r="O2692" s="16" t="str">
        <f>IF($A2692&lt;Notes!$B$5,"",IF(COUNTIFS(Release_Calendar!$A$2:$A$755,"NZ_LABOUR",Release_Calendar!$B$2:$B$755,$A2692)&gt;0,1,0))</f>
        <v/>
      </c>
      <c r="P2692" s="16">
        <f t="shared" si="4"/>
        <v>0</v>
      </c>
    </row>
    <row r="2693" ht="15.75" customHeight="1">
      <c r="A2693" s="14">
        <v>40295.0</v>
      </c>
      <c r="B2693" s="15">
        <v>1.03</v>
      </c>
      <c r="C2693" s="15"/>
      <c r="D2693" s="15">
        <v>3.79</v>
      </c>
      <c r="E2693" s="15">
        <v>3.81</v>
      </c>
      <c r="F2693" s="15" t="str">
        <f t="shared" si="1"/>
        <v/>
      </c>
      <c r="G2693" s="15">
        <f t="shared" si="2"/>
        <v>3.79</v>
      </c>
      <c r="H2693" s="16">
        <v>1.0</v>
      </c>
      <c r="I2693" s="15">
        <f t="shared" si="3"/>
        <v>2.76</v>
      </c>
      <c r="J2693" s="15">
        <v>22.81</v>
      </c>
      <c r="K2693" s="16">
        <f>IF(COUNTIFS(Release_Calendar!$A$2:$A$755,"US_CPI",Release_Calendar!$B$2:$B$755,$A2693)&gt;0,1,0)</f>
        <v>0</v>
      </c>
      <c r="L2693" s="16">
        <f>IF(COUNTIFS(Release_Calendar!$A$2:$A$755,"US_NFP",Release_Calendar!$B$2:$B$755,$A2693)&gt;0,1,0)</f>
        <v>0</v>
      </c>
      <c r="M2693" s="16" t="str">
        <f>IF($A2693&lt;Notes!$B$5,"",IF(COUNTIFS(Release_Calendar!$A$2:$A$755,"NZ_CPI",Release_Calendar!$B$2:$B$755,$A2693)&gt;0,1,0))</f>
        <v/>
      </c>
      <c r="N2693" s="16" t="str">
        <f>IF($A2693&lt;Notes!$B$5,"",IF(COUNTIFS(Release_Calendar!$A$2:$A$755,"NZ_GDP",Release_Calendar!$B$2:$B$755,$A2693)&gt;0,1,0))</f>
        <v/>
      </c>
      <c r="O2693" s="16" t="str">
        <f>IF($A2693&lt;Notes!$B$5,"",IF(COUNTIFS(Release_Calendar!$A$2:$A$755,"NZ_LABOUR",Release_Calendar!$B$2:$B$755,$A2693)&gt;0,1,0))</f>
        <v/>
      </c>
      <c r="P2693" s="16">
        <f t="shared" si="4"/>
        <v>0</v>
      </c>
    </row>
    <row r="2694" ht="15.75" customHeight="1">
      <c r="A2694" s="14">
        <v>40296.0</v>
      </c>
      <c r="B2694" s="15">
        <v>1.03</v>
      </c>
      <c r="C2694" s="15"/>
      <c r="D2694" s="15">
        <v>3.78</v>
      </c>
      <c r="E2694" s="15">
        <v>3.79</v>
      </c>
      <c r="F2694" s="15" t="str">
        <f t="shared" si="1"/>
        <v/>
      </c>
      <c r="G2694" s="15">
        <f t="shared" si="2"/>
        <v>3.78</v>
      </c>
      <c r="H2694" s="16">
        <v>1.0</v>
      </c>
      <c r="I2694" s="15">
        <f t="shared" si="3"/>
        <v>2.75</v>
      </c>
      <c r="J2694" s="15">
        <v>21.08</v>
      </c>
      <c r="K2694" s="16">
        <f>IF(COUNTIFS(Release_Calendar!$A$2:$A$755,"US_CPI",Release_Calendar!$B$2:$B$755,$A2694)&gt;0,1,0)</f>
        <v>0</v>
      </c>
      <c r="L2694" s="16">
        <f>IF(COUNTIFS(Release_Calendar!$A$2:$A$755,"US_NFP",Release_Calendar!$B$2:$B$755,$A2694)&gt;0,1,0)</f>
        <v>0</v>
      </c>
      <c r="M2694" s="16" t="str">
        <f>IF($A2694&lt;Notes!$B$5,"",IF(COUNTIFS(Release_Calendar!$A$2:$A$755,"NZ_CPI",Release_Calendar!$B$2:$B$755,$A2694)&gt;0,1,0))</f>
        <v/>
      </c>
      <c r="N2694" s="16" t="str">
        <f>IF($A2694&lt;Notes!$B$5,"",IF(COUNTIFS(Release_Calendar!$A$2:$A$755,"NZ_GDP",Release_Calendar!$B$2:$B$755,$A2694)&gt;0,1,0))</f>
        <v/>
      </c>
      <c r="O2694" s="16" t="str">
        <f>IF($A2694&lt;Notes!$B$5,"",IF(COUNTIFS(Release_Calendar!$A$2:$A$755,"NZ_LABOUR",Release_Calendar!$B$2:$B$755,$A2694)&gt;0,1,0))</f>
        <v/>
      </c>
      <c r="P2694" s="16">
        <f t="shared" si="4"/>
        <v>0</v>
      </c>
    </row>
    <row r="2695" ht="15.75" customHeight="1">
      <c r="A2695" s="14">
        <v>40297.0</v>
      </c>
      <c r="B2695" s="15">
        <v>1.01</v>
      </c>
      <c r="C2695" s="15"/>
      <c r="D2695" s="15">
        <v>3.85</v>
      </c>
      <c r="E2695" s="15">
        <v>3.83</v>
      </c>
      <c r="F2695" s="15" t="str">
        <f t="shared" si="1"/>
        <v/>
      </c>
      <c r="G2695" s="15">
        <f t="shared" si="2"/>
        <v>3.85</v>
      </c>
      <c r="H2695" s="16">
        <v>1.0</v>
      </c>
      <c r="I2695" s="15">
        <f t="shared" si="3"/>
        <v>2.84</v>
      </c>
      <c r="J2695" s="15">
        <v>18.44</v>
      </c>
      <c r="K2695" s="16">
        <f>IF(COUNTIFS(Release_Calendar!$A$2:$A$755,"US_CPI",Release_Calendar!$B$2:$B$755,$A2695)&gt;0,1,0)</f>
        <v>0</v>
      </c>
      <c r="L2695" s="16">
        <f>IF(COUNTIFS(Release_Calendar!$A$2:$A$755,"US_NFP",Release_Calendar!$B$2:$B$755,$A2695)&gt;0,1,0)</f>
        <v>0</v>
      </c>
      <c r="M2695" s="16" t="str">
        <f>IF($A2695&lt;Notes!$B$5,"",IF(COUNTIFS(Release_Calendar!$A$2:$A$755,"NZ_CPI",Release_Calendar!$B$2:$B$755,$A2695)&gt;0,1,0))</f>
        <v/>
      </c>
      <c r="N2695" s="16" t="str">
        <f>IF($A2695&lt;Notes!$B$5,"",IF(COUNTIFS(Release_Calendar!$A$2:$A$755,"NZ_GDP",Release_Calendar!$B$2:$B$755,$A2695)&gt;0,1,0))</f>
        <v/>
      </c>
      <c r="O2695" s="16" t="str">
        <f>IF($A2695&lt;Notes!$B$5,"",IF(COUNTIFS(Release_Calendar!$A$2:$A$755,"NZ_LABOUR",Release_Calendar!$B$2:$B$755,$A2695)&gt;0,1,0))</f>
        <v/>
      </c>
      <c r="P2695" s="16">
        <f t="shared" si="4"/>
        <v>0</v>
      </c>
    </row>
    <row r="2696" ht="15.75" customHeight="1">
      <c r="A2696" s="14">
        <v>40298.0</v>
      </c>
      <c r="B2696" s="15">
        <v>0.97</v>
      </c>
      <c r="C2696" s="15"/>
      <c r="D2696" s="15">
        <v>3.83</v>
      </c>
      <c r="E2696" s="15">
        <v>3.89</v>
      </c>
      <c r="F2696" s="15" t="str">
        <f t="shared" si="1"/>
        <v/>
      </c>
      <c r="G2696" s="15">
        <f t="shared" si="2"/>
        <v>3.83</v>
      </c>
      <c r="H2696" s="16">
        <v>1.0</v>
      </c>
      <c r="I2696" s="15">
        <f t="shared" si="3"/>
        <v>2.86</v>
      </c>
      <c r="J2696" s="15">
        <v>22.05</v>
      </c>
      <c r="K2696" s="16">
        <f>IF(COUNTIFS(Release_Calendar!$A$2:$A$755,"US_CPI",Release_Calendar!$B$2:$B$755,$A2696)&gt;0,1,0)</f>
        <v>0</v>
      </c>
      <c r="L2696" s="16">
        <f>IF(COUNTIFS(Release_Calendar!$A$2:$A$755,"US_NFP",Release_Calendar!$B$2:$B$755,$A2696)&gt;0,1,0)</f>
        <v>0</v>
      </c>
      <c r="M2696" s="16" t="str">
        <f>IF($A2696&lt;Notes!$B$5,"",IF(COUNTIFS(Release_Calendar!$A$2:$A$755,"NZ_CPI",Release_Calendar!$B$2:$B$755,$A2696)&gt;0,1,0))</f>
        <v/>
      </c>
      <c r="N2696" s="16" t="str">
        <f>IF($A2696&lt;Notes!$B$5,"",IF(COUNTIFS(Release_Calendar!$A$2:$A$755,"NZ_GDP",Release_Calendar!$B$2:$B$755,$A2696)&gt;0,1,0))</f>
        <v/>
      </c>
      <c r="O2696" s="16" t="str">
        <f>IF($A2696&lt;Notes!$B$5,"",IF(COUNTIFS(Release_Calendar!$A$2:$A$755,"NZ_LABOUR",Release_Calendar!$B$2:$B$755,$A2696)&gt;0,1,0))</f>
        <v/>
      </c>
      <c r="P2696" s="16">
        <f t="shared" si="4"/>
        <v>0</v>
      </c>
    </row>
    <row r="2697" ht="15.75" customHeight="1">
      <c r="A2697" s="14">
        <v>40301.0</v>
      </c>
      <c r="B2697" s="15">
        <v>1.0</v>
      </c>
      <c r="C2697" s="15"/>
      <c r="D2697" s="15">
        <v>3.89</v>
      </c>
      <c r="E2697" s="15">
        <v>3.92</v>
      </c>
      <c r="F2697" s="15" t="str">
        <f t="shared" si="1"/>
        <v/>
      </c>
      <c r="G2697" s="15">
        <f t="shared" si="2"/>
        <v>3.89</v>
      </c>
      <c r="H2697" s="16">
        <v>1.0</v>
      </c>
      <c r="I2697" s="15">
        <f t="shared" si="3"/>
        <v>2.89</v>
      </c>
      <c r="J2697" s="15">
        <v>20.19</v>
      </c>
      <c r="K2697" s="16">
        <f>IF(COUNTIFS(Release_Calendar!$A$2:$A$755,"US_CPI",Release_Calendar!$B$2:$B$755,$A2697)&gt;0,1,0)</f>
        <v>0</v>
      </c>
      <c r="L2697" s="16">
        <f>IF(COUNTIFS(Release_Calendar!$A$2:$A$755,"US_NFP",Release_Calendar!$B$2:$B$755,$A2697)&gt;0,1,0)</f>
        <v>0</v>
      </c>
      <c r="M2697" s="16" t="str">
        <f>IF($A2697&lt;Notes!$B$5,"",IF(COUNTIFS(Release_Calendar!$A$2:$A$755,"NZ_CPI",Release_Calendar!$B$2:$B$755,$A2697)&gt;0,1,0))</f>
        <v/>
      </c>
      <c r="N2697" s="16" t="str">
        <f>IF($A2697&lt;Notes!$B$5,"",IF(COUNTIFS(Release_Calendar!$A$2:$A$755,"NZ_GDP",Release_Calendar!$B$2:$B$755,$A2697)&gt;0,1,0))</f>
        <v/>
      </c>
      <c r="O2697" s="16" t="str">
        <f>IF($A2697&lt;Notes!$B$5,"",IF(COUNTIFS(Release_Calendar!$A$2:$A$755,"NZ_LABOUR",Release_Calendar!$B$2:$B$755,$A2697)&gt;0,1,0))</f>
        <v/>
      </c>
      <c r="P2697" s="16">
        <f t="shared" si="4"/>
        <v>0</v>
      </c>
    </row>
    <row r="2698" ht="15.75" customHeight="1">
      <c r="A2698" s="14">
        <v>40302.0</v>
      </c>
      <c r="B2698" s="15">
        <v>0.96</v>
      </c>
      <c r="C2698" s="15"/>
      <c r="D2698" s="15">
        <v>3.92</v>
      </c>
      <c r="E2698" s="15">
        <v>3.92</v>
      </c>
      <c r="F2698" s="15" t="str">
        <f t="shared" si="1"/>
        <v/>
      </c>
      <c r="G2698" s="15">
        <f t="shared" si="2"/>
        <v>3.92</v>
      </c>
      <c r="H2698" s="16">
        <v>1.0</v>
      </c>
      <c r="I2698" s="15">
        <f t="shared" si="3"/>
        <v>2.96</v>
      </c>
      <c r="J2698" s="15">
        <v>23.84</v>
      </c>
      <c r="K2698" s="16">
        <f>IF(COUNTIFS(Release_Calendar!$A$2:$A$755,"US_CPI",Release_Calendar!$B$2:$B$755,$A2698)&gt;0,1,0)</f>
        <v>0</v>
      </c>
      <c r="L2698" s="16">
        <f>IF(COUNTIFS(Release_Calendar!$A$2:$A$755,"US_NFP",Release_Calendar!$B$2:$B$755,$A2698)&gt;0,1,0)</f>
        <v>0</v>
      </c>
      <c r="M2698" s="16" t="str">
        <f>IF($A2698&lt;Notes!$B$5,"",IF(COUNTIFS(Release_Calendar!$A$2:$A$755,"NZ_CPI",Release_Calendar!$B$2:$B$755,$A2698)&gt;0,1,0))</f>
        <v/>
      </c>
      <c r="N2698" s="16" t="str">
        <f>IF($A2698&lt;Notes!$B$5,"",IF(COUNTIFS(Release_Calendar!$A$2:$A$755,"NZ_GDP",Release_Calendar!$B$2:$B$755,$A2698)&gt;0,1,0))</f>
        <v/>
      </c>
      <c r="O2698" s="16" t="str">
        <f>IF($A2698&lt;Notes!$B$5,"",IF(COUNTIFS(Release_Calendar!$A$2:$A$755,"NZ_LABOUR",Release_Calendar!$B$2:$B$755,$A2698)&gt;0,1,0))</f>
        <v/>
      </c>
      <c r="P2698" s="16">
        <f t="shared" si="4"/>
        <v>0</v>
      </c>
    </row>
    <row r="2699" ht="15.75" customHeight="1">
      <c r="A2699" s="14">
        <v>40303.0</v>
      </c>
      <c r="B2699" s="15">
        <v>0.88</v>
      </c>
      <c r="C2699" s="15"/>
      <c r="D2699" s="15">
        <v>3.88</v>
      </c>
      <c r="E2699" s="15">
        <v>3.89</v>
      </c>
      <c r="F2699" s="15" t="str">
        <f t="shared" si="1"/>
        <v/>
      </c>
      <c r="G2699" s="15">
        <f t="shared" si="2"/>
        <v>3.88</v>
      </c>
      <c r="H2699" s="16">
        <v>1.0</v>
      </c>
      <c r="I2699" s="15">
        <f t="shared" si="3"/>
        <v>3</v>
      </c>
      <c r="J2699" s="15">
        <v>24.91</v>
      </c>
      <c r="K2699" s="16">
        <f>IF(COUNTIFS(Release_Calendar!$A$2:$A$755,"US_CPI",Release_Calendar!$B$2:$B$755,$A2699)&gt;0,1,0)</f>
        <v>0</v>
      </c>
      <c r="L2699" s="16">
        <f>IF(COUNTIFS(Release_Calendar!$A$2:$A$755,"US_NFP",Release_Calendar!$B$2:$B$755,$A2699)&gt;0,1,0)</f>
        <v>0</v>
      </c>
      <c r="M2699" s="16" t="str">
        <f>IF($A2699&lt;Notes!$B$5,"",IF(COUNTIFS(Release_Calendar!$A$2:$A$755,"NZ_CPI",Release_Calendar!$B$2:$B$755,$A2699)&gt;0,1,0))</f>
        <v/>
      </c>
      <c r="N2699" s="16" t="str">
        <f>IF($A2699&lt;Notes!$B$5,"",IF(COUNTIFS(Release_Calendar!$A$2:$A$755,"NZ_GDP",Release_Calendar!$B$2:$B$755,$A2699)&gt;0,1,0))</f>
        <v/>
      </c>
      <c r="O2699" s="16" t="str">
        <f>IF($A2699&lt;Notes!$B$5,"",IF(COUNTIFS(Release_Calendar!$A$2:$A$755,"NZ_LABOUR",Release_Calendar!$B$2:$B$755,$A2699)&gt;0,1,0))</f>
        <v/>
      </c>
      <c r="P2699" s="16">
        <f t="shared" si="4"/>
        <v>0</v>
      </c>
    </row>
    <row r="2700" ht="15.75" customHeight="1">
      <c r="A2700" s="14">
        <v>40304.0</v>
      </c>
      <c r="B2700" s="15">
        <v>0.75</v>
      </c>
      <c r="C2700" s="15"/>
      <c r="D2700" s="15">
        <v>4.07</v>
      </c>
      <c r="E2700" s="15">
        <v>4.05</v>
      </c>
      <c r="F2700" s="15" t="str">
        <f t="shared" si="1"/>
        <v/>
      </c>
      <c r="G2700" s="15">
        <f t="shared" si="2"/>
        <v>4.07</v>
      </c>
      <c r="H2700" s="16">
        <v>1.0</v>
      </c>
      <c r="I2700" s="15">
        <f t="shared" si="3"/>
        <v>3.32</v>
      </c>
      <c r="J2700" s="15">
        <v>32.8</v>
      </c>
      <c r="K2700" s="16">
        <f>IF(COUNTIFS(Release_Calendar!$A$2:$A$755,"US_CPI",Release_Calendar!$B$2:$B$755,$A2700)&gt;0,1,0)</f>
        <v>0</v>
      </c>
      <c r="L2700" s="16">
        <f>IF(COUNTIFS(Release_Calendar!$A$2:$A$755,"US_NFP",Release_Calendar!$B$2:$B$755,$A2700)&gt;0,1,0)</f>
        <v>0</v>
      </c>
      <c r="M2700" s="16" t="str">
        <f>IF($A2700&lt;Notes!$B$5,"",IF(COUNTIFS(Release_Calendar!$A$2:$A$755,"NZ_CPI",Release_Calendar!$B$2:$B$755,$A2700)&gt;0,1,0))</f>
        <v/>
      </c>
      <c r="N2700" s="16" t="str">
        <f>IF($A2700&lt;Notes!$B$5,"",IF(COUNTIFS(Release_Calendar!$A$2:$A$755,"NZ_GDP",Release_Calendar!$B$2:$B$755,$A2700)&gt;0,1,0))</f>
        <v/>
      </c>
      <c r="O2700" s="16" t="str">
        <f>IF($A2700&lt;Notes!$B$5,"",IF(COUNTIFS(Release_Calendar!$A$2:$A$755,"NZ_LABOUR",Release_Calendar!$B$2:$B$755,$A2700)&gt;0,1,0))</f>
        <v/>
      </c>
      <c r="P2700" s="16">
        <f t="shared" si="4"/>
        <v>0</v>
      </c>
    </row>
    <row r="2701" ht="15.75" customHeight="1">
      <c r="A2701" s="14">
        <v>40305.0</v>
      </c>
      <c r="B2701" s="15">
        <v>0.83</v>
      </c>
      <c r="C2701" s="15"/>
      <c r="D2701" s="15">
        <v>3.9</v>
      </c>
      <c r="E2701" s="15">
        <v>3.92</v>
      </c>
      <c r="F2701" s="15" t="str">
        <f t="shared" si="1"/>
        <v/>
      </c>
      <c r="G2701" s="15">
        <f t="shared" si="2"/>
        <v>3.9</v>
      </c>
      <c r="H2701" s="16">
        <v>1.0</v>
      </c>
      <c r="I2701" s="15">
        <f t="shared" si="3"/>
        <v>3.07</v>
      </c>
      <c r="J2701" s="15">
        <v>40.95</v>
      </c>
      <c r="K2701" s="16">
        <f>IF(COUNTIFS(Release_Calendar!$A$2:$A$755,"US_CPI",Release_Calendar!$B$2:$B$755,$A2701)&gt;0,1,0)</f>
        <v>0</v>
      </c>
      <c r="L2701" s="16">
        <f>IF(COUNTIFS(Release_Calendar!$A$2:$A$755,"US_NFP",Release_Calendar!$B$2:$B$755,$A2701)&gt;0,1,0)</f>
        <v>1</v>
      </c>
      <c r="M2701" s="16" t="str">
        <f>IF($A2701&lt;Notes!$B$5,"",IF(COUNTIFS(Release_Calendar!$A$2:$A$755,"NZ_CPI",Release_Calendar!$B$2:$B$755,$A2701)&gt;0,1,0))</f>
        <v/>
      </c>
      <c r="N2701" s="16" t="str">
        <f>IF($A2701&lt;Notes!$B$5,"",IF(COUNTIFS(Release_Calendar!$A$2:$A$755,"NZ_GDP",Release_Calendar!$B$2:$B$755,$A2701)&gt;0,1,0))</f>
        <v/>
      </c>
      <c r="O2701" s="16" t="str">
        <f>IF($A2701&lt;Notes!$B$5,"",IF(COUNTIFS(Release_Calendar!$A$2:$A$755,"NZ_LABOUR",Release_Calendar!$B$2:$B$755,$A2701)&gt;0,1,0))</f>
        <v/>
      </c>
      <c r="P2701" s="16">
        <f t="shared" si="4"/>
        <v>1</v>
      </c>
    </row>
    <row r="2702" ht="15.75" customHeight="1">
      <c r="A2702" s="14">
        <v>40308.0</v>
      </c>
      <c r="B2702" s="15">
        <v>0.87</v>
      </c>
      <c r="C2702" s="15"/>
      <c r="D2702" s="15">
        <v>3.96</v>
      </c>
      <c r="E2702" s="15">
        <v>3.99</v>
      </c>
      <c r="F2702" s="15" t="str">
        <f t="shared" si="1"/>
        <v/>
      </c>
      <c r="G2702" s="15">
        <f t="shared" si="2"/>
        <v>3.96</v>
      </c>
      <c r="H2702" s="16">
        <v>1.0</v>
      </c>
      <c r="I2702" s="15">
        <f t="shared" si="3"/>
        <v>3.09</v>
      </c>
      <c r="J2702" s="15">
        <v>28.84</v>
      </c>
      <c r="K2702" s="16">
        <f>IF(COUNTIFS(Release_Calendar!$A$2:$A$755,"US_CPI",Release_Calendar!$B$2:$B$755,$A2702)&gt;0,1,0)</f>
        <v>0</v>
      </c>
      <c r="L2702" s="16">
        <f>IF(COUNTIFS(Release_Calendar!$A$2:$A$755,"US_NFP",Release_Calendar!$B$2:$B$755,$A2702)&gt;0,1,0)</f>
        <v>0</v>
      </c>
      <c r="M2702" s="16" t="str">
        <f>IF($A2702&lt;Notes!$B$5,"",IF(COUNTIFS(Release_Calendar!$A$2:$A$755,"NZ_CPI",Release_Calendar!$B$2:$B$755,$A2702)&gt;0,1,0))</f>
        <v/>
      </c>
      <c r="N2702" s="16" t="str">
        <f>IF($A2702&lt;Notes!$B$5,"",IF(COUNTIFS(Release_Calendar!$A$2:$A$755,"NZ_GDP",Release_Calendar!$B$2:$B$755,$A2702)&gt;0,1,0))</f>
        <v/>
      </c>
      <c r="O2702" s="16" t="str">
        <f>IF($A2702&lt;Notes!$B$5,"",IF(COUNTIFS(Release_Calendar!$A$2:$A$755,"NZ_LABOUR",Release_Calendar!$B$2:$B$755,$A2702)&gt;0,1,0))</f>
        <v/>
      </c>
      <c r="P2702" s="16">
        <f t="shared" si="4"/>
        <v>0</v>
      </c>
    </row>
    <row r="2703" ht="15.75" customHeight="1">
      <c r="A2703" s="14">
        <v>40309.0</v>
      </c>
      <c r="B2703" s="15">
        <v>0.85</v>
      </c>
      <c r="C2703" s="15"/>
      <c r="D2703" s="15">
        <v>3.98</v>
      </c>
      <c r="E2703" s="15">
        <v>3.96</v>
      </c>
      <c r="F2703" s="15" t="str">
        <f t="shared" si="1"/>
        <v/>
      </c>
      <c r="G2703" s="15">
        <f t="shared" si="2"/>
        <v>3.98</v>
      </c>
      <c r="H2703" s="16">
        <v>1.0</v>
      </c>
      <c r="I2703" s="15">
        <f t="shared" si="3"/>
        <v>3.13</v>
      </c>
      <c r="J2703" s="15">
        <v>28.32</v>
      </c>
      <c r="K2703" s="16">
        <f>IF(COUNTIFS(Release_Calendar!$A$2:$A$755,"US_CPI",Release_Calendar!$B$2:$B$755,$A2703)&gt;0,1,0)</f>
        <v>0</v>
      </c>
      <c r="L2703" s="16">
        <f>IF(COUNTIFS(Release_Calendar!$A$2:$A$755,"US_NFP",Release_Calendar!$B$2:$B$755,$A2703)&gt;0,1,0)</f>
        <v>0</v>
      </c>
      <c r="M2703" s="16" t="str">
        <f>IF($A2703&lt;Notes!$B$5,"",IF(COUNTIFS(Release_Calendar!$A$2:$A$755,"NZ_CPI",Release_Calendar!$B$2:$B$755,$A2703)&gt;0,1,0))</f>
        <v/>
      </c>
      <c r="N2703" s="16" t="str">
        <f>IF($A2703&lt;Notes!$B$5,"",IF(COUNTIFS(Release_Calendar!$A$2:$A$755,"NZ_GDP",Release_Calendar!$B$2:$B$755,$A2703)&gt;0,1,0))</f>
        <v/>
      </c>
      <c r="O2703" s="16" t="str">
        <f>IF($A2703&lt;Notes!$B$5,"",IF(COUNTIFS(Release_Calendar!$A$2:$A$755,"NZ_LABOUR",Release_Calendar!$B$2:$B$755,$A2703)&gt;0,1,0))</f>
        <v/>
      </c>
      <c r="P2703" s="16">
        <f t="shared" si="4"/>
        <v>0</v>
      </c>
    </row>
    <row r="2704" ht="15.75" customHeight="1">
      <c r="A2704" s="14">
        <v>40310.0</v>
      </c>
      <c r="B2704" s="15">
        <v>0.89</v>
      </c>
      <c r="C2704" s="15"/>
      <c r="D2704" s="15">
        <v>3.95</v>
      </c>
      <c r="E2704" s="15">
        <v>3.93</v>
      </c>
      <c r="F2704" s="15" t="str">
        <f t="shared" si="1"/>
        <v/>
      </c>
      <c r="G2704" s="15">
        <f t="shared" si="2"/>
        <v>3.95</v>
      </c>
      <c r="H2704" s="16">
        <v>1.0</v>
      </c>
      <c r="I2704" s="15">
        <f t="shared" si="3"/>
        <v>3.06</v>
      </c>
      <c r="J2704" s="15">
        <v>25.52</v>
      </c>
      <c r="K2704" s="16">
        <f>IF(COUNTIFS(Release_Calendar!$A$2:$A$755,"US_CPI",Release_Calendar!$B$2:$B$755,$A2704)&gt;0,1,0)</f>
        <v>0</v>
      </c>
      <c r="L2704" s="16">
        <f>IF(COUNTIFS(Release_Calendar!$A$2:$A$755,"US_NFP",Release_Calendar!$B$2:$B$755,$A2704)&gt;0,1,0)</f>
        <v>0</v>
      </c>
      <c r="M2704" s="16" t="str">
        <f>IF($A2704&lt;Notes!$B$5,"",IF(COUNTIFS(Release_Calendar!$A$2:$A$755,"NZ_CPI",Release_Calendar!$B$2:$B$755,$A2704)&gt;0,1,0))</f>
        <v/>
      </c>
      <c r="N2704" s="16" t="str">
        <f>IF($A2704&lt;Notes!$B$5,"",IF(COUNTIFS(Release_Calendar!$A$2:$A$755,"NZ_GDP",Release_Calendar!$B$2:$B$755,$A2704)&gt;0,1,0))</f>
        <v/>
      </c>
      <c r="O2704" s="16" t="str">
        <f>IF($A2704&lt;Notes!$B$5,"",IF(COUNTIFS(Release_Calendar!$A$2:$A$755,"NZ_LABOUR",Release_Calendar!$B$2:$B$755,$A2704)&gt;0,1,0))</f>
        <v/>
      </c>
      <c r="P2704" s="16">
        <f t="shared" si="4"/>
        <v>0</v>
      </c>
    </row>
    <row r="2705" ht="15.75" customHeight="1">
      <c r="A2705" s="14">
        <v>40311.0</v>
      </c>
      <c r="B2705" s="15">
        <v>0.87</v>
      </c>
      <c r="C2705" s="15"/>
      <c r="D2705" s="15">
        <v>3.96</v>
      </c>
      <c r="E2705" s="15">
        <v>3.96</v>
      </c>
      <c r="F2705" s="15" t="str">
        <f t="shared" si="1"/>
        <v/>
      </c>
      <c r="G2705" s="15">
        <f t="shared" si="2"/>
        <v>3.96</v>
      </c>
      <c r="H2705" s="16">
        <v>1.0</v>
      </c>
      <c r="I2705" s="15">
        <f t="shared" si="3"/>
        <v>3.09</v>
      </c>
      <c r="J2705" s="15">
        <v>26.68</v>
      </c>
      <c r="K2705" s="16">
        <f>IF(COUNTIFS(Release_Calendar!$A$2:$A$755,"US_CPI",Release_Calendar!$B$2:$B$755,$A2705)&gt;0,1,0)</f>
        <v>0</v>
      </c>
      <c r="L2705" s="16">
        <f>IF(COUNTIFS(Release_Calendar!$A$2:$A$755,"US_NFP",Release_Calendar!$B$2:$B$755,$A2705)&gt;0,1,0)</f>
        <v>0</v>
      </c>
      <c r="M2705" s="16" t="str">
        <f>IF($A2705&lt;Notes!$B$5,"",IF(COUNTIFS(Release_Calendar!$A$2:$A$755,"NZ_CPI",Release_Calendar!$B$2:$B$755,$A2705)&gt;0,1,0))</f>
        <v/>
      </c>
      <c r="N2705" s="16" t="str">
        <f>IF($A2705&lt;Notes!$B$5,"",IF(COUNTIFS(Release_Calendar!$A$2:$A$755,"NZ_GDP",Release_Calendar!$B$2:$B$755,$A2705)&gt;0,1,0))</f>
        <v/>
      </c>
      <c r="O2705" s="16" t="str">
        <f>IF($A2705&lt;Notes!$B$5,"",IF(COUNTIFS(Release_Calendar!$A$2:$A$755,"NZ_LABOUR",Release_Calendar!$B$2:$B$755,$A2705)&gt;0,1,0))</f>
        <v/>
      </c>
      <c r="P2705" s="16">
        <f t="shared" si="4"/>
        <v>0</v>
      </c>
    </row>
    <row r="2706" ht="15.75" customHeight="1">
      <c r="A2706" s="14">
        <v>40312.0</v>
      </c>
      <c r="B2706" s="15">
        <v>0.79</v>
      </c>
      <c r="C2706" s="15"/>
      <c r="D2706" s="15">
        <v>3.94</v>
      </c>
      <c r="E2706" s="15">
        <v>3.94</v>
      </c>
      <c r="F2706" s="15" t="str">
        <f t="shared" si="1"/>
        <v/>
      </c>
      <c r="G2706" s="15">
        <f t="shared" si="2"/>
        <v>3.94</v>
      </c>
      <c r="H2706" s="16">
        <v>1.0</v>
      </c>
      <c r="I2706" s="15">
        <f t="shared" si="3"/>
        <v>3.15</v>
      </c>
      <c r="J2706" s="15">
        <v>31.24</v>
      </c>
      <c r="K2706" s="16">
        <f>IF(COUNTIFS(Release_Calendar!$A$2:$A$755,"US_CPI",Release_Calendar!$B$2:$B$755,$A2706)&gt;0,1,0)</f>
        <v>0</v>
      </c>
      <c r="L2706" s="16">
        <f>IF(COUNTIFS(Release_Calendar!$A$2:$A$755,"US_NFP",Release_Calendar!$B$2:$B$755,$A2706)&gt;0,1,0)</f>
        <v>0</v>
      </c>
      <c r="M2706" s="16" t="str">
        <f>IF($A2706&lt;Notes!$B$5,"",IF(COUNTIFS(Release_Calendar!$A$2:$A$755,"NZ_CPI",Release_Calendar!$B$2:$B$755,$A2706)&gt;0,1,0))</f>
        <v/>
      </c>
      <c r="N2706" s="16" t="str">
        <f>IF($A2706&lt;Notes!$B$5,"",IF(COUNTIFS(Release_Calendar!$A$2:$A$755,"NZ_GDP",Release_Calendar!$B$2:$B$755,$A2706)&gt;0,1,0))</f>
        <v/>
      </c>
      <c r="O2706" s="16" t="str">
        <f>IF($A2706&lt;Notes!$B$5,"",IF(COUNTIFS(Release_Calendar!$A$2:$A$755,"NZ_LABOUR",Release_Calendar!$B$2:$B$755,$A2706)&gt;0,1,0))</f>
        <v/>
      </c>
      <c r="P2706" s="16">
        <f t="shared" si="4"/>
        <v>0</v>
      </c>
    </row>
    <row r="2707" ht="15.75" customHeight="1">
      <c r="A2707" s="14">
        <v>40315.0</v>
      </c>
      <c r="B2707" s="15">
        <v>0.81</v>
      </c>
      <c r="C2707" s="15"/>
      <c r="D2707" s="15">
        <v>3.9</v>
      </c>
      <c r="E2707" s="15">
        <v>3.82</v>
      </c>
      <c r="F2707" s="15" t="str">
        <f t="shared" si="1"/>
        <v/>
      </c>
      <c r="G2707" s="15">
        <f t="shared" si="2"/>
        <v>3.9</v>
      </c>
      <c r="H2707" s="16">
        <v>1.0</v>
      </c>
      <c r="I2707" s="15">
        <f t="shared" si="3"/>
        <v>3.09</v>
      </c>
      <c r="J2707" s="15">
        <v>30.84</v>
      </c>
      <c r="K2707" s="16">
        <f>IF(COUNTIFS(Release_Calendar!$A$2:$A$755,"US_CPI",Release_Calendar!$B$2:$B$755,$A2707)&gt;0,1,0)</f>
        <v>0</v>
      </c>
      <c r="L2707" s="16">
        <f>IF(COUNTIFS(Release_Calendar!$A$2:$A$755,"US_NFP",Release_Calendar!$B$2:$B$755,$A2707)&gt;0,1,0)</f>
        <v>0</v>
      </c>
      <c r="M2707" s="16" t="str">
        <f>IF($A2707&lt;Notes!$B$5,"",IF(COUNTIFS(Release_Calendar!$A$2:$A$755,"NZ_CPI",Release_Calendar!$B$2:$B$755,$A2707)&gt;0,1,0))</f>
        <v/>
      </c>
      <c r="N2707" s="16" t="str">
        <f>IF($A2707&lt;Notes!$B$5,"",IF(COUNTIFS(Release_Calendar!$A$2:$A$755,"NZ_GDP",Release_Calendar!$B$2:$B$755,$A2707)&gt;0,1,0))</f>
        <v/>
      </c>
      <c r="O2707" s="16" t="str">
        <f>IF($A2707&lt;Notes!$B$5,"",IF(COUNTIFS(Release_Calendar!$A$2:$A$755,"NZ_LABOUR",Release_Calendar!$B$2:$B$755,$A2707)&gt;0,1,0))</f>
        <v/>
      </c>
      <c r="P2707" s="16">
        <f t="shared" si="4"/>
        <v>0</v>
      </c>
    </row>
    <row r="2708" ht="15.75" customHeight="1">
      <c r="A2708" s="14">
        <v>40316.0</v>
      </c>
      <c r="B2708" s="15">
        <v>0.76</v>
      </c>
      <c r="C2708" s="15"/>
      <c r="D2708" s="15">
        <v>3.9</v>
      </c>
      <c r="E2708" s="15">
        <v>3.83</v>
      </c>
      <c r="F2708" s="15" t="str">
        <f t="shared" si="1"/>
        <v/>
      </c>
      <c r="G2708" s="15">
        <f t="shared" si="2"/>
        <v>3.9</v>
      </c>
      <c r="H2708" s="16">
        <v>1.0</v>
      </c>
      <c r="I2708" s="15">
        <f t="shared" si="3"/>
        <v>3.14</v>
      </c>
      <c r="J2708" s="15">
        <v>33.55</v>
      </c>
      <c r="K2708" s="16">
        <f>IF(COUNTIFS(Release_Calendar!$A$2:$A$755,"US_CPI",Release_Calendar!$B$2:$B$755,$A2708)&gt;0,1,0)</f>
        <v>0</v>
      </c>
      <c r="L2708" s="16">
        <f>IF(COUNTIFS(Release_Calendar!$A$2:$A$755,"US_NFP",Release_Calendar!$B$2:$B$755,$A2708)&gt;0,1,0)</f>
        <v>0</v>
      </c>
      <c r="M2708" s="16" t="str">
        <f>IF($A2708&lt;Notes!$B$5,"",IF(COUNTIFS(Release_Calendar!$A$2:$A$755,"NZ_CPI",Release_Calendar!$B$2:$B$755,$A2708)&gt;0,1,0))</f>
        <v/>
      </c>
      <c r="N2708" s="16" t="str">
        <f>IF($A2708&lt;Notes!$B$5,"",IF(COUNTIFS(Release_Calendar!$A$2:$A$755,"NZ_GDP",Release_Calendar!$B$2:$B$755,$A2708)&gt;0,1,0))</f>
        <v/>
      </c>
      <c r="O2708" s="16" t="str">
        <f>IF($A2708&lt;Notes!$B$5,"",IF(COUNTIFS(Release_Calendar!$A$2:$A$755,"NZ_LABOUR",Release_Calendar!$B$2:$B$755,$A2708)&gt;0,1,0))</f>
        <v/>
      </c>
      <c r="P2708" s="16">
        <f t="shared" si="4"/>
        <v>0</v>
      </c>
    </row>
    <row r="2709" ht="15.75" customHeight="1">
      <c r="A2709" s="14">
        <v>40317.0</v>
      </c>
      <c r="B2709" s="15">
        <v>0.8</v>
      </c>
      <c r="C2709" s="15"/>
      <c r="D2709" s="15">
        <v>3.75</v>
      </c>
      <c r="E2709" s="15">
        <v>3.76</v>
      </c>
      <c r="F2709" s="15" t="str">
        <f t="shared" si="1"/>
        <v/>
      </c>
      <c r="G2709" s="15">
        <f t="shared" si="2"/>
        <v>3.75</v>
      </c>
      <c r="H2709" s="16">
        <v>1.0</v>
      </c>
      <c r="I2709" s="15">
        <f t="shared" si="3"/>
        <v>2.95</v>
      </c>
      <c r="J2709" s="15">
        <v>35.32</v>
      </c>
      <c r="K2709" s="16">
        <f>IF(COUNTIFS(Release_Calendar!$A$2:$A$755,"US_CPI",Release_Calendar!$B$2:$B$755,$A2709)&gt;0,1,0)</f>
        <v>1</v>
      </c>
      <c r="L2709" s="16">
        <f>IF(COUNTIFS(Release_Calendar!$A$2:$A$755,"US_NFP",Release_Calendar!$B$2:$B$755,$A2709)&gt;0,1,0)</f>
        <v>0</v>
      </c>
      <c r="M2709" s="16" t="str">
        <f>IF($A2709&lt;Notes!$B$5,"",IF(COUNTIFS(Release_Calendar!$A$2:$A$755,"NZ_CPI",Release_Calendar!$B$2:$B$755,$A2709)&gt;0,1,0))</f>
        <v/>
      </c>
      <c r="N2709" s="16" t="str">
        <f>IF($A2709&lt;Notes!$B$5,"",IF(COUNTIFS(Release_Calendar!$A$2:$A$755,"NZ_GDP",Release_Calendar!$B$2:$B$755,$A2709)&gt;0,1,0))</f>
        <v/>
      </c>
      <c r="O2709" s="16" t="str">
        <f>IF($A2709&lt;Notes!$B$5,"",IF(COUNTIFS(Release_Calendar!$A$2:$A$755,"NZ_LABOUR",Release_Calendar!$B$2:$B$755,$A2709)&gt;0,1,0))</f>
        <v/>
      </c>
      <c r="P2709" s="16">
        <f t="shared" si="4"/>
        <v>1</v>
      </c>
    </row>
    <row r="2710" ht="15.75" customHeight="1">
      <c r="A2710" s="14">
        <v>40318.0</v>
      </c>
      <c r="B2710" s="15">
        <v>0.76</v>
      </c>
      <c r="C2710" s="15"/>
      <c r="D2710" s="15">
        <v>3.75</v>
      </c>
      <c r="E2710" s="15">
        <v>3.8</v>
      </c>
      <c r="F2710" s="15" t="str">
        <f t="shared" si="1"/>
        <v/>
      </c>
      <c r="G2710" s="15">
        <f t="shared" si="2"/>
        <v>3.75</v>
      </c>
      <c r="H2710" s="16">
        <v>1.0</v>
      </c>
      <c r="I2710" s="15">
        <f t="shared" si="3"/>
        <v>2.99</v>
      </c>
      <c r="J2710" s="15">
        <v>45.79</v>
      </c>
      <c r="K2710" s="16">
        <f>IF(COUNTIFS(Release_Calendar!$A$2:$A$755,"US_CPI",Release_Calendar!$B$2:$B$755,$A2710)&gt;0,1,0)</f>
        <v>0</v>
      </c>
      <c r="L2710" s="16">
        <f>IF(COUNTIFS(Release_Calendar!$A$2:$A$755,"US_NFP",Release_Calendar!$B$2:$B$755,$A2710)&gt;0,1,0)</f>
        <v>0</v>
      </c>
      <c r="M2710" s="16" t="str">
        <f>IF($A2710&lt;Notes!$B$5,"",IF(COUNTIFS(Release_Calendar!$A$2:$A$755,"NZ_CPI",Release_Calendar!$B$2:$B$755,$A2710)&gt;0,1,0))</f>
        <v/>
      </c>
      <c r="N2710" s="16" t="str">
        <f>IF($A2710&lt;Notes!$B$5,"",IF(COUNTIFS(Release_Calendar!$A$2:$A$755,"NZ_GDP",Release_Calendar!$B$2:$B$755,$A2710)&gt;0,1,0))</f>
        <v/>
      </c>
      <c r="O2710" s="16" t="str">
        <f>IF($A2710&lt;Notes!$B$5,"",IF(COUNTIFS(Release_Calendar!$A$2:$A$755,"NZ_LABOUR",Release_Calendar!$B$2:$B$755,$A2710)&gt;0,1,0))</f>
        <v/>
      </c>
      <c r="P2710" s="16">
        <f t="shared" si="4"/>
        <v>0</v>
      </c>
    </row>
    <row r="2711" ht="15.75" customHeight="1">
      <c r="A2711" s="14">
        <v>40319.0</v>
      </c>
      <c r="B2711" s="15">
        <v>0.76</v>
      </c>
      <c r="C2711" s="15"/>
      <c r="D2711" s="15">
        <v>3.65</v>
      </c>
      <c r="E2711" s="15">
        <v>3.71</v>
      </c>
      <c r="F2711" s="15" t="str">
        <f t="shared" si="1"/>
        <v/>
      </c>
      <c r="G2711" s="15">
        <f t="shared" si="2"/>
        <v>3.65</v>
      </c>
      <c r="H2711" s="16">
        <v>1.0</v>
      </c>
      <c r="I2711" s="15">
        <f t="shared" si="3"/>
        <v>2.89</v>
      </c>
      <c r="J2711" s="15">
        <v>40.1</v>
      </c>
      <c r="K2711" s="16">
        <f>IF(COUNTIFS(Release_Calendar!$A$2:$A$755,"US_CPI",Release_Calendar!$B$2:$B$755,$A2711)&gt;0,1,0)</f>
        <v>0</v>
      </c>
      <c r="L2711" s="16">
        <f>IF(COUNTIFS(Release_Calendar!$A$2:$A$755,"US_NFP",Release_Calendar!$B$2:$B$755,$A2711)&gt;0,1,0)</f>
        <v>0</v>
      </c>
      <c r="M2711" s="16" t="str">
        <f>IF($A2711&lt;Notes!$B$5,"",IF(COUNTIFS(Release_Calendar!$A$2:$A$755,"NZ_CPI",Release_Calendar!$B$2:$B$755,$A2711)&gt;0,1,0))</f>
        <v/>
      </c>
      <c r="N2711" s="16" t="str">
        <f>IF($A2711&lt;Notes!$B$5,"",IF(COUNTIFS(Release_Calendar!$A$2:$A$755,"NZ_GDP",Release_Calendar!$B$2:$B$755,$A2711)&gt;0,1,0))</f>
        <v/>
      </c>
      <c r="O2711" s="16" t="str">
        <f>IF($A2711&lt;Notes!$B$5,"",IF(COUNTIFS(Release_Calendar!$A$2:$A$755,"NZ_LABOUR",Release_Calendar!$B$2:$B$755,$A2711)&gt;0,1,0))</f>
        <v/>
      </c>
      <c r="P2711" s="16">
        <f t="shared" si="4"/>
        <v>0</v>
      </c>
    </row>
    <row r="2712" ht="15.75" customHeight="1">
      <c r="A2712" s="14">
        <v>40322.0</v>
      </c>
      <c r="B2712" s="15">
        <v>0.77</v>
      </c>
      <c r="C2712" s="15"/>
      <c r="D2712" s="15">
        <v>3.71</v>
      </c>
      <c r="E2712" s="15">
        <v>3.67</v>
      </c>
      <c r="F2712" s="15" t="str">
        <f t="shared" si="1"/>
        <v/>
      </c>
      <c r="G2712" s="15">
        <f t="shared" si="2"/>
        <v>3.71</v>
      </c>
      <c r="H2712" s="16">
        <v>1.0</v>
      </c>
      <c r="I2712" s="15">
        <f t="shared" si="3"/>
        <v>2.94</v>
      </c>
      <c r="J2712" s="15">
        <v>38.32</v>
      </c>
      <c r="K2712" s="16">
        <f>IF(COUNTIFS(Release_Calendar!$A$2:$A$755,"US_CPI",Release_Calendar!$B$2:$B$755,$A2712)&gt;0,1,0)</f>
        <v>0</v>
      </c>
      <c r="L2712" s="16">
        <f>IF(COUNTIFS(Release_Calendar!$A$2:$A$755,"US_NFP",Release_Calendar!$B$2:$B$755,$A2712)&gt;0,1,0)</f>
        <v>0</v>
      </c>
      <c r="M2712" s="16" t="str">
        <f>IF($A2712&lt;Notes!$B$5,"",IF(COUNTIFS(Release_Calendar!$A$2:$A$755,"NZ_CPI",Release_Calendar!$B$2:$B$755,$A2712)&gt;0,1,0))</f>
        <v/>
      </c>
      <c r="N2712" s="16" t="str">
        <f>IF($A2712&lt;Notes!$B$5,"",IF(COUNTIFS(Release_Calendar!$A$2:$A$755,"NZ_GDP",Release_Calendar!$B$2:$B$755,$A2712)&gt;0,1,0))</f>
        <v/>
      </c>
      <c r="O2712" s="16" t="str">
        <f>IF($A2712&lt;Notes!$B$5,"",IF(COUNTIFS(Release_Calendar!$A$2:$A$755,"NZ_LABOUR",Release_Calendar!$B$2:$B$755,$A2712)&gt;0,1,0))</f>
        <v/>
      </c>
      <c r="P2712" s="16">
        <f t="shared" si="4"/>
        <v>0</v>
      </c>
    </row>
    <row r="2713" ht="15.75" customHeight="1">
      <c r="A2713" s="14">
        <v>40323.0</v>
      </c>
      <c r="B2713" s="15">
        <v>0.81</v>
      </c>
      <c r="C2713" s="15"/>
      <c r="D2713" s="15">
        <v>3.66</v>
      </c>
      <c r="E2713" s="15">
        <v>3.61</v>
      </c>
      <c r="F2713" s="15" t="str">
        <f t="shared" si="1"/>
        <v/>
      </c>
      <c r="G2713" s="15">
        <f t="shared" si="2"/>
        <v>3.66</v>
      </c>
      <c r="H2713" s="16">
        <v>1.0</v>
      </c>
      <c r="I2713" s="15">
        <f t="shared" si="3"/>
        <v>2.85</v>
      </c>
      <c r="J2713" s="15">
        <v>34.61</v>
      </c>
      <c r="K2713" s="16">
        <f>IF(COUNTIFS(Release_Calendar!$A$2:$A$755,"US_CPI",Release_Calendar!$B$2:$B$755,$A2713)&gt;0,1,0)</f>
        <v>0</v>
      </c>
      <c r="L2713" s="16">
        <f>IF(COUNTIFS(Release_Calendar!$A$2:$A$755,"US_NFP",Release_Calendar!$B$2:$B$755,$A2713)&gt;0,1,0)</f>
        <v>0</v>
      </c>
      <c r="M2713" s="16" t="str">
        <f>IF($A2713&lt;Notes!$B$5,"",IF(COUNTIFS(Release_Calendar!$A$2:$A$755,"NZ_CPI",Release_Calendar!$B$2:$B$755,$A2713)&gt;0,1,0))</f>
        <v/>
      </c>
      <c r="N2713" s="16" t="str">
        <f>IF($A2713&lt;Notes!$B$5,"",IF(COUNTIFS(Release_Calendar!$A$2:$A$755,"NZ_GDP",Release_Calendar!$B$2:$B$755,$A2713)&gt;0,1,0))</f>
        <v/>
      </c>
      <c r="O2713" s="16" t="str">
        <f>IF($A2713&lt;Notes!$B$5,"",IF(COUNTIFS(Release_Calendar!$A$2:$A$755,"NZ_LABOUR",Release_Calendar!$B$2:$B$755,$A2713)&gt;0,1,0))</f>
        <v/>
      </c>
      <c r="P2713" s="16">
        <f t="shared" si="4"/>
        <v>0</v>
      </c>
    </row>
    <row r="2714" ht="15.75" customHeight="1">
      <c r="A2714" s="14">
        <v>40324.0</v>
      </c>
      <c r="B2714" s="15">
        <v>0.82</v>
      </c>
      <c r="C2714" s="15"/>
      <c r="D2714" s="15">
        <v>3.65</v>
      </c>
      <c r="E2714" s="15">
        <v>3.63</v>
      </c>
      <c r="F2714" s="15" t="str">
        <f t="shared" si="1"/>
        <v/>
      </c>
      <c r="G2714" s="15">
        <f t="shared" si="2"/>
        <v>3.65</v>
      </c>
      <c r="H2714" s="16">
        <v>1.0</v>
      </c>
      <c r="I2714" s="15">
        <f t="shared" si="3"/>
        <v>2.83</v>
      </c>
      <c r="J2714" s="15">
        <v>35.02</v>
      </c>
      <c r="K2714" s="16">
        <f>IF(COUNTIFS(Release_Calendar!$A$2:$A$755,"US_CPI",Release_Calendar!$B$2:$B$755,$A2714)&gt;0,1,0)</f>
        <v>0</v>
      </c>
      <c r="L2714" s="16">
        <f>IF(COUNTIFS(Release_Calendar!$A$2:$A$755,"US_NFP",Release_Calendar!$B$2:$B$755,$A2714)&gt;0,1,0)</f>
        <v>0</v>
      </c>
      <c r="M2714" s="16" t="str">
        <f>IF($A2714&lt;Notes!$B$5,"",IF(COUNTIFS(Release_Calendar!$A$2:$A$755,"NZ_CPI",Release_Calendar!$B$2:$B$755,$A2714)&gt;0,1,0))</f>
        <v/>
      </c>
      <c r="N2714" s="16" t="str">
        <f>IF($A2714&lt;Notes!$B$5,"",IF(COUNTIFS(Release_Calendar!$A$2:$A$755,"NZ_GDP",Release_Calendar!$B$2:$B$755,$A2714)&gt;0,1,0))</f>
        <v/>
      </c>
      <c r="O2714" s="16" t="str">
        <f>IF($A2714&lt;Notes!$B$5,"",IF(COUNTIFS(Release_Calendar!$A$2:$A$755,"NZ_LABOUR",Release_Calendar!$B$2:$B$755,$A2714)&gt;0,1,0))</f>
        <v/>
      </c>
      <c r="P2714" s="16">
        <f t="shared" si="4"/>
        <v>0</v>
      </c>
    </row>
    <row r="2715" ht="15.75" customHeight="1">
      <c r="A2715" s="14">
        <v>40325.0</v>
      </c>
      <c r="B2715" s="15">
        <v>0.87</v>
      </c>
      <c r="C2715" s="15"/>
      <c r="D2715" s="15">
        <v>3.63</v>
      </c>
      <c r="E2715" s="15">
        <v>3.66</v>
      </c>
      <c r="F2715" s="15" t="str">
        <f t="shared" si="1"/>
        <v/>
      </c>
      <c r="G2715" s="15">
        <f t="shared" si="2"/>
        <v>3.63</v>
      </c>
      <c r="H2715" s="16">
        <v>1.0</v>
      </c>
      <c r="I2715" s="15">
        <f t="shared" si="3"/>
        <v>2.76</v>
      </c>
      <c r="J2715" s="15">
        <v>29.68</v>
      </c>
      <c r="K2715" s="16">
        <f>IF(COUNTIFS(Release_Calendar!$A$2:$A$755,"US_CPI",Release_Calendar!$B$2:$B$755,$A2715)&gt;0,1,0)</f>
        <v>0</v>
      </c>
      <c r="L2715" s="16">
        <f>IF(COUNTIFS(Release_Calendar!$A$2:$A$755,"US_NFP",Release_Calendar!$B$2:$B$755,$A2715)&gt;0,1,0)</f>
        <v>0</v>
      </c>
      <c r="M2715" s="16" t="str">
        <f>IF($A2715&lt;Notes!$B$5,"",IF(COUNTIFS(Release_Calendar!$A$2:$A$755,"NZ_CPI",Release_Calendar!$B$2:$B$755,$A2715)&gt;0,1,0))</f>
        <v/>
      </c>
      <c r="N2715" s="16" t="str">
        <f>IF($A2715&lt;Notes!$B$5,"",IF(COUNTIFS(Release_Calendar!$A$2:$A$755,"NZ_GDP",Release_Calendar!$B$2:$B$755,$A2715)&gt;0,1,0))</f>
        <v/>
      </c>
      <c r="O2715" s="16" t="str">
        <f>IF($A2715&lt;Notes!$B$5,"",IF(COUNTIFS(Release_Calendar!$A$2:$A$755,"NZ_LABOUR",Release_Calendar!$B$2:$B$755,$A2715)&gt;0,1,0))</f>
        <v/>
      </c>
      <c r="P2715" s="16">
        <f t="shared" si="4"/>
        <v>0</v>
      </c>
    </row>
    <row r="2716" ht="15.75" customHeight="1">
      <c r="A2716" s="14">
        <v>40326.0</v>
      </c>
      <c r="B2716" s="15">
        <v>0.76</v>
      </c>
      <c r="C2716" s="15"/>
      <c r="D2716" s="15">
        <v>3.72</v>
      </c>
      <c r="E2716" s="15">
        <v>3.67</v>
      </c>
      <c r="F2716" s="15" t="str">
        <f t="shared" si="1"/>
        <v/>
      </c>
      <c r="G2716" s="15">
        <f t="shared" si="2"/>
        <v>3.72</v>
      </c>
      <c r="H2716" s="16">
        <v>1.0</v>
      </c>
      <c r="I2716" s="15">
        <f t="shared" si="3"/>
        <v>2.96</v>
      </c>
      <c r="J2716" s="15">
        <v>32.07</v>
      </c>
      <c r="K2716" s="16">
        <f>IF(COUNTIFS(Release_Calendar!$A$2:$A$755,"US_CPI",Release_Calendar!$B$2:$B$755,$A2716)&gt;0,1,0)</f>
        <v>0</v>
      </c>
      <c r="L2716" s="16">
        <f>IF(COUNTIFS(Release_Calendar!$A$2:$A$755,"US_NFP",Release_Calendar!$B$2:$B$755,$A2716)&gt;0,1,0)</f>
        <v>0</v>
      </c>
      <c r="M2716" s="16" t="str">
        <f>IF($A2716&lt;Notes!$B$5,"",IF(COUNTIFS(Release_Calendar!$A$2:$A$755,"NZ_CPI",Release_Calendar!$B$2:$B$755,$A2716)&gt;0,1,0))</f>
        <v/>
      </c>
      <c r="N2716" s="16" t="str">
        <f>IF($A2716&lt;Notes!$B$5,"",IF(COUNTIFS(Release_Calendar!$A$2:$A$755,"NZ_GDP",Release_Calendar!$B$2:$B$755,$A2716)&gt;0,1,0))</f>
        <v/>
      </c>
      <c r="O2716" s="16" t="str">
        <f>IF($A2716&lt;Notes!$B$5,"",IF(COUNTIFS(Release_Calendar!$A$2:$A$755,"NZ_LABOUR",Release_Calendar!$B$2:$B$755,$A2716)&gt;0,1,0))</f>
        <v/>
      </c>
      <c r="P2716" s="16">
        <f t="shared" si="4"/>
        <v>0</v>
      </c>
    </row>
    <row r="2717" ht="15.75" customHeight="1">
      <c r="A2717" s="14">
        <v>40329.0</v>
      </c>
      <c r="B2717" s="15"/>
      <c r="C2717" s="15"/>
      <c r="D2717" s="15">
        <v>3.66</v>
      </c>
      <c r="E2717" s="15">
        <v>3.69</v>
      </c>
      <c r="F2717" s="15" t="str">
        <f t="shared" si="1"/>
        <v/>
      </c>
      <c r="G2717" s="15">
        <f t="shared" si="2"/>
        <v>3.66</v>
      </c>
      <c r="H2717" s="16">
        <v>1.0</v>
      </c>
      <c r="I2717" s="15" t="str">
        <f t="shared" si="3"/>
        <v/>
      </c>
      <c r="J2717" s="15"/>
      <c r="K2717" s="16">
        <f>IF(COUNTIFS(Release_Calendar!$A$2:$A$755,"US_CPI",Release_Calendar!$B$2:$B$755,$A2717)&gt;0,1,0)</f>
        <v>0</v>
      </c>
      <c r="L2717" s="16">
        <f>IF(COUNTIFS(Release_Calendar!$A$2:$A$755,"US_NFP",Release_Calendar!$B$2:$B$755,$A2717)&gt;0,1,0)</f>
        <v>0</v>
      </c>
      <c r="M2717" s="16" t="str">
        <f>IF($A2717&lt;Notes!$B$5,"",IF(COUNTIFS(Release_Calendar!$A$2:$A$755,"NZ_CPI",Release_Calendar!$B$2:$B$755,$A2717)&gt;0,1,0))</f>
        <v/>
      </c>
      <c r="N2717" s="16" t="str">
        <f>IF($A2717&lt;Notes!$B$5,"",IF(COUNTIFS(Release_Calendar!$A$2:$A$755,"NZ_GDP",Release_Calendar!$B$2:$B$755,$A2717)&gt;0,1,0))</f>
        <v/>
      </c>
      <c r="O2717" s="16" t="str">
        <f>IF($A2717&lt;Notes!$B$5,"",IF(COUNTIFS(Release_Calendar!$A$2:$A$755,"NZ_LABOUR",Release_Calendar!$B$2:$B$755,$A2717)&gt;0,1,0))</f>
        <v/>
      </c>
      <c r="P2717" s="16">
        <f t="shared" si="4"/>
        <v>0</v>
      </c>
    </row>
    <row r="2718" ht="15.75" customHeight="1">
      <c r="A2718" s="14">
        <v>40330.0</v>
      </c>
      <c r="B2718" s="15">
        <v>0.78</v>
      </c>
      <c r="C2718" s="15"/>
      <c r="D2718" s="15">
        <v>3.71</v>
      </c>
      <c r="E2718" s="15">
        <v>3.71</v>
      </c>
      <c r="F2718" s="15" t="str">
        <f t="shared" si="1"/>
        <v/>
      </c>
      <c r="G2718" s="15">
        <f t="shared" si="2"/>
        <v>3.71</v>
      </c>
      <c r="H2718" s="16">
        <v>1.0</v>
      </c>
      <c r="I2718" s="15">
        <f t="shared" si="3"/>
        <v>2.93</v>
      </c>
      <c r="J2718" s="15">
        <v>35.54</v>
      </c>
      <c r="K2718" s="16">
        <f>IF(COUNTIFS(Release_Calendar!$A$2:$A$755,"US_CPI",Release_Calendar!$B$2:$B$755,$A2718)&gt;0,1,0)</f>
        <v>0</v>
      </c>
      <c r="L2718" s="16">
        <f>IF(COUNTIFS(Release_Calendar!$A$2:$A$755,"US_NFP",Release_Calendar!$B$2:$B$755,$A2718)&gt;0,1,0)</f>
        <v>0</v>
      </c>
      <c r="M2718" s="16" t="str">
        <f>IF($A2718&lt;Notes!$B$5,"",IF(COUNTIFS(Release_Calendar!$A$2:$A$755,"NZ_CPI",Release_Calendar!$B$2:$B$755,$A2718)&gt;0,1,0))</f>
        <v/>
      </c>
      <c r="N2718" s="16" t="str">
        <f>IF($A2718&lt;Notes!$B$5,"",IF(COUNTIFS(Release_Calendar!$A$2:$A$755,"NZ_GDP",Release_Calendar!$B$2:$B$755,$A2718)&gt;0,1,0))</f>
        <v/>
      </c>
      <c r="O2718" s="16" t="str">
        <f>IF($A2718&lt;Notes!$B$5,"",IF(COUNTIFS(Release_Calendar!$A$2:$A$755,"NZ_LABOUR",Release_Calendar!$B$2:$B$755,$A2718)&gt;0,1,0))</f>
        <v/>
      </c>
      <c r="P2718" s="16">
        <f t="shared" si="4"/>
        <v>0</v>
      </c>
    </row>
    <row r="2719" ht="15.75" customHeight="1">
      <c r="A2719" s="14">
        <v>40331.0</v>
      </c>
      <c r="B2719" s="15">
        <v>0.82</v>
      </c>
      <c r="C2719" s="15"/>
      <c r="D2719" s="15">
        <v>3.7</v>
      </c>
      <c r="E2719" s="15">
        <v>3.74</v>
      </c>
      <c r="F2719" s="15" t="str">
        <f t="shared" si="1"/>
        <v/>
      </c>
      <c r="G2719" s="15">
        <f t="shared" si="2"/>
        <v>3.7</v>
      </c>
      <c r="H2719" s="16">
        <v>1.0</v>
      </c>
      <c r="I2719" s="15">
        <f t="shared" si="3"/>
        <v>2.88</v>
      </c>
      <c r="J2719" s="15">
        <v>30.17</v>
      </c>
      <c r="K2719" s="16">
        <f>IF(COUNTIFS(Release_Calendar!$A$2:$A$755,"US_CPI",Release_Calendar!$B$2:$B$755,$A2719)&gt;0,1,0)</f>
        <v>0</v>
      </c>
      <c r="L2719" s="16">
        <f>IF(COUNTIFS(Release_Calendar!$A$2:$A$755,"US_NFP",Release_Calendar!$B$2:$B$755,$A2719)&gt;0,1,0)</f>
        <v>0</v>
      </c>
      <c r="M2719" s="16" t="str">
        <f>IF($A2719&lt;Notes!$B$5,"",IF(COUNTIFS(Release_Calendar!$A$2:$A$755,"NZ_CPI",Release_Calendar!$B$2:$B$755,$A2719)&gt;0,1,0))</f>
        <v/>
      </c>
      <c r="N2719" s="16" t="str">
        <f>IF($A2719&lt;Notes!$B$5,"",IF(COUNTIFS(Release_Calendar!$A$2:$A$755,"NZ_GDP",Release_Calendar!$B$2:$B$755,$A2719)&gt;0,1,0))</f>
        <v/>
      </c>
      <c r="O2719" s="16" t="str">
        <f>IF($A2719&lt;Notes!$B$5,"",IF(COUNTIFS(Release_Calendar!$A$2:$A$755,"NZ_LABOUR",Release_Calendar!$B$2:$B$755,$A2719)&gt;0,1,0))</f>
        <v/>
      </c>
      <c r="P2719" s="16">
        <f t="shared" si="4"/>
        <v>0</v>
      </c>
    </row>
    <row r="2720" ht="15.75" customHeight="1">
      <c r="A2720" s="14">
        <v>40332.0</v>
      </c>
      <c r="B2720" s="15">
        <v>0.82</v>
      </c>
      <c r="C2720" s="15"/>
      <c r="D2720" s="15">
        <v>3.77</v>
      </c>
      <c r="E2720" s="15">
        <v>3.81</v>
      </c>
      <c r="F2720" s="15" t="str">
        <f t="shared" si="1"/>
        <v/>
      </c>
      <c r="G2720" s="15">
        <f t="shared" si="2"/>
        <v>3.77</v>
      </c>
      <c r="H2720" s="16">
        <v>1.0</v>
      </c>
      <c r="I2720" s="15">
        <f t="shared" si="3"/>
        <v>2.95</v>
      </c>
      <c r="J2720" s="15">
        <v>29.46</v>
      </c>
      <c r="K2720" s="16">
        <f>IF(COUNTIFS(Release_Calendar!$A$2:$A$755,"US_CPI",Release_Calendar!$B$2:$B$755,$A2720)&gt;0,1,0)</f>
        <v>0</v>
      </c>
      <c r="L2720" s="16">
        <f>IF(COUNTIFS(Release_Calendar!$A$2:$A$755,"US_NFP",Release_Calendar!$B$2:$B$755,$A2720)&gt;0,1,0)</f>
        <v>0</v>
      </c>
      <c r="M2720" s="16" t="str">
        <f>IF($A2720&lt;Notes!$B$5,"",IF(COUNTIFS(Release_Calendar!$A$2:$A$755,"NZ_CPI",Release_Calendar!$B$2:$B$755,$A2720)&gt;0,1,0))</f>
        <v/>
      </c>
      <c r="N2720" s="16" t="str">
        <f>IF($A2720&lt;Notes!$B$5,"",IF(COUNTIFS(Release_Calendar!$A$2:$A$755,"NZ_GDP",Release_Calendar!$B$2:$B$755,$A2720)&gt;0,1,0))</f>
        <v/>
      </c>
      <c r="O2720" s="16" t="str">
        <f>IF($A2720&lt;Notes!$B$5,"",IF(COUNTIFS(Release_Calendar!$A$2:$A$755,"NZ_LABOUR",Release_Calendar!$B$2:$B$755,$A2720)&gt;0,1,0))</f>
        <v/>
      </c>
      <c r="P2720" s="16">
        <f t="shared" si="4"/>
        <v>0</v>
      </c>
    </row>
    <row r="2721" ht="15.75" customHeight="1">
      <c r="A2721" s="14">
        <v>40333.0</v>
      </c>
      <c r="B2721" s="15">
        <v>0.72</v>
      </c>
      <c r="C2721" s="15"/>
      <c r="D2721" s="15">
        <v>3.81</v>
      </c>
      <c r="E2721" s="15">
        <v>3.78</v>
      </c>
      <c r="F2721" s="15" t="str">
        <f t="shared" si="1"/>
        <v/>
      </c>
      <c r="G2721" s="15">
        <f t="shared" si="2"/>
        <v>3.81</v>
      </c>
      <c r="H2721" s="16">
        <v>1.0</v>
      </c>
      <c r="I2721" s="15">
        <f t="shared" si="3"/>
        <v>3.09</v>
      </c>
      <c r="J2721" s="15">
        <v>35.48</v>
      </c>
      <c r="K2721" s="16">
        <f>IF(COUNTIFS(Release_Calendar!$A$2:$A$755,"US_CPI",Release_Calendar!$B$2:$B$755,$A2721)&gt;0,1,0)</f>
        <v>0</v>
      </c>
      <c r="L2721" s="16">
        <f>IF(COUNTIFS(Release_Calendar!$A$2:$A$755,"US_NFP",Release_Calendar!$B$2:$B$755,$A2721)&gt;0,1,0)</f>
        <v>1</v>
      </c>
      <c r="M2721" s="16" t="str">
        <f>IF($A2721&lt;Notes!$B$5,"",IF(COUNTIFS(Release_Calendar!$A$2:$A$755,"NZ_CPI",Release_Calendar!$B$2:$B$755,$A2721)&gt;0,1,0))</f>
        <v/>
      </c>
      <c r="N2721" s="16" t="str">
        <f>IF($A2721&lt;Notes!$B$5,"",IF(COUNTIFS(Release_Calendar!$A$2:$A$755,"NZ_GDP",Release_Calendar!$B$2:$B$755,$A2721)&gt;0,1,0))</f>
        <v/>
      </c>
      <c r="O2721" s="16" t="str">
        <f>IF($A2721&lt;Notes!$B$5,"",IF(COUNTIFS(Release_Calendar!$A$2:$A$755,"NZ_LABOUR",Release_Calendar!$B$2:$B$755,$A2721)&gt;0,1,0))</f>
        <v/>
      </c>
      <c r="P2721" s="16">
        <f t="shared" si="4"/>
        <v>1</v>
      </c>
    </row>
    <row r="2722" ht="15.75" customHeight="1">
      <c r="A2722" s="14">
        <v>40336.0</v>
      </c>
      <c r="B2722" s="15">
        <v>0.74</v>
      </c>
      <c r="C2722" s="15"/>
      <c r="D2722" s="15"/>
      <c r="E2722" s="15"/>
      <c r="F2722" s="15" t="str">
        <f t="shared" si="1"/>
        <v/>
      </c>
      <c r="G2722" s="15" t="str">
        <f t="shared" si="2"/>
        <v/>
      </c>
      <c r="H2722" s="16">
        <v>1.0</v>
      </c>
      <c r="I2722" s="15" t="str">
        <f t="shared" si="3"/>
        <v/>
      </c>
      <c r="J2722" s="15">
        <v>36.57</v>
      </c>
      <c r="K2722" s="16">
        <f>IF(COUNTIFS(Release_Calendar!$A$2:$A$755,"US_CPI",Release_Calendar!$B$2:$B$755,$A2722)&gt;0,1,0)</f>
        <v>0</v>
      </c>
      <c r="L2722" s="16">
        <f>IF(COUNTIFS(Release_Calendar!$A$2:$A$755,"US_NFP",Release_Calendar!$B$2:$B$755,$A2722)&gt;0,1,0)</f>
        <v>0</v>
      </c>
      <c r="M2722" s="16" t="str">
        <f>IF($A2722&lt;Notes!$B$5,"",IF(COUNTIFS(Release_Calendar!$A$2:$A$755,"NZ_CPI",Release_Calendar!$B$2:$B$755,$A2722)&gt;0,1,0))</f>
        <v/>
      </c>
      <c r="N2722" s="16" t="str">
        <f>IF($A2722&lt;Notes!$B$5,"",IF(COUNTIFS(Release_Calendar!$A$2:$A$755,"NZ_GDP",Release_Calendar!$B$2:$B$755,$A2722)&gt;0,1,0))</f>
        <v/>
      </c>
      <c r="O2722" s="16" t="str">
        <f>IF($A2722&lt;Notes!$B$5,"",IF(COUNTIFS(Release_Calendar!$A$2:$A$755,"NZ_LABOUR",Release_Calendar!$B$2:$B$755,$A2722)&gt;0,1,0))</f>
        <v/>
      </c>
      <c r="P2722" s="16">
        <f t="shared" si="4"/>
        <v>0</v>
      </c>
    </row>
    <row r="2723" ht="15.75" customHeight="1">
      <c r="A2723" s="14">
        <v>40337.0</v>
      </c>
      <c r="B2723" s="15">
        <v>0.74</v>
      </c>
      <c r="C2723" s="15"/>
      <c r="D2723" s="15">
        <v>3.68</v>
      </c>
      <c r="E2723" s="15">
        <v>3.69</v>
      </c>
      <c r="F2723" s="15" t="str">
        <f t="shared" si="1"/>
        <v/>
      </c>
      <c r="G2723" s="15">
        <f t="shared" si="2"/>
        <v>3.68</v>
      </c>
      <c r="H2723" s="16">
        <v>1.0</v>
      </c>
      <c r="I2723" s="15">
        <f t="shared" si="3"/>
        <v>2.94</v>
      </c>
      <c r="J2723" s="15">
        <v>33.7</v>
      </c>
      <c r="K2723" s="16">
        <f>IF(COUNTIFS(Release_Calendar!$A$2:$A$755,"US_CPI",Release_Calendar!$B$2:$B$755,$A2723)&gt;0,1,0)</f>
        <v>0</v>
      </c>
      <c r="L2723" s="16">
        <f>IF(COUNTIFS(Release_Calendar!$A$2:$A$755,"US_NFP",Release_Calendar!$B$2:$B$755,$A2723)&gt;0,1,0)</f>
        <v>0</v>
      </c>
      <c r="M2723" s="16" t="str">
        <f>IF($A2723&lt;Notes!$B$5,"",IF(COUNTIFS(Release_Calendar!$A$2:$A$755,"NZ_CPI",Release_Calendar!$B$2:$B$755,$A2723)&gt;0,1,0))</f>
        <v/>
      </c>
      <c r="N2723" s="16" t="str">
        <f>IF($A2723&lt;Notes!$B$5,"",IF(COUNTIFS(Release_Calendar!$A$2:$A$755,"NZ_GDP",Release_Calendar!$B$2:$B$755,$A2723)&gt;0,1,0))</f>
        <v/>
      </c>
      <c r="O2723" s="16" t="str">
        <f>IF($A2723&lt;Notes!$B$5,"",IF(COUNTIFS(Release_Calendar!$A$2:$A$755,"NZ_LABOUR",Release_Calendar!$B$2:$B$755,$A2723)&gt;0,1,0))</f>
        <v/>
      </c>
      <c r="P2723" s="16">
        <f t="shared" si="4"/>
        <v>0</v>
      </c>
    </row>
    <row r="2724" ht="15.75" customHeight="1">
      <c r="A2724" s="14">
        <v>40338.0</v>
      </c>
      <c r="B2724" s="15">
        <v>0.74</v>
      </c>
      <c r="C2724" s="15"/>
      <c r="D2724" s="15">
        <v>3.7</v>
      </c>
      <c r="E2724" s="15">
        <v>3.7</v>
      </c>
      <c r="F2724" s="15" t="str">
        <f t="shared" si="1"/>
        <v/>
      </c>
      <c r="G2724" s="15">
        <f t="shared" si="2"/>
        <v>3.7</v>
      </c>
      <c r="H2724" s="16">
        <v>1.0</v>
      </c>
      <c r="I2724" s="15">
        <f t="shared" si="3"/>
        <v>2.96</v>
      </c>
      <c r="J2724" s="15">
        <v>33.73</v>
      </c>
      <c r="K2724" s="16">
        <f>IF(COUNTIFS(Release_Calendar!$A$2:$A$755,"US_CPI",Release_Calendar!$B$2:$B$755,$A2724)&gt;0,1,0)</f>
        <v>0</v>
      </c>
      <c r="L2724" s="16">
        <f>IF(COUNTIFS(Release_Calendar!$A$2:$A$755,"US_NFP",Release_Calendar!$B$2:$B$755,$A2724)&gt;0,1,0)</f>
        <v>0</v>
      </c>
      <c r="M2724" s="16" t="str">
        <f>IF($A2724&lt;Notes!$B$5,"",IF(COUNTIFS(Release_Calendar!$A$2:$A$755,"NZ_CPI",Release_Calendar!$B$2:$B$755,$A2724)&gt;0,1,0))</f>
        <v/>
      </c>
      <c r="N2724" s="16" t="str">
        <f>IF($A2724&lt;Notes!$B$5,"",IF(COUNTIFS(Release_Calendar!$A$2:$A$755,"NZ_GDP",Release_Calendar!$B$2:$B$755,$A2724)&gt;0,1,0))</f>
        <v/>
      </c>
      <c r="O2724" s="16" t="str">
        <f>IF($A2724&lt;Notes!$B$5,"",IF(COUNTIFS(Release_Calendar!$A$2:$A$755,"NZ_LABOUR",Release_Calendar!$B$2:$B$755,$A2724)&gt;0,1,0))</f>
        <v/>
      </c>
      <c r="P2724" s="16">
        <f t="shared" si="4"/>
        <v>0</v>
      </c>
    </row>
    <row r="2725" ht="15.75" customHeight="1">
      <c r="A2725" s="14">
        <v>40339.0</v>
      </c>
      <c r="B2725" s="15">
        <v>0.79</v>
      </c>
      <c r="C2725" s="15"/>
      <c r="D2725" s="15">
        <v>3.74</v>
      </c>
      <c r="E2725" s="15">
        <v>3.71</v>
      </c>
      <c r="F2725" s="15" t="str">
        <f t="shared" si="1"/>
        <v/>
      </c>
      <c r="G2725" s="15">
        <f t="shared" si="2"/>
        <v>3.74</v>
      </c>
      <c r="H2725" s="16">
        <v>1.0</v>
      </c>
      <c r="I2725" s="15">
        <f t="shared" si="3"/>
        <v>2.95</v>
      </c>
      <c r="J2725" s="15">
        <v>30.57</v>
      </c>
      <c r="K2725" s="16">
        <f>IF(COUNTIFS(Release_Calendar!$A$2:$A$755,"US_CPI",Release_Calendar!$B$2:$B$755,$A2725)&gt;0,1,0)</f>
        <v>0</v>
      </c>
      <c r="L2725" s="16">
        <f>IF(COUNTIFS(Release_Calendar!$A$2:$A$755,"US_NFP",Release_Calendar!$B$2:$B$755,$A2725)&gt;0,1,0)</f>
        <v>0</v>
      </c>
      <c r="M2725" s="16" t="str">
        <f>IF($A2725&lt;Notes!$B$5,"",IF(COUNTIFS(Release_Calendar!$A$2:$A$755,"NZ_CPI",Release_Calendar!$B$2:$B$755,$A2725)&gt;0,1,0))</f>
        <v/>
      </c>
      <c r="N2725" s="16" t="str">
        <f>IF($A2725&lt;Notes!$B$5,"",IF(COUNTIFS(Release_Calendar!$A$2:$A$755,"NZ_GDP",Release_Calendar!$B$2:$B$755,$A2725)&gt;0,1,0))</f>
        <v/>
      </c>
      <c r="O2725" s="16" t="str">
        <f>IF($A2725&lt;Notes!$B$5,"",IF(COUNTIFS(Release_Calendar!$A$2:$A$755,"NZ_LABOUR",Release_Calendar!$B$2:$B$755,$A2725)&gt;0,1,0))</f>
        <v/>
      </c>
      <c r="P2725" s="16">
        <f t="shared" si="4"/>
        <v>0</v>
      </c>
    </row>
    <row r="2726" ht="15.75" customHeight="1">
      <c r="A2726" s="14">
        <v>40340.0</v>
      </c>
      <c r="B2726" s="15">
        <v>0.75</v>
      </c>
      <c r="C2726" s="15"/>
      <c r="D2726" s="15">
        <v>3.76</v>
      </c>
      <c r="E2726" s="15">
        <v>3.76</v>
      </c>
      <c r="F2726" s="15" t="str">
        <f t="shared" si="1"/>
        <v/>
      </c>
      <c r="G2726" s="15">
        <f t="shared" si="2"/>
        <v>3.76</v>
      </c>
      <c r="H2726" s="16">
        <v>1.0</v>
      </c>
      <c r="I2726" s="15">
        <f t="shared" si="3"/>
        <v>3.01</v>
      </c>
      <c r="J2726" s="15">
        <v>28.79</v>
      </c>
      <c r="K2726" s="16">
        <f>IF(COUNTIFS(Release_Calendar!$A$2:$A$755,"US_CPI",Release_Calendar!$B$2:$B$755,$A2726)&gt;0,1,0)</f>
        <v>0</v>
      </c>
      <c r="L2726" s="16">
        <f>IF(COUNTIFS(Release_Calendar!$A$2:$A$755,"US_NFP",Release_Calendar!$B$2:$B$755,$A2726)&gt;0,1,0)</f>
        <v>0</v>
      </c>
      <c r="M2726" s="16" t="str">
        <f>IF($A2726&lt;Notes!$B$5,"",IF(COUNTIFS(Release_Calendar!$A$2:$A$755,"NZ_CPI",Release_Calendar!$B$2:$B$755,$A2726)&gt;0,1,0))</f>
        <v/>
      </c>
      <c r="N2726" s="16" t="str">
        <f>IF($A2726&lt;Notes!$B$5,"",IF(COUNTIFS(Release_Calendar!$A$2:$A$755,"NZ_GDP",Release_Calendar!$B$2:$B$755,$A2726)&gt;0,1,0))</f>
        <v/>
      </c>
      <c r="O2726" s="16" t="str">
        <f>IF($A2726&lt;Notes!$B$5,"",IF(COUNTIFS(Release_Calendar!$A$2:$A$755,"NZ_LABOUR",Release_Calendar!$B$2:$B$755,$A2726)&gt;0,1,0))</f>
        <v/>
      </c>
      <c r="P2726" s="16">
        <f t="shared" si="4"/>
        <v>0</v>
      </c>
    </row>
    <row r="2727" ht="15.75" customHeight="1">
      <c r="A2727" s="14">
        <v>40343.0</v>
      </c>
      <c r="B2727" s="15">
        <v>0.77</v>
      </c>
      <c r="C2727" s="15"/>
      <c r="D2727" s="15">
        <v>3.76</v>
      </c>
      <c r="E2727" s="15">
        <v>3.73</v>
      </c>
      <c r="F2727" s="15" t="str">
        <f t="shared" si="1"/>
        <v/>
      </c>
      <c r="G2727" s="15">
        <f t="shared" si="2"/>
        <v>3.76</v>
      </c>
      <c r="H2727" s="16">
        <v>1.0</v>
      </c>
      <c r="I2727" s="15">
        <f t="shared" si="3"/>
        <v>2.99</v>
      </c>
      <c r="J2727" s="15">
        <v>28.58</v>
      </c>
      <c r="K2727" s="16">
        <f>IF(COUNTIFS(Release_Calendar!$A$2:$A$755,"US_CPI",Release_Calendar!$B$2:$B$755,$A2727)&gt;0,1,0)</f>
        <v>0</v>
      </c>
      <c r="L2727" s="16">
        <f>IF(COUNTIFS(Release_Calendar!$A$2:$A$755,"US_NFP",Release_Calendar!$B$2:$B$755,$A2727)&gt;0,1,0)</f>
        <v>0</v>
      </c>
      <c r="M2727" s="16" t="str">
        <f>IF($A2727&lt;Notes!$B$5,"",IF(COUNTIFS(Release_Calendar!$A$2:$A$755,"NZ_CPI",Release_Calendar!$B$2:$B$755,$A2727)&gt;0,1,0))</f>
        <v/>
      </c>
      <c r="N2727" s="16" t="str">
        <f>IF($A2727&lt;Notes!$B$5,"",IF(COUNTIFS(Release_Calendar!$A$2:$A$755,"NZ_GDP",Release_Calendar!$B$2:$B$755,$A2727)&gt;0,1,0))</f>
        <v/>
      </c>
      <c r="O2727" s="16" t="str">
        <f>IF($A2727&lt;Notes!$B$5,"",IF(COUNTIFS(Release_Calendar!$A$2:$A$755,"NZ_LABOUR",Release_Calendar!$B$2:$B$755,$A2727)&gt;0,1,0))</f>
        <v/>
      </c>
      <c r="P2727" s="16">
        <f t="shared" si="4"/>
        <v>0</v>
      </c>
    </row>
    <row r="2728" ht="15.75" customHeight="1">
      <c r="A2728" s="14">
        <v>40344.0</v>
      </c>
      <c r="B2728" s="15">
        <v>0.79</v>
      </c>
      <c r="C2728" s="15"/>
      <c r="D2728" s="15">
        <v>3.73</v>
      </c>
      <c r="E2728" s="15">
        <v>3.73</v>
      </c>
      <c r="F2728" s="15" t="str">
        <f t="shared" si="1"/>
        <v/>
      </c>
      <c r="G2728" s="15">
        <f t="shared" si="2"/>
        <v>3.73</v>
      </c>
      <c r="H2728" s="16">
        <v>1.0</v>
      </c>
      <c r="I2728" s="15">
        <f t="shared" si="3"/>
        <v>2.94</v>
      </c>
      <c r="J2728" s="15">
        <v>25.87</v>
      </c>
      <c r="K2728" s="16">
        <f>IF(COUNTIFS(Release_Calendar!$A$2:$A$755,"US_CPI",Release_Calendar!$B$2:$B$755,$A2728)&gt;0,1,0)</f>
        <v>0</v>
      </c>
      <c r="L2728" s="16">
        <f>IF(COUNTIFS(Release_Calendar!$A$2:$A$755,"US_NFP",Release_Calendar!$B$2:$B$755,$A2728)&gt;0,1,0)</f>
        <v>0</v>
      </c>
      <c r="M2728" s="16" t="str">
        <f>IF($A2728&lt;Notes!$B$5,"",IF(COUNTIFS(Release_Calendar!$A$2:$A$755,"NZ_CPI",Release_Calendar!$B$2:$B$755,$A2728)&gt;0,1,0))</f>
        <v/>
      </c>
      <c r="N2728" s="16" t="str">
        <f>IF($A2728&lt;Notes!$B$5,"",IF(COUNTIFS(Release_Calendar!$A$2:$A$755,"NZ_GDP",Release_Calendar!$B$2:$B$755,$A2728)&gt;0,1,0))</f>
        <v/>
      </c>
      <c r="O2728" s="16" t="str">
        <f>IF($A2728&lt;Notes!$B$5,"",IF(COUNTIFS(Release_Calendar!$A$2:$A$755,"NZ_LABOUR",Release_Calendar!$B$2:$B$755,$A2728)&gt;0,1,0))</f>
        <v/>
      </c>
      <c r="P2728" s="16">
        <f t="shared" si="4"/>
        <v>0</v>
      </c>
    </row>
    <row r="2729" ht="15.75" customHeight="1">
      <c r="A2729" s="14">
        <v>40345.0</v>
      </c>
      <c r="B2729" s="15">
        <v>0.75</v>
      </c>
      <c r="C2729" s="15"/>
      <c r="D2729" s="15">
        <v>3.78</v>
      </c>
      <c r="E2729" s="15">
        <v>3.78</v>
      </c>
      <c r="F2729" s="15" t="str">
        <f t="shared" si="1"/>
        <v/>
      </c>
      <c r="G2729" s="15">
        <f t="shared" si="2"/>
        <v>3.78</v>
      </c>
      <c r="H2729" s="16">
        <v>1.0</v>
      </c>
      <c r="I2729" s="15">
        <f t="shared" si="3"/>
        <v>3.03</v>
      </c>
      <c r="J2729" s="15">
        <v>25.92</v>
      </c>
      <c r="K2729" s="16">
        <f>IF(COUNTIFS(Release_Calendar!$A$2:$A$755,"US_CPI",Release_Calendar!$B$2:$B$755,$A2729)&gt;0,1,0)</f>
        <v>0</v>
      </c>
      <c r="L2729" s="16">
        <f>IF(COUNTIFS(Release_Calendar!$A$2:$A$755,"US_NFP",Release_Calendar!$B$2:$B$755,$A2729)&gt;0,1,0)</f>
        <v>0</v>
      </c>
      <c r="M2729" s="16" t="str">
        <f>IF($A2729&lt;Notes!$B$5,"",IF(COUNTIFS(Release_Calendar!$A$2:$A$755,"NZ_CPI",Release_Calendar!$B$2:$B$755,$A2729)&gt;0,1,0))</f>
        <v/>
      </c>
      <c r="N2729" s="16" t="str">
        <f>IF($A2729&lt;Notes!$B$5,"",IF(COUNTIFS(Release_Calendar!$A$2:$A$755,"NZ_GDP",Release_Calendar!$B$2:$B$755,$A2729)&gt;0,1,0))</f>
        <v/>
      </c>
      <c r="O2729" s="16" t="str">
        <f>IF($A2729&lt;Notes!$B$5,"",IF(COUNTIFS(Release_Calendar!$A$2:$A$755,"NZ_LABOUR",Release_Calendar!$B$2:$B$755,$A2729)&gt;0,1,0))</f>
        <v/>
      </c>
      <c r="P2729" s="16">
        <f t="shared" si="4"/>
        <v>0</v>
      </c>
    </row>
    <row r="2730" ht="15.75" customHeight="1">
      <c r="A2730" s="14">
        <v>40346.0</v>
      </c>
      <c r="B2730" s="15">
        <v>0.72</v>
      </c>
      <c r="C2730" s="15"/>
      <c r="D2730" s="15">
        <v>3.78</v>
      </c>
      <c r="E2730" s="15">
        <v>3.77</v>
      </c>
      <c r="F2730" s="15" t="str">
        <f t="shared" si="1"/>
        <v/>
      </c>
      <c r="G2730" s="15">
        <f t="shared" si="2"/>
        <v>3.78</v>
      </c>
      <c r="H2730" s="16">
        <v>1.0</v>
      </c>
      <c r="I2730" s="15">
        <f t="shared" si="3"/>
        <v>3.06</v>
      </c>
      <c r="J2730" s="15">
        <v>25.05</v>
      </c>
      <c r="K2730" s="16">
        <f>IF(COUNTIFS(Release_Calendar!$A$2:$A$755,"US_CPI",Release_Calendar!$B$2:$B$755,$A2730)&gt;0,1,0)</f>
        <v>1</v>
      </c>
      <c r="L2730" s="16">
        <f>IF(COUNTIFS(Release_Calendar!$A$2:$A$755,"US_NFP",Release_Calendar!$B$2:$B$755,$A2730)&gt;0,1,0)</f>
        <v>0</v>
      </c>
      <c r="M2730" s="16" t="str">
        <f>IF($A2730&lt;Notes!$B$5,"",IF(COUNTIFS(Release_Calendar!$A$2:$A$755,"NZ_CPI",Release_Calendar!$B$2:$B$755,$A2730)&gt;0,1,0))</f>
        <v/>
      </c>
      <c r="N2730" s="16" t="str">
        <f>IF($A2730&lt;Notes!$B$5,"",IF(COUNTIFS(Release_Calendar!$A$2:$A$755,"NZ_GDP",Release_Calendar!$B$2:$B$755,$A2730)&gt;0,1,0))</f>
        <v/>
      </c>
      <c r="O2730" s="16" t="str">
        <f>IF($A2730&lt;Notes!$B$5,"",IF(COUNTIFS(Release_Calendar!$A$2:$A$755,"NZ_LABOUR",Release_Calendar!$B$2:$B$755,$A2730)&gt;0,1,0))</f>
        <v/>
      </c>
      <c r="P2730" s="16">
        <f t="shared" si="4"/>
        <v>1</v>
      </c>
    </row>
    <row r="2731" ht="15.75" customHeight="1">
      <c r="A2731" s="14">
        <v>40347.0</v>
      </c>
      <c r="B2731" s="15">
        <v>0.74</v>
      </c>
      <c r="C2731" s="15"/>
      <c r="D2731" s="15">
        <v>3.77</v>
      </c>
      <c r="E2731" s="15">
        <v>3.77</v>
      </c>
      <c r="F2731" s="15" t="str">
        <f t="shared" si="1"/>
        <v/>
      </c>
      <c r="G2731" s="15">
        <f t="shared" si="2"/>
        <v>3.77</v>
      </c>
      <c r="H2731" s="16">
        <v>1.0</v>
      </c>
      <c r="I2731" s="15">
        <f t="shared" si="3"/>
        <v>3.03</v>
      </c>
      <c r="J2731" s="15">
        <v>23.95</v>
      </c>
      <c r="K2731" s="16">
        <f>IF(COUNTIFS(Release_Calendar!$A$2:$A$755,"US_CPI",Release_Calendar!$B$2:$B$755,$A2731)&gt;0,1,0)</f>
        <v>0</v>
      </c>
      <c r="L2731" s="16">
        <f>IF(COUNTIFS(Release_Calendar!$A$2:$A$755,"US_NFP",Release_Calendar!$B$2:$B$755,$A2731)&gt;0,1,0)</f>
        <v>0</v>
      </c>
      <c r="M2731" s="16" t="str">
        <f>IF($A2731&lt;Notes!$B$5,"",IF(COUNTIFS(Release_Calendar!$A$2:$A$755,"NZ_CPI",Release_Calendar!$B$2:$B$755,$A2731)&gt;0,1,0))</f>
        <v/>
      </c>
      <c r="N2731" s="16" t="str">
        <f>IF($A2731&lt;Notes!$B$5,"",IF(COUNTIFS(Release_Calendar!$A$2:$A$755,"NZ_GDP",Release_Calendar!$B$2:$B$755,$A2731)&gt;0,1,0))</f>
        <v/>
      </c>
      <c r="O2731" s="16" t="str">
        <f>IF($A2731&lt;Notes!$B$5,"",IF(COUNTIFS(Release_Calendar!$A$2:$A$755,"NZ_LABOUR",Release_Calendar!$B$2:$B$755,$A2731)&gt;0,1,0))</f>
        <v/>
      </c>
      <c r="P2731" s="16">
        <f t="shared" si="4"/>
        <v>0</v>
      </c>
    </row>
    <row r="2732" ht="15.75" customHeight="1">
      <c r="A2732" s="14">
        <v>40350.0</v>
      </c>
      <c r="B2732" s="15">
        <v>0.74</v>
      </c>
      <c r="C2732" s="15"/>
      <c r="D2732" s="15">
        <v>3.8</v>
      </c>
      <c r="E2732" s="15">
        <v>3.81</v>
      </c>
      <c r="F2732" s="15" t="str">
        <f t="shared" si="1"/>
        <v/>
      </c>
      <c r="G2732" s="15">
        <f t="shared" si="2"/>
        <v>3.8</v>
      </c>
      <c r="H2732" s="16">
        <v>1.0</v>
      </c>
      <c r="I2732" s="15">
        <f t="shared" si="3"/>
        <v>3.06</v>
      </c>
      <c r="J2732" s="15">
        <v>24.88</v>
      </c>
      <c r="K2732" s="16">
        <f>IF(COUNTIFS(Release_Calendar!$A$2:$A$755,"US_CPI",Release_Calendar!$B$2:$B$755,$A2732)&gt;0,1,0)</f>
        <v>0</v>
      </c>
      <c r="L2732" s="16">
        <f>IF(COUNTIFS(Release_Calendar!$A$2:$A$755,"US_NFP",Release_Calendar!$B$2:$B$755,$A2732)&gt;0,1,0)</f>
        <v>0</v>
      </c>
      <c r="M2732" s="16" t="str">
        <f>IF($A2732&lt;Notes!$B$5,"",IF(COUNTIFS(Release_Calendar!$A$2:$A$755,"NZ_CPI",Release_Calendar!$B$2:$B$755,$A2732)&gt;0,1,0))</f>
        <v/>
      </c>
      <c r="N2732" s="16" t="str">
        <f>IF($A2732&lt;Notes!$B$5,"",IF(COUNTIFS(Release_Calendar!$A$2:$A$755,"NZ_GDP",Release_Calendar!$B$2:$B$755,$A2732)&gt;0,1,0))</f>
        <v/>
      </c>
      <c r="O2732" s="16" t="str">
        <f>IF($A2732&lt;Notes!$B$5,"",IF(COUNTIFS(Release_Calendar!$A$2:$A$755,"NZ_LABOUR",Release_Calendar!$B$2:$B$755,$A2732)&gt;0,1,0))</f>
        <v/>
      </c>
      <c r="P2732" s="16">
        <f t="shared" si="4"/>
        <v>0</v>
      </c>
    </row>
    <row r="2733" ht="15.75" customHeight="1">
      <c r="A2733" s="14">
        <v>40351.0</v>
      </c>
      <c r="B2733" s="15">
        <v>0.71</v>
      </c>
      <c r="C2733" s="15"/>
      <c r="D2733" s="15">
        <v>3.81</v>
      </c>
      <c r="E2733" s="15">
        <v>3.79</v>
      </c>
      <c r="F2733" s="15" t="str">
        <f t="shared" si="1"/>
        <v/>
      </c>
      <c r="G2733" s="15">
        <f t="shared" si="2"/>
        <v>3.81</v>
      </c>
      <c r="H2733" s="16">
        <v>1.0</v>
      </c>
      <c r="I2733" s="15">
        <f t="shared" si="3"/>
        <v>3.1</v>
      </c>
      <c r="J2733" s="15">
        <v>27.05</v>
      </c>
      <c r="K2733" s="16">
        <f>IF(COUNTIFS(Release_Calendar!$A$2:$A$755,"US_CPI",Release_Calendar!$B$2:$B$755,$A2733)&gt;0,1,0)</f>
        <v>0</v>
      </c>
      <c r="L2733" s="16">
        <f>IF(COUNTIFS(Release_Calendar!$A$2:$A$755,"US_NFP",Release_Calendar!$B$2:$B$755,$A2733)&gt;0,1,0)</f>
        <v>0</v>
      </c>
      <c r="M2733" s="16" t="str">
        <f>IF($A2733&lt;Notes!$B$5,"",IF(COUNTIFS(Release_Calendar!$A$2:$A$755,"NZ_CPI",Release_Calendar!$B$2:$B$755,$A2733)&gt;0,1,0))</f>
        <v/>
      </c>
      <c r="N2733" s="16" t="str">
        <f>IF($A2733&lt;Notes!$B$5,"",IF(COUNTIFS(Release_Calendar!$A$2:$A$755,"NZ_GDP",Release_Calendar!$B$2:$B$755,$A2733)&gt;0,1,0))</f>
        <v/>
      </c>
      <c r="O2733" s="16" t="str">
        <f>IF($A2733&lt;Notes!$B$5,"",IF(COUNTIFS(Release_Calendar!$A$2:$A$755,"NZ_LABOUR",Release_Calendar!$B$2:$B$755,$A2733)&gt;0,1,0))</f>
        <v/>
      </c>
      <c r="P2733" s="16">
        <f t="shared" si="4"/>
        <v>0</v>
      </c>
    </row>
    <row r="2734" ht="15.75" customHeight="1">
      <c r="A2734" s="14">
        <v>40352.0</v>
      </c>
      <c r="B2734" s="15">
        <v>0.66</v>
      </c>
      <c r="C2734" s="15"/>
      <c r="D2734" s="15">
        <v>3.78</v>
      </c>
      <c r="E2734" s="15">
        <v>3.78</v>
      </c>
      <c r="F2734" s="15" t="str">
        <f t="shared" si="1"/>
        <v/>
      </c>
      <c r="G2734" s="15">
        <f t="shared" si="2"/>
        <v>3.78</v>
      </c>
      <c r="H2734" s="16">
        <v>1.0</v>
      </c>
      <c r="I2734" s="15">
        <f t="shared" si="3"/>
        <v>3.12</v>
      </c>
      <c r="J2734" s="15">
        <v>26.91</v>
      </c>
      <c r="K2734" s="16">
        <f>IF(COUNTIFS(Release_Calendar!$A$2:$A$755,"US_CPI",Release_Calendar!$B$2:$B$755,$A2734)&gt;0,1,0)</f>
        <v>0</v>
      </c>
      <c r="L2734" s="16">
        <f>IF(COUNTIFS(Release_Calendar!$A$2:$A$755,"US_NFP",Release_Calendar!$B$2:$B$755,$A2734)&gt;0,1,0)</f>
        <v>0</v>
      </c>
      <c r="M2734" s="16" t="str">
        <f>IF($A2734&lt;Notes!$B$5,"",IF(COUNTIFS(Release_Calendar!$A$2:$A$755,"NZ_CPI",Release_Calendar!$B$2:$B$755,$A2734)&gt;0,1,0))</f>
        <v/>
      </c>
      <c r="N2734" s="16" t="str">
        <f>IF($A2734&lt;Notes!$B$5,"",IF(COUNTIFS(Release_Calendar!$A$2:$A$755,"NZ_GDP",Release_Calendar!$B$2:$B$755,$A2734)&gt;0,1,0))</f>
        <v/>
      </c>
      <c r="O2734" s="16" t="str">
        <f>IF($A2734&lt;Notes!$B$5,"",IF(COUNTIFS(Release_Calendar!$A$2:$A$755,"NZ_LABOUR",Release_Calendar!$B$2:$B$755,$A2734)&gt;0,1,0))</f>
        <v/>
      </c>
      <c r="P2734" s="16">
        <f t="shared" si="4"/>
        <v>0</v>
      </c>
    </row>
    <row r="2735" ht="15.75" customHeight="1">
      <c r="A2735" s="14">
        <v>40353.0</v>
      </c>
      <c r="B2735" s="15">
        <v>0.67</v>
      </c>
      <c r="C2735" s="15"/>
      <c r="D2735" s="15">
        <v>3.79</v>
      </c>
      <c r="E2735" s="15">
        <v>3.8</v>
      </c>
      <c r="F2735" s="15" t="str">
        <f t="shared" si="1"/>
        <v/>
      </c>
      <c r="G2735" s="15">
        <f t="shared" si="2"/>
        <v>3.79</v>
      </c>
      <c r="H2735" s="16">
        <v>1.0</v>
      </c>
      <c r="I2735" s="15">
        <f t="shared" si="3"/>
        <v>3.12</v>
      </c>
      <c r="J2735" s="15">
        <v>29.74</v>
      </c>
      <c r="K2735" s="16">
        <f>IF(COUNTIFS(Release_Calendar!$A$2:$A$755,"US_CPI",Release_Calendar!$B$2:$B$755,$A2735)&gt;0,1,0)</f>
        <v>0</v>
      </c>
      <c r="L2735" s="16">
        <f>IF(COUNTIFS(Release_Calendar!$A$2:$A$755,"US_NFP",Release_Calendar!$B$2:$B$755,$A2735)&gt;0,1,0)</f>
        <v>0</v>
      </c>
      <c r="M2735" s="16" t="str">
        <f>IF($A2735&lt;Notes!$B$5,"",IF(COUNTIFS(Release_Calendar!$A$2:$A$755,"NZ_CPI",Release_Calendar!$B$2:$B$755,$A2735)&gt;0,1,0))</f>
        <v/>
      </c>
      <c r="N2735" s="16" t="str">
        <f>IF($A2735&lt;Notes!$B$5,"",IF(COUNTIFS(Release_Calendar!$A$2:$A$755,"NZ_GDP",Release_Calendar!$B$2:$B$755,$A2735)&gt;0,1,0))</f>
        <v/>
      </c>
      <c r="O2735" s="16" t="str">
        <f>IF($A2735&lt;Notes!$B$5,"",IF(COUNTIFS(Release_Calendar!$A$2:$A$755,"NZ_LABOUR",Release_Calendar!$B$2:$B$755,$A2735)&gt;0,1,0))</f>
        <v/>
      </c>
      <c r="P2735" s="16">
        <f t="shared" si="4"/>
        <v>0</v>
      </c>
    </row>
    <row r="2736" ht="15.75" customHeight="1">
      <c r="A2736" s="14">
        <v>40354.0</v>
      </c>
      <c r="B2736" s="15">
        <v>0.65</v>
      </c>
      <c r="C2736" s="15"/>
      <c r="D2736" s="15">
        <v>3.78</v>
      </c>
      <c r="E2736" s="15">
        <v>3.76</v>
      </c>
      <c r="F2736" s="15" t="str">
        <f t="shared" si="1"/>
        <v/>
      </c>
      <c r="G2736" s="15">
        <f t="shared" si="2"/>
        <v>3.78</v>
      </c>
      <c r="H2736" s="16">
        <v>1.0</v>
      </c>
      <c r="I2736" s="15">
        <f t="shared" si="3"/>
        <v>3.13</v>
      </c>
      <c r="J2736" s="15">
        <v>28.53</v>
      </c>
      <c r="K2736" s="16">
        <f>IF(COUNTIFS(Release_Calendar!$A$2:$A$755,"US_CPI",Release_Calendar!$B$2:$B$755,$A2736)&gt;0,1,0)</f>
        <v>0</v>
      </c>
      <c r="L2736" s="16">
        <f>IF(COUNTIFS(Release_Calendar!$A$2:$A$755,"US_NFP",Release_Calendar!$B$2:$B$755,$A2736)&gt;0,1,0)</f>
        <v>0</v>
      </c>
      <c r="M2736" s="16" t="str">
        <f>IF($A2736&lt;Notes!$B$5,"",IF(COUNTIFS(Release_Calendar!$A$2:$A$755,"NZ_CPI",Release_Calendar!$B$2:$B$755,$A2736)&gt;0,1,0))</f>
        <v/>
      </c>
      <c r="N2736" s="16" t="str">
        <f>IF($A2736&lt;Notes!$B$5,"",IF(COUNTIFS(Release_Calendar!$A$2:$A$755,"NZ_GDP",Release_Calendar!$B$2:$B$755,$A2736)&gt;0,1,0))</f>
        <v/>
      </c>
      <c r="O2736" s="16" t="str">
        <f>IF($A2736&lt;Notes!$B$5,"",IF(COUNTIFS(Release_Calendar!$A$2:$A$755,"NZ_LABOUR",Release_Calendar!$B$2:$B$755,$A2736)&gt;0,1,0))</f>
        <v/>
      </c>
      <c r="P2736" s="16">
        <f t="shared" si="4"/>
        <v>0</v>
      </c>
    </row>
    <row r="2737" ht="15.75" customHeight="1">
      <c r="A2737" s="14">
        <v>40357.0</v>
      </c>
      <c r="B2737" s="15">
        <v>0.62</v>
      </c>
      <c r="C2737" s="15"/>
      <c r="D2737" s="15">
        <v>3.78</v>
      </c>
      <c r="E2737" s="15">
        <v>3.77</v>
      </c>
      <c r="F2737" s="15" t="str">
        <f t="shared" si="1"/>
        <v/>
      </c>
      <c r="G2737" s="15">
        <f t="shared" si="2"/>
        <v>3.78</v>
      </c>
      <c r="H2737" s="16">
        <v>1.0</v>
      </c>
      <c r="I2737" s="15">
        <f t="shared" si="3"/>
        <v>3.16</v>
      </c>
      <c r="J2737" s="15">
        <v>29.0</v>
      </c>
      <c r="K2737" s="16">
        <f>IF(COUNTIFS(Release_Calendar!$A$2:$A$755,"US_CPI",Release_Calendar!$B$2:$B$755,$A2737)&gt;0,1,0)</f>
        <v>0</v>
      </c>
      <c r="L2737" s="16">
        <f>IF(COUNTIFS(Release_Calendar!$A$2:$A$755,"US_NFP",Release_Calendar!$B$2:$B$755,$A2737)&gt;0,1,0)</f>
        <v>0</v>
      </c>
      <c r="M2737" s="16" t="str">
        <f>IF($A2737&lt;Notes!$B$5,"",IF(COUNTIFS(Release_Calendar!$A$2:$A$755,"NZ_CPI",Release_Calendar!$B$2:$B$755,$A2737)&gt;0,1,0))</f>
        <v/>
      </c>
      <c r="N2737" s="16" t="str">
        <f>IF($A2737&lt;Notes!$B$5,"",IF(COUNTIFS(Release_Calendar!$A$2:$A$755,"NZ_GDP",Release_Calendar!$B$2:$B$755,$A2737)&gt;0,1,0))</f>
        <v/>
      </c>
      <c r="O2737" s="16" t="str">
        <f>IF($A2737&lt;Notes!$B$5,"",IF(COUNTIFS(Release_Calendar!$A$2:$A$755,"NZ_LABOUR",Release_Calendar!$B$2:$B$755,$A2737)&gt;0,1,0))</f>
        <v/>
      </c>
      <c r="P2737" s="16">
        <f t="shared" si="4"/>
        <v>0</v>
      </c>
    </row>
    <row r="2738" ht="15.75" customHeight="1">
      <c r="A2738" s="14">
        <v>40358.0</v>
      </c>
      <c r="B2738" s="15">
        <v>0.61</v>
      </c>
      <c r="C2738" s="15"/>
      <c r="D2738" s="15">
        <v>3.74</v>
      </c>
      <c r="E2738" s="15">
        <v>3.71</v>
      </c>
      <c r="F2738" s="15" t="str">
        <f t="shared" si="1"/>
        <v/>
      </c>
      <c r="G2738" s="15">
        <f t="shared" si="2"/>
        <v>3.74</v>
      </c>
      <c r="H2738" s="16">
        <v>1.0</v>
      </c>
      <c r="I2738" s="15">
        <f t="shared" si="3"/>
        <v>3.13</v>
      </c>
      <c r="J2738" s="15">
        <v>34.13</v>
      </c>
      <c r="K2738" s="16">
        <f>IF(COUNTIFS(Release_Calendar!$A$2:$A$755,"US_CPI",Release_Calendar!$B$2:$B$755,$A2738)&gt;0,1,0)</f>
        <v>0</v>
      </c>
      <c r="L2738" s="16">
        <f>IF(COUNTIFS(Release_Calendar!$A$2:$A$755,"US_NFP",Release_Calendar!$B$2:$B$755,$A2738)&gt;0,1,0)</f>
        <v>0</v>
      </c>
      <c r="M2738" s="16" t="str">
        <f>IF($A2738&lt;Notes!$B$5,"",IF(COUNTIFS(Release_Calendar!$A$2:$A$755,"NZ_CPI",Release_Calendar!$B$2:$B$755,$A2738)&gt;0,1,0))</f>
        <v/>
      </c>
      <c r="N2738" s="16" t="str">
        <f>IF($A2738&lt;Notes!$B$5,"",IF(COUNTIFS(Release_Calendar!$A$2:$A$755,"NZ_GDP",Release_Calendar!$B$2:$B$755,$A2738)&gt;0,1,0))</f>
        <v/>
      </c>
      <c r="O2738" s="16" t="str">
        <f>IF($A2738&lt;Notes!$B$5,"",IF(COUNTIFS(Release_Calendar!$A$2:$A$755,"NZ_LABOUR",Release_Calendar!$B$2:$B$755,$A2738)&gt;0,1,0))</f>
        <v/>
      </c>
      <c r="P2738" s="16">
        <f t="shared" si="4"/>
        <v>0</v>
      </c>
    </row>
    <row r="2739" ht="15.75" customHeight="1">
      <c r="A2739" s="14">
        <v>40359.0</v>
      </c>
      <c r="B2739" s="15">
        <v>0.61</v>
      </c>
      <c r="C2739" s="15"/>
      <c r="D2739" s="15">
        <v>3.69</v>
      </c>
      <c r="E2739" s="15">
        <v>3.67</v>
      </c>
      <c r="F2739" s="15" t="str">
        <f t="shared" si="1"/>
        <v/>
      </c>
      <c r="G2739" s="15">
        <f t="shared" si="2"/>
        <v>3.69</v>
      </c>
      <c r="H2739" s="16">
        <v>1.0</v>
      </c>
      <c r="I2739" s="15">
        <f t="shared" si="3"/>
        <v>3.08</v>
      </c>
      <c r="J2739" s="15">
        <v>34.54</v>
      </c>
      <c r="K2739" s="16">
        <f>IF(COUNTIFS(Release_Calendar!$A$2:$A$755,"US_CPI",Release_Calendar!$B$2:$B$755,$A2739)&gt;0,1,0)</f>
        <v>0</v>
      </c>
      <c r="L2739" s="16">
        <f>IF(COUNTIFS(Release_Calendar!$A$2:$A$755,"US_NFP",Release_Calendar!$B$2:$B$755,$A2739)&gt;0,1,0)</f>
        <v>0</v>
      </c>
      <c r="M2739" s="16" t="str">
        <f>IF($A2739&lt;Notes!$B$5,"",IF(COUNTIFS(Release_Calendar!$A$2:$A$755,"NZ_CPI",Release_Calendar!$B$2:$B$755,$A2739)&gt;0,1,0))</f>
        <v/>
      </c>
      <c r="N2739" s="16" t="str">
        <f>IF($A2739&lt;Notes!$B$5,"",IF(COUNTIFS(Release_Calendar!$A$2:$A$755,"NZ_GDP",Release_Calendar!$B$2:$B$755,$A2739)&gt;0,1,0))</f>
        <v/>
      </c>
      <c r="O2739" s="16" t="str">
        <f>IF($A2739&lt;Notes!$B$5,"",IF(COUNTIFS(Release_Calendar!$A$2:$A$755,"NZ_LABOUR",Release_Calendar!$B$2:$B$755,$A2739)&gt;0,1,0))</f>
        <v/>
      </c>
      <c r="P2739" s="16">
        <f t="shared" si="4"/>
        <v>0</v>
      </c>
    </row>
    <row r="2740" ht="15.75" customHeight="1">
      <c r="A2740" s="14">
        <v>40360.0</v>
      </c>
      <c r="B2740" s="15">
        <v>0.63</v>
      </c>
      <c r="C2740" s="15"/>
      <c r="D2740" s="15">
        <v>3.68</v>
      </c>
      <c r="E2740" s="15">
        <v>3.68</v>
      </c>
      <c r="F2740" s="15" t="str">
        <f t="shared" si="1"/>
        <v/>
      </c>
      <c r="G2740" s="15">
        <f t="shared" si="2"/>
        <v>3.68</v>
      </c>
      <c r="H2740" s="16">
        <v>1.0</v>
      </c>
      <c r="I2740" s="15">
        <f t="shared" si="3"/>
        <v>3.05</v>
      </c>
      <c r="J2740" s="15">
        <v>32.86</v>
      </c>
      <c r="K2740" s="16">
        <f>IF(COUNTIFS(Release_Calendar!$A$2:$A$755,"US_CPI",Release_Calendar!$B$2:$B$755,$A2740)&gt;0,1,0)</f>
        <v>0</v>
      </c>
      <c r="L2740" s="16">
        <f>IF(COUNTIFS(Release_Calendar!$A$2:$A$755,"US_NFP",Release_Calendar!$B$2:$B$755,$A2740)&gt;0,1,0)</f>
        <v>0</v>
      </c>
      <c r="M2740" s="16" t="str">
        <f>IF($A2740&lt;Notes!$B$5,"",IF(COUNTIFS(Release_Calendar!$A$2:$A$755,"NZ_CPI",Release_Calendar!$B$2:$B$755,$A2740)&gt;0,1,0))</f>
        <v/>
      </c>
      <c r="N2740" s="16" t="str">
        <f>IF($A2740&lt;Notes!$B$5,"",IF(COUNTIFS(Release_Calendar!$A$2:$A$755,"NZ_GDP",Release_Calendar!$B$2:$B$755,$A2740)&gt;0,1,0))</f>
        <v/>
      </c>
      <c r="O2740" s="16" t="str">
        <f>IF($A2740&lt;Notes!$B$5,"",IF(COUNTIFS(Release_Calendar!$A$2:$A$755,"NZ_LABOUR",Release_Calendar!$B$2:$B$755,$A2740)&gt;0,1,0))</f>
        <v/>
      </c>
      <c r="P2740" s="16">
        <f t="shared" si="4"/>
        <v>0</v>
      </c>
    </row>
    <row r="2741" ht="15.75" customHeight="1">
      <c r="A2741" s="14">
        <v>40361.0</v>
      </c>
      <c r="B2741" s="15">
        <v>0.63</v>
      </c>
      <c r="C2741" s="15"/>
      <c r="D2741" s="15">
        <v>3.73</v>
      </c>
      <c r="E2741" s="15">
        <v>3.74</v>
      </c>
      <c r="F2741" s="15" t="str">
        <f t="shared" si="1"/>
        <v/>
      </c>
      <c r="G2741" s="15">
        <f t="shared" si="2"/>
        <v>3.73</v>
      </c>
      <c r="H2741" s="16">
        <v>1.0</v>
      </c>
      <c r="I2741" s="15">
        <f t="shared" si="3"/>
        <v>3.1</v>
      </c>
      <c r="J2741" s="15">
        <v>30.12</v>
      </c>
      <c r="K2741" s="16">
        <f>IF(COUNTIFS(Release_Calendar!$A$2:$A$755,"US_CPI",Release_Calendar!$B$2:$B$755,$A2741)&gt;0,1,0)</f>
        <v>0</v>
      </c>
      <c r="L2741" s="16">
        <f>IF(COUNTIFS(Release_Calendar!$A$2:$A$755,"US_NFP",Release_Calendar!$B$2:$B$755,$A2741)&gt;0,1,0)</f>
        <v>1</v>
      </c>
      <c r="M2741" s="16" t="str">
        <f>IF($A2741&lt;Notes!$B$5,"",IF(COUNTIFS(Release_Calendar!$A$2:$A$755,"NZ_CPI",Release_Calendar!$B$2:$B$755,$A2741)&gt;0,1,0))</f>
        <v/>
      </c>
      <c r="N2741" s="16" t="str">
        <f>IF($A2741&lt;Notes!$B$5,"",IF(COUNTIFS(Release_Calendar!$A$2:$A$755,"NZ_GDP",Release_Calendar!$B$2:$B$755,$A2741)&gt;0,1,0))</f>
        <v/>
      </c>
      <c r="O2741" s="16" t="str">
        <f>IF($A2741&lt;Notes!$B$5,"",IF(COUNTIFS(Release_Calendar!$A$2:$A$755,"NZ_LABOUR",Release_Calendar!$B$2:$B$755,$A2741)&gt;0,1,0))</f>
        <v/>
      </c>
      <c r="P2741" s="16">
        <f t="shared" si="4"/>
        <v>1</v>
      </c>
    </row>
    <row r="2742" ht="15.75" customHeight="1">
      <c r="A2742" s="14">
        <v>40364.0</v>
      </c>
      <c r="B2742" s="15"/>
      <c r="C2742" s="15"/>
      <c r="D2742" s="15">
        <v>3.74</v>
      </c>
      <c r="E2742" s="15">
        <v>3.74</v>
      </c>
      <c r="F2742" s="15" t="str">
        <f t="shared" si="1"/>
        <v/>
      </c>
      <c r="G2742" s="15">
        <f t="shared" si="2"/>
        <v>3.74</v>
      </c>
      <c r="H2742" s="16">
        <v>1.0</v>
      </c>
      <c r="I2742" s="15" t="str">
        <f t="shared" si="3"/>
        <v/>
      </c>
      <c r="J2742" s="15"/>
      <c r="K2742" s="16">
        <f>IF(COUNTIFS(Release_Calendar!$A$2:$A$755,"US_CPI",Release_Calendar!$B$2:$B$755,$A2742)&gt;0,1,0)</f>
        <v>0</v>
      </c>
      <c r="L2742" s="16">
        <f>IF(COUNTIFS(Release_Calendar!$A$2:$A$755,"US_NFP",Release_Calendar!$B$2:$B$755,$A2742)&gt;0,1,0)</f>
        <v>0</v>
      </c>
      <c r="M2742" s="16" t="str">
        <f>IF($A2742&lt;Notes!$B$5,"",IF(COUNTIFS(Release_Calendar!$A$2:$A$755,"NZ_CPI",Release_Calendar!$B$2:$B$755,$A2742)&gt;0,1,0))</f>
        <v/>
      </c>
      <c r="N2742" s="16" t="str">
        <f>IF($A2742&lt;Notes!$B$5,"",IF(COUNTIFS(Release_Calendar!$A$2:$A$755,"NZ_GDP",Release_Calendar!$B$2:$B$755,$A2742)&gt;0,1,0))</f>
        <v/>
      </c>
      <c r="O2742" s="16" t="str">
        <f>IF($A2742&lt;Notes!$B$5,"",IF(COUNTIFS(Release_Calendar!$A$2:$A$755,"NZ_LABOUR",Release_Calendar!$B$2:$B$755,$A2742)&gt;0,1,0))</f>
        <v/>
      </c>
      <c r="P2742" s="16">
        <f t="shared" si="4"/>
        <v>0</v>
      </c>
    </row>
    <row r="2743" ht="15.75" customHeight="1">
      <c r="A2743" s="14">
        <v>40365.0</v>
      </c>
      <c r="B2743" s="15">
        <v>0.62</v>
      </c>
      <c r="C2743" s="15"/>
      <c r="D2743" s="15">
        <v>3.73</v>
      </c>
      <c r="E2743" s="15">
        <v>3.7</v>
      </c>
      <c r="F2743" s="15" t="str">
        <f t="shared" si="1"/>
        <v/>
      </c>
      <c r="G2743" s="15">
        <f t="shared" si="2"/>
        <v>3.73</v>
      </c>
      <c r="H2743" s="16">
        <v>1.0</v>
      </c>
      <c r="I2743" s="15">
        <f t="shared" si="3"/>
        <v>3.11</v>
      </c>
      <c r="J2743" s="15">
        <v>29.65</v>
      </c>
      <c r="K2743" s="16">
        <f>IF(COUNTIFS(Release_Calendar!$A$2:$A$755,"US_CPI",Release_Calendar!$B$2:$B$755,$A2743)&gt;0,1,0)</f>
        <v>0</v>
      </c>
      <c r="L2743" s="16">
        <f>IF(COUNTIFS(Release_Calendar!$A$2:$A$755,"US_NFP",Release_Calendar!$B$2:$B$755,$A2743)&gt;0,1,0)</f>
        <v>0</v>
      </c>
      <c r="M2743" s="16" t="str">
        <f>IF($A2743&lt;Notes!$B$5,"",IF(COUNTIFS(Release_Calendar!$A$2:$A$755,"NZ_CPI",Release_Calendar!$B$2:$B$755,$A2743)&gt;0,1,0))</f>
        <v/>
      </c>
      <c r="N2743" s="16" t="str">
        <f>IF($A2743&lt;Notes!$B$5,"",IF(COUNTIFS(Release_Calendar!$A$2:$A$755,"NZ_GDP",Release_Calendar!$B$2:$B$755,$A2743)&gt;0,1,0))</f>
        <v/>
      </c>
      <c r="O2743" s="16" t="str">
        <f>IF($A2743&lt;Notes!$B$5,"",IF(COUNTIFS(Release_Calendar!$A$2:$A$755,"NZ_LABOUR",Release_Calendar!$B$2:$B$755,$A2743)&gt;0,1,0))</f>
        <v/>
      </c>
      <c r="P2743" s="16">
        <f t="shared" si="4"/>
        <v>0</v>
      </c>
    </row>
    <row r="2744" ht="15.75" customHeight="1">
      <c r="A2744" s="14">
        <v>40366.0</v>
      </c>
      <c r="B2744" s="15">
        <v>0.63</v>
      </c>
      <c r="C2744" s="15"/>
      <c r="D2744" s="15">
        <v>3.72</v>
      </c>
      <c r="E2744" s="15">
        <v>3.69</v>
      </c>
      <c r="F2744" s="15" t="str">
        <f t="shared" si="1"/>
        <v/>
      </c>
      <c r="G2744" s="15">
        <f t="shared" si="2"/>
        <v>3.72</v>
      </c>
      <c r="H2744" s="16">
        <v>1.0</v>
      </c>
      <c r="I2744" s="15">
        <f t="shared" si="3"/>
        <v>3.09</v>
      </c>
      <c r="J2744" s="15">
        <v>26.84</v>
      </c>
      <c r="K2744" s="16">
        <f>IF(COUNTIFS(Release_Calendar!$A$2:$A$755,"US_CPI",Release_Calendar!$B$2:$B$755,$A2744)&gt;0,1,0)</f>
        <v>0</v>
      </c>
      <c r="L2744" s="16">
        <f>IF(COUNTIFS(Release_Calendar!$A$2:$A$755,"US_NFP",Release_Calendar!$B$2:$B$755,$A2744)&gt;0,1,0)</f>
        <v>0</v>
      </c>
      <c r="M2744" s="16" t="str">
        <f>IF($A2744&lt;Notes!$B$5,"",IF(COUNTIFS(Release_Calendar!$A$2:$A$755,"NZ_CPI",Release_Calendar!$B$2:$B$755,$A2744)&gt;0,1,0))</f>
        <v/>
      </c>
      <c r="N2744" s="16" t="str">
        <f>IF($A2744&lt;Notes!$B$5,"",IF(COUNTIFS(Release_Calendar!$A$2:$A$755,"NZ_GDP",Release_Calendar!$B$2:$B$755,$A2744)&gt;0,1,0))</f>
        <v/>
      </c>
      <c r="O2744" s="16" t="str">
        <f>IF($A2744&lt;Notes!$B$5,"",IF(COUNTIFS(Release_Calendar!$A$2:$A$755,"NZ_LABOUR",Release_Calendar!$B$2:$B$755,$A2744)&gt;0,1,0))</f>
        <v/>
      </c>
      <c r="P2744" s="16">
        <f t="shared" si="4"/>
        <v>0</v>
      </c>
    </row>
    <row r="2745" ht="15.75" customHeight="1">
      <c r="A2745" s="14">
        <v>40367.0</v>
      </c>
      <c r="B2745" s="15">
        <v>0.63</v>
      </c>
      <c r="C2745" s="15"/>
      <c r="D2745" s="15">
        <v>3.73</v>
      </c>
      <c r="E2745" s="15">
        <v>3.73</v>
      </c>
      <c r="F2745" s="15" t="str">
        <f t="shared" si="1"/>
        <v/>
      </c>
      <c r="G2745" s="15">
        <f t="shared" si="2"/>
        <v>3.73</v>
      </c>
      <c r="H2745" s="16">
        <v>1.0</v>
      </c>
      <c r="I2745" s="15">
        <f t="shared" si="3"/>
        <v>3.1</v>
      </c>
      <c r="J2745" s="15">
        <v>25.71</v>
      </c>
      <c r="K2745" s="16">
        <f>IF(COUNTIFS(Release_Calendar!$A$2:$A$755,"US_CPI",Release_Calendar!$B$2:$B$755,$A2745)&gt;0,1,0)</f>
        <v>0</v>
      </c>
      <c r="L2745" s="16">
        <f>IF(COUNTIFS(Release_Calendar!$A$2:$A$755,"US_NFP",Release_Calendar!$B$2:$B$755,$A2745)&gt;0,1,0)</f>
        <v>0</v>
      </c>
      <c r="M2745" s="16" t="str">
        <f>IF($A2745&lt;Notes!$B$5,"",IF(COUNTIFS(Release_Calendar!$A$2:$A$755,"NZ_CPI",Release_Calendar!$B$2:$B$755,$A2745)&gt;0,1,0))</f>
        <v/>
      </c>
      <c r="N2745" s="16" t="str">
        <f>IF($A2745&lt;Notes!$B$5,"",IF(COUNTIFS(Release_Calendar!$A$2:$A$755,"NZ_GDP",Release_Calendar!$B$2:$B$755,$A2745)&gt;0,1,0))</f>
        <v/>
      </c>
      <c r="O2745" s="16" t="str">
        <f>IF($A2745&lt;Notes!$B$5,"",IF(COUNTIFS(Release_Calendar!$A$2:$A$755,"NZ_LABOUR",Release_Calendar!$B$2:$B$755,$A2745)&gt;0,1,0))</f>
        <v/>
      </c>
      <c r="P2745" s="16">
        <f t="shared" si="4"/>
        <v>0</v>
      </c>
    </row>
    <row r="2746" ht="15.75" customHeight="1">
      <c r="A2746" s="14">
        <v>40368.0</v>
      </c>
      <c r="B2746" s="15">
        <v>0.63</v>
      </c>
      <c r="C2746" s="15"/>
      <c r="D2746" s="15">
        <v>3.75</v>
      </c>
      <c r="E2746" s="15">
        <v>3.75</v>
      </c>
      <c r="F2746" s="15" t="str">
        <f t="shared" si="1"/>
        <v/>
      </c>
      <c r="G2746" s="15">
        <f t="shared" si="2"/>
        <v>3.75</v>
      </c>
      <c r="H2746" s="16">
        <v>1.0</v>
      </c>
      <c r="I2746" s="15">
        <f t="shared" si="3"/>
        <v>3.12</v>
      </c>
      <c r="J2746" s="15">
        <v>24.98</v>
      </c>
      <c r="K2746" s="16">
        <f>IF(COUNTIFS(Release_Calendar!$A$2:$A$755,"US_CPI",Release_Calendar!$B$2:$B$755,$A2746)&gt;0,1,0)</f>
        <v>0</v>
      </c>
      <c r="L2746" s="16">
        <f>IF(COUNTIFS(Release_Calendar!$A$2:$A$755,"US_NFP",Release_Calendar!$B$2:$B$755,$A2746)&gt;0,1,0)</f>
        <v>0</v>
      </c>
      <c r="M2746" s="16" t="str">
        <f>IF($A2746&lt;Notes!$B$5,"",IF(COUNTIFS(Release_Calendar!$A$2:$A$755,"NZ_CPI",Release_Calendar!$B$2:$B$755,$A2746)&gt;0,1,0))</f>
        <v/>
      </c>
      <c r="N2746" s="16" t="str">
        <f>IF($A2746&lt;Notes!$B$5,"",IF(COUNTIFS(Release_Calendar!$A$2:$A$755,"NZ_GDP",Release_Calendar!$B$2:$B$755,$A2746)&gt;0,1,0))</f>
        <v/>
      </c>
      <c r="O2746" s="16" t="str">
        <f>IF($A2746&lt;Notes!$B$5,"",IF(COUNTIFS(Release_Calendar!$A$2:$A$755,"NZ_LABOUR",Release_Calendar!$B$2:$B$755,$A2746)&gt;0,1,0))</f>
        <v/>
      </c>
      <c r="P2746" s="16">
        <f t="shared" si="4"/>
        <v>0</v>
      </c>
    </row>
    <row r="2747" ht="15.75" customHeight="1">
      <c r="A2747" s="14">
        <v>40371.0</v>
      </c>
      <c r="B2747" s="15">
        <v>0.65</v>
      </c>
      <c r="C2747" s="15"/>
      <c r="D2747" s="15">
        <v>3.76</v>
      </c>
      <c r="E2747" s="15">
        <v>3.78</v>
      </c>
      <c r="F2747" s="15" t="str">
        <f t="shared" si="1"/>
        <v/>
      </c>
      <c r="G2747" s="15">
        <f t="shared" si="2"/>
        <v>3.76</v>
      </c>
      <c r="H2747" s="16">
        <v>1.0</v>
      </c>
      <c r="I2747" s="15">
        <f t="shared" si="3"/>
        <v>3.11</v>
      </c>
      <c r="J2747" s="15">
        <v>24.43</v>
      </c>
      <c r="K2747" s="16">
        <f>IF(COUNTIFS(Release_Calendar!$A$2:$A$755,"US_CPI",Release_Calendar!$B$2:$B$755,$A2747)&gt;0,1,0)</f>
        <v>0</v>
      </c>
      <c r="L2747" s="16">
        <f>IF(COUNTIFS(Release_Calendar!$A$2:$A$755,"US_NFP",Release_Calendar!$B$2:$B$755,$A2747)&gt;0,1,0)</f>
        <v>0</v>
      </c>
      <c r="M2747" s="16" t="str">
        <f>IF($A2747&lt;Notes!$B$5,"",IF(COUNTIFS(Release_Calendar!$A$2:$A$755,"NZ_CPI",Release_Calendar!$B$2:$B$755,$A2747)&gt;0,1,0))</f>
        <v/>
      </c>
      <c r="N2747" s="16" t="str">
        <f>IF($A2747&lt;Notes!$B$5,"",IF(COUNTIFS(Release_Calendar!$A$2:$A$755,"NZ_GDP",Release_Calendar!$B$2:$B$755,$A2747)&gt;0,1,0))</f>
        <v/>
      </c>
      <c r="O2747" s="16" t="str">
        <f>IF($A2747&lt;Notes!$B$5,"",IF(COUNTIFS(Release_Calendar!$A$2:$A$755,"NZ_LABOUR",Release_Calendar!$B$2:$B$755,$A2747)&gt;0,1,0))</f>
        <v/>
      </c>
      <c r="P2747" s="16">
        <f t="shared" si="4"/>
        <v>0</v>
      </c>
    </row>
    <row r="2748" ht="15.75" customHeight="1">
      <c r="A2748" s="14">
        <v>40372.0</v>
      </c>
      <c r="B2748" s="15">
        <v>0.67</v>
      </c>
      <c r="C2748" s="15"/>
      <c r="D2748" s="15">
        <v>3.78</v>
      </c>
      <c r="E2748" s="15">
        <v>3.78</v>
      </c>
      <c r="F2748" s="15" t="str">
        <f t="shared" si="1"/>
        <v/>
      </c>
      <c r="G2748" s="15">
        <f t="shared" si="2"/>
        <v>3.78</v>
      </c>
      <c r="H2748" s="16">
        <v>1.0</v>
      </c>
      <c r="I2748" s="15">
        <f t="shared" si="3"/>
        <v>3.11</v>
      </c>
      <c r="J2748" s="15">
        <v>24.56</v>
      </c>
      <c r="K2748" s="16">
        <f>IF(COUNTIFS(Release_Calendar!$A$2:$A$755,"US_CPI",Release_Calendar!$B$2:$B$755,$A2748)&gt;0,1,0)</f>
        <v>0</v>
      </c>
      <c r="L2748" s="16">
        <f>IF(COUNTIFS(Release_Calendar!$A$2:$A$755,"US_NFP",Release_Calendar!$B$2:$B$755,$A2748)&gt;0,1,0)</f>
        <v>0</v>
      </c>
      <c r="M2748" s="16" t="str">
        <f>IF($A2748&lt;Notes!$B$5,"",IF(COUNTIFS(Release_Calendar!$A$2:$A$755,"NZ_CPI",Release_Calendar!$B$2:$B$755,$A2748)&gt;0,1,0))</f>
        <v/>
      </c>
      <c r="N2748" s="16" t="str">
        <f>IF($A2748&lt;Notes!$B$5,"",IF(COUNTIFS(Release_Calendar!$A$2:$A$755,"NZ_GDP",Release_Calendar!$B$2:$B$755,$A2748)&gt;0,1,0))</f>
        <v/>
      </c>
      <c r="O2748" s="16" t="str">
        <f>IF($A2748&lt;Notes!$B$5,"",IF(COUNTIFS(Release_Calendar!$A$2:$A$755,"NZ_LABOUR",Release_Calendar!$B$2:$B$755,$A2748)&gt;0,1,0))</f>
        <v/>
      </c>
      <c r="P2748" s="16">
        <f t="shared" si="4"/>
        <v>0</v>
      </c>
    </row>
    <row r="2749" ht="15.75" customHeight="1">
      <c r="A2749" s="14">
        <v>40373.0</v>
      </c>
      <c r="B2749" s="15">
        <v>0.62</v>
      </c>
      <c r="C2749" s="15"/>
      <c r="D2749" s="15">
        <v>3.8</v>
      </c>
      <c r="E2749" s="15">
        <v>3.8</v>
      </c>
      <c r="F2749" s="15" t="str">
        <f t="shared" si="1"/>
        <v/>
      </c>
      <c r="G2749" s="15">
        <f t="shared" si="2"/>
        <v>3.8</v>
      </c>
      <c r="H2749" s="16">
        <v>1.0</v>
      </c>
      <c r="I2749" s="15">
        <f t="shared" si="3"/>
        <v>3.18</v>
      </c>
      <c r="J2749" s="15">
        <v>24.89</v>
      </c>
      <c r="K2749" s="16">
        <f>IF(COUNTIFS(Release_Calendar!$A$2:$A$755,"US_CPI",Release_Calendar!$B$2:$B$755,$A2749)&gt;0,1,0)</f>
        <v>0</v>
      </c>
      <c r="L2749" s="16">
        <f>IF(COUNTIFS(Release_Calendar!$A$2:$A$755,"US_NFP",Release_Calendar!$B$2:$B$755,$A2749)&gt;0,1,0)</f>
        <v>0</v>
      </c>
      <c r="M2749" s="16" t="str">
        <f>IF($A2749&lt;Notes!$B$5,"",IF(COUNTIFS(Release_Calendar!$A$2:$A$755,"NZ_CPI",Release_Calendar!$B$2:$B$755,$A2749)&gt;0,1,0))</f>
        <v/>
      </c>
      <c r="N2749" s="16" t="str">
        <f>IF($A2749&lt;Notes!$B$5,"",IF(COUNTIFS(Release_Calendar!$A$2:$A$755,"NZ_GDP",Release_Calendar!$B$2:$B$755,$A2749)&gt;0,1,0))</f>
        <v/>
      </c>
      <c r="O2749" s="16" t="str">
        <f>IF($A2749&lt;Notes!$B$5,"",IF(COUNTIFS(Release_Calendar!$A$2:$A$755,"NZ_LABOUR",Release_Calendar!$B$2:$B$755,$A2749)&gt;0,1,0))</f>
        <v/>
      </c>
      <c r="P2749" s="16">
        <f t="shared" si="4"/>
        <v>0</v>
      </c>
    </row>
    <row r="2750" ht="15.75" customHeight="1">
      <c r="A2750" s="14">
        <v>40374.0</v>
      </c>
      <c r="B2750" s="15">
        <v>0.61</v>
      </c>
      <c r="C2750" s="15"/>
      <c r="D2750" s="15">
        <v>3.8</v>
      </c>
      <c r="E2750" s="15">
        <v>3.8</v>
      </c>
      <c r="F2750" s="15" t="str">
        <f t="shared" si="1"/>
        <v/>
      </c>
      <c r="G2750" s="15">
        <f t="shared" si="2"/>
        <v>3.8</v>
      </c>
      <c r="H2750" s="16">
        <v>1.0</v>
      </c>
      <c r="I2750" s="15">
        <f t="shared" si="3"/>
        <v>3.19</v>
      </c>
      <c r="J2750" s="15">
        <v>25.14</v>
      </c>
      <c r="K2750" s="16">
        <f>IF(COUNTIFS(Release_Calendar!$A$2:$A$755,"US_CPI",Release_Calendar!$B$2:$B$755,$A2750)&gt;0,1,0)</f>
        <v>0</v>
      </c>
      <c r="L2750" s="16">
        <f>IF(COUNTIFS(Release_Calendar!$A$2:$A$755,"US_NFP",Release_Calendar!$B$2:$B$755,$A2750)&gt;0,1,0)</f>
        <v>0</v>
      </c>
      <c r="M2750" s="16" t="str">
        <f>IF($A2750&lt;Notes!$B$5,"",IF(COUNTIFS(Release_Calendar!$A$2:$A$755,"NZ_CPI",Release_Calendar!$B$2:$B$755,$A2750)&gt;0,1,0))</f>
        <v/>
      </c>
      <c r="N2750" s="16" t="str">
        <f>IF($A2750&lt;Notes!$B$5,"",IF(COUNTIFS(Release_Calendar!$A$2:$A$755,"NZ_GDP",Release_Calendar!$B$2:$B$755,$A2750)&gt;0,1,0))</f>
        <v/>
      </c>
      <c r="O2750" s="16" t="str">
        <f>IF($A2750&lt;Notes!$B$5,"",IF(COUNTIFS(Release_Calendar!$A$2:$A$755,"NZ_LABOUR",Release_Calendar!$B$2:$B$755,$A2750)&gt;0,1,0))</f>
        <v/>
      </c>
      <c r="P2750" s="16">
        <f t="shared" si="4"/>
        <v>0</v>
      </c>
    </row>
    <row r="2751" ht="15.75" customHeight="1">
      <c r="A2751" s="14">
        <v>40375.0</v>
      </c>
      <c r="B2751" s="15">
        <v>0.61</v>
      </c>
      <c r="C2751" s="15"/>
      <c r="D2751" s="15">
        <v>3.75</v>
      </c>
      <c r="E2751" s="15">
        <v>3.76</v>
      </c>
      <c r="F2751" s="15" t="str">
        <f t="shared" si="1"/>
        <v/>
      </c>
      <c r="G2751" s="15">
        <f t="shared" si="2"/>
        <v>3.75</v>
      </c>
      <c r="H2751" s="16">
        <v>1.0</v>
      </c>
      <c r="I2751" s="15">
        <f t="shared" si="3"/>
        <v>3.14</v>
      </c>
      <c r="J2751" s="15">
        <v>26.25</v>
      </c>
      <c r="K2751" s="16">
        <f>IF(COUNTIFS(Release_Calendar!$A$2:$A$755,"US_CPI",Release_Calendar!$B$2:$B$755,$A2751)&gt;0,1,0)</f>
        <v>1</v>
      </c>
      <c r="L2751" s="16">
        <f>IF(COUNTIFS(Release_Calendar!$A$2:$A$755,"US_NFP",Release_Calendar!$B$2:$B$755,$A2751)&gt;0,1,0)</f>
        <v>0</v>
      </c>
      <c r="M2751" s="16" t="str">
        <f>IF($A2751&lt;Notes!$B$5,"",IF(COUNTIFS(Release_Calendar!$A$2:$A$755,"NZ_CPI",Release_Calendar!$B$2:$B$755,$A2751)&gt;0,1,0))</f>
        <v/>
      </c>
      <c r="N2751" s="16" t="str">
        <f>IF($A2751&lt;Notes!$B$5,"",IF(COUNTIFS(Release_Calendar!$A$2:$A$755,"NZ_GDP",Release_Calendar!$B$2:$B$755,$A2751)&gt;0,1,0))</f>
        <v/>
      </c>
      <c r="O2751" s="16" t="str">
        <f>IF($A2751&lt;Notes!$B$5,"",IF(COUNTIFS(Release_Calendar!$A$2:$A$755,"NZ_LABOUR",Release_Calendar!$B$2:$B$755,$A2751)&gt;0,1,0))</f>
        <v/>
      </c>
      <c r="P2751" s="16">
        <f t="shared" si="4"/>
        <v>1</v>
      </c>
    </row>
    <row r="2752" ht="15.75" customHeight="1">
      <c r="A2752" s="14">
        <v>40378.0</v>
      </c>
      <c r="B2752" s="15">
        <v>0.61</v>
      </c>
      <c r="C2752" s="15"/>
      <c r="D2752" s="15">
        <v>3.73</v>
      </c>
      <c r="E2752" s="15">
        <v>3.71</v>
      </c>
      <c r="F2752" s="15" t="str">
        <f t="shared" si="1"/>
        <v/>
      </c>
      <c r="G2752" s="15">
        <f t="shared" si="2"/>
        <v>3.73</v>
      </c>
      <c r="H2752" s="16">
        <v>1.0</v>
      </c>
      <c r="I2752" s="15">
        <f t="shared" si="3"/>
        <v>3.12</v>
      </c>
      <c r="J2752" s="15">
        <v>25.97</v>
      </c>
      <c r="K2752" s="16">
        <f>IF(COUNTIFS(Release_Calendar!$A$2:$A$755,"US_CPI",Release_Calendar!$B$2:$B$755,$A2752)&gt;0,1,0)</f>
        <v>0</v>
      </c>
      <c r="L2752" s="16">
        <f>IF(COUNTIFS(Release_Calendar!$A$2:$A$755,"US_NFP",Release_Calendar!$B$2:$B$755,$A2752)&gt;0,1,0)</f>
        <v>0</v>
      </c>
      <c r="M2752" s="16" t="str">
        <f>IF($A2752&lt;Notes!$B$5,"",IF(COUNTIFS(Release_Calendar!$A$2:$A$755,"NZ_CPI",Release_Calendar!$B$2:$B$755,$A2752)&gt;0,1,0))</f>
        <v/>
      </c>
      <c r="N2752" s="16" t="str">
        <f>IF($A2752&lt;Notes!$B$5,"",IF(COUNTIFS(Release_Calendar!$A$2:$A$755,"NZ_GDP",Release_Calendar!$B$2:$B$755,$A2752)&gt;0,1,0))</f>
        <v/>
      </c>
      <c r="O2752" s="16" t="str">
        <f>IF($A2752&lt;Notes!$B$5,"",IF(COUNTIFS(Release_Calendar!$A$2:$A$755,"NZ_LABOUR",Release_Calendar!$B$2:$B$755,$A2752)&gt;0,1,0))</f>
        <v/>
      </c>
      <c r="P2752" s="16">
        <f t="shared" si="4"/>
        <v>0</v>
      </c>
    </row>
    <row r="2753" ht="15.75" customHeight="1">
      <c r="A2753" s="14">
        <v>40379.0</v>
      </c>
      <c r="B2753" s="15">
        <v>0.61</v>
      </c>
      <c r="C2753" s="15"/>
      <c r="D2753" s="15">
        <v>3.74</v>
      </c>
      <c r="E2753" s="15">
        <v>3.77</v>
      </c>
      <c r="F2753" s="15" t="str">
        <f t="shared" si="1"/>
        <v/>
      </c>
      <c r="G2753" s="15">
        <f t="shared" si="2"/>
        <v>3.74</v>
      </c>
      <c r="H2753" s="16">
        <v>1.0</v>
      </c>
      <c r="I2753" s="15">
        <f t="shared" si="3"/>
        <v>3.13</v>
      </c>
      <c r="J2753" s="15">
        <v>23.93</v>
      </c>
      <c r="K2753" s="16">
        <f>IF(COUNTIFS(Release_Calendar!$A$2:$A$755,"US_CPI",Release_Calendar!$B$2:$B$755,$A2753)&gt;0,1,0)</f>
        <v>0</v>
      </c>
      <c r="L2753" s="16">
        <f>IF(COUNTIFS(Release_Calendar!$A$2:$A$755,"US_NFP",Release_Calendar!$B$2:$B$755,$A2753)&gt;0,1,0)</f>
        <v>0</v>
      </c>
      <c r="M2753" s="16" t="str">
        <f>IF($A2753&lt;Notes!$B$5,"",IF(COUNTIFS(Release_Calendar!$A$2:$A$755,"NZ_CPI",Release_Calendar!$B$2:$B$755,$A2753)&gt;0,1,0))</f>
        <v/>
      </c>
      <c r="N2753" s="16" t="str">
        <f>IF($A2753&lt;Notes!$B$5,"",IF(COUNTIFS(Release_Calendar!$A$2:$A$755,"NZ_GDP",Release_Calendar!$B$2:$B$755,$A2753)&gt;0,1,0))</f>
        <v/>
      </c>
      <c r="O2753" s="16" t="str">
        <f>IF($A2753&lt;Notes!$B$5,"",IF(COUNTIFS(Release_Calendar!$A$2:$A$755,"NZ_LABOUR",Release_Calendar!$B$2:$B$755,$A2753)&gt;0,1,0))</f>
        <v/>
      </c>
      <c r="P2753" s="16">
        <f t="shared" si="4"/>
        <v>0</v>
      </c>
    </row>
    <row r="2754" ht="15.75" customHeight="1">
      <c r="A2754" s="14">
        <v>40380.0</v>
      </c>
      <c r="B2754" s="15">
        <v>0.58</v>
      </c>
      <c r="C2754" s="15"/>
      <c r="D2754" s="15">
        <v>3.8</v>
      </c>
      <c r="E2754" s="15">
        <v>3.8</v>
      </c>
      <c r="F2754" s="15" t="str">
        <f t="shared" si="1"/>
        <v/>
      </c>
      <c r="G2754" s="15">
        <f t="shared" si="2"/>
        <v>3.8</v>
      </c>
      <c r="H2754" s="16">
        <v>1.0</v>
      </c>
      <c r="I2754" s="15">
        <f t="shared" si="3"/>
        <v>3.22</v>
      </c>
      <c r="J2754" s="15">
        <v>25.64</v>
      </c>
      <c r="K2754" s="16">
        <f>IF(COUNTIFS(Release_Calendar!$A$2:$A$755,"US_CPI",Release_Calendar!$B$2:$B$755,$A2754)&gt;0,1,0)</f>
        <v>0</v>
      </c>
      <c r="L2754" s="16">
        <f>IF(COUNTIFS(Release_Calendar!$A$2:$A$755,"US_NFP",Release_Calendar!$B$2:$B$755,$A2754)&gt;0,1,0)</f>
        <v>0</v>
      </c>
      <c r="M2754" s="16" t="str">
        <f>IF($A2754&lt;Notes!$B$5,"",IF(COUNTIFS(Release_Calendar!$A$2:$A$755,"NZ_CPI",Release_Calendar!$B$2:$B$755,$A2754)&gt;0,1,0))</f>
        <v/>
      </c>
      <c r="N2754" s="16" t="str">
        <f>IF($A2754&lt;Notes!$B$5,"",IF(COUNTIFS(Release_Calendar!$A$2:$A$755,"NZ_GDP",Release_Calendar!$B$2:$B$755,$A2754)&gt;0,1,0))</f>
        <v/>
      </c>
      <c r="O2754" s="16" t="str">
        <f>IF($A2754&lt;Notes!$B$5,"",IF(COUNTIFS(Release_Calendar!$A$2:$A$755,"NZ_LABOUR",Release_Calendar!$B$2:$B$755,$A2754)&gt;0,1,0))</f>
        <v/>
      </c>
      <c r="P2754" s="16">
        <f t="shared" si="4"/>
        <v>0</v>
      </c>
    </row>
    <row r="2755" ht="15.75" customHeight="1">
      <c r="A2755" s="14">
        <v>40381.0</v>
      </c>
      <c r="B2755" s="15">
        <v>0.6</v>
      </c>
      <c r="C2755" s="15"/>
      <c r="D2755" s="15">
        <v>3.79</v>
      </c>
      <c r="E2755" s="15">
        <v>3.75</v>
      </c>
      <c r="F2755" s="15" t="str">
        <f t="shared" si="1"/>
        <v/>
      </c>
      <c r="G2755" s="15">
        <f t="shared" si="2"/>
        <v>3.79</v>
      </c>
      <c r="H2755" s="16">
        <v>1.0</v>
      </c>
      <c r="I2755" s="15">
        <f t="shared" si="3"/>
        <v>3.19</v>
      </c>
      <c r="J2755" s="15">
        <v>24.63</v>
      </c>
      <c r="K2755" s="16">
        <f>IF(COUNTIFS(Release_Calendar!$A$2:$A$755,"US_CPI",Release_Calendar!$B$2:$B$755,$A2755)&gt;0,1,0)</f>
        <v>0</v>
      </c>
      <c r="L2755" s="16">
        <f>IF(COUNTIFS(Release_Calendar!$A$2:$A$755,"US_NFP",Release_Calendar!$B$2:$B$755,$A2755)&gt;0,1,0)</f>
        <v>0</v>
      </c>
      <c r="M2755" s="16" t="str">
        <f>IF($A2755&lt;Notes!$B$5,"",IF(COUNTIFS(Release_Calendar!$A$2:$A$755,"NZ_CPI",Release_Calendar!$B$2:$B$755,$A2755)&gt;0,1,0))</f>
        <v/>
      </c>
      <c r="N2755" s="16" t="str">
        <f>IF($A2755&lt;Notes!$B$5,"",IF(COUNTIFS(Release_Calendar!$A$2:$A$755,"NZ_GDP",Release_Calendar!$B$2:$B$755,$A2755)&gt;0,1,0))</f>
        <v/>
      </c>
      <c r="O2755" s="16" t="str">
        <f>IF($A2755&lt;Notes!$B$5,"",IF(COUNTIFS(Release_Calendar!$A$2:$A$755,"NZ_LABOUR",Release_Calendar!$B$2:$B$755,$A2755)&gt;0,1,0))</f>
        <v/>
      </c>
      <c r="P2755" s="16">
        <f t="shared" si="4"/>
        <v>0</v>
      </c>
    </row>
    <row r="2756" ht="15.75" customHeight="1">
      <c r="A2756" s="14">
        <v>40382.0</v>
      </c>
      <c r="B2756" s="15">
        <v>0.6</v>
      </c>
      <c r="C2756" s="15"/>
      <c r="D2756" s="15">
        <v>3.78</v>
      </c>
      <c r="E2756" s="15">
        <v>3.78</v>
      </c>
      <c r="F2756" s="15" t="str">
        <f t="shared" si="1"/>
        <v/>
      </c>
      <c r="G2756" s="15">
        <f t="shared" si="2"/>
        <v>3.78</v>
      </c>
      <c r="H2756" s="16">
        <v>1.0</v>
      </c>
      <c r="I2756" s="15">
        <f t="shared" si="3"/>
        <v>3.18</v>
      </c>
      <c r="J2756" s="15">
        <v>23.47</v>
      </c>
      <c r="K2756" s="16">
        <f>IF(COUNTIFS(Release_Calendar!$A$2:$A$755,"US_CPI",Release_Calendar!$B$2:$B$755,$A2756)&gt;0,1,0)</f>
        <v>0</v>
      </c>
      <c r="L2756" s="16">
        <f>IF(COUNTIFS(Release_Calendar!$A$2:$A$755,"US_NFP",Release_Calendar!$B$2:$B$755,$A2756)&gt;0,1,0)</f>
        <v>0</v>
      </c>
      <c r="M2756" s="16" t="str">
        <f>IF($A2756&lt;Notes!$B$5,"",IF(COUNTIFS(Release_Calendar!$A$2:$A$755,"NZ_CPI",Release_Calendar!$B$2:$B$755,$A2756)&gt;0,1,0))</f>
        <v/>
      </c>
      <c r="N2756" s="16" t="str">
        <f>IF($A2756&lt;Notes!$B$5,"",IF(COUNTIFS(Release_Calendar!$A$2:$A$755,"NZ_GDP",Release_Calendar!$B$2:$B$755,$A2756)&gt;0,1,0))</f>
        <v/>
      </c>
      <c r="O2756" s="16" t="str">
        <f>IF($A2756&lt;Notes!$B$5,"",IF(COUNTIFS(Release_Calendar!$A$2:$A$755,"NZ_LABOUR",Release_Calendar!$B$2:$B$755,$A2756)&gt;0,1,0))</f>
        <v/>
      </c>
      <c r="P2756" s="16">
        <f t="shared" si="4"/>
        <v>0</v>
      </c>
    </row>
    <row r="2757" ht="15.75" customHeight="1">
      <c r="A2757" s="14">
        <v>40385.0</v>
      </c>
      <c r="B2757" s="15">
        <v>0.62</v>
      </c>
      <c r="C2757" s="15"/>
      <c r="D2757" s="15">
        <v>3.82</v>
      </c>
      <c r="E2757" s="15">
        <v>3.8</v>
      </c>
      <c r="F2757" s="15" t="str">
        <f t="shared" si="1"/>
        <v/>
      </c>
      <c r="G2757" s="15">
        <f t="shared" si="2"/>
        <v>3.82</v>
      </c>
      <c r="H2757" s="16">
        <v>1.0</v>
      </c>
      <c r="I2757" s="15">
        <f t="shared" si="3"/>
        <v>3.2</v>
      </c>
      <c r="J2757" s="15">
        <v>22.73</v>
      </c>
      <c r="K2757" s="16">
        <f>IF(COUNTIFS(Release_Calendar!$A$2:$A$755,"US_CPI",Release_Calendar!$B$2:$B$755,$A2757)&gt;0,1,0)</f>
        <v>0</v>
      </c>
      <c r="L2757" s="16">
        <f>IF(COUNTIFS(Release_Calendar!$A$2:$A$755,"US_NFP",Release_Calendar!$B$2:$B$755,$A2757)&gt;0,1,0)</f>
        <v>0</v>
      </c>
      <c r="M2757" s="16" t="str">
        <f>IF($A2757&lt;Notes!$B$5,"",IF(COUNTIFS(Release_Calendar!$A$2:$A$755,"NZ_CPI",Release_Calendar!$B$2:$B$755,$A2757)&gt;0,1,0))</f>
        <v/>
      </c>
      <c r="N2757" s="16" t="str">
        <f>IF($A2757&lt;Notes!$B$5,"",IF(COUNTIFS(Release_Calendar!$A$2:$A$755,"NZ_GDP",Release_Calendar!$B$2:$B$755,$A2757)&gt;0,1,0))</f>
        <v/>
      </c>
      <c r="O2757" s="16" t="str">
        <f>IF($A2757&lt;Notes!$B$5,"",IF(COUNTIFS(Release_Calendar!$A$2:$A$755,"NZ_LABOUR",Release_Calendar!$B$2:$B$755,$A2757)&gt;0,1,0))</f>
        <v/>
      </c>
      <c r="P2757" s="16">
        <f t="shared" si="4"/>
        <v>0</v>
      </c>
    </row>
    <row r="2758" ht="15.75" customHeight="1">
      <c r="A2758" s="14">
        <v>40386.0</v>
      </c>
      <c r="B2758" s="15">
        <v>0.65</v>
      </c>
      <c r="C2758" s="15"/>
      <c r="D2758" s="15">
        <v>3.8</v>
      </c>
      <c r="E2758" s="15">
        <v>3.79</v>
      </c>
      <c r="F2758" s="15" t="str">
        <f t="shared" si="1"/>
        <v/>
      </c>
      <c r="G2758" s="15">
        <f t="shared" si="2"/>
        <v>3.8</v>
      </c>
      <c r="H2758" s="16">
        <v>1.0</v>
      </c>
      <c r="I2758" s="15">
        <f t="shared" si="3"/>
        <v>3.15</v>
      </c>
      <c r="J2758" s="15">
        <v>23.19</v>
      </c>
      <c r="K2758" s="16">
        <f>IF(COUNTIFS(Release_Calendar!$A$2:$A$755,"US_CPI",Release_Calendar!$B$2:$B$755,$A2758)&gt;0,1,0)</f>
        <v>0</v>
      </c>
      <c r="L2758" s="16">
        <f>IF(COUNTIFS(Release_Calendar!$A$2:$A$755,"US_NFP",Release_Calendar!$B$2:$B$755,$A2758)&gt;0,1,0)</f>
        <v>0</v>
      </c>
      <c r="M2758" s="16" t="str">
        <f>IF($A2758&lt;Notes!$B$5,"",IF(COUNTIFS(Release_Calendar!$A$2:$A$755,"NZ_CPI",Release_Calendar!$B$2:$B$755,$A2758)&gt;0,1,0))</f>
        <v/>
      </c>
      <c r="N2758" s="16" t="str">
        <f>IF($A2758&lt;Notes!$B$5,"",IF(COUNTIFS(Release_Calendar!$A$2:$A$755,"NZ_GDP",Release_Calendar!$B$2:$B$755,$A2758)&gt;0,1,0))</f>
        <v/>
      </c>
      <c r="O2758" s="16" t="str">
        <f>IF($A2758&lt;Notes!$B$5,"",IF(COUNTIFS(Release_Calendar!$A$2:$A$755,"NZ_LABOUR",Release_Calendar!$B$2:$B$755,$A2758)&gt;0,1,0))</f>
        <v/>
      </c>
      <c r="P2758" s="16">
        <f t="shared" si="4"/>
        <v>0</v>
      </c>
    </row>
    <row r="2759" ht="15.75" customHeight="1">
      <c r="A2759" s="14">
        <v>40387.0</v>
      </c>
      <c r="B2759" s="15">
        <v>0.61</v>
      </c>
      <c r="C2759" s="15"/>
      <c r="D2759" s="15">
        <v>3.81</v>
      </c>
      <c r="E2759" s="15">
        <v>3.78</v>
      </c>
      <c r="F2759" s="15" t="str">
        <f t="shared" si="1"/>
        <v/>
      </c>
      <c r="G2759" s="15">
        <f t="shared" si="2"/>
        <v>3.81</v>
      </c>
      <c r="H2759" s="16">
        <v>1.0</v>
      </c>
      <c r="I2759" s="15">
        <f t="shared" si="3"/>
        <v>3.2</v>
      </c>
      <c r="J2759" s="15">
        <v>24.25</v>
      </c>
      <c r="K2759" s="16">
        <f>IF(COUNTIFS(Release_Calendar!$A$2:$A$755,"US_CPI",Release_Calendar!$B$2:$B$755,$A2759)&gt;0,1,0)</f>
        <v>0</v>
      </c>
      <c r="L2759" s="16">
        <f>IF(COUNTIFS(Release_Calendar!$A$2:$A$755,"US_NFP",Release_Calendar!$B$2:$B$755,$A2759)&gt;0,1,0)</f>
        <v>0</v>
      </c>
      <c r="M2759" s="16" t="str">
        <f>IF($A2759&lt;Notes!$B$5,"",IF(COUNTIFS(Release_Calendar!$A$2:$A$755,"NZ_CPI",Release_Calendar!$B$2:$B$755,$A2759)&gt;0,1,0))</f>
        <v/>
      </c>
      <c r="N2759" s="16" t="str">
        <f>IF($A2759&lt;Notes!$B$5,"",IF(COUNTIFS(Release_Calendar!$A$2:$A$755,"NZ_GDP",Release_Calendar!$B$2:$B$755,$A2759)&gt;0,1,0))</f>
        <v/>
      </c>
      <c r="O2759" s="16" t="str">
        <f>IF($A2759&lt;Notes!$B$5,"",IF(COUNTIFS(Release_Calendar!$A$2:$A$755,"NZ_LABOUR",Release_Calendar!$B$2:$B$755,$A2759)&gt;0,1,0))</f>
        <v/>
      </c>
      <c r="P2759" s="16">
        <f t="shared" si="4"/>
        <v>0</v>
      </c>
    </row>
    <row r="2760" ht="15.75" customHeight="1">
      <c r="A2760" s="14">
        <v>40388.0</v>
      </c>
      <c r="B2760" s="15">
        <v>0.59</v>
      </c>
      <c r="C2760" s="15"/>
      <c r="D2760" s="15">
        <v>3.72</v>
      </c>
      <c r="E2760" s="15">
        <v>3.7</v>
      </c>
      <c r="F2760" s="15" t="str">
        <f t="shared" si="1"/>
        <v/>
      </c>
      <c r="G2760" s="15">
        <f t="shared" si="2"/>
        <v>3.72</v>
      </c>
      <c r="H2760" s="16">
        <v>1.0</v>
      </c>
      <c r="I2760" s="15">
        <f t="shared" si="3"/>
        <v>3.13</v>
      </c>
      <c r="J2760" s="15">
        <v>24.13</v>
      </c>
      <c r="K2760" s="16">
        <f>IF(COUNTIFS(Release_Calendar!$A$2:$A$755,"US_CPI",Release_Calendar!$B$2:$B$755,$A2760)&gt;0,1,0)</f>
        <v>0</v>
      </c>
      <c r="L2760" s="16">
        <f>IF(COUNTIFS(Release_Calendar!$A$2:$A$755,"US_NFP",Release_Calendar!$B$2:$B$755,$A2760)&gt;0,1,0)</f>
        <v>0</v>
      </c>
      <c r="M2760" s="16" t="str">
        <f>IF($A2760&lt;Notes!$B$5,"",IF(COUNTIFS(Release_Calendar!$A$2:$A$755,"NZ_CPI",Release_Calendar!$B$2:$B$755,$A2760)&gt;0,1,0))</f>
        <v/>
      </c>
      <c r="N2760" s="16" t="str">
        <f>IF($A2760&lt;Notes!$B$5,"",IF(COUNTIFS(Release_Calendar!$A$2:$A$755,"NZ_GDP",Release_Calendar!$B$2:$B$755,$A2760)&gt;0,1,0))</f>
        <v/>
      </c>
      <c r="O2760" s="16" t="str">
        <f>IF($A2760&lt;Notes!$B$5,"",IF(COUNTIFS(Release_Calendar!$A$2:$A$755,"NZ_LABOUR",Release_Calendar!$B$2:$B$755,$A2760)&gt;0,1,0))</f>
        <v/>
      </c>
      <c r="P2760" s="16">
        <f t="shared" si="4"/>
        <v>0</v>
      </c>
    </row>
    <row r="2761" ht="15.75" customHeight="1">
      <c r="A2761" s="14">
        <v>40389.0</v>
      </c>
      <c r="B2761" s="15">
        <v>0.55</v>
      </c>
      <c r="C2761" s="15"/>
      <c r="D2761" s="15">
        <v>3.65</v>
      </c>
      <c r="E2761" s="15">
        <v>3.65</v>
      </c>
      <c r="F2761" s="15" t="str">
        <f t="shared" si="1"/>
        <v/>
      </c>
      <c r="G2761" s="15">
        <f t="shared" si="2"/>
        <v>3.65</v>
      </c>
      <c r="H2761" s="16">
        <v>1.0</v>
      </c>
      <c r="I2761" s="15">
        <f t="shared" si="3"/>
        <v>3.1</v>
      </c>
      <c r="J2761" s="15">
        <v>23.5</v>
      </c>
      <c r="K2761" s="16">
        <f>IF(COUNTIFS(Release_Calendar!$A$2:$A$755,"US_CPI",Release_Calendar!$B$2:$B$755,$A2761)&gt;0,1,0)</f>
        <v>0</v>
      </c>
      <c r="L2761" s="16">
        <f>IF(COUNTIFS(Release_Calendar!$A$2:$A$755,"US_NFP",Release_Calendar!$B$2:$B$755,$A2761)&gt;0,1,0)</f>
        <v>0</v>
      </c>
      <c r="M2761" s="16" t="str">
        <f>IF($A2761&lt;Notes!$B$5,"",IF(COUNTIFS(Release_Calendar!$A$2:$A$755,"NZ_CPI",Release_Calendar!$B$2:$B$755,$A2761)&gt;0,1,0))</f>
        <v/>
      </c>
      <c r="N2761" s="16" t="str">
        <f>IF($A2761&lt;Notes!$B$5,"",IF(COUNTIFS(Release_Calendar!$A$2:$A$755,"NZ_GDP",Release_Calendar!$B$2:$B$755,$A2761)&gt;0,1,0))</f>
        <v/>
      </c>
      <c r="O2761" s="16" t="str">
        <f>IF($A2761&lt;Notes!$B$5,"",IF(COUNTIFS(Release_Calendar!$A$2:$A$755,"NZ_LABOUR",Release_Calendar!$B$2:$B$755,$A2761)&gt;0,1,0))</f>
        <v/>
      </c>
      <c r="P2761" s="16">
        <f t="shared" si="4"/>
        <v>0</v>
      </c>
    </row>
    <row r="2762" ht="15.75" customHeight="1">
      <c r="A2762" s="14">
        <v>40392.0</v>
      </c>
      <c r="B2762" s="15">
        <v>0.56</v>
      </c>
      <c r="C2762" s="15"/>
      <c r="D2762" s="15">
        <v>4.13</v>
      </c>
      <c r="E2762" s="15">
        <v>4.15</v>
      </c>
      <c r="F2762" s="15" t="str">
        <f t="shared" si="1"/>
        <v/>
      </c>
      <c r="G2762" s="15">
        <f t="shared" si="2"/>
        <v>4.13</v>
      </c>
      <c r="H2762" s="16">
        <v>1.0</v>
      </c>
      <c r="I2762" s="15">
        <f t="shared" si="3"/>
        <v>3.57</v>
      </c>
      <c r="J2762" s="15">
        <v>22.01</v>
      </c>
      <c r="K2762" s="16">
        <f>IF(COUNTIFS(Release_Calendar!$A$2:$A$755,"US_CPI",Release_Calendar!$B$2:$B$755,$A2762)&gt;0,1,0)</f>
        <v>0</v>
      </c>
      <c r="L2762" s="16">
        <f>IF(COUNTIFS(Release_Calendar!$A$2:$A$755,"US_NFP",Release_Calendar!$B$2:$B$755,$A2762)&gt;0,1,0)</f>
        <v>0</v>
      </c>
      <c r="M2762" s="16" t="str">
        <f>IF($A2762&lt;Notes!$B$5,"",IF(COUNTIFS(Release_Calendar!$A$2:$A$755,"NZ_CPI",Release_Calendar!$B$2:$B$755,$A2762)&gt;0,1,0))</f>
        <v/>
      </c>
      <c r="N2762" s="16" t="str">
        <f>IF($A2762&lt;Notes!$B$5,"",IF(COUNTIFS(Release_Calendar!$A$2:$A$755,"NZ_GDP",Release_Calendar!$B$2:$B$755,$A2762)&gt;0,1,0))</f>
        <v/>
      </c>
      <c r="O2762" s="16" t="str">
        <f>IF($A2762&lt;Notes!$B$5,"",IF(COUNTIFS(Release_Calendar!$A$2:$A$755,"NZ_LABOUR",Release_Calendar!$B$2:$B$755,$A2762)&gt;0,1,0))</f>
        <v/>
      </c>
      <c r="P2762" s="16">
        <f t="shared" si="4"/>
        <v>0</v>
      </c>
    </row>
    <row r="2763" ht="15.75" customHeight="1">
      <c r="A2763" s="14">
        <v>40393.0</v>
      </c>
      <c r="B2763" s="15">
        <v>0.53</v>
      </c>
      <c r="C2763" s="15"/>
      <c r="D2763" s="15">
        <v>4.17</v>
      </c>
      <c r="E2763" s="15">
        <v>4.15</v>
      </c>
      <c r="F2763" s="15" t="str">
        <f t="shared" si="1"/>
        <v/>
      </c>
      <c r="G2763" s="15">
        <f t="shared" si="2"/>
        <v>4.17</v>
      </c>
      <c r="H2763" s="16">
        <v>1.0</v>
      </c>
      <c r="I2763" s="15">
        <f t="shared" si="3"/>
        <v>3.64</v>
      </c>
      <c r="J2763" s="15">
        <v>22.63</v>
      </c>
      <c r="K2763" s="16">
        <f>IF(COUNTIFS(Release_Calendar!$A$2:$A$755,"US_CPI",Release_Calendar!$B$2:$B$755,$A2763)&gt;0,1,0)</f>
        <v>0</v>
      </c>
      <c r="L2763" s="16">
        <f>IF(COUNTIFS(Release_Calendar!$A$2:$A$755,"US_NFP",Release_Calendar!$B$2:$B$755,$A2763)&gt;0,1,0)</f>
        <v>0</v>
      </c>
      <c r="M2763" s="16" t="str">
        <f>IF($A2763&lt;Notes!$B$5,"",IF(COUNTIFS(Release_Calendar!$A$2:$A$755,"NZ_CPI",Release_Calendar!$B$2:$B$755,$A2763)&gt;0,1,0))</f>
        <v/>
      </c>
      <c r="N2763" s="16" t="str">
        <f>IF($A2763&lt;Notes!$B$5,"",IF(COUNTIFS(Release_Calendar!$A$2:$A$755,"NZ_GDP",Release_Calendar!$B$2:$B$755,$A2763)&gt;0,1,0))</f>
        <v/>
      </c>
      <c r="O2763" s="16" t="str">
        <f>IF($A2763&lt;Notes!$B$5,"",IF(COUNTIFS(Release_Calendar!$A$2:$A$755,"NZ_LABOUR",Release_Calendar!$B$2:$B$755,$A2763)&gt;0,1,0))</f>
        <v/>
      </c>
      <c r="P2763" s="16">
        <f t="shared" si="4"/>
        <v>0</v>
      </c>
    </row>
    <row r="2764" ht="15.75" customHeight="1">
      <c r="A2764" s="14">
        <v>40394.0</v>
      </c>
      <c r="B2764" s="15">
        <v>0.56</v>
      </c>
      <c r="C2764" s="15"/>
      <c r="D2764" s="15">
        <v>4.15</v>
      </c>
      <c r="E2764" s="15">
        <v>4.14</v>
      </c>
      <c r="F2764" s="15" t="str">
        <f t="shared" si="1"/>
        <v/>
      </c>
      <c r="G2764" s="15">
        <f t="shared" si="2"/>
        <v>4.15</v>
      </c>
      <c r="H2764" s="16">
        <v>1.0</v>
      </c>
      <c r="I2764" s="15">
        <f t="shared" si="3"/>
        <v>3.59</v>
      </c>
      <c r="J2764" s="15">
        <v>22.21</v>
      </c>
      <c r="K2764" s="16">
        <f>IF(COUNTIFS(Release_Calendar!$A$2:$A$755,"US_CPI",Release_Calendar!$B$2:$B$755,$A2764)&gt;0,1,0)</f>
        <v>0</v>
      </c>
      <c r="L2764" s="16">
        <f>IF(COUNTIFS(Release_Calendar!$A$2:$A$755,"US_NFP",Release_Calendar!$B$2:$B$755,$A2764)&gt;0,1,0)</f>
        <v>0</v>
      </c>
      <c r="M2764" s="16" t="str">
        <f>IF($A2764&lt;Notes!$B$5,"",IF(COUNTIFS(Release_Calendar!$A$2:$A$755,"NZ_CPI",Release_Calendar!$B$2:$B$755,$A2764)&gt;0,1,0))</f>
        <v/>
      </c>
      <c r="N2764" s="16" t="str">
        <f>IF($A2764&lt;Notes!$B$5,"",IF(COUNTIFS(Release_Calendar!$A$2:$A$755,"NZ_GDP",Release_Calendar!$B$2:$B$755,$A2764)&gt;0,1,0))</f>
        <v/>
      </c>
      <c r="O2764" s="16" t="str">
        <f>IF($A2764&lt;Notes!$B$5,"",IF(COUNTIFS(Release_Calendar!$A$2:$A$755,"NZ_LABOUR",Release_Calendar!$B$2:$B$755,$A2764)&gt;0,1,0))</f>
        <v/>
      </c>
      <c r="P2764" s="16">
        <f t="shared" si="4"/>
        <v>0</v>
      </c>
    </row>
    <row r="2765" ht="15.75" customHeight="1">
      <c r="A2765" s="14">
        <v>40395.0</v>
      </c>
      <c r="B2765" s="15">
        <v>0.53</v>
      </c>
      <c r="C2765" s="15"/>
      <c r="D2765" s="15">
        <v>4.1</v>
      </c>
      <c r="E2765" s="15">
        <v>4.11</v>
      </c>
      <c r="F2765" s="15" t="str">
        <f t="shared" si="1"/>
        <v/>
      </c>
      <c r="G2765" s="15">
        <f t="shared" si="2"/>
        <v>4.1</v>
      </c>
      <c r="H2765" s="16">
        <v>1.0</v>
      </c>
      <c r="I2765" s="15">
        <f t="shared" si="3"/>
        <v>3.57</v>
      </c>
      <c r="J2765" s="15">
        <v>22.1</v>
      </c>
      <c r="K2765" s="16">
        <f>IF(COUNTIFS(Release_Calendar!$A$2:$A$755,"US_CPI",Release_Calendar!$B$2:$B$755,$A2765)&gt;0,1,0)</f>
        <v>0</v>
      </c>
      <c r="L2765" s="16">
        <f>IF(COUNTIFS(Release_Calendar!$A$2:$A$755,"US_NFP",Release_Calendar!$B$2:$B$755,$A2765)&gt;0,1,0)</f>
        <v>0</v>
      </c>
      <c r="M2765" s="16" t="str">
        <f>IF($A2765&lt;Notes!$B$5,"",IF(COUNTIFS(Release_Calendar!$A$2:$A$755,"NZ_CPI",Release_Calendar!$B$2:$B$755,$A2765)&gt;0,1,0))</f>
        <v/>
      </c>
      <c r="N2765" s="16" t="str">
        <f>IF($A2765&lt;Notes!$B$5,"",IF(COUNTIFS(Release_Calendar!$A$2:$A$755,"NZ_GDP",Release_Calendar!$B$2:$B$755,$A2765)&gt;0,1,0))</f>
        <v/>
      </c>
      <c r="O2765" s="16" t="str">
        <f>IF($A2765&lt;Notes!$B$5,"",IF(COUNTIFS(Release_Calendar!$A$2:$A$755,"NZ_LABOUR",Release_Calendar!$B$2:$B$755,$A2765)&gt;0,1,0))</f>
        <v/>
      </c>
      <c r="P2765" s="16">
        <f t="shared" si="4"/>
        <v>0</v>
      </c>
    </row>
    <row r="2766" ht="15.75" customHeight="1">
      <c r="A2766" s="14">
        <v>40396.0</v>
      </c>
      <c r="B2766" s="15">
        <v>0.5</v>
      </c>
      <c r="C2766" s="15"/>
      <c r="D2766" s="15">
        <v>4.12</v>
      </c>
      <c r="E2766" s="15">
        <v>4.13</v>
      </c>
      <c r="F2766" s="15" t="str">
        <f t="shared" si="1"/>
        <v/>
      </c>
      <c r="G2766" s="15">
        <f t="shared" si="2"/>
        <v>4.12</v>
      </c>
      <c r="H2766" s="16">
        <v>1.0</v>
      </c>
      <c r="I2766" s="15">
        <f t="shared" si="3"/>
        <v>3.62</v>
      </c>
      <c r="J2766" s="15">
        <v>21.74</v>
      </c>
      <c r="K2766" s="16">
        <f>IF(COUNTIFS(Release_Calendar!$A$2:$A$755,"US_CPI",Release_Calendar!$B$2:$B$755,$A2766)&gt;0,1,0)</f>
        <v>0</v>
      </c>
      <c r="L2766" s="16">
        <f>IF(COUNTIFS(Release_Calendar!$A$2:$A$755,"US_NFP",Release_Calendar!$B$2:$B$755,$A2766)&gt;0,1,0)</f>
        <v>1</v>
      </c>
      <c r="M2766" s="16" t="str">
        <f>IF($A2766&lt;Notes!$B$5,"",IF(COUNTIFS(Release_Calendar!$A$2:$A$755,"NZ_CPI",Release_Calendar!$B$2:$B$755,$A2766)&gt;0,1,0))</f>
        <v/>
      </c>
      <c r="N2766" s="16" t="str">
        <f>IF($A2766&lt;Notes!$B$5,"",IF(COUNTIFS(Release_Calendar!$A$2:$A$755,"NZ_GDP",Release_Calendar!$B$2:$B$755,$A2766)&gt;0,1,0))</f>
        <v/>
      </c>
      <c r="O2766" s="16" t="str">
        <f>IF($A2766&lt;Notes!$B$5,"",IF(COUNTIFS(Release_Calendar!$A$2:$A$755,"NZ_LABOUR",Release_Calendar!$B$2:$B$755,$A2766)&gt;0,1,0))</f>
        <v/>
      </c>
      <c r="P2766" s="16">
        <f t="shared" si="4"/>
        <v>1</v>
      </c>
    </row>
    <row r="2767" ht="15.75" customHeight="1">
      <c r="A2767" s="14">
        <v>40399.0</v>
      </c>
      <c r="B2767" s="15">
        <v>0.54</v>
      </c>
      <c r="C2767" s="15"/>
      <c r="D2767" s="15">
        <v>4.11</v>
      </c>
      <c r="E2767" s="15">
        <v>4.1</v>
      </c>
      <c r="F2767" s="15" t="str">
        <f t="shared" si="1"/>
        <v/>
      </c>
      <c r="G2767" s="15">
        <f t="shared" si="2"/>
        <v>4.11</v>
      </c>
      <c r="H2767" s="16">
        <v>1.0</v>
      </c>
      <c r="I2767" s="15">
        <f t="shared" si="3"/>
        <v>3.57</v>
      </c>
      <c r="J2767" s="15">
        <v>22.14</v>
      </c>
      <c r="K2767" s="16">
        <f>IF(COUNTIFS(Release_Calendar!$A$2:$A$755,"US_CPI",Release_Calendar!$B$2:$B$755,$A2767)&gt;0,1,0)</f>
        <v>0</v>
      </c>
      <c r="L2767" s="16">
        <f>IF(COUNTIFS(Release_Calendar!$A$2:$A$755,"US_NFP",Release_Calendar!$B$2:$B$755,$A2767)&gt;0,1,0)</f>
        <v>0</v>
      </c>
      <c r="M2767" s="16" t="str">
        <f>IF($A2767&lt;Notes!$B$5,"",IF(COUNTIFS(Release_Calendar!$A$2:$A$755,"NZ_CPI",Release_Calendar!$B$2:$B$755,$A2767)&gt;0,1,0))</f>
        <v/>
      </c>
      <c r="N2767" s="16" t="str">
        <f>IF($A2767&lt;Notes!$B$5,"",IF(COUNTIFS(Release_Calendar!$A$2:$A$755,"NZ_GDP",Release_Calendar!$B$2:$B$755,$A2767)&gt;0,1,0))</f>
        <v/>
      </c>
      <c r="O2767" s="16" t="str">
        <f>IF($A2767&lt;Notes!$B$5,"",IF(COUNTIFS(Release_Calendar!$A$2:$A$755,"NZ_LABOUR",Release_Calendar!$B$2:$B$755,$A2767)&gt;0,1,0))</f>
        <v/>
      </c>
      <c r="P2767" s="16">
        <f t="shared" si="4"/>
        <v>0</v>
      </c>
    </row>
    <row r="2768" ht="15.75" customHeight="1">
      <c r="A2768" s="14">
        <v>40400.0</v>
      </c>
      <c r="B2768" s="15">
        <v>0.52</v>
      </c>
      <c r="C2768" s="15"/>
      <c r="D2768" s="15">
        <v>4.12</v>
      </c>
      <c r="E2768" s="15">
        <v>4.16</v>
      </c>
      <c r="F2768" s="15" t="str">
        <f t="shared" si="1"/>
        <v/>
      </c>
      <c r="G2768" s="15">
        <f t="shared" si="2"/>
        <v>4.12</v>
      </c>
      <c r="H2768" s="16">
        <v>1.0</v>
      </c>
      <c r="I2768" s="15">
        <f t="shared" si="3"/>
        <v>3.6</v>
      </c>
      <c r="J2768" s="15">
        <v>22.37</v>
      </c>
      <c r="K2768" s="16">
        <f>IF(COUNTIFS(Release_Calendar!$A$2:$A$755,"US_CPI",Release_Calendar!$B$2:$B$755,$A2768)&gt;0,1,0)</f>
        <v>0</v>
      </c>
      <c r="L2768" s="16">
        <f>IF(COUNTIFS(Release_Calendar!$A$2:$A$755,"US_NFP",Release_Calendar!$B$2:$B$755,$A2768)&gt;0,1,0)</f>
        <v>0</v>
      </c>
      <c r="M2768" s="16" t="str">
        <f>IF($A2768&lt;Notes!$B$5,"",IF(COUNTIFS(Release_Calendar!$A$2:$A$755,"NZ_CPI",Release_Calendar!$B$2:$B$755,$A2768)&gt;0,1,0))</f>
        <v/>
      </c>
      <c r="N2768" s="16" t="str">
        <f>IF($A2768&lt;Notes!$B$5,"",IF(COUNTIFS(Release_Calendar!$A$2:$A$755,"NZ_GDP",Release_Calendar!$B$2:$B$755,$A2768)&gt;0,1,0))</f>
        <v/>
      </c>
      <c r="O2768" s="16" t="str">
        <f>IF($A2768&lt;Notes!$B$5,"",IF(COUNTIFS(Release_Calendar!$A$2:$A$755,"NZ_LABOUR",Release_Calendar!$B$2:$B$755,$A2768)&gt;0,1,0))</f>
        <v/>
      </c>
      <c r="P2768" s="16">
        <f t="shared" si="4"/>
        <v>0</v>
      </c>
    </row>
    <row r="2769" ht="15.75" customHeight="1">
      <c r="A2769" s="14">
        <v>40401.0</v>
      </c>
      <c r="B2769" s="15">
        <v>0.54</v>
      </c>
      <c r="C2769" s="15"/>
      <c r="D2769" s="15">
        <v>4.15</v>
      </c>
      <c r="E2769" s="15">
        <v>4.13</v>
      </c>
      <c r="F2769" s="15" t="str">
        <f t="shared" si="1"/>
        <v/>
      </c>
      <c r="G2769" s="15">
        <f t="shared" si="2"/>
        <v>4.15</v>
      </c>
      <c r="H2769" s="16">
        <v>1.0</v>
      </c>
      <c r="I2769" s="15">
        <f t="shared" si="3"/>
        <v>3.61</v>
      </c>
      <c r="J2769" s="15">
        <v>25.39</v>
      </c>
      <c r="K2769" s="16">
        <f>IF(COUNTIFS(Release_Calendar!$A$2:$A$755,"US_CPI",Release_Calendar!$B$2:$B$755,$A2769)&gt;0,1,0)</f>
        <v>0</v>
      </c>
      <c r="L2769" s="16">
        <f>IF(COUNTIFS(Release_Calendar!$A$2:$A$755,"US_NFP",Release_Calendar!$B$2:$B$755,$A2769)&gt;0,1,0)</f>
        <v>0</v>
      </c>
      <c r="M2769" s="16" t="str">
        <f>IF($A2769&lt;Notes!$B$5,"",IF(COUNTIFS(Release_Calendar!$A$2:$A$755,"NZ_CPI",Release_Calendar!$B$2:$B$755,$A2769)&gt;0,1,0))</f>
        <v/>
      </c>
      <c r="N2769" s="16" t="str">
        <f>IF($A2769&lt;Notes!$B$5,"",IF(COUNTIFS(Release_Calendar!$A$2:$A$755,"NZ_GDP",Release_Calendar!$B$2:$B$755,$A2769)&gt;0,1,0))</f>
        <v/>
      </c>
      <c r="O2769" s="16" t="str">
        <f>IF($A2769&lt;Notes!$B$5,"",IF(COUNTIFS(Release_Calendar!$A$2:$A$755,"NZ_LABOUR",Release_Calendar!$B$2:$B$755,$A2769)&gt;0,1,0))</f>
        <v/>
      </c>
      <c r="P2769" s="16">
        <f t="shared" si="4"/>
        <v>0</v>
      </c>
    </row>
    <row r="2770" ht="15.75" customHeight="1">
      <c r="A2770" s="14">
        <v>40402.0</v>
      </c>
      <c r="B2770" s="15">
        <v>0.55</v>
      </c>
      <c r="C2770" s="15"/>
      <c r="D2770" s="15">
        <v>4.06</v>
      </c>
      <c r="E2770" s="15">
        <v>4.05</v>
      </c>
      <c r="F2770" s="15" t="str">
        <f t="shared" si="1"/>
        <v/>
      </c>
      <c r="G2770" s="15">
        <f t="shared" si="2"/>
        <v>4.06</v>
      </c>
      <c r="H2770" s="16">
        <v>1.0</v>
      </c>
      <c r="I2770" s="15">
        <f t="shared" si="3"/>
        <v>3.51</v>
      </c>
      <c r="J2770" s="15">
        <v>25.73</v>
      </c>
      <c r="K2770" s="16">
        <f>IF(COUNTIFS(Release_Calendar!$A$2:$A$755,"US_CPI",Release_Calendar!$B$2:$B$755,$A2770)&gt;0,1,0)</f>
        <v>0</v>
      </c>
      <c r="L2770" s="16">
        <f>IF(COUNTIFS(Release_Calendar!$A$2:$A$755,"US_NFP",Release_Calendar!$B$2:$B$755,$A2770)&gt;0,1,0)</f>
        <v>0</v>
      </c>
      <c r="M2770" s="16" t="str">
        <f>IF($A2770&lt;Notes!$B$5,"",IF(COUNTIFS(Release_Calendar!$A$2:$A$755,"NZ_CPI",Release_Calendar!$B$2:$B$755,$A2770)&gt;0,1,0))</f>
        <v/>
      </c>
      <c r="N2770" s="16" t="str">
        <f>IF($A2770&lt;Notes!$B$5,"",IF(COUNTIFS(Release_Calendar!$A$2:$A$755,"NZ_GDP",Release_Calendar!$B$2:$B$755,$A2770)&gt;0,1,0))</f>
        <v/>
      </c>
      <c r="O2770" s="16" t="str">
        <f>IF($A2770&lt;Notes!$B$5,"",IF(COUNTIFS(Release_Calendar!$A$2:$A$755,"NZ_LABOUR",Release_Calendar!$B$2:$B$755,$A2770)&gt;0,1,0))</f>
        <v/>
      </c>
      <c r="P2770" s="16">
        <f t="shared" si="4"/>
        <v>0</v>
      </c>
    </row>
    <row r="2771" ht="15.75" customHeight="1">
      <c r="A2771" s="14">
        <v>40403.0</v>
      </c>
      <c r="B2771" s="15">
        <v>0.54</v>
      </c>
      <c r="C2771" s="15"/>
      <c r="D2771" s="15">
        <v>4.06</v>
      </c>
      <c r="E2771" s="15">
        <v>3.99</v>
      </c>
      <c r="F2771" s="15" t="str">
        <f t="shared" si="1"/>
        <v/>
      </c>
      <c r="G2771" s="15">
        <f t="shared" si="2"/>
        <v>4.06</v>
      </c>
      <c r="H2771" s="16">
        <v>1.0</v>
      </c>
      <c r="I2771" s="15">
        <f t="shared" si="3"/>
        <v>3.52</v>
      </c>
      <c r="J2771" s="15">
        <v>26.24</v>
      </c>
      <c r="K2771" s="16">
        <f>IF(COUNTIFS(Release_Calendar!$A$2:$A$755,"US_CPI",Release_Calendar!$B$2:$B$755,$A2771)&gt;0,1,0)</f>
        <v>1</v>
      </c>
      <c r="L2771" s="16">
        <f>IF(COUNTIFS(Release_Calendar!$A$2:$A$755,"US_NFP",Release_Calendar!$B$2:$B$755,$A2771)&gt;0,1,0)</f>
        <v>0</v>
      </c>
      <c r="M2771" s="16" t="str">
        <f>IF($A2771&lt;Notes!$B$5,"",IF(COUNTIFS(Release_Calendar!$A$2:$A$755,"NZ_CPI",Release_Calendar!$B$2:$B$755,$A2771)&gt;0,1,0))</f>
        <v/>
      </c>
      <c r="N2771" s="16" t="str">
        <f>IF($A2771&lt;Notes!$B$5,"",IF(COUNTIFS(Release_Calendar!$A$2:$A$755,"NZ_GDP",Release_Calendar!$B$2:$B$755,$A2771)&gt;0,1,0))</f>
        <v/>
      </c>
      <c r="O2771" s="16" t="str">
        <f>IF($A2771&lt;Notes!$B$5,"",IF(COUNTIFS(Release_Calendar!$A$2:$A$755,"NZ_LABOUR",Release_Calendar!$B$2:$B$755,$A2771)&gt;0,1,0))</f>
        <v/>
      </c>
      <c r="P2771" s="16">
        <f t="shared" si="4"/>
        <v>1</v>
      </c>
    </row>
    <row r="2772" ht="15.75" customHeight="1">
      <c r="A2772" s="14">
        <v>40406.0</v>
      </c>
      <c r="B2772" s="15">
        <v>0.51</v>
      </c>
      <c r="C2772" s="15"/>
      <c r="D2772" s="15">
        <v>3.96</v>
      </c>
      <c r="E2772" s="15">
        <v>3.94</v>
      </c>
      <c r="F2772" s="15" t="str">
        <f t="shared" si="1"/>
        <v/>
      </c>
      <c r="G2772" s="15">
        <f t="shared" si="2"/>
        <v>3.96</v>
      </c>
      <c r="H2772" s="16">
        <v>1.0</v>
      </c>
      <c r="I2772" s="15">
        <f t="shared" si="3"/>
        <v>3.45</v>
      </c>
      <c r="J2772" s="15">
        <v>26.1</v>
      </c>
      <c r="K2772" s="16">
        <f>IF(COUNTIFS(Release_Calendar!$A$2:$A$755,"US_CPI",Release_Calendar!$B$2:$B$755,$A2772)&gt;0,1,0)</f>
        <v>0</v>
      </c>
      <c r="L2772" s="16">
        <f>IF(COUNTIFS(Release_Calendar!$A$2:$A$755,"US_NFP",Release_Calendar!$B$2:$B$755,$A2772)&gt;0,1,0)</f>
        <v>0</v>
      </c>
      <c r="M2772" s="16" t="str">
        <f>IF($A2772&lt;Notes!$B$5,"",IF(COUNTIFS(Release_Calendar!$A$2:$A$755,"NZ_CPI",Release_Calendar!$B$2:$B$755,$A2772)&gt;0,1,0))</f>
        <v/>
      </c>
      <c r="N2772" s="16" t="str">
        <f>IF($A2772&lt;Notes!$B$5,"",IF(COUNTIFS(Release_Calendar!$A$2:$A$755,"NZ_GDP",Release_Calendar!$B$2:$B$755,$A2772)&gt;0,1,0))</f>
        <v/>
      </c>
      <c r="O2772" s="16" t="str">
        <f>IF($A2772&lt;Notes!$B$5,"",IF(COUNTIFS(Release_Calendar!$A$2:$A$755,"NZ_LABOUR",Release_Calendar!$B$2:$B$755,$A2772)&gt;0,1,0))</f>
        <v/>
      </c>
      <c r="P2772" s="16">
        <f t="shared" si="4"/>
        <v>0</v>
      </c>
    </row>
    <row r="2773" ht="15.75" customHeight="1">
      <c r="A2773" s="14">
        <v>40407.0</v>
      </c>
      <c r="B2773" s="15">
        <v>0.52</v>
      </c>
      <c r="C2773" s="15"/>
      <c r="D2773" s="15">
        <v>3.92</v>
      </c>
      <c r="E2773" s="15">
        <v>3.95</v>
      </c>
      <c r="F2773" s="15" t="str">
        <f t="shared" si="1"/>
        <v/>
      </c>
      <c r="G2773" s="15">
        <f t="shared" si="2"/>
        <v>3.92</v>
      </c>
      <c r="H2773" s="16">
        <v>1.0</v>
      </c>
      <c r="I2773" s="15">
        <f t="shared" si="3"/>
        <v>3.4</v>
      </c>
      <c r="J2773" s="15">
        <v>24.33</v>
      </c>
      <c r="K2773" s="16">
        <f>IF(COUNTIFS(Release_Calendar!$A$2:$A$755,"US_CPI",Release_Calendar!$B$2:$B$755,$A2773)&gt;0,1,0)</f>
        <v>0</v>
      </c>
      <c r="L2773" s="16">
        <f>IF(COUNTIFS(Release_Calendar!$A$2:$A$755,"US_NFP",Release_Calendar!$B$2:$B$755,$A2773)&gt;0,1,0)</f>
        <v>0</v>
      </c>
      <c r="M2773" s="16" t="str">
        <f>IF($A2773&lt;Notes!$B$5,"",IF(COUNTIFS(Release_Calendar!$A$2:$A$755,"NZ_CPI",Release_Calendar!$B$2:$B$755,$A2773)&gt;0,1,0))</f>
        <v/>
      </c>
      <c r="N2773" s="16" t="str">
        <f>IF($A2773&lt;Notes!$B$5,"",IF(COUNTIFS(Release_Calendar!$A$2:$A$755,"NZ_GDP",Release_Calendar!$B$2:$B$755,$A2773)&gt;0,1,0))</f>
        <v/>
      </c>
      <c r="O2773" s="16" t="str">
        <f>IF($A2773&lt;Notes!$B$5,"",IF(COUNTIFS(Release_Calendar!$A$2:$A$755,"NZ_LABOUR",Release_Calendar!$B$2:$B$755,$A2773)&gt;0,1,0))</f>
        <v/>
      </c>
      <c r="P2773" s="16">
        <f t="shared" si="4"/>
        <v>0</v>
      </c>
    </row>
    <row r="2774" ht="15.75" customHeight="1">
      <c r="A2774" s="14">
        <v>40408.0</v>
      </c>
      <c r="B2774" s="15">
        <v>0.51</v>
      </c>
      <c r="C2774" s="15"/>
      <c r="D2774" s="15">
        <v>4.01</v>
      </c>
      <c r="E2774" s="15">
        <v>4.03</v>
      </c>
      <c r="F2774" s="15" t="str">
        <f t="shared" si="1"/>
        <v/>
      </c>
      <c r="G2774" s="15">
        <f t="shared" si="2"/>
        <v>4.01</v>
      </c>
      <c r="H2774" s="16">
        <v>1.0</v>
      </c>
      <c r="I2774" s="15">
        <f t="shared" si="3"/>
        <v>3.5</v>
      </c>
      <c r="J2774" s="15">
        <v>24.59</v>
      </c>
      <c r="K2774" s="16">
        <f>IF(COUNTIFS(Release_Calendar!$A$2:$A$755,"US_CPI",Release_Calendar!$B$2:$B$755,$A2774)&gt;0,1,0)</f>
        <v>0</v>
      </c>
      <c r="L2774" s="16">
        <f>IF(COUNTIFS(Release_Calendar!$A$2:$A$755,"US_NFP",Release_Calendar!$B$2:$B$755,$A2774)&gt;0,1,0)</f>
        <v>0</v>
      </c>
      <c r="M2774" s="16" t="str">
        <f>IF($A2774&lt;Notes!$B$5,"",IF(COUNTIFS(Release_Calendar!$A$2:$A$755,"NZ_CPI",Release_Calendar!$B$2:$B$755,$A2774)&gt;0,1,0))</f>
        <v/>
      </c>
      <c r="N2774" s="16" t="str">
        <f>IF($A2774&lt;Notes!$B$5,"",IF(COUNTIFS(Release_Calendar!$A$2:$A$755,"NZ_GDP",Release_Calendar!$B$2:$B$755,$A2774)&gt;0,1,0))</f>
        <v/>
      </c>
      <c r="O2774" s="16" t="str">
        <f>IF($A2774&lt;Notes!$B$5,"",IF(COUNTIFS(Release_Calendar!$A$2:$A$755,"NZ_LABOUR",Release_Calendar!$B$2:$B$755,$A2774)&gt;0,1,0))</f>
        <v/>
      </c>
      <c r="P2774" s="16">
        <f t="shared" si="4"/>
        <v>0</v>
      </c>
    </row>
    <row r="2775" ht="15.75" customHeight="1">
      <c r="A2775" s="14">
        <v>40409.0</v>
      </c>
      <c r="B2775" s="15">
        <v>0.49</v>
      </c>
      <c r="C2775" s="15"/>
      <c r="D2775" s="15">
        <v>4.01</v>
      </c>
      <c r="E2775" s="15">
        <v>4.0</v>
      </c>
      <c r="F2775" s="15" t="str">
        <f t="shared" si="1"/>
        <v/>
      </c>
      <c r="G2775" s="15">
        <f t="shared" si="2"/>
        <v>4.01</v>
      </c>
      <c r="H2775" s="16">
        <v>1.0</v>
      </c>
      <c r="I2775" s="15">
        <f t="shared" si="3"/>
        <v>3.52</v>
      </c>
      <c r="J2775" s="15">
        <v>26.44</v>
      </c>
      <c r="K2775" s="16">
        <f>IF(COUNTIFS(Release_Calendar!$A$2:$A$755,"US_CPI",Release_Calendar!$B$2:$B$755,$A2775)&gt;0,1,0)</f>
        <v>0</v>
      </c>
      <c r="L2775" s="16">
        <f>IF(COUNTIFS(Release_Calendar!$A$2:$A$755,"US_NFP",Release_Calendar!$B$2:$B$755,$A2775)&gt;0,1,0)</f>
        <v>0</v>
      </c>
      <c r="M2775" s="16" t="str">
        <f>IF($A2775&lt;Notes!$B$5,"",IF(COUNTIFS(Release_Calendar!$A$2:$A$755,"NZ_CPI",Release_Calendar!$B$2:$B$755,$A2775)&gt;0,1,0))</f>
        <v/>
      </c>
      <c r="N2775" s="16" t="str">
        <f>IF($A2775&lt;Notes!$B$5,"",IF(COUNTIFS(Release_Calendar!$A$2:$A$755,"NZ_GDP",Release_Calendar!$B$2:$B$755,$A2775)&gt;0,1,0))</f>
        <v/>
      </c>
      <c r="O2775" s="16" t="str">
        <f>IF($A2775&lt;Notes!$B$5,"",IF(COUNTIFS(Release_Calendar!$A$2:$A$755,"NZ_LABOUR",Release_Calendar!$B$2:$B$755,$A2775)&gt;0,1,0))</f>
        <v/>
      </c>
      <c r="P2775" s="16">
        <f t="shared" si="4"/>
        <v>0</v>
      </c>
    </row>
    <row r="2776" ht="15.75" customHeight="1">
      <c r="A2776" s="14">
        <v>40410.0</v>
      </c>
      <c r="B2776" s="15">
        <v>0.49</v>
      </c>
      <c r="C2776" s="15"/>
      <c r="D2776" s="15">
        <v>3.98</v>
      </c>
      <c r="E2776" s="15">
        <v>3.95</v>
      </c>
      <c r="F2776" s="15" t="str">
        <f t="shared" si="1"/>
        <v/>
      </c>
      <c r="G2776" s="15">
        <f t="shared" si="2"/>
        <v>3.98</v>
      </c>
      <c r="H2776" s="16">
        <v>1.0</v>
      </c>
      <c r="I2776" s="15">
        <f t="shared" si="3"/>
        <v>3.49</v>
      </c>
      <c r="J2776" s="15">
        <v>25.49</v>
      </c>
      <c r="K2776" s="16">
        <f>IF(COUNTIFS(Release_Calendar!$A$2:$A$755,"US_CPI",Release_Calendar!$B$2:$B$755,$A2776)&gt;0,1,0)</f>
        <v>0</v>
      </c>
      <c r="L2776" s="16">
        <f>IF(COUNTIFS(Release_Calendar!$A$2:$A$755,"US_NFP",Release_Calendar!$B$2:$B$755,$A2776)&gt;0,1,0)</f>
        <v>0</v>
      </c>
      <c r="M2776" s="16" t="str">
        <f>IF($A2776&lt;Notes!$B$5,"",IF(COUNTIFS(Release_Calendar!$A$2:$A$755,"NZ_CPI",Release_Calendar!$B$2:$B$755,$A2776)&gt;0,1,0))</f>
        <v/>
      </c>
      <c r="N2776" s="16" t="str">
        <f>IF($A2776&lt;Notes!$B$5,"",IF(COUNTIFS(Release_Calendar!$A$2:$A$755,"NZ_GDP",Release_Calendar!$B$2:$B$755,$A2776)&gt;0,1,0))</f>
        <v/>
      </c>
      <c r="O2776" s="16" t="str">
        <f>IF($A2776&lt;Notes!$B$5,"",IF(COUNTIFS(Release_Calendar!$A$2:$A$755,"NZ_LABOUR",Release_Calendar!$B$2:$B$755,$A2776)&gt;0,1,0))</f>
        <v/>
      </c>
      <c r="P2776" s="16">
        <f t="shared" si="4"/>
        <v>0</v>
      </c>
    </row>
    <row r="2777" ht="15.75" customHeight="1">
      <c r="A2777" s="14">
        <v>40413.0</v>
      </c>
      <c r="B2777" s="15">
        <v>0.49</v>
      </c>
      <c r="C2777" s="15"/>
      <c r="D2777" s="15">
        <v>3.99</v>
      </c>
      <c r="E2777" s="15">
        <v>3.98</v>
      </c>
      <c r="F2777" s="15" t="str">
        <f t="shared" si="1"/>
        <v/>
      </c>
      <c r="G2777" s="15">
        <f t="shared" si="2"/>
        <v>3.99</v>
      </c>
      <c r="H2777" s="16">
        <v>1.0</v>
      </c>
      <c r="I2777" s="15">
        <f t="shared" si="3"/>
        <v>3.5</v>
      </c>
      <c r="J2777" s="15">
        <v>25.66</v>
      </c>
      <c r="K2777" s="16">
        <f>IF(COUNTIFS(Release_Calendar!$A$2:$A$755,"US_CPI",Release_Calendar!$B$2:$B$755,$A2777)&gt;0,1,0)</f>
        <v>0</v>
      </c>
      <c r="L2777" s="16">
        <f>IF(COUNTIFS(Release_Calendar!$A$2:$A$755,"US_NFP",Release_Calendar!$B$2:$B$755,$A2777)&gt;0,1,0)</f>
        <v>0</v>
      </c>
      <c r="M2777" s="16" t="str">
        <f>IF($A2777&lt;Notes!$B$5,"",IF(COUNTIFS(Release_Calendar!$A$2:$A$755,"NZ_CPI",Release_Calendar!$B$2:$B$755,$A2777)&gt;0,1,0))</f>
        <v/>
      </c>
      <c r="N2777" s="16" t="str">
        <f>IF($A2777&lt;Notes!$B$5,"",IF(COUNTIFS(Release_Calendar!$A$2:$A$755,"NZ_GDP",Release_Calendar!$B$2:$B$755,$A2777)&gt;0,1,0))</f>
        <v/>
      </c>
      <c r="O2777" s="16" t="str">
        <f>IF($A2777&lt;Notes!$B$5,"",IF(COUNTIFS(Release_Calendar!$A$2:$A$755,"NZ_LABOUR",Release_Calendar!$B$2:$B$755,$A2777)&gt;0,1,0))</f>
        <v/>
      </c>
      <c r="P2777" s="16">
        <f t="shared" si="4"/>
        <v>0</v>
      </c>
    </row>
    <row r="2778" ht="15.75" customHeight="1">
      <c r="A2778" s="14">
        <v>40414.0</v>
      </c>
      <c r="B2778" s="15">
        <v>0.5</v>
      </c>
      <c r="C2778" s="15"/>
      <c r="D2778" s="15">
        <v>3.99</v>
      </c>
      <c r="E2778" s="15">
        <v>3.99</v>
      </c>
      <c r="F2778" s="15" t="str">
        <f t="shared" si="1"/>
        <v/>
      </c>
      <c r="G2778" s="15">
        <f t="shared" si="2"/>
        <v>3.99</v>
      </c>
      <c r="H2778" s="16">
        <v>1.0</v>
      </c>
      <c r="I2778" s="15">
        <f t="shared" si="3"/>
        <v>3.49</v>
      </c>
      <c r="J2778" s="15">
        <v>27.46</v>
      </c>
      <c r="K2778" s="16">
        <f>IF(COUNTIFS(Release_Calendar!$A$2:$A$755,"US_CPI",Release_Calendar!$B$2:$B$755,$A2778)&gt;0,1,0)</f>
        <v>0</v>
      </c>
      <c r="L2778" s="16">
        <f>IF(COUNTIFS(Release_Calendar!$A$2:$A$755,"US_NFP",Release_Calendar!$B$2:$B$755,$A2778)&gt;0,1,0)</f>
        <v>0</v>
      </c>
      <c r="M2778" s="16" t="str">
        <f>IF($A2778&lt;Notes!$B$5,"",IF(COUNTIFS(Release_Calendar!$A$2:$A$755,"NZ_CPI",Release_Calendar!$B$2:$B$755,$A2778)&gt;0,1,0))</f>
        <v/>
      </c>
      <c r="N2778" s="16" t="str">
        <f>IF($A2778&lt;Notes!$B$5,"",IF(COUNTIFS(Release_Calendar!$A$2:$A$755,"NZ_GDP",Release_Calendar!$B$2:$B$755,$A2778)&gt;0,1,0))</f>
        <v/>
      </c>
      <c r="O2778" s="16" t="str">
        <f>IF($A2778&lt;Notes!$B$5,"",IF(COUNTIFS(Release_Calendar!$A$2:$A$755,"NZ_LABOUR",Release_Calendar!$B$2:$B$755,$A2778)&gt;0,1,0))</f>
        <v/>
      </c>
      <c r="P2778" s="16">
        <f t="shared" si="4"/>
        <v>0</v>
      </c>
    </row>
    <row r="2779" ht="15.75" customHeight="1">
      <c r="A2779" s="14">
        <v>40415.0</v>
      </c>
      <c r="B2779" s="15">
        <v>0.53</v>
      </c>
      <c r="C2779" s="15"/>
      <c r="D2779" s="15">
        <v>3.96</v>
      </c>
      <c r="E2779" s="15">
        <v>3.98</v>
      </c>
      <c r="F2779" s="15" t="str">
        <f t="shared" si="1"/>
        <v/>
      </c>
      <c r="G2779" s="15">
        <f t="shared" si="2"/>
        <v>3.96</v>
      </c>
      <c r="H2779" s="16">
        <v>1.0</v>
      </c>
      <c r="I2779" s="15">
        <f t="shared" si="3"/>
        <v>3.43</v>
      </c>
      <c r="J2779" s="15">
        <v>26.7</v>
      </c>
      <c r="K2779" s="16">
        <f>IF(COUNTIFS(Release_Calendar!$A$2:$A$755,"US_CPI",Release_Calendar!$B$2:$B$755,$A2779)&gt;0,1,0)</f>
        <v>0</v>
      </c>
      <c r="L2779" s="16">
        <f>IF(COUNTIFS(Release_Calendar!$A$2:$A$755,"US_NFP",Release_Calendar!$B$2:$B$755,$A2779)&gt;0,1,0)</f>
        <v>0</v>
      </c>
      <c r="M2779" s="16" t="str">
        <f>IF($A2779&lt;Notes!$B$5,"",IF(COUNTIFS(Release_Calendar!$A$2:$A$755,"NZ_CPI",Release_Calendar!$B$2:$B$755,$A2779)&gt;0,1,0))</f>
        <v/>
      </c>
      <c r="N2779" s="16" t="str">
        <f>IF($A2779&lt;Notes!$B$5,"",IF(COUNTIFS(Release_Calendar!$A$2:$A$755,"NZ_GDP",Release_Calendar!$B$2:$B$755,$A2779)&gt;0,1,0))</f>
        <v/>
      </c>
      <c r="O2779" s="16" t="str">
        <f>IF($A2779&lt;Notes!$B$5,"",IF(COUNTIFS(Release_Calendar!$A$2:$A$755,"NZ_LABOUR",Release_Calendar!$B$2:$B$755,$A2779)&gt;0,1,0))</f>
        <v/>
      </c>
      <c r="P2779" s="16">
        <f t="shared" si="4"/>
        <v>0</v>
      </c>
    </row>
    <row r="2780" ht="15.75" customHeight="1">
      <c r="A2780" s="14">
        <v>40416.0</v>
      </c>
      <c r="B2780" s="15">
        <v>0.51</v>
      </c>
      <c r="C2780" s="15"/>
      <c r="D2780" s="15">
        <v>4.0</v>
      </c>
      <c r="E2780" s="15">
        <v>3.98</v>
      </c>
      <c r="F2780" s="15" t="str">
        <f t="shared" si="1"/>
        <v/>
      </c>
      <c r="G2780" s="15">
        <f t="shared" si="2"/>
        <v>4</v>
      </c>
      <c r="H2780" s="16">
        <v>1.0</v>
      </c>
      <c r="I2780" s="15">
        <f t="shared" si="3"/>
        <v>3.49</v>
      </c>
      <c r="J2780" s="15">
        <v>27.37</v>
      </c>
      <c r="K2780" s="16">
        <f>IF(COUNTIFS(Release_Calendar!$A$2:$A$755,"US_CPI",Release_Calendar!$B$2:$B$755,$A2780)&gt;0,1,0)</f>
        <v>0</v>
      </c>
      <c r="L2780" s="16">
        <f>IF(COUNTIFS(Release_Calendar!$A$2:$A$755,"US_NFP",Release_Calendar!$B$2:$B$755,$A2780)&gt;0,1,0)</f>
        <v>0</v>
      </c>
      <c r="M2780" s="16" t="str">
        <f>IF($A2780&lt;Notes!$B$5,"",IF(COUNTIFS(Release_Calendar!$A$2:$A$755,"NZ_CPI",Release_Calendar!$B$2:$B$755,$A2780)&gt;0,1,0))</f>
        <v/>
      </c>
      <c r="N2780" s="16" t="str">
        <f>IF($A2780&lt;Notes!$B$5,"",IF(COUNTIFS(Release_Calendar!$A$2:$A$755,"NZ_GDP",Release_Calendar!$B$2:$B$755,$A2780)&gt;0,1,0))</f>
        <v/>
      </c>
      <c r="O2780" s="16" t="str">
        <f>IF($A2780&lt;Notes!$B$5,"",IF(COUNTIFS(Release_Calendar!$A$2:$A$755,"NZ_LABOUR",Release_Calendar!$B$2:$B$755,$A2780)&gt;0,1,0))</f>
        <v/>
      </c>
      <c r="P2780" s="16">
        <f t="shared" si="4"/>
        <v>0</v>
      </c>
    </row>
    <row r="2781" ht="15.75" customHeight="1">
      <c r="A2781" s="14">
        <v>40417.0</v>
      </c>
      <c r="B2781" s="15">
        <v>0.56</v>
      </c>
      <c r="C2781" s="15"/>
      <c r="D2781" s="15">
        <v>3.99</v>
      </c>
      <c r="E2781" s="15">
        <v>3.96</v>
      </c>
      <c r="F2781" s="15" t="str">
        <f t="shared" si="1"/>
        <v/>
      </c>
      <c r="G2781" s="15">
        <f t="shared" si="2"/>
        <v>3.99</v>
      </c>
      <c r="H2781" s="16">
        <v>1.0</v>
      </c>
      <c r="I2781" s="15">
        <f t="shared" si="3"/>
        <v>3.43</v>
      </c>
      <c r="J2781" s="15">
        <v>24.45</v>
      </c>
      <c r="K2781" s="16">
        <f>IF(COUNTIFS(Release_Calendar!$A$2:$A$755,"US_CPI",Release_Calendar!$B$2:$B$755,$A2781)&gt;0,1,0)</f>
        <v>0</v>
      </c>
      <c r="L2781" s="16">
        <f>IF(COUNTIFS(Release_Calendar!$A$2:$A$755,"US_NFP",Release_Calendar!$B$2:$B$755,$A2781)&gt;0,1,0)</f>
        <v>0</v>
      </c>
      <c r="M2781" s="16" t="str">
        <f>IF($A2781&lt;Notes!$B$5,"",IF(COUNTIFS(Release_Calendar!$A$2:$A$755,"NZ_CPI",Release_Calendar!$B$2:$B$755,$A2781)&gt;0,1,0))</f>
        <v/>
      </c>
      <c r="N2781" s="16" t="str">
        <f>IF($A2781&lt;Notes!$B$5,"",IF(COUNTIFS(Release_Calendar!$A$2:$A$755,"NZ_GDP",Release_Calendar!$B$2:$B$755,$A2781)&gt;0,1,0))</f>
        <v/>
      </c>
      <c r="O2781" s="16" t="str">
        <f>IF($A2781&lt;Notes!$B$5,"",IF(COUNTIFS(Release_Calendar!$A$2:$A$755,"NZ_LABOUR",Release_Calendar!$B$2:$B$755,$A2781)&gt;0,1,0))</f>
        <v/>
      </c>
      <c r="P2781" s="16">
        <f t="shared" si="4"/>
        <v>0</v>
      </c>
    </row>
    <row r="2782" ht="15.75" customHeight="1">
      <c r="A2782" s="14">
        <v>40420.0</v>
      </c>
      <c r="B2782" s="15">
        <v>0.5</v>
      </c>
      <c r="C2782" s="15"/>
      <c r="D2782" s="15">
        <v>3.98</v>
      </c>
      <c r="E2782" s="15">
        <v>3.99</v>
      </c>
      <c r="F2782" s="15" t="str">
        <f t="shared" si="1"/>
        <v/>
      </c>
      <c r="G2782" s="15">
        <f t="shared" si="2"/>
        <v>3.98</v>
      </c>
      <c r="H2782" s="16">
        <v>1.0</v>
      </c>
      <c r="I2782" s="15">
        <f t="shared" si="3"/>
        <v>3.48</v>
      </c>
      <c r="J2782" s="15">
        <v>27.21</v>
      </c>
      <c r="K2782" s="16">
        <f>IF(COUNTIFS(Release_Calendar!$A$2:$A$755,"US_CPI",Release_Calendar!$B$2:$B$755,$A2782)&gt;0,1,0)</f>
        <v>0</v>
      </c>
      <c r="L2782" s="16">
        <f>IF(COUNTIFS(Release_Calendar!$A$2:$A$755,"US_NFP",Release_Calendar!$B$2:$B$755,$A2782)&gt;0,1,0)</f>
        <v>0</v>
      </c>
      <c r="M2782" s="16" t="str">
        <f>IF($A2782&lt;Notes!$B$5,"",IF(COUNTIFS(Release_Calendar!$A$2:$A$755,"NZ_CPI",Release_Calendar!$B$2:$B$755,$A2782)&gt;0,1,0))</f>
        <v/>
      </c>
      <c r="N2782" s="16" t="str">
        <f>IF($A2782&lt;Notes!$B$5,"",IF(COUNTIFS(Release_Calendar!$A$2:$A$755,"NZ_GDP",Release_Calendar!$B$2:$B$755,$A2782)&gt;0,1,0))</f>
        <v/>
      </c>
      <c r="O2782" s="16" t="str">
        <f>IF($A2782&lt;Notes!$B$5,"",IF(COUNTIFS(Release_Calendar!$A$2:$A$755,"NZ_LABOUR",Release_Calendar!$B$2:$B$755,$A2782)&gt;0,1,0))</f>
        <v/>
      </c>
      <c r="P2782" s="16">
        <f t="shared" si="4"/>
        <v>0</v>
      </c>
    </row>
    <row r="2783" ht="15.75" customHeight="1">
      <c r="A2783" s="14">
        <v>40421.0</v>
      </c>
      <c r="B2783" s="15">
        <v>0.47</v>
      </c>
      <c r="C2783" s="15"/>
      <c r="D2783" s="15">
        <v>3.94</v>
      </c>
      <c r="E2783" s="15">
        <v>3.96</v>
      </c>
      <c r="F2783" s="15" t="str">
        <f t="shared" si="1"/>
        <v/>
      </c>
      <c r="G2783" s="15">
        <f t="shared" si="2"/>
        <v>3.94</v>
      </c>
      <c r="H2783" s="16">
        <v>1.0</v>
      </c>
      <c r="I2783" s="15">
        <f t="shared" si="3"/>
        <v>3.47</v>
      </c>
      <c r="J2783" s="15">
        <v>26.05</v>
      </c>
      <c r="K2783" s="16">
        <f>IF(COUNTIFS(Release_Calendar!$A$2:$A$755,"US_CPI",Release_Calendar!$B$2:$B$755,$A2783)&gt;0,1,0)</f>
        <v>0</v>
      </c>
      <c r="L2783" s="16">
        <f>IF(COUNTIFS(Release_Calendar!$A$2:$A$755,"US_NFP",Release_Calendar!$B$2:$B$755,$A2783)&gt;0,1,0)</f>
        <v>0</v>
      </c>
      <c r="M2783" s="16" t="str">
        <f>IF($A2783&lt;Notes!$B$5,"",IF(COUNTIFS(Release_Calendar!$A$2:$A$755,"NZ_CPI",Release_Calendar!$B$2:$B$755,$A2783)&gt;0,1,0))</f>
        <v/>
      </c>
      <c r="N2783" s="16" t="str">
        <f>IF($A2783&lt;Notes!$B$5,"",IF(COUNTIFS(Release_Calendar!$A$2:$A$755,"NZ_GDP",Release_Calendar!$B$2:$B$755,$A2783)&gt;0,1,0))</f>
        <v/>
      </c>
      <c r="O2783" s="16" t="str">
        <f>IF($A2783&lt;Notes!$B$5,"",IF(COUNTIFS(Release_Calendar!$A$2:$A$755,"NZ_LABOUR",Release_Calendar!$B$2:$B$755,$A2783)&gt;0,1,0))</f>
        <v/>
      </c>
      <c r="P2783" s="16">
        <f t="shared" si="4"/>
        <v>0</v>
      </c>
    </row>
    <row r="2784" ht="15.75" customHeight="1">
      <c r="A2784" s="14">
        <v>40422.0</v>
      </c>
      <c r="B2784" s="15">
        <v>0.5</v>
      </c>
      <c r="C2784" s="15"/>
      <c r="D2784" s="15">
        <v>3.96</v>
      </c>
      <c r="E2784" s="15">
        <v>4.03</v>
      </c>
      <c r="F2784" s="15" t="str">
        <f t="shared" si="1"/>
        <v/>
      </c>
      <c r="G2784" s="15">
        <f t="shared" si="2"/>
        <v>3.96</v>
      </c>
      <c r="H2784" s="16">
        <v>1.0</v>
      </c>
      <c r="I2784" s="15">
        <f t="shared" si="3"/>
        <v>3.46</v>
      </c>
      <c r="J2784" s="15">
        <v>23.89</v>
      </c>
      <c r="K2784" s="16">
        <f>IF(COUNTIFS(Release_Calendar!$A$2:$A$755,"US_CPI",Release_Calendar!$B$2:$B$755,$A2784)&gt;0,1,0)</f>
        <v>0</v>
      </c>
      <c r="L2784" s="16">
        <f>IF(COUNTIFS(Release_Calendar!$A$2:$A$755,"US_NFP",Release_Calendar!$B$2:$B$755,$A2784)&gt;0,1,0)</f>
        <v>0</v>
      </c>
      <c r="M2784" s="16" t="str">
        <f>IF($A2784&lt;Notes!$B$5,"",IF(COUNTIFS(Release_Calendar!$A$2:$A$755,"NZ_CPI",Release_Calendar!$B$2:$B$755,$A2784)&gt;0,1,0))</f>
        <v/>
      </c>
      <c r="N2784" s="16" t="str">
        <f>IF($A2784&lt;Notes!$B$5,"",IF(COUNTIFS(Release_Calendar!$A$2:$A$755,"NZ_GDP",Release_Calendar!$B$2:$B$755,$A2784)&gt;0,1,0))</f>
        <v/>
      </c>
      <c r="O2784" s="16" t="str">
        <f>IF($A2784&lt;Notes!$B$5,"",IF(COUNTIFS(Release_Calendar!$A$2:$A$755,"NZ_LABOUR",Release_Calendar!$B$2:$B$755,$A2784)&gt;0,1,0))</f>
        <v/>
      </c>
      <c r="P2784" s="16">
        <f t="shared" si="4"/>
        <v>0</v>
      </c>
    </row>
    <row r="2785" ht="15.75" customHeight="1">
      <c r="A2785" s="14">
        <v>40423.0</v>
      </c>
      <c r="B2785" s="15">
        <v>0.5</v>
      </c>
      <c r="C2785" s="15"/>
      <c r="D2785" s="15">
        <v>4.1</v>
      </c>
      <c r="E2785" s="15">
        <v>4.06</v>
      </c>
      <c r="F2785" s="15" t="str">
        <f t="shared" si="1"/>
        <v/>
      </c>
      <c r="G2785" s="15">
        <f t="shared" si="2"/>
        <v>4.1</v>
      </c>
      <c r="H2785" s="16">
        <v>1.0</v>
      </c>
      <c r="I2785" s="15">
        <f t="shared" si="3"/>
        <v>3.6</v>
      </c>
      <c r="J2785" s="15">
        <v>23.19</v>
      </c>
      <c r="K2785" s="16">
        <f>IF(COUNTIFS(Release_Calendar!$A$2:$A$755,"US_CPI",Release_Calendar!$B$2:$B$755,$A2785)&gt;0,1,0)</f>
        <v>0</v>
      </c>
      <c r="L2785" s="16">
        <f>IF(COUNTIFS(Release_Calendar!$A$2:$A$755,"US_NFP",Release_Calendar!$B$2:$B$755,$A2785)&gt;0,1,0)</f>
        <v>0</v>
      </c>
      <c r="M2785" s="16" t="str">
        <f>IF($A2785&lt;Notes!$B$5,"",IF(COUNTIFS(Release_Calendar!$A$2:$A$755,"NZ_CPI",Release_Calendar!$B$2:$B$755,$A2785)&gt;0,1,0))</f>
        <v/>
      </c>
      <c r="N2785" s="16" t="str">
        <f>IF($A2785&lt;Notes!$B$5,"",IF(COUNTIFS(Release_Calendar!$A$2:$A$755,"NZ_GDP",Release_Calendar!$B$2:$B$755,$A2785)&gt;0,1,0))</f>
        <v/>
      </c>
      <c r="O2785" s="16" t="str">
        <f>IF($A2785&lt;Notes!$B$5,"",IF(COUNTIFS(Release_Calendar!$A$2:$A$755,"NZ_LABOUR",Release_Calendar!$B$2:$B$755,$A2785)&gt;0,1,0))</f>
        <v/>
      </c>
      <c r="P2785" s="16">
        <f t="shared" si="4"/>
        <v>0</v>
      </c>
    </row>
    <row r="2786" ht="15.75" customHeight="1">
      <c r="A2786" s="14">
        <v>40424.0</v>
      </c>
      <c r="B2786" s="15">
        <v>0.52</v>
      </c>
      <c r="C2786" s="15"/>
      <c r="D2786" s="15">
        <v>4.09</v>
      </c>
      <c r="E2786" s="15">
        <v>4.1</v>
      </c>
      <c r="F2786" s="15" t="str">
        <f t="shared" si="1"/>
        <v/>
      </c>
      <c r="G2786" s="15">
        <f t="shared" si="2"/>
        <v>4.09</v>
      </c>
      <c r="H2786" s="16">
        <v>1.0</v>
      </c>
      <c r="I2786" s="15">
        <f t="shared" si="3"/>
        <v>3.57</v>
      </c>
      <c r="J2786" s="15">
        <v>21.31</v>
      </c>
      <c r="K2786" s="16">
        <f>IF(COUNTIFS(Release_Calendar!$A$2:$A$755,"US_CPI",Release_Calendar!$B$2:$B$755,$A2786)&gt;0,1,0)</f>
        <v>0</v>
      </c>
      <c r="L2786" s="16">
        <f>IF(COUNTIFS(Release_Calendar!$A$2:$A$755,"US_NFP",Release_Calendar!$B$2:$B$755,$A2786)&gt;0,1,0)</f>
        <v>1</v>
      </c>
      <c r="M2786" s="16" t="str">
        <f>IF($A2786&lt;Notes!$B$5,"",IF(COUNTIFS(Release_Calendar!$A$2:$A$755,"NZ_CPI",Release_Calendar!$B$2:$B$755,$A2786)&gt;0,1,0))</f>
        <v/>
      </c>
      <c r="N2786" s="16" t="str">
        <f>IF($A2786&lt;Notes!$B$5,"",IF(COUNTIFS(Release_Calendar!$A$2:$A$755,"NZ_GDP",Release_Calendar!$B$2:$B$755,$A2786)&gt;0,1,0))</f>
        <v/>
      </c>
      <c r="O2786" s="16" t="str">
        <f>IF($A2786&lt;Notes!$B$5,"",IF(COUNTIFS(Release_Calendar!$A$2:$A$755,"NZ_LABOUR",Release_Calendar!$B$2:$B$755,$A2786)&gt;0,1,0))</f>
        <v/>
      </c>
      <c r="P2786" s="16">
        <f t="shared" si="4"/>
        <v>1</v>
      </c>
    </row>
    <row r="2787" ht="15.75" customHeight="1">
      <c r="A2787" s="14">
        <v>40427.0</v>
      </c>
      <c r="B2787" s="15"/>
      <c r="C2787" s="15"/>
      <c r="D2787" s="15">
        <v>4.15</v>
      </c>
      <c r="E2787" s="15">
        <v>4.16</v>
      </c>
      <c r="F2787" s="15" t="str">
        <f t="shared" si="1"/>
        <v/>
      </c>
      <c r="G2787" s="15">
        <f t="shared" si="2"/>
        <v>4.15</v>
      </c>
      <c r="H2787" s="16">
        <v>1.0</v>
      </c>
      <c r="I2787" s="15" t="str">
        <f t="shared" si="3"/>
        <v/>
      </c>
      <c r="J2787" s="15"/>
      <c r="K2787" s="16">
        <f>IF(COUNTIFS(Release_Calendar!$A$2:$A$755,"US_CPI",Release_Calendar!$B$2:$B$755,$A2787)&gt;0,1,0)</f>
        <v>0</v>
      </c>
      <c r="L2787" s="16">
        <f>IF(COUNTIFS(Release_Calendar!$A$2:$A$755,"US_NFP",Release_Calendar!$B$2:$B$755,$A2787)&gt;0,1,0)</f>
        <v>0</v>
      </c>
      <c r="M2787" s="16" t="str">
        <f>IF($A2787&lt;Notes!$B$5,"",IF(COUNTIFS(Release_Calendar!$A$2:$A$755,"NZ_CPI",Release_Calendar!$B$2:$B$755,$A2787)&gt;0,1,0))</f>
        <v/>
      </c>
      <c r="N2787" s="16" t="str">
        <f>IF($A2787&lt;Notes!$B$5,"",IF(COUNTIFS(Release_Calendar!$A$2:$A$755,"NZ_GDP",Release_Calendar!$B$2:$B$755,$A2787)&gt;0,1,0))</f>
        <v/>
      </c>
      <c r="O2787" s="16" t="str">
        <f>IF($A2787&lt;Notes!$B$5,"",IF(COUNTIFS(Release_Calendar!$A$2:$A$755,"NZ_LABOUR",Release_Calendar!$B$2:$B$755,$A2787)&gt;0,1,0))</f>
        <v/>
      </c>
      <c r="P2787" s="16">
        <f t="shared" si="4"/>
        <v>0</v>
      </c>
    </row>
    <row r="2788" ht="15.75" customHeight="1">
      <c r="A2788" s="14">
        <v>40428.0</v>
      </c>
      <c r="B2788" s="15">
        <v>0.49</v>
      </c>
      <c r="C2788" s="15"/>
      <c r="D2788" s="15">
        <v>4.16</v>
      </c>
      <c r="E2788" s="15">
        <v>4.19</v>
      </c>
      <c r="F2788" s="15" t="str">
        <f t="shared" si="1"/>
        <v/>
      </c>
      <c r="G2788" s="15">
        <f t="shared" si="2"/>
        <v>4.16</v>
      </c>
      <c r="H2788" s="16">
        <v>1.0</v>
      </c>
      <c r="I2788" s="15">
        <f t="shared" si="3"/>
        <v>3.67</v>
      </c>
      <c r="J2788" s="15">
        <v>23.8</v>
      </c>
      <c r="K2788" s="16">
        <f>IF(COUNTIFS(Release_Calendar!$A$2:$A$755,"US_CPI",Release_Calendar!$B$2:$B$755,$A2788)&gt;0,1,0)</f>
        <v>0</v>
      </c>
      <c r="L2788" s="16">
        <f>IF(COUNTIFS(Release_Calendar!$A$2:$A$755,"US_NFP",Release_Calendar!$B$2:$B$755,$A2788)&gt;0,1,0)</f>
        <v>0</v>
      </c>
      <c r="M2788" s="16" t="str">
        <f>IF($A2788&lt;Notes!$B$5,"",IF(COUNTIFS(Release_Calendar!$A$2:$A$755,"NZ_CPI",Release_Calendar!$B$2:$B$755,$A2788)&gt;0,1,0))</f>
        <v/>
      </c>
      <c r="N2788" s="16" t="str">
        <f>IF($A2788&lt;Notes!$B$5,"",IF(COUNTIFS(Release_Calendar!$A$2:$A$755,"NZ_GDP",Release_Calendar!$B$2:$B$755,$A2788)&gt;0,1,0))</f>
        <v/>
      </c>
      <c r="O2788" s="16" t="str">
        <f>IF($A2788&lt;Notes!$B$5,"",IF(COUNTIFS(Release_Calendar!$A$2:$A$755,"NZ_LABOUR",Release_Calendar!$B$2:$B$755,$A2788)&gt;0,1,0))</f>
        <v/>
      </c>
      <c r="P2788" s="16">
        <f t="shared" si="4"/>
        <v>0</v>
      </c>
    </row>
    <row r="2789" ht="15.75" customHeight="1">
      <c r="A2789" s="14">
        <v>40429.0</v>
      </c>
      <c r="B2789" s="15">
        <v>0.52</v>
      </c>
      <c r="C2789" s="15"/>
      <c r="D2789" s="15">
        <v>4.17</v>
      </c>
      <c r="E2789" s="15">
        <v>4.18</v>
      </c>
      <c r="F2789" s="15" t="str">
        <f t="shared" si="1"/>
        <v/>
      </c>
      <c r="G2789" s="15">
        <f t="shared" si="2"/>
        <v>4.17</v>
      </c>
      <c r="H2789" s="16">
        <v>1.0</v>
      </c>
      <c r="I2789" s="15">
        <f t="shared" si="3"/>
        <v>3.65</v>
      </c>
      <c r="J2789" s="15">
        <v>23.25</v>
      </c>
      <c r="K2789" s="16">
        <f>IF(COUNTIFS(Release_Calendar!$A$2:$A$755,"US_CPI",Release_Calendar!$B$2:$B$755,$A2789)&gt;0,1,0)</f>
        <v>0</v>
      </c>
      <c r="L2789" s="16">
        <f>IF(COUNTIFS(Release_Calendar!$A$2:$A$755,"US_NFP",Release_Calendar!$B$2:$B$755,$A2789)&gt;0,1,0)</f>
        <v>0</v>
      </c>
      <c r="M2789" s="16" t="str">
        <f>IF($A2789&lt;Notes!$B$5,"",IF(COUNTIFS(Release_Calendar!$A$2:$A$755,"NZ_CPI",Release_Calendar!$B$2:$B$755,$A2789)&gt;0,1,0))</f>
        <v/>
      </c>
      <c r="N2789" s="16" t="str">
        <f>IF($A2789&lt;Notes!$B$5,"",IF(COUNTIFS(Release_Calendar!$A$2:$A$755,"NZ_GDP",Release_Calendar!$B$2:$B$755,$A2789)&gt;0,1,0))</f>
        <v/>
      </c>
      <c r="O2789" s="16" t="str">
        <f>IF($A2789&lt;Notes!$B$5,"",IF(COUNTIFS(Release_Calendar!$A$2:$A$755,"NZ_LABOUR",Release_Calendar!$B$2:$B$755,$A2789)&gt;0,1,0))</f>
        <v/>
      </c>
      <c r="P2789" s="16">
        <f t="shared" si="4"/>
        <v>0</v>
      </c>
    </row>
    <row r="2790" ht="15.75" customHeight="1">
      <c r="A2790" s="14">
        <v>40430.0</v>
      </c>
      <c r="B2790" s="15">
        <v>0.57</v>
      </c>
      <c r="C2790" s="15"/>
      <c r="D2790" s="15">
        <v>4.2</v>
      </c>
      <c r="E2790" s="15">
        <v>4.18</v>
      </c>
      <c r="F2790" s="15" t="str">
        <f t="shared" si="1"/>
        <v/>
      </c>
      <c r="G2790" s="15">
        <f t="shared" si="2"/>
        <v>4.2</v>
      </c>
      <c r="H2790" s="16">
        <v>1.0</v>
      </c>
      <c r="I2790" s="15">
        <f t="shared" si="3"/>
        <v>3.63</v>
      </c>
      <c r="J2790" s="15">
        <v>22.81</v>
      </c>
      <c r="K2790" s="16">
        <f>IF(COUNTIFS(Release_Calendar!$A$2:$A$755,"US_CPI",Release_Calendar!$B$2:$B$755,$A2790)&gt;0,1,0)</f>
        <v>0</v>
      </c>
      <c r="L2790" s="16">
        <f>IF(COUNTIFS(Release_Calendar!$A$2:$A$755,"US_NFP",Release_Calendar!$B$2:$B$755,$A2790)&gt;0,1,0)</f>
        <v>0</v>
      </c>
      <c r="M2790" s="16" t="str">
        <f>IF($A2790&lt;Notes!$B$5,"",IF(COUNTIFS(Release_Calendar!$A$2:$A$755,"NZ_CPI",Release_Calendar!$B$2:$B$755,$A2790)&gt;0,1,0))</f>
        <v/>
      </c>
      <c r="N2790" s="16" t="str">
        <f>IF($A2790&lt;Notes!$B$5,"",IF(COUNTIFS(Release_Calendar!$A$2:$A$755,"NZ_GDP",Release_Calendar!$B$2:$B$755,$A2790)&gt;0,1,0))</f>
        <v/>
      </c>
      <c r="O2790" s="16" t="str">
        <f>IF($A2790&lt;Notes!$B$5,"",IF(COUNTIFS(Release_Calendar!$A$2:$A$755,"NZ_LABOUR",Release_Calendar!$B$2:$B$755,$A2790)&gt;0,1,0))</f>
        <v/>
      </c>
      <c r="P2790" s="16">
        <f t="shared" si="4"/>
        <v>0</v>
      </c>
    </row>
    <row r="2791" ht="15.75" customHeight="1">
      <c r="A2791" s="14">
        <v>40431.0</v>
      </c>
      <c r="B2791" s="15">
        <v>0.58</v>
      </c>
      <c r="C2791" s="15"/>
      <c r="D2791" s="15">
        <v>4.2</v>
      </c>
      <c r="E2791" s="15">
        <v>4.21</v>
      </c>
      <c r="F2791" s="15" t="str">
        <f t="shared" si="1"/>
        <v/>
      </c>
      <c r="G2791" s="15">
        <f t="shared" si="2"/>
        <v>4.2</v>
      </c>
      <c r="H2791" s="16">
        <v>1.0</v>
      </c>
      <c r="I2791" s="15">
        <f t="shared" si="3"/>
        <v>3.62</v>
      </c>
      <c r="J2791" s="15">
        <v>21.99</v>
      </c>
      <c r="K2791" s="16">
        <f>IF(COUNTIFS(Release_Calendar!$A$2:$A$755,"US_CPI",Release_Calendar!$B$2:$B$755,$A2791)&gt;0,1,0)</f>
        <v>0</v>
      </c>
      <c r="L2791" s="16">
        <f>IF(COUNTIFS(Release_Calendar!$A$2:$A$755,"US_NFP",Release_Calendar!$B$2:$B$755,$A2791)&gt;0,1,0)</f>
        <v>0</v>
      </c>
      <c r="M2791" s="16" t="str">
        <f>IF($A2791&lt;Notes!$B$5,"",IF(COUNTIFS(Release_Calendar!$A$2:$A$755,"NZ_CPI",Release_Calendar!$B$2:$B$755,$A2791)&gt;0,1,0))</f>
        <v/>
      </c>
      <c r="N2791" s="16" t="str">
        <f>IF($A2791&lt;Notes!$B$5,"",IF(COUNTIFS(Release_Calendar!$A$2:$A$755,"NZ_GDP",Release_Calendar!$B$2:$B$755,$A2791)&gt;0,1,0))</f>
        <v/>
      </c>
      <c r="O2791" s="16" t="str">
        <f>IF($A2791&lt;Notes!$B$5,"",IF(COUNTIFS(Release_Calendar!$A$2:$A$755,"NZ_LABOUR",Release_Calendar!$B$2:$B$755,$A2791)&gt;0,1,0))</f>
        <v/>
      </c>
      <c r="P2791" s="16">
        <f t="shared" si="4"/>
        <v>0</v>
      </c>
    </row>
    <row r="2792" ht="15.75" customHeight="1">
      <c r="A2792" s="14">
        <v>40434.0</v>
      </c>
      <c r="B2792" s="15">
        <v>0.53</v>
      </c>
      <c r="C2792" s="15"/>
      <c r="D2792" s="15">
        <v>4.26</v>
      </c>
      <c r="E2792" s="15">
        <v>4.26</v>
      </c>
      <c r="F2792" s="15" t="str">
        <f t="shared" si="1"/>
        <v/>
      </c>
      <c r="G2792" s="15">
        <f t="shared" si="2"/>
        <v>4.26</v>
      </c>
      <c r="H2792" s="16">
        <v>1.0</v>
      </c>
      <c r="I2792" s="15">
        <f t="shared" si="3"/>
        <v>3.73</v>
      </c>
      <c r="J2792" s="15">
        <v>21.21</v>
      </c>
      <c r="K2792" s="16">
        <f>IF(COUNTIFS(Release_Calendar!$A$2:$A$755,"US_CPI",Release_Calendar!$B$2:$B$755,$A2792)&gt;0,1,0)</f>
        <v>0</v>
      </c>
      <c r="L2792" s="16">
        <f>IF(COUNTIFS(Release_Calendar!$A$2:$A$755,"US_NFP",Release_Calendar!$B$2:$B$755,$A2792)&gt;0,1,0)</f>
        <v>0</v>
      </c>
      <c r="M2792" s="16" t="str">
        <f>IF($A2792&lt;Notes!$B$5,"",IF(COUNTIFS(Release_Calendar!$A$2:$A$755,"NZ_CPI",Release_Calendar!$B$2:$B$755,$A2792)&gt;0,1,0))</f>
        <v/>
      </c>
      <c r="N2792" s="16" t="str">
        <f>IF($A2792&lt;Notes!$B$5,"",IF(COUNTIFS(Release_Calendar!$A$2:$A$755,"NZ_GDP",Release_Calendar!$B$2:$B$755,$A2792)&gt;0,1,0))</f>
        <v/>
      </c>
      <c r="O2792" s="16" t="str">
        <f>IF($A2792&lt;Notes!$B$5,"",IF(COUNTIFS(Release_Calendar!$A$2:$A$755,"NZ_LABOUR",Release_Calendar!$B$2:$B$755,$A2792)&gt;0,1,0))</f>
        <v/>
      </c>
      <c r="P2792" s="16">
        <f t="shared" si="4"/>
        <v>0</v>
      </c>
    </row>
    <row r="2793" ht="15.75" customHeight="1">
      <c r="A2793" s="14">
        <v>40435.0</v>
      </c>
      <c r="B2793" s="15">
        <v>0.5</v>
      </c>
      <c r="C2793" s="15"/>
      <c r="D2793" s="15">
        <v>4.23</v>
      </c>
      <c r="E2793" s="15">
        <v>4.21</v>
      </c>
      <c r="F2793" s="15" t="str">
        <f t="shared" si="1"/>
        <v/>
      </c>
      <c r="G2793" s="15">
        <f t="shared" si="2"/>
        <v>4.23</v>
      </c>
      <c r="H2793" s="16">
        <v>1.0</v>
      </c>
      <c r="I2793" s="15">
        <f t="shared" si="3"/>
        <v>3.73</v>
      </c>
      <c r="J2793" s="15">
        <v>21.56</v>
      </c>
      <c r="K2793" s="16">
        <f>IF(COUNTIFS(Release_Calendar!$A$2:$A$755,"US_CPI",Release_Calendar!$B$2:$B$755,$A2793)&gt;0,1,0)</f>
        <v>0</v>
      </c>
      <c r="L2793" s="16">
        <f>IF(COUNTIFS(Release_Calendar!$A$2:$A$755,"US_NFP",Release_Calendar!$B$2:$B$755,$A2793)&gt;0,1,0)</f>
        <v>0</v>
      </c>
      <c r="M2793" s="16" t="str">
        <f>IF($A2793&lt;Notes!$B$5,"",IF(COUNTIFS(Release_Calendar!$A$2:$A$755,"NZ_CPI",Release_Calendar!$B$2:$B$755,$A2793)&gt;0,1,0))</f>
        <v/>
      </c>
      <c r="N2793" s="16" t="str">
        <f>IF($A2793&lt;Notes!$B$5,"",IF(COUNTIFS(Release_Calendar!$A$2:$A$755,"NZ_GDP",Release_Calendar!$B$2:$B$755,$A2793)&gt;0,1,0))</f>
        <v/>
      </c>
      <c r="O2793" s="16" t="str">
        <f>IF($A2793&lt;Notes!$B$5,"",IF(COUNTIFS(Release_Calendar!$A$2:$A$755,"NZ_LABOUR",Release_Calendar!$B$2:$B$755,$A2793)&gt;0,1,0))</f>
        <v/>
      </c>
      <c r="P2793" s="16">
        <f t="shared" si="4"/>
        <v>0</v>
      </c>
    </row>
    <row r="2794" ht="15.75" customHeight="1">
      <c r="A2794" s="14">
        <v>40436.0</v>
      </c>
      <c r="B2794" s="15">
        <v>0.5</v>
      </c>
      <c r="C2794" s="15"/>
      <c r="D2794" s="15">
        <v>4.18</v>
      </c>
      <c r="E2794" s="15">
        <v>4.18</v>
      </c>
      <c r="F2794" s="15" t="str">
        <f t="shared" si="1"/>
        <v/>
      </c>
      <c r="G2794" s="15">
        <f t="shared" si="2"/>
        <v>4.18</v>
      </c>
      <c r="H2794" s="16">
        <v>1.0</v>
      </c>
      <c r="I2794" s="15">
        <f t="shared" si="3"/>
        <v>3.68</v>
      </c>
      <c r="J2794" s="15">
        <v>22.1</v>
      </c>
      <c r="K2794" s="16">
        <f>IF(COUNTIFS(Release_Calendar!$A$2:$A$755,"US_CPI",Release_Calendar!$B$2:$B$755,$A2794)&gt;0,1,0)</f>
        <v>0</v>
      </c>
      <c r="L2794" s="16">
        <f>IF(COUNTIFS(Release_Calendar!$A$2:$A$755,"US_NFP",Release_Calendar!$B$2:$B$755,$A2794)&gt;0,1,0)</f>
        <v>0</v>
      </c>
      <c r="M2794" s="16" t="str">
        <f>IF($A2794&lt;Notes!$B$5,"",IF(COUNTIFS(Release_Calendar!$A$2:$A$755,"NZ_CPI",Release_Calendar!$B$2:$B$755,$A2794)&gt;0,1,0))</f>
        <v/>
      </c>
      <c r="N2794" s="16" t="str">
        <f>IF($A2794&lt;Notes!$B$5,"",IF(COUNTIFS(Release_Calendar!$A$2:$A$755,"NZ_GDP",Release_Calendar!$B$2:$B$755,$A2794)&gt;0,1,0))</f>
        <v/>
      </c>
      <c r="O2794" s="16" t="str">
        <f>IF($A2794&lt;Notes!$B$5,"",IF(COUNTIFS(Release_Calendar!$A$2:$A$755,"NZ_LABOUR",Release_Calendar!$B$2:$B$755,$A2794)&gt;0,1,0))</f>
        <v/>
      </c>
      <c r="P2794" s="16">
        <f t="shared" si="4"/>
        <v>0</v>
      </c>
    </row>
    <row r="2795" ht="15.75" customHeight="1">
      <c r="A2795" s="14">
        <v>40437.0</v>
      </c>
      <c r="B2795" s="15">
        <v>0.48</v>
      </c>
      <c r="C2795" s="15"/>
      <c r="D2795" s="15">
        <v>4.12</v>
      </c>
      <c r="E2795" s="15">
        <v>4.13</v>
      </c>
      <c r="F2795" s="15" t="str">
        <f t="shared" si="1"/>
        <v/>
      </c>
      <c r="G2795" s="15">
        <f t="shared" si="2"/>
        <v>4.12</v>
      </c>
      <c r="H2795" s="16">
        <v>1.0</v>
      </c>
      <c r="I2795" s="15">
        <f t="shared" si="3"/>
        <v>3.64</v>
      </c>
      <c r="J2795" s="15">
        <v>21.72</v>
      </c>
      <c r="K2795" s="16">
        <f>IF(COUNTIFS(Release_Calendar!$A$2:$A$755,"US_CPI",Release_Calendar!$B$2:$B$755,$A2795)&gt;0,1,0)</f>
        <v>0</v>
      </c>
      <c r="L2795" s="16">
        <f>IF(COUNTIFS(Release_Calendar!$A$2:$A$755,"US_NFP",Release_Calendar!$B$2:$B$755,$A2795)&gt;0,1,0)</f>
        <v>0</v>
      </c>
      <c r="M2795" s="16" t="str">
        <f>IF($A2795&lt;Notes!$B$5,"",IF(COUNTIFS(Release_Calendar!$A$2:$A$755,"NZ_CPI",Release_Calendar!$B$2:$B$755,$A2795)&gt;0,1,0))</f>
        <v/>
      </c>
      <c r="N2795" s="16" t="str">
        <f>IF($A2795&lt;Notes!$B$5,"",IF(COUNTIFS(Release_Calendar!$A$2:$A$755,"NZ_GDP",Release_Calendar!$B$2:$B$755,$A2795)&gt;0,1,0))</f>
        <v/>
      </c>
      <c r="O2795" s="16" t="str">
        <f>IF($A2795&lt;Notes!$B$5,"",IF(COUNTIFS(Release_Calendar!$A$2:$A$755,"NZ_LABOUR",Release_Calendar!$B$2:$B$755,$A2795)&gt;0,1,0))</f>
        <v/>
      </c>
      <c r="P2795" s="16">
        <f t="shared" si="4"/>
        <v>0</v>
      </c>
    </row>
    <row r="2796" ht="15.75" customHeight="1">
      <c r="A2796" s="14">
        <v>40438.0</v>
      </c>
      <c r="B2796" s="15">
        <v>0.48</v>
      </c>
      <c r="C2796" s="15"/>
      <c r="D2796" s="15">
        <v>4.13</v>
      </c>
      <c r="E2796" s="15">
        <v>4.05</v>
      </c>
      <c r="F2796" s="15" t="str">
        <f t="shared" si="1"/>
        <v/>
      </c>
      <c r="G2796" s="15">
        <f t="shared" si="2"/>
        <v>4.13</v>
      </c>
      <c r="H2796" s="16">
        <v>1.0</v>
      </c>
      <c r="I2796" s="15">
        <f t="shared" si="3"/>
        <v>3.65</v>
      </c>
      <c r="J2796" s="15">
        <v>22.01</v>
      </c>
      <c r="K2796" s="16">
        <f>IF(COUNTIFS(Release_Calendar!$A$2:$A$755,"US_CPI",Release_Calendar!$B$2:$B$755,$A2796)&gt;0,1,0)</f>
        <v>1</v>
      </c>
      <c r="L2796" s="16">
        <f>IF(COUNTIFS(Release_Calendar!$A$2:$A$755,"US_NFP",Release_Calendar!$B$2:$B$755,$A2796)&gt;0,1,0)</f>
        <v>0</v>
      </c>
      <c r="M2796" s="16" t="str">
        <f>IF($A2796&lt;Notes!$B$5,"",IF(COUNTIFS(Release_Calendar!$A$2:$A$755,"NZ_CPI",Release_Calendar!$B$2:$B$755,$A2796)&gt;0,1,0))</f>
        <v/>
      </c>
      <c r="N2796" s="16" t="str">
        <f>IF($A2796&lt;Notes!$B$5,"",IF(COUNTIFS(Release_Calendar!$A$2:$A$755,"NZ_GDP",Release_Calendar!$B$2:$B$755,$A2796)&gt;0,1,0))</f>
        <v/>
      </c>
      <c r="O2796" s="16" t="str">
        <f>IF($A2796&lt;Notes!$B$5,"",IF(COUNTIFS(Release_Calendar!$A$2:$A$755,"NZ_LABOUR",Release_Calendar!$B$2:$B$755,$A2796)&gt;0,1,0))</f>
        <v/>
      </c>
      <c r="P2796" s="16">
        <f t="shared" si="4"/>
        <v>1</v>
      </c>
    </row>
    <row r="2797" ht="15.75" customHeight="1">
      <c r="A2797" s="14">
        <v>40441.0</v>
      </c>
      <c r="B2797" s="15">
        <v>0.47</v>
      </c>
      <c r="C2797" s="15"/>
      <c r="D2797" s="15">
        <v>4.05</v>
      </c>
      <c r="E2797" s="15">
        <v>4.05</v>
      </c>
      <c r="F2797" s="15" t="str">
        <f t="shared" si="1"/>
        <v/>
      </c>
      <c r="G2797" s="15">
        <f t="shared" si="2"/>
        <v>4.05</v>
      </c>
      <c r="H2797" s="16">
        <v>1.0</v>
      </c>
      <c r="I2797" s="15">
        <f t="shared" si="3"/>
        <v>3.58</v>
      </c>
      <c r="J2797" s="15">
        <v>21.5</v>
      </c>
      <c r="K2797" s="16">
        <f>IF(COUNTIFS(Release_Calendar!$A$2:$A$755,"US_CPI",Release_Calendar!$B$2:$B$755,$A2797)&gt;0,1,0)</f>
        <v>0</v>
      </c>
      <c r="L2797" s="16">
        <f>IF(COUNTIFS(Release_Calendar!$A$2:$A$755,"US_NFP",Release_Calendar!$B$2:$B$755,$A2797)&gt;0,1,0)</f>
        <v>0</v>
      </c>
      <c r="M2797" s="16" t="str">
        <f>IF($A2797&lt;Notes!$B$5,"",IF(COUNTIFS(Release_Calendar!$A$2:$A$755,"NZ_CPI",Release_Calendar!$B$2:$B$755,$A2797)&gt;0,1,0))</f>
        <v/>
      </c>
      <c r="N2797" s="16" t="str">
        <f>IF($A2797&lt;Notes!$B$5,"",IF(COUNTIFS(Release_Calendar!$A$2:$A$755,"NZ_GDP",Release_Calendar!$B$2:$B$755,$A2797)&gt;0,1,0))</f>
        <v/>
      </c>
      <c r="O2797" s="16" t="str">
        <f>IF($A2797&lt;Notes!$B$5,"",IF(COUNTIFS(Release_Calendar!$A$2:$A$755,"NZ_LABOUR",Release_Calendar!$B$2:$B$755,$A2797)&gt;0,1,0))</f>
        <v/>
      </c>
      <c r="P2797" s="16">
        <f t="shared" si="4"/>
        <v>0</v>
      </c>
    </row>
    <row r="2798" ht="15.75" customHeight="1">
      <c r="A2798" s="14">
        <v>40442.0</v>
      </c>
      <c r="B2798" s="15">
        <v>0.43</v>
      </c>
      <c r="C2798" s="15"/>
      <c r="D2798" s="15">
        <v>4.07</v>
      </c>
      <c r="E2798" s="15">
        <v>4.06</v>
      </c>
      <c r="F2798" s="15" t="str">
        <f t="shared" si="1"/>
        <v/>
      </c>
      <c r="G2798" s="15">
        <f t="shared" si="2"/>
        <v>4.07</v>
      </c>
      <c r="H2798" s="16">
        <v>1.0</v>
      </c>
      <c r="I2798" s="15">
        <f t="shared" si="3"/>
        <v>3.64</v>
      </c>
      <c r="J2798" s="15">
        <v>22.35</v>
      </c>
      <c r="K2798" s="16">
        <f>IF(COUNTIFS(Release_Calendar!$A$2:$A$755,"US_CPI",Release_Calendar!$B$2:$B$755,$A2798)&gt;0,1,0)</f>
        <v>0</v>
      </c>
      <c r="L2798" s="16">
        <f>IF(COUNTIFS(Release_Calendar!$A$2:$A$755,"US_NFP",Release_Calendar!$B$2:$B$755,$A2798)&gt;0,1,0)</f>
        <v>0</v>
      </c>
      <c r="M2798" s="16" t="str">
        <f>IF($A2798&lt;Notes!$B$5,"",IF(COUNTIFS(Release_Calendar!$A$2:$A$755,"NZ_CPI",Release_Calendar!$B$2:$B$755,$A2798)&gt;0,1,0))</f>
        <v/>
      </c>
      <c r="N2798" s="16" t="str">
        <f>IF($A2798&lt;Notes!$B$5,"",IF(COUNTIFS(Release_Calendar!$A$2:$A$755,"NZ_GDP",Release_Calendar!$B$2:$B$755,$A2798)&gt;0,1,0))</f>
        <v/>
      </c>
      <c r="O2798" s="16" t="str">
        <f>IF($A2798&lt;Notes!$B$5,"",IF(COUNTIFS(Release_Calendar!$A$2:$A$755,"NZ_LABOUR",Release_Calendar!$B$2:$B$755,$A2798)&gt;0,1,0))</f>
        <v/>
      </c>
      <c r="P2798" s="16">
        <f t="shared" si="4"/>
        <v>0</v>
      </c>
    </row>
    <row r="2799" ht="15.75" customHeight="1">
      <c r="A2799" s="14">
        <v>40443.0</v>
      </c>
      <c r="B2799" s="15">
        <v>0.44</v>
      </c>
      <c r="C2799" s="15"/>
      <c r="D2799" s="15">
        <v>4.02</v>
      </c>
      <c r="E2799" s="15">
        <v>4.01</v>
      </c>
      <c r="F2799" s="15" t="str">
        <f t="shared" si="1"/>
        <v/>
      </c>
      <c r="G2799" s="15">
        <f t="shared" si="2"/>
        <v>4.02</v>
      </c>
      <c r="H2799" s="16">
        <v>1.0</v>
      </c>
      <c r="I2799" s="15">
        <f t="shared" si="3"/>
        <v>3.58</v>
      </c>
      <c r="J2799" s="15">
        <v>22.51</v>
      </c>
      <c r="K2799" s="16">
        <f>IF(COUNTIFS(Release_Calendar!$A$2:$A$755,"US_CPI",Release_Calendar!$B$2:$B$755,$A2799)&gt;0,1,0)</f>
        <v>0</v>
      </c>
      <c r="L2799" s="16">
        <f>IF(COUNTIFS(Release_Calendar!$A$2:$A$755,"US_NFP",Release_Calendar!$B$2:$B$755,$A2799)&gt;0,1,0)</f>
        <v>0</v>
      </c>
      <c r="M2799" s="16" t="str">
        <f>IF($A2799&lt;Notes!$B$5,"",IF(COUNTIFS(Release_Calendar!$A$2:$A$755,"NZ_CPI",Release_Calendar!$B$2:$B$755,$A2799)&gt;0,1,0))</f>
        <v/>
      </c>
      <c r="N2799" s="16" t="str">
        <f>IF($A2799&lt;Notes!$B$5,"",IF(COUNTIFS(Release_Calendar!$A$2:$A$755,"NZ_GDP",Release_Calendar!$B$2:$B$755,$A2799)&gt;0,1,0))</f>
        <v/>
      </c>
      <c r="O2799" s="16" t="str">
        <f>IF($A2799&lt;Notes!$B$5,"",IF(COUNTIFS(Release_Calendar!$A$2:$A$755,"NZ_LABOUR",Release_Calendar!$B$2:$B$755,$A2799)&gt;0,1,0))</f>
        <v/>
      </c>
      <c r="P2799" s="16">
        <f t="shared" si="4"/>
        <v>0</v>
      </c>
    </row>
    <row r="2800" ht="15.75" customHeight="1">
      <c r="A2800" s="14">
        <v>40444.0</v>
      </c>
      <c r="B2800" s="15">
        <v>0.45</v>
      </c>
      <c r="C2800" s="15"/>
      <c r="D2800" s="15">
        <v>3.95</v>
      </c>
      <c r="E2800" s="15">
        <v>3.93</v>
      </c>
      <c r="F2800" s="15" t="str">
        <f t="shared" si="1"/>
        <v/>
      </c>
      <c r="G2800" s="15">
        <f t="shared" si="2"/>
        <v>3.95</v>
      </c>
      <c r="H2800" s="16">
        <v>1.0</v>
      </c>
      <c r="I2800" s="15">
        <f t="shared" si="3"/>
        <v>3.5</v>
      </c>
      <c r="J2800" s="15">
        <v>23.87</v>
      </c>
      <c r="K2800" s="16">
        <f>IF(COUNTIFS(Release_Calendar!$A$2:$A$755,"US_CPI",Release_Calendar!$B$2:$B$755,$A2800)&gt;0,1,0)</f>
        <v>0</v>
      </c>
      <c r="L2800" s="16">
        <f>IF(COUNTIFS(Release_Calendar!$A$2:$A$755,"US_NFP",Release_Calendar!$B$2:$B$755,$A2800)&gt;0,1,0)</f>
        <v>0</v>
      </c>
      <c r="M2800" s="16" t="str">
        <f>IF($A2800&lt;Notes!$B$5,"",IF(COUNTIFS(Release_Calendar!$A$2:$A$755,"NZ_CPI",Release_Calendar!$B$2:$B$755,$A2800)&gt;0,1,0))</f>
        <v/>
      </c>
      <c r="N2800" s="16" t="str">
        <f>IF($A2800&lt;Notes!$B$5,"",IF(COUNTIFS(Release_Calendar!$A$2:$A$755,"NZ_GDP",Release_Calendar!$B$2:$B$755,$A2800)&gt;0,1,0))</f>
        <v/>
      </c>
      <c r="O2800" s="16" t="str">
        <f>IF($A2800&lt;Notes!$B$5,"",IF(COUNTIFS(Release_Calendar!$A$2:$A$755,"NZ_LABOUR",Release_Calendar!$B$2:$B$755,$A2800)&gt;0,1,0))</f>
        <v/>
      </c>
      <c r="P2800" s="16">
        <f t="shared" si="4"/>
        <v>0</v>
      </c>
    </row>
    <row r="2801" ht="15.75" customHeight="1">
      <c r="A2801" s="14">
        <v>40445.0</v>
      </c>
      <c r="B2801" s="15">
        <v>0.45</v>
      </c>
      <c r="C2801" s="15"/>
      <c r="D2801" s="15">
        <v>3.92</v>
      </c>
      <c r="E2801" s="15">
        <v>3.91</v>
      </c>
      <c r="F2801" s="15" t="str">
        <f t="shared" si="1"/>
        <v/>
      </c>
      <c r="G2801" s="15">
        <f t="shared" si="2"/>
        <v>3.92</v>
      </c>
      <c r="H2801" s="16">
        <v>1.0</v>
      </c>
      <c r="I2801" s="15">
        <f t="shared" si="3"/>
        <v>3.47</v>
      </c>
      <c r="J2801" s="15">
        <v>21.71</v>
      </c>
      <c r="K2801" s="16">
        <f>IF(COUNTIFS(Release_Calendar!$A$2:$A$755,"US_CPI",Release_Calendar!$B$2:$B$755,$A2801)&gt;0,1,0)</f>
        <v>0</v>
      </c>
      <c r="L2801" s="16">
        <f>IF(COUNTIFS(Release_Calendar!$A$2:$A$755,"US_NFP",Release_Calendar!$B$2:$B$755,$A2801)&gt;0,1,0)</f>
        <v>0</v>
      </c>
      <c r="M2801" s="16" t="str">
        <f>IF($A2801&lt;Notes!$B$5,"",IF(COUNTIFS(Release_Calendar!$A$2:$A$755,"NZ_CPI",Release_Calendar!$B$2:$B$755,$A2801)&gt;0,1,0))</f>
        <v/>
      </c>
      <c r="N2801" s="16" t="str">
        <f>IF($A2801&lt;Notes!$B$5,"",IF(COUNTIFS(Release_Calendar!$A$2:$A$755,"NZ_GDP",Release_Calendar!$B$2:$B$755,$A2801)&gt;0,1,0))</f>
        <v/>
      </c>
      <c r="O2801" s="16" t="str">
        <f>IF($A2801&lt;Notes!$B$5,"",IF(COUNTIFS(Release_Calendar!$A$2:$A$755,"NZ_LABOUR",Release_Calendar!$B$2:$B$755,$A2801)&gt;0,1,0))</f>
        <v/>
      </c>
      <c r="P2801" s="16">
        <f t="shared" si="4"/>
        <v>0</v>
      </c>
    </row>
    <row r="2802" ht="15.75" customHeight="1">
      <c r="A2802" s="14">
        <v>40448.0</v>
      </c>
      <c r="B2802" s="15">
        <v>0.44</v>
      </c>
      <c r="C2802" s="15"/>
      <c r="D2802" s="15">
        <v>3.92</v>
      </c>
      <c r="E2802" s="15">
        <v>3.88</v>
      </c>
      <c r="F2802" s="15" t="str">
        <f t="shared" si="1"/>
        <v/>
      </c>
      <c r="G2802" s="15">
        <f t="shared" si="2"/>
        <v>3.92</v>
      </c>
      <c r="H2802" s="16">
        <v>1.0</v>
      </c>
      <c r="I2802" s="15">
        <f t="shared" si="3"/>
        <v>3.48</v>
      </c>
      <c r="J2802" s="15">
        <v>22.54</v>
      </c>
      <c r="K2802" s="16">
        <f>IF(COUNTIFS(Release_Calendar!$A$2:$A$755,"US_CPI",Release_Calendar!$B$2:$B$755,$A2802)&gt;0,1,0)</f>
        <v>0</v>
      </c>
      <c r="L2802" s="16">
        <f>IF(COUNTIFS(Release_Calendar!$A$2:$A$755,"US_NFP",Release_Calendar!$B$2:$B$755,$A2802)&gt;0,1,0)</f>
        <v>0</v>
      </c>
      <c r="M2802" s="16" t="str">
        <f>IF($A2802&lt;Notes!$B$5,"",IF(COUNTIFS(Release_Calendar!$A$2:$A$755,"NZ_CPI",Release_Calendar!$B$2:$B$755,$A2802)&gt;0,1,0))</f>
        <v/>
      </c>
      <c r="N2802" s="16" t="str">
        <f>IF($A2802&lt;Notes!$B$5,"",IF(COUNTIFS(Release_Calendar!$A$2:$A$755,"NZ_GDP",Release_Calendar!$B$2:$B$755,$A2802)&gt;0,1,0))</f>
        <v/>
      </c>
      <c r="O2802" s="16" t="str">
        <f>IF($A2802&lt;Notes!$B$5,"",IF(COUNTIFS(Release_Calendar!$A$2:$A$755,"NZ_LABOUR",Release_Calendar!$B$2:$B$755,$A2802)&gt;0,1,0))</f>
        <v/>
      </c>
      <c r="P2802" s="16">
        <f t="shared" si="4"/>
        <v>0</v>
      </c>
    </row>
    <row r="2803" ht="15.75" customHeight="1">
      <c r="A2803" s="14">
        <v>40449.0</v>
      </c>
      <c r="B2803" s="15">
        <v>0.37</v>
      </c>
      <c r="C2803" s="15"/>
      <c r="D2803" s="15">
        <v>3.87</v>
      </c>
      <c r="E2803" s="15">
        <v>3.85</v>
      </c>
      <c r="F2803" s="15" t="str">
        <f t="shared" si="1"/>
        <v/>
      </c>
      <c r="G2803" s="15">
        <f t="shared" si="2"/>
        <v>3.87</v>
      </c>
      <c r="H2803" s="16">
        <v>1.0</v>
      </c>
      <c r="I2803" s="15">
        <f t="shared" si="3"/>
        <v>3.5</v>
      </c>
      <c r="J2803" s="15">
        <v>22.6</v>
      </c>
      <c r="K2803" s="16">
        <f>IF(COUNTIFS(Release_Calendar!$A$2:$A$755,"US_CPI",Release_Calendar!$B$2:$B$755,$A2803)&gt;0,1,0)</f>
        <v>0</v>
      </c>
      <c r="L2803" s="16">
        <f>IF(COUNTIFS(Release_Calendar!$A$2:$A$755,"US_NFP",Release_Calendar!$B$2:$B$755,$A2803)&gt;0,1,0)</f>
        <v>0</v>
      </c>
      <c r="M2803" s="16" t="str">
        <f>IF($A2803&lt;Notes!$B$5,"",IF(COUNTIFS(Release_Calendar!$A$2:$A$755,"NZ_CPI",Release_Calendar!$B$2:$B$755,$A2803)&gt;0,1,0))</f>
        <v/>
      </c>
      <c r="N2803" s="16" t="str">
        <f>IF($A2803&lt;Notes!$B$5,"",IF(COUNTIFS(Release_Calendar!$A$2:$A$755,"NZ_GDP",Release_Calendar!$B$2:$B$755,$A2803)&gt;0,1,0))</f>
        <v/>
      </c>
      <c r="O2803" s="16" t="str">
        <f>IF($A2803&lt;Notes!$B$5,"",IF(COUNTIFS(Release_Calendar!$A$2:$A$755,"NZ_LABOUR",Release_Calendar!$B$2:$B$755,$A2803)&gt;0,1,0))</f>
        <v/>
      </c>
      <c r="P2803" s="16">
        <f t="shared" si="4"/>
        <v>0</v>
      </c>
    </row>
    <row r="2804" ht="15.75" customHeight="1">
      <c r="A2804" s="14">
        <v>40450.0</v>
      </c>
      <c r="B2804" s="15">
        <v>0.44</v>
      </c>
      <c r="C2804" s="15"/>
      <c r="D2804" s="15">
        <v>3.81</v>
      </c>
      <c r="E2804" s="15">
        <v>3.81</v>
      </c>
      <c r="F2804" s="15" t="str">
        <f t="shared" si="1"/>
        <v/>
      </c>
      <c r="G2804" s="15">
        <f t="shared" si="2"/>
        <v>3.81</v>
      </c>
      <c r="H2804" s="16">
        <v>1.0</v>
      </c>
      <c r="I2804" s="15">
        <f t="shared" si="3"/>
        <v>3.37</v>
      </c>
      <c r="J2804" s="15">
        <v>23.25</v>
      </c>
      <c r="K2804" s="16">
        <f>IF(COUNTIFS(Release_Calendar!$A$2:$A$755,"US_CPI",Release_Calendar!$B$2:$B$755,$A2804)&gt;0,1,0)</f>
        <v>0</v>
      </c>
      <c r="L2804" s="16">
        <f>IF(COUNTIFS(Release_Calendar!$A$2:$A$755,"US_NFP",Release_Calendar!$B$2:$B$755,$A2804)&gt;0,1,0)</f>
        <v>0</v>
      </c>
      <c r="M2804" s="16" t="str">
        <f>IF($A2804&lt;Notes!$B$5,"",IF(COUNTIFS(Release_Calendar!$A$2:$A$755,"NZ_CPI",Release_Calendar!$B$2:$B$755,$A2804)&gt;0,1,0))</f>
        <v/>
      </c>
      <c r="N2804" s="16" t="str">
        <f>IF($A2804&lt;Notes!$B$5,"",IF(COUNTIFS(Release_Calendar!$A$2:$A$755,"NZ_GDP",Release_Calendar!$B$2:$B$755,$A2804)&gt;0,1,0))</f>
        <v/>
      </c>
      <c r="O2804" s="16" t="str">
        <f>IF($A2804&lt;Notes!$B$5,"",IF(COUNTIFS(Release_Calendar!$A$2:$A$755,"NZ_LABOUR",Release_Calendar!$B$2:$B$755,$A2804)&gt;0,1,0))</f>
        <v/>
      </c>
      <c r="P2804" s="16">
        <f t="shared" si="4"/>
        <v>0</v>
      </c>
    </row>
    <row r="2805" ht="15.75" customHeight="1">
      <c r="A2805" s="14">
        <v>40451.0</v>
      </c>
      <c r="B2805" s="15">
        <v>0.42</v>
      </c>
      <c r="C2805" s="15"/>
      <c r="D2805" s="15">
        <v>3.8</v>
      </c>
      <c r="E2805" s="15">
        <v>3.81</v>
      </c>
      <c r="F2805" s="15" t="str">
        <f t="shared" si="1"/>
        <v/>
      </c>
      <c r="G2805" s="15">
        <f t="shared" si="2"/>
        <v>3.8</v>
      </c>
      <c r="H2805" s="16">
        <v>1.0</v>
      </c>
      <c r="I2805" s="15">
        <f t="shared" si="3"/>
        <v>3.38</v>
      </c>
      <c r="J2805" s="15">
        <v>23.7</v>
      </c>
      <c r="K2805" s="16">
        <f>IF(COUNTIFS(Release_Calendar!$A$2:$A$755,"US_CPI",Release_Calendar!$B$2:$B$755,$A2805)&gt;0,1,0)</f>
        <v>0</v>
      </c>
      <c r="L2805" s="16">
        <f>IF(COUNTIFS(Release_Calendar!$A$2:$A$755,"US_NFP",Release_Calendar!$B$2:$B$755,$A2805)&gt;0,1,0)</f>
        <v>0</v>
      </c>
      <c r="M2805" s="16" t="str">
        <f>IF($A2805&lt;Notes!$B$5,"",IF(COUNTIFS(Release_Calendar!$A$2:$A$755,"NZ_CPI",Release_Calendar!$B$2:$B$755,$A2805)&gt;0,1,0))</f>
        <v/>
      </c>
      <c r="N2805" s="16" t="str">
        <f>IF($A2805&lt;Notes!$B$5,"",IF(COUNTIFS(Release_Calendar!$A$2:$A$755,"NZ_GDP",Release_Calendar!$B$2:$B$755,$A2805)&gt;0,1,0))</f>
        <v/>
      </c>
      <c r="O2805" s="16" t="str">
        <f>IF($A2805&lt;Notes!$B$5,"",IF(COUNTIFS(Release_Calendar!$A$2:$A$755,"NZ_LABOUR",Release_Calendar!$B$2:$B$755,$A2805)&gt;0,1,0))</f>
        <v/>
      </c>
      <c r="P2805" s="16">
        <f t="shared" si="4"/>
        <v>0</v>
      </c>
    </row>
    <row r="2806" ht="15.75" customHeight="1">
      <c r="A2806" s="14">
        <v>40452.0</v>
      </c>
      <c r="B2806" s="15">
        <v>0.42</v>
      </c>
      <c r="C2806" s="15"/>
      <c r="D2806" s="15">
        <v>3.82</v>
      </c>
      <c r="E2806" s="15">
        <v>3.82</v>
      </c>
      <c r="F2806" s="15" t="str">
        <f t="shared" si="1"/>
        <v/>
      </c>
      <c r="G2806" s="15">
        <f t="shared" si="2"/>
        <v>3.82</v>
      </c>
      <c r="H2806" s="16">
        <v>1.0</v>
      </c>
      <c r="I2806" s="15">
        <f t="shared" si="3"/>
        <v>3.4</v>
      </c>
      <c r="J2806" s="15">
        <v>22.5</v>
      </c>
      <c r="K2806" s="16">
        <f>IF(COUNTIFS(Release_Calendar!$A$2:$A$755,"US_CPI",Release_Calendar!$B$2:$B$755,$A2806)&gt;0,1,0)</f>
        <v>0</v>
      </c>
      <c r="L2806" s="16">
        <f>IF(COUNTIFS(Release_Calendar!$A$2:$A$755,"US_NFP",Release_Calendar!$B$2:$B$755,$A2806)&gt;0,1,0)</f>
        <v>0</v>
      </c>
      <c r="M2806" s="16" t="str">
        <f>IF($A2806&lt;Notes!$B$5,"",IF(COUNTIFS(Release_Calendar!$A$2:$A$755,"NZ_CPI",Release_Calendar!$B$2:$B$755,$A2806)&gt;0,1,0))</f>
        <v/>
      </c>
      <c r="N2806" s="16" t="str">
        <f>IF($A2806&lt;Notes!$B$5,"",IF(COUNTIFS(Release_Calendar!$A$2:$A$755,"NZ_GDP",Release_Calendar!$B$2:$B$755,$A2806)&gt;0,1,0))</f>
        <v/>
      </c>
      <c r="O2806" s="16" t="str">
        <f>IF($A2806&lt;Notes!$B$5,"",IF(COUNTIFS(Release_Calendar!$A$2:$A$755,"NZ_LABOUR",Release_Calendar!$B$2:$B$755,$A2806)&gt;0,1,0))</f>
        <v/>
      </c>
      <c r="P2806" s="16">
        <f t="shared" si="4"/>
        <v>0</v>
      </c>
    </row>
    <row r="2807" ht="15.75" customHeight="1">
      <c r="A2807" s="14">
        <v>40455.0</v>
      </c>
      <c r="B2807" s="15">
        <v>0.41</v>
      </c>
      <c r="C2807" s="15"/>
      <c r="D2807" s="15">
        <v>3.83</v>
      </c>
      <c r="E2807" s="15">
        <v>3.83</v>
      </c>
      <c r="F2807" s="15" t="str">
        <f t="shared" si="1"/>
        <v/>
      </c>
      <c r="G2807" s="15">
        <f t="shared" si="2"/>
        <v>3.83</v>
      </c>
      <c r="H2807" s="16">
        <v>1.0</v>
      </c>
      <c r="I2807" s="15">
        <f t="shared" si="3"/>
        <v>3.42</v>
      </c>
      <c r="J2807" s="15">
        <v>23.53</v>
      </c>
      <c r="K2807" s="16">
        <f>IF(COUNTIFS(Release_Calendar!$A$2:$A$755,"US_CPI",Release_Calendar!$B$2:$B$755,$A2807)&gt;0,1,0)</f>
        <v>0</v>
      </c>
      <c r="L2807" s="16">
        <f>IF(COUNTIFS(Release_Calendar!$A$2:$A$755,"US_NFP",Release_Calendar!$B$2:$B$755,$A2807)&gt;0,1,0)</f>
        <v>0</v>
      </c>
      <c r="M2807" s="16" t="str">
        <f>IF($A2807&lt;Notes!$B$5,"",IF(COUNTIFS(Release_Calendar!$A$2:$A$755,"NZ_CPI",Release_Calendar!$B$2:$B$755,$A2807)&gt;0,1,0))</f>
        <v/>
      </c>
      <c r="N2807" s="16" t="str">
        <f>IF($A2807&lt;Notes!$B$5,"",IF(COUNTIFS(Release_Calendar!$A$2:$A$755,"NZ_GDP",Release_Calendar!$B$2:$B$755,$A2807)&gt;0,1,0))</f>
        <v/>
      </c>
      <c r="O2807" s="16" t="str">
        <f>IF($A2807&lt;Notes!$B$5,"",IF(COUNTIFS(Release_Calendar!$A$2:$A$755,"NZ_LABOUR",Release_Calendar!$B$2:$B$755,$A2807)&gt;0,1,0))</f>
        <v/>
      </c>
      <c r="P2807" s="16">
        <f t="shared" si="4"/>
        <v>0</v>
      </c>
    </row>
    <row r="2808" ht="15.75" customHeight="1">
      <c r="A2808" s="14">
        <v>40456.0</v>
      </c>
      <c r="B2808" s="15">
        <v>0.41</v>
      </c>
      <c r="C2808" s="15"/>
      <c r="D2808" s="15">
        <v>3.84</v>
      </c>
      <c r="E2808" s="15">
        <v>3.85</v>
      </c>
      <c r="F2808" s="15" t="str">
        <f t="shared" si="1"/>
        <v/>
      </c>
      <c r="G2808" s="15">
        <f t="shared" si="2"/>
        <v>3.84</v>
      </c>
      <c r="H2808" s="16">
        <v>1.0</v>
      </c>
      <c r="I2808" s="15">
        <f t="shared" si="3"/>
        <v>3.43</v>
      </c>
      <c r="J2808" s="15">
        <v>21.76</v>
      </c>
      <c r="K2808" s="16">
        <f>IF(COUNTIFS(Release_Calendar!$A$2:$A$755,"US_CPI",Release_Calendar!$B$2:$B$755,$A2808)&gt;0,1,0)</f>
        <v>0</v>
      </c>
      <c r="L2808" s="16">
        <f>IF(COUNTIFS(Release_Calendar!$A$2:$A$755,"US_NFP",Release_Calendar!$B$2:$B$755,$A2808)&gt;0,1,0)</f>
        <v>0</v>
      </c>
      <c r="M2808" s="16" t="str">
        <f>IF($A2808&lt;Notes!$B$5,"",IF(COUNTIFS(Release_Calendar!$A$2:$A$755,"NZ_CPI",Release_Calendar!$B$2:$B$755,$A2808)&gt;0,1,0))</f>
        <v/>
      </c>
      <c r="N2808" s="16" t="str">
        <f>IF($A2808&lt;Notes!$B$5,"",IF(COUNTIFS(Release_Calendar!$A$2:$A$755,"NZ_GDP",Release_Calendar!$B$2:$B$755,$A2808)&gt;0,1,0))</f>
        <v/>
      </c>
      <c r="O2808" s="16" t="str">
        <f>IF($A2808&lt;Notes!$B$5,"",IF(COUNTIFS(Release_Calendar!$A$2:$A$755,"NZ_LABOUR",Release_Calendar!$B$2:$B$755,$A2808)&gt;0,1,0))</f>
        <v/>
      </c>
      <c r="P2808" s="16">
        <f t="shared" si="4"/>
        <v>0</v>
      </c>
    </row>
    <row r="2809" ht="15.75" customHeight="1">
      <c r="A2809" s="14">
        <v>40457.0</v>
      </c>
      <c r="B2809" s="15">
        <v>0.38</v>
      </c>
      <c r="C2809" s="15"/>
      <c r="D2809" s="15">
        <v>3.85</v>
      </c>
      <c r="E2809" s="15">
        <v>3.85</v>
      </c>
      <c r="F2809" s="15" t="str">
        <f t="shared" si="1"/>
        <v/>
      </c>
      <c r="G2809" s="15">
        <f t="shared" si="2"/>
        <v>3.85</v>
      </c>
      <c r="H2809" s="16">
        <v>1.0</v>
      </c>
      <c r="I2809" s="15">
        <f t="shared" si="3"/>
        <v>3.47</v>
      </c>
      <c r="J2809" s="15">
        <v>21.49</v>
      </c>
      <c r="K2809" s="16">
        <f>IF(COUNTIFS(Release_Calendar!$A$2:$A$755,"US_CPI",Release_Calendar!$B$2:$B$755,$A2809)&gt;0,1,0)</f>
        <v>0</v>
      </c>
      <c r="L2809" s="16">
        <f>IF(COUNTIFS(Release_Calendar!$A$2:$A$755,"US_NFP",Release_Calendar!$B$2:$B$755,$A2809)&gt;0,1,0)</f>
        <v>0</v>
      </c>
      <c r="M2809" s="16" t="str">
        <f>IF($A2809&lt;Notes!$B$5,"",IF(COUNTIFS(Release_Calendar!$A$2:$A$755,"NZ_CPI",Release_Calendar!$B$2:$B$755,$A2809)&gt;0,1,0))</f>
        <v/>
      </c>
      <c r="N2809" s="16" t="str">
        <f>IF($A2809&lt;Notes!$B$5,"",IF(COUNTIFS(Release_Calendar!$A$2:$A$755,"NZ_GDP",Release_Calendar!$B$2:$B$755,$A2809)&gt;0,1,0))</f>
        <v/>
      </c>
      <c r="O2809" s="16" t="str">
        <f>IF($A2809&lt;Notes!$B$5,"",IF(COUNTIFS(Release_Calendar!$A$2:$A$755,"NZ_LABOUR",Release_Calendar!$B$2:$B$755,$A2809)&gt;0,1,0))</f>
        <v/>
      </c>
      <c r="P2809" s="16">
        <f t="shared" si="4"/>
        <v>0</v>
      </c>
    </row>
    <row r="2810" ht="15.75" customHeight="1">
      <c r="A2810" s="14">
        <v>40458.0</v>
      </c>
      <c r="B2810" s="15">
        <v>0.36</v>
      </c>
      <c r="C2810" s="15"/>
      <c r="D2810" s="15">
        <v>3.89</v>
      </c>
      <c r="E2810" s="15">
        <v>3.94</v>
      </c>
      <c r="F2810" s="15" t="str">
        <f t="shared" si="1"/>
        <v/>
      </c>
      <c r="G2810" s="15">
        <f t="shared" si="2"/>
        <v>3.89</v>
      </c>
      <c r="H2810" s="16">
        <v>1.0</v>
      </c>
      <c r="I2810" s="15">
        <f t="shared" si="3"/>
        <v>3.53</v>
      </c>
      <c r="J2810" s="15">
        <v>21.56</v>
      </c>
      <c r="K2810" s="16">
        <f>IF(COUNTIFS(Release_Calendar!$A$2:$A$755,"US_CPI",Release_Calendar!$B$2:$B$755,$A2810)&gt;0,1,0)</f>
        <v>0</v>
      </c>
      <c r="L2810" s="16">
        <f>IF(COUNTIFS(Release_Calendar!$A$2:$A$755,"US_NFP",Release_Calendar!$B$2:$B$755,$A2810)&gt;0,1,0)</f>
        <v>0</v>
      </c>
      <c r="M2810" s="16" t="str">
        <f>IF($A2810&lt;Notes!$B$5,"",IF(COUNTIFS(Release_Calendar!$A$2:$A$755,"NZ_CPI",Release_Calendar!$B$2:$B$755,$A2810)&gt;0,1,0))</f>
        <v/>
      </c>
      <c r="N2810" s="16" t="str">
        <f>IF($A2810&lt;Notes!$B$5,"",IF(COUNTIFS(Release_Calendar!$A$2:$A$755,"NZ_GDP",Release_Calendar!$B$2:$B$755,$A2810)&gt;0,1,0))</f>
        <v/>
      </c>
      <c r="O2810" s="16" t="str">
        <f>IF($A2810&lt;Notes!$B$5,"",IF(COUNTIFS(Release_Calendar!$A$2:$A$755,"NZ_LABOUR",Release_Calendar!$B$2:$B$755,$A2810)&gt;0,1,0))</f>
        <v/>
      </c>
      <c r="P2810" s="16">
        <f t="shared" si="4"/>
        <v>0</v>
      </c>
    </row>
    <row r="2811" ht="15.75" customHeight="1">
      <c r="A2811" s="14">
        <v>40459.0</v>
      </c>
      <c r="B2811" s="15">
        <v>0.35</v>
      </c>
      <c r="C2811" s="15"/>
      <c r="D2811" s="15">
        <v>3.93</v>
      </c>
      <c r="E2811" s="15">
        <v>3.92</v>
      </c>
      <c r="F2811" s="15" t="str">
        <f t="shared" si="1"/>
        <v/>
      </c>
      <c r="G2811" s="15">
        <f t="shared" si="2"/>
        <v>3.93</v>
      </c>
      <c r="H2811" s="16">
        <v>1.0</v>
      </c>
      <c r="I2811" s="15">
        <f t="shared" si="3"/>
        <v>3.58</v>
      </c>
      <c r="J2811" s="15">
        <v>20.71</v>
      </c>
      <c r="K2811" s="16">
        <f>IF(COUNTIFS(Release_Calendar!$A$2:$A$755,"US_CPI",Release_Calendar!$B$2:$B$755,$A2811)&gt;0,1,0)</f>
        <v>0</v>
      </c>
      <c r="L2811" s="16">
        <f>IF(COUNTIFS(Release_Calendar!$A$2:$A$755,"US_NFP",Release_Calendar!$B$2:$B$755,$A2811)&gt;0,1,0)</f>
        <v>1</v>
      </c>
      <c r="M2811" s="16" t="str">
        <f>IF($A2811&lt;Notes!$B$5,"",IF(COUNTIFS(Release_Calendar!$A$2:$A$755,"NZ_CPI",Release_Calendar!$B$2:$B$755,$A2811)&gt;0,1,0))</f>
        <v/>
      </c>
      <c r="N2811" s="16" t="str">
        <f>IF($A2811&lt;Notes!$B$5,"",IF(COUNTIFS(Release_Calendar!$A$2:$A$755,"NZ_GDP",Release_Calendar!$B$2:$B$755,$A2811)&gt;0,1,0))</f>
        <v/>
      </c>
      <c r="O2811" s="16" t="str">
        <f>IF($A2811&lt;Notes!$B$5,"",IF(COUNTIFS(Release_Calendar!$A$2:$A$755,"NZ_LABOUR",Release_Calendar!$B$2:$B$755,$A2811)&gt;0,1,0))</f>
        <v/>
      </c>
      <c r="P2811" s="16">
        <f t="shared" si="4"/>
        <v>1</v>
      </c>
    </row>
    <row r="2812" ht="15.75" customHeight="1">
      <c r="A2812" s="14">
        <v>40462.0</v>
      </c>
      <c r="B2812" s="15"/>
      <c r="C2812" s="15"/>
      <c r="D2812" s="15">
        <v>3.92</v>
      </c>
      <c r="E2812" s="15">
        <v>3.9</v>
      </c>
      <c r="F2812" s="15" t="str">
        <f t="shared" si="1"/>
        <v/>
      </c>
      <c r="G2812" s="15">
        <f t="shared" si="2"/>
        <v>3.92</v>
      </c>
      <c r="H2812" s="16">
        <v>1.0</v>
      </c>
      <c r="I2812" s="15" t="str">
        <f t="shared" si="3"/>
        <v/>
      </c>
      <c r="J2812" s="15">
        <v>18.96</v>
      </c>
      <c r="K2812" s="16">
        <f>IF(COUNTIFS(Release_Calendar!$A$2:$A$755,"US_CPI",Release_Calendar!$B$2:$B$755,$A2812)&gt;0,1,0)</f>
        <v>0</v>
      </c>
      <c r="L2812" s="16">
        <f>IF(COUNTIFS(Release_Calendar!$A$2:$A$755,"US_NFP",Release_Calendar!$B$2:$B$755,$A2812)&gt;0,1,0)</f>
        <v>0</v>
      </c>
      <c r="M2812" s="16" t="str">
        <f>IF($A2812&lt;Notes!$B$5,"",IF(COUNTIFS(Release_Calendar!$A$2:$A$755,"NZ_CPI",Release_Calendar!$B$2:$B$755,$A2812)&gt;0,1,0))</f>
        <v/>
      </c>
      <c r="N2812" s="16" t="str">
        <f>IF($A2812&lt;Notes!$B$5,"",IF(COUNTIFS(Release_Calendar!$A$2:$A$755,"NZ_GDP",Release_Calendar!$B$2:$B$755,$A2812)&gt;0,1,0))</f>
        <v/>
      </c>
      <c r="O2812" s="16" t="str">
        <f>IF($A2812&lt;Notes!$B$5,"",IF(COUNTIFS(Release_Calendar!$A$2:$A$755,"NZ_LABOUR",Release_Calendar!$B$2:$B$755,$A2812)&gt;0,1,0))</f>
        <v/>
      </c>
      <c r="P2812" s="16">
        <f t="shared" si="4"/>
        <v>0</v>
      </c>
    </row>
    <row r="2813" ht="15.75" customHeight="1">
      <c r="A2813" s="14">
        <v>40463.0</v>
      </c>
      <c r="B2813" s="15">
        <v>0.37</v>
      </c>
      <c r="C2813" s="15"/>
      <c r="D2813" s="15">
        <v>3.9</v>
      </c>
      <c r="E2813" s="15">
        <v>3.88</v>
      </c>
      <c r="F2813" s="15" t="str">
        <f t="shared" si="1"/>
        <v/>
      </c>
      <c r="G2813" s="15">
        <f t="shared" si="2"/>
        <v>3.9</v>
      </c>
      <c r="H2813" s="16">
        <v>1.0</v>
      </c>
      <c r="I2813" s="15">
        <f t="shared" si="3"/>
        <v>3.53</v>
      </c>
      <c r="J2813" s="15">
        <v>18.93</v>
      </c>
      <c r="K2813" s="16">
        <f>IF(COUNTIFS(Release_Calendar!$A$2:$A$755,"US_CPI",Release_Calendar!$B$2:$B$755,$A2813)&gt;0,1,0)</f>
        <v>0</v>
      </c>
      <c r="L2813" s="16">
        <f>IF(COUNTIFS(Release_Calendar!$A$2:$A$755,"US_NFP",Release_Calendar!$B$2:$B$755,$A2813)&gt;0,1,0)</f>
        <v>0</v>
      </c>
      <c r="M2813" s="16" t="str">
        <f>IF($A2813&lt;Notes!$B$5,"",IF(COUNTIFS(Release_Calendar!$A$2:$A$755,"NZ_CPI",Release_Calendar!$B$2:$B$755,$A2813)&gt;0,1,0))</f>
        <v/>
      </c>
      <c r="N2813" s="16" t="str">
        <f>IF($A2813&lt;Notes!$B$5,"",IF(COUNTIFS(Release_Calendar!$A$2:$A$755,"NZ_GDP",Release_Calendar!$B$2:$B$755,$A2813)&gt;0,1,0))</f>
        <v/>
      </c>
      <c r="O2813" s="16" t="str">
        <f>IF($A2813&lt;Notes!$B$5,"",IF(COUNTIFS(Release_Calendar!$A$2:$A$755,"NZ_LABOUR",Release_Calendar!$B$2:$B$755,$A2813)&gt;0,1,0))</f>
        <v/>
      </c>
      <c r="P2813" s="16">
        <f t="shared" si="4"/>
        <v>0</v>
      </c>
    </row>
    <row r="2814" ht="15.75" customHeight="1">
      <c r="A2814" s="14">
        <v>40464.0</v>
      </c>
      <c r="B2814" s="15">
        <v>0.37</v>
      </c>
      <c r="C2814" s="15"/>
      <c r="D2814" s="15">
        <v>3.88</v>
      </c>
      <c r="E2814" s="15">
        <v>3.87</v>
      </c>
      <c r="F2814" s="15" t="str">
        <f t="shared" si="1"/>
        <v/>
      </c>
      <c r="G2814" s="15">
        <f t="shared" si="2"/>
        <v>3.88</v>
      </c>
      <c r="H2814" s="16">
        <v>1.0</v>
      </c>
      <c r="I2814" s="15">
        <f t="shared" si="3"/>
        <v>3.51</v>
      </c>
      <c r="J2814" s="15">
        <v>19.07</v>
      </c>
      <c r="K2814" s="16">
        <f>IF(COUNTIFS(Release_Calendar!$A$2:$A$755,"US_CPI",Release_Calendar!$B$2:$B$755,$A2814)&gt;0,1,0)</f>
        <v>0</v>
      </c>
      <c r="L2814" s="16">
        <f>IF(COUNTIFS(Release_Calendar!$A$2:$A$755,"US_NFP",Release_Calendar!$B$2:$B$755,$A2814)&gt;0,1,0)</f>
        <v>0</v>
      </c>
      <c r="M2814" s="16" t="str">
        <f>IF($A2814&lt;Notes!$B$5,"",IF(COUNTIFS(Release_Calendar!$A$2:$A$755,"NZ_CPI",Release_Calendar!$B$2:$B$755,$A2814)&gt;0,1,0))</f>
        <v/>
      </c>
      <c r="N2814" s="16" t="str">
        <f>IF($A2814&lt;Notes!$B$5,"",IF(COUNTIFS(Release_Calendar!$A$2:$A$755,"NZ_GDP",Release_Calendar!$B$2:$B$755,$A2814)&gt;0,1,0))</f>
        <v/>
      </c>
      <c r="O2814" s="16" t="str">
        <f>IF($A2814&lt;Notes!$B$5,"",IF(COUNTIFS(Release_Calendar!$A$2:$A$755,"NZ_LABOUR",Release_Calendar!$B$2:$B$755,$A2814)&gt;0,1,0))</f>
        <v/>
      </c>
      <c r="P2814" s="16">
        <f t="shared" si="4"/>
        <v>0</v>
      </c>
    </row>
    <row r="2815" ht="15.75" customHeight="1">
      <c r="A2815" s="14">
        <v>40465.0</v>
      </c>
      <c r="B2815" s="15">
        <v>0.38</v>
      </c>
      <c r="C2815" s="15"/>
      <c r="D2815" s="15">
        <v>3.84</v>
      </c>
      <c r="E2815" s="15">
        <v>3.85</v>
      </c>
      <c r="F2815" s="15" t="str">
        <f t="shared" si="1"/>
        <v/>
      </c>
      <c r="G2815" s="15">
        <f t="shared" si="2"/>
        <v>3.84</v>
      </c>
      <c r="H2815" s="16">
        <v>1.0</v>
      </c>
      <c r="I2815" s="15">
        <f t="shared" si="3"/>
        <v>3.46</v>
      </c>
      <c r="J2815" s="15">
        <v>19.88</v>
      </c>
      <c r="K2815" s="16">
        <f>IF(COUNTIFS(Release_Calendar!$A$2:$A$755,"US_CPI",Release_Calendar!$B$2:$B$755,$A2815)&gt;0,1,0)</f>
        <v>0</v>
      </c>
      <c r="L2815" s="16">
        <f>IF(COUNTIFS(Release_Calendar!$A$2:$A$755,"US_NFP",Release_Calendar!$B$2:$B$755,$A2815)&gt;0,1,0)</f>
        <v>0</v>
      </c>
      <c r="M2815" s="16" t="str">
        <f>IF($A2815&lt;Notes!$B$5,"",IF(COUNTIFS(Release_Calendar!$A$2:$A$755,"NZ_CPI",Release_Calendar!$B$2:$B$755,$A2815)&gt;0,1,0))</f>
        <v/>
      </c>
      <c r="N2815" s="16" t="str">
        <f>IF($A2815&lt;Notes!$B$5,"",IF(COUNTIFS(Release_Calendar!$A$2:$A$755,"NZ_GDP",Release_Calendar!$B$2:$B$755,$A2815)&gt;0,1,0))</f>
        <v/>
      </c>
      <c r="O2815" s="16" t="str">
        <f>IF($A2815&lt;Notes!$B$5,"",IF(COUNTIFS(Release_Calendar!$A$2:$A$755,"NZ_LABOUR",Release_Calendar!$B$2:$B$755,$A2815)&gt;0,1,0))</f>
        <v/>
      </c>
      <c r="P2815" s="16">
        <f t="shared" si="4"/>
        <v>0</v>
      </c>
    </row>
    <row r="2816" ht="15.75" customHeight="1">
      <c r="A2816" s="14">
        <v>40466.0</v>
      </c>
      <c r="B2816" s="15">
        <v>0.37</v>
      </c>
      <c r="C2816" s="15"/>
      <c r="D2816" s="15">
        <v>3.87</v>
      </c>
      <c r="E2816" s="15">
        <v>3.87</v>
      </c>
      <c r="F2816" s="15" t="str">
        <f t="shared" si="1"/>
        <v/>
      </c>
      <c r="G2816" s="15">
        <f t="shared" si="2"/>
        <v>3.87</v>
      </c>
      <c r="H2816" s="16">
        <v>1.0</v>
      </c>
      <c r="I2816" s="15">
        <f t="shared" si="3"/>
        <v>3.5</v>
      </c>
      <c r="J2816" s="15">
        <v>19.03</v>
      </c>
      <c r="K2816" s="16">
        <f>IF(COUNTIFS(Release_Calendar!$A$2:$A$755,"US_CPI",Release_Calendar!$B$2:$B$755,$A2816)&gt;0,1,0)</f>
        <v>1</v>
      </c>
      <c r="L2816" s="16">
        <f>IF(COUNTIFS(Release_Calendar!$A$2:$A$755,"US_NFP",Release_Calendar!$B$2:$B$755,$A2816)&gt;0,1,0)</f>
        <v>0</v>
      </c>
      <c r="M2816" s="16" t="str">
        <f>IF($A2816&lt;Notes!$B$5,"",IF(COUNTIFS(Release_Calendar!$A$2:$A$755,"NZ_CPI",Release_Calendar!$B$2:$B$755,$A2816)&gt;0,1,0))</f>
        <v/>
      </c>
      <c r="N2816" s="16" t="str">
        <f>IF($A2816&lt;Notes!$B$5,"",IF(COUNTIFS(Release_Calendar!$A$2:$A$755,"NZ_GDP",Release_Calendar!$B$2:$B$755,$A2816)&gt;0,1,0))</f>
        <v/>
      </c>
      <c r="O2816" s="16" t="str">
        <f>IF($A2816&lt;Notes!$B$5,"",IF(COUNTIFS(Release_Calendar!$A$2:$A$755,"NZ_LABOUR",Release_Calendar!$B$2:$B$755,$A2816)&gt;0,1,0))</f>
        <v/>
      </c>
      <c r="P2816" s="16">
        <f t="shared" si="4"/>
        <v>1</v>
      </c>
    </row>
    <row r="2817" ht="15.75" customHeight="1">
      <c r="A2817" s="14">
        <v>40469.0</v>
      </c>
      <c r="B2817" s="15">
        <v>0.38</v>
      </c>
      <c r="C2817" s="15"/>
      <c r="D2817" s="15">
        <v>3.88</v>
      </c>
      <c r="E2817" s="15">
        <v>3.9</v>
      </c>
      <c r="F2817" s="15" t="str">
        <f t="shared" si="1"/>
        <v/>
      </c>
      <c r="G2817" s="15">
        <f t="shared" si="2"/>
        <v>3.88</v>
      </c>
      <c r="H2817" s="16">
        <v>1.0</v>
      </c>
      <c r="I2817" s="15">
        <f t="shared" si="3"/>
        <v>3.5</v>
      </c>
      <c r="J2817" s="15">
        <v>19.09</v>
      </c>
      <c r="K2817" s="16">
        <f>IF(COUNTIFS(Release_Calendar!$A$2:$A$755,"US_CPI",Release_Calendar!$B$2:$B$755,$A2817)&gt;0,1,0)</f>
        <v>0</v>
      </c>
      <c r="L2817" s="16">
        <f>IF(COUNTIFS(Release_Calendar!$A$2:$A$755,"US_NFP",Release_Calendar!$B$2:$B$755,$A2817)&gt;0,1,0)</f>
        <v>0</v>
      </c>
      <c r="M2817" s="16" t="str">
        <f>IF($A2817&lt;Notes!$B$5,"",IF(COUNTIFS(Release_Calendar!$A$2:$A$755,"NZ_CPI",Release_Calendar!$B$2:$B$755,$A2817)&gt;0,1,0))</f>
        <v/>
      </c>
      <c r="N2817" s="16" t="str">
        <f>IF($A2817&lt;Notes!$B$5,"",IF(COUNTIFS(Release_Calendar!$A$2:$A$755,"NZ_GDP",Release_Calendar!$B$2:$B$755,$A2817)&gt;0,1,0))</f>
        <v/>
      </c>
      <c r="O2817" s="16" t="str">
        <f>IF($A2817&lt;Notes!$B$5,"",IF(COUNTIFS(Release_Calendar!$A$2:$A$755,"NZ_LABOUR",Release_Calendar!$B$2:$B$755,$A2817)&gt;0,1,0))</f>
        <v/>
      </c>
      <c r="P2817" s="16">
        <f t="shared" si="4"/>
        <v>0</v>
      </c>
    </row>
    <row r="2818" ht="15.75" customHeight="1">
      <c r="A2818" s="14">
        <v>40470.0</v>
      </c>
      <c r="B2818" s="15">
        <v>0.37</v>
      </c>
      <c r="C2818" s="15"/>
      <c r="D2818" s="15">
        <v>3.9</v>
      </c>
      <c r="E2818" s="15">
        <v>3.89</v>
      </c>
      <c r="F2818" s="15" t="str">
        <f t="shared" si="1"/>
        <v/>
      </c>
      <c r="G2818" s="15">
        <f t="shared" si="2"/>
        <v>3.9</v>
      </c>
      <c r="H2818" s="16">
        <v>1.0</v>
      </c>
      <c r="I2818" s="15">
        <f t="shared" si="3"/>
        <v>3.53</v>
      </c>
      <c r="J2818" s="15">
        <v>20.63</v>
      </c>
      <c r="K2818" s="16">
        <f>IF(COUNTIFS(Release_Calendar!$A$2:$A$755,"US_CPI",Release_Calendar!$B$2:$B$755,$A2818)&gt;0,1,0)</f>
        <v>0</v>
      </c>
      <c r="L2818" s="16">
        <f>IF(COUNTIFS(Release_Calendar!$A$2:$A$755,"US_NFP",Release_Calendar!$B$2:$B$755,$A2818)&gt;0,1,0)</f>
        <v>0</v>
      </c>
      <c r="M2818" s="16" t="str">
        <f>IF($A2818&lt;Notes!$B$5,"",IF(COUNTIFS(Release_Calendar!$A$2:$A$755,"NZ_CPI",Release_Calendar!$B$2:$B$755,$A2818)&gt;0,1,0))</f>
        <v/>
      </c>
      <c r="N2818" s="16" t="str">
        <f>IF($A2818&lt;Notes!$B$5,"",IF(COUNTIFS(Release_Calendar!$A$2:$A$755,"NZ_GDP",Release_Calendar!$B$2:$B$755,$A2818)&gt;0,1,0))</f>
        <v/>
      </c>
      <c r="O2818" s="16" t="str">
        <f>IF($A2818&lt;Notes!$B$5,"",IF(COUNTIFS(Release_Calendar!$A$2:$A$755,"NZ_LABOUR",Release_Calendar!$B$2:$B$755,$A2818)&gt;0,1,0))</f>
        <v/>
      </c>
      <c r="P2818" s="16">
        <f t="shared" si="4"/>
        <v>0</v>
      </c>
    </row>
    <row r="2819" ht="15.75" customHeight="1">
      <c r="A2819" s="14">
        <v>40471.0</v>
      </c>
      <c r="B2819" s="15">
        <v>0.35</v>
      </c>
      <c r="C2819" s="15"/>
      <c r="D2819" s="15">
        <v>3.88</v>
      </c>
      <c r="E2819" s="15">
        <v>3.88</v>
      </c>
      <c r="F2819" s="15" t="str">
        <f t="shared" si="1"/>
        <v/>
      </c>
      <c r="G2819" s="15">
        <f t="shared" si="2"/>
        <v>3.88</v>
      </c>
      <c r="H2819" s="16">
        <v>1.0</v>
      </c>
      <c r="I2819" s="15">
        <f t="shared" si="3"/>
        <v>3.53</v>
      </c>
      <c r="J2819" s="15">
        <v>19.79</v>
      </c>
      <c r="K2819" s="16">
        <f>IF(COUNTIFS(Release_Calendar!$A$2:$A$755,"US_CPI",Release_Calendar!$B$2:$B$755,$A2819)&gt;0,1,0)</f>
        <v>0</v>
      </c>
      <c r="L2819" s="16">
        <f>IF(COUNTIFS(Release_Calendar!$A$2:$A$755,"US_NFP",Release_Calendar!$B$2:$B$755,$A2819)&gt;0,1,0)</f>
        <v>0</v>
      </c>
      <c r="M2819" s="16" t="str">
        <f>IF($A2819&lt;Notes!$B$5,"",IF(COUNTIFS(Release_Calendar!$A$2:$A$755,"NZ_CPI",Release_Calendar!$B$2:$B$755,$A2819)&gt;0,1,0))</f>
        <v/>
      </c>
      <c r="N2819" s="16" t="str">
        <f>IF($A2819&lt;Notes!$B$5,"",IF(COUNTIFS(Release_Calendar!$A$2:$A$755,"NZ_GDP",Release_Calendar!$B$2:$B$755,$A2819)&gt;0,1,0))</f>
        <v/>
      </c>
      <c r="O2819" s="16" t="str">
        <f>IF($A2819&lt;Notes!$B$5,"",IF(COUNTIFS(Release_Calendar!$A$2:$A$755,"NZ_LABOUR",Release_Calendar!$B$2:$B$755,$A2819)&gt;0,1,0))</f>
        <v/>
      </c>
      <c r="P2819" s="16">
        <f t="shared" si="4"/>
        <v>0</v>
      </c>
    </row>
    <row r="2820" ht="15.75" customHeight="1">
      <c r="A2820" s="14">
        <v>40472.0</v>
      </c>
      <c r="B2820" s="15">
        <v>0.37</v>
      </c>
      <c r="C2820" s="15"/>
      <c r="D2820" s="15">
        <v>3.9</v>
      </c>
      <c r="E2820" s="15">
        <v>3.91</v>
      </c>
      <c r="F2820" s="15" t="str">
        <f t="shared" si="1"/>
        <v/>
      </c>
      <c r="G2820" s="15">
        <f t="shared" si="2"/>
        <v>3.9</v>
      </c>
      <c r="H2820" s="16">
        <v>1.0</v>
      </c>
      <c r="I2820" s="15">
        <f t="shared" si="3"/>
        <v>3.53</v>
      </c>
      <c r="J2820" s="15">
        <v>19.27</v>
      </c>
      <c r="K2820" s="16">
        <f>IF(COUNTIFS(Release_Calendar!$A$2:$A$755,"US_CPI",Release_Calendar!$B$2:$B$755,$A2820)&gt;0,1,0)</f>
        <v>0</v>
      </c>
      <c r="L2820" s="16">
        <f>IF(COUNTIFS(Release_Calendar!$A$2:$A$755,"US_NFP",Release_Calendar!$B$2:$B$755,$A2820)&gt;0,1,0)</f>
        <v>0</v>
      </c>
      <c r="M2820" s="16" t="str">
        <f>IF($A2820&lt;Notes!$B$5,"",IF(COUNTIFS(Release_Calendar!$A$2:$A$755,"NZ_CPI",Release_Calendar!$B$2:$B$755,$A2820)&gt;0,1,0))</f>
        <v/>
      </c>
      <c r="N2820" s="16" t="str">
        <f>IF($A2820&lt;Notes!$B$5,"",IF(COUNTIFS(Release_Calendar!$A$2:$A$755,"NZ_GDP",Release_Calendar!$B$2:$B$755,$A2820)&gt;0,1,0))</f>
        <v/>
      </c>
      <c r="O2820" s="16" t="str">
        <f>IF($A2820&lt;Notes!$B$5,"",IF(COUNTIFS(Release_Calendar!$A$2:$A$755,"NZ_LABOUR",Release_Calendar!$B$2:$B$755,$A2820)&gt;0,1,0))</f>
        <v/>
      </c>
      <c r="P2820" s="16">
        <f t="shared" si="4"/>
        <v>0</v>
      </c>
    </row>
    <row r="2821" ht="15.75" customHeight="1">
      <c r="A2821" s="14">
        <v>40473.0</v>
      </c>
      <c r="B2821" s="15">
        <v>0.35</v>
      </c>
      <c r="C2821" s="15"/>
      <c r="D2821" s="15">
        <v>3.91</v>
      </c>
      <c r="E2821" s="15">
        <v>3.91</v>
      </c>
      <c r="F2821" s="15" t="str">
        <f t="shared" si="1"/>
        <v/>
      </c>
      <c r="G2821" s="15">
        <f t="shared" si="2"/>
        <v>3.91</v>
      </c>
      <c r="H2821" s="16">
        <v>1.0</v>
      </c>
      <c r="I2821" s="15">
        <f t="shared" si="3"/>
        <v>3.56</v>
      </c>
      <c r="J2821" s="15">
        <v>18.78</v>
      </c>
      <c r="K2821" s="16">
        <f>IF(COUNTIFS(Release_Calendar!$A$2:$A$755,"US_CPI",Release_Calendar!$B$2:$B$755,$A2821)&gt;0,1,0)</f>
        <v>0</v>
      </c>
      <c r="L2821" s="16">
        <f>IF(COUNTIFS(Release_Calendar!$A$2:$A$755,"US_NFP",Release_Calendar!$B$2:$B$755,$A2821)&gt;0,1,0)</f>
        <v>0</v>
      </c>
      <c r="M2821" s="16" t="str">
        <f>IF($A2821&lt;Notes!$B$5,"",IF(COUNTIFS(Release_Calendar!$A$2:$A$755,"NZ_CPI",Release_Calendar!$B$2:$B$755,$A2821)&gt;0,1,0))</f>
        <v/>
      </c>
      <c r="N2821" s="16" t="str">
        <f>IF($A2821&lt;Notes!$B$5,"",IF(COUNTIFS(Release_Calendar!$A$2:$A$755,"NZ_GDP",Release_Calendar!$B$2:$B$755,$A2821)&gt;0,1,0))</f>
        <v/>
      </c>
      <c r="O2821" s="16" t="str">
        <f>IF($A2821&lt;Notes!$B$5,"",IF(COUNTIFS(Release_Calendar!$A$2:$A$755,"NZ_LABOUR",Release_Calendar!$B$2:$B$755,$A2821)&gt;0,1,0))</f>
        <v/>
      </c>
      <c r="P2821" s="16">
        <f t="shared" si="4"/>
        <v>0</v>
      </c>
    </row>
    <row r="2822" ht="15.75" customHeight="1">
      <c r="A2822" s="14">
        <v>40476.0</v>
      </c>
      <c r="B2822" s="15">
        <v>0.37</v>
      </c>
      <c r="C2822" s="15"/>
      <c r="D2822" s="15"/>
      <c r="E2822" s="15"/>
      <c r="F2822" s="15" t="str">
        <f t="shared" si="1"/>
        <v/>
      </c>
      <c r="G2822" s="15" t="str">
        <f t="shared" si="2"/>
        <v/>
      </c>
      <c r="H2822" s="16">
        <v>1.0</v>
      </c>
      <c r="I2822" s="15" t="str">
        <f t="shared" si="3"/>
        <v/>
      </c>
      <c r="J2822" s="15">
        <v>19.85</v>
      </c>
      <c r="K2822" s="16">
        <f>IF(COUNTIFS(Release_Calendar!$A$2:$A$755,"US_CPI",Release_Calendar!$B$2:$B$755,$A2822)&gt;0,1,0)</f>
        <v>0</v>
      </c>
      <c r="L2822" s="16">
        <f>IF(COUNTIFS(Release_Calendar!$A$2:$A$755,"US_NFP",Release_Calendar!$B$2:$B$755,$A2822)&gt;0,1,0)</f>
        <v>0</v>
      </c>
      <c r="M2822" s="16" t="str">
        <f>IF($A2822&lt;Notes!$B$5,"",IF(COUNTIFS(Release_Calendar!$A$2:$A$755,"NZ_CPI",Release_Calendar!$B$2:$B$755,$A2822)&gt;0,1,0))</f>
        <v/>
      </c>
      <c r="N2822" s="16" t="str">
        <f>IF($A2822&lt;Notes!$B$5,"",IF(COUNTIFS(Release_Calendar!$A$2:$A$755,"NZ_GDP",Release_Calendar!$B$2:$B$755,$A2822)&gt;0,1,0))</f>
        <v/>
      </c>
      <c r="O2822" s="16" t="str">
        <f>IF($A2822&lt;Notes!$B$5,"",IF(COUNTIFS(Release_Calendar!$A$2:$A$755,"NZ_LABOUR",Release_Calendar!$B$2:$B$755,$A2822)&gt;0,1,0))</f>
        <v/>
      </c>
      <c r="P2822" s="16">
        <f t="shared" si="4"/>
        <v>0</v>
      </c>
    </row>
    <row r="2823" ht="15.75" customHeight="1">
      <c r="A2823" s="14">
        <v>40477.0</v>
      </c>
      <c r="B2823" s="15">
        <v>0.4</v>
      </c>
      <c r="C2823" s="15"/>
      <c r="D2823" s="15">
        <v>3.93</v>
      </c>
      <c r="E2823" s="15">
        <v>3.93</v>
      </c>
      <c r="F2823" s="15" t="str">
        <f t="shared" si="1"/>
        <v/>
      </c>
      <c r="G2823" s="15">
        <f t="shared" si="2"/>
        <v>3.93</v>
      </c>
      <c r="H2823" s="16">
        <v>1.0</v>
      </c>
      <c r="I2823" s="15">
        <f t="shared" si="3"/>
        <v>3.53</v>
      </c>
      <c r="J2823" s="15">
        <v>20.22</v>
      </c>
      <c r="K2823" s="16">
        <f>IF(COUNTIFS(Release_Calendar!$A$2:$A$755,"US_CPI",Release_Calendar!$B$2:$B$755,$A2823)&gt;0,1,0)</f>
        <v>0</v>
      </c>
      <c r="L2823" s="16">
        <f>IF(COUNTIFS(Release_Calendar!$A$2:$A$755,"US_NFP",Release_Calendar!$B$2:$B$755,$A2823)&gt;0,1,0)</f>
        <v>0</v>
      </c>
      <c r="M2823" s="16" t="str">
        <f>IF($A2823&lt;Notes!$B$5,"",IF(COUNTIFS(Release_Calendar!$A$2:$A$755,"NZ_CPI",Release_Calendar!$B$2:$B$755,$A2823)&gt;0,1,0))</f>
        <v/>
      </c>
      <c r="N2823" s="16" t="str">
        <f>IF($A2823&lt;Notes!$B$5,"",IF(COUNTIFS(Release_Calendar!$A$2:$A$755,"NZ_GDP",Release_Calendar!$B$2:$B$755,$A2823)&gt;0,1,0))</f>
        <v/>
      </c>
      <c r="O2823" s="16" t="str">
        <f>IF($A2823&lt;Notes!$B$5,"",IF(COUNTIFS(Release_Calendar!$A$2:$A$755,"NZ_LABOUR",Release_Calendar!$B$2:$B$755,$A2823)&gt;0,1,0))</f>
        <v/>
      </c>
      <c r="P2823" s="16">
        <f t="shared" si="4"/>
        <v>0</v>
      </c>
    </row>
    <row r="2824" ht="15.75" customHeight="1">
      <c r="A2824" s="14">
        <v>40478.0</v>
      </c>
      <c r="B2824" s="15">
        <v>0.4</v>
      </c>
      <c r="C2824" s="15"/>
      <c r="D2824" s="15">
        <v>3.95</v>
      </c>
      <c r="E2824" s="15">
        <v>3.94</v>
      </c>
      <c r="F2824" s="15" t="str">
        <f t="shared" si="1"/>
        <v/>
      </c>
      <c r="G2824" s="15">
        <f t="shared" si="2"/>
        <v>3.95</v>
      </c>
      <c r="H2824" s="16">
        <v>1.0</v>
      </c>
      <c r="I2824" s="15">
        <f t="shared" si="3"/>
        <v>3.55</v>
      </c>
      <c r="J2824" s="15">
        <v>20.71</v>
      </c>
      <c r="K2824" s="16">
        <f>IF(COUNTIFS(Release_Calendar!$A$2:$A$755,"US_CPI",Release_Calendar!$B$2:$B$755,$A2824)&gt;0,1,0)</f>
        <v>0</v>
      </c>
      <c r="L2824" s="16">
        <f>IF(COUNTIFS(Release_Calendar!$A$2:$A$755,"US_NFP",Release_Calendar!$B$2:$B$755,$A2824)&gt;0,1,0)</f>
        <v>0</v>
      </c>
      <c r="M2824" s="16" t="str">
        <f>IF($A2824&lt;Notes!$B$5,"",IF(COUNTIFS(Release_Calendar!$A$2:$A$755,"NZ_CPI",Release_Calendar!$B$2:$B$755,$A2824)&gt;0,1,0))</f>
        <v/>
      </c>
      <c r="N2824" s="16" t="str">
        <f>IF($A2824&lt;Notes!$B$5,"",IF(COUNTIFS(Release_Calendar!$A$2:$A$755,"NZ_GDP",Release_Calendar!$B$2:$B$755,$A2824)&gt;0,1,0))</f>
        <v/>
      </c>
      <c r="O2824" s="16" t="str">
        <f>IF($A2824&lt;Notes!$B$5,"",IF(COUNTIFS(Release_Calendar!$A$2:$A$755,"NZ_LABOUR",Release_Calendar!$B$2:$B$755,$A2824)&gt;0,1,0))</f>
        <v/>
      </c>
      <c r="P2824" s="16">
        <f t="shared" si="4"/>
        <v>0</v>
      </c>
    </row>
    <row r="2825" ht="15.75" customHeight="1">
      <c r="A2825" s="14">
        <v>40479.0</v>
      </c>
      <c r="B2825" s="15">
        <v>0.37</v>
      </c>
      <c r="C2825" s="15"/>
      <c r="D2825" s="15">
        <v>3.99</v>
      </c>
      <c r="E2825" s="15">
        <v>4.0</v>
      </c>
      <c r="F2825" s="15" t="str">
        <f t="shared" si="1"/>
        <v/>
      </c>
      <c r="G2825" s="15">
        <f t="shared" si="2"/>
        <v>3.99</v>
      </c>
      <c r="H2825" s="16">
        <v>1.0</v>
      </c>
      <c r="I2825" s="15">
        <f t="shared" si="3"/>
        <v>3.62</v>
      </c>
      <c r="J2825" s="15">
        <v>20.88</v>
      </c>
      <c r="K2825" s="16">
        <f>IF(COUNTIFS(Release_Calendar!$A$2:$A$755,"US_CPI",Release_Calendar!$B$2:$B$755,$A2825)&gt;0,1,0)</f>
        <v>0</v>
      </c>
      <c r="L2825" s="16">
        <f>IF(COUNTIFS(Release_Calendar!$A$2:$A$755,"US_NFP",Release_Calendar!$B$2:$B$755,$A2825)&gt;0,1,0)</f>
        <v>0</v>
      </c>
      <c r="M2825" s="16" t="str">
        <f>IF($A2825&lt;Notes!$B$5,"",IF(COUNTIFS(Release_Calendar!$A$2:$A$755,"NZ_CPI",Release_Calendar!$B$2:$B$755,$A2825)&gt;0,1,0))</f>
        <v/>
      </c>
      <c r="N2825" s="16" t="str">
        <f>IF($A2825&lt;Notes!$B$5,"",IF(COUNTIFS(Release_Calendar!$A$2:$A$755,"NZ_GDP",Release_Calendar!$B$2:$B$755,$A2825)&gt;0,1,0))</f>
        <v/>
      </c>
      <c r="O2825" s="16" t="str">
        <f>IF($A2825&lt;Notes!$B$5,"",IF(COUNTIFS(Release_Calendar!$A$2:$A$755,"NZ_LABOUR",Release_Calendar!$B$2:$B$755,$A2825)&gt;0,1,0))</f>
        <v/>
      </c>
      <c r="P2825" s="16">
        <f t="shared" si="4"/>
        <v>0</v>
      </c>
    </row>
    <row r="2826" ht="15.75" customHeight="1">
      <c r="A2826" s="14">
        <v>40480.0</v>
      </c>
      <c r="B2826" s="15">
        <v>0.34</v>
      </c>
      <c r="C2826" s="15"/>
      <c r="D2826" s="15">
        <v>4.05</v>
      </c>
      <c r="E2826" s="15">
        <v>4.05</v>
      </c>
      <c r="F2826" s="15" t="str">
        <f t="shared" si="1"/>
        <v/>
      </c>
      <c r="G2826" s="15">
        <f t="shared" si="2"/>
        <v>4.05</v>
      </c>
      <c r="H2826" s="16">
        <v>1.0</v>
      </c>
      <c r="I2826" s="15">
        <f t="shared" si="3"/>
        <v>3.71</v>
      </c>
      <c r="J2826" s="15">
        <v>21.2</v>
      </c>
      <c r="K2826" s="16">
        <f>IF(COUNTIFS(Release_Calendar!$A$2:$A$755,"US_CPI",Release_Calendar!$B$2:$B$755,$A2826)&gt;0,1,0)</f>
        <v>0</v>
      </c>
      <c r="L2826" s="16">
        <f>IF(COUNTIFS(Release_Calendar!$A$2:$A$755,"US_NFP",Release_Calendar!$B$2:$B$755,$A2826)&gt;0,1,0)</f>
        <v>0</v>
      </c>
      <c r="M2826" s="16" t="str">
        <f>IF($A2826&lt;Notes!$B$5,"",IF(COUNTIFS(Release_Calendar!$A$2:$A$755,"NZ_CPI",Release_Calendar!$B$2:$B$755,$A2826)&gt;0,1,0))</f>
        <v/>
      </c>
      <c r="N2826" s="16" t="str">
        <f>IF($A2826&lt;Notes!$B$5,"",IF(COUNTIFS(Release_Calendar!$A$2:$A$755,"NZ_GDP",Release_Calendar!$B$2:$B$755,$A2826)&gt;0,1,0))</f>
        <v/>
      </c>
      <c r="O2826" s="16" t="str">
        <f>IF($A2826&lt;Notes!$B$5,"",IF(COUNTIFS(Release_Calendar!$A$2:$A$755,"NZ_LABOUR",Release_Calendar!$B$2:$B$755,$A2826)&gt;0,1,0))</f>
        <v/>
      </c>
      <c r="P2826" s="16">
        <f t="shared" si="4"/>
        <v>0</v>
      </c>
    </row>
    <row r="2827" ht="15.75" customHeight="1">
      <c r="A2827" s="14">
        <v>40483.0</v>
      </c>
      <c r="B2827" s="15">
        <v>0.34</v>
      </c>
      <c r="C2827" s="15"/>
      <c r="D2827" s="15">
        <v>4.06</v>
      </c>
      <c r="E2827" s="15">
        <v>4.1</v>
      </c>
      <c r="F2827" s="15" t="str">
        <f t="shared" si="1"/>
        <v/>
      </c>
      <c r="G2827" s="15">
        <f t="shared" si="2"/>
        <v>4.06</v>
      </c>
      <c r="H2827" s="16">
        <v>1.0</v>
      </c>
      <c r="I2827" s="15">
        <f t="shared" si="3"/>
        <v>3.72</v>
      </c>
      <c r="J2827" s="15">
        <v>21.83</v>
      </c>
      <c r="K2827" s="16">
        <f>IF(COUNTIFS(Release_Calendar!$A$2:$A$755,"US_CPI",Release_Calendar!$B$2:$B$755,$A2827)&gt;0,1,0)</f>
        <v>0</v>
      </c>
      <c r="L2827" s="16">
        <f>IF(COUNTIFS(Release_Calendar!$A$2:$A$755,"US_NFP",Release_Calendar!$B$2:$B$755,$A2827)&gt;0,1,0)</f>
        <v>0</v>
      </c>
      <c r="M2827" s="16" t="str">
        <f>IF($A2827&lt;Notes!$B$5,"",IF(COUNTIFS(Release_Calendar!$A$2:$A$755,"NZ_CPI",Release_Calendar!$B$2:$B$755,$A2827)&gt;0,1,0))</f>
        <v/>
      </c>
      <c r="N2827" s="16" t="str">
        <f>IF($A2827&lt;Notes!$B$5,"",IF(COUNTIFS(Release_Calendar!$A$2:$A$755,"NZ_GDP",Release_Calendar!$B$2:$B$755,$A2827)&gt;0,1,0))</f>
        <v/>
      </c>
      <c r="O2827" s="16" t="str">
        <f>IF($A2827&lt;Notes!$B$5,"",IF(COUNTIFS(Release_Calendar!$A$2:$A$755,"NZ_LABOUR",Release_Calendar!$B$2:$B$755,$A2827)&gt;0,1,0))</f>
        <v/>
      </c>
      <c r="P2827" s="16">
        <f t="shared" si="4"/>
        <v>0</v>
      </c>
    </row>
    <row r="2828" ht="15.75" customHeight="1">
      <c r="A2828" s="14">
        <v>40484.0</v>
      </c>
      <c r="B2828" s="15">
        <v>0.34</v>
      </c>
      <c r="C2828" s="15"/>
      <c r="D2828" s="15">
        <v>4.1</v>
      </c>
      <c r="E2828" s="15">
        <v>4.1</v>
      </c>
      <c r="F2828" s="15" t="str">
        <f t="shared" si="1"/>
        <v/>
      </c>
      <c r="G2828" s="15">
        <f t="shared" si="2"/>
        <v>4.1</v>
      </c>
      <c r="H2828" s="16">
        <v>1.0</v>
      </c>
      <c r="I2828" s="15">
        <f t="shared" si="3"/>
        <v>3.76</v>
      </c>
      <c r="J2828" s="15">
        <v>21.57</v>
      </c>
      <c r="K2828" s="16">
        <f>IF(COUNTIFS(Release_Calendar!$A$2:$A$755,"US_CPI",Release_Calendar!$B$2:$B$755,$A2828)&gt;0,1,0)</f>
        <v>0</v>
      </c>
      <c r="L2828" s="16">
        <f>IF(COUNTIFS(Release_Calendar!$A$2:$A$755,"US_NFP",Release_Calendar!$B$2:$B$755,$A2828)&gt;0,1,0)</f>
        <v>0</v>
      </c>
      <c r="M2828" s="16" t="str">
        <f>IF($A2828&lt;Notes!$B$5,"",IF(COUNTIFS(Release_Calendar!$A$2:$A$755,"NZ_CPI",Release_Calendar!$B$2:$B$755,$A2828)&gt;0,1,0))</f>
        <v/>
      </c>
      <c r="N2828" s="16" t="str">
        <f>IF($A2828&lt;Notes!$B$5,"",IF(COUNTIFS(Release_Calendar!$A$2:$A$755,"NZ_GDP",Release_Calendar!$B$2:$B$755,$A2828)&gt;0,1,0))</f>
        <v/>
      </c>
      <c r="O2828" s="16" t="str">
        <f>IF($A2828&lt;Notes!$B$5,"",IF(COUNTIFS(Release_Calendar!$A$2:$A$755,"NZ_LABOUR",Release_Calendar!$B$2:$B$755,$A2828)&gt;0,1,0))</f>
        <v/>
      </c>
      <c r="P2828" s="16">
        <f t="shared" si="4"/>
        <v>0</v>
      </c>
    </row>
    <row r="2829" ht="15.75" customHeight="1">
      <c r="A2829" s="14">
        <v>40485.0</v>
      </c>
      <c r="B2829" s="15">
        <v>0.34</v>
      </c>
      <c r="C2829" s="15"/>
      <c r="D2829" s="15">
        <v>4.16</v>
      </c>
      <c r="E2829" s="15">
        <v>4.13</v>
      </c>
      <c r="F2829" s="15" t="str">
        <f t="shared" si="1"/>
        <v/>
      </c>
      <c r="G2829" s="15">
        <f t="shared" si="2"/>
        <v>4.16</v>
      </c>
      <c r="H2829" s="16">
        <v>1.0</v>
      </c>
      <c r="I2829" s="15">
        <f t="shared" si="3"/>
        <v>3.82</v>
      </c>
      <c r="J2829" s="15">
        <v>19.56</v>
      </c>
      <c r="K2829" s="16">
        <f>IF(COUNTIFS(Release_Calendar!$A$2:$A$755,"US_CPI",Release_Calendar!$B$2:$B$755,$A2829)&gt;0,1,0)</f>
        <v>0</v>
      </c>
      <c r="L2829" s="16">
        <f>IF(COUNTIFS(Release_Calendar!$A$2:$A$755,"US_NFP",Release_Calendar!$B$2:$B$755,$A2829)&gt;0,1,0)</f>
        <v>0</v>
      </c>
      <c r="M2829" s="16" t="str">
        <f>IF($A2829&lt;Notes!$B$5,"",IF(COUNTIFS(Release_Calendar!$A$2:$A$755,"NZ_CPI",Release_Calendar!$B$2:$B$755,$A2829)&gt;0,1,0))</f>
        <v/>
      </c>
      <c r="N2829" s="16" t="str">
        <f>IF($A2829&lt;Notes!$B$5,"",IF(COUNTIFS(Release_Calendar!$A$2:$A$755,"NZ_GDP",Release_Calendar!$B$2:$B$755,$A2829)&gt;0,1,0))</f>
        <v/>
      </c>
      <c r="O2829" s="16" t="str">
        <f>IF($A2829&lt;Notes!$B$5,"",IF(COUNTIFS(Release_Calendar!$A$2:$A$755,"NZ_LABOUR",Release_Calendar!$B$2:$B$755,$A2829)&gt;0,1,0))</f>
        <v/>
      </c>
      <c r="P2829" s="16">
        <f t="shared" si="4"/>
        <v>0</v>
      </c>
    </row>
    <row r="2830" ht="15.75" customHeight="1">
      <c r="A2830" s="14">
        <v>40486.0</v>
      </c>
      <c r="B2830" s="15">
        <v>0.33</v>
      </c>
      <c r="C2830" s="15"/>
      <c r="D2830" s="15">
        <v>4.19</v>
      </c>
      <c r="E2830" s="15">
        <v>4.17</v>
      </c>
      <c r="F2830" s="15" t="str">
        <f t="shared" si="1"/>
        <v/>
      </c>
      <c r="G2830" s="15">
        <f t="shared" si="2"/>
        <v>4.19</v>
      </c>
      <c r="H2830" s="16">
        <v>1.0</v>
      </c>
      <c r="I2830" s="15">
        <f t="shared" si="3"/>
        <v>3.86</v>
      </c>
      <c r="J2830" s="15">
        <v>18.52</v>
      </c>
      <c r="K2830" s="16">
        <f>IF(COUNTIFS(Release_Calendar!$A$2:$A$755,"US_CPI",Release_Calendar!$B$2:$B$755,$A2830)&gt;0,1,0)</f>
        <v>0</v>
      </c>
      <c r="L2830" s="16">
        <f>IF(COUNTIFS(Release_Calendar!$A$2:$A$755,"US_NFP",Release_Calendar!$B$2:$B$755,$A2830)&gt;0,1,0)</f>
        <v>0</v>
      </c>
      <c r="M2830" s="16" t="str">
        <f>IF($A2830&lt;Notes!$B$5,"",IF(COUNTIFS(Release_Calendar!$A$2:$A$755,"NZ_CPI",Release_Calendar!$B$2:$B$755,$A2830)&gt;0,1,0))</f>
        <v/>
      </c>
      <c r="N2830" s="16" t="str">
        <f>IF($A2830&lt;Notes!$B$5,"",IF(COUNTIFS(Release_Calendar!$A$2:$A$755,"NZ_GDP",Release_Calendar!$B$2:$B$755,$A2830)&gt;0,1,0))</f>
        <v/>
      </c>
      <c r="O2830" s="16" t="str">
        <f>IF($A2830&lt;Notes!$B$5,"",IF(COUNTIFS(Release_Calendar!$A$2:$A$755,"NZ_LABOUR",Release_Calendar!$B$2:$B$755,$A2830)&gt;0,1,0))</f>
        <v/>
      </c>
      <c r="P2830" s="16">
        <f t="shared" si="4"/>
        <v>0</v>
      </c>
    </row>
    <row r="2831" ht="15.75" customHeight="1">
      <c r="A2831" s="14">
        <v>40487.0</v>
      </c>
      <c r="B2831" s="15">
        <v>0.38</v>
      </c>
      <c r="C2831" s="15"/>
      <c r="D2831" s="15">
        <v>4.14</v>
      </c>
      <c r="E2831" s="15">
        <v>4.15</v>
      </c>
      <c r="F2831" s="15" t="str">
        <f t="shared" si="1"/>
        <v/>
      </c>
      <c r="G2831" s="15">
        <f t="shared" si="2"/>
        <v>4.14</v>
      </c>
      <c r="H2831" s="16">
        <v>1.0</v>
      </c>
      <c r="I2831" s="15">
        <f t="shared" si="3"/>
        <v>3.76</v>
      </c>
      <c r="J2831" s="15">
        <v>18.26</v>
      </c>
      <c r="K2831" s="16">
        <f>IF(COUNTIFS(Release_Calendar!$A$2:$A$755,"US_CPI",Release_Calendar!$B$2:$B$755,$A2831)&gt;0,1,0)</f>
        <v>0</v>
      </c>
      <c r="L2831" s="16">
        <f>IF(COUNTIFS(Release_Calendar!$A$2:$A$755,"US_NFP",Release_Calendar!$B$2:$B$755,$A2831)&gt;0,1,0)</f>
        <v>1</v>
      </c>
      <c r="M2831" s="16" t="str">
        <f>IF($A2831&lt;Notes!$B$5,"",IF(COUNTIFS(Release_Calendar!$A$2:$A$755,"NZ_CPI",Release_Calendar!$B$2:$B$755,$A2831)&gt;0,1,0))</f>
        <v/>
      </c>
      <c r="N2831" s="16" t="str">
        <f>IF($A2831&lt;Notes!$B$5,"",IF(COUNTIFS(Release_Calendar!$A$2:$A$755,"NZ_GDP",Release_Calendar!$B$2:$B$755,$A2831)&gt;0,1,0))</f>
        <v/>
      </c>
      <c r="O2831" s="16" t="str">
        <f>IF($A2831&lt;Notes!$B$5,"",IF(COUNTIFS(Release_Calendar!$A$2:$A$755,"NZ_LABOUR",Release_Calendar!$B$2:$B$755,$A2831)&gt;0,1,0))</f>
        <v/>
      </c>
      <c r="P2831" s="16">
        <f t="shared" si="4"/>
        <v>1</v>
      </c>
    </row>
    <row r="2832" ht="15.75" customHeight="1">
      <c r="A2832" s="14">
        <v>40490.0</v>
      </c>
      <c r="B2832" s="15">
        <v>0.41</v>
      </c>
      <c r="C2832" s="15"/>
      <c r="D2832" s="15">
        <v>4.16</v>
      </c>
      <c r="E2832" s="15">
        <v>4.18</v>
      </c>
      <c r="F2832" s="15" t="str">
        <f t="shared" si="1"/>
        <v/>
      </c>
      <c r="G2832" s="15">
        <f t="shared" si="2"/>
        <v>4.16</v>
      </c>
      <c r="H2832" s="16">
        <v>1.0</v>
      </c>
      <c r="I2832" s="15">
        <f t="shared" si="3"/>
        <v>3.75</v>
      </c>
      <c r="J2832" s="15">
        <v>18.29</v>
      </c>
      <c r="K2832" s="16">
        <f>IF(COUNTIFS(Release_Calendar!$A$2:$A$755,"US_CPI",Release_Calendar!$B$2:$B$755,$A2832)&gt;0,1,0)</f>
        <v>0</v>
      </c>
      <c r="L2832" s="16">
        <f>IF(COUNTIFS(Release_Calendar!$A$2:$A$755,"US_NFP",Release_Calendar!$B$2:$B$755,$A2832)&gt;0,1,0)</f>
        <v>0</v>
      </c>
      <c r="M2832" s="16" t="str">
        <f>IF($A2832&lt;Notes!$B$5,"",IF(COUNTIFS(Release_Calendar!$A$2:$A$755,"NZ_CPI",Release_Calendar!$B$2:$B$755,$A2832)&gt;0,1,0))</f>
        <v/>
      </c>
      <c r="N2832" s="16" t="str">
        <f>IF($A2832&lt;Notes!$B$5,"",IF(COUNTIFS(Release_Calendar!$A$2:$A$755,"NZ_GDP",Release_Calendar!$B$2:$B$755,$A2832)&gt;0,1,0))</f>
        <v/>
      </c>
      <c r="O2832" s="16" t="str">
        <f>IF($A2832&lt;Notes!$B$5,"",IF(COUNTIFS(Release_Calendar!$A$2:$A$755,"NZ_LABOUR",Release_Calendar!$B$2:$B$755,$A2832)&gt;0,1,0))</f>
        <v/>
      </c>
      <c r="P2832" s="16">
        <f t="shared" si="4"/>
        <v>0</v>
      </c>
    </row>
    <row r="2833" ht="15.75" customHeight="1">
      <c r="A2833" s="14">
        <v>40491.0</v>
      </c>
      <c r="B2833" s="15">
        <v>0.46</v>
      </c>
      <c r="C2833" s="15"/>
      <c r="D2833" s="15">
        <v>4.21</v>
      </c>
      <c r="E2833" s="15">
        <v>4.18</v>
      </c>
      <c r="F2833" s="15" t="str">
        <f t="shared" si="1"/>
        <v/>
      </c>
      <c r="G2833" s="15">
        <f t="shared" si="2"/>
        <v>4.21</v>
      </c>
      <c r="H2833" s="16">
        <v>1.0</v>
      </c>
      <c r="I2833" s="15">
        <f t="shared" si="3"/>
        <v>3.75</v>
      </c>
      <c r="J2833" s="15">
        <v>19.08</v>
      </c>
      <c r="K2833" s="16">
        <f>IF(COUNTIFS(Release_Calendar!$A$2:$A$755,"US_CPI",Release_Calendar!$B$2:$B$755,$A2833)&gt;0,1,0)</f>
        <v>0</v>
      </c>
      <c r="L2833" s="16">
        <f>IF(COUNTIFS(Release_Calendar!$A$2:$A$755,"US_NFP",Release_Calendar!$B$2:$B$755,$A2833)&gt;0,1,0)</f>
        <v>0</v>
      </c>
      <c r="M2833" s="16" t="str">
        <f>IF($A2833&lt;Notes!$B$5,"",IF(COUNTIFS(Release_Calendar!$A$2:$A$755,"NZ_CPI",Release_Calendar!$B$2:$B$755,$A2833)&gt;0,1,0))</f>
        <v/>
      </c>
      <c r="N2833" s="16" t="str">
        <f>IF($A2833&lt;Notes!$B$5,"",IF(COUNTIFS(Release_Calendar!$A$2:$A$755,"NZ_GDP",Release_Calendar!$B$2:$B$755,$A2833)&gt;0,1,0))</f>
        <v/>
      </c>
      <c r="O2833" s="16" t="str">
        <f>IF($A2833&lt;Notes!$B$5,"",IF(COUNTIFS(Release_Calendar!$A$2:$A$755,"NZ_LABOUR",Release_Calendar!$B$2:$B$755,$A2833)&gt;0,1,0))</f>
        <v/>
      </c>
      <c r="P2833" s="16">
        <f t="shared" si="4"/>
        <v>0</v>
      </c>
    </row>
    <row r="2834" ht="15.75" customHeight="1">
      <c r="A2834" s="14">
        <v>40492.0</v>
      </c>
      <c r="B2834" s="15">
        <v>0.44</v>
      </c>
      <c r="C2834" s="15"/>
      <c r="D2834" s="15">
        <v>4.15</v>
      </c>
      <c r="E2834" s="15">
        <v>4.15</v>
      </c>
      <c r="F2834" s="15" t="str">
        <f t="shared" si="1"/>
        <v/>
      </c>
      <c r="G2834" s="15">
        <f t="shared" si="2"/>
        <v>4.15</v>
      </c>
      <c r="H2834" s="16">
        <v>1.0</v>
      </c>
      <c r="I2834" s="15">
        <f t="shared" si="3"/>
        <v>3.71</v>
      </c>
      <c r="J2834" s="15">
        <v>18.47</v>
      </c>
      <c r="K2834" s="16">
        <f>IF(COUNTIFS(Release_Calendar!$A$2:$A$755,"US_CPI",Release_Calendar!$B$2:$B$755,$A2834)&gt;0,1,0)</f>
        <v>0</v>
      </c>
      <c r="L2834" s="16">
        <f>IF(COUNTIFS(Release_Calendar!$A$2:$A$755,"US_NFP",Release_Calendar!$B$2:$B$755,$A2834)&gt;0,1,0)</f>
        <v>0</v>
      </c>
      <c r="M2834" s="16" t="str">
        <f>IF($A2834&lt;Notes!$B$5,"",IF(COUNTIFS(Release_Calendar!$A$2:$A$755,"NZ_CPI",Release_Calendar!$B$2:$B$755,$A2834)&gt;0,1,0))</f>
        <v/>
      </c>
      <c r="N2834" s="16" t="str">
        <f>IF($A2834&lt;Notes!$B$5,"",IF(COUNTIFS(Release_Calendar!$A$2:$A$755,"NZ_GDP",Release_Calendar!$B$2:$B$755,$A2834)&gt;0,1,0))</f>
        <v/>
      </c>
      <c r="O2834" s="16" t="str">
        <f>IF($A2834&lt;Notes!$B$5,"",IF(COUNTIFS(Release_Calendar!$A$2:$A$755,"NZ_LABOUR",Release_Calendar!$B$2:$B$755,$A2834)&gt;0,1,0))</f>
        <v/>
      </c>
      <c r="P2834" s="16">
        <f t="shared" si="4"/>
        <v>0</v>
      </c>
    </row>
    <row r="2835" ht="15.75" customHeight="1">
      <c r="A2835" s="14">
        <v>40493.0</v>
      </c>
      <c r="B2835" s="15"/>
      <c r="C2835" s="15"/>
      <c r="D2835" s="15">
        <v>4.16</v>
      </c>
      <c r="E2835" s="15">
        <v>4.14</v>
      </c>
      <c r="F2835" s="15" t="str">
        <f t="shared" si="1"/>
        <v/>
      </c>
      <c r="G2835" s="15">
        <f t="shared" si="2"/>
        <v>4.16</v>
      </c>
      <c r="H2835" s="16">
        <v>1.0</v>
      </c>
      <c r="I2835" s="15" t="str">
        <f t="shared" si="3"/>
        <v/>
      </c>
      <c r="J2835" s="15">
        <v>18.64</v>
      </c>
      <c r="K2835" s="16">
        <f>IF(COUNTIFS(Release_Calendar!$A$2:$A$755,"US_CPI",Release_Calendar!$B$2:$B$755,$A2835)&gt;0,1,0)</f>
        <v>0</v>
      </c>
      <c r="L2835" s="16">
        <f>IF(COUNTIFS(Release_Calendar!$A$2:$A$755,"US_NFP",Release_Calendar!$B$2:$B$755,$A2835)&gt;0,1,0)</f>
        <v>0</v>
      </c>
      <c r="M2835" s="16" t="str">
        <f>IF($A2835&lt;Notes!$B$5,"",IF(COUNTIFS(Release_Calendar!$A$2:$A$755,"NZ_CPI",Release_Calendar!$B$2:$B$755,$A2835)&gt;0,1,0))</f>
        <v/>
      </c>
      <c r="N2835" s="16" t="str">
        <f>IF($A2835&lt;Notes!$B$5,"",IF(COUNTIFS(Release_Calendar!$A$2:$A$755,"NZ_GDP",Release_Calendar!$B$2:$B$755,$A2835)&gt;0,1,0))</f>
        <v/>
      </c>
      <c r="O2835" s="16" t="str">
        <f>IF($A2835&lt;Notes!$B$5,"",IF(COUNTIFS(Release_Calendar!$A$2:$A$755,"NZ_LABOUR",Release_Calendar!$B$2:$B$755,$A2835)&gt;0,1,0))</f>
        <v/>
      </c>
      <c r="P2835" s="16">
        <f t="shared" si="4"/>
        <v>0</v>
      </c>
    </row>
    <row r="2836" ht="15.75" customHeight="1">
      <c r="A2836" s="14">
        <v>40494.0</v>
      </c>
      <c r="B2836" s="15">
        <v>0.51</v>
      </c>
      <c r="C2836" s="15"/>
      <c r="D2836" s="15">
        <v>4.16</v>
      </c>
      <c r="E2836" s="15">
        <v>4.16</v>
      </c>
      <c r="F2836" s="15" t="str">
        <f t="shared" si="1"/>
        <v/>
      </c>
      <c r="G2836" s="15">
        <f t="shared" si="2"/>
        <v>4.16</v>
      </c>
      <c r="H2836" s="16">
        <v>1.0</v>
      </c>
      <c r="I2836" s="15">
        <f t="shared" si="3"/>
        <v>3.65</v>
      </c>
      <c r="J2836" s="15">
        <v>20.61</v>
      </c>
      <c r="K2836" s="16">
        <f>IF(COUNTIFS(Release_Calendar!$A$2:$A$755,"US_CPI",Release_Calendar!$B$2:$B$755,$A2836)&gt;0,1,0)</f>
        <v>0</v>
      </c>
      <c r="L2836" s="16">
        <f>IF(COUNTIFS(Release_Calendar!$A$2:$A$755,"US_NFP",Release_Calendar!$B$2:$B$755,$A2836)&gt;0,1,0)</f>
        <v>0</v>
      </c>
      <c r="M2836" s="16" t="str">
        <f>IF($A2836&lt;Notes!$B$5,"",IF(COUNTIFS(Release_Calendar!$A$2:$A$755,"NZ_CPI",Release_Calendar!$B$2:$B$755,$A2836)&gt;0,1,0))</f>
        <v/>
      </c>
      <c r="N2836" s="16" t="str">
        <f>IF($A2836&lt;Notes!$B$5,"",IF(COUNTIFS(Release_Calendar!$A$2:$A$755,"NZ_GDP",Release_Calendar!$B$2:$B$755,$A2836)&gt;0,1,0))</f>
        <v/>
      </c>
      <c r="O2836" s="16" t="str">
        <f>IF($A2836&lt;Notes!$B$5,"",IF(COUNTIFS(Release_Calendar!$A$2:$A$755,"NZ_LABOUR",Release_Calendar!$B$2:$B$755,$A2836)&gt;0,1,0))</f>
        <v/>
      </c>
      <c r="P2836" s="16">
        <f t="shared" si="4"/>
        <v>0</v>
      </c>
    </row>
    <row r="2837" ht="15.75" customHeight="1">
      <c r="A2837" s="14">
        <v>40497.0</v>
      </c>
      <c r="B2837" s="15">
        <v>0.53</v>
      </c>
      <c r="C2837" s="15"/>
      <c r="D2837" s="15">
        <v>4.16</v>
      </c>
      <c r="E2837" s="15">
        <v>4.18</v>
      </c>
      <c r="F2837" s="15" t="str">
        <f t="shared" si="1"/>
        <v/>
      </c>
      <c r="G2837" s="15">
        <f t="shared" si="2"/>
        <v>4.16</v>
      </c>
      <c r="H2837" s="16">
        <v>1.0</v>
      </c>
      <c r="I2837" s="15">
        <f t="shared" si="3"/>
        <v>3.63</v>
      </c>
      <c r="J2837" s="15">
        <v>20.2</v>
      </c>
      <c r="K2837" s="16">
        <f>IF(COUNTIFS(Release_Calendar!$A$2:$A$755,"US_CPI",Release_Calendar!$B$2:$B$755,$A2837)&gt;0,1,0)</f>
        <v>0</v>
      </c>
      <c r="L2837" s="16">
        <f>IF(COUNTIFS(Release_Calendar!$A$2:$A$755,"US_NFP",Release_Calendar!$B$2:$B$755,$A2837)&gt;0,1,0)</f>
        <v>0</v>
      </c>
      <c r="M2837" s="16" t="str">
        <f>IF($A2837&lt;Notes!$B$5,"",IF(COUNTIFS(Release_Calendar!$A$2:$A$755,"NZ_CPI",Release_Calendar!$B$2:$B$755,$A2837)&gt;0,1,0))</f>
        <v/>
      </c>
      <c r="N2837" s="16" t="str">
        <f>IF($A2837&lt;Notes!$B$5,"",IF(COUNTIFS(Release_Calendar!$A$2:$A$755,"NZ_GDP",Release_Calendar!$B$2:$B$755,$A2837)&gt;0,1,0))</f>
        <v/>
      </c>
      <c r="O2837" s="16" t="str">
        <f>IF($A2837&lt;Notes!$B$5,"",IF(COUNTIFS(Release_Calendar!$A$2:$A$755,"NZ_LABOUR",Release_Calendar!$B$2:$B$755,$A2837)&gt;0,1,0))</f>
        <v/>
      </c>
      <c r="P2837" s="16">
        <f t="shared" si="4"/>
        <v>0</v>
      </c>
    </row>
    <row r="2838" ht="15.75" customHeight="1">
      <c r="A2838" s="14">
        <v>40498.0</v>
      </c>
      <c r="B2838" s="15">
        <v>0.51</v>
      </c>
      <c r="C2838" s="15"/>
      <c r="D2838" s="15">
        <v>4.2</v>
      </c>
      <c r="E2838" s="15">
        <v>4.2</v>
      </c>
      <c r="F2838" s="15" t="str">
        <f t="shared" si="1"/>
        <v/>
      </c>
      <c r="G2838" s="15">
        <f t="shared" si="2"/>
        <v>4.2</v>
      </c>
      <c r="H2838" s="16">
        <v>1.0</v>
      </c>
      <c r="I2838" s="15">
        <f t="shared" si="3"/>
        <v>3.69</v>
      </c>
      <c r="J2838" s="15">
        <v>22.58</v>
      </c>
      <c r="K2838" s="16">
        <f>IF(COUNTIFS(Release_Calendar!$A$2:$A$755,"US_CPI",Release_Calendar!$B$2:$B$755,$A2838)&gt;0,1,0)</f>
        <v>0</v>
      </c>
      <c r="L2838" s="16">
        <f>IF(COUNTIFS(Release_Calendar!$A$2:$A$755,"US_NFP",Release_Calendar!$B$2:$B$755,$A2838)&gt;0,1,0)</f>
        <v>0</v>
      </c>
      <c r="M2838" s="16" t="str">
        <f>IF($A2838&lt;Notes!$B$5,"",IF(COUNTIFS(Release_Calendar!$A$2:$A$755,"NZ_CPI",Release_Calendar!$B$2:$B$755,$A2838)&gt;0,1,0))</f>
        <v/>
      </c>
      <c r="N2838" s="16" t="str">
        <f>IF($A2838&lt;Notes!$B$5,"",IF(COUNTIFS(Release_Calendar!$A$2:$A$755,"NZ_GDP",Release_Calendar!$B$2:$B$755,$A2838)&gt;0,1,0))</f>
        <v/>
      </c>
      <c r="O2838" s="16" t="str">
        <f>IF($A2838&lt;Notes!$B$5,"",IF(COUNTIFS(Release_Calendar!$A$2:$A$755,"NZ_LABOUR",Release_Calendar!$B$2:$B$755,$A2838)&gt;0,1,0))</f>
        <v/>
      </c>
      <c r="P2838" s="16">
        <f t="shared" si="4"/>
        <v>0</v>
      </c>
    </row>
    <row r="2839" ht="15.75" customHeight="1">
      <c r="A2839" s="14">
        <v>40499.0</v>
      </c>
      <c r="B2839" s="15">
        <v>0.5</v>
      </c>
      <c r="C2839" s="15"/>
      <c r="D2839" s="15">
        <v>4.19</v>
      </c>
      <c r="E2839" s="15">
        <v>4.21</v>
      </c>
      <c r="F2839" s="15" t="str">
        <f t="shared" si="1"/>
        <v/>
      </c>
      <c r="G2839" s="15">
        <f t="shared" si="2"/>
        <v>4.19</v>
      </c>
      <c r="H2839" s="16">
        <v>1.0</v>
      </c>
      <c r="I2839" s="15">
        <f t="shared" si="3"/>
        <v>3.69</v>
      </c>
      <c r="J2839" s="15">
        <v>21.76</v>
      </c>
      <c r="K2839" s="16">
        <f>IF(COUNTIFS(Release_Calendar!$A$2:$A$755,"US_CPI",Release_Calendar!$B$2:$B$755,$A2839)&gt;0,1,0)</f>
        <v>1</v>
      </c>
      <c r="L2839" s="16">
        <f>IF(COUNTIFS(Release_Calendar!$A$2:$A$755,"US_NFP",Release_Calendar!$B$2:$B$755,$A2839)&gt;0,1,0)</f>
        <v>0</v>
      </c>
      <c r="M2839" s="16" t="str">
        <f>IF($A2839&lt;Notes!$B$5,"",IF(COUNTIFS(Release_Calendar!$A$2:$A$755,"NZ_CPI",Release_Calendar!$B$2:$B$755,$A2839)&gt;0,1,0))</f>
        <v/>
      </c>
      <c r="N2839" s="16" t="str">
        <f>IF($A2839&lt;Notes!$B$5,"",IF(COUNTIFS(Release_Calendar!$A$2:$A$755,"NZ_GDP",Release_Calendar!$B$2:$B$755,$A2839)&gt;0,1,0))</f>
        <v/>
      </c>
      <c r="O2839" s="16" t="str">
        <f>IF($A2839&lt;Notes!$B$5,"",IF(COUNTIFS(Release_Calendar!$A$2:$A$755,"NZ_LABOUR",Release_Calendar!$B$2:$B$755,$A2839)&gt;0,1,0))</f>
        <v/>
      </c>
      <c r="P2839" s="16">
        <f t="shared" si="4"/>
        <v>1</v>
      </c>
    </row>
    <row r="2840" ht="15.75" customHeight="1">
      <c r="A2840" s="14">
        <v>40500.0</v>
      </c>
      <c r="B2840" s="15">
        <v>0.52</v>
      </c>
      <c r="C2840" s="15"/>
      <c r="D2840" s="15">
        <v>4.24</v>
      </c>
      <c r="E2840" s="15">
        <v>4.26</v>
      </c>
      <c r="F2840" s="15" t="str">
        <f t="shared" si="1"/>
        <v/>
      </c>
      <c r="G2840" s="15">
        <f t="shared" si="2"/>
        <v>4.24</v>
      </c>
      <c r="H2840" s="16">
        <v>1.0</v>
      </c>
      <c r="I2840" s="15">
        <f t="shared" si="3"/>
        <v>3.72</v>
      </c>
      <c r="J2840" s="15">
        <v>18.75</v>
      </c>
      <c r="K2840" s="16">
        <f>IF(COUNTIFS(Release_Calendar!$A$2:$A$755,"US_CPI",Release_Calendar!$B$2:$B$755,$A2840)&gt;0,1,0)</f>
        <v>0</v>
      </c>
      <c r="L2840" s="16">
        <f>IF(COUNTIFS(Release_Calendar!$A$2:$A$755,"US_NFP",Release_Calendar!$B$2:$B$755,$A2840)&gt;0,1,0)</f>
        <v>0</v>
      </c>
      <c r="M2840" s="16" t="str">
        <f>IF($A2840&lt;Notes!$B$5,"",IF(COUNTIFS(Release_Calendar!$A$2:$A$755,"NZ_CPI",Release_Calendar!$B$2:$B$755,$A2840)&gt;0,1,0))</f>
        <v/>
      </c>
      <c r="N2840" s="16" t="str">
        <f>IF($A2840&lt;Notes!$B$5,"",IF(COUNTIFS(Release_Calendar!$A$2:$A$755,"NZ_GDP",Release_Calendar!$B$2:$B$755,$A2840)&gt;0,1,0))</f>
        <v/>
      </c>
      <c r="O2840" s="16" t="str">
        <f>IF($A2840&lt;Notes!$B$5,"",IF(COUNTIFS(Release_Calendar!$A$2:$A$755,"NZ_LABOUR",Release_Calendar!$B$2:$B$755,$A2840)&gt;0,1,0))</f>
        <v/>
      </c>
      <c r="P2840" s="16">
        <f t="shared" si="4"/>
        <v>0</v>
      </c>
    </row>
    <row r="2841" ht="15.75" customHeight="1">
      <c r="A2841" s="14">
        <v>40501.0</v>
      </c>
      <c r="B2841" s="15">
        <v>0.52</v>
      </c>
      <c r="C2841" s="15"/>
      <c r="D2841" s="15">
        <v>4.28</v>
      </c>
      <c r="E2841" s="15">
        <v>4.27</v>
      </c>
      <c r="F2841" s="15" t="str">
        <f t="shared" si="1"/>
        <v/>
      </c>
      <c r="G2841" s="15">
        <f t="shared" si="2"/>
        <v>4.28</v>
      </c>
      <c r="H2841" s="16">
        <v>1.0</v>
      </c>
      <c r="I2841" s="15">
        <f t="shared" si="3"/>
        <v>3.76</v>
      </c>
      <c r="J2841" s="15">
        <v>18.04</v>
      </c>
      <c r="K2841" s="16">
        <f>IF(COUNTIFS(Release_Calendar!$A$2:$A$755,"US_CPI",Release_Calendar!$B$2:$B$755,$A2841)&gt;0,1,0)</f>
        <v>0</v>
      </c>
      <c r="L2841" s="16">
        <f>IF(COUNTIFS(Release_Calendar!$A$2:$A$755,"US_NFP",Release_Calendar!$B$2:$B$755,$A2841)&gt;0,1,0)</f>
        <v>0</v>
      </c>
      <c r="M2841" s="16" t="str">
        <f>IF($A2841&lt;Notes!$B$5,"",IF(COUNTIFS(Release_Calendar!$A$2:$A$755,"NZ_CPI",Release_Calendar!$B$2:$B$755,$A2841)&gt;0,1,0))</f>
        <v/>
      </c>
      <c r="N2841" s="16" t="str">
        <f>IF($A2841&lt;Notes!$B$5,"",IF(COUNTIFS(Release_Calendar!$A$2:$A$755,"NZ_GDP",Release_Calendar!$B$2:$B$755,$A2841)&gt;0,1,0))</f>
        <v/>
      </c>
      <c r="O2841" s="16" t="str">
        <f>IF($A2841&lt;Notes!$B$5,"",IF(COUNTIFS(Release_Calendar!$A$2:$A$755,"NZ_LABOUR",Release_Calendar!$B$2:$B$755,$A2841)&gt;0,1,0))</f>
        <v/>
      </c>
      <c r="P2841" s="16">
        <f t="shared" si="4"/>
        <v>0</v>
      </c>
    </row>
    <row r="2842" ht="15.75" customHeight="1">
      <c r="A2842" s="14">
        <v>40504.0</v>
      </c>
      <c r="B2842" s="15">
        <v>0.49</v>
      </c>
      <c r="C2842" s="15"/>
      <c r="D2842" s="15">
        <v>4.27</v>
      </c>
      <c r="E2842" s="15">
        <v>4.29</v>
      </c>
      <c r="F2842" s="15" t="str">
        <f t="shared" si="1"/>
        <v/>
      </c>
      <c r="G2842" s="15">
        <f t="shared" si="2"/>
        <v>4.27</v>
      </c>
      <c r="H2842" s="16">
        <v>1.0</v>
      </c>
      <c r="I2842" s="15">
        <f t="shared" si="3"/>
        <v>3.78</v>
      </c>
      <c r="J2842" s="15">
        <v>18.37</v>
      </c>
      <c r="K2842" s="16">
        <f>IF(COUNTIFS(Release_Calendar!$A$2:$A$755,"US_CPI",Release_Calendar!$B$2:$B$755,$A2842)&gt;0,1,0)</f>
        <v>0</v>
      </c>
      <c r="L2842" s="16">
        <f>IF(COUNTIFS(Release_Calendar!$A$2:$A$755,"US_NFP",Release_Calendar!$B$2:$B$755,$A2842)&gt;0,1,0)</f>
        <v>0</v>
      </c>
      <c r="M2842" s="16" t="str">
        <f>IF($A2842&lt;Notes!$B$5,"",IF(COUNTIFS(Release_Calendar!$A$2:$A$755,"NZ_CPI",Release_Calendar!$B$2:$B$755,$A2842)&gt;0,1,0))</f>
        <v/>
      </c>
      <c r="N2842" s="16" t="str">
        <f>IF($A2842&lt;Notes!$B$5,"",IF(COUNTIFS(Release_Calendar!$A$2:$A$755,"NZ_GDP",Release_Calendar!$B$2:$B$755,$A2842)&gt;0,1,0))</f>
        <v/>
      </c>
      <c r="O2842" s="16" t="str">
        <f>IF($A2842&lt;Notes!$B$5,"",IF(COUNTIFS(Release_Calendar!$A$2:$A$755,"NZ_LABOUR",Release_Calendar!$B$2:$B$755,$A2842)&gt;0,1,0))</f>
        <v/>
      </c>
      <c r="P2842" s="16">
        <f t="shared" si="4"/>
        <v>0</v>
      </c>
    </row>
    <row r="2843" ht="15.75" customHeight="1">
      <c r="A2843" s="14">
        <v>40505.0</v>
      </c>
      <c r="B2843" s="15">
        <v>0.45</v>
      </c>
      <c r="C2843" s="15"/>
      <c r="D2843" s="15">
        <v>4.26</v>
      </c>
      <c r="E2843" s="15">
        <v>4.27</v>
      </c>
      <c r="F2843" s="15" t="str">
        <f t="shared" si="1"/>
        <v/>
      </c>
      <c r="G2843" s="15">
        <f t="shared" si="2"/>
        <v>4.26</v>
      </c>
      <c r="H2843" s="16">
        <v>1.0</v>
      </c>
      <c r="I2843" s="15">
        <f t="shared" si="3"/>
        <v>3.81</v>
      </c>
      <c r="J2843" s="15">
        <v>20.63</v>
      </c>
      <c r="K2843" s="16">
        <f>IF(COUNTIFS(Release_Calendar!$A$2:$A$755,"US_CPI",Release_Calendar!$B$2:$B$755,$A2843)&gt;0,1,0)</f>
        <v>0</v>
      </c>
      <c r="L2843" s="16">
        <f>IF(COUNTIFS(Release_Calendar!$A$2:$A$755,"US_NFP",Release_Calendar!$B$2:$B$755,$A2843)&gt;0,1,0)</f>
        <v>0</v>
      </c>
      <c r="M2843" s="16" t="str">
        <f>IF($A2843&lt;Notes!$B$5,"",IF(COUNTIFS(Release_Calendar!$A$2:$A$755,"NZ_CPI",Release_Calendar!$B$2:$B$755,$A2843)&gt;0,1,0))</f>
        <v/>
      </c>
      <c r="N2843" s="16" t="str">
        <f>IF($A2843&lt;Notes!$B$5,"",IF(COUNTIFS(Release_Calendar!$A$2:$A$755,"NZ_GDP",Release_Calendar!$B$2:$B$755,$A2843)&gt;0,1,0))</f>
        <v/>
      </c>
      <c r="O2843" s="16" t="str">
        <f>IF($A2843&lt;Notes!$B$5,"",IF(COUNTIFS(Release_Calendar!$A$2:$A$755,"NZ_LABOUR",Release_Calendar!$B$2:$B$755,$A2843)&gt;0,1,0))</f>
        <v/>
      </c>
      <c r="P2843" s="16">
        <f t="shared" si="4"/>
        <v>0</v>
      </c>
    </row>
    <row r="2844" ht="15.75" customHeight="1">
      <c r="A2844" s="14">
        <v>40506.0</v>
      </c>
      <c r="B2844" s="15">
        <v>0.53</v>
      </c>
      <c r="C2844" s="15"/>
      <c r="D2844" s="15">
        <v>4.26</v>
      </c>
      <c r="E2844" s="15">
        <v>4.25</v>
      </c>
      <c r="F2844" s="15" t="str">
        <f t="shared" si="1"/>
        <v/>
      </c>
      <c r="G2844" s="15">
        <f t="shared" si="2"/>
        <v>4.26</v>
      </c>
      <c r="H2844" s="16">
        <v>1.0</v>
      </c>
      <c r="I2844" s="15">
        <f t="shared" si="3"/>
        <v>3.73</v>
      </c>
      <c r="J2844" s="15">
        <v>19.56</v>
      </c>
      <c r="K2844" s="16">
        <f>IF(COUNTIFS(Release_Calendar!$A$2:$A$755,"US_CPI",Release_Calendar!$B$2:$B$755,$A2844)&gt;0,1,0)</f>
        <v>0</v>
      </c>
      <c r="L2844" s="16">
        <f>IF(COUNTIFS(Release_Calendar!$A$2:$A$755,"US_NFP",Release_Calendar!$B$2:$B$755,$A2844)&gt;0,1,0)</f>
        <v>0</v>
      </c>
      <c r="M2844" s="16" t="str">
        <f>IF($A2844&lt;Notes!$B$5,"",IF(COUNTIFS(Release_Calendar!$A$2:$A$755,"NZ_CPI",Release_Calendar!$B$2:$B$755,$A2844)&gt;0,1,0))</f>
        <v/>
      </c>
      <c r="N2844" s="16" t="str">
        <f>IF($A2844&lt;Notes!$B$5,"",IF(COUNTIFS(Release_Calendar!$A$2:$A$755,"NZ_GDP",Release_Calendar!$B$2:$B$755,$A2844)&gt;0,1,0))</f>
        <v/>
      </c>
      <c r="O2844" s="16" t="str">
        <f>IF($A2844&lt;Notes!$B$5,"",IF(COUNTIFS(Release_Calendar!$A$2:$A$755,"NZ_LABOUR",Release_Calendar!$B$2:$B$755,$A2844)&gt;0,1,0))</f>
        <v/>
      </c>
      <c r="P2844" s="16">
        <f t="shared" si="4"/>
        <v>0</v>
      </c>
    </row>
    <row r="2845" ht="15.75" customHeight="1">
      <c r="A2845" s="14">
        <v>40507.0</v>
      </c>
      <c r="B2845" s="15"/>
      <c r="C2845" s="15"/>
      <c r="D2845" s="15">
        <v>4.26</v>
      </c>
      <c r="E2845" s="15">
        <v>4.23</v>
      </c>
      <c r="F2845" s="15" t="str">
        <f t="shared" si="1"/>
        <v/>
      </c>
      <c r="G2845" s="15">
        <f t="shared" si="2"/>
        <v>4.26</v>
      </c>
      <c r="H2845" s="16">
        <v>1.0</v>
      </c>
      <c r="I2845" s="15" t="str">
        <f t="shared" si="3"/>
        <v/>
      </c>
      <c r="J2845" s="15"/>
      <c r="K2845" s="16">
        <f>IF(COUNTIFS(Release_Calendar!$A$2:$A$755,"US_CPI",Release_Calendar!$B$2:$B$755,$A2845)&gt;0,1,0)</f>
        <v>0</v>
      </c>
      <c r="L2845" s="16">
        <f>IF(COUNTIFS(Release_Calendar!$A$2:$A$755,"US_NFP",Release_Calendar!$B$2:$B$755,$A2845)&gt;0,1,0)</f>
        <v>0</v>
      </c>
      <c r="M2845" s="16" t="str">
        <f>IF($A2845&lt;Notes!$B$5,"",IF(COUNTIFS(Release_Calendar!$A$2:$A$755,"NZ_CPI",Release_Calendar!$B$2:$B$755,$A2845)&gt;0,1,0))</f>
        <v/>
      </c>
      <c r="N2845" s="16" t="str">
        <f>IF($A2845&lt;Notes!$B$5,"",IF(COUNTIFS(Release_Calendar!$A$2:$A$755,"NZ_GDP",Release_Calendar!$B$2:$B$755,$A2845)&gt;0,1,0))</f>
        <v/>
      </c>
      <c r="O2845" s="16" t="str">
        <f>IF($A2845&lt;Notes!$B$5,"",IF(COUNTIFS(Release_Calendar!$A$2:$A$755,"NZ_LABOUR",Release_Calendar!$B$2:$B$755,$A2845)&gt;0,1,0))</f>
        <v/>
      </c>
      <c r="P2845" s="16">
        <f t="shared" si="4"/>
        <v>0</v>
      </c>
    </row>
    <row r="2846" ht="15.75" customHeight="1">
      <c r="A2846" s="14">
        <v>40508.0</v>
      </c>
      <c r="B2846" s="15">
        <v>0.51</v>
      </c>
      <c r="C2846" s="15"/>
      <c r="D2846" s="15">
        <v>4.24</v>
      </c>
      <c r="E2846" s="15">
        <v>4.18</v>
      </c>
      <c r="F2846" s="15" t="str">
        <f t="shared" si="1"/>
        <v/>
      </c>
      <c r="G2846" s="15">
        <f t="shared" si="2"/>
        <v>4.24</v>
      </c>
      <c r="H2846" s="16">
        <v>1.0</v>
      </c>
      <c r="I2846" s="15">
        <f t="shared" si="3"/>
        <v>3.73</v>
      </c>
      <c r="J2846" s="15">
        <v>22.22</v>
      </c>
      <c r="K2846" s="16">
        <f>IF(COUNTIFS(Release_Calendar!$A$2:$A$755,"US_CPI",Release_Calendar!$B$2:$B$755,$A2846)&gt;0,1,0)</f>
        <v>0</v>
      </c>
      <c r="L2846" s="16">
        <f>IF(COUNTIFS(Release_Calendar!$A$2:$A$755,"US_NFP",Release_Calendar!$B$2:$B$755,$A2846)&gt;0,1,0)</f>
        <v>0</v>
      </c>
      <c r="M2846" s="16" t="str">
        <f>IF($A2846&lt;Notes!$B$5,"",IF(COUNTIFS(Release_Calendar!$A$2:$A$755,"NZ_CPI",Release_Calendar!$B$2:$B$755,$A2846)&gt;0,1,0))</f>
        <v/>
      </c>
      <c r="N2846" s="16" t="str">
        <f>IF($A2846&lt;Notes!$B$5,"",IF(COUNTIFS(Release_Calendar!$A$2:$A$755,"NZ_GDP",Release_Calendar!$B$2:$B$755,$A2846)&gt;0,1,0))</f>
        <v/>
      </c>
      <c r="O2846" s="16" t="str">
        <f>IF($A2846&lt;Notes!$B$5,"",IF(COUNTIFS(Release_Calendar!$A$2:$A$755,"NZ_LABOUR",Release_Calendar!$B$2:$B$755,$A2846)&gt;0,1,0))</f>
        <v/>
      </c>
      <c r="P2846" s="16">
        <f t="shared" si="4"/>
        <v>0</v>
      </c>
    </row>
    <row r="2847" ht="15.75" customHeight="1">
      <c r="A2847" s="14">
        <v>40511.0</v>
      </c>
      <c r="B2847" s="15">
        <v>0.52</v>
      </c>
      <c r="C2847" s="15"/>
      <c r="D2847" s="15">
        <v>4.17</v>
      </c>
      <c r="E2847" s="15">
        <v>4.19</v>
      </c>
      <c r="F2847" s="15" t="str">
        <f t="shared" si="1"/>
        <v/>
      </c>
      <c r="G2847" s="15">
        <f t="shared" si="2"/>
        <v>4.17</v>
      </c>
      <c r="H2847" s="16">
        <v>1.0</v>
      </c>
      <c r="I2847" s="15">
        <f t="shared" si="3"/>
        <v>3.65</v>
      </c>
      <c r="J2847" s="15">
        <v>21.53</v>
      </c>
      <c r="K2847" s="16">
        <f>IF(COUNTIFS(Release_Calendar!$A$2:$A$755,"US_CPI",Release_Calendar!$B$2:$B$755,$A2847)&gt;0,1,0)</f>
        <v>0</v>
      </c>
      <c r="L2847" s="16">
        <f>IF(COUNTIFS(Release_Calendar!$A$2:$A$755,"US_NFP",Release_Calendar!$B$2:$B$755,$A2847)&gt;0,1,0)</f>
        <v>0</v>
      </c>
      <c r="M2847" s="16" t="str">
        <f>IF($A2847&lt;Notes!$B$5,"",IF(COUNTIFS(Release_Calendar!$A$2:$A$755,"NZ_CPI",Release_Calendar!$B$2:$B$755,$A2847)&gt;0,1,0))</f>
        <v/>
      </c>
      <c r="N2847" s="16" t="str">
        <f>IF($A2847&lt;Notes!$B$5,"",IF(COUNTIFS(Release_Calendar!$A$2:$A$755,"NZ_GDP",Release_Calendar!$B$2:$B$755,$A2847)&gt;0,1,0))</f>
        <v/>
      </c>
      <c r="O2847" s="16" t="str">
        <f>IF($A2847&lt;Notes!$B$5,"",IF(COUNTIFS(Release_Calendar!$A$2:$A$755,"NZ_LABOUR",Release_Calendar!$B$2:$B$755,$A2847)&gt;0,1,0))</f>
        <v/>
      </c>
      <c r="P2847" s="16">
        <f t="shared" si="4"/>
        <v>0</v>
      </c>
    </row>
    <row r="2848" ht="15.75" customHeight="1">
      <c r="A2848" s="14">
        <v>40512.0</v>
      </c>
      <c r="B2848" s="15">
        <v>0.45</v>
      </c>
      <c r="C2848" s="15"/>
      <c r="D2848" s="15">
        <v>4.17</v>
      </c>
      <c r="E2848" s="15">
        <v>4.16</v>
      </c>
      <c r="F2848" s="15" t="str">
        <f t="shared" si="1"/>
        <v/>
      </c>
      <c r="G2848" s="15">
        <f t="shared" si="2"/>
        <v>4.17</v>
      </c>
      <c r="H2848" s="16">
        <v>1.0</v>
      </c>
      <c r="I2848" s="15">
        <f t="shared" si="3"/>
        <v>3.72</v>
      </c>
      <c r="J2848" s="15">
        <v>23.54</v>
      </c>
      <c r="K2848" s="16">
        <f>IF(COUNTIFS(Release_Calendar!$A$2:$A$755,"US_CPI",Release_Calendar!$B$2:$B$755,$A2848)&gt;0,1,0)</f>
        <v>0</v>
      </c>
      <c r="L2848" s="16">
        <f>IF(COUNTIFS(Release_Calendar!$A$2:$A$755,"US_NFP",Release_Calendar!$B$2:$B$755,$A2848)&gt;0,1,0)</f>
        <v>0</v>
      </c>
      <c r="M2848" s="16" t="str">
        <f>IF($A2848&lt;Notes!$B$5,"",IF(COUNTIFS(Release_Calendar!$A$2:$A$755,"NZ_CPI",Release_Calendar!$B$2:$B$755,$A2848)&gt;0,1,0))</f>
        <v/>
      </c>
      <c r="N2848" s="16" t="str">
        <f>IF($A2848&lt;Notes!$B$5,"",IF(COUNTIFS(Release_Calendar!$A$2:$A$755,"NZ_GDP",Release_Calendar!$B$2:$B$755,$A2848)&gt;0,1,0))</f>
        <v/>
      </c>
      <c r="O2848" s="16" t="str">
        <f>IF($A2848&lt;Notes!$B$5,"",IF(COUNTIFS(Release_Calendar!$A$2:$A$755,"NZ_LABOUR",Release_Calendar!$B$2:$B$755,$A2848)&gt;0,1,0))</f>
        <v/>
      </c>
      <c r="P2848" s="16">
        <f t="shared" si="4"/>
        <v>0</v>
      </c>
    </row>
    <row r="2849" ht="15.75" customHeight="1">
      <c r="A2849" s="14">
        <v>40513.0</v>
      </c>
      <c r="B2849" s="15">
        <v>0.53</v>
      </c>
      <c r="C2849" s="15"/>
      <c r="D2849" s="15">
        <v>4.18</v>
      </c>
      <c r="E2849" s="15">
        <v>4.17</v>
      </c>
      <c r="F2849" s="15" t="str">
        <f t="shared" si="1"/>
        <v/>
      </c>
      <c r="G2849" s="15">
        <f t="shared" si="2"/>
        <v>4.18</v>
      </c>
      <c r="H2849" s="16">
        <v>1.0</v>
      </c>
      <c r="I2849" s="15">
        <f t="shared" si="3"/>
        <v>3.65</v>
      </c>
      <c r="J2849" s="15">
        <v>21.36</v>
      </c>
      <c r="K2849" s="16">
        <f>IF(COUNTIFS(Release_Calendar!$A$2:$A$755,"US_CPI",Release_Calendar!$B$2:$B$755,$A2849)&gt;0,1,0)</f>
        <v>0</v>
      </c>
      <c r="L2849" s="16">
        <f>IF(COUNTIFS(Release_Calendar!$A$2:$A$755,"US_NFP",Release_Calendar!$B$2:$B$755,$A2849)&gt;0,1,0)</f>
        <v>0</v>
      </c>
      <c r="M2849" s="16" t="str">
        <f>IF($A2849&lt;Notes!$B$5,"",IF(COUNTIFS(Release_Calendar!$A$2:$A$755,"NZ_CPI",Release_Calendar!$B$2:$B$755,$A2849)&gt;0,1,0))</f>
        <v/>
      </c>
      <c r="N2849" s="16" t="str">
        <f>IF($A2849&lt;Notes!$B$5,"",IF(COUNTIFS(Release_Calendar!$A$2:$A$755,"NZ_GDP",Release_Calendar!$B$2:$B$755,$A2849)&gt;0,1,0))</f>
        <v/>
      </c>
      <c r="O2849" s="16" t="str">
        <f>IF($A2849&lt;Notes!$B$5,"",IF(COUNTIFS(Release_Calendar!$A$2:$A$755,"NZ_LABOUR",Release_Calendar!$B$2:$B$755,$A2849)&gt;0,1,0))</f>
        <v/>
      </c>
      <c r="P2849" s="16">
        <f t="shared" si="4"/>
        <v>0</v>
      </c>
    </row>
    <row r="2850" ht="15.75" customHeight="1">
      <c r="A2850" s="14">
        <v>40514.0</v>
      </c>
      <c r="B2850" s="15">
        <v>0.55</v>
      </c>
      <c r="C2850" s="15"/>
      <c r="D2850" s="15">
        <v>4.23</v>
      </c>
      <c r="E2850" s="15">
        <v>4.17</v>
      </c>
      <c r="F2850" s="15" t="str">
        <f t="shared" si="1"/>
        <v/>
      </c>
      <c r="G2850" s="15">
        <f t="shared" si="2"/>
        <v>4.23</v>
      </c>
      <c r="H2850" s="16">
        <v>1.0</v>
      </c>
      <c r="I2850" s="15">
        <f t="shared" si="3"/>
        <v>3.68</v>
      </c>
      <c r="J2850" s="15">
        <v>19.39</v>
      </c>
      <c r="K2850" s="16">
        <f>IF(COUNTIFS(Release_Calendar!$A$2:$A$755,"US_CPI",Release_Calendar!$B$2:$B$755,$A2850)&gt;0,1,0)</f>
        <v>0</v>
      </c>
      <c r="L2850" s="16">
        <f>IF(COUNTIFS(Release_Calendar!$A$2:$A$755,"US_NFP",Release_Calendar!$B$2:$B$755,$A2850)&gt;0,1,0)</f>
        <v>0</v>
      </c>
      <c r="M2850" s="16" t="str">
        <f>IF($A2850&lt;Notes!$B$5,"",IF(COUNTIFS(Release_Calendar!$A$2:$A$755,"NZ_CPI",Release_Calendar!$B$2:$B$755,$A2850)&gt;0,1,0))</f>
        <v/>
      </c>
      <c r="N2850" s="16" t="str">
        <f>IF($A2850&lt;Notes!$B$5,"",IF(COUNTIFS(Release_Calendar!$A$2:$A$755,"NZ_GDP",Release_Calendar!$B$2:$B$755,$A2850)&gt;0,1,0))</f>
        <v/>
      </c>
      <c r="O2850" s="16" t="str">
        <f>IF($A2850&lt;Notes!$B$5,"",IF(COUNTIFS(Release_Calendar!$A$2:$A$755,"NZ_LABOUR",Release_Calendar!$B$2:$B$755,$A2850)&gt;0,1,0))</f>
        <v/>
      </c>
      <c r="P2850" s="16">
        <f t="shared" si="4"/>
        <v>0</v>
      </c>
    </row>
    <row r="2851" ht="15.75" customHeight="1">
      <c r="A2851" s="14">
        <v>40515.0</v>
      </c>
      <c r="B2851" s="15">
        <v>0.49</v>
      </c>
      <c r="C2851" s="15"/>
      <c r="D2851" s="15">
        <v>4.17</v>
      </c>
      <c r="E2851" s="15">
        <v>4.14</v>
      </c>
      <c r="F2851" s="15" t="str">
        <f t="shared" si="1"/>
        <v/>
      </c>
      <c r="G2851" s="15">
        <f t="shared" si="2"/>
        <v>4.17</v>
      </c>
      <c r="H2851" s="16">
        <v>1.0</v>
      </c>
      <c r="I2851" s="15">
        <f t="shared" si="3"/>
        <v>3.68</v>
      </c>
      <c r="J2851" s="15">
        <v>18.01</v>
      </c>
      <c r="K2851" s="16">
        <f>IF(COUNTIFS(Release_Calendar!$A$2:$A$755,"US_CPI",Release_Calendar!$B$2:$B$755,$A2851)&gt;0,1,0)</f>
        <v>0</v>
      </c>
      <c r="L2851" s="16">
        <f>IF(COUNTIFS(Release_Calendar!$A$2:$A$755,"US_NFP",Release_Calendar!$B$2:$B$755,$A2851)&gt;0,1,0)</f>
        <v>1</v>
      </c>
      <c r="M2851" s="16" t="str">
        <f>IF($A2851&lt;Notes!$B$5,"",IF(COUNTIFS(Release_Calendar!$A$2:$A$755,"NZ_CPI",Release_Calendar!$B$2:$B$755,$A2851)&gt;0,1,0))</f>
        <v/>
      </c>
      <c r="N2851" s="16" t="str">
        <f>IF($A2851&lt;Notes!$B$5,"",IF(COUNTIFS(Release_Calendar!$A$2:$A$755,"NZ_GDP",Release_Calendar!$B$2:$B$755,$A2851)&gt;0,1,0))</f>
        <v/>
      </c>
      <c r="O2851" s="16" t="str">
        <f>IF($A2851&lt;Notes!$B$5,"",IF(COUNTIFS(Release_Calendar!$A$2:$A$755,"NZ_LABOUR",Release_Calendar!$B$2:$B$755,$A2851)&gt;0,1,0))</f>
        <v/>
      </c>
      <c r="P2851" s="16">
        <f t="shared" si="4"/>
        <v>1</v>
      </c>
    </row>
    <row r="2852" ht="15.75" customHeight="1">
      <c r="A2852" s="14">
        <v>40518.0</v>
      </c>
      <c r="B2852" s="15">
        <v>0.42</v>
      </c>
      <c r="C2852" s="15"/>
      <c r="D2852" s="15">
        <v>4.14</v>
      </c>
      <c r="E2852" s="15">
        <v>4.1</v>
      </c>
      <c r="F2852" s="15" t="str">
        <f t="shared" si="1"/>
        <v/>
      </c>
      <c r="G2852" s="15">
        <f t="shared" si="2"/>
        <v>4.14</v>
      </c>
      <c r="H2852" s="16">
        <v>1.0</v>
      </c>
      <c r="I2852" s="15">
        <f t="shared" si="3"/>
        <v>3.72</v>
      </c>
      <c r="J2852" s="15">
        <v>18.02</v>
      </c>
      <c r="K2852" s="16">
        <f>IF(COUNTIFS(Release_Calendar!$A$2:$A$755,"US_CPI",Release_Calendar!$B$2:$B$755,$A2852)&gt;0,1,0)</f>
        <v>0</v>
      </c>
      <c r="L2852" s="16">
        <f>IF(COUNTIFS(Release_Calendar!$A$2:$A$755,"US_NFP",Release_Calendar!$B$2:$B$755,$A2852)&gt;0,1,0)</f>
        <v>0</v>
      </c>
      <c r="M2852" s="16" t="str">
        <f>IF($A2852&lt;Notes!$B$5,"",IF(COUNTIFS(Release_Calendar!$A$2:$A$755,"NZ_CPI",Release_Calendar!$B$2:$B$755,$A2852)&gt;0,1,0))</f>
        <v/>
      </c>
      <c r="N2852" s="16" t="str">
        <f>IF($A2852&lt;Notes!$B$5,"",IF(COUNTIFS(Release_Calendar!$A$2:$A$755,"NZ_GDP",Release_Calendar!$B$2:$B$755,$A2852)&gt;0,1,0))</f>
        <v/>
      </c>
      <c r="O2852" s="16" t="str">
        <f>IF($A2852&lt;Notes!$B$5,"",IF(COUNTIFS(Release_Calendar!$A$2:$A$755,"NZ_LABOUR",Release_Calendar!$B$2:$B$755,$A2852)&gt;0,1,0))</f>
        <v/>
      </c>
      <c r="P2852" s="16">
        <f t="shared" si="4"/>
        <v>0</v>
      </c>
    </row>
    <row r="2853" ht="15.75" customHeight="1">
      <c r="A2853" s="14">
        <v>40519.0</v>
      </c>
      <c r="B2853" s="15">
        <v>0.54</v>
      </c>
      <c r="C2853" s="15"/>
      <c r="D2853" s="15">
        <v>4.09</v>
      </c>
      <c r="E2853" s="15">
        <v>4.08</v>
      </c>
      <c r="F2853" s="15" t="str">
        <f t="shared" si="1"/>
        <v/>
      </c>
      <c r="G2853" s="15">
        <f t="shared" si="2"/>
        <v>4.09</v>
      </c>
      <c r="H2853" s="16">
        <v>1.0</v>
      </c>
      <c r="I2853" s="15">
        <f t="shared" si="3"/>
        <v>3.55</v>
      </c>
      <c r="J2853" s="15">
        <v>17.99</v>
      </c>
      <c r="K2853" s="16">
        <f>IF(COUNTIFS(Release_Calendar!$A$2:$A$755,"US_CPI",Release_Calendar!$B$2:$B$755,$A2853)&gt;0,1,0)</f>
        <v>0</v>
      </c>
      <c r="L2853" s="16">
        <f>IF(COUNTIFS(Release_Calendar!$A$2:$A$755,"US_NFP",Release_Calendar!$B$2:$B$755,$A2853)&gt;0,1,0)</f>
        <v>0</v>
      </c>
      <c r="M2853" s="16" t="str">
        <f>IF($A2853&lt;Notes!$B$5,"",IF(COUNTIFS(Release_Calendar!$A$2:$A$755,"NZ_CPI",Release_Calendar!$B$2:$B$755,$A2853)&gt;0,1,0))</f>
        <v/>
      </c>
      <c r="N2853" s="16" t="str">
        <f>IF($A2853&lt;Notes!$B$5,"",IF(COUNTIFS(Release_Calendar!$A$2:$A$755,"NZ_GDP",Release_Calendar!$B$2:$B$755,$A2853)&gt;0,1,0))</f>
        <v/>
      </c>
      <c r="O2853" s="16" t="str">
        <f>IF($A2853&lt;Notes!$B$5,"",IF(COUNTIFS(Release_Calendar!$A$2:$A$755,"NZ_LABOUR",Release_Calendar!$B$2:$B$755,$A2853)&gt;0,1,0))</f>
        <v/>
      </c>
      <c r="P2853" s="16">
        <f t="shared" si="4"/>
        <v>0</v>
      </c>
    </row>
    <row r="2854" ht="15.75" customHeight="1">
      <c r="A2854" s="14">
        <v>40520.0</v>
      </c>
      <c r="B2854" s="15">
        <v>0.63</v>
      </c>
      <c r="C2854" s="15"/>
      <c r="D2854" s="15">
        <v>4.11</v>
      </c>
      <c r="E2854" s="15">
        <v>4.11</v>
      </c>
      <c r="F2854" s="15" t="str">
        <f t="shared" si="1"/>
        <v/>
      </c>
      <c r="G2854" s="15">
        <f t="shared" si="2"/>
        <v>4.11</v>
      </c>
      <c r="H2854" s="16">
        <v>1.0</v>
      </c>
      <c r="I2854" s="15">
        <f t="shared" si="3"/>
        <v>3.48</v>
      </c>
      <c r="J2854" s="15">
        <v>17.74</v>
      </c>
      <c r="K2854" s="16">
        <f>IF(COUNTIFS(Release_Calendar!$A$2:$A$755,"US_CPI",Release_Calendar!$B$2:$B$755,$A2854)&gt;0,1,0)</f>
        <v>0</v>
      </c>
      <c r="L2854" s="16">
        <f>IF(COUNTIFS(Release_Calendar!$A$2:$A$755,"US_NFP",Release_Calendar!$B$2:$B$755,$A2854)&gt;0,1,0)</f>
        <v>0</v>
      </c>
      <c r="M2854" s="16" t="str">
        <f>IF($A2854&lt;Notes!$B$5,"",IF(COUNTIFS(Release_Calendar!$A$2:$A$755,"NZ_CPI",Release_Calendar!$B$2:$B$755,$A2854)&gt;0,1,0))</f>
        <v/>
      </c>
      <c r="N2854" s="16" t="str">
        <f>IF($A2854&lt;Notes!$B$5,"",IF(COUNTIFS(Release_Calendar!$A$2:$A$755,"NZ_GDP",Release_Calendar!$B$2:$B$755,$A2854)&gt;0,1,0))</f>
        <v/>
      </c>
      <c r="O2854" s="16" t="str">
        <f>IF($A2854&lt;Notes!$B$5,"",IF(COUNTIFS(Release_Calendar!$A$2:$A$755,"NZ_LABOUR",Release_Calendar!$B$2:$B$755,$A2854)&gt;0,1,0))</f>
        <v/>
      </c>
      <c r="P2854" s="16">
        <f t="shared" si="4"/>
        <v>0</v>
      </c>
    </row>
    <row r="2855" ht="15.75" customHeight="1">
      <c r="A2855" s="14">
        <v>40521.0</v>
      </c>
      <c r="B2855" s="15">
        <v>0.64</v>
      </c>
      <c r="C2855" s="15"/>
      <c r="D2855" s="15">
        <v>4.05</v>
      </c>
      <c r="E2855" s="15">
        <v>4.09</v>
      </c>
      <c r="F2855" s="15" t="str">
        <f t="shared" si="1"/>
        <v/>
      </c>
      <c r="G2855" s="15">
        <f t="shared" si="2"/>
        <v>4.05</v>
      </c>
      <c r="H2855" s="16">
        <v>1.0</v>
      </c>
      <c r="I2855" s="15">
        <f t="shared" si="3"/>
        <v>3.41</v>
      </c>
      <c r="J2855" s="15">
        <v>17.25</v>
      </c>
      <c r="K2855" s="16">
        <f>IF(COUNTIFS(Release_Calendar!$A$2:$A$755,"US_CPI",Release_Calendar!$B$2:$B$755,$A2855)&gt;0,1,0)</f>
        <v>0</v>
      </c>
      <c r="L2855" s="16">
        <f>IF(COUNTIFS(Release_Calendar!$A$2:$A$755,"US_NFP",Release_Calendar!$B$2:$B$755,$A2855)&gt;0,1,0)</f>
        <v>0</v>
      </c>
      <c r="M2855" s="16" t="str">
        <f>IF($A2855&lt;Notes!$B$5,"",IF(COUNTIFS(Release_Calendar!$A$2:$A$755,"NZ_CPI",Release_Calendar!$B$2:$B$755,$A2855)&gt;0,1,0))</f>
        <v/>
      </c>
      <c r="N2855" s="16" t="str">
        <f>IF($A2855&lt;Notes!$B$5,"",IF(COUNTIFS(Release_Calendar!$A$2:$A$755,"NZ_GDP",Release_Calendar!$B$2:$B$755,$A2855)&gt;0,1,0))</f>
        <v/>
      </c>
      <c r="O2855" s="16" t="str">
        <f>IF($A2855&lt;Notes!$B$5,"",IF(COUNTIFS(Release_Calendar!$A$2:$A$755,"NZ_LABOUR",Release_Calendar!$B$2:$B$755,$A2855)&gt;0,1,0))</f>
        <v/>
      </c>
      <c r="P2855" s="16">
        <f t="shared" si="4"/>
        <v>0</v>
      </c>
    </row>
    <row r="2856" ht="15.75" customHeight="1">
      <c r="A2856" s="14">
        <v>40522.0</v>
      </c>
      <c r="B2856" s="15">
        <v>0.64</v>
      </c>
      <c r="C2856" s="15"/>
      <c r="D2856" s="15">
        <v>4.1</v>
      </c>
      <c r="E2856" s="15">
        <v>4.05</v>
      </c>
      <c r="F2856" s="15" t="str">
        <f t="shared" si="1"/>
        <v/>
      </c>
      <c r="G2856" s="15">
        <f t="shared" si="2"/>
        <v>4.1</v>
      </c>
      <c r="H2856" s="16">
        <v>1.0</v>
      </c>
      <c r="I2856" s="15">
        <f t="shared" si="3"/>
        <v>3.46</v>
      </c>
      <c r="J2856" s="15">
        <v>17.61</v>
      </c>
      <c r="K2856" s="16">
        <f>IF(COUNTIFS(Release_Calendar!$A$2:$A$755,"US_CPI",Release_Calendar!$B$2:$B$755,$A2856)&gt;0,1,0)</f>
        <v>0</v>
      </c>
      <c r="L2856" s="16">
        <f>IF(COUNTIFS(Release_Calendar!$A$2:$A$755,"US_NFP",Release_Calendar!$B$2:$B$755,$A2856)&gt;0,1,0)</f>
        <v>0</v>
      </c>
      <c r="M2856" s="16" t="str">
        <f>IF($A2856&lt;Notes!$B$5,"",IF(COUNTIFS(Release_Calendar!$A$2:$A$755,"NZ_CPI",Release_Calendar!$B$2:$B$755,$A2856)&gt;0,1,0))</f>
        <v/>
      </c>
      <c r="N2856" s="16" t="str">
        <f>IF($A2856&lt;Notes!$B$5,"",IF(COUNTIFS(Release_Calendar!$A$2:$A$755,"NZ_GDP",Release_Calendar!$B$2:$B$755,$A2856)&gt;0,1,0))</f>
        <v/>
      </c>
      <c r="O2856" s="16" t="str">
        <f>IF($A2856&lt;Notes!$B$5,"",IF(COUNTIFS(Release_Calendar!$A$2:$A$755,"NZ_LABOUR",Release_Calendar!$B$2:$B$755,$A2856)&gt;0,1,0))</f>
        <v/>
      </c>
      <c r="P2856" s="16">
        <f t="shared" si="4"/>
        <v>0</v>
      </c>
    </row>
    <row r="2857" ht="15.75" customHeight="1">
      <c r="A2857" s="14">
        <v>40525.0</v>
      </c>
      <c r="B2857" s="15">
        <v>0.61</v>
      </c>
      <c r="C2857" s="15"/>
      <c r="D2857" s="15">
        <v>4.08</v>
      </c>
      <c r="E2857" s="15">
        <v>4.09</v>
      </c>
      <c r="F2857" s="15" t="str">
        <f t="shared" si="1"/>
        <v/>
      </c>
      <c r="G2857" s="15">
        <f t="shared" si="2"/>
        <v>4.08</v>
      </c>
      <c r="H2857" s="16">
        <v>1.0</v>
      </c>
      <c r="I2857" s="15">
        <f t="shared" si="3"/>
        <v>3.47</v>
      </c>
      <c r="J2857" s="15">
        <v>17.55</v>
      </c>
      <c r="K2857" s="16">
        <f>IF(COUNTIFS(Release_Calendar!$A$2:$A$755,"US_CPI",Release_Calendar!$B$2:$B$755,$A2857)&gt;0,1,0)</f>
        <v>0</v>
      </c>
      <c r="L2857" s="16">
        <f>IF(COUNTIFS(Release_Calendar!$A$2:$A$755,"US_NFP",Release_Calendar!$B$2:$B$755,$A2857)&gt;0,1,0)</f>
        <v>0</v>
      </c>
      <c r="M2857" s="16" t="str">
        <f>IF($A2857&lt;Notes!$B$5,"",IF(COUNTIFS(Release_Calendar!$A$2:$A$755,"NZ_CPI",Release_Calendar!$B$2:$B$755,$A2857)&gt;0,1,0))</f>
        <v/>
      </c>
      <c r="N2857" s="16" t="str">
        <f>IF($A2857&lt;Notes!$B$5,"",IF(COUNTIFS(Release_Calendar!$A$2:$A$755,"NZ_GDP",Release_Calendar!$B$2:$B$755,$A2857)&gt;0,1,0))</f>
        <v/>
      </c>
      <c r="O2857" s="16" t="str">
        <f>IF($A2857&lt;Notes!$B$5,"",IF(COUNTIFS(Release_Calendar!$A$2:$A$755,"NZ_LABOUR",Release_Calendar!$B$2:$B$755,$A2857)&gt;0,1,0))</f>
        <v/>
      </c>
      <c r="P2857" s="16">
        <f t="shared" si="4"/>
        <v>0</v>
      </c>
    </row>
    <row r="2858" ht="15.75" customHeight="1">
      <c r="A2858" s="14">
        <v>40526.0</v>
      </c>
      <c r="B2858" s="15">
        <v>0.66</v>
      </c>
      <c r="C2858" s="15"/>
      <c r="D2858" s="15">
        <v>4.08</v>
      </c>
      <c r="E2858" s="15">
        <v>4.07</v>
      </c>
      <c r="F2858" s="15" t="str">
        <f t="shared" si="1"/>
        <v/>
      </c>
      <c r="G2858" s="15">
        <f t="shared" si="2"/>
        <v>4.08</v>
      </c>
      <c r="H2858" s="16">
        <v>1.0</v>
      </c>
      <c r="I2858" s="15">
        <f t="shared" si="3"/>
        <v>3.42</v>
      </c>
      <c r="J2858" s="15">
        <v>17.61</v>
      </c>
      <c r="K2858" s="16">
        <f>IF(COUNTIFS(Release_Calendar!$A$2:$A$755,"US_CPI",Release_Calendar!$B$2:$B$755,$A2858)&gt;0,1,0)</f>
        <v>0</v>
      </c>
      <c r="L2858" s="16">
        <f>IF(COUNTIFS(Release_Calendar!$A$2:$A$755,"US_NFP",Release_Calendar!$B$2:$B$755,$A2858)&gt;0,1,0)</f>
        <v>0</v>
      </c>
      <c r="M2858" s="16" t="str">
        <f>IF($A2858&lt;Notes!$B$5,"",IF(COUNTIFS(Release_Calendar!$A$2:$A$755,"NZ_CPI",Release_Calendar!$B$2:$B$755,$A2858)&gt;0,1,0))</f>
        <v/>
      </c>
      <c r="N2858" s="16" t="str">
        <f>IF($A2858&lt;Notes!$B$5,"",IF(COUNTIFS(Release_Calendar!$A$2:$A$755,"NZ_GDP",Release_Calendar!$B$2:$B$755,$A2858)&gt;0,1,0))</f>
        <v/>
      </c>
      <c r="O2858" s="16" t="str">
        <f>IF($A2858&lt;Notes!$B$5,"",IF(COUNTIFS(Release_Calendar!$A$2:$A$755,"NZ_LABOUR",Release_Calendar!$B$2:$B$755,$A2858)&gt;0,1,0))</f>
        <v/>
      </c>
      <c r="P2858" s="16">
        <f t="shared" si="4"/>
        <v>0</v>
      </c>
    </row>
    <row r="2859" ht="15.75" customHeight="1">
      <c r="A2859" s="14">
        <v>40527.0</v>
      </c>
      <c r="B2859" s="15">
        <v>0.68</v>
      </c>
      <c r="C2859" s="15"/>
      <c r="D2859" s="15">
        <v>4.11</v>
      </c>
      <c r="E2859" s="15">
        <v>4.1</v>
      </c>
      <c r="F2859" s="15" t="str">
        <f t="shared" si="1"/>
        <v/>
      </c>
      <c r="G2859" s="15">
        <f t="shared" si="2"/>
        <v>4.11</v>
      </c>
      <c r="H2859" s="16">
        <v>1.0</v>
      </c>
      <c r="I2859" s="15">
        <f t="shared" si="3"/>
        <v>3.43</v>
      </c>
      <c r="J2859" s="15">
        <v>17.94</v>
      </c>
      <c r="K2859" s="16">
        <f>IF(COUNTIFS(Release_Calendar!$A$2:$A$755,"US_CPI",Release_Calendar!$B$2:$B$755,$A2859)&gt;0,1,0)</f>
        <v>1</v>
      </c>
      <c r="L2859" s="16">
        <f>IF(COUNTIFS(Release_Calendar!$A$2:$A$755,"US_NFP",Release_Calendar!$B$2:$B$755,$A2859)&gt;0,1,0)</f>
        <v>0</v>
      </c>
      <c r="M2859" s="16" t="str">
        <f>IF($A2859&lt;Notes!$B$5,"",IF(COUNTIFS(Release_Calendar!$A$2:$A$755,"NZ_CPI",Release_Calendar!$B$2:$B$755,$A2859)&gt;0,1,0))</f>
        <v/>
      </c>
      <c r="N2859" s="16" t="str">
        <f>IF($A2859&lt;Notes!$B$5,"",IF(COUNTIFS(Release_Calendar!$A$2:$A$755,"NZ_GDP",Release_Calendar!$B$2:$B$755,$A2859)&gt;0,1,0))</f>
        <v/>
      </c>
      <c r="O2859" s="16" t="str">
        <f>IF($A2859&lt;Notes!$B$5,"",IF(COUNTIFS(Release_Calendar!$A$2:$A$755,"NZ_LABOUR",Release_Calendar!$B$2:$B$755,$A2859)&gt;0,1,0))</f>
        <v/>
      </c>
      <c r="P2859" s="16">
        <f t="shared" si="4"/>
        <v>1</v>
      </c>
    </row>
    <row r="2860" ht="15.75" customHeight="1">
      <c r="A2860" s="14">
        <v>40528.0</v>
      </c>
      <c r="B2860" s="15">
        <v>0.66</v>
      </c>
      <c r="C2860" s="15"/>
      <c r="D2860" s="15">
        <v>4.11</v>
      </c>
      <c r="E2860" s="15">
        <v>4.1</v>
      </c>
      <c r="F2860" s="15" t="str">
        <f t="shared" si="1"/>
        <v/>
      </c>
      <c r="G2860" s="15">
        <f t="shared" si="2"/>
        <v>4.11</v>
      </c>
      <c r="H2860" s="16">
        <v>1.0</v>
      </c>
      <c r="I2860" s="15">
        <f t="shared" si="3"/>
        <v>3.45</v>
      </c>
      <c r="J2860" s="15">
        <v>17.39</v>
      </c>
      <c r="K2860" s="16">
        <f>IF(COUNTIFS(Release_Calendar!$A$2:$A$755,"US_CPI",Release_Calendar!$B$2:$B$755,$A2860)&gt;0,1,0)</f>
        <v>0</v>
      </c>
      <c r="L2860" s="16">
        <f>IF(COUNTIFS(Release_Calendar!$A$2:$A$755,"US_NFP",Release_Calendar!$B$2:$B$755,$A2860)&gt;0,1,0)</f>
        <v>0</v>
      </c>
      <c r="M2860" s="16" t="str">
        <f>IF($A2860&lt;Notes!$B$5,"",IF(COUNTIFS(Release_Calendar!$A$2:$A$755,"NZ_CPI",Release_Calendar!$B$2:$B$755,$A2860)&gt;0,1,0))</f>
        <v/>
      </c>
      <c r="N2860" s="16" t="str">
        <f>IF($A2860&lt;Notes!$B$5,"",IF(COUNTIFS(Release_Calendar!$A$2:$A$755,"NZ_GDP",Release_Calendar!$B$2:$B$755,$A2860)&gt;0,1,0))</f>
        <v/>
      </c>
      <c r="O2860" s="16" t="str">
        <f>IF($A2860&lt;Notes!$B$5,"",IF(COUNTIFS(Release_Calendar!$A$2:$A$755,"NZ_LABOUR",Release_Calendar!$B$2:$B$755,$A2860)&gt;0,1,0))</f>
        <v/>
      </c>
      <c r="P2860" s="16">
        <f t="shared" si="4"/>
        <v>0</v>
      </c>
    </row>
    <row r="2861" ht="15.75" customHeight="1">
      <c r="A2861" s="14">
        <v>40529.0</v>
      </c>
      <c r="B2861" s="15">
        <v>0.61</v>
      </c>
      <c r="C2861" s="15"/>
      <c r="D2861" s="15">
        <v>4.09</v>
      </c>
      <c r="E2861" s="15">
        <v>4.09</v>
      </c>
      <c r="F2861" s="15" t="str">
        <f t="shared" si="1"/>
        <v/>
      </c>
      <c r="G2861" s="15">
        <f t="shared" si="2"/>
        <v>4.09</v>
      </c>
      <c r="H2861" s="16">
        <v>1.0</v>
      </c>
      <c r="I2861" s="15">
        <f t="shared" si="3"/>
        <v>3.48</v>
      </c>
      <c r="J2861" s="15">
        <v>16.11</v>
      </c>
      <c r="K2861" s="16">
        <f>IF(COUNTIFS(Release_Calendar!$A$2:$A$755,"US_CPI",Release_Calendar!$B$2:$B$755,$A2861)&gt;0,1,0)</f>
        <v>0</v>
      </c>
      <c r="L2861" s="16">
        <f>IF(COUNTIFS(Release_Calendar!$A$2:$A$755,"US_NFP",Release_Calendar!$B$2:$B$755,$A2861)&gt;0,1,0)</f>
        <v>0</v>
      </c>
      <c r="M2861" s="16" t="str">
        <f>IF($A2861&lt;Notes!$B$5,"",IF(COUNTIFS(Release_Calendar!$A$2:$A$755,"NZ_CPI",Release_Calendar!$B$2:$B$755,$A2861)&gt;0,1,0))</f>
        <v/>
      </c>
      <c r="N2861" s="16" t="str">
        <f>IF($A2861&lt;Notes!$B$5,"",IF(COUNTIFS(Release_Calendar!$A$2:$A$755,"NZ_GDP",Release_Calendar!$B$2:$B$755,$A2861)&gt;0,1,0))</f>
        <v/>
      </c>
      <c r="O2861" s="16" t="str">
        <f>IF($A2861&lt;Notes!$B$5,"",IF(COUNTIFS(Release_Calendar!$A$2:$A$755,"NZ_LABOUR",Release_Calendar!$B$2:$B$755,$A2861)&gt;0,1,0))</f>
        <v/>
      </c>
      <c r="P2861" s="16">
        <f t="shared" si="4"/>
        <v>0</v>
      </c>
    </row>
    <row r="2862" ht="15.75" customHeight="1">
      <c r="A2862" s="14">
        <v>40532.0</v>
      </c>
      <c r="B2862" s="15">
        <v>0.62</v>
      </c>
      <c r="C2862" s="15"/>
      <c r="D2862" s="15">
        <v>4.05</v>
      </c>
      <c r="E2862" s="15">
        <v>4.03</v>
      </c>
      <c r="F2862" s="15" t="str">
        <f t="shared" si="1"/>
        <v/>
      </c>
      <c r="G2862" s="15">
        <f t="shared" si="2"/>
        <v>4.05</v>
      </c>
      <c r="H2862" s="16">
        <v>1.0</v>
      </c>
      <c r="I2862" s="15">
        <f t="shared" si="3"/>
        <v>3.43</v>
      </c>
      <c r="J2862" s="15">
        <v>16.41</v>
      </c>
      <c r="K2862" s="16">
        <f>IF(COUNTIFS(Release_Calendar!$A$2:$A$755,"US_CPI",Release_Calendar!$B$2:$B$755,$A2862)&gt;0,1,0)</f>
        <v>0</v>
      </c>
      <c r="L2862" s="16">
        <f>IF(COUNTIFS(Release_Calendar!$A$2:$A$755,"US_NFP",Release_Calendar!$B$2:$B$755,$A2862)&gt;0,1,0)</f>
        <v>0</v>
      </c>
      <c r="M2862" s="16" t="str">
        <f>IF($A2862&lt;Notes!$B$5,"",IF(COUNTIFS(Release_Calendar!$A$2:$A$755,"NZ_CPI",Release_Calendar!$B$2:$B$755,$A2862)&gt;0,1,0))</f>
        <v/>
      </c>
      <c r="N2862" s="16" t="str">
        <f>IF($A2862&lt;Notes!$B$5,"",IF(COUNTIFS(Release_Calendar!$A$2:$A$755,"NZ_GDP",Release_Calendar!$B$2:$B$755,$A2862)&gt;0,1,0))</f>
        <v/>
      </c>
      <c r="O2862" s="16" t="str">
        <f>IF($A2862&lt;Notes!$B$5,"",IF(COUNTIFS(Release_Calendar!$A$2:$A$755,"NZ_LABOUR",Release_Calendar!$B$2:$B$755,$A2862)&gt;0,1,0))</f>
        <v/>
      </c>
      <c r="P2862" s="16">
        <f t="shared" si="4"/>
        <v>0</v>
      </c>
    </row>
    <row r="2863" ht="15.75" customHeight="1">
      <c r="A2863" s="14">
        <v>40533.0</v>
      </c>
      <c r="B2863" s="15">
        <v>0.63</v>
      </c>
      <c r="C2863" s="15"/>
      <c r="D2863" s="15">
        <v>4.03</v>
      </c>
      <c r="E2863" s="15">
        <v>4.06</v>
      </c>
      <c r="F2863" s="15" t="str">
        <f t="shared" si="1"/>
        <v/>
      </c>
      <c r="G2863" s="15">
        <f t="shared" si="2"/>
        <v>4.03</v>
      </c>
      <c r="H2863" s="16">
        <v>1.0</v>
      </c>
      <c r="I2863" s="15">
        <f t="shared" si="3"/>
        <v>3.4</v>
      </c>
      <c r="J2863" s="15">
        <v>16.49</v>
      </c>
      <c r="K2863" s="16">
        <f>IF(COUNTIFS(Release_Calendar!$A$2:$A$755,"US_CPI",Release_Calendar!$B$2:$B$755,$A2863)&gt;0,1,0)</f>
        <v>0</v>
      </c>
      <c r="L2863" s="16">
        <f>IF(COUNTIFS(Release_Calendar!$A$2:$A$755,"US_NFP",Release_Calendar!$B$2:$B$755,$A2863)&gt;0,1,0)</f>
        <v>0</v>
      </c>
      <c r="M2863" s="16" t="str">
        <f>IF($A2863&lt;Notes!$B$5,"",IF(COUNTIFS(Release_Calendar!$A$2:$A$755,"NZ_CPI",Release_Calendar!$B$2:$B$755,$A2863)&gt;0,1,0))</f>
        <v/>
      </c>
      <c r="N2863" s="16" t="str">
        <f>IF($A2863&lt;Notes!$B$5,"",IF(COUNTIFS(Release_Calendar!$A$2:$A$755,"NZ_GDP",Release_Calendar!$B$2:$B$755,$A2863)&gt;0,1,0))</f>
        <v/>
      </c>
      <c r="O2863" s="16" t="str">
        <f>IF($A2863&lt;Notes!$B$5,"",IF(COUNTIFS(Release_Calendar!$A$2:$A$755,"NZ_LABOUR",Release_Calendar!$B$2:$B$755,$A2863)&gt;0,1,0))</f>
        <v/>
      </c>
      <c r="P2863" s="16">
        <f t="shared" si="4"/>
        <v>0</v>
      </c>
    </row>
    <row r="2864" ht="15.75" customHeight="1">
      <c r="A2864" s="14">
        <v>40534.0</v>
      </c>
      <c r="B2864" s="15">
        <v>0.65</v>
      </c>
      <c r="C2864" s="15"/>
      <c r="D2864" s="15">
        <v>4.06</v>
      </c>
      <c r="E2864" s="15">
        <v>4.05</v>
      </c>
      <c r="F2864" s="15" t="str">
        <f t="shared" si="1"/>
        <v/>
      </c>
      <c r="G2864" s="15">
        <f t="shared" si="2"/>
        <v>4.06</v>
      </c>
      <c r="H2864" s="16">
        <v>1.0</v>
      </c>
      <c r="I2864" s="15">
        <f t="shared" si="3"/>
        <v>3.41</v>
      </c>
      <c r="J2864" s="15">
        <v>15.45</v>
      </c>
      <c r="K2864" s="16">
        <f>IF(COUNTIFS(Release_Calendar!$A$2:$A$755,"US_CPI",Release_Calendar!$B$2:$B$755,$A2864)&gt;0,1,0)</f>
        <v>0</v>
      </c>
      <c r="L2864" s="16">
        <f>IF(COUNTIFS(Release_Calendar!$A$2:$A$755,"US_NFP",Release_Calendar!$B$2:$B$755,$A2864)&gt;0,1,0)</f>
        <v>0</v>
      </c>
      <c r="M2864" s="16" t="str">
        <f>IF($A2864&lt;Notes!$B$5,"",IF(COUNTIFS(Release_Calendar!$A$2:$A$755,"NZ_CPI",Release_Calendar!$B$2:$B$755,$A2864)&gt;0,1,0))</f>
        <v/>
      </c>
      <c r="N2864" s="16" t="str">
        <f>IF($A2864&lt;Notes!$B$5,"",IF(COUNTIFS(Release_Calendar!$A$2:$A$755,"NZ_GDP",Release_Calendar!$B$2:$B$755,$A2864)&gt;0,1,0))</f>
        <v/>
      </c>
      <c r="O2864" s="16" t="str">
        <f>IF($A2864&lt;Notes!$B$5,"",IF(COUNTIFS(Release_Calendar!$A$2:$A$755,"NZ_LABOUR",Release_Calendar!$B$2:$B$755,$A2864)&gt;0,1,0))</f>
        <v/>
      </c>
      <c r="P2864" s="16">
        <f t="shared" si="4"/>
        <v>0</v>
      </c>
    </row>
    <row r="2865" ht="15.75" customHeight="1">
      <c r="A2865" s="14">
        <v>40535.0</v>
      </c>
      <c r="B2865" s="15">
        <v>0.67</v>
      </c>
      <c r="C2865" s="15"/>
      <c r="D2865" s="15">
        <v>4.04</v>
      </c>
      <c r="E2865" s="15">
        <v>4.0</v>
      </c>
      <c r="F2865" s="15" t="str">
        <f t="shared" si="1"/>
        <v/>
      </c>
      <c r="G2865" s="15">
        <f t="shared" si="2"/>
        <v>4.04</v>
      </c>
      <c r="H2865" s="16">
        <v>1.0</v>
      </c>
      <c r="I2865" s="15">
        <f t="shared" si="3"/>
        <v>3.37</v>
      </c>
      <c r="J2865" s="15">
        <v>16.47</v>
      </c>
      <c r="K2865" s="16">
        <f>IF(COUNTIFS(Release_Calendar!$A$2:$A$755,"US_CPI",Release_Calendar!$B$2:$B$755,$A2865)&gt;0,1,0)</f>
        <v>0</v>
      </c>
      <c r="L2865" s="16">
        <f>IF(COUNTIFS(Release_Calendar!$A$2:$A$755,"US_NFP",Release_Calendar!$B$2:$B$755,$A2865)&gt;0,1,0)</f>
        <v>0</v>
      </c>
      <c r="M2865" s="16" t="str">
        <f>IF($A2865&lt;Notes!$B$5,"",IF(COUNTIFS(Release_Calendar!$A$2:$A$755,"NZ_CPI",Release_Calendar!$B$2:$B$755,$A2865)&gt;0,1,0))</f>
        <v/>
      </c>
      <c r="N2865" s="16" t="str">
        <f>IF($A2865&lt;Notes!$B$5,"",IF(COUNTIFS(Release_Calendar!$A$2:$A$755,"NZ_GDP",Release_Calendar!$B$2:$B$755,$A2865)&gt;0,1,0))</f>
        <v/>
      </c>
      <c r="O2865" s="16" t="str">
        <f>IF($A2865&lt;Notes!$B$5,"",IF(COUNTIFS(Release_Calendar!$A$2:$A$755,"NZ_LABOUR",Release_Calendar!$B$2:$B$755,$A2865)&gt;0,1,0))</f>
        <v/>
      </c>
      <c r="P2865" s="16">
        <f t="shared" si="4"/>
        <v>0</v>
      </c>
    </row>
    <row r="2866" ht="15.75" customHeight="1">
      <c r="A2866" s="14">
        <v>40536.0</v>
      </c>
      <c r="B2866" s="15"/>
      <c r="C2866" s="15"/>
      <c r="D2866" s="15">
        <v>4.0</v>
      </c>
      <c r="E2866" s="15">
        <v>4.0</v>
      </c>
      <c r="F2866" s="15" t="str">
        <f t="shared" si="1"/>
        <v/>
      </c>
      <c r="G2866" s="15">
        <f t="shared" si="2"/>
        <v>4</v>
      </c>
      <c r="H2866" s="16">
        <v>1.0</v>
      </c>
      <c r="I2866" s="15" t="str">
        <f t="shared" si="3"/>
        <v/>
      </c>
      <c r="J2866" s="15"/>
      <c r="K2866" s="16">
        <f>IF(COUNTIFS(Release_Calendar!$A$2:$A$755,"US_CPI",Release_Calendar!$B$2:$B$755,$A2866)&gt;0,1,0)</f>
        <v>0</v>
      </c>
      <c r="L2866" s="16">
        <f>IF(COUNTIFS(Release_Calendar!$A$2:$A$755,"US_NFP",Release_Calendar!$B$2:$B$755,$A2866)&gt;0,1,0)</f>
        <v>0</v>
      </c>
      <c r="M2866" s="16" t="str">
        <f>IF($A2866&lt;Notes!$B$5,"",IF(COUNTIFS(Release_Calendar!$A$2:$A$755,"NZ_CPI",Release_Calendar!$B$2:$B$755,$A2866)&gt;0,1,0))</f>
        <v/>
      </c>
      <c r="N2866" s="16" t="str">
        <f>IF($A2866&lt;Notes!$B$5,"",IF(COUNTIFS(Release_Calendar!$A$2:$A$755,"NZ_GDP",Release_Calendar!$B$2:$B$755,$A2866)&gt;0,1,0))</f>
        <v/>
      </c>
      <c r="O2866" s="16" t="str">
        <f>IF($A2866&lt;Notes!$B$5,"",IF(COUNTIFS(Release_Calendar!$A$2:$A$755,"NZ_LABOUR",Release_Calendar!$B$2:$B$755,$A2866)&gt;0,1,0))</f>
        <v/>
      </c>
      <c r="P2866" s="16">
        <f t="shared" si="4"/>
        <v>0</v>
      </c>
    </row>
    <row r="2867" ht="15.75" customHeight="1">
      <c r="A2867" s="14">
        <v>40539.0</v>
      </c>
      <c r="B2867" s="15">
        <v>0.71</v>
      </c>
      <c r="C2867" s="15"/>
      <c r="D2867" s="15"/>
      <c r="E2867" s="15"/>
      <c r="F2867" s="15" t="str">
        <f t="shared" si="1"/>
        <v/>
      </c>
      <c r="G2867" s="15" t="str">
        <f t="shared" si="2"/>
        <v/>
      </c>
      <c r="H2867" s="16">
        <v>1.0</v>
      </c>
      <c r="I2867" s="15" t="str">
        <f t="shared" si="3"/>
        <v/>
      </c>
      <c r="J2867" s="15">
        <v>17.67</v>
      </c>
      <c r="K2867" s="16">
        <f>IF(COUNTIFS(Release_Calendar!$A$2:$A$755,"US_CPI",Release_Calendar!$B$2:$B$755,$A2867)&gt;0,1,0)</f>
        <v>0</v>
      </c>
      <c r="L2867" s="16">
        <f>IF(COUNTIFS(Release_Calendar!$A$2:$A$755,"US_NFP",Release_Calendar!$B$2:$B$755,$A2867)&gt;0,1,0)</f>
        <v>0</v>
      </c>
      <c r="M2867" s="16" t="str">
        <f>IF($A2867&lt;Notes!$B$5,"",IF(COUNTIFS(Release_Calendar!$A$2:$A$755,"NZ_CPI",Release_Calendar!$B$2:$B$755,$A2867)&gt;0,1,0))</f>
        <v/>
      </c>
      <c r="N2867" s="16" t="str">
        <f>IF($A2867&lt;Notes!$B$5,"",IF(COUNTIFS(Release_Calendar!$A$2:$A$755,"NZ_GDP",Release_Calendar!$B$2:$B$755,$A2867)&gt;0,1,0))</f>
        <v/>
      </c>
      <c r="O2867" s="16" t="str">
        <f>IF($A2867&lt;Notes!$B$5,"",IF(COUNTIFS(Release_Calendar!$A$2:$A$755,"NZ_LABOUR",Release_Calendar!$B$2:$B$755,$A2867)&gt;0,1,0))</f>
        <v/>
      </c>
      <c r="P2867" s="16">
        <f t="shared" si="4"/>
        <v>0</v>
      </c>
    </row>
    <row r="2868" ht="15.75" customHeight="1">
      <c r="A2868" s="14">
        <v>40540.0</v>
      </c>
      <c r="B2868" s="15">
        <v>0.75</v>
      </c>
      <c r="C2868" s="15"/>
      <c r="D2868" s="15"/>
      <c r="E2868" s="15"/>
      <c r="F2868" s="15" t="str">
        <f t="shared" si="1"/>
        <v/>
      </c>
      <c r="G2868" s="15" t="str">
        <f t="shared" si="2"/>
        <v/>
      </c>
      <c r="H2868" s="16">
        <v>1.0</v>
      </c>
      <c r="I2868" s="15" t="str">
        <f t="shared" si="3"/>
        <v/>
      </c>
      <c r="J2868" s="15">
        <v>17.52</v>
      </c>
      <c r="K2868" s="16">
        <f>IF(COUNTIFS(Release_Calendar!$A$2:$A$755,"US_CPI",Release_Calendar!$B$2:$B$755,$A2868)&gt;0,1,0)</f>
        <v>0</v>
      </c>
      <c r="L2868" s="16">
        <f>IF(COUNTIFS(Release_Calendar!$A$2:$A$755,"US_NFP",Release_Calendar!$B$2:$B$755,$A2868)&gt;0,1,0)</f>
        <v>0</v>
      </c>
      <c r="M2868" s="16" t="str">
        <f>IF($A2868&lt;Notes!$B$5,"",IF(COUNTIFS(Release_Calendar!$A$2:$A$755,"NZ_CPI",Release_Calendar!$B$2:$B$755,$A2868)&gt;0,1,0))</f>
        <v/>
      </c>
      <c r="N2868" s="16" t="str">
        <f>IF($A2868&lt;Notes!$B$5,"",IF(COUNTIFS(Release_Calendar!$A$2:$A$755,"NZ_GDP",Release_Calendar!$B$2:$B$755,$A2868)&gt;0,1,0))</f>
        <v/>
      </c>
      <c r="O2868" s="16" t="str">
        <f>IF($A2868&lt;Notes!$B$5,"",IF(COUNTIFS(Release_Calendar!$A$2:$A$755,"NZ_LABOUR",Release_Calendar!$B$2:$B$755,$A2868)&gt;0,1,0))</f>
        <v/>
      </c>
      <c r="P2868" s="16">
        <f t="shared" si="4"/>
        <v>0</v>
      </c>
    </row>
    <row r="2869" ht="15.75" customHeight="1">
      <c r="A2869" s="14">
        <v>40541.0</v>
      </c>
      <c r="B2869" s="15">
        <v>0.64</v>
      </c>
      <c r="C2869" s="15"/>
      <c r="D2869" s="15">
        <v>4.0</v>
      </c>
      <c r="E2869" s="15">
        <v>4.0</v>
      </c>
      <c r="F2869" s="15" t="str">
        <f t="shared" si="1"/>
        <v/>
      </c>
      <c r="G2869" s="15">
        <f t="shared" si="2"/>
        <v>4</v>
      </c>
      <c r="H2869" s="16">
        <v>1.0</v>
      </c>
      <c r="I2869" s="15">
        <f t="shared" si="3"/>
        <v>3.36</v>
      </c>
      <c r="J2869" s="15">
        <v>17.28</v>
      </c>
      <c r="K2869" s="16">
        <f>IF(COUNTIFS(Release_Calendar!$A$2:$A$755,"US_CPI",Release_Calendar!$B$2:$B$755,$A2869)&gt;0,1,0)</f>
        <v>0</v>
      </c>
      <c r="L2869" s="16">
        <f>IF(COUNTIFS(Release_Calendar!$A$2:$A$755,"US_NFP",Release_Calendar!$B$2:$B$755,$A2869)&gt;0,1,0)</f>
        <v>0</v>
      </c>
      <c r="M2869" s="16" t="str">
        <f>IF($A2869&lt;Notes!$B$5,"",IF(COUNTIFS(Release_Calendar!$A$2:$A$755,"NZ_CPI",Release_Calendar!$B$2:$B$755,$A2869)&gt;0,1,0))</f>
        <v/>
      </c>
      <c r="N2869" s="16" t="str">
        <f>IF($A2869&lt;Notes!$B$5,"",IF(COUNTIFS(Release_Calendar!$A$2:$A$755,"NZ_GDP",Release_Calendar!$B$2:$B$755,$A2869)&gt;0,1,0))</f>
        <v/>
      </c>
      <c r="O2869" s="16" t="str">
        <f>IF($A2869&lt;Notes!$B$5,"",IF(COUNTIFS(Release_Calendar!$A$2:$A$755,"NZ_LABOUR",Release_Calendar!$B$2:$B$755,$A2869)&gt;0,1,0))</f>
        <v/>
      </c>
      <c r="P2869" s="16">
        <f t="shared" si="4"/>
        <v>0</v>
      </c>
    </row>
    <row r="2870" ht="15.75" customHeight="1">
      <c r="A2870" s="14">
        <v>40542.0</v>
      </c>
      <c r="B2870" s="15">
        <v>0.66</v>
      </c>
      <c r="C2870" s="15"/>
      <c r="D2870" s="15">
        <v>4.0</v>
      </c>
      <c r="E2870" s="15">
        <v>4.0</v>
      </c>
      <c r="F2870" s="15" t="str">
        <f t="shared" si="1"/>
        <v/>
      </c>
      <c r="G2870" s="15">
        <f t="shared" si="2"/>
        <v>4</v>
      </c>
      <c r="H2870" s="16">
        <v>1.0</v>
      </c>
      <c r="I2870" s="15">
        <f t="shared" si="3"/>
        <v>3.34</v>
      </c>
      <c r="J2870" s="15">
        <v>17.52</v>
      </c>
      <c r="K2870" s="16">
        <f>IF(COUNTIFS(Release_Calendar!$A$2:$A$755,"US_CPI",Release_Calendar!$B$2:$B$755,$A2870)&gt;0,1,0)</f>
        <v>0</v>
      </c>
      <c r="L2870" s="16">
        <f>IF(COUNTIFS(Release_Calendar!$A$2:$A$755,"US_NFP",Release_Calendar!$B$2:$B$755,$A2870)&gt;0,1,0)</f>
        <v>0</v>
      </c>
      <c r="M2870" s="16" t="str">
        <f>IF($A2870&lt;Notes!$B$5,"",IF(COUNTIFS(Release_Calendar!$A$2:$A$755,"NZ_CPI",Release_Calendar!$B$2:$B$755,$A2870)&gt;0,1,0))</f>
        <v/>
      </c>
      <c r="N2870" s="16" t="str">
        <f>IF($A2870&lt;Notes!$B$5,"",IF(COUNTIFS(Release_Calendar!$A$2:$A$755,"NZ_GDP",Release_Calendar!$B$2:$B$755,$A2870)&gt;0,1,0))</f>
        <v/>
      </c>
      <c r="O2870" s="16" t="str">
        <f>IF($A2870&lt;Notes!$B$5,"",IF(COUNTIFS(Release_Calendar!$A$2:$A$755,"NZ_LABOUR",Release_Calendar!$B$2:$B$755,$A2870)&gt;0,1,0))</f>
        <v/>
      </c>
      <c r="P2870" s="16">
        <f t="shared" si="4"/>
        <v>0</v>
      </c>
    </row>
    <row r="2871" ht="15.75" customHeight="1">
      <c r="A2871" s="14">
        <v>40543.0</v>
      </c>
      <c r="B2871" s="15">
        <v>0.61</v>
      </c>
      <c r="C2871" s="15"/>
      <c r="D2871" s="15">
        <v>4.0</v>
      </c>
      <c r="E2871" s="15">
        <v>4.0</v>
      </c>
      <c r="F2871" s="15" t="str">
        <f t="shared" si="1"/>
        <v/>
      </c>
      <c r="G2871" s="15">
        <f t="shared" si="2"/>
        <v>4</v>
      </c>
      <c r="H2871" s="16">
        <v>1.0</v>
      </c>
      <c r="I2871" s="15">
        <f t="shared" si="3"/>
        <v>3.39</v>
      </c>
      <c r="J2871" s="15">
        <v>17.75</v>
      </c>
      <c r="K2871" s="16">
        <f>IF(COUNTIFS(Release_Calendar!$A$2:$A$755,"US_CPI",Release_Calendar!$B$2:$B$755,$A2871)&gt;0,1,0)</f>
        <v>0</v>
      </c>
      <c r="L2871" s="16">
        <f>IF(COUNTIFS(Release_Calendar!$A$2:$A$755,"US_NFP",Release_Calendar!$B$2:$B$755,$A2871)&gt;0,1,0)</f>
        <v>0</v>
      </c>
      <c r="M2871" s="16" t="str">
        <f>IF($A2871&lt;Notes!$B$5,"",IF(COUNTIFS(Release_Calendar!$A$2:$A$755,"NZ_CPI",Release_Calendar!$B$2:$B$755,$A2871)&gt;0,1,0))</f>
        <v/>
      </c>
      <c r="N2871" s="16" t="str">
        <f>IF($A2871&lt;Notes!$B$5,"",IF(COUNTIFS(Release_Calendar!$A$2:$A$755,"NZ_GDP",Release_Calendar!$B$2:$B$755,$A2871)&gt;0,1,0))</f>
        <v/>
      </c>
      <c r="O2871" s="16" t="str">
        <f>IF($A2871&lt;Notes!$B$5,"",IF(COUNTIFS(Release_Calendar!$A$2:$A$755,"NZ_LABOUR",Release_Calendar!$B$2:$B$755,$A2871)&gt;0,1,0))</f>
        <v/>
      </c>
      <c r="P2871" s="16">
        <f t="shared" si="4"/>
        <v>0</v>
      </c>
    </row>
    <row r="2872" ht="15.75" customHeight="1">
      <c r="A2872" s="14">
        <v>40546.0</v>
      </c>
      <c r="B2872" s="15">
        <v>0.61</v>
      </c>
      <c r="C2872" s="15"/>
      <c r="D2872" s="15"/>
      <c r="E2872" s="15"/>
      <c r="F2872" s="15" t="str">
        <f t="shared" si="1"/>
        <v/>
      </c>
      <c r="G2872" s="15" t="str">
        <f t="shared" si="2"/>
        <v/>
      </c>
      <c r="H2872" s="16">
        <v>1.0</v>
      </c>
      <c r="I2872" s="15" t="str">
        <f t="shared" si="3"/>
        <v/>
      </c>
      <c r="J2872" s="15">
        <v>17.61</v>
      </c>
      <c r="K2872" s="16">
        <f>IF(COUNTIFS(Release_Calendar!$A$2:$A$755,"US_CPI",Release_Calendar!$B$2:$B$755,$A2872)&gt;0,1,0)</f>
        <v>0</v>
      </c>
      <c r="L2872" s="16">
        <f>IF(COUNTIFS(Release_Calendar!$A$2:$A$755,"US_NFP",Release_Calendar!$B$2:$B$755,$A2872)&gt;0,1,0)</f>
        <v>0</v>
      </c>
      <c r="M2872" s="16" t="str">
        <f>IF($A2872&lt;Notes!$B$5,"",IF(COUNTIFS(Release_Calendar!$A$2:$A$755,"NZ_CPI",Release_Calendar!$B$2:$B$755,$A2872)&gt;0,1,0))</f>
        <v/>
      </c>
      <c r="N2872" s="16" t="str">
        <f>IF($A2872&lt;Notes!$B$5,"",IF(COUNTIFS(Release_Calendar!$A$2:$A$755,"NZ_GDP",Release_Calendar!$B$2:$B$755,$A2872)&gt;0,1,0))</f>
        <v/>
      </c>
      <c r="O2872" s="16" t="str">
        <f>IF($A2872&lt;Notes!$B$5,"",IF(COUNTIFS(Release_Calendar!$A$2:$A$755,"NZ_LABOUR",Release_Calendar!$B$2:$B$755,$A2872)&gt;0,1,0))</f>
        <v/>
      </c>
      <c r="P2872" s="16">
        <f t="shared" si="4"/>
        <v>0</v>
      </c>
    </row>
    <row r="2873" ht="15.75" customHeight="1">
      <c r="A2873" s="14">
        <v>40547.0</v>
      </c>
      <c r="B2873" s="15">
        <v>0.63</v>
      </c>
      <c r="C2873" s="15"/>
      <c r="D2873" s="15"/>
      <c r="E2873" s="15"/>
      <c r="F2873" s="15" t="str">
        <f t="shared" si="1"/>
        <v/>
      </c>
      <c r="G2873" s="15" t="str">
        <f t="shared" si="2"/>
        <v/>
      </c>
      <c r="H2873" s="16">
        <v>1.0</v>
      </c>
      <c r="I2873" s="15" t="str">
        <f t="shared" si="3"/>
        <v/>
      </c>
      <c r="J2873" s="15">
        <v>17.38</v>
      </c>
      <c r="K2873" s="16">
        <f>IF(COUNTIFS(Release_Calendar!$A$2:$A$755,"US_CPI",Release_Calendar!$B$2:$B$755,$A2873)&gt;0,1,0)</f>
        <v>0</v>
      </c>
      <c r="L2873" s="16">
        <f>IF(COUNTIFS(Release_Calendar!$A$2:$A$755,"US_NFP",Release_Calendar!$B$2:$B$755,$A2873)&gt;0,1,0)</f>
        <v>0</v>
      </c>
      <c r="M2873" s="16" t="str">
        <f>IF($A2873&lt;Notes!$B$5,"",IF(COUNTIFS(Release_Calendar!$A$2:$A$755,"NZ_CPI",Release_Calendar!$B$2:$B$755,$A2873)&gt;0,1,0))</f>
        <v/>
      </c>
      <c r="N2873" s="16" t="str">
        <f>IF($A2873&lt;Notes!$B$5,"",IF(COUNTIFS(Release_Calendar!$A$2:$A$755,"NZ_GDP",Release_Calendar!$B$2:$B$755,$A2873)&gt;0,1,0))</f>
        <v/>
      </c>
      <c r="O2873" s="16" t="str">
        <f>IF($A2873&lt;Notes!$B$5,"",IF(COUNTIFS(Release_Calendar!$A$2:$A$755,"NZ_LABOUR",Release_Calendar!$B$2:$B$755,$A2873)&gt;0,1,0))</f>
        <v/>
      </c>
      <c r="P2873" s="16">
        <f t="shared" si="4"/>
        <v>0</v>
      </c>
    </row>
    <row r="2874" ht="15.75" customHeight="1">
      <c r="A2874" s="14">
        <v>40548.0</v>
      </c>
      <c r="B2874" s="15">
        <v>0.71</v>
      </c>
      <c r="C2874" s="15">
        <v>3.78</v>
      </c>
      <c r="D2874" s="15">
        <v>3.97</v>
      </c>
      <c r="E2874" s="15">
        <v>3.96</v>
      </c>
      <c r="F2874" s="15">
        <f t="shared" si="1"/>
        <v>3.07</v>
      </c>
      <c r="G2874" s="15">
        <f t="shared" si="2"/>
        <v>3.78</v>
      </c>
      <c r="H2874" s="16">
        <v>0.0</v>
      </c>
      <c r="I2874" s="15">
        <f t="shared" si="3"/>
        <v>3.07</v>
      </c>
      <c r="J2874" s="15">
        <v>17.02</v>
      </c>
      <c r="K2874" s="16">
        <f>IF(COUNTIFS(Release_Calendar!$A$2:$A$755,"US_CPI",Release_Calendar!$B$2:$B$755,$A2874)&gt;0,1,0)</f>
        <v>0</v>
      </c>
      <c r="L2874" s="16">
        <f>IF(COUNTIFS(Release_Calendar!$A$2:$A$755,"US_NFP",Release_Calendar!$B$2:$B$755,$A2874)&gt;0,1,0)</f>
        <v>0</v>
      </c>
      <c r="M2874" s="16" t="str">
        <f>IF($A2874&lt;Notes!$B$5,"",IF(COUNTIFS(Release_Calendar!$A$2:$A$755,"NZ_CPI",Release_Calendar!$B$2:$B$755,$A2874)&gt;0,1,0))</f>
        <v/>
      </c>
      <c r="N2874" s="16" t="str">
        <f>IF($A2874&lt;Notes!$B$5,"",IF(COUNTIFS(Release_Calendar!$A$2:$A$755,"NZ_GDP",Release_Calendar!$B$2:$B$755,$A2874)&gt;0,1,0))</f>
        <v/>
      </c>
      <c r="O2874" s="16" t="str">
        <f>IF($A2874&lt;Notes!$B$5,"",IF(COUNTIFS(Release_Calendar!$A$2:$A$755,"NZ_LABOUR",Release_Calendar!$B$2:$B$755,$A2874)&gt;0,1,0))</f>
        <v/>
      </c>
      <c r="P2874" s="16">
        <f t="shared" si="4"/>
        <v>0</v>
      </c>
    </row>
    <row r="2875" ht="15.75" customHeight="1">
      <c r="A2875" s="14">
        <v>40549.0</v>
      </c>
      <c r="B2875" s="15">
        <v>0.68</v>
      </c>
      <c r="C2875" s="15">
        <v>3.79</v>
      </c>
      <c r="D2875" s="15">
        <v>3.97</v>
      </c>
      <c r="E2875" s="15">
        <v>3.94</v>
      </c>
      <c r="F2875" s="15">
        <f t="shared" si="1"/>
        <v>3.11</v>
      </c>
      <c r="G2875" s="15">
        <f t="shared" si="2"/>
        <v>3.79</v>
      </c>
      <c r="H2875" s="16">
        <v>0.0</v>
      </c>
      <c r="I2875" s="15">
        <f t="shared" si="3"/>
        <v>3.11</v>
      </c>
      <c r="J2875" s="15">
        <v>17.4</v>
      </c>
      <c r="K2875" s="16">
        <f>IF(COUNTIFS(Release_Calendar!$A$2:$A$755,"US_CPI",Release_Calendar!$B$2:$B$755,$A2875)&gt;0,1,0)</f>
        <v>0</v>
      </c>
      <c r="L2875" s="16">
        <f>IF(COUNTIFS(Release_Calendar!$A$2:$A$755,"US_NFP",Release_Calendar!$B$2:$B$755,$A2875)&gt;0,1,0)</f>
        <v>0</v>
      </c>
      <c r="M2875" s="16" t="str">
        <f>IF($A2875&lt;Notes!$B$5,"",IF(COUNTIFS(Release_Calendar!$A$2:$A$755,"NZ_CPI",Release_Calendar!$B$2:$B$755,$A2875)&gt;0,1,0))</f>
        <v/>
      </c>
      <c r="N2875" s="16" t="str">
        <f>IF($A2875&lt;Notes!$B$5,"",IF(COUNTIFS(Release_Calendar!$A$2:$A$755,"NZ_GDP",Release_Calendar!$B$2:$B$755,$A2875)&gt;0,1,0))</f>
        <v/>
      </c>
      <c r="O2875" s="16" t="str">
        <f>IF($A2875&lt;Notes!$B$5,"",IF(COUNTIFS(Release_Calendar!$A$2:$A$755,"NZ_LABOUR",Release_Calendar!$B$2:$B$755,$A2875)&gt;0,1,0))</f>
        <v/>
      </c>
      <c r="P2875" s="16">
        <f t="shared" si="4"/>
        <v>0</v>
      </c>
    </row>
    <row r="2876" ht="15.75" customHeight="1">
      <c r="A2876" s="14">
        <v>40550.0</v>
      </c>
      <c r="B2876" s="15">
        <v>0.6</v>
      </c>
      <c r="C2876" s="15">
        <v>3.79</v>
      </c>
      <c r="D2876" s="15">
        <v>3.94</v>
      </c>
      <c r="E2876" s="15">
        <v>3.9</v>
      </c>
      <c r="F2876" s="15">
        <f t="shared" si="1"/>
        <v>3.19</v>
      </c>
      <c r="G2876" s="15">
        <f t="shared" si="2"/>
        <v>3.79</v>
      </c>
      <c r="H2876" s="16">
        <v>0.0</v>
      </c>
      <c r="I2876" s="15">
        <f t="shared" si="3"/>
        <v>3.19</v>
      </c>
      <c r="J2876" s="15">
        <v>17.14</v>
      </c>
      <c r="K2876" s="16">
        <f>IF(COUNTIFS(Release_Calendar!$A$2:$A$755,"US_CPI",Release_Calendar!$B$2:$B$755,$A2876)&gt;0,1,0)</f>
        <v>0</v>
      </c>
      <c r="L2876" s="16">
        <f>IF(COUNTIFS(Release_Calendar!$A$2:$A$755,"US_NFP",Release_Calendar!$B$2:$B$755,$A2876)&gt;0,1,0)</f>
        <v>1</v>
      </c>
      <c r="M2876" s="16" t="str">
        <f>IF($A2876&lt;Notes!$B$5,"",IF(COUNTIFS(Release_Calendar!$A$2:$A$755,"NZ_CPI",Release_Calendar!$B$2:$B$755,$A2876)&gt;0,1,0))</f>
        <v/>
      </c>
      <c r="N2876" s="16" t="str">
        <f>IF($A2876&lt;Notes!$B$5,"",IF(COUNTIFS(Release_Calendar!$A$2:$A$755,"NZ_GDP",Release_Calendar!$B$2:$B$755,$A2876)&gt;0,1,0))</f>
        <v/>
      </c>
      <c r="O2876" s="16" t="str">
        <f>IF($A2876&lt;Notes!$B$5,"",IF(COUNTIFS(Release_Calendar!$A$2:$A$755,"NZ_LABOUR",Release_Calendar!$B$2:$B$755,$A2876)&gt;0,1,0))</f>
        <v/>
      </c>
      <c r="P2876" s="16">
        <f t="shared" si="4"/>
        <v>1</v>
      </c>
    </row>
    <row r="2877" ht="15.75" customHeight="1">
      <c r="A2877" s="14">
        <v>40553.0</v>
      </c>
      <c r="B2877" s="15">
        <v>0.59</v>
      </c>
      <c r="C2877" s="15">
        <v>3.78</v>
      </c>
      <c r="D2877" s="15">
        <v>3.89</v>
      </c>
      <c r="E2877" s="15">
        <v>3.89</v>
      </c>
      <c r="F2877" s="15">
        <f t="shared" si="1"/>
        <v>3.19</v>
      </c>
      <c r="G2877" s="15">
        <f t="shared" si="2"/>
        <v>3.78</v>
      </c>
      <c r="H2877" s="16">
        <v>0.0</v>
      </c>
      <c r="I2877" s="15">
        <f t="shared" si="3"/>
        <v>3.19</v>
      </c>
      <c r="J2877" s="15">
        <v>17.54</v>
      </c>
      <c r="K2877" s="16">
        <f>IF(COUNTIFS(Release_Calendar!$A$2:$A$755,"US_CPI",Release_Calendar!$B$2:$B$755,$A2877)&gt;0,1,0)</f>
        <v>0</v>
      </c>
      <c r="L2877" s="16">
        <f>IF(COUNTIFS(Release_Calendar!$A$2:$A$755,"US_NFP",Release_Calendar!$B$2:$B$755,$A2877)&gt;0,1,0)</f>
        <v>0</v>
      </c>
      <c r="M2877" s="16" t="str">
        <f>IF($A2877&lt;Notes!$B$5,"",IF(COUNTIFS(Release_Calendar!$A$2:$A$755,"NZ_CPI",Release_Calendar!$B$2:$B$755,$A2877)&gt;0,1,0))</f>
        <v/>
      </c>
      <c r="N2877" s="16" t="str">
        <f>IF($A2877&lt;Notes!$B$5,"",IF(COUNTIFS(Release_Calendar!$A$2:$A$755,"NZ_GDP",Release_Calendar!$B$2:$B$755,$A2877)&gt;0,1,0))</f>
        <v/>
      </c>
      <c r="O2877" s="16" t="str">
        <f>IF($A2877&lt;Notes!$B$5,"",IF(COUNTIFS(Release_Calendar!$A$2:$A$755,"NZ_LABOUR",Release_Calendar!$B$2:$B$755,$A2877)&gt;0,1,0))</f>
        <v/>
      </c>
      <c r="P2877" s="16">
        <f t="shared" si="4"/>
        <v>0</v>
      </c>
    </row>
    <row r="2878" ht="15.75" customHeight="1">
      <c r="A2878" s="14">
        <v>40554.0</v>
      </c>
      <c r="B2878" s="15">
        <v>0.6</v>
      </c>
      <c r="C2878" s="15">
        <v>3.75</v>
      </c>
      <c r="D2878" s="15">
        <v>3.88</v>
      </c>
      <c r="E2878" s="15">
        <v>3.85</v>
      </c>
      <c r="F2878" s="15">
        <f t="shared" si="1"/>
        <v>3.15</v>
      </c>
      <c r="G2878" s="15">
        <f t="shared" si="2"/>
        <v>3.75</v>
      </c>
      <c r="H2878" s="16">
        <v>0.0</v>
      </c>
      <c r="I2878" s="15">
        <f t="shared" si="3"/>
        <v>3.15</v>
      </c>
      <c r="J2878" s="15">
        <v>16.89</v>
      </c>
      <c r="K2878" s="16">
        <f>IF(COUNTIFS(Release_Calendar!$A$2:$A$755,"US_CPI",Release_Calendar!$B$2:$B$755,$A2878)&gt;0,1,0)</f>
        <v>0</v>
      </c>
      <c r="L2878" s="16">
        <f>IF(COUNTIFS(Release_Calendar!$A$2:$A$755,"US_NFP",Release_Calendar!$B$2:$B$755,$A2878)&gt;0,1,0)</f>
        <v>0</v>
      </c>
      <c r="M2878" s="16" t="str">
        <f>IF($A2878&lt;Notes!$B$5,"",IF(COUNTIFS(Release_Calendar!$A$2:$A$755,"NZ_CPI",Release_Calendar!$B$2:$B$755,$A2878)&gt;0,1,0))</f>
        <v/>
      </c>
      <c r="N2878" s="16" t="str">
        <f>IF($A2878&lt;Notes!$B$5,"",IF(COUNTIFS(Release_Calendar!$A$2:$A$755,"NZ_GDP",Release_Calendar!$B$2:$B$755,$A2878)&gt;0,1,0))</f>
        <v/>
      </c>
      <c r="O2878" s="16" t="str">
        <f>IF($A2878&lt;Notes!$B$5,"",IF(COUNTIFS(Release_Calendar!$A$2:$A$755,"NZ_LABOUR",Release_Calendar!$B$2:$B$755,$A2878)&gt;0,1,0))</f>
        <v/>
      </c>
      <c r="P2878" s="16">
        <f t="shared" si="4"/>
        <v>0</v>
      </c>
    </row>
    <row r="2879" ht="15.75" customHeight="1">
      <c r="A2879" s="14">
        <v>40555.0</v>
      </c>
      <c r="B2879" s="15">
        <v>0.61</v>
      </c>
      <c r="C2879" s="15">
        <v>3.78</v>
      </c>
      <c r="D2879" s="15">
        <v>3.85</v>
      </c>
      <c r="E2879" s="15">
        <v>3.83</v>
      </c>
      <c r="F2879" s="15">
        <f t="shared" si="1"/>
        <v>3.17</v>
      </c>
      <c r="G2879" s="15">
        <f t="shared" si="2"/>
        <v>3.78</v>
      </c>
      <c r="H2879" s="16">
        <v>0.0</v>
      </c>
      <c r="I2879" s="15">
        <f t="shared" si="3"/>
        <v>3.17</v>
      </c>
      <c r="J2879" s="15">
        <v>16.24</v>
      </c>
      <c r="K2879" s="16">
        <f>IF(COUNTIFS(Release_Calendar!$A$2:$A$755,"US_CPI",Release_Calendar!$B$2:$B$755,$A2879)&gt;0,1,0)</f>
        <v>0</v>
      </c>
      <c r="L2879" s="16">
        <f>IF(COUNTIFS(Release_Calendar!$A$2:$A$755,"US_NFP",Release_Calendar!$B$2:$B$755,$A2879)&gt;0,1,0)</f>
        <v>0</v>
      </c>
      <c r="M2879" s="16" t="str">
        <f>IF($A2879&lt;Notes!$B$5,"",IF(COUNTIFS(Release_Calendar!$A$2:$A$755,"NZ_CPI",Release_Calendar!$B$2:$B$755,$A2879)&gt;0,1,0))</f>
        <v/>
      </c>
      <c r="N2879" s="16" t="str">
        <f>IF($A2879&lt;Notes!$B$5,"",IF(COUNTIFS(Release_Calendar!$A$2:$A$755,"NZ_GDP",Release_Calendar!$B$2:$B$755,$A2879)&gt;0,1,0))</f>
        <v/>
      </c>
      <c r="O2879" s="16" t="str">
        <f>IF($A2879&lt;Notes!$B$5,"",IF(COUNTIFS(Release_Calendar!$A$2:$A$755,"NZ_LABOUR",Release_Calendar!$B$2:$B$755,$A2879)&gt;0,1,0))</f>
        <v/>
      </c>
      <c r="P2879" s="16">
        <f t="shared" si="4"/>
        <v>0</v>
      </c>
    </row>
    <row r="2880" ht="15.75" customHeight="1">
      <c r="A2880" s="14">
        <v>40556.0</v>
      </c>
      <c r="B2880" s="15">
        <v>0.59</v>
      </c>
      <c r="C2880" s="15">
        <v>3.87</v>
      </c>
      <c r="D2880" s="15">
        <v>3.86</v>
      </c>
      <c r="E2880" s="15">
        <v>3.84</v>
      </c>
      <c r="F2880" s="15">
        <f t="shared" si="1"/>
        <v>3.28</v>
      </c>
      <c r="G2880" s="15">
        <f t="shared" si="2"/>
        <v>3.87</v>
      </c>
      <c r="H2880" s="16">
        <v>0.0</v>
      </c>
      <c r="I2880" s="15">
        <f t="shared" si="3"/>
        <v>3.28</v>
      </c>
      <c r="J2880" s="15">
        <v>16.39</v>
      </c>
      <c r="K2880" s="16">
        <f>IF(COUNTIFS(Release_Calendar!$A$2:$A$755,"US_CPI",Release_Calendar!$B$2:$B$755,$A2880)&gt;0,1,0)</f>
        <v>0</v>
      </c>
      <c r="L2880" s="16">
        <f>IF(COUNTIFS(Release_Calendar!$A$2:$A$755,"US_NFP",Release_Calendar!$B$2:$B$755,$A2880)&gt;0,1,0)</f>
        <v>0</v>
      </c>
      <c r="M2880" s="16" t="str">
        <f>IF($A2880&lt;Notes!$B$5,"",IF(COUNTIFS(Release_Calendar!$A$2:$A$755,"NZ_CPI",Release_Calendar!$B$2:$B$755,$A2880)&gt;0,1,0))</f>
        <v/>
      </c>
      <c r="N2880" s="16" t="str">
        <f>IF($A2880&lt;Notes!$B$5,"",IF(COUNTIFS(Release_Calendar!$A$2:$A$755,"NZ_GDP",Release_Calendar!$B$2:$B$755,$A2880)&gt;0,1,0))</f>
        <v/>
      </c>
      <c r="O2880" s="16" t="str">
        <f>IF($A2880&lt;Notes!$B$5,"",IF(COUNTIFS(Release_Calendar!$A$2:$A$755,"NZ_LABOUR",Release_Calendar!$B$2:$B$755,$A2880)&gt;0,1,0))</f>
        <v/>
      </c>
      <c r="P2880" s="16">
        <f t="shared" si="4"/>
        <v>0</v>
      </c>
    </row>
    <row r="2881" ht="15.75" customHeight="1">
      <c r="A2881" s="14">
        <v>40557.0</v>
      </c>
      <c r="B2881" s="15">
        <v>0.59</v>
      </c>
      <c r="C2881" s="15">
        <v>3.91</v>
      </c>
      <c r="D2881" s="15">
        <v>3.83</v>
      </c>
      <c r="E2881" s="15">
        <v>3.84</v>
      </c>
      <c r="F2881" s="15">
        <f t="shared" si="1"/>
        <v>3.32</v>
      </c>
      <c r="G2881" s="15">
        <f t="shared" si="2"/>
        <v>3.91</v>
      </c>
      <c r="H2881" s="16">
        <v>0.0</v>
      </c>
      <c r="I2881" s="15">
        <f t="shared" si="3"/>
        <v>3.32</v>
      </c>
      <c r="J2881" s="15">
        <v>15.46</v>
      </c>
      <c r="K2881" s="16">
        <f>IF(COUNTIFS(Release_Calendar!$A$2:$A$755,"US_CPI",Release_Calendar!$B$2:$B$755,$A2881)&gt;0,1,0)</f>
        <v>1</v>
      </c>
      <c r="L2881" s="16">
        <f>IF(COUNTIFS(Release_Calendar!$A$2:$A$755,"US_NFP",Release_Calendar!$B$2:$B$755,$A2881)&gt;0,1,0)</f>
        <v>0</v>
      </c>
      <c r="M2881" s="16" t="str">
        <f>IF($A2881&lt;Notes!$B$5,"",IF(COUNTIFS(Release_Calendar!$A$2:$A$755,"NZ_CPI",Release_Calendar!$B$2:$B$755,$A2881)&gt;0,1,0))</f>
        <v/>
      </c>
      <c r="N2881" s="16" t="str">
        <f>IF($A2881&lt;Notes!$B$5,"",IF(COUNTIFS(Release_Calendar!$A$2:$A$755,"NZ_GDP",Release_Calendar!$B$2:$B$755,$A2881)&gt;0,1,0))</f>
        <v/>
      </c>
      <c r="O2881" s="16" t="str">
        <f>IF($A2881&lt;Notes!$B$5,"",IF(COUNTIFS(Release_Calendar!$A$2:$A$755,"NZ_LABOUR",Release_Calendar!$B$2:$B$755,$A2881)&gt;0,1,0))</f>
        <v/>
      </c>
      <c r="P2881" s="16">
        <f t="shared" si="4"/>
        <v>1</v>
      </c>
    </row>
    <row r="2882" ht="15.75" customHeight="1">
      <c r="A2882" s="14">
        <v>40560.0</v>
      </c>
      <c r="B2882" s="15"/>
      <c r="C2882" s="15">
        <v>3.92</v>
      </c>
      <c r="D2882" s="15">
        <v>3.81</v>
      </c>
      <c r="E2882" s="15">
        <v>3.85</v>
      </c>
      <c r="F2882" s="15" t="str">
        <f t="shared" si="1"/>
        <v/>
      </c>
      <c r="G2882" s="15">
        <f t="shared" si="2"/>
        <v>3.92</v>
      </c>
      <c r="H2882" s="16">
        <v>0.0</v>
      </c>
      <c r="I2882" s="15" t="str">
        <f t="shared" si="3"/>
        <v/>
      </c>
      <c r="J2882" s="15"/>
      <c r="K2882" s="16">
        <f>IF(COUNTIFS(Release_Calendar!$A$2:$A$755,"US_CPI",Release_Calendar!$B$2:$B$755,$A2882)&gt;0,1,0)</f>
        <v>0</v>
      </c>
      <c r="L2882" s="16">
        <f>IF(COUNTIFS(Release_Calendar!$A$2:$A$755,"US_NFP",Release_Calendar!$B$2:$B$755,$A2882)&gt;0,1,0)</f>
        <v>0</v>
      </c>
      <c r="M2882" s="16" t="str">
        <f>IF($A2882&lt;Notes!$B$5,"",IF(COUNTIFS(Release_Calendar!$A$2:$A$755,"NZ_CPI",Release_Calendar!$B$2:$B$755,$A2882)&gt;0,1,0))</f>
        <v/>
      </c>
      <c r="N2882" s="16" t="str">
        <f>IF($A2882&lt;Notes!$B$5,"",IF(COUNTIFS(Release_Calendar!$A$2:$A$755,"NZ_GDP",Release_Calendar!$B$2:$B$755,$A2882)&gt;0,1,0))</f>
        <v/>
      </c>
      <c r="O2882" s="16" t="str">
        <f>IF($A2882&lt;Notes!$B$5,"",IF(COUNTIFS(Release_Calendar!$A$2:$A$755,"NZ_LABOUR",Release_Calendar!$B$2:$B$755,$A2882)&gt;0,1,0))</f>
        <v/>
      </c>
      <c r="P2882" s="16">
        <f t="shared" si="4"/>
        <v>0</v>
      </c>
    </row>
    <row r="2883" ht="15.75" customHeight="1">
      <c r="A2883" s="14">
        <v>40561.0</v>
      </c>
      <c r="B2883" s="15">
        <v>0.6</v>
      </c>
      <c r="C2883" s="15">
        <v>3.88</v>
      </c>
      <c r="D2883" s="15">
        <v>3.85</v>
      </c>
      <c r="E2883" s="15">
        <v>3.86</v>
      </c>
      <c r="F2883" s="15">
        <f t="shared" si="1"/>
        <v>3.28</v>
      </c>
      <c r="G2883" s="15">
        <f t="shared" si="2"/>
        <v>3.88</v>
      </c>
      <c r="H2883" s="16">
        <v>0.0</v>
      </c>
      <c r="I2883" s="15">
        <f t="shared" si="3"/>
        <v>3.28</v>
      </c>
      <c r="J2883" s="15">
        <v>15.87</v>
      </c>
      <c r="K2883" s="16">
        <f>IF(COUNTIFS(Release_Calendar!$A$2:$A$755,"US_CPI",Release_Calendar!$B$2:$B$755,$A2883)&gt;0,1,0)</f>
        <v>0</v>
      </c>
      <c r="L2883" s="16">
        <f>IF(COUNTIFS(Release_Calendar!$A$2:$A$755,"US_NFP",Release_Calendar!$B$2:$B$755,$A2883)&gt;0,1,0)</f>
        <v>0</v>
      </c>
      <c r="M2883" s="16" t="str">
        <f>IF($A2883&lt;Notes!$B$5,"",IF(COUNTIFS(Release_Calendar!$A$2:$A$755,"NZ_CPI",Release_Calendar!$B$2:$B$755,$A2883)&gt;0,1,0))</f>
        <v/>
      </c>
      <c r="N2883" s="16" t="str">
        <f>IF($A2883&lt;Notes!$B$5,"",IF(COUNTIFS(Release_Calendar!$A$2:$A$755,"NZ_GDP",Release_Calendar!$B$2:$B$755,$A2883)&gt;0,1,0))</f>
        <v/>
      </c>
      <c r="O2883" s="16" t="str">
        <f>IF($A2883&lt;Notes!$B$5,"",IF(COUNTIFS(Release_Calendar!$A$2:$A$755,"NZ_LABOUR",Release_Calendar!$B$2:$B$755,$A2883)&gt;0,1,0))</f>
        <v/>
      </c>
      <c r="P2883" s="16">
        <f t="shared" si="4"/>
        <v>0</v>
      </c>
    </row>
    <row r="2884" ht="15.75" customHeight="1">
      <c r="A2884" s="14">
        <v>40562.0</v>
      </c>
      <c r="B2884" s="15">
        <v>0.6</v>
      </c>
      <c r="C2884" s="15">
        <v>3.89</v>
      </c>
      <c r="D2884" s="15">
        <v>3.88</v>
      </c>
      <c r="E2884" s="15">
        <v>3.91</v>
      </c>
      <c r="F2884" s="15">
        <f t="shared" si="1"/>
        <v>3.29</v>
      </c>
      <c r="G2884" s="15">
        <f t="shared" si="2"/>
        <v>3.89</v>
      </c>
      <c r="H2884" s="16">
        <v>0.0</v>
      </c>
      <c r="I2884" s="15">
        <f t="shared" si="3"/>
        <v>3.29</v>
      </c>
      <c r="J2884" s="15">
        <v>17.31</v>
      </c>
      <c r="K2884" s="16">
        <f>IF(COUNTIFS(Release_Calendar!$A$2:$A$755,"US_CPI",Release_Calendar!$B$2:$B$755,$A2884)&gt;0,1,0)</f>
        <v>0</v>
      </c>
      <c r="L2884" s="16">
        <f>IF(COUNTIFS(Release_Calendar!$A$2:$A$755,"US_NFP",Release_Calendar!$B$2:$B$755,$A2884)&gt;0,1,0)</f>
        <v>0</v>
      </c>
      <c r="M2884" s="16" t="str">
        <f>IF($A2884&lt;Notes!$B$5,"",IF(COUNTIFS(Release_Calendar!$A$2:$A$755,"NZ_CPI",Release_Calendar!$B$2:$B$755,$A2884)&gt;0,1,0))</f>
        <v/>
      </c>
      <c r="N2884" s="16" t="str">
        <f>IF($A2884&lt;Notes!$B$5,"",IF(COUNTIFS(Release_Calendar!$A$2:$A$755,"NZ_GDP",Release_Calendar!$B$2:$B$755,$A2884)&gt;0,1,0))</f>
        <v/>
      </c>
      <c r="O2884" s="16" t="str">
        <f>IF($A2884&lt;Notes!$B$5,"",IF(COUNTIFS(Release_Calendar!$A$2:$A$755,"NZ_LABOUR",Release_Calendar!$B$2:$B$755,$A2884)&gt;0,1,0))</f>
        <v/>
      </c>
      <c r="P2884" s="16">
        <f t="shared" si="4"/>
        <v>0</v>
      </c>
    </row>
    <row r="2885" ht="15.75" customHeight="1">
      <c r="A2885" s="14">
        <v>40563.0</v>
      </c>
      <c r="B2885" s="15">
        <v>0.65</v>
      </c>
      <c r="C2885" s="15">
        <v>3.86</v>
      </c>
      <c r="D2885" s="15">
        <v>3.9</v>
      </c>
      <c r="E2885" s="15">
        <v>3.9</v>
      </c>
      <c r="F2885" s="15">
        <f t="shared" si="1"/>
        <v>3.21</v>
      </c>
      <c r="G2885" s="15">
        <f t="shared" si="2"/>
        <v>3.86</v>
      </c>
      <c r="H2885" s="16">
        <v>0.0</v>
      </c>
      <c r="I2885" s="15">
        <f t="shared" si="3"/>
        <v>3.21</v>
      </c>
      <c r="J2885" s="15">
        <v>17.99</v>
      </c>
      <c r="K2885" s="16">
        <f>IF(COUNTIFS(Release_Calendar!$A$2:$A$755,"US_CPI",Release_Calendar!$B$2:$B$755,$A2885)&gt;0,1,0)</f>
        <v>0</v>
      </c>
      <c r="L2885" s="16">
        <f>IF(COUNTIFS(Release_Calendar!$A$2:$A$755,"US_NFP",Release_Calendar!$B$2:$B$755,$A2885)&gt;0,1,0)</f>
        <v>0</v>
      </c>
      <c r="M2885" s="16" t="str">
        <f>IF($A2885&lt;Notes!$B$5,"",IF(COUNTIFS(Release_Calendar!$A$2:$A$755,"NZ_CPI",Release_Calendar!$B$2:$B$755,$A2885)&gt;0,1,0))</f>
        <v/>
      </c>
      <c r="N2885" s="16" t="str">
        <f>IF($A2885&lt;Notes!$B$5,"",IF(COUNTIFS(Release_Calendar!$A$2:$A$755,"NZ_GDP",Release_Calendar!$B$2:$B$755,$A2885)&gt;0,1,0))</f>
        <v/>
      </c>
      <c r="O2885" s="16" t="str">
        <f>IF($A2885&lt;Notes!$B$5,"",IF(COUNTIFS(Release_Calendar!$A$2:$A$755,"NZ_LABOUR",Release_Calendar!$B$2:$B$755,$A2885)&gt;0,1,0))</f>
        <v/>
      </c>
      <c r="P2885" s="16">
        <f t="shared" si="4"/>
        <v>0</v>
      </c>
    </row>
    <row r="2886" ht="15.75" customHeight="1">
      <c r="A2886" s="14">
        <v>40564.0</v>
      </c>
      <c r="B2886" s="15">
        <v>0.63</v>
      </c>
      <c r="C2886" s="15">
        <v>3.87</v>
      </c>
      <c r="D2886" s="15">
        <v>3.91</v>
      </c>
      <c r="E2886" s="15">
        <v>3.96</v>
      </c>
      <c r="F2886" s="15">
        <f t="shared" si="1"/>
        <v>3.24</v>
      </c>
      <c r="G2886" s="15">
        <f t="shared" si="2"/>
        <v>3.87</v>
      </c>
      <c r="H2886" s="16">
        <v>0.0</v>
      </c>
      <c r="I2886" s="15">
        <f t="shared" si="3"/>
        <v>3.24</v>
      </c>
      <c r="J2886" s="15">
        <v>18.47</v>
      </c>
      <c r="K2886" s="16">
        <f>IF(COUNTIFS(Release_Calendar!$A$2:$A$755,"US_CPI",Release_Calendar!$B$2:$B$755,$A2886)&gt;0,1,0)</f>
        <v>0</v>
      </c>
      <c r="L2886" s="16">
        <f>IF(COUNTIFS(Release_Calendar!$A$2:$A$755,"US_NFP",Release_Calendar!$B$2:$B$755,$A2886)&gt;0,1,0)</f>
        <v>0</v>
      </c>
      <c r="M2886" s="16" t="str">
        <f>IF($A2886&lt;Notes!$B$5,"",IF(COUNTIFS(Release_Calendar!$A$2:$A$755,"NZ_CPI",Release_Calendar!$B$2:$B$755,$A2886)&gt;0,1,0))</f>
        <v/>
      </c>
      <c r="N2886" s="16" t="str">
        <f>IF($A2886&lt;Notes!$B$5,"",IF(COUNTIFS(Release_Calendar!$A$2:$A$755,"NZ_GDP",Release_Calendar!$B$2:$B$755,$A2886)&gt;0,1,0))</f>
        <v/>
      </c>
      <c r="O2886" s="16" t="str">
        <f>IF($A2886&lt;Notes!$B$5,"",IF(COUNTIFS(Release_Calendar!$A$2:$A$755,"NZ_LABOUR",Release_Calendar!$B$2:$B$755,$A2886)&gt;0,1,0))</f>
        <v/>
      </c>
      <c r="P2886" s="16">
        <f t="shared" si="4"/>
        <v>0</v>
      </c>
    </row>
    <row r="2887" ht="15.75" customHeight="1">
      <c r="A2887" s="14">
        <v>40567.0</v>
      </c>
      <c r="B2887" s="15">
        <v>0.65</v>
      </c>
      <c r="C2887" s="15">
        <v>3.87</v>
      </c>
      <c r="D2887" s="15">
        <v>3.96</v>
      </c>
      <c r="E2887" s="15">
        <v>3.96</v>
      </c>
      <c r="F2887" s="15">
        <f t="shared" si="1"/>
        <v>3.22</v>
      </c>
      <c r="G2887" s="15">
        <f t="shared" si="2"/>
        <v>3.87</v>
      </c>
      <c r="H2887" s="16">
        <v>0.0</v>
      </c>
      <c r="I2887" s="15">
        <f t="shared" si="3"/>
        <v>3.22</v>
      </c>
      <c r="J2887" s="15">
        <v>17.65</v>
      </c>
      <c r="K2887" s="16">
        <f>IF(COUNTIFS(Release_Calendar!$A$2:$A$755,"US_CPI",Release_Calendar!$B$2:$B$755,$A2887)&gt;0,1,0)</f>
        <v>0</v>
      </c>
      <c r="L2887" s="16">
        <f>IF(COUNTIFS(Release_Calendar!$A$2:$A$755,"US_NFP",Release_Calendar!$B$2:$B$755,$A2887)&gt;0,1,0)</f>
        <v>0</v>
      </c>
      <c r="M2887" s="16" t="str">
        <f>IF($A2887&lt;Notes!$B$5,"",IF(COUNTIFS(Release_Calendar!$A$2:$A$755,"NZ_CPI",Release_Calendar!$B$2:$B$755,$A2887)&gt;0,1,0))</f>
        <v/>
      </c>
      <c r="N2887" s="16" t="str">
        <f>IF($A2887&lt;Notes!$B$5,"",IF(COUNTIFS(Release_Calendar!$A$2:$A$755,"NZ_GDP",Release_Calendar!$B$2:$B$755,$A2887)&gt;0,1,0))</f>
        <v/>
      </c>
      <c r="O2887" s="16" t="str">
        <f>IF($A2887&lt;Notes!$B$5,"",IF(COUNTIFS(Release_Calendar!$A$2:$A$755,"NZ_LABOUR",Release_Calendar!$B$2:$B$755,$A2887)&gt;0,1,0))</f>
        <v/>
      </c>
      <c r="P2887" s="16">
        <f t="shared" si="4"/>
        <v>0</v>
      </c>
    </row>
    <row r="2888" ht="15.75" customHeight="1">
      <c r="A2888" s="14">
        <v>40568.0</v>
      </c>
      <c r="B2888" s="15">
        <v>0.62</v>
      </c>
      <c r="C2888" s="15">
        <v>3.86</v>
      </c>
      <c r="D2888" s="15">
        <v>3.96</v>
      </c>
      <c r="E2888" s="15">
        <v>3.93</v>
      </c>
      <c r="F2888" s="15">
        <f t="shared" si="1"/>
        <v>3.24</v>
      </c>
      <c r="G2888" s="15">
        <f t="shared" si="2"/>
        <v>3.86</v>
      </c>
      <c r="H2888" s="16">
        <v>0.0</v>
      </c>
      <c r="I2888" s="15">
        <f t="shared" si="3"/>
        <v>3.24</v>
      </c>
      <c r="J2888" s="15">
        <v>17.59</v>
      </c>
      <c r="K2888" s="16">
        <f>IF(COUNTIFS(Release_Calendar!$A$2:$A$755,"US_CPI",Release_Calendar!$B$2:$B$755,$A2888)&gt;0,1,0)</f>
        <v>0</v>
      </c>
      <c r="L2888" s="16">
        <f>IF(COUNTIFS(Release_Calendar!$A$2:$A$755,"US_NFP",Release_Calendar!$B$2:$B$755,$A2888)&gt;0,1,0)</f>
        <v>0</v>
      </c>
      <c r="M2888" s="16" t="str">
        <f>IF($A2888&lt;Notes!$B$5,"",IF(COUNTIFS(Release_Calendar!$A$2:$A$755,"NZ_CPI",Release_Calendar!$B$2:$B$755,$A2888)&gt;0,1,0))</f>
        <v/>
      </c>
      <c r="N2888" s="16" t="str">
        <f>IF($A2888&lt;Notes!$B$5,"",IF(COUNTIFS(Release_Calendar!$A$2:$A$755,"NZ_GDP",Release_Calendar!$B$2:$B$755,$A2888)&gt;0,1,0))</f>
        <v/>
      </c>
      <c r="O2888" s="16" t="str">
        <f>IF($A2888&lt;Notes!$B$5,"",IF(COUNTIFS(Release_Calendar!$A$2:$A$755,"NZ_LABOUR",Release_Calendar!$B$2:$B$755,$A2888)&gt;0,1,0))</f>
        <v/>
      </c>
      <c r="P2888" s="16">
        <f t="shared" si="4"/>
        <v>0</v>
      </c>
    </row>
    <row r="2889" ht="15.75" customHeight="1">
      <c r="A2889" s="14">
        <v>40569.0</v>
      </c>
      <c r="B2889" s="15">
        <v>0.62</v>
      </c>
      <c r="C2889" s="15">
        <v>3.85</v>
      </c>
      <c r="D2889" s="15">
        <v>3.92</v>
      </c>
      <c r="E2889" s="15">
        <v>3.89</v>
      </c>
      <c r="F2889" s="15">
        <f t="shared" si="1"/>
        <v>3.23</v>
      </c>
      <c r="G2889" s="15">
        <f t="shared" si="2"/>
        <v>3.85</v>
      </c>
      <c r="H2889" s="16">
        <v>0.0</v>
      </c>
      <c r="I2889" s="15">
        <f t="shared" si="3"/>
        <v>3.23</v>
      </c>
      <c r="J2889" s="15">
        <v>16.64</v>
      </c>
      <c r="K2889" s="16">
        <f>IF(COUNTIFS(Release_Calendar!$A$2:$A$755,"US_CPI",Release_Calendar!$B$2:$B$755,$A2889)&gt;0,1,0)</f>
        <v>0</v>
      </c>
      <c r="L2889" s="16">
        <f>IF(COUNTIFS(Release_Calendar!$A$2:$A$755,"US_NFP",Release_Calendar!$B$2:$B$755,$A2889)&gt;0,1,0)</f>
        <v>0</v>
      </c>
      <c r="M2889" s="16" t="str">
        <f>IF($A2889&lt;Notes!$B$5,"",IF(COUNTIFS(Release_Calendar!$A$2:$A$755,"NZ_CPI",Release_Calendar!$B$2:$B$755,$A2889)&gt;0,1,0))</f>
        <v/>
      </c>
      <c r="N2889" s="16" t="str">
        <f>IF($A2889&lt;Notes!$B$5,"",IF(COUNTIFS(Release_Calendar!$A$2:$A$755,"NZ_GDP",Release_Calendar!$B$2:$B$755,$A2889)&gt;0,1,0))</f>
        <v/>
      </c>
      <c r="O2889" s="16" t="str">
        <f>IF($A2889&lt;Notes!$B$5,"",IF(COUNTIFS(Release_Calendar!$A$2:$A$755,"NZ_LABOUR",Release_Calendar!$B$2:$B$755,$A2889)&gt;0,1,0))</f>
        <v/>
      </c>
      <c r="P2889" s="16">
        <f t="shared" si="4"/>
        <v>0</v>
      </c>
    </row>
    <row r="2890" ht="15.75" customHeight="1">
      <c r="A2890" s="14">
        <v>40570.0</v>
      </c>
      <c r="B2890" s="15">
        <v>0.59</v>
      </c>
      <c r="C2890" s="15">
        <v>3.88</v>
      </c>
      <c r="D2890" s="15">
        <v>3.93</v>
      </c>
      <c r="E2890" s="15">
        <v>3.89</v>
      </c>
      <c r="F2890" s="15">
        <f t="shared" si="1"/>
        <v>3.29</v>
      </c>
      <c r="G2890" s="15">
        <f t="shared" si="2"/>
        <v>3.88</v>
      </c>
      <c r="H2890" s="16">
        <v>0.0</v>
      </c>
      <c r="I2890" s="15">
        <f t="shared" si="3"/>
        <v>3.29</v>
      </c>
      <c r="J2890" s="15">
        <v>16.15</v>
      </c>
      <c r="K2890" s="16">
        <f>IF(COUNTIFS(Release_Calendar!$A$2:$A$755,"US_CPI",Release_Calendar!$B$2:$B$755,$A2890)&gt;0,1,0)</f>
        <v>0</v>
      </c>
      <c r="L2890" s="16">
        <f>IF(COUNTIFS(Release_Calendar!$A$2:$A$755,"US_NFP",Release_Calendar!$B$2:$B$755,$A2890)&gt;0,1,0)</f>
        <v>0</v>
      </c>
      <c r="M2890" s="16" t="str">
        <f>IF($A2890&lt;Notes!$B$5,"",IF(COUNTIFS(Release_Calendar!$A$2:$A$755,"NZ_CPI",Release_Calendar!$B$2:$B$755,$A2890)&gt;0,1,0))</f>
        <v/>
      </c>
      <c r="N2890" s="16" t="str">
        <f>IF($A2890&lt;Notes!$B$5,"",IF(COUNTIFS(Release_Calendar!$A$2:$A$755,"NZ_GDP",Release_Calendar!$B$2:$B$755,$A2890)&gt;0,1,0))</f>
        <v/>
      </c>
      <c r="O2890" s="16" t="str">
        <f>IF($A2890&lt;Notes!$B$5,"",IF(COUNTIFS(Release_Calendar!$A$2:$A$755,"NZ_LABOUR",Release_Calendar!$B$2:$B$755,$A2890)&gt;0,1,0))</f>
        <v/>
      </c>
      <c r="P2890" s="16">
        <f t="shared" si="4"/>
        <v>0</v>
      </c>
    </row>
    <row r="2891" ht="15.75" customHeight="1">
      <c r="A2891" s="14">
        <v>40571.0</v>
      </c>
      <c r="B2891" s="15">
        <v>0.54</v>
      </c>
      <c r="C2891" s="15">
        <v>3.86</v>
      </c>
      <c r="D2891" s="15">
        <v>3.9</v>
      </c>
      <c r="E2891" s="15">
        <v>3.9</v>
      </c>
      <c r="F2891" s="15">
        <f t="shared" si="1"/>
        <v>3.32</v>
      </c>
      <c r="G2891" s="15">
        <f t="shared" si="2"/>
        <v>3.86</v>
      </c>
      <c r="H2891" s="16">
        <v>0.0</v>
      </c>
      <c r="I2891" s="15">
        <f t="shared" si="3"/>
        <v>3.32</v>
      </c>
      <c r="J2891" s="15">
        <v>20.04</v>
      </c>
      <c r="K2891" s="16">
        <f>IF(COUNTIFS(Release_Calendar!$A$2:$A$755,"US_CPI",Release_Calendar!$B$2:$B$755,$A2891)&gt;0,1,0)</f>
        <v>0</v>
      </c>
      <c r="L2891" s="16">
        <f>IF(COUNTIFS(Release_Calendar!$A$2:$A$755,"US_NFP",Release_Calendar!$B$2:$B$755,$A2891)&gt;0,1,0)</f>
        <v>0</v>
      </c>
      <c r="M2891" s="16" t="str">
        <f>IF($A2891&lt;Notes!$B$5,"",IF(COUNTIFS(Release_Calendar!$A$2:$A$755,"NZ_CPI",Release_Calendar!$B$2:$B$755,$A2891)&gt;0,1,0))</f>
        <v/>
      </c>
      <c r="N2891" s="16" t="str">
        <f>IF($A2891&lt;Notes!$B$5,"",IF(COUNTIFS(Release_Calendar!$A$2:$A$755,"NZ_GDP",Release_Calendar!$B$2:$B$755,$A2891)&gt;0,1,0))</f>
        <v/>
      </c>
      <c r="O2891" s="16" t="str">
        <f>IF($A2891&lt;Notes!$B$5,"",IF(COUNTIFS(Release_Calendar!$A$2:$A$755,"NZ_LABOUR",Release_Calendar!$B$2:$B$755,$A2891)&gt;0,1,0))</f>
        <v/>
      </c>
      <c r="P2891" s="16">
        <f t="shared" si="4"/>
        <v>0</v>
      </c>
    </row>
    <row r="2892" ht="15.75" customHeight="1">
      <c r="A2892" s="14">
        <v>40574.0</v>
      </c>
      <c r="B2892" s="15">
        <v>0.58</v>
      </c>
      <c r="C2892" s="15">
        <v>3.86</v>
      </c>
      <c r="D2892" s="15">
        <v>3.87</v>
      </c>
      <c r="E2892" s="15">
        <v>3.9</v>
      </c>
      <c r="F2892" s="15">
        <f t="shared" si="1"/>
        <v>3.28</v>
      </c>
      <c r="G2892" s="15">
        <f t="shared" si="2"/>
        <v>3.86</v>
      </c>
      <c r="H2892" s="16">
        <v>0.0</v>
      </c>
      <c r="I2892" s="15">
        <f t="shared" si="3"/>
        <v>3.28</v>
      </c>
      <c r="J2892" s="15">
        <v>19.53</v>
      </c>
      <c r="K2892" s="16">
        <f>IF(COUNTIFS(Release_Calendar!$A$2:$A$755,"US_CPI",Release_Calendar!$B$2:$B$755,$A2892)&gt;0,1,0)</f>
        <v>0</v>
      </c>
      <c r="L2892" s="16">
        <f>IF(COUNTIFS(Release_Calendar!$A$2:$A$755,"US_NFP",Release_Calendar!$B$2:$B$755,$A2892)&gt;0,1,0)</f>
        <v>0</v>
      </c>
      <c r="M2892" s="16" t="str">
        <f>IF($A2892&lt;Notes!$B$5,"",IF(COUNTIFS(Release_Calendar!$A$2:$A$755,"NZ_CPI",Release_Calendar!$B$2:$B$755,$A2892)&gt;0,1,0))</f>
        <v/>
      </c>
      <c r="N2892" s="16" t="str">
        <f>IF($A2892&lt;Notes!$B$5,"",IF(COUNTIFS(Release_Calendar!$A$2:$A$755,"NZ_GDP",Release_Calendar!$B$2:$B$755,$A2892)&gt;0,1,0))</f>
        <v/>
      </c>
      <c r="O2892" s="16" t="str">
        <f>IF($A2892&lt;Notes!$B$5,"",IF(COUNTIFS(Release_Calendar!$A$2:$A$755,"NZ_LABOUR",Release_Calendar!$B$2:$B$755,$A2892)&gt;0,1,0))</f>
        <v/>
      </c>
      <c r="P2892" s="16">
        <f t="shared" si="4"/>
        <v>0</v>
      </c>
    </row>
    <row r="2893" ht="15.75" customHeight="1">
      <c r="A2893" s="14">
        <v>40575.0</v>
      </c>
      <c r="B2893" s="15">
        <v>0.61</v>
      </c>
      <c r="C2893" s="15">
        <v>3.85</v>
      </c>
      <c r="D2893" s="15">
        <v>3.9</v>
      </c>
      <c r="E2893" s="15">
        <v>3.9</v>
      </c>
      <c r="F2893" s="15">
        <f t="shared" si="1"/>
        <v>3.24</v>
      </c>
      <c r="G2893" s="15">
        <f t="shared" si="2"/>
        <v>3.85</v>
      </c>
      <c r="H2893" s="16">
        <v>0.0</v>
      </c>
      <c r="I2893" s="15">
        <f t="shared" si="3"/>
        <v>3.24</v>
      </c>
      <c r="J2893" s="15">
        <v>17.63</v>
      </c>
      <c r="K2893" s="16">
        <f>IF(COUNTIFS(Release_Calendar!$A$2:$A$755,"US_CPI",Release_Calendar!$B$2:$B$755,$A2893)&gt;0,1,0)</f>
        <v>0</v>
      </c>
      <c r="L2893" s="16">
        <f>IF(COUNTIFS(Release_Calendar!$A$2:$A$755,"US_NFP",Release_Calendar!$B$2:$B$755,$A2893)&gt;0,1,0)</f>
        <v>0</v>
      </c>
      <c r="M2893" s="16" t="str">
        <f>IF($A2893&lt;Notes!$B$5,"",IF(COUNTIFS(Release_Calendar!$A$2:$A$755,"NZ_CPI",Release_Calendar!$B$2:$B$755,$A2893)&gt;0,1,0))</f>
        <v/>
      </c>
      <c r="N2893" s="16" t="str">
        <f>IF($A2893&lt;Notes!$B$5,"",IF(COUNTIFS(Release_Calendar!$A$2:$A$755,"NZ_GDP",Release_Calendar!$B$2:$B$755,$A2893)&gt;0,1,0))</f>
        <v/>
      </c>
      <c r="O2893" s="16" t="str">
        <f>IF($A2893&lt;Notes!$B$5,"",IF(COUNTIFS(Release_Calendar!$A$2:$A$755,"NZ_LABOUR",Release_Calendar!$B$2:$B$755,$A2893)&gt;0,1,0))</f>
        <v/>
      </c>
      <c r="P2893" s="16">
        <f t="shared" si="4"/>
        <v>0</v>
      </c>
    </row>
    <row r="2894" ht="15.75" customHeight="1">
      <c r="A2894" s="14">
        <v>40576.0</v>
      </c>
      <c r="B2894" s="15">
        <v>0.67</v>
      </c>
      <c r="C2894" s="15">
        <v>3.85</v>
      </c>
      <c r="D2894" s="15">
        <v>3.92</v>
      </c>
      <c r="E2894" s="15">
        <v>3.9</v>
      </c>
      <c r="F2894" s="15">
        <f t="shared" si="1"/>
        <v>3.18</v>
      </c>
      <c r="G2894" s="15">
        <f t="shared" si="2"/>
        <v>3.85</v>
      </c>
      <c r="H2894" s="16">
        <v>0.0</v>
      </c>
      <c r="I2894" s="15">
        <f t="shared" si="3"/>
        <v>3.18</v>
      </c>
      <c r="J2894" s="15">
        <v>17.3</v>
      </c>
      <c r="K2894" s="16">
        <f>IF(COUNTIFS(Release_Calendar!$A$2:$A$755,"US_CPI",Release_Calendar!$B$2:$B$755,$A2894)&gt;0,1,0)</f>
        <v>0</v>
      </c>
      <c r="L2894" s="16">
        <f>IF(COUNTIFS(Release_Calendar!$A$2:$A$755,"US_NFP",Release_Calendar!$B$2:$B$755,$A2894)&gt;0,1,0)</f>
        <v>0</v>
      </c>
      <c r="M2894" s="16" t="str">
        <f>IF($A2894&lt;Notes!$B$5,"",IF(COUNTIFS(Release_Calendar!$A$2:$A$755,"NZ_CPI",Release_Calendar!$B$2:$B$755,$A2894)&gt;0,1,0))</f>
        <v/>
      </c>
      <c r="N2894" s="16" t="str">
        <f>IF($A2894&lt;Notes!$B$5,"",IF(COUNTIFS(Release_Calendar!$A$2:$A$755,"NZ_GDP",Release_Calendar!$B$2:$B$755,$A2894)&gt;0,1,0))</f>
        <v/>
      </c>
      <c r="O2894" s="16" t="str">
        <f>IF($A2894&lt;Notes!$B$5,"",IF(COUNTIFS(Release_Calendar!$A$2:$A$755,"NZ_LABOUR",Release_Calendar!$B$2:$B$755,$A2894)&gt;0,1,0))</f>
        <v/>
      </c>
      <c r="P2894" s="16">
        <f t="shared" si="4"/>
        <v>0</v>
      </c>
    </row>
    <row r="2895" ht="15.75" customHeight="1">
      <c r="A2895" s="14">
        <v>40577.0</v>
      </c>
      <c r="B2895" s="15">
        <v>0.71</v>
      </c>
      <c r="C2895" s="15">
        <v>3.8</v>
      </c>
      <c r="D2895" s="15">
        <v>3.85</v>
      </c>
      <c r="E2895" s="15">
        <v>3.85</v>
      </c>
      <c r="F2895" s="15">
        <f t="shared" si="1"/>
        <v>3.09</v>
      </c>
      <c r="G2895" s="15">
        <f t="shared" si="2"/>
        <v>3.8</v>
      </c>
      <c r="H2895" s="16">
        <v>0.0</v>
      </c>
      <c r="I2895" s="15">
        <f t="shared" si="3"/>
        <v>3.09</v>
      </c>
      <c r="J2895" s="15">
        <v>16.69</v>
      </c>
      <c r="K2895" s="16">
        <f>IF(COUNTIFS(Release_Calendar!$A$2:$A$755,"US_CPI",Release_Calendar!$B$2:$B$755,$A2895)&gt;0,1,0)</f>
        <v>0</v>
      </c>
      <c r="L2895" s="16">
        <f>IF(COUNTIFS(Release_Calendar!$A$2:$A$755,"US_NFP",Release_Calendar!$B$2:$B$755,$A2895)&gt;0,1,0)</f>
        <v>0</v>
      </c>
      <c r="M2895" s="16" t="str">
        <f>IF($A2895&lt;Notes!$B$5,"",IF(COUNTIFS(Release_Calendar!$A$2:$A$755,"NZ_CPI",Release_Calendar!$B$2:$B$755,$A2895)&gt;0,1,0))</f>
        <v/>
      </c>
      <c r="N2895" s="16" t="str">
        <f>IF($A2895&lt;Notes!$B$5,"",IF(COUNTIFS(Release_Calendar!$A$2:$A$755,"NZ_GDP",Release_Calendar!$B$2:$B$755,$A2895)&gt;0,1,0))</f>
        <v/>
      </c>
      <c r="O2895" s="16" t="str">
        <f>IF($A2895&lt;Notes!$B$5,"",IF(COUNTIFS(Release_Calendar!$A$2:$A$755,"NZ_LABOUR",Release_Calendar!$B$2:$B$755,$A2895)&gt;0,1,0))</f>
        <v/>
      </c>
      <c r="P2895" s="16">
        <f t="shared" si="4"/>
        <v>0</v>
      </c>
    </row>
    <row r="2896" ht="15.75" customHeight="1">
      <c r="A2896" s="14">
        <v>40578.0</v>
      </c>
      <c r="B2896" s="15">
        <v>0.77</v>
      </c>
      <c r="C2896" s="15">
        <v>3.81</v>
      </c>
      <c r="D2896" s="15">
        <v>3.85</v>
      </c>
      <c r="E2896" s="15">
        <v>3.87</v>
      </c>
      <c r="F2896" s="15">
        <f t="shared" si="1"/>
        <v>3.04</v>
      </c>
      <c r="G2896" s="15">
        <f t="shared" si="2"/>
        <v>3.81</v>
      </c>
      <c r="H2896" s="16">
        <v>0.0</v>
      </c>
      <c r="I2896" s="15">
        <f t="shared" si="3"/>
        <v>3.04</v>
      </c>
      <c r="J2896" s="15">
        <v>15.93</v>
      </c>
      <c r="K2896" s="16">
        <f>IF(COUNTIFS(Release_Calendar!$A$2:$A$755,"US_CPI",Release_Calendar!$B$2:$B$755,$A2896)&gt;0,1,0)</f>
        <v>0</v>
      </c>
      <c r="L2896" s="16">
        <f>IF(COUNTIFS(Release_Calendar!$A$2:$A$755,"US_NFP",Release_Calendar!$B$2:$B$755,$A2896)&gt;0,1,0)</f>
        <v>1</v>
      </c>
      <c r="M2896" s="16" t="str">
        <f>IF($A2896&lt;Notes!$B$5,"",IF(COUNTIFS(Release_Calendar!$A$2:$A$755,"NZ_CPI",Release_Calendar!$B$2:$B$755,$A2896)&gt;0,1,0))</f>
        <v/>
      </c>
      <c r="N2896" s="16" t="str">
        <f>IF($A2896&lt;Notes!$B$5,"",IF(COUNTIFS(Release_Calendar!$A$2:$A$755,"NZ_GDP",Release_Calendar!$B$2:$B$755,$A2896)&gt;0,1,0))</f>
        <v/>
      </c>
      <c r="O2896" s="16" t="str">
        <f>IF($A2896&lt;Notes!$B$5,"",IF(COUNTIFS(Release_Calendar!$A$2:$A$755,"NZ_LABOUR",Release_Calendar!$B$2:$B$755,$A2896)&gt;0,1,0))</f>
        <v/>
      </c>
      <c r="P2896" s="16">
        <f t="shared" si="4"/>
        <v>1</v>
      </c>
    </row>
    <row r="2897" ht="15.75" customHeight="1">
      <c r="A2897" s="14">
        <v>40581.0</v>
      </c>
      <c r="B2897" s="15">
        <v>0.78</v>
      </c>
      <c r="C2897" s="15">
        <v>3.82</v>
      </c>
      <c r="D2897" s="15">
        <v>3.89</v>
      </c>
      <c r="E2897" s="15">
        <v>3.89</v>
      </c>
      <c r="F2897" s="15">
        <f t="shared" si="1"/>
        <v>3.04</v>
      </c>
      <c r="G2897" s="15">
        <f t="shared" si="2"/>
        <v>3.82</v>
      </c>
      <c r="H2897" s="16">
        <v>0.0</v>
      </c>
      <c r="I2897" s="15">
        <f t="shared" si="3"/>
        <v>3.04</v>
      </c>
      <c r="J2897" s="15">
        <v>16.28</v>
      </c>
      <c r="K2897" s="16">
        <f>IF(COUNTIFS(Release_Calendar!$A$2:$A$755,"US_CPI",Release_Calendar!$B$2:$B$755,$A2897)&gt;0,1,0)</f>
        <v>0</v>
      </c>
      <c r="L2897" s="16">
        <f>IF(COUNTIFS(Release_Calendar!$A$2:$A$755,"US_NFP",Release_Calendar!$B$2:$B$755,$A2897)&gt;0,1,0)</f>
        <v>0</v>
      </c>
      <c r="M2897" s="16" t="str">
        <f>IF($A2897&lt;Notes!$B$5,"",IF(COUNTIFS(Release_Calendar!$A$2:$A$755,"NZ_CPI",Release_Calendar!$B$2:$B$755,$A2897)&gt;0,1,0))</f>
        <v/>
      </c>
      <c r="N2897" s="16" t="str">
        <f>IF($A2897&lt;Notes!$B$5,"",IF(COUNTIFS(Release_Calendar!$A$2:$A$755,"NZ_GDP",Release_Calendar!$B$2:$B$755,$A2897)&gt;0,1,0))</f>
        <v/>
      </c>
      <c r="O2897" s="16" t="str">
        <f>IF($A2897&lt;Notes!$B$5,"",IF(COUNTIFS(Release_Calendar!$A$2:$A$755,"NZ_LABOUR",Release_Calendar!$B$2:$B$755,$A2897)&gt;0,1,0))</f>
        <v/>
      </c>
      <c r="P2897" s="16">
        <f t="shared" si="4"/>
        <v>0</v>
      </c>
    </row>
    <row r="2898" ht="15.75" customHeight="1">
      <c r="A2898" s="14">
        <v>40582.0</v>
      </c>
      <c r="B2898" s="15">
        <v>0.86</v>
      </c>
      <c r="C2898" s="15">
        <v>3.81</v>
      </c>
      <c r="D2898" s="15">
        <v>3.89</v>
      </c>
      <c r="E2898" s="15">
        <v>3.88</v>
      </c>
      <c r="F2898" s="15">
        <f t="shared" si="1"/>
        <v>2.95</v>
      </c>
      <c r="G2898" s="15">
        <f t="shared" si="2"/>
        <v>3.81</v>
      </c>
      <c r="H2898" s="16">
        <v>0.0</v>
      </c>
      <c r="I2898" s="15">
        <f t="shared" si="3"/>
        <v>2.95</v>
      </c>
      <c r="J2898" s="15">
        <v>15.81</v>
      </c>
      <c r="K2898" s="16">
        <f>IF(COUNTIFS(Release_Calendar!$A$2:$A$755,"US_CPI",Release_Calendar!$B$2:$B$755,$A2898)&gt;0,1,0)</f>
        <v>0</v>
      </c>
      <c r="L2898" s="16">
        <f>IF(COUNTIFS(Release_Calendar!$A$2:$A$755,"US_NFP",Release_Calendar!$B$2:$B$755,$A2898)&gt;0,1,0)</f>
        <v>0</v>
      </c>
      <c r="M2898" s="16" t="str">
        <f>IF($A2898&lt;Notes!$B$5,"",IF(COUNTIFS(Release_Calendar!$A$2:$A$755,"NZ_CPI",Release_Calendar!$B$2:$B$755,$A2898)&gt;0,1,0))</f>
        <v/>
      </c>
      <c r="N2898" s="16" t="str">
        <f>IF($A2898&lt;Notes!$B$5,"",IF(COUNTIFS(Release_Calendar!$A$2:$A$755,"NZ_GDP",Release_Calendar!$B$2:$B$755,$A2898)&gt;0,1,0))</f>
        <v/>
      </c>
      <c r="O2898" s="16" t="str">
        <f>IF($A2898&lt;Notes!$B$5,"",IF(COUNTIFS(Release_Calendar!$A$2:$A$755,"NZ_LABOUR",Release_Calendar!$B$2:$B$755,$A2898)&gt;0,1,0))</f>
        <v/>
      </c>
      <c r="P2898" s="16">
        <f t="shared" si="4"/>
        <v>0</v>
      </c>
    </row>
    <row r="2899" ht="15.75" customHeight="1">
      <c r="A2899" s="14">
        <v>40583.0</v>
      </c>
      <c r="B2899" s="15">
        <v>0.81</v>
      </c>
      <c r="C2899" s="15">
        <v>3.84</v>
      </c>
      <c r="D2899" s="15">
        <v>3.9</v>
      </c>
      <c r="E2899" s="15">
        <v>3.92</v>
      </c>
      <c r="F2899" s="15">
        <f t="shared" si="1"/>
        <v>3.03</v>
      </c>
      <c r="G2899" s="15">
        <f t="shared" si="2"/>
        <v>3.84</v>
      </c>
      <c r="H2899" s="16">
        <v>0.0</v>
      </c>
      <c r="I2899" s="15">
        <f t="shared" si="3"/>
        <v>3.03</v>
      </c>
      <c r="J2899" s="15">
        <v>15.87</v>
      </c>
      <c r="K2899" s="16">
        <f>IF(COUNTIFS(Release_Calendar!$A$2:$A$755,"US_CPI",Release_Calendar!$B$2:$B$755,$A2899)&gt;0,1,0)</f>
        <v>0</v>
      </c>
      <c r="L2899" s="16">
        <f>IF(COUNTIFS(Release_Calendar!$A$2:$A$755,"US_NFP",Release_Calendar!$B$2:$B$755,$A2899)&gt;0,1,0)</f>
        <v>0</v>
      </c>
      <c r="M2899" s="16" t="str">
        <f>IF($A2899&lt;Notes!$B$5,"",IF(COUNTIFS(Release_Calendar!$A$2:$A$755,"NZ_CPI",Release_Calendar!$B$2:$B$755,$A2899)&gt;0,1,0))</f>
        <v/>
      </c>
      <c r="N2899" s="16" t="str">
        <f>IF($A2899&lt;Notes!$B$5,"",IF(COUNTIFS(Release_Calendar!$A$2:$A$755,"NZ_GDP",Release_Calendar!$B$2:$B$755,$A2899)&gt;0,1,0))</f>
        <v/>
      </c>
      <c r="O2899" s="16" t="str">
        <f>IF($A2899&lt;Notes!$B$5,"",IF(COUNTIFS(Release_Calendar!$A$2:$A$755,"NZ_LABOUR",Release_Calendar!$B$2:$B$755,$A2899)&gt;0,1,0))</f>
        <v/>
      </c>
      <c r="P2899" s="16">
        <f t="shared" si="4"/>
        <v>0</v>
      </c>
    </row>
    <row r="2900" ht="15.75" customHeight="1">
      <c r="A2900" s="14">
        <v>40584.0</v>
      </c>
      <c r="B2900" s="15">
        <v>0.85</v>
      </c>
      <c r="C2900" s="15">
        <v>3.85</v>
      </c>
      <c r="D2900" s="15">
        <v>3.92</v>
      </c>
      <c r="E2900" s="15">
        <v>3.92</v>
      </c>
      <c r="F2900" s="15">
        <f t="shared" si="1"/>
        <v>3</v>
      </c>
      <c r="G2900" s="15">
        <f t="shared" si="2"/>
        <v>3.85</v>
      </c>
      <c r="H2900" s="16">
        <v>0.0</v>
      </c>
      <c r="I2900" s="15">
        <f t="shared" si="3"/>
        <v>3</v>
      </c>
      <c r="J2900" s="15">
        <v>16.09</v>
      </c>
      <c r="K2900" s="16">
        <f>IF(COUNTIFS(Release_Calendar!$A$2:$A$755,"US_CPI",Release_Calendar!$B$2:$B$755,$A2900)&gt;0,1,0)</f>
        <v>0</v>
      </c>
      <c r="L2900" s="16">
        <f>IF(COUNTIFS(Release_Calendar!$A$2:$A$755,"US_NFP",Release_Calendar!$B$2:$B$755,$A2900)&gt;0,1,0)</f>
        <v>0</v>
      </c>
      <c r="M2900" s="16" t="str">
        <f>IF($A2900&lt;Notes!$B$5,"",IF(COUNTIFS(Release_Calendar!$A$2:$A$755,"NZ_CPI",Release_Calendar!$B$2:$B$755,$A2900)&gt;0,1,0))</f>
        <v/>
      </c>
      <c r="N2900" s="16" t="str">
        <f>IF($A2900&lt;Notes!$B$5,"",IF(COUNTIFS(Release_Calendar!$A$2:$A$755,"NZ_GDP",Release_Calendar!$B$2:$B$755,$A2900)&gt;0,1,0))</f>
        <v/>
      </c>
      <c r="O2900" s="16" t="str">
        <f>IF($A2900&lt;Notes!$B$5,"",IF(COUNTIFS(Release_Calendar!$A$2:$A$755,"NZ_LABOUR",Release_Calendar!$B$2:$B$755,$A2900)&gt;0,1,0))</f>
        <v/>
      </c>
      <c r="P2900" s="16">
        <f t="shared" si="4"/>
        <v>0</v>
      </c>
    </row>
    <row r="2901" ht="15.75" customHeight="1">
      <c r="A2901" s="14">
        <v>40585.0</v>
      </c>
      <c r="B2901" s="15">
        <v>0.85</v>
      </c>
      <c r="C2901" s="15">
        <v>3.82</v>
      </c>
      <c r="D2901" s="15">
        <v>3.91</v>
      </c>
      <c r="E2901" s="15">
        <v>3.9</v>
      </c>
      <c r="F2901" s="15">
        <f t="shared" si="1"/>
        <v>2.97</v>
      </c>
      <c r="G2901" s="15">
        <f t="shared" si="2"/>
        <v>3.82</v>
      </c>
      <c r="H2901" s="16">
        <v>0.0</v>
      </c>
      <c r="I2901" s="15">
        <f t="shared" si="3"/>
        <v>2.97</v>
      </c>
      <c r="J2901" s="15">
        <v>15.69</v>
      </c>
      <c r="K2901" s="16">
        <f>IF(COUNTIFS(Release_Calendar!$A$2:$A$755,"US_CPI",Release_Calendar!$B$2:$B$755,$A2901)&gt;0,1,0)</f>
        <v>0</v>
      </c>
      <c r="L2901" s="16">
        <f>IF(COUNTIFS(Release_Calendar!$A$2:$A$755,"US_NFP",Release_Calendar!$B$2:$B$755,$A2901)&gt;0,1,0)</f>
        <v>0</v>
      </c>
      <c r="M2901" s="16" t="str">
        <f>IF($A2901&lt;Notes!$B$5,"",IF(COUNTIFS(Release_Calendar!$A$2:$A$755,"NZ_CPI",Release_Calendar!$B$2:$B$755,$A2901)&gt;0,1,0))</f>
        <v/>
      </c>
      <c r="N2901" s="16" t="str">
        <f>IF($A2901&lt;Notes!$B$5,"",IF(COUNTIFS(Release_Calendar!$A$2:$A$755,"NZ_GDP",Release_Calendar!$B$2:$B$755,$A2901)&gt;0,1,0))</f>
        <v/>
      </c>
      <c r="O2901" s="16" t="str">
        <f>IF($A2901&lt;Notes!$B$5,"",IF(COUNTIFS(Release_Calendar!$A$2:$A$755,"NZ_LABOUR",Release_Calendar!$B$2:$B$755,$A2901)&gt;0,1,0))</f>
        <v/>
      </c>
      <c r="P2901" s="16">
        <f t="shared" si="4"/>
        <v>0</v>
      </c>
    </row>
    <row r="2902" ht="15.75" customHeight="1">
      <c r="A2902" s="14">
        <v>40588.0</v>
      </c>
      <c r="B2902" s="15">
        <v>0.87</v>
      </c>
      <c r="C2902" s="15">
        <v>3.79</v>
      </c>
      <c r="D2902" s="15">
        <v>3.88</v>
      </c>
      <c r="E2902" s="15">
        <v>3.89</v>
      </c>
      <c r="F2902" s="15">
        <f t="shared" si="1"/>
        <v>2.92</v>
      </c>
      <c r="G2902" s="15">
        <f t="shared" si="2"/>
        <v>3.79</v>
      </c>
      <c r="H2902" s="16">
        <v>0.0</v>
      </c>
      <c r="I2902" s="15">
        <f t="shared" si="3"/>
        <v>2.92</v>
      </c>
      <c r="J2902" s="15">
        <v>15.95</v>
      </c>
      <c r="K2902" s="16">
        <f>IF(COUNTIFS(Release_Calendar!$A$2:$A$755,"US_CPI",Release_Calendar!$B$2:$B$755,$A2902)&gt;0,1,0)</f>
        <v>0</v>
      </c>
      <c r="L2902" s="16">
        <f>IF(COUNTIFS(Release_Calendar!$A$2:$A$755,"US_NFP",Release_Calendar!$B$2:$B$755,$A2902)&gt;0,1,0)</f>
        <v>0</v>
      </c>
      <c r="M2902" s="16" t="str">
        <f>IF($A2902&lt;Notes!$B$5,"",IF(COUNTIFS(Release_Calendar!$A$2:$A$755,"NZ_CPI",Release_Calendar!$B$2:$B$755,$A2902)&gt;0,1,0))</f>
        <v/>
      </c>
      <c r="N2902" s="16" t="str">
        <f>IF($A2902&lt;Notes!$B$5,"",IF(COUNTIFS(Release_Calendar!$A$2:$A$755,"NZ_GDP",Release_Calendar!$B$2:$B$755,$A2902)&gt;0,1,0))</f>
        <v/>
      </c>
      <c r="O2902" s="16" t="str">
        <f>IF($A2902&lt;Notes!$B$5,"",IF(COUNTIFS(Release_Calendar!$A$2:$A$755,"NZ_LABOUR",Release_Calendar!$B$2:$B$755,$A2902)&gt;0,1,0))</f>
        <v/>
      </c>
      <c r="P2902" s="16">
        <f t="shared" si="4"/>
        <v>0</v>
      </c>
    </row>
    <row r="2903" ht="15.75" customHeight="1">
      <c r="A2903" s="14">
        <v>40589.0</v>
      </c>
      <c r="B2903" s="15">
        <v>0.84</v>
      </c>
      <c r="C2903" s="15">
        <v>3.77</v>
      </c>
      <c r="D2903" s="15">
        <v>3.88</v>
      </c>
      <c r="E2903" s="15">
        <v>3.88</v>
      </c>
      <c r="F2903" s="15">
        <f t="shared" si="1"/>
        <v>2.93</v>
      </c>
      <c r="G2903" s="15">
        <f t="shared" si="2"/>
        <v>3.77</v>
      </c>
      <c r="H2903" s="16">
        <v>0.0</v>
      </c>
      <c r="I2903" s="15">
        <f t="shared" si="3"/>
        <v>2.93</v>
      </c>
      <c r="J2903" s="15">
        <v>16.37</v>
      </c>
      <c r="K2903" s="16">
        <f>IF(COUNTIFS(Release_Calendar!$A$2:$A$755,"US_CPI",Release_Calendar!$B$2:$B$755,$A2903)&gt;0,1,0)</f>
        <v>0</v>
      </c>
      <c r="L2903" s="16">
        <f>IF(COUNTIFS(Release_Calendar!$A$2:$A$755,"US_NFP",Release_Calendar!$B$2:$B$755,$A2903)&gt;0,1,0)</f>
        <v>0</v>
      </c>
      <c r="M2903" s="16" t="str">
        <f>IF($A2903&lt;Notes!$B$5,"",IF(COUNTIFS(Release_Calendar!$A$2:$A$755,"NZ_CPI",Release_Calendar!$B$2:$B$755,$A2903)&gt;0,1,0))</f>
        <v/>
      </c>
      <c r="N2903" s="16" t="str">
        <f>IF($A2903&lt;Notes!$B$5,"",IF(COUNTIFS(Release_Calendar!$A$2:$A$755,"NZ_GDP",Release_Calendar!$B$2:$B$755,$A2903)&gt;0,1,0))</f>
        <v/>
      </c>
      <c r="O2903" s="16" t="str">
        <f>IF($A2903&lt;Notes!$B$5,"",IF(COUNTIFS(Release_Calendar!$A$2:$A$755,"NZ_LABOUR",Release_Calendar!$B$2:$B$755,$A2903)&gt;0,1,0))</f>
        <v/>
      </c>
      <c r="P2903" s="16">
        <f t="shared" si="4"/>
        <v>0</v>
      </c>
    </row>
    <row r="2904" ht="15.75" customHeight="1">
      <c r="A2904" s="14">
        <v>40590.0</v>
      </c>
      <c r="B2904" s="15">
        <v>0.86</v>
      </c>
      <c r="C2904" s="15">
        <v>3.78</v>
      </c>
      <c r="D2904" s="15">
        <v>3.88</v>
      </c>
      <c r="E2904" s="15">
        <v>3.88</v>
      </c>
      <c r="F2904" s="15">
        <f t="shared" si="1"/>
        <v>2.92</v>
      </c>
      <c r="G2904" s="15">
        <f t="shared" si="2"/>
        <v>3.78</v>
      </c>
      <c r="H2904" s="16">
        <v>0.0</v>
      </c>
      <c r="I2904" s="15">
        <f t="shared" si="3"/>
        <v>2.92</v>
      </c>
      <c r="J2904" s="15">
        <v>16.72</v>
      </c>
      <c r="K2904" s="16">
        <f>IF(COUNTIFS(Release_Calendar!$A$2:$A$755,"US_CPI",Release_Calendar!$B$2:$B$755,$A2904)&gt;0,1,0)</f>
        <v>0</v>
      </c>
      <c r="L2904" s="16">
        <f>IF(COUNTIFS(Release_Calendar!$A$2:$A$755,"US_NFP",Release_Calendar!$B$2:$B$755,$A2904)&gt;0,1,0)</f>
        <v>0</v>
      </c>
      <c r="M2904" s="16" t="str">
        <f>IF($A2904&lt;Notes!$B$5,"",IF(COUNTIFS(Release_Calendar!$A$2:$A$755,"NZ_CPI",Release_Calendar!$B$2:$B$755,$A2904)&gt;0,1,0))</f>
        <v/>
      </c>
      <c r="N2904" s="16" t="str">
        <f>IF($A2904&lt;Notes!$B$5,"",IF(COUNTIFS(Release_Calendar!$A$2:$A$755,"NZ_GDP",Release_Calendar!$B$2:$B$755,$A2904)&gt;0,1,0))</f>
        <v/>
      </c>
      <c r="O2904" s="16" t="str">
        <f>IF($A2904&lt;Notes!$B$5,"",IF(COUNTIFS(Release_Calendar!$A$2:$A$755,"NZ_LABOUR",Release_Calendar!$B$2:$B$755,$A2904)&gt;0,1,0))</f>
        <v/>
      </c>
      <c r="P2904" s="16">
        <f t="shared" si="4"/>
        <v>0</v>
      </c>
    </row>
    <row r="2905" ht="15.75" customHeight="1">
      <c r="A2905" s="14">
        <v>40591.0</v>
      </c>
      <c r="B2905" s="15">
        <v>0.8</v>
      </c>
      <c r="C2905" s="15">
        <v>3.78</v>
      </c>
      <c r="D2905" s="15">
        <v>3.88</v>
      </c>
      <c r="E2905" s="15">
        <v>3.88</v>
      </c>
      <c r="F2905" s="15">
        <f t="shared" si="1"/>
        <v>2.98</v>
      </c>
      <c r="G2905" s="15">
        <f t="shared" si="2"/>
        <v>3.78</v>
      </c>
      <c r="H2905" s="16">
        <v>0.0</v>
      </c>
      <c r="I2905" s="15">
        <f t="shared" si="3"/>
        <v>2.98</v>
      </c>
      <c r="J2905" s="15">
        <v>16.59</v>
      </c>
      <c r="K2905" s="16">
        <f>IF(COUNTIFS(Release_Calendar!$A$2:$A$755,"US_CPI",Release_Calendar!$B$2:$B$755,$A2905)&gt;0,1,0)</f>
        <v>1</v>
      </c>
      <c r="L2905" s="16">
        <f>IF(COUNTIFS(Release_Calendar!$A$2:$A$755,"US_NFP",Release_Calendar!$B$2:$B$755,$A2905)&gt;0,1,0)</f>
        <v>0</v>
      </c>
      <c r="M2905" s="16" t="str">
        <f>IF($A2905&lt;Notes!$B$5,"",IF(COUNTIFS(Release_Calendar!$A$2:$A$755,"NZ_CPI",Release_Calendar!$B$2:$B$755,$A2905)&gt;0,1,0))</f>
        <v/>
      </c>
      <c r="N2905" s="16" t="str">
        <f>IF($A2905&lt;Notes!$B$5,"",IF(COUNTIFS(Release_Calendar!$A$2:$A$755,"NZ_GDP",Release_Calendar!$B$2:$B$755,$A2905)&gt;0,1,0))</f>
        <v/>
      </c>
      <c r="O2905" s="16" t="str">
        <f>IF($A2905&lt;Notes!$B$5,"",IF(COUNTIFS(Release_Calendar!$A$2:$A$755,"NZ_LABOUR",Release_Calendar!$B$2:$B$755,$A2905)&gt;0,1,0))</f>
        <v/>
      </c>
      <c r="P2905" s="16">
        <f t="shared" si="4"/>
        <v>1</v>
      </c>
    </row>
    <row r="2906" ht="15.75" customHeight="1">
      <c r="A2906" s="14">
        <v>40592.0</v>
      </c>
      <c r="B2906" s="15">
        <v>0.78</v>
      </c>
      <c r="C2906" s="15">
        <v>3.78</v>
      </c>
      <c r="D2906" s="15">
        <v>3.88</v>
      </c>
      <c r="E2906" s="15">
        <v>3.88</v>
      </c>
      <c r="F2906" s="15">
        <f t="shared" si="1"/>
        <v>3</v>
      </c>
      <c r="G2906" s="15">
        <f t="shared" si="2"/>
        <v>3.78</v>
      </c>
      <c r="H2906" s="16">
        <v>0.0</v>
      </c>
      <c r="I2906" s="15">
        <f t="shared" si="3"/>
        <v>3</v>
      </c>
      <c r="J2906" s="15">
        <v>16.43</v>
      </c>
      <c r="K2906" s="16">
        <f>IF(COUNTIFS(Release_Calendar!$A$2:$A$755,"US_CPI",Release_Calendar!$B$2:$B$755,$A2906)&gt;0,1,0)</f>
        <v>0</v>
      </c>
      <c r="L2906" s="16">
        <f>IF(COUNTIFS(Release_Calendar!$A$2:$A$755,"US_NFP",Release_Calendar!$B$2:$B$755,$A2906)&gt;0,1,0)</f>
        <v>0</v>
      </c>
      <c r="M2906" s="16" t="str">
        <f>IF($A2906&lt;Notes!$B$5,"",IF(COUNTIFS(Release_Calendar!$A$2:$A$755,"NZ_CPI",Release_Calendar!$B$2:$B$755,$A2906)&gt;0,1,0))</f>
        <v/>
      </c>
      <c r="N2906" s="16" t="str">
        <f>IF($A2906&lt;Notes!$B$5,"",IF(COUNTIFS(Release_Calendar!$A$2:$A$755,"NZ_GDP",Release_Calendar!$B$2:$B$755,$A2906)&gt;0,1,0))</f>
        <v/>
      </c>
      <c r="O2906" s="16" t="str">
        <f>IF($A2906&lt;Notes!$B$5,"",IF(COUNTIFS(Release_Calendar!$A$2:$A$755,"NZ_LABOUR",Release_Calendar!$B$2:$B$755,$A2906)&gt;0,1,0))</f>
        <v/>
      </c>
      <c r="P2906" s="16">
        <f t="shared" si="4"/>
        <v>0</v>
      </c>
    </row>
    <row r="2907" ht="15.75" customHeight="1">
      <c r="A2907" s="14">
        <v>40595.0</v>
      </c>
      <c r="B2907" s="15"/>
      <c r="C2907" s="15">
        <v>3.81</v>
      </c>
      <c r="D2907" s="15">
        <v>3.88</v>
      </c>
      <c r="E2907" s="15">
        <v>3.88</v>
      </c>
      <c r="F2907" s="15" t="str">
        <f t="shared" si="1"/>
        <v/>
      </c>
      <c r="G2907" s="15">
        <f t="shared" si="2"/>
        <v>3.81</v>
      </c>
      <c r="H2907" s="16">
        <v>0.0</v>
      </c>
      <c r="I2907" s="15" t="str">
        <f t="shared" si="3"/>
        <v/>
      </c>
      <c r="J2907" s="15"/>
      <c r="K2907" s="16">
        <f>IF(COUNTIFS(Release_Calendar!$A$2:$A$755,"US_CPI",Release_Calendar!$B$2:$B$755,$A2907)&gt;0,1,0)</f>
        <v>0</v>
      </c>
      <c r="L2907" s="16">
        <f>IF(COUNTIFS(Release_Calendar!$A$2:$A$755,"US_NFP",Release_Calendar!$B$2:$B$755,$A2907)&gt;0,1,0)</f>
        <v>0</v>
      </c>
      <c r="M2907" s="16" t="str">
        <f>IF($A2907&lt;Notes!$B$5,"",IF(COUNTIFS(Release_Calendar!$A$2:$A$755,"NZ_CPI",Release_Calendar!$B$2:$B$755,$A2907)&gt;0,1,0))</f>
        <v/>
      </c>
      <c r="N2907" s="16" t="str">
        <f>IF($A2907&lt;Notes!$B$5,"",IF(COUNTIFS(Release_Calendar!$A$2:$A$755,"NZ_GDP",Release_Calendar!$B$2:$B$755,$A2907)&gt;0,1,0))</f>
        <v/>
      </c>
      <c r="O2907" s="16" t="str">
        <f>IF($A2907&lt;Notes!$B$5,"",IF(COUNTIFS(Release_Calendar!$A$2:$A$755,"NZ_LABOUR",Release_Calendar!$B$2:$B$755,$A2907)&gt;0,1,0))</f>
        <v/>
      </c>
      <c r="P2907" s="16">
        <f t="shared" si="4"/>
        <v>0</v>
      </c>
    </row>
    <row r="2908" ht="15.75" customHeight="1">
      <c r="A2908" s="14">
        <v>40596.0</v>
      </c>
      <c r="B2908" s="15">
        <v>0.74</v>
      </c>
      <c r="C2908" s="15">
        <v>3.66</v>
      </c>
      <c r="D2908" s="15">
        <v>3.88</v>
      </c>
      <c r="E2908" s="15">
        <v>3.76</v>
      </c>
      <c r="F2908" s="15">
        <f t="shared" si="1"/>
        <v>2.92</v>
      </c>
      <c r="G2908" s="15">
        <f t="shared" si="2"/>
        <v>3.66</v>
      </c>
      <c r="H2908" s="16">
        <v>0.0</v>
      </c>
      <c r="I2908" s="15">
        <f t="shared" si="3"/>
        <v>2.92</v>
      </c>
      <c r="J2908" s="15">
        <v>20.8</v>
      </c>
      <c r="K2908" s="16">
        <f>IF(COUNTIFS(Release_Calendar!$A$2:$A$755,"US_CPI",Release_Calendar!$B$2:$B$755,$A2908)&gt;0,1,0)</f>
        <v>0</v>
      </c>
      <c r="L2908" s="16">
        <f>IF(COUNTIFS(Release_Calendar!$A$2:$A$755,"US_NFP",Release_Calendar!$B$2:$B$755,$A2908)&gt;0,1,0)</f>
        <v>0</v>
      </c>
      <c r="M2908" s="16" t="str">
        <f>IF($A2908&lt;Notes!$B$5,"",IF(COUNTIFS(Release_Calendar!$A$2:$A$755,"NZ_CPI",Release_Calendar!$B$2:$B$755,$A2908)&gt;0,1,0))</f>
        <v/>
      </c>
      <c r="N2908" s="16" t="str">
        <f>IF($A2908&lt;Notes!$B$5,"",IF(COUNTIFS(Release_Calendar!$A$2:$A$755,"NZ_GDP",Release_Calendar!$B$2:$B$755,$A2908)&gt;0,1,0))</f>
        <v/>
      </c>
      <c r="O2908" s="16" t="str">
        <f>IF($A2908&lt;Notes!$B$5,"",IF(COUNTIFS(Release_Calendar!$A$2:$A$755,"NZ_LABOUR",Release_Calendar!$B$2:$B$755,$A2908)&gt;0,1,0))</f>
        <v/>
      </c>
      <c r="P2908" s="16">
        <f t="shared" si="4"/>
        <v>0</v>
      </c>
    </row>
    <row r="2909" ht="15.75" customHeight="1">
      <c r="A2909" s="14">
        <v>40597.0</v>
      </c>
      <c r="B2909" s="15">
        <v>0.74</v>
      </c>
      <c r="C2909" s="15">
        <v>3.55</v>
      </c>
      <c r="D2909" s="15">
        <v>3.68</v>
      </c>
      <c r="E2909" s="15">
        <v>3.7</v>
      </c>
      <c r="F2909" s="15">
        <f t="shared" si="1"/>
        <v>2.81</v>
      </c>
      <c r="G2909" s="15">
        <f t="shared" si="2"/>
        <v>3.55</v>
      </c>
      <c r="H2909" s="16">
        <v>0.0</v>
      </c>
      <c r="I2909" s="15">
        <f t="shared" si="3"/>
        <v>2.81</v>
      </c>
      <c r="J2909" s="15">
        <v>22.13</v>
      </c>
      <c r="K2909" s="16">
        <f>IF(COUNTIFS(Release_Calendar!$A$2:$A$755,"US_CPI",Release_Calendar!$B$2:$B$755,$A2909)&gt;0,1,0)</f>
        <v>0</v>
      </c>
      <c r="L2909" s="16">
        <f>IF(COUNTIFS(Release_Calendar!$A$2:$A$755,"US_NFP",Release_Calendar!$B$2:$B$755,$A2909)&gt;0,1,0)</f>
        <v>0</v>
      </c>
      <c r="M2909" s="16" t="str">
        <f>IF($A2909&lt;Notes!$B$5,"",IF(COUNTIFS(Release_Calendar!$A$2:$A$755,"NZ_CPI",Release_Calendar!$B$2:$B$755,$A2909)&gt;0,1,0))</f>
        <v/>
      </c>
      <c r="N2909" s="16" t="str">
        <f>IF($A2909&lt;Notes!$B$5,"",IF(COUNTIFS(Release_Calendar!$A$2:$A$755,"NZ_GDP",Release_Calendar!$B$2:$B$755,$A2909)&gt;0,1,0))</f>
        <v/>
      </c>
      <c r="O2909" s="16" t="str">
        <f>IF($A2909&lt;Notes!$B$5,"",IF(COUNTIFS(Release_Calendar!$A$2:$A$755,"NZ_LABOUR",Release_Calendar!$B$2:$B$755,$A2909)&gt;0,1,0))</f>
        <v/>
      </c>
      <c r="P2909" s="16">
        <f t="shared" si="4"/>
        <v>0</v>
      </c>
    </row>
    <row r="2910" ht="15.75" customHeight="1">
      <c r="A2910" s="14">
        <v>40598.0</v>
      </c>
      <c r="B2910" s="15">
        <v>0.73</v>
      </c>
      <c r="C2910" s="15">
        <v>3.44</v>
      </c>
      <c r="D2910" s="15">
        <v>3.65</v>
      </c>
      <c r="E2910" s="15">
        <v>3.6</v>
      </c>
      <c r="F2910" s="15">
        <f t="shared" si="1"/>
        <v>2.71</v>
      </c>
      <c r="G2910" s="15">
        <f t="shared" si="2"/>
        <v>3.44</v>
      </c>
      <c r="H2910" s="16">
        <v>0.0</v>
      </c>
      <c r="I2910" s="15">
        <f t="shared" si="3"/>
        <v>2.71</v>
      </c>
      <c r="J2910" s="15">
        <v>21.32</v>
      </c>
      <c r="K2910" s="16">
        <f>IF(COUNTIFS(Release_Calendar!$A$2:$A$755,"US_CPI",Release_Calendar!$B$2:$B$755,$A2910)&gt;0,1,0)</f>
        <v>0</v>
      </c>
      <c r="L2910" s="16">
        <f>IF(COUNTIFS(Release_Calendar!$A$2:$A$755,"US_NFP",Release_Calendar!$B$2:$B$755,$A2910)&gt;0,1,0)</f>
        <v>0</v>
      </c>
      <c r="M2910" s="16" t="str">
        <f>IF($A2910&lt;Notes!$B$5,"",IF(COUNTIFS(Release_Calendar!$A$2:$A$755,"NZ_CPI",Release_Calendar!$B$2:$B$755,$A2910)&gt;0,1,0))</f>
        <v/>
      </c>
      <c r="N2910" s="16" t="str">
        <f>IF($A2910&lt;Notes!$B$5,"",IF(COUNTIFS(Release_Calendar!$A$2:$A$755,"NZ_GDP",Release_Calendar!$B$2:$B$755,$A2910)&gt;0,1,0))</f>
        <v/>
      </c>
      <c r="O2910" s="16" t="str">
        <f>IF($A2910&lt;Notes!$B$5,"",IF(COUNTIFS(Release_Calendar!$A$2:$A$755,"NZ_LABOUR",Release_Calendar!$B$2:$B$755,$A2910)&gt;0,1,0))</f>
        <v/>
      </c>
      <c r="P2910" s="16">
        <f t="shared" si="4"/>
        <v>0</v>
      </c>
    </row>
    <row r="2911" ht="15.75" customHeight="1">
      <c r="A2911" s="14">
        <v>40599.0</v>
      </c>
      <c r="B2911" s="15">
        <v>0.72</v>
      </c>
      <c r="C2911" s="15">
        <v>3.36</v>
      </c>
      <c r="D2911" s="15">
        <v>3.53</v>
      </c>
      <c r="E2911" s="15">
        <v>3.53</v>
      </c>
      <c r="F2911" s="15">
        <f t="shared" si="1"/>
        <v>2.64</v>
      </c>
      <c r="G2911" s="15">
        <f t="shared" si="2"/>
        <v>3.36</v>
      </c>
      <c r="H2911" s="16">
        <v>0.0</v>
      </c>
      <c r="I2911" s="15">
        <f t="shared" si="3"/>
        <v>2.64</v>
      </c>
      <c r="J2911" s="15">
        <v>19.22</v>
      </c>
      <c r="K2911" s="16">
        <f>IF(COUNTIFS(Release_Calendar!$A$2:$A$755,"US_CPI",Release_Calendar!$B$2:$B$755,$A2911)&gt;0,1,0)</f>
        <v>0</v>
      </c>
      <c r="L2911" s="16">
        <f>IF(COUNTIFS(Release_Calendar!$A$2:$A$755,"US_NFP",Release_Calendar!$B$2:$B$755,$A2911)&gt;0,1,0)</f>
        <v>0</v>
      </c>
      <c r="M2911" s="16" t="str">
        <f>IF($A2911&lt;Notes!$B$5,"",IF(COUNTIFS(Release_Calendar!$A$2:$A$755,"NZ_CPI",Release_Calendar!$B$2:$B$755,$A2911)&gt;0,1,0))</f>
        <v/>
      </c>
      <c r="N2911" s="16" t="str">
        <f>IF($A2911&lt;Notes!$B$5,"",IF(COUNTIFS(Release_Calendar!$A$2:$A$755,"NZ_GDP",Release_Calendar!$B$2:$B$755,$A2911)&gt;0,1,0))</f>
        <v/>
      </c>
      <c r="O2911" s="16" t="str">
        <f>IF($A2911&lt;Notes!$B$5,"",IF(COUNTIFS(Release_Calendar!$A$2:$A$755,"NZ_LABOUR",Release_Calendar!$B$2:$B$755,$A2911)&gt;0,1,0))</f>
        <v/>
      </c>
      <c r="P2911" s="16">
        <f t="shared" si="4"/>
        <v>0</v>
      </c>
    </row>
    <row r="2912" ht="15.75" customHeight="1">
      <c r="A2912" s="14">
        <v>40602.0</v>
      </c>
      <c r="B2912" s="15">
        <v>0.69</v>
      </c>
      <c r="C2912" s="15">
        <v>3.38</v>
      </c>
      <c r="D2912" s="15">
        <v>3.55</v>
      </c>
      <c r="E2912" s="15">
        <v>3.55</v>
      </c>
      <c r="F2912" s="15">
        <f t="shared" si="1"/>
        <v>2.69</v>
      </c>
      <c r="G2912" s="15">
        <f t="shared" si="2"/>
        <v>3.38</v>
      </c>
      <c r="H2912" s="16">
        <v>0.0</v>
      </c>
      <c r="I2912" s="15">
        <f t="shared" si="3"/>
        <v>2.69</v>
      </c>
      <c r="J2912" s="15">
        <v>18.35</v>
      </c>
      <c r="K2912" s="16">
        <f>IF(COUNTIFS(Release_Calendar!$A$2:$A$755,"US_CPI",Release_Calendar!$B$2:$B$755,$A2912)&gt;0,1,0)</f>
        <v>0</v>
      </c>
      <c r="L2912" s="16">
        <f>IF(COUNTIFS(Release_Calendar!$A$2:$A$755,"US_NFP",Release_Calendar!$B$2:$B$755,$A2912)&gt;0,1,0)</f>
        <v>0</v>
      </c>
      <c r="M2912" s="16" t="str">
        <f>IF($A2912&lt;Notes!$B$5,"",IF(COUNTIFS(Release_Calendar!$A$2:$A$755,"NZ_CPI",Release_Calendar!$B$2:$B$755,$A2912)&gt;0,1,0))</f>
        <v/>
      </c>
      <c r="N2912" s="16" t="str">
        <f>IF($A2912&lt;Notes!$B$5,"",IF(COUNTIFS(Release_Calendar!$A$2:$A$755,"NZ_GDP",Release_Calendar!$B$2:$B$755,$A2912)&gt;0,1,0))</f>
        <v/>
      </c>
      <c r="O2912" s="16" t="str">
        <f>IF($A2912&lt;Notes!$B$5,"",IF(COUNTIFS(Release_Calendar!$A$2:$A$755,"NZ_LABOUR",Release_Calendar!$B$2:$B$755,$A2912)&gt;0,1,0))</f>
        <v/>
      </c>
      <c r="P2912" s="16">
        <f t="shared" si="4"/>
        <v>0</v>
      </c>
    </row>
    <row r="2913" ht="15.75" customHeight="1">
      <c r="A2913" s="14">
        <v>40603.0</v>
      </c>
      <c r="B2913" s="15">
        <v>0.66</v>
      </c>
      <c r="C2913" s="15">
        <v>3.42</v>
      </c>
      <c r="D2913" s="15">
        <v>3.55</v>
      </c>
      <c r="E2913" s="15">
        <v>3.61</v>
      </c>
      <c r="F2913" s="15">
        <f t="shared" si="1"/>
        <v>2.76</v>
      </c>
      <c r="G2913" s="15">
        <f t="shared" si="2"/>
        <v>3.42</v>
      </c>
      <c r="H2913" s="16">
        <v>0.0</v>
      </c>
      <c r="I2913" s="15">
        <f t="shared" si="3"/>
        <v>2.76</v>
      </c>
      <c r="J2913" s="15">
        <v>21.01</v>
      </c>
      <c r="K2913" s="16">
        <f>IF(COUNTIFS(Release_Calendar!$A$2:$A$755,"US_CPI",Release_Calendar!$B$2:$B$755,$A2913)&gt;0,1,0)</f>
        <v>0</v>
      </c>
      <c r="L2913" s="16">
        <f>IF(COUNTIFS(Release_Calendar!$A$2:$A$755,"US_NFP",Release_Calendar!$B$2:$B$755,$A2913)&gt;0,1,0)</f>
        <v>0</v>
      </c>
      <c r="M2913" s="16" t="str">
        <f>IF($A2913&lt;Notes!$B$5,"",IF(COUNTIFS(Release_Calendar!$A$2:$A$755,"NZ_CPI",Release_Calendar!$B$2:$B$755,$A2913)&gt;0,1,0))</f>
        <v/>
      </c>
      <c r="N2913" s="16" t="str">
        <f>IF($A2913&lt;Notes!$B$5,"",IF(COUNTIFS(Release_Calendar!$A$2:$A$755,"NZ_GDP",Release_Calendar!$B$2:$B$755,$A2913)&gt;0,1,0))</f>
        <v/>
      </c>
      <c r="O2913" s="16" t="str">
        <f>IF($A2913&lt;Notes!$B$5,"",IF(COUNTIFS(Release_Calendar!$A$2:$A$755,"NZ_LABOUR",Release_Calendar!$B$2:$B$755,$A2913)&gt;0,1,0))</f>
        <v/>
      </c>
      <c r="P2913" s="16">
        <f t="shared" si="4"/>
        <v>0</v>
      </c>
    </row>
    <row r="2914" ht="15.75" customHeight="1">
      <c r="A2914" s="14">
        <v>40604.0</v>
      </c>
      <c r="B2914" s="15">
        <v>0.69</v>
      </c>
      <c r="C2914" s="15">
        <v>3.31</v>
      </c>
      <c r="D2914" s="15">
        <v>3.58</v>
      </c>
      <c r="E2914" s="15">
        <v>3.53</v>
      </c>
      <c r="F2914" s="15">
        <f t="shared" si="1"/>
        <v>2.62</v>
      </c>
      <c r="G2914" s="15">
        <f t="shared" si="2"/>
        <v>3.31</v>
      </c>
      <c r="H2914" s="16">
        <v>0.0</v>
      </c>
      <c r="I2914" s="15">
        <f t="shared" si="3"/>
        <v>2.62</v>
      </c>
      <c r="J2914" s="15">
        <v>20.7</v>
      </c>
      <c r="K2914" s="16">
        <f>IF(COUNTIFS(Release_Calendar!$A$2:$A$755,"US_CPI",Release_Calendar!$B$2:$B$755,$A2914)&gt;0,1,0)</f>
        <v>0</v>
      </c>
      <c r="L2914" s="16">
        <f>IF(COUNTIFS(Release_Calendar!$A$2:$A$755,"US_NFP",Release_Calendar!$B$2:$B$755,$A2914)&gt;0,1,0)</f>
        <v>0</v>
      </c>
      <c r="M2914" s="16" t="str">
        <f>IF($A2914&lt;Notes!$B$5,"",IF(COUNTIFS(Release_Calendar!$A$2:$A$755,"NZ_CPI",Release_Calendar!$B$2:$B$755,$A2914)&gt;0,1,0))</f>
        <v/>
      </c>
      <c r="N2914" s="16" t="str">
        <f>IF($A2914&lt;Notes!$B$5,"",IF(COUNTIFS(Release_Calendar!$A$2:$A$755,"NZ_GDP",Release_Calendar!$B$2:$B$755,$A2914)&gt;0,1,0))</f>
        <v/>
      </c>
      <c r="O2914" s="16" t="str">
        <f>IF($A2914&lt;Notes!$B$5,"",IF(COUNTIFS(Release_Calendar!$A$2:$A$755,"NZ_LABOUR",Release_Calendar!$B$2:$B$755,$A2914)&gt;0,1,0))</f>
        <v/>
      </c>
      <c r="P2914" s="16">
        <f t="shared" si="4"/>
        <v>0</v>
      </c>
    </row>
    <row r="2915" ht="15.75" customHeight="1">
      <c r="A2915" s="14">
        <v>40605.0</v>
      </c>
      <c r="B2915" s="15">
        <v>0.79</v>
      </c>
      <c r="C2915" s="15">
        <v>3.35</v>
      </c>
      <c r="D2915" s="15">
        <v>3.58</v>
      </c>
      <c r="E2915" s="15">
        <v>3.53</v>
      </c>
      <c r="F2915" s="15">
        <f t="shared" si="1"/>
        <v>2.56</v>
      </c>
      <c r="G2915" s="15">
        <f t="shared" si="2"/>
        <v>3.35</v>
      </c>
      <c r="H2915" s="16">
        <v>0.0</v>
      </c>
      <c r="I2915" s="15">
        <f t="shared" si="3"/>
        <v>2.56</v>
      </c>
      <c r="J2915" s="15">
        <v>18.6</v>
      </c>
      <c r="K2915" s="16">
        <f>IF(COUNTIFS(Release_Calendar!$A$2:$A$755,"US_CPI",Release_Calendar!$B$2:$B$755,$A2915)&gt;0,1,0)</f>
        <v>0</v>
      </c>
      <c r="L2915" s="16">
        <f>IF(COUNTIFS(Release_Calendar!$A$2:$A$755,"US_NFP",Release_Calendar!$B$2:$B$755,$A2915)&gt;0,1,0)</f>
        <v>0</v>
      </c>
      <c r="M2915" s="16" t="str">
        <f>IF($A2915&lt;Notes!$B$5,"",IF(COUNTIFS(Release_Calendar!$A$2:$A$755,"NZ_CPI",Release_Calendar!$B$2:$B$755,$A2915)&gt;0,1,0))</f>
        <v/>
      </c>
      <c r="N2915" s="16" t="str">
        <f>IF($A2915&lt;Notes!$B$5,"",IF(COUNTIFS(Release_Calendar!$A$2:$A$755,"NZ_GDP",Release_Calendar!$B$2:$B$755,$A2915)&gt;0,1,0))</f>
        <v/>
      </c>
      <c r="O2915" s="16" t="str">
        <f>IF($A2915&lt;Notes!$B$5,"",IF(COUNTIFS(Release_Calendar!$A$2:$A$755,"NZ_LABOUR",Release_Calendar!$B$2:$B$755,$A2915)&gt;0,1,0))</f>
        <v/>
      </c>
      <c r="P2915" s="16">
        <f t="shared" si="4"/>
        <v>0</v>
      </c>
    </row>
    <row r="2916" ht="15.75" customHeight="1">
      <c r="A2916" s="14">
        <v>40606.0</v>
      </c>
      <c r="B2916" s="15">
        <v>0.68</v>
      </c>
      <c r="C2916" s="15">
        <v>3.36</v>
      </c>
      <c r="D2916" s="15">
        <v>3.56</v>
      </c>
      <c r="E2916" s="15">
        <v>3.55</v>
      </c>
      <c r="F2916" s="15">
        <f t="shared" si="1"/>
        <v>2.68</v>
      </c>
      <c r="G2916" s="15">
        <f t="shared" si="2"/>
        <v>3.36</v>
      </c>
      <c r="H2916" s="16">
        <v>0.0</v>
      </c>
      <c r="I2916" s="15">
        <f t="shared" si="3"/>
        <v>2.68</v>
      </c>
      <c r="J2916" s="15">
        <v>19.06</v>
      </c>
      <c r="K2916" s="16">
        <f>IF(COUNTIFS(Release_Calendar!$A$2:$A$755,"US_CPI",Release_Calendar!$B$2:$B$755,$A2916)&gt;0,1,0)</f>
        <v>0</v>
      </c>
      <c r="L2916" s="16">
        <f>IF(COUNTIFS(Release_Calendar!$A$2:$A$755,"US_NFP",Release_Calendar!$B$2:$B$755,$A2916)&gt;0,1,0)</f>
        <v>1</v>
      </c>
      <c r="M2916" s="16" t="str">
        <f>IF($A2916&lt;Notes!$B$5,"",IF(COUNTIFS(Release_Calendar!$A$2:$A$755,"NZ_CPI",Release_Calendar!$B$2:$B$755,$A2916)&gt;0,1,0))</f>
        <v/>
      </c>
      <c r="N2916" s="16" t="str">
        <f>IF($A2916&lt;Notes!$B$5,"",IF(COUNTIFS(Release_Calendar!$A$2:$A$755,"NZ_GDP",Release_Calendar!$B$2:$B$755,$A2916)&gt;0,1,0))</f>
        <v/>
      </c>
      <c r="O2916" s="16" t="str">
        <f>IF($A2916&lt;Notes!$B$5,"",IF(COUNTIFS(Release_Calendar!$A$2:$A$755,"NZ_LABOUR",Release_Calendar!$B$2:$B$755,$A2916)&gt;0,1,0))</f>
        <v/>
      </c>
      <c r="P2916" s="16">
        <f t="shared" si="4"/>
        <v>1</v>
      </c>
    </row>
    <row r="2917" ht="15.75" customHeight="1">
      <c r="A2917" s="14">
        <v>40609.0</v>
      </c>
      <c r="B2917" s="15">
        <v>0.7</v>
      </c>
      <c r="C2917" s="15">
        <v>3.32</v>
      </c>
      <c r="D2917" s="15">
        <v>3.53</v>
      </c>
      <c r="E2917" s="15">
        <v>3.53</v>
      </c>
      <c r="F2917" s="15">
        <f t="shared" si="1"/>
        <v>2.62</v>
      </c>
      <c r="G2917" s="15">
        <f t="shared" si="2"/>
        <v>3.32</v>
      </c>
      <c r="H2917" s="16">
        <v>0.0</v>
      </c>
      <c r="I2917" s="15">
        <f t="shared" si="3"/>
        <v>2.62</v>
      </c>
      <c r="J2917" s="15">
        <v>20.66</v>
      </c>
      <c r="K2917" s="16">
        <f>IF(COUNTIFS(Release_Calendar!$A$2:$A$755,"US_CPI",Release_Calendar!$B$2:$B$755,$A2917)&gt;0,1,0)</f>
        <v>0</v>
      </c>
      <c r="L2917" s="16">
        <f>IF(COUNTIFS(Release_Calendar!$A$2:$A$755,"US_NFP",Release_Calendar!$B$2:$B$755,$A2917)&gt;0,1,0)</f>
        <v>0</v>
      </c>
      <c r="M2917" s="16" t="str">
        <f>IF($A2917&lt;Notes!$B$5,"",IF(COUNTIFS(Release_Calendar!$A$2:$A$755,"NZ_CPI",Release_Calendar!$B$2:$B$755,$A2917)&gt;0,1,0))</f>
        <v/>
      </c>
      <c r="N2917" s="16" t="str">
        <f>IF($A2917&lt;Notes!$B$5,"",IF(COUNTIFS(Release_Calendar!$A$2:$A$755,"NZ_GDP",Release_Calendar!$B$2:$B$755,$A2917)&gt;0,1,0))</f>
        <v/>
      </c>
      <c r="O2917" s="16" t="str">
        <f>IF($A2917&lt;Notes!$B$5,"",IF(COUNTIFS(Release_Calendar!$A$2:$A$755,"NZ_LABOUR",Release_Calendar!$B$2:$B$755,$A2917)&gt;0,1,0))</f>
        <v/>
      </c>
      <c r="P2917" s="16">
        <f t="shared" si="4"/>
        <v>0</v>
      </c>
    </row>
    <row r="2918" ht="15.75" customHeight="1">
      <c r="A2918" s="14">
        <v>40610.0</v>
      </c>
      <c r="B2918" s="15">
        <v>0.73</v>
      </c>
      <c r="C2918" s="15">
        <v>3.36</v>
      </c>
      <c r="D2918" s="15">
        <v>3.55</v>
      </c>
      <c r="E2918" s="15">
        <v>3.56</v>
      </c>
      <c r="F2918" s="15">
        <f t="shared" si="1"/>
        <v>2.63</v>
      </c>
      <c r="G2918" s="15">
        <f t="shared" si="2"/>
        <v>3.36</v>
      </c>
      <c r="H2918" s="16">
        <v>0.0</v>
      </c>
      <c r="I2918" s="15">
        <f t="shared" si="3"/>
        <v>2.63</v>
      </c>
      <c r="J2918" s="15">
        <v>19.82</v>
      </c>
      <c r="K2918" s="16">
        <f>IF(COUNTIFS(Release_Calendar!$A$2:$A$755,"US_CPI",Release_Calendar!$B$2:$B$755,$A2918)&gt;0,1,0)</f>
        <v>0</v>
      </c>
      <c r="L2918" s="16">
        <f>IF(COUNTIFS(Release_Calendar!$A$2:$A$755,"US_NFP",Release_Calendar!$B$2:$B$755,$A2918)&gt;0,1,0)</f>
        <v>0</v>
      </c>
      <c r="M2918" s="16" t="str">
        <f>IF($A2918&lt;Notes!$B$5,"",IF(COUNTIFS(Release_Calendar!$A$2:$A$755,"NZ_CPI",Release_Calendar!$B$2:$B$755,$A2918)&gt;0,1,0))</f>
        <v/>
      </c>
      <c r="N2918" s="16" t="str">
        <f>IF($A2918&lt;Notes!$B$5,"",IF(COUNTIFS(Release_Calendar!$A$2:$A$755,"NZ_GDP",Release_Calendar!$B$2:$B$755,$A2918)&gt;0,1,0))</f>
        <v/>
      </c>
      <c r="O2918" s="16" t="str">
        <f>IF($A2918&lt;Notes!$B$5,"",IF(COUNTIFS(Release_Calendar!$A$2:$A$755,"NZ_LABOUR",Release_Calendar!$B$2:$B$755,$A2918)&gt;0,1,0))</f>
        <v/>
      </c>
      <c r="P2918" s="16">
        <f t="shared" si="4"/>
        <v>0</v>
      </c>
    </row>
    <row r="2919" ht="15.75" customHeight="1">
      <c r="A2919" s="14">
        <v>40611.0</v>
      </c>
      <c r="B2919" s="15">
        <v>0.7</v>
      </c>
      <c r="C2919" s="15">
        <v>3.38</v>
      </c>
      <c r="D2919" s="15">
        <v>3.56</v>
      </c>
      <c r="E2919" s="15">
        <v>3.57</v>
      </c>
      <c r="F2919" s="15">
        <f t="shared" si="1"/>
        <v>2.68</v>
      </c>
      <c r="G2919" s="15">
        <f t="shared" si="2"/>
        <v>3.38</v>
      </c>
      <c r="H2919" s="16">
        <v>0.0</v>
      </c>
      <c r="I2919" s="15">
        <f t="shared" si="3"/>
        <v>2.68</v>
      </c>
      <c r="J2919" s="15">
        <v>20.22</v>
      </c>
      <c r="K2919" s="16">
        <f>IF(COUNTIFS(Release_Calendar!$A$2:$A$755,"US_CPI",Release_Calendar!$B$2:$B$755,$A2919)&gt;0,1,0)</f>
        <v>0</v>
      </c>
      <c r="L2919" s="16">
        <f>IF(COUNTIFS(Release_Calendar!$A$2:$A$755,"US_NFP",Release_Calendar!$B$2:$B$755,$A2919)&gt;0,1,0)</f>
        <v>0</v>
      </c>
      <c r="M2919" s="16" t="str">
        <f>IF($A2919&lt;Notes!$B$5,"",IF(COUNTIFS(Release_Calendar!$A$2:$A$755,"NZ_CPI",Release_Calendar!$B$2:$B$755,$A2919)&gt;0,1,0))</f>
        <v/>
      </c>
      <c r="N2919" s="16" t="str">
        <f>IF($A2919&lt;Notes!$B$5,"",IF(COUNTIFS(Release_Calendar!$A$2:$A$755,"NZ_GDP",Release_Calendar!$B$2:$B$755,$A2919)&gt;0,1,0))</f>
        <v/>
      </c>
      <c r="O2919" s="16" t="str">
        <f>IF($A2919&lt;Notes!$B$5,"",IF(COUNTIFS(Release_Calendar!$A$2:$A$755,"NZ_LABOUR",Release_Calendar!$B$2:$B$755,$A2919)&gt;0,1,0))</f>
        <v/>
      </c>
      <c r="P2919" s="16">
        <f t="shared" si="4"/>
        <v>0</v>
      </c>
    </row>
    <row r="2920" ht="15.75" customHeight="1">
      <c r="A2920" s="14">
        <v>40612.0</v>
      </c>
      <c r="B2920" s="15">
        <v>0.65</v>
      </c>
      <c r="C2920" s="15">
        <v>3.28</v>
      </c>
      <c r="D2920" s="15">
        <v>3.51</v>
      </c>
      <c r="E2920" s="15">
        <v>3.51</v>
      </c>
      <c r="F2920" s="15">
        <f t="shared" si="1"/>
        <v>2.63</v>
      </c>
      <c r="G2920" s="15">
        <f t="shared" si="2"/>
        <v>3.28</v>
      </c>
      <c r="H2920" s="16">
        <v>0.0</v>
      </c>
      <c r="I2920" s="15">
        <f t="shared" si="3"/>
        <v>2.63</v>
      </c>
      <c r="J2920" s="15">
        <v>21.88</v>
      </c>
      <c r="K2920" s="16">
        <f>IF(COUNTIFS(Release_Calendar!$A$2:$A$755,"US_CPI",Release_Calendar!$B$2:$B$755,$A2920)&gt;0,1,0)</f>
        <v>0</v>
      </c>
      <c r="L2920" s="16">
        <f>IF(COUNTIFS(Release_Calendar!$A$2:$A$755,"US_NFP",Release_Calendar!$B$2:$B$755,$A2920)&gt;0,1,0)</f>
        <v>0</v>
      </c>
      <c r="M2920" s="16" t="str">
        <f>IF($A2920&lt;Notes!$B$5,"",IF(COUNTIFS(Release_Calendar!$A$2:$A$755,"NZ_CPI",Release_Calendar!$B$2:$B$755,$A2920)&gt;0,1,0))</f>
        <v/>
      </c>
      <c r="N2920" s="16" t="str">
        <f>IF($A2920&lt;Notes!$B$5,"",IF(COUNTIFS(Release_Calendar!$A$2:$A$755,"NZ_GDP",Release_Calendar!$B$2:$B$755,$A2920)&gt;0,1,0))</f>
        <v/>
      </c>
      <c r="O2920" s="16" t="str">
        <f>IF($A2920&lt;Notes!$B$5,"",IF(COUNTIFS(Release_Calendar!$A$2:$A$755,"NZ_LABOUR",Release_Calendar!$B$2:$B$755,$A2920)&gt;0,1,0))</f>
        <v/>
      </c>
      <c r="P2920" s="16">
        <f t="shared" si="4"/>
        <v>0</v>
      </c>
    </row>
    <row r="2921" ht="15.75" customHeight="1">
      <c r="A2921" s="14">
        <v>40613.0</v>
      </c>
      <c r="B2921" s="15">
        <v>0.64</v>
      </c>
      <c r="C2921" s="15">
        <v>3.27</v>
      </c>
      <c r="D2921" s="15">
        <v>3.5</v>
      </c>
      <c r="E2921" s="15">
        <v>3.48</v>
      </c>
      <c r="F2921" s="15">
        <f t="shared" si="1"/>
        <v>2.63</v>
      </c>
      <c r="G2921" s="15">
        <f t="shared" si="2"/>
        <v>3.27</v>
      </c>
      <c r="H2921" s="16">
        <v>0.0</v>
      </c>
      <c r="I2921" s="15">
        <f t="shared" si="3"/>
        <v>2.63</v>
      </c>
      <c r="J2921" s="15">
        <v>20.08</v>
      </c>
      <c r="K2921" s="16">
        <f>IF(COUNTIFS(Release_Calendar!$A$2:$A$755,"US_CPI",Release_Calendar!$B$2:$B$755,$A2921)&gt;0,1,0)</f>
        <v>0</v>
      </c>
      <c r="L2921" s="16">
        <f>IF(COUNTIFS(Release_Calendar!$A$2:$A$755,"US_NFP",Release_Calendar!$B$2:$B$755,$A2921)&gt;0,1,0)</f>
        <v>0</v>
      </c>
      <c r="M2921" s="16" t="str">
        <f>IF($A2921&lt;Notes!$B$5,"",IF(COUNTIFS(Release_Calendar!$A$2:$A$755,"NZ_CPI",Release_Calendar!$B$2:$B$755,$A2921)&gt;0,1,0))</f>
        <v/>
      </c>
      <c r="N2921" s="16" t="str">
        <f>IF($A2921&lt;Notes!$B$5,"",IF(COUNTIFS(Release_Calendar!$A$2:$A$755,"NZ_GDP",Release_Calendar!$B$2:$B$755,$A2921)&gt;0,1,0))</f>
        <v/>
      </c>
      <c r="O2921" s="16" t="str">
        <f>IF($A2921&lt;Notes!$B$5,"",IF(COUNTIFS(Release_Calendar!$A$2:$A$755,"NZ_LABOUR",Release_Calendar!$B$2:$B$755,$A2921)&gt;0,1,0))</f>
        <v/>
      </c>
      <c r="P2921" s="16">
        <f t="shared" si="4"/>
        <v>0</v>
      </c>
    </row>
    <row r="2922" ht="15.75" customHeight="1">
      <c r="A2922" s="14">
        <v>40616.0</v>
      </c>
      <c r="B2922" s="15">
        <v>0.61</v>
      </c>
      <c r="C2922" s="15">
        <v>3.22</v>
      </c>
      <c r="D2922" s="15">
        <v>3.45</v>
      </c>
      <c r="E2922" s="15">
        <v>3.42</v>
      </c>
      <c r="F2922" s="15">
        <f t="shared" si="1"/>
        <v>2.61</v>
      </c>
      <c r="G2922" s="15">
        <f t="shared" si="2"/>
        <v>3.22</v>
      </c>
      <c r="H2922" s="16">
        <v>0.0</v>
      </c>
      <c r="I2922" s="15">
        <f t="shared" si="3"/>
        <v>2.61</v>
      </c>
      <c r="J2922" s="15">
        <v>21.13</v>
      </c>
      <c r="K2922" s="16">
        <f>IF(COUNTIFS(Release_Calendar!$A$2:$A$755,"US_CPI",Release_Calendar!$B$2:$B$755,$A2922)&gt;0,1,0)</f>
        <v>0</v>
      </c>
      <c r="L2922" s="16">
        <f>IF(COUNTIFS(Release_Calendar!$A$2:$A$755,"US_NFP",Release_Calendar!$B$2:$B$755,$A2922)&gt;0,1,0)</f>
        <v>0</v>
      </c>
      <c r="M2922" s="16" t="str">
        <f>IF($A2922&lt;Notes!$B$5,"",IF(COUNTIFS(Release_Calendar!$A$2:$A$755,"NZ_CPI",Release_Calendar!$B$2:$B$755,$A2922)&gt;0,1,0))</f>
        <v/>
      </c>
      <c r="N2922" s="16" t="str">
        <f>IF($A2922&lt;Notes!$B$5,"",IF(COUNTIFS(Release_Calendar!$A$2:$A$755,"NZ_GDP",Release_Calendar!$B$2:$B$755,$A2922)&gt;0,1,0))</f>
        <v/>
      </c>
      <c r="O2922" s="16" t="str">
        <f>IF($A2922&lt;Notes!$B$5,"",IF(COUNTIFS(Release_Calendar!$A$2:$A$755,"NZ_LABOUR",Release_Calendar!$B$2:$B$755,$A2922)&gt;0,1,0))</f>
        <v/>
      </c>
      <c r="P2922" s="16">
        <f t="shared" si="4"/>
        <v>0</v>
      </c>
    </row>
    <row r="2923" ht="15.75" customHeight="1">
      <c r="A2923" s="14">
        <v>40617.0</v>
      </c>
      <c r="B2923" s="15">
        <v>0.63</v>
      </c>
      <c r="C2923" s="15">
        <v>3.16</v>
      </c>
      <c r="D2923" s="15">
        <v>3.41</v>
      </c>
      <c r="E2923" s="15">
        <v>3.34</v>
      </c>
      <c r="F2923" s="15">
        <f t="shared" si="1"/>
        <v>2.53</v>
      </c>
      <c r="G2923" s="15">
        <f t="shared" si="2"/>
        <v>3.16</v>
      </c>
      <c r="H2923" s="16">
        <v>0.0</v>
      </c>
      <c r="I2923" s="15">
        <f t="shared" si="3"/>
        <v>2.53</v>
      </c>
      <c r="J2923" s="15">
        <v>24.32</v>
      </c>
      <c r="K2923" s="16">
        <f>IF(COUNTIFS(Release_Calendar!$A$2:$A$755,"US_CPI",Release_Calendar!$B$2:$B$755,$A2923)&gt;0,1,0)</f>
        <v>0</v>
      </c>
      <c r="L2923" s="16">
        <f>IF(COUNTIFS(Release_Calendar!$A$2:$A$755,"US_NFP",Release_Calendar!$B$2:$B$755,$A2923)&gt;0,1,0)</f>
        <v>0</v>
      </c>
      <c r="M2923" s="16" t="str">
        <f>IF($A2923&lt;Notes!$B$5,"",IF(COUNTIFS(Release_Calendar!$A$2:$A$755,"NZ_CPI",Release_Calendar!$B$2:$B$755,$A2923)&gt;0,1,0))</f>
        <v/>
      </c>
      <c r="N2923" s="16" t="str">
        <f>IF($A2923&lt;Notes!$B$5,"",IF(COUNTIFS(Release_Calendar!$A$2:$A$755,"NZ_GDP",Release_Calendar!$B$2:$B$755,$A2923)&gt;0,1,0))</f>
        <v/>
      </c>
      <c r="O2923" s="16" t="str">
        <f>IF($A2923&lt;Notes!$B$5,"",IF(COUNTIFS(Release_Calendar!$A$2:$A$755,"NZ_LABOUR",Release_Calendar!$B$2:$B$755,$A2923)&gt;0,1,0))</f>
        <v/>
      </c>
      <c r="P2923" s="16">
        <f t="shared" si="4"/>
        <v>0</v>
      </c>
    </row>
    <row r="2924" ht="15.75" customHeight="1">
      <c r="A2924" s="14">
        <v>40618.0</v>
      </c>
      <c r="B2924" s="15">
        <v>0.58</v>
      </c>
      <c r="C2924" s="15">
        <v>3.18</v>
      </c>
      <c r="D2924" s="15">
        <v>3.36</v>
      </c>
      <c r="E2924" s="15">
        <v>3.33</v>
      </c>
      <c r="F2924" s="15">
        <f t="shared" si="1"/>
        <v>2.6</v>
      </c>
      <c r="G2924" s="15">
        <f t="shared" si="2"/>
        <v>3.18</v>
      </c>
      <c r="H2924" s="16">
        <v>0.0</v>
      </c>
      <c r="I2924" s="15">
        <f t="shared" si="3"/>
        <v>2.6</v>
      </c>
      <c r="J2924" s="15">
        <v>29.4</v>
      </c>
      <c r="K2924" s="16">
        <f>IF(COUNTIFS(Release_Calendar!$A$2:$A$755,"US_CPI",Release_Calendar!$B$2:$B$755,$A2924)&gt;0,1,0)</f>
        <v>0</v>
      </c>
      <c r="L2924" s="16">
        <f>IF(COUNTIFS(Release_Calendar!$A$2:$A$755,"US_NFP",Release_Calendar!$B$2:$B$755,$A2924)&gt;0,1,0)</f>
        <v>0</v>
      </c>
      <c r="M2924" s="16" t="str">
        <f>IF($A2924&lt;Notes!$B$5,"",IF(COUNTIFS(Release_Calendar!$A$2:$A$755,"NZ_CPI",Release_Calendar!$B$2:$B$755,$A2924)&gt;0,1,0))</f>
        <v/>
      </c>
      <c r="N2924" s="16" t="str">
        <f>IF($A2924&lt;Notes!$B$5,"",IF(COUNTIFS(Release_Calendar!$A$2:$A$755,"NZ_GDP",Release_Calendar!$B$2:$B$755,$A2924)&gt;0,1,0))</f>
        <v/>
      </c>
      <c r="O2924" s="16" t="str">
        <f>IF($A2924&lt;Notes!$B$5,"",IF(COUNTIFS(Release_Calendar!$A$2:$A$755,"NZ_LABOUR",Release_Calendar!$B$2:$B$755,$A2924)&gt;0,1,0))</f>
        <v/>
      </c>
      <c r="P2924" s="16">
        <f t="shared" si="4"/>
        <v>0</v>
      </c>
    </row>
    <row r="2925" ht="15.75" customHeight="1">
      <c r="A2925" s="14">
        <v>40619.0</v>
      </c>
      <c r="B2925" s="15">
        <v>0.6</v>
      </c>
      <c r="C2925" s="15">
        <v>3.18</v>
      </c>
      <c r="D2925" s="15">
        <v>3.27</v>
      </c>
      <c r="E2925" s="15">
        <v>3.32</v>
      </c>
      <c r="F2925" s="15">
        <f t="shared" si="1"/>
        <v>2.58</v>
      </c>
      <c r="G2925" s="15">
        <f t="shared" si="2"/>
        <v>3.18</v>
      </c>
      <c r="H2925" s="16">
        <v>0.0</v>
      </c>
      <c r="I2925" s="15">
        <f t="shared" si="3"/>
        <v>2.58</v>
      </c>
      <c r="J2925" s="15">
        <v>26.37</v>
      </c>
      <c r="K2925" s="16">
        <f>IF(COUNTIFS(Release_Calendar!$A$2:$A$755,"US_CPI",Release_Calendar!$B$2:$B$755,$A2925)&gt;0,1,0)</f>
        <v>1</v>
      </c>
      <c r="L2925" s="16">
        <f>IF(COUNTIFS(Release_Calendar!$A$2:$A$755,"US_NFP",Release_Calendar!$B$2:$B$755,$A2925)&gt;0,1,0)</f>
        <v>0</v>
      </c>
      <c r="M2925" s="16" t="str">
        <f>IF($A2925&lt;Notes!$B$5,"",IF(COUNTIFS(Release_Calendar!$A$2:$A$755,"NZ_CPI",Release_Calendar!$B$2:$B$755,$A2925)&gt;0,1,0))</f>
        <v/>
      </c>
      <c r="N2925" s="16" t="str">
        <f>IF($A2925&lt;Notes!$B$5,"",IF(COUNTIFS(Release_Calendar!$A$2:$A$755,"NZ_GDP",Release_Calendar!$B$2:$B$755,$A2925)&gt;0,1,0))</f>
        <v/>
      </c>
      <c r="O2925" s="16" t="str">
        <f>IF($A2925&lt;Notes!$B$5,"",IF(COUNTIFS(Release_Calendar!$A$2:$A$755,"NZ_LABOUR",Release_Calendar!$B$2:$B$755,$A2925)&gt;0,1,0))</f>
        <v/>
      </c>
      <c r="P2925" s="16">
        <f t="shared" si="4"/>
        <v>1</v>
      </c>
    </row>
    <row r="2926" ht="15.75" customHeight="1">
      <c r="A2926" s="14">
        <v>40620.0</v>
      </c>
      <c r="B2926" s="15">
        <v>0.61</v>
      </c>
      <c r="C2926" s="15">
        <v>3.23</v>
      </c>
      <c r="D2926" s="15">
        <v>3.37</v>
      </c>
      <c r="E2926" s="15">
        <v>3.38</v>
      </c>
      <c r="F2926" s="15">
        <f t="shared" si="1"/>
        <v>2.62</v>
      </c>
      <c r="G2926" s="15">
        <f t="shared" si="2"/>
        <v>3.23</v>
      </c>
      <c r="H2926" s="16">
        <v>0.0</v>
      </c>
      <c r="I2926" s="15">
        <f t="shared" si="3"/>
        <v>2.62</v>
      </c>
      <c r="J2926" s="15">
        <v>24.44</v>
      </c>
      <c r="K2926" s="16">
        <f>IF(COUNTIFS(Release_Calendar!$A$2:$A$755,"US_CPI",Release_Calendar!$B$2:$B$755,$A2926)&gt;0,1,0)</f>
        <v>0</v>
      </c>
      <c r="L2926" s="16">
        <f>IF(COUNTIFS(Release_Calendar!$A$2:$A$755,"US_NFP",Release_Calendar!$B$2:$B$755,$A2926)&gt;0,1,0)</f>
        <v>0</v>
      </c>
      <c r="M2926" s="16" t="str">
        <f>IF($A2926&lt;Notes!$B$5,"",IF(COUNTIFS(Release_Calendar!$A$2:$A$755,"NZ_CPI",Release_Calendar!$B$2:$B$755,$A2926)&gt;0,1,0))</f>
        <v/>
      </c>
      <c r="N2926" s="16" t="str">
        <f>IF($A2926&lt;Notes!$B$5,"",IF(COUNTIFS(Release_Calendar!$A$2:$A$755,"NZ_GDP",Release_Calendar!$B$2:$B$755,$A2926)&gt;0,1,0))</f>
        <v/>
      </c>
      <c r="O2926" s="16" t="str">
        <f>IF($A2926&lt;Notes!$B$5,"",IF(COUNTIFS(Release_Calendar!$A$2:$A$755,"NZ_LABOUR",Release_Calendar!$B$2:$B$755,$A2926)&gt;0,1,0))</f>
        <v/>
      </c>
      <c r="P2926" s="16">
        <f t="shared" si="4"/>
        <v>0</v>
      </c>
    </row>
    <row r="2927" ht="15.75" customHeight="1">
      <c r="A2927" s="14">
        <v>40623.0</v>
      </c>
      <c r="B2927" s="15">
        <v>0.67</v>
      </c>
      <c r="C2927" s="15">
        <v>3.28</v>
      </c>
      <c r="D2927" s="15">
        <v>3.41</v>
      </c>
      <c r="E2927" s="15">
        <v>3.43</v>
      </c>
      <c r="F2927" s="15">
        <f t="shared" si="1"/>
        <v>2.61</v>
      </c>
      <c r="G2927" s="15">
        <f t="shared" si="2"/>
        <v>3.28</v>
      </c>
      <c r="H2927" s="16">
        <v>0.0</v>
      </c>
      <c r="I2927" s="15">
        <f t="shared" si="3"/>
        <v>2.61</v>
      </c>
      <c r="J2927" s="15">
        <v>20.61</v>
      </c>
      <c r="K2927" s="16">
        <f>IF(COUNTIFS(Release_Calendar!$A$2:$A$755,"US_CPI",Release_Calendar!$B$2:$B$755,$A2927)&gt;0,1,0)</f>
        <v>0</v>
      </c>
      <c r="L2927" s="16">
        <f>IF(COUNTIFS(Release_Calendar!$A$2:$A$755,"US_NFP",Release_Calendar!$B$2:$B$755,$A2927)&gt;0,1,0)</f>
        <v>0</v>
      </c>
      <c r="M2927" s="16" t="str">
        <f>IF($A2927&lt;Notes!$B$5,"",IF(COUNTIFS(Release_Calendar!$A$2:$A$755,"NZ_CPI",Release_Calendar!$B$2:$B$755,$A2927)&gt;0,1,0))</f>
        <v/>
      </c>
      <c r="N2927" s="16" t="str">
        <f>IF($A2927&lt;Notes!$B$5,"",IF(COUNTIFS(Release_Calendar!$A$2:$A$755,"NZ_GDP",Release_Calendar!$B$2:$B$755,$A2927)&gt;0,1,0))</f>
        <v/>
      </c>
      <c r="O2927" s="16" t="str">
        <f>IF($A2927&lt;Notes!$B$5,"",IF(COUNTIFS(Release_Calendar!$A$2:$A$755,"NZ_LABOUR",Release_Calendar!$B$2:$B$755,$A2927)&gt;0,1,0))</f>
        <v/>
      </c>
      <c r="P2927" s="16">
        <f t="shared" si="4"/>
        <v>0</v>
      </c>
    </row>
    <row r="2928" ht="15.75" customHeight="1">
      <c r="A2928" s="14">
        <v>40624.0</v>
      </c>
      <c r="B2928" s="15">
        <v>0.68</v>
      </c>
      <c r="C2928" s="15">
        <v>3.27</v>
      </c>
      <c r="D2928" s="15">
        <v>3.45</v>
      </c>
      <c r="E2928" s="15">
        <v>3.43</v>
      </c>
      <c r="F2928" s="15">
        <f t="shared" si="1"/>
        <v>2.59</v>
      </c>
      <c r="G2928" s="15">
        <f t="shared" si="2"/>
        <v>3.27</v>
      </c>
      <c r="H2928" s="16">
        <v>0.0</v>
      </c>
      <c r="I2928" s="15">
        <f t="shared" si="3"/>
        <v>2.59</v>
      </c>
      <c r="J2928" s="15">
        <v>20.21</v>
      </c>
      <c r="K2928" s="16">
        <f>IF(COUNTIFS(Release_Calendar!$A$2:$A$755,"US_CPI",Release_Calendar!$B$2:$B$755,$A2928)&gt;0,1,0)</f>
        <v>0</v>
      </c>
      <c r="L2928" s="16">
        <f>IF(COUNTIFS(Release_Calendar!$A$2:$A$755,"US_NFP",Release_Calendar!$B$2:$B$755,$A2928)&gt;0,1,0)</f>
        <v>0</v>
      </c>
      <c r="M2928" s="16" t="str">
        <f>IF($A2928&lt;Notes!$B$5,"",IF(COUNTIFS(Release_Calendar!$A$2:$A$755,"NZ_CPI",Release_Calendar!$B$2:$B$755,$A2928)&gt;0,1,0))</f>
        <v/>
      </c>
      <c r="N2928" s="16" t="str">
        <f>IF($A2928&lt;Notes!$B$5,"",IF(COUNTIFS(Release_Calendar!$A$2:$A$755,"NZ_GDP",Release_Calendar!$B$2:$B$755,$A2928)&gt;0,1,0))</f>
        <v/>
      </c>
      <c r="O2928" s="16" t="str">
        <f>IF($A2928&lt;Notes!$B$5,"",IF(COUNTIFS(Release_Calendar!$A$2:$A$755,"NZ_LABOUR",Release_Calendar!$B$2:$B$755,$A2928)&gt;0,1,0))</f>
        <v/>
      </c>
      <c r="P2928" s="16">
        <f t="shared" si="4"/>
        <v>0</v>
      </c>
    </row>
    <row r="2929" ht="15.75" customHeight="1">
      <c r="A2929" s="14">
        <v>40625.0</v>
      </c>
      <c r="B2929" s="15">
        <v>0.69</v>
      </c>
      <c r="C2929" s="15">
        <v>3.25</v>
      </c>
      <c r="D2929" s="15">
        <v>3.44</v>
      </c>
      <c r="E2929" s="15">
        <v>3.42</v>
      </c>
      <c r="F2929" s="15">
        <f t="shared" si="1"/>
        <v>2.56</v>
      </c>
      <c r="G2929" s="15">
        <f t="shared" si="2"/>
        <v>3.25</v>
      </c>
      <c r="H2929" s="16">
        <v>0.0</v>
      </c>
      <c r="I2929" s="15">
        <f t="shared" si="3"/>
        <v>2.56</v>
      </c>
      <c r="J2929" s="15">
        <v>19.17</v>
      </c>
      <c r="K2929" s="16">
        <f>IF(COUNTIFS(Release_Calendar!$A$2:$A$755,"US_CPI",Release_Calendar!$B$2:$B$755,$A2929)&gt;0,1,0)</f>
        <v>0</v>
      </c>
      <c r="L2929" s="16">
        <f>IF(COUNTIFS(Release_Calendar!$A$2:$A$755,"US_NFP",Release_Calendar!$B$2:$B$755,$A2929)&gt;0,1,0)</f>
        <v>0</v>
      </c>
      <c r="M2929" s="16" t="str">
        <f>IF($A2929&lt;Notes!$B$5,"",IF(COUNTIFS(Release_Calendar!$A$2:$A$755,"NZ_CPI",Release_Calendar!$B$2:$B$755,$A2929)&gt;0,1,0))</f>
        <v/>
      </c>
      <c r="N2929" s="16" t="str">
        <f>IF($A2929&lt;Notes!$B$5,"",IF(COUNTIFS(Release_Calendar!$A$2:$A$755,"NZ_GDP",Release_Calendar!$B$2:$B$755,$A2929)&gt;0,1,0))</f>
        <v/>
      </c>
      <c r="O2929" s="16" t="str">
        <f>IF($A2929&lt;Notes!$B$5,"",IF(COUNTIFS(Release_Calendar!$A$2:$A$755,"NZ_LABOUR",Release_Calendar!$B$2:$B$755,$A2929)&gt;0,1,0))</f>
        <v/>
      </c>
      <c r="P2929" s="16">
        <f t="shared" si="4"/>
        <v>0</v>
      </c>
    </row>
    <row r="2930" ht="15.75" customHeight="1">
      <c r="A2930" s="14">
        <v>40626.0</v>
      </c>
      <c r="B2930" s="15">
        <v>0.72</v>
      </c>
      <c r="C2930" s="15">
        <v>3.26</v>
      </c>
      <c r="D2930" s="15">
        <v>3.42</v>
      </c>
      <c r="E2930" s="15">
        <v>3.41</v>
      </c>
      <c r="F2930" s="15">
        <f t="shared" si="1"/>
        <v>2.54</v>
      </c>
      <c r="G2930" s="15">
        <f t="shared" si="2"/>
        <v>3.26</v>
      </c>
      <c r="H2930" s="16">
        <v>0.0</v>
      </c>
      <c r="I2930" s="15">
        <f t="shared" si="3"/>
        <v>2.54</v>
      </c>
      <c r="J2930" s="15">
        <v>18.0</v>
      </c>
      <c r="K2930" s="16">
        <f>IF(COUNTIFS(Release_Calendar!$A$2:$A$755,"US_CPI",Release_Calendar!$B$2:$B$755,$A2930)&gt;0,1,0)</f>
        <v>0</v>
      </c>
      <c r="L2930" s="16">
        <f>IF(COUNTIFS(Release_Calendar!$A$2:$A$755,"US_NFP",Release_Calendar!$B$2:$B$755,$A2930)&gt;0,1,0)</f>
        <v>0</v>
      </c>
      <c r="M2930" s="16" t="str">
        <f>IF($A2930&lt;Notes!$B$5,"",IF(COUNTIFS(Release_Calendar!$A$2:$A$755,"NZ_CPI",Release_Calendar!$B$2:$B$755,$A2930)&gt;0,1,0))</f>
        <v/>
      </c>
      <c r="N2930" s="16" t="str">
        <f>IF($A2930&lt;Notes!$B$5,"",IF(COUNTIFS(Release_Calendar!$A$2:$A$755,"NZ_GDP",Release_Calendar!$B$2:$B$755,$A2930)&gt;0,1,0))</f>
        <v/>
      </c>
      <c r="O2930" s="16" t="str">
        <f>IF($A2930&lt;Notes!$B$5,"",IF(COUNTIFS(Release_Calendar!$A$2:$A$755,"NZ_LABOUR",Release_Calendar!$B$2:$B$755,$A2930)&gt;0,1,0))</f>
        <v/>
      </c>
      <c r="P2930" s="16">
        <f t="shared" si="4"/>
        <v>0</v>
      </c>
    </row>
    <row r="2931" ht="15.75" customHeight="1">
      <c r="A2931" s="14">
        <v>40627.0</v>
      </c>
      <c r="B2931" s="15">
        <v>0.79</v>
      </c>
      <c r="C2931" s="15">
        <v>3.29</v>
      </c>
      <c r="D2931" s="15">
        <v>3.42</v>
      </c>
      <c r="E2931" s="15">
        <v>3.42</v>
      </c>
      <c r="F2931" s="15">
        <f t="shared" si="1"/>
        <v>2.5</v>
      </c>
      <c r="G2931" s="15">
        <f t="shared" si="2"/>
        <v>3.29</v>
      </c>
      <c r="H2931" s="16">
        <v>0.0</v>
      </c>
      <c r="I2931" s="15">
        <f t="shared" si="3"/>
        <v>2.5</v>
      </c>
      <c r="J2931" s="15">
        <v>17.91</v>
      </c>
      <c r="K2931" s="16">
        <f>IF(COUNTIFS(Release_Calendar!$A$2:$A$755,"US_CPI",Release_Calendar!$B$2:$B$755,$A2931)&gt;0,1,0)</f>
        <v>0</v>
      </c>
      <c r="L2931" s="16">
        <f>IF(COUNTIFS(Release_Calendar!$A$2:$A$755,"US_NFP",Release_Calendar!$B$2:$B$755,$A2931)&gt;0,1,0)</f>
        <v>0</v>
      </c>
      <c r="M2931" s="16" t="str">
        <f>IF($A2931&lt;Notes!$B$5,"",IF(COUNTIFS(Release_Calendar!$A$2:$A$755,"NZ_CPI",Release_Calendar!$B$2:$B$755,$A2931)&gt;0,1,0))</f>
        <v/>
      </c>
      <c r="N2931" s="16" t="str">
        <f>IF($A2931&lt;Notes!$B$5,"",IF(COUNTIFS(Release_Calendar!$A$2:$A$755,"NZ_GDP",Release_Calendar!$B$2:$B$755,$A2931)&gt;0,1,0))</f>
        <v/>
      </c>
      <c r="O2931" s="16" t="str">
        <f>IF($A2931&lt;Notes!$B$5,"",IF(COUNTIFS(Release_Calendar!$A$2:$A$755,"NZ_LABOUR",Release_Calendar!$B$2:$B$755,$A2931)&gt;0,1,0))</f>
        <v/>
      </c>
      <c r="P2931" s="16">
        <f t="shared" si="4"/>
        <v>0</v>
      </c>
    </row>
    <row r="2932" ht="15.75" customHeight="1">
      <c r="A2932" s="14">
        <v>40630.0</v>
      </c>
      <c r="B2932" s="15">
        <v>0.81</v>
      </c>
      <c r="C2932" s="15">
        <v>3.33</v>
      </c>
      <c r="D2932" s="15">
        <v>3.45</v>
      </c>
      <c r="E2932" s="15">
        <v>3.47</v>
      </c>
      <c r="F2932" s="15">
        <f t="shared" si="1"/>
        <v>2.52</v>
      </c>
      <c r="G2932" s="15">
        <f t="shared" si="2"/>
        <v>3.33</v>
      </c>
      <c r="H2932" s="16">
        <v>0.0</v>
      </c>
      <c r="I2932" s="15">
        <f t="shared" si="3"/>
        <v>2.52</v>
      </c>
      <c r="J2932" s="15">
        <v>19.44</v>
      </c>
      <c r="K2932" s="16">
        <f>IF(COUNTIFS(Release_Calendar!$A$2:$A$755,"US_CPI",Release_Calendar!$B$2:$B$755,$A2932)&gt;0,1,0)</f>
        <v>0</v>
      </c>
      <c r="L2932" s="16">
        <f>IF(COUNTIFS(Release_Calendar!$A$2:$A$755,"US_NFP",Release_Calendar!$B$2:$B$755,$A2932)&gt;0,1,0)</f>
        <v>0</v>
      </c>
      <c r="M2932" s="16" t="str">
        <f>IF($A2932&lt;Notes!$B$5,"",IF(COUNTIFS(Release_Calendar!$A$2:$A$755,"NZ_CPI",Release_Calendar!$B$2:$B$755,$A2932)&gt;0,1,0))</f>
        <v/>
      </c>
      <c r="N2932" s="16" t="str">
        <f>IF($A2932&lt;Notes!$B$5,"",IF(COUNTIFS(Release_Calendar!$A$2:$A$755,"NZ_GDP",Release_Calendar!$B$2:$B$755,$A2932)&gt;0,1,0))</f>
        <v/>
      </c>
      <c r="O2932" s="16" t="str">
        <f>IF($A2932&lt;Notes!$B$5,"",IF(COUNTIFS(Release_Calendar!$A$2:$A$755,"NZ_LABOUR",Release_Calendar!$B$2:$B$755,$A2932)&gt;0,1,0))</f>
        <v/>
      </c>
      <c r="P2932" s="16">
        <f t="shared" si="4"/>
        <v>0</v>
      </c>
    </row>
    <row r="2933" ht="15.75" customHeight="1">
      <c r="A2933" s="14">
        <v>40631.0</v>
      </c>
      <c r="B2933" s="15">
        <v>0.81</v>
      </c>
      <c r="C2933" s="15">
        <v>3.29</v>
      </c>
      <c r="D2933" s="15">
        <v>3.46</v>
      </c>
      <c r="E2933" s="15">
        <v>3.44</v>
      </c>
      <c r="F2933" s="15">
        <f t="shared" si="1"/>
        <v>2.48</v>
      </c>
      <c r="G2933" s="15">
        <f t="shared" si="2"/>
        <v>3.29</v>
      </c>
      <c r="H2933" s="16">
        <v>0.0</v>
      </c>
      <c r="I2933" s="15">
        <f t="shared" si="3"/>
        <v>2.48</v>
      </c>
      <c r="J2933" s="15">
        <v>18.16</v>
      </c>
      <c r="K2933" s="16">
        <f>IF(COUNTIFS(Release_Calendar!$A$2:$A$755,"US_CPI",Release_Calendar!$B$2:$B$755,$A2933)&gt;0,1,0)</f>
        <v>0</v>
      </c>
      <c r="L2933" s="16">
        <f>IF(COUNTIFS(Release_Calendar!$A$2:$A$755,"US_NFP",Release_Calendar!$B$2:$B$755,$A2933)&gt;0,1,0)</f>
        <v>0</v>
      </c>
      <c r="M2933" s="16" t="str">
        <f>IF($A2933&lt;Notes!$B$5,"",IF(COUNTIFS(Release_Calendar!$A$2:$A$755,"NZ_CPI",Release_Calendar!$B$2:$B$755,$A2933)&gt;0,1,0))</f>
        <v/>
      </c>
      <c r="N2933" s="16" t="str">
        <f>IF($A2933&lt;Notes!$B$5,"",IF(COUNTIFS(Release_Calendar!$A$2:$A$755,"NZ_GDP",Release_Calendar!$B$2:$B$755,$A2933)&gt;0,1,0))</f>
        <v/>
      </c>
      <c r="O2933" s="16" t="str">
        <f>IF($A2933&lt;Notes!$B$5,"",IF(COUNTIFS(Release_Calendar!$A$2:$A$755,"NZ_LABOUR",Release_Calendar!$B$2:$B$755,$A2933)&gt;0,1,0))</f>
        <v/>
      </c>
      <c r="P2933" s="16">
        <f t="shared" si="4"/>
        <v>0</v>
      </c>
    </row>
    <row r="2934" ht="15.75" customHeight="1">
      <c r="A2934" s="14">
        <v>40632.0</v>
      </c>
      <c r="B2934" s="15">
        <v>0.8</v>
      </c>
      <c r="C2934" s="15">
        <v>3.3</v>
      </c>
      <c r="D2934" s="15">
        <v>3.45</v>
      </c>
      <c r="E2934" s="15">
        <v>3.45</v>
      </c>
      <c r="F2934" s="15">
        <f t="shared" si="1"/>
        <v>2.5</v>
      </c>
      <c r="G2934" s="15">
        <f t="shared" si="2"/>
        <v>3.3</v>
      </c>
      <c r="H2934" s="16">
        <v>0.0</v>
      </c>
      <c r="I2934" s="15">
        <f t="shared" si="3"/>
        <v>2.5</v>
      </c>
      <c r="J2934" s="15">
        <v>17.71</v>
      </c>
      <c r="K2934" s="16">
        <f>IF(COUNTIFS(Release_Calendar!$A$2:$A$755,"US_CPI",Release_Calendar!$B$2:$B$755,$A2934)&gt;0,1,0)</f>
        <v>0</v>
      </c>
      <c r="L2934" s="16">
        <f>IF(COUNTIFS(Release_Calendar!$A$2:$A$755,"US_NFP",Release_Calendar!$B$2:$B$755,$A2934)&gt;0,1,0)</f>
        <v>0</v>
      </c>
      <c r="M2934" s="16" t="str">
        <f>IF($A2934&lt;Notes!$B$5,"",IF(COUNTIFS(Release_Calendar!$A$2:$A$755,"NZ_CPI",Release_Calendar!$B$2:$B$755,$A2934)&gt;0,1,0))</f>
        <v/>
      </c>
      <c r="N2934" s="16" t="str">
        <f>IF($A2934&lt;Notes!$B$5,"",IF(COUNTIFS(Release_Calendar!$A$2:$A$755,"NZ_GDP",Release_Calendar!$B$2:$B$755,$A2934)&gt;0,1,0))</f>
        <v/>
      </c>
      <c r="O2934" s="16" t="str">
        <f>IF($A2934&lt;Notes!$B$5,"",IF(COUNTIFS(Release_Calendar!$A$2:$A$755,"NZ_LABOUR",Release_Calendar!$B$2:$B$755,$A2934)&gt;0,1,0))</f>
        <v/>
      </c>
      <c r="P2934" s="16">
        <f t="shared" si="4"/>
        <v>0</v>
      </c>
    </row>
    <row r="2935" ht="15.75" customHeight="1">
      <c r="A2935" s="14">
        <v>40633.0</v>
      </c>
      <c r="B2935" s="15">
        <v>0.8</v>
      </c>
      <c r="C2935" s="15">
        <v>3.3</v>
      </c>
      <c r="D2935" s="15">
        <v>3.44</v>
      </c>
      <c r="E2935" s="15">
        <v>3.46</v>
      </c>
      <c r="F2935" s="15">
        <f t="shared" si="1"/>
        <v>2.5</v>
      </c>
      <c r="G2935" s="15">
        <f t="shared" si="2"/>
        <v>3.3</v>
      </c>
      <c r="H2935" s="16">
        <v>0.0</v>
      </c>
      <c r="I2935" s="15">
        <f t="shared" si="3"/>
        <v>2.5</v>
      </c>
      <c r="J2935" s="15">
        <v>17.74</v>
      </c>
      <c r="K2935" s="16">
        <f>IF(COUNTIFS(Release_Calendar!$A$2:$A$755,"US_CPI",Release_Calendar!$B$2:$B$755,$A2935)&gt;0,1,0)</f>
        <v>0</v>
      </c>
      <c r="L2935" s="16">
        <f>IF(COUNTIFS(Release_Calendar!$A$2:$A$755,"US_NFP",Release_Calendar!$B$2:$B$755,$A2935)&gt;0,1,0)</f>
        <v>0</v>
      </c>
      <c r="M2935" s="16" t="str">
        <f>IF($A2935&lt;Notes!$B$5,"",IF(COUNTIFS(Release_Calendar!$A$2:$A$755,"NZ_CPI",Release_Calendar!$B$2:$B$755,$A2935)&gt;0,1,0))</f>
        <v/>
      </c>
      <c r="N2935" s="16" t="str">
        <f>IF($A2935&lt;Notes!$B$5,"",IF(COUNTIFS(Release_Calendar!$A$2:$A$755,"NZ_GDP",Release_Calendar!$B$2:$B$755,$A2935)&gt;0,1,0))</f>
        <v/>
      </c>
      <c r="O2935" s="16" t="str">
        <f>IF($A2935&lt;Notes!$B$5,"",IF(COUNTIFS(Release_Calendar!$A$2:$A$755,"NZ_LABOUR",Release_Calendar!$B$2:$B$755,$A2935)&gt;0,1,0))</f>
        <v/>
      </c>
      <c r="P2935" s="16">
        <f t="shared" si="4"/>
        <v>0</v>
      </c>
    </row>
    <row r="2936" ht="15.75" customHeight="1">
      <c r="A2936" s="14">
        <v>40634.0</v>
      </c>
      <c r="B2936" s="15">
        <v>0.8</v>
      </c>
      <c r="C2936" s="15">
        <v>3.32</v>
      </c>
      <c r="D2936" s="15">
        <v>3.46</v>
      </c>
      <c r="E2936" s="15">
        <v>3.46</v>
      </c>
      <c r="F2936" s="15">
        <f t="shared" si="1"/>
        <v>2.52</v>
      </c>
      <c r="G2936" s="15">
        <f t="shared" si="2"/>
        <v>3.32</v>
      </c>
      <c r="H2936" s="16">
        <v>0.0</v>
      </c>
      <c r="I2936" s="15">
        <f t="shared" si="3"/>
        <v>2.52</v>
      </c>
      <c r="J2936" s="15">
        <v>17.4</v>
      </c>
      <c r="K2936" s="16">
        <f>IF(COUNTIFS(Release_Calendar!$A$2:$A$755,"US_CPI",Release_Calendar!$B$2:$B$755,$A2936)&gt;0,1,0)</f>
        <v>0</v>
      </c>
      <c r="L2936" s="16">
        <f>IF(COUNTIFS(Release_Calendar!$A$2:$A$755,"US_NFP",Release_Calendar!$B$2:$B$755,$A2936)&gt;0,1,0)</f>
        <v>1</v>
      </c>
      <c r="M2936" s="16" t="str">
        <f>IF($A2936&lt;Notes!$B$5,"",IF(COUNTIFS(Release_Calendar!$A$2:$A$755,"NZ_CPI",Release_Calendar!$B$2:$B$755,$A2936)&gt;0,1,0))</f>
        <v/>
      </c>
      <c r="N2936" s="16" t="str">
        <f>IF($A2936&lt;Notes!$B$5,"",IF(COUNTIFS(Release_Calendar!$A$2:$A$755,"NZ_GDP",Release_Calendar!$B$2:$B$755,$A2936)&gt;0,1,0))</f>
        <v/>
      </c>
      <c r="O2936" s="16" t="str">
        <f>IF($A2936&lt;Notes!$B$5,"",IF(COUNTIFS(Release_Calendar!$A$2:$A$755,"NZ_LABOUR",Release_Calendar!$B$2:$B$755,$A2936)&gt;0,1,0))</f>
        <v/>
      </c>
      <c r="P2936" s="16">
        <f t="shared" si="4"/>
        <v>1</v>
      </c>
    </row>
    <row r="2937" ht="15.75" customHeight="1">
      <c r="A2937" s="14">
        <v>40637.0</v>
      </c>
      <c r="B2937" s="15">
        <v>0.77</v>
      </c>
      <c r="C2937" s="15">
        <v>3.3</v>
      </c>
      <c r="D2937" s="15">
        <v>3.45</v>
      </c>
      <c r="E2937" s="15">
        <v>3.43</v>
      </c>
      <c r="F2937" s="15">
        <f t="shared" si="1"/>
        <v>2.53</v>
      </c>
      <c r="G2937" s="15">
        <f t="shared" si="2"/>
        <v>3.3</v>
      </c>
      <c r="H2937" s="16">
        <v>0.0</v>
      </c>
      <c r="I2937" s="15">
        <f t="shared" si="3"/>
        <v>2.53</v>
      </c>
      <c r="J2937" s="15">
        <v>17.5</v>
      </c>
      <c r="K2937" s="16">
        <f>IF(COUNTIFS(Release_Calendar!$A$2:$A$755,"US_CPI",Release_Calendar!$B$2:$B$755,$A2937)&gt;0,1,0)</f>
        <v>0</v>
      </c>
      <c r="L2937" s="16">
        <f>IF(COUNTIFS(Release_Calendar!$A$2:$A$755,"US_NFP",Release_Calendar!$B$2:$B$755,$A2937)&gt;0,1,0)</f>
        <v>0</v>
      </c>
      <c r="M2937" s="16" t="str">
        <f>IF($A2937&lt;Notes!$B$5,"",IF(COUNTIFS(Release_Calendar!$A$2:$A$755,"NZ_CPI",Release_Calendar!$B$2:$B$755,$A2937)&gt;0,1,0))</f>
        <v/>
      </c>
      <c r="N2937" s="16" t="str">
        <f>IF($A2937&lt;Notes!$B$5,"",IF(COUNTIFS(Release_Calendar!$A$2:$A$755,"NZ_GDP",Release_Calendar!$B$2:$B$755,$A2937)&gt;0,1,0))</f>
        <v/>
      </c>
      <c r="O2937" s="16" t="str">
        <f>IF($A2937&lt;Notes!$B$5,"",IF(COUNTIFS(Release_Calendar!$A$2:$A$755,"NZ_LABOUR",Release_Calendar!$B$2:$B$755,$A2937)&gt;0,1,0))</f>
        <v/>
      </c>
      <c r="P2937" s="16">
        <f t="shared" si="4"/>
        <v>0</v>
      </c>
    </row>
    <row r="2938" ht="15.75" customHeight="1">
      <c r="A2938" s="14">
        <v>40638.0</v>
      </c>
      <c r="B2938" s="15">
        <v>0.84</v>
      </c>
      <c r="C2938" s="15">
        <v>3.29</v>
      </c>
      <c r="D2938" s="15">
        <v>3.43</v>
      </c>
      <c r="E2938" s="15">
        <v>3.43</v>
      </c>
      <c r="F2938" s="15">
        <f t="shared" si="1"/>
        <v>2.45</v>
      </c>
      <c r="G2938" s="15">
        <f t="shared" si="2"/>
        <v>3.29</v>
      </c>
      <c r="H2938" s="16">
        <v>0.0</v>
      </c>
      <c r="I2938" s="15">
        <f t="shared" si="3"/>
        <v>2.45</v>
      </c>
      <c r="J2938" s="15">
        <v>17.25</v>
      </c>
      <c r="K2938" s="16">
        <f>IF(COUNTIFS(Release_Calendar!$A$2:$A$755,"US_CPI",Release_Calendar!$B$2:$B$755,$A2938)&gt;0,1,0)</f>
        <v>0</v>
      </c>
      <c r="L2938" s="16">
        <f>IF(COUNTIFS(Release_Calendar!$A$2:$A$755,"US_NFP",Release_Calendar!$B$2:$B$755,$A2938)&gt;0,1,0)</f>
        <v>0</v>
      </c>
      <c r="M2938" s="16" t="str">
        <f>IF($A2938&lt;Notes!$B$5,"",IF(COUNTIFS(Release_Calendar!$A$2:$A$755,"NZ_CPI",Release_Calendar!$B$2:$B$755,$A2938)&gt;0,1,0))</f>
        <v/>
      </c>
      <c r="N2938" s="16" t="str">
        <f>IF($A2938&lt;Notes!$B$5,"",IF(COUNTIFS(Release_Calendar!$A$2:$A$755,"NZ_GDP",Release_Calendar!$B$2:$B$755,$A2938)&gt;0,1,0))</f>
        <v/>
      </c>
      <c r="O2938" s="16" t="str">
        <f>IF($A2938&lt;Notes!$B$5,"",IF(COUNTIFS(Release_Calendar!$A$2:$A$755,"NZ_LABOUR",Release_Calendar!$B$2:$B$755,$A2938)&gt;0,1,0))</f>
        <v/>
      </c>
      <c r="P2938" s="16">
        <f t="shared" si="4"/>
        <v>0</v>
      </c>
    </row>
    <row r="2939" ht="15.75" customHeight="1">
      <c r="A2939" s="14">
        <v>40639.0</v>
      </c>
      <c r="B2939" s="15">
        <v>0.85</v>
      </c>
      <c r="C2939" s="15">
        <v>3.31</v>
      </c>
      <c r="D2939" s="15">
        <v>3.45</v>
      </c>
      <c r="E2939" s="15">
        <v>3.45</v>
      </c>
      <c r="F2939" s="15">
        <f t="shared" si="1"/>
        <v>2.46</v>
      </c>
      <c r="G2939" s="15">
        <f t="shared" si="2"/>
        <v>3.31</v>
      </c>
      <c r="H2939" s="16">
        <v>0.0</v>
      </c>
      <c r="I2939" s="15">
        <f t="shared" si="3"/>
        <v>2.46</v>
      </c>
      <c r="J2939" s="15">
        <v>16.9</v>
      </c>
      <c r="K2939" s="16">
        <f>IF(COUNTIFS(Release_Calendar!$A$2:$A$755,"US_CPI",Release_Calendar!$B$2:$B$755,$A2939)&gt;0,1,0)</f>
        <v>0</v>
      </c>
      <c r="L2939" s="16">
        <f>IF(COUNTIFS(Release_Calendar!$A$2:$A$755,"US_NFP",Release_Calendar!$B$2:$B$755,$A2939)&gt;0,1,0)</f>
        <v>0</v>
      </c>
      <c r="M2939" s="16" t="str">
        <f>IF($A2939&lt;Notes!$B$5,"",IF(COUNTIFS(Release_Calendar!$A$2:$A$755,"NZ_CPI",Release_Calendar!$B$2:$B$755,$A2939)&gt;0,1,0))</f>
        <v/>
      </c>
      <c r="N2939" s="16" t="str">
        <f>IF($A2939&lt;Notes!$B$5,"",IF(COUNTIFS(Release_Calendar!$A$2:$A$755,"NZ_GDP",Release_Calendar!$B$2:$B$755,$A2939)&gt;0,1,0))</f>
        <v/>
      </c>
      <c r="O2939" s="16" t="str">
        <f>IF($A2939&lt;Notes!$B$5,"",IF(COUNTIFS(Release_Calendar!$A$2:$A$755,"NZ_LABOUR",Release_Calendar!$B$2:$B$755,$A2939)&gt;0,1,0))</f>
        <v/>
      </c>
      <c r="P2939" s="16">
        <f t="shared" si="4"/>
        <v>0</v>
      </c>
    </row>
    <row r="2940" ht="15.75" customHeight="1">
      <c r="A2940" s="14">
        <v>40640.0</v>
      </c>
      <c r="B2940" s="15">
        <v>0.81</v>
      </c>
      <c r="C2940" s="15">
        <v>3.33</v>
      </c>
      <c r="D2940" s="15">
        <v>3.49</v>
      </c>
      <c r="E2940" s="15">
        <v>3.48</v>
      </c>
      <c r="F2940" s="15">
        <f t="shared" si="1"/>
        <v>2.52</v>
      </c>
      <c r="G2940" s="15">
        <f t="shared" si="2"/>
        <v>3.33</v>
      </c>
      <c r="H2940" s="16">
        <v>0.0</v>
      </c>
      <c r="I2940" s="15">
        <f t="shared" si="3"/>
        <v>2.52</v>
      </c>
      <c r="J2940" s="15">
        <v>17.11</v>
      </c>
      <c r="K2940" s="16">
        <f>IF(COUNTIFS(Release_Calendar!$A$2:$A$755,"US_CPI",Release_Calendar!$B$2:$B$755,$A2940)&gt;0,1,0)</f>
        <v>0</v>
      </c>
      <c r="L2940" s="16">
        <f>IF(COUNTIFS(Release_Calendar!$A$2:$A$755,"US_NFP",Release_Calendar!$B$2:$B$755,$A2940)&gt;0,1,0)</f>
        <v>0</v>
      </c>
      <c r="M2940" s="16" t="str">
        <f>IF($A2940&lt;Notes!$B$5,"",IF(COUNTIFS(Release_Calendar!$A$2:$A$755,"NZ_CPI",Release_Calendar!$B$2:$B$755,$A2940)&gt;0,1,0))</f>
        <v/>
      </c>
      <c r="N2940" s="16" t="str">
        <f>IF($A2940&lt;Notes!$B$5,"",IF(COUNTIFS(Release_Calendar!$A$2:$A$755,"NZ_GDP",Release_Calendar!$B$2:$B$755,$A2940)&gt;0,1,0))</f>
        <v/>
      </c>
      <c r="O2940" s="16" t="str">
        <f>IF($A2940&lt;Notes!$B$5,"",IF(COUNTIFS(Release_Calendar!$A$2:$A$755,"NZ_LABOUR",Release_Calendar!$B$2:$B$755,$A2940)&gt;0,1,0))</f>
        <v/>
      </c>
      <c r="P2940" s="16">
        <f t="shared" si="4"/>
        <v>0</v>
      </c>
    </row>
    <row r="2941" ht="15.75" customHeight="1">
      <c r="A2941" s="14">
        <v>40641.0</v>
      </c>
      <c r="B2941" s="15">
        <v>0.83</v>
      </c>
      <c r="C2941" s="15">
        <v>3.32</v>
      </c>
      <c r="D2941" s="15">
        <v>3.46</v>
      </c>
      <c r="E2941" s="15">
        <v>3.47</v>
      </c>
      <c r="F2941" s="15">
        <f t="shared" si="1"/>
        <v>2.49</v>
      </c>
      <c r="G2941" s="15">
        <f t="shared" si="2"/>
        <v>3.32</v>
      </c>
      <c r="H2941" s="16">
        <v>0.0</v>
      </c>
      <c r="I2941" s="15">
        <f t="shared" si="3"/>
        <v>2.49</v>
      </c>
      <c r="J2941" s="15">
        <v>17.87</v>
      </c>
      <c r="K2941" s="16">
        <f>IF(COUNTIFS(Release_Calendar!$A$2:$A$755,"US_CPI",Release_Calendar!$B$2:$B$755,$A2941)&gt;0,1,0)</f>
        <v>0</v>
      </c>
      <c r="L2941" s="16">
        <f>IF(COUNTIFS(Release_Calendar!$A$2:$A$755,"US_NFP",Release_Calendar!$B$2:$B$755,$A2941)&gt;0,1,0)</f>
        <v>0</v>
      </c>
      <c r="M2941" s="16" t="str">
        <f>IF($A2941&lt;Notes!$B$5,"",IF(COUNTIFS(Release_Calendar!$A$2:$A$755,"NZ_CPI",Release_Calendar!$B$2:$B$755,$A2941)&gt;0,1,0))</f>
        <v/>
      </c>
      <c r="N2941" s="16" t="str">
        <f>IF($A2941&lt;Notes!$B$5,"",IF(COUNTIFS(Release_Calendar!$A$2:$A$755,"NZ_GDP",Release_Calendar!$B$2:$B$755,$A2941)&gt;0,1,0))</f>
        <v/>
      </c>
      <c r="O2941" s="16" t="str">
        <f>IF($A2941&lt;Notes!$B$5,"",IF(COUNTIFS(Release_Calendar!$A$2:$A$755,"NZ_LABOUR",Release_Calendar!$B$2:$B$755,$A2941)&gt;0,1,0))</f>
        <v/>
      </c>
      <c r="P2941" s="16">
        <f t="shared" si="4"/>
        <v>0</v>
      </c>
    </row>
    <row r="2942" ht="15.75" customHeight="1">
      <c r="A2942" s="14">
        <v>40644.0</v>
      </c>
      <c r="B2942" s="15">
        <v>0.85</v>
      </c>
      <c r="C2942" s="15">
        <v>3.35</v>
      </c>
      <c r="D2942" s="15">
        <v>3.47</v>
      </c>
      <c r="E2942" s="15">
        <v>3.5</v>
      </c>
      <c r="F2942" s="15">
        <f t="shared" si="1"/>
        <v>2.5</v>
      </c>
      <c r="G2942" s="15">
        <f t="shared" si="2"/>
        <v>3.35</v>
      </c>
      <c r="H2942" s="16">
        <v>0.0</v>
      </c>
      <c r="I2942" s="15">
        <f t="shared" si="3"/>
        <v>2.5</v>
      </c>
      <c r="J2942" s="15">
        <v>16.59</v>
      </c>
      <c r="K2942" s="16">
        <f>IF(COUNTIFS(Release_Calendar!$A$2:$A$755,"US_CPI",Release_Calendar!$B$2:$B$755,$A2942)&gt;0,1,0)</f>
        <v>0</v>
      </c>
      <c r="L2942" s="16">
        <f>IF(COUNTIFS(Release_Calendar!$A$2:$A$755,"US_NFP",Release_Calendar!$B$2:$B$755,$A2942)&gt;0,1,0)</f>
        <v>0</v>
      </c>
      <c r="M2942" s="16" t="str">
        <f>IF($A2942&lt;Notes!$B$5,"",IF(COUNTIFS(Release_Calendar!$A$2:$A$755,"NZ_CPI",Release_Calendar!$B$2:$B$755,$A2942)&gt;0,1,0))</f>
        <v/>
      </c>
      <c r="N2942" s="16" t="str">
        <f>IF($A2942&lt;Notes!$B$5,"",IF(COUNTIFS(Release_Calendar!$A$2:$A$755,"NZ_GDP",Release_Calendar!$B$2:$B$755,$A2942)&gt;0,1,0))</f>
        <v/>
      </c>
      <c r="O2942" s="16" t="str">
        <f>IF($A2942&lt;Notes!$B$5,"",IF(COUNTIFS(Release_Calendar!$A$2:$A$755,"NZ_LABOUR",Release_Calendar!$B$2:$B$755,$A2942)&gt;0,1,0))</f>
        <v/>
      </c>
      <c r="P2942" s="16">
        <f t="shared" si="4"/>
        <v>0</v>
      </c>
    </row>
    <row r="2943" ht="15.75" customHeight="1">
      <c r="A2943" s="14">
        <v>40645.0</v>
      </c>
      <c r="B2943" s="15">
        <v>0.77</v>
      </c>
      <c r="C2943" s="15">
        <v>3.4</v>
      </c>
      <c r="D2943" s="15">
        <v>3.56</v>
      </c>
      <c r="E2943" s="15">
        <v>3.54</v>
      </c>
      <c r="F2943" s="15">
        <f t="shared" si="1"/>
        <v>2.63</v>
      </c>
      <c r="G2943" s="15">
        <f t="shared" si="2"/>
        <v>3.4</v>
      </c>
      <c r="H2943" s="16">
        <v>0.0</v>
      </c>
      <c r="I2943" s="15">
        <f t="shared" si="3"/>
        <v>2.63</v>
      </c>
      <c r="J2943" s="15">
        <v>17.09</v>
      </c>
      <c r="K2943" s="16">
        <f>IF(COUNTIFS(Release_Calendar!$A$2:$A$755,"US_CPI",Release_Calendar!$B$2:$B$755,$A2943)&gt;0,1,0)</f>
        <v>0</v>
      </c>
      <c r="L2943" s="16">
        <f>IF(COUNTIFS(Release_Calendar!$A$2:$A$755,"US_NFP",Release_Calendar!$B$2:$B$755,$A2943)&gt;0,1,0)</f>
        <v>0</v>
      </c>
      <c r="M2943" s="16" t="str">
        <f>IF($A2943&lt;Notes!$B$5,"",IF(COUNTIFS(Release_Calendar!$A$2:$A$755,"NZ_CPI",Release_Calendar!$B$2:$B$755,$A2943)&gt;0,1,0))</f>
        <v/>
      </c>
      <c r="N2943" s="16" t="str">
        <f>IF($A2943&lt;Notes!$B$5,"",IF(COUNTIFS(Release_Calendar!$A$2:$A$755,"NZ_GDP",Release_Calendar!$B$2:$B$755,$A2943)&gt;0,1,0))</f>
        <v/>
      </c>
      <c r="O2943" s="16" t="str">
        <f>IF($A2943&lt;Notes!$B$5,"",IF(COUNTIFS(Release_Calendar!$A$2:$A$755,"NZ_LABOUR",Release_Calendar!$B$2:$B$755,$A2943)&gt;0,1,0))</f>
        <v/>
      </c>
      <c r="P2943" s="16">
        <f t="shared" si="4"/>
        <v>0</v>
      </c>
    </row>
    <row r="2944" ht="15.75" customHeight="1">
      <c r="A2944" s="14">
        <v>40646.0</v>
      </c>
      <c r="B2944" s="15">
        <v>0.75</v>
      </c>
      <c r="C2944" s="15">
        <v>3.45</v>
      </c>
      <c r="D2944" s="15">
        <v>3.54</v>
      </c>
      <c r="E2944" s="15">
        <v>3.6</v>
      </c>
      <c r="F2944" s="15">
        <f t="shared" si="1"/>
        <v>2.7</v>
      </c>
      <c r="G2944" s="15">
        <f t="shared" si="2"/>
        <v>3.45</v>
      </c>
      <c r="H2944" s="16">
        <v>0.0</v>
      </c>
      <c r="I2944" s="15">
        <f t="shared" si="3"/>
        <v>2.7</v>
      </c>
      <c r="J2944" s="15">
        <v>16.92</v>
      </c>
      <c r="K2944" s="16">
        <f>IF(COUNTIFS(Release_Calendar!$A$2:$A$755,"US_CPI",Release_Calendar!$B$2:$B$755,$A2944)&gt;0,1,0)</f>
        <v>0</v>
      </c>
      <c r="L2944" s="16">
        <f>IF(COUNTIFS(Release_Calendar!$A$2:$A$755,"US_NFP",Release_Calendar!$B$2:$B$755,$A2944)&gt;0,1,0)</f>
        <v>0</v>
      </c>
      <c r="M2944" s="16" t="str">
        <f>IF($A2944&lt;Notes!$B$5,"",IF(COUNTIFS(Release_Calendar!$A$2:$A$755,"NZ_CPI",Release_Calendar!$B$2:$B$755,$A2944)&gt;0,1,0))</f>
        <v/>
      </c>
      <c r="N2944" s="16" t="str">
        <f>IF($A2944&lt;Notes!$B$5,"",IF(COUNTIFS(Release_Calendar!$A$2:$A$755,"NZ_GDP",Release_Calendar!$B$2:$B$755,$A2944)&gt;0,1,0))</f>
        <v/>
      </c>
      <c r="O2944" s="16" t="str">
        <f>IF($A2944&lt;Notes!$B$5,"",IF(COUNTIFS(Release_Calendar!$A$2:$A$755,"NZ_LABOUR",Release_Calendar!$B$2:$B$755,$A2944)&gt;0,1,0))</f>
        <v/>
      </c>
      <c r="P2944" s="16">
        <f t="shared" si="4"/>
        <v>0</v>
      </c>
    </row>
    <row r="2945" ht="15.75" customHeight="1">
      <c r="A2945" s="14">
        <v>40647.0</v>
      </c>
      <c r="B2945" s="15">
        <v>0.77</v>
      </c>
      <c r="C2945" s="15">
        <v>3.44</v>
      </c>
      <c r="D2945" s="15">
        <v>3.6</v>
      </c>
      <c r="E2945" s="15">
        <v>3.57</v>
      </c>
      <c r="F2945" s="15">
        <f t="shared" si="1"/>
        <v>2.67</v>
      </c>
      <c r="G2945" s="15">
        <f t="shared" si="2"/>
        <v>3.44</v>
      </c>
      <c r="H2945" s="16">
        <v>0.0</v>
      </c>
      <c r="I2945" s="15">
        <f t="shared" si="3"/>
        <v>2.67</v>
      </c>
      <c r="J2945" s="15">
        <v>16.27</v>
      </c>
      <c r="K2945" s="16">
        <f>IF(COUNTIFS(Release_Calendar!$A$2:$A$755,"US_CPI",Release_Calendar!$B$2:$B$755,$A2945)&gt;0,1,0)</f>
        <v>0</v>
      </c>
      <c r="L2945" s="16">
        <f>IF(COUNTIFS(Release_Calendar!$A$2:$A$755,"US_NFP",Release_Calendar!$B$2:$B$755,$A2945)&gt;0,1,0)</f>
        <v>0</v>
      </c>
      <c r="M2945" s="16" t="str">
        <f>IF($A2945&lt;Notes!$B$5,"",IF(COUNTIFS(Release_Calendar!$A$2:$A$755,"NZ_CPI",Release_Calendar!$B$2:$B$755,$A2945)&gt;0,1,0))</f>
        <v/>
      </c>
      <c r="N2945" s="16" t="str">
        <f>IF($A2945&lt;Notes!$B$5,"",IF(COUNTIFS(Release_Calendar!$A$2:$A$755,"NZ_GDP",Release_Calendar!$B$2:$B$755,$A2945)&gt;0,1,0))</f>
        <v/>
      </c>
      <c r="O2945" s="16" t="str">
        <f>IF($A2945&lt;Notes!$B$5,"",IF(COUNTIFS(Release_Calendar!$A$2:$A$755,"NZ_LABOUR",Release_Calendar!$B$2:$B$755,$A2945)&gt;0,1,0))</f>
        <v/>
      </c>
      <c r="P2945" s="16">
        <f t="shared" si="4"/>
        <v>0</v>
      </c>
    </row>
    <row r="2946" ht="15.75" customHeight="1">
      <c r="A2946" s="14">
        <v>40648.0</v>
      </c>
      <c r="B2946" s="15">
        <v>0.71</v>
      </c>
      <c r="C2946" s="15">
        <v>3.46</v>
      </c>
      <c r="D2946" s="15">
        <v>3.62</v>
      </c>
      <c r="E2946" s="15">
        <v>3.57</v>
      </c>
      <c r="F2946" s="15">
        <f t="shared" si="1"/>
        <v>2.75</v>
      </c>
      <c r="G2946" s="15">
        <f t="shared" si="2"/>
        <v>3.46</v>
      </c>
      <c r="H2946" s="16">
        <v>0.0</v>
      </c>
      <c r="I2946" s="15">
        <f t="shared" si="3"/>
        <v>2.75</v>
      </c>
      <c r="J2946" s="15">
        <v>15.32</v>
      </c>
      <c r="K2946" s="16">
        <f>IF(COUNTIFS(Release_Calendar!$A$2:$A$755,"US_CPI",Release_Calendar!$B$2:$B$755,$A2946)&gt;0,1,0)</f>
        <v>1</v>
      </c>
      <c r="L2946" s="16">
        <f>IF(COUNTIFS(Release_Calendar!$A$2:$A$755,"US_NFP",Release_Calendar!$B$2:$B$755,$A2946)&gt;0,1,0)</f>
        <v>0</v>
      </c>
      <c r="M2946" s="16" t="str">
        <f>IF($A2946&lt;Notes!$B$5,"",IF(COUNTIFS(Release_Calendar!$A$2:$A$755,"NZ_CPI",Release_Calendar!$B$2:$B$755,$A2946)&gt;0,1,0))</f>
        <v/>
      </c>
      <c r="N2946" s="16" t="str">
        <f>IF($A2946&lt;Notes!$B$5,"",IF(COUNTIFS(Release_Calendar!$A$2:$A$755,"NZ_GDP",Release_Calendar!$B$2:$B$755,$A2946)&gt;0,1,0))</f>
        <v/>
      </c>
      <c r="O2946" s="16" t="str">
        <f>IF($A2946&lt;Notes!$B$5,"",IF(COUNTIFS(Release_Calendar!$A$2:$A$755,"NZ_LABOUR",Release_Calendar!$B$2:$B$755,$A2946)&gt;0,1,0))</f>
        <v/>
      </c>
      <c r="P2946" s="16">
        <f t="shared" si="4"/>
        <v>1</v>
      </c>
    </row>
    <row r="2947" ht="15.75" customHeight="1">
      <c r="A2947" s="14">
        <v>40651.0</v>
      </c>
      <c r="B2947" s="15">
        <v>0.69</v>
      </c>
      <c r="C2947" s="15">
        <v>3.39</v>
      </c>
      <c r="D2947" s="15">
        <v>3.54</v>
      </c>
      <c r="E2947" s="15">
        <v>3.51</v>
      </c>
      <c r="F2947" s="15">
        <f t="shared" si="1"/>
        <v>2.7</v>
      </c>
      <c r="G2947" s="15">
        <f t="shared" si="2"/>
        <v>3.39</v>
      </c>
      <c r="H2947" s="16">
        <v>0.0</v>
      </c>
      <c r="I2947" s="15">
        <f t="shared" si="3"/>
        <v>2.7</v>
      </c>
      <c r="J2947" s="15">
        <v>16.96</v>
      </c>
      <c r="K2947" s="16">
        <f>IF(COUNTIFS(Release_Calendar!$A$2:$A$755,"US_CPI",Release_Calendar!$B$2:$B$755,$A2947)&gt;0,1,0)</f>
        <v>0</v>
      </c>
      <c r="L2947" s="16">
        <f>IF(COUNTIFS(Release_Calendar!$A$2:$A$755,"US_NFP",Release_Calendar!$B$2:$B$755,$A2947)&gt;0,1,0)</f>
        <v>0</v>
      </c>
      <c r="M2947" s="16" t="str">
        <f>IF($A2947&lt;Notes!$B$5,"",IF(COUNTIFS(Release_Calendar!$A$2:$A$755,"NZ_CPI",Release_Calendar!$B$2:$B$755,$A2947)&gt;0,1,0))</f>
        <v/>
      </c>
      <c r="N2947" s="16" t="str">
        <f>IF($A2947&lt;Notes!$B$5,"",IF(COUNTIFS(Release_Calendar!$A$2:$A$755,"NZ_GDP",Release_Calendar!$B$2:$B$755,$A2947)&gt;0,1,0))</f>
        <v/>
      </c>
      <c r="O2947" s="16" t="str">
        <f>IF($A2947&lt;Notes!$B$5,"",IF(COUNTIFS(Release_Calendar!$A$2:$A$755,"NZ_LABOUR",Release_Calendar!$B$2:$B$755,$A2947)&gt;0,1,0))</f>
        <v/>
      </c>
      <c r="P2947" s="16">
        <f t="shared" si="4"/>
        <v>0</v>
      </c>
    </row>
    <row r="2948" ht="15.75" customHeight="1">
      <c r="A2948" s="14">
        <v>40652.0</v>
      </c>
      <c r="B2948" s="15">
        <v>0.68</v>
      </c>
      <c r="C2948" s="15">
        <v>3.34</v>
      </c>
      <c r="D2948" s="15">
        <v>3.47</v>
      </c>
      <c r="E2948" s="15">
        <v>3.45</v>
      </c>
      <c r="F2948" s="15">
        <f t="shared" si="1"/>
        <v>2.66</v>
      </c>
      <c r="G2948" s="15">
        <f t="shared" si="2"/>
        <v>3.34</v>
      </c>
      <c r="H2948" s="16">
        <v>0.0</v>
      </c>
      <c r="I2948" s="15">
        <f t="shared" si="3"/>
        <v>2.66</v>
      </c>
      <c r="J2948" s="15">
        <v>15.83</v>
      </c>
      <c r="K2948" s="16">
        <f>IF(COUNTIFS(Release_Calendar!$A$2:$A$755,"US_CPI",Release_Calendar!$B$2:$B$755,$A2948)&gt;0,1,0)</f>
        <v>0</v>
      </c>
      <c r="L2948" s="16">
        <f>IF(COUNTIFS(Release_Calendar!$A$2:$A$755,"US_NFP",Release_Calendar!$B$2:$B$755,$A2948)&gt;0,1,0)</f>
        <v>0</v>
      </c>
      <c r="M2948" s="16" t="str">
        <f>IF($A2948&lt;Notes!$B$5,"",IF(COUNTIFS(Release_Calendar!$A$2:$A$755,"NZ_CPI",Release_Calendar!$B$2:$B$755,$A2948)&gt;0,1,0))</f>
        <v/>
      </c>
      <c r="N2948" s="16" t="str">
        <f>IF($A2948&lt;Notes!$B$5,"",IF(COUNTIFS(Release_Calendar!$A$2:$A$755,"NZ_GDP",Release_Calendar!$B$2:$B$755,$A2948)&gt;0,1,0))</f>
        <v/>
      </c>
      <c r="O2948" s="16" t="str">
        <f>IF($A2948&lt;Notes!$B$5,"",IF(COUNTIFS(Release_Calendar!$A$2:$A$755,"NZ_LABOUR",Release_Calendar!$B$2:$B$755,$A2948)&gt;0,1,0))</f>
        <v/>
      </c>
      <c r="P2948" s="16">
        <f t="shared" si="4"/>
        <v>0</v>
      </c>
    </row>
    <row r="2949" ht="15.75" customHeight="1">
      <c r="A2949" s="14">
        <v>40653.0</v>
      </c>
      <c r="B2949" s="15">
        <v>0.69</v>
      </c>
      <c r="C2949" s="15">
        <v>3.39</v>
      </c>
      <c r="D2949" s="15">
        <v>3.46</v>
      </c>
      <c r="E2949" s="15">
        <v>3.5</v>
      </c>
      <c r="F2949" s="15">
        <f t="shared" si="1"/>
        <v>2.7</v>
      </c>
      <c r="G2949" s="15">
        <f t="shared" si="2"/>
        <v>3.39</v>
      </c>
      <c r="H2949" s="16">
        <v>0.0</v>
      </c>
      <c r="I2949" s="15">
        <f t="shared" si="3"/>
        <v>2.7</v>
      </c>
      <c r="J2949" s="15">
        <v>15.07</v>
      </c>
      <c r="K2949" s="16">
        <f>IF(COUNTIFS(Release_Calendar!$A$2:$A$755,"US_CPI",Release_Calendar!$B$2:$B$755,$A2949)&gt;0,1,0)</f>
        <v>0</v>
      </c>
      <c r="L2949" s="16">
        <f>IF(COUNTIFS(Release_Calendar!$A$2:$A$755,"US_NFP",Release_Calendar!$B$2:$B$755,$A2949)&gt;0,1,0)</f>
        <v>0</v>
      </c>
      <c r="M2949" s="16" t="str">
        <f>IF($A2949&lt;Notes!$B$5,"",IF(COUNTIFS(Release_Calendar!$A$2:$A$755,"NZ_CPI",Release_Calendar!$B$2:$B$755,$A2949)&gt;0,1,0))</f>
        <v/>
      </c>
      <c r="N2949" s="16" t="str">
        <f>IF($A2949&lt;Notes!$B$5,"",IF(COUNTIFS(Release_Calendar!$A$2:$A$755,"NZ_GDP",Release_Calendar!$B$2:$B$755,$A2949)&gt;0,1,0))</f>
        <v/>
      </c>
      <c r="O2949" s="16" t="str">
        <f>IF($A2949&lt;Notes!$B$5,"",IF(COUNTIFS(Release_Calendar!$A$2:$A$755,"NZ_LABOUR",Release_Calendar!$B$2:$B$755,$A2949)&gt;0,1,0))</f>
        <v/>
      </c>
      <c r="P2949" s="16">
        <f t="shared" si="4"/>
        <v>0</v>
      </c>
    </row>
    <row r="2950" ht="15.75" customHeight="1">
      <c r="A2950" s="14">
        <v>40654.0</v>
      </c>
      <c r="B2950" s="15">
        <v>0.68</v>
      </c>
      <c r="C2950" s="15">
        <v>3.36</v>
      </c>
      <c r="D2950" s="15">
        <v>3.51</v>
      </c>
      <c r="E2950" s="15">
        <v>3.42</v>
      </c>
      <c r="F2950" s="15">
        <f t="shared" si="1"/>
        <v>2.68</v>
      </c>
      <c r="G2950" s="15">
        <f t="shared" si="2"/>
        <v>3.36</v>
      </c>
      <c r="H2950" s="16">
        <v>0.0</v>
      </c>
      <c r="I2950" s="15">
        <f t="shared" si="3"/>
        <v>2.68</v>
      </c>
      <c r="J2950" s="15">
        <v>14.69</v>
      </c>
      <c r="K2950" s="16">
        <f>IF(COUNTIFS(Release_Calendar!$A$2:$A$755,"US_CPI",Release_Calendar!$B$2:$B$755,$A2950)&gt;0,1,0)</f>
        <v>0</v>
      </c>
      <c r="L2950" s="16">
        <f>IF(COUNTIFS(Release_Calendar!$A$2:$A$755,"US_NFP",Release_Calendar!$B$2:$B$755,$A2950)&gt;0,1,0)</f>
        <v>0</v>
      </c>
      <c r="M2950" s="16" t="str">
        <f>IF($A2950&lt;Notes!$B$5,"",IF(COUNTIFS(Release_Calendar!$A$2:$A$755,"NZ_CPI",Release_Calendar!$B$2:$B$755,$A2950)&gt;0,1,0))</f>
        <v/>
      </c>
      <c r="N2950" s="16" t="str">
        <f>IF($A2950&lt;Notes!$B$5,"",IF(COUNTIFS(Release_Calendar!$A$2:$A$755,"NZ_GDP",Release_Calendar!$B$2:$B$755,$A2950)&gt;0,1,0))</f>
        <v/>
      </c>
      <c r="O2950" s="16" t="str">
        <f>IF($A2950&lt;Notes!$B$5,"",IF(COUNTIFS(Release_Calendar!$A$2:$A$755,"NZ_LABOUR",Release_Calendar!$B$2:$B$755,$A2950)&gt;0,1,0))</f>
        <v/>
      </c>
      <c r="P2950" s="16">
        <f t="shared" si="4"/>
        <v>0</v>
      </c>
    </row>
    <row r="2951" ht="15.75" customHeight="1">
      <c r="A2951" s="14">
        <v>40655.0</v>
      </c>
      <c r="B2951" s="15"/>
      <c r="C2951" s="15"/>
      <c r="D2951" s="15"/>
      <c r="E2951" s="15"/>
      <c r="F2951" s="15" t="str">
        <f t="shared" si="1"/>
        <v/>
      </c>
      <c r="G2951" s="15" t="str">
        <f t="shared" si="2"/>
        <v/>
      </c>
      <c r="H2951" s="16">
        <v>0.0</v>
      </c>
      <c r="I2951" s="15" t="str">
        <f t="shared" si="3"/>
        <v/>
      </c>
      <c r="J2951" s="15"/>
      <c r="K2951" s="16">
        <f>IF(COUNTIFS(Release_Calendar!$A$2:$A$755,"US_CPI",Release_Calendar!$B$2:$B$755,$A2951)&gt;0,1,0)</f>
        <v>0</v>
      </c>
      <c r="L2951" s="16">
        <f>IF(COUNTIFS(Release_Calendar!$A$2:$A$755,"US_NFP",Release_Calendar!$B$2:$B$755,$A2951)&gt;0,1,0)</f>
        <v>0</v>
      </c>
      <c r="M2951" s="16" t="str">
        <f>IF($A2951&lt;Notes!$B$5,"",IF(COUNTIFS(Release_Calendar!$A$2:$A$755,"NZ_CPI",Release_Calendar!$B$2:$B$755,$A2951)&gt;0,1,0))</f>
        <v/>
      </c>
      <c r="N2951" s="16" t="str">
        <f>IF($A2951&lt;Notes!$B$5,"",IF(COUNTIFS(Release_Calendar!$A$2:$A$755,"NZ_GDP",Release_Calendar!$B$2:$B$755,$A2951)&gt;0,1,0))</f>
        <v/>
      </c>
      <c r="O2951" s="16" t="str">
        <f>IF($A2951&lt;Notes!$B$5,"",IF(COUNTIFS(Release_Calendar!$A$2:$A$755,"NZ_LABOUR",Release_Calendar!$B$2:$B$755,$A2951)&gt;0,1,0))</f>
        <v/>
      </c>
      <c r="P2951" s="16">
        <f t="shared" si="4"/>
        <v>0</v>
      </c>
    </row>
    <row r="2952" ht="15.75" customHeight="1">
      <c r="A2952" s="14">
        <v>40658.0</v>
      </c>
      <c r="B2952" s="15">
        <v>0.67</v>
      </c>
      <c r="C2952" s="15"/>
      <c r="D2952" s="15"/>
      <c r="E2952" s="15"/>
      <c r="F2952" s="15" t="str">
        <f t="shared" si="1"/>
        <v/>
      </c>
      <c r="G2952" s="15" t="str">
        <f t="shared" si="2"/>
        <v/>
      </c>
      <c r="H2952" s="16">
        <v>0.0</v>
      </c>
      <c r="I2952" s="15" t="str">
        <f t="shared" si="3"/>
        <v/>
      </c>
      <c r="J2952" s="15">
        <v>15.77</v>
      </c>
      <c r="K2952" s="16">
        <f>IF(COUNTIFS(Release_Calendar!$A$2:$A$755,"US_CPI",Release_Calendar!$B$2:$B$755,$A2952)&gt;0,1,0)</f>
        <v>0</v>
      </c>
      <c r="L2952" s="16">
        <f>IF(COUNTIFS(Release_Calendar!$A$2:$A$755,"US_NFP",Release_Calendar!$B$2:$B$755,$A2952)&gt;0,1,0)</f>
        <v>0</v>
      </c>
      <c r="M2952" s="16" t="str">
        <f>IF($A2952&lt;Notes!$B$5,"",IF(COUNTIFS(Release_Calendar!$A$2:$A$755,"NZ_CPI",Release_Calendar!$B$2:$B$755,$A2952)&gt;0,1,0))</f>
        <v/>
      </c>
      <c r="N2952" s="16" t="str">
        <f>IF($A2952&lt;Notes!$B$5,"",IF(COUNTIFS(Release_Calendar!$A$2:$A$755,"NZ_GDP",Release_Calendar!$B$2:$B$755,$A2952)&gt;0,1,0))</f>
        <v/>
      </c>
      <c r="O2952" s="16" t="str">
        <f>IF($A2952&lt;Notes!$B$5,"",IF(COUNTIFS(Release_Calendar!$A$2:$A$755,"NZ_LABOUR",Release_Calendar!$B$2:$B$755,$A2952)&gt;0,1,0))</f>
        <v/>
      </c>
      <c r="P2952" s="16">
        <f t="shared" si="4"/>
        <v>0</v>
      </c>
    </row>
    <row r="2953" ht="15.75" customHeight="1">
      <c r="A2953" s="14">
        <v>40659.0</v>
      </c>
      <c r="B2953" s="15">
        <v>0.65</v>
      </c>
      <c r="C2953" s="15">
        <v>3.34</v>
      </c>
      <c r="D2953" s="15">
        <v>3.42</v>
      </c>
      <c r="E2953" s="15">
        <v>3.42</v>
      </c>
      <c r="F2953" s="15">
        <f t="shared" si="1"/>
        <v>2.69</v>
      </c>
      <c r="G2953" s="15">
        <f t="shared" si="2"/>
        <v>3.34</v>
      </c>
      <c r="H2953" s="16">
        <v>0.0</v>
      </c>
      <c r="I2953" s="15">
        <f t="shared" si="3"/>
        <v>2.69</v>
      </c>
      <c r="J2953" s="15">
        <v>15.62</v>
      </c>
      <c r="K2953" s="16">
        <f>IF(COUNTIFS(Release_Calendar!$A$2:$A$755,"US_CPI",Release_Calendar!$B$2:$B$755,$A2953)&gt;0,1,0)</f>
        <v>0</v>
      </c>
      <c r="L2953" s="16">
        <f>IF(COUNTIFS(Release_Calendar!$A$2:$A$755,"US_NFP",Release_Calendar!$B$2:$B$755,$A2953)&gt;0,1,0)</f>
        <v>0</v>
      </c>
      <c r="M2953" s="16" t="str">
        <f>IF($A2953&lt;Notes!$B$5,"",IF(COUNTIFS(Release_Calendar!$A$2:$A$755,"NZ_CPI",Release_Calendar!$B$2:$B$755,$A2953)&gt;0,1,0))</f>
        <v/>
      </c>
      <c r="N2953" s="16" t="str">
        <f>IF($A2953&lt;Notes!$B$5,"",IF(COUNTIFS(Release_Calendar!$A$2:$A$755,"NZ_GDP",Release_Calendar!$B$2:$B$755,$A2953)&gt;0,1,0))</f>
        <v/>
      </c>
      <c r="O2953" s="16" t="str">
        <f>IF($A2953&lt;Notes!$B$5,"",IF(COUNTIFS(Release_Calendar!$A$2:$A$755,"NZ_LABOUR",Release_Calendar!$B$2:$B$755,$A2953)&gt;0,1,0))</f>
        <v/>
      </c>
      <c r="P2953" s="16">
        <f t="shared" si="4"/>
        <v>0</v>
      </c>
    </row>
    <row r="2954" ht="15.75" customHeight="1">
      <c r="A2954" s="14">
        <v>40660.0</v>
      </c>
      <c r="B2954" s="15">
        <v>0.65</v>
      </c>
      <c r="C2954" s="15">
        <v>3.38</v>
      </c>
      <c r="D2954" s="15">
        <v>3.4</v>
      </c>
      <c r="E2954" s="15">
        <v>3.41</v>
      </c>
      <c r="F2954" s="15">
        <f t="shared" si="1"/>
        <v>2.73</v>
      </c>
      <c r="G2954" s="15">
        <f t="shared" si="2"/>
        <v>3.38</v>
      </c>
      <c r="H2954" s="16">
        <v>0.0</v>
      </c>
      <c r="I2954" s="15">
        <f t="shared" si="3"/>
        <v>2.73</v>
      </c>
      <c r="J2954" s="15">
        <v>15.35</v>
      </c>
      <c r="K2954" s="16">
        <f>IF(COUNTIFS(Release_Calendar!$A$2:$A$755,"US_CPI",Release_Calendar!$B$2:$B$755,$A2954)&gt;0,1,0)</f>
        <v>0</v>
      </c>
      <c r="L2954" s="16">
        <f>IF(COUNTIFS(Release_Calendar!$A$2:$A$755,"US_NFP",Release_Calendar!$B$2:$B$755,$A2954)&gt;0,1,0)</f>
        <v>0</v>
      </c>
      <c r="M2954" s="16" t="str">
        <f>IF($A2954&lt;Notes!$B$5,"",IF(COUNTIFS(Release_Calendar!$A$2:$A$755,"NZ_CPI",Release_Calendar!$B$2:$B$755,$A2954)&gt;0,1,0))</f>
        <v/>
      </c>
      <c r="N2954" s="16" t="str">
        <f>IF($A2954&lt;Notes!$B$5,"",IF(COUNTIFS(Release_Calendar!$A$2:$A$755,"NZ_GDP",Release_Calendar!$B$2:$B$755,$A2954)&gt;0,1,0))</f>
        <v/>
      </c>
      <c r="O2954" s="16" t="str">
        <f>IF($A2954&lt;Notes!$B$5,"",IF(COUNTIFS(Release_Calendar!$A$2:$A$755,"NZ_LABOUR",Release_Calendar!$B$2:$B$755,$A2954)&gt;0,1,0))</f>
        <v/>
      </c>
      <c r="P2954" s="16">
        <f t="shared" si="4"/>
        <v>0</v>
      </c>
    </row>
    <row r="2955" ht="15.75" customHeight="1">
      <c r="A2955" s="14">
        <v>40661.0</v>
      </c>
      <c r="B2955" s="15">
        <v>0.62</v>
      </c>
      <c r="C2955" s="15">
        <v>3.34</v>
      </c>
      <c r="D2955" s="15">
        <v>3.4</v>
      </c>
      <c r="E2955" s="15">
        <v>3.37</v>
      </c>
      <c r="F2955" s="15">
        <f t="shared" si="1"/>
        <v>2.72</v>
      </c>
      <c r="G2955" s="15">
        <f t="shared" si="2"/>
        <v>3.34</v>
      </c>
      <c r="H2955" s="16">
        <v>0.0</v>
      </c>
      <c r="I2955" s="15">
        <f t="shared" si="3"/>
        <v>2.72</v>
      </c>
      <c r="J2955" s="15">
        <v>14.62</v>
      </c>
      <c r="K2955" s="16">
        <f>IF(COUNTIFS(Release_Calendar!$A$2:$A$755,"US_CPI",Release_Calendar!$B$2:$B$755,$A2955)&gt;0,1,0)</f>
        <v>0</v>
      </c>
      <c r="L2955" s="16">
        <f>IF(COUNTIFS(Release_Calendar!$A$2:$A$755,"US_NFP",Release_Calendar!$B$2:$B$755,$A2955)&gt;0,1,0)</f>
        <v>0</v>
      </c>
      <c r="M2955" s="16" t="str">
        <f>IF($A2955&lt;Notes!$B$5,"",IF(COUNTIFS(Release_Calendar!$A$2:$A$755,"NZ_CPI",Release_Calendar!$B$2:$B$755,$A2955)&gt;0,1,0))</f>
        <v/>
      </c>
      <c r="N2955" s="16" t="str">
        <f>IF($A2955&lt;Notes!$B$5,"",IF(COUNTIFS(Release_Calendar!$A$2:$A$755,"NZ_GDP",Release_Calendar!$B$2:$B$755,$A2955)&gt;0,1,0))</f>
        <v/>
      </c>
      <c r="O2955" s="16" t="str">
        <f>IF($A2955&lt;Notes!$B$5,"",IF(COUNTIFS(Release_Calendar!$A$2:$A$755,"NZ_LABOUR",Release_Calendar!$B$2:$B$755,$A2955)&gt;0,1,0))</f>
        <v/>
      </c>
      <c r="P2955" s="16">
        <f t="shared" si="4"/>
        <v>0</v>
      </c>
    </row>
    <row r="2956" ht="15.75" customHeight="1">
      <c r="A2956" s="14">
        <v>40662.0</v>
      </c>
      <c r="B2956" s="15">
        <v>0.61</v>
      </c>
      <c r="C2956" s="15">
        <v>3.34</v>
      </c>
      <c r="D2956" s="15">
        <v>3.35</v>
      </c>
      <c r="E2956" s="15">
        <v>3.3</v>
      </c>
      <c r="F2956" s="15">
        <f t="shared" si="1"/>
        <v>2.73</v>
      </c>
      <c r="G2956" s="15">
        <f t="shared" si="2"/>
        <v>3.34</v>
      </c>
      <c r="H2956" s="16">
        <v>0.0</v>
      </c>
      <c r="I2956" s="15">
        <f t="shared" si="3"/>
        <v>2.73</v>
      </c>
      <c r="J2956" s="15">
        <v>14.75</v>
      </c>
      <c r="K2956" s="16">
        <f>IF(COUNTIFS(Release_Calendar!$A$2:$A$755,"US_CPI",Release_Calendar!$B$2:$B$755,$A2956)&gt;0,1,0)</f>
        <v>0</v>
      </c>
      <c r="L2956" s="16">
        <f>IF(COUNTIFS(Release_Calendar!$A$2:$A$755,"US_NFP",Release_Calendar!$B$2:$B$755,$A2956)&gt;0,1,0)</f>
        <v>0</v>
      </c>
      <c r="M2956" s="16" t="str">
        <f>IF($A2956&lt;Notes!$B$5,"",IF(COUNTIFS(Release_Calendar!$A$2:$A$755,"NZ_CPI",Release_Calendar!$B$2:$B$755,$A2956)&gt;0,1,0))</f>
        <v/>
      </c>
      <c r="N2956" s="16" t="str">
        <f>IF($A2956&lt;Notes!$B$5,"",IF(COUNTIFS(Release_Calendar!$A$2:$A$755,"NZ_GDP",Release_Calendar!$B$2:$B$755,$A2956)&gt;0,1,0))</f>
        <v/>
      </c>
      <c r="O2956" s="16" t="str">
        <f>IF($A2956&lt;Notes!$B$5,"",IF(COUNTIFS(Release_Calendar!$A$2:$A$755,"NZ_LABOUR",Release_Calendar!$B$2:$B$755,$A2956)&gt;0,1,0))</f>
        <v/>
      </c>
      <c r="P2956" s="16">
        <f t="shared" si="4"/>
        <v>0</v>
      </c>
    </row>
    <row r="2957" ht="15.75" customHeight="1">
      <c r="A2957" s="14">
        <v>40665.0</v>
      </c>
      <c r="B2957" s="15">
        <v>0.61</v>
      </c>
      <c r="C2957" s="15">
        <v>3.37</v>
      </c>
      <c r="D2957" s="15">
        <v>3.3</v>
      </c>
      <c r="E2957" s="15">
        <v>3.31</v>
      </c>
      <c r="F2957" s="15">
        <f t="shared" si="1"/>
        <v>2.76</v>
      </c>
      <c r="G2957" s="15">
        <f t="shared" si="2"/>
        <v>3.37</v>
      </c>
      <c r="H2957" s="16">
        <v>0.0</v>
      </c>
      <c r="I2957" s="15">
        <f t="shared" si="3"/>
        <v>2.76</v>
      </c>
      <c r="J2957" s="15">
        <v>15.99</v>
      </c>
      <c r="K2957" s="16">
        <f>IF(COUNTIFS(Release_Calendar!$A$2:$A$755,"US_CPI",Release_Calendar!$B$2:$B$755,$A2957)&gt;0,1,0)</f>
        <v>0</v>
      </c>
      <c r="L2957" s="16">
        <f>IF(COUNTIFS(Release_Calendar!$A$2:$A$755,"US_NFP",Release_Calendar!$B$2:$B$755,$A2957)&gt;0,1,0)</f>
        <v>0</v>
      </c>
      <c r="M2957" s="16" t="str">
        <f>IF($A2957&lt;Notes!$B$5,"",IF(COUNTIFS(Release_Calendar!$A$2:$A$755,"NZ_CPI",Release_Calendar!$B$2:$B$755,$A2957)&gt;0,1,0))</f>
        <v/>
      </c>
      <c r="N2957" s="16" t="str">
        <f>IF($A2957&lt;Notes!$B$5,"",IF(COUNTIFS(Release_Calendar!$A$2:$A$755,"NZ_GDP",Release_Calendar!$B$2:$B$755,$A2957)&gt;0,1,0))</f>
        <v/>
      </c>
      <c r="O2957" s="16" t="str">
        <f>IF($A2957&lt;Notes!$B$5,"",IF(COUNTIFS(Release_Calendar!$A$2:$A$755,"NZ_LABOUR",Release_Calendar!$B$2:$B$755,$A2957)&gt;0,1,0))</f>
        <v/>
      </c>
      <c r="P2957" s="16">
        <f t="shared" si="4"/>
        <v>0</v>
      </c>
    </row>
    <row r="2958" ht="15.75" customHeight="1">
      <c r="A2958" s="14">
        <v>40666.0</v>
      </c>
      <c r="B2958" s="15">
        <v>0.61</v>
      </c>
      <c r="C2958" s="15">
        <v>3.36</v>
      </c>
      <c r="D2958" s="15">
        <v>3.31</v>
      </c>
      <c r="E2958" s="15">
        <v>3.32</v>
      </c>
      <c r="F2958" s="15">
        <f t="shared" si="1"/>
        <v>2.75</v>
      </c>
      <c r="G2958" s="15">
        <f t="shared" si="2"/>
        <v>3.36</v>
      </c>
      <c r="H2958" s="16">
        <v>0.0</v>
      </c>
      <c r="I2958" s="15">
        <f t="shared" si="3"/>
        <v>2.75</v>
      </c>
      <c r="J2958" s="15">
        <v>16.7</v>
      </c>
      <c r="K2958" s="16">
        <f>IF(COUNTIFS(Release_Calendar!$A$2:$A$755,"US_CPI",Release_Calendar!$B$2:$B$755,$A2958)&gt;0,1,0)</f>
        <v>0</v>
      </c>
      <c r="L2958" s="16">
        <f>IF(COUNTIFS(Release_Calendar!$A$2:$A$755,"US_NFP",Release_Calendar!$B$2:$B$755,$A2958)&gt;0,1,0)</f>
        <v>0</v>
      </c>
      <c r="M2958" s="16" t="str">
        <f>IF($A2958&lt;Notes!$B$5,"",IF(COUNTIFS(Release_Calendar!$A$2:$A$755,"NZ_CPI",Release_Calendar!$B$2:$B$755,$A2958)&gt;0,1,0))</f>
        <v/>
      </c>
      <c r="N2958" s="16" t="str">
        <f>IF($A2958&lt;Notes!$B$5,"",IF(COUNTIFS(Release_Calendar!$A$2:$A$755,"NZ_GDP",Release_Calendar!$B$2:$B$755,$A2958)&gt;0,1,0))</f>
        <v/>
      </c>
      <c r="O2958" s="16" t="str">
        <f>IF($A2958&lt;Notes!$B$5,"",IF(COUNTIFS(Release_Calendar!$A$2:$A$755,"NZ_LABOUR",Release_Calendar!$B$2:$B$755,$A2958)&gt;0,1,0))</f>
        <v/>
      </c>
      <c r="P2958" s="16">
        <f t="shared" si="4"/>
        <v>0</v>
      </c>
    </row>
    <row r="2959" ht="15.75" customHeight="1">
      <c r="A2959" s="14">
        <v>40667.0</v>
      </c>
      <c r="B2959" s="15">
        <v>0.6</v>
      </c>
      <c r="C2959" s="15">
        <v>3.34</v>
      </c>
      <c r="D2959" s="15">
        <v>3.32</v>
      </c>
      <c r="E2959" s="15">
        <v>3.3</v>
      </c>
      <c r="F2959" s="15">
        <f t="shared" si="1"/>
        <v>2.74</v>
      </c>
      <c r="G2959" s="15">
        <f t="shared" si="2"/>
        <v>3.34</v>
      </c>
      <c r="H2959" s="16">
        <v>0.0</v>
      </c>
      <c r="I2959" s="15">
        <f t="shared" si="3"/>
        <v>2.74</v>
      </c>
      <c r="J2959" s="15">
        <v>17.08</v>
      </c>
      <c r="K2959" s="16">
        <f>IF(COUNTIFS(Release_Calendar!$A$2:$A$755,"US_CPI",Release_Calendar!$B$2:$B$755,$A2959)&gt;0,1,0)</f>
        <v>0</v>
      </c>
      <c r="L2959" s="16">
        <f>IF(COUNTIFS(Release_Calendar!$A$2:$A$755,"US_NFP",Release_Calendar!$B$2:$B$755,$A2959)&gt;0,1,0)</f>
        <v>0</v>
      </c>
      <c r="M2959" s="16" t="str">
        <f>IF($A2959&lt;Notes!$B$5,"",IF(COUNTIFS(Release_Calendar!$A$2:$A$755,"NZ_CPI",Release_Calendar!$B$2:$B$755,$A2959)&gt;0,1,0))</f>
        <v/>
      </c>
      <c r="N2959" s="16" t="str">
        <f>IF($A2959&lt;Notes!$B$5,"",IF(COUNTIFS(Release_Calendar!$A$2:$A$755,"NZ_GDP",Release_Calendar!$B$2:$B$755,$A2959)&gt;0,1,0))</f>
        <v/>
      </c>
      <c r="O2959" s="16" t="str">
        <f>IF($A2959&lt;Notes!$B$5,"",IF(COUNTIFS(Release_Calendar!$A$2:$A$755,"NZ_LABOUR",Release_Calendar!$B$2:$B$755,$A2959)&gt;0,1,0))</f>
        <v/>
      </c>
      <c r="P2959" s="16">
        <f t="shared" si="4"/>
        <v>0</v>
      </c>
    </row>
    <row r="2960" ht="15.75" customHeight="1">
      <c r="A2960" s="14">
        <v>40668.0</v>
      </c>
      <c r="B2960" s="15">
        <v>0.58</v>
      </c>
      <c r="C2960" s="15">
        <v>3.34</v>
      </c>
      <c r="D2960" s="15">
        <v>3.33</v>
      </c>
      <c r="E2960" s="15">
        <v>3.23</v>
      </c>
      <c r="F2960" s="15">
        <f t="shared" si="1"/>
        <v>2.76</v>
      </c>
      <c r="G2960" s="15">
        <f t="shared" si="2"/>
        <v>3.34</v>
      </c>
      <c r="H2960" s="16">
        <v>0.0</v>
      </c>
      <c r="I2960" s="15">
        <f t="shared" si="3"/>
        <v>2.76</v>
      </c>
      <c r="J2960" s="15">
        <v>18.2</v>
      </c>
      <c r="K2960" s="16">
        <f>IF(COUNTIFS(Release_Calendar!$A$2:$A$755,"US_CPI",Release_Calendar!$B$2:$B$755,$A2960)&gt;0,1,0)</f>
        <v>0</v>
      </c>
      <c r="L2960" s="16">
        <f>IF(COUNTIFS(Release_Calendar!$A$2:$A$755,"US_NFP",Release_Calendar!$B$2:$B$755,$A2960)&gt;0,1,0)</f>
        <v>0</v>
      </c>
      <c r="M2960" s="16" t="str">
        <f>IF($A2960&lt;Notes!$B$5,"",IF(COUNTIFS(Release_Calendar!$A$2:$A$755,"NZ_CPI",Release_Calendar!$B$2:$B$755,$A2960)&gt;0,1,0))</f>
        <v/>
      </c>
      <c r="N2960" s="16" t="str">
        <f>IF($A2960&lt;Notes!$B$5,"",IF(COUNTIFS(Release_Calendar!$A$2:$A$755,"NZ_GDP",Release_Calendar!$B$2:$B$755,$A2960)&gt;0,1,0))</f>
        <v/>
      </c>
      <c r="O2960" s="16" t="str">
        <f>IF($A2960&lt;Notes!$B$5,"",IF(COUNTIFS(Release_Calendar!$A$2:$A$755,"NZ_LABOUR",Release_Calendar!$B$2:$B$755,$A2960)&gt;0,1,0))</f>
        <v/>
      </c>
      <c r="P2960" s="16">
        <f t="shared" si="4"/>
        <v>0</v>
      </c>
    </row>
    <row r="2961" ht="15.75" customHeight="1">
      <c r="A2961" s="14">
        <v>40669.0</v>
      </c>
      <c r="B2961" s="15">
        <v>0.57</v>
      </c>
      <c r="C2961" s="15">
        <v>3.36</v>
      </c>
      <c r="D2961" s="15">
        <v>3.22</v>
      </c>
      <c r="E2961" s="15">
        <v>3.23</v>
      </c>
      <c r="F2961" s="15">
        <f t="shared" si="1"/>
        <v>2.79</v>
      </c>
      <c r="G2961" s="15">
        <f t="shared" si="2"/>
        <v>3.36</v>
      </c>
      <c r="H2961" s="16">
        <v>0.0</v>
      </c>
      <c r="I2961" s="15">
        <f t="shared" si="3"/>
        <v>2.79</v>
      </c>
      <c r="J2961" s="15">
        <v>18.4</v>
      </c>
      <c r="K2961" s="16">
        <f>IF(COUNTIFS(Release_Calendar!$A$2:$A$755,"US_CPI",Release_Calendar!$B$2:$B$755,$A2961)&gt;0,1,0)</f>
        <v>0</v>
      </c>
      <c r="L2961" s="16">
        <f>IF(COUNTIFS(Release_Calendar!$A$2:$A$755,"US_NFP",Release_Calendar!$B$2:$B$755,$A2961)&gt;0,1,0)</f>
        <v>1</v>
      </c>
      <c r="M2961" s="16" t="str">
        <f>IF($A2961&lt;Notes!$B$5,"",IF(COUNTIFS(Release_Calendar!$A$2:$A$755,"NZ_CPI",Release_Calendar!$B$2:$B$755,$A2961)&gt;0,1,0))</f>
        <v/>
      </c>
      <c r="N2961" s="16" t="str">
        <f>IF($A2961&lt;Notes!$B$5,"",IF(COUNTIFS(Release_Calendar!$A$2:$A$755,"NZ_GDP",Release_Calendar!$B$2:$B$755,$A2961)&gt;0,1,0))</f>
        <v/>
      </c>
      <c r="O2961" s="16" t="str">
        <f>IF($A2961&lt;Notes!$B$5,"",IF(COUNTIFS(Release_Calendar!$A$2:$A$755,"NZ_LABOUR",Release_Calendar!$B$2:$B$755,$A2961)&gt;0,1,0))</f>
        <v/>
      </c>
      <c r="P2961" s="16">
        <f t="shared" si="4"/>
        <v>1</v>
      </c>
    </row>
    <row r="2962" ht="15.75" customHeight="1">
      <c r="A2962" s="14">
        <v>40672.0</v>
      </c>
      <c r="B2962" s="15">
        <v>0.57</v>
      </c>
      <c r="C2962" s="15">
        <v>3.36</v>
      </c>
      <c r="D2962" s="15">
        <v>3.23</v>
      </c>
      <c r="E2962" s="15">
        <v>3.21</v>
      </c>
      <c r="F2962" s="15">
        <f t="shared" si="1"/>
        <v>2.79</v>
      </c>
      <c r="G2962" s="15">
        <f t="shared" si="2"/>
        <v>3.36</v>
      </c>
      <c r="H2962" s="16">
        <v>0.0</v>
      </c>
      <c r="I2962" s="15">
        <f t="shared" si="3"/>
        <v>2.79</v>
      </c>
      <c r="J2962" s="15">
        <v>17.16</v>
      </c>
      <c r="K2962" s="16">
        <f>IF(COUNTIFS(Release_Calendar!$A$2:$A$755,"US_CPI",Release_Calendar!$B$2:$B$755,$A2962)&gt;0,1,0)</f>
        <v>0</v>
      </c>
      <c r="L2962" s="16">
        <f>IF(COUNTIFS(Release_Calendar!$A$2:$A$755,"US_NFP",Release_Calendar!$B$2:$B$755,$A2962)&gt;0,1,0)</f>
        <v>0</v>
      </c>
      <c r="M2962" s="16" t="str">
        <f>IF($A2962&lt;Notes!$B$5,"",IF(COUNTIFS(Release_Calendar!$A$2:$A$755,"NZ_CPI",Release_Calendar!$B$2:$B$755,$A2962)&gt;0,1,0))</f>
        <v/>
      </c>
      <c r="N2962" s="16" t="str">
        <f>IF($A2962&lt;Notes!$B$5,"",IF(COUNTIFS(Release_Calendar!$A$2:$A$755,"NZ_GDP",Release_Calendar!$B$2:$B$755,$A2962)&gt;0,1,0))</f>
        <v/>
      </c>
      <c r="O2962" s="16" t="str">
        <f>IF($A2962&lt;Notes!$B$5,"",IF(COUNTIFS(Release_Calendar!$A$2:$A$755,"NZ_LABOUR",Release_Calendar!$B$2:$B$755,$A2962)&gt;0,1,0))</f>
        <v/>
      </c>
      <c r="P2962" s="16">
        <f t="shared" si="4"/>
        <v>0</v>
      </c>
    </row>
    <row r="2963" ht="15.75" customHeight="1">
      <c r="A2963" s="14">
        <v>40673.0</v>
      </c>
      <c r="B2963" s="15">
        <v>0.59</v>
      </c>
      <c r="C2963" s="15">
        <v>3.35</v>
      </c>
      <c r="D2963" s="15">
        <v>3.22</v>
      </c>
      <c r="E2963" s="15">
        <v>3.23</v>
      </c>
      <c r="F2963" s="15">
        <f t="shared" si="1"/>
        <v>2.76</v>
      </c>
      <c r="G2963" s="15">
        <f t="shared" si="2"/>
        <v>3.35</v>
      </c>
      <c r="H2963" s="16">
        <v>0.0</v>
      </c>
      <c r="I2963" s="15">
        <f t="shared" si="3"/>
        <v>2.76</v>
      </c>
      <c r="J2963" s="15">
        <v>15.91</v>
      </c>
      <c r="K2963" s="16">
        <f>IF(COUNTIFS(Release_Calendar!$A$2:$A$755,"US_CPI",Release_Calendar!$B$2:$B$755,$A2963)&gt;0,1,0)</f>
        <v>0</v>
      </c>
      <c r="L2963" s="16">
        <f>IF(COUNTIFS(Release_Calendar!$A$2:$A$755,"US_NFP",Release_Calendar!$B$2:$B$755,$A2963)&gt;0,1,0)</f>
        <v>0</v>
      </c>
      <c r="M2963" s="16" t="str">
        <f>IF($A2963&lt;Notes!$B$5,"",IF(COUNTIFS(Release_Calendar!$A$2:$A$755,"NZ_CPI",Release_Calendar!$B$2:$B$755,$A2963)&gt;0,1,0))</f>
        <v/>
      </c>
      <c r="N2963" s="16" t="str">
        <f>IF($A2963&lt;Notes!$B$5,"",IF(COUNTIFS(Release_Calendar!$A$2:$A$755,"NZ_GDP",Release_Calendar!$B$2:$B$755,$A2963)&gt;0,1,0))</f>
        <v/>
      </c>
      <c r="O2963" s="16" t="str">
        <f>IF($A2963&lt;Notes!$B$5,"",IF(COUNTIFS(Release_Calendar!$A$2:$A$755,"NZ_LABOUR",Release_Calendar!$B$2:$B$755,$A2963)&gt;0,1,0))</f>
        <v/>
      </c>
      <c r="P2963" s="16">
        <f t="shared" si="4"/>
        <v>0</v>
      </c>
    </row>
    <row r="2964" ht="15.75" customHeight="1">
      <c r="A2964" s="14">
        <v>40674.0</v>
      </c>
      <c r="B2964" s="15">
        <v>0.56</v>
      </c>
      <c r="C2964" s="15">
        <v>3.36</v>
      </c>
      <c r="D2964" s="15">
        <v>3.27</v>
      </c>
      <c r="E2964" s="15">
        <v>3.27</v>
      </c>
      <c r="F2964" s="15">
        <f t="shared" si="1"/>
        <v>2.8</v>
      </c>
      <c r="G2964" s="15">
        <f t="shared" si="2"/>
        <v>3.36</v>
      </c>
      <c r="H2964" s="16">
        <v>0.0</v>
      </c>
      <c r="I2964" s="15">
        <f t="shared" si="3"/>
        <v>2.8</v>
      </c>
      <c r="J2964" s="15">
        <v>16.95</v>
      </c>
      <c r="K2964" s="16">
        <f>IF(COUNTIFS(Release_Calendar!$A$2:$A$755,"US_CPI",Release_Calendar!$B$2:$B$755,$A2964)&gt;0,1,0)</f>
        <v>0</v>
      </c>
      <c r="L2964" s="16">
        <f>IF(COUNTIFS(Release_Calendar!$A$2:$A$755,"US_NFP",Release_Calendar!$B$2:$B$755,$A2964)&gt;0,1,0)</f>
        <v>0</v>
      </c>
      <c r="M2964" s="16" t="str">
        <f>IF($A2964&lt;Notes!$B$5,"",IF(COUNTIFS(Release_Calendar!$A$2:$A$755,"NZ_CPI",Release_Calendar!$B$2:$B$755,$A2964)&gt;0,1,0))</f>
        <v/>
      </c>
      <c r="N2964" s="16" t="str">
        <f>IF($A2964&lt;Notes!$B$5,"",IF(COUNTIFS(Release_Calendar!$A$2:$A$755,"NZ_GDP",Release_Calendar!$B$2:$B$755,$A2964)&gt;0,1,0))</f>
        <v/>
      </c>
      <c r="O2964" s="16" t="str">
        <f>IF($A2964&lt;Notes!$B$5,"",IF(COUNTIFS(Release_Calendar!$A$2:$A$755,"NZ_LABOUR",Release_Calendar!$B$2:$B$755,$A2964)&gt;0,1,0))</f>
        <v/>
      </c>
      <c r="P2964" s="16">
        <f t="shared" si="4"/>
        <v>0</v>
      </c>
    </row>
    <row r="2965" ht="15.75" customHeight="1">
      <c r="A2965" s="14">
        <v>40675.0</v>
      </c>
      <c r="B2965" s="15">
        <v>0.57</v>
      </c>
      <c r="C2965" s="15">
        <v>3.35</v>
      </c>
      <c r="D2965" s="15">
        <v>3.27</v>
      </c>
      <c r="E2965" s="15">
        <v>3.23</v>
      </c>
      <c r="F2965" s="15">
        <f t="shared" si="1"/>
        <v>2.78</v>
      </c>
      <c r="G2965" s="15">
        <f t="shared" si="2"/>
        <v>3.35</v>
      </c>
      <c r="H2965" s="16">
        <v>0.0</v>
      </c>
      <c r="I2965" s="15">
        <f t="shared" si="3"/>
        <v>2.78</v>
      </c>
      <c r="J2965" s="15">
        <v>16.03</v>
      </c>
      <c r="K2965" s="16">
        <f>IF(COUNTIFS(Release_Calendar!$A$2:$A$755,"US_CPI",Release_Calendar!$B$2:$B$755,$A2965)&gt;0,1,0)</f>
        <v>0</v>
      </c>
      <c r="L2965" s="16">
        <f>IF(COUNTIFS(Release_Calendar!$A$2:$A$755,"US_NFP",Release_Calendar!$B$2:$B$755,$A2965)&gt;0,1,0)</f>
        <v>0</v>
      </c>
      <c r="M2965" s="16" t="str">
        <f>IF($A2965&lt;Notes!$B$5,"",IF(COUNTIFS(Release_Calendar!$A$2:$A$755,"NZ_CPI",Release_Calendar!$B$2:$B$755,$A2965)&gt;0,1,0))</f>
        <v/>
      </c>
      <c r="N2965" s="16" t="str">
        <f>IF($A2965&lt;Notes!$B$5,"",IF(COUNTIFS(Release_Calendar!$A$2:$A$755,"NZ_GDP",Release_Calendar!$B$2:$B$755,$A2965)&gt;0,1,0))</f>
        <v/>
      </c>
      <c r="O2965" s="16" t="str">
        <f>IF($A2965&lt;Notes!$B$5,"",IF(COUNTIFS(Release_Calendar!$A$2:$A$755,"NZ_LABOUR",Release_Calendar!$B$2:$B$755,$A2965)&gt;0,1,0))</f>
        <v/>
      </c>
      <c r="P2965" s="16">
        <f t="shared" si="4"/>
        <v>0</v>
      </c>
    </row>
    <row r="2966" ht="15.75" customHeight="1">
      <c r="A2966" s="14">
        <v>40676.0</v>
      </c>
      <c r="B2966" s="15">
        <v>0.57</v>
      </c>
      <c r="C2966" s="15">
        <v>3.33</v>
      </c>
      <c r="D2966" s="15">
        <v>3.25</v>
      </c>
      <c r="E2966" s="15">
        <v>3.22</v>
      </c>
      <c r="F2966" s="15">
        <f t="shared" si="1"/>
        <v>2.76</v>
      </c>
      <c r="G2966" s="15">
        <f t="shared" si="2"/>
        <v>3.33</v>
      </c>
      <c r="H2966" s="16">
        <v>0.0</v>
      </c>
      <c r="I2966" s="15">
        <f t="shared" si="3"/>
        <v>2.76</v>
      </c>
      <c r="J2966" s="15">
        <v>17.07</v>
      </c>
      <c r="K2966" s="16">
        <f>IF(COUNTIFS(Release_Calendar!$A$2:$A$755,"US_CPI",Release_Calendar!$B$2:$B$755,$A2966)&gt;0,1,0)</f>
        <v>1</v>
      </c>
      <c r="L2966" s="16">
        <f>IF(COUNTIFS(Release_Calendar!$A$2:$A$755,"US_NFP",Release_Calendar!$B$2:$B$755,$A2966)&gt;0,1,0)</f>
        <v>0</v>
      </c>
      <c r="M2966" s="16" t="str">
        <f>IF($A2966&lt;Notes!$B$5,"",IF(COUNTIFS(Release_Calendar!$A$2:$A$755,"NZ_CPI",Release_Calendar!$B$2:$B$755,$A2966)&gt;0,1,0))</f>
        <v/>
      </c>
      <c r="N2966" s="16" t="str">
        <f>IF($A2966&lt;Notes!$B$5,"",IF(COUNTIFS(Release_Calendar!$A$2:$A$755,"NZ_GDP",Release_Calendar!$B$2:$B$755,$A2966)&gt;0,1,0))</f>
        <v/>
      </c>
      <c r="O2966" s="16" t="str">
        <f>IF($A2966&lt;Notes!$B$5,"",IF(COUNTIFS(Release_Calendar!$A$2:$A$755,"NZ_LABOUR",Release_Calendar!$B$2:$B$755,$A2966)&gt;0,1,0))</f>
        <v/>
      </c>
      <c r="P2966" s="16">
        <f t="shared" si="4"/>
        <v>1</v>
      </c>
    </row>
    <row r="2967" ht="15.75" customHeight="1">
      <c r="A2967" s="14">
        <v>40679.0</v>
      </c>
      <c r="B2967" s="15">
        <v>0.54</v>
      </c>
      <c r="C2967" s="15">
        <v>3.3</v>
      </c>
      <c r="D2967" s="15">
        <v>3.21</v>
      </c>
      <c r="E2967" s="15">
        <v>3.18</v>
      </c>
      <c r="F2967" s="15">
        <f t="shared" si="1"/>
        <v>2.76</v>
      </c>
      <c r="G2967" s="15">
        <f t="shared" si="2"/>
        <v>3.3</v>
      </c>
      <c r="H2967" s="16">
        <v>0.0</v>
      </c>
      <c r="I2967" s="15">
        <f t="shared" si="3"/>
        <v>2.76</v>
      </c>
      <c r="J2967" s="15">
        <v>18.24</v>
      </c>
      <c r="K2967" s="16">
        <f>IF(COUNTIFS(Release_Calendar!$A$2:$A$755,"US_CPI",Release_Calendar!$B$2:$B$755,$A2967)&gt;0,1,0)</f>
        <v>0</v>
      </c>
      <c r="L2967" s="16">
        <f>IF(COUNTIFS(Release_Calendar!$A$2:$A$755,"US_NFP",Release_Calendar!$B$2:$B$755,$A2967)&gt;0,1,0)</f>
        <v>0</v>
      </c>
      <c r="M2967" s="16" t="str">
        <f>IF($A2967&lt;Notes!$B$5,"",IF(COUNTIFS(Release_Calendar!$A$2:$A$755,"NZ_CPI",Release_Calendar!$B$2:$B$755,$A2967)&gt;0,1,0))</f>
        <v/>
      </c>
      <c r="N2967" s="16" t="str">
        <f>IF($A2967&lt;Notes!$B$5,"",IF(COUNTIFS(Release_Calendar!$A$2:$A$755,"NZ_GDP",Release_Calendar!$B$2:$B$755,$A2967)&gt;0,1,0))</f>
        <v/>
      </c>
      <c r="O2967" s="16" t="str">
        <f>IF($A2967&lt;Notes!$B$5,"",IF(COUNTIFS(Release_Calendar!$A$2:$A$755,"NZ_LABOUR",Release_Calendar!$B$2:$B$755,$A2967)&gt;0,1,0))</f>
        <v/>
      </c>
      <c r="P2967" s="16">
        <f t="shared" si="4"/>
        <v>0</v>
      </c>
    </row>
    <row r="2968" ht="15.75" customHeight="1">
      <c r="A2968" s="14">
        <v>40680.0</v>
      </c>
      <c r="B2968" s="15">
        <v>0.55</v>
      </c>
      <c r="C2968" s="15">
        <v>3.3</v>
      </c>
      <c r="D2968" s="15">
        <v>3.18</v>
      </c>
      <c r="E2968" s="15">
        <v>3.17</v>
      </c>
      <c r="F2968" s="15">
        <f t="shared" si="1"/>
        <v>2.75</v>
      </c>
      <c r="G2968" s="15">
        <f t="shared" si="2"/>
        <v>3.3</v>
      </c>
      <c r="H2968" s="16">
        <v>0.0</v>
      </c>
      <c r="I2968" s="15">
        <f t="shared" si="3"/>
        <v>2.75</v>
      </c>
      <c r="J2968" s="15">
        <v>17.55</v>
      </c>
      <c r="K2968" s="16">
        <f>IF(COUNTIFS(Release_Calendar!$A$2:$A$755,"US_CPI",Release_Calendar!$B$2:$B$755,$A2968)&gt;0,1,0)</f>
        <v>0</v>
      </c>
      <c r="L2968" s="16">
        <f>IF(COUNTIFS(Release_Calendar!$A$2:$A$755,"US_NFP",Release_Calendar!$B$2:$B$755,$A2968)&gt;0,1,0)</f>
        <v>0</v>
      </c>
      <c r="M2968" s="16" t="str">
        <f>IF($A2968&lt;Notes!$B$5,"",IF(COUNTIFS(Release_Calendar!$A$2:$A$755,"NZ_CPI",Release_Calendar!$B$2:$B$755,$A2968)&gt;0,1,0))</f>
        <v/>
      </c>
      <c r="N2968" s="16" t="str">
        <f>IF($A2968&lt;Notes!$B$5,"",IF(COUNTIFS(Release_Calendar!$A$2:$A$755,"NZ_GDP",Release_Calendar!$B$2:$B$755,$A2968)&gt;0,1,0))</f>
        <v/>
      </c>
      <c r="O2968" s="16" t="str">
        <f>IF($A2968&lt;Notes!$B$5,"",IF(COUNTIFS(Release_Calendar!$A$2:$A$755,"NZ_LABOUR",Release_Calendar!$B$2:$B$755,$A2968)&gt;0,1,0))</f>
        <v/>
      </c>
      <c r="P2968" s="16">
        <f t="shared" si="4"/>
        <v>0</v>
      </c>
    </row>
    <row r="2969" ht="15.75" customHeight="1">
      <c r="A2969" s="14">
        <v>40681.0</v>
      </c>
      <c r="B2969" s="15">
        <v>0.58</v>
      </c>
      <c r="C2969" s="15">
        <v>3.29</v>
      </c>
      <c r="D2969" s="15">
        <v>3.18</v>
      </c>
      <c r="E2969" s="15">
        <v>3.18</v>
      </c>
      <c r="F2969" s="15">
        <f t="shared" si="1"/>
        <v>2.71</v>
      </c>
      <c r="G2969" s="15">
        <f t="shared" si="2"/>
        <v>3.29</v>
      </c>
      <c r="H2969" s="16">
        <v>0.0</v>
      </c>
      <c r="I2969" s="15">
        <f t="shared" si="3"/>
        <v>2.71</v>
      </c>
      <c r="J2969" s="15">
        <v>16.23</v>
      </c>
      <c r="K2969" s="16">
        <f>IF(COUNTIFS(Release_Calendar!$A$2:$A$755,"US_CPI",Release_Calendar!$B$2:$B$755,$A2969)&gt;0,1,0)</f>
        <v>0</v>
      </c>
      <c r="L2969" s="16">
        <f>IF(COUNTIFS(Release_Calendar!$A$2:$A$755,"US_NFP",Release_Calendar!$B$2:$B$755,$A2969)&gt;0,1,0)</f>
        <v>0</v>
      </c>
      <c r="M2969" s="16" t="str">
        <f>IF($A2969&lt;Notes!$B$5,"",IF(COUNTIFS(Release_Calendar!$A$2:$A$755,"NZ_CPI",Release_Calendar!$B$2:$B$755,$A2969)&gt;0,1,0))</f>
        <v/>
      </c>
      <c r="N2969" s="16" t="str">
        <f>IF($A2969&lt;Notes!$B$5,"",IF(COUNTIFS(Release_Calendar!$A$2:$A$755,"NZ_GDP",Release_Calendar!$B$2:$B$755,$A2969)&gt;0,1,0))</f>
        <v/>
      </c>
      <c r="O2969" s="16" t="str">
        <f>IF($A2969&lt;Notes!$B$5,"",IF(COUNTIFS(Release_Calendar!$A$2:$A$755,"NZ_LABOUR",Release_Calendar!$B$2:$B$755,$A2969)&gt;0,1,0))</f>
        <v/>
      </c>
      <c r="P2969" s="16">
        <f t="shared" si="4"/>
        <v>0</v>
      </c>
    </row>
    <row r="2970" ht="15.75" customHeight="1">
      <c r="A2970" s="14">
        <v>40682.0</v>
      </c>
      <c r="B2970" s="15">
        <v>0.55</v>
      </c>
      <c r="C2970" s="15">
        <v>3.29</v>
      </c>
      <c r="D2970" s="15">
        <v>3.18</v>
      </c>
      <c r="E2970" s="15">
        <v>3.17</v>
      </c>
      <c r="F2970" s="15">
        <f t="shared" si="1"/>
        <v>2.74</v>
      </c>
      <c r="G2970" s="15">
        <f t="shared" si="2"/>
        <v>3.29</v>
      </c>
      <c r="H2970" s="16">
        <v>0.0</v>
      </c>
      <c r="I2970" s="15">
        <f t="shared" si="3"/>
        <v>2.74</v>
      </c>
      <c r="J2970" s="15">
        <v>15.52</v>
      </c>
      <c r="K2970" s="16">
        <f>IF(COUNTIFS(Release_Calendar!$A$2:$A$755,"US_CPI",Release_Calendar!$B$2:$B$755,$A2970)&gt;0,1,0)</f>
        <v>0</v>
      </c>
      <c r="L2970" s="16">
        <f>IF(COUNTIFS(Release_Calendar!$A$2:$A$755,"US_NFP",Release_Calendar!$B$2:$B$755,$A2970)&gt;0,1,0)</f>
        <v>0</v>
      </c>
      <c r="M2970" s="16" t="str">
        <f>IF($A2970&lt;Notes!$B$5,"",IF(COUNTIFS(Release_Calendar!$A$2:$A$755,"NZ_CPI",Release_Calendar!$B$2:$B$755,$A2970)&gt;0,1,0))</f>
        <v/>
      </c>
      <c r="N2970" s="16" t="str">
        <f>IF($A2970&lt;Notes!$B$5,"",IF(COUNTIFS(Release_Calendar!$A$2:$A$755,"NZ_GDP",Release_Calendar!$B$2:$B$755,$A2970)&gt;0,1,0))</f>
        <v/>
      </c>
      <c r="O2970" s="16" t="str">
        <f>IF($A2970&lt;Notes!$B$5,"",IF(COUNTIFS(Release_Calendar!$A$2:$A$755,"NZ_LABOUR",Release_Calendar!$B$2:$B$755,$A2970)&gt;0,1,0))</f>
        <v/>
      </c>
      <c r="P2970" s="16">
        <f t="shared" si="4"/>
        <v>0</v>
      </c>
    </row>
    <row r="2971" ht="15.75" customHeight="1">
      <c r="A2971" s="14">
        <v>40683.0</v>
      </c>
      <c r="B2971" s="15">
        <v>0.55</v>
      </c>
      <c r="C2971" s="15">
        <v>3.31</v>
      </c>
      <c r="D2971" s="15">
        <v>3.19</v>
      </c>
      <c r="E2971" s="15">
        <v>3.17</v>
      </c>
      <c r="F2971" s="15">
        <f t="shared" si="1"/>
        <v>2.76</v>
      </c>
      <c r="G2971" s="15">
        <f t="shared" si="2"/>
        <v>3.31</v>
      </c>
      <c r="H2971" s="16">
        <v>0.0</v>
      </c>
      <c r="I2971" s="15">
        <f t="shared" si="3"/>
        <v>2.76</v>
      </c>
      <c r="J2971" s="15">
        <v>17.43</v>
      </c>
      <c r="K2971" s="16">
        <f>IF(COUNTIFS(Release_Calendar!$A$2:$A$755,"US_CPI",Release_Calendar!$B$2:$B$755,$A2971)&gt;0,1,0)</f>
        <v>0</v>
      </c>
      <c r="L2971" s="16">
        <f>IF(COUNTIFS(Release_Calendar!$A$2:$A$755,"US_NFP",Release_Calendar!$B$2:$B$755,$A2971)&gt;0,1,0)</f>
        <v>0</v>
      </c>
      <c r="M2971" s="16" t="str">
        <f>IF($A2971&lt;Notes!$B$5,"",IF(COUNTIFS(Release_Calendar!$A$2:$A$755,"NZ_CPI",Release_Calendar!$B$2:$B$755,$A2971)&gt;0,1,0))</f>
        <v/>
      </c>
      <c r="N2971" s="16" t="str">
        <f>IF($A2971&lt;Notes!$B$5,"",IF(COUNTIFS(Release_Calendar!$A$2:$A$755,"NZ_GDP",Release_Calendar!$B$2:$B$755,$A2971)&gt;0,1,0))</f>
        <v/>
      </c>
      <c r="O2971" s="16" t="str">
        <f>IF($A2971&lt;Notes!$B$5,"",IF(COUNTIFS(Release_Calendar!$A$2:$A$755,"NZ_LABOUR",Release_Calendar!$B$2:$B$755,$A2971)&gt;0,1,0))</f>
        <v/>
      </c>
      <c r="P2971" s="16">
        <f t="shared" si="4"/>
        <v>0</v>
      </c>
    </row>
    <row r="2972" ht="15.75" customHeight="1">
      <c r="A2972" s="14">
        <v>40686.0</v>
      </c>
      <c r="B2972" s="15">
        <v>0.55</v>
      </c>
      <c r="C2972" s="15">
        <v>3.27</v>
      </c>
      <c r="D2972" s="15">
        <v>3.16</v>
      </c>
      <c r="E2972" s="15">
        <v>3.13</v>
      </c>
      <c r="F2972" s="15">
        <f t="shared" si="1"/>
        <v>2.72</v>
      </c>
      <c r="G2972" s="15">
        <f t="shared" si="2"/>
        <v>3.27</v>
      </c>
      <c r="H2972" s="16">
        <v>0.0</v>
      </c>
      <c r="I2972" s="15">
        <f t="shared" si="3"/>
        <v>2.72</v>
      </c>
      <c r="J2972" s="15">
        <v>18.27</v>
      </c>
      <c r="K2972" s="16">
        <f>IF(COUNTIFS(Release_Calendar!$A$2:$A$755,"US_CPI",Release_Calendar!$B$2:$B$755,$A2972)&gt;0,1,0)</f>
        <v>0</v>
      </c>
      <c r="L2972" s="16">
        <f>IF(COUNTIFS(Release_Calendar!$A$2:$A$755,"US_NFP",Release_Calendar!$B$2:$B$755,$A2972)&gt;0,1,0)</f>
        <v>0</v>
      </c>
      <c r="M2972" s="16" t="str">
        <f>IF($A2972&lt;Notes!$B$5,"",IF(COUNTIFS(Release_Calendar!$A$2:$A$755,"NZ_CPI",Release_Calendar!$B$2:$B$755,$A2972)&gt;0,1,0))</f>
        <v/>
      </c>
      <c r="N2972" s="16" t="str">
        <f>IF($A2972&lt;Notes!$B$5,"",IF(COUNTIFS(Release_Calendar!$A$2:$A$755,"NZ_GDP",Release_Calendar!$B$2:$B$755,$A2972)&gt;0,1,0))</f>
        <v/>
      </c>
      <c r="O2972" s="16" t="str">
        <f>IF($A2972&lt;Notes!$B$5,"",IF(COUNTIFS(Release_Calendar!$A$2:$A$755,"NZ_LABOUR",Release_Calendar!$B$2:$B$755,$A2972)&gt;0,1,0))</f>
        <v/>
      </c>
      <c r="P2972" s="16">
        <f t="shared" si="4"/>
        <v>0</v>
      </c>
    </row>
    <row r="2973" ht="15.75" customHeight="1">
      <c r="A2973" s="14">
        <v>40687.0</v>
      </c>
      <c r="B2973" s="15">
        <v>0.56</v>
      </c>
      <c r="C2973" s="15">
        <v>3.33</v>
      </c>
      <c r="D2973" s="15">
        <v>3.13</v>
      </c>
      <c r="E2973" s="15">
        <v>3.19</v>
      </c>
      <c r="F2973" s="15">
        <f t="shared" si="1"/>
        <v>2.77</v>
      </c>
      <c r="G2973" s="15">
        <f t="shared" si="2"/>
        <v>3.33</v>
      </c>
      <c r="H2973" s="16">
        <v>0.0</v>
      </c>
      <c r="I2973" s="15">
        <f t="shared" si="3"/>
        <v>2.77</v>
      </c>
      <c r="J2973" s="15">
        <v>17.82</v>
      </c>
      <c r="K2973" s="16">
        <f>IF(COUNTIFS(Release_Calendar!$A$2:$A$755,"US_CPI",Release_Calendar!$B$2:$B$755,$A2973)&gt;0,1,0)</f>
        <v>0</v>
      </c>
      <c r="L2973" s="16">
        <f>IF(COUNTIFS(Release_Calendar!$A$2:$A$755,"US_NFP",Release_Calendar!$B$2:$B$755,$A2973)&gt;0,1,0)</f>
        <v>0</v>
      </c>
      <c r="M2973" s="16" t="str">
        <f>IF($A2973&lt;Notes!$B$5,"",IF(COUNTIFS(Release_Calendar!$A$2:$A$755,"NZ_CPI",Release_Calendar!$B$2:$B$755,$A2973)&gt;0,1,0))</f>
        <v/>
      </c>
      <c r="N2973" s="16" t="str">
        <f>IF($A2973&lt;Notes!$B$5,"",IF(COUNTIFS(Release_Calendar!$A$2:$A$755,"NZ_GDP",Release_Calendar!$B$2:$B$755,$A2973)&gt;0,1,0))</f>
        <v/>
      </c>
      <c r="O2973" s="16" t="str">
        <f>IF($A2973&lt;Notes!$B$5,"",IF(COUNTIFS(Release_Calendar!$A$2:$A$755,"NZ_LABOUR",Release_Calendar!$B$2:$B$755,$A2973)&gt;0,1,0))</f>
        <v/>
      </c>
      <c r="P2973" s="16">
        <f t="shared" si="4"/>
        <v>0</v>
      </c>
    </row>
    <row r="2974" ht="15.75" customHeight="1">
      <c r="A2974" s="14">
        <v>40688.0</v>
      </c>
      <c r="B2974" s="15">
        <v>0.54</v>
      </c>
      <c r="C2974" s="15">
        <v>3.35</v>
      </c>
      <c r="D2974" s="15">
        <v>3.19</v>
      </c>
      <c r="E2974" s="15">
        <v>3.19</v>
      </c>
      <c r="F2974" s="15">
        <f t="shared" si="1"/>
        <v>2.81</v>
      </c>
      <c r="G2974" s="15">
        <f t="shared" si="2"/>
        <v>3.35</v>
      </c>
      <c r="H2974" s="16">
        <v>0.0</v>
      </c>
      <c r="I2974" s="15">
        <f t="shared" si="3"/>
        <v>2.81</v>
      </c>
      <c r="J2974" s="15">
        <v>17.07</v>
      </c>
      <c r="K2974" s="16">
        <f>IF(COUNTIFS(Release_Calendar!$A$2:$A$755,"US_CPI",Release_Calendar!$B$2:$B$755,$A2974)&gt;0,1,0)</f>
        <v>0</v>
      </c>
      <c r="L2974" s="16">
        <f>IF(COUNTIFS(Release_Calendar!$A$2:$A$755,"US_NFP",Release_Calendar!$B$2:$B$755,$A2974)&gt;0,1,0)</f>
        <v>0</v>
      </c>
      <c r="M2974" s="16" t="str">
        <f>IF($A2974&lt;Notes!$B$5,"",IF(COUNTIFS(Release_Calendar!$A$2:$A$755,"NZ_CPI",Release_Calendar!$B$2:$B$755,$A2974)&gt;0,1,0))</f>
        <v/>
      </c>
      <c r="N2974" s="16" t="str">
        <f>IF($A2974&lt;Notes!$B$5,"",IF(COUNTIFS(Release_Calendar!$A$2:$A$755,"NZ_GDP",Release_Calendar!$B$2:$B$755,$A2974)&gt;0,1,0))</f>
        <v/>
      </c>
      <c r="O2974" s="16" t="str">
        <f>IF($A2974&lt;Notes!$B$5,"",IF(COUNTIFS(Release_Calendar!$A$2:$A$755,"NZ_LABOUR",Release_Calendar!$B$2:$B$755,$A2974)&gt;0,1,0))</f>
        <v/>
      </c>
      <c r="P2974" s="16">
        <f t="shared" si="4"/>
        <v>0</v>
      </c>
    </row>
    <row r="2975" ht="15.75" customHeight="1">
      <c r="A2975" s="14">
        <v>40689.0</v>
      </c>
      <c r="B2975" s="15">
        <v>0.48</v>
      </c>
      <c r="C2975" s="15">
        <v>3.4</v>
      </c>
      <c r="D2975" s="15">
        <v>3.19</v>
      </c>
      <c r="E2975" s="15">
        <v>3.25</v>
      </c>
      <c r="F2975" s="15">
        <f t="shared" si="1"/>
        <v>2.92</v>
      </c>
      <c r="G2975" s="15">
        <f t="shared" si="2"/>
        <v>3.4</v>
      </c>
      <c r="H2975" s="16">
        <v>0.0</v>
      </c>
      <c r="I2975" s="15">
        <f t="shared" si="3"/>
        <v>2.92</v>
      </c>
      <c r="J2975" s="15">
        <v>16.09</v>
      </c>
      <c r="K2975" s="16">
        <f>IF(COUNTIFS(Release_Calendar!$A$2:$A$755,"US_CPI",Release_Calendar!$B$2:$B$755,$A2975)&gt;0,1,0)</f>
        <v>0</v>
      </c>
      <c r="L2975" s="16">
        <f>IF(COUNTIFS(Release_Calendar!$A$2:$A$755,"US_NFP",Release_Calendar!$B$2:$B$755,$A2975)&gt;0,1,0)</f>
        <v>0</v>
      </c>
      <c r="M2975" s="16" t="str">
        <f>IF($A2975&lt;Notes!$B$5,"",IF(COUNTIFS(Release_Calendar!$A$2:$A$755,"NZ_CPI",Release_Calendar!$B$2:$B$755,$A2975)&gt;0,1,0))</f>
        <v/>
      </c>
      <c r="N2975" s="16" t="str">
        <f>IF($A2975&lt;Notes!$B$5,"",IF(COUNTIFS(Release_Calendar!$A$2:$A$755,"NZ_GDP",Release_Calendar!$B$2:$B$755,$A2975)&gt;0,1,0))</f>
        <v/>
      </c>
      <c r="O2975" s="16" t="str">
        <f>IF($A2975&lt;Notes!$B$5,"",IF(COUNTIFS(Release_Calendar!$A$2:$A$755,"NZ_LABOUR",Release_Calendar!$B$2:$B$755,$A2975)&gt;0,1,0))</f>
        <v/>
      </c>
      <c r="P2975" s="16">
        <f t="shared" si="4"/>
        <v>0</v>
      </c>
    </row>
    <row r="2976" ht="15.75" customHeight="1">
      <c r="A2976" s="14">
        <v>40690.0</v>
      </c>
      <c r="B2976" s="15">
        <v>0.48</v>
      </c>
      <c r="C2976" s="15">
        <v>3.38</v>
      </c>
      <c r="D2976" s="15">
        <v>3.2</v>
      </c>
      <c r="E2976" s="15">
        <v>3.23</v>
      </c>
      <c r="F2976" s="15">
        <f t="shared" si="1"/>
        <v>2.9</v>
      </c>
      <c r="G2976" s="15">
        <f t="shared" si="2"/>
        <v>3.38</v>
      </c>
      <c r="H2976" s="16">
        <v>0.0</v>
      </c>
      <c r="I2976" s="15">
        <f t="shared" si="3"/>
        <v>2.9</v>
      </c>
      <c r="J2976" s="15">
        <v>15.98</v>
      </c>
      <c r="K2976" s="16">
        <f>IF(COUNTIFS(Release_Calendar!$A$2:$A$755,"US_CPI",Release_Calendar!$B$2:$B$755,$A2976)&gt;0,1,0)</f>
        <v>0</v>
      </c>
      <c r="L2976" s="16">
        <f>IF(COUNTIFS(Release_Calendar!$A$2:$A$755,"US_NFP",Release_Calendar!$B$2:$B$755,$A2976)&gt;0,1,0)</f>
        <v>0</v>
      </c>
      <c r="M2976" s="16" t="str">
        <f>IF($A2976&lt;Notes!$B$5,"",IF(COUNTIFS(Release_Calendar!$A$2:$A$755,"NZ_CPI",Release_Calendar!$B$2:$B$755,$A2976)&gt;0,1,0))</f>
        <v/>
      </c>
      <c r="N2976" s="16" t="str">
        <f>IF($A2976&lt;Notes!$B$5,"",IF(COUNTIFS(Release_Calendar!$A$2:$A$755,"NZ_GDP",Release_Calendar!$B$2:$B$755,$A2976)&gt;0,1,0))</f>
        <v/>
      </c>
      <c r="O2976" s="16" t="str">
        <f>IF($A2976&lt;Notes!$B$5,"",IF(COUNTIFS(Release_Calendar!$A$2:$A$755,"NZ_LABOUR",Release_Calendar!$B$2:$B$755,$A2976)&gt;0,1,0))</f>
        <v/>
      </c>
      <c r="P2976" s="16">
        <f t="shared" si="4"/>
        <v>0</v>
      </c>
    </row>
    <row r="2977" ht="15.75" customHeight="1">
      <c r="A2977" s="14">
        <v>40693.0</v>
      </c>
      <c r="B2977" s="15"/>
      <c r="C2977" s="15">
        <v>3.39</v>
      </c>
      <c r="D2977" s="15">
        <v>3.22</v>
      </c>
      <c r="E2977" s="15">
        <v>3.23</v>
      </c>
      <c r="F2977" s="15" t="str">
        <f t="shared" si="1"/>
        <v/>
      </c>
      <c r="G2977" s="15">
        <f t="shared" si="2"/>
        <v>3.39</v>
      </c>
      <c r="H2977" s="16">
        <v>0.0</v>
      </c>
      <c r="I2977" s="15" t="str">
        <f t="shared" si="3"/>
        <v/>
      </c>
      <c r="J2977" s="15"/>
      <c r="K2977" s="16">
        <f>IF(COUNTIFS(Release_Calendar!$A$2:$A$755,"US_CPI",Release_Calendar!$B$2:$B$755,$A2977)&gt;0,1,0)</f>
        <v>0</v>
      </c>
      <c r="L2977" s="16">
        <f>IF(COUNTIFS(Release_Calendar!$A$2:$A$755,"US_NFP",Release_Calendar!$B$2:$B$755,$A2977)&gt;0,1,0)</f>
        <v>0</v>
      </c>
      <c r="M2977" s="16" t="str">
        <f>IF($A2977&lt;Notes!$B$5,"",IF(COUNTIFS(Release_Calendar!$A$2:$A$755,"NZ_CPI",Release_Calendar!$B$2:$B$755,$A2977)&gt;0,1,0))</f>
        <v/>
      </c>
      <c r="N2977" s="16" t="str">
        <f>IF($A2977&lt;Notes!$B$5,"",IF(COUNTIFS(Release_Calendar!$A$2:$A$755,"NZ_GDP",Release_Calendar!$B$2:$B$755,$A2977)&gt;0,1,0))</f>
        <v/>
      </c>
      <c r="O2977" s="16" t="str">
        <f>IF($A2977&lt;Notes!$B$5,"",IF(COUNTIFS(Release_Calendar!$A$2:$A$755,"NZ_LABOUR",Release_Calendar!$B$2:$B$755,$A2977)&gt;0,1,0))</f>
        <v/>
      </c>
      <c r="P2977" s="16">
        <f t="shared" si="4"/>
        <v>0</v>
      </c>
    </row>
    <row r="2978" ht="15.75" customHeight="1">
      <c r="A2978" s="14">
        <v>40694.0</v>
      </c>
      <c r="B2978" s="15">
        <v>0.45</v>
      </c>
      <c r="C2978" s="15">
        <v>3.43</v>
      </c>
      <c r="D2978" s="15">
        <v>3.22</v>
      </c>
      <c r="E2978" s="15">
        <v>3.27</v>
      </c>
      <c r="F2978" s="15">
        <f t="shared" si="1"/>
        <v>2.98</v>
      </c>
      <c r="G2978" s="15">
        <f t="shared" si="2"/>
        <v>3.43</v>
      </c>
      <c r="H2978" s="16">
        <v>0.0</v>
      </c>
      <c r="I2978" s="15">
        <f t="shared" si="3"/>
        <v>2.98</v>
      </c>
      <c r="J2978" s="15">
        <v>15.45</v>
      </c>
      <c r="K2978" s="16">
        <f>IF(COUNTIFS(Release_Calendar!$A$2:$A$755,"US_CPI",Release_Calendar!$B$2:$B$755,$A2978)&gt;0,1,0)</f>
        <v>0</v>
      </c>
      <c r="L2978" s="16">
        <f>IF(COUNTIFS(Release_Calendar!$A$2:$A$755,"US_NFP",Release_Calendar!$B$2:$B$755,$A2978)&gt;0,1,0)</f>
        <v>0</v>
      </c>
      <c r="M2978" s="16" t="str">
        <f>IF($A2978&lt;Notes!$B$5,"",IF(COUNTIFS(Release_Calendar!$A$2:$A$755,"NZ_CPI",Release_Calendar!$B$2:$B$755,$A2978)&gt;0,1,0))</f>
        <v/>
      </c>
      <c r="N2978" s="16" t="str">
        <f>IF($A2978&lt;Notes!$B$5,"",IF(COUNTIFS(Release_Calendar!$A$2:$A$755,"NZ_GDP",Release_Calendar!$B$2:$B$755,$A2978)&gt;0,1,0))</f>
        <v/>
      </c>
      <c r="O2978" s="16" t="str">
        <f>IF($A2978&lt;Notes!$B$5,"",IF(COUNTIFS(Release_Calendar!$A$2:$A$755,"NZ_LABOUR",Release_Calendar!$B$2:$B$755,$A2978)&gt;0,1,0))</f>
        <v/>
      </c>
      <c r="P2978" s="16">
        <f t="shared" si="4"/>
        <v>0</v>
      </c>
    </row>
    <row r="2979" ht="15.75" customHeight="1">
      <c r="A2979" s="14">
        <v>40695.0</v>
      </c>
      <c r="B2979" s="15">
        <v>0.44</v>
      </c>
      <c r="C2979" s="15">
        <v>3.46</v>
      </c>
      <c r="D2979" s="15">
        <v>3.28</v>
      </c>
      <c r="E2979" s="15">
        <v>3.32</v>
      </c>
      <c r="F2979" s="15">
        <f t="shared" si="1"/>
        <v>3.02</v>
      </c>
      <c r="G2979" s="15">
        <f t="shared" si="2"/>
        <v>3.46</v>
      </c>
      <c r="H2979" s="16">
        <v>0.0</v>
      </c>
      <c r="I2979" s="15">
        <f t="shared" si="3"/>
        <v>3.02</v>
      </c>
      <c r="J2979" s="15">
        <v>18.3</v>
      </c>
      <c r="K2979" s="16">
        <f>IF(COUNTIFS(Release_Calendar!$A$2:$A$755,"US_CPI",Release_Calendar!$B$2:$B$755,$A2979)&gt;0,1,0)</f>
        <v>0</v>
      </c>
      <c r="L2979" s="16">
        <f>IF(COUNTIFS(Release_Calendar!$A$2:$A$755,"US_NFP",Release_Calendar!$B$2:$B$755,$A2979)&gt;0,1,0)</f>
        <v>0</v>
      </c>
      <c r="M2979" s="16" t="str">
        <f>IF($A2979&lt;Notes!$B$5,"",IF(COUNTIFS(Release_Calendar!$A$2:$A$755,"NZ_CPI",Release_Calendar!$B$2:$B$755,$A2979)&gt;0,1,0))</f>
        <v/>
      </c>
      <c r="N2979" s="16" t="str">
        <f>IF($A2979&lt;Notes!$B$5,"",IF(COUNTIFS(Release_Calendar!$A$2:$A$755,"NZ_GDP",Release_Calendar!$B$2:$B$755,$A2979)&gt;0,1,0))</f>
        <v/>
      </c>
      <c r="O2979" s="16" t="str">
        <f>IF($A2979&lt;Notes!$B$5,"",IF(COUNTIFS(Release_Calendar!$A$2:$A$755,"NZ_LABOUR",Release_Calendar!$B$2:$B$755,$A2979)&gt;0,1,0))</f>
        <v/>
      </c>
      <c r="P2979" s="16">
        <f t="shared" si="4"/>
        <v>0</v>
      </c>
    </row>
    <row r="2980" ht="15.75" customHeight="1">
      <c r="A2980" s="14">
        <v>40696.0</v>
      </c>
      <c r="B2980" s="15">
        <v>0.45</v>
      </c>
      <c r="C2980" s="15">
        <v>3.41</v>
      </c>
      <c r="D2980" s="15">
        <v>3.25</v>
      </c>
      <c r="E2980" s="15">
        <v>3.26</v>
      </c>
      <c r="F2980" s="15">
        <f t="shared" si="1"/>
        <v>2.96</v>
      </c>
      <c r="G2980" s="15">
        <f t="shared" si="2"/>
        <v>3.41</v>
      </c>
      <c r="H2980" s="16">
        <v>0.0</v>
      </c>
      <c r="I2980" s="15">
        <f t="shared" si="3"/>
        <v>2.96</v>
      </c>
      <c r="J2980" s="15">
        <v>18.09</v>
      </c>
      <c r="K2980" s="16">
        <f>IF(COUNTIFS(Release_Calendar!$A$2:$A$755,"US_CPI",Release_Calendar!$B$2:$B$755,$A2980)&gt;0,1,0)</f>
        <v>0</v>
      </c>
      <c r="L2980" s="16">
        <f>IF(COUNTIFS(Release_Calendar!$A$2:$A$755,"US_NFP",Release_Calendar!$B$2:$B$755,$A2980)&gt;0,1,0)</f>
        <v>0</v>
      </c>
      <c r="M2980" s="16" t="str">
        <f>IF($A2980&lt;Notes!$B$5,"",IF(COUNTIFS(Release_Calendar!$A$2:$A$755,"NZ_CPI",Release_Calendar!$B$2:$B$755,$A2980)&gt;0,1,0))</f>
        <v/>
      </c>
      <c r="N2980" s="16" t="str">
        <f>IF($A2980&lt;Notes!$B$5,"",IF(COUNTIFS(Release_Calendar!$A$2:$A$755,"NZ_GDP",Release_Calendar!$B$2:$B$755,$A2980)&gt;0,1,0))</f>
        <v/>
      </c>
      <c r="O2980" s="16" t="str">
        <f>IF($A2980&lt;Notes!$B$5,"",IF(COUNTIFS(Release_Calendar!$A$2:$A$755,"NZ_LABOUR",Release_Calendar!$B$2:$B$755,$A2980)&gt;0,1,0))</f>
        <v/>
      </c>
      <c r="P2980" s="16">
        <f t="shared" si="4"/>
        <v>0</v>
      </c>
    </row>
    <row r="2981" ht="15.75" customHeight="1">
      <c r="A2981" s="14">
        <v>40697.0</v>
      </c>
      <c r="B2981" s="15">
        <v>0.42</v>
      </c>
      <c r="C2981" s="15">
        <v>3.37</v>
      </c>
      <c r="D2981" s="15">
        <v>3.23</v>
      </c>
      <c r="E2981" s="15">
        <v>3.24</v>
      </c>
      <c r="F2981" s="15">
        <f t="shared" si="1"/>
        <v>2.95</v>
      </c>
      <c r="G2981" s="15">
        <f t="shared" si="2"/>
        <v>3.37</v>
      </c>
      <c r="H2981" s="16">
        <v>0.0</v>
      </c>
      <c r="I2981" s="15">
        <f t="shared" si="3"/>
        <v>2.95</v>
      </c>
      <c r="J2981" s="15">
        <v>17.95</v>
      </c>
      <c r="K2981" s="16">
        <f>IF(COUNTIFS(Release_Calendar!$A$2:$A$755,"US_CPI",Release_Calendar!$B$2:$B$755,$A2981)&gt;0,1,0)</f>
        <v>0</v>
      </c>
      <c r="L2981" s="16">
        <f>IF(COUNTIFS(Release_Calendar!$A$2:$A$755,"US_NFP",Release_Calendar!$B$2:$B$755,$A2981)&gt;0,1,0)</f>
        <v>1</v>
      </c>
      <c r="M2981" s="16" t="str">
        <f>IF($A2981&lt;Notes!$B$5,"",IF(COUNTIFS(Release_Calendar!$A$2:$A$755,"NZ_CPI",Release_Calendar!$B$2:$B$755,$A2981)&gt;0,1,0))</f>
        <v/>
      </c>
      <c r="N2981" s="16" t="str">
        <f>IF($A2981&lt;Notes!$B$5,"",IF(COUNTIFS(Release_Calendar!$A$2:$A$755,"NZ_GDP",Release_Calendar!$B$2:$B$755,$A2981)&gt;0,1,0))</f>
        <v/>
      </c>
      <c r="O2981" s="16" t="str">
        <f>IF($A2981&lt;Notes!$B$5,"",IF(COUNTIFS(Release_Calendar!$A$2:$A$755,"NZ_LABOUR",Release_Calendar!$B$2:$B$755,$A2981)&gt;0,1,0))</f>
        <v/>
      </c>
      <c r="P2981" s="16">
        <f t="shared" si="4"/>
        <v>1</v>
      </c>
    </row>
    <row r="2982" ht="15.75" customHeight="1">
      <c r="A2982" s="14">
        <v>40700.0</v>
      </c>
      <c r="B2982" s="15">
        <v>0.43</v>
      </c>
      <c r="C2982" s="15"/>
      <c r="D2982" s="15"/>
      <c r="E2982" s="15"/>
      <c r="F2982" s="15" t="str">
        <f t="shared" si="1"/>
        <v/>
      </c>
      <c r="G2982" s="15" t="str">
        <f t="shared" si="2"/>
        <v/>
      </c>
      <c r="H2982" s="16">
        <v>0.0</v>
      </c>
      <c r="I2982" s="15" t="str">
        <f t="shared" si="3"/>
        <v/>
      </c>
      <c r="J2982" s="15">
        <v>18.49</v>
      </c>
      <c r="K2982" s="16">
        <f>IF(COUNTIFS(Release_Calendar!$A$2:$A$755,"US_CPI",Release_Calendar!$B$2:$B$755,$A2982)&gt;0,1,0)</f>
        <v>0</v>
      </c>
      <c r="L2982" s="16">
        <f>IF(COUNTIFS(Release_Calendar!$A$2:$A$755,"US_NFP",Release_Calendar!$B$2:$B$755,$A2982)&gt;0,1,0)</f>
        <v>0</v>
      </c>
      <c r="M2982" s="16" t="str">
        <f>IF($A2982&lt;Notes!$B$5,"",IF(COUNTIFS(Release_Calendar!$A$2:$A$755,"NZ_CPI",Release_Calendar!$B$2:$B$755,$A2982)&gt;0,1,0))</f>
        <v/>
      </c>
      <c r="N2982" s="16" t="str">
        <f>IF($A2982&lt;Notes!$B$5,"",IF(COUNTIFS(Release_Calendar!$A$2:$A$755,"NZ_GDP",Release_Calendar!$B$2:$B$755,$A2982)&gt;0,1,0))</f>
        <v/>
      </c>
      <c r="O2982" s="16" t="str">
        <f>IF($A2982&lt;Notes!$B$5,"",IF(COUNTIFS(Release_Calendar!$A$2:$A$755,"NZ_LABOUR",Release_Calendar!$B$2:$B$755,$A2982)&gt;0,1,0))</f>
        <v/>
      </c>
      <c r="P2982" s="16">
        <f t="shared" si="4"/>
        <v>0</v>
      </c>
    </row>
    <row r="2983" ht="15.75" customHeight="1">
      <c r="A2983" s="14">
        <v>40701.0</v>
      </c>
      <c r="B2983" s="15">
        <v>0.39</v>
      </c>
      <c r="C2983" s="15">
        <v>3.39</v>
      </c>
      <c r="D2983" s="15">
        <v>3.23</v>
      </c>
      <c r="E2983" s="15">
        <v>3.25</v>
      </c>
      <c r="F2983" s="15">
        <f t="shared" si="1"/>
        <v>3</v>
      </c>
      <c r="G2983" s="15">
        <f t="shared" si="2"/>
        <v>3.39</v>
      </c>
      <c r="H2983" s="16">
        <v>0.0</v>
      </c>
      <c r="I2983" s="15">
        <f t="shared" si="3"/>
        <v>3</v>
      </c>
      <c r="J2983" s="15">
        <v>18.07</v>
      </c>
      <c r="K2983" s="16">
        <f>IF(COUNTIFS(Release_Calendar!$A$2:$A$755,"US_CPI",Release_Calendar!$B$2:$B$755,$A2983)&gt;0,1,0)</f>
        <v>0</v>
      </c>
      <c r="L2983" s="16">
        <f>IF(COUNTIFS(Release_Calendar!$A$2:$A$755,"US_NFP",Release_Calendar!$B$2:$B$755,$A2983)&gt;0,1,0)</f>
        <v>0</v>
      </c>
      <c r="M2983" s="16" t="str">
        <f>IF($A2983&lt;Notes!$B$5,"",IF(COUNTIFS(Release_Calendar!$A$2:$A$755,"NZ_CPI",Release_Calendar!$B$2:$B$755,$A2983)&gt;0,1,0))</f>
        <v/>
      </c>
      <c r="N2983" s="16" t="str">
        <f>IF($A2983&lt;Notes!$B$5,"",IF(COUNTIFS(Release_Calendar!$A$2:$A$755,"NZ_GDP",Release_Calendar!$B$2:$B$755,$A2983)&gt;0,1,0))</f>
        <v/>
      </c>
      <c r="O2983" s="16" t="str">
        <f>IF($A2983&lt;Notes!$B$5,"",IF(COUNTIFS(Release_Calendar!$A$2:$A$755,"NZ_LABOUR",Release_Calendar!$B$2:$B$755,$A2983)&gt;0,1,0))</f>
        <v/>
      </c>
      <c r="P2983" s="16">
        <f t="shared" si="4"/>
        <v>0</v>
      </c>
    </row>
    <row r="2984" ht="15.75" customHeight="1">
      <c r="A2984" s="14">
        <v>40702.0</v>
      </c>
      <c r="B2984" s="15">
        <v>0.39</v>
      </c>
      <c r="C2984" s="15">
        <v>3.36</v>
      </c>
      <c r="D2984" s="15">
        <v>3.23</v>
      </c>
      <c r="E2984" s="15">
        <v>3.22</v>
      </c>
      <c r="F2984" s="15">
        <f t="shared" si="1"/>
        <v>2.97</v>
      </c>
      <c r="G2984" s="15">
        <f t="shared" si="2"/>
        <v>3.36</v>
      </c>
      <c r="H2984" s="16">
        <v>0.0</v>
      </c>
      <c r="I2984" s="15">
        <f t="shared" si="3"/>
        <v>2.97</v>
      </c>
      <c r="J2984" s="15">
        <v>18.79</v>
      </c>
      <c r="K2984" s="16">
        <f>IF(COUNTIFS(Release_Calendar!$A$2:$A$755,"US_CPI",Release_Calendar!$B$2:$B$755,$A2984)&gt;0,1,0)</f>
        <v>0</v>
      </c>
      <c r="L2984" s="16">
        <f>IF(COUNTIFS(Release_Calendar!$A$2:$A$755,"US_NFP",Release_Calendar!$B$2:$B$755,$A2984)&gt;0,1,0)</f>
        <v>0</v>
      </c>
      <c r="M2984" s="16" t="str">
        <f>IF($A2984&lt;Notes!$B$5,"",IF(COUNTIFS(Release_Calendar!$A$2:$A$755,"NZ_CPI",Release_Calendar!$B$2:$B$755,$A2984)&gt;0,1,0))</f>
        <v/>
      </c>
      <c r="N2984" s="16" t="str">
        <f>IF($A2984&lt;Notes!$B$5,"",IF(COUNTIFS(Release_Calendar!$A$2:$A$755,"NZ_GDP",Release_Calendar!$B$2:$B$755,$A2984)&gt;0,1,0))</f>
        <v/>
      </c>
      <c r="O2984" s="16" t="str">
        <f>IF($A2984&lt;Notes!$B$5,"",IF(COUNTIFS(Release_Calendar!$A$2:$A$755,"NZ_LABOUR",Release_Calendar!$B$2:$B$755,$A2984)&gt;0,1,0))</f>
        <v/>
      </c>
      <c r="P2984" s="16">
        <f t="shared" si="4"/>
        <v>0</v>
      </c>
    </row>
    <row r="2985" ht="15.75" customHeight="1">
      <c r="A2985" s="14">
        <v>40703.0</v>
      </c>
      <c r="B2985" s="15">
        <v>0.43</v>
      </c>
      <c r="C2985" s="15">
        <v>3.43</v>
      </c>
      <c r="D2985" s="15">
        <v>3.31</v>
      </c>
      <c r="E2985" s="15">
        <v>3.28</v>
      </c>
      <c r="F2985" s="15">
        <f t="shared" si="1"/>
        <v>3</v>
      </c>
      <c r="G2985" s="15">
        <f t="shared" si="2"/>
        <v>3.43</v>
      </c>
      <c r="H2985" s="16">
        <v>0.0</v>
      </c>
      <c r="I2985" s="15">
        <f t="shared" si="3"/>
        <v>3</v>
      </c>
      <c r="J2985" s="15">
        <v>17.77</v>
      </c>
      <c r="K2985" s="16">
        <f>IF(COUNTIFS(Release_Calendar!$A$2:$A$755,"US_CPI",Release_Calendar!$B$2:$B$755,$A2985)&gt;0,1,0)</f>
        <v>0</v>
      </c>
      <c r="L2985" s="16">
        <f>IF(COUNTIFS(Release_Calendar!$A$2:$A$755,"US_NFP",Release_Calendar!$B$2:$B$755,$A2985)&gt;0,1,0)</f>
        <v>0</v>
      </c>
      <c r="M2985" s="16" t="str">
        <f>IF($A2985&lt;Notes!$B$5,"",IF(COUNTIFS(Release_Calendar!$A$2:$A$755,"NZ_CPI",Release_Calendar!$B$2:$B$755,$A2985)&gt;0,1,0))</f>
        <v/>
      </c>
      <c r="N2985" s="16" t="str">
        <f>IF($A2985&lt;Notes!$B$5,"",IF(COUNTIFS(Release_Calendar!$A$2:$A$755,"NZ_GDP",Release_Calendar!$B$2:$B$755,$A2985)&gt;0,1,0))</f>
        <v/>
      </c>
      <c r="O2985" s="16" t="str">
        <f>IF($A2985&lt;Notes!$B$5,"",IF(COUNTIFS(Release_Calendar!$A$2:$A$755,"NZ_LABOUR",Release_Calendar!$B$2:$B$755,$A2985)&gt;0,1,0))</f>
        <v/>
      </c>
      <c r="P2985" s="16">
        <f t="shared" si="4"/>
        <v>0</v>
      </c>
    </row>
    <row r="2986" ht="15.75" customHeight="1">
      <c r="A2986" s="14">
        <v>40704.0</v>
      </c>
      <c r="B2986" s="15">
        <v>0.41</v>
      </c>
      <c r="C2986" s="15">
        <v>3.41</v>
      </c>
      <c r="D2986" s="15">
        <v>3.28</v>
      </c>
      <c r="E2986" s="15">
        <v>3.23</v>
      </c>
      <c r="F2986" s="15">
        <f t="shared" si="1"/>
        <v>3</v>
      </c>
      <c r="G2986" s="15">
        <f t="shared" si="2"/>
        <v>3.41</v>
      </c>
      <c r="H2986" s="16">
        <v>0.0</v>
      </c>
      <c r="I2986" s="15">
        <f t="shared" si="3"/>
        <v>3</v>
      </c>
      <c r="J2986" s="15">
        <v>18.86</v>
      </c>
      <c r="K2986" s="16">
        <f>IF(COUNTIFS(Release_Calendar!$A$2:$A$755,"US_CPI",Release_Calendar!$B$2:$B$755,$A2986)&gt;0,1,0)</f>
        <v>0</v>
      </c>
      <c r="L2986" s="16">
        <f>IF(COUNTIFS(Release_Calendar!$A$2:$A$755,"US_NFP",Release_Calendar!$B$2:$B$755,$A2986)&gt;0,1,0)</f>
        <v>0</v>
      </c>
      <c r="M2986" s="16" t="str">
        <f>IF($A2986&lt;Notes!$B$5,"",IF(COUNTIFS(Release_Calendar!$A$2:$A$755,"NZ_CPI",Release_Calendar!$B$2:$B$755,$A2986)&gt;0,1,0))</f>
        <v/>
      </c>
      <c r="N2986" s="16" t="str">
        <f>IF($A2986&lt;Notes!$B$5,"",IF(COUNTIFS(Release_Calendar!$A$2:$A$755,"NZ_GDP",Release_Calendar!$B$2:$B$755,$A2986)&gt;0,1,0))</f>
        <v/>
      </c>
      <c r="O2986" s="16" t="str">
        <f>IF($A2986&lt;Notes!$B$5,"",IF(COUNTIFS(Release_Calendar!$A$2:$A$755,"NZ_LABOUR",Release_Calendar!$B$2:$B$755,$A2986)&gt;0,1,0))</f>
        <v/>
      </c>
      <c r="P2986" s="16">
        <f t="shared" si="4"/>
        <v>0</v>
      </c>
    </row>
    <row r="2987" ht="15.75" customHeight="1">
      <c r="A2987" s="14">
        <v>40707.0</v>
      </c>
      <c r="B2987" s="15">
        <v>0.4</v>
      </c>
      <c r="C2987" s="15">
        <v>3.34</v>
      </c>
      <c r="D2987" s="15">
        <v>3.22</v>
      </c>
      <c r="E2987" s="15">
        <v>3.17</v>
      </c>
      <c r="F2987" s="15">
        <f t="shared" si="1"/>
        <v>2.94</v>
      </c>
      <c r="G2987" s="15">
        <f t="shared" si="2"/>
        <v>3.34</v>
      </c>
      <c r="H2987" s="16">
        <v>0.0</v>
      </c>
      <c r="I2987" s="15">
        <f t="shared" si="3"/>
        <v>2.94</v>
      </c>
      <c r="J2987" s="15">
        <v>19.61</v>
      </c>
      <c r="K2987" s="16">
        <f>IF(COUNTIFS(Release_Calendar!$A$2:$A$755,"US_CPI",Release_Calendar!$B$2:$B$755,$A2987)&gt;0,1,0)</f>
        <v>0</v>
      </c>
      <c r="L2987" s="16">
        <f>IF(COUNTIFS(Release_Calendar!$A$2:$A$755,"US_NFP",Release_Calendar!$B$2:$B$755,$A2987)&gt;0,1,0)</f>
        <v>0</v>
      </c>
      <c r="M2987" s="16" t="str">
        <f>IF($A2987&lt;Notes!$B$5,"",IF(COUNTIFS(Release_Calendar!$A$2:$A$755,"NZ_CPI",Release_Calendar!$B$2:$B$755,$A2987)&gt;0,1,0))</f>
        <v/>
      </c>
      <c r="N2987" s="16" t="str">
        <f>IF($A2987&lt;Notes!$B$5,"",IF(COUNTIFS(Release_Calendar!$A$2:$A$755,"NZ_GDP",Release_Calendar!$B$2:$B$755,$A2987)&gt;0,1,0))</f>
        <v/>
      </c>
      <c r="O2987" s="16" t="str">
        <f>IF($A2987&lt;Notes!$B$5,"",IF(COUNTIFS(Release_Calendar!$A$2:$A$755,"NZ_LABOUR",Release_Calendar!$B$2:$B$755,$A2987)&gt;0,1,0))</f>
        <v/>
      </c>
      <c r="P2987" s="16">
        <f t="shared" si="4"/>
        <v>0</v>
      </c>
    </row>
    <row r="2988" ht="15.75" customHeight="1">
      <c r="A2988" s="14">
        <v>40708.0</v>
      </c>
      <c r="B2988" s="15">
        <v>0.45</v>
      </c>
      <c r="C2988" s="15">
        <v>3.34</v>
      </c>
      <c r="D2988" s="15">
        <v>3.17</v>
      </c>
      <c r="E2988" s="15">
        <v>3.17</v>
      </c>
      <c r="F2988" s="15">
        <f t="shared" si="1"/>
        <v>2.89</v>
      </c>
      <c r="G2988" s="15">
        <f t="shared" si="2"/>
        <v>3.34</v>
      </c>
      <c r="H2988" s="16">
        <v>0.0</v>
      </c>
      <c r="I2988" s="15">
        <f t="shared" si="3"/>
        <v>2.89</v>
      </c>
      <c r="J2988" s="15">
        <v>18.26</v>
      </c>
      <c r="K2988" s="16">
        <f>IF(COUNTIFS(Release_Calendar!$A$2:$A$755,"US_CPI",Release_Calendar!$B$2:$B$755,$A2988)&gt;0,1,0)</f>
        <v>0</v>
      </c>
      <c r="L2988" s="16">
        <f>IF(COUNTIFS(Release_Calendar!$A$2:$A$755,"US_NFP",Release_Calendar!$B$2:$B$755,$A2988)&gt;0,1,0)</f>
        <v>0</v>
      </c>
      <c r="M2988" s="16" t="str">
        <f>IF($A2988&lt;Notes!$B$5,"",IF(COUNTIFS(Release_Calendar!$A$2:$A$755,"NZ_CPI",Release_Calendar!$B$2:$B$755,$A2988)&gt;0,1,0))</f>
        <v/>
      </c>
      <c r="N2988" s="16" t="str">
        <f>IF($A2988&lt;Notes!$B$5,"",IF(COUNTIFS(Release_Calendar!$A$2:$A$755,"NZ_GDP",Release_Calendar!$B$2:$B$755,$A2988)&gt;0,1,0))</f>
        <v/>
      </c>
      <c r="O2988" s="16" t="str">
        <f>IF($A2988&lt;Notes!$B$5,"",IF(COUNTIFS(Release_Calendar!$A$2:$A$755,"NZ_LABOUR",Release_Calendar!$B$2:$B$755,$A2988)&gt;0,1,0))</f>
        <v/>
      </c>
      <c r="P2988" s="16">
        <f t="shared" si="4"/>
        <v>0</v>
      </c>
    </row>
    <row r="2989" ht="15.75" customHeight="1">
      <c r="A2989" s="14">
        <v>40709.0</v>
      </c>
      <c r="B2989" s="15">
        <v>0.38</v>
      </c>
      <c r="C2989" s="15">
        <v>3.36</v>
      </c>
      <c r="D2989" s="15">
        <v>3.2</v>
      </c>
      <c r="E2989" s="15">
        <v>3.18</v>
      </c>
      <c r="F2989" s="15">
        <f t="shared" si="1"/>
        <v>2.98</v>
      </c>
      <c r="G2989" s="15">
        <f t="shared" si="2"/>
        <v>3.36</v>
      </c>
      <c r="H2989" s="16">
        <v>0.0</v>
      </c>
      <c r="I2989" s="15">
        <f t="shared" si="3"/>
        <v>2.98</v>
      </c>
      <c r="J2989" s="15">
        <v>21.32</v>
      </c>
      <c r="K2989" s="16">
        <f>IF(COUNTIFS(Release_Calendar!$A$2:$A$755,"US_CPI",Release_Calendar!$B$2:$B$755,$A2989)&gt;0,1,0)</f>
        <v>1</v>
      </c>
      <c r="L2989" s="16">
        <f>IF(COUNTIFS(Release_Calendar!$A$2:$A$755,"US_NFP",Release_Calendar!$B$2:$B$755,$A2989)&gt;0,1,0)</f>
        <v>0</v>
      </c>
      <c r="M2989" s="16" t="str">
        <f>IF($A2989&lt;Notes!$B$5,"",IF(COUNTIFS(Release_Calendar!$A$2:$A$755,"NZ_CPI",Release_Calendar!$B$2:$B$755,$A2989)&gt;0,1,0))</f>
        <v/>
      </c>
      <c r="N2989" s="16" t="str">
        <f>IF($A2989&lt;Notes!$B$5,"",IF(COUNTIFS(Release_Calendar!$A$2:$A$755,"NZ_GDP",Release_Calendar!$B$2:$B$755,$A2989)&gt;0,1,0))</f>
        <v/>
      </c>
      <c r="O2989" s="16" t="str">
        <f>IF($A2989&lt;Notes!$B$5,"",IF(COUNTIFS(Release_Calendar!$A$2:$A$755,"NZ_LABOUR",Release_Calendar!$B$2:$B$755,$A2989)&gt;0,1,0))</f>
        <v/>
      </c>
      <c r="P2989" s="16">
        <f t="shared" si="4"/>
        <v>1</v>
      </c>
    </row>
    <row r="2990" ht="15.75" customHeight="1">
      <c r="A2990" s="14">
        <v>40710.0</v>
      </c>
      <c r="B2990" s="15">
        <v>0.38</v>
      </c>
      <c r="C2990" s="15">
        <v>3.32</v>
      </c>
      <c r="D2990" s="15">
        <v>3.14</v>
      </c>
      <c r="E2990" s="15">
        <v>3.14</v>
      </c>
      <c r="F2990" s="15">
        <f t="shared" si="1"/>
        <v>2.94</v>
      </c>
      <c r="G2990" s="15">
        <f t="shared" si="2"/>
        <v>3.32</v>
      </c>
      <c r="H2990" s="16">
        <v>0.0</v>
      </c>
      <c r="I2990" s="15">
        <f t="shared" si="3"/>
        <v>2.94</v>
      </c>
      <c r="J2990" s="15">
        <v>22.73</v>
      </c>
      <c r="K2990" s="16">
        <f>IF(COUNTIFS(Release_Calendar!$A$2:$A$755,"US_CPI",Release_Calendar!$B$2:$B$755,$A2990)&gt;0,1,0)</f>
        <v>0</v>
      </c>
      <c r="L2990" s="16">
        <f>IF(COUNTIFS(Release_Calendar!$A$2:$A$755,"US_NFP",Release_Calendar!$B$2:$B$755,$A2990)&gt;0,1,0)</f>
        <v>0</v>
      </c>
      <c r="M2990" s="16" t="str">
        <f>IF($A2990&lt;Notes!$B$5,"",IF(COUNTIFS(Release_Calendar!$A$2:$A$755,"NZ_CPI",Release_Calendar!$B$2:$B$755,$A2990)&gt;0,1,0))</f>
        <v/>
      </c>
      <c r="N2990" s="16" t="str">
        <f>IF($A2990&lt;Notes!$B$5,"",IF(COUNTIFS(Release_Calendar!$A$2:$A$755,"NZ_GDP",Release_Calendar!$B$2:$B$755,$A2990)&gt;0,1,0))</f>
        <v/>
      </c>
      <c r="O2990" s="16" t="str">
        <f>IF($A2990&lt;Notes!$B$5,"",IF(COUNTIFS(Release_Calendar!$A$2:$A$755,"NZ_LABOUR",Release_Calendar!$B$2:$B$755,$A2990)&gt;0,1,0))</f>
        <v/>
      </c>
      <c r="P2990" s="16">
        <f t="shared" si="4"/>
        <v>0</v>
      </c>
    </row>
    <row r="2991" ht="15.75" customHeight="1">
      <c r="A2991" s="14">
        <v>40711.0</v>
      </c>
      <c r="B2991" s="15">
        <v>0.38</v>
      </c>
      <c r="C2991" s="15">
        <v>3.31</v>
      </c>
      <c r="D2991" s="15">
        <v>3.15</v>
      </c>
      <c r="E2991" s="15">
        <v>3.12</v>
      </c>
      <c r="F2991" s="15">
        <f t="shared" si="1"/>
        <v>2.93</v>
      </c>
      <c r="G2991" s="15">
        <f t="shared" si="2"/>
        <v>3.31</v>
      </c>
      <c r="H2991" s="16">
        <v>0.0</v>
      </c>
      <c r="I2991" s="15">
        <f t="shared" si="3"/>
        <v>2.93</v>
      </c>
      <c r="J2991" s="15">
        <v>21.85</v>
      </c>
      <c r="K2991" s="16">
        <f>IF(COUNTIFS(Release_Calendar!$A$2:$A$755,"US_CPI",Release_Calendar!$B$2:$B$755,$A2991)&gt;0,1,0)</f>
        <v>0</v>
      </c>
      <c r="L2991" s="16">
        <f>IF(COUNTIFS(Release_Calendar!$A$2:$A$755,"US_NFP",Release_Calendar!$B$2:$B$755,$A2991)&gt;0,1,0)</f>
        <v>0</v>
      </c>
      <c r="M2991" s="16" t="str">
        <f>IF($A2991&lt;Notes!$B$5,"",IF(COUNTIFS(Release_Calendar!$A$2:$A$755,"NZ_CPI",Release_Calendar!$B$2:$B$755,$A2991)&gt;0,1,0))</f>
        <v/>
      </c>
      <c r="N2991" s="16" t="str">
        <f>IF($A2991&lt;Notes!$B$5,"",IF(COUNTIFS(Release_Calendar!$A$2:$A$755,"NZ_GDP",Release_Calendar!$B$2:$B$755,$A2991)&gt;0,1,0))</f>
        <v/>
      </c>
      <c r="O2991" s="16" t="str">
        <f>IF($A2991&lt;Notes!$B$5,"",IF(COUNTIFS(Release_Calendar!$A$2:$A$755,"NZ_LABOUR",Release_Calendar!$B$2:$B$755,$A2991)&gt;0,1,0))</f>
        <v/>
      </c>
      <c r="P2991" s="16">
        <f t="shared" si="4"/>
        <v>0</v>
      </c>
    </row>
    <row r="2992" ht="15.75" customHeight="1">
      <c r="A2992" s="14">
        <v>40714.0</v>
      </c>
      <c r="B2992" s="15">
        <v>0.38</v>
      </c>
      <c r="C2992" s="15">
        <v>3.31</v>
      </c>
      <c r="D2992" s="15">
        <v>3.12</v>
      </c>
      <c r="E2992" s="15">
        <v>3.16</v>
      </c>
      <c r="F2992" s="15">
        <f t="shared" si="1"/>
        <v>2.93</v>
      </c>
      <c r="G2992" s="15">
        <f t="shared" si="2"/>
        <v>3.31</v>
      </c>
      <c r="H2992" s="16">
        <v>0.0</v>
      </c>
      <c r="I2992" s="15">
        <f t="shared" si="3"/>
        <v>2.93</v>
      </c>
      <c r="J2992" s="15">
        <v>19.99</v>
      </c>
      <c r="K2992" s="16">
        <f>IF(COUNTIFS(Release_Calendar!$A$2:$A$755,"US_CPI",Release_Calendar!$B$2:$B$755,$A2992)&gt;0,1,0)</f>
        <v>0</v>
      </c>
      <c r="L2992" s="16">
        <f>IF(COUNTIFS(Release_Calendar!$A$2:$A$755,"US_NFP",Release_Calendar!$B$2:$B$755,$A2992)&gt;0,1,0)</f>
        <v>0</v>
      </c>
      <c r="M2992" s="16" t="str">
        <f>IF($A2992&lt;Notes!$B$5,"",IF(COUNTIFS(Release_Calendar!$A$2:$A$755,"NZ_CPI",Release_Calendar!$B$2:$B$755,$A2992)&gt;0,1,0))</f>
        <v/>
      </c>
      <c r="N2992" s="16" t="str">
        <f>IF($A2992&lt;Notes!$B$5,"",IF(COUNTIFS(Release_Calendar!$A$2:$A$755,"NZ_GDP",Release_Calendar!$B$2:$B$755,$A2992)&gt;0,1,0))</f>
        <v/>
      </c>
      <c r="O2992" s="16" t="str">
        <f>IF($A2992&lt;Notes!$B$5,"",IF(COUNTIFS(Release_Calendar!$A$2:$A$755,"NZ_LABOUR",Release_Calendar!$B$2:$B$755,$A2992)&gt;0,1,0))</f>
        <v/>
      </c>
      <c r="P2992" s="16">
        <f t="shared" si="4"/>
        <v>0</v>
      </c>
    </row>
    <row r="2993" ht="15.75" customHeight="1">
      <c r="A2993" s="14">
        <v>40715.0</v>
      </c>
      <c r="B2993" s="15">
        <v>0.4</v>
      </c>
      <c r="C2993" s="15">
        <v>3.3</v>
      </c>
      <c r="D2993" s="15">
        <v>3.15</v>
      </c>
      <c r="E2993" s="15">
        <v>3.14</v>
      </c>
      <c r="F2993" s="15">
        <f t="shared" si="1"/>
        <v>2.9</v>
      </c>
      <c r="G2993" s="15">
        <f t="shared" si="2"/>
        <v>3.3</v>
      </c>
      <c r="H2993" s="16">
        <v>0.0</v>
      </c>
      <c r="I2993" s="15">
        <f t="shared" si="3"/>
        <v>2.9</v>
      </c>
      <c r="J2993" s="15">
        <v>18.86</v>
      </c>
      <c r="K2993" s="16">
        <f>IF(COUNTIFS(Release_Calendar!$A$2:$A$755,"US_CPI",Release_Calendar!$B$2:$B$755,$A2993)&gt;0,1,0)</f>
        <v>0</v>
      </c>
      <c r="L2993" s="16">
        <f>IF(COUNTIFS(Release_Calendar!$A$2:$A$755,"US_NFP",Release_Calendar!$B$2:$B$755,$A2993)&gt;0,1,0)</f>
        <v>0</v>
      </c>
      <c r="M2993" s="16" t="str">
        <f>IF($A2993&lt;Notes!$B$5,"",IF(COUNTIFS(Release_Calendar!$A$2:$A$755,"NZ_CPI",Release_Calendar!$B$2:$B$755,$A2993)&gt;0,1,0))</f>
        <v/>
      </c>
      <c r="N2993" s="16" t="str">
        <f>IF($A2993&lt;Notes!$B$5,"",IF(COUNTIFS(Release_Calendar!$A$2:$A$755,"NZ_GDP",Release_Calendar!$B$2:$B$755,$A2993)&gt;0,1,0))</f>
        <v/>
      </c>
      <c r="O2993" s="16" t="str">
        <f>IF($A2993&lt;Notes!$B$5,"",IF(COUNTIFS(Release_Calendar!$A$2:$A$755,"NZ_LABOUR",Release_Calendar!$B$2:$B$755,$A2993)&gt;0,1,0))</f>
        <v/>
      </c>
      <c r="P2993" s="16">
        <f t="shared" si="4"/>
        <v>0</v>
      </c>
    </row>
    <row r="2994" ht="15.75" customHeight="1">
      <c r="A2994" s="14">
        <v>40716.0</v>
      </c>
      <c r="B2994" s="15">
        <v>0.39</v>
      </c>
      <c r="C2994" s="15">
        <v>3.33</v>
      </c>
      <c r="D2994" s="15">
        <v>3.15</v>
      </c>
      <c r="E2994" s="15">
        <v>3.18</v>
      </c>
      <c r="F2994" s="15">
        <f t="shared" si="1"/>
        <v>2.94</v>
      </c>
      <c r="G2994" s="15">
        <f t="shared" si="2"/>
        <v>3.33</v>
      </c>
      <c r="H2994" s="16">
        <v>0.0</v>
      </c>
      <c r="I2994" s="15">
        <f t="shared" si="3"/>
        <v>2.94</v>
      </c>
      <c r="J2994" s="15">
        <v>18.52</v>
      </c>
      <c r="K2994" s="16">
        <f>IF(COUNTIFS(Release_Calendar!$A$2:$A$755,"US_CPI",Release_Calendar!$B$2:$B$755,$A2994)&gt;0,1,0)</f>
        <v>0</v>
      </c>
      <c r="L2994" s="16">
        <f>IF(COUNTIFS(Release_Calendar!$A$2:$A$755,"US_NFP",Release_Calendar!$B$2:$B$755,$A2994)&gt;0,1,0)</f>
        <v>0</v>
      </c>
      <c r="M2994" s="16" t="str">
        <f>IF($A2994&lt;Notes!$B$5,"",IF(COUNTIFS(Release_Calendar!$A$2:$A$755,"NZ_CPI",Release_Calendar!$B$2:$B$755,$A2994)&gt;0,1,0))</f>
        <v/>
      </c>
      <c r="N2994" s="16" t="str">
        <f>IF($A2994&lt;Notes!$B$5,"",IF(COUNTIFS(Release_Calendar!$A$2:$A$755,"NZ_GDP",Release_Calendar!$B$2:$B$755,$A2994)&gt;0,1,0))</f>
        <v/>
      </c>
      <c r="O2994" s="16" t="str">
        <f>IF($A2994&lt;Notes!$B$5,"",IF(COUNTIFS(Release_Calendar!$A$2:$A$755,"NZ_LABOUR",Release_Calendar!$B$2:$B$755,$A2994)&gt;0,1,0))</f>
        <v/>
      </c>
      <c r="P2994" s="16">
        <f t="shared" si="4"/>
        <v>0</v>
      </c>
    </row>
    <row r="2995" ht="15.75" customHeight="1">
      <c r="A2995" s="14">
        <v>40717.0</v>
      </c>
      <c r="B2995" s="15">
        <v>0.35</v>
      </c>
      <c r="C2995" s="15">
        <v>3.37</v>
      </c>
      <c r="D2995" s="15">
        <v>3.18</v>
      </c>
      <c r="E2995" s="15">
        <v>3.18</v>
      </c>
      <c r="F2995" s="15">
        <f t="shared" si="1"/>
        <v>3.02</v>
      </c>
      <c r="G2995" s="15">
        <f t="shared" si="2"/>
        <v>3.37</v>
      </c>
      <c r="H2995" s="16">
        <v>0.0</v>
      </c>
      <c r="I2995" s="15">
        <f t="shared" si="3"/>
        <v>3.02</v>
      </c>
      <c r="J2995" s="15">
        <v>19.29</v>
      </c>
      <c r="K2995" s="16">
        <f>IF(COUNTIFS(Release_Calendar!$A$2:$A$755,"US_CPI",Release_Calendar!$B$2:$B$755,$A2995)&gt;0,1,0)</f>
        <v>0</v>
      </c>
      <c r="L2995" s="16">
        <f>IF(COUNTIFS(Release_Calendar!$A$2:$A$755,"US_NFP",Release_Calendar!$B$2:$B$755,$A2995)&gt;0,1,0)</f>
        <v>0</v>
      </c>
      <c r="M2995" s="16" t="str">
        <f>IF($A2995&lt;Notes!$B$5,"",IF(COUNTIFS(Release_Calendar!$A$2:$A$755,"NZ_CPI",Release_Calendar!$B$2:$B$755,$A2995)&gt;0,1,0))</f>
        <v/>
      </c>
      <c r="N2995" s="16" t="str">
        <f>IF($A2995&lt;Notes!$B$5,"",IF(COUNTIFS(Release_Calendar!$A$2:$A$755,"NZ_GDP",Release_Calendar!$B$2:$B$755,$A2995)&gt;0,1,0))</f>
        <v/>
      </c>
      <c r="O2995" s="16" t="str">
        <f>IF($A2995&lt;Notes!$B$5,"",IF(COUNTIFS(Release_Calendar!$A$2:$A$755,"NZ_LABOUR",Release_Calendar!$B$2:$B$755,$A2995)&gt;0,1,0))</f>
        <v/>
      </c>
      <c r="P2995" s="16">
        <f t="shared" si="4"/>
        <v>0</v>
      </c>
    </row>
    <row r="2996" ht="15.75" customHeight="1">
      <c r="A2996" s="14">
        <v>40718.0</v>
      </c>
      <c r="B2996" s="15">
        <v>0.35</v>
      </c>
      <c r="C2996" s="15">
        <v>3.37</v>
      </c>
      <c r="D2996" s="15">
        <v>3.16</v>
      </c>
      <c r="E2996" s="15">
        <v>3.19</v>
      </c>
      <c r="F2996" s="15">
        <f t="shared" si="1"/>
        <v>3.02</v>
      </c>
      <c r="G2996" s="15">
        <f t="shared" si="2"/>
        <v>3.37</v>
      </c>
      <c r="H2996" s="16">
        <v>0.0</v>
      </c>
      <c r="I2996" s="15">
        <f t="shared" si="3"/>
        <v>3.02</v>
      </c>
      <c r="J2996" s="15">
        <v>21.1</v>
      </c>
      <c r="K2996" s="16">
        <f>IF(COUNTIFS(Release_Calendar!$A$2:$A$755,"US_CPI",Release_Calendar!$B$2:$B$755,$A2996)&gt;0,1,0)</f>
        <v>0</v>
      </c>
      <c r="L2996" s="16">
        <f>IF(COUNTIFS(Release_Calendar!$A$2:$A$755,"US_NFP",Release_Calendar!$B$2:$B$755,$A2996)&gt;0,1,0)</f>
        <v>0</v>
      </c>
      <c r="M2996" s="16" t="str">
        <f>IF($A2996&lt;Notes!$B$5,"",IF(COUNTIFS(Release_Calendar!$A$2:$A$755,"NZ_CPI",Release_Calendar!$B$2:$B$755,$A2996)&gt;0,1,0))</f>
        <v/>
      </c>
      <c r="N2996" s="16" t="str">
        <f>IF($A2996&lt;Notes!$B$5,"",IF(COUNTIFS(Release_Calendar!$A$2:$A$755,"NZ_GDP",Release_Calendar!$B$2:$B$755,$A2996)&gt;0,1,0))</f>
        <v/>
      </c>
      <c r="O2996" s="16" t="str">
        <f>IF($A2996&lt;Notes!$B$5,"",IF(COUNTIFS(Release_Calendar!$A$2:$A$755,"NZ_LABOUR",Release_Calendar!$B$2:$B$755,$A2996)&gt;0,1,0))</f>
        <v/>
      </c>
      <c r="P2996" s="16">
        <f t="shared" si="4"/>
        <v>0</v>
      </c>
    </row>
    <row r="2997" ht="15.75" customHeight="1">
      <c r="A2997" s="14">
        <v>40721.0</v>
      </c>
      <c r="B2997" s="15">
        <v>0.41</v>
      </c>
      <c r="C2997" s="15">
        <v>3.31</v>
      </c>
      <c r="D2997" s="15">
        <v>3.17</v>
      </c>
      <c r="E2997" s="15">
        <v>3.17</v>
      </c>
      <c r="F2997" s="15">
        <f t="shared" si="1"/>
        <v>2.9</v>
      </c>
      <c r="G2997" s="15">
        <f t="shared" si="2"/>
        <v>3.31</v>
      </c>
      <c r="H2997" s="16">
        <v>0.0</v>
      </c>
      <c r="I2997" s="15">
        <f t="shared" si="3"/>
        <v>2.9</v>
      </c>
      <c r="J2997" s="15">
        <v>20.56</v>
      </c>
      <c r="K2997" s="16">
        <f>IF(COUNTIFS(Release_Calendar!$A$2:$A$755,"US_CPI",Release_Calendar!$B$2:$B$755,$A2997)&gt;0,1,0)</f>
        <v>0</v>
      </c>
      <c r="L2997" s="16">
        <f>IF(COUNTIFS(Release_Calendar!$A$2:$A$755,"US_NFP",Release_Calendar!$B$2:$B$755,$A2997)&gt;0,1,0)</f>
        <v>0</v>
      </c>
      <c r="M2997" s="16" t="str">
        <f>IF($A2997&lt;Notes!$B$5,"",IF(COUNTIFS(Release_Calendar!$A$2:$A$755,"NZ_CPI",Release_Calendar!$B$2:$B$755,$A2997)&gt;0,1,0))</f>
        <v/>
      </c>
      <c r="N2997" s="16" t="str">
        <f>IF($A2997&lt;Notes!$B$5,"",IF(COUNTIFS(Release_Calendar!$A$2:$A$755,"NZ_GDP",Release_Calendar!$B$2:$B$755,$A2997)&gt;0,1,0))</f>
        <v/>
      </c>
      <c r="O2997" s="16" t="str">
        <f>IF($A2997&lt;Notes!$B$5,"",IF(COUNTIFS(Release_Calendar!$A$2:$A$755,"NZ_LABOUR",Release_Calendar!$B$2:$B$755,$A2997)&gt;0,1,0))</f>
        <v/>
      </c>
      <c r="P2997" s="16">
        <f t="shared" si="4"/>
        <v>0</v>
      </c>
    </row>
    <row r="2998" ht="15.75" customHeight="1">
      <c r="A2998" s="14">
        <v>40722.0</v>
      </c>
      <c r="B2998" s="15">
        <v>0.48</v>
      </c>
      <c r="C2998" s="15">
        <v>3.31</v>
      </c>
      <c r="D2998" s="15">
        <v>3.19</v>
      </c>
      <c r="E2998" s="15">
        <v>3.19</v>
      </c>
      <c r="F2998" s="15">
        <f t="shared" si="1"/>
        <v>2.83</v>
      </c>
      <c r="G2998" s="15">
        <f t="shared" si="2"/>
        <v>3.31</v>
      </c>
      <c r="H2998" s="16">
        <v>0.0</v>
      </c>
      <c r="I2998" s="15">
        <f t="shared" si="3"/>
        <v>2.83</v>
      </c>
      <c r="J2998" s="15">
        <v>19.17</v>
      </c>
      <c r="K2998" s="16">
        <f>IF(COUNTIFS(Release_Calendar!$A$2:$A$755,"US_CPI",Release_Calendar!$B$2:$B$755,$A2998)&gt;0,1,0)</f>
        <v>0</v>
      </c>
      <c r="L2998" s="16">
        <f>IF(COUNTIFS(Release_Calendar!$A$2:$A$755,"US_NFP",Release_Calendar!$B$2:$B$755,$A2998)&gt;0,1,0)</f>
        <v>0</v>
      </c>
      <c r="M2998" s="16" t="str">
        <f>IF($A2998&lt;Notes!$B$5,"",IF(COUNTIFS(Release_Calendar!$A$2:$A$755,"NZ_CPI",Release_Calendar!$B$2:$B$755,$A2998)&gt;0,1,0))</f>
        <v/>
      </c>
      <c r="N2998" s="16" t="str">
        <f>IF($A2998&lt;Notes!$B$5,"",IF(COUNTIFS(Release_Calendar!$A$2:$A$755,"NZ_GDP",Release_Calendar!$B$2:$B$755,$A2998)&gt;0,1,0))</f>
        <v/>
      </c>
      <c r="O2998" s="16" t="str">
        <f>IF($A2998&lt;Notes!$B$5,"",IF(COUNTIFS(Release_Calendar!$A$2:$A$755,"NZ_LABOUR",Release_Calendar!$B$2:$B$755,$A2998)&gt;0,1,0))</f>
        <v/>
      </c>
      <c r="P2998" s="16">
        <f t="shared" si="4"/>
        <v>0</v>
      </c>
    </row>
    <row r="2999" ht="15.75" customHeight="1">
      <c r="A2999" s="14">
        <v>40723.0</v>
      </c>
      <c r="B2999" s="15">
        <v>0.47</v>
      </c>
      <c r="C2999" s="15">
        <v>3.33</v>
      </c>
      <c r="D2999" s="15">
        <v>3.24</v>
      </c>
      <c r="E2999" s="15">
        <v>3.19</v>
      </c>
      <c r="F2999" s="15">
        <f t="shared" si="1"/>
        <v>2.86</v>
      </c>
      <c r="G2999" s="15">
        <f t="shared" si="2"/>
        <v>3.33</v>
      </c>
      <c r="H2999" s="16">
        <v>0.0</v>
      </c>
      <c r="I2999" s="15">
        <f t="shared" si="3"/>
        <v>2.86</v>
      </c>
      <c r="J2999" s="15">
        <v>17.27</v>
      </c>
      <c r="K2999" s="16">
        <f>IF(COUNTIFS(Release_Calendar!$A$2:$A$755,"US_CPI",Release_Calendar!$B$2:$B$755,$A2999)&gt;0,1,0)</f>
        <v>0</v>
      </c>
      <c r="L2999" s="16">
        <f>IF(COUNTIFS(Release_Calendar!$A$2:$A$755,"US_NFP",Release_Calendar!$B$2:$B$755,$A2999)&gt;0,1,0)</f>
        <v>0</v>
      </c>
      <c r="M2999" s="16" t="str">
        <f>IF($A2999&lt;Notes!$B$5,"",IF(COUNTIFS(Release_Calendar!$A$2:$A$755,"NZ_CPI",Release_Calendar!$B$2:$B$755,$A2999)&gt;0,1,0))</f>
        <v/>
      </c>
      <c r="N2999" s="16" t="str">
        <f>IF($A2999&lt;Notes!$B$5,"",IF(COUNTIFS(Release_Calendar!$A$2:$A$755,"NZ_GDP",Release_Calendar!$B$2:$B$755,$A2999)&gt;0,1,0))</f>
        <v/>
      </c>
      <c r="O2999" s="16" t="str">
        <f>IF($A2999&lt;Notes!$B$5,"",IF(COUNTIFS(Release_Calendar!$A$2:$A$755,"NZ_LABOUR",Release_Calendar!$B$2:$B$755,$A2999)&gt;0,1,0))</f>
        <v/>
      </c>
      <c r="P2999" s="16">
        <f t="shared" si="4"/>
        <v>0</v>
      </c>
    </row>
    <row r="3000" ht="15.75" customHeight="1">
      <c r="A3000" s="14">
        <v>40724.0</v>
      </c>
      <c r="B3000" s="15">
        <v>0.45</v>
      </c>
      <c r="C3000" s="15">
        <v>3.36</v>
      </c>
      <c r="D3000" s="15">
        <v>3.23</v>
      </c>
      <c r="E3000" s="15">
        <v>3.2</v>
      </c>
      <c r="F3000" s="15">
        <f t="shared" si="1"/>
        <v>2.91</v>
      </c>
      <c r="G3000" s="15">
        <f t="shared" si="2"/>
        <v>3.36</v>
      </c>
      <c r="H3000" s="16">
        <v>0.0</v>
      </c>
      <c r="I3000" s="15">
        <f t="shared" si="3"/>
        <v>2.91</v>
      </c>
      <c r="J3000" s="15">
        <v>16.52</v>
      </c>
      <c r="K3000" s="16">
        <f>IF(COUNTIFS(Release_Calendar!$A$2:$A$755,"US_CPI",Release_Calendar!$B$2:$B$755,$A3000)&gt;0,1,0)</f>
        <v>0</v>
      </c>
      <c r="L3000" s="16">
        <f>IF(COUNTIFS(Release_Calendar!$A$2:$A$755,"US_NFP",Release_Calendar!$B$2:$B$755,$A3000)&gt;0,1,0)</f>
        <v>0</v>
      </c>
      <c r="M3000" s="16" t="str">
        <f>IF($A3000&lt;Notes!$B$5,"",IF(COUNTIFS(Release_Calendar!$A$2:$A$755,"NZ_CPI",Release_Calendar!$B$2:$B$755,$A3000)&gt;0,1,0))</f>
        <v/>
      </c>
      <c r="N3000" s="16" t="str">
        <f>IF($A3000&lt;Notes!$B$5,"",IF(COUNTIFS(Release_Calendar!$A$2:$A$755,"NZ_GDP",Release_Calendar!$B$2:$B$755,$A3000)&gt;0,1,0))</f>
        <v/>
      </c>
      <c r="O3000" s="16" t="str">
        <f>IF($A3000&lt;Notes!$B$5,"",IF(COUNTIFS(Release_Calendar!$A$2:$A$755,"NZ_LABOUR",Release_Calendar!$B$2:$B$755,$A3000)&gt;0,1,0))</f>
        <v/>
      </c>
      <c r="P3000" s="16">
        <f t="shared" si="4"/>
        <v>0</v>
      </c>
    </row>
    <row r="3001" ht="15.75" customHeight="1">
      <c r="A3001" s="14">
        <v>40725.0</v>
      </c>
      <c r="B3001" s="15">
        <v>0.5</v>
      </c>
      <c r="C3001" s="15">
        <v>3.38</v>
      </c>
      <c r="D3001" s="15">
        <v>3.23</v>
      </c>
      <c r="E3001" s="15">
        <v>3.21</v>
      </c>
      <c r="F3001" s="15">
        <f t="shared" si="1"/>
        <v>2.88</v>
      </c>
      <c r="G3001" s="15">
        <f t="shared" si="2"/>
        <v>3.38</v>
      </c>
      <c r="H3001" s="16">
        <v>0.0</v>
      </c>
      <c r="I3001" s="15">
        <f t="shared" si="3"/>
        <v>2.88</v>
      </c>
      <c r="J3001" s="15">
        <v>15.87</v>
      </c>
      <c r="K3001" s="16">
        <f>IF(COUNTIFS(Release_Calendar!$A$2:$A$755,"US_CPI",Release_Calendar!$B$2:$B$755,$A3001)&gt;0,1,0)</f>
        <v>0</v>
      </c>
      <c r="L3001" s="16">
        <f>IF(COUNTIFS(Release_Calendar!$A$2:$A$755,"US_NFP",Release_Calendar!$B$2:$B$755,$A3001)&gt;0,1,0)</f>
        <v>0</v>
      </c>
      <c r="M3001" s="16" t="str">
        <f>IF($A3001&lt;Notes!$B$5,"",IF(COUNTIFS(Release_Calendar!$A$2:$A$755,"NZ_CPI",Release_Calendar!$B$2:$B$755,$A3001)&gt;0,1,0))</f>
        <v/>
      </c>
      <c r="N3001" s="16" t="str">
        <f>IF($A3001&lt;Notes!$B$5,"",IF(COUNTIFS(Release_Calendar!$A$2:$A$755,"NZ_GDP",Release_Calendar!$B$2:$B$755,$A3001)&gt;0,1,0))</f>
        <v/>
      </c>
      <c r="O3001" s="16" t="str">
        <f>IF($A3001&lt;Notes!$B$5,"",IF(COUNTIFS(Release_Calendar!$A$2:$A$755,"NZ_LABOUR",Release_Calendar!$B$2:$B$755,$A3001)&gt;0,1,0))</f>
        <v/>
      </c>
      <c r="P3001" s="16">
        <f t="shared" si="4"/>
        <v>0</v>
      </c>
    </row>
    <row r="3002" ht="15.75" customHeight="1">
      <c r="A3002" s="14">
        <v>40728.0</v>
      </c>
      <c r="B3002" s="15"/>
      <c r="C3002" s="15">
        <v>3.4</v>
      </c>
      <c r="D3002" s="15">
        <v>3.24</v>
      </c>
      <c r="E3002" s="15">
        <v>3.22</v>
      </c>
      <c r="F3002" s="15" t="str">
        <f t="shared" si="1"/>
        <v/>
      </c>
      <c r="G3002" s="15">
        <f t="shared" si="2"/>
        <v>3.4</v>
      </c>
      <c r="H3002" s="16">
        <v>0.0</v>
      </c>
      <c r="I3002" s="15" t="str">
        <f t="shared" si="3"/>
        <v/>
      </c>
      <c r="J3002" s="15"/>
      <c r="K3002" s="16">
        <f>IF(COUNTIFS(Release_Calendar!$A$2:$A$755,"US_CPI",Release_Calendar!$B$2:$B$755,$A3002)&gt;0,1,0)</f>
        <v>0</v>
      </c>
      <c r="L3002" s="16">
        <f>IF(COUNTIFS(Release_Calendar!$A$2:$A$755,"US_NFP",Release_Calendar!$B$2:$B$755,$A3002)&gt;0,1,0)</f>
        <v>0</v>
      </c>
      <c r="M3002" s="16" t="str">
        <f>IF($A3002&lt;Notes!$B$5,"",IF(COUNTIFS(Release_Calendar!$A$2:$A$755,"NZ_CPI",Release_Calendar!$B$2:$B$755,$A3002)&gt;0,1,0))</f>
        <v/>
      </c>
      <c r="N3002" s="16" t="str">
        <f>IF($A3002&lt;Notes!$B$5,"",IF(COUNTIFS(Release_Calendar!$A$2:$A$755,"NZ_GDP",Release_Calendar!$B$2:$B$755,$A3002)&gt;0,1,0))</f>
        <v/>
      </c>
      <c r="O3002" s="16" t="str">
        <f>IF($A3002&lt;Notes!$B$5,"",IF(COUNTIFS(Release_Calendar!$A$2:$A$755,"NZ_LABOUR",Release_Calendar!$B$2:$B$755,$A3002)&gt;0,1,0))</f>
        <v/>
      </c>
      <c r="P3002" s="16">
        <f t="shared" si="4"/>
        <v>0</v>
      </c>
    </row>
    <row r="3003" ht="15.75" customHeight="1">
      <c r="A3003" s="14">
        <v>40729.0</v>
      </c>
      <c r="B3003" s="15">
        <v>0.44</v>
      </c>
      <c r="C3003" s="15">
        <v>3.4</v>
      </c>
      <c r="D3003" s="15">
        <v>3.24</v>
      </c>
      <c r="E3003" s="15">
        <v>3.21</v>
      </c>
      <c r="F3003" s="15">
        <f t="shared" si="1"/>
        <v>2.96</v>
      </c>
      <c r="G3003" s="15">
        <f t="shared" si="2"/>
        <v>3.4</v>
      </c>
      <c r="H3003" s="16">
        <v>0.0</v>
      </c>
      <c r="I3003" s="15">
        <f t="shared" si="3"/>
        <v>2.96</v>
      </c>
      <c r="J3003" s="15">
        <v>16.06</v>
      </c>
      <c r="K3003" s="16">
        <f>IF(COUNTIFS(Release_Calendar!$A$2:$A$755,"US_CPI",Release_Calendar!$B$2:$B$755,$A3003)&gt;0,1,0)</f>
        <v>0</v>
      </c>
      <c r="L3003" s="16">
        <f>IF(COUNTIFS(Release_Calendar!$A$2:$A$755,"US_NFP",Release_Calendar!$B$2:$B$755,$A3003)&gt;0,1,0)</f>
        <v>0</v>
      </c>
      <c r="M3003" s="16" t="str">
        <f>IF($A3003&lt;Notes!$B$5,"",IF(COUNTIFS(Release_Calendar!$A$2:$A$755,"NZ_CPI",Release_Calendar!$B$2:$B$755,$A3003)&gt;0,1,0))</f>
        <v/>
      </c>
      <c r="N3003" s="16" t="str">
        <f>IF($A3003&lt;Notes!$B$5,"",IF(COUNTIFS(Release_Calendar!$A$2:$A$755,"NZ_GDP",Release_Calendar!$B$2:$B$755,$A3003)&gt;0,1,0))</f>
        <v/>
      </c>
      <c r="O3003" s="16" t="str">
        <f>IF($A3003&lt;Notes!$B$5,"",IF(COUNTIFS(Release_Calendar!$A$2:$A$755,"NZ_LABOUR",Release_Calendar!$B$2:$B$755,$A3003)&gt;0,1,0))</f>
        <v/>
      </c>
      <c r="P3003" s="16">
        <f t="shared" si="4"/>
        <v>0</v>
      </c>
    </row>
    <row r="3004" ht="15.75" customHeight="1">
      <c r="A3004" s="14">
        <v>40730.0</v>
      </c>
      <c r="B3004" s="15">
        <v>0.43</v>
      </c>
      <c r="C3004" s="15">
        <v>3.38</v>
      </c>
      <c r="D3004" s="15">
        <v>3.2</v>
      </c>
      <c r="E3004" s="15">
        <v>3.2</v>
      </c>
      <c r="F3004" s="15">
        <f t="shared" si="1"/>
        <v>2.95</v>
      </c>
      <c r="G3004" s="15">
        <f t="shared" si="2"/>
        <v>3.38</v>
      </c>
      <c r="H3004" s="16">
        <v>0.0</v>
      </c>
      <c r="I3004" s="15">
        <f t="shared" si="3"/>
        <v>2.95</v>
      </c>
      <c r="J3004" s="15">
        <v>16.34</v>
      </c>
      <c r="K3004" s="16">
        <f>IF(COUNTIFS(Release_Calendar!$A$2:$A$755,"US_CPI",Release_Calendar!$B$2:$B$755,$A3004)&gt;0,1,0)</f>
        <v>0</v>
      </c>
      <c r="L3004" s="16">
        <f>IF(COUNTIFS(Release_Calendar!$A$2:$A$755,"US_NFP",Release_Calendar!$B$2:$B$755,$A3004)&gt;0,1,0)</f>
        <v>0</v>
      </c>
      <c r="M3004" s="16" t="str">
        <f>IF($A3004&lt;Notes!$B$5,"",IF(COUNTIFS(Release_Calendar!$A$2:$A$755,"NZ_CPI",Release_Calendar!$B$2:$B$755,$A3004)&gt;0,1,0))</f>
        <v/>
      </c>
      <c r="N3004" s="16" t="str">
        <f>IF($A3004&lt;Notes!$B$5,"",IF(COUNTIFS(Release_Calendar!$A$2:$A$755,"NZ_GDP",Release_Calendar!$B$2:$B$755,$A3004)&gt;0,1,0))</f>
        <v/>
      </c>
      <c r="O3004" s="16" t="str">
        <f>IF($A3004&lt;Notes!$B$5,"",IF(COUNTIFS(Release_Calendar!$A$2:$A$755,"NZ_LABOUR",Release_Calendar!$B$2:$B$755,$A3004)&gt;0,1,0))</f>
        <v/>
      </c>
      <c r="P3004" s="16">
        <f t="shared" si="4"/>
        <v>0</v>
      </c>
    </row>
    <row r="3005" ht="15.75" customHeight="1">
      <c r="A3005" s="14">
        <v>40731.0</v>
      </c>
      <c r="B3005" s="15">
        <v>0.49</v>
      </c>
      <c r="C3005" s="15">
        <v>3.38</v>
      </c>
      <c r="D3005" s="15">
        <v>3.19</v>
      </c>
      <c r="E3005" s="15">
        <v>3.2</v>
      </c>
      <c r="F3005" s="15">
        <f t="shared" si="1"/>
        <v>2.89</v>
      </c>
      <c r="G3005" s="15">
        <f t="shared" si="2"/>
        <v>3.38</v>
      </c>
      <c r="H3005" s="16">
        <v>0.0</v>
      </c>
      <c r="I3005" s="15">
        <f t="shared" si="3"/>
        <v>2.89</v>
      </c>
      <c r="J3005" s="15">
        <v>15.95</v>
      </c>
      <c r="K3005" s="16">
        <f>IF(COUNTIFS(Release_Calendar!$A$2:$A$755,"US_CPI",Release_Calendar!$B$2:$B$755,$A3005)&gt;0,1,0)</f>
        <v>0</v>
      </c>
      <c r="L3005" s="16">
        <f>IF(COUNTIFS(Release_Calendar!$A$2:$A$755,"US_NFP",Release_Calendar!$B$2:$B$755,$A3005)&gt;0,1,0)</f>
        <v>0</v>
      </c>
      <c r="M3005" s="16" t="str">
        <f>IF($A3005&lt;Notes!$B$5,"",IF(COUNTIFS(Release_Calendar!$A$2:$A$755,"NZ_CPI",Release_Calendar!$B$2:$B$755,$A3005)&gt;0,1,0))</f>
        <v/>
      </c>
      <c r="N3005" s="16" t="str">
        <f>IF($A3005&lt;Notes!$B$5,"",IF(COUNTIFS(Release_Calendar!$A$2:$A$755,"NZ_GDP",Release_Calendar!$B$2:$B$755,$A3005)&gt;0,1,0))</f>
        <v/>
      </c>
      <c r="O3005" s="16" t="str">
        <f>IF($A3005&lt;Notes!$B$5,"",IF(COUNTIFS(Release_Calendar!$A$2:$A$755,"NZ_LABOUR",Release_Calendar!$B$2:$B$755,$A3005)&gt;0,1,0))</f>
        <v/>
      </c>
      <c r="P3005" s="16">
        <f t="shared" si="4"/>
        <v>0</v>
      </c>
    </row>
    <row r="3006" ht="15.75" customHeight="1">
      <c r="A3006" s="14">
        <v>40732.0</v>
      </c>
      <c r="B3006" s="15">
        <v>0.4</v>
      </c>
      <c r="C3006" s="15">
        <v>3.4</v>
      </c>
      <c r="D3006" s="15">
        <v>3.21</v>
      </c>
      <c r="E3006" s="15">
        <v>3.22</v>
      </c>
      <c r="F3006" s="15">
        <f t="shared" si="1"/>
        <v>3</v>
      </c>
      <c r="G3006" s="15">
        <f t="shared" si="2"/>
        <v>3.4</v>
      </c>
      <c r="H3006" s="16">
        <v>0.0</v>
      </c>
      <c r="I3006" s="15">
        <f t="shared" si="3"/>
        <v>3</v>
      </c>
      <c r="J3006" s="15">
        <v>15.95</v>
      </c>
      <c r="K3006" s="16">
        <f>IF(COUNTIFS(Release_Calendar!$A$2:$A$755,"US_CPI",Release_Calendar!$B$2:$B$755,$A3006)&gt;0,1,0)</f>
        <v>0</v>
      </c>
      <c r="L3006" s="16">
        <f>IF(COUNTIFS(Release_Calendar!$A$2:$A$755,"US_NFP",Release_Calendar!$B$2:$B$755,$A3006)&gt;0,1,0)</f>
        <v>1</v>
      </c>
      <c r="M3006" s="16" t="str">
        <f>IF($A3006&lt;Notes!$B$5,"",IF(COUNTIFS(Release_Calendar!$A$2:$A$755,"NZ_CPI",Release_Calendar!$B$2:$B$755,$A3006)&gt;0,1,0))</f>
        <v/>
      </c>
      <c r="N3006" s="16" t="str">
        <f>IF($A3006&lt;Notes!$B$5,"",IF(COUNTIFS(Release_Calendar!$A$2:$A$755,"NZ_GDP",Release_Calendar!$B$2:$B$755,$A3006)&gt;0,1,0))</f>
        <v/>
      </c>
      <c r="O3006" s="16" t="str">
        <f>IF($A3006&lt;Notes!$B$5,"",IF(COUNTIFS(Release_Calendar!$A$2:$A$755,"NZ_LABOUR",Release_Calendar!$B$2:$B$755,$A3006)&gt;0,1,0))</f>
        <v/>
      </c>
      <c r="P3006" s="16">
        <f t="shared" si="4"/>
        <v>1</v>
      </c>
    </row>
    <row r="3007" ht="15.75" customHeight="1">
      <c r="A3007" s="14">
        <v>40735.0</v>
      </c>
      <c r="B3007" s="15">
        <v>0.37</v>
      </c>
      <c r="C3007" s="15">
        <v>3.37</v>
      </c>
      <c r="D3007" s="15">
        <v>3.18</v>
      </c>
      <c r="E3007" s="15">
        <v>3.17</v>
      </c>
      <c r="F3007" s="15">
        <f t="shared" si="1"/>
        <v>3</v>
      </c>
      <c r="G3007" s="15">
        <f t="shared" si="2"/>
        <v>3.37</v>
      </c>
      <c r="H3007" s="16">
        <v>0.0</v>
      </c>
      <c r="I3007" s="15">
        <f t="shared" si="3"/>
        <v>3</v>
      </c>
      <c r="J3007" s="15">
        <v>18.39</v>
      </c>
      <c r="K3007" s="16">
        <f>IF(COUNTIFS(Release_Calendar!$A$2:$A$755,"US_CPI",Release_Calendar!$B$2:$B$755,$A3007)&gt;0,1,0)</f>
        <v>0</v>
      </c>
      <c r="L3007" s="16">
        <f>IF(COUNTIFS(Release_Calendar!$A$2:$A$755,"US_NFP",Release_Calendar!$B$2:$B$755,$A3007)&gt;0,1,0)</f>
        <v>0</v>
      </c>
      <c r="M3007" s="16" t="str">
        <f>IF($A3007&lt;Notes!$B$5,"",IF(COUNTIFS(Release_Calendar!$A$2:$A$755,"NZ_CPI",Release_Calendar!$B$2:$B$755,$A3007)&gt;0,1,0))</f>
        <v/>
      </c>
      <c r="N3007" s="16" t="str">
        <f>IF($A3007&lt;Notes!$B$5,"",IF(COUNTIFS(Release_Calendar!$A$2:$A$755,"NZ_GDP",Release_Calendar!$B$2:$B$755,$A3007)&gt;0,1,0))</f>
        <v/>
      </c>
      <c r="O3007" s="16" t="str">
        <f>IF($A3007&lt;Notes!$B$5,"",IF(COUNTIFS(Release_Calendar!$A$2:$A$755,"NZ_LABOUR",Release_Calendar!$B$2:$B$755,$A3007)&gt;0,1,0))</f>
        <v/>
      </c>
      <c r="P3007" s="16">
        <f t="shared" si="4"/>
        <v>0</v>
      </c>
    </row>
    <row r="3008" ht="15.75" customHeight="1">
      <c r="A3008" s="14">
        <v>40736.0</v>
      </c>
      <c r="B3008" s="15">
        <v>0.37</v>
      </c>
      <c r="C3008" s="15">
        <v>3.32</v>
      </c>
      <c r="D3008" s="15">
        <v>3.13</v>
      </c>
      <c r="E3008" s="15">
        <v>3.13</v>
      </c>
      <c r="F3008" s="15">
        <f t="shared" si="1"/>
        <v>2.95</v>
      </c>
      <c r="G3008" s="15">
        <f t="shared" si="2"/>
        <v>3.32</v>
      </c>
      <c r="H3008" s="16">
        <v>0.0</v>
      </c>
      <c r="I3008" s="15">
        <f t="shared" si="3"/>
        <v>2.95</v>
      </c>
      <c r="J3008" s="15">
        <v>19.87</v>
      </c>
      <c r="K3008" s="16">
        <f>IF(COUNTIFS(Release_Calendar!$A$2:$A$755,"US_CPI",Release_Calendar!$B$2:$B$755,$A3008)&gt;0,1,0)</f>
        <v>0</v>
      </c>
      <c r="L3008" s="16">
        <f>IF(COUNTIFS(Release_Calendar!$A$2:$A$755,"US_NFP",Release_Calendar!$B$2:$B$755,$A3008)&gt;0,1,0)</f>
        <v>0</v>
      </c>
      <c r="M3008" s="16" t="str">
        <f>IF($A3008&lt;Notes!$B$5,"",IF(COUNTIFS(Release_Calendar!$A$2:$A$755,"NZ_CPI",Release_Calendar!$B$2:$B$755,$A3008)&gt;0,1,0))</f>
        <v/>
      </c>
      <c r="N3008" s="16" t="str">
        <f>IF($A3008&lt;Notes!$B$5,"",IF(COUNTIFS(Release_Calendar!$A$2:$A$755,"NZ_GDP",Release_Calendar!$B$2:$B$755,$A3008)&gt;0,1,0))</f>
        <v/>
      </c>
      <c r="O3008" s="16" t="str">
        <f>IF($A3008&lt;Notes!$B$5,"",IF(COUNTIFS(Release_Calendar!$A$2:$A$755,"NZ_LABOUR",Release_Calendar!$B$2:$B$755,$A3008)&gt;0,1,0))</f>
        <v/>
      </c>
      <c r="P3008" s="16">
        <f t="shared" si="4"/>
        <v>0</v>
      </c>
    </row>
    <row r="3009" ht="15.75" customHeight="1">
      <c r="A3009" s="14">
        <v>40737.0</v>
      </c>
      <c r="B3009" s="15">
        <v>0.37</v>
      </c>
      <c r="C3009" s="15">
        <v>3.34</v>
      </c>
      <c r="D3009" s="15">
        <v>3.1</v>
      </c>
      <c r="E3009" s="15">
        <v>3.14</v>
      </c>
      <c r="F3009" s="15">
        <f t="shared" si="1"/>
        <v>2.97</v>
      </c>
      <c r="G3009" s="15">
        <f t="shared" si="2"/>
        <v>3.34</v>
      </c>
      <c r="H3009" s="16">
        <v>0.0</v>
      </c>
      <c r="I3009" s="15">
        <f t="shared" si="3"/>
        <v>2.97</v>
      </c>
      <c r="J3009" s="15">
        <v>19.91</v>
      </c>
      <c r="K3009" s="16">
        <f>IF(COUNTIFS(Release_Calendar!$A$2:$A$755,"US_CPI",Release_Calendar!$B$2:$B$755,$A3009)&gt;0,1,0)</f>
        <v>0</v>
      </c>
      <c r="L3009" s="16">
        <f>IF(COUNTIFS(Release_Calendar!$A$2:$A$755,"US_NFP",Release_Calendar!$B$2:$B$755,$A3009)&gt;0,1,0)</f>
        <v>0</v>
      </c>
      <c r="M3009" s="16" t="str">
        <f>IF($A3009&lt;Notes!$B$5,"",IF(COUNTIFS(Release_Calendar!$A$2:$A$755,"NZ_CPI",Release_Calendar!$B$2:$B$755,$A3009)&gt;0,1,0))</f>
        <v/>
      </c>
      <c r="N3009" s="16" t="str">
        <f>IF($A3009&lt;Notes!$B$5,"",IF(COUNTIFS(Release_Calendar!$A$2:$A$755,"NZ_GDP",Release_Calendar!$B$2:$B$755,$A3009)&gt;0,1,0))</f>
        <v/>
      </c>
      <c r="O3009" s="16" t="str">
        <f>IF($A3009&lt;Notes!$B$5,"",IF(COUNTIFS(Release_Calendar!$A$2:$A$755,"NZ_LABOUR",Release_Calendar!$B$2:$B$755,$A3009)&gt;0,1,0))</f>
        <v/>
      </c>
      <c r="P3009" s="16">
        <f t="shared" si="4"/>
        <v>0</v>
      </c>
    </row>
    <row r="3010" ht="15.75" customHeight="1">
      <c r="A3010" s="14">
        <v>40738.0</v>
      </c>
      <c r="B3010" s="15">
        <v>0.38</v>
      </c>
      <c r="C3010" s="15">
        <v>3.41</v>
      </c>
      <c r="D3010" s="15">
        <v>3.21</v>
      </c>
      <c r="E3010" s="15">
        <v>3.19</v>
      </c>
      <c r="F3010" s="15">
        <f t="shared" si="1"/>
        <v>3.03</v>
      </c>
      <c r="G3010" s="15">
        <f t="shared" si="2"/>
        <v>3.41</v>
      </c>
      <c r="H3010" s="16">
        <v>0.0</v>
      </c>
      <c r="I3010" s="15">
        <f t="shared" si="3"/>
        <v>3.03</v>
      </c>
      <c r="J3010" s="15">
        <v>20.8</v>
      </c>
      <c r="K3010" s="16">
        <f>IF(COUNTIFS(Release_Calendar!$A$2:$A$755,"US_CPI",Release_Calendar!$B$2:$B$755,$A3010)&gt;0,1,0)</f>
        <v>0</v>
      </c>
      <c r="L3010" s="16">
        <f>IF(COUNTIFS(Release_Calendar!$A$2:$A$755,"US_NFP",Release_Calendar!$B$2:$B$755,$A3010)&gt;0,1,0)</f>
        <v>0</v>
      </c>
      <c r="M3010" s="16" t="str">
        <f>IF($A3010&lt;Notes!$B$5,"",IF(COUNTIFS(Release_Calendar!$A$2:$A$755,"NZ_CPI",Release_Calendar!$B$2:$B$755,$A3010)&gt;0,1,0))</f>
        <v/>
      </c>
      <c r="N3010" s="16" t="str">
        <f>IF($A3010&lt;Notes!$B$5,"",IF(COUNTIFS(Release_Calendar!$A$2:$A$755,"NZ_GDP",Release_Calendar!$B$2:$B$755,$A3010)&gt;0,1,0))</f>
        <v/>
      </c>
      <c r="O3010" s="16" t="str">
        <f>IF($A3010&lt;Notes!$B$5,"",IF(COUNTIFS(Release_Calendar!$A$2:$A$755,"NZ_LABOUR",Release_Calendar!$B$2:$B$755,$A3010)&gt;0,1,0))</f>
        <v/>
      </c>
      <c r="P3010" s="16">
        <f t="shared" si="4"/>
        <v>0</v>
      </c>
    </row>
    <row r="3011" ht="15.75" customHeight="1">
      <c r="A3011" s="14">
        <v>40739.0</v>
      </c>
      <c r="B3011" s="15">
        <v>0.37</v>
      </c>
      <c r="C3011" s="15">
        <v>3.42</v>
      </c>
      <c r="D3011" s="15">
        <v>3.22</v>
      </c>
      <c r="E3011" s="15">
        <v>3.23</v>
      </c>
      <c r="F3011" s="15">
        <f t="shared" si="1"/>
        <v>3.05</v>
      </c>
      <c r="G3011" s="15">
        <f t="shared" si="2"/>
        <v>3.42</v>
      </c>
      <c r="H3011" s="16">
        <v>0.0</v>
      </c>
      <c r="I3011" s="15">
        <f t="shared" si="3"/>
        <v>3.05</v>
      </c>
      <c r="J3011" s="15">
        <v>19.53</v>
      </c>
      <c r="K3011" s="16">
        <f>IF(COUNTIFS(Release_Calendar!$A$2:$A$755,"US_CPI",Release_Calendar!$B$2:$B$755,$A3011)&gt;0,1,0)</f>
        <v>1</v>
      </c>
      <c r="L3011" s="16">
        <f>IF(COUNTIFS(Release_Calendar!$A$2:$A$755,"US_NFP",Release_Calendar!$B$2:$B$755,$A3011)&gt;0,1,0)</f>
        <v>0</v>
      </c>
      <c r="M3011" s="16" t="str">
        <f>IF($A3011&lt;Notes!$B$5,"",IF(COUNTIFS(Release_Calendar!$A$2:$A$755,"NZ_CPI",Release_Calendar!$B$2:$B$755,$A3011)&gt;0,1,0))</f>
        <v/>
      </c>
      <c r="N3011" s="16" t="str">
        <f>IF($A3011&lt;Notes!$B$5,"",IF(COUNTIFS(Release_Calendar!$A$2:$A$755,"NZ_GDP",Release_Calendar!$B$2:$B$755,$A3011)&gt;0,1,0))</f>
        <v/>
      </c>
      <c r="O3011" s="16" t="str">
        <f>IF($A3011&lt;Notes!$B$5,"",IF(COUNTIFS(Release_Calendar!$A$2:$A$755,"NZ_LABOUR",Release_Calendar!$B$2:$B$755,$A3011)&gt;0,1,0))</f>
        <v/>
      </c>
      <c r="P3011" s="16">
        <f t="shared" si="4"/>
        <v>1</v>
      </c>
    </row>
    <row r="3012" ht="15.75" customHeight="1">
      <c r="A3012" s="14">
        <v>40742.0</v>
      </c>
      <c r="B3012" s="15">
        <v>0.37</v>
      </c>
      <c r="C3012" s="15">
        <v>3.49</v>
      </c>
      <c r="D3012" s="15">
        <v>3.28</v>
      </c>
      <c r="E3012" s="15">
        <v>3.3</v>
      </c>
      <c r="F3012" s="15">
        <f t="shared" si="1"/>
        <v>3.12</v>
      </c>
      <c r="G3012" s="15">
        <f t="shared" si="2"/>
        <v>3.49</v>
      </c>
      <c r="H3012" s="16">
        <v>0.0</v>
      </c>
      <c r="I3012" s="15">
        <f t="shared" si="3"/>
        <v>3.12</v>
      </c>
      <c r="J3012" s="15">
        <v>20.95</v>
      </c>
      <c r="K3012" s="16">
        <f>IF(COUNTIFS(Release_Calendar!$A$2:$A$755,"US_CPI",Release_Calendar!$B$2:$B$755,$A3012)&gt;0,1,0)</f>
        <v>0</v>
      </c>
      <c r="L3012" s="16">
        <f>IF(COUNTIFS(Release_Calendar!$A$2:$A$755,"US_NFP",Release_Calendar!$B$2:$B$755,$A3012)&gt;0,1,0)</f>
        <v>0</v>
      </c>
      <c r="M3012" s="16" t="str">
        <f>IF($A3012&lt;Notes!$B$5,"",IF(COUNTIFS(Release_Calendar!$A$2:$A$755,"NZ_CPI",Release_Calendar!$B$2:$B$755,$A3012)&gt;0,1,0))</f>
        <v/>
      </c>
      <c r="N3012" s="16" t="str">
        <f>IF($A3012&lt;Notes!$B$5,"",IF(COUNTIFS(Release_Calendar!$A$2:$A$755,"NZ_GDP",Release_Calendar!$B$2:$B$755,$A3012)&gt;0,1,0))</f>
        <v/>
      </c>
      <c r="O3012" s="16" t="str">
        <f>IF($A3012&lt;Notes!$B$5,"",IF(COUNTIFS(Release_Calendar!$A$2:$A$755,"NZ_LABOUR",Release_Calendar!$B$2:$B$755,$A3012)&gt;0,1,0))</f>
        <v/>
      </c>
      <c r="P3012" s="16">
        <f t="shared" si="4"/>
        <v>0</v>
      </c>
    </row>
    <row r="3013" ht="15.75" customHeight="1">
      <c r="A3013" s="14">
        <v>40743.0</v>
      </c>
      <c r="B3013" s="15">
        <v>0.39</v>
      </c>
      <c r="C3013" s="15">
        <v>3.51</v>
      </c>
      <c r="D3013" s="15">
        <v>3.28</v>
      </c>
      <c r="E3013" s="15">
        <v>3.36</v>
      </c>
      <c r="F3013" s="15">
        <f t="shared" si="1"/>
        <v>3.12</v>
      </c>
      <c r="G3013" s="15">
        <f t="shared" si="2"/>
        <v>3.51</v>
      </c>
      <c r="H3013" s="16">
        <v>0.0</v>
      </c>
      <c r="I3013" s="15">
        <f t="shared" si="3"/>
        <v>3.12</v>
      </c>
      <c r="J3013" s="15">
        <v>19.21</v>
      </c>
      <c r="K3013" s="16">
        <f>IF(COUNTIFS(Release_Calendar!$A$2:$A$755,"US_CPI",Release_Calendar!$B$2:$B$755,$A3013)&gt;0,1,0)</f>
        <v>0</v>
      </c>
      <c r="L3013" s="16">
        <f>IF(COUNTIFS(Release_Calendar!$A$2:$A$755,"US_NFP",Release_Calendar!$B$2:$B$755,$A3013)&gt;0,1,0)</f>
        <v>0</v>
      </c>
      <c r="M3013" s="16" t="str">
        <f>IF($A3013&lt;Notes!$B$5,"",IF(COUNTIFS(Release_Calendar!$A$2:$A$755,"NZ_CPI",Release_Calendar!$B$2:$B$755,$A3013)&gt;0,1,0))</f>
        <v/>
      </c>
      <c r="N3013" s="16" t="str">
        <f>IF($A3013&lt;Notes!$B$5,"",IF(COUNTIFS(Release_Calendar!$A$2:$A$755,"NZ_GDP",Release_Calendar!$B$2:$B$755,$A3013)&gt;0,1,0))</f>
        <v/>
      </c>
      <c r="O3013" s="16" t="str">
        <f>IF($A3013&lt;Notes!$B$5,"",IF(COUNTIFS(Release_Calendar!$A$2:$A$755,"NZ_LABOUR",Release_Calendar!$B$2:$B$755,$A3013)&gt;0,1,0))</f>
        <v/>
      </c>
      <c r="P3013" s="16">
        <f t="shared" si="4"/>
        <v>0</v>
      </c>
    </row>
    <row r="3014" ht="15.75" customHeight="1">
      <c r="A3014" s="14">
        <v>40744.0</v>
      </c>
      <c r="B3014" s="15">
        <v>0.4</v>
      </c>
      <c r="C3014" s="15">
        <v>3.58</v>
      </c>
      <c r="D3014" s="15">
        <v>3.4</v>
      </c>
      <c r="E3014" s="15">
        <v>3.4</v>
      </c>
      <c r="F3014" s="15">
        <f t="shared" si="1"/>
        <v>3.18</v>
      </c>
      <c r="G3014" s="15">
        <f t="shared" si="2"/>
        <v>3.58</v>
      </c>
      <c r="H3014" s="16">
        <v>0.0</v>
      </c>
      <c r="I3014" s="15">
        <f t="shared" si="3"/>
        <v>3.18</v>
      </c>
      <c r="J3014" s="15">
        <v>19.09</v>
      </c>
      <c r="K3014" s="16">
        <f>IF(COUNTIFS(Release_Calendar!$A$2:$A$755,"US_CPI",Release_Calendar!$B$2:$B$755,$A3014)&gt;0,1,0)</f>
        <v>0</v>
      </c>
      <c r="L3014" s="16">
        <f>IF(COUNTIFS(Release_Calendar!$A$2:$A$755,"US_NFP",Release_Calendar!$B$2:$B$755,$A3014)&gt;0,1,0)</f>
        <v>0</v>
      </c>
      <c r="M3014" s="16" t="str">
        <f>IF($A3014&lt;Notes!$B$5,"",IF(COUNTIFS(Release_Calendar!$A$2:$A$755,"NZ_CPI",Release_Calendar!$B$2:$B$755,$A3014)&gt;0,1,0))</f>
        <v/>
      </c>
      <c r="N3014" s="16" t="str">
        <f>IF($A3014&lt;Notes!$B$5,"",IF(COUNTIFS(Release_Calendar!$A$2:$A$755,"NZ_GDP",Release_Calendar!$B$2:$B$755,$A3014)&gt;0,1,0))</f>
        <v/>
      </c>
      <c r="O3014" s="16" t="str">
        <f>IF($A3014&lt;Notes!$B$5,"",IF(COUNTIFS(Release_Calendar!$A$2:$A$755,"NZ_LABOUR",Release_Calendar!$B$2:$B$755,$A3014)&gt;0,1,0))</f>
        <v/>
      </c>
      <c r="P3014" s="16">
        <f t="shared" si="4"/>
        <v>0</v>
      </c>
    </row>
    <row r="3015" ht="15.75" customHeight="1">
      <c r="A3015" s="14">
        <v>40745.0</v>
      </c>
      <c r="B3015" s="15">
        <v>0.4</v>
      </c>
      <c r="C3015" s="15">
        <v>3.63</v>
      </c>
      <c r="D3015" s="15">
        <v>3.47</v>
      </c>
      <c r="E3015" s="15">
        <v>3.4</v>
      </c>
      <c r="F3015" s="15">
        <f t="shared" si="1"/>
        <v>3.23</v>
      </c>
      <c r="G3015" s="15">
        <f t="shared" si="2"/>
        <v>3.63</v>
      </c>
      <c r="H3015" s="16">
        <v>0.0</v>
      </c>
      <c r="I3015" s="15">
        <f t="shared" si="3"/>
        <v>3.23</v>
      </c>
      <c r="J3015" s="15">
        <v>17.56</v>
      </c>
      <c r="K3015" s="16">
        <f>IF(COUNTIFS(Release_Calendar!$A$2:$A$755,"US_CPI",Release_Calendar!$B$2:$B$755,$A3015)&gt;0,1,0)</f>
        <v>0</v>
      </c>
      <c r="L3015" s="16">
        <f>IF(COUNTIFS(Release_Calendar!$A$2:$A$755,"US_NFP",Release_Calendar!$B$2:$B$755,$A3015)&gt;0,1,0)</f>
        <v>0</v>
      </c>
      <c r="M3015" s="16" t="str">
        <f>IF($A3015&lt;Notes!$B$5,"",IF(COUNTIFS(Release_Calendar!$A$2:$A$755,"NZ_CPI",Release_Calendar!$B$2:$B$755,$A3015)&gt;0,1,0))</f>
        <v/>
      </c>
      <c r="N3015" s="16" t="str">
        <f>IF($A3015&lt;Notes!$B$5,"",IF(COUNTIFS(Release_Calendar!$A$2:$A$755,"NZ_GDP",Release_Calendar!$B$2:$B$755,$A3015)&gt;0,1,0))</f>
        <v/>
      </c>
      <c r="O3015" s="16" t="str">
        <f>IF($A3015&lt;Notes!$B$5,"",IF(COUNTIFS(Release_Calendar!$A$2:$A$755,"NZ_LABOUR",Release_Calendar!$B$2:$B$755,$A3015)&gt;0,1,0))</f>
        <v/>
      </c>
      <c r="P3015" s="16">
        <f t="shared" si="4"/>
        <v>0</v>
      </c>
    </row>
    <row r="3016" ht="15.75" customHeight="1">
      <c r="A3016" s="14">
        <v>40746.0</v>
      </c>
      <c r="B3016" s="15">
        <v>0.4</v>
      </c>
      <c r="C3016" s="15">
        <v>3.69</v>
      </c>
      <c r="D3016" s="15">
        <v>3.44</v>
      </c>
      <c r="E3016" s="15">
        <v>3.44</v>
      </c>
      <c r="F3016" s="15">
        <f t="shared" si="1"/>
        <v>3.29</v>
      </c>
      <c r="G3016" s="15">
        <f t="shared" si="2"/>
        <v>3.69</v>
      </c>
      <c r="H3016" s="16">
        <v>0.0</v>
      </c>
      <c r="I3016" s="15">
        <f t="shared" si="3"/>
        <v>3.29</v>
      </c>
      <c r="J3016" s="15">
        <v>17.52</v>
      </c>
      <c r="K3016" s="16">
        <f>IF(COUNTIFS(Release_Calendar!$A$2:$A$755,"US_CPI",Release_Calendar!$B$2:$B$755,$A3016)&gt;0,1,0)</f>
        <v>0</v>
      </c>
      <c r="L3016" s="16">
        <f>IF(COUNTIFS(Release_Calendar!$A$2:$A$755,"US_NFP",Release_Calendar!$B$2:$B$755,$A3016)&gt;0,1,0)</f>
        <v>0</v>
      </c>
      <c r="M3016" s="16" t="str">
        <f>IF($A3016&lt;Notes!$B$5,"",IF(COUNTIFS(Release_Calendar!$A$2:$A$755,"NZ_CPI",Release_Calendar!$B$2:$B$755,$A3016)&gt;0,1,0))</f>
        <v/>
      </c>
      <c r="N3016" s="16" t="str">
        <f>IF($A3016&lt;Notes!$B$5,"",IF(COUNTIFS(Release_Calendar!$A$2:$A$755,"NZ_GDP",Release_Calendar!$B$2:$B$755,$A3016)&gt;0,1,0))</f>
        <v/>
      </c>
      <c r="O3016" s="16" t="str">
        <f>IF($A3016&lt;Notes!$B$5,"",IF(COUNTIFS(Release_Calendar!$A$2:$A$755,"NZ_LABOUR",Release_Calendar!$B$2:$B$755,$A3016)&gt;0,1,0))</f>
        <v/>
      </c>
      <c r="P3016" s="16">
        <f t="shared" si="4"/>
        <v>0</v>
      </c>
    </row>
    <row r="3017" ht="15.75" customHeight="1">
      <c r="A3017" s="14">
        <v>40749.0</v>
      </c>
      <c r="B3017" s="15">
        <v>0.42</v>
      </c>
      <c r="C3017" s="15">
        <v>3.67</v>
      </c>
      <c r="D3017" s="15">
        <v>3.41</v>
      </c>
      <c r="E3017" s="15">
        <v>3.41</v>
      </c>
      <c r="F3017" s="15">
        <f t="shared" si="1"/>
        <v>3.25</v>
      </c>
      <c r="G3017" s="15">
        <f t="shared" si="2"/>
        <v>3.67</v>
      </c>
      <c r="H3017" s="16">
        <v>0.0</v>
      </c>
      <c r="I3017" s="15">
        <f t="shared" si="3"/>
        <v>3.25</v>
      </c>
      <c r="J3017" s="15">
        <v>19.35</v>
      </c>
      <c r="K3017" s="16">
        <f>IF(COUNTIFS(Release_Calendar!$A$2:$A$755,"US_CPI",Release_Calendar!$B$2:$B$755,$A3017)&gt;0,1,0)</f>
        <v>0</v>
      </c>
      <c r="L3017" s="16">
        <f>IF(COUNTIFS(Release_Calendar!$A$2:$A$755,"US_NFP",Release_Calendar!$B$2:$B$755,$A3017)&gt;0,1,0)</f>
        <v>0</v>
      </c>
      <c r="M3017" s="16" t="str">
        <f>IF($A3017&lt;Notes!$B$5,"",IF(COUNTIFS(Release_Calendar!$A$2:$A$755,"NZ_CPI",Release_Calendar!$B$2:$B$755,$A3017)&gt;0,1,0))</f>
        <v/>
      </c>
      <c r="N3017" s="16" t="str">
        <f>IF($A3017&lt;Notes!$B$5,"",IF(COUNTIFS(Release_Calendar!$A$2:$A$755,"NZ_GDP",Release_Calendar!$B$2:$B$755,$A3017)&gt;0,1,0))</f>
        <v/>
      </c>
      <c r="O3017" s="16" t="str">
        <f>IF($A3017&lt;Notes!$B$5,"",IF(COUNTIFS(Release_Calendar!$A$2:$A$755,"NZ_LABOUR",Release_Calendar!$B$2:$B$755,$A3017)&gt;0,1,0))</f>
        <v/>
      </c>
      <c r="P3017" s="16">
        <f t="shared" si="4"/>
        <v>0</v>
      </c>
    </row>
    <row r="3018" ht="15.75" customHeight="1">
      <c r="A3018" s="14">
        <v>40750.0</v>
      </c>
      <c r="B3018" s="15">
        <v>0.41</v>
      </c>
      <c r="C3018" s="15">
        <v>3.64</v>
      </c>
      <c r="D3018" s="15">
        <v>3.39</v>
      </c>
      <c r="E3018" s="15">
        <v>3.39</v>
      </c>
      <c r="F3018" s="15">
        <f t="shared" si="1"/>
        <v>3.23</v>
      </c>
      <c r="G3018" s="15">
        <f t="shared" si="2"/>
        <v>3.64</v>
      </c>
      <c r="H3018" s="16">
        <v>0.0</v>
      </c>
      <c r="I3018" s="15">
        <f t="shared" si="3"/>
        <v>3.23</v>
      </c>
      <c r="J3018" s="15">
        <v>20.23</v>
      </c>
      <c r="K3018" s="16">
        <f>IF(COUNTIFS(Release_Calendar!$A$2:$A$755,"US_CPI",Release_Calendar!$B$2:$B$755,$A3018)&gt;0,1,0)</f>
        <v>0</v>
      </c>
      <c r="L3018" s="16">
        <f>IF(COUNTIFS(Release_Calendar!$A$2:$A$755,"US_NFP",Release_Calendar!$B$2:$B$755,$A3018)&gt;0,1,0)</f>
        <v>0</v>
      </c>
      <c r="M3018" s="16" t="str">
        <f>IF($A3018&lt;Notes!$B$5,"",IF(COUNTIFS(Release_Calendar!$A$2:$A$755,"NZ_CPI",Release_Calendar!$B$2:$B$755,$A3018)&gt;0,1,0))</f>
        <v/>
      </c>
      <c r="N3018" s="16" t="str">
        <f>IF($A3018&lt;Notes!$B$5,"",IF(COUNTIFS(Release_Calendar!$A$2:$A$755,"NZ_GDP",Release_Calendar!$B$2:$B$755,$A3018)&gt;0,1,0))</f>
        <v/>
      </c>
      <c r="O3018" s="16" t="str">
        <f>IF($A3018&lt;Notes!$B$5,"",IF(COUNTIFS(Release_Calendar!$A$2:$A$755,"NZ_LABOUR",Release_Calendar!$B$2:$B$755,$A3018)&gt;0,1,0))</f>
        <v/>
      </c>
      <c r="P3018" s="16">
        <f t="shared" si="4"/>
        <v>0</v>
      </c>
    </row>
    <row r="3019" ht="15.75" customHeight="1">
      <c r="A3019" s="14">
        <v>40751.0</v>
      </c>
      <c r="B3019" s="15">
        <v>0.44</v>
      </c>
      <c r="C3019" s="15">
        <v>3.67</v>
      </c>
      <c r="D3019" s="15">
        <v>3.38</v>
      </c>
      <c r="E3019" s="15">
        <v>3.4</v>
      </c>
      <c r="F3019" s="15">
        <f t="shared" si="1"/>
        <v>3.23</v>
      </c>
      <c r="G3019" s="15">
        <f t="shared" si="2"/>
        <v>3.67</v>
      </c>
      <c r="H3019" s="16">
        <v>0.0</v>
      </c>
      <c r="I3019" s="15">
        <f t="shared" si="3"/>
        <v>3.23</v>
      </c>
      <c r="J3019" s="15">
        <v>22.98</v>
      </c>
      <c r="K3019" s="16">
        <f>IF(COUNTIFS(Release_Calendar!$A$2:$A$755,"US_CPI",Release_Calendar!$B$2:$B$755,$A3019)&gt;0,1,0)</f>
        <v>0</v>
      </c>
      <c r="L3019" s="16">
        <f>IF(COUNTIFS(Release_Calendar!$A$2:$A$755,"US_NFP",Release_Calendar!$B$2:$B$755,$A3019)&gt;0,1,0)</f>
        <v>0</v>
      </c>
      <c r="M3019" s="16" t="str">
        <f>IF($A3019&lt;Notes!$B$5,"",IF(COUNTIFS(Release_Calendar!$A$2:$A$755,"NZ_CPI",Release_Calendar!$B$2:$B$755,$A3019)&gt;0,1,0))</f>
        <v/>
      </c>
      <c r="N3019" s="16" t="str">
        <f>IF($A3019&lt;Notes!$B$5,"",IF(COUNTIFS(Release_Calendar!$A$2:$A$755,"NZ_GDP",Release_Calendar!$B$2:$B$755,$A3019)&gt;0,1,0))</f>
        <v/>
      </c>
      <c r="O3019" s="16" t="str">
        <f>IF($A3019&lt;Notes!$B$5,"",IF(COUNTIFS(Release_Calendar!$A$2:$A$755,"NZ_LABOUR",Release_Calendar!$B$2:$B$755,$A3019)&gt;0,1,0))</f>
        <v/>
      </c>
      <c r="P3019" s="16">
        <f t="shared" si="4"/>
        <v>0</v>
      </c>
    </row>
    <row r="3020" ht="15.75" customHeight="1">
      <c r="A3020" s="14">
        <v>40752.0</v>
      </c>
      <c r="B3020" s="15">
        <v>0.42</v>
      </c>
      <c r="C3020" s="15">
        <v>3.76</v>
      </c>
      <c r="D3020" s="15">
        <v>3.44</v>
      </c>
      <c r="E3020" s="15">
        <v>3.47</v>
      </c>
      <c r="F3020" s="15">
        <f t="shared" si="1"/>
        <v>3.34</v>
      </c>
      <c r="G3020" s="15">
        <f t="shared" si="2"/>
        <v>3.76</v>
      </c>
      <c r="H3020" s="16">
        <v>0.0</v>
      </c>
      <c r="I3020" s="15">
        <f t="shared" si="3"/>
        <v>3.34</v>
      </c>
      <c r="J3020" s="15">
        <v>23.74</v>
      </c>
      <c r="K3020" s="16">
        <f>IF(COUNTIFS(Release_Calendar!$A$2:$A$755,"US_CPI",Release_Calendar!$B$2:$B$755,$A3020)&gt;0,1,0)</f>
        <v>0</v>
      </c>
      <c r="L3020" s="16">
        <f>IF(COUNTIFS(Release_Calendar!$A$2:$A$755,"US_NFP",Release_Calendar!$B$2:$B$755,$A3020)&gt;0,1,0)</f>
        <v>0</v>
      </c>
      <c r="M3020" s="16" t="str">
        <f>IF($A3020&lt;Notes!$B$5,"",IF(COUNTIFS(Release_Calendar!$A$2:$A$755,"NZ_CPI",Release_Calendar!$B$2:$B$755,$A3020)&gt;0,1,0))</f>
        <v/>
      </c>
      <c r="N3020" s="16" t="str">
        <f>IF($A3020&lt;Notes!$B$5,"",IF(COUNTIFS(Release_Calendar!$A$2:$A$755,"NZ_GDP",Release_Calendar!$B$2:$B$755,$A3020)&gt;0,1,0))</f>
        <v/>
      </c>
      <c r="O3020" s="16" t="str">
        <f>IF($A3020&lt;Notes!$B$5,"",IF(COUNTIFS(Release_Calendar!$A$2:$A$755,"NZ_LABOUR",Release_Calendar!$B$2:$B$755,$A3020)&gt;0,1,0))</f>
        <v/>
      </c>
      <c r="P3020" s="16">
        <f t="shared" si="4"/>
        <v>0</v>
      </c>
    </row>
    <row r="3021" ht="15.75" customHeight="1">
      <c r="A3021" s="14">
        <v>40753.0</v>
      </c>
      <c r="B3021" s="15">
        <v>0.36</v>
      </c>
      <c r="C3021" s="15">
        <v>3.71</v>
      </c>
      <c r="D3021" s="15">
        <v>3.46</v>
      </c>
      <c r="E3021" s="15">
        <v>3.4</v>
      </c>
      <c r="F3021" s="15">
        <f t="shared" si="1"/>
        <v>3.35</v>
      </c>
      <c r="G3021" s="15">
        <f t="shared" si="2"/>
        <v>3.71</v>
      </c>
      <c r="H3021" s="16">
        <v>0.0</v>
      </c>
      <c r="I3021" s="15">
        <f t="shared" si="3"/>
        <v>3.35</v>
      </c>
      <c r="J3021" s="15">
        <v>25.25</v>
      </c>
      <c r="K3021" s="16">
        <f>IF(COUNTIFS(Release_Calendar!$A$2:$A$755,"US_CPI",Release_Calendar!$B$2:$B$755,$A3021)&gt;0,1,0)</f>
        <v>0</v>
      </c>
      <c r="L3021" s="16">
        <f>IF(COUNTIFS(Release_Calendar!$A$2:$A$755,"US_NFP",Release_Calendar!$B$2:$B$755,$A3021)&gt;0,1,0)</f>
        <v>0</v>
      </c>
      <c r="M3021" s="16" t="str">
        <f>IF($A3021&lt;Notes!$B$5,"",IF(COUNTIFS(Release_Calendar!$A$2:$A$755,"NZ_CPI",Release_Calendar!$B$2:$B$755,$A3021)&gt;0,1,0))</f>
        <v/>
      </c>
      <c r="N3021" s="16" t="str">
        <f>IF($A3021&lt;Notes!$B$5,"",IF(COUNTIFS(Release_Calendar!$A$2:$A$755,"NZ_GDP",Release_Calendar!$B$2:$B$755,$A3021)&gt;0,1,0))</f>
        <v/>
      </c>
      <c r="O3021" s="16" t="str">
        <f>IF($A3021&lt;Notes!$B$5,"",IF(COUNTIFS(Release_Calendar!$A$2:$A$755,"NZ_LABOUR",Release_Calendar!$B$2:$B$755,$A3021)&gt;0,1,0))</f>
        <v/>
      </c>
      <c r="P3021" s="16">
        <f t="shared" si="4"/>
        <v>0</v>
      </c>
    </row>
    <row r="3022" ht="15.75" customHeight="1">
      <c r="A3022" s="14">
        <v>40756.0</v>
      </c>
      <c r="B3022" s="15">
        <v>0.38</v>
      </c>
      <c r="C3022" s="15">
        <v>3.72</v>
      </c>
      <c r="D3022" s="15">
        <v>3.39</v>
      </c>
      <c r="E3022" s="15">
        <v>3.41</v>
      </c>
      <c r="F3022" s="15">
        <f t="shared" si="1"/>
        <v>3.34</v>
      </c>
      <c r="G3022" s="15">
        <f t="shared" si="2"/>
        <v>3.72</v>
      </c>
      <c r="H3022" s="16">
        <v>0.0</v>
      </c>
      <c r="I3022" s="15">
        <f t="shared" si="3"/>
        <v>3.34</v>
      </c>
      <c r="J3022" s="15">
        <v>23.66</v>
      </c>
      <c r="K3022" s="16">
        <f>IF(COUNTIFS(Release_Calendar!$A$2:$A$755,"US_CPI",Release_Calendar!$B$2:$B$755,$A3022)&gt;0,1,0)</f>
        <v>0</v>
      </c>
      <c r="L3022" s="16">
        <f>IF(COUNTIFS(Release_Calendar!$A$2:$A$755,"US_NFP",Release_Calendar!$B$2:$B$755,$A3022)&gt;0,1,0)</f>
        <v>0</v>
      </c>
      <c r="M3022" s="16" t="str">
        <f>IF($A3022&lt;Notes!$B$5,"",IF(COUNTIFS(Release_Calendar!$A$2:$A$755,"NZ_CPI",Release_Calendar!$B$2:$B$755,$A3022)&gt;0,1,0))</f>
        <v/>
      </c>
      <c r="N3022" s="16" t="str">
        <f>IF($A3022&lt;Notes!$B$5,"",IF(COUNTIFS(Release_Calendar!$A$2:$A$755,"NZ_GDP",Release_Calendar!$B$2:$B$755,$A3022)&gt;0,1,0))</f>
        <v/>
      </c>
      <c r="O3022" s="16" t="str">
        <f>IF($A3022&lt;Notes!$B$5,"",IF(COUNTIFS(Release_Calendar!$A$2:$A$755,"NZ_LABOUR",Release_Calendar!$B$2:$B$755,$A3022)&gt;0,1,0))</f>
        <v/>
      </c>
      <c r="P3022" s="16">
        <f t="shared" si="4"/>
        <v>0</v>
      </c>
    </row>
    <row r="3023" ht="15.75" customHeight="1">
      <c r="A3023" s="14">
        <v>40757.0</v>
      </c>
      <c r="B3023" s="15">
        <v>0.33</v>
      </c>
      <c r="C3023" s="15">
        <v>3.67</v>
      </c>
      <c r="D3023" s="15">
        <v>3.39</v>
      </c>
      <c r="E3023" s="15">
        <v>3.37</v>
      </c>
      <c r="F3023" s="15">
        <f t="shared" si="1"/>
        <v>3.34</v>
      </c>
      <c r="G3023" s="15">
        <f t="shared" si="2"/>
        <v>3.67</v>
      </c>
      <c r="H3023" s="16">
        <v>0.0</v>
      </c>
      <c r="I3023" s="15">
        <f t="shared" si="3"/>
        <v>3.34</v>
      </c>
      <c r="J3023" s="15">
        <v>24.79</v>
      </c>
      <c r="K3023" s="16">
        <f>IF(COUNTIFS(Release_Calendar!$A$2:$A$755,"US_CPI",Release_Calendar!$B$2:$B$755,$A3023)&gt;0,1,0)</f>
        <v>0</v>
      </c>
      <c r="L3023" s="16">
        <f>IF(COUNTIFS(Release_Calendar!$A$2:$A$755,"US_NFP",Release_Calendar!$B$2:$B$755,$A3023)&gt;0,1,0)</f>
        <v>0</v>
      </c>
      <c r="M3023" s="16" t="str">
        <f>IF($A3023&lt;Notes!$B$5,"",IF(COUNTIFS(Release_Calendar!$A$2:$A$755,"NZ_CPI",Release_Calendar!$B$2:$B$755,$A3023)&gt;0,1,0))</f>
        <v/>
      </c>
      <c r="N3023" s="16" t="str">
        <f>IF($A3023&lt;Notes!$B$5,"",IF(COUNTIFS(Release_Calendar!$A$2:$A$755,"NZ_GDP",Release_Calendar!$B$2:$B$755,$A3023)&gt;0,1,0))</f>
        <v/>
      </c>
      <c r="O3023" s="16" t="str">
        <f>IF($A3023&lt;Notes!$B$5,"",IF(COUNTIFS(Release_Calendar!$A$2:$A$755,"NZ_LABOUR",Release_Calendar!$B$2:$B$755,$A3023)&gt;0,1,0))</f>
        <v/>
      </c>
      <c r="P3023" s="16">
        <f t="shared" si="4"/>
        <v>0</v>
      </c>
    </row>
    <row r="3024" ht="15.75" customHeight="1">
      <c r="A3024" s="14">
        <v>40758.0</v>
      </c>
      <c r="B3024" s="15">
        <v>0.33</v>
      </c>
      <c r="C3024" s="15">
        <v>3.55</v>
      </c>
      <c r="D3024" s="15">
        <v>3.26</v>
      </c>
      <c r="E3024" s="15">
        <v>3.24</v>
      </c>
      <c r="F3024" s="15">
        <f t="shared" si="1"/>
        <v>3.22</v>
      </c>
      <c r="G3024" s="15">
        <f t="shared" si="2"/>
        <v>3.55</v>
      </c>
      <c r="H3024" s="16">
        <v>0.0</v>
      </c>
      <c r="I3024" s="15">
        <f t="shared" si="3"/>
        <v>3.22</v>
      </c>
      <c r="J3024" s="15">
        <v>23.38</v>
      </c>
      <c r="K3024" s="16">
        <f>IF(COUNTIFS(Release_Calendar!$A$2:$A$755,"US_CPI",Release_Calendar!$B$2:$B$755,$A3024)&gt;0,1,0)</f>
        <v>0</v>
      </c>
      <c r="L3024" s="16">
        <f>IF(COUNTIFS(Release_Calendar!$A$2:$A$755,"US_NFP",Release_Calendar!$B$2:$B$755,$A3024)&gt;0,1,0)</f>
        <v>0</v>
      </c>
      <c r="M3024" s="16" t="str">
        <f>IF($A3024&lt;Notes!$B$5,"",IF(COUNTIFS(Release_Calendar!$A$2:$A$755,"NZ_CPI",Release_Calendar!$B$2:$B$755,$A3024)&gt;0,1,0))</f>
        <v/>
      </c>
      <c r="N3024" s="16" t="str">
        <f>IF($A3024&lt;Notes!$B$5,"",IF(COUNTIFS(Release_Calendar!$A$2:$A$755,"NZ_GDP",Release_Calendar!$B$2:$B$755,$A3024)&gt;0,1,0))</f>
        <v/>
      </c>
      <c r="O3024" s="16" t="str">
        <f>IF($A3024&lt;Notes!$B$5,"",IF(COUNTIFS(Release_Calendar!$A$2:$A$755,"NZ_LABOUR",Release_Calendar!$B$2:$B$755,$A3024)&gt;0,1,0))</f>
        <v/>
      </c>
      <c r="P3024" s="16">
        <f t="shared" si="4"/>
        <v>0</v>
      </c>
    </row>
    <row r="3025" ht="15.75" customHeight="1">
      <c r="A3025" s="14">
        <v>40759.0</v>
      </c>
      <c r="B3025" s="15">
        <v>0.27</v>
      </c>
      <c r="C3025" s="15">
        <v>3.57</v>
      </c>
      <c r="D3025" s="15">
        <v>3.3</v>
      </c>
      <c r="E3025" s="15">
        <v>3.26</v>
      </c>
      <c r="F3025" s="15">
        <f t="shared" si="1"/>
        <v>3.3</v>
      </c>
      <c r="G3025" s="15">
        <f t="shared" si="2"/>
        <v>3.57</v>
      </c>
      <c r="H3025" s="16">
        <v>0.0</v>
      </c>
      <c r="I3025" s="15">
        <f t="shared" si="3"/>
        <v>3.3</v>
      </c>
      <c r="J3025" s="15">
        <v>31.66</v>
      </c>
      <c r="K3025" s="16">
        <f>IF(COUNTIFS(Release_Calendar!$A$2:$A$755,"US_CPI",Release_Calendar!$B$2:$B$755,$A3025)&gt;0,1,0)</f>
        <v>0</v>
      </c>
      <c r="L3025" s="16">
        <f>IF(COUNTIFS(Release_Calendar!$A$2:$A$755,"US_NFP",Release_Calendar!$B$2:$B$755,$A3025)&gt;0,1,0)</f>
        <v>0</v>
      </c>
      <c r="M3025" s="16" t="str">
        <f>IF($A3025&lt;Notes!$B$5,"",IF(COUNTIFS(Release_Calendar!$A$2:$A$755,"NZ_CPI",Release_Calendar!$B$2:$B$755,$A3025)&gt;0,1,0))</f>
        <v/>
      </c>
      <c r="N3025" s="16" t="str">
        <f>IF($A3025&lt;Notes!$B$5,"",IF(COUNTIFS(Release_Calendar!$A$2:$A$755,"NZ_GDP",Release_Calendar!$B$2:$B$755,$A3025)&gt;0,1,0))</f>
        <v/>
      </c>
      <c r="O3025" s="16" t="str">
        <f>IF($A3025&lt;Notes!$B$5,"",IF(COUNTIFS(Release_Calendar!$A$2:$A$755,"NZ_LABOUR",Release_Calendar!$B$2:$B$755,$A3025)&gt;0,1,0))</f>
        <v/>
      </c>
      <c r="P3025" s="16">
        <f t="shared" si="4"/>
        <v>0</v>
      </c>
    </row>
    <row r="3026" ht="15.75" customHeight="1">
      <c r="A3026" s="14">
        <v>40760.0</v>
      </c>
      <c r="B3026" s="15">
        <v>0.28</v>
      </c>
      <c r="C3026" s="15">
        <v>3.36</v>
      </c>
      <c r="D3026" s="15">
        <v>3.01</v>
      </c>
      <c r="E3026" s="15">
        <v>3.04</v>
      </c>
      <c r="F3026" s="15">
        <f t="shared" si="1"/>
        <v>3.08</v>
      </c>
      <c r="G3026" s="15">
        <f t="shared" si="2"/>
        <v>3.36</v>
      </c>
      <c r="H3026" s="16">
        <v>0.0</v>
      </c>
      <c r="I3026" s="15">
        <f t="shared" si="3"/>
        <v>3.08</v>
      </c>
      <c r="J3026" s="15">
        <v>32.0</v>
      </c>
      <c r="K3026" s="16">
        <f>IF(COUNTIFS(Release_Calendar!$A$2:$A$755,"US_CPI",Release_Calendar!$B$2:$B$755,$A3026)&gt;0,1,0)</f>
        <v>0</v>
      </c>
      <c r="L3026" s="16">
        <f>IF(COUNTIFS(Release_Calendar!$A$2:$A$755,"US_NFP",Release_Calendar!$B$2:$B$755,$A3026)&gt;0,1,0)</f>
        <v>1</v>
      </c>
      <c r="M3026" s="16" t="str">
        <f>IF($A3026&lt;Notes!$B$5,"",IF(COUNTIFS(Release_Calendar!$A$2:$A$755,"NZ_CPI",Release_Calendar!$B$2:$B$755,$A3026)&gt;0,1,0))</f>
        <v/>
      </c>
      <c r="N3026" s="16" t="str">
        <f>IF($A3026&lt;Notes!$B$5,"",IF(COUNTIFS(Release_Calendar!$A$2:$A$755,"NZ_GDP",Release_Calendar!$B$2:$B$755,$A3026)&gt;0,1,0))</f>
        <v/>
      </c>
      <c r="O3026" s="16" t="str">
        <f>IF($A3026&lt;Notes!$B$5,"",IF(COUNTIFS(Release_Calendar!$A$2:$A$755,"NZ_LABOUR",Release_Calendar!$B$2:$B$755,$A3026)&gt;0,1,0))</f>
        <v/>
      </c>
      <c r="P3026" s="16">
        <f t="shared" si="4"/>
        <v>1</v>
      </c>
    </row>
    <row r="3027" ht="15.75" customHeight="1">
      <c r="A3027" s="14">
        <v>40763.0</v>
      </c>
      <c r="B3027" s="15">
        <v>0.27</v>
      </c>
      <c r="C3027" s="15">
        <v>3.25</v>
      </c>
      <c r="D3027" s="15">
        <v>2.95</v>
      </c>
      <c r="E3027" s="15">
        <v>2.93</v>
      </c>
      <c r="F3027" s="15">
        <f t="shared" si="1"/>
        <v>2.98</v>
      </c>
      <c r="G3027" s="15">
        <f t="shared" si="2"/>
        <v>3.25</v>
      </c>
      <c r="H3027" s="16">
        <v>0.0</v>
      </c>
      <c r="I3027" s="15">
        <f t="shared" si="3"/>
        <v>2.98</v>
      </c>
      <c r="J3027" s="15">
        <v>48.0</v>
      </c>
      <c r="K3027" s="16">
        <f>IF(COUNTIFS(Release_Calendar!$A$2:$A$755,"US_CPI",Release_Calendar!$B$2:$B$755,$A3027)&gt;0,1,0)</f>
        <v>0</v>
      </c>
      <c r="L3027" s="16">
        <f>IF(COUNTIFS(Release_Calendar!$A$2:$A$755,"US_NFP",Release_Calendar!$B$2:$B$755,$A3027)&gt;0,1,0)</f>
        <v>0</v>
      </c>
      <c r="M3027" s="16" t="str">
        <f>IF($A3027&lt;Notes!$B$5,"",IF(COUNTIFS(Release_Calendar!$A$2:$A$755,"NZ_CPI",Release_Calendar!$B$2:$B$755,$A3027)&gt;0,1,0))</f>
        <v/>
      </c>
      <c r="N3027" s="16" t="str">
        <f>IF($A3027&lt;Notes!$B$5,"",IF(COUNTIFS(Release_Calendar!$A$2:$A$755,"NZ_GDP",Release_Calendar!$B$2:$B$755,$A3027)&gt;0,1,0))</f>
        <v/>
      </c>
      <c r="O3027" s="16" t="str">
        <f>IF($A3027&lt;Notes!$B$5,"",IF(COUNTIFS(Release_Calendar!$A$2:$A$755,"NZ_LABOUR",Release_Calendar!$B$2:$B$755,$A3027)&gt;0,1,0))</f>
        <v/>
      </c>
      <c r="P3027" s="16">
        <f t="shared" si="4"/>
        <v>0</v>
      </c>
    </row>
    <row r="3028" ht="15.75" customHeight="1">
      <c r="A3028" s="14">
        <v>40764.0</v>
      </c>
      <c r="B3028" s="15">
        <v>0.19</v>
      </c>
      <c r="C3028" s="15">
        <v>3.19</v>
      </c>
      <c r="D3028" s="15">
        <v>2.85</v>
      </c>
      <c r="E3028" s="15">
        <v>2.86</v>
      </c>
      <c r="F3028" s="15">
        <f t="shared" si="1"/>
        <v>3</v>
      </c>
      <c r="G3028" s="15">
        <f t="shared" si="2"/>
        <v>3.19</v>
      </c>
      <c r="H3028" s="16">
        <v>0.0</v>
      </c>
      <c r="I3028" s="15">
        <f t="shared" si="3"/>
        <v>3</v>
      </c>
      <c r="J3028" s="15">
        <v>35.06</v>
      </c>
      <c r="K3028" s="16">
        <f>IF(COUNTIFS(Release_Calendar!$A$2:$A$755,"US_CPI",Release_Calendar!$B$2:$B$755,$A3028)&gt;0,1,0)</f>
        <v>0</v>
      </c>
      <c r="L3028" s="16">
        <f>IF(COUNTIFS(Release_Calendar!$A$2:$A$755,"US_NFP",Release_Calendar!$B$2:$B$755,$A3028)&gt;0,1,0)</f>
        <v>0</v>
      </c>
      <c r="M3028" s="16" t="str">
        <f>IF($A3028&lt;Notes!$B$5,"",IF(COUNTIFS(Release_Calendar!$A$2:$A$755,"NZ_CPI",Release_Calendar!$B$2:$B$755,$A3028)&gt;0,1,0))</f>
        <v/>
      </c>
      <c r="N3028" s="16" t="str">
        <f>IF($A3028&lt;Notes!$B$5,"",IF(COUNTIFS(Release_Calendar!$A$2:$A$755,"NZ_GDP",Release_Calendar!$B$2:$B$755,$A3028)&gt;0,1,0))</f>
        <v/>
      </c>
      <c r="O3028" s="16" t="str">
        <f>IF($A3028&lt;Notes!$B$5,"",IF(COUNTIFS(Release_Calendar!$A$2:$A$755,"NZ_LABOUR",Release_Calendar!$B$2:$B$755,$A3028)&gt;0,1,0))</f>
        <v/>
      </c>
      <c r="P3028" s="16">
        <f t="shared" si="4"/>
        <v>0</v>
      </c>
    </row>
    <row r="3029" ht="15.75" customHeight="1">
      <c r="A3029" s="14">
        <v>40765.0</v>
      </c>
      <c r="B3029" s="15">
        <v>0.19</v>
      </c>
      <c r="C3029" s="15">
        <v>3.35</v>
      </c>
      <c r="D3029" s="15">
        <v>3.0</v>
      </c>
      <c r="E3029" s="15">
        <v>2.96</v>
      </c>
      <c r="F3029" s="15">
        <f t="shared" si="1"/>
        <v>3.16</v>
      </c>
      <c r="G3029" s="15">
        <f t="shared" si="2"/>
        <v>3.35</v>
      </c>
      <c r="H3029" s="16">
        <v>0.0</v>
      </c>
      <c r="I3029" s="15">
        <f t="shared" si="3"/>
        <v>3.16</v>
      </c>
      <c r="J3029" s="15">
        <v>42.99</v>
      </c>
      <c r="K3029" s="16">
        <f>IF(COUNTIFS(Release_Calendar!$A$2:$A$755,"US_CPI",Release_Calendar!$B$2:$B$755,$A3029)&gt;0,1,0)</f>
        <v>0</v>
      </c>
      <c r="L3029" s="16">
        <f>IF(COUNTIFS(Release_Calendar!$A$2:$A$755,"US_NFP",Release_Calendar!$B$2:$B$755,$A3029)&gt;0,1,0)</f>
        <v>0</v>
      </c>
      <c r="M3029" s="16" t="str">
        <f>IF($A3029&lt;Notes!$B$5,"",IF(COUNTIFS(Release_Calendar!$A$2:$A$755,"NZ_CPI",Release_Calendar!$B$2:$B$755,$A3029)&gt;0,1,0))</f>
        <v/>
      </c>
      <c r="N3029" s="16" t="str">
        <f>IF($A3029&lt;Notes!$B$5,"",IF(COUNTIFS(Release_Calendar!$A$2:$A$755,"NZ_GDP",Release_Calendar!$B$2:$B$755,$A3029)&gt;0,1,0))</f>
        <v/>
      </c>
      <c r="O3029" s="16" t="str">
        <f>IF($A3029&lt;Notes!$B$5,"",IF(COUNTIFS(Release_Calendar!$A$2:$A$755,"NZ_LABOUR",Release_Calendar!$B$2:$B$755,$A3029)&gt;0,1,0))</f>
        <v/>
      </c>
      <c r="P3029" s="16">
        <f t="shared" si="4"/>
        <v>0</v>
      </c>
    </row>
    <row r="3030" ht="15.75" customHeight="1">
      <c r="A3030" s="14">
        <v>40766.0</v>
      </c>
      <c r="B3030" s="15">
        <v>0.19</v>
      </c>
      <c r="C3030" s="15">
        <v>3.3</v>
      </c>
      <c r="D3030" s="15">
        <v>2.84</v>
      </c>
      <c r="E3030" s="15">
        <v>2.92</v>
      </c>
      <c r="F3030" s="15">
        <f t="shared" si="1"/>
        <v>3.11</v>
      </c>
      <c r="G3030" s="15">
        <f t="shared" si="2"/>
        <v>3.3</v>
      </c>
      <c r="H3030" s="16">
        <v>0.0</v>
      </c>
      <c r="I3030" s="15">
        <f t="shared" si="3"/>
        <v>3.11</v>
      </c>
      <c r="J3030" s="15">
        <v>39.0</v>
      </c>
      <c r="K3030" s="16">
        <f>IF(COUNTIFS(Release_Calendar!$A$2:$A$755,"US_CPI",Release_Calendar!$B$2:$B$755,$A3030)&gt;0,1,0)</f>
        <v>0</v>
      </c>
      <c r="L3030" s="16">
        <f>IF(COUNTIFS(Release_Calendar!$A$2:$A$755,"US_NFP",Release_Calendar!$B$2:$B$755,$A3030)&gt;0,1,0)</f>
        <v>0</v>
      </c>
      <c r="M3030" s="16" t="str">
        <f>IF($A3030&lt;Notes!$B$5,"",IF(COUNTIFS(Release_Calendar!$A$2:$A$755,"NZ_CPI",Release_Calendar!$B$2:$B$755,$A3030)&gt;0,1,0))</f>
        <v/>
      </c>
      <c r="N3030" s="16" t="str">
        <f>IF($A3030&lt;Notes!$B$5,"",IF(COUNTIFS(Release_Calendar!$A$2:$A$755,"NZ_GDP",Release_Calendar!$B$2:$B$755,$A3030)&gt;0,1,0))</f>
        <v/>
      </c>
      <c r="O3030" s="16" t="str">
        <f>IF($A3030&lt;Notes!$B$5,"",IF(COUNTIFS(Release_Calendar!$A$2:$A$755,"NZ_LABOUR",Release_Calendar!$B$2:$B$755,$A3030)&gt;0,1,0))</f>
        <v/>
      </c>
      <c r="P3030" s="16">
        <f t="shared" si="4"/>
        <v>0</v>
      </c>
    </row>
    <row r="3031" ht="15.75" customHeight="1">
      <c r="A3031" s="14">
        <v>40767.0</v>
      </c>
      <c r="B3031" s="15">
        <v>0.2</v>
      </c>
      <c r="C3031" s="15">
        <v>3.34</v>
      </c>
      <c r="D3031" s="15">
        <v>2.97</v>
      </c>
      <c r="E3031" s="15">
        <v>2.94</v>
      </c>
      <c r="F3031" s="15">
        <f t="shared" si="1"/>
        <v>3.14</v>
      </c>
      <c r="G3031" s="15">
        <f t="shared" si="2"/>
        <v>3.34</v>
      </c>
      <c r="H3031" s="16">
        <v>0.0</v>
      </c>
      <c r="I3031" s="15">
        <f t="shared" si="3"/>
        <v>3.14</v>
      </c>
      <c r="J3031" s="15">
        <v>36.36</v>
      </c>
      <c r="K3031" s="16">
        <f>IF(COUNTIFS(Release_Calendar!$A$2:$A$755,"US_CPI",Release_Calendar!$B$2:$B$755,$A3031)&gt;0,1,0)</f>
        <v>0</v>
      </c>
      <c r="L3031" s="16">
        <f>IF(COUNTIFS(Release_Calendar!$A$2:$A$755,"US_NFP",Release_Calendar!$B$2:$B$755,$A3031)&gt;0,1,0)</f>
        <v>0</v>
      </c>
      <c r="M3031" s="16" t="str">
        <f>IF($A3031&lt;Notes!$B$5,"",IF(COUNTIFS(Release_Calendar!$A$2:$A$755,"NZ_CPI",Release_Calendar!$B$2:$B$755,$A3031)&gt;0,1,0))</f>
        <v/>
      </c>
      <c r="N3031" s="16" t="str">
        <f>IF($A3031&lt;Notes!$B$5,"",IF(COUNTIFS(Release_Calendar!$A$2:$A$755,"NZ_GDP",Release_Calendar!$B$2:$B$755,$A3031)&gt;0,1,0))</f>
        <v/>
      </c>
      <c r="O3031" s="16" t="str">
        <f>IF($A3031&lt;Notes!$B$5,"",IF(COUNTIFS(Release_Calendar!$A$2:$A$755,"NZ_LABOUR",Release_Calendar!$B$2:$B$755,$A3031)&gt;0,1,0))</f>
        <v/>
      </c>
      <c r="P3031" s="16">
        <f t="shared" si="4"/>
        <v>0</v>
      </c>
    </row>
    <row r="3032" ht="15.75" customHeight="1">
      <c r="A3032" s="14">
        <v>40770.0</v>
      </c>
      <c r="B3032" s="15">
        <v>0.19</v>
      </c>
      <c r="C3032" s="15">
        <v>3.37</v>
      </c>
      <c r="D3032" s="15">
        <v>2.97</v>
      </c>
      <c r="E3032" s="15">
        <v>2.97</v>
      </c>
      <c r="F3032" s="15">
        <f t="shared" si="1"/>
        <v>3.18</v>
      </c>
      <c r="G3032" s="15">
        <f t="shared" si="2"/>
        <v>3.37</v>
      </c>
      <c r="H3032" s="16">
        <v>0.0</v>
      </c>
      <c r="I3032" s="15">
        <f t="shared" si="3"/>
        <v>3.18</v>
      </c>
      <c r="J3032" s="15">
        <v>31.87</v>
      </c>
      <c r="K3032" s="16">
        <f>IF(COUNTIFS(Release_Calendar!$A$2:$A$755,"US_CPI",Release_Calendar!$B$2:$B$755,$A3032)&gt;0,1,0)</f>
        <v>0</v>
      </c>
      <c r="L3032" s="16">
        <f>IF(COUNTIFS(Release_Calendar!$A$2:$A$755,"US_NFP",Release_Calendar!$B$2:$B$755,$A3032)&gt;0,1,0)</f>
        <v>0</v>
      </c>
      <c r="M3032" s="16" t="str">
        <f>IF($A3032&lt;Notes!$B$5,"",IF(COUNTIFS(Release_Calendar!$A$2:$A$755,"NZ_CPI",Release_Calendar!$B$2:$B$755,$A3032)&gt;0,1,0))</f>
        <v/>
      </c>
      <c r="N3032" s="16" t="str">
        <f>IF($A3032&lt;Notes!$B$5,"",IF(COUNTIFS(Release_Calendar!$A$2:$A$755,"NZ_GDP",Release_Calendar!$B$2:$B$755,$A3032)&gt;0,1,0))</f>
        <v/>
      </c>
      <c r="O3032" s="16" t="str">
        <f>IF($A3032&lt;Notes!$B$5,"",IF(COUNTIFS(Release_Calendar!$A$2:$A$755,"NZ_LABOUR",Release_Calendar!$B$2:$B$755,$A3032)&gt;0,1,0))</f>
        <v/>
      </c>
      <c r="P3032" s="16">
        <f t="shared" si="4"/>
        <v>0</v>
      </c>
    </row>
    <row r="3033" ht="15.75" customHeight="1">
      <c r="A3033" s="14">
        <v>40771.0</v>
      </c>
      <c r="B3033" s="15">
        <v>0.2</v>
      </c>
      <c r="C3033" s="15">
        <v>3.41</v>
      </c>
      <c r="D3033" s="15">
        <v>2.98</v>
      </c>
      <c r="E3033" s="15">
        <v>3.01</v>
      </c>
      <c r="F3033" s="15">
        <f t="shared" si="1"/>
        <v>3.21</v>
      </c>
      <c r="G3033" s="15">
        <f t="shared" si="2"/>
        <v>3.41</v>
      </c>
      <c r="H3033" s="16">
        <v>0.0</v>
      </c>
      <c r="I3033" s="15">
        <f t="shared" si="3"/>
        <v>3.21</v>
      </c>
      <c r="J3033" s="15">
        <v>32.85</v>
      </c>
      <c r="K3033" s="16">
        <f>IF(COUNTIFS(Release_Calendar!$A$2:$A$755,"US_CPI",Release_Calendar!$B$2:$B$755,$A3033)&gt;0,1,0)</f>
        <v>0</v>
      </c>
      <c r="L3033" s="16">
        <f>IF(COUNTIFS(Release_Calendar!$A$2:$A$755,"US_NFP",Release_Calendar!$B$2:$B$755,$A3033)&gt;0,1,0)</f>
        <v>0</v>
      </c>
      <c r="M3033" s="16" t="str">
        <f>IF($A3033&lt;Notes!$B$5,"",IF(COUNTIFS(Release_Calendar!$A$2:$A$755,"NZ_CPI",Release_Calendar!$B$2:$B$755,$A3033)&gt;0,1,0))</f>
        <v/>
      </c>
      <c r="N3033" s="16" t="str">
        <f>IF($A3033&lt;Notes!$B$5,"",IF(COUNTIFS(Release_Calendar!$A$2:$A$755,"NZ_GDP",Release_Calendar!$B$2:$B$755,$A3033)&gt;0,1,0))</f>
        <v/>
      </c>
      <c r="O3033" s="16" t="str">
        <f>IF($A3033&lt;Notes!$B$5,"",IF(COUNTIFS(Release_Calendar!$A$2:$A$755,"NZ_LABOUR",Release_Calendar!$B$2:$B$755,$A3033)&gt;0,1,0))</f>
        <v/>
      </c>
      <c r="P3033" s="16">
        <f t="shared" si="4"/>
        <v>0</v>
      </c>
    </row>
    <row r="3034" ht="15.75" customHeight="1">
      <c r="A3034" s="14">
        <v>40772.0</v>
      </c>
      <c r="B3034" s="15">
        <v>0.19</v>
      </c>
      <c r="C3034" s="15">
        <v>3.38</v>
      </c>
      <c r="D3034" s="15">
        <v>2.97</v>
      </c>
      <c r="E3034" s="15">
        <v>2.97</v>
      </c>
      <c r="F3034" s="15">
        <f t="shared" si="1"/>
        <v>3.19</v>
      </c>
      <c r="G3034" s="15">
        <f t="shared" si="2"/>
        <v>3.38</v>
      </c>
      <c r="H3034" s="16">
        <v>0.0</v>
      </c>
      <c r="I3034" s="15">
        <f t="shared" si="3"/>
        <v>3.19</v>
      </c>
      <c r="J3034" s="15">
        <v>31.58</v>
      </c>
      <c r="K3034" s="16">
        <f>IF(COUNTIFS(Release_Calendar!$A$2:$A$755,"US_CPI",Release_Calendar!$B$2:$B$755,$A3034)&gt;0,1,0)</f>
        <v>0</v>
      </c>
      <c r="L3034" s="16">
        <f>IF(COUNTIFS(Release_Calendar!$A$2:$A$755,"US_NFP",Release_Calendar!$B$2:$B$755,$A3034)&gt;0,1,0)</f>
        <v>0</v>
      </c>
      <c r="M3034" s="16" t="str">
        <f>IF($A3034&lt;Notes!$B$5,"",IF(COUNTIFS(Release_Calendar!$A$2:$A$755,"NZ_CPI",Release_Calendar!$B$2:$B$755,$A3034)&gt;0,1,0))</f>
        <v/>
      </c>
      <c r="N3034" s="16" t="str">
        <f>IF($A3034&lt;Notes!$B$5,"",IF(COUNTIFS(Release_Calendar!$A$2:$A$755,"NZ_GDP",Release_Calendar!$B$2:$B$755,$A3034)&gt;0,1,0))</f>
        <v/>
      </c>
      <c r="O3034" s="16" t="str">
        <f>IF($A3034&lt;Notes!$B$5,"",IF(COUNTIFS(Release_Calendar!$A$2:$A$755,"NZ_LABOUR",Release_Calendar!$B$2:$B$755,$A3034)&gt;0,1,0))</f>
        <v/>
      </c>
      <c r="P3034" s="16">
        <f t="shared" si="4"/>
        <v>0</v>
      </c>
    </row>
    <row r="3035" ht="15.75" customHeight="1">
      <c r="A3035" s="14">
        <v>40773.0</v>
      </c>
      <c r="B3035" s="15">
        <v>0.2</v>
      </c>
      <c r="C3035" s="15">
        <v>3.35</v>
      </c>
      <c r="D3035" s="15">
        <v>2.97</v>
      </c>
      <c r="E3035" s="15">
        <v>3.0</v>
      </c>
      <c r="F3035" s="15">
        <f t="shared" si="1"/>
        <v>3.15</v>
      </c>
      <c r="G3035" s="15">
        <f t="shared" si="2"/>
        <v>3.35</v>
      </c>
      <c r="H3035" s="16">
        <v>0.0</v>
      </c>
      <c r="I3035" s="15">
        <f t="shared" si="3"/>
        <v>3.15</v>
      </c>
      <c r="J3035" s="15">
        <v>42.67</v>
      </c>
      <c r="K3035" s="16">
        <f>IF(COUNTIFS(Release_Calendar!$A$2:$A$755,"US_CPI",Release_Calendar!$B$2:$B$755,$A3035)&gt;0,1,0)</f>
        <v>1</v>
      </c>
      <c r="L3035" s="16">
        <f>IF(COUNTIFS(Release_Calendar!$A$2:$A$755,"US_NFP",Release_Calendar!$B$2:$B$755,$A3035)&gt;0,1,0)</f>
        <v>0</v>
      </c>
      <c r="M3035" s="16" t="str">
        <f>IF($A3035&lt;Notes!$B$5,"",IF(COUNTIFS(Release_Calendar!$A$2:$A$755,"NZ_CPI",Release_Calendar!$B$2:$B$755,$A3035)&gt;0,1,0))</f>
        <v/>
      </c>
      <c r="N3035" s="16" t="str">
        <f>IF($A3035&lt;Notes!$B$5,"",IF(COUNTIFS(Release_Calendar!$A$2:$A$755,"NZ_GDP",Release_Calendar!$B$2:$B$755,$A3035)&gt;0,1,0))</f>
        <v/>
      </c>
      <c r="O3035" s="16" t="str">
        <f>IF($A3035&lt;Notes!$B$5,"",IF(COUNTIFS(Release_Calendar!$A$2:$A$755,"NZ_LABOUR",Release_Calendar!$B$2:$B$755,$A3035)&gt;0,1,0))</f>
        <v/>
      </c>
      <c r="P3035" s="16">
        <f t="shared" si="4"/>
        <v>1</v>
      </c>
    </row>
    <row r="3036" ht="15.75" customHeight="1">
      <c r="A3036" s="14">
        <v>40774.0</v>
      </c>
      <c r="B3036" s="15">
        <v>0.2</v>
      </c>
      <c r="C3036" s="15">
        <v>3.27</v>
      </c>
      <c r="D3036" s="15">
        <v>2.97</v>
      </c>
      <c r="E3036" s="15">
        <v>2.94</v>
      </c>
      <c r="F3036" s="15">
        <f t="shared" si="1"/>
        <v>3.07</v>
      </c>
      <c r="G3036" s="15">
        <f t="shared" si="2"/>
        <v>3.27</v>
      </c>
      <c r="H3036" s="16">
        <v>0.0</v>
      </c>
      <c r="I3036" s="15">
        <f t="shared" si="3"/>
        <v>3.07</v>
      </c>
      <c r="J3036" s="15">
        <v>43.05</v>
      </c>
      <c r="K3036" s="16">
        <f>IF(COUNTIFS(Release_Calendar!$A$2:$A$755,"US_CPI",Release_Calendar!$B$2:$B$755,$A3036)&gt;0,1,0)</f>
        <v>0</v>
      </c>
      <c r="L3036" s="16">
        <f>IF(COUNTIFS(Release_Calendar!$A$2:$A$755,"US_NFP",Release_Calendar!$B$2:$B$755,$A3036)&gt;0,1,0)</f>
        <v>0</v>
      </c>
      <c r="M3036" s="16" t="str">
        <f>IF($A3036&lt;Notes!$B$5,"",IF(COUNTIFS(Release_Calendar!$A$2:$A$755,"NZ_CPI",Release_Calendar!$B$2:$B$755,$A3036)&gt;0,1,0))</f>
        <v/>
      </c>
      <c r="N3036" s="16" t="str">
        <f>IF($A3036&lt;Notes!$B$5,"",IF(COUNTIFS(Release_Calendar!$A$2:$A$755,"NZ_GDP",Release_Calendar!$B$2:$B$755,$A3036)&gt;0,1,0))</f>
        <v/>
      </c>
      <c r="O3036" s="16" t="str">
        <f>IF($A3036&lt;Notes!$B$5,"",IF(COUNTIFS(Release_Calendar!$A$2:$A$755,"NZ_LABOUR",Release_Calendar!$B$2:$B$755,$A3036)&gt;0,1,0))</f>
        <v/>
      </c>
      <c r="P3036" s="16">
        <f t="shared" si="4"/>
        <v>0</v>
      </c>
    </row>
    <row r="3037" ht="15.75" customHeight="1">
      <c r="A3037" s="14">
        <v>40777.0</v>
      </c>
      <c r="B3037" s="15">
        <v>0.22</v>
      </c>
      <c r="C3037" s="15">
        <v>3.27</v>
      </c>
      <c r="D3037" s="15">
        <v>2.94</v>
      </c>
      <c r="E3037" s="15">
        <v>2.94</v>
      </c>
      <c r="F3037" s="15">
        <f t="shared" si="1"/>
        <v>3.05</v>
      </c>
      <c r="G3037" s="15">
        <f t="shared" si="2"/>
        <v>3.27</v>
      </c>
      <c r="H3037" s="16">
        <v>0.0</v>
      </c>
      <c r="I3037" s="15">
        <f t="shared" si="3"/>
        <v>3.05</v>
      </c>
      <c r="J3037" s="15">
        <v>42.44</v>
      </c>
      <c r="K3037" s="16">
        <f>IF(COUNTIFS(Release_Calendar!$A$2:$A$755,"US_CPI",Release_Calendar!$B$2:$B$755,$A3037)&gt;0,1,0)</f>
        <v>0</v>
      </c>
      <c r="L3037" s="16">
        <f>IF(COUNTIFS(Release_Calendar!$A$2:$A$755,"US_NFP",Release_Calendar!$B$2:$B$755,$A3037)&gt;0,1,0)</f>
        <v>0</v>
      </c>
      <c r="M3037" s="16" t="str">
        <f>IF($A3037&lt;Notes!$B$5,"",IF(COUNTIFS(Release_Calendar!$A$2:$A$755,"NZ_CPI",Release_Calendar!$B$2:$B$755,$A3037)&gt;0,1,0))</f>
        <v/>
      </c>
      <c r="N3037" s="16" t="str">
        <f>IF($A3037&lt;Notes!$B$5,"",IF(COUNTIFS(Release_Calendar!$A$2:$A$755,"NZ_GDP",Release_Calendar!$B$2:$B$755,$A3037)&gt;0,1,0))</f>
        <v/>
      </c>
      <c r="O3037" s="16" t="str">
        <f>IF($A3037&lt;Notes!$B$5,"",IF(COUNTIFS(Release_Calendar!$A$2:$A$755,"NZ_LABOUR",Release_Calendar!$B$2:$B$755,$A3037)&gt;0,1,0))</f>
        <v/>
      </c>
      <c r="P3037" s="16">
        <f t="shared" si="4"/>
        <v>0</v>
      </c>
    </row>
    <row r="3038" ht="15.75" customHeight="1">
      <c r="A3038" s="14">
        <v>40778.0</v>
      </c>
      <c r="B3038" s="15">
        <v>0.22</v>
      </c>
      <c r="C3038" s="15">
        <v>3.31</v>
      </c>
      <c r="D3038" s="15">
        <v>2.94</v>
      </c>
      <c r="E3038" s="15">
        <v>3.01</v>
      </c>
      <c r="F3038" s="15">
        <f t="shared" si="1"/>
        <v>3.09</v>
      </c>
      <c r="G3038" s="15">
        <f t="shared" si="2"/>
        <v>3.31</v>
      </c>
      <c r="H3038" s="16">
        <v>0.0</v>
      </c>
      <c r="I3038" s="15">
        <f t="shared" si="3"/>
        <v>3.09</v>
      </c>
      <c r="J3038" s="15">
        <v>36.27</v>
      </c>
      <c r="K3038" s="16">
        <f>IF(COUNTIFS(Release_Calendar!$A$2:$A$755,"US_CPI",Release_Calendar!$B$2:$B$755,$A3038)&gt;0,1,0)</f>
        <v>0</v>
      </c>
      <c r="L3038" s="16">
        <f>IF(COUNTIFS(Release_Calendar!$A$2:$A$755,"US_NFP",Release_Calendar!$B$2:$B$755,$A3038)&gt;0,1,0)</f>
        <v>0</v>
      </c>
      <c r="M3038" s="16" t="str">
        <f>IF($A3038&lt;Notes!$B$5,"",IF(COUNTIFS(Release_Calendar!$A$2:$A$755,"NZ_CPI",Release_Calendar!$B$2:$B$755,$A3038)&gt;0,1,0))</f>
        <v/>
      </c>
      <c r="N3038" s="16" t="str">
        <f>IF($A3038&lt;Notes!$B$5,"",IF(COUNTIFS(Release_Calendar!$A$2:$A$755,"NZ_GDP",Release_Calendar!$B$2:$B$755,$A3038)&gt;0,1,0))</f>
        <v/>
      </c>
      <c r="O3038" s="16" t="str">
        <f>IF($A3038&lt;Notes!$B$5,"",IF(COUNTIFS(Release_Calendar!$A$2:$A$755,"NZ_LABOUR",Release_Calendar!$B$2:$B$755,$A3038)&gt;0,1,0))</f>
        <v/>
      </c>
      <c r="P3038" s="16">
        <f t="shared" si="4"/>
        <v>0</v>
      </c>
    </row>
    <row r="3039" ht="15.75" customHeight="1">
      <c r="A3039" s="14">
        <v>40779.0</v>
      </c>
      <c r="B3039" s="15">
        <v>0.23</v>
      </c>
      <c r="C3039" s="15">
        <v>3.33</v>
      </c>
      <c r="D3039" s="15">
        <v>3.06</v>
      </c>
      <c r="E3039" s="15">
        <v>3.05</v>
      </c>
      <c r="F3039" s="15">
        <f t="shared" si="1"/>
        <v>3.1</v>
      </c>
      <c r="G3039" s="15">
        <f t="shared" si="2"/>
        <v>3.33</v>
      </c>
      <c r="H3039" s="16">
        <v>0.0</v>
      </c>
      <c r="I3039" s="15">
        <f t="shared" si="3"/>
        <v>3.1</v>
      </c>
      <c r="J3039" s="15">
        <v>35.9</v>
      </c>
      <c r="K3039" s="16">
        <f>IF(COUNTIFS(Release_Calendar!$A$2:$A$755,"US_CPI",Release_Calendar!$B$2:$B$755,$A3039)&gt;0,1,0)</f>
        <v>0</v>
      </c>
      <c r="L3039" s="16">
        <f>IF(COUNTIFS(Release_Calendar!$A$2:$A$755,"US_NFP",Release_Calendar!$B$2:$B$755,$A3039)&gt;0,1,0)</f>
        <v>0</v>
      </c>
      <c r="M3039" s="16" t="str">
        <f>IF($A3039&lt;Notes!$B$5,"",IF(COUNTIFS(Release_Calendar!$A$2:$A$755,"NZ_CPI",Release_Calendar!$B$2:$B$755,$A3039)&gt;0,1,0))</f>
        <v/>
      </c>
      <c r="N3039" s="16" t="str">
        <f>IF($A3039&lt;Notes!$B$5,"",IF(COUNTIFS(Release_Calendar!$A$2:$A$755,"NZ_GDP",Release_Calendar!$B$2:$B$755,$A3039)&gt;0,1,0))</f>
        <v/>
      </c>
      <c r="O3039" s="16" t="str">
        <f>IF($A3039&lt;Notes!$B$5,"",IF(COUNTIFS(Release_Calendar!$A$2:$A$755,"NZ_LABOUR",Release_Calendar!$B$2:$B$755,$A3039)&gt;0,1,0))</f>
        <v/>
      </c>
      <c r="P3039" s="16">
        <f t="shared" si="4"/>
        <v>0</v>
      </c>
    </row>
    <row r="3040" ht="15.75" customHeight="1">
      <c r="A3040" s="14">
        <v>40780.0</v>
      </c>
      <c r="B3040" s="15">
        <v>0.22</v>
      </c>
      <c r="C3040" s="15">
        <v>3.37</v>
      </c>
      <c r="D3040" s="15">
        <v>3.06</v>
      </c>
      <c r="E3040" s="15">
        <v>3.05</v>
      </c>
      <c r="F3040" s="15">
        <f t="shared" si="1"/>
        <v>3.15</v>
      </c>
      <c r="G3040" s="15">
        <f t="shared" si="2"/>
        <v>3.37</v>
      </c>
      <c r="H3040" s="16">
        <v>0.0</v>
      </c>
      <c r="I3040" s="15">
        <f t="shared" si="3"/>
        <v>3.15</v>
      </c>
      <c r="J3040" s="15">
        <v>39.76</v>
      </c>
      <c r="K3040" s="16">
        <f>IF(COUNTIFS(Release_Calendar!$A$2:$A$755,"US_CPI",Release_Calendar!$B$2:$B$755,$A3040)&gt;0,1,0)</f>
        <v>0</v>
      </c>
      <c r="L3040" s="16">
        <f>IF(COUNTIFS(Release_Calendar!$A$2:$A$755,"US_NFP",Release_Calendar!$B$2:$B$755,$A3040)&gt;0,1,0)</f>
        <v>0</v>
      </c>
      <c r="M3040" s="16" t="str">
        <f>IF($A3040&lt;Notes!$B$5,"",IF(COUNTIFS(Release_Calendar!$A$2:$A$755,"NZ_CPI",Release_Calendar!$B$2:$B$755,$A3040)&gt;0,1,0))</f>
        <v/>
      </c>
      <c r="N3040" s="16" t="str">
        <f>IF($A3040&lt;Notes!$B$5,"",IF(COUNTIFS(Release_Calendar!$A$2:$A$755,"NZ_GDP",Release_Calendar!$B$2:$B$755,$A3040)&gt;0,1,0))</f>
        <v/>
      </c>
      <c r="O3040" s="16" t="str">
        <f>IF($A3040&lt;Notes!$B$5,"",IF(COUNTIFS(Release_Calendar!$A$2:$A$755,"NZ_LABOUR",Release_Calendar!$B$2:$B$755,$A3040)&gt;0,1,0))</f>
        <v/>
      </c>
      <c r="P3040" s="16">
        <f t="shared" si="4"/>
        <v>0</v>
      </c>
    </row>
    <row r="3041" ht="15.75" customHeight="1">
      <c r="A3041" s="14">
        <v>40781.0</v>
      </c>
      <c r="B3041" s="15">
        <v>0.2</v>
      </c>
      <c r="C3041" s="15">
        <v>3.37</v>
      </c>
      <c r="D3041" s="15">
        <v>3.03</v>
      </c>
      <c r="E3041" s="15">
        <v>3.02</v>
      </c>
      <c r="F3041" s="15">
        <f t="shared" si="1"/>
        <v>3.17</v>
      </c>
      <c r="G3041" s="15">
        <f t="shared" si="2"/>
        <v>3.37</v>
      </c>
      <c r="H3041" s="16">
        <v>0.0</v>
      </c>
      <c r="I3041" s="15">
        <f t="shared" si="3"/>
        <v>3.17</v>
      </c>
      <c r="J3041" s="15">
        <v>35.59</v>
      </c>
      <c r="K3041" s="16">
        <f>IF(COUNTIFS(Release_Calendar!$A$2:$A$755,"US_CPI",Release_Calendar!$B$2:$B$755,$A3041)&gt;0,1,0)</f>
        <v>0</v>
      </c>
      <c r="L3041" s="16">
        <f>IF(COUNTIFS(Release_Calendar!$A$2:$A$755,"US_NFP",Release_Calendar!$B$2:$B$755,$A3041)&gt;0,1,0)</f>
        <v>0</v>
      </c>
      <c r="M3041" s="16" t="str">
        <f>IF($A3041&lt;Notes!$B$5,"",IF(COUNTIFS(Release_Calendar!$A$2:$A$755,"NZ_CPI",Release_Calendar!$B$2:$B$755,$A3041)&gt;0,1,0))</f>
        <v/>
      </c>
      <c r="N3041" s="16" t="str">
        <f>IF($A3041&lt;Notes!$B$5,"",IF(COUNTIFS(Release_Calendar!$A$2:$A$755,"NZ_GDP",Release_Calendar!$B$2:$B$755,$A3041)&gt;0,1,0))</f>
        <v/>
      </c>
      <c r="O3041" s="16" t="str">
        <f>IF($A3041&lt;Notes!$B$5,"",IF(COUNTIFS(Release_Calendar!$A$2:$A$755,"NZ_LABOUR",Release_Calendar!$B$2:$B$755,$A3041)&gt;0,1,0))</f>
        <v/>
      </c>
      <c r="P3041" s="16">
        <f t="shared" si="4"/>
        <v>0</v>
      </c>
    </row>
    <row r="3042" ht="15.75" customHeight="1">
      <c r="A3042" s="14">
        <v>40784.0</v>
      </c>
      <c r="B3042" s="15">
        <v>0.2</v>
      </c>
      <c r="C3042" s="15">
        <v>3.38</v>
      </c>
      <c r="D3042" s="15">
        <v>3.02</v>
      </c>
      <c r="E3042" s="15">
        <v>3.03</v>
      </c>
      <c r="F3042" s="15">
        <f t="shared" si="1"/>
        <v>3.18</v>
      </c>
      <c r="G3042" s="15">
        <f t="shared" si="2"/>
        <v>3.38</v>
      </c>
      <c r="H3042" s="16">
        <v>0.0</v>
      </c>
      <c r="I3042" s="15">
        <f t="shared" si="3"/>
        <v>3.18</v>
      </c>
      <c r="J3042" s="15">
        <v>32.28</v>
      </c>
      <c r="K3042" s="16">
        <f>IF(COUNTIFS(Release_Calendar!$A$2:$A$755,"US_CPI",Release_Calendar!$B$2:$B$755,$A3042)&gt;0,1,0)</f>
        <v>0</v>
      </c>
      <c r="L3042" s="16">
        <f>IF(COUNTIFS(Release_Calendar!$A$2:$A$755,"US_NFP",Release_Calendar!$B$2:$B$755,$A3042)&gt;0,1,0)</f>
        <v>0</v>
      </c>
      <c r="M3042" s="16" t="str">
        <f>IF($A3042&lt;Notes!$B$5,"",IF(COUNTIFS(Release_Calendar!$A$2:$A$755,"NZ_CPI",Release_Calendar!$B$2:$B$755,$A3042)&gt;0,1,0))</f>
        <v/>
      </c>
      <c r="N3042" s="16" t="str">
        <f>IF($A3042&lt;Notes!$B$5,"",IF(COUNTIFS(Release_Calendar!$A$2:$A$755,"NZ_GDP",Release_Calendar!$B$2:$B$755,$A3042)&gt;0,1,0))</f>
        <v/>
      </c>
      <c r="O3042" s="16" t="str">
        <f>IF($A3042&lt;Notes!$B$5,"",IF(COUNTIFS(Release_Calendar!$A$2:$A$755,"NZ_LABOUR",Release_Calendar!$B$2:$B$755,$A3042)&gt;0,1,0))</f>
        <v/>
      </c>
      <c r="P3042" s="16">
        <f t="shared" si="4"/>
        <v>0</v>
      </c>
    </row>
    <row r="3043" ht="15.75" customHeight="1">
      <c r="A3043" s="14">
        <v>40785.0</v>
      </c>
      <c r="B3043" s="15">
        <v>0.2</v>
      </c>
      <c r="C3043" s="15">
        <v>3.41</v>
      </c>
      <c r="D3043" s="15">
        <v>3.04</v>
      </c>
      <c r="E3043" s="15">
        <v>3.05</v>
      </c>
      <c r="F3043" s="15">
        <f t="shared" si="1"/>
        <v>3.21</v>
      </c>
      <c r="G3043" s="15">
        <f t="shared" si="2"/>
        <v>3.41</v>
      </c>
      <c r="H3043" s="16">
        <v>0.0</v>
      </c>
      <c r="I3043" s="15">
        <f t="shared" si="3"/>
        <v>3.21</v>
      </c>
      <c r="J3043" s="15">
        <v>32.89</v>
      </c>
      <c r="K3043" s="16">
        <f>IF(COUNTIFS(Release_Calendar!$A$2:$A$755,"US_CPI",Release_Calendar!$B$2:$B$755,$A3043)&gt;0,1,0)</f>
        <v>0</v>
      </c>
      <c r="L3043" s="16">
        <f>IF(COUNTIFS(Release_Calendar!$A$2:$A$755,"US_NFP",Release_Calendar!$B$2:$B$755,$A3043)&gt;0,1,0)</f>
        <v>0</v>
      </c>
      <c r="M3043" s="16" t="str">
        <f>IF($A3043&lt;Notes!$B$5,"",IF(COUNTIFS(Release_Calendar!$A$2:$A$755,"NZ_CPI",Release_Calendar!$B$2:$B$755,$A3043)&gt;0,1,0))</f>
        <v/>
      </c>
      <c r="N3043" s="16" t="str">
        <f>IF($A3043&lt;Notes!$B$5,"",IF(COUNTIFS(Release_Calendar!$A$2:$A$755,"NZ_GDP",Release_Calendar!$B$2:$B$755,$A3043)&gt;0,1,0))</f>
        <v/>
      </c>
      <c r="O3043" s="16" t="str">
        <f>IF($A3043&lt;Notes!$B$5,"",IF(COUNTIFS(Release_Calendar!$A$2:$A$755,"NZ_LABOUR",Release_Calendar!$B$2:$B$755,$A3043)&gt;0,1,0))</f>
        <v/>
      </c>
      <c r="P3043" s="16">
        <f t="shared" si="4"/>
        <v>0</v>
      </c>
    </row>
    <row r="3044" ht="15.75" customHeight="1">
      <c r="A3044" s="14">
        <v>40786.0</v>
      </c>
      <c r="B3044" s="15">
        <v>0.2</v>
      </c>
      <c r="C3044" s="15">
        <v>3.39</v>
      </c>
      <c r="D3044" s="15">
        <v>3.04</v>
      </c>
      <c r="E3044" s="15">
        <v>3.08</v>
      </c>
      <c r="F3044" s="15">
        <f t="shared" si="1"/>
        <v>3.19</v>
      </c>
      <c r="G3044" s="15">
        <f t="shared" si="2"/>
        <v>3.39</v>
      </c>
      <c r="H3044" s="16">
        <v>0.0</v>
      </c>
      <c r="I3044" s="15">
        <f t="shared" si="3"/>
        <v>3.19</v>
      </c>
      <c r="J3044" s="15">
        <v>31.62</v>
      </c>
      <c r="K3044" s="16">
        <f>IF(COUNTIFS(Release_Calendar!$A$2:$A$755,"US_CPI",Release_Calendar!$B$2:$B$755,$A3044)&gt;0,1,0)</f>
        <v>0</v>
      </c>
      <c r="L3044" s="16">
        <f>IF(COUNTIFS(Release_Calendar!$A$2:$A$755,"US_NFP",Release_Calendar!$B$2:$B$755,$A3044)&gt;0,1,0)</f>
        <v>0</v>
      </c>
      <c r="M3044" s="16" t="str">
        <f>IF($A3044&lt;Notes!$B$5,"",IF(COUNTIFS(Release_Calendar!$A$2:$A$755,"NZ_CPI",Release_Calendar!$B$2:$B$755,$A3044)&gt;0,1,0))</f>
        <v/>
      </c>
      <c r="N3044" s="16" t="str">
        <f>IF($A3044&lt;Notes!$B$5,"",IF(COUNTIFS(Release_Calendar!$A$2:$A$755,"NZ_GDP",Release_Calendar!$B$2:$B$755,$A3044)&gt;0,1,0))</f>
        <v/>
      </c>
      <c r="O3044" s="16" t="str">
        <f>IF($A3044&lt;Notes!$B$5,"",IF(COUNTIFS(Release_Calendar!$A$2:$A$755,"NZ_LABOUR",Release_Calendar!$B$2:$B$755,$A3044)&gt;0,1,0))</f>
        <v/>
      </c>
      <c r="P3044" s="16">
        <f t="shared" si="4"/>
        <v>0</v>
      </c>
    </row>
    <row r="3045" ht="15.75" customHeight="1">
      <c r="A3045" s="14">
        <v>40787.0</v>
      </c>
      <c r="B3045" s="15">
        <v>0.19</v>
      </c>
      <c r="C3045" s="15">
        <v>3.42</v>
      </c>
      <c r="D3045" s="15">
        <v>3.09</v>
      </c>
      <c r="E3045" s="15">
        <v>3.12</v>
      </c>
      <c r="F3045" s="15">
        <f t="shared" si="1"/>
        <v>3.23</v>
      </c>
      <c r="G3045" s="15">
        <f t="shared" si="2"/>
        <v>3.42</v>
      </c>
      <c r="H3045" s="16">
        <v>0.0</v>
      </c>
      <c r="I3045" s="15">
        <f t="shared" si="3"/>
        <v>3.23</v>
      </c>
      <c r="J3045" s="15">
        <v>31.82</v>
      </c>
      <c r="K3045" s="16">
        <f>IF(COUNTIFS(Release_Calendar!$A$2:$A$755,"US_CPI",Release_Calendar!$B$2:$B$755,$A3045)&gt;0,1,0)</f>
        <v>0</v>
      </c>
      <c r="L3045" s="16">
        <f>IF(COUNTIFS(Release_Calendar!$A$2:$A$755,"US_NFP",Release_Calendar!$B$2:$B$755,$A3045)&gt;0,1,0)</f>
        <v>0</v>
      </c>
      <c r="M3045" s="16" t="str">
        <f>IF($A3045&lt;Notes!$B$5,"",IF(COUNTIFS(Release_Calendar!$A$2:$A$755,"NZ_CPI",Release_Calendar!$B$2:$B$755,$A3045)&gt;0,1,0))</f>
        <v/>
      </c>
      <c r="N3045" s="16" t="str">
        <f>IF($A3045&lt;Notes!$B$5,"",IF(COUNTIFS(Release_Calendar!$A$2:$A$755,"NZ_GDP",Release_Calendar!$B$2:$B$755,$A3045)&gt;0,1,0))</f>
        <v/>
      </c>
      <c r="O3045" s="16" t="str">
        <f>IF($A3045&lt;Notes!$B$5,"",IF(COUNTIFS(Release_Calendar!$A$2:$A$755,"NZ_LABOUR",Release_Calendar!$B$2:$B$755,$A3045)&gt;0,1,0))</f>
        <v/>
      </c>
      <c r="P3045" s="16">
        <f t="shared" si="4"/>
        <v>0</v>
      </c>
    </row>
    <row r="3046" ht="15.75" customHeight="1">
      <c r="A3046" s="14">
        <v>40788.0</v>
      </c>
      <c r="B3046" s="15">
        <v>0.2</v>
      </c>
      <c r="C3046" s="15">
        <v>3.37</v>
      </c>
      <c r="D3046" s="15">
        <v>3.09</v>
      </c>
      <c r="E3046" s="15">
        <v>3.08</v>
      </c>
      <c r="F3046" s="15">
        <f t="shared" si="1"/>
        <v>3.17</v>
      </c>
      <c r="G3046" s="15">
        <f t="shared" si="2"/>
        <v>3.37</v>
      </c>
      <c r="H3046" s="16">
        <v>0.0</v>
      </c>
      <c r="I3046" s="15">
        <f t="shared" si="3"/>
        <v>3.17</v>
      </c>
      <c r="J3046" s="15">
        <v>33.92</v>
      </c>
      <c r="K3046" s="16">
        <f>IF(COUNTIFS(Release_Calendar!$A$2:$A$755,"US_CPI",Release_Calendar!$B$2:$B$755,$A3046)&gt;0,1,0)</f>
        <v>0</v>
      </c>
      <c r="L3046" s="16">
        <f>IF(COUNTIFS(Release_Calendar!$A$2:$A$755,"US_NFP",Release_Calendar!$B$2:$B$755,$A3046)&gt;0,1,0)</f>
        <v>1</v>
      </c>
      <c r="M3046" s="16" t="str">
        <f>IF($A3046&lt;Notes!$B$5,"",IF(COUNTIFS(Release_Calendar!$A$2:$A$755,"NZ_CPI",Release_Calendar!$B$2:$B$755,$A3046)&gt;0,1,0))</f>
        <v/>
      </c>
      <c r="N3046" s="16" t="str">
        <f>IF($A3046&lt;Notes!$B$5,"",IF(COUNTIFS(Release_Calendar!$A$2:$A$755,"NZ_GDP",Release_Calendar!$B$2:$B$755,$A3046)&gt;0,1,0))</f>
        <v/>
      </c>
      <c r="O3046" s="16" t="str">
        <f>IF($A3046&lt;Notes!$B$5,"",IF(COUNTIFS(Release_Calendar!$A$2:$A$755,"NZ_LABOUR",Release_Calendar!$B$2:$B$755,$A3046)&gt;0,1,0))</f>
        <v/>
      </c>
      <c r="P3046" s="16">
        <f t="shared" si="4"/>
        <v>1</v>
      </c>
    </row>
    <row r="3047" ht="15.75" customHeight="1">
      <c r="A3047" s="14">
        <v>40791.0</v>
      </c>
      <c r="B3047" s="15"/>
      <c r="C3047" s="15">
        <v>3.31</v>
      </c>
      <c r="D3047" s="15">
        <v>3.04</v>
      </c>
      <c r="E3047" s="15">
        <v>3.0</v>
      </c>
      <c r="F3047" s="15" t="str">
        <f t="shared" si="1"/>
        <v/>
      </c>
      <c r="G3047" s="15">
        <f t="shared" si="2"/>
        <v>3.31</v>
      </c>
      <c r="H3047" s="16">
        <v>0.0</v>
      </c>
      <c r="I3047" s="15" t="str">
        <f t="shared" si="3"/>
        <v/>
      </c>
      <c r="J3047" s="15"/>
      <c r="K3047" s="16">
        <f>IF(COUNTIFS(Release_Calendar!$A$2:$A$755,"US_CPI",Release_Calendar!$B$2:$B$755,$A3047)&gt;0,1,0)</f>
        <v>0</v>
      </c>
      <c r="L3047" s="16">
        <f>IF(COUNTIFS(Release_Calendar!$A$2:$A$755,"US_NFP",Release_Calendar!$B$2:$B$755,$A3047)&gt;0,1,0)</f>
        <v>0</v>
      </c>
      <c r="M3047" s="16" t="str">
        <f>IF($A3047&lt;Notes!$B$5,"",IF(COUNTIFS(Release_Calendar!$A$2:$A$755,"NZ_CPI",Release_Calendar!$B$2:$B$755,$A3047)&gt;0,1,0))</f>
        <v/>
      </c>
      <c r="N3047" s="16" t="str">
        <f>IF($A3047&lt;Notes!$B$5,"",IF(COUNTIFS(Release_Calendar!$A$2:$A$755,"NZ_GDP",Release_Calendar!$B$2:$B$755,$A3047)&gt;0,1,0))</f>
        <v/>
      </c>
      <c r="O3047" s="16" t="str">
        <f>IF($A3047&lt;Notes!$B$5,"",IF(COUNTIFS(Release_Calendar!$A$2:$A$755,"NZ_LABOUR",Release_Calendar!$B$2:$B$755,$A3047)&gt;0,1,0))</f>
        <v/>
      </c>
      <c r="P3047" s="16">
        <f t="shared" si="4"/>
        <v>0</v>
      </c>
    </row>
    <row r="3048" ht="15.75" customHeight="1">
      <c r="A3048" s="14">
        <v>40792.0</v>
      </c>
      <c r="B3048" s="15">
        <v>0.21</v>
      </c>
      <c r="C3048" s="15">
        <v>3.25</v>
      </c>
      <c r="D3048" s="15">
        <v>2.96</v>
      </c>
      <c r="E3048" s="15">
        <v>2.94</v>
      </c>
      <c r="F3048" s="15">
        <f t="shared" si="1"/>
        <v>3.04</v>
      </c>
      <c r="G3048" s="15">
        <f t="shared" si="2"/>
        <v>3.25</v>
      </c>
      <c r="H3048" s="16">
        <v>0.0</v>
      </c>
      <c r="I3048" s="15">
        <f t="shared" si="3"/>
        <v>3.04</v>
      </c>
      <c r="J3048" s="15">
        <v>37.0</v>
      </c>
      <c r="K3048" s="16">
        <f>IF(COUNTIFS(Release_Calendar!$A$2:$A$755,"US_CPI",Release_Calendar!$B$2:$B$755,$A3048)&gt;0,1,0)</f>
        <v>0</v>
      </c>
      <c r="L3048" s="16">
        <f>IF(COUNTIFS(Release_Calendar!$A$2:$A$755,"US_NFP",Release_Calendar!$B$2:$B$755,$A3048)&gt;0,1,0)</f>
        <v>0</v>
      </c>
      <c r="M3048" s="16" t="str">
        <f>IF($A3048&lt;Notes!$B$5,"",IF(COUNTIFS(Release_Calendar!$A$2:$A$755,"NZ_CPI",Release_Calendar!$B$2:$B$755,$A3048)&gt;0,1,0))</f>
        <v/>
      </c>
      <c r="N3048" s="16" t="str">
        <f>IF($A3048&lt;Notes!$B$5,"",IF(COUNTIFS(Release_Calendar!$A$2:$A$755,"NZ_GDP",Release_Calendar!$B$2:$B$755,$A3048)&gt;0,1,0))</f>
        <v/>
      </c>
      <c r="O3048" s="16" t="str">
        <f>IF($A3048&lt;Notes!$B$5,"",IF(COUNTIFS(Release_Calendar!$A$2:$A$755,"NZ_LABOUR",Release_Calendar!$B$2:$B$755,$A3048)&gt;0,1,0))</f>
        <v/>
      </c>
      <c r="P3048" s="16">
        <f t="shared" si="4"/>
        <v>0</v>
      </c>
    </row>
    <row r="3049" ht="15.75" customHeight="1">
      <c r="A3049" s="14">
        <v>40793.0</v>
      </c>
      <c r="B3049" s="15">
        <v>0.21</v>
      </c>
      <c r="C3049" s="15">
        <v>3.31</v>
      </c>
      <c r="D3049" s="15">
        <v>2.98</v>
      </c>
      <c r="E3049" s="15">
        <v>3.02</v>
      </c>
      <c r="F3049" s="15">
        <f t="shared" si="1"/>
        <v>3.1</v>
      </c>
      <c r="G3049" s="15">
        <f t="shared" si="2"/>
        <v>3.31</v>
      </c>
      <c r="H3049" s="16">
        <v>0.0</v>
      </c>
      <c r="I3049" s="15">
        <f t="shared" si="3"/>
        <v>3.1</v>
      </c>
      <c r="J3049" s="15">
        <v>33.38</v>
      </c>
      <c r="K3049" s="16">
        <f>IF(COUNTIFS(Release_Calendar!$A$2:$A$755,"US_CPI",Release_Calendar!$B$2:$B$755,$A3049)&gt;0,1,0)</f>
        <v>0</v>
      </c>
      <c r="L3049" s="16">
        <f>IF(COUNTIFS(Release_Calendar!$A$2:$A$755,"US_NFP",Release_Calendar!$B$2:$B$755,$A3049)&gt;0,1,0)</f>
        <v>0</v>
      </c>
      <c r="M3049" s="16" t="str">
        <f>IF($A3049&lt;Notes!$B$5,"",IF(COUNTIFS(Release_Calendar!$A$2:$A$755,"NZ_CPI",Release_Calendar!$B$2:$B$755,$A3049)&gt;0,1,0))</f>
        <v/>
      </c>
      <c r="N3049" s="16" t="str">
        <f>IF($A3049&lt;Notes!$B$5,"",IF(COUNTIFS(Release_Calendar!$A$2:$A$755,"NZ_GDP",Release_Calendar!$B$2:$B$755,$A3049)&gt;0,1,0))</f>
        <v/>
      </c>
      <c r="O3049" s="16" t="str">
        <f>IF($A3049&lt;Notes!$B$5,"",IF(COUNTIFS(Release_Calendar!$A$2:$A$755,"NZ_LABOUR",Release_Calendar!$B$2:$B$755,$A3049)&gt;0,1,0))</f>
        <v/>
      </c>
      <c r="P3049" s="16">
        <f t="shared" si="4"/>
        <v>0</v>
      </c>
    </row>
    <row r="3050" ht="15.75" customHeight="1">
      <c r="A3050" s="14">
        <v>40794.0</v>
      </c>
      <c r="B3050" s="15">
        <v>0.19</v>
      </c>
      <c r="C3050" s="15">
        <v>3.28</v>
      </c>
      <c r="D3050" s="15">
        <v>3.07</v>
      </c>
      <c r="E3050" s="15">
        <v>3.03</v>
      </c>
      <c r="F3050" s="15">
        <f t="shared" si="1"/>
        <v>3.09</v>
      </c>
      <c r="G3050" s="15">
        <f t="shared" si="2"/>
        <v>3.28</v>
      </c>
      <c r="H3050" s="16">
        <v>0.0</v>
      </c>
      <c r="I3050" s="15">
        <f t="shared" si="3"/>
        <v>3.09</v>
      </c>
      <c r="J3050" s="15">
        <v>34.32</v>
      </c>
      <c r="K3050" s="16">
        <f>IF(COUNTIFS(Release_Calendar!$A$2:$A$755,"US_CPI",Release_Calendar!$B$2:$B$755,$A3050)&gt;0,1,0)</f>
        <v>0</v>
      </c>
      <c r="L3050" s="16">
        <f>IF(COUNTIFS(Release_Calendar!$A$2:$A$755,"US_NFP",Release_Calendar!$B$2:$B$755,$A3050)&gt;0,1,0)</f>
        <v>0</v>
      </c>
      <c r="M3050" s="16" t="str">
        <f>IF($A3050&lt;Notes!$B$5,"",IF(COUNTIFS(Release_Calendar!$A$2:$A$755,"NZ_CPI",Release_Calendar!$B$2:$B$755,$A3050)&gt;0,1,0))</f>
        <v/>
      </c>
      <c r="N3050" s="16" t="str">
        <f>IF($A3050&lt;Notes!$B$5,"",IF(COUNTIFS(Release_Calendar!$A$2:$A$755,"NZ_GDP",Release_Calendar!$B$2:$B$755,$A3050)&gt;0,1,0))</f>
        <v/>
      </c>
      <c r="O3050" s="16" t="str">
        <f>IF($A3050&lt;Notes!$B$5,"",IF(COUNTIFS(Release_Calendar!$A$2:$A$755,"NZ_LABOUR",Release_Calendar!$B$2:$B$755,$A3050)&gt;0,1,0))</f>
        <v/>
      </c>
      <c r="P3050" s="16">
        <f t="shared" si="4"/>
        <v>0</v>
      </c>
    </row>
    <row r="3051" ht="15.75" customHeight="1">
      <c r="A3051" s="14">
        <v>40795.0</v>
      </c>
      <c r="B3051" s="15">
        <v>0.17</v>
      </c>
      <c r="C3051" s="15">
        <v>3.29</v>
      </c>
      <c r="D3051" s="15">
        <v>3.03</v>
      </c>
      <c r="E3051" s="15">
        <v>3.04</v>
      </c>
      <c r="F3051" s="15">
        <f t="shared" si="1"/>
        <v>3.12</v>
      </c>
      <c r="G3051" s="15">
        <f t="shared" si="2"/>
        <v>3.29</v>
      </c>
      <c r="H3051" s="16">
        <v>0.0</v>
      </c>
      <c r="I3051" s="15">
        <f t="shared" si="3"/>
        <v>3.12</v>
      </c>
      <c r="J3051" s="15">
        <v>38.52</v>
      </c>
      <c r="K3051" s="16">
        <f>IF(COUNTIFS(Release_Calendar!$A$2:$A$755,"US_CPI",Release_Calendar!$B$2:$B$755,$A3051)&gt;0,1,0)</f>
        <v>0</v>
      </c>
      <c r="L3051" s="16">
        <f>IF(COUNTIFS(Release_Calendar!$A$2:$A$755,"US_NFP",Release_Calendar!$B$2:$B$755,$A3051)&gt;0,1,0)</f>
        <v>0</v>
      </c>
      <c r="M3051" s="16" t="str">
        <f>IF($A3051&lt;Notes!$B$5,"",IF(COUNTIFS(Release_Calendar!$A$2:$A$755,"NZ_CPI",Release_Calendar!$B$2:$B$755,$A3051)&gt;0,1,0))</f>
        <v/>
      </c>
      <c r="N3051" s="16" t="str">
        <f>IF($A3051&lt;Notes!$B$5,"",IF(COUNTIFS(Release_Calendar!$A$2:$A$755,"NZ_GDP",Release_Calendar!$B$2:$B$755,$A3051)&gt;0,1,0))</f>
        <v/>
      </c>
      <c r="O3051" s="16" t="str">
        <f>IF($A3051&lt;Notes!$B$5,"",IF(COUNTIFS(Release_Calendar!$A$2:$A$755,"NZ_LABOUR",Release_Calendar!$B$2:$B$755,$A3051)&gt;0,1,0))</f>
        <v/>
      </c>
      <c r="P3051" s="16">
        <f t="shared" si="4"/>
        <v>0</v>
      </c>
    </row>
    <row r="3052" ht="15.75" customHeight="1">
      <c r="A3052" s="14">
        <v>40798.0</v>
      </c>
      <c r="B3052" s="15">
        <v>0.21</v>
      </c>
      <c r="C3052" s="15">
        <v>3.24</v>
      </c>
      <c r="D3052" s="15">
        <v>3.0</v>
      </c>
      <c r="E3052" s="15">
        <v>2.99</v>
      </c>
      <c r="F3052" s="15">
        <f t="shared" si="1"/>
        <v>3.03</v>
      </c>
      <c r="G3052" s="15">
        <f t="shared" si="2"/>
        <v>3.24</v>
      </c>
      <c r="H3052" s="16">
        <v>0.0</v>
      </c>
      <c r="I3052" s="15">
        <f t="shared" si="3"/>
        <v>3.03</v>
      </c>
      <c r="J3052" s="15">
        <v>38.59</v>
      </c>
      <c r="K3052" s="16">
        <f>IF(COUNTIFS(Release_Calendar!$A$2:$A$755,"US_CPI",Release_Calendar!$B$2:$B$755,$A3052)&gt;0,1,0)</f>
        <v>0</v>
      </c>
      <c r="L3052" s="16">
        <f>IF(COUNTIFS(Release_Calendar!$A$2:$A$755,"US_NFP",Release_Calendar!$B$2:$B$755,$A3052)&gt;0,1,0)</f>
        <v>0</v>
      </c>
      <c r="M3052" s="16" t="str">
        <f>IF($A3052&lt;Notes!$B$5,"",IF(COUNTIFS(Release_Calendar!$A$2:$A$755,"NZ_CPI",Release_Calendar!$B$2:$B$755,$A3052)&gt;0,1,0))</f>
        <v/>
      </c>
      <c r="N3052" s="16" t="str">
        <f>IF($A3052&lt;Notes!$B$5,"",IF(COUNTIFS(Release_Calendar!$A$2:$A$755,"NZ_GDP",Release_Calendar!$B$2:$B$755,$A3052)&gt;0,1,0))</f>
        <v/>
      </c>
      <c r="O3052" s="16" t="str">
        <f>IF($A3052&lt;Notes!$B$5,"",IF(COUNTIFS(Release_Calendar!$A$2:$A$755,"NZ_LABOUR",Release_Calendar!$B$2:$B$755,$A3052)&gt;0,1,0))</f>
        <v/>
      </c>
      <c r="P3052" s="16">
        <f t="shared" si="4"/>
        <v>0</v>
      </c>
    </row>
    <row r="3053" ht="15.75" customHeight="1">
      <c r="A3053" s="14">
        <v>40799.0</v>
      </c>
      <c r="B3053" s="15">
        <v>0.21</v>
      </c>
      <c r="C3053" s="15">
        <v>3.24</v>
      </c>
      <c r="D3053" s="15">
        <v>2.99</v>
      </c>
      <c r="E3053" s="15">
        <v>2.99</v>
      </c>
      <c r="F3053" s="15">
        <f t="shared" si="1"/>
        <v>3.03</v>
      </c>
      <c r="G3053" s="15">
        <f t="shared" si="2"/>
        <v>3.24</v>
      </c>
      <c r="H3053" s="16">
        <v>0.0</v>
      </c>
      <c r="I3053" s="15">
        <f t="shared" si="3"/>
        <v>3.03</v>
      </c>
      <c r="J3053" s="15">
        <v>36.91</v>
      </c>
      <c r="K3053" s="16">
        <f>IF(COUNTIFS(Release_Calendar!$A$2:$A$755,"US_CPI",Release_Calendar!$B$2:$B$755,$A3053)&gt;0,1,0)</f>
        <v>0</v>
      </c>
      <c r="L3053" s="16">
        <f>IF(COUNTIFS(Release_Calendar!$A$2:$A$755,"US_NFP",Release_Calendar!$B$2:$B$755,$A3053)&gt;0,1,0)</f>
        <v>0</v>
      </c>
      <c r="M3053" s="16" t="str">
        <f>IF($A3053&lt;Notes!$B$5,"",IF(COUNTIFS(Release_Calendar!$A$2:$A$755,"NZ_CPI",Release_Calendar!$B$2:$B$755,$A3053)&gt;0,1,0))</f>
        <v/>
      </c>
      <c r="N3053" s="16" t="str">
        <f>IF($A3053&lt;Notes!$B$5,"",IF(COUNTIFS(Release_Calendar!$A$2:$A$755,"NZ_GDP",Release_Calendar!$B$2:$B$755,$A3053)&gt;0,1,0))</f>
        <v/>
      </c>
      <c r="O3053" s="16" t="str">
        <f>IF($A3053&lt;Notes!$B$5,"",IF(COUNTIFS(Release_Calendar!$A$2:$A$755,"NZ_LABOUR",Release_Calendar!$B$2:$B$755,$A3053)&gt;0,1,0))</f>
        <v/>
      </c>
      <c r="P3053" s="16">
        <f t="shared" si="4"/>
        <v>0</v>
      </c>
    </row>
    <row r="3054" ht="15.75" customHeight="1">
      <c r="A3054" s="14">
        <v>40800.0</v>
      </c>
      <c r="B3054" s="15">
        <v>0.19</v>
      </c>
      <c r="C3054" s="15">
        <v>3.26</v>
      </c>
      <c r="D3054" s="15">
        <v>2.99</v>
      </c>
      <c r="E3054" s="15">
        <v>3.0</v>
      </c>
      <c r="F3054" s="15">
        <f t="shared" si="1"/>
        <v>3.07</v>
      </c>
      <c r="G3054" s="15">
        <f t="shared" si="2"/>
        <v>3.26</v>
      </c>
      <c r="H3054" s="16">
        <v>0.0</v>
      </c>
      <c r="I3054" s="15">
        <f t="shared" si="3"/>
        <v>3.07</v>
      </c>
      <c r="J3054" s="15">
        <v>34.6</v>
      </c>
      <c r="K3054" s="16">
        <f>IF(COUNTIFS(Release_Calendar!$A$2:$A$755,"US_CPI",Release_Calendar!$B$2:$B$755,$A3054)&gt;0,1,0)</f>
        <v>0</v>
      </c>
      <c r="L3054" s="16">
        <f>IF(COUNTIFS(Release_Calendar!$A$2:$A$755,"US_NFP",Release_Calendar!$B$2:$B$755,$A3054)&gt;0,1,0)</f>
        <v>0</v>
      </c>
      <c r="M3054" s="16" t="str">
        <f>IF($A3054&lt;Notes!$B$5,"",IF(COUNTIFS(Release_Calendar!$A$2:$A$755,"NZ_CPI",Release_Calendar!$B$2:$B$755,$A3054)&gt;0,1,0))</f>
        <v/>
      </c>
      <c r="N3054" s="16" t="str">
        <f>IF($A3054&lt;Notes!$B$5,"",IF(COUNTIFS(Release_Calendar!$A$2:$A$755,"NZ_GDP",Release_Calendar!$B$2:$B$755,$A3054)&gt;0,1,0))</f>
        <v/>
      </c>
      <c r="O3054" s="16" t="str">
        <f>IF($A3054&lt;Notes!$B$5,"",IF(COUNTIFS(Release_Calendar!$A$2:$A$755,"NZ_LABOUR",Release_Calendar!$B$2:$B$755,$A3054)&gt;0,1,0))</f>
        <v/>
      </c>
      <c r="P3054" s="16">
        <f t="shared" si="4"/>
        <v>0</v>
      </c>
    </row>
    <row r="3055" ht="15.75" customHeight="1">
      <c r="A3055" s="14">
        <v>40801.0</v>
      </c>
      <c r="B3055" s="15">
        <v>0.21</v>
      </c>
      <c r="C3055" s="15">
        <v>3.23</v>
      </c>
      <c r="D3055" s="15">
        <v>3.0</v>
      </c>
      <c r="E3055" s="15">
        <v>2.95</v>
      </c>
      <c r="F3055" s="15">
        <f t="shared" si="1"/>
        <v>3.02</v>
      </c>
      <c r="G3055" s="15">
        <f t="shared" si="2"/>
        <v>3.23</v>
      </c>
      <c r="H3055" s="16">
        <v>0.0</v>
      </c>
      <c r="I3055" s="15">
        <f t="shared" si="3"/>
        <v>3.02</v>
      </c>
      <c r="J3055" s="15">
        <v>31.97</v>
      </c>
      <c r="K3055" s="16">
        <f>IF(COUNTIFS(Release_Calendar!$A$2:$A$755,"US_CPI",Release_Calendar!$B$2:$B$755,$A3055)&gt;0,1,0)</f>
        <v>1</v>
      </c>
      <c r="L3055" s="16">
        <f>IF(COUNTIFS(Release_Calendar!$A$2:$A$755,"US_NFP",Release_Calendar!$B$2:$B$755,$A3055)&gt;0,1,0)</f>
        <v>0</v>
      </c>
      <c r="M3055" s="16" t="str">
        <f>IF($A3055&lt;Notes!$B$5,"",IF(COUNTIFS(Release_Calendar!$A$2:$A$755,"NZ_CPI",Release_Calendar!$B$2:$B$755,$A3055)&gt;0,1,0))</f>
        <v/>
      </c>
      <c r="N3055" s="16" t="str">
        <f>IF($A3055&lt;Notes!$B$5,"",IF(COUNTIFS(Release_Calendar!$A$2:$A$755,"NZ_GDP",Release_Calendar!$B$2:$B$755,$A3055)&gt;0,1,0))</f>
        <v/>
      </c>
      <c r="O3055" s="16" t="str">
        <f>IF($A3055&lt;Notes!$B$5,"",IF(COUNTIFS(Release_Calendar!$A$2:$A$755,"NZ_LABOUR",Release_Calendar!$B$2:$B$755,$A3055)&gt;0,1,0))</f>
        <v/>
      </c>
      <c r="P3055" s="16">
        <f t="shared" si="4"/>
        <v>1</v>
      </c>
    </row>
    <row r="3056" ht="15.75" customHeight="1">
      <c r="A3056" s="14">
        <v>40802.0</v>
      </c>
      <c r="B3056" s="15">
        <v>0.18</v>
      </c>
      <c r="C3056" s="15">
        <v>3.29</v>
      </c>
      <c r="D3056" s="15">
        <v>3.02</v>
      </c>
      <c r="E3056" s="15">
        <v>3.02</v>
      </c>
      <c r="F3056" s="15">
        <f t="shared" si="1"/>
        <v>3.11</v>
      </c>
      <c r="G3056" s="15">
        <f t="shared" si="2"/>
        <v>3.29</v>
      </c>
      <c r="H3056" s="16">
        <v>0.0</v>
      </c>
      <c r="I3056" s="15">
        <f t="shared" si="3"/>
        <v>3.11</v>
      </c>
      <c r="J3056" s="15">
        <v>30.98</v>
      </c>
      <c r="K3056" s="16">
        <f>IF(COUNTIFS(Release_Calendar!$A$2:$A$755,"US_CPI",Release_Calendar!$B$2:$B$755,$A3056)&gt;0,1,0)</f>
        <v>0</v>
      </c>
      <c r="L3056" s="16">
        <f>IF(COUNTIFS(Release_Calendar!$A$2:$A$755,"US_NFP",Release_Calendar!$B$2:$B$755,$A3056)&gt;0,1,0)</f>
        <v>0</v>
      </c>
      <c r="M3056" s="16" t="str">
        <f>IF($A3056&lt;Notes!$B$5,"",IF(COUNTIFS(Release_Calendar!$A$2:$A$755,"NZ_CPI",Release_Calendar!$B$2:$B$755,$A3056)&gt;0,1,0))</f>
        <v/>
      </c>
      <c r="N3056" s="16" t="str">
        <f>IF($A3056&lt;Notes!$B$5,"",IF(COUNTIFS(Release_Calendar!$A$2:$A$755,"NZ_GDP",Release_Calendar!$B$2:$B$755,$A3056)&gt;0,1,0))</f>
        <v/>
      </c>
      <c r="O3056" s="16" t="str">
        <f>IF($A3056&lt;Notes!$B$5,"",IF(COUNTIFS(Release_Calendar!$A$2:$A$755,"NZ_LABOUR",Release_Calendar!$B$2:$B$755,$A3056)&gt;0,1,0))</f>
        <v/>
      </c>
      <c r="P3056" s="16">
        <f t="shared" si="4"/>
        <v>0</v>
      </c>
    </row>
    <row r="3057" ht="15.75" customHeight="1">
      <c r="A3057" s="14">
        <v>40805.0</v>
      </c>
      <c r="B3057" s="15">
        <v>0.16</v>
      </c>
      <c r="C3057" s="15">
        <v>3.24</v>
      </c>
      <c r="D3057" s="15">
        <v>3.01</v>
      </c>
      <c r="E3057" s="15">
        <v>2.98</v>
      </c>
      <c r="F3057" s="15">
        <f t="shared" si="1"/>
        <v>3.08</v>
      </c>
      <c r="G3057" s="15">
        <f t="shared" si="2"/>
        <v>3.24</v>
      </c>
      <c r="H3057" s="16">
        <v>0.0</v>
      </c>
      <c r="I3057" s="15">
        <f t="shared" si="3"/>
        <v>3.08</v>
      </c>
      <c r="J3057" s="15">
        <v>32.73</v>
      </c>
      <c r="K3057" s="16">
        <f>IF(COUNTIFS(Release_Calendar!$A$2:$A$755,"US_CPI",Release_Calendar!$B$2:$B$755,$A3057)&gt;0,1,0)</f>
        <v>0</v>
      </c>
      <c r="L3057" s="16">
        <f>IF(COUNTIFS(Release_Calendar!$A$2:$A$755,"US_NFP",Release_Calendar!$B$2:$B$755,$A3057)&gt;0,1,0)</f>
        <v>0</v>
      </c>
      <c r="M3057" s="16" t="str">
        <f>IF($A3057&lt;Notes!$B$5,"",IF(COUNTIFS(Release_Calendar!$A$2:$A$755,"NZ_CPI",Release_Calendar!$B$2:$B$755,$A3057)&gt;0,1,0))</f>
        <v/>
      </c>
      <c r="N3057" s="16" t="str">
        <f>IF($A3057&lt;Notes!$B$5,"",IF(COUNTIFS(Release_Calendar!$A$2:$A$755,"NZ_GDP",Release_Calendar!$B$2:$B$755,$A3057)&gt;0,1,0))</f>
        <v/>
      </c>
      <c r="O3057" s="16" t="str">
        <f>IF($A3057&lt;Notes!$B$5,"",IF(COUNTIFS(Release_Calendar!$A$2:$A$755,"NZ_LABOUR",Release_Calendar!$B$2:$B$755,$A3057)&gt;0,1,0))</f>
        <v/>
      </c>
      <c r="P3057" s="16">
        <f t="shared" si="4"/>
        <v>0</v>
      </c>
    </row>
    <row r="3058" ht="15.75" customHeight="1">
      <c r="A3058" s="14">
        <v>40806.0</v>
      </c>
      <c r="B3058" s="15">
        <v>0.18</v>
      </c>
      <c r="C3058" s="15">
        <v>3.19</v>
      </c>
      <c r="D3058" s="15">
        <v>2.94</v>
      </c>
      <c r="E3058" s="15">
        <v>2.96</v>
      </c>
      <c r="F3058" s="15">
        <f t="shared" si="1"/>
        <v>3.01</v>
      </c>
      <c r="G3058" s="15">
        <f t="shared" si="2"/>
        <v>3.19</v>
      </c>
      <c r="H3058" s="16">
        <v>0.0</v>
      </c>
      <c r="I3058" s="15">
        <f t="shared" si="3"/>
        <v>3.01</v>
      </c>
      <c r="J3058" s="15">
        <v>32.86</v>
      </c>
      <c r="K3058" s="16">
        <f>IF(COUNTIFS(Release_Calendar!$A$2:$A$755,"US_CPI",Release_Calendar!$B$2:$B$755,$A3058)&gt;0,1,0)</f>
        <v>0</v>
      </c>
      <c r="L3058" s="16">
        <f>IF(COUNTIFS(Release_Calendar!$A$2:$A$755,"US_NFP",Release_Calendar!$B$2:$B$755,$A3058)&gt;0,1,0)</f>
        <v>0</v>
      </c>
      <c r="M3058" s="16" t="str">
        <f>IF($A3058&lt;Notes!$B$5,"",IF(COUNTIFS(Release_Calendar!$A$2:$A$755,"NZ_CPI",Release_Calendar!$B$2:$B$755,$A3058)&gt;0,1,0))</f>
        <v/>
      </c>
      <c r="N3058" s="16" t="str">
        <f>IF($A3058&lt;Notes!$B$5,"",IF(COUNTIFS(Release_Calendar!$A$2:$A$755,"NZ_GDP",Release_Calendar!$B$2:$B$755,$A3058)&gt;0,1,0))</f>
        <v/>
      </c>
      <c r="O3058" s="16" t="str">
        <f>IF($A3058&lt;Notes!$B$5,"",IF(COUNTIFS(Release_Calendar!$A$2:$A$755,"NZ_LABOUR",Release_Calendar!$B$2:$B$755,$A3058)&gt;0,1,0))</f>
        <v/>
      </c>
      <c r="P3058" s="16">
        <f t="shared" si="4"/>
        <v>0</v>
      </c>
    </row>
    <row r="3059" ht="15.75" customHeight="1">
      <c r="A3059" s="14">
        <v>40807.0</v>
      </c>
      <c r="B3059" s="15">
        <v>0.21</v>
      </c>
      <c r="C3059" s="15">
        <v>3.22</v>
      </c>
      <c r="D3059" s="15">
        <v>2.97</v>
      </c>
      <c r="E3059" s="15">
        <v>2.99</v>
      </c>
      <c r="F3059" s="15">
        <f t="shared" si="1"/>
        <v>3.01</v>
      </c>
      <c r="G3059" s="15">
        <f t="shared" si="2"/>
        <v>3.22</v>
      </c>
      <c r="H3059" s="16">
        <v>0.0</v>
      </c>
      <c r="I3059" s="15">
        <f t="shared" si="3"/>
        <v>3.01</v>
      </c>
      <c r="J3059" s="15">
        <v>37.32</v>
      </c>
      <c r="K3059" s="16">
        <f>IF(COUNTIFS(Release_Calendar!$A$2:$A$755,"US_CPI",Release_Calendar!$B$2:$B$755,$A3059)&gt;0,1,0)</f>
        <v>0</v>
      </c>
      <c r="L3059" s="16">
        <f>IF(COUNTIFS(Release_Calendar!$A$2:$A$755,"US_NFP",Release_Calendar!$B$2:$B$755,$A3059)&gt;0,1,0)</f>
        <v>0</v>
      </c>
      <c r="M3059" s="16" t="str">
        <f>IF($A3059&lt;Notes!$B$5,"",IF(COUNTIFS(Release_Calendar!$A$2:$A$755,"NZ_CPI",Release_Calendar!$B$2:$B$755,$A3059)&gt;0,1,0))</f>
        <v/>
      </c>
      <c r="N3059" s="16" t="str">
        <f>IF($A3059&lt;Notes!$B$5,"",IF(COUNTIFS(Release_Calendar!$A$2:$A$755,"NZ_GDP",Release_Calendar!$B$2:$B$755,$A3059)&gt;0,1,0))</f>
        <v/>
      </c>
      <c r="O3059" s="16" t="str">
        <f>IF($A3059&lt;Notes!$B$5,"",IF(COUNTIFS(Release_Calendar!$A$2:$A$755,"NZ_LABOUR",Release_Calendar!$B$2:$B$755,$A3059)&gt;0,1,0))</f>
        <v/>
      </c>
      <c r="P3059" s="16">
        <f t="shared" si="4"/>
        <v>0</v>
      </c>
    </row>
    <row r="3060" ht="15.75" customHeight="1">
      <c r="A3060" s="14">
        <v>40808.0</v>
      </c>
      <c r="B3060" s="15">
        <v>0.2</v>
      </c>
      <c r="C3060" s="15">
        <v>3.1</v>
      </c>
      <c r="D3060" s="15">
        <v>2.92</v>
      </c>
      <c r="E3060" s="15">
        <v>2.85</v>
      </c>
      <c r="F3060" s="15">
        <f t="shared" si="1"/>
        <v>2.9</v>
      </c>
      <c r="G3060" s="15">
        <f t="shared" si="2"/>
        <v>3.1</v>
      </c>
      <c r="H3060" s="16">
        <v>0.0</v>
      </c>
      <c r="I3060" s="15">
        <f t="shared" si="3"/>
        <v>2.9</v>
      </c>
      <c r="J3060" s="15">
        <v>41.35</v>
      </c>
      <c r="K3060" s="16">
        <f>IF(COUNTIFS(Release_Calendar!$A$2:$A$755,"US_CPI",Release_Calendar!$B$2:$B$755,$A3060)&gt;0,1,0)</f>
        <v>0</v>
      </c>
      <c r="L3060" s="16">
        <f>IF(COUNTIFS(Release_Calendar!$A$2:$A$755,"US_NFP",Release_Calendar!$B$2:$B$755,$A3060)&gt;0,1,0)</f>
        <v>0</v>
      </c>
      <c r="M3060" s="16" t="str">
        <f>IF($A3060&lt;Notes!$B$5,"",IF(COUNTIFS(Release_Calendar!$A$2:$A$755,"NZ_CPI",Release_Calendar!$B$2:$B$755,$A3060)&gt;0,1,0))</f>
        <v/>
      </c>
      <c r="N3060" s="16" t="str">
        <f>IF($A3060&lt;Notes!$B$5,"",IF(COUNTIFS(Release_Calendar!$A$2:$A$755,"NZ_GDP",Release_Calendar!$B$2:$B$755,$A3060)&gt;0,1,0))</f>
        <v/>
      </c>
      <c r="O3060" s="16" t="str">
        <f>IF($A3060&lt;Notes!$B$5,"",IF(COUNTIFS(Release_Calendar!$A$2:$A$755,"NZ_LABOUR",Release_Calendar!$B$2:$B$755,$A3060)&gt;0,1,0))</f>
        <v/>
      </c>
      <c r="P3060" s="16">
        <f t="shared" si="4"/>
        <v>0</v>
      </c>
    </row>
    <row r="3061" ht="15.75" customHeight="1">
      <c r="A3061" s="14">
        <v>40809.0</v>
      </c>
      <c r="B3061" s="15">
        <v>0.23</v>
      </c>
      <c r="C3061" s="15">
        <v>3.05</v>
      </c>
      <c r="D3061" s="15">
        <v>2.79</v>
      </c>
      <c r="E3061" s="15">
        <v>2.81</v>
      </c>
      <c r="F3061" s="15">
        <f t="shared" si="1"/>
        <v>2.82</v>
      </c>
      <c r="G3061" s="15">
        <f t="shared" si="2"/>
        <v>3.05</v>
      </c>
      <c r="H3061" s="16">
        <v>0.0</v>
      </c>
      <c r="I3061" s="15">
        <f t="shared" si="3"/>
        <v>2.82</v>
      </c>
      <c r="J3061" s="15">
        <v>41.25</v>
      </c>
      <c r="K3061" s="16">
        <f>IF(COUNTIFS(Release_Calendar!$A$2:$A$755,"US_CPI",Release_Calendar!$B$2:$B$755,$A3061)&gt;0,1,0)</f>
        <v>0</v>
      </c>
      <c r="L3061" s="16">
        <f>IF(COUNTIFS(Release_Calendar!$A$2:$A$755,"US_NFP",Release_Calendar!$B$2:$B$755,$A3061)&gt;0,1,0)</f>
        <v>0</v>
      </c>
      <c r="M3061" s="16" t="str">
        <f>IF($A3061&lt;Notes!$B$5,"",IF(COUNTIFS(Release_Calendar!$A$2:$A$755,"NZ_CPI",Release_Calendar!$B$2:$B$755,$A3061)&gt;0,1,0))</f>
        <v/>
      </c>
      <c r="N3061" s="16" t="str">
        <f>IF($A3061&lt;Notes!$B$5,"",IF(COUNTIFS(Release_Calendar!$A$2:$A$755,"NZ_GDP",Release_Calendar!$B$2:$B$755,$A3061)&gt;0,1,0))</f>
        <v/>
      </c>
      <c r="O3061" s="16" t="str">
        <f>IF($A3061&lt;Notes!$B$5,"",IF(COUNTIFS(Release_Calendar!$A$2:$A$755,"NZ_LABOUR",Release_Calendar!$B$2:$B$755,$A3061)&gt;0,1,0))</f>
        <v/>
      </c>
      <c r="P3061" s="16">
        <f t="shared" si="4"/>
        <v>0</v>
      </c>
    </row>
    <row r="3062" ht="15.75" customHeight="1">
      <c r="A3062" s="14">
        <v>40812.0</v>
      </c>
      <c r="B3062" s="15">
        <v>0.25</v>
      </c>
      <c r="C3062" s="15">
        <v>3.06</v>
      </c>
      <c r="D3062" s="15">
        <v>2.81</v>
      </c>
      <c r="E3062" s="15">
        <v>2.8</v>
      </c>
      <c r="F3062" s="15">
        <f t="shared" si="1"/>
        <v>2.81</v>
      </c>
      <c r="G3062" s="15">
        <f t="shared" si="2"/>
        <v>3.06</v>
      </c>
      <c r="H3062" s="16">
        <v>0.0</v>
      </c>
      <c r="I3062" s="15">
        <f t="shared" si="3"/>
        <v>2.81</v>
      </c>
      <c r="J3062" s="15">
        <v>39.02</v>
      </c>
      <c r="K3062" s="16">
        <f>IF(COUNTIFS(Release_Calendar!$A$2:$A$755,"US_CPI",Release_Calendar!$B$2:$B$755,$A3062)&gt;0,1,0)</f>
        <v>0</v>
      </c>
      <c r="L3062" s="16">
        <f>IF(COUNTIFS(Release_Calendar!$A$2:$A$755,"US_NFP",Release_Calendar!$B$2:$B$755,$A3062)&gt;0,1,0)</f>
        <v>0</v>
      </c>
      <c r="M3062" s="16" t="str">
        <f>IF($A3062&lt;Notes!$B$5,"",IF(COUNTIFS(Release_Calendar!$A$2:$A$755,"NZ_CPI",Release_Calendar!$B$2:$B$755,$A3062)&gt;0,1,0))</f>
        <v/>
      </c>
      <c r="N3062" s="16" t="str">
        <f>IF($A3062&lt;Notes!$B$5,"",IF(COUNTIFS(Release_Calendar!$A$2:$A$755,"NZ_GDP",Release_Calendar!$B$2:$B$755,$A3062)&gt;0,1,0))</f>
        <v/>
      </c>
      <c r="O3062" s="16" t="str">
        <f>IF($A3062&lt;Notes!$B$5,"",IF(COUNTIFS(Release_Calendar!$A$2:$A$755,"NZ_LABOUR",Release_Calendar!$B$2:$B$755,$A3062)&gt;0,1,0))</f>
        <v/>
      </c>
      <c r="P3062" s="16">
        <f t="shared" si="4"/>
        <v>0</v>
      </c>
    </row>
    <row r="3063" ht="15.75" customHeight="1">
      <c r="A3063" s="14">
        <v>40813.0</v>
      </c>
      <c r="B3063" s="15">
        <v>0.25</v>
      </c>
      <c r="C3063" s="15">
        <v>3.11</v>
      </c>
      <c r="D3063" s="15">
        <v>2.82</v>
      </c>
      <c r="E3063" s="15">
        <v>2.84</v>
      </c>
      <c r="F3063" s="15">
        <f t="shared" si="1"/>
        <v>2.86</v>
      </c>
      <c r="G3063" s="15">
        <f t="shared" si="2"/>
        <v>3.11</v>
      </c>
      <c r="H3063" s="16">
        <v>0.0</v>
      </c>
      <c r="I3063" s="15">
        <f t="shared" si="3"/>
        <v>2.86</v>
      </c>
      <c r="J3063" s="15">
        <v>37.71</v>
      </c>
      <c r="K3063" s="16">
        <f>IF(COUNTIFS(Release_Calendar!$A$2:$A$755,"US_CPI",Release_Calendar!$B$2:$B$755,$A3063)&gt;0,1,0)</f>
        <v>0</v>
      </c>
      <c r="L3063" s="16">
        <f>IF(COUNTIFS(Release_Calendar!$A$2:$A$755,"US_NFP",Release_Calendar!$B$2:$B$755,$A3063)&gt;0,1,0)</f>
        <v>0</v>
      </c>
      <c r="M3063" s="16" t="str">
        <f>IF($A3063&lt;Notes!$B$5,"",IF(COUNTIFS(Release_Calendar!$A$2:$A$755,"NZ_CPI",Release_Calendar!$B$2:$B$755,$A3063)&gt;0,1,0))</f>
        <v/>
      </c>
      <c r="N3063" s="16" t="str">
        <f>IF($A3063&lt;Notes!$B$5,"",IF(COUNTIFS(Release_Calendar!$A$2:$A$755,"NZ_GDP",Release_Calendar!$B$2:$B$755,$A3063)&gt;0,1,0))</f>
        <v/>
      </c>
      <c r="O3063" s="16" t="str">
        <f>IF($A3063&lt;Notes!$B$5,"",IF(COUNTIFS(Release_Calendar!$A$2:$A$755,"NZ_LABOUR",Release_Calendar!$B$2:$B$755,$A3063)&gt;0,1,0))</f>
        <v/>
      </c>
      <c r="P3063" s="16">
        <f t="shared" si="4"/>
        <v>0</v>
      </c>
    </row>
    <row r="3064" ht="15.75" customHeight="1">
      <c r="A3064" s="14">
        <v>40814.0</v>
      </c>
      <c r="B3064" s="15">
        <v>0.27</v>
      </c>
      <c r="C3064" s="15">
        <v>3.13</v>
      </c>
      <c r="D3064" s="15">
        <v>2.89</v>
      </c>
      <c r="E3064" s="15">
        <v>2.87</v>
      </c>
      <c r="F3064" s="15">
        <f t="shared" si="1"/>
        <v>2.86</v>
      </c>
      <c r="G3064" s="15">
        <f t="shared" si="2"/>
        <v>3.13</v>
      </c>
      <c r="H3064" s="16">
        <v>0.0</v>
      </c>
      <c r="I3064" s="15">
        <f t="shared" si="3"/>
        <v>2.86</v>
      </c>
      <c r="J3064" s="15">
        <v>41.08</v>
      </c>
      <c r="K3064" s="16">
        <f>IF(COUNTIFS(Release_Calendar!$A$2:$A$755,"US_CPI",Release_Calendar!$B$2:$B$755,$A3064)&gt;0,1,0)</f>
        <v>0</v>
      </c>
      <c r="L3064" s="16">
        <f>IF(COUNTIFS(Release_Calendar!$A$2:$A$755,"US_NFP",Release_Calendar!$B$2:$B$755,$A3064)&gt;0,1,0)</f>
        <v>0</v>
      </c>
      <c r="M3064" s="16" t="str">
        <f>IF($A3064&lt;Notes!$B$5,"",IF(COUNTIFS(Release_Calendar!$A$2:$A$755,"NZ_CPI",Release_Calendar!$B$2:$B$755,$A3064)&gt;0,1,0))</f>
        <v/>
      </c>
      <c r="N3064" s="16" t="str">
        <f>IF($A3064&lt;Notes!$B$5,"",IF(COUNTIFS(Release_Calendar!$A$2:$A$755,"NZ_GDP",Release_Calendar!$B$2:$B$755,$A3064)&gt;0,1,0))</f>
        <v/>
      </c>
      <c r="O3064" s="16" t="str">
        <f>IF($A3064&lt;Notes!$B$5,"",IF(COUNTIFS(Release_Calendar!$A$2:$A$755,"NZ_LABOUR",Release_Calendar!$B$2:$B$755,$A3064)&gt;0,1,0))</f>
        <v/>
      </c>
      <c r="P3064" s="16">
        <f t="shared" si="4"/>
        <v>0</v>
      </c>
    </row>
    <row r="3065" ht="15.75" customHeight="1">
      <c r="A3065" s="14">
        <v>40815.0</v>
      </c>
      <c r="B3065" s="15">
        <v>0.27</v>
      </c>
      <c r="C3065" s="15">
        <v>3.1</v>
      </c>
      <c r="D3065" s="15">
        <v>2.89</v>
      </c>
      <c r="E3065" s="15">
        <v>2.81</v>
      </c>
      <c r="F3065" s="15">
        <f t="shared" si="1"/>
        <v>2.83</v>
      </c>
      <c r="G3065" s="15">
        <f t="shared" si="2"/>
        <v>3.1</v>
      </c>
      <c r="H3065" s="16">
        <v>0.0</v>
      </c>
      <c r="I3065" s="15">
        <f t="shared" si="3"/>
        <v>2.83</v>
      </c>
      <c r="J3065" s="15">
        <v>38.84</v>
      </c>
      <c r="K3065" s="16">
        <f>IF(COUNTIFS(Release_Calendar!$A$2:$A$755,"US_CPI",Release_Calendar!$B$2:$B$755,$A3065)&gt;0,1,0)</f>
        <v>0</v>
      </c>
      <c r="L3065" s="16">
        <f>IF(COUNTIFS(Release_Calendar!$A$2:$A$755,"US_NFP",Release_Calendar!$B$2:$B$755,$A3065)&gt;0,1,0)</f>
        <v>0</v>
      </c>
      <c r="M3065" s="16" t="str">
        <f>IF($A3065&lt;Notes!$B$5,"",IF(COUNTIFS(Release_Calendar!$A$2:$A$755,"NZ_CPI",Release_Calendar!$B$2:$B$755,$A3065)&gt;0,1,0))</f>
        <v/>
      </c>
      <c r="N3065" s="16" t="str">
        <f>IF($A3065&lt;Notes!$B$5,"",IF(COUNTIFS(Release_Calendar!$A$2:$A$755,"NZ_GDP",Release_Calendar!$B$2:$B$755,$A3065)&gt;0,1,0))</f>
        <v/>
      </c>
      <c r="O3065" s="16" t="str">
        <f>IF($A3065&lt;Notes!$B$5,"",IF(COUNTIFS(Release_Calendar!$A$2:$A$755,"NZ_LABOUR",Release_Calendar!$B$2:$B$755,$A3065)&gt;0,1,0))</f>
        <v/>
      </c>
      <c r="P3065" s="16">
        <f t="shared" si="4"/>
        <v>0</v>
      </c>
    </row>
    <row r="3066" ht="15.75" customHeight="1">
      <c r="A3066" s="14">
        <v>40816.0</v>
      </c>
      <c r="B3066" s="15">
        <v>0.25</v>
      </c>
      <c r="C3066" s="15">
        <v>3.12</v>
      </c>
      <c r="D3066" s="15">
        <v>2.88</v>
      </c>
      <c r="E3066" s="15">
        <v>2.87</v>
      </c>
      <c r="F3066" s="15">
        <f t="shared" si="1"/>
        <v>2.87</v>
      </c>
      <c r="G3066" s="15">
        <f t="shared" si="2"/>
        <v>3.12</v>
      </c>
      <c r="H3066" s="16">
        <v>0.0</v>
      </c>
      <c r="I3066" s="15">
        <f t="shared" si="3"/>
        <v>2.87</v>
      </c>
      <c r="J3066" s="15">
        <v>42.96</v>
      </c>
      <c r="K3066" s="16">
        <f>IF(COUNTIFS(Release_Calendar!$A$2:$A$755,"US_CPI",Release_Calendar!$B$2:$B$755,$A3066)&gt;0,1,0)</f>
        <v>0</v>
      </c>
      <c r="L3066" s="16">
        <f>IF(COUNTIFS(Release_Calendar!$A$2:$A$755,"US_NFP",Release_Calendar!$B$2:$B$755,$A3066)&gt;0,1,0)</f>
        <v>0</v>
      </c>
      <c r="M3066" s="16" t="str">
        <f>IF($A3066&lt;Notes!$B$5,"",IF(COUNTIFS(Release_Calendar!$A$2:$A$755,"NZ_CPI",Release_Calendar!$B$2:$B$755,$A3066)&gt;0,1,0))</f>
        <v/>
      </c>
      <c r="N3066" s="16" t="str">
        <f>IF($A3066&lt;Notes!$B$5,"",IF(COUNTIFS(Release_Calendar!$A$2:$A$755,"NZ_GDP",Release_Calendar!$B$2:$B$755,$A3066)&gt;0,1,0))</f>
        <v/>
      </c>
      <c r="O3066" s="16" t="str">
        <f>IF($A3066&lt;Notes!$B$5,"",IF(COUNTIFS(Release_Calendar!$A$2:$A$755,"NZ_LABOUR",Release_Calendar!$B$2:$B$755,$A3066)&gt;0,1,0))</f>
        <v/>
      </c>
      <c r="P3066" s="16">
        <f t="shared" si="4"/>
        <v>0</v>
      </c>
    </row>
    <row r="3067" ht="15.75" customHeight="1">
      <c r="A3067" s="14">
        <v>40819.0</v>
      </c>
      <c r="B3067" s="15">
        <v>0.24</v>
      </c>
      <c r="C3067" s="15">
        <v>3.09</v>
      </c>
      <c r="D3067" s="15">
        <v>2.87</v>
      </c>
      <c r="E3067" s="15">
        <v>2.87</v>
      </c>
      <c r="F3067" s="15">
        <f t="shared" si="1"/>
        <v>2.85</v>
      </c>
      <c r="G3067" s="15">
        <f t="shared" si="2"/>
        <v>3.09</v>
      </c>
      <c r="H3067" s="16">
        <v>0.0</v>
      </c>
      <c r="I3067" s="15">
        <f t="shared" si="3"/>
        <v>2.85</v>
      </c>
      <c r="J3067" s="15">
        <v>45.45</v>
      </c>
      <c r="K3067" s="16">
        <f>IF(COUNTIFS(Release_Calendar!$A$2:$A$755,"US_CPI",Release_Calendar!$B$2:$B$755,$A3067)&gt;0,1,0)</f>
        <v>0</v>
      </c>
      <c r="L3067" s="16">
        <f>IF(COUNTIFS(Release_Calendar!$A$2:$A$755,"US_NFP",Release_Calendar!$B$2:$B$755,$A3067)&gt;0,1,0)</f>
        <v>0</v>
      </c>
      <c r="M3067" s="16" t="str">
        <f>IF($A3067&lt;Notes!$B$5,"",IF(COUNTIFS(Release_Calendar!$A$2:$A$755,"NZ_CPI",Release_Calendar!$B$2:$B$755,$A3067)&gt;0,1,0))</f>
        <v/>
      </c>
      <c r="N3067" s="16" t="str">
        <f>IF($A3067&lt;Notes!$B$5,"",IF(COUNTIFS(Release_Calendar!$A$2:$A$755,"NZ_GDP",Release_Calendar!$B$2:$B$755,$A3067)&gt;0,1,0))</f>
        <v/>
      </c>
      <c r="O3067" s="16" t="str">
        <f>IF($A3067&lt;Notes!$B$5,"",IF(COUNTIFS(Release_Calendar!$A$2:$A$755,"NZ_LABOUR",Release_Calendar!$B$2:$B$755,$A3067)&gt;0,1,0))</f>
        <v/>
      </c>
      <c r="P3067" s="16">
        <f t="shared" si="4"/>
        <v>0</v>
      </c>
    </row>
    <row r="3068" ht="15.75" customHeight="1">
      <c r="A3068" s="14">
        <v>40820.0</v>
      </c>
      <c r="B3068" s="15">
        <v>0.25</v>
      </c>
      <c r="C3068" s="15">
        <v>3.02</v>
      </c>
      <c r="D3068" s="15">
        <v>2.8</v>
      </c>
      <c r="E3068" s="15">
        <v>2.8</v>
      </c>
      <c r="F3068" s="15">
        <f t="shared" si="1"/>
        <v>2.77</v>
      </c>
      <c r="G3068" s="15">
        <f t="shared" si="2"/>
        <v>3.02</v>
      </c>
      <c r="H3068" s="16">
        <v>0.0</v>
      </c>
      <c r="I3068" s="15">
        <f t="shared" si="3"/>
        <v>2.77</v>
      </c>
      <c r="J3068" s="15">
        <v>40.82</v>
      </c>
      <c r="K3068" s="16">
        <f>IF(COUNTIFS(Release_Calendar!$A$2:$A$755,"US_CPI",Release_Calendar!$B$2:$B$755,$A3068)&gt;0,1,0)</f>
        <v>0</v>
      </c>
      <c r="L3068" s="16">
        <f>IF(COUNTIFS(Release_Calendar!$A$2:$A$755,"US_NFP",Release_Calendar!$B$2:$B$755,$A3068)&gt;0,1,0)</f>
        <v>0</v>
      </c>
      <c r="M3068" s="16" t="str">
        <f>IF($A3068&lt;Notes!$B$5,"",IF(COUNTIFS(Release_Calendar!$A$2:$A$755,"NZ_CPI",Release_Calendar!$B$2:$B$755,$A3068)&gt;0,1,0))</f>
        <v/>
      </c>
      <c r="N3068" s="16" t="str">
        <f>IF($A3068&lt;Notes!$B$5,"",IF(COUNTIFS(Release_Calendar!$A$2:$A$755,"NZ_GDP",Release_Calendar!$B$2:$B$755,$A3068)&gt;0,1,0))</f>
        <v/>
      </c>
      <c r="O3068" s="16" t="str">
        <f>IF($A3068&lt;Notes!$B$5,"",IF(COUNTIFS(Release_Calendar!$A$2:$A$755,"NZ_LABOUR",Release_Calendar!$B$2:$B$755,$A3068)&gt;0,1,0))</f>
        <v/>
      </c>
      <c r="P3068" s="16">
        <f t="shared" si="4"/>
        <v>0</v>
      </c>
    </row>
    <row r="3069" ht="15.75" customHeight="1">
      <c r="A3069" s="14">
        <v>40821.0</v>
      </c>
      <c r="B3069" s="15">
        <v>0.25</v>
      </c>
      <c r="C3069" s="15">
        <v>2.98</v>
      </c>
      <c r="D3069" s="15">
        <v>2.8</v>
      </c>
      <c r="E3069" s="15">
        <v>2.78</v>
      </c>
      <c r="F3069" s="15">
        <f t="shared" si="1"/>
        <v>2.73</v>
      </c>
      <c r="G3069" s="15">
        <f t="shared" si="2"/>
        <v>2.98</v>
      </c>
      <c r="H3069" s="16">
        <v>0.0</v>
      </c>
      <c r="I3069" s="15">
        <f t="shared" si="3"/>
        <v>2.73</v>
      </c>
      <c r="J3069" s="15">
        <v>37.81</v>
      </c>
      <c r="K3069" s="16">
        <f>IF(COUNTIFS(Release_Calendar!$A$2:$A$755,"US_CPI",Release_Calendar!$B$2:$B$755,$A3069)&gt;0,1,0)</f>
        <v>0</v>
      </c>
      <c r="L3069" s="16">
        <f>IF(COUNTIFS(Release_Calendar!$A$2:$A$755,"US_NFP",Release_Calendar!$B$2:$B$755,$A3069)&gt;0,1,0)</f>
        <v>0</v>
      </c>
      <c r="M3069" s="16" t="str">
        <f>IF($A3069&lt;Notes!$B$5,"",IF(COUNTIFS(Release_Calendar!$A$2:$A$755,"NZ_CPI",Release_Calendar!$B$2:$B$755,$A3069)&gt;0,1,0))</f>
        <v/>
      </c>
      <c r="N3069" s="16" t="str">
        <f>IF($A3069&lt;Notes!$B$5,"",IF(COUNTIFS(Release_Calendar!$A$2:$A$755,"NZ_GDP",Release_Calendar!$B$2:$B$755,$A3069)&gt;0,1,0))</f>
        <v/>
      </c>
      <c r="O3069" s="16" t="str">
        <f>IF($A3069&lt;Notes!$B$5,"",IF(COUNTIFS(Release_Calendar!$A$2:$A$755,"NZ_LABOUR",Release_Calendar!$B$2:$B$755,$A3069)&gt;0,1,0))</f>
        <v/>
      </c>
      <c r="P3069" s="16">
        <f t="shared" si="4"/>
        <v>0</v>
      </c>
    </row>
    <row r="3070" ht="15.75" customHeight="1">
      <c r="A3070" s="14">
        <v>40822.0</v>
      </c>
      <c r="B3070" s="15">
        <v>0.29</v>
      </c>
      <c r="C3070" s="15">
        <v>3.05</v>
      </c>
      <c r="D3070" s="15">
        <v>2.83</v>
      </c>
      <c r="E3070" s="15">
        <v>2.83</v>
      </c>
      <c r="F3070" s="15">
        <f t="shared" si="1"/>
        <v>2.76</v>
      </c>
      <c r="G3070" s="15">
        <f t="shared" si="2"/>
        <v>3.05</v>
      </c>
      <c r="H3070" s="16">
        <v>0.0</v>
      </c>
      <c r="I3070" s="15">
        <f t="shared" si="3"/>
        <v>2.76</v>
      </c>
      <c r="J3070" s="15">
        <v>36.27</v>
      </c>
      <c r="K3070" s="16">
        <f>IF(COUNTIFS(Release_Calendar!$A$2:$A$755,"US_CPI",Release_Calendar!$B$2:$B$755,$A3070)&gt;0,1,0)</f>
        <v>0</v>
      </c>
      <c r="L3070" s="16">
        <f>IF(COUNTIFS(Release_Calendar!$A$2:$A$755,"US_NFP",Release_Calendar!$B$2:$B$755,$A3070)&gt;0,1,0)</f>
        <v>0</v>
      </c>
      <c r="M3070" s="16" t="str">
        <f>IF($A3070&lt;Notes!$B$5,"",IF(COUNTIFS(Release_Calendar!$A$2:$A$755,"NZ_CPI",Release_Calendar!$B$2:$B$755,$A3070)&gt;0,1,0))</f>
        <v/>
      </c>
      <c r="N3070" s="16" t="str">
        <f>IF($A3070&lt;Notes!$B$5,"",IF(COUNTIFS(Release_Calendar!$A$2:$A$755,"NZ_GDP",Release_Calendar!$B$2:$B$755,$A3070)&gt;0,1,0))</f>
        <v/>
      </c>
      <c r="O3070" s="16" t="str">
        <f>IF($A3070&lt;Notes!$B$5,"",IF(COUNTIFS(Release_Calendar!$A$2:$A$755,"NZ_LABOUR",Release_Calendar!$B$2:$B$755,$A3070)&gt;0,1,0))</f>
        <v/>
      </c>
      <c r="P3070" s="16">
        <f t="shared" si="4"/>
        <v>0</v>
      </c>
    </row>
    <row r="3071" ht="15.75" customHeight="1">
      <c r="A3071" s="14">
        <v>40823.0</v>
      </c>
      <c r="B3071" s="15">
        <v>0.3</v>
      </c>
      <c r="C3071" s="15">
        <v>3.09</v>
      </c>
      <c r="D3071" s="15">
        <v>2.88</v>
      </c>
      <c r="E3071" s="15">
        <v>2.87</v>
      </c>
      <c r="F3071" s="15">
        <f t="shared" si="1"/>
        <v>2.79</v>
      </c>
      <c r="G3071" s="15">
        <f t="shared" si="2"/>
        <v>3.09</v>
      </c>
      <c r="H3071" s="16">
        <v>0.0</v>
      </c>
      <c r="I3071" s="15">
        <f t="shared" si="3"/>
        <v>2.79</v>
      </c>
      <c r="J3071" s="15">
        <v>36.2</v>
      </c>
      <c r="K3071" s="16">
        <f>IF(COUNTIFS(Release_Calendar!$A$2:$A$755,"US_CPI",Release_Calendar!$B$2:$B$755,$A3071)&gt;0,1,0)</f>
        <v>0</v>
      </c>
      <c r="L3071" s="16">
        <f>IF(COUNTIFS(Release_Calendar!$A$2:$A$755,"US_NFP",Release_Calendar!$B$2:$B$755,$A3071)&gt;0,1,0)</f>
        <v>1</v>
      </c>
      <c r="M3071" s="16" t="str">
        <f>IF($A3071&lt;Notes!$B$5,"",IF(COUNTIFS(Release_Calendar!$A$2:$A$755,"NZ_CPI",Release_Calendar!$B$2:$B$755,$A3071)&gt;0,1,0))</f>
        <v/>
      </c>
      <c r="N3071" s="16" t="str">
        <f>IF($A3071&lt;Notes!$B$5,"",IF(COUNTIFS(Release_Calendar!$A$2:$A$755,"NZ_GDP",Release_Calendar!$B$2:$B$755,$A3071)&gt;0,1,0))</f>
        <v/>
      </c>
      <c r="O3071" s="16" t="str">
        <f>IF($A3071&lt;Notes!$B$5,"",IF(COUNTIFS(Release_Calendar!$A$2:$A$755,"NZ_LABOUR",Release_Calendar!$B$2:$B$755,$A3071)&gt;0,1,0))</f>
        <v/>
      </c>
      <c r="P3071" s="16">
        <f t="shared" si="4"/>
        <v>1</v>
      </c>
    </row>
    <row r="3072" ht="15.75" customHeight="1">
      <c r="A3072" s="14">
        <v>40826.0</v>
      </c>
      <c r="B3072" s="15"/>
      <c r="C3072" s="15">
        <v>3.13</v>
      </c>
      <c r="D3072" s="15">
        <v>2.9</v>
      </c>
      <c r="E3072" s="15">
        <v>2.91</v>
      </c>
      <c r="F3072" s="15" t="str">
        <f t="shared" si="1"/>
        <v/>
      </c>
      <c r="G3072" s="15">
        <f t="shared" si="2"/>
        <v>3.13</v>
      </c>
      <c r="H3072" s="16">
        <v>0.0</v>
      </c>
      <c r="I3072" s="15" t="str">
        <f t="shared" si="3"/>
        <v/>
      </c>
      <c r="J3072" s="15">
        <v>33.02</v>
      </c>
      <c r="K3072" s="16">
        <f>IF(COUNTIFS(Release_Calendar!$A$2:$A$755,"US_CPI",Release_Calendar!$B$2:$B$755,$A3072)&gt;0,1,0)</f>
        <v>0</v>
      </c>
      <c r="L3072" s="16">
        <f>IF(COUNTIFS(Release_Calendar!$A$2:$A$755,"US_NFP",Release_Calendar!$B$2:$B$755,$A3072)&gt;0,1,0)</f>
        <v>0</v>
      </c>
      <c r="M3072" s="16" t="str">
        <f>IF($A3072&lt;Notes!$B$5,"",IF(COUNTIFS(Release_Calendar!$A$2:$A$755,"NZ_CPI",Release_Calendar!$B$2:$B$755,$A3072)&gt;0,1,0))</f>
        <v/>
      </c>
      <c r="N3072" s="16" t="str">
        <f>IF($A3072&lt;Notes!$B$5,"",IF(COUNTIFS(Release_Calendar!$A$2:$A$755,"NZ_GDP",Release_Calendar!$B$2:$B$755,$A3072)&gt;0,1,0))</f>
        <v/>
      </c>
      <c r="O3072" s="16" t="str">
        <f>IF($A3072&lt;Notes!$B$5,"",IF(COUNTIFS(Release_Calendar!$A$2:$A$755,"NZ_LABOUR",Release_Calendar!$B$2:$B$755,$A3072)&gt;0,1,0))</f>
        <v/>
      </c>
      <c r="P3072" s="16">
        <f t="shared" si="4"/>
        <v>0</v>
      </c>
    </row>
    <row r="3073" ht="15.75" customHeight="1">
      <c r="A3073" s="14">
        <v>40827.0</v>
      </c>
      <c r="B3073" s="15">
        <v>0.32</v>
      </c>
      <c r="C3073" s="15">
        <v>3.15</v>
      </c>
      <c r="D3073" s="15">
        <v>2.96</v>
      </c>
      <c r="E3073" s="15">
        <v>2.92</v>
      </c>
      <c r="F3073" s="15">
        <f t="shared" si="1"/>
        <v>2.83</v>
      </c>
      <c r="G3073" s="15">
        <f t="shared" si="2"/>
        <v>3.15</v>
      </c>
      <c r="H3073" s="16">
        <v>0.0</v>
      </c>
      <c r="I3073" s="15">
        <f t="shared" si="3"/>
        <v>2.83</v>
      </c>
      <c r="J3073" s="15">
        <v>32.86</v>
      </c>
      <c r="K3073" s="16">
        <f>IF(COUNTIFS(Release_Calendar!$A$2:$A$755,"US_CPI",Release_Calendar!$B$2:$B$755,$A3073)&gt;0,1,0)</f>
        <v>0</v>
      </c>
      <c r="L3073" s="16">
        <f>IF(COUNTIFS(Release_Calendar!$A$2:$A$755,"US_NFP",Release_Calendar!$B$2:$B$755,$A3073)&gt;0,1,0)</f>
        <v>0</v>
      </c>
      <c r="M3073" s="16" t="str">
        <f>IF($A3073&lt;Notes!$B$5,"",IF(COUNTIFS(Release_Calendar!$A$2:$A$755,"NZ_CPI",Release_Calendar!$B$2:$B$755,$A3073)&gt;0,1,0))</f>
        <v/>
      </c>
      <c r="N3073" s="16" t="str">
        <f>IF($A3073&lt;Notes!$B$5,"",IF(COUNTIFS(Release_Calendar!$A$2:$A$755,"NZ_GDP",Release_Calendar!$B$2:$B$755,$A3073)&gt;0,1,0))</f>
        <v/>
      </c>
      <c r="O3073" s="16" t="str">
        <f>IF($A3073&lt;Notes!$B$5,"",IF(COUNTIFS(Release_Calendar!$A$2:$A$755,"NZ_LABOUR",Release_Calendar!$B$2:$B$755,$A3073)&gt;0,1,0))</f>
        <v/>
      </c>
      <c r="P3073" s="16">
        <f t="shared" si="4"/>
        <v>0</v>
      </c>
    </row>
    <row r="3074" ht="15.75" customHeight="1">
      <c r="A3074" s="14">
        <v>40828.0</v>
      </c>
      <c r="B3074" s="15">
        <v>0.29</v>
      </c>
      <c r="C3074" s="15">
        <v>3.13</v>
      </c>
      <c r="D3074" s="15">
        <v>2.93</v>
      </c>
      <c r="E3074" s="15">
        <v>2.9</v>
      </c>
      <c r="F3074" s="15">
        <f t="shared" si="1"/>
        <v>2.84</v>
      </c>
      <c r="G3074" s="15">
        <f t="shared" si="2"/>
        <v>3.13</v>
      </c>
      <c r="H3074" s="16">
        <v>0.0</v>
      </c>
      <c r="I3074" s="15">
        <f t="shared" si="3"/>
        <v>2.84</v>
      </c>
      <c r="J3074" s="15">
        <v>31.26</v>
      </c>
      <c r="K3074" s="16">
        <f>IF(COUNTIFS(Release_Calendar!$A$2:$A$755,"US_CPI",Release_Calendar!$B$2:$B$755,$A3074)&gt;0,1,0)</f>
        <v>0</v>
      </c>
      <c r="L3074" s="16">
        <f>IF(COUNTIFS(Release_Calendar!$A$2:$A$755,"US_NFP",Release_Calendar!$B$2:$B$755,$A3074)&gt;0,1,0)</f>
        <v>0</v>
      </c>
      <c r="M3074" s="16" t="str">
        <f>IF($A3074&lt;Notes!$B$5,"",IF(COUNTIFS(Release_Calendar!$A$2:$A$755,"NZ_CPI",Release_Calendar!$B$2:$B$755,$A3074)&gt;0,1,0))</f>
        <v/>
      </c>
      <c r="N3074" s="16" t="str">
        <f>IF($A3074&lt;Notes!$B$5,"",IF(COUNTIFS(Release_Calendar!$A$2:$A$755,"NZ_GDP",Release_Calendar!$B$2:$B$755,$A3074)&gt;0,1,0))</f>
        <v/>
      </c>
      <c r="O3074" s="16" t="str">
        <f>IF($A3074&lt;Notes!$B$5,"",IF(COUNTIFS(Release_Calendar!$A$2:$A$755,"NZ_LABOUR",Release_Calendar!$B$2:$B$755,$A3074)&gt;0,1,0))</f>
        <v/>
      </c>
      <c r="P3074" s="16">
        <f t="shared" si="4"/>
        <v>0</v>
      </c>
    </row>
    <row r="3075" ht="15.75" customHeight="1">
      <c r="A3075" s="14">
        <v>40829.0</v>
      </c>
      <c r="B3075" s="15">
        <v>0.29</v>
      </c>
      <c r="C3075" s="15">
        <v>3.17</v>
      </c>
      <c r="D3075" s="15">
        <v>2.92</v>
      </c>
      <c r="E3075" s="15">
        <v>2.91</v>
      </c>
      <c r="F3075" s="15">
        <f t="shared" si="1"/>
        <v>2.88</v>
      </c>
      <c r="G3075" s="15">
        <f t="shared" si="2"/>
        <v>3.17</v>
      </c>
      <c r="H3075" s="16">
        <v>0.0</v>
      </c>
      <c r="I3075" s="15">
        <f t="shared" si="3"/>
        <v>2.88</v>
      </c>
      <c r="J3075" s="15">
        <v>30.7</v>
      </c>
      <c r="K3075" s="16">
        <f>IF(COUNTIFS(Release_Calendar!$A$2:$A$755,"US_CPI",Release_Calendar!$B$2:$B$755,$A3075)&gt;0,1,0)</f>
        <v>0</v>
      </c>
      <c r="L3075" s="16">
        <f>IF(COUNTIFS(Release_Calendar!$A$2:$A$755,"US_NFP",Release_Calendar!$B$2:$B$755,$A3075)&gt;0,1,0)</f>
        <v>0</v>
      </c>
      <c r="M3075" s="16" t="str">
        <f>IF($A3075&lt;Notes!$B$5,"",IF(COUNTIFS(Release_Calendar!$A$2:$A$755,"NZ_CPI",Release_Calendar!$B$2:$B$755,$A3075)&gt;0,1,0))</f>
        <v/>
      </c>
      <c r="N3075" s="16" t="str">
        <f>IF($A3075&lt;Notes!$B$5,"",IF(COUNTIFS(Release_Calendar!$A$2:$A$755,"NZ_GDP",Release_Calendar!$B$2:$B$755,$A3075)&gt;0,1,0))</f>
        <v/>
      </c>
      <c r="O3075" s="16" t="str">
        <f>IF($A3075&lt;Notes!$B$5,"",IF(COUNTIFS(Release_Calendar!$A$2:$A$755,"NZ_LABOUR",Release_Calendar!$B$2:$B$755,$A3075)&gt;0,1,0))</f>
        <v/>
      </c>
      <c r="P3075" s="16">
        <f t="shared" si="4"/>
        <v>0</v>
      </c>
    </row>
    <row r="3076" ht="15.75" customHeight="1">
      <c r="A3076" s="14">
        <v>40830.0</v>
      </c>
      <c r="B3076" s="15">
        <v>0.28</v>
      </c>
      <c r="C3076" s="15">
        <v>3.12</v>
      </c>
      <c r="D3076" s="15">
        <v>2.89</v>
      </c>
      <c r="E3076" s="15">
        <v>2.87</v>
      </c>
      <c r="F3076" s="15">
        <f t="shared" si="1"/>
        <v>2.84</v>
      </c>
      <c r="G3076" s="15">
        <f t="shared" si="2"/>
        <v>3.12</v>
      </c>
      <c r="H3076" s="16">
        <v>0.0</v>
      </c>
      <c r="I3076" s="15">
        <f t="shared" si="3"/>
        <v>2.84</v>
      </c>
      <c r="J3076" s="15">
        <v>28.24</v>
      </c>
      <c r="K3076" s="16">
        <f>IF(COUNTIFS(Release_Calendar!$A$2:$A$755,"US_CPI",Release_Calendar!$B$2:$B$755,$A3076)&gt;0,1,0)</f>
        <v>0</v>
      </c>
      <c r="L3076" s="16">
        <f>IF(COUNTIFS(Release_Calendar!$A$2:$A$755,"US_NFP",Release_Calendar!$B$2:$B$755,$A3076)&gt;0,1,0)</f>
        <v>0</v>
      </c>
      <c r="M3076" s="16" t="str">
        <f>IF($A3076&lt;Notes!$B$5,"",IF(COUNTIFS(Release_Calendar!$A$2:$A$755,"NZ_CPI",Release_Calendar!$B$2:$B$755,$A3076)&gt;0,1,0))</f>
        <v/>
      </c>
      <c r="N3076" s="16" t="str">
        <f>IF($A3076&lt;Notes!$B$5,"",IF(COUNTIFS(Release_Calendar!$A$2:$A$755,"NZ_GDP",Release_Calendar!$B$2:$B$755,$A3076)&gt;0,1,0))</f>
        <v/>
      </c>
      <c r="O3076" s="16" t="str">
        <f>IF($A3076&lt;Notes!$B$5,"",IF(COUNTIFS(Release_Calendar!$A$2:$A$755,"NZ_LABOUR",Release_Calendar!$B$2:$B$755,$A3076)&gt;0,1,0))</f>
        <v/>
      </c>
      <c r="P3076" s="16">
        <f t="shared" si="4"/>
        <v>0</v>
      </c>
    </row>
    <row r="3077" ht="15.75" customHeight="1">
      <c r="A3077" s="14">
        <v>40833.0</v>
      </c>
      <c r="B3077" s="15">
        <v>0.28</v>
      </c>
      <c r="C3077" s="15">
        <v>3.19</v>
      </c>
      <c r="D3077" s="15">
        <v>2.9</v>
      </c>
      <c r="E3077" s="15">
        <v>2.91</v>
      </c>
      <c r="F3077" s="15">
        <f t="shared" si="1"/>
        <v>2.91</v>
      </c>
      <c r="G3077" s="15">
        <f t="shared" si="2"/>
        <v>3.19</v>
      </c>
      <c r="H3077" s="16">
        <v>0.0</v>
      </c>
      <c r="I3077" s="15">
        <f t="shared" si="3"/>
        <v>2.91</v>
      </c>
      <c r="J3077" s="15">
        <v>33.39</v>
      </c>
      <c r="K3077" s="16">
        <f>IF(COUNTIFS(Release_Calendar!$A$2:$A$755,"US_CPI",Release_Calendar!$B$2:$B$755,$A3077)&gt;0,1,0)</f>
        <v>0</v>
      </c>
      <c r="L3077" s="16">
        <f>IF(COUNTIFS(Release_Calendar!$A$2:$A$755,"US_NFP",Release_Calendar!$B$2:$B$755,$A3077)&gt;0,1,0)</f>
        <v>0</v>
      </c>
      <c r="M3077" s="16" t="str">
        <f>IF($A3077&lt;Notes!$B$5,"",IF(COUNTIFS(Release_Calendar!$A$2:$A$755,"NZ_CPI",Release_Calendar!$B$2:$B$755,$A3077)&gt;0,1,0))</f>
        <v/>
      </c>
      <c r="N3077" s="16" t="str">
        <f>IF($A3077&lt;Notes!$B$5,"",IF(COUNTIFS(Release_Calendar!$A$2:$A$755,"NZ_GDP",Release_Calendar!$B$2:$B$755,$A3077)&gt;0,1,0))</f>
        <v/>
      </c>
      <c r="O3077" s="16" t="str">
        <f>IF($A3077&lt;Notes!$B$5,"",IF(COUNTIFS(Release_Calendar!$A$2:$A$755,"NZ_LABOUR",Release_Calendar!$B$2:$B$755,$A3077)&gt;0,1,0))</f>
        <v/>
      </c>
      <c r="P3077" s="16">
        <f t="shared" si="4"/>
        <v>0</v>
      </c>
    </row>
    <row r="3078" ht="15.75" customHeight="1">
      <c r="A3078" s="14">
        <v>40834.0</v>
      </c>
      <c r="B3078" s="15">
        <v>0.28</v>
      </c>
      <c r="C3078" s="15">
        <v>3.16</v>
      </c>
      <c r="D3078" s="15">
        <v>2.87</v>
      </c>
      <c r="E3078" s="15">
        <v>2.88</v>
      </c>
      <c r="F3078" s="15">
        <f t="shared" si="1"/>
        <v>2.88</v>
      </c>
      <c r="G3078" s="15">
        <f t="shared" si="2"/>
        <v>3.16</v>
      </c>
      <c r="H3078" s="16">
        <v>0.0</v>
      </c>
      <c r="I3078" s="15">
        <f t="shared" si="3"/>
        <v>2.88</v>
      </c>
      <c r="J3078" s="15">
        <v>31.56</v>
      </c>
      <c r="K3078" s="16">
        <f>IF(COUNTIFS(Release_Calendar!$A$2:$A$755,"US_CPI",Release_Calendar!$B$2:$B$755,$A3078)&gt;0,1,0)</f>
        <v>0</v>
      </c>
      <c r="L3078" s="16">
        <f>IF(COUNTIFS(Release_Calendar!$A$2:$A$755,"US_NFP",Release_Calendar!$B$2:$B$755,$A3078)&gt;0,1,0)</f>
        <v>0</v>
      </c>
      <c r="M3078" s="16" t="str">
        <f>IF($A3078&lt;Notes!$B$5,"",IF(COUNTIFS(Release_Calendar!$A$2:$A$755,"NZ_CPI",Release_Calendar!$B$2:$B$755,$A3078)&gt;0,1,0))</f>
        <v/>
      </c>
      <c r="N3078" s="16" t="str">
        <f>IF($A3078&lt;Notes!$B$5,"",IF(COUNTIFS(Release_Calendar!$A$2:$A$755,"NZ_GDP",Release_Calendar!$B$2:$B$755,$A3078)&gt;0,1,0))</f>
        <v/>
      </c>
      <c r="O3078" s="16" t="str">
        <f>IF($A3078&lt;Notes!$B$5,"",IF(COUNTIFS(Release_Calendar!$A$2:$A$755,"NZ_LABOUR",Release_Calendar!$B$2:$B$755,$A3078)&gt;0,1,0))</f>
        <v/>
      </c>
      <c r="P3078" s="16">
        <f t="shared" si="4"/>
        <v>0</v>
      </c>
    </row>
    <row r="3079" ht="15.75" customHeight="1">
      <c r="A3079" s="14">
        <v>40835.0</v>
      </c>
      <c r="B3079" s="15">
        <v>0.28</v>
      </c>
      <c r="C3079" s="15">
        <v>3.17</v>
      </c>
      <c r="D3079" s="15">
        <v>2.9</v>
      </c>
      <c r="E3079" s="15">
        <v>2.9</v>
      </c>
      <c r="F3079" s="15">
        <f t="shared" si="1"/>
        <v>2.89</v>
      </c>
      <c r="G3079" s="15">
        <f t="shared" si="2"/>
        <v>3.17</v>
      </c>
      <c r="H3079" s="16">
        <v>0.0</v>
      </c>
      <c r="I3079" s="15">
        <f t="shared" si="3"/>
        <v>2.89</v>
      </c>
      <c r="J3079" s="15">
        <v>34.44</v>
      </c>
      <c r="K3079" s="16">
        <f>IF(COUNTIFS(Release_Calendar!$A$2:$A$755,"US_CPI",Release_Calendar!$B$2:$B$755,$A3079)&gt;0,1,0)</f>
        <v>1</v>
      </c>
      <c r="L3079" s="16">
        <f>IF(COUNTIFS(Release_Calendar!$A$2:$A$755,"US_NFP",Release_Calendar!$B$2:$B$755,$A3079)&gt;0,1,0)</f>
        <v>0</v>
      </c>
      <c r="M3079" s="16" t="str">
        <f>IF($A3079&lt;Notes!$B$5,"",IF(COUNTIFS(Release_Calendar!$A$2:$A$755,"NZ_CPI",Release_Calendar!$B$2:$B$755,$A3079)&gt;0,1,0))</f>
        <v/>
      </c>
      <c r="N3079" s="16" t="str">
        <f>IF($A3079&lt;Notes!$B$5,"",IF(COUNTIFS(Release_Calendar!$A$2:$A$755,"NZ_GDP",Release_Calendar!$B$2:$B$755,$A3079)&gt;0,1,0))</f>
        <v/>
      </c>
      <c r="O3079" s="16" t="str">
        <f>IF($A3079&lt;Notes!$B$5,"",IF(COUNTIFS(Release_Calendar!$A$2:$A$755,"NZ_LABOUR",Release_Calendar!$B$2:$B$755,$A3079)&gt;0,1,0))</f>
        <v/>
      </c>
      <c r="P3079" s="16">
        <f t="shared" si="4"/>
        <v>1</v>
      </c>
    </row>
    <row r="3080" ht="15.75" customHeight="1">
      <c r="A3080" s="14">
        <v>40836.0</v>
      </c>
      <c r="B3080" s="15">
        <v>0.28</v>
      </c>
      <c r="C3080" s="15">
        <v>3.17</v>
      </c>
      <c r="D3080" s="15">
        <v>2.9</v>
      </c>
      <c r="E3080" s="15">
        <v>2.88</v>
      </c>
      <c r="F3080" s="15">
        <f t="shared" si="1"/>
        <v>2.89</v>
      </c>
      <c r="G3080" s="15">
        <f t="shared" si="2"/>
        <v>3.17</v>
      </c>
      <c r="H3080" s="16">
        <v>0.0</v>
      </c>
      <c r="I3080" s="15">
        <f t="shared" si="3"/>
        <v>2.89</v>
      </c>
      <c r="J3080" s="15">
        <v>34.78</v>
      </c>
      <c r="K3080" s="16">
        <f>IF(COUNTIFS(Release_Calendar!$A$2:$A$755,"US_CPI",Release_Calendar!$B$2:$B$755,$A3080)&gt;0,1,0)</f>
        <v>0</v>
      </c>
      <c r="L3080" s="16">
        <f>IF(COUNTIFS(Release_Calendar!$A$2:$A$755,"US_NFP",Release_Calendar!$B$2:$B$755,$A3080)&gt;0,1,0)</f>
        <v>0</v>
      </c>
      <c r="M3080" s="16" t="str">
        <f>IF($A3080&lt;Notes!$B$5,"",IF(COUNTIFS(Release_Calendar!$A$2:$A$755,"NZ_CPI",Release_Calendar!$B$2:$B$755,$A3080)&gt;0,1,0))</f>
        <v/>
      </c>
      <c r="N3080" s="16" t="str">
        <f>IF($A3080&lt;Notes!$B$5,"",IF(COUNTIFS(Release_Calendar!$A$2:$A$755,"NZ_GDP",Release_Calendar!$B$2:$B$755,$A3080)&gt;0,1,0))</f>
        <v/>
      </c>
      <c r="O3080" s="16" t="str">
        <f>IF($A3080&lt;Notes!$B$5,"",IF(COUNTIFS(Release_Calendar!$A$2:$A$755,"NZ_LABOUR",Release_Calendar!$B$2:$B$755,$A3080)&gt;0,1,0))</f>
        <v/>
      </c>
      <c r="P3080" s="16">
        <f t="shared" si="4"/>
        <v>0</v>
      </c>
    </row>
    <row r="3081" ht="15.75" customHeight="1">
      <c r="A3081" s="14">
        <v>40837.0</v>
      </c>
      <c r="B3081" s="15">
        <v>0.3</v>
      </c>
      <c r="C3081" s="15">
        <v>3.17</v>
      </c>
      <c r="D3081" s="15">
        <v>2.86</v>
      </c>
      <c r="E3081" s="15">
        <v>2.83</v>
      </c>
      <c r="F3081" s="15">
        <f t="shared" si="1"/>
        <v>2.87</v>
      </c>
      <c r="G3081" s="15">
        <f t="shared" si="2"/>
        <v>3.17</v>
      </c>
      <c r="H3081" s="16">
        <v>0.0</v>
      </c>
      <c r="I3081" s="15">
        <f t="shared" si="3"/>
        <v>2.87</v>
      </c>
      <c r="J3081" s="15">
        <v>31.32</v>
      </c>
      <c r="K3081" s="16">
        <f>IF(COUNTIFS(Release_Calendar!$A$2:$A$755,"US_CPI",Release_Calendar!$B$2:$B$755,$A3081)&gt;0,1,0)</f>
        <v>0</v>
      </c>
      <c r="L3081" s="16">
        <f>IF(COUNTIFS(Release_Calendar!$A$2:$A$755,"US_NFP",Release_Calendar!$B$2:$B$755,$A3081)&gt;0,1,0)</f>
        <v>0</v>
      </c>
      <c r="M3081" s="16" t="str">
        <f>IF($A3081&lt;Notes!$B$5,"",IF(COUNTIFS(Release_Calendar!$A$2:$A$755,"NZ_CPI",Release_Calendar!$B$2:$B$755,$A3081)&gt;0,1,0))</f>
        <v/>
      </c>
      <c r="N3081" s="16" t="str">
        <f>IF($A3081&lt;Notes!$B$5,"",IF(COUNTIFS(Release_Calendar!$A$2:$A$755,"NZ_GDP",Release_Calendar!$B$2:$B$755,$A3081)&gt;0,1,0))</f>
        <v/>
      </c>
      <c r="O3081" s="16" t="str">
        <f>IF($A3081&lt;Notes!$B$5,"",IF(COUNTIFS(Release_Calendar!$A$2:$A$755,"NZ_LABOUR",Release_Calendar!$B$2:$B$755,$A3081)&gt;0,1,0))</f>
        <v/>
      </c>
      <c r="P3081" s="16">
        <f t="shared" si="4"/>
        <v>0</v>
      </c>
    </row>
    <row r="3082" ht="15.75" customHeight="1">
      <c r="A3082" s="14">
        <v>40840.0</v>
      </c>
      <c r="B3082" s="15">
        <v>0.3</v>
      </c>
      <c r="C3082" s="15"/>
      <c r="D3082" s="15"/>
      <c r="E3082" s="15"/>
      <c r="F3082" s="15" t="str">
        <f t="shared" si="1"/>
        <v/>
      </c>
      <c r="G3082" s="15" t="str">
        <f t="shared" si="2"/>
        <v/>
      </c>
      <c r="H3082" s="16">
        <v>0.0</v>
      </c>
      <c r="I3082" s="15" t="str">
        <f t="shared" si="3"/>
        <v/>
      </c>
      <c r="J3082" s="15">
        <v>29.26</v>
      </c>
      <c r="K3082" s="16">
        <f>IF(COUNTIFS(Release_Calendar!$A$2:$A$755,"US_CPI",Release_Calendar!$B$2:$B$755,$A3082)&gt;0,1,0)</f>
        <v>0</v>
      </c>
      <c r="L3082" s="16">
        <f>IF(COUNTIFS(Release_Calendar!$A$2:$A$755,"US_NFP",Release_Calendar!$B$2:$B$755,$A3082)&gt;0,1,0)</f>
        <v>0</v>
      </c>
      <c r="M3082" s="16" t="str">
        <f>IF($A3082&lt;Notes!$B$5,"",IF(COUNTIFS(Release_Calendar!$A$2:$A$755,"NZ_CPI",Release_Calendar!$B$2:$B$755,$A3082)&gt;0,1,0))</f>
        <v/>
      </c>
      <c r="N3082" s="16" t="str">
        <f>IF($A3082&lt;Notes!$B$5,"",IF(COUNTIFS(Release_Calendar!$A$2:$A$755,"NZ_GDP",Release_Calendar!$B$2:$B$755,$A3082)&gt;0,1,0))</f>
        <v/>
      </c>
      <c r="O3082" s="16" t="str">
        <f>IF($A3082&lt;Notes!$B$5,"",IF(COUNTIFS(Release_Calendar!$A$2:$A$755,"NZ_LABOUR",Release_Calendar!$B$2:$B$755,$A3082)&gt;0,1,0))</f>
        <v/>
      </c>
      <c r="P3082" s="16">
        <f t="shared" si="4"/>
        <v>0</v>
      </c>
    </row>
    <row r="3083" ht="15.75" customHeight="1">
      <c r="A3083" s="14">
        <v>40841.0</v>
      </c>
      <c r="B3083" s="15">
        <v>0.26</v>
      </c>
      <c r="C3083" s="15">
        <v>3.15</v>
      </c>
      <c r="D3083" s="15">
        <v>2.79</v>
      </c>
      <c r="E3083" s="15">
        <v>2.78</v>
      </c>
      <c r="F3083" s="15">
        <f t="shared" si="1"/>
        <v>2.89</v>
      </c>
      <c r="G3083" s="15">
        <f t="shared" si="2"/>
        <v>3.15</v>
      </c>
      <c r="H3083" s="16">
        <v>0.0</v>
      </c>
      <c r="I3083" s="15">
        <f t="shared" si="3"/>
        <v>2.89</v>
      </c>
      <c r="J3083" s="15">
        <v>32.22</v>
      </c>
      <c r="K3083" s="16">
        <f>IF(COUNTIFS(Release_Calendar!$A$2:$A$755,"US_CPI",Release_Calendar!$B$2:$B$755,$A3083)&gt;0,1,0)</f>
        <v>0</v>
      </c>
      <c r="L3083" s="16">
        <f>IF(COUNTIFS(Release_Calendar!$A$2:$A$755,"US_NFP",Release_Calendar!$B$2:$B$755,$A3083)&gt;0,1,0)</f>
        <v>0</v>
      </c>
      <c r="M3083" s="16" t="str">
        <f>IF($A3083&lt;Notes!$B$5,"",IF(COUNTIFS(Release_Calendar!$A$2:$A$755,"NZ_CPI",Release_Calendar!$B$2:$B$755,$A3083)&gt;0,1,0))</f>
        <v/>
      </c>
      <c r="N3083" s="16" t="str">
        <f>IF($A3083&lt;Notes!$B$5,"",IF(COUNTIFS(Release_Calendar!$A$2:$A$755,"NZ_GDP",Release_Calendar!$B$2:$B$755,$A3083)&gt;0,1,0))</f>
        <v/>
      </c>
      <c r="O3083" s="16" t="str">
        <f>IF($A3083&lt;Notes!$B$5,"",IF(COUNTIFS(Release_Calendar!$A$2:$A$755,"NZ_LABOUR",Release_Calendar!$B$2:$B$755,$A3083)&gt;0,1,0))</f>
        <v/>
      </c>
      <c r="P3083" s="16">
        <f t="shared" si="4"/>
        <v>0</v>
      </c>
    </row>
    <row r="3084" ht="15.75" customHeight="1">
      <c r="A3084" s="14">
        <v>40842.0</v>
      </c>
      <c r="B3084" s="15">
        <v>0.28</v>
      </c>
      <c r="C3084" s="15">
        <v>3.07</v>
      </c>
      <c r="D3084" s="15">
        <v>2.73</v>
      </c>
      <c r="E3084" s="15">
        <v>2.68</v>
      </c>
      <c r="F3084" s="15">
        <f t="shared" si="1"/>
        <v>2.79</v>
      </c>
      <c r="G3084" s="15">
        <f t="shared" si="2"/>
        <v>3.07</v>
      </c>
      <c r="H3084" s="16">
        <v>0.0</v>
      </c>
      <c r="I3084" s="15">
        <f t="shared" si="3"/>
        <v>2.79</v>
      </c>
      <c r="J3084" s="15">
        <v>29.86</v>
      </c>
      <c r="K3084" s="16">
        <f>IF(COUNTIFS(Release_Calendar!$A$2:$A$755,"US_CPI",Release_Calendar!$B$2:$B$755,$A3084)&gt;0,1,0)</f>
        <v>0</v>
      </c>
      <c r="L3084" s="16">
        <f>IF(COUNTIFS(Release_Calendar!$A$2:$A$755,"US_NFP",Release_Calendar!$B$2:$B$755,$A3084)&gt;0,1,0)</f>
        <v>0</v>
      </c>
      <c r="M3084" s="16" t="str">
        <f>IF($A3084&lt;Notes!$B$5,"",IF(COUNTIFS(Release_Calendar!$A$2:$A$755,"NZ_CPI",Release_Calendar!$B$2:$B$755,$A3084)&gt;0,1,0))</f>
        <v/>
      </c>
      <c r="N3084" s="16" t="str">
        <f>IF($A3084&lt;Notes!$B$5,"",IF(COUNTIFS(Release_Calendar!$A$2:$A$755,"NZ_GDP",Release_Calendar!$B$2:$B$755,$A3084)&gt;0,1,0))</f>
        <v/>
      </c>
      <c r="O3084" s="16" t="str">
        <f>IF($A3084&lt;Notes!$B$5,"",IF(COUNTIFS(Release_Calendar!$A$2:$A$755,"NZ_LABOUR",Release_Calendar!$B$2:$B$755,$A3084)&gt;0,1,0))</f>
        <v/>
      </c>
      <c r="P3084" s="16">
        <f t="shared" si="4"/>
        <v>0</v>
      </c>
    </row>
    <row r="3085" ht="15.75" customHeight="1">
      <c r="A3085" s="14">
        <v>40843.0</v>
      </c>
      <c r="B3085" s="15">
        <v>0.31</v>
      </c>
      <c r="C3085" s="15">
        <v>3.14</v>
      </c>
      <c r="D3085" s="15">
        <v>2.73</v>
      </c>
      <c r="E3085" s="15">
        <v>2.76</v>
      </c>
      <c r="F3085" s="15">
        <f t="shared" si="1"/>
        <v>2.83</v>
      </c>
      <c r="G3085" s="15">
        <f t="shared" si="2"/>
        <v>3.14</v>
      </c>
      <c r="H3085" s="16">
        <v>0.0</v>
      </c>
      <c r="I3085" s="15">
        <f t="shared" si="3"/>
        <v>2.83</v>
      </c>
      <c r="J3085" s="15">
        <v>25.46</v>
      </c>
      <c r="K3085" s="16">
        <f>IF(COUNTIFS(Release_Calendar!$A$2:$A$755,"US_CPI",Release_Calendar!$B$2:$B$755,$A3085)&gt;0,1,0)</f>
        <v>0</v>
      </c>
      <c r="L3085" s="16">
        <f>IF(COUNTIFS(Release_Calendar!$A$2:$A$755,"US_NFP",Release_Calendar!$B$2:$B$755,$A3085)&gt;0,1,0)</f>
        <v>0</v>
      </c>
      <c r="M3085" s="16" t="str">
        <f>IF($A3085&lt;Notes!$B$5,"",IF(COUNTIFS(Release_Calendar!$A$2:$A$755,"NZ_CPI",Release_Calendar!$B$2:$B$755,$A3085)&gt;0,1,0))</f>
        <v/>
      </c>
      <c r="N3085" s="16" t="str">
        <f>IF($A3085&lt;Notes!$B$5,"",IF(COUNTIFS(Release_Calendar!$A$2:$A$755,"NZ_GDP",Release_Calendar!$B$2:$B$755,$A3085)&gt;0,1,0))</f>
        <v/>
      </c>
      <c r="O3085" s="16" t="str">
        <f>IF($A3085&lt;Notes!$B$5,"",IF(COUNTIFS(Release_Calendar!$A$2:$A$755,"NZ_LABOUR",Release_Calendar!$B$2:$B$755,$A3085)&gt;0,1,0))</f>
        <v/>
      </c>
      <c r="P3085" s="16">
        <f t="shared" si="4"/>
        <v>0</v>
      </c>
    </row>
    <row r="3086" ht="15.75" customHeight="1">
      <c r="A3086" s="14">
        <v>40844.0</v>
      </c>
      <c r="B3086" s="15">
        <v>0.28</v>
      </c>
      <c r="C3086" s="15">
        <v>3.19</v>
      </c>
      <c r="D3086" s="15">
        <v>2.88</v>
      </c>
      <c r="E3086" s="15">
        <v>2.82</v>
      </c>
      <c r="F3086" s="15">
        <f t="shared" si="1"/>
        <v>2.91</v>
      </c>
      <c r="G3086" s="15">
        <f t="shared" si="2"/>
        <v>3.19</v>
      </c>
      <c r="H3086" s="16">
        <v>0.0</v>
      </c>
      <c r="I3086" s="15">
        <f t="shared" si="3"/>
        <v>2.91</v>
      </c>
      <c r="J3086" s="15">
        <v>24.53</v>
      </c>
      <c r="K3086" s="16">
        <f>IF(COUNTIFS(Release_Calendar!$A$2:$A$755,"US_CPI",Release_Calendar!$B$2:$B$755,$A3086)&gt;0,1,0)</f>
        <v>0</v>
      </c>
      <c r="L3086" s="16">
        <f>IF(COUNTIFS(Release_Calendar!$A$2:$A$755,"US_NFP",Release_Calendar!$B$2:$B$755,$A3086)&gt;0,1,0)</f>
        <v>0</v>
      </c>
      <c r="M3086" s="16" t="str">
        <f>IF($A3086&lt;Notes!$B$5,"",IF(COUNTIFS(Release_Calendar!$A$2:$A$755,"NZ_CPI",Release_Calendar!$B$2:$B$755,$A3086)&gt;0,1,0))</f>
        <v/>
      </c>
      <c r="N3086" s="16" t="str">
        <f>IF($A3086&lt;Notes!$B$5,"",IF(COUNTIFS(Release_Calendar!$A$2:$A$755,"NZ_GDP",Release_Calendar!$B$2:$B$755,$A3086)&gt;0,1,0))</f>
        <v/>
      </c>
      <c r="O3086" s="16" t="str">
        <f>IF($A3086&lt;Notes!$B$5,"",IF(COUNTIFS(Release_Calendar!$A$2:$A$755,"NZ_LABOUR",Release_Calendar!$B$2:$B$755,$A3086)&gt;0,1,0))</f>
        <v/>
      </c>
      <c r="P3086" s="16">
        <f t="shared" si="4"/>
        <v>0</v>
      </c>
    </row>
    <row r="3087" ht="15.75" customHeight="1">
      <c r="A3087" s="14">
        <v>40847.0</v>
      </c>
      <c r="B3087" s="15">
        <v>0.25</v>
      </c>
      <c r="C3087" s="15">
        <v>3.15</v>
      </c>
      <c r="D3087" s="15">
        <v>2.8</v>
      </c>
      <c r="E3087" s="15">
        <v>2.79</v>
      </c>
      <c r="F3087" s="15">
        <f t="shared" si="1"/>
        <v>2.9</v>
      </c>
      <c r="G3087" s="15">
        <f t="shared" si="2"/>
        <v>3.15</v>
      </c>
      <c r="H3087" s="16">
        <v>0.0</v>
      </c>
      <c r="I3087" s="15">
        <f t="shared" si="3"/>
        <v>2.9</v>
      </c>
      <c r="J3087" s="15">
        <v>29.96</v>
      </c>
      <c r="K3087" s="16">
        <f>IF(COUNTIFS(Release_Calendar!$A$2:$A$755,"US_CPI",Release_Calendar!$B$2:$B$755,$A3087)&gt;0,1,0)</f>
        <v>0</v>
      </c>
      <c r="L3087" s="16">
        <f>IF(COUNTIFS(Release_Calendar!$A$2:$A$755,"US_NFP",Release_Calendar!$B$2:$B$755,$A3087)&gt;0,1,0)</f>
        <v>0</v>
      </c>
      <c r="M3087" s="16" t="str">
        <f>IF($A3087&lt;Notes!$B$5,"",IF(COUNTIFS(Release_Calendar!$A$2:$A$755,"NZ_CPI",Release_Calendar!$B$2:$B$755,$A3087)&gt;0,1,0))</f>
        <v/>
      </c>
      <c r="N3087" s="16" t="str">
        <f>IF($A3087&lt;Notes!$B$5,"",IF(COUNTIFS(Release_Calendar!$A$2:$A$755,"NZ_GDP",Release_Calendar!$B$2:$B$755,$A3087)&gt;0,1,0))</f>
        <v/>
      </c>
      <c r="O3087" s="16" t="str">
        <f>IF($A3087&lt;Notes!$B$5,"",IF(COUNTIFS(Release_Calendar!$A$2:$A$755,"NZ_LABOUR",Release_Calendar!$B$2:$B$755,$A3087)&gt;0,1,0))</f>
        <v/>
      </c>
      <c r="P3087" s="16">
        <f t="shared" si="4"/>
        <v>0</v>
      </c>
    </row>
    <row r="3088" ht="15.75" customHeight="1">
      <c r="A3088" s="14">
        <v>40848.0</v>
      </c>
      <c r="B3088" s="15">
        <v>0.23</v>
      </c>
      <c r="C3088" s="15">
        <v>3.11</v>
      </c>
      <c r="D3088" s="15">
        <v>2.75</v>
      </c>
      <c r="E3088" s="15">
        <v>2.75</v>
      </c>
      <c r="F3088" s="15">
        <f t="shared" si="1"/>
        <v>2.88</v>
      </c>
      <c r="G3088" s="15">
        <f t="shared" si="2"/>
        <v>3.11</v>
      </c>
      <c r="H3088" s="16">
        <v>0.0</v>
      </c>
      <c r="I3088" s="15">
        <f t="shared" si="3"/>
        <v>2.88</v>
      </c>
      <c r="J3088" s="15">
        <v>34.77</v>
      </c>
      <c r="K3088" s="16">
        <f>IF(COUNTIFS(Release_Calendar!$A$2:$A$755,"US_CPI",Release_Calendar!$B$2:$B$755,$A3088)&gt;0,1,0)</f>
        <v>0</v>
      </c>
      <c r="L3088" s="16">
        <f>IF(COUNTIFS(Release_Calendar!$A$2:$A$755,"US_NFP",Release_Calendar!$B$2:$B$755,$A3088)&gt;0,1,0)</f>
        <v>0</v>
      </c>
      <c r="M3088" s="16" t="str">
        <f>IF($A3088&lt;Notes!$B$5,"",IF(COUNTIFS(Release_Calendar!$A$2:$A$755,"NZ_CPI",Release_Calendar!$B$2:$B$755,$A3088)&gt;0,1,0))</f>
        <v/>
      </c>
      <c r="N3088" s="16" t="str">
        <f>IF($A3088&lt;Notes!$B$5,"",IF(COUNTIFS(Release_Calendar!$A$2:$A$755,"NZ_GDP",Release_Calendar!$B$2:$B$755,$A3088)&gt;0,1,0))</f>
        <v/>
      </c>
      <c r="O3088" s="16" t="str">
        <f>IF($A3088&lt;Notes!$B$5,"",IF(COUNTIFS(Release_Calendar!$A$2:$A$755,"NZ_LABOUR",Release_Calendar!$B$2:$B$755,$A3088)&gt;0,1,0))</f>
        <v/>
      </c>
      <c r="P3088" s="16">
        <f t="shared" si="4"/>
        <v>0</v>
      </c>
    </row>
    <row r="3089" ht="15.75" customHeight="1">
      <c r="A3089" s="14">
        <v>40849.0</v>
      </c>
      <c r="B3089" s="15">
        <v>0.23</v>
      </c>
      <c r="C3089" s="15">
        <v>3.1</v>
      </c>
      <c r="D3089" s="15">
        <v>2.71</v>
      </c>
      <c r="E3089" s="15">
        <v>2.76</v>
      </c>
      <c r="F3089" s="15">
        <f t="shared" si="1"/>
        <v>2.87</v>
      </c>
      <c r="G3089" s="15">
        <f t="shared" si="2"/>
        <v>3.1</v>
      </c>
      <c r="H3089" s="16">
        <v>0.0</v>
      </c>
      <c r="I3089" s="15">
        <f t="shared" si="3"/>
        <v>2.87</v>
      </c>
      <c r="J3089" s="15">
        <v>32.74</v>
      </c>
      <c r="K3089" s="16">
        <f>IF(COUNTIFS(Release_Calendar!$A$2:$A$755,"US_CPI",Release_Calendar!$B$2:$B$755,$A3089)&gt;0,1,0)</f>
        <v>0</v>
      </c>
      <c r="L3089" s="16">
        <f>IF(COUNTIFS(Release_Calendar!$A$2:$A$755,"US_NFP",Release_Calendar!$B$2:$B$755,$A3089)&gt;0,1,0)</f>
        <v>0</v>
      </c>
      <c r="M3089" s="16" t="str">
        <f>IF($A3089&lt;Notes!$B$5,"",IF(COUNTIFS(Release_Calendar!$A$2:$A$755,"NZ_CPI",Release_Calendar!$B$2:$B$755,$A3089)&gt;0,1,0))</f>
        <v/>
      </c>
      <c r="N3089" s="16" t="str">
        <f>IF($A3089&lt;Notes!$B$5,"",IF(COUNTIFS(Release_Calendar!$A$2:$A$755,"NZ_GDP",Release_Calendar!$B$2:$B$755,$A3089)&gt;0,1,0))</f>
        <v/>
      </c>
      <c r="O3089" s="16" t="str">
        <f>IF($A3089&lt;Notes!$B$5,"",IF(COUNTIFS(Release_Calendar!$A$2:$A$755,"NZ_LABOUR",Release_Calendar!$B$2:$B$755,$A3089)&gt;0,1,0))</f>
        <v/>
      </c>
      <c r="P3089" s="16">
        <f t="shared" si="4"/>
        <v>0</v>
      </c>
    </row>
    <row r="3090" ht="15.75" customHeight="1">
      <c r="A3090" s="14">
        <v>40850.0</v>
      </c>
      <c r="B3090" s="15">
        <v>0.24</v>
      </c>
      <c r="C3090" s="15">
        <v>3.07</v>
      </c>
      <c r="D3090" s="15">
        <v>2.74</v>
      </c>
      <c r="E3090" s="15">
        <v>2.72</v>
      </c>
      <c r="F3090" s="15">
        <f t="shared" si="1"/>
        <v>2.83</v>
      </c>
      <c r="G3090" s="15">
        <f t="shared" si="2"/>
        <v>3.07</v>
      </c>
      <c r="H3090" s="16">
        <v>0.0</v>
      </c>
      <c r="I3090" s="15">
        <f t="shared" si="3"/>
        <v>2.83</v>
      </c>
      <c r="J3090" s="15">
        <v>30.5</v>
      </c>
      <c r="K3090" s="16">
        <f>IF(COUNTIFS(Release_Calendar!$A$2:$A$755,"US_CPI",Release_Calendar!$B$2:$B$755,$A3090)&gt;0,1,0)</f>
        <v>0</v>
      </c>
      <c r="L3090" s="16">
        <f>IF(COUNTIFS(Release_Calendar!$A$2:$A$755,"US_NFP",Release_Calendar!$B$2:$B$755,$A3090)&gt;0,1,0)</f>
        <v>0</v>
      </c>
      <c r="M3090" s="16" t="str">
        <f>IF($A3090&lt;Notes!$B$5,"",IF(COUNTIFS(Release_Calendar!$A$2:$A$755,"NZ_CPI",Release_Calendar!$B$2:$B$755,$A3090)&gt;0,1,0))</f>
        <v/>
      </c>
      <c r="N3090" s="16" t="str">
        <f>IF($A3090&lt;Notes!$B$5,"",IF(COUNTIFS(Release_Calendar!$A$2:$A$755,"NZ_GDP",Release_Calendar!$B$2:$B$755,$A3090)&gt;0,1,0))</f>
        <v/>
      </c>
      <c r="O3090" s="16" t="str">
        <f>IF($A3090&lt;Notes!$B$5,"",IF(COUNTIFS(Release_Calendar!$A$2:$A$755,"NZ_LABOUR",Release_Calendar!$B$2:$B$755,$A3090)&gt;0,1,0))</f>
        <v/>
      </c>
      <c r="P3090" s="16">
        <f t="shared" si="4"/>
        <v>0</v>
      </c>
    </row>
    <row r="3091" ht="15.75" customHeight="1">
      <c r="A3091" s="14">
        <v>40851.0</v>
      </c>
      <c r="B3091" s="15">
        <v>0.22</v>
      </c>
      <c r="C3091" s="15">
        <v>3.1</v>
      </c>
      <c r="D3091" s="15">
        <v>2.79</v>
      </c>
      <c r="E3091" s="15">
        <v>2.74</v>
      </c>
      <c r="F3091" s="15">
        <f t="shared" si="1"/>
        <v>2.88</v>
      </c>
      <c r="G3091" s="15">
        <f t="shared" si="2"/>
        <v>3.1</v>
      </c>
      <c r="H3091" s="16">
        <v>0.0</v>
      </c>
      <c r="I3091" s="15">
        <f t="shared" si="3"/>
        <v>2.88</v>
      </c>
      <c r="J3091" s="15">
        <v>30.16</v>
      </c>
      <c r="K3091" s="16">
        <f>IF(COUNTIFS(Release_Calendar!$A$2:$A$755,"US_CPI",Release_Calendar!$B$2:$B$755,$A3091)&gt;0,1,0)</f>
        <v>0</v>
      </c>
      <c r="L3091" s="16">
        <f>IF(COUNTIFS(Release_Calendar!$A$2:$A$755,"US_NFP",Release_Calendar!$B$2:$B$755,$A3091)&gt;0,1,0)</f>
        <v>1</v>
      </c>
      <c r="M3091" s="16" t="str">
        <f>IF($A3091&lt;Notes!$B$5,"",IF(COUNTIFS(Release_Calendar!$A$2:$A$755,"NZ_CPI",Release_Calendar!$B$2:$B$755,$A3091)&gt;0,1,0))</f>
        <v/>
      </c>
      <c r="N3091" s="16" t="str">
        <f>IF($A3091&lt;Notes!$B$5,"",IF(COUNTIFS(Release_Calendar!$A$2:$A$755,"NZ_GDP",Release_Calendar!$B$2:$B$755,$A3091)&gt;0,1,0))</f>
        <v/>
      </c>
      <c r="O3091" s="16" t="str">
        <f>IF($A3091&lt;Notes!$B$5,"",IF(COUNTIFS(Release_Calendar!$A$2:$A$755,"NZ_LABOUR",Release_Calendar!$B$2:$B$755,$A3091)&gt;0,1,0))</f>
        <v/>
      </c>
      <c r="P3091" s="16">
        <f t="shared" si="4"/>
        <v>1</v>
      </c>
    </row>
    <row r="3092" ht="15.75" customHeight="1">
      <c r="A3092" s="14">
        <v>40854.0</v>
      </c>
      <c r="B3092" s="15">
        <v>0.25</v>
      </c>
      <c r="C3092" s="15">
        <v>3.08</v>
      </c>
      <c r="D3092" s="15">
        <v>2.74</v>
      </c>
      <c r="E3092" s="15">
        <v>2.75</v>
      </c>
      <c r="F3092" s="15">
        <f t="shared" si="1"/>
        <v>2.83</v>
      </c>
      <c r="G3092" s="15">
        <f t="shared" si="2"/>
        <v>3.08</v>
      </c>
      <c r="H3092" s="16">
        <v>0.0</v>
      </c>
      <c r="I3092" s="15">
        <f t="shared" si="3"/>
        <v>2.83</v>
      </c>
      <c r="J3092" s="15">
        <v>29.85</v>
      </c>
      <c r="K3092" s="16">
        <f>IF(COUNTIFS(Release_Calendar!$A$2:$A$755,"US_CPI",Release_Calendar!$B$2:$B$755,$A3092)&gt;0,1,0)</f>
        <v>0</v>
      </c>
      <c r="L3092" s="16">
        <f>IF(COUNTIFS(Release_Calendar!$A$2:$A$755,"US_NFP",Release_Calendar!$B$2:$B$755,$A3092)&gt;0,1,0)</f>
        <v>0</v>
      </c>
      <c r="M3092" s="16" t="str">
        <f>IF($A3092&lt;Notes!$B$5,"",IF(COUNTIFS(Release_Calendar!$A$2:$A$755,"NZ_CPI",Release_Calendar!$B$2:$B$755,$A3092)&gt;0,1,0))</f>
        <v/>
      </c>
      <c r="N3092" s="16" t="str">
        <f>IF($A3092&lt;Notes!$B$5,"",IF(COUNTIFS(Release_Calendar!$A$2:$A$755,"NZ_GDP",Release_Calendar!$B$2:$B$755,$A3092)&gt;0,1,0))</f>
        <v/>
      </c>
      <c r="O3092" s="16" t="str">
        <f>IF($A3092&lt;Notes!$B$5,"",IF(COUNTIFS(Release_Calendar!$A$2:$A$755,"NZ_LABOUR",Release_Calendar!$B$2:$B$755,$A3092)&gt;0,1,0))</f>
        <v/>
      </c>
      <c r="P3092" s="16">
        <f t="shared" si="4"/>
        <v>0</v>
      </c>
    </row>
    <row r="3093" ht="15.75" customHeight="1">
      <c r="A3093" s="14">
        <v>40855.0</v>
      </c>
      <c r="B3093" s="15">
        <v>0.25</v>
      </c>
      <c r="C3093" s="15">
        <v>3.07</v>
      </c>
      <c r="D3093" s="15">
        <v>2.74</v>
      </c>
      <c r="E3093" s="15">
        <v>2.75</v>
      </c>
      <c r="F3093" s="15">
        <f t="shared" si="1"/>
        <v>2.82</v>
      </c>
      <c r="G3093" s="15">
        <f t="shared" si="2"/>
        <v>3.07</v>
      </c>
      <c r="H3093" s="16">
        <v>0.0</v>
      </c>
      <c r="I3093" s="15">
        <f t="shared" si="3"/>
        <v>2.82</v>
      </c>
      <c r="J3093" s="15">
        <v>27.48</v>
      </c>
      <c r="K3093" s="16">
        <f>IF(COUNTIFS(Release_Calendar!$A$2:$A$755,"US_CPI",Release_Calendar!$B$2:$B$755,$A3093)&gt;0,1,0)</f>
        <v>0</v>
      </c>
      <c r="L3093" s="16">
        <f>IF(COUNTIFS(Release_Calendar!$A$2:$A$755,"US_NFP",Release_Calendar!$B$2:$B$755,$A3093)&gt;0,1,0)</f>
        <v>0</v>
      </c>
      <c r="M3093" s="16" t="str">
        <f>IF($A3093&lt;Notes!$B$5,"",IF(COUNTIFS(Release_Calendar!$A$2:$A$755,"NZ_CPI",Release_Calendar!$B$2:$B$755,$A3093)&gt;0,1,0))</f>
        <v/>
      </c>
      <c r="N3093" s="16" t="str">
        <f>IF($A3093&lt;Notes!$B$5,"",IF(COUNTIFS(Release_Calendar!$A$2:$A$755,"NZ_GDP",Release_Calendar!$B$2:$B$755,$A3093)&gt;0,1,0))</f>
        <v/>
      </c>
      <c r="O3093" s="16" t="str">
        <f>IF($A3093&lt;Notes!$B$5,"",IF(COUNTIFS(Release_Calendar!$A$2:$A$755,"NZ_LABOUR",Release_Calendar!$B$2:$B$755,$A3093)&gt;0,1,0))</f>
        <v/>
      </c>
      <c r="P3093" s="16">
        <f t="shared" si="4"/>
        <v>0</v>
      </c>
    </row>
    <row r="3094" ht="15.75" customHeight="1">
      <c r="A3094" s="14">
        <v>40856.0</v>
      </c>
      <c r="B3094" s="15">
        <v>0.24</v>
      </c>
      <c r="C3094" s="15">
        <v>3.06</v>
      </c>
      <c r="D3094" s="15">
        <v>2.77</v>
      </c>
      <c r="E3094" s="15">
        <v>2.75</v>
      </c>
      <c r="F3094" s="15">
        <f t="shared" si="1"/>
        <v>2.82</v>
      </c>
      <c r="G3094" s="15">
        <f t="shared" si="2"/>
        <v>3.06</v>
      </c>
      <c r="H3094" s="16">
        <v>0.0</v>
      </c>
      <c r="I3094" s="15">
        <f t="shared" si="3"/>
        <v>2.82</v>
      </c>
      <c r="J3094" s="15">
        <v>36.16</v>
      </c>
      <c r="K3094" s="16">
        <f>IF(COUNTIFS(Release_Calendar!$A$2:$A$755,"US_CPI",Release_Calendar!$B$2:$B$755,$A3094)&gt;0,1,0)</f>
        <v>0</v>
      </c>
      <c r="L3094" s="16">
        <f>IF(COUNTIFS(Release_Calendar!$A$2:$A$755,"US_NFP",Release_Calendar!$B$2:$B$755,$A3094)&gt;0,1,0)</f>
        <v>0</v>
      </c>
      <c r="M3094" s="16" t="str">
        <f>IF($A3094&lt;Notes!$B$5,"",IF(COUNTIFS(Release_Calendar!$A$2:$A$755,"NZ_CPI",Release_Calendar!$B$2:$B$755,$A3094)&gt;0,1,0))</f>
        <v/>
      </c>
      <c r="N3094" s="16" t="str">
        <f>IF($A3094&lt;Notes!$B$5,"",IF(COUNTIFS(Release_Calendar!$A$2:$A$755,"NZ_GDP",Release_Calendar!$B$2:$B$755,$A3094)&gt;0,1,0))</f>
        <v/>
      </c>
      <c r="O3094" s="16" t="str">
        <f>IF($A3094&lt;Notes!$B$5,"",IF(COUNTIFS(Release_Calendar!$A$2:$A$755,"NZ_LABOUR",Release_Calendar!$B$2:$B$755,$A3094)&gt;0,1,0))</f>
        <v/>
      </c>
      <c r="P3094" s="16">
        <f t="shared" si="4"/>
        <v>0</v>
      </c>
    </row>
    <row r="3095" ht="15.75" customHeight="1">
      <c r="A3095" s="14">
        <v>40857.0</v>
      </c>
      <c r="B3095" s="15">
        <v>0.24</v>
      </c>
      <c r="C3095" s="15">
        <v>2.95</v>
      </c>
      <c r="D3095" s="15">
        <v>2.65</v>
      </c>
      <c r="E3095" s="15">
        <v>2.63</v>
      </c>
      <c r="F3095" s="15">
        <f t="shared" si="1"/>
        <v>2.71</v>
      </c>
      <c r="G3095" s="15">
        <f t="shared" si="2"/>
        <v>2.95</v>
      </c>
      <c r="H3095" s="16">
        <v>0.0</v>
      </c>
      <c r="I3095" s="15">
        <f t="shared" si="3"/>
        <v>2.71</v>
      </c>
      <c r="J3095" s="15">
        <v>32.81</v>
      </c>
      <c r="K3095" s="16">
        <f>IF(COUNTIFS(Release_Calendar!$A$2:$A$755,"US_CPI",Release_Calendar!$B$2:$B$755,$A3095)&gt;0,1,0)</f>
        <v>0</v>
      </c>
      <c r="L3095" s="16">
        <f>IF(COUNTIFS(Release_Calendar!$A$2:$A$755,"US_NFP",Release_Calendar!$B$2:$B$755,$A3095)&gt;0,1,0)</f>
        <v>0</v>
      </c>
      <c r="M3095" s="16" t="str">
        <f>IF($A3095&lt;Notes!$B$5,"",IF(COUNTIFS(Release_Calendar!$A$2:$A$755,"NZ_CPI",Release_Calendar!$B$2:$B$755,$A3095)&gt;0,1,0))</f>
        <v/>
      </c>
      <c r="N3095" s="16" t="str">
        <f>IF($A3095&lt;Notes!$B$5,"",IF(COUNTIFS(Release_Calendar!$A$2:$A$755,"NZ_GDP",Release_Calendar!$B$2:$B$755,$A3095)&gt;0,1,0))</f>
        <v/>
      </c>
      <c r="O3095" s="16" t="str">
        <f>IF($A3095&lt;Notes!$B$5,"",IF(COUNTIFS(Release_Calendar!$A$2:$A$755,"NZ_LABOUR",Release_Calendar!$B$2:$B$755,$A3095)&gt;0,1,0))</f>
        <v/>
      </c>
      <c r="P3095" s="16">
        <f t="shared" si="4"/>
        <v>0</v>
      </c>
    </row>
    <row r="3096" ht="15.75" customHeight="1">
      <c r="A3096" s="14">
        <v>40858.0</v>
      </c>
      <c r="B3096" s="15"/>
      <c r="C3096" s="15">
        <v>2.94</v>
      </c>
      <c r="D3096" s="15">
        <v>2.66</v>
      </c>
      <c r="E3096" s="15">
        <v>2.59</v>
      </c>
      <c r="F3096" s="15" t="str">
        <f t="shared" si="1"/>
        <v/>
      </c>
      <c r="G3096" s="15">
        <f t="shared" si="2"/>
        <v>2.94</v>
      </c>
      <c r="H3096" s="16">
        <v>0.0</v>
      </c>
      <c r="I3096" s="15" t="str">
        <f t="shared" si="3"/>
        <v/>
      </c>
      <c r="J3096" s="15">
        <v>30.04</v>
      </c>
      <c r="K3096" s="16">
        <f>IF(COUNTIFS(Release_Calendar!$A$2:$A$755,"US_CPI",Release_Calendar!$B$2:$B$755,$A3096)&gt;0,1,0)</f>
        <v>0</v>
      </c>
      <c r="L3096" s="16">
        <f>IF(COUNTIFS(Release_Calendar!$A$2:$A$755,"US_NFP",Release_Calendar!$B$2:$B$755,$A3096)&gt;0,1,0)</f>
        <v>0</v>
      </c>
      <c r="M3096" s="16" t="str">
        <f>IF($A3096&lt;Notes!$B$5,"",IF(COUNTIFS(Release_Calendar!$A$2:$A$755,"NZ_CPI",Release_Calendar!$B$2:$B$755,$A3096)&gt;0,1,0))</f>
        <v/>
      </c>
      <c r="N3096" s="16" t="str">
        <f>IF($A3096&lt;Notes!$B$5,"",IF(COUNTIFS(Release_Calendar!$A$2:$A$755,"NZ_GDP",Release_Calendar!$B$2:$B$755,$A3096)&gt;0,1,0))</f>
        <v/>
      </c>
      <c r="O3096" s="16" t="str">
        <f>IF($A3096&lt;Notes!$B$5,"",IF(COUNTIFS(Release_Calendar!$A$2:$A$755,"NZ_LABOUR",Release_Calendar!$B$2:$B$755,$A3096)&gt;0,1,0))</f>
        <v/>
      </c>
      <c r="P3096" s="16">
        <f t="shared" si="4"/>
        <v>0</v>
      </c>
    </row>
    <row r="3097" ht="15.75" customHeight="1">
      <c r="A3097" s="14">
        <v>40861.0</v>
      </c>
      <c r="B3097" s="15">
        <v>0.24</v>
      </c>
      <c r="C3097" s="15">
        <v>2.95</v>
      </c>
      <c r="D3097" s="15">
        <v>2.62</v>
      </c>
      <c r="E3097" s="15">
        <v>2.59</v>
      </c>
      <c r="F3097" s="15">
        <f t="shared" si="1"/>
        <v>2.71</v>
      </c>
      <c r="G3097" s="15">
        <f t="shared" si="2"/>
        <v>2.95</v>
      </c>
      <c r="H3097" s="16">
        <v>0.0</v>
      </c>
      <c r="I3097" s="15">
        <f t="shared" si="3"/>
        <v>2.71</v>
      </c>
      <c r="J3097" s="15">
        <v>31.13</v>
      </c>
      <c r="K3097" s="16">
        <f>IF(COUNTIFS(Release_Calendar!$A$2:$A$755,"US_CPI",Release_Calendar!$B$2:$B$755,$A3097)&gt;0,1,0)</f>
        <v>0</v>
      </c>
      <c r="L3097" s="16">
        <f>IF(COUNTIFS(Release_Calendar!$A$2:$A$755,"US_NFP",Release_Calendar!$B$2:$B$755,$A3097)&gt;0,1,0)</f>
        <v>0</v>
      </c>
      <c r="M3097" s="16" t="str">
        <f>IF($A3097&lt;Notes!$B$5,"",IF(COUNTIFS(Release_Calendar!$A$2:$A$755,"NZ_CPI",Release_Calendar!$B$2:$B$755,$A3097)&gt;0,1,0))</f>
        <v/>
      </c>
      <c r="N3097" s="16" t="str">
        <f>IF($A3097&lt;Notes!$B$5,"",IF(COUNTIFS(Release_Calendar!$A$2:$A$755,"NZ_GDP",Release_Calendar!$B$2:$B$755,$A3097)&gt;0,1,0))</f>
        <v/>
      </c>
      <c r="O3097" s="16" t="str">
        <f>IF($A3097&lt;Notes!$B$5,"",IF(COUNTIFS(Release_Calendar!$A$2:$A$755,"NZ_LABOUR",Release_Calendar!$B$2:$B$755,$A3097)&gt;0,1,0))</f>
        <v/>
      </c>
      <c r="P3097" s="16">
        <f t="shared" si="4"/>
        <v>0</v>
      </c>
    </row>
    <row r="3098" ht="15.75" customHeight="1">
      <c r="A3098" s="14">
        <v>40862.0</v>
      </c>
      <c r="B3098" s="15">
        <v>0.26</v>
      </c>
      <c r="C3098" s="15">
        <v>2.85</v>
      </c>
      <c r="D3098" s="15">
        <v>2.52</v>
      </c>
      <c r="E3098" s="15">
        <v>2.52</v>
      </c>
      <c r="F3098" s="15">
        <f t="shared" si="1"/>
        <v>2.59</v>
      </c>
      <c r="G3098" s="15">
        <f t="shared" si="2"/>
        <v>2.85</v>
      </c>
      <c r="H3098" s="16">
        <v>0.0</v>
      </c>
      <c r="I3098" s="15">
        <f t="shared" si="3"/>
        <v>2.59</v>
      </c>
      <c r="J3098" s="15">
        <v>31.22</v>
      </c>
      <c r="K3098" s="16">
        <f>IF(COUNTIFS(Release_Calendar!$A$2:$A$755,"US_CPI",Release_Calendar!$B$2:$B$755,$A3098)&gt;0,1,0)</f>
        <v>0</v>
      </c>
      <c r="L3098" s="16">
        <f>IF(COUNTIFS(Release_Calendar!$A$2:$A$755,"US_NFP",Release_Calendar!$B$2:$B$755,$A3098)&gt;0,1,0)</f>
        <v>0</v>
      </c>
      <c r="M3098" s="16" t="str">
        <f>IF($A3098&lt;Notes!$B$5,"",IF(COUNTIFS(Release_Calendar!$A$2:$A$755,"NZ_CPI",Release_Calendar!$B$2:$B$755,$A3098)&gt;0,1,0))</f>
        <v/>
      </c>
      <c r="N3098" s="16" t="str">
        <f>IF($A3098&lt;Notes!$B$5,"",IF(COUNTIFS(Release_Calendar!$A$2:$A$755,"NZ_GDP",Release_Calendar!$B$2:$B$755,$A3098)&gt;0,1,0))</f>
        <v/>
      </c>
      <c r="O3098" s="16" t="str">
        <f>IF($A3098&lt;Notes!$B$5,"",IF(COUNTIFS(Release_Calendar!$A$2:$A$755,"NZ_LABOUR",Release_Calendar!$B$2:$B$755,$A3098)&gt;0,1,0))</f>
        <v/>
      </c>
      <c r="P3098" s="16">
        <f t="shared" si="4"/>
        <v>0</v>
      </c>
    </row>
    <row r="3099" ht="15.75" customHeight="1">
      <c r="A3099" s="14">
        <v>40863.0</v>
      </c>
      <c r="B3099" s="15">
        <v>0.26</v>
      </c>
      <c r="C3099" s="15">
        <v>2.79</v>
      </c>
      <c r="D3099" s="15">
        <v>2.52</v>
      </c>
      <c r="E3099" s="15">
        <v>2.48</v>
      </c>
      <c r="F3099" s="15">
        <f t="shared" si="1"/>
        <v>2.53</v>
      </c>
      <c r="G3099" s="15">
        <f t="shared" si="2"/>
        <v>2.79</v>
      </c>
      <c r="H3099" s="16">
        <v>0.0</v>
      </c>
      <c r="I3099" s="15">
        <f t="shared" si="3"/>
        <v>2.53</v>
      </c>
      <c r="J3099" s="15">
        <v>33.51</v>
      </c>
      <c r="K3099" s="16">
        <f>IF(COUNTIFS(Release_Calendar!$A$2:$A$755,"US_CPI",Release_Calendar!$B$2:$B$755,$A3099)&gt;0,1,0)</f>
        <v>1</v>
      </c>
      <c r="L3099" s="16">
        <f>IF(COUNTIFS(Release_Calendar!$A$2:$A$755,"US_NFP",Release_Calendar!$B$2:$B$755,$A3099)&gt;0,1,0)</f>
        <v>0</v>
      </c>
      <c r="M3099" s="16" t="str">
        <f>IF($A3099&lt;Notes!$B$5,"",IF(COUNTIFS(Release_Calendar!$A$2:$A$755,"NZ_CPI",Release_Calendar!$B$2:$B$755,$A3099)&gt;0,1,0))</f>
        <v/>
      </c>
      <c r="N3099" s="16" t="str">
        <f>IF($A3099&lt;Notes!$B$5,"",IF(COUNTIFS(Release_Calendar!$A$2:$A$755,"NZ_GDP",Release_Calendar!$B$2:$B$755,$A3099)&gt;0,1,0))</f>
        <v/>
      </c>
      <c r="O3099" s="16" t="str">
        <f>IF($A3099&lt;Notes!$B$5,"",IF(COUNTIFS(Release_Calendar!$A$2:$A$755,"NZ_LABOUR",Release_Calendar!$B$2:$B$755,$A3099)&gt;0,1,0))</f>
        <v/>
      </c>
      <c r="P3099" s="16">
        <f t="shared" si="4"/>
        <v>1</v>
      </c>
    </row>
    <row r="3100" ht="15.75" customHeight="1">
      <c r="A3100" s="14">
        <v>40864.0</v>
      </c>
      <c r="B3100" s="15">
        <v>0.27</v>
      </c>
      <c r="C3100" s="15">
        <v>2.73</v>
      </c>
      <c r="D3100" s="15">
        <v>2.45</v>
      </c>
      <c r="E3100" s="15">
        <v>2.49</v>
      </c>
      <c r="F3100" s="15">
        <f t="shared" si="1"/>
        <v>2.46</v>
      </c>
      <c r="G3100" s="15">
        <f t="shared" si="2"/>
        <v>2.73</v>
      </c>
      <c r="H3100" s="16">
        <v>0.0</v>
      </c>
      <c r="I3100" s="15">
        <f t="shared" si="3"/>
        <v>2.46</v>
      </c>
      <c r="J3100" s="15">
        <v>34.51</v>
      </c>
      <c r="K3100" s="16">
        <f>IF(COUNTIFS(Release_Calendar!$A$2:$A$755,"US_CPI",Release_Calendar!$B$2:$B$755,$A3100)&gt;0,1,0)</f>
        <v>0</v>
      </c>
      <c r="L3100" s="16">
        <f>IF(COUNTIFS(Release_Calendar!$A$2:$A$755,"US_NFP",Release_Calendar!$B$2:$B$755,$A3100)&gt;0,1,0)</f>
        <v>0</v>
      </c>
      <c r="M3100" s="16" t="str">
        <f>IF($A3100&lt;Notes!$B$5,"",IF(COUNTIFS(Release_Calendar!$A$2:$A$755,"NZ_CPI",Release_Calendar!$B$2:$B$755,$A3100)&gt;0,1,0))</f>
        <v/>
      </c>
      <c r="N3100" s="16" t="str">
        <f>IF($A3100&lt;Notes!$B$5,"",IF(COUNTIFS(Release_Calendar!$A$2:$A$755,"NZ_GDP",Release_Calendar!$B$2:$B$755,$A3100)&gt;0,1,0))</f>
        <v/>
      </c>
      <c r="O3100" s="16" t="str">
        <f>IF($A3100&lt;Notes!$B$5,"",IF(COUNTIFS(Release_Calendar!$A$2:$A$755,"NZ_LABOUR",Release_Calendar!$B$2:$B$755,$A3100)&gt;0,1,0))</f>
        <v/>
      </c>
      <c r="P3100" s="16">
        <f t="shared" si="4"/>
        <v>0</v>
      </c>
    </row>
    <row r="3101" ht="15.75" customHeight="1">
      <c r="A3101" s="14">
        <v>40865.0</v>
      </c>
      <c r="B3101" s="15">
        <v>0.29</v>
      </c>
      <c r="C3101" s="15">
        <v>2.71</v>
      </c>
      <c r="D3101" s="15">
        <v>2.47</v>
      </c>
      <c r="E3101" s="15">
        <v>2.5</v>
      </c>
      <c r="F3101" s="15">
        <f t="shared" si="1"/>
        <v>2.42</v>
      </c>
      <c r="G3101" s="15">
        <f t="shared" si="2"/>
        <v>2.71</v>
      </c>
      <c r="H3101" s="16">
        <v>0.0</v>
      </c>
      <c r="I3101" s="15">
        <f t="shared" si="3"/>
        <v>2.42</v>
      </c>
      <c r="J3101" s="15">
        <v>32.0</v>
      </c>
      <c r="K3101" s="16">
        <f>IF(COUNTIFS(Release_Calendar!$A$2:$A$755,"US_CPI",Release_Calendar!$B$2:$B$755,$A3101)&gt;0,1,0)</f>
        <v>0</v>
      </c>
      <c r="L3101" s="16">
        <f>IF(COUNTIFS(Release_Calendar!$A$2:$A$755,"US_NFP",Release_Calendar!$B$2:$B$755,$A3101)&gt;0,1,0)</f>
        <v>0</v>
      </c>
      <c r="M3101" s="16" t="str">
        <f>IF($A3101&lt;Notes!$B$5,"",IF(COUNTIFS(Release_Calendar!$A$2:$A$755,"NZ_CPI",Release_Calendar!$B$2:$B$755,$A3101)&gt;0,1,0))</f>
        <v/>
      </c>
      <c r="N3101" s="16" t="str">
        <f>IF($A3101&lt;Notes!$B$5,"",IF(COUNTIFS(Release_Calendar!$A$2:$A$755,"NZ_GDP",Release_Calendar!$B$2:$B$755,$A3101)&gt;0,1,0))</f>
        <v/>
      </c>
      <c r="O3101" s="16" t="str">
        <f>IF($A3101&lt;Notes!$B$5,"",IF(COUNTIFS(Release_Calendar!$A$2:$A$755,"NZ_LABOUR",Release_Calendar!$B$2:$B$755,$A3101)&gt;0,1,0))</f>
        <v/>
      </c>
      <c r="P3101" s="16">
        <f t="shared" si="4"/>
        <v>0</v>
      </c>
    </row>
    <row r="3102" ht="15.75" customHeight="1">
      <c r="A3102" s="14">
        <v>40868.0</v>
      </c>
      <c r="B3102" s="15">
        <v>0.27</v>
      </c>
      <c r="C3102" s="15">
        <v>2.7</v>
      </c>
      <c r="D3102" s="15">
        <v>2.53</v>
      </c>
      <c r="E3102" s="15">
        <v>2.49</v>
      </c>
      <c r="F3102" s="15">
        <f t="shared" si="1"/>
        <v>2.43</v>
      </c>
      <c r="G3102" s="15">
        <f t="shared" si="2"/>
        <v>2.7</v>
      </c>
      <c r="H3102" s="16">
        <v>0.0</v>
      </c>
      <c r="I3102" s="15">
        <f t="shared" si="3"/>
        <v>2.43</v>
      </c>
      <c r="J3102" s="15">
        <v>32.91</v>
      </c>
      <c r="K3102" s="16">
        <f>IF(COUNTIFS(Release_Calendar!$A$2:$A$755,"US_CPI",Release_Calendar!$B$2:$B$755,$A3102)&gt;0,1,0)</f>
        <v>0</v>
      </c>
      <c r="L3102" s="16">
        <f>IF(COUNTIFS(Release_Calendar!$A$2:$A$755,"US_NFP",Release_Calendar!$B$2:$B$755,$A3102)&gt;0,1,0)</f>
        <v>0</v>
      </c>
      <c r="M3102" s="16" t="str">
        <f>IF($A3102&lt;Notes!$B$5,"",IF(COUNTIFS(Release_Calendar!$A$2:$A$755,"NZ_CPI",Release_Calendar!$B$2:$B$755,$A3102)&gt;0,1,0))</f>
        <v/>
      </c>
      <c r="N3102" s="16" t="str">
        <f>IF($A3102&lt;Notes!$B$5,"",IF(COUNTIFS(Release_Calendar!$A$2:$A$755,"NZ_GDP",Release_Calendar!$B$2:$B$755,$A3102)&gt;0,1,0))</f>
        <v/>
      </c>
      <c r="O3102" s="16" t="str">
        <f>IF($A3102&lt;Notes!$B$5,"",IF(COUNTIFS(Release_Calendar!$A$2:$A$755,"NZ_LABOUR",Release_Calendar!$B$2:$B$755,$A3102)&gt;0,1,0))</f>
        <v/>
      </c>
      <c r="P3102" s="16">
        <f t="shared" si="4"/>
        <v>0</v>
      </c>
    </row>
    <row r="3103" ht="15.75" customHeight="1">
      <c r="A3103" s="14">
        <v>40869.0</v>
      </c>
      <c r="B3103" s="15">
        <v>0.26</v>
      </c>
      <c r="C3103" s="15">
        <v>2.7</v>
      </c>
      <c r="D3103" s="15">
        <v>2.44</v>
      </c>
      <c r="E3103" s="15">
        <v>2.45</v>
      </c>
      <c r="F3103" s="15">
        <f t="shared" si="1"/>
        <v>2.44</v>
      </c>
      <c r="G3103" s="15">
        <f t="shared" si="2"/>
        <v>2.7</v>
      </c>
      <c r="H3103" s="16">
        <v>0.0</v>
      </c>
      <c r="I3103" s="15">
        <f t="shared" si="3"/>
        <v>2.44</v>
      </c>
      <c r="J3103" s="15">
        <v>31.97</v>
      </c>
      <c r="K3103" s="16">
        <f>IF(COUNTIFS(Release_Calendar!$A$2:$A$755,"US_CPI",Release_Calendar!$B$2:$B$755,$A3103)&gt;0,1,0)</f>
        <v>0</v>
      </c>
      <c r="L3103" s="16">
        <f>IF(COUNTIFS(Release_Calendar!$A$2:$A$755,"US_NFP",Release_Calendar!$B$2:$B$755,$A3103)&gt;0,1,0)</f>
        <v>0</v>
      </c>
      <c r="M3103" s="16" t="str">
        <f>IF($A3103&lt;Notes!$B$5,"",IF(COUNTIFS(Release_Calendar!$A$2:$A$755,"NZ_CPI",Release_Calendar!$B$2:$B$755,$A3103)&gt;0,1,0))</f>
        <v/>
      </c>
      <c r="N3103" s="16" t="str">
        <f>IF($A3103&lt;Notes!$B$5,"",IF(COUNTIFS(Release_Calendar!$A$2:$A$755,"NZ_GDP",Release_Calendar!$B$2:$B$755,$A3103)&gt;0,1,0))</f>
        <v/>
      </c>
      <c r="O3103" s="16" t="str">
        <f>IF($A3103&lt;Notes!$B$5,"",IF(COUNTIFS(Release_Calendar!$A$2:$A$755,"NZ_LABOUR",Release_Calendar!$B$2:$B$755,$A3103)&gt;0,1,0))</f>
        <v/>
      </c>
      <c r="P3103" s="16">
        <f t="shared" si="4"/>
        <v>0</v>
      </c>
    </row>
    <row r="3104" ht="15.75" customHeight="1">
      <c r="A3104" s="14">
        <v>40870.0</v>
      </c>
      <c r="B3104" s="15">
        <v>0.26</v>
      </c>
      <c r="C3104" s="15">
        <v>2.65</v>
      </c>
      <c r="D3104" s="15">
        <v>2.45</v>
      </c>
      <c r="E3104" s="15">
        <v>2.42</v>
      </c>
      <c r="F3104" s="15">
        <f t="shared" si="1"/>
        <v>2.39</v>
      </c>
      <c r="G3104" s="15">
        <f t="shared" si="2"/>
        <v>2.65</v>
      </c>
      <c r="H3104" s="16">
        <v>0.0</v>
      </c>
      <c r="I3104" s="15">
        <f t="shared" si="3"/>
        <v>2.39</v>
      </c>
      <c r="J3104" s="15">
        <v>33.98</v>
      </c>
      <c r="K3104" s="16">
        <f>IF(COUNTIFS(Release_Calendar!$A$2:$A$755,"US_CPI",Release_Calendar!$B$2:$B$755,$A3104)&gt;0,1,0)</f>
        <v>0</v>
      </c>
      <c r="L3104" s="16">
        <f>IF(COUNTIFS(Release_Calendar!$A$2:$A$755,"US_NFP",Release_Calendar!$B$2:$B$755,$A3104)&gt;0,1,0)</f>
        <v>0</v>
      </c>
      <c r="M3104" s="16" t="str">
        <f>IF($A3104&lt;Notes!$B$5,"",IF(COUNTIFS(Release_Calendar!$A$2:$A$755,"NZ_CPI",Release_Calendar!$B$2:$B$755,$A3104)&gt;0,1,0))</f>
        <v/>
      </c>
      <c r="N3104" s="16" t="str">
        <f>IF($A3104&lt;Notes!$B$5,"",IF(COUNTIFS(Release_Calendar!$A$2:$A$755,"NZ_GDP",Release_Calendar!$B$2:$B$755,$A3104)&gt;0,1,0))</f>
        <v/>
      </c>
      <c r="O3104" s="16" t="str">
        <f>IF($A3104&lt;Notes!$B$5,"",IF(COUNTIFS(Release_Calendar!$A$2:$A$755,"NZ_LABOUR",Release_Calendar!$B$2:$B$755,$A3104)&gt;0,1,0))</f>
        <v/>
      </c>
      <c r="P3104" s="16">
        <f t="shared" si="4"/>
        <v>0</v>
      </c>
    </row>
    <row r="3105" ht="15.75" customHeight="1">
      <c r="A3105" s="14">
        <v>40871.0</v>
      </c>
      <c r="B3105" s="15"/>
      <c r="C3105" s="15">
        <v>2.64</v>
      </c>
      <c r="D3105" s="15">
        <v>2.39</v>
      </c>
      <c r="E3105" s="15">
        <v>2.42</v>
      </c>
      <c r="F3105" s="15" t="str">
        <f t="shared" si="1"/>
        <v/>
      </c>
      <c r="G3105" s="15">
        <f t="shared" si="2"/>
        <v>2.64</v>
      </c>
      <c r="H3105" s="16">
        <v>0.0</v>
      </c>
      <c r="I3105" s="15" t="str">
        <f t="shared" si="3"/>
        <v/>
      </c>
      <c r="J3105" s="15"/>
      <c r="K3105" s="16">
        <f>IF(COUNTIFS(Release_Calendar!$A$2:$A$755,"US_CPI",Release_Calendar!$B$2:$B$755,$A3105)&gt;0,1,0)</f>
        <v>0</v>
      </c>
      <c r="L3105" s="16">
        <f>IF(COUNTIFS(Release_Calendar!$A$2:$A$755,"US_NFP",Release_Calendar!$B$2:$B$755,$A3105)&gt;0,1,0)</f>
        <v>0</v>
      </c>
      <c r="M3105" s="16" t="str">
        <f>IF($A3105&lt;Notes!$B$5,"",IF(COUNTIFS(Release_Calendar!$A$2:$A$755,"NZ_CPI",Release_Calendar!$B$2:$B$755,$A3105)&gt;0,1,0))</f>
        <v/>
      </c>
      <c r="N3105" s="16" t="str">
        <f>IF($A3105&lt;Notes!$B$5,"",IF(COUNTIFS(Release_Calendar!$A$2:$A$755,"NZ_GDP",Release_Calendar!$B$2:$B$755,$A3105)&gt;0,1,0))</f>
        <v/>
      </c>
      <c r="O3105" s="16" t="str">
        <f>IF($A3105&lt;Notes!$B$5,"",IF(COUNTIFS(Release_Calendar!$A$2:$A$755,"NZ_LABOUR",Release_Calendar!$B$2:$B$755,$A3105)&gt;0,1,0))</f>
        <v/>
      </c>
      <c r="P3105" s="16">
        <f t="shared" si="4"/>
        <v>0</v>
      </c>
    </row>
    <row r="3106" ht="15.75" customHeight="1">
      <c r="A3106" s="14">
        <v>40872.0</v>
      </c>
      <c r="B3106" s="15">
        <v>0.28</v>
      </c>
      <c r="C3106" s="15">
        <v>2.66</v>
      </c>
      <c r="D3106" s="15">
        <v>2.44</v>
      </c>
      <c r="E3106" s="15">
        <v>2.42</v>
      </c>
      <c r="F3106" s="15">
        <f t="shared" si="1"/>
        <v>2.38</v>
      </c>
      <c r="G3106" s="15">
        <f t="shared" si="2"/>
        <v>2.66</v>
      </c>
      <c r="H3106" s="16">
        <v>0.0</v>
      </c>
      <c r="I3106" s="15">
        <f t="shared" si="3"/>
        <v>2.38</v>
      </c>
      <c r="J3106" s="15">
        <v>34.47</v>
      </c>
      <c r="K3106" s="16">
        <f>IF(COUNTIFS(Release_Calendar!$A$2:$A$755,"US_CPI",Release_Calendar!$B$2:$B$755,$A3106)&gt;0,1,0)</f>
        <v>0</v>
      </c>
      <c r="L3106" s="16">
        <f>IF(COUNTIFS(Release_Calendar!$A$2:$A$755,"US_NFP",Release_Calendar!$B$2:$B$755,$A3106)&gt;0,1,0)</f>
        <v>0</v>
      </c>
      <c r="M3106" s="16" t="str">
        <f>IF($A3106&lt;Notes!$B$5,"",IF(COUNTIFS(Release_Calendar!$A$2:$A$755,"NZ_CPI",Release_Calendar!$B$2:$B$755,$A3106)&gt;0,1,0))</f>
        <v/>
      </c>
      <c r="N3106" s="16" t="str">
        <f>IF($A3106&lt;Notes!$B$5,"",IF(COUNTIFS(Release_Calendar!$A$2:$A$755,"NZ_GDP",Release_Calendar!$B$2:$B$755,$A3106)&gt;0,1,0))</f>
        <v/>
      </c>
      <c r="O3106" s="16" t="str">
        <f>IF($A3106&lt;Notes!$B$5,"",IF(COUNTIFS(Release_Calendar!$A$2:$A$755,"NZ_LABOUR",Release_Calendar!$B$2:$B$755,$A3106)&gt;0,1,0))</f>
        <v/>
      </c>
      <c r="P3106" s="16">
        <f t="shared" si="4"/>
        <v>0</v>
      </c>
    </row>
    <row r="3107" ht="15.75" customHeight="1">
      <c r="A3107" s="14">
        <v>40875.0</v>
      </c>
      <c r="B3107" s="15">
        <v>0.26</v>
      </c>
      <c r="C3107" s="15">
        <v>2.72</v>
      </c>
      <c r="D3107" s="15">
        <v>2.47</v>
      </c>
      <c r="E3107" s="15">
        <v>2.47</v>
      </c>
      <c r="F3107" s="15">
        <f t="shared" si="1"/>
        <v>2.46</v>
      </c>
      <c r="G3107" s="15">
        <f t="shared" si="2"/>
        <v>2.72</v>
      </c>
      <c r="H3107" s="16">
        <v>0.0</v>
      </c>
      <c r="I3107" s="15">
        <f t="shared" si="3"/>
        <v>2.46</v>
      </c>
      <c r="J3107" s="15">
        <v>32.13</v>
      </c>
      <c r="K3107" s="16">
        <f>IF(COUNTIFS(Release_Calendar!$A$2:$A$755,"US_CPI",Release_Calendar!$B$2:$B$755,$A3107)&gt;0,1,0)</f>
        <v>0</v>
      </c>
      <c r="L3107" s="16">
        <f>IF(COUNTIFS(Release_Calendar!$A$2:$A$755,"US_NFP",Release_Calendar!$B$2:$B$755,$A3107)&gt;0,1,0)</f>
        <v>0</v>
      </c>
      <c r="M3107" s="16" t="str">
        <f>IF($A3107&lt;Notes!$B$5,"",IF(COUNTIFS(Release_Calendar!$A$2:$A$755,"NZ_CPI",Release_Calendar!$B$2:$B$755,$A3107)&gt;0,1,0))</f>
        <v/>
      </c>
      <c r="N3107" s="16" t="str">
        <f>IF($A3107&lt;Notes!$B$5,"",IF(COUNTIFS(Release_Calendar!$A$2:$A$755,"NZ_GDP",Release_Calendar!$B$2:$B$755,$A3107)&gt;0,1,0))</f>
        <v/>
      </c>
      <c r="O3107" s="16" t="str">
        <f>IF($A3107&lt;Notes!$B$5,"",IF(COUNTIFS(Release_Calendar!$A$2:$A$755,"NZ_LABOUR",Release_Calendar!$B$2:$B$755,$A3107)&gt;0,1,0))</f>
        <v/>
      </c>
      <c r="P3107" s="16">
        <f t="shared" si="4"/>
        <v>0</v>
      </c>
    </row>
    <row r="3108" ht="15.75" customHeight="1">
      <c r="A3108" s="14">
        <v>40876.0</v>
      </c>
      <c r="B3108" s="15">
        <v>0.27</v>
      </c>
      <c r="C3108" s="15">
        <v>2.79</v>
      </c>
      <c r="D3108" s="15">
        <v>2.48</v>
      </c>
      <c r="E3108" s="15">
        <v>2.49</v>
      </c>
      <c r="F3108" s="15">
        <f t="shared" si="1"/>
        <v>2.52</v>
      </c>
      <c r="G3108" s="15">
        <f t="shared" si="2"/>
        <v>2.79</v>
      </c>
      <c r="H3108" s="16">
        <v>0.0</v>
      </c>
      <c r="I3108" s="15">
        <f t="shared" si="3"/>
        <v>2.52</v>
      </c>
      <c r="J3108" s="15">
        <v>30.64</v>
      </c>
      <c r="K3108" s="16">
        <f>IF(COUNTIFS(Release_Calendar!$A$2:$A$755,"US_CPI",Release_Calendar!$B$2:$B$755,$A3108)&gt;0,1,0)</f>
        <v>0</v>
      </c>
      <c r="L3108" s="16">
        <f>IF(COUNTIFS(Release_Calendar!$A$2:$A$755,"US_NFP",Release_Calendar!$B$2:$B$755,$A3108)&gt;0,1,0)</f>
        <v>0</v>
      </c>
      <c r="M3108" s="16" t="str">
        <f>IF($A3108&lt;Notes!$B$5,"",IF(COUNTIFS(Release_Calendar!$A$2:$A$755,"NZ_CPI",Release_Calendar!$B$2:$B$755,$A3108)&gt;0,1,0))</f>
        <v/>
      </c>
      <c r="N3108" s="16" t="str">
        <f>IF($A3108&lt;Notes!$B$5,"",IF(COUNTIFS(Release_Calendar!$A$2:$A$755,"NZ_GDP",Release_Calendar!$B$2:$B$755,$A3108)&gt;0,1,0))</f>
        <v/>
      </c>
      <c r="O3108" s="16" t="str">
        <f>IF($A3108&lt;Notes!$B$5,"",IF(COUNTIFS(Release_Calendar!$A$2:$A$755,"NZ_LABOUR",Release_Calendar!$B$2:$B$755,$A3108)&gt;0,1,0))</f>
        <v/>
      </c>
      <c r="P3108" s="16">
        <f t="shared" si="4"/>
        <v>0</v>
      </c>
    </row>
    <row r="3109" ht="15.75" customHeight="1">
      <c r="A3109" s="14">
        <v>40877.0</v>
      </c>
      <c r="B3109" s="15">
        <v>0.25</v>
      </c>
      <c r="C3109" s="15">
        <v>2.8</v>
      </c>
      <c r="D3109" s="15">
        <v>2.53</v>
      </c>
      <c r="E3109" s="15">
        <v>2.51</v>
      </c>
      <c r="F3109" s="15">
        <f t="shared" si="1"/>
        <v>2.55</v>
      </c>
      <c r="G3109" s="15">
        <f t="shared" si="2"/>
        <v>2.8</v>
      </c>
      <c r="H3109" s="16">
        <v>0.0</v>
      </c>
      <c r="I3109" s="15">
        <f t="shared" si="3"/>
        <v>2.55</v>
      </c>
      <c r="J3109" s="15">
        <v>27.8</v>
      </c>
      <c r="K3109" s="16">
        <f>IF(COUNTIFS(Release_Calendar!$A$2:$A$755,"US_CPI",Release_Calendar!$B$2:$B$755,$A3109)&gt;0,1,0)</f>
        <v>0</v>
      </c>
      <c r="L3109" s="16">
        <f>IF(COUNTIFS(Release_Calendar!$A$2:$A$755,"US_NFP",Release_Calendar!$B$2:$B$755,$A3109)&gt;0,1,0)</f>
        <v>0</v>
      </c>
      <c r="M3109" s="16" t="str">
        <f>IF($A3109&lt;Notes!$B$5,"",IF(COUNTIFS(Release_Calendar!$A$2:$A$755,"NZ_CPI",Release_Calendar!$B$2:$B$755,$A3109)&gt;0,1,0))</f>
        <v/>
      </c>
      <c r="N3109" s="16" t="str">
        <f>IF($A3109&lt;Notes!$B$5,"",IF(COUNTIFS(Release_Calendar!$A$2:$A$755,"NZ_GDP",Release_Calendar!$B$2:$B$755,$A3109)&gt;0,1,0))</f>
        <v/>
      </c>
      <c r="O3109" s="16" t="str">
        <f>IF($A3109&lt;Notes!$B$5,"",IF(COUNTIFS(Release_Calendar!$A$2:$A$755,"NZ_LABOUR",Release_Calendar!$B$2:$B$755,$A3109)&gt;0,1,0))</f>
        <v/>
      </c>
      <c r="P3109" s="16">
        <f t="shared" si="4"/>
        <v>0</v>
      </c>
    </row>
    <row r="3110" ht="15.75" customHeight="1">
      <c r="A3110" s="14">
        <v>40878.0</v>
      </c>
      <c r="B3110" s="15">
        <v>0.27</v>
      </c>
      <c r="C3110" s="15">
        <v>2.86</v>
      </c>
      <c r="D3110" s="15">
        <v>2.57</v>
      </c>
      <c r="E3110" s="15">
        <v>2.55</v>
      </c>
      <c r="F3110" s="15">
        <f t="shared" si="1"/>
        <v>2.59</v>
      </c>
      <c r="G3110" s="15">
        <f t="shared" si="2"/>
        <v>2.86</v>
      </c>
      <c r="H3110" s="16">
        <v>0.0</v>
      </c>
      <c r="I3110" s="15">
        <f t="shared" si="3"/>
        <v>2.59</v>
      </c>
      <c r="J3110" s="15">
        <v>27.41</v>
      </c>
      <c r="K3110" s="16">
        <f>IF(COUNTIFS(Release_Calendar!$A$2:$A$755,"US_CPI",Release_Calendar!$B$2:$B$755,$A3110)&gt;0,1,0)</f>
        <v>0</v>
      </c>
      <c r="L3110" s="16">
        <f>IF(COUNTIFS(Release_Calendar!$A$2:$A$755,"US_NFP",Release_Calendar!$B$2:$B$755,$A3110)&gt;0,1,0)</f>
        <v>0</v>
      </c>
      <c r="M3110" s="16" t="str">
        <f>IF($A3110&lt;Notes!$B$5,"",IF(COUNTIFS(Release_Calendar!$A$2:$A$755,"NZ_CPI",Release_Calendar!$B$2:$B$755,$A3110)&gt;0,1,0))</f>
        <v/>
      </c>
      <c r="N3110" s="16" t="str">
        <f>IF($A3110&lt;Notes!$B$5,"",IF(COUNTIFS(Release_Calendar!$A$2:$A$755,"NZ_GDP",Release_Calendar!$B$2:$B$755,$A3110)&gt;0,1,0))</f>
        <v/>
      </c>
      <c r="O3110" s="16" t="str">
        <f>IF($A3110&lt;Notes!$B$5,"",IF(COUNTIFS(Release_Calendar!$A$2:$A$755,"NZ_LABOUR",Release_Calendar!$B$2:$B$755,$A3110)&gt;0,1,0))</f>
        <v/>
      </c>
      <c r="P3110" s="16">
        <f t="shared" si="4"/>
        <v>0</v>
      </c>
    </row>
    <row r="3111" ht="15.75" customHeight="1">
      <c r="A3111" s="14">
        <v>40879.0</v>
      </c>
      <c r="B3111" s="15">
        <v>0.25</v>
      </c>
      <c r="C3111" s="15">
        <v>2.88</v>
      </c>
      <c r="D3111" s="15">
        <v>2.56</v>
      </c>
      <c r="E3111" s="15">
        <v>2.55</v>
      </c>
      <c r="F3111" s="15">
        <f t="shared" si="1"/>
        <v>2.63</v>
      </c>
      <c r="G3111" s="15">
        <f t="shared" si="2"/>
        <v>2.88</v>
      </c>
      <c r="H3111" s="16">
        <v>0.0</v>
      </c>
      <c r="I3111" s="15">
        <f t="shared" si="3"/>
        <v>2.63</v>
      </c>
      <c r="J3111" s="15">
        <v>27.52</v>
      </c>
      <c r="K3111" s="16">
        <f>IF(COUNTIFS(Release_Calendar!$A$2:$A$755,"US_CPI",Release_Calendar!$B$2:$B$755,$A3111)&gt;0,1,0)</f>
        <v>0</v>
      </c>
      <c r="L3111" s="16">
        <f>IF(COUNTIFS(Release_Calendar!$A$2:$A$755,"US_NFP",Release_Calendar!$B$2:$B$755,$A3111)&gt;0,1,0)</f>
        <v>1</v>
      </c>
      <c r="M3111" s="16" t="str">
        <f>IF($A3111&lt;Notes!$B$5,"",IF(COUNTIFS(Release_Calendar!$A$2:$A$755,"NZ_CPI",Release_Calendar!$B$2:$B$755,$A3111)&gt;0,1,0))</f>
        <v/>
      </c>
      <c r="N3111" s="16" t="str">
        <f>IF($A3111&lt;Notes!$B$5,"",IF(COUNTIFS(Release_Calendar!$A$2:$A$755,"NZ_GDP",Release_Calendar!$B$2:$B$755,$A3111)&gt;0,1,0))</f>
        <v/>
      </c>
      <c r="O3111" s="16" t="str">
        <f>IF($A3111&lt;Notes!$B$5,"",IF(COUNTIFS(Release_Calendar!$A$2:$A$755,"NZ_LABOUR",Release_Calendar!$B$2:$B$755,$A3111)&gt;0,1,0))</f>
        <v/>
      </c>
      <c r="P3111" s="16">
        <f t="shared" si="4"/>
        <v>1</v>
      </c>
    </row>
    <row r="3112" ht="15.75" customHeight="1">
      <c r="A3112" s="14">
        <v>40882.0</v>
      </c>
      <c r="B3112" s="15">
        <v>0.27</v>
      </c>
      <c r="C3112" s="15">
        <v>2.87</v>
      </c>
      <c r="D3112" s="15">
        <v>2.55</v>
      </c>
      <c r="E3112" s="15">
        <v>2.53</v>
      </c>
      <c r="F3112" s="15">
        <f t="shared" si="1"/>
        <v>2.6</v>
      </c>
      <c r="G3112" s="15">
        <f t="shared" si="2"/>
        <v>2.87</v>
      </c>
      <c r="H3112" s="16">
        <v>0.0</v>
      </c>
      <c r="I3112" s="15">
        <f t="shared" si="3"/>
        <v>2.6</v>
      </c>
      <c r="J3112" s="15">
        <v>27.84</v>
      </c>
      <c r="K3112" s="16">
        <f>IF(COUNTIFS(Release_Calendar!$A$2:$A$755,"US_CPI",Release_Calendar!$B$2:$B$755,$A3112)&gt;0,1,0)</f>
        <v>0</v>
      </c>
      <c r="L3112" s="16">
        <f>IF(COUNTIFS(Release_Calendar!$A$2:$A$755,"US_NFP",Release_Calendar!$B$2:$B$755,$A3112)&gt;0,1,0)</f>
        <v>0</v>
      </c>
      <c r="M3112" s="16" t="str">
        <f>IF($A3112&lt;Notes!$B$5,"",IF(COUNTIFS(Release_Calendar!$A$2:$A$755,"NZ_CPI",Release_Calendar!$B$2:$B$755,$A3112)&gt;0,1,0))</f>
        <v/>
      </c>
      <c r="N3112" s="16" t="str">
        <f>IF($A3112&lt;Notes!$B$5,"",IF(COUNTIFS(Release_Calendar!$A$2:$A$755,"NZ_GDP",Release_Calendar!$B$2:$B$755,$A3112)&gt;0,1,0))</f>
        <v/>
      </c>
      <c r="O3112" s="16" t="str">
        <f>IF($A3112&lt;Notes!$B$5,"",IF(COUNTIFS(Release_Calendar!$A$2:$A$755,"NZ_LABOUR",Release_Calendar!$B$2:$B$755,$A3112)&gt;0,1,0))</f>
        <v/>
      </c>
      <c r="P3112" s="16">
        <f t="shared" si="4"/>
        <v>0</v>
      </c>
    </row>
    <row r="3113" ht="15.75" customHeight="1">
      <c r="A3113" s="14">
        <v>40883.0</v>
      </c>
      <c r="B3113" s="15">
        <v>0.25</v>
      </c>
      <c r="C3113" s="15">
        <v>2.84</v>
      </c>
      <c r="D3113" s="15">
        <v>2.5</v>
      </c>
      <c r="E3113" s="15">
        <v>2.52</v>
      </c>
      <c r="F3113" s="15">
        <f t="shared" si="1"/>
        <v>2.59</v>
      </c>
      <c r="G3113" s="15">
        <f t="shared" si="2"/>
        <v>2.84</v>
      </c>
      <c r="H3113" s="16">
        <v>0.0</v>
      </c>
      <c r="I3113" s="15">
        <f t="shared" si="3"/>
        <v>2.59</v>
      </c>
      <c r="J3113" s="15">
        <v>28.13</v>
      </c>
      <c r="K3113" s="16">
        <f>IF(COUNTIFS(Release_Calendar!$A$2:$A$755,"US_CPI",Release_Calendar!$B$2:$B$755,$A3113)&gt;0,1,0)</f>
        <v>0</v>
      </c>
      <c r="L3113" s="16">
        <f>IF(COUNTIFS(Release_Calendar!$A$2:$A$755,"US_NFP",Release_Calendar!$B$2:$B$755,$A3113)&gt;0,1,0)</f>
        <v>0</v>
      </c>
      <c r="M3113" s="16" t="str">
        <f>IF($A3113&lt;Notes!$B$5,"",IF(COUNTIFS(Release_Calendar!$A$2:$A$755,"NZ_CPI",Release_Calendar!$B$2:$B$755,$A3113)&gt;0,1,0))</f>
        <v/>
      </c>
      <c r="N3113" s="16" t="str">
        <f>IF($A3113&lt;Notes!$B$5,"",IF(COUNTIFS(Release_Calendar!$A$2:$A$755,"NZ_GDP",Release_Calendar!$B$2:$B$755,$A3113)&gt;0,1,0))</f>
        <v/>
      </c>
      <c r="O3113" s="16" t="str">
        <f>IF($A3113&lt;Notes!$B$5,"",IF(COUNTIFS(Release_Calendar!$A$2:$A$755,"NZ_LABOUR",Release_Calendar!$B$2:$B$755,$A3113)&gt;0,1,0))</f>
        <v/>
      </c>
      <c r="P3113" s="16">
        <f t="shared" si="4"/>
        <v>0</v>
      </c>
    </row>
    <row r="3114" ht="15.75" customHeight="1">
      <c r="A3114" s="14">
        <v>40884.0</v>
      </c>
      <c r="B3114" s="15">
        <v>0.24</v>
      </c>
      <c r="C3114" s="15">
        <v>2.8</v>
      </c>
      <c r="D3114" s="15">
        <v>2.49</v>
      </c>
      <c r="E3114" s="15">
        <v>2.48</v>
      </c>
      <c r="F3114" s="15">
        <f t="shared" si="1"/>
        <v>2.56</v>
      </c>
      <c r="G3114" s="15">
        <f t="shared" si="2"/>
        <v>2.8</v>
      </c>
      <c r="H3114" s="16">
        <v>0.0</v>
      </c>
      <c r="I3114" s="15">
        <f t="shared" si="3"/>
        <v>2.56</v>
      </c>
      <c r="J3114" s="15">
        <v>28.67</v>
      </c>
      <c r="K3114" s="16">
        <f>IF(COUNTIFS(Release_Calendar!$A$2:$A$755,"US_CPI",Release_Calendar!$B$2:$B$755,$A3114)&gt;0,1,0)</f>
        <v>0</v>
      </c>
      <c r="L3114" s="16">
        <f>IF(COUNTIFS(Release_Calendar!$A$2:$A$755,"US_NFP",Release_Calendar!$B$2:$B$755,$A3114)&gt;0,1,0)</f>
        <v>0</v>
      </c>
      <c r="M3114" s="16" t="str">
        <f>IF($A3114&lt;Notes!$B$5,"",IF(COUNTIFS(Release_Calendar!$A$2:$A$755,"NZ_CPI",Release_Calendar!$B$2:$B$755,$A3114)&gt;0,1,0))</f>
        <v/>
      </c>
      <c r="N3114" s="16" t="str">
        <f>IF($A3114&lt;Notes!$B$5,"",IF(COUNTIFS(Release_Calendar!$A$2:$A$755,"NZ_GDP",Release_Calendar!$B$2:$B$755,$A3114)&gt;0,1,0))</f>
        <v/>
      </c>
      <c r="O3114" s="16" t="str">
        <f>IF($A3114&lt;Notes!$B$5,"",IF(COUNTIFS(Release_Calendar!$A$2:$A$755,"NZ_LABOUR",Release_Calendar!$B$2:$B$755,$A3114)&gt;0,1,0))</f>
        <v/>
      </c>
      <c r="P3114" s="16">
        <f t="shared" si="4"/>
        <v>0</v>
      </c>
    </row>
    <row r="3115" ht="15.75" customHeight="1">
      <c r="A3115" s="14">
        <v>40885.0</v>
      </c>
      <c r="B3115" s="15">
        <v>0.22</v>
      </c>
      <c r="C3115" s="15">
        <v>2.77</v>
      </c>
      <c r="D3115" s="15">
        <v>2.46</v>
      </c>
      <c r="E3115" s="15">
        <v>2.45</v>
      </c>
      <c r="F3115" s="15">
        <f t="shared" si="1"/>
        <v>2.55</v>
      </c>
      <c r="G3115" s="15">
        <f t="shared" si="2"/>
        <v>2.77</v>
      </c>
      <c r="H3115" s="16">
        <v>0.0</v>
      </c>
      <c r="I3115" s="15">
        <f t="shared" si="3"/>
        <v>2.55</v>
      </c>
      <c r="J3115" s="15">
        <v>30.59</v>
      </c>
      <c r="K3115" s="16">
        <f>IF(COUNTIFS(Release_Calendar!$A$2:$A$755,"US_CPI",Release_Calendar!$B$2:$B$755,$A3115)&gt;0,1,0)</f>
        <v>0</v>
      </c>
      <c r="L3115" s="16">
        <f>IF(COUNTIFS(Release_Calendar!$A$2:$A$755,"US_NFP",Release_Calendar!$B$2:$B$755,$A3115)&gt;0,1,0)</f>
        <v>0</v>
      </c>
      <c r="M3115" s="16" t="str">
        <f>IF($A3115&lt;Notes!$B$5,"",IF(COUNTIFS(Release_Calendar!$A$2:$A$755,"NZ_CPI",Release_Calendar!$B$2:$B$755,$A3115)&gt;0,1,0))</f>
        <v/>
      </c>
      <c r="N3115" s="16" t="str">
        <f>IF($A3115&lt;Notes!$B$5,"",IF(COUNTIFS(Release_Calendar!$A$2:$A$755,"NZ_GDP",Release_Calendar!$B$2:$B$755,$A3115)&gt;0,1,0))</f>
        <v/>
      </c>
      <c r="O3115" s="16" t="str">
        <f>IF($A3115&lt;Notes!$B$5,"",IF(COUNTIFS(Release_Calendar!$A$2:$A$755,"NZ_LABOUR",Release_Calendar!$B$2:$B$755,$A3115)&gt;0,1,0))</f>
        <v/>
      </c>
      <c r="P3115" s="16">
        <f t="shared" si="4"/>
        <v>0</v>
      </c>
    </row>
    <row r="3116" ht="15.75" customHeight="1">
      <c r="A3116" s="14">
        <v>40886.0</v>
      </c>
      <c r="B3116" s="15">
        <v>0.22</v>
      </c>
      <c r="C3116" s="15">
        <v>2.75</v>
      </c>
      <c r="D3116" s="15">
        <v>2.42</v>
      </c>
      <c r="E3116" s="15">
        <v>2.42</v>
      </c>
      <c r="F3116" s="15">
        <f t="shared" si="1"/>
        <v>2.53</v>
      </c>
      <c r="G3116" s="15">
        <f t="shared" si="2"/>
        <v>2.75</v>
      </c>
      <c r="H3116" s="16">
        <v>0.0</v>
      </c>
      <c r="I3116" s="15">
        <f t="shared" si="3"/>
        <v>2.53</v>
      </c>
      <c r="J3116" s="15">
        <v>26.38</v>
      </c>
      <c r="K3116" s="16">
        <f>IF(COUNTIFS(Release_Calendar!$A$2:$A$755,"US_CPI",Release_Calendar!$B$2:$B$755,$A3116)&gt;0,1,0)</f>
        <v>0</v>
      </c>
      <c r="L3116" s="16">
        <f>IF(COUNTIFS(Release_Calendar!$A$2:$A$755,"US_NFP",Release_Calendar!$B$2:$B$755,$A3116)&gt;0,1,0)</f>
        <v>0</v>
      </c>
      <c r="M3116" s="16" t="str">
        <f>IF($A3116&lt;Notes!$B$5,"",IF(COUNTIFS(Release_Calendar!$A$2:$A$755,"NZ_CPI",Release_Calendar!$B$2:$B$755,$A3116)&gt;0,1,0))</f>
        <v/>
      </c>
      <c r="N3116" s="16" t="str">
        <f>IF($A3116&lt;Notes!$B$5,"",IF(COUNTIFS(Release_Calendar!$A$2:$A$755,"NZ_GDP",Release_Calendar!$B$2:$B$755,$A3116)&gt;0,1,0))</f>
        <v/>
      </c>
      <c r="O3116" s="16" t="str">
        <f>IF($A3116&lt;Notes!$B$5,"",IF(COUNTIFS(Release_Calendar!$A$2:$A$755,"NZ_LABOUR",Release_Calendar!$B$2:$B$755,$A3116)&gt;0,1,0))</f>
        <v/>
      </c>
      <c r="P3116" s="16">
        <f t="shared" si="4"/>
        <v>0</v>
      </c>
    </row>
    <row r="3117" ht="15.75" customHeight="1">
      <c r="A3117" s="14">
        <v>40889.0</v>
      </c>
      <c r="B3117" s="15">
        <v>0.24</v>
      </c>
      <c r="C3117" s="15">
        <v>2.76</v>
      </c>
      <c r="D3117" s="15">
        <v>2.43</v>
      </c>
      <c r="E3117" s="15">
        <v>2.43</v>
      </c>
      <c r="F3117" s="15">
        <f t="shared" si="1"/>
        <v>2.52</v>
      </c>
      <c r="G3117" s="15">
        <f t="shared" si="2"/>
        <v>2.76</v>
      </c>
      <c r="H3117" s="16">
        <v>0.0</v>
      </c>
      <c r="I3117" s="15">
        <f t="shared" si="3"/>
        <v>2.52</v>
      </c>
      <c r="J3117" s="15">
        <v>25.67</v>
      </c>
      <c r="K3117" s="16">
        <f>IF(COUNTIFS(Release_Calendar!$A$2:$A$755,"US_CPI",Release_Calendar!$B$2:$B$755,$A3117)&gt;0,1,0)</f>
        <v>0</v>
      </c>
      <c r="L3117" s="16">
        <f>IF(COUNTIFS(Release_Calendar!$A$2:$A$755,"US_NFP",Release_Calendar!$B$2:$B$755,$A3117)&gt;0,1,0)</f>
        <v>0</v>
      </c>
      <c r="M3117" s="16" t="str">
        <f>IF($A3117&lt;Notes!$B$5,"",IF(COUNTIFS(Release_Calendar!$A$2:$A$755,"NZ_CPI",Release_Calendar!$B$2:$B$755,$A3117)&gt;0,1,0))</f>
        <v/>
      </c>
      <c r="N3117" s="16" t="str">
        <f>IF($A3117&lt;Notes!$B$5,"",IF(COUNTIFS(Release_Calendar!$A$2:$A$755,"NZ_GDP",Release_Calendar!$B$2:$B$755,$A3117)&gt;0,1,0))</f>
        <v/>
      </c>
      <c r="O3117" s="16" t="str">
        <f>IF($A3117&lt;Notes!$B$5,"",IF(COUNTIFS(Release_Calendar!$A$2:$A$755,"NZ_LABOUR",Release_Calendar!$B$2:$B$755,$A3117)&gt;0,1,0))</f>
        <v/>
      </c>
      <c r="P3117" s="16">
        <f t="shared" si="4"/>
        <v>0</v>
      </c>
    </row>
    <row r="3118" ht="15.75" customHeight="1">
      <c r="A3118" s="14">
        <v>40890.0</v>
      </c>
      <c r="B3118" s="15">
        <v>0.24</v>
      </c>
      <c r="C3118" s="15">
        <v>2.73</v>
      </c>
      <c r="D3118" s="15">
        <v>2.42</v>
      </c>
      <c r="E3118" s="15">
        <v>2.42</v>
      </c>
      <c r="F3118" s="15">
        <f t="shared" si="1"/>
        <v>2.49</v>
      </c>
      <c r="G3118" s="15">
        <f t="shared" si="2"/>
        <v>2.73</v>
      </c>
      <c r="H3118" s="16">
        <v>0.0</v>
      </c>
      <c r="I3118" s="15">
        <f t="shared" si="3"/>
        <v>2.49</v>
      </c>
      <c r="J3118" s="15">
        <v>25.41</v>
      </c>
      <c r="K3118" s="16">
        <f>IF(COUNTIFS(Release_Calendar!$A$2:$A$755,"US_CPI",Release_Calendar!$B$2:$B$755,$A3118)&gt;0,1,0)</f>
        <v>0</v>
      </c>
      <c r="L3118" s="16">
        <f>IF(COUNTIFS(Release_Calendar!$A$2:$A$755,"US_NFP",Release_Calendar!$B$2:$B$755,$A3118)&gt;0,1,0)</f>
        <v>0</v>
      </c>
      <c r="M3118" s="16" t="str">
        <f>IF($A3118&lt;Notes!$B$5,"",IF(COUNTIFS(Release_Calendar!$A$2:$A$755,"NZ_CPI",Release_Calendar!$B$2:$B$755,$A3118)&gt;0,1,0))</f>
        <v/>
      </c>
      <c r="N3118" s="16" t="str">
        <f>IF($A3118&lt;Notes!$B$5,"",IF(COUNTIFS(Release_Calendar!$A$2:$A$755,"NZ_GDP",Release_Calendar!$B$2:$B$755,$A3118)&gt;0,1,0))</f>
        <v/>
      </c>
      <c r="O3118" s="16" t="str">
        <f>IF($A3118&lt;Notes!$B$5,"",IF(COUNTIFS(Release_Calendar!$A$2:$A$755,"NZ_LABOUR",Release_Calendar!$B$2:$B$755,$A3118)&gt;0,1,0))</f>
        <v/>
      </c>
      <c r="P3118" s="16">
        <f t="shared" si="4"/>
        <v>0</v>
      </c>
    </row>
    <row r="3119" ht="15.75" customHeight="1">
      <c r="A3119" s="14">
        <v>40891.0</v>
      </c>
      <c r="B3119" s="15">
        <v>0.25</v>
      </c>
      <c r="C3119" s="15">
        <v>2.71</v>
      </c>
      <c r="D3119" s="15">
        <v>2.42</v>
      </c>
      <c r="E3119" s="15">
        <v>2.42</v>
      </c>
      <c r="F3119" s="15">
        <f t="shared" si="1"/>
        <v>2.46</v>
      </c>
      <c r="G3119" s="15">
        <f t="shared" si="2"/>
        <v>2.71</v>
      </c>
      <c r="H3119" s="16">
        <v>0.0</v>
      </c>
      <c r="I3119" s="15">
        <f t="shared" si="3"/>
        <v>2.46</v>
      </c>
      <c r="J3119" s="15">
        <v>26.04</v>
      </c>
      <c r="K3119" s="16">
        <f>IF(COUNTIFS(Release_Calendar!$A$2:$A$755,"US_CPI",Release_Calendar!$B$2:$B$755,$A3119)&gt;0,1,0)</f>
        <v>0</v>
      </c>
      <c r="L3119" s="16">
        <f>IF(COUNTIFS(Release_Calendar!$A$2:$A$755,"US_NFP",Release_Calendar!$B$2:$B$755,$A3119)&gt;0,1,0)</f>
        <v>0</v>
      </c>
      <c r="M3119" s="16" t="str">
        <f>IF($A3119&lt;Notes!$B$5,"",IF(COUNTIFS(Release_Calendar!$A$2:$A$755,"NZ_CPI",Release_Calendar!$B$2:$B$755,$A3119)&gt;0,1,0))</f>
        <v/>
      </c>
      <c r="N3119" s="16" t="str">
        <f>IF($A3119&lt;Notes!$B$5,"",IF(COUNTIFS(Release_Calendar!$A$2:$A$755,"NZ_GDP",Release_Calendar!$B$2:$B$755,$A3119)&gt;0,1,0))</f>
        <v/>
      </c>
      <c r="O3119" s="16" t="str">
        <f>IF($A3119&lt;Notes!$B$5,"",IF(COUNTIFS(Release_Calendar!$A$2:$A$755,"NZ_LABOUR",Release_Calendar!$B$2:$B$755,$A3119)&gt;0,1,0))</f>
        <v/>
      </c>
      <c r="P3119" s="16">
        <f t="shared" si="4"/>
        <v>0</v>
      </c>
    </row>
    <row r="3120" ht="15.75" customHeight="1">
      <c r="A3120" s="14">
        <v>40892.0</v>
      </c>
      <c r="B3120" s="15">
        <v>0.26</v>
      </c>
      <c r="C3120" s="15">
        <v>2.63</v>
      </c>
      <c r="D3120" s="15">
        <v>2.4</v>
      </c>
      <c r="E3120" s="15">
        <v>2.39</v>
      </c>
      <c r="F3120" s="15">
        <f t="shared" si="1"/>
        <v>2.37</v>
      </c>
      <c r="G3120" s="15">
        <f t="shared" si="2"/>
        <v>2.63</v>
      </c>
      <c r="H3120" s="16">
        <v>0.0</v>
      </c>
      <c r="I3120" s="15">
        <f t="shared" si="3"/>
        <v>2.37</v>
      </c>
      <c r="J3120" s="15">
        <v>25.11</v>
      </c>
      <c r="K3120" s="16">
        <f>IF(COUNTIFS(Release_Calendar!$A$2:$A$755,"US_CPI",Release_Calendar!$B$2:$B$755,$A3120)&gt;0,1,0)</f>
        <v>0</v>
      </c>
      <c r="L3120" s="16">
        <f>IF(COUNTIFS(Release_Calendar!$A$2:$A$755,"US_NFP",Release_Calendar!$B$2:$B$755,$A3120)&gt;0,1,0)</f>
        <v>0</v>
      </c>
      <c r="M3120" s="16" t="str">
        <f>IF($A3120&lt;Notes!$B$5,"",IF(COUNTIFS(Release_Calendar!$A$2:$A$755,"NZ_CPI",Release_Calendar!$B$2:$B$755,$A3120)&gt;0,1,0))</f>
        <v/>
      </c>
      <c r="N3120" s="16" t="str">
        <f>IF($A3120&lt;Notes!$B$5,"",IF(COUNTIFS(Release_Calendar!$A$2:$A$755,"NZ_GDP",Release_Calendar!$B$2:$B$755,$A3120)&gt;0,1,0))</f>
        <v/>
      </c>
      <c r="O3120" s="16" t="str">
        <f>IF($A3120&lt;Notes!$B$5,"",IF(COUNTIFS(Release_Calendar!$A$2:$A$755,"NZ_LABOUR",Release_Calendar!$B$2:$B$755,$A3120)&gt;0,1,0))</f>
        <v/>
      </c>
      <c r="P3120" s="16">
        <f t="shared" si="4"/>
        <v>0</v>
      </c>
    </row>
    <row r="3121" ht="15.75" customHeight="1">
      <c r="A3121" s="14">
        <v>40893.0</v>
      </c>
      <c r="B3121" s="15">
        <v>0.24</v>
      </c>
      <c r="C3121" s="15">
        <v>2.69</v>
      </c>
      <c r="D3121" s="15">
        <v>2.43</v>
      </c>
      <c r="E3121" s="15">
        <v>2.43</v>
      </c>
      <c r="F3121" s="15">
        <f t="shared" si="1"/>
        <v>2.45</v>
      </c>
      <c r="G3121" s="15">
        <f t="shared" si="2"/>
        <v>2.69</v>
      </c>
      <c r="H3121" s="16">
        <v>0.0</v>
      </c>
      <c r="I3121" s="15">
        <f t="shared" si="3"/>
        <v>2.45</v>
      </c>
      <c r="J3121" s="15">
        <v>24.29</v>
      </c>
      <c r="K3121" s="16">
        <f>IF(COUNTIFS(Release_Calendar!$A$2:$A$755,"US_CPI",Release_Calendar!$B$2:$B$755,$A3121)&gt;0,1,0)</f>
        <v>1</v>
      </c>
      <c r="L3121" s="16">
        <f>IF(COUNTIFS(Release_Calendar!$A$2:$A$755,"US_NFP",Release_Calendar!$B$2:$B$755,$A3121)&gt;0,1,0)</f>
        <v>0</v>
      </c>
      <c r="M3121" s="16" t="str">
        <f>IF($A3121&lt;Notes!$B$5,"",IF(COUNTIFS(Release_Calendar!$A$2:$A$755,"NZ_CPI",Release_Calendar!$B$2:$B$755,$A3121)&gt;0,1,0))</f>
        <v/>
      </c>
      <c r="N3121" s="16" t="str">
        <f>IF($A3121&lt;Notes!$B$5,"",IF(COUNTIFS(Release_Calendar!$A$2:$A$755,"NZ_GDP",Release_Calendar!$B$2:$B$755,$A3121)&gt;0,1,0))</f>
        <v/>
      </c>
      <c r="O3121" s="16" t="str">
        <f>IF($A3121&lt;Notes!$B$5,"",IF(COUNTIFS(Release_Calendar!$A$2:$A$755,"NZ_LABOUR",Release_Calendar!$B$2:$B$755,$A3121)&gt;0,1,0))</f>
        <v/>
      </c>
      <c r="P3121" s="16">
        <f t="shared" si="4"/>
        <v>1</v>
      </c>
    </row>
    <row r="3122" ht="15.75" customHeight="1">
      <c r="A3122" s="14">
        <v>40896.0</v>
      </c>
      <c r="B3122" s="15">
        <v>0.24</v>
      </c>
      <c r="C3122" s="15">
        <v>2.65</v>
      </c>
      <c r="D3122" s="15">
        <v>2.42</v>
      </c>
      <c r="E3122" s="15">
        <v>2.43</v>
      </c>
      <c r="F3122" s="15">
        <f t="shared" si="1"/>
        <v>2.41</v>
      </c>
      <c r="G3122" s="15">
        <f t="shared" si="2"/>
        <v>2.65</v>
      </c>
      <c r="H3122" s="16">
        <v>0.0</v>
      </c>
      <c r="I3122" s="15">
        <f t="shared" si="3"/>
        <v>2.41</v>
      </c>
      <c r="J3122" s="15">
        <v>24.92</v>
      </c>
      <c r="K3122" s="16">
        <f>IF(COUNTIFS(Release_Calendar!$A$2:$A$755,"US_CPI",Release_Calendar!$B$2:$B$755,$A3122)&gt;0,1,0)</f>
        <v>0</v>
      </c>
      <c r="L3122" s="16">
        <f>IF(COUNTIFS(Release_Calendar!$A$2:$A$755,"US_NFP",Release_Calendar!$B$2:$B$755,$A3122)&gt;0,1,0)</f>
        <v>0</v>
      </c>
      <c r="M3122" s="16" t="str">
        <f>IF($A3122&lt;Notes!$B$5,"",IF(COUNTIFS(Release_Calendar!$A$2:$A$755,"NZ_CPI",Release_Calendar!$B$2:$B$755,$A3122)&gt;0,1,0))</f>
        <v/>
      </c>
      <c r="N3122" s="16" t="str">
        <f>IF($A3122&lt;Notes!$B$5,"",IF(COUNTIFS(Release_Calendar!$A$2:$A$755,"NZ_GDP",Release_Calendar!$B$2:$B$755,$A3122)&gt;0,1,0))</f>
        <v/>
      </c>
      <c r="O3122" s="16" t="str">
        <f>IF($A3122&lt;Notes!$B$5,"",IF(COUNTIFS(Release_Calendar!$A$2:$A$755,"NZ_LABOUR",Release_Calendar!$B$2:$B$755,$A3122)&gt;0,1,0))</f>
        <v/>
      </c>
      <c r="P3122" s="16">
        <f t="shared" si="4"/>
        <v>0</v>
      </c>
    </row>
    <row r="3123" ht="15.75" customHeight="1">
      <c r="A3123" s="14">
        <v>40897.0</v>
      </c>
      <c r="B3123" s="15">
        <v>0.26</v>
      </c>
      <c r="C3123" s="15">
        <v>2.66</v>
      </c>
      <c r="D3123" s="15">
        <v>2.43</v>
      </c>
      <c r="E3123" s="15">
        <v>2.43</v>
      </c>
      <c r="F3123" s="15">
        <f t="shared" si="1"/>
        <v>2.4</v>
      </c>
      <c r="G3123" s="15">
        <f t="shared" si="2"/>
        <v>2.66</v>
      </c>
      <c r="H3123" s="16">
        <v>0.0</v>
      </c>
      <c r="I3123" s="15">
        <f t="shared" si="3"/>
        <v>2.4</v>
      </c>
      <c r="J3123" s="15">
        <v>23.22</v>
      </c>
      <c r="K3123" s="16">
        <f>IF(COUNTIFS(Release_Calendar!$A$2:$A$755,"US_CPI",Release_Calendar!$B$2:$B$755,$A3123)&gt;0,1,0)</f>
        <v>0</v>
      </c>
      <c r="L3123" s="16">
        <f>IF(COUNTIFS(Release_Calendar!$A$2:$A$755,"US_NFP",Release_Calendar!$B$2:$B$755,$A3123)&gt;0,1,0)</f>
        <v>0</v>
      </c>
      <c r="M3123" s="16" t="str">
        <f>IF($A3123&lt;Notes!$B$5,"",IF(COUNTIFS(Release_Calendar!$A$2:$A$755,"NZ_CPI",Release_Calendar!$B$2:$B$755,$A3123)&gt;0,1,0))</f>
        <v/>
      </c>
      <c r="N3123" s="16" t="str">
        <f>IF($A3123&lt;Notes!$B$5,"",IF(COUNTIFS(Release_Calendar!$A$2:$A$755,"NZ_GDP",Release_Calendar!$B$2:$B$755,$A3123)&gt;0,1,0))</f>
        <v/>
      </c>
      <c r="O3123" s="16" t="str">
        <f>IF($A3123&lt;Notes!$B$5,"",IF(COUNTIFS(Release_Calendar!$A$2:$A$755,"NZ_LABOUR",Release_Calendar!$B$2:$B$755,$A3123)&gt;0,1,0))</f>
        <v/>
      </c>
      <c r="P3123" s="16">
        <f t="shared" si="4"/>
        <v>0</v>
      </c>
    </row>
    <row r="3124" ht="15.75" customHeight="1">
      <c r="A3124" s="14">
        <v>40898.0</v>
      </c>
      <c r="B3124" s="15">
        <v>0.28</v>
      </c>
      <c r="C3124" s="15">
        <v>2.72</v>
      </c>
      <c r="D3124" s="15">
        <v>2.48</v>
      </c>
      <c r="E3124" s="15">
        <v>2.48</v>
      </c>
      <c r="F3124" s="15">
        <f t="shared" si="1"/>
        <v>2.44</v>
      </c>
      <c r="G3124" s="15">
        <f t="shared" si="2"/>
        <v>2.72</v>
      </c>
      <c r="H3124" s="16">
        <v>0.0</v>
      </c>
      <c r="I3124" s="15">
        <f t="shared" si="3"/>
        <v>2.44</v>
      </c>
      <c r="J3124" s="15">
        <v>21.43</v>
      </c>
      <c r="K3124" s="16">
        <f>IF(COUNTIFS(Release_Calendar!$A$2:$A$755,"US_CPI",Release_Calendar!$B$2:$B$755,$A3124)&gt;0,1,0)</f>
        <v>0</v>
      </c>
      <c r="L3124" s="16">
        <f>IF(COUNTIFS(Release_Calendar!$A$2:$A$755,"US_NFP",Release_Calendar!$B$2:$B$755,$A3124)&gt;0,1,0)</f>
        <v>0</v>
      </c>
      <c r="M3124" s="16" t="str">
        <f>IF($A3124&lt;Notes!$B$5,"",IF(COUNTIFS(Release_Calendar!$A$2:$A$755,"NZ_CPI",Release_Calendar!$B$2:$B$755,$A3124)&gt;0,1,0))</f>
        <v/>
      </c>
      <c r="N3124" s="16" t="str">
        <f>IF($A3124&lt;Notes!$B$5,"",IF(COUNTIFS(Release_Calendar!$A$2:$A$755,"NZ_GDP",Release_Calendar!$B$2:$B$755,$A3124)&gt;0,1,0))</f>
        <v/>
      </c>
      <c r="O3124" s="16" t="str">
        <f>IF($A3124&lt;Notes!$B$5,"",IF(COUNTIFS(Release_Calendar!$A$2:$A$755,"NZ_LABOUR",Release_Calendar!$B$2:$B$755,$A3124)&gt;0,1,0))</f>
        <v/>
      </c>
      <c r="P3124" s="16">
        <f t="shared" si="4"/>
        <v>0</v>
      </c>
    </row>
    <row r="3125" ht="15.75" customHeight="1">
      <c r="A3125" s="14">
        <v>40899.0</v>
      </c>
      <c r="B3125" s="15">
        <v>0.28</v>
      </c>
      <c r="C3125" s="15">
        <v>2.72</v>
      </c>
      <c r="D3125" s="15">
        <v>2.5</v>
      </c>
      <c r="E3125" s="15">
        <v>2.46</v>
      </c>
      <c r="F3125" s="15">
        <f t="shared" si="1"/>
        <v>2.44</v>
      </c>
      <c r="G3125" s="15">
        <f t="shared" si="2"/>
        <v>2.72</v>
      </c>
      <c r="H3125" s="16">
        <v>0.0</v>
      </c>
      <c r="I3125" s="15">
        <f t="shared" si="3"/>
        <v>2.44</v>
      </c>
      <c r="J3125" s="15">
        <v>21.16</v>
      </c>
      <c r="K3125" s="16">
        <f>IF(COUNTIFS(Release_Calendar!$A$2:$A$755,"US_CPI",Release_Calendar!$B$2:$B$755,$A3125)&gt;0,1,0)</f>
        <v>0</v>
      </c>
      <c r="L3125" s="16">
        <f>IF(COUNTIFS(Release_Calendar!$A$2:$A$755,"US_NFP",Release_Calendar!$B$2:$B$755,$A3125)&gt;0,1,0)</f>
        <v>0</v>
      </c>
      <c r="M3125" s="16" t="str">
        <f>IF($A3125&lt;Notes!$B$5,"",IF(COUNTIFS(Release_Calendar!$A$2:$A$755,"NZ_CPI",Release_Calendar!$B$2:$B$755,$A3125)&gt;0,1,0))</f>
        <v/>
      </c>
      <c r="N3125" s="16" t="str">
        <f>IF($A3125&lt;Notes!$B$5,"",IF(COUNTIFS(Release_Calendar!$A$2:$A$755,"NZ_GDP",Release_Calendar!$B$2:$B$755,$A3125)&gt;0,1,0))</f>
        <v/>
      </c>
      <c r="O3125" s="16" t="str">
        <f>IF($A3125&lt;Notes!$B$5,"",IF(COUNTIFS(Release_Calendar!$A$2:$A$755,"NZ_LABOUR",Release_Calendar!$B$2:$B$755,$A3125)&gt;0,1,0))</f>
        <v/>
      </c>
      <c r="P3125" s="16">
        <f t="shared" si="4"/>
        <v>0</v>
      </c>
    </row>
    <row r="3126" ht="15.75" customHeight="1">
      <c r="A3126" s="14">
        <v>40900.0</v>
      </c>
      <c r="B3126" s="15">
        <v>0.28</v>
      </c>
      <c r="C3126" s="15">
        <v>2.72</v>
      </c>
      <c r="D3126" s="15">
        <v>2.46</v>
      </c>
      <c r="E3126" s="15">
        <v>2.46</v>
      </c>
      <c r="F3126" s="15">
        <f t="shared" si="1"/>
        <v>2.44</v>
      </c>
      <c r="G3126" s="15">
        <f t="shared" si="2"/>
        <v>2.72</v>
      </c>
      <c r="H3126" s="16">
        <v>0.0</v>
      </c>
      <c r="I3126" s="15">
        <f t="shared" si="3"/>
        <v>2.44</v>
      </c>
      <c r="J3126" s="15">
        <v>20.73</v>
      </c>
      <c r="K3126" s="16">
        <f>IF(COUNTIFS(Release_Calendar!$A$2:$A$755,"US_CPI",Release_Calendar!$B$2:$B$755,$A3126)&gt;0,1,0)</f>
        <v>0</v>
      </c>
      <c r="L3126" s="16">
        <f>IF(COUNTIFS(Release_Calendar!$A$2:$A$755,"US_NFP",Release_Calendar!$B$2:$B$755,$A3126)&gt;0,1,0)</f>
        <v>0</v>
      </c>
      <c r="M3126" s="16" t="str">
        <f>IF($A3126&lt;Notes!$B$5,"",IF(COUNTIFS(Release_Calendar!$A$2:$A$755,"NZ_CPI",Release_Calendar!$B$2:$B$755,$A3126)&gt;0,1,0))</f>
        <v/>
      </c>
      <c r="N3126" s="16" t="str">
        <f>IF($A3126&lt;Notes!$B$5,"",IF(COUNTIFS(Release_Calendar!$A$2:$A$755,"NZ_GDP",Release_Calendar!$B$2:$B$755,$A3126)&gt;0,1,0))</f>
        <v/>
      </c>
      <c r="O3126" s="16" t="str">
        <f>IF($A3126&lt;Notes!$B$5,"",IF(COUNTIFS(Release_Calendar!$A$2:$A$755,"NZ_LABOUR",Release_Calendar!$B$2:$B$755,$A3126)&gt;0,1,0))</f>
        <v/>
      </c>
      <c r="P3126" s="16">
        <f t="shared" si="4"/>
        <v>0</v>
      </c>
    </row>
    <row r="3127" ht="15.75" customHeight="1">
      <c r="A3127" s="14">
        <v>40903.0</v>
      </c>
      <c r="B3127" s="15"/>
      <c r="C3127" s="15"/>
      <c r="D3127" s="15"/>
      <c r="E3127" s="15"/>
      <c r="F3127" s="15" t="str">
        <f t="shared" si="1"/>
        <v/>
      </c>
      <c r="G3127" s="15" t="str">
        <f t="shared" si="2"/>
        <v/>
      </c>
      <c r="H3127" s="16">
        <v>0.0</v>
      </c>
      <c r="I3127" s="15" t="str">
        <f t="shared" si="3"/>
        <v/>
      </c>
      <c r="J3127" s="15"/>
      <c r="K3127" s="16">
        <f>IF(COUNTIFS(Release_Calendar!$A$2:$A$755,"US_CPI",Release_Calendar!$B$2:$B$755,$A3127)&gt;0,1,0)</f>
        <v>0</v>
      </c>
      <c r="L3127" s="16">
        <f>IF(COUNTIFS(Release_Calendar!$A$2:$A$755,"US_NFP",Release_Calendar!$B$2:$B$755,$A3127)&gt;0,1,0)</f>
        <v>0</v>
      </c>
      <c r="M3127" s="16" t="str">
        <f>IF($A3127&lt;Notes!$B$5,"",IF(COUNTIFS(Release_Calendar!$A$2:$A$755,"NZ_CPI",Release_Calendar!$B$2:$B$755,$A3127)&gt;0,1,0))</f>
        <v/>
      </c>
      <c r="N3127" s="16" t="str">
        <f>IF($A3127&lt;Notes!$B$5,"",IF(COUNTIFS(Release_Calendar!$A$2:$A$755,"NZ_GDP",Release_Calendar!$B$2:$B$755,$A3127)&gt;0,1,0))</f>
        <v/>
      </c>
      <c r="O3127" s="16" t="str">
        <f>IF($A3127&lt;Notes!$B$5,"",IF(COUNTIFS(Release_Calendar!$A$2:$A$755,"NZ_LABOUR",Release_Calendar!$B$2:$B$755,$A3127)&gt;0,1,0))</f>
        <v/>
      </c>
      <c r="P3127" s="16">
        <f t="shared" si="4"/>
        <v>0</v>
      </c>
    </row>
    <row r="3128" ht="15.75" customHeight="1">
      <c r="A3128" s="14">
        <v>40904.0</v>
      </c>
      <c r="B3128" s="15">
        <v>0.3</v>
      </c>
      <c r="C3128" s="15"/>
      <c r="D3128" s="15"/>
      <c r="E3128" s="15"/>
      <c r="F3128" s="15" t="str">
        <f t="shared" si="1"/>
        <v/>
      </c>
      <c r="G3128" s="15" t="str">
        <f t="shared" si="2"/>
        <v/>
      </c>
      <c r="H3128" s="16">
        <v>0.0</v>
      </c>
      <c r="I3128" s="15" t="str">
        <f t="shared" si="3"/>
        <v/>
      </c>
      <c r="J3128" s="15">
        <v>21.91</v>
      </c>
      <c r="K3128" s="16">
        <f>IF(COUNTIFS(Release_Calendar!$A$2:$A$755,"US_CPI",Release_Calendar!$B$2:$B$755,$A3128)&gt;0,1,0)</f>
        <v>0</v>
      </c>
      <c r="L3128" s="16">
        <f>IF(COUNTIFS(Release_Calendar!$A$2:$A$755,"US_NFP",Release_Calendar!$B$2:$B$755,$A3128)&gt;0,1,0)</f>
        <v>0</v>
      </c>
      <c r="M3128" s="16" t="str">
        <f>IF($A3128&lt;Notes!$B$5,"",IF(COUNTIFS(Release_Calendar!$A$2:$A$755,"NZ_CPI",Release_Calendar!$B$2:$B$755,$A3128)&gt;0,1,0))</f>
        <v/>
      </c>
      <c r="N3128" s="16" t="str">
        <f>IF($A3128&lt;Notes!$B$5,"",IF(COUNTIFS(Release_Calendar!$A$2:$A$755,"NZ_GDP",Release_Calendar!$B$2:$B$755,$A3128)&gt;0,1,0))</f>
        <v/>
      </c>
      <c r="O3128" s="16" t="str">
        <f>IF($A3128&lt;Notes!$B$5,"",IF(COUNTIFS(Release_Calendar!$A$2:$A$755,"NZ_LABOUR",Release_Calendar!$B$2:$B$755,$A3128)&gt;0,1,0))</f>
        <v/>
      </c>
      <c r="P3128" s="16">
        <f t="shared" si="4"/>
        <v>0</v>
      </c>
    </row>
    <row r="3129" ht="15.75" customHeight="1">
      <c r="A3129" s="14">
        <v>40905.0</v>
      </c>
      <c r="B3129" s="15">
        <v>0.28</v>
      </c>
      <c r="C3129" s="15">
        <v>2.72</v>
      </c>
      <c r="D3129" s="15">
        <v>2.46</v>
      </c>
      <c r="E3129" s="15">
        <v>2.46</v>
      </c>
      <c r="F3129" s="15">
        <f t="shared" si="1"/>
        <v>2.44</v>
      </c>
      <c r="G3129" s="15">
        <f t="shared" si="2"/>
        <v>2.72</v>
      </c>
      <c r="H3129" s="16">
        <v>0.0</v>
      </c>
      <c r="I3129" s="15">
        <f t="shared" si="3"/>
        <v>2.44</v>
      </c>
      <c r="J3129" s="15">
        <v>23.52</v>
      </c>
      <c r="K3129" s="16">
        <f>IF(COUNTIFS(Release_Calendar!$A$2:$A$755,"US_CPI",Release_Calendar!$B$2:$B$755,$A3129)&gt;0,1,0)</f>
        <v>0</v>
      </c>
      <c r="L3129" s="16">
        <f>IF(COUNTIFS(Release_Calendar!$A$2:$A$755,"US_NFP",Release_Calendar!$B$2:$B$755,$A3129)&gt;0,1,0)</f>
        <v>0</v>
      </c>
      <c r="M3129" s="16" t="str">
        <f>IF($A3129&lt;Notes!$B$5,"",IF(COUNTIFS(Release_Calendar!$A$2:$A$755,"NZ_CPI",Release_Calendar!$B$2:$B$755,$A3129)&gt;0,1,0))</f>
        <v/>
      </c>
      <c r="N3129" s="16" t="str">
        <f>IF($A3129&lt;Notes!$B$5,"",IF(COUNTIFS(Release_Calendar!$A$2:$A$755,"NZ_GDP",Release_Calendar!$B$2:$B$755,$A3129)&gt;0,1,0))</f>
        <v/>
      </c>
      <c r="O3129" s="16" t="str">
        <f>IF($A3129&lt;Notes!$B$5,"",IF(COUNTIFS(Release_Calendar!$A$2:$A$755,"NZ_LABOUR",Release_Calendar!$B$2:$B$755,$A3129)&gt;0,1,0))</f>
        <v/>
      </c>
      <c r="P3129" s="16">
        <f t="shared" si="4"/>
        <v>0</v>
      </c>
    </row>
    <row r="3130" ht="15.75" customHeight="1">
      <c r="A3130" s="14">
        <v>40906.0</v>
      </c>
      <c r="B3130" s="15">
        <v>0.28</v>
      </c>
      <c r="C3130" s="15">
        <v>2.7</v>
      </c>
      <c r="D3130" s="15">
        <v>2.46</v>
      </c>
      <c r="E3130" s="15">
        <v>2.47</v>
      </c>
      <c r="F3130" s="15">
        <f t="shared" si="1"/>
        <v>2.42</v>
      </c>
      <c r="G3130" s="15">
        <f t="shared" si="2"/>
        <v>2.7</v>
      </c>
      <c r="H3130" s="16">
        <v>0.0</v>
      </c>
      <c r="I3130" s="15">
        <f t="shared" si="3"/>
        <v>2.42</v>
      </c>
      <c r="J3130" s="15">
        <v>22.65</v>
      </c>
      <c r="K3130" s="16">
        <f>IF(COUNTIFS(Release_Calendar!$A$2:$A$755,"US_CPI",Release_Calendar!$B$2:$B$755,$A3130)&gt;0,1,0)</f>
        <v>0</v>
      </c>
      <c r="L3130" s="16">
        <f>IF(COUNTIFS(Release_Calendar!$A$2:$A$755,"US_NFP",Release_Calendar!$B$2:$B$755,$A3130)&gt;0,1,0)</f>
        <v>0</v>
      </c>
      <c r="M3130" s="16" t="str">
        <f>IF($A3130&lt;Notes!$B$5,"",IF(COUNTIFS(Release_Calendar!$A$2:$A$755,"NZ_CPI",Release_Calendar!$B$2:$B$755,$A3130)&gt;0,1,0))</f>
        <v/>
      </c>
      <c r="N3130" s="16" t="str">
        <f>IF($A3130&lt;Notes!$B$5,"",IF(COUNTIFS(Release_Calendar!$A$2:$A$755,"NZ_GDP",Release_Calendar!$B$2:$B$755,$A3130)&gt;0,1,0))</f>
        <v/>
      </c>
      <c r="O3130" s="16" t="str">
        <f>IF($A3130&lt;Notes!$B$5,"",IF(COUNTIFS(Release_Calendar!$A$2:$A$755,"NZ_LABOUR",Release_Calendar!$B$2:$B$755,$A3130)&gt;0,1,0))</f>
        <v/>
      </c>
      <c r="P3130" s="16">
        <f t="shared" si="4"/>
        <v>0</v>
      </c>
    </row>
    <row r="3131" ht="15.75" customHeight="1">
      <c r="A3131" s="14">
        <v>40907.0</v>
      </c>
      <c r="B3131" s="15">
        <v>0.25</v>
      </c>
      <c r="C3131" s="15">
        <v>2.72</v>
      </c>
      <c r="D3131" s="15">
        <v>2.46</v>
      </c>
      <c r="E3131" s="15">
        <v>2.43</v>
      </c>
      <c r="F3131" s="15">
        <f t="shared" si="1"/>
        <v>2.47</v>
      </c>
      <c r="G3131" s="15">
        <f t="shared" si="2"/>
        <v>2.72</v>
      </c>
      <c r="H3131" s="16">
        <v>0.0</v>
      </c>
      <c r="I3131" s="15">
        <f t="shared" si="3"/>
        <v>2.47</v>
      </c>
      <c r="J3131" s="15">
        <v>23.4</v>
      </c>
      <c r="K3131" s="16">
        <f>IF(COUNTIFS(Release_Calendar!$A$2:$A$755,"US_CPI",Release_Calendar!$B$2:$B$755,$A3131)&gt;0,1,0)</f>
        <v>0</v>
      </c>
      <c r="L3131" s="16">
        <f>IF(COUNTIFS(Release_Calendar!$A$2:$A$755,"US_NFP",Release_Calendar!$B$2:$B$755,$A3131)&gt;0,1,0)</f>
        <v>0</v>
      </c>
      <c r="M3131" s="16" t="str">
        <f>IF($A3131&lt;Notes!$B$5,"",IF(COUNTIFS(Release_Calendar!$A$2:$A$755,"NZ_CPI",Release_Calendar!$B$2:$B$755,$A3131)&gt;0,1,0))</f>
        <v/>
      </c>
      <c r="N3131" s="16" t="str">
        <f>IF($A3131&lt;Notes!$B$5,"",IF(COUNTIFS(Release_Calendar!$A$2:$A$755,"NZ_GDP",Release_Calendar!$B$2:$B$755,$A3131)&gt;0,1,0))</f>
        <v/>
      </c>
      <c r="O3131" s="16" t="str">
        <f>IF($A3131&lt;Notes!$B$5,"",IF(COUNTIFS(Release_Calendar!$A$2:$A$755,"NZ_LABOUR",Release_Calendar!$B$2:$B$755,$A3131)&gt;0,1,0))</f>
        <v/>
      </c>
      <c r="P3131" s="16">
        <f t="shared" si="4"/>
        <v>0</v>
      </c>
    </row>
    <row r="3132" ht="15.75" customHeight="1">
      <c r="A3132" s="14">
        <v>40910.0</v>
      </c>
      <c r="B3132" s="15"/>
      <c r="C3132" s="15"/>
      <c r="D3132" s="15"/>
      <c r="E3132" s="15"/>
      <c r="F3132" s="15" t="str">
        <f t="shared" si="1"/>
        <v/>
      </c>
      <c r="G3132" s="15" t="str">
        <f t="shared" si="2"/>
        <v/>
      </c>
      <c r="H3132" s="16">
        <v>0.0</v>
      </c>
      <c r="I3132" s="15" t="str">
        <f t="shared" si="3"/>
        <v/>
      </c>
      <c r="J3132" s="15"/>
      <c r="K3132" s="16">
        <f>IF(COUNTIFS(Release_Calendar!$A$2:$A$755,"US_CPI",Release_Calendar!$B$2:$B$755,$A3132)&gt;0,1,0)</f>
        <v>0</v>
      </c>
      <c r="L3132" s="16">
        <f>IF(COUNTIFS(Release_Calendar!$A$2:$A$755,"US_NFP",Release_Calendar!$B$2:$B$755,$A3132)&gt;0,1,0)</f>
        <v>0</v>
      </c>
      <c r="M3132" s="16" t="str">
        <f>IF($A3132&lt;Notes!$B$5,"",IF(COUNTIFS(Release_Calendar!$A$2:$A$755,"NZ_CPI",Release_Calendar!$B$2:$B$755,$A3132)&gt;0,1,0))</f>
        <v/>
      </c>
      <c r="N3132" s="16" t="str">
        <f>IF($A3132&lt;Notes!$B$5,"",IF(COUNTIFS(Release_Calendar!$A$2:$A$755,"NZ_GDP",Release_Calendar!$B$2:$B$755,$A3132)&gt;0,1,0))</f>
        <v/>
      </c>
      <c r="O3132" s="16" t="str">
        <f>IF($A3132&lt;Notes!$B$5,"",IF(COUNTIFS(Release_Calendar!$A$2:$A$755,"NZ_LABOUR",Release_Calendar!$B$2:$B$755,$A3132)&gt;0,1,0))</f>
        <v/>
      </c>
      <c r="P3132" s="16">
        <f t="shared" si="4"/>
        <v>0</v>
      </c>
    </row>
    <row r="3133" ht="15.75" customHeight="1">
      <c r="A3133" s="14">
        <v>40911.0</v>
      </c>
      <c r="B3133" s="15">
        <v>0.27</v>
      </c>
      <c r="C3133" s="15"/>
      <c r="D3133" s="15"/>
      <c r="E3133" s="15"/>
      <c r="F3133" s="15" t="str">
        <f t="shared" si="1"/>
        <v/>
      </c>
      <c r="G3133" s="15" t="str">
        <f t="shared" si="2"/>
        <v/>
      </c>
      <c r="H3133" s="16">
        <v>0.0</v>
      </c>
      <c r="I3133" s="15" t="str">
        <f t="shared" si="3"/>
        <v/>
      </c>
      <c r="J3133" s="15">
        <v>22.97</v>
      </c>
      <c r="K3133" s="16">
        <f>IF(COUNTIFS(Release_Calendar!$A$2:$A$755,"US_CPI",Release_Calendar!$B$2:$B$755,$A3133)&gt;0,1,0)</f>
        <v>0</v>
      </c>
      <c r="L3133" s="16">
        <f>IF(COUNTIFS(Release_Calendar!$A$2:$A$755,"US_NFP",Release_Calendar!$B$2:$B$755,$A3133)&gt;0,1,0)</f>
        <v>0</v>
      </c>
      <c r="M3133" s="16" t="str">
        <f>IF($A3133&lt;Notes!$B$5,"",IF(COUNTIFS(Release_Calendar!$A$2:$A$755,"NZ_CPI",Release_Calendar!$B$2:$B$755,$A3133)&gt;0,1,0))</f>
        <v/>
      </c>
      <c r="N3133" s="16" t="str">
        <f>IF($A3133&lt;Notes!$B$5,"",IF(COUNTIFS(Release_Calendar!$A$2:$A$755,"NZ_GDP",Release_Calendar!$B$2:$B$755,$A3133)&gt;0,1,0))</f>
        <v/>
      </c>
      <c r="O3133" s="16" t="str">
        <f>IF($A3133&lt;Notes!$B$5,"",IF(COUNTIFS(Release_Calendar!$A$2:$A$755,"NZ_LABOUR",Release_Calendar!$B$2:$B$755,$A3133)&gt;0,1,0))</f>
        <v/>
      </c>
      <c r="P3133" s="16">
        <f t="shared" si="4"/>
        <v>0</v>
      </c>
    </row>
    <row r="3134" ht="15.75" customHeight="1">
      <c r="A3134" s="14">
        <v>40912.0</v>
      </c>
      <c r="B3134" s="15">
        <v>0.25</v>
      </c>
      <c r="C3134" s="15">
        <v>2.79</v>
      </c>
      <c r="D3134" s="15">
        <v>2.49</v>
      </c>
      <c r="E3134" s="15">
        <v>2.47</v>
      </c>
      <c r="F3134" s="15">
        <f t="shared" si="1"/>
        <v>2.54</v>
      </c>
      <c r="G3134" s="15">
        <f t="shared" si="2"/>
        <v>2.79</v>
      </c>
      <c r="H3134" s="16">
        <v>0.0</v>
      </c>
      <c r="I3134" s="15">
        <f t="shared" si="3"/>
        <v>2.54</v>
      </c>
      <c r="J3134" s="15">
        <v>22.22</v>
      </c>
      <c r="K3134" s="16">
        <f>IF(COUNTIFS(Release_Calendar!$A$2:$A$755,"US_CPI",Release_Calendar!$B$2:$B$755,$A3134)&gt;0,1,0)</f>
        <v>0</v>
      </c>
      <c r="L3134" s="16">
        <f>IF(COUNTIFS(Release_Calendar!$A$2:$A$755,"US_NFP",Release_Calendar!$B$2:$B$755,$A3134)&gt;0,1,0)</f>
        <v>0</v>
      </c>
      <c r="M3134" s="16" t="str">
        <f>IF($A3134&lt;Notes!$B$5,"",IF(COUNTIFS(Release_Calendar!$A$2:$A$755,"NZ_CPI",Release_Calendar!$B$2:$B$755,$A3134)&gt;0,1,0))</f>
        <v/>
      </c>
      <c r="N3134" s="16" t="str">
        <f>IF($A3134&lt;Notes!$B$5,"",IF(COUNTIFS(Release_Calendar!$A$2:$A$755,"NZ_GDP",Release_Calendar!$B$2:$B$755,$A3134)&gt;0,1,0))</f>
        <v/>
      </c>
      <c r="O3134" s="16" t="str">
        <f>IF($A3134&lt;Notes!$B$5,"",IF(COUNTIFS(Release_Calendar!$A$2:$A$755,"NZ_LABOUR",Release_Calendar!$B$2:$B$755,$A3134)&gt;0,1,0))</f>
        <v/>
      </c>
      <c r="P3134" s="16">
        <f t="shared" si="4"/>
        <v>0</v>
      </c>
    </row>
    <row r="3135" ht="15.75" customHeight="1">
      <c r="A3135" s="14">
        <v>40913.0</v>
      </c>
      <c r="B3135" s="15">
        <v>0.27</v>
      </c>
      <c r="C3135" s="15">
        <v>2.79</v>
      </c>
      <c r="D3135" s="15">
        <v>2.48</v>
      </c>
      <c r="E3135" s="15">
        <v>2.48</v>
      </c>
      <c r="F3135" s="15">
        <f t="shared" si="1"/>
        <v>2.52</v>
      </c>
      <c r="G3135" s="15">
        <f t="shared" si="2"/>
        <v>2.79</v>
      </c>
      <c r="H3135" s="16">
        <v>0.0</v>
      </c>
      <c r="I3135" s="15">
        <f t="shared" si="3"/>
        <v>2.52</v>
      </c>
      <c r="J3135" s="15">
        <v>21.48</v>
      </c>
      <c r="K3135" s="16">
        <f>IF(COUNTIFS(Release_Calendar!$A$2:$A$755,"US_CPI",Release_Calendar!$B$2:$B$755,$A3135)&gt;0,1,0)</f>
        <v>0</v>
      </c>
      <c r="L3135" s="16">
        <f>IF(COUNTIFS(Release_Calendar!$A$2:$A$755,"US_NFP",Release_Calendar!$B$2:$B$755,$A3135)&gt;0,1,0)</f>
        <v>0</v>
      </c>
      <c r="M3135" s="16" t="str">
        <f>IF($A3135&lt;Notes!$B$5,"",IF(COUNTIFS(Release_Calendar!$A$2:$A$755,"NZ_CPI",Release_Calendar!$B$2:$B$755,$A3135)&gt;0,1,0))</f>
        <v/>
      </c>
      <c r="N3135" s="16" t="str">
        <f>IF($A3135&lt;Notes!$B$5,"",IF(COUNTIFS(Release_Calendar!$A$2:$A$755,"NZ_GDP",Release_Calendar!$B$2:$B$755,$A3135)&gt;0,1,0))</f>
        <v/>
      </c>
      <c r="O3135" s="16" t="str">
        <f>IF($A3135&lt;Notes!$B$5,"",IF(COUNTIFS(Release_Calendar!$A$2:$A$755,"NZ_LABOUR",Release_Calendar!$B$2:$B$755,$A3135)&gt;0,1,0))</f>
        <v/>
      </c>
      <c r="P3135" s="16">
        <f t="shared" si="4"/>
        <v>0</v>
      </c>
    </row>
    <row r="3136" ht="15.75" customHeight="1">
      <c r="A3136" s="14">
        <v>40914.0</v>
      </c>
      <c r="B3136" s="15">
        <v>0.25</v>
      </c>
      <c r="C3136" s="15">
        <v>2.79</v>
      </c>
      <c r="D3136" s="15">
        <v>2.47</v>
      </c>
      <c r="E3136" s="15">
        <v>2.47</v>
      </c>
      <c r="F3136" s="15">
        <f t="shared" si="1"/>
        <v>2.54</v>
      </c>
      <c r="G3136" s="15">
        <f t="shared" si="2"/>
        <v>2.79</v>
      </c>
      <c r="H3136" s="16">
        <v>0.0</v>
      </c>
      <c r="I3136" s="15">
        <f t="shared" si="3"/>
        <v>2.54</v>
      </c>
      <c r="J3136" s="15">
        <v>20.63</v>
      </c>
      <c r="K3136" s="16">
        <f>IF(COUNTIFS(Release_Calendar!$A$2:$A$755,"US_CPI",Release_Calendar!$B$2:$B$755,$A3136)&gt;0,1,0)</f>
        <v>0</v>
      </c>
      <c r="L3136" s="16">
        <f>IF(COUNTIFS(Release_Calendar!$A$2:$A$755,"US_NFP",Release_Calendar!$B$2:$B$755,$A3136)&gt;0,1,0)</f>
        <v>1</v>
      </c>
      <c r="M3136" s="16" t="str">
        <f>IF($A3136&lt;Notes!$B$5,"",IF(COUNTIFS(Release_Calendar!$A$2:$A$755,"NZ_CPI",Release_Calendar!$B$2:$B$755,$A3136)&gt;0,1,0))</f>
        <v/>
      </c>
      <c r="N3136" s="16" t="str">
        <f>IF($A3136&lt;Notes!$B$5,"",IF(COUNTIFS(Release_Calendar!$A$2:$A$755,"NZ_GDP",Release_Calendar!$B$2:$B$755,$A3136)&gt;0,1,0))</f>
        <v/>
      </c>
      <c r="O3136" s="16" t="str">
        <f>IF($A3136&lt;Notes!$B$5,"",IF(COUNTIFS(Release_Calendar!$A$2:$A$755,"NZ_LABOUR",Release_Calendar!$B$2:$B$755,$A3136)&gt;0,1,0))</f>
        <v/>
      </c>
      <c r="P3136" s="16">
        <f t="shared" si="4"/>
        <v>1</v>
      </c>
    </row>
    <row r="3137" ht="15.75" customHeight="1">
      <c r="A3137" s="14">
        <v>40917.0</v>
      </c>
      <c r="B3137" s="15">
        <v>0.26</v>
      </c>
      <c r="C3137" s="15">
        <v>2.8</v>
      </c>
      <c r="D3137" s="15">
        <v>2.47</v>
      </c>
      <c r="E3137" s="15">
        <v>2.47</v>
      </c>
      <c r="F3137" s="15">
        <f t="shared" si="1"/>
        <v>2.54</v>
      </c>
      <c r="G3137" s="15">
        <f t="shared" si="2"/>
        <v>2.8</v>
      </c>
      <c r="H3137" s="16">
        <v>0.0</v>
      </c>
      <c r="I3137" s="15">
        <f t="shared" si="3"/>
        <v>2.54</v>
      </c>
      <c r="J3137" s="15">
        <v>21.07</v>
      </c>
      <c r="K3137" s="16">
        <f>IF(COUNTIFS(Release_Calendar!$A$2:$A$755,"US_CPI",Release_Calendar!$B$2:$B$755,$A3137)&gt;0,1,0)</f>
        <v>0</v>
      </c>
      <c r="L3137" s="16">
        <f>IF(COUNTIFS(Release_Calendar!$A$2:$A$755,"US_NFP",Release_Calendar!$B$2:$B$755,$A3137)&gt;0,1,0)</f>
        <v>0</v>
      </c>
      <c r="M3137" s="16" t="str">
        <f>IF($A3137&lt;Notes!$B$5,"",IF(COUNTIFS(Release_Calendar!$A$2:$A$755,"NZ_CPI",Release_Calendar!$B$2:$B$755,$A3137)&gt;0,1,0))</f>
        <v/>
      </c>
      <c r="N3137" s="16" t="str">
        <f>IF($A3137&lt;Notes!$B$5,"",IF(COUNTIFS(Release_Calendar!$A$2:$A$755,"NZ_GDP",Release_Calendar!$B$2:$B$755,$A3137)&gt;0,1,0))</f>
        <v/>
      </c>
      <c r="O3137" s="16" t="str">
        <f>IF($A3137&lt;Notes!$B$5,"",IF(COUNTIFS(Release_Calendar!$A$2:$A$755,"NZ_LABOUR",Release_Calendar!$B$2:$B$755,$A3137)&gt;0,1,0))</f>
        <v/>
      </c>
      <c r="P3137" s="16">
        <f t="shared" si="4"/>
        <v>0</v>
      </c>
    </row>
    <row r="3138" ht="15.75" customHeight="1">
      <c r="A3138" s="14">
        <v>40918.0</v>
      </c>
      <c r="B3138" s="15">
        <v>0.24</v>
      </c>
      <c r="C3138" s="15">
        <v>2.83</v>
      </c>
      <c r="D3138" s="15">
        <v>2.47</v>
      </c>
      <c r="E3138" s="15">
        <v>2.48</v>
      </c>
      <c r="F3138" s="15">
        <f t="shared" si="1"/>
        <v>2.59</v>
      </c>
      <c r="G3138" s="15">
        <f t="shared" si="2"/>
        <v>2.83</v>
      </c>
      <c r="H3138" s="16">
        <v>0.0</v>
      </c>
      <c r="I3138" s="15">
        <f t="shared" si="3"/>
        <v>2.59</v>
      </c>
      <c r="J3138" s="15">
        <v>20.69</v>
      </c>
      <c r="K3138" s="16">
        <f>IF(COUNTIFS(Release_Calendar!$A$2:$A$755,"US_CPI",Release_Calendar!$B$2:$B$755,$A3138)&gt;0,1,0)</f>
        <v>0</v>
      </c>
      <c r="L3138" s="16">
        <f>IF(COUNTIFS(Release_Calendar!$A$2:$A$755,"US_NFP",Release_Calendar!$B$2:$B$755,$A3138)&gt;0,1,0)</f>
        <v>0</v>
      </c>
      <c r="M3138" s="16" t="str">
        <f>IF($A3138&lt;Notes!$B$5,"",IF(COUNTIFS(Release_Calendar!$A$2:$A$755,"NZ_CPI",Release_Calendar!$B$2:$B$755,$A3138)&gt;0,1,0))</f>
        <v/>
      </c>
      <c r="N3138" s="16" t="str">
        <f>IF($A3138&lt;Notes!$B$5,"",IF(COUNTIFS(Release_Calendar!$A$2:$A$755,"NZ_GDP",Release_Calendar!$B$2:$B$755,$A3138)&gt;0,1,0))</f>
        <v/>
      </c>
      <c r="O3138" s="16" t="str">
        <f>IF($A3138&lt;Notes!$B$5,"",IF(COUNTIFS(Release_Calendar!$A$2:$A$755,"NZ_LABOUR",Release_Calendar!$B$2:$B$755,$A3138)&gt;0,1,0))</f>
        <v/>
      </c>
      <c r="P3138" s="16">
        <f t="shared" si="4"/>
        <v>0</v>
      </c>
    </row>
    <row r="3139" ht="15.75" customHeight="1">
      <c r="A3139" s="14">
        <v>40919.0</v>
      </c>
      <c r="B3139" s="15">
        <v>0.24</v>
      </c>
      <c r="C3139" s="15">
        <v>2.85</v>
      </c>
      <c r="D3139" s="15">
        <v>2.48</v>
      </c>
      <c r="E3139" s="15">
        <v>2.48</v>
      </c>
      <c r="F3139" s="15">
        <f t="shared" si="1"/>
        <v>2.61</v>
      </c>
      <c r="G3139" s="15">
        <f t="shared" si="2"/>
        <v>2.85</v>
      </c>
      <c r="H3139" s="16">
        <v>0.0</v>
      </c>
      <c r="I3139" s="15">
        <f t="shared" si="3"/>
        <v>2.61</v>
      </c>
      <c r="J3139" s="15">
        <v>21.05</v>
      </c>
      <c r="K3139" s="16">
        <f>IF(COUNTIFS(Release_Calendar!$A$2:$A$755,"US_CPI",Release_Calendar!$B$2:$B$755,$A3139)&gt;0,1,0)</f>
        <v>0</v>
      </c>
      <c r="L3139" s="16">
        <f>IF(COUNTIFS(Release_Calendar!$A$2:$A$755,"US_NFP",Release_Calendar!$B$2:$B$755,$A3139)&gt;0,1,0)</f>
        <v>0</v>
      </c>
      <c r="M3139" s="16" t="str">
        <f>IF($A3139&lt;Notes!$B$5,"",IF(COUNTIFS(Release_Calendar!$A$2:$A$755,"NZ_CPI",Release_Calendar!$B$2:$B$755,$A3139)&gt;0,1,0))</f>
        <v/>
      </c>
      <c r="N3139" s="16" t="str">
        <f>IF($A3139&lt;Notes!$B$5,"",IF(COUNTIFS(Release_Calendar!$A$2:$A$755,"NZ_GDP",Release_Calendar!$B$2:$B$755,$A3139)&gt;0,1,0))</f>
        <v/>
      </c>
      <c r="O3139" s="16" t="str">
        <f>IF($A3139&lt;Notes!$B$5,"",IF(COUNTIFS(Release_Calendar!$A$2:$A$755,"NZ_LABOUR",Release_Calendar!$B$2:$B$755,$A3139)&gt;0,1,0))</f>
        <v/>
      </c>
      <c r="P3139" s="16">
        <f t="shared" si="4"/>
        <v>0</v>
      </c>
    </row>
    <row r="3140" ht="15.75" customHeight="1">
      <c r="A3140" s="14">
        <v>40920.0</v>
      </c>
      <c r="B3140" s="15">
        <v>0.22</v>
      </c>
      <c r="C3140" s="15">
        <v>2.84</v>
      </c>
      <c r="D3140" s="15">
        <v>2.5</v>
      </c>
      <c r="E3140" s="15">
        <v>2.5</v>
      </c>
      <c r="F3140" s="15">
        <f t="shared" si="1"/>
        <v>2.62</v>
      </c>
      <c r="G3140" s="15">
        <f t="shared" si="2"/>
        <v>2.84</v>
      </c>
      <c r="H3140" s="16">
        <v>0.0</v>
      </c>
      <c r="I3140" s="15">
        <f t="shared" si="3"/>
        <v>2.62</v>
      </c>
      <c r="J3140" s="15">
        <v>20.47</v>
      </c>
      <c r="K3140" s="16">
        <f>IF(COUNTIFS(Release_Calendar!$A$2:$A$755,"US_CPI",Release_Calendar!$B$2:$B$755,$A3140)&gt;0,1,0)</f>
        <v>0</v>
      </c>
      <c r="L3140" s="16">
        <f>IF(COUNTIFS(Release_Calendar!$A$2:$A$755,"US_NFP",Release_Calendar!$B$2:$B$755,$A3140)&gt;0,1,0)</f>
        <v>0</v>
      </c>
      <c r="M3140" s="16" t="str">
        <f>IF($A3140&lt;Notes!$B$5,"",IF(COUNTIFS(Release_Calendar!$A$2:$A$755,"NZ_CPI",Release_Calendar!$B$2:$B$755,$A3140)&gt;0,1,0))</f>
        <v/>
      </c>
      <c r="N3140" s="16" t="str">
        <f>IF($A3140&lt;Notes!$B$5,"",IF(COUNTIFS(Release_Calendar!$A$2:$A$755,"NZ_GDP",Release_Calendar!$B$2:$B$755,$A3140)&gt;0,1,0))</f>
        <v/>
      </c>
      <c r="O3140" s="16" t="str">
        <f>IF($A3140&lt;Notes!$B$5,"",IF(COUNTIFS(Release_Calendar!$A$2:$A$755,"NZ_LABOUR",Release_Calendar!$B$2:$B$755,$A3140)&gt;0,1,0))</f>
        <v/>
      </c>
      <c r="P3140" s="16">
        <f t="shared" si="4"/>
        <v>0</v>
      </c>
    </row>
    <row r="3141" ht="15.75" customHeight="1">
      <c r="A3141" s="14">
        <v>40921.0</v>
      </c>
      <c r="B3141" s="15">
        <v>0.24</v>
      </c>
      <c r="C3141" s="15">
        <v>2.89</v>
      </c>
      <c r="D3141" s="15">
        <v>2.5</v>
      </c>
      <c r="E3141" s="15">
        <v>2.5</v>
      </c>
      <c r="F3141" s="15">
        <f t="shared" si="1"/>
        <v>2.65</v>
      </c>
      <c r="G3141" s="15">
        <f t="shared" si="2"/>
        <v>2.89</v>
      </c>
      <c r="H3141" s="16">
        <v>0.0</v>
      </c>
      <c r="I3141" s="15">
        <f t="shared" si="3"/>
        <v>2.65</v>
      </c>
      <c r="J3141" s="15">
        <v>20.91</v>
      </c>
      <c r="K3141" s="16">
        <f>IF(COUNTIFS(Release_Calendar!$A$2:$A$755,"US_CPI",Release_Calendar!$B$2:$B$755,$A3141)&gt;0,1,0)</f>
        <v>0</v>
      </c>
      <c r="L3141" s="16">
        <f>IF(COUNTIFS(Release_Calendar!$A$2:$A$755,"US_NFP",Release_Calendar!$B$2:$B$755,$A3141)&gt;0,1,0)</f>
        <v>0</v>
      </c>
      <c r="M3141" s="16" t="str">
        <f>IF($A3141&lt;Notes!$B$5,"",IF(COUNTIFS(Release_Calendar!$A$2:$A$755,"NZ_CPI",Release_Calendar!$B$2:$B$755,$A3141)&gt;0,1,0))</f>
        <v/>
      </c>
      <c r="N3141" s="16" t="str">
        <f>IF($A3141&lt;Notes!$B$5,"",IF(COUNTIFS(Release_Calendar!$A$2:$A$755,"NZ_GDP",Release_Calendar!$B$2:$B$755,$A3141)&gt;0,1,0))</f>
        <v/>
      </c>
      <c r="O3141" s="16" t="str">
        <f>IF($A3141&lt;Notes!$B$5,"",IF(COUNTIFS(Release_Calendar!$A$2:$A$755,"NZ_LABOUR",Release_Calendar!$B$2:$B$755,$A3141)&gt;0,1,0))</f>
        <v/>
      </c>
      <c r="P3141" s="16">
        <f t="shared" si="4"/>
        <v>0</v>
      </c>
    </row>
    <row r="3142" ht="15.75" customHeight="1">
      <c r="A3142" s="14">
        <v>40924.0</v>
      </c>
      <c r="B3142" s="15"/>
      <c r="C3142" s="15">
        <v>2.81</v>
      </c>
      <c r="D3142" s="15">
        <v>2.48</v>
      </c>
      <c r="E3142" s="15">
        <v>2.47</v>
      </c>
      <c r="F3142" s="15" t="str">
        <f t="shared" si="1"/>
        <v/>
      </c>
      <c r="G3142" s="15">
        <f t="shared" si="2"/>
        <v>2.81</v>
      </c>
      <c r="H3142" s="16">
        <v>0.0</v>
      </c>
      <c r="I3142" s="15" t="str">
        <f t="shared" si="3"/>
        <v/>
      </c>
      <c r="J3142" s="15"/>
      <c r="K3142" s="16">
        <f>IF(COUNTIFS(Release_Calendar!$A$2:$A$755,"US_CPI",Release_Calendar!$B$2:$B$755,$A3142)&gt;0,1,0)</f>
        <v>0</v>
      </c>
      <c r="L3142" s="16">
        <f>IF(COUNTIFS(Release_Calendar!$A$2:$A$755,"US_NFP",Release_Calendar!$B$2:$B$755,$A3142)&gt;0,1,0)</f>
        <v>0</v>
      </c>
      <c r="M3142" s="16" t="str">
        <f>IF($A3142&lt;Notes!$B$5,"",IF(COUNTIFS(Release_Calendar!$A$2:$A$755,"NZ_CPI",Release_Calendar!$B$2:$B$755,$A3142)&gt;0,1,0))</f>
        <v/>
      </c>
      <c r="N3142" s="16" t="str">
        <f>IF($A3142&lt;Notes!$B$5,"",IF(COUNTIFS(Release_Calendar!$A$2:$A$755,"NZ_GDP",Release_Calendar!$B$2:$B$755,$A3142)&gt;0,1,0))</f>
        <v/>
      </c>
      <c r="O3142" s="16" t="str">
        <f>IF($A3142&lt;Notes!$B$5,"",IF(COUNTIFS(Release_Calendar!$A$2:$A$755,"NZ_LABOUR",Release_Calendar!$B$2:$B$755,$A3142)&gt;0,1,0))</f>
        <v/>
      </c>
      <c r="P3142" s="16">
        <f t="shared" si="4"/>
        <v>0</v>
      </c>
    </row>
    <row r="3143" ht="15.75" customHeight="1">
      <c r="A3143" s="14">
        <v>40925.0</v>
      </c>
      <c r="B3143" s="15">
        <v>0.21</v>
      </c>
      <c r="C3143" s="15">
        <v>2.86</v>
      </c>
      <c r="D3143" s="15">
        <v>2.47</v>
      </c>
      <c r="E3143" s="15">
        <v>2.47</v>
      </c>
      <c r="F3143" s="15">
        <f t="shared" si="1"/>
        <v>2.65</v>
      </c>
      <c r="G3143" s="15">
        <f t="shared" si="2"/>
        <v>2.86</v>
      </c>
      <c r="H3143" s="16">
        <v>0.0</v>
      </c>
      <c r="I3143" s="15">
        <f t="shared" si="3"/>
        <v>2.65</v>
      </c>
      <c r="J3143" s="15">
        <v>22.2</v>
      </c>
      <c r="K3143" s="16">
        <f>IF(COUNTIFS(Release_Calendar!$A$2:$A$755,"US_CPI",Release_Calendar!$B$2:$B$755,$A3143)&gt;0,1,0)</f>
        <v>0</v>
      </c>
      <c r="L3143" s="16">
        <f>IF(COUNTIFS(Release_Calendar!$A$2:$A$755,"US_NFP",Release_Calendar!$B$2:$B$755,$A3143)&gt;0,1,0)</f>
        <v>0</v>
      </c>
      <c r="M3143" s="16" t="str">
        <f>IF($A3143&lt;Notes!$B$5,"",IF(COUNTIFS(Release_Calendar!$A$2:$A$755,"NZ_CPI",Release_Calendar!$B$2:$B$755,$A3143)&gt;0,1,0))</f>
        <v/>
      </c>
      <c r="N3143" s="16" t="str">
        <f>IF($A3143&lt;Notes!$B$5,"",IF(COUNTIFS(Release_Calendar!$A$2:$A$755,"NZ_GDP",Release_Calendar!$B$2:$B$755,$A3143)&gt;0,1,0))</f>
        <v/>
      </c>
      <c r="O3143" s="16" t="str">
        <f>IF($A3143&lt;Notes!$B$5,"",IF(COUNTIFS(Release_Calendar!$A$2:$A$755,"NZ_LABOUR",Release_Calendar!$B$2:$B$755,$A3143)&gt;0,1,0))</f>
        <v/>
      </c>
      <c r="P3143" s="16">
        <f t="shared" si="4"/>
        <v>0</v>
      </c>
    </row>
    <row r="3144" ht="15.75" customHeight="1">
      <c r="A3144" s="14">
        <v>40926.0</v>
      </c>
      <c r="B3144" s="15">
        <v>0.24</v>
      </c>
      <c r="C3144" s="15">
        <v>2.86</v>
      </c>
      <c r="D3144" s="15">
        <v>2.47</v>
      </c>
      <c r="E3144" s="15">
        <v>2.47</v>
      </c>
      <c r="F3144" s="15">
        <f t="shared" si="1"/>
        <v>2.62</v>
      </c>
      <c r="G3144" s="15">
        <f t="shared" si="2"/>
        <v>2.86</v>
      </c>
      <c r="H3144" s="16">
        <v>0.0</v>
      </c>
      <c r="I3144" s="15">
        <f t="shared" si="3"/>
        <v>2.62</v>
      </c>
      <c r="J3144" s="15">
        <v>20.89</v>
      </c>
      <c r="K3144" s="16">
        <f>IF(COUNTIFS(Release_Calendar!$A$2:$A$755,"US_CPI",Release_Calendar!$B$2:$B$755,$A3144)&gt;0,1,0)</f>
        <v>0</v>
      </c>
      <c r="L3144" s="16">
        <f>IF(COUNTIFS(Release_Calendar!$A$2:$A$755,"US_NFP",Release_Calendar!$B$2:$B$755,$A3144)&gt;0,1,0)</f>
        <v>0</v>
      </c>
      <c r="M3144" s="16" t="str">
        <f>IF($A3144&lt;Notes!$B$5,"",IF(COUNTIFS(Release_Calendar!$A$2:$A$755,"NZ_CPI",Release_Calendar!$B$2:$B$755,$A3144)&gt;0,1,0))</f>
        <v/>
      </c>
      <c r="N3144" s="16" t="str">
        <f>IF($A3144&lt;Notes!$B$5,"",IF(COUNTIFS(Release_Calendar!$A$2:$A$755,"NZ_GDP",Release_Calendar!$B$2:$B$755,$A3144)&gt;0,1,0))</f>
        <v/>
      </c>
      <c r="O3144" s="16" t="str">
        <f>IF($A3144&lt;Notes!$B$5,"",IF(COUNTIFS(Release_Calendar!$A$2:$A$755,"NZ_LABOUR",Release_Calendar!$B$2:$B$755,$A3144)&gt;0,1,0))</f>
        <v/>
      </c>
      <c r="P3144" s="16">
        <f t="shared" si="4"/>
        <v>0</v>
      </c>
    </row>
    <row r="3145" ht="15.75" customHeight="1">
      <c r="A3145" s="14">
        <v>40927.0</v>
      </c>
      <c r="B3145" s="15">
        <v>0.26</v>
      </c>
      <c r="C3145" s="15">
        <v>2.78</v>
      </c>
      <c r="D3145" s="15">
        <v>2.47</v>
      </c>
      <c r="E3145" s="15">
        <v>2.46</v>
      </c>
      <c r="F3145" s="15">
        <f t="shared" si="1"/>
        <v>2.52</v>
      </c>
      <c r="G3145" s="15">
        <f t="shared" si="2"/>
        <v>2.78</v>
      </c>
      <c r="H3145" s="16">
        <v>0.0</v>
      </c>
      <c r="I3145" s="15">
        <f t="shared" si="3"/>
        <v>2.52</v>
      </c>
      <c r="J3145" s="15">
        <v>19.87</v>
      </c>
      <c r="K3145" s="16">
        <f>IF(COUNTIFS(Release_Calendar!$A$2:$A$755,"US_CPI",Release_Calendar!$B$2:$B$755,$A3145)&gt;0,1,0)</f>
        <v>1</v>
      </c>
      <c r="L3145" s="16">
        <f>IF(COUNTIFS(Release_Calendar!$A$2:$A$755,"US_NFP",Release_Calendar!$B$2:$B$755,$A3145)&gt;0,1,0)</f>
        <v>0</v>
      </c>
      <c r="M3145" s="16" t="str">
        <f>IF($A3145&lt;Notes!$B$5,"",IF(COUNTIFS(Release_Calendar!$A$2:$A$755,"NZ_CPI",Release_Calendar!$B$2:$B$755,$A3145)&gt;0,1,0))</f>
        <v/>
      </c>
      <c r="N3145" s="16" t="str">
        <f>IF($A3145&lt;Notes!$B$5,"",IF(COUNTIFS(Release_Calendar!$A$2:$A$755,"NZ_GDP",Release_Calendar!$B$2:$B$755,$A3145)&gt;0,1,0))</f>
        <v/>
      </c>
      <c r="O3145" s="16" t="str">
        <f>IF($A3145&lt;Notes!$B$5,"",IF(COUNTIFS(Release_Calendar!$A$2:$A$755,"NZ_LABOUR",Release_Calendar!$B$2:$B$755,$A3145)&gt;0,1,0))</f>
        <v/>
      </c>
      <c r="P3145" s="16">
        <f t="shared" si="4"/>
        <v>1</v>
      </c>
    </row>
    <row r="3146" ht="15.75" customHeight="1">
      <c r="A3146" s="14">
        <v>40928.0</v>
      </c>
      <c r="B3146" s="15">
        <v>0.26</v>
      </c>
      <c r="C3146" s="15">
        <v>2.81</v>
      </c>
      <c r="D3146" s="15">
        <v>2.46</v>
      </c>
      <c r="E3146" s="15">
        <v>2.46</v>
      </c>
      <c r="F3146" s="15">
        <f t="shared" si="1"/>
        <v>2.55</v>
      </c>
      <c r="G3146" s="15">
        <f t="shared" si="2"/>
        <v>2.81</v>
      </c>
      <c r="H3146" s="16">
        <v>0.0</v>
      </c>
      <c r="I3146" s="15">
        <f t="shared" si="3"/>
        <v>2.55</v>
      </c>
      <c r="J3146" s="15">
        <v>18.28</v>
      </c>
      <c r="K3146" s="16">
        <f>IF(COUNTIFS(Release_Calendar!$A$2:$A$755,"US_CPI",Release_Calendar!$B$2:$B$755,$A3146)&gt;0,1,0)</f>
        <v>0</v>
      </c>
      <c r="L3146" s="16">
        <f>IF(COUNTIFS(Release_Calendar!$A$2:$A$755,"US_NFP",Release_Calendar!$B$2:$B$755,$A3146)&gt;0,1,0)</f>
        <v>0</v>
      </c>
      <c r="M3146" s="16" t="str">
        <f>IF($A3146&lt;Notes!$B$5,"",IF(COUNTIFS(Release_Calendar!$A$2:$A$755,"NZ_CPI",Release_Calendar!$B$2:$B$755,$A3146)&gt;0,1,0))</f>
        <v/>
      </c>
      <c r="N3146" s="16" t="str">
        <f>IF($A3146&lt;Notes!$B$5,"",IF(COUNTIFS(Release_Calendar!$A$2:$A$755,"NZ_GDP",Release_Calendar!$B$2:$B$755,$A3146)&gt;0,1,0))</f>
        <v/>
      </c>
      <c r="O3146" s="16" t="str">
        <f>IF($A3146&lt;Notes!$B$5,"",IF(COUNTIFS(Release_Calendar!$A$2:$A$755,"NZ_LABOUR",Release_Calendar!$B$2:$B$755,$A3146)&gt;0,1,0))</f>
        <v/>
      </c>
      <c r="P3146" s="16">
        <f t="shared" si="4"/>
        <v>0</v>
      </c>
    </row>
    <row r="3147" ht="15.75" customHeight="1">
      <c r="A3147" s="14">
        <v>40931.0</v>
      </c>
      <c r="B3147" s="15">
        <v>0.26</v>
      </c>
      <c r="C3147" s="15">
        <v>2.82</v>
      </c>
      <c r="D3147" s="15">
        <v>2.47</v>
      </c>
      <c r="E3147" s="15">
        <v>2.46</v>
      </c>
      <c r="F3147" s="15">
        <f t="shared" si="1"/>
        <v>2.56</v>
      </c>
      <c r="G3147" s="15">
        <f t="shared" si="2"/>
        <v>2.82</v>
      </c>
      <c r="H3147" s="16">
        <v>0.0</v>
      </c>
      <c r="I3147" s="15">
        <f t="shared" si="3"/>
        <v>2.56</v>
      </c>
      <c r="J3147" s="15">
        <v>18.67</v>
      </c>
      <c r="K3147" s="16">
        <f>IF(COUNTIFS(Release_Calendar!$A$2:$A$755,"US_CPI",Release_Calendar!$B$2:$B$755,$A3147)&gt;0,1,0)</f>
        <v>0</v>
      </c>
      <c r="L3147" s="16">
        <f>IF(COUNTIFS(Release_Calendar!$A$2:$A$755,"US_NFP",Release_Calendar!$B$2:$B$755,$A3147)&gt;0,1,0)</f>
        <v>0</v>
      </c>
      <c r="M3147" s="16" t="str">
        <f>IF($A3147&lt;Notes!$B$5,"",IF(COUNTIFS(Release_Calendar!$A$2:$A$755,"NZ_CPI",Release_Calendar!$B$2:$B$755,$A3147)&gt;0,1,0))</f>
        <v/>
      </c>
      <c r="N3147" s="16" t="str">
        <f>IF($A3147&lt;Notes!$B$5,"",IF(COUNTIFS(Release_Calendar!$A$2:$A$755,"NZ_GDP",Release_Calendar!$B$2:$B$755,$A3147)&gt;0,1,0))</f>
        <v/>
      </c>
      <c r="O3147" s="16" t="str">
        <f>IF($A3147&lt;Notes!$B$5,"",IF(COUNTIFS(Release_Calendar!$A$2:$A$755,"NZ_LABOUR",Release_Calendar!$B$2:$B$755,$A3147)&gt;0,1,0))</f>
        <v/>
      </c>
      <c r="P3147" s="16">
        <f t="shared" si="4"/>
        <v>0</v>
      </c>
    </row>
    <row r="3148" ht="15.75" customHeight="1">
      <c r="A3148" s="14">
        <v>40932.0</v>
      </c>
      <c r="B3148" s="15">
        <v>0.24</v>
      </c>
      <c r="C3148" s="15">
        <v>2.82</v>
      </c>
      <c r="D3148" s="15">
        <v>2.48</v>
      </c>
      <c r="E3148" s="15">
        <v>2.49</v>
      </c>
      <c r="F3148" s="15">
        <f t="shared" si="1"/>
        <v>2.58</v>
      </c>
      <c r="G3148" s="15">
        <f t="shared" si="2"/>
        <v>2.82</v>
      </c>
      <c r="H3148" s="16">
        <v>0.0</v>
      </c>
      <c r="I3148" s="15">
        <f t="shared" si="3"/>
        <v>2.58</v>
      </c>
      <c r="J3148" s="15">
        <v>18.91</v>
      </c>
      <c r="K3148" s="16">
        <f>IF(COUNTIFS(Release_Calendar!$A$2:$A$755,"US_CPI",Release_Calendar!$B$2:$B$755,$A3148)&gt;0,1,0)</f>
        <v>0</v>
      </c>
      <c r="L3148" s="16">
        <f>IF(COUNTIFS(Release_Calendar!$A$2:$A$755,"US_NFP",Release_Calendar!$B$2:$B$755,$A3148)&gt;0,1,0)</f>
        <v>0</v>
      </c>
      <c r="M3148" s="16" t="str">
        <f>IF($A3148&lt;Notes!$B$5,"",IF(COUNTIFS(Release_Calendar!$A$2:$A$755,"NZ_CPI",Release_Calendar!$B$2:$B$755,$A3148)&gt;0,1,0))</f>
        <v/>
      </c>
      <c r="N3148" s="16" t="str">
        <f>IF($A3148&lt;Notes!$B$5,"",IF(COUNTIFS(Release_Calendar!$A$2:$A$755,"NZ_GDP",Release_Calendar!$B$2:$B$755,$A3148)&gt;0,1,0))</f>
        <v/>
      </c>
      <c r="O3148" s="16" t="str">
        <f>IF($A3148&lt;Notes!$B$5,"",IF(COUNTIFS(Release_Calendar!$A$2:$A$755,"NZ_LABOUR",Release_Calendar!$B$2:$B$755,$A3148)&gt;0,1,0))</f>
        <v/>
      </c>
      <c r="P3148" s="16">
        <f t="shared" si="4"/>
        <v>0</v>
      </c>
    </row>
    <row r="3149" ht="15.75" customHeight="1">
      <c r="A3149" s="14">
        <v>40933.0</v>
      </c>
      <c r="B3149" s="15">
        <v>0.22</v>
      </c>
      <c r="C3149" s="15">
        <v>2.86</v>
      </c>
      <c r="D3149" s="15">
        <v>2.49</v>
      </c>
      <c r="E3149" s="15">
        <v>2.49</v>
      </c>
      <c r="F3149" s="15">
        <f t="shared" si="1"/>
        <v>2.64</v>
      </c>
      <c r="G3149" s="15">
        <f t="shared" si="2"/>
        <v>2.86</v>
      </c>
      <c r="H3149" s="16">
        <v>0.0</v>
      </c>
      <c r="I3149" s="15">
        <f t="shared" si="3"/>
        <v>2.64</v>
      </c>
      <c r="J3149" s="15">
        <v>18.31</v>
      </c>
      <c r="K3149" s="16">
        <f>IF(COUNTIFS(Release_Calendar!$A$2:$A$755,"US_CPI",Release_Calendar!$B$2:$B$755,$A3149)&gt;0,1,0)</f>
        <v>0</v>
      </c>
      <c r="L3149" s="16">
        <f>IF(COUNTIFS(Release_Calendar!$A$2:$A$755,"US_NFP",Release_Calendar!$B$2:$B$755,$A3149)&gt;0,1,0)</f>
        <v>0</v>
      </c>
      <c r="M3149" s="16" t="str">
        <f>IF($A3149&lt;Notes!$B$5,"",IF(COUNTIFS(Release_Calendar!$A$2:$A$755,"NZ_CPI",Release_Calendar!$B$2:$B$755,$A3149)&gt;0,1,0))</f>
        <v/>
      </c>
      <c r="N3149" s="16" t="str">
        <f>IF($A3149&lt;Notes!$B$5,"",IF(COUNTIFS(Release_Calendar!$A$2:$A$755,"NZ_GDP",Release_Calendar!$B$2:$B$755,$A3149)&gt;0,1,0))</f>
        <v/>
      </c>
      <c r="O3149" s="16" t="str">
        <f>IF($A3149&lt;Notes!$B$5,"",IF(COUNTIFS(Release_Calendar!$A$2:$A$755,"NZ_LABOUR",Release_Calendar!$B$2:$B$755,$A3149)&gt;0,1,0))</f>
        <v/>
      </c>
      <c r="P3149" s="16">
        <f t="shared" si="4"/>
        <v>0</v>
      </c>
    </row>
    <row r="3150" ht="15.75" customHeight="1">
      <c r="A3150" s="14">
        <v>40934.0</v>
      </c>
      <c r="B3150" s="15">
        <v>0.22</v>
      </c>
      <c r="C3150" s="15">
        <v>2.81</v>
      </c>
      <c r="D3150" s="15">
        <v>2.49</v>
      </c>
      <c r="E3150" s="15">
        <v>2.5</v>
      </c>
      <c r="F3150" s="15">
        <f t="shared" si="1"/>
        <v>2.59</v>
      </c>
      <c r="G3150" s="15">
        <f t="shared" si="2"/>
        <v>2.81</v>
      </c>
      <c r="H3150" s="16">
        <v>0.0</v>
      </c>
      <c r="I3150" s="15">
        <f t="shared" si="3"/>
        <v>2.59</v>
      </c>
      <c r="J3150" s="15">
        <v>18.57</v>
      </c>
      <c r="K3150" s="16">
        <f>IF(COUNTIFS(Release_Calendar!$A$2:$A$755,"US_CPI",Release_Calendar!$B$2:$B$755,$A3150)&gt;0,1,0)</f>
        <v>0</v>
      </c>
      <c r="L3150" s="16">
        <f>IF(COUNTIFS(Release_Calendar!$A$2:$A$755,"US_NFP",Release_Calendar!$B$2:$B$755,$A3150)&gt;0,1,0)</f>
        <v>0</v>
      </c>
      <c r="M3150" s="16" t="str">
        <f>IF($A3150&lt;Notes!$B$5,"",IF(COUNTIFS(Release_Calendar!$A$2:$A$755,"NZ_CPI",Release_Calendar!$B$2:$B$755,$A3150)&gt;0,1,0))</f>
        <v/>
      </c>
      <c r="N3150" s="16" t="str">
        <f>IF($A3150&lt;Notes!$B$5,"",IF(COUNTIFS(Release_Calendar!$A$2:$A$755,"NZ_GDP",Release_Calendar!$B$2:$B$755,$A3150)&gt;0,1,0))</f>
        <v/>
      </c>
      <c r="O3150" s="16" t="str">
        <f>IF($A3150&lt;Notes!$B$5,"",IF(COUNTIFS(Release_Calendar!$A$2:$A$755,"NZ_LABOUR",Release_Calendar!$B$2:$B$755,$A3150)&gt;0,1,0))</f>
        <v/>
      </c>
      <c r="P3150" s="16">
        <f t="shared" si="4"/>
        <v>0</v>
      </c>
    </row>
    <row r="3151" ht="15.75" customHeight="1">
      <c r="A3151" s="14">
        <v>40935.0</v>
      </c>
      <c r="B3151" s="15">
        <v>0.22</v>
      </c>
      <c r="C3151" s="15">
        <v>2.8</v>
      </c>
      <c r="D3151" s="15">
        <v>2.5</v>
      </c>
      <c r="E3151" s="15">
        <v>2.5</v>
      </c>
      <c r="F3151" s="15">
        <f t="shared" si="1"/>
        <v>2.58</v>
      </c>
      <c r="G3151" s="15">
        <f t="shared" si="2"/>
        <v>2.8</v>
      </c>
      <c r="H3151" s="16">
        <v>0.0</v>
      </c>
      <c r="I3151" s="15">
        <f t="shared" si="3"/>
        <v>2.58</v>
      </c>
      <c r="J3151" s="15">
        <v>18.53</v>
      </c>
      <c r="K3151" s="16">
        <f>IF(COUNTIFS(Release_Calendar!$A$2:$A$755,"US_CPI",Release_Calendar!$B$2:$B$755,$A3151)&gt;0,1,0)</f>
        <v>0</v>
      </c>
      <c r="L3151" s="16">
        <f>IF(COUNTIFS(Release_Calendar!$A$2:$A$755,"US_NFP",Release_Calendar!$B$2:$B$755,$A3151)&gt;0,1,0)</f>
        <v>0</v>
      </c>
      <c r="M3151" s="16" t="str">
        <f>IF($A3151&lt;Notes!$B$5,"",IF(COUNTIFS(Release_Calendar!$A$2:$A$755,"NZ_CPI",Release_Calendar!$B$2:$B$755,$A3151)&gt;0,1,0))</f>
        <v/>
      </c>
      <c r="N3151" s="16" t="str">
        <f>IF($A3151&lt;Notes!$B$5,"",IF(COUNTIFS(Release_Calendar!$A$2:$A$755,"NZ_GDP",Release_Calendar!$B$2:$B$755,$A3151)&gt;0,1,0))</f>
        <v/>
      </c>
      <c r="O3151" s="16" t="str">
        <f>IF($A3151&lt;Notes!$B$5,"",IF(COUNTIFS(Release_Calendar!$A$2:$A$755,"NZ_LABOUR",Release_Calendar!$B$2:$B$755,$A3151)&gt;0,1,0))</f>
        <v/>
      </c>
      <c r="P3151" s="16">
        <f t="shared" si="4"/>
        <v>0</v>
      </c>
    </row>
    <row r="3152" ht="15.75" customHeight="1">
      <c r="A3152" s="14">
        <v>40938.0</v>
      </c>
      <c r="B3152" s="15">
        <v>0.22</v>
      </c>
      <c r="C3152" s="15">
        <v>2.77</v>
      </c>
      <c r="D3152" s="15">
        <v>2.5</v>
      </c>
      <c r="E3152" s="15">
        <v>2.5</v>
      </c>
      <c r="F3152" s="15">
        <f t="shared" si="1"/>
        <v>2.55</v>
      </c>
      <c r="G3152" s="15">
        <f t="shared" si="2"/>
        <v>2.77</v>
      </c>
      <c r="H3152" s="16">
        <v>0.0</v>
      </c>
      <c r="I3152" s="15">
        <f t="shared" si="3"/>
        <v>2.55</v>
      </c>
      <c r="J3152" s="15">
        <v>19.4</v>
      </c>
      <c r="K3152" s="16">
        <f>IF(COUNTIFS(Release_Calendar!$A$2:$A$755,"US_CPI",Release_Calendar!$B$2:$B$755,$A3152)&gt;0,1,0)</f>
        <v>0</v>
      </c>
      <c r="L3152" s="16">
        <f>IF(COUNTIFS(Release_Calendar!$A$2:$A$755,"US_NFP",Release_Calendar!$B$2:$B$755,$A3152)&gt;0,1,0)</f>
        <v>0</v>
      </c>
      <c r="M3152" s="16" t="str">
        <f>IF($A3152&lt;Notes!$B$5,"",IF(COUNTIFS(Release_Calendar!$A$2:$A$755,"NZ_CPI",Release_Calendar!$B$2:$B$755,$A3152)&gt;0,1,0))</f>
        <v/>
      </c>
      <c r="N3152" s="16" t="str">
        <f>IF($A3152&lt;Notes!$B$5,"",IF(COUNTIFS(Release_Calendar!$A$2:$A$755,"NZ_GDP",Release_Calendar!$B$2:$B$755,$A3152)&gt;0,1,0))</f>
        <v/>
      </c>
      <c r="O3152" s="16" t="str">
        <f>IF($A3152&lt;Notes!$B$5,"",IF(COUNTIFS(Release_Calendar!$A$2:$A$755,"NZ_LABOUR",Release_Calendar!$B$2:$B$755,$A3152)&gt;0,1,0))</f>
        <v/>
      </c>
      <c r="P3152" s="16">
        <f t="shared" si="4"/>
        <v>0</v>
      </c>
    </row>
    <row r="3153" ht="15.75" customHeight="1">
      <c r="A3153" s="14">
        <v>40939.0</v>
      </c>
      <c r="B3153" s="15">
        <v>0.22</v>
      </c>
      <c r="C3153" s="15">
        <v>2.76</v>
      </c>
      <c r="D3153" s="15">
        <v>2.49</v>
      </c>
      <c r="E3153" s="15">
        <v>2.49</v>
      </c>
      <c r="F3153" s="15">
        <f t="shared" si="1"/>
        <v>2.54</v>
      </c>
      <c r="G3153" s="15">
        <f t="shared" si="2"/>
        <v>2.76</v>
      </c>
      <c r="H3153" s="16">
        <v>0.0</v>
      </c>
      <c r="I3153" s="15">
        <f t="shared" si="3"/>
        <v>2.54</v>
      </c>
      <c r="J3153" s="15">
        <v>19.44</v>
      </c>
      <c r="K3153" s="16">
        <f>IF(COUNTIFS(Release_Calendar!$A$2:$A$755,"US_CPI",Release_Calendar!$B$2:$B$755,$A3153)&gt;0,1,0)</f>
        <v>0</v>
      </c>
      <c r="L3153" s="16">
        <f>IF(COUNTIFS(Release_Calendar!$A$2:$A$755,"US_NFP",Release_Calendar!$B$2:$B$755,$A3153)&gt;0,1,0)</f>
        <v>0</v>
      </c>
      <c r="M3153" s="16" t="str">
        <f>IF($A3153&lt;Notes!$B$5,"",IF(COUNTIFS(Release_Calendar!$A$2:$A$755,"NZ_CPI",Release_Calendar!$B$2:$B$755,$A3153)&gt;0,1,0))</f>
        <v/>
      </c>
      <c r="N3153" s="16" t="str">
        <f>IF($A3153&lt;Notes!$B$5,"",IF(COUNTIFS(Release_Calendar!$A$2:$A$755,"NZ_GDP",Release_Calendar!$B$2:$B$755,$A3153)&gt;0,1,0))</f>
        <v/>
      </c>
      <c r="O3153" s="16" t="str">
        <f>IF($A3153&lt;Notes!$B$5,"",IF(COUNTIFS(Release_Calendar!$A$2:$A$755,"NZ_LABOUR",Release_Calendar!$B$2:$B$755,$A3153)&gt;0,1,0))</f>
        <v/>
      </c>
      <c r="P3153" s="16">
        <f t="shared" si="4"/>
        <v>0</v>
      </c>
    </row>
    <row r="3154" ht="15.75" customHeight="1">
      <c r="A3154" s="14">
        <v>40940.0</v>
      </c>
      <c r="B3154" s="15">
        <v>0.23</v>
      </c>
      <c r="C3154" s="15">
        <v>2.74</v>
      </c>
      <c r="D3154" s="15">
        <v>2.49</v>
      </c>
      <c r="E3154" s="15">
        <v>2.49</v>
      </c>
      <c r="F3154" s="15">
        <f t="shared" si="1"/>
        <v>2.51</v>
      </c>
      <c r="G3154" s="15">
        <f t="shared" si="2"/>
        <v>2.74</v>
      </c>
      <c r="H3154" s="16">
        <v>0.0</v>
      </c>
      <c r="I3154" s="15">
        <f t="shared" si="3"/>
        <v>2.51</v>
      </c>
      <c r="J3154" s="15">
        <v>18.55</v>
      </c>
      <c r="K3154" s="16">
        <f>IF(COUNTIFS(Release_Calendar!$A$2:$A$755,"US_CPI",Release_Calendar!$B$2:$B$755,$A3154)&gt;0,1,0)</f>
        <v>0</v>
      </c>
      <c r="L3154" s="16">
        <f>IF(COUNTIFS(Release_Calendar!$A$2:$A$755,"US_NFP",Release_Calendar!$B$2:$B$755,$A3154)&gt;0,1,0)</f>
        <v>0</v>
      </c>
      <c r="M3154" s="16" t="str">
        <f>IF($A3154&lt;Notes!$B$5,"",IF(COUNTIFS(Release_Calendar!$A$2:$A$755,"NZ_CPI",Release_Calendar!$B$2:$B$755,$A3154)&gt;0,1,0))</f>
        <v/>
      </c>
      <c r="N3154" s="16" t="str">
        <f>IF($A3154&lt;Notes!$B$5,"",IF(COUNTIFS(Release_Calendar!$A$2:$A$755,"NZ_GDP",Release_Calendar!$B$2:$B$755,$A3154)&gt;0,1,0))</f>
        <v/>
      </c>
      <c r="O3154" s="16" t="str">
        <f>IF($A3154&lt;Notes!$B$5,"",IF(COUNTIFS(Release_Calendar!$A$2:$A$755,"NZ_LABOUR",Release_Calendar!$B$2:$B$755,$A3154)&gt;0,1,0))</f>
        <v/>
      </c>
      <c r="P3154" s="16">
        <f t="shared" si="4"/>
        <v>0</v>
      </c>
    </row>
    <row r="3155" ht="15.75" customHeight="1">
      <c r="A3155" s="14">
        <v>40941.0</v>
      </c>
      <c r="B3155" s="15">
        <v>0.23</v>
      </c>
      <c r="C3155" s="15">
        <v>2.79</v>
      </c>
      <c r="D3155" s="15">
        <v>2.49</v>
      </c>
      <c r="E3155" s="15">
        <v>2.49</v>
      </c>
      <c r="F3155" s="15">
        <f t="shared" si="1"/>
        <v>2.56</v>
      </c>
      <c r="G3155" s="15">
        <f t="shared" si="2"/>
        <v>2.79</v>
      </c>
      <c r="H3155" s="16">
        <v>0.0</v>
      </c>
      <c r="I3155" s="15">
        <f t="shared" si="3"/>
        <v>2.56</v>
      </c>
      <c r="J3155" s="15">
        <v>17.98</v>
      </c>
      <c r="K3155" s="16">
        <f>IF(COUNTIFS(Release_Calendar!$A$2:$A$755,"US_CPI",Release_Calendar!$B$2:$B$755,$A3155)&gt;0,1,0)</f>
        <v>0</v>
      </c>
      <c r="L3155" s="16">
        <f>IF(COUNTIFS(Release_Calendar!$A$2:$A$755,"US_NFP",Release_Calendar!$B$2:$B$755,$A3155)&gt;0,1,0)</f>
        <v>0</v>
      </c>
      <c r="M3155" s="16" t="str">
        <f>IF($A3155&lt;Notes!$B$5,"",IF(COUNTIFS(Release_Calendar!$A$2:$A$755,"NZ_CPI",Release_Calendar!$B$2:$B$755,$A3155)&gt;0,1,0))</f>
        <v/>
      </c>
      <c r="N3155" s="16" t="str">
        <f>IF($A3155&lt;Notes!$B$5,"",IF(COUNTIFS(Release_Calendar!$A$2:$A$755,"NZ_GDP",Release_Calendar!$B$2:$B$755,$A3155)&gt;0,1,0))</f>
        <v/>
      </c>
      <c r="O3155" s="16" t="str">
        <f>IF($A3155&lt;Notes!$B$5,"",IF(COUNTIFS(Release_Calendar!$A$2:$A$755,"NZ_LABOUR",Release_Calendar!$B$2:$B$755,$A3155)&gt;0,1,0))</f>
        <v/>
      </c>
      <c r="P3155" s="16">
        <f t="shared" si="4"/>
        <v>0</v>
      </c>
    </row>
    <row r="3156" ht="15.75" customHeight="1">
      <c r="A3156" s="14">
        <v>40942.0</v>
      </c>
      <c r="B3156" s="15">
        <v>0.23</v>
      </c>
      <c r="C3156" s="15">
        <v>2.78</v>
      </c>
      <c r="D3156" s="15">
        <v>2.49</v>
      </c>
      <c r="E3156" s="15">
        <v>2.49</v>
      </c>
      <c r="F3156" s="15">
        <f t="shared" si="1"/>
        <v>2.55</v>
      </c>
      <c r="G3156" s="15">
        <f t="shared" si="2"/>
        <v>2.78</v>
      </c>
      <c r="H3156" s="16">
        <v>0.0</v>
      </c>
      <c r="I3156" s="15">
        <f t="shared" si="3"/>
        <v>2.55</v>
      </c>
      <c r="J3156" s="15">
        <v>17.1</v>
      </c>
      <c r="K3156" s="16">
        <f>IF(COUNTIFS(Release_Calendar!$A$2:$A$755,"US_CPI",Release_Calendar!$B$2:$B$755,$A3156)&gt;0,1,0)</f>
        <v>0</v>
      </c>
      <c r="L3156" s="16">
        <f>IF(COUNTIFS(Release_Calendar!$A$2:$A$755,"US_NFP",Release_Calendar!$B$2:$B$755,$A3156)&gt;0,1,0)</f>
        <v>1</v>
      </c>
      <c r="M3156" s="16" t="str">
        <f>IF($A3156&lt;Notes!$B$5,"",IF(COUNTIFS(Release_Calendar!$A$2:$A$755,"NZ_CPI",Release_Calendar!$B$2:$B$755,$A3156)&gt;0,1,0))</f>
        <v/>
      </c>
      <c r="N3156" s="16" t="str">
        <f>IF($A3156&lt;Notes!$B$5,"",IF(COUNTIFS(Release_Calendar!$A$2:$A$755,"NZ_GDP",Release_Calendar!$B$2:$B$755,$A3156)&gt;0,1,0))</f>
        <v/>
      </c>
      <c r="O3156" s="16" t="str">
        <f>IF($A3156&lt;Notes!$B$5,"",IF(COUNTIFS(Release_Calendar!$A$2:$A$755,"NZ_LABOUR",Release_Calendar!$B$2:$B$755,$A3156)&gt;0,1,0))</f>
        <v/>
      </c>
      <c r="P3156" s="16">
        <f t="shared" si="4"/>
        <v>1</v>
      </c>
    </row>
    <row r="3157" ht="15.75" customHeight="1">
      <c r="A3157" s="14">
        <v>40945.0</v>
      </c>
      <c r="B3157" s="15">
        <v>0.24</v>
      </c>
      <c r="C3157" s="15"/>
      <c r="D3157" s="15"/>
      <c r="E3157" s="15"/>
      <c r="F3157" s="15" t="str">
        <f t="shared" si="1"/>
        <v/>
      </c>
      <c r="G3157" s="15" t="str">
        <f t="shared" si="2"/>
        <v/>
      </c>
      <c r="H3157" s="16">
        <v>0.0</v>
      </c>
      <c r="I3157" s="15" t="str">
        <f t="shared" si="3"/>
        <v/>
      </c>
      <c r="J3157" s="15">
        <v>17.76</v>
      </c>
      <c r="K3157" s="16">
        <f>IF(COUNTIFS(Release_Calendar!$A$2:$A$755,"US_CPI",Release_Calendar!$B$2:$B$755,$A3157)&gt;0,1,0)</f>
        <v>0</v>
      </c>
      <c r="L3157" s="16">
        <f>IF(COUNTIFS(Release_Calendar!$A$2:$A$755,"US_NFP",Release_Calendar!$B$2:$B$755,$A3157)&gt;0,1,0)</f>
        <v>0</v>
      </c>
      <c r="M3157" s="16" t="str">
        <f>IF($A3157&lt;Notes!$B$5,"",IF(COUNTIFS(Release_Calendar!$A$2:$A$755,"NZ_CPI",Release_Calendar!$B$2:$B$755,$A3157)&gt;0,1,0))</f>
        <v/>
      </c>
      <c r="N3157" s="16" t="str">
        <f>IF($A3157&lt;Notes!$B$5,"",IF(COUNTIFS(Release_Calendar!$A$2:$A$755,"NZ_GDP",Release_Calendar!$B$2:$B$755,$A3157)&gt;0,1,0))</f>
        <v/>
      </c>
      <c r="O3157" s="16" t="str">
        <f>IF($A3157&lt;Notes!$B$5,"",IF(COUNTIFS(Release_Calendar!$A$2:$A$755,"NZ_LABOUR",Release_Calendar!$B$2:$B$755,$A3157)&gt;0,1,0))</f>
        <v/>
      </c>
      <c r="P3157" s="16">
        <f t="shared" si="4"/>
        <v>0</v>
      </c>
    </row>
    <row r="3158" ht="15.75" customHeight="1">
      <c r="A3158" s="14">
        <v>40946.0</v>
      </c>
      <c r="B3158" s="15">
        <v>0.25</v>
      </c>
      <c r="C3158" s="15">
        <v>2.82</v>
      </c>
      <c r="D3158" s="15">
        <v>2.5</v>
      </c>
      <c r="E3158" s="15">
        <v>2.5</v>
      </c>
      <c r="F3158" s="15">
        <f t="shared" si="1"/>
        <v>2.57</v>
      </c>
      <c r="G3158" s="15">
        <f t="shared" si="2"/>
        <v>2.82</v>
      </c>
      <c r="H3158" s="16">
        <v>0.0</v>
      </c>
      <c r="I3158" s="15">
        <f t="shared" si="3"/>
        <v>2.57</v>
      </c>
      <c r="J3158" s="15">
        <v>17.65</v>
      </c>
      <c r="K3158" s="16">
        <f>IF(COUNTIFS(Release_Calendar!$A$2:$A$755,"US_CPI",Release_Calendar!$B$2:$B$755,$A3158)&gt;0,1,0)</f>
        <v>0</v>
      </c>
      <c r="L3158" s="16">
        <f>IF(COUNTIFS(Release_Calendar!$A$2:$A$755,"US_NFP",Release_Calendar!$B$2:$B$755,$A3158)&gt;0,1,0)</f>
        <v>0</v>
      </c>
      <c r="M3158" s="16" t="str">
        <f>IF($A3158&lt;Notes!$B$5,"",IF(COUNTIFS(Release_Calendar!$A$2:$A$755,"NZ_CPI",Release_Calendar!$B$2:$B$755,$A3158)&gt;0,1,0))</f>
        <v/>
      </c>
      <c r="N3158" s="16" t="str">
        <f>IF($A3158&lt;Notes!$B$5,"",IF(COUNTIFS(Release_Calendar!$A$2:$A$755,"NZ_GDP",Release_Calendar!$B$2:$B$755,$A3158)&gt;0,1,0))</f>
        <v/>
      </c>
      <c r="O3158" s="16" t="str">
        <f>IF($A3158&lt;Notes!$B$5,"",IF(COUNTIFS(Release_Calendar!$A$2:$A$755,"NZ_LABOUR",Release_Calendar!$B$2:$B$755,$A3158)&gt;0,1,0))</f>
        <v/>
      </c>
      <c r="P3158" s="16">
        <f t="shared" si="4"/>
        <v>0</v>
      </c>
    </row>
    <row r="3159" ht="15.75" customHeight="1">
      <c r="A3159" s="14">
        <v>40947.0</v>
      </c>
      <c r="B3159" s="15">
        <v>0.27</v>
      </c>
      <c r="C3159" s="15">
        <v>2.88</v>
      </c>
      <c r="D3159" s="15">
        <v>2.52</v>
      </c>
      <c r="E3159" s="15">
        <v>2.52</v>
      </c>
      <c r="F3159" s="15">
        <f t="shared" si="1"/>
        <v>2.61</v>
      </c>
      <c r="G3159" s="15">
        <f t="shared" si="2"/>
        <v>2.88</v>
      </c>
      <c r="H3159" s="16">
        <v>0.0</v>
      </c>
      <c r="I3159" s="15">
        <f t="shared" si="3"/>
        <v>2.61</v>
      </c>
      <c r="J3159" s="15">
        <v>18.16</v>
      </c>
      <c r="K3159" s="16">
        <f>IF(COUNTIFS(Release_Calendar!$A$2:$A$755,"US_CPI",Release_Calendar!$B$2:$B$755,$A3159)&gt;0,1,0)</f>
        <v>0</v>
      </c>
      <c r="L3159" s="16">
        <f>IF(COUNTIFS(Release_Calendar!$A$2:$A$755,"US_NFP",Release_Calendar!$B$2:$B$755,$A3159)&gt;0,1,0)</f>
        <v>0</v>
      </c>
      <c r="M3159" s="16" t="str">
        <f>IF($A3159&lt;Notes!$B$5,"",IF(COUNTIFS(Release_Calendar!$A$2:$A$755,"NZ_CPI",Release_Calendar!$B$2:$B$755,$A3159)&gt;0,1,0))</f>
        <v/>
      </c>
      <c r="N3159" s="16" t="str">
        <f>IF($A3159&lt;Notes!$B$5,"",IF(COUNTIFS(Release_Calendar!$A$2:$A$755,"NZ_GDP",Release_Calendar!$B$2:$B$755,$A3159)&gt;0,1,0))</f>
        <v/>
      </c>
      <c r="O3159" s="16" t="str">
        <f>IF($A3159&lt;Notes!$B$5,"",IF(COUNTIFS(Release_Calendar!$A$2:$A$755,"NZ_LABOUR",Release_Calendar!$B$2:$B$755,$A3159)&gt;0,1,0))</f>
        <v/>
      </c>
      <c r="P3159" s="16">
        <f t="shared" si="4"/>
        <v>0</v>
      </c>
    </row>
    <row r="3160" ht="15.75" customHeight="1">
      <c r="A3160" s="14">
        <v>40948.0</v>
      </c>
      <c r="B3160" s="15">
        <v>0.27</v>
      </c>
      <c r="C3160" s="15">
        <v>2.91</v>
      </c>
      <c r="D3160" s="15">
        <v>2.52</v>
      </c>
      <c r="E3160" s="15">
        <v>2.52</v>
      </c>
      <c r="F3160" s="15">
        <f t="shared" si="1"/>
        <v>2.64</v>
      </c>
      <c r="G3160" s="15">
        <f t="shared" si="2"/>
        <v>2.91</v>
      </c>
      <c r="H3160" s="16">
        <v>0.0</v>
      </c>
      <c r="I3160" s="15">
        <f t="shared" si="3"/>
        <v>2.64</v>
      </c>
      <c r="J3160" s="15">
        <v>18.63</v>
      </c>
      <c r="K3160" s="16">
        <f>IF(COUNTIFS(Release_Calendar!$A$2:$A$755,"US_CPI",Release_Calendar!$B$2:$B$755,$A3160)&gt;0,1,0)</f>
        <v>0</v>
      </c>
      <c r="L3160" s="16">
        <f>IF(COUNTIFS(Release_Calendar!$A$2:$A$755,"US_NFP",Release_Calendar!$B$2:$B$755,$A3160)&gt;0,1,0)</f>
        <v>0</v>
      </c>
      <c r="M3160" s="16" t="str">
        <f>IF($A3160&lt;Notes!$B$5,"",IF(COUNTIFS(Release_Calendar!$A$2:$A$755,"NZ_CPI",Release_Calendar!$B$2:$B$755,$A3160)&gt;0,1,0))</f>
        <v/>
      </c>
      <c r="N3160" s="16" t="str">
        <f>IF($A3160&lt;Notes!$B$5,"",IF(COUNTIFS(Release_Calendar!$A$2:$A$755,"NZ_GDP",Release_Calendar!$B$2:$B$755,$A3160)&gt;0,1,0))</f>
        <v/>
      </c>
      <c r="O3160" s="16" t="str">
        <f>IF($A3160&lt;Notes!$B$5,"",IF(COUNTIFS(Release_Calendar!$A$2:$A$755,"NZ_LABOUR",Release_Calendar!$B$2:$B$755,$A3160)&gt;0,1,0))</f>
        <v/>
      </c>
      <c r="P3160" s="16">
        <f t="shared" si="4"/>
        <v>0</v>
      </c>
    </row>
    <row r="3161" ht="15.75" customHeight="1">
      <c r="A3161" s="14">
        <v>40949.0</v>
      </c>
      <c r="B3161" s="15">
        <v>0.27</v>
      </c>
      <c r="C3161" s="15">
        <v>2.89</v>
      </c>
      <c r="D3161" s="15">
        <v>2.54</v>
      </c>
      <c r="E3161" s="15">
        <v>2.54</v>
      </c>
      <c r="F3161" s="15">
        <f t="shared" si="1"/>
        <v>2.62</v>
      </c>
      <c r="G3161" s="15">
        <f t="shared" si="2"/>
        <v>2.89</v>
      </c>
      <c r="H3161" s="16">
        <v>0.0</v>
      </c>
      <c r="I3161" s="15">
        <f t="shared" si="3"/>
        <v>2.62</v>
      </c>
      <c r="J3161" s="15">
        <v>20.79</v>
      </c>
      <c r="K3161" s="16">
        <f>IF(COUNTIFS(Release_Calendar!$A$2:$A$755,"US_CPI",Release_Calendar!$B$2:$B$755,$A3161)&gt;0,1,0)</f>
        <v>0</v>
      </c>
      <c r="L3161" s="16">
        <f>IF(COUNTIFS(Release_Calendar!$A$2:$A$755,"US_NFP",Release_Calendar!$B$2:$B$755,$A3161)&gt;0,1,0)</f>
        <v>0</v>
      </c>
      <c r="M3161" s="16" t="str">
        <f>IF($A3161&lt;Notes!$B$5,"",IF(COUNTIFS(Release_Calendar!$A$2:$A$755,"NZ_CPI",Release_Calendar!$B$2:$B$755,$A3161)&gt;0,1,0))</f>
        <v/>
      </c>
      <c r="N3161" s="16" t="str">
        <f>IF($A3161&lt;Notes!$B$5,"",IF(COUNTIFS(Release_Calendar!$A$2:$A$755,"NZ_GDP",Release_Calendar!$B$2:$B$755,$A3161)&gt;0,1,0))</f>
        <v/>
      </c>
      <c r="O3161" s="16" t="str">
        <f>IF($A3161&lt;Notes!$B$5,"",IF(COUNTIFS(Release_Calendar!$A$2:$A$755,"NZ_LABOUR",Release_Calendar!$B$2:$B$755,$A3161)&gt;0,1,0))</f>
        <v/>
      </c>
      <c r="P3161" s="16">
        <f t="shared" si="4"/>
        <v>0</v>
      </c>
    </row>
    <row r="3162" ht="15.75" customHeight="1">
      <c r="A3162" s="14">
        <v>40952.0</v>
      </c>
      <c r="B3162" s="15">
        <v>0.29</v>
      </c>
      <c r="C3162" s="15">
        <v>2.9</v>
      </c>
      <c r="D3162" s="15">
        <v>2.54</v>
      </c>
      <c r="E3162" s="15">
        <v>2.54</v>
      </c>
      <c r="F3162" s="15">
        <f t="shared" si="1"/>
        <v>2.61</v>
      </c>
      <c r="G3162" s="15">
        <f t="shared" si="2"/>
        <v>2.9</v>
      </c>
      <c r="H3162" s="16">
        <v>0.0</v>
      </c>
      <c r="I3162" s="15">
        <f t="shared" si="3"/>
        <v>2.61</v>
      </c>
      <c r="J3162" s="15">
        <v>19.04</v>
      </c>
      <c r="K3162" s="16">
        <f>IF(COUNTIFS(Release_Calendar!$A$2:$A$755,"US_CPI",Release_Calendar!$B$2:$B$755,$A3162)&gt;0,1,0)</f>
        <v>0</v>
      </c>
      <c r="L3162" s="16">
        <f>IF(COUNTIFS(Release_Calendar!$A$2:$A$755,"US_NFP",Release_Calendar!$B$2:$B$755,$A3162)&gt;0,1,0)</f>
        <v>0</v>
      </c>
      <c r="M3162" s="16" t="str">
        <f>IF($A3162&lt;Notes!$B$5,"",IF(COUNTIFS(Release_Calendar!$A$2:$A$755,"NZ_CPI",Release_Calendar!$B$2:$B$755,$A3162)&gt;0,1,0))</f>
        <v/>
      </c>
      <c r="N3162" s="16" t="str">
        <f>IF($A3162&lt;Notes!$B$5,"",IF(COUNTIFS(Release_Calendar!$A$2:$A$755,"NZ_GDP",Release_Calendar!$B$2:$B$755,$A3162)&gt;0,1,0))</f>
        <v/>
      </c>
      <c r="O3162" s="16" t="str">
        <f>IF($A3162&lt;Notes!$B$5,"",IF(COUNTIFS(Release_Calendar!$A$2:$A$755,"NZ_LABOUR",Release_Calendar!$B$2:$B$755,$A3162)&gt;0,1,0))</f>
        <v/>
      </c>
      <c r="P3162" s="16">
        <f t="shared" si="4"/>
        <v>0</v>
      </c>
    </row>
    <row r="3163" ht="15.75" customHeight="1">
      <c r="A3163" s="14">
        <v>40953.0</v>
      </c>
      <c r="B3163" s="15">
        <v>0.29</v>
      </c>
      <c r="C3163" s="15">
        <v>2.88</v>
      </c>
      <c r="D3163" s="15">
        <v>2.58</v>
      </c>
      <c r="E3163" s="15">
        <v>2.58</v>
      </c>
      <c r="F3163" s="15">
        <f t="shared" si="1"/>
        <v>2.59</v>
      </c>
      <c r="G3163" s="15">
        <f t="shared" si="2"/>
        <v>2.88</v>
      </c>
      <c r="H3163" s="16">
        <v>0.0</v>
      </c>
      <c r="I3163" s="15">
        <f t="shared" si="3"/>
        <v>2.59</v>
      </c>
      <c r="J3163" s="15">
        <v>19.54</v>
      </c>
      <c r="K3163" s="16">
        <f>IF(COUNTIFS(Release_Calendar!$A$2:$A$755,"US_CPI",Release_Calendar!$B$2:$B$755,$A3163)&gt;0,1,0)</f>
        <v>0</v>
      </c>
      <c r="L3163" s="16">
        <f>IF(COUNTIFS(Release_Calendar!$A$2:$A$755,"US_NFP",Release_Calendar!$B$2:$B$755,$A3163)&gt;0,1,0)</f>
        <v>0</v>
      </c>
      <c r="M3163" s="16" t="str">
        <f>IF($A3163&lt;Notes!$B$5,"",IF(COUNTIFS(Release_Calendar!$A$2:$A$755,"NZ_CPI",Release_Calendar!$B$2:$B$755,$A3163)&gt;0,1,0))</f>
        <v/>
      </c>
      <c r="N3163" s="16" t="str">
        <f>IF($A3163&lt;Notes!$B$5,"",IF(COUNTIFS(Release_Calendar!$A$2:$A$755,"NZ_GDP",Release_Calendar!$B$2:$B$755,$A3163)&gt;0,1,0))</f>
        <v/>
      </c>
      <c r="O3163" s="16" t="str">
        <f>IF($A3163&lt;Notes!$B$5,"",IF(COUNTIFS(Release_Calendar!$A$2:$A$755,"NZ_LABOUR",Release_Calendar!$B$2:$B$755,$A3163)&gt;0,1,0))</f>
        <v/>
      </c>
      <c r="P3163" s="16">
        <f t="shared" si="4"/>
        <v>0</v>
      </c>
    </row>
    <row r="3164" ht="15.75" customHeight="1">
      <c r="A3164" s="14">
        <v>40954.0</v>
      </c>
      <c r="B3164" s="15">
        <v>0.29</v>
      </c>
      <c r="C3164" s="15">
        <v>2.93</v>
      </c>
      <c r="D3164" s="15">
        <v>2.56</v>
      </c>
      <c r="E3164" s="15">
        <v>2.56</v>
      </c>
      <c r="F3164" s="15">
        <f t="shared" si="1"/>
        <v>2.64</v>
      </c>
      <c r="G3164" s="15">
        <f t="shared" si="2"/>
        <v>2.93</v>
      </c>
      <c r="H3164" s="16">
        <v>0.0</v>
      </c>
      <c r="I3164" s="15">
        <f t="shared" si="3"/>
        <v>2.64</v>
      </c>
      <c r="J3164" s="15">
        <v>21.14</v>
      </c>
      <c r="K3164" s="16">
        <f>IF(COUNTIFS(Release_Calendar!$A$2:$A$755,"US_CPI",Release_Calendar!$B$2:$B$755,$A3164)&gt;0,1,0)</f>
        <v>0</v>
      </c>
      <c r="L3164" s="16">
        <f>IF(COUNTIFS(Release_Calendar!$A$2:$A$755,"US_NFP",Release_Calendar!$B$2:$B$755,$A3164)&gt;0,1,0)</f>
        <v>0</v>
      </c>
      <c r="M3164" s="16" t="str">
        <f>IF($A3164&lt;Notes!$B$5,"",IF(COUNTIFS(Release_Calendar!$A$2:$A$755,"NZ_CPI",Release_Calendar!$B$2:$B$755,$A3164)&gt;0,1,0))</f>
        <v/>
      </c>
      <c r="N3164" s="16" t="str">
        <f>IF($A3164&lt;Notes!$B$5,"",IF(COUNTIFS(Release_Calendar!$A$2:$A$755,"NZ_GDP",Release_Calendar!$B$2:$B$755,$A3164)&gt;0,1,0))</f>
        <v/>
      </c>
      <c r="O3164" s="16" t="str">
        <f>IF($A3164&lt;Notes!$B$5,"",IF(COUNTIFS(Release_Calendar!$A$2:$A$755,"NZ_LABOUR",Release_Calendar!$B$2:$B$755,$A3164)&gt;0,1,0))</f>
        <v/>
      </c>
      <c r="P3164" s="16">
        <f t="shared" si="4"/>
        <v>0</v>
      </c>
    </row>
    <row r="3165" ht="15.75" customHeight="1">
      <c r="A3165" s="14">
        <v>40955.0</v>
      </c>
      <c r="B3165" s="15">
        <v>0.29</v>
      </c>
      <c r="C3165" s="15">
        <v>2.87</v>
      </c>
      <c r="D3165" s="15">
        <v>2.56</v>
      </c>
      <c r="E3165" s="15">
        <v>2.57</v>
      </c>
      <c r="F3165" s="15">
        <f t="shared" si="1"/>
        <v>2.58</v>
      </c>
      <c r="G3165" s="15">
        <f t="shared" si="2"/>
        <v>2.87</v>
      </c>
      <c r="H3165" s="16">
        <v>0.0</v>
      </c>
      <c r="I3165" s="15">
        <f t="shared" si="3"/>
        <v>2.58</v>
      </c>
      <c r="J3165" s="15">
        <v>19.22</v>
      </c>
      <c r="K3165" s="16">
        <f>IF(COUNTIFS(Release_Calendar!$A$2:$A$755,"US_CPI",Release_Calendar!$B$2:$B$755,$A3165)&gt;0,1,0)</f>
        <v>0</v>
      </c>
      <c r="L3165" s="16">
        <f>IF(COUNTIFS(Release_Calendar!$A$2:$A$755,"US_NFP",Release_Calendar!$B$2:$B$755,$A3165)&gt;0,1,0)</f>
        <v>0</v>
      </c>
      <c r="M3165" s="16" t="str">
        <f>IF($A3165&lt;Notes!$B$5,"",IF(COUNTIFS(Release_Calendar!$A$2:$A$755,"NZ_CPI",Release_Calendar!$B$2:$B$755,$A3165)&gt;0,1,0))</f>
        <v/>
      </c>
      <c r="N3165" s="16" t="str">
        <f>IF($A3165&lt;Notes!$B$5,"",IF(COUNTIFS(Release_Calendar!$A$2:$A$755,"NZ_GDP",Release_Calendar!$B$2:$B$755,$A3165)&gt;0,1,0))</f>
        <v/>
      </c>
      <c r="O3165" s="16" t="str">
        <f>IF($A3165&lt;Notes!$B$5,"",IF(COUNTIFS(Release_Calendar!$A$2:$A$755,"NZ_LABOUR",Release_Calendar!$B$2:$B$755,$A3165)&gt;0,1,0))</f>
        <v/>
      </c>
      <c r="P3165" s="16">
        <f t="shared" si="4"/>
        <v>0</v>
      </c>
    </row>
    <row r="3166" ht="15.75" customHeight="1">
      <c r="A3166" s="14">
        <v>40956.0</v>
      </c>
      <c r="B3166" s="15">
        <v>0.29</v>
      </c>
      <c r="C3166" s="15">
        <v>2.96</v>
      </c>
      <c r="D3166" s="15">
        <v>2.57</v>
      </c>
      <c r="E3166" s="15">
        <v>2.59</v>
      </c>
      <c r="F3166" s="15">
        <f t="shared" si="1"/>
        <v>2.67</v>
      </c>
      <c r="G3166" s="15">
        <f t="shared" si="2"/>
        <v>2.96</v>
      </c>
      <c r="H3166" s="16">
        <v>0.0</v>
      </c>
      <c r="I3166" s="15">
        <f t="shared" si="3"/>
        <v>2.67</v>
      </c>
      <c r="J3166" s="15">
        <v>17.78</v>
      </c>
      <c r="K3166" s="16">
        <f>IF(COUNTIFS(Release_Calendar!$A$2:$A$755,"US_CPI",Release_Calendar!$B$2:$B$755,$A3166)&gt;0,1,0)</f>
        <v>1</v>
      </c>
      <c r="L3166" s="16">
        <f>IF(COUNTIFS(Release_Calendar!$A$2:$A$755,"US_NFP",Release_Calendar!$B$2:$B$755,$A3166)&gt;0,1,0)</f>
        <v>0</v>
      </c>
      <c r="M3166" s="16" t="str">
        <f>IF($A3166&lt;Notes!$B$5,"",IF(COUNTIFS(Release_Calendar!$A$2:$A$755,"NZ_CPI",Release_Calendar!$B$2:$B$755,$A3166)&gt;0,1,0))</f>
        <v/>
      </c>
      <c r="N3166" s="16" t="str">
        <f>IF($A3166&lt;Notes!$B$5,"",IF(COUNTIFS(Release_Calendar!$A$2:$A$755,"NZ_GDP",Release_Calendar!$B$2:$B$755,$A3166)&gt;0,1,0))</f>
        <v/>
      </c>
      <c r="O3166" s="16" t="str">
        <f>IF($A3166&lt;Notes!$B$5,"",IF(COUNTIFS(Release_Calendar!$A$2:$A$755,"NZ_LABOUR",Release_Calendar!$B$2:$B$755,$A3166)&gt;0,1,0))</f>
        <v/>
      </c>
      <c r="P3166" s="16">
        <f t="shared" si="4"/>
        <v>1</v>
      </c>
    </row>
    <row r="3167" ht="15.75" customHeight="1">
      <c r="A3167" s="14">
        <v>40959.0</v>
      </c>
      <c r="B3167" s="15"/>
      <c r="C3167" s="15">
        <v>3.07</v>
      </c>
      <c r="D3167" s="15">
        <v>2.61</v>
      </c>
      <c r="E3167" s="15">
        <v>2.62</v>
      </c>
      <c r="F3167" s="15" t="str">
        <f t="shared" si="1"/>
        <v/>
      </c>
      <c r="G3167" s="15">
        <f t="shared" si="2"/>
        <v>3.07</v>
      </c>
      <c r="H3167" s="16">
        <v>0.0</v>
      </c>
      <c r="I3167" s="15" t="str">
        <f t="shared" si="3"/>
        <v/>
      </c>
      <c r="J3167" s="15"/>
      <c r="K3167" s="16">
        <f>IF(COUNTIFS(Release_Calendar!$A$2:$A$755,"US_CPI",Release_Calendar!$B$2:$B$755,$A3167)&gt;0,1,0)</f>
        <v>0</v>
      </c>
      <c r="L3167" s="16">
        <f>IF(COUNTIFS(Release_Calendar!$A$2:$A$755,"US_NFP",Release_Calendar!$B$2:$B$755,$A3167)&gt;0,1,0)</f>
        <v>0</v>
      </c>
      <c r="M3167" s="16" t="str">
        <f>IF($A3167&lt;Notes!$B$5,"",IF(COUNTIFS(Release_Calendar!$A$2:$A$755,"NZ_CPI",Release_Calendar!$B$2:$B$755,$A3167)&gt;0,1,0))</f>
        <v/>
      </c>
      <c r="N3167" s="16" t="str">
        <f>IF($A3167&lt;Notes!$B$5,"",IF(COUNTIFS(Release_Calendar!$A$2:$A$755,"NZ_GDP",Release_Calendar!$B$2:$B$755,$A3167)&gt;0,1,0))</f>
        <v/>
      </c>
      <c r="O3167" s="16" t="str">
        <f>IF($A3167&lt;Notes!$B$5,"",IF(COUNTIFS(Release_Calendar!$A$2:$A$755,"NZ_LABOUR",Release_Calendar!$B$2:$B$755,$A3167)&gt;0,1,0))</f>
        <v/>
      </c>
      <c r="P3167" s="16">
        <f t="shared" si="4"/>
        <v>0</v>
      </c>
    </row>
    <row r="3168" ht="15.75" customHeight="1">
      <c r="A3168" s="14">
        <v>40960.0</v>
      </c>
      <c r="B3168" s="15">
        <v>0.31</v>
      </c>
      <c r="C3168" s="15">
        <v>3.04</v>
      </c>
      <c r="D3168" s="15">
        <v>3.04</v>
      </c>
      <c r="E3168" s="15">
        <v>3.02</v>
      </c>
      <c r="F3168" s="15">
        <f t="shared" si="1"/>
        <v>2.73</v>
      </c>
      <c r="G3168" s="15">
        <f t="shared" si="2"/>
        <v>3.04</v>
      </c>
      <c r="H3168" s="16">
        <v>0.0</v>
      </c>
      <c r="I3168" s="15">
        <f t="shared" si="3"/>
        <v>2.73</v>
      </c>
      <c r="J3168" s="15">
        <v>18.19</v>
      </c>
      <c r="K3168" s="16">
        <f>IF(COUNTIFS(Release_Calendar!$A$2:$A$755,"US_CPI",Release_Calendar!$B$2:$B$755,$A3168)&gt;0,1,0)</f>
        <v>0</v>
      </c>
      <c r="L3168" s="16">
        <f>IF(COUNTIFS(Release_Calendar!$A$2:$A$755,"US_NFP",Release_Calendar!$B$2:$B$755,$A3168)&gt;0,1,0)</f>
        <v>0</v>
      </c>
      <c r="M3168" s="16" t="str">
        <f>IF($A3168&lt;Notes!$B$5,"",IF(COUNTIFS(Release_Calendar!$A$2:$A$755,"NZ_CPI",Release_Calendar!$B$2:$B$755,$A3168)&gt;0,1,0))</f>
        <v/>
      </c>
      <c r="N3168" s="16" t="str">
        <f>IF($A3168&lt;Notes!$B$5,"",IF(COUNTIFS(Release_Calendar!$A$2:$A$755,"NZ_GDP",Release_Calendar!$B$2:$B$755,$A3168)&gt;0,1,0))</f>
        <v/>
      </c>
      <c r="O3168" s="16" t="str">
        <f>IF($A3168&lt;Notes!$B$5,"",IF(COUNTIFS(Release_Calendar!$A$2:$A$755,"NZ_LABOUR",Release_Calendar!$B$2:$B$755,$A3168)&gt;0,1,0))</f>
        <v/>
      </c>
      <c r="P3168" s="16">
        <f t="shared" si="4"/>
        <v>0</v>
      </c>
    </row>
    <row r="3169" ht="15.75" customHeight="1">
      <c r="A3169" s="14">
        <v>40961.0</v>
      </c>
      <c r="B3169" s="15">
        <v>0.29</v>
      </c>
      <c r="C3169" s="15">
        <v>3.0</v>
      </c>
      <c r="D3169" s="15">
        <v>3.02</v>
      </c>
      <c r="E3169" s="15">
        <v>3.02</v>
      </c>
      <c r="F3169" s="15">
        <f t="shared" si="1"/>
        <v>2.71</v>
      </c>
      <c r="G3169" s="15">
        <f t="shared" si="2"/>
        <v>3</v>
      </c>
      <c r="H3169" s="16">
        <v>0.0</v>
      </c>
      <c r="I3169" s="15">
        <f t="shared" si="3"/>
        <v>2.71</v>
      </c>
      <c r="J3169" s="15">
        <v>18.19</v>
      </c>
      <c r="K3169" s="16">
        <f>IF(COUNTIFS(Release_Calendar!$A$2:$A$755,"US_CPI",Release_Calendar!$B$2:$B$755,$A3169)&gt;0,1,0)</f>
        <v>0</v>
      </c>
      <c r="L3169" s="16">
        <f>IF(COUNTIFS(Release_Calendar!$A$2:$A$755,"US_NFP",Release_Calendar!$B$2:$B$755,$A3169)&gt;0,1,0)</f>
        <v>0</v>
      </c>
      <c r="M3169" s="16" t="str">
        <f>IF($A3169&lt;Notes!$B$5,"",IF(COUNTIFS(Release_Calendar!$A$2:$A$755,"NZ_CPI",Release_Calendar!$B$2:$B$755,$A3169)&gt;0,1,0))</f>
        <v/>
      </c>
      <c r="N3169" s="16" t="str">
        <f>IF($A3169&lt;Notes!$B$5,"",IF(COUNTIFS(Release_Calendar!$A$2:$A$755,"NZ_GDP",Release_Calendar!$B$2:$B$755,$A3169)&gt;0,1,0))</f>
        <v/>
      </c>
      <c r="O3169" s="16" t="str">
        <f>IF($A3169&lt;Notes!$B$5,"",IF(COUNTIFS(Release_Calendar!$A$2:$A$755,"NZ_LABOUR",Release_Calendar!$B$2:$B$755,$A3169)&gt;0,1,0))</f>
        <v/>
      </c>
      <c r="P3169" s="16">
        <f t="shared" si="4"/>
        <v>0</v>
      </c>
    </row>
    <row r="3170" ht="15.75" customHeight="1">
      <c r="A3170" s="14">
        <v>40962.0</v>
      </c>
      <c r="B3170" s="15">
        <v>0.31</v>
      </c>
      <c r="C3170" s="15">
        <v>3.04</v>
      </c>
      <c r="D3170" s="15">
        <v>3.01</v>
      </c>
      <c r="E3170" s="15">
        <v>3.05</v>
      </c>
      <c r="F3170" s="15">
        <f t="shared" si="1"/>
        <v>2.73</v>
      </c>
      <c r="G3170" s="15">
        <f t="shared" si="2"/>
        <v>3.04</v>
      </c>
      <c r="H3170" s="16">
        <v>0.0</v>
      </c>
      <c r="I3170" s="15">
        <f t="shared" si="3"/>
        <v>2.73</v>
      </c>
      <c r="J3170" s="15">
        <v>16.8</v>
      </c>
      <c r="K3170" s="16">
        <f>IF(COUNTIFS(Release_Calendar!$A$2:$A$755,"US_CPI",Release_Calendar!$B$2:$B$755,$A3170)&gt;0,1,0)</f>
        <v>0</v>
      </c>
      <c r="L3170" s="16">
        <f>IF(COUNTIFS(Release_Calendar!$A$2:$A$755,"US_NFP",Release_Calendar!$B$2:$B$755,$A3170)&gt;0,1,0)</f>
        <v>0</v>
      </c>
      <c r="M3170" s="16" t="str">
        <f>IF($A3170&lt;Notes!$B$5,"",IF(COUNTIFS(Release_Calendar!$A$2:$A$755,"NZ_CPI",Release_Calendar!$B$2:$B$755,$A3170)&gt;0,1,0))</f>
        <v/>
      </c>
      <c r="N3170" s="16" t="str">
        <f>IF($A3170&lt;Notes!$B$5,"",IF(COUNTIFS(Release_Calendar!$A$2:$A$755,"NZ_GDP",Release_Calendar!$B$2:$B$755,$A3170)&gt;0,1,0))</f>
        <v/>
      </c>
      <c r="O3170" s="16" t="str">
        <f>IF($A3170&lt;Notes!$B$5,"",IF(COUNTIFS(Release_Calendar!$A$2:$A$755,"NZ_LABOUR",Release_Calendar!$B$2:$B$755,$A3170)&gt;0,1,0))</f>
        <v/>
      </c>
      <c r="P3170" s="16">
        <f t="shared" si="4"/>
        <v>0</v>
      </c>
    </row>
    <row r="3171" ht="15.75" customHeight="1">
      <c r="A3171" s="14">
        <v>40963.0</v>
      </c>
      <c r="B3171" s="15">
        <v>0.31</v>
      </c>
      <c r="C3171" s="15">
        <v>3.09</v>
      </c>
      <c r="D3171" s="15">
        <v>3.07</v>
      </c>
      <c r="E3171" s="15">
        <v>3.11</v>
      </c>
      <c r="F3171" s="15">
        <f t="shared" si="1"/>
        <v>2.78</v>
      </c>
      <c r="G3171" s="15">
        <f t="shared" si="2"/>
        <v>3.09</v>
      </c>
      <c r="H3171" s="16">
        <v>0.0</v>
      </c>
      <c r="I3171" s="15">
        <f t="shared" si="3"/>
        <v>2.78</v>
      </c>
      <c r="J3171" s="15">
        <v>17.31</v>
      </c>
      <c r="K3171" s="16">
        <f>IF(COUNTIFS(Release_Calendar!$A$2:$A$755,"US_CPI",Release_Calendar!$B$2:$B$755,$A3171)&gt;0,1,0)</f>
        <v>0</v>
      </c>
      <c r="L3171" s="16">
        <f>IF(COUNTIFS(Release_Calendar!$A$2:$A$755,"US_NFP",Release_Calendar!$B$2:$B$755,$A3171)&gt;0,1,0)</f>
        <v>0</v>
      </c>
      <c r="M3171" s="16" t="str">
        <f>IF($A3171&lt;Notes!$B$5,"",IF(COUNTIFS(Release_Calendar!$A$2:$A$755,"NZ_CPI",Release_Calendar!$B$2:$B$755,$A3171)&gt;0,1,0))</f>
        <v/>
      </c>
      <c r="N3171" s="16" t="str">
        <f>IF($A3171&lt;Notes!$B$5,"",IF(COUNTIFS(Release_Calendar!$A$2:$A$755,"NZ_GDP",Release_Calendar!$B$2:$B$755,$A3171)&gt;0,1,0))</f>
        <v/>
      </c>
      <c r="O3171" s="16" t="str">
        <f>IF($A3171&lt;Notes!$B$5,"",IF(COUNTIFS(Release_Calendar!$A$2:$A$755,"NZ_LABOUR",Release_Calendar!$B$2:$B$755,$A3171)&gt;0,1,0))</f>
        <v/>
      </c>
      <c r="P3171" s="16">
        <f t="shared" si="4"/>
        <v>0</v>
      </c>
    </row>
    <row r="3172" ht="15.75" customHeight="1">
      <c r="A3172" s="14">
        <v>40966.0</v>
      </c>
      <c r="B3172" s="15">
        <v>0.3</v>
      </c>
      <c r="C3172" s="15">
        <v>3.08</v>
      </c>
      <c r="D3172" s="15">
        <v>3.07</v>
      </c>
      <c r="E3172" s="15">
        <v>3.09</v>
      </c>
      <c r="F3172" s="15">
        <f t="shared" si="1"/>
        <v>2.78</v>
      </c>
      <c r="G3172" s="15">
        <f t="shared" si="2"/>
        <v>3.08</v>
      </c>
      <c r="H3172" s="16">
        <v>0.0</v>
      </c>
      <c r="I3172" s="15">
        <f t="shared" si="3"/>
        <v>2.78</v>
      </c>
      <c r="J3172" s="15">
        <v>18.19</v>
      </c>
      <c r="K3172" s="16">
        <f>IF(COUNTIFS(Release_Calendar!$A$2:$A$755,"US_CPI",Release_Calendar!$B$2:$B$755,$A3172)&gt;0,1,0)</f>
        <v>0</v>
      </c>
      <c r="L3172" s="16">
        <f>IF(COUNTIFS(Release_Calendar!$A$2:$A$755,"US_NFP",Release_Calendar!$B$2:$B$755,$A3172)&gt;0,1,0)</f>
        <v>0</v>
      </c>
      <c r="M3172" s="16" t="str">
        <f>IF($A3172&lt;Notes!$B$5,"",IF(COUNTIFS(Release_Calendar!$A$2:$A$755,"NZ_CPI",Release_Calendar!$B$2:$B$755,$A3172)&gt;0,1,0))</f>
        <v/>
      </c>
      <c r="N3172" s="16" t="str">
        <f>IF($A3172&lt;Notes!$B$5,"",IF(COUNTIFS(Release_Calendar!$A$2:$A$755,"NZ_GDP",Release_Calendar!$B$2:$B$755,$A3172)&gt;0,1,0))</f>
        <v/>
      </c>
      <c r="O3172" s="16" t="str">
        <f>IF($A3172&lt;Notes!$B$5,"",IF(COUNTIFS(Release_Calendar!$A$2:$A$755,"NZ_LABOUR",Release_Calendar!$B$2:$B$755,$A3172)&gt;0,1,0))</f>
        <v/>
      </c>
      <c r="P3172" s="16">
        <f t="shared" si="4"/>
        <v>0</v>
      </c>
    </row>
    <row r="3173" ht="15.75" customHeight="1">
      <c r="A3173" s="14">
        <v>40967.0</v>
      </c>
      <c r="B3173" s="15">
        <v>0.3</v>
      </c>
      <c r="C3173" s="15">
        <v>3.06</v>
      </c>
      <c r="D3173" s="15">
        <v>3.07</v>
      </c>
      <c r="E3173" s="15">
        <v>3.05</v>
      </c>
      <c r="F3173" s="15">
        <f t="shared" si="1"/>
        <v>2.76</v>
      </c>
      <c r="G3173" s="15">
        <f t="shared" si="2"/>
        <v>3.06</v>
      </c>
      <c r="H3173" s="16">
        <v>0.0</v>
      </c>
      <c r="I3173" s="15">
        <f t="shared" si="3"/>
        <v>2.76</v>
      </c>
      <c r="J3173" s="15">
        <v>17.96</v>
      </c>
      <c r="K3173" s="16">
        <f>IF(COUNTIFS(Release_Calendar!$A$2:$A$755,"US_CPI",Release_Calendar!$B$2:$B$755,$A3173)&gt;0,1,0)</f>
        <v>0</v>
      </c>
      <c r="L3173" s="16">
        <f>IF(COUNTIFS(Release_Calendar!$A$2:$A$755,"US_NFP",Release_Calendar!$B$2:$B$755,$A3173)&gt;0,1,0)</f>
        <v>0</v>
      </c>
      <c r="M3173" s="16" t="str">
        <f>IF($A3173&lt;Notes!$B$5,"",IF(COUNTIFS(Release_Calendar!$A$2:$A$755,"NZ_CPI",Release_Calendar!$B$2:$B$755,$A3173)&gt;0,1,0))</f>
        <v/>
      </c>
      <c r="N3173" s="16" t="str">
        <f>IF($A3173&lt;Notes!$B$5,"",IF(COUNTIFS(Release_Calendar!$A$2:$A$755,"NZ_GDP",Release_Calendar!$B$2:$B$755,$A3173)&gt;0,1,0))</f>
        <v/>
      </c>
      <c r="O3173" s="16" t="str">
        <f>IF($A3173&lt;Notes!$B$5,"",IF(COUNTIFS(Release_Calendar!$A$2:$A$755,"NZ_LABOUR",Release_Calendar!$B$2:$B$755,$A3173)&gt;0,1,0))</f>
        <v/>
      </c>
      <c r="P3173" s="16">
        <f t="shared" si="4"/>
        <v>0</v>
      </c>
    </row>
    <row r="3174" ht="15.75" customHeight="1">
      <c r="A3174" s="14">
        <v>40968.0</v>
      </c>
      <c r="B3174" s="15">
        <v>0.3</v>
      </c>
      <c r="C3174" s="15">
        <v>3.08</v>
      </c>
      <c r="D3174" s="15">
        <v>3.05</v>
      </c>
      <c r="E3174" s="15">
        <v>3.06</v>
      </c>
      <c r="F3174" s="15">
        <f t="shared" si="1"/>
        <v>2.78</v>
      </c>
      <c r="G3174" s="15">
        <f t="shared" si="2"/>
        <v>3.08</v>
      </c>
      <c r="H3174" s="16">
        <v>0.0</v>
      </c>
      <c r="I3174" s="15">
        <f t="shared" si="3"/>
        <v>2.78</v>
      </c>
      <c r="J3174" s="15">
        <v>18.43</v>
      </c>
      <c r="K3174" s="16">
        <f>IF(COUNTIFS(Release_Calendar!$A$2:$A$755,"US_CPI",Release_Calendar!$B$2:$B$755,$A3174)&gt;0,1,0)</f>
        <v>0</v>
      </c>
      <c r="L3174" s="16">
        <f>IF(COUNTIFS(Release_Calendar!$A$2:$A$755,"US_NFP",Release_Calendar!$B$2:$B$755,$A3174)&gt;0,1,0)</f>
        <v>0</v>
      </c>
      <c r="M3174" s="16" t="str">
        <f>IF($A3174&lt;Notes!$B$5,"",IF(COUNTIFS(Release_Calendar!$A$2:$A$755,"NZ_CPI",Release_Calendar!$B$2:$B$755,$A3174)&gt;0,1,0))</f>
        <v/>
      </c>
      <c r="N3174" s="16" t="str">
        <f>IF($A3174&lt;Notes!$B$5,"",IF(COUNTIFS(Release_Calendar!$A$2:$A$755,"NZ_GDP",Release_Calendar!$B$2:$B$755,$A3174)&gt;0,1,0))</f>
        <v/>
      </c>
      <c r="O3174" s="16" t="str">
        <f>IF($A3174&lt;Notes!$B$5,"",IF(COUNTIFS(Release_Calendar!$A$2:$A$755,"NZ_LABOUR",Release_Calendar!$B$2:$B$755,$A3174)&gt;0,1,0))</f>
        <v/>
      </c>
      <c r="P3174" s="16">
        <f t="shared" si="4"/>
        <v>0</v>
      </c>
    </row>
    <row r="3175" ht="15.75" customHeight="1">
      <c r="A3175" s="14">
        <v>40969.0</v>
      </c>
      <c r="B3175" s="15">
        <v>0.3</v>
      </c>
      <c r="C3175" s="15">
        <v>3.1</v>
      </c>
      <c r="D3175" s="15">
        <v>3.09</v>
      </c>
      <c r="E3175" s="15">
        <v>3.12</v>
      </c>
      <c r="F3175" s="15">
        <f t="shared" si="1"/>
        <v>2.8</v>
      </c>
      <c r="G3175" s="15">
        <f t="shared" si="2"/>
        <v>3.1</v>
      </c>
      <c r="H3175" s="16">
        <v>0.0</v>
      </c>
      <c r="I3175" s="15">
        <f t="shared" si="3"/>
        <v>2.8</v>
      </c>
      <c r="J3175" s="15">
        <v>17.26</v>
      </c>
      <c r="K3175" s="16">
        <f>IF(COUNTIFS(Release_Calendar!$A$2:$A$755,"US_CPI",Release_Calendar!$B$2:$B$755,$A3175)&gt;0,1,0)</f>
        <v>0</v>
      </c>
      <c r="L3175" s="16">
        <f>IF(COUNTIFS(Release_Calendar!$A$2:$A$755,"US_NFP",Release_Calendar!$B$2:$B$755,$A3175)&gt;0,1,0)</f>
        <v>0</v>
      </c>
      <c r="M3175" s="16" t="str">
        <f>IF($A3175&lt;Notes!$B$5,"",IF(COUNTIFS(Release_Calendar!$A$2:$A$755,"NZ_CPI",Release_Calendar!$B$2:$B$755,$A3175)&gt;0,1,0))</f>
        <v/>
      </c>
      <c r="N3175" s="16" t="str">
        <f>IF($A3175&lt;Notes!$B$5,"",IF(COUNTIFS(Release_Calendar!$A$2:$A$755,"NZ_GDP",Release_Calendar!$B$2:$B$755,$A3175)&gt;0,1,0))</f>
        <v/>
      </c>
      <c r="O3175" s="16" t="str">
        <f>IF($A3175&lt;Notes!$B$5,"",IF(COUNTIFS(Release_Calendar!$A$2:$A$755,"NZ_LABOUR",Release_Calendar!$B$2:$B$755,$A3175)&gt;0,1,0))</f>
        <v/>
      </c>
      <c r="P3175" s="16">
        <f t="shared" si="4"/>
        <v>0</v>
      </c>
    </row>
    <row r="3176" ht="15.75" customHeight="1">
      <c r="A3176" s="14">
        <v>40970.0</v>
      </c>
      <c r="B3176" s="15">
        <v>0.28</v>
      </c>
      <c r="C3176" s="15">
        <v>3.1</v>
      </c>
      <c r="D3176" s="15">
        <v>3.14</v>
      </c>
      <c r="E3176" s="15">
        <v>3.13</v>
      </c>
      <c r="F3176" s="15">
        <f t="shared" si="1"/>
        <v>2.82</v>
      </c>
      <c r="G3176" s="15">
        <f t="shared" si="2"/>
        <v>3.1</v>
      </c>
      <c r="H3176" s="16">
        <v>0.0</v>
      </c>
      <c r="I3176" s="15">
        <f t="shared" si="3"/>
        <v>2.82</v>
      </c>
      <c r="J3176" s="15">
        <v>17.29</v>
      </c>
      <c r="K3176" s="16">
        <f>IF(COUNTIFS(Release_Calendar!$A$2:$A$755,"US_CPI",Release_Calendar!$B$2:$B$755,$A3176)&gt;0,1,0)</f>
        <v>0</v>
      </c>
      <c r="L3176" s="16">
        <f>IF(COUNTIFS(Release_Calendar!$A$2:$A$755,"US_NFP",Release_Calendar!$B$2:$B$755,$A3176)&gt;0,1,0)</f>
        <v>0</v>
      </c>
      <c r="M3176" s="16" t="str">
        <f>IF($A3176&lt;Notes!$B$5,"",IF(COUNTIFS(Release_Calendar!$A$2:$A$755,"NZ_CPI",Release_Calendar!$B$2:$B$755,$A3176)&gt;0,1,0))</f>
        <v/>
      </c>
      <c r="N3176" s="16" t="str">
        <f>IF($A3176&lt;Notes!$B$5,"",IF(COUNTIFS(Release_Calendar!$A$2:$A$755,"NZ_GDP",Release_Calendar!$B$2:$B$755,$A3176)&gt;0,1,0))</f>
        <v/>
      </c>
      <c r="O3176" s="16" t="str">
        <f>IF($A3176&lt;Notes!$B$5,"",IF(COUNTIFS(Release_Calendar!$A$2:$A$755,"NZ_LABOUR",Release_Calendar!$B$2:$B$755,$A3176)&gt;0,1,0))</f>
        <v/>
      </c>
      <c r="P3176" s="16">
        <f t="shared" si="4"/>
        <v>0</v>
      </c>
    </row>
    <row r="3177" ht="15.75" customHeight="1">
      <c r="A3177" s="14">
        <v>40973.0</v>
      </c>
      <c r="B3177" s="15">
        <v>0.31</v>
      </c>
      <c r="C3177" s="15">
        <v>3.08</v>
      </c>
      <c r="D3177" s="15">
        <v>3.13</v>
      </c>
      <c r="E3177" s="15">
        <v>3.12</v>
      </c>
      <c r="F3177" s="15">
        <f t="shared" si="1"/>
        <v>2.77</v>
      </c>
      <c r="G3177" s="15">
        <f t="shared" si="2"/>
        <v>3.08</v>
      </c>
      <c r="H3177" s="16">
        <v>0.0</v>
      </c>
      <c r="I3177" s="15">
        <f t="shared" si="3"/>
        <v>2.77</v>
      </c>
      <c r="J3177" s="15">
        <v>18.05</v>
      </c>
      <c r="K3177" s="16">
        <f>IF(COUNTIFS(Release_Calendar!$A$2:$A$755,"US_CPI",Release_Calendar!$B$2:$B$755,$A3177)&gt;0,1,0)</f>
        <v>0</v>
      </c>
      <c r="L3177" s="16">
        <f>IF(COUNTIFS(Release_Calendar!$A$2:$A$755,"US_NFP",Release_Calendar!$B$2:$B$755,$A3177)&gt;0,1,0)</f>
        <v>0</v>
      </c>
      <c r="M3177" s="16" t="str">
        <f>IF($A3177&lt;Notes!$B$5,"",IF(COUNTIFS(Release_Calendar!$A$2:$A$755,"NZ_CPI",Release_Calendar!$B$2:$B$755,$A3177)&gt;0,1,0))</f>
        <v/>
      </c>
      <c r="N3177" s="16" t="str">
        <f>IF($A3177&lt;Notes!$B$5,"",IF(COUNTIFS(Release_Calendar!$A$2:$A$755,"NZ_GDP",Release_Calendar!$B$2:$B$755,$A3177)&gt;0,1,0))</f>
        <v/>
      </c>
      <c r="O3177" s="16" t="str">
        <f>IF($A3177&lt;Notes!$B$5,"",IF(COUNTIFS(Release_Calendar!$A$2:$A$755,"NZ_LABOUR",Release_Calendar!$B$2:$B$755,$A3177)&gt;0,1,0))</f>
        <v/>
      </c>
      <c r="P3177" s="16">
        <f t="shared" si="4"/>
        <v>0</v>
      </c>
    </row>
    <row r="3178" ht="15.75" customHeight="1">
      <c r="A3178" s="14">
        <v>40974.0</v>
      </c>
      <c r="B3178" s="15">
        <v>0.3</v>
      </c>
      <c r="C3178" s="15">
        <v>3.05</v>
      </c>
      <c r="D3178" s="15">
        <v>3.12</v>
      </c>
      <c r="E3178" s="15">
        <v>3.13</v>
      </c>
      <c r="F3178" s="15">
        <f t="shared" si="1"/>
        <v>2.75</v>
      </c>
      <c r="G3178" s="15">
        <f t="shared" si="2"/>
        <v>3.05</v>
      </c>
      <c r="H3178" s="16">
        <v>0.0</v>
      </c>
      <c r="I3178" s="15">
        <f t="shared" si="3"/>
        <v>2.75</v>
      </c>
      <c r="J3178" s="15">
        <v>20.87</v>
      </c>
      <c r="K3178" s="16">
        <f>IF(COUNTIFS(Release_Calendar!$A$2:$A$755,"US_CPI",Release_Calendar!$B$2:$B$755,$A3178)&gt;0,1,0)</f>
        <v>0</v>
      </c>
      <c r="L3178" s="16">
        <f>IF(COUNTIFS(Release_Calendar!$A$2:$A$755,"US_NFP",Release_Calendar!$B$2:$B$755,$A3178)&gt;0,1,0)</f>
        <v>0</v>
      </c>
      <c r="M3178" s="16" t="str">
        <f>IF($A3178&lt;Notes!$B$5,"",IF(COUNTIFS(Release_Calendar!$A$2:$A$755,"NZ_CPI",Release_Calendar!$B$2:$B$755,$A3178)&gt;0,1,0))</f>
        <v/>
      </c>
      <c r="N3178" s="16" t="str">
        <f>IF($A3178&lt;Notes!$B$5,"",IF(COUNTIFS(Release_Calendar!$A$2:$A$755,"NZ_GDP",Release_Calendar!$B$2:$B$755,$A3178)&gt;0,1,0))</f>
        <v/>
      </c>
      <c r="O3178" s="16" t="str">
        <f>IF($A3178&lt;Notes!$B$5,"",IF(COUNTIFS(Release_Calendar!$A$2:$A$755,"NZ_LABOUR",Release_Calendar!$B$2:$B$755,$A3178)&gt;0,1,0))</f>
        <v/>
      </c>
      <c r="P3178" s="16">
        <f t="shared" si="4"/>
        <v>0</v>
      </c>
    </row>
    <row r="3179" ht="15.75" customHeight="1">
      <c r="A3179" s="14">
        <v>40975.0</v>
      </c>
      <c r="B3179" s="15">
        <v>0.3</v>
      </c>
      <c r="C3179" s="15">
        <v>3.04</v>
      </c>
      <c r="D3179" s="15">
        <v>3.07</v>
      </c>
      <c r="E3179" s="15">
        <v>3.09</v>
      </c>
      <c r="F3179" s="15">
        <f t="shared" si="1"/>
        <v>2.74</v>
      </c>
      <c r="G3179" s="15">
        <f t="shared" si="2"/>
        <v>3.04</v>
      </c>
      <c r="H3179" s="16">
        <v>0.0</v>
      </c>
      <c r="I3179" s="15">
        <f t="shared" si="3"/>
        <v>2.74</v>
      </c>
      <c r="J3179" s="15">
        <v>19.07</v>
      </c>
      <c r="K3179" s="16">
        <f>IF(COUNTIFS(Release_Calendar!$A$2:$A$755,"US_CPI",Release_Calendar!$B$2:$B$755,$A3179)&gt;0,1,0)</f>
        <v>0</v>
      </c>
      <c r="L3179" s="16">
        <f>IF(COUNTIFS(Release_Calendar!$A$2:$A$755,"US_NFP",Release_Calendar!$B$2:$B$755,$A3179)&gt;0,1,0)</f>
        <v>0</v>
      </c>
      <c r="M3179" s="16" t="str">
        <f>IF($A3179&lt;Notes!$B$5,"",IF(COUNTIFS(Release_Calendar!$A$2:$A$755,"NZ_CPI",Release_Calendar!$B$2:$B$755,$A3179)&gt;0,1,0))</f>
        <v/>
      </c>
      <c r="N3179" s="16" t="str">
        <f>IF($A3179&lt;Notes!$B$5,"",IF(COUNTIFS(Release_Calendar!$A$2:$A$755,"NZ_GDP",Release_Calendar!$B$2:$B$755,$A3179)&gt;0,1,0))</f>
        <v/>
      </c>
      <c r="O3179" s="16" t="str">
        <f>IF($A3179&lt;Notes!$B$5,"",IF(COUNTIFS(Release_Calendar!$A$2:$A$755,"NZ_LABOUR",Release_Calendar!$B$2:$B$755,$A3179)&gt;0,1,0))</f>
        <v/>
      </c>
      <c r="P3179" s="16">
        <f t="shared" si="4"/>
        <v>0</v>
      </c>
    </row>
    <row r="3180" ht="15.75" customHeight="1">
      <c r="A3180" s="14">
        <v>40976.0</v>
      </c>
      <c r="B3180" s="15">
        <v>0.32</v>
      </c>
      <c r="C3180" s="15">
        <v>3.03</v>
      </c>
      <c r="D3180" s="15">
        <v>3.04</v>
      </c>
      <c r="E3180" s="15">
        <v>3.09</v>
      </c>
      <c r="F3180" s="15">
        <f t="shared" si="1"/>
        <v>2.71</v>
      </c>
      <c r="G3180" s="15">
        <f t="shared" si="2"/>
        <v>3.03</v>
      </c>
      <c r="H3180" s="16">
        <v>0.0</v>
      </c>
      <c r="I3180" s="15">
        <f t="shared" si="3"/>
        <v>2.71</v>
      </c>
      <c r="J3180" s="15">
        <v>17.95</v>
      </c>
      <c r="K3180" s="16">
        <f>IF(COUNTIFS(Release_Calendar!$A$2:$A$755,"US_CPI",Release_Calendar!$B$2:$B$755,$A3180)&gt;0,1,0)</f>
        <v>0</v>
      </c>
      <c r="L3180" s="16">
        <f>IF(COUNTIFS(Release_Calendar!$A$2:$A$755,"US_NFP",Release_Calendar!$B$2:$B$755,$A3180)&gt;0,1,0)</f>
        <v>0</v>
      </c>
      <c r="M3180" s="16" t="str">
        <f>IF($A3180&lt;Notes!$B$5,"",IF(COUNTIFS(Release_Calendar!$A$2:$A$755,"NZ_CPI",Release_Calendar!$B$2:$B$755,$A3180)&gt;0,1,0))</f>
        <v/>
      </c>
      <c r="N3180" s="16" t="str">
        <f>IF($A3180&lt;Notes!$B$5,"",IF(COUNTIFS(Release_Calendar!$A$2:$A$755,"NZ_GDP",Release_Calendar!$B$2:$B$755,$A3180)&gt;0,1,0))</f>
        <v/>
      </c>
      <c r="O3180" s="16" t="str">
        <f>IF($A3180&lt;Notes!$B$5,"",IF(COUNTIFS(Release_Calendar!$A$2:$A$755,"NZ_LABOUR",Release_Calendar!$B$2:$B$755,$A3180)&gt;0,1,0))</f>
        <v/>
      </c>
      <c r="P3180" s="16">
        <f t="shared" si="4"/>
        <v>0</v>
      </c>
    </row>
    <row r="3181" ht="15.75" customHeight="1">
      <c r="A3181" s="14">
        <v>40977.0</v>
      </c>
      <c r="B3181" s="15">
        <v>0.33</v>
      </c>
      <c r="C3181" s="15">
        <v>3.04</v>
      </c>
      <c r="D3181" s="15">
        <v>3.1</v>
      </c>
      <c r="E3181" s="15">
        <v>3.09</v>
      </c>
      <c r="F3181" s="15">
        <f t="shared" si="1"/>
        <v>2.71</v>
      </c>
      <c r="G3181" s="15">
        <f t="shared" si="2"/>
        <v>3.04</v>
      </c>
      <c r="H3181" s="16">
        <v>0.0</v>
      </c>
      <c r="I3181" s="15">
        <f t="shared" si="3"/>
        <v>2.71</v>
      </c>
      <c r="J3181" s="15">
        <v>17.11</v>
      </c>
      <c r="K3181" s="16">
        <f>IF(COUNTIFS(Release_Calendar!$A$2:$A$755,"US_CPI",Release_Calendar!$B$2:$B$755,$A3181)&gt;0,1,0)</f>
        <v>0</v>
      </c>
      <c r="L3181" s="16">
        <f>IF(COUNTIFS(Release_Calendar!$A$2:$A$755,"US_NFP",Release_Calendar!$B$2:$B$755,$A3181)&gt;0,1,0)</f>
        <v>1</v>
      </c>
      <c r="M3181" s="16" t="str">
        <f>IF($A3181&lt;Notes!$B$5,"",IF(COUNTIFS(Release_Calendar!$A$2:$A$755,"NZ_CPI",Release_Calendar!$B$2:$B$755,$A3181)&gt;0,1,0))</f>
        <v/>
      </c>
      <c r="N3181" s="16" t="str">
        <f>IF($A3181&lt;Notes!$B$5,"",IF(COUNTIFS(Release_Calendar!$A$2:$A$755,"NZ_GDP",Release_Calendar!$B$2:$B$755,$A3181)&gt;0,1,0))</f>
        <v/>
      </c>
      <c r="O3181" s="16" t="str">
        <f>IF($A3181&lt;Notes!$B$5,"",IF(COUNTIFS(Release_Calendar!$A$2:$A$755,"NZ_LABOUR",Release_Calendar!$B$2:$B$755,$A3181)&gt;0,1,0))</f>
        <v/>
      </c>
      <c r="P3181" s="16">
        <f t="shared" si="4"/>
        <v>1</v>
      </c>
    </row>
    <row r="3182" ht="15.75" customHeight="1">
      <c r="A3182" s="14">
        <v>40980.0</v>
      </c>
      <c r="B3182" s="15">
        <v>0.33</v>
      </c>
      <c r="C3182" s="15">
        <v>3.02</v>
      </c>
      <c r="D3182" s="15">
        <v>3.08</v>
      </c>
      <c r="E3182" s="15">
        <v>3.04</v>
      </c>
      <c r="F3182" s="15">
        <f t="shared" si="1"/>
        <v>2.69</v>
      </c>
      <c r="G3182" s="15">
        <f t="shared" si="2"/>
        <v>3.02</v>
      </c>
      <c r="H3182" s="16">
        <v>0.0</v>
      </c>
      <c r="I3182" s="15">
        <f t="shared" si="3"/>
        <v>2.69</v>
      </c>
      <c r="J3182" s="15">
        <v>15.64</v>
      </c>
      <c r="K3182" s="16">
        <f>IF(COUNTIFS(Release_Calendar!$A$2:$A$755,"US_CPI",Release_Calendar!$B$2:$B$755,$A3182)&gt;0,1,0)</f>
        <v>0</v>
      </c>
      <c r="L3182" s="16">
        <f>IF(COUNTIFS(Release_Calendar!$A$2:$A$755,"US_NFP",Release_Calendar!$B$2:$B$755,$A3182)&gt;0,1,0)</f>
        <v>0</v>
      </c>
      <c r="M3182" s="16" t="str">
        <f>IF($A3182&lt;Notes!$B$5,"",IF(COUNTIFS(Release_Calendar!$A$2:$A$755,"NZ_CPI",Release_Calendar!$B$2:$B$755,$A3182)&gt;0,1,0))</f>
        <v/>
      </c>
      <c r="N3182" s="16" t="str">
        <f>IF($A3182&lt;Notes!$B$5,"",IF(COUNTIFS(Release_Calendar!$A$2:$A$755,"NZ_GDP",Release_Calendar!$B$2:$B$755,$A3182)&gt;0,1,0))</f>
        <v/>
      </c>
      <c r="O3182" s="16" t="str">
        <f>IF($A3182&lt;Notes!$B$5,"",IF(COUNTIFS(Release_Calendar!$A$2:$A$755,"NZ_LABOUR",Release_Calendar!$B$2:$B$755,$A3182)&gt;0,1,0))</f>
        <v/>
      </c>
      <c r="P3182" s="16">
        <f t="shared" si="4"/>
        <v>0</v>
      </c>
    </row>
    <row r="3183" ht="15.75" customHeight="1">
      <c r="A3183" s="14">
        <v>40981.0</v>
      </c>
      <c r="B3183" s="15">
        <v>0.35</v>
      </c>
      <c r="C3183" s="15">
        <v>3.05</v>
      </c>
      <c r="D3183" s="15">
        <v>3.03</v>
      </c>
      <c r="E3183" s="15">
        <v>3.06</v>
      </c>
      <c r="F3183" s="15">
        <f t="shared" si="1"/>
        <v>2.7</v>
      </c>
      <c r="G3183" s="15">
        <f t="shared" si="2"/>
        <v>3.05</v>
      </c>
      <c r="H3183" s="16">
        <v>0.0</v>
      </c>
      <c r="I3183" s="15">
        <f t="shared" si="3"/>
        <v>2.7</v>
      </c>
      <c r="J3183" s="15">
        <v>14.8</v>
      </c>
      <c r="K3183" s="16">
        <f>IF(COUNTIFS(Release_Calendar!$A$2:$A$755,"US_CPI",Release_Calendar!$B$2:$B$755,$A3183)&gt;0,1,0)</f>
        <v>0</v>
      </c>
      <c r="L3183" s="16">
        <f>IF(COUNTIFS(Release_Calendar!$A$2:$A$755,"US_NFP",Release_Calendar!$B$2:$B$755,$A3183)&gt;0,1,0)</f>
        <v>0</v>
      </c>
      <c r="M3183" s="16" t="str">
        <f>IF($A3183&lt;Notes!$B$5,"",IF(COUNTIFS(Release_Calendar!$A$2:$A$755,"NZ_CPI",Release_Calendar!$B$2:$B$755,$A3183)&gt;0,1,0))</f>
        <v/>
      </c>
      <c r="N3183" s="16" t="str">
        <f>IF($A3183&lt;Notes!$B$5,"",IF(COUNTIFS(Release_Calendar!$A$2:$A$755,"NZ_GDP",Release_Calendar!$B$2:$B$755,$A3183)&gt;0,1,0))</f>
        <v/>
      </c>
      <c r="O3183" s="16" t="str">
        <f>IF($A3183&lt;Notes!$B$5,"",IF(COUNTIFS(Release_Calendar!$A$2:$A$755,"NZ_LABOUR",Release_Calendar!$B$2:$B$755,$A3183)&gt;0,1,0))</f>
        <v/>
      </c>
      <c r="P3183" s="16">
        <f t="shared" si="4"/>
        <v>0</v>
      </c>
    </row>
    <row r="3184" ht="15.75" customHeight="1">
      <c r="A3184" s="14">
        <v>40982.0</v>
      </c>
      <c r="B3184" s="15">
        <v>0.4</v>
      </c>
      <c r="C3184" s="15">
        <v>3.07</v>
      </c>
      <c r="D3184" s="15">
        <v>3.1</v>
      </c>
      <c r="E3184" s="15">
        <v>3.08</v>
      </c>
      <c r="F3184" s="15">
        <f t="shared" si="1"/>
        <v>2.67</v>
      </c>
      <c r="G3184" s="15">
        <f t="shared" si="2"/>
        <v>3.07</v>
      </c>
      <c r="H3184" s="16">
        <v>0.0</v>
      </c>
      <c r="I3184" s="15">
        <f t="shared" si="3"/>
        <v>2.67</v>
      </c>
      <c r="J3184" s="15">
        <v>15.31</v>
      </c>
      <c r="K3184" s="16">
        <f>IF(COUNTIFS(Release_Calendar!$A$2:$A$755,"US_CPI",Release_Calendar!$B$2:$B$755,$A3184)&gt;0,1,0)</f>
        <v>0</v>
      </c>
      <c r="L3184" s="16">
        <f>IF(COUNTIFS(Release_Calendar!$A$2:$A$755,"US_NFP",Release_Calendar!$B$2:$B$755,$A3184)&gt;0,1,0)</f>
        <v>0</v>
      </c>
      <c r="M3184" s="16" t="str">
        <f>IF($A3184&lt;Notes!$B$5,"",IF(COUNTIFS(Release_Calendar!$A$2:$A$755,"NZ_CPI",Release_Calendar!$B$2:$B$755,$A3184)&gt;0,1,0))</f>
        <v/>
      </c>
      <c r="N3184" s="16" t="str">
        <f>IF($A3184&lt;Notes!$B$5,"",IF(COUNTIFS(Release_Calendar!$A$2:$A$755,"NZ_GDP",Release_Calendar!$B$2:$B$755,$A3184)&gt;0,1,0))</f>
        <v/>
      </c>
      <c r="O3184" s="16" t="str">
        <f>IF($A3184&lt;Notes!$B$5,"",IF(COUNTIFS(Release_Calendar!$A$2:$A$755,"NZ_LABOUR",Release_Calendar!$B$2:$B$755,$A3184)&gt;0,1,0))</f>
        <v/>
      </c>
      <c r="P3184" s="16">
        <f t="shared" si="4"/>
        <v>0</v>
      </c>
    </row>
    <row r="3185" ht="15.75" customHeight="1">
      <c r="A3185" s="14">
        <v>40983.0</v>
      </c>
      <c r="B3185" s="15">
        <v>0.37</v>
      </c>
      <c r="C3185" s="15">
        <v>3.12</v>
      </c>
      <c r="D3185" s="15">
        <v>3.15</v>
      </c>
      <c r="E3185" s="15">
        <v>3.16</v>
      </c>
      <c r="F3185" s="15">
        <f t="shared" si="1"/>
        <v>2.75</v>
      </c>
      <c r="G3185" s="15">
        <f t="shared" si="2"/>
        <v>3.12</v>
      </c>
      <c r="H3185" s="16">
        <v>0.0</v>
      </c>
      <c r="I3185" s="15">
        <f t="shared" si="3"/>
        <v>2.75</v>
      </c>
      <c r="J3185" s="15">
        <v>15.42</v>
      </c>
      <c r="K3185" s="16">
        <f>IF(COUNTIFS(Release_Calendar!$A$2:$A$755,"US_CPI",Release_Calendar!$B$2:$B$755,$A3185)&gt;0,1,0)</f>
        <v>0</v>
      </c>
      <c r="L3185" s="16">
        <f>IF(COUNTIFS(Release_Calendar!$A$2:$A$755,"US_NFP",Release_Calendar!$B$2:$B$755,$A3185)&gt;0,1,0)</f>
        <v>0</v>
      </c>
      <c r="M3185" s="16" t="str">
        <f>IF($A3185&lt;Notes!$B$5,"",IF(COUNTIFS(Release_Calendar!$A$2:$A$755,"NZ_CPI",Release_Calendar!$B$2:$B$755,$A3185)&gt;0,1,0))</f>
        <v/>
      </c>
      <c r="N3185" s="16" t="str">
        <f>IF($A3185&lt;Notes!$B$5,"",IF(COUNTIFS(Release_Calendar!$A$2:$A$755,"NZ_GDP",Release_Calendar!$B$2:$B$755,$A3185)&gt;0,1,0))</f>
        <v/>
      </c>
      <c r="O3185" s="16" t="str">
        <f>IF($A3185&lt;Notes!$B$5,"",IF(COUNTIFS(Release_Calendar!$A$2:$A$755,"NZ_LABOUR",Release_Calendar!$B$2:$B$755,$A3185)&gt;0,1,0))</f>
        <v/>
      </c>
      <c r="P3185" s="16">
        <f t="shared" si="4"/>
        <v>0</v>
      </c>
    </row>
    <row r="3186" ht="15.75" customHeight="1">
      <c r="A3186" s="14">
        <v>40984.0</v>
      </c>
      <c r="B3186" s="15">
        <v>0.37</v>
      </c>
      <c r="C3186" s="15">
        <v>3.09</v>
      </c>
      <c r="D3186" s="15">
        <v>3.14</v>
      </c>
      <c r="E3186" s="15">
        <v>3.13</v>
      </c>
      <c r="F3186" s="15">
        <f t="shared" si="1"/>
        <v>2.72</v>
      </c>
      <c r="G3186" s="15">
        <f t="shared" si="2"/>
        <v>3.09</v>
      </c>
      <c r="H3186" s="16">
        <v>0.0</v>
      </c>
      <c r="I3186" s="15">
        <f t="shared" si="3"/>
        <v>2.72</v>
      </c>
      <c r="J3186" s="15">
        <v>14.47</v>
      </c>
      <c r="K3186" s="16">
        <f>IF(COUNTIFS(Release_Calendar!$A$2:$A$755,"US_CPI",Release_Calendar!$B$2:$B$755,$A3186)&gt;0,1,0)</f>
        <v>1</v>
      </c>
      <c r="L3186" s="16">
        <f>IF(COUNTIFS(Release_Calendar!$A$2:$A$755,"US_NFP",Release_Calendar!$B$2:$B$755,$A3186)&gt;0,1,0)</f>
        <v>0</v>
      </c>
      <c r="M3186" s="16" t="str">
        <f>IF($A3186&lt;Notes!$B$5,"",IF(COUNTIFS(Release_Calendar!$A$2:$A$755,"NZ_CPI",Release_Calendar!$B$2:$B$755,$A3186)&gt;0,1,0))</f>
        <v/>
      </c>
      <c r="N3186" s="16" t="str">
        <f>IF($A3186&lt;Notes!$B$5,"",IF(COUNTIFS(Release_Calendar!$A$2:$A$755,"NZ_GDP",Release_Calendar!$B$2:$B$755,$A3186)&gt;0,1,0))</f>
        <v/>
      </c>
      <c r="O3186" s="16" t="str">
        <f>IF($A3186&lt;Notes!$B$5,"",IF(COUNTIFS(Release_Calendar!$A$2:$A$755,"NZ_LABOUR",Release_Calendar!$B$2:$B$755,$A3186)&gt;0,1,0))</f>
        <v/>
      </c>
      <c r="P3186" s="16">
        <f t="shared" si="4"/>
        <v>1</v>
      </c>
    </row>
    <row r="3187" ht="15.75" customHeight="1">
      <c r="A3187" s="14">
        <v>40987.0</v>
      </c>
      <c r="B3187" s="15">
        <v>0.39</v>
      </c>
      <c r="C3187" s="15">
        <v>3.14</v>
      </c>
      <c r="D3187" s="15">
        <v>3.17</v>
      </c>
      <c r="E3187" s="15">
        <v>3.18</v>
      </c>
      <c r="F3187" s="15">
        <f t="shared" si="1"/>
        <v>2.75</v>
      </c>
      <c r="G3187" s="15">
        <f t="shared" si="2"/>
        <v>3.14</v>
      </c>
      <c r="H3187" s="16">
        <v>0.0</v>
      </c>
      <c r="I3187" s="15">
        <f t="shared" si="3"/>
        <v>2.75</v>
      </c>
      <c r="J3187" s="15">
        <v>15.04</v>
      </c>
      <c r="K3187" s="16">
        <f>IF(COUNTIFS(Release_Calendar!$A$2:$A$755,"US_CPI",Release_Calendar!$B$2:$B$755,$A3187)&gt;0,1,0)</f>
        <v>0</v>
      </c>
      <c r="L3187" s="16">
        <f>IF(COUNTIFS(Release_Calendar!$A$2:$A$755,"US_NFP",Release_Calendar!$B$2:$B$755,$A3187)&gt;0,1,0)</f>
        <v>0</v>
      </c>
      <c r="M3187" s="16" t="str">
        <f>IF($A3187&lt;Notes!$B$5,"",IF(COUNTIFS(Release_Calendar!$A$2:$A$755,"NZ_CPI",Release_Calendar!$B$2:$B$755,$A3187)&gt;0,1,0))</f>
        <v/>
      </c>
      <c r="N3187" s="16" t="str">
        <f>IF($A3187&lt;Notes!$B$5,"",IF(COUNTIFS(Release_Calendar!$A$2:$A$755,"NZ_GDP",Release_Calendar!$B$2:$B$755,$A3187)&gt;0,1,0))</f>
        <v/>
      </c>
      <c r="O3187" s="16" t="str">
        <f>IF($A3187&lt;Notes!$B$5,"",IF(COUNTIFS(Release_Calendar!$A$2:$A$755,"NZ_LABOUR",Release_Calendar!$B$2:$B$755,$A3187)&gt;0,1,0))</f>
        <v/>
      </c>
      <c r="P3187" s="16">
        <f t="shared" si="4"/>
        <v>0</v>
      </c>
    </row>
    <row r="3188" ht="15.75" customHeight="1">
      <c r="A3188" s="14">
        <v>40988.0</v>
      </c>
      <c r="B3188" s="15">
        <v>0.41</v>
      </c>
      <c r="C3188" s="15">
        <v>3.12</v>
      </c>
      <c r="D3188" s="15">
        <v>3.24</v>
      </c>
      <c r="E3188" s="15">
        <v>3.21</v>
      </c>
      <c r="F3188" s="15">
        <f t="shared" si="1"/>
        <v>2.71</v>
      </c>
      <c r="G3188" s="15">
        <f t="shared" si="2"/>
        <v>3.12</v>
      </c>
      <c r="H3188" s="16">
        <v>0.0</v>
      </c>
      <c r="I3188" s="15">
        <f t="shared" si="3"/>
        <v>2.71</v>
      </c>
      <c r="J3188" s="15">
        <v>15.58</v>
      </c>
      <c r="K3188" s="16">
        <f>IF(COUNTIFS(Release_Calendar!$A$2:$A$755,"US_CPI",Release_Calendar!$B$2:$B$755,$A3188)&gt;0,1,0)</f>
        <v>0</v>
      </c>
      <c r="L3188" s="16">
        <f>IF(COUNTIFS(Release_Calendar!$A$2:$A$755,"US_NFP",Release_Calendar!$B$2:$B$755,$A3188)&gt;0,1,0)</f>
        <v>0</v>
      </c>
      <c r="M3188" s="16" t="str">
        <f>IF($A3188&lt;Notes!$B$5,"",IF(COUNTIFS(Release_Calendar!$A$2:$A$755,"NZ_CPI",Release_Calendar!$B$2:$B$755,$A3188)&gt;0,1,0))</f>
        <v/>
      </c>
      <c r="N3188" s="16" t="str">
        <f>IF($A3188&lt;Notes!$B$5,"",IF(COUNTIFS(Release_Calendar!$A$2:$A$755,"NZ_GDP",Release_Calendar!$B$2:$B$755,$A3188)&gt;0,1,0))</f>
        <v/>
      </c>
      <c r="O3188" s="16" t="str">
        <f>IF($A3188&lt;Notes!$B$5,"",IF(COUNTIFS(Release_Calendar!$A$2:$A$755,"NZ_LABOUR",Release_Calendar!$B$2:$B$755,$A3188)&gt;0,1,0))</f>
        <v/>
      </c>
      <c r="P3188" s="16">
        <f t="shared" si="4"/>
        <v>0</v>
      </c>
    </row>
    <row r="3189" ht="15.75" customHeight="1">
      <c r="A3189" s="14">
        <v>40989.0</v>
      </c>
      <c r="B3189" s="15">
        <v>0.39</v>
      </c>
      <c r="C3189" s="15">
        <v>3.13</v>
      </c>
      <c r="D3189" s="15">
        <v>3.19</v>
      </c>
      <c r="E3189" s="15">
        <v>3.24</v>
      </c>
      <c r="F3189" s="15">
        <f t="shared" si="1"/>
        <v>2.74</v>
      </c>
      <c r="G3189" s="15">
        <f t="shared" si="2"/>
        <v>3.13</v>
      </c>
      <c r="H3189" s="16">
        <v>0.0</v>
      </c>
      <c r="I3189" s="15">
        <f t="shared" si="3"/>
        <v>2.74</v>
      </c>
      <c r="J3189" s="15">
        <v>15.13</v>
      </c>
      <c r="K3189" s="16">
        <f>IF(COUNTIFS(Release_Calendar!$A$2:$A$755,"US_CPI",Release_Calendar!$B$2:$B$755,$A3189)&gt;0,1,0)</f>
        <v>0</v>
      </c>
      <c r="L3189" s="16">
        <f>IF(COUNTIFS(Release_Calendar!$A$2:$A$755,"US_NFP",Release_Calendar!$B$2:$B$755,$A3189)&gt;0,1,0)</f>
        <v>0</v>
      </c>
      <c r="M3189" s="16" t="str">
        <f>IF($A3189&lt;Notes!$B$5,"",IF(COUNTIFS(Release_Calendar!$A$2:$A$755,"NZ_CPI",Release_Calendar!$B$2:$B$755,$A3189)&gt;0,1,0))</f>
        <v/>
      </c>
      <c r="N3189" s="16" t="str">
        <f>IF($A3189&lt;Notes!$B$5,"",IF(COUNTIFS(Release_Calendar!$A$2:$A$755,"NZ_GDP",Release_Calendar!$B$2:$B$755,$A3189)&gt;0,1,0))</f>
        <v/>
      </c>
      <c r="O3189" s="16" t="str">
        <f>IF($A3189&lt;Notes!$B$5,"",IF(COUNTIFS(Release_Calendar!$A$2:$A$755,"NZ_LABOUR",Release_Calendar!$B$2:$B$755,$A3189)&gt;0,1,0))</f>
        <v/>
      </c>
      <c r="P3189" s="16">
        <f t="shared" si="4"/>
        <v>0</v>
      </c>
    </row>
    <row r="3190" ht="15.75" customHeight="1">
      <c r="A3190" s="14">
        <v>40990.0</v>
      </c>
      <c r="B3190" s="15">
        <v>0.37</v>
      </c>
      <c r="C3190" s="15">
        <v>3.08</v>
      </c>
      <c r="D3190" s="15">
        <v>3.22</v>
      </c>
      <c r="E3190" s="15">
        <v>3.13</v>
      </c>
      <c r="F3190" s="15">
        <f t="shared" si="1"/>
        <v>2.71</v>
      </c>
      <c r="G3190" s="15">
        <f t="shared" si="2"/>
        <v>3.08</v>
      </c>
      <c r="H3190" s="16">
        <v>0.0</v>
      </c>
      <c r="I3190" s="15">
        <f t="shared" si="3"/>
        <v>2.71</v>
      </c>
      <c r="J3190" s="15">
        <v>15.57</v>
      </c>
      <c r="K3190" s="16">
        <f>IF(COUNTIFS(Release_Calendar!$A$2:$A$755,"US_CPI",Release_Calendar!$B$2:$B$755,$A3190)&gt;0,1,0)</f>
        <v>0</v>
      </c>
      <c r="L3190" s="16">
        <f>IF(COUNTIFS(Release_Calendar!$A$2:$A$755,"US_NFP",Release_Calendar!$B$2:$B$755,$A3190)&gt;0,1,0)</f>
        <v>0</v>
      </c>
      <c r="M3190" s="16" t="str">
        <f>IF($A3190&lt;Notes!$B$5,"",IF(COUNTIFS(Release_Calendar!$A$2:$A$755,"NZ_CPI",Release_Calendar!$B$2:$B$755,$A3190)&gt;0,1,0))</f>
        <v/>
      </c>
      <c r="N3190" s="16" t="str">
        <f>IF($A3190&lt;Notes!$B$5,"",IF(COUNTIFS(Release_Calendar!$A$2:$A$755,"NZ_GDP",Release_Calendar!$B$2:$B$755,$A3190)&gt;0,1,0))</f>
        <v/>
      </c>
      <c r="O3190" s="16" t="str">
        <f>IF($A3190&lt;Notes!$B$5,"",IF(COUNTIFS(Release_Calendar!$A$2:$A$755,"NZ_LABOUR",Release_Calendar!$B$2:$B$755,$A3190)&gt;0,1,0))</f>
        <v/>
      </c>
      <c r="P3190" s="16">
        <f t="shared" si="4"/>
        <v>0</v>
      </c>
    </row>
    <row r="3191" ht="15.75" customHeight="1">
      <c r="A3191" s="14">
        <v>40991.0</v>
      </c>
      <c r="B3191" s="15">
        <v>0.37</v>
      </c>
      <c r="C3191" s="15">
        <v>3.06</v>
      </c>
      <c r="D3191" s="15">
        <v>3.11</v>
      </c>
      <c r="E3191" s="15">
        <v>3.1</v>
      </c>
      <c r="F3191" s="15">
        <f t="shared" si="1"/>
        <v>2.69</v>
      </c>
      <c r="G3191" s="15">
        <f t="shared" si="2"/>
        <v>3.06</v>
      </c>
      <c r="H3191" s="16">
        <v>0.0</v>
      </c>
      <c r="I3191" s="15">
        <f t="shared" si="3"/>
        <v>2.69</v>
      </c>
      <c r="J3191" s="15">
        <v>14.82</v>
      </c>
      <c r="K3191" s="16">
        <f>IF(COUNTIFS(Release_Calendar!$A$2:$A$755,"US_CPI",Release_Calendar!$B$2:$B$755,$A3191)&gt;0,1,0)</f>
        <v>0</v>
      </c>
      <c r="L3191" s="16">
        <f>IF(COUNTIFS(Release_Calendar!$A$2:$A$755,"US_NFP",Release_Calendar!$B$2:$B$755,$A3191)&gt;0,1,0)</f>
        <v>0</v>
      </c>
      <c r="M3191" s="16" t="str">
        <f>IF($A3191&lt;Notes!$B$5,"",IF(COUNTIFS(Release_Calendar!$A$2:$A$755,"NZ_CPI",Release_Calendar!$B$2:$B$755,$A3191)&gt;0,1,0))</f>
        <v/>
      </c>
      <c r="N3191" s="16" t="str">
        <f>IF($A3191&lt;Notes!$B$5,"",IF(COUNTIFS(Release_Calendar!$A$2:$A$755,"NZ_GDP",Release_Calendar!$B$2:$B$755,$A3191)&gt;0,1,0))</f>
        <v/>
      </c>
      <c r="O3191" s="16" t="str">
        <f>IF($A3191&lt;Notes!$B$5,"",IF(COUNTIFS(Release_Calendar!$A$2:$A$755,"NZ_LABOUR",Release_Calendar!$B$2:$B$755,$A3191)&gt;0,1,0))</f>
        <v/>
      </c>
      <c r="P3191" s="16">
        <f t="shared" si="4"/>
        <v>0</v>
      </c>
    </row>
    <row r="3192" ht="15.75" customHeight="1">
      <c r="A3192" s="14">
        <v>40994.0</v>
      </c>
      <c r="B3192" s="15">
        <v>0.36</v>
      </c>
      <c r="C3192" s="15">
        <v>3.08</v>
      </c>
      <c r="D3192" s="15">
        <v>3.09</v>
      </c>
      <c r="E3192" s="15">
        <v>3.1</v>
      </c>
      <c r="F3192" s="15">
        <f t="shared" si="1"/>
        <v>2.72</v>
      </c>
      <c r="G3192" s="15">
        <f t="shared" si="2"/>
        <v>3.08</v>
      </c>
      <c r="H3192" s="16">
        <v>0.0</v>
      </c>
      <c r="I3192" s="15">
        <f t="shared" si="3"/>
        <v>2.72</v>
      </c>
      <c r="J3192" s="15">
        <v>14.26</v>
      </c>
      <c r="K3192" s="16">
        <f>IF(COUNTIFS(Release_Calendar!$A$2:$A$755,"US_CPI",Release_Calendar!$B$2:$B$755,$A3192)&gt;0,1,0)</f>
        <v>0</v>
      </c>
      <c r="L3192" s="16">
        <f>IF(COUNTIFS(Release_Calendar!$A$2:$A$755,"US_NFP",Release_Calendar!$B$2:$B$755,$A3192)&gt;0,1,0)</f>
        <v>0</v>
      </c>
      <c r="M3192" s="16" t="str">
        <f>IF($A3192&lt;Notes!$B$5,"",IF(COUNTIFS(Release_Calendar!$A$2:$A$755,"NZ_CPI",Release_Calendar!$B$2:$B$755,$A3192)&gt;0,1,0))</f>
        <v/>
      </c>
      <c r="N3192" s="16" t="str">
        <f>IF($A3192&lt;Notes!$B$5,"",IF(COUNTIFS(Release_Calendar!$A$2:$A$755,"NZ_GDP",Release_Calendar!$B$2:$B$755,$A3192)&gt;0,1,0))</f>
        <v/>
      </c>
      <c r="O3192" s="16" t="str">
        <f>IF($A3192&lt;Notes!$B$5,"",IF(COUNTIFS(Release_Calendar!$A$2:$A$755,"NZ_LABOUR",Release_Calendar!$B$2:$B$755,$A3192)&gt;0,1,0))</f>
        <v/>
      </c>
      <c r="P3192" s="16">
        <f t="shared" si="4"/>
        <v>0</v>
      </c>
    </row>
    <row r="3193" ht="15.75" customHeight="1">
      <c r="A3193" s="14">
        <v>40995.0</v>
      </c>
      <c r="B3193" s="15">
        <v>0.33</v>
      </c>
      <c r="C3193" s="15">
        <v>3.09</v>
      </c>
      <c r="D3193" s="15">
        <v>3.11</v>
      </c>
      <c r="E3193" s="15">
        <v>3.12</v>
      </c>
      <c r="F3193" s="15">
        <f t="shared" si="1"/>
        <v>2.76</v>
      </c>
      <c r="G3193" s="15">
        <f t="shared" si="2"/>
        <v>3.09</v>
      </c>
      <c r="H3193" s="16">
        <v>0.0</v>
      </c>
      <c r="I3193" s="15">
        <f t="shared" si="3"/>
        <v>2.76</v>
      </c>
      <c r="J3193" s="15">
        <v>15.59</v>
      </c>
      <c r="K3193" s="16">
        <f>IF(COUNTIFS(Release_Calendar!$A$2:$A$755,"US_CPI",Release_Calendar!$B$2:$B$755,$A3193)&gt;0,1,0)</f>
        <v>0</v>
      </c>
      <c r="L3193" s="16">
        <f>IF(COUNTIFS(Release_Calendar!$A$2:$A$755,"US_NFP",Release_Calendar!$B$2:$B$755,$A3193)&gt;0,1,0)</f>
        <v>0</v>
      </c>
      <c r="M3193" s="16" t="str">
        <f>IF($A3193&lt;Notes!$B$5,"",IF(COUNTIFS(Release_Calendar!$A$2:$A$755,"NZ_CPI",Release_Calendar!$B$2:$B$755,$A3193)&gt;0,1,0))</f>
        <v/>
      </c>
      <c r="N3193" s="16" t="str">
        <f>IF($A3193&lt;Notes!$B$5,"",IF(COUNTIFS(Release_Calendar!$A$2:$A$755,"NZ_GDP",Release_Calendar!$B$2:$B$755,$A3193)&gt;0,1,0))</f>
        <v/>
      </c>
      <c r="O3193" s="16" t="str">
        <f>IF($A3193&lt;Notes!$B$5,"",IF(COUNTIFS(Release_Calendar!$A$2:$A$755,"NZ_LABOUR",Release_Calendar!$B$2:$B$755,$A3193)&gt;0,1,0))</f>
        <v/>
      </c>
      <c r="P3193" s="16">
        <f t="shared" si="4"/>
        <v>0</v>
      </c>
    </row>
    <row r="3194" ht="15.75" customHeight="1">
      <c r="A3194" s="14">
        <v>40996.0</v>
      </c>
      <c r="B3194" s="15">
        <v>0.34</v>
      </c>
      <c r="C3194" s="15">
        <v>3.07</v>
      </c>
      <c r="D3194" s="15">
        <v>3.08</v>
      </c>
      <c r="E3194" s="15">
        <v>3.08</v>
      </c>
      <c r="F3194" s="15">
        <f t="shared" si="1"/>
        <v>2.73</v>
      </c>
      <c r="G3194" s="15">
        <f t="shared" si="2"/>
        <v>3.07</v>
      </c>
      <c r="H3194" s="16">
        <v>0.0</v>
      </c>
      <c r="I3194" s="15">
        <f t="shared" si="3"/>
        <v>2.73</v>
      </c>
      <c r="J3194" s="15">
        <v>15.47</v>
      </c>
      <c r="K3194" s="16">
        <f>IF(COUNTIFS(Release_Calendar!$A$2:$A$755,"US_CPI",Release_Calendar!$B$2:$B$755,$A3194)&gt;0,1,0)</f>
        <v>0</v>
      </c>
      <c r="L3194" s="16">
        <f>IF(COUNTIFS(Release_Calendar!$A$2:$A$755,"US_NFP",Release_Calendar!$B$2:$B$755,$A3194)&gt;0,1,0)</f>
        <v>0</v>
      </c>
      <c r="M3194" s="16" t="str">
        <f>IF($A3194&lt;Notes!$B$5,"",IF(COUNTIFS(Release_Calendar!$A$2:$A$755,"NZ_CPI",Release_Calendar!$B$2:$B$755,$A3194)&gt;0,1,0))</f>
        <v/>
      </c>
      <c r="N3194" s="16" t="str">
        <f>IF($A3194&lt;Notes!$B$5,"",IF(COUNTIFS(Release_Calendar!$A$2:$A$755,"NZ_GDP",Release_Calendar!$B$2:$B$755,$A3194)&gt;0,1,0))</f>
        <v/>
      </c>
      <c r="O3194" s="16" t="str">
        <f>IF($A3194&lt;Notes!$B$5,"",IF(COUNTIFS(Release_Calendar!$A$2:$A$755,"NZ_LABOUR",Release_Calendar!$B$2:$B$755,$A3194)&gt;0,1,0))</f>
        <v/>
      </c>
      <c r="P3194" s="16">
        <f t="shared" si="4"/>
        <v>0</v>
      </c>
    </row>
    <row r="3195" ht="15.75" customHeight="1">
      <c r="A3195" s="14">
        <v>40997.0</v>
      </c>
      <c r="B3195" s="15">
        <v>0.33</v>
      </c>
      <c r="C3195" s="15">
        <v>3.06</v>
      </c>
      <c r="D3195" s="15">
        <v>3.06</v>
      </c>
      <c r="E3195" s="15">
        <v>3.06</v>
      </c>
      <c r="F3195" s="15">
        <f t="shared" si="1"/>
        <v>2.73</v>
      </c>
      <c r="G3195" s="15">
        <f t="shared" si="2"/>
        <v>3.06</v>
      </c>
      <c r="H3195" s="16">
        <v>0.0</v>
      </c>
      <c r="I3195" s="15">
        <f t="shared" si="3"/>
        <v>2.73</v>
      </c>
      <c r="J3195" s="15">
        <v>15.48</v>
      </c>
      <c r="K3195" s="16">
        <f>IF(COUNTIFS(Release_Calendar!$A$2:$A$755,"US_CPI",Release_Calendar!$B$2:$B$755,$A3195)&gt;0,1,0)</f>
        <v>0</v>
      </c>
      <c r="L3195" s="16">
        <f>IF(COUNTIFS(Release_Calendar!$A$2:$A$755,"US_NFP",Release_Calendar!$B$2:$B$755,$A3195)&gt;0,1,0)</f>
        <v>0</v>
      </c>
      <c r="M3195" s="16" t="str">
        <f>IF($A3195&lt;Notes!$B$5,"",IF(COUNTIFS(Release_Calendar!$A$2:$A$755,"NZ_CPI",Release_Calendar!$B$2:$B$755,$A3195)&gt;0,1,0))</f>
        <v/>
      </c>
      <c r="N3195" s="16" t="str">
        <f>IF($A3195&lt;Notes!$B$5,"",IF(COUNTIFS(Release_Calendar!$A$2:$A$755,"NZ_GDP",Release_Calendar!$B$2:$B$755,$A3195)&gt;0,1,0))</f>
        <v/>
      </c>
      <c r="O3195" s="16" t="str">
        <f>IF($A3195&lt;Notes!$B$5,"",IF(COUNTIFS(Release_Calendar!$A$2:$A$755,"NZ_LABOUR",Release_Calendar!$B$2:$B$755,$A3195)&gt;0,1,0))</f>
        <v/>
      </c>
      <c r="P3195" s="16">
        <f t="shared" si="4"/>
        <v>0</v>
      </c>
    </row>
    <row r="3196" ht="15.75" customHeight="1">
      <c r="A3196" s="14">
        <v>40998.0</v>
      </c>
      <c r="B3196" s="15">
        <v>0.33</v>
      </c>
      <c r="C3196" s="15">
        <v>3.04</v>
      </c>
      <c r="D3196" s="15">
        <v>3.01</v>
      </c>
      <c r="E3196" s="15">
        <v>3.03</v>
      </c>
      <c r="F3196" s="15">
        <f t="shared" si="1"/>
        <v>2.71</v>
      </c>
      <c r="G3196" s="15">
        <f t="shared" si="2"/>
        <v>3.04</v>
      </c>
      <c r="H3196" s="16">
        <v>0.0</v>
      </c>
      <c r="I3196" s="15">
        <f t="shared" si="3"/>
        <v>2.71</v>
      </c>
      <c r="J3196" s="15">
        <v>15.5</v>
      </c>
      <c r="K3196" s="16">
        <f>IF(COUNTIFS(Release_Calendar!$A$2:$A$755,"US_CPI",Release_Calendar!$B$2:$B$755,$A3196)&gt;0,1,0)</f>
        <v>0</v>
      </c>
      <c r="L3196" s="16">
        <f>IF(COUNTIFS(Release_Calendar!$A$2:$A$755,"US_NFP",Release_Calendar!$B$2:$B$755,$A3196)&gt;0,1,0)</f>
        <v>0</v>
      </c>
      <c r="M3196" s="16" t="str">
        <f>IF($A3196&lt;Notes!$B$5,"",IF(COUNTIFS(Release_Calendar!$A$2:$A$755,"NZ_CPI",Release_Calendar!$B$2:$B$755,$A3196)&gt;0,1,0))</f>
        <v/>
      </c>
      <c r="N3196" s="16" t="str">
        <f>IF($A3196&lt;Notes!$B$5,"",IF(COUNTIFS(Release_Calendar!$A$2:$A$755,"NZ_GDP",Release_Calendar!$B$2:$B$755,$A3196)&gt;0,1,0))</f>
        <v/>
      </c>
      <c r="O3196" s="16" t="str">
        <f>IF($A3196&lt;Notes!$B$5,"",IF(COUNTIFS(Release_Calendar!$A$2:$A$755,"NZ_LABOUR",Release_Calendar!$B$2:$B$755,$A3196)&gt;0,1,0))</f>
        <v/>
      </c>
      <c r="P3196" s="16">
        <f t="shared" si="4"/>
        <v>0</v>
      </c>
    </row>
    <row r="3197" ht="15.75" customHeight="1">
      <c r="A3197" s="14">
        <v>41001.0</v>
      </c>
      <c r="B3197" s="15">
        <v>0.33</v>
      </c>
      <c r="C3197" s="15">
        <v>3.05</v>
      </c>
      <c r="D3197" s="15">
        <v>3.07</v>
      </c>
      <c r="E3197" s="15">
        <v>3.06</v>
      </c>
      <c r="F3197" s="15">
        <f t="shared" si="1"/>
        <v>2.72</v>
      </c>
      <c r="G3197" s="15">
        <f t="shared" si="2"/>
        <v>3.05</v>
      </c>
      <c r="H3197" s="16">
        <v>0.0</v>
      </c>
      <c r="I3197" s="15">
        <f t="shared" si="3"/>
        <v>2.72</v>
      </c>
      <c r="J3197" s="15">
        <v>15.64</v>
      </c>
      <c r="K3197" s="16">
        <f>IF(COUNTIFS(Release_Calendar!$A$2:$A$755,"US_CPI",Release_Calendar!$B$2:$B$755,$A3197)&gt;0,1,0)</f>
        <v>0</v>
      </c>
      <c r="L3197" s="16">
        <f>IF(COUNTIFS(Release_Calendar!$A$2:$A$755,"US_NFP",Release_Calendar!$B$2:$B$755,$A3197)&gt;0,1,0)</f>
        <v>0</v>
      </c>
      <c r="M3197" s="16" t="str">
        <f>IF($A3197&lt;Notes!$B$5,"",IF(COUNTIFS(Release_Calendar!$A$2:$A$755,"NZ_CPI",Release_Calendar!$B$2:$B$755,$A3197)&gt;0,1,0))</f>
        <v/>
      </c>
      <c r="N3197" s="16" t="str">
        <f>IF($A3197&lt;Notes!$B$5,"",IF(COUNTIFS(Release_Calendar!$A$2:$A$755,"NZ_GDP",Release_Calendar!$B$2:$B$755,$A3197)&gt;0,1,0))</f>
        <v/>
      </c>
      <c r="O3197" s="16" t="str">
        <f>IF($A3197&lt;Notes!$B$5,"",IF(COUNTIFS(Release_Calendar!$A$2:$A$755,"NZ_LABOUR",Release_Calendar!$B$2:$B$755,$A3197)&gt;0,1,0))</f>
        <v/>
      </c>
      <c r="P3197" s="16">
        <f t="shared" si="4"/>
        <v>0</v>
      </c>
    </row>
    <row r="3198" ht="15.75" customHeight="1">
      <c r="A3198" s="14">
        <v>41002.0</v>
      </c>
      <c r="B3198" s="15">
        <v>0.36</v>
      </c>
      <c r="C3198" s="15">
        <v>3.02</v>
      </c>
      <c r="D3198" s="15">
        <v>3.05</v>
      </c>
      <c r="E3198" s="15">
        <v>3.04</v>
      </c>
      <c r="F3198" s="15">
        <f t="shared" si="1"/>
        <v>2.66</v>
      </c>
      <c r="G3198" s="15">
        <f t="shared" si="2"/>
        <v>3.02</v>
      </c>
      <c r="H3198" s="16">
        <v>0.0</v>
      </c>
      <c r="I3198" s="15">
        <f t="shared" si="3"/>
        <v>2.66</v>
      </c>
      <c r="J3198" s="15">
        <v>15.66</v>
      </c>
      <c r="K3198" s="16">
        <f>IF(COUNTIFS(Release_Calendar!$A$2:$A$755,"US_CPI",Release_Calendar!$B$2:$B$755,$A3198)&gt;0,1,0)</f>
        <v>0</v>
      </c>
      <c r="L3198" s="16">
        <f>IF(COUNTIFS(Release_Calendar!$A$2:$A$755,"US_NFP",Release_Calendar!$B$2:$B$755,$A3198)&gt;0,1,0)</f>
        <v>0</v>
      </c>
      <c r="M3198" s="16" t="str">
        <f>IF($A3198&lt;Notes!$B$5,"",IF(COUNTIFS(Release_Calendar!$A$2:$A$755,"NZ_CPI",Release_Calendar!$B$2:$B$755,$A3198)&gt;0,1,0))</f>
        <v/>
      </c>
      <c r="N3198" s="16" t="str">
        <f>IF($A3198&lt;Notes!$B$5,"",IF(COUNTIFS(Release_Calendar!$A$2:$A$755,"NZ_GDP",Release_Calendar!$B$2:$B$755,$A3198)&gt;0,1,0))</f>
        <v/>
      </c>
      <c r="O3198" s="16" t="str">
        <f>IF($A3198&lt;Notes!$B$5,"",IF(COUNTIFS(Release_Calendar!$A$2:$A$755,"NZ_LABOUR",Release_Calendar!$B$2:$B$755,$A3198)&gt;0,1,0))</f>
        <v/>
      </c>
      <c r="P3198" s="16">
        <f t="shared" si="4"/>
        <v>0</v>
      </c>
    </row>
    <row r="3199" ht="15.75" customHeight="1">
      <c r="A3199" s="14">
        <v>41003.0</v>
      </c>
      <c r="B3199" s="15">
        <v>0.35</v>
      </c>
      <c r="C3199" s="15">
        <v>3.01</v>
      </c>
      <c r="D3199" s="15">
        <v>3.07</v>
      </c>
      <c r="E3199" s="15">
        <v>3.04</v>
      </c>
      <c r="F3199" s="15">
        <f t="shared" si="1"/>
        <v>2.66</v>
      </c>
      <c r="G3199" s="15">
        <f t="shared" si="2"/>
        <v>3.01</v>
      </c>
      <c r="H3199" s="16">
        <v>0.0</v>
      </c>
      <c r="I3199" s="15">
        <f t="shared" si="3"/>
        <v>2.66</v>
      </c>
      <c r="J3199" s="15">
        <v>16.44</v>
      </c>
      <c r="K3199" s="16">
        <f>IF(COUNTIFS(Release_Calendar!$A$2:$A$755,"US_CPI",Release_Calendar!$B$2:$B$755,$A3199)&gt;0,1,0)</f>
        <v>0</v>
      </c>
      <c r="L3199" s="16">
        <f>IF(COUNTIFS(Release_Calendar!$A$2:$A$755,"US_NFP",Release_Calendar!$B$2:$B$755,$A3199)&gt;0,1,0)</f>
        <v>0</v>
      </c>
      <c r="M3199" s="16" t="str">
        <f>IF($A3199&lt;Notes!$B$5,"",IF(COUNTIFS(Release_Calendar!$A$2:$A$755,"NZ_CPI",Release_Calendar!$B$2:$B$755,$A3199)&gt;0,1,0))</f>
        <v/>
      </c>
      <c r="N3199" s="16" t="str">
        <f>IF($A3199&lt;Notes!$B$5,"",IF(COUNTIFS(Release_Calendar!$A$2:$A$755,"NZ_GDP",Release_Calendar!$B$2:$B$755,$A3199)&gt;0,1,0))</f>
        <v/>
      </c>
      <c r="O3199" s="16" t="str">
        <f>IF($A3199&lt;Notes!$B$5,"",IF(COUNTIFS(Release_Calendar!$A$2:$A$755,"NZ_LABOUR",Release_Calendar!$B$2:$B$755,$A3199)&gt;0,1,0))</f>
        <v/>
      </c>
      <c r="P3199" s="16">
        <f t="shared" si="4"/>
        <v>0</v>
      </c>
    </row>
    <row r="3200" ht="15.75" customHeight="1">
      <c r="A3200" s="14">
        <v>41004.0</v>
      </c>
      <c r="B3200" s="15">
        <v>0.35</v>
      </c>
      <c r="C3200" s="15">
        <v>3.01</v>
      </c>
      <c r="D3200" s="15">
        <v>3.03</v>
      </c>
      <c r="E3200" s="15">
        <v>3.04</v>
      </c>
      <c r="F3200" s="15">
        <f t="shared" si="1"/>
        <v>2.66</v>
      </c>
      <c r="G3200" s="15">
        <f t="shared" si="2"/>
        <v>3.01</v>
      </c>
      <c r="H3200" s="16">
        <v>0.0</v>
      </c>
      <c r="I3200" s="15">
        <f t="shared" si="3"/>
        <v>2.66</v>
      </c>
      <c r="J3200" s="15">
        <v>16.7</v>
      </c>
      <c r="K3200" s="16">
        <f>IF(COUNTIFS(Release_Calendar!$A$2:$A$755,"US_CPI",Release_Calendar!$B$2:$B$755,$A3200)&gt;0,1,0)</f>
        <v>0</v>
      </c>
      <c r="L3200" s="16">
        <f>IF(COUNTIFS(Release_Calendar!$A$2:$A$755,"US_NFP",Release_Calendar!$B$2:$B$755,$A3200)&gt;0,1,0)</f>
        <v>0</v>
      </c>
      <c r="M3200" s="16" t="str">
        <f>IF($A3200&lt;Notes!$B$5,"",IF(COUNTIFS(Release_Calendar!$A$2:$A$755,"NZ_CPI",Release_Calendar!$B$2:$B$755,$A3200)&gt;0,1,0))</f>
        <v/>
      </c>
      <c r="N3200" s="16" t="str">
        <f>IF($A3200&lt;Notes!$B$5,"",IF(COUNTIFS(Release_Calendar!$A$2:$A$755,"NZ_GDP",Release_Calendar!$B$2:$B$755,$A3200)&gt;0,1,0))</f>
        <v/>
      </c>
      <c r="O3200" s="16" t="str">
        <f>IF($A3200&lt;Notes!$B$5,"",IF(COUNTIFS(Release_Calendar!$A$2:$A$755,"NZ_LABOUR",Release_Calendar!$B$2:$B$755,$A3200)&gt;0,1,0))</f>
        <v/>
      </c>
      <c r="P3200" s="16">
        <f t="shared" si="4"/>
        <v>0</v>
      </c>
    </row>
    <row r="3201" ht="15.75" customHeight="1">
      <c r="A3201" s="14">
        <v>41005.0</v>
      </c>
      <c r="B3201" s="15">
        <v>0.32</v>
      </c>
      <c r="C3201" s="15"/>
      <c r="D3201" s="15"/>
      <c r="E3201" s="15"/>
      <c r="F3201" s="15" t="str">
        <f t="shared" si="1"/>
        <v/>
      </c>
      <c r="G3201" s="15" t="str">
        <f t="shared" si="2"/>
        <v/>
      </c>
      <c r="H3201" s="16">
        <v>0.0</v>
      </c>
      <c r="I3201" s="15" t="str">
        <f t="shared" si="3"/>
        <v/>
      </c>
      <c r="J3201" s="15"/>
      <c r="K3201" s="16">
        <f>IF(COUNTIFS(Release_Calendar!$A$2:$A$755,"US_CPI",Release_Calendar!$B$2:$B$755,$A3201)&gt;0,1,0)</f>
        <v>0</v>
      </c>
      <c r="L3201" s="16">
        <f>IF(COUNTIFS(Release_Calendar!$A$2:$A$755,"US_NFP",Release_Calendar!$B$2:$B$755,$A3201)&gt;0,1,0)</f>
        <v>1</v>
      </c>
      <c r="M3201" s="16" t="str">
        <f>IF($A3201&lt;Notes!$B$5,"",IF(COUNTIFS(Release_Calendar!$A$2:$A$755,"NZ_CPI",Release_Calendar!$B$2:$B$755,$A3201)&gt;0,1,0))</f>
        <v/>
      </c>
      <c r="N3201" s="16" t="str">
        <f>IF($A3201&lt;Notes!$B$5,"",IF(COUNTIFS(Release_Calendar!$A$2:$A$755,"NZ_GDP",Release_Calendar!$B$2:$B$755,$A3201)&gt;0,1,0))</f>
        <v/>
      </c>
      <c r="O3201" s="16" t="str">
        <f>IF($A3201&lt;Notes!$B$5,"",IF(COUNTIFS(Release_Calendar!$A$2:$A$755,"NZ_LABOUR",Release_Calendar!$B$2:$B$755,$A3201)&gt;0,1,0))</f>
        <v/>
      </c>
      <c r="P3201" s="16">
        <f t="shared" si="4"/>
        <v>1</v>
      </c>
    </row>
    <row r="3202" ht="15.75" customHeight="1">
      <c r="A3202" s="14">
        <v>41008.0</v>
      </c>
      <c r="B3202" s="15">
        <v>0.32</v>
      </c>
      <c r="C3202" s="15"/>
      <c r="D3202" s="15"/>
      <c r="E3202" s="15"/>
      <c r="F3202" s="15" t="str">
        <f t="shared" si="1"/>
        <v/>
      </c>
      <c r="G3202" s="15" t="str">
        <f t="shared" si="2"/>
        <v/>
      </c>
      <c r="H3202" s="16">
        <v>0.0</v>
      </c>
      <c r="I3202" s="15" t="str">
        <f t="shared" si="3"/>
        <v/>
      </c>
      <c r="J3202" s="15">
        <v>18.81</v>
      </c>
      <c r="K3202" s="16">
        <f>IF(COUNTIFS(Release_Calendar!$A$2:$A$755,"US_CPI",Release_Calendar!$B$2:$B$755,$A3202)&gt;0,1,0)</f>
        <v>0</v>
      </c>
      <c r="L3202" s="16">
        <f>IF(COUNTIFS(Release_Calendar!$A$2:$A$755,"US_NFP",Release_Calendar!$B$2:$B$755,$A3202)&gt;0,1,0)</f>
        <v>0</v>
      </c>
      <c r="M3202" s="16" t="str">
        <f>IF($A3202&lt;Notes!$B$5,"",IF(COUNTIFS(Release_Calendar!$A$2:$A$755,"NZ_CPI",Release_Calendar!$B$2:$B$755,$A3202)&gt;0,1,0))</f>
        <v/>
      </c>
      <c r="N3202" s="16" t="str">
        <f>IF($A3202&lt;Notes!$B$5,"",IF(COUNTIFS(Release_Calendar!$A$2:$A$755,"NZ_GDP",Release_Calendar!$B$2:$B$755,$A3202)&gt;0,1,0))</f>
        <v/>
      </c>
      <c r="O3202" s="16" t="str">
        <f>IF($A3202&lt;Notes!$B$5,"",IF(COUNTIFS(Release_Calendar!$A$2:$A$755,"NZ_LABOUR",Release_Calendar!$B$2:$B$755,$A3202)&gt;0,1,0))</f>
        <v/>
      </c>
      <c r="P3202" s="16">
        <f t="shared" si="4"/>
        <v>0</v>
      </c>
    </row>
    <row r="3203" ht="15.75" customHeight="1">
      <c r="A3203" s="14">
        <v>41009.0</v>
      </c>
      <c r="B3203" s="15">
        <v>0.28</v>
      </c>
      <c r="C3203" s="15">
        <v>2.96</v>
      </c>
      <c r="D3203" s="15">
        <v>2.97</v>
      </c>
      <c r="E3203" s="15">
        <v>2.96</v>
      </c>
      <c r="F3203" s="15">
        <f t="shared" si="1"/>
        <v>2.68</v>
      </c>
      <c r="G3203" s="15">
        <f t="shared" si="2"/>
        <v>2.96</v>
      </c>
      <c r="H3203" s="16">
        <v>0.0</v>
      </c>
      <c r="I3203" s="15">
        <f t="shared" si="3"/>
        <v>2.68</v>
      </c>
      <c r="J3203" s="15">
        <v>20.39</v>
      </c>
      <c r="K3203" s="16">
        <f>IF(COUNTIFS(Release_Calendar!$A$2:$A$755,"US_CPI",Release_Calendar!$B$2:$B$755,$A3203)&gt;0,1,0)</f>
        <v>0</v>
      </c>
      <c r="L3203" s="16">
        <f>IF(COUNTIFS(Release_Calendar!$A$2:$A$755,"US_NFP",Release_Calendar!$B$2:$B$755,$A3203)&gt;0,1,0)</f>
        <v>0</v>
      </c>
      <c r="M3203" s="16" t="str">
        <f>IF($A3203&lt;Notes!$B$5,"",IF(COUNTIFS(Release_Calendar!$A$2:$A$755,"NZ_CPI",Release_Calendar!$B$2:$B$755,$A3203)&gt;0,1,0))</f>
        <v/>
      </c>
      <c r="N3203" s="16" t="str">
        <f>IF($A3203&lt;Notes!$B$5,"",IF(COUNTIFS(Release_Calendar!$A$2:$A$755,"NZ_GDP",Release_Calendar!$B$2:$B$755,$A3203)&gt;0,1,0))</f>
        <v/>
      </c>
      <c r="O3203" s="16" t="str">
        <f>IF($A3203&lt;Notes!$B$5,"",IF(COUNTIFS(Release_Calendar!$A$2:$A$755,"NZ_LABOUR",Release_Calendar!$B$2:$B$755,$A3203)&gt;0,1,0))</f>
        <v/>
      </c>
      <c r="P3203" s="16">
        <f t="shared" si="4"/>
        <v>0</v>
      </c>
    </row>
    <row r="3204" ht="15.75" customHeight="1">
      <c r="A3204" s="14">
        <v>41010.0</v>
      </c>
      <c r="B3204" s="15">
        <v>0.3</v>
      </c>
      <c r="C3204" s="15">
        <v>2.94</v>
      </c>
      <c r="D3204" s="15">
        <v>2.95</v>
      </c>
      <c r="E3204" s="15">
        <v>2.97</v>
      </c>
      <c r="F3204" s="15">
        <f t="shared" si="1"/>
        <v>2.64</v>
      </c>
      <c r="G3204" s="15">
        <f t="shared" si="2"/>
        <v>2.94</v>
      </c>
      <c r="H3204" s="16">
        <v>0.0</v>
      </c>
      <c r="I3204" s="15">
        <f t="shared" si="3"/>
        <v>2.64</v>
      </c>
      <c r="J3204" s="15">
        <v>20.02</v>
      </c>
      <c r="K3204" s="16">
        <f>IF(COUNTIFS(Release_Calendar!$A$2:$A$755,"US_CPI",Release_Calendar!$B$2:$B$755,$A3204)&gt;0,1,0)</f>
        <v>0</v>
      </c>
      <c r="L3204" s="16">
        <f>IF(COUNTIFS(Release_Calendar!$A$2:$A$755,"US_NFP",Release_Calendar!$B$2:$B$755,$A3204)&gt;0,1,0)</f>
        <v>0</v>
      </c>
      <c r="M3204" s="16" t="str">
        <f>IF($A3204&lt;Notes!$B$5,"",IF(COUNTIFS(Release_Calendar!$A$2:$A$755,"NZ_CPI",Release_Calendar!$B$2:$B$755,$A3204)&gt;0,1,0))</f>
        <v/>
      </c>
      <c r="N3204" s="16" t="str">
        <f>IF($A3204&lt;Notes!$B$5,"",IF(COUNTIFS(Release_Calendar!$A$2:$A$755,"NZ_GDP",Release_Calendar!$B$2:$B$755,$A3204)&gt;0,1,0))</f>
        <v/>
      </c>
      <c r="O3204" s="16" t="str">
        <f>IF($A3204&lt;Notes!$B$5,"",IF(COUNTIFS(Release_Calendar!$A$2:$A$755,"NZ_LABOUR",Release_Calendar!$B$2:$B$755,$A3204)&gt;0,1,0))</f>
        <v/>
      </c>
      <c r="P3204" s="16">
        <f t="shared" si="4"/>
        <v>0</v>
      </c>
    </row>
    <row r="3205" ht="15.75" customHeight="1">
      <c r="A3205" s="14">
        <v>41011.0</v>
      </c>
      <c r="B3205" s="15">
        <v>0.29</v>
      </c>
      <c r="C3205" s="15">
        <v>2.97</v>
      </c>
      <c r="D3205" s="15">
        <v>2.99</v>
      </c>
      <c r="E3205" s="15">
        <v>2.99</v>
      </c>
      <c r="F3205" s="15">
        <f t="shared" si="1"/>
        <v>2.68</v>
      </c>
      <c r="G3205" s="15">
        <f t="shared" si="2"/>
        <v>2.97</v>
      </c>
      <c r="H3205" s="16">
        <v>0.0</v>
      </c>
      <c r="I3205" s="15">
        <f t="shared" si="3"/>
        <v>2.68</v>
      </c>
      <c r="J3205" s="15">
        <v>17.2</v>
      </c>
      <c r="K3205" s="16">
        <f>IF(COUNTIFS(Release_Calendar!$A$2:$A$755,"US_CPI",Release_Calendar!$B$2:$B$755,$A3205)&gt;0,1,0)</f>
        <v>0</v>
      </c>
      <c r="L3205" s="16">
        <f>IF(COUNTIFS(Release_Calendar!$A$2:$A$755,"US_NFP",Release_Calendar!$B$2:$B$755,$A3205)&gt;0,1,0)</f>
        <v>0</v>
      </c>
      <c r="M3205" s="16" t="str">
        <f>IF($A3205&lt;Notes!$B$5,"",IF(COUNTIFS(Release_Calendar!$A$2:$A$755,"NZ_CPI",Release_Calendar!$B$2:$B$755,$A3205)&gt;0,1,0))</f>
        <v/>
      </c>
      <c r="N3205" s="16" t="str">
        <f>IF($A3205&lt;Notes!$B$5,"",IF(COUNTIFS(Release_Calendar!$A$2:$A$755,"NZ_GDP",Release_Calendar!$B$2:$B$755,$A3205)&gt;0,1,0))</f>
        <v/>
      </c>
      <c r="O3205" s="16" t="str">
        <f>IF($A3205&lt;Notes!$B$5,"",IF(COUNTIFS(Release_Calendar!$A$2:$A$755,"NZ_LABOUR",Release_Calendar!$B$2:$B$755,$A3205)&gt;0,1,0))</f>
        <v/>
      </c>
      <c r="P3205" s="16">
        <f t="shared" si="4"/>
        <v>0</v>
      </c>
    </row>
    <row r="3206" ht="15.75" customHeight="1">
      <c r="A3206" s="14">
        <v>41012.0</v>
      </c>
      <c r="B3206" s="15">
        <v>0.27</v>
      </c>
      <c r="C3206" s="15">
        <v>2.95</v>
      </c>
      <c r="D3206" s="15">
        <v>2.99</v>
      </c>
      <c r="E3206" s="15">
        <v>2.99</v>
      </c>
      <c r="F3206" s="15">
        <f t="shared" si="1"/>
        <v>2.68</v>
      </c>
      <c r="G3206" s="15">
        <f t="shared" si="2"/>
        <v>2.95</v>
      </c>
      <c r="H3206" s="16">
        <v>0.0</v>
      </c>
      <c r="I3206" s="15">
        <f t="shared" si="3"/>
        <v>2.68</v>
      </c>
      <c r="J3206" s="15">
        <v>19.55</v>
      </c>
      <c r="K3206" s="16">
        <f>IF(COUNTIFS(Release_Calendar!$A$2:$A$755,"US_CPI",Release_Calendar!$B$2:$B$755,$A3206)&gt;0,1,0)</f>
        <v>1</v>
      </c>
      <c r="L3206" s="16">
        <f>IF(COUNTIFS(Release_Calendar!$A$2:$A$755,"US_NFP",Release_Calendar!$B$2:$B$755,$A3206)&gt;0,1,0)</f>
        <v>0</v>
      </c>
      <c r="M3206" s="16" t="str">
        <f>IF($A3206&lt;Notes!$B$5,"",IF(COUNTIFS(Release_Calendar!$A$2:$A$755,"NZ_CPI",Release_Calendar!$B$2:$B$755,$A3206)&gt;0,1,0))</f>
        <v/>
      </c>
      <c r="N3206" s="16" t="str">
        <f>IF($A3206&lt;Notes!$B$5,"",IF(COUNTIFS(Release_Calendar!$A$2:$A$755,"NZ_GDP",Release_Calendar!$B$2:$B$755,$A3206)&gt;0,1,0))</f>
        <v/>
      </c>
      <c r="O3206" s="16" t="str">
        <f>IF($A3206&lt;Notes!$B$5,"",IF(COUNTIFS(Release_Calendar!$A$2:$A$755,"NZ_LABOUR",Release_Calendar!$B$2:$B$755,$A3206)&gt;0,1,0))</f>
        <v/>
      </c>
      <c r="P3206" s="16">
        <f t="shared" si="4"/>
        <v>1</v>
      </c>
    </row>
    <row r="3207" ht="15.75" customHeight="1">
      <c r="A3207" s="14">
        <v>41015.0</v>
      </c>
      <c r="B3207" s="15">
        <v>0.27</v>
      </c>
      <c r="C3207" s="15">
        <v>2.91</v>
      </c>
      <c r="D3207" s="15">
        <v>2.96</v>
      </c>
      <c r="E3207" s="15">
        <v>2.94</v>
      </c>
      <c r="F3207" s="15">
        <f t="shared" si="1"/>
        <v>2.64</v>
      </c>
      <c r="G3207" s="15">
        <f t="shared" si="2"/>
        <v>2.91</v>
      </c>
      <c r="H3207" s="16">
        <v>0.0</v>
      </c>
      <c r="I3207" s="15">
        <f t="shared" si="3"/>
        <v>2.64</v>
      </c>
      <c r="J3207" s="15">
        <v>19.55</v>
      </c>
      <c r="K3207" s="16">
        <f>IF(COUNTIFS(Release_Calendar!$A$2:$A$755,"US_CPI",Release_Calendar!$B$2:$B$755,$A3207)&gt;0,1,0)</f>
        <v>0</v>
      </c>
      <c r="L3207" s="16">
        <f>IF(COUNTIFS(Release_Calendar!$A$2:$A$755,"US_NFP",Release_Calendar!$B$2:$B$755,$A3207)&gt;0,1,0)</f>
        <v>0</v>
      </c>
      <c r="M3207" s="16" t="str">
        <f>IF($A3207&lt;Notes!$B$5,"",IF(COUNTIFS(Release_Calendar!$A$2:$A$755,"NZ_CPI",Release_Calendar!$B$2:$B$755,$A3207)&gt;0,1,0))</f>
        <v/>
      </c>
      <c r="N3207" s="16" t="str">
        <f>IF($A3207&lt;Notes!$B$5,"",IF(COUNTIFS(Release_Calendar!$A$2:$A$755,"NZ_GDP",Release_Calendar!$B$2:$B$755,$A3207)&gt;0,1,0))</f>
        <v/>
      </c>
      <c r="O3207" s="16" t="str">
        <f>IF($A3207&lt;Notes!$B$5,"",IF(COUNTIFS(Release_Calendar!$A$2:$A$755,"NZ_LABOUR",Release_Calendar!$B$2:$B$755,$A3207)&gt;0,1,0))</f>
        <v/>
      </c>
      <c r="P3207" s="16">
        <f t="shared" si="4"/>
        <v>0</v>
      </c>
    </row>
    <row r="3208" ht="15.75" customHeight="1">
      <c r="A3208" s="14">
        <v>41016.0</v>
      </c>
      <c r="B3208" s="15">
        <v>0.27</v>
      </c>
      <c r="C3208" s="15">
        <v>2.9</v>
      </c>
      <c r="D3208" s="15">
        <v>2.93</v>
      </c>
      <c r="E3208" s="15">
        <v>2.92</v>
      </c>
      <c r="F3208" s="15">
        <f t="shared" si="1"/>
        <v>2.63</v>
      </c>
      <c r="G3208" s="15">
        <f t="shared" si="2"/>
        <v>2.9</v>
      </c>
      <c r="H3208" s="16">
        <v>0.0</v>
      </c>
      <c r="I3208" s="15">
        <f t="shared" si="3"/>
        <v>2.63</v>
      </c>
      <c r="J3208" s="15">
        <v>18.46</v>
      </c>
      <c r="K3208" s="16">
        <f>IF(COUNTIFS(Release_Calendar!$A$2:$A$755,"US_CPI",Release_Calendar!$B$2:$B$755,$A3208)&gt;0,1,0)</f>
        <v>0</v>
      </c>
      <c r="L3208" s="16">
        <f>IF(COUNTIFS(Release_Calendar!$A$2:$A$755,"US_NFP",Release_Calendar!$B$2:$B$755,$A3208)&gt;0,1,0)</f>
        <v>0</v>
      </c>
      <c r="M3208" s="16" t="str">
        <f>IF($A3208&lt;Notes!$B$5,"",IF(COUNTIFS(Release_Calendar!$A$2:$A$755,"NZ_CPI",Release_Calendar!$B$2:$B$755,$A3208)&gt;0,1,0))</f>
        <v/>
      </c>
      <c r="N3208" s="16" t="str">
        <f>IF($A3208&lt;Notes!$B$5,"",IF(COUNTIFS(Release_Calendar!$A$2:$A$755,"NZ_GDP",Release_Calendar!$B$2:$B$755,$A3208)&gt;0,1,0))</f>
        <v/>
      </c>
      <c r="O3208" s="16" t="str">
        <f>IF($A3208&lt;Notes!$B$5,"",IF(COUNTIFS(Release_Calendar!$A$2:$A$755,"NZ_LABOUR",Release_Calendar!$B$2:$B$755,$A3208)&gt;0,1,0))</f>
        <v/>
      </c>
      <c r="P3208" s="16">
        <f t="shared" si="4"/>
        <v>0</v>
      </c>
    </row>
    <row r="3209" ht="15.75" customHeight="1">
      <c r="A3209" s="14">
        <v>41017.0</v>
      </c>
      <c r="B3209" s="15">
        <v>0.27</v>
      </c>
      <c r="C3209" s="15">
        <v>2.95</v>
      </c>
      <c r="D3209" s="15">
        <v>2.95</v>
      </c>
      <c r="E3209" s="15">
        <v>2.94</v>
      </c>
      <c r="F3209" s="15">
        <f t="shared" si="1"/>
        <v>2.68</v>
      </c>
      <c r="G3209" s="15">
        <f t="shared" si="2"/>
        <v>2.95</v>
      </c>
      <c r="H3209" s="16">
        <v>0.0</v>
      </c>
      <c r="I3209" s="15">
        <f t="shared" si="3"/>
        <v>2.68</v>
      </c>
      <c r="J3209" s="15">
        <v>18.64</v>
      </c>
      <c r="K3209" s="16">
        <f>IF(COUNTIFS(Release_Calendar!$A$2:$A$755,"US_CPI",Release_Calendar!$B$2:$B$755,$A3209)&gt;0,1,0)</f>
        <v>0</v>
      </c>
      <c r="L3209" s="16">
        <f>IF(COUNTIFS(Release_Calendar!$A$2:$A$755,"US_NFP",Release_Calendar!$B$2:$B$755,$A3209)&gt;0,1,0)</f>
        <v>0</v>
      </c>
      <c r="M3209" s="16" t="str">
        <f>IF($A3209&lt;Notes!$B$5,"",IF(COUNTIFS(Release_Calendar!$A$2:$A$755,"NZ_CPI",Release_Calendar!$B$2:$B$755,$A3209)&gt;0,1,0))</f>
        <v/>
      </c>
      <c r="N3209" s="16" t="str">
        <f>IF($A3209&lt;Notes!$B$5,"",IF(COUNTIFS(Release_Calendar!$A$2:$A$755,"NZ_GDP",Release_Calendar!$B$2:$B$755,$A3209)&gt;0,1,0))</f>
        <v/>
      </c>
      <c r="O3209" s="16" t="str">
        <f>IF($A3209&lt;Notes!$B$5,"",IF(COUNTIFS(Release_Calendar!$A$2:$A$755,"NZ_LABOUR",Release_Calendar!$B$2:$B$755,$A3209)&gt;0,1,0))</f>
        <v/>
      </c>
      <c r="P3209" s="16">
        <f t="shared" si="4"/>
        <v>0</v>
      </c>
    </row>
    <row r="3210" ht="15.75" customHeight="1">
      <c r="A3210" s="14">
        <v>41018.0</v>
      </c>
      <c r="B3210" s="15">
        <v>0.27</v>
      </c>
      <c r="C3210" s="15">
        <v>2.91</v>
      </c>
      <c r="D3210" s="15">
        <v>2.93</v>
      </c>
      <c r="E3210" s="15">
        <v>2.92</v>
      </c>
      <c r="F3210" s="15">
        <f t="shared" si="1"/>
        <v>2.64</v>
      </c>
      <c r="G3210" s="15">
        <f t="shared" si="2"/>
        <v>2.91</v>
      </c>
      <c r="H3210" s="16">
        <v>0.0</v>
      </c>
      <c r="I3210" s="15">
        <f t="shared" si="3"/>
        <v>2.64</v>
      </c>
      <c r="J3210" s="15">
        <v>18.36</v>
      </c>
      <c r="K3210" s="16">
        <f>IF(COUNTIFS(Release_Calendar!$A$2:$A$755,"US_CPI",Release_Calendar!$B$2:$B$755,$A3210)&gt;0,1,0)</f>
        <v>0</v>
      </c>
      <c r="L3210" s="16">
        <f>IF(COUNTIFS(Release_Calendar!$A$2:$A$755,"US_NFP",Release_Calendar!$B$2:$B$755,$A3210)&gt;0,1,0)</f>
        <v>0</v>
      </c>
      <c r="M3210" s="16" t="str">
        <f>IF($A3210&lt;Notes!$B$5,"",IF(COUNTIFS(Release_Calendar!$A$2:$A$755,"NZ_CPI",Release_Calendar!$B$2:$B$755,$A3210)&gt;0,1,0))</f>
        <v/>
      </c>
      <c r="N3210" s="16" t="str">
        <f>IF($A3210&lt;Notes!$B$5,"",IF(COUNTIFS(Release_Calendar!$A$2:$A$755,"NZ_GDP",Release_Calendar!$B$2:$B$755,$A3210)&gt;0,1,0))</f>
        <v/>
      </c>
      <c r="O3210" s="16" t="str">
        <f>IF($A3210&lt;Notes!$B$5,"",IF(COUNTIFS(Release_Calendar!$A$2:$A$755,"NZ_LABOUR",Release_Calendar!$B$2:$B$755,$A3210)&gt;0,1,0))</f>
        <v/>
      </c>
      <c r="P3210" s="16">
        <f t="shared" si="4"/>
        <v>0</v>
      </c>
    </row>
    <row r="3211" ht="15.75" customHeight="1">
      <c r="A3211" s="14">
        <v>41019.0</v>
      </c>
      <c r="B3211" s="15">
        <v>0.29</v>
      </c>
      <c r="C3211" s="15">
        <v>2.9</v>
      </c>
      <c r="D3211" s="15">
        <v>2.91</v>
      </c>
      <c r="E3211" s="15">
        <v>2.92</v>
      </c>
      <c r="F3211" s="15">
        <f t="shared" si="1"/>
        <v>2.61</v>
      </c>
      <c r="G3211" s="15">
        <f t="shared" si="2"/>
        <v>2.9</v>
      </c>
      <c r="H3211" s="16">
        <v>0.0</v>
      </c>
      <c r="I3211" s="15">
        <f t="shared" si="3"/>
        <v>2.61</v>
      </c>
      <c r="J3211" s="15">
        <v>17.44</v>
      </c>
      <c r="K3211" s="16">
        <f>IF(COUNTIFS(Release_Calendar!$A$2:$A$755,"US_CPI",Release_Calendar!$B$2:$B$755,$A3211)&gt;0,1,0)</f>
        <v>0</v>
      </c>
      <c r="L3211" s="16">
        <f>IF(COUNTIFS(Release_Calendar!$A$2:$A$755,"US_NFP",Release_Calendar!$B$2:$B$755,$A3211)&gt;0,1,0)</f>
        <v>0</v>
      </c>
      <c r="M3211" s="16" t="str">
        <f>IF($A3211&lt;Notes!$B$5,"",IF(COUNTIFS(Release_Calendar!$A$2:$A$755,"NZ_CPI",Release_Calendar!$B$2:$B$755,$A3211)&gt;0,1,0))</f>
        <v/>
      </c>
      <c r="N3211" s="16" t="str">
        <f>IF($A3211&lt;Notes!$B$5,"",IF(COUNTIFS(Release_Calendar!$A$2:$A$755,"NZ_GDP",Release_Calendar!$B$2:$B$755,$A3211)&gt;0,1,0))</f>
        <v/>
      </c>
      <c r="O3211" s="16" t="str">
        <f>IF($A3211&lt;Notes!$B$5,"",IF(COUNTIFS(Release_Calendar!$A$2:$A$755,"NZ_LABOUR",Release_Calendar!$B$2:$B$755,$A3211)&gt;0,1,0))</f>
        <v/>
      </c>
      <c r="P3211" s="16">
        <f t="shared" si="4"/>
        <v>0</v>
      </c>
    </row>
    <row r="3212" ht="15.75" customHeight="1">
      <c r="A3212" s="14">
        <v>41022.0</v>
      </c>
      <c r="B3212" s="15">
        <v>0.27</v>
      </c>
      <c r="C3212" s="15">
        <v>2.88</v>
      </c>
      <c r="D3212" s="15">
        <v>2.93</v>
      </c>
      <c r="E3212" s="15">
        <v>2.91</v>
      </c>
      <c r="F3212" s="15">
        <f t="shared" si="1"/>
        <v>2.61</v>
      </c>
      <c r="G3212" s="15">
        <f t="shared" si="2"/>
        <v>2.88</v>
      </c>
      <c r="H3212" s="16">
        <v>0.0</v>
      </c>
      <c r="I3212" s="15">
        <f t="shared" si="3"/>
        <v>2.61</v>
      </c>
      <c r="J3212" s="15">
        <v>18.97</v>
      </c>
      <c r="K3212" s="16">
        <f>IF(COUNTIFS(Release_Calendar!$A$2:$A$755,"US_CPI",Release_Calendar!$B$2:$B$755,$A3212)&gt;0,1,0)</f>
        <v>0</v>
      </c>
      <c r="L3212" s="16">
        <f>IF(COUNTIFS(Release_Calendar!$A$2:$A$755,"US_NFP",Release_Calendar!$B$2:$B$755,$A3212)&gt;0,1,0)</f>
        <v>0</v>
      </c>
      <c r="M3212" s="16" t="str">
        <f>IF($A3212&lt;Notes!$B$5,"",IF(COUNTIFS(Release_Calendar!$A$2:$A$755,"NZ_CPI",Release_Calendar!$B$2:$B$755,$A3212)&gt;0,1,0))</f>
        <v/>
      </c>
      <c r="N3212" s="16" t="str">
        <f>IF($A3212&lt;Notes!$B$5,"",IF(COUNTIFS(Release_Calendar!$A$2:$A$755,"NZ_GDP",Release_Calendar!$B$2:$B$755,$A3212)&gt;0,1,0))</f>
        <v/>
      </c>
      <c r="O3212" s="16" t="str">
        <f>IF($A3212&lt;Notes!$B$5,"",IF(COUNTIFS(Release_Calendar!$A$2:$A$755,"NZ_LABOUR",Release_Calendar!$B$2:$B$755,$A3212)&gt;0,1,0))</f>
        <v/>
      </c>
      <c r="P3212" s="16">
        <f t="shared" si="4"/>
        <v>0</v>
      </c>
    </row>
    <row r="3213" ht="15.75" customHeight="1">
      <c r="A3213" s="14">
        <v>41023.0</v>
      </c>
      <c r="B3213" s="15">
        <v>0.27</v>
      </c>
      <c r="C3213" s="15">
        <v>2.84</v>
      </c>
      <c r="D3213" s="15">
        <v>2.9</v>
      </c>
      <c r="E3213" s="15">
        <v>2.86</v>
      </c>
      <c r="F3213" s="15">
        <f t="shared" si="1"/>
        <v>2.57</v>
      </c>
      <c r="G3213" s="15">
        <f t="shared" si="2"/>
        <v>2.84</v>
      </c>
      <c r="H3213" s="16">
        <v>0.0</v>
      </c>
      <c r="I3213" s="15">
        <f t="shared" si="3"/>
        <v>2.57</v>
      </c>
      <c r="J3213" s="15">
        <v>18.1</v>
      </c>
      <c r="K3213" s="16">
        <f>IF(COUNTIFS(Release_Calendar!$A$2:$A$755,"US_CPI",Release_Calendar!$B$2:$B$755,$A3213)&gt;0,1,0)</f>
        <v>0</v>
      </c>
      <c r="L3213" s="16">
        <f>IF(COUNTIFS(Release_Calendar!$A$2:$A$755,"US_NFP",Release_Calendar!$B$2:$B$755,$A3213)&gt;0,1,0)</f>
        <v>0</v>
      </c>
      <c r="M3213" s="16" t="str">
        <f>IF($A3213&lt;Notes!$B$5,"",IF(COUNTIFS(Release_Calendar!$A$2:$A$755,"NZ_CPI",Release_Calendar!$B$2:$B$755,$A3213)&gt;0,1,0))</f>
        <v/>
      </c>
      <c r="N3213" s="16" t="str">
        <f>IF($A3213&lt;Notes!$B$5,"",IF(COUNTIFS(Release_Calendar!$A$2:$A$755,"NZ_GDP",Release_Calendar!$B$2:$B$755,$A3213)&gt;0,1,0))</f>
        <v/>
      </c>
      <c r="O3213" s="16" t="str">
        <f>IF($A3213&lt;Notes!$B$5,"",IF(COUNTIFS(Release_Calendar!$A$2:$A$755,"NZ_LABOUR",Release_Calendar!$B$2:$B$755,$A3213)&gt;0,1,0))</f>
        <v/>
      </c>
      <c r="P3213" s="16">
        <f t="shared" si="4"/>
        <v>0</v>
      </c>
    </row>
    <row r="3214" ht="15.75" customHeight="1">
      <c r="A3214" s="14">
        <v>41024.0</v>
      </c>
      <c r="B3214" s="15">
        <v>0.26</v>
      </c>
      <c r="C3214" s="15"/>
      <c r="D3214" s="15"/>
      <c r="E3214" s="15"/>
      <c r="F3214" s="15" t="str">
        <f t="shared" si="1"/>
        <v/>
      </c>
      <c r="G3214" s="15" t="str">
        <f t="shared" si="2"/>
        <v/>
      </c>
      <c r="H3214" s="16">
        <v>0.0</v>
      </c>
      <c r="I3214" s="15" t="str">
        <f t="shared" si="3"/>
        <v/>
      </c>
      <c r="J3214" s="15">
        <v>16.82</v>
      </c>
      <c r="K3214" s="16">
        <f>IF(COUNTIFS(Release_Calendar!$A$2:$A$755,"US_CPI",Release_Calendar!$B$2:$B$755,$A3214)&gt;0,1,0)</f>
        <v>0</v>
      </c>
      <c r="L3214" s="16">
        <f>IF(COUNTIFS(Release_Calendar!$A$2:$A$755,"US_NFP",Release_Calendar!$B$2:$B$755,$A3214)&gt;0,1,0)</f>
        <v>0</v>
      </c>
      <c r="M3214" s="16" t="str">
        <f>IF($A3214&lt;Notes!$B$5,"",IF(COUNTIFS(Release_Calendar!$A$2:$A$755,"NZ_CPI",Release_Calendar!$B$2:$B$755,$A3214)&gt;0,1,0))</f>
        <v/>
      </c>
      <c r="N3214" s="16" t="str">
        <f>IF($A3214&lt;Notes!$B$5,"",IF(COUNTIFS(Release_Calendar!$A$2:$A$755,"NZ_GDP",Release_Calendar!$B$2:$B$755,$A3214)&gt;0,1,0))</f>
        <v/>
      </c>
      <c r="O3214" s="16" t="str">
        <f>IF($A3214&lt;Notes!$B$5,"",IF(COUNTIFS(Release_Calendar!$A$2:$A$755,"NZ_LABOUR",Release_Calendar!$B$2:$B$755,$A3214)&gt;0,1,0))</f>
        <v/>
      </c>
      <c r="P3214" s="16">
        <f t="shared" si="4"/>
        <v>0</v>
      </c>
    </row>
    <row r="3215" ht="15.75" customHeight="1">
      <c r="A3215" s="14">
        <v>41025.0</v>
      </c>
      <c r="B3215" s="15">
        <v>0.26</v>
      </c>
      <c r="C3215" s="15">
        <v>2.76</v>
      </c>
      <c r="D3215" s="15">
        <v>2.84</v>
      </c>
      <c r="E3215" s="15">
        <v>2.8</v>
      </c>
      <c r="F3215" s="15">
        <f t="shared" si="1"/>
        <v>2.5</v>
      </c>
      <c r="G3215" s="15">
        <f t="shared" si="2"/>
        <v>2.76</v>
      </c>
      <c r="H3215" s="16">
        <v>0.0</v>
      </c>
      <c r="I3215" s="15">
        <f t="shared" si="3"/>
        <v>2.5</v>
      </c>
      <c r="J3215" s="15">
        <v>16.24</v>
      </c>
      <c r="K3215" s="16">
        <f>IF(COUNTIFS(Release_Calendar!$A$2:$A$755,"US_CPI",Release_Calendar!$B$2:$B$755,$A3215)&gt;0,1,0)</f>
        <v>0</v>
      </c>
      <c r="L3215" s="16">
        <f>IF(COUNTIFS(Release_Calendar!$A$2:$A$755,"US_NFP",Release_Calendar!$B$2:$B$755,$A3215)&gt;0,1,0)</f>
        <v>0</v>
      </c>
      <c r="M3215" s="16" t="str">
        <f>IF($A3215&lt;Notes!$B$5,"",IF(COUNTIFS(Release_Calendar!$A$2:$A$755,"NZ_CPI",Release_Calendar!$B$2:$B$755,$A3215)&gt;0,1,0))</f>
        <v/>
      </c>
      <c r="N3215" s="16" t="str">
        <f>IF($A3215&lt;Notes!$B$5,"",IF(COUNTIFS(Release_Calendar!$A$2:$A$755,"NZ_GDP",Release_Calendar!$B$2:$B$755,$A3215)&gt;0,1,0))</f>
        <v/>
      </c>
      <c r="O3215" s="16" t="str">
        <f>IF($A3215&lt;Notes!$B$5,"",IF(COUNTIFS(Release_Calendar!$A$2:$A$755,"NZ_LABOUR",Release_Calendar!$B$2:$B$755,$A3215)&gt;0,1,0))</f>
        <v/>
      </c>
      <c r="P3215" s="16">
        <f t="shared" si="4"/>
        <v>0</v>
      </c>
    </row>
    <row r="3216" ht="15.75" customHeight="1">
      <c r="A3216" s="14">
        <v>41026.0</v>
      </c>
      <c r="B3216" s="15">
        <v>0.26</v>
      </c>
      <c r="C3216" s="15">
        <v>2.75</v>
      </c>
      <c r="D3216" s="15">
        <v>2.79</v>
      </c>
      <c r="E3216" s="15">
        <v>2.69</v>
      </c>
      <c r="F3216" s="15">
        <f t="shared" si="1"/>
        <v>2.49</v>
      </c>
      <c r="G3216" s="15">
        <f t="shared" si="2"/>
        <v>2.75</v>
      </c>
      <c r="H3216" s="16">
        <v>0.0</v>
      </c>
      <c r="I3216" s="15">
        <f t="shared" si="3"/>
        <v>2.49</v>
      </c>
      <c r="J3216" s="15">
        <v>16.32</v>
      </c>
      <c r="K3216" s="16">
        <f>IF(COUNTIFS(Release_Calendar!$A$2:$A$755,"US_CPI",Release_Calendar!$B$2:$B$755,$A3216)&gt;0,1,0)</f>
        <v>0</v>
      </c>
      <c r="L3216" s="16">
        <f>IF(COUNTIFS(Release_Calendar!$A$2:$A$755,"US_NFP",Release_Calendar!$B$2:$B$755,$A3216)&gt;0,1,0)</f>
        <v>0</v>
      </c>
      <c r="M3216" s="16" t="str">
        <f>IF($A3216&lt;Notes!$B$5,"",IF(COUNTIFS(Release_Calendar!$A$2:$A$755,"NZ_CPI",Release_Calendar!$B$2:$B$755,$A3216)&gt;0,1,0))</f>
        <v/>
      </c>
      <c r="N3216" s="16" t="str">
        <f>IF($A3216&lt;Notes!$B$5,"",IF(COUNTIFS(Release_Calendar!$A$2:$A$755,"NZ_GDP",Release_Calendar!$B$2:$B$755,$A3216)&gt;0,1,0))</f>
        <v/>
      </c>
      <c r="O3216" s="16" t="str">
        <f>IF($A3216&lt;Notes!$B$5,"",IF(COUNTIFS(Release_Calendar!$A$2:$A$755,"NZ_LABOUR",Release_Calendar!$B$2:$B$755,$A3216)&gt;0,1,0))</f>
        <v/>
      </c>
      <c r="P3216" s="16">
        <f t="shared" si="4"/>
        <v>0</v>
      </c>
    </row>
    <row r="3217" ht="15.75" customHeight="1">
      <c r="A3217" s="14">
        <v>41029.0</v>
      </c>
      <c r="B3217" s="15">
        <v>0.27</v>
      </c>
      <c r="C3217" s="15">
        <v>2.78</v>
      </c>
      <c r="D3217" s="15">
        <v>2.68</v>
      </c>
      <c r="E3217" s="15">
        <v>2.71</v>
      </c>
      <c r="F3217" s="15">
        <f t="shared" si="1"/>
        <v>2.51</v>
      </c>
      <c r="G3217" s="15">
        <f t="shared" si="2"/>
        <v>2.78</v>
      </c>
      <c r="H3217" s="16">
        <v>0.0</v>
      </c>
      <c r="I3217" s="15">
        <f t="shared" si="3"/>
        <v>2.51</v>
      </c>
      <c r="J3217" s="15">
        <v>17.15</v>
      </c>
      <c r="K3217" s="16">
        <f>IF(COUNTIFS(Release_Calendar!$A$2:$A$755,"US_CPI",Release_Calendar!$B$2:$B$755,$A3217)&gt;0,1,0)</f>
        <v>0</v>
      </c>
      <c r="L3217" s="16">
        <f>IF(COUNTIFS(Release_Calendar!$A$2:$A$755,"US_NFP",Release_Calendar!$B$2:$B$755,$A3217)&gt;0,1,0)</f>
        <v>0</v>
      </c>
      <c r="M3217" s="16" t="str">
        <f>IF($A3217&lt;Notes!$B$5,"",IF(COUNTIFS(Release_Calendar!$A$2:$A$755,"NZ_CPI",Release_Calendar!$B$2:$B$755,$A3217)&gt;0,1,0))</f>
        <v/>
      </c>
      <c r="N3217" s="16" t="str">
        <f>IF($A3217&lt;Notes!$B$5,"",IF(COUNTIFS(Release_Calendar!$A$2:$A$755,"NZ_GDP",Release_Calendar!$B$2:$B$755,$A3217)&gt;0,1,0))</f>
        <v/>
      </c>
      <c r="O3217" s="16" t="str">
        <f>IF($A3217&lt;Notes!$B$5,"",IF(COUNTIFS(Release_Calendar!$A$2:$A$755,"NZ_LABOUR",Release_Calendar!$B$2:$B$755,$A3217)&gt;0,1,0))</f>
        <v/>
      </c>
      <c r="P3217" s="16">
        <f t="shared" si="4"/>
        <v>0</v>
      </c>
    </row>
    <row r="3218" ht="15.75" customHeight="1">
      <c r="A3218" s="14">
        <v>41030.0</v>
      </c>
      <c r="B3218" s="15">
        <v>0.27</v>
      </c>
      <c r="C3218" s="15">
        <v>2.73</v>
      </c>
      <c r="D3218" s="15">
        <v>2.67</v>
      </c>
      <c r="E3218" s="15">
        <v>2.66</v>
      </c>
      <c r="F3218" s="15">
        <f t="shared" si="1"/>
        <v>2.46</v>
      </c>
      <c r="G3218" s="15">
        <f t="shared" si="2"/>
        <v>2.73</v>
      </c>
      <c r="H3218" s="16">
        <v>0.0</v>
      </c>
      <c r="I3218" s="15">
        <f t="shared" si="3"/>
        <v>2.46</v>
      </c>
      <c r="J3218" s="15">
        <v>16.6</v>
      </c>
      <c r="K3218" s="16">
        <f>IF(COUNTIFS(Release_Calendar!$A$2:$A$755,"US_CPI",Release_Calendar!$B$2:$B$755,$A3218)&gt;0,1,0)</f>
        <v>0</v>
      </c>
      <c r="L3218" s="16">
        <f>IF(COUNTIFS(Release_Calendar!$A$2:$A$755,"US_NFP",Release_Calendar!$B$2:$B$755,$A3218)&gt;0,1,0)</f>
        <v>0</v>
      </c>
      <c r="M3218" s="16" t="str">
        <f>IF($A3218&lt;Notes!$B$5,"",IF(COUNTIFS(Release_Calendar!$A$2:$A$755,"NZ_CPI",Release_Calendar!$B$2:$B$755,$A3218)&gt;0,1,0))</f>
        <v/>
      </c>
      <c r="N3218" s="16" t="str">
        <f>IF($A3218&lt;Notes!$B$5,"",IF(COUNTIFS(Release_Calendar!$A$2:$A$755,"NZ_GDP",Release_Calendar!$B$2:$B$755,$A3218)&gt;0,1,0))</f>
        <v/>
      </c>
      <c r="O3218" s="16" t="str">
        <f>IF($A3218&lt;Notes!$B$5,"",IF(COUNTIFS(Release_Calendar!$A$2:$A$755,"NZ_LABOUR",Release_Calendar!$B$2:$B$755,$A3218)&gt;0,1,0))</f>
        <v/>
      </c>
      <c r="P3218" s="16">
        <f t="shared" si="4"/>
        <v>0</v>
      </c>
    </row>
    <row r="3219" ht="15.75" customHeight="1">
      <c r="A3219" s="14">
        <v>41031.0</v>
      </c>
      <c r="B3219" s="15">
        <v>0.27</v>
      </c>
      <c r="C3219" s="15">
        <v>2.71</v>
      </c>
      <c r="D3219" s="15">
        <v>2.6</v>
      </c>
      <c r="E3219" s="15">
        <v>2.62</v>
      </c>
      <c r="F3219" s="15">
        <f t="shared" si="1"/>
        <v>2.44</v>
      </c>
      <c r="G3219" s="15">
        <f t="shared" si="2"/>
        <v>2.71</v>
      </c>
      <c r="H3219" s="16">
        <v>0.0</v>
      </c>
      <c r="I3219" s="15">
        <f t="shared" si="3"/>
        <v>2.44</v>
      </c>
      <c r="J3219" s="15">
        <v>16.88</v>
      </c>
      <c r="K3219" s="16">
        <f>IF(COUNTIFS(Release_Calendar!$A$2:$A$755,"US_CPI",Release_Calendar!$B$2:$B$755,$A3219)&gt;0,1,0)</f>
        <v>0</v>
      </c>
      <c r="L3219" s="16">
        <f>IF(COUNTIFS(Release_Calendar!$A$2:$A$755,"US_NFP",Release_Calendar!$B$2:$B$755,$A3219)&gt;0,1,0)</f>
        <v>0</v>
      </c>
      <c r="M3219" s="16" t="str">
        <f>IF($A3219&lt;Notes!$B$5,"",IF(COUNTIFS(Release_Calendar!$A$2:$A$755,"NZ_CPI",Release_Calendar!$B$2:$B$755,$A3219)&gt;0,1,0))</f>
        <v/>
      </c>
      <c r="N3219" s="16" t="str">
        <f>IF($A3219&lt;Notes!$B$5,"",IF(COUNTIFS(Release_Calendar!$A$2:$A$755,"NZ_GDP",Release_Calendar!$B$2:$B$755,$A3219)&gt;0,1,0))</f>
        <v/>
      </c>
      <c r="O3219" s="16" t="str">
        <f>IF($A3219&lt;Notes!$B$5,"",IF(COUNTIFS(Release_Calendar!$A$2:$A$755,"NZ_LABOUR",Release_Calendar!$B$2:$B$755,$A3219)&gt;0,1,0))</f>
        <v/>
      </c>
      <c r="P3219" s="16">
        <f t="shared" si="4"/>
        <v>0</v>
      </c>
    </row>
    <row r="3220" ht="15.75" customHeight="1">
      <c r="A3220" s="14">
        <v>41032.0</v>
      </c>
      <c r="B3220" s="15">
        <v>0.28</v>
      </c>
      <c r="C3220" s="15">
        <v>2.6</v>
      </c>
      <c r="D3220" s="15">
        <v>2.6</v>
      </c>
      <c r="E3220" s="15">
        <v>2.51</v>
      </c>
      <c r="F3220" s="15">
        <f t="shared" si="1"/>
        <v>2.32</v>
      </c>
      <c r="G3220" s="15">
        <f t="shared" si="2"/>
        <v>2.6</v>
      </c>
      <c r="H3220" s="16">
        <v>0.0</v>
      </c>
      <c r="I3220" s="15">
        <f t="shared" si="3"/>
        <v>2.32</v>
      </c>
      <c r="J3220" s="15">
        <v>17.56</v>
      </c>
      <c r="K3220" s="16">
        <f>IF(COUNTIFS(Release_Calendar!$A$2:$A$755,"US_CPI",Release_Calendar!$B$2:$B$755,$A3220)&gt;0,1,0)</f>
        <v>0</v>
      </c>
      <c r="L3220" s="16">
        <f>IF(COUNTIFS(Release_Calendar!$A$2:$A$755,"US_NFP",Release_Calendar!$B$2:$B$755,$A3220)&gt;0,1,0)</f>
        <v>0</v>
      </c>
      <c r="M3220" s="16" t="str">
        <f>IF($A3220&lt;Notes!$B$5,"",IF(COUNTIFS(Release_Calendar!$A$2:$A$755,"NZ_CPI",Release_Calendar!$B$2:$B$755,$A3220)&gt;0,1,0))</f>
        <v/>
      </c>
      <c r="N3220" s="16" t="str">
        <f>IF($A3220&lt;Notes!$B$5,"",IF(COUNTIFS(Release_Calendar!$A$2:$A$755,"NZ_GDP",Release_Calendar!$B$2:$B$755,$A3220)&gt;0,1,0))</f>
        <v/>
      </c>
      <c r="O3220" s="16" t="str">
        <f>IF($A3220&lt;Notes!$B$5,"",IF(COUNTIFS(Release_Calendar!$A$2:$A$755,"NZ_LABOUR",Release_Calendar!$B$2:$B$755,$A3220)&gt;0,1,0))</f>
        <v/>
      </c>
      <c r="P3220" s="16">
        <f t="shared" si="4"/>
        <v>0</v>
      </c>
    </row>
    <row r="3221" ht="15.75" customHeight="1">
      <c r="A3221" s="14">
        <v>41033.0</v>
      </c>
      <c r="B3221" s="15">
        <v>0.27</v>
      </c>
      <c r="C3221" s="15">
        <v>2.58</v>
      </c>
      <c r="D3221" s="15">
        <v>2.51</v>
      </c>
      <c r="E3221" s="15">
        <v>2.5</v>
      </c>
      <c r="F3221" s="15">
        <f t="shared" si="1"/>
        <v>2.31</v>
      </c>
      <c r="G3221" s="15">
        <f t="shared" si="2"/>
        <v>2.58</v>
      </c>
      <c r="H3221" s="16">
        <v>0.0</v>
      </c>
      <c r="I3221" s="15">
        <f t="shared" si="3"/>
        <v>2.31</v>
      </c>
      <c r="J3221" s="15">
        <v>19.16</v>
      </c>
      <c r="K3221" s="16">
        <f>IF(COUNTIFS(Release_Calendar!$A$2:$A$755,"US_CPI",Release_Calendar!$B$2:$B$755,$A3221)&gt;0,1,0)</f>
        <v>0</v>
      </c>
      <c r="L3221" s="16">
        <f>IF(COUNTIFS(Release_Calendar!$A$2:$A$755,"US_NFP",Release_Calendar!$B$2:$B$755,$A3221)&gt;0,1,0)</f>
        <v>1</v>
      </c>
      <c r="M3221" s="16" t="str">
        <f>IF($A3221&lt;Notes!$B$5,"",IF(COUNTIFS(Release_Calendar!$A$2:$A$755,"NZ_CPI",Release_Calendar!$B$2:$B$755,$A3221)&gt;0,1,0))</f>
        <v/>
      </c>
      <c r="N3221" s="16" t="str">
        <f>IF($A3221&lt;Notes!$B$5,"",IF(COUNTIFS(Release_Calendar!$A$2:$A$755,"NZ_GDP",Release_Calendar!$B$2:$B$755,$A3221)&gt;0,1,0))</f>
        <v/>
      </c>
      <c r="O3221" s="16" t="str">
        <f>IF($A3221&lt;Notes!$B$5,"",IF(COUNTIFS(Release_Calendar!$A$2:$A$755,"NZ_LABOUR",Release_Calendar!$B$2:$B$755,$A3221)&gt;0,1,0))</f>
        <v/>
      </c>
      <c r="P3221" s="16">
        <f t="shared" si="4"/>
        <v>1</v>
      </c>
    </row>
    <row r="3222" ht="15.75" customHeight="1">
      <c r="A3222" s="14">
        <v>41036.0</v>
      </c>
      <c r="B3222" s="15">
        <v>0.27</v>
      </c>
      <c r="C3222" s="15">
        <v>2.46</v>
      </c>
      <c r="D3222" s="15">
        <v>2.5</v>
      </c>
      <c r="E3222" s="15">
        <v>2.4</v>
      </c>
      <c r="F3222" s="15">
        <f t="shared" si="1"/>
        <v>2.19</v>
      </c>
      <c r="G3222" s="15">
        <f t="shared" si="2"/>
        <v>2.46</v>
      </c>
      <c r="H3222" s="16">
        <v>0.0</v>
      </c>
      <c r="I3222" s="15">
        <f t="shared" si="3"/>
        <v>2.19</v>
      </c>
      <c r="J3222" s="15">
        <v>18.94</v>
      </c>
      <c r="K3222" s="16">
        <f>IF(COUNTIFS(Release_Calendar!$A$2:$A$755,"US_CPI",Release_Calendar!$B$2:$B$755,$A3222)&gt;0,1,0)</f>
        <v>0</v>
      </c>
      <c r="L3222" s="16">
        <f>IF(COUNTIFS(Release_Calendar!$A$2:$A$755,"US_NFP",Release_Calendar!$B$2:$B$755,$A3222)&gt;0,1,0)</f>
        <v>0</v>
      </c>
      <c r="M3222" s="16" t="str">
        <f>IF($A3222&lt;Notes!$B$5,"",IF(COUNTIFS(Release_Calendar!$A$2:$A$755,"NZ_CPI",Release_Calendar!$B$2:$B$755,$A3222)&gt;0,1,0))</f>
        <v/>
      </c>
      <c r="N3222" s="16" t="str">
        <f>IF($A3222&lt;Notes!$B$5,"",IF(COUNTIFS(Release_Calendar!$A$2:$A$755,"NZ_GDP",Release_Calendar!$B$2:$B$755,$A3222)&gt;0,1,0))</f>
        <v/>
      </c>
      <c r="O3222" s="16" t="str">
        <f>IF($A3222&lt;Notes!$B$5,"",IF(COUNTIFS(Release_Calendar!$A$2:$A$755,"NZ_LABOUR",Release_Calendar!$B$2:$B$755,$A3222)&gt;0,1,0))</f>
        <v/>
      </c>
      <c r="P3222" s="16">
        <f t="shared" si="4"/>
        <v>0</v>
      </c>
    </row>
    <row r="3223" ht="15.75" customHeight="1">
      <c r="A3223" s="14">
        <v>41037.0</v>
      </c>
      <c r="B3223" s="15">
        <v>0.27</v>
      </c>
      <c r="C3223" s="15">
        <v>2.49</v>
      </c>
      <c r="D3223" s="15">
        <v>2.43</v>
      </c>
      <c r="E3223" s="15">
        <v>2.4</v>
      </c>
      <c r="F3223" s="15">
        <f t="shared" si="1"/>
        <v>2.22</v>
      </c>
      <c r="G3223" s="15">
        <f t="shared" si="2"/>
        <v>2.49</v>
      </c>
      <c r="H3223" s="16">
        <v>0.0</v>
      </c>
      <c r="I3223" s="15">
        <f t="shared" si="3"/>
        <v>2.22</v>
      </c>
      <c r="J3223" s="15">
        <v>19.05</v>
      </c>
      <c r="K3223" s="16">
        <f>IF(COUNTIFS(Release_Calendar!$A$2:$A$755,"US_CPI",Release_Calendar!$B$2:$B$755,$A3223)&gt;0,1,0)</f>
        <v>0</v>
      </c>
      <c r="L3223" s="16">
        <f>IF(COUNTIFS(Release_Calendar!$A$2:$A$755,"US_NFP",Release_Calendar!$B$2:$B$755,$A3223)&gt;0,1,0)</f>
        <v>0</v>
      </c>
      <c r="M3223" s="16" t="str">
        <f>IF($A3223&lt;Notes!$B$5,"",IF(COUNTIFS(Release_Calendar!$A$2:$A$755,"NZ_CPI",Release_Calendar!$B$2:$B$755,$A3223)&gt;0,1,0))</f>
        <v/>
      </c>
      <c r="N3223" s="16" t="str">
        <f>IF($A3223&lt;Notes!$B$5,"",IF(COUNTIFS(Release_Calendar!$A$2:$A$755,"NZ_GDP",Release_Calendar!$B$2:$B$755,$A3223)&gt;0,1,0))</f>
        <v/>
      </c>
      <c r="O3223" s="16" t="str">
        <f>IF($A3223&lt;Notes!$B$5,"",IF(COUNTIFS(Release_Calendar!$A$2:$A$755,"NZ_LABOUR",Release_Calendar!$B$2:$B$755,$A3223)&gt;0,1,0))</f>
        <v/>
      </c>
      <c r="P3223" s="16">
        <f t="shared" si="4"/>
        <v>0</v>
      </c>
    </row>
    <row r="3224" ht="15.75" customHeight="1">
      <c r="A3224" s="14">
        <v>41038.0</v>
      </c>
      <c r="B3224" s="15">
        <v>0.27</v>
      </c>
      <c r="C3224" s="15">
        <v>2.53</v>
      </c>
      <c r="D3224" s="15">
        <v>2.39</v>
      </c>
      <c r="E3224" s="15">
        <v>2.44</v>
      </c>
      <c r="F3224" s="15">
        <f t="shared" si="1"/>
        <v>2.26</v>
      </c>
      <c r="G3224" s="15">
        <f t="shared" si="2"/>
        <v>2.53</v>
      </c>
      <c r="H3224" s="16">
        <v>0.0</v>
      </c>
      <c r="I3224" s="15">
        <f t="shared" si="3"/>
        <v>2.26</v>
      </c>
      <c r="J3224" s="15">
        <v>20.08</v>
      </c>
      <c r="K3224" s="16">
        <f>IF(COUNTIFS(Release_Calendar!$A$2:$A$755,"US_CPI",Release_Calendar!$B$2:$B$755,$A3224)&gt;0,1,0)</f>
        <v>0</v>
      </c>
      <c r="L3224" s="16">
        <f>IF(COUNTIFS(Release_Calendar!$A$2:$A$755,"US_NFP",Release_Calendar!$B$2:$B$755,$A3224)&gt;0,1,0)</f>
        <v>0</v>
      </c>
      <c r="M3224" s="16" t="str">
        <f>IF($A3224&lt;Notes!$B$5,"",IF(COUNTIFS(Release_Calendar!$A$2:$A$755,"NZ_CPI",Release_Calendar!$B$2:$B$755,$A3224)&gt;0,1,0))</f>
        <v/>
      </c>
      <c r="N3224" s="16" t="str">
        <f>IF($A3224&lt;Notes!$B$5,"",IF(COUNTIFS(Release_Calendar!$A$2:$A$755,"NZ_GDP",Release_Calendar!$B$2:$B$755,$A3224)&gt;0,1,0))</f>
        <v/>
      </c>
      <c r="O3224" s="16" t="str">
        <f>IF($A3224&lt;Notes!$B$5,"",IF(COUNTIFS(Release_Calendar!$A$2:$A$755,"NZ_LABOUR",Release_Calendar!$B$2:$B$755,$A3224)&gt;0,1,0))</f>
        <v/>
      </c>
      <c r="P3224" s="16">
        <f t="shared" si="4"/>
        <v>0</v>
      </c>
    </row>
    <row r="3225" ht="15.75" customHeight="1">
      <c r="A3225" s="14">
        <v>41039.0</v>
      </c>
      <c r="B3225" s="15">
        <v>0.27</v>
      </c>
      <c r="C3225" s="15">
        <v>2.57</v>
      </c>
      <c r="D3225" s="15">
        <v>2.43</v>
      </c>
      <c r="E3225" s="15">
        <v>2.49</v>
      </c>
      <c r="F3225" s="15">
        <f t="shared" si="1"/>
        <v>2.3</v>
      </c>
      <c r="G3225" s="15">
        <f t="shared" si="2"/>
        <v>2.57</v>
      </c>
      <c r="H3225" s="16">
        <v>0.0</v>
      </c>
      <c r="I3225" s="15">
        <f t="shared" si="3"/>
        <v>2.3</v>
      </c>
      <c r="J3225" s="15">
        <v>18.83</v>
      </c>
      <c r="K3225" s="16">
        <f>IF(COUNTIFS(Release_Calendar!$A$2:$A$755,"US_CPI",Release_Calendar!$B$2:$B$755,$A3225)&gt;0,1,0)</f>
        <v>0</v>
      </c>
      <c r="L3225" s="16">
        <f>IF(COUNTIFS(Release_Calendar!$A$2:$A$755,"US_NFP",Release_Calendar!$B$2:$B$755,$A3225)&gt;0,1,0)</f>
        <v>0</v>
      </c>
      <c r="M3225" s="16" t="str">
        <f>IF($A3225&lt;Notes!$B$5,"",IF(COUNTIFS(Release_Calendar!$A$2:$A$755,"NZ_CPI",Release_Calendar!$B$2:$B$755,$A3225)&gt;0,1,0))</f>
        <v/>
      </c>
      <c r="N3225" s="16" t="str">
        <f>IF($A3225&lt;Notes!$B$5,"",IF(COUNTIFS(Release_Calendar!$A$2:$A$755,"NZ_GDP",Release_Calendar!$B$2:$B$755,$A3225)&gt;0,1,0))</f>
        <v/>
      </c>
      <c r="O3225" s="16" t="str">
        <f>IF($A3225&lt;Notes!$B$5,"",IF(COUNTIFS(Release_Calendar!$A$2:$A$755,"NZ_LABOUR",Release_Calendar!$B$2:$B$755,$A3225)&gt;0,1,0))</f>
        <v/>
      </c>
      <c r="P3225" s="16">
        <f t="shared" si="4"/>
        <v>0</v>
      </c>
    </row>
    <row r="3226" ht="15.75" customHeight="1">
      <c r="A3226" s="14">
        <v>41040.0</v>
      </c>
      <c r="B3226" s="15">
        <v>0.27</v>
      </c>
      <c r="C3226" s="15">
        <v>2.62</v>
      </c>
      <c r="D3226" s="15">
        <v>2.51</v>
      </c>
      <c r="E3226" s="15">
        <v>2.51</v>
      </c>
      <c r="F3226" s="15">
        <f t="shared" si="1"/>
        <v>2.35</v>
      </c>
      <c r="G3226" s="15">
        <f t="shared" si="2"/>
        <v>2.62</v>
      </c>
      <c r="H3226" s="16">
        <v>0.0</v>
      </c>
      <c r="I3226" s="15">
        <f t="shared" si="3"/>
        <v>2.35</v>
      </c>
      <c r="J3226" s="15">
        <v>19.89</v>
      </c>
      <c r="K3226" s="16">
        <f>IF(COUNTIFS(Release_Calendar!$A$2:$A$755,"US_CPI",Release_Calendar!$B$2:$B$755,$A3226)&gt;0,1,0)</f>
        <v>0</v>
      </c>
      <c r="L3226" s="16">
        <f>IF(COUNTIFS(Release_Calendar!$A$2:$A$755,"US_NFP",Release_Calendar!$B$2:$B$755,$A3226)&gt;0,1,0)</f>
        <v>0</v>
      </c>
      <c r="M3226" s="16" t="str">
        <f>IF($A3226&lt;Notes!$B$5,"",IF(COUNTIFS(Release_Calendar!$A$2:$A$755,"NZ_CPI",Release_Calendar!$B$2:$B$755,$A3226)&gt;0,1,0))</f>
        <v/>
      </c>
      <c r="N3226" s="16" t="str">
        <f>IF($A3226&lt;Notes!$B$5,"",IF(COUNTIFS(Release_Calendar!$A$2:$A$755,"NZ_GDP",Release_Calendar!$B$2:$B$755,$A3226)&gt;0,1,0))</f>
        <v/>
      </c>
      <c r="O3226" s="16" t="str">
        <f>IF($A3226&lt;Notes!$B$5,"",IF(COUNTIFS(Release_Calendar!$A$2:$A$755,"NZ_LABOUR",Release_Calendar!$B$2:$B$755,$A3226)&gt;0,1,0))</f>
        <v/>
      </c>
      <c r="P3226" s="16">
        <f t="shared" si="4"/>
        <v>0</v>
      </c>
    </row>
    <row r="3227" ht="15.75" customHeight="1">
      <c r="A3227" s="14">
        <v>41043.0</v>
      </c>
      <c r="B3227" s="15">
        <v>0.29</v>
      </c>
      <c r="C3227" s="15">
        <v>2.6</v>
      </c>
      <c r="D3227" s="15">
        <v>2.46</v>
      </c>
      <c r="E3227" s="15">
        <v>2.46</v>
      </c>
      <c r="F3227" s="15">
        <f t="shared" si="1"/>
        <v>2.31</v>
      </c>
      <c r="G3227" s="15">
        <f t="shared" si="2"/>
        <v>2.6</v>
      </c>
      <c r="H3227" s="16">
        <v>0.0</v>
      </c>
      <c r="I3227" s="15">
        <f t="shared" si="3"/>
        <v>2.31</v>
      </c>
      <c r="J3227" s="15">
        <v>21.87</v>
      </c>
      <c r="K3227" s="16">
        <f>IF(COUNTIFS(Release_Calendar!$A$2:$A$755,"US_CPI",Release_Calendar!$B$2:$B$755,$A3227)&gt;0,1,0)</f>
        <v>0</v>
      </c>
      <c r="L3227" s="16">
        <f>IF(COUNTIFS(Release_Calendar!$A$2:$A$755,"US_NFP",Release_Calendar!$B$2:$B$755,$A3227)&gt;0,1,0)</f>
        <v>0</v>
      </c>
      <c r="M3227" s="16" t="str">
        <f>IF($A3227&lt;Notes!$B$5,"",IF(COUNTIFS(Release_Calendar!$A$2:$A$755,"NZ_CPI",Release_Calendar!$B$2:$B$755,$A3227)&gt;0,1,0))</f>
        <v/>
      </c>
      <c r="N3227" s="16" t="str">
        <f>IF($A3227&lt;Notes!$B$5,"",IF(COUNTIFS(Release_Calendar!$A$2:$A$755,"NZ_GDP",Release_Calendar!$B$2:$B$755,$A3227)&gt;0,1,0))</f>
        <v/>
      </c>
      <c r="O3227" s="16" t="str">
        <f>IF($A3227&lt;Notes!$B$5,"",IF(COUNTIFS(Release_Calendar!$A$2:$A$755,"NZ_LABOUR",Release_Calendar!$B$2:$B$755,$A3227)&gt;0,1,0))</f>
        <v/>
      </c>
      <c r="P3227" s="16">
        <f t="shared" si="4"/>
        <v>0</v>
      </c>
    </row>
    <row r="3228" ht="15.75" customHeight="1">
      <c r="A3228" s="14">
        <v>41044.0</v>
      </c>
      <c r="B3228" s="15">
        <v>0.29</v>
      </c>
      <c r="C3228" s="15">
        <v>2.52</v>
      </c>
      <c r="D3228" s="15">
        <v>2.39</v>
      </c>
      <c r="E3228" s="15">
        <v>2.42</v>
      </c>
      <c r="F3228" s="15">
        <f t="shared" si="1"/>
        <v>2.23</v>
      </c>
      <c r="G3228" s="15">
        <f t="shared" si="2"/>
        <v>2.52</v>
      </c>
      <c r="H3228" s="16">
        <v>0.0</v>
      </c>
      <c r="I3228" s="15">
        <f t="shared" si="3"/>
        <v>2.23</v>
      </c>
      <c r="J3228" s="15">
        <v>21.97</v>
      </c>
      <c r="K3228" s="16">
        <f>IF(COUNTIFS(Release_Calendar!$A$2:$A$755,"US_CPI",Release_Calendar!$B$2:$B$755,$A3228)&gt;0,1,0)</f>
        <v>1</v>
      </c>
      <c r="L3228" s="16">
        <f>IF(COUNTIFS(Release_Calendar!$A$2:$A$755,"US_NFP",Release_Calendar!$B$2:$B$755,$A3228)&gt;0,1,0)</f>
        <v>0</v>
      </c>
      <c r="M3228" s="16" t="str">
        <f>IF($A3228&lt;Notes!$B$5,"",IF(COUNTIFS(Release_Calendar!$A$2:$A$755,"NZ_CPI",Release_Calendar!$B$2:$B$755,$A3228)&gt;0,1,0))</f>
        <v/>
      </c>
      <c r="N3228" s="16" t="str">
        <f>IF($A3228&lt;Notes!$B$5,"",IF(COUNTIFS(Release_Calendar!$A$2:$A$755,"NZ_GDP",Release_Calendar!$B$2:$B$755,$A3228)&gt;0,1,0))</f>
        <v/>
      </c>
      <c r="O3228" s="16" t="str">
        <f>IF($A3228&lt;Notes!$B$5,"",IF(COUNTIFS(Release_Calendar!$A$2:$A$755,"NZ_LABOUR",Release_Calendar!$B$2:$B$755,$A3228)&gt;0,1,0))</f>
        <v/>
      </c>
      <c r="P3228" s="16">
        <f t="shared" si="4"/>
        <v>1</v>
      </c>
    </row>
    <row r="3229" ht="15.75" customHeight="1">
      <c r="A3229" s="14">
        <v>41045.0</v>
      </c>
      <c r="B3229" s="15">
        <v>0.3</v>
      </c>
      <c r="C3229" s="15">
        <v>2.51</v>
      </c>
      <c r="D3229" s="15">
        <v>2.44</v>
      </c>
      <c r="E3229" s="15">
        <v>2.4</v>
      </c>
      <c r="F3229" s="15">
        <f t="shared" si="1"/>
        <v>2.21</v>
      </c>
      <c r="G3229" s="15">
        <f t="shared" si="2"/>
        <v>2.51</v>
      </c>
      <c r="H3229" s="16">
        <v>0.0</v>
      </c>
      <c r="I3229" s="15">
        <f t="shared" si="3"/>
        <v>2.21</v>
      </c>
      <c r="J3229" s="15">
        <v>22.27</v>
      </c>
      <c r="K3229" s="16">
        <f>IF(COUNTIFS(Release_Calendar!$A$2:$A$755,"US_CPI",Release_Calendar!$B$2:$B$755,$A3229)&gt;0,1,0)</f>
        <v>0</v>
      </c>
      <c r="L3229" s="16">
        <f>IF(COUNTIFS(Release_Calendar!$A$2:$A$755,"US_NFP",Release_Calendar!$B$2:$B$755,$A3229)&gt;0,1,0)</f>
        <v>0</v>
      </c>
      <c r="M3229" s="16" t="str">
        <f>IF($A3229&lt;Notes!$B$5,"",IF(COUNTIFS(Release_Calendar!$A$2:$A$755,"NZ_CPI",Release_Calendar!$B$2:$B$755,$A3229)&gt;0,1,0))</f>
        <v/>
      </c>
      <c r="N3229" s="16" t="str">
        <f>IF($A3229&lt;Notes!$B$5,"",IF(COUNTIFS(Release_Calendar!$A$2:$A$755,"NZ_GDP",Release_Calendar!$B$2:$B$755,$A3229)&gt;0,1,0))</f>
        <v/>
      </c>
      <c r="O3229" s="16" t="str">
        <f>IF($A3229&lt;Notes!$B$5,"",IF(COUNTIFS(Release_Calendar!$A$2:$A$755,"NZ_LABOUR",Release_Calendar!$B$2:$B$755,$A3229)&gt;0,1,0))</f>
        <v/>
      </c>
      <c r="P3229" s="16">
        <f t="shared" si="4"/>
        <v>0</v>
      </c>
    </row>
    <row r="3230" ht="15.75" customHeight="1">
      <c r="A3230" s="14">
        <v>41046.0</v>
      </c>
      <c r="B3230" s="15">
        <v>0.32</v>
      </c>
      <c r="C3230" s="15">
        <v>2.55</v>
      </c>
      <c r="D3230" s="15">
        <v>2.43</v>
      </c>
      <c r="E3230" s="15">
        <v>2.42</v>
      </c>
      <c r="F3230" s="15">
        <f t="shared" si="1"/>
        <v>2.23</v>
      </c>
      <c r="G3230" s="15">
        <f t="shared" si="2"/>
        <v>2.55</v>
      </c>
      <c r="H3230" s="16">
        <v>0.0</v>
      </c>
      <c r="I3230" s="15">
        <f t="shared" si="3"/>
        <v>2.23</v>
      </c>
      <c r="J3230" s="15">
        <v>24.49</v>
      </c>
      <c r="K3230" s="16">
        <f>IF(COUNTIFS(Release_Calendar!$A$2:$A$755,"US_CPI",Release_Calendar!$B$2:$B$755,$A3230)&gt;0,1,0)</f>
        <v>0</v>
      </c>
      <c r="L3230" s="16">
        <f>IF(COUNTIFS(Release_Calendar!$A$2:$A$755,"US_NFP",Release_Calendar!$B$2:$B$755,$A3230)&gt;0,1,0)</f>
        <v>0</v>
      </c>
      <c r="M3230" s="16" t="str">
        <f>IF($A3230&lt;Notes!$B$5,"",IF(COUNTIFS(Release_Calendar!$A$2:$A$755,"NZ_CPI",Release_Calendar!$B$2:$B$755,$A3230)&gt;0,1,0))</f>
        <v/>
      </c>
      <c r="N3230" s="16" t="str">
        <f>IF($A3230&lt;Notes!$B$5,"",IF(COUNTIFS(Release_Calendar!$A$2:$A$755,"NZ_GDP",Release_Calendar!$B$2:$B$755,$A3230)&gt;0,1,0))</f>
        <v/>
      </c>
      <c r="O3230" s="16" t="str">
        <f>IF($A3230&lt;Notes!$B$5,"",IF(COUNTIFS(Release_Calendar!$A$2:$A$755,"NZ_LABOUR",Release_Calendar!$B$2:$B$755,$A3230)&gt;0,1,0))</f>
        <v/>
      </c>
      <c r="P3230" s="16">
        <f t="shared" si="4"/>
        <v>0</v>
      </c>
    </row>
    <row r="3231" ht="15.75" customHeight="1">
      <c r="A3231" s="14">
        <v>41047.0</v>
      </c>
      <c r="B3231" s="15">
        <v>0.32</v>
      </c>
      <c r="C3231" s="15">
        <v>2.37</v>
      </c>
      <c r="D3231" s="15">
        <v>2.33</v>
      </c>
      <c r="E3231" s="15">
        <v>2.27</v>
      </c>
      <c r="F3231" s="15">
        <f t="shared" si="1"/>
        <v>2.05</v>
      </c>
      <c r="G3231" s="15">
        <f t="shared" si="2"/>
        <v>2.37</v>
      </c>
      <c r="H3231" s="16">
        <v>0.0</v>
      </c>
      <c r="I3231" s="15">
        <f t="shared" si="3"/>
        <v>2.05</v>
      </c>
      <c r="J3231" s="15">
        <v>25.1</v>
      </c>
      <c r="K3231" s="16">
        <f>IF(COUNTIFS(Release_Calendar!$A$2:$A$755,"US_CPI",Release_Calendar!$B$2:$B$755,$A3231)&gt;0,1,0)</f>
        <v>0</v>
      </c>
      <c r="L3231" s="16">
        <f>IF(COUNTIFS(Release_Calendar!$A$2:$A$755,"US_NFP",Release_Calendar!$B$2:$B$755,$A3231)&gt;0,1,0)</f>
        <v>0</v>
      </c>
      <c r="M3231" s="16" t="str">
        <f>IF($A3231&lt;Notes!$B$5,"",IF(COUNTIFS(Release_Calendar!$A$2:$A$755,"NZ_CPI",Release_Calendar!$B$2:$B$755,$A3231)&gt;0,1,0))</f>
        <v/>
      </c>
      <c r="N3231" s="16" t="str">
        <f>IF($A3231&lt;Notes!$B$5,"",IF(COUNTIFS(Release_Calendar!$A$2:$A$755,"NZ_GDP",Release_Calendar!$B$2:$B$755,$A3231)&gt;0,1,0))</f>
        <v/>
      </c>
      <c r="O3231" s="16" t="str">
        <f>IF($A3231&lt;Notes!$B$5,"",IF(COUNTIFS(Release_Calendar!$A$2:$A$755,"NZ_LABOUR",Release_Calendar!$B$2:$B$755,$A3231)&gt;0,1,0))</f>
        <v/>
      </c>
      <c r="P3231" s="16">
        <f t="shared" si="4"/>
        <v>0</v>
      </c>
    </row>
    <row r="3232" ht="15.75" customHeight="1">
      <c r="A3232" s="14">
        <v>41050.0</v>
      </c>
      <c r="B3232" s="15">
        <v>0.3</v>
      </c>
      <c r="C3232" s="15">
        <v>2.41</v>
      </c>
      <c r="D3232" s="15">
        <v>2.27</v>
      </c>
      <c r="E3232" s="15">
        <v>2.31</v>
      </c>
      <c r="F3232" s="15">
        <f t="shared" si="1"/>
        <v>2.11</v>
      </c>
      <c r="G3232" s="15">
        <f t="shared" si="2"/>
        <v>2.41</v>
      </c>
      <c r="H3232" s="16">
        <v>0.0</v>
      </c>
      <c r="I3232" s="15">
        <f t="shared" si="3"/>
        <v>2.11</v>
      </c>
      <c r="J3232" s="15">
        <v>22.01</v>
      </c>
      <c r="K3232" s="16">
        <f>IF(COUNTIFS(Release_Calendar!$A$2:$A$755,"US_CPI",Release_Calendar!$B$2:$B$755,$A3232)&gt;0,1,0)</f>
        <v>0</v>
      </c>
      <c r="L3232" s="16">
        <f>IF(COUNTIFS(Release_Calendar!$A$2:$A$755,"US_NFP",Release_Calendar!$B$2:$B$755,$A3232)&gt;0,1,0)</f>
        <v>0</v>
      </c>
      <c r="M3232" s="16" t="str">
        <f>IF($A3232&lt;Notes!$B$5,"",IF(COUNTIFS(Release_Calendar!$A$2:$A$755,"NZ_CPI",Release_Calendar!$B$2:$B$755,$A3232)&gt;0,1,0))</f>
        <v/>
      </c>
      <c r="N3232" s="16" t="str">
        <f>IF($A3232&lt;Notes!$B$5,"",IF(COUNTIFS(Release_Calendar!$A$2:$A$755,"NZ_GDP",Release_Calendar!$B$2:$B$755,$A3232)&gt;0,1,0))</f>
        <v/>
      </c>
      <c r="O3232" s="16" t="str">
        <f>IF($A3232&lt;Notes!$B$5,"",IF(COUNTIFS(Release_Calendar!$A$2:$A$755,"NZ_LABOUR",Release_Calendar!$B$2:$B$755,$A3232)&gt;0,1,0))</f>
        <v/>
      </c>
      <c r="P3232" s="16">
        <f t="shared" si="4"/>
        <v>0</v>
      </c>
    </row>
    <row r="3233" ht="15.75" customHeight="1">
      <c r="A3233" s="14">
        <v>41051.0</v>
      </c>
      <c r="B3233" s="15">
        <v>0.3</v>
      </c>
      <c r="C3233" s="15">
        <v>2.44</v>
      </c>
      <c r="D3233" s="15">
        <v>2.34</v>
      </c>
      <c r="E3233" s="15">
        <v>2.32</v>
      </c>
      <c r="F3233" s="15">
        <f t="shared" si="1"/>
        <v>2.14</v>
      </c>
      <c r="G3233" s="15">
        <f t="shared" si="2"/>
        <v>2.44</v>
      </c>
      <c r="H3233" s="16">
        <v>0.0</v>
      </c>
      <c r="I3233" s="15">
        <f t="shared" si="3"/>
        <v>2.14</v>
      </c>
      <c r="J3233" s="15">
        <v>22.48</v>
      </c>
      <c r="K3233" s="16">
        <f>IF(COUNTIFS(Release_Calendar!$A$2:$A$755,"US_CPI",Release_Calendar!$B$2:$B$755,$A3233)&gt;0,1,0)</f>
        <v>0</v>
      </c>
      <c r="L3233" s="16">
        <f>IF(COUNTIFS(Release_Calendar!$A$2:$A$755,"US_NFP",Release_Calendar!$B$2:$B$755,$A3233)&gt;0,1,0)</f>
        <v>0</v>
      </c>
      <c r="M3233" s="16" t="str">
        <f>IF($A3233&lt;Notes!$B$5,"",IF(COUNTIFS(Release_Calendar!$A$2:$A$755,"NZ_CPI",Release_Calendar!$B$2:$B$755,$A3233)&gt;0,1,0))</f>
        <v/>
      </c>
      <c r="N3233" s="16" t="str">
        <f>IF($A3233&lt;Notes!$B$5,"",IF(COUNTIFS(Release_Calendar!$A$2:$A$755,"NZ_GDP",Release_Calendar!$B$2:$B$755,$A3233)&gt;0,1,0))</f>
        <v/>
      </c>
      <c r="O3233" s="16" t="str">
        <f>IF($A3233&lt;Notes!$B$5,"",IF(COUNTIFS(Release_Calendar!$A$2:$A$755,"NZ_LABOUR",Release_Calendar!$B$2:$B$755,$A3233)&gt;0,1,0))</f>
        <v/>
      </c>
      <c r="P3233" s="16">
        <f t="shared" si="4"/>
        <v>0</v>
      </c>
    </row>
    <row r="3234" ht="15.75" customHeight="1">
      <c r="A3234" s="14">
        <v>41052.0</v>
      </c>
      <c r="B3234" s="15">
        <v>0.28</v>
      </c>
      <c r="C3234" s="15">
        <v>2.39</v>
      </c>
      <c r="D3234" s="15">
        <v>2.3</v>
      </c>
      <c r="E3234" s="15">
        <v>2.27</v>
      </c>
      <c r="F3234" s="15">
        <f t="shared" si="1"/>
        <v>2.11</v>
      </c>
      <c r="G3234" s="15">
        <f t="shared" si="2"/>
        <v>2.39</v>
      </c>
      <c r="H3234" s="16">
        <v>0.0</v>
      </c>
      <c r="I3234" s="15">
        <f t="shared" si="3"/>
        <v>2.11</v>
      </c>
      <c r="J3234" s="15">
        <v>22.33</v>
      </c>
      <c r="K3234" s="16">
        <f>IF(COUNTIFS(Release_Calendar!$A$2:$A$755,"US_CPI",Release_Calendar!$B$2:$B$755,$A3234)&gt;0,1,0)</f>
        <v>0</v>
      </c>
      <c r="L3234" s="16">
        <f>IF(COUNTIFS(Release_Calendar!$A$2:$A$755,"US_NFP",Release_Calendar!$B$2:$B$755,$A3234)&gt;0,1,0)</f>
        <v>0</v>
      </c>
      <c r="M3234" s="16" t="str">
        <f>IF($A3234&lt;Notes!$B$5,"",IF(COUNTIFS(Release_Calendar!$A$2:$A$755,"NZ_CPI",Release_Calendar!$B$2:$B$755,$A3234)&gt;0,1,0))</f>
        <v/>
      </c>
      <c r="N3234" s="16" t="str">
        <f>IF($A3234&lt;Notes!$B$5,"",IF(COUNTIFS(Release_Calendar!$A$2:$A$755,"NZ_GDP",Release_Calendar!$B$2:$B$755,$A3234)&gt;0,1,0))</f>
        <v/>
      </c>
      <c r="O3234" s="16" t="str">
        <f>IF($A3234&lt;Notes!$B$5,"",IF(COUNTIFS(Release_Calendar!$A$2:$A$755,"NZ_LABOUR",Release_Calendar!$B$2:$B$755,$A3234)&gt;0,1,0))</f>
        <v/>
      </c>
      <c r="P3234" s="16">
        <f t="shared" si="4"/>
        <v>0</v>
      </c>
    </row>
    <row r="3235" ht="15.75" customHeight="1">
      <c r="A3235" s="14">
        <v>41053.0</v>
      </c>
      <c r="B3235" s="15">
        <v>0.29</v>
      </c>
      <c r="C3235" s="15">
        <v>2.39</v>
      </c>
      <c r="D3235" s="15">
        <v>2.27</v>
      </c>
      <c r="E3235" s="15">
        <v>2.3</v>
      </c>
      <c r="F3235" s="15">
        <f t="shared" si="1"/>
        <v>2.1</v>
      </c>
      <c r="G3235" s="15">
        <f t="shared" si="2"/>
        <v>2.39</v>
      </c>
      <c r="H3235" s="16">
        <v>0.0</v>
      </c>
      <c r="I3235" s="15">
        <f t="shared" si="3"/>
        <v>2.1</v>
      </c>
      <c r="J3235" s="15">
        <v>21.54</v>
      </c>
      <c r="K3235" s="16">
        <f>IF(COUNTIFS(Release_Calendar!$A$2:$A$755,"US_CPI",Release_Calendar!$B$2:$B$755,$A3235)&gt;0,1,0)</f>
        <v>0</v>
      </c>
      <c r="L3235" s="16">
        <f>IF(COUNTIFS(Release_Calendar!$A$2:$A$755,"US_NFP",Release_Calendar!$B$2:$B$755,$A3235)&gt;0,1,0)</f>
        <v>0</v>
      </c>
      <c r="M3235" s="16" t="str">
        <f>IF($A3235&lt;Notes!$B$5,"",IF(COUNTIFS(Release_Calendar!$A$2:$A$755,"NZ_CPI",Release_Calendar!$B$2:$B$755,$A3235)&gt;0,1,0))</f>
        <v/>
      </c>
      <c r="N3235" s="16" t="str">
        <f>IF($A3235&lt;Notes!$B$5,"",IF(COUNTIFS(Release_Calendar!$A$2:$A$755,"NZ_GDP",Release_Calendar!$B$2:$B$755,$A3235)&gt;0,1,0))</f>
        <v/>
      </c>
      <c r="O3235" s="16" t="str">
        <f>IF($A3235&lt;Notes!$B$5,"",IF(COUNTIFS(Release_Calendar!$A$2:$A$755,"NZ_LABOUR",Release_Calendar!$B$2:$B$755,$A3235)&gt;0,1,0))</f>
        <v/>
      </c>
      <c r="P3235" s="16">
        <f t="shared" si="4"/>
        <v>0</v>
      </c>
    </row>
    <row r="3236" ht="15.75" customHeight="1">
      <c r="A3236" s="14">
        <v>41054.0</v>
      </c>
      <c r="B3236" s="15">
        <v>0.3</v>
      </c>
      <c r="C3236" s="15">
        <v>2.42</v>
      </c>
      <c r="D3236" s="15">
        <v>2.34</v>
      </c>
      <c r="E3236" s="15">
        <v>2.33</v>
      </c>
      <c r="F3236" s="15">
        <f t="shared" si="1"/>
        <v>2.12</v>
      </c>
      <c r="G3236" s="15">
        <f t="shared" si="2"/>
        <v>2.42</v>
      </c>
      <c r="H3236" s="16">
        <v>0.0</v>
      </c>
      <c r="I3236" s="15">
        <f t="shared" si="3"/>
        <v>2.12</v>
      </c>
      <c r="J3236" s="15">
        <v>21.76</v>
      </c>
      <c r="K3236" s="16">
        <f>IF(COUNTIFS(Release_Calendar!$A$2:$A$755,"US_CPI",Release_Calendar!$B$2:$B$755,$A3236)&gt;0,1,0)</f>
        <v>0</v>
      </c>
      <c r="L3236" s="16">
        <f>IF(COUNTIFS(Release_Calendar!$A$2:$A$755,"US_NFP",Release_Calendar!$B$2:$B$755,$A3236)&gt;0,1,0)</f>
        <v>0</v>
      </c>
      <c r="M3236" s="16" t="str">
        <f>IF($A3236&lt;Notes!$B$5,"",IF(COUNTIFS(Release_Calendar!$A$2:$A$755,"NZ_CPI",Release_Calendar!$B$2:$B$755,$A3236)&gt;0,1,0))</f>
        <v/>
      </c>
      <c r="N3236" s="16" t="str">
        <f>IF($A3236&lt;Notes!$B$5,"",IF(COUNTIFS(Release_Calendar!$A$2:$A$755,"NZ_GDP",Release_Calendar!$B$2:$B$755,$A3236)&gt;0,1,0))</f>
        <v/>
      </c>
      <c r="O3236" s="16" t="str">
        <f>IF($A3236&lt;Notes!$B$5,"",IF(COUNTIFS(Release_Calendar!$A$2:$A$755,"NZ_LABOUR",Release_Calendar!$B$2:$B$755,$A3236)&gt;0,1,0))</f>
        <v/>
      </c>
      <c r="P3236" s="16">
        <f t="shared" si="4"/>
        <v>0</v>
      </c>
    </row>
    <row r="3237" ht="15.75" customHeight="1">
      <c r="A3237" s="14">
        <v>41057.0</v>
      </c>
      <c r="B3237" s="15"/>
      <c r="C3237" s="15">
        <v>2.48</v>
      </c>
      <c r="D3237" s="15">
        <v>2.33</v>
      </c>
      <c r="E3237" s="15">
        <v>2.37</v>
      </c>
      <c r="F3237" s="15" t="str">
        <f t="shared" si="1"/>
        <v/>
      </c>
      <c r="G3237" s="15">
        <f t="shared" si="2"/>
        <v>2.48</v>
      </c>
      <c r="H3237" s="16">
        <v>0.0</v>
      </c>
      <c r="I3237" s="15" t="str">
        <f t="shared" si="3"/>
        <v/>
      </c>
      <c r="J3237" s="15"/>
      <c r="K3237" s="16">
        <f>IF(COUNTIFS(Release_Calendar!$A$2:$A$755,"US_CPI",Release_Calendar!$B$2:$B$755,$A3237)&gt;0,1,0)</f>
        <v>0</v>
      </c>
      <c r="L3237" s="16">
        <f>IF(COUNTIFS(Release_Calendar!$A$2:$A$755,"US_NFP",Release_Calendar!$B$2:$B$755,$A3237)&gt;0,1,0)</f>
        <v>0</v>
      </c>
      <c r="M3237" s="16" t="str">
        <f>IF($A3237&lt;Notes!$B$5,"",IF(COUNTIFS(Release_Calendar!$A$2:$A$755,"NZ_CPI",Release_Calendar!$B$2:$B$755,$A3237)&gt;0,1,0))</f>
        <v/>
      </c>
      <c r="N3237" s="16" t="str">
        <f>IF($A3237&lt;Notes!$B$5,"",IF(COUNTIFS(Release_Calendar!$A$2:$A$755,"NZ_GDP",Release_Calendar!$B$2:$B$755,$A3237)&gt;0,1,0))</f>
        <v/>
      </c>
      <c r="O3237" s="16" t="str">
        <f>IF($A3237&lt;Notes!$B$5,"",IF(COUNTIFS(Release_Calendar!$A$2:$A$755,"NZ_LABOUR",Release_Calendar!$B$2:$B$755,$A3237)&gt;0,1,0))</f>
        <v/>
      </c>
      <c r="P3237" s="16">
        <f t="shared" si="4"/>
        <v>0</v>
      </c>
    </row>
    <row r="3238" ht="15.75" customHeight="1">
      <c r="A3238" s="14">
        <v>41058.0</v>
      </c>
      <c r="B3238" s="15">
        <v>0.3</v>
      </c>
      <c r="C3238" s="15">
        <v>2.5</v>
      </c>
      <c r="D3238" s="15">
        <v>2.36</v>
      </c>
      <c r="E3238" s="15">
        <v>2.36</v>
      </c>
      <c r="F3238" s="15">
        <f t="shared" si="1"/>
        <v>2.2</v>
      </c>
      <c r="G3238" s="15">
        <f t="shared" si="2"/>
        <v>2.5</v>
      </c>
      <c r="H3238" s="16">
        <v>0.0</v>
      </c>
      <c r="I3238" s="15">
        <f t="shared" si="3"/>
        <v>2.2</v>
      </c>
      <c r="J3238" s="15">
        <v>21.03</v>
      </c>
      <c r="K3238" s="16">
        <f>IF(COUNTIFS(Release_Calendar!$A$2:$A$755,"US_CPI",Release_Calendar!$B$2:$B$755,$A3238)&gt;0,1,0)</f>
        <v>0</v>
      </c>
      <c r="L3238" s="16">
        <f>IF(COUNTIFS(Release_Calendar!$A$2:$A$755,"US_NFP",Release_Calendar!$B$2:$B$755,$A3238)&gt;0,1,0)</f>
        <v>0</v>
      </c>
      <c r="M3238" s="16" t="str">
        <f>IF($A3238&lt;Notes!$B$5,"",IF(COUNTIFS(Release_Calendar!$A$2:$A$755,"NZ_CPI",Release_Calendar!$B$2:$B$755,$A3238)&gt;0,1,0))</f>
        <v/>
      </c>
      <c r="N3238" s="16" t="str">
        <f>IF($A3238&lt;Notes!$B$5,"",IF(COUNTIFS(Release_Calendar!$A$2:$A$755,"NZ_GDP",Release_Calendar!$B$2:$B$755,$A3238)&gt;0,1,0))</f>
        <v/>
      </c>
      <c r="O3238" s="16" t="str">
        <f>IF($A3238&lt;Notes!$B$5,"",IF(COUNTIFS(Release_Calendar!$A$2:$A$755,"NZ_LABOUR",Release_Calendar!$B$2:$B$755,$A3238)&gt;0,1,0))</f>
        <v/>
      </c>
      <c r="P3238" s="16">
        <f t="shared" si="4"/>
        <v>0</v>
      </c>
    </row>
    <row r="3239" ht="15.75" customHeight="1">
      <c r="A3239" s="14">
        <v>41059.0</v>
      </c>
      <c r="B3239" s="15">
        <v>0.27</v>
      </c>
      <c r="C3239" s="15">
        <v>2.52</v>
      </c>
      <c r="D3239" s="15">
        <v>2.39</v>
      </c>
      <c r="E3239" s="15">
        <v>2.39</v>
      </c>
      <c r="F3239" s="15">
        <f t="shared" si="1"/>
        <v>2.25</v>
      </c>
      <c r="G3239" s="15">
        <f t="shared" si="2"/>
        <v>2.52</v>
      </c>
      <c r="H3239" s="16">
        <v>0.0</v>
      </c>
      <c r="I3239" s="15">
        <f t="shared" si="3"/>
        <v>2.25</v>
      </c>
      <c r="J3239" s="15">
        <v>24.14</v>
      </c>
      <c r="K3239" s="16">
        <f>IF(COUNTIFS(Release_Calendar!$A$2:$A$755,"US_CPI",Release_Calendar!$B$2:$B$755,$A3239)&gt;0,1,0)</f>
        <v>0</v>
      </c>
      <c r="L3239" s="16">
        <f>IF(COUNTIFS(Release_Calendar!$A$2:$A$755,"US_NFP",Release_Calendar!$B$2:$B$755,$A3239)&gt;0,1,0)</f>
        <v>0</v>
      </c>
      <c r="M3239" s="16" t="str">
        <f>IF($A3239&lt;Notes!$B$5,"",IF(COUNTIFS(Release_Calendar!$A$2:$A$755,"NZ_CPI",Release_Calendar!$B$2:$B$755,$A3239)&gt;0,1,0))</f>
        <v/>
      </c>
      <c r="N3239" s="16" t="str">
        <f>IF($A3239&lt;Notes!$B$5,"",IF(COUNTIFS(Release_Calendar!$A$2:$A$755,"NZ_GDP",Release_Calendar!$B$2:$B$755,$A3239)&gt;0,1,0))</f>
        <v/>
      </c>
      <c r="O3239" s="16" t="str">
        <f>IF($A3239&lt;Notes!$B$5,"",IF(COUNTIFS(Release_Calendar!$A$2:$A$755,"NZ_LABOUR",Release_Calendar!$B$2:$B$755,$A3239)&gt;0,1,0))</f>
        <v/>
      </c>
      <c r="P3239" s="16">
        <f t="shared" si="4"/>
        <v>0</v>
      </c>
    </row>
    <row r="3240" ht="15.75" customHeight="1">
      <c r="A3240" s="14">
        <v>41060.0</v>
      </c>
      <c r="B3240" s="15">
        <v>0.27</v>
      </c>
      <c r="C3240" s="15">
        <v>2.42</v>
      </c>
      <c r="D3240" s="15">
        <v>2.24</v>
      </c>
      <c r="E3240" s="15">
        <v>2.24</v>
      </c>
      <c r="F3240" s="15">
        <f t="shared" si="1"/>
        <v>2.15</v>
      </c>
      <c r="G3240" s="15">
        <f t="shared" si="2"/>
        <v>2.42</v>
      </c>
      <c r="H3240" s="16">
        <v>0.0</v>
      </c>
      <c r="I3240" s="15">
        <f t="shared" si="3"/>
        <v>2.15</v>
      </c>
      <c r="J3240" s="15">
        <v>24.06</v>
      </c>
      <c r="K3240" s="16">
        <f>IF(COUNTIFS(Release_Calendar!$A$2:$A$755,"US_CPI",Release_Calendar!$B$2:$B$755,$A3240)&gt;0,1,0)</f>
        <v>0</v>
      </c>
      <c r="L3240" s="16">
        <f>IF(COUNTIFS(Release_Calendar!$A$2:$A$755,"US_NFP",Release_Calendar!$B$2:$B$755,$A3240)&gt;0,1,0)</f>
        <v>0</v>
      </c>
      <c r="M3240" s="16" t="str">
        <f>IF($A3240&lt;Notes!$B$5,"",IF(COUNTIFS(Release_Calendar!$A$2:$A$755,"NZ_CPI",Release_Calendar!$B$2:$B$755,$A3240)&gt;0,1,0))</f>
        <v/>
      </c>
      <c r="N3240" s="16" t="str">
        <f>IF($A3240&lt;Notes!$B$5,"",IF(COUNTIFS(Release_Calendar!$A$2:$A$755,"NZ_GDP",Release_Calendar!$B$2:$B$755,$A3240)&gt;0,1,0))</f>
        <v/>
      </c>
      <c r="O3240" s="16" t="str">
        <f>IF($A3240&lt;Notes!$B$5,"",IF(COUNTIFS(Release_Calendar!$A$2:$A$755,"NZ_LABOUR",Release_Calendar!$B$2:$B$755,$A3240)&gt;0,1,0))</f>
        <v/>
      </c>
      <c r="P3240" s="16">
        <f t="shared" si="4"/>
        <v>0</v>
      </c>
    </row>
    <row r="3241" ht="15.75" customHeight="1">
      <c r="A3241" s="14">
        <v>41061.0</v>
      </c>
      <c r="B3241" s="15">
        <v>0.25</v>
      </c>
      <c r="C3241" s="15">
        <v>2.37</v>
      </c>
      <c r="D3241" s="15">
        <v>2.2</v>
      </c>
      <c r="E3241" s="15">
        <v>2.13</v>
      </c>
      <c r="F3241" s="15">
        <f t="shared" si="1"/>
        <v>2.12</v>
      </c>
      <c r="G3241" s="15">
        <f t="shared" si="2"/>
        <v>2.37</v>
      </c>
      <c r="H3241" s="16">
        <v>0.0</v>
      </c>
      <c r="I3241" s="15">
        <f t="shared" si="3"/>
        <v>2.12</v>
      </c>
      <c r="J3241" s="15">
        <v>26.66</v>
      </c>
      <c r="K3241" s="16">
        <f>IF(COUNTIFS(Release_Calendar!$A$2:$A$755,"US_CPI",Release_Calendar!$B$2:$B$755,$A3241)&gt;0,1,0)</f>
        <v>0</v>
      </c>
      <c r="L3241" s="16">
        <f>IF(COUNTIFS(Release_Calendar!$A$2:$A$755,"US_NFP",Release_Calendar!$B$2:$B$755,$A3241)&gt;0,1,0)</f>
        <v>1</v>
      </c>
      <c r="M3241" s="16" t="str">
        <f>IF($A3241&lt;Notes!$B$5,"",IF(COUNTIFS(Release_Calendar!$A$2:$A$755,"NZ_CPI",Release_Calendar!$B$2:$B$755,$A3241)&gt;0,1,0))</f>
        <v/>
      </c>
      <c r="N3241" s="16" t="str">
        <f>IF($A3241&lt;Notes!$B$5,"",IF(COUNTIFS(Release_Calendar!$A$2:$A$755,"NZ_GDP",Release_Calendar!$B$2:$B$755,$A3241)&gt;0,1,0))</f>
        <v/>
      </c>
      <c r="O3241" s="16" t="str">
        <f>IF($A3241&lt;Notes!$B$5,"",IF(COUNTIFS(Release_Calendar!$A$2:$A$755,"NZ_LABOUR",Release_Calendar!$B$2:$B$755,$A3241)&gt;0,1,0))</f>
        <v/>
      </c>
      <c r="P3241" s="16">
        <f t="shared" si="4"/>
        <v>1</v>
      </c>
    </row>
    <row r="3242" ht="15.75" customHeight="1">
      <c r="A3242" s="14">
        <v>41064.0</v>
      </c>
      <c r="B3242" s="15">
        <v>0.25</v>
      </c>
      <c r="C3242" s="15"/>
      <c r="D3242" s="15"/>
      <c r="E3242" s="15"/>
      <c r="F3242" s="15" t="str">
        <f t="shared" si="1"/>
        <v/>
      </c>
      <c r="G3242" s="15" t="str">
        <f t="shared" si="2"/>
        <v/>
      </c>
      <c r="H3242" s="16">
        <v>0.0</v>
      </c>
      <c r="I3242" s="15" t="str">
        <f t="shared" si="3"/>
        <v/>
      </c>
      <c r="J3242" s="15">
        <v>26.12</v>
      </c>
      <c r="K3242" s="16">
        <f>IF(COUNTIFS(Release_Calendar!$A$2:$A$755,"US_CPI",Release_Calendar!$B$2:$B$755,$A3242)&gt;0,1,0)</f>
        <v>0</v>
      </c>
      <c r="L3242" s="16">
        <f>IF(COUNTIFS(Release_Calendar!$A$2:$A$755,"US_NFP",Release_Calendar!$B$2:$B$755,$A3242)&gt;0,1,0)</f>
        <v>0</v>
      </c>
      <c r="M3242" s="16" t="str">
        <f>IF($A3242&lt;Notes!$B$5,"",IF(COUNTIFS(Release_Calendar!$A$2:$A$755,"NZ_CPI",Release_Calendar!$B$2:$B$755,$A3242)&gt;0,1,0))</f>
        <v/>
      </c>
      <c r="N3242" s="16" t="str">
        <f>IF($A3242&lt;Notes!$B$5,"",IF(COUNTIFS(Release_Calendar!$A$2:$A$755,"NZ_GDP",Release_Calendar!$B$2:$B$755,$A3242)&gt;0,1,0))</f>
        <v/>
      </c>
      <c r="O3242" s="16" t="str">
        <f>IF($A3242&lt;Notes!$B$5,"",IF(COUNTIFS(Release_Calendar!$A$2:$A$755,"NZ_LABOUR",Release_Calendar!$B$2:$B$755,$A3242)&gt;0,1,0))</f>
        <v/>
      </c>
      <c r="P3242" s="16">
        <f t="shared" si="4"/>
        <v>0</v>
      </c>
    </row>
    <row r="3243" ht="15.75" customHeight="1">
      <c r="A3243" s="14">
        <v>41065.0</v>
      </c>
      <c r="B3243" s="15">
        <v>0.25</v>
      </c>
      <c r="C3243" s="15">
        <v>2.37</v>
      </c>
      <c r="D3243" s="15">
        <v>2.1</v>
      </c>
      <c r="E3243" s="15">
        <v>2.11</v>
      </c>
      <c r="F3243" s="15">
        <f t="shared" si="1"/>
        <v>2.12</v>
      </c>
      <c r="G3243" s="15">
        <f t="shared" si="2"/>
        <v>2.37</v>
      </c>
      <c r="H3243" s="16">
        <v>0.0</v>
      </c>
      <c r="I3243" s="15">
        <f t="shared" si="3"/>
        <v>2.12</v>
      </c>
      <c r="J3243" s="15">
        <v>24.68</v>
      </c>
      <c r="K3243" s="16">
        <f>IF(COUNTIFS(Release_Calendar!$A$2:$A$755,"US_CPI",Release_Calendar!$B$2:$B$755,$A3243)&gt;0,1,0)</f>
        <v>0</v>
      </c>
      <c r="L3243" s="16">
        <f>IF(COUNTIFS(Release_Calendar!$A$2:$A$755,"US_NFP",Release_Calendar!$B$2:$B$755,$A3243)&gt;0,1,0)</f>
        <v>0</v>
      </c>
      <c r="M3243" s="16" t="str">
        <f>IF($A3243&lt;Notes!$B$5,"",IF(COUNTIFS(Release_Calendar!$A$2:$A$755,"NZ_CPI",Release_Calendar!$B$2:$B$755,$A3243)&gt;0,1,0))</f>
        <v/>
      </c>
      <c r="N3243" s="16" t="str">
        <f>IF($A3243&lt;Notes!$B$5,"",IF(COUNTIFS(Release_Calendar!$A$2:$A$755,"NZ_GDP",Release_Calendar!$B$2:$B$755,$A3243)&gt;0,1,0))</f>
        <v/>
      </c>
      <c r="O3243" s="16" t="str">
        <f>IF($A3243&lt;Notes!$B$5,"",IF(COUNTIFS(Release_Calendar!$A$2:$A$755,"NZ_LABOUR",Release_Calendar!$B$2:$B$755,$A3243)&gt;0,1,0))</f>
        <v/>
      </c>
      <c r="P3243" s="16">
        <f t="shared" si="4"/>
        <v>0</v>
      </c>
    </row>
    <row r="3244" ht="15.75" customHeight="1">
      <c r="A3244" s="14">
        <v>41066.0</v>
      </c>
      <c r="B3244" s="15">
        <v>0.26</v>
      </c>
      <c r="C3244" s="15">
        <v>2.49</v>
      </c>
      <c r="D3244" s="15">
        <v>2.2</v>
      </c>
      <c r="E3244" s="15">
        <v>2.24</v>
      </c>
      <c r="F3244" s="15">
        <f t="shared" si="1"/>
        <v>2.23</v>
      </c>
      <c r="G3244" s="15">
        <f t="shared" si="2"/>
        <v>2.49</v>
      </c>
      <c r="H3244" s="16">
        <v>0.0</v>
      </c>
      <c r="I3244" s="15">
        <f t="shared" si="3"/>
        <v>2.23</v>
      </c>
      <c r="J3244" s="15">
        <v>22.16</v>
      </c>
      <c r="K3244" s="16">
        <f>IF(COUNTIFS(Release_Calendar!$A$2:$A$755,"US_CPI",Release_Calendar!$B$2:$B$755,$A3244)&gt;0,1,0)</f>
        <v>0</v>
      </c>
      <c r="L3244" s="16">
        <f>IF(COUNTIFS(Release_Calendar!$A$2:$A$755,"US_NFP",Release_Calendar!$B$2:$B$755,$A3244)&gt;0,1,0)</f>
        <v>0</v>
      </c>
      <c r="M3244" s="16" t="str">
        <f>IF($A3244&lt;Notes!$B$5,"",IF(COUNTIFS(Release_Calendar!$A$2:$A$755,"NZ_CPI",Release_Calendar!$B$2:$B$755,$A3244)&gt;0,1,0))</f>
        <v/>
      </c>
      <c r="N3244" s="16" t="str">
        <f>IF($A3244&lt;Notes!$B$5,"",IF(COUNTIFS(Release_Calendar!$A$2:$A$755,"NZ_GDP",Release_Calendar!$B$2:$B$755,$A3244)&gt;0,1,0))</f>
        <v/>
      </c>
      <c r="O3244" s="16" t="str">
        <f>IF($A3244&lt;Notes!$B$5,"",IF(COUNTIFS(Release_Calendar!$A$2:$A$755,"NZ_LABOUR",Release_Calendar!$B$2:$B$755,$A3244)&gt;0,1,0))</f>
        <v/>
      </c>
      <c r="P3244" s="16">
        <f t="shared" si="4"/>
        <v>0</v>
      </c>
    </row>
    <row r="3245" ht="15.75" customHeight="1">
      <c r="A3245" s="14">
        <v>41067.0</v>
      </c>
      <c r="B3245" s="15">
        <v>0.27</v>
      </c>
      <c r="C3245" s="15">
        <v>2.56</v>
      </c>
      <c r="D3245" s="15">
        <v>2.26</v>
      </c>
      <c r="E3245" s="15">
        <v>2.3</v>
      </c>
      <c r="F3245" s="15">
        <f t="shared" si="1"/>
        <v>2.29</v>
      </c>
      <c r="G3245" s="15">
        <f t="shared" si="2"/>
        <v>2.56</v>
      </c>
      <c r="H3245" s="16">
        <v>0.0</v>
      </c>
      <c r="I3245" s="15">
        <f t="shared" si="3"/>
        <v>2.29</v>
      </c>
      <c r="J3245" s="15">
        <v>21.72</v>
      </c>
      <c r="K3245" s="16">
        <f>IF(COUNTIFS(Release_Calendar!$A$2:$A$755,"US_CPI",Release_Calendar!$B$2:$B$755,$A3245)&gt;0,1,0)</f>
        <v>0</v>
      </c>
      <c r="L3245" s="16">
        <f>IF(COUNTIFS(Release_Calendar!$A$2:$A$755,"US_NFP",Release_Calendar!$B$2:$B$755,$A3245)&gt;0,1,0)</f>
        <v>0</v>
      </c>
      <c r="M3245" s="16" t="str">
        <f>IF($A3245&lt;Notes!$B$5,"",IF(COUNTIFS(Release_Calendar!$A$2:$A$755,"NZ_CPI",Release_Calendar!$B$2:$B$755,$A3245)&gt;0,1,0))</f>
        <v/>
      </c>
      <c r="N3245" s="16" t="str">
        <f>IF($A3245&lt;Notes!$B$5,"",IF(COUNTIFS(Release_Calendar!$A$2:$A$755,"NZ_GDP",Release_Calendar!$B$2:$B$755,$A3245)&gt;0,1,0))</f>
        <v/>
      </c>
      <c r="O3245" s="16" t="str">
        <f>IF($A3245&lt;Notes!$B$5,"",IF(COUNTIFS(Release_Calendar!$A$2:$A$755,"NZ_LABOUR",Release_Calendar!$B$2:$B$755,$A3245)&gt;0,1,0))</f>
        <v/>
      </c>
      <c r="P3245" s="16">
        <f t="shared" si="4"/>
        <v>0</v>
      </c>
    </row>
    <row r="3246" ht="15.75" customHeight="1">
      <c r="A3246" s="14">
        <v>41068.0</v>
      </c>
      <c r="B3246" s="15">
        <v>0.28</v>
      </c>
      <c r="C3246" s="15">
        <v>2.57</v>
      </c>
      <c r="D3246" s="15">
        <v>2.31</v>
      </c>
      <c r="E3246" s="15">
        <v>2.32</v>
      </c>
      <c r="F3246" s="15">
        <f t="shared" si="1"/>
        <v>2.29</v>
      </c>
      <c r="G3246" s="15">
        <f t="shared" si="2"/>
        <v>2.57</v>
      </c>
      <c r="H3246" s="16">
        <v>0.0</v>
      </c>
      <c r="I3246" s="15">
        <f t="shared" si="3"/>
        <v>2.29</v>
      </c>
      <c r="J3246" s="15">
        <v>21.23</v>
      </c>
      <c r="K3246" s="16">
        <f>IF(COUNTIFS(Release_Calendar!$A$2:$A$755,"US_CPI",Release_Calendar!$B$2:$B$755,$A3246)&gt;0,1,0)</f>
        <v>0</v>
      </c>
      <c r="L3246" s="16">
        <f>IF(COUNTIFS(Release_Calendar!$A$2:$A$755,"US_NFP",Release_Calendar!$B$2:$B$755,$A3246)&gt;0,1,0)</f>
        <v>0</v>
      </c>
      <c r="M3246" s="16" t="str">
        <f>IF($A3246&lt;Notes!$B$5,"",IF(COUNTIFS(Release_Calendar!$A$2:$A$755,"NZ_CPI",Release_Calendar!$B$2:$B$755,$A3246)&gt;0,1,0))</f>
        <v/>
      </c>
      <c r="N3246" s="16" t="str">
        <f>IF($A3246&lt;Notes!$B$5,"",IF(COUNTIFS(Release_Calendar!$A$2:$A$755,"NZ_GDP",Release_Calendar!$B$2:$B$755,$A3246)&gt;0,1,0))</f>
        <v/>
      </c>
      <c r="O3246" s="16" t="str">
        <f>IF($A3246&lt;Notes!$B$5,"",IF(COUNTIFS(Release_Calendar!$A$2:$A$755,"NZ_LABOUR",Release_Calendar!$B$2:$B$755,$A3246)&gt;0,1,0))</f>
        <v/>
      </c>
      <c r="P3246" s="16">
        <f t="shared" si="4"/>
        <v>0</v>
      </c>
    </row>
    <row r="3247" ht="15.75" customHeight="1">
      <c r="A3247" s="14">
        <v>41071.0</v>
      </c>
      <c r="B3247" s="15">
        <v>0.27</v>
      </c>
      <c r="C3247" s="15">
        <v>2.65</v>
      </c>
      <c r="D3247" s="15">
        <v>2.36</v>
      </c>
      <c r="E3247" s="15">
        <v>2.38</v>
      </c>
      <c r="F3247" s="15">
        <f t="shared" si="1"/>
        <v>2.38</v>
      </c>
      <c r="G3247" s="15">
        <f t="shared" si="2"/>
        <v>2.65</v>
      </c>
      <c r="H3247" s="16">
        <v>0.0</v>
      </c>
      <c r="I3247" s="15">
        <f t="shared" si="3"/>
        <v>2.38</v>
      </c>
      <c r="J3247" s="15">
        <v>23.56</v>
      </c>
      <c r="K3247" s="16">
        <f>IF(COUNTIFS(Release_Calendar!$A$2:$A$755,"US_CPI",Release_Calendar!$B$2:$B$755,$A3247)&gt;0,1,0)</f>
        <v>0</v>
      </c>
      <c r="L3247" s="16">
        <f>IF(COUNTIFS(Release_Calendar!$A$2:$A$755,"US_NFP",Release_Calendar!$B$2:$B$755,$A3247)&gt;0,1,0)</f>
        <v>0</v>
      </c>
      <c r="M3247" s="16" t="str">
        <f>IF($A3247&lt;Notes!$B$5,"",IF(COUNTIFS(Release_Calendar!$A$2:$A$755,"NZ_CPI",Release_Calendar!$B$2:$B$755,$A3247)&gt;0,1,0))</f>
        <v/>
      </c>
      <c r="N3247" s="16" t="str">
        <f>IF($A3247&lt;Notes!$B$5,"",IF(COUNTIFS(Release_Calendar!$A$2:$A$755,"NZ_GDP",Release_Calendar!$B$2:$B$755,$A3247)&gt;0,1,0))</f>
        <v/>
      </c>
      <c r="O3247" s="16" t="str">
        <f>IF($A3247&lt;Notes!$B$5,"",IF(COUNTIFS(Release_Calendar!$A$2:$A$755,"NZ_LABOUR",Release_Calendar!$B$2:$B$755,$A3247)&gt;0,1,0))</f>
        <v/>
      </c>
      <c r="P3247" s="16">
        <f t="shared" si="4"/>
        <v>0</v>
      </c>
    </row>
    <row r="3248" ht="15.75" customHeight="1">
      <c r="A3248" s="14">
        <v>41072.0</v>
      </c>
      <c r="B3248" s="15">
        <v>0.3</v>
      </c>
      <c r="C3248" s="15">
        <v>2.61</v>
      </c>
      <c r="D3248" s="15">
        <v>2.29</v>
      </c>
      <c r="E3248" s="15">
        <v>2.34</v>
      </c>
      <c r="F3248" s="15">
        <f t="shared" si="1"/>
        <v>2.31</v>
      </c>
      <c r="G3248" s="15">
        <f t="shared" si="2"/>
        <v>2.61</v>
      </c>
      <c r="H3248" s="16">
        <v>0.0</v>
      </c>
      <c r="I3248" s="15">
        <f t="shared" si="3"/>
        <v>2.31</v>
      </c>
      <c r="J3248" s="15">
        <v>22.09</v>
      </c>
      <c r="K3248" s="16">
        <f>IF(COUNTIFS(Release_Calendar!$A$2:$A$755,"US_CPI",Release_Calendar!$B$2:$B$755,$A3248)&gt;0,1,0)</f>
        <v>0</v>
      </c>
      <c r="L3248" s="16">
        <f>IF(COUNTIFS(Release_Calendar!$A$2:$A$755,"US_NFP",Release_Calendar!$B$2:$B$755,$A3248)&gt;0,1,0)</f>
        <v>0</v>
      </c>
      <c r="M3248" s="16" t="str">
        <f>IF($A3248&lt;Notes!$B$5,"",IF(COUNTIFS(Release_Calendar!$A$2:$A$755,"NZ_CPI",Release_Calendar!$B$2:$B$755,$A3248)&gt;0,1,0))</f>
        <v/>
      </c>
      <c r="N3248" s="16" t="str">
        <f>IF($A3248&lt;Notes!$B$5,"",IF(COUNTIFS(Release_Calendar!$A$2:$A$755,"NZ_GDP",Release_Calendar!$B$2:$B$755,$A3248)&gt;0,1,0))</f>
        <v/>
      </c>
      <c r="O3248" s="16" t="str">
        <f>IF($A3248&lt;Notes!$B$5,"",IF(COUNTIFS(Release_Calendar!$A$2:$A$755,"NZ_LABOUR",Release_Calendar!$B$2:$B$755,$A3248)&gt;0,1,0))</f>
        <v/>
      </c>
      <c r="P3248" s="16">
        <f t="shared" si="4"/>
        <v>0</v>
      </c>
    </row>
    <row r="3249" ht="15.75" customHeight="1">
      <c r="A3249" s="14">
        <v>41073.0</v>
      </c>
      <c r="B3249" s="15">
        <v>0.3</v>
      </c>
      <c r="C3249" s="15">
        <v>2.63</v>
      </c>
      <c r="D3249" s="15">
        <v>2.38</v>
      </c>
      <c r="E3249" s="15">
        <v>2.37</v>
      </c>
      <c r="F3249" s="15">
        <f t="shared" si="1"/>
        <v>2.33</v>
      </c>
      <c r="G3249" s="15">
        <f t="shared" si="2"/>
        <v>2.63</v>
      </c>
      <c r="H3249" s="16">
        <v>0.0</v>
      </c>
      <c r="I3249" s="15">
        <f t="shared" si="3"/>
        <v>2.33</v>
      </c>
      <c r="J3249" s="15">
        <v>24.27</v>
      </c>
      <c r="K3249" s="16">
        <f>IF(COUNTIFS(Release_Calendar!$A$2:$A$755,"US_CPI",Release_Calendar!$B$2:$B$755,$A3249)&gt;0,1,0)</f>
        <v>0</v>
      </c>
      <c r="L3249" s="16">
        <f>IF(COUNTIFS(Release_Calendar!$A$2:$A$755,"US_NFP",Release_Calendar!$B$2:$B$755,$A3249)&gt;0,1,0)</f>
        <v>0</v>
      </c>
      <c r="M3249" s="16" t="str">
        <f>IF($A3249&lt;Notes!$B$5,"",IF(COUNTIFS(Release_Calendar!$A$2:$A$755,"NZ_CPI",Release_Calendar!$B$2:$B$755,$A3249)&gt;0,1,0))</f>
        <v/>
      </c>
      <c r="N3249" s="16" t="str">
        <f>IF($A3249&lt;Notes!$B$5,"",IF(COUNTIFS(Release_Calendar!$A$2:$A$755,"NZ_GDP",Release_Calendar!$B$2:$B$755,$A3249)&gt;0,1,0))</f>
        <v/>
      </c>
      <c r="O3249" s="16" t="str">
        <f>IF($A3249&lt;Notes!$B$5,"",IF(COUNTIFS(Release_Calendar!$A$2:$A$755,"NZ_LABOUR",Release_Calendar!$B$2:$B$755,$A3249)&gt;0,1,0))</f>
        <v/>
      </c>
      <c r="P3249" s="16">
        <f t="shared" si="4"/>
        <v>0</v>
      </c>
    </row>
    <row r="3250" ht="15.75" customHeight="1">
      <c r="A3250" s="14">
        <v>41074.0</v>
      </c>
      <c r="B3250" s="15">
        <v>0.3</v>
      </c>
      <c r="C3250" s="15">
        <v>2.58</v>
      </c>
      <c r="D3250" s="15">
        <v>2.32</v>
      </c>
      <c r="E3250" s="15">
        <v>2.3</v>
      </c>
      <c r="F3250" s="15">
        <f t="shared" si="1"/>
        <v>2.28</v>
      </c>
      <c r="G3250" s="15">
        <f t="shared" si="2"/>
        <v>2.58</v>
      </c>
      <c r="H3250" s="16">
        <v>0.0</v>
      </c>
      <c r="I3250" s="15">
        <f t="shared" si="3"/>
        <v>2.28</v>
      </c>
      <c r="J3250" s="15">
        <v>21.68</v>
      </c>
      <c r="K3250" s="16">
        <f>IF(COUNTIFS(Release_Calendar!$A$2:$A$755,"US_CPI",Release_Calendar!$B$2:$B$755,$A3250)&gt;0,1,0)</f>
        <v>1</v>
      </c>
      <c r="L3250" s="16">
        <f>IF(COUNTIFS(Release_Calendar!$A$2:$A$755,"US_NFP",Release_Calendar!$B$2:$B$755,$A3250)&gt;0,1,0)</f>
        <v>0</v>
      </c>
      <c r="M3250" s="16" t="str">
        <f>IF($A3250&lt;Notes!$B$5,"",IF(COUNTIFS(Release_Calendar!$A$2:$A$755,"NZ_CPI",Release_Calendar!$B$2:$B$755,$A3250)&gt;0,1,0))</f>
        <v/>
      </c>
      <c r="N3250" s="16" t="str">
        <f>IF($A3250&lt;Notes!$B$5,"",IF(COUNTIFS(Release_Calendar!$A$2:$A$755,"NZ_GDP",Release_Calendar!$B$2:$B$755,$A3250)&gt;0,1,0))</f>
        <v/>
      </c>
      <c r="O3250" s="16" t="str">
        <f>IF($A3250&lt;Notes!$B$5,"",IF(COUNTIFS(Release_Calendar!$A$2:$A$755,"NZ_LABOUR",Release_Calendar!$B$2:$B$755,$A3250)&gt;0,1,0))</f>
        <v/>
      </c>
      <c r="P3250" s="16">
        <f t="shared" si="4"/>
        <v>1</v>
      </c>
    </row>
    <row r="3251" ht="15.75" customHeight="1">
      <c r="A3251" s="14">
        <v>41075.0</v>
      </c>
      <c r="B3251" s="15">
        <v>0.29</v>
      </c>
      <c r="C3251" s="15">
        <v>2.63</v>
      </c>
      <c r="D3251" s="15">
        <v>2.36</v>
      </c>
      <c r="E3251" s="15">
        <v>2.36</v>
      </c>
      <c r="F3251" s="15">
        <f t="shared" si="1"/>
        <v>2.34</v>
      </c>
      <c r="G3251" s="15">
        <f t="shared" si="2"/>
        <v>2.63</v>
      </c>
      <c r="H3251" s="16">
        <v>0.0</v>
      </c>
      <c r="I3251" s="15">
        <f t="shared" si="3"/>
        <v>2.34</v>
      </c>
      <c r="J3251" s="15">
        <v>21.11</v>
      </c>
      <c r="K3251" s="16">
        <f>IF(COUNTIFS(Release_Calendar!$A$2:$A$755,"US_CPI",Release_Calendar!$B$2:$B$755,$A3251)&gt;0,1,0)</f>
        <v>0</v>
      </c>
      <c r="L3251" s="16">
        <f>IF(COUNTIFS(Release_Calendar!$A$2:$A$755,"US_NFP",Release_Calendar!$B$2:$B$755,$A3251)&gt;0,1,0)</f>
        <v>0</v>
      </c>
      <c r="M3251" s="16" t="str">
        <f>IF($A3251&lt;Notes!$B$5,"",IF(COUNTIFS(Release_Calendar!$A$2:$A$755,"NZ_CPI",Release_Calendar!$B$2:$B$755,$A3251)&gt;0,1,0))</f>
        <v/>
      </c>
      <c r="N3251" s="16" t="str">
        <f>IF($A3251&lt;Notes!$B$5,"",IF(COUNTIFS(Release_Calendar!$A$2:$A$755,"NZ_GDP",Release_Calendar!$B$2:$B$755,$A3251)&gt;0,1,0))</f>
        <v/>
      </c>
      <c r="O3251" s="16" t="str">
        <f>IF($A3251&lt;Notes!$B$5,"",IF(COUNTIFS(Release_Calendar!$A$2:$A$755,"NZ_LABOUR",Release_Calendar!$B$2:$B$755,$A3251)&gt;0,1,0))</f>
        <v/>
      </c>
      <c r="P3251" s="16">
        <f t="shared" si="4"/>
        <v>0</v>
      </c>
    </row>
    <row r="3252" ht="15.75" customHeight="1">
      <c r="A3252" s="14">
        <v>41078.0</v>
      </c>
      <c r="B3252" s="15">
        <v>0.29</v>
      </c>
      <c r="C3252" s="15">
        <v>2.7</v>
      </c>
      <c r="D3252" s="15">
        <v>2.42</v>
      </c>
      <c r="E3252" s="15">
        <v>2.44</v>
      </c>
      <c r="F3252" s="15">
        <f t="shared" si="1"/>
        <v>2.41</v>
      </c>
      <c r="G3252" s="15">
        <f t="shared" si="2"/>
        <v>2.7</v>
      </c>
      <c r="H3252" s="16">
        <v>0.0</v>
      </c>
      <c r="I3252" s="15">
        <f t="shared" si="3"/>
        <v>2.41</v>
      </c>
      <c r="J3252" s="15">
        <v>18.32</v>
      </c>
      <c r="K3252" s="16">
        <f>IF(COUNTIFS(Release_Calendar!$A$2:$A$755,"US_CPI",Release_Calendar!$B$2:$B$755,$A3252)&gt;0,1,0)</f>
        <v>0</v>
      </c>
      <c r="L3252" s="16">
        <f>IF(COUNTIFS(Release_Calendar!$A$2:$A$755,"US_NFP",Release_Calendar!$B$2:$B$755,$A3252)&gt;0,1,0)</f>
        <v>0</v>
      </c>
      <c r="M3252" s="16" t="str">
        <f>IF($A3252&lt;Notes!$B$5,"",IF(COUNTIFS(Release_Calendar!$A$2:$A$755,"NZ_CPI",Release_Calendar!$B$2:$B$755,$A3252)&gt;0,1,0))</f>
        <v/>
      </c>
      <c r="N3252" s="16" t="str">
        <f>IF($A3252&lt;Notes!$B$5,"",IF(COUNTIFS(Release_Calendar!$A$2:$A$755,"NZ_GDP",Release_Calendar!$B$2:$B$755,$A3252)&gt;0,1,0))</f>
        <v/>
      </c>
      <c r="O3252" s="16" t="str">
        <f>IF($A3252&lt;Notes!$B$5,"",IF(COUNTIFS(Release_Calendar!$A$2:$A$755,"NZ_LABOUR",Release_Calendar!$B$2:$B$755,$A3252)&gt;0,1,0))</f>
        <v/>
      </c>
      <c r="P3252" s="16">
        <f t="shared" si="4"/>
        <v>0</v>
      </c>
    </row>
    <row r="3253" ht="15.75" customHeight="1">
      <c r="A3253" s="14">
        <v>41079.0</v>
      </c>
      <c r="B3253" s="15">
        <v>0.3</v>
      </c>
      <c r="C3253" s="15">
        <v>2.66</v>
      </c>
      <c r="D3253" s="15">
        <v>2.37</v>
      </c>
      <c r="E3253" s="15">
        <v>2.39</v>
      </c>
      <c r="F3253" s="15">
        <f t="shared" si="1"/>
        <v>2.36</v>
      </c>
      <c r="G3253" s="15">
        <f t="shared" si="2"/>
        <v>2.66</v>
      </c>
      <c r="H3253" s="16">
        <v>0.0</v>
      </c>
      <c r="I3253" s="15">
        <f t="shared" si="3"/>
        <v>2.36</v>
      </c>
      <c r="J3253" s="15">
        <v>18.38</v>
      </c>
      <c r="K3253" s="16">
        <f>IF(COUNTIFS(Release_Calendar!$A$2:$A$755,"US_CPI",Release_Calendar!$B$2:$B$755,$A3253)&gt;0,1,0)</f>
        <v>0</v>
      </c>
      <c r="L3253" s="16">
        <f>IF(COUNTIFS(Release_Calendar!$A$2:$A$755,"US_NFP",Release_Calendar!$B$2:$B$755,$A3253)&gt;0,1,0)</f>
        <v>0</v>
      </c>
      <c r="M3253" s="16" t="str">
        <f>IF($A3253&lt;Notes!$B$5,"",IF(COUNTIFS(Release_Calendar!$A$2:$A$755,"NZ_CPI",Release_Calendar!$B$2:$B$755,$A3253)&gt;0,1,0))</f>
        <v/>
      </c>
      <c r="N3253" s="16" t="str">
        <f>IF($A3253&lt;Notes!$B$5,"",IF(COUNTIFS(Release_Calendar!$A$2:$A$755,"NZ_GDP",Release_Calendar!$B$2:$B$755,$A3253)&gt;0,1,0))</f>
        <v/>
      </c>
      <c r="O3253" s="16" t="str">
        <f>IF($A3253&lt;Notes!$B$5,"",IF(COUNTIFS(Release_Calendar!$A$2:$A$755,"NZ_LABOUR",Release_Calendar!$B$2:$B$755,$A3253)&gt;0,1,0))</f>
        <v/>
      </c>
      <c r="P3253" s="16">
        <f t="shared" si="4"/>
        <v>0</v>
      </c>
    </row>
    <row r="3254" ht="15.75" customHeight="1">
      <c r="A3254" s="14">
        <v>41080.0</v>
      </c>
      <c r="B3254" s="15">
        <v>0.32</v>
      </c>
      <c r="C3254" s="15">
        <v>2.7</v>
      </c>
      <c r="D3254" s="15">
        <v>2.43</v>
      </c>
      <c r="E3254" s="15">
        <v>2.46</v>
      </c>
      <c r="F3254" s="15">
        <f t="shared" si="1"/>
        <v>2.38</v>
      </c>
      <c r="G3254" s="15">
        <f t="shared" si="2"/>
        <v>2.7</v>
      </c>
      <c r="H3254" s="16">
        <v>0.0</v>
      </c>
      <c r="I3254" s="15">
        <f t="shared" si="3"/>
        <v>2.38</v>
      </c>
      <c r="J3254" s="15">
        <v>17.24</v>
      </c>
      <c r="K3254" s="16">
        <f>IF(COUNTIFS(Release_Calendar!$A$2:$A$755,"US_CPI",Release_Calendar!$B$2:$B$755,$A3254)&gt;0,1,0)</f>
        <v>0</v>
      </c>
      <c r="L3254" s="16">
        <f>IF(COUNTIFS(Release_Calendar!$A$2:$A$755,"US_NFP",Release_Calendar!$B$2:$B$755,$A3254)&gt;0,1,0)</f>
        <v>0</v>
      </c>
      <c r="M3254" s="16" t="str">
        <f>IF($A3254&lt;Notes!$B$5,"",IF(COUNTIFS(Release_Calendar!$A$2:$A$755,"NZ_CPI",Release_Calendar!$B$2:$B$755,$A3254)&gt;0,1,0))</f>
        <v/>
      </c>
      <c r="N3254" s="16" t="str">
        <f>IF($A3254&lt;Notes!$B$5,"",IF(COUNTIFS(Release_Calendar!$A$2:$A$755,"NZ_GDP",Release_Calendar!$B$2:$B$755,$A3254)&gt;0,1,0))</f>
        <v/>
      </c>
      <c r="O3254" s="16" t="str">
        <f>IF($A3254&lt;Notes!$B$5,"",IF(COUNTIFS(Release_Calendar!$A$2:$A$755,"NZ_LABOUR",Release_Calendar!$B$2:$B$755,$A3254)&gt;0,1,0))</f>
        <v/>
      </c>
      <c r="P3254" s="16">
        <f t="shared" si="4"/>
        <v>0</v>
      </c>
    </row>
    <row r="3255" ht="15.75" customHeight="1">
      <c r="A3255" s="14">
        <v>41081.0</v>
      </c>
      <c r="B3255" s="15">
        <v>0.32</v>
      </c>
      <c r="C3255" s="15">
        <v>2.79</v>
      </c>
      <c r="D3255" s="15">
        <v>2.58</v>
      </c>
      <c r="E3255" s="15">
        <v>2.47</v>
      </c>
      <c r="F3255" s="15">
        <f t="shared" si="1"/>
        <v>2.47</v>
      </c>
      <c r="G3255" s="15">
        <f t="shared" si="2"/>
        <v>2.79</v>
      </c>
      <c r="H3255" s="16">
        <v>0.0</v>
      </c>
      <c r="I3255" s="15">
        <f t="shared" si="3"/>
        <v>2.47</v>
      </c>
      <c r="J3255" s="15">
        <v>20.08</v>
      </c>
      <c r="K3255" s="16">
        <f>IF(COUNTIFS(Release_Calendar!$A$2:$A$755,"US_CPI",Release_Calendar!$B$2:$B$755,$A3255)&gt;0,1,0)</f>
        <v>0</v>
      </c>
      <c r="L3255" s="16">
        <f>IF(COUNTIFS(Release_Calendar!$A$2:$A$755,"US_NFP",Release_Calendar!$B$2:$B$755,$A3255)&gt;0,1,0)</f>
        <v>0</v>
      </c>
      <c r="M3255" s="16" t="str">
        <f>IF($A3255&lt;Notes!$B$5,"",IF(COUNTIFS(Release_Calendar!$A$2:$A$755,"NZ_CPI",Release_Calendar!$B$2:$B$755,$A3255)&gt;0,1,0))</f>
        <v/>
      </c>
      <c r="N3255" s="16" t="str">
        <f>IF($A3255&lt;Notes!$B$5,"",IF(COUNTIFS(Release_Calendar!$A$2:$A$755,"NZ_GDP",Release_Calendar!$B$2:$B$755,$A3255)&gt;0,1,0))</f>
        <v/>
      </c>
      <c r="O3255" s="16" t="str">
        <f>IF($A3255&lt;Notes!$B$5,"",IF(COUNTIFS(Release_Calendar!$A$2:$A$755,"NZ_LABOUR",Release_Calendar!$B$2:$B$755,$A3255)&gt;0,1,0))</f>
        <v/>
      </c>
      <c r="P3255" s="16">
        <f t="shared" si="4"/>
        <v>0</v>
      </c>
    </row>
    <row r="3256" ht="15.75" customHeight="1">
      <c r="A3256" s="14">
        <v>41082.0</v>
      </c>
      <c r="B3256" s="15">
        <v>0.31</v>
      </c>
      <c r="C3256" s="15">
        <v>2.74</v>
      </c>
      <c r="D3256" s="15">
        <v>2.43</v>
      </c>
      <c r="E3256" s="15">
        <v>2.49</v>
      </c>
      <c r="F3256" s="15">
        <f t="shared" si="1"/>
        <v>2.43</v>
      </c>
      <c r="G3256" s="15">
        <f t="shared" si="2"/>
        <v>2.74</v>
      </c>
      <c r="H3256" s="16">
        <v>0.0</v>
      </c>
      <c r="I3256" s="15">
        <f t="shared" si="3"/>
        <v>2.43</v>
      </c>
      <c r="J3256" s="15">
        <v>18.11</v>
      </c>
      <c r="K3256" s="16">
        <f>IF(COUNTIFS(Release_Calendar!$A$2:$A$755,"US_CPI",Release_Calendar!$B$2:$B$755,$A3256)&gt;0,1,0)</f>
        <v>0</v>
      </c>
      <c r="L3256" s="16">
        <f>IF(COUNTIFS(Release_Calendar!$A$2:$A$755,"US_NFP",Release_Calendar!$B$2:$B$755,$A3256)&gt;0,1,0)</f>
        <v>0</v>
      </c>
      <c r="M3256" s="16" t="str">
        <f>IF($A3256&lt;Notes!$B$5,"",IF(COUNTIFS(Release_Calendar!$A$2:$A$755,"NZ_CPI",Release_Calendar!$B$2:$B$755,$A3256)&gt;0,1,0))</f>
        <v/>
      </c>
      <c r="N3256" s="16" t="str">
        <f>IF($A3256&lt;Notes!$B$5,"",IF(COUNTIFS(Release_Calendar!$A$2:$A$755,"NZ_GDP",Release_Calendar!$B$2:$B$755,$A3256)&gt;0,1,0))</f>
        <v/>
      </c>
      <c r="O3256" s="16" t="str">
        <f>IF($A3256&lt;Notes!$B$5,"",IF(COUNTIFS(Release_Calendar!$A$2:$A$755,"NZ_LABOUR",Release_Calendar!$B$2:$B$755,$A3256)&gt;0,1,0))</f>
        <v/>
      </c>
      <c r="P3256" s="16">
        <f t="shared" si="4"/>
        <v>0</v>
      </c>
    </row>
    <row r="3257" ht="15.75" customHeight="1">
      <c r="A3257" s="14">
        <v>41085.0</v>
      </c>
      <c r="B3257" s="15">
        <v>0.31</v>
      </c>
      <c r="C3257" s="15">
        <v>2.72</v>
      </c>
      <c r="D3257" s="15">
        <v>2.49</v>
      </c>
      <c r="E3257" s="15">
        <v>2.48</v>
      </c>
      <c r="F3257" s="15">
        <f t="shared" si="1"/>
        <v>2.41</v>
      </c>
      <c r="G3257" s="15">
        <f t="shared" si="2"/>
        <v>2.72</v>
      </c>
      <c r="H3257" s="16">
        <v>0.0</v>
      </c>
      <c r="I3257" s="15">
        <f t="shared" si="3"/>
        <v>2.41</v>
      </c>
      <c r="J3257" s="15">
        <v>20.38</v>
      </c>
      <c r="K3257" s="16">
        <f>IF(COUNTIFS(Release_Calendar!$A$2:$A$755,"US_CPI",Release_Calendar!$B$2:$B$755,$A3257)&gt;0,1,0)</f>
        <v>0</v>
      </c>
      <c r="L3257" s="16">
        <f>IF(COUNTIFS(Release_Calendar!$A$2:$A$755,"US_NFP",Release_Calendar!$B$2:$B$755,$A3257)&gt;0,1,0)</f>
        <v>0</v>
      </c>
      <c r="M3257" s="16" t="str">
        <f>IF($A3257&lt;Notes!$B$5,"",IF(COUNTIFS(Release_Calendar!$A$2:$A$755,"NZ_CPI",Release_Calendar!$B$2:$B$755,$A3257)&gt;0,1,0))</f>
        <v/>
      </c>
      <c r="N3257" s="16" t="str">
        <f>IF($A3257&lt;Notes!$B$5,"",IF(COUNTIFS(Release_Calendar!$A$2:$A$755,"NZ_GDP",Release_Calendar!$B$2:$B$755,$A3257)&gt;0,1,0))</f>
        <v/>
      </c>
      <c r="O3257" s="16" t="str">
        <f>IF($A3257&lt;Notes!$B$5,"",IF(COUNTIFS(Release_Calendar!$A$2:$A$755,"NZ_LABOUR",Release_Calendar!$B$2:$B$755,$A3257)&gt;0,1,0))</f>
        <v/>
      </c>
      <c r="P3257" s="16">
        <f t="shared" si="4"/>
        <v>0</v>
      </c>
    </row>
    <row r="3258" ht="15.75" customHeight="1">
      <c r="A3258" s="14">
        <v>41086.0</v>
      </c>
      <c r="B3258" s="15">
        <v>0.31</v>
      </c>
      <c r="C3258" s="15">
        <v>2.68</v>
      </c>
      <c r="D3258" s="15">
        <v>2.44</v>
      </c>
      <c r="E3258" s="15">
        <v>2.44</v>
      </c>
      <c r="F3258" s="15">
        <f t="shared" si="1"/>
        <v>2.37</v>
      </c>
      <c r="G3258" s="15">
        <f t="shared" si="2"/>
        <v>2.68</v>
      </c>
      <c r="H3258" s="16">
        <v>0.0</v>
      </c>
      <c r="I3258" s="15">
        <f t="shared" si="3"/>
        <v>2.37</v>
      </c>
      <c r="J3258" s="15">
        <v>19.72</v>
      </c>
      <c r="K3258" s="16">
        <f>IF(COUNTIFS(Release_Calendar!$A$2:$A$755,"US_CPI",Release_Calendar!$B$2:$B$755,$A3258)&gt;0,1,0)</f>
        <v>0</v>
      </c>
      <c r="L3258" s="16">
        <f>IF(COUNTIFS(Release_Calendar!$A$2:$A$755,"US_NFP",Release_Calendar!$B$2:$B$755,$A3258)&gt;0,1,0)</f>
        <v>0</v>
      </c>
      <c r="M3258" s="16" t="str">
        <f>IF($A3258&lt;Notes!$B$5,"",IF(COUNTIFS(Release_Calendar!$A$2:$A$755,"NZ_CPI",Release_Calendar!$B$2:$B$755,$A3258)&gt;0,1,0))</f>
        <v/>
      </c>
      <c r="N3258" s="16" t="str">
        <f>IF($A3258&lt;Notes!$B$5,"",IF(COUNTIFS(Release_Calendar!$A$2:$A$755,"NZ_GDP",Release_Calendar!$B$2:$B$755,$A3258)&gt;0,1,0))</f>
        <v/>
      </c>
      <c r="O3258" s="16" t="str">
        <f>IF($A3258&lt;Notes!$B$5,"",IF(COUNTIFS(Release_Calendar!$A$2:$A$755,"NZ_LABOUR",Release_Calendar!$B$2:$B$755,$A3258)&gt;0,1,0))</f>
        <v/>
      </c>
      <c r="P3258" s="16">
        <f t="shared" si="4"/>
        <v>0</v>
      </c>
    </row>
    <row r="3259" ht="15.75" customHeight="1">
      <c r="A3259" s="14">
        <v>41087.0</v>
      </c>
      <c r="B3259" s="15">
        <v>0.31</v>
      </c>
      <c r="C3259" s="15">
        <v>2.68</v>
      </c>
      <c r="D3259" s="15">
        <v>2.46</v>
      </c>
      <c r="E3259" s="15">
        <v>2.48</v>
      </c>
      <c r="F3259" s="15">
        <f t="shared" si="1"/>
        <v>2.37</v>
      </c>
      <c r="G3259" s="15">
        <f t="shared" si="2"/>
        <v>2.68</v>
      </c>
      <c r="H3259" s="16">
        <v>0.0</v>
      </c>
      <c r="I3259" s="15">
        <f t="shared" si="3"/>
        <v>2.37</v>
      </c>
      <c r="J3259" s="15">
        <v>19.45</v>
      </c>
      <c r="K3259" s="16">
        <f>IF(COUNTIFS(Release_Calendar!$A$2:$A$755,"US_CPI",Release_Calendar!$B$2:$B$755,$A3259)&gt;0,1,0)</f>
        <v>0</v>
      </c>
      <c r="L3259" s="16">
        <f>IF(COUNTIFS(Release_Calendar!$A$2:$A$755,"US_NFP",Release_Calendar!$B$2:$B$755,$A3259)&gt;0,1,0)</f>
        <v>0</v>
      </c>
      <c r="M3259" s="16" t="str">
        <f>IF($A3259&lt;Notes!$B$5,"",IF(COUNTIFS(Release_Calendar!$A$2:$A$755,"NZ_CPI",Release_Calendar!$B$2:$B$755,$A3259)&gt;0,1,0))</f>
        <v/>
      </c>
      <c r="N3259" s="16" t="str">
        <f>IF($A3259&lt;Notes!$B$5,"",IF(COUNTIFS(Release_Calendar!$A$2:$A$755,"NZ_GDP",Release_Calendar!$B$2:$B$755,$A3259)&gt;0,1,0))</f>
        <v/>
      </c>
      <c r="O3259" s="16" t="str">
        <f>IF($A3259&lt;Notes!$B$5,"",IF(COUNTIFS(Release_Calendar!$A$2:$A$755,"NZ_LABOUR",Release_Calendar!$B$2:$B$755,$A3259)&gt;0,1,0))</f>
        <v/>
      </c>
      <c r="P3259" s="16">
        <f t="shared" si="4"/>
        <v>0</v>
      </c>
    </row>
    <row r="3260" ht="15.75" customHeight="1">
      <c r="A3260" s="14">
        <v>41088.0</v>
      </c>
      <c r="B3260" s="15">
        <v>0.31</v>
      </c>
      <c r="C3260" s="15">
        <v>2.69</v>
      </c>
      <c r="D3260" s="15">
        <v>2.47</v>
      </c>
      <c r="E3260" s="15">
        <v>2.47</v>
      </c>
      <c r="F3260" s="15">
        <f t="shared" si="1"/>
        <v>2.38</v>
      </c>
      <c r="G3260" s="15">
        <f t="shared" si="2"/>
        <v>2.69</v>
      </c>
      <c r="H3260" s="16">
        <v>0.0</v>
      </c>
      <c r="I3260" s="15">
        <f t="shared" si="3"/>
        <v>2.38</v>
      </c>
      <c r="J3260" s="15">
        <v>19.71</v>
      </c>
      <c r="K3260" s="16">
        <f>IF(COUNTIFS(Release_Calendar!$A$2:$A$755,"US_CPI",Release_Calendar!$B$2:$B$755,$A3260)&gt;0,1,0)</f>
        <v>0</v>
      </c>
      <c r="L3260" s="16">
        <f>IF(COUNTIFS(Release_Calendar!$A$2:$A$755,"US_NFP",Release_Calendar!$B$2:$B$755,$A3260)&gt;0,1,0)</f>
        <v>0</v>
      </c>
      <c r="M3260" s="16" t="str">
        <f>IF($A3260&lt;Notes!$B$5,"",IF(COUNTIFS(Release_Calendar!$A$2:$A$755,"NZ_CPI",Release_Calendar!$B$2:$B$755,$A3260)&gt;0,1,0))</f>
        <v/>
      </c>
      <c r="N3260" s="16" t="str">
        <f>IF($A3260&lt;Notes!$B$5,"",IF(COUNTIFS(Release_Calendar!$A$2:$A$755,"NZ_GDP",Release_Calendar!$B$2:$B$755,$A3260)&gt;0,1,0))</f>
        <v/>
      </c>
      <c r="O3260" s="16" t="str">
        <f>IF($A3260&lt;Notes!$B$5,"",IF(COUNTIFS(Release_Calendar!$A$2:$A$755,"NZ_LABOUR",Release_Calendar!$B$2:$B$755,$A3260)&gt;0,1,0))</f>
        <v/>
      </c>
      <c r="P3260" s="16">
        <f t="shared" si="4"/>
        <v>0</v>
      </c>
    </row>
    <row r="3261" ht="15.75" customHeight="1">
      <c r="A3261" s="14">
        <v>41089.0</v>
      </c>
      <c r="B3261" s="15">
        <v>0.33</v>
      </c>
      <c r="C3261" s="15">
        <v>2.74</v>
      </c>
      <c r="D3261" s="15">
        <v>2.45</v>
      </c>
      <c r="E3261" s="15">
        <v>2.5</v>
      </c>
      <c r="F3261" s="15">
        <f t="shared" si="1"/>
        <v>2.41</v>
      </c>
      <c r="G3261" s="15">
        <f t="shared" si="2"/>
        <v>2.74</v>
      </c>
      <c r="H3261" s="16">
        <v>0.0</v>
      </c>
      <c r="I3261" s="15">
        <f t="shared" si="3"/>
        <v>2.41</v>
      </c>
      <c r="J3261" s="15">
        <v>17.08</v>
      </c>
      <c r="K3261" s="16">
        <f>IF(COUNTIFS(Release_Calendar!$A$2:$A$755,"US_CPI",Release_Calendar!$B$2:$B$755,$A3261)&gt;0,1,0)</f>
        <v>0</v>
      </c>
      <c r="L3261" s="16">
        <f>IF(COUNTIFS(Release_Calendar!$A$2:$A$755,"US_NFP",Release_Calendar!$B$2:$B$755,$A3261)&gt;0,1,0)</f>
        <v>0</v>
      </c>
      <c r="M3261" s="16" t="str">
        <f>IF($A3261&lt;Notes!$B$5,"",IF(COUNTIFS(Release_Calendar!$A$2:$A$755,"NZ_CPI",Release_Calendar!$B$2:$B$755,$A3261)&gt;0,1,0))</f>
        <v/>
      </c>
      <c r="N3261" s="16" t="str">
        <f>IF($A3261&lt;Notes!$B$5,"",IF(COUNTIFS(Release_Calendar!$A$2:$A$755,"NZ_GDP",Release_Calendar!$B$2:$B$755,$A3261)&gt;0,1,0))</f>
        <v/>
      </c>
      <c r="O3261" s="16" t="str">
        <f>IF($A3261&lt;Notes!$B$5,"",IF(COUNTIFS(Release_Calendar!$A$2:$A$755,"NZ_LABOUR",Release_Calendar!$B$2:$B$755,$A3261)&gt;0,1,0))</f>
        <v/>
      </c>
      <c r="P3261" s="16">
        <f t="shared" si="4"/>
        <v>0</v>
      </c>
    </row>
    <row r="3262" ht="15.75" customHeight="1">
      <c r="A3262" s="14">
        <v>41092.0</v>
      </c>
      <c r="B3262" s="15">
        <v>0.3</v>
      </c>
      <c r="C3262" s="15">
        <v>2.8</v>
      </c>
      <c r="D3262" s="15">
        <v>2.6</v>
      </c>
      <c r="E3262" s="15">
        <v>2.57</v>
      </c>
      <c r="F3262" s="15">
        <f t="shared" si="1"/>
        <v>2.5</v>
      </c>
      <c r="G3262" s="15">
        <f t="shared" si="2"/>
        <v>2.8</v>
      </c>
      <c r="H3262" s="16">
        <v>0.0</v>
      </c>
      <c r="I3262" s="15">
        <f t="shared" si="3"/>
        <v>2.5</v>
      </c>
      <c r="J3262" s="15">
        <v>16.8</v>
      </c>
      <c r="K3262" s="16">
        <f>IF(COUNTIFS(Release_Calendar!$A$2:$A$755,"US_CPI",Release_Calendar!$B$2:$B$755,$A3262)&gt;0,1,0)</f>
        <v>0</v>
      </c>
      <c r="L3262" s="16">
        <f>IF(COUNTIFS(Release_Calendar!$A$2:$A$755,"US_NFP",Release_Calendar!$B$2:$B$755,$A3262)&gt;0,1,0)</f>
        <v>0</v>
      </c>
      <c r="M3262" s="16" t="str">
        <f>IF($A3262&lt;Notes!$B$5,"",IF(COUNTIFS(Release_Calendar!$A$2:$A$755,"NZ_CPI",Release_Calendar!$B$2:$B$755,$A3262)&gt;0,1,0))</f>
        <v/>
      </c>
      <c r="N3262" s="16" t="str">
        <f>IF($A3262&lt;Notes!$B$5,"",IF(COUNTIFS(Release_Calendar!$A$2:$A$755,"NZ_GDP",Release_Calendar!$B$2:$B$755,$A3262)&gt;0,1,0))</f>
        <v/>
      </c>
      <c r="O3262" s="16" t="str">
        <f>IF($A3262&lt;Notes!$B$5,"",IF(COUNTIFS(Release_Calendar!$A$2:$A$755,"NZ_LABOUR",Release_Calendar!$B$2:$B$755,$A3262)&gt;0,1,0))</f>
        <v/>
      </c>
      <c r="P3262" s="16">
        <f t="shared" si="4"/>
        <v>0</v>
      </c>
    </row>
    <row r="3263" ht="15.75" customHeight="1">
      <c r="A3263" s="14">
        <v>41093.0</v>
      </c>
      <c r="B3263" s="15">
        <v>0.3</v>
      </c>
      <c r="C3263" s="15">
        <v>2.81</v>
      </c>
      <c r="D3263" s="15">
        <v>2.54</v>
      </c>
      <c r="E3263" s="15">
        <v>2.57</v>
      </c>
      <c r="F3263" s="15">
        <f t="shared" si="1"/>
        <v>2.51</v>
      </c>
      <c r="G3263" s="15">
        <f t="shared" si="2"/>
        <v>2.81</v>
      </c>
      <c r="H3263" s="16">
        <v>0.0</v>
      </c>
      <c r="I3263" s="15">
        <f t="shared" si="3"/>
        <v>2.51</v>
      </c>
      <c r="J3263" s="15">
        <v>16.66</v>
      </c>
      <c r="K3263" s="16">
        <f>IF(COUNTIFS(Release_Calendar!$A$2:$A$755,"US_CPI",Release_Calendar!$B$2:$B$755,$A3263)&gt;0,1,0)</f>
        <v>0</v>
      </c>
      <c r="L3263" s="16">
        <f>IF(COUNTIFS(Release_Calendar!$A$2:$A$755,"US_NFP",Release_Calendar!$B$2:$B$755,$A3263)&gt;0,1,0)</f>
        <v>0</v>
      </c>
      <c r="M3263" s="16" t="str">
        <f>IF($A3263&lt;Notes!$B$5,"",IF(COUNTIFS(Release_Calendar!$A$2:$A$755,"NZ_CPI",Release_Calendar!$B$2:$B$755,$A3263)&gt;0,1,0))</f>
        <v/>
      </c>
      <c r="N3263" s="16" t="str">
        <f>IF($A3263&lt;Notes!$B$5,"",IF(COUNTIFS(Release_Calendar!$A$2:$A$755,"NZ_GDP",Release_Calendar!$B$2:$B$755,$A3263)&gt;0,1,0))</f>
        <v/>
      </c>
      <c r="O3263" s="16" t="str">
        <f>IF($A3263&lt;Notes!$B$5,"",IF(COUNTIFS(Release_Calendar!$A$2:$A$755,"NZ_LABOUR",Release_Calendar!$B$2:$B$755,$A3263)&gt;0,1,0))</f>
        <v/>
      </c>
      <c r="P3263" s="16">
        <f t="shared" si="4"/>
        <v>0</v>
      </c>
    </row>
    <row r="3264" ht="15.75" customHeight="1">
      <c r="A3264" s="14">
        <v>41094.0</v>
      </c>
      <c r="B3264" s="15"/>
      <c r="C3264" s="15">
        <v>2.83</v>
      </c>
      <c r="D3264" s="15">
        <v>2.58</v>
      </c>
      <c r="E3264" s="15">
        <v>2.6</v>
      </c>
      <c r="F3264" s="15" t="str">
        <f t="shared" si="1"/>
        <v/>
      </c>
      <c r="G3264" s="15">
        <f t="shared" si="2"/>
        <v>2.83</v>
      </c>
      <c r="H3264" s="16">
        <v>0.0</v>
      </c>
      <c r="I3264" s="15" t="str">
        <f t="shared" si="3"/>
        <v/>
      </c>
      <c r="J3264" s="15"/>
      <c r="K3264" s="16">
        <f>IF(COUNTIFS(Release_Calendar!$A$2:$A$755,"US_CPI",Release_Calendar!$B$2:$B$755,$A3264)&gt;0,1,0)</f>
        <v>0</v>
      </c>
      <c r="L3264" s="16">
        <f>IF(COUNTIFS(Release_Calendar!$A$2:$A$755,"US_NFP",Release_Calendar!$B$2:$B$755,$A3264)&gt;0,1,0)</f>
        <v>0</v>
      </c>
      <c r="M3264" s="16" t="str">
        <f>IF($A3264&lt;Notes!$B$5,"",IF(COUNTIFS(Release_Calendar!$A$2:$A$755,"NZ_CPI",Release_Calendar!$B$2:$B$755,$A3264)&gt;0,1,0))</f>
        <v/>
      </c>
      <c r="N3264" s="16" t="str">
        <f>IF($A3264&lt;Notes!$B$5,"",IF(COUNTIFS(Release_Calendar!$A$2:$A$755,"NZ_GDP",Release_Calendar!$B$2:$B$755,$A3264)&gt;0,1,0))</f>
        <v/>
      </c>
      <c r="O3264" s="16" t="str">
        <f>IF($A3264&lt;Notes!$B$5,"",IF(COUNTIFS(Release_Calendar!$A$2:$A$755,"NZ_LABOUR",Release_Calendar!$B$2:$B$755,$A3264)&gt;0,1,0))</f>
        <v/>
      </c>
      <c r="P3264" s="16">
        <f t="shared" si="4"/>
        <v>0</v>
      </c>
    </row>
    <row r="3265" ht="15.75" customHeight="1">
      <c r="A3265" s="14">
        <v>41095.0</v>
      </c>
      <c r="B3265" s="15">
        <v>0.28</v>
      </c>
      <c r="C3265" s="15">
        <v>2.79</v>
      </c>
      <c r="D3265" s="15">
        <v>2.57</v>
      </c>
      <c r="E3265" s="15">
        <v>2.55</v>
      </c>
      <c r="F3265" s="15">
        <f t="shared" si="1"/>
        <v>2.51</v>
      </c>
      <c r="G3265" s="15">
        <f t="shared" si="2"/>
        <v>2.79</v>
      </c>
      <c r="H3265" s="16">
        <v>0.0</v>
      </c>
      <c r="I3265" s="15">
        <f t="shared" si="3"/>
        <v>2.51</v>
      </c>
      <c r="J3265" s="15">
        <v>17.5</v>
      </c>
      <c r="K3265" s="16">
        <f>IF(COUNTIFS(Release_Calendar!$A$2:$A$755,"US_CPI",Release_Calendar!$B$2:$B$755,$A3265)&gt;0,1,0)</f>
        <v>0</v>
      </c>
      <c r="L3265" s="16">
        <f>IF(COUNTIFS(Release_Calendar!$A$2:$A$755,"US_NFP",Release_Calendar!$B$2:$B$755,$A3265)&gt;0,1,0)</f>
        <v>0</v>
      </c>
      <c r="M3265" s="16" t="str">
        <f>IF($A3265&lt;Notes!$B$5,"",IF(COUNTIFS(Release_Calendar!$A$2:$A$755,"NZ_CPI",Release_Calendar!$B$2:$B$755,$A3265)&gt;0,1,0))</f>
        <v/>
      </c>
      <c r="N3265" s="16" t="str">
        <f>IF($A3265&lt;Notes!$B$5,"",IF(COUNTIFS(Release_Calendar!$A$2:$A$755,"NZ_GDP",Release_Calendar!$B$2:$B$755,$A3265)&gt;0,1,0))</f>
        <v/>
      </c>
      <c r="O3265" s="16" t="str">
        <f>IF($A3265&lt;Notes!$B$5,"",IF(COUNTIFS(Release_Calendar!$A$2:$A$755,"NZ_LABOUR",Release_Calendar!$B$2:$B$755,$A3265)&gt;0,1,0))</f>
        <v/>
      </c>
      <c r="P3265" s="16">
        <f t="shared" si="4"/>
        <v>0</v>
      </c>
    </row>
    <row r="3266" ht="15.75" customHeight="1">
      <c r="A3266" s="14">
        <v>41096.0</v>
      </c>
      <c r="B3266" s="15">
        <v>0.27</v>
      </c>
      <c r="C3266" s="15">
        <v>2.77</v>
      </c>
      <c r="D3266" s="15">
        <v>2.55</v>
      </c>
      <c r="E3266" s="15">
        <v>2.52</v>
      </c>
      <c r="F3266" s="15">
        <f t="shared" si="1"/>
        <v>2.5</v>
      </c>
      <c r="G3266" s="15">
        <f t="shared" si="2"/>
        <v>2.77</v>
      </c>
      <c r="H3266" s="16">
        <v>0.0</v>
      </c>
      <c r="I3266" s="15">
        <f t="shared" si="3"/>
        <v>2.5</v>
      </c>
      <c r="J3266" s="15">
        <v>17.1</v>
      </c>
      <c r="K3266" s="16">
        <f>IF(COUNTIFS(Release_Calendar!$A$2:$A$755,"US_CPI",Release_Calendar!$B$2:$B$755,$A3266)&gt;0,1,0)</f>
        <v>0</v>
      </c>
      <c r="L3266" s="16">
        <f>IF(COUNTIFS(Release_Calendar!$A$2:$A$755,"US_NFP",Release_Calendar!$B$2:$B$755,$A3266)&gt;0,1,0)</f>
        <v>1</v>
      </c>
      <c r="M3266" s="16" t="str">
        <f>IF($A3266&lt;Notes!$B$5,"",IF(COUNTIFS(Release_Calendar!$A$2:$A$755,"NZ_CPI",Release_Calendar!$B$2:$B$755,$A3266)&gt;0,1,0))</f>
        <v/>
      </c>
      <c r="N3266" s="16" t="str">
        <f>IF($A3266&lt;Notes!$B$5,"",IF(COUNTIFS(Release_Calendar!$A$2:$A$755,"NZ_GDP",Release_Calendar!$B$2:$B$755,$A3266)&gt;0,1,0))</f>
        <v/>
      </c>
      <c r="O3266" s="16" t="str">
        <f>IF($A3266&lt;Notes!$B$5,"",IF(COUNTIFS(Release_Calendar!$A$2:$A$755,"NZ_LABOUR",Release_Calendar!$B$2:$B$755,$A3266)&gt;0,1,0))</f>
        <v/>
      </c>
      <c r="P3266" s="16">
        <f t="shared" si="4"/>
        <v>1</v>
      </c>
    </row>
    <row r="3267" ht="15.75" customHeight="1">
      <c r="A3267" s="14">
        <v>41099.0</v>
      </c>
      <c r="B3267" s="15">
        <v>0.27</v>
      </c>
      <c r="C3267" s="15">
        <v>2.7</v>
      </c>
      <c r="D3267" s="15">
        <v>2.47</v>
      </c>
      <c r="E3267" s="15">
        <v>2.43</v>
      </c>
      <c r="F3267" s="15">
        <f t="shared" si="1"/>
        <v>2.43</v>
      </c>
      <c r="G3267" s="15">
        <f t="shared" si="2"/>
        <v>2.7</v>
      </c>
      <c r="H3267" s="16">
        <v>0.0</v>
      </c>
      <c r="I3267" s="15">
        <f t="shared" si="3"/>
        <v>2.43</v>
      </c>
      <c r="J3267" s="15">
        <v>17.98</v>
      </c>
      <c r="K3267" s="16">
        <f>IF(COUNTIFS(Release_Calendar!$A$2:$A$755,"US_CPI",Release_Calendar!$B$2:$B$755,$A3267)&gt;0,1,0)</f>
        <v>0</v>
      </c>
      <c r="L3267" s="16">
        <f>IF(COUNTIFS(Release_Calendar!$A$2:$A$755,"US_NFP",Release_Calendar!$B$2:$B$755,$A3267)&gt;0,1,0)</f>
        <v>0</v>
      </c>
      <c r="M3267" s="16" t="str">
        <f>IF($A3267&lt;Notes!$B$5,"",IF(COUNTIFS(Release_Calendar!$A$2:$A$755,"NZ_CPI",Release_Calendar!$B$2:$B$755,$A3267)&gt;0,1,0))</f>
        <v/>
      </c>
      <c r="N3267" s="16" t="str">
        <f>IF($A3267&lt;Notes!$B$5,"",IF(COUNTIFS(Release_Calendar!$A$2:$A$755,"NZ_GDP",Release_Calendar!$B$2:$B$755,$A3267)&gt;0,1,0))</f>
        <v/>
      </c>
      <c r="O3267" s="16" t="str">
        <f>IF($A3267&lt;Notes!$B$5,"",IF(COUNTIFS(Release_Calendar!$A$2:$A$755,"NZ_LABOUR",Release_Calendar!$B$2:$B$755,$A3267)&gt;0,1,0))</f>
        <v/>
      </c>
      <c r="P3267" s="16">
        <f t="shared" si="4"/>
        <v>0</v>
      </c>
    </row>
    <row r="3268" ht="15.75" customHeight="1">
      <c r="A3268" s="14">
        <v>41100.0</v>
      </c>
      <c r="B3268" s="15">
        <v>0.27</v>
      </c>
      <c r="C3268" s="15">
        <v>2.69</v>
      </c>
      <c r="D3268" s="15">
        <v>2.42</v>
      </c>
      <c r="E3268" s="15">
        <v>2.43</v>
      </c>
      <c r="F3268" s="15">
        <f t="shared" si="1"/>
        <v>2.42</v>
      </c>
      <c r="G3268" s="15">
        <f t="shared" si="2"/>
        <v>2.69</v>
      </c>
      <c r="H3268" s="16">
        <v>0.0</v>
      </c>
      <c r="I3268" s="15">
        <f t="shared" si="3"/>
        <v>2.42</v>
      </c>
      <c r="J3268" s="15">
        <v>18.72</v>
      </c>
      <c r="K3268" s="16">
        <f>IF(COUNTIFS(Release_Calendar!$A$2:$A$755,"US_CPI",Release_Calendar!$B$2:$B$755,$A3268)&gt;0,1,0)</f>
        <v>0</v>
      </c>
      <c r="L3268" s="16">
        <f>IF(COUNTIFS(Release_Calendar!$A$2:$A$755,"US_NFP",Release_Calendar!$B$2:$B$755,$A3268)&gt;0,1,0)</f>
        <v>0</v>
      </c>
      <c r="M3268" s="16" t="str">
        <f>IF($A3268&lt;Notes!$B$5,"",IF(COUNTIFS(Release_Calendar!$A$2:$A$755,"NZ_CPI",Release_Calendar!$B$2:$B$755,$A3268)&gt;0,1,0))</f>
        <v/>
      </c>
      <c r="N3268" s="16" t="str">
        <f>IF($A3268&lt;Notes!$B$5,"",IF(COUNTIFS(Release_Calendar!$A$2:$A$755,"NZ_GDP",Release_Calendar!$B$2:$B$755,$A3268)&gt;0,1,0))</f>
        <v/>
      </c>
      <c r="O3268" s="16" t="str">
        <f>IF($A3268&lt;Notes!$B$5,"",IF(COUNTIFS(Release_Calendar!$A$2:$A$755,"NZ_LABOUR",Release_Calendar!$B$2:$B$755,$A3268)&gt;0,1,0))</f>
        <v/>
      </c>
      <c r="P3268" s="16">
        <f t="shared" si="4"/>
        <v>0</v>
      </c>
    </row>
    <row r="3269" ht="15.75" customHeight="1">
      <c r="A3269" s="14">
        <v>41101.0</v>
      </c>
      <c r="B3269" s="15">
        <v>0.27</v>
      </c>
      <c r="C3269" s="15">
        <v>2.7</v>
      </c>
      <c r="D3269" s="15">
        <v>2.42</v>
      </c>
      <c r="E3269" s="15">
        <v>2.44</v>
      </c>
      <c r="F3269" s="15">
        <f t="shared" si="1"/>
        <v>2.43</v>
      </c>
      <c r="G3269" s="15">
        <f t="shared" si="2"/>
        <v>2.7</v>
      </c>
      <c r="H3269" s="16">
        <v>0.0</v>
      </c>
      <c r="I3269" s="15">
        <f t="shared" si="3"/>
        <v>2.43</v>
      </c>
      <c r="J3269" s="15">
        <v>17.95</v>
      </c>
      <c r="K3269" s="16">
        <f>IF(COUNTIFS(Release_Calendar!$A$2:$A$755,"US_CPI",Release_Calendar!$B$2:$B$755,$A3269)&gt;0,1,0)</f>
        <v>0</v>
      </c>
      <c r="L3269" s="16">
        <f>IF(COUNTIFS(Release_Calendar!$A$2:$A$755,"US_NFP",Release_Calendar!$B$2:$B$755,$A3269)&gt;0,1,0)</f>
        <v>0</v>
      </c>
      <c r="M3269" s="16" t="str">
        <f>IF($A3269&lt;Notes!$B$5,"",IF(COUNTIFS(Release_Calendar!$A$2:$A$755,"NZ_CPI",Release_Calendar!$B$2:$B$755,$A3269)&gt;0,1,0))</f>
        <v/>
      </c>
      <c r="N3269" s="16" t="str">
        <f>IF($A3269&lt;Notes!$B$5,"",IF(COUNTIFS(Release_Calendar!$A$2:$A$755,"NZ_GDP",Release_Calendar!$B$2:$B$755,$A3269)&gt;0,1,0))</f>
        <v/>
      </c>
      <c r="O3269" s="16" t="str">
        <f>IF($A3269&lt;Notes!$B$5,"",IF(COUNTIFS(Release_Calendar!$A$2:$A$755,"NZ_LABOUR",Release_Calendar!$B$2:$B$755,$A3269)&gt;0,1,0))</f>
        <v/>
      </c>
      <c r="P3269" s="16">
        <f t="shared" si="4"/>
        <v>0</v>
      </c>
    </row>
    <row r="3270" ht="15.75" customHeight="1">
      <c r="A3270" s="14">
        <v>41102.0</v>
      </c>
      <c r="B3270" s="15">
        <v>0.25</v>
      </c>
      <c r="C3270" s="15">
        <v>2.66</v>
      </c>
      <c r="D3270" s="15">
        <v>2.46</v>
      </c>
      <c r="E3270" s="15">
        <v>2.4</v>
      </c>
      <c r="F3270" s="15">
        <f t="shared" si="1"/>
        <v>2.41</v>
      </c>
      <c r="G3270" s="15">
        <f t="shared" si="2"/>
        <v>2.66</v>
      </c>
      <c r="H3270" s="16">
        <v>0.0</v>
      </c>
      <c r="I3270" s="15">
        <f t="shared" si="3"/>
        <v>2.41</v>
      </c>
      <c r="J3270" s="15">
        <v>18.33</v>
      </c>
      <c r="K3270" s="16">
        <f>IF(COUNTIFS(Release_Calendar!$A$2:$A$755,"US_CPI",Release_Calendar!$B$2:$B$755,$A3270)&gt;0,1,0)</f>
        <v>0</v>
      </c>
      <c r="L3270" s="16">
        <f>IF(COUNTIFS(Release_Calendar!$A$2:$A$755,"US_NFP",Release_Calendar!$B$2:$B$755,$A3270)&gt;0,1,0)</f>
        <v>0</v>
      </c>
      <c r="M3270" s="16" t="str">
        <f>IF($A3270&lt;Notes!$B$5,"",IF(COUNTIFS(Release_Calendar!$A$2:$A$755,"NZ_CPI",Release_Calendar!$B$2:$B$755,$A3270)&gt;0,1,0))</f>
        <v/>
      </c>
      <c r="N3270" s="16" t="str">
        <f>IF($A3270&lt;Notes!$B$5,"",IF(COUNTIFS(Release_Calendar!$A$2:$A$755,"NZ_GDP",Release_Calendar!$B$2:$B$755,$A3270)&gt;0,1,0))</f>
        <v/>
      </c>
      <c r="O3270" s="16" t="str">
        <f>IF($A3270&lt;Notes!$B$5,"",IF(COUNTIFS(Release_Calendar!$A$2:$A$755,"NZ_LABOUR",Release_Calendar!$B$2:$B$755,$A3270)&gt;0,1,0))</f>
        <v/>
      </c>
      <c r="P3270" s="16">
        <f t="shared" si="4"/>
        <v>0</v>
      </c>
    </row>
    <row r="3271" ht="15.75" customHeight="1">
      <c r="A3271" s="14">
        <v>41103.0</v>
      </c>
      <c r="B3271" s="15">
        <v>0.25</v>
      </c>
      <c r="C3271" s="15">
        <v>2.63</v>
      </c>
      <c r="D3271" s="15">
        <v>2.37</v>
      </c>
      <c r="E3271" s="15">
        <v>2.37</v>
      </c>
      <c r="F3271" s="15">
        <f t="shared" si="1"/>
        <v>2.38</v>
      </c>
      <c r="G3271" s="15">
        <f t="shared" si="2"/>
        <v>2.63</v>
      </c>
      <c r="H3271" s="16">
        <v>0.0</v>
      </c>
      <c r="I3271" s="15">
        <f t="shared" si="3"/>
        <v>2.38</v>
      </c>
      <c r="J3271" s="15">
        <v>16.74</v>
      </c>
      <c r="K3271" s="16">
        <f>IF(COUNTIFS(Release_Calendar!$A$2:$A$755,"US_CPI",Release_Calendar!$B$2:$B$755,$A3271)&gt;0,1,0)</f>
        <v>0</v>
      </c>
      <c r="L3271" s="16">
        <f>IF(COUNTIFS(Release_Calendar!$A$2:$A$755,"US_NFP",Release_Calendar!$B$2:$B$755,$A3271)&gt;0,1,0)</f>
        <v>0</v>
      </c>
      <c r="M3271" s="16" t="str">
        <f>IF($A3271&lt;Notes!$B$5,"",IF(COUNTIFS(Release_Calendar!$A$2:$A$755,"NZ_CPI",Release_Calendar!$B$2:$B$755,$A3271)&gt;0,1,0))</f>
        <v/>
      </c>
      <c r="N3271" s="16" t="str">
        <f>IF($A3271&lt;Notes!$B$5,"",IF(COUNTIFS(Release_Calendar!$A$2:$A$755,"NZ_GDP",Release_Calendar!$B$2:$B$755,$A3271)&gt;0,1,0))</f>
        <v/>
      </c>
      <c r="O3271" s="16" t="str">
        <f>IF($A3271&lt;Notes!$B$5,"",IF(COUNTIFS(Release_Calendar!$A$2:$A$755,"NZ_LABOUR",Release_Calendar!$B$2:$B$755,$A3271)&gt;0,1,0))</f>
        <v/>
      </c>
      <c r="P3271" s="16">
        <f t="shared" si="4"/>
        <v>0</v>
      </c>
    </row>
    <row r="3272" ht="15.75" customHeight="1">
      <c r="A3272" s="14">
        <v>41106.0</v>
      </c>
      <c r="B3272" s="15">
        <v>0.24</v>
      </c>
      <c r="C3272" s="15">
        <v>2.65</v>
      </c>
      <c r="D3272" s="15">
        <v>2.4</v>
      </c>
      <c r="E3272" s="15">
        <v>2.43</v>
      </c>
      <c r="F3272" s="15">
        <f t="shared" si="1"/>
        <v>2.41</v>
      </c>
      <c r="G3272" s="15">
        <f t="shared" si="2"/>
        <v>2.65</v>
      </c>
      <c r="H3272" s="16">
        <v>0.0</v>
      </c>
      <c r="I3272" s="15">
        <f t="shared" si="3"/>
        <v>2.41</v>
      </c>
      <c r="J3272" s="15">
        <v>17.11</v>
      </c>
      <c r="K3272" s="16">
        <f>IF(COUNTIFS(Release_Calendar!$A$2:$A$755,"US_CPI",Release_Calendar!$B$2:$B$755,$A3272)&gt;0,1,0)</f>
        <v>0</v>
      </c>
      <c r="L3272" s="16">
        <f>IF(COUNTIFS(Release_Calendar!$A$2:$A$755,"US_NFP",Release_Calendar!$B$2:$B$755,$A3272)&gt;0,1,0)</f>
        <v>0</v>
      </c>
      <c r="M3272" s="16" t="str">
        <f>IF($A3272&lt;Notes!$B$5,"",IF(COUNTIFS(Release_Calendar!$A$2:$A$755,"NZ_CPI",Release_Calendar!$B$2:$B$755,$A3272)&gt;0,1,0))</f>
        <v/>
      </c>
      <c r="N3272" s="16" t="str">
        <f>IF($A3272&lt;Notes!$B$5,"",IF(COUNTIFS(Release_Calendar!$A$2:$A$755,"NZ_GDP",Release_Calendar!$B$2:$B$755,$A3272)&gt;0,1,0))</f>
        <v/>
      </c>
      <c r="O3272" s="16" t="str">
        <f>IF($A3272&lt;Notes!$B$5,"",IF(COUNTIFS(Release_Calendar!$A$2:$A$755,"NZ_LABOUR",Release_Calendar!$B$2:$B$755,$A3272)&gt;0,1,0))</f>
        <v/>
      </c>
      <c r="P3272" s="16">
        <f t="shared" si="4"/>
        <v>0</v>
      </c>
    </row>
    <row r="3273" ht="15.75" customHeight="1">
      <c r="A3273" s="14">
        <v>41107.0</v>
      </c>
      <c r="B3273" s="15">
        <v>0.25</v>
      </c>
      <c r="C3273" s="15">
        <v>2.64</v>
      </c>
      <c r="D3273" s="15">
        <v>2.4</v>
      </c>
      <c r="E3273" s="15">
        <v>2.44</v>
      </c>
      <c r="F3273" s="15">
        <f t="shared" si="1"/>
        <v>2.39</v>
      </c>
      <c r="G3273" s="15">
        <f t="shared" si="2"/>
        <v>2.64</v>
      </c>
      <c r="H3273" s="16">
        <v>0.0</v>
      </c>
      <c r="I3273" s="15">
        <f t="shared" si="3"/>
        <v>2.39</v>
      </c>
      <c r="J3273" s="15">
        <v>16.48</v>
      </c>
      <c r="K3273" s="16">
        <f>IF(COUNTIFS(Release_Calendar!$A$2:$A$755,"US_CPI",Release_Calendar!$B$2:$B$755,$A3273)&gt;0,1,0)</f>
        <v>1</v>
      </c>
      <c r="L3273" s="16">
        <f>IF(COUNTIFS(Release_Calendar!$A$2:$A$755,"US_NFP",Release_Calendar!$B$2:$B$755,$A3273)&gt;0,1,0)</f>
        <v>0</v>
      </c>
      <c r="M3273" s="16" t="str">
        <f>IF($A3273&lt;Notes!$B$5,"",IF(COUNTIFS(Release_Calendar!$A$2:$A$755,"NZ_CPI",Release_Calendar!$B$2:$B$755,$A3273)&gt;0,1,0))</f>
        <v/>
      </c>
      <c r="N3273" s="16" t="str">
        <f>IF($A3273&lt;Notes!$B$5,"",IF(COUNTIFS(Release_Calendar!$A$2:$A$755,"NZ_GDP",Release_Calendar!$B$2:$B$755,$A3273)&gt;0,1,0))</f>
        <v/>
      </c>
      <c r="O3273" s="16" t="str">
        <f>IF($A3273&lt;Notes!$B$5,"",IF(COUNTIFS(Release_Calendar!$A$2:$A$755,"NZ_LABOUR",Release_Calendar!$B$2:$B$755,$A3273)&gt;0,1,0))</f>
        <v/>
      </c>
      <c r="P3273" s="16">
        <f t="shared" si="4"/>
        <v>1</v>
      </c>
    </row>
    <row r="3274" ht="15.75" customHeight="1">
      <c r="A3274" s="14">
        <v>41108.0</v>
      </c>
      <c r="B3274" s="15">
        <v>0.22</v>
      </c>
      <c r="C3274" s="15">
        <v>2.64</v>
      </c>
      <c r="D3274" s="15">
        <v>2.45</v>
      </c>
      <c r="E3274" s="15">
        <v>2.45</v>
      </c>
      <c r="F3274" s="15">
        <f t="shared" si="1"/>
        <v>2.42</v>
      </c>
      <c r="G3274" s="15">
        <f t="shared" si="2"/>
        <v>2.64</v>
      </c>
      <c r="H3274" s="16">
        <v>0.0</v>
      </c>
      <c r="I3274" s="15">
        <f t="shared" si="3"/>
        <v>2.42</v>
      </c>
      <c r="J3274" s="15">
        <v>16.16</v>
      </c>
      <c r="K3274" s="16">
        <f>IF(COUNTIFS(Release_Calendar!$A$2:$A$755,"US_CPI",Release_Calendar!$B$2:$B$755,$A3274)&gt;0,1,0)</f>
        <v>0</v>
      </c>
      <c r="L3274" s="16">
        <f>IF(COUNTIFS(Release_Calendar!$A$2:$A$755,"US_NFP",Release_Calendar!$B$2:$B$755,$A3274)&gt;0,1,0)</f>
        <v>0</v>
      </c>
      <c r="M3274" s="16" t="str">
        <f>IF($A3274&lt;Notes!$B$5,"",IF(COUNTIFS(Release_Calendar!$A$2:$A$755,"NZ_CPI",Release_Calendar!$B$2:$B$755,$A3274)&gt;0,1,0))</f>
        <v/>
      </c>
      <c r="N3274" s="16" t="str">
        <f>IF($A3274&lt;Notes!$B$5,"",IF(COUNTIFS(Release_Calendar!$A$2:$A$755,"NZ_GDP",Release_Calendar!$B$2:$B$755,$A3274)&gt;0,1,0))</f>
        <v/>
      </c>
      <c r="O3274" s="16" t="str">
        <f>IF($A3274&lt;Notes!$B$5,"",IF(COUNTIFS(Release_Calendar!$A$2:$A$755,"NZ_LABOUR",Release_Calendar!$B$2:$B$755,$A3274)&gt;0,1,0))</f>
        <v/>
      </c>
      <c r="P3274" s="16">
        <f t="shared" si="4"/>
        <v>0</v>
      </c>
    </row>
    <row r="3275" ht="15.75" customHeight="1">
      <c r="A3275" s="14">
        <v>41109.0</v>
      </c>
      <c r="B3275" s="15">
        <v>0.22</v>
      </c>
      <c r="C3275" s="15">
        <v>2.63</v>
      </c>
      <c r="D3275" s="15">
        <v>2.44</v>
      </c>
      <c r="E3275" s="15">
        <v>2.45</v>
      </c>
      <c r="F3275" s="15">
        <f t="shared" si="1"/>
        <v>2.41</v>
      </c>
      <c r="G3275" s="15">
        <f t="shared" si="2"/>
        <v>2.63</v>
      </c>
      <c r="H3275" s="16">
        <v>0.0</v>
      </c>
      <c r="I3275" s="15">
        <f t="shared" si="3"/>
        <v>2.41</v>
      </c>
      <c r="J3275" s="15">
        <v>15.45</v>
      </c>
      <c r="K3275" s="16">
        <f>IF(COUNTIFS(Release_Calendar!$A$2:$A$755,"US_CPI",Release_Calendar!$B$2:$B$755,$A3275)&gt;0,1,0)</f>
        <v>0</v>
      </c>
      <c r="L3275" s="16">
        <f>IF(COUNTIFS(Release_Calendar!$A$2:$A$755,"US_NFP",Release_Calendar!$B$2:$B$755,$A3275)&gt;0,1,0)</f>
        <v>0</v>
      </c>
      <c r="M3275" s="16" t="str">
        <f>IF($A3275&lt;Notes!$B$5,"",IF(COUNTIFS(Release_Calendar!$A$2:$A$755,"NZ_CPI",Release_Calendar!$B$2:$B$755,$A3275)&gt;0,1,0))</f>
        <v/>
      </c>
      <c r="N3275" s="16" t="str">
        <f>IF($A3275&lt;Notes!$B$5,"",IF(COUNTIFS(Release_Calendar!$A$2:$A$755,"NZ_GDP",Release_Calendar!$B$2:$B$755,$A3275)&gt;0,1,0))</f>
        <v/>
      </c>
      <c r="O3275" s="16" t="str">
        <f>IF($A3275&lt;Notes!$B$5,"",IF(COUNTIFS(Release_Calendar!$A$2:$A$755,"NZ_LABOUR",Release_Calendar!$B$2:$B$755,$A3275)&gt;0,1,0))</f>
        <v/>
      </c>
      <c r="P3275" s="16">
        <f t="shared" si="4"/>
        <v>0</v>
      </c>
    </row>
    <row r="3276" ht="15.75" customHeight="1">
      <c r="A3276" s="14">
        <v>41110.0</v>
      </c>
      <c r="B3276" s="15">
        <v>0.22</v>
      </c>
      <c r="C3276" s="15">
        <v>2.64</v>
      </c>
      <c r="D3276" s="15">
        <v>2.45</v>
      </c>
      <c r="E3276" s="15">
        <v>2.44</v>
      </c>
      <c r="F3276" s="15">
        <f t="shared" si="1"/>
        <v>2.42</v>
      </c>
      <c r="G3276" s="15">
        <f t="shared" si="2"/>
        <v>2.64</v>
      </c>
      <c r="H3276" s="16">
        <v>0.0</v>
      </c>
      <c r="I3276" s="15">
        <f t="shared" si="3"/>
        <v>2.42</v>
      </c>
      <c r="J3276" s="15">
        <v>16.27</v>
      </c>
      <c r="K3276" s="16">
        <f>IF(COUNTIFS(Release_Calendar!$A$2:$A$755,"US_CPI",Release_Calendar!$B$2:$B$755,$A3276)&gt;0,1,0)</f>
        <v>0</v>
      </c>
      <c r="L3276" s="16">
        <f>IF(COUNTIFS(Release_Calendar!$A$2:$A$755,"US_NFP",Release_Calendar!$B$2:$B$755,$A3276)&gt;0,1,0)</f>
        <v>0</v>
      </c>
      <c r="M3276" s="16" t="str">
        <f>IF($A3276&lt;Notes!$B$5,"",IF(COUNTIFS(Release_Calendar!$A$2:$A$755,"NZ_CPI",Release_Calendar!$B$2:$B$755,$A3276)&gt;0,1,0))</f>
        <v/>
      </c>
      <c r="N3276" s="16" t="str">
        <f>IF($A3276&lt;Notes!$B$5,"",IF(COUNTIFS(Release_Calendar!$A$2:$A$755,"NZ_GDP",Release_Calendar!$B$2:$B$755,$A3276)&gt;0,1,0))</f>
        <v/>
      </c>
      <c r="O3276" s="16" t="str">
        <f>IF($A3276&lt;Notes!$B$5,"",IF(COUNTIFS(Release_Calendar!$A$2:$A$755,"NZ_LABOUR",Release_Calendar!$B$2:$B$755,$A3276)&gt;0,1,0))</f>
        <v/>
      </c>
      <c r="P3276" s="16">
        <f t="shared" si="4"/>
        <v>0</v>
      </c>
    </row>
    <row r="3277" ht="15.75" customHeight="1">
      <c r="A3277" s="14">
        <v>41113.0</v>
      </c>
      <c r="B3277" s="15">
        <v>0.22</v>
      </c>
      <c r="C3277" s="15">
        <v>2.57</v>
      </c>
      <c r="D3277" s="15">
        <v>2.38</v>
      </c>
      <c r="E3277" s="15">
        <v>2.37</v>
      </c>
      <c r="F3277" s="15">
        <f t="shared" si="1"/>
        <v>2.35</v>
      </c>
      <c r="G3277" s="15">
        <f t="shared" si="2"/>
        <v>2.57</v>
      </c>
      <c r="H3277" s="16">
        <v>0.0</v>
      </c>
      <c r="I3277" s="15">
        <f t="shared" si="3"/>
        <v>2.35</v>
      </c>
      <c r="J3277" s="15">
        <v>18.62</v>
      </c>
      <c r="K3277" s="16">
        <f>IF(COUNTIFS(Release_Calendar!$A$2:$A$755,"US_CPI",Release_Calendar!$B$2:$B$755,$A3277)&gt;0,1,0)</f>
        <v>0</v>
      </c>
      <c r="L3277" s="16">
        <f>IF(COUNTIFS(Release_Calendar!$A$2:$A$755,"US_NFP",Release_Calendar!$B$2:$B$755,$A3277)&gt;0,1,0)</f>
        <v>0</v>
      </c>
      <c r="M3277" s="16" t="str">
        <f>IF($A3277&lt;Notes!$B$5,"",IF(COUNTIFS(Release_Calendar!$A$2:$A$755,"NZ_CPI",Release_Calendar!$B$2:$B$755,$A3277)&gt;0,1,0))</f>
        <v/>
      </c>
      <c r="N3277" s="16" t="str">
        <f>IF($A3277&lt;Notes!$B$5,"",IF(COUNTIFS(Release_Calendar!$A$2:$A$755,"NZ_GDP",Release_Calendar!$B$2:$B$755,$A3277)&gt;0,1,0))</f>
        <v/>
      </c>
      <c r="O3277" s="16" t="str">
        <f>IF($A3277&lt;Notes!$B$5,"",IF(COUNTIFS(Release_Calendar!$A$2:$A$755,"NZ_LABOUR",Release_Calendar!$B$2:$B$755,$A3277)&gt;0,1,0))</f>
        <v/>
      </c>
      <c r="P3277" s="16">
        <f t="shared" si="4"/>
        <v>0</v>
      </c>
    </row>
    <row r="3278" ht="15.75" customHeight="1">
      <c r="A3278" s="14">
        <v>41114.0</v>
      </c>
      <c r="B3278" s="15">
        <v>0.22</v>
      </c>
      <c r="C3278" s="15">
        <v>2.57</v>
      </c>
      <c r="D3278" s="15">
        <v>2.33</v>
      </c>
      <c r="E3278" s="15">
        <v>2.36</v>
      </c>
      <c r="F3278" s="15">
        <f t="shared" si="1"/>
        <v>2.35</v>
      </c>
      <c r="G3278" s="15">
        <f t="shared" si="2"/>
        <v>2.57</v>
      </c>
      <c r="H3278" s="16">
        <v>0.0</v>
      </c>
      <c r="I3278" s="15">
        <f t="shared" si="3"/>
        <v>2.35</v>
      </c>
      <c r="J3278" s="15">
        <v>20.47</v>
      </c>
      <c r="K3278" s="16">
        <f>IF(COUNTIFS(Release_Calendar!$A$2:$A$755,"US_CPI",Release_Calendar!$B$2:$B$755,$A3278)&gt;0,1,0)</f>
        <v>0</v>
      </c>
      <c r="L3278" s="16">
        <f>IF(COUNTIFS(Release_Calendar!$A$2:$A$755,"US_NFP",Release_Calendar!$B$2:$B$755,$A3278)&gt;0,1,0)</f>
        <v>0</v>
      </c>
      <c r="M3278" s="16" t="str">
        <f>IF($A3278&lt;Notes!$B$5,"",IF(COUNTIFS(Release_Calendar!$A$2:$A$755,"NZ_CPI",Release_Calendar!$B$2:$B$755,$A3278)&gt;0,1,0))</f>
        <v/>
      </c>
      <c r="N3278" s="16" t="str">
        <f>IF($A3278&lt;Notes!$B$5,"",IF(COUNTIFS(Release_Calendar!$A$2:$A$755,"NZ_GDP",Release_Calendar!$B$2:$B$755,$A3278)&gt;0,1,0))</f>
        <v/>
      </c>
      <c r="O3278" s="16" t="str">
        <f>IF($A3278&lt;Notes!$B$5,"",IF(COUNTIFS(Release_Calendar!$A$2:$A$755,"NZ_LABOUR",Release_Calendar!$B$2:$B$755,$A3278)&gt;0,1,0))</f>
        <v/>
      </c>
      <c r="P3278" s="16">
        <f t="shared" si="4"/>
        <v>0</v>
      </c>
    </row>
    <row r="3279" ht="15.75" customHeight="1">
      <c r="A3279" s="14">
        <v>41115.0</v>
      </c>
      <c r="B3279" s="15">
        <v>0.22</v>
      </c>
      <c r="C3279" s="15">
        <v>2.55</v>
      </c>
      <c r="D3279" s="15">
        <v>2.34</v>
      </c>
      <c r="E3279" s="15">
        <v>2.34</v>
      </c>
      <c r="F3279" s="15">
        <f t="shared" si="1"/>
        <v>2.33</v>
      </c>
      <c r="G3279" s="15">
        <f t="shared" si="2"/>
        <v>2.55</v>
      </c>
      <c r="H3279" s="16">
        <v>0.0</v>
      </c>
      <c r="I3279" s="15">
        <f t="shared" si="3"/>
        <v>2.33</v>
      </c>
      <c r="J3279" s="15">
        <v>19.34</v>
      </c>
      <c r="K3279" s="16">
        <f>IF(COUNTIFS(Release_Calendar!$A$2:$A$755,"US_CPI",Release_Calendar!$B$2:$B$755,$A3279)&gt;0,1,0)</f>
        <v>0</v>
      </c>
      <c r="L3279" s="16">
        <f>IF(COUNTIFS(Release_Calendar!$A$2:$A$755,"US_NFP",Release_Calendar!$B$2:$B$755,$A3279)&gt;0,1,0)</f>
        <v>0</v>
      </c>
      <c r="M3279" s="16" t="str">
        <f>IF($A3279&lt;Notes!$B$5,"",IF(COUNTIFS(Release_Calendar!$A$2:$A$755,"NZ_CPI",Release_Calendar!$B$2:$B$755,$A3279)&gt;0,1,0))</f>
        <v/>
      </c>
      <c r="N3279" s="16" t="str">
        <f>IF($A3279&lt;Notes!$B$5,"",IF(COUNTIFS(Release_Calendar!$A$2:$A$755,"NZ_GDP",Release_Calendar!$B$2:$B$755,$A3279)&gt;0,1,0))</f>
        <v/>
      </c>
      <c r="O3279" s="16" t="str">
        <f>IF($A3279&lt;Notes!$B$5,"",IF(COUNTIFS(Release_Calendar!$A$2:$A$755,"NZ_LABOUR",Release_Calendar!$B$2:$B$755,$A3279)&gt;0,1,0))</f>
        <v/>
      </c>
      <c r="P3279" s="16">
        <f t="shared" si="4"/>
        <v>0</v>
      </c>
    </row>
    <row r="3280" ht="15.75" customHeight="1">
      <c r="A3280" s="14">
        <v>41116.0</v>
      </c>
      <c r="B3280" s="15">
        <v>0.23</v>
      </c>
      <c r="C3280" s="15">
        <v>2.58</v>
      </c>
      <c r="D3280" s="15">
        <v>2.35</v>
      </c>
      <c r="E3280" s="15">
        <v>2.38</v>
      </c>
      <c r="F3280" s="15">
        <f t="shared" si="1"/>
        <v>2.35</v>
      </c>
      <c r="G3280" s="15">
        <f t="shared" si="2"/>
        <v>2.58</v>
      </c>
      <c r="H3280" s="16">
        <v>0.0</v>
      </c>
      <c r="I3280" s="15">
        <f t="shared" si="3"/>
        <v>2.35</v>
      </c>
      <c r="J3280" s="15">
        <v>17.53</v>
      </c>
      <c r="K3280" s="16">
        <f>IF(COUNTIFS(Release_Calendar!$A$2:$A$755,"US_CPI",Release_Calendar!$B$2:$B$755,$A3280)&gt;0,1,0)</f>
        <v>0</v>
      </c>
      <c r="L3280" s="16">
        <f>IF(COUNTIFS(Release_Calendar!$A$2:$A$755,"US_NFP",Release_Calendar!$B$2:$B$755,$A3280)&gt;0,1,0)</f>
        <v>0</v>
      </c>
      <c r="M3280" s="16" t="str">
        <f>IF($A3280&lt;Notes!$B$5,"",IF(COUNTIFS(Release_Calendar!$A$2:$A$755,"NZ_CPI",Release_Calendar!$B$2:$B$755,$A3280)&gt;0,1,0))</f>
        <v/>
      </c>
      <c r="N3280" s="16" t="str">
        <f>IF($A3280&lt;Notes!$B$5,"",IF(COUNTIFS(Release_Calendar!$A$2:$A$755,"NZ_GDP",Release_Calendar!$B$2:$B$755,$A3280)&gt;0,1,0))</f>
        <v/>
      </c>
      <c r="O3280" s="16" t="str">
        <f>IF($A3280&lt;Notes!$B$5,"",IF(COUNTIFS(Release_Calendar!$A$2:$A$755,"NZ_LABOUR",Release_Calendar!$B$2:$B$755,$A3280)&gt;0,1,0))</f>
        <v/>
      </c>
      <c r="P3280" s="16">
        <f t="shared" si="4"/>
        <v>0</v>
      </c>
    </row>
    <row r="3281" ht="15.75" customHeight="1">
      <c r="A3281" s="14">
        <v>41117.0</v>
      </c>
      <c r="B3281" s="15">
        <v>0.25</v>
      </c>
      <c r="C3281" s="15">
        <v>2.7</v>
      </c>
      <c r="D3281" s="15">
        <v>2.45</v>
      </c>
      <c r="E3281" s="15">
        <v>2.49</v>
      </c>
      <c r="F3281" s="15">
        <f t="shared" si="1"/>
        <v>2.45</v>
      </c>
      <c r="G3281" s="15">
        <f t="shared" si="2"/>
        <v>2.7</v>
      </c>
      <c r="H3281" s="16">
        <v>0.0</v>
      </c>
      <c r="I3281" s="15">
        <f t="shared" si="3"/>
        <v>2.45</v>
      </c>
      <c r="J3281" s="15">
        <v>16.7</v>
      </c>
      <c r="K3281" s="16">
        <f>IF(COUNTIFS(Release_Calendar!$A$2:$A$755,"US_CPI",Release_Calendar!$B$2:$B$755,$A3281)&gt;0,1,0)</f>
        <v>0</v>
      </c>
      <c r="L3281" s="16">
        <f>IF(COUNTIFS(Release_Calendar!$A$2:$A$755,"US_NFP",Release_Calendar!$B$2:$B$755,$A3281)&gt;0,1,0)</f>
        <v>0</v>
      </c>
      <c r="M3281" s="16" t="str">
        <f>IF($A3281&lt;Notes!$B$5,"",IF(COUNTIFS(Release_Calendar!$A$2:$A$755,"NZ_CPI",Release_Calendar!$B$2:$B$755,$A3281)&gt;0,1,0))</f>
        <v/>
      </c>
      <c r="N3281" s="16" t="str">
        <f>IF($A3281&lt;Notes!$B$5,"",IF(COUNTIFS(Release_Calendar!$A$2:$A$755,"NZ_GDP",Release_Calendar!$B$2:$B$755,$A3281)&gt;0,1,0))</f>
        <v/>
      </c>
      <c r="O3281" s="16" t="str">
        <f>IF($A3281&lt;Notes!$B$5,"",IF(COUNTIFS(Release_Calendar!$A$2:$A$755,"NZ_LABOUR",Release_Calendar!$B$2:$B$755,$A3281)&gt;0,1,0))</f>
        <v/>
      </c>
      <c r="P3281" s="16">
        <f t="shared" si="4"/>
        <v>0</v>
      </c>
    </row>
    <row r="3282" ht="15.75" customHeight="1">
      <c r="A3282" s="14">
        <v>41120.0</v>
      </c>
      <c r="B3282" s="15">
        <v>0.23</v>
      </c>
      <c r="C3282" s="15">
        <v>2.78</v>
      </c>
      <c r="D3282" s="15">
        <v>2.59</v>
      </c>
      <c r="E3282" s="15">
        <v>2.58</v>
      </c>
      <c r="F3282" s="15">
        <f t="shared" si="1"/>
        <v>2.55</v>
      </c>
      <c r="G3282" s="15">
        <f t="shared" si="2"/>
        <v>2.78</v>
      </c>
      <c r="H3282" s="16">
        <v>0.0</v>
      </c>
      <c r="I3282" s="15">
        <f t="shared" si="3"/>
        <v>2.55</v>
      </c>
      <c r="J3282" s="15">
        <v>18.03</v>
      </c>
      <c r="K3282" s="16">
        <f>IF(COUNTIFS(Release_Calendar!$A$2:$A$755,"US_CPI",Release_Calendar!$B$2:$B$755,$A3282)&gt;0,1,0)</f>
        <v>0</v>
      </c>
      <c r="L3282" s="16">
        <f>IF(COUNTIFS(Release_Calendar!$A$2:$A$755,"US_NFP",Release_Calendar!$B$2:$B$755,$A3282)&gt;0,1,0)</f>
        <v>0</v>
      </c>
      <c r="M3282" s="16" t="str">
        <f>IF($A3282&lt;Notes!$B$5,"",IF(COUNTIFS(Release_Calendar!$A$2:$A$755,"NZ_CPI",Release_Calendar!$B$2:$B$755,$A3282)&gt;0,1,0))</f>
        <v/>
      </c>
      <c r="N3282" s="16" t="str">
        <f>IF($A3282&lt;Notes!$B$5,"",IF(COUNTIFS(Release_Calendar!$A$2:$A$755,"NZ_GDP",Release_Calendar!$B$2:$B$755,$A3282)&gt;0,1,0))</f>
        <v/>
      </c>
      <c r="O3282" s="16" t="str">
        <f>IF($A3282&lt;Notes!$B$5,"",IF(COUNTIFS(Release_Calendar!$A$2:$A$755,"NZ_LABOUR",Release_Calendar!$B$2:$B$755,$A3282)&gt;0,1,0))</f>
        <v/>
      </c>
      <c r="P3282" s="16">
        <f t="shared" si="4"/>
        <v>0</v>
      </c>
    </row>
    <row r="3283" ht="15.75" customHeight="1">
      <c r="A3283" s="14">
        <v>41121.0</v>
      </c>
      <c r="B3283" s="15">
        <v>0.23</v>
      </c>
      <c r="C3283" s="15">
        <v>2.78</v>
      </c>
      <c r="D3283" s="15">
        <v>2.56</v>
      </c>
      <c r="E3283" s="15">
        <v>2.58</v>
      </c>
      <c r="F3283" s="15">
        <f t="shared" si="1"/>
        <v>2.55</v>
      </c>
      <c r="G3283" s="15">
        <f t="shared" si="2"/>
        <v>2.78</v>
      </c>
      <c r="H3283" s="16">
        <v>0.0</v>
      </c>
      <c r="I3283" s="15">
        <f t="shared" si="3"/>
        <v>2.55</v>
      </c>
      <c r="J3283" s="15">
        <v>18.93</v>
      </c>
      <c r="K3283" s="16">
        <f>IF(COUNTIFS(Release_Calendar!$A$2:$A$755,"US_CPI",Release_Calendar!$B$2:$B$755,$A3283)&gt;0,1,0)</f>
        <v>0</v>
      </c>
      <c r="L3283" s="16">
        <f>IF(COUNTIFS(Release_Calendar!$A$2:$A$755,"US_NFP",Release_Calendar!$B$2:$B$755,$A3283)&gt;0,1,0)</f>
        <v>0</v>
      </c>
      <c r="M3283" s="16" t="str">
        <f>IF($A3283&lt;Notes!$B$5,"",IF(COUNTIFS(Release_Calendar!$A$2:$A$755,"NZ_CPI",Release_Calendar!$B$2:$B$755,$A3283)&gt;0,1,0))</f>
        <v/>
      </c>
      <c r="N3283" s="16" t="str">
        <f>IF($A3283&lt;Notes!$B$5,"",IF(COUNTIFS(Release_Calendar!$A$2:$A$755,"NZ_GDP",Release_Calendar!$B$2:$B$755,$A3283)&gt;0,1,0))</f>
        <v/>
      </c>
      <c r="O3283" s="16" t="str">
        <f>IF($A3283&lt;Notes!$B$5,"",IF(COUNTIFS(Release_Calendar!$A$2:$A$755,"NZ_LABOUR",Release_Calendar!$B$2:$B$755,$A3283)&gt;0,1,0))</f>
        <v/>
      </c>
      <c r="P3283" s="16">
        <f t="shared" si="4"/>
        <v>0</v>
      </c>
    </row>
    <row r="3284" ht="15.75" customHeight="1">
      <c r="A3284" s="14">
        <v>41122.0</v>
      </c>
      <c r="B3284" s="15">
        <v>0.24</v>
      </c>
      <c r="C3284" s="15">
        <v>2.79</v>
      </c>
      <c r="D3284" s="15">
        <v>2.55</v>
      </c>
      <c r="E3284" s="15">
        <v>2.6</v>
      </c>
      <c r="F3284" s="15">
        <f t="shared" si="1"/>
        <v>2.55</v>
      </c>
      <c r="G3284" s="15">
        <f t="shared" si="2"/>
        <v>2.79</v>
      </c>
      <c r="H3284" s="16">
        <v>0.0</v>
      </c>
      <c r="I3284" s="15">
        <f t="shared" si="3"/>
        <v>2.55</v>
      </c>
      <c r="J3284" s="15">
        <v>18.96</v>
      </c>
      <c r="K3284" s="16">
        <f>IF(COUNTIFS(Release_Calendar!$A$2:$A$755,"US_CPI",Release_Calendar!$B$2:$B$755,$A3284)&gt;0,1,0)</f>
        <v>0</v>
      </c>
      <c r="L3284" s="16">
        <f>IF(COUNTIFS(Release_Calendar!$A$2:$A$755,"US_NFP",Release_Calendar!$B$2:$B$755,$A3284)&gt;0,1,0)</f>
        <v>0</v>
      </c>
      <c r="M3284" s="16" t="str">
        <f>IF($A3284&lt;Notes!$B$5,"",IF(COUNTIFS(Release_Calendar!$A$2:$A$755,"NZ_CPI",Release_Calendar!$B$2:$B$755,$A3284)&gt;0,1,0))</f>
        <v/>
      </c>
      <c r="N3284" s="16" t="str">
        <f>IF($A3284&lt;Notes!$B$5,"",IF(COUNTIFS(Release_Calendar!$A$2:$A$755,"NZ_GDP",Release_Calendar!$B$2:$B$755,$A3284)&gt;0,1,0))</f>
        <v/>
      </c>
      <c r="O3284" s="16" t="str">
        <f>IF($A3284&lt;Notes!$B$5,"",IF(COUNTIFS(Release_Calendar!$A$2:$A$755,"NZ_LABOUR",Release_Calendar!$B$2:$B$755,$A3284)&gt;0,1,0))</f>
        <v/>
      </c>
      <c r="P3284" s="16">
        <f t="shared" si="4"/>
        <v>0</v>
      </c>
    </row>
    <row r="3285" ht="15.75" customHeight="1">
      <c r="A3285" s="14">
        <v>41123.0</v>
      </c>
      <c r="B3285" s="15">
        <v>0.24</v>
      </c>
      <c r="C3285" s="15">
        <v>2.82</v>
      </c>
      <c r="D3285" s="15">
        <v>2.62</v>
      </c>
      <c r="E3285" s="15">
        <v>2.66</v>
      </c>
      <c r="F3285" s="15">
        <f t="shared" si="1"/>
        <v>2.58</v>
      </c>
      <c r="G3285" s="15">
        <f t="shared" si="2"/>
        <v>2.82</v>
      </c>
      <c r="H3285" s="16">
        <v>0.0</v>
      </c>
      <c r="I3285" s="15">
        <f t="shared" si="3"/>
        <v>2.58</v>
      </c>
      <c r="J3285" s="15">
        <v>17.57</v>
      </c>
      <c r="K3285" s="16">
        <f>IF(COUNTIFS(Release_Calendar!$A$2:$A$755,"US_CPI",Release_Calendar!$B$2:$B$755,$A3285)&gt;0,1,0)</f>
        <v>0</v>
      </c>
      <c r="L3285" s="16">
        <f>IF(COUNTIFS(Release_Calendar!$A$2:$A$755,"US_NFP",Release_Calendar!$B$2:$B$755,$A3285)&gt;0,1,0)</f>
        <v>0</v>
      </c>
      <c r="M3285" s="16" t="str">
        <f>IF($A3285&lt;Notes!$B$5,"",IF(COUNTIFS(Release_Calendar!$A$2:$A$755,"NZ_CPI",Release_Calendar!$B$2:$B$755,$A3285)&gt;0,1,0))</f>
        <v/>
      </c>
      <c r="N3285" s="16" t="str">
        <f>IF($A3285&lt;Notes!$B$5,"",IF(COUNTIFS(Release_Calendar!$A$2:$A$755,"NZ_GDP",Release_Calendar!$B$2:$B$755,$A3285)&gt;0,1,0))</f>
        <v/>
      </c>
      <c r="O3285" s="16" t="str">
        <f>IF($A3285&lt;Notes!$B$5,"",IF(COUNTIFS(Release_Calendar!$A$2:$A$755,"NZ_LABOUR",Release_Calendar!$B$2:$B$755,$A3285)&gt;0,1,0))</f>
        <v/>
      </c>
      <c r="P3285" s="16">
        <f t="shared" si="4"/>
        <v>0</v>
      </c>
    </row>
    <row r="3286" ht="15.75" customHeight="1">
      <c r="A3286" s="14">
        <v>41124.0</v>
      </c>
      <c r="B3286" s="15">
        <v>0.24</v>
      </c>
      <c r="C3286" s="15">
        <v>2.78</v>
      </c>
      <c r="D3286" s="15">
        <v>2.56</v>
      </c>
      <c r="E3286" s="15">
        <v>2.61</v>
      </c>
      <c r="F3286" s="15">
        <f t="shared" si="1"/>
        <v>2.54</v>
      </c>
      <c r="G3286" s="15">
        <f t="shared" si="2"/>
        <v>2.78</v>
      </c>
      <c r="H3286" s="16">
        <v>0.0</v>
      </c>
      <c r="I3286" s="15">
        <f t="shared" si="3"/>
        <v>2.54</v>
      </c>
      <c r="J3286" s="15">
        <v>15.64</v>
      </c>
      <c r="K3286" s="16">
        <f>IF(COUNTIFS(Release_Calendar!$A$2:$A$755,"US_CPI",Release_Calendar!$B$2:$B$755,$A3286)&gt;0,1,0)</f>
        <v>0</v>
      </c>
      <c r="L3286" s="16">
        <f>IF(COUNTIFS(Release_Calendar!$A$2:$A$755,"US_NFP",Release_Calendar!$B$2:$B$755,$A3286)&gt;0,1,0)</f>
        <v>1</v>
      </c>
      <c r="M3286" s="16" t="str">
        <f>IF($A3286&lt;Notes!$B$5,"",IF(COUNTIFS(Release_Calendar!$A$2:$A$755,"NZ_CPI",Release_Calendar!$B$2:$B$755,$A3286)&gt;0,1,0))</f>
        <v/>
      </c>
      <c r="N3286" s="16" t="str">
        <f>IF($A3286&lt;Notes!$B$5,"",IF(COUNTIFS(Release_Calendar!$A$2:$A$755,"NZ_GDP",Release_Calendar!$B$2:$B$755,$A3286)&gt;0,1,0))</f>
        <v/>
      </c>
      <c r="O3286" s="16" t="str">
        <f>IF($A3286&lt;Notes!$B$5,"",IF(COUNTIFS(Release_Calendar!$A$2:$A$755,"NZ_LABOUR",Release_Calendar!$B$2:$B$755,$A3286)&gt;0,1,0))</f>
        <v/>
      </c>
      <c r="P3286" s="16">
        <f t="shared" si="4"/>
        <v>1</v>
      </c>
    </row>
    <row r="3287" ht="15.75" customHeight="1">
      <c r="A3287" s="14">
        <v>41127.0</v>
      </c>
      <c r="B3287" s="15">
        <v>0.24</v>
      </c>
      <c r="C3287" s="15">
        <v>2.84</v>
      </c>
      <c r="D3287" s="15">
        <v>2.71</v>
      </c>
      <c r="E3287" s="15">
        <v>2.7</v>
      </c>
      <c r="F3287" s="15">
        <f t="shared" si="1"/>
        <v>2.6</v>
      </c>
      <c r="G3287" s="15">
        <f t="shared" si="2"/>
        <v>2.84</v>
      </c>
      <c r="H3287" s="16">
        <v>0.0</v>
      </c>
      <c r="I3287" s="15">
        <f t="shared" si="3"/>
        <v>2.6</v>
      </c>
      <c r="J3287" s="15">
        <v>15.95</v>
      </c>
      <c r="K3287" s="16">
        <f>IF(COUNTIFS(Release_Calendar!$A$2:$A$755,"US_CPI",Release_Calendar!$B$2:$B$755,$A3287)&gt;0,1,0)</f>
        <v>0</v>
      </c>
      <c r="L3287" s="16">
        <f>IF(COUNTIFS(Release_Calendar!$A$2:$A$755,"US_NFP",Release_Calendar!$B$2:$B$755,$A3287)&gt;0,1,0)</f>
        <v>0</v>
      </c>
      <c r="M3287" s="16" t="str">
        <f>IF($A3287&lt;Notes!$B$5,"",IF(COUNTIFS(Release_Calendar!$A$2:$A$755,"NZ_CPI",Release_Calendar!$B$2:$B$755,$A3287)&gt;0,1,0))</f>
        <v/>
      </c>
      <c r="N3287" s="16" t="str">
        <f>IF($A3287&lt;Notes!$B$5,"",IF(COUNTIFS(Release_Calendar!$A$2:$A$755,"NZ_GDP",Release_Calendar!$B$2:$B$755,$A3287)&gt;0,1,0))</f>
        <v/>
      </c>
      <c r="O3287" s="16" t="str">
        <f>IF($A3287&lt;Notes!$B$5,"",IF(COUNTIFS(Release_Calendar!$A$2:$A$755,"NZ_LABOUR",Release_Calendar!$B$2:$B$755,$A3287)&gt;0,1,0))</f>
        <v/>
      </c>
      <c r="P3287" s="16">
        <f t="shared" si="4"/>
        <v>0</v>
      </c>
    </row>
    <row r="3288" ht="15.75" customHeight="1">
      <c r="A3288" s="14">
        <v>41128.0</v>
      </c>
      <c r="B3288" s="15">
        <v>0.27</v>
      </c>
      <c r="C3288" s="15">
        <v>2.87</v>
      </c>
      <c r="D3288" s="15">
        <v>2.7</v>
      </c>
      <c r="E3288" s="15">
        <v>2.7</v>
      </c>
      <c r="F3288" s="15">
        <f t="shared" si="1"/>
        <v>2.6</v>
      </c>
      <c r="G3288" s="15">
        <f t="shared" si="2"/>
        <v>2.87</v>
      </c>
      <c r="H3288" s="16">
        <v>0.0</v>
      </c>
      <c r="I3288" s="15">
        <f t="shared" si="3"/>
        <v>2.6</v>
      </c>
      <c r="J3288" s="15">
        <v>15.99</v>
      </c>
      <c r="K3288" s="16">
        <f>IF(COUNTIFS(Release_Calendar!$A$2:$A$755,"US_CPI",Release_Calendar!$B$2:$B$755,$A3288)&gt;0,1,0)</f>
        <v>0</v>
      </c>
      <c r="L3288" s="16">
        <f>IF(COUNTIFS(Release_Calendar!$A$2:$A$755,"US_NFP",Release_Calendar!$B$2:$B$755,$A3288)&gt;0,1,0)</f>
        <v>0</v>
      </c>
      <c r="M3288" s="16" t="str">
        <f>IF($A3288&lt;Notes!$B$5,"",IF(COUNTIFS(Release_Calendar!$A$2:$A$755,"NZ_CPI",Release_Calendar!$B$2:$B$755,$A3288)&gt;0,1,0))</f>
        <v/>
      </c>
      <c r="N3288" s="16" t="str">
        <f>IF($A3288&lt;Notes!$B$5,"",IF(COUNTIFS(Release_Calendar!$A$2:$A$755,"NZ_GDP",Release_Calendar!$B$2:$B$755,$A3288)&gt;0,1,0))</f>
        <v/>
      </c>
      <c r="O3288" s="16" t="str">
        <f>IF($A3288&lt;Notes!$B$5,"",IF(COUNTIFS(Release_Calendar!$A$2:$A$755,"NZ_LABOUR",Release_Calendar!$B$2:$B$755,$A3288)&gt;0,1,0))</f>
        <v/>
      </c>
      <c r="P3288" s="16">
        <f t="shared" si="4"/>
        <v>0</v>
      </c>
    </row>
    <row r="3289" ht="15.75" customHeight="1">
      <c r="A3289" s="14">
        <v>41129.0</v>
      </c>
      <c r="B3289" s="15">
        <v>0.29</v>
      </c>
      <c r="C3289" s="15">
        <v>2.84</v>
      </c>
      <c r="D3289" s="15">
        <v>2.74</v>
      </c>
      <c r="E3289" s="15">
        <v>2.72</v>
      </c>
      <c r="F3289" s="15">
        <f t="shared" si="1"/>
        <v>2.55</v>
      </c>
      <c r="G3289" s="15">
        <f t="shared" si="2"/>
        <v>2.84</v>
      </c>
      <c r="H3289" s="16">
        <v>0.0</v>
      </c>
      <c r="I3289" s="15">
        <f t="shared" si="3"/>
        <v>2.55</v>
      </c>
      <c r="J3289" s="15">
        <v>15.32</v>
      </c>
      <c r="K3289" s="16">
        <f>IF(COUNTIFS(Release_Calendar!$A$2:$A$755,"US_CPI",Release_Calendar!$B$2:$B$755,$A3289)&gt;0,1,0)</f>
        <v>0</v>
      </c>
      <c r="L3289" s="16">
        <f>IF(COUNTIFS(Release_Calendar!$A$2:$A$755,"US_NFP",Release_Calendar!$B$2:$B$755,$A3289)&gt;0,1,0)</f>
        <v>0</v>
      </c>
      <c r="M3289" s="16" t="str">
        <f>IF($A3289&lt;Notes!$B$5,"",IF(COUNTIFS(Release_Calendar!$A$2:$A$755,"NZ_CPI",Release_Calendar!$B$2:$B$755,$A3289)&gt;0,1,0))</f>
        <v/>
      </c>
      <c r="N3289" s="16" t="str">
        <f>IF($A3289&lt;Notes!$B$5,"",IF(COUNTIFS(Release_Calendar!$A$2:$A$755,"NZ_GDP",Release_Calendar!$B$2:$B$755,$A3289)&gt;0,1,0))</f>
        <v/>
      </c>
      <c r="O3289" s="16" t="str">
        <f>IF($A3289&lt;Notes!$B$5,"",IF(COUNTIFS(Release_Calendar!$A$2:$A$755,"NZ_LABOUR",Release_Calendar!$B$2:$B$755,$A3289)&gt;0,1,0))</f>
        <v/>
      </c>
      <c r="P3289" s="16">
        <f t="shared" si="4"/>
        <v>0</v>
      </c>
    </row>
    <row r="3290" ht="15.75" customHeight="1">
      <c r="A3290" s="14">
        <v>41130.0</v>
      </c>
      <c r="B3290" s="15">
        <v>0.29</v>
      </c>
      <c r="C3290" s="15">
        <v>2.77</v>
      </c>
      <c r="D3290" s="15">
        <v>2.68</v>
      </c>
      <c r="E3290" s="15">
        <v>2.67</v>
      </c>
      <c r="F3290" s="15">
        <f t="shared" si="1"/>
        <v>2.48</v>
      </c>
      <c r="G3290" s="15">
        <f t="shared" si="2"/>
        <v>2.77</v>
      </c>
      <c r="H3290" s="16">
        <v>0.0</v>
      </c>
      <c r="I3290" s="15">
        <f t="shared" si="3"/>
        <v>2.48</v>
      </c>
      <c r="J3290" s="15">
        <v>15.28</v>
      </c>
      <c r="K3290" s="16">
        <f>IF(COUNTIFS(Release_Calendar!$A$2:$A$755,"US_CPI",Release_Calendar!$B$2:$B$755,$A3290)&gt;0,1,0)</f>
        <v>0</v>
      </c>
      <c r="L3290" s="16">
        <f>IF(COUNTIFS(Release_Calendar!$A$2:$A$755,"US_NFP",Release_Calendar!$B$2:$B$755,$A3290)&gt;0,1,0)</f>
        <v>0</v>
      </c>
      <c r="M3290" s="16" t="str">
        <f>IF($A3290&lt;Notes!$B$5,"",IF(COUNTIFS(Release_Calendar!$A$2:$A$755,"NZ_CPI",Release_Calendar!$B$2:$B$755,$A3290)&gt;0,1,0))</f>
        <v/>
      </c>
      <c r="N3290" s="16" t="str">
        <f>IF($A3290&lt;Notes!$B$5,"",IF(COUNTIFS(Release_Calendar!$A$2:$A$755,"NZ_GDP",Release_Calendar!$B$2:$B$755,$A3290)&gt;0,1,0))</f>
        <v/>
      </c>
      <c r="O3290" s="16" t="str">
        <f>IF($A3290&lt;Notes!$B$5,"",IF(COUNTIFS(Release_Calendar!$A$2:$A$755,"NZ_LABOUR",Release_Calendar!$B$2:$B$755,$A3290)&gt;0,1,0))</f>
        <v/>
      </c>
      <c r="P3290" s="16">
        <f t="shared" si="4"/>
        <v>0</v>
      </c>
    </row>
    <row r="3291" ht="15.75" customHeight="1">
      <c r="A3291" s="14">
        <v>41131.0</v>
      </c>
      <c r="B3291" s="15">
        <v>0.27</v>
      </c>
      <c r="C3291" s="15">
        <v>2.68</v>
      </c>
      <c r="D3291" s="15">
        <v>2.67</v>
      </c>
      <c r="E3291" s="15">
        <v>2.59</v>
      </c>
      <c r="F3291" s="15">
        <f t="shared" si="1"/>
        <v>2.41</v>
      </c>
      <c r="G3291" s="15">
        <f t="shared" si="2"/>
        <v>2.68</v>
      </c>
      <c r="H3291" s="16">
        <v>0.0</v>
      </c>
      <c r="I3291" s="15">
        <f t="shared" si="3"/>
        <v>2.41</v>
      </c>
      <c r="J3291" s="15">
        <v>14.74</v>
      </c>
      <c r="K3291" s="16">
        <f>IF(COUNTIFS(Release_Calendar!$A$2:$A$755,"US_CPI",Release_Calendar!$B$2:$B$755,$A3291)&gt;0,1,0)</f>
        <v>0</v>
      </c>
      <c r="L3291" s="16">
        <f>IF(COUNTIFS(Release_Calendar!$A$2:$A$755,"US_NFP",Release_Calendar!$B$2:$B$755,$A3291)&gt;0,1,0)</f>
        <v>0</v>
      </c>
      <c r="M3291" s="16" t="str">
        <f>IF($A3291&lt;Notes!$B$5,"",IF(COUNTIFS(Release_Calendar!$A$2:$A$755,"NZ_CPI",Release_Calendar!$B$2:$B$755,$A3291)&gt;0,1,0))</f>
        <v/>
      </c>
      <c r="N3291" s="16" t="str">
        <f>IF($A3291&lt;Notes!$B$5,"",IF(COUNTIFS(Release_Calendar!$A$2:$A$755,"NZ_GDP",Release_Calendar!$B$2:$B$755,$A3291)&gt;0,1,0))</f>
        <v/>
      </c>
      <c r="O3291" s="16" t="str">
        <f>IF($A3291&lt;Notes!$B$5,"",IF(COUNTIFS(Release_Calendar!$A$2:$A$755,"NZ_LABOUR",Release_Calendar!$B$2:$B$755,$A3291)&gt;0,1,0))</f>
        <v/>
      </c>
      <c r="P3291" s="16">
        <f t="shared" si="4"/>
        <v>0</v>
      </c>
    </row>
    <row r="3292" ht="15.75" customHeight="1">
      <c r="A3292" s="14">
        <v>41134.0</v>
      </c>
      <c r="B3292" s="15">
        <v>0.27</v>
      </c>
      <c r="C3292" s="15">
        <v>2.69</v>
      </c>
      <c r="D3292" s="15">
        <v>2.58</v>
      </c>
      <c r="E3292" s="15">
        <v>2.59</v>
      </c>
      <c r="F3292" s="15">
        <f t="shared" si="1"/>
        <v>2.42</v>
      </c>
      <c r="G3292" s="15">
        <f t="shared" si="2"/>
        <v>2.69</v>
      </c>
      <c r="H3292" s="16">
        <v>0.0</v>
      </c>
      <c r="I3292" s="15">
        <f t="shared" si="3"/>
        <v>2.42</v>
      </c>
      <c r="J3292" s="15">
        <v>13.7</v>
      </c>
      <c r="K3292" s="16">
        <f>IF(COUNTIFS(Release_Calendar!$A$2:$A$755,"US_CPI",Release_Calendar!$B$2:$B$755,$A3292)&gt;0,1,0)</f>
        <v>0</v>
      </c>
      <c r="L3292" s="16">
        <f>IF(COUNTIFS(Release_Calendar!$A$2:$A$755,"US_NFP",Release_Calendar!$B$2:$B$755,$A3292)&gt;0,1,0)</f>
        <v>0</v>
      </c>
      <c r="M3292" s="16" t="str">
        <f>IF($A3292&lt;Notes!$B$5,"",IF(COUNTIFS(Release_Calendar!$A$2:$A$755,"NZ_CPI",Release_Calendar!$B$2:$B$755,$A3292)&gt;0,1,0))</f>
        <v/>
      </c>
      <c r="N3292" s="16" t="str">
        <f>IF($A3292&lt;Notes!$B$5,"",IF(COUNTIFS(Release_Calendar!$A$2:$A$755,"NZ_GDP",Release_Calendar!$B$2:$B$755,$A3292)&gt;0,1,0))</f>
        <v/>
      </c>
      <c r="O3292" s="16" t="str">
        <f>IF($A3292&lt;Notes!$B$5,"",IF(COUNTIFS(Release_Calendar!$A$2:$A$755,"NZ_LABOUR",Release_Calendar!$B$2:$B$755,$A3292)&gt;0,1,0))</f>
        <v/>
      </c>
      <c r="P3292" s="16">
        <f t="shared" si="4"/>
        <v>0</v>
      </c>
    </row>
    <row r="3293" ht="15.75" customHeight="1">
      <c r="A3293" s="14">
        <v>41135.0</v>
      </c>
      <c r="B3293" s="15">
        <v>0.27</v>
      </c>
      <c r="C3293" s="15">
        <v>2.72</v>
      </c>
      <c r="D3293" s="15">
        <v>2.6</v>
      </c>
      <c r="E3293" s="15">
        <v>2.6</v>
      </c>
      <c r="F3293" s="15">
        <f t="shared" si="1"/>
        <v>2.45</v>
      </c>
      <c r="G3293" s="15">
        <f t="shared" si="2"/>
        <v>2.72</v>
      </c>
      <c r="H3293" s="16">
        <v>0.0</v>
      </c>
      <c r="I3293" s="15">
        <f t="shared" si="3"/>
        <v>2.45</v>
      </c>
      <c r="J3293" s="15">
        <v>14.85</v>
      </c>
      <c r="K3293" s="16">
        <f>IF(COUNTIFS(Release_Calendar!$A$2:$A$755,"US_CPI",Release_Calendar!$B$2:$B$755,$A3293)&gt;0,1,0)</f>
        <v>0</v>
      </c>
      <c r="L3293" s="16">
        <f>IF(COUNTIFS(Release_Calendar!$A$2:$A$755,"US_NFP",Release_Calendar!$B$2:$B$755,$A3293)&gt;0,1,0)</f>
        <v>0</v>
      </c>
      <c r="M3293" s="16" t="str">
        <f>IF($A3293&lt;Notes!$B$5,"",IF(COUNTIFS(Release_Calendar!$A$2:$A$755,"NZ_CPI",Release_Calendar!$B$2:$B$755,$A3293)&gt;0,1,0))</f>
        <v/>
      </c>
      <c r="N3293" s="16" t="str">
        <f>IF($A3293&lt;Notes!$B$5,"",IF(COUNTIFS(Release_Calendar!$A$2:$A$755,"NZ_GDP",Release_Calendar!$B$2:$B$755,$A3293)&gt;0,1,0))</f>
        <v/>
      </c>
      <c r="O3293" s="16" t="str">
        <f>IF($A3293&lt;Notes!$B$5,"",IF(COUNTIFS(Release_Calendar!$A$2:$A$755,"NZ_LABOUR",Release_Calendar!$B$2:$B$755,$A3293)&gt;0,1,0))</f>
        <v/>
      </c>
      <c r="P3293" s="16">
        <f t="shared" si="4"/>
        <v>0</v>
      </c>
    </row>
    <row r="3294" ht="15.75" customHeight="1">
      <c r="A3294" s="14">
        <v>41136.0</v>
      </c>
      <c r="B3294" s="15">
        <v>0.27</v>
      </c>
      <c r="C3294" s="15">
        <v>2.72</v>
      </c>
      <c r="D3294" s="15">
        <v>2.65</v>
      </c>
      <c r="E3294" s="15">
        <v>2.61</v>
      </c>
      <c r="F3294" s="15">
        <f t="shared" si="1"/>
        <v>2.45</v>
      </c>
      <c r="G3294" s="15">
        <f t="shared" si="2"/>
        <v>2.72</v>
      </c>
      <c r="H3294" s="16">
        <v>0.0</v>
      </c>
      <c r="I3294" s="15">
        <f t="shared" si="3"/>
        <v>2.45</v>
      </c>
      <c r="J3294" s="15">
        <v>14.63</v>
      </c>
      <c r="K3294" s="16">
        <f>IF(COUNTIFS(Release_Calendar!$A$2:$A$755,"US_CPI",Release_Calendar!$B$2:$B$755,$A3294)&gt;0,1,0)</f>
        <v>1</v>
      </c>
      <c r="L3294" s="16">
        <f>IF(COUNTIFS(Release_Calendar!$A$2:$A$755,"US_NFP",Release_Calendar!$B$2:$B$755,$A3294)&gt;0,1,0)</f>
        <v>0</v>
      </c>
      <c r="M3294" s="16" t="str">
        <f>IF($A3294&lt;Notes!$B$5,"",IF(COUNTIFS(Release_Calendar!$A$2:$A$755,"NZ_CPI",Release_Calendar!$B$2:$B$755,$A3294)&gt;0,1,0))</f>
        <v/>
      </c>
      <c r="N3294" s="16" t="str">
        <f>IF($A3294&lt;Notes!$B$5,"",IF(COUNTIFS(Release_Calendar!$A$2:$A$755,"NZ_GDP",Release_Calendar!$B$2:$B$755,$A3294)&gt;0,1,0))</f>
        <v/>
      </c>
      <c r="O3294" s="16" t="str">
        <f>IF($A3294&lt;Notes!$B$5,"",IF(COUNTIFS(Release_Calendar!$A$2:$A$755,"NZ_LABOUR",Release_Calendar!$B$2:$B$755,$A3294)&gt;0,1,0))</f>
        <v/>
      </c>
      <c r="P3294" s="16">
        <f t="shared" si="4"/>
        <v>1</v>
      </c>
    </row>
    <row r="3295" ht="15.75" customHeight="1">
      <c r="A3295" s="14">
        <v>41137.0</v>
      </c>
      <c r="B3295" s="15">
        <v>0.29</v>
      </c>
      <c r="C3295" s="15">
        <v>2.8</v>
      </c>
      <c r="D3295" s="15">
        <v>2.67</v>
      </c>
      <c r="E3295" s="15">
        <v>2.71</v>
      </c>
      <c r="F3295" s="15">
        <f t="shared" si="1"/>
        <v>2.51</v>
      </c>
      <c r="G3295" s="15">
        <f t="shared" si="2"/>
        <v>2.8</v>
      </c>
      <c r="H3295" s="16">
        <v>0.0</v>
      </c>
      <c r="I3295" s="15">
        <f t="shared" si="3"/>
        <v>2.51</v>
      </c>
      <c r="J3295" s="15">
        <v>14.29</v>
      </c>
      <c r="K3295" s="16">
        <f>IF(COUNTIFS(Release_Calendar!$A$2:$A$755,"US_CPI",Release_Calendar!$B$2:$B$755,$A3295)&gt;0,1,0)</f>
        <v>0</v>
      </c>
      <c r="L3295" s="16">
        <f>IF(COUNTIFS(Release_Calendar!$A$2:$A$755,"US_NFP",Release_Calendar!$B$2:$B$755,$A3295)&gt;0,1,0)</f>
        <v>0</v>
      </c>
      <c r="M3295" s="16" t="str">
        <f>IF($A3295&lt;Notes!$B$5,"",IF(COUNTIFS(Release_Calendar!$A$2:$A$755,"NZ_CPI",Release_Calendar!$B$2:$B$755,$A3295)&gt;0,1,0))</f>
        <v/>
      </c>
      <c r="N3295" s="16" t="str">
        <f>IF($A3295&lt;Notes!$B$5,"",IF(COUNTIFS(Release_Calendar!$A$2:$A$755,"NZ_GDP",Release_Calendar!$B$2:$B$755,$A3295)&gt;0,1,0))</f>
        <v/>
      </c>
      <c r="O3295" s="16" t="str">
        <f>IF($A3295&lt;Notes!$B$5,"",IF(COUNTIFS(Release_Calendar!$A$2:$A$755,"NZ_LABOUR",Release_Calendar!$B$2:$B$755,$A3295)&gt;0,1,0))</f>
        <v/>
      </c>
      <c r="P3295" s="16">
        <f t="shared" si="4"/>
        <v>0</v>
      </c>
    </row>
    <row r="3296" ht="15.75" customHeight="1">
      <c r="A3296" s="14">
        <v>41138.0</v>
      </c>
      <c r="B3296" s="15">
        <v>0.29</v>
      </c>
      <c r="C3296" s="15">
        <v>2.78</v>
      </c>
      <c r="D3296" s="15">
        <v>2.71</v>
      </c>
      <c r="E3296" s="15">
        <v>2.65</v>
      </c>
      <c r="F3296" s="15">
        <f t="shared" si="1"/>
        <v>2.49</v>
      </c>
      <c r="G3296" s="15">
        <f t="shared" si="2"/>
        <v>2.78</v>
      </c>
      <c r="H3296" s="16">
        <v>0.0</v>
      </c>
      <c r="I3296" s="15">
        <f t="shared" si="3"/>
        <v>2.49</v>
      </c>
      <c r="J3296" s="15">
        <v>13.45</v>
      </c>
      <c r="K3296" s="16">
        <f>IF(COUNTIFS(Release_Calendar!$A$2:$A$755,"US_CPI",Release_Calendar!$B$2:$B$755,$A3296)&gt;0,1,0)</f>
        <v>0</v>
      </c>
      <c r="L3296" s="16">
        <f>IF(COUNTIFS(Release_Calendar!$A$2:$A$755,"US_NFP",Release_Calendar!$B$2:$B$755,$A3296)&gt;0,1,0)</f>
        <v>0</v>
      </c>
      <c r="M3296" s="16" t="str">
        <f>IF($A3296&lt;Notes!$B$5,"",IF(COUNTIFS(Release_Calendar!$A$2:$A$755,"NZ_CPI",Release_Calendar!$B$2:$B$755,$A3296)&gt;0,1,0))</f>
        <v/>
      </c>
      <c r="N3296" s="16" t="str">
        <f>IF($A3296&lt;Notes!$B$5,"",IF(COUNTIFS(Release_Calendar!$A$2:$A$755,"NZ_GDP",Release_Calendar!$B$2:$B$755,$A3296)&gt;0,1,0))</f>
        <v/>
      </c>
      <c r="O3296" s="16" t="str">
        <f>IF($A3296&lt;Notes!$B$5,"",IF(COUNTIFS(Release_Calendar!$A$2:$A$755,"NZ_LABOUR",Release_Calendar!$B$2:$B$755,$A3296)&gt;0,1,0))</f>
        <v/>
      </c>
      <c r="P3296" s="16">
        <f t="shared" si="4"/>
        <v>0</v>
      </c>
    </row>
    <row r="3297" ht="15.75" customHeight="1">
      <c r="A3297" s="14">
        <v>41141.0</v>
      </c>
      <c r="B3297" s="15">
        <v>0.29</v>
      </c>
      <c r="C3297" s="15">
        <v>2.77</v>
      </c>
      <c r="D3297" s="15">
        <v>2.64</v>
      </c>
      <c r="E3297" s="15">
        <v>2.65</v>
      </c>
      <c r="F3297" s="15">
        <f t="shared" si="1"/>
        <v>2.48</v>
      </c>
      <c r="G3297" s="15">
        <f t="shared" si="2"/>
        <v>2.77</v>
      </c>
      <c r="H3297" s="16">
        <v>0.0</v>
      </c>
      <c r="I3297" s="15">
        <f t="shared" si="3"/>
        <v>2.48</v>
      </c>
      <c r="J3297" s="15">
        <v>14.02</v>
      </c>
      <c r="K3297" s="16">
        <f>IF(COUNTIFS(Release_Calendar!$A$2:$A$755,"US_CPI",Release_Calendar!$B$2:$B$755,$A3297)&gt;0,1,0)</f>
        <v>0</v>
      </c>
      <c r="L3297" s="16">
        <f>IF(COUNTIFS(Release_Calendar!$A$2:$A$755,"US_NFP",Release_Calendar!$B$2:$B$755,$A3297)&gt;0,1,0)</f>
        <v>0</v>
      </c>
      <c r="M3297" s="16" t="str">
        <f>IF($A3297&lt;Notes!$B$5,"",IF(COUNTIFS(Release_Calendar!$A$2:$A$755,"NZ_CPI",Release_Calendar!$B$2:$B$755,$A3297)&gt;0,1,0))</f>
        <v/>
      </c>
      <c r="N3297" s="16" t="str">
        <f>IF($A3297&lt;Notes!$B$5,"",IF(COUNTIFS(Release_Calendar!$A$2:$A$755,"NZ_GDP",Release_Calendar!$B$2:$B$755,$A3297)&gt;0,1,0))</f>
        <v/>
      </c>
      <c r="O3297" s="16" t="str">
        <f>IF($A3297&lt;Notes!$B$5,"",IF(COUNTIFS(Release_Calendar!$A$2:$A$755,"NZ_LABOUR",Release_Calendar!$B$2:$B$755,$A3297)&gt;0,1,0))</f>
        <v/>
      </c>
      <c r="P3297" s="16">
        <f t="shared" si="4"/>
        <v>0</v>
      </c>
    </row>
    <row r="3298" ht="15.75" customHeight="1">
      <c r="A3298" s="14">
        <v>41142.0</v>
      </c>
      <c r="B3298" s="15">
        <v>0.31</v>
      </c>
      <c r="C3298" s="15">
        <v>2.76</v>
      </c>
      <c r="D3298" s="15">
        <v>2.66</v>
      </c>
      <c r="E3298" s="15">
        <v>2.65</v>
      </c>
      <c r="F3298" s="15">
        <f t="shared" si="1"/>
        <v>2.45</v>
      </c>
      <c r="G3298" s="15">
        <f t="shared" si="2"/>
        <v>2.76</v>
      </c>
      <c r="H3298" s="16">
        <v>0.0</v>
      </c>
      <c r="I3298" s="15">
        <f t="shared" si="3"/>
        <v>2.45</v>
      </c>
      <c r="J3298" s="15">
        <v>15.02</v>
      </c>
      <c r="K3298" s="16">
        <f>IF(COUNTIFS(Release_Calendar!$A$2:$A$755,"US_CPI",Release_Calendar!$B$2:$B$755,$A3298)&gt;0,1,0)</f>
        <v>0</v>
      </c>
      <c r="L3298" s="16">
        <f>IF(COUNTIFS(Release_Calendar!$A$2:$A$755,"US_NFP",Release_Calendar!$B$2:$B$755,$A3298)&gt;0,1,0)</f>
        <v>0</v>
      </c>
      <c r="M3298" s="16" t="str">
        <f>IF($A3298&lt;Notes!$B$5,"",IF(COUNTIFS(Release_Calendar!$A$2:$A$755,"NZ_CPI",Release_Calendar!$B$2:$B$755,$A3298)&gt;0,1,0))</f>
        <v/>
      </c>
      <c r="N3298" s="16" t="str">
        <f>IF($A3298&lt;Notes!$B$5,"",IF(COUNTIFS(Release_Calendar!$A$2:$A$755,"NZ_GDP",Release_Calendar!$B$2:$B$755,$A3298)&gt;0,1,0))</f>
        <v/>
      </c>
      <c r="O3298" s="16" t="str">
        <f>IF($A3298&lt;Notes!$B$5,"",IF(COUNTIFS(Release_Calendar!$A$2:$A$755,"NZ_LABOUR",Release_Calendar!$B$2:$B$755,$A3298)&gt;0,1,0))</f>
        <v/>
      </c>
      <c r="P3298" s="16">
        <f t="shared" si="4"/>
        <v>0</v>
      </c>
    </row>
    <row r="3299" ht="15.75" customHeight="1">
      <c r="A3299" s="14">
        <v>41143.0</v>
      </c>
      <c r="B3299" s="15">
        <v>0.26</v>
      </c>
      <c r="C3299" s="15">
        <v>2.73</v>
      </c>
      <c r="D3299" s="15">
        <v>2.64</v>
      </c>
      <c r="E3299" s="15">
        <v>2.62</v>
      </c>
      <c r="F3299" s="15">
        <f t="shared" si="1"/>
        <v>2.47</v>
      </c>
      <c r="G3299" s="15">
        <f t="shared" si="2"/>
        <v>2.73</v>
      </c>
      <c r="H3299" s="16">
        <v>0.0</v>
      </c>
      <c r="I3299" s="15">
        <f t="shared" si="3"/>
        <v>2.47</v>
      </c>
      <c r="J3299" s="15">
        <v>15.11</v>
      </c>
      <c r="K3299" s="16">
        <f>IF(COUNTIFS(Release_Calendar!$A$2:$A$755,"US_CPI",Release_Calendar!$B$2:$B$755,$A3299)&gt;0,1,0)</f>
        <v>0</v>
      </c>
      <c r="L3299" s="16">
        <f>IF(COUNTIFS(Release_Calendar!$A$2:$A$755,"US_NFP",Release_Calendar!$B$2:$B$755,$A3299)&gt;0,1,0)</f>
        <v>0</v>
      </c>
      <c r="M3299" s="16" t="str">
        <f>IF($A3299&lt;Notes!$B$5,"",IF(COUNTIFS(Release_Calendar!$A$2:$A$755,"NZ_CPI",Release_Calendar!$B$2:$B$755,$A3299)&gt;0,1,0))</f>
        <v/>
      </c>
      <c r="N3299" s="16" t="str">
        <f>IF($A3299&lt;Notes!$B$5,"",IF(COUNTIFS(Release_Calendar!$A$2:$A$755,"NZ_GDP",Release_Calendar!$B$2:$B$755,$A3299)&gt;0,1,0))</f>
        <v/>
      </c>
      <c r="O3299" s="16" t="str">
        <f>IF($A3299&lt;Notes!$B$5,"",IF(COUNTIFS(Release_Calendar!$A$2:$A$755,"NZ_LABOUR",Release_Calendar!$B$2:$B$755,$A3299)&gt;0,1,0))</f>
        <v/>
      </c>
      <c r="P3299" s="16">
        <f t="shared" si="4"/>
        <v>0</v>
      </c>
    </row>
    <row r="3300" ht="15.75" customHeight="1">
      <c r="A3300" s="14">
        <v>41144.0</v>
      </c>
      <c r="B3300" s="15">
        <v>0.26</v>
      </c>
      <c r="C3300" s="15">
        <v>2.73</v>
      </c>
      <c r="D3300" s="15">
        <v>2.6</v>
      </c>
      <c r="E3300" s="15">
        <v>2.63</v>
      </c>
      <c r="F3300" s="15">
        <f t="shared" si="1"/>
        <v>2.47</v>
      </c>
      <c r="G3300" s="15">
        <f t="shared" si="2"/>
        <v>2.73</v>
      </c>
      <c r="H3300" s="16">
        <v>0.0</v>
      </c>
      <c r="I3300" s="15">
        <f t="shared" si="3"/>
        <v>2.47</v>
      </c>
      <c r="J3300" s="15">
        <v>15.96</v>
      </c>
      <c r="K3300" s="16">
        <f>IF(COUNTIFS(Release_Calendar!$A$2:$A$755,"US_CPI",Release_Calendar!$B$2:$B$755,$A3300)&gt;0,1,0)</f>
        <v>0</v>
      </c>
      <c r="L3300" s="16">
        <f>IF(COUNTIFS(Release_Calendar!$A$2:$A$755,"US_NFP",Release_Calendar!$B$2:$B$755,$A3300)&gt;0,1,0)</f>
        <v>0</v>
      </c>
      <c r="M3300" s="16" t="str">
        <f>IF($A3300&lt;Notes!$B$5,"",IF(COUNTIFS(Release_Calendar!$A$2:$A$755,"NZ_CPI",Release_Calendar!$B$2:$B$755,$A3300)&gt;0,1,0))</f>
        <v/>
      </c>
      <c r="N3300" s="16" t="str">
        <f>IF($A3300&lt;Notes!$B$5,"",IF(COUNTIFS(Release_Calendar!$A$2:$A$755,"NZ_GDP",Release_Calendar!$B$2:$B$755,$A3300)&gt;0,1,0))</f>
        <v/>
      </c>
      <c r="O3300" s="16" t="str">
        <f>IF($A3300&lt;Notes!$B$5,"",IF(COUNTIFS(Release_Calendar!$A$2:$A$755,"NZ_LABOUR",Release_Calendar!$B$2:$B$755,$A3300)&gt;0,1,0))</f>
        <v/>
      </c>
      <c r="P3300" s="16">
        <f t="shared" si="4"/>
        <v>0</v>
      </c>
    </row>
    <row r="3301" ht="15.75" customHeight="1">
      <c r="A3301" s="14">
        <v>41145.0</v>
      </c>
      <c r="B3301" s="15">
        <v>0.28</v>
      </c>
      <c r="C3301" s="15">
        <v>2.72</v>
      </c>
      <c r="D3301" s="15">
        <v>2.61</v>
      </c>
      <c r="E3301" s="15">
        <v>2.62</v>
      </c>
      <c r="F3301" s="15">
        <f t="shared" si="1"/>
        <v>2.44</v>
      </c>
      <c r="G3301" s="15">
        <f t="shared" si="2"/>
        <v>2.72</v>
      </c>
      <c r="H3301" s="16">
        <v>0.0</v>
      </c>
      <c r="I3301" s="15">
        <f t="shared" si="3"/>
        <v>2.44</v>
      </c>
      <c r="J3301" s="15">
        <v>15.18</v>
      </c>
      <c r="K3301" s="16">
        <f>IF(COUNTIFS(Release_Calendar!$A$2:$A$755,"US_CPI",Release_Calendar!$B$2:$B$755,$A3301)&gt;0,1,0)</f>
        <v>0</v>
      </c>
      <c r="L3301" s="16">
        <f>IF(COUNTIFS(Release_Calendar!$A$2:$A$755,"US_NFP",Release_Calendar!$B$2:$B$755,$A3301)&gt;0,1,0)</f>
        <v>0</v>
      </c>
      <c r="M3301" s="16" t="str">
        <f>IF($A3301&lt;Notes!$B$5,"",IF(COUNTIFS(Release_Calendar!$A$2:$A$755,"NZ_CPI",Release_Calendar!$B$2:$B$755,$A3301)&gt;0,1,0))</f>
        <v/>
      </c>
      <c r="N3301" s="16" t="str">
        <f>IF($A3301&lt;Notes!$B$5,"",IF(COUNTIFS(Release_Calendar!$A$2:$A$755,"NZ_GDP",Release_Calendar!$B$2:$B$755,$A3301)&gt;0,1,0))</f>
        <v/>
      </c>
      <c r="O3301" s="16" t="str">
        <f>IF($A3301&lt;Notes!$B$5,"",IF(COUNTIFS(Release_Calendar!$A$2:$A$755,"NZ_LABOUR",Release_Calendar!$B$2:$B$755,$A3301)&gt;0,1,0))</f>
        <v/>
      </c>
      <c r="P3301" s="16">
        <f t="shared" si="4"/>
        <v>0</v>
      </c>
    </row>
    <row r="3302" ht="15.75" customHeight="1">
      <c r="A3302" s="14">
        <v>41148.0</v>
      </c>
      <c r="B3302" s="15">
        <v>0.28</v>
      </c>
      <c r="C3302" s="15">
        <v>2.7</v>
      </c>
      <c r="D3302" s="15">
        <v>2.61</v>
      </c>
      <c r="E3302" s="15">
        <v>2.61</v>
      </c>
      <c r="F3302" s="15">
        <f t="shared" si="1"/>
        <v>2.42</v>
      </c>
      <c r="G3302" s="15">
        <f t="shared" si="2"/>
        <v>2.7</v>
      </c>
      <c r="H3302" s="16">
        <v>0.0</v>
      </c>
      <c r="I3302" s="15">
        <f t="shared" si="3"/>
        <v>2.42</v>
      </c>
      <c r="J3302" s="15">
        <v>16.35</v>
      </c>
      <c r="K3302" s="16">
        <f>IF(COUNTIFS(Release_Calendar!$A$2:$A$755,"US_CPI",Release_Calendar!$B$2:$B$755,$A3302)&gt;0,1,0)</f>
        <v>0</v>
      </c>
      <c r="L3302" s="16">
        <f>IF(COUNTIFS(Release_Calendar!$A$2:$A$755,"US_NFP",Release_Calendar!$B$2:$B$755,$A3302)&gt;0,1,0)</f>
        <v>0</v>
      </c>
      <c r="M3302" s="16" t="str">
        <f>IF($A3302&lt;Notes!$B$5,"",IF(COUNTIFS(Release_Calendar!$A$2:$A$755,"NZ_CPI",Release_Calendar!$B$2:$B$755,$A3302)&gt;0,1,0))</f>
        <v/>
      </c>
      <c r="N3302" s="16" t="str">
        <f>IF($A3302&lt;Notes!$B$5,"",IF(COUNTIFS(Release_Calendar!$A$2:$A$755,"NZ_GDP",Release_Calendar!$B$2:$B$755,$A3302)&gt;0,1,0))</f>
        <v/>
      </c>
      <c r="O3302" s="16" t="str">
        <f>IF($A3302&lt;Notes!$B$5,"",IF(COUNTIFS(Release_Calendar!$A$2:$A$755,"NZ_LABOUR",Release_Calendar!$B$2:$B$755,$A3302)&gt;0,1,0))</f>
        <v/>
      </c>
      <c r="P3302" s="16">
        <f t="shared" si="4"/>
        <v>0</v>
      </c>
    </row>
    <row r="3303" ht="15.75" customHeight="1">
      <c r="A3303" s="14">
        <v>41149.0</v>
      </c>
      <c r="B3303" s="15">
        <v>0.27</v>
      </c>
      <c r="C3303" s="15">
        <v>2.7</v>
      </c>
      <c r="D3303" s="15">
        <v>2.58</v>
      </c>
      <c r="E3303" s="15">
        <v>2.58</v>
      </c>
      <c r="F3303" s="15">
        <f t="shared" si="1"/>
        <v>2.43</v>
      </c>
      <c r="G3303" s="15">
        <f t="shared" si="2"/>
        <v>2.7</v>
      </c>
      <c r="H3303" s="16">
        <v>0.0</v>
      </c>
      <c r="I3303" s="15">
        <f t="shared" si="3"/>
        <v>2.43</v>
      </c>
      <c r="J3303" s="15">
        <v>16.49</v>
      </c>
      <c r="K3303" s="16">
        <f>IF(COUNTIFS(Release_Calendar!$A$2:$A$755,"US_CPI",Release_Calendar!$B$2:$B$755,$A3303)&gt;0,1,0)</f>
        <v>0</v>
      </c>
      <c r="L3303" s="16">
        <f>IF(COUNTIFS(Release_Calendar!$A$2:$A$755,"US_NFP",Release_Calendar!$B$2:$B$755,$A3303)&gt;0,1,0)</f>
        <v>0</v>
      </c>
      <c r="M3303" s="16" t="str">
        <f>IF($A3303&lt;Notes!$B$5,"",IF(COUNTIFS(Release_Calendar!$A$2:$A$755,"NZ_CPI",Release_Calendar!$B$2:$B$755,$A3303)&gt;0,1,0))</f>
        <v/>
      </c>
      <c r="N3303" s="16" t="str">
        <f>IF($A3303&lt;Notes!$B$5,"",IF(COUNTIFS(Release_Calendar!$A$2:$A$755,"NZ_GDP",Release_Calendar!$B$2:$B$755,$A3303)&gt;0,1,0))</f>
        <v/>
      </c>
      <c r="O3303" s="16" t="str">
        <f>IF($A3303&lt;Notes!$B$5,"",IF(COUNTIFS(Release_Calendar!$A$2:$A$755,"NZ_LABOUR",Release_Calendar!$B$2:$B$755,$A3303)&gt;0,1,0))</f>
        <v/>
      </c>
      <c r="P3303" s="16">
        <f t="shared" si="4"/>
        <v>0</v>
      </c>
    </row>
    <row r="3304" ht="15.75" customHeight="1">
      <c r="A3304" s="14">
        <v>41150.0</v>
      </c>
      <c r="B3304" s="15">
        <v>0.27</v>
      </c>
      <c r="C3304" s="15">
        <v>2.7</v>
      </c>
      <c r="D3304" s="15">
        <v>2.58</v>
      </c>
      <c r="E3304" s="15">
        <v>2.59</v>
      </c>
      <c r="F3304" s="15">
        <f t="shared" si="1"/>
        <v>2.43</v>
      </c>
      <c r="G3304" s="15">
        <f t="shared" si="2"/>
        <v>2.7</v>
      </c>
      <c r="H3304" s="16">
        <v>0.0</v>
      </c>
      <c r="I3304" s="15">
        <f t="shared" si="3"/>
        <v>2.43</v>
      </c>
      <c r="J3304" s="15">
        <v>17.06</v>
      </c>
      <c r="K3304" s="16">
        <f>IF(COUNTIFS(Release_Calendar!$A$2:$A$755,"US_CPI",Release_Calendar!$B$2:$B$755,$A3304)&gt;0,1,0)</f>
        <v>0</v>
      </c>
      <c r="L3304" s="16">
        <f>IF(COUNTIFS(Release_Calendar!$A$2:$A$755,"US_NFP",Release_Calendar!$B$2:$B$755,$A3304)&gt;0,1,0)</f>
        <v>0</v>
      </c>
      <c r="M3304" s="16" t="str">
        <f>IF($A3304&lt;Notes!$B$5,"",IF(COUNTIFS(Release_Calendar!$A$2:$A$755,"NZ_CPI",Release_Calendar!$B$2:$B$755,$A3304)&gt;0,1,0))</f>
        <v/>
      </c>
      <c r="N3304" s="16" t="str">
        <f>IF($A3304&lt;Notes!$B$5,"",IF(COUNTIFS(Release_Calendar!$A$2:$A$755,"NZ_GDP",Release_Calendar!$B$2:$B$755,$A3304)&gt;0,1,0))</f>
        <v/>
      </c>
      <c r="O3304" s="16" t="str">
        <f>IF($A3304&lt;Notes!$B$5,"",IF(COUNTIFS(Release_Calendar!$A$2:$A$755,"NZ_LABOUR",Release_Calendar!$B$2:$B$755,$A3304)&gt;0,1,0))</f>
        <v/>
      </c>
      <c r="P3304" s="16">
        <f t="shared" si="4"/>
        <v>0</v>
      </c>
    </row>
    <row r="3305" ht="15.75" customHeight="1">
      <c r="A3305" s="14">
        <v>41151.0</v>
      </c>
      <c r="B3305" s="15">
        <v>0.27</v>
      </c>
      <c r="C3305" s="15">
        <v>2.67</v>
      </c>
      <c r="D3305" s="15">
        <v>2.59</v>
      </c>
      <c r="E3305" s="15">
        <v>2.51</v>
      </c>
      <c r="F3305" s="15">
        <f t="shared" si="1"/>
        <v>2.4</v>
      </c>
      <c r="G3305" s="15">
        <f t="shared" si="2"/>
        <v>2.67</v>
      </c>
      <c r="H3305" s="16">
        <v>0.0</v>
      </c>
      <c r="I3305" s="15">
        <f t="shared" si="3"/>
        <v>2.4</v>
      </c>
      <c r="J3305" s="15">
        <v>17.83</v>
      </c>
      <c r="K3305" s="16">
        <f>IF(COUNTIFS(Release_Calendar!$A$2:$A$755,"US_CPI",Release_Calendar!$B$2:$B$755,$A3305)&gt;0,1,0)</f>
        <v>0</v>
      </c>
      <c r="L3305" s="16">
        <f>IF(COUNTIFS(Release_Calendar!$A$2:$A$755,"US_NFP",Release_Calendar!$B$2:$B$755,$A3305)&gt;0,1,0)</f>
        <v>0</v>
      </c>
      <c r="M3305" s="16" t="str">
        <f>IF($A3305&lt;Notes!$B$5,"",IF(COUNTIFS(Release_Calendar!$A$2:$A$755,"NZ_CPI",Release_Calendar!$B$2:$B$755,$A3305)&gt;0,1,0))</f>
        <v/>
      </c>
      <c r="N3305" s="16" t="str">
        <f>IF($A3305&lt;Notes!$B$5,"",IF(COUNTIFS(Release_Calendar!$A$2:$A$755,"NZ_GDP",Release_Calendar!$B$2:$B$755,$A3305)&gt;0,1,0))</f>
        <v/>
      </c>
      <c r="O3305" s="16" t="str">
        <f>IF($A3305&lt;Notes!$B$5,"",IF(COUNTIFS(Release_Calendar!$A$2:$A$755,"NZ_LABOUR",Release_Calendar!$B$2:$B$755,$A3305)&gt;0,1,0))</f>
        <v/>
      </c>
      <c r="P3305" s="16">
        <f t="shared" si="4"/>
        <v>0</v>
      </c>
    </row>
    <row r="3306" ht="15.75" customHeight="1">
      <c r="A3306" s="14">
        <v>41152.0</v>
      </c>
      <c r="B3306" s="15">
        <v>0.22</v>
      </c>
      <c r="C3306" s="15">
        <v>2.68</v>
      </c>
      <c r="D3306" s="15">
        <v>2.49</v>
      </c>
      <c r="E3306" s="15">
        <v>2.47</v>
      </c>
      <c r="F3306" s="15">
        <f t="shared" si="1"/>
        <v>2.46</v>
      </c>
      <c r="G3306" s="15">
        <f t="shared" si="2"/>
        <v>2.68</v>
      </c>
      <c r="H3306" s="16">
        <v>0.0</v>
      </c>
      <c r="I3306" s="15">
        <f t="shared" si="3"/>
        <v>2.46</v>
      </c>
      <c r="J3306" s="15">
        <v>17.47</v>
      </c>
      <c r="K3306" s="16">
        <f>IF(COUNTIFS(Release_Calendar!$A$2:$A$755,"US_CPI",Release_Calendar!$B$2:$B$755,$A3306)&gt;0,1,0)</f>
        <v>0</v>
      </c>
      <c r="L3306" s="16">
        <f>IF(COUNTIFS(Release_Calendar!$A$2:$A$755,"US_NFP",Release_Calendar!$B$2:$B$755,$A3306)&gt;0,1,0)</f>
        <v>0</v>
      </c>
      <c r="M3306" s="16" t="str">
        <f>IF($A3306&lt;Notes!$B$5,"",IF(COUNTIFS(Release_Calendar!$A$2:$A$755,"NZ_CPI",Release_Calendar!$B$2:$B$755,$A3306)&gt;0,1,0))</f>
        <v/>
      </c>
      <c r="N3306" s="16" t="str">
        <f>IF($A3306&lt;Notes!$B$5,"",IF(COUNTIFS(Release_Calendar!$A$2:$A$755,"NZ_GDP",Release_Calendar!$B$2:$B$755,$A3306)&gt;0,1,0))</f>
        <v/>
      </c>
      <c r="O3306" s="16" t="str">
        <f>IF($A3306&lt;Notes!$B$5,"",IF(COUNTIFS(Release_Calendar!$A$2:$A$755,"NZ_LABOUR",Release_Calendar!$B$2:$B$755,$A3306)&gt;0,1,0))</f>
        <v/>
      </c>
      <c r="P3306" s="16">
        <f t="shared" si="4"/>
        <v>0</v>
      </c>
    </row>
    <row r="3307" ht="15.75" customHeight="1">
      <c r="A3307" s="14">
        <v>41155.0</v>
      </c>
      <c r="B3307" s="15"/>
      <c r="C3307" s="15">
        <v>2.64</v>
      </c>
      <c r="D3307" s="15">
        <v>2.46</v>
      </c>
      <c r="E3307" s="15">
        <v>2.46</v>
      </c>
      <c r="F3307" s="15" t="str">
        <f t="shared" si="1"/>
        <v/>
      </c>
      <c r="G3307" s="15">
        <f t="shared" si="2"/>
        <v>2.64</v>
      </c>
      <c r="H3307" s="16">
        <v>0.0</v>
      </c>
      <c r="I3307" s="15" t="str">
        <f t="shared" si="3"/>
        <v/>
      </c>
      <c r="J3307" s="15"/>
      <c r="K3307" s="16">
        <f>IF(COUNTIFS(Release_Calendar!$A$2:$A$755,"US_CPI",Release_Calendar!$B$2:$B$755,$A3307)&gt;0,1,0)</f>
        <v>0</v>
      </c>
      <c r="L3307" s="16">
        <f>IF(COUNTIFS(Release_Calendar!$A$2:$A$755,"US_NFP",Release_Calendar!$B$2:$B$755,$A3307)&gt;0,1,0)</f>
        <v>0</v>
      </c>
      <c r="M3307" s="16" t="str">
        <f>IF($A3307&lt;Notes!$B$5,"",IF(COUNTIFS(Release_Calendar!$A$2:$A$755,"NZ_CPI",Release_Calendar!$B$2:$B$755,$A3307)&gt;0,1,0))</f>
        <v/>
      </c>
      <c r="N3307" s="16" t="str">
        <f>IF($A3307&lt;Notes!$B$5,"",IF(COUNTIFS(Release_Calendar!$A$2:$A$755,"NZ_GDP",Release_Calendar!$B$2:$B$755,$A3307)&gt;0,1,0))</f>
        <v/>
      </c>
      <c r="O3307" s="16" t="str">
        <f>IF($A3307&lt;Notes!$B$5,"",IF(COUNTIFS(Release_Calendar!$A$2:$A$755,"NZ_LABOUR",Release_Calendar!$B$2:$B$755,$A3307)&gt;0,1,0))</f>
        <v/>
      </c>
      <c r="P3307" s="16">
        <f t="shared" si="4"/>
        <v>0</v>
      </c>
    </row>
    <row r="3308" ht="15.75" customHeight="1">
      <c r="A3308" s="14">
        <v>41156.0</v>
      </c>
      <c r="B3308" s="15">
        <v>0.23</v>
      </c>
      <c r="C3308" s="15">
        <v>2.65</v>
      </c>
      <c r="D3308" s="15">
        <v>2.45</v>
      </c>
      <c r="E3308" s="15">
        <v>2.46</v>
      </c>
      <c r="F3308" s="15">
        <f t="shared" si="1"/>
        <v>2.42</v>
      </c>
      <c r="G3308" s="15">
        <f t="shared" si="2"/>
        <v>2.65</v>
      </c>
      <c r="H3308" s="16">
        <v>0.0</v>
      </c>
      <c r="I3308" s="15">
        <f t="shared" si="3"/>
        <v>2.42</v>
      </c>
      <c r="J3308" s="15">
        <v>17.98</v>
      </c>
      <c r="K3308" s="16">
        <f>IF(COUNTIFS(Release_Calendar!$A$2:$A$755,"US_CPI",Release_Calendar!$B$2:$B$755,$A3308)&gt;0,1,0)</f>
        <v>0</v>
      </c>
      <c r="L3308" s="16">
        <f>IF(COUNTIFS(Release_Calendar!$A$2:$A$755,"US_NFP",Release_Calendar!$B$2:$B$755,$A3308)&gt;0,1,0)</f>
        <v>0</v>
      </c>
      <c r="M3308" s="16" t="str">
        <f>IF($A3308&lt;Notes!$B$5,"",IF(COUNTIFS(Release_Calendar!$A$2:$A$755,"NZ_CPI",Release_Calendar!$B$2:$B$755,$A3308)&gt;0,1,0))</f>
        <v/>
      </c>
      <c r="N3308" s="16" t="str">
        <f>IF($A3308&lt;Notes!$B$5,"",IF(COUNTIFS(Release_Calendar!$A$2:$A$755,"NZ_GDP",Release_Calendar!$B$2:$B$755,$A3308)&gt;0,1,0))</f>
        <v/>
      </c>
      <c r="O3308" s="16" t="str">
        <f>IF($A3308&lt;Notes!$B$5,"",IF(COUNTIFS(Release_Calendar!$A$2:$A$755,"NZ_LABOUR",Release_Calendar!$B$2:$B$755,$A3308)&gt;0,1,0))</f>
        <v/>
      </c>
      <c r="P3308" s="16">
        <f t="shared" si="4"/>
        <v>0</v>
      </c>
    </row>
    <row r="3309" ht="15.75" customHeight="1">
      <c r="A3309" s="14">
        <v>41157.0</v>
      </c>
      <c r="B3309" s="15">
        <v>0.25</v>
      </c>
      <c r="C3309" s="15">
        <v>2.63</v>
      </c>
      <c r="D3309" s="15">
        <v>2.49</v>
      </c>
      <c r="E3309" s="15">
        <v>2.47</v>
      </c>
      <c r="F3309" s="15">
        <f t="shared" si="1"/>
        <v>2.38</v>
      </c>
      <c r="G3309" s="15">
        <f t="shared" si="2"/>
        <v>2.63</v>
      </c>
      <c r="H3309" s="16">
        <v>0.0</v>
      </c>
      <c r="I3309" s="15">
        <f t="shared" si="3"/>
        <v>2.38</v>
      </c>
      <c r="J3309" s="15">
        <v>17.74</v>
      </c>
      <c r="K3309" s="16">
        <f>IF(COUNTIFS(Release_Calendar!$A$2:$A$755,"US_CPI",Release_Calendar!$B$2:$B$755,$A3309)&gt;0,1,0)</f>
        <v>0</v>
      </c>
      <c r="L3309" s="16">
        <f>IF(COUNTIFS(Release_Calendar!$A$2:$A$755,"US_NFP",Release_Calendar!$B$2:$B$755,$A3309)&gt;0,1,0)</f>
        <v>0</v>
      </c>
      <c r="M3309" s="16" t="str">
        <f>IF($A3309&lt;Notes!$B$5,"",IF(COUNTIFS(Release_Calendar!$A$2:$A$755,"NZ_CPI",Release_Calendar!$B$2:$B$755,$A3309)&gt;0,1,0))</f>
        <v/>
      </c>
      <c r="N3309" s="16" t="str">
        <f>IF($A3309&lt;Notes!$B$5,"",IF(COUNTIFS(Release_Calendar!$A$2:$A$755,"NZ_GDP",Release_Calendar!$B$2:$B$755,$A3309)&gt;0,1,0))</f>
        <v/>
      </c>
      <c r="O3309" s="16" t="str">
        <f>IF($A3309&lt;Notes!$B$5,"",IF(COUNTIFS(Release_Calendar!$A$2:$A$755,"NZ_LABOUR",Release_Calendar!$B$2:$B$755,$A3309)&gt;0,1,0))</f>
        <v/>
      </c>
      <c r="P3309" s="16">
        <f t="shared" si="4"/>
        <v>0</v>
      </c>
    </row>
    <row r="3310" ht="15.75" customHeight="1">
      <c r="A3310" s="14">
        <v>41158.0</v>
      </c>
      <c r="B3310" s="15">
        <v>0.27</v>
      </c>
      <c r="C3310" s="15">
        <v>2.66</v>
      </c>
      <c r="D3310" s="15">
        <v>2.46</v>
      </c>
      <c r="E3310" s="15">
        <v>2.55</v>
      </c>
      <c r="F3310" s="15">
        <f t="shared" si="1"/>
        <v>2.39</v>
      </c>
      <c r="G3310" s="15">
        <f t="shared" si="2"/>
        <v>2.66</v>
      </c>
      <c r="H3310" s="16">
        <v>0.0</v>
      </c>
      <c r="I3310" s="15">
        <f t="shared" si="3"/>
        <v>2.39</v>
      </c>
      <c r="J3310" s="15">
        <v>15.6</v>
      </c>
      <c r="K3310" s="16">
        <f>IF(COUNTIFS(Release_Calendar!$A$2:$A$755,"US_CPI",Release_Calendar!$B$2:$B$755,$A3310)&gt;0,1,0)</f>
        <v>0</v>
      </c>
      <c r="L3310" s="16">
        <f>IF(COUNTIFS(Release_Calendar!$A$2:$A$755,"US_NFP",Release_Calendar!$B$2:$B$755,$A3310)&gt;0,1,0)</f>
        <v>0</v>
      </c>
      <c r="M3310" s="16" t="str">
        <f>IF($A3310&lt;Notes!$B$5,"",IF(COUNTIFS(Release_Calendar!$A$2:$A$755,"NZ_CPI",Release_Calendar!$B$2:$B$755,$A3310)&gt;0,1,0))</f>
        <v/>
      </c>
      <c r="N3310" s="16" t="str">
        <f>IF($A3310&lt;Notes!$B$5,"",IF(COUNTIFS(Release_Calendar!$A$2:$A$755,"NZ_GDP",Release_Calendar!$B$2:$B$755,$A3310)&gt;0,1,0))</f>
        <v/>
      </c>
      <c r="O3310" s="16" t="str">
        <f>IF($A3310&lt;Notes!$B$5,"",IF(COUNTIFS(Release_Calendar!$A$2:$A$755,"NZ_LABOUR",Release_Calendar!$B$2:$B$755,$A3310)&gt;0,1,0))</f>
        <v/>
      </c>
      <c r="P3310" s="16">
        <f t="shared" si="4"/>
        <v>0</v>
      </c>
    </row>
    <row r="3311" ht="15.75" customHeight="1">
      <c r="A3311" s="14">
        <v>41159.0</v>
      </c>
      <c r="B3311" s="15">
        <v>0.25</v>
      </c>
      <c r="C3311" s="15">
        <v>2.72</v>
      </c>
      <c r="D3311" s="15">
        <v>2.61</v>
      </c>
      <c r="E3311" s="15">
        <v>2.6</v>
      </c>
      <c r="F3311" s="15">
        <f t="shared" si="1"/>
        <v>2.47</v>
      </c>
      <c r="G3311" s="15">
        <f t="shared" si="2"/>
        <v>2.72</v>
      </c>
      <c r="H3311" s="16">
        <v>0.0</v>
      </c>
      <c r="I3311" s="15">
        <f t="shared" si="3"/>
        <v>2.47</v>
      </c>
      <c r="J3311" s="15">
        <v>14.38</v>
      </c>
      <c r="K3311" s="16">
        <f>IF(COUNTIFS(Release_Calendar!$A$2:$A$755,"US_CPI",Release_Calendar!$B$2:$B$755,$A3311)&gt;0,1,0)</f>
        <v>0</v>
      </c>
      <c r="L3311" s="16">
        <f>IF(COUNTIFS(Release_Calendar!$A$2:$A$755,"US_NFP",Release_Calendar!$B$2:$B$755,$A3311)&gt;0,1,0)</f>
        <v>1</v>
      </c>
      <c r="M3311" s="16" t="str">
        <f>IF($A3311&lt;Notes!$B$5,"",IF(COUNTIFS(Release_Calendar!$A$2:$A$755,"NZ_CPI",Release_Calendar!$B$2:$B$755,$A3311)&gt;0,1,0))</f>
        <v/>
      </c>
      <c r="N3311" s="16" t="str">
        <f>IF($A3311&lt;Notes!$B$5,"",IF(COUNTIFS(Release_Calendar!$A$2:$A$755,"NZ_GDP",Release_Calendar!$B$2:$B$755,$A3311)&gt;0,1,0))</f>
        <v/>
      </c>
      <c r="O3311" s="16" t="str">
        <f>IF($A3311&lt;Notes!$B$5,"",IF(COUNTIFS(Release_Calendar!$A$2:$A$755,"NZ_LABOUR",Release_Calendar!$B$2:$B$755,$A3311)&gt;0,1,0))</f>
        <v/>
      </c>
      <c r="P3311" s="16">
        <f t="shared" si="4"/>
        <v>1</v>
      </c>
    </row>
    <row r="3312" ht="15.75" customHeight="1">
      <c r="A3312" s="14">
        <v>41162.0</v>
      </c>
      <c r="B3312" s="15">
        <v>0.25</v>
      </c>
      <c r="C3312" s="15">
        <v>2.68</v>
      </c>
      <c r="D3312" s="15">
        <v>2.58</v>
      </c>
      <c r="E3312" s="15">
        <v>2.56</v>
      </c>
      <c r="F3312" s="15">
        <f t="shared" si="1"/>
        <v>2.43</v>
      </c>
      <c r="G3312" s="15">
        <f t="shared" si="2"/>
        <v>2.68</v>
      </c>
      <c r="H3312" s="16">
        <v>0.0</v>
      </c>
      <c r="I3312" s="15">
        <f t="shared" si="3"/>
        <v>2.43</v>
      </c>
      <c r="J3312" s="15">
        <v>16.28</v>
      </c>
      <c r="K3312" s="16">
        <f>IF(COUNTIFS(Release_Calendar!$A$2:$A$755,"US_CPI",Release_Calendar!$B$2:$B$755,$A3312)&gt;0,1,0)</f>
        <v>0</v>
      </c>
      <c r="L3312" s="16">
        <f>IF(COUNTIFS(Release_Calendar!$A$2:$A$755,"US_NFP",Release_Calendar!$B$2:$B$755,$A3312)&gt;0,1,0)</f>
        <v>0</v>
      </c>
      <c r="M3312" s="16" t="str">
        <f>IF($A3312&lt;Notes!$B$5,"",IF(COUNTIFS(Release_Calendar!$A$2:$A$755,"NZ_CPI",Release_Calendar!$B$2:$B$755,$A3312)&gt;0,1,0))</f>
        <v/>
      </c>
      <c r="N3312" s="16" t="str">
        <f>IF($A3312&lt;Notes!$B$5,"",IF(COUNTIFS(Release_Calendar!$A$2:$A$755,"NZ_GDP",Release_Calendar!$B$2:$B$755,$A3312)&gt;0,1,0))</f>
        <v/>
      </c>
      <c r="O3312" s="16" t="str">
        <f>IF($A3312&lt;Notes!$B$5,"",IF(COUNTIFS(Release_Calendar!$A$2:$A$755,"NZ_LABOUR",Release_Calendar!$B$2:$B$755,$A3312)&gt;0,1,0))</f>
        <v/>
      </c>
      <c r="P3312" s="16">
        <f t="shared" si="4"/>
        <v>0</v>
      </c>
    </row>
    <row r="3313" ht="15.75" customHeight="1">
      <c r="A3313" s="14">
        <v>41163.0</v>
      </c>
      <c r="B3313" s="15">
        <v>0.25</v>
      </c>
      <c r="C3313" s="15">
        <v>2.69</v>
      </c>
      <c r="D3313" s="15">
        <v>2.55</v>
      </c>
      <c r="E3313" s="15">
        <v>2.55</v>
      </c>
      <c r="F3313" s="15">
        <f t="shared" si="1"/>
        <v>2.44</v>
      </c>
      <c r="G3313" s="15">
        <f t="shared" si="2"/>
        <v>2.69</v>
      </c>
      <c r="H3313" s="16">
        <v>0.0</v>
      </c>
      <c r="I3313" s="15">
        <f t="shared" si="3"/>
        <v>2.44</v>
      </c>
      <c r="J3313" s="15">
        <v>16.41</v>
      </c>
      <c r="K3313" s="16">
        <f>IF(COUNTIFS(Release_Calendar!$A$2:$A$755,"US_CPI",Release_Calendar!$B$2:$B$755,$A3313)&gt;0,1,0)</f>
        <v>0</v>
      </c>
      <c r="L3313" s="16">
        <f>IF(COUNTIFS(Release_Calendar!$A$2:$A$755,"US_NFP",Release_Calendar!$B$2:$B$755,$A3313)&gt;0,1,0)</f>
        <v>0</v>
      </c>
      <c r="M3313" s="16" t="str">
        <f>IF($A3313&lt;Notes!$B$5,"",IF(COUNTIFS(Release_Calendar!$A$2:$A$755,"NZ_CPI",Release_Calendar!$B$2:$B$755,$A3313)&gt;0,1,0))</f>
        <v/>
      </c>
      <c r="N3313" s="16" t="str">
        <f>IF($A3313&lt;Notes!$B$5,"",IF(COUNTIFS(Release_Calendar!$A$2:$A$755,"NZ_GDP",Release_Calendar!$B$2:$B$755,$A3313)&gt;0,1,0))</f>
        <v/>
      </c>
      <c r="O3313" s="16" t="str">
        <f>IF($A3313&lt;Notes!$B$5,"",IF(COUNTIFS(Release_Calendar!$A$2:$A$755,"NZ_LABOUR",Release_Calendar!$B$2:$B$755,$A3313)&gt;0,1,0))</f>
        <v/>
      </c>
      <c r="P3313" s="16">
        <f t="shared" si="4"/>
        <v>0</v>
      </c>
    </row>
    <row r="3314" ht="15.75" customHeight="1">
      <c r="A3314" s="14">
        <v>41164.0</v>
      </c>
      <c r="B3314" s="15">
        <v>0.25</v>
      </c>
      <c r="C3314" s="15">
        <v>2.71</v>
      </c>
      <c r="D3314" s="15">
        <v>2.58</v>
      </c>
      <c r="E3314" s="15">
        <v>2.59</v>
      </c>
      <c r="F3314" s="15">
        <f t="shared" si="1"/>
        <v>2.46</v>
      </c>
      <c r="G3314" s="15">
        <f t="shared" si="2"/>
        <v>2.71</v>
      </c>
      <c r="H3314" s="16">
        <v>0.0</v>
      </c>
      <c r="I3314" s="15">
        <f t="shared" si="3"/>
        <v>2.46</v>
      </c>
      <c r="J3314" s="15">
        <v>15.8</v>
      </c>
      <c r="K3314" s="16">
        <f>IF(COUNTIFS(Release_Calendar!$A$2:$A$755,"US_CPI",Release_Calendar!$B$2:$B$755,$A3314)&gt;0,1,0)</f>
        <v>0</v>
      </c>
      <c r="L3314" s="16">
        <f>IF(COUNTIFS(Release_Calendar!$A$2:$A$755,"US_NFP",Release_Calendar!$B$2:$B$755,$A3314)&gt;0,1,0)</f>
        <v>0</v>
      </c>
      <c r="M3314" s="16" t="str">
        <f>IF($A3314&lt;Notes!$B$5,"",IF(COUNTIFS(Release_Calendar!$A$2:$A$755,"NZ_CPI",Release_Calendar!$B$2:$B$755,$A3314)&gt;0,1,0))</f>
        <v/>
      </c>
      <c r="N3314" s="16" t="str">
        <f>IF($A3314&lt;Notes!$B$5,"",IF(COUNTIFS(Release_Calendar!$A$2:$A$755,"NZ_GDP",Release_Calendar!$B$2:$B$755,$A3314)&gt;0,1,0))</f>
        <v/>
      </c>
      <c r="O3314" s="16" t="str">
        <f>IF($A3314&lt;Notes!$B$5,"",IF(COUNTIFS(Release_Calendar!$A$2:$A$755,"NZ_LABOUR",Release_Calendar!$B$2:$B$755,$A3314)&gt;0,1,0))</f>
        <v/>
      </c>
      <c r="P3314" s="16">
        <f t="shared" si="4"/>
        <v>0</v>
      </c>
    </row>
    <row r="3315" ht="15.75" customHeight="1">
      <c r="A3315" s="14">
        <v>41165.0</v>
      </c>
      <c r="B3315" s="15">
        <v>0.24</v>
      </c>
      <c r="C3315" s="15">
        <v>2.72</v>
      </c>
      <c r="D3315" s="15">
        <v>2.61</v>
      </c>
      <c r="E3315" s="15">
        <v>2.63</v>
      </c>
      <c r="F3315" s="15">
        <f t="shared" si="1"/>
        <v>2.48</v>
      </c>
      <c r="G3315" s="15">
        <f t="shared" si="2"/>
        <v>2.72</v>
      </c>
      <c r="H3315" s="16">
        <v>0.0</v>
      </c>
      <c r="I3315" s="15">
        <f t="shared" si="3"/>
        <v>2.48</v>
      </c>
      <c r="J3315" s="15">
        <v>14.05</v>
      </c>
      <c r="K3315" s="16">
        <f>IF(COUNTIFS(Release_Calendar!$A$2:$A$755,"US_CPI",Release_Calendar!$B$2:$B$755,$A3315)&gt;0,1,0)</f>
        <v>0</v>
      </c>
      <c r="L3315" s="16">
        <f>IF(COUNTIFS(Release_Calendar!$A$2:$A$755,"US_NFP",Release_Calendar!$B$2:$B$755,$A3315)&gt;0,1,0)</f>
        <v>0</v>
      </c>
      <c r="M3315" s="16" t="str">
        <f>IF($A3315&lt;Notes!$B$5,"",IF(COUNTIFS(Release_Calendar!$A$2:$A$755,"NZ_CPI",Release_Calendar!$B$2:$B$755,$A3315)&gt;0,1,0))</f>
        <v/>
      </c>
      <c r="N3315" s="16" t="str">
        <f>IF($A3315&lt;Notes!$B$5,"",IF(COUNTIFS(Release_Calendar!$A$2:$A$755,"NZ_GDP",Release_Calendar!$B$2:$B$755,$A3315)&gt;0,1,0))</f>
        <v/>
      </c>
      <c r="O3315" s="16" t="str">
        <f>IF($A3315&lt;Notes!$B$5,"",IF(COUNTIFS(Release_Calendar!$A$2:$A$755,"NZ_LABOUR",Release_Calendar!$B$2:$B$755,$A3315)&gt;0,1,0))</f>
        <v/>
      </c>
      <c r="P3315" s="16">
        <f t="shared" si="4"/>
        <v>0</v>
      </c>
    </row>
    <row r="3316" ht="15.75" customHeight="1">
      <c r="A3316" s="14">
        <v>41166.0</v>
      </c>
      <c r="B3316" s="15">
        <v>0.27</v>
      </c>
      <c r="C3316" s="15">
        <v>2.74</v>
      </c>
      <c r="D3316" s="15">
        <v>2.59</v>
      </c>
      <c r="E3316" s="15">
        <v>2.63</v>
      </c>
      <c r="F3316" s="15">
        <f t="shared" si="1"/>
        <v>2.47</v>
      </c>
      <c r="G3316" s="15">
        <f t="shared" si="2"/>
        <v>2.74</v>
      </c>
      <c r="H3316" s="16">
        <v>0.0</v>
      </c>
      <c r="I3316" s="15">
        <f t="shared" si="3"/>
        <v>2.47</v>
      </c>
      <c r="J3316" s="15">
        <v>14.51</v>
      </c>
      <c r="K3316" s="16">
        <f>IF(COUNTIFS(Release_Calendar!$A$2:$A$755,"US_CPI",Release_Calendar!$B$2:$B$755,$A3316)&gt;0,1,0)</f>
        <v>1</v>
      </c>
      <c r="L3316" s="16">
        <f>IF(COUNTIFS(Release_Calendar!$A$2:$A$755,"US_NFP",Release_Calendar!$B$2:$B$755,$A3316)&gt;0,1,0)</f>
        <v>0</v>
      </c>
      <c r="M3316" s="16" t="str">
        <f>IF($A3316&lt;Notes!$B$5,"",IF(COUNTIFS(Release_Calendar!$A$2:$A$755,"NZ_CPI",Release_Calendar!$B$2:$B$755,$A3316)&gt;0,1,0))</f>
        <v/>
      </c>
      <c r="N3316" s="16" t="str">
        <f>IF($A3316&lt;Notes!$B$5,"",IF(COUNTIFS(Release_Calendar!$A$2:$A$755,"NZ_GDP",Release_Calendar!$B$2:$B$755,$A3316)&gt;0,1,0))</f>
        <v/>
      </c>
      <c r="O3316" s="16" t="str">
        <f>IF($A3316&lt;Notes!$B$5,"",IF(COUNTIFS(Release_Calendar!$A$2:$A$755,"NZ_LABOUR",Release_Calendar!$B$2:$B$755,$A3316)&gt;0,1,0))</f>
        <v/>
      </c>
      <c r="P3316" s="16">
        <f t="shared" si="4"/>
        <v>1</v>
      </c>
    </row>
    <row r="3317" ht="15.75" customHeight="1">
      <c r="A3317" s="14">
        <v>41169.0</v>
      </c>
      <c r="B3317" s="15">
        <v>0.25</v>
      </c>
      <c r="C3317" s="15">
        <v>2.78</v>
      </c>
      <c r="D3317" s="15">
        <v>2.7</v>
      </c>
      <c r="E3317" s="15">
        <v>2.64</v>
      </c>
      <c r="F3317" s="15">
        <f t="shared" si="1"/>
        <v>2.53</v>
      </c>
      <c r="G3317" s="15">
        <f t="shared" si="2"/>
        <v>2.78</v>
      </c>
      <c r="H3317" s="16">
        <v>0.0</v>
      </c>
      <c r="I3317" s="15">
        <f t="shared" si="3"/>
        <v>2.53</v>
      </c>
      <c r="J3317" s="15">
        <v>14.59</v>
      </c>
      <c r="K3317" s="16">
        <f>IF(COUNTIFS(Release_Calendar!$A$2:$A$755,"US_CPI",Release_Calendar!$B$2:$B$755,$A3317)&gt;0,1,0)</f>
        <v>0</v>
      </c>
      <c r="L3317" s="16">
        <f>IF(COUNTIFS(Release_Calendar!$A$2:$A$755,"US_NFP",Release_Calendar!$B$2:$B$755,$A3317)&gt;0,1,0)</f>
        <v>0</v>
      </c>
      <c r="M3317" s="16" t="str">
        <f>IF($A3317&lt;Notes!$B$5,"",IF(COUNTIFS(Release_Calendar!$A$2:$A$755,"NZ_CPI",Release_Calendar!$B$2:$B$755,$A3317)&gt;0,1,0))</f>
        <v/>
      </c>
      <c r="N3317" s="16" t="str">
        <f>IF($A3317&lt;Notes!$B$5,"",IF(COUNTIFS(Release_Calendar!$A$2:$A$755,"NZ_GDP",Release_Calendar!$B$2:$B$755,$A3317)&gt;0,1,0))</f>
        <v/>
      </c>
      <c r="O3317" s="16" t="str">
        <f>IF($A3317&lt;Notes!$B$5,"",IF(COUNTIFS(Release_Calendar!$A$2:$A$755,"NZ_LABOUR",Release_Calendar!$B$2:$B$755,$A3317)&gt;0,1,0))</f>
        <v/>
      </c>
      <c r="P3317" s="16">
        <f t="shared" si="4"/>
        <v>0</v>
      </c>
    </row>
    <row r="3318" ht="15.75" customHeight="1">
      <c r="A3318" s="14">
        <v>41170.0</v>
      </c>
      <c r="B3318" s="15">
        <v>0.25</v>
      </c>
      <c r="C3318" s="15">
        <v>2.75</v>
      </c>
      <c r="D3318" s="15">
        <v>2.63</v>
      </c>
      <c r="E3318" s="15">
        <v>2.6</v>
      </c>
      <c r="F3318" s="15">
        <f t="shared" si="1"/>
        <v>2.5</v>
      </c>
      <c r="G3318" s="15">
        <f t="shared" si="2"/>
        <v>2.75</v>
      </c>
      <c r="H3318" s="16">
        <v>0.0</v>
      </c>
      <c r="I3318" s="15">
        <f t="shared" si="3"/>
        <v>2.5</v>
      </c>
      <c r="J3318" s="15">
        <v>14.18</v>
      </c>
      <c r="K3318" s="16">
        <f>IF(COUNTIFS(Release_Calendar!$A$2:$A$755,"US_CPI",Release_Calendar!$B$2:$B$755,$A3318)&gt;0,1,0)</f>
        <v>0</v>
      </c>
      <c r="L3318" s="16">
        <f>IF(COUNTIFS(Release_Calendar!$A$2:$A$755,"US_NFP",Release_Calendar!$B$2:$B$755,$A3318)&gt;0,1,0)</f>
        <v>0</v>
      </c>
      <c r="M3318" s="16" t="str">
        <f>IF($A3318&lt;Notes!$B$5,"",IF(COUNTIFS(Release_Calendar!$A$2:$A$755,"NZ_CPI",Release_Calendar!$B$2:$B$755,$A3318)&gt;0,1,0))</f>
        <v/>
      </c>
      <c r="N3318" s="16" t="str">
        <f>IF($A3318&lt;Notes!$B$5,"",IF(COUNTIFS(Release_Calendar!$A$2:$A$755,"NZ_GDP",Release_Calendar!$B$2:$B$755,$A3318)&gt;0,1,0))</f>
        <v/>
      </c>
      <c r="O3318" s="16" t="str">
        <f>IF($A3318&lt;Notes!$B$5,"",IF(COUNTIFS(Release_Calendar!$A$2:$A$755,"NZ_LABOUR",Release_Calendar!$B$2:$B$755,$A3318)&gt;0,1,0))</f>
        <v/>
      </c>
      <c r="P3318" s="16">
        <f t="shared" si="4"/>
        <v>0</v>
      </c>
    </row>
    <row r="3319" ht="15.75" customHeight="1">
      <c r="A3319" s="14">
        <v>41171.0</v>
      </c>
      <c r="B3319" s="15">
        <v>0.27</v>
      </c>
      <c r="C3319" s="15">
        <v>2.73</v>
      </c>
      <c r="D3319" s="15">
        <v>2.58</v>
      </c>
      <c r="E3319" s="15">
        <v>2.59</v>
      </c>
      <c r="F3319" s="15">
        <f t="shared" si="1"/>
        <v>2.46</v>
      </c>
      <c r="G3319" s="15">
        <f t="shared" si="2"/>
        <v>2.73</v>
      </c>
      <c r="H3319" s="16">
        <v>0.0</v>
      </c>
      <c r="I3319" s="15">
        <f t="shared" si="3"/>
        <v>2.46</v>
      </c>
      <c r="J3319" s="15">
        <v>13.88</v>
      </c>
      <c r="K3319" s="16">
        <f>IF(COUNTIFS(Release_Calendar!$A$2:$A$755,"US_CPI",Release_Calendar!$B$2:$B$755,$A3319)&gt;0,1,0)</f>
        <v>0</v>
      </c>
      <c r="L3319" s="16">
        <f>IF(COUNTIFS(Release_Calendar!$A$2:$A$755,"US_NFP",Release_Calendar!$B$2:$B$755,$A3319)&gt;0,1,0)</f>
        <v>0</v>
      </c>
      <c r="M3319" s="16" t="str">
        <f>IF($A3319&lt;Notes!$B$5,"",IF(COUNTIFS(Release_Calendar!$A$2:$A$755,"NZ_CPI",Release_Calendar!$B$2:$B$755,$A3319)&gt;0,1,0))</f>
        <v/>
      </c>
      <c r="N3319" s="16" t="str">
        <f>IF($A3319&lt;Notes!$B$5,"",IF(COUNTIFS(Release_Calendar!$A$2:$A$755,"NZ_GDP",Release_Calendar!$B$2:$B$755,$A3319)&gt;0,1,0))</f>
        <v/>
      </c>
      <c r="O3319" s="16" t="str">
        <f>IF($A3319&lt;Notes!$B$5,"",IF(COUNTIFS(Release_Calendar!$A$2:$A$755,"NZ_LABOUR",Release_Calendar!$B$2:$B$755,$A3319)&gt;0,1,0))</f>
        <v/>
      </c>
      <c r="P3319" s="16">
        <f t="shared" si="4"/>
        <v>0</v>
      </c>
    </row>
    <row r="3320" ht="15.75" customHeight="1">
      <c r="A3320" s="14">
        <v>41172.0</v>
      </c>
      <c r="B3320" s="15">
        <v>0.27</v>
      </c>
      <c r="C3320" s="15">
        <v>2.7</v>
      </c>
      <c r="D3320" s="15">
        <v>2.59</v>
      </c>
      <c r="E3320" s="15">
        <v>2.57</v>
      </c>
      <c r="F3320" s="15">
        <f t="shared" si="1"/>
        <v>2.43</v>
      </c>
      <c r="G3320" s="15">
        <f t="shared" si="2"/>
        <v>2.7</v>
      </c>
      <c r="H3320" s="16">
        <v>0.0</v>
      </c>
      <c r="I3320" s="15">
        <f t="shared" si="3"/>
        <v>2.43</v>
      </c>
      <c r="J3320" s="15">
        <v>14.07</v>
      </c>
      <c r="K3320" s="16">
        <f>IF(COUNTIFS(Release_Calendar!$A$2:$A$755,"US_CPI",Release_Calendar!$B$2:$B$755,$A3320)&gt;0,1,0)</f>
        <v>0</v>
      </c>
      <c r="L3320" s="16">
        <f>IF(COUNTIFS(Release_Calendar!$A$2:$A$755,"US_NFP",Release_Calendar!$B$2:$B$755,$A3320)&gt;0,1,0)</f>
        <v>0</v>
      </c>
      <c r="M3320" s="16" t="str">
        <f>IF($A3320&lt;Notes!$B$5,"",IF(COUNTIFS(Release_Calendar!$A$2:$A$755,"NZ_CPI",Release_Calendar!$B$2:$B$755,$A3320)&gt;0,1,0))</f>
        <v/>
      </c>
      <c r="N3320" s="16" t="str">
        <f>IF($A3320&lt;Notes!$B$5,"",IF(COUNTIFS(Release_Calendar!$A$2:$A$755,"NZ_GDP",Release_Calendar!$B$2:$B$755,$A3320)&gt;0,1,0))</f>
        <v/>
      </c>
      <c r="O3320" s="16" t="str">
        <f>IF($A3320&lt;Notes!$B$5,"",IF(COUNTIFS(Release_Calendar!$A$2:$A$755,"NZ_LABOUR",Release_Calendar!$B$2:$B$755,$A3320)&gt;0,1,0))</f>
        <v/>
      </c>
      <c r="P3320" s="16">
        <f t="shared" si="4"/>
        <v>0</v>
      </c>
    </row>
    <row r="3321" ht="15.75" customHeight="1">
      <c r="A3321" s="14">
        <v>41173.0</v>
      </c>
      <c r="B3321" s="15">
        <v>0.27</v>
      </c>
      <c r="C3321" s="15">
        <v>2.73</v>
      </c>
      <c r="D3321" s="15">
        <v>2.58</v>
      </c>
      <c r="E3321" s="15">
        <v>2.6</v>
      </c>
      <c r="F3321" s="15">
        <f t="shared" si="1"/>
        <v>2.46</v>
      </c>
      <c r="G3321" s="15">
        <f t="shared" si="2"/>
        <v>2.73</v>
      </c>
      <c r="H3321" s="16">
        <v>0.0</v>
      </c>
      <c r="I3321" s="15">
        <f t="shared" si="3"/>
        <v>2.46</v>
      </c>
      <c r="J3321" s="15">
        <v>13.98</v>
      </c>
      <c r="K3321" s="16">
        <f>IF(COUNTIFS(Release_Calendar!$A$2:$A$755,"US_CPI",Release_Calendar!$B$2:$B$755,$A3321)&gt;0,1,0)</f>
        <v>0</v>
      </c>
      <c r="L3321" s="16">
        <f>IF(COUNTIFS(Release_Calendar!$A$2:$A$755,"US_NFP",Release_Calendar!$B$2:$B$755,$A3321)&gt;0,1,0)</f>
        <v>0</v>
      </c>
      <c r="M3321" s="16" t="str">
        <f>IF($A3321&lt;Notes!$B$5,"",IF(COUNTIFS(Release_Calendar!$A$2:$A$755,"NZ_CPI",Release_Calendar!$B$2:$B$755,$A3321)&gt;0,1,0))</f>
        <v/>
      </c>
      <c r="N3321" s="16" t="str">
        <f>IF($A3321&lt;Notes!$B$5,"",IF(COUNTIFS(Release_Calendar!$A$2:$A$755,"NZ_GDP",Release_Calendar!$B$2:$B$755,$A3321)&gt;0,1,0))</f>
        <v/>
      </c>
      <c r="O3321" s="16" t="str">
        <f>IF($A3321&lt;Notes!$B$5,"",IF(COUNTIFS(Release_Calendar!$A$2:$A$755,"NZ_LABOUR",Release_Calendar!$B$2:$B$755,$A3321)&gt;0,1,0))</f>
        <v/>
      </c>
      <c r="P3321" s="16">
        <f t="shared" si="4"/>
        <v>0</v>
      </c>
    </row>
    <row r="3322" ht="15.75" customHeight="1">
      <c r="A3322" s="14">
        <v>41176.0</v>
      </c>
      <c r="B3322" s="15">
        <v>0.27</v>
      </c>
      <c r="C3322" s="15">
        <v>2.7</v>
      </c>
      <c r="D3322" s="15">
        <v>2.58</v>
      </c>
      <c r="E3322" s="15">
        <v>2.57</v>
      </c>
      <c r="F3322" s="15">
        <f t="shared" si="1"/>
        <v>2.43</v>
      </c>
      <c r="G3322" s="15">
        <f t="shared" si="2"/>
        <v>2.7</v>
      </c>
      <c r="H3322" s="16">
        <v>0.0</v>
      </c>
      <c r="I3322" s="15">
        <f t="shared" si="3"/>
        <v>2.43</v>
      </c>
      <c r="J3322" s="15">
        <v>14.15</v>
      </c>
      <c r="K3322" s="16">
        <f>IF(COUNTIFS(Release_Calendar!$A$2:$A$755,"US_CPI",Release_Calendar!$B$2:$B$755,$A3322)&gt;0,1,0)</f>
        <v>0</v>
      </c>
      <c r="L3322" s="16">
        <f>IF(COUNTIFS(Release_Calendar!$A$2:$A$755,"US_NFP",Release_Calendar!$B$2:$B$755,$A3322)&gt;0,1,0)</f>
        <v>0</v>
      </c>
      <c r="M3322" s="16" t="str">
        <f>IF($A3322&lt;Notes!$B$5,"",IF(COUNTIFS(Release_Calendar!$A$2:$A$755,"NZ_CPI",Release_Calendar!$B$2:$B$755,$A3322)&gt;0,1,0))</f>
        <v/>
      </c>
      <c r="N3322" s="16" t="str">
        <f>IF($A3322&lt;Notes!$B$5,"",IF(COUNTIFS(Release_Calendar!$A$2:$A$755,"NZ_GDP",Release_Calendar!$B$2:$B$755,$A3322)&gt;0,1,0))</f>
        <v/>
      </c>
      <c r="O3322" s="16" t="str">
        <f>IF($A3322&lt;Notes!$B$5,"",IF(COUNTIFS(Release_Calendar!$A$2:$A$755,"NZ_LABOUR",Release_Calendar!$B$2:$B$755,$A3322)&gt;0,1,0))</f>
        <v/>
      </c>
      <c r="P3322" s="16">
        <f t="shared" si="4"/>
        <v>0</v>
      </c>
    </row>
    <row r="3323" ht="15.75" customHeight="1">
      <c r="A3323" s="14">
        <v>41177.0</v>
      </c>
      <c r="B3323" s="15">
        <v>0.27</v>
      </c>
      <c r="C3323" s="15">
        <v>2.68</v>
      </c>
      <c r="D3323" s="15">
        <v>2.53</v>
      </c>
      <c r="E3323" s="15">
        <v>2.53</v>
      </c>
      <c r="F3323" s="15">
        <f t="shared" si="1"/>
        <v>2.41</v>
      </c>
      <c r="G3323" s="15">
        <f t="shared" si="2"/>
        <v>2.68</v>
      </c>
      <c r="H3323" s="16">
        <v>0.0</v>
      </c>
      <c r="I3323" s="15">
        <f t="shared" si="3"/>
        <v>2.41</v>
      </c>
      <c r="J3323" s="15">
        <v>15.43</v>
      </c>
      <c r="K3323" s="16">
        <f>IF(COUNTIFS(Release_Calendar!$A$2:$A$755,"US_CPI",Release_Calendar!$B$2:$B$755,$A3323)&gt;0,1,0)</f>
        <v>0</v>
      </c>
      <c r="L3323" s="16">
        <f>IF(COUNTIFS(Release_Calendar!$A$2:$A$755,"US_NFP",Release_Calendar!$B$2:$B$755,$A3323)&gt;0,1,0)</f>
        <v>0</v>
      </c>
      <c r="M3323" s="16" t="str">
        <f>IF($A3323&lt;Notes!$B$5,"",IF(COUNTIFS(Release_Calendar!$A$2:$A$755,"NZ_CPI",Release_Calendar!$B$2:$B$755,$A3323)&gt;0,1,0))</f>
        <v/>
      </c>
      <c r="N3323" s="16" t="str">
        <f>IF($A3323&lt;Notes!$B$5,"",IF(COUNTIFS(Release_Calendar!$A$2:$A$755,"NZ_GDP",Release_Calendar!$B$2:$B$755,$A3323)&gt;0,1,0))</f>
        <v/>
      </c>
      <c r="O3323" s="16" t="str">
        <f>IF($A3323&lt;Notes!$B$5,"",IF(COUNTIFS(Release_Calendar!$A$2:$A$755,"NZ_LABOUR",Release_Calendar!$B$2:$B$755,$A3323)&gt;0,1,0))</f>
        <v/>
      </c>
      <c r="P3323" s="16">
        <f t="shared" si="4"/>
        <v>0</v>
      </c>
    </row>
    <row r="3324" ht="15.75" customHeight="1">
      <c r="A3324" s="14">
        <v>41178.0</v>
      </c>
      <c r="B3324" s="15">
        <v>0.26</v>
      </c>
      <c r="C3324" s="15">
        <v>2.68</v>
      </c>
      <c r="D3324" s="15">
        <v>2.5</v>
      </c>
      <c r="E3324" s="15">
        <v>2.52</v>
      </c>
      <c r="F3324" s="15">
        <f t="shared" si="1"/>
        <v>2.42</v>
      </c>
      <c r="G3324" s="15">
        <f t="shared" si="2"/>
        <v>2.68</v>
      </c>
      <c r="H3324" s="16">
        <v>0.0</v>
      </c>
      <c r="I3324" s="15">
        <f t="shared" si="3"/>
        <v>2.42</v>
      </c>
      <c r="J3324" s="15">
        <v>16.81</v>
      </c>
      <c r="K3324" s="16">
        <f>IF(COUNTIFS(Release_Calendar!$A$2:$A$755,"US_CPI",Release_Calendar!$B$2:$B$755,$A3324)&gt;0,1,0)</f>
        <v>0</v>
      </c>
      <c r="L3324" s="16">
        <f>IF(COUNTIFS(Release_Calendar!$A$2:$A$755,"US_NFP",Release_Calendar!$B$2:$B$755,$A3324)&gt;0,1,0)</f>
        <v>0</v>
      </c>
      <c r="M3324" s="16" t="str">
        <f>IF($A3324&lt;Notes!$B$5,"",IF(COUNTIFS(Release_Calendar!$A$2:$A$755,"NZ_CPI",Release_Calendar!$B$2:$B$755,$A3324)&gt;0,1,0))</f>
        <v/>
      </c>
      <c r="N3324" s="16" t="str">
        <f>IF($A3324&lt;Notes!$B$5,"",IF(COUNTIFS(Release_Calendar!$A$2:$A$755,"NZ_GDP",Release_Calendar!$B$2:$B$755,$A3324)&gt;0,1,0))</f>
        <v/>
      </c>
      <c r="O3324" s="16" t="str">
        <f>IF($A3324&lt;Notes!$B$5,"",IF(COUNTIFS(Release_Calendar!$A$2:$A$755,"NZ_LABOUR",Release_Calendar!$B$2:$B$755,$A3324)&gt;0,1,0))</f>
        <v/>
      </c>
      <c r="P3324" s="16">
        <f t="shared" si="4"/>
        <v>0</v>
      </c>
    </row>
    <row r="3325" ht="15.75" customHeight="1">
      <c r="A3325" s="14">
        <v>41179.0</v>
      </c>
      <c r="B3325" s="15">
        <v>0.25</v>
      </c>
      <c r="C3325" s="15">
        <v>2.66</v>
      </c>
      <c r="D3325" s="15">
        <v>2.47</v>
      </c>
      <c r="E3325" s="15">
        <v>2.49</v>
      </c>
      <c r="F3325" s="15">
        <f t="shared" si="1"/>
        <v>2.41</v>
      </c>
      <c r="G3325" s="15">
        <f t="shared" si="2"/>
        <v>2.66</v>
      </c>
      <c r="H3325" s="16">
        <v>0.0</v>
      </c>
      <c r="I3325" s="15">
        <f t="shared" si="3"/>
        <v>2.41</v>
      </c>
      <c r="J3325" s="15">
        <v>14.84</v>
      </c>
      <c r="K3325" s="16">
        <f>IF(COUNTIFS(Release_Calendar!$A$2:$A$755,"US_CPI",Release_Calendar!$B$2:$B$755,$A3325)&gt;0,1,0)</f>
        <v>0</v>
      </c>
      <c r="L3325" s="16">
        <f>IF(COUNTIFS(Release_Calendar!$A$2:$A$755,"US_NFP",Release_Calendar!$B$2:$B$755,$A3325)&gt;0,1,0)</f>
        <v>0</v>
      </c>
      <c r="M3325" s="16" t="str">
        <f>IF($A3325&lt;Notes!$B$5,"",IF(COUNTIFS(Release_Calendar!$A$2:$A$755,"NZ_CPI",Release_Calendar!$B$2:$B$755,$A3325)&gt;0,1,0))</f>
        <v/>
      </c>
      <c r="N3325" s="16" t="str">
        <f>IF($A3325&lt;Notes!$B$5,"",IF(COUNTIFS(Release_Calendar!$A$2:$A$755,"NZ_GDP",Release_Calendar!$B$2:$B$755,$A3325)&gt;0,1,0))</f>
        <v/>
      </c>
      <c r="O3325" s="16" t="str">
        <f>IF($A3325&lt;Notes!$B$5,"",IF(COUNTIFS(Release_Calendar!$A$2:$A$755,"NZ_LABOUR",Release_Calendar!$B$2:$B$755,$A3325)&gt;0,1,0))</f>
        <v/>
      </c>
      <c r="P3325" s="16">
        <f t="shared" si="4"/>
        <v>0</v>
      </c>
    </row>
    <row r="3326" ht="15.75" customHeight="1">
      <c r="A3326" s="14">
        <v>41180.0</v>
      </c>
      <c r="B3326" s="15">
        <v>0.23</v>
      </c>
      <c r="C3326" s="15">
        <v>2.68</v>
      </c>
      <c r="D3326" s="15">
        <v>2.51</v>
      </c>
      <c r="E3326" s="15">
        <v>2.49</v>
      </c>
      <c r="F3326" s="15">
        <f t="shared" si="1"/>
        <v>2.45</v>
      </c>
      <c r="G3326" s="15">
        <f t="shared" si="2"/>
        <v>2.68</v>
      </c>
      <c r="H3326" s="16">
        <v>0.0</v>
      </c>
      <c r="I3326" s="15">
        <f t="shared" si="3"/>
        <v>2.45</v>
      </c>
      <c r="J3326" s="15">
        <v>15.73</v>
      </c>
      <c r="K3326" s="16">
        <f>IF(COUNTIFS(Release_Calendar!$A$2:$A$755,"US_CPI",Release_Calendar!$B$2:$B$755,$A3326)&gt;0,1,0)</f>
        <v>0</v>
      </c>
      <c r="L3326" s="16">
        <f>IF(COUNTIFS(Release_Calendar!$A$2:$A$755,"US_NFP",Release_Calendar!$B$2:$B$755,$A3326)&gt;0,1,0)</f>
        <v>0</v>
      </c>
      <c r="M3326" s="16" t="str">
        <f>IF($A3326&lt;Notes!$B$5,"",IF(COUNTIFS(Release_Calendar!$A$2:$A$755,"NZ_CPI",Release_Calendar!$B$2:$B$755,$A3326)&gt;0,1,0))</f>
        <v/>
      </c>
      <c r="N3326" s="16" t="str">
        <f>IF($A3326&lt;Notes!$B$5,"",IF(COUNTIFS(Release_Calendar!$A$2:$A$755,"NZ_GDP",Release_Calendar!$B$2:$B$755,$A3326)&gt;0,1,0))</f>
        <v/>
      </c>
      <c r="O3326" s="16" t="str">
        <f>IF($A3326&lt;Notes!$B$5,"",IF(COUNTIFS(Release_Calendar!$A$2:$A$755,"NZ_LABOUR",Release_Calendar!$B$2:$B$755,$A3326)&gt;0,1,0))</f>
        <v/>
      </c>
      <c r="P3326" s="16">
        <f t="shared" si="4"/>
        <v>0</v>
      </c>
    </row>
    <row r="3327" ht="15.75" customHeight="1">
      <c r="A3327" s="14">
        <v>41183.0</v>
      </c>
      <c r="B3327" s="15">
        <v>0.25</v>
      </c>
      <c r="C3327" s="15">
        <v>2.66</v>
      </c>
      <c r="D3327" s="15">
        <v>2.48</v>
      </c>
      <c r="E3327" s="15">
        <v>2.49</v>
      </c>
      <c r="F3327" s="15">
        <f t="shared" si="1"/>
        <v>2.41</v>
      </c>
      <c r="G3327" s="15">
        <f t="shared" si="2"/>
        <v>2.66</v>
      </c>
      <c r="H3327" s="16">
        <v>0.0</v>
      </c>
      <c r="I3327" s="15">
        <f t="shared" si="3"/>
        <v>2.41</v>
      </c>
      <c r="J3327" s="15">
        <v>16.32</v>
      </c>
      <c r="K3327" s="16">
        <f>IF(COUNTIFS(Release_Calendar!$A$2:$A$755,"US_CPI",Release_Calendar!$B$2:$B$755,$A3327)&gt;0,1,0)</f>
        <v>0</v>
      </c>
      <c r="L3327" s="16">
        <f>IF(COUNTIFS(Release_Calendar!$A$2:$A$755,"US_NFP",Release_Calendar!$B$2:$B$755,$A3327)&gt;0,1,0)</f>
        <v>0</v>
      </c>
      <c r="M3327" s="16" t="str">
        <f>IF($A3327&lt;Notes!$B$5,"",IF(COUNTIFS(Release_Calendar!$A$2:$A$755,"NZ_CPI",Release_Calendar!$B$2:$B$755,$A3327)&gt;0,1,0))</f>
        <v/>
      </c>
      <c r="N3327" s="16" t="str">
        <f>IF($A3327&lt;Notes!$B$5,"",IF(COUNTIFS(Release_Calendar!$A$2:$A$755,"NZ_GDP",Release_Calendar!$B$2:$B$755,$A3327)&gt;0,1,0))</f>
        <v/>
      </c>
      <c r="O3327" s="16" t="str">
        <f>IF($A3327&lt;Notes!$B$5,"",IF(COUNTIFS(Release_Calendar!$A$2:$A$755,"NZ_LABOUR",Release_Calendar!$B$2:$B$755,$A3327)&gt;0,1,0))</f>
        <v/>
      </c>
      <c r="P3327" s="16">
        <f t="shared" si="4"/>
        <v>0</v>
      </c>
    </row>
    <row r="3328" ht="15.75" customHeight="1">
      <c r="A3328" s="14">
        <v>41184.0</v>
      </c>
      <c r="B3328" s="15">
        <v>0.23</v>
      </c>
      <c r="C3328" s="15">
        <v>2.65</v>
      </c>
      <c r="D3328" s="15">
        <v>2.48</v>
      </c>
      <c r="E3328" s="15">
        <v>2.46</v>
      </c>
      <c r="F3328" s="15">
        <f t="shared" si="1"/>
        <v>2.42</v>
      </c>
      <c r="G3328" s="15">
        <f t="shared" si="2"/>
        <v>2.65</v>
      </c>
      <c r="H3328" s="16">
        <v>0.0</v>
      </c>
      <c r="I3328" s="15">
        <f t="shared" si="3"/>
        <v>2.42</v>
      </c>
      <c r="J3328" s="15">
        <v>15.71</v>
      </c>
      <c r="K3328" s="16">
        <f>IF(COUNTIFS(Release_Calendar!$A$2:$A$755,"US_CPI",Release_Calendar!$B$2:$B$755,$A3328)&gt;0,1,0)</f>
        <v>0</v>
      </c>
      <c r="L3328" s="16">
        <f>IF(COUNTIFS(Release_Calendar!$A$2:$A$755,"US_NFP",Release_Calendar!$B$2:$B$755,$A3328)&gt;0,1,0)</f>
        <v>0</v>
      </c>
      <c r="M3328" s="16" t="str">
        <f>IF($A3328&lt;Notes!$B$5,"",IF(COUNTIFS(Release_Calendar!$A$2:$A$755,"NZ_CPI",Release_Calendar!$B$2:$B$755,$A3328)&gt;0,1,0))</f>
        <v/>
      </c>
      <c r="N3328" s="16" t="str">
        <f>IF($A3328&lt;Notes!$B$5,"",IF(COUNTIFS(Release_Calendar!$A$2:$A$755,"NZ_GDP",Release_Calendar!$B$2:$B$755,$A3328)&gt;0,1,0))</f>
        <v/>
      </c>
      <c r="O3328" s="16" t="str">
        <f>IF($A3328&lt;Notes!$B$5,"",IF(COUNTIFS(Release_Calendar!$A$2:$A$755,"NZ_LABOUR",Release_Calendar!$B$2:$B$755,$A3328)&gt;0,1,0))</f>
        <v/>
      </c>
      <c r="P3328" s="16">
        <f t="shared" si="4"/>
        <v>0</v>
      </c>
    </row>
    <row r="3329" ht="15.75" customHeight="1">
      <c r="A3329" s="14">
        <v>41185.0</v>
      </c>
      <c r="B3329" s="15">
        <v>0.23</v>
      </c>
      <c r="C3329" s="15">
        <v>2.59</v>
      </c>
      <c r="D3329" s="15">
        <v>2.47</v>
      </c>
      <c r="E3329" s="15">
        <v>2.43</v>
      </c>
      <c r="F3329" s="15">
        <f t="shared" si="1"/>
        <v>2.36</v>
      </c>
      <c r="G3329" s="15">
        <f t="shared" si="2"/>
        <v>2.59</v>
      </c>
      <c r="H3329" s="16">
        <v>0.0</v>
      </c>
      <c r="I3329" s="15">
        <f t="shared" si="3"/>
        <v>2.36</v>
      </c>
      <c r="J3329" s="15">
        <v>15.43</v>
      </c>
      <c r="K3329" s="16">
        <f>IF(COUNTIFS(Release_Calendar!$A$2:$A$755,"US_CPI",Release_Calendar!$B$2:$B$755,$A3329)&gt;0,1,0)</f>
        <v>0</v>
      </c>
      <c r="L3329" s="16">
        <f>IF(COUNTIFS(Release_Calendar!$A$2:$A$755,"US_NFP",Release_Calendar!$B$2:$B$755,$A3329)&gt;0,1,0)</f>
        <v>0</v>
      </c>
      <c r="M3329" s="16" t="str">
        <f>IF($A3329&lt;Notes!$B$5,"",IF(COUNTIFS(Release_Calendar!$A$2:$A$755,"NZ_CPI",Release_Calendar!$B$2:$B$755,$A3329)&gt;0,1,0))</f>
        <v/>
      </c>
      <c r="N3329" s="16" t="str">
        <f>IF($A3329&lt;Notes!$B$5,"",IF(COUNTIFS(Release_Calendar!$A$2:$A$755,"NZ_GDP",Release_Calendar!$B$2:$B$755,$A3329)&gt;0,1,0))</f>
        <v/>
      </c>
      <c r="O3329" s="16" t="str">
        <f>IF($A3329&lt;Notes!$B$5,"",IF(COUNTIFS(Release_Calendar!$A$2:$A$755,"NZ_LABOUR",Release_Calendar!$B$2:$B$755,$A3329)&gt;0,1,0))</f>
        <v/>
      </c>
      <c r="P3329" s="16">
        <f t="shared" si="4"/>
        <v>0</v>
      </c>
    </row>
    <row r="3330" ht="15.75" customHeight="1">
      <c r="A3330" s="14">
        <v>41186.0</v>
      </c>
      <c r="B3330" s="15">
        <v>0.23</v>
      </c>
      <c r="C3330" s="15">
        <v>2.62</v>
      </c>
      <c r="D3330" s="15">
        <v>2.43</v>
      </c>
      <c r="E3330" s="15">
        <v>2.48</v>
      </c>
      <c r="F3330" s="15">
        <f t="shared" si="1"/>
        <v>2.39</v>
      </c>
      <c r="G3330" s="15">
        <f t="shared" si="2"/>
        <v>2.62</v>
      </c>
      <c r="H3330" s="16">
        <v>0.0</v>
      </c>
      <c r="I3330" s="15">
        <f t="shared" si="3"/>
        <v>2.39</v>
      </c>
      <c r="J3330" s="15">
        <v>14.55</v>
      </c>
      <c r="K3330" s="16">
        <f>IF(COUNTIFS(Release_Calendar!$A$2:$A$755,"US_CPI",Release_Calendar!$B$2:$B$755,$A3330)&gt;0,1,0)</f>
        <v>0</v>
      </c>
      <c r="L3330" s="16">
        <f>IF(COUNTIFS(Release_Calendar!$A$2:$A$755,"US_NFP",Release_Calendar!$B$2:$B$755,$A3330)&gt;0,1,0)</f>
        <v>0</v>
      </c>
      <c r="M3330" s="16" t="str">
        <f>IF($A3330&lt;Notes!$B$5,"",IF(COUNTIFS(Release_Calendar!$A$2:$A$755,"NZ_CPI",Release_Calendar!$B$2:$B$755,$A3330)&gt;0,1,0))</f>
        <v/>
      </c>
      <c r="N3330" s="16" t="str">
        <f>IF($A3330&lt;Notes!$B$5,"",IF(COUNTIFS(Release_Calendar!$A$2:$A$755,"NZ_GDP",Release_Calendar!$B$2:$B$755,$A3330)&gt;0,1,0))</f>
        <v/>
      </c>
      <c r="O3330" s="16" t="str">
        <f>IF($A3330&lt;Notes!$B$5,"",IF(COUNTIFS(Release_Calendar!$A$2:$A$755,"NZ_LABOUR",Release_Calendar!$B$2:$B$755,$A3330)&gt;0,1,0))</f>
        <v/>
      </c>
      <c r="P3330" s="16">
        <f t="shared" si="4"/>
        <v>0</v>
      </c>
    </row>
    <row r="3331" ht="15.75" customHeight="1">
      <c r="A3331" s="14">
        <v>41187.0</v>
      </c>
      <c r="B3331" s="15">
        <v>0.27</v>
      </c>
      <c r="C3331" s="15">
        <v>2.64</v>
      </c>
      <c r="D3331" s="15">
        <v>2.49</v>
      </c>
      <c r="E3331" s="15">
        <v>2.49</v>
      </c>
      <c r="F3331" s="15">
        <f t="shared" si="1"/>
        <v>2.37</v>
      </c>
      <c r="G3331" s="15">
        <f t="shared" si="2"/>
        <v>2.64</v>
      </c>
      <c r="H3331" s="16">
        <v>0.0</v>
      </c>
      <c r="I3331" s="15">
        <f t="shared" si="3"/>
        <v>2.37</v>
      </c>
      <c r="J3331" s="15">
        <v>14.33</v>
      </c>
      <c r="K3331" s="16">
        <f>IF(COUNTIFS(Release_Calendar!$A$2:$A$755,"US_CPI",Release_Calendar!$B$2:$B$755,$A3331)&gt;0,1,0)</f>
        <v>0</v>
      </c>
      <c r="L3331" s="16">
        <f>IF(COUNTIFS(Release_Calendar!$A$2:$A$755,"US_NFP",Release_Calendar!$B$2:$B$755,$A3331)&gt;0,1,0)</f>
        <v>1</v>
      </c>
      <c r="M3331" s="16" t="str">
        <f>IF($A3331&lt;Notes!$B$5,"",IF(COUNTIFS(Release_Calendar!$A$2:$A$755,"NZ_CPI",Release_Calendar!$B$2:$B$755,$A3331)&gt;0,1,0))</f>
        <v/>
      </c>
      <c r="N3331" s="16" t="str">
        <f>IF($A3331&lt;Notes!$B$5,"",IF(COUNTIFS(Release_Calendar!$A$2:$A$755,"NZ_GDP",Release_Calendar!$B$2:$B$755,$A3331)&gt;0,1,0))</f>
        <v/>
      </c>
      <c r="O3331" s="16" t="str">
        <f>IF($A3331&lt;Notes!$B$5,"",IF(COUNTIFS(Release_Calendar!$A$2:$A$755,"NZ_LABOUR",Release_Calendar!$B$2:$B$755,$A3331)&gt;0,1,0))</f>
        <v/>
      </c>
      <c r="P3331" s="16">
        <f t="shared" si="4"/>
        <v>1</v>
      </c>
    </row>
    <row r="3332" ht="15.75" customHeight="1">
      <c r="A3332" s="14">
        <v>41190.0</v>
      </c>
      <c r="B3332" s="15"/>
      <c r="C3332" s="15">
        <v>2.66</v>
      </c>
      <c r="D3332" s="15">
        <v>2.52</v>
      </c>
      <c r="E3332" s="15">
        <v>2.51</v>
      </c>
      <c r="F3332" s="15" t="str">
        <f t="shared" si="1"/>
        <v/>
      </c>
      <c r="G3332" s="15">
        <f t="shared" si="2"/>
        <v>2.66</v>
      </c>
      <c r="H3332" s="16">
        <v>0.0</v>
      </c>
      <c r="I3332" s="15" t="str">
        <f t="shared" si="3"/>
        <v/>
      </c>
      <c r="J3332" s="15">
        <v>15.11</v>
      </c>
      <c r="K3332" s="16">
        <f>IF(COUNTIFS(Release_Calendar!$A$2:$A$755,"US_CPI",Release_Calendar!$B$2:$B$755,$A3332)&gt;0,1,0)</f>
        <v>0</v>
      </c>
      <c r="L3332" s="16">
        <f>IF(COUNTIFS(Release_Calendar!$A$2:$A$755,"US_NFP",Release_Calendar!$B$2:$B$755,$A3332)&gt;0,1,0)</f>
        <v>0</v>
      </c>
      <c r="M3332" s="16" t="str">
        <f>IF($A3332&lt;Notes!$B$5,"",IF(COUNTIFS(Release_Calendar!$A$2:$A$755,"NZ_CPI",Release_Calendar!$B$2:$B$755,$A3332)&gt;0,1,0))</f>
        <v/>
      </c>
      <c r="N3332" s="16" t="str">
        <f>IF($A3332&lt;Notes!$B$5,"",IF(COUNTIFS(Release_Calendar!$A$2:$A$755,"NZ_GDP",Release_Calendar!$B$2:$B$755,$A3332)&gt;0,1,0))</f>
        <v/>
      </c>
      <c r="O3332" s="16" t="str">
        <f>IF($A3332&lt;Notes!$B$5,"",IF(COUNTIFS(Release_Calendar!$A$2:$A$755,"NZ_LABOUR",Release_Calendar!$B$2:$B$755,$A3332)&gt;0,1,0))</f>
        <v/>
      </c>
      <c r="P3332" s="16">
        <f t="shared" si="4"/>
        <v>0</v>
      </c>
    </row>
    <row r="3333" ht="15.75" customHeight="1">
      <c r="A3333" s="14">
        <v>41191.0</v>
      </c>
      <c r="B3333" s="15">
        <v>0.25</v>
      </c>
      <c r="C3333" s="15">
        <v>2.64</v>
      </c>
      <c r="D3333" s="15">
        <v>2.48</v>
      </c>
      <c r="E3333" s="15">
        <v>2.51</v>
      </c>
      <c r="F3333" s="15">
        <f t="shared" si="1"/>
        <v>2.39</v>
      </c>
      <c r="G3333" s="15">
        <f t="shared" si="2"/>
        <v>2.64</v>
      </c>
      <c r="H3333" s="16">
        <v>0.0</v>
      </c>
      <c r="I3333" s="15">
        <f t="shared" si="3"/>
        <v>2.39</v>
      </c>
      <c r="J3333" s="15">
        <v>16.37</v>
      </c>
      <c r="K3333" s="16">
        <f>IF(COUNTIFS(Release_Calendar!$A$2:$A$755,"US_CPI",Release_Calendar!$B$2:$B$755,$A3333)&gt;0,1,0)</f>
        <v>0</v>
      </c>
      <c r="L3333" s="16">
        <f>IF(COUNTIFS(Release_Calendar!$A$2:$A$755,"US_NFP",Release_Calendar!$B$2:$B$755,$A3333)&gt;0,1,0)</f>
        <v>0</v>
      </c>
      <c r="M3333" s="16" t="str">
        <f>IF($A3333&lt;Notes!$B$5,"",IF(COUNTIFS(Release_Calendar!$A$2:$A$755,"NZ_CPI",Release_Calendar!$B$2:$B$755,$A3333)&gt;0,1,0))</f>
        <v/>
      </c>
      <c r="N3333" s="16" t="str">
        <f>IF($A3333&lt;Notes!$B$5,"",IF(COUNTIFS(Release_Calendar!$A$2:$A$755,"NZ_GDP",Release_Calendar!$B$2:$B$755,$A3333)&gt;0,1,0))</f>
        <v/>
      </c>
      <c r="O3333" s="16" t="str">
        <f>IF($A3333&lt;Notes!$B$5,"",IF(COUNTIFS(Release_Calendar!$A$2:$A$755,"NZ_LABOUR",Release_Calendar!$B$2:$B$755,$A3333)&gt;0,1,0))</f>
        <v/>
      </c>
      <c r="P3333" s="16">
        <f t="shared" si="4"/>
        <v>0</v>
      </c>
    </row>
    <row r="3334" ht="15.75" customHeight="1">
      <c r="A3334" s="14">
        <v>41192.0</v>
      </c>
      <c r="B3334" s="15">
        <v>0.27</v>
      </c>
      <c r="C3334" s="15">
        <v>2.63</v>
      </c>
      <c r="D3334" s="15">
        <v>2.5</v>
      </c>
      <c r="E3334" s="15">
        <v>2.51</v>
      </c>
      <c r="F3334" s="15">
        <f t="shared" si="1"/>
        <v>2.36</v>
      </c>
      <c r="G3334" s="15">
        <f t="shared" si="2"/>
        <v>2.63</v>
      </c>
      <c r="H3334" s="16">
        <v>0.0</v>
      </c>
      <c r="I3334" s="15">
        <f t="shared" si="3"/>
        <v>2.36</v>
      </c>
      <c r="J3334" s="15">
        <v>16.29</v>
      </c>
      <c r="K3334" s="16">
        <f>IF(COUNTIFS(Release_Calendar!$A$2:$A$755,"US_CPI",Release_Calendar!$B$2:$B$755,$A3334)&gt;0,1,0)</f>
        <v>0</v>
      </c>
      <c r="L3334" s="16">
        <f>IF(COUNTIFS(Release_Calendar!$A$2:$A$755,"US_NFP",Release_Calendar!$B$2:$B$755,$A3334)&gt;0,1,0)</f>
        <v>0</v>
      </c>
      <c r="M3334" s="16" t="str">
        <f>IF($A3334&lt;Notes!$B$5,"",IF(COUNTIFS(Release_Calendar!$A$2:$A$755,"NZ_CPI",Release_Calendar!$B$2:$B$755,$A3334)&gt;0,1,0))</f>
        <v/>
      </c>
      <c r="N3334" s="16" t="str">
        <f>IF($A3334&lt;Notes!$B$5,"",IF(COUNTIFS(Release_Calendar!$A$2:$A$755,"NZ_GDP",Release_Calendar!$B$2:$B$755,$A3334)&gt;0,1,0))</f>
        <v/>
      </c>
      <c r="O3334" s="16" t="str">
        <f>IF($A3334&lt;Notes!$B$5,"",IF(COUNTIFS(Release_Calendar!$A$2:$A$755,"NZ_LABOUR",Release_Calendar!$B$2:$B$755,$A3334)&gt;0,1,0))</f>
        <v/>
      </c>
      <c r="P3334" s="16">
        <f t="shared" si="4"/>
        <v>0</v>
      </c>
    </row>
    <row r="3335" ht="15.75" customHeight="1">
      <c r="A3335" s="14">
        <v>41193.0</v>
      </c>
      <c r="B3335" s="15">
        <v>0.28</v>
      </c>
      <c r="C3335" s="15">
        <v>2.63</v>
      </c>
      <c r="D3335" s="15">
        <v>2.5</v>
      </c>
      <c r="E3335" s="15">
        <v>2.55</v>
      </c>
      <c r="F3335" s="15">
        <f t="shared" si="1"/>
        <v>2.35</v>
      </c>
      <c r="G3335" s="15">
        <f t="shared" si="2"/>
        <v>2.63</v>
      </c>
      <c r="H3335" s="16">
        <v>0.0</v>
      </c>
      <c r="I3335" s="15">
        <f t="shared" si="3"/>
        <v>2.35</v>
      </c>
      <c r="J3335" s="15">
        <v>15.59</v>
      </c>
      <c r="K3335" s="16">
        <f>IF(COUNTIFS(Release_Calendar!$A$2:$A$755,"US_CPI",Release_Calendar!$B$2:$B$755,$A3335)&gt;0,1,0)</f>
        <v>0</v>
      </c>
      <c r="L3335" s="16">
        <f>IF(COUNTIFS(Release_Calendar!$A$2:$A$755,"US_NFP",Release_Calendar!$B$2:$B$755,$A3335)&gt;0,1,0)</f>
        <v>0</v>
      </c>
      <c r="M3335" s="16" t="str">
        <f>IF($A3335&lt;Notes!$B$5,"",IF(COUNTIFS(Release_Calendar!$A$2:$A$755,"NZ_CPI",Release_Calendar!$B$2:$B$755,$A3335)&gt;0,1,0))</f>
        <v/>
      </c>
      <c r="N3335" s="16" t="str">
        <f>IF($A3335&lt;Notes!$B$5,"",IF(COUNTIFS(Release_Calendar!$A$2:$A$755,"NZ_GDP",Release_Calendar!$B$2:$B$755,$A3335)&gt;0,1,0))</f>
        <v/>
      </c>
      <c r="O3335" s="16" t="str">
        <f>IF($A3335&lt;Notes!$B$5,"",IF(COUNTIFS(Release_Calendar!$A$2:$A$755,"NZ_LABOUR",Release_Calendar!$B$2:$B$755,$A3335)&gt;0,1,0))</f>
        <v/>
      </c>
      <c r="P3335" s="16">
        <f t="shared" si="4"/>
        <v>0</v>
      </c>
    </row>
    <row r="3336" ht="15.75" customHeight="1">
      <c r="A3336" s="14">
        <v>41194.0</v>
      </c>
      <c r="B3336" s="15">
        <v>0.27</v>
      </c>
      <c r="C3336" s="15">
        <v>2.62</v>
      </c>
      <c r="D3336" s="15">
        <v>2.54</v>
      </c>
      <c r="E3336" s="15">
        <v>2.53</v>
      </c>
      <c r="F3336" s="15">
        <f t="shared" si="1"/>
        <v>2.35</v>
      </c>
      <c r="G3336" s="15">
        <f t="shared" si="2"/>
        <v>2.62</v>
      </c>
      <c r="H3336" s="16">
        <v>0.0</v>
      </c>
      <c r="I3336" s="15">
        <f t="shared" si="3"/>
        <v>2.35</v>
      </c>
      <c r="J3336" s="15">
        <v>16.14</v>
      </c>
      <c r="K3336" s="16">
        <f>IF(COUNTIFS(Release_Calendar!$A$2:$A$755,"US_CPI",Release_Calendar!$B$2:$B$755,$A3336)&gt;0,1,0)</f>
        <v>0</v>
      </c>
      <c r="L3336" s="16">
        <f>IF(COUNTIFS(Release_Calendar!$A$2:$A$755,"US_NFP",Release_Calendar!$B$2:$B$755,$A3336)&gt;0,1,0)</f>
        <v>0</v>
      </c>
      <c r="M3336" s="16" t="str">
        <f>IF($A3336&lt;Notes!$B$5,"",IF(COUNTIFS(Release_Calendar!$A$2:$A$755,"NZ_CPI",Release_Calendar!$B$2:$B$755,$A3336)&gt;0,1,0))</f>
        <v/>
      </c>
      <c r="N3336" s="16" t="str">
        <f>IF($A3336&lt;Notes!$B$5,"",IF(COUNTIFS(Release_Calendar!$A$2:$A$755,"NZ_GDP",Release_Calendar!$B$2:$B$755,$A3336)&gt;0,1,0))</f>
        <v/>
      </c>
      <c r="O3336" s="16" t="str">
        <f>IF($A3336&lt;Notes!$B$5,"",IF(COUNTIFS(Release_Calendar!$A$2:$A$755,"NZ_LABOUR",Release_Calendar!$B$2:$B$755,$A3336)&gt;0,1,0))</f>
        <v/>
      </c>
      <c r="P3336" s="16">
        <f t="shared" si="4"/>
        <v>0</v>
      </c>
    </row>
    <row r="3337" ht="15.75" customHeight="1">
      <c r="A3337" s="14">
        <v>41197.0</v>
      </c>
      <c r="B3337" s="15">
        <v>0.27</v>
      </c>
      <c r="C3337" s="15">
        <v>2.58</v>
      </c>
      <c r="D3337" s="15">
        <v>2.51</v>
      </c>
      <c r="E3337" s="15">
        <v>2.48</v>
      </c>
      <c r="F3337" s="15">
        <f t="shared" si="1"/>
        <v>2.31</v>
      </c>
      <c r="G3337" s="15">
        <f t="shared" si="2"/>
        <v>2.58</v>
      </c>
      <c r="H3337" s="16">
        <v>0.0</v>
      </c>
      <c r="I3337" s="15">
        <f t="shared" si="3"/>
        <v>2.31</v>
      </c>
      <c r="J3337" s="15">
        <v>15.27</v>
      </c>
      <c r="K3337" s="16">
        <f>IF(COUNTIFS(Release_Calendar!$A$2:$A$755,"US_CPI",Release_Calendar!$B$2:$B$755,$A3337)&gt;0,1,0)</f>
        <v>0</v>
      </c>
      <c r="L3337" s="16">
        <f>IF(COUNTIFS(Release_Calendar!$A$2:$A$755,"US_NFP",Release_Calendar!$B$2:$B$755,$A3337)&gt;0,1,0)</f>
        <v>0</v>
      </c>
      <c r="M3337" s="16" t="str">
        <f>IF($A3337&lt;Notes!$B$5,"",IF(COUNTIFS(Release_Calendar!$A$2:$A$755,"NZ_CPI",Release_Calendar!$B$2:$B$755,$A3337)&gt;0,1,0))</f>
        <v/>
      </c>
      <c r="N3337" s="16" t="str">
        <f>IF($A3337&lt;Notes!$B$5,"",IF(COUNTIFS(Release_Calendar!$A$2:$A$755,"NZ_GDP",Release_Calendar!$B$2:$B$755,$A3337)&gt;0,1,0))</f>
        <v/>
      </c>
      <c r="O3337" s="16" t="str">
        <f>IF($A3337&lt;Notes!$B$5,"",IF(COUNTIFS(Release_Calendar!$A$2:$A$755,"NZ_LABOUR",Release_Calendar!$B$2:$B$755,$A3337)&gt;0,1,0))</f>
        <v/>
      </c>
      <c r="P3337" s="16">
        <f t="shared" si="4"/>
        <v>0</v>
      </c>
    </row>
    <row r="3338" ht="15.75" customHeight="1">
      <c r="A3338" s="14">
        <v>41198.0</v>
      </c>
      <c r="B3338" s="15">
        <v>0.27</v>
      </c>
      <c r="C3338" s="15">
        <v>2.51</v>
      </c>
      <c r="D3338" s="15">
        <v>2.44</v>
      </c>
      <c r="E3338" s="15">
        <v>2.43</v>
      </c>
      <c r="F3338" s="15">
        <f t="shared" si="1"/>
        <v>2.24</v>
      </c>
      <c r="G3338" s="15">
        <f t="shared" si="2"/>
        <v>2.51</v>
      </c>
      <c r="H3338" s="16">
        <v>0.0</v>
      </c>
      <c r="I3338" s="15">
        <f t="shared" si="3"/>
        <v>2.24</v>
      </c>
      <c r="J3338" s="15">
        <v>15.22</v>
      </c>
      <c r="K3338" s="16">
        <f>IF(COUNTIFS(Release_Calendar!$A$2:$A$755,"US_CPI",Release_Calendar!$B$2:$B$755,$A3338)&gt;0,1,0)</f>
        <v>1</v>
      </c>
      <c r="L3338" s="16">
        <f>IF(COUNTIFS(Release_Calendar!$A$2:$A$755,"US_NFP",Release_Calendar!$B$2:$B$755,$A3338)&gt;0,1,0)</f>
        <v>0</v>
      </c>
      <c r="M3338" s="16" t="str">
        <f>IF($A3338&lt;Notes!$B$5,"",IF(COUNTIFS(Release_Calendar!$A$2:$A$755,"NZ_CPI",Release_Calendar!$B$2:$B$755,$A3338)&gt;0,1,0))</f>
        <v/>
      </c>
      <c r="N3338" s="16" t="str">
        <f>IF($A3338&lt;Notes!$B$5,"",IF(COUNTIFS(Release_Calendar!$A$2:$A$755,"NZ_GDP",Release_Calendar!$B$2:$B$755,$A3338)&gt;0,1,0))</f>
        <v/>
      </c>
      <c r="O3338" s="16" t="str">
        <f>IF($A3338&lt;Notes!$B$5,"",IF(COUNTIFS(Release_Calendar!$A$2:$A$755,"NZ_LABOUR",Release_Calendar!$B$2:$B$755,$A3338)&gt;0,1,0))</f>
        <v/>
      </c>
      <c r="P3338" s="16">
        <f t="shared" si="4"/>
        <v>1</v>
      </c>
    </row>
    <row r="3339" ht="15.75" customHeight="1">
      <c r="A3339" s="14">
        <v>41199.0</v>
      </c>
      <c r="B3339" s="15">
        <v>0.3</v>
      </c>
      <c r="C3339" s="15">
        <v>2.54</v>
      </c>
      <c r="D3339" s="15">
        <v>2.47</v>
      </c>
      <c r="E3339" s="15">
        <v>2.47</v>
      </c>
      <c r="F3339" s="15">
        <f t="shared" si="1"/>
        <v>2.24</v>
      </c>
      <c r="G3339" s="15">
        <f t="shared" si="2"/>
        <v>2.54</v>
      </c>
      <c r="H3339" s="16">
        <v>0.0</v>
      </c>
      <c r="I3339" s="15">
        <f t="shared" si="3"/>
        <v>2.24</v>
      </c>
      <c r="J3339" s="15">
        <v>15.07</v>
      </c>
      <c r="K3339" s="16">
        <f>IF(COUNTIFS(Release_Calendar!$A$2:$A$755,"US_CPI",Release_Calendar!$B$2:$B$755,$A3339)&gt;0,1,0)</f>
        <v>0</v>
      </c>
      <c r="L3339" s="16">
        <f>IF(COUNTIFS(Release_Calendar!$A$2:$A$755,"US_NFP",Release_Calendar!$B$2:$B$755,$A3339)&gt;0,1,0)</f>
        <v>0</v>
      </c>
      <c r="M3339" s="16" t="str">
        <f>IF($A3339&lt;Notes!$B$5,"",IF(COUNTIFS(Release_Calendar!$A$2:$A$755,"NZ_CPI",Release_Calendar!$B$2:$B$755,$A3339)&gt;0,1,0))</f>
        <v/>
      </c>
      <c r="N3339" s="16" t="str">
        <f>IF($A3339&lt;Notes!$B$5,"",IF(COUNTIFS(Release_Calendar!$A$2:$A$755,"NZ_GDP",Release_Calendar!$B$2:$B$755,$A3339)&gt;0,1,0))</f>
        <v/>
      </c>
      <c r="O3339" s="16" t="str">
        <f>IF($A3339&lt;Notes!$B$5,"",IF(COUNTIFS(Release_Calendar!$A$2:$A$755,"NZ_LABOUR",Release_Calendar!$B$2:$B$755,$A3339)&gt;0,1,0))</f>
        <v/>
      </c>
      <c r="P3339" s="16">
        <f t="shared" si="4"/>
        <v>0</v>
      </c>
    </row>
    <row r="3340" ht="15.75" customHeight="1">
      <c r="A3340" s="14">
        <v>41200.0</v>
      </c>
      <c r="B3340" s="15">
        <v>0.29</v>
      </c>
      <c r="C3340" s="15">
        <v>2.57</v>
      </c>
      <c r="D3340" s="15">
        <v>2.53</v>
      </c>
      <c r="E3340" s="15">
        <v>2.5</v>
      </c>
      <c r="F3340" s="15">
        <f t="shared" si="1"/>
        <v>2.28</v>
      </c>
      <c r="G3340" s="15">
        <f t="shared" si="2"/>
        <v>2.57</v>
      </c>
      <c r="H3340" s="16">
        <v>0.0</v>
      </c>
      <c r="I3340" s="15">
        <f t="shared" si="3"/>
        <v>2.28</v>
      </c>
      <c r="J3340" s="15">
        <v>15.03</v>
      </c>
      <c r="K3340" s="16">
        <f>IF(COUNTIFS(Release_Calendar!$A$2:$A$755,"US_CPI",Release_Calendar!$B$2:$B$755,$A3340)&gt;0,1,0)</f>
        <v>0</v>
      </c>
      <c r="L3340" s="16">
        <f>IF(COUNTIFS(Release_Calendar!$A$2:$A$755,"US_NFP",Release_Calendar!$B$2:$B$755,$A3340)&gt;0,1,0)</f>
        <v>0</v>
      </c>
      <c r="M3340" s="16" t="str">
        <f>IF($A3340&lt;Notes!$B$5,"",IF(COUNTIFS(Release_Calendar!$A$2:$A$755,"NZ_CPI",Release_Calendar!$B$2:$B$755,$A3340)&gt;0,1,0))</f>
        <v/>
      </c>
      <c r="N3340" s="16" t="str">
        <f>IF($A3340&lt;Notes!$B$5,"",IF(COUNTIFS(Release_Calendar!$A$2:$A$755,"NZ_GDP",Release_Calendar!$B$2:$B$755,$A3340)&gt;0,1,0))</f>
        <v/>
      </c>
      <c r="O3340" s="16" t="str">
        <f>IF($A3340&lt;Notes!$B$5,"",IF(COUNTIFS(Release_Calendar!$A$2:$A$755,"NZ_LABOUR",Release_Calendar!$B$2:$B$755,$A3340)&gt;0,1,0))</f>
        <v/>
      </c>
      <c r="P3340" s="16">
        <f t="shared" si="4"/>
        <v>0</v>
      </c>
    </row>
    <row r="3341" ht="15.75" customHeight="1">
      <c r="A3341" s="14">
        <v>41201.0</v>
      </c>
      <c r="B3341" s="15">
        <v>0.3</v>
      </c>
      <c r="C3341" s="15">
        <v>2.57</v>
      </c>
      <c r="D3341" s="15">
        <v>2.5</v>
      </c>
      <c r="E3341" s="15">
        <v>2.5</v>
      </c>
      <c r="F3341" s="15">
        <f t="shared" si="1"/>
        <v>2.27</v>
      </c>
      <c r="G3341" s="15">
        <f t="shared" si="2"/>
        <v>2.57</v>
      </c>
      <c r="H3341" s="16">
        <v>0.0</v>
      </c>
      <c r="I3341" s="15">
        <f t="shared" si="3"/>
        <v>2.27</v>
      </c>
      <c r="J3341" s="15">
        <v>17.06</v>
      </c>
      <c r="K3341" s="16">
        <f>IF(COUNTIFS(Release_Calendar!$A$2:$A$755,"US_CPI",Release_Calendar!$B$2:$B$755,$A3341)&gt;0,1,0)</f>
        <v>0</v>
      </c>
      <c r="L3341" s="16">
        <f>IF(COUNTIFS(Release_Calendar!$A$2:$A$755,"US_NFP",Release_Calendar!$B$2:$B$755,$A3341)&gt;0,1,0)</f>
        <v>0</v>
      </c>
      <c r="M3341" s="16" t="str">
        <f>IF($A3341&lt;Notes!$B$5,"",IF(COUNTIFS(Release_Calendar!$A$2:$A$755,"NZ_CPI",Release_Calendar!$B$2:$B$755,$A3341)&gt;0,1,0))</f>
        <v/>
      </c>
      <c r="N3341" s="16" t="str">
        <f>IF($A3341&lt;Notes!$B$5,"",IF(COUNTIFS(Release_Calendar!$A$2:$A$755,"NZ_GDP",Release_Calendar!$B$2:$B$755,$A3341)&gt;0,1,0))</f>
        <v/>
      </c>
      <c r="O3341" s="16" t="str">
        <f>IF($A3341&lt;Notes!$B$5,"",IF(COUNTIFS(Release_Calendar!$A$2:$A$755,"NZ_LABOUR",Release_Calendar!$B$2:$B$755,$A3341)&gt;0,1,0))</f>
        <v/>
      </c>
      <c r="P3341" s="16">
        <f t="shared" si="4"/>
        <v>0</v>
      </c>
    </row>
    <row r="3342" ht="15.75" customHeight="1">
      <c r="A3342" s="14">
        <v>41204.0</v>
      </c>
      <c r="B3342" s="15">
        <v>0.32</v>
      </c>
      <c r="C3342" s="15"/>
      <c r="D3342" s="15"/>
      <c r="E3342" s="15"/>
      <c r="F3342" s="15" t="str">
        <f t="shared" si="1"/>
        <v/>
      </c>
      <c r="G3342" s="15" t="str">
        <f t="shared" si="2"/>
        <v/>
      </c>
      <c r="H3342" s="16">
        <v>0.0</v>
      </c>
      <c r="I3342" s="15" t="str">
        <f t="shared" si="3"/>
        <v/>
      </c>
      <c r="J3342" s="15">
        <v>16.62</v>
      </c>
      <c r="K3342" s="16">
        <f>IF(COUNTIFS(Release_Calendar!$A$2:$A$755,"US_CPI",Release_Calendar!$B$2:$B$755,$A3342)&gt;0,1,0)</f>
        <v>0</v>
      </c>
      <c r="L3342" s="16">
        <f>IF(COUNTIFS(Release_Calendar!$A$2:$A$755,"US_NFP",Release_Calendar!$B$2:$B$755,$A3342)&gt;0,1,0)</f>
        <v>0</v>
      </c>
      <c r="M3342" s="16" t="str">
        <f>IF($A3342&lt;Notes!$B$5,"",IF(COUNTIFS(Release_Calendar!$A$2:$A$755,"NZ_CPI",Release_Calendar!$B$2:$B$755,$A3342)&gt;0,1,0))</f>
        <v/>
      </c>
      <c r="N3342" s="16" t="str">
        <f>IF($A3342&lt;Notes!$B$5,"",IF(COUNTIFS(Release_Calendar!$A$2:$A$755,"NZ_GDP",Release_Calendar!$B$2:$B$755,$A3342)&gt;0,1,0))</f>
        <v/>
      </c>
      <c r="O3342" s="16" t="str">
        <f>IF($A3342&lt;Notes!$B$5,"",IF(COUNTIFS(Release_Calendar!$A$2:$A$755,"NZ_LABOUR",Release_Calendar!$B$2:$B$755,$A3342)&gt;0,1,0))</f>
        <v/>
      </c>
      <c r="P3342" s="16">
        <f t="shared" si="4"/>
        <v>0</v>
      </c>
    </row>
    <row r="3343" ht="15.75" customHeight="1">
      <c r="A3343" s="14">
        <v>41205.0</v>
      </c>
      <c r="B3343" s="15">
        <v>0.29</v>
      </c>
      <c r="C3343" s="15">
        <v>2.57</v>
      </c>
      <c r="D3343" s="15">
        <v>2.51</v>
      </c>
      <c r="E3343" s="15">
        <v>2.5</v>
      </c>
      <c r="F3343" s="15">
        <f t="shared" si="1"/>
        <v>2.28</v>
      </c>
      <c r="G3343" s="15">
        <f t="shared" si="2"/>
        <v>2.57</v>
      </c>
      <c r="H3343" s="16">
        <v>0.0</v>
      </c>
      <c r="I3343" s="15">
        <f t="shared" si="3"/>
        <v>2.28</v>
      </c>
      <c r="J3343" s="15">
        <v>18.83</v>
      </c>
      <c r="K3343" s="16">
        <f>IF(COUNTIFS(Release_Calendar!$A$2:$A$755,"US_CPI",Release_Calendar!$B$2:$B$755,$A3343)&gt;0,1,0)</f>
        <v>0</v>
      </c>
      <c r="L3343" s="16">
        <f>IF(COUNTIFS(Release_Calendar!$A$2:$A$755,"US_NFP",Release_Calendar!$B$2:$B$755,$A3343)&gt;0,1,0)</f>
        <v>0</v>
      </c>
      <c r="M3343" s="16" t="str">
        <f>IF($A3343&lt;Notes!$B$5,"",IF(COUNTIFS(Release_Calendar!$A$2:$A$755,"NZ_CPI",Release_Calendar!$B$2:$B$755,$A3343)&gt;0,1,0))</f>
        <v/>
      </c>
      <c r="N3343" s="16" t="str">
        <f>IF($A3343&lt;Notes!$B$5,"",IF(COUNTIFS(Release_Calendar!$A$2:$A$755,"NZ_GDP",Release_Calendar!$B$2:$B$755,$A3343)&gt;0,1,0))</f>
        <v/>
      </c>
      <c r="O3343" s="16" t="str">
        <f>IF($A3343&lt;Notes!$B$5,"",IF(COUNTIFS(Release_Calendar!$A$2:$A$755,"NZ_LABOUR",Release_Calendar!$B$2:$B$755,$A3343)&gt;0,1,0))</f>
        <v/>
      </c>
      <c r="P3343" s="16">
        <f t="shared" si="4"/>
        <v>0</v>
      </c>
    </row>
    <row r="3344" ht="15.75" customHeight="1">
      <c r="A3344" s="14">
        <v>41206.0</v>
      </c>
      <c r="B3344" s="15">
        <v>0.29</v>
      </c>
      <c r="C3344" s="15">
        <v>2.56</v>
      </c>
      <c r="D3344" s="15">
        <v>2.47</v>
      </c>
      <c r="E3344" s="15">
        <v>2.46</v>
      </c>
      <c r="F3344" s="15">
        <f t="shared" si="1"/>
        <v>2.27</v>
      </c>
      <c r="G3344" s="15">
        <f t="shared" si="2"/>
        <v>2.56</v>
      </c>
      <c r="H3344" s="16">
        <v>0.0</v>
      </c>
      <c r="I3344" s="15">
        <f t="shared" si="3"/>
        <v>2.27</v>
      </c>
      <c r="J3344" s="15">
        <v>18.33</v>
      </c>
      <c r="K3344" s="16">
        <f>IF(COUNTIFS(Release_Calendar!$A$2:$A$755,"US_CPI",Release_Calendar!$B$2:$B$755,$A3344)&gt;0,1,0)</f>
        <v>0</v>
      </c>
      <c r="L3344" s="16">
        <f>IF(COUNTIFS(Release_Calendar!$A$2:$A$755,"US_NFP",Release_Calendar!$B$2:$B$755,$A3344)&gt;0,1,0)</f>
        <v>0</v>
      </c>
      <c r="M3344" s="16" t="str">
        <f>IF($A3344&lt;Notes!$B$5,"",IF(COUNTIFS(Release_Calendar!$A$2:$A$755,"NZ_CPI",Release_Calendar!$B$2:$B$755,$A3344)&gt;0,1,0))</f>
        <v/>
      </c>
      <c r="N3344" s="16" t="str">
        <f>IF($A3344&lt;Notes!$B$5,"",IF(COUNTIFS(Release_Calendar!$A$2:$A$755,"NZ_GDP",Release_Calendar!$B$2:$B$755,$A3344)&gt;0,1,0))</f>
        <v/>
      </c>
      <c r="O3344" s="16" t="str">
        <f>IF($A3344&lt;Notes!$B$5,"",IF(COUNTIFS(Release_Calendar!$A$2:$A$755,"NZ_LABOUR",Release_Calendar!$B$2:$B$755,$A3344)&gt;0,1,0))</f>
        <v/>
      </c>
      <c r="P3344" s="16">
        <f t="shared" si="4"/>
        <v>0</v>
      </c>
    </row>
    <row r="3345" ht="15.75" customHeight="1">
      <c r="A3345" s="14">
        <v>41207.0</v>
      </c>
      <c r="B3345" s="15">
        <v>0.31</v>
      </c>
      <c r="C3345" s="15">
        <v>2.64</v>
      </c>
      <c r="D3345" s="15">
        <v>2.51</v>
      </c>
      <c r="E3345" s="15">
        <v>2.52</v>
      </c>
      <c r="F3345" s="15">
        <f t="shared" si="1"/>
        <v>2.33</v>
      </c>
      <c r="G3345" s="15">
        <f t="shared" si="2"/>
        <v>2.64</v>
      </c>
      <c r="H3345" s="16">
        <v>0.0</v>
      </c>
      <c r="I3345" s="15">
        <f t="shared" si="3"/>
        <v>2.33</v>
      </c>
      <c r="J3345" s="15">
        <v>18.12</v>
      </c>
      <c r="K3345" s="16">
        <f>IF(COUNTIFS(Release_Calendar!$A$2:$A$755,"US_CPI",Release_Calendar!$B$2:$B$755,$A3345)&gt;0,1,0)</f>
        <v>0</v>
      </c>
      <c r="L3345" s="16">
        <f>IF(COUNTIFS(Release_Calendar!$A$2:$A$755,"US_NFP",Release_Calendar!$B$2:$B$755,$A3345)&gt;0,1,0)</f>
        <v>0</v>
      </c>
      <c r="M3345" s="16" t="str">
        <f>IF($A3345&lt;Notes!$B$5,"",IF(COUNTIFS(Release_Calendar!$A$2:$A$755,"NZ_CPI",Release_Calendar!$B$2:$B$755,$A3345)&gt;0,1,0))</f>
        <v/>
      </c>
      <c r="N3345" s="16" t="str">
        <f>IF($A3345&lt;Notes!$B$5,"",IF(COUNTIFS(Release_Calendar!$A$2:$A$755,"NZ_GDP",Release_Calendar!$B$2:$B$755,$A3345)&gt;0,1,0))</f>
        <v/>
      </c>
      <c r="O3345" s="16" t="str">
        <f>IF($A3345&lt;Notes!$B$5,"",IF(COUNTIFS(Release_Calendar!$A$2:$A$755,"NZ_LABOUR",Release_Calendar!$B$2:$B$755,$A3345)&gt;0,1,0))</f>
        <v/>
      </c>
      <c r="P3345" s="16">
        <f t="shared" si="4"/>
        <v>0</v>
      </c>
    </row>
    <row r="3346" ht="15.75" customHeight="1">
      <c r="A3346" s="14">
        <v>41208.0</v>
      </c>
      <c r="B3346" s="15">
        <v>0.3</v>
      </c>
      <c r="C3346" s="15">
        <v>2.66</v>
      </c>
      <c r="D3346" s="15">
        <v>2.55</v>
      </c>
      <c r="E3346" s="15">
        <v>2.5</v>
      </c>
      <c r="F3346" s="15">
        <f t="shared" si="1"/>
        <v>2.36</v>
      </c>
      <c r="G3346" s="15">
        <f t="shared" si="2"/>
        <v>2.66</v>
      </c>
      <c r="H3346" s="16">
        <v>0.0</v>
      </c>
      <c r="I3346" s="15">
        <f t="shared" si="3"/>
        <v>2.36</v>
      </c>
      <c r="J3346" s="15">
        <v>17.81</v>
      </c>
      <c r="K3346" s="16">
        <f>IF(COUNTIFS(Release_Calendar!$A$2:$A$755,"US_CPI",Release_Calendar!$B$2:$B$755,$A3346)&gt;0,1,0)</f>
        <v>0</v>
      </c>
      <c r="L3346" s="16">
        <f>IF(COUNTIFS(Release_Calendar!$A$2:$A$755,"US_NFP",Release_Calendar!$B$2:$B$755,$A3346)&gt;0,1,0)</f>
        <v>0</v>
      </c>
      <c r="M3346" s="16" t="str">
        <f>IF($A3346&lt;Notes!$B$5,"",IF(COUNTIFS(Release_Calendar!$A$2:$A$755,"NZ_CPI",Release_Calendar!$B$2:$B$755,$A3346)&gt;0,1,0))</f>
        <v/>
      </c>
      <c r="N3346" s="16" t="str">
        <f>IF($A3346&lt;Notes!$B$5,"",IF(COUNTIFS(Release_Calendar!$A$2:$A$755,"NZ_GDP",Release_Calendar!$B$2:$B$755,$A3346)&gt;0,1,0))</f>
        <v/>
      </c>
      <c r="O3346" s="16" t="str">
        <f>IF($A3346&lt;Notes!$B$5,"",IF(COUNTIFS(Release_Calendar!$A$2:$A$755,"NZ_LABOUR",Release_Calendar!$B$2:$B$755,$A3346)&gt;0,1,0))</f>
        <v/>
      </c>
      <c r="P3346" s="16">
        <f t="shared" si="4"/>
        <v>0</v>
      </c>
    </row>
    <row r="3347" ht="15.75" customHeight="1">
      <c r="A3347" s="14">
        <v>41211.0</v>
      </c>
      <c r="B3347" s="15">
        <v>0.3</v>
      </c>
      <c r="C3347" s="15">
        <v>2.64</v>
      </c>
      <c r="D3347" s="15">
        <v>2.47</v>
      </c>
      <c r="E3347" s="15">
        <v>2.47</v>
      </c>
      <c r="F3347" s="15">
        <f t="shared" si="1"/>
        <v>2.34</v>
      </c>
      <c r="G3347" s="15">
        <f t="shared" si="2"/>
        <v>2.64</v>
      </c>
      <c r="H3347" s="16">
        <v>0.0</v>
      </c>
      <c r="I3347" s="15">
        <f t="shared" si="3"/>
        <v>2.34</v>
      </c>
      <c r="J3347" s="15"/>
      <c r="K3347" s="16">
        <f>IF(COUNTIFS(Release_Calendar!$A$2:$A$755,"US_CPI",Release_Calendar!$B$2:$B$755,$A3347)&gt;0,1,0)</f>
        <v>0</v>
      </c>
      <c r="L3347" s="16">
        <f>IF(COUNTIFS(Release_Calendar!$A$2:$A$755,"US_NFP",Release_Calendar!$B$2:$B$755,$A3347)&gt;0,1,0)</f>
        <v>0</v>
      </c>
      <c r="M3347" s="16" t="str">
        <f>IF($A3347&lt;Notes!$B$5,"",IF(COUNTIFS(Release_Calendar!$A$2:$A$755,"NZ_CPI",Release_Calendar!$B$2:$B$755,$A3347)&gt;0,1,0))</f>
        <v/>
      </c>
      <c r="N3347" s="16" t="str">
        <f>IF($A3347&lt;Notes!$B$5,"",IF(COUNTIFS(Release_Calendar!$A$2:$A$755,"NZ_GDP",Release_Calendar!$B$2:$B$755,$A3347)&gt;0,1,0))</f>
        <v/>
      </c>
      <c r="O3347" s="16" t="str">
        <f>IF($A3347&lt;Notes!$B$5,"",IF(COUNTIFS(Release_Calendar!$A$2:$A$755,"NZ_LABOUR",Release_Calendar!$B$2:$B$755,$A3347)&gt;0,1,0))</f>
        <v/>
      </c>
      <c r="P3347" s="16">
        <f t="shared" si="4"/>
        <v>0</v>
      </c>
    </row>
    <row r="3348" ht="15.75" customHeight="1">
      <c r="A3348" s="14">
        <v>41212.0</v>
      </c>
      <c r="B3348" s="15"/>
      <c r="C3348" s="15">
        <v>2.6</v>
      </c>
      <c r="D3348" s="15">
        <v>2.43</v>
      </c>
      <c r="E3348" s="15">
        <v>2.43</v>
      </c>
      <c r="F3348" s="15" t="str">
        <f t="shared" si="1"/>
        <v/>
      </c>
      <c r="G3348" s="15">
        <f t="shared" si="2"/>
        <v>2.6</v>
      </c>
      <c r="H3348" s="16">
        <v>0.0</v>
      </c>
      <c r="I3348" s="15" t="str">
        <f t="shared" si="3"/>
        <v/>
      </c>
      <c r="J3348" s="15"/>
      <c r="K3348" s="16">
        <f>IF(COUNTIFS(Release_Calendar!$A$2:$A$755,"US_CPI",Release_Calendar!$B$2:$B$755,$A3348)&gt;0,1,0)</f>
        <v>0</v>
      </c>
      <c r="L3348" s="16">
        <f>IF(COUNTIFS(Release_Calendar!$A$2:$A$755,"US_NFP",Release_Calendar!$B$2:$B$755,$A3348)&gt;0,1,0)</f>
        <v>0</v>
      </c>
      <c r="M3348" s="16" t="str">
        <f>IF($A3348&lt;Notes!$B$5,"",IF(COUNTIFS(Release_Calendar!$A$2:$A$755,"NZ_CPI",Release_Calendar!$B$2:$B$755,$A3348)&gt;0,1,0))</f>
        <v/>
      </c>
      <c r="N3348" s="16" t="str">
        <f>IF($A3348&lt;Notes!$B$5,"",IF(COUNTIFS(Release_Calendar!$A$2:$A$755,"NZ_GDP",Release_Calendar!$B$2:$B$755,$A3348)&gt;0,1,0))</f>
        <v/>
      </c>
      <c r="O3348" s="16" t="str">
        <f>IF($A3348&lt;Notes!$B$5,"",IF(COUNTIFS(Release_Calendar!$A$2:$A$755,"NZ_LABOUR",Release_Calendar!$B$2:$B$755,$A3348)&gt;0,1,0))</f>
        <v/>
      </c>
      <c r="P3348" s="16">
        <f t="shared" si="4"/>
        <v>0</v>
      </c>
    </row>
    <row r="3349" ht="15.75" customHeight="1">
      <c r="A3349" s="14">
        <v>41213.0</v>
      </c>
      <c r="B3349" s="15">
        <v>0.3</v>
      </c>
      <c r="C3349" s="15">
        <v>2.64</v>
      </c>
      <c r="D3349" s="15">
        <v>2.46</v>
      </c>
      <c r="E3349" s="15">
        <v>2.44</v>
      </c>
      <c r="F3349" s="15">
        <f t="shared" si="1"/>
        <v>2.34</v>
      </c>
      <c r="G3349" s="15">
        <f t="shared" si="2"/>
        <v>2.64</v>
      </c>
      <c r="H3349" s="16">
        <v>0.0</v>
      </c>
      <c r="I3349" s="15">
        <f t="shared" si="3"/>
        <v>2.34</v>
      </c>
      <c r="J3349" s="15">
        <v>18.6</v>
      </c>
      <c r="K3349" s="16">
        <f>IF(COUNTIFS(Release_Calendar!$A$2:$A$755,"US_CPI",Release_Calendar!$B$2:$B$755,$A3349)&gt;0,1,0)</f>
        <v>0</v>
      </c>
      <c r="L3349" s="16">
        <f>IF(COUNTIFS(Release_Calendar!$A$2:$A$755,"US_NFP",Release_Calendar!$B$2:$B$755,$A3349)&gt;0,1,0)</f>
        <v>0</v>
      </c>
      <c r="M3349" s="16" t="str">
        <f>IF($A3349&lt;Notes!$B$5,"",IF(COUNTIFS(Release_Calendar!$A$2:$A$755,"NZ_CPI",Release_Calendar!$B$2:$B$755,$A3349)&gt;0,1,0))</f>
        <v/>
      </c>
      <c r="N3349" s="16" t="str">
        <f>IF($A3349&lt;Notes!$B$5,"",IF(COUNTIFS(Release_Calendar!$A$2:$A$755,"NZ_GDP",Release_Calendar!$B$2:$B$755,$A3349)&gt;0,1,0))</f>
        <v/>
      </c>
      <c r="O3349" s="16" t="str">
        <f>IF($A3349&lt;Notes!$B$5,"",IF(COUNTIFS(Release_Calendar!$A$2:$A$755,"NZ_LABOUR",Release_Calendar!$B$2:$B$755,$A3349)&gt;0,1,0))</f>
        <v/>
      </c>
      <c r="P3349" s="16">
        <f t="shared" si="4"/>
        <v>0</v>
      </c>
    </row>
    <row r="3350" ht="15.75" customHeight="1">
      <c r="A3350" s="14">
        <v>41214.0</v>
      </c>
      <c r="B3350" s="15">
        <v>0.3</v>
      </c>
      <c r="C3350" s="15">
        <v>2.66</v>
      </c>
      <c r="D3350" s="15">
        <v>2.45</v>
      </c>
      <c r="E3350" s="15">
        <v>2.45</v>
      </c>
      <c r="F3350" s="15">
        <f t="shared" si="1"/>
        <v>2.36</v>
      </c>
      <c r="G3350" s="15">
        <f t="shared" si="2"/>
        <v>2.66</v>
      </c>
      <c r="H3350" s="16">
        <v>0.0</v>
      </c>
      <c r="I3350" s="15">
        <f t="shared" si="3"/>
        <v>2.36</v>
      </c>
      <c r="J3350" s="15">
        <v>16.69</v>
      </c>
      <c r="K3350" s="16">
        <f>IF(COUNTIFS(Release_Calendar!$A$2:$A$755,"US_CPI",Release_Calendar!$B$2:$B$755,$A3350)&gt;0,1,0)</f>
        <v>0</v>
      </c>
      <c r="L3350" s="16">
        <f>IF(COUNTIFS(Release_Calendar!$A$2:$A$755,"US_NFP",Release_Calendar!$B$2:$B$755,$A3350)&gt;0,1,0)</f>
        <v>0</v>
      </c>
      <c r="M3350" s="16" t="str">
        <f>IF($A3350&lt;Notes!$B$5,"",IF(COUNTIFS(Release_Calendar!$A$2:$A$755,"NZ_CPI",Release_Calendar!$B$2:$B$755,$A3350)&gt;0,1,0))</f>
        <v/>
      </c>
      <c r="N3350" s="16" t="str">
        <f>IF($A3350&lt;Notes!$B$5,"",IF(COUNTIFS(Release_Calendar!$A$2:$A$755,"NZ_GDP",Release_Calendar!$B$2:$B$755,$A3350)&gt;0,1,0))</f>
        <v/>
      </c>
      <c r="O3350" s="16" t="str">
        <f>IF($A3350&lt;Notes!$B$5,"",IF(COUNTIFS(Release_Calendar!$A$2:$A$755,"NZ_LABOUR",Release_Calendar!$B$2:$B$755,$A3350)&gt;0,1,0))</f>
        <v/>
      </c>
      <c r="P3350" s="16">
        <f t="shared" si="4"/>
        <v>0</v>
      </c>
    </row>
    <row r="3351" ht="15.75" customHeight="1">
      <c r="A3351" s="14">
        <v>41215.0</v>
      </c>
      <c r="B3351" s="15">
        <v>0.28</v>
      </c>
      <c r="C3351" s="15">
        <v>2.69</v>
      </c>
      <c r="D3351" s="15">
        <v>2.47</v>
      </c>
      <c r="E3351" s="15">
        <v>2.49</v>
      </c>
      <c r="F3351" s="15">
        <f t="shared" si="1"/>
        <v>2.41</v>
      </c>
      <c r="G3351" s="15">
        <f t="shared" si="2"/>
        <v>2.69</v>
      </c>
      <c r="H3351" s="16">
        <v>0.0</v>
      </c>
      <c r="I3351" s="15">
        <f t="shared" si="3"/>
        <v>2.41</v>
      </c>
      <c r="J3351" s="15">
        <v>17.59</v>
      </c>
      <c r="K3351" s="16">
        <f>IF(COUNTIFS(Release_Calendar!$A$2:$A$755,"US_CPI",Release_Calendar!$B$2:$B$755,$A3351)&gt;0,1,0)</f>
        <v>0</v>
      </c>
      <c r="L3351" s="16">
        <f>IF(COUNTIFS(Release_Calendar!$A$2:$A$755,"US_NFP",Release_Calendar!$B$2:$B$755,$A3351)&gt;0,1,0)</f>
        <v>1</v>
      </c>
      <c r="M3351" s="16" t="str">
        <f>IF($A3351&lt;Notes!$B$5,"",IF(COUNTIFS(Release_Calendar!$A$2:$A$755,"NZ_CPI",Release_Calendar!$B$2:$B$755,$A3351)&gt;0,1,0))</f>
        <v/>
      </c>
      <c r="N3351" s="16" t="str">
        <f>IF($A3351&lt;Notes!$B$5,"",IF(COUNTIFS(Release_Calendar!$A$2:$A$755,"NZ_GDP",Release_Calendar!$B$2:$B$755,$A3351)&gt;0,1,0))</f>
        <v/>
      </c>
      <c r="O3351" s="16" t="str">
        <f>IF($A3351&lt;Notes!$B$5,"",IF(COUNTIFS(Release_Calendar!$A$2:$A$755,"NZ_LABOUR",Release_Calendar!$B$2:$B$755,$A3351)&gt;0,1,0))</f>
        <v/>
      </c>
      <c r="P3351" s="16">
        <f t="shared" si="4"/>
        <v>1</v>
      </c>
    </row>
    <row r="3352" ht="15.75" customHeight="1">
      <c r="A3352" s="14">
        <v>41218.0</v>
      </c>
      <c r="B3352" s="15">
        <v>0.28</v>
      </c>
      <c r="C3352" s="15">
        <v>2.69</v>
      </c>
      <c r="D3352" s="15">
        <v>2.49</v>
      </c>
      <c r="E3352" s="15">
        <v>2.49</v>
      </c>
      <c r="F3352" s="15">
        <f t="shared" si="1"/>
        <v>2.41</v>
      </c>
      <c r="G3352" s="15">
        <f t="shared" si="2"/>
        <v>2.69</v>
      </c>
      <c r="H3352" s="16">
        <v>0.0</v>
      </c>
      <c r="I3352" s="15">
        <f t="shared" si="3"/>
        <v>2.41</v>
      </c>
      <c r="J3352" s="15">
        <v>18.42</v>
      </c>
      <c r="K3352" s="16">
        <f>IF(COUNTIFS(Release_Calendar!$A$2:$A$755,"US_CPI",Release_Calendar!$B$2:$B$755,$A3352)&gt;0,1,0)</f>
        <v>0</v>
      </c>
      <c r="L3352" s="16">
        <f>IF(COUNTIFS(Release_Calendar!$A$2:$A$755,"US_NFP",Release_Calendar!$B$2:$B$755,$A3352)&gt;0,1,0)</f>
        <v>0</v>
      </c>
      <c r="M3352" s="16" t="str">
        <f>IF($A3352&lt;Notes!$B$5,"",IF(COUNTIFS(Release_Calendar!$A$2:$A$755,"NZ_CPI",Release_Calendar!$B$2:$B$755,$A3352)&gt;0,1,0))</f>
        <v/>
      </c>
      <c r="N3352" s="16" t="str">
        <f>IF($A3352&lt;Notes!$B$5,"",IF(COUNTIFS(Release_Calendar!$A$2:$A$755,"NZ_GDP",Release_Calendar!$B$2:$B$755,$A3352)&gt;0,1,0))</f>
        <v/>
      </c>
      <c r="O3352" s="16" t="str">
        <f>IF($A3352&lt;Notes!$B$5,"",IF(COUNTIFS(Release_Calendar!$A$2:$A$755,"NZ_LABOUR",Release_Calendar!$B$2:$B$755,$A3352)&gt;0,1,0))</f>
        <v/>
      </c>
      <c r="P3352" s="16">
        <f t="shared" si="4"/>
        <v>0</v>
      </c>
    </row>
    <row r="3353" ht="15.75" customHeight="1">
      <c r="A3353" s="14">
        <v>41219.0</v>
      </c>
      <c r="B3353" s="15">
        <v>0.3</v>
      </c>
      <c r="C3353" s="15">
        <v>2.68</v>
      </c>
      <c r="D3353" s="15">
        <v>2.49</v>
      </c>
      <c r="E3353" s="15">
        <v>2.51</v>
      </c>
      <c r="F3353" s="15">
        <f t="shared" si="1"/>
        <v>2.38</v>
      </c>
      <c r="G3353" s="15">
        <f t="shared" si="2"/>
        <v>2.68</v>
      </c>
      <c r="H3353" s="16">
        <v>0.0</v>
      </c>
      <c r="I3353" s="15">
        <f t="shared" si="3"/>
        <v>2.38</v>
      </c>
      <c r="J3353" s="15">
        <v>17.58</v>
      </c>
      <c r="K3353" s="16">
        <f>IF(COUNTIFS(Release_Calendar!$A$2:$A$755,"US_CPI",Release_Calendar!$B$2:$B$755,$A3353)&gt;0,1,0)</f>
        <v>0</v>
      </c>
      <c r="L3353" s="16">
        <f>IF(COUNTIFS(Release_Calendar!$A$2:$A$755,"US_NFP",Release_Calendar!$B$2:$B$755,$A3353)&gt;0,1,0)</f>
        <v>0</v>
      </c>
      <c r="M3353" s="16" t="str">
        <f>IF($A3353&lt;Notes!$B$5,"",IF(COUNTIFS(Release_Calendar!$A$2:$A$755,"NZ_CPI",Release_Calendar!$B$2:$B$755,$A3353)&gt;0,1,0))</f>
        <v/>
      </c>
      <c r="N3353" s="16" t="str">
        <f>IF($A3353&lt;Notes!$B$5,"",IF(COUNTIFS(Release_Calendar!$A$2:$A$755,"NZ_GDP",Release_Calendar!$B$2:$B$755,$A3353)&gt;0,1,0))</f>
        <v/>
      </c>
      <c r="O3353" s="16" t="str">
        <f>IF($A3353&lt;Notes!$B$5,"",IF(COUNTIFS(Release_Calendar!$A$2:$A$755,"NZ_LABOUR",Release_Calendar!$B$2:$B$755,$A3353)&gt;0,1,0))</f>
        <v/>
      </c>
      <c r="P3353" s="16">
        <f t="shared" si="4"/>
        <v>0</v>
      </c>
    </row>
    <row r="3354" ht="15.75" customHeight="1">
      <c r="A3354" s="14">
        <v>41220.0</v>
      </c>
      <c r="B3354" s="15">
        <v>0.27</v>
      </c>
      <c r="C3354" s="15">
        <v>2.7</v>
      </c>
      <c r="D3354" s="15">
        <v>2.56</v>
      </c>
      <c r="E3354" s="15">
        <v>2.53</v>
      </c>
      <c r="F3354" s="15">
        <f t="shared" si="1"/>
        <v>2.43</v>
      </c>
      <c r="G3354" s="15">
        <f t="shared" si="2"/>
        <v>2.7</v>
      </c>
      <c r="H3354" s="16">
        <v>0.0</v>
      </c>
      <c r="I3354" s="15">
        <f t="shared" si="3"/>
        <v>2.43</v>
      </c>
      <c r="J3354" s="15">
        <v>19.08</v>
      </c>
      <c r="K3354" s="16">
        <f>IF(COUNTIFS(Release_Calendar!$A$2:$A$755,"US_CPI",Release_Calendar!$B$2:$B$755,$A3354)&gt;0,1,0)</f>
        <v>0</v>
      </c>
      <c r="L3354" s="16">
        <f>IF(COUNTIFS(Release_Calendar!$A$2:$A$755,"US_NFP",Release_Calendar!$B$2:$B$755,$A3354)&gt;0,1,0)</f>
        <v>0</v>
      </c>
      <c r="M3354" s="16" t="str">
        <f>IF($A3354&lt;Notes!$B$5,"",IF(COUNTIFS(Release_Calendar!$A$2:$A$755,"NZ_CPI",Release_Calendar!$B$2:$B$755,$A3354)&gt;0,1,0))</f>
        <v/>
      </c>
      <c r="N3354" s="16" t="str">
        <f>IF($A3354&lt;Notes!$B$5,"",IF(COUNTIFS(Release_Calendar!$A$2:$A$755,"NZ_GDP",Release_Calendar!$B$2:$B$755,$A3354)&gt;0,1,0))</f>
        <v/>
      </c>
      <c r="O3354" s="16" t="str">
        <f>IF($A3354&lt;Notes!$B$5,"",IF(COUNTIFS(Release_Calendar!$A$2:$A$755,"NZ_LABOUR",Release_Calendar!$B$2:$B$755,$A3354)&gt;0,1,0))</f>
        <v/>
      </c>
      <c r="P3354" s="16">
        <f t="shared" si="4"/>
        <v>0</v>
      </c>
    </row>
    <row r="3355" ht="15.75" customHeight="1">
      <c r="A3355" s="14">
        <v>41221.0</v>
      </c>
      <c r="B3355" s="15">
        <v>0.27</v>
      </c>
      <c r="C3355" s="15">
        <v>2.64</v>
      </c>
      <c r="D3355" s="15">
        <v>2.49</v>
      </c>
      <c r="E3355" s="15">
        <v>2.5</v>
      </c>
      <c r="F3355" s="15">
        <f t="shared" si="1"/>
        <v>2.37</v>
      </c>
      <c r="G3355" s="15">
        <f t="shared" si="2"/>
        <v>2.64</v>
      </c>
      <c r="H3355" s="16">
        <v>0.0</v>
      </c>
      <c r="I3355" s="15">
        <f t="shared" si="3"/>
        <v>2.37</v>
      </c>
      <c r="J3355" s="15">
        <v>18.49</v>
      </c>
      <c r="K3355" s="16">
        <f>IF(COUNTIFS(Release_Calendar!$A$2:$A$755,"US_CPI",Release_Calendar!$B$2:$B$755,$A3355)&gt;0,1,0)</f>
        <v>0</v>
      </c>
      <c r="L3355" s="16">
        <f>IF(COUNTIFS(Release_Calendar!$A$2:$A$755,"US_NFP",Release_Calendar!$B$2:$B$755,$A3355)&gt;0,1,0)</f>
        <v>0</v>
      </c>
      <c r="M3355" s="16" t="str">
        <f>IF($A3355&lt;Notes!$B$5,"",IF(COUNTIFS(Release_Calendar!$A$2:$A$755,"NZ_CPI",Release_Calendar!$B$2:$B$755,$A3355)&gt;0,1,0))</f>
        <v/>
      </c>
      <c r="N3355" s="16" t="str">
        <f>IF($A3355&lt;Notes!$B$5,"",IF(COUNTIFS(Release_Calendar!$A$2:$A$755,"NZ_GDP",Release_Calendar!$B$2:$B$755,$A3355)&gt;0,1,0))</f>
        <v/>
      </c>
      <c r="O3355" s="16" t="str">
        <f>IF($A3355&lt;Notes!$B$5,"",IF(COUNTIFS(Release_Calendar!$A$2:$A$755,"NZ_LABOUR",Release_Calendar!$B$2:$B$755,$A3355)&gt;0,1,0))</f>
        <v/>
      </c>
      <c r="P3355" s="16">
        <f t="shared" si="4"/>
        <v>0</v>
      </c>
    </row>
    <row r="3356" ht="15.75" customHeight="1">
      <c r="A3356" s="14">
        <v>41222.0</v>
      </c>
      <c r="B3356" s="15">
        <v>0.27</v>
      </c>
      <c r="C3356" s="15">
        <v>2.62</v>
      </c>
      <c r="D3356" s="15">
        <v>2.45</v>
      </c>
      <c r="E3356" s="15">
        <v>2.47</v>
      </c>
      <c r="F3356" s="15">
        <f t="shared" si="1"/>
        <v>2.35</v>
      </c>
      <c r="G3356" s="15">
        <f t="shared" si="2"/>
        <v>2.62</v>
      </c>
      <c r="H3356" s="16">
        <v>0.0</v>
      </c>
      <c r="I3356" s="15">
        <f t="shared" si="3"/>
        <v>2.35</v>
      </c>
      <c r="J3356" s="15">
        <v>18.61</v>
      </c>
      <c r="K3356" s="16">
        <f>IF(COUNTIFS(Release_Calendar!$A$2:$A$755,"US_CPI",Release_Calendar!$B$2:$B$755,$A3356)&gt;0,1,0)</f>
        <v>0</v>
      </c>
      <c r="L3356" s="16">
        <f>IF(COUNTIFS(Release_Calendar!$A$2:$A$755,"US_NFP",Release_Calendar!$B$2:$B$755,$A3356)&gt;0,1,0)</f>
        <v>0</v>
      </c>
      <c r="M3356" s="16" t="str">
        <f>IF($A3356&lt;Notes!$B$5,"",IF(COUNTIFS(Release_Calendar!$A$2:$A$755,"NZ_CPI",Release_Calendar!$B$2:$B$755,$A3356)&gt;0,1,0))</f>
        <v/>
      </c>
      <c r="N3356" s="16" t="str">
        <f>IF($A3356&lt;Notes!$B$5,"",IF(COUNTIFS(Release_Calendar!$A$2:$A$755,"NZ_GDP",Release_Calendar!$B$2:$B$755,$A3356)&gt;0,1,0))</f>
        <v/>
      </c>
      <c r="O3356" s="16" t="str">
        <f>IF($A3356&lt;Notes!$B$5,"",IF(COUNTIFS(Release_Calendar!$A$2:$A$755,"NZ_LABOUR",Release_Calendar!$B$2:$B$755,$A3356)&gt;0,1,0))</f>
        <v/>
      </c>
      <c r="P3356" s="16">
        <f t="shared" si="4"/>
        <v>0</v>
      </c>
    </row>
    <row r="3357" ht="15.75" customHeight="1">
      <c r="A3357" s="14">
        <v>41225.0</v>
      </c>
      <c r="B3357" s="15"/>
      <c r="C3357" s="15">
        <v>2.61</v>
      </c>
      <c r="D3357" s="15">
        <v>2.45</v>
      </c>
      <c r="E3357" s="15">
        <v>2.45</v>
      </c>
      <c r="F3357" s="15" t="str">
        <f t="shared" si="1"/>
        <v/>
      </c>
      <c r="G3357" s="15">
        <f t="shared" si="2"/>
        <v>2.61</v>
      </c>
      <c r="H3357" s="16">
        <v>0.0</v>
      </c>
      <c r="I3357" s="15" t="str">
        <f t="shared" si="3"/>
        <v/>
      </c>
      <c r="J3357" s="15">
        <v>16.68</v>
      </c>
      <c r="K3357" s="16">
        <f>IF(COUNTIFS(Release_Calendar!$A$2:$A$755,"US_CPI",Release_Calendar!$B$2:$B$755,$A3357)&gt;0,1,0)</f>
        <v>0</v>
      </c>
      <c r="L3357" s="16">
        <f>IF(COUNTIFS(Release_Calendar!$A$2:$A$755,"US_NFP",Release_Calendar!$B$2:$B$755,$A3357)&gt;0,1,0)</f>
        <v>0</v>
      </c>
      <c r="M3357" s="16" t="str">
        <f>IF($A3357&lt;Notes!$B$5,"",IF(COUNTIFS(Release_Calendar!$A$2:$A$755,"NZ_CPI",Release_Calendar!$B$2:$B$755,$A3357)&gt;0,1,0))</f>
        <v/>
      </c>
      <c r="N3357" s="16" t="str">
        <f>IF($A3357&lt;Notes!$B$5,"",IF(COUNTIFS(Release_Calendar!$A$2:$A$755,"NZ_GDP",Release_Calendar!$B$2:$B$755,$A3357)&gt;0,1,0))</f>
        <v/>
      </c>
      <c r="O3357" s="16" t="str">
        <f>IF($A3357&lt;Notes!$B$5,"",IF(COUNTIFS(Release_Calendar!$A$2:$A$755,"NZ_LABOUR",Release_Calendar!$B$2:$B$755,$A3357)&gt;0,1,0))</f>
        <v/>
      </c>
      <c r="P3357" s="16">
        <f t="shared" si="4"/>
        <v>0</v>
      </c>
    </row>
    <row r="3358" ht="15.75" customHeight="1">
      <c r="A3358" s="14">
        <v>41226.0</v>
      </c>
      <c r="B3358" s="15">
        <v>0.27</v>
      </c>
      <c r="C3358" s="15">
        <v>2.61</v>
      </c>
      <c r="D3358" s="15">
        <v>2.45</v>
      </c>
      <c r="E3358" s="15">
        <v>2.45</v>
      </c>
      <c r="F3358" s="15">
        <f t="shared" si="1"/>
        <v>2.34</v>
      </c>
      <c r="G3358" s="15">
        <f t="shared" si="2"/>
        <v>2.61</v>
      </c>
      <c r="H3358" s="16">
        <v>0.0</v>
      </c>
      <c r="I3358" s="15">
        <f t="shared" si="3"/>
        <v>2.34</v>
      </c>
      <c r="J3358" s="15">
        <v>16.65</v>
      </c>
      <c r="K3358" s="16">
        <f>IF(COUNTIFS(Release_Calendar!$A$2:$A$755,"US_CPI",Release_Calendar!$B$2:$B$755,$A3358)&gt;0,1,0)</f>
        <v>0</v>
      </c>
      <c r="L3358" s="16">
        <f>IF(COUNTIFS(Release_Calendar!$A$2:$A$755,"US_NFP",Release_Calendar!$B$2:$B$755,$A3358)&gt;0,1,0)</f>
        <v>0</v>
      </c>
      <c r="M3358" s="16" t="str">
        <f>IF($A3358&lt;Notes!$B$5,"",IF(COUNTIFS(Release_Calendar!$A$2:$A$755,"NZ_CPI",Release_Calendar!$B$2:$B$755,$A3358)&gt;0,1,0))</f>
        <v/>
      </c>
      <c r="N3358" s="16" t="str">
        <f>IF($A3358&lt;Notes!$B$5,"",IF(COUNTIFS(Release_Calendar!$A$2:$A$755,"NZ_GDP",Release_Calendar!$B$2:$B$755,$A3358)&gt;0,1,0))</f>
        <v/>
      </c>
      <c r="O3358" s="16" t="str">
        <f>IF($A3358&lt;Notes!$B$5,"",IF(COUNTIFS(Release_Calendar!$A$2:$A$755,"NZ_LABOUR",Release_Calendar!$B$2:$B$755,$A3358)&gt;0,1,0))</f>
        <v/>
      </c>
      <c r="P3358" s="16">
        <f t="shared" si="4"/>
        <v>0</v>
      </c>
    </row>
    <row r="3359" ht="15.75" customHeight="1">
      <c r="A3359" s="14">
        <v>41227.0</v>
      </c>
      <c r="B3359" s="15">
        <v>0.25</v>
      </c>
      <c r="C3359" s="15">
        <v>2.58</v>
      </c>
      <c r="D3359" s="15">
        <v>2.43</v>
      </c>
      <c r="E3359" s="15">
        <v>2.43</v>
      </c>
      <c r="F3359" s="15">
        <f t="shared" si="1"/>
        <v>2.33</v>
      </c>
      <c r="G3359" s="15">
        <f t="shared" si="2"/>
        <v>2.58</v>
      </c>
      <c r="H3359" s="16">
        <v>0.0</v>
      </c>
      <c r="I3359" s="15">
        <f t="shared" si="3"/>
        <v>2.33</v>
      </c>
      <c r="J3359" s="15">
        <v>17.92</v>
      </c>
      <c r="K3359" s="16">
        <f>IF(COUNTIFS(Release_Calendar!$A$2:$A$755,"US_CPI",Release_Calendar!$B$2:$B$755,$A3359)&gt;0,1,0)</f>
        <v>0</v>
      </c>
      <c r="L3359" s="16">
        <f>IF(COUNTIFS(Release_Calendar!$A$2:$A$755,"US_NFP",Release_Calendar!$B$2:$B$755,$A3359)&gt;0,1,0)</f>
        <v>0</v>
      </c>
      <c r="M3359" s="16" t="str">
        <f>IF($A3359&lt;Notes!$B$5,"",IF(COUNTIFS(Release_Calendar!$A$2:$A$755,"NZ_CPI",Release_Calendar!$B$2:$B$755,$A3359)&gt;0,1,0))</f>
        <v/>
      </c>
      <c r="N3359" s="16" t="str">
        <f>IF($A3359&lt;Notes!$B$5,"",IF(COUNTIFS(Release_Calendar!$A$2:$A$755,"NZ_GDP",Release_Calendar!$B$2:$B$755,$A3359)&gt;0,1,0))</f>
        <v/>
      </c>
      <c r="O3359" s="16" t="str">
        <f>IF($A3359&lt;Notes!$B$5,"",IF(COUNTIFS(Release_Calendar!$A$2:$A$755,"NZ_LABOUR",Release_Calendar!$B$2:$B$755,$A3359)&gt;0,1,0))</f>
        <v/>
      </c>
      <c r="P3359" s="16">
        <f t="shared" si="4"/>
        <v>0</v>
      </c>
    </row>
    <row r="3360" ht="15.75" customHeight="1">
      <c r="A3360" s="14">
        <v>41228.0</v>
      </c>
      <c r="B3360" s="15">
        <v>0.24</v>
      </c>
      <c r="C3360" s="15">
        <v>2.57</v>
      </c>
      <c r="D3360" s="15">
        <v>2.42</v>
      </c>
      <c r="E3360" s="15">
        <v>2.41</v>
      </c>
      <c r="F3360" s="15">
        <f t="shared" si="1"/>
        <v>2.33</v>
      </c>
      <c r="G3360" s="15">
        <f t="shared" si="2"/>
        <v>2.57</v>
      </c>
      <c r="H3360" s="16">
        <v>0.0</v>
      </c>
      <c r="I3360" s="15">
        <f t="shared" si="3"/>
        <v>2.33</v>
      </c>
      <c r="J3360" s="15">
        <v>17.99</v>
      </c>
      <c r="K3360" s="16">
        <f>IF(COUNTIFS(Release_Calendar!$A$2:$A$755,"US_CPI",Release_Calendar!$B$2:$B$755,$A3360)&gt;0,1,0)</f>
        <v>1</v>
      </c>
      <c r="L3360" s="16">
        <f>IF(COUNTIFS(Release_Calendar!$A$2:$A$755,"US_NFP",Release_Calendar!$B$2:$B$755,$A3360)&gt;0,1,0)</f>
        <v>0</v>
      </c>
      <c r="M3360" s="16" t="str">
        <f>IF($A3360&lt;Notes!$B$5,"",IF(COUNTIFS(Release_Calendar!$A$2:$A$755,"NZ_CPI",Release_Calendar!$B$2:$B$755,$A3360)&gt;0,1,0))</f>
        <v/>
      </c>
      <c r="N3360" s="16" t="str">
        <f>IF($A3360&lt;Notes!$B$5,"",IF(COUNTIFS(Release_Calendar!$A$2:$A$755,"NZ_GDP",Release_Calendar!$B$2:$B$755,$A3360)&gt;0,1,0))</f>
        <v/>
      </c>
      <c r="O3360" s="16" t="str">
        <f>IF($A3360&lt;Notes!$B$5,"",IF(COUNTIFS(Release_Calendar!$A$2:$A$755,"NZ_LABOUR",Release_Calendar!$B$2:$B$755,$A3360)&gt;0,1,0))</f>
        <v/>
      </c>
      <c r="P3360" s="16">
        <f t="shared" si="4"/>
        <v>1</v>
      </c>
    </row>
    <row r="3361" ht="15.75" customHeight="1">
      <c r="A3361" s="14">
        <v>41229.0</v>
      </c>
      <c r="B3361" s="15">
        <v>0.24</v>
      </c>
      <c r="C3361" s="15">
        <v>2.56</v>
      </c>
      <c r="D3361" s="15">
        <v>2.4</v>
      </c>
      <c r="E3361" s="15">
        <v>2.4</v>
      </c>
      <c r="F3361" s="15">
        <f t="shared" si="1"/>
        <v>2.32</v>
      </c>
      <c r="G3361" s="15">
        <f t="shared" si="2"/>
        <v>2.56</v>
      </c>
      <c r="H3361" s="16">
        <v>0.0</v>
      </c>
      <c r="I3361" s="15">
        <f t="shared" si="3"/>
        <v>2.32</v>
      </c>
      <c r="J3361" s="15">
        <v>16.41</v>
      </c>
      <c r="K3361" s="16">
        <f>IF(COUNTIFS(Release_Calendar!$A$2:$A$755,"US_CPI",Release_Calendar!$B$2:$B$755,$A3361)&gt;0,1,0)</f>
        <v>0</v>
      </c>
      <c r="L3361" s="16">
        <f>IF(COUNTIFS(Release_Calendar!$A$2:$A$755,"US_NFP",Release_Calendar!$B$2:$B$755,$A3361)&gt;0,1,0)</f>
        <v>0</v>
      </c>
      <c r="M3361" s="16" t="str">
        <f>IF($A3361&lt;Notes!$B$5,"",IF(COUNTIFS(Release_Calendar!$A$2:$A$755,"NZ_CPI",Release_Calendar!$B$2:$B$755,$A3361)&gt;0,1,0))</f>
        <v/>
      </c>
      <c r="N3361" s="16" t="str">
        <f>IF($A3361&lt;Notes!$B$5,"",IF(COUNTIFS(Release_Calendar!$A$2:$A$755,"NZ_GDP",Release_Calendar!$B$2:$B$755,$A3361)&gt;0,1,0))</f>
        <v/>
      </c>
      <c r="O3361" s="16" t="str">
        <f>IF($A3361&lt;Notes!$B$5,"",IF(COUNTIFS(Release_Calendar!$A$2:$A$755,"NZ_LABOUR",Release_Calendar!$B$2:$B$755,$A3361)&gt;0,1,0))</f>
        <v/>
      </c>
      <c r="P3361" s="16">
        <f t="shared" si="4"/>
        <v>0</v>
      </c>
    </row>
    <row r="3362" ht="15.75" customHeight="1">
      <c r="A3362" s="14">
        <v>41232.0</v>
      </c>
      <c r="B3362" s="15">
        <v>0.25</v>
      </c>
      <c r="C3362" s="15">
        <v>2.6</v>
      </c>
      <c r="D3362" s="15">
        <v>2.4</v>
      </c>
      <c r="E3362" s="15">
        <v>2.43</v>
      </c>
      <c r="F3362" s="15">
        <f t="shared" si="1"/>
        <v>2.35</v>
      </c>
      <c r="G3362" s="15">
        <f t="shared" si="2"/>
        <v>2.6</v>
      </c>
      <c r="H3362" s="16">
        <v>0.0</v>
      </c>
      <c r="I3362" s="15">
        <f t="shared" si="3"/>
        <v>2.35</v>
      </c>
      <c r="J3362" s="15">
        <v>15.24</v>
      </c>
      <c r="K3362" s="16">
        <f>IF(COUNTIFS(Release_Calendar!$A$2:$A$755,"US_CPI",Release_Calendar!$B$2:$B$755,$A3362)&gt;0,1,0)</f>
        <v>0</v>
      </c>
      <c r="L3362" s="16">
        <f>IF(COUNTIFS(Release_Calendar!$A$2:$A$755,"US_NFP",Release_Calendar!$B$2:$B$755,$A3362)&gt;0,1,0)</f>
        <v>0</v>
      </c>
      <c r="M3362" s="16" t="str">
        <f>IF($A3362&lt;Notes!$B$5,"",IF(COUNTIFS(Release_Calendar!$A$2:$A$755,"NZ_CPI",Release_Calendar!$B$2:$B$755,$A3362)&gt;0,1,0))</f>
        <v/>
      </c>
      <c r="N3362" s="16" t="str">
        <f>IF($A3362&lt;Notes!$B$5,"",IF(COUNTIFS(Release_Calendar!$A$2:$A$755,"NZ_GDP",Release_Calendar!$B$2:$B$755,$A3362)&gt;0,1,0))</f>
        <v/>
      </c>
      <c r="O3362" s="16" t="str">
        <f>IF($A3362&lt;Notes!$B$5,"",IF(COUNTIFS(Release_Calendar!$A$2:$A$755,"NZ_LABOUR",Release_Calendar!$B$2:$B$755,$A3362)&gt;0,1,0))</f>
        <v/>
      </c>
      <c r="P3362" s="16">
        <f t="shared" si="4"/>
        <v>0</v>
      </c>
    </row>
    <row r="3363" ht="15.75" customHeight="1">
      <c r="A3363" s="14">
        <v>41233.0</v>
      </c>
      <c r="B3363" s="15">
        <v>0.27</v>
      </c>
      <c r="C3363" s="15">
        <v>2.62</v>
      </c>
      <c r="D3363" s="15">
        <v>2.46</v>
      </c>
      <c r="E3363" s="15">
        <v>2.46</v>
      </c>
      <c r="F3363" s="15">
        <f t="shared" si="1"/>
        <v>2.35</v>
      </c>
      <c r="G3363" s="15">
        <f t="shared" si="2"/>
        <v>2.62</v>
      </c>
      <c r="H3363" s="16">
        <v>0.0</v>
      </c>
      <c r="I3363" s="15">
        <f t="shared" si="3"/>
        <v>2.35</v>
      </c>
      <c r="J3363" s="15">
        <v>15.08</v>
      </c>
      <c r="K3363" s="16">
        <f>IF(COUNTIFS(Release_Calendar!$A$2:$A$755,"US_CPI",Release_Calendar!$B$2:$B$755,$A3363)&gt;0,1,0)</f>
        <v>0</v>
      </c>
      <c r="L3363" s="16">
        <f>IF(COUNTIFS(Release_Calendar!$A$2:$A$755,"US_NFP",Release_Calendar!$B$2:$B$755,$A3363)&gt;0,1,0)</f>
        <v>0</v>
      </c>
      <c r="M3363" s="16" t="str">
        <f>IF($A3363&lt;Notes!$B$5,"",IF(COUNTIFS(Release_Calendar!$A$2:$A$755,"NZ_CPI",Release_Calendar!$B$2:$B$755,$A3363)&gt;0,1,0))</f>
        <v/>
      </c>
      <c r="N3363" s="16" t="str">
        <f>IF($A3363&lt;Notes!$B$5,"",IF(COUNTIFS(Release_Calendar!$A$2:$A$755,"NZ_GDP",Release_Calendar!$B$2:$B$755,$A3363)&gt;0,1,0))</f>
        <v/>
      </c>
      <c r="O3363" s="16" t="str">
        <f>IF($A3363&lt;Notes!$B$5,"",IF(COUNTIFS(Release_Calendar!$A$2:$A$755,"NZ_LABOUR",Release_Calendar!$B$2:$B$755,$A3363)&gt;0,1,0))</f>
        <v/>
      </c>
      <c r="P3363" s="16">
        <f t="shared" si="4"/>
        <v>0</v>
      </c>
    </row>
    <row r="3364" ht="15.75" customHeight="1">
      <c r="A3364" s="14">
        <v>41234.0</v>
      </c>
      <c r="B3364" s="15">
        <v>0.27</v>
      </c>
      <c r="C3364" s="15">
        <v>2.63</v>
      </c>
      <c r="D3364" s="15">
        <v>2.49</v>
      </c>
      <c r="E3364" s="15">
        <v>2.48</v>
      </c>
      <c r="F3364" s="15">
        <f t="shared" si="1"/>
        <v>2.36</v>
      </c>
      <c r="G3364" s="15">
        <f t="shared" si="2"/>
        <v>2.63</v>
      </c>
      <c r="H3364" s="16">
        <v>0.0</v>
      </c>
      <c r="I3364" s="15">
        <f t="shared" si="3"/>
        <v>2.36</v>
      </c>
      <c r="J3364" s="15">
        <v>15.31</v>
      </c>
      <c r="K3364" s="16">
        <f>IF(COUNTIFS(Release_Calendar!$A$2:$A$755,"US_CPI",Release_Calendar!$B$2:$B$755,$A3364)&gt;0,1,0)</f>
        <v>0</v>
      </c>
      <c r="L3364" s="16">
        <f>IF(COUNTIFS(Release_Calendar!$A$2:$A$755,"US_NFP",Release_Calendar!$B$2:$B$755,$A3364)&gt;0,1,0)</f>
        <v>0</v>
      </c>
      <c r="M3364" s="16" t="str">
        <f>IF($A3364&lt;Notes!$B$5,"",IF(COUNTIFS(Release_Calendar!$A$2:$A$755,"NZ_CPI",Release_Calendar!$B$2:$B$755,$A3364)&gt;0,1,0))</f>
        <v/>
      </c>
      <c r="N3364" s="16" t="str">
        <f>IF($A3364&lt;Notes!$B$5,"",IF(COUNTIFS(Release_Calendar!$A$2:$A$755,"NZ_GDP",Release_Calendar!$B$2:$B$755,$A3364)&gt;0,1,0))</f>
        <v/>
      </c>
      <c r="O3364" s="16" t="str">
        <f>IF($A3364&lt;Notes!$B$5,"",IF(COUNTIFS(Release_Calendar!$A$2:$A$755,"NZ_LABOUR",Release_Calendar!$B$2:$B$755,$A3364)&gt;0,1,0))</f>
        <v/>
      </c>
      <c r="P3364" s="16">
        <f t="shared" si="4"/>
        <v>0</v>
      </c>
    </row>
    <row r="3365" ht="15.75" customHeight="1">
      <c r="A3365" s="14">
        <v>41235.0</v>
      </c>
      <c r="B3365" s="15"/>
      <c r="C3365" s="15">
        <v>2.66</v>
      </c>
      <c r="D3365" s="15">
        <v>2.49</v>
      </c>
      <c r="E3365" s="15">
        <v>2.5</v>
      </c>
      <c r="F3365" s="15" t="str">
        <f t="shared" si="1"/>
        <v/>
      </c>
      <c r="G3365" s="15">
        <f t="shared" si="2"/>
        <v>2.66</v>
      </c>
      <c r="H3365" s="16">
        <v>0.0</v>
      </c>
      <c r="I3365" s="15" t="str">
        <f t="shared" si="3"/>
        <v/>
      </c>
      <c r="J3365" s="15"/>
      <c r="K3365" s="16">
        <f>IF(COUNTIFS(Release_Calendar!$A$2:$A$755,"US_CPI",Release_Calendar!$B$2:$B$755,$A3365)&gt;0,1,0)</f>
        <v>0</v>
      </c>
      <c r="L3365" s="16">
        <f>IF(COUNTIFS(Release_Calendar!$A$2:$A$755,"US_NFP",Release_Calendar!$B$2:$B$755,$A3365)&gt;0,1,0)</f>
        <v>0</v>
      </c>
      <c r="M3365" s="16" t="str">
        <f>IF($A3365&lt;Notes!$B$5,"",IF(COUNTIFS(Release_Calendar!$A$2:$A$755,"NZ_CPI",Release_Calendar!$B$2:$B$755,$A3365)&gt;0,1,0))</f>
        <v/>
      </c>
      <c r="N3365" s="16" t="str">
        <f>IF($A3365&lt;Notes!$B$5,"",IF(COUNTIFS(Release_Calendar!$A$2:$A$755,"NZ_GDP",Release_Calendar!$B$2:$B$755,$A3365)&gt;0,1,0))</f>
        <v/>
      </c>
      <c r="O3365" s="16" t="str">
        <f>IF($A3365&lt;Notes!$B$5,"",IF(COUNTIFS(Release_Calendar!$A$2:$A$755,"NZ_LABOUR",Release_Calendar!$B$2:$B$755,$A3365)&gt;0,1,0))</f>
        <v/>
      </c>
      <c r="P3365" s="16">
        <f t="shared" si="4"/>
        <v>0</v>
      </c>
    </row>
    <row r="3366" ht="15.75" customHeight="1">
      <c r="A3366" s="14">
        <v>41236.0</v>
      </c>
      <c r="B3366" s="15">
        <v>0.29</v>
      </c>
      <c r="C3366" s="15">
        <v>2.66</v>
      </c>
      <c r="D3366" s="15">
        <v>2.5</v>
      </c>
      <c r="E3366" s="15">
        <v>2.5</v>
      </c>
      <c r="F3366" s="15">
        <f t="shared" si="1"/>
        <v>2.37</v>
      </c>
      <c r="G3366" s="15">
        <f t="shared" si="2"/>
        <v>2.66</v>
      </c>
      <c r="H3366" s="16">
        <v>0.0</v>
      </c>
      <c r="I3366" s="15">
        <f t="shared" si="3"/>
        <v>2.37</v>
      </c>
      <c r="J3366" s="15">
        <v>15.14</v>
      </c>
      <c r="K3366" s="16">
        <f>IF(COUNTIFS(Release_Calendar!$A$2:$A$755,"US_CPI",Release_Calendar!$B$2:$B$755,$A3366)&gt;0,1,0)</f>
        <v>0</v>
      </c>
      <c r="L3366" s="16">
        <f>IF(COUNTIFS(Release_Calendar!$A$2:$A$755,"US_NFP",Release_Calendar!$B$2:$B$755,$A3366)&gt;0,1,0)</f>
        <v>0</v>
      </c>
      <c r="M3366" s="16" t="str">
        <f>IF($A3366&lt;Notes!$B$5,"",IF(COUNTIFS(Release_Calendar!$A$2:$A$755,"NZ_CPI",Release_Calendar!$B$2:$B$755,$A3366)&gt;0,1,0))</f>
        <v/>
      </c>
      <c r="N3366" s="16" t="str">
        <f>IF($A3366&lt;Notes!$B$5,"",IF(COUNTIFS(Release_Calendar!$A$2:$A$755,"NZ_GDP",Release_Calendar!$B$2:$B$755,$A3366)&gt;0,1,0))</f>
        <v/>
      </c>
      <c r="O3366" s="16" t="str">
        <f>IF($A3366&lt;Notes!$B$5,"",IF(COUNTIFS(Release_Calendar!$A$2:$A$755,"NZ_LABOUR",Release_Calendar!$B$2:$B$755,$A3366)&gt;0,1,0))</f>
        <v/>
      </c>
      <c r="P3366" s="16">
        <f t="shared" si="4"/>
        <v>0</v>
      </c>
    </row>
    <row r="3367" ht="15.75" customHeight="1">
      <c r="A3367" s="14">
        <v>41239.0</v>
      </c>
      <c r="B3367" s="15">
        <v>0.27</v>
      </c>
      <c r="C3367" s="15">
        <v>2.64</v>
      </c>
      <c r="D3367" s="15">
        <v>2.5</v>
      </c>
      <c r="E3367" s="15">
        <v>2.49</v>
      </c>
      <c r="F3367" s="15">
        <f t="shared" si="1"/>
        <v>2.37</v>
      </c>
      <c r="G3367" s="15">
        <f t="shared" si="2"/>
        <v>2.64</v>
      </c>
      <c r="H3367" s="16">
        <v>0.0</v>
      </c>
      <c r="I3367" s="15">
        <f t="shared" si="3"/>
        <v>2.37</v>
      </c>
      <c r="J3367" s="15">
        <v>15.5</v>
      </c>
      <c r="K3367" s="16">
        <f>IF(COUNTIFS(Release_Calendar!$A$2:$A$755,"US_CPI",Release_Calendar!$B$2:$B$755,$A3367)&gt;0,1,0)</f>
        <v>0</v>
      </c>
      <c r="L3367" s="16">
        <f>IF(COUNTIFS(Release_Calendar!$A$2:$A$755,"US_NFP",Release_Calendar!$B$2:$B$755,$A3367)&gt;0,1,0)</f>
        <v>0</v>
      </c>
      <c r="M3367" s="16" t="str">
        <f>IF($A3367&lt;Notes!$B$5,"",IF(COUNTIFS(Release_Calendar!$A$2:$A$755,"NZ_CPI",Release_Calendar!$B$2:$B$755,$A3367)&gt;0,1,0))</f>
        <v/>
      </c>
      <c r="N3367" s="16" t="str">
        <f>IF($A3367&lt;Notes!$B$5,"",IF(COUNTIFS(Release_Calendar!$A$2:$A$755,"NZ_GDP",Release_Calendar!$B$2:$B$755,$A3367)&gt;0,1,0))</f>
        <v/>
      </c>
      <c r="O3367" s="16" t="str">
        <f>IF($A3367&lt;Notes!$B$5,"",IF(COUNTIFS(Release_Calendar!$A$2:$A$755,"NZ_LABOUR",Release_Calendar!$B$2:$B$755,$A3367)&gt;0,1,0))</f>
        <v/>
      </c>
      <c r="P3367" s="16">
        <f t="shared" si="4"/>
        <v>0</v>
      </c>
    </row>
    <row r="3368" ht="15.75" customHeight="1">
      <c r="A3368" s="14">
        <v>41240.0</v>
      </c>
      <c r="B3368" s="15">
        <v>0.27</v>
      </c>
      <c r="C3368" s="15">
        <v>2.64</v>
      </c>
      <c r="D3368" s="15">
        <v>2.48</v>
      </c>
      <c r="E3368" s="15">
        <v>2.49</v>
      </c>
      <c r="F3368" s="15">
        <f t="shared" si="1"/>
        <v>2.37</v>
      </c>
      <c r="G3368" s="15">
        <f t="shared" si="2"/>
        <v>2.64</v>
      </c>
      <c r="H3368" s="16">
        <v>0.0</v>
      </c>
      <c r="I3368" s="15">
        <f t="shared" si="3"/>
        <v>2.37</v>
      </c>
      <c r="J3368" s="15">
        <v>15.92</v>
      </c>
      <c r="K3368" s="16">
        <f>IF(COUNTIFS(Release_Calendar!$A$2:$A$755,"US_CPI",Release_Calendar!$B$2:$B$755,$A3368)&gt;0,1,0)</f>
        <v>0</v>
      </c>
      <c r="L3368" s="16">
        <f>IF(COUNTIFS(Release_Calendar!$A$2:$A$755,"US_NFP",Release_Calendar!$B$2:$B$755,$A3368)&gt;0,1,0)</f>
        <v>0</v>
      </c>
      <c r="M3368" s="16" t="str">
        <f>IF($A3368&lt;Notes!$B$5,"",IF(COUNTIFS(Release_Calendar!$A$2:$A$755,"NZ_CPI",Release_Calendar!$B$2:$B$755,$A3368)&gt;0,1,0))</f>
        <v/>
      </c>
      <c r="N3368" s="16" t="str">
        <f>IF($A3368&lt;Notes!$B$5,"",IF(COUNTIFS(Release_Calendar!$A$2:$A$755,"NZ_GDP",Release_Calendar!$B$2:$B$755,$A3368)&gt;0,1,0))</f>
        <v/>
      </c>
      <c r="O3368" s="16" t="str">
        <f>IF($A3368&lt;Notes!$B$5,"",IF(COUNTIFS(Release_Calendar!$A$2:$A$755,"NZ_LABOUR",Release_Calendar!$B$2:$B$755,$A3368)&gt;0,1,0))</f>
        <v/>
      </c>
      <c r="P3368" s="16">
        <f t="shared" si="4"/>
        <v>0</v>
      </c>
    </row>
    <row r="3369" ht="15.75" customHeight="1">
      <c r="A3369" s="14">
        <v>41241.0</v>
      </c>
      <c r="B3369" s="15">
        <v>0.27</v>
      </c>
      <c r="C3369" s="15">
        <v>2.61</v>
      </c>
      <c r="D3369" s="15">
        <v>2.48</v>
      </c>
      <c r="E3369" s="15">
        <v>2.46</v>
      </c>
      <c r="F3369" s="15">
        <f t="shared" si="1"/>
        <v>2.34</v>
      </c>
      <c r="G3369" s="15">
        <f t="shared" si="2"/>
        <v>2.61</v>
      </c>
      <c r="H3369" s="16">
        <v>0.0</v>
      </c>
      <c r="I3369" s="15">
        <f t="shared" si="3"/>
        <v>2.34</v>
      </c>
      <c r="J3369" s="15">
        <v>15.51</v>
      </c>
      <c r="K3369" s="16">
        <f>IF(COUNTIFS(Release_Calendar!$A$2:$A$755,"US_CPI",Release_Calendar!$B$2:$B$755,$A3369)&gt;0,1,0)</f>
        <v>0</v>
      </c>
      <c r="L3369" s="16">
        <f>IF(COUNTIFS(Release_Calendar!$A$2:$A$755,"US_NFP",Release_Calendar!$B$2:$B$755,$A3369)&gt;0,1,0)</f>
        <v>0</v>
      </c>
      <c r="M3369" s="16" t="str">
        <f>IF($A3369&lt;Notes!$B$5,"",IF(COUNTIFS(Release_Calendar!$A$2:$A$755,"NZ_CPI",Release_Calendar!$B$2:$B$755,$A3369)&gt;0,1,0))</f>
        <v/>
      </c>
      <c r="N3369" s="16" t="str">
        <f>IF($A3369&lt;Notes!$B$5,"",IF(COUNTIFS(Release_Calendar!$A$2:$A$755,"NZ_GDP",Release_Calendar!$B$2:$B$755,$A3369)&gt;0,1,0))</f>
        <v/>
      </c>
      <c r="O3369" s="16" t="str">
        <f>IF($A3369&lt;Notes!$B$5,"",IF(COUNTIFS(Release_Calendar!$A$2:$A$755,"NZ_LABOUR",Release_Calendar!$B$2:$B$755,$A3369)&gt;0,1,0))</f>
        <v/>
      </c>
      <c r="P3369" s="16">
        <f t="shared" si="4"/>
        <v>0</v>
      </c>
    </row>
    <row r="3370" ht="15.75" customHeight="1">
      <c r="A3370" s="14">
        <v>41242.0</v>
      </c>
      <c r="B3370" s="15">
        <v>0.25</v>
      </c>
      <c r="C3370" s="15">
        <v>2.59</v>
      </c>
      <c r="D3370" s="15">
        <v>2.45</v>
      </c>
      <c r="E3370" s="15">
        <v>2.46</v>
      </c>
      <c r="F3370" s="15">
        <f t="shared" si="1"/>
        <v>2.34</v>
      </c>
      <c r="G3370" s="15">
        <f t="shared" si="2"/>
        <v>2.59</v>
      </c>
      <c r="H3370" s="16">
        <v>0.0</v>
      </c>
      <c r="I3370" s="15">
        <f t="shared" si="3"/>
        <v>2.34</v>
      </c>
      <c r="J3370" s="15">
        <v>15.06</v>
      </c>
      <c r="K3370" s="16">
        <f>IF(COUNTIFS(Release_Calendar!$A$2:$A$755,"US_CPI",Release_Calendar!$B$2:$B$755,$A3370)&gt;0,1,0)</f>
        <v>0</v>
      </c>
      <c r="L3370" s="16">
        <f>IF(COUNTIFS(Release_Calendar!$A$2:$A$755,"US_NFP",Release_Calendar!$B$2:$B$755,$A3370)&gt;0,1,0)</f>
        <v>0</v>
      </c>
      <c r="M3370" s="16" t="str">
        <f>IF($A3370&lt;Notes!$B$5,"",IF(COUNTIFS(Release_Calendar!$A$2:$A$755,"NZ_CPI",Release_Calendar!$B$2:$B$755,$A3370)&gt;0,1,0))</f>
        <v/>
      </c>
      <c r="N3370" s="16" t="str">
        <f>IF($A3370&lt;Notes!$B$5,"",IF(COUNTIFS(Release_Calendar!$A$2:$A$755,"NZ_GDP",Release_Calendar!$B$2:$B$755,$A3370)&gt;0,1,0))</f>
        <v/>
      </c>
      <c r="O3370" s="16" t="str">
        <f>IF($A3370&lt;Notes!$B$5,"",IF(COUNTIFS(Release_Calendar!$A$2:$A$755,"NZ_LABOUR",Release_Calendar!$B$2:$B$755,$A3370)&gt;0,1,0))</f>
        <v/>
      </c>
      <c r="P3370" s="16">
        <f t="shared" si="4"/>
        <v>0</v>
      </c>
    </row>
    <row r="3371" ht="15.75" customHeight="1">
      <c r="A3371" s="14">
        <v>41243.0</v>
      </c>
      <c r="B3371" s="15">
        <v>0.25</v>
      </c>
      <c r="C3371" s="15">
        <v>2.59</v>
      </c>
      <c r="D3371" s="15">
        <v>2.45</v>
      </c>
      <c r="E3371" s="15">
        <v>2.46</v>
      </c>
      <c r="F3371" s="15">
        <f t="shared" si="1"/>
        <v>2.34</v>
      </c>
      <c r="G3371" s="15">
        <f t="shared" si="2"/>
        <v>2.59</v>
      </c>
      <c r="H3371" s="16">
        <v>0.0</v>
      </c>
      <c r="I3371" s="15">
        <f t="shared" si="3"/>
        <v>2.34</v>
      </c>
      <c r="J3371" s="15">
        <v>15.87</v>
      </c>
      <c r="K3371" s="16">
        <f>IF(COUNTIFS(Release_Calendar!$A$2:$A$755,"US_CPI",Release_Calendar!$B$2:$B$755,$A3371)&gt;0,1,0)</f>
        <v>0</v>
      </c>
      <c r="L3371" s="16">
        <f>IF(COUNTIFS(Release_Calendar!$A$2:$A$755,"US_NFP",Release_Calendar!$B$2:$B$755,$A3371)&gt;0,1,0)</f>
        <v>0</v>
      </c>
      <c r="M3371" s="16" t="str">
        <f>IF($A3371&lt;Notes!$B$5,"",IF(COUNTIFS(Release_Calendar!$A$2:$A$755,"NZ_CPI",Release_Calendar!$B$2:$B$755,$A3371)&gt;0,1,0))</f>
        <v/>
      </c>
      <c r="N3371" s="16" t="str">
        <f>IF($A3371&lt;Notes!$B$5,"",IF(COUNTIFS(Release_Calendar!$A$2:$A$755,"NZ_GDP",Release_Calendar!$B$2:$B$755,$A3371)&gt;0,1,0))</f>
        <v/>
      </c>
      <c r="O3371" s="16" t="str">
        <f>IF($A3371&lt;Notes!$B$5,"",IF(COUNTIFS(Release_Calendar!$A$2:$A$755,"NZ_LABOUR",Release_Calendar!$B$2:$B$755,$A3371)&gt;0,1,0))</f>
        <v/>
      </c>
      <c r="P3371" s="16">
        <f t="shared" si="4"/>
        <v>0</v>
      </c>
    </row>
    <row r="3372" ht="15.75" customHeight="1">
      <c r="A3372" s="14">
        <v>41246.0</v>
      </c>
      <c r="B3372" s="15">
        <v>0.25</v>
      </c>
      <c r="C3372" s="15">
        <v>2.57</v>
      </c>
      <c r="D3372" s="15">
        <v>2.46</v>
      </c>
      <c r="E3372" s="15">
        <v>2.46</v>
      </c>
      <c r="F3372" s="15">
        <f t="shared" si="1"/>
        <v>2.32</v>
      </c>
      <c r="G3372" s="15">
        <f t="shared" si="2"/>
        <v>2.57</v>
      </c>
      <c r="H3372" s="16">
        <v>0.0</v>
      </c>
      <c r="I3372" s="15">
        <f t="shared" si="3"/>
        <v>2.32</v>
      </c>
      <c r="J3372" s="15">
        <v>16.64</v>
      </c>
      <c r="K3372" s="16">
        <f>IF(COUNTIFS(Release_Calendar!$A$2:$A$755,"US_CPI",Release_Calendar!$B$2:$B$755,$A3372)&gt;0,1,0)</f>
        <v>0</v>
      </c>
      <c r="L3372" s="16">
        <f>IF(COUNTIFS(Release_Calendar!$A$2:$A$755,"US_NFP",Release_Calendar!$B$2:$B$755,$A3372)&gt;0,1,0)</f>
        <v>0</v>
      </c>
      <c r="M3372" s="16" t="str">
        <f>IF($A3372&lt;Notes!$B$5,"",IF(COUNTIFS(Release_Calendar!$A$2:$A$755,"NZ_CPI",Release_Calendar!$B$2:$B$755,$A3372)&gt;0,1,0))</f>
        <v/>
      </c>
      <c r="N3372" s="16" t="str">
        <f>IF($A3372&lt;Notes!$B$5,"",IF(COUNTIFS(Release_Calendar!$A$2:$A$755,"NZ_GDP",Release_Calendar!$B$2:$B$755,$A3372)&gt;0,1,0))</f>
        <v/>
      </c>
      <c r="O3372" s="16" t="str">
        <f>IF($A3372&lt;Notes!$B$5,"",IF(COUNTIFS(Release_Calendar!$A$2:$A$755,"NZ_LABOUR",Release_Calendar!$B$2:$B$755,$A3372)&gt;0,1,0))</f>
        <v/>
      </c>
      <c r="P3372" s="16">
        <f t="shared" si="4"/>
        <v>0</v>
      </c>
    </row>
    <row r="3373" ht="15.75" customHeight="1">
      <c r="A3373" s="14">
        <v>41247.0</v>
      </c>
      <c r="B3373" s="15">
        <v>0.25</v>
      </c>
      <c r="C3373" s="15">
        <v>2.59</v>
      </c>
      <c r="D3373" s="15">
        <v>2.47</v>
      </c>
      <c r="E3373" s="15">
        <v>2.47</v>
      </c>
      <c r="F3373" s="15">
        <f t="shared" si="1"/>
        <v>2.34</v>
      </c>
      <c r="G3373" s="15">
        <f t="shared" si="2"/>
        <v>2.59</v>
      </c>
      <c r="H3373" s="16">
        <v>0.0</v>
      </c>
      <c r="I3373" s="15">
        <f t="shared" si="3"/>
        <v>2.34</v>
      </c>
      <c r="J3373" s="15">
        <v>17.12</v>
      </c>
      <c r="K3373" s="16">
        <f>IF(COUNTIFS(Release_Calendar!$A$2:$A$755,"US_CPI",Release_Calendar!$B$2:$B$755,$A3373)&gt;0,1,0)</f>
        <v>0</v>
      </c>
      <c r="L3373" s="16">
        <f>IF(COUNTIFS(Release_Calendar!$A$2:$A$755,"US_NFP",Release_Calendar!$B$2:$B$755,$A3373)&gt;0,1,0)</f>
        <v>0</v>
      </c>
      <c r="M3373" s="16" t="str">
        <f>IF($A3373&lt;Notes!$B$5,"",IF(COUNTIFS(Release_Calendar!$A$2:$A$755,"NZ_CPI",Release_Calendar!$B$2:$B$755,$A3373)&gt;0,1,0))</f>
        <v/>
      </c>
      <c r="N3373" s="16" t="str">
        <f>IF($A3373&lt;Notes!$B$5,"",IF(COUNTIFS(Release_Calendar!$A$2:$A$755,"NZ_GDP",Release_Calendar!$B$2:$B$755,$A3373)&gt;0,1,0))</f>
        <v/>
      </c>
      <c r="O3373" s="16" t="str">
        <f>IF($A3373&lt;Notes!$B$5,"",IF(COUNTIFS(Release_Calendar!$A$2:$A$755,"NZ_LABOUR",Release_Calendar!$B$2:$B$755,$A3373)&gt;0,1,0))</f>
        <v/>
      </c>
      <c r="P3373" s="16">
        <f t="shared" si="4"/>
        <v>0</v>
      </c>
    </row>
    <row r="3374" ht="15.75" customHeight="1">
      <c r="A3374" s="14">
        <v>41248.0</v>
      </c>
      <c r="B3374" s="15">
        <v>0.25</v>
      </c>
      <c r="C3374" s="15">
        <v>2.6</v>
      </c>
      <c r="D3374" s="15">
        <v>2.47</v>
      </c>
      <c r="E3374" s="15">
        <v>2.48</v>
      </c>
      <c r="F3374" s="15">
        <f t="shared" si="1"/>
        <v>2.35</v>
      </c>
      <c r="G3374" s="15">
        <f t="shared" si="2"/>
        <v>2.6</v>
      </c>
      <c r="H3374" s="16">
        <v>0.0</v>
      </c>
      <c r="I3374" s="15">
        <f t="shared" si="3"/>
        <v>2.35</v>
      </c>
      <c r="J3374" s="15">
        <v>16.46</v>
      </c>
      <c r="K3374" s="16">
        <f>IF(COUNTIFS(Release_Calendar!$A$2:$A$755,"US_CPI",Release_Calendar!$B$2:$B$755,$A3374)&gt;0,1,0)</f>
        <v>0</v>
      </c>
      <c r="L3374" s="16">
        <f>IF(COUNTIFS(Release_Calendar!$A$2:$A$755,"US_NFP",Release_Calendar!$B$2:$B$755,$A3374)&gt;0,1,0)</f>
        <v>0</v>
      </c>
      <c r="M3374" s="16" t="str">
        <f>IF($A3374&lt;Notes!$B$5,"",IF(COUNTIFS(Release_Calendar!$A$2:$A$755,"NZ_CPI",Release_Calendar!$B$2:$B$755,$A3374)&gt;0,1,0))</f>
        <v/>
      </c>
      <c r="N3374" s="16" t="str">
        <f>IF($A3374&lt;Notes!$B$5,"",IF(COUNTIFS(Release_Calendar!$A$2:$A$755,"NZ_GDP",Release_Calendar!$B$2:$B$755,$A3374)&gt;0,1,0))</f>
        <v/>
      </c>
      <c r="O3374" s="16" t="str">
        <f>IF($A3374&lt;Notes!$B$5,"",IF(COUNTIFS(Release_Calendar!$A$2:$A$755,"NZ_LABOUR",Release_Calendar!$B$2:$B$755,$A3374)&gt;0,1,0))</f>
        <v/>
      </c>
      <c r="P3374" s="16">
        <f t="shared" si="4"/>
        <v>0</v>
      </c>
    </row>
    <row r="3375" ht="15.75" customHeight="1">
      <c r="A3375" s="14">
        <v>41249.0</v>
      </c>
      <c r="B3375" s="15">
        <v>0.25</v>
      </c>
      <c r="C3375" s="15">
        <v>2.69</v>
      </c>
      <c r="D3375" s="15">
        <v>2.54</v>
      </c>
      <c r="E3375" s="15">
        <v>2.54</v>
      </c>
      <c r="F3375" s="15">
        <f t="shared" si="1"/>
        <v>2.44</v>
      </c>
      <c r="G3375" s="15">
        <f t="shared" si="2"/>
        <v>2.69</v>
      </c>
      <c r="H3375" s="16">
        <v>0.0</v>
      </c>
      <c r="I3375" s="15">
        <f t="shared" si="3"/>
        <v>2.44</v>
      </c>
      <c r="J3375" s="15">
        <v>16.58</v>
      </c>
      <c r="K3375" s="16">
        <f>IF(COUNTIFS(Release_Calendar!$A$2:$A$755,"US_CPI",Release_Calendar!$B$2:$B$755,$A3375)&gt;0,1,0)</f>
        <v>0</v>
      </c>
      <c r="L3375" s="16">
        <f>IF(COUNTIFS(Release_Calendar!$A$2:$A$755,"US_NFP",Release_Calendar!$B$2:$B$755,$A3375)&gt;0,1,0)</f>
        <v>0</v>
      </c>
      <c r="M3375" s="16" t="str">
        <f>IF($A3375&lt;Notes!$B$5,"",IF(COUNTIFS(Release_Calendar!$A$2:$A$755,"NZ_CPI",Release_Calendar!$B$2:$B$755,$A3375)&gt;0,1,0))</f>
        <v/>
      </c>
      <c r="N3375" s="16" t="str">
        <f>IF($A3375&lt;Notes!$B$5,"",IF(COUNTIFS(Release_Calendar!$A$2:$A$755,"NZ_GDP",Release_Calendar!$B$2:$B$755,$A3375)&gt;0,1,0))</f>
        <v/>
      </c>
      <c r="O3375" s="16" t="str">
        <f>IF($A3375&lt;Notes!$B$5,"",IF(COUNTIFS(Release_Calendar!$A$2:$A$755,"NZ_LABOUR",Release_Calendar!$B$2:$B$755,$A3375)&gt;0,1,0))</f>
        <v/>
      </c>
      <c r="P3375" s="16">
        <f t="shared" si="4"/>
        <v>0</v>
      </c>
    </row>
    <row r="3376" ht="15.75" customHeight="1">
      <c r="A3376" s="14">
        <v>41250.0</v>
      </c>
      <c r="B3376" s="15">
        <v>0.25</v>
      </c>
      <c r="C3376" s="15">
        <v>2.7</v>
      </c>
      <c r="D3376" s="15">
        <v>2.54</v>
      </c>
      <c r="E3376" s="15">
        <v>2.55</v>
      </c>
      <c r="F3376" s="15">
        <f t="shared" si="1"/>
        <v>2.45</v>
      </c>
      <c r="G3376" s="15">
        <f t="shared" si="2"/>
        <v>2.7</v>
      </c>
      <c r="H3376" s="16">
        <v>0.0</v>
      </c>
      <c r="I3376" s="15">
        <f t="shared" si="3"/>
        <v>2.45</v>
      </c>
      <c r="J3376" s="15">
        <v>15.9</v>
      </c>
      <c r="K3376" s="16">
        <f>IF(COUNTIFS(Release_Calendar!$A$2:$A$755,"US_CPI",Release_Calendar!$B$2:$B$755,$A3376)&gt;0,1,0)</f>
        <v>0</v>
      </c>
      <c r="L3376" s="16">
        <f>IF(COUNTIFS(Release_Calendar!$A$2:$A$755,"US_NFP",Release_Calendar!$B$2:$B$755,$A3376)&gt;0,1,0)</f>
        <v>1</v>
      </c>
      <c r="M3376" s="16" t="str">
        <f>IF($A3376&lt;Notes!$B$5,"",IF(COUNTIFS(Release_Calendar!$A$2:$A$755,"NZ_CPI",Release_Calendar!$B$2:$B$755,$A3376)&gt;0,1,0))</f>
        <v/>
      </c>
      <c r="N3376" s="16" t="str">
        <f>IF($A3376&lt;Notes!$B$5,"",IF(COUNTIFS(Release_Calendar!$A$2:$A$755,"NZ_GDP",Release_Calendar!$B$2:$B$755,$A3376)&gt;0,1,0))</f>
        <v/>
      </c>
      <c r="O3376" s="16" t="str">
        <f>IF($A3376&lt;Notes!$B$5,"",IF(COUNTIFS(Release_Calendar!$A$2:$A$755,"NZ_LABOUR",Release_Calendar!$B$2:$B$755,$A3376)&gt;0,1,0))</f>
        <v/>
      </c>
      <c r="P3376" s="16">
        <f t="shared" si="4"/>
        <v>1</v>
      </c>
    </row>
    <row r="3377" ht="15.75" customHeight="1">
      <c r="A3377" s="14">
        <v>41253.0</v>
      </c>
      <c r="B3377" s="15">
        <v>0.24</v>
      </c>
      <c r="C3377" s="15">
        <v>2.72</v>
      </c>
      <c r="D3377" s="15">
        <v>2.57</v>
      </c>
      <c r="E3377" s="15">
        <v>2.56</v>
      </c>
      <c r="F3377" s="15">
        <f t="shared" si="1"/>
        <v>2.48</v>
      </c>
      <c r="G3377" s="15">
        <f t="shared" si="2"/>
        <v>2.72</v>
      </c>
      <c r="H3377" s="16">
        <v>0.0</v>
      </c>
      <c r="I3377" s="15">
        <f t="shared" si="3"/>
        <v>2.48</v>
      </c>
      <c r="J3377" s="15">
        <v>16.05</v>
      </c>
      <c r="K3377" s="16">
        <f>IF(COUNTIFS(Release_Calendar!$A$2:$A$755,"US_CPI",Release_Calendar!$B$2:$B$755,$A3377)&gt;0,1,0)</f>
        <v>0</v>
      </c>
      <c r="L3377" s="16">
        <f>IF(COUNTIFS(Release_Calendar!$A$2:$A$755,"US_NFP",Release_Calendar!$B$2:$B$755,$A3377)&gt;0,1,0)</f>
        <v>0</v>
      </c>
      <c r="M3377" s="16" t="str">
        <f>IF($A3377&lt;Notes!$B$5,"",IF(COUNTIFS(Release_Calendar!$A$2:$A$755,"NZ_CPI",Release_Calendar!$B$2:$B$755,$A3377)&gt;0,1,0))</f>
        <v/>
      </c>
      <c r="N3377" s="16" t="str">
        <f>IF($A3377&lt;Notes!$B$5,"",IF(COUNTIFS(Release_Calendar!$A$2:$A$755,"NZ_GDP",Release_Calendar!$B$2:$B$755,$A3377)&gt;0,1,0))</f>
        <v/>
      </c>
      <c r="O3377" s="16" t="str">
        <f>IF($A3377&lt;Notes!$B$5,"",IF(COUNTIFS(Release_Calendar!$A$2:$A$755,"NZ_LABOUR",Release_Calendar!$B$2:$B$755,$A3377)&gt;0,1,0))</f>
        <v/>
      </c>
      <c r="P3377" s="16">
        <f t="shared" si="4"/>
        <v>0</v>
      </c>
    </row>
    <row r="3378" ht="15.75" customHeight="1">
      <c r="A3378" s="14">
        <v>41254.0</v>
      </c>
      <c r="B3378" s="15">
        <v>0.24</v>
      </c>
      <c r="C3378" s="15">
        <v>2.71</v>
      </c>
      <c r="D3378" s="15">
        <v>2.56</v>
      </c>
      <c r="E3378" s="15">
        <v>2.55</v>
      </c>
      <c r="F3378" s="15">
        <f t="shared" si="1"/>
        <v>2.47</v>
      </c>
      <c r="G3378" s="15">
        <f t="shared" si="2"/>
        <v>2.71</v>
      </c>
      <c r="H3378" s="16">
        <v>0.0</v>
      </c>
      <c r="I3378" s="15">
        <f t="shared" si="3"/>
        <v>2.47</v>
      </c>
      <c r="J3378" s="15">
        <v>15.57</v>
      </c>
      <c r="K3378" s="16">
        <f>IF(COUNTIFS(Release_Calendar!$A$2:$A$755,"US_CPI",Release_Calendar!$B$2:$B$755,$A3378)&gt;0,1,0)</f>
        <v>0</v>
      </c>
      <c r="L3378" s="16">
        <f>IF(COUNTIFS(Release_Calendar!$A$2:$A$755,"US_NFP",Release_Calendar!$B$2:$B$755,$A3378)&gt;0,1,0)</f>
        <v>0</v>
      </c>
      <c r="M3378" s="16" t="str">
        <f>IF($A3378&lt;Notes!$B$5,"",IF(COUNTIFS(Release_Calendar!$A$2:$A$755,"NZ_CPI",Release_Calendar!$B$2:$B$755,$A3378)&gt;0,1,0))</f>
        <v/>
      </c>
      <c r="N3378" s="16" t="str">
        <f>IF($A3378&lt;Notes!$B$5,"",IF(COUNTIFS(Release_Calendar!$A$2:$A$755,"NZ_GDP",Release_Calendar!$B$2:$B$755,$A3378)&gt;0,1,0))</f>
        <v/>
      </c>
      <c r="O3378" s="16" t="str">
        <f>IF($A3378&lt;Notes!$B$5,"",IF(COUNTIFS(Release_Calendar!$A$2:$A$755,"NZ_LABOUR",Release_Calendar!$B$2:$B$755,$A3378)&gt;0,1,0))</f>
        <v/>
      </c>
      <c r="P3378" s="16">
        <f t="shared" si="4"/>
        <v>0</v>
      </c>
    </row>
    <row r="3379" ht="15.75" customHeight="1">
      <c r="A3379" s="14">
        <v>41255.0</v>
      </c>
      <c r="B3379" s="15">
        <v>0.25</v>
      </c>
      <c r="C3379" s="15">
        <v>2.75</v>
      </c>
      <c r="D3379" s="15">
        <v>2.56</v>
      </c>
      <c r="E3379" s="15">
        <v>2.57</v>
      </c>
      <c r="F3379" s="15">
        <f t="shared" si="1"/>
        <v>2.5</v>
      </c>
      <c r="G3379" s="15">
        <f t="shared" si="2"/>
        <v>2.75</v>
      </c>
      <c r="H3379" s="16">
        <v>0.0</v>
      </c>
      <c r="I3379" s="15">
        <f t="shared" si="3"/>
        <v>2.5</v>
      </c>
      <c r="J3379" s="15">
        <v>15.95</v>
      </c>
      <c r="K3379" s="16">
        <f>IF(COUNTIFS(Release_Calendar!$A$2:$A$755,"US_CPI",Release_Calendar!$B$2:$B$755,$A3379)&gt;0,1,0)</f>
        <v>0</v>
      </c>
      <c r="L3379" s="16">
        <f>IF(COUNTIFS(Release_Calendar!$A$2:$A$755,"US_NFP",Release_Calendar!$B$2:$B$755,$A3379)&gt;0,1,0)</f>
        <v>0</v>
      </c>
      <c r="M3379" s="16" t="str">
        <f>IF($A3379&lt;Notes!$B$5,"",IF(COUNTIFS(Release_Calendar!$A$2:$A$755,"NZ_CPI",Release_Calendar!$B$2:$B$755,$A3379)&gt;0,1,0))</f>
        <v/>
      </c>
      <c r="N3379" s="16" t="str">
        <f>IF($A3379&lt;Notes!$B$5,"",IF(COUNTIFS(Release_Calendar!$A$2:$A$755,"NZ_GDP",Release_Calendar!$B$2:$B$755,$A3379)&gt;0,1,0))</f>
        <v/>
      </c>
      <c r="O3379" s="16" t="str">
        <f>IF($A3379&lt;Notes!$B$5,"",IF(COUNTIFS(Release_Calendar!$A$2:$A$755,"NZ_LABOUR",Release_Calendar!$B$2:$B$755,$A3379)&gt;0,1,0))</f>
        <v/>
      </c>
      <c r="P3379" s="16">
        <f t="shared" si="4"/>
        <v>0</v>
      </c>
    </row>
    <row r="3380" ht="15.75" customHeight="1">
      <c r="A3380" s="14">
        <v>41256.0</v>
      </c>
      <c r="B3380" s="15">
        <v>0.27</v>
      </c>
      <c r="C3380" s="15">
        <v>2.77</v>
      </c>
      <c r="D3380" s="15">
        <v>2.63</v>
      </c>
      <c r="E3380" s="15">
        <v>2.58</v>
      </c>
      <c r="F3380" s="15">
        <f t="shared" si="1"/>
        <v>2.5</v>
      </c>
      <c r="G3380" s="15">
        <f t="shared" si="2"/>
        <v>2.77</v>
      </c>
      <c r="H3380" s="16">
        <v>0.0</v>
      </c>
      <c r="I3380" s="15">
        <f t="shared" si="3"/>
        <v>2.5</v>
      </c>
      <c r="J3380" s="15">
        <v>16.56</v>
      </c>
      <c r="K3380" s="16">
        <f>IF(COUNTIFS(Release_Calendar!$A$2:$A$755,"US_CPI",Release_Calendar!$B$2:$B$755,$A3380)&gt;0,1,0)</f>
        <v>0</v>
      </c>
      <c r="L3380" s="16">
        <f>IF(COUNTIFS(Release_Calendar!$A$2:$A$755,"US_NFP",Release_Calendar!$B$2:$B$755,$A3380)&gt;0,1,0)</f>
        <v>0</v>
      </c>
      <c r="M3380" s="16" t="str">
        <f>IF($A3380&lt;Notes!$B$5,"",IF(COUNTIFS(Release_Calendar!$A$2:$A$755,"NZ_CPI",Release_Calendar!$B$2:$B$755,$A3380)&gt;0,1,0))</f>
        <v/>
      </c>
      <c r="N3380" s="16" t="str">
        <f>IF($A3380&lt;Notes!$B$5,"",IF(COUNTIFS(Release_Calendar!$A$2:$A$755,"NZ_GDP",Release_Calendar!$B$2:$B$755,$A3380)&gt;0,1,0))</f>
        <v/>
      </c>
      <c r="O3380" s="16" t="str">
        <f>IF($A3380&lt;Notes!$B$5,"",IF(COUNTIFS(Release_Calendar!$A$2:$A$755,"NZ_LABOUR",Release_Calendar!$B$2:$B$755,$A3380)&gt;0,1,0))</f>
        <v/>
      </c>
      <c r="P3380" s="16">
        <f t="shared" si="4"/>
        <v>0</v>
      </c>
    </row>
    <row r="3381" ht="15.75" customHeight="1">
      <c r="A3381" s="14">
        <v>41257.0</v>
      </c>
      <c r="B3381" s="15">
        <v>0.24</v>
      </c>
      <c r="C3381" s="15">
        <v>2.78</v>
      </c>
      <c r="D3381" s="15">
        <v>2.59</v>
      </c>
      <c r="E3381" s="15">
        <v>2.58</v>
      </c>
      <c r="F3381" s="15">
        <f t="shared" si="1"/>
        <v>2.54</v>
      </c>
      <c r="G3381" s="15">
        <f t="shared" si="2"/>
        <v>2.78</v>
      </c>
      <c r="H3381" s="16">
        <v>0.0</v>
      </c>
      <c r="I3381" s="15">
        <f t="shared" si="3"/>
        <v>2.54</v>
      </c>
      <c r="J3381" s="15">
        <v>17.0</v>
      </c>
      <c r="K3381" s="16">
        <f>IF(COUNTIFS(Release_Calendar!$A$2:$A$755,"US_CPI",Release_Calendar!$B$2:$B$755,$A3381)&gt;0,1,0)</f>
        <v>1</v>
      </c>
      <c r="L3381" s="16">
        <f>IF(COUNTIFS(Release_Calendar!$A$2:$A$755,"US_NFP",Release_Calendar!$B$2:$B$755,$A3381)&gt;0,1,0)</f>
        <v>0</v>
      </c>
      <c r="M3381" s="16" t="str">
        <f>IF($A3381&lt;Notes!$B$5,"",IF(COUNTIFS(Release_Calendar!$A$2:$A$755,"NZ_CPI",Release_Calendar!$B$2:$B$755,$A3381)&gt;0,1,0))</f>
        <v/>
      </c>
      <c r="N3381" s="16" t="str">
        <f>IF($A3381&lt;Notes!$B$5,"",IF(COUNTIFS(Release_Calendar!$A$2:$A$755,"NZ_GDP",Release_Calendar!$B$2:$B$755,$A3381)&gt;0,1,0))</f>
        <v/>
      </c>
      <c r="O3381" s="16" t="str">
        <f>IF($A3381&lt;Notes!$B$5,"",IF(COUNTIFS(Release_Calendar!$A$2:$A$755,"NZ_LABOUR",Release_Calendar!$B$2:$B$755,$A3381)&gt;0,1,0))</f>
        <v/>
      </c>
      <c r="P3381" s="16">
        <f t="shared" si="4"/>
        <v>1</v>
      </c>
    </row>
    <row r="3382" ht="15.75" customHeight="1">
      <c r="A3382" s="14">
        <v>41260.0</v>
      </c>
      <c r="B3382" s="15">
        <v>0.25</v>
      </c>
      <c r="C3382" s="15">
        <v>2.74</v>
      </c>
      <c r="D3382" s="15">
        <v>2.58</v>
      </c>
      <c r="E3382" s="15">
        <v>2.57</v>
      </c>
      <c r="F3382" s="15">
        <f t="shared" si="1"/>
        <v>2.49</v>
      </c>
      <c r="G3382" s="15">
        <f t="shared" si="2"/>
        <v>2.74</v>
      </c>
      <c r="H3382" s="16">
        <v>0.0</v>
      </c>
      <c r="I3382" s="15">
        <f t="shared" si="3"/>
        <v>2.49</v>
      </c>
      <c r="J3382" s="15">
        <v>16.34</v>
      </c>
      <c r="K3382" s="16">
        <f>IF(COUNTIFS(Release_Calendar!$A$2:$A$755,"US_CPI",Release_Calendar!$B$2:$B$755,$A3382)&gt;0,1,0)</f>
        <v>0</v>
      </c>
      <c r="L3382" s="16">
        <f>IF(COUNTIFS(Release_Calendar!$A$2:$A$755,"US_NFP",Release_Calendar!$B$2:$B$755,$A3382)&gt;0,1,0)</f>
        <v>0</v>
      </c>
      <c r="M3382" s="16" t="str">
        <f>IF($A3382&lt;Notes!$B$5,"",IF(COUNTIFS(Release_Calendar!$A$2:$A$755,"NZ_CPI",Release_Calendar!$B$2:$B$755,$A3382)&gt;0,1,0))</f>
        <v/>
      </c>
      <c r="N3382" s="16" t="str">
        <f>IF($A3382&lt;Notes!$B$5,"",IF(COUNTIFS(Release_Calendar!$A$2:$A$755,"NZ_GDP",Release_Calendar!$B$2:$B$755,$A3382)&gt;0,1,0))</f>
        <v/>
      </c>
      <c r="O3382" s="16" t="str">
        <f>IF($A3382&lt;Notes!$B$5,"",IF(COUNTIFS(Release_Calendar!$A$2:$A$755,"NZ_LABOUR",Release_Calendar!$B$2:$B$755,$A3382)&gt;0,1,0))</f>
        <v/>
      </c>
      <c r="P3382" s="16">
        <f t="shared" si="4"/>
        <v>0</v>
      </c>
    </row>
    <row r="3383" ht="15.75" customHeight="1">
      <c r="A3383" s="14">
        <v>41261.0</v>
      </c>
      <c r="B3383" s="15">
        <v>0.28</v>
      </c>
      <c r="C3383" s="15">
        <v>2.74</v>
      </c>
      <c r="D3383" s="15">
        <v>2.57</v>
      </c>
      <c r="E3383" s="15">
        <v>2.56</v>
      </c>
      <c r="F3383" s="15">
        <f t="shared" si="1"/>
        <v>2.46</v>
      </c>
      <c r="G3383" s="15">
        <f t="shared" si="2"/>
        <v>2.74</v>
      </c>
      <c r="H3383" s="16">
        <v>0.0</v>
      </c>
      <c r="I3383" s="15">
        <f t="shared" si="3"/>
        <v>2.46</v>
      </c>
      <c r="J3383" s="15">
        <v>15.57</v>
      </c>
      <c r="K3383" s="16">
        <f>IF(COUNTIFS(Release_Calendar!$A$2:$A$755,"US_CPI",Release_Calendar!$B$2:$B$755,$A3383)&gt;0,1,0)</f>
        <v>0</v>
      </c>
      <c r="L3383" s="16">
        <f>IF(COUNTIFS(Release_Calendar!$A$2:$A$755,"US_NFP",Release_Calendar!$B$2:$B$755,$A3383)&gt;0,1,0)</f>
        <v>0</v>
      </c>
      <c r="M3383" s="16" t="str">
        <f>IF($A3383&lt;Notes!$B$5,"",IF(COUNTIFS(Release_Calendar!$A$2:$A$755,"NZ_CPI",Release_Calendar!$B$2:$B$755,$A3383)&gt;0,1,0))</f>
        <v/>
      </c>
      <c r="N3383" s="16" t="str">
        <f>IF($A3383&lt;Notes!$B$5,"",IF(COUNTIFS(Release_Calendar!$A$2:$A$755,"NZ_GDP",Release_Calendar!$B$2:$B$755,$A3383)&gt;0,1,0))</f>
        <v/>
      </c>
      <c r="O3383" s="16" t="str">
        <f>IF($A3383&lt;Notes!$B$5,"",IF(COUNTIFS(Release_Calendar!$A$2:$A$755,"NZ_LABOUR",Release_Calendar!$B$2:$B$755,$A3383)&gt;0,1,0))</f>
        <v/>
      </c>
      <c r="P3383" s="16">
        <f t="shared" si="4"/>
        <v>0</v>
      </c>
    </row>
    <row r="3384" ht="15.75" customHeight="1">
      <c r="A3384" s="14">
        <v>41262.0</v>
      </c>
      <c r="B3384" s="15">
        <v>0.28</v>
      </c>
      <c r="C3384" s="15">
        <v>2.75</v>
      </c>
      <c r="D3384" s="15">
        <v>2.56</v>
      </c>
      <c r="E3384" s="15">
        <v>2.57</v>
      </c>
      <c r="F3384" s="15">
        <f t="shared" si="1"/>
        <v>2.47</v>
      </c>
      <c r="G3384" s="15">
        <f t="shared" si="2"/>
        <v>2.75</v>
      </c>
      <c r="H3384" s="16">
        <v>0.0</v>
      </c>
      <c r="I3384" s="15">
        <f t="shared" si="3"/>
        <v>2.47</v>
      </c>
      <c r="J3384" s="15">
        <v>17.36</v>
      </c>
      <c r="K3384" s="16">
        <f>IF(COUNTIFS(Release_Calendar!$A$2:$A$755,"US_CPI",Release_Calendar!$B$2:$B$755,$A3384)&gt;0,1,0)</f>
        <v>0</v>
      </c>
      <c r="L3384" s="16">
        <f>IF(COUNTIFS(Release_Calendar!$A$2:$A$755,"US_NFP",Release_Calendar!$B$2:$B$755,$A3384)&gt;0,1,0)</f>
        <v>0</v>
      </c>
      <c r="M3384" s="16" t="str">
        <f>IF($A3384&lt;Notes!$B$5,"",IF(COUNTIFS(Release_Calendar!$A$2:$A$755,"NZ_CPI",Release_Calendar!$B$2:$B$755,$A3384)&gt;0,1,0))</f>
        <v/>
      </c>
      <c r="N3384" s="16" t="str">
        <f>IF($A3384&lt;Notes!$B$5,"",IF(COUNTIFS(Release_Calendar!$A$2:$A$755,"NZ_GDP",Release_Calendar!$B$2:$B$755,$A3384)&gt;0,1,0))</f>
        <v/>
      </c>
      <c r="O3384" s="16" t="str">
        <f>IF($A3384&lt;Notes!$B$5,"",IF(COUNTIFS(Release_Calendar!$A$2:$A$755,"NZ_LABOUR",Release_Calendar!$B$2:$B$755,$A3384)&gt;0,1,0))</f>
        <v/>
      </c>
      <c r="P3384" s="16">
        <f t="shared" si="4"/>
        <v>0</v>
      </c>
    </row>
    <row r="3385" ht="15.75" customHeight="1">
      <c r="A3385" s="14">
        <v>41263.0</v>
      </c>
      <c r="B3385" s="15">
        <v>0.28</v>
      </c>
      <c r="C3385" s="15">
        <v>2.72</v>
      </c>
      <c r="D3385" s="15">
        <v>2.55</v>
      </c>
      <c r="E3385" s="15">
        <v>2.55</v>
      </c>
      <c r="F3385" s="15">
        <f t="shared" si="1"/>
        <v>2.44</v>
      </c>
      <c r="G3385" s="15">
        <f t="shared" si="2"/>
        <v>2.72</v>
      </c>
      <c r="H3385" s="16">
        <v>0.0</v>
      </c>
      <c r="I3385" s="15">
        <f t="shared" si="3"/>
        <v>2.44</v>
      </c>
      <c r="J3385" s="15">
        <v>17.67</v>
      </c>
      <c r="K3385" s="16">
        <f>IF(COUNTIFS(Release_Calendar!$A$2:$A$755,"US_CPI",Release_Calendar!$B$2:$B$755,$A3385)&gt;0,1,0)</f>
        <v>0</v>
      </c>
      <c r="L3385" s="16">
        <f>IF(COUNTIFS(Release_Calendar!$A$2:$A$755,"US_NFP",Release_Calendar!$B$2:$B$755,$A3385)&gt;0,1,0)</f>
        <v>0</v>
      </c>
      <c r="M3385" s="16" t="str">
        <f>IF($A3385&lt;Notes!$B$5,"",IF(COUNTIFS(Release_Calendar!$A$2:$A$755,"NZ_CPI",Release_Calendar!$B$2:$B$755,$A3385)&gt;0,1,0))</f>
        <v/>
      </c>
      <c r="N3385" s="16" t="str">
        <f>IF($A3385&lt;Notes!$B$5,"",IF(COUNTIFS(Release_Calendar!$A$2:$A$755,"NZ_GDP",Release_Calendar!$B$2:$B$755,$A3385)&gt;0,1,0))</f>
        <v/>
      </c>
      <c r="O3385" s="16" t="str">
        <f>IF($A3385&lt;Notes!$B$5,"",IF(COUNTIFS(Release_Calendar!$A$2:$A$755,"NZ_LABOUR",Release_Calendar!$B$2:$B$755,$A3385)&gt;0,1,0))</f>
        <v/>
      </c>
      <c r="P3385" s="16">
        <f t="shared" si="4"/>
        <v>0</v>
      </c>
    </row>
    <row r="3386" ht="15.75" customHeight="1">
      <c r="A3386" s="14">
        <v>41264.0</v>
      </c>
      <c r="B3386" s="15">
        <v>0.26</v>
      </c>
      <c r="C3386" s="15">
        <v>2.71</v>
      </c>
      <c r="D3386" s="15">
        <v>2.57</v>
      </c>
      <c r="E3386" s="15">
        <v>2.54</v>
      </c>
      <c r="F3386" s="15">
        <f t="shared" si="1"/>
        <v>2.45</v>
      </c>
      <c r="G3386" s="15">
        <f t="shared" si="2"/>
        <v>2.71</v>
      </c>
      <c r="H3386" s="16">
        <v>0.0</v>
      </c>
      <c r="I3386" s="15">
        <f t="shared" si="3"/>
        <v>2.45</v>
      </c>
      <c r="J3386" s="15">
        <v>17.84</v>
      </c>
      <c r="K3386" s="16">
        <f>IF(COUNTIFS(Release_Calendar!$A$2:$A$755,"US_CPI",Release_Calendar!$B$2:$B$755,$A3386)&gt;0,1,0)</f>
        <v>0</v>
      </c>
      <c r="L3386" s="16">
        <f>IF(COUNTIFS(Release_Calendar!$A$2:$A$755,"US_NFP",Release_Calendar!$B$2:$B$755,$A3386)&gt;0,1,0)</f>
        <v>0</v>
      </c>
      <c r="M3386" s="16" t="str">
        <f>IF($A3386&lt;Notes!$B$5,"",IF(COUNTIFS(Release_Calendar!$A$2:$A$755,"NZ_CPI",Release_Calendar!$B$2:$B$755,$A3386)&gt;0,1,0))</f>
        <v/>
      </c>
      <c r="N3386" s="16" t="str">
        <f>IF($A3386&lt;Notes!$B$5,"",IF(COUNTIFS(Release_Calendar!$A$2:$A$755,"NZ_GDP",Release_Calendar!$B$2:$B$755,$A3386)&gt;0,1,0))</f>
        <v/>
      </c>
      <c r="O3386" s="16" t="str">
        <f>IF($A3386&lt;Notes!$B$5,"",IF(COUNTIFS(Release_Calendar!$A$2:$A$755,"NZ_LABOUR",Release_Calendar!$B$2:$B$755,$A3386)&gt;0,1,0))</f>
        <v/>
      </c>
      <c r="P3386" s="16">
        <f t="shared" si="4"/>
        <v>0</v>
      </c>
    </row>
    <row r="3387" ht="15.75" customHeight="1">
      <c r="A3387" s="14">
        <v>41267.0</v>
      </c>
      <c r="B3387" s="15">
        <v>0.26</v>
      </c>
      <c r="C3387" s="15">
        <v>2.71</v>
      </c>
      <c r="D3387" s="15">
        <v>2.54</v>
      </c>
      <c r="E3387" s="15">
        <v>2.54</v>
      </c>
      <c r="F3387" s="15">
        <f t="shared" si="1"/>
        <v>2.45</v>
      </c>
      <c r="G3387" s="15">
        <f t="shared" si="2"/>
        <v>2.71</v>
      </c>
      <c r="H3387" s="16">
        <v>0.0</v>
      </c>
      <c r="I3387" s="15">
        <f t="shared" si="3"/>
        <v>2.45</v>
      </c>
      <c r="J3387" s="15">
        <v>17.84</v>
      </c>
      <c r="K3387" s="16">
        <f>IF(COUNTIFS(Release_Calendar!$A$2:$A$755,"US_CPI",Release_Calendar!$B$2:$B$755,$A3387)&gt;0,1,0)</f>
        <v>0</v>
      </c>
      <c r="L3387" s="16">
        <f>IF(COUNTIFS(Release_Calendar!$A$2:$A$755,"US_NFP",Release_Calendar!$B$2:$B$755,$A3387)&gt;0,1,0)</f>
        <v>0</v>
      </c>
      <c r="M3387" s="16" t="str">
        <f>IF($A3387&lt;Notes!$B$5,"",IF(COUNTIFS(Release_Calendar!$A$2:$A$755,"NZ_CPI",Release_Calendar!$B$2:$B$755,$A3387)&gt;0,1,0))</f>
        <v/>
      </c>
      <c r="N3387" s="16" t="str">
        <f>IF($A3387&lt;Notes!$B$5,"",IF(COUNTIFS(Release_Calendar!$A$2:$A$755,"NZ_GDP",Release_Calendar!$B$2:$B$755,$A3387)&gt;0,1,0))</f>
        <v/>
      </c>
      <c r="O3387" s="16" t="str">
        <f>IF($A3387&lt;Notes!$B$5,"",IF(COUNTIFS(Release_Calendar!$A$2:$A$755,"NZ_LABOUR",Release_Calendar!$B$2:$B$755,$A3387)&gt;0,1,0))</f>
        <v/>
      </c>
      <c r="P3387" s="16">
        <f t="shared" si="4"/>
        <v>0</v>
      </c>
    </row>
    <row r="3388" ht="15.75" customHeight="1">
      <c r="A3388" s="14">
        <v>41268.0</v>
      </c>
      <c r="B3388" s="15"/>
      <c r="C3388" s="15"/>
      <c r="D3388" s="15"/>
      <c r="E3388" s="15"/>
      <c r="F3388" s="15" t="str">
        <f t="shared" si="1"/>
        <v/>
      </c>
      <c r="G3388" s="15" t="str">
        <f t="shared" si="2"/>
        <v/>
      </c>
      <c r="H3388" s="16">
        <v>0.0</v>
      </c>
      <c r="I3388" s="15" t="str">
        <f t="shared" si="3"/>
        <v/>
      </c>
      <c r="J3388" s="15"/>
      <c r="K3388" s="16">
        <f>IF(COUNTIFS(Release_Calendar!$A$2:$A$755,"US_CPI",Release_Calendar!$B$2:$B$755,$A3388)&gt;0,1,0)</f>
        <v>0</v>
      </c>
      <c r="L3388" s="16">
        <f>IF(COUNTIFS(Release_Calendar!$A$2:$A$755,"US_NFP",Release_Calendar!$B$2:$B$755,$A3388)&gt;0,1,0)</f>
        <v>0</v>
      </c>
      <c r="M3388" s="16" t="str">
        <f>IF($A3388&lt;Notes!$B$5,"",IF(COUNTIFS(Release_Calendar!$A$2:$A$755,"NZ_CPI",Release_Calendar!$B$2:$B$755,$A3388)&gt;0,1,0))</f>
        <v/>
      </c>
      <c r="N3388" s="16" t="str">
        <f>IF($A3388&lt;Notes!$B$5,"",IF(COUNTIFS(Release_Calendar!$A$2:$A$755,"NZ_GDP",Release_Calendar!$B$2:$B$755,$A3388)&gt;0,1,0))</f>
        <v/>
      </c>
      <c r="O3388" s="16" t="str">
        <f>IF($A3388&lt;Notes!$B$5,"",IF(COUNTIFS(Release_Calendar!$A$2:$A$755,"NZ_LABOUR",Release_Calendar!$B$2:$B$755,$A3388)&gt;0,1,0))</f>
        <v/>
      </c>
      <c r="P3388" s="16">
        <f t="shared" si="4"/>
        <v>0</v>
      </c>
    </row>
    <row r="3389" ht="15.75" customHeight="1">
      <c r="A3389" s="14">
        <v>41269.0</v>
      </c>
      <c r="B3389" s="15">
        <v>0.26</v>
      </c>
      <c r="C3389" s="15"/>
      <c r="D3389" s="15"/>
      <c r="E3389" s="15"/>
      <c r="F3389" s="15" t="str">
        <f t="shared" si="1"/>
        <v/>
      </c>
      <c r="G3389" s="15" t="str">
        <f t="shared" si="2"/>
        <v/>
      </c>
      <c r="H3389" s="16">
        <v>0.0</v>
      </c>
      <c r="I3389" s="15" t="str">
        <f t="shared" si="3"/>
        <v/>
      </c>
      <c r="J3389" s="15">
        <v>19.48</v>
      </c>
      <c r="K3389" s="16">
        <f>IF(COUNTIFS(Release_Calendar!$A$2:$A$755,"US_CPI",Release_Calendar!$B$2:$B$755,$A3389)&gt;0,1,0)</f>
        <v>0</v>
      </c>
      <c r="L3389" s="16">
        <f>IF(COUNTIFS(Release_Calendar!$A$2:$A$755,"US_NFP",Release_Calendar!$B$2:$B$755,$A3389)&gt;0,1,0)</f>
        <v>0</v>
      </c>
      <c r="M3389" s="16" t="str">
        <f>IF($A3389&lt;Notes!$B$5,"",IF(COUNTIFS(Release_Calendar!$A$2:$A$755,"NZ_CPI",Release_Calendar!$B$2:$B$755,$A3389)&gt;0,1,0))</f>
        <v/>
      </c>
      <c r="N3389" s="16" t="str">
        <f>IF($A3389&lt;Notes!$B$5,"",IF(COUNTIFS(Release_Calendar!$A$2:$A$755,"NZ_GDP",Release_Calendar!$B$2:$B$755,$A3389)&gt;0,1,0))</f>
        <v/>
      </c>
      <c r="O3389" s="16" t="str">
        <f>IF($A3389&lt;Notes!$B$5,"",IF(COUNTIFS(Release_Calendar!$A$2:$A$755,"NZ_LABOUR",Release_Calendar!$B$2:$B$755,$A3389)&gt;0,1,0))</f>
        <v/>
      </c>
      <c r="P3389" s="16">
        <f t="shared" si="4"/>
        <v>0</v>
      </c>
    </row>
    <row r="3390" ht="15.75" customHeight="1">
      <c r="A3390" s="14">
        <v>41270.0</v>
      </c>
      <c r="B3390" s="15">
        <v>0.26</v>
      </c>
      <c r="C3390" s="15">
        <v>2.71</v>
      </c>
      <c r="D3390" s="15">
        <v>2.54</v>
      </c>
      <c r="E3390" s="15">
        <v>2.56</v>
      </c>
      <c r="F3390" s="15">
        <f t="shared" si="1"/>
        <v>2.45</v>
      </c>
      <c r="G3390" s="15">
        <f t="shared" si="2"/>
        <v>2.71</v>
      </c>
      <c r="H3390" s="16">
        <v>0.0</v>
      </c>
      <c r="I3390" s="15">
        <f t="shared" si="3"/>
        <v>2.45</v>
      </c>
      <c r="J3390" s="15">
        <v>19.47</v>
      </c>
      <c r="K3390" s="16">
        <f>IF(COUNTIFS(Release_Calendar!$A$2:$A$755,"US_CPI",Release_Calendar!$B$2:$B$755,$A3390)&gt;0,1,0)</f>
        <v>0</v>
      </c>
      <c r="L3390" s="16">
        <f>IF(COUNTIFS(Release_Calendar!$A$2:$A$755,"US_NFP",Release_Calendar!$B$2:$B$755,$A3390)&gt;0,1,0)</f>
        <v>0</v>
      </c>
      <c r="M3390" s="16" t="str">
        <f>IF($A3390&lt;Notes!$B$5,"",IF(COUNTIFS(Release_Calendar!$A$2:$A$755,"NZ_CPI",Release_Calendar!$B$2:$B$755,$A3390)&gt;0,1,0))</f>
        <v/>
      </c>
      <c r="N3390" s="16" t="str">
        <f>IF($A3390&lt;Notes!$B$5,"",IF(COUNTIFS(Release_Calendar!$A$2:$A$755,"NZ_GDP",Release_Calendar!$B$2:$B$755,$A3390)&gt;0,1,0))</f>
        <v/>
      </c>
      <c r="O3390" s="16" t="str">
        <f>IF($A3390&lt;Notes!$B$5,"",IF(COUNTIFS(Release_Calendar!$A$2:$A$755,"NZ_LABOUR",Release_Calendar!$B$2:$B$755,$A3390)&gt;0,1,0))</f>
        <v/>
      </c>
      <c r="P3390" s="16">
        <f t="shared" si="4"/>
        <v>0</v>
      </c>
    </row>
    <row r="3391" ht="15.75" customHeight="1">
      <c r="A3391" s="14">
        <v>41271.0</v>
      </c>
      <c r="B3391" s="15">
        <v>0.27</v>
      </c>
      <c r="C3391" s="15">
        <v>2.7</v>
      </c>
      <c r="D3391" s="15">
        <v>2.55</v>
      </c>
      <c r="E3391" s="15">
        <v>2.54</v>
      </c>
      <c r="F3391" s="15">
        <f t="shared" si="1"/>
        <v>2.43</v>
      </c>
      <c r="G3391" s="15">
        <f t="shared" si="2"/>
        <v>2.7</v>
      </c>
      <c r="H3391" s="16">
        <v>0.0</v>
      </c>
      <c r="I3391" s="15">
        <f t="shared" si="3"/>
        <v>2.43</v>
      </c>
      <c r="J3391" s="15">
        <v>22.72</v>
      </c>
      <c r="K3391" s="16">
        <f>IF(COUNTIFS(Release_Calendar!$A$2:$A$755,"US_CPI",Release_Calendar!$B$2:$B$755,$A3391)&gt;0,1,0)</f>
        <v>0</v>
      </c>
      <c r="L3391" s="16">
        <f>IF(COUNTIFS(Release_Calendar!$A$2:$A$755,"US_NFP",Release_Calendar!$B$2:$B$755,$A3391)&gt;0,1,0)</f>
        <v>0</v>
      </c>
      <c r="M3391" s="16" t="str">
        <f>IF($A3391&lt;Notes!$B$5,"",IF(COUNTIFS(Release_Calendar!$A$2:$A$755,"NZ_CPI",Release_Calendar!$B$2:$B$755,$A3391)&gt;0,1,0))</f>
        <v/>
      </c>
      <c r="N3391" s="16" t="str">
        <f>IF($A3391&lt;Notes!$B$5,"",IF(COUNTIFS(Release_Calendar!$A$2:$A$755,"NZ_GDP",Release_Calendar!$B$2:$B$755,$A3391)&gt;0,1,0))</f>
        <v/>
      </c>
      <c r="O3391" s="16" t="str">
        <f>IF($A3391&lt;Notes!$B$5,"",IF(COUNTIFS(Release_Calendar!$A$2:$A$755,"NZ_LABOUR",Release_Calendar!$B$2:$B$755,$A3391)&gt;0,1,0))</f>
        <v/>
      </c>
      <c r="P3391" s="16">
        <f t="shared" si="4"/>
        <v>0</v>
      </c>
    </row>
    <row r="3392" ht="15.75" customHeight="1">
      <c r="A3392" s="14">
        <v>41274.0</v>
      </c>
      <c r="B3392" s="15">
        <v>0.25</v>
      </c>
      <c r="C3392" s="15">
        <v>2.67</v>
      </c>
      <c r="D3392" s="15">
        <v>2.53</v>
      </c>
      <c r="E3392" s="15">
        <v>2.53</v>
      </c>
      <c r="F3392" s="15">
        <f t="shared" si="1"/>
        <v>2.42</v>
      </c>
      <c r="G3392" s="15">
        <f t="shared" si="2"/>
        <v>2.67</v>
      </c>
      <c r="H3392" s="16">
        <v>0.0</v>
      </c>
      <c r="I3392" s="15">
        <f t="shared" si="3"/>
        <v>2.42</v>
      </c>
      <c r="J3392" s="15">
        <v>18.02</v>
      </c>
      <c r="K3392" s="16">
        <f>IF(COUNTIFS(Release_Calendar!$A$2:$A$755,"US_CPI",Release_Calendar!$B$2:$B$755,$A3392)&gt;0,1,0)</f>
        <v>0</v>
      </c>
      <c r="L3392" s="16">
        <f>IF(COUNTIFS(Release_Calendar!$A$2:$A$755,"US_NFP",Release_Calendar!$B$2:$B$755,$A3392)&gt;0,1,0)</f>
        <v>0</v>
      </c>
      <c r="M3392" s="16" t="str">
        <f>IF($A3392&lt;Notes!$B$5,"",IF(COUNTIFS(Release_Calendar!$A$2:$A$755,"NZ_CPI",Release_Calendar!$B$2:$B$755,$A3392)&gt;0,1,0))</f>
        <v/>
      </c>
      <c r="N3392" s="16" t="str">
        <f>IF($A3392&lt;Notes!$B$5,"",IF(COUNTIFS(Release_Calendar!$A$2:$A$755,"NZ_GDP",Release_Calendar!$B$2:$B$755,$A3392)&gt;0,1,0))</f>
        <v/>
      </c>
      <c r="O3392" s="16" t="str">
        <f>IF($A3392&lt;Notes!$B$5,"",IF(COUNTIFS(Release_Calendar!$A$2:$A$755,"NZ_LABOUR",Release_Calendar!$B$2:$B$755,$A3392)&gt;0,1,0))</f>
        <v/>
      </c>
      <c r="P3392" s="16">
        <f t="shared" si="4"/>
        <v>0</v>
      </c>
    </row>
    <row r="3393" ht="15.75" customHeight="1">
      <c r="A3393" s="14">
        <v>41275.0</v>
      </c>
      <c r="B3393" s="15"/>
      <c r="C3393" s="15"/>
      <c r="D3393" s="15"/>
      <c r="E3393" s="15"/>
      <c r="F3393" s="15" t="str">
        <f t="shared" si="1"/>
        <v/>
      </c>
      <c r="G3393" s="15" t="str">
        <f t="shared" si="2"/>
        <v/>
      </c>
      <c r="H3393" s="16">
        <v>0.0</v>
      </c>
      <c r="I3393" s="15" t="str">
        <f t="shared" si="3"/>
        <v/>
      </c>
      <c r="J3393" s="15"/>
      <c r="K3393" s="16">
        <f>IF(COUNTIFS(Release_Calendar!$A$2:$A$755,"US_CPI",Release_Calendar!$B$2:$B$755,$A3393)&gt;0,1,0)</f>
        <v>0</v>
      </c>
      <c r="L3393" s="16">
        <f>IF(COUNTIFS(Release_Calendar!$A$2:$A$755,"US_NFP",Release_Calendar!$B$2:$B$755,$A3393)&gt;0,1,0)</f>
        <v>0</v>
      </c>
      <c r="M3393" s="16" t="str">
        <f>IF($A3393&lt;Notes!$B$5,"",IF(COUNTIFS(Release_Calendar!$A$2:$A$755,"NZ_CPI",Release_Calendar!$B$2:$B$755,$A3393)&gt;0,1,0))</f>
        <v/>
      </c>
      <c r="N3393" s="16" t="str">
        <f>IF($A3393&lt;Notes!$B$5,"",IF(COUNTIFS(Release_Calendar!$A$2:$A$755,"NZ_GDP",Release_Calendar!$B$2:$B$755,$A3393)&gt;0,1,0))</f>
        <v/>
      </c>
      <c r="O3393" s="16" t="str">
        <f>IF($A3393&lt;Notes!$B$5,"",IF(COUNTIFS(Release_Calendar!$A$2:$A$755,"NZ_LABOUR",Release_Calendar!$B$2:$B$755,$A3393)&gt;0,1,0))</f>
        <v/>
      </c>
      <c r="P3393" s="16">
        <f t="shared" si="4"/>
        <v>0</v>
      </c>
    </row>
    <row r="3394" ht="15.75" customHeight="1">
      <c r="A3394" s="14">
        <v>41276.0</v>
      </c>
      <c r="B3394" s="15">
        <v>0.27</v>
      </c>
      <c r="C3394" s="15"/>
      <c r="D3394" s="15"/>
      <c r="E3394" s="15"/>
      <c r="F3394" s="15" t="str">
        <f t="shared" si="1"/>
        <v/>
      </c>
      <c r="G3394" s="15" t="str">
        <f t="shared" si="2"/>
        <v/>
      </c>
      <c r="H3394" s="16">
        <v>0.0</v>
      </c>
      <c r="I3394" s="15" t="str">
        <f t="shared" si="3"/>
        <v/>
      </c>
      <c r="J3394" s="15">
        <v>14.68</v>
      </c>
      <c r="K3394" s="16">
        <f>IF(COUNTIFS(Release_Calendar!$A$2:$A$755,"US_CPI",Release_Calendar!$B$2:$B$755,$A3394)&gt;0,1,0)</f>
        <v>0</v>
      </c>
      <c r="L3394" s="16">
        <f>IF(COUNTIFS(Release_Calendar!$A$2:$A$755,"US_NFP",Release_Calendar!$B$2:$B$755,$A3394)&gt;0,1,0)</f>
        <v>0</v>
      </c>
      <c r="M3394" s="16" t="str">
        <f>IF($A3394&lt;Notes!$B$5,"",IF(COUNTIFS(Release_Calendar!$A$2:$A$755,"NZ_CPI",Release_Calendar!$B$2:$B$755,$A3394)&gt;0,1,0))</f>
        <v/>
      </c>
      <c r="N3394" s="16" t="str">
        <f>IF($A3394&lt;Notes!$B$5,"",IF(COUNTIFS(Release_Calendar!$A$2:$A$755,"NZ_GDP",Release_Calendar!$B$2:$B$755,$A3394)&gt;0,1,0))</f>
        <v/>
      </c>
      <c r="O3394" s="16" t="str">
        <f>IF($A3394&lt;Notes!$B$5,"",IF(COUNTIFS(Release_Calendar!$A$2:$A$755,"NZ_LABOUR",Release_Calendar!$B$2:$B$755,$A3394)&gt;0,1,0))</f>
        <v/>
      </c>
      <c r="P3394" s="16">
        <f t="shared" si="4"/>
        <v>0</v>
      </c>
    </row>
    <row r="3395" ht="15.75" customHeight="1">
      <c r="A3395" s="14">
        <v>41277.0</v>
      </c>
      <c r="B3395" s="15">
        <v>0.27</v>
      </c>
      <c r="C3395" s="15">
        <v>2.74</v>
      </c>
      <c r="D3395" s="15">
        <v>2.57</v>
      </c>
      <c r="E3395" s="15">
        <v>2.59</v>
      </c>
      <c r="F3395" s="15">
        <f t="shared" si="1"/>
        <v>2.47</v>
      </c>
      <c r="G3395" s="15">
        <f t="shared" si="2"/>
        <v>2.74</v>
      </c>
      <c r="H3395" s="16">
        <v>0.0</v>
      </c>
      <c r="I3395" s="15">
        <f t="shared" si="3"/>
        <v>2.47</v>
      </c>
      <c r="J3395" s="15">
        <v>14.56</v>
      </c>
      <c r="K3395" s="16">
        <f>IF(COUNTIFS(Release_Calendar!$A$2:$A$755,"US_CPI",Release_Calendar!$B$2:$B$755,$A3395)&gt;0,1,0)</f>
        <v>0</v>
      </c>
      <c r="L3395" s="16">
        <f>IF(COUNTIFS(Release_Calendar!$A$2:$A$755,"US_NFP",Release_Calendar!$B$2:$B$755,$A3395)&gt;0,1,0)</f>
        <v>0</v>
      </c>
      <c r="M3395" s="16" t="str">
        <f>IF($A3395&lt;Notes!$B$5,"",IF(COUNTIFS(Release_Calendar!$A$2:$A$755,"NZ_CPI",Release_Calendar!$B$2:$B$755,$A3395)&gt;0,1,0))</f>
        <v/>
      </c>
      <c r="N3395" s="16" t="str">
        <f>IF($A3395&lt;Notes!$B$5,"",IF(COUNTIFS(Release_Calendar!$A$2:$A$755,"NZ_GDP",Release_Calendar!$B$2:$B$755,$A3395)&gt;0,1,0))</f>
        <v/>
      </c>
      <c r="O3395" s="16" t="str">
        <f>IF($A3395&lt;Notes!$B$5,"",IF(COUNTIFS(Release_Calendar!$A$2:$A$755,"NZ_LABOUR",Release_Calendar!$B$2:$B$755,$A3395)&gt;0,1,0))</f>
        <v/>
      </c>
      <c r="P3395" s="16">
        <f t="shared" si="4"/>
        <v>0</v>
      </c>
    </row>
    <row r="3396" ht="15.75" customHeight="1">
      <c r="A3396" s="14">
        <v>41278.0</v>
      </c>
      <c r="B3396" s="15">
        <v>0.27</v>
      </c>
      <c r="C3396" s="15">
        <v>2.79</v>
      </c>
      <c r="D3396" s="15">
        <v>2.63</v>
      </c>
      <c r="E3396" s="15">
        <v>2.64</v>
      </c>
      <c r="F3396" s="15">
        <f t="shared" si="1"/>
        <v>2.52</v>
      </c>
      <c r="G3396" s="15">
        <f t="shared" si="2"/>
        <v>2.79</v>
      </c>
      <c r="H3396" s="16">
        <v>0.0</v>
      </c>
      <c r="I3396" s="15">
        <f t="shared" si="3"/>
        <v>2.52</v>
      </c>
      <c r="J3396" s="15">
        <v>13.83</v>
      </c>
      <c r="K3396" s="16">
        <f>IF(COUNTIFS(Release_Calendar!$A$2:$A$755,"US_CPI",Release_Calendar!$B$2:$B$755,$A3396)&gt;0,1,0)</f>
        <v>0</v>
      </c>
      <c r="L3396" s="16">
        <f>IF(COUNTIFS(Release_Calendar!$A$2:$A$755,"US_NFP",Release_Calendar!$B$2:$B$755,$A3396)&gt;0,1,0)</f>
        <v>1</v>
      </c>
      <c r="M3396" s="16" t="str">
        <f>IF($A3396&lt;Notes!$B$5,"",IF(COUNTIFS(Release_Calendar!$A$2:$A$755,"NZ_CPI",Release_Calendar!$B$2:$B$755,$A3396)&gt;0,1,0))</f>
        <v/>
      </c>
      <c r="N3396" s="16" t="str">
        <f>IF($A3396&lt;Notes!$B$5,"",IF(COUNTIFS(Release_Calendar!$A$2:$A$755,"NZ_GDP",Release_Calendar!$B$2:$B$755,$A3396)&gt;0,1,0))</f>
        <v/>
      </c>
      <c r="O3396" s="16" t="str">
        <f>IF($A3396&lt;Notes!$B$5,"",IF(COUNTIFS(Release_Calendar!$A$2:$A$755,"NZ_LABOUR",Release_Calendar!$B$2:$B$755,$A3396)&gt;0,1,0))</f>
        <v/>
      </c>
      <c r="P3396" s="16">
        <f t="shared" si="4"/>
        <v>1</v>
      </c>
    </row>
    <row r="3397" ht="15.75" customHeight="1">
      <c r="A3397" s="14">
        <v>41281.0</v>
      </c>
      <c r="B3397" s="15">
        <v>0.27</v>
      </c>
      <c r="C3397" s="15">
        <v>2.78</v>
      </c>
      <c r="D3397" s="15">
        <v>2.65</v>
      </c>
      <c r="E3397" s="15">
        <v>2.61</v>
      </c>
      <c r="F3397" s="15">
        <f t="shared" si="1"/>
        <v>2.51</v>
      </c>
      <c r="G3397" s="15">
        <f t="shared" si="2"/>
        <v>2.78</v>
      </c>
      <c r="H3397" s="16">
        <v>0.0</v>
      </c>
      <c r="I3397" s="15">
        <f t="shared" si="3"/>
        <v>2.51</v>
      </c>
      <c r="J3397" s="15">
        <v>13.79</v>
      </c>
      <c r="K3397" s="16">
        <f>IF(COUNTIFS(Release_Calendar!$A$2:$A$755,"US_CPI",Release_Calendar!$B$2:$B$755,$A3397)&gt;0,1,0)</f>
        <v>0</v>
      </c>
      <c r="L3397" s="16">
        <f>IF(COUNTIFS(Release_Calendar!$A$2:$A$755,"US_NFP",Release_Calendar!$B$2:$B$755,$A3397)&gt;0,1,0)</f>
        <v>0</v>
      </c>
      <c r="M3397" s="16" t="str">
        <f>IF($A3397&lt;Notes!$B$5,"",IF(COUNTIFS(Release_Calendar!$A$2:$A$755,"NZ_CPI",Release_Calendar!$B$2:$B$755,$A3397)&gt;0,1,0))</f>
        <v/>
      </c>
      <c r="N3397" s="16" t="str">
        <f>IF($A3397&lt;Notes!$B$5,"",IF(COUNTIFS(Release_Calendar!$A$2:$A$755,"NZ_GDP",Release_Calendar!$B$2:$B$755,$A3397)&gt;0,1,0))</f>
        <v/>
      </c>
      <c r="O3397" s="16" t="str">
        <f>IF($A3397&lt;Notes!$B$5,"",IF(COUNTIFS(Release_Calendar!$A$2:$A$755,"NZ_LABOUR",Release_Calendar!$B$2:$B$755,$A3397)&gt;0,1,0))</f>
        <v/>
      </c>
      <c r="P3397" s="16">
        <f t="shared" si="4"/>
        <v>0</v>
      </c>
    </row>
    <row r="3398" ht="15.75" customHeight="1">
      <c r="A3398" s="14">
        <v>41282.0</v>
      </c>
      <c r="B3398" s="15">
        <v>0.25</v>
      </c>
      <c r="C3398" s="15">
        <v>2.77</v>
      </c>
      <c r="D3398" s="15">
        <v>2.58</v>
      </c>
      <c r="E3398" s="15">
        <v>2.55</v>
      </c>
      <c r="F3398" s="15">
        <f t="shared" si="1"/>
        <v>2.52</v>
      </c>
      <c r="G3398" s="15">
        <f t="shared" si="2"/>
        <v>2.77</v>
      </c>
      <c r="H3398" s="16">
        <v>0.0</v>
      </c>
      <c r="I3398" s="15">
        <f t="shared" si="3"/>
        <v>2.52</v>
      </c>
      <c r="J3398" s="15">
        <v>13.62</v>
      </c>
      <c r="K3398" s="16">
        <f>IF(COUNTIFS(Release_Calendar!$A$2:$A$755,"US_CPI",Release_Calendar!$B$2:$B$755,$A3398)&gt;0,1,0)</f>
        <v>0</v>
      </c>
      <c r="L3398" s="16">
        <f>IF(COUNTIFS(Release_Calendar!$A$2:$A$755,"US_NFP",Release_Calendar!$B$2:$B$755,$A3398)&gt;0,1,0)</f>
        <v>0</v>
      </c>
      <c r="M3398" s="16" t="str">
        <f>IF($A3398&lt;Notes!$B$5,"",IF(COUNTIFS(Release_Calendar!$A$2:$A$755,"NZ_CPI",Release_Calendar!$B$2:$B$755,$A3398)&gt;0,1,0))</f>
        <v/>
      </c>
      <c r="N3398" s="16" t="str">
        <f>IF($A3398&lt;Notes!$B$5,"",IF(COUNTIFS(Release_Calendar!$A$2:$A$755,"NZ_GDP",Release_Calendar!$B$2:$B$755,$A3398)&gt;0,1,0))</f>
        <v/>
      </c>
      <c r="O3398" s="16" t="str">
        <f>IF($A3398&lt;Notes!$B$5,"",IF(COUNTIFS(Release_Calendar!$A$2:$A$755,"NZ_LABOUR",Release_Calendar!$B$2:$B$755,$A3398)&gt;0,1,0))</f>
        <v/>
      </c>
      <c r="P3398" s="16">
        <f t="shared" si="4"/>
        <v>0</v>
      </c>
    </row>
    <row r="3399" ht="15.75" customHeight="1">
      <c r="A3399" s="14">
        <v>41283.0</v>
      </c>
      <c r="B3399" s="15">
        <v>0.24</v>
      </c>
      <c r="C3399" s="15">
        <v>2.75</v>
      </c>
      <c r="D3399" s="15">
        <v>2.55</v>
      </c>
      <c r="E3399" s="15">
        <v>2.52</v>
      </c>
      <c r="F3399" s="15">
        <f t="shared" si="1"/>
        <v>2.51</v>
      </c>
      <c r="G3399" s="15">
        <f t="shared" si="2"/>
        <v>2.75</v>
      </c>
      <c r="H3399" s="16">
        <v>0.0</v>
      </c>
      <c r="I3399" s="15">
        <f t="shared" si="3"/>
        <v>2.51</v>
      </c>
      <c r="J3399" s="15">
        <v>13.81</v>
      </c>
      <c r="K3399" s="16">
        <f>IF(COUNTIFS(Release_Calendar!$A$2:$A$755,"US_CPI",Release_Calendar!$B$2:$B$755,$A3399)&gt;0,1,0)</f>
        <v>0</v>
      </c>
      <c r="L3399" s="16">
        <f>IF(COUNTIFS(Release_Calendar!$A$2:$A$755,"US_NFP",Release_Calendar!$B$2:$B$755,$A3399)&gt;0,1,0)</f>
        <v>0</v>
      </c>
      <c r="M3399" s="16" t="str">
        <f>IF($A3399&lt;Notes!$B$5,"",IF(COUNTIFS(Release_Calendar!$A$2:$A$755,"NZ_CPI",Release_Calendar!$B$2:$B$755,$A3399)&gt;0,1,0))</f>
        <v/>
      </c>
      <c r="N3399" s="16" t="str">
        <f>IF($A3399&lt;Notes!$B$5,"",IF(COUNTIFS(Release_Calendar!$A$2:$A$755,"NZ_GDP",Release_Calendar!$B$2:$B$755,$A3399)&gt;0,1,0))</f>
        <v/>
      </c>
      <c r="O3399" s="16" t="str">
        <f>IF($A3399&lt;Notes!$B$5,"",IF(COUNTIFS(Release_Calendar!$A$2:$A$755,"NZ_LABOUR",Release_Calendar!$B$2:$B$755,$A3399)&gt;0,1,0))</f>
        <v/>
      </c>
      <c r="P3399" s="16">
        <f t="shared" si="4"/>
        <v>0</v>
      </c>
    </row>
    <row r="3400" ht="15.75" customHeight="1">
      <c r="A3400" s="14">
        <v>41284.0</v>
      </c>
      <c r="B3400" s="15">
        <v>0.26</v>
      </c>
      <c r="C3400" s="15">
        <v>2.77</v>
      </c>
      <c r="D3400" s="15">
        <v>2.51</v>
      </c>
      <c r="E3400" s="15">
        <v>2.51</v>
      </c>
      <c r="F3400" s="15">
        <f t="shared" si="1"/>
        <v>2.51</v>
      </c>
      <c r="G3400" s="15">
        <f t="shared" si="2"/>
        <v>2.77</v>
      </c>
      <c r="H3400" s="16">
        <v>0.0</v>
      </c>
      <c r="I3400" s="15">
        <f t="shared" si="3"/>
        <v>2.51</v>
      </c>
      <c r="J3400" s="15">
        <v>13.49</v>
      </c>
      <c r="K3400" s="16">
        <f>IF(COUNTIFS(Release_Calendar!$A$2:$A$755,"US_CPI",Release_Calendar!$B$2:$B$755,$A3400)&gt;0,1,0)</f>
        <v>0</v>
      </c>
      <c r="L3400" s="16">
        <f>IF(COUNTIFS(Release_Calendar!$A$2:$A$755,"US_NFP",Release_Calendar!$B$2:$B$755,$A3400)&gt;0,1,0)</f>
        <v>0</v>
      </c>
      <c r="M3400" s="16" t="str">
        <f>IF($A3400&lt;Notes!$B$5,"",IF(COUNTIFS(Release_Calendar!$A$2:$A$755,"NZ_CPI",Release_Calendar!$B$2:$B$755,$A3400)&gt;0,1,0))</f>
        <v/>
      </c>
      <c r="N3400" s="16" t="str">
        <f>IF($A3400&lt;Notes!$B$5,"",IF(COUNTIFS(Release_Calendar!$A$2:$A$755,"NZ_GDP",Release_Calendar!$B$2:$B$755,$A3400)&gt;0,1,0))</f>
        <v/>
      </c>
      <c r="O3400" s="16" t="str">
        <f>IF($A3400&lt;Notes!$B$5,"",IF(COUNTIFS(Release_Calendar!$A$2:$A$755,"NZ_LABOUR",Release_Calendar!$B$2:$B$755,$A3400)&gt;0,1,0))</f>
        <v/>
      </c>
      <c r="P3400" s="16">
        <f t="shared" si="4"/>
        <v>0</v>
      </c>
    </row>
    <row r="3401" ht="15.75" customHeight="1">
      <c r="A3401" s="14">
        <v>41285.0</v>
      </c>
      <c r="B3401" s="15">
        <v>0.26</v>
      </c>
      <c r="C3401" s="15">
        <v>2.8</v>
      </c>
      <c r="D3401" s="15">
        <v>2.54</v>
      </c>
      <c r="E3401" s="15">
        <v>2.53</v>
      </c>
      <c r="F3401" s="15">
        <f t="shared" si="1"/>
        <v>2.54</v>
      </c>
      <c r="G3401" s="15">
        <f t="shared" si="2"/>
        <v>2.8</v>
      </c>
      <c r="H3401" s="16">
        <v>0.0</v>
      </c>
      <c r="I3401" s="15">
        <f t="shared" si="3"/>
        <v>2.54</v>
      </c>
      <c r="J3401" s="15">
        <v>13.36</v>
      </c>
      <c r="K3401" s="16">
        <f>IF(COUNTIFS(Release_Calendar!$A$2:$A$755,"US_CPI",Release_Calendar!$B$2:$B$755,$A3401)&gt;0,1,0)</f>
        <v>0</v>
      </c>
      <c r="L3401" s="16">
        <f>IF(COUNTIFS(Release_Calendar!$A$2:$A$755,"US_NFP",Release_Calendar!$B$2:$B$755,$A3401)&gt;0,1,0)</f>
        <v>0</v>
      </c>
      <c r="M3401" s="16" t="str">
        <f>IF($A3401&lt;Notes!$B$5,"",IF(COUNTIFS(Release_Calendar!$A$2:$A$755,"NZ_CPI",Release_Calendar!$B$2:$B$755,$A3401)&gt;0,1,0))</f>
        <v/>
      </c>
      <c r="N3401" s="16" t="str">
        <f>IF($A3401&lt;Notes!$B$5,"",IF(COUNTIFS(Release_Calendar!$A$2:$A$755,"NZ_GDP",Release_Calendar!$B$2:$B$755,$A3401)&gt;0,1,0))</f>
        <v/>
      </c>
      <c r="O3401" s="16" t="str">
        <f>IF($A3401&lt;Notes!$B$5,"",IF(COUNTIFS(Release_Calendar!$A$2:$A$755,"NZ_LABOUR",Release_Calendar!$B$2:$B$755,$A3401)&gt;0,1,0))</f>
        <v/>
      </c>
      <c r="P3401" s="16">
        <f t="shared" si="4"/>
        <v>0</v>
      </c>
    </row>
    <row r="3402" ht="15.75" customHeight="1">
      <c r="A3402" s="14">
        <v>41288.0</v>
      </c>
      <c r="B3402" s="15">
        <v>0.26</v>
      </c>
      <c r="C3402" s="15">
        <v>2.8</v>
      </c>
      <c r="D3402" s="15">
        <v>2.51</v>
      </c>
      <c r="E3402" s="15">
        <v>2.5</v>
      </c>
      <c r="F3402" s="15">
        <f t="shared" si="1"/>
        <v>2.54</v>
      </c>
      <c r="G3402" s="15">
        <f t="shared" si="2"/>
        <v>2.8</v>
      </c>
      <c r="H3402" s="16">
        <v>0.0</v>
      </c>
      <c r="I3402" s="15">
        <f t="shared" si="3"/>
        <v>2.54</v>
      </c>
      <c r="J3402" s="15">
        <v>13.52</v>
      </c>
      <c r="K3402" s="16">
        <f>IF(COUNTIFS(Release_Calendar!$A$2:$A$755,"US_CPI",Release_Calendar!$B$2:$B$755,$A3402)&gt;0,1,0)</f>
        <v>0</v>
      </c>
      <c r="L3402" s="16">
        <f>IF(COUNTIFS(Release_Calendar!$A$2:$A$755,"US_NFP",Release_Calendar!$B$2:$B$755,$A3402)&gt;0,1,0)</f>
        <v>0</v>
      </c>
      <c r="M3402" s="16" t="str">
        <f>IF($A3402&lt;Notes!$B$5,"",IF(COUNTIFS(Release_Calendar!$A$2:$A$755,"NZ_CPI",Release_Calendar!$B$2:$B$755,$A3402)&gt;0,1,0))</f>
        <v/>
      </c>
      <c r="N3402" s="16" t="str">
        <f>IF($A3402&lt;Notes!$B$5,"",IF(COUNTIFS(Release_Calendar!$A$2:$A$755,"NZ_GDP",Release_Calendar!$B$2:$B$755,$A3402)&gt;0,1,0))</f>
        <v/>
      </c>
      <c r="O3402" s="16" t="str">
        <f>IF($A3402&lt;Notes!$B$5,"",IF(COUNTIFS(Release_Calendar!$A$2:$A$755,"NZ_LABOUR",Release_Calendar!$B$2:$B$755,$A3402)&gt;0,1,0))</f>
        <v/>
      </c>
      <c r="P3402" s="16">
        <f t="shared" si="4"/>
        <v>0</v>
      </c>
    </row>
    <row r="3403" ht="15.75" customHeight="1">
      <c r="A3403" s="14">
        <v>41289.0</v>
      </c>
      <c r="B3403" s="15">
        <v>0.26</v>
      </c>
      <c r="C3403" s="15">
        <v>2.82</v>
      </c>
      <c r="D3403" s="15">
        <v>2.48</v>
      </c>
      <c r="E3403" s="15">
        <v>2.48</v>
      </c>
      <c r="F3403" s="15">
        <f t="shared" si="1"/>
        <v>2.56</v>
      </c>
      <c r="G3403" s="15">
        <f t="shared" si="2"/>
        <v>2.82</v>
      </c>
      <c r="H3403" s="16">
        <v>0.0</v>
      </c>
      <c r="I3403" s="15">
        <f t="shared" si="3"/>
        <v>2.56</v>
      </c>
      <c r="J3403" s="15">
        <v>13.55</v>
      </c>
      <c r="K3403" s="16">
        <f>IF(COUNTIFS(Release_Calendar!$A$2:$A$755,"US_CPI",Release_Calendar!$B$2:$B$755,$A3403)&gt;0,1,0)</f>
        <v>0</v>
      </c>
      <c r="L3403" s="16">
        <f>IF(COUNTIFS(Release_Calendar!$A$2:$A$755,"US_NFP",Release_Calendar!$B$2:$B$755,$A3403)&gt;0,1,0)</f>
        <v>0</v>
      </c>
      <c r="M3403" s="16" t="str">
        <f>IF($A3403&lt;Notes!$B$5,"",IF(COUNTIFS(Release_Calendar!$A$2:$A$755,"NZ_CPI",Release_Calendar!$B$2:$B$755,$A3403)&gt;0,1,0))</f>
        <v/>
      </c>
      <c r="N3403" s="16" t="str">
        <f>IF($A3403&lt;Notes!$B$5,"",IF(COUNTIFS(Release_Calendar!$A$2:$A$755,"NZ_GDP",Release_Calendar!$B$2:$B$755,$A3403)&gt;0,1,0))</f>
        <v/>
      </c>
      <c r="O3403" s="16" t="str">
        <f>IF($A3403&lt;Notes!$B$5,"",IF(COUNTIFS(Release_Calendar!$A$2:$A$755,"NZ_LABOUR",Release_Calendar!$B$2:$B$755,$A3403)&gt;0,1,0))</f>
        <v/>
      </c>
      <c r="P3403" s="16">
        <f t="shared" si="4"/>
        <v>0</v>
      </c>
    </row>
    <row r="3404" ht="15.75" customHeight="1">
      <c r="A3404" s="14">
        <v>41290.0</v>
      </c>
      <c r="B3404" s="15">
        <v>0.26</v>
      </c>
      <c r="C3404" s="15">
        <v>2.81</v>
      </c>
      <c r="D3404" s="15">
        <v>2.47</v>
      </c>
      <c r="E3404" s="15">
        <v>2.47</v>
      </c>
      <c r="F3404" s="15">
        <f t="shared" si="1"/>
        <v>2.55</v>
      </c>
      <c r="G3404" s="15">
        <f t="shared" si="2"/>
        <v>2.81</v>
      </c>
      <c r="H3404" s="16">
        <v>0.0</v>
      </c>
      <c r="I3404" s="15">
        <f t="shared" si="3"/>
        <v>2.55</v>
      </c>
      <c r="J3404" s="15">
        <v>13.42</v>
      </c>
      <c r="K3404" s="16">
        <f>IF(COUNTIFS(Release_Calendar!$A$2:$A$755,"US_CPI",Release_Calendar!$B$2:$B$755,$A3404)&gt;0,1,0)</f>
        <v>1</v>
      </c>
      <c r="L3404" s="16">
        <f>IF(COUNTIFS(Release_Calendar!$A$2:$A$755,"US_NFP",Release_Calendar!$B$2:$B$755,$A3404)&gt;0,1,0)</f>
        <v>0</v>
      </c>
      <c r="M3404" s="16" t="str">
        <f>IF($A3404&lt;Notes!$B$5,"",IF(COUNTIFS(Release_Calendar!$A$2:$A$755,"NZ_CPI",Release_Calendar!$B$2:$B$755,$A3404)&gt;0,1,0))</f>
        <v/>
      </c>
      <c r="N3404" s="16" t="str">
        <f>IF($A3404&lt;Notes!$B$5,"",IF(COUNTIFS(Release_Calendar!$A$2:$A$755,"NZ_GDP",Release_Calendar!$B$2:$B$755,$A3404)&gt;0,1,0))</f>
        <v/>
      </c>
      <c r="O3404" s="16" t="str">
        <f>IF($A3404&lt;Notes!$B$5,"",IF(COUNTIFS(Release_Calendar!$A$2:$A$755,"NZ_LABOUR",Release_Calendar!$B$2:$B$755,$A3404)&gt;0,1,0))</f>
        <v/>
      </c>
      <c r="P3404" s="16">
        <f t="shared" si="4"/>
        <v>1</v>
      </c>
    </row>
    <row r="3405" ht="15.75" customHeight="1">
      <c r="A3405" s="14">
        <v>41291.0</v>
      </c>
      <c r="B3405" s="15">
        <v>0.28</v>
      </c>
      <c r="C3405" s="15">
        <v>2.78</v>
      </c>
      <c r="D3405" s="15">
        <v>2.46</v>
      </c>
      <c r="E3405" s="15">
        <v>2.45</v>
      </c>
      <c r="F3405" s="15">
        <f t="shared" si="1"/>
        <v>2.5</v>
      </c>
      <c r="G3405" s="15">
        <f t="shared" si="2"/>
        <v>2.78</v>
      </c>
      <c r="H3405" s="16">
        <v>0.0</v>
      </c>
      <c r="I3405" s="15">
        <f t="shared" si="3"/>
        <v>2.5</v>
      </c>
      <c r="J3405" s="15">
        <v>13.57</v>
      </c>
      <c r="K3405" s="16">
        <f>IF(COUNTIFS(Release_Calendar!$A$2:$A$755,"US_CPI",Release_Calendar!$B$2:$B$755,$A3405)&gt;0,1,0)</f>
        <v>0</v>
      </c>
      <c r="L3405" s="16">
        <f>IF(COUNTIFS(Release_Calendar!$A$2:$A$755,"US_NFP",Release_Calendar!$B$2:$B$755,$A3405)&gt;0,1,0)</f>
        <v>0</v>
      </c>
      <c r="M3405" s="16" t="str">
        <f>IF($A3405&lt;Notes!$B$5,"",IF(COUNTIFS(Release_Calendar!$A$2:$A$755,"NZ_CPI",Release_Calendar!$B$2:$B$755,$A3405)&gt;0,1,0))</f>
        <v/>
      </c>
      <c r="N3405" s="16" t="str">
        <f>IF($A3405&lt;Notes!$B$5,"",IF(COUNTIFS(Release_Calendar!$A$2:$A$755,"NZ_GDP",Release_Calendar!$B$2:$B$755,$A3405)&gt;0,1,0))</f>
        <v/>
      </c>
      <c r="O3405" s="16" t="str">
        <f>IF($A3405&lt;Notes!$B$5,"",IF(COUNTIFS(Release_Calendar!$A$2:$A$755,"NZ_LABOUR",Release_Calendar!$B$2:$B$755,$A3405)&gt;0,1,0))</f>
        <v/>
      </c>
      <c r="P3405" s="16">
        <f t="shared" si="4"/>
        <v>0</v>
      </c>
    </row>
    <row r="3406" ht="15.75" customHeight="1">
      <c r="A3406" s="14">
        <v>41292.0</v>
      </c>
      <c r="B3406" s="15">
        <v>0.26</v>
      </c>
      <c r="C3406" s="15">
        <v>2.81</v>
      </c>
      <c r="D3406" s="15">
        <v>2.46</v>
      </c>
      <c r="E3406" s="15">
        <v>2.47</v>
      </c>
      <c r="F3406" s="15">
        <f t="shared" si="1"/>
        <v>2.55</v>
      </c>
      <c r="G3406" s="15">
        <f t="shared" si="2"/>
        <v>2.81</v>
      </c>
      <c r="H3406" s="16">
        <v>0.0</v>
      </c>
      <c r="I3406" s="15">
        <f t="shared" si="3"/>
        <v>2.55</v>
      </c>
      <c r="J3406" s="15">
        <v>12.46</v>
      </c>
      <c r="K3406" s="16">
        <f>IF(COUNTIFS(Release_Calendar!$A$2:$A$755,"US_CPI",Release_Calendar!$B$2:$B$755,$A3406)&gt;0,1,0)</f>
        <v>0</v>
      </c>
      <c r="L3406" s="16">
        <f>IF(COUNTIFS(Release_Calendar!$A$2:$A$755,"US_NFP",Release_Calendar!$B$2:$B$755,$A3406)&gt;0,1,0)</f>
        <v>0</v>
      </c>
      <c r="M3406" s="16" t="str">
        <f>IF($A3406&lt;Notes!$B$5,"",IF(COUNTIFS(Release_Calendar!$A$2:$A$755,"NZ_CPI",Release_Calendar!$B$2:$B$755,$A3406)&gt;0,1,0))</f>
        <v/>
      </c>
      <c r="N3406" s="16" t="str">
        <f>IF($A3406&lt;Notes!$B$5,"",IF(COUNTIFS(Release_Calendar!$A$2:$A$755,"NZ_GDP",Release_Calendar!$B$2:$B$755,$A3406)&gt;0,1,0))</f>
        <v/>
      </c>
      <c r="O3406" s="16" t="str">
        <f>IF($A3406&lt;Notes!$B$5,"",IF(COUNTIFS(Release_Calendar!$A$2:$A$755,"NZ_LABOUR",Release_Calendar!$B$2:$B$755,$A3406)&gt;0,1,0))</f>
        <v/>
      </c>
      <c r="P3406" s="16">
        <f t="shared" si="4"/>
        <v>0</v>
      </c>
    </row>
    <row r="3407" ht="15.75" customHeight="1">
      <c r="A3407" s="14">
        <v>41295.0</v>
      </c>
      <c r="B3407" s="15"/>
      <c r="C3407" s="15">
        <v>2.81</v>
      </c>
      <c r="D3407" s="15">
        <v>2.46</v>
      </c>
      <c r="E3407" s="15">
        <v>2.47</v>
      </c>
      <c r="F3407" s="15" t="str">
        <f t="shared" si="1"/>
        <v/>
      </c>
      <c r="G3407" s="15">
        <f t="shared" si="2"/>
        <v>2.81</v>
      </c>
      <c r="H3407" s="16">
        <v>0.0</v>
      </c>
      <c r="I3407" s="15" t="str">
        <f t="shared" si="3"/>
        <v/>
      </c>
      <c r="J3407" s="15"/>
      <c r="K3407" s="16">
        <f>IF(COUNTIFS(Release_Calendar!$A$2:$A$755,"US_CPI",Release_Calendar!$B$2:$B$755,$A3407)&gt;0,1,0)</f>
        <v>0</v>
      </c>
      <c r="L3407" s="16">
        <f>IF(COUNTIFS(Release_Calendar!$A$2:$A$755,"US_NFP",Release_Calendar!$B$2:$B$755,$A3407)&gt;0,1,0)</f>
        <v>0</v>
      </c>
      <c r="M3407" s="16" t="str">
        <f>IF($A3407&lt;Notes!$B$5,"",IF(COUNTIFS(Release_Calendar!$A$2:$A$755,"NZ_CPI",Release_Calendar!$B$2:$B$755,$A3407)&gt;0,1,0))</f>
        <v/>
      </c>
      <c r="N3407" s="16" t="str">
        <f>IF($A3407&lt;Notes!$B$5,"",IF(COUNTIFS(Release_Calendar!$A$2:$A$755,"NZ_GDP",Release_Calendar!$B$2:$B$755,$A3407)&gt;0,1,0))</f>
        <v/>
      </c>
      <c r="O3407" s="16" t="str">
        <f>IF($A3407&lt;Notes!$B$5,"",IF(COUNTIFS(Release_Calendar!$A$2:$A$755,"NZ_LABOUR",Release_Calendar!$B$2:$B$755,$A3407)&gt;0,1,0))</f>
        <v/>
      </c>
      <c r="P3407" s="16">
        <f t="shared" si="4"/>
        <v>0</v>
      </c>
    </row>
    <row r="3408" ht="15.75" customHeight="1">
      <c r="A3408" s="14">
        <v>41296.0</v>
      </c>
      <c r="B3408" s="15">
        <v>0.26</v>
      </c>
      <c r="C3408" s="15">
        <v>2.83</v>
      </c>
      <c r="D3408" s="15">
        <v>2.46</v>
      </c>
      <c r="E3408" s="15">
        <v>2.48</v>
      </c>
      <c r="F3408" s="15">
        <f t="shared" si="1"/>
        <v>2.57</v>
      </c>
      <c r="G3408" s="15">
        <f t="shared" si="2"/>
        <v>2.83</v>
      </c>
      <c r="H3408" s="16">
        <v>0.0</v>
      </c>
      <c r="I3408" s="15">
        <f t="shared" si="3"/>
        <v>2.57</v>
      </c>
      <c r="J3408" s="15">
        <v>12.43</v>
      </c>
      <c r="K3408" s="16">
        <f>IF(COUNTIFS(Release_Calendar!$A$2:$A$755,"US_CPI",Release_Calendar!$B$2:$B$755,$A3408)&gt;0,1,0)</f>
        <v>0</v>
      </c>
      <c r="L3408" s="16">
        <f>IF(COUNTIFS(Release_Calendar!$A$2:$A$755,"US_NFP",Release_Calendar!$B$2:$B$755,$A3408)&gt;0,1,0)</f>
        <v>0</v>
      </c>
      <c r="M3408" s="16" t="str">
        <f>IF($A3408&lt;Notes!$B$5,"",IF(COUNTIFS(Release_Calendar!$A$2:$A$755,"NZ_CPI",Release_Calendar!$B$2:$B$755,$A3408)&gt;0,1,0))</f>
        <v/>
      </c>
      <c r="N3408" s="16" t="str">
        <f>IF($A3408&lt;Notes!$B$5,"",IF(COUNTIFS(Release_Calendar!$A$2:$A$755,"NZ_GDP",Release_Calendar!$B$2:$B$755,$A3408)&gt;0,1,0))</f>
        <v/>
      </c>
      <c r="O3408" s="16" t="str">
        <f>IF($A3408&lt;Notes!$B$5,"",IF(COUNTIFS(Release_Calendar!$A$2:$A$755,"NZ_LABOUR",Release_Calendar!$B$2:$B$755,$A3408)&gt;0,1,0))</f>
        <v/>
      </c>
      <c r="P3408" s="16">
        <f t="shared" si="4"/>
        <v>0</v>
      </c>
    </row>
    <row r="3409" ht="15.75" customHeight="1">
      <c r="A3409" s="14">
        <v>41297.0</v>
      </c>
      <c r="B3409" s="15">
        <v>0.26</v>
      </c>
      <c r="C3409" s="15">
        <v>2.81</v>
      </c>
      <c r="D3409" s="15">
        <v>2.48</v>
      </c>
      <c r="E3409" s="15">
        <v>2.51</v>
      </c>
      <c r="F3409" s="15">
        <f t="shared" si="1"/>
        <v>2.55</v>
      </c>
      <c r="G3409" s="15">
        <f t="shared" si="2"/>
        <v>2.81</v>
      </c>
      <c r="H3409" s="16">
        <v>0.0</v>
      </c>
      <c r="I3409" s="15">
        <f t="shared" si="3"/>
        <v>2.55</v>
      </c>
      <c r="J3409" s="15">
        <v>12.46</v>
      </c>
      <c r="K3409" s="16">
        <f>IF(COUNTIFS(Release_Calendar!$A$2:$A$755,"US_CPI",Release_Calendar!$B$2:$B$755,$A3409)&gt;0,1,0)</f>
        <v>0</v>
      </c>
      <c r="L3409" s="16">
        <f>IF(COUNTIFS(Release_Calendar!$A$2:$A$755,"US_NFP",Release_Calendar!$B$2:$B$755,$A3409)&gt;0,1,0)</f>
        <v>0</v>
      </c>
      <c r="M3409" s="16" t="str">
        <f>IF($A3409&lt;Notes!$B$5,"",IF(COUNTIFS(Release_Calendar!$A$2:$A$755,"NZ_CPI",Release_Calendar!$B$2:$B$755,$A3409)&gt;0,1,0))</f>
        <v/>
      </c>
      <c r="N3409" s="16" t="str">
        <f>IF($A3409&lt;Notes!$B$5,"",IF(COUNTIFS(Release_Calendar!$A$2:$A$755,"NZ_GDP",Release_Calendar!$B$2:$B$755,$A3409)&gt;0,1,0))</f>
        <v/>
      </c>
      <c r="O3409" s="16" t="str">
        <f>IF($A3409&lt;Notes!$B$5,"",IF(COUNTIFS(Release_Calendar!$A$2:$A$755,"NZ_LABOUR",Release_Calendar!$B$2:$B$755,$A3409)&gt;0,1,0))</f>
        <v/>
      </c>
      <c r="P3409" s="16">
        <f t="shared" si="4"/>
        <v>0</v>
      </c>
    </row>
    <row r="3410" ht="15.75" customHeight="1">
      <c r="A3410" s="14">
        <v>41298.0</v>
      </c>
      <c r="B3410" s="15">
        <v>0.23</v>
      </c>
      <c r="C3410" s="15">
        <v>2.8</v>
      </c>
      <c r="D3410" s="15">
        <v>2.51</v>
      </c>
      <c r="E3410" s="15">
        <v>2.51</v>
      </c>
      <c r="F3410" s="15">
        <f t="shared" si="1"/>
        <v>2.57</v>
      </c>
      <c r="G3410" s="15">
        <f t="shared" si="2"/>
        <v>2.8</v>
      </c>
      <c r="H3410" s="16">
        <v>0.0</v>
      </c>
      <c r="I3410" s="15">
        <f t="shared" si="3"/>
        <v>2.57</v>
      </c>
      <c r="J3410" s="15">
        <v>12.69</v>
      </c>
      <c r="K3410" s="16">
        <f>IF(COUNTIFS(Release_Calendar!$A$2:$A$755,"US_CPI",Release_Calendar!$B$2:$B$755,$A3410)&gt;0,1,0)</f>
        <v>0</v>
      </c>
      <c r="L3410" s="16">
        <f>IF(COUNTIFS(Release_Calendar!$A$2:$A$755,"US_NFP",Release_Calendar!$B$2:$B$755,$A3410)&gt;0,1,0)</f>
        <v>0</v>
      </c>
      <c r="M3410" s="16" t="str">
        <f>IF($A3410&lt;Notes!$B$5,"",IF(COUNTIFS(Release_Calendar!$A$2:$A$755,"NZ_CPI",Release_Calendar!$B$2:$B$755,$A3410)&gt;0,1,0))</f>
        <v/>
      </c>
      <c r="N3410" s="16" t="str">
        <f>IF($A3410&lt;Notes!$B$5,"",IF(COUNTIFS(Release_Calendar!$A$2:$A$755,"NZ_GDP",Release_Calendar!$B$2:$B$755,$A3410)&gt;0,1,0))</f>
        <v/>
      </c>
      <c r="O3410" s="16" t="str">
        <f>IF($A3410&lt;Notes!$B$5,"",IF(COUNTIFS(Release_Calendar!$A$2:$A$755,"NZ_LABOUR",Release_Calendar!$B$2:$B$755,$A3410)&gt;0,1,0))</f>
        <v/>
      </c>
      <c r="P3410" s="16">
        <f t="shared" si="4"/>
        <v>0</v>
      </c>
    </row>
    <row r="3411" ht="15.75" customHeight="1">
      <c r="A3411" s="14">
        <v>41299.0</v>
      </c>
      <c r="B3411" s="15">
        <v>0.28</v>
      </c>
      <c r="C3411" s="15">
        <v>2.83</v>
      </c>
      <c r="D3411" s="15">
        <v>2.51</v>
      </c>
      <c r="E3411" s="15">
        <v>2.52</v>
      </c>
      <c r="F3411" s="15">
        <f t="shared" si="1"/>
        <v>2.55</v>
      </c>
      <c r="G3411" s="15">
        <f t="shared" si="2"/>
        <v>2.83</v>
      </c>
      <c r="H3411" s="16">
        <v>0.0</v>
      </c>
      <c r="I3411" s="15">
        <f t="shared" si="3"/>
        <v>2.55</v>
      </c>
      <c r="J3411" s="15">
        <v>12.89</v>
      </c>
      <c r="K3411" s="16">
        <f>IF(COUNTIFS(Release_Calendar!$A$2:$A$755,"US_CPI",Release_Calendar!$B$2:$B$755,$A3411)&gt;0,1,0)</f>
        <v>0</v>
      </c>
      <c r="L3411" s="16">
        <f>IF(COUNTIFS(Release_Calendar!$A$2:$A$755,"US_NFP",Release_Calendar!$B$2:$B$755,$A3411)&gt;0,1,0)</f>
        <v>0</v>
      </c>
      <c r="M3411" s="16" t="str">
        <f>IF($A3411&lt;Notes!$B$5,"",IF(COUNTIFS(Release_Calendar!$A$2:$A$755,"NZ_CPI",Release_Calendar!$B$2:$B$755,$A3411)&gt;0,1,0))</f>
        <v/>
      </c>
      <c r="N3411" s="16" t="str">
        <f>IF($A3411&lt;Notes!$B$5,"",IF(COUNTIFS(Release_Calendar!$A$2:$A$755,"NZ_GDP",Release_Calendar!$B$2:$B$755,$A3411)&gt;0,1,0))</f>
        <v/>
      </c>
      <c r="O3411" s="16" t="str">
        <f>IF($A3411&lt;Notes!$B$5,"",IF(COUNTIFS(Release_Calendar!$A$2:$A$755,"NZ_LABOUR",Release_Calendar!$B$2:$B$755,$A3411)&gt;0,1,0))</f>
        <v/>
      </c>
      <c r="P3411" s="16">
        <f t="shared" si="4"/>
        <v>0</v>
      </c>
    </row>
    <row r="3412" ht="15.75" customHeight="1">
      <c r="A3412" s="14">
        <v>41302.0</v>
      </c>
      <c r="B3412" s="15">
        <v>0.29</v>
      </c>
      <c r="C3412" s="15">
        <v>2.83</v>
      </c>
      <c r="D3412" s="15">
        <v>2.56</v>
      </c>
      <c r="E3412" s="15">
        <v>2.52</v>
      </c>
      <c r="F3412" s="15">
        <f t="shared" si="1"/>
        <v>2.54</v>
      </c>
      <c r="G3412" s="15">
        <f t="shared" si="2"/>
        <v>2.83</v>
      </c>
      <c r="H3412" s="16">
        <v>0.0</v>
      </c>
      <c r="I3412" s="15">
        <f t="shared" si="3"/>
        <v>2.54</v>
      </c>
      <c r="J3412" s="15">
        <v>13.57</v>
      </c>
      <c r="K3412" s="16">
        <f>IF(COUNTIFS(Release_Calendar!$A$2:$A$755,"US_CPI",Release_Calendar!$B$2:$B$755,$A3412)&gt;0,1,0)</f>
        <v>0</v>
      </c>
      <c r="L3412" s="16">
        <f>IF(COUNTIFS(Release_Calendar!$A$2:$A$755,"US_NFP",Release_Calendar!$B$2:$B$755,$A3412)&gt;0,1,0)</f>
        <v>0</v>
      </c>
      <c r="M3412" s="16" t="str">
        <f>IF($A3412&lt;Notes!$B$5,"",IF(COUNTIFS(Release_Calendar!$A$2:$A$755,"NZ_CPI",Release_Calendar!$B$2:$B$755,$A3412)&gt;0,1,0))</f>
        <v/>
      </c>
      <c r="N3412" s="16" t="str">
        <f>IF($A3412&lt;Notes!$B$5,"",IF(COUNTIFS(Release_Calendar!$A$2:$A$755,"NZ_GDP",Release_Calendar!$B$2:$B$755,$A3412)&gt;0,1,0))</f>
        <v/>
      </c>
      <c r="O3412" s="16" t="str">
        <f>IF($A3412&lt;Notes!$B$5,"",IF(COUNTIFS(Release_Calendar!$A$2:$A$755,"NZ_LABOUR",Release_Calendar!$B$2:$B$755,$A3412)&gt;0,1,0))</f>
        <v/>
      </c>
      <c r="P3412" s="16">
        <f t="shared" si="4"/>
        <v>0</v>
      </c>
    </row>
    <row r="3413" ht="15.75" customHeight="1">
      <c r="A3413" s="14">
        <v>41303.0</v>
      </c>
      <c r="B3413" s="15">
        <v>0.3</v>
      </c>
      <c r="C3413" s="15">
        <v>2.91</v>
      </c>
      <c r="D3413" s="15">
        <v>2.58</v>
      </c>
      <c r="E3413" s="15">
        <v>2.61</v>
      </c>
      <c r="F3413" s="15">
        <f t="shared" si="1"/>
        <v>2.61</v>
      </c>
      <c r="G3413" s="15">
        <f t="shared" si="2"/>
        <v>2.91</v>
      </c>
      <c r="H3413" s="16">
        <v>0.0</v>
      </c>
      <c r="I3413" s="15">
        <f t="shared" si="3"/>
        <v>2.61</v>
      </c>
      <c r="J3413" s="15">
        <v>13.31</v>
      </c>
      <c r="K3413" s="16">
        <f>IF(COUNTIFS(Release_Calendar!$A$2:$A$755,"US_CPI",Release_Calendar!$B$2:$B$755,$A3413)&gt;0,1,0)</f>
        <v>0</v>
      </c>
      <c r="L3413" s="16">
        <f>IF(COUNTIFS(Release_Calendar!$A$2:$A$755,"US_NFP",Release_Calendar!$B$2:$B$755,$A3413)&gt;0,1,0)</f>
        <v>0</v>
      </c>
      <c r="M3413" s="16" t="str">
        <f>IF($A3413&lt;Notes!$B$5,"",IF(COUNTIFS(Release_Calendar!$A$2:$A$755,"NZ_CPI",Release_Calendar!$B$2:$B$755,$A3413)&gt;0,1,0))</f>
        <v/>
      </c>
      <c r="N3413" s="16" t="str">
        <f>IF($A3413&lt;Notes!$B$5,"",IF(COUNTIFS(Release_Calendar!$A$2:$A$755,"NZ_GDP",Release_Calendar!$B$2:$B$755,$A3413)&gt;0,1,0))</f>
        <v/>
      </c>
      <c r="O3413" s="16" t="str">
        <f>IF($A3413&lt;Notes!$B$5,"",IF(COUNTIFS(Release_Calendar!$A$2:$A$755,"NZ_LABOUR",Release_Calendar!$B$2:$B$755,$A3413)&gt;0,1,0))</f>
        <v/>
      </c>
      <c r="P3413" s="16">
        <f t="shared" si="4"/>
        <v>0</v>
      </c>
    </row>
    <row r="3414" ht="15.75" customHeight="1">
      <c r="A3414" s="14">
        <v>41304.0</v>
      </c>
      <c r="B3414" s="15">
        <v>0.27</v>
      </c>
      <c r="C3414" s="15">
        <v>2.88</v>
      </c>
      <c r="D3414" s="15">
        <v>2.6</v>
      </c>
      <c r="E3414" s="15">
        <v>2.6</v>
      </c>
      <c r="F3414" s="15">
        <f t="shared" si="1"/>
        <v>2.61</v>
      </c>
      <c r="G3414" s="15">
        <f t="shared" si="2"/>
        <v>2.88</v>
      </c>
      <c r="H3414" s="16">
        <v>0.0</v>
      </c>
      <c r="I3414" s="15">
        <f t="shared" si="3"/>
        <v>2.61</v>
      </c>
      <c r="J3414" s="15">
        <v>14.32</v>
      </c>
      <c r="K3414" s="16">
        <f>IF(COUNTIFS(Release_Calendar!$A$2:$A$755,"US_CPI",Release_Calendar!$B$2:$B$755,$A3414)&gt;0,1,0)</f>
        <v>0</v>
      </c>
      <c r="L3414" s="16">
        <f>IF(COUNTIFS(Release_Calendar!$A$2:$A$755,"US_NFP",Release_Calendar!$B$2:$B$755,$A3414)&gt;0,1,0)</f>
        <v>0</v>
      </c>
      <c r="M3414" s="16" t="str">
        <f>IF($A3414&lt;Notes!$B$5,"",IF(COUNTIFS(Release_Calendar!$A$2:$A$755,"NZ_CPI",Release_Calendar!$B$2:$B$755,$A3414)&gt;0,1,0))</f>
        <v/>
      </c>
      <c r="N3414" s="16" t="str">
        <f>IF($A3414&lt;Notes!$B$5,"",IF(COUNTIFS(Release_Calendar!$A$2:$A$755,"NZ_GDP",Release_Calendar!$B$2:$B$755,$A3414)&gt;0,1,0))</f>
        <v/>
      </c>
      <c r="O3414" s="16" t="str">
        <f>IF($A3414&lt;Notes!$B$5,"",IF(COUNTIFS(Release_Calendar!$A$2:$A$755,"NZ_LABOUR",Release_Calendar!$B$2:$B$755,$A3414)&gt;0,1,0))</f>
        <v/>
      </c>
      <c r="P3414" s="16">
        <f t="shared" si="4"/>
        <v>0</v>
      </c>
    </row>
    <row r="3415" ht="15.75" customHeight="1">
      <c r="A3415" s="14">
        <v>41305.0</v>
      </c>
      <c r="B3415" s="15">
        <v>0.27</v>
      </c>
      <c r="C3415" s="15">
        <v>2.89</v>
      </c>
      <c r="D3415" s="15">
        <v>2.59</v>
      </c>
      <c r="E3415" s="15">
        <v>2.62</v>
      </c>
      <c r="F3415" s="15">
        <f t="shared" si="1"/>
        <v>2.62</v>
      </c>
      <c r="G3415" s="15">
        <f t="shared" si="2"/>
        <v>2.89</v>
      </c>
      <c r="H3415" s="16">
        <v>0.0</v>
      </c>
      <c r="I3415" s="15">
        <f t="shared" si="3"/>
        <v>2.62</v>
      </c>
      <c r="J3415" s="15">
        <v>14.28</v>
      </c>
      <c r="K3415" s="16">
        <f>IF(COUNTIFS(Release_Calendar!$A$2:$A$755,"US_CPI",Release_Calendar!$B$2:$B$755,$A3415)&gt;0,1,0)</f>
        <v>0</v>
      </c>
      <c r="L3415" s="16">
        <f>IF(COUNTIFS(Release_Calendar!$A$2:$A$755,"US_NFP",Release_Calendar!$B$2:$B$755,$A3415)&gt;0,1,0)</f>
        <v>0</v>
      </c>
      <c r="M3415" s="16" t="str">
        <f>IF($A3415&lt;Notes!$B$5,"",IF(COUNTIFS(Release_Calendar!$A$2:$A$755,"NZ_CPI",Release_Calendar!$B$2:$B$755,$A3415)&gt;0,1,0))</f>
        <v/>
      </c>
      <c r="N3415" s="16" t="str">
        <f>IF($A3415&lt;Notes!$B$5,"",IF(COUNTIFS(Release_Calendar!$A$2:$A$755,"NZ_GDP",Release_Calendar!$B$2:$B$755,$A3415)&gt;0,1,0))</f>
        <v/>
      </c>
      <c r="O3415" s="16" t="str">
        <f>IF($A3415&lt;Notes!$B$5,"",IF(COUNTIFS(Release_Calendar!$A$2:$A$755,"NZ_LABOUR",Release_Calendar!$B$2:$B$755,$A3415)&gt;0,1,0))</f>
        <v/>
      </c>
      <c r="P3415" s="16">
        <f t="shared" si="4"/>
        <v>0</v>
      </c>
    </row>
    <row r="3416" ht="15.75" customHeight="1">
      <c r="A3416" s="14">
        <v>41306.0</v>
      </c>
      <c r="B3416" s="15">
        <v>0.27</v>
      </c>
      <c r="C3416" s="15">
        <v>2.92</v>
      </c>
      <c r="D3416" s="15">
        <v>2.63</v>
      </c>
      <c r="E3416" s="15">
        <v>2.66</v>
      </c>
      <c r="F3416" s="15">
        <f t="shared" si="1"/>
        <v>2.65</v>
      </c>
      <c r="G3416" s="15">
        <f t="shared" si="2"/>
        <v>2.92</v>
      </c>
      <c r="H3416" s="16">
        <v>0.0</v>
      </c>
      <c r="I3416" s="15">
        <f t="shared" si="3"/>
        <v>2.65</v>
      </c>
      <c r="J3416" s="15">
        <v>12.9</v>
      </c>
      <c r="K3416" s="16">
        <f>IF(COUNTIFS(Release_Calendar!$A$2:$A$755,"US_CPI",Release_Calendar!$B$2:$B$755,$A3416)&gt;0,1,0)</f>
        <v>0</v>
      </c>
      <c r="L3416" s="16">
        <f>IF(COUNTIFS(Release_Calendar!$A$2:$A$755,"US_NFP",Release_Calendar!$B$2:$B$755,$A3416)&gt;0,1,0)</f>
        <v>1</v>
      </c>
      <c r="M3416" s="16" t="str">
        <f>IF($A3416&lt;Notes!$B$5,"",IF(COUNTIFS(Release_Calendar!$A$2:$A$755,"NZ_CPI",Release_Calendar!$B$2:$B$755,$A3416)&gt;0,1,0))</f>
        <v/>
      </c>
      <c r="N3416" s="16" t="str">
        <f>IF($A3416&lt;Notes!$B$5,"",IF(COUNTIFS(Release_Calendar!$A$2:$A$755,"NZ_GDP",Release_Calendar!$B$2:$B$755,$A3416)&gt;0,1,0))</f>
        <v/>
      </c>
      <c r="O3416" s="16" t="str">
        <f>IF($A3416&lt;Notes!$B$5,"",IF(COUNTIFS(Release_Calendar!$A$2:$A$755,"NZ_LABOUR",Release_Calendar!$B$2:$B$755,$A3416)&gt;0,1,0))</f>
        <v/>
      </c>
      <c r="P3416" s="16">
        <f t="shared" si="4"/>
        <v>1</v>
      </c>
    </row>
    <row r="3417" ht="15.75" customHeight="1">
      <c r="A3417" s="14">
        <v>41309.0</v>
      </c>
      <c r="B3417" s="15">
        <v>0.25</v>
      </c>
      <c r="C3417" s="15">
        <v>2.96</v>
      </c>
      <c r="D3417" s="15">
        <v>2.67</v>
      </c>
      <c r="E3417" s="15">
        <v>2.72</v>
      </c>
      <c r="F3417" s="15">
        <f t="shared" si="1"/>
        <v>2.71</v>
      </c>
      <c r="G3417" s="15">
        <f t="shared" si="2"/>
        <v>2.96</v>
      </c>
      <c r="H3417" s="16">
        <v>0.0</v>
      </c>
      <c r="I3417" s="15">
        <f t="shared" si="3"/>
        <v>2.71</v>
      </c>
      <c r="J3417" s="15">
        <v>14.67</v>
      </c>
      <c r="K3417" s="16">
        <f>IF(COUNTIFS(Release_Calendar!$A$2:$A$755,"US_CPI",Release_Calendar!$B$2:$B$755,$A3417)&gt;0,1,0)</f>
        <v>0</v>
      </c>
      <c r="L3417" s="16">
        <f>IF(COUNTIFS(Release_Calendar!$A$2:$A$755,"US_NFP",Release_Calendar!$B$2:$B$755,$A3417)&gt;0,1,0)</f>
        <v>0</v>
      </c>
      <c r="M3417" s="16" t="str">
        <f>IF($A3417&lt;Notes!$B$5,"",IF(COUNTIFS(Release_Calendar!$A$2:$A$755,"NZ_CPI",Release_Calendar!$B$2:$B$755,$A3417)&gt;0,1,0))</f>
        <v/>
      </c>
      <c r="N3417" s="16" t="str">
        <f>IF($A3417&lt;Notes!$B$5,"",IF(COUNTIFS(Release_Calendar!$A$2:$A$755,"NZ_GDP",Release_Calendar!$B$2:$B$755,$A3417)&gt;0,1,0))</f>
        <v/>
      </c>
      <c r="O3417" s="16" t="str">
        <f>IF($A3417&lt;Notes!$B$5,"",IF(COUNTIFS(Release_Calendar!$A$2:$A$755,"NZ_LABOUR",Release_Calendar!$B$2:$B$755,$A3417)&gt;0,1,0))</f>
        <v/>
      </c>
      <c r="P3417" s="16">
        <f t="shared" si="4"/>
        <v>0</v>
      </c>
    </row>
    <row r="3418" ht="15.75" customHeight="1">
      <c r="A3418" s="14">
        <v>41310.0</v>
      </c>
      <c r="B3418" s="15">
        <v>0.27</v>
      </c>
      <c r="C3418" s="15">
        <v>2.93</v>
      </c>
      <c r="D3418" s="15">
        <v>2.69</v>
      </c>
      <c r="E3418" s="15">
        <v>2.69</v>
      </c>
      <c r="F3418" s="15">
        <f t="shared" si="1"/>
        <v>2.66</v>
      </c>
      <c r="G3418" s="15">
        <f t="shared" si="2"/>
        <v>2.93</v>
      </c>
      <c r="H3418" s="16">
        <v>0.0</v>
      </c>
      <c r="I3418" s="15">
        <f t="shared" si="3"/>
        <v>2.66</v>
      </c>
      <c r="J3418" s="15">
        <v>13.72</v>
      </c>
      <c r="K3418" s="16">
        <f>IF(COUNTIFS(Release_Calendar!$A$2:$A$755,"US_CPI",Release_Calendar!$B$2:$B$755,$A3418)&gt;0,1,0)</f>
        <v>0</v>
      </c>
      <c r="L3418" s="16">
        <f>IF(COUNTIFS(Release_Calendar!$A$2:$A$755,"US_NFP",Release_Calendar!$B$2:$B$755,$A3418)&gt;0,1,0)</f>
        <v>0</v>
      </c>
      <c r="M3418" s="16" t="str">
        <f>IF($A3418&lt;Notes!$B$5,"",IF(COUNTIFS(Release_Calendar!$A$2:$A$755,"NZ_CPI",Release_Calendar!$B$2:$B$755,$A3418)&gt;0,1,0))</f>
        <v/>
      </c>
      <c r="N3418" s="16" t="str">
        <f>IF($A3418&lt;Notes!$B$5,"",IF(COUNTIFS(Release_Calendar!$A$2:$A$755,"NZ_GDP",Release_Calendar!$B$2:$B$755,$A3418)&gt;0,1,0))</f>
        <v/>
      </c>
      <c r="O3418" s="16" t="str">
        <f>IF($A3418&lt;Notes!$B$5,"",IF(COUNTIFS(Release_Calendar!$A$2:$A$755,"NZ_LABOUR",Release_Calendar!$B$2:$B$755,$A3418)&gt;0,1,0))</f>
        <v/>
      </c>
      <c r="P3418" s="16">
        <f t="shared" si="4"/>
        <v>0</v>
      </c>
    </row>
    <row r="3419" ht="15.75" customHeight="1">
      <c r="A3419" s="14">
        <v>41311.0</v>
      </c>
      <c r="B3419" s="15">
        <v>0.27</v>
      </c>
      <c r="C3419" s="15"/>
      <c r="D3419" s="15"/>
      <c r="E3419" s="15"/>
      <c r="F3419" s="15" t="str">
        <f t="shared" si="1"/>
        <v/>
      </c>
      <c r="G3419" s="15" t="str">
        <f t="shared" si="2"/>
        <v/>
      </c>
      <c r="H3419" s="16">
        <v>0.0</v>
      </c>
      <c r="I3419" s="15" t="str">
        <f t="shared" si="3"/>
        <v/>
      </c>
      <c r="J3419" s="15">
        <v>13.41</v>
      </c>
      <c r="K3419" s="16">
        <f>IF(COUNTIFS(Release_Calendar!$A$2:$A$755,"US_CPI",Release_Calendar!$B$2:$B$755,$A3419)&gt;0,1,0)</f>
        <v>0</v>
      </c>
      <c r="L3419" s="16">
        <f>IF(COUNTIFS(Release_Calendar!$A$2:$A$755,"US_NFP",Release_Calendar!$B$2:$B$755,$A3419)&gt;0,1,0)</f>
        <v>0</v>
      </c>
      <c r="M3419" s="16" t="str">
        <f>IF($A3419&lt;Notes!$B$5,"",IF(COUNTIFS(Release_Calendar!$A$2:$A$755,"NZ_CPI",Release_Calendar!$B$2:$B$755,$A3419)&gt;0,1,0))</f>
        <v/>
      </c>
      <c r="N3419" s="16" t="str">
        <f>IF($A3419&lt;Notes!$B$5,"",IF(COUNTIFS(Release_Calendar!$A$2:$A$755,"NZ_GDP",Release_Calendar!$B$2:$B$755,$A3419)&gt;0,1,0))</f>
        <v/>
      </c>
      <c r="O3419" s="16" t="str">
        <f>IF($A3419&lt;Notes!$B$5,"",IF(COUNTIFS(Release_Calendar!$A$2:$A$755,"NZ_LABOUR",Release_Calendar!$B$2:$B$755,$A3419)&gt;0,1,0))</f>
        <v/>
      </c>
      <c r="P3419" s="16">
        <f t="shared" si="4"/>
        <v>0</v>
      </c>
    </row>
    <row r="3420" ht="15.75" customHeight="1">
      <c r="A3420" s="14">
        <v>41312.0</v>
      </c>
      <c r="B3420" s="15">
        <v>0.25</v>
      </c>
      <c r="C3420" s="15">
        <v>2.89</v>
      </c>
      <c r="D3420" s="15">
        <v>2.67</v>
      </c>
      <c r="E3420" s="15">
        <v>2.66</v>
      </c>
      <c r="F3420" s="15">
        <f t="shared" si="1"/>
        <v>2.64</v>
      </c>
      <c r="G3420" s="15">
        <f t="shared" si="2"/>
        <v>2.89</v>
      </c>
      <c r="H3420" s="16">
        <v>0.0</v>
      </c>
      <c r="I3420" s="15">
        <f t="shared" si="3"/>
        <v>2.64</v>
      </c>
      <c r="J3420" s="15">
        <v>13.5</v>
      </c>
      <c r="K3420" s="16">
        <f>IF(COUNTIFS(Release_Calendar!$A$2:$A$755,"US_CPI",Release_Calendar!$B$2:$B$755,$A3420)&gt;0,1,0)</f>
        <v>0</v>
      </c>
      <c r="L3420" s="16">
        <f>IF(COUNTIFS(Release_Calendar!$A$2:$A$755,"US_NFP",Release_Calendar!$B$2:$B$755,$A3420)&gt;0,1,0)</f>
        <v>0</v>
      </c>
      <c r="M3420" s="16" t="str">
        <f>IF($A3420&lt;Notes!$B$5,"",IF(COUNTIFS(Release_Calendar!$A$2:$A$755,"NZ_CPI",Release_Calendar!$B$2:$B$755,$A3420)&gt;0,1,0))</f>
        <v/>
      </c>
      <c r="N3420" s="16" t="str">
        <f>IF($A3420&lt;Notes!$B$5,"",IF(COUNTIFS(Release_Calendar!$A$2:$A$755,"NZ_GDP",Release_Calendar!$B$2:$B$755,$A3420)&gt;0,1,0))</f>
        <v/>
      </c>
      <c r="O3420" s="16" t="str">
        <f>IF($A3420&lt;Notes!$B$5,"",IF(COUNTIFS(Release_Calendar!$A$2:$A$755,"NZ_LABOUR",Release_Calendar!$B$2:$B$755,$A3420)&gt;0,1,0))</f>
        <v/>
      </c>
      <c r="P3420" s="16">
        <f t="shared" si="4"/>
        <v>0</v>
      </c>
    </row>
    <row r="3421" ht="15.75" customHeight="1">
      <c r="A3421" s="14">
        <v>41313.0</v>
      </c>
      <c r="B3421" s="15">
        <v>0.25</v>
      </c>
      <c r="C3421" s="15">
        <v>2.9</v>
      </c>
      <c r="D3421" s="15">
        <v>2.66</v>
      </c>
      <c r="E3421" s="15">
        <v>2.66</v>
      </c>
      <c r="F3421" s="15">
        <f t="shared" si="1"/>
        <v>2.65</v>
      </c>
      <c r="G3421" s="15">
        <f t="shared" si="2"/>
        <v>2.9</v>
      </c>
      <c r="H3421" s="16">
        <v>0.0</v>
      </c>
      <c r="I3421" s="15">
        <f t="shared" si="3"/>
        <v>2.65</v>
      </c>
      <c r="J3421" s="15">
        <v>13.02</v>
      </c>
      <c r="K3421" s="16">
        <f>IF(COUNTIFS(Release_Calendar!$A$2:$A$755,"US_CPI",Release_Calendar!$B$2:$B$755,$A3421)&gt;0,1,0)</f>
        <v>0</v>
      </c>
      <c r="L3421" s="16">
        <f>IF(COUNTIFS(Release_Calendar!$A$2:$A$755,"US_NFP",Release_Calendar!$B$2:$B$755,$A3421)&gt;0,1,0)</f>
        <v>0</v>
      </c>
      <c r="M3421" s="16" t="str">
        <f>IF($A3421&lt;Notes!$B$5,"",IF(COUNTIFS(Release_Calendar!$A$2:$A$755,"NZ_CPI",Release_Calendar!$B$2:$B$755,$A3421)&gt;0,1,0))</f>
        <v/>
      </c>
      <c r="N3421" s="16" t="str">
        <f>IF($A3421&lt;Notes!$B$5,"",IF(COUNTIFS(Release_Calendar!$A$2:$A$755,"NZ_GDP",Release_Calendar!$B$2:$B$755,$A3421)&gt;0,1,0))</f>
        <v/>
      </c>
      <c r="O3421" s="16" t="str">
        <f>IF($A3421&lt;Notes!$B$5,"",IF(COUNTIFS(Release_Calendar!$A$2:$A$755,"NZ_LABOUR",Release_Calendar!$B$2:$B$755,$A3421)&gt;0,1,0))</f>
        <v/>
      </c>
      <c r="P3421" s="16">
        <f t="shared" si="4"/>
        <v>0</v>
      </c>
    </row>
    <row r="3422" ht="15.75" customHeight="1">
      <c r="A3422" s="14">
        <v>41316.0</v>
      </c>
      <c r="B3422" s="15">
        <v>0.27</v>
      </c>
      <c r="C3422" s="15">
        <v>2.9</v>
      </c>
      <c r="D3422" s="15">
        <v>2.68</v>
      </c>
      <c r="E3422" s="15">
        <v>2.67</v>
      </c>
      <c r="F3422" s="15">
        <f t="shared" si="1"/>
        <v>2.63</v>
      </c>
      <c r="G3422" s="15">
        <f t="shared" si="2"/>
        <v>2.9</v>
      </c>
      <c r="H3422" s="16">
        <v>0.0</v>
      </c>
      <c r="I3422" s="15">
        <f t="shared" si="3"/>
        <v>2.63</v>
      </c>
      <c r="J3422" s="15">
        <v>12.94</v>
      </c>
      <c r="K3422" s="16">
        <f>IF(COUNTIFS(Release_Calendar!$A$2:$A$755,"US_CPI",Release_Calendar!$B$2:$B$755,$A3422)&gt;0,1,0)</f>
        <v>0</v>
      </c>
      <c r="L3422" s="16">
        <f>IF(COUNTIFS(Release_Calendar!$A$2:$A$755,"US_NFP",Release_Calendar!$B$2:$B$755,$A3422)&gt;0,1,0)</f>
        <v>0</v>
      </c>
      <c r="M3422" s="16" t="str">
        <f>IF($A3422&lt;Notes!$B$5,"",IF(COUNTIFS(Release_Calendar!$A$2:$A$755,"NZ_CPI",Release_Calendar!$B$2:$B$755,$A3422)&gt;0,1,0))</f>
        <v/>
      </c>
      <c r="N3422" s="16" t="str">
        <f>IF($A3422&lt;Notes!$B$5,"",IF(COUNTIFS(Release_Calendar!$A$2:$A$755,"NZ_GDP",Release_Calendar!$B$2:$B$755,$A3422)&gt;0,1,0))</f>
        <v/>
      </c>
      <c r="O3422" s="16" t="str">
        <f>IF($A3422&lt;Notes!$B$5,"",IF(COUNTIFS(Release_Calendar!$A$2:$A$755,"NZ_LABOUR",Release_Calendar!$B$2:$B$755,$A3422)&gt;0,1,0))</f>
        <v/>
      </c>
      <c r="P3422" s="16">
        <f t="shared" si="4"/>
        <v>0</v>
      </c>
    </row>
    <row r="3423" ht="15.75" customHeight="1">
      <c r="A3423" s="14">
        <v>41317.0</v>
      </c>
      <c r="B3423" s="15">
        <v>0.29</v>
      </c>
      <c r="C3423" s="15">
        <v>2.93</v>
      </c>
      <c r="D3423" s="15">
        <v>2.67</v>
      </c>
      <c r="E3423" s="15">
        <v>2.68</v>
      </c>
      <c r="F3423" s="15">
        <f t="shared" si="1"/>
        <v>2.64</v>
      </c>
      <c r="G3423" s="15">
        <f t="shared" si="2"/>
        <v>2.93</v>
      </c>
      <c r="H3423" s="16">
        <v>0.0</v>
      </c>
      <c r="I3423" s="15">
        <f t="shared" si="3"/>
        <v>2.64</v>
      </c>
      <c r="J3423" s="15">
        <v>12.64</v>
      </c>
      <c r="K3423" s="16">
        <f>IF(COUNTIFS(Release_Calendar!$A$2:$A$755,"US_CPI",Release_Calendar!$B$2:$B$755,$A3423)&gt;0,1,0)</f>
        <v>0</v>
      </c>
      <c r="L3423" s="16">
        <f>IF(COUNTIFS(Release_Calendar!$A$2:$A$755,"US_NFP",Release_Calendar!$B$2:$B$755,$A3423)&gt;0,1,0)</f>
        <v>0</v>
      </c>
      <c r="M3423" s="16" t="str">
        <f>IF($A3423&lt;Notes!$B$5,"",IF(COUNTIFS(Release_Calendar!$A$2:$A$755,"NZ_CPI",Release_Calendar!$B$2:$B$755,$A3423)&gt;0,1,0))</f>
        <v/>
      </c>
      <c r="N3423" s="16" t="str">
        <f>IF($A3423&lt;Notes!$B$5,"",IF(COUNTIFS(Release_Calendar!$A$2:$A$755,"NZ_GDP",Release_Calendar!$B$2:$B$755,$A3423)&gt;0,1,0))</f>
        <v/>
      </c>
      <c r="O3423" s="16" t="str">
        <f>IF($A3423&lt;Notes!$B$5,"",IF(COUNTIFS(Release_Calendar!$A$2:$A$755,"NZ_LABOUR",Release_Calendar!$B$2:$B$755,$A3423)&gt;0,1,0))</f>
        <v/>
      </c>
      <c r="P3423" s="16">
        <f t="shared" si="4"/>
        <v>0</v>
      </c>
    </row>
    <row r="3424" ht="15.75" customHeight="1">
      <c r="A3424" s="14">
        <v>41318.0</v>
      </c>
      <c r="B3424" s="15">
        <v>0.29</v>
      </c>
      <c r="C3424" s="15">
        <v>2.96</v>
      </c>
      <c r="D3424" s="15">
        <v>2.71</v>
      </c>
      <c r="E3424" s="15">
        <v>2.71</v>
      </c>
      <c r="F3424" s="15">
        <f t="shared" si="1"/>
        <v>2.67</v>
      </c>
      <c r="G3424" s="15">
        <f t="shared" si="2"/>
        <v>2.96</v>
      </c>
      <c r="H3424" s="16">
        <v>0.0</v>
      </c>
      <c r="I3424" s="15">
        <f t="shared" si="3"/>
        <v>2.67</v>
      </c>
      <c r="J3424" s="15">
        <v>12.98</v>
      </c>
      <c r="K3424" s="16">
        <f>IF(COUNTIFS(Release_Calendar!$A$2:$A$755,"US_CPI",Release_Calendar!$B$2:$B$755,$A3424)&gt;0,1,0)</f>
        <v>0</v>
      </c>
      <c r="L3424" s="16">
        <f>IF(COUNTIFS(Release_Calendar!$A$2:$A$755,"US_NFP",Release_Calendar!$B$2:$B$755,$A3424)&gt;0,1,0)</f>
        <v>0</v>
      </c>
      <c r="M3424" s="16" t="str">
        <f>IF($A3424&lt;Notes!$B$5,"",IF(COUNTIFS(Release_Calendar!$A$2:$A$755,"NZ_CPI",Release_Calendar!$B$2:$B$755,$A3424)&gt;0,1,0))</f>
        <v/>
      </c>
      <c r="N3424" s="16" t="str">
        <f>IF($A3424&lt;Notes!$B$5,"",IF(COUNTIFS(Release_Calendar!$A$2:$A$755,"NZ_GDP",Release_Calendar!$B$2:$B$755,$A3424)&gt;0,1,0))</f>
        <v/>
      </c>
      <c r="O3424" s="16" t="str">
        <f>IF($A3424&lt;Notes!$B$5,"",IF(COUNTIFS(Release_Calendar!$A$2:$A$755,"NZ_LABOUR",Release_Calendar!$B$2:$B$755,$A3424)&gt;0,1,0))</f>
        <v/>
      </c>
      <c r="P3424" s="16">
        <f t="shared" si="4"/>
        <v>0</v>
      </c>
    </row>
    <row r="3425" ht="15.75" customHeight="1">
      <c r="A3425" s="14">
        <v>41319.0</v>
      </c>
      <c r="B3425" s="15">
        <v>0.27</v>
      </c>
      <c r="C3425" s="15">
        <v>3.01</v>
      </c>
      <c r="D3425" s="15">
        <v>2.75</v>
      </c>
      <c r="E3425" s="15">
        <v>2.78</v>
      </c>
      <c r="F3425" s="15">
        <f t="shared" si="1"/>
        <v>2.74</v>
      </c>
      <c r="G3425" s="15">
        <f t="shared" si="2"/>
        <v>3.01</v>
      </c>
      <c r="H3425" s="16">
        <v>0.0</v>
      </c>
      <c r="I3425" s="15">
        <f t="shared" si="3"/>
        <v>2.74</v>
      </c>
      <c r="J3425" s="15">
        <v>12.66</v>
      </c>
      <c r="K3425" s="16">
        <f>IF(COUNTIFS(Release_Calendar!$A$2:$A$755,"US_CPI",Release_Calendar!$B$2:$B$755,$A3425)&gt;0,1,0)</f>
        <v>0</v>
      </c>
      <c r="L3425" s="16">
        <f>IF(COUNTIFS(Release_Calendar!$A$2:$A$755,"US_NFP",Release_Calendar!$B$2:$B$755,$A3425)&gt;0,1,0)</f>
        <v>0</v>
      </c>
      <c r="M3425" s="16" t="str">
        <f>IF($A3425&lt;Notes!$B$5,"",IF(COUNTIFS(Release_Calendar!$A$2:$A$755,"NZ_CPI",Release_Calendar!$B$2:$B$755,$A3425)&gt;0,1,0))</f>
        <v/>
      </c>
      <c r="N3425" s="16" t="str">
        <f>IF($A3425&lt;Notes!$B$5,"",IF(COUNTIFS(Release_Calendar!$A$2:$A$755,"NZ_GDP",Release_Calendar!$B$2:$B$755,$A3425)&gt;0,1,0))</f>
        <v/>
      </c>
      <c r="O3425" s="16" t="str">
        <f>IF($A3425&lt;Notes!$B$5,"",IF(COUNTIFS(Release_Calendar!$A$2:$A$755,"NZ_LABOUR",Release_Calendar!$B$2:$B$755,$A3425)&gt;0,1,0))</f>
        <v/>
      </c>
      <c r="P3425" s="16">
        <f t="shared" si="4"/>
        <v>0</v>
      </c>
    </row>
    <row r="3426" ht="15.75" customHeight="1">
      <c r="A3426" s="14">
        <v>41320.0</v>
      </c>
      <c r="B3426" s="15">
        <v>0.29</v>
      </c>
      <c r="C3426" s="15">
        <v>3.03</v>
      </c>
      <c r="D3426" s="15">
        <v>2.76</v>
      </c>
      <c r="E3426" s="15">
        <v>2.8</v>
      </c>
      <c r="F3426" s="15">
        <f t="shared" si="1"/>
        <v>2.74</v>
      </c>
      <c r="G3426" s="15">
        <f t="shared" si="2"/>
        <v>3.03</v>
      </c>
      <c r="H3426" s="16">
        <v>0.0</v>
      </c>
      <c r="I3426" s="15">
        <f t="shared" si="3"/>
        <v>2.74</v>
      </c>
      <c r="J3426" s="15">
        <v>12.46</v>
      </c>
      <c r="K3426" s="16">
        <f>IF(COUNTIFS(Release_Calendar!$A$2:$A$755,"US_CPI",Release_Calendar!$B$2:$B$755,$A3426)&gt;0,1,0)</f>
        <v>0</v>
      </c>
      <c r="L3426" s="16">
        <f>IF(COUNTIFS(Release_Calendar!$A$2:$A$755,"US_NFP",Release_Calendar!$B$2:$B$755,$A3426)&gt;0,1,0)</f>
        <v>0</v>
      </c>
      <c r="M3426" s="16" t="str">
        <f>IF($A3426&lt;Notes!$B$5,"",IF(COUNTIFS(Release_Calendar!$A$2:$A$755,"NZ_CPI",Release_Calendar!$B$2:$B$755,$A3426)&gt;0,1,0))</f>
        <v/>
      </c>
      <c r="N3426" s="16" t="str">
        <f>IF($A3426&lt;Notes!$B$5,"",IF(COUNTIFS(Release_Calendar!$A$2:$A$755,"NZ_GDP",Release_Calendar!$B$2:$B$755,$A3426)&gt;0,1,0))</f>
        <v/>
      </c>
      <c r="O3426" s="16" t="str">
        <f>IF($A3426&lt;Notes!$B$5,"",IF(COUNTIFS(Release_Calendar!$A$2:$A$755,"NZ_LABOUR",Release_Calendar!$B$2:$B$755,$A3426)&gt;0,1,0))</f>
        <v/>
      </c>
      <c r="P3426" s="16">
        <f t="shared" si="4"/>
        <v>0</v>
      </c>
    </row>
    <row r="3427" ht="15.75" customHeight="1">
      <c r="A3427" s="14">
        <v>41323.0</v>
      </c>
      <c r="B3427" s="15"/>
      <c r="C3427" s="15">
        <v>3.05</v>
      </c>
      <c r="D3427" s="15">
        <v>2.79</v>
      </c>
      <c r="E3427" s="15">
        <v>2.79</v>
      </c>
      <c r="F3427" s="15" t="str">
        <f t="shared" si="1"/>
        <v/>
      </c>
      <c r="G3427" s="15">
        <f t="shared" si="2"/>
        <v>3.05</v>
      </c>
      <c r="H3427" s="16">
        <v>0.0</v>
      </c>
      <c r="I3427" s="15" t="str">
        <f t="shared" si="3"/>
        <v/>
      </c>
      <c r="J3427" s="15"/>
      <c r="K3427" s="16">
        <f>IF(COUNTIFS(Release_Calendar!$A$2:$A$755,"US_CPI",Release_Calendar!$B$2:$B$755,$A3427)&gt;0,1,0)</f>
        <v>0</v>
      </c>
      <c r="L3427" s="16">
        <f>IF(COUNTIFS(Release_Calendar!$A$2:$A$755,"US_NFP",Release_Calendar!$B$2:$B$755,$A3427)&gt;0,1,0)</f>
        <v>0</v>
      </c>
      <c r="M3427" s="16" t="str">
        <f>IF($A3427&lt;Notes!$B$5,"",IF(COUNTIFS(Release_Calendar!$A$2:$A$755,"NZ_CPI",Release_Calendar!$B$2:$B$755,$A3427)&gt;0,1,0))</f>
        <v/>
      </c>
      <c r="N3427" s="16" t="str">
        <f>IF($A3427&lt;Notes!$B$5,"",IF(COUNTIFS(Release_Calendar!$A$2:$A$755,"NZ_GDP",Release_Calendar!$B$2:$B$755,$A3427)&gt;0,1,0))</f>
        <v/>
      </c>
      <c r="O3427" s="16" t="str">
        <f>IF($A3427&lt;Notes!$B$5,"",IF(COUNTIFS(Release_Calendar!$A$2:$A$755,"NZ_LABOUR",Release_Calendar!$B$2:$B$755,$A3427)&gt;0,1,0))</f>
        <v/>
      </c>
      <c r="P3427" s="16">
        <f t="shared" si="4"/>
        <v>0</v>
      </c>
    </row>
    <row r="3428" ht="15.75" customHeight="1">
      <c r="A3428" s="14">
        <v>41324.0</v>
      </c>
      <c r="B3428" s="15">
        <v>0.29</v>
      </c>
      <c r="C3428" s="15">
        <v>3.05</v>
      </c>
      <c r="D3428" s="15">
        <v>2.83</v>
      </c>
      <c r="E3428" s="15">
        <v>2.83</v>
      </c>
      <c r="F3428" s="15">
        <f t="shared" si="1"/>
        <v>2.76</v>
      </c>
      <c r="G3428" s="15">
        <f t="shared" si="2"/>
        <v>3.05</v>
      </c>
      <c r="H3428" s="16">
        <v>0.0</v>
      </c>
      <c r="I3428" s="15">
        <f t="shared" si="3"/>
        <v>2.76</v>
      </c>
      <c r="J3428" s="15">
        <v>12.31</v>
      </c>
      <c r="K3428" s="16">
        <f>IF(COUNTIFS(Release_Calendar!$A$2:$A$755,"US_CPI",Release_Calendar!$B$2:$B$755,$A3428)&gt;0,1,0)</f>
        <v>0</v>
      </c>
      <c r="L3428" s="16">
        <f>IF(COUNTIFS(Release_Calendar!$A$2:$A$755,"US_NFP",Release_Calendar!$B$2:$B$755,$A3428)&gt;0,1,0)</f>
        <v>0</v>
      </c>
      <c r="M3428" s="16" t="str">
        <f>IF($A3428&lt;Notes!$B$5,"",IF(COUNTIFS(Release_Calendar!$A$2:$A$755,"NZ_CPI",Release_Calendar!$B$2:$B$755,$A3428)&gt;0,1,0))</f>
        <v/>
      </c>
      <c r="N3428" s="16" t="str">
        <f>IF($A3428&lt;Notes!$B$5,"",IF(COUNTIFS(Release_Calendar!$A$2:$A$755,"NZ_GDP",Release_Calendar!$B$2:$B$755,$A3428)&gt;0,1,0))</f>
        <v/>
      </c>
      <c r="O3428" s="16" t="str">
        <f>IF($A3428&lt;Notes!$B$5,"",IF(COUNTIFS(Release_Calendar!$A$2:$A$755,"NZ_LABOUR",Release_Calendar!$B$2:$B$755,$A3428)&gt;0,1,0))</f>
        <v/>
      </c>
      <c r="P3428" s="16">
        <f t="shared" si="4"/>
        <v>0</v>
      </c>
    </row>
    <row r="3429" ht="15.75" customHeight="1">
      <c r="A3429" s="14">
        <v>41325.0</v>
      </c>
      <c r="B3429" s="15">
        <v>0.27</v>
      </c>
      <c r="C3429" s="15">
        <v>3.01</v>
      </c>
      <c r="D3429" s="15">
        <v>2.83</v>
      </c>
      <c r="E3429" s="15">
        <v>2.83</v>
      </c>
      <c r="F3429" s="15">
        <f t="shared" si="1"/>
        <v>2.74</v>
      </c>
      <c r="G3429" s="15">
        <f t="shared" si="2"/>
        <v>3.01</v>
      </c>
      <c r="H3429" s="16">
        <v>0.0</v>
      </c>
      <c r="I3429" s="15">
        <f t="shared" si="3"/>
        <v>2.74</v>
      </c>
      <c r="J3429" s="15">
        <v>14.68</v>
      </c>
      <c r="K3429" s="16">
        <f>IF(COUNTIFS(Release_Calendar!$A$2:$A$755,"US_CPI",Release_Calendar!$B$2:$B$755,$A3429)&gt;0,1,0)</f>
        <v>0</v>
      </c>
      <c r="L3429" s="16">
        <f>IF(COUNTIFS(Release_Calendar!$A$2:$A$755,"US_NFP",Release_Calendar!$B$2:$B$755,$A3429)&gt;0,1,0)</f>
        <v>0</v>
      </c>
      <c r="M3429" s="16" t="str">
        <f>IF($A3429&lt;Notes!$B$5,"",IF(COUNTIFS(Release_Calendar!$A$2:$A$755,"NZ_CPI",Release_Calendar!$B$2:$B$755,$A3429)&gt;0,1,0))</f>
        <v/>
      </c>
      <c r="N3429" s="16" t="str">
        <f>IF($A3429&lt;Notes!$B$5,"",IF(COUNTIFS(Release_Calendar!$A$2:$A$755,"NZ_GDP",Release_Calendar!$B$2:$B$755,$A3429)&gt;0,1,0))</f>
        <v/>
      </c>
      <c r="O3429" s="16" t="str">
        <f>IF($A3429&lt;Notes!$B$5,"",IF(COUNTIFS(Release_Calendar!$A$2:$A$755,"NZ_LABOUR",Release_Calendar!$B$2:$B$755,$A3429)&gt;0,1,0))</f>
        <v/>
      </c>
      <c r="P3429" s="16">
        <f t="shared" si="4"/>
        <v>0</v>
      </c>
    </row>
    <row r="3430" ht="15.75" customHeight="1">
      <c r="A3430" s="14">
        <v>41326.0</v>
      </c>
      <c r="B3430" s="15">
        <v>0.26</v>
      </c>
      <c r="C3430" s="15">
        <v>2.98</v>
      </c>
      <c r="D3430" s="15">
        <v>2.79</v>
      </c>
      <c r="E3430" s="15">
        <v>2.76</v>
      </c>
      <c r="F3430" s="15">
        <f t="shared" si="1"/>
        <v>2.72</v>
      </c>
      <c r="G3430" s="15">
        <f t="shared" si="2"/>
        <v>2.98</v>
      </c>
      <c r="H3430" s="16">
        <v>0.0</v>
      </c>
      <c r="I3430" s="15">
        <f t="shared" si="3"/>
        <v>2.72</v>
      </c>
      <c r="J3430" s="15">
        <v>15.22</v>
      </c>
      <c r="K3430" s="16">
        <f>IF(COUNTIFS(Release_Calendar!$A$2:$A$755,"US_CPI",Release_Calendar!$B$2:$B$755,$A3430)&gt;0,1,0)</f>
        <v>1</v>
      </c>
      <c r="L3430" s="16">
        <f>IF(COUNTIFS(Release_Calendar!$A$2:$A$755,"US_NFP",Release_Calendar!$B$2:$B$755,$A3430)&gt;0,1,0)</f>
        <v>0</v>
      </c>
      <c r="M3430" s="16" t="str">
        <f>IF($A3430&lt;Notes!$B$5,"",IF(COUNTIFS(Release_Calendar!$A$2:$A$755,"NZ_CPI",Release_Calendar!$B$2:$B$755,$A3430)&gt;0,1,0))</f>
        <v/>
      </c>
      <c r="N3430" s="16" t="str">
        <f>IF($A3430&lt;Notes!$B$5,"",IF(COUNTIFS(Release_Calendar!$A$2:$A$755,"NZ_GDP",Release_Calendar!$B$2:$B$755,$A3430)&gt;0,1,0))</f>
        <v/>
      </c>
      <c r="O3430" s="16" t="str">
        <f>IF($A3430&lt;Notes!$B$5,"",IF(COUNTIFS(Release_Calendar!$A$2:$A$755,"NZ_LABOUR",Release_Calendar!$B$2:$B$755,$A3430)&gt;0,1,0))</f>
        <v/>
      </c>
      <c r="P3430" s="16">
        <f t="shared" si="4"/>
        <v>1</v>
      </c>
    </row>
    <row r="3431" ht="15.75" customHeight="1">
      <c r="A3431" s="14">
        <v>41327.0</v>
      </c>
      <c r="B3431" s="15">
        <v>0.27</v>
      </c>
      <c r="C3431" s="15">
        <v>2.99</v>
      </c>
      <c r="D3431" s="15">
        <v>2.72</v>
      </c>
      <c r="E3431" s="15">
        <v>2.73</v>
      </c>
      <c r="F3431" s="15">
        <f t="shared" si="1"/>
        <v>2.72</v>
      </c>
      <c r="G3431" s="15">
        <f t="shared" si="2"/>
        <v>2.99</v>
      </c>
      <c r="H3431" s="16">
        <v>0.0</v>
      </c>
      <c r="I3431" s="15">
        <f t="shared" si="3"/>
        <v>2.72</v>
      </c>
      <c r="J3431" s="15">
        <v>14.17</v>
      </c>
      <c r="K3431" s="16">
        <f>IF(COUNTIFS(Release_Calendar!$A$2:$A$755,"US_CPI",Release_Calendar!$B$2:$B$755,$A3431)&gt;0,1,0)</f>
        <v>0</v>
      </c>
      <c r="L3431" s="16">
        <f>IF(COUNTIFS(Release_Calendar!$A$2:$A$755,"US_NFP",Release_Calendar!$B$2:$B$755,$A3431)&gt;0,1,0)</f>
        <v>0</v>
      </c>
      <c r="M3431" s="16" t="str">
        <f>IF($A3431&lt;Notes!$B$5,"",IF(COUNTIFS(Release_Calendar!$A$2:$A$755,"NZ_CPI",Release_Calendar!$B$2:$B$755,$A3431)&gt;0,1,0))</f>
        <v/>
      </c>
      <c r="N3431" s="16" t="str">
        <f>IF($A3431&lt;Notes!$B$5,"",IF(COUNTIFS(Release_Calendar!$A$2:$A$755,"NZ_GDP",Release_Calendar!$B$2:$B$755,$A3431)&gt;0,1,0))</f>
        <v/>
      </c>
      <c r="O3431" s="16" t="str">
        <f>IF($A3431&lt;Notes!$B$5,"",IF(COUNTIFS(Release_Calendar!$A$2:$A$755,"NZ_LABOUR",Release_Calendar!$B$2:$B$755,$A3431)&gt;0,1,0))</f>
        <v/>
      </c>
      <c r="P3431" s="16">
        <f t="shared" si="4"/>
        <v>0</v>
      </c>
    </row>
    <row r="3432" ht="15.75" customHeight="1">
      <c r="A3432" s="14">
        <v>41330.0</v>
      </c>
      <c r="B3432" s="15">
        <v>0.25</v>
      </c>
      <c r="C3432" s="15">
        <v>2.97</v>
      </c>
      <c r="D3432" s="15">
        <v>2.74</v>
      </c>
      <c r="E3432" s="15">
        <v>2.71</v>
      </c>
      <c r="F3432" s="15">
        <f t="shared" si="1"/>
        <v>2.72</v>
      </c>
      <c r="G3432" s="15">
        <f t="shared" si="2"/>
        <v>2.97</v>
      </c>
      <c r="H3432" s="16">
        <v>0.0</v>
      </c>
      <c r="I3432" s="15">
        <f t="shared" si="3"/>
        <v>2.72</v>
      </c>
      <c r="J3432" s="15">
        <v>18.99</v>
      </c>
      <c r="K3432" s="16">
        <f>IF(COUNTIFS(Release_Calendar!$A$2:$A$755,"US_CPI",Release_Calendar!$B$2:$B$755,$A3432)&gt;0,1,0)</f>
        <v>0</v>
      </c>
      <c r="L3432" s="16">
        <f>IF(COUNTIFS(Release_Calendar!$A$2:$A$755,"US_NFP",Release_Calendar!$B$2:$B$755,$A3432)&gt;0,1,0)</f>
        <v>0</v>
      </c>
      <c r="M3432" s="16" t="str">
        <f>IF($A3432&lt;Notes!$B$5,"",IF(COUNTIFS(Release_Calendar!$A$2:$A$755,"NZ_CPI",Release_Calendar!$B$2:$B$755,$A3432)&gt;0,1,0))</f>
        <v/>
      </c>
      <c r="N3432" s="16" t="str">
        <f>IF($A3432&lt;Notes!$B$5,"",IF(COUNTIFS(Release_Calendar!$A$2:$A$755,"NZ_GDP",Release_Calendar!$B$2:$B$755,$A3432)&gt;0,1,0))</f>
        <v/>
      </c>
      <c r="O3432" s="16" t="str">
        <f>IF($A3432&lt;Notes!$B$5,"",IF(COUNTIFS(Release_Calendar!$A$2:$A$755,"NZ_LABOUR",Release_Calendar!$B$2:$B$755,$A3432)&gt;0,1,0))</f>
        <v/>
      </c>
      <c r="P3432" s="16">
        <f t="shared" si="4"/>
        <v>0</v>
      </c>
    </row>
    <row r="3433" ht="15.75" customHeight="1">
      <c r="A3433" s="14">
        <v>41331.0</v>
      </c>
      <c r="B3433" s="15">
        <v>0.25</v>
      </c>
      <c r="C3433" s="15">
        <v>2.93</v>
      </c>
      <c r="D3433" s="15">
        <v>2.63</v>
      </c>
      <c r="E3433" s="15">
        <v>2.65</v>
      </c>
      <c r="F3433" s="15">
        <f t="shared" si="1"/>
        <v>2.68</v>
      </c>
      <c r="G3433" s="15">
        <f t="shared" si="2"/>
        <v>2.93</v>
      </c>
      <c r="H3433" s="16">
        <v>0.0</v>
      </c>
      <c r="I3433" s="15">
        <f t="shared" si="3"/>
        <v>2.68</v>
      </c>
      <c r="J3433" s="15">
        <v>16.87</v>
      </c>
      <c r="K3433" s="16">
        <f>IF(COUNTIFS(Release_Calendar!$A$2:$A$755,"US_CPI",Release_Calendar!$B$2:$B$755,$A3433)&gt;0,1,0)</f>
        <v>0</v>
      </c>
      <c r="L3433" s="16">
        <f>IF(COUNTIFS(Release_Calendar!$A$2:$A$755,"US_NFP",Release_Calendar!$B$2:$B$755,$A3433)&gt;0,1,0)</f>
        <v>0</v>
      </c>
      <c r="M3433" s="16" t="str">
        <f>IF($A3433&lt;Notes!$B$5,"",IF(COUNTIFS(Release_Calendar!$A$2:$A$755,"NZ_CPI",Release_Calendar!$B$2:$B$755,$A3433)&gt;0,1,0))</f>
        <v/>
      </c>
      <c r="N3433" s="16" t="str">
        <f>IF($A3433&lt;Notes!$B$5,"",IF(COUNTIFS(Release_Calendar!$A$2:$A$755,"NZ_GDP",Release_Calendar!$B$2:$B$755,$A3433)&gt;0,1,0))</f>
        <v/>
      </c>
      <c r="O3433" s="16" t="str">
        <f>IF($A3433&lt;Notes!$B$5,"",IF(COUNTIFS(Release_Calendar!$A$2:$A$755,"NZ_LABOUR",Release_Calendar!$B$2:$B$755,$A3433)&gt;0,1,0))</f>
        <v/>
      </c>
      <c r="P3433" s="16">
        <f t="shared" si="4"/>
        <v>0</v>
      </c>
    </row>
    <row r="3434" ht="15.75" customHeight="1">
      <c r="A3434" s="14">
        <v>41332.0</v>
      </c>
      <c r="B3434" s="15">
        <v>0.27</v>
      </c>
      <c r="C3434" s="15">
        <v>2.92</v>
      </c>
      <c r="D3434" s="15">
        <v>2.65</v>
      </c>
      <c r="E3434" s="15">
        <v>2.62</v>
      </c>
      <c r="F3434" s="15">
        <f t="shared" si="1"/>
        <v>2.65</v>
      </c>
      <c r="G3434" s="15">
        <f t="shared" si="2"/>
        <v>2.92</v>
      </c>
      <c r="H3434" s="16">
        <v>0.0</v>
      </c>
      <c r="I3434" s="15">
        <f t="shared" si="3"/>
        <v>2.65</v>
      </c>
      <c r="J3434" s="15">
        <v>14.73</v>
      </c>
      <c r="K3434" s="16">
        <f>IF(COUNTIFS(Release_Calendar!$A$2:$A$755,"US_CPI",Release_Calendar!$B$2:$B$755,$A3434)&gt;0,1,0)</f>
        <v>0</v>
      </c>
      <c r="L3434" s="16">
        <f>IF(COUNTIFS(Release_Calendar!$A$2:$A$755,"US_NFP",Release_Calendar!$B$2:$B$755,$A3434)&gt;0,1,0)</f>
        <v>0</v>
      </c>
      <c r="M3434" s="16" t="str">
        <f>IF($A3434&lt;Notes!$B$5,"",IF(COUNTIFS(Release_Calendar!$A$2:$A$755,"NZ_CPI",Release_Calendar!$B$2:$B$755,$A3434)&gt;0,1,0))</f>
        <v/>
      </c>
      <c r="N3434" s="16" t="str">
        <f>IF($A3434&lt;Notes!$B$5,"",IF(COUNTIFS(Release_Calendar!$A$2:$A$755,"NZ_GDP",Release_Calendar!$B$2:$B$755,$A3434)&gt;0,1,0))</f>
        <v/>
      </c>
      <c r="O3434" s="16" t="str">
        <f>IF($A3434&lt;Notes!$B$5,"",IF(COUNTIFS(Release_Calendar!$A$2:$A$755,"NZ_LABOUR",Release_Calendar!$B$2:$B$755,$A3434)&gt;0,1,0))</f>
        <v/>
      </c>
      <c r="P3434" s="16">
        <f t="shared" si="4"/>
        <v>0</v>
      </c>
    </row>
    <row r="3435" ht="15.75" customHeight="1">
      <c r="A3435" s="14">
        <v>41333.0</v>
      </c>
      <c r="B3435" s="15">
        <v>0.25</v>
      </c>
      <c r="C3435" s="15">
        <v>2.97</v>
      </c>
      <c r="D3435" s="15">
        <v>2.64</v>
      </c>
      <c r="E3435" s="15">
        <v>2.65</v>
      </c>
      <c r="F3435" s="15">
        <f t="shared" si="1"/>
        <v>2.72</v>
      </c>
      <c r="G3435" s="15">
        <f t="shared" si="2"/>
        <v>2.97</v>
      </c>
      <c r="H3435" s="16">
        <v>0.0</v>
      </c>
      <c r="I3435" s="15">
        <f t="shared" si="3"/>
        <v>2.72</v>
      </c>
      <c r="J3435" s="15">
        <v>15.51</v>
      </c>
      <c r="K3435" s="16">
        <f>IF(COUNTIFS(Release_Calendar!$A$2:$A$755,"US_CPI",Release_Calendar!$B$2:$B$755,$A3435)&gt;0,1,0)</f>
        <v>0</v>
      </c>
      <c r="L3435" s="16">
        <f>IF(COUNTIFS(Release_Calendar!$A$2:$A$755,"US_NFP",Release_Calendar!$B$2:$B$755,$A3435)&gt;0,1,0)</f>
        <v>0</v>
      </c>
      <c r="M3435" s="16" t="str">
        <f>IF($A3435&lt;Notes!$B$5,"",IF(COUNTIFS(Release_Calendar!$A$2:$A$755,"NZ_CPI",Release_Calendar!$B$2:$B$755,$A3435)&gt;0,1,0))</f>
        <v/>
      </c>
      <c r="N3435" s="16" t="str">
        <f>IF($A3435&lt;Notes!$B$5,"",IF(COUNTIFS(Release_Calendar!$A$2:$A$755,"NZ_GDP",Release_Calendar!$B$2:$B$755,$A3435)&gt;0,1,0))</f>
        <v/>
      </c>
      <c r="O3435" s="16" t="str">
        <f>IF($A3435&lt;Notes!$B$5,"",IF(COUNTIFS(Release_Calendar!$A$2:$A$755,"NZ_LABOUR",Release_Calendar!$B$2:$B$755,$A3435)&gt;0,1,0))</f>
        <v/>
      </c>
      <c r="P3435" s="16">
        <f t="shared" si="4"/>
        <v>0</v>
      </c>
    </row>
    <row r="3436" ht="15.75" customHeight="1">
      <c r="A3436" s="14">
        <v>41334.0</v>
      </c>
      <c r="B3436" s="15">
        <v>0.25</v>
      </c>
      <c r="C3436" s="15">
        <v>2.96</v>
      </c>
      <c r="D3436" s="15">
        <v>2.64</v>
      </c>
      <c r="E3436" s="15">
        <v>2.61</v>
      </c>
      <c r="F3436" s="15">
        <f t="shared" si="1"/>
        <v>2.71</v>
      </c>
      <c r="G3436" s="15">
        <f t="shared" si="2"/>
        <v>2.96</v>
      </c>
      <c r="H3436" s="16">
        <v>0.0</v>
      </c>
      <c r="I3436" s="15">
        <f t="shared" si="3"/>
        <v>2.71</v>
      </c>
      <c r="J3436" s="15">
        <v>15.36</v>
      </c>
      <c r="K3436" s="16">
        <f>IF(COUNTIFS(Release_Calendar!$A$2:$A$755,"US_CPI",Release_Calendar!$B$2:$B$755,$A3436)&gt;0,1,0)</f>
        <v>0</v>
      </c>
      <c r="L3436" s="16">
        <f>IF(COUNTIFS(Release_Calendar!$A$2:$A$755,"US_NFP",Release_Calendar!$B$2:$B$755,$A3436)&gt;0,1,0)</f>
        <v>0</v>
      </c>
      <c r="M3436" s="16" t="str">
        <f>IF($A3436&lt;Notes!$B$5,"",IF(COUNTIFS(Release_Calendar!$A$2:$A$755,"NZ_CPI",Release_Calendar!$B$2:$B$755,$A3436)&gt;0,1,0))</f>
        <v/>
      </c>
      <c r="N3436" s="16" t="str">
        <f>IF($A3436&lt;Notes!$B$5,"",IF(COUNTIFS(Release_Calendar!$A$2:$A$755,"NZ_GDP",Release_Calendar!$B$2:$B$755,$A3436)&gt;0,1,0))</f>
        <v/>
      </c>
      <c r="O3436" s="16" t="str">
        <f>IF($A3436&lt;Notes!$B$5,"",IF(COUNTIFS(Release_Calendar!$A$2:$A$755,"NZ_LABOUR",Release_Calendar!$B$2:$B$755,$A3436)&gt;0,1,0))</f>
        <v/>
      </c>
      <c r="P3436" s="16">
        <f t="shared" si="4"/>
        <v>0</v>
      </c>
    </row>
    <row r="3437" ht="15.75" customHeight="1">
      <c r="A3437" s="14">
        <v>41337.0</v>
      </c>
      <c r="B3437" s="15">
        <v>0.24</v>
      </c>
      <c r="C3437" s="15">
        <v>2.94</v>
      </c>
      <c r="D3437" s="15">
        <v>2.61</v>
      </c>
      <c r="E3437" s="15">
        <v>2.56</v>
      </c>
      <c r="F3437" s="15">
        <f t="shared" si="1"/>
        <v>2.7</v>
      </c>
      <c r="G3437" s="15">
        <f t="shared" si="2"/>
        <v>2.94</v>
      </c>
      <c r="H3437" s="16">
        <v>0.0</v>
      </c>
      <c r="I3437" s="15">
        <f t="shared" si="3"/>
        <v>2.7</v>
      </c>
      <c r="J3437" s="15">
        <v>14.01</v>
      </c>
      <c r="K3437" s="16">
        <f>IF(COUNTIFS(Release_Calendar!$A$2:$A$755,"US_CPI",Release_Calendar!$B$2:$B$755,$A3437)&gt;0,1,0)</f>
        <v>0</v>
      </c>
      <c r="L3437" s="16">
        <f>IF(COUNTIFS(Release_Calendar!$A$2:$A$755,"US_NFP",Release_Calendar!$B$2:$B$755,$A3437)&gt;0,1,0)</f>
        <v>0</v>
      </c>
      <c r="M3437" s="16" t="str">
        <f>IF($A3437&lt;Notes!$B$5,"",IF(COUNTIFS(Release_Calendar!$A$2:$A$755,"NZ_CPI",Release_Calendar!$B$2:$B$755,$A3437)&gt;0,1,0))</f>
        <v/>
      </c>
      <c r="N3437" s="16" t="str">
        <f>IF($A3437&lt;Notes!$B$5,"",IF(COUNTIFS(Release_Calendar!$A$2:$A$755,"NZ_GDP",Release_Calendar!$B$2:$B$755,$A3437)&gt;0,1,0))</f>
        <v/>
      </c>
      <c r="O3437" s="16" t="str">
        <f>IF($A3437&lt;Notes!$B$5,"",IF(COUNTIFS(Release_Calendar!$A$2:$A$755,"NZ_LABOUR",Release_Calendar!$B$2:$B$755,$A3437)&gt;0,1,0))</f>
        <v/>
      </c>
      <c r="P3437" s="16">
        <f t="shared" si="4"/>
        <v>0</v>
      </c>
    </row>
    <row r="3438" ht="15.75" customHeight="1">
      <c r="A3438" s="14">
        <v>41338.0</v>
      </c>
      <c r="B3438" s="15">
        <v>0.25</v>
      </c>
      <c r="C3438" s="15">
        <v>2.97</v>
      </c>
      <c r="D3438" s="15">
        <v>2.58</v>
      </c>
      <c r="E3438" s="15">
        <v>2.58</v>
      </c>
      <c r="F3438" s="15">
        <f t="shared" si="1"/>
        <v>2.72</v>
      </c>
      <c r="G3438" s="15">
        <f t="shared" si="2"/>
        <v>2.97</v>
      </c>
      <c r="H3438" s="16">
        <v>0.0</v>
      </c>
      <c r="I3438" s="15">
        <f t="shared" si="3"/>
        <v>2.72</v>
      </c>
      <c r="J3438" s="15">
        <v>13.48</v>
      </c>
      <c r="K3438" s="16">
        <f>IF(COUNTIFS(Release_Calendar!$A$2:$A$755,"US_CPI",Release_Calendar!$B$2:$B$755,$A3438)&gt;0,1,0)</f>
        <v>0</v>
      </c>
      <c r="L3438" s="16">
        <f>IF(COUNTIFS(Release_Calendar!$A$2:$A$755,"US_NFP",Release_Calendar!$B$2:$B$755,$A3438)&gt;0,1,0)</f>
        <v>0</v>
      </c>
      <c r="M3438" s="16" t="str">
        <f>IF($A3438&lt;Notes!$B$5,"",IF(COUNTIFS(Release_Calendar!$A$2:$A$755,"NZ_CPI",Release_Calendar!$B$2:$B$755,$A3438)&gt;0,1,0))</f>
        <v/>
      </c>
      <c r="N3438" s="16" t="str">
        <f>IF($A3438&lt;Notes!$B$5,"",IF(COUNTIFS(Release_Calendar!$A$2:$A$755,"NZ_GDP",Release_Calendar!$B$2:$B$755,$A3438)&gt;0,1,0))</f>
        <v/>
      </c>
      <c r="O3438" s="16" t="str">
        <f>IF($A3438&lt;Notes!$B$5,"",IF(COUNTIFS(Release_Calendar!$A$2:$A$755,"NZ_LABOUR",Release_Calendar!$B$2:$B$755,$A3438)&gt;0,1,0))</f>
        <v/>
      </c>
      <c r="P3438" s="16">
        <f t="shared" si="4"/>
        <v>0</v>
      </c>
    </row>
    <row r="3439" ht="15.75" customHeight="1">
      <c r="A3439" s="14">
        <v>41339.0</v>
      </c>
      <c r="B3439" s="15">
        <v>0.25</v>
      </c>
      <c r="C3439" s="15">
        <v>2.99</v>
      </c>
      <c r="D3439" s="15">
        <v>2.64</v>
      </c>
      <c r="E3439" s="15">
        <v>2.64</v>
      </c>
      <c r="F3439" s="15">
        <f t="shared" si="1"/>
        <v>2.74</v>
      </c>
      <c r="G3439" s="15">
        <f t="shared" si="2"/>
        <v>2.99</v>
      </c>
      <c r="H3439" s="16">
        <v>0.0</v>
      </c>
      <c r="I3439" s="15">
        <f t="shared" si="3"/>
        <v>2.74</v>
      </c>
      <c r="J3439" s="15">
        <v>13.53</v>
      </c>
      <c r="K3439" s="16">
        <f>IF(COUNTIFS(Release_Calendar!$A$2:$A$755,"US_CPI",Release_Calendar!$B$2:$B$755,$A3439)&gt;0,1,0)</f>
        <v>0</v>
      </c>
      <c r="L3439" s="16">
        <f>IF(COUNTIFS(Release_Calendar!$A$2:$A$755,"US_NFP",Release_Calendar!$B$2:$B$755,$A3439)&gt;0,1,0)</f>
        <v>0</v>
      </c>
      <c r="M3439" s="16" t="str">
        <f>IF($A3439&lt;Notes!$B$5,"",IF(COUNTIFS(Release_Calendar!$A$2:$A$755,"NZ_CPI",Release_Calendar!$B$2:$B$755,$A3439)&gt;0,1,0))</f>
        <v/>
      </c>
      <c r="N3439" s="16" t="str">
        <f>IF($A3439&lt;Notes!$B$5,"",IF(COUNTIFS(Release_Calendar!$A$2:$A$755,"NZ_GDP",Release_Calendar!$B$2:$B$755,$A3439)&gt;0,1,0))</f>
        <v/>
      </c>
      <c r="O3439" s="16" t="str">
        <f>IF($A3439&lt;Notes!$B$5,"",IF(COUNTIFS(Release_Calendar!$A$2:$A$755,"NZ_LABOUR",Release_Calendar!$B$2:$B$755,$A3439)&gt;0,1,0))</f>
        <v/>
      </c>
      <c r="P3439" s="16">
        <f t="shared" si="4"/>
        <v>0</v>
      </c>
    </row>
    <row r="3440" ht="15.75" customHeight="1">
      <c r="A3440" s="14">
        <v>41340.0</v>
      </c>
      <c r="B3440" s="15">
        <v>0.25</v>
      </c>
      <c r="C3440" s="15">
        <v>2.98</v>
      </c>
      <c r="D3440" s="15">
        <v>2.64</v>
      </c>
      <c r="E3440" s="15">
        <v>2.64</v>
      </c>
      <c r="F3440" s="15">
        <f t="shared" si="1"/>
        <v>2.73</v>
      </c>
      <c r="G3440" s="15">
        <f t="shared" si="2"/>
        <v>2.98</v>
      </c>
      <c r="H3440" s="16">
        <v>0.0</v>
      </c>
      <c r="I3440" s="15">
        <f t="shared" si="3"/>
        <v>2.73</v>
      </c>
      <c r="J3440" s="15">
        <v>13.06</v>
      </c>
      <c r="K3440" s="16">
        <f>IF(COUNTIFS(Release_Calendar!$A$2:$A$755,"US_CPI",Release_Calendar!$B$2:$B$755,$A3440)&gt;0,1,0)</f>
        <v>0</v>
      </c>
      <c r="L3440" s="16">
        <f>IF(COUNTIFS(Release_Calendar!$A$2:$A$755,"US_NFP",Release_Calendar!$B$2:$B$755,$A3440)&gt;0,1,0)</f>
        <v>0</v>
      </c>
      <c r="M3440" s="16" t="str">
        <f>IF($A3440&lt;Notes!$B$5,"",IF(COUNTIFS(Release_Calendar!$A$2:$A$755,"NZ_CPI",Release_Calendar!$B$2:$B$755,$A3440)&gt;0,1,0))</f>
        <v/>
      </c>
      <c r="N3440" s="16" t="str">
        <f>IF($A3440&lt;Notes!$B$5,"",IF(COUNTIFS(Release_Calendar!$A$2:$A$755,"NZ_GDP",Release_Calendar!$B$2:$B$755,$A3440)&gt;0,1,0))</f>
        <v/>
      </c>
      <c r="O3440" s="16" t="str">
        <f>IF($A3440&lt;Notes!$B$5,"",IF(COUNTIFS(Release_Calendar!$A$2:$A$755,"NZ_LABOUR",Release_Calendar!$B$2:$B$755,$A3440)&gt;0,1,0))</f>
        <v/>
      </c>
      <c r="P3440" s="16">
        <f t="shared" si="4"/>
        <v>0</v>
      </c>
    </row>
    <row r="3441" ht="15.75" customHeight="1">
      <c r="A3441" s="14">
        <v>41341.0</v>
      </c>
      <c r="B3441" s="15">
        <v>0.27</v>
      </c>
      <c r="C3441" s="15">
        <v>3.0</v>
      </c>
      <c r="D3441" s="15">
        <v>2.69</v>
      </c>
      <c r="E3441" s="15">
        <v>2.68</v>
      </c>
      <c r="F3441" s="15">
        <f t="shared" si="1"/>
        <v>2.73</v>
      </c>
      <c r="G3441" s="15">
        <f t="shared" si="2"/>
        <v>3</v>
      </c>
      <c r="H3441" s="16">
        <v>0.0</v>
      </c>
      <c r="I3441" s="15">
        <f t="shared" si="3"/>
        <v>2.73</v>
      </c>
      <c r="J3441" s="15">
        <v>12.59</v>
      </c>
      <c r="K3441" s="16">
        <f>IF(COUNTIFS(Release_Calendar!$A$2:$A$755,"US_CPI",Release_Calendar!$B$2:$B$755,$A3441)&gt;0,1,0)</f>
        <v>0</v>
      </c>
      <c r="L3441" s="16">
        <f>IF(COUNTIFS(Release_Calendar!$A$2:$A$755,"US_NFP",Release_Calendar!$B$2:$B$755,$A3441)&gt;0,1,0)</f>
        <v>1</v>
      </c>
      <c r="M3441" s="16" t="str">
        <f>IF($A3441&lt;Notes!$B$5,"",IF(COUNTIFS(Release_Calendar!$A$2:$A$755,"NZ_CPI",Release_Calendar!$B$2:$B$755,$A3441)&gt;0,1,0))</f>
        <v/>
      </c>
      <c r="N3441" s="16" t="str">
        <f>IF($A3441&lt;Notes!$B$5,"",IF(COUNTIFS(Release_Calendar!$A$2:$A$755,"NZ_GDP",Release_Calendar!$B$2:$B$755,$A3441)&gt;0,1,0))</f>
        <v/>
      </c>
      <c r="O3441" s="16" t="str">
        <f>IF($A3441&lt;Notes!$B$5,"",IF(COUNTIFS(Release_Calendar!$A$2:$A$755,"NZ_LABOUR",Release_Calendar!$B$2:$B$755,$A3441)&gt;0,1,0))</f>
        <v/>
      </c>
      <c r="P3441" s="16">
        <f t="shared" si="4"/>
        <v>1</v>
      </c>
    </row>
    <row r="3442" ht="15.75" customHeight="1">
      <c r="A3442" s="14">
        <v>41344.0</v>
      </c>
      <c r="B3442" s="15">
        <v>0.27</v>
      </c>
      <c r="C3442" s="15">
        <v>3.0</v>
      </c>
      <c r="D3442" s="15">
        <v>2.69</v>
      </c>
      <c r="E3442" s="15">
        <v>2.7</v>
      </c>
      <c r="F3442" s="15">
        <f t="shared" si="1"/>
        <v>2.73</v>
      </c>
      <c r="G3442" s="15">
        <f t="shared" si="2"/>
        <v>3</v>
      </c>
      <c r="H3442" s="16">
        <v>0.0</v>
      </c>
      <c r="I3442" s="15">
        <f t="shared" si="3"/>
        <v>2.73</v>
      </c>
      <c r="J3442" s="15">
        <v>11.56</v>
      </c>
      <c r="K3442" s="16">
        <f>IF(COUNTIFS(Release_Calendar!$A$2:$A$755,"US_CPI",Release_Calendar!$B$2:$B$755,$A3442)&gt;0,1,0)</f>
        <v>0</v>
      </c>
      <c r="L3442" s="16">
        <f>IF(COUNTIFS(Release_Calendar!$A$2:$A$755,"US_NFP",Release_Calendar!$B$2:$B$755,$A3442)&gt;0,1,0)</f>
        <v>0</v>
      </c>
      <c r="M3442" s="16" t="str">
        <f>IF($A3442&lt;Notes!$B$5,"",IF(COUNTIFS(Release_Calendar!$A$2:$A$755,"NZ_CPI",Release_Calendar!$B$2:$B$755,$A3442)&gt;0,1,0))</f>
        <v/>
      </c>
      <c r="N3442" s="16" t="str">
        <f>IF($A3442&lt;Notes!$B$5,"",IF(COUNTIFS(Release_Calendar!$A$2:$A$755,"NZ_GDP",Release_Calendar!$B$2:$B$755,$A3442)&gt;0,1,0))</f>
        <v/>
      </c>
      <c r="O3442" s="16" t="str">
        <f>IF($A3442&lt;Notes!$B$5,"",IF(COUNTIFS(Release_Calendar!$A$2:$A$755,"NZ_LABOUR",Release_Calendar!$B$2:$B$755,$A3442)&gt;0,1,0))</f>
        <v/>
      </c>
      <c r="P3442" s="16">
        <f t="shared" si="4"/>
        <v>0</v>
      </c>
    </row>
    <row r="3443" ht="15.75" customHeight="1">
      <c r="A3443" s="14">
        <v>41345.0</v>
      </c>
      <c r="B3443" s="15">
        <v>0.27</v>
      </c>
      <c r="C3443" s="15">
        <v>2.98</v>
      </c>
      <c r="D3443" s="15">
        <v>2.69</v>
      </c>
      <c r="E3443" s="15">
        <v>2.68</v>
      </c>
      <c r="F3443" s="15">
        <f t="shared" si="1"/>
        <v>2.71</v>
      </c>
      <c r="G3443" s="15">
        <f t="shared" si="2"/>
        <v>2.98</v>
      </c>
      <c r="H3443" s="16">
        <v>0.0</v>
      </c>
      <c r="I3443" s="15">
        <f t="shared" si="3"/>
        <v>2.71</v>
      </c>
      <c r="J3443" s="15">
        <v>12.27</v>
      </c>
      <c r="K3443" s="16">
        <f>IF(COUNTIFS(Release_Calendar!$A$2:$A$755,"US_CPI",Release_Calendar!$B$2:$B$755,$A3443)&gt;0,1,0)</f>
        <v>0</v>
      </c>
      <c r="L3443" s="16">
        <f>IF(COUNTIFS(Release_Calendar!$A$2:$A$755,"US_NFP",Release_Calendar!$B$2:$B$755,$A3443)&gt;0,1,0)</f>
        <v>0</v>
      </c>
      <c r="M3443" s="16" t="str">
        <f>IF($A3443&lt;Notes!$B$5,"",IF(COUNTIFS(Release_Calendar!$A$2:$A$755,"NZ_CPI",Release_Calendar!$B$2:$B$755,$A3443)&gt;0,1,0))</f>
        <v/>
      </c>
      <c r="N3443" s="16" t="str">
        <f>IF($A3443&lt;Notes!$B$5,"",IF(COUNTIFS(Release_Calendar!$A$2:$A$755,"NZ_GDP",Release_Calendar!$B$2:$B$755,$A3443)&gt;0,1,0))</f>
        <v/>
      </c>
      <c r="O3443" s="16" t="str">
        <f>IF($A3443&lt;Notes!$B$5,"",IF(COUNTIFS(Release_Calendar!$A$2:$A$755,"NZ_LABOUR",Release_Calendar!$B$2:$B$755,$A3443)&gt;0,1,0))</f>
        <v/>
      </c>
      <c r="P3443" s="16">
        <f t="shared" si="4"/>
        <v>0</v>
      </c>
    </row>
    <row r="3444" ht="15.75" customHeight="1">
      <c r="A3444" s="14">
        <v>41346.0</v>
      </c>
      <c r="B3444" s="15">
        <v>0.27</v>
      </c>
      <c r="C3444" s="15">
        <v>2.98</v>
      </c>
      <c r="D3444" s="15">
        <v>2.67</v>
      </c>
      <c r="E3444" s="15">
        <v>2.61</v>
      </c>
      <c r="F3444" s="15">
        <f t="shared" si="1"/>
        <v>2.71</v>
      </c>
      <c r="G3444" s="15">
        <f t="shared" si="2"/>
        <v>2.98</v>
      </c>
      <c r="H3444" s="16">
        <v>0.0</v>
      </c>
      <c r="I3444" s="15">
        <f t="shared" si="3"/>
        <v>2.71</v>
      </c>
      <c r="J3444" s="15">
        <v>11.83</v>
      </c>
      <c r="K3444" s="16">
        <f>IF(COUNTIFS(Release_Calendar!$A$2:$A$755,"US_CPI",Release_Calendar!$B$2:$B$755,$A3444)&gt;0,1,0)</f>
        <v>0</v>
      </c>
      <c r="L3444" s="16">
        <f>IF(COUNTIFS(Release_Calendar!$A$2:$A$755,"US_NFP",Release_Calendar!$B$2:$B$755,$A3444)&gt;0,1,0)</f>
        <v>0</v>
      </c>
      <c r="M3444" s="16" t="str">
        <f>IF($A3444&lt;Notes!$B$5,"",IF(COUNTIFS(Release_Calendar!$A$2:$A$755,"NZ_CPI",Release_Calendar!$B$2:$B$755,$A3444)&gt;0,1,0))</f>
        <v/>
      </c>
      <c r="N3444" s="16" t="str">
        <f>IF($A3444&lt;Notes!$B$5,"",IF(COUNTIFS(Release_Calendar!$A$2:$A$755,"NZ_GDP",Release_Calendar!$B$2:$B$755,$A3444)&gt;0,1,0))</f>
        <v/>
      </c>
      <c r="O3444" s="16" t="str">
        <f>IF($A3444&lt;Notes!$B$5,"",IF(COUNTIFS(Release_Calendar!$A$2:$A$755,"NZ_LABOUR",Release_Calendar!$B$2:$B$755,$A3444)&gt;0,1,0))</f>
        <v/>
      </c>
      <c r="P3444" s="16">
        <f t="shared" si="4"/>
        <v>0</v>
      </c>
    </row>
    <row r="3445" ht="15.75" customHeight="1">
      <c r="A3445" s="14">
        <v>41347.0</v>
      </c>
      <c r="B3445" s="15">
        <v>0.27</v>
      </c>
      <c r="C3445" s="15">
        <v>2.91</v>
      </c>
      <c r="D3445" s="15">
        <v>2.59</v>
      </c>
      <c r="E3445" s="15">
        <v>2.6</v>
      </c>
      <c r="F3445" s="15">
        <f t="shared" si="1"/>
        <v>2.64</v>
      </c>
      <c r="G3445" s="15">
        <f t="shared" si="2"/>
        <v>2.91</v>
      </c>
      <c r="H3445" s="16">
        <v>0.0</v>
      </c>
      <c r="I3445" s="15">
        <f t="shared" si="3"/>
        <v>2.64</v>
      </c>
      <c r="J3445" s="15">
        <v>11.3</v>
      </c>
      <c r="K3445" s="16">
        <f>IF(COUNTIFS(Release_Calendar!$A$2:$A$755,"US_CPI",Release_Calendar!$B$2:$B$755,$A3445)&gt;0,1,0)</f>
        <v>0</v>
      </c>
      <c r="L3445" s="16">
        <f>IF(COUNTIFS(Release_Calendar!$A$2:$A$755,"US_NFP",Release_Calendar!$B$2:$B$755,$A3445)&gt;0,1,0)</f>
        <v>0</v>
      </c>
      <c r="M3445" s="16" t="str">
        <f>IF($A3445&lt;Notes!$B$5,"",IF(COUNTIFS(Release_Calendar!$A$2:$A$755,"NZ_CPI",Release_Calendar!$B$2:$B$755,$A3445)&gt;0,1,0))</f>
        <v/>
      </c>
      <c r="N3445" s="16" t="str">
        <f>IF($A3445&lt;Notes!$B$5,"",IF(COUNTIFS(Release_Calendar!$A$2:$A$755,"NZ_GDP",Release_Calendar!$B$2:$B$755,$A3445)&gt;0,1,0))</f>
        <v/>
      </c>
      <c r="O3445" s="16" t="str">
        <f>IF($A3445&lt;Notes!$B$5,"",IF(COUNTIFS(Release_Calendar!$A$2:$A$755,"NZ_LABOUR",Release_Calendar!$B$2:$B$755,$A3445)&gt;0,1,0))</f>
        <v/>
      </c>
      <c r="P3445" s="16">
        <f t="shared" si="4"/>
        <v>0</v>
      </c>
    </row>
    <row r="3446" ht="15.75" customHeight="1">
      <c r="A3446" s="14">
        <v>41348.0</v>
      </c>
      <c r="B3446" s="15">
        <v>0.25</v>
      </c>
      <c r="C3446" s="15">
        <v>2.91</v>
      </c>
      <c r="D3446" s="15">
        <v>2.59</v>
      </c>
      <c r="E3446" s="15">
        <v>2.55</v>
      </c>
      <c r="F3446" s="15">
        <f t="shared" si="1"/>
        <v>2.66</v>
      </c>
      <c r="G3446" s="15">
        <f t="shared" si="2"/>
        <v>2.91</v>
      </c>
      <c r="H3446" s="16">
        <v>0.0</v>
      </c>
      <c r="I3446" s="15">
        <f t="shared" si="3"/>
        <v>2.66</v>
      </c>
      <c r="J3446" s="15">
        <v>11.3</v>
      </c>
      <c r="K3446" s="16">
        <f>IF(COUNTIFS(Release_Calendar!$A$2:$A$755,"US_CPI",Release_Calendar!$B$2:$B$755,$A3446)&gt;0,1,0)</f>
        <v>1</v>
      </c>
      <c r="L3446" s="16">
        <f>IF(COUNTIFS(Release_Calendar!$A$2:$A$755,"US_NFP",Release_Calendar!$B$2:$B$755,$A3446)&gt;0,1,0)</f>
        <v>0</v>
      </c>
      <c r="M3446" s="16" t="str">
        <f>IF($A3446&lt;Notes!$B$5,"",IF(COUNTIFS(Release_Calendar!$A$2:$A$755,"NZ_CPI",Release_Calendar!$B$2:$B$755,$A3446)&gt;0,1,0))</f>
        <v/>
      </c>
      <c r="N3446" s="16" t="str">
        <f>IF($A3446&lt;Notes!$B$5,"",IF(COUNTIFS(Release_Calendar!$A$2:$A$755,"NZ_GDP",Release_Calendar!$B$2:$B$755,$A3446)&gt;0,1,0))</f>
        <v/>
      </c>
      <c r="O3446" s="16" t="str">
        <f>IF($A3446&lt;Notes!$B$5,"",IF(COUNTIFS(Release_Calendar!$A$2:$A$755,"NZ_LABOUR",Release_Calendar!$B$2:$B$755,$A3446)&gt;0,1,0))</f>
        <v/>
      </c>
      <c r="P3446" s="16">
        <f t="shared" si="4"/>
        <v>1</v>
      </c>
    </row>
    <row r="3447" ht="15.75" customHeight="1">
      <c r="A3447" s="14">
        <v>41351.0</v>
      </c>
      <c r="B3447" s="15">
        <v>0.26</v>
      </c>
      <c r="C3447" s="15">
        <v>2.84</v>
      </c>
      <c r="D3447" s="15">
        <v>2.49</v>
      </c>
      <c r="E3447" s="15">
        <v>2.48</v>
      </c>
      <c r="F3447" s="15">
        <f t="shared" si="1"/>
        <v>2.58</v>
      </c>
      <c r="G3447" s="15">
        <f t="shared" si="2"/>
        <v>2.84</v>
      </c>
      <c r="H3447" s="16">
        <v>0.0</v>
      </c>
      <c r="I3447" s="15">
        <f t="shared" si="3"/>
        <v>2.58</v>
      </c>
      <c r="J3447" s="15">
        <v>13.36</v>
      </c>
      <c r="K3447" s="16">
        <f>IF(COUNTIFS(Release_Calendar!$A$2:$A$755,"US_CPI",Release_Calendar!$B$2:$B$755,$A3447)&gt;0,1,0)</f>
        <v>0</v>
      </c>
      <c r="L3447" s="16">
        <f>IF(COUNTIFS(Release_Calendar!$A$2:$A$755,"US_NFP",Release_Calendar!$B$2:$B$755,$A3447)&gt;0,1,0)</f>
        <v>0</v>
      </c>
      <c r="M3447" s="16" t="str">
        <f>IF($A3447&lt;Notes!$B$5,"",IF(COUNTIFS(Release_Calendar!$A$2:$A$755,"NZ_CPI",Release_Calendar!$B$2:$B$755,$A3447)&gt;0,1,0))</f>
        <v/>
      </c>
      <c r="N3447" s="16" t="str">
        <f>IF($A3447&lt;Notes!$B$5,"",IF(COUNTIFS(Release_Calendar!$A$2:$A$755,"NZ_GDP",Release_Calendar!$B$2:$B$755,$A3447)&gt;0,1,0))</f>
        <v/>
      </c>
      <c r="O3447" s="16" t="str">
        <f>IF($A3447&lt;Notes!$B$5,"",IF(COUNTIFS(Release_Calendar!$A$2:$A$755,"NZ_LABOUR",Release_Calendar!$B$2:$B$755,$A3447)&gt;0,1,0))</f>
        <v/>
      </c>
      <c r="P3447" s="16">
        <f t="shared" si="4"/>
        <v>0</v>
      </c>
    </row>
    <row r="3448" ht="15.75" customHeight="1">
      <c r="A3448" s="14">
        <v>41352.0</v>
      </c>
      <c r="B3448" s="15">
        <v>0.24</v>
      </c>
      <c r="C3448" s="15">
        <v>2.89</v>
      </c>
      <c r="D3448" s="15">
        <v>2.5</v>
      </c>
      <c r="E3448" s="15">
        <v>2.52</v>
      </c>
      <c r="F3448" s="15">
        <f t="shared" si="1"/>
        <v>2.65</v>
      </c>
      <c r="G3448" s="15">
        <f t="shared" si="2"/>
        <v>2.89</v>
      </c>
      <c r="H3448" s="16">
        <v>0.0</v>
      </c>
      <c r="I3448" s="15">
        <f t="shared" si="3"/>
        <v>2.65</v>
      </c>
      <c r="J3448" s="15">
        <v>14.39</v>
      </c>
      <c r="K3448" s="16">
        <f>IF(COUNTIFS(Release_Calendar!$A$2:$A$755,"US_CPI",Release_Calendar!$B$2:$B$755,$A3448)&gt;0,1,0)</f>
        <v>0</v>
      </c>
      <c r="L3448" s="16">
        <f>IF(COUNTIFS(Release_Calendar!$A$2:$A$755,"US_NFP",Release_Calendar!$B$2:$B$755,$A3448)&gt;0,1,0)</f>
        <v>0</v>
      </c>
      <c r="M3448" s="16" t="str">
        <f>IF($A3448&lt;Notes!$B$5,"",IF(COUNTIFS(Release_Calendar!$A$2:$A$755,"NZ_CPI",Release_Calendar!$B$2:$B$755,$A3448)&gt;0,1,0))</f>
        <v/>
      </c>
      <c r="N3448" s="16" t="str">
        <f>IF($A3448&lt;Notes!$B$5,"",IF(COUNTIFS(Release_Calendar!$A$2:$A$755,"NZ_GDP",Release_Calendar!$B$2:$B$755,$A3448)&gt;0,1,0))</f>
        <v/>
      </c>
      <c r="O3448" s="16" t="str">
        <f>IF($A3448&lt;Notes!$B$5,"",IF(COUNTIFS(Release_Calendar!$A$2:$A$755,"NZ_LABOUR",Release_Calendar!$B$2:$B$755,$A3448)&gt;0,1,0))</f>
        <v/>
      </c>
      <c r="P3448" s="16">
        <f t="shared" si="4"/>
        <v>0</v>
      </c>
    </row>
    <row r="3449" ht="15.75" customHeight="1">
      <c r="A3449" s="14">
        <v>41353.0</v>
      </c>
      <c r="B3449" s="15">
        <v>0.26</v>
      </c>
      <c r="C3449" s="15">
        <v>2.88</v>
      </c>
      <c r="D3449" s="15">
        <v>2.5</v>
      </c>
      <c r="E3449" s="15">
        <v>2.5</v>
      </c>
      <c r="F3449" s="15">
        <f t="shared" si="1"/>
        <v>2.62</v>
      </c>
      <c r="G3449" s="15">
        <f t="shared" si="2"/>
        <v>2.88</v>
      </c>
      <c r="H3449" s="16">
        <v>0.0</v>
      </c>
      <c r="I3449" s="15">
        <f t="shared" si="3"/>
        <v>2.62</v>
      </c>
      <c r="J3449" s="15">
        <v>12.67</v>
      </c>
      <c r="K3449" s="16">
        <f>IF(COUNTIFS(Release_Calendar!$A$2:$A$755,"US_CPI",Release_Calendar!$B$2:$B$755,$A3449)&gt;0,1,0)</f>
        <v>0</v>
      </c>
      <c r="L3449" s="16">
        <f>IF(COUNTIFS(Release_Calendar!$A$2:$A$755,"US_NFP",Release_Calendar!$B$2:$B$755,$A3449)&gt;0,1,0)</f>
        <v>0</v>
      </c>
      <c r="M3449" s="16" t="str">
        <f>IF($A3449&lt;Notes!$B$5,"",IF(COUNTIFS(Release_Calendar!$A$2:$A$755,"NZ_CPI",Release_Calendar!$B$2:$B$755,$A3449)&gt;0,1,0))</f>
        <v/>
      </c>
      <c r="N3449" s="16" t="str">
        <f>IF($A3449&lt;Notes!$B$5,"",IF(COUNTIFS(Release_Calendar!$A$2:$A$755,"NZ_GDP",Release_Calendar!$B$2:$B$755,$A3449)&gt;0,1,0))</f>
        <v/>
      </c>
      <c r="O3449" s="16" t="str">
        <f>IF($A3449&lt;Notes!$B$5,"",IF(COUNTIFS(Release_Calendar!$A$2:$A$755,"NZ_LABOUR",Release_Calendar!$B$2:$B$755,$A3449)&gt;0,1,0))</f>
        <v/>
      </c>
      <c r="P3449" s="16">
        <f t="shared" si="4"/>
        <v>0</v>
      </c>
    </row>
    <row r="3450" ht="15.75" customHeight="1">
      <c r="A3450" s="14">
        <v>41354.0</v>
      </c>
      <c r="B3450" s="15">
        <v>0.27</v>
      </c>
      <c r="C3450" s="15">
        <v>2.94</v>
      </c>
      <c r="D3450" s="15">
        <v>2.54</v>
      </c>
      <c r="E3450" s="15">
        <v>2.55</v>
      </c>
      <c r="F3450" s="15">
        <f t="shared" si="1"/>
        <v>2.67</v>
      </c>
      <c r="G3450" s="15">
        <f t="shared" si="2"/>
        <v>2.94</v>
      </c>
      <c r="H3450" s="16">
        <v>0.0</v>
      </c>
      <c r="I3450" s="15">
        <f t="shared" si="3"/>
        <v>2.67</v>
      </c>
      <c r="J3450" s="15">
        <v>13.99</v>
      </c>
      <c r="K3450" s="16">
        <f>IF(COUNTIFS(Release_Calendar!$A$2:$A$755,"US_CPI",Release_Calendar!$B$2:$B$755,$A3450)&gt;0,1,0)</f>
        <v>0</v>
      </c>
      <c r="L3450" s="16">
        <f>IF(COUNTIFS(Release_Calendar!$A$2:$A$755,"US_NFP",Release_Calendar!$B$2:$B$755,$A3450)&gt;0,1,0)</f>
        <v>0</v>
      </c>
      <c r="M3450" s="16" t="str">
        <f>IF($A3450&lt;Notes!$B$5,"",IF(COUNTIFS(Release_Calendar!$A$2:$A$755,"NZ_CPI",Release_Calendar!$B$2:$B$755,$A3450)&gt;0,1,0))</f>
        <v/>
      </c>
      <c r="N3450" s="16" t="str">
        <f>IF($A3450&lt;Notes!$B$5,"",IF(COUNTIFS(Release_Calendar!$A$2:$A$755,"NZ_GDP",Release_Calendar!$B$2:$B$755,$A3450)&gt;0,1,0))</f>
        <v/>
      </c>
      <c r="O3450" s="16" t="str">
        <f>IF($A3450&lt;Notes!$B$5,"",IF(COUNTIFS(Release_Calendar!$A$2:$A$755,"NZ_LABOUR",Release_Calendar!$B$2:$B$755,$A3450)&gt;0,1,0))</f>
        <v/>
      </c>
      <c r="P3450" s="16">
        <f t="shared" si="4"/>
        <v>0</v>
      </c>
    </row>
    <row r="3451" ht="15.75" customHeight="1">
      <c r="A3451" s="14">
        <v>41355.0</v>
      </c>
      <c r="B3451" s="15">
        <v>0.26</v>
      </c>
      <c r="C3451" s="15">
        <v>2.92</v>
      </c>
      <c r="D3451" s="15">
        <v>2.55</v>
      </c>
      <c r="E3451" s="15">
        <v>2.52</v>
      </c>
      <c r="F3451" s="15">
        <f t="shared" si="1"/>
        <v>2.66</v>
      </c>
      <c r="G3451" s="15">
        <f t="shared" si="2"/>
        <v>2.92</v>
      </c>
      <c r="H3451" s="16">
        <v>0.0</v>
      </c>
      <c r="I3451" s="15">
        <f t="shared" si="3"/>
        <v>2.66</v>
      </c>
      <c r="J3451" s="15">
        <v>13.57</v>
      </c>
      <c r="K3451" s="16">
        <f>IF(COUNTIFS(Release_Calendar!$A$2:$A$755,"US_CPI",Release_Calendar!$B$2:$B$755,$A3451)&gt;0,1,0)</f>
        <v>0</v>
      </c>
      <c r="L3451" s="16">
        <f>IF(COUNTIFS(Release_Calendar!$A$2:$A$755,"US_NFP",Release_Calendar!$B$2:$B$755,$A3451)&gt;0,1,0)</f>
        <v>0</v>
      </c>
      <c r="M3451" s="16" t="str">
        <f>IF($A3451&lt;Notes!$B$5,"",IF(COUNTIFS(Release_Calendar!$A$2:$A$755,"NZ_CPI",Release_Calendar!$B$2:$B$755,$A3451)&gt;0,1,0))</f>
        <v/>
      </c>
      <c r="N3451" s="16" t="str">
        <f>IF($A3451&lt;Notes!$B$5,"",IF(COUNTIFS(Release_Calendar!$A$2:$A$755,"NZ_GDP",Release_Calendar!$B$2:$B$755,$A3451)&gt;0,1,0))</f>
        <v/>
      </c>
      <c r="O3451" s="16" t="str">
        <f>IF($A3451&lt;Notes!$B$5,"",IF(COUNTIFS(Release_Calendar!$A$2:$A$755,"NZ_LABOUR",Release_Calendar!$B$2:$B$755,$A3451)&gt;0,1,0))</f>
        <v/>
      </c>
      <c r="P3451" s="16">
        <f t="shared" si="4"/>
        <v>0</v>
      </c>
    </row>
    <row r="3452" ht="15.75" customHeight="1">
      <c r="A3452" s="14">
        <v>41358.0</v>
      </c>
      <c r="B3452" s="15">
        <v>0.24</v>
      </c>
      <c r="C3452" s="15">
        <v>2.94</v>
      </c>
      <c r="D3452" s="15">
        <v>2.52</v>
      </c>
      <c r="E3452" s="15">
        <v>2.55</v>
      </c>
      <c r="F3452" s="15">
        <f t="shared" si="1"/>
        <v>2.7</v>
      </c>
      <c r="G3452" s="15">
        <f t="shared" si="2"/>
        <v>2.94</v>
      </c>
      <c r="H3452" s="16">
        <v>0.0</v>
      </c>
      <c r="I3452" s="15">
        <f t="shared" si="3"/>
        <v>2.7</v>
      </c>
      <c r="J3452" s="15">
        <v>13.74</v>
      </c>
      <c r="K3452" s="16">
        <f>IF(COUNTIFS(Release_Calendar!$A$2:$A$755,"US_CPI",Release_Calendar!$B$2:$B$755,$A3452)&gt;0,1,0)</f>
        <v>0</v>
      </c>
      <c r="L3452" s="16">
        <f>IF(COUNTIFS(Release_Calendar!$A$2:$A$755,"US_NFP",Release_Calendar!$B$2:$B$755,$A3452)&gt;0,1,0)</f>
        <v>0</v>
      </c>
      <c r="M3452" s="16" t="str">
        <f>IF($A3452&lt;Notes!$B$5,"",IF(COUNTIFS(Release_Calendar!$A$2:$A$755,"NZ_CPI",Release_Calendar!$B$2:$B$755,$A3452)&gt;0,1,0))</f>
        <v/>
      </c>
      <c r="N3452" s="16" t="str">
        <f>IF($A3452&lt;Notes!$B$5,"",IF(COUNTIFS(Release_Calendar!$A$2:$A$755,"NZ_GDP",Release_Calendar!$B$2:$B$755,$A3452)&gt;0,1,0))</f>
        <v/>
      </c>
      <c r="O3452" s="16" t="str">
        <f>IF($A3452&lt;Notes!$B$5,"",IF(COUNTIFS(Release_Calendar!$A$2:$A$755,"NZ_LABOUR",Release_Calendar!$B$2:$B$755,$A3452)&gt;0,1,0))</f>
        <v/>
      </c>
      <c r="P3452" s="16">
        <f t="shared" si="4"/>
        <v>0</v>
      </c>
    </row>
    <row r="3453" ht="15.75" customHeight="1">
      <c r="A3453" s="14">
        <v>41359.0</v>
      </c>
      <c r="B3453" s="15">
        <v>0.25</v>
      </c>
      <c r="C3453" s="15">
        <v>2.92</v>
      </c>
      <c r="D3453" s="15">
        <v>2.52</v>
      </c>
      <c r="E3453" s="15">
        <v>2.52</v>
      </c>
      <c r="F3453" s="15">
        <f t="shared" si="1"/>
        <v>2.67</v>
      </c>
      <c r="G3453" s="15">
        <f t="shared" si="2"/>
        <v>2.92</v>
      </c>
      <c r="H3453" s="16">
        <v>0.0</v>
      </c>
      <c r="I3453" s="15">
        <f t="shared" si="3"/>
        <v>2.67</v>
      </c>
      <c r="J3453" s="15">
        <v>12.77</v>
      </c>
      <c r="K3453" s="16">
        <f>IF(COUNTIFS(Release_Calendar!$A$2:$A$755,"US_CPI",Release_Calendar!$B$2:$B$755,$A3453)&gt;0,1,0)</f>
        <v>0</v>
      </c>
      <c r="L3453" s="16">
        <f>IF(COUNTIFS(Release_Calendar!$A$2:$A$755,"US_NFP",Release_Calendar!$B$2:$B$755,$A3453)&gt;0,1,0)</f>
        <v>0</v>
      </c>
      <c r="M3453" s="16" t="str">
        <f>IF($A3453&lt;Notes!$B$5,"",IF(COUNTIFS(Release_Calendar!$A$2:$A$755,"NZ_CPI",Release_Calendar!$B$2:$B$755,$A3453)&gt;0,1,0))</f>
        <v/>
      </c>
      <c r="N3453" s="16" t="str">
        <f>IF($A3453&lt;Notes!$B$5,"",IF(COUNTIFS(Release_Calendar!$A$2:$A$755,"NZ_GDP",Release_Calendar!$B$2:$B$755,$A3453)&gt;0,1,0))</f>
        <v/>
      </c>
      <c r="O3453" s="16" t="str">
        <f>IF($A3453&lt;Notes!$B$5,"",IF(COUNTIFS(Release_Calendar!$A$2:$A$755,"NZ_LABOUR",Release_Calendar!$B$2:$B$755,$A3453)&gt;0,1,0))</f>
        <v/>
      </c>
      <c r="P3453" s="16">
        <f t="shared" si="4"/>
        <v>0</v>
      </c>
    </row>
    <row r="3454" ht="15.75" customHeight="1">
      <c r="A3454" s="14">
        <v>41360.0</v>
      </c>
      <c r="B3454" s="15">
        <v>0.25</v>
      </c>
      <c r="C3454" s="15">
        <v>2.89</v>
      </c>
      <c r="D3454" s="15">
        <v>2.5</v>
      </c>
      <c r="E3454" s="15">
        <v>2.49</v>
      </c>
      <c r="F3454" s="15">
        <f t="shared" si="1"/>
        <v>2.64</v>
      </c>
      <c r="G3454" s="15">
        <f t="shared" si="2"/>
        <v>2.89</v>
      </c>
      <c r="H3454" s="16">
        <v>0.0</v>
      </c>
      <c r="I3454" s="15">
        <f t="shared" si="3"/>
        <v>2.64</v>
      </c>
      <c r="J3454" s="15">
        <v>13.15</v>
      </c>
      <c r="K3454" s="16">
        <f>IF(COUNTIFS(Release_Calendar!$A$2:$A$755,"US_CPI",Release_Calendar!$B$2:$B$755,$A3454)&gt;0,1,0)</f>
        <v>0</v>
      </c>
      <c r="L3454" s="16">
        <f>IF(COUNTIFS(Release_Calendar!$A$2:$A$755,"US_NFP",Release_Calendar!$B$2:$B$755,$A3454)&gt;0,1,0)</f>
        <v>0</v>
      </c>
      <c r="M3454" s="16" t="str">
        <f>IF($A3454&lt;Notes!$B$5,"",IF(COUNTIFS(Release_Calendar!$A$2:$A$755,"NZ_CPI",Release_Calendar!$B$2:$B$755,$A3454)&gt;0,1,0))</f>
        <v/>
      </c>
      <c r="N3454" s="16" t="str">
        <f>IF($A3454&lt;Notes!$B$5,"",IF(COUNTIFS(Release_Calendar!$A$2:$A$755,"NZ_GDP",Release_Calendar!$B$2:$B$755,$A3454)&gt;0,1,0))</f>
        <v/>
      </c>
      <c r="O3454" s="16" t="str">
        <f>IF($A3454&lt;Notes!$B$5,"",IF(COUNTIFS(Release_Calendar!$A$2:$A$755,"NZ_LABOUR",Release_Calendar!$B$2:$B$755,$A3454)&gt;0,1,0))</f>
        <v/>
      </c>
      <c r="P3454" s="16">
        <f t="shared" si="4"/>
        <v>0</v>
      </c>
    </row>
    <row r="3455" ht="15.75" customHeight="1">
      <c r="A3455" s="14">
        <v>41361.0</v>
      </c>
      <c r="B3455" s="15">
        <v>0.25</v>
      </c>
      <c r="C3455" s="15">
        <v>2.85</v>
      </c>
      <c r="D3455" s="15">
        <v>2.43</v>
      </c>
      <c r="E3455" s="15">
        <v>2.42</v>
      </c>
      <c r="F3455" s="15">
        <f t="shared" si="1"/>
        <v>2.6</v>
      </c>
      <c r="G3455" s="15">
        <f t="shared" si="2"/>
        <v>2.85</v>
      </c>
      <c r="H3455" s="16">
        <v>0.0</v>
      </c>
      <c r="I3455" s="15">
        <f t="shared" si="3"/>
        <v>2.6</v>
      </c>
      <c r="J3455" s="15">
        <v>12.7</v>
      </c>
      <c r="K3455" s="16">
        <f>IF(COUNTIFS(Release_Calendar!$A$2:$A$755,"US_CPI",Release_Calendar!$B$2:$B$755,$A3455)&gt;0,1,0)</f>
        <v>0</v>
      </c>
      <c r="L3455" s="16">
        <f>IF(COUNTIFS(Release_Calendar!$A$2:$A$755,"US_NFP",Release_Calendar!$B$2:$B$755,$A3455)&gt;0,1,0)</f>
        <v>0</v>
      </c>
      <c r="M3455" s="16" t="str">
        <f>IF($A3455&lt;Notes!$B$5,"",IF(COUNTIFS(Release_Calendar!$A$2:$A$755,"NZ_CPI",Release_Calendar!$B$2:$B$755,$A3455)&gt;0,1,0))</f>
        <v/>
      </c>
      <c r="N3455" s="16" t="str">
        <f>IF($A3455&lt;Notes!$B$5,"",IF(COUNTIFS(Release_Calendar!$A$2:$A$755,"NZ_GDP",Release_Calendar!$B$2:$B$755,$A3455)&gt;0,1,0))</f>
        <v/>
      </c>
      <c r="O3455" s="16" t="str">
        <f>IF($A3455&lt;Notes!$B$5,"",IF(COUNTIFS(Release_Calendar!$A$2:$A$755,"NZ_LABOUR",Release_Calendar!$B$2:$B$755,$A3455)&gt;0,1,0))</f>
        <v/>
      </c>
      <c r="P3455" s="16">
        <f t="shared" si="4"/>
        <v>0</v>
      </c>
    </row>
    <row r="3456" ht="15.75" customHeight="1">
      <c r="A3456" s="14">
        <v>41362.0</v>
      </c>
      <c r="B3456" s="15"/>
      <c r="C3456" s="15"/>
      <c r="D3456" s="15"/>
      <c r="E3456" s="15"/>
      <c r="F3456" s="15" t="str">
        <f t="shared" si="1"/>
        <v/>
      </c>
      <c r="G3456" s="15" t="str">
        <f t="shared" si="2"/>
        <v/>
      </c>
      <c r="H3456" s="16">
        <v>0.0</v>
      </c>
      <c r="I3456" s="15" t="str">
        <f t="shared" si="3"/>
        <v/>
      </c>
      <c r="J3456" s="15"/>
      <c r="K3456" s="16">
        <f>IF(COUNTIFS(Release_Calendar!$A$2:$A$755,"US_CPI",Release_Calendar!$B$2:$B$755,$A3456)&gt;0,1,0)</f>
        <v>0</v>
      </c>
      <c r="L3456" s="16">
        <f>IF(COUNTIFS(Release_Calendar!$A$2:$A$755,"US_NFP",Release_Calendar!$B$2:$B$755,$A3456)&gt;0,1,0)</f>
        <v>0</v>
      </c>
      <c r="M3456" s="16" t="str">
        <f>IF($A3456&lt;Notes!$B$5,"",IF(COUNTIFS(Release_Calendar!$A$2:$A$755,"NZ_CPI",Release_Calendar!$B$2:$B$755,$A3456)&gt;0,1,0))</f>
        <v/>
      </c>
      <c r="N3456" s="16" t="str">
        <f>IF($A3456&lt;Notes!$B$5,"",IF(COUNTIFS(Release_Calendar!$A$2:$A$755,"NZ_GDP",Release_Calendar!$B$2:$B$755,$A3456)&gt;0,1,0))</f>
        <v/>
      </c>
      <c r="O3456" s="16" t="str">
        <f>IF($A3456&lt;Notes!$B$5,"",IF(COUNTIFS(Release_Calendar!$A$2:$A$755,"NZ_LABOUR",Release_Calendar!$B$2:$B$755,$A3456)&gt;0,1,0))</f>
        <v/>
      </c>
      <c r="P3456" s="16">
        <f t="shared" si="4"/>
        <v>0</v>
      </c>
    </row>
    <row r="3457" ht="15.75" customHeight="1">
      <c r="A3457" s="14">
        <v>41365.0</v>
      </c>
      <c r="B3457" s="15">
        <v>0.23</v>
      </c>
      <c r="C3457" s="15"/>
      <c r="D3457" s="15"/>
      <c r="E3457" s="15"/>
      <c r="F3457" s="15" t="str">
        <f t="shared" si="1"/>
        <v/>
      </c>
      <c r="G3457" s="15" t="str">
        <f t="shared" si="2"/>
        <v/>
      </c>
      <c r="H3457" s="16">
        <v>0.0</v>
      </c>
      <c r="I3457" s="15" t="str">
        <f t="shared" si="3"/>
        <v/>
      </c>
      <c r="J3457" s="15">
        <v>13.58</v>
      </c>
      <c r="K3457" s="16">
        <f>IF(COUNTIFS(Release_Calendar!$A$2:$A$755,"US_CPI",Release_Calendar!$B$2:$B$755,$A3457)&gt;0,1,0)</f>
        <v>0</v>
      </c>
      <c r="L3457" s="16">
        <f>IF(COUNTIFS(Release_Calendar!$A$2:$A$755,"US_NFP",Release_Calendar!$B$2:$B$755,$A3457)&gt;0,1,0)</f>
        <v>0</v>
      </c>
      <c r="M3457" s="16" t="str">
        <f>IF($A3457&lt;Notes!$B$5,"",IF(COUNTIFS(Release_Calendar!$A$2:$A$755,"NZ_CPI",Release_Calendar!$B$2:$B$755,$A3457)&gt;0,1,0))</f>
        <v/>
      </c>
      <c r="N3457" s="16" t="str">
        <f>IF($A3457&lt;Notes!$B$5,"",IF(COUNTIFS(Release_Calendar!$A$2:$A$755,"NZ_GDP",Release_Calendar!$B$2:$B$755,$A3457)&gt;0,1,0))</f>
        <v/>
      </c>
      <c r="O3457" s="16" t="str">
        <f>IF($A3457&lt;Notes!$B$5,"",IF(COUNTIFS(Release_Calendar!$A$2:$A$755,"NZ_LABOUR",Release_Calendar!$B$2:$B$755,$A3457)&gt;0,1,0))</f>
        <v/>
      </c>
      <c r="P3457" s="16">
        <f t="shared" si="4"/>
        <v>0</v>
      </c>
    </row>
    <row r="3458" ht="15.75" customHeight="1">
      <c r="A3458" s="14">
        <v>41366.0</v>
      </c>
      <c r="B3458" s="15">
        <v>0.25</v>
      </c>
      <c r="C3458" s="15">
        <v>2.87</v>
      </c>
      <c r="D3458" s="15">
        <v>2.41</v>
      </c>
      <c r="E3458" s="15">
        <v>2.41</v>
      </c>
      <c r="F3458" s="15">
        <f t="shared" si="1"/>
        <v>2.62</v>
      </c>
      <c r="G3458" s="15">
        <f t="shared" si="2"/>
        <v>2.87</v>
      </c>
      <c r="H3458" s="16">
        <v>0.0</v>
      </c>
      <c r="I3458" s="15">
        <f t="shared" si="3"/>
        <v>2.62</v>
      </c>
      <c r="J3458" s="15">
        <v>12.78</v>
      </c>
      <c r="K3458" s="16">
        <f>IF(COUNTIFS(Release_Calendar!$A$2:$A$755,"US_CPI",Release_Calendar!$B$2:$B$755,$A3458)&gt;0,1,0)</f>
        <v>0</v>
      </c>
      <c r="L3458" s="16">
        <f>IF(COUNTIFS(Release_Calendar!$A$2:$A$755,"US_NFP",Release_Calendar!$B$2:$B$755,$A3458)&gt;0,1,0)</f>
        <v>0</v>
      </c>
      <c r="M3458" s="16" t="str">
        <f>IF($A3458&lt;Notes!$B$5,"",IF(COUNTIFS(Release_Calendar!$A$2:$A$755,"NZ_CPI",Release_Calendar!$B$2:$B$755,$A3458)&gt;0,1,0))</f>
        <v/>
      </c>
      <c r="N3458" s="16" t="str">
        <f>IF($A3458&lt;Notes!$B$5,"",IF(COUNTIFS(Release_Calendar!$A$2:$A$755,"NZ_GDP",Release_Calendar!$B$2:$B$755,$A3458)&gt;0,1,0))</f>
        <v/>
      </c>
      <c r="O3458" s="16" t="str">
        <f>IF($A3458&lt;Notes!$B$5,"",IF(COUNTIFS(Release_Calendar!$A$2:$A$755,"NZ_LABOUR",Release_Calendar!$B$2:$B$755,$A3458)&gt;0,1,0))</f>
        <v/>
      </c>
      <c r="P3458" s="16">
        <f t="shared" si="4"/>
        <v>0</v>
      </c>
    </row>
    <row r="3459" ht="15.75" customHeight="1">
      <c r="A3459" s="14">
        <v>41367.0</v>
      </c>
      <c r="B3459" s="15">
        <v>0.24</v>
      </c>
      <c r="C3459" s="15">
        <v>2.9</v>
      </c>
      <c r="D3459" s="15">
        <v>2.42</v>
      </c>
      <c r="E3459" s="15">
        <v>2.45</v>
      </c>
      <c r="F3459" s="15">
        <f t="shared" si="1"/>
        <v>2.66</v>
      </c>
      <c r="G3459" s="15">
        <f t="shared" si="2"/>
        <v>2.9</v>
      </c>
      <c r="H3459" s="16">
        <v>0.0</v>
      </c>
      <c r="I3459" s="15">
        <f t="shared" si="3"/>
        <v>2.66</v>
      </c>
      <c r="J3459" s="15">
        <v>14.21</v>
      </c>
      <c r="K3459" s="16">
        <f>IF(COUNTIFS(Release_Calendar!$A$2:$A$755,"US_CPI",Release_Calendar!$B$2:$B$755,$A3459)&gt;0,1,0)</f>
        <v>0</v>
      </c>
      <c r="L3459" s="16">
        <f>IF(COUNTIFS(Release_Calendar!$A$2:$A$755,"US_NFP",Release_Calendar!$B$2:$B$755,$A3459)&gt;0,1,0)</f>
        <v>0</v>
      </c>
      <c r="M3459" s="16" t="str">
        <f>IF($A3459&lt;Notes!$B$5,"",IF(COUNTIFS(Release_Calendar!$A$2:$A$755,"NZ_CPI",Release_Calendar!$B$2:$B$755,$A3459)&gt;0,1,0))</f>
        <v/>
      </c>
      <c r="N3459" s="16" t="str">
        <f>IF($A3459&lt;Notes!$B$5,"",IF(COUNTIFS(Release_Calendar!$A$2:$A$755,"NZ_GDP",Release_Calendar!$B$2:$B$755,$A3459)&gt;0,1,0))</f>
        <v/>
      </c>
      <c r="O3459" s="16" t="str">
        <f>IF($A3459&lt;Notes!$B$5,"",IF(COUNTIFS(Release_Calendar!$A$2:$A$755,"NZ_LABOUR",Release_Calendar!$B$2:$B$755,$A3459)&gt;0,1,0))</f>
        <v/>
      </c>
      <c r="P3459" s="16">
        <f t="shared" si="4"/>
        <v>0</v>
      </c>
    </row>
    <row r="3460" ht="15.75" customHeight="1">
      <c r="A3460" s="14">
        <v>41368.0</v>
      </c>
      <c r="B3460" s="15">
        <v>0.22</v>
      </c>
      <c r="C3460" s="15">
        <v>2.89</v>
      </c>
      <c r="D3460" s="15">
        <v>2.44</v>
      </c>
      <c r="E3460" s="15">
        <v>2.45</v>
      </c>
      <c r="F3460" s="15">
        <f t="shared" si="1"/>
        <v>2.67</v>
      </c>
      <c r="G3460" s="15">
        <f t="shared" si="2"/>
        <v>2.89</v>
      </c>
      <c r="H3460" s="16">
        <v>0.0</v>
      </c>
      <c r="I3460" s="15">
        <f t="shared" si="3"/>
        <v>2.67</v>
      </c>
      <c r="J3460" s="15">
        <v>13.89</v>
      </c>
      <c r="K3460" s="16">
        <f>IF(COUNTIFS(Release_Calendar!$A$2:$A$755,"US_CPI",Release_Calendar!$B$2:$B$755,$A3460)&gt;0,1,0)</f>
        <v>0</v>
      </c>
      <c r="L3460" s="16">
        <f>IF(COUNTIFS(Release_Calendar!$A$2:$A$755,"US_NFP",Release_Calendar!$B$2:$B$755,$A3460)&gt;0,1,0)</f>
        <v>0</v>
      </c>
      <c r="M3460" s="16" t="str">
        <f>IF($A3460&lt;Notes!$B$5,"",IF(COUNTIFS(Release_Calendar!$A$2:$A$755,"NZ_CPI",Release_Calendar!$B$2:$B$755,$A3460)&gt;0,1,0))</f>
        <v/>
      </c>
      <c r="N3460" s="16" t="str">
        <f>IF($A3460&lt;Notes!$B$5,"",IF(COUNTIFS(Release_Calendar!$A$2:$A$755,"NZ_GDP",Release_Calendar!$B$2:$B$755,$A3460)&gt;0,1,0))</f>
        <v/>
      </c>
      <c r="O3460" s="16" t="str">
        <f>IF($A3460&lt;Notes!$B$5,"",IF(COUNTIFS(Release_Calendar!$A$2:$A$755,"NZ_LABOUR",Release_Calendar!$B$2:$B$755,$A3460)&gt;0,1,0))</f>
        <v/>
      </c>
      <c r="P3460" s="16">
        <f t="shared" si="4"/>
        <v>0</v>
      </c>
    </row>
    <row r="3461" ht="15.75" customHeight="1">
      <c r="A3461" s="14">
        <v>41369.0</v>
      </c>
      <c r="B3461" s="15">
        <v>0.24</v>
      </c>
      <c r="C3461" s="15">
        <v>2.86</v>
      </c>
      <c r="D3461" s="15">
        <v>2.43</v>
      </c>
      <c r="E3461" s="15">
        <v>2.45</v>
      </c>
      <c r="F3461" s="15">
        <f t="shared" si="1"/>
        <v>2.62</v>
      </c>
      <c r="G3461" s="15">
        <f t="shared" si="2"/>
        <v>2.86</v>
      </c>
      <c r="H3461" s="16">
        <v>0.0</v>
      </c>
      <c r="I3461" s="15">
        <f t="shared" si="3"/>
        <v>2.62</v>
      </c>
      <c r="J3461" s="15">
        <v>13.92</v>
      </c>
      <c r="K3461" s="16">
        <f>IF(COUNTIFS(Release_Calendar!$A$2:$A$755,"US_CPI",Release_Calendar!$B$2:$B$755,$A3461)&gt;0,1,0)</f>
        <v>0</v>
      </c>
      <c r="L3461" s="16">
        <f>IF(COUNTIFS(Release_Calendar!$A$2:$A$755,"US_NFP",Release_Calendar!$B$2:$B$755,$A3461)&gt;0,1,0)</f>
        <v>1</v>
      </c>
      <c r="M3461" s="16" t="str">
        <f>IF($A3461&lt;Notes!$B$5,"",IF(COUNTIFS(Release_Calendar!$A$2:$A$755,"NZ_CPI",Release_Calendar!$B$2:$B$755,$A3461)&gt;0,1,0))</f>
        <v/>
      </c>
      <c r="N3461" s="16" t="str">
        <f>IF($A3461&lt;Notes!$B$5,"",IF(COUNTIFS(Release_Calendar!$A$2:$A$755,"NZ_GDP",Release_Calendar!$B$2:$B$755,$A3461)&gt;0,1,0))</f>
        <v/>
      </c>
      <c r="O3461" s="16" t="str">
        <f>IF($A3461&lt;Notes!$B$5,"",IF(COUNTIFS(Release_Calendar!$A$2:$A$755,"NZ_LABOUR",Release_Calendar!$B$2:$B$755,$A3461)&gt;0,1,0))</f>
        <v/>
      </c>
      <c r="P3461" s="16">
        <f t="shared" si="4"/>
        <v>1</v>
      </c>
    </row>
    <row r="3462" ht="15.75" customHeight="1">
      <c r="A3462" s="14">
        <v>41372.0</v>
      </c>
      <c r="B3462" s="15">
        <v>0.24</v>
      </c>
      <c r="C3462" s="15">
        <v>2.87</v>
      </c>
      <c r="D3462" s="15">
        <v>2.43</v>
      </c>
      <c r="E3462" s="15">
        <v>2.43</v>
      </c>
      <c r="F3462" s="15">
        <f t="shared" si="1"/>
        <v>2.63</v>
      </c>
      <c r="G3462" s="15">
        <f t="shared" si="2"/>
        <v>2.87</v>
      </c>
      <c r="H3462" s="16">
        <v>0.0</v>
      </c>
      <c r="I3462" s="15">
        <f t="shared" si="3"/>
        <v>2.63</v>
      </c>
      <c r="J3462" s="15">
        <v>13.19</v>
      </c>
      <c r="K3462" s="16">
        <f>IF(COUNTIFS(Release_Calendar!$A$2:$A$755,"US_CPI",Release_Calendar!$B$2:$B$755,$A3462)&gt;0,1,0)</f>
        <v>0</v>
      </c>
      <c r="L3462" s="16">
        <f>IF(COUNTIFS(Release_Calendar!$A$2:$A$755,"US_NFP",Release_Calendar!$B$2:$B$755,$A3462)&gt;0,1,0)</f>
        <v>0</v>
      </c>
      <c r="M3462" s="16" t="str">
        <f>IF($A3462&lt;Notes!$B$5,"",IF(COUNTIFS(Release_Calendar!$A$2:$A$755,"NZ_CPI",Release_Calendar!$B$2:$B$755,$A3462)&gt;0,1,0))</f>
        <v/>
      </c>
      <c r="N3462" s="16" t="str">
        <f>IF($A3462&lt;Notes!$B$5,"",IF(COUNTIFS(Release_Calendar!$A$2:$A$755,"NZ_GDP",Release_Calendar!$B$2:$B$755,$A3462)&gt;0,1,0))</f>
        <v/>
      </c>
      <c r="O3462" s="16" t="str">
        <f>IF($A3462&lt;Notes!$B$5,"",IF(COUNTIFS(Release_Calendar!$A$2:$A$755,"NZ_LABOUR",Release_Calendar!$B$2:$B$755,$A3462)&gt;0,1,0))</f>
        <v/>
      </c>
      <c r="P3462" s="16">
        <f t="shared" si="4"/>
        <v>0</v>
      </c>
    </row>
    <row r="3463" ht="15.75" customHeight="1">
      <c r="A3463" s="14">
        <v>41373.0</v>
      </c>
      <c r="B3463" s="15">
        <v>0.24</v>
      </c>
      <c r="C3463" s="15">
        <v>2.9</v>
      </c>
      <c r="D3463" s="15">
        <v>2.45</v>
      </c>
      <c r="E3463" s="15">
        <v>2.47</v>
      </c>
      <c r="F3463" s="15">
        <f t="shared" si="1"/>
        <v>2.66</v>
      </c>
      <c r="G3463" s="15">
        <f t="shared" si="2"/>
        <v>2.9</v>
      </c>
      <c r="H3463" s="16">
        <v>0.0</v>
      </c>
      <c r="I3463" s="15">
        <f t="shared" si="3"/>
        <v>2.66</v>
      </c>
      <c r="J3463" s="15">
        <v>12.84</v>
      </c>
      <c r="K3463" s="16">
        <f>IF(COUNTIFS(Release_Calendar!$A$2:$A$755,"US_CPI",Release_Calendar!$B$2:$B$755,$A3463)&gt;0,1,0)</f>
        <v>0</v>
      </c>
      <c r="L3463" s="16">
        <f>IF(COUNTIFS(Release_Calendar!$A$2:$A$755,"US_NFP",Release_Calendar!$B$2:$B$755,$A3463)&gt;0,1,0)</f>
        <v>0</v>
      </c>
      <c r="M3463" s="16" t="str">
        <f>IF($A3463&lt;Notes!$B$5,"",IF(COUNTIFS(Release_Calendar!$A$2:$A$755,"NZ_CPI",Release_Calendar!$B$2:$B$755,$A3463)&gt;0,1,0))</f>
        <v/>
      </c>
      <c r="N3463" s="16" t="str">
        <f>IF($A3463&lt;Notes!$B$5,"",IF(COUNTIFS(Release_Calendar!$A$2:$A$755,"NZ_GDP",Release_Calendar!$B$2:$B$755,$A3463)&gt;0,1,0))</f>
        <v/>
      </c>
      <c r="O3463" s="16" t="str">
        <f>IF($A3463&lt;Notes!$B$5,"",IF(COUNTIFS(Release_Calendar!$A$2:$A$755,"NZ_LABOUR",Release_Calendar!$B$2:$B$755,$A3463)&gt;0,1,0))</f>
        <v/>
      </c>
      <c r="P3463" s="16">
        <f t="shared" si="4"/>
        <v>0</v>
      </c>
    </row>
    <row r="3464" ht="15.75" customHeight="1">
      <c r="A3464" s="14">
        <v>41374.0</v>
      </c>
      <c r="B3464" s="15">
        <v>0.24</v>
      </c>
      <c r="C3464" s="15">
        <v>2.88</v>
      </c>
      <c r="D3464" s="15">
        <v>2.48</v>
      </c>
      <c r="E3464" s="15">
        <v>2.47</v>
      </c>
      <c r="F3464" s="15">
        <f t="shared" si="1"/>
        <v>2.64</v>
      </c>
      <c r="G3464" s="15">
        <f t="shared" si="2"/>
        <v>2.88</v>
      </c>
      <c r="H3464" s="16">
        <v>0.0</v>
      </c>
      <c r="I3464" s="15">
        <f t="shared" si="3"/>
        <v>2.64</v>
      </c>
      <c r="J3464" s="15">
        <v>12.36</v>
      </c>
      <c r="K3464" s="16">
        <f>IF(COUNTIFS(Release_Calendar!$A$2:$A$755,"US_CPI",Release_Calendar!$B$2:$B$755,$A3464)&gt;0,1,0)</f>
        <v>0</v>
      </c>
      <c r="L3464" s="16">
        <f>IF(COUNTIFS(Release_Calendar!$A$2:$A$755,"US_NFP",Release_Calendar!$B$2:$B$755,$A3464)&gt;0,1,0)</f>
        <v>0</v>
      </c>
      <c r="M3464" s="16" t="str">
        <f>IF($A3464&lt;Notes!$B$5,"",IF(COUNTIFS(Release_Calendar!$A$2:$A$755,"NZ_CPI",Release_Calendar!$B$2:$B$755,$A3464)&gt;0,1,0))</f>
        <v/>
      </c>
      <c r="N3464" s="16" t="str">
        <f>IF($A3464&lt;Notes!$B$5,"",IF(COUNTIFS(Release_Calendar!$A$2:$A$755,"NZ_GDP",Release_Calendar!$B$2:$B$755,$A3464)&gt;0,1,0))</f>
        <v/>
      </c>
      <c r="O3464" s="16" t="str">
        <f>IF($A3464&lt;Notes!$B$5,"",IF(COUNTIFS(Release_Calendar!$A$2:$A$755,"NZ_LABOUR",Release_Calendar!$B$2:$B$755,$A3464)&gt;0,1,0))</f>
        <v/>
      </c>
      <c r="P3464" s="16">
        <f t="shared" si="4"/>
        <v>0</v>
      </c>
    </row>
    <row r="3465" ht="15.75" customHeight="1">
      <c r="A3465" s="14">
        <v>41375.0</v>
      </c>
      <c r="B3465" s="15">
        <v>0.24</v>
      </c>
      <c r="C3465" s="15">
        <v>2.89</v>
      </c>
      <c r="D3465" s="15">
        <v>2.5</v>
      </c>
      <c r="E3465" s="15">
        <v>2.46</v>
      </c>
      <c r="F3465" s="15">
        <f t="shared" si="1"/>
        <v>2.65</v>
      </c>
      <c r="G3465" s="15">
        <f t="shared" si="2"/>
        <v>2.89</v>
      </c>
      <c r="H3465" s="16">
        <v>0.0</v>
      </c>
      <c r="I3465" s="15">
        <f t="shared" si="3"/>
        <v>2.65</v>
      </c>
      <c r="J3465" s="15">
        <v>12.24</v>
      </c>
      <c r="K3465" s="16">
        <f>IF(COUNTIFS(Release_Calendar!$A$2:$A$755,"US_CPI",Release_Calendar!$B$2:$B$755,$A3465)&gt;0,1,0)</f>
        <v>0</v>
      </c>
      <c r="L3465" s="16">
        <f>IF(COUNTIFS(Release_Calendar!$A$2:$A$755,"US_NFP",Release_Calendar!$B$2:$B$755,$A3465)&gt;0,1,0)</f>
        <v>0</v>
      </c>
      <c r="M3465" s="16" t="str">
        <f>IF($A3465&lt;Notes!$B$5,"",IF(COUNTIFS(Release_Calendar!$A$2:$A$755,"NZ_CPI",Release_Calendar!$B$2:$B$755,$A3465)&gt;0,1,0))</f>
        <v/>
      </c>
      <c r="N3465" s="16" t="str">
        <f>IF($A3465&lt;Notes!$B$5,"",IF(COUNTIFS(Release_Calendar!$A$2:$A$755,"NZ_GDP",Release_Calendar!$B$2:$B$755,$A3465)&gt;0,1,0))</f>
        <v/>
      </c>
      <c r="O3465" s="16" t="str">
        <f>IF($A3465&lt;Notes!$B$5,"",IF(COUNTIFS(Release_Calendar!$A$2:$A$755,"NZ_LABOUR",Release_Calendar!$B$2:$B$755,$A3465)&gt;0,1,0))</f>
        <v/>
      </c>
      <c r="P3465" s="16">
        <f t="shared" si="4"/>
        <v>0</v>
      </c>
    </row>
    <row r="3466" ht="15.75" customHeight="1">
      <c r="A3466" s="14">
        <v>41376.0</v>
      </c>
      <c r="B3466" s="15">
        <v>0.22</v>
      </c>
      <c r="C3466" s="15">
        <v>2.88</v>
      </c>
      <c r="D3466" s="15">
        <v>2.45</v>
      </c>
      <c r="E3466" s="15">
        <v>2.47</v>
      </c>
      <c r="F3466" s="15">
        <f t="shared" si="1"/>
        <v>2.66</v>
      </c>
      <c r="G3466" s="15">
        <f t="shared" si="2"/>
        <v>2.88</v>
      </c>
      <c r="H3466" s="16">
        <v>0.0</v>
      </c>
      <c r="I3466" s="15">
        <f t="shared" si="3"/>
        <v>2.66</v>
      </c>
      <c r="J3466" s="15">
        <v>12.06</v>
      </c>
      <c r="K3466" s="16">
        <f>IF(COUNTIFS(Release_Calendar!$A$2:$A$755,"US_CPI",Release_Calendar!$B$2:$B$755,$A3466)&gt;0,1,0)</f>
        <v>0</v>
      </c>
      <c r="L3466" s="16">
        <f>IF(COUNTIFS(Release_Calendar!$A$2:$A$755,"US_NFP",Release_Calendar!$B$2:$B$755,$A3466)&gt;0,1,0)</f>
        <v>0</v>
      </c>
      <c r="M3466" s="16" t="str">
        <f>IF($A3466&lt;Notes!$B$5,"",IF(COUNTIFS(Release_Calendar!$A$2:$A$755,"NZ_CPI",Release_Calendar!$B$2:$B$755,$A3466)&gt;0,1,0))</f>
        <v/>
      </c>
      <c r="N3466" s="16" t="str">
        <f>IF($A3466&lt;Notes!$B$5,"",IF(COUNTIFS(Release_Calendar!$A$2:$A$755,"NZ_GDP",Release_Calendar!$B$2:$B$755,$A3466)&gt;0,1,0))</f>
        <v/>
      </c>
      <c r="O3466" s="16" t="str">
        <f>IF($A3466&lt;Notes!$B$5,"",IF(COUNTIFS(Release_Calendar!$A$2:$A$755,"NZ_LABOUR",Release_Calendar!$B$2:$B$755,$A3466)&gt;0,1,0))</f>
        <v/>
      </c>
      <c r="P3466" s="16">
        <f t="shared" si="4"/>
        <v>0</v>
      </c>
    </row>
    <row r="3467" ht="15.75" customHeight="1">
      <c r="A3467" s="14">
        <v>41379.0</v>
      </c>
      <c r="B3467" s="15">
        <v>0.22</v>
      </c>
      <c r="C3467" s="15">
        <v>2.85</v>
      </c>
      <c r="D3467" s="15">
        <v>2.46</v>
      </c>
      <c r="E3467" s="15">
        <v>2.45</v>
      </c>
      <c r="F3467" s="15">
        <f t="shared" si="1"/>
        <v>2.63</v>
      </c>
      <c r="G3467" s="15">
        <f t="shared" si="2"/>
        <v>2.85</v>
      </c>
      <c r="H3467" s="16">
        <v>0.0</v>
      </c>
      <c r="I3467" s="15">
        <f t="shared" si="3"/>
        <v>2.63</v>
      </c>
      <c r="J3467" s="15">
        <v>17.27</v>
      </c>
      <c r="K3467" s="16">
        <f>IF(COUNTIFS(Release_Calendar!$A$2:$A$755,"US_CPI",Release_Calendar!$B$2:$B$755,$A3467)&gt;0,1,0)</f>
        <v>0</v>
      </c>
      <c r="L3467" s="16">
        <f>IF(COUNTIFS(Release_Calendar!$A$2:$A$755,"US_NFP",Release_Calendar!$B$2:$B$755,$A3467)&gt;0,1,0)</f>
        <v>0</v>
      </c>
      <c r="M3467" s="16" t="str">
        <f>IF($A3467&lt;Notes!$B$5,"",IF(COUNTIFS(Release_Calendar!$A$2:$A$755,"NZ_CPI",Release_Calendar!$B$2:$B$755,$A3467)&gt;0,1,0))</f>
        <v/>
      </c>
      <c r="N3467" s="16" t="str">
        <f>IF($A3467&lt;Notes!$B$5,"",IF(COUNTIFS(Release_Calendar!$A$2:$A$755,"NZ_GDP",Release_Calendar!$B$2:$B$755,$A3467)&gt;0,1,0))</f>
        <v/>
      </c>
      <c r="O3467" s="16" t="str">
        <f>IF($A3467&lt;Notes!$B$5,"",IF(COUNTIFS(Release_Calendar!$A$2:$A$755,"NZ_LABOUR",Release_Calendar!$B$2:$B$755,$A3467)&gt;0,1,0))</f>
        <v/>
      </c>
      <c r="P3467" s="16">
        <f t="shared" si="4"/>
        <v>0</v>
      </c>
    </row>
    <row r="3468" ht="15.75" customHeight="1">
      <c r="A3468" s="14">
        <v>41380.0</v>
      </c>
      <c r="B3468" s="15">
        <v>0.24</v>
      </c>
      <c r="C3468" s="15">
        <v>2.86</v>
      </c>
      <c r="D3468" s="15">
        <v>2.41</v>
      </c>
      <c r="E3468" s="15">
        <v>2.46</v>
      </c>
      <c r="F3468" s="15">
        <f t="shared" si="1"/>
        <v>2.62</v>
      </c>
      <c r="G3468" s="15">
        <f t="shared" si="2"/>
        <v>2.86</v>
      </c>
      <c r="H3468" s="16">
        <v>0.0</v>
      </c>
      <c r="I3468" s="15">
        <f t="shared" si="3"/>
        <v>2.62</v>
      </c>
      <c r="J3468" s="15">
        <v>13.96</v>
      </c>
      <c r="K3468" s="16">
        <f>IF(COUNTIFS(Release_Calendar!$A$2:$A$755,"US_CPI",Release_Calendar!$B$2:$B$755,$A3468)&gt;0,1,0)</f>
        <v>1</v>
      </c>
      <c r="L3468" s="16">
        <f>IF(COUNTIFS(Release_Calendar!$A$2:$A$755,"US_NFP",Release_Calendar!$B$2:$B$755,$A3468)&gt;0,1,0)</f>
        <v>0</v>
      </c>
      <c r="M3468" s="16" t="str">
        <f>IF($A3468&lt;Notes!$B$5,"",IF(COUNTIFS(Release_Calendar!$A$2:$A$755,"NZ_CPI",Release_Calendar!$B$2:$B$755,$A3468)&gt;0,1,0))</f>
        <v/>
      </c>
      <c r="N3468" s="16" t="str">
        <f>IF($A3468&lt;Notes!$B$5,"",IF(COUNTIFS(Release_Calendar!$A$2:$A$755,"NZ_GDP",Release_Calendar!$B$2:$B$755,$A3468)&gt;0,1,0))</f>
        <v/>
      </c>
      <c r="O3468" s="16" t="str">
        <f>IF($A3468&lt;Notes!$B$5,"",IF(COUNTIFS(Release_Calendar!$A$2:$A$755,"NZ_LABOUR",Release_Calendar!$B$2:$B$755,$A3468)&gt;0,1,0))</f>
        <v/>
      </c>
      <c r="P3468" s="16">
        <f t="shared" si="4"/>
        <v>1</v>
      </c>
    </row>
    <row r="3469" ht="15.75" customHeight="1">
      <c r="A3469" s="14">
        <v>41381.0</v>
      </c>
      <c r="B3469" s="15">
        <v>0.24</v>
      </c>
      <c r="C3469" s="15">
        <v>2.87</v>
      </c>
      <c r="D3469" s="15">
        <v>2.48</v>
      </c>
      <c r="E3469" s="15">
        <v>2.47</v>
      </c>
      <c r="F3469" s="15">
        <f t="shared" si="1"/>
        <v>2.63</v>
      </c>
      <c r="G3469" s="15">
        <f t="shared" si="2"/>
        <v>2.87</v>
      </c>
      <c r="H3469" s="16">
        <v>0.0</v>
      </c>
      <c r="I3469" s="15">
        <f t="shared" si="3"/>
        <v>2.63</v>
      </c>
      <c r="J3469" s="15">
        <v>16.51</v>
      </c>
      <c r="K3469" s="16">
        <f>IF(COUNTIFS(Release_Calendar!$A$2:$A$755,"US_CPI",Release_Calendar!$B$2:$B$755,$A3469)&gt;0,1,0)</f>
        <v>0</v>
      </c>
      <c r="L3469" s="16">
        <f>IF(COUNTIFS(Release_Calendar!$A$2:$A$755,"US_NFP",Release_Calendar!$B$2:$B$755,$A3469)&gt;0,1,0)</f>
        <v>0</v>
      </c>
      <c r="M3469" s="16" t="str">
        <f>IF($A3469&lt;Notes!$B$5,"",IF(COUNTIFS(Release_Calendar!$A$2:$A$755,"NZ_CPI",Release_Calendar!$B$2:$B$755,$A3469)&gt;0,1,0))</f>
        <v/>
      </c>
      <c r="N3469" s="16" t="str">
        <f>IF($A3469&lt;Notes!$B$5,"",IF(COUNTIFS(Release_Calendar!$A$2:$A$755,"NZ_GDP",Release_Calendar!$B$2:$B$755,$A3469)&gt;0,1,0))</f>
        <v/>
      </c>
      <c r="O3469" s="16" t="str">
        <f>IF($A3469&lt;Notes!$B$5,"",IF(COUNTIFS(Release_Calendar!$A$2:$A$755,"NZ_LABOUR",Release_Calendar!$B$2:$B$755,$A3469)&gt;0,1,0))</f>
        <v/>
      </c>
      <c r="P3469" s="16">
        <f t="shared" si="4"/>
        <v>0</v>
      </c>
    </row>
    <row r="3470" ht="15.75" customHeight="1">
      <c r="A3470" s="14">
        <v>41382.0</v>
      </c>
      <c r="B3470" s="15">
        <v>0.24</v>
      </c>
      <c r="C3470" s="15">
        <v>2.85</v>
      </c>
      <c r="D3470" s="15">
        <v>2.45</v>
      </c>
      <c r="E3470" s="15">
        <v>2.45</v>
      </c>
      <c r="F3470" s="15">
        <f t="shared" si="1"/>
        <v>2.61</v>
      </c>
      <c r="G3470" s="15">
        <f t="shared" si="2"/>
        <v>2.85</v>
      </c>
      <c r="H3470" s="16">
        <v>0.0</v>
      </c>
      <c r="I3470" s="15">
        <f t="shared" si="3"/>
        <v>2.61</v>
      </c>
      <c r="J3470" s="15">
        <v>17.56</v>
      </c>
      <c r="K3470" s="16">
        <f>IF(COUNTIFS(Release_Calendar!$A$2:$A$755,"US_CPI",Release_Calendar!$B$2:$B$755,$A3470)&gt;0,1,0)</f>
        <v>0</v>
      </c>
      <c r="L3470" s="16">
        <f>IF(COUNTIFS(Release_Calendar!$A$2:$A$755,"US_NFP",Release_Calendar!$B$2:$B$755,$A3470)&gt;0,1,0)</f>
        <v>0</v>
      </c>
      <c r="M3470" s="16" t="str">
        <f>IF($A3470&lt;Notes!$B$5,"",IF(COUNTIFS(Release_Calendar!$A$2:$A$755,"NZ_CPI",Release_Calendar!$B$2:$B$755,$A3470)&gt;0,1,0))</f>
        <v/>
      </c>
      <c r="N3470" s="16" t="str">
        <f>IF($A3470&lt;Notes!$B$5,"",IF(COUNTIFS(Release_Calendar!$A$2:$A$755,"NZ_GDP",Release_Calendar!$B$2:$B$755,$A3470)&gt;0,1,0))</f>
        <v/>
      </c>
      <c r="O3470" s="16" t="str">
        <f>IF($A3470&lt;Notes!$B$5,"",IF(COUNTIFS(Release_Calendar!$A$2:$A$755,"NZ_LABOUR",Release_Calendar!$B$2:$B$755,$A3470)&gt;0,1,0))</f>
        <v/>
      </c>
      <c r="P3470" s="16">
        <f t="shared" si="4"/>
        <v>0</v>
      </c>
    </row>
    <row r="3471" ht="15.75" customHeight="1">
      <c r="A3471" s="14">
        <v>41383.0</v>
      </c>
      <c r="B3471" s="15">
        <v>0.24</v>
      </c>
      <c r="C3471" s="15">
        <v>2.86</v>
      </c>
      <c r="D3471" s="15">
        <v>2.44</v>
      </c>
      <c r="E3471" s="15">
        <v>2.45</v>
      </c>
      <c r="F3471" s="15">
        <f t="shared" si="1"/>
        <v>2.62</v>
      </c>
      <c r="G3471" s="15">
        <f t="shared" si="2"/>
        <v>2.86</v>
      </c>
      <c r="H3471" s="16">
        <v>0.0</v>
      </c>
      <c r="I3471" s="15">
        <f t="shared" si="3"/>
        <v>2.62</v>
      </c>
      <c r="J3471" s="15">
        <v>14.97</v>
      </c>
      <c r="K3471" s="16">
        <f>IF(COUNTIFS(Release_Calendar!$A$2:$A$755,"US_CPI",Release_Calendar!$B$2:$B$755,$A3471)&gt;0,1,0)</f>
        <v>0</v>
      </c>
      <c r="L3471" s="16">
        <f>IF(COUNTIFS(Release_Calendar!$A$2:$A$755,"US_NFP",Release_Calendar!$B$2:$B$755,$A3471)&gt;0,1,0)</f>
        <v>0</v>
      </c>
      <c r="M3471" s="16" t="str">
        <f>IF($A3471&lt;Notes!$B$5,"",IF(COUNTIFS(Release_Calendar!$A$2:$A$755,"NZ_CPI",Release_Calendar!$B$2:$B$755,$A3471)&gt;0,1,0))</f>
        <v/>
      </c>
      <c r="N3471" s="16" t="str">
        <f>IF($A3471&lt;Notes!$B$5,"",IF(COUNTIFS(Release_Calendar!$A$2:$A$755,"NZ_GDP",Release_Calendar!$B$2:$B$755,$A3471)&gt;0,1,0))</f>
        <v/>
      </c>
      <c r="O3471" s="16" t="str">
        <f>IF($A3471&lt;Notes!$B$5,"",IF(COUNTIFS(Release_Calendar!$A$2:$A$755,"NZ_LABOUR",Release_Calendar!$B$2:$B$755,$A3471)&gt;0,1,0))</f>
        <v/>
      </c>
      <c r="P3471" s="16">
        <f t="shared" si="4"/>
        <v>0</v>
      </c>
    </row>
    <row r="3472" ht="15.75" customHeight="1">
      <c r="A3472" s="14">
        <v>41386.0</v>
      </c>
      <c r="B3472" s="15">
        <v>0.24</v>
      </c>
      <c r="C3472" s="15">
        <v>2.88</v>
      </c>
      <c r="D3472" s="15">
        <v>2.45</v>
      </c>
      <c r="E3472" s="15">
        <v>2.48</v>
      </c>
      <c r="F3472" s="15">
        <f t="shared" si="1"/>
        <v>2.64</v>
      </c>
      <c r="G3472" s="15">
        <f t="shared" si="2"/>
        <v>2.88</v>
      </c>
      <c r="H3472" s="16">
        <v>0.0</v>
      </c>
      <c r="I3472" s="15">
        <f t="shared" si="3"/>
        <v>2.64</v>
      </c>
      <c r="J3472" s="15">
        <v>14.39</v>
      </c>
      <c r="K3472" s="16">
        <f>IF(COUNTIFS(Release_Calendar!$A$2:$A$755,"US_CPI",Release_Calendar!$B$2:$B$755,$A3472)&gt;0,1,0)</f>
        <v>0</v>
      </c>
      <c r="L3472" s="16">
        <f>IF(COUNTIFS(Release_Calendar!$A$2:$A$755,"US_NFP",Release_Calendar!$B$2:$B$755,$A3472)&gt;0,1,0)</f>
        <v>0</v>
      </c>
      <c r="M3472" s="16" t="str">
        <f>IF($A3472&lt;Notes!$B$5,"",IF(COUNTIFS(Release_Calendar!$A$2:$A$755,"NZ_CPI",Release_Calendar!$B$2:$B$755,$A3472)&gt;0,1,0))</f>
        <v/>
      </c>
      <c r="N3472" s="16" t="str">
        <f>IF($A3472&lt;Notes!$B$5,"",IF(COUNTIFS(Release_Calendar!$A$2:$A$755,"NZ_GDP",Release_Calendar!$B$2:$B$755,$A3472)&gt;0,1,0))</f>
        <v/>
      </c>
      <c r="O3472" s="16" t="str">
        <f>IF($A3472&lt;Notes!$B$5,"",IF(COUNTIFS(Release_Calendar!$A$2:$A$755,"NZ_LABOUR",Release_Calendar!$B$2:$B$755,$A3472)&gt;0,1,0))</f>
        <v/>
      </c>
      <c r="P3472" s="16">
        <f t="shared" si="4"/>
        <v>0</v>
      </c>
    </row>
    <row r="3473" ht="15.75" customHeight="1">
      <c r="A3473" s="14">
        <v>41387.0</v>
      </c>
      <c r="B3473" s="15">
        <v>0.23</v>
      </c>
      <c r="C3473" s="15">
        <v>2.84</v>
      </c>
      <c r="D3473" s="15">
        <v>2.45</v>
      </c>
      <c r="E3473" s="15">
        <v>2.46</v>
      </c>
      <c r="F3473" s="15">
        <f t="shared" si="1"/>
        <v>2.61</v>
      </c>
      <c r="G3473" s="15">
        <f t="shared" si="2"/>
        <v>2.84</v>
      </c>
      <c r="H3473" s="16">
        <v>0.0</v>
      </c>
      <c r="I3473" s="15">
        <f t="shared" si="3"/>
        <v>2.61</v>
      </c>
      <c r="J3473" s="15">
        <v>13.48</v>
      </c>
      <c r="K3473" s="16">
        <f>IF(COUNTIFS(Release_Calendar!$A$2:$A$755,"US_CPI",Release_Calendar!$B$2:$B$755,$A3473)&gt;0,1,0)</f>
        <v>0</v>
      </c>
      <c r="L3473" s="16">
        <f>IF(COUNTIFS(Release_Calendar!$A$2:$A$755,"US_NFP",Release_Calendar!$B$2:$B$755,$A3473)&gt;0,1,0)</f>
        <v>0</v>
      </c>
      <c r="M3473" s="16" t="str">
        <f>IF($A3473&lt;Notes!$B$5,"",IF(COUNTIFS(Release_Calendar!$A$2:$A$755,"NZ_CPI",Release_Calendar!$B$2:$B$755,$A3473)&gt;0,1,0))</f>
        <v/>
      </c>
      <c r="N3473" s="16" t="str">
        <f>IF($A3473&lt;Notes!$B$5,"",IF(COUNTIFS(Release_Calendar!$A$2:$A$755,"NZ_GDP",Release_Calendar!$B$2:$B$755,$A3473)&gt;0,1,0))</f>
        <v/>
      </c>
      <c r="O3473" s="16" t="str">
        <f>IF($A3473&lt;Notes!$B$5,"",IF(COUNTIFS(Release_Calendar!$A$2:$A$755,"NZ_LABOUR",Release_Calendar!$B$2:$B$755,$A3473)&gt;0,1,0))</f>
        <v/>
      </c>
      <c r="P3473" s="16">
        <f t="shared" si="4"/>
        <v>0</v>
      </c>
    </row>
    <row r="3474" ht="15.75" customHeight="1">
      <c r="A3474" s="14">
        <v>41388.0</v>
      </c>
      <c r="B3474" s="15">
        <v>0.23</v>
      </c>
      <c r="C3474" s="15">
        <v>2.84</v>
      </c>
      <c r="D3474" s="15">
        <v>2.48</v>
      </c>
      <c r="E3474" s="15">
        <v>2.47</v>
      </c>
      <c r="F3474" s="15">
        <f t="shared" si="1"/>
        <v>2.61</v>
      </c>
      <c r="G3474" s="15">
        <f t="shared" si="2"/>
        <v>2.84</v>
      </c>
      <c r="H3474" s="16">
        <v>0.0</v>
      </c>
      <c r="I3474" s="15">
        <f t="shared" si="3"/>
        <v>2.61</v>
      </c>
      <c r="J3474" s="15">
        <v>13.61</v>
      </c>
      <c r="K3474" s="16">
        <f>IF(COUNTIFS(Release_Calendar!$A$2:$A$755,"US_CPI",Release_Calendar!$B$2:$B$755,$A3474)&gt;0,1,0)</f>
        <v>0</v>
      </c>
      <c r="L3474" s="16">
        <f>IF(COUNTIFS(Release_Calendar!$A$2:$A$755,"US_NFP",Release_Calendar!$B$2:$B$755,$A3474)&gt;0,1,0)</f>
        <v>0</v>
      </c>
      <c r="M3474" s="16" t="str">
        <f>IF($A3474&lt;Notes!$B$5,"",IF(COUNTIFS(Release_Calendar!$A$2:$A$755,"NZ_CPI",Release_Calendar!$B$2:$B$755,$A3474)&gt;0,1,0))</f>
        <v/>
      </c>
      <c r="N3474" s="16" t="str">
        <f>IF($A3474&lt;Notes!$B$5,"",IF(COUNTIFS(Release_Calendar!$A$2:$A$755,"NZ_GDP",Release_Calendar!$B$2:$B$755,$A3474)&gt;0,1,0))</f>
        <v/>
      </c>
      <c r="O3474" s="16" t="str">
        <f>IF($A3474&lt;Notes!$B$5,"",IF(COUNTIFS(Release_Calendar!$A$2:$A$755,"NZ_LABOUR",Release_Calendar!$B$2:$B$755,$A3474)&gt;0,1,0))</f>
        <v/>
      </c>
      <c r="P3474" s="16">
        <f t="shared" si="4"/>
        <v>0</v>
      </c>
    </row>
    <row r="3475" ht="15.75" customHeight="1">
      <c r="A3475" s="14">
        <v>41389.0</v>
      </c>
      <c r="B3475" s="15">
        <v>0.23</v>
      </c>
      <c r="C3475" s="15"/>
      <c r="D3475" s="15"/>
      <c r="E3475" s="15"/>
      <c r="F3475" s="15" t="str">
        <f t="shared" si="1"/>
        <v/>
      </c>
      <c r="G3475" s="15" t="str">
        <f t="shared" si="2"/>
        <v/>
      </c>
      <c r="H3475" s="16">
        <v>0.0</v>
      </c>
      <c r="I3475" s="15" t="str">
        <f t="shared" si="3"/>
        <v/>
      </c>
      <c r="J3475" s="15">
        <v>13.62</v>
      </c>
      <c r="K3475" s="16">
        <f>IF(COUNTIFS(Release_Calendar!$A$2:$A$755,"US_CPI",Release_Calendar!$B$2:$B$755,$A3475)&gt;0,1,0)</f>
        <v>0</v>
      </c>
      <c r="L3475" s="16">
        <f>IF(COUNTIFS(Release_Calendar!$A$2:$A$755,"US_NFP",Release_Calendar!$B$2:$B$755,$A3475)&gt;0,1,0)</f>
        <v>0</v>
      </c>
      <c r="M3475" s="16" t="str">
        <f>IF($A3475&lt;Notes!$B$5,"",IF(COUNTIFS(Release_Calendar!$A$2:$A$755,"NZ_CPI",Release_Calendar!$B$2:$B$755,$A3475)&gt;0,1,0))</f>
        <v/>
      </c>
      <c r="N3475" s="16" t="str">
        <f>IF($A3475&lt;Notes!$B$5,"",IF(COUNTIFS(Release_Calendar!$A$2:$A$755,"NZ_GDP",Release_Calendar!$B$2:$B$755,$A3475)&gt;0,1,0))</f>
        <v/>
      </c>
      <c r="O3475" s="16" t="str">
        <f>IF($A3475&lt;Notes!$B$5,"",IF(COUNTIFS(Release_Calendar!$A$2:$A$755,"NZ_LABOUR",Release_Calendar!$B$2:$B$755,$A3475)&gt;0,1,0))</f>
        <v/>
      </c>
      <c r="P3475" s="16">
        <f t="shared" si="4"/>
        <v>0</v>
      </c>
    </row>
    <row r="3476" ht="15.75" customHeight="1">
      <c r="A3476" s="14">
        <v>41390.0</v>
      </c>
      <c r="B3476" s="15">
        <v>0.22</v>
      </c>
      <c r="C3476" s="15">
        <v>2.85</v>
      </c>
      <c r="D3476" s="15">
        <v>2.49</v>
      </c>
      <c r="E3476" s="15">
        <v>2.5</v>
      </c>
      <c r="F3476" s="15">
        <f t="shared" si="1"/>
        <v>2.63</v>
      </c>
      <c r="G3476" s="15">
        <f t="shared" si="2"/>
        <v>2.85</v>
      </c>
      <c r="H3476" s="16">
        <v>0.0</v>
      </c>
      <c r="I3476" s="15">
        <f t="shared" si="3"/>
        <v>2.63</v>
      </c>
      <c r="J3476" s="15">
        <v>13.61</v>
      </c>
      <c r="K3476" s="16">
        <f>IF(COUNTIFS(Release_Calendar!$A$2:$A$755,"US_CPI",Release_Calendar!$B$2:$B$755,$A3476)&gt;0,1,0)</f>
        <v>0</v>
      </c>
      <c r="L3476" s="16">
        <f>IF(COUNTIFS(Release_Calendar!$A$2:$A$755,"US_NFP",Release_Calendar!$B$2:$B$755,$A3476)&gt;0,1,0)</f>
        <v>0</v>
      </c>
      <c r="M3476" s="16" t="str">
        <f>IF($A3476&lt;Notes!$B$5,"",IF(COUNTIFS(Release_Calendar!$A$2:$A$755,"NZ_CPI",Release_Calendar!$B$2:$B$755,$A3476)&gt;0,1,0))</f>
        <v/>
      </c>
      <c r="N3476" s="16" t="str">
        <f>IF($A3476&lt;Notes!$B$5,"",IF(COUNTIFS(Release_Calendar!$A$2:$A$755,"NZ_GDP",Release_Calendar!$B$2:$B$755,$A3476)&gt;0,1,0))</f>
        <v/>
      </c>
      <c r="O3476" s="16" t="str">
        <f>IF($A3476&lt;Notes!$B$5,"",IF(COUNTIFS(Release_Calendar!$A$2:$A$755,"NZ_LABOUR",Release_Calendar!$B$2:$B$755,$A3476)&gt;0,1,0))</f>
        <v/>
      </c>
      <c r="P3476" s="16">
        <f t="shared" si="4"/>
        <v>0</v>
      </c>
    </row>
    <row r="3477" ht="15.75" customHeight="1">
      <c r="A3477" s="14">
        <v>41393.0</v>
      </c>
      <c r="B3477" s="15">
        <v>0.2</v>
      </c>
      <c r="C3477" s="15">
        <v>2.83</v>
      </c>
      <c r="D3477" s="15">
        <v>2.48</v>
      </c>
      <c r="E3477" s="15">
        <v>2.47</v>
      </c>
      <c r="F3477" s="15">
        <f t="shared" si="1"/>
        <v>2.63</v>
      </c>
      <c r="G3477" s="15">
        <f t="shared" si="2"/>
        <v>2.83</v>
      </c>
      <c r="H3477" s="16">
        <v>0.0</v>
      </c>
      <c r="I3477" s="15">
        <f t="shared" si="3"/>
        <v>2.63</v>
      </c>
      <c r="J3477" s="15">
        <v>13.71</v>
      </c>
      <c r="K3477" s="16">
        <f>IF(COUNTIFS(Release_Calendar!$A$2:$A$755,"US_CPI",Release_Calendar!$B$2:$B$755,$A3477)&gt;0,1,0)</f>
        <v>0</v>
      </c>
      <c r="L3477" s="16">
        <f>IF(COUNTIFS(Release_Calendar!$A$2:$A$755,"US_NFP",Release_Calendar!$B$2:$B$755,$A3477)&gt;0,1,0)</f>
        <v>0</v>
      </c>
      <c r="M3477" s="16" t="str">
        <f>IF($A3477&lt;Notes!$B$5,"",IF(COUNTIFS(Release_Calendar!$A$2:$A$755,"NZ_CPI",Release_Calendar!$B$2:$B$755,$A3477)&gt;0,1,0))</f>
        <v/>
      </c>
      <c r="N3477" s="16" t="str">
        <f>IF($A3477&lt;Notes!$B$5,"",IF(COUNTIFS(Release_Calendar!$A$2:$A$755,"NZ_GDP",Release_Calendar!$B$2:$B$755,$A3477)&gt;0,1,0))</f>
        <v/>
      </c>
      <c r="O3477" s="16" t="str">
        <f>IF($A3477&lt;Notes!$B$5,"",IF(COUNTIFS(Release_Calendar!$A$2:$A$755,"NZ_LABOUR",Release_Calendar!$B$2:$B$755,$A3477)&gt;0,1,0))</f>
        <v/>
      </c>
      <c r="P3477" s="16">
        <f t="shared" si="4"/>
        <v>0</v>
      </c>
    </row>
    <row r="3478" ht="15.75" customHeight="1">
      <c r="A3478" s="14">
        <v>41394.0</v>
      </c>
      <c r="B3478" s="15">
        <v>0.22</v>
      </c>
      <c r="C3478" s="15">
        <v>2.82</v>
      </c>
      <c r="D3478" s="15">
        <v>2.49</v>
      </c>
      <c r="E3478" s="15">
        <v>2.46</v>
      </c>
      <c r="F3478" s="15">
        <f t="shared" si="1"/>
        <v>2.6</v>
      </c>
      <c r="G3478" s="15">
        <f t="shared" si="2"/>
        <v>2.82</v>
      </c>
      <c r="H3478" s="16">
        <v>0.0</v>
      </c>
      <c r="I3478" s="15">
        <f t="shared" si="3"/>
        <v>2.6</v>
      </c>
      <c r="J3478" s="15">
        <v>13.52</v>
      </c>
      <c r="K3478" s="16">
        <f>IF(COUNTIFS(Release_Calendar!$A$2:$A$755,"US_CPI",Release_Calendar!$B$2:$B$755,$A3478)&gt;0,1,0)</f>
        <v>0</v>
      </c>
      <c r="L3478" s="16">
        <f>IF(COUNTIFS(Release_Calendar!$A$2:$A$755,"US_NFP",Release_Calendar!$B$2:$B$755,$A3478)&gt;0,1,0)</f>
        <v>0</v>
      </c>
      <c r="M3478" s="16" t="str">
        <f>IF($A3478&lt;Notes!$B$5,"",IF(COUNTIFS(Release_Calendar!$A$2:$A$755,"NZ_CPI",Release_Calendar!$B$2:$B$755,$A3478)&gt;0,1,0))</f>
        <v/>
      </c>
      <c r="N3478" s="16" t="str">
        <f>IF($A3478&lt;Notes!$B$5,"",IF(COUNTIFS(Release_Calendar!$A$2:$A$755,"NZ_GDP",Release_Calendar!$B$2:$B$755,$A3478)&gt;0,1,0))</f>
        <v/>
      </c>
      <c r="O3478" s="16" t="str">
        <f>IF($A3478&lt;Notes!$B$5,"",IF(COUNTIFS(Release_Calendar!$A$2:$A$755,"NZ_LABOUR",Release_Calendar!$B$2:$B$755,$A3478)&gt;0,1,0))</f>
        <v/>
      </c>
      <c r="P3478" s="16">
        <f t="shared" si="4"/>
        <v>0</v>
      </c>
    </row>
    <row r="3479" ht="15.75" customHeight="1">
      <c r="A3479" s="14">
        <v>41395.0</v>
      </c>
      <c r="B3479" s="15">
        <v>0.2</v>
      </c>
      <c r="C3479" s="15">
        <v>2.84</v>
      </c>
      <c r="D3479" s="15">
        <v>2.46</v>
      </c>
      <c r="E3479" s="15">
        <v>2.47</v>
      </c>
      <c r="F3479" s="15">
        <f t="shared" si="1"/>
        <v>2.64</v>
      </c>
      <c r="G3479" s="15">
        <f t="shared" si="2"/>
        <v>2.84</v>
      </c>
      <c r="H3479" s="16">
        <v>0.0</v>
      </c>
      <c r="I3479" s="15">
        <f t="shared" si="3"/>
        <v>2.64</v>
      </c>
      <c r="J3479" s="15">
        <v>14.49</v>
      </c>
      <c r="K3479" s="16">
        <f>IF(COUNTIFS(Release_Calendar!$A$2:$A$755,"US_CPI",Release_Calendar!$B$2:$B$755,$A3479)&gt;0,1,0)</f>
        <v>0</v>
      </c>
      <c r="L3479" s="16">
        <f>IF(COUNTIFS(Release_Calendar!$A$2:$A$755,"US_NFP",Release_Calendar!$B$2:$B$755,$A3479)&gt;0,1,0)</f>
        <v>0</v>
      </c>
      <c r="M3479" s="16" t="str">
        <f>IF($A3479&lt;Notes!$B$5,"",IF(COUNTIFS(Release_Calendar!$A$2:$A$755,"NZ_CPI",Release_Calendar!$B$2:$B$755,$A3479)&gt;0,1,0))</f>
        <v/>
      </c>
      <c r="N3479" s="16" t="str">
        <f>IF($A3479&lt;Notes!$B$5,"",IF(COUNTIFS(Release_Calendar!$A$2:$A$755,"NZ_GDP",Release_Calendar!$B$2:$B$755,$A3479)&gt;0,1,0))</f>
        <v/>
      </c>
      <c r="O3479" s="16" t="str">
        <f>IF($A3479&lt;Notes!$B$5,"",IF(COUNTIFS(Release_Calendar!$A$2:$A$755,"NZ_LABOUR",Release_Calendar!$B$2:$B$755,$A3479)&gt;0,1,0))</f>
        <v/>
      </c>
      <c r="P3479" s="16">
        <f t="shared" si="4"/>
        <v>0</v>
      </c>
    </row>
    <row r="3480" ht="15.75" customHeight="1">
      <c r="A3480" s="14">
        <v>41396.0</v>
      </c>
      <c r="B3480" s="15">
        <v>0.2</v>
      </c>
      <c r="C3480" s="15">
        <v>2.81</v>
      </c>
      <c r="D3480" s="15">
        <v>2.44</v>
      </c>
      <c r="E3480" s="15">
        <v>2.45</v>
      </c>
      <c r="F3480" s="15">
        <f t="shared" si="1"/>
        <v>2.61</v>
      </c>
      <c r="G3480" s="15">
        <f t="shared" si="2"/>
        <v>2.81</v>
      </c>
      <c r="H3480" s="16">
        <v>0.0</v>
      </c>
      <c r="I3480" s="15">
        <f t="shared" si="3"/>
        <v>2.61</v>
      </c>
      <c r="J3480" s="15">
        <v>13.59</v>
      </c>
      <c r="K3480" s="16">
        <f>IF(COUNTIFS(Release_Calendar!$A$2:$A$755,"US_CPI",Release_Calendar!$B$2:$B$755,$A3480)&gt;0,1,0)</f>
        <v>0</v>
      </c>
      <c r="L3480" s="16">
        <f>IF(COUNTIFS(Release_Calendar!$A$2:$A$755,"US_NFP",Release_Calendar!$B$2:$B$755,$A3480)&gt;0,1,0)</f>
        <v>0</v>
      </c>
      <c r="M3480" s="16" t="str">
        <f>IF($A3480&lt;Notes!$B$5,"",IF(COUNTIFS(Release_Calendar!$A$2:$A$755,"NZ_CPI",Release_Calendar!$B$2:$B$755,$A3480)&gt;0,1,0))</f>
        <v/>
      </c>
      <c r="N3480" s="16" t="str">
        <f>IF($A3480&lt;Notes!$B$5,"",IF(COUNTIFS(Release_Calendar!$A$2:$A$755,"NZ_GDP",Release_Calendar!$B$2:$B$755,$A3480)&gt;0,1,0))</f>
        <v/>
      </c>
      <c r="O3480" s="16" t="str">
        <f>IF($A3480&lt;Notes!$B$5,"",IF(COUNTIFS(Release_Calendar!$A$2:$A$755,"NZ_LABOUR",Release_Calendar!$B$2:$B$755,$A3480)&gt;0,1,0))</f>
        <v/>
      </c>
      <c r="P3480" s="16">
        <f t="shared" si="4"/>
        <v>0</v>
      </c>
    </row>
    <row r="3481" ht="15.75" customHeight="1">
      <c r="A3481" s="14">
        <v>41397.0</v>
      </c>
      <c r="B3481" s="15">
        <v>0.22</v>
      </c>
      <c r="C3481" s="15">
        <v>2.8</v>
      </c>
      <c r="D3481" s="15">
        <v>2.44</v>
      </c>
      <c r="E3481" s="15">
        <v>2.45</v>
      </c>
      <c r="F3481" s="15">
        <f t="shared" si="1"/>
        <v>2.58</v>
      </c>
      <c r="G3481" s="15">
        <f t="shared" si="2"/>
        <v>2.8</v>
      </c>
      <c r="H3481" s="16">
        <v>0.0</v>
      </c>
      <c r="I3481" s="15">
        <f t="shared" si="3"/>
        <v>2.58</v>
      </c>
      <c r="J3481" s="15">
        <v>12.85</v>
      </c>
      <c r="K3481" s="16">
        <f>IF(COUNTIFS(Release_Calendar!$A$2:$A$755,"US_CPI",Release_Calendar!$B$2:$B$755,$A3481)&gt;0,1,0)</f>
        <v>0</v>
      </c>
      <c r="L3481" s="16">
        <f>IF(COUNTIFS(Release_Calendar!$A$2:$A$755,"US_NFP",Release_Calendar!$B$2:$B$755,$A3481)&gt;0,1,0)</f>
        <v>1</v>
      </c>
      <c r="M3481" s="16" t="str">
        <f>IF($A3481&lt;Notes!$B$5,"",IF(COUNTIFS(Release_Calendar!$A$2:$A$755,"NZ_CPI",Release_Calendar!$B$2:$B$755,$A3481)&gt;0,1,0))</f>
        <v/>
      </c>
      <c r="N3481" s="16" t="str">
        <f>IF($A3481&lt;Notes!$B$5,"",IF(COUNTIFS(Release_Calendar!$A$2:$A$755,"NZ_GDP",Release_Calendar!$B$2:$B$755,$A3481)&gt;0,1,0))</f>
        <v/>
      </c>
      <c r="O3481" s="16" t="str">
        <f>IF($A3481&lt;Notes!$B$5,"",IF(COUNTIFS(Release_Calendar!$A$2:$A$755,"NZ_LABOUR",Release_Calendar!$B$2:$B$755,$A3481)&gt;0,1,0))</f>
        <v/>
      </c>
      <c r="P3481" s="16">
        <f t="shared" si="4"/>
        <v>1</v>
      </c>
    </row>
    <row r="3482" ht="15.75" customHeight="1">
      <c r="A3482" s="14">
        <v>41400.0</v>
      </c>
      <c r="B3482" s="15">
        <v>0.22</v>
      </c>
      <c r="C3482" s="15">
        <v>2.83</v>
      </c>
      <c r="D3482" s="15">
        <v>2.46</v>
      </c>
      <c r="E3482" s="15">
        <v>2.46</v>
      </c>
      <c r="F3482" s="15">
        <f t="shared" si="1"/>
        <v>2.61</v>
      </c>
      <c r="G3482" s="15">
        <f t="shared" si="2"/>
        <v>2.83</v>
      </c>
      <c r="H3482" s="16">
        <v>0.0</v>
      </c>
      <c r="I3482" s="15">
        <f t="shared" si="3"/>
        <v>2.61</v>
      </c>
      <c r="J3482" s="15">
        <v>12.66</v>
      </c>
      <c r="K3482" s="16">
        <f>IF(COUNTIFS(Release_Calendar!$A$2:$A$755,"US_CPI",Release_Calendar!$B$2:$B$755,$A3482)&gt;0,1,0)</f>
        <v>0</v>
      </c>
      <c r="L3482" s="16">
        <f>IF(COUNTIFS(Release_Calendar!$A$2:$A$755,"US_NFP",Release_Calendar!$B$2:$B$755,$A3482)&gt;0,1,0)</f>
        <v>0</v>
      </c>
      <c r="M3482" s="16" t="str">
        <f>IF($A3482&lt;Notes!$B$5,"",IF(COUNTIFS(Release_Calendar!$A$2:$A$755,"NZ_CPI",Release_Calendar!$B$2:$B$755,$A3482)&gt;0,1,0))</f>
        <v/>
      </c>
      <c r="N3482" s="16" t="str">
        <f>IF($A3482&lt;Notes!$B$5,"",IF(COUNTIFS(Release_Calendar!$A$2:$A$755,"NZ_GDP",Release_Calendar!$B$2:$B$755,$A3482)&gt;0,1,0))</f>
        <v/>
      </c>
      <c r="O3482" s="16" t="str">
        <f>IF($A3482&lt;Notes!$B$5,"",IF(COUNTIFS(Release_Calendar!$A$2:$A$755,"NZ_LABOUR",Release_Calendar!$B$2:$B$755,$A3482)&gt;0,1,0))</f>
        <v/>
      </c>
      <c r="P3482" s="16">
        <f t="shared" si="4"/>
        <v>0</v>
      </c>
    </row>
    <row r="3483" ht="15.75" customHeight="1">
      <c r="A3483" s="14">
        <v>41401.0</v>
      </c>
      <c r="B3483" s="15">
        <v>0.22</v>
      </c>
      <c r="C3483" s="15">
        <v>2.82</v>
      </c>
      <c r="D3483" s="15">
        <v>2.46</v>
      </c>
      <c r="E3483" s="15">
        <v>2.46</v>
      </c>
      <c r="F3483" s="15">
        <f t="shared" si="1"/>
        <v>2.6</v>
      </c>
      <c r="G3483" s="15">
        <f t="shared" si="2"/>
        <v>2.82</v>
      </c>
      <c r="H3483" s="16">
        <v>0.0</v>
      </c>
      <c r="I3483" s="15">
        <f t="shared" si="3"/>
        <v>2.6</v>
      </c>
      <c r="J3483" s="15">
        <v>12.83</v>
      </c>
      <c r="K3483" s="16">
        <f>IF(COUNTIFS(Release_Calendar!$A$2:$A$755,"US_CPI",Release_Calendar!$B$2:$B$755,$A3483)&gt;0,1,0)</f>
        <v>0</v>
      </c>
      <c r="L3483" s="16">
        <f>IF(COUNTIFS(Release_Calendar!$A$2:$A$755,"US_NFP",Release_Calendar!$B$2:$B$755,$A3483)&gt;0,1,0)</f>
        <v>0</v>
      </c>
      <c r="M3483" s="16" t="str">
        <f>IF($A3483&lt;Notes!$B$5,"",IF(COUNTIFS(Release_Calendar!$A$2:$A$755,"NZ_CPI",Release_Calendar!$B$2:$B$755,$A3483)&gt;0,1,0))</f>
        <v/>
      </c>
      <c r="N3483" s="16" t="str">
        <f>IF($A3483&lt;Notes!$B$5,"",IF(COUNTIFS(Release_Calendar!$A$2:$A$755,"NZ_GDP",Release_Calendar!$B$2:$B$755,$A3483)&gt;0,1,0))</f>
        <v/>
      </c>
      <c r="O3483" s="16" t="str">
        <f>IF($A3483&lt;Notes!$B$5,"",IF(COUNTIFS(Release_Calendar!$A$2:$A$755,"NZ_LABOUR",Release_Calendar!$B$2:$B$755,$A3483)&gt;0,1,0))</f>
        <v/>
      </c>
      <c r="P3483" s="16">
        <f t="shared" si="4"/>
        <v>0</v>
      </c>
    </row>
    <row r="3484" ht="15.75" customHeight="1">
      <c r="A3484" s="14">
        <v>41402.0</v>
      </c>
      <c r="B3484" s="15">
        <v>0.22</v>
      </c>
      <c r="C3484" s="15">
        <v>2.79</v>
      </c>
      <c r="D3484" s="15">
        <v>2.45</v>
      </c>
      <c r="E3484" s="15">
        <v>2.45</v>
      </c>
      <c r="F3484" s="15">
        <f t="shared" si="1"/>
        <v>2.57</v>
      </c>
      <c r="G3484" s="15">
        <f t="shared" si="2"/>
        <v>2.79</v>
      </c>
      <c r="H3484" s="16">
        <v>0.0</v>
      </c>
      <c r="I3484" s="15">
        <f t="shared" si="3"/>
        <v>2.57</v>
      </c>
      <c r="J3484" s="15">
        <v>12.66</v>
      </c>
      <c r="K3484" s="16">
        <f>IF(COUNTIFS(Release_Calendar!$A$2:$A$755,"US_CPI",Release_Calendar!$B$2:$B$755,$A3484)&gt;0,1,0)</f>
        <v>0</v>
      </c>
      <c r="L3484" s="16">
        <f>IF(COUNTIFS(Release_Calendar!$A$2:$A$755,"US_NFP",Release_Calendar!$B$2:$B$755,$A3484)&gt;0,1,0)</f>
        <v>0</v>
      </c>
      <c r="M3484" s="16" t="str">
        <f>IF($A3484&lt;Notes!$B$5,"",IF(COUNTIFS(Release_Calendar!$A$2:$A$755,"NZ_CPI",Release_Calendar!$B$2:$B$755,$A3484)&gt;0,1,0))</f>
        <v/>
      </c>
      <c r="N3484" s="16" t="str">
        <f>IF($A3484&lt;Notes!$B$5,"",IF(COUNTIFS(Release_Calendar!$A$2:$A$755,"NZ_GDP",Release_Calendar!$B$2:$B$755,$A3484)&gt;0,1,0))</f>
        <v/>
      </c>
      <c r="O3484" s="16" t="str">
        <f>IF($A3484&lt;Notes!$B$5,"",IF(COUNTIFS(Release_Calendar!$A$2:$A$755,"NZ_LABOUR",Release_Calendar!$B$2:$B$755,$A3484)&gt;0,1,0))</f>
        <v/>
      </c>
      <c r="P3484" s="16">
        <f t="shared" si="4"/>
        <v>0</v>
      </c>
    </row>
    <row r="3485" ht="15.75" customHeight="1">
      <c r="A3485" s="14">
        <v>41403.0</v>
      </c>
      <c r="B3485" s="15">
        <v>0.22</v>
      </c>
      <c r="C3485" s="15">
        <v>2.84</v>
      </c>
      <c r="D3485" s="15">
        <v>2.49</v>
      </c>
      <c r="E3485" s="15">
        <v>2.47</v>
      </c>
      <c r="F3485" s="15">
        <f t="shared" si="1"/>
        <v>2.62</v>
      </c>
      <c r="G3485" s="15">
        <f t="shared" si="2"/>
        <v>2.84</v>
      </c>
      <c r="H3485" s="16">
        <v>0.0</v>
      </c>
      <c r="I3485" s="15">
        <f t="shared" si="3"/>
        <v>2.62</v>
      </c>
      <c r="J3485" s="15">
        <v>13.13</v>
      </c>
      <c r="K3485" s="16">
        <f>IF(COUNTIFS(Release_Calendar!$A$2:$A$755,"US_CPI",Release_Calendar!$B$2:$B$755,$A3485)&gt;0,1,0)</f>
        <v>0</v>
      </c>
      <c r="L3485" s="16">
        <f>IF(COUNTIFS(Release_Calendar!$A$2:$A$755,"US_NFP",Release_Calendar!$B$2:$B$755,$A3485)&gt;0,1,0)</f>
        <v>0</v>
      </c>
      <c r="M3485" s="16" t="str">
        <f>IF($A3485&lt;Notes!$B$5,"",IF(COUNTIFS(Release_Calendar!$A$2:$A$755,"NZ_CPI",Release_Calendar!$B$2:$B$755,$A3485)&gt;0,1,0))</f>
        <v/>
      </c>
      <c r="N3485" s="16" t="str">
        <f>IF($A3485&lt;Notes!$B$5,"",IF(COUNTIFS(Release_Calendar!$A$2:$A$755,"NZ_GDP",Release_Calendar!$B$2:$B$755,$A3485)&gt;0,1,0))</f>
        <v/>
      </c>
      <c r="O3485" s="16" t="str">
        <f>IF($A3485&lt;Notes!$B$5,"",IF(COUNTIFS(Release_Calendar!$A$2:$A$755,"NZ_LABOUR",Release_Calendar!$B$2:$B$755,$A3485)&gt;0,1,0))</f>
        <v/>
      </c>
      <c r="P3485" s="16">
        <f t="shared" si="4"/>
        <v>0</v>
      </c>
    </row>
    <row r="3486" ht="15.75" customHeight="1">
      <c r="A3486" s="14">
        <v>41404.0</v>
      </c>
      <c r="B3486" s="15">
        <v>0.26</v>
      </c>
      <c r="C3486" s="15">
        <v>2.85</v>
      </c>
      <c r="D3486" s="15">
        <v>2.46</v>
      </c>
      <c r="E3486" s="15">
        <v>2.48</v>
      </c>
      <c r="F3486" s="15">
        <f t="shared" si="1"/>
        <v>2.59</v>
      </c>
      <c r="G3486" s="15">
        <f t="shared" si="2"/>
        <v>2.85</v>
      </c>
      <c r="H3486" s="16">
        <v>0.0</v>
      </c>
      <c r="I3486" s="15">
        <f t="shared" si="3"/>
        <v>2.59</v>
      </c>
      <c r="J3486" s="15">
        <v>12.59</v>
      </c>
      <c r="K3486" s="16">
        <f>IF(COUNTIFS(Release_Calendar!$A$2:$A$755,"US_CPI",Release_Calendar!$B$2:$B$755,$A3486)&gt;0,1,0)</f>
        <v>0</v>
      </c>
      <c r="L3486" s="16">
        <f>IF(COUNTIFS(Release_Calendar!$A$2:$A$755,"US_NFP",Release_Calendar!$B$2:$B$755,$A3486)&gt;0,1,0)</f>
        <v>0</v>
      </c>
      <c r="M3486" s="16" t="str">
        <f>IF($A3486&lt;Notes!$B$5,"",IF(COUNTIFS(Release_Calendar!$A$2:$A$755,"NZ_CPI",Release_Calendar!$B$2:$B$755,$A3486)&gt;0,1,0))</f>
        <v/>
      </c>
      <c r="N3486" s="16" t="str">
        <f>IF($A3486&lt;Notes!$B$5,"",IF(COUNTIFS(Release_Calendar!$A$2:$A$755,"NZ_GDP",Release_Calendar!$B$2:$B$755,$A3486)&gt;0,1,0))</f>
        <v/>
      </c>
      <c r="O3486" s="16" t="str">
        <f>IF($A3486&lt;Notes!$B$5,"",IF(COUNTIFS(Release_Calendar!$A$2:$A$755,"NZ_LABOUR",Release_Calendar!$B$2:$B$755,$A3486)&gt;0,1,0))</f>
        <v/>
      </c>
      <c r="P3486" s="16">
        <f t="shared" si="4"/>
        <v>0</v>
      </c>
    </row>
    <row r="3487" ht="15.75" customHeight="1">
      <c r="A3487" s="14">
        <v>41407.0</v>
      </c>
      <c r="B3487" s="15">
        <v>0.24</v>
      </c>
      <c r="C3487" s="15">
        <v>2.87</v>
      </c>
      <c r="D3487" s="15">
        <v>2.5</v>
      </c>
      <c r="E3487" s="15">
        <v>2.49</v>
      </c>
      <c r="F3487" s="15">
        <f t="shared" si="1"/>
        <v>2.63</v>
      </c>
      <c r="G3487" s="15">
        <f t="shared" si="2"/>
        <v>2.87</v>
      </c>
      <c r="H3487" s="16">
        <v>0.0</v>
      </c>
      <c r="I3487" s="15">
        <f t="shared" si="3"/>
        <v>2.63</v>
      </c>
      <c r="J3487" s="15">
        <v>12.55</v>
      </c>
      <c r="K3487" s="16">
        <f>IF(COUNTIFS(Release_Calendar!$A$2:$A$755,"US_CPI",Release_Calendar!$B$2:$B$755,$A3487)&gt;0,1,0)</f>
        <v>0</v>
      </c>
      <c r="L3487" s="16">
        <f>IF(COUNTIFS(Release_Calendar!$A$2:$A$755,"US_NFP",Release_Calendar!$B$2:$B$755,$A3487)&gt;0,1,0)</f>
        <v>0</v>
      </c>
      <c r="M3487" s="16" t="str">
        <f>IF($A3487&lt;Notes!$B$5,"",IF(COUNTIFS(Release_Calendar!$A$2:$A$755,"NZ_CPI",Release_Calendar!$B$2:$B$755,$A3487)&gt;0,1,0))</f>
        <v/>
      </c>
      <c r="N3487" s="16" t="str">
        <f>IF($A3487&lt;Notes!$B$5,"",IF(COUNTIFS(Release_Calendar!$A$2:$A$755,"NZ_GDP",Release_Calendar!$B$2:$B$755,$A3487)&gt;0,1,0))</f>
        <v/>
      </c>
      <c r="O3487" s="16" t="str">
        <f>IF($A3487&lt;Notes!$B$5,"",IF(COUNTIFS(Release_Calendar!$A$2:$A$755,"NZ_LABOUR",Release_Calendar!$B$2:$B$755,$A3487)&gt;0,1,0))</f>
        <v/>
      </c>
      <c r="P3487" s="16">
        <f t="shared" si="4"/>
        <v>0</v>
      </c>
    </row>
    <row r="3488" ht="15.75" customHeight="1">
      <c r="A3488" s="14">
        <v>41408.0</v>
      </c>
      <c r="B3488" s="15">
        <v>0.26</v>
      </c>
      <c r="C3488" s="15">
        <v>2.85</v>
      </c>
      <c r="D3488" s="15">
        <v>2.46</v>
      </c>
      <c r="E3488" s="15">
        <v>2.49</v>
      </c>
      <c r="F3488" s="15">
        <f t="shared" si="1"/>
        <v>2.59</v>
      </c>
      <c r="G3488" s="15">
        <f t="shared" si="2"/>
        <v>2.85</v>
      </c>
      <c r="H3488" s="16">
        <v>0.0</v>
      </c>
      <c r="I3488" s="15">
        <f t="shared" si="3"/>
        <v>2.59</v>
      </c>
      <c r="J3488" s="15">
        <v>12.77</v>
      </c>
      <c r="K3488" s="16">
        <f>IF(COUNTIFS(Release_Calendar!$A$2:$A$755,"US_CPI",Release_Calendar!$B$2:$B$755,$A3488)&gt;0,1,0)</f>
        <v>0</v>
      </c>
      <c r="L3488" s="16">
        <f>IF(COUNTIFS(Release_Calendar!$A$2:$A$755,"US_NFP",Release_Calendar!$B$2:$B$755,$A3488)&gt;0,1,0)</f>
        <v>0</v>
      </c>
      <c r="M3488" s="16" t="str">
        <f>IF($A3488&lt;Notes!$B$5,"",IF(COUNTIFS(Release_Calendar!$A$2:$A$755,"NZ_CPI",Release_Calendar!$B$2:$B$755,$A3488)&gt;0,1,0))</f>
        <v/>
      </c>
      <c r="N3488" s="16" t="str">
        <f>IF($A3488&lt;Notes!$B$5,"",IF(COUNTIFS(Release_Calendar!$A$2:$A$755,"NZ_GDP",Release_Calendar!$B$2:$B$755,$A3488)&gt;0,1,0))</f>
        <v/>
      </c>
      <c r="O3488" s="16" t="str">
        <f>IF($A3488&lt;Notes!$B$5,"",IF(COUNTIFS(Release_Calendar!$A$2:$A$755,"NZ_LABOUR",Release_Calendar!$B$2:$B$755,$A3488)&gt;0,1,0))</f>
        <v/>
      </c>
      <c r="P3488" s="16">
        <f t="shared" si="4"/>
        <v>0</v>
      </c>
    </row>
    <row r="3489" ht="15.75" customHeight="1">
      <c r="A3489" s="14">
        <v>41409.0</v>
      </c>
      <c r="B3489" s="15">
        <v>0.26</v>
      </c>
      <c r="C3489" s="15">
        <v>2.87</v>
      </c>
      <c r="D3489" s="15">
        <v>2.51</v>
      </c>
      <c r="E3489" s="15">
        <v>2.5</v>
      </c>
      <c r="F3489" s="15">
        <f t="shared" si="1"/>
        <v>2.61</v>
      </c>
      <c r="G3489" s="15">
        <f t="shared" si="2"/>
        <v>2.87</v>
      </c>
      <c r="H3489" s="16">
        <v>0.0</v>
      </c>
      <c r="I3489" s="15">
        <f t="shared" si="3"/>
        <v>2.61</v>
      </c>
      <c r="J3489" s="15">
        <v>12.81</v>
      </c>
      <c r="K3489" s="16">
        <f>IF(COUNTIFS(Release_Calendar!$A$2:$A$755,"US_CPI",Release_Calendar!$B$2:$B$755,$A3489)&gt;0,1,0)</f>
        <v>0</v>
      </c>
      <c r="L3489" s="16">
        <f>IF(COUNTIFS(Release_Calendar!$A$2:$A$755,"US_NFP",Release_Calendar!$B$2:$B$755,$A3489)&gt;0,1,0)</f>
        <v>0</v>
      </c>
      <c r="M3489" s="16" t="str">
        <f>IF($A3489&lt;Notes!$B$5,"",IF(COUNTIFS(Release_Calendar!$A$2:$A$755,"NZ_CPI",Release_Calendar!$B$2:$B$755,$A3489)&gt;0,1,0))</f>
        <v/>
      </c>
      <c r="N3489" s="16" t="str">
        <f>IF($A3489&lt;Notes!$B$5,"",IF(COUNTIFS(Release_Calendar!$A$2:$A$755,"NZ_GDP",Release_Calendar!$B$2:$B$755,$A3489)&gt;0,1,0))</f>
        <v/>
      </c>
      <c r="O3489" s="16" t="str">
        <f>IF($A3489&lt;Notes!$B$5,"",IF(COUNTIFS(Release_Calendar!$A$2:$A$755,"NZ_LABOUR",Release_Calendar!$B$2:$B$755,$A3489)&gt;0,1,0))</f>
        <v/>
      </c>
      <c r="P3489" s="16">
        <f t="shared" si="4"/>
        <v>0</v>
      </c>
    </row>
    <row r="3490" ht="15.75" customHeight="1">
      <c r="A3490" s="14">
        <v>41410.0</v>
      </c>
      <c r="B3490" s="15">
        <v>0.23</v>
      </c>
      <c r="C3490" s="15">
        <v>2.85</v>
      </c>
      <c r="D3490" s="15">
        <v>2.48</v>
      </c>
      <c r="E3490" s="15">
        <v>2.45</v>
      </c>
      <c r="F3490" s="15">
        <f t="shared" si="1"/>
        <v>2.62</v>
      </c>
      <c r="G3490" s="15">
        <f t="shared" si="2"/>
        <v>2.85</v>
      </c>
      <c r="H3490" s="16">
        <v>0.0</v>
      </c>
      <c r="I3490" s="15">
        <f t="shared" si="3"/>
        <v>2.62</v>
      </c>
      <c r="J3490" s="15">
        <v>13.07</v>
      </c>
      <c r="K3490" s="16">
        <f>IF(COUNTIFS(Release_Calendar!$A$2:$A$755,"US_CPI",Release_Calendar!$B$2:$B$755,$A3490)&gt;0,1,0)</f>
        <v>1</v>
      </c>
      <c r="L3490" s="16">
        <f>IF(COUNTIFS(Release_Calendar!$A$2:$A$755,"US_NFP",Release_Calendar!$B$2:$B$755,$A3490)&gt;0,1,0)</f>
        <v>0</v>
      </c>
      <c r="M3490" s="16" t="str">
        <f>IF($A3490&lt;Notes!$B$5,"",IF(COUNTIFS(Release_Calendar!$A$2:$A$755,"NZ_CPI",Release_Calendar!$B$2:$B$755,$A3490)&gt;0,1,0))</f>
        <v/>
      </c>
      <c r="N3490" s="16" t="str">
        <f>IF($A3490&lt;Notes!$B$5,"",IF(COUNTIFS(Release_Calendar!$A$2:$A$755,"NZ_GDP",Release_Calendar!$B$2:$B$755,$A3490)&gt;0,1,0))</f>
        <v/>
      </c>
      <c r="O3490" s="16" t="str">
        <f>IF($A3490&lt;Notes!$B$5,"",IF(COUNTIFS(Release_Calendar!$A$2:$A$755,"NZ_LABOUR",Release_Calendar!$B$2:$B$755,$A3490)&gt;0,1,0))</f>
        <v/>
      </c>
      <c r="P3490" s="16">
        <f t="shared" si="4"/>
        <v>1</v>
      </c>
    </row>
    <row r="3491" ht="15.75" customHeight="1">
      <c r="A3491" s="14">
        <v>41411.0</v>
      </c>
      <c r="B3491" s="15">
        <v>0.26</v>
      </c>
      <c r="C3491" s="15">
        <v>2.84</v>
      </c>
      <c r="D3491" s="15">
        <v>2.44</v>
      </c>
      <c r="E3491" s="15">
        <v>2.46</v>
      </c>
      <c r="F3491" s="15">
        <f t="shared" si="1"/>
        <v>2.58</v>
      </c>
      <c r="G3491" s="15">
        <f t="shared" si="2"/>
        <v>2.84</v>
      </c>
      <c r="H3491" s="16">
        <v>0.0</v>
      </c>
      <c r="I3491" s="15">
        <f t="shared" si="3"/>
        <v>2.58</v>
      </c>
      <c r="J3491" s="15">
        <v>12.45</v>
      </c>
      <c r="K3491" s="16">
        <f>IF(COUNTIFS(Release_Calendar!$A$2:$A$755,"US_CPI",Release_Calendar!$B$2:$B$755,$A3491)&gt;0,1,0)</f>
        <v>0</v>
      </c>
      <c r="L3491" s="16">
        <f>IF(COUNTIFS(Release_Calendar!$A$2:$A$755,"US_NFP",Release_Calendar!$B$2:$B$755,$A3491)&gt;0,1,0)</f>
        <v>0</v>
      </c>
      <c r="M3491" s="16" t="str">
        <f>IF($A3491&lt;Notes!$B$5,"",IF(COUNTIFS(Release_Calendar!$A$2:$A$755,"NZ_CPI",Release_Calendar!$B$2:$B$755,$A3491)&gt;0,1,0))</f>
        <v/>
      </c>
      <c r="N3491" s="16" t="str">
        <f>IF($A3491&lt;Notes!$B$5,"",IF(COUNTIFS(Release_Calendar!$A$2:$A$755,"NZ_GDP",Release_Calendar!$B$2:$B$755,$A3491)&gt;0,1,0))</f>
        <v/>
      </c>
      <c r="O3491" s="16" t="str">
        <f>IF($A3491&lt;Notes!$B$5,"",IF(COUNTIFS(Release_Calendar!$A$2:$A$755,"NZ_LABOUR",Release_Calendar!$B$2:$B$755,$A3491)&gt;0,1,0))</f>
        <v/>
      </c>
      <c r="P3491" s="16">
        <f t="shared" si="4"/>
        <v>0</v>
      </c>
    </row>
    <row r="3492" ht="15.75" customHeight="1">
      <c r="A3492" s="14">
        <v>41414.0</v>
      </c>
      <c r="B3492" s="15">
        <v>0.26</v>
      </c>
      <c r="C3492" s="15">
        <v>2.89</v>
      </c>
      <c r="D3492" s="15">
        <v>2.49</v>
      </c>
      <c r="E3492" s="15">
        <v>2.5</v>
      </c>
      <c r="F3492" s="15">
        <f t="shared" si="1"/>
        <v>2.63</v>
      </c>
      <c r="G3492" s="15">
        <f t="shared" si="2"/>
        <v>2.89</v>
      </c>
      <c r="H3492" s="16">
        <v>0.0</v>
      </c>
      <c r="I3492" s="15">
        <f t="shared" si="3"/>
        <v>2.63</v>
      </c>
      <c r="J3492" s="15">
        <v>13.02</v>
      </c>
      <c r="K3492" s="16">
        <f>IF(COUNTIFS(Release_Calendar!$A$2:$A$755,"US_CPI",Release_Calendar!$B$2:$B$755,$A3492)&gt;0,1,0)</f>
        <v>0</v>
      </c>
      <c r="L3492" s="16">
        <f>IF(COUNTIFS(Release_Calendar!$A$2:$A$755,"US_NFP",Release_Calendar!$B$2:$B$755,$A3492)&gt;0,1,0)</f>
        <v>0</v>
      </c>
      <c r="M3492" s="16" t="str">
        <f>IF($A3492&lt;Notes!$B$5,"",IF(COUNTIFS(Release_Calendar!$A$2:$A$755,"NZ_CPI",Release_Calendar!$B$2:$B$755,$A3492)&gt;0,1,0))</f>
        <v/>
      </c>
      <c r="N3492" s="16" t="str">
        <f>IF($A3492&lt;Notes!$B$5,"",IF(COUNTIFS(Release_Calendar!$A$2:$A$755,"NZ_GDP",Release_Calendar!$B$2:$B$755,$A3492)&gt;0,1,0))</f>
        <v/>
      </c>
      <c r="O3492" s="16" t="str">
        <f>IF($A3492&lt;Notes!$B$5,"",IF(COUNTIFS(Release_Calendar!$A$2:$A$755,"NZ_LABOUR",Release_Calendar!$B$2:$B$755,$A3492)&gt;0,1,0))</f>
        <v/>
      </c>
      <c r="P3492" s="16">
        <f t="shared" si="4"/>
        <v>0</v>
      </c>
    </row>
    <row r="3493" ht="15.75" customHeight="1">
      <c r="A3493" s="14">
        <v>41415.0</v>
      </c>
      <c r="B3493" s="15">
        <v>0.26</v>
      </c>
      <c r="C3493" s="15">
        <v>2.89</v>
      </c>
      <c r="D3493" s="15">
        <v>2.49</v>
      </c>
      <c r="E3493" s="15">
        <v>2.5</v>
      </c>
      <c r="F3493" s="15">
        <f t="shared" si="1"/>
        <v>2.63</v>
      </c>
      <c r="G3493" s="15">
        <f t="shared" si="2"/>
        <v>2.89</v>
      </c>
      <c r="H3493" s="16">
        <v>0.0</v>
      </c>
      <c r="I3493" s="15">
        <f t="shared" si="3"/>
        <v>2.63</v>
      </c>
      <c r="J3493" s="15">
        <v>13.37</v>
      </c>
      <c r="K3493" s="16">
        <f>IF(COUNTIFS(Release_Calendar!$A$2:$A$755,"US_CPI",Release_Calendar!$B$2:$B$755,$A3493)&gt;0,1,0)</f>
        <v>0</v>
      </c>
      <c r="L3493" s="16">
        <f>IF(COUNTIFS(Release_Calendar!$A$2:$A$755,"US_NFP",Release_Calendar!$B$2:$B$755,$A3493)&gt;0,1,0)</f>
        <v>0</v>
      </c>
      <c r="M3493" s="16" t="str">
        <f>IF($A3493&lt;Notes!$B$5,"",IF(COUNTIFS(Release_Calendar!$A$2:$A$755,"NZ_CPI",Release_Calendar!$B$2:$B$755,$A3493)&gt;0,1,0))</f>
        <v/>
      </c>
      <c r="N3493" s="16" t="str">
        <f>IF($A3493&lt;Notes!$B$5,"",IF(COUNTIFS(Release_Calendar!$A$2:$A$755,"NZ_GDP",Release_Calendar!$B$2:$B$755,$A3493)&gt;0,1,0))</f>
        <v/>
      </c>
      <c r="O3493" s="16" t="str">
        <f>IF($A3493&lt;Notes!$B$5,"",IF(COUNTIFS(Release_Calendar!$A$2:$A$755,"NZ_LABOUR",Release_Calendar!$B$2:$B$755,$A3493)&gt;0,1,0))</f>
        <v/>
      </c>
      <c r="P3493" s="16">
        <f t="shared" si="4"/>
        <v>0</v>
      </c>
    </row>
    <row r="3494" ht="15.75" customHeight="1">
      <c r="A3494" s="14">
        <v>41416.0</v>
      </c>
      <c r="B3494" s="15">
        <v>0.26</v>
      </c>
      <c r="C3494" s="15">
        <v>2.89</v>
      </c>
      <c r="D3494" s="15">
        <v>2.51</v>
      </c>
      <c r="E3494" s="15">
        <v>2.5</v>
      </c>
      <c r="F3494" s="15">
        <f t="shared" si="1"/>
        <v>2.63</v>
      </c>
      <c r="G3494" s="15">
        <f t="shared" si="2"/>
        <v>2.89</v>
      </c>
      <c r="H3494" s="16">
        <v>0.0</v>
      </c>
      <c r="I3494" s="15">
        <f t="shared" si="3"/>
        <v>2.63</v>
      </c>
      <c r="J3494" s="15">
        <v>13.82</v>
      </c>
      <c r="K3494" s="16">
        <f>IF(COUNTIFS(Release_Calendar!$A$2:$A$755,"US_CPI",Release_Calendar!$B$2:$B$755,$A3494)&gt;0,1,0)</f>
        <v>0</v>
      </c>
      <c r="L3494" s="16">
        <f>IF(COUNTIFS(Release_Calendar!$A$2:$A$755,"US_NFP",Release_Calendar!$B$2:$B$755,$A3494)&gt;0,1,0)</f>
        <v>0</v>
      </c>
      <c r="M3494" s="16" t="str">
        <f>IF($A3494&lt;Notes!$B$5,"",IF(COUNTIFS(Release_Calendar!$A$2:$A$755,"NZ_CPI",Release_Calendar!$B$2:$B$755,$A3494)&gt;0,1,0))</f>
        <v/>
      </c>
      <c r="N3494" s="16" t="str">
        <f>IF($A3494&lt;Notes!$B$5,"",IF(COUNTIFS(Release_Calendar!$A$2:$A$755,"NZ_GDP",Release_Calendar!$B$2:$B$755,$A3494)&gt;0,1,0))</f>
        <v/>
      </c>
      <c r="O3494" s="16" t="str">
        <f>IF($A3494&lt;Notes!$B$5,"",IF(COUNTIFS(Release_Calendar!$A$2:$A$755,"NZ_LABOUR",Release_Calendar!$B$2:$B$755,$A3494)&gt;0,1,0))</f>
        <v/>
      </c>
      <c r="P3494" s="16">
        <f t="shared" si="4"/>
        <v>0</v>
      </c>
    </row>
    <row r="3495" ht="15.75" customHeight="1">
      <c r="A3495" s="14">
        <v>41417.0</v>
      </c>
      <c r="B3495" s="15">
        <v>0.26</v>
      </c>
      <c r="C3495" s="15">
        <v>2.92</v>
      </c>
      <c r="D3495" s="15">
        <v>2.53</v>
      </c>
      <c r="E3495" s="15">
        <v>2.53</v>
      </c>
      <c r="F3495" s="15">
        <f t="shared" si="1"/>
        <v>2.66</v>
      </c>
      <c r="G3495" s="15">
        <f t="shared" si="2"/>
        <v>2.92</v>
      </c>
      <c r="H3495" s="16">
        <v>0.0</v>
      </c>
      <c r="I3495" s="15">
        <f t="shared" si="3"/>
        <v>2.66</v>
      </c>
      <c r="J3495" s="15">
        <v>14.07</v>
      </c>
      <c r="K3495" s="16">
        <f>IF(COUNTIFS(Release_Calendar!$A$2:$A$755,"US_CPI",Release_Calendar!$B$2:$B$755,$A3495)&gt;0,1,0)</f>
        <v>0</v>
      </c>
      <c r="L3495" s="16">
        <f>IF(COUNTIFS(Release_Calendar!$A$2:$A$755,"US_NFP",Release_Calendar!$B$2:$B$755,$A3495)&gt;0,1,0)</f>
        <v>0</v>
      </c>
      <c r="M3495" s="16" t="str">
        <f>IF($A3495&lt;Notes!$B$5,"",IF(COUNTIFS(Release_Calendar!$A$2:$A$755,"NZ_CPI",Release_Calendar!$B$2:$B$755,$A3495)&gt;0,1,0))</f>
        <v/>
      </c>
      <c r="N3495" s="16" t="str">
        <f>IF($A3495&lt;Notes!$B$5,"",IF(COUNTIFS(Release_Calendar!$A$2:$A$755,"NZ_GDP",Release_Calendar!$B$2:$B$755,$A3495)&gt;0,1,0))</f>
        <v/>
      </c>
      <c r="O3495" s="16" t="str">
        <f>IF($A3495&lt;Notes!$B$5,"",IF(COUNTIFS(Release_Calendar!$A$2:$A$755,"NZ_LABOUR",Release_Calendar!$B$2:$B$755,$A3495)&gt;0,1,0))</f>
        <v/>
      </c>
      <c r="P3495" s="16">
        <f t="shared" si="4"/>
        <v>0</v>
      </c>
    </row>
    <row r="3496" ht="15.75" customHeight="1">
      <c r="A3496" s="14">
        <v>41418.0</v>
      </c>
      <c r="B3496" s="15">
        <v>0.26</v>
      </c>
      <c r="C3496" s="15">
        <v>2.92</v>
      </c>
      <c r="D3496" s="15">
        <v>2.52</v>
      </c>
      <c r="E3496" s="15">
        <v>2.52</v>
      </c>
      <c r="F3496" s="15">
        <f t="shared" si="1"/>
        <v>2.66</v>
      </c>
      <c r="G3496" s="15">
        <f t="shared" si="2"/>
        <v>2.92</v>
      </c>
      <c r="H3496" s="16">
        <v>0.0</v>
      </c>
      <c r="I3496" s="15">
        <f t="shared" si="3"/>
        <v>2.66</v>
      </c>
      <c r="J3496" s="15">
        <v>13.99</v>
      </c>
      <c r="K3496" s="16">
        <f>IF(COUNTIFS(Release_Calendar!$A$2:$A$755,"US_CPI",Release_Calendar!$B$2:$B$755,$A3496)&gt;0,1,0)</f>
        <v>0</v>
      </c>
      <c r="L3496" s="16">
        <f>IF(COUNTIFS(Release_Calendar!$A$2:$A$755,"US_NFP",Release_Calendar!$B$2:$B$755,$A3496)&gt;0,1,0)</f>
        <v>0</v>
      </c>
      <c r="M3496" s="16" t="str">
        <f>IF($A3496&lt;Notes!$B$5,"",IF(COUNTIFS(Release_Calendar!$A$2:$A$755,"NZ_CPI",Release_Calendar!$B$2:$B$755,$A3496)&gt;0,1,0))</f>
        <v/>
      </c>
      <c r="N3496" s="16" t="str">
        <f>IF($A3496&lt;Notes!$B$5,"",IF(COUNTIFS(Release_Calendar!$A$2:$A$755,"NZ_GDP",Release_Calendar!$B$2:$B$755,$A3496)&gt;0,1,0))</f>
        <v/>
      </c>
      <c r="O3496" s="16" t="str">
        <f>IF($A3496&lt;Notes!$B$5,"",IF(COUNTIFS(Release_Calendar!$A$2:$A$755,"NZ_LABOUR",Release_Calendar!$B$2:$B$755,$A3496)&gt;0,1,0))</f>
        <v/>
      </c>
      <c r="P3496" s="16">
        <f t="shared" si="4"/>
        <v>0</v>
      </c>
    </row>
    <row r="3497" ht="15.75" customHeight="1">
      <c r="A3497" s="14">
        <v>41421.0</v>
      </c>
      <c r="B3497" s="15"/>
      <c r="C3497" s="15">
        <v>2.91</v>
      </c>
      <c r="D3497" s="15">
        <v>2.51</v>
      </c>
      <c r="E3497" s="15">
        <v>2.51</v>
      </c>
      <c r="F3497" s="15" t="str">
        <f t="shared" si="1"/>
        <v/>
      </c>
      <c r="G3497" s="15">
        <f t="shared" si="2"/>
        <v>2.91</v>
      </c>
      <c r="H3497" s="16">
        <v>0.0</v>
      </c>
      <c r="I3497" s="15" t="str">
        <f t="shared" si="3"/>
        <v/>
      </c>
      <c r="J3497" s="15"/>
      <c r="K3497" s="16">
        <f>IF(COUNTIFS(Release_Calendar!$A$2:$A$755,"US_CPI",Release_Calendar!$B$2:$B$755,$A3497)&gt;0,1,0)</f>
        <v>0</v>
      </c>
      <c r="L3497" s="16">
        <f>IF(COUNTIFS(Release_Calendar!$A$2:$A$755,"US_NFP",Release_Calendar!$B$2:$B$755,$A3497)&gt;0,1,0)</f>
        <v>0</v>
      </c>
      <c r="M3497" s="16" t="str">
        <f>IF($A3497&lt;Notes!$B$5,"",IF(COUNTIFS(Release_Calendar!$A$2:$A$755,"NZ_CPI",Release_Calendar!$B$2:$B$755,$A3497)&gt;0,1,0))</f>
        <v/>
      </c>
      <c r="N3497" s="16" t="str">
        <f>IF($A3497&lt;Notes!$B$5,"",IF(COUNTIFS(Release_Calendar!$A$2:$A$755,"NZ_GDP",Release_Calendar!$B$2:$B$755,$A3497)&gt;0,1,0))</f>
        <v/>
      </c>
      <c r="O3497" s="16" t="str">
        <f>IF($A3497&lt;Notes!$B$5,"",IF(COUNTIFS(Release_Calendar!$A$2:$A$755,"NZ_LABOUR",Release_Calendar!$B$2:$B$755,$A3497)&gt;0,1,0))</f>
        <v/>
      </c>
      <c r="P3497" s="16">
        <f t="shared" si="4"/>
        <v>0</v>
      </c>
    </row>
    <row r="3498" ht="15.75" customHeight="1">
      <c r="A3498" s="14">
        <v>41422.0</v>
      </c>
      <c r="B3498" s="15">
        <v>0.29</v>
      </c>
      <c r="C3498" s="15">
        <v>2.95</v>
      </c>
      <c r="D3498" s="15">
        <v>2.51</v>
      </c>
      <c r="E3498" s="15">
        <v>2.56</v>
      </c>
      <c r="F3498" s="15">
        <f t="shared" si="1"/>
        <v>2.66</v>
      </c>
      <c r="G3498" s="15">
        <f t="shared" si="2"/>
        <v>2.95</v>
      </c>
      <c r="H3498" s="16">
        <v>0.0</v>
      </c>
      <c r="I3498" s="15">
        <f t="shared" si="3"/>
        <v>2.66</v>
      </c>
      <c r="J3498" s="15">
        <v>14.48</v>
      </c>
      <c r="K3498" s="16">
        <f>IF(COUNTIFS(Release_Calendar!$A$2:$A$755,"US_CPI",Release_Calendar!$B$2:$B$755,$A3498)&gt;0,1,0)</f>
        <v>0</v>
      </c>
      <c r="L3498" s="16">
        <f>IF(COUNTIFS(Release_Calendar!$A$2:$A$755,"US_NFP",Release_Calendar!$B$2:$B$755,$A3498)&gt;0,1,0)</f>
        <v>0</v>
      </c>
      <c r="M3498" s="16" t="str">
        <f>IF($A3498&lt;Notes!$B$5,"",IF(COUNTIFS(Release_Calendar!$A$2:$A$755,"NZ_CPI",Release_Calendar!$B$2:$B$755,$A3498)&gt;0,1,0))</f>
        <v/>
      </c>
      <c r="N3498" s="16" t="str">
        <f>IF($A3498&lt;Notes!$B$5,"",IF(COUNTIFS(Release_Calendar!$A$2:$A$755,"NZ_GDP",Release_Calendar!$B$2:$B$755,$A3498)&gt;0,1,0))</f>
        <v/>
      </c>
      <c r="O3498" s="16" t="str">
        <f>IF($A3498&lt;Notes!$B$5,"",IF(COUNTIFS(Release_Calendar!$A$2:$A$755,"NZ_LABOUR",Release_Calendar!$B$2:$B$755,$A3498)&gt;0,1,0))</f>
        <v/>
      </c>
      <c r="P3498" s="16">
        <f t="shared" si="4"/>
        <v>0</v>
      </c>
    </row>
    <row r="3499" ht="15.75" customHeight="1">
      <c r="A3499" s="14">
        <v>41423.0</v>
      </c>
      <c r="B3499" s="15">
        <v>0.3</v>
      </c>
      <c r="C3499" s="15">
        <v>3.01</v>
      </c>
      <c r="D3499" s="15">
        <v>2.6</v>
      </c>
      <c r="E3499" s="15">
        <v>2.61</v>
      </c>
      <c r="F3499" s="15">
        <f t="shared" si="1"/>
        <v>2.71</v>
      </c>
      <c r="G3499" s="15">
        <f t="shared" si="2"/>
        <v>3.01</v>
      </c>
      <c r="H3499" s="16">
        <v>0.0</v>
      </c>
      <c r="I3499" s="15">
        <f t="shared" si="3"/>
        <v>2.71</v>
      </c>
      <c r="J3499" s="15">
        <v>14.83</v>
      </c>
      <c r="K3499" s="16">
        <f>IF(COUNTIFS(Release_Calendar!$A$2:$A$755,"US_CPI",Release_Calendar!$B$2:$B$755,$A3499)&gt;0,1,0)</f>
        <v>0</v>
      </c>
      <c r="L3499" s="16">
        <f>IF(COUNTIFS(Release_Calendar!$A$2:$A$755,"US_NFP",Release_Calendar!$B$2:$B$755,$A3499)&gt;0,1,0)</f>
        <v>0</v>
      </c>
      <c r="M3499" s="16" t="str">
        <f>IF($A3499&lt;Notes!$B$5,"",IF(COUNTIFS(Release_Calendar!$A$2:$A$755,"NZ_CPI",Release_Calendar!$B$2:$B$755,$A3499)&gt;0,1,0))</f>
        <v/>
      </c>
      <c r="N3499" s="16" t="str">
        <f>IF($A3499&lt;Notes!$B$5,"",IF(COUNTIFS(Release_Calendar!$A$2:$A$755,"NZ_GDP",Release_Calendar!$B$2:$B$755,$A3499)&gt;0,1,0))</f>
        <v/>
      </c>
      <c r="O3499" s="16" t="str">
        <f>IF($A3499&lt;Notes!$B$5,"",IF(COUNTIFS(Release_Calendar!$A$2:$A$755,"NZ_LABOUR",Release_Calendar!$B$2:$B$755,$A3499)&gt;0,1,0))</f>
        <v/>
      </c>
      <c r="P3499" s="16">
        <f t="shared" si="4"/>
        <v>0</v>
      </c>
    </row>
    <row r="3500" ht="15.75" customHeight="1">
      <c r="A3500" s="14">
        <v>41424.0</v>
      </c>
      <c r="B3500" s="15">
        <v>0.31</v>
      </c>
      <c r="C3500" s="15">
        <v>2.96</v>
      </c>
      <c r="D3500" s="15">
        <v>2.56</v>
      </c>
      <c r="E3500" s="15">
        <v>2.63</v>
      </c>
      <c r="F3500" s="15">
        <f t="shared" si="1"/>
        <v>2.65</v>
      </c>
      <c r="G3500" s="15">
        <f t="shared" si="2"/>
        <v>2.96</v>
      </c>
      <c r="H3500" s="16">
        <v>0.0</v>
      </c>
      <c r="I3500" s="15">
        <f t="shared" si="3"/>
        <v>2.65</v>
      </c>
      <c r="J3500" s="15">
        <v>14.53</v>
      </c>
      <c r="K3500" s="16">
        <f>IF(COUNTIFS(Release_Calendar!$A$2:$A$755,"US_CPI",Release_Calendar!$B$2:$B$755,$A3500)&gt;0,1,0)</f>
        <v>0</v>
      </c>
      <c r="L3500" s="16">
        <f>IF(COUNTIFS(Release_Calendar!$A$2:$A$755,"US_NFP",Release_Calendar!$B$2:$B$755,$A3500)&gt;0,1,0)</f>
        <v>0</v>
      </c>
      <c r="M3500" s="16" t="str">
        <f>IF($A3500&lt;Notes!$B$5,"",IF(COUNTIFS(Release_Calendar!$A$2:$A$755,"NZ_CPI",Release_Calendar!$B$2:$B$755,$A3500)&gt;0,1,0))</f>
        <v/>
      </c>
      <c r="N3500" s="16" t="str">
        <f>IF($A3500&lt;Notes!$B$5,"",IF(COUNTIFS(Release_Calendar!$A$2:$A$755,"NZ_GDP",Release_Calendar!$B$2:$B$755,$A3500)&gt;0,1,0))</f>
        <v/>
      </c>
      <c r="O3500" s="16" t="str">
        <f>IF($A3500&lt;Notes!$B$5,"",IF(COUNTIFS(Release_Calendar!$A$2:$A$755,"NZ_LABOUR",Release_Calendar!$B$2:$B$755,$A3500)&gt;0,1,0))</f>
        <v/>
      </c>
      <c r="P3500" s="16">
        <f t="shared" si="4"/>
        <v>0</v>
      </c>
    </row>
    <row r="3501" ht="15.75" customHeight="1">
      <c r="A3501" s="14">
        <v>41425.0</v>
      </c>
      <c r="B3501" s="15">
        <v>0.3</v>
      </c>
      <c r="C3501" s="15">
        <v>2.95</v>
      </c>
      <c r="D3501" s="15">
        <v>2.58</v>
      </c>
      <c r="E3501" s="15">
        <v>2.58</v>
      </c>
      <c r="F3501" s="15">
        <f t="shared" si="1"/>
        <v>2.65</v>
      </c>
      <c r="G3501" s="15">
        <f t="shared" si="2"/>
        <v>2.95</v>
      </c>
      <c r="H3501" s="16">
        <v>0.0</v>
      </c>
      <c r="I3501" s="15">
        <f t="shared" si="3"/>
        <v>2.65</v>
      </c>
      <c r="J3501" s="15">
        <v>16.3</v>
      </c>
      <c r="K3501" s="16">
        <f>IF(COUNTIFS(Release_Calendar!$A$2:$A$755,"US_CPI",Release_Calendar!$B$2:$B$755,$A3501)&gt;0,1,0)</f>
        <v>0</v>
      </c>
      <c r="L3501" s="16">
        <f>IF(COUNTIFS(Release_Calendar!$A$2:$A$755,"US_NFP",Release_Calendar!$B$2:$B$755,$A3501)&gt;0,1,0)</f>
        <v>0</v>
      </c>
      <c r="M3501" s="16" t="str">
        <f>IF($A3501&lt;Notes!$B$5,"",IF(COUNTIFS(Release_Calendar!$A$2:$A$755,"NZ_CPI",Release_Calendar!$B$2:$B$755,$A3501)&gt;0,1,0))</f>
        <v/>
      </c>
      <c r="N3501" s="16" t="str">
        <f>IF($A3501&lt;Notes!$B$5,"",IF(COUNTIFS(Release_Calendar!$A$2:$A$755,"NZ_GDP",Release_Calendar!$B$2:$B$755,$A3501)&gt;0,1,0))</f>
        <v/>
      </c>
      <c r="O3501" s="16" t="str">
        <f>IF($A3501&lt;Notes!$B$5,"",IF(COUNTIFS(Release_Calendar!$A$2:$A$755,"NZ_LABOUR",Release_Calendar!$B$2:$B$755,$A3501)&gt;0,1,0))</f>
        <v/>
      </c>
      <c r="P3501" s="16">
        <f t="shared" si="4"/>
        <v>0</v>
      </c>
    </row>
    <row r="3502" ht="15.75" customHeight="1">
      <c r="A3502" s="14">
        <v>41428.0</v>
      </c>
      <c r="B3502" s="15">
        <v>0.3</v>
      </c>
      <c r="C3502" s="15"/>
      <c r="D3502" s="15"/>
      <c r="E3502" s="15"/>
      <c r="F3502" s="15" t="str">
        <f t="shared" si="1"/>
        <v/>
      </c>
      <c r="G3502" s="15" t="str">
        <f t="shared" si="2"/>
        <v/>
      </c>
      <c r="H3502" s="16">
        <v>0.0</v>
      </c>
      <c r="I3502" s="15" t="str">
        <f t="shared" si="3"/>
        <v/>
      </c>
      <c r="J3502" s="15">
        <v>16.28</v>
      </c>
      <c r="K3502" s="16">
        <f>IF(COUNTIFS(Release_Calendar!$A$2:$A$755,"US_CPI",Release_Calendar!$B$2:$B$755,$A3502)&gt;0,1,0)</f>
        <v>0</v>
      </c>
      <c r="L3502" s="16">
        <f>IF(COUNTIFS(Release_Calendar!$A$2:$A$755,"US_NFP",Release_Calendar!$B$2:$B$755,$A3502)&gt;0,1,0)</f>
        <v>0</v>
      </c>
      <c r="M3502" s="16" t="str">
        <f>IF($A3502&lt;Notes!$B$5,"",IF(COUNTIFS(Release_Calendar!$A$2:$A$755,"NZ_CPI",Release_Calendar!$B$2:$B$755,$A3502)&gt;0,1,0))</f>
        <v/>
      </c>
      <c r="N3502" s="16" t="str">
        <f>IF($A3502&lt;Notes!$B$5,"",IF(COUNTIFS(Release_Calendar!$A$2:$A$755,"NZ_GDP",Release_Calendar!$B$2:$B$755,$A3502)&gt;0,1,0))</f>
        <v/>
      </c>
      <c r="O3502" s="16" t="str">
        <f>IF($A3502&lt;Notes!$B$5,"",IF(COUNTIFS(Release_Calendar!$A$2:$A$755,"NZ_LABOUR",Release_Calendar!$B$2:$B$755,$A3502)&gt;0,1,0))</f>
        <v/>
      </c>
      <c r="P3502" s="16">
        <f t="shared" si="4"/>
        <v>0</v>
      </c>
    </row>
    <row r="3503" ht="15.75" customHeight="1">
      <c r="A3503" s="14">
        <v>41429.0</v>
      </c>
      <c r="B3503" s="15">
        <v>0.32</v>
      </c>
      <c r="C3503" s="15">
        <v>2.96</v>
      </c>
      <c r="D3503" s="15">
        <v>2.58</v>
      </c>
      <c r="E3503" s="15">
        <v>2.59</v>
      </c>
      <c r="F3503" s="15">
        <f t="shared" si="1"/>
        <v>2.64</v>
      </c>
      <c r="G3503" s="15">
        <f t="shared" si="2"/>
        <v>2.96</v>
      </c>
      <c r="H3503" s="16">
        <v>0.0</v>
      </c>
      <c r="I3503" s="15">
        <f t="shared" si="3"/>
        <v>2.64</v>
      </c>
      <c r="J3503" s="15">
        <v>16.27</v>
      </c>
      <c r="K3503" s="16">
        <f>IF(COUNTIFS(Release_Calendar!$A$2:$A$755,"US_CPI",Release_Calendar!$B$2:$B$755,$A3503)&gt;0,1,0)</f>
        <v>0</v>
      </c>
      <c r="L3503" s="16">
        <f>IF(COUNTIFS(Release_Calendar!$A$2:$A$755,"US_NFP",Release_Calendar!$B$2:$B$755,$A3503)&gt;0,1,0)</f>
        <v>0</v>
      </c>
      <c r="M3503" s="16" t="str">
        <f>IF($A3503&lt;Notes!$B$5,"",IF(COUNTIFS(Release_Calendar!$A$2:$A$755,"NZ_CPI",Release_Calendar!$B$2:$B$755,$A3503)&gt;0,1,0))</f>
        <v/>
      </c>
      <c r="N3503" s="16" t="str">
        <f>IF($A3503&lt;Notes!$B$5,"",IF(COUNTIFS(Release_Calendar!$A$2:$A$755,"NZ_GDP",Release_Calendar!$B$2:$B$755,$A3503)&gt;0,1,0))</f>
        <v/>
      </c>
      <c r="O3503" s="16" t="str">
        <f>IF($A3503&lt;Notes!$B$5,"",IF(COUNTIFS(Release_Calendar!$A$2:$A$755,"NZ_LABOUR",Release_Calendar!$B$2:$B$755,$A3503)&gt;0,1,0))</f>
        <v/>
      </c>
      <c r="P3503" s="16">
        <f t="shared" si="4"/>
        <v>0</v>
      </c>
    </row>
    <row r="3504" ht="15.75" customHeight="1">
      <c r="A3504" s="14">
        <v>41430.0</v>
      </c>
      <c r="B3504" s="15">
        <v>0.3</v>
      </c>
      <c r="C3504" s="15">
        <v>2.98</v>
      </c>
      <c r="D3504" s="15">
        <v>2.6</v>
      </c>
      <c r="E3504" s="15">
        <v>2.62</v>
      </c>
      <c r="F3504" s="15">
        <f t="shared" si="1"/>
        <v>2.68</v>
      </c>
      <c r="G3504" s="15">
        <f t="shared" si="2"/>
        <v>2.98</v>
      </c>
      <c r="H3504" s="16">
        <v>0.0</v>
      </c>
      <c r="I3504" s="15">
        <f t="shared" si="3"/>
        <v>2.68</v>
      </c>
      <c r="J3504" s="15">
        <v>17.5</v>
      </c>
      <c r="K3504" s="16">
        <f>IF(COUNTIFS(Release_Calendar!$A$2:$A$755,"US_CPI",Release_Calendar!$B$2:$B$755,$A3504)&gt;0,1,0)</f>
        <v>0</v>
      </c>
      <c r="L3504" s="16">
        <f>IF(COUNTIFS(Release_Calendar!$A$2:$A$755,"US_NFP",Release_Calendar!$B$2:$B$755,$A3504)&gt;0,1,0)</f>
        <v>0</v>
      </c>
      <c r="M3504" s="16" t="str">
        <f>IF($A3504&lt;Notes!$B$5,"",IF(COUNTIFS(Release_Calendar!$A$2:$A$755,"NZ_CPI",Release_Calendar!$B$2:$B$755,$A3504)&gt;0,1,0))</f>
        <v/>
      </c>
      <c r="N3504" s="16" t="str">
        <f>IF($A3504&lt;Notes!$B$5,"",IF(COUNTIFS(Release_Calendar!$A$2:$A$755,"NZ_GDP",Release_Calendar!$B$2:$B$755,$A3504)&gt;0,1,0))</f>
        <v/>
      </c>
      <c r="O3504" s="16" t="str">
        <f>IF($A3504&lt;Notes!$B$5,"",IF(COUNTIFS(Release_Calendar!$A$2:$A$755,"NZ_LABOUR",Release_Calendar!$B$2:$B$755,$A3504)&gt;0,1,0))</f>
        <v/>
      </c>
      <c r="P3504" s="16">
        <f t="shared" si="4"/>
        <v>0</v>
      </c>
    </row>
    <row r="3505" ht="15.75" customHeight="1">
      <c r="A3505" s="14">
        <v>41431.0</v>
      </c>
      <c r="B3505" s="15">
        <v>0.3</v>
      </c>
      <c r="C3505" s="15">
        <v>2.95</v>
      </c>
      <c r="D3505" s="15">
        <v>2.59</v>
      </c>
      <c r="E3505" s="15">
        <v>2.6</v>
      </c>
      <c r="F3505" s="15">
        <f t="shared" si="1"/>
        <v>2.65</v>
      </c>
      <c r="G3505" s="15">
        <f t="shared" si="2"/>
        <v>2.95</v>
      </c>
      <c r="H3505" s="16">
        <v>0.0</v>
      </c>
      <c r="I3505" s="15">
        <f t="shared" si="3"/>
        <v>2.65</v>
      </c>
      <c r="J3505" s="15">
        <v>16.63</v>
      </c>
      <c r="K3505" s="16">
        <f>IF(COUNTIFS(Release_Calendar!$A$2:$A$755,"US_CPI",Release_Calendar!$B$2:$B$755,$A3505)&gt;0,1,0)</f>
        <v>0</v>
      </c>
      <c r="L3505" s="16">
        <f>IF(COUNTIFS(Release_Calendar!$A$2:$A$755,"US_NFP",Release_Calendar!$B$2:$B$755,$A3505)&gt;0,1,0)</f>
        <v>0</v>
      </c>
      <c r="M3505" s="16" t="str">
        <f>IF($A3505&lt;Notes!$B$5,"",IF(COUNTIFS(Release_Calendar!$A$2:$A$755,"NZ_CPI",Release_Calendar!$B$2:$B$755,$A3505)&gt;0,1,0))</f>
        <v/>
      </c>
      <c r="N3505" s="16" t="str">
        <f>IF($A3505&lt;Notes!$B$5,"",IF(COUNTIFS(Release_Calendar!$A$2:$A$755,"NZ_GDP",Release_Calendar!$B$2:$B$755,$A3505)&gt;0,1,0))</f>
        <v/>
      </c>
      <c r="O3505" s="16" t="str">
        <f>IF($A3505&lt;Notes!$B$5,"",IF(COUNTIFS(Release_Calendar!$A$2:$A$755,"NZ_LABOUR",Release_Calendar!$B$2:$B$755,$A3505)&gt;0,1,0))</f>
        <v/>
      </c>
      <c r="P3505" s="16">
        <f t="shared" si="4"/>
        <v>0</v>
      </c>
    </row>
    <row r="3506" ht="15.75" customHeight="1">
      <c r="A3506" s="14">
        <v>41432.0</v>
      </c>
      <c r="B3506" s="15">
        <v>0.32</v>
      </c>
      <c r="C3506" s="15">
        <v>2.92</v>
      </c>
      <c r="D3506" s="15">
        <v>2.59</v>
      </c>
      <c r="E3506" s="15">
        <v>2.56</v>
      </c>
      <c r="F3506" s="15">
        <f t="shared" si="1"/>
        <v>2.6</v>
      </c>
      <c r="G3506" s="15">
        <f t="shared" si="2"/>
        <v>2.92</v>
      </c>
      <c r="H3506" s="16">
        <v>0.0</v>
      </c>
      <c r="I3506" s="15">
        <f t="shared" si="3"/>
        <v>2.6</v>
      </c>
      <c r="J3506" s="15">
        <v>15.14</v>
      </c>
      <c r="K3506" s="16">
        <f>IF(COUNTIFS(Release_Calendar!$A$2:$A$755,"US_CPI",Release_Calendar!$B$2:$B$755,$A3506)&gt;0,1,0)</f>
        <v>0</v>
      </c>
      <c r="L3506" s="16">
        <f>IF(COUNTIFS(Release_Calendar!$A$2:$A$755,"US_NFP",Release_Calendar!$B$2:$B$755,$A3506)&gt;0,1,0)</f>
        <v>1</v>
      </c>
      <c r="M3506" s="16" t="str">
        <f>IF($A3506&lt;Notes!$B$5,"",IF(COUNTIFS(Release_Calendar!$A$2:$A$755,"NZ_CPI",Release_Calendar!$B$2:$B$755,$A3506)&gt;0,1,0))</f>
        <v/>
      </c>
      <c r="N3506" s="16" t="str">
        <f>IF($A3506&lt;Notes!$B$5,"",IF(COUNTIFS(Release_Calendar!$A$2:$A$755,"NZ_GDP",Release_Calendar!$B$2:$B$755,$A3506)&gt;0,1,0))</f>
        <v/>
      </c>
      <c r="O3506" s="16" t="str">
        <f>IF($A3506&lt;Notes!$B$5,"",IF(COUNTIFS(Release_Calendar!$A$2:$A$755,"NZ_LABOUR",Release_Calendar!$B$2:$B$755,$A3506)&gt;0,1,0))</f>
        <v/>
      </c>
      <c r="P3506" s="16">
        <f t="shared" si="4"/>
        <v>1</v>
      </c>
    </row>
    <row r="3507" ht="15.75" customHeight="1">
      <c r="A3507" s="14">
        <v>41435.0</v>
      </c>
      <c r="B3507" s="15">
        <v>0.32</v>
      </c>
      <c r="C3507" s="15">
        <v>2.97</v>
      </c>
      <c r="D3507" s="15">
        <v>2.61</v>
      </c>
      <c r="E3507" s="15">
        <v>2.62</v>
      </c>
      <c r="F3507" s="15">
        <f t="shared" si="1"/>
        <v>2.65</v>
      </c>
      <c r="G3507" s="15">
        <f t="shared" si="2"/>
        <v>2.97</v>
      </c>
      <c r="H3507" s="16">
        <v>0.0</v>
      </c>
      <c r="I3507" s="15">
        <f t="shared" si="3"/>
        <v>2.65</v>
      </c>
      <c r="J3507" s="15">
        <v>15.44</v>
      </c>
      <c r="K3507" s="16">
        <f>IF(COUNTIFS(Release_Calendar!$A$2:$A$755,"US_CPI",Release_Calendar!$B$2:$B$755,$A3507)&gt;0,1,0)</f>
        <v>0</v>
      </c>
      <c r="L3507" s="16">
        <f>IF(COUNTIFS(Release_Calendar!$A$2:$A$755,"US_NFP",Release_Calendar!$B$2:$B$755,$A3507)&gt;0,1,0)</f>
        <v>0</v>
      </c>
      <c r="M3507" s="16" t="str">
        <f>IF($A3507&lt;Notes!$B$5,"",IF(COUNTIFS(Release_Calendar!$A$2:$A$755,"NZ_CPI",Release_Calendar!$B$2:$B$755,$A3507)&gt;0,1,0))</f>
        <v/>
      </c>
      <c r="N3507" s="16" t="str">
        <f>IF($A3507&lt;Notes!$B$5,"",IF(COUNTIFS(Release_Calendar!$A$2:$A$755,"NZ_GDP",Release_Calendar!$B$2:$B$755,$A3507)&gt;0,1,0))</f>
        <v/>
      </c>
      <c r="O3507" s="16" t="str">
        <f>IF($A3507&lt;Notes!$B$5,"",IF(COUNTIFS(Release_Calendar!$A$2:$A$755,"NZ_LABOUR",Release_Calendar!$B$2:$B$755,$A3507)&gt;0,1,0))</f>
        <v/>
      </c>
      <c r="P3507" s="16">
        <f t="shared" si="4"/>
        <v>0</v>
      </c>
    </row>
    <row r="3508" ht="15.75" customHeight="1">
      <c r="A3508" s="14">
        <v>41436.0</v>
      </c>
      <c r="B3508" s="15">
        <v>0.34</v>
      </c>
      <c r="C3508" s="15">
        <v>2.98</v>
      </c>
      <c r="D3508" s="15">
        <v>2.62</v>
      </c>
      <c r="E3508" s="15">
        <v>2.64</v>
      </c>
      <c r="F3508" s="15">
        <f t="shared" si="1"/>
        <v>2.64</v>
      </c>
      <c r="G3508" s="15">
        <f t="shared" si="2"/>
        <v>2.98</v>
      </c>
      <c r="H3508" s="16">
        <v>0.0</v>
      </c>
      <c r="I3508" s="15">
        <f t="shared" si="3"/>
        <v>2.64</v>
      </c>
      <c r="J3508" s="15">
        <v>17.07</v>
      </c>
      <c r="K3508" s="16">
        <f>IF(COUNTIFS(Release_Calendar!$A$2:$A$755,"US_CPI",Release_Calendar!$B$2:$B$755,$A3508)&gt;0,1,0)</f>
        <v>0</v>
      </c>
      <c r="L3508" s="16">
        <f>IF(COUNTIFS(Release_Calendar!$A$2:$A$755,"US_NFP",Release_Calendar!$B$2:$B$755,$A3508)&gt;0,1,0)</f>
        <v>0</v>
      </c>
      <c r="M3508" s="16" t="str">
        <f>IF($A3508&lt;Notes!$B$5,"",IF(COUNTIFS(Release_Calendar!$A$2:$A$755,"NZ_CPI",Release_Calendar!$B$2:$B$755,$A3508)&gt;0,1,0))</f>
        <v/>
      </c>
      <c r="N3508" s="16" t="str">
        <f>IF($A3508&lt;Notes!$B$5,"",IF(COUNTIFS(Release_Calendar!$A$2:$A$755,"NZ_GDP",Release_Calendar!$B$2:$B$755,$A3508)&gt;0,1,0))</f>
        <v/>
      </c>
      <c r="O3508" s="16" t="str">
        <f>IF($A3508&lt;Notes!$B$5,"",IF(COUNTIFS(Release_Calendar!$A$2:$A$755,"NZ_LABOUR",Release_Calendar!$B$2:$B$755,$A3508)&gt;0,1,0))</f>
        <v/>
      </c>
      <c r="P3508" s="16">
        <f t="shared" si="4"/>
        <v>0</v>
      </c>
    </row>
    <row r="3509" ht="15.75" customHeight="1">
      <c r="A3509" s="14">
        <v>41437.0</v>
      </c>
      <c r="B3509" s="15">
        <v>0.34</v>
      </c>
      <c r="C3509" s="15">
        <v>3.02</v>
      </c>
      <c r="D3509" s="15">
        <v>2.65</v>
      </c>
      <c r="E3509" s="15">
        <v>2.68</v>
      </c>
      <c r="F3509" s="15">
        <f t="shared" si="1"/>
        <v>2.68</v>
      </c>
      <c r="G3509" s="15">
        <f t="shared" si="2"/>
        <v>3.02</v>
      </c>
      <c r="H3509" s="16">
        <v>0.0</v>
      </c>
      <c r="I3509" s="15">
        <f t="shared" si="3"/>
        <v>2.68</v>
      </c>
      <c r="J3509" s="15">
        <v>18.59</v>
      </c>
      <c r="K3509" s="16">
        <f>IF(COUNTIFS(Release_Calendar!$A$2:$A$755,"US_CPI",Release_Calendar!$B$2:$B$755,$A3509)&gt;0,1,0)</f>
        <v>0</v>
      </c>
      <c r="L3509" s="16">
        <f>IF(COUNTIFS(Release_Calendar!$A$2:$A$755,"US_NFP",Release_Calendar!$B$2:$B$755,$A3509)&gt;0,1,0)</f>
        <v>0</v>
      </c>
      <c r="M3509" s="16" t="str">
        <f>IF($A3509&lt;Notes!$B$5,"",IF(COUNTIFS(Release_Calendar!$A$2:$A$755,"NZ_CPI",Release_Calendar!$B$2:$B$755,$A3509)&gt;0,1,0))</f>
        <v/>
      </c>
      <c r="N3509" s="16" t="str">
        <f>IF($A3509&lt;Notes!$B$5,"",IF(COUNTIFS(Release_Calendar!$A$2:$A$755,"NZ_GDP",Release_Calendar!$B$2:$B$755,$A3509)&gt;0,1,0))</f>
        <v/>
      </c>
      <c r="O3509" s="16" t="str">
        <f>IF($A3509&lt;Notes!$B$5,"",IF(COUNTIFS(Release_Calendar!$A$2:$A$755,"NZ_LABOUR",Release_Calendar!$B$2:$B$755,$A3509)&gt;0,1,0))</f>
        <v/>
      </c>
      <c r="P3509" s="16">
        <f t="shared" si="4"/>
        <v>0</v>
      </c>
    </row>
    <row r="3510" ht="15.75" customHeight="1">
      <c r="A3510" s="14">
        <v>41438.0</v>
      </c>
      <c r="B3510" s="15">
        <v>0.32</v>
      </c>
      <c r="C3510" s="15">
        <v>3.02</v>
      </c>
      <c r="D3510" s="15">
        <v>2.67</v>
      </c>
      <c r="E3510" s="15">
        <v>2.68</v>
      </c>
      <c r="F3510" s="15">
        <f t="shared" si="1"/>
        <v>2.7</v>
      </c>
      <c r="G3510" s="15">
        <f t="shared" si="2"/>
        <v>3.02</v>
      </c>
      <c r="H3510" s="16">
        <v>0.0</v>
      </c>
      <c r="I3510" s="15">
        <f t="shared" si="3"/>
        <v>2.7</v>
      </c>
      <c r="J3510" s="15">
        <v>16.41</v>
      </c>
      <c r="K3510" s="16">
        <f>IF(COUNTIFS(Release_Calendar!$A$2:$A$755,"US_CPI",Release_Calendar!$B$2:$B$755,$A3510)&gt;0,1,0)</f>
        <v>0</v>
      </c>
      <c r="L3510" s="16">
        <f>IF(COUNTIFS(Release_Calendar!$A$2:$A$755,"US_NFP",Release_Calendar!$B$2:$B$755,$A3510)&gt;0,1,0)</f>
        <v>0</v>
      </c>
      <c r="M3510" s="16" t="str">
        <f>IF($A3510&lt;Notes!$B$5,"",IF(COUNTIFS(Release_Calendar!$A$2:$A$755,"NZ_CPI",Release_Calendar!$B$2:$B$755,$A3510)&gt;0,1,0))</f>
        <v/>
      </c>
      <c r="N3510" s="16" t="str">
        <f>IF($A3510&lt;Notes!$B$5,"",IF(COUNTIFS(Release_Calendar!$A$2:$A$755,"NZ_GDP",Release_Calendar!$B$2:$B$755,$A3510)&gt;0,1,0))</f>
        <v/>
      </c>
      <c r="O3510" s="16" t="str">
        <f>IF($A3510&lt;Notes!$B$5,"",IF(COUNTIFS(Release_Calendar!$A$2:$A$755,"NZ_LABOUR",Release_Calendar!$B$2:$B$755,$A3510)&gt;0,1,0))</f>
        <v/>
      </c>
      <c r="P3510" s="16">
        <f t="shared" si="4"/>
        <v>0</v>
      </c>
    </row>
    <row r="3511" ht="15.75" customHeight="1">
      <c r="A3511" s="14">
        <v>41439.0</v>
      </c>
      <c r="B3511" s="15">
        <v>0.29</v>
      </c>
      <c r="C3511" s="15">
        <v>3.04</v>
      </c>
      <c r="D3511" s="15">
        <v>2.68</v>
      </c>
      <c r="E3511" s="15">
        <v>2.67</v>
      </c>
      <c r="F3511" s="15">
        <f t="shared" si="1"/>
        <v>2.75</v>
      </c>
      <c r="G3511" s="15">
        <f t="shared" si="2"/>
        <v>3.04</v>
      </c>
      <c r="H3511" s="16">
        <v>0.0</v>
      </c>
      <c r="I3511" s="15">
        <f t="shared" si="3"/>
        <v>2.75</v>
      </c>
      <c r="J3511" s="15">
        <v>17.15</v>
      </c>
      <c r="K3511" s="16">
        <f>IF(COUNTIFS(Release_Calendar!$A$2:$A$755,"US_CPI",Release_Calendar!$B$2:$B$755,$A3511)&gt;0,1,0)</f>
        <v>0</v>
      </c>
      <c r="L3511" s="16">
        <f>IF(COUNTIFS(Release_Calendar!$A$2:$A$755,"US_NFP",Release_Calendar!$B$2:$B$755,$A3511)&gt;0,1,0)</f>
        <v>0</v>
      </c>
      <c r="M3511" s="16" t="str">
        <f>IF($A3511&lt;Notes!$B$5,"",IF(COUNTIFS(Release_Calendar!$A$2:$A$755,"NZ_CPI",Release_Calendar!$B$2:$B$755,$A3511)&gt;0,1,0))</f>
        <v/>
      </c>
      <c r="N3511" s="16" t="str">
        <f>IF($A3511&lt;Notes!$B$5,"",IF(COUNTIFS(Release_Calendar!$A$2:$A$755,"NZ_GDP",Release_Calendar!$B$2:$B$755,$A3511)&gt;0,1,0))</f>
        <v/>
      </c>
      <c r="O3511" s="16" t="str">
        <f>IF($A3511&lt;Notes!$B$5,"",IF(COUNTIFS(Release_Calendar!$A$2:$A$755,"NZ_LABOUR",Release_Calendar!$B$2:$B$755,$A3511)&gt;0,1,0))</f>
        <v/>
      </c>
      <c r="P3511" s="16">
        <f t="shared" si="4"/>
        <v>0</v>
      </c>
    </row>
    <row r="3512" ht="15.75" customHeight="1">
      <c r="A3512" s="14">
        <v>41442.0</v>
      </c>
      <c r="B3512" s="15">
        <v>0.27</v>
      </c>
      <c r="C3512" s="15">
        <v>3.05</v>
      </c>
      <c r="D3512" s="15">
        <v>2.66</v>
      </c>
      <c r="E3512" s="15">
        <v>2.7</v>
      </c>
      <c r="F3512" s="15">
        <f t="shared" si="1"/>
        <v>2.78</v>
      </c>
      <c r="G3512" s="15">
        <f t="shared" si="2"/>
        <v>3.05</v>
      </c>
      <c r="H3512" s="16">
        <v>0.0</v>
      </c>
      <c r="I3512" s="15">
        <f t="shared" si="3"/>
        <v>2.78</v>
      </c>
      <c r="J3512" s="15">
        <v>16.8</v>
      </c>
      <c r="K3512" s="16">
        <f>IF(COUNTIFS(Release_Calendar!$A$2:$A$755,"US_CPI",Release_Calendar!$B$2:$B$755,$A3512)&gt;0,1,0)</f>
        <v>0</v>
      </c>
      <c r="L3512" s="16">
        <f>IF(COUNTIFS(Release_Calendar!$A$2:$A$755,"US_NFP",Release_Calendar!$B$2:$B$755,$A3512)&gt;0,1,0)</f>
        <v>0</v>
      </c>
      <c r="M3512" s="16" t="str">
        <f>IF($A3512&lt;Notes!$B$5,"",IF(COUNTIFS(Release_Calendar!$A$2:$A$755,"NZ_CPI",Release_Calendar!$B$2:$B$755,$A3512)&gt;0,1,0))</f>
        <v/>
      </c>
      <c r="N3512" s="16" t="str">
        <f>IF($A3512&lt;Notes!$B$5,"",IF(COUNTIFS(Release_Calendar!$A$2:$A$755,"NZ_GDP",Release_Calendar!$B$2:$B$755,$A3512)&gt;0,1,0))</f>
        <v/>
      </c>
      <c r="O3512" s="16" t="str">
        <f>IF($A3512&lt;Notes!$B$5,"",IF(COUNTIFS(Release_Calendar!$A$2:$A$755,"NZ_LABOUR",Release_Calendar!$B$2:$B$755,$A3512)&gt;0,1,0))</f>
        <v/>
      </c>
      <c r="P3512" s="16">
        <f t="shared" si="4"/>
        <v>0</v>
      </c>
    </row>
    <row r="3513" ht="15.75" customHeight="1">
      <c r="A3513" s="14">
        <v>41443.0</v>
      </c>
      <c r="B3513" s="15">
        <v>0.27</v>
      </c>
      <c r="C3513" s="15">
        <v>3.07</v>
      </c>
      <c r="D3513" s="15">
        <v>2.71</v>
      </c>
      <c r="E3513" s="15">
        <v>2.71</v>
      </c>
      <c r="F3513" s="15">
        <f t="shared" si="1"/>
        <v>2.8</v>
      </c>
      <c r="G3513" s="15">
        <f t="shared" si="2"/>
        <v>3.07</v>
      </c>
      <c r="H3513" s="16">
        <v>0.0</v>
      </c>
      <c r="I3513" s="15">
        <f t="shared" si="3"/>
        <v>2.8</v>
      </c>
      <c r="J3513" s="15">
        <v>16.61</v>
      </c>
      <c r="K3513" s="16">
        <f>IF(COUNTIFS(Release_Calendar!$A$2:$A$755,"US_CPI",Release_Calendar!$B$2:$B$755,$A3513)&gt;0,1,0)</f>
        <v>1</v>
      </c>
      <c r="L3513" s="16">
        <f>IF(COUNTIFS(Release_Calendar!$A$2:$A$755,"US_NFP",Release_Calendar!$B$2:$B$755,$A3513)&gt;0,1,0)</f>
        <v>0</v>
      </c>
      <c r="M3513" s="16" t="str">
        <f>IF($A3513&lt;Notes!$B$5,"",IF(COUNTIFS(Release_Calendar!$A$2:$A$755,"NZ_CPI",Release_Calendar!$B$2:$B$755,$A3513)&gt;0,1,0))</f>
        <v/>
      </c>
      <c r="N3513" s="16" t="str">
        <f>IF($A3513&lt;Notes!$B$5,"",IF(COUNTIFS(Release_Calendar!$A$2:$A$755,"NZ_GDP",Release_Calendar!$B$2:$B$755,$A3513)&gt;0,1,0))</f>
        <v/>
      </c>
      <c r="O3513" s="16" t="str">
        <f>IF($A3513&lt;Notes!$B$5,"",IF(COUNTIFS(Release_Calendar!$A$2:$A$755,"NZ_LABOUR",Release_Calendar!$B$2:$B$755,$A3513)&gt;0,1,0))</f>
        <v/>
      </c>
      <c r="P3513" s="16">
        <f t="shared" si="4"/>
        <v>1</v>
      </c>
    </row>
    <row r="3514" ht="15.75" customHeight="1">
      <c r="A3514" s="14">
        <v>41444.0</v>
      </c>
      <c r="B3514" s="15">
        <v>0.31</v>
      </c>
      <c r="C3514" s="15">
        <v>3.07</v>
      </c>
      <c r="D3514" s="15">
        <v>2.73</v>
      </c>
      <c r="E3514" s="15">
        <v>2.73</v>
      </c>
      <c r="F3514" s="15">
        <f t="shared" si="1"/>
        <v>2.76</v>
      </c>
      <c r="G3514" s="15">
        <f t="shared" si="2"/>
        <v>3.07</v>
      </c>
      <c r="H3514" s="16">
        <v>0.0</v>
      </c>
      <c r="I3514" s="15">
        <f t="shared" si="3"/>
        <v>2.76</v>
      </c>
      <c r="J3514" s="15">
        <v>16.64</v>
      </c>
      <c r="K3514" s="16">
        <f>IF(COUNTIFS(Release_Calendar!$A$2:$A$755,"US_CPI",Release_Calendar!$B$2:$B$755,$A3514)&gt;0,1,0)</f>
        <v>0</v>
      </c>
      <c r="L3514" s="16">
        <f>IF(COUNTIFS(Release_Calendar!$A$2:$A$755,"US_NFP",Release_Calendar!$B$2:$B$755,$A3514)&gt;0,1,0)</f>
        <v>0</v>
      </c>
      <c r="M3514" s="16" t="str">
        <f>IF($A3514&lt;Notes!$B$5,"",IF(COUNTIFS(Release_Calendar!$A$2:$A$755,"NZ_CPI",Release_Calendar!$B$2:$B$755,$A3514)&gt;0,1,0))</f>
        <v/>
      </c>
      <c r="N3514" s="16" t="str">
        <f>IF($A3514&lt;Notes!$B$5,"",IF(COUNTIFS(Release_Calendar!$A$2:$A$755,"NZ_GDP",Release_Calendar!$B$2:$B$755,$A3514)&gt;0,1,0))</f>
        <v/>
      </c>
      <c r="O3514" s="16" t="str">
        <f>IF($A3514&lt;Notes!$B$5,"",IF(COUNTIFS(Release_Calendar!$A$2:$A$755,"NZ_LABOUR",Release_Calendar!$B$2:$B$755,$A3514)&gt;0,1,0))</f>
        <v/>
      </c>
      <c r="P3514" s="16">
        <f t="shared" si="4"/>
        <v>0</v>
      </c>
    </row>
    <row r="3515" ht="15.75" customHeight="1">
      <c r="A3515" s="14">
        <v>41445.0</v>
      </c>
      <c r="B3515" s="15">
        <v>0.33</v>
      </c>
      <c r="C3515" s="15">
        <v>3.15</v>
      </c>
      <c r="D3515" s="15">
        <v>2.83</v>
      </c>
      <c r="E3515" s="15">
        <v>2.86</v>
      </c>
      <c r="F3515" s="15">
        <f t="shared" si="1"/>
        <v>2.82</v>
      </c>
      <c r="G3515" s="15">
        <f t="shared" si="2"/>
        <v>3.15</v>
      </c>
      <c r="H3515" s="16">
        <v>0.0</v>
      </c>
      <c r="I3515" s="15">
        <f t="shared" si="3"/>
        <v>2.82</v>
      </c>
      <c r="J3515" s="15">
        <v>20.49</v>
      </c>
      <c r="K3515" s="16">
        <f>IF(COUNTIFS(Release_Calendar!$A$2:$A$755,"US_CPI",Release_Calendar!$B$2:$B$755,$A3515)&gt;0,1,0)</f>
        <v>0</v>
      </c>
      <c r="L3515" s="16">
        <f>IF(COUNTIFS(Release_Calendar!$A$2:$A$755,"US_NFP",Release_Calendar!$B$2:$B$755,$A3515)&gt;0,1,0)</f>
        <v>0</v>
      </c>
      <c r="M3515" s="16" t="str">
        <f>IF($A3515&lt;Notes!$B$5,"",IF(COUNTIFS(Release_Calendar!$A$2:$A$755,"NZ_CPI",Release_Calendar!$B$2:$B$755,$A3515)&gt;0,1,0))</f>
        <v/>
      </c>
      <c r="N3515" s="16" t="str">
        <f>IF($A3515&lt;Notes!$B$5,"",IF(COUNTIFS(Release_Calendar!$A$2:$A$755,"NZ_GDP",Release_Calendar!$B$2:$B$755,$A3515)&gt;0,1,0))</f>
        <v/>
      </c>
      <c r="O3515" s="16" t="str">
        <f>IF($A3515&lt;Notes!$B$5,"",IF(COUNTIFS(Release_Calendar!$A$2:$A$755,"NZ_LABOUR",Release_Calendar!$B$2:$B$755,$A3515)&gt;0,1,0))</f>
        <v/>
      </c>
      <c r="P3515" s="16">
        <f t="shared" si="4"/>
        <v>0</v>
      </c>
    </row>
    <row r="3516" ht="15.75" customHeight="1">
      <c r="A3516" s="14">
        <v>41446.0</v>
      </c>
      <c r="B3516" s="15">
        <v>0.38</v>
      </c>
      <c r="C3516" s="15">
        <v>3.18</v>
      </c>
      <c r="D3516" s="15">
        <v>2.89</v>
      </c>
      <c r="E3516" s="15">
        <v>2.87</v>
      </c>
      <c r="F3516" s="15">
        <f t="shared" si="1"/>
        <v>2.8</v>
      </c>
      <c r="G3516" s="15">
        <f t="shared" si="2"/>
        <v>3.18</v>
      </c>
      <c r="H3516" s="16">
        <v>0.0</v>
      </c>
      <c r="I3516" s="15">
        <f t="shared" si="3"/>
        <v>2.8</v>
      </c>
      <c r="J3516" s="15">
        <v>18.9</v>
      </c>
      <c r="K3516" s="16">
        <f>IF(COUNTIFS(Release_Calendar!$A$2:$A$755,"US_CPI",Release_Calendar!$B$2:$B$755,$A3516)&gt;0,1,0)</f>
        <v>0</v>
      </c>
      <c r="L3516" s="16">
        <f>IF(COUNTIFS(Release_Calendar!$A$2:$A$755,"US_NFP",Release_Calendar!$B$2:$B$755,$A3516)&gt;0,1,0)</f>
        <v>0</v>
      </c>
      <c r="M3516" s="16" t="str">
        <f>IF($A3516&lt;Notes!$B$5,"",IF(COUNTIFS(Release_Calendar!$A$2:$A$755,"NZ_CPI",Release_Calendar!$B$2:$B$755,$A3516)&gt;0,1,0))</f>
        <v/>
      </c>
      <c r="N3516" s="16" t="str">
        <f>IF($A3516&lt;Notes!$B$5,"",IF(COUNTIFS(Release_Calendar!$A$2:$A$755,"NZ_GDP",Release_Calendar!$B$2:$B$755,$A3516)&gt;0,1,0))</f>
        <v/>
      </c>
      <c r="O3516" s="16" t="str">
        <f>IF($A3516&lt;Notes!$B$5,"",IF(COUNTIFS(Release_Calendar!$A$2:$A$755,"NZ_LABOUR",Release_Calendar!$B$2:$B$755,$A3516)&gt;0,1,0))</f>
        <v/>
      </c>
      <c r="P3516" s="16">
        <f t="shared" si="4"/>
        <v>0</v>
      </c>
    </row>
    <row r="3517" ht="15.75" customHeight="1">
      <c r="A3517" s="14">
        <v>41449.0</v>
      </c>
      <c r="B3517" s="15">
        <v>0.42</v>
      </c>
      <c r="C3517" s="15">
        <v>3.24</v>
      </c>
      <c r="D3517" s="15">
        <v>2.92</v>
      </c>
      <c r="E3517" s="15">
        <v>2.94</v>
      </c>
      <c r="F3517" s="15">
        <f t="shared" si="1"/>
        <v>2.82</v>
      </c>
      <c r="G3517" s="15">
        <f t="shared" si="2"/>
        <v>3.24</v>
      </c>
      <c r="H3517" s="16">
        <v>0.0</v>
      </c>
      <c r="I3517" s="15">
        <f t="shared" si="3"/>
        <v>2.82</v>
      </c>
      <c r="J3517" s="15">
        <v>20.11</v>
      </c>
      <c r="K3517" s="16">
        <f>IF(COUNTIFS(Release_Calendar!$A$2:$A$755,"US_CPI",Release_Calendar!$B$2:$B$755,$A3517)&gt;0,1,0)</f>
        <v>0</v>
      </c>
      <c r="L3517" s="16">
        <f>IF(COUNTIFS(Release_Calendar!$A$2:$A$755,"US_NFP",Release_Calendar!$B$2:$B$755,$A3517)&gt;0,1,0)</f>
        <v>0</v>
      </c>
      <c r="M3517" s="16" t="str">
        <f>IF($A3517&lt;Notes!$B$5,"",IF(COUNTIFS(Release_Calendar!$A$2:$A$755,"NZ_CPI",Release_Calendar!$B$2:$B$755,$A3517)&gt;0,1,0))</f>
        <v/>
      </c>
      <c r="N3517" s="16" t="str">
        <f>IF($A3517&lt;Notes!$B$5,"",IF(COUNTIFS(Release_Calendar!$A$2:$A$755,"NZ_GDP",Release_Calendar!$B$2:$B$755,$A3517)&gt;0,1,0))</f>
        <v/>
      </c>
      <c r="O3517" s="16" t="str">
        <f>IF($A3517&lt;Notes!$B$5,"",IF(COUNTIFS(Release_Calendar!$A$2:$A$755,"NZ_LABOUR",Release_Calendar!$B$2:$B$755,$A3517)&gt;0,1,0))</f>
        <v/>
      </c>
      <c r="P3517" s="16">
        <f t="shared" si="4"/>
        <v>0</v>
      </c>
    </row>
    <row r="3518" ht="15.75" customHeight="1">
      <c r="A3518" s="14">
        <v>41450.0</v>
      </c>
      <c r="B3518" s="15">
        <v>0.43</v>
      </c>
      <c r="C3518" s="15">
        <v>3.16</v>
      </c>
      <c r="D3518" s="15">
        <v>2.9</v>
      </c>
      <c r="E3518" s="15">
        <v>2.87</v>
      </c>
      <c r="F3518" s="15">
        <f t="shared" si="1"/>
        <v>2.73</v>
      </c>
      <c r="G3518" s="15">
        <f t="shared" si="2"/>
        <v>3.16</v>
      </c>
      <c r="H3518" s="16">
        <v>0.0</v>
      </c>
      <c r="I3518" s="15">
        <f t="shared" si="3"/>
        <v>2.73</v>
      </c>
      <c r="J3518" s="15">
        <v>18.47</v>
      </c>
      <c r="K3518" s="16">
        <f>IF(COUNTIFS(Release_Calendar!$A$2:$A$755,"US_CPI",Release_Calendar!$B$2:$B$755,$A3518)&gt;0,1,0)</f>
        <v>0</v>
      </c>
      <c r="L3518" s="16">
        <f>IF(COUNTIFS(Release_Calendar!$A$2:$A$755,"US_NFP",Release_Calendar!$B$2:$B$755,$A3518)&gt;0,1,0)</f>
        <v>0</v>
      </c>
      <c r="M3518" s="16" t="str">
        <f>IF($A3518&lt;Notes!$B$5,"",IF(COUNTIFS(Release_Calendar!$A$2:$A$755,"NZ_CPI",Release_Calendar!$B$2:$B$755,$A3518)&gt;0,1,0))</f>
        <v/>
      </c>
      <c r="N3518" s="16" t="str">
        <f>IF($A3518&lt;Notes!$B$5,"",IF(COUNTIFS(Release_Calendar!$A$2:$A$755,"NZ_GDP",Release_Calendar!$B$2:$B$755,$A3518)&gt;0,1,0))</f>
        <v/>
      </c>
      <c r="O3518" s="16" t="str">
        <f>IF($A3518&lt;Notes!$B$5,"",IF(COUNTIFS(Release_Calendar!$A$2:$A$755,"NZ_LABOUR",Release_Calendar!$B$2:$B$755,$A3518)&gt;0,1,0))</f>
        <v/>
      </c>
      <c r="P3518" s="16">
        <f t="shared" si="4"/>
        <v>0</v>
      </c>
    </row>
    <row r="3519" ht="15.75" customHeight="1">
      <c r="A3519" s="14">
        <v>41451.0</v>
      </c>
      <c r="B3519" s="15">
        <v>0.39</v>
      </c>
      <c r="C3519" s="15">
        <v>3.23</v>
      </c>
      <c r="D3519" s="15">
        <v>2.9</v>
      </c>
      <c r="E3519" s="15">
        <v>2.9</v>
      </c>
      <c r="F3519" s="15">
        <f t="shared" si="1"/>
        <v>2.84</v>
      </c>
      <c r="G3519" s="15">
        <f t="shared" si="2"/>
        <v>3.23</v>
      </c>
      <c r="H3519" s="16">
        <v>0.0</v>
      </c>
      <c r="I3519" s="15">
        <f t="shared" si="3"/>
        <v>2.84</v>
      </c>
      <c r="J3519" s="15">
        <v>17.21</v>
      </c>
      <c r="K3519" s="16">
        <f>IF(COUNTIFS(Release_Calendar!$A$2:$A$755,"US_CPI",Release_Calendar!$B$2:$B$755,$A3519)&gt;0,1,0)</f>
        <v>0</v>
      </c>
      <c r="L3519" s="16">
        <f>IF(COUNTIFS(Release_Calendar!$A$2:$A$755,"US_NFP",Release_Calendar!$B$2:$B$755,$A3519)&gt;0,1,0)</f>
        <v>0</v>
      </c>
      <c r="M3519" s="16" t="str">
        <f>IF($A3519&lt;Notes!$B$5,"",IF(COUNTIFS(Release_Calendar!$A$2:$A$755,"NZ_CPI",Release_Calendar!$B$2:$B$755,$A3519)&gt;0,1,0))</f>
        <v/>
      </c>
      <c r="N3519" s="16" t="str">
        <f>IF($A3519&lt;Notes!$B$5,"",IF(COUNTIFS(Release_Calendar!$A$2:$A$755,"NZ_GDP",Release_Calendar!$B$2:$B$755,$A3519)&gt;0,1,0))</f>
        <v/>
      </c>
      <c r="O3519" s="16" t="str">
        <f>IF($A3519&lt;Notes!$B$5,"",IF(COUNTIFS(Release_Calendar!$A$2:$A$755,"NZ_LABOUR",Release_Calendar!$B$2:$B$755,$A3519)&gt;0,1,0))</f>
        <v/>
      </c>
      <c r="P3519" s="16">
        <f t="shared" si="4"/>
        <v>0</v>
      </c>
    </row>
    <row r="3520" ht="15.75" customHeight="1">
      <c r="A3520" s="14">
        <v>41452.0</v>
      </c>
      <c r="B3520" s="15">
        <v>0.36</v>
      </c>
      <c r="C3520" s="15">
        <v>3.21</v>
      </c>
      <c r="D3520" s="15">
        <v>2.86</v>
      </c>
      <c r="E3520" s="15">
        <v>2.86</v>
      </c>
      <c r="F3520" s="15">
        <f t="shared" si="1"/>
        <v>2.85</v>
      </c>
      <c r="G3520" s="15">
        <f t="shared" si="2"/>
        <v>3.21</v>
      </c>
      <c r="H3520" s="16">
        <v>0.0</v>
      </c>
      <c r="I3520" s="15">
        <f t="shared" si="3"/>
        <v>2.85</v>
      </c>
      <c r="J3520" s="15">
        <v>16.86</v>
      </c>
      <c r="K3520" s="16">
        <f>IF(COUNTIFS(Release_Calendar!$A$2:$A$755,"US_CPI",Release_Calendar!$B$2:$B$755,$A3520)&gt;0,1,0)</f>
        <v>0</v>
      </c>
      <c r="L3520" s="16">
        <f>IF(COUNTIFS(Release_Calendar!$A$2:$A$755,"US_NFP",Release_Calendar!$B$2:$B$755,$A3520)&gt;0,1,0)</f>
        <v>0</v>
      </c>
      <c r="M3520" s="16" t="str">
        <f>IF($A3520&lt;Notes!$B$5,"",IF(COUNTIFS(Release_Calendar!$A$2:$A$755,"NZ_CPI",Release_Calendar!$B$2:$B$755,$A3520)&gt;0,1,0))</f>
        <v/>
      </c>
      <c r="N3520" s="16" t="str">
        <f>IF($A3520&lt;Notes!$B$5,"",IF(COUNTIFS(Release_Calendar!$A$2:$A$755,"NZ_GDP",Release_Calendar!$B$2:$B$755,$A3520)&gt;0,1,0))</f>
        <v/>
      </c>
      <c r="O3520" s="16" t="str">
        <f>IF($A3520&lt;Notes!$B$5,"",IF(COUNTIFS(Release_Calendar!$A$2:$A$755,"NZ_LABOUR",Release_Calendar!$B$2:$B$755,$A3520)&gt;0,1,0))</f>
        <v/>
      </c>
      <c r="P3520" s="16">
        <f t="shared" si="4"/>
        <v>0</v>
      </c>
    </row>
    <row r="3521" ht="15.75" customHeight="1">
      <c r="A3521" s="14">
        <v>41453.0</v>
      </c>
      <c r="B3521" s="15">
        <v>0.36</v>
      </c>
      <c r="C3521" s="15">
        <v>3.17</v>
      </c>
      <c r="D3521" s="15">
        <v>2.85</v>
      </c>
      <c r="E3521" s="15">
        <v>2.85</v>
      </c>
      <c r="F3521" s="15">
        <f t="shared" si="1"/>
        <v>2.81</v>
      </c>
      <c r="G3521" s="15">
        <f t="shared" si="2"/>
        <v>3.17</v>
      </c>
      <c r="H3521" s="16">
        <v>0.0</v>
      </c>
      <c r="I3521" s="15">
        <f t="shared" si="3"/>
        <v>2.81</v>
      </c>
      <c r="J3521" s="15">
        <v>16.86</v>
      </c>
      <c r="K3521" s="16">
        <f>IF(COUNTIFS(Release_Calendar!$A$2:$A$755,"US_CPI",Release_Calendar!$B$2:$B$755,$A3521)&gt;0,1,0)</f>
        <v>0</v>
      </c>
      <c r="L3521" s="16">
        <f>IF(COUNTIFS(Release_Calendar!$A$2:$A$755,"US_NFP",Release_Calendar!$B$2:$B$755,$A3521)&gt;0,1,0)</f>
        <v>0</v>
      </c>
      <c r="M3521" s="16" t="str">
        <f>IF($A3521&lt;Notes!$B$5,"",IF(COUNTIFS(Release_Calendar!$A$2:$A$755,"NZ_CPI",Release_Calendar!$B$2:$B$755,$A3521)&gt;0,1,0))</f>
        <v/>
      </c>
      <c r="N3521" s="16" t="str">
        <f>IF($A3521&lt;Notes!$B$5,"",IF(COUNTIFS(Release_Calendar!$A$2:$A$755,"NZ_GDP",Release_Calendar!$B$2:$B$755,$A3521)&gt;0,1,0))</f>
        <v/>
      </c>
      <c r="O3521" s="16" t="str">
        <f>IF($A3521&lt;Notes!$B$5,"",IF(COUNTIFS(Release_Calendar!$A$2:$A$755,"NZ_LABOUR",Release_Calendar!$B$2:$B$755,$A3521)&gt;0,1,0))</f>
        <v/>
      </c>
      <c r="P3521" s="16">
        <f t="shared" si="4"/>
        <v>0</v>
      </c>
    </row>
    <row r="3522" ht="15.75" customHeight="1">
      <c r="A3522" s="14">
        <v>41456.0</v>
      </c>
      <c r="B3522" s="15">
        <v>0.34</v>
      </c>
      <c r="C3522" s="15">
        <v>3.23</v>
      </c>
      <c r="D3522" s="15">
        <v>2.85</v>
      </c>
      <c r="E3522" s="15">
        <v>2.89</v>
      </c>
      <c r="F3522" s="15">
        <f t="shared" si="1"/>
        <v>2.89</v>
      </c>
      <c r="G3522" s="15">
        <f t="shared" si="2"/>
        <v>3.23</v>
      </c>
      <c r="H3522" s="16">
        <v>0.0</v>
      </c>
      <c r="I3522" s="15">
        <f t="shared" si="3"/>
        <v>2.89</v>
      </c>
      <c r="J3522" s="15">
        <v>16.37</v>
      </c>
      <c r="K3522" s="16">
        <f>IF(COUNTIFS(Release_Calendar!$A$2:$A$755,"US_CPI",Release_Calendar!$B$2:$B$755,$A3522)&gt;0,1,0)</f>
        <v>0</v>
      </c>
      <c r="L3522" s="16">
        <f>IF(COUNTIFS(Release_Calendar!$A$2:$A$755,"US_NFP",Release_Calendar!$B$2:$B$755,$A3522)&gt;0,1,0)</f>
        <v>0</v>
      </c>
      <c r="M3522" s="16" t="str">
        <f>IF($A3522&lt;Notes!$B$5,"",IF(COUNTIFS(Release_Calendar!$A$2:$A$755,"NZ_CPI",Release_Calendar!$B$2:$B$755,$A3522)&gt;0,1,0))</f>
        <v/>
      </c>
      <c r="N3522" s="16" t="str">
        <f>IF($A3522&lt;Notes!$B$5,"",IF(COUNTIFS(Release_Calendar!$A$2:$A$755,"NZ_GDP",Release_Calendar!$B$2:$B$755,$A3522)&gt;0,1,0))</f>
        <v/>
      </c>
      <c r="O3522" s="16" t="str">
        <f>IF($A3522&lt;Notes!$B$5,"",IF(COUNTIFS(Release_Calendar!$A$2:$A$755,"NZ_LABOUR",Release_Calendar!$B$2:$B$755,$A3522)&gt;0,1,0))</f>
        <v/>
      </c>
      <c r="P3522" s="16">
        <f t="shared" si="4"/>
        <v>0</v>
      </c>
    </row>
    <row r="3523" ht="15.75" customHeight="1">
      <c r="A3523" s="14">
        <v>41457.0</v>
      </c>
      <c r="B3523" s="15">
        <v>0.34</v>
      </c>
      <c r="C3523" s="15">
        <v>3.22</v>
      </c>
      <c r="D3523" s="15">
        <v>2.87</v>
      </c>
      <c r="E3523" s="15">
        <v>2.89</v>
      </c>
      <c r="F3523" s="15">
        <f t="shared" si="1"/>
        <v>2.88</v>
      </c>
      <c r="G3523" s="15">
        <f t="shared" si="2"/>
        <v>3.22</v>
      </c>
      <c r="H3523" s="16">
        <v>0.0</v>
      </c>
      <c r="I3523" s="15">
        <f t="shared" si="3"/>
        <v>2.88</v>
      </c>
      <c r="J3523" s="15">
        <v>16.44</v>
      </c>
      <c r="K3523" s="16">
        <f>IF(COUNTIFS(Release_Calendar!$A$2:$A$755,"US_CPI",Release_Calendar!$B$2:$B$755,$A3523)&gt;0,1,0)</f>
        <v>0</v>
      </c>
      <c r="L3523" s="16">
        <f>IF(COUNTIFS(Release_Calendar!$A$2:$A$755,"US_NFP",Release_Calendar!$B$2:$B$755,$A3523)&gt;0,1,0)</f>
        <v>0</v>
      </c>
      <c r="M3523" s="16" t="str">
        <f>IF($A3523&lt;Notes!$B$5,"",IF(COUNTIFS(Release_Calendar!$A$2:$A$755,"NZ_CPI",Release_Calendar!$B$2:$B$755,$A3523)&gt;0,1,0))</f>
        <v/>
      </c>
      <c r="N3523" s="16" t="str">
        <f>IF($A3523&lt;Notes!$B$5,"",IF(COUNTIFS(Release_Calendar!$A$2:$A$755,"NZ_GDP",Release_Calendar!$B$2:$B$755,$A3523)&gt;0,1,0))</f>
        <v/>
      </c>
      <c r="O3523" s="16" t="str">
        <f>IF($A3523&lt;Notes!$B$5,"",IF(COUNTIFS(Release_Calendar!$A$2:$A$755,"NZ_LABOUR",Release_Calendar!$B$2:$B$755,$A3523)&gt;0,1,0))</f>
        <v/>
      </c>
      <c r="P3523" s="16">
        <f t="shared" si="4"/>
        <v>0</v>
      </c>
    </row>
    <row r="3524" ht="15.75" customHeight="1">
      <c r="A3524" s="14">
        <v>41458.0</v>
      </c>
      <c r="B3524" s="15">
        <v>0.36</v>
      </c>
      <c r="C3524" s="15">
        <v>3.25</v>
      </c>
      <c r="D3524" s="15">
        <v>2.92</v>
      </c>
      <c r="E3524" s="15">
        <v>2.91</v>
      </c>
      <c r="F3524" s="15">
        <f t="shared" si="1"/>
        <v>2.89</v>
      </c>
      <c r="G3524" s="15">
        <f t="shared" si="2"/>
        <v>3.25</v>
      </c>
      <c r="H3524" s="16">
        <v>0.0</v>
      </c>
      <c r="I3524" s="15">
        <f t="shared" si="3"/>
        <v>2.89</v>
      </c>
      <c r="J3524" s="15">
        <v>16.2</v>
      </c>
      <c r="K3524" s="16">
        <f>IF(COUNTIFS(Release_Calendar!$A$2:$A$755,"US_CPI",Release_Calendar!$B$2:$B$755,$A3524)&gt;0,1,0)</f>
        <v>0</v>
      </c>
      <c r="L3524" s="16">
        <f>IF(COUNTIFS(Release_Calendar!$A$2:$A$755,"US_NFP",Release_Calendar!$B$2:$B$755,$A3524)&gt;0,1,0)</f>
        <v>0</v>
      </c>
      <c r="M3524" s="16" t="str">
        <f>IF($A3524&lt;Notes!$B$5,"",IF(COUNTIFS(Release_Calendar!$A$2:$A$755,"NZ_CPI",Release_Calendar!$B$2:$B$755,$A3524)&gt;0,1,0))</f>
        <v/>
      </c>
      <c r="N3524" s="16" t="str">
        <f>IF($A3524&lt;Notes!$B$5,"",IF(COUNTIFS(Release_Calendar!$A$2:$A$755,"NZ_GDP",Release_Calendar!$B$2:$B$755,$A3524)&gt;0,1,0))</f>
        <v/>
      </c>
      <c r="O3524" s="16" t="str">
        <f>IF($A3524&lt;Notes!$B$5,"",IF(COUNTIFS(Release_Calendar!$A$2:$A$755,"NZ_LABOUR",Release_Calendar!$B$2:$B$755,$A3524)&gt;0,1,0))</f>
        <v/>
      </c>
      <c r="P3524" s="16">
        <f t="shared" si="4"/>
        <v>0</v>
      </c>
    </row>
    <row r="3525" ht="15.75" customHeight="1">
      <c r="A3525" s="14">
        <v>41459.0</v>
      </c>
      <c r="B3525" s="15"/>
      <c r="C3525" s="15">
        <v>3.3</v>
      </c>
      <c r="D3525" s="15">
        <v>2.95</v>
      </c>
      <c r="E3525" s="15">
        <v>2.97</v>
      </c>
      <c r="F3525" s="15" t="str">
        <f t="shared" si="1"/>
        <v/>
      </c>
      <c r="G3525" s="15">
        <f t="shared" si="2"/>
        <v>3.3</v>
      </c>
      <c r="H3525" s="16">
        <v>0.0</v>
      </c>
      <c r="I3525" s="15" t="str">
        <f t="shared" si="3"/>
        <v/>
      </c>
      <c r="J3525" s="15"/>
      <c r="K3525" s="16">
        <f>IF(COUNTIFS(Release_Calendar!$A$2:$A$755,"US_CPI",Release_Calendar!$B$2:$B$755,$A3525)&gt;0,1,0)</f>
        <v>0</v>
      </c>
      <c r="L3525" s="16">
        <f>IF(COUNTIFS(Release_Calendar!$A$2:$A$755,"US_NFP",Release_Calendar!$B$2:$B$755,$A3525)&gt;0,1,0)</f>
        <v>0</v>
      </c>
      <c r="M3525" s="16" t="str">
        <f>IF($A3525&lt;Notes!$B$5,"",IF(COUNTIFS(Release_Calendar!$A$2:$A$755,"NZ_CPI",Release_Calendar!$B$2:$B$755,$A3525)&gt;0,1,0))</f>
        <v/>
      </c>
      <c r="N3525" s="16" t="str">
        <f>IF($A3525&lt;Notes!$B$5,"",IF(COUNTIFS(Release_Calendar!$A$2:$A$755,"NZ_GDP",Release_Calendar!$B$2:$B$755,$A3525)&gt;0,1,0))</f>
        <v/>
      </c>
      <c r="O3525" s="16" t="str">
        <f>IF($A3525&lt;Notes!$B$5,"",IF(COUNTIFS(Release_Calendar!$A$2:$A$755,"NZ_LABOUR",Release_Calendar!$B$2:$B$755,$A3525)&gt;0,1,0))</f>
        <v/>
      </c>
      <c r="P3525" s="16">
        <f t="shared" si="4"/>
        <v>0</v>
      </c>
    </row>
    <row r="3526" ht="15.75" customHeight="1">
      <c r="A3526" s="14">
        <v>41460.0</v>
      </c>
      <c r="B3526" s="15">
        <v>0.4</v>
      </c>
      <c r="C3526" s="15">
        <v>3.29</v>
      </c>
      <c r="D3526" s="15">
        <v>2.95</v>
      </c>
      <c r="E3526" s="15">
        <v>2.96</v>
      </c>
      <c r="F3526" s="15">
        <f t="shared" si="1"/>
        <v>2.89</v>
      </c>
      <c r="G3526" s="15">
        <f t="shared" si="2"/>
        <v>3.29</v>
      </c>
      <c r="H3526" s="16">
        <v>0.0</v>
      </c>
      <c r="I3526" s="15">
        <f t="shared" si="3"/>
        <v>2.89</v>
      </c>
      <c r="J3526" s="15">
        <v>14.89</v>
      </c>
      <c r="K3526" s="16">
        <f>IF(COUNTIFS(Release_Calendar!$A$2:$A$755,"US_CPI",Release_Calendar!$B$2:$B$755,$A3526)&gt;0,1,0)</f>
        <v>0</v>
      </c>
      <c r="L3526" s="16">
        <f>IF(COUNTIFS(Release_Calendar!$A$2:$A$755,"US_NFP",Release_Calendar!$B$2:$B$755,$A3526)&gt;0,1,0)</f>
        <v>1</v>
      </c>
      <c r="M3526" s="16" t="str">
        <f>IF($A3526&lt;Notes!$B$5,"",IF(COUNTIFS(Release_Calendar!$A$2:$A$755,"NZ_CPI",Release_Calendar!$B$2:$B$755,$A3526)&gt;0,1,0))</f>
        <v/>
      </c>
      <c r="N3526" s="16" t="str">
        <f>IF($A3526&lt;Notes!$B$5,"",IF(COUNTIFS(Release_Calendar!$A$2:$A$755,"NZ_GDP",Release_Calendar!$B$2:$B$755,$A3526)&gt;0,1,0))</f>
        <v/>
      </c>
      <c r="O3526" s="16" t="str">
        <f>IF($A3526&lt;Notes!$B$5,"",IF(COUNTIFS(Release_Calendar!$A$2:$A$755,"NZ_LABOUR",Release_Calendar!$B$2:$B$755,$A3526)&gt;0,1,0))</f>
        <v/>
      </c>
      <c r="P3526" s="16">
        <f t="shared" si="4"/>
        <v>1</v>
      </c>
    </row>
    <row r="3527" ht="15.75" customHeight="1">
      <c r="A3527" s="14">
        <v>41463.0</v>
      </c>
      <c r="B3527" s="15">
        <v>0.37</v>
      </c>
      <c r="C3527" s="15">
        <v>3.35</v>
      </c>
      <c r="D3527" s="15">
        <v>3.02</v>
      </c>
      <c r="E3527" s="15">
        <v>2.98</v>
      </c>
      <c r="F3527" s="15">
        <f t="shared" si="1"/>
        <v>2.98</v>
      </c>
      <c r="G3527" s="15">
        <f t="shared" si="2"/>
        <v>3.35</v>
      </c>
      <c r="H3527" s="16">
        <v>0.0</v>
      </c>
      <c r="I3527" s="15">
        <f t="shared" si="3"/>
        <v>2.98</v>
      </c>
      <c r="J3527" s="15">
        <v>14.78</v>
      </c>
      <c r="K3527" s="16">
        <f>IF(COUNTIFS(Release_Calendar!$A$2:$A$755,"US_CPI",Release_Calendar!$B$2:$B$755,$A3527)&gt;0,1,0)</f>
        <v>0</v>
      </c>
      <c r="L3527" s="16">
        <f>IF(COUNTIFS(Release_Calendar!$A$2:$A$755,"US_NFP",Release_Calendar!$B$2:$B$755,$A3527)&gt;0,1,0)</f>
        <v>0</v>
      </c>
      <c r="M3527" s="16" t="str">
        <f>IF($A3527&lt;Notes!$B$5,"",IF(COUNTIFS(Release_Calendar!$A$2:$A$755,"NZ_CPI",Release_Calendar!$B$2:$B$755,$A3527)&gt;0,1,0))</f>
        <v/>
      </c>
      <c r="N3527" s="16" t="str">
        <f>IF($A3527&lt;Notes!$B$5,"",IF(COUNTIFS(Release_Calendar!$A$2:$A$755,"NZ_GDP",Release_Calendar!$B$2:$B$755,$A3527)&gt;0,1,0))</f>
        <v/>
      </c>
      <c r="O3527" s="16" t="str">
        <f>IF($A3527&lt;Notes!$B$5,"",IF(COUNTIFS(Release_Calendar!$A$2:$A$755,"NZ_LABOUR",Release_Calendar!$B$2:$B$755,$A3527)&gt;0,1,0))</f>
        <v/>
      </c>
      <c r="P3527" s="16">
        <f t="shared" si="4"/>
        <v>0</v>
      </c>
    </row>
    <row r="3528" ht="15.75" customHeight="1">
      <c r="A3528" s="14">
        <v>41464.0</v>
      </c>
      <c r="B3528" s="15">
        <v>0.37</v>
      </c>
      <c r="C3528" s="15">
        <v>3.3</v>
      </c>
      <c r="D3528" s="15">
        <v>2.92</v>
      </c>
      <c r="E3528" s="15">
        <v>2.93</v>
      </c>
      <c r="F3528" s="15">
        <f t="shared" si="1"/>
        <v>2.93</v>
      </c>
      <c r="G3528" s="15">
        <f t="shared" si="2"/>
        <v>3.3</v>
      </c>
      <c r="H3528" s="16">
        <v>0.0</v>
      </c>
      <c r="I3528" s="15">
        <f t="shared" si="3"/>
        <v>2.93</v>
      </c>
      <c r="J3528" s="15">
        <v>14.35</v>
      </c>
      <c r="K3528" s="16">
        <f>IF(COUNTIFS(Release_Calendar!$A$2:$A$755,"US_CPI",Release_Calendar!$B$2:$B$755,$A3528)&gt;0,1,0)</f>
        <v>0</v>
      </c>
      <c r="L3528" s="16">
        <f>IF(COUNTIFS(Release_Calendar!$A$2:$A$755,"US_NFP",Release_Calendar!$B$2:$B$755,$A3528)&gt;0,1,0)</f>
        <v>0</v>
      </c>
      <c r="M3528" s="16" t="str">
        <f>IF($A3528&lt;Notes!$B$5,"",IF(COUNTIFS(Release_Calendar!$A$2:$A$755,"NZ_CPI",Release_Calendar!$B$2:$B$755,$A3528)&gt;0,1,0))</f>
        <v/>
      </c>
      <c r="N3528" s="16" t="str">
        <f>IF($A3528&lt;Notes!$B$5,"",IF(COUNTIFS(Release_Calendar!$A$2:$A$755,"NZ_GDP",Release_Calendar!$B$2:$B$755,$A3528)&gt;0,1,0))</f>
        <v/>
      </c>
      <c r="O3528" s="16" t="str">
        <f>IF($A3528&lt;Notes!$B$5,"",IF(COUNTIFS(Release_Calendar!$A$2:$A$755,"NZ_LABOUR",Release_Calendar!$B$2:$B$755,$A3528)&gt;0,1,0))</f>
        <v/>
      </c>
      <c r="P3528" s="16">
        <f t="shared" si="4"/>
        <v>0</v>
      </c>
    </row>
    <row r="3529" ht="15.75" customHeight="1">
      <c r="A3529" s="14">
        <v>41465.0</v>
      </c>
      <c r="B3529" s="15">
        <v>0.38</v>
      </c>
      <c r="C3529" s="15">
        <v>3.25</v>
      </c>
      <c r="D3529" s="15">
        <v>2.89</v>
      </c>
      <c r="E3529" s="15">
        <v>2.88</v>
      </c>
      <c r="F3529" s="15">
        <f t="shared" si="1"/>
        <v>2.87</v>
      </c>
      <c r="G3529" s="15">
        <f t="shared" si="2"/>
        <v>3.25</v>
      </c>
      <c r="H3529" s="16">
        <v>0.0</v>
      </c>
      <c r="I3529" s="15">
        <f t="shared" si="3"/>
        <v>2.87</v>
      </c>
      <c r="J3529" s="15">
        <v>14.21</v>
      </c>
      <c r="K3529" s="16">
        <f>IF(COUNTIFS(Release_Calendar!$A$2:$A$755,"US_CPI",Release_Calendar!$B$2:$B$755,$A3529)&gt;0,1,0)</f>
        <v>0</v>
      </c>
      <c r="L3529" s="16">
        <f>IF(COUNTIFS(Release_Calendar!$A$2:$A$755,"US_NFP",Release_Calendar!$B$2:$B$755,$A3529)&gt;0,1,0)</f>
        <v>0</v>
      </c>
      <c r="M3529" s="16" t="str">
        <f>IF($A3529&lt;Notes!$B$5,"",IF(COUNTIFS(Release_Calendar!$A$2:$A$755,"NZ_CPI",Release_Calendar!$B$2:$B$755,$A3529)&gt;0,1,0))</f>
        <v/>
      </c>
      <c r="N3529" s="16" t="str">
        <f>IF($A3529&lt;Notes!$B$5,"",IF(COUNTIFS(Release_Calendar!$A$2:$A$755,"NZ_GDP",Release_Calendar!$B$2:$B$755,$A3529)&gt;0,1,0))</f>
        <v/>
      </c>
      <c r="O3529" s="16" t="str">
        <f>IF($A3529&lt;Notes!$B$5,"",IF(COUNTIFS(Release_Calendar!$A$2:$A$755,"NZ_LABOUR",Release_Calendar!$B$2:$B$755,$A3529)&gt;0,1,0))</f>
        <v/>
      </c>
      <c r="P3529" s="16">
        <f t="shared" si="4"/>
        <v>0</v>
      </c>
    </row>
    <row r="3530" ht="15.75" customHeight="1">
      <c r="A3530" s="14">
        <v>41466.0</v>
      </c>
      <c r="B3530" s="15">
        <v>0.34</v>
      </c>
      <c r="C3530" s="15">
        <v>3.19</v>
      </c>
      <c r="D3530" s="15">
        <v>2.79</v>
      </c>
      <c r="E3530" s="15">
        <v>2.84</v>
      </c>
      <c r="F3530" s="15">
        <f t="shared" si="1"/>
        <v>2.85</v>
      </c>
      <c r="G3530" s="15">
        <f t="shared" si="2"/>
        <v>3.19</v>
      </c>
      <c r="H3530" s="16">
        <v>0.0</v>
      </c>
      <c r="I3530" s="15">
        <f t="shared" si="3"/>
        <v>2.85</v>
      </c>
      <c r="J3530" s="15">
        <v>14.01</v>
      </c>
      <c r="K3530" s="16">
        <f>IF(COUNTIFS(Release_Calendar!$A$2:$A$755,"US_CPI",Release_Calendar!$B$2:$B$755,$A3530)&gt;0,1,0)</f>
        <v>0</v>
      </c>
      <c r="L3530" s="16">
        <f>IF(COUNTIFS(Release_Calendar!$A$2:$A$755,"US_NFP",Release_Calendar!$B$2:$B$755,$A3530)&gt;0,1,0)</f>
        <v>0</v>
      </c>
      <c r="M3530" s="16" t="str">
        <f>IF($A3530&lt;Notes!$B$5,"",IF(COUNTIFS(Release_Calendar!$A$2:$A$755,"NZ_CPI",Release_Calendar!$B$2:$B$755,$A3530)&gt;0,1,0))</f>
        <v/>
      </c>
      <c r="N3530" s="16" t="str">
        <f>IF($A3530&lt;Notes!$B$5,"",IF(COUNTIFS(Release_Calendar!$A$2:$A$755,"NZ_GDP",Release_Calendar!$B$2:$B$755,$A3530)&gt;0,1,0))</f>
        <v/>
      </c>
      <c r="O3530" s="16" t="str">
        <f>IF($A3530&lt;Notes!$B$5,"",IF(COUNTIFS(Release_Calendar!$A$2:$A$755,"NZ_LABOUR",Release_Calendar!$B$2:$B$755,$A3530)&gt;0,1,0))</f>
        <v/>
      </c>
      <c r="P3530" s="16">
        <f t="shared" si="4"/>
        <v>0</v>
      </c>
    </row>
    <row r="3531" ht="15.75" customHeight="1">
      <c r="A3531" s="14">
        <v>41467.0</v>
      </c>
      <c r="B3531" s="15">
        <v>0.37</v>
      </c>
      <c r="C3531" s="15">
        <v>3.19</v>
      </c>
      <c r="D3531" s="15">
        <v>2.84</v>
      </c>
      <c r="E3531" s="15">
        <v>2.84</v>
      </c>
      <c r="F3531" s="15">
        <f t="shared" si="1"/>
        <v>2.82</v>
      </c>
      <c r="G3531" s="15">
        <f t="shared" si="2"/>
        <v>3.19</v>
      </c>
      <c r="H3531" s="16">
        <v>0.0</v>
      </c>
      <c r="I3531" s="15">
        <f t="shared" si="3"/>
        <v>2.82</v>
      </c>
      <c r="J3531" s="15">
        <v>13.84</v>
      </c>
      <c r="K3531" s="16">
        <f>IF(COUNTIFS(Release_Calendar!$A$2:$A$755,"US_CPI",Release_Calendar!$B$2:$B$755,$A3531)&gt;0,1,0)</f>
        <v>0</v>
      </c>
      <c r="L3531" s="16">
        <f>IF(COUNTIFS(Release_Calendar!$A$2:$A$755,"US_NFP",Release_Calendar!$B$2:$B$755,$A3531)&gt;0,1,0)</f>
        <v>0</v>
      </c>
      <c r="M3531" s="16" t="str">
        <f>IF($A3531&lt;Notes!$B$5,"",IF(COUNTIFS(Release_Calendar!$A$2:$A$755,"NZ_CPI",Release_Calendar!$B$2:$B$755,$A3531)&gt;0,1,0))</f>
        <v/>
      </c>
      <c r="N3531" s="16" t="str">
        <f>IF($A3531&lt;Notes!$B$5,"",IF(COUNTIFS(Release_Calendar!$A$2:$A$755,"NZ_GDP",Release_Calendar!$B$2:$B$755,$A3531)&gt;0,1,0))</f>
        <v/>
      </c>
      <c r="O3531" s="16" t="str">
        <f>IF($A3531&lt;Notes!$B$5,"",IF(COUNTIFS(Release_Calendar!$A$2:$A$755,"NZ_LABOUR",Release_Calendar!$B$2:$B$755,$A3531)&gt;0,1,0))</f>
        <v/>
      </c>
      <c r="P3531" s="16">
        <f t="shared" si="4"/>
        <v>0</v>
      </c>
    </row>
    <row r="3532" ht="15.75" customHeight="1">
      <c r="A3532" s="14">
        <v>41470.0</v>
      </c>
      <c r="B3532" s="15">
        <v>0.34</v>
      </c>
      <c r="C3532" s="15">
        <v>3.21</v>
      </c>
      <c r="D3532" s="15">
        <v>2.83</v>
      </c>
      <c r="E3532" s="15">
        <v>2.82</v>
      </c>
      <c r="F3532" s="15">
        <f t="shared" si="1"/>
        <v>2.87</v>
      </c>
      <c r="G3532" s="15">
        <f t="shared" si="2"/>
        <v>3.21</v>
      </c>
      <c r="H3532" s="16">
        <v>0.0</v>
      </c>
      <c r="I3532" s="15">
        <f t="shared" si="3"/>
        <v>2.87</v>
      </c>
      <c r="J3532" s="15">
        <v>13.79</v>
      </c>
      <c r="K3532" s="16">
        <f>IF(COUNTIFS(Release_Calendar!$A$2:$A$755,"US_CPI",Release_Calendar!$B$2:$B$755,$A3532)&gt;0,1,0)</f>
        <v>0</v>
      </c>
      <c r="L3532" s="16">
        <f>IF(COUNTIFS(Release_Calendar!$A$2:$A$755,"US_NFP",Release_Calendar!$B$2:$B$755,$A3532)&gt;0,1,0)</f>
        <v>0</v>
      </c>
      <c r="M3532" s="16" t="str">
        <f>IF($A3532&lt;Notes!$B$5,"",IF(COUNTIFS(Release_Calendar!$A$2:$A$755,"NZ_CPI",Release_Calendar!$B$2:$B$755,$A3532)&gt;0,1,0))</f>
        <v/>
      </c>
      <c r="N3532" s="16" t="str">
        <f>IF($A3532&lt;Notes!$B$5,"",IF(COUNTIFS(Release_Calendar!$A$2:$A$755,"NZ_GDP",Release_Calendar!$B$2:$B$755,$A3532)&gt;0,1,0))</f>
        <v/>
      </c>
      <c r="O3532" s="16" t="str">
        <f>IF($A3532&lt;Notes!$B$5,"",IF(COUNTIFS(Release_Calendar!$A$2:$A$755,"NZ_LABOUR",Release_Calendar!$B$2:$B$755,$A3532)&gt;0,1,0))</f>
        <v/>
      </c>
      <c r="P3532" s="16">
        <f t="shared" si="4"/>
        <v>0</v>
      </c>
    </row>
    <row r="3533" ht="15.75" customHeight="1">
      <c r="A3533" s="14">
        <v>41471.0</v>
      </c>
      <c r="B3533" s="15">
        <v>0.34</v>
      </c>
      <c r="C3533" s="15">
        <v>3.22</v>
      </c>
      <c r="D3533" s="15">
        <v>2.8</v>
      </c>
      <c r="E3533" s="15">
        <v>2.81</v>
      </c>
      <c r="F3533" s="15">
        <f t="shared" si="1"/>
        <v>2.88</v>
      </c>
      <c r="G3533" s="15">
        <f t="shared" si="2"/>
        <v>3.22</v>
      </c>
      <c r="H3533" s="16">
        <v>0.0</v>
      </c>
      <c r="I3533" s="15">
        <f t="shared" si="3"/>
        <v>2.88</v>
      </c>
      <c r="J3533" s="15">
        <v>14.42</v>
      </c>
      <c r="K3533" s="16">
        <f>IF(COUNTIFS(Release_Calendar!$A$2:$A$755,"US_CPI",Release_Calendar!$B$2:$B$755,$A3533)&gt;0,1,0)</f>
        <v>1</v>
      </c>
      <c r="L3533" s="16">
        <f>IF(COUNTIFS(Release_Calendar!$A$2:$A$755,"US_NFP",Release_Calendar!$B$2:$B$755,$A3533)&gt;0,1,0)</f>
        <v>0</v>
      </c>
      <c r="M3533" s="16" t="str">
        <f>IF($A3533&lt;Notes!$B$5,"",IF(COUNTIFS(Release_Calendar!$A$2:$A$755,"NZ_CPI",Release_Calendar!$B$2:$B$755,$A3533)&gt;0,1,0))</f>
        <v/>
      </c>
      <c r="N3533" s="16" t="str">
        <f>IF($A3533&lt;Notes!$B$5,"",IF(COUNTIFS(Release_Calendar!$A$2:$A$755,"NZ_GDP",Release_Calendar!$B$2:$B$755,$A3533)&gt;0,1,0))</f>
        <v/>
      </c>
      <c r="O3533" s="16" t="str">
        <f>IF($A3533&lt;Notes!$B$5,"",IF(COUNTIFS(Release_Calendar!$A$2:$A$755,"NZ_LABOUR",Release_Calendar!$B$2:$B$755,$A3533)&gt;0,1,0))</f>
        <v/>
      </c>
      <c r="P3533" s="16">
        <f t="shared" si="4"/>
        <v>1</v>
      </c>
    </row>
    <row r="3534" ht="15.75" customHeight="1">
      <c r="A3534" s="14">
        <v>41472.0</v>
      </c>
      <c r="B3534" s="15">
        <v>0.32</v>
      </c>
      <c r="C3534" s="15">
        <v>3.21</v>
      </c>
      <c r="D3534" s="15">
        <v>2.82</v>
      </c>
      <c r="E3534" s="15">
        <v>2.8</v>
      </c>
      <c r="F3534" s="15">
        <f t="shared" si="1"/>
        <v>2.89</v>
      </c>
      <c r="G3534" s="15">
        <f t="shared" si="2"/>
        <v>3.21</v>
      </c>
      <c r="H3534" s="16">
        <v>0.0</v>
      </c>
      <c r="I3534" s="15">
        <f t="shared" si="3"/>
        <v>2.89</v>
      </c>
      <c r="J3534" s="15">
        <v>13.78</v>
      </c>
      <c r="K3534" s="16">
        <f>IF(COUNTIFS(Release_Calendar!$A$2:$A$755,"US_CPI",Release_Calendar!$B$2:$B$755,$A3534)&gt;0,1,0)</f>
        <v>0</v>
      </c>
      <c r="L3534" s="16">
        <f>IF(COUNTIFS(Release_Calendar!$A$2:$A$755,"US_NFP",Release_Calendar!$B$2:$B$755,$A3534)&gt;0,1,0)</f>
        <v>0</v>
      </c>
      <c r="M3534" s="16" t="str">
        <f>IF($A3534&lt;Notes!$B$5,"",IF(COUNTIFS(Release_Calendar!$A$2:$A$755,"NZ_CPI",Release_Calendar!$B$2:$B$755,$A3534)&gt;0,1,0))</f>
        <v/>
      </c>
      <c r="N3534" s="16" t="str">
        <f>IF($A3534&lt;Notes!$B$5,"",IF(COUNTIFS(Release_Calendar!$A$2:$A$755,"NZ_GDP",Release_Calendar!$B$2:$B$755,$A3534)&gt;0,1,0))</f>
        <v/>
      </c>
      <c r="O3534" s="16" t="str">
        <f>IF($A3534&lt;Notes!$B$5,"",IF(COUNTIFS(Release_Calendar!$A$2:$A$755,"NZ_LABOUR",Release_Calendar!$B$2:$B$755,$A3534)&gt;0,1,0))</f>
        <v/>
      </c>
      <c r="P3534" s="16">
        <f t="shared" si="4"/>
        <v>0</v>
      </c>
    </row>
    <row r="3535" ht="15.75" customHeight="1">
      <c r="A3535" s="14">
        <v>41473.0</v>
      </c>
      <c r="B3535" s="15">
        <v>0.32</v>
      </c>
      <c r="C3535" s="15">
        <v>3.21</v>
      </c>
      <c r="D3535" s="15">
        <v>2.78</v>
      </c>
      <c r="E3535" s="15">
        <v>2.77</v>
      </c>
      <c r="F3535" s="15">
        <f t="shared" si="1"/>
        <v>2.89</v>
      </c>
      <c r="G3535" s="15">
        <f t="shared" si="2"/>
        <v>3.21</v>
      </c>
      <c r="H3535" s="16">
        <v>0.0</v>
      </c>
      <c r="I3535" s="15">
        <f t="shared" si="3"/>
        <v>2.89</v>
      </c>
      <c r="J3535" s="15">
        <v>13.77</v>
      </c>
      <c r="K3535" s="16">
        <f>IF(COUNTIFS(Release_Calendar!$A$2:$A$755,"US_CPI",Release_Calendar!$B$2:$B$755,$A3535)&gt;0,1,0)</f>
        <v>0</v>
      </c>
      <c r="L3535" s="16">
        <f>IF(COUNTIFS(Release_Calendar!$A$2:$A$755,"US_NFP",Release_Calendar!$B$2:$B$755,$A3535)&gt;0,1,0)</f>
        <v>0</v>
      </c>
      <c r="M3535" s="16" t="str">
        <f>IF($A3535&lt;Notes!$B$5,"",IF(COUNTIFS(Release_Calendar!$A$2:$A$755,"NZ_CPI",Release_Calendar!$B$2:$B$755,$A3535)&gt;0,1,0))</f>
        <v/>
      </c>
      <c r="N3535" s="16" t="str">
        <f>IF($A3535&lt;Notes!$B$5,"",IF(COUNTIFS(Release_Calendar!$A$2:$A$755,"NZ_GDP",Release_Calendar!$B$2:$B$755,$A3535)&gt;0,1,0))</f>
        <v/>
      </c>
      <c r="O3535" s="16" t="str">
        <f>IF($A3535&lt;Notes!$B$5,"",IF(COUNTIFS(Release_Calendar!$A$2:$A$755,"NZ_LABOUR",Release_Calendar!$B$2:$B$755,$A3535)&gt;0,1,0))</f>
        <v/>
      </c>
      <c r="P3535" s="16">
        <f t="shared" si="4"/>
        <v>0</v>
      </c>
    </row>
    <row r="3536" ht="15.75" customHeight="1">
      <c r="A3536" s="14">
        <v>41474.0</v>
      </c>
      <c r="B3536" s="15">
        <v>0.32</v>
      </c>
      <c r="C3536" s="15">
        <v>3.22</v>
      </c>
      <c r="D3536" s="15">
        <v>2.78</v>
      </c>
      <c r="E3536" s="15">
        <v>2.78</v>
      </c>
      <c r="F3536" s="15">
        <f t="shared" si="1"/>
        <v>2.9</v>
      </c>
      <c r="G3536" s="15">
        <f t="shared" si="2"/>
        <v>3.22</v>
      </c>
      <c r="H3536" s="16">
        <v>0.0</v>
      </c>
      <c r="I3536" s="15">
        <f t="shared" si="3"/>
        <v>2.9</v>
      </c>
      <c r="J3536" s="15">
        <v>12.54</v>
      </c>
      <c r="K3536" s="16">
        <f>IF(COUNTIFS(Release_Calendar!$A$2:$A$755,"US_CPI",Release_Calendar!$B$2:$B$755,$A3536)&gt;0,1,0)</f>
        <v>0</v>
      </c>
      <c r="L3536" s="16">
        <f>IF(COUNTIFS(Release_Calendar!$A$2:$A$755,"US_NFP",Release_Calendar!$B$2:$B$755,$A3536)&gt;0,1,0)</f>
        <v>0</v>
      </c>
      <c r="M3536" s="16" t="str">
        <f>IF($A3536&lt;Notes!$B$5,"",IF(COUNTIFS(Release_Calendar!$A$2:$A$755,"NZ_CPI",Release_Calendar!$B$2:$B$755,$A3536)&gt;0,1,0))</f>
        <v/>
      </c>
      <c r="N3536" s="16" t="str">
        <f>IF($A3536&lt;Notes!$B$5,"",IF(COUNTIFS(Release_Calendar!$A$2:$A$755,"NZ_GDP",Release_Calendar!$B$2:$B$755,$A3536)&gt;0,1,0))</f>
        <v/>
      </c>
      <c r="O3536" s="16" t="str">
        <f>IF($A3536&lt;Notes!$B$5,"",IF(COUNTIFS(Release_Calendar!$A$2:$A$755,"NZ_LABOUR",Release_Calendar!$B$2:$B$755,$A3536)&gt;0,1,0))</f>
        <v/>
      </c>
      <c r="P3536" s="16">
        <f t="shared" si="4"/>
        <v>0</v>
      </c>
    </row>
    <row r="3537" ht="15.75" customHeight="1">
      <c r="A3537" s="14">
        <v>41477.0</v>
      </c>
      <c r="B3537" s="15">
        <v>0.32</v>
      </c>
      <c r="C3537" s="15">
        <v>3.16</v>
      </c>
      <c r="D3537" s="15">
        <v>2.77</v>
      </c>
      <c r="E3537" s="15">
        <v>2.73</v>
      </c>
      <c r="F3537" s="15">
        <f t="shared" si="1"/>
        <v>2.84</v>
      </c>
      <c r="G3537" s="15">
        <f t="shared" si="2"/>
        <v>3.16</v>
      </c>
      <c r="H3537" s="16">
        <v>0.0</v>
      </c>
      <c r="I3537" s="15">
        <f t="shared" si="3"/>
        <v>2.84</v>
      </c>
      <c r="J3537" s="15">
        <v>12.29</v>
      </c>
      <c r="K3537" s="16">
        <f>IF(COUNTIFS(Release_Calendar!$A$2:$A$755,"US_CPI",Release_Calendar!$B$2:$B$755,$A3537)&gt;0,1,0)</f>
        <v>0</v>
      </c>
      <c r="L3537" s="16">
        <f>IF(COUNTIFS(Release_Calendar!$A$2:$A$755,"US_NFP",Release_Calendar!$B$2:$B$755,$A3537)&gt;0,1,0)</f>
        <v>0</v>
      </c>
      <c r="M3537" s="16" t="str">
        <f>IF($A3537&lt;Notes!$B$5,"",IF(COUNTIFS(Release_Calendar!$A$2:$A$755,"NZ_CPI",Release_Calendar!$B$2:$B$755,$A3537)&gt;0,1,0))</f>
        <v/>
      </c>
      <c r="N3537" s="16" t="str">
        <f>IF($A3537&lt;Notes!$B$5,"",IF(COUNTIFS(Release_Calendar!$A$2:$A$755,"NZ_GDP",Release_Calendar!$B$2:$B$755,$A3537)&gt;0,1,0))</f>
        <v/>
      </c>
      <c r="O3537" s="16" t="str">
        <f>IF($A3537&lt;Notes!$B$5,"",IF(COUNTIFS(Release_Calendar!$A$2:$A$755,"NZ_LABOUR",Release_Calendar!$B$2:$B$755,$A3537)&gt;0,1,0))</f>
        <v/>
      </c>
      <c r="P3537" s="16">
        <f t="shared" si="4"/>
        <v>0</v>
      </c>
    </row>
    <row r="3538" ht="15.75" customHeight="1">
      <c r="A3538" s="14">
        <v>41478.0</v>
      </c>
      <c r="B3538" s="15">
        <v>0.33</v>
      </c>
      <c r="C3538" s="15">
        <v>3.18</v>
      </c>
      <c r="D3538" s="15">
        <v>2.77</v>
      </c>
      <c r="E3538" s="15">
        <v>2.73</v>
      </c>
      <c r="F3538" s="15">
        <f t="shared" si="1"/>
        <v>2.85</v>
      </c>
      <c r="G3538" s="15">
        <f t="shared" si="2"/>
        <v>3.18</v>
      </c>
      <c r="H3538" s="16">
        <v>0.0</v>
      </c>
      <c r="I3538" s="15">
        <f t="shared" si="3"/>
        <v>2.85</v>
      </c>
      <c r="J3538" s="15">
        <v>12.66</v>
      </c>
      <c r="K3538" s="16">
        <f>IF(COUNTIFS(Release_Calendar!$A$2:$A$755,"US_CPI",Release_Calendar!$B$2:$B$755,$A3538)&gt;0,1,0)</f>
        <v>0</v>
      </c>
      <c r="L3538" s="16">
        <f>IF(COUNTIFS(Release_Calendar!$A$2:$A$755,"US_NFP",Release_Calendar!$B$2:$B$755,$A3538)&gt;0,1,0)</f>
        <v>0</v>
      </c>
      <c r="M3538" s="16" t="str">
        <f>IF($A3538&lt;Notes!$B$5,"",IF(COUNTIFS(Release_Calendar!$A$2:$A$755,"NZ_CPI",Release_Calendar!$B$2:$B$755,$A3538)&gt;0,1,0))</f>
        <v/>
      </c>
      <c r="N3538" s="16" t="str">
        <f>IF($A3538&lt;Notes!$B$5,"",IF(COUNTIFS(Release_Calendar!$A$2:$A$755,"NZ_GDP",Release_Calendar!$B$2:$B$755,$A3538)&gt;0,1,0))</f>
        <v/>
      </c>
      <c r="O3538" s="16" t="str">
        <f>IF($A3538&lt;Notes!$B$5,"",IF(COUNTIFS(Release_Calendar!$A$2:$A$755,"NZ_LABOUR",Release_Calendar!$B$2:$B$755,$A3538)&gt;0,1,0))</f>
        <v/>
      </c>
      <c r="P3538" s="16">
        <f t="shared" si="4"/>
        <v>0</v>
      </c>
    </row>
    <row r="3539" ht="15.75" customHeight="1">
      <c r="A3539" s="14">
        <v>41479.0</v>
      </c>
      <c r="B3539" s="15">
        <v>0.34</v>
      </c>
      <c r="C3539" s="15">
        <v>3.2</v>
      </c>
      <c r="D3539" s="15">
        <v>2.73</v>
      </c>
      <c r="E3539" s="15">
        <v>2.73</v>
      </c>
      <c r="F3539" s="15">
        <f t="shared" si="1"/>
        <v>2.86</v>
      </c>
      <c r="G3539" s="15">
        <f t="shared" si="2"/>
        <v>3.2</v>
      </c>
      <c r="H3539" s="16">
        <v>0.0</v>
      </c>
      <c r="I3539" s="15">
        <f t="shared" si="3"/>
        <v>2.86</v>
      </c>
      <c r="J3539" s="15">
        <v>13.18</v>
      </c>
      <c r="K3539" s="16">
        <f>IF(COUNTIFS(Release_Calendar!$A$2:$A$755,"US_CPI",Release_Calendar!$B$2:$B$755,$A3539)&gt;0,1,0)</f>
        <v>0</v>
      </c>
      <c r="L3539" s="16">
        <f>IF(COUNTIFS(Release_Calendar!$A$2:$A$755,"US_NFP",Release_Calendar!$B$2:$B$755,$A3539)&gt;0,1,0)</f>
        <v>0</v>
      </c>
      <c r="M3539" s="16" t="str">
        <f>IF($A3539&lt;Notes!$B$5,"",IF(COUNTIFS(Release_Calendar!$A$2:$A$755,"NZ_CPI",Release_Calendar!$B$2:$B$755,$A3539)&gt;0,1,0))</f>
        <v/>
      </c>
      <c r="N3539" s="16" t="str">
        <f>IF($A3539&lt;Notes!$B$5,"",IF(COUNTIFS(Release_Calendar!$A$2:$A$755,"NZ_GDP",Release_Calendar!$B$2:$B$755,$A3539)&gt;0,1,0))</f>
        <v/>
      </c>
      <c r="O3539" s="16" t="str">
        <f>IF($A3539&lt;Notes!$B$5,"",IF(COUNTIFS(Release_Calendar!$A$2:$A$755,"NZ_LABOUR",Release_Calendar!$B$2:$B$755,$A3539)&gt;0,1,0))</f>
        <v/>
      </c>
      <c r="P3539" s="16">
        <f t="shared" si="4"/>
        <v>0</v>
      </c>
    </row>
    <row r="3540" ht="15.75" customHeight="1">
      <c r="A3540" s="14">
        <v>41480.0</v>
      </c>
      <c r="B3540" s="15">
        <v>0.32</v>
      </c>
      <c r="C3540" s="15">
        <v>3.32</v>
      </c>
      <c r="D3540" s="15">
        <v>2.81</v>
      </c>
      <c r="E3540" s="15">
        <v>2.83</v>
      </c>
      <c r="F3540" s="15">
        <f t="shared" si="1"/>
        <v>3</v>
      </c>
      <c r="G3540" s="15">
        <f t="shared" si="2"/>
        <v>3.32</v>
      </c>
      <c r="H3540" s="16">
        <v>0.0</v>
      </c>
      <c r="I3540" s="15">
        <f t="shared" si="3"/>
        <v>3</v>
      </c>
      <c r="J3540" s="15">
        <v>12.97</v>
      </c>
      <c r="K3540" s="16">
        <f>IF(COUNTIFS(Release_Calendar!$A$2:$A$755,"US_CPI",Release_Calendar!$B$2:$B$755,$A3540)&gt;0,1,0)</f>
        <v>0</v>
      </c>
      <c r="L3540" s="16">
        <f>IF(COUNTIFS(Release_Calendar!$A$2:$A$755,"US_NFP",Release_Calendar!$B$2:$B$755,$A3540)&gt;0,1,0)</f>
        <v>0</v>
      </c>
      <c r="M3540" s="16" t="str">
        <f>IF($A3540&lt;Notes!$B$5,"",IF(COUNTIFS(Release_Calendar!$A$2:$A$755,"NZ_CPI",Release_Calendar!$B$2:$B$755,$A3540)&gt;0,1,0))</f>
        <v/>
      </c>
      <c r="N3540" s="16" t="str">
        <f>IF($A3540&lt;Notes!$B$5,"",IF(COUNTIFS(Release_Calendar!$A$2:$A$755,"NZ_GDP",Release_Calendar!$B$2:$B$755,$A3540)&gt;0,1,0))</f>
        <v/>
      </c>
      <c r="O3540" s="16" t="str">
        <f>IF($A3540&lt;Notes!$B$5,"",IF(COUNTIFS(Release_Calendar!$A$2:$A$755,"NZ_LABOUR",Release_Calendar!$B$2:$B$755,$A3540)&gt;0,1,0))</f>
        <v/>
      </c>
      <c r="P3540" s="16">
        <f t="shared" si="4"/>
        <v>0</v>
      </c>
    </row>
    <row r="3541" ht="15.75" customHeight="1">
      <c r="A3541" s="14">
        <v>41481.0</v>
      </c>
      <c r="B3541" s="15">
        <v>0.31</v>
      </c>
      <c r="C3541" s="15">
        <v>3.36</v>
      </c>
      <c r="D3541" s="15">
        <v>2.85</v>
      </c>
      <c r="E3541" s="15">
        <v>2.85</v>
      </c>
      <c r="F3541" s="15">
        <f t="shared" si="1"/>
        <v>3.05</v>
      </c>
      <c r="G3541" s="15">
        <f t="shared" si="2"/>
        <v>3.36</v>
      </c>
      <c r="H3541" s="16">
        <v>0.0</v>
      </c>
      <c r="I3541" s="15">
        <f t="shared" si="3"/>
        <v>3.05</v>
      </c>
      <c r="J3541" s="15">
        <v>12.72</v>
      </c>
      <c r="K3541" s="16">
        <f>IF(COUNTIFS(Release_Calendar!$A$2:$A$755,"US_CPI",Release_Calendar!$B$2:$B$755,$A3541)&gt;0,1,0)</f>
        <v>0</v>
      </c>
      <c r="L3541" s="16">
        <f>IF(COUNTIFS(Release_Calendar!$A$2:$A$755,"US_NFP",Release_Calendar!$B$2:$B$755,$A3541)&gt;0,1,0)</f>
        <v>0</v>
      </c>
      <c r="M3541" s="16" t="str">
        <f>IF($A3541&lt;Notes!$B$5,"",IF(COUNTIFS(Release_Calendar!$A$2:$A$755,"NZ_CPI",Release_Calendar!$B$2:$B$755,$A3541)&gt;0,1,0))</f>
        <v/>
      </c>
      <c r="N3541" s="16" t="str">
        <f>IF($A3541&lt;Notes!$B$5,"",IF(COUNTIFS(Release_Calendar!$A$2:$A$755,"NZ_GDP",Release_Calendar!$B$2:$B$755,$A3541)&gt;0,1,0))</f>
        <v/>
      </c>
      <c r="O3541" s="16" t="str">
        <f>IF($A3541&lt;Notes!$B$5,"",IF(COUNTIFS(Release_Calendar!$A$2:$A$755,"NZ_LABOUR",Release_Calendar!$B$2:$B$755,$A3541)&gt;0,1,0))</f>
        <v/>
      </c>
      <c r="P3541" s="16">
        <f t="shared" si="4"/>
        <v>0</v>
      </c>
    </row>
    <row r="3542" ht="15.75" customHeight="1">
      <c r="A3542" s="14">
        <v>41484.0</v>
      </c>
      <c r="B3542" s="15">
        <v>0.33</v>
      </c>
      <c r="C3542" s="15">
        <v>3.34</v>
      </c>
      <c r="D3542" s="15">
        <v>2.84</v>
      </c>
      <c r="E3542" s="15">
        <v>2.85</v>
      </c>
      <c r="F3542" s="15">
        <f t="shared" si="1"/>
        <v>3.01</v>
      </c>
      <c r="G3542" s="15">
        <f t="shared" si="2"/>
        <v>3.34</v>
      </c>
      <c r="H3542" s="16">
        <v>0.0</v>
      </c>
      <c r="I3542" s="15">
        <f t="shared" si="3"/>
        <v>3.01</v>
      </c>
      <c r="J3542" s="15">
        <v>13.39</v>
      </c>
      <c r="K3542" s="16">
        <f>IF(COUNTIFS(Release_Calendar!$A$2:$A$755,"US_CPI",Release_Calendar!$B$2:$B$755,$A3542)&gt;0,1,0)</f>
        <v>0</v>
      </c>
      <c r="L3542" s="16">
        <f>IF(COUNTIFS(Release_Calendar!$A$2:$A$755,"US_NFP",Release_Calendar!$B$2:$B$755,$A3542)&gt;0,1,0)</f>
        <v>0</v>
      </c>
      <c r="M3542" s="16" t="str">
        <f>IF($A3542&lt;Notes!$B$5,"",IF(COUNTIFS(Release_Calendar!$A$2:$A$755,"NZ_CPI",Release_Calendar!$B$2:$B$755,$A3542)&gt;0,1,0))</f>
        <v/>
      </c>
      <c r="N3542" s="16" t="str">
        <f>IF($A3542&lt;Notes!$B$5,"",IF(COUNTIFS(Release_Calendar!$A$2:$A$755,"NZ_GDP",Release_Calendar!$B$2:$B$755,$A3542)&gt;0,1,0))</f>
        <v/>
      </c>
      <c r="O3542" s="16" t="str">
        <f>IF($A3542&lt;Notes!$B$5,"",IF(COUNTIFS(Release_Calendar!$A$2:$A$755,"NZ_LABOUR",Release_Calendar!$B$2:$B$755,$A3542)&gt;0,1,0))</f>
        <v/>
      </c>
      <c r="P3542" s="16">
        <f t="shared" si="4"/>
        <v>0</v>
      </c>
    </row>
    <row r="3543" ht="15.75" customHeight="1">
      <c r="A3543" s="14">
        <v>41485.0</v>
      </c>
      <c r="B3543" s="15">
        <v>0.33</v>
      </c>
      <c r="C3543" s="15">
        <v>3.31</v>
      </c>
      <c r="D3543" s="15">
        <v>2.84</v>
      </c>
      <c r="E3543" s="15">
        <v>2.83</v>
      </c>
      <c r="F3543" s="15">
        <f t="shared" si="1"/>
        <v>2.98</v>
      </c>
      <c r="G3543" s="15">
        <f t="shared" si="2"/>
        <v>3.31</v>
      </c>
      <c r="H3543" s="16">
        <v>0.0</v>
      </c>
      <c r="I3543" s="15">
        <f t="shared" si="3"/>
        <v>2.98</v>
      </c>
      <c r="J3543" s="15">
        <v>13.39</v>
      </c>
      <c r="K3543" s="16">
        <f>IF(COUNTIFS(Release_Calendar!$A$2:$A$755,"US_CPI",Release_Calendar!$B$2:$B$755,$A3543)&gt;0,1,0)</f>
        <v>0</v>
      </c>
      <c r="L3543" s="16">
        <f>IF(COUNTIFS(Release_Calendar!$A$2:$A$755,"US_NFP",Release_Calendar!$B$2:$B$755,$A3543)&gt;0,1,0)</f>
        <v>0</v>
      </c>
      <c r="M3543" s="16" t="str">
        <f>IF($A3543&lt;Notes!$B$5,"",IF(COUNTIFS(Release_Calendar!$A$2:$A$755,"NZ_CPI",Release_Calendar!$B$2:$B$755,$A3543)&gt;0,1,0))</f>
        <v/>
      </c>
      <c r="N3543" s="16" t="str">
        <f>IF($A3543&lt;Notes!$B$5,"",IF(COUNTIFS(Release_Calendar!$A$2:$A$755,"NZ_GDP",Release_Calendar!$B$2:$B$755,$A3543)&gt;0,1,0))</f>
        <v/>
      </c>
      <c r="O3543" s="16" t="str">
        <f>IF($A3543&lt;Notes!$B$5,"",IF(COUNTIFS(Release_Calendar!$A$2:$A$755,"NZ_LABOUR",Release_Calendar!$B$2:$B$755,$A3543)&gt;0,1,0))</f>
        <v/>
      </c>
      <c r="P3543" s="16">
        <f t="shared" si="4"/>
        <v>0</v>
      </c>
    </row>
    <row r="3544" ht="15.75" customHeight="1">
      <c r="A3544" s="14">
        <v>41486.0</v>
      </c>
      <c r="B3544" s="15">
        <v>0.31</v>
      </c>
      <c r="C3544" s="15">
        <v>3.34</v>
      </c>
      <c r="D3544" s="15">
        <v>2.82</v>
      </c>
      <c r="E3544" s="15">
        <v>2.85</v>
      </c>
      <c r="F3544" s="15">
        <f t="shared" si="1"/>
        <v>3.03</v>
      </c>
      <c r="G3544" s="15">
        <f t="shared" si="2"/>
        <v>3.34</v>
      </c>
      <c r="H3544" s="16">
        <v>0.0</v>
      </c>
      <c r="I3544" s="15">
        <f t="shared" si="3"/>
        <v>3.03</v>
      </c>
      <c r="J3544" s="15">
        <v>13.45</v>
      </c>
      <c r="K3544" s="16">
        <f>IF(COUNTIFS(Release_Calendar!$A$2:$A$755,"US_CPI",Release_Calendar!$B$2:$B$755,$A3544)&gt;0,1,0)</f>
        <v>0</v>
      </c>
      <c r="L3544" s="16">
        <f>IF(COUNTIFS(Release_Calendar!$A$2:$A$755,"US_NFP",Release_Calendar!$B$2:$B$755,$A3544)&gt;0,1,0)</f>
        <v>0</v>
      </c>
      <c r="M3544" s="16" t="str">
        <f>IF($A3544&lt;Notes!$B$5,"",IF(COUNTIFS(Release_Calendar!$A$2:$A$755,"NZ_CPI",Release_Calendar!$B$2:$B$755,$A3544)&gt;0,1,0))</f>
        <v/>
      </c>
      <c r="N3544" s="16" t="str">
        <f>IF($A3544&lt;Notes!$B$5,"",IF(COUNTIFS(Release_Calendar!$A$2:$A$755,"NZ_GDP",Release_Calendar!$B$2:$B$755,$A3544)&gt;0,1,0))</f>
        <v/>
      </c>
      <c r="O3544" s="16" t="str">
        <f>IF($A3544&lt;Notes!$B$5,"",IF(COUNTIFS(Release_Calendar!$A$2:$A$755,"NZ_LABOUR",Release_Calendar!$B$2:$B$755,$A3544)&gt;0,1,0))</f>
        <v/>
      </c>
      <c r="P3544" s="16">
        <f t="shared" si="4"/>
        <v>0</v>
      </c>
    </row>
    <row r="3545" ht="15.75" customHeight="1">
      <c r="A3545" s="14">
        <v>41487.0</v>
      </c>
      <c r="B3545" s="15">
        <v>0.35</v>
      </c>
      <c r="C3545" s="15">
        <v>3.33</v>
      </c>
      <c r="D3545" s="15">
        <v>2.85</v>
      </c>
      <c r="E3545" s="15">
        <v>2.84</v>
      </c>
      <c r="F3545" s="15">
        <f t="shared" si="1"/>
        <v>2.98</v>
      </c>
      <c r="G3545" s="15">
        <f t="shared" si="2"/>
        <v>3.33</v>
      </c>
      <c r="H3545" s="16">
        <v>0.0</v>
      </c>
      <c r="I3545" s="15">
        <f t="shared" si="3"/>
        <v>2.98</v>
      </c>
      <c r="J3545" s="15">
        <v>12.94</v>
      </c>
      <c r="K3545" s="16">
        <f>IF(COUNTIFS(Release_Calendar!$A$2:$A$755,"US_CPI",Release_Calendar!$B$2:$B$755,$A3545)&gt;0,1,0)</f>
        <v>0</v>
      </c>
      <c r="L3545" s="16">
        <f>IF(COUNTIFS(Release_Calendar!$A$2:$A$755,"US_NFP",Release_Calendar!$B$2:$B$755,$A3545)&gt;0,1,0)</f>
        <v>0</v>
      </c>
      <c r="M3545" s="16" t="str">
        <f>IF($A3545&lt;Notes!$B$5,"",IF(COUNTIFS(Release_Calendar!$A$2:$A$755,"NZ_CPI",Release_Calendar!$B$2:$B$755,$A3545)&gt;0,1,0))</f>
        <v/>
      </c>
      <c r="N3545" s="16" t="str">
        <f>IF($A3545&lt;Notes!$B$5,"",IF(COUNTIFS(Release_Calendar!$A$2:$A$755,"NZ_GDP",Release_Calendar!$B$2:$B$755,$A3545)&gt;0,1,0))</f>
        <v/>
      </c>
      <c r="O3545" s="16" t="str">
        <f>IF($A3545&lt;Notes!$B$5,"",IF(COUNTIFS(Release_Calendar!$A$2:$A$755,"NZ_LABOUR",Release_Calendar!$B$2:$B$755,$A3545)&gt;0,1,0))</f>
        <v/>
      </c>
      <c r="P3545" s="16">
        <f t="shared" si="4"/>
        <v>0</v>
      </c>
    </row>
    <row r="3546" ht="15.75" customHeight="1">
      <c r="A3546" s="14">
        <v>41488.0</v>
      </c>
      <c r="B3546" s="15">
        <v>0.3</v>
      </c>
      <c r="C3546" s="15">
        <v>3.39</v>
      </c>
      <c r="D3546" s="15">
        <v>2.91</v>
      </c>
      <c r="E3546" s="15">
        <v>2.92</v>
      </c>
      <c r="F3546" s="15">
        <f t="shared" si="1"/>
        <v>3.09</v>
      </c>
      <c r="G3546" s="15">
        <f t="shared" si="2"/>
        <v>3.39</v>
      </c>
      <c r="H3546" s="16">
        <v>0.0</v>
      </c>
      <c r="I3546" s="15">
        <f t="shared" si="3"/>
        <v>3.09</v>
      </c>
      <c r="J3546" s="15">
        <v>11.98</v>
      </c>
      <c r="K3546" s="16">
        <f>IF(COUNTIFS(Release_Calendar!$A$2:$A$755,"US_CPI",Release_Calendar!$B$2:$B$755,$A3546)&gt;0,1,0)</f>
        <v>0</v>
      </c>
      <c r="L3546" s="16">
        <f>IF(COUNTIFS(Release_Calendar!$A$2:$A$755,"US_NFP",Release_Calendar!$B$2:$B$755,$A3546)&gt;0,1,0)</f>
        <v>1</v>
      </c>
      <c r="M3546" s="16" t="str">
        <f>IF($A3546&lt;Notes!$B$5,"",IF(COUNTIFS(Release_Calendar!$A$2:$A$755,"NZ_CPI",Release_Calendar!$B$2:$B$755,$A3546)&gt;0,1,0))</f>
        <v/>
      </c>
      <c r="N3546" s="16" t="str">
        <f>IF($A3546&lt;Notes!$B$5,"",IF(COUNTIFS(Release_Calendar!$A$2:$A$755,"NZ_GDP",Release_Calendar!$B$2:$B$755,$A3546)&gt;0,1,0))</f>
        <v/>
      </c>
      <c r="O3546" s="16" t="str">
        <f>IF($A3546&lt;Notes!$B$5,"",IF(COUNTIFS(Release_Calendar!$A$2:$A$755,"NZ_LABOUR",Release_Calendar!$B$2:$B$755,$A3546)&gt;0,1,0))</f>
        <v/>
      </c>
      <c r="P3546" s="16">
        <f t="shared" si="4"/>
        <v>1</v>
      </c>
    </row>
    <row r="3547" ht="15.75" customHeight="1">
      <c r="A3547" s="14">
        <v>41491.0</v>
      </c>
      <c r="B3547" s="15">
        <v>0.32</v>
      </c>
      <c r="C3547" s="15">
        <v>3.3</v>
      </c>
      <c r="D3547" s="15">
        <v>2.84</v>
      </c>
      <c r="E3547" s="15">
        <v>2.85</v>
      </c>
      <c r="F3547" s="15">
        <f t="shared" si="1"/>
        <v>2.98</v>
      </c>
      <c r="G3547" s="15">
        <f t="shared" si="2"/>
        <v>3.3</v>
      </c>
      <c r="H3547" s="16">
        <v>0.0</v>
      </c>
      <c r="I3547" s="15">
        <f t="shared" si="3"/>
        <v>2.98</v>
      </c>
      <c r="J3547" s="15">
        <v>11.84</v>
      </c>
      <c r="K3547" s="16">
        <f>IF(COUNTIFS(Release_Calendar!$A$2:$A$755,"US_CPI",Release_Calendar!$B$2:$B$755,$A3547)&gt;0,1,0)</f>
        <v>0</v>
      </c>
      <c r="L3547" s="16">
        <f>IF(COUNTIFS(Release_Calendar!$A$2:$A$755,"US_NFP",Release_Calendar!$B$2:$B$755,$A3547)&gt;0,1,0)</f>
        <v>0</v>
      </c>
      <c r="M3547" s="16" t="str">
        <f>IF($A3547&lt;Notes!$B$5,"",IF(COUNTIFS(Release_Calendar!$A$2:$A$755,"NZ_CPI",Release_Calendar!$B$2:$B$755,$A3547)&gt;0,1,0))</f>
        <v/>
      </c>
      <c r="N3547" s="16" t="str">
        <f>IF($A3547&lt;Notes!$B$5,"",IF(COUNTIFS(Release_Calendar!$A$2:$A$755,"NZ_GDP",Release_Calendar!$B$2:$B$755,$A3547)&gt;0,1,0))</f>
        <v/>
      </c>
      <c r="O3547" s="16" t="str">
        <f>IF($A3547&lt;Notes!$B$5,"",IF(COUNTIFS(Release_Calendar!$A$2:$A$755,"NZ_LABOUR",Release_Calendar!$B$2:$B$755,$A3547)&gt;0,1,0))</f>
        <v/>
      </c>
      <c r="P3547" s="16">
        <f t="shared" si="4"/>
        <v>0</v>
      </c>
    </row>
    <row r="3548" ht="15.75" customHeight="1">
      <c r="A3548" s="14">
        <v>41492.0</v>
      </c>
      <c r="B3548" s="15">
        <v>0.32</v>
      </c>
      <c r="C3548" s="15">
        <v>3.35</v>
      </c>
      <c r="D3548" s="15">
        <v>2.86</v>
      </c>
      <c r="E3548" s="15">
        <v>2.89</v>
      </c>
      <c r="F3548" s="15">
        <f t="shared" si="1"/>
        <v>3.03</v>
      </c>
      <c r="G3548" s="15">
        <f t="shared" si="2"/>
        <v>3.35</v>
      </c>
      <c r="H3548" s="16">
        <v>0.0</v>
      </c>
      <c r="I3548" s="15">
        <f t="shared" si="3"/>
        <v>3.03</v>
      </c>
      <c r="J3548" s="15">
        <v>12.72</v>
      </c>
      <c r="K3548" s="16">
        <f>IF(COUNTIFS(Release_Calendar!$A$2:$A$755,"US_CPI",Release_Calendar!$B$2:$B$755,$A3548)&gt;0,1,0)</f>
        <v>0</v>
      </c>
      <c r="L3548" s="16">
        <f>IF(COUNTIFS(Release_Calendar!$A$2:$A$755,"US_NFP",Release_Calendar!$B$2:$B$755,$A3548)&gt;0,1,0)</f>
        <v>0</v>
      </c>
      <c r="M3548" s="16" t="str">
        <f>IF($A3548&lt;Notes!$B$5,"",IF(COUNTIFS(Release_Calendar!$A$2:$A$755,"NZ_CPI",Release_Calendar!$B$2:$B$755,$A3548)&gt;0,1,0))</f>
        <v/>
      </c>
      <c r="N3548" s="16" t="str">
        <f>IF($A3548&lt;Notes!$B$5,"",IF(COUNTIFS(Release_Calendar!$A$2:$A$755,"NZ_GDP",Release_Calendar!$B$2:$B$755,$A3548)&gt;0,1,0))</f>
        <v/>
      </c>
      <c r="O3548" s="16" t="str">
        <f>IF($A3548&lt;Notes!$B$5,"",IF(COUNTIFS(Release_Calendar!$A$2:$A$755,"NZ_LABOUR",Release_Calendar!$B$2:$B$755,$A3548)&gt;0,1,0))</f>
        <v/>
      </c>
      <c r="P3548" s="16">
        <f t="shared" si="4"/>
        <v>0</v>
      </c>
    </row>
    <row r="3549" ht="15.75" customHeight="1">
      <c r="A3549" s="14">
        <v>41493.0</v>
      </c>
      <c r="B3549" s="15">
        <v>0.32</v>
      </c>
      <c r="C3549" s="15">
        <v>3.37</v>
      </c>
      <c r="D3549" s="15">
        <v>2.91</v>
      </c>
      <c r="E3549" s="15">
        <v>2.92</v>
      </c>
      <c r="F3549" s="15">
        <f t="shared" si="1"/>
        <v>3.05</v>
      </c>
      <c r="G3549" s="15">
        <f t="shared" si="2"/>
        <v>3.37</v>
      </c>
      <c r="H3549" s="16">
        <v>0.0</v>
      </c>
      <c r="I3549" s="15">
        <f t="shared" si="3"/>
        <v>3.05</v>
      </c>
      <c r="J3549" s="15">
        <v>12.98</v>
      </c>
      <c r="K3549" s="16">
        <f>IF(COUNTIFS(Release_Calendar!$A$2:$A$755,"US_CPI",Release_Calendar!$B$2:$B$755,$A3549)&gt;0,1,0)</f>
        <v>0</v>
      </c>
      <c r="L3549" s="16">
        <f>IF(COUNTIFS(Release_Calendar!$A$2:$A$755,"US_NFP",Release_Calendar!$B$2:$B$755,$A3549)&gt;0,1,0)</f>
        <v>0</v>
      </c>
      <c r="M3549" s="16" t="str">
        <f>IF($A3549&lt;Notes!$B$5,"",IF(COUNTIFS(Release_Calendar!$A$2:$A$755,"NZ_CPI",Release_Calendar!$B$2:$B$755,$A3549)&gt;0,1,0))</f>
        <v/>
      </c>
      <c r="N3549" s="16" t="str">
        <f>IF($A3549&lt;Notes!$B$5,"",IF(COUNTIFS(Release_Calendar!$A$2:$A$755,"NZ_GDP",Release_Calendar!$B$2:$B$755,$A3549)&gt;0,1,0))</f>
        <v/>
      </c>
      <c r="O3549" s="16" t="str">
        <f>IF($A3549&lt;Notes!$B$5,"",IF(COUNTIFS(Release_Calendar!$A$2:$A$755,"NZ_LABOUR",Release_Calendar!$B$2:$B$755,$A3549)&gt;0,1,0))</f>
        <v/>
      </c>
      <c r="P3549" s="16">
        <f t="shared" si="4"/>
        <v>0</v>
      </c>
    </row>
    <row r="3550" ht="15.75" customHeight="1">
      <c r="A3550" s="14">
        <v>41494.0</v>
      </c>
      <c r="B3550" s="15">
        <v>0.3</v>
      </c>
      <c r="C3550" s="15">
        <v>3.38</v>
      </c>
      <c r="D3550" s="15">
        <v>2.91</v>
      </c>
      <c r="E3550" s="15">
        <v>2.92</v>
      </c>
      <c r="F3550" s="15">
        <f t="shared" si="1"/>
        <v>3.08</v>
      </c>
      <c r="G3550" s="15">
        <f t="shared" si="2"/>
        <v>3.38</v>
      </c>
      <c r="H3550" s="16">
        <v>0.0</v>
      </c>
      <c r="I3550" s="15">
        <f t="shared" si="3"/>
        <v>3.08</v>
      </c>
      <c r="J3550" s="15">
        <v>12.73</v>
      </c>
      <c r="K3550" s="16">
        <f>IF(COUNTIFS(Release_Calendar!$A$2:$A$755,"US_CPI",Release_Calendar!$B$2:$B$755,$A3550)&gt;0,1,0)</f>
        <v>0</v>
      </c>
      <c r="L3550" s="16">
        <f>IF(COUNTIFS(Release_Calendar!$A$2:$A$755,"US_NFP",Release_Calendar!$B$2:$B$755,$A3550)&gt;0,1,0)</f>
        <v>0</v>
      </c>
      <c r="M3550" s="16" t="str">
        <f>IF($A3550&lt;Notes!$B$5,"",IF(COUNTIFS(Release_Calendar!$A$2:$A$755,"NZ_CPI",Release_Calendar!$B$2:$B$755,$A3550)&gt;0,1,0))</f>
        <v/>
      </c>
      <c r="N3550" s="16" t="str">
        <f>IF($A3550&lt;Notes!$B$5,"",IF(COUNTIFS(Release_Calendar!$A$2:$A$755,"NZ_GDP",Release_Calendar!$B$2:$B$755,$A3550)&gt;0,1,0))</f>
        <v/>
      </c>
      <c r="O3550" s="16" t="str">
        <f>IF($A3550&lt;Notes!$B$5,"",IF(COUNTIFS(Release_Calendar!$A$2:$A$755,"NZ_LABOUR",Release_Calendar!$B$2:$B$755,$A3550)&gt;0,1,0))</f>
        <v/>
      </c>
      <c r="P3550" s="16">
        <f t="shared" si="4"/>
        <v>0</v>
      </c>
    </row>
    <row r="3551" ht="15.75" customHeight="1">
      <c r="A3551" s="14">
        <v>41495.0</v>
      </c>
      <c r="B3551" s="15">
        <v>0.32</v>
      </c>
      <c r="C3551" s="15">
        <v>3.43</v>
      </c>
      <c r="D3551" s="15">
        <v>2.91</v>
      </c>
      <c r="E3551" s="15">
        <v>2.98</v>
      </c>
      <c r="F3551" s="15">
        <f t="shared" si="1"/>
        <v>3.11</v>
      </c>
      <c r="G3551" s="15">
        <f t="shared" si="2"/>
        <v>3.43</v>
      </c>
      <c r="H3551" s="16">
        <v>0.0</v>
      </c>
      <c r="I3551" s="15">
        <f t="shared" si="3"/>
        <v>3.11</v>
      </c>
      <c r="J3551" s="15">
        <v>13.41</v>
      </c>
      <c r="K3551" s="16">
        <f>IF(COUNTIFS(Release_Calendar!$A$2:$A$755,"US_CPI",Release_Calendar!$B$2:$B$755,$A3551)&gt;0,1,0)</f>
        <v>0</v>
      </c>
      <c r="L3551" s="16">
        <f>IF(COUNTIFS(Release_Calendar!$A$2:$A$755,"US_NFP",Release_Calendar!$B$2:$B$755,$A3551)&gt;0,1,0)</f>
        <v>0</v>
      </c>
      <c r="M3551" s="16" t="str">
        <f>IF($A3551&lt;Notes!$B$5,"",IF(COUNTIFS(Release_Calendar!$A$2:$A$755,"NZ_CPI",Release_Calendar!$B$2:$B$755,$A3551)&gt;0,1,0))</f>
        <v/>
      </c>
      <c r="N3551" s="16" t="str">
        <f>IF($A3551&lt;Notes!$B$5,"",IF(COUNTIFS(Release_Calendar!$A$2:$A$755,"NZ_GDP",Release_Calendar!$B$2:$B$755,$A3551)&gt;0,1,0))</f>
        <v/>
      </c>
      <c r="O3551" s="16" t="str">
        <f>IF($A3551&lt;Notes!$B$5,"",IF(COUNTIFS(Release_Calendar!$A$2:$A$755,"NZ_LABOUR",Release_Calendar!$B$2:$B$755,$A3551)&gt;0,1,0))</f>
        <v/>
      </c>
      <c r="P3551" s="16">
        <f t="shared" si="4"/>
        <v>0</v>
      </c>
    </row>
    <row r="3552" ht="15.75" customHeight="1">
      <c r="A3552" s="14">
        <v>41498.0</v>
      </c>
      <c r="B3552" s="15">
        <v>0.32</v>
      </c>
      <c r="C3552" s="15">
        <v>3.4</v>
      </c>
      <c r="D3552" s="15">
        <v>2.97</v>
      </c>
      <c r="E3552" s="15">
        <v>2.98</v>
      </c>
      <c r="F3552" s="15">
        <f t="shared" si="1"/>
        <v>3.08</v>
      </c>
      <c r="G3552" s="15">
        <f t="shared" si="2"/>
        <v>3.4</v>
      </c>
      <c r="H3552" s="16">
        <v>0.0</v>
      </c>
      <c r="I3552" s="15">
        <f t="shared" si="3"/>
        <v>3.08</v>
      </c>
      <c r="J3552" s="15">
        <v>12.81</v>
      </c>
      <c r="K3552" s="16">
        <f>IF(COUNTIFS(Release_Calendar!$A$2:$A$755,"US_CPI",Release_Calendar!$B$2:$B$755,$A3552)&gt;0,1,0)</f>
        <v>0</v>
      </c>
      <c r="L3552" s="16">
        <f>IF(COUNTIFS(Release_Calendar!$A$2:$A$755,"US_NFP",Release_Calendar!$B$2:$B$755,$A3552)&gt;0,1,0)</f>
        <v>0</v>
      </c>
      <c r="M3552" s="16" t="str">
        <f>IF($A3552&lt;Notes!$B$5,"",IF(COUNTIFS(Release_Calendar!$A$2:$A$755,"NZ_CPI",Release_Calendar!$B$2:$B$755,$A3552)&gt;0,1,0))</f>
        <v/>
      </c>
      <c r="N3552" s="16" t="str">
        <f>IF($A3552&lt;Notes!$B$5,"",IF(COUNTIFS(Release_Calendar!$A$2:$A$755,"NZ_GDP",Release_Calendar!$B$2:$B$755,$A3552)&gt;0,1,0))</f>
        <v/>
      </c>
      <c r="O3552" s="16" t="str">
        <f>IF($A3552&lt;Notes!$B$5,"",IF(COUNTIFS(Release_Calendar!$A$2:$A$755,"NZ_LABOUR",Release_Calendar!$B$2:$B$755,$A3552)&gt;0,1,0))</f>
        <v/>
      </c>
      <c r="P3552" s="16">
        <f t="shared" si="4"/>
        <v>0</v>
      </c>
    </row>
    <row r="3553" ht="15.75" customHeight="1">
      <c r="A3553" s="14">
        <v>41499.0</v>
      </c>
      <c r="B3553" s="15">
        <v>0.34</v>
      </c>
      <c r="C3553" s="15">
        <v>3.42</v>
      </c>
      <c r="D3553" s="15">
        <v>3.0</v>
      </c>
      <c r="E3553" s="15">
        <v>2.99</v>
      </c>
      <c r="F3553" s="15">
        <f t="shared" si="1"/>
        <v>3.08</v>
      </c>
      <c r="G3553" s="15">
        <f t="shared" si="2"/>
        <v>3.42</v>
      </c>
      <c r="H3553" s="16">
        <v>0.0</v>
      </c>
      <c r="I3553" s="15">
        <f t="shared" si="3"/>
        <v>3.08</v>
      </c>
      <c r="J3553" s="15">
        <v>12.31</v>
      </c>
      <c r="K3553" s="16">
        <f>IF(COUNTIFS(Release_Calendar!$A$2:$A$755,"US_CPI",Release_Calendar!$B$2:$B$755,$A3553)&gt;0,1,0)</f>
        <v>0</v>
      </c>
      <c r="L3553" s="16">
        <f>IF(COUNTIFS(Release_Calendar!$A$2:$A$755,"US_NFP",Release_Calendar!$B$2:$B$755,$A3553)&gt;0,1,0)</f>
        <v>0</v>
      </c>
      <c r="M3553" s="16" t="str">
        <f>IF($A3553&lt;Notes!$B$5,"",IF(COUNTIFS(Release_Calendar!$A$2:$A$755,"NZ_CPI",Release_Calendar!$B$2:$B$755,$A3553)&gt;0,1,0))</f>
        <v/>
      </c>
      <c r="N3553" s="16" t="str">
        <f>IF($A3553&lt;Notes!$B$5,"",IF(COUNTIFS(Release_Calendar!$A$2:$A$755,"NZ_GDP",Release_Calendar!$B$2:$B$755,$A3553)&gt;0,1,0))</f>
        <v/>
      </c>
      <c r="O3553" s="16" t="str">
        <f>IF($A3553&lt;Notes!$B$5,"",IF(COUNTIFS(Release_Calendar!$A$2:$A$755,"NZ_LABOUR",Release_Calendar!$B$2:$B$755,$A3553)&gt;0,1,0))</f>
        <v/>
      </c>
      <c r="P3553" s="16">
        <f t="shared" si="4"/>
        <v>0</v>
      </c>
    </row>
    <row r="3554" ht="15.75" customHeight="1">
      <c r="A3554" s="14">
        <v>41500.0</v>
      </c>
      <c r="B3554" s="15">
        <v>0.34</v>
      </c>
      <c r="C3554" s="15">
        <v>3.46</v>
      </c>
      <c r="D3554" s="15">
        <v>3.03</v>
      </c>
      <c r="E3554" s="15">
        <v>3.05</v>
      </c>
      <c r="F3554" s="15">
        <f t="shared" si="1"/>
        <v>3.12</v>
      </c>
      <c r="G3554" s="15">
        <f t="shared" si="2"/>
        <v>3.46</v>
      </c>
      <c r="H3554" s="16">
        <v>0.0</v>
      </c>
      <c r="I3554" s="15">
        <f t="shared" si="3"/>
        <v>3.12</v>
      </c>
      <c r="J3554" s="15">
        <v>13.04</v>
      </c>
      <c r="K3554" s="16">
        <f>IF(COUNTIFS(Release_Calendar!$A$2:$A$755,"US_CPI",Release_Calendar!$B$2:$B$755,$A3554)&gt;0,1,0)</f>
        <v>0</v>
      </c>
      <c r="L3554" s="16">
        <f>IF(COUNTIFS(Release_Calendar!$A$2:$A$755,"US_NFP",Release_Calendar!$B$2:$B$755,$A3554)&gt;0,1,0)</f>
        <v>0</v>
      </c>
      <c r="M3554" s="16" t="str">
        <f>IF($A3554&lt;Notes!$B$5,"",IF(COUNTIFS(Release_Calendar!$A$2:$A$755,"NZ_CPI",Release_Calendar!$B$2:$B$755,$A3554)&gt;0,1,0))</f>
        <v/>
      </c>
      <c r="N3554" s="16" t="str">
        <f>IF($A3554&lt;Notes!$B$5,"",IF(COUNTIFS(Release_Calendar!$A$2:$A$755,"NZ_GDP",Release_Calendar!$B$2:$B$755,$A3554)&gt;0,1,0))</f>
        <v/>
      </c>
      <c r="O3554" s="16" t="str">
        <f>IF($A3554&lt;Notes!$B$5,"",IF(COUNTIFS(Release_Calendar!$A$2:$A$755,"NZ_LABOUR",Release_Calendar!$B$2:$B$755,$A3554)&gt;0,1,0))</f>
        <v/>
      </c>
      <c r="P3554" s="16">
        <f t="shared" si="4"/>
        <v>0</v>
      </c>
    </row>
    <row r="3555" ht="15.75" customHeight="1">
      <c r="A3555" s="14">
        <v>41501.0</v>
      </c>
      <c r="B3555" s="15">
        <v>0.36</v>
      </c>
      <c r="C3555" s="15">
        <v>3.53</v>
      </c>
      <c r="D3555" s="15">
        <v>3.09</v>
      </c>
      <c r="E3555" s="15">
        <v>3.12</v>
      </c>
      <c r="F3555" s="15">
        <f t="shared" si="1"/>
        <v>3.17</v>
      </c>
      <c r="G3555" s="15">
        <f t="shared" si="2"/>
        <v>3.53</v>
      </c>
      <c r="H3555" s="16">
        <v>0.0</v>
      </c>
      <c r="I3555" s="15">
        <f t="shared" si="3"/>
        <v>3.17</v>
      </c>
      <c r="J3555" s="15">
        <v>14.73</v>
      </c>
      <c r="K3555" s="16">
        <f>IF(COUNTIFS(Release_Calendar!$A$2:$A$755,"US_CPI",Release_Calendar!$B$2:$B$755,$A3555)&gt;0,1,0)</f>
        <v>1</v>
      </c>
      <c r="L3555" s="16">
        <f>IF(COUNTIFS(Release_Calendar!$A$2:$A$755,"US_NFP",Release_Calendar!$B$2:$B$755,$A3555)&gt;0,1,0)</f>
        <v>0</v>
      </c>
      <c r="M3555" s="16" t="str">
        <f>IF($A3555&lt;Notes!$B$5,"",IF(COUNTIFS(Release_Calendar!$A$2:$A$755,"NZ_CPI",Release_Calendar!$B$2:$B$755,$A3555)&gt;0,1,0))</f>
        <v/>
      </c>
      <c r="N3555" s="16" t="str">
        <f>IF($A3555&lt;Notes!$B$5,"",IF(COUNTIFS(Release_Calendar!$A$2:$A$755,"NZ_GDP",Release_Calendar!$B$2:$B$755,$A3555)&gt;0,1,0))</f>
        <v/>
      </c>
      <c r="O3555" s="16" t="str">
        <f>IF($A3555&lt;Notes!$B$5,"",IF(COUNTIFS(Release_Calendar!$A$2:$A$755,"NZ_LABOUR",Release_Calendar!$B$2:$B$755,$A3555)&gt;0,1,0))</f>
        <v/>
      </c>
      <c r="P3555" s="16">
        <f t="shared" si="4"/>
        <v>1</v>
      </c>
    </row>
    <row r="3556" ht="15.75" customHeight="1">
      <c r="A3556" s="14">
        <v>41502.0</v>
      </c>
      <c r="B3556" s="15">
        <v>0.36</v>
      </c>
      <c r="C3556" s="15">
        <v>3.46</v>
      </c>
      <c r="D3556" s="15">
        <v>3.16</v>
      </c>
      <c r="E3556" s="15">
        <v>3.07</v>
      </c>
      <c r="F3556" s="15">
        <f t="shared" si="1"/>
        <v>3.1</v>
      </c>
      <c r="G3556" s="15">
        <f t="shared" si="2"/>
        <v>3.46</v>
      </c>
      <c r="H3556" s="16">
        <v>0.0</v>
      </c>
      <c r="I3556" s="15">
        <f t="shared" si="3"/>
        <v>3.1</v>
      </c>
      <c r="J3556" s="15">
        <v>14.37</v>
      </c>
      <c r="K3556" s="16">
        <f>IF(COUNTIFS(Release_Calendar!$A$2:$A$755,"US_CPI",Release_Calendar!$B$2:$B$755,$A3556)&gt;0,1,0)</f>
        <v>0</v>
      </c>
      <c r="L3556" s="16">
        <f>IF(COUNTIFS(Release_Calendar!$A$2:$A$755,"US_NFP",Release_Calendar!$B$2:$B$755,$A3556)&gt;0,1,0)</f>
        <v>0</v>
      </c>
      <c r="M3556" s="16" t="str">
        <f>IF($A3556&lt;Notes!$B$5,"",IF(COUNTIFS(Release_Calendar!$A$2:$A$755,"NZ_CPI",Release_Calendar!$B$2:$B$755,$A3556)&gt;0,1,0))</f>
        <v/>
      </c>
      <c r="N3556" s="16" t="str">
        <f>IF($A3556&lt;Notes!$B$5,"",IF(COUNTIFS(Release_Calendar!$A$2:$A$755,"NZ_GDP",Release_Calendar!$B$2:$B$755,$A3556)&gt;0,1,0))</f>
        <v/>
      </c>
      <c r="O3556" s="16" t="str">
        <f>IF($A3556&lt;Notes!$B$5,"",IF(COUNTIFS(Release_Calendar!$A$2:$A$755,"NZ_LABOUR",Release_Calendar!$B$2:$B$755,$A3556)&gt;0,1,0))</f>
        <v/>
      </c>
      <c r="P3556" s="16">
        <f t="shared" si="4"/>
        <v>0</v>
      </c>
    </row>
    <row r="3557" ht="15.75" customHeight="1">
      <c r="A3557" s="14">
        <v>41505.0</v>
      </c>
      <c r="B3557" s="15">
        <v>0.36</v>
      </c>
      <c r="C3557" s="15">
        <v>3.53</v>
      </c>
      <c r="D3557" s="15">
        <v>3.1</v>
      </c>
      <c r="E3557" s="15">
        <v>3.12</v>
      </c>
      <c r="F3557" s="15">
        <f t="shared" si="1"/>
        <v>3.17</v>
      </c>
      <c r="G3557" s="15">
        <f t="shared" si="2"/>
        <v>3.53</v>
      </c>
      <c r="H3557" s="16">
        <v>0.0</v>
      </c>
      <c r="I3557" s="15">
        <f t="shared" si="3"/>
        <v>3.17</v>
      </c>
      <c r="J3557" s="15">
        <v>15.1</v>
      </c>
      <c r="K3557" s="16">
        <f>IF(COUNTIFS(Release_Calendar!$A$2:$A$755,"US_CPI",Release_Calendar!$B$2:$B$755,$A3557)&gt;0,1,0)</f>
        <v>0</v>
      </c>
      <c r="L3557" s="16">
        <f>IF(COUNTIFS(Release_Calendar!$A$2:$A$755,"US_NFP",Release_Calendar!$B$2:$B$755,$A3557)&gt;0,1,0)</f>
        <v>0</v>
      </c>
      <c r="M3557" s="16" t="str">
        <f>IF($A3557&lt;Notes!$B$5,"",IF(COUNTIFS(Release_Calendar!$A$2:$A$755,"NZ_CPI",Release_Calendar!$B$2:$B$755,$A3557)&gt;0,1,0))</f>
        <v/>
      </c>
      <c r="N3557" s="16" t="str">
        <f>IF($A3557&lt;Notes!$B$5,"",IF(COUNTIFS(Release_Calendar!$A$2:$A$755,"NZ_GDP",Release_Calendar!$B$2:$B$755,$A3557)&gt;0,1,0))</f>
        <v/>
      </c>
      <c r="O3557" s="16" t="str">
        <f>IF($A3557&lt;Notes!$B$5,"",IF(COUNTIFS(Release_Calendar!$A$2:$A$755,"NZ_LABOUR",Release_Calendar!$B$2:$B$755,$A3557)&gt;0,1,0))</f>
        <v/>
      </c>
      <c r="P3557" s="16">
        <f t="shared" si="4"/>
        <v>0</v>
      </c>
    </row>
    <row r="3558" ht="15.75" customHeight="1">
      <c r="A3558" s="14">
        <v>41506.0</v>
      </c>
      <c r="B3558" s="15">
        <v>0.36</v>
      </c>
      <c r="C3558" s="15">
        <v>3.43</v>
      </c>
      <c r="D3558" s="15">
        <v>3.13</v>
      </c>
      <c r="E3558" s="15">
        <v>3.06</v>
      </c>
      <c r="F3558" s="15">
        <f t="shared" si="1"/>
        <v>3.07</v>
      </c>
      <c r="G3558" s="15">
        <f t="shared" si="2"/>
        <v>3.43</v>
      </c>
      <c r="H3558" s="16">
        <v>0.0</v>
      </c>
      <c r="I3558" s="15">
        <f t="shared" si="3"/>
        <v>3.07</v>
      </c>
      <c r="J3558" s="15">
        <v>14.91</v>
      </c>
      <c r="K3558" s="16">
        <f>IF(COUNTIFS(Release_Calendar!$A$2:$A$755,"US_CPI",Release_Calendar!$B$2:$B$755,$A3558)&gt;0,1,0)</f>
        <v>0</v>
      </c>
      <c r="L3558" s="16">
        <f>IF(COUNTIFS(Release_Calendar!$A$2:$A$755,"US_NFP",Release_Calendar!$B$2:$B$755,$A3558)&gt;0,1,0)</f>
        <v>0</v>
      </c>
      <c r="M3558" s="16" t="str">
        <f>IF($A3558&lt;Notes!$B$5,"",IF(COUNTIFS(Release_Calendar!$A$2:$A$755,"NZ_CPI",Release_Calendar!$B$2:$B$755,$A3558)&gt;0,1,0))</f>
        <v/>
      </c>
      <c r="N3558" s="16" t="str">
        <f>IF($A3558&lt;Notes!$B$5,"",IF(COUNTIFS(Release_Calendar!$A$2:$A$755,"NZ_GDP",Release_Calendar!$B$2:$B$755,$A3558)&gt;0,1,0))</f>
        <v/>
      </c>
      <c r="O3558" s="16" t="str">
        <f>IF($A3558&lt;Notes!$B$5,"",IF(COUNTIFS(Release_Calendar!$A$2:$A$755,"NZ_LABOUR",Release_Calendar!$B$2:$B$755,$A3558)&gt;0,1,0))</f>
        <v/>
      </c>
      <c r="P3558" s="16">
        <f t="shared" si="4"/>
        <v>0</v>
      </c>
    </row>
    <row r="3559" ht="15.75" customHeight="1">
      <c r="A3559" s="14">
        <v>41507.0</v>
      </c>
      <c r="B3559" s="15">
        <v>0.38</v>
      </c>
      <c r="C3559" s="15">
        <v>3.44</v>
      </c>
      <c r="D3559" s="15">
        <v>3.04</v>
      </c>
      <c r="E3559" s="15">
        <v>3.05</v>
      </c>
      <c r="F3559" s="15">
        <f t="shared" si="1"/>
        <v>3.06</v>
      </c>
      <c r="G3559" s="15">
        <f t="shared" si="2"/>
        <v>3.44</v>
      </c>
      <c r="H3559" s="16">
        <v>0.0</v>
      </c>
      <c r="I3559" s="15">
        <f t="shared" si="3"/>
        <v>3.06</v>
      </c>
      <c r="J3559" s="15">
        <v>15.94</v>
      </c>
      <c r="K3559" s="16">
        <f>IF(COUNTIFS(Release_Calendar!$A$2:$A$755,"US_CPI",Release_Calendar!$B$2:$B$755,$A3559)&gt;0,1,0)</f>
        <v>0</v>
      </c>
      <c r="L3559" s="16">
        <f>IF(COUNTIFS(Release_Calendar!$A$2:$A$755,"US_NFP",Release_Calendar!$B$2:$B$755,$A3559)&gt;0,1,0)</f>
        <v>0</v>
      </c>
      <c r="M3559" s="16" t="str">
        <f>IF($A3559&lt;Notes!$B$5,"",IF(COUNTIFS(Release_Calendar!$A$2:$A$755,"NZ_CPI",Release_Calendar!$B$2:$B$755,$A3559)&gt;0,1,0))</f>
        <v/>
      </c>
      <c r="N3559" s="16" t="str">
        <f>IF($A3559&lt;Notes!$B$5,"",IF(COUNTIFS(Release_Calendar!$A$2:$A$755,"NZ_GDP",Release_Calendar!$B$2:$B$755,$A3559)&gt;0,1,0))</f>
        <v/>
      </c>
      <c r="O3559" s="16" t="str">
        <f>IF($A3559&lt;Notes!$B$5,"",IF(COUNTIFS(Release_Calendar!$A$2:$A$755,"NZ_LABOUR",Release_Calendar!$B$2:$B$755,$A3559)&gt;0,1,0))</f>
        <v/>
      </c>
      <c r="P3559" s="16">
        <f t="shared" si="4"/>
        <v>0</v>
      </c>
    </row>
    <row r="3560" ht="15.75" customHeight="1">
      <c r="A3560" s="14">
        <v>41508.0</v>
      </c>
      <c r="B3560" s="15">
        <v>0.42</v>
      </c>
      <c r="C3560" s="15">
        <v>3.48</v>
      </c>
      <c r="D3560" s="15">
        <v>3.07</v>
      </c>
      <c r="E3560" s="15">
        <v>3.1</v>
      </c>
      <c r="F3560" s="15">
        <f t="shared" si="1"/>
        <v>3.06</v>
      </c>
      <c r="G3560" s="15">
        <f t="shared" si="2"/>
        <v>3.48</v>
      </c>
      <c r="H3560" s="16">
        <v>0.0</v>
      </c>
      <c r="I3560" s="15">
        <f t="shared" si="3"/>
        <v>3.06</v>
      </c>
      <c r="J3560" s="15">
        <v>14.76</v>
      </c>
      <c r="K3560" s="16">
        <f>IF(COUNTIFS(Release_Calendar!$A$2:$A$755,"US_CPI",Release_Calendar!$B$2:$B$755,$A3560)&gt;0,1,0)</f>
        <v>0</v>
      </c>
      <c r="L3560" s="16">
        <f>IF(COUNTIFS(Release_Calendar!$A$2:$A$755,"US_NFP",Release_Calendar!$B$2:$B$755,$A3560)&gt;0,1,0)</f>
        <v>0</v>
      </c>
      <c r="M3560" s="16" t="str">
        <f>IF($A3560&lt;Notes!$B$5,"",IF(COUNTIFS(Release_Calendar!$A$2:$A$755,"NZ_CPI",Release_Calendar!$B$2:$B$755,$A3560)&gt;0,1,0))</f>
        <v/>
      </c>
      <c r="N3560" s="16" t="str">
        <f>IF($A3560&lt;Notes!$B$5,"",IF(COUNTIFS(Release_Calendar!$A$2:$A$755,"NZ_GDP",Release_Calendar!$B$2:$B$755,$A3560)&gt;0,1,0))</f>
        <v/>
      </c>
      <c r="O3560" s="16" t="str">
        <f>IF($A3560&lt;Notes!$B$5,"",IF(COUNTIFS(Release_Calendar!$A$2:$A$755,"NZ_LABOUR",Release_Calendar!$B$2:$B$755,$A3560)&gt;0,1,0))</f>
        <v/>
      </c>
      <c r="P3560" s="16">
        <f t="shared" si="4"/>
        <v>0</v>
      </c>
    </row>
    <row r="3561" ht="15.75" customHeight="1">
      <c r="A3561" s="14">
        <v>41509.0</v>
      </c>
      <c r="B3561" s="15">
        <v>0.4</v>
      </c>
      <c r="C3561" s="15">
        <v>3.45</v>
      </c>
      <c r="D3561" s="15">
        <v>3.08</v>
      </c>
      <c r="E3561" s="15">
        <v>3.07</v>
      </c>
      <c r="F3561" s="15">
        <f t="shared" si="1"/>
        <v>3.05</v>
      </c>
      <c r="G3561" s="15">
        <f t="shared" si="2"/>
        <v>3.45</v>
      </c>
      <c r="H3561" s="16">
        <v>0.0</v>
      </c>
      <c r="I3561" s="15">
        <f t="shared" si="3"/>
        <v>3.05</v>
      </c>
      <c r="J3561" s="15">
        <v>13.98</v>
      </c>
      <c r="K3561" s="16">
        <f>IF(COUNTIFS(Release_Calendar!$A$2:$A$755,"US_CPI",Release_Calendar!$B$2:$B$755,$A3561)&gt;0,1,0)</f>
        <v>0</v>
      </c>
      <c r="L3561" s="16">
        <f>IF(COUNTIFS(Release_Calendar!$A$2:$A$755,"US_NFP",Release_Calendar!$B$2:$B$755,$A3561)&gt;0,1,0)</f>
        <v>0</v>
      </c>
      <c r="M3561" s="16" t="str">
        <f>IF($A3561&lt;Notes!$B$5,"",IF(COUNTIFS(Release_Calendar!$A$2:$A$755,"NZ_CPI",Release_Calendar!$B$2:$B$755,$A3561)&gt;0,1,0))</f>
        <v/>
      </c>
      <c r="N3561" s="16" t="str">
        <f>IF($A3561&lt;Notes!$B$5,"",IF(COUNTIFS(Release_Calendar!$A$2:$A$755,"NZ_GDP",Release_Calendar!$B$2:$B$755,$A3561)&gt;0,1,0))</f>
        <v/>
      </c>
      <c r="O3561" s="16" t="str">
        <f>IF($A3561&lt;Notes!$B$5,"",IF(COUNTIFS(Release_Calendar!$A$2:$A$755,"NZ_LABOUR",Release_Calendar!$B$2:$B$755,$A3561)&gt;0,1,0))</f>
        <v/>
      </c>
      <c r="P3561" s="16">
        <f t="shared" si="4"/>
        <v>0</v>
      </c>
    </row>
    <row r="3562" ht="15.75" customHeight="1">
      <c r="A3562" s="14">
        <v>41512.0</v>
      </c>
      <c r="B3562" s="15">
        <v>0.41</v>
      </c>
      <c r="C3562" s="15">
        <v>3.44</v>
      </c>
      <c r="D3562" s="15">
        <v>3.01</v>
      </c>
      <c r="E3562" s="15">
        <v>3.02</v>
      </c>
      <c r="F3562" s="15">
        <f t="shared" si="1"/>
        <v>3.03</v>
      </c>
      <c r="G3562" s="15">
        <f t="shared" si="2"/>
        <v>3.44</v>
      </c>
      <c r="H3562" s="16">
        <v>0.0</v>
      </c>
      <c r="I3562" s="15">
        <f t="shared" si="3"/>
        <v>3.03</v>
      </c>
      <c r="J3562" s="15">
        <v>14.99</v>
      </c>
      <c r="K3562" s="16">
        <f>IF(COUNTIFS(Release_Calendar!$A$2:$A$755,"US_CPI",Release_Calendar!$B$2:$B$755,$A3562)&gt;0,1,0)</f>
        <v>0</v>
      </c>
      <c r="L3562" s="16">
        <f>IF(COUNTIFS(Release_Calendar!$A$2:$A$755,"US_NFP",Release_Calendar!$B$2:$B$755,$A3562)&gt;0,1,0)</f>
        <v>0</v>
      </c>
      <c r="M3562" s="16" t="str">
        <f>IF($A3562&lt;Notes!$B$5,"",IF(COUNTIFS(Release_Calendar!$A$2:$A$755,"NZ_CPI",Release_Calendar!$B$2:$B$755,$A3562)&gt;0,1,0))</f>
        <v/>
      </c>
      <c r="N3562" s="16" t="str">
        <f>IF($A3562&lt;Notes!$B$5,"",IF(COUNTIFS(Release_Calendar!$A$2:$A$755,"NZ_GDP",Release_Calendar!$B$2:$B$755,$A3562)&gt;0,1,0))</f>
        <v/>
      </c>
      <c r="O3562" s="16" t="str">
        <f>IF($A3562&lt;Notes!$B$5,"",IF(COUNTIFS(Release_Calendar!$A$2:$A$755,"NZ_LABOUR",Release_Calendar!$B$2:$B$755,$A3562)&gt;0,1,0))</f>
        <v/>
      </c>
      <c r="P3562" s="16">
        <f t="shared" si="4"/>
        <v>0</v>
      </c>
    </row>
    <row r="3563" ht="15.75" customHeight="1">
      <c r="A3563" s="14">
        <v>41513.0</v>
      </c>
      <c r="B3563" s="15">
        <v>0.38</v>
      </c>
      <c r="C3563" s="15">
        <v>3.41</v>
      </c>
      <c r="D3563" s="15">
        <v>2.97</v>
      </c>
      <c r="E3563" s="15">
        <v>2.98</v>
      </c>
      <c r="F3563" s="15">
        <f t="shared" si="1"/>
        <v>3.03</v>
      </c>
      <c r="G3563" s="15">
        <f t="shared" si="2"/>
        <v>3.41</v>
      </c>
      <c r="H3563" s="16">
        <v>0.0</v>
      </c>
      <c r="I3563" s="15">
        <f t="shared" si="3"/>
        <v>3.03</v>
      </c>
      <c r="J3563" s="15">
        <v>16.77</v>
      </c>
      <c r="K3563" s="16">
        <f>IF(COUNTIFS(Release_Calendar!$A$2:$A$755,"US_CPI",Release_Calendar!$B$2:$B$755,$A3563)&gt;0,1,0)</f>
        <v>0</v>
      </c>
      <c r="L3563" s="16">
        <f>IF(COUNTIFS(Release_Calendar!$A$2:$A$755,"US_NFP",Release_Calendar!$B$2:$B$755,$A3563)&gt;0,1,0)</f>
        <v>0</v>
      </c>
      <c r="M3563" s="16" t="str">
        <f>IF($A3563&lt;Notes!$B$5,"",IF(COUNTIFS(Release_Calendar!$A$2:$A$755,"NZ_CPI",Release_Calendar!$B$2:$B$755,$A3563)&gt;0,1,0))</f>
        <v/>
      </c>
      <c r="N3563" s="16" t="str">
        <f>IF($A3563&lt;Notes!$B$5,"",IF(COUNTIFS(Release_Calendar!$A$2:$A$755,"NZ_GDP",Release_Calendar!$B$2:$B$755,$A3563)&gt;0,1,0))</f>
        <v/>
      </c>
      <c r="O3563" s="16" t="str">
        <f>IF($A3563&lt;Notes!$B$5,"",IF(COUNTIFS(Release_Calendar!$A$2:$A$755,"NZ_LABOUR",Release_Calendar!$B$2:$B$755,$A3563)&gt;0,1,0))</f>
        <v/>
      </c>
      <c r="P3563" s="16">
        <f t="shared" si="4"/>
        <v>0</v>
      </c>
    </row>
    <row r="3564" ht="15.75" customHeight="1">
      <c r="A3564" s="14">
        <v>41514.0</v>
      </c>
      <c r="B3564" s="15">
        <v>0.4</v>
      </c>
      <c r="C3564" s="15">
        <v>3.39</v>
      </c>
      <c r="D3564" s="15">
        <v>2.95</v>
      </c>
      <c r="E3564" s="15">
        <v>2.96</v>
      </c>
      <c r="F3564" s="15">
        <f t="shared" si="1"/>
        <v>2.99</v>
      </c>
      <c r="G3564" s="15">
        <f t="shared" si="2"/>
        <v>3.39</v>
      </c>
      <c r="H3564" s="16">
        <v>0.0</v>
      </c>
      <c r="I3564" s="15">
        <f t="shared" si="3"/>
        <v>2.99</v>
      </c>
      <c r="J3564" s="15">
        <v>16.49</v>
      </c>
      <c r="K3564" s="16">
        <f>IF(COUNTIFS(Release_Calendar!$A$2:$A$755,"US_CPI",Release_Calendar!$B$2:$B$755,$A3564)&gt;0,1,0)</f>
        <v>0</v>
      </c>
      <c r="L3564" s="16">
        <f>IF(COUNTIFS(Release_Calendar!$A$2:$A$755,"US_NFP",Release_Calendar!$B$2:$B$755,$A3564)&gt;0,1,0)</f>
        <v>0</v>
      </c>
      <c r="M3564" s="16" t="str">
        <f>IF($A3564&lt;Notes!$B$5,"",IF(COUNTIFS(Release_Calendar!$A$2:$A$755,"NZ_CPI",Release_Calendar!$B$2:$B$755,$A3564)&gt;0,1,0))</f>
        <v/>
      </c>
      <c r="N3564" s="16" t="str">
        <f>IF($A3564&lt;Notes!$B$5,"",IF(COUNTIFS(Release_Calendar!$A$2:$A$755,"NZ_GDP",Release_Calendar!$B$2:$B$755,$A3564)&gt;0,1,0))</f>
        <v/>
      </c>
      <c r="O3564" s="16" t="str">
        <f>IF($A3564&lt;Notes!$B$5,"",IF(COUNTIFS(Release_Calendar!$A$2:$A$755,"NZ_LABOUR",Release_Calendar!$B$2:$B$755,$A3564)&gt;0,1,0))</f>
        <v/>
      </c>
      <c r="P3564" s="16">
        <f t="shared" si="4"/>
        <v>0</v>
      </c>
    </row>
    <row r="3565" ht="15.75" customHeight="1">
      <c r="A3565" s="14">
        <v>41515.0</v>
      </c>
      <c r="B3565" s="15">
        <v>0.39</v>
      </c>
      <c r="C3565" s="15">
        <v>3.41</v>
      </c>
      <c r="D3565" s="15">
        <v>2.97</v>
      </c>
      <c r="E3565" s="15">
        <v>2.98</v>
      </c>
      <c r="F3565" s="15">
        <f t="shared" si="1"/>
        <v>3.02</v>
      </c>
      <c r="G3565" s="15">
        <f t="shared" si="2"/>
        <v>3.41</v>
      </c>
      <c r="H3565" s="16">
        <v>0.0</v>
      </c>
      <c r="I3565" s="15">
        <f t="shared" si="3"/>
        <v>3.02</v>
      </c>
      <c r="J3565" s="15">
        <v>16.81</v>
      </c>
      <c r="K3565" s="16">
        <f>IF(COUNTIFS(Release_Calendar!$A$2:$A$755,"US_CPI",Release_Calendar!$B$2:$B$755,$A3565)&gt;0,1,0)</f>
        <v>0</v>
      </c>
      <c r="L3565" s="16">
        <f>IF(COUNTIFS(Release_Calendar!$A$2:$A$755,"US_NFP",Release_Calendar!$B$2:$B$755,$A3565)&gt;0,1,0)</f>
        <v>0</v>
      </c>
      <c r="M3565" s="16" t="str">
        <f>IF($A3565&lt;Notes!$B$5,"",IF(COUNTIFS(Release_Calendar!$A$2:$A$755,"NZ_CPI",Release_Calendar!$B$2:$B$755,$A3565)&gt;0,1,0))</f>
        <v/>
      </c>
      <c r="N3565" s="16" t="str">
        <f>IF($A3565&lt;Notes!$B$5,"",IF(COUNTIFS(Release_Calendar!$A$2:$A$755,"NZ_GDP",Release_Calendar!$B$2:$B$755,$A3565)&gt;0,1,0))</f>
        <v/>
      </c>
      <c r="O3565" s="16" t="str">
        <f>IF($A3565&lt;Notes!$B$5,"",IF(COUNTIFS(Release_Calendar!$A$2:$A$755,"NZ_LABOUR",Release_Calendar!$B$2:$B$755,$A3565)&gt;0,1,0))</f>
        <v/>
      </c>
      <c r="P3565" s="16">
        <f t="shared" si="4"/>
        <v>0</v>
      </c>
    </row>
    <row r="3566" ht="15.75" customHeight="1">
      <c r="A3566" s="14">
        <v>41516.0</v>
      </c>
      <c r="B3566" s="15">
        <v>0.39</v>
      </c>
      <c r="C3566" s="15">
        <v>3.41</v>
      </c>
      <c r="D3566" s="15">
        <v>2.97</v>
      </c>
      <c r="E3566" s="15">
        <v>2.95</v>
      </c>
      <c r="F3566" s="15">
        <f t="shared" si="1"/>
        <v>3.02</v>
      </c>
      <c r="G3566" s="15">
        <f t="shared" si="2"/>
        <v>3.41</v>
      </c>
      <c r="H3566" s="16">
        <v>0.0</v>
      </c>
      <c r="I3566" s="15">
        <f t="shared" si="3"/>
        <v>3.02</v>
      </c>
      <c r="J3566" s="15">
        <v>17.01</v>
      </c>
      <c r="K3566" s="16">
        <f>IF(COUNTIFS(Release_Calendar!$A$2:$A$755,"US_CPI",Release_Calendar!$B$2:$B$755,$A3566)&gt;0,1,0)</f>
        <v>0</v>
      </c>
      <c r="L3566" s="16">
        <f>IF(COUNTIFS(Release_Calendar!$A$2:$A$755,"US_NFP",Release_Calendar!$B$2:$B$755,$A3566)&gt;0,1,0)</f>
        <v>0</v>
      </c>
      <c r="M3566" s="16" t="str">
        <f>IF($A3566&lt;Notes!$B$5,"",IF(COUNTIFS(Release_Calendar!$A$2:$A$755,"NZ_CPI",Release_Calendar!$B$2:$B$755,$A3566)&gt;0,1,0))</f>
        <v/>
      </c>
      <c r="N3566" s="16" t="str">
        <f>IF($A3566&lt;Notes!$B$5,"",IF(COUNTIFS(Release_Calendar!$A$2:$A$755,"NZ_GDP",Release_Calendar!$B$2:$B$755,$A3566)&gt;0,1,0))</f>
        <v/>
      </c>
      <c r="O3566" s="16" t="str">
        <f>IF($A3566&lt;Notes!$B$5,"",IF(COUNTIFS(Release_Calendar!$A$2:$A$755,"NZ_LABOUR",Release_Calendar!$B$2:$B$755,$A3566)&gt;0,1,0))</f>
        <v/>
      </c>
      <c r="P3566" s="16">
        <f t="shared" si="4"/>
        <v>0</v>
      </c>
    </row>
    <row r="3567" ht="15.75" customHeight="1">
      <c r="A3567" s="14">
        <v>41519.0</v>
      </c>
      <c r="B3567" s="15"/>
      <c r="C3567" s="15">
        <v>3.44</v>
      </c>
      <c r="D3567" s="15">
        <v>2.97</v>
      </c>
      <c r="E3567" s="15">
        <v>2.99</v>
      </c>
      <c r="F3567" s="15" t="str">
        <f t="shared" si="1"/>
        <v/>
      </c>
      <c r="G3567" s="15">
        <f t="shared" si="2"/>
        <v>3.44</v>
      </c>
      <c r="H3567" s="16">
        <v>0.0</v>
      </c>
      <c r="I3567" s="15" t="str">
        <f t="shared" si="3"/>
        <v/>
      </c>
      <c r="J3567" s="15"/>
      <c r="K3567" s="16">
        <f>IF(COUNTIFS(Release_Calendar!$A$2:$A$755,"US_CPI",Release_Calendar!$B$2:$B$755,$A3567)&gt;0,1,0)</f>
        <v>0</v>
      </c>
      <c r="L3567" s="16">
        <f>IF(COUNTIFS(Release_Calendar!$A$2:$A$755,"US_NFP",Release_Calendar!$B$2:$B$755,$A3567)&gt;0,1,0)</f>
        <v>0</v>
      </c>
      <c r="M3567" s="16" t="str">
        <f>IF($A3567&lt;Notes!$B$5,"",IF(COUNTIFS(Release_Calendar!$A$2:$A$755,"NZ_CPI",Release_Calendar!$B$2:$B$755,$A3567)&gt;0,1,0))</f>
        <v/>
      </c>
      <c r="N3567" s="16" t="str">
        <f>IF($A3567&lt;Notes!$B$5,"",IF(COUNTIFS(Release_Calendar!$A$2:$A$755,"NZ_GDP",Release_Calendar!$B$2:$B$755,$A3567)&gt;0,1,0))</f>
        <v/>
      </c>
      <c r="O3567" s="16" t="str">
        <f>IF($A3567&lt;Notes!$B$5,"",IF(COUNTIFS(Release_Calendar!$A$2:$A$755,"NZ_LABOUR",Release_Calendar!$B$2:$B$755,$A3567)&gt;0,1,0))</f>
        <v/>
      </c>
      <c r="P3567" s="16">
        <f t="shared" si="4"/>
        <v>0</v>
      </c>
    </row>
    <row r="3568" ht="15.75" customHeight="1">
      <c r="A3568" s="14">
        <v>41520.0</v>
      </c>
      <c r="B3568" s="15">
        <v>0.43</v>
      </c>
      <c r="C3568" s="15">
        <v>3.46</v>
      </c>
      <c r="D3568" s="15">
        <v>3.0</v>
      </c>
      <c r="E3568" s="15">
        <v>3.01</v>
      </c>
      <c r="F3568" s="15">
        <f t="shared" si="1"/>
        <v>3.03</v>
      </c>
      <c r="G3568" s="15">
        <f t="shared" si="2"/>
        <v>3.46</v>
      </c>
      <c r="H3568" s="16">
        <v>0.0</v>
      </c>
      <c r="I3568" s="15">
        <f t="shared" si="3"/>
        <v>3.03</v>
      </c>
      <c r="J3568" s="15">
        <v>16.61</v>
      </c>
      <c r="K3568" s="16">
        <f>IF(COUNTIFS(Release_Calendar!$A$2:$A$755,"US_CPI",Release_Calendar!$B$2:$B$755,$A3568)&gt;0,1,0)</f>
        <v>0</v>
      </c>
      <c r="L3568" s="16">
        <f>IF(COUNTIFS(Release_Calendar!$A$2:$A$755,"US_NFP",Release_Calendar!$B$2:$B$755,$A3568)&gt;0,1,0)</f>
        <v>0</v>
      </c>
      <c r="M3568" s="16" t="str">
        <f>IF($A3568&lt;Notes!$B$5,"",IF(COUNTIFS(Release_Calendar!$A$2:$A$755,"NZ_CPI",Release_Calendar!$B$2:$B$755,$A3568)&gt;0,1,0))</f>
        <v/>
      </c>
      <c r="N3568" s="16" t="str">
        <f>IF($A3568&lt;Notes!$B$5,"",IF(COUNTIFS(Release_Calendar!$A$2:$A$755,"NZ_GDP",Release_Calendar!$B$2:$B$755,$A3568)&gt;0,1,0))</f>
        <v/>
      </c>
      <c r="O3568" s="16" t="str">
        <f>IF($A3568&lt;Notes!$B$5,"",IF(COUNTIFS(Release_Calendar!$A$2:$A$755,"NZ_LABOUR",Release_Calendar!$B$2:$B$755,$A3568)&gt;0,1,0))</f>
        <v/>
      </c>
      <c r="P3568" s="16">
        <f t="shared" si="4"/>
        <v>0</v>
      </c>
    </row>
    <row r="3569" ht="15.75" customHeight="1">
      <c r="A3569" s="14">
        <v>41521.0</v>
      </c>
      <c r="B3569" s="15">
        <v>0.46</v>
      </c>
      <c r="C3569" s="15">
        <v>3.5</v>
      </c>
      <c r="D3569" s="15">
        <v>3.04</v>
      </c>
      <c r="E3569" s="15">
        <v>3.04</v>
      </c>
      <c r="F3569" s="15">
        <f t="shared" si="1"/>
        <v>3.04</v>
      </c>
      <c r="G3569" s="15">
        <f t="shared" si="2"/>
        <v>3.5</v>
      </c>
      <c r="H3569" s="16">
        <v>0.0</v>
      </c>
      <c r="I3569" s="15">
        <f t="shared" si="3"/>
        <v>3.04</v>
      </c>
      <c r="J3569" s="15">
        <v>15.88</v>
      </c>
      <c r="K3569" s="16">
        <f>IF(COUNTIFS(Release_Calendar!$A$2:$A$755,"US_CPI",Release_Calendar!$B$2:$B$755,$A3569)&gt;0,1,0)</f>
        <v>0</v>
      </c>
      <c r="L3569" s="16">
        <f>IF(COUNTIFS(Release_Calendar!$A$2:$A$755,"US_NFP",Release_Calendar!$B$2:$B$755,$A3569)&gt;0,1,0)</f>
        <v>0</v>
      </c>
      <c r="M3569" s="16" t="str">
        <f>IF($A3569&lt;Notes!$B$5,"",IF(COUNTIFS(Release_Calendar!$A$2:$A$755,"NZ_CPI",Release_Calendar!$B$2:$B$755,$A3569)&gt;0,1,0))</f>
        <v/>
      </c>
      <c r="N3569" s="16" t="str">
        <f>IF($A3569&lt;Notes!$B$5,"",IF(COUNTIFS(Release_Calendar!$A$2:$A$755,"NZ_GDP",Release_Calendar!$B$2:$B$755,$A3569)&gt;0,1,0))</f>
        <v/>
      </c>
      <c r="O3569" s="16" t="str">
        <f>IF($A3569&lt;Notes!$B$5,"",IF(COUNTIFS(Release_Calendar!$A$2:$A$755,"NZ_LABOUR",Release_Calendar!$B$2:$B$755,$A3569)&gt;0,1,0))</f>
        <v/>
      </c>
      <c r="P3569" s="16">
        <f t="shared" si="4"/>
        <v>0</v>
      </c>
    </row>
    <row r="3570" ht="15.75" customHeight="1">
      <c r="A3570" s="14">
        <v>41522.0</v>
      </c>
      <c r="B3570" s="15">
        <v>0.52</v>
      </c>
      <c r="C3570" s="15">
        <v>3.47</v>
      </c>
      <c r="D3570" s="15">
        <v>3.08</v>
      </c>
      <c r="E3570" s="15">
        <v>3.03</v>
      </c>
      <c r="F3570" s="15">
        <f t="shared" si="1"/>
        <v>2.95</v>
      </c>
      <c r="G3570" s="15">
        <f t="shared" si="2"/>
        <v>3.47</v>
      </c>
      <c r="H3570" s="16">
        <v>0.0</v>
      </c>
      <c r="I3570" s="15">
        <f t="shared" si="3"/>
        <v>2.95</v>
      </c>
      <c r="J3570" s="15">
        <v>15.77</v>
      </c>
      <c r="K3570" s="16">
        <f>IF(COUNTIFS(Release_Calendar!$A$2:$A$755,"US_CPI",Release_Calendar!$B$2:$B$755,$A3570)&gt;0,1,0)</f>
        <v>0</v>
      </c>
      <c r="L3570" s="16">
        <f>IF(COUNTIFS(Release_Calendar!$A$2:$A$755,"US_NFP",Release_Calendar!$B$2:$B$755,$A3570)&gt;0,1,0)</f>
        <v>0</v>
      </c>
      <c r="M3570" s="16" t="str">
        <f>IF($A3570&lt;Notes!$B$5,"",IF(COUNTIFS(Release_Calendar!$A$2:$A$755,"NZ_CPI",Release_Calendar!$B$2:$B$755,$A3570)&gt;0,1,0))</f>
        <v/>
      </c>
      <c r="N3570" s="16" t="str">
        <f>IF($A3570&lt;Notes!$B$5,"",IF(COUNTIFS(Release_Calendar!$A$2:$A$755,"NZ_GDP",Release_Calendar!$B$2:$B$755,$A3570)&gt;0,1,0))</f>
        <v/>
      </c>
      <c r="O3570" s="16" t="str">
        <f>IF($A3570&lt;Notes!$B$5,"",IF(COUNTIFS(Release_Calendar!$A$2:$A$755,"NZ_LABOUR",Release_Calendar!$B$2:$B$755,$A3570)&gt;0,1,0))</f>
        <v/>
      </c>
      <c r="P3570" s="16">
        <f t="shared" si="4"/>
        <v>0</v>
      </c>
    </row>
    <row r="3571" ht="15.75" customHeight="1">
      <c r="A3571" s="14">
        <v>41523.0</v>
      </c>
      <c r="B3571" s="15">
        <v>0.46</v>
      </c>
      <c r="C3571" s="15">
        <v>3.5</v>
      </c>
      <c r="D3571" s="15">
        <v>3.04</v>
      </c>
      <c r="E3571" s="15">
        <v>3.04</v>
      </c>
      <c r="F3571" s="15">
        <f t="shared" si="1"/>
        <v>3.04</v>
      </c>
      <c r="G3571" s="15">
        <f t="shared" si="2"/>
        <v>3.5</v>
      </c>
      <c r="H3571" s="16">
        <v>0.0</v>
      </c>
      <c r="I3571" s="15">
        <f t="shared" si="3"/>
        <v>3.04</v>
      </c>
      <c r="J3571" s="15">
        <v>15.85</v>
      </c>
      <c r="K3571" s="16">
        <f>IF(COUNTIFS(Release_Calendar!$A$2:$A$755,"US_CPI",Release_Calendar!$B$2:$B$755,$A3571)&gt;0,1,0)</f>
        <v>0</v>
      </c>
      <c r="L3571" s="16">
        <f>IF(COUNTIFS(Release_Calendar!$A$2:$A$755,"US_NFP",Release_Calendar!$B$2:$B$755,$A3571)&gt;0,1,0)</f>
        <v>1</v>
      </c>
      <c r="M3571" s="16" t="str">
        <f>IF($A3571&lt;Notes!$B$5,"",IF(COUNTIFS(Release_Calendar!$A$2:$A$755,"NZ_CPI",Release_Calendar!$B$2:$B$755,$A3571)&gt;0,1,0))</f>
        <v/>
      </c>
      <c r="N3571" s="16" t="str">
        <f>IF($A3571&lt;Notes!$B$5,"",IF(COUNTIFS(Release_Calendar!$A$2:$A$755,"NZ_GDP",Release_Calendar!$B$2:$B$755,$A3571)&gt;0,1,0))</f>
        <v/>
      </c>
      <c r="O3571" s="16" t="str">
        <f>IF($A3571&lt;Notes!$B$5,"",IF(COUNTIFS(Release_Calendar!$A$2:$A$755,"NZ_LABOUR",Release_Calendar!$B$2:$B$755,$A3571)&gt;0,1,0))</f>
        <v/>
      </c>
      <c r="P3571" s="16">
        <f t="shared" si="4"/>
        <v>1</v>
      </c>
    </row>
    <row r="3572" ht="15.75" customHeight="1">
      <c r="A3572" s="14">
        <v>41526.0</v>
      </c>
      <c r="B3572" s="15">
        <v>0.45</v>
      </c>
      <c r="C3572" s="15">
        <v>3.47</v>
      </c>
      <c r="D3572" s="15">
        <v>3.01</v>
      </c>
      <c r="E3572" s="15">
        <v>3.01</v>
      </c>
      <c r="F3572" s="15">
        <f t="shared" si="1"/>
        <v>3.02</v>
      </c>
      <c r="G3572" s="15">
        <f t="shared" si="2"/>
        <v>3.47</v>
      </c>
      <c r="H3572" s="16">
        <v>0.0</v>
      </c>
      <c r="I3572" s="15">
        <f t="shared" si="3"/>
        <v>3.02</v>
      </c>
      <c r="J3572" s="15">
        <v>15.63</v>
      </c>
      <c r="K3572" s="16">
        <f>IF(COUNTIFS(Release_Calendar!$A$2:$A$755,"US_CPI",Release_Calendar!$B$2:$B$755,$A3572)&gt;0,1,0)</f>
        <v>0</v>
      </c>
      <c r="L3572" s="16">
        <f>IF(COUNTIFS(Release_Calendar!$A$2:$A$755,"US_NFP",Release_Calendar!$B$2:$B$755,$A3572)&gt;0,1,0)</f>
        <v>0</v>
      </c>
      <c r="M3572" s="16" t="str">
        <f>IF($A3572&lt;Notes!$B$5,"",IF(COUNTIFS(Release_Calendar!$A$2:$A$755,"NZ_CPI",Release_Calendar!$B$2:$B$755,$A3572)&gt;0,1,0))</f>
        <v/>
      </c>
      <c r="N3572" s="16" t="str">
        <f>IF($A3572&lt;Notes!$B$5,"",IF(COUNTIFS(Release_Calendar!$A$2:$A$755,"NZ_GDP",Release_Calendar!$B$2:$B$755,$A3572)&gt;0,1,0))</f>
        <v/>
      </c>
      <c r="O3572" s="16" t="str">
        <f>IF($A3572&lt;Notes!$B$5,"",IF(COUNTIFS(Release_Calendar!$A$2:$A$755,"NZ_LABOUR",Release_Calendar!$B$2:$B$755,$A3572)&gt;0,1,0))</f>
        <v/>
      </c>
      <c r="P3572" s="16">
        <f t="shared" si="4"/>
        <v>0</v>
      </c>
    </row>
    <row r="3573" ht="15.75" customHeight="1">
      <c r="A3573" s="14">
        <v>41527.0</v>
      </c>
      <c r="B3573" s="15">
        <v>0.5</v>
      </c>
      <c r="C3573" s="15">
        <v>3.48</v>
      </c>
      <c r="D3573" s="15">
        <v>3.0</v>
      </c>
      <c r="E3573" s="15">
        <v>3.02</v>
      </c>
      <c r="F3573" s="15">
        <f t="shared" si="1"/>
        <v>2.98</v>
      </c>
      <c r="G3573" s="15">
        <f t="shared" si="2"/>
        <v>3.48</v>
      </c>
      <c r="H3573" s="16">
        <v>0.0</v>
      </c>
      <c r="I3573" s="15">
        <f t="shared" si="3"/>
        <v>2.98</v>
      </c>
      <c r="J3573" s="15">
        <v>14.53</v>
      </c>
      <c r="K3573" s="16">
        <f>IF(COUNTIFS(Release_Calendar!$A$2:$A$755,"US_CPI",Release_Calendar!$B$2:$B$755,$A3573)&gt;0,1,0)</f>
        <v>0</v>
      </c>
      <c r="L3573" s="16">
        <f>IF(COUNTIFS(Release_Calendar!$A$2:$A$755,"US_NFP",Release_Calendar!$B$2:$B$755,$A3573)&gt;0,1,0)</f>
        <v>0</v>
      </c>
      <c r="M3573" s="16" t="str">
        <f>IF($A3573&lt;Notes!$B$5,"",IF(COUNTIFS(Release_Calendar!$A$2:$A$755,"NZ_CPI",Release_Calendar!$B$2:$B$755,$A3573)&gt;0,1,0))</f>
        <v/>
      </c>
      <c r="N3573" s="16" t="str">
        <f>IF($A3573&lt;Notes!$B$5,"",IF(COUNTIFS(Release_Calendar!$A$2:$A$755,"NZ_GDP",Release_Calendar!$B$2:$B$755,$A3573)&gt;0,1,0))</f>
        <v/>
      </c>
      <c r="O3573" s="16" t="str">
        <f>IF($A3573&lt;Notes!$B$5,"",IF(COUNTIFS(Release_Calendar!$A$2:$A$755,"NZ_LABOUR",Release_Calendar!$B$2:$B$755,$A3573)&gt;0,1,0))</f>
        <v/>
      </c>
      <c r="P3573" s="16">
        <f t="shared" si="4"/>
        <v>0</v>
      </c>
    </row>
    <row r="3574" ht="15.75" customHeight="1">
      <c r="A3574" s="14">
        <v>41528.0</v>
      </c>
      <c r="B3574" s="15">
        <v>0.47</v>
      </c>
      <c r="C3574" s="15">
        <v>3.51</v>
      </c>
      <c r="D3574" s="15">
        <v>3.05</v>
      </c>
      <c r="E3574" s="15">
        <v>3.05</v>
      </c>
      <c r="F3574" s="15">
        <f t="shared" si="1"/>
        <v>3.04</v>
      </c>
      <c r="G3574" s="15">
        <f t="shared" si="2"/>
        <v>3.51</v>
      </c>
      <c r="H3574" s="16">
        <v>0.0</v>
      </c>
      <c r="I3574" s="15">
        <f t="shared" si="3"/>
        <v>3.04</v>
      </c>
      <c r="J3574" s="15">
        <v>13.82</v>
      </c>
      <c r="K3574" s="16">
        <f>IF(COUNTIFS(Release_Calendar!$A$2:$A$755,"US_CPI",Release_Calendar!$B$2:$B$755,$A3574)&gt;0,1,0)</f>
        <v>0</v>
      </c>
      <c r="L3574" s="16">
        <f>IF(COUNTIFS(Release_Calendar!$A$2:$A$755,"US_NFP",Release_Calendar!$B$2:$B$755,$A3574)&gt;0,1,0)</f>
        <v>0</v>
      </c>
      <c r="M3574" s="16" t="str">
        <f>IF($A3574&lt;Notes!$B$5,"",IF(COUNTIFS(Release_Calendar!$A$2:$A$755,"NZ_CPI",Release_Calendar!$B$2:$B$755,$A3574)&gt;0,1,0))</f>
        <v/>
      </c>
      <c r="N3574" s="16" t="str">
        <f>IF($A3574&lt;Notes!$B$5,"",IF(COUNTIFS(Release_Calendar!$A$2:$A$755,"NZ_GDP",Release_Calendar!$B$2:$B$755,$A3574)&gt;0,1,0))</f>
        <v/>
      </c>
      <c r="O3574" s="16" t="str">
        <f>IF($A3574&lt;Notes!$B$5,"",IF(COUNTIFS(Release_Calendar!$A$2:$A$755,"NZ_LABOUR",Release_Calendar!$B$2:$B$755,$A3574)&gt;0,1,0))</f>
        <v/>
      </c>
      <c r="P3574" s="16">
        <f t="shared" si="4"/>
        <v>0</v>
      </c>
    </row>
    <row r="3575" ht="15.75" customHeight="1">
      <c r="A3575" s="14">
        <v>41529.0</v>
      </c>
      <c r="B3575" s="15">
        <v>0.45</v>
      </c>
      <c r="C3575" s="15">
        <v>3.52</v>
      </c>
      <c r="D3575" s="15">
        <v>3.06</v>
      </c>
      <c r="E3575" s="15">
        <v>3.04</v>
      </c>
      <c r="F3575" s="15">
        <f t="shared" si="1"/>
        <v>3.07</v>
      </c>
      <c r="G3575" s="15">
        <f t="shared" si="2"/>
        <v>3.52</v>
      </c>
      <c r="H3575" s="16">
        <v>0.0</v>
      </c>
      <c r="I3575" s="15">
        <f t="shared" si="3"/>
        <v>3.07</v>
      </c>
      <c r="J3575" s="15">
        <v>14.29</v>
      </c>
      <c r="K3575" s="16">
        <f>IF(COUNTIFS(Release_Calendar!$A$2:$A$755,"US_CPI",Release_Calendar!$B$2:$B$755,$A3575)&gt;0,1,0)</f>
        <v>0</v>
      </c>
      <c r="L3575" s="16">
        <f>IF(COUNTIFS(Release_Calendar!$A$2:$A$755,"US_NFP",Release_Calendar!$B$2:$B$755,$A3575)&gt;0,1,0)</f>
        <v>0</v>
      </c>
      <c r="M3575" s="16" t="str">
        <f>IF($A3575&lt;Notes!$B$5,"",IF(COUNTIFS(Release_Calendar!$A$2:$A$755,"NZ_CPI",Release_Calendar!$B$2:$B$755,$A3575)&gt;0,1,0))</f>
        <v/>
      </c>
      <c r="N3575" s="16" t="str">
        <f>IF($A3575&lt;Notes!$B$5,"",IF(COUNTIFS(Release_Calendar!$A$2:$A$755,"NZ_GDP",Release_Calendar!$B$2:$B$755,$A3575)&gt;0,1,0))</f>
        <v/>
      </c>
      <c r="O3575" s="16" t="str">
        <f>IF($A3575&lt;Notes!$B$5,"",IF(COUNTIFS(Release_Calendar!$A$2:$A$755,"NZ_LABOUR",Release_Calendar!$B$2:$B$755,$A3575)&gt;0,1,0))</f>
        <v/>
      </c>
      <c r="P3575" s="16">
        <f t="shared" si="4"/>
        <v>0</v>
      </c>
    </row>
    <row r="3576" ht="15.75" customHeight="1">
      <c r="A3576" s="14">
        <v>41530.0</v>
      </c>
      <c r="B3576" s="15">
        <v>0.45</v>
      </c>
      <c r="C3576" s="15">
        <v>3.57</v>
      </c>
      <c r="D3576" s="15">
        <v>3.06</v>
      </c>
      <c r="E3576" s="15">
        <v>3.07</v>
      </c>
      <c r="F3576" s="15">
        <f t="shared" si="1"/>
        <v>3.12</v>
      </c>
      <c r="G3576" s="15">
        <f t="shared" si="2"/>
        <v>3.57</v>
      </c>
      <c r="H3576" s="16">
        <v>0.0</v>
      </c>
      <c r="I3576" s="15">
        <f t="shared" si="3"/>
        <v>3.12</v>
      </c>
      <c r="J3576" s="15">
        <v>14.16</v>
      </c>
      <c r="K3576" s="16">
        <f>IF(COUNTIFS(Release_Calendar!$A$2:$A$755,"US_CPI",Release_Calendar!$B$2:$B$755,$A3576)&gt;0,1,0)</f>
        <v>0</v>
      </c>
      <c r="L3576" s="16">
        <f>IF(COUNTIFS(Release_Calendar!$A$2:$A$755,"US_NFP",Release_Calendar!$B$2:$B$755,$A3576)&gt;0,1,0)</f>
        <v>0</v>
      </c>
      <c r="M3576" s="16" t="str">
        <f>IF($A3576&lt;Notes!$B$5,"",IF(COUNTIFS(Release_Calendar!$A$2:$A$755,"NZ_CPI",Release_Calendar!$B$2:$B$755,$A3576)&gt;0,1,0))</f>
        <v/>
      </c>
      <c r="N3576" s="16" t="str">
        <f>IF($A3576&lt;Notes!$B$5,"",IF(COUNTIFS(Release_Calendar!$A$2:$A$755,"NZ_GDP",Release_Calendar!$B$2:$B$755,$A3576)&gt;0,1,0))</f>
        <v/>
      </c>
      <c r="O3576" s="16" t="str">
        <f>IF($A3576&lt;Notes!$B$5,"",IF(COUNTIFS(Release_Calendar!$A$2:$A$755,"NZ_LABOUR",Release_Calendar!$B$2:$B$755,$A3576)&gt;0,1,0))</f>
        <v/>
      </c>
      <c r="P3576" s="16">
        <f t="shared" si="4"/>
        <v>0</v>
      </c>
    </row>
    <row r="3577" ht="15.75" customHeight="1">
      <c r="A3577" s="14">
        <v>41533.0</v>
      </c>
      <c r="B3577" s="15">
        <v>0.41</v>
      </c>
      <c r="C3577" s="15">
        <v>3.53</v>
      </c>
      <c r="D3577" s="15">
        <v>3.01</v>
      </c>
      <c r="E3577" s="15">
        <v>3.03</v>
      </c>
      <c r="F3577" s="15">
        <f t="shared" si="1"/>
        <v>3.12</v>
      </c>
      <c r="G3577" s="15">
        <f t="shared" si="2"/>
        <v>3.53</v>
      </c>
      <c r="H3577" s="16">
        <v>0.0</v>
      </c>
      <c r="I3577" s="15">
        <f t="shared" si="3"/>
        <v>3.12</v>
      </c>
      <c r="J3577" s="15">
        <v>14.38</v>
      </c>
      <c r="K3577" s="16">
        <f>IF(COUNTIFS(Release_Calendar!$A$2:$A$755,"US_CPI",Release_Calendar!$B$2:$B$755,$A3577)&gt;0,1,0)</f>
        <v>0</v>
      </c>
      <c r="L3577" s="16">
        <f>IF(COUNTIFS(Release_Calendar!$A$2:$A$755,"US_NFP",Release_Calendar!$B$2:$B$755,$A3577)&gt;0,1,0)</f>
        <v>0</v>
      </c>
      <c r="M3577" s="16" t="str">
        <f>IF($A3577&lt;Notes!$B$5,"",IF(COUNTIFS(Release_Calendar!$A$2:$A$755,"NZ_CPI",Release_Calendar!$B$2:$B$755,$A3577)&gt;0,1,0))</f>
        <v/>
      </c>
      <c r="N3577" s="16" t="str">
        <f>IF($A3577&lt;Notes!$B$5,"",IF(COUNTIFS(Release_Calendar!$A$2:$A$755,"NZ_GDP",Release_Calendar!$B$2:$B$755,$A3577)&gt;0,1,0))</f>
        <v/>
      </c>
      <c r="O3577" s="16" t="str">
        <f>IF($A3577&lt;Notes!$B$5,"",IF(COUNTIFS(Release_Calendar!$A$2:$A$755,"NZ_LABOUR",Release_Calendar!$B$2:$B$755,$A3577)&gt;0,1,0))</f>
        <v/>
      </c>
      <c r="P3577" s="16">
        <f t="shared" si="4"/>
        <v>0</v>
      </c>
    </row>
    <row r="3578" ht="15.75" customHeight="1">
      <c r="A3578" s="14">
        <v>41534.0</v>
      </c>
      <c r="B3578" s="15">
        <v>0.39</v>
      </c>
      <c r="C3578" s="15">
        <v>3.56</v>
      </c>
      <c r="D3578" s="15">
        <v>3.05</v>
      </c>
      <c r="E3578" s="15">
        <v>3.06</v>
      </c>
      <c r="F3578" s="15">
        <f t="shared" si="1"/>
        <v>3.17</v>
      </c>
      <c r="G3578" s="15">
        <f t="shared" si="2"/>
        <v>3.56</v>
      </c>
      <c r="H3578" s="16">
        <v>0.0</v>
      </c>
      <c r="I3578" s="15">
        <f t="shared" si="3"/>
        <v>3.17</v>
      </c>
      <c r="J3578" s="15">
        <v>14.53</v>
      </c>
      <c r="K3578" s="16">
        <f>IF(COUNTIFS(Release_Calendar!$A$2:$A$755,"US_CPI",Release_Calendar!$B$2:$B$755,$A3578)&gt;0,1,0)</f>
        <v>1</v>
      </c>
      <c r="L3578" s="16">
        <f>IF(COUNTIFS(Release_Calendar!$A$2:$A$755,"US_NFP",Release_Calendar!$B$2:$B$755,$A3578)&gt;0,1,0)</f>
        <v>0</v>
      </c>
      <c r="M3578" s="16" t="str">
        <f>IF($A3578&lt;Notes!$B$5,"",IF(COUNTIFS(Release_Calendar!$A$2:$A$755,"NZ_CPI",Release_Calendar!$B$2:$B$755,$A3578)&gt;0,1,0))</f>
        <v/>
      </c>
      <c r="N3578" s="16" t="str">
        <f>IF($A3578&lt;Notes!$B$5,"",IF(COUNTIFS(Release_Calendar!$A$2:$A$755,"NZ_GDP",Release_Calendar!$B$2:$B$755,$A3578)&gt;0,1,0))</f>
        <v/>
      </c>
      <c r="O3578" s="16" t="str">
        <f>IF($A3578&lt;Notes!$B$5,"",IF(COUNTIFS(Release_Calendar!$A$2:$A$755,"NZ_LABOUR",Release_Calendar!$B$2:$B$755,$A3578)&gt;0,1,0))</f>
        <v/>
      </c>
      <c r="P3578" s="16">
        <f t="shared" si="4"/>
        <v>1</v>
      </c>
    </row>
    <row r="3579" ht="15.75" customHeight="1">
      <c r="A3579" s="14">
        <v>41535.0</v>
      </c>
      <c r="B3579" s="15">
        <v>0.34</v>
      </c>
      <c r="C3579" s="15">
        <v>3.56</v>
      </c>
      <c r="D3579" s="15">
        <v>3.06</v>
      </c>
      <c r="E3579" s="15">
        <v>3.06</v>
      </c>
      <c r="F3579" s="15">
        <f t="shared" si="1"/>
        <v>3.22</v>
      </c>
      <c r="G3579" s="15">
        <f t="shared" si="2"/>
        <v>3.56</v>
      </c>
      <c r="H3579" s="16">
        <v>0.0</v>
      </c>
      <c r="I3579" s="15">
        <f t="shared" si="3"/>
        <v>3.22</v>
      </c>
      <c r="J3579" s="15">
        <v>13.59</v>
      </c>
      <c r="K3579" s="16">
        <f>IF(COUNTIFS(Release_Calendar!$A$2:$A$755,"US_CPI",Release_Calendar!$B$2:$B$755,$A3579)&gt;0,1,0)</f>
        <v>0</v>
      </c>
      <c r="L3579" s="16">
        <f>IF(COUNTIFS(Release_Calendar!$A$2:$A$755,"US_NFP",Release_Calendar!$B$2:$B$755,$A3579)&gt;0,1,0)</f>
        <v>0</v>
      </c>
      <c r="M3579" s="16" t="str">
        <f>IF($A3579&lt;Notes!$B$5,"",IF(COUNTIFS(Release_Calendar!$A$2:$A$755,"NZ_CPI",Release_Calendar!$B$2:$B$755,$A3579)&gt;0,1,0))</f>
        <v/>
      </c>
      <c r="N3579" s="16" t="str">
        <f>IF($A3579&lt;Notes!$B$5,"",IF(COUNTIFS(Release_Calendar!$A$2:$A$755,"NZ_GDP",Release_Calendar!$B$2:$B$755,$A3579)&gt;0,1,0))</f>
        <v/>
      </c>
      <c r="O3579" s="16" t="str">
        <f>IF($A3579&lt;Notes!$B$5,"",IF(COUNTIFS(Release_Calendar!$A$2:$A$755,"NZ_LABOUR",Release_Calendar!$B$2:$B$755,$A3579)&gt;0,1,0))</f>
        <v/>
      </c>
      <c r="P3579" s="16">
        <f t="shared" si="4"/>
        <v>0</v>
      </c>
    </row>
    <row r="3580" ht="15.75" customHeight="1">
      <c r="A3580" s="14">
        <v>41536.0</v>
      </c>
      <c r="B3580" s="15">
        <v>0.34</v>
      </c>
      <c r="C3580" s="15">
        <v>3.47</v>
      </c>
      <c r="D3580" s="15">
        <v>3.01</v>
      </c>
      <c r="E3580" s="15">
        <v>3.01</v>
      </c>
      <c r="F3580" s="15">
        <f t="shared" si="1"/>
        <v>3.13</v>
      </c>
      <c r="G3580" s="15">
        <f t="shared" si="2"/>
        <v>3.47</v>
      </c>
      <c r="H3580" s="16">
        <v>0.0</v>
      </c>
      <c r="I3580" s="15">
        <f t="shared" si="3"/>
        <v>3.13</v>
      </c>
      <c r="J3580" s="15">
        <v>13.16</v>
      </c>
      <c r="K3580" s="16">
        <f>IF(COUNTIFS(Release_Calendar!$A$2:$A$755,"US_CPI",Release_Calendar!$B$2:$B$755,$A3580)&gt;0,1,0)</f>
        <v>0</v>
      </c>
      <c r="L3580" s="16">
        <f>IF(COUNTIFS(Release_Calendar!$A$2:$A$755,"US_NFP",Release_Calendar!$B$2:$B$755,$A3580)&gt;0,1,0)</f>
        <v>0</v>
      </c>
      <c r="M3580" s="16" t="str">
        <f>IF($A3580&lt;Notes!$B$5,"",IF(COUNTIFS(Release_Calendar!$A$2:$A$755,"NZ_CPI",Release_Calendar!$B$2:$B$755,$A3580)&gt;0,1,0))</f>
        <v/>
      </c>
      <c r="N3580" s="16" t="str">
        <f>IF($A3580&lt;Notes!$B$5,"",IF(COUNTIFS(Release_Calendar!$A$2:$A$755,"NZ_GDP",Release_Calendar!$B$2:$B$755,$A3580)&gt;0,1,0))</f>
        <v/>
      </c>
      <c r="O3580" s="16" t="str">
        <f>IF($A3580&lt;Notes!$B$5,"",IF(COUNTIFS(Release_Calendar!$A$2:$A$755,"NZ_LABOUR",Release_Calendar!$B$2:$B$755,$A3580)&gt;0,1,0))</f>
        <v/>
      </c>
      <c r="P3580" s="16">
        <f t="shared" si="4"/>
        <v>0</v>
      </c>
    </row>
    <row r="3581" ht="15.75" customHeight="1">
      <c r="A3581" s="14">
        <v>41537.0</v>
      </c>
      <c r="B3581" s="15">
        <v>0.34</v>
      </c>
      <c r="C3581" s="15">
        <v>3.48</v>
      </c>
      <c r="D3581" s="15">
        <v>3.04</v>
      </c>
      <c r="E3581" s="15">
        <v>3.04</v>
      </c>
      <c r="F3581" s="15">
        <f t="shared" si="1"/>
        <v>3.14</v>
      </c>
      <c r="G3581" s="15">
        <f t="shared" si="2"/>
        <v>3.48</v>
      </c>
      <c r="H3581" s="16">
        <v>0.0</v>
      </c>
      <c r="I3581" s="15">
        <f t="shared" si="3"/>
        <v>3.14</v>
      </c>
      <c r="J3581" s="15">
        <v>13.12</v>
      </c>
      <c r="K3581" s="16">
        <f>IF(COUNTIFS(Release_Calendar!$A$2:$A$755,"US_CPI",Release_Calendar!$B$2:$B$755,$A3581)&gt;0,1,0)</f>
        <v>0</v>
      </c>
      <c r="L3581" s="16">
        <f>IF(COUNTIFS(Release_Calendar!$A$2:$A$755,"US_NFP",Release_Calendar!$B$2:$B$755,$A3581)&gt;0,1,0)</f>
        <v>0</v>
      </c>
      <c r="M3581" s="16" t="str">
        <f>IF($A3581&lt;Notes!$B$5,"",IF(COUNTIFS(Release_Calendar!$A$2:$A$755,"NZ_CPI",Release_Calendar!$B$2:$B$755,$A3581)&gt;0,1,0))</f>
        <v/>
      </c>
      <c r="N3581" s="16" t="str">
        <f>IF($A3581&lt;Notes!$B$5,"",IF(COUNTIFS(Release_Calendar!$A$2:$A$755,"NZ_GDP",Release_Calendar!$B$2:$B$755,$A3581)&gt;0,1,0))</f>
        <v/>
      </c>
      <c r="O3581" s="16" t="str">
        <f>IF($A3581&lt;Notes!$B$5,"",IF(COUNTIFS(Release_Calendar!$A$2:$A$755,"NZ_LABOUR",Release_Calendar!$B$2:$B$755,$A3581)&gt;0,1,0))</f>
        <v/>
      </c>
      <c r="P3581" s="16">
        <f t="shared" si="4"/>
        <v>0</v>
      </c>
    </row>
    <row r="3582" ht="15.75" customHeight="1">
      <c r="A3582" s="14">
        <v>41540.0</v>
      </c>
      <c r="B3582" s="15">
        <v>0.35</v>
      </c>
      <c r="C3582" s="15">
        <v>3.47</v>
      </c>
      <c r="D3582" s="15">
        <v>3.04</v>
      </c>
      <c r="E3582" s="15">
        <v>3.04</v>
      </c>
      <c r="F3582" s="15">
        <f t="shared" si="1"/>
        <v>3.12</v>
      </c>
      <c r="G3582" s="15">
        <f t="shared" si="2"/>
        <v>3.47</v>
      </c>
      <c r="H3582" s="16">
        <v>0.0</v>
      </c>
      <c r="I3582" s="15">
        <f t="shared" si="3"/>
        <v>3.12</v>
      </c>
      <c r="J3582" s="15">
        <v>14.31</v>
      </c>
      <c r="K3582" s="16">
        <f>IF(COUNTIFS(Release_Calendar!$A$2:$A$755,"US_CPI",Release_Calendar!$B$2:$B$755,$A3582)&gt;0,1,0)</f>
        <v>0</v>
      </c>
      <c r="L3582" s="16">
        <f>IF(COUNTIFS(Release_Calendar!$A$2:$A$755,"US_NFP",Release_Calendar!$B$2:$B$755,$A3582)&gt;0,1,0)</f>
        <v>0</v>
      </c>
      <c r="M3582" s="16" t="str">
        <f>IF($A3582&lt;Notes!$B$5,"",IF(COUNTIFS(Release_Calendar!$A$2:$A$755,"NZ_CPI",Release_Calendar!$B$2:$B$755,$A3582)&gt;0,1,0))</f>
        <v/>
      </c>
      <c r="N3582" s="16" t="str">
        <f>IF($A3582&lt;Notes!$B$5,"",IF(COUNTIFS(Release_Calendar!$A$2:$A$755,"NZ_GDP",Release_Calendar!$B$2:$B$755,$A3582)&gt;0,1,0))</f>
        <v/>
      </c>
      <c r="O3582" s="16" t="str">
        <f>IF($A3582&lt;Notes!$B$5,"",IF(COUNTIFS(Release_Calendar!$A$2:$A$755,"NZ_LABOUR",Release_Calendar!$B$2:$B$755,$A3582)&gt;0,1,0))</f>
        <v/>
      </c>
      <c r="P3582" s="16">
        <f t="shared" si="4"/>
        <v>0</v>
      </c>
    </row>
    <row r="3583" ht="15.75" customHeight="1">
      <c r="A3583" s="14">
        <v>41541.0</v>
      </c>
      <c r="B3583" s="15">
        <v>0.35</v>
      </c>
      <c r="C3583" s="15">
        <v>3.44</v>
      </c>
      <c r="D3583" s="15">
        <v>3.03</v>
      </c>
      <c r="E3583" s="15">
        <v>3.03</v>
      </c>
      <c r="F3583" s="15">
        <f t="shared" si="1"/>
        <v>3.09</v>
      </c>
      <c r="G3583" s="15">
        <f t="shared" si="2"/>
        <v>3.44</v>
      </c>
      <c r="H3583" s="16">
        <v>0.0</v>
      </c>
      <c r="I3583" s="15">
        <f t="shared" si="3"/>
        <v>3.09</v>
      </c>
      <c r="J3583" s="15">
        <v>14.08</v>
      </c>
      <c r="K3583" s="16">
        <f>IF(COUNTIFS(Release_Calendar!$A$2:$A$755,"US_CPI",Release_Calendar!$B$2:$B$755,$A3583)&gt;0,1,0)</f>
        <v>0</v>
      </c>
      <c r="L3583" s="16">
        <f>IF(COUNTIFS(Release_Calendar!$A$2:$A$755,"US_NFP",Release_Calendar!$B$2:$B$755,$A3583)&gt;0,1,0)</f>
        <v>0</v>
      </c>
      <c r="M3583" s="16" t="str">
        <f>IF($A3583&lt;Notes!$B$5,"",IF(COUNTIFS(Release_Calendar!$A$2:$A$755,"NZ_CPI",Release_Calendar!$B$2:$B$755,$A3583)&gt;0,1,0))</f>
        <v/>
      </c>
      <c r="N3583" s="16" t="str">
        <f>IF($A3583&lt;Notes!$B$5,"",IF(COUNTIFS(Release_Calendar!$A$2:$A$755,"NZ_GDP",Release_Calendar!$B$2:$B$755,$A3583)&gt;0,1,0))</f>
        <v/>
      </c>
      <c r="O3583" s="16" t="str">
        <f>IF($A3583&lt;Notes!$B$5,"",IF(COUNTIFS(Release_Calendar!$A$2:$A$755,"NZ_LABOUR",Release_Calendar!$B$2:$B$755,$A3583)&gt;0,1,0))</f>
        <v/>
      </c>
      <c r="P3583" s="16">
        <f t="shared" si="4"/>
        <v>0</v>
      </c>
    </row>
    <row r="3584" ht="15.75" customHeight="1">
      <c r="A3584" s="14">
        <v>41542.0</v>
      </c>
      <c r="B3584" s="15">
        <v>0.36</v>
      </c>
      <c r="C3584" s="15">
        <v>3.44</v>
      </c>
      <c r="D3584" s="15">
        <v>3.02</v>
      </c>
      <c r="E3584" s="15">
        <v>3.02</v>
      </c>
      <c r="F3584" s="15">
        <f t="shared" si="1"/>
        <v>3.08</v>
      </c>
      <c r="G3584" s="15">
        <f t="shared" si="2"/>
        <v>3.44</v>
      </c>
      <c r="H3584" s="16">
        <v>0.0</v>
      </c>
      <c r="I3584" s="15">
        <f t="shared" si="3"/>
        <v>3.08</v>
      </c>
      <c r="J3584" s="15">
        <v>14.01</v>
      </c>
      <c r="K3584" s="16">
        <f>IF(COUNTIFS(Release_Calendar!$A$2:$A$755,"US_CPI",Release_Calendar!$B$2:$B$755,$A3584)&gt;0,1,0)</f>
        <v>0</v>
      </c>
      <c r="L3584" s="16">
        <f>IF(COUNTIFS(Release_Calendar!$A$2:$A$755,"US_NFP",Release_Calendar!$B$2:$B$755,$A3584)&gt;0,1,0)</f>
        <v>0</v>
      </c>
      <c r="M3584" s="16" t="str">
        <f>IF($A3584&lt;Notes!$B$5,"",IF(COUNTIFS(Release_Calendar!$A$2:$A$755,"NZ_CPI",Release_Calendar!$B$2:$B$755,$A3584)&gt;0,1,0))</f>
        <v/>
      </c>
      <c r="N3584" s="16" t="str">
        <f>IF($A3584&lt;Notes!$B$5,"",IF(COUNTIFS(Release_Calendar!$A$2:$A$755,"NZ_GDP",Release_Calendar!$B$2:$B$755,$A3584)&gt;0,1,0))</f>
        <v/>
      </c>
      <c r="O3584" s="16" t="str">
        <f>IF($A3584&lt;Notes!$B$5,"",IF(COUNTIFS(Release_Calendar!$A$2:$A$755,"NZ_LABOUR",Release_Calendar!$B$2:$B$755,$A3584)&gt;0,1,0))</f>
        <v/>
      </c>
      <c r="P3584" s="16">
        <f t="shared" si="4"/>
        <v>0</v>
      </c>
    </row>
    <row r="3585" ht="15.75" customHeight="1">
      <c r="A3585" s="14">
        <v>41543.0</v>
      </c>
      <c r="B3585" s="15">
        <v>0.34</v>
      </c>
      <c r="C3585" s="15">
        <v>3.44</v>
      </c>
      <c r="D3585" s="15">
        <v>3.01</v>
      </c>
      <c r="E3585" s="15">
        <v>3.01</v>
      </c>
      <c r="F3585" s="15">
        <f t="shared" si="1"/>
        <v>3.1</v>
      </c>
      <c r="G3585" s="15">
        <f t="shared" si="2"/>
        <v>3.44</v>
      </c>
      <c r="H3585" s="16">
        <v>0.0</v>
      </c>
      <c r="I3585" s="15">
        <f t="shared" si="3"/>
        <v>3.1</v>
      </c>
      <c r="J3585" s="15">
        <v>14.06</v>
      </c>
      <c r="K3585" s="16">
        <f>IF(COUNTIFS(Release_Calendar!$A$2:$A$755,"US_CPI",Release_Calendar!$B$2:$B$755,$A3585)&gt;0,1,0)</f>
        <v>0</v>
      </c>
      <c r="L3585" s="16">
        <f>IF(COUNTIFS(Release_Calendar!$A$2:$A$755,"US_NFP",Release_Calendar!$B$2:$B$755,$A3585)&gt;0,1,0)</f>
        <v>0</v>
      </c>
      <c r="M3585" s="16" t="str">
        <f>IF($A3585&lt;Notes!$B$5,"",IF(COUNTIFS(Release_Calendar!$A$2:$A$755,"NZ_CPI",Release_Calendar!$B$2:$B$755,$A3585)&gt;0,1,0))</f>
        <v/>
      </c>
      <c r="N3585" s="16" t="str">
        <f>IF($A3585&lt;Notes!$B$5,"",IF(COUNTIFS(Release_Calendar!$A$2:$A$755,"NZ_GDP",Release_Calendar!$B$2:$B$755,$A3585)&gt;0,1,0))</f>
        <v/>
      </c>
      <c r="O3585" s="16" t="str">
        <f>IF($A3585&lt;Notes!$B$5,"",IF(COUNTIFS(Release_Calendar!$A$2:$A$755,"NZ_LABOUR",Release_Calendar!$B$2:$B$755,$A3585)&gt;0,1,0))</f>
        <v/>
      </c>
      <c r="P3585" s="16">
        <f t="shared" si="4"/>
        <v>0</v>
      </c>
    </row>
    <row r="3586" ht="15.75" customHeight="1">
      <c r="A3586" s="14">
        <v>41544.0</v>
      </c>
      <c r="B3586" s="15">
        <v>0.34</v>
      </c>
      <c r="C3586" s="15">
        <v>3.45</v>
      </c>
      <c r="D3586" s="15">
        <v>3.02</v>
      </c>
      <c r="E3586" s="15">
        <v>3.03</v>
      </c>
      <c r="F3586" s="15">
        <f t="shared" si="1"/>
        <v>3.11</v>
      </c>
      <c r="G3586" s="15">
        <f t="shared" si="2"/>
        <v>3.45</v>
      </c>
      <c r="H3586" s="16">
        <v>0.0</v>
      </c>
      <c r="I3586" s="15">
        <f t="shared" si="3"/>
        <v>3.11</v>
      </c>
      <c r="J3586" s="15">
        <v>15.46</v>
      </c>
      <c r="K3586" s="16">
        <f>IF(COUNTIFS(Release_Calendar!$A$2:$A$755,"US_CPI",Release_Calendar!$B$2:$B$755,$A3586)&gt;0,1,0)</f>
        <v>0</v>
      </c>
      <c r="L3586" s="16">
        <f>IF(COUNTIFS(Release_Calendar!$A$2:$A$755,"US_NFP",Release_Calendar!$B$2:$B$755,$A3586)&gt;0,1,0)</f>
        <v>0</v>
      </c>
      <c r="M3586" s="16" t="str">
        <f>IF($A3586&lt;Notes!$B$5,"",IF(COUNTIFS(Release_Calendar!$A$2:$A$755,"NZ_CPI",Release_Calendar!$B$2:$B$755,$A3586)&gt;0,1,0))</f>
        <v/>
      </c>
      <c r="N3586" s="16" t="str">
        <f>IF($A3586&lt;Notes!$B$5,"",IF(COUNTIFS(Release_Calendar!$A$2:$A$755,"NZ_GDP",Release_Calendar!$B$2:$B$755,$A3586)&gt;0,1,0))</f>
        <v/>
      </c>
      <c r="O3586" s="16" t="str">
        <f>IF($A3586&lt;Notes!$B$5,"",IF(COUNTIFS(Release_Calendar!$A$2:$A$755,"NZ_LABOUR",Release_Calendar!$B$2:$B$755,$A3586)&gt;0,1,0))</f>
        <v/>
      </c>
      <c r="P3586" s="16">
        <f t="shared" si="4"/>
        <v>0</v>
      </c>
    </row>
    <row r="3587" ht="15.75" customHeight="1">
      <c r="A3587" s="14">
        <v>41547.0</v>
      </c>
      <c r="B3587" s="15">
        <v>0.33</v>
      </c>
      <c r="C3587" s="15">
        <v>3.42</v>
      </c>
      <c r="D3587" s="15">
        <v>3.01</v>
      </c>
      <c r="E3587" s="15">
        <v>3.02</v>
      </c>
      <c r="F3587" s="15">
        <f t="shared" si="1"/>
        <v>3.09</v>
      </c>
      <c r="G3587" s="15">
        <f t="shared" si="2"/>
        <v>3.42</v>
      </c>
      <c r="H3587" s="16">
        <v>0.0</v>
      </c>
      <c r="I3587" s="15">
        <f t="shared" si="3"/>
        <v>3.09</v>
      </c>
      <c r="J3587" s="15">
        <v>16.6</v>
      </c>
      <c r="K3587" s="16">
        <f>IF(COUNTIFS(Release_Calendar!$A$2:$A$755,"US_CPI",Release_Calendar!$B$2:$B$755,$A3587)&gt;0,1,0)</f>
        <v>0</v>
      </c>
      <c r="L3587" s="16">
        <f>IF(COUNTIFS(Release_Calendar!$A$2:$A$755,"US_NFP",Release_Calendar!$B$2:$B$755,$A3587)&gt;0,1,0)</f>
        <v>0</v>
      </c>
      <c r="M3587" s="16" t="str">
        <f>IF($A3587&lt;Notes!$B$5,"",IF(COUNTIFS(Release_Calendar!$A$2:$A$755,"NZ_CPI",Release_Calendar!$B$2:$B$755,$A3587)&gt;0,1,0))</f>
        <v/>
      </c>
      <c r="N3587" s="16" t="str">
        <f>IF($A3587&lt;Notes!$B$5,"",IF(COUNTIFS(Release_Calendar!$A$2:$A$755,"NZ_GDP",Release_Calendar!$B$2:$B$755,$A3587)&gt;0,1,0))</f>
        <v/>
      </c>
      <c r="O3587" s="16" t="str">
        <f>IF($A3587&lt;Notes!$B$5,"",IF(COUNTIFS(Release_Calendar!$A$2:$A$755,"NZ_LABOUR",Release_Calendar!$B$2:$B$755,$A3587)&gt;0,1,0))</f>
        <v/>
      </c>
      <c r="P3587" s="16">
        <f t="shared" si="4"/>
        <v>0</v>
      </c>
    </row>
    <row r="3588" ht="15.75" customHeight="1">
      <c r="A3588" s="14">
        <v>41548.0</v>
      </c>
      <c r="B3588" s="15">
        <v>0.33</v>
      </c>
      <c r="C3588" s="15">
        <v>3.42</v>
      </c>
      <c r="D3588" s="15">
        <v>3.02</v>
      </c>
      <c r="E3588" s="15">
        <v>3.04</v>
      </c>
      <c r="F3588" s="15">
        <f t="shared" si="1"/>
        <v>3.09</v>
      </c>
      <c r="G3588" s="15">
        <f t="shared" si="2"/>
        <v>3.42</v>
      </c>
      <c r="H3588" s="16">
        <v>0.0</v>
      </c>
      <c r="I3588" s="15">
        <f t="shared" si="3"/>
        <v>3.09</v>
      </c>
      <c r="J3588" s="15">
        <v>15.54</v>
      </c>
      <c r="K3588" s="16">
        <f>IF(COUNTIFS(Release_Calendar!$A$2:$A$755,"US_CPI",Release_Calendar!$B$2:$B$755,$A3588)&gt;0,1,0)</f>
        <v>0</v>
      </c>
      <c r="L3588" s="16">
        <f>IF(COUNTIFS(Release_Calendar!$A$2:$A$755,"US_NFP",Release_Calendar!$B$2:$B$755,$A3588)&gt;0,1,0)</f>
        <v>0</v>
      </c>
      <c r="M3588" s="16" t="str">
        <f>IF($A3588&lt;Notes!$B$5,"",IF(COUNTIFS(Release_Calendar!$A$2:$A$755,"NZ_CPI",Release_Calendar!$B$2:$B$755,$A3588)&gt;0,1,0))</f>
        <v/>
      </c>
      <c r="N3588" s="16" t="str">
        <f>IF($A3588&lt;Notes!$B$5,"",IF(COUNTIFS(Release_Calendar!$A$2:$A$755,"NZ_GDP",Release_Calendar!$B$2:$B$755,$A3588)&gt;0,1,0))</f>
        <v/>
      </c>
      <c r="O3588" s="16" t="str">
        <f>IF($A3588&lt;Notes!$B$5,"",IF(COUNTIFS(Release_Calendar!$A$2:$A$755,"NZ_LABOUR",Release_Calendar!$B$2:$B$755,$A3588)&gt;0,1,0))</f>
        <v/>
      </c>
      <c r="P3588" s="16">
        <f t="shared" si="4"/>
        <v>0</v>
      </c>
    </row>
    <row r="3589" ht="15.75" customHeight="1">
      <c r="A3589" s="14">
        <v>41549.0</v>
      </c>
      <c r="B3589" s="15">
        <v>0.31</v>
      </c>
      <c r="C3589" s="15">
        <v>3.44</v>
      </c>
      <c r="D3589" s="15">
        <v>3.06</v>
      </c>
      <c r="E3589" s="15">
        <v>3.07</v>
      </c>
      <c r="F3589" s="15">
        <f t="shared" si="1"/>
        <v>3.13</v>
      </c>
      <c r="G3589" s="15">
        <f t="shared" si="2"/>
        <v>3.44</v>
      </c>
      <c r="H3589" s="16">
        <v>0.0</v>
      </c>
      <c r="I3589" s="15">
        <f t="shared" si="3"/>
        <v>3.13</v>
      </c>
      <c r="J3589" s="15">
        <v>16.6</v>
      </c>
      <c r="K3589" s="16">
        <f>IF(COUNTIFS(Release_Calendar!$A$2:$A$755,"US_CPI",Release_Calendar!$B$2:$B$755,$A3589)&gt;0,1,0)</f>
        <v>0</v>
      </c>
      <c r="L3589" s="16">
        <f>IF(COUNTIFS(Release_Calendar!$A$2:$A$755,"US_NFP",Release_Calendar!$B$2:$B$755,$A3589)&gt;0,1,0)</f>
        <v>0</v>
      </c>
      <c r="M3589" s="16" t="str">
        <f>IF($A3589&lt;Notes!$B$5,"",IF(COUNTIFS(Release_Calendar!$A$2:$A$755,"NZ_CPI",Release_Calendar!$B$2:$B$755,$A3589)&gt;0,1,0))</f>
        <v/>
      </c>
      <c r="N3589" s="16" t="str">
        <f>IF($A3589&lt;Notes!$B$5,"",IF(COUNTIFS(Release_Calendar!$A$2:$A$755,"NZ_GDP",Release_Calendar!$B$2:$B$755,$A3589)&gt;0,1,0))</f>
        <v/>
      </c>
      <c r="O3589" s="16" t="str">
        <f>IF($A3589&lt;Notes!$B$5,"",IF(COUNTIFS(Release_Calendar!$A$2:$A$755,"NZ_LABOUR",Release_Calendar!$B$2:$B$755,$A3589)&gt;0,1,0))</f>
        <v/>
      </c>
      <c r="P3589" s="16">
        <f t="shared" si="4"/>
        <v>0</v>
      </c>
    </row>
    <row r="3590" ht="15.75" customHeight="1">
      <c r="A3590" s="14">
        <v>41550.0</v>
      </c>
      <c r="B3590" s="15">
        <v>0.33</v>
      </c>
      <c r="C3590" s="15">
        <v>3.44</v>
      </c>
      <c r="D3590" s="15">
        <v>3.06</v>
      </c>
      <c r="E3590" s="15">
        <v>3.06</v>
      </c>
      <c r="F3590" s="15">
        <f t="shared" si="1"/>
        <v>3.11</v>
      </c>
      <c r="G3590" s="15">
        <f t="shared" si="2"/>
        <v>3.44</v>
      </c>
      <c r="H3590" s="16">
        <v>0.0</v>
      </c>
      <c r="I3590" s="15">
        <f t="shared" si="3"/>
        <v>3.11</v>
      </c>
      <c r="J3590" s="15">
        <v>17.67</v>
      </c>
      <c r="K3590" s="16">
        <f>IF(COUNTIFS(Release_Calendar!$A$2:$A$755,"US_CPI",Release_Calendar!$B$2:$B$755,$A3590)&gt;0,1,0)</f>
        <v>0</v>
      </c>
      <c r="L3590" s="16">
        <f>IF(COUNTIFS(Release_Calendar!$A$2:$A$755,"US_NFP",Release_Calendar!$B$2:$B$755,$A3590)&gt;0,1,0)</f>
        <v>0</v>
      </c>
      <c r="M3590" s="16" t="str">
        <f>IF($A3590&lt;Notes!$B$5,"",IF(COUNTIFS(Release_Calendar!$A$2:$A$755,"NZ_CPI",Release_Calendar!$B$2:$B$755,$A3590)&gt;0,1,0))</f>
        <v/>
      </c>
      <c r="N3590" s="16" t="str">
        <f>IF($A3590&lt;Notes!$B$5,"",IF(COUNTIFS(Release_Calendar!$A$2:$A$755,"NZ_GDP",Release_Calendar!$B$2:$B$755,$A3590)&gt;0,1,0))</f>
        <v/>
      </c>
      <c r="O3590" s="16" t="str">
        <f>IF($A3590&lt;Notes!$B$5,"",IF(COUNTIFS(Release_Calendar!$A$2:$A$755,"NZ_LABOUR",Release_Calendar!$B$2:$B$755,$A3590)&gt;0,1,0))</f>
        <v/>
      </c>
      <c r="P3590" s="16">
        <f t="shared" si="4"/>
        <v>0</v>
      </c>
    </row>
    <row r="3591" ht="15.75" customHeight="1">
      <c r="A3591" s="14">
        <v>41551.0</v>
      </c>
      <c r="B3591" s="15">
        <v>0.33</v>
      </c>
      <c r="C3591" s="15">
        <v>3.46</v>
      </c>
      <c r="D3591" s="15">
        <v>3.06</v>
      </c>
      <c r="E3591" s="15">
        <v>3.08</v>
      </c>
      <c r="F3591" s="15">
        <f t="shared" si="1"/>
        <v>3.13</v>
      </c>
      <c r="G3591" s="15">
        <f t="shared" si="2"/>
        <v>3.46</v>
      </c>
      <c r="H3591" s="16">
        <v>0.0</v>
      </c>
      <c r="I3591" s="15">
        <f t="shared" si="3"/>
        <v>3.13</v>
      </c>
      <c r="J3591" s="15">
        <v>16.74</v>
      </c>
      <c r="K3591" s="16">
        <f>IF(COUNTIFS(Release_Calendar!$A$2:$A$755,"US_CPI",Release_Calendar!$B$2:$B$755,$A3591)&gt;0,1,0)</f>
        <v>0</v>
      </c>
      <c r="L3591" s="16">
        <f>IF(COUNTIFS(Release_Calendar!$A$2:$A$755,"US_NFP",Release_Calendar!$B$2:$B$755,$A3591)&gt;0,1,0)</f>
        <v>0</v>
      </c>
      <c r="M3591" s="16" t="str">
        <f>IF($A3591&lt;Notes!$B$5,"",IF(COUNTIFS(Release_Calendar!$A$2:$A$755,"NZ_CPI",Release_Calendar!$B$2:$B$755,$A3591)&gt;0,1,0))</f>
        <v/>
      </c>
      <c r="N3591" s="16" t="str">
        <f>IF($A3591&lt;Notes!$B$5,"",IF(COUNTIFS(Release_Calendar!$A$2:$A$755,"NZ_GDP",Release_Calendar!$B$2:$B$755,$A3591)&gt;0,1,0))</f>
        <v/>
      </c>
      <c r="O3591" s="16" t="str">
        <f>IF($A3591&lt;Notes!$B$5,"",IF(COUNTIFS(Release_Calendar!$A$2:$A$755,"NZ_LABOUR",Release_Calendar!$B$2:$B$755,$A3591)&gt;0,1,0))</f>
        <v/>
      </c>
      <c r="P3591" s="16">
        <f t="shared" si="4"/>
        <v>0</v>
      </c>
    </row>
    <row r="3592" ht="15.75" customHeight="1">
      <c r="A3592" s="14">
        <v>41554.0</v>
      </c>
      <c r="B3592" s="15">
        <v>0.37</v>
      </c>
      <c r="C3592" s="15">
        <v>3.48</v>
      </c>
      <c r="D3592" s="15">
        <v>3.08</v>
      </c>
      <c r="E3592" s="15">
        <v>3.08</v>
      </c>
      <c r="F3592" s="15">
        <f t="shared" si="1"/>
        <v>3.11</v>
      </c>
      <c r="G3592" s="15">
        <f t="shared" si="2"/>
        <v>3.48</v>
      </c>
      <c r="H3592" s="16">
        <v>0.0</v>
      </c>
      <c r="I3592" s="15">
        <f t="shared" si="3"/>
        <v>3.11</v>
      </c>
      <c r="J3592" s="15">
        <v>19.41</v>
      </c>
      <c r="K3592" s="16">
        <f>IF(COUNTIFS(Release_Calendar!$A$2:$A$755,"US_CPI",Release_Calendar!$B$2:$B$755,$A3592)&gt;0,1,0)</f>
        <v>0</v>
      </c>
      <c r="L3592" s="16">
        <f>IF(COUNTIFS(Release_Calendar!$A$2:$A$755,"US_NFP",Release_Calendar!$B$2:$B$755,$A3592)&gt;0,1,0)</f>
        <v>0</v>
      </c>
      <c r="M3592" s="16" t="str">
        <f>IF($A3592&lt;Notes!$B$5,"",IF(COUNTIFS(Release_Calendar!$A$2:$A$755,"NZ_CPI",Release_Calendar!$B$2:$B$755,$A3592)&gt;0,1,0))</f>
        <v/>
      </c>
      <c r="N3592" s="16" t="str">
        <f>IF($A3592&lt;Notes!$B$5,"",IF(COUNTIFS(Release_Calendar!$A$2:$A$755,"NZ_GDP",Release_Calendar!$B$2:$B$755,$A3592)&gt;0,1,0))</f>
        <v/>
      </c>
      <c r="O3592" s="16" t="str">
        <f>IF($A3592&lt;Notes!$B$5,"",IF(COUNTIFS(Release_Calendar!$A$2:$A$755,"NZ_LABOUR",Release_Calendar!$B$2:$B$755,$A3592)&gt;0,1,0))</f>
        <v/>
      </c>
      <c r="P3592" s="16">
        <f t="shared" si="4"/>
        <v>0</v>
      </c>
    </row>
    <row r="3593" ht="15.75" customHeight="1">
      <c r="A3593" s="14">
        <v>41555.0</v>
      </c>
      <c r="B3593" s="15">
        <v>0.4</v>
      </c>
      <c r="C3593" s="15">
        <v>3.49</v>
      </c>
      <c r="D3593" s="15">
        <v>3.07</v>
      </c>
      <c r="E3593" s="15">
        <v>3.07</v>
      </c>
      <c r="F3593" s="15">
        <f t="shared" si="1"/>
        <v>3.09</v>
      </c>
      <c r="G3593" s="15">
        <f t="shared" si="2"/>
        <v>3.49</v>
      </c>
      <c r="H3593" s="16">
        <v>0.0</v>
      </c>
      <c r="I3593" s="15">
        <f t="shared" si="3"/>
        <v>3.09</v>
      </c>
      <c r="J3593" s="15">
        <v>20.34</v>
      </c>
      <c r="K3593" s="16">
        <f>IF(COUNTIFS(Release_Calendar!$A$2:$A$755,"US_CPI",Release_Calendar!$B$2:$B$755,$A3593)&gt;0,1,0)</f>
        <v>0</v>
      </c>
      <c r="L3593" s="16">
        <f>IF(COUNTIFS(Release_Calendar!$A$2:$A$755,"US_NFP",Release_Calendar!$B$2:$B$755,$A3593)&gt;0,1,0)</f>
        <v>0</v>
      </c>
      <c r="M3593" s="16" t="str">
        <f>IF($A3593&lt;Notes!$B$5,"",IF(COUNTIFS(Release_Calendar!$A$2:$A$755,"NZ_CPI",Release_Calendar!$B$2:$B$755,$A3593)&gt;0,1,0))</f>
        <v/>
      </c>
      <c r="N3593" s="16" t="str">
        <f>IF($A3593&lt;Notes!$B$5,"",IF(COUNTIFS(Release_Calendar!$A$2:$A$755,"NZ_GDP",Release_Calendar!$B$2:$B$755,$A3593)&gt;0,1,0))</f>
        <v/>
      </c>
      <c r="O3593" s="16" t="str">
        <f>IF($A3593&lt;Notes!$B$5,"",IF(COUNTIFS(Release_Calendar!$A$2:$A$755,"NZ_LABOUR",Release_Calendar!$B$2:$B$755,$A3593)&gt;0,1,0))</f>
        <v/>
      </c>
      <c r="P3593" s="16">
        <f t="shared" si="4"/>
        <v>0</v>
      </c>
    </row>
    <row r="3594" ht="15.75" customHeight="1">
      <c r="A3594" s="14">
        <v>41556.0</v>
      </c>
      <c r="B3594" s="15">
        <v>0.37</v>
      </c>
      <c r="C3594" s="15">
        <v>3.47</v>
      </c>
      <c r="D3594" s="15">
        <v>3.07</v>
      </c>
      <c r="E3594" s="15">
        <v>3.06</v>
      </c>
      <c r="F3594" s="15">
        <f t="shared" si="1"/>
        <v>3.1</v>
      </c>
      <c r="G3594" s="15">
        <f t="shared" si="2"/>
        <v>3.47</v>
      </c>
      <c r="H3594" s="16">
        <v>0.0</v>
      </c>
      <c r="I3594" s="15">
        <f t="shared" si="3"/>
        <v>3.1</v>
      </c>
      <c r="J3594" s="15">
        <v>19.6</v>
      </c>
      <c r="K3594" s="16">
        <f>IF(COUNTIFS(Release_Calendar!$A$2:$A$755,"US_CPI",Release_Calendar!$B$2:$B$755,$A3594)&gt;0,1,0)</f>
        <v>0</v>
      </c>
      <c r="L3594" s="16">
        <f>IF(COUNTIFS(Release_Calendar!$A$2:$A$755,"US_NFP",Release_Calendar!$B$2:$B$755,$A3594)&gt;0,1,0)</f>
        <v>0</v>
      </c>
      <c r="M3594" s="16" t="str">
        <f>IF($A3594&lt;Notes!$B$5,"",IF(COUNTIFS(Release_Calendar!$A$2:$A$755,"NZ_CPI",Release_Calendar!$B$2:$B$755,$A3594)&gt;0,1,0))</f>
        <v/>
      </c>
      <c r="N3594" s="16" t="str">
        <f>IF($A3594&lt;Notes!$B$5,"",IF(COUNTIFS(Release_Calendar!$A$2:$A$755,"NZ_GDP",Release_Calendar!$B$2:$B$755,$A3594)&gt;0,1,0))</f>
        <v/>
      </c>
      <c r="O3594" s="16" t="str">
        <f>IF($A3594&lt;Notes!$B$5,"",IF(COUNTIFS(Release_Calendar!$A$2:$A$755,"NZ_LABOUR",Release_Calendar!$B$2:$B$755,$A3594)&gt;0,1,0))</f>
        <v/>
      </c>
      <c r="P3594" s="16">
        <f t="shared" si="4"/>
        <v>0</v>
      </c>
    </row>
    <row r="3595" ht="15.75" customHeight="1">
      <c r="A3595" s="14">
        <v>41557.0</v>
      </c>
      <c r="B3595" s="15">
        <v>0.35</v>
      </c>
      <c r="C3595" s="15">
        <v>3.52</v>
      </c>
      <c r="D3595" s="15">
        <v>3.05</v>
      </c>
      <c r="E3595" s="15">
        <v>3.06</v>
      </c>
      <c r="F3595" s="15">
        <f t="shared" si="1"/>
        <v>3.17</v>
      </c>
      <c r="G3595" s="15">
        <f t="shared" si="2"/>
        <v>3.52</v>
      </c>
      <c r="H3595" s="16">
        <v>0.0</v>
      </c>
      <c r="I3595" s="15">
        <f t="shared" si="3"/>
        <v>3.17</v>
      </c>
      <c r="J3595" s="15">
        <v>16.48</v>
      </c>
      <c r="K3595" s="16">
        <f>IF(COUNTIFS(Release_Calendar!$A$2:$A$755,"US_CPI",Release_Calendar!$B$2:$B$755,$A3595)&gt;0,1,0)</f>
        <v>0</v>
      </c>
      <c r="L3595" s="16">
        <f>IF(COUNTIFS(Release_Calendar!$A$2:$A$755,"US_NFP",Release_Calendar!$B$2:$B$755,$A3595)&gt;0,1,0)</f>
        <v>0</v>
      </c>
      <c r="M3595" s="16" t="str">
        <f>IF($A3595&lt;Notes!$B$5,"",IF(COUNTIFS(Release_Calendar!$A$2:$A$755,"NZ_CPI",Release_Calendar!$B$2:$B$755,$A3595)&gt;0,1,0))</f>
        <v/>
      </c>
      <c r="N3595" s="16" t="str">
        <f>IF($A3595&lt;Notes!$B$5,"",IF(COUNTIFS(Release_Calendar!$A$2:$A$755,"NZ_GDP",Release_Calendar!$B$2:$B$755,$A3595)&gt;0,1,0))</f>
        <v/>
      </c>
      <c r="O3595" s="16" t="str">
        <f>IF($A3595&lt;Notes!$B$5,"",IF(COUNTIFS(Release_Calendar!$A$2:$A$755,"NZ_LABOUR",Release_Calendar!$B$2:$B$755,$A3595)&gt;0,1,0))</f>
        <v/>
      </c>
      <c r="P3595" s="16">
        <f t="shared" si="4"/>
        <v>0</v>
      </c>
    </row>
    <row r="3596" ht="15.75" customHeight="1">
      <c r="A3596" s="14">
        <v>41558.0</v>
      </c>
      <c r="B3596" s="15">
        <v>0.35</v>
      </c>
      <c r="C3596" s="15">
        <v>3.52</v>
      </c>
      <c r="D3596" s="15">
        <v>3.05</v>
      </c>
      <c r="E3596" s="15">
        <v>3.06</v>
      </c>
      <c r="F3596" s="15">
        <f t="shared" si="1"/>
        <v>3.17</v>
      </c>
      <c r="G3596" s="15">
        <f t="shared" si="2"/>
        <v>3.52</v>
      </c>
      <c r="H3596" s="16">
        <v>0.0</v>
      </c>
      <c r="I3596" s="15">
        <f t="shared" si="3"/>
        <v>3.17</v>
      </c>
      <c r="J3596" s="15">
        <v>15.72</v>
      </c>
      <c r="K3596" s="16">
        <f>IF(COUNTIFS(Release_Calendar!$A$2:$A$755,"US_CPI",Release_Calendar!$B$2:$B$755,$A3596)&gt;0,1,0)</f>
        <v>0</v>
      </c>
      <c r="L3596" s="16">
        <f>IF(COUNTIFS(Release_Calendar!$A$2:$A$755,"US_NFP",Release_Calendar!$B$2:$B$755,$A3596)&gt;0,1,0)</f>
        <v>0</v>
      </c>
      <c r="M3596" s="16" t="str">
        <f>IF($A3596&lt;Notes!$B$5,"",IF(COUNTIFS(Release_Calendar!$A$2:$A$755,"NZ_CPI",Release_Calendar!$B$2:$B$755,$A3596)&gt;0,1,0))</f>
        <v/>
      </c>
      <c r="N3596" s="16" t="str">
        <f>IF($A3596&lt;Notes!$B$5,"",IF(COUNTIFS(Release_Calendar!$A$2:$A$755,"NZ_GDP",Release_Calendar!$B$2:$B$755,$A3596)&gt;0,1,0))</f>
        <v/>
      </c>
      <c r="O3596" s="16" t="str">
        <f>IF($A3596&lt;Notes!$B$5,"",IF(COUNTIFS(Release_Calendar!$A$2:$A$755,"NZ_LABOUR",Release_Calendar!$B$2:$B$755,$A3596)&gt;0,1,0))</f>
        <v/>
      </c>
      <c r="P3596" s="16">
        <f t="shared" si="4"/>
        <v>0</v>
      </c>
    </row>
    <row r="3597" ht="15.75" customHeight="1">
      <c r="A3597" s="14">
        <v>41561.0</v>
      </c>
      <c r="B3597" s="15"/>
      <c r="C3597" s="15">
        <v>3.52</v>
      </c>
      <c r="D3597" s="15">
        <v>3.05</v>
      </c>
      <c r="E3597" s="15">
        <v>3.05</v>
      </c>
      <c r="F3597" s="15" t="str">
        <f t="shared" si="1"/>
        <v/>
      </c>
      <c r="G3597" s="15">
        <f t="shared" si="2"/>
        <v>3.52</v>
      </c>
      <c r="H3597" s="16">
        <v>0.0</v>
      </c>
      <c r="I3597" s="15" t="str">
        <f t="shared" si="3"/>
        <v/>
      </c>
      <c r="J3597" s="15">
        <v>16.07</v>
      </c>
      <c r="K3597" s="16">
        <f>IF(COUNTIFS(Release_Calendar!$A$2:$A$755,"US_CPI",Release_Calendar!$B$2:$B$755,$A3597)&gt;0,1,0)</f>
        <v>0</v>
      </c>
      <c r="L3597" s="16">
        <f>IF(COUNTIFS(Release_Calendar!$A$2:$A$755,"US_NFP",Release_Calendar!$B$2:$B$755,$A3597)&gt;0,1,0)</f>
        <v>0</v>
      </c>
      <c r="M3597" s="16" t="str">
        <f>IF($A3597&lt;Notes!$B$5,"",IF(COUNTIFS(Release_Calendar!$A$2:$A$755,"NZ_CPI",Release_Calendar!$B$2:$B$755,$A3597)&gt;0,1,0))</f>
        <v/>
      </c>
      <c r="N3597" s="16" t="str">
        <f>IF($A3597&lt;Notes!$B$5,"",IF(COUNTIFS(Release_Calendar!$A$2:$A$755,"NZ_GDP",Release_Calendar!$B$2:$B$755,$A3597)&gt;0,1,0))</f>
        <v/>
      </c>
      <c r="O3597" s="16" t="str">
        <f>IF($A3597&lt;Notes!$B$5,"",IF(COUNTIFS(Release_Calendar!$A$2:$A$755,"NZ_LABOUR",Release_Calendar!$B$2:$B$755,$A3597)&gt;0,1,0))</f>
        <v/>
      </c>
      <c r="P3597" s="16">
        <f t="shared" si="4"/>
        <v>0</v>
      </c>
    </row>
    <row r="3598" ht="15.75" customHeight="1">
      <c r="A3598" s="14">
        <v>41562.0</v>
      </c>
      <c r="B3598" s="15">
        <v>0.37</v>
      </c>
      <c r="C3598" s="15">
        <v>3.57</v>
      </c>
      <c r="D3598" s="15">
        <v>3.06</v>
      </c>
      <c r="E3598" s="15">
        <v>3.07</v>
      </c>
      <c r="F3598" s="15">
        <f t="shared" si="1"/>
        <v>3.2</v>
      </c>
      <c r="G3598" s="15">
        <f t="shared" si="2"/>
        <v>3.57</v>
      </c>
      <c r="H3598" s="16">
        <v>0.0</v>
      </c>
      <c r="I3598" s="15">
        <f t="shared" si="3"/>
        <v>3.2</v>
      </c>
      <c r="J3598" s="15">
        <v>18.66</v>
      </c>
      <c r="K3598" s="16">
        <f>IF(COUNTIFS(Release_Calendar!$A$2:$A$755,"US_CPI",Release_Calendar!$B$2:$B$755,$A3598)&gt;0,1,0)</f>
        <v>0</v>
      </c>
      <c r="L3598" s="16">
        <f>IF(COUNTIFS(Release_Calendar!$A$2:$A$755,"US_NFP",Release_Calendar!$B$2:$B$755,$A3598)&gt;0,1,0)</f>
        <v>0</v>
      </c>
      <c r="M3598" s="16" t="str">
        <f>IF($A3598&lt;Notes!$B$5,"",IF(COUNTIFS(Release_Calendar!$A$2:$A$755,"NZ_CPI",Release_Calendar!$B$2:$B$755,$A3598)&gt;0,1,0))</f>
        <v/>
      </c>
      <c r="N3598" s="16" t="str">
        <f>IF($A3598&lt;Notes!$B$5,"",IF(COUNTIFS(Release_Calendar!$A$2:$A$755,"NZ_GDP",Release_Calendar!$B$2:$B$755,$A3598)&gt;0,1,0))</f>
        <v/>
      </c>
      <c r="O3598" s="16" t="str">
        <f>IF($A3598&lt;Notes!$B$5,"",IF(COUNTIFS(Release_Calendar!$A$2:$A$755,"NZ_LABOUR",Release_Calendar!$B$2:$B$755,$A3598)&gt;0,1,0))</f>
        <v/>
      </c>
      <c r="P3598" s="16">
        <f t="shared" si="4"/>
        <v>0</v>
      </c>
    </row>
    <row r="3599" ht="15.75" customHeight="1">
      <c r="A3599" s="14">
        <v>41563.0</v>
      </c>
      <c r="B3599" s="15">
        <v>0.34</v>
      </c>
      <c r="C3599" s="15">
        <v>3.62</v>
      </c>
      <c r="D3599" s="15">
        <v>3.07</v>
      </c>
      <c r="E3599" s="15">
        <v>3.1</v>
      </c>
      <c r="F3599" s="15">
        <f t="shared" si="1"/>
        <v>3.28</v>
      </c>
      <c r="G3599" s="15">
        <f t="shared" si="2"/>
        <v>3.62</v>
      </c>
      <c r="H3599" s="16">
        <v>0.0</v>
      </c>
      <c r="I3599" s="15">
        <f t="shared" si="3"/>
        <v>3.28</v>
      </c>
      <c r="J3599" s="15">
        <v>14.71</v>
      </c>
      <c r="K3599" s="16">
        <f>IF(COUNTIFS(Release_Calendar!$A$2:$A$755,"US_CPI",Release_Calendar!$B$2:$B$755,$A3599)&gt;0,1,0)</f>
        <v>0</v>
      </c>
      <c r="L3599" s="16">
        <f>IF(COUNTIFS(Release_Calendar!$A$2:$A$755,"US_NFP",Release_Calendar!$B$2:$B$755,$A3599)&gt;0,1,0)</f>
        <v>0</v>
      </c>
      <c r="M3599" s="16" t="str">
        <f>IF($A3599&lt;Notes!$B$5,"",IF(COUNTIFS(Release_Calendar!$A$2:$A$755,"NZ_CPI",Release_Calendar!$B$2:$B$755,$A3599)&gt;0,1,0))</f>
        <v/>
      </c>
      <c r="N3599" s="16" t="str">
        <f>IF($A3599&lt;Notes!$B$5,"",IF(COUNTIFS(Release_Calendar!$A$2:$A$755,"NZ_GDP",Release_Calendar!$B$2:$B$755,$A3599)&gt;0,1,0))</f>
        <v/>
      </c>
      <c r="O3599" s="16" t="str">
        <f>IF($A3599&lt;Notes!$B$5,"",IF(COUNTIFS(Release_Calendar!$A$2:$A$755,"NZ_LABOUR",Release_Calendar!$B$2:$B$755,$A3599)&gt;0,1,0))</f>
        <v/>
      </c>
      <c r="P3599" s="16">
        <f t="shared" si="4"/>
        <v>0</v>
      </c>
    </row>
    <row r="3600" ht="15.75" customHeight="1">
      <c r="A3600" s="14">
        <v>41564.0</v>
      </c>
      <c r="B3600" s="15">
        <v>0.33</v>
      </c>
      <c r="C3600" s="15">
        <v>3.57</v>
      </c>
      <c r="D3600" s="15"/>
      <c r="E3600" s="15"/>
      <c r="F3600" s="15">
        <f t="shared" si="1"/>
        <v>3.24</v>
      </c>
      <c r="G3600" s="15">
        <f t="shared" si="2"/>
        <v>3.57</v>
      </c>
      <c r="H3600" s="16">
        <v>0.0</v>
      </c>
      <c r="I3600" s="15">
        <f t="shared" si="3"/>
        <v>3.24</v>
      </c>
      <c r="J3600" s="15">
        <v>13.48</v>
      </c>
      <c r="K3600" s="16">
        <f>IF(COUNTIFS(Release_Calendar!$A$2:$A$755,"US_CPI",Release_Calendar!$B$2:$B$755,$A3600)&gt;0,1,0)</f>
        <v>0</v>
      </c>
      <c r="L3600" s="16">
        <f>IF(COUNTIFS(Release_Calendar!$A$2:$A$755,"US_NFP",Release_Calendar!$B$2:$B$755,$A3600)&gt;0,1,0)</f>
        <v>0</v>
      </c>
      <c r="M3600" s="16" t="str">
        <f>IF($A3600&lt;Notes!$B$5,"",IF(COUNTIFS(Release_Calendar!$A$2:$A$755,"NZ_CPI",Release_Calendar!$B$2:$B$755,$A3600)&gt;0,1,0))</f>
        <v/>
      </c>
      <c r="N3600" s="16" t="str">
        <f>IF($A3600&lt;Notes!$B$5,"",IF(COUNTIFS(Release_Calendar!$A$2:$A$755,"NZ_GDP",Release_Calendar!$B$2:$B$755,$A3600)&gt;0,1,0))</f>
        <v/>
      </c>
      <c r="O3600" s="16" t="str">
        <f>IF($A3600&lt;Notes!$B$5,"",IF(COUNTIFS(Release_Calendar!$A$2:$A$755,"NZ_LABOUR",Release_Calendar!$B$2:$B$755,$A3600)&gt;0,1,0))</f>
        <v/>
      </c>
      <c r="P3600" s="16">
        <f t="shared" si="4"/>
        <v>0</v>
      </c>
    </row>
    <row r="3601" ht="15.75" customHeight="1">
      <c r="A3601" s="14">
        <v>41565.0</v>
      </c>
      <c r="B3601" s="15">
        <v>0.33</v>
      </c>
      <c r="C3601" s="15">
        <v>3.55</v>
      </c>
      <c r="D3601" s="15"/>
      <c r="E3601" s="15"/>
      <c r="F3601" s="15">
        <f t="shared" si="1"/>
        <v>3.22</v>
      </c>
      <c r="G3601" s="15">
        <f t="shared" si="2"/>
        <v>3.55</v>
      </c>
      <c r="H3601" s="16">
        <v>0.0</v>
      </c>
      <c r="I3601" s="15">
        <f t="shared" si="3"/>
        <v>3.22</v>
      </c>
      <c r="J3601" s="15">
        <v>13.04</v>
      </c>
      <c r="K3601" s="16">
        <f>IF(COUNTIFS(Release_Calendar!$A$2:$A$755,"US_CPI",Release_Calendar!$B$2:$B$755,$A3601)&gt;0,1,0)</f>
        <v>0</v>
      </c>
      <c r="L3601" s="16">
        <f>IF(COUNTIFS(Release_Calendar!$A$2:$A$755,"US_NFP",Release_Calendar!$B$2:$B$755,$A3601)&gt;0,1,0)</f>
        <v>0</v>
      </c>
      <c r="M3601" s="16" t="str">
        <f>IF($A3601&lt;Notes!$B$5,"",IF(COUNTIFS(Release_Calendar!$A$2:$A$755,"NZ_CPI",Release_Calendar!$B$2:$B$755,$A3601)&gt;0,1,0))</f>
        <v/>
      </c>
      <c r="N3601" s="16" t="str">
        <f>IF($A3601&lt;Notes!$B$5,"",IF(COUNTIFS(Release_Calendar!$A$2:$A$755,"NZ_GDP",Release_Calendar!$B$2:$B$755,$A3601)&gt;0,1,0))</f>
        <v/>
      </c>
      <c r="O3601" s="16" t="str">
        <f>IF($A3601&lt;Notes!$B$5,"",IF(COUNTIFS(Release_Calendar!$A$2:$A$755,"NZ_LABOUR",Release_Calendar!$B$2:$B$755,$A3601)&gt;0,1,0))</f>
        <v/>
      </c>
      <c r="P3601" s="16">
        <f t="shared" si="4"/>
        <v>0</v>
      </c>
    </row>
    <row r="3602" ht="15.75" customHeight="1">
      <c r="A3602" s="14">
        <v>41568.0</v>
      </c>
      <c r="B3602" s="15">
        <v>0.33</v>
      </c>
      <c r="C3602" s="15">
        <v>3.53</v>
      </c>
      <c r="D3602" s="15"/>
      <c r="E3602" s="15"/>
      <c r="F3602" s="15">
        <f t="shared" si="1"/>
        <v>3.2</v>
      </c>
      <c r="G3602" s="15">
        <f t="shared" si="2"/>
        <v>3.53</v>
      </c>
      <c r="H3602" s="16">
        <v>0.0</v>
      </c>
      <c r="I3602" s="15">
        <f t="shared" si="3"/>
        <v>3.2</v>
      </c>
      <c r="J3602" s="15">
        <v>13.16</v>
      </c>
      <c r="K3602" s="16">
        <f>IF(COUNTIFS(Release_Calendar!$A$2:$A$755,"US_CPI",Release_Calendar!$B$2:$B$755,$A3602)&gt;0,1,0)</f>
        <v>0</v>
      </c>
      <c r="L3602" s="16">
        <f>IF(COUNTIFS(Release_Calendar!$A$2:$A$755,"US_NFP",Release_Calendar!$B$2:$B$755,$A3602)&gt;0,1,0)</f>
        <v>0</v>
      </c>
      <c r="M3602" s="16" t="str">
        <f>IF($A3602&lt;Notes!$B$5,"",IF(COUNTIFS(Release_Calendar!$A$2:$A$755,"NZ_CPI",Release_Calendar!$B$2:$B$755,$A3602)&gt;0,1,0))</f>
        <v/>
      </c>
      <c r="N3602" s="16" t="str">
        <f>IF($A3602&lt;Notes!$B$5,"",IF(COUNTIFS(Release_Calendar!$A$2:$A$755,"NZ_GDP",Release_Calendar!$B$2:$B$755,$A3602)&gt;0,1,0))</f>
        <v/>
      </c>
      <c r="O3602" s="16" t="str">
        <f>IF($A3602&lt;Notes!$B$5,"",IF(COUNTIFS(Release_Calendar!$A$2:$A$755,"NZ_LABOUR",Release_Calendar!$B$2:$B$755,$A3602)&gt;0,1,0))</f>
        <v/>
      </c>
      <c r="P3602" s="16">
        <f t="shared" si="4"/>
        <v>0</v>
      </c>
    </row>
    <row r="3603" ht="15.75" customHeight="1">
      <c r="A3603" s="14">
        <v>41569.0</v>
      </c>
      <c r="B3603" s="15">
        <v>0.31</v>
      </c>
      <c r="C3603" s="15">
        <v>3.54</v>
      </c>
      <c r="D3603" s="15"/>
      <c r="E3603" s="15"/>
      <c r="F3603" s="15">
        <f t="shared" si="1"/>
        <v>3.23</v>
      </c>
      <c r="G3603" s="15">
        <f t="shared" si="2"/>
        <v>3.54</v>
      </c>
      <c r="H3603" s="16">
        <v>0.0</v>
      </c>
      <c r="I3603" s="15">
        <f t="shared" si="3"/>
        <v>3.23</v>
      </c>
      <c r="J3603" s="15">
        <v>13.33</v>
      </c>
      <c r="K3603" s="16">
        <f>IF(COUNTIFS(Release_Calendar!$A$2:$A$755,"US_CPI",Release_Calendar!$B$2:$B$755,$A3603)&gt;0,1,0)</f>
        <v>0</v>
      </c>
      <c r="L3603" s="16">
        <f>IF(COUNTIFS(Release_Calendar!$A$2:$A$755,"US_NFP",Release_Calendar!$B$2:$B$755,$A3603)&gt;0,1,0)</f>
        <v>1</v>
      </c>
      <c r="M3603" s="16" t="str">
        <f>IF($A3603&lt;Notes!$B$5,"",IF(COUNTIFS(Release_Calendar!$A$2:$A$755,"NZ_CPI",Release_Calendar!$B$2:$B$755,$A3603)&gt;0,1,0))</f>
        <v/>
      </c>
      <c r="N3603" s="16" t="str">
        <f>IF($A3603&lt;Notes!$B$5,"",IF(COUNTIFS(Release_Calendar!$A$2:$A$755,"NZ_GDP",Release_Calendar!$B$2:$B$755,$A3603)&gt;0,1,0))</f>
        <v/>
      </c>
      <c r="O3603" s="16" t="str">
        <f>IF($A3603&lt;Notes!$B$5,"",IF(COUNTIFS(Release_Calendar!$A$2:$A$755,"NZ_LABOUR",Release_Calendar!$B$2:$B$755,$A3603)&gt;0,1,0))</f>
        <v/>
      </c>
      <c r="P3603" s="16">
        <f t="shared" si="4"/>
        <v>1</v>
      </c>
    </row>
    <row r="3604" ht="15.75" customHeight="1">
      <c r="A3604" s="14">
        <v>41570.0</v>
      </c>
      <c r="B3604" s="15">
        <v>0.31</v>
      </c>
      <c r="C3604" s="15">
        <v>3.48</v>
      </c>
      <c r="D3604" s="15"/>
      <c r="E3604" s="15"/>
      <c r="F3604" s="15">
        <f t="shared" si="1"/>
        <v>3.17</v>
      </c>
      <c r="G3604" s="15">
        <f t="shared" si="2"/>
        <v>3.48</v>
      </c>
      <c r="H3604" s="16">
        <v>0.0</v>
      </c>
      <c r="I3604" s="15">
        <f t="shared" si="3"/>
        <v>3.17</v>
      </c>
      <c r="J3604" s="15">
        <v>13.42</v>
      </c>
      <c r="K3604" s="16">
        <f>IF(COUNTIFS(Release_Calendar!$A$2:$A$755,"US_CPI",Release_Calendar!$B$2:$B$755,$A3604)&gt;0,1,0)</f>
        <v>0</v>
      </c>
      <c r="L3604" s="16">
        <f>IF(COUNTIFS(Release_Calendar!$A$2:$A$755,"US_NFP",Release_Calendar!$B$2:$B$755,$A3604)&gt;0,1,0)</f>
        <v>0</v>
      </c>
      <c r="M3604" s="16" t="str">
        <f>IF($A3604&lt;Notes!$B$5,"",IF(COUNTIFS(Release_Calendar!$A$2:$A$755,"NZ_CPI",Release_Calendar!$B$2:$B$755,$A3604)&gt;0,1,0))</f>
        <v/>
      </c>
      <c r="N3604" s="16" t="str">
        <f>IF($A3604&lt;Notes!$B$5,"",IF(COUNTIFS(Release_Calendar!$A$2:$A$755,"NZ_GDP",Release_Calendar!$B$2:$B$755,$A3604)&gt;0,1,0))</f>
        <v/>
      </c>
      <c r="O3604" s="16" t="str">
        <f>IF($A3604&lt;Notes!$B$5,"",IF(COUNTIFS(Release_Calendar!$A$2:$A$755,"NZ_LABOUR",Release_Calendar!$B$2:$B$755,$A3604)&gt;0,1,0))</f>
        <v/>
      </c>
      <c r="P3604" s="16">
        <f t="shared" si="4"/>
        <v>0</v>
      </c>
    </row>
    <row r="3605" ht="15.75" customHeight="1">
      <c r="A3605" s="14">
        <v>41571.0</v>
      </c>
      <c r="B3605" s="15">
        <v>0.33</v>
      </c>
      <c r="C3605" s="15">
        <v>3.47</v>
      </c>
      <c r="D3605" s="15"/>
      <c r="E3605" s="15"/>
      <c r="F3605" s="15">
        <f t="shared" si="1"/>
        <v>3.14</v>
      </c>
      <c r="G3605" s="15">
        <f t="shared" si="2"/>
        <v>3.47</v>
      </c>
      <c r="H3605" s="16">
        <v>0.0</v>
      </c>
      <c r="I3605" s="15">
        <f t="shared" si="3"/>
        <v>3.14</v>
      </c>
      <c r="J3605" s="15">
        <v>13.2</v>
      </c>
      <c r="K3605" s="16">
        <f>IF(COUNTIFS(Release_Calendar!$A$2:$A$755,"US_CPI",Release_Calendar!$B$2:$B$755,$A3605)&gt;0,1,0)</f>
        <v>0</v>
      </c>
      <c r="L3605" s="16">
        <f>IF(COUNTIFS(Release_Calendar!$A$2:$A$755,"US_NFP",Release_Calendar!$B$2:$B$755,$A3605)&gt;0,1,0)</f>
        <v>0</v>
      </c>
      <c r="M3605" s="16" t="str">
        <f>IF($A3605&lt;Notes!$B$5,"",IF(COUNTIFS(Release_Calendar!$A$2:$A$755,"NZ_CPI",Release_Calendar!$B$2:$B$755,$A3605)&gt;0,1,0))</f>
        <v/>
      </c>
      <c r="N3605" s="16" t="str">
        <f>IF($A3605&lt;Notes!$B$5,"",IF(COUNTIFS(Release_Calendar!$A$2:$A$755,"NZ_GDP",Release_Calendar!$B$2:$B$755,$A3605)&gt;0,1,0))</f>
        <v/>
      </c>
      <c r="O3605" s="16" t="str">
        <f>IF($A3605&lt;Notes!$B$5,"",IF(COUNTIFS(Release_Calendar!$A$2:$A$755,"NZ_LABOUR",Release_Calendar!$B$2:$B$755,$A3605)&gt;0,1,0))</f>
        <v/>
      </c>
      <c r="P3605" s="16">
        <f t="shared" si="4"/>
        <v>0</v>
      </c>
    </row>
    <row r="3606" ht="15.75" customHeight="1">
      <c r="A3606" s="14">
        <v>41572.0</v>
      </c>
      <c r="B3606" s="15">
        <v>0.32</v>
      </c>
      <c r="C3606" s="15">
        <v>3.41</v>
      </c>
      <c r="D3606" s="15"/>
      <c r="E3606" s="15"/>
      <c r="F3606" s="15">
        <f t="shared" si="1"/>
        <v>3.09</v>
      </c>
      <c r="G3606" s="15">
        <f t="shared" si="2"/>
        <v>3.41</v>
      </c>
      <c r="H3606" s="16">
        <v>0.0</v>
      </c>
      <c r="I3606" s="15">
        <f t="shared" si="3"/>
        <v>3.09</v>
      </c>
      <c r="J3606" s="15">
        <v>13.09</v>
      </c>
      <c r="K3606" s="16">
        <f>IF(COUNTIFS(Release_Calendar!$A$2:$A$755,"US_CPI",Release_Calendar!$B$2:$B$755,$A3606)&gt;0,1,0)</f>
        <v>0</v>
      </c>
      <c r="L3606" s="16">
        <f>IF(COUNTIFS(Release_Calendar!$A$2:$A$755,"US_NFP",Release_Calendar!$B$2:$B$755,$A3606)&gt;0,1,0)</f>
        <v>0</v>
      </c>
      <c r="M3606" s="16" t="str">
        <f>IF($A3606&lt;Notes!$B$5,"",IF(COUNTIFS(Release_Calendar!$A$2:$A$755,"NZ_CPI",Release_Calendar!$B$2:$B$755,$A3606)&gt;0,1,0))</f>
        <v/>
      </c>
      <c r="N3606" s="16" t="str">
        <f>IF($A3606&lt;Notes!$B$5,"",IF(COUNTIFS(Release_Calendar!$A$2:$A$755,"NZ_GDP",Release_Calendar!$B$2:$B$755,$A3606)&gt;0,1,0))</f>
        <v/>
      </c>
      <c r="O3606" s="16" t="str">
        <f>IF($A3606&lt;Notes!$B$5,"",IF(COUNTIFS(Release_Calendar!$A$2:$A$755,"NZ_LABOUR",Release_Calendar!$B$2:$B$755,$A3606)&gt;0,1,0))</f>
        <v/>
      </c>
      <c r="P3606" s="16">
        <f t="shared" si="4"/>
        <v>0</v>
      </c>
    </row>
    <row r="3607" ht="15.75" customHeight="1">
      <c r="A3607" s="14">
        <v>41575.0</v>
      </c>
      <c r="B3607" s="15">
        <v>0.32</v>
      </c>
      <c r="C3607" s="15"/>
      <c r="D3607" s="15"/>
      <c r="E3607" s="15"/>
      <c r="F3607" s="15" t="str">
        <f t="shared" si="1"/>
        <v/>
      </c>
      <c r="G3607" s="15" t="str">
        <f t="shared" si="2"/>
        <v/>
      </c>
      <c r="H3607" s="16">
        <v>0.0</v>
      </c>
      <c r="I3607" s="15" t="str">
        <f t="shared" si="3"/>
        <v/>
      </c>
      <c r="J3607" s="15">
        <v>13.31</v>
      </c>
      <c r="K3607" s="16">
        <f>IF(COUNTIFS(Release_Calendar!$A$2:$A$755,"US_CPI",Release_Calendar!$B$2:$B$755,$A3607)&gt;0,1,0)</f>
        <v>0</v>
      </c>
      <c r="L3607" s="16">
        <f>IF(COUNTIFS(Release_Calendar!$A$2:$A$755,"US_NFP",Release_Calendar!$B$2:$B$755,$A3607)&gt;0,1,0)</f>
        <v>0</v>
      </c>
      <c r="M3607" s="16" t="str">
        <f>IF($A3607&lt;Notes!$B$5,"",IF(COUNTIFS(Release_Calendar!$A$2:$A$755,"NZ_CPI",Release_Calendar!$B$2:$B$755,$A3607)&gt;0,1,0))</f>
        <v/>
      </c>
      <c r="N3607" s="16" t="str">
        <f>IF($A3607&lt;Notes!$B$5,"",IF(COUNTIFS(Release_Calendar!$A$2:$A$755,"NZ_GDP",Release_Calendar!$B$2:$B$755,$A3607)&gt;0,1,0))</f>
        <v/>
      </c>
      <c r="O3607" s="16" t="str">
        <f>IF($A3607&lt;Notes!$B$5,"",IF(COUNTIFS(Release_Calendar!$A$2:$A$755,"NZ_LABOUR",Release_Calendar!$B$2:$B$755,$A3607)&gt;0,1,0))</f>
        <v/>
      </c>
      <c r="P3607" s="16">
        <f t="shared" si="4"/>
        <v>0</v>
      </c>
    </row>
    <row r="3608" ht="15.75" customHeight="1">
      <c r="A3608" s="14">
        <v>41576.0</v>
      </c>
      <c r="B3608" s="15">
        <v>0.31</v>
      </c>
      <c r="C3608" s="15">
        <v>3.38</v>
      </c>
      <c r="D3608" s="15"/>
      <c r="E3608" s="15"/>
      <c r="F3608" s="15">
        <f t="shared" si="1"/>
        <v>3.07</v>
      </c>
      <c r="G3608" s="15">
        <f t="shared" si="2"/>
        <v>3.38</v>
      </c>
      <c r="H3608" s="16">
        <v>0.0</v>
      </c>
      <c r="I3608" s="15">
        <f t="shared" si="3"/>
        <v>3.07</v>
      </c>
      <c r="J3608" s="15">
        <v>13.41</v>
      </c>
      <c r="K3608" s="16">
        <f>IF(COUNTIFS(Release_Calendar!$A$2:$A$755,"US_CPI",Release_Calendar!$B$2:$B$755,$A3608)&gt;0,1,0)</f>
        <v>0</v>
      </c>
      <c r="L3608" s="16">
        <f>IF(COUNTIFS(Release_Calendar!$A$2:$A$755,"US_NFP",Release_Calendar!$B$2:$B$755,$A3608)&gt;0,1,0)</f>
        <v>0</v>
      </c>
      <c r="M3608" s="16" t="str">
        <f>IF($A3608&lt;Notes!$B$5,"",IF(COUNTIFS(Release_Calendar!$A$2:$A$755,"NZ_CPI",Release_Calendar!$B$2:$B$755,$A3608)&gt;0,1,0))</f>
        <v/>
      </c>
      <c r="N3608" s="16" t="str">
        <f>IF($A3608&lt;Notes!$B$5,"",IF(COUNTIFS(Release_Calendar!$A$2:$A$755,"NZ_GDP",Release_Calendar!$B$2:$B$755,$A3608)&gt;0,1,0))</f>
        <v/>
      </c>
      <c r="O3608" s="16" t="str">
        <f>IF($A3608&lt;Notes!$B$5,"",IF(COUNTIFS(Release_Calendar!$A$2:$A$755,"NZ_LABOUR",Release_Calendar!$B$2:$B$755,$A3608)&gt;0,1,0))</f>
        <v/>
      </c>
      <c r="P3608" s="16">
        <f t="shared" si="4"/>
        <v>0</v>
      </c>
    </row>
    <row r="3609" ht="15.75" customHeight="1">
      <c r="A3609" s="14">
        <v>41577.0</v>
      </c>
      <c r="B3609" s="15">
        <v>0.33</v>
      </c>
      <c r="C3609" s="15">
        <v>3.41</v>
      </c>
      <c r="D3609" s="15"/>
      <c r="E3609" s="15"/>
      <c r="F3609" s="15">
        <f t="shared" si="1"/>
        <v>3.08</v>
      </c>
      <c r="G3609" s="15">
        <f t="shared" si="2"/>
        <v>3.41</v>
      </c>
      <c r="H3609" s="16">
        <v>0.0</v>
      </c>
      <c r="I3609" s="15">
        <f t="shared" si="3"/>
        <v>3.08</v>
      </c>
      <c r="J3609" s="15">
        <v>13.65</v>
      </c>
      <c r="K3609" s="16">
        <f>IF(COUNTIFS(Release_Calendar!$A$2:$A$755,"US_CPI",Release_Calendar!$B$2:$B$755,$A3609)&gt;0,1,0)</f>
        <v>1</v>
      </c>
      <c r="L3609" s="16">
        <f>IF(COUNTIFS(Release_Calendar!$A$2:$A$755,"US_NFP",Release_Calendar!$B$2:$B$755,$A3609)&gt;0,1,0)</f>
        <v>0</v>
      </c>
      <c r="M3609" s="16" t="str">
        <f>IF($A3609&lt;Notes!$B$5,"",IF(COUNTIFS(Release_Calendar!$A$2:$A$755,"NZ_CPI",Release_Calendar!$B$2:$B$755,$A3609)&gt;0,1,0))</f>
        <v/>
      </c>
      <c r="N3609" s="16" t="str">
        <f>IF($A3609&lt;Notes!$B$5,"",IF(COUNTIFS(Release_Calendar!$A$2:$A$755,"NZ_GDP",Release_Calendar!$B$2:$B$755,$A3609)&gt;0,1,0))</f>
        <v/>
      </c>
      <c r="O3609" s="16" t="str">
        <f>IF($A3609&lt;Notes!$B$5,"",IF(COUNTIFS(Release_Calendar!$A$2:$A$755,"NZ_LABOUR",Release_Calendar!$B$2:$B$755,$A3609)&gt;0,1,0))</f>
        <v/>
      </c>
      <c r="P3609" s="16">
        <f t="shared" si="4"/>
        <v>1</v>
      </c>
    </row>
    <row r="3610" ht="15.75" customHeight="1">
      <c r="A3610" s="14">
        <v>41578.0</v>
      </c>
      <c r="B3610" s="15">
        <v>0.31</v>
      </c>
      <c r="C3610" s="15">
        <v>3.44</v>
      </c>
      <c r="D3610" s="15"/>
      <c r="E3610" s="15"/>
      <c r="F3610" s="15">
        <f t="shared" si="1"/>
        <v>3.13</v>
      </c>
      <c r="G3610" s="15">
        <f t="shared" si="2"/>
        <v>3.44</v>
      </c>
      <c r="H3610" s="16">
        <v>0.0</v>
      </c>
      <c r="I3610" s="15">
        <f t="shared" si="3"/>
        <v>3.13</v>
      </c>
      <c r="J3610" s="15">
        <v>13.75</v>
      </c>
      <c r="K3610" s="16">
        <f>IF(COUNTIFS(Release_Calendar!$A$2:$A$755,"US_CPI",Release_Calendar!$B$2:$B$755,$A3610)&gt;0,1,0)</f>
        <v>0</v>
      </c>
      <c r="L3610" s="16">
        <f>IF(COUNTIFS(Release_Calendar!$A$2:$A$755,"US_NFP",Release_Calendar!$B$2:$B$755,$A3610)&gt;0,1,0)</f>
        <v>0</v>
      </c>
      <c r="M3610" s="16" t="str">
        <f>IF($A3610&lt;Notes!$B$5,"",IF(COUNTIFS(Release_Calendar!$A$2:$A$755,"NZ_CPI",Release_Calendar!$B$2:$B$755,$A3610)&gt;0,1,0))</f>
        <v/>
      </c>
      <c r="N3610" s="16" t="str">
        <f>IF($A3610&lt;Notes!$B$5,"",IF(COUNTIFS(Release_Calendar!$A$2:$A$755,"NZ_GDP",Release_Calendar!$B$2:$B$755,$A3610)&gt;0,1,0))</f>
        <v/>
      </c>
      <c r="O3610" s="16" t="str">
        <f>IF($A3610&lt;Notes!$B$5,"",IF(COUNTIFS(Release_Calendar!$A$2:$A$755,"NZ_LABOUR",Release_Calendar!$B$2:$B$755,$A3610)&gt;0,1,0))</f>
        <v/>
      </c>
      <c r="P3610" s="16">
        <f t="shared" si="4"/>
        <v>0</v>
      </c>
    </row>
    <row r="3611" ht="15.75" customHeight="1">
      <c r="A3611" s="14">
        <v>41579.0</v>
      </c>
      <c r="B3611" s="15">
        <v>0.33</v>
      </c>
      <c r="C3611" s="15">
        <v>3.42</v>
      </c>
      <c r="D3611" s="15"/>
      <c r="E3611" s="15"/>
      <c r="F3611" s="15">
        <f t="shared" si="1"/>
        <v>3.09</v>
      </c>
      <c r="G3611" s="15">
        <f t="shared" si="2"/>
        <v>3.42</v>
      </c>
      <c r="H3611" s="16">
        <v>0.0</v>
      </c>
      <c r="I3611" s="15">
        <f t="shared" si="3"/>
        <v>3.09</v>
      </c>
      <c r="J3611" s="15">
        <v>13.28</v>
      </c>
      <c r="K3611" s="16">
        <f>IF(COUNTIFS(Release_Calendar!$A$2:$A$755,"US_CPI",Release_Calendar!$B$2:$B$755,$A3611)&gt;0,1,0)</f>
        <v>0</v>
      </c>
      <c r="L3611" s="16">
        <f>IF(COUNTIFS(Release_Calendar!$A$2:$A$755,"US_NFP",Release_Calendar!$B$2:$B$755,$A3611)&gt;0,1,0)</f>
        <v>0</v>
      </c>
      <c r="M3611" s="16" t="str">
        <f>IF($A3611&lt;Notes!$B$5,"",IF(COUNTIFS(Release_Calendar!$A$2:$A$755,"NZ_CPI",Release_Calendar!$B$2:$B$755,$A3611)&gt;0,1,0))</f>
        <v/>
      </c>
      <c r="N3611" s="16" t="str">
        <f>IF($A3611&lt;Notes!$B$5,"",IF(COUNTIFS(Release_Calendar!$A$2:$A$755,"NZ_GDP",Release_Calendar!$B$2:$B$755,$A3611)&gt;0,1,0))</f>
        <v/>
      </c>
      <c r="O3611" s="16" t="str">
        <f>IF($A3611&lt;Notes!$B$5,"",IF(COUNTIFS(Release_Calendar!$A$2:$A$755,"NZ_LABOUR",Release_Calendar!$B$2:$B$755,$A3611)&gt;0,1,0))</f>
        <v/>
      </c>
      <c r="P3611" s="16">
        <f t="shared" si="4"/>
        <v>0</v>
      </c>
    </row>
    <row r="3612" ht="15.75" customHeight="1">
      <c r="A3612" s="14">
        <v>41582.0</v>
      </c>
      <c r="B3612" s="15">
        <v>0.32</v>
      </c>
      <c r="C3612" s="15">
        <v>3.46</v>
      </c>
      <c r="D3612" s="15"/>
      <c r="E3612" s="15"/>
      <c r="F3612" s="15">
        <f t="shared" si="1"/>
        <v>3.14</v>
      </c>
      <c r="G3612" s="15">
        <f t="shared" si="2"/>
        <v>3.46</v>
      </c>
      <c r="H3612" s="16">
        <v>0.0</v>
      </c>
      <c r="I3612" s="15">
        <f t="shared" si="3"/>
        <v>3.14</v>
      </c>
      <c r="J3612" s="15">
        <v>12.93</v>
      </c>
      <c r="K3612" s="16">
        <f>IF(COUNTIFS(Release_Calendar!$A$2:$A$755,"US_CPI",Release_Calendar!$B$2:$B$755,$A3612)&gt;0,1,0)</f>
        <v>0</v>
      </c>
      <c r="L3612" s="16">
        <f>IF(COUNTIFS(Release_Calendar!$A$2:$A$755,"US_NFP",Release_Calendar!$B$2:$B$755,$A3612)&gt;0,1,0)</f>
        <v>0</v>
      </c>
      <c r="M3612" s="16" t="str">
        <f>IF($A3612&lt;Notes!$B$5,"",IF(COUNTIFS(Release_Calendar!$A$2:$A$755,"NZ_CPI",Release_Calendar!$B$2:$B$755,$A3612)&gt;0,1,0))</f>
        <v/>
      </c>
      <c r="N3612" s="16" t="str">
        <f>IF($A3612&lt;Notes!$B$5,"",IF(COUNTIFS(Release_Calendar!$A$2:$A$755,"NZ_GDP",Release_Calendar!$B$2:$B$755,$A3612)&gt;0,1,0))</f>
        <v/>
      </c>
      <c r="O3612" s="16" t="str">
        <f>IF($A3612&lt;Notes!$B$5,"",IF(COUNTIFS(Release_Calendar!$A$2:$A$755,"NZ_LABOUR",Release_Calendar!$B$2:$B$755,$A3612)&gt;0,1,0))</f>
        <v/>
      </c>
      <c r="P3612" s="16">
        <f t="shared" si="4"/>
        <v>0</v>
      </c>
    </row>
    <row r="3613" ht="15.75" customHeight="1">
      <c r="A3613" s="14">
        <v>41583.0</v>
      </c>
      <c r="B3613" s="15">
        <v>0.32</v>
      </c>
      <c r="C3613" s="15">
        <v>3.46</v>
      </c>
      <c r="D3613" s="15"/>
      <c r="E3613" s="15"/>
      <c r="F3613" s="15">
        <f t="shared" si="1"/>
        <v>3.14</v>
      </c>
      <c r="G3613" s="15">
        <f t="shared" si="2"/>
        <v>3.46</v>
      </c>
      <c r="H3613" s="16">
        <v>0.0</v>
      </c>
      <c r="I3613" s="15">
        <f t="shared" si="3"/>
        <v>3.14</v>
      </c>
      <c r="J3613" s="15">
        <v>13.27</v>
      </c>
      <c r="K3613" s="16">
        <f>IF(COUNTIFS(Release_Calendar!$A$2:$A$755,"US_CPI",Release_Calendar!$B$2:$B$755,$A3613)&gt;0,1,0)</f>
        <v>0</v>
      </c>
      <c r="L3613" s="16">
        <f>IF(COUNTIFS(Release_Calendar!$A$2:$A$755,"US_NFP",Release_Calendar!$B$2:$B$755,$A3613)&gt;0,1,0)</f>
        <v>0</v>
      </c>
      <c r="M3613" s="16" t="str">
        <f>IF($A3613&lt;Notes!$B$5,"",IF(COUNTIFS(Release_Calendar!$A$2:$A$755,"NZ_CPI",Release_Calendar!$B$2:$B$755,$A3613)&gt;0,1,0))</f>
        <v/>
      </c>
      <c r="N3613" s="16" t="str">
        <f>IF($A3613&lt;Notes!$B$5,"",IF(COUNTIFS(Release_Calendar!$A$2:$A$755,"NZ_GDP",Release_Calendar!$B$2:$B$755,$A3613)&gt;0,1,0))</f>
        <v/>
      </c>
      <c r="O3613" s="16" t="str">
        <f>IF($A3613&lt;Notes!$B$5,"",IF(COUNTIFS(Release_Calendar!$A$2:$A$755,"NZ_LABOUR",Release_Calendar!$B$2:$B$755,$A3613)&gt;0,1,0))</f>
        <v/>
      </c>
      <c r="P3613" s="16">
        <f t="shared" si="4"/>
        <v>0</v>
      </c>
    </row>
    <row r="3614" ht="15.75" customHeight="1">
      <c r="A3614" s="14">
        <v>41584.0</v>
      </c>
      <c r="B3614" s="15">
        <v>0.3</v>
      </c>
      <c r="C3614" s="15">
        <v>3.53</v>
      </c>
      <c r="D3614" s="15"/>
      <c r="E3614" s="15"/>
      <c r="F3614" s="15">
        <f t="shared" si="1"/>
        <v>3.23</v>
      </c>
      <c r="G3614" s="15">
        <f t="shared" si="2"/>
        <v>3.53</v>
      </c>
      <c r="H3614" s="16">
        <v>0.0</v>
      </c>
      <c r="I3614" s="15">
        <f t="shared" si="3"/>
        <v>3.23</v>
      </c>
      <c r="J3614" s="15">
        <v>12.67</v>
      </c>
      <c r="K3614" s="16">
        <f>IF(COUNTIFS(Release_Calendar!$A$2:$A$755,"US_CPI",Release_Calendar!$B$2:$B$755,$A3614)&gt;0,1,0)</f>
        <v>0</v>
      </c>
      <c r="L3614" s="16">
        <f>IF(COUNTIFS(Release_Calendar!$A$2:$A$755,"US_NFP",Release_Calendar!$B$2:$B$755,$A3614)&gt;0,1,0)</f>
        <v>0</v>
      </c>
      <c r="M3614" s="16" t="str">
        <f>IF($A3614&lt;Notes!$B$5,"",IF(COUNTIFS(Release_Calendar!$A$2:$A$755,"NZ_CPI",Release_Calendar!$B$2:$B$755,$A3614)&gt;0,1,0))</f>
        <v/>
      </c>
      <c r="N3614" s="16" t="str">
        <f>IF($A3614&lt;Notes!$B$5,"",IF(COUNTIFS(Release_Calendar!$A$2:$A$755,"NZ_GDP",Release_Calendar!$B$2:$B$755,$A3614)&gt;0,1,0))</f>
        <v/>
      </c>
      <c r="O3614" s="16" t="str">
        <f>IF($A3614&lt;Notes!$B$5,"",IF(COUNTIFS(Release_Calendar!$A$2:$A$755,"NZ_LABOUR",Release_Calendar!$B$2:$B$755,$A3614)&gt;0,1,0))</f>
        <v/>
      </c>
      <c r="P3614" s="16">
        <f t="shared" si="4"/>
        <v>0</v>
      </c>
    </row>
    <row r="3615" ht="15.75" customHeight="1">
      <c r="A3615" s="14">
        <v>41585.0</v>
      </c>
      <c r="B3615" s="15">
        <v>0.29</v>
      </c>
      <c r="C3615" s="15">
        <v>3.51</v>
      </c>
      <c r="D3615" s="15"/>
      <c r="E3615" s="15"/>
      <c r="F3615" s="15">
        <f t="shared" si="1"/>
        <v>3.22</v>
      </c>
      <c r="G3615" s="15">
        <f t="shared" si="2"/>
        <v>3.51</v>
      </c>
      <c r="H3615" s="16">
        <v>0.0</v>
      </c>
      <c r="I3615" s="15">
        <f t="shared" si="3"/>
        <v>3.22</v>
      </c>
      <c r="J3615" s="15">
        <v>13.91</v>
      </c>
      <c r="K3615" s="16">
        <f>IF(COUNTIFS(Release_Calendar!$A$2:$A$755,"US_CPI",Release_Calendar!$B$2:$B$755,$A3615)&gt;0,1,0)</f>
        <v>0</v>
      </c>
      <c r="L3615" s="16">
        <f>IF(COUNTIFS(Release_Calendar!$A$2:$A$755,"US_NFP",Release_Calendar!$B$2:$B$755,$A3615)&gt;0,1,0)</f>
        <v>0</v>
      </c>
      <c r="M3615" s="16" t="str">
        <f>IF($A3615&lt;Notes!$B$5,"",IF(COUNTIFS(Release_Calendar!$A$2:$A$755,"NZ_CPI",Release_Calendar!$B$2:$B$755,$A3615)&gt;0,1,0))</f>
        <v/>
      </c>
      <c r="N3615" s="16" t="str">
        <f>IF($A3615&lt;Notes!$B$5,"",IF(COUNTIFS(Release_Calendar!$A$2:$A$755,"NZ_GDP",Release_Calendar!$B$2:$B$755,$A3615)&gt;0,1,0))</f>
        <v/>
      </c>
      <c r="O3615" s="16" t="str">
        <f>IF($A3615&lt;Notes!$B$5,"",IF(COUNTIFS(Release_Calendar!$A$2:$A$755,"NZ_LABOUR",Release_Calendar!$B$2:$B$755,$A3615)&gt;0,1,0))</f>
        <v/>
      </c>
      <c r="P3615" s="16">
        <f t="shared" si="4"/>
        <v>0</v>
      </c>
    </row>
    <row r="3616" ht="15.75" customHeight="1">
      <c r="A3616" s="14">
        <v>41586.0</v>
      </c>
      <c r="B3616" s="15">
        <v>0.32</v>
      </c>
      <c r="C3616" s="15">
        <v>3.5</v>
      </c>
      <c r="D3616" s="15"/>
      <c r="E3616" s="15"/>
      <c r="F3616" s="15">
        <f t="shared" si="1"/>
        <v>3.18</v>
      </c>
      <c r="G3616" s="15">
        <f t="shared" si="2"/>
        <v>3.5</v>
      </c>
      <c r="H3616" s="16">
        <v>0.0</v>
      </c>
      <c r="I3616" s="15">
        <f t="shared" si="3"/>
        <v>3.18</v>
      </c>
      <c r="J3616" s="15">
        <v>12.9</v>
      </c>
      <c r="K3616" s="16">
        <f>IF(COUNTIFS(Release_Calendar!$A$2:$A$755,"US_CPI",Release_Calendar!$B$2:$B$755,$A3616)&gt;0,1,0)</f>
        <v>0</v>
      </c>
      <c r="L3616" s="16">
        <f>IF(COUNTIFS(Release_Calendar!$A$2:$A$755,"US_NFP",Release_Calendar!$B$2:$B$755,$A3616)&gt;0,1,0)</f>
        <v>1</v>
      </c>
      <c r="M3616" s="16" t="str">
        <f>IF($A3616&lt;Notes!$B$5,"",IF(COUNTIFS(Release_Calendar!$A$2:$A$755,"NZ_CPI",Release_Calendar!$B$2:$B$755,$A3616)&gt;0,1,0))</f>
        <v/>
      </c>
      <c r="N3616" s="16" t="str">
        <f>IF($A3616&lt;Notes!$B$5,"",IF(COUNTIFS(Release_Calendar!$A$2:$A$755,"NZ_GDP",Release_Calendar!$B$2:$B$755,$A3616)&gt;0,1,0))</f>
        <v/>
      </c>
      <c r="O3616" s="16" t="str">
        <f>IF($A3616&lt;Notes!$B$5,"",IF(COUNTIFS(Release_Calendar!$A$2:$A$755,"NZ_LABOUR",Release_Calendar!$B$2:$B$755,$A3616)&gt;0,1,0))</f>
        <v/>
      </c>
      <c r="P3616" s="16">
        <f t="shared" si="4"/>
        <v>1</v>
      </c>
    </row>
    <row r="3617" ht="15.75" customHeight="1">
      <c r="A3617" s="14">
        <v>41589.0</v>
      </c>
      <c r="B3617" s="15"/>
      <c r="C3617" s="15">
        <v>3.55</v>
      </c>
      <c r="D3617" s="15"/>
      <c r="E3617" s="15"/>
      <c r="F3617" s="15" t="str">
        <f t="shared" si="1"/>
        <v/>
      </c>
      <c r="G3617" s="15">
        <f t="shared" si="2"/>
        <v>3.55</v>
      </c>
      <c r="H3617" s="16">
        <v>0.0</v>
      </c>
      <c r="I3617" s="15" t="str">
        <f t="shared" si="3"/>
        <v/>
      </c>
      <c r="J3617" s="15">
        <v>12.53</v>
      </c>
      <c r="K3617" s="16">
        <f>IF(COUNTIFS(Release_Calendar!$A$2:$A$755,"US_CPI",Release_Calendar!$B$2:$B$755,$A3617)&gt;0,1,0)</f>
        <v>0</v>
      </c>
      <c r="L3617" s="16">
        <f>IF(COUNTIFS(Release_Calendar!$A$2:$A$755,"US_NFP",Release_Calendar!$B$2:$B$755,$A3617)&gt;0,1,0)</f>
        <v>0</v>
      </c>
      <c r="M3617" s="16" t="str">
        <f>IF($A3617&lt;Notes!$B$5,"",IF(COUNTIFS(Release_Calendar!$A$2:$A$755,"NZ_CPI",Release_Calendar!$B$2:$B$755,$A3617)&gt;0,1,0))</f>
        <v/>
      </c>
      <c r="N3617" s="16" t="str">
        <f>IF($A3617&lt;Notes!$B$5,"",IF(COUNTIFS(Release_Calendar!$A$2:$A$755,"NZ_GDP",Release_Calendar!$B$2:$B$755,$A3617)&gt;0,1,0))</f>
        <v/>
      </c>
      <c r="O3617" s="16" t="str">
        <f>IF($A3617&lt;Notes!$B$5,"",IF(COUNTIFS(Release_Calendar!$A$2:$A$755,"NZ_LABOUR",Release_Calendar!$B$2:$B$755,$A3617)&gt;0,1,0))</f>
        <v/>
      </c>
      <c r="P3617" s="16">
        <f t="shared" si="4"/>
        <v>0</v>
      </c>
    </row>
    <row r="3618" ht="15.75" customHeight="1">
      <c r="A3618" s="14">
        <v>41590.0</v>
      </c>
      <c r="B3618" s="15">
        <v>0.34</v>
      </c>
      <c r="C3618" s="15">
        <v>3.56</v>
      </c>
      <c r="D3618" s="15"/>
      <c r="E3618" s="15"/>
      <c r="F3618" s="15">
        <f t="shared" si="1"/>
        <v>3.22</v>
      </c>
      <c r="G3618" s="15">
        <f t="shared" si="2"/>
        <v>3.56</v>
      </c>
      <c r="H3618" s="16">
        <v>0.0</v>
      </c>
      <c r="I3618" s="15">
        <f t="shared" si="3"/>
        <v>3.22</v>
      </c>
      <c r="J3618" s="15">
        <v>12.82</v>
      </c>
      <c r="K3618" s="16">
        <f>IF(COUNTIFS(Release_Calendar!$A$2:$A$755,"US_CPI",Release_Calendar!$B$2:$B$755,$A3618)&gt;0,1,0)</f>
        <v>0</v>
      </c>
      <c r="L3618" s="16">
        <f>IF(COUNTIFS(Release_Calendar!$A$2:$A$755,"US_NFP",Release_Calendar!$B$2:$B$755,$A3618)&gt;0,1,0)</f>
        <v>0</v>
      </c>
      <c r="M3618" s="16" t="str">
        <f>IF($A3618&lt;Notes!$B$5,"",IF(COUNTIFS(Release_Calendar!$A$2:$A$755,"NZ_CPI",Release_Calendar!$B$2:$B$755,$A3618)&gt;0,1,0))</f>
        <v/>
      </c>
      <c r="N3618" s="16" t="str">
        <f>IF($A3618&lt;Notes!$B$5,"",IF(COUNTIFS(Release_Calendar!$A$2:$A$755,"NZ_GDP",Release_Calendar!$B$2:$B$755,$A3618)&gt;0,1,0))</f>
        <v/>
      </c>
      <c r="O3618" s="16" t="str">
        <f>IF($A3618&lt;Notes!$B$5,"",IF(COUNTIFS(Release_Calendar!$A$2:$A$755,"NZ_LABOUR",Release_Calendar!$B$2:$B$755,$A3618)&gt;0,1,0))</f>
        <v/>
      </c>
      <c r="P3618" s="16">
        <f t="shared" si="4"/>
        <v>0</v>
      </c>
    </row>
    <row r="3619" ht="15.75" customHeight="1">
      <c r="A3619" s="14">
        <v>41591.0</v>
      </c>
      <c r="B3619" s="15">
        <v>0.32</v>
      </c>
      <c r="C3619" s="15">
        <v>3.55</v>
      </c>
      <c r="D3619" s="15"/>
      <c r="E3619" s="15"/>
      <c r="F3619" s="15">
        <f t="shared" si="1"/>
        <v>3.23</v>
      </c>
      <c r="G3619" s="15">
        <f t="shared" si="2"/>
        <v>3.55</v>
      </c>
      <c r="H3619" s="16">
        <v>0.0</v>
      </c>
      <c r="I3619" s="15">
        <f t="shared" si="3"/>
        <v>3.23</v>
      </c>
      <c r="J3619" s="15">
        <v>12.52</v>
      </c>
      <c r="K3619" s="16">
        <f>IF(COUNTIFS(Release_Calendar!$A$2:$A$755,"US_CPI",Release_Calendar!$B$2:$B$755,$A3619)&gt;0,1,0)</f>
        <v>0</v>
      </c>
      <c r="L3619" s="16">
        <f>IF(COUNTIFS(Release_Calendar!$A$2:$A$755,"US_NFP",Release_Calendar!$B$2:$B$755,$A3619)&gt;0,1,0)</f>
        <v>0</v>
      </c>
      <c r="M3619" s="16" t="str">
        <f>IF($A3619&lt;Notes!$B$5,"",IF(COUNTIFS(Release_Calendar!$A$2:$A$755,"NZ_CPI",Release_Calendar!$B$2:$B$755,$A3619)&gt;0,1,0))</f>
        <v/>
      </c>
      <c r="N3619" s="16" t="str">
        <f>IF($A3619&lt;Notes!$B$5,"",IF(COUNTIFS(Release_Calendar!$A$2:$A$755,"NZ_GDP",Release_Calendar!$B$2:$B$755,$A3619)&gt;0,1,0))</f>
        <v/>
      </c>
      <c r="O3619" s="16" t="str">
        <f>IF($A3619&lt;Notes!$B$5,"",IF(COUNTIFS(Release_Calendar!$A$2:$A$755,"NZ_LABOUR",Release_Calendar!$B$2:$B$755,$A3619)&gt;0,1,0))</f>
        <v/>
      </c>
      <c r="P3619" s="16">
        <f t="shared" si="4"/>
        <v>0</v>
      </c>
    </row>
    <row r="3620" ht="15.75" customHeight="1">
      <c r="A3620" s="14">
        <v>41592.0</v>
      </c>
      <c r="B3620" s="15">
        <v>0.29</v>
      </c>
      <c r="C3620" s="15">
        <v>3.53</v>
      </c>
      <c r="D3620" s="15"/>
      <c r="E3620" s="15"/>
      <c r="F3620" s="15">
        <f t="shared" si="1"/>
        <v>3.24</v>
      </c>
      <c r="G3620" s="15">
        <f t="shared" si="2"/>
        <v>3.53</v>
      </c>
      <c r="H3620" s="16">
        <v>0.0</v>
      </c>
      <c r="I3620" s="15">
        <f t="shared" si="3"/>
        <v>3.24</v>
      </c>
      <c r="J3620" s="15">
        <v>12.37</v>
      </c>
      <c r="K3620" s="16">
        <f>IF(COUNTIFS(Release_Calendar!$A$2:$A$755,"US_CPI",Release_Calendar!$B$2:$B$755,$A3620)&gt;0,1,0)</f>
        <v>0</v>
      </c>
      <c r="L3620" s="16">
        <f>IF(COUNTIFS(Release_Calendar!$A$2:$A$755,"US_NFP",Release_Calendar!$B$2:$B$755,$A3620)&gt;0,1,0)</f>
        <v>0</v>
      </c>
      <c r="M3620" s="16" t="str">
        <f>IF($A3620&lt;Notes!$B$5,"",IF(COUNTIFS(Release_Calendar!$A$2:$A$755,"NZ_CPI",Release_Calendar!$B$2:$B$755,$A3620)&gt;0,1,0))</f>
        <v/>
      </c>
      <c r="N3620" s="16" t="str">
        <f>IF($A3620&lt;Notes!$B$5,"",IF(COUNTIFS(Release_Calendar!$A$2:$A$755,"NZ_GDP",Release_Calendar!$B$2:$B$755,$A3620)&gt;0,1,0))</f>
        <v/>
      </c>
      <c r="O3620" s="16" t="str">
        <f>IF($A3620&lt;Notes!$B$5,"",IF(COUNTIFS(Release_Calendar!$A$2:$A$755,"NZ_LABOUR",Release_Calendar!$B$2:$B$755,$A3620)&gt;0,1,0))</f>
        <v/>
      </c>
      <c r="P3620" s="16">
        <f t="shared" si="4"/>
        <v>0</v>
      </c>
    </row>
    <row r="3621" ht="15.75" customHeight="1">
      <c r="A3621" s="14">
        <v>41593.0</v>
      </c>
      <c r="B3621" s="15">
        <v>0.31</v>
      </c>
      <c r="C3621" s="15">
        <v>3.51</v>
      </c>
      <c r="D3621" s="15"/>
      <c r="E3621" s="15"/>
      <c r="F3621" s="15">
        <f t="shared" si="1"/>
        <v>3.2</v>
      </c>
      <c r="G3621" s="15">
        <f t="shared" si="2"/>
        <v>3.51</v>
      </c>
      <c r="H3621" s="16">
        <v>0.0</v>
      </c>
      <c r="I3621" s="15">
        <f t="shared" si="3"/>
        <v>3.2</v>
      </c>
      <c r="J3621" s="15">
        <v>12.19</v>
      </c>
      <c r="K3621" s="16">
        <f>IF(COUNTIFS(Release_Calendar!$A$2:$A$755,"US_CPI",Release_Calendar!$B$2:$B$755,$A3621)&gt;0,1,0)</f>
        <v>0</v>
      </c>
      <c r="L3621" s="16">
        <f>IF(COUNTIFS(Release_Calendar!$A$2:$A$755,"US_NFP",Release_Calendar!$B$2:$B$755,$A3621)&gt;0,1,0)</f>
        <v>0</v>
      </c>
      <c r="M3621" s="16" t="str">
        <f>IF($A3621&lt;Notes!$B$5,"",IF(COUNTIFS(Release_Calendar!$A$2:$A$755,"NZ_CPI",Release_Calendar!$B$2:$B$755,$A3621)&gt;0,1,0))</f>
        <v/>
      </c>
      <c r="N3621" s="16" t="str">
        <f>IF($A3621&lt;Notes!$B$5,"",IF(COUNTIFS(Release_Calendar!$A$2:$A$755,"NZ_GDP",Release_Calendar!$B$2:$B$755,$A3621)&gt;0,1,0))</f>
        <v/>
      </c>
      <c r="O3621" s="16" t="str">
        <f>IF($A3621&lt;Notes!$B$5,"",IF(COUNTIFS(Release_Calendar!$A$2:$A$755,"NZ_LABOUR",Release_Calendar!$B$2:$B$755,$A3621)&gt;0,1,0))</f>
        <v/>
      </c>
      <c r="P3621" s="16">
        <f t="shared" si="4"/>
        <v>0</v>
      </c>
    </row>
    <row r="3622" ht="15.75" customHeight="1">
      <c r="A3622" s="14">
        <v>41596.0</v>
      </c>
      <c r="B3622" s="15">
        <v>0.31</v>
      </c>
      <c r="C3622" s="15">
        <v>3.52</v>
      </c>
      <c r="D3622" s="15"/>
      <c r="E3622" s="15"/>
      <c r="F3622" s="15">
        <f t="shared" si="1"/>
        <v>3.21</v>
      </c>
      <c r="G3622" s="15">
        <f t="shared" si="2"/>
        <v>3.52</v>
      </c>
      <c r="H3622" s="16">
        <v>0.0</v>
      </c>
      <c r="I3622" s="15">
        <f t="shared" si="3"/>
        <v>3.21</v>
      </c>
      <c r="J3622" s="15">
        <v>13.1</v>
      </c>
      <c r="K3622" s="16">
        <f>IF(COUNTIFS(Release_Calendar!$A$2:$A$755,"US_CPI",Release_Calendar!$B$2:$B$755,$A3622)&gt;0,1,0)</f>
        <v>0</v>
      </c>
      <c r="L3622" s="16">
        <f>IF(COUNTIFS(Release_Calendar!$A$2:$A$755,"US_NFP",Release_Calendar!$B$2:$B$755,$A3622)&gt;0,1,0)</f>
        <v>0</v>
      </c>
      <c r="M3622" s="16" t="str">
        <f>IF($A3622&lt;Notes!$B$5,"",IF(COUNTIFS(Release_Calendar!$A$2:$A$755,"NZ_CPI",Release_Calendar!$B$2:$B$755,$A3622)&gt;0,1,0))</f>
        <v/>
      </c>
      <c r="N3622" s="16" t="str">
        <f>IF($A3622&lt;Notes!$B$5,"",IF(COUNTIFS(Release_Calendar!$A$2:$A$755,"NZ_GDP",Release_Calendar!$B$2:$B$755,$A3622)&gt;0,1,0))</f>
        <v/>
      </c>
      <c r="O3622" s="16" t="str">
        <f>IF($A3622&lt;Notes!$B$5,"",IF(COUNTIFS(Release_Calendar!$A$2:$A$755,"NZ_LABOUR",Release_Calendar!$B$2:$B$755,$A3622)&gt;0,1,0))</f>
        <v/>
      </c>
      <c r="P3622" s="16">
        <f t="shared" si="4"/>
        <v>0</v>
      </c>
    </row>
    <row r="3623" ht="15.75" customHeight="1">
      <c r="A3623" s="14">
        <v>41597.0</v>
      </c>
      <c r="B3623" s="15">
        <v>0.29</v>
      </c>
      <c r="C3623" s="15">
        <v>3.53</v>
      </c>
      <c r="D3623" s="15"/>
      <c r="E3623" s="15"/>
      <c r="F3623" s="15">
        <f t="shared" si="1"/>
        <v>3.24</v>
      </c>
      <c r="G3623" s="15">
        <f t="shared" si="2"/>
        <v>3.53</v>
      </c>
      <c r="H3623" s="16">
        <v>0.0</v>
      </c>
      <c r="I3623" s="15">
        <f t="shared" si="3"/>
        <v>3.24</v>
      </c>
      <c r="J3623" s="15">
        <v>13.39</v>
      </c>
      <c r="K3623" s="16">
        <f>IF(COUNTIFS(Release_Calendar!$A$2:$A$755,"US_CPI",Release_Calendar!$B$2:$B$755,$A3623)&gt;0,1,0)</f>
        <v>0</v>
      </c>
      <c r="L3623" s="16">
        <f>IF(COUNTIFS(Release_Calendar!$A$2:$A$755,"US_NFP",Release_Calendar!$B$2:$B$755,$A3623)&gt;0,1,0)</f>
        <v>0</v>
      </c>
      <c r="M3623" s="16" t="str">
        <f>IF($A3623&lt;Notes!$B$5,"",IF(COUNTIFS(Release_Calendar!$A$2:$A$755,"NZ_CPI",Release_Calendar!$B$2:$B$755,$A3623)&gt;0,1,0))</f>
        <v/>
      </c>
      <c r="N3623" s="16" t="str">
        <f>IF($A3623&lt;Notes!$B$5,"",IF(COUNTIFS(Release_Calendar!$A$2:$A$755,"NZ_GDP",Release_Calendar!$B$2:$B$755,$A3623)&gt;0,1,0))</f>
        <v/>
      </c>
      <c r="O3623" s="16" t="str">
        <f>IF($A3623&lt;Notes!$B$5,"",IF(COUNTIFS(Release_Calendar!$A$2:$A$755,"NZ_LABOUR",Release_Calendar!$B$2:$B$755,$A3623)&gt;0,1,0))</f>
        <v/>
      </c>
      <c r="P3623" s="16">
        <f t="shared" si="4"/>
        <v>0</v>
      </c>
    </row>
    <row r="3624" ht="15.75" customHeight="1">
      <c r="A3624" s="14">
        <v>41598.0</v>
      </c>
      <c r="B3624" s="15">
        <v>0.28</v>
      </c>
      <c r="C3624" s="15">
        <v>3.56</v>
      </c>
      <c r="D3624" s="15"/>
      <c r="E3624" s="15"/>
      <c r="F3624" s="15">
        <f t="shared" si="1"/>
        <v>3.28</v>
      </c>
      <c r="G3624" s="15">
        <f t="shared" si="2"/>
        <v>3.56</v>
      </c>
      <c r="H3624" s="16">
        <v>0.0</v>
      </c>
      <c r="I3624" s="15">
        <f t="shared" si="3"/>
        <v>3.28</v>
      </c>
      <c r="J3624" s="15">
        <v>13.4</v>
      </c>
      <c r="K3624" s="16">
        <f>IF(COUNTIFS(Release_Calendar!$A$2:$A$755,"US_CPI",Release_Calendar!$B$2:$B$755,$A3624)&gt;0,1,0)</f>
        <v>1</v>
      </c>
      <c r="L3624" s="16">
        <f>IF(COUNTIFS(Release_Calendar!$A$2:$A$755,"US_NFP",Release_Calendar!$B$2:$B$755,$A3624)&gt;0,1,0)</f>
        <v>0</v>
      </c>
      <c r="M3624" s="16" t="str">
        <f>IF($A3624&lt;Notes!$B$5,"",IF(COUNTIFS(Release_Calendar!$A$2:$A$755,"NZ_CPI",Release_Calendar!$B$2:$B$755,$A3624)&gt;0,1,0))</f>
        <v/>
      </c>
      <c r="N3624" s="16" t="str">
        <f>IF($A3624&lt;Notes!$B$5,"",IF(COUNTIFS(Release_Calendar!$A$2:$A$755,"NZ_GDP",Release_Calendar!$B$2:$B$755,$A3624)&gt;0,1,0))</f>
        <v/>
      </c>
      <c r="O3624" s="16" t="str">
        <f>IF($A3624&lt;Notes!$B$5,"",IF(COUNTIFS(Release_Calendar!$A$2:$A$755,"NZ_LABOUR",Release_Calendar!$B$2:$B$755,$A3624)&gt;0,1,0))</f>
        <v/>
      </c>
      <c r="P3624" s="16">
        <f t="shared" si="4"/>
        <v>1</v>
      </c>
    </row>
    <row r="3625" ht="15.75" customHeight="1">
      <c r="A3625" s="14">
        <v>41599.0</v>
      </c>
      <c r="B3625" s="15">
        <v>0.29</v>
      </c>
      <c r="C3625" s="15">
        <v>3.61</v>
      </c>
      <c r="D3625" s="15"/>
      <c r="E3625" s="15"/>
      <c r="F3625" s="15">
        <f t="shared" si="1"/>
        <v>3.32</v>
      </c>
      <c r="G3625" s="15">
        <f t="shared" si="2"/>
        <v>3.61</v>
      </c>
      <c r="H3625" s="16">
        <v>0.0</v>
      </c>
      <c r="I3625" s="15">
        <f t="shared" si="3"/>
        <v>3.32</v>
      </c>
      <c r="J3625" s="15">
        <v>12.66</v>
      </c>
      <c r="K3625" s="16">
        <f>IF(COUNTIFS(Release_Calendar!$A$2:$A$755,"US_CPI",Release_Calendar!$B$2:$B$755,$A3625)&gt;0,1,0)</f>
        <v>0</v>
      </c>
      <c r="L3625" s="16">
        <f>IF(COUNTIFS(Release_Calendar!$A$2:$A$755,"US_NFP",Release_Calendar!$B$2:$B$755,$A3625)&gt;0,1,0)</f>
        <v>0</v>
      </c>
      <c r="M3625" s="16" t="str">
        <f>IF($A3625&lt;Notes!$B$5,"",IF(COUNTIFS(Release_Calendar!$A$2:$A$755,"NZ_CPI",Release_Calendar!$B$2:$B$755,$A3625)&gt;0,1,0))</f>
        <v/>
      </c>
      <c r="N3625" s="16" t="str">
        <f>IF($A3625&lt;Notes!$B$5,"",IF(COUNTIFS(Release_Calendar!$A$2:$A$755,"NZ_GDP",Release_Calendar!$B$2:$B$755,$A3625)&gt;0,1,0))</f>
        <v/>
      </c>
      <c r="O3625" s="16" t="str">
        <f>IF($A3625&lt;Notes!$B$5,"",IF(COUNTIFS(Release_Calendar!$A$2:$A$755,"NZ_LABOUR",Release_Calendar!$B$2:$B$755,$A3625)&gt;0,1,0))</f>
        <v/>
      </c>
      <c r="P3625" s="16">
        <f t="shared" si="4"/>
        <v>0</v>
      </c>
    </row>
    <row r="3626" ht="15.75" customHeight="1">
      <c r="A3626" s="14">
        <v>41600.0</v>
      </c>
      <c r="B3626" s="15">
        <v>0.31</v>
      </c>
      <c r="C3626" s="15">
        <v>3.65</v>
      </c>
      <c r="D3626" s="15"/>
      <c r="E3626" s="15"/>
      <c r="F3626" s="15">
        <f t="shared" si="1"/>
        <v>3.34</v>
      </c>
      <c r="G3626" s="15">
        <f t="shared" si="2"/>
        <v>3.65</v>
      </c>
      <c r="H3626" s="16">
        <v>0.0</v>
      </c>
      <c r="I3626" s="15">
        <f t="shared" si="3"/>
        <v>3.34</v>
      </c>
      <c r="J3626" s="15">
        <v>12.26</v>
      </c>
      <c r="K3626" s="16">
        <f>IF(COUNTIFS(Release_Calendar!$A$2:$A$755,"US_CPI",Release_Calendar!$B$2:$B$755,$A3626)&gt;0,1,0)</f>
        <v>0</v>
      </c>
      <c r="L3626" s="16">
        <f>IF(COUNTIFS(Release_Calendar!$A$2:$A$755,"US_NFP",Release_Calendar!$B$2:$B$755,$A3626)&gt;0,1,0)</f>
        <v>0</v>
      </c>
      <c r="M3626" s="16" t="str">
        <f>IF($A3626&lt;Notes!$B$5,"",IF(COUNTIFS(Release_Calendar!$A$2:$A$755,"NZ_CPI",Release_Calendar!$B$2:$B$755,$A3626)&gt;0,1,0))</f>
        <v/>
      </c>
      <c r="N3626" s="16" t="str">
        <f>IF($A3626&lt;Notes!$B$5,"",IF(COUNTIFS(Release_Calendar!$A$2:$A$755,"NZ_GDP",Release_Calendar!$B$2:$B$755,$A3626)&gt;0,1,0))</f>
        <v/>
      </c>
      <c r="O3626" s="16" t="str">
        <f>IF($A3626&lt;Notes!$B$5,"",IF(COUNTIFS(Release_Calendar!$A$2:$A$755,"NZ_LABOUR",Release_Calendar!$B$2:$B$755,$A3626)&gt;0,1,0))</f>
        <v/>
      </c>
      <c r="P3626" s="16">
        <f t="shared" si="4"/>
        <v>0</v>
      </c>
    </row>
    <row r="3627" ht="15.75" customHeight="1">
      <c r="A3627" s="14">
        <v>41603.0</v>
      </c>
      <c r="B3627" s="15">
        <v>0.3</v>
      </c>
      <c r="C3627" s="15">
        <v>3.68</v>
      </c>
      <c r="D3627" s="15"/>
      <c r="E3627" s="15"/>
      <c r="F3627" s="15">
        <f t="shared" si="1"/>
        <v>3.38</v>
      </c>
      <c r="G3627" s="15">
        <f t="shared" si="2"/>
        <v>3.68</v>
      </c>
      <c r="H3627" s="16">
        <v>0.0</v>
      </c>
      <c r="I3627" s="15">
        <f t="shared" si="3"/>
        <v>3.38</v>
      </c>
      <c r="J3627" s="15">
        <v>12.79</v>
      </c>
      <c r="K3627" s="16">
        <f>IF(COUNTIFS(Release_Calendar!$A$2:$A$755,"US_CPI",Release_Calendar!$B$2:$B$755,$A3627)&gt;0,1,0)</f>
        <v>0</v>
      </c>
      <c r="L3627" s="16">
        <f>IF(COUNTIFS(Release_Calendar!$A$2:$A$755,"US_NFP",Release_Calendar!$B$2:$B$755,$A3627)&gt;0,1,0)</f>
        <v>0</v>
      </c>
      <c r="M3627" s="16" t="str">
        <f>IF($A3627&lt;Notes!$B$5,"",IF(COUNTIFS(Release_Calendar!$A$2:$A$755,"NZ_CPI",Release_Calendar!$B$2:$B$755,$A3627)&gt;0,1,0))</f>
        <v/>
      </c>
      <c r="N3627" s="16" t="str">
        <f>IF($A3627&lt;Notes!$B$5,"",IF(COUNTIFS(Release_Calendar!$A$2:$A$755,"NZ_GDP",Release_Calendar!$B$2:$B$755,$A3627)&gt;0,1,0))</f>
        <v/>
      </c>
      <c r="O3627" s="16" t="str">
        <f>IF($A3627&lt;Notes!$B$5,"",IF(COUNTIFS(Release_Calendar!$A$2:$A$755,"NZ_LABOUR",Release_Calendar!$B$2:$B$755,$A3627)&gt;0,1,0))</f>
        <v/>
      </c>
      <c r="P3627" s="16">
        <f t="shared" si="4"/>
        <v>0</v>
      </c>
    </row>
    <row r="3628" ht="15.75" customHeight="1">
      <c r="A3628" s="14">
        <v>41604.0</v>
      </c>
      <c r="B3628" s="15">
        <v>0.29</v>
      </c>
      <c r="C3628" s="15">
        <v>3.68</v>
      </c>
      <c r="D3628" s="15"/>
      <c r="E3628" s="15"/>
      <c r="F3628" s="15">
        <f t="shared" si="1"/>
        <v>3.39</v>
      </c>
      <c r="G3628" s="15">
        <f t="shared" si="2"/>
        <v>3.68</v>
      </c>
      <c r="H3628" s="16">
        <v>0.0</v>
      </c>
      <c r="I3628" s="15">
        <f t="shared" si="3"/>
        <v>3.39</v>
      </c>
      <c r="J3628" s="15">
        <v>12.81</v>
      </c>
      <c r="K3628" s="16">
        <f>IF(COUNTIFS(Release_Calendar!$A$2:$A$755,"US_CPI",Release_Calendar!$B$2:$B$755,$A3628)&gt;0,1,0)</f>
        <v>0</v>
      </c>
      <c r="L3628" s="16">
        <f>IF(COUNTIFS(Release_Calendar!$A$2:$A$755,"US_NFP",Release_Calendar!$B$2:$B$755,$A3628)&gt;0,1,0)</f>
        <v>0</v>
      </c>
      <c r="M3628" s="16" t="str">
        <f>IF($A3628&lt;Notes!$B$5,"",IF(COUNTIFS(Release_Calendar!$A$2:$A$755,"NZ_CPI",Release_Calendar!$B$2:$B$755,$A3628)&gt;0,1,0))</f>
        <v/>
      </c>
      <c r="N3628" s="16" t="str">
        <f>IF($A3628&lt;Notes!$B$5,"",IF(COUNTIFS(Release_Calendar!$A$2:$A$755,"NZ_GDP",Release_Calendar!$B$2:$B$755,$A3628)&gt;0,1,0))</f>
        <v/>
      </c>
      <c r="O3628" s="16" t="str">
        <f>IF($A3628&lt;Notes!$B$5,"",IF(COUNTIFS(Release_Calendar!$A$2:$A$755,"NZ_LABOUR",Release_Calendar!$B$2:$B$755,$A3628)&gt;0,1,0))</f>
        <v/>
      </c>
      <c r="P3628" s="16">
        <f t="shared" si="4"/>
        <v>0</v>
      </c>
    </row>
    <row r="3629" ht="15.75" customHeight="1">
      <c r="A3629" s="14">
        <v>41605.0</v>
      </c>
      <c r="B3629" s="15">
        <v>0.28</v>
      </c>
      <c r="C3629" s="15">
        <v>3.67</v>
      </c>
      <c r="D3629" s="15"/>
      <c r="E3629" s="15"/>
      <c r="F3629" s="15">
        <f t="shared" si="1"/>
        <v>3.39</v>
      </c>
      <c r="G3629" s="15">
        <f t="shared" si="2"/>
        <v>3.67</v>
      </c>
      <c r="H3629" s="16">
        <v>0.0</v>
      </c>
      <c r="I3629" s="15">
        <f t="shared" si="3"/>
        <v>3.39</v>
      </c>
      <c r="J3629" s="15">
        <v>12.98</v>
      </c>
      <c r="K3629" s="16">
        <f>IF(COUNTIFS(Release_Calendar!$A$2:$A$755,"US_CPI",Release_Calendar!$B$2:$B$755,$A3629)&gt;0,1,0)</f>
        <v>0</v>
      </c>
      <c r="L3629" s="16">
        <f>IF(COUNTIFS(Release_Calendar!$A$2:$A$755,"US_NFP",Release_Calendar!$B$2:$B$755,$A3629)&gt;0,1,0)</f>
        <v>0</v>
      </c>
      <c r="M3629" s="16" t="str">
        <f>IF($A3629&lt;Notes!$B$5,"",IF(COUNTIFS(Release_Calendar!$A$2:$A$755,"NZ_CPI",Release_Calendar!$B$2:$B$755,$A3629)&gt;0,1,0))</f>
        <v/>
      </c>
      <c r="N3629" s="16" t="str">
        <f>IF($A3629&lt;Notes!$B$5,"",IF(COUNTIFS(Release_Calendar!$A$2:$A$755,"NZ_GDP",Release_Calendar!$B$2:$B$755,$A3629)&gt;0,1,0))</f>
        <v/>
      </c>
      <c r="O3629" s="16" t="str">
        <f>IF($A3629&lt;Notes!$B$5,"",IF(COUNTIFS(Release_Calendar!$A$2:$A$755,"NZ_LABOUR",Release_Calendar!$B$2:$B$755,$A3629)&gt;0,1,0))</f>
        <v/>
      </c>
      <c r="P3629" s="16">
        <f t="shared" si="4"/>
        <v>0</v>
      </c>
    </row>
    <row r="3630" ht="15.75" customHeight="1">
      <c r="A3630" s="14">
        <v>41606.0</v>
      </c>
      <c r="B3630" s="15"/>
      <c r="C3630" s="15">
        <v>3.71</v>
      </c>
      <c r="D3630" s="15"/>
      <c r="E3630" s="15"/>
      <c r="F3630" s="15" t="str">
        <f t="shared" si="1"/>
        <v/>
      </c>
      <c r="G3630" s="15">
        <f t="shared" si="2"/>
        <v>3.71</v>
      </c>
      <c r="H3630" s="16">
        <v>0.0</v>
      </c>
      <c r="I3630" s="15" t="str">
        <f t="shared" si="3"/>
        <v/>
      </c>
      <c r="J3630" s="15"/>
      <c r="K3630" s="16">
        <f>IF(COUNTIFS(Release_Calendar!$A$2:$A$755,"US_CPI",Release_Calendar!$B$2:$B$755,$A3630)&gt;0,1,0)</f>
        <v>0</v>
      </c>
      <c r="L3630" s="16">
        <f>IF(COUNTIFS(Release_Calendar!$A$2:$A$755,"US_NFP",Release_Calendar!$B$2:$B$755,$A3630)&gt;0,1,0)</f>
        <v>0</v>
      </c>
      <c r="M3630" s="16" t="str">
        <f>IF($A3630&lt;Notes!$B$5,"",IF(COUNTIFS(Release_Calendar!$A$2:$A$755,"NZ_CPI",Release_Calendar!$B$2:$B$755,$A3630)&gt;0,1,0))</f>
        <v/>
      </c>
      <c r="N3630" s="16" t="str">
        <f>IF($A3630&lt;Notes!$B$5,"",IF(COUNTIFS(Release_Calendar!$A$2:$A$755,"NZ_GDP",Release_Calendar!$B$2:$B$755,$A3630)&gt;0,1,0))</f>
        <v/>
      </c>
      <c r="O3630" s="16" t="str">
        <f>IF($A3630&lt;Notes!$B$5,"",IF(COUNTIFS(Release_Calendar!$A$2:$A$755,"NZ_LABOUR",Release_Calendar!$B$2:$B$755,$A3630)&gt;0,1,0))</f>
        <v/>
      </c>
      <c r="P3630" s="16">
        <f t="shared" si="4"/>
        <v>0</v>
      </c>
    </row>
    <row r="3631" ht="15.75" customHeight="1">
      <c r="A3631" s="14">
        <v>41607.0</v>
      </c>
      <c r="B3631" s="15">
        <v>0.28</v>
      </c>
      <c r="C3631" s="15">
        <v>3.69</v>
      </c>
      <c r="D3631" s="15"/>
      <c r="E3631" s="15"/>
      <c r="F3631" s="15">
        <f t="shared" si="1"/>
        <v>3.41</v>
      </c>
      <c r="G3631" s="15">
        <f t="shared" si="2"/>
        <v>3.69</v>
      </c>
      <c r="H3631" s="16">
        <v>0.0</v>
      </c>
      <c r="I3631" s="15">
        <f t="shared" si="3"/>
        <v>3.41</v>
      </c>
      <c r="J3631" s="15">
        <v>13.7</v>
      </c>
      <c r="K3631" s="16">
        <f>IF(COUNTIFS(Release_Calendar!$A$2:$A$755,"US_CPI",Release_Calendar!$B$2:$B$755,$A3631)&gt;0,1,0)</f>
        <v>0</v>
      </c>
      <c r="L3631" s="16">
        <f>IF(COUNTIFS(Release_Calendar!$A$2:$A$755,"US_NFP",Release_Calendar!$B$2:$B$755,$A3631)&gt;0,1,0)</f>
        <v>0</v>
      </c>
      <c r="M3631" s="16" t="str">
        <f>IF($A3631&lt;Notes!$B$5,"",IF(COUNTIFS(Release_Calendar!$A$2:$A$755,"NZ_CPI",Release_Calendar!$B$2:$B$755,$A3631)&gt;0,1,0))</f>
        <v/>
      </c>
      <c r="N3631" s="16" t="str">
        <f>IF($A3631&lt;Notes!$B$5,"",IF(COUNTIFS(Release_Calendar!$A$2:$A$755,"NZ_GDP",Release_Calendar!$B$2:$B$755,$A3631)&gt;0,1,0))</f>
        <v/>
      </c>
      <c r="O3631" s="16" t="str">
        <f>IF($A3631&lt;Notes!$B$5,"",IF(COUNTIFS(Release_Calendar!$A$2:$A$755,"NZ_LABOUR",Release_Calendar!$B$2:$B$755,$A3631)&gt;0,1,0))</f>
        <v/>
      </c>
      <c r="P3631" s="16">
        <f t="shared" si="4"/>
        <v>0</v>
      </c>
    </row>
    <row r="3632" ht="15.75" customHeight="1">
      <c r="A3632" s="14">
        <v>41610.0</v>
      </c>
      <c r="B3632" s="15">
        <v>0.3</v>
      </c>
      <c r="C3632" s="15">
        <v>3.69</v>
      </c>
      <c r="D3632" s="15"/>
      <c r="E3632" s="15"/>
      <c r="F3632" s="15">
        <f t="shared" si="1"/>
        <v>3.39</v>
      </c>
      <c r="G3632" s="15">
        <f t="shared" si="2"/>
        <v>3.69</v>
      </c>
      <c r="H3632" s="16">
        <v>0.0</v>
      </c>
      <c r="I3632" s="15">
        <f t="shared" si="3"/>
        <v>3.39</v>
      </c>
      <c r="J3632" s="15">
        <v>14.23</v>
      </c>
      <c r="K3632" s="16">
        <f>IF(COUNTIFS(Release_Calendar!$A$2:$A$755,"US_CPI",Release_Calendar!$B$2:$B$755,$A3632)&gt;0,1,0)</f>
        <v>0</v>
      </c>
      <c r="L3632" s="16">
        <f>IF(COUNTIFS(Release_Calendar!$A$2:$A$755,"US_NFP",Release_Calendar!$B$2:$B$755,$A3632)&gt;0,1,0)</f>
        <v>0</v>
      </c>
      <c r="M3632" s="16" t="str">
        <f>IF($A3632&lt;Notes!$B$5,"",IF(COUNTIFS(Release_Calendar!$A$2:$A$755,"NZ_CPI",Release_Calendar!$B$2:$B$755,$A3632)&gt;0,1,0))</f>
        <v/>
      </c>
      <c r="N3632" s="16" t="str">
        <f>IF($A3632&lt;Notes!$B$5,"",IF(COUNTIFS(Release_Calendar!$A$2:$A$755,"NZ_GDP",Release_Calendar!$B$2:$B$755,$A3632)&gt;0,1,0))</f>
        <v/>
      </c>
      <c r="O3632" s="16" t="str">
        <f>IF($A3632&lt;Notes!$B$5,"",IF(COUNTIFS(Release_Calendar!$A$2:$A$755,"NZ_LABOUR",Release_Calendar!$B$2:$B$755,$A3632)&gt;0,1,0))</f>
        <v/>
      </c>
      <c r="P3632" s="16">
        <f t="shared" si="4"/>
        <v>0</v>
      </c>
    </row>
    <row r="3633" ht="15.75" customHeight="1">
      <c r="A3633" s="14">
        <v>41611.0</v>
      </c>
      <c r="B3633" s="15">
        <v>0.28</v>
      </c>
      <c r="C3633" s="15">
        <v>3.71</v>
      </c>
      <c r="D3633" s="15"/>
      <c r="E3633" s="15"/>
      <c r="F3633" s="15">
        <f t="shared" si="1"/>
        <v>3.43</v>
      </c>
      <c r="G3633" s="15">
        <f t="shared" si="2"/>
        <v>3.71</v>
      </c>
      <c r="H3633" s="16">
        <v>0.0</v>
      </c>
      <c r="I3633" s="15">
        <f t="shared" si="3"/>
        <v>3.43</v>
      </c>
      <c r="J3633" s="15">
        <v>14.55</v>
      </c>
      <c r="K3633" s="16">
        <f>IF(COUNTIFS(Release_Calendar!$A$2:$A$755,"US_CPI",Release_Calendar!$B$2:$B$755,$A3633)&gt;0,1,0)</f>
        <v>0</v>
      </c>
      <c r="L3633" s="16">
        <f>IF(COUNTIFS(Release_Calendar!$A$2:$A$755,"US_NFP",Release_Calendar!$B$2:$B$755,$A3633)&gt;0,1,0)</f>
        <v>0</v>
      </c>
      <c r="M3633" s="16" t="str">
        <f>IF($A3633&lt;Notes!$B$5,"",IF(COUNTIFS(Release_Calendar!$A$2:$A$755,"NZ_CPI",Release_Calendar!$B$2:$B$755,$A3633)&gt;0,1,0))</f>
        <v/>
      </c>
      <c r="N3633" s="16" t="str">
        <f>IF($A3633&lt;Notes!$B$5,"",IF(COUNTIFS(Release_Calendar!$A$2:$A$755,"NZ_GDP",Release_Calendar!$B$2:$B$755,$A3633)&gt;0,1,0))</f>
        <v/>
      </c>
      <c r="O3633" s="16" t="str">
        <f>IF($A3633&lt;Notes!$B$5,"",IF(COUNTIFS(Release_Calendar!$A$2:$A$755,"NZ_LABOUR",Release_Calendar!$B$2:$B$755,$A3633)&gt;0,1,0))</f>
        <v/>
      </c>
      <c r="P3633" s="16">
        <f t="shared" si="4"/>
        <v>0</v>
      </c>
    </row>
    <row r="3634" ht="15.75" customHeight="1">
      <c r="A3634" s="14">
        <v>41612.0</v>
      </c>
      <c r="B3634" s="15">
        <v>0.3</v>
      </c>
      <c r="C3634" s="15">
        <v>3.73</v>
      </c>
      <c r="D3634" s="15"/>
      <c r="E3634" s="15"/>
      <c r="F3634" s="15">
        <f t="shared" si="1"/>
        <v>3.43</v>
      </c>
      <c r="G3634" s="15">
        <f t="shared" si="2"/>
        <v>3.73</v>
      </c>
      <c r="H3634" s="16">
        <v>0.0</v>
      </c>
      <c r="I3634" s="15">
        <f t="shared" si="3"/>
        <v>3.43</v>
      </c>
      <c r="J3634" s="15">
        <v>14.7</v>
      </c>
      <c r="K3634" s="16">
        <f>IF(COUNTIFS(Release_Calendar!$A$2:$A$755,"US_CPI",Release_Calendar!$B$2:$B$755,$A3634)&gt;0,1,0)</f>
        <v>0</v>
      </c>
      <c r="L3634" s="16">
        <f>IF(COUNTIFS(Release_Calendar!$A$2:$A$755,"US_NFP",Release_Calendar!$B$2:$B$755,$A3634)&gt;0,1,0)</f>
        <v>0</v>
      </c>
      <c r="M3634" s="16" t="str">
        <f>IF($A3634&lt;Notes!$B$5,"",IF(COUNTIFS(Release_Calendar!$A$2:$A$755,"NZ_CPI",Release_Calendar!$B$2:$B$755,$A3634)&gt;0,1,0))</f>
        <v/>
      </c>
      <c r="N3634" s="16" t="str">
        <f>IF($A3634&lt;Notes!$B$5,"",IF(COUNTIFS(Release_Calendar!$A$2:$A$755,"NZ_GDP",Release_Calendar!$B$2:$B$755,$A3634)&gt;0,1,0))</f>
        <v/>
      </c>
      <c r="O3634" s="16" t="str">
        <f>IF($A3634&lt;Notes!$B$5,"",IF(COUNTIFS(Release_Calendar!$A$2:$A$755,"NZ_LABOUR",Release_Calendar!$B$2:$B$755,$A3634)&gt;0,1,0))</f>
        <v/>
      </c>
      <c r="P3634" s="16">
        <f t="shared" si="4"/>
        <v>0</v>
      </c>
    </row>
    <row r="3635" ht="15.75" customHeight="1">
      <c r="A3635" s="14">
        <v>41613.0</v>
      </c>
      <c r="B3635" s="15">
        <v>0.3</v>
      </c>
      <c r="C3635" s="15">
        <v>3.77</v>
      </c>
      <c r="D3635" s="15"/>
      <c r="E3635" s="15"/>
      <c r="F3635" s="15">
        <f t="shared" si="1"/>
        <v>3.47</v>
      </c>
      <c r="G3635" s="15">
        <f t="shared" si="2"/>
        <v>3.77</v>
      </c>
      <c r="H3635" s="16">
        <v>0.0</v>
      </c>
      <c r="I3635" s="15">
        <f t="shared" si="3"/>
        <v>3.47</v>
      </c>
      <c r="J3635" s="15">
        <v>15.08</v>
      </c>
      <c r="K3635" s="16">
        <f>IF(COUNTIFS(Release_Calendar!$A$2:$A$755,"US_CPI",Release_Calendar!$B$2:$B$755,$A3635)&gt;0,1,0)</f>
        <v>0</v>
      </c>
      <c r="L3635" s="16">
        <f>IF(COUNTIFS(Release_Calendar!$A$2:$A$755,"US_NFP",Release_Calendar!$B$2:$B$755,$A3635)&gt;0,1,0)</f>
        <v>0</v>
      </c>
      <c r="M3635" s="16" t="str">
        <f>IF($A3635&lt;Notes!$B$5,"",IF(COUNTIFS(Release_Calendar!$A$2:$A$755,"NZ_CPI",Release_Calendar!$B$2:$B$755,$A3635)&gt;0,1,0))</f>
        <v/>
      </c>
      <c r="N3635" s="16" t="str">
        <f>IF($A3635&lt;Notes!$B$5,"",IF(COUNTIFS(Release_Calendar!$A$2:$A$755,"NZ_GDP",Release_Calendar!$B$2:$B$755,$A3635)&gt;0,1,0))</f>
        <v/>
      </c>
      <c r="O3635" s="16" t="str">
        <f>IF($A3635&lt;Notes!$B$5,"",IF(COUNTIFS(Release_Calendar!$A$2:$A$755,"NZ_LABOUR",Release_Calendar!$B$2:$B$755,$A3635)&gt;0,1,0))</f>
        <v/>
      </c>
      <c r="P3635" s="16">
        <f t="shared" si="4"/>
        <v>0</v>
      </c>
    </row>
    <row r="3636" ht="15.75" customHeight="1">
      <c r="A3636" s="14">
        <v>41614.0</v>
      </c>
      <c r="B3636" s="15">
        <v>0.3</v>
      </c>
      <c r="C3636" s="15">
        <v>3.74</v>
      </c>
      <c r="D3636" s="15"/>
      <c r="E3636" s="15"/>
      <c r="F3636" s="15">
        <f t="shared" si="1"/>
        <v>3.44</v>
      </c>
      <c r="G3636" s="15">
        <f t="shared" si="2"/>
        <v>3.74</v>
      </c>
      <c r="H3636" s="16">
        <v>0.0</v>
      </c>
      <c r="I3636" s="15">
        <f t="shared" si="3"/>
        <v>3.44</v>
      </c>
      <c r="J3636" s="15">
        <v>13.79</v>
      </c>
      <c r="K3636" s="16">
        <f>IF(COUNTIFS(Release_Calendar!$A$2:$A$755,"US_CPI",Release_Calendar!$B$2:$B$755,$A3636)&gt;0,1,0)</f>
        <v>0</v>
      </c>
      <c r="L3636" s="16">
        <f>IF(COUNTIFS(Release_Calendar!$A$2:$A$755,"US_NFP",Release_Calendar!$B$2:$B$755,$A3636)&gt;0,1,0)</f>
        <v>1</v>
      </c>
      <c r="M3636" s="16" t="str">
        <f>IF($A3636&lt;Notes!$B$5,"",IF(COUNTIFS(Release_Calendar!$A$2:$A$755,"NZ_CPI",Release_Calendar!$B$2:$B$755,$A3636)&gt;0,1,0))</f>
        <v/>
      </c>
      <c r="N3636" s="16" t="str">
        <f>IF($A3636&lt;Notes!$B$5,"",IF(COUNTIFS(Release_Calendar!$A$2:$A$755,"NZ_GDP",Release_Calendar!$B$2:$B$755,$A3636)&gt;0,1,0))</f>
        <v/>
      </c>
      <c r="O3636" s="16" t="str">
        <f>IF($A3636&lt;Notes!$B$5,"",IF(COUNTIFS(Release_Calendar!$A$2:$A$755,"NZ_LABOUR",Release_Calendar!$B$2:$B$755,$A3636)&gt;0,1,0))</f>
        <v/>
      </c>
      <c r="P3636" s="16">
        <f t="shared" si="4"/>
        <v>1</v>
      </c>
    </row>
    <row r="3637" ht="15.75" customHeight="1">
      <c r="A3637" s="14">
        <v>41617.0</v>
      </c>
      <c r="B3637" s="15">
        <v>0.3</v>
      </c>
      <c r="C3637" s="15">
        <v>3.72</v>
      </c>
      <c r="D3637" s="15"/>
      <c r="E3637" s="15"/>
      <c r="F3637" s="15">
        <f t="shared" si="1"/>
        <v>3.42</v>
      </c>
      <c r="G3637" s="15">
        <f t="shared" si="2"/>
        <v>3.72</v>
      </c>
      <c r="H3637" s="16">
        <v>0.0</v>
      </c>
      <c r="I3637" s="15">
        <f t="shared" si="3"/>
        <v>3.42</v>
      </c>
      <c r="J3637" s="15">
        <v>13.49</v>
      </c>
      <c r="K3637" s="16">
        <f>IF(COUNTIFS(Release_Calendar!$A$2:$A$755,"US_CPI",Release_Calendar!$B$2:$B$755,$A3637)&gt;0,1,0)</f>
        <v>0</v>
      </c>
      <c r="L3637" s="16">
        <f>IF(COUNTIFS(Release_Calendar!$A$2:$A$755,"US_NFP",Release_Calendar!$B$2:$B$755,$A3637)&gt;0,1,0)</f>
        <v>0</v>
      </c>
      <c r="M3637" s="16" t="str">
        <f>IF($A3637&lt;Notes!$B$5,"",IF(COUNTIFS(Release_Calendar!$A$2:$A$755,"NZ_CPI",Release_Calendar!$B$2:$B$755,$A3637)&gt;0,1,0))</f>
        <v/>
      </c>
      <c r="N3637" s="16" t="str">
        <f>IF($A3637&lt;Notes!$B$5,"",IF(COUNTIFS(Release_Calendar!$A$2:$A$755,"NZ_GDP",Release_Calendar!$B$2:$B$755,$A3637)&gt;0,1,0))</f>
        <v/>
      </c>
      <c r="O3637" s="16" t="str">
        <f>IF($A3637&lt;Notes!$B$5,"",IF(COUNTIFS(Release_Calendar!$A$2:$A$755,"NZ_LABOUR",Release_Calendar!$B$2:$B$755,$A3637)&gt;0,1,0))</f>
        <v/>
      </c>
      <c r="P3637" s="16">
        <f t="shared" si="4"/>
        <v>0</v>
      </c>
    </row>
    <row r="3638" ht="15.75" customHeight="1">
      <c r="A3638" s="14">
        <v>41618.0</v>
      </c>
      <c r="B3638" s="15">
        <v>0.3</v>
      </c>
      <c r="C3638" s="15">
        <v>3.73</v>
      </c>
      <c r="D3638" s="15"/>
      <c r="E3638" s="15"/>
      <c r="F3638" s="15">
        <f t="shared" si="1"/>
        <v>3.43</v>
      </c>
      <c r="G3638" s="15">
        <f t="shared" si="2"/>
        <v>3.73</v>
      </c>
      <c r="H3638" s="16">
        <v>0.0</v>
      </c>
      <c r="I3638" s="15">
        <f t="shared" si="3"/>
        <v>3.43</v>
      </c>
      <c r="J3638" s="15">
        <v>13.91</v>
      </c>
      <c r="K3638" s="16">
        <f>IF(COUNTIFS(Release_Calendar!$A$2:$A$755,"US_CPI",Release_Calendar!$B$2:$B$755,$A3638)&gt;0,1,0)</f>
        <v>0</v>
      </c>
      <c r="L3638" s="16">
        <f>IF(COUNTIFS(Release_Calendar!$A$2:$A$755,"US_NFP",Release_Calendar!$B$2:$B$755,$A3638)&gt;0,1,0)</f>
        <v>0</v>
      </c>
      <c r="M3638" s="16" t="str">
        <f>IF($A3638&lt;Notes!$B$5,"",IF(COUNTIFS(Release_Calendar!$A$2:$A$755,"NZ_CPI",Release_Calendar!$B$2:$B$755,$A3638)&gt;0,1,0))</f>
        <v/>
      </c>
      <c r="N3638" s="16" t="str">
        <f>IF($A3638&lt;Notes!$B$5,"",IF(COUNTIFS(Release_Calendar!$A$2:$A$755,"NZ_GDP",Release_Calendar!$B$2:$B$755,$A3638)&gt;0,1,0))</f>
        <v/>
      </c>
      <c r="O3638" s="16" t="str">
        <f>IF($A3638&lt;Notes!$B$5,"",IF(COUNTIFS(Release_Calendar!$A$2:$A$755,"NZ_LABOUR",Release_Calendar!$B$2:$B$755,$A3638)&gt;0,1,0))</f>
        <v/>
      </c>
      <c r="P3638" s="16">
        <f t="shared" si="4"/>
        <v>0</v>
      </c>
    </row>
    <row r="3639" ht="15.75" customHeight="1">
      <c r="A3639" s="14">
        <v>41619.0</v>
      </c>
      <c r="B3639" s="15">
        <v>0.31</v>
      </c>
      <c r="C3639" s="15">
        <v>3.72</v>
      </c>
      <c r="D3639" s="15"/>
      <c r="E3639" s="15"/>
      <c r="F3639" s="15">
        <f t="shared" si="1"/>
        <v>3.41</v>
      </c>
      <c r="G3639" s="15">
        <f t="shared" si="2"/>
        <v>3.72</v>
      </c>
      <c r="H3639" s="16">
        <v>0.0</v>
      </c>
      <c r="I3639" s="15">
        <f t="shared" si="3"/>
        <v>3.41</v>
      </c>
      <c r="J3639" s="15">
        <v>15.42</v>
      </c>
      <c r="K3639" s="16">
        <f>IF(COUNTIFS(Release_Calendar!$A$2:$A$755,"US_CPI",Release_Calendar!$B$2:$B$755,$A3639)&gt;0,1,0)</f>
        <v>0</v>
      </c>
      <c r="L3639" s="16">
        <f>IF(COUNTIFS(Release_Calendar!$A$2:$A$755,"US_NFP",Release_Calendar!$B$2:$B$755,$A3639)&gt;0,1,0)</f>
        <v>0</v>
      </c>
      <c r="M3639" s="16" t="str">
        <f>IF($A3639&lt;Notes!$B$5,"",IF(COUNTIFS(Release_Calendar!$A$2:$A$755,"NZ_CPI",Release_Calendar!$B$2:$B$755,$A3639)&gt;0,1,0))</f>
        <v/>
      </c>
      <c r="N3639" s="16" t="str">
        <f>IF($A3639&lt;Notes!$B$5,"",IF(COUNTIFS(Release_Calendar!$A$2:$A$755,"NZ_GDP",Release_Calendar!$B$2:$B$755,$A3639)&gt;0,1,0))</f>
        <v/>
      </c>
      <c r="O3639" s="16" t="str">
        <f>IF($A3639&lt;Notes!$B$5,"",IF(COUNTIFS(Release_Calendar!$A$2:$A$755,"NZ_LABOUR",Release_Calendar!$B$2:$B$755,$A3639)&gt;0,1,0))</f>
        <v/>
      </c>
      <c r="P3639" s="16">
        <f t="shared" si="4"/>
        <v>0</v>
      </c>
    </row>
    <row r="3640" ht="15.75" customHeight="1">
      <c r="A3640" s="14">
        <v>41620.0</v>
      </c>
      <c r="B3640" s="15">
        <v>0.34</v>
      </c>
      <c r="C3640" s="15">
        <v>3.75</v>
      </c>
      <c r="D3640" s="15"/>
      <c r="E3640" s="15"/>
      <c r="F3640" s="15">
        <f t="shared" si="1"/>
        <v>3.41</v>
      </c>
      <c r="G3640" s="15">
        <f t="shared" si="2"/>
        <v>3.75</v>
      </c>
      <c r="H3640" s="16">
        <v>0.0</v>
      </c>
      <c r="I3640" s="15">
        <f t="shared" si="3"/>
        <v>3.41</v>
      </c>
      <c r="J3640" s="15">
        <v>15.54</v>
      </c>
      <c r="K3640" s="16">
        <f>IF(COUNTIFS(Release_Calendar!$A$2:$A$755,"US_CPI",Release_Calendar!$B$2:$B$755,$A3640)&gt;0,1,0)</f>
        <v>0</v>
      </c>
      <c r="L3640" s="16">
        <f>IF(COUNTIFS(Release_Calendar!$A$2:$A$755,"US_NFP",Release_Calendar!$B$2:$B$755,$A3640)&gt;0,1,0)</f>
        <v>0</v>
      </c>
      <c r="M3640" s="16" t="str">
        <f>IF($A3640&lt;Notes!$B$5,"",IF(COUNTIFS(Release_Calendar!$A$2:$A$755,"NZ_CPI",Release_Calendar!$B$2:$B$755,$A3640)&gt;0,1,0))</f>
        <v/>
      </c>
      <c r="N3640" s="16" t="str">
        <f>IF($A3640&lt;Notes!$B$5,"",IF(COUNTIFS(Release_Calendar!$A$2:$A$755,"NZ_GDP",Release_Calendar!$B$2:$B$755,$A3640)&gt;0,1,0))</f>
        <v/>
      </c>
      <c r="O3640" s="16" t="str">
        <f>IF($A3640&lt;Notes!$B$5,"",IF(COUNTIFS(Release_Calendar!$A$2:$A$755,"NZ_LABOUR",Release_Calendar!$B$2:$B$755,$A3640)&gt;0,1,0))</f>
        <v/>
      </c>
      <c r="P3640" s="16">
        <f t="shared" si="4"/>
        <v>0</v>
      </c>
    </row>
    <row r="3641" ht="15.75" customHeight="1">
      <c r="A3641" s="14">
        <v>41621.0</v>
      </c>
      <c r="B3641" s="15">
        <v>0.34</v>
      </c>
      <c r="C3641" s="15">
        <v>3.77</v>
      </c>
      <c r="D3641" s="15"/>
      <c r="E3641" s="15"/>
      <c r="F3641" s="15">
        <f t="shared" si="1"/>
        <v>3.43</v>
      </c>
      <c r="G3641" s="15">
        <f t="shared" si="2"/>
        <v>3.77</v>
      </c>
      <c r="H3641" s="16">
        <v>0.0</v>
      </c>
      <c r="I3641" s="15">
        <f t="shared" si="3"/>
        <v>3.43</v>
      </c>
      <c r="J3641" s="15">
        <v>15.76</v>
      </c>
      <c r="K3641" s="16">
        <f>IF(COUNTIFS(Release_Calendar!$A$2:$A$755,"US_CPI",Release_Calendar!$B$2:$B$755,$A3641)&gt;0,1,0)</f>
        <v>0</v>
      </c>
      <c r="L3641" s="16">
        <f>IF(COUNTIFS(Release_Calendar!$A$2:$A$755,"US_NFP",Release_Calendar!$B$2:$B$755,$A3641)&gt;0,1,0)</f>
        <v>0</v>
      </c>
      <c r="M3641" s="16" t="str">
        <f>IF($A3641&lt;Notes!$B$5,"",IF(COUNTIFS(Release_Calendar!$A$2:$A$755,"NZ_CPI",Release_Calendar!$B$2:$B$755,$A3641)&gt;0,1,0))</f>
        <v/>
      </c>
      <c r="N3641" s="16" t="str">
        <f>IF($A3641&lt;Notes!$B$5,"",IF(COUNTIFS(Release_Calendar!$A$2:$A$755,"NZ_GDP",Release_Calendar!$B$2:$B$755,$A3641)&gt;0,1,0))</f>
        <v/>
      </c>
      <c r="O3641" s="16" t="str">
        <f>IF($A3641&lt;Notes!$B$5,"",IF(COUNTIFS(Release_Calendar!$A$2:$A$755,"NZ_LABOUR",Release_Calendar!$B$2:$B$755,$A3641)&gt;0,1,0))</f>
        <v/>
      </c>
      <c r="P3641" s="16">
        <f t="shared" si="4"/>
        <v>0</v>
      </c>
    </row>
    <row r="3642" ht="15.75" customHeight="1">
      <c r="A3642" s="14">
        <v>41624.0</v>
      </c>
      <c r="B3642" s="15">
        <v>0.34</v>
      </c>
      <c r="C3642" s="15">
        <v>3.76</v>
      </c>
      <c r="D3642" s="15"/>
      <c r="E3642" s="15"/>
      <c r="F3642" s="15">
        <f t="shared" si="1"/>
        <v>3.42</v>
      </c>
      <c r="G3642" s="15">
        <f t="shared" si="2"/>
        <v>3.76</v>
      </c>
      <c r="H3642" s="16">
        <v>0.0</v>
      </c>
      <c r="I3642" s="15">
        <f t="shared" si="3"/>
        <v>3.42</v>
      </c>
      <c r="J3642" s="15">
        <v>16.03</v>
      </c>
      <c r="K3642" s="16">
        <f>IF(COUNTIFS(Release_Calendar!$A$2:$A$755,"US_CPI",Release_Calendar!$B$2:$B$755,$A3642)&gt;0,1,0)</f>
        <v>0</v>
      </c>
      <c r="L3642" s="16">
        <f>IF(COUNTIFS(Release_Calendar!$A$2:$A$755,"US_NFP",Release_Calendar!$B$2:$B$755,$A3642)&gt;0,1,0)</f>
        <v>0</v>
      </c>
      <c r="M3642" s="16" t="str">
        <f>IF($A3642&lt;Notes!$B$5,"",IF(COUNTIFS(Release_Calendar!$A$2:$A$755,"NZ_CPI",Release_Calendar!$B$2:$B$755,$A3642)&gt;0,1,0))</f>
        <v/>
      </c>
      <c r="N3642" s="16" t="str">
        <f>IF($A3642&lt;Notes!$B$5,"",IF(COUNTIFS(Release_Calendar!$A$2:$A$755,"NZ_GDP",Release_Calendar!$B$2:$B$755,$A3642)&gt;0,1,0))</f>
        <v/>
      </c>
      <c r="O3642" s="16" t="str">
        <f>IF($A3642&lt;Notes!$B$5,"",IF(COUNTIFS(Release_Calendar!$A$2:$A$755,"NZ_LABOUR",Release_Calendar!$B$2:$B$755,$A3642)&gt;0,1,0))</f>
        <v/>
      </c>
      <c r="P3642" s="16">
        <f t="shared" si="4"/>
        <v>0</v>
      </c>
    </row>
    <row r="3643" ht="15.75" customHeight="1">
      <c r="A3643" s="14">
        <v>41625.0</v>
      </c>
      <c r="B3643" s="15">
        <v>0.34</v>
      </c>
      <c r="C3643" s="15">
        <v>3.78</v>
      </c>
      <c r="D3643" s="15"/>
      <c r="E3643" s="15"/>
      <c r="F3643" s="15">
        <f t="shared" si="1"/>
        <v>3.44</v>
      </c>
      <c r="G3643" s="15">
        <f t="shared" si="2"/>
        <v>3.78</v>
      </c>
      <c r="H3643" s="16">
        <v>0.0</v>
      </c>
      <c r="I3643" s="15">
        <f t="shared" si="3"/>
        <v>3.44</v>
      </c>
      <c r="J3643" s="15">
        <v>16.21</v>
      </c>
      <c r="K3643" s="16">
        <f>IF(COUNTIFS(Release_Calendar!$A$2:$A$755,"US_CPI",Release_Calendar!$B$2:$B$755,$A3643)&gt;0,1,0)</f>
        <v>1</v>
      </c>
      <c r="L3643" s="16">
        <f>IF(COUNTIFS(Release_Calendar!$A$2:$A$755,"US_NFP",Release_Calendar!$B$2:$B$755,$A3643)&gt;0,1,0)</f>
        <v>0</v>
      </c>
      <c r="M3643" s="16" t="str">
        <f>IF($A3643&lt;Notes!$B$5,"",IF(COUNTIFS(Release_Calendar!$A$2:$A$755,"NZ_CPI",Release_Calendar!$B$2:$B$755,$A3643)&gt;0,1,0))</f>
        <v/>
      </c>
      <c r="N3643" s="16" t="str">
        <f>IF($A3643&lt;Notes!$B$5,"",IF(COUNTIFS(Release_Calendar!$A$2:$A$755,"NZ_GDP",Release_Calendar!$B$2:$B$755,$A3643)&gt;0,1,0))</f>
        <v/>
      </c>
      <c r="O3643" s="16" t="str">
        <f>IF($A3643&lt;Notes!$B$5,"",IF(COUNTIFS(Release_Calendar!$A$2:$A$755,"NZ_LABOUR",Release_Calendar!$B$2:$B$755,$A3643)&gt;0,1,0))</f>
        <v/>
      </c>
      <c r="P3643" s="16">
        <f t="shared" si="4"/>
        <v>1</v>
      </c>
    </row>
    <row r="3644" ht="15.75" customHeight="1">
      <c r="A3644" s="14">
        <v>41626.0</v>
      </c>
      <c r="B3644" s="15">
        <v>0.32</v>
      </c>
      <c r="C3644" s="15">
        <v>3.78</v>
      </c>
      <c r="D3644" s="15"/>
      <c r="E3644" s="15"/>
      <c r="F3644" s="15">
        <f t="shared" si="1"/>
        <v>3.46</v>
      </c>
      <c r="G3644" s="15">
        <f t="shared" si="2"/>
        <v>3.78</v>
      </c>
      <c r="H3644" s="16">
        <v>0.0</v>
      </c>
      <c r="I3644" s="15">
        <f t="shared" si="3"/>
        <v>3.46</v>
      </c>
      <c r="J3644" s="15">
        <v>13.8</v>
      </c>
      <c r="K3644" s="16">
        <f>IF(COUNTIFS(Release_Calendar!$A$2:$A$755,"US_CPI",Release_Calendar!$B$2:$B$755,$A3644)&gt;0,1,0)</f>
        <v>0</v>
      </c>
      <c r="L3644" s="16">
        <f>IF(COUNTIFS(Release_Calendar!$A$2:$A$755,"US_NFP",Release_Calendar!$B$2:$B$755,$A3644)&gt;0,1,0)</f>
        <v>0</v>
      </c>
      <c r="M3644" s="16" t="str">
        <f>IF($A3644&lt;Notes!$B$5,"",IF(COUNTIFS(Release_Calendar!$A$2:$A$755,"NZ_CPI",Release_Calendar!$B$2:$B$755,$A3644)&gt;0,1,0))</f>
        <v/>
      </c>
      <c r="N3644" s="16" t="str">
        <f>IF($A3644&lt;Notes!$B$5,"",IF(COUNTIFS(Release_Calendar!$A$2:$A$755,"NZ_GDP",Release_Calendar!$B$2:$B$755,$A3644)&gt;0,1,0))</f>
        <v/>
      </c>
      <c r="O3644" s="16" t="str">
        <f>IF($A3644&lt;Notes!$B$5,"",IF(COUNTIFS(Release_Calendar!$A$2:$A$755,"NZ_LABOUR",Release_Calendar!$B$2:$B$755,$A3644)&gt;0,1,0))</f>
        <v/>
      </c>
      <c r="P3644" s="16">
        <f t="shared" si="4"/>
        <v>0</v>
      </c>
    </row>
    <row r="3645" ht="15.75" customHeight="1">
      <c r="A3645" s="14">
        <v>41627.0</v>
      </c>
      <c r="B3645" s="15">
        <v>0.35</v>
      </c>
      <c r="C3645" s="15">
        <v>3.83</v>
      </c>
      <c r="D3645" s="15"/>
      <c r="E3645" s="15"/>
      <c r="F3645" s="15">
        <f t="shared" si="1"/>
        <v>3.48</v>
      </c>
      <c r="G3645" s="15">
        <f t="shared" si="2"/>
        <v>3.83</v>
      </c>
      <c r="H3645" s="16">
        <v>0.0</v>
      </c>
      <c r="I3645" s="15">
        <f t="shared" si="3"/>
        <v>3.48</v>
      </c>
      <c r="J3645" s="15">
        <v>14.15</v>
      </c>
      <c r="K3645" s="16">
        <f>IF(COUNTIFS(Release_Calendar!$A$2:$A$755,"US_CPI",Release_Calendar!$B$2:$B$755,$A3645)&gt;0,1,0)</f>
        <v>0</v>
      </c>
      <c r="L3645" s="16">
        <f>IF(COUNTIFS(Release_Calendar!$A$2:$A$755,"US_NFP",Release_Calendar!$B$2:$B$755,$A3645)&gt;0,1,0)</f>
        <v>0</v>
      </c>
      <c r="M3645" s="16" t="str">
        <f>IF($A3645&lt;Notes!$B$5,"",IF(COUNTIFS(Release_Calendar!$A$2:$A$755,"NZ_CPI",Release_Calendar!$B$2:$B$755,$A3645)&gt;0,1,0))</f>
        <v/>
      </c>
      <c r="N3645" s="16" t="str">
        <f>IF($A3645&lt;Notes!$B$5,"",IF(COUNTIFS(Release_Calendar!$A$2:$A$755,"NZ_GDP",Release_Calendar!$B$2:$B$755,$A3645)&gt;0,1,0))</f>
        <v/>
      </c>
      <c r="O3645" s="16" t="str">
        <f>IF($A3645&lt;Notes!$B$5,"",IF(COUNTIFS(Release_Calendar!$A$2:$A$755,"NZ_LABOUR",Release_Calendar!$B$2:$B$755,$A3645)&gt;0,1,0))</f>
        <v/>
      </c>
      <c r="P3645" s="16">
        <f t="shared" si="4"/>
        <v>0</v>
      </c>
    </row>
    <row r="3646" ht="15.75" customHeight="1">
      <c r="A3646" s="14">
        <v>41628.0</v>
      </c>
      <c r="B3646" s="15">
        <v>0.37</v>
      </c>
      <c r="C3646" s="15">
        <v>3.81</v>
      </c>
      <c r="D3646" s="15"/>
      <c r="E3646" s="15"/>
      <c r="F3646" s="15">
        <f t="shared" si="1"/>
        <v>3.44</v>
      </c>
      <c r="G3646" s="15">
        <f t="shared" si="2"/>
        <v>3.81</v>
      </c>
      <c r="H3646" s="16">
        <v>0.0</v>
      </c>
      <c r="I3646" s="15">
        <f t="shared" si="3"/>
        <v>3.44</v>
      </c>
      <c r="J3646" s="15">
        <v>13.79</v>
      </c>
      <c r="K3646" s="16">
        <f>IF(COUNTIFS(Release_Calendar!$A$2:$A$755,"US_CPI",Release_Calendar!$B$2:$B$755,$A3646)&gt;0,1,0)</f>
        <v>0</v>
      </c>
      <c r="L3646" s="16">
        <f>IF(COUNTIFS(Release_Calendar!$A$2:$A$755,"US_NFP",Release_Calendar!$B$2:$B$755,$A3646)&gt;0,1,0)</f>
        <v>0</v>
      </c>
      <c r="M3646" s="16" t="str">
        <f>IF($A3646&lt;Notes!$B$5,"",IF(COUNTIFS(Release_Calendar!$A$2:$A$755,"NZ_CPI",Release_Calendar!$B$2:$B$755,$A3646)&gt;0,1,0))</f>
        <v/>
      </c>
      <c r="N3646" s="16" t="str">
        <f>IF($A3646&lt;Notes!$B$5,"",IF(COUNTIFS(Release_Calendar!$A$2:$A$755,"NZ_GDP",Release_Calendar!$B$2:$B$755,$A3646)&gt;0,1,0))</f>
        <v/>
      </c>
      <c r="O3646" s="16" t="str">
        <f>IF($A3646&lt;Notes!$B$5,"",IF(COUNTIFS(Release_Calendar!$A$2:$A$755,"NZ_LABOUR",Release_Calendar!$B$2:$B$755,$A3646)&gt;0,1,0))</f>
        <v/>
      </c>
      <c r="P3646" s="16">
        <f t="shared" si="4"/>
        <v>0</v>
      </c>
    </row>
    <row r="3647" ht="15.75" customHeight="1">
      <c r="A3647" s="14">
        <v>41631.0</v>
      </c>
      <c r="B3647" s="15">
        <v>0.38</v>
      </c>
      <c r="C3647" s="15">
        <v>3.82</v>
      </c>
      <c r="D3647" s="15"/>
      <c r="E3647" s="15"/>
      <c r="F3647" s="15">
        <f t="shared" si="1"/>
        <v>3.44</v>
      </c>
      <c r="G3647" s="15">
        <f t="shared" si="2"/>
        <v>3.82</v>
      </c>
      <c r="H3647" s="16">
        <v>0.0</v>
      </c>
      <c r="I3647" s="15">
        <f t="shared" si="3"/>
        <v>3.44</v>
      </c>
      <c r="J3647" s="15">
        <v>13.04</v>
      </c>
      <c r="K3647" s="16">
        <f>IF(COUNTIFS(Release_Calendar!$A$2:$A$755,"US_CPI",Release_Calendar!$B$2:$B$755,$A3647)&gt;0,1,0)</f>
        <v>0</v>
      </c>
      <c r="L3647" s="16">
        <f>IF(COUNTIFS(Release_Calendar!$A$2:$A$755,"US_NFP",Release_Calendar!$B$2:$B$755,$A3647)&gt;0,1,0)</f>
        <v>0</v>
      </c>
      <c r="M3647" s="16" t="str">
        <f>IF($A3647&lt;Notes!$B$5,"",IF(COUNTIFS(Release_Calendar!$A$2:$A$755,"NZ_CPI",Release_Calendar!$B$2:$B$755,$A3647)&gt;0,1,0))</f>
        <v/>
      </c>
      <c r="N3647" s="16" t="str">
        <f>IF($A3647&lt;Notes!$B$5,"",IF(COUNTIFS(Release_Calendar!$A$2:$A$755,"NZ_GDP",Release_Calendar!$B$2:$B$755,$A3647)&gt;0,1,0))</f>
        <v/>
      </c>
      <c r="O3647" s="16" t="str">
        <f>IF($A3647&lt;Notes!$B$5,"",IF(COUNTIFS(Release_Calendar!$A$2:$A$755,"NZ_LABOUR",Release_Calendar!$B$2:$B$755,$A3647)&gt;0,1,0))</f>
        <v/>
      </c>
      <c r="P3647" s="16">
        <f t="shared" si="4"/>
        <v>0</v>
      </c>
    </row>
    <row r="3648" ht="15.75" customHeight="1">
      <c r="A3648" s="14">
        <v>41632.0</v>
      </c>
      <c r="B3648" s="15">
        <v>0.38</v>
      </c>
      <c r="C3648" s="15">
        <v>3.83</v>
      </c>
      <c r="D3648" s="15"/>
      <c r="E3648" s="15"/>
      <c r="F3648" s="15">
        <f t="shared" si="1"/>
        <v>3.45</v>
      </c>
      <c r="G3648" s="15">
        <f t="shared" si="2"/>
        <v>3.83</v>
      </c>
      <c r="H3648" s="16">
        <v>0.0</v>
      </c>
      <c r="I3648" s="15">
        <f t="shared" si="3"/>
        <v>3.45</v>
      </c>
      <c r="J3648" s="15">
        <v>12.48</v>
      </c>
      <c r="K3648" s="16">
        <f>IF(COUNTIFS(Release_Calendar!$A$2:$A$755,"US_CPI",Release_Calendar!$B$2:$B$755,$A3648)&gt;0,1,0)</f>
        <v>0</v>
      </c>
      <c r="L3648" s="16">
        <f>IF(COUNTIFS(Release_Calendar!$A$2:$A$755,"US_NFP",Release_Calendar!$B$2:$B$755,$A3648)&gt;0,1,0)</f>
        <v>0</v>
      </c>
      <c r="M3648" s="16" t="str">
        <f>IF($A3648&lt;Notes!$B$5,"",IF(COUNTIFS(Release_Calendar!$A$2:$A$755,"NZ_CPI",Release_Calendar!$B$2:$B$755,$A3648)&gt;0,1,0))</f>
        <v/>
      </c>
      <c r="N3648" s="16" t="str">
        <f>IF($A3648&lt;Notes!$B$5,"",IF(COUNTIFS(Release_Calendar!$A$2:$A$755,"NZ_GDP",Release_Calendar!$B$2:$B$755,$A3648)&gt;0,1,0))</f>
        <v/>
      </c>
      <c r="O3648" s="16" t="str">
        <f>IF($A3648&lt;Notes!$B$5,"",IF(COUNTIFS(Release_Calendar!$A$2:$A$755,"NZ_LABOUR",Release_Calendar!$B$2:$B$755,$A3648)&gt;0,1,0))</f>
        <v/>
      </c>
      <c r="P3648" s="16">
        <f t="shared" si="4"/>
        <v>0</v>
      </c>
    </row>
    <row r="3649" ht="15.75" customHeight="1">
      <c r="A3649" s="14">
        <v>41633.0</v>
      </c>
      <c r="B3649" s="15"/>
      <c r="C3649" s="15"/>
      <c r="D3649" s="15"/>
      <c r="E3649" s="15"/>
      <c r="F3649" s="15" t="str">
        <f t="shared" si="1"/>
        <v/>
      </c>
      <c r="G3649" s="15" t="str">
        <f t="shared" si="2"/>
        <v/>
      </c>
      <c r="H3649" s="16">
        <v>0.0</v>
      </c>
      <c r="I3649" s="15" t="str">
        <f t="shared" si="3"/>
        <v/>
      </c>
      <c r="J3649" s="15"/>
      <c r="K3649" s="16">
        <f>IF(COUNTIFS(Release_Calendar!$A$2:$A$755,"US_CPI",Release_Calendar!$B$2:$B$755,$A3649)&gt;0,1,0)</f>
        <v>0</v>
      </c>
      <c r="L3649" s="16">
        <f>IF(COUNTIFS(Release_Calendar!$A$2:$A$755,"US_NFP",Release_Calendar!$B$2:$B$755,$A3649)&gt;0,1,0)</f>
        <v>0</v>
      </c>
      <c r="M3649" s="16" t="str">
        <f>IF($A3649&lt;Notes!$B$5,"",IF(COUNTIFS(Release_Calendar!$A$2:$A$755,"NZ_CPI",Release_Calendar!$B$2:$B$755,$A3649)&gt;0,1,0))</f>
        <v/>
      </c>
      <c r="N3649" s="16" t="str">
        <f>IF($A3649&lt;Notes!$B$5,"",IF(COUNTIFS(Release_Calendar!$A$2:$A$755,"NZ_GDP",Release_Calendar!$B$2:$B$755,$A3649)&gt;0,1,0))</f>
        <v/>
      </c>
      <c r="O3649" s="16" t="str">
        <f>IF($A3649&lt;Notes!$B$5,"",IF(COUNTIFS(Release_Calendar!$A$2:$A$755,"NZ_LABOUR",Release_Calendar!$B$2:$B$755,$A3649)&gt;0,1,0))</f>
        <v/>
      </c>
      <c r="P3649" s="16">
        <f t="shared" si="4"/>
        <v>0</v>
      </c>
    </row>
    <row r="3650" ht="15.75" customHeight="1">
      <c r="A3650" s="14">
        <v>41634.0</v>
      </c>
      <c r="B3650" s="15">
        <v>0.42</v>
      </c>
      <c r="C3650" s="15"/>
      <c r="D3650" s="15"/>
      <c r="E3650" s="15"/>
      <c r="F3650" s="15" t="str">
        <f t="shared" si="1"/>
        <v/>
      </c>
      <c r="G3650" s="15" t="str">
        <f t="shared" si="2"/>
        <v/>
      </c>
      <c r="H3650" s="16">
        <v>0.0</v>
      </c>
      <c r="I3650" s="15" t="str">
        <f t="shared" si="3"/>
        <v/>
      </c>
      <c r="J3650" s="15">
        <v>12.33</v>
      </c>
      <c r="K3650" s="16">
        <f>IF(COUNTIFS(Release_Calendar!$A$2:$A$755,"US_CPI",Release_Calendar!$B$2:$B$755,$A3650)&gt;0,1,0)</f>
        <v>0</v>
      </c>
      <c r="L3650" s="16">
        <f>IF(COUNTIFS(Release_Calendar!$A$2:$A$755,"US_NFP",Release_Calendar!$B$2:$B$755,$A3650)&gt;0,1,0)</f>
        <v>0</v>
      </c>
      <c r="M3650" s="16" t="str">
        <f>IF($A3650&lt;Notes!$B$5,"",IF(COUNTIFS(Release_Calendar!$A$2:$A$755,"NZ_CPI",Release_Calendar!$B$2:$B$755,$A3650)&gt;0,1,0))</f>
        <v/>
      </c>
      <c r="N3650" s="16" t="str">
        <f>IF($A3650&lt;Notes!$B$5,"",IF(COUNTIFS(Release_Calendar!$A$2:$A$755,"NZ_GDP",Release_Calendar!$B$2:$B$755,$A3650)&gt;0,1,0))</f>
        <v/>
      </c>
      <c r="O3650" s="16" t="str">
        <f>IF($A3650&lt;Notes!$B$5,"",IF(COUNTIFS(Release_Calendar!$A$2:$A$755,"NZ_LABOUR",Release_Calendar!$B$2:$B$755,$A3650)&gt;0,1,0))</f>
        <v/>
      </c>
      <c r="P3650" s="16">
        <f t="shared" si="4"/>
        <v>0</v>
      </c>
    </row>
    <row r="3651" ht="15.75" customHeight="1">
      <c r="A3651" s="14">
        <v>41635.0</v>
      </c>
      <c r="B3651" s="15">
        <v>0.4</v>
      </c>
      <c r="C3651" s="15">
        <v>3.84</v>
      </c>
      <c r="D3651" s="15"/>
      <c r="E3651" s="15"/>
      <c r="F3651" s="15">
        <f t="shared" si="1"/>
        <v>3.44</v>
      </c>
      <c r="G3651" s="15">
        <f t="shared" si="2"/>
        <v>3.84</v>
      </c>
      <c r="H3651" s="16">
        <v>0.0</v>
      </c>
      <c r="I3651" s="15">
        <f t="shared" si="3"/>
        <v>3.44</v>
      </c>
      <c r="J3651" s="15">
        <v>12.46</v>
      </c>
      <c r="K3651" s="16">
        <f>IF(COUNTIFS(Release_Calendar!$A$2:$A$755,"US_CPI",Release_Calendar!$B$2:$B$755,$A3651)&gt;0,1,0)</f>
        <v>0</v>
      </c>
      <c r="L3651" s="16">
        <f>IF(COUNTIFS(Release_Calendar!$A$2:$A$755,"US_NFP",Release_Calendar!$B$2:$B$755,$A3651)&gt;0,1,0)</f>
        <v>0</v>
      </c>
      <c r="M3651" s="16" t="str">
        <f>IF($A3651&lt;Notes!$B$5,"",IF(COUNTIFS(Release_Calendar!$A$2:$A$755,"NZ_CPI",Release_Calendar!$B$2:$B$755,$A3651)&gt;0,1,0))</f>
        <v/>
      </c>
      <c r="N3651" s="16" t="str">
        <f>IF($A3651&lt;Notes!$B$5,"",IF(COUNTIFS(Release_Calendar!$A$2:$A$755,"NZ_GDP",Release_Calendar!$B$2:$B$755,$A3651)&gt;0,1,0))</f>
        <v/>
      </c>
      <c r="O3651" s="16" t="str">
        <f>IF($A3651&lt;Notes!$B$5,"",IF(COUNTIFS(Release_Calendar!$A$2:$A$755,"NZ_LABOUR",Release_Calendar!$B$2:$B$755,$A3651)&gt;0,1,0))</f>
        <v/>
      </c>
      <c r="P3651" s="16">
        <f t="shared" si="4"/>
        <v>0</v>
      </c>
    </row>
    <row r="3652" ht="15.75" customHeight="1">
      <c r="A3652" s="14">
        <v>41638.0</v>
      </c>
      <c r="B3652" s="15">
        <v>0.39</v>
      </c>
      <c r="C3652" s="15">
        <v>3.85</v>
      </c>
      <c r="D3652" s="15"/>
      <c r="E3652" s="15"/>
      <c r="F3652" s="15">
        <f t="shared" si="1"/>
        <v>3.46</v>
      </c>
      <c r="G3652" s="15">
        <f t="shared" si="2"/>
        <v>3.85</v>
      </c>
      <c r="H3652" s="16">
        <v>0.0</v>
      </c>
      <c r="I3652" s="15">
        <f t="shared" si="3"/>
        <v>3.46</v>
      </c>
      <c r="J3652" s="15">
        <v>13.56</v>
      </c>
      <c r="K3652" s="16">
        <f>IF(COUNTIFS(Release_Calendar!$A$2:$A$755,"US_CPI",Release_Calendar!$B$2:$B$755,$A3652)&gt;0,1,0)</f>
        <v>0</v>
      </c>
      <c r="L3652" s="16">
        <f>IF(COUNTIFS(Release_Calendar!$A$2:$A$755,"US_NFP",Release_Calendar!$B$2:$B$755,$A3652)&gt;0,1,0)</f>
        <v>0</v>
      </c>
      <c r="M3652" s="16" t="str">
        <f>IF($A3652&lt;Notes!$B$5,"",IF(COUNTIFS(Release_Calendar!$A$2:$A$755,"NZ_CPI",Release_Calendar!$B$2:$B$755,$A3652)&gt;0,1,0))</f>
        <v/>
      </c>
      <c r="N3652" s="16" t="str">
        <f>IF($A3652&lt;Notes!$B$5,"",IF(COUNTIFS(Release_Calendar!$A$2:$A$755,"NZ_GDP",Release_Calendar!$B$2:$B$755,$A3652)&gt;0,1,0))</f>
        <v/>
      </c>
      <c r="O3652" s="16" t="str">
        <f>IF($A3652&lt;Notes!$B$5,"",IF(COUNTIFS(Release_Calendar!$A$2:$A$755,"NZ_LABOUR",Release_Calendar!$B$2:$B$755,$A3652)&gt;0,1,0))</f>
        <v/>
      </c>
      <c r="P3652" s="16">
        <f t="shared" si="4"/>
        <v>0</v>
      </c>
    </row>
    <row r="3653" ht="15.75" customHeight="1">
      <c r="A3653" s="14">
        <v>41639.0</v>
      </c>
      <c r="B3653" s="15">
        <v>0.38</v>
      </c>
      <c r="C3653" s="15">
        <v>3.85</v>
      </c>
      <c r="D3653" s="15"/>
      <c r="E3653" s="15"/>
      <c r="F3653" s="15">
        <f t="shared" si="1"/>
        <v>3.47</v>
      </c>
      <c r="G3653" s="15">
        <f t="shared" si="2"/>
        <v>3.85</v>
      </c>
      <c r="H3653" s="16">
        <v>0.0</v>
      </c>
      <c r="I3653" s="15">
        <f t="shared" si="3"/>
        <v>3.47</v>
      </c>
      <c r="J3653" s="15">
        <v>13.72</v>
      </c>
      <c r="K3653" s="16">
        <f>IF(COUNTIFS(Release_Calendar!$A$2:$A$755,"US_CPI",Release_Calendar!$B$2:$B$755,$A3653)&gt;0,1,0)</f>
        <v>0</v>
      </c>
      <c r="L3653" s="16">
        <f>IF(COUNTIFS(Release_Calendar!$A$2:$A$755,"US_NFP",Release_Calendar!$B$2:$B$755,$A3653)&gt;0,1,0)</f>
        <v>0</v>
      </c>
      <c r="M3653" s="16" t="str">
        <f>IF($A3653&lt;Notes!$B$5,"",IF(COUNTIFS(Release_Calendar!$A$2:$A$755,"NZ_CPI",Release_Calendar!$B$2:$B$755,$A3653)&gt;0,1,0))</f>
        <v/>
      </c>
      <c r="N3653" s="16" t="str">
        <f>IF($A3653&lt;Notes!$B$5,"",IF(COUNTIFS(Release_Calendar!$A$2:$A$755,"NZ_GDP",Release_Calendar!$B$2:$B$755,$A3653)&gt;0,1,0))</f>
        <v/>
      </c>
      <c r="O3653" s="16" t="str">
        <f>IF($A3653&lt;Notes!$B$5,"",IF(COUNTIFS(Release_Calendar!$A$2:$A$755,"NZ_LABOUR",Release_Calendar!$B$2:$B$755,$A3653)&gt;0,1,0))</f>
        <v/>
      </c>
      <c r="P3653" s="16">
        <f t="shared" si="4"/>
        <v>0</v>
      </c>
    </row>
    <row r="3654" ht="15.75" customHeight="1">
      <c r="A3654" s="14">
        <v>41640.0</v>
      </c>
      <c r="B3654" s="15"/>
      <c r="C3654" s="15"/>
      <c r="D3654" s="15"/>
      <c r="E3654" s="15"/>
      <c r="F3654" s="15" t="str">
        <f t="shared" si="1"/>
        <v/>
      </c>
      <c r="G3654" s="15" t="str">
        <f t="shared" si="2"/>
        <v/>
      </c>
      <c r="H3654" s="16">
        <v>0.0</v>
      </c>
      <c r="I3654" s="15" t="str">
        <f t="shared" si="3"/>
        <v/>
      </c>
      <c r="J3654" s="15"/>
      <c r="K3654" s="16">
        <f>IF(COUNTIFS(Release_Calendar!$A$2:$A$755,"US_CPI",Release_Calendar!$B$2:$B$755,$A3654)&gt;0,1,0)</f>
        <v>0</v>
      </c>
      <c r="L3654" s="16">
        <f>IF(COUNTIFS(Release_Calendar!$A$2:$A$755,"US_NFP",Release_Calendar!$B$2:$B$755,$A3654)&gt;0,1,0)</f>
        <v>0</v>
      </c>
      <c r="M3654" s="16" t="str">
        <f>IF($A3654&lt;Notes!$B$5,"",IF(COUNTIFS(Release_Calendar!$A$2:$A$755,"NZ_CPI",Release_Calendar!$B$2:$B$755,$A3654)&gt;0,1,0))</f>
        <v/>
      </c>
      <c r="N3654" s="16" t="str">
        <f>IF($A3654&lt;Notes!$B$5,"",IF(COUNTIFS(Release_Calendar!$A$2:$A$755,"NZ_GDP",Release_Calendar!$B$2:$B$755,$A3654)&gt;0,1,0))</f>
        <v/>
      </c>
      <c r="O3654" s="16" t="str">
        <f>IF($A3654&lt;Notes!$B$5,"",IF(COUNTIFS(Release_Calendar!$A$2:$A$755,"NZ_LABOUR",Release_Calendar!$B$2:$B$755,$A3654)&gt;0,1,0))</f>
        <v/>
      </c>
      <c r="P3654" s="16">
        <f t="shared" si="4"/>
        <v>0</v>
      </c>
    </row>
    <row r="3655" ht="15.75" customHeight="1">
      <c r="A3655" s="14">
        <v>41641.0</v>
      </c>
      <c r="B3655" s="15">
        <v>0.39</v>
      </c>
      <c r="C3655" s="15"/>
      <c r="D3655" s="15"/>
      <c r="E3655" s="15"/>
      <c r="F3655" s="15" t="str">
        <f t="shared" si="1"/>
        <v/>
      </c>
      <c r="G3655" s="15" t="str">
        <f t="shared" si="2"/>
        <v/>
      </c>
      <c r="H3655" s="16">
        <v>0.0</v>
      </c>
      <c r="I3655" s="15" t="str">
        <f t="shared" si="3"/>
        <v/>
      </c>
      <c r="J3655" s="15">
        <v>14.23</v>
      </c>
      <c r="K3655" s="16">
        <f>IF(COUNTIFS(Release_Calendar!$A$2:$A$755,"US_CPI",Release_Calendar!$B$2:$B$755,$A3655)&gt;0,1,0)</f>
        <v>0</v>
      </c>
      <c r="L3655" s="16">
        <f>IF(COUNTIFS(Release_Calendar!$A$2:$A$755,"US_NFP",Release_Calendar!$B$2:$B$755,$A3655)&gt;0,1,0)</f>
        <v>0</v>
      </c>
      <c r="M3655" s="16" t="str">
        <f>IF($A3655&lt;Notes!$B$5,"",IF(COUNTIFS(Release_Calendar!$A$2:$A$755,"NZ_CPI",Release_Calendar!$B$2:$B$755,$A3655)&gt;0,1,0))</f>
        <v/>
      </c>
      <c r="N3655" s="16" t="str">
        <f>IF($A3655&lt;Notes!$B$5,"",IF(COUNTIFS(Release_Calendar!$A$2:$A$755,"NZ_GDP",Release_Calendar!$B$2:$B$755,$A3655)&gt;0,1,0))</f>
        <v/>
      </c>
      <c r="O3655" s="16" t="str">
        <f>IF($A3655&lt;Notes!$B$5,"",IF(COUNTIFS(Release_Calendar!$A$2:$A$755,"NZ_LABOUR",Release_Calendar!$B$2:$B$755,$A3655)&gt;0,1,0))</f>
        <v/>
      </c>
      <c r="P3655" s="16">
        <f t="shared" si="4"/>
        <v>0</v>
      </c>
    </row>
    <row r="3656" ht="15.75" customHeight="1">
      <c r="A3656" s="14">
        <v>41642.0</v>
      </c>
      <c r="B3656" s="15">
        <v>0.41</v>
      </c>
      <c r="C3656" s="15">
        <v>3.87</v>
      </c>
      <c r="D3656" s="15"/>
      <c r="E3656" s="15"/>
      <c r="F3656" s="15">
        <f t="shared" si="1"/>
        <v>3.46</v>
      </c>
      <c r="G3656" s="15">
        <f t="shared" si="2"/>
        <v>3.87</v>
      </c>
      <c r="H3656" s="16">
        <v>0.0</v>
      </c>
      <c r="I3656" s="15">
        <f t="shared" si="3"/>
        <v>3.46</v>
      </c>
      <c r="J3656" s="15">
        <v>13.76</v>
      </c>
      <c r="K3656" s="16">
        <f>IF(COUNTIFS(Release_Calendar!$A$2:$A$755,"US_CPI",Release_Calendar!$B$2:$B$755,$A3656)&gt;0,1,0)</f>
        <v>0</v>
      </c>
      <c r="L3656" s="16">
        <f>IF(COUNTIFS(Release_Calendar!$A$2:$A$755,"US_NFP",Release_Calendar!$B$2:$B$755,$A3656)&gt;0,1,0)</f>
        <v>0</v>
      </c>
      <c r="M3656" s="16" t="str">
        <f>IF($A3656&lt;Notes!$B$5,"",IF(COUNTIFS(Release_Calendar!$A$2:$A$755,"NZ_CPI",Release_Calendar!$B$2:$B$755,$A3656)&gt;0,1,0))</f>
        <v/>
      </c>
      <c r="N3656" s="16" t="str">
        <f>IF($A3656&lt;Notes!$B$5,"",IF(COUNTIFS(Release_Calendar!$A$2:$A$755,"NZ_GDP",Release_Calendar!$B$2:$B$755,$A3656)&gt;0,1,0))</f>
        <v/>
      </c>
      <c r="O3656" s="16" t="str">
        <f>IF($A3656&lt;Notes!$B$5,"",IF(COUNTIFS(Release_Calendar!$A$2:$A$755,"NZ_LABOUR",Release_Calendar!$B$2:$B$755,$A3656)&gt;0,1,0))</f>
        <v/>
      </c>
      <c r="P3656" s="16">
        <f t="shared" si="4"/>
        <v>0</v>
      </c>
    </row>
    <row r="3657" ht="15.75" customHeight="1">
      <c r="A3657" s="14">
        <v>41645.0</v>
      </c>
      <c r="B3657" s="15">
        <v>0.4</v>
      </c>
      <c r="C3657" s="15">
        <v>3.85</v>
      </c>
      <c r="D3657" s="15"/>
      <c r="E3657" s="15"/>
      <c r="F3657" s="15">
        <f t="shared" si="1"/>
        <v>3.45</v>
      </c>
      <c r="G3657" s="15">
        <f t="shared" si="2"/>
        <v>3.85</v>
      </c>
      <c r="H3657" s="16">
        <v>0.0</v>
      </c>
      <c r="I3657" s="15">
        <f t="shared" si="3"/>
        <v>3.45</v>
      </c>
      <c r="J3657" s="15">
        <v>13.55</v>
      </c>
      <c r="K3657" s="16">
        <f>IF(COUNTIFS(Release_Calendar!$A$2:$A$755,"US_CPI",Release_Calendar!$B$2:$B$755,$A3657)&gt;0,1,0)</f>
        <v>0</v>
      </c>
      <c r="L3657" s="16">
        <f>IF(COUNTIFS(Release_Calendar!$A$2:$A$755,"US_NFP",Release_Calendar!$B$2:$B$755,$A3657)&gt;0,1,0)</f>
        <v>0</v>
      </c>
      <c r="M3657" s="16" t="str">
        <f>IF($A3657&lt;Notes!$B$5,"",IF(COUNTIFS(Release_Calendar!$A$2:$A$755,"NZ_CPI",Release_Calendar!$B$2:$B$755,$A3657)&gt;0,1,0))</f>
        <v/>
      </c>
      <c r="N3657" s="16" t="str">
        <f>IF($A3657&lt;Notes!$B$5,"",IF(COUNTIFS(Release_Calendar!$A$2:$A$755,"NZ_GDP",Release_Calendar!$B$2:$B$755,$A3657)&gt;0,1,0))</f>
        <v/>
      </c>
      <c r="O3657" s="16" t="str">
        <f>IF($A3657&lt;Notes!$B$5,"",IF(COUNTIFS(Release_Calendar!$A$2:$A$755,"NZ_LABOUR",Release_Calendar!$B$2:$B$755,$A3657)&gt;0,1,0))</f>
        <v/>
      </c>
      <c r="P3657" s="16">
        <f t="shared" si="4"/>
        <v>0</v>
      </c>
    </row>
    <row r="3658" ht="15.75" customHeight="1">
      <c r="A3658" s="14">
        <v>41646.0</v>
      </c>
      <c r="B3658" s="15">
        <v>0.4</v>
      </c>
      <c r="C3658" s="15">
        <v>3.83</v>
      </c>
      <c r="D3658" s="15"/>
      <c r="E3658" s="15"/>
      <c r="F3658" s="15">
        <f t="shared" si="1"/>
        <v>3.43</v>
      </c>
      <c r="G3658" s="15">
        <f t="shared" si="2"/>
        <v>3.83</v>
      </c>
      <c r="H3658" s="16">
        <v>0.0</v>
      </c>
      <c r="I3658" s="15">
        <f t="shared" si="3"/>
        <v>3.43</v>
      </c>
      <c r="J3658" s="15">
        <v>12.92</v>
      </c>
      <c r="K3658" s="16">
        <f>IF(COUNTIFS(Release_Calendar!$A$2:$A$755,"US_CPI",Release_Calendar!$B$2:$B$755,$A3658)&gt;0,1,0)</f>
        <v>0</v>
      </c>
      <c r="L3658" s="16">
        <f>IF(COUNTIFS(Release_Calendar!$A$2:$A$755,"US_NFP",Release_Calendar!$B$2:$B$755,$A3658)&gt;0,1,0)</f>
        <v>0</v>
      </c>
      <c r="M3658" s="16" t="str">
        <f>IF($A3658&lt;Notes!$B$5,"",IF(COUNTIFS(Release_Calendar!$A$2:$A$755,"NZ_CPI",Release_Calendar!$B$2:$B$755,$A3658)&gt;0,1,0))</f>
        <v/>
      </c>
      <c r="N3658" s="16" t="str">
        <f>IF($A3658&lt;Notes!$B$5,"",IF(COUNTIFS(Release_Calendar!$A$2:$A$755,"NZ_GDP",Release_Calendar!$B$2:$B$755,$A3658)&gt;0,1,0))</f>
        <v/>
      </c>
      <c r="O3658" s="16" t="str">
        <f>IF($A3658&lt;Notes!$B$5,"",IF(COUNTIFS(Release_Calendar!$A$2:$A$755,"NZ_LABOUR",Release_Calendar!$B$2:$B$755,$A3658)&gt;0,1,0))</f>
        <v/>
      </c>
      <c r="P3658" s="16">
        <f t="shared" si="4"/>
        <v>0</v>
      </c>
    </row>
    <row r="3659" ht="15.75" customHeight="1">
      <c r="A3659" s="14">
        <v>41647.0</v>
      </c>
      <c r="B3659" s="15">
        <v>0.43</v>
      </c>
      <c r="C3659" s="15">
        <v>3.8</v>
      </c>
      <c r="D3659" s="15"/>
      <c r="E3659" s="15"/>
      <c r="F3659" s="15">
        <f t="shared" si="1"/>
        <v>3.37</v>
      </c>
      <c r="G3659" s="15">
        <f t="shared" si="2"/>
        <v>3.8</v>
      </c>
      <c r="H3659" s="16">
        <v>0.0</v>
      </c>
      <c r="I3659" s="15">
        <f t="shared" si="3"/>
        <v>3.37</v>
      </c>
      <c r="J3659" s="15">
        <v>12.87</v>
      </c>
      <c r="K3659" s="16">
        <f>IF(COUNTIFS(Release_Calendar!$A$2:$A$755,"US_CPI",Release_Calendar!$B$2:$B$755,$A3659)&gt;0,1,0)</f>
        <v>0</v>
      </c>
      <c r="L3659" s="16">
        <f>IF(COUNTIFS(Release_Calendar!$A$2:$A$755,"US_NFP",Release_Calendar!$B$2:$B$755,$A3659)&gt;0,1,0)</f>
        <v>0</v>
      </c>
      <c r="M3659" s="16" t="str">
        <f>IF($A3659&lt;Notes!$B$5,"",IF(COUNTIFS(Release_Calendar!$A$2:$A$755,"NZ_CPI",Release_Calendar!$B$2:$B$755,$A3659)&gt;0,1,0))</f>
        <v/>
      </c>
      <c r="N3659" s="16" t="str">
        <f>IF($A3659&lt;Notes!$B$5,"",IF(COUNTIFS(Release_Calendar!$A$2:$A$755,"NZ_GDP",Release_Calendar!$B$2:$B$755,$A3659)&gt;0,1,0))</f>
        <v/>
      </c>
      <c r="O3659" s="16" t="str">
        <f>IF($A3659&lt;Notes!$B$5,"",IF(COUNTIFS(Release_Calendar!$A$2:$A$755,"NZ_LABOUR",Release_Calendar!$B$2:$B$755,$A3659)&gt;0,1,0))</f>
        <v/>
      </c>
      <c r="P3659" s="16">
        <f t="shared" si="4"/>
        <v>0</v>
      </c>
    </row>
    <row r="3660" ht="15.75" customHeight="1">
      <c r="A3660" s="14">
        <v>41648.0</v>
      </c>
      <c r="B3660" s="15">
        <v>0.44</v>
      </c>
      <c r="C3660" s="15">
        <v>3.82</v>
      </c>
      <c r="D3660" s="15"/>
      <c r="E3660" s="15"/>
      <c r="F3660" s="15">
        <f t="shared" si="1"/>
        <v>3.38</v>
      </c>
      <c r="G3660" s="15">
        <f t="shared" si="2"/>
        <v>3.82</v>
      </c>
      <c r="H3660" s="16">
        <v>0.0</v>
      </c>
      <c r="I3660" s="15">
        <f t="shared" si="3"/>
        <v>3.38</v>
      </c>
      <c r="J3660" s="15">
        <v>12.89</v>
      </c>
      <c r="K3660" s="16">
        <f>IF(COUNTIFS(Release_Calendar!$A$2:$A$755,"US_CPI",Release_Calendar!$B$2:$B$755,$A3660)&gt;0,1,0)</f>
        <v>0</v>
      </c>
      <c r="L3660" s="16">
        <f>IF(COUNTIFS(Release_Calendar!$A$2:$A$755,"US_NFP",Release_Calendar!$B$2:$B$755,$A3660)&gt;0,1,0)</f>
        <v>0</v>
      </c>
      <c r="M3660" s="16" t="str">
        <f>IF($A3660&lt;Notes!$B$5,"",IF(COUNTIFS(Release_Calendar!$A$2:$A$755,"NZ_CPI",Release_Calendar!$B$2:$B$755,$A3660)&gt;0,1,0))</f>
        <v/>
      </c>
      <c r="N3660" s="16" t="str">
        <f>IF($A3660&lt;Notes!$B$5,"",IF(COUNTIFS(Release_Calendar!$A$2:$A$755,"NZ_GDP",Release_Calendar!$B$2:$B$755,$A3660)&gt;0,1,0))</f>
        <v/>
      </c>
      <c r="O3660" s="16" t="str">
        <f>IF($A3660&lt;Notes!$B$5,"",IF(COUNTIFS(Release_Calendar!$A$2:$A$755,"NZ_LABOUR",Release_Calendar!$B$2:$B$755,$A3660)&gt;0,1,0))</f>
        <v/>
      </c>
      <c r="P3660" s="16">
        <f t="shared" si="4"/>
        <v>0</v>
      </c>
    </row>
    <row r="3661" ht="15.75" customHeight="1">
      <c r="A3661" s="14">
        <v>41649.0</v>
      </c>
      <c r="B3661" s="15">
        <v>0.39</v>
      </c>
      <c r="C3661" s="15">
        <v>3.81</v>
      </c>
      <c r="D3661" s="15"/>
      <c r="E3661" s="15"/>
      <c r="F3661" s="15">
        <f t="shared" si="1"/>
        <v>3.42</v>
      </c>
      <c r="G3661" s="15">
        <f t="shared" si="2"/>
        <v>3.81</v>
      </c>
      <c r="H3661" s="16">
        <v>0.0</v>
      </c>
      <c r="I3661" s="15">
        <f t="shared" si="3"/>
        <v>3.42</v>
      </c>
      <c r="J3661" s="15">
        <v>12.14</v>
      </c>
      <c r="K3661" s="16">
        <f>IF(COUNTIFS(Release_Calendar!$A$2:$A$755,"US_CPI",Release_Calendar!$B$2:$B$755,$A3661)&gt;0,1,0)</f>
        <v>0</v>
      </c>
      <c r="L3661" s="16">
        <f>IF(COUNTIFS(Release_Calendar!$A$2:$A$755,"US_NFP",Release_Calendar!$B$2:$B$755,$A3661)&gt;0,1,0)</f>
        <v>1</v>
      </c>
      <c r="M3661" s="16" t="str">
        <f>IF($A3661&lt;Notes!$B$5,"",IF(COUNTIFS(Release_Calendar!$A$2:$A$755,"NZ_CPI",Release_Calendar!$B$2:$B$755,$A3661)&gt;0,1,0))</f>
        <v/>
      </c>
      <c r="N3661" s="16" t="str">
        <f>IF($A3661&lt;Notes!$B$5,"",IF(COUNTIFS(Release_Calendar!$A$2:$A$755,"NZ_GDP",Release_Calendar!$B$2:$B$755,$A3661)&gt;0,1,0))</f>
        <v/>
      </c>
      <c r="O3661" s="16" t="str">
        <f>IF($A3661&lt;Notes!$B$5,"",IF(COUNTIFS(Release_Calendar!$A$2:$A$755,"NZ_LABOUR",Release_Calendar!$B$2:$B$755,$A3661)&gt;0,1,0))</f>
        <v/>
      </c>
      <c r="P3661" s="16">
        <f t="shared" si="4"/>
        <v>1</v>
      </c>
    </row>
    <row r="3662" ht="15.75" customHeight="1">
      <c r="A3662" s="14">
        <v>41652.0</v>
      </c>
      <c r="B3662" s="15">
        <v>0.39</v>
      </c>
      <c r="C3662" s="15">
        <v>3.8</v>
      </c>
      <c r="D3662" s="15"/>
      <c r="E3662" s="15"/>
      <c r="F3662" s="15">
        <f t="shared" si="1"/>
        <v>3.41</v>
      </c>
      <c r="G3662" s="15">
        <f t="shared" si="2"/>
        <v>3.8</v>
      </c>
      <c r="H3662" s="16">
        <v>0.0</v>
      </c>
      <c r="I3662" s="15">
        <f t="shared" si="3"/>
        <v>3.41</v>
      </c>
      <c r="J3662" s="15">
        <v>13.28</v>
      </c>
      <c r="K3662" s="16">
        <f>IF(COUNTIFS(Release_Calendar!$A$2:$A$755,"US_CPI",Release_Calendar!$B$2:$B$755,$A3662)&gt;0,1,0)</f>
        <v>0</v>
      </c>
      <c r="L3662" s="16">
        <f>IF(COUNTIFS(Release_Calendar!$A$2:$A$755,"US_NFP",Release_Calendar!$B$2:$B$755,$A3662)&gt;0,1,0)</f>
        <v>0</v>
      </c>
      <c r="M3662" s="16" t="str">
        <f>IF($A3662&lt;Notes!$B$5,"",IF(COUNTIFS(Release_Calendar!$A$2:$A$755,"NZ_CPI",Release_Calendar!$B$2:$B$755,$A3662)&gt;0,1,0))</f>
        <v/>
      </c>
      <c r="N3662" s="16" t="str">
        <f>IF($A3662&lt;Notes!$B$5,"",IF(COUNTIFS(Release_Calendar!$A$2:$A$755,"NZ_GDP",Release_Calendar!$B$2:$B$755,$A3662)&gt;0,1,0))</f>
        <v/>
      </c>
      <c r="O3662" s="16" t="str">
        <f>IF($A3662&lt;Notes!$B$5,"",IF(COUNTIFS(Release_Calendar!$A$2:$A$755,"NZ_LABOUR",Release_Calendar!$B$2:$B$755,$A3662)&gt;0,1,0))</f>
        <v/>
      </c>
      <c r="P3662" s="16">
        <f t="shared" si="4"/>
        <v>0</v>
      </c>
    </row>
    <row r="3663" ht="15.75" customHeight="1">
      <c r="A3663" s="14">
        <v>41653.0</v>
      </c>
      <c r="B3663" s="15">
        <v>0.39</v>
      </c>
      <c r="C3663" s="15">
        <v>3.81</v>
      </c>
      <c r="D3663" s="15"/>
      <c r="E3663" s="15"/>
      <c r="F3663" s="15">
        <f t="shared" si="1"/>
        <v>3.42</v>
      </c>
      <c r="G3663" s="15">
        <f t="shared" si="2"/>
        <v>3.81</v>
      </c>
      <c r="H3663" s="16">
        <v>0.0</v>
      </c>
      <c r="I3663" s="15">
        <f t="shared" si="3"/>
        <v>3.42</v>
      </c>
      <c r="J3663" s="15">
        <v>12.28</v>
      </c>
      <c r="K3663" s="16">
        <f>IF(COUNTIFS(Release_Calendar!$A$2:$A$755,"US_CPI",Release_Calendar!$B$2:$B$755,$A3663)&gt;0,1,0)</f>
        <v>0</v>
      </c>
      <c r="L3663" s="16">
        <f>IF(COUNTIFS(Release_Calendar!$A$2:$A$755,"US_NFP",Release_Calendar!$B$2:$B$755,$A3663)&gt;0,1,0)</f>
        <v>0</v>
      </c>
      <c r="M3663" s="16" t="str">
        <f>IF($A3663&lt;Notes!$B$5,"",IF(COUNTIFS(Release_Calendar!$A$2:$A$755,"NZ_CPI",Release_Calendar!$B$2:$B$755,$A3663)&gt;0,1,0))</f>
        <v/>
      </c>
      <c r="N3663" s="16" t="str">
        <f>IF($A3663&lt;Notes!$B$5,"",IF(COUNTIFS(Release_Calendar!$A$2:$A$755,"NZ_GDP",Release_Calendar!$B$2:$B$755,$A3663)&gt;0,1,0))</f>
        <v/>
      </c>
      <c r="O3663" s="16" t="str">
        <f>IF($A3663&lt;Notes!$B$5,"",IF(COUNTIFS(Release_Calendar!$A$2:$A$755,"NZ_LABOUR",Release_Calendar!$B$2:$B$755,$A3663)&gt;0,1,0))</f>
        <v/>
      </c>
      <c r="P3663" s="16">
        <f t="shared" si="4"/>
        <v>0</v>
      </c>
    </row>
    <row r="3664" ht="15.75" customHeight="1">
      <c r="A3664" s="14">
        <v>41654.0</v>
      </c>
      <c r="B3664" s="15">
        <v>0.41</v>
      </c>
      <c r="C3664" s="15">
        <v>3.82</v>
      </c>
      <c r="D3664" s="15"/>
      <c r="E3664" s="15"/>
      <c r="F3664" s="15">
        <f t="shared" si="1"/>
        <v>3.41</v>
      </c>
      <c r="G3664" s="15">
        <f t="shared" si="2"/>
        <v>3.82</v>
      </c>
      <c r="H3664" s="16">
        <v>0.0</v>
      </c>
      <c r="I3664" s="15">
        <f t="shared" si="3"/>
        <v>3.41</v>
      </c>
      <c r="J3664" s="15">
        <v>12.28</v>
      </c>
      <c r="K3664" s="16">
        <f>IF(COUNTIFS(Release_Calendar!$A$2:$A$755,"US_CPI",Release_Calendar!$B$2:$B$755,$A3664)&gt;0,1,0)</f>
        <v>0</v>
      </c>
      <c r="L3664" s="16">
        <f>IF(COUNTIFS(Release_Calendar!$A$2:$A$755,"US_NFP",Release_Calendar!$B$2:$B$755,$A3664)&gt;0,1,0)</f>
        <v>0</v>
      </c>
      <c r="M3664" s="16" t="str">
        <f>IF($A3664&lt;Notes!$B$5,"",IF(COUNTIFS(Release_Calendar!$A$2:$A$755,"NZ_CPI",Release_Calendar!$B$2:$B$755,$A3664)&gt;0,1,0))</f>
        <v/>
      </c>
      <c r="N3664" s="16" t="str">
        <f>IF($A3664&lt;Notes!$B$5,"",IF(COUNTIFS(Release_Calendar!$A$2:$A$755,"NZ_GDP",Release_Calendar!$B$2:$B$755,$A3664)&gt;0,1,0))</f>
        <v/>
      </c>
      <c r="O3664" s="16" t="str">
        <f>IF($A3664&lt;Notes!$B$5,"",IF(COUNTIFS(Release_Calendar!$A$2:$A$755,"NZ_LABOUR",Release_Calendar!$B$2:$B$755,$A3664)&gt;0,1,0))</f>
        <v/>
      </c>
      <c r="P3664" s="16">
        <f t="shared" si="4"/>
        <v>0</v>
      </c>
    </row>
    <row r="3665" ht="15.75" customHeight="1">
      <c r="A3665" s="14">
        <v>41655.0</v>
      </c>
      <c r="B3665" s="15">
        <v>0.41</v>
      </c>
      <c r="C3665" s="15">
        <v>3.79</v>
      </c>
      <c r="D3665" s="15"/>
      <c r="E3665" s="15"/>
      <c r="F3665" s="15">
        <f t="shared" si="1"/>
        <v>3.38</v>
      </c>
      <c r="G3665" s="15">
        <f t="shared" si="2"/>
        <v>3.79</v>
      </c>
      <c r="H3665" s="16">
        <v>0.0</v>
      </c>
      <c r="I3665" s="15">
        <f t="shared" si="3"/>
        <v>3.38</v>
      </c>
      <c r="J3665" s="15">
        <v>12.53</v>
      </c>
      <c r="K3665" s="16">
        <f>IF(COUNTIFS(Release_Calendar!$A$2:$A$755,"US_CPI",Release_Calendar!$B$2:$B$755,$A3665)&gt;0,1,0)</f>
        <v>1</v>
      </c>
      <c r="L3665" s="16">
        <f>IF(COUNTIFS(Release_Calendar!$A$2:$A$755,"US_NFP",Release_Calendar!$B$2:$B$755,$A3665)&gt;0,1,0)</f>
        <v>0</v>
      </c>
      <c r="M3665" s="16" t="str">
        <f>IF($A3665&lt;Notes!$B$5,"",IF(COUNTIFS(Release_Calendar!$A$2:$A$755,"NZ_CPI",Release_Calendar!$B$2:$B$755,$A3665)&gt;0,1,0))</f>
        <v/>
      </c>
      <c r="N3665" s="16" t="str">
        <f>IF($A3665&lt;Notes!$B$5,"",IF(COUNTIFS(Release_Calendar!$A$2:$A$755,"NZ_GDP",Release_Calendar!$B$2:$B$755,$A3665)&gt;0,1,0))</f>
        <v/>
      </c>
      <c r="O3665" s="16" t="str">
        <f>IF($A3665&lt;Notes!$B$5,"",IF(COUNTIFS(Release_Calendar!$A$2:$A$755,"NZ_LABOUR",Release_Calendar!$B$2:$B$755,$A3665)&gt;0,1,0))</f>
        <v/>
      </c>
      <c r="P3665" s="16">
        <f t="shared" si="4"/>
        <v>1</v>
      </c>
    </row>
    <row r="3666" ht="15.75" customHeight="1">
      <c r="A3666" s="14">
        <v>41656.0</v>
      </c>
      <c r="B3666" s="15">
        <v>0.4</v>
      </c>
      <c r="C3666" s="15">
        <v>3.77</v>
      </c>
      <c r="D3666" s="15"/>
      <c r="E3666" s="15"/>
      <c r="F3666" s="15">
        <f t="shared" si="1"/>
        <v>3.37</v>
      </c>
      <c r="G3666" s="15">
        <f t="shared" si="2"/>
        <v>3.77</v>
      </c>
      <c r="H3666" s="16">
        <v>0.0</v>
      </c>
      <c r="I3666" s="15">
        <f t="shared" si="3"/>
        <v>3.37</v>
      </c>
      <c r="J3666" s="15">
        <v>12.44</v>
      </c>
      <c r="K3666" s="16">
        <f>IF(COUNTIFS(Release_Calendar!$A$2:$A$755,"US_CPI",Release_Calendar!$B$2:$B$755,$A3666)&gt;0,1,0)</f>
        <v>0</v>
      </c>
      <c r="L3666" s="16">
        <f>IF(COUNTIFS(Release_Calendar!$A$2:$A$755,"US_NFP",Release_Calendar!$B$2:$B$755,$A3666)&gt;0,1,0)</f>
        <v>0</v>
      </c>
      <c r="M3666" s="16" t="str">
        <f>IF($A3666&lt;Notes!$B$5,"",IF(COUNTIFS(Release_Calendar!$A$2:$A$755,"NZ_CPI",Release_Calendar!$B$2:$B$755,$A3666)&gt;0,1,0))</f>
        <v/>
      </c>
      <c r="N3666" s="16" t="str">
        <f>IF($A3666&lt;Notes!$B$5,"",IF(COUNTIFS(Release_Calendar!$A$2:$A$755,"NZ_GDP",Release_Calendar!$B$2:$B$755,$A3666)&gt;0,1,0))</f>
        <v/>
      </c>
      <c r="O3666" s="16" t="str">
        <f>IF($A3666&lt;Notes!$B$5,"",IF(COUNTIFS(Release_Calendar!$A$2:$A$755,"NZ_LABOUR",Release_Calendar!$B$2:$B$755,$A3666)&gt;0,1,0))</f>
        <v/>
      </c>
      <c r="P3666" s="16">
        <f t="shared" si="4"/>
        <v>0</v>
      </c>
    </row>
    <row r="3667" ht="15.75" customHeight="1">
      <c r="A3667" s="14">
        <v>41659.0</v>
      </c>
      <c r="B3667" s="15"/>
      <c r="C3667" s="15">
        <v>3.77</v>
      </c>
      <c r="D3667" s="15"/>
      <c r="E3667" s="15"/>
      <c r="F3667" s="15" t="str">
        <f t="shared" si="1"/>
        <v/>
      </c>
      <c r="G3667" s="15">
        <f t="shared" si="2"/>
        <v>3.77</v>
      </c>
      <c r="H3667" s="16">
        <v>0.0</v>
      </c>
      <c r="I3667" s="15" t="str">
        <f t="shared" si="3"/>
        <v/>
      </c>
      <c r="J3667" s="15"/>
      <c r="K3667" s="16">
        <f>IF(COUNTIFS(Release_Calendar!$A$2:$A$755,"US_CPI",Release_Calendar!$B$2:$B$755,$A3667)&gt;0,1,0)</f>
        <v>0</v>
      </c>
      <c r="L3667" s="16">
        <f>IF(COUNTIFS(Release_Calendar!$A$2:$A$755,"US_NFP",Release_Calendar!$B$2:$B$755,$A3667)&gt;0,1,0)</f>
        <v>0</v>
      </c>
      <c r="M3667" s="16" t="str">
        <f>IF($A3667&lt;Notes!$B$5,"",IF(COUNTIFS(Release_Calendar!$A$2:$A$755,"NZ_CPI",Release_Calendar!$B$2:$B$755,$A3667)&gt;0,1,0))</f>
        <v/>
      </c>
      <c r="N3667" s="16" t="str">
        <f>IF($A3667&lt;Notes!$B$5,"",IF(COUNTIFS(Release_Calendar!$A$2:$A$755,"NZ_GDP",Release_Calendar!$B$2:$B$755,$A3667)&gt;0,1,0))</f>
        <v/>
      </c>
      <c r="O3667" s="16" t="str">
        <f>IF($A3667&lt;Notes!$B$5,"",IF(COUNTIFS(Release_Calendar!$A$2:$A$755,"NZ_LABOUR",Release_Calendar!$B$2:$B$755,$A3667)&gt;0,1,0))</f>
        <v/>
      </c>
      <c r="P3667" s="16">
        <f t="shared" si="4"/>
        <v>0</v>
      </c>
    </row>
    <row r="3668" ht="15.75" customHeight="1">
      <c r="A3668" s="14">
        <v>41660.0</v>
      </c>
      <c r="B3668" s="15">
        <v>0.4</v>
      </c>
      <c r="C3668" s="15">
        <v>3.83</v>
      </c>
      <c r="D3668" s="15"/>
      <c r="E3668" s="15"/>
      <c r="F3668" s="15">
        <f t="shared" si="1"/>
        <v>3.43</v>
      </c>
      <c r="G3668" s="15">
        <f t="shared" si="2"/>
        <v>3.83</v>
      </c>
      <c r="H3668" s="16">
        <v>0.0</v>
      </c>
      <c r="I3668" s="15">
        <f t="shared" si="3"/>
        <v>3.43</v>
      </c>
      <c r="J3668" s="15">
        <v>12.87</v>
      </c>
      <c r="K3668" s="16">
        <f>IF(COUNTIFS(Release_Calendar!$A$2:$A$755,"US_CPI",Release_Calendar!$B$2:$B$755,$A3668)&gt;0,1,0)</f>
        <v>0</v>
      </c>
      <c r="L3668" s="16">
        <f>IF(COUNTIFS(Release_Calendar!$A$2:$A$755,"US_NFP",Release_Calendar!$B$2:$B$755,$A3668)&gt;0,1,0)</f>
        <v>0</v>
      </c>
      <c r="M3668" s="16" t="str">
        <f>IF($A3668&lt;Notes!$B$5,"",IF(COUNTIFS(Release_Calendar!$A$2:$A$755,"NZ_CPI",Release_Calendar!$B$2:$B$755,$A3668)&gt;0,1,0))</f>
        <v/>
      </c>
      <c r="N3668" s="16" t="str">
        <f>IF($A3668&lt;Notes!$B$5,"",IF(COUNTIFS(Release_Calendar!$A$2:$A$755,"NZ_GDP",Release_Calendar!$B$2:$B$755,$A3668)&gt;0,1,0))</f>
        <v/>
      </c>
      <c r="O3668" s="16" t="str">
        <f>IF($A3668&lt;Notes!$B$5,"",IF(COUNTIFS(Release_Calendar!$A$2:$A$755,"NZ_LABOUR",Release_Calendar!$B$2:$B$755,$A3668)&gt;0,1,0))</f>
        <v/>
      </c>
      <c r="P3668" s="16">
        <f t="shared" si="4"/>
        <v>0</v>
      </c>
    </row>
    <row r="3669" ht="15.75" customHeight="1">
      <c r="A3669" s="14">
        <v>41661.0</v>
      </c>
      <c r="B3669" s="15">
        <v>0.44</v>
      </c>
      <c r="C3669" s="15">
        <v>3.86</v>
      </c>
      <c r="D3669" s="15"/>
      <c r="E3669" s="15"/>
      <c r="F3669" s="15">
        <f t="shared" si="1"/>
        <v>3.42</v>
      </c>
      <c r="G3669" s="15">
        <f t="shared" si="2"/>
        <v>3.86</v>
      </c>
      <c r="H3669" s="16">
        <v>0.0</v>
      </c>
      <c r="I3669" s="15">
        <f t="shared" si="3"/>
        <v>3.42</v>
      </c>
      <c r="J3669" s="15">
        <v>12.84</v>
      </c>
      <c r="K3669" s="16">
        <f>IF(COUNTIFS(Release_Calendar!$A$2:$A$755,"US_CPI",Release_Calendar!$B$2:$B$755,$A3669)&gt;0,1,0)</f>
        <v>0</v>
      </c>
      <c r="L3669" s="16">
        <f>IF(COUNTIFS(Release_Calendar!$A$2:$A$755,"US_NFP",Release_Calendar!$B$2:$B$755,$A3669)&gt;0,1,0)</f>
        <v>0</v>
      </c>
      <c r="M3669" s="16" t="str">
        <f>IF($A3669&lt;Notes!$B$5,"",IF(COUNTIFS(Release_Calendar!$A$2:$A$755,"NZ_CPI",Release_Calendar!$B$2:$B$755,$A3669)&gt;0,1,0))</f>
        <v/>
      </c>
      <c r="N3669" s="16" t="str">
        <f>IF($A3669&lt;Notes!$B$5,"",IF(COUNTIFS(Release_Calendar!$A$2:$A$755,"NZ_GDP",Release_Calendar!$B$2:$B$755,$A3669)&gt;0,1,0))</f>
        <v/>
      </c>
      <c r="O3669" s="16" t="str">
        <f>IF($A3669&lt;Notes!$B$5,"",IF(COUNTIFS(Release_Calendar!$A$2:$A$755,"NZ_LABOUR",Release_Calendar!$B$2:$B$755,$A3669)&gt;0,1,0))</f>
        <v/>
      </c>
      <c r="P3669" s="16">
        <f t="shared" si="4"/>
        <v>0</v>
      </c>
    </row>
    <row r="3670" ht="15.75" customHeight="1">
      <c r="A3670" s="14">
        <v>41662.0</v>
      </c>
      <c r="B3670" s="15">
        <v>0.39</v>
      </c>
      <c r="C3670" s="15">
        <v>3.85</v>
      </c>
      <c r="D3670" s="15"/>
      <c r="E3670" s="15"/>
      <c r="F3670" s="15">
        <f t="shared" si="1"/>
        <v>3.46</v>
      </c>
      <c r="G3670" s="15">
        <f t="shared" si="2"/>
        <v>3.85</v>
      </c>
      <c r="H3670" s="16">
        <v>0.0</v>
      </c>
      <c r="I3670" s="15">
        <f t="shared" si="3"/>
        <v>3.46</v>
      </c>
      <c r="J3670" s="15">
        <v>13.77</v>
      </c>
      <c r="K3670" s="16">
        <f>IF(COUNTIFS(Release_Calendar!$A$2:$A$755,"US_CPI",Release_Calendar!$B$2:$B$755,$A3670)&gt;0,1,0)</f>
        <v>0</v>
      </c>
      <c r="L3670" s="16">
        <f>IF(COUNTIFS(Release_Calendar!$A$2:$A$755,"US_NFP",Release_Calendar!$B$2:$B$755,$A3670)&gt;0,1,0)</f>
        <v>0</v>
      </c>
      <c r="M3670" s="16" t="str">
        <f>IF($A3670&lt;Notes!$B$5,"",IF(COUNTIFS(Release_Calendar!$A$2:$A$755,"NZ_CPI",Release_Calendar!$B$2:$B$755,$A3670)&gt;0,1,0))</f>
        <v/>
      </c>
      <c r="N3670" s="16" t="str">
        <f>IF($A3670&lt;Notes!$B$5,"",IF(COUNTIFS(Release_Calendar!$A$2:$A$755,"NZ_GDP",Release_Calendar!$B$2:$B$755,$A3670)&gt;0,1,0))</f>
        <v/>
      </c>
      <c r="O3670" s="16" t="str">
        <f>IF($A3670&lt;Notes!$B$5,"",IF(COUNTIFS(Release_Calendar!$A$2:$A$755,"NZ_LABOUR",Release_Calendar!$B$2:$B$755,$A3670)&gt;0,1,0))</f>
        <v/>
      </c>
      <c r="P3670" s="16">
        <f t="shared" si="4"/>
        <v>0</v>
      </c>
    </row>
    <row r="3671" ht="15.75" customHeight="1">
      <c r="A3671" s="14">
        <v>41663.0</v>
      </c>
      <c r="B3671" s="15">
        <v>0.37</v>
      </c>
      <c r="C3671" s="15">
        <v>3.82</v>
      </c>
      <c r="D3671" s="15"/>
      <c r="E3671" s="15"/>
      <c r="F3671" s="15">
        <f t="shared" si="1"/>
        <v>3.45</v>
      </c>
      <c r="G3671" s="15">
        <f t="shared" si="2"/>
        <v>3.82</v>
      </c>
      <c r="H3671" s="16">
        <v>0.0</v>
      </c>
      <c r="I3671" s="15">
        <f t="shared" si="3"/>
        <v>3.45</v>
      </c>
      <c r="J3671" s="15">
        <v>18.14</v>
      </c>
      <c r="K3671" s="16">
        <f>IF(COUNTIFS(Release_Calendar!$A$2:$A$755,"US_CPI",Release_Calendar!$B$2:$B$755,$A3671)&gt;0,1,0)</f>
        <v>0</v>
      </c>
      <c r="L3671" s="16">
        <f>IF(COUNTIFS(Release_Calendar!$A$2:$A$755,"US_NFP",Release_Calendar!$B$2:$B$755,$A3671)&gt;0,1,0)</f>
        <v>0</v>
      </c>
      <c r="M3671" s="16" t="str">
        <f>IF($A3671&lt;Notes!$B$5,"",IF(COUNTIFS(Release_Calendar!$A$2:$A$755,"NZ_CPI",Release_Calendar!$B$2:$B$755,$A3671)&gt;0,1,0))</f>
        <v/>
      </c>
      <c r="N3671" s="16" t="str">
        <f>IF($A3671&lt;Notes!$B$5,"",IF(COUNTIFS(Release_Calendar!$A$2:$A$755,"NZ_GDP",Release_Calendar!$B$2:$B$755,$A3671)&gt;0,1,0))</f>
        <v/>
      </c>
      <c r="O3671" s="16" t="str">
        <f>IF($A3671&lt;Notes!$B$5,"",IF(COUNTIFS(Release_Calendar!$A$2:$A$755,"NZ_LABOUR",Release_Calendar!$B$2:$B$755,$A3671)&gt;0,1,0))</f>
        <v/>
      </c>
      <c r="P3671" s="16">
        <f t="shared" si="4"/>
        <v>0</v>
      </c>
    </row>
    <row r="3672" ht="15.75" customHeight="1">
      <c r="A3672" s="14">
        <v>41666.0</v>
      </c>
      <c r="B3672" s="15">
        <v>0.37</v>
      </c>
      <c r="C3672" s="15">
        <v>3.82</v>
      </c>
      <c r="D3672" s="15"/>
      <c r="E3672" s="15"/>
      <c r="F3672" s="15">
        <f t="shared" si="1"/>
        <v>3.45</v>
      </c>
      <c r="G3672" s="15">
        <f t="shared" si="2"/>
        <v>3.82</v>
      </c>
      <c r="H3672" s="16">
        <v>0.0</v>
      </c>
      <c r="I3672" s="15">
        <f t="shared" si="3"/>
        <v>3.45</v>
      </c>
      <c r="J3672" s="15">
        <v>17.42</v>
      </c>
      <c r="K3672" s="16">
        <f>IF(COUNTIFS(Release_Calendar!$A$2:$A$755,"US_CPI",Release_Calendar!$B$2:$B$755,$A3672)&gt;0,1,0)</f>
        <v>0</v>
      </c>
      <c r="L3672" s="16">
        <f>IF(COUNTIFS(Release_Calendar!$A$2:$A$755,"US_NFP",Release_Calendar!$B$2:$B$755,$A3672)&gt;0,1,0)</f>
        <v>0</v>
      </c>
      <c r="M3672" s="16" t="str">
        <f>IF($A3672&lt;Notes!$B$5,"",IF(COUNTIFS(Release_Calendar!$A$2:$A$755,"NZ_CPI",Release_Calendar!$B$2:$B$755,$A3672)&gt;0,1,0))</f>
        <v/>
      </c>
      <c r="N3672" s="16" t="str">
        <f>IF($A3672&lt;Notes!$B$5,"",IF(COUNTIFS(Release_Calendar!$A$2:$A$755,"NZ_GDP",Release_Calendar!$B$2:$B$755,$A3672)&gt;0,1,0))</f>
        <v/>
      </c>
      <c r="O3672" s="16" t="str">
        <f>IF($A3672&lt;Notes!$B$5,"",IF(COUNTIFS(Release_Calendar!$A$2:$A$755,"NZ_LABOUR",Release_Calendar!$B$2:$B$755,$A3672)&gt;0,1,0))</f>
        <v/>
      </c>
      <c r="P3672" s="16">
        <f t="shared" si="4"/>
        <v>0</v>
      </c>
    </row>
    <row r="3673" ht="15.75" customHeight="1">
      <c r="A3673" s="14">
        <v>41667.0</v>
      </c>
      <c r="B3673" s="15">
        <v>0.38</v>
      </c>
      <c r="C3673" s="15">
        <v>3.83</v>
      </c>
      <c r="D3673" s="15"/>
      <c r="E3673" s="15"/>
      <c r="F3673" s="15">
        <f t="shared" si="1"/>
        <v>3.45</v>
      </c>
      <c r="G3673" s="15">
        <f t="shared" si="2"/>
        <v>3.83</v>
      </c>
      <c r="H3673" s="16">
        <v>0.0</v>
      </c>
      <c r="I3673" s="15">
        <f t="shared" si="3"/>
        <v>3.45</v>
      </c>
      <c r="J3673" s="15">
        <v>15.8</v>
      </c>
      <c r="K3673" s="16">
        <f>IF(COUNTIFS(Release_Calendar!$A$2:$A$755,"US_CPI",Release_Calendar!$B$2:$B$755,$A3673)&gt;0,1,0)</f>
        <v>0</v>
      </c>
      <c r="L3673" s="16">
        <f>IF(COUNTIFS(Release_Calendar!$A$2:$A$755,"US_NFP",Release_Calendar!$B$2:$B$755,$A3673)&gt;0,1,0)</f>
        <v>0</v>
      </c>
      <c r="M3673" s="16" t="str">
        <f>IF($A3673&lt;Notes!$B$5,"",IF(COUNTIFS(Release_Calendar!$A$2:$A$755,"NZ_CPI",Release_Calendar!$B$2:$B$755,$A3673)&gt;0,1,0))</f>
        <v/>
      </c>
      <c r="N3673" s="16" t="str">
        <f>IF($A3673&lt;Notes!$B$5,"",IF(COUNTIFS(Release_Calendar!$A$2:$A$755,"NZ_GDP",Release_Calendar!$B$2:$B$755,$A3673)&gt;0,1,0))</f>
        <v/>
      </c>
      <c r="O3673" s="16" t="str">
        <f>IF($A3673&lt;Notes!$B$5,"",IF(COUNTIFS(Release_Calendar!$A$2:$A$755,"NZ_LABOUR",Release_Calendar!$B$2:$B$755,$A3673)&gt;0,1,0))</f>
        <v/>
      </c>
      <c r="P3673" s="16">
        <f t="shared" si="4"/>
        <v>0</v>
      </c>
    </row>
    <row r="3674" ht="15.75" customHeight="1">
      <c r="A3674" s="14">
        <v>41668.0</v>
      </c>
      <c r="B3674" s="15">
        <v>0.36</v>
      </c>
      <c r="C3674" s="15">
        <v>3.84</v>
      </c>
      <c r="D3674" s="15"/>
      <c r="E3674" s="15"/>
      <c r="F3674" s="15">
        <f t="shared" si="1"/>
        <v>3.48</v>
      </c>
      <c r="G3674" s="15">
        <f t="shared" si="2"/>
        <v>3.84</v>
      </c>
      <c r="H3674" s="16">
        <v>0.0</v>
      </c>
      <c r="I3674" s="15">
        <f t="shared" si="3"/>
        <v>3.48</v>
      </c>
      <c r="J3674" s="15">
        <v>17.35</v>
      </c>
      <c r="K3674" s="16">
        <f>IF(COUNTIFS(Release_Calendar!$A$2:$A$755,"US_CPI",Release_Calendar!$B$2:$B$755,$A3674)&gt;0,1,0)</f>
        <v>0</v>
      </c>
      <c r="L3674" s="16">
        <f>IF(COUNTIFS(Release_Calendar!$A$2:$A$755,"US_NFP",Release_Calendar!$B$2:$B$755,$A3674)&gt;0,1,0)</f>
        <v>0</v>
      </c>
      <c r="M3674" s="16" t="str">
        <f>IF($A3674&lt;Notes!$B$5,"",IF(COUNTIFS(Release_Calendar!$A$2:$A$755,"NZ_CPI",Release_Calendar!$B$2:$B$755,$A3674)&gt;0,1,0))</f>
        <v/>
      </c>
      <c r="N3674" s="16" t="str">
        <f>IF($A3674&lt;Notes!$B$5,"",IF(COUNTIFS(Release_Calendar!$A$2:$A$755,"NZ_GDP",Release_Calendar!$B$2:$B$755,$A3674)&gt;0,1,0))</f>
        <v/>
      </c>
      <c r="O3674" s="16" t="str">
        <f>IF($A3674&lt;Notes!$B$5,"",IF(COUNTIFS(Release_Calendar!$A$2:$A$755,"NZ_LABOUR",Release_Calendar!$B$2:$B$755,$A3674)&gt;0,1,0))</f>
        <v/>
      </c>
      <c r="P3674" s="16">
        <f t="shared" si="4"/>
        <v>0</v>
      </c>
    </row>
    <row r="3675" ht="15.75" customHeight="1">
      <c r="A3675" s="14">
        <v>41669.0</v>
      </c>
      <c r="B3675" s="15">
        <v>0.36</v>
      </c>
      <c r="C3675" s="15">
        <v>3.78</v>
      </c>
      <c r="D3675" s="15"/>
      <c r="E3675" s="15"/>
      <c r="F3675" s="15">
        <f t="shared" si="1"/>
        <v>3.42</v>
      </c>
      <c r="G3675" s="15">
        <f t="shared" si="2"/>
        <v>3.78</v>
      </c>
      <c r="H3675" s="16">
        <v>0.0</v>
      </c>
      <c r="I3675" s="15">
        <f t="shared" si="3"/>
        <v>3.42</v>
      </c>
      <c r="J3675" s="15">
        <v>17.29</v>
      </c>
      <c r="K3675" s="16">
        <f>IF(COUNTIFS(Release_Calendar!$A$2:$A$755,"US_CPI",Release_Calendar!$B$2:$B$755,$A3675)&gt;0,1,0)</f>
        <v>0</v>
      </c>
      <c r="L3675" s="16">
        <f>IF(COUNTIFS(Release_Calendar!$A$2:$A$755,"US_NFP",Release_Calendar!$B$2:$B$755,$A3675)&gt;0,1,0)</f>
        <v>0</v>
      </c>
      <c r="M3675" s="16" t="str">
        <f>IF($A3675&lt;Notes!$B$5,"",IF(COUNTIFS(Release_Calendar!$A$2:$A$755,"NZ_CPI",Release_Calendar!$B$2:$B$755,$A3675)&gt;0,1,0))</f>
        <v/>
      </c>
      <c r="N3675" s="16" t="str">
        <f>IF($A3675&lt;Notes!$B$5,"",IF(COUNTIFS(Release_Calendar!$A$2:$A$755,"NZ_GDP",Release_Calendar!$B$2:$B$755,$A3675)&gt;0,1,0))</f>
        <v/>
      </c>
      <c r="O3675" s="16" t="str">
        <f>IF($A3675&lt;Notes!$B$5,"",IF(COUNTIFS(Release_Calendar!$A$2:$A$755,"NZ_LABOUR",Release_Calendar!$B$2:$B$755,$A3675)&gt;0,1,0))</f>
        <v/>
      </c>
      <c r="P3675" s="16">
        <f t="shared" si="4"/>
        <v>0</v>
      </c>
    </row>
    <row r="3676" ht="15.75" customHeight="1">
      <c r="A3676" s="14">
        <v>41670.0</v>
      </c>
      <c r="B3676" s="15">
        <v>0.34</v>
      </c>
      <c r="C3676" s="15">
        <v>3.86</v>
      </c>
      <c r="D3676" s="15"/>
      <c r="E3676" s="15"/>
      <c r="F3676" s="15">
        <f t="shared" si="1"/>
        <v>3.52</v>
      </c>
      <c r="G3676" s="15">
        <f t="shared" si="2"/>
        <v>3.86</v>
      </c>
      <c r="H3676" s="16">
        <v>0.0</v>
      </c>
      <c r="I3676" s="15">
        <f t="shared" si="3"/>
        <v>3.52</v>
      </c>
      <c r="J3676" s="15">
        <v>18.41</v>
      </c>
      <c r="K3676" s="16">
        <f>IF(COUNTIFS(Release_Calendar!$A$2:$A$755,"US_CPI",Release_Calendar!$B$2:$B$755,$A3676)&gt;0,1,0)</f>
        <v>0</v>
      </c>
      <c r="L3676" s="16">
        <f>IF(COUNTIFS(Release_Calendar!$A$2:$A$755,"US_NFP",Release_Calendar!$B$2:$B$755,$A3676)&gt;0,1,0)</f>
        <v>0</v>
      </c>
      <c r="M3676" s="16" t="str">
        <f>IF($A3676&lt;Notes!$B$5,"",IF(COUNTIFS(Release_Calendar!$A$2:$A$755,"NZ_CPI",Release_Calendar!$B$2:$B$755,$A3676)&gt;0,1,0))</f>
        <v/>
      </c>
      <c r="N3676" s="16" t="str">
        <f>IF($A3676&lt;Notes!$B$5,"",IF(COUNTIFS(Release_Calendar!$A$2:$A$755,"NZ_GDP",Release_Calendar!$B$2:$B$755,$A3676)&gt;0,1,0))</f>
        <v/>
      </c>
      <c r="O3676" s="16" t="str">
        <f>IF($A3676&lt;Notes!$B$5,"",IF(COUNTIFS(Release_Calendar!$A$2:$A$755,"NZ_LABOUR",Release_Calendar!$B$2:$B$755,$A3676)&gt;0,1,0))</f>
        <v/>
      </c>
      <c r="P3676" s="16">
        <f t="shared" si="4"/>
        <v>0</v>
      </c>
    </row>
    <row r="3677" ht="15.75" customHeight="1">
      <c r="A3677" s="14">
        <v>41673.0</v>
      </c>
      <c r="B3677" s="15">
        <v>0.3</v>
      </c>
      <c r="C3677" s="15">
        <v>3.85</v>
      </c>
      <c r="D3677" s="15"/>
      <c r="E3677" s="15"/>
      <c r="F3677" s="15">
        <f t="shared" si="1"/>
        <v>3.55</v>
      </c>
      <c r="G3677" s="15">
        <f t="shared" si="2"/>
        <v>3.85</v>
      </c>
      <c r="H3677" s="16">
        <v>0.0</v>
      </c>
      <c r="I3677" s="15">
        <f t="shared" si="3"/>
        <v>3.55</v>
      </c>
      <c r="J3677" s="15">
        <v>21.44</v>
      </c>
      <c r="K3677" s="16">
        <f>IF(COUNTIFS(Release_Calendar!$A$2:$A$755,"US_CPI",Release_Calendar!$B$2:$B$755,$A3677)&gt;0,1,0)</f>
        <v>0</v>
      </c>
      <c r="L3677" s="16">
        <f>IF(COUNTIFS(Release_Calendar!$A$2:$A$755,"US_NFP",Release_Calendar!$B$2:$B$755,$A3677)&gt;0,1,0)</f>
        <v>0</v>
      </c>
      <c r="M3677" s="16" t="str">
        <f>IF($A3677&lt;Notes!$B$5,"",IF(COUNTIFS(Release_Calendar!$A$2:$A$755,"NZ_CPI",Release_Calendar!$B$2:$B$755,$A3677)&gt;0,1,0))</f>
        <v/>
      </c>
      <c r="N3677" s="16" t="str">
        <f>IF($A3677&lt;Notes!$B$5,"",IF(COUNTIFS(Release_Calendar!$A$2:$A$755,"NZ_GDP",Release_Calendar!$B$2:$B$755,$A3677)&gt;0,1,0))</f>
        <v/>
      </c>
      <c r="O3677" s="16" t="str">
        <f>IF($A3677&lt;Notes!$B$5,"",IF(COUNTIFS(Release_Calendar!$A$2:$A$755,"NZ_LABOUR",Release_Calendar!$B$2:$B$755,$A3677)&gt;0,1,0))</f>
        <v/>
      </c>
      <c r="P3677" s="16">
        <f t="shared" si="4"/>
        <v>0</v>
      </c>
    </row>
    <row r="3678" ht="15.75" customHeight="1">
      <c r="A3678" s="14">
        <v>41674.0</v>
      </c>
      <c r="B3678" s="15">
        <v>0.31</v>
      </c>
      <c r="C3678" s="15">
        <v>3.81</v>
      </c>
      <c r="D3678" s="15"/>
      <c r="E3678" s="15"/>
      <c r="F3678" s="15">
        <f t="shared" si="1"/>
        <v>3.5</v>
      </c>
      <c r="G3678" s="15">
        <f t="shared" si="2"/>
        <v>3.81</v>
      </c>
      <c r="H3678" s="16">
        <v>0.0</v>
      </c>
      <c r="I3678" s="15">
        <f t="shared" si="3"/>
        <v>3.5</v>
      </c>
      <c r="J3678" s="15">
        <v>19.11</v>
      </c>
      <c r="K3678" s="16">
        <f>IF(COUNTIFS(Release_Calendar!$A$2:$A$755,"US_CPI",Release_Calendar!$B$2:$B$755,$A3678)&gt;0,1,0)</f>
        <v>0</v>
      </c>
      <c r="L3678" s="16">
        <f>IF(COUNTIFS(Release_Calendar!$A$2:$A$755,"US_NFP",Release_Calendar!$B$2:$B$755,$A3678)&gt;0,1,0)</f>
        <v>0</v>
      </c>
      <c r="M3678" s="16" t="str">
        <f>IF($A3678&lt;Notes!$B$5,"",IF(COUNTIFS(Release_Calendar!$A$2:$A$755,"NZ_CPI",Release_Calendar!$B$2:$B$755,$A3678)&gt;0,1,0))</f>
        <v/>
      </c>
      <c r="N3678" s="16" t="str">
        <f>IF($A3678&lt;Notes!$B$5,"",IF(COUNTIFS(Release_Calendar!$A$2:$A$755,"NZ_GDP",Release_Calendar!$B$2:$B$755,$A3678)&gt;0,1,0))</f>
        <v/>
      </c>
      <c r="O3678" s="16" t="str">
        <f>IF($A3678&lt;Notes!$B$5,"",IF(COUNTIFS(Release_Calendar!$A$2:$A$755,"NZ_LABOUR",Release_Calendar!$B$2:$B$755,$A3678)&gt;0,1,0))</f>
        <v/>
      </c>
      <c r="P3678" s="16">
        <f t="shared" si="4"/>
        <v>0</v>
      </c>
    </row>
    <row r="3679" ht="15.75" customHeight="1">
      <c r="A3679" s="14">
        <v>41675.0</v>
      </c>
      <c r="B3679" s="15">
        <v>0.32</v>
      </c>
      <c r="C3679" s="15">
        <v>3.84</v>
      </c>
      <c r="D3679" s="15"/>
      <c r="E3679" s="15"/>
      <c r="F3679" s="15">
        <f t="shared" si="1"/>
        <v>3.52</v>
      </c>
      <c r="G3679" s="15">
        <f t="shared" si="2"/>
        <v>3.84</v>
      </c>
      <c r="H3679" s="16">
        <v>0.0</v>
      </c>
      <c r="I3679" s="15">
        <f t="shared" si="3"/>
        <v>3.52</v>
      </c>
      <c r="J3679" s="15">
        <v>19.95</v>
      </c>
      <c r="K3679" s="16">
        <f>IF(COUNTIFS(Release_Calendar!$A$2:$A$755,"US_CPI",Release_Calendar!$B$2:$B$755,$A3679)&gt;0,1,0)</f>
        <v>0</v>
      </c>
      <c r="L3679" s="16">
        <f>IF(COUNTIFS(Release_Calendar!$A$2:$A$755,"US_NFP",Release_Calendar!$B$2:$B$755,$A3679)&gt;0,1,0)</f>
        <v>0</v>
      </c>
      <c r="M3679" s="16" t="str">
        <f>IF($A3679&lt;Notes!$B$5,"",IF(COUNTIFS(Release_Calendar!$A$2:$A$755,"NZ_CPI",Release_Calendar!$B$2:$B$755,$A3679)&gt;0,1,0))</f>
        <v/>
      </c>
      <c r="N3679" s="16" t="str">
        <f>IF($A3679&lt;Notes!$B$5,"",IF(COUNTIFS(Release_Calendar!$A$2:$A$755,"NZ_GDP",Release_Calendar!$B$2:$B$755,$A3679)&gt;0,1,0))</f>
        <v/>
      </c>
      <c r="O3679" s="16" t="str">
        <f>IF($A3679&lt;Notes!$B$5,"",IF(COUNTIFS(Release_Calendar!$A$2:$A$755,"NZ_LABOUR",Release_Calendar!$B$2:$B$755,$A3679)&gt;0,1,0))</f>
        <v/>
      </c>
      <c r="P3679" s="16">
        <f t="shared" si="4"/>
        <v>0</v>
      </c>
    </row>
    <row r="3680" ht="15.75" customHeight="1">
      <c r="A3680" s="14">
        <v>41676.0</v>
      </c>
      <c r="B3680" s="15">
        <v>0.33</v>
      </c>
      <c r="C3680" s="15"/>
      <c r="D3680" s="15"/>
      <c r="E3680" s="15"/>
      <c r="F3680" s="15" t="str">
        <f t="shared" si="1"/>
        <v/>
      </c>
      <c r="G3680" s="15" t="str">
        <f t="shared" si="2"/>
        <v/>
      </c>
      <c r="H3680" s="16">
        <v>0.0</v>
      </c>
      <c r="I3680" s="15" t="str">
        <f t="shared" si="3"/>
        <v/>
      </c>
      <c r="J3680" s="15">
        <v>17.23</v>
      </c>
      <c r="K3680" s="16">
        <f>IF(COUNTIFS(Release_Calendar!$A$2:$A$755,"US_CPI",Release_Calendar!$B$2:$B$755,$A3680)&gt;0,1,0)</f>
        <v>0</v>
      </c>
      <c r="L3680" s="16">
        <f>IF(COUNTIFS(Release_Calendar!$A$2:$A$755,"US_NFP",Release_Calendar!$B$2:$B$755,$A3680)&gt;0,1,0)</f>
        <v>0</v>
      </c>
      <c r="M3680" s="16" t="str">
        <f>IF($A3680&lt;Notes!$B$5,"",IF(COUNTIFS(Release_Calendar!$A$2:$A$755,"NZ_CPI",Release_Calendar!$B$2:$B$755,$A3680)&gt;0,1,0))</f>
        <v/>
      </c>
      <c r="N3680" s="16" t="str">
        <f>IF($A3680&lt;Notes!$B$5,"",IF(COUNTIFS(Release_Calendar!$A$2:$A$755,"NZ_GDP",Release_Calendar!$B$2:$B$755,$A3680)&gt;0,1,0))</f>
        <v/>
      </c>
      <c r="O3680" s="16" t="str">
        <f>IF($A3680&lt;Notes!$B$5,"",IF(COUNTIFS(Release_Calendar!$A$2:$A$755,"NZ_LABOUR",Release_Calendar!$B$2:$B$755,$A3680)&gt;0,1,0))</f>
        <v/>
      </c>
      <c r="P3680" s="16">
        <f t="shared" si="4"/>
        <v>0</v>
      </c>
    </row>
    <row r="3681" ht="15.75" customHeight="1">
      <c r="A3681" s="14">
        <v>41677.0</v>
      </c>
      <c r="B3681" s="15">
        <v>0.3</v>
      </c>
      <c r="C3681" s="15">
        <v>3.87</v>
      </c>
      <c r="D3681" s="15"/>
      <c r="E3681" s="15"/>
      <c r="F3681" s="15">
        <f t="shared" si="1"/>
        <v>3.57</v>
      </c>
      <c r="G3681" s="15">
        <f t="shared" si="2"/>
        <v>3.87</v>
      </c>
      <c r="H3681" s="16">
        <v>0.0</v>
      </c>
      <c r="I3681" s="15">
        <f t="shared" si="3"/>
        <v>3.57</v>
      </c>
      <c r="J3681" s="15">
        <v>15.29</v>
      </c>
      <c r="K3681" s="16">
        <f>IF(COUNTIFS(Release_Calendar!$A$2:$A$755,"US_CPI",Release_Calendar!$B$2:$B$755,$A3681)&gt;0,1,0)</f>
        <v>0</v>
      </c>
      <c r="L3681" s="16">
        <f>IF(COUNTIFS(Release_Calendar!$A$2:$A$755,"US_NFP",Release_Calendar!$B$2:$B$755,$A3681)&gt;0,1,0)</f>
        <v>1</v>
      </c>
      <c r="M3681" s="16" t="str">
        <f>IF($A3681&lt;Notes!$B$5,"",IF(COUNTIFS(Release_Calendar!$A$2:$A$755,"NZ_CPI",Release_Calendar!$B$2:$B$755,$A3681)&gt;0,1,0))</f>
        <v/>
      </c>
      <c r="N3681" s="16" t="str">
        <f>IF($A3681&lt;Notes!$B$5,"",IF(COUNTIFS(Release_Calendar!$A$2:$A$755,"NZ_GDP",Release_Calendar!$B$2:$B$755,$A3681)&gt;0,1,0))</f>
        <v/>
      </c>
      <c r="O3681" s="16" t="str">
        <f>IF($A3681&lt;Notes!$B$5,"",IF(COUNTIFS(Release_Calendar!$A$2:$A$755,"NZ_LABOUR",Release_Calendar!$B$2:$B$755,$A3681)&gt;0,1,0))</f>
        <v/>
      </c>
      <c r="P3681" s="16">
        <f t="shared" si="4"/>
        <v>1</v>
      </c>
    </row>
    <row r="3682" ht="15.75" customHeight="1">
      <c r="A3682" s="14">
        <v>41680.0</v>
      </c>
      <c r="B3682" s="15">
        <v>0.32</v>
      </c>
      <c r="C3682" s="15">
        <v>3.85</v>
      </c>
      <c r="D3682" s="15"/>
      <c r="E3682" s="15"/>
      <c r="F3682" s="15">
        <f t="shared" si="1"/>
        <v>3.53</v>
      </c>
      <c r="G3682" s="15">
        <f t="shared" si="2"/>
        <v>3.85</v>
      </c>
      <c r="H3682" s="16">
        <v>0.0</v>
      </c>
      <c r="I3682" s="15">
        <f t="shared" si="3"/>
        <v>3.53</v>
      </c>
      <c r="J3682" s="15">
        <v>15.26</v>
      </c>
      <c r="K3682" s="16">
        <f>IF(COUNTIFS(Release_Calendar!$A$2:$A$755,"US_CPI",Release_Calendar!$B$2:$B$755,$A3682)&gt;0,1,0)</f>
        <v>0</v>
      </c>
      <c r="L3682" s="16">
        <f>IF(COUNTIFS(Release_Calendar!$A$2:$A$755,"US_NFP",Release_Calendar!$B$2:$B$755,$A3682)&gt;0,1,0)</f>
        <v>0</v>
      </c>
      <c r="M3682" s="16" t="str">
        <f>IF($A3682&lt;Notes!$B$5,"",IF(COUNTIFS(Release_Calendar!$A$2:$A$755,"NZ_CPI",Release_Calendar!$B$2:$B$755,$A3682)&gt;0,1,0))</f>
        <v/>
      </c>
      <c r="N3682" s="16" t="str">
        <f>IF($A3682&lt;Notes!$B$5,"",IF(COUNTIFS(Release_Calendar!$A$2:$A$755,"NZ_GDP",Release_Calendar!$B$2:$B$755,$A3682)&gt;0,1,0))</f>
        <v/>
      </c>
      <c r="O3682" s="16" t="str">
        <f>IF($A3682&lt;Notes!$B$5,"",IF(COUNTIFS(Release_Calendar!$A$2:$A$755,"NZ_LABOUR",Release_Calendar!$B$2:$B$755,$A3682)&gt;0,1,0))</f>
        <v/>
      </c>
      <c r="P3682" s="16">
        <f t="shared" si="4"/>
        <v>0</v>
      </c>
    </row>
    <row r="3683" ht="15.75" customHeight="1">
      <c r="A3683" s="14">
        <v>41681.0</v>
      </c>
      <c r="B3683" s="15">
        <v>0.35</v>
      </c>
      <c r="C3683" s="15">
        <v>3.85</v>
      </c>
      <c r="D3683" s="15"/>
      <c r="E3683" s="15"/>
      <c r="F3683" s="15">
        <f t="shared" si="1"/>
        <v>3.5</v>
      </c>
      <c r="G3683" s="15">
        <f t="shared" si="2"/>
        <v>3.85</v>
      </c>
      <c r="H3683" s="16">
        <v>0.0</v>
      </c>
      <c r="I3683" s="15">
        <f t="shared" si="3"/>
        <v>3.5</v>
      </c>
      <c r="J3683" s="15">
        <v>14.51</v>
      </c>
      <c r="K3683" s="16">
        <f>IF(COUNTIFS(Release_Calendar!$A$2:$A$755,"US_CPI",Release_Calendar!$B$2:$B$755,$A3683)&gt;0,1,0)</f>
        <v>0</v>
      </c>
      <c r="L3683" s="16">
        <f>IF(COUNTIFS(Release_Calendar!$A$2:$A$755,"US_NFP",Release_Calendar!$B$2:$B$755,$A3683)&gt;0,1,0)</f>
        <v>0</v>
      </c>
      <c r="M3683" s="16" t="str">
        <f>IF($A3683&lt;Notes!$B$5,"",IF(COUNTIFS(Release_Calendar!$A$2:$A$755,"NZ_CPI",Release_Calendar!$B$2:$B$755,$A3683)&gt;0,1,0))</f>
        <v/>
      </c>
      <c r="N3683" s="16" t="str">
        <f>IF($A3683&lt;Notes!$B$5,"",IF(COUNTIFS(Release_Calendar!$A$2:$A$755,"NZ_GDP",Release_Calendar!$B$2:$B$755,$A3683)&gt;0,1,0))</f>
        <v/>
      </c>
      <c r="O3683" s="16" t="str">
        <f>IF($A3683&lt;Notes!$B$5,"",IF(COUNTIFS(Release_Calendar!$A$2:$A$755,"NZ_LABOUR",Release_Calendar!$B$2:$B$755,$A3683)&gt;0,1,0))</f>
        <v/>
      </c>
      <c r="P3683" s="16">
        <f t="shared" si="4"/>
        <v>0</v>
      </c>
    </row>
    <row r="3684" ht="15.75" customHeight="1">
      <c r="A3684" s="14">
        <v>41682.0</v>
      </c>
      <c r="B3684" s="15">
        <v>0.35</v>
      </c>
      <c r="C3684" s="15">
        <v>3.87</v>
      </c>
      <c r="D3684" s="15"/>
      <c r="E3684" s="15"/>
      <c r="F3684" s="15">
        <f t="shared" si="1"/>
        <v>3.52</v>
      </c>
      <c r="G3684" s="15">
        <f t="shared" si="2"/>
        <v>3.87</v>
      </c>
      <c r="H3684" s="16">
        <v>0.0</v>
      </c>
      <c r="I3684" s="15">
        <f t="shared" si="3"/>
        <v>3.52</v>
      </c>
      <c r="J3684" s="15">
        <v>14.3</v>
      </c>
      <c r="K3684" s="16">
        <f>IF(COUNTIFS(Release_Calendar!$A$2:$A$755,"US_CPI",Release_Calendar!$B$2:$B$755,$A3684)&gt;0,1,0)</f>
        <v>0</v>
      </c>
      <c r="L3684" s="16">
        <f>IF(COUNTIFS(Release_Calendar!$A$2:$A$755,"US_NFP",Release_Calendar!$B$2:$B$755,$A3684)&gt;0,1,0)</f>
        <v>0</v>
      </c>
      <c r="M3684" s="16" t="str">
        <f>IF($A3684&lt;Notes!$B$5,"",IF(COUNTIFS(Release_Calendar!$A$2:$A$755,"NZ_CPI",Release_Calendar!$B$2:$B$755,$A3684)&gt;0,1,0))</f>
        <v/>
      </c>
      <c r="N3684" s="16" t="str">
        <f>IF($A3684&lt;Notes!$B$5,"",IF(COUNTIFS(Release_Calendar!$A$2:$A$755,"NZ_GDP",Release_Calendar!$B$2:$B$755,$A3684)&gt;0,1,0))</f>
        <v/>
      </c>
      <c r="O3684" s="16" t="str">
        <f>IF($A3684&lt;Notes!$B$5,"",IF(COUNTIFS(Release_Calendar!$A$2:$A$755,"NZ_LABOUR",Release_Calendar!$B$2:$B$755,$A3684)&gt;0,1,0))</f>
        <v/>
      </c>
      <c r="P3684" s="16">
        <f t="shared" si="4"/>
        <v>0</v>
      </c>
    </row>
    <row r="3685" ht="15.75" customHeight="1">
      <c r="A3685" s="14">
        <v>41683.0</v>
      </c>
      <c r="B3685" s="15">
        <v>0.32</v>
      </c>
      <c r="C3685" s="15">
        <v>3.87</v>
      </c>
      <c r="D3685" s="15"/>
      <c r="E3685" s="15"/>
      <c r="F3685" s="15">
        <f t="shared" si="1"/>
        <v>3.55</v>
      </c>
      <c r="G3685" s="15">
        <f t="shared" si="2"/>
        <v>3.87</v>
      </c>
      <c r="H3685" s="16">
        <v>0.0</v>
      </c>
      <c r="I3685" s="15">
        <f t="shared" si="3"/>
        <v>3.55</v>
      </c>
      <c r="J3685" s="15">
        <v>14.14</v>
      </c>
      <c r="K3685" s="16">
        <f>IF(COUNTIFS(Release_Calendar!$A$2:$A$755,"US_CPI",Release_Calendar!$B$2:$B$755,$A3685)&gt;0,1,0)</f>
        <v>0</v>
      </c>
      <c r="L3685" s="16">
        <f>IF(COUNTIFS(Release_Calendar!$A$2:$A$755,"US_NFP",Release_Calendar!$B$2:$B$755,$A3685)&gt;0,1,0)</f>
        <v>0</v>
      </c>
      <c r="M3685" s="16" t="str">
        <f>IF($A3685&lt;Notes!$B$5,"",IF(COUNTIFS(Release_Calendar!$A$2:$A$755,"NZ_CPI",Release_Calendar!$B$2:$B$755,$A3685)&gt;0,1,0))</f>
        <v/>
      </c>
      <c r="N3685" s="16" t="str">
        <f>IF($A3685&lt;Notes!$B$5,"",IF(COUNTIFS(Release_Calendar!$A$2:$A$755,"NZ_GDP",Release_Calendar!$B$2:$B$755,$A3685)&gt;0,1,0))</f>
        <v/>
      </c>
      <c r="O3685" s="16" t="str">
        <f>IF($A3685&lt;Notes!$B$5,"",IF(COUNTIFS(Release_Calendar!$A$2:$A$755,"NZ_LABOUR",Release_Calendar!$B$2:$B$755,$A3685)&gt;0,1,0))</f>
        <v/>
      </c>
      <c r="P3685" s="16">
        <f t="shared" si="4"/>
        <v>0</v>
      </c>
    </row>
    <row r="3686" ht="15.75" customHeight="1">
      <c r="A3686" s="14">
        <v>41684.0</v>
      </c>
      <c r="B3686" s="15">
        <v>0.32</v>
      </c>
      <c r="C3686" s="15">
        <v>3.86</v>
      </c>
      <c r="D3686" s="15"/>
      <c r="E3686" s="15"/>
      <c r="F3686" s="15">
        <f t="shared" si="1"/>
        <v>3.54</v>
      </c>
      <c r="G3686" s="15">
        <f t="shared" si="2"/>
        <v>3.86</v>
      </c>
      <c r="H3686" s="16">
        <v>0.0</v>
      </c>
      <c r="I3686" s="15">
        <f t="shared" si="3"/>
        <v>3.54</v>
      </c>
      <c r="J3686" s="15">
        <v>13.57</v>
      </c>
      <c r="K3686" s="16">
        <f>IF(COUNTIFS(Release_Calendar!$A$2:$A$755,"US_CPI",Release_Calendar!$B$2:$B$755,$A3686)&gt;0,1,0)</f>
        <v>0</v>
      </c>
      <c r="L3686" s="16">
        <f>IF(COUNTIFS(Release_Calendar!$A$2:$A$755,"US_NFP",Release_Calendar!$B$2:$B$755,$A3686)&gt;0,1,0)</f>
        <v>0</v>
      </c>
      <c r="M3686" s="16" t="str">
        <f>IF($A3686&lt;Notes!$B$5,"",IF(COUNTIFS(Release_Calendar!$A$2:$A$755,"NZ_CPI",Release_Calendar!$B$2:$B$755,$A3686)&gt;0,1,0))</f>
        <v/>
      </c>
      <c r="N3686" s="16" t="str">
        <f>IF($A3686&lt;Notes!$B$5,"",IF(COUNTIFS(Release_Calendar!$A$2:$A$755,"NZ_GDP",Release_Calendar!$B$2:$B$755,$A3686)&gt;0,1,0))</f>
        <v/>
      </c>
      <c r="O3686" s="16" t="str">
        <f>IF($A3686&lt;Notes!$B$5,"",IF(COUNTIFS(Release_Calendar!$A$2:$A$755,"NZ_LABOUR",Release_Calendar!$B$2:$B$755,$A3686)&gt;0,1,0))</f>
        <v/>
      </c>
      <c r="P3686" s="16">
        <f t="shared" si="4"/>
        <v>0</v>
      </c>
    </row>
    <row r="3687" ht="15.75" customHeight="1">
      <c r="A3687" s="14">
        <v>41687.0</v>
      </c>
      <c r="B3687" s="15"/>
      <c r="C3687" s="15">
        <v>3.85</v>
      </c>
      <c r="D3687" s="15"/>
      <c r="E3687" s="15"/>
      <c r="F3687" s="15" t="str">
        <f t="shared" si="1"/>
        <v/>
      </c>
      <c r="G3687" s="15">
        <f t="shared" si="2"/>
        <v>3.85</v>
      </c>
      <c r="H3687" s="16">
        <v>0.0</v>
      </c>
      <c r="I3687" s="15" t="str">
        <f t="shared" si="3"/>
        <v/>
      </c>
      <c r="J3687" s="15"/>
      <c r="K3687" s="16">
        <f>IF(COUNTIFS(Release_Calendar!$A$2:$A$755,"US_CPI",Release_Calendar!$B$2:$B$755,$A3687)&gt;0,1,0)</f>
        <v>0</v>
      </c>
      <c r="L3687" s="16">
        <f>IF(COUNTIFS(Release_Calendar!$A$2:$A$755,"US_NFP",Release_Calendar!$B$2:$B$755,$A3687)&gt;0,1,0)</f>
        <v>0</v>
      </c>
      <c r="M3687" s="16" t="str">
        <f>IF($A3687&lt;Notes!$B$5,"",IF(COUNTIFS(Release_Calendar!$A$2:$A$755,"NZ_CPI",Release_Calendar!$B$2:$B$755,$A3687)&gt;0,1,0))</f>
        <v/>
      </c>
      <c r="N3687" s="16" t="str">
        <f>IF($A3687&lt;Notes!$B$5,"",IF(COUNTIFS(Release_Calendar!$A$2:$A$755,"NZ_GDP",Release_Calendar!$B$2:$B$755,$A3687)&gt;0,1,0))</f>
        <v/>
      </c>
      <c r="O3687" s="16" t="str">
        <f>IF($A3687&lt;Notes!$B$5,"",IF(COUNTIFS(Release_Calendar!$A$2:$A$755,"NZ_LABOUR",Release_Calendar!$B$2:$B$755,$A3687)&gt;0,1,0))</f>
        <v/>
      </c>
      <c r="P3687" s="16">
        <f t="shared" si="4"/>
        <v>0</v>
      </c>
    </row>
    <row r="3688" ht="15.75" customHeight="1">
      <c r="A3688" s="14">
        <v>41688.0</v>
      </c>
      <c r="B3688" s="15">
        <v>0.31</v>
      </c>
      <c r="C3688" s="15">
        <v>3.81</v>
      </c>
      <c r="D3688" s="15"/>
      <c r="E3688" s="15"/>
      <c r="F3688" s="15">
        <f t="shared" si="1"/>
        <v>3.5</v>
      </c>
      <c r="G3688" s="15">
        <f t="shared" si="2"/>
        <v>3.81</v>
      </c>
      <c r="H3688" s="16">
        <v>0.0</v>
      </c>
      <c r="I3688" s="15">
        <f t="shared" si="3"/>
        <v>3.5</v>
      </c>
      <c r="J3688" s="15">
        <v>13.87</v>
      </c>
      <c r="K3688" s="16">
        <f>IF(COUNTIFS(Release_Calendar!$A$2:$A$755,"US_CPI",Release_Calendar!$B$2:$B$755,$A3688)&gt;0,1,0)</f>
        <v>0</v>
      </c>
      <c r="L3688" s="16">
        <f>IF(COUNTIFS(Release_Calendar!$A$2:$A$755,"US_NFP",Release_Calendar!$B$2:$B$755,$A3688)&gt;0,1,0)</f>
        <v>0</v>
      </c>
      <c r="M3688" s="16" t="str">
        <f>IF($A3688&lt;Notes!$B$5,"",IF(COUNTIFS(Release_Calendar!$A$2:$A$755,"NZ_CPI",Release_Calendar!$B$2:$B$755,$A3688)&gt;0,1,0))</f>
        <v/>
      </c>
      <c r="N3688" s="16" t="str">
        <f>IF($A3688&lt;Notes!$B$5,"",IF(COUNTIFS(Release_Calendar!$A$2:$A$755,"NZ_GDP",Release_Calendar!$B$2:$B$755,$A3688)&gt;0,1,0))</f>
        <v/>
      </c>
      <c r="O3688" s="16" t="str">
        <f>IF($A3688&lt;Notes!$B$5,"",IF(COUNTIFS(Release_Calendar!$A$2:$A$755,"NZ_LABOUR",Release_Calendar!$B$2:$B$755,$A3688)&gt;0,1,0))</f>
        <v/>
      </c>
      <c r="P3688" s="16">
        <f t="shared" si="4"/>
        <v>0</v>
      </c>
    </row>
    <row r="3689" ht="15.75" customHeight="1">
      <c r="A3689" s="14">
        <v>41689.0</v>
      </c>
      <c r="B3689" s="15">
        <v>0.33</v>
      </c>
      <c r="C3689" s="15">
        <v>3.81</v>
      </c>
      <c r="D3689" s="15"/>
      <c r="E3689" s="15"/>
      <c r="F3689" s="15">
        <f t="shared" si="1"/>
        <v>3.48</v>
      </c>
      <c r="G3689" s="15">
        <f t="shared" si="2"/>
        <v>3.81</v>
      </c>
      <c r="H3689" s="16">
        <v>0.0</v>
      </c>
      <c r="I3689" s="15">
        <f t="shared" si="3"/>
        <v>3.48</v>
      </c>
      <c r="J3689" s="15">
        <v>15.5</v>
      </c>
      <c r="K3689" s="16">
        <f>IF(COUNTIFS(Release_Calendar!$A$2:$A$755,"US_CPI",Release_Calendar!$B$2:$B$755,$A3689)&gt;0,1,0)</f>
        <v>0</v>
      </c>
      <c r="L3689" s="16">
        <f>IF(COUNTIFS(Release_Calendar!$A$2:$A$755,"US_NFP",Release_Calendar!$B$2:$B$755,$A3689)&gt;0,1,0)</f>
        <v>0</v>
      </c>
      <c r="M3689" s="16" t="str">
        <f>IF($A3689&lt;Notes!$B$5,"",IF(COUNTIFS(Release_Calendar!$A$2:$A$755,"NZ_CPI",Release_Calendar!$B$2:$B$755,$A3689)&gt;0,1,0))</f>
        <v/>
      </c>
      <c r="N3689" s="16" t="str">
        <f>IF($A3689&lt;Notes!$B$5,"",IF(COUNTIFS(Release_Calendar!$A$2:$A$755,"NZ_GDP",Release_Calendar!$B$2:$B$755,$A3689)&gt;0,1,0))</f>
        <v/>
      </c>
      <c r="O3689" s="16" t="str">
        <f>IF($A3689&lt;Notes!$B$5,"",IF(COUNTIFS(Release_Calendar!$A$2:$A$755,"NZ_LABOUR",Release_Calendar!$B$2:$B$755,$A3689)&gt;0,1,0))</f>
        <v/>
      </c>
      <c r="P3689" s="16">
        <f t="shared" si="4"/>
        <v>0</v>
      </c>
    </row>
    <row r="3690" ht="15.75" customHeight="1">
      <c r="A3690" s="14">
        <v>41690.0</v>
      </c>
      <c r="B3690" s="15">
        <v>0.34</v>
      </c>
      <c r="C3690" s="15">
        <v>3.81</v>
      </c>
      <c r="D3690" s="15"/>
      <c r="E3690" s="15"/>
      <c r="F3690" s="15">
        <f t="shared" si="1"/>
        <v>3.47</v>
      </c>
      <c r="G3690" s="15">
        <f t="shared" si="2"/>
        <v>3.81</v>
      </c>
      <c r="H3690" s="16">
        <v>0.0</v>
      </c>
      <c r="I3690" s="15">
        <f t="shared" si="3"/>
        <v>3.47</v>
      </c>
      <c r="J3690" s="15">
        <v>14.79</v>
      </c>
      <c r="K3690" s="16">
        <f>IF(COUNTIFS(Release_Calendar!$A$2:$A$755,"US_CPI",Release_Calendar!$B$2:$B$755,$A3690)&gt;0,1,0)</f>
        <v>1</v>
      </c>
      <c r="L3690" s="16">
        <f>IF(COUNTIFS(Release_Calendar!$A$2:$A$755,"US_NFP",Release_Calendar!$B$2:$B$755,$A3690)&gt;0,1,0)</f>
        <v>0</v>
      </c>
      <c r="M3690" s="16" t="str">
        <f>IF($A3690&lt;Notes!$B$5,"",IF(COUNTIFS(Release_Calendar!$A$2:$A$755,"NZ_CPI",Release_Calendar!$B$2:$B$755,$A3690)&gt;0,1,0))</f>
        <v/>
      </c>
      <c r="N3690" s="16" t="str">
        <f>IF($A3690&lt;Notes!$B$5,"",IF(COUNTIFS(Release_Calendar!$A$2:$A$755,"NZ_GDP",Release_Calendar!$B$2:$B$755,$A3690)&gt;0,1,0))</f>
        <v/>
      </c>
      <c r="O3690" s="16" t="str">
        <f>IF($A3690&lt;Notes!$B$5,"",IF(COUNTIFS(Release_Calendar!$A$2:$A$755,"NZ_LABOUR",Release_Calendar!$B$2:$B$755,$A3690)&gt;0,1,0))</f>
        <v/>
      </c>
      <c r="P3690" s="16">
        <f t="shared" si="4"/>
        <v>1</v>
      </c>
    </row>
    <row r="3691" ht="15.75" customHeight="1">
      <c r="A3691" s="14">
        <v>41691.0</v>
      </c>
      <c r="B3691" s="15">
        <v>0.33</v>
      </c>
      <c r="C3691" s="15">
        <v>3.83</v>
      </c>
      <c r="D3691" s="15"/>
      <c r="E3691" s="15"/>
      <c r="F3691" s="15">
        <f t="shared" si="1"/>
        <v>3.5</v>
      </c>
      <c r="G3691" s="15">
        <f t="shared" si="2"/>
        <v>3.83</v>
      </c>
      <c r="H3691" s="16">
        <v>0.0</v>
      </c>
      <c r="I3691" s="15">
        <f t="shared" si="3"/>
        <v>3.5</v>
      </c>
      <c r="J3691" s="15">
        <v>14.68</v>
      </c>
      <c r="K3691" s="16">
        <f>IF(COUNTIFS(Release_Calendar!$A$2:$A$755,"US_CPI",Release_Calendar!$B$2:$B$755,$A3691)&gt;0,1,0)</f>
        <v>0</v>
      </c>
      <c r="L3691" s="16">
        <f>IF(COUNTIFS(Release_Calendar!$A$2:$A$755,"US_NFP",Release_Calendar!$B$2:$B$755,$A3691)&gt;0,1,0)</f>
        <v>0</v>
      </c>
      <c r="M3691" s="16" t="str">
        <f>IF($A3691&lt;Notes!$B$5,"",IF(COUNTIFS(Release_Calendar!$A$2:$A$755,"NZ_CPI",Release_Calendar!$B$2:$B$755,$A3691)&gt;0,1,0))</f>
        <v/>
      </c>
      <c r="N3691" s="16" t="str">
        <f>IF($A3691&lt;Notes!$B$5,"",IF(COUNTIFS(Release_Calendar!$A$2:$A$755,"NZ_GDP",Release_Calendar!$B$2:$B$755,$A3691)&gt;0,1,0))</f>
        <v/>
      </c>
      <c r="O3691" s="16" t="str">
        <f>IF($A3691&lt;Notes!$B$5,"",IF(COUNTIFS(Release_Calendar!$A$2:$A$755,"NZ_LABOUR",Release_Calendar!$B$2:$B$755,$A3691)&gt;0,1,0))</f>
        <v/>
      </c>
      <c r="P3691" s="16">
        <f t="shared" si="4"/>
        <v>0</v>
      </c>
    </row>
    <row r="3692" ht="15.75" customHeight="1">
      <c r="A3692" s="14">
        <v>41694.0</v>
      </c>
      <c r="B3692" s="15">
        <v>0.35</v>
      </c>
      <c r="C3692" s="15">
        <v>3.82</v>
      </c>
      <c r="D3692" s="15"/>
      <c r="E3692" s="15"/>
      <c r="F3692" s="15">
        <f t="shared" si="1"/>
        <v>3.47</v>
      </c>
      <c r="G3692" s="15">
        <f t="shared" si="2"/>
        <v>3.82</v>
      </c>
      <c r="H3692" s="16">
        <v>0.0</v>
      </c>
      <c r="I3692" s="15">
        <f t="shared" si="3"/>
        <v>3.47</v>
      </c>
      <c r="J3692" s="15">
        <v>14.23</v>
      </c>
      <c r="K3692" s="16">
        <f>IF(COUNTIFS(Release_Calendar!$A$2:$A$755,"US_CPI",Release_Calendar!$B$2:$B$755,$A3692)&gt;0,1,0)</f>
        <v>0</v>
      </c>
      <c r="L3692" s="16">
        <f>IF(COUNTIFS(Release_Calendar!$A$2:$A$755,"US_NFP",Release_Calendar!$B$2:$B$755,$A3692)&gt;0,1,0)</f>
        <v>0</v>
      </c>
      <c r="M3692" s="16" t="str">
        <f>IF($A3692&lt;Notes!$B$5,"",IF(COUNTIFS(Release_Calendar!$A$2:$A$755,"NZ_CPI",Release_Calendar!$B$2:$B$755,$A3692)&gt;0,1,0))</f>
        <v/>
      </c>
      <c r="N3692" s="16" t="str">
        <f>IF($A3692&lt;Notes!$B$5,"",IF(COUNTIFS(Release_Calendar!$A$2:$A$755,"NZ_GDP",Release_Calendar!$B$2:$B$755,$A3692)&gt;0,1,0))</f>
        <v/>
      </c>
      <c r="O3692" s="16" t="str">
        <f>IF($A3692&lt;Notes!$B$5,"",IF(COUNTIFS(Release_Calendar!$A$2:$A$755,"NZ_LABOUR",Release_Calendar!$B$2:$B$755,$A3692)&gt;0,1,0))</f>
        <v/>
      </c>
      <c r="P3692" s="16">
        <f t="shared" si="4"/>
        <v>0</v>
      </c>
    </row>
    <row r="3693" ht="15.75" customHeight="1">
      <c r="A3693" s="14">
        <v>41695.0</v>
      </c>
      <c r="B3693" s="15">
        <v>0.34</v>
      </c>
      <c r="C3693" s="15">
        <v>3.82</v>
      </c>
      <c r="D3693" s="15"/>
      <c r="E3693" s="15"/>
      <c r="F3693" s="15">
        <f t="shared" si="1"/>
        <v>3.48</v>
      </c>
      <c r="G3693" s="15">
        <f t="shared" si="2"/>
        <v>3.82</v>
      </c>
      <c r="H3693" s="16">
        <v>0.0</v>
      </c>
      <c r="I3693" s="15">
        <f t="shared" si="3"/>
        <v>3.48</v>
      </c>
      <c r="J3693" s="15">
        <v>13.67</v>
      </c>
      <c r="K3693" s="16">
        <f>IF(COUNTIFS(Release_Calendar!$A$2:$A$755,"US_CPI",Release_Calendar!$B$2:$B$755,$A3693)&gt;0,1,0)</f>
        <v>0</v>
      </c>
      <c r="L3693" s="16">
        <f>IF(COUNTIFS(Release_Calendar!$A$2:$A$755,"US_NFP",Release_Calendar!$B$2:$B$755,$A3693)&gt;0,1,0)</f>
        <v>0</v>
      </c>
      <c r="M3693" s="16" t="str">
        <f>IF($A3693&lt;Notes!$B$5,"",IF(COUNTIFS(Release_Calendar!$A$2:$A$755,"NZ_CPI",Release_Calendar!$B$2:$B$755,$A3693)&gt;0,1,0))</f>
        <v/>
      </c>
      <c r="N3693" s="16" t="str">
        <f>IF($A3693&lt;Notes!$B$5,"",IF(COUNTIFS(Release_Calendar!$A$2:$A$755,"NZ_GDP",Release_Calendar!$B$2:$B$755,$A3693)&gt;0,1,0))</f>
        <v/>
      </c>
      <c r="O3693" s="16" t="str">
        <f>IF($A3693&lt;Notes!$B$5,"",IF(COUNTIFS(Release_Calendar!$A$2:$A$755,"NZ_LABOUR",Release_Calendar!$B$2:$B$755,$A3693)&gt;0,1,0))</f>
        <v/>
      </c>
      <c r="P3693" s="16">
        <f t="shared" si="4"/>
        <v>0</v>
      </c>
    </row>
    <row r="3694" ht="15.75" customHeight="1">
      <c r="A3694" s="14">
        <v>41696.0</v>
      </c>
      <c r="B3694" s="15">
        <v>0.33</v>
      </c>
      <c r="C3694" s="15">
        <v>3.81</v>
      </c>
      <c r="D3694" s="15"/>
      <c r="E3694" s="15"/>
      <c r="F3694" s="15">
        <f t="shared" si="1"/>
        <v>3.48</v>
      </c>
      <c r="G3694" s="15">
        <f t="shared" si="2"/>
        <v>3.81</v>
      </c>
      <c r="H3694" s="16">
        <v>0.0</v>
      </c>
      <c r="I3694" s="15">
        <f t="shared" si="3"/>
        <v>3.48</v>
      </c>
      <c r="J3694" s="15">
        <v>14.35</v>
      </c>
      <c r="K3694" s="16">
        <f>IF(COUNTIFS(Release_Calendar!$A$2:$A$755,"US_CPI",Release_Calendar!$B$2:$B$755,$A3694)&gt;0,1,0)</f>
        <v>0</v>
      </c>
      <c r="L3694" s="16">
        <f>IF(COUNTIFS(Release_Calendar!$A$2:$A$755,"US_NFP",Release_Calendar!$B$2:$B$755,$A3694)&gt;0,1,0)</f>
        <v>0</v>
      </c>
      <c r="M3694" s="16" t="str">
        <f>IF($A3694&lt;Notes!$B$5,"",IF(COUNTIFS(Release_Calendar!$A$2:$A$755,"NZ_CPI",Release_Calendar!$B$2:$B$755,$A3694)&gt;0,1,0))</f>
        <v/>
      </c>
      <c r="N3694" s="16" t="str">
        <f>IF($A3694&lt;Notes!$B$5,"",IF(COUNTIFS(Release_Calendar!$A$2:$A$755,"NZ_GDP",Release_Calendar!$B$2:$B$755,$A3694)&gt;0,1,0))</f>
        <v/>
      </c>
      <c r="O3694" s="16" t="str">
        <f>IF($A3694&lt;Notes!$B$5,"",IF(COUNTIFS(Release_Calendar!$A$2:$A$755,"NZ_LABOUR",Release_Calendar!$B$2:$B$755,$A3694)&gt;0,1,0))</f>
        <v/>
      </c>
      <c r="P3694" s="16">
        <f t="shared" si="4"/>
        <v>0</v>
      </c>
    </row>
    <row r="3695" ht="15.75" customHeight="1">
      <c r="A3695" s="14">
        <v>41697.0</v>
      </c>
      <c r="B3695" s="15">
        <v>0.33</v>
      </c>
      <c r="C3695" s="15">
        <v>3.8</v>
      </c>
      <c r="D3695" s="15"/>
      <c r="E3695" s="15"/>
      <c r="F3695" s="15">
        <f t="shared" si="1"/>
        <v>3.47</v>
      </c>
      <c r="G3695" s="15">
        <f t="shared" si="2"/>
        <v>3.8</v>
      </c>
      <c r="H3695" s="16">
        <v>0.0</v>
      </c>
      <c r="I3695" s="15">
        <f t="shared" si="3"/>
        <v>3.47</v>
      </c>
      <c r="J3695" s="15">
        <v>14.04</v>
      </c>
      <c r="K3695" s="16">
        <f>IF(COUNTIFS(Release_Calendar!$A$2:$A$755,"US_CPI",Release_Calendar!$B$2:$B$755,$A3695)&gt;0,1,0)</f>
        <v>0</v>
      </c>
      <c r="L3695" s="16">
        <f>IF(COUNTIFS(Release_Calendar!$A$2:$A$755,"US_NFP",Release_Calendar!$B$2:$B$755,$A3695)&gt;0,1,0)</f>
        <v>0</v>
      </c>
      <c r="M3695" s="16" t="str">
        <f>IF($A3695&lt;Notes!$B$5,"",IF(COUNTIFS(Release_Calendar!$A$2:$A$755,"NZ_CPI",Release_Calendar!$B$2:$B$755,$A3695)&gt;0,1,0))</f>
        <v/>
      </c>
      <c r="N3695" s="16" t="str">
        <f>IF($A3695&lt;Notes!$B$5,"",IF(COUNTIFS(Release_Calendar!$A$2:$A$755,"NZ_GDP",Release_Calendar!$B$2:$B$755,$A3695)&gt;0,1,0))</f>
        <v/>
      </c>
      <c r="O3695" s="16" t="str">
        <f>IF($A3695&lt;Notes!$B$5,"",IF(COUNTIFS(Release_Calendar!$A$2:$A$755,"NZ_LABOUR",Release_Calendar!$B$2:$B$755,$A3695)&gt;0,1,0))</f>
        <v/>
      </c>
      <c r="P3695" s="16">
        <f t="shared" si="4"/>
        <v>0</v>
      </c>
    </row>
    <row r="3696" ht="15.75" customHeight="1">
      <c r="A3696" s="14">
        <v>41698.0</v>
      </c>
      <c r="B3696" s="15">
        <v>0.33</v>
      </c>
      <c r="C3696" s="15">
        <v>3.82</v>
      </c>
      <c r="D3696" s="15"/>
      <c r="E3696" s="15"/>
      <c r="F3696" s="15">
        <f t="shared" si="1"/>
        <v>3.49</v>
      </c>
      <c r="G3696" s="15">
        <f t="shared" si="2"/>
        <v>3.82</v>
      </c>
      <c r="H3696" s="16">
        <v>0.0</v>
      </c>
      <c r="I3696" s="15">
        <f t="shared" si="3"/>
        <v>3.49</v>
      </c>
      <c r="J3696" s="15">
        <v>14.0</v>
      </c>
      <c r="K3696" s="16">
        <f>IF(COUNTIFS(Release_Calendar!$A$2:$A$755,"US_CPI",Release_Calendar!$B$2:$B$755,$A3696)&gt;0,1,0)</f>
        <v>0</v>
      </c>
      <c r="L3696" s="16">
        <f>IF(COUNTIFS(Release_Calendar!$A$2:$A$755,"US_NFP",Release_Calendar!$B$2:$B$755,$A3696)&gt;0,1,0)</f>
        <v>0</v>
      </c>
      <c r="M3696" s="16" t="str">
        <f>IF($A3696&lt;Notes!$B$5,"",IF(COUNTIFS(Release_Calendar!$A$2:$A$755,"NZ_CPI",Release_Calendar!$B$2:$B$755,$A3696)&gt;0,1,0))</f>
        <v/>
      </c>
      <c r="N3696" s="16" t="str">
        <f>IF($A3696&lt;Notes!$B$5,"",IF(COUNTIFS(Release_Calendar!$A$2:$A$755,"NZ_GDP",Release_Calendar!$B$2:$B$755,$A3696)&gt;0,1,0))</f>
        <v/>
      </c>
      <c r="O3696" s="16" t="str">
        <f>IF($A3696&lt;Notes!$B$5,"",IF(COUNTIFS(Release_Calendar!$A$2:$A$755,"NZ_LABOUR",Release_Calendar!$B$2:$B$755,$A3696)&gt;0,1,0))</f>
        <v/>
      </c>
      <c r="P3696" s="16">
        <f t="shared" si="4"/>
        <v>0</v>
      </c>
    </row>
    <row r="3697" ht="15.75" customHeight="1">
      <c r="A3697" s="14">
        <v>41701.0</v>
      </c>
      <c r="B3697" s="15">
        <v>0.32</v>
      </c>
      <c r="C3697" s="15">
        <v>3.8</v>
      </c>
      <c r="D3697" s="15"/>
      <c r="E3697" s="15"/>
      <c r="F3697" s="15">
        <f t="shared" si="1"/>
        <v>3.48</v>
      </c>
      <c r="G3697" s="15">
        <f t="shared" si="2"/>
        <v>3.8</v>
      </c>
      <c r="H3697" s="16">
        <v>0.0</v>
      </c>
      <c r="I3697" s="15">
        <f t="shared" si="3"/>
        <v>3.48</v>
      </c>
      <c r="J3697" s="15">
        <v>16.0</v>
      </c>
      <c r="K3697" s="16">
        <f>IF(COUNTIFS(Release_Calendar!$A$2:$A$755,"US_CPI",Release_Calendar!$B$2:$B$755,$A3697)&gt;0,1,0)</f>
        <v>0</v>
      </c>
      <c r="L3697" s="16">
        <f>IF(COUNTIFS(Release_Calendar!$A$2:$A$755,"US_NFP",Release_Calendar!$B$2:$B$755,$A3697)&gt;0,1,0)</f>
        <v>0</v>
      </c>
      <c r="M3697" s="16" t="str">
        <f>IF($A3697&lt;Notes!$B$5,"",IF(COUNTIFS(Release_Calendar!$A$2:$A$755,"NZ_CPI",Release_Calendar!$B$2:$B$755,$A3697)&gt;0,1,0))</f>
        <v/>
      </c>
      <c r="N3697" s="16" t="str">
        <f>IF($A3697&lt;Notes!$B$5,"",IF(COUNTIFS(Release_Calendar!$A$2:$A$755,"NZ_GDP",Release_Calendar!$B$2:$B$755,$A3697)&gt;0,1,0))</f>
        <v/>
      </c>
      <c r="O3697" s="16" t="str">
        <f>IF($A3697&lt;Notes!$B$5,"",IF(COUNTIFS(Release_Calendar!$A$2:$A$755,"NZ_LABOUR",Release_Calendar!$B$2:$B$755,$A3697)&gt;0,1,0))</f>
        <v/>
      </c>
      <c r="P3697" s="16">
        <f t="shared" si="4"/>
        <v>0</v>
      </c>
    </row>
    <row r="3698" ht="15.75" customHeight="1">
      <c r="A3698" s="14">
        <v>41702.0</v>
      </c>
      <c r="B3698" s="15">
        <v>0.33</v>
      </c>
      <c r="C3698" s="15">
        <v>3.82</v>
      </c>
      <c r="D3698" s="15"/>
      <c r="E3698" s="15"/>
      <c r="F3698" s="15">
        <f t="shared" si="1"/>
        <v>3.49</v>
      </c>
      <c r="G3698" s="15">
        <f t="shared" si="2"/>
        <v>3.82</v>
      </c>
      <c r="H3698" s="16">
        <v>0.0</v>
      </c>
      <c r="I3698" s="15">
        <f t="shared" si="3"/>
        <v>3.49</v>
      </c>
      <c r="J3698" s="15">
        <v>14.1</v>
      </c>
      <c r="K3698" s="16">
        <f>IF(COUNTIFS(Release_Calendar!$A$2:$A$755,"US_CPI",Release_Calendar!$B$2:$B$755,$A3698)&gt;0,1,0)</f>
        <v>0</v>
      </c>
      <c r="L3698" s="16">
        <f>IF(COUNTIFS(Release_Calendar!$A$2:$A$755,"US_NFP",Release_Calendar!$B$2:$B$755,$A3698)&gt;0,1,0)</f>
        <v>0</v>
      </c>
      <c r="M3698" s="16" t="str">
        <f>IF($A3698&lt;Notes!$B$5,"",IF(COUNTIFS(Release_Calendar!$A$2:$A$755,"NZ_CPI",Release_Calendar!$B$2:$B$755,$A3698)&gt;0,1,0))</f>
        <v/>
      </c>
      <c r="N3698" s="16" t="str">
        <f>IF($A3698&lt;Notes!$B$5,"",IF(COUNTIFS(Release_Calendar!$A$2:$A$755,"NZ_GDP",Release_Calendar!$B$2:$B$755,$A3698)&gt;0,1,0))</f>
        <v/>
      </c>
      <c r="O3698" s="16" t="str">
        <f>IF($A3698&lt;Notes!$B$5,"",IF(COUNTIFS(Release_Calendar!$A$2:$A$755,"NZ_LABOUR",Release_Calendar!$B$2:$B$755,$A3698)&gt;0,1,0))</f>
        <v/>
      </c>
      <c r="P3698" s="16">
        <f t="shared" si="4"/>
        <v>0</v>
      </c>
    </row>
    <row r="3699" ht="15.75" customHeight="1">
      <c r="A3699" s="14">
        <v>41703.0</v>
      </c>
      <c r="B3699" s="15">
        <v>0.33</v>
      </c>
      <c r="C3699" s="15">
        <v>3.86</v>
      </c>
      <c r="D3699" s="15"/>
      <c r="E3699" s="15"/>
      <c r="F3699" s="15">
        <f t="shared" si="1"/>
        <v>3.53</v>
      </c>
      <c r="G3699" s="15">
        <f t="shared" si="2"/>
        <v>3.86</v>
      </c>
      <c r="H3699" s="16">
        <v>0.0</v>
      </c>
      <c r="I3699" s="15">
        <f t="shared" si="3"/>
        <v>3.53</v>
      </c>
      <c r="J3699" s="15">
        <v>13.89</v>
      </c>
      <c r="K3699" s="16">
        <f>IF(COUNTIFS(Release_Calendar!$A$2:$A$755,"US_CPI",Release_Calendar!$B$2:$B$755,$A3699)&gt;0,1,0)</f>
        <v>0</v>
      </c>
      <c r="L3699" s="16">
        <f>IF(COUNTIFS(Release_Calendar!$A$2:$A$755,"US_NFP",Release_Calendar!$B$2:$B$755,$A3699)&gt;0,1,0)</f>
        <v>0</v>
      </c>
      <c r="M3699" s="16" t="str">
        <f>IF($A3699&lt;Notes!$B$5,"",IF(COUNTIFS(Release_Calendar!$A$2:$A$755,"NZ_CPI",Release_Calendar!$B$2:$B$755,$A3699)&gt;0,1,0))</f>
        <v/>
      </c>
      <c r="N3699" s="16" t="str">
        <f>IF($A3699&lt;Notes!$B$5,"",IF(COUNTIFS(Release_Calendar!$A$2:$A$755,"NZ_GDP",Release_Calendar!$B$2:$B$755,$A3699)&gt;0,1,0))</f>
        <v/>
      </c>
      <c r="O3699" s="16" t="str">
        <f>IF($A3699&lt;Notes!$B$5,"",IF(COUNTIFS(Release_Calendar!$A$2:$A$755,"NZ_LABOUR",Release_Calendar!$B$2:$B$755,$A3699)&gt;0,1,0))</f>
        <v/>
      </c>
      <c r="P3699" s="16">
        <f t="shared" si="4"/>
        <v>0</v>
      </c>
    </row>
    <row r="3700" ht="15.75" customHeight="1">
      <c r="A3700" s="14">
        <v>41704.0</v>
      </c>
      <c r="B3700" s="15">
        <v>0.37</v>
      </c>
      <c r="C3700" s="15">
        <v>3.9</v>
      </c>
      <c r="D3700" s="15"/>
      <c r="E3700" s="15"/>
      <c r="F3700" s="15">
        <f t="shared" si="1"/>
        <v>3.53</v>
      </c>
      <c r="G3700" s="15">
        <f t="shared" si="2"/>
        <v>3.9</v>
      </c>
      <c r="H3700" s="16">
        <v>0.0</v>
      </c>
      <c r="I3700" s="15">
        <f t="shared" si="3"/>
        <v>3.53</v>
      </c>
      <c r="J3700" s="15">
        <v>14.21</v>
      </c>
      <c r="K3700" s="16">
        <f>IF(COUNTIFS(Release_Calendar!$A$2:$A$755,"US_CPI",Release_Calendar!$B$2:$B$755,$A3700)&gt;0,1,0)</f>
        <v>0</v>
      </c>
      <c r="L3700" s="16">
        <f>IF(COUNTIFS(Release_Calendar!$A$2:$A$755,"US_NFP",Release_Calendar!$B$2:$B$755,$A3700)&gt;0,1,0)</f>
        <v>0</v>
      </c>
      <c r="M3700" s="16" t="str">
        <f>IF($A3700&lt;Notes!$B$5,"",IF(COUNTIFS(Release_Calendar!$A$2:$A$755,"NZ_CPI",Release_Calendar!$B$2:$B$755,$A3700)&gt;0,1,0))</f>
        <v/>
      </c>
      <c r="N3700" s="16" t="str">
        <f>IF($A3700&lt;Notes!$B$5,"",IF(COUNTIFS(Release_Calendar!$A$2:$A$755,"NZ_GDP",Release_Calendar!$B$2:$B$755,$A3700)&gt;0,1,0))</f>
        <v/>
      </c>
      <c r="O3700" s="16" t="str">
        <f>IF($A3700&lt;Notes!$B$5,"",IF(COUNTIFS(Release_Calendar!$A$2:$A$755,"NZ_LABOUR",Release_Calendar!$B$2:$B$755,$A3700)&gt;0,1,0))</f>
        <v/>
      </c>
      <c r="P3700" s="16">
        <f t="shared" si="4"/>
        <v>0</v>
      </c>
    </row>
    <row r="3701" ht="15.75" customHeight="1">
      <c r="A3701" s="14">
        <v>41705.0</v>
      </c>
      <c r="B3701" s="15">
        <v>0.38</v>
      </c>
      <c r="C3701" s="15">
        <v>3.95</v>
      </c>
      <c r="D3701" s="15"/>
      <c r="E3701" s="15"/>
      <c r="F3701" s="15">
        <f t="shared" si="1"/>
        <v>3.57</v>
      </c>
      <c r="G3701" s="15">
        <f t="shared" si="2"/>
        <v>3.95</v>
      </c>
      <c r="H3701" s="16">
        <v>0.0</v>
      </c>
      <c r="I3701" s="15">
        <f t="shared" si="3"/>
        <v>3.57</v>
      </c>
      <c r="J3701" s="15">
        <v>14.11</v>
      </c>
      <c r="K3701" s="16">
        <f>IF(COUNTIFS(Release_Calendar!$A$2:$A$755,"US_CPI",Release_Calendar!$B$2:$B$755,$A3701)&gt;0,1,0)</f>
        <v>0</v>
      </c>
      <c r="L3701" s="16">
        <f>IF(COUNTIFS(Release_Calendar!$A$2:$A$755,"US_NFP",Release_Calendar!$B$2:$B$755,$A3701)&gt;0,1,0)</f>
        <v>1</v>
      </c>
      <c r="M3701" s="16" t="str">
        <f>IF($A3701&lt;Notes!$B$5,"",IF(COUNTIFS(Release_Calendar!$A$2:$A$755,"NZ_CPI",Release_Calendar!$B$2:$B$755,$A3701)&gt;0,1,0))</f>
        <v/>
      </c>
      <c r="N3701" s="16" t="str">
        <f>IF($A3701&lt;Notes!$B$5,"",IF(COUNTIFS(Release_Calendar!$A$2:$A$755,"NZ_GDP",Release_Calendar!$B$2:$B$755,$A3701)&gt;0,1,0))</f>
        <v/>
      </c>
      <c r="O3701" s="16" t="str">
        <f>IF($A3701&lt;Notes!$B$5,"",IF(COUNTIFS(Release_Calendar!$A$2:$A$755,"NZ_LABOUR",Release_Calendar!$B$2:$B$755,$A3701)&gt;0,1,0))</f>
        <v/>
      </c>
      <c r="P3701" s="16">
        <f t="shared" si="4"/>
        <v>1</v>
      </c>
    </row>
    <row r="3702" ht="15.75" customHeight="1">
      <c r="A3702" s="14">
        <v>41708.0</v>
      </c>
      <c r="B3702" s="15">
        <v>0.37</v>
      </c>
      <c r="C3702" s="15">
        <v>3.95</v>
      </c>
      <c r="D3702" s="15"/>
      <c r="E3702" s="15"/>
      <c r="F3702" s="15">
        <f t="shared" si="1"/>
        <v>3.58</v>
      </c>
      <c r="G3702" s="15">
        <f t="shared" si="2"/>
        <v>3.95</v>
      </c>
      <c r="H3702" s="16">
        <v>0.0</v>
      </c>
      <c r="I3702" s="15">
        <f t="shared" si="3"/>
        <v>3.58</v>
      </c>
      <c r="J3702" s="15">
        <v>14.2</v>
      </c>
      <c r="K3702" s="16">
        <f>IF(COUNTIFS(Release_Calendar!$A$2:$A$755,"US_CPI",Release_Calendar!$B$2:$B$755,$A3702)&gt;0,1,0)</f>
        <v>0</v>
      </c>
      <c r="L3702" s="16">
        <f>IF(COUNTIFS(Release_Calendar!$A$2:$A$755,"US_NFP",Release_Calendar!$B$2:$B$755,$A3702)&gt;0,1,0)</f>
        <v>0</v>
      </c>
      <c r="M3702" s="16" t="str">
        <f>IF($A3702&lt;Notes!$B$5,"",IF(COUNTIFS(Release_Calendar!$A$2:$A$755,"NZ_CPI",Release_Calendar!$B$2:$B$755,$A3702)&gt;0,1,0))</f>
        <v/>
      </c>
      <c r="N3702" s="16" t="str">
        <f>IF($A3702&lt;Notes!$B$5,"",IF(COUNTIFS(Release_Calendar!$A$2:$A$755,"NZ_GDP",Release_Calendar!$B$2:$B$755,$A3702)&gt;0,1,0))</f>
        <v/>
      </c>
      <c r="O3702" s="16" t="str">
        <f>IF($A3702&lt;Notes!$B$5,"",IF(COUNTIFS(Release_Calendar!$A$2:$A$755,"NZ_LABOUR",Release_Calendar!$B$2:$B$755,$A3702)&gt;0,1,0))</f>
        <v/>
      </c>
      <c r="P3702" s="16">
        <f t="shared" si="4"/>
        <v>0</v>
      </c>
    </row>
    <row r="3703" ht="15.75" customHeight="1">
      <c r="A3703" s="14">
        <v>41709.0</v>
      </c>
      <c r="B3703" s="15">
        <v>0.37</v>
      </c>
      <c r="C3703" s="15">
        <v>3.93</v>
      </c>
      <c r="D3703" s="15"/>
      <c r="E3703" s="15"/>
      <c r="F3703" s="15">
        <f t="shared" si="1"/>
        <v>3.56</v>
      </c>
      <c r="G3703" s="15">
        <f t="shared" si="2"/>
        <v>3.93</v>
      </c>
      <c r="H3703" s="16">
        <v>0.0</v>
      </c>
      <c r="I3703" s="15">
        <f t="shared" si="3"/>
        <v>3.56</v>
      </c>
      <c r="J3703" s="15">
        <v>14.8</v>
      </c>
      <c r="K3703" s="16">
        <f>IF(COUNTIFS(Release_Calendar!$A$2:$A$755,"US_CPI",Release_Calendar!$B$2:$B$755,$A3703)&gt;0,1,0)</f>
        <v>0</v>
      </c>
      <c r="L3703" s="16">
        <f>IF(COUNTIFS(Release_Calendar!$A$2:$A$755,"US_NFP",Release_Calendar!$B$2:$B$755,$A3703)&gt;0,1,0)</f>
        <v>0</v>
      </c>
      <c r="M3703" s="16" t="str">
        <f>IF($A3703&lt;Notes!$B$5,"",IF(COUNTIFS(Release_Calendar!$A$2:$A$755,"NZ_CPI",Release_Calendar!$B$2:$B$755,$A3703)&gt;0,1,0))</f>
        <v/>
      </c>
      <c r="N3703" s="16" t="str">
        <f>IF($A3703&lt;Notes!$B$5,"",IF(COUNTIFS(Release_Calendar!$A$2:$A$755,"NZ_GDP",Release_Calendar!$B$2:$B$755,$A3703)&gt;0,1,0))</f>
        <v/>
      </c>
      <c r="O3703" s="16" t="str">
        <f>IF($A3703&lt;Notes!$B$5,"",IF(COUNTIFS(Release_Calendar!$A$2:$A$755,"NZ_LABOUR",Release_Calendar!$B$2:$B$755,$A3703)&gt;0,1,0))</f>
        <v/>
      </c>
      <c r="P3703" s="16">
        <f t="shared" si="4"/>
        <v>0</v>
      </c>
    </row>
    <row r="3704" ht="15.75" customHeight="1">
      <c r="A3704" s="14">
        <v>41710.0</v>
      </c>
      <c r="B3704" s="15">
        <v>0.37</v>
      </c>
      <c r="C3704" s="15">
        <v>3.93</v>
      </c>
      <c r="D3704" s="15"/>
      <c r="E3704" s="15"/>
      <c r="F3704" s="15">
        <f t="shared" si="1"/>
        <v>3.56</v>
      </c>
      <c r="G3704" s="15">
        <f t="shared" si="2"/>
        <v>3.93</v>
      </c>
      <c r="H3704" s="16">
        <v>0.0</v>
      </c>
      <c r="I3704" s="15">
        <f t="shared" si="3"/>
        <v>3.56</v>
      </c>
      <c r="J3704" s="15">
        <v>14.47</v>
      </c>
      <c r="K3704" s="16">
        <f>IF(COUNTIFS(Release_Calendar!$A$2:$A$755,"US_CPI",Release_Calendar!$B$2:$B$755,$A3704)&gt;0,1,0)</f>
        <v>0</v>
      </c>
      <c r="L3704" s="16">
        <f>IF(COUNTIFS(Release_Calendar!$A$2:$A$755,"US_NFP",Release_Calendar!$B$2:$B$755,$A3704)&gt;0,1,0)</f>
        <v>0</v>
      </c>
      <c r="M3704" s="16" t="str">
        <f>IF($A3704&lt;Notes!$B$5,"",IF(COUNTIFS(Release_Calendar!$A$2:$A$755,"NZ_CPI",Release_Calendar!$B$2:$B$755,$A3704)&gt;0,1,0))</f>
        <v/>
      </c>
      <c r="N3704" s="16" t="str">
        <f>IF($A3704&lt;Notes!$B$5,"",IF(COUNTIFS(Release_Calendar!$A$2:$A$755,"NZ_GDP",Release_Calendar!$B$2:$B$755,$A3704)&gt;0,1,0))</f>
        <v/>
      </c>
      <c r="O3704" s="16" t="str">
        <f>IF($A3704&lt;Notes!$B$5,"",IF(COUNTIFS(Release_Calendar!$A$2:$A$755,"NZ_LABOUR",Release_Calendar!$B$2:$B$755,$A3704)&gt;0,1,0))</f>
        <v/>
      </c>
      <c r="P3704" s="16">
        <f t="shared" si="4"/>
        <v>0</v>
      </c>
    </row>
    <row r="3705" ht="15.75" customHeight="1">
      <c r="A3705" s="14">
        <v>41711.0</v>
      </c>
      <c r="B3705" s="15">
        <v>0.34</v>
      </c>
      <c r="C3705" s="15">
        <v>4.01</v>
      </c>
      <c r="D3705" s="15"/>
      <c r="E3705" s="15"/>
      <c r="F3705" s="15">
        <f t="shared" si="1"/>
        <v>3.67</v>
      </c>
      <c r="G3705" s="15">
        <f t="shared" si="2"/>
        <v>4.01</v>
      </c>
      <c r="H3705" s="16">
        <v>0.0</v>
      </c>
      <c r="I3705" s="15">
        <f t="shared" si="3"/>
        <v>3.67</v>
      </c>
      <c r="J3705" s="15">
        <v>16.22</v>
      </c>
      <c r="K3705" s="16">
        <f>IF(COUNTIFS(Release_Calendar!$A$2:$A$755,"US_CPI",Release_Calendar!$B$2:$B$755,$A3705)&gt;0,1,0)</f>
        <v>0</v>
      </c>
      <c r="L3705" s="16">
        <f>IF(COUNTIFS(Release_Calendar!$A$2:$A$755,"US_NFP",Release_Calendar!$B$2:$B$755,$A3705)&gt;0,1,0)</f>
        <v>0</v>
      </c>
      <c r="M3705" s="16" t="str">
        <f>IF($A3705&lt;Notes!$B$5,"",IF(COUNTIFS(Release_Calendar!$A$2:$A$755,"NZ_CPI",Release_Calendar!$B$2:$B$755,$A3705)&gt;0,1,0))</f>
        <v/>
      </c>
      <c r="N3705" s="16" t="str">
        <f>IF($A3705&lt;Notes!$B$5,"",IF(COUNTIFS(Release_Calendar!$A$2:$A$755,"NZ_GDP",Release_Calendar!$B$2:$B$755,$A3705)&gt;0,1,0))</f>
        <v/>
      </c>
      <c r="O3705" s="16" t="str">
        <f>IF($A3705&lt;Notes!$B$5,"",IF(COUNTIFS(Release_Calendar!$A$2:$A$755,"NZ_LABOUR",Release_Calendar!$B$2:$B$755,$A3705)&gt;0,1,0))</f>
        <v/>
      </c>
      <c r="P3705" s="16">
        <f t="shared" si="4"/>
        <v>0</v>
      </c>
    </row>
    <row r="3706" ht="15.75" customHeight="1">
      <c r="A3706" s="14">
        <v>41712.0</v>
      </c>
      <c r="B3706" s="15">
        <v>0.36</v>
      </c>
      <c r="C3706" s="15">
        <v>4.03</v>
      </c>
      <c r="D3706" s="15"/>
      <c r="E3706" s="15"/>
      <c r="F3706" s="15">
        <f t="shared" si="1"/>
        <v>3.67</v>
      </c>
      <c r="G3706" s="15">
        <f t="shared" si="2"/>
        <v>4.03</v>
      </c>
      <c r="H3706" s="16">
        <v>0.0</v>
      </c>
      <c r="I3706" s="15">
        <f t="shared" si="3"/>
        <v>3.67</v>
      </c>
      <c r="J3706" s="15">
        <v>17.82</v>
      </c>
      <c r="K3706" s="16">
        <f>IF(COUNTIFS(Release_Calendar!$A$2:$A$755,"US_CPI",Release_Calendar!$B$2:$B$755,$A3706)&gt;0,1,0)</f>
        <v>0</v>
      </c>
      <c r="L3706" s="16">
        <f>IF(COUNTIFS(Release_Calendar!$A$2:$A$755,"US_NFP",Release_Calendar!$B$2:$B$755,$A3706)&gt;0,1,0)</f>
        <v>0</v>
      </c>
      <c r="M3706" s="16" t="str">
        <f>IF($A3706&lt;Notes!$B$5,"",IF(COUNTIFS(Release_Calendar!$A$2:$A$755,"NZ_CPI",Release_Calendar!$B$2:$B$755,$A3706)&gt;0,1,0))</f>
        <v/>
      </c>
      <c r="N3706" s="16" t="str">
        <f>IF($A3706&lt;Notes!$B$5,"",IF(COUNTIFS(Release_Calendar!$A$2:$A$755,"NZ_GDP",Release_Calendar!$B$2:$B$755,$A3706)&gt;0,1,0))</f>
        <v/>
      </c>
      <c r="O3706" s="16" t="str">
        <f>IF($A3706&lt;Notes!$B$5,"",IF(COUNTIFS(Release_Calendar!$A$2:$A$755,"NZ_LABOUR",Release_Calendar!$B$2:$B$755,$A3706)&gt;0,1,0))</f>
        <v/>
      </c>
      <c r="P3706" s="16">
        <f t="shared" si="4"/>
        <v>0</v>
      </c>
    </row>
    <row r="3707" ht="15.75" customHeight="1">
      <c r="A3707" s="14">
        <v>41715.0</v>
      </c>
      <c r="B3707" s="15">
        <v>0.38</v>
      </c>
      <c r="C3707" s="15">
        <v>4.06</v>
      </c>
      <c r="D3707" s="15"/>
      <c r="E3707" s="15"/>
      <c r="F3707" s="15">
        <f t="shared" si="1"/>
        <v>3.68</v>
      </c>
      <c r="G3707" s="15">
        <f t="shared" si="2"/>
        <v>4.06</v>
      </c>
      <c r="H3707" s="16">
        <v>0.0</v>
      </c>
      <c r="I3707" s="15">
        <f t="shared" si="3"/>
        <v>3.68</v>
      </c>
      <c r="J3707" s="15">
        <v>15.64</v>
      </c>
      <c r="K3707" s="16">
        <f>IF(COUNTIFS(Release_Calendar!$A$2:$A$755,"US_CPI",Release_Calendar!$B$2:$B$755,$A3707)&gt;0,1,0)</f>
        <v>0</v>
      </c>
      <c r="L3707" s="16">
        <f>IF(COUNTIFS(Release_Calendar!$A$2:$A$755,"US_NFP",Release_Calendar!$B$2:$B$755,$A3707)&gt;0,1,0)</f>
        <v>0</v>
      </c>
      <c r="M3707" s="16" t="str">
        <f>IF($A3707&lt;Notes!$B$5,"",IF(COUNTIFS(Release_Calendar!$A$2:$A$755,"NZ_CPI",Release_Calendar!$B$2:$B$755,$A3707)&gt;0,1,0))</f>
        <v/>
      </c>
      <c r="N3707" s="16" t="str">
        <f>IF($A3707&lt;Notes!$B$5,"",IF(COUNTIFS(Release_Calendar!$A$2:$A$755,"NZ_GDP",Release_Calendar!$B$2:$B$755,$A3707)&gt;0,1,0))</f>
        <v/>
      </c>
      <c r="O3707" s="16" t="str">
        <f>IF($A3707&lt;Notes!$B$5,"",IF(COUNTIFS(Release_Calendar!$A$2:$A$755,"NZ_LABOUR",Release_Calendar!$B$2:$B$755,$A3707)&gt;0,1,0))</f>
        <v/>
      </c>
      <c r="P3707" s="16">
        <f t="shared" si="4"/>
        <v>0</v>
      </c>
    </row>
    <row r="3708" ht="15.75" customHeight="1">
      <c r="A3708" s="14">
        <v>41716.0</v>
      </c>
      <c r="B3708" s="15">
        <v>0.36</v>
      </c>
      <c r="C3708" s="15">
        <v>4.05</v>
      </c>
      <c r="D3708" s="15"/>
      <c r="E3708" s="15"/>
      <c r="F3708" s="15">
        <f t="shared" si="1"/>
        <v>3.69</v>
      </c>
      <c r="G3708" s="15">
        <f t="shared" si="2"/>
        <v>4.05</v>
      </c>
      <c r="H3708" s="16">
        <v>0.0</v>
      </c>
      <c r="I3708" s="15">
        <f t="shared" si="3"/>
        <v>3.69</v>
      </c>
      <c r="J3708" s="15">
        <v>14.52</v>
      </c>
      <c r="K3708" s="16">
        <f>IF(COUNTIFS(Release_Calendar!$A$2:$A$755,"US_CPI",Release_Calendar!$B$2:$B$755,$A3708)&gt;0,1,0)</f>
        <v>1</v>
      </c>
      <c r="L3708" s="16">
        <f>IF(COUNTIFS(Release_Calendar!$A$2:$A$755,"US_NFP",Release_Calendar!$B$2:$B$755,$A3708)&gt;0,1,0)</f>
        <v>0</v>
      </c>
      <c r="M3708" s="16" t="str">
        <f>IF($A3708&lt;Notes!$B$5,"",IF(COUNTIFS(Release_Calendar!$A$2:$A$755,"NZ_CPI",Release_Calendar!$B$2:$B$755,$A3708)&gt;0,1,0))</f>
        <v/>
      </c>
      <c r="N3708" s="16" t="str">
        <f>IF($A3708&lt;Notes!$B$5,"",IF(COUNTIFS(Release_Calendar!$A$2:$A$755,"NZ_GDP",Release_Calendar!$B$2:$B$755,$A3708)&gt;0,1,0))</f>
        <v/>
      </c>
      <c r="O3708" s="16" t="str">
        <f>IF($A3708&lt;Notes!$B$5,"",IF(COUNTIFS(Release_Calendar!$A$2:$A$755,"NZ_LABOUR",Release_Calendar!$B$2:$B$755,$A3708)&gt;0,1,0))</f>
        <v/>
      </c>
      <c r="P3708" s="16">
        <f t="shared" si="4"/>
        <v>1</v>
      </c>
    </row>
    <row r="3709" ht="15.75" customHeight="1">
      <c r="A3709" s="14">
        <v>41717.0</v>
      </c>
      <c r="B3709" s="15">
        <v>0.47</v>
      </c>
      <c r="C3709" s="15">
        <v>4.03</v>
      </c>
      <c r="D3709" s="15"/>
      <c r="E3709" s="15"/>
      <c r="F3709" s="15">
        <f t="shared" si="1"/>
        <v>3.56</v>
      </c>
      <c r="G3709" s="15">
        <f t="shared" si="2"/>
        <v>4.03</v>
      </c>
      <c r="H3709" s="16">
        <v>0.0</v>
      </c>
      <c r="I3709" s="15">
        <f t="shared" si="3"/>
        <v>3.56</v>
      </c>
      <c r="J3709" s="15">
        <v>15.12</v>
      </c>
      <c r="K3709" s="16">
        <f>IF(COUNTIFS(Release_Calendar!$A$2:$A$755,"US_CPI",Release_Calendar!$B$2:$B$755,$A3709)&gt;0,1,0)</f>
        <v>0</v>
      </c>
      <c r="L3709" s="16">
        <f>IF(COUNTIFS(Release_Calendar!$A$2:$A$755,"US_NFP",Release_Calendar!$B$2:$B$755,$A3709)&gt;0,1,0)</f>
        <v>0</v>
      </c>
      <c r="M3709" s="16" t="str">
        <f>IF($A3709&lt;Notes!$B$5,"",IF(COUNTIFS(Release_Calendar!$A$2:$A$755,"NZ_CPI",Release_Calendar!$B$2:$B$755,$A3709)&gt;0,1,0))</f>
        <v/>
      </c>
      <c r="N3709" s="16" t="str">
        <f>IF($A3709&lt;Notes!$B$5,"",IF(COUNTIFS(Release_Calendar!$A$2:$A$755,"NZ_GDP",Release_Calendar!$B$2:$B$755,$A3709)&gt;0,1,0))</f>
        <v/>
      </c>
      <c r="O3709" s="16" t="str">
        <f>IF($A3709&lt;Notes!$B$5,"",IF(COUNTIFS(Release_Calendar!$A$2:$A$755,"NZ_LABOUR",Release_Calendar!$B$2:$B$755,$A3709)&gt;0,1,0))</f>
        <v/>
      </c>
      <c r="P3709" s="16">
        <f t="shared" si="4"/>
        <v>0</v>
      </c>
    </row>
    <row r="3710" ht="15.75" customHeight="1">
      <c r="A3710" s="14">
        <v>41718.0</v>
      </c>
      <c r="B3710" s="15">
        <v>0.45</v>
      </c>
      <c r="C3710" s="15">
        <v>4.02</v>
      </c>
      <c r="D3710" s="15"/>
      <c r="E3710" s="15"/>
      <c r="F3710" s="15">
        <f t="shared" si="1"/>
        <v>3.57</v>
      </c>
      <c r="G3710" s="15">
        <f t="shared" si="2"/>
        <v>4.02</v>
      </c>
      <c r="H3710" s="16">
        <v>0.0</v>
      </c>
      <c r="I3710" s="15">
        <f t="shared" si="3"/>
        <v>3.57</v>
      </c>
      <c r="J3710" s="15">
        <v>14.52</v>
      </c>
      <c r="K3710" s="16">
        <f>IF(COUNTIFS(Release_Calendar!$A$2:$A$755,"US_CPI",Release_Calendar!$B$2:$B$755,$A3710)&gt;0,1,0)</f>
        <v>0</v>
      </c>
      <c r="L3710" s="16">
        <f>IF(COUNTIFS(Release_Calendar!$A$2:$A$755,"US_NFP",Release_Calendar!$B$2:$B$755,$A3710)&gt;0,1,0)</f>
        <v>0</v>
      </c>
      <c r="M3710" s="16" t="str">
        <f>IF($A3710&lt;Notes!$B$5,"",IF(COUNTIFS(Release_Calendar!$A$2:$A$755,"NZ_CPI",Release_Calendar!$B$2:$B$755,$A3710)&gt;0,1,0))</f>
        <v/>
      </c>
      <c r="N3710" s="16" t="str">
        <f>IF($A3710&lt;Notes!$B$5,"",IF(COUNTIFS(Release_Calendar!$A$2:$A$755,"NZ_GDP",Release_Calendar!$B$2:$B$755,$A3710)&gt;0,1,0))</f>
        <v/>
      </c>
      <c r="O3710" s="16" t="str">
        <f>IF($A3710&lt;Notes!$B$5,"",IF(COUNTIFS(Release_Calendar!$A$2:$A$755,"NZ_LABOUR",Release_Calendar!$B$2:$B$755,$A3710)&gt;0,1,0))</f>
        <v/>
      </c>
      <c r="P3710" s="16">
        <f t="shared" si="4"/>
        <v>0</v>
      </c>
    </row>
    <row r="3711" ht="15.75" customHeight="1">
      <c r="A3711" s="14">
        <v>41719.0</v>
      </c>
      <c r="B3711" s="15">
        <v>0.45</v>
      </c>
      <c r="C3711" s="15">
        <v>4.02</v>
      </c>
      <c r="D3711" s="15"/>
      <c r="E3711" s="15"/>
      <c r="F3711" s="15">
        <f t="shared" si="1"/>
        <v>3.57</v>
      </c>
      <c r="G3711" s="15">
        <f t="shared" si="2"/>
        <v>4.02</v>
      </c>
      <c r="H3711" s="16">
        <v>0.0</v>
      </c>
      <c r="I3711" s="15">
        <f t="shared" si="3"/>
        <v>3.57</v>
      </c>
      <c r="J3711" s="15">
        <v>15.0</v>
      </c>
      <c r="K3711" s="16">
        <f>IF(COUNTIFS(Release_Calendar!$A$2:$A$755,"US_CPI",Release_Calendar!$B$2:$B$755,$A3711)&gt;0,1,0)</f>
        <v>0</v>
      </c>
      <c r="L3711" s="16">
        <f>IF(COUNTIFS(Release_Calendar!$A$2:$A$755,"US_NFP",Release_Calendar!$B$2:$B$755,$A3711)&gt;0,1,0)</f>
        <v>0</v>
      </c>
      <c r="M3711" s="16" t="str">
        <f>IF($A3711&lt;Notes!$B$5,"",IF(COUNTIFS(Release_Calendar!$A$2:$A$755,"NZ_CPI",Release_Calendar!$B$2:$B$755,$A3711)&gt;0,1,0))</f>
        <v/>
      </c>
      <c r="N3711" s="16" t="str">
        <f>IF($A3711&lt;Notes!$B$5,"",IF(COUNTIFS(Release_Calendar!$A$2:$A$755,"NZ_GDP",Release_Calendar!$B$2:$B$755,$A3711)&gt;0,1,0))</f>
        <v/>
      </c>
      <c r="O3711" s="16" t="str">
        <f>IF($A3711&lt;Notes!$B$5,"",IF(COUNTIFS(Release_Calendar!$A$2:$A$755,"NZ_LABOUR",Release_Calendar!$B$2:$B$755,$A3711)&gt;0,1,0))</f>
        <v/>
      </c>
      <c r="P3711" s="16">
        <f t="shared" si="4"/>
        <v>0</v>
      </c>
    </row>
    <row r="3712" ht="15.75" customHeight="1">
      <c r="A3712" s="14">
        <v>41722.0</v>
      </c>
      <c r="B3712" s="15">
        <v>0.47</v>
      </c>
      <c r="C3712" s="15">
        <v>4.02</v>
      </c>
      <c r="D3712" s="15"/>
      <c r="E3712" s="15"/>
      <c r="F3712" s="15">
        <f t="shared" si="1"/>
        <v>3.55</v>
      </c>
      <c r="G3712" s="15">
        <f t="shared" si="2"/>
        <v>4.02</v>
      </c>
      <c r="H3712" s="16">
        <v>0.0</v>
      </c>
      <c r="I3712" s="15">
        <f t="shared" si="3"/>
        <v>3.55</v>
      </c>
      <c r="J3712" s="15">
        <v>15.09</v>
      </c>
      <c r="K3712" s="16">
        <f>IF(COUNTIFS(Release_Calendar!$A$2:$A$755,"US_CPI",Release_Calendar!$B$2:$B$755,$A3712)&gt;0,1,0)</f>
        <v>0</v>
      </c>
      <c r="L3712" s="16">
        <f>IF(COUNTIFS(Release_Calendar!$A$2:$A$755,"US_NFP",Release_Calendar!$B$2:$B$755,$A3712)&gt;0,1,0)</f>
        <v>0</v>
      </c>
      <c r="M3712" s="16" t="str">
        <f>IF($A3712&lt;Notes!$B$5,"",IF(COUNTIFS(Release_Calendar!$A$2:$A$755,"NZ_CPI",Release_Calendar!$B$2:$B$755,$A3712)&gt;0,1,0))</f>
        <v/>
      </c>
      <c r="N3712" s="16" t="str">
        <f>IF($A3712&lt;Notes!$B$5,"",IF(COUNTIFS(Release_Calendar!$A$2:$A$755,"NZ_GDP",Release_Calendar!$B$2:$B$755,$A3712)&gt;0,1,0))</f>
        <v/>
      </c>
      <c r="O3712" s="16" t="str">
        <f>IF($A3712&lt;Notes!$B$5,"",IF(COUNTIFS(Release_Calendar!$A$2:$A$755,"NZ_LABOUR",Release_Calendar!$B$2:$B$755,$A3712)&gt;0,1,0))</f>
        <v/>
      </c>
      <c r="P3712" s="16">
        <f t="shared" si="4"/>
        <v>0</v>
      </c>
    </row>
    <row r="3713" ht="15.75" customHeight="1">
      <c r="A3713" s="14">
        <v>41723.0</v>
      </c>
      <c r="B3713" s="15">
        <v>0.47</v>
      </c>
      <c r="C3713" s="15">
        <v>4.01</v>
      </c>
      <c r="D3713" s="15"/>
      <c r="E3713" s="15"/>
      <c r="F3713" s="15">
        <f t="shared" si="1"/>
        <v>3.54</v>
      </c>
      <c r="G3713" s="15">
        <f t="shared" si="2"/>
        <v>4.01</v>
      </c>
      <c r="H3713" s="16">
        <v>0.0</v>
      </c>
      <c r="I3713" s="15">
        <f t="shared" si="3"/>
        <v>3.54</v>
      </c>
      <c r="J3713" s="15">
        <v>14.02</v>
      </c>
      <c r="K3713" s="16">
        <f>IF(COUNTIFS(Release_Calendar!$A$2:$A$755,"US_CPI",Release_Calendar!$B$2:$B$755,$A3713)&gt;0,1,0)</f>
        <v>0</v>
      </c>
      <c r="L3713" s="16">
        <f>IF(COUNTIFS(Release_Calendar!$A$2:$A$755,"US_NFP",Release_Calendar!$B$2:$B$755,$A3713)&gt;0,1,0)</f>
        <v>0</v>
      </c>
      <c r="M3713" s="16" t="str">
        <f>IF($A3713&lt;Notes!$B$5,"",IF(COUNTIFS(Release_Calendar!$A$2:$A$755,"NZ_CPI",Release_Calendar!$B$2:$B$755,$A3713)&gt;0,1,0))</f>
        <v/>
      </c>
      <c r="N3713" s="16" t="str">
        <f>IF($A3713&lt;Notes!$B$5,"",IF(COUNTIFS(Release_Calendar!$A$2:$A$755,"NZ_GDP",Release_Calendar!$B$2:$B$755,$A3713)&gt;0,1,0))</f>
        <v/>
      </c>
      <c r="O3713" s="16" t="str">
        <f>IF($A3713&lt;Notes!$B$5,"",IF(COUNTIFS(Release_Calendar!$A$2:$A$755,"NZ_LABOUR",Release_Calendar!$B$2:$B$755,$A3713)&gt;0,1,0))</f>
        <v/>
      </c>
      <c r="P3713" s="16">
        <f t="shared" si="4"/>
        <v>0</v>
      </c>
    </row>
    <row r="3714" ht="15.75" customHeight="1">
      <c r="A3714" s="14">
        <v>41724.0</v>
      </c>
      <c r="B3714" s="15">
        <v>0.45</v>
      </c>
      <c r="C3714" s="15">
        <v>4.01</v>
      </c>
      <c r="D3714" s="15"/>
      <c r="E3714" s="15"/>
      <c r="F3714" s="15">
        <f t="shared" si="1"/>
        <v>3.56</v>
      </c>
      <c r="G3714" s="15">
        <f t="shared" si="2"/>
        <v>4.01</v>
      </c>
      <c r="H3714" s="16">
        <v>0.0</v>
      </c>
      <c r="I3714" s="15">
        <f t="shared" si="3"/>
        <v>3.56</v>
      </c>
      <c r="J3714" s="15">
        <v>14.93</v>
      </c>
      <c r="K3714" s="16">
        <f>IF(COUNTIFS(Release_Calendar!$A$2:$A$755,"US_CPI",Release_Calendar!$B$2:$B$755,$A3714)&gt;0,1,0)</f>
        <v>0</v>
      </c>
      <c r="L3714" s="16">
        <f>IF(COUNTIFS(Release_Calendar!$A$2:$A$755,"US_NFP",Release_Calendar!$B$2:$B$755,$A3714)&gt;0,1,0)</f>
        <v>0</v>
      </c>
      <c r="M3714" s="16" t="str">
        <f>IF($A3714&lt;Notes!$B$5,"",IF(COUNTIFS(Release_Calendar!$A$2:$A$755,"NZ_CPI",Release_Calendar!$B$2:$B$755,$A3714)&gt;0,1,0))</f>
        <v/>
      </c>
      <c r="N3714" s="16" t="str">
        <f>IF($A3714&lt;Notes!$B$5,"",IF(COUNTIFS(Release_Calendar!$A$2:$A$755,"NZ_GDP",Release_Calendar!$B$2:$B$755,$A3714)&gt;0,1,0))</f>
        <v/>
      </c>
      <c r="O3714" s="16" t="str">
        <f>IF($A3714&lt;Notes!$B$5,"",IF(COUNTIFS(Release_Calendar!$A$2:$A$755,"NZ_LABOUR",Release_Calendar!$B$2:$B$755,$A3714)&gt;0,1,0))</f>
        <v/>
      </c>
      <c r="P3714" s="16">
        <f t="shared" si="4"/>
        <v>0</v>
      </c>
    </row>
    <row r="3715" ht="15.75" customHeight="1">
      <c r="A3715" s="14">
        <v>41725.0</v>
      </c>
      <c r="B3715" s="15">
        <v>0.45</v>
      </c>
      <c r="C3715" s="15">
        <v>4.01</v>
      </c>
      <c r="D3715" s="15"/>
      <c r="E3715" s="15"/>
      <c r="F3715" s="15">
        <f t="shared" si="1"/>
        <v>3.56</v>
      </c>
      <c r="G3715" s="15">
        <f t="shared" si="2"/>
        <v>4.01</v>
      </c>
      <c r="H3715" s="16">
        <v>0.0</v>
      </c>
      <c r="I3715" s="15">
        <f t="shared" si="3"/>
        <v>3.56</v>
      </c>
      <c r="J3715" s="15">
        <v>14.62</v>
      </c>
      <c r="K3715" s="16">
        <f>IF(COUNTIFS(Release_Calendar!$A$2:$A$755,"US_CPI",Release_Calendar!$B$2:$B$755,$A3715)&gt;0,1,0)</f>
        <v>0</v>
      </c>
      <c r="L3715" s="16">
        <f>IF(COUNTIFS(Release_Calendar!$A$2:$A$755,"US_NFP",Release_Calendar!$B$2:$B$755,$A3715)&gt;0,1,0)</f>
        <v>0</v>
      </c>
      <c r="M3715" s="16" t="str">
        <f>IF($A3715&lt;Notes!$B$5,"",IF(COUNTIFS(Release_Calendar!$A$2:$A$755,"NZ_CPI",Release_Calendar!$B$2:$B$755,$A3715)&gt;0,1,0))</f>
        <v/>
      </c>
      <c r="N3715" s="16" t="str">
        <f>IF($A3715&lt;Notes!$B$5,"",IF(COUNTIFS(Release_Calendar!$A$2:$A$755,"NZ_GDP",Release_Calendar!$B$2:$B$755,$A3715)&gt;0,1,0))</f>
        <v/>
      </c>
      <c r="O3715" s="16" t="str">
        <f>IF($A3715&lt;Notes!$B$5,"",IF(COUNTIFS(Release_Calendar!$A$2:$A$755,"NZ_LABOUR",Release_Calendar!$B$2:$B$755,$A3715)&gt;0,1,0))</f>
        <v/>
      </c>
      <c r="P3715" s="16">
        <f t="shared" si="4"/>
        <v>0</v>
      </c>
    </row>
    <row r="3716" ht="15.75" customHeight="1">
      <c r="A3716" s="14">
        <v>41726.0</v>
      </c>
      <c r="B3716" s="15">
        <v>0.45</v>
      </c>
      <c r="C3716" s="15">
        <v>4.03</v>
      </c>
      <c r="D3716" s="15"/>
      <c r="E3716" s="15"/>
      <c r="F3716" s="15">
        <f t="shared" si="1"/>
        <v>3.58</v>
      </c>
      <c r="G3716" s="15">
        <f t="shared" si="2"/>
        <v>4.03</v>
      </c>
      <c r="H3716" s="16">
        <v>0.0</v>
      </c>
      <c r="I3716" s="15">
        <f t="shared" si="3"/>
        <v>3.58</v>
      </c>
      <c r="J3716" s="15">
        <v>14.41</v>
      </c>
      <c r="K3716" s="16">
        <f>IF(COUNTIFS(Release_Calendar!$A$2:$A$755,"US_CPI",Release_Calendar!$B$2:$B$755,$A3716)&gt;0,1,0)</f>
        <v>0</v>
      </c>
      <c r="L3716" s="16">
        <f>IF(COUNTIFS(Release_Calendar!$A$2:$A$755,"US_NFP",Release_Calendar!$B$2:$B$755,$A3716)&gt;0,1,0)</f>
        <v>0</v>
      </c>
      <c r="M3716" s="16" t="str">
        <f>IF($A3716&lt;Notes!$B$5,"",IF(COUNTIFS(Release_Calendar!$A$2:$A$755,"NZ_CPI",Release_Calendar!$B$2:$B$755,$A3716)&gt;0,1,0))</f>
        <v/>
      </c>
      <c r="N3716" s="16" t="str">
        <f>IF($A3716&lt;Notes!$B$5,"",IF(COUNTIFS(Release_Calendar!$A$2:$A$755,"NZ_GDP",Release_Calendar!$B$2:$B$755,$A3716)&gt;0,1,0))</f>
        <v/>
      </c>
      <c r="O3716" s="16" t="str">
        <f>IF($A3716&lt;Notes!$B$5,"",IF(COUNTIFS(Release_Calendar!$A$2:$A$755,"NZ_LABOUR",Release_Calendar!$B$2:$B$755,$A3716)&gt;0,1,0))</f>
        <v/>
      </c>
      <c r="P3716" s="16">
        <f t="shared" si="4"/>
        <v>0</v>
      </c>
    </row>
    <row r="3717" ht="15.75" customHeight="1">
      <c r="A3717" s="14">
        <v>41729.0</v>
      </c>
      <c r="B3717" s="15">
        <v>0.44</v>
      </c>
      <c r="C3717" s="15">
        <v>4.05</v>
      </c>
      <c r="D3717" s="15"/>
      <c r="E3717" s="15"/>
      <c r="F3717" s="15">
        <f t="shared" si="1"/>
        <v>3.61</v>
      </c>
      <c r="G3717" s="15">
        <f t="shared" si="2"/>
        <v>4.05</v>
      </c>
      <c r="H3717" s="16">
        <v>0.0</v>
      </c>
      <c r="I3717" s="15">
        <f t="shared" si="3"/>
        <v>3.61</v>
      </c>
      <c r="J3717" s="15">
        <v>13.88</v>
      </c>
      <c r="K3717" s="16">
        <f>IF(COUNTIFS(Release_Calendar!$A$2:$A$755,"US_CPI",Release_Calendar!$B$2:$B$755,$A3717)&gt;0,1,0)</f>
        <v>0</v>
      </c>
      <c r="L3717" s="16">
        <f>IF(COUNTIFS(Release_Calendar!$A$2:$A$755,"US_NFP",Release_Calendar!$B$2:$B$755,$A3717)&gt;0,1,0)</f>
        <v>0</v>
      </c>
      <c r="M3717" s="16" t="str">
        <f>IF($A3717&lt;Notes!$B$5,"",IF(COUNTIFS(Release_Calendar!$A$2:$A$755,"NZ_CPI",Release_Calendar!$B$2:$B$755,$A3717)&gt;0,1,0))</f>
        <v/>
      </c>
      <c r="N3717" s="16" t="str">
        <f>IF($A3717&lt;Notes!$B$5,"",IF(COUNTIFS(Release_Calendar!$A$2:$A$755,"NZ_GDP",Release_Calendar!$B$2:$B$755,$A3717)&gt;0,1,0))</f>
        <v/>
      </c>
      <c r="O3717" s="16" t="str">
        <f>IF($A3717&lt;Notes!$B$5,"",IF(COUNTIFS(Release_Calendar!$A$2:$A$755,"NZ_LABOUR",Release_Calendar!$B$2:$B$755,$A3717)&gt;0,1,0))</f>
        <v/>
      </c>
      <c r="P3717" s="16">
        <f t="shared" si="4"/>
        <v>0</v>
      </c>
    </row>
    <row r="3718" ht="15.75" customHeight="1">
      <c r="A3718" s="14">
        <v>41730.0</v>
      </c>
      <c r="B3718" s="15">
        <v>0.44</v>
      </c>
      <c r="C3718" s="15">
        <v>4.08</v>
      </c>
      <c r="D3718" s="15"/>
      <c r="E3718" s="15"/>
      <c r="F3718" s="15">
        <f t="shared" si="1"/>
        <v>3.64</v>
      </c>
      <c r="G3718" s="15">
        <f t="shared" si="2"/>
        <v>4.08</v>
      </c>
      <c r="H3718" s="16">
        <v>0.0</v>
      </c>
      <c r="I3718" s="15">
        <f t="shared" si="3"/>
        <v>3.64</v>
      </c>
      <c r="J3718" s="15">
        <v>13.1</v>
      </c>
      <c r="K3718" s="16">
        <f>IF(COUNTIFS(Release_Calendar!$A$2:$A$755,"US_CPI",Release_Calendar!$B$2:$B$755,$A3718)&gt;0,1,0)</f>
        <v>0</v>
      </c>
      <c r="L3718" s="16">
        <f>IF(COUNTIFS(Release_Calendar!$A$2:$A$755,"US_NFP",Release_Calendar!$B$2:$B$755,$A3718)&gt;0,1,0)</f>
        <v>0</v>
      </c>
      <c r="M3718" s="16" t="str">
        <f>IF($A3718&lt;Notes!$B$5,"",IF(COUNTIFS(Release_Calendar!$A$2:$A$755,"NZ_CPI",Release_Calendar!$B$2:$B$755,$A3718)&gt;0,1,0))</f>
        <v/>
      </c>
      <c r="N3718" s="16" t="str">
        <f>IF($A3718&lt;Notes!$B$5,"",IF(COUNTIFS(Release_Calendar!$A$2:$A$755,"NZ_GDP",Release_Calendar!$B$2:$B$755,$A3718)&gt;0,1,0))</f>
        <v/>
      </c>
      <c r="O3718" s="16" t="str">
        <f>IF($A3718&lt;Notes!$B$5,"",IF(COUNTIFS(Release_Calendar!$A$2:$A$755,"NZ_LABOUR",Release_Calendar!$B$2:$B$755,$A3718)&gt;0,1,0))</f>
        <v/>
      </c>
      <c r="P3718" s="16">
        <f t="shared" si="4"/>
        <v>0</v>
      </c>
    </row>
    <row r="3719" ht="15.75" customHeight="1">
      <c r="A3719" s="14">
        <v>41731.0</v>
      </c>
      <c r="B3719" s="15">
        <v>0.47</v>
      </c>
      <c r="C3719" s="15">
        <v>4.09</v>
      </c>
      <c r="D3719" s="15"/>
      <c r="E3719" s="15"/>
      <c r="F3719" s="15">
        <f t="shared" si="1"/>
        <v>3.62</v>
      </c>
      <c r="G3719" s="15">
        <f t="shared" si="2"/>
        <v>4.09</v>
      </c>
      <c r="H3719" s="16">
        <v>0.0</v>
      </c>
      <c r="I3719" s="15">
        <f t="shared" si="3"/>
        <v>3.62</v>
      </c>
      <c r="J3719" s="15">
        <v>13.09</v>
      </c>
      <c r="K3719" s="16">
        <f>IF(COUNTIFS(Release_Calendar!$A$2:$A$755,"US_CPI",Release_Calendar!$B$2:$B$755,$A3719)&gt;0,1,0)</f>
        <v>0</v>
      </c>
      <c r="L3719" s="16">
        <f>IF(COUNTIFS(Release_Calendar!$A$2:$A$755,"US_NFP",Release_Calendar!$B$2:$B$755,$A3719)&gt;0,1,0)</f>
        <v>0</v>
      </c>
      <c r="M3719" s="16" t="str">
        <f>IF($A3719&lt;Notes!$B$5,"",IF(COUNTIFS(Release_Calendar!$A$2:$A$755,"NZ_CPI",Release_Calendar!$B$2:$B$755,$A3719)&gt;0,1,0))</f>
        <v/>
      </c>
      <c r="N3719" s="16" t="str">
        <f>IF($A3719&lt;Notes!$B$5,"",IF(COUNTIFS(Release_Calendar!$A$2:$A$755,"NZ_GDP",Release_Calendar!$B$2:$B$755,$A3719)&gt;0,1,0))</f>
        <v/>
      </c>
      <c r="O3719" s="16" t="str">
        <f>IF($A3719&lt;Notes!$B$5,"",IF(COUNTIFS(Release_Calendar!$A$2:$A$755,"NZ_LABOUR",Release_Calendar!$B$2:$B$755,$A3719)&gt;0,1,0))</f>
        <v/>
      </c>
      <c r="P3719" s="16">
        <f t="shared" si="4"/>
        <v>0</v>
      </c>
    </row>
    <row r="3720" ht="15.75" customHeight="1">
      <c r="A3720" s="14">
        <v>41732.0</v>
      </c>
      <c r="B3720" s="15">
        <v>0.46</v>
      </c>
      <c r="C3720" s="15">
        <v>4.09</v>
      </c>
      <c r="D3720" s="15"/>
      <c r="E3720" s="15"/>
      <c r="F3720" s="15">
        <f t="shared" si="1"/>
        <v>3.63</v>
      </c>
      <c r="G3720" s="15">
        <f t="shared" si="2"/>
        <v>4.09</v>
      </c>
      <c r="H3720" s="16">
        <v>0.0</v>
      </c>
      <c r="I3720" s="15">
        <f t="shared" si="3"/>
        <v>3.63</v>
      </c>
      <c r="J3720" s="15">
        <v>13.37</v>
      </c>
      <c r="K3720" s="16">
        <f>IF(COUNTIFS(Release_Calendar!$A$2:$A$755,"US_CPI",Release_Calendar!$B$2:$B$755,$A3720)&gt;0,1,0)</f>
        <v>0</v>
      </c>
      <c r="L3720" s="16">
        <f>IF(COUNTIFS(Release_Calendar!$A$2:$A$755,"US_NFP",Release_Calendar!$B$2:$B$755,$A3720)&gt;0,1,0)</f>
        <v>0</v>
      </c>
      <c r="M3720" s="16" t="str">
        <f>IF($A3720&lt;Notes!$B$5,"",IF(COUNTIFS(Release_Calendar!$A$2:$A$755,"NZ_CPI",Release_Calendar!$B$2:$B$755,$A3720)&gt;0,1,0))</f>
        <v/>
      </c>
      <c r="N3720" s="16" t="str">
        <f>IF($A3720&lt;Notes!$B$5,"",IF(COUNTIFS(Release_Calendar!$A$2:$A$755,"NZ_GDP",Release_Calendar!$B$2:$B$755,$A3720)&gt;0,1,0))</f>
        <v/>
      </c>
      <c r="O3720" s="16" t="str">
        <f>IF($A3720&lt;Notes!$B$5,"",IF(COUNTIFS(Release_Calendar!$A$2:$A$755,"NZ_LABOUR",Release_Calendar!$B$2:$B$755,$A3720)&gt;0,1,0))</f>
        <v/>
      </c>
      <c r="P3720" s="16">
        <f t="shared" si="4"/>
        <v>0</v>
      </c>
    </row>
    <row r="3721" ht="15.75" customHeight="1">
      <c r="A3721" s="14">
        <v>41733.0</v>
      </c>
      <c r="B3721" s="15">
        <v>0.43</v>
      </c>
      <c r="C3721" s="15">
        <v>4.09</v>
      </c>
      <c r="D3721" s="15"/>
      <c r="E3721" s="15"/>
      <c r="F3721" s="15">
        <f t="shared" si="1"/>
        <v>3.66</v>
      </c>
      <c r="G3721" s="15">
        <f t="shared" si="2"/>
        <v>4.09</v>
      </c>
      <c r="H3721" s="16">
        <v>0.0</v>
      </c>
      <c r="I3721" s="15">
        <f t="shared" si="3"/>
        <v>3.66</v>
      </c>
      <c r="J3721" s="15">
        <v>13.96</v>
      </c>
      <c r="K3721" s="16">
        <f>IF(COUNTIFS(Release_Calendar!$A$2:$A$755,"US_CPI",Release_Calendar!$B$2:$B$755,$A3721)&gt;0,1,0)</f>
        <v>0</v>
      </c>
      <c r="L3721" s="16">
        <f>IF(COUNTIFS(Release_Calendar!$A$2:$A$755,"US_NFP",Release_Calendar!$B$2:$B$755,$A3721)&gt;0,1,0)</f>
        <v>1</v>
      </c>
      <c r="M3721" s="16" t="str">
        <f>IF($A3721&lt;Notes!$B$5,"",IF(COUNTIFS(Release_Calendar!$A$2:$A$755,"NZ_CPI",Release_Calendar!$B$2:$B$755,$A3721)&gt;0,1,0))</f>
        <v/>
      </c>
      <c r="N3721" s="16" t="str">
        <f>IF($A3721&lt;Notes!$B$5,"",IF(COUNTIFS(Release_Calendar!$A$2:$A$755,"NZ_GDP",Release_Calendar!$B$2:$B$755,$A3721)&gt;0,1,0))</f>
        <v/>
      </c>
      <c r="O3721" s="16" t="str">
        <f>IF($A3721&lt;Notes!$B$5,"",IF(COUNTIFS(Release_Calendar!$A$2:$A$755,"NZ_LABOUR",Release_Calendar!$B$2:$B$755,$A3721)&gt;0,1,0))</f>
        <v/>
      </c>
      <c r="P3721" s="16">
        <f t="shared" si="4"/>
        <v>1</v>
      </c>
    </row>
    <row r="3722" ht="15.75" customHeight="1">
      <c r="A3722" s="14">
        <v>41736.0</v>
      </c>
      <c r="B3722" s="15">
        <v>0.41</v>
      </c>
      <c r="C3722" s="15">
        <v>4.07</v>
      </c>
      <c r="D3722" s="15"/>
      <c r="E3722" s="15"/>
      <c r="F3722" s="15">
        <f t="shared" si="1"/>
        <v>3.66</v>
      </c>
      <c r="G3722" s="15">
        <f t="shared" si="2"/>
        <v>4.07</v>
      </c>
      <c r="H3722" s="16">
        <v>0.0</v>
      </c>
      <c r="I3722" s="15">
        <f t="shared" si="3"/>
        <v>3.66</v>
      </c>
      <c r="J3722" s="15">
        <v>15.57</v>
      </c>
      <c r="K3722" s="16">
        <f>IF(COUNTIFS(Release_Calendar!$A$2:$A$755,"US_CPI",Release_Calendar!$B$2:$B$755,$A3722)&gt;0,1,0)</f>
        <v>0</v>
      </c>
      <c r="L3722" s="16">
        <f>IF(COUNTIFS(Release_Calendar!$A$2:$A$755,"US_NFP",Release_Calendar!$B$2:$B$755,$A3722)&gt;0,1,0)</f>
        <v>0</v>
      </c>
      <c r="M3722" s="16" t="str">
        <f>IF($A3722&lt;Notes!$B$5,"",IF(COUNTIFS(Release_Calendar!$A$2:$A$755,"NZ_CPI",Release_Calendar!$B$2:$B$755,$A3722)&gt;0,1,0))</f>
        <v/>
      </c>
      <c r="N3722" s="16" t="str">
        <f>IF($A3722&lt;Notes!$B$5,"",IF(COUNTIFS(Release_Calendar!$A$2:$A$755,"NZ_GDP",Release_Calendar!$B$2:$B$755,$A3722)&gt;0,1,0))</f>
        <v/>
      </c>
      <c r="O3722" s="16" t="str">
        <f>IF($A3722&lt;Notes!$B$5,"",IF(COUNTIFS(Release_Calendar!$A$2:$A$755,"NZ_LABOUR",Release_Calendar!$B$2:$B$755,$A3722)&gt;0,1,0))</f>
        <v/>
      </c>
      <c r="P3722" s="16">
        <f t="shared" si="4"/>
        <v>0</v>
      </c>
    </row>
    <row r="3723" ht="15.75" customHeight="1">
      <c r="A3723" s="14">
        <v>41737.0</v>
      </c>
      <c r="B3723" s="15">
        <v>0.4</v>
      </c>
      <c r="C3723" s="15">
        <v>4.07</v>
      </c>
      <c r="D3723" s="15"/>
      <c r="E3723" s="15"/>
      <c r="F3723" s="15">
        <f t="shared" si="1"/>
        <v>3.67</v>
      </c>
      <c r="G3723" s="15">
        <f t="shared" si="2"/>
        <v>4.07</v>
      </c>
      <c r="H3723" s="16">
        <v>0.0</v>
      </c>
      <c r="I3723" s="15">
        <f t="shared" si="3"/>
        <v>3.67</v>
      </c>
      <c r="J3723" s="15">
        <v>14.89</v>
      </c>
      <c r="K3723" s="16">
        <f>IF(COUNTIFS(Release_Calendar!$A$2:$A$755,"US_CPI",Release_Calendar!$B$2:$B$755,$A3723)&gt;0,1,0)</f>
        <v>0</v>
      </c>
      <c r="L3723" s="16">
        <f>IF(COUNTIFS(Release_Calendar!$A$2:$A$755,"US_NFP",Release_Calendar!$B$2:$B$755,$A3723)&gt;0,1,0)</f>
        <v>0</v>
      </c>
      <c r="M3723" s="16" t="str">
        <f>IF($A3723&lt;Notes!$B$5,"",IF(COUNTIFS(Release_Calendar!$A$2:$A$755,"NZ_CPI",Release_Calendar!$B$2:$B$755,$A3723)&gt;0,1,0))</f>
        <v/>
      </c>
      <c r="N3723" s="16" t="str">
        <f>IF($A3723&lt;Notes!$B$5,"",IF(COUNTIFS(Release_Calendar!$A$2:$A$755,"NZ_GDP",Release_Calendar!$B$2:$B$755,$A3723)&gt;0,1,0))</f>
        <v/>
      </c>
      <c r="O3723" s="16" t="str">
        <f>IF($A3723&lt;Notes!$B$5,"",IF(COUNTIFS(Release_Calendar!$A$2:$A$755,"NZ_LABOUR",Release_Calendar!$B$2:$B$755,$A3723)&gt;0,1,0))</f>
        <v/>
      </c>
      <c r="P3723" s="16">
        <f t="shared" si="4"/>
        <v>0</v>
      </c>
    </row>
    <row r="3724" ht="15.75" customHeight="1">
      <c r="A3724" s="14">
        <v>41738.0</v>
      </c>
      <c r="B3724" s="15">
        <v>0.37</v>
      </c>
      <c r="C3724" s="15">
        <v>4.06</v>
      </c>
      <c r="D3724" s="15"/>
      <c r="E3724" s="15"/>
      <c r="F3724" s="15">
        <f t="shared" si="1"/>
        <v>3.69</v>
      </c>
      <c r="G3724" s="15">
        <f t="shared" si="2"/>
        <v>4.06</v>
      </c>
      <c r="H3724" s="16">
        <v>0.0</v>
      </c>
      <c r="I3724" s="15">
        <f t="shared" si="3"/>
        <v>3.69</v>
      </c>
      <c r="J3724" s="15">
        <v>13.82</v>
      </c>
      <c r="K3724" s="16">
        <f>IF(COUNTIFS(Release_Calendar!$A$2:$A$755,"US_CPI",Release_Calendar!$B$2:$B$755,$A3724)&gt;0,1,0)</f>
        <v>0</v>
      </c>
      <c r="L3724" s="16">
        <f>IF(COUNTIFS(Release_Calendar!$A$2:$A$755,"US_NFP",Release_Calendar!$B$2:$B$755,$A3724)&gt;0,1,0)</f>
        <v>0</v>
      </c>
      <c r="M3724" s="16" t="str">
        <f>IF($A3724&lt;Notes!$B$5,"",IF(COUNTIFS(Release_Calendar!$A$2:$A$755,"NZ_CPI",Release_Calendar!$B$2:$B$755,$A3724)&gt;0,1,0))</f>
        <v/>
      </c>
      <c r="N3724" s="16" t="str">
        <f>IF($A3724&lt;Notes!$B$5,"",IF(COUNTIFS(Release_Calendar!$A$2:$A$755,"NZ_GDP",Release_Calendar!$B$2:$B$755,$A3724)&gt;0,1,0))</f>
        <v/>
      </c>
      <c r="O3724" s="16" t="str">
        <f>IF($A3724&lt;Notes!$B$5,"",IF(COUNTIFS(Release_Calendar!$A$2:$A$755,"NZ_LABOUR",Release_Calendar!$B$2:$B$755,$A3724)&gt;0,1,0))</f>
        <v/>
      </c>
      <c r="P3724" s="16">
        <f t="shared" si="4"/>
        <v>0</v>
      </c>
    </row>
    <row r="3725" ht="15.75" customHeight="1">
      <c r="A3725" s="14">
        <v>41739.0</v>
      </c>
      <c r="B3725" s="15">
        <v>0.37</v>
      </c>
      <c r="C3725" s="15">
        <v>4.07</v>
      </c>
      <c r="D3725" s="15"/>
      <c r="E3725" s="15"/>
      <c r="F3725" s="15">
        <f t="shared" si="1"/>
        <v>3.7</v>
      </c>
      <c r="G3725" s="15">
        <f t="shared" si="2"/>
        <v>4.07</v>
      </c>
      <c r="H3725" s="16">
        <v>0.0</v>
      </c>
      <c r="I3725" s="15">
        <f t="shared" si="3"/>
        <v>3.7</v>
      </c>
      <c r="J3725" s="15">
        <v>15.89</v>
      </c>
      <c r="K3725" s="16">
        <f>IF(COUNTIFS(Release_Calendar!$A$2:$A$755,"US_CPI",Release_Calendar!$B$2:$B$755,$A3725)&gt;0,1,0)</f>
        <v>0</v>
      </c>
      <c r="L3725" s="16">
        <f>IF(COUNTIFS(Release_Calendar!$A$2:$A$755,"US_NFP",Release_Calendar!$B$2:$B$755,$A3725)&gt;0,1,0)</f>
        <v>0</v>
      </c>
      <c r="M3725" s="16" t="str">
        <f>IF($A3725&lt;Notes!$B$5,"",IF(COUNTIFS(Release_Calendar!$A$2:$A$755,"NZ_CPI",Release_Calendar!$B$2:$B$755,$A3725)&gt;0,1,0))</f>
        <v/>
      </c>
      <c r="N3725" s="16" t="str">
        <f>IF($A3725&lt;Notes!$B$5,"",IF(COUNTIFS(Release_Calendar!$A$2:$A$755,"NZ_GDP",Release_Calendar!$B$2:$B$755,$A3725)&gt;0,1,0))</f>
        <v/>
      </c>
      <c r="O3725" s="16" t="str">
        <f>IF($A3725&lt;Notes!$B$5,"",IF(COUNTIFS(Release_Calendar!$A$2:$A$755,"NZ_LABOUR",Release_Calendar!$B$2:$B$755,$A3725)&gt;0,1,0))</f>
        <v/>
      </c>
      <c r="P3725" s="16">
        <f t="shared" si="4"/>
        <v>0</v>
      </c>
    </row>
    <row r="3726" ht="15.75" customHeight="1">
      <c r="A3726" s="14">
        <v>41740.0</v>
      </c>
      <c r="B3726" s="15">
        <v>0.37</v>
      </c>
      <c r="C3726" s="15">
        <v>4.06</v>
      </c>
      <c r="D3726" s="15"/>
      <c r="E3726" s="15"/>
      <c r="F3726" s="15">
        <f t="shared" si="1"/>
        <v>3.69</v>
      </c>
      <c r="G3726" s="15">
        <f t="shared" si="2"/>
        <v>4.06</v>
      </c>
      <c r="H3726" s="16">
        <v>0.0</v>
      </c>
      <c r="I3726" s="15">
        <f t="shared" si="3"/>
        <v>3.69</v>
      </c>
      <c r="J3726" s="15">
        <v>17.03</v>
      </c>
      <c r="K3726" s="16">
        <f>IF(COUNTIFS(Release_Calendar!$A$2:$A$755,"US_CPI",Release_Calendar!$B$2:$B$755,$A3726)&gt;0,1,0)</f>
        <v>0</v>
      </c>
      <c r="L3726" s="16">
        <f>IF(COUNTIFS(Release_Calendar!$A$2:$A$755,"US_NFP",Release_Calendar!$B$2:$B$755,$A3726)&gt;0,1,0)</f>
        <v>0</v>
      </c>
      <c r="M3726" s="16" t="str">
        <f>IF($A3726&lt;Notes!$B$5,"",IF(COUNTIFS(Release_Calendar!$A$2:$A$755,"NZ_CPI",Release_Calendar!$B$2:$B$755,$A3726)&gt;0,1,0))</f>
        <v/>
      </c>
      <c r="N3726" s="16" t="str">
        <f>IF($A3726&lt;Notes!$B$5,"",IF(COUNTIFS(Release_Calendar!$A$2:$A$755,"NZ_GDP",Release_Calendar!$B$2:$B$755,$A3726)&gt;0,1,0))</f>
        <v/>
      </c>
      <c r="O3726" s="16" t="str">
        <f>IF($A3726&lt;Notes!$B$5,"",IF(COUNTIFS(Release_Calendar!$A$2:$A$755,"NZ_LABOUR",Release_Calendar!$B$2:$B$755,$A3726)&gt;0,1,0))</f>
        <v/>
      </c>
      <c r="P3726" s="16">
        <f t="shared" si="4"/>
        <v>0</v>
      </c>
    </row>
    <row r="3727" ht="15.75" customHeight="1">
      <c r="A3727" s="14">
        <v>41743.0</v>
      </c>
      <c r="B3727" s="15">
        <v>0.37</v>
      </c>
      <c r="C3727" s="15">
        <v>4.03</v>
      </c>
      <c r="D3727" s="15"/>
      <c r="E3727" s="15"/>
      <c r="F3727" s="15">
        <f t="shared" si="1"/>
        <v>3.66</v>
      </c>
      <c r="G3727" s="15">
        <f t="shared" si="2"/>
        <v>4.03</v>
      </c>
      <c r="H3727" s="16">
        <v>0.0</v>
      </c>
      <c r="I3727" s="15">
        <f t="shared" si="3"/>
        <v>3.66</v>
      </c>
      <c r="J3727" s="15">
        <v>16.11</v>
      </c>
      <c r="K3727" s="16">
        <f>IF(COUNTIFS(Release_Calendar!$A$2:$A$755,"US_CPI",Release_Calendar!$B$2:$B$755,$A3727)&gt;0,1,0)</f>
        <v>0</v>
      </c>
      <c r="L3727" s="16">
        <f>IF(COUNTIFS(Release_Calendar!$A$2:$A$755,"US_NFP",Release_Calendar!$B$2:$B$755,$A3727)&gt;0,1,0)</f>
        <v>0</v>
      </c>
      <c r="M3727" s="16" t="str">
        <f>IF($A3727&lt;Notes!$B$5,"",IF(COUNTIFS(Release_Calendar!$A$2:$A$755,"NZ_CPI",Release_Calendar!$B$2:$B$755,$A3727)&gt;0,1,0))</f>
        <v/>
      </c>
      <c r="N3727" s="16" t="str">
        <f>IF($A3727&lt;Notes!$B$5,"",IF(COUNTIFS(Release_Calendar!$A$2:$A$755,"NZ_GDP",Release_Calendar!$B$2:$B$755,$A3727)&gt;0,1,0))</f>
        <v/>
      </c>
      <c r="O3727" s="16" t="str">
        <f>IF($A3727&lt;Notes!$B$5,"",IF(COUNTIFS(Release_Calendar!$A$2:$A$755,"NZ_LABOUR",Release_Calendar!$B$2:$B$755,$A3727)&gt;0,1,0))</f>
        <v/>
      </c>
      <c r="P3727" s="16">
        <f t="shared" si="4"/>
        <v>0</v>
      </c>
    </row>
    <row r="3728" ht="15.75" customHeight="1">
      <c r="A3728" s="14">
        <v>41744.0</v>
      </c>
      <c r="B3728" s="15">
        <v>0.39</v>
      </c>
      <c r="C3728" s="15">
        <v>4.04</v>
      </c>
      <c r="D3728" s="15"/>
      <c r="E3728" s="15"/>
      <c r="F3728" s="15">
        <f t="shared" si="1"/>
        <v>3.65</v>
      </c>
      <c r="G3728" s="15">
        <f t="shared" si="2"/>
        <v>4.04</v>
      </c>
      <c r="H3728" s="16">
        <v>0.0</v>
      </c>
      <c r="I3728" s="15">
        <f t="shared" si="3"/>
        <v>3.65</v>
      </c>
      <c r="J3728" s="15">
        <v>15.61</v>
      </c>
      <c r="K3728" s="16">
        <f>IF(COUNTIFS(Release_Calendar!$A$2:$A$755,"US_CPI",Release_Calendar!$B$2:$B$755,$A3728)&gt;0,1,0)</f>
        <v>1</v>
      </c>
      <c r="L3728" s="16">
        <f>IF(COUNTIFS(Release_Calendar!$A$2:$A$755,"US_NFP",Release_Calendar!$B$2:$B$755,$A3728)&gt;0,1,0)</f>
        <v>0</v>
      </c>
      <c r="M3728" s="16" t="str">
        <f>IF($A3728&lt;Notes!$B$5,"",IF(COUNTIFS(Release_Calendar!$A$2:$A$755,"NZ_CPI",Release_Calendar!$B$2:$B$755,$A3728)&gt;0,1,0))</f>
        <v/>
      </c>
      <c r="N3728" s="16" t="str">
        <f>IF($A3728&lt;Notes!$B$5,"",IF(COUNTIFS(Release_Calendar!$A$2:$A$755,"NZ_GDP",Release_Calendar!$B$2:$B$755,$A3728)&gt;0,1,0))</f>
        <v/>
      </c>
      <c r="O3728" s="16" t="str">
        <f>IF($A3728&lt;Notes!$B$5,"",IF(COUNTIFS(Release_Calendar!$A$2:$A$755,"NZ_LABOUR",Release_Calendar!$B$2:$B$755,$A3728)&gt;0,1,0))</f>
        <v/>
      </c>
      <c r="P3728" s="16">
        <f t="shared" si="4"/>
        <v>1</v>
      </c>
    </row>
    <row r="3729" ht="15.75" customHeight="1">
      <c r="A3729" s="14">
        <v>41745.0</v>
      </c>
      <c r="B3729" s="15">
        <v>0.39</v>
      </c>
      <c r="C3729" s="15">
        <v>4.0</v>
      </c>
      <c r="D3729" s="15"/>
      <c r="E3729" s="15"/>
      <c r="F3729" s="15">
        <f t="shared" si="1"/>
        <v>3.61</v>
      </c>
      <c r="G3729" s="15">
        <f t="shared" si="2"/>
        <v>4</v>
      </c>
      <c r="H3729" s="16">
        <v>0.0</v>
      </c>
      <c r="I3729" s="15">
        <f t="shared" si="3"/>
        <v>3.61</v>
      </c>
      <c r="J3729" s="15">
        <v>14.18</v>
      </c>
      <c r="K3729" s="16">
        <f>IF(COUNTIFS(Release_Calendar!$A$2:$A$755,"US_CPI",Release_Calendar!$B$2:$B$755,$A3729)&gt;0,1,0)</f>
        <v>0</v>
      </c>
      <c r="L3729" s="16">
        <f>IF(COUNTIFS(Release_Calendar!$A$2:$A$755,"US_NFP",Release_Calendar!$B$2:$B$755,$A3729)&gt;0,1,0)</f>
        <v>0</v>
      </c>
      <c r="M3729" s="16" t="str">
        <f>IF($A3729&lt;Notes!$B$5,"",IF(COUNTIFS(Release_Calendar!$A$2:$A$755,"NZ_CPI",Release_Calendar!$B$2:$B$755,$A3729)&gt;0,1,0))</f>
        <v/>
      </c>
      <c r="N3729" s="16" t="str">
        <f>IF($A3729&lt;Notes!$B$5,"",IF(COUNTIFS(Release_Calendar!$A$2:$A$755,"NZ_GDP",Release_Calendar!$B$2:$B$755,$A3729)&gt;0,1,0))</f>
        <v/>
      </c>
      <c r="O3729" s="16" t="str">
        <f>IF($A3729&lt;Notes!$B$5,"",IF(COUNTIFS(Release_Calendar!$A$2:$A$755,"NZ_LABOUR",Release_Calendar!$B$2:$B$755,$A3729)&gt;0,1,0))</f>
        <v/>
      </c>
      <c r="P3729" s="16">
        <f t="shared" si="4"/>
        <v>0</v>
      </c>
    </row>
    <row r="3730" ht="15.75" customHeight="1">
      <c r="A3730" s="14">
        <v>41746.0</v>
      </c>
      <c r="B3730" s="15">
        <v>0.43</v>
      </c>
      <c r="C3730" s="15">
        <v>4.02</v>
      </c>
      <c r="D3730" s="15"/>
      <c r="E3730" s="15"/>
      <c r="F3730" s="15">
        <f t="shared" si="1"/>
        <v>3.59</v>
      </c>
      <c r="G3730" s="15">
        <f t="shared" si="2"/>
        <v>4.02</v>
      </c>
      <c r="H3730" s="16">
        <v>0.0</v>
      </c>
      <c r="I3730" s="15">
        <f t="shared" si="3"/>
        <v>3.59</v>
      </c>
      <c r="J3730" s="15">
        <v>13.36</v>
      </c>
      <c r="K3730" s="16">
        <f>IF(COUNTIFS(Release_Calendar!$A$2:$A$755,"US_CPI",Release_Calendar!$B$2:$B$755,$A3730)&gt;0,1,0)</f>
        <v>0</v>
      </c>
      <c r="L3730" s="16">
        <f>IF(COUNTIFS(Release_Calendar!$A$2:$A$755,"US_NFP",Release_Calendar!$B$2:$B$755,$A3730)&gt;0,1,0)</f>
        <v>0</v>
      </c>
      <c r="M3730" s="16" t="str">
        <f>IF($A3730&lt;Notes!$B$5,"",IF(COUNTIFS(Release_Calendar!$A$2:$A$755,"NZ_CPI",Release_Calendar!$B$2:$B$755,$A3730)&gt;0,1,0))</f>
        <v/>
      </c>
      <c r="N3730" s="16" t="str">
        <f>IF($A3730&lt;Notes!$B$5,"",IF(COUNTIFS(Release_Calendar!$A$2:$A$755,"NZ_GDP",Release_Calendar!$B$2:$B$755,$A3730)&gt;0,1,0))</f>
        <v/>
      </c>
      <c r="O3730" s="16" t="str">
        <f>IF($A3730&lt;Notes!$B$5,"",IF(COUNTIFS(Release_Calendar!$A$2:$A$755,"NZ_LABOUR",Release_Calendar!$B$2:$B$755,$A3730)&gt;0,1,0))</f>
        <v/>
      </c>
      <c r="P3730" s="16">
        <f t="shared" si="4"/>
        <v>0</v>
      </c>
    </row>
    <row r="3731" ht="15.75" customHeight="1">
      <c r="A3731" s="14">
        <v>41747.0</v>
      </c>
      <c r="B3731" s="15"/>
      <c r="C3731" s="15"/>
      <c r="D3731" s="15"/>
      <c r="E3731" s="15"/>
      <c r="F3731" s="15" t="str">
        <f t="shared" si="1"/>
        <v/>
      </c>
      <c r="G3731" s="15" t="str">
        <f t="shared" si="2"/>
        <v/>
      </c>
      <c r="H3731" s="16">
        <v>0.0</v>
      </c>
      <c r="I3731" s="15" t="str">
        <f t="shared" si="3"/>
        <v/>
      </c>
      <c r="J3731" s="15"/>
      <c r="K3731" s="16">
        <f>IF(COUNTIFS(Release_Calendar!$A$2:$A$755,"US_CPI",Release_Calendar!$B$2:$B$755,$A3731)&gt;0,1,0)</f>
        <v>0</v>
      </c>
      <c r="L3731" s="16">
        <f>IF(COUNTIFS(Release_Calendar!$A$2:$A$755,"US_NFP",Release_Calendar!$B$2:$B$755,$A3731)&gt;0,1,0)</f>
        <v>0</v>
      </c>
      <c r="M3731" s="16" t="str">
        <f>IF($A3731&lt;Notes!$B$5,"",IF(COUNTIFS(Release_Calendar!$A$2:$A$755,"NZ_CPI",Release_Calendar!$B$2:$B$755,$A3731)&gt;0,1,0))</f>
        <v/>
      </c>
      <c r="N3731" s="16" t="str">
        <f>IF($A3731&lt;Notes!$B$5,"",IF(COUNTIFS(Release_Calendar!$A$2:$A$755,"NZ_GDP",Release_Calendar!$B$2:$B$755,$A3731)&gt;0,1,0))</f>
        <v/>
      </c>
      <c r="O3731" s="16" t="str">
        <f>IF($A3731&lt;Notes!$B$5,"",IF(COUNTIFS(Release_Calendar!$A$2:$A$755,"NZ_LABOUR",Release_Calendar!$B$2:$B$755,$A3731)&gt;0,1,0))</f>
        <v/>
      </c>
      <c r="P3731" s="16">
        <f t="shared" si="4"/>
        <v>0</v>
      </c>
    </row>
    <row r="3732" ht="15.75" customHeight="1">
      <c r="A3732" s="14">
        <v>41750.0</v>
      </c>
      <c r="B3732" s="15">
        <v>0.42</v>
      </c>
      <c r="C3732" s="15"/>
      <c r="D3732" s="15"/>
      <c r="E3732" s="15"/>
      <c r="F3732" s="15" t="str">
        <f t="shared" si="1"/>
        <v/>
      </c>
      <c r="G3732" s="15" t="str">
        <f t="shared" si="2"/>
        <v/>
      </c>
      <c r="H3732" s="16">
        <v>0.0</v>
      </c>
      <c r="I3732" s="15" t="str">
        <f t="shared" si="3"/>
        <v/>
      </c>
      <c r="J3732" s="15">
        <v>13.25</v>
      </c>
      <c r="K3732" s="16">
        <f>IF(COUNTIFS(Release_Calendar!$A$2:$A$755,"US_CPI",Release_Calendar!$B$2:$B$755,$A3732)&gt;0,1,0)</f>
        <v>0</v>
      </c>
      <c r="L3732" s="16">
        <f>IF(COUNTIFS(Release_Calendar!$A$2:$A$755,"US_NFP",Release_Calendar!$B$2:$B$755,$A3732)&gt;0,1,0)</f>
        <v>0</v>
      </c>
      <c r="M3732" s="16" t="str">
        <f>IF($A3732&lt;Notes!$B$5,"",IF(COUNTIFS(Release_Calendar!$A$2:$A$755,"NZ_CPI",Release_Calendar!$B$2:$B$755,$A3732)&gt;0,1,0))</f>
        <v/>
      </c>
      <c r="N3732" s="16" t="str">
        <f>IF($A3732&lt;Notes!$B$5,"",IF(COUNTIFS(Release_Calendar!$A$2:$A$755,"NZ_GDP",Release_Calendar!$B$2:$B$755,$A3732)&gt;0,1,0))</f>
        <v/>
      </c>
      <c r="O3732" s="16" t="str">
        <f>IF($A3732&lt;Notes!$B$5,"",IF(COUNTIFS(Release_Calendar!$A$2:$A$755,"NZ_LABOUR",Release_Calendar!$B$2:$B$755,$A3732)&gt;0,1,0))</f>
        <v/>
      </c>
      <c r="P3732" s="16">
        <f t="shared" si="4"/>
        <v>0</v>
      </c>
    </row>
    <row r="3733" ht="15.75" customHeight="1">
      <c r="A3733" s="14">
        <v>41751.0</v>
      </c>
      <c r="B3733" s="15">
        <v>0.45</v>
      </c>
      <c r="C3733" s="15">
        <v>4.06</v>
      </c>
      <c r="D3733" s="15"/>
      <c r="E3733" s="15"/>
      <c r="F3733" s="15">
        <f t="shared" si="1"/>
        <v>3.61</v>
      </c>
      <c r="G3733" s="15">
        <f t="shared" si="2"/>
        <v>4.06</v>
      </c>
      <c r="H3733" s="16">
        <v>0.0</v>
      </c>
      <c r="I3733" s="15">
        <f t="shared" si="3"/>
        <v>3.61</v>
      </c>
      <c r="J3733" s="15">
        <v>13.19</v>
      </c>
      <c r="K3733" s="16">
        <f>IF(COUNTIFS(Release_Calendar!$A$2:$A$755,"US_CPI",Release_Calendar!$B$2:$B$755,$A3733)&gt;0,1,0)</f>
        <v>0</v>
      </c>
      <c r="L3733" s="16">
        <f>IF(COUNTIFS(Release_Calendar!$A$2:$A$755,"US_NFP",Release_Calendar!$B$2:$B$755,$A3733)&gt;0,1,0)</f>
        <v>0</v>
      </c>
      <c r="M3733" s="16" t="str">
        <f>IF($A3733&lt;Notes!$B$5,"",IF(COUNTIFS(Release_Calendar!$A$2:$A$755,"NZ_CPI",Release_Calendar!$B$2:$B$755,$A3733)&gt;0,1,0))</f>
        <v/>
      </c>
      <c r="N3733" s="16" t="str">
        <f>IF($A3733&lt;Notes!$B$5,"",IF(COUNTIFS(Release_Calendar!$A$2:$A$755,"NZ_GDP",Release_Calendar!$B$2:$B$755,$A3733)&gt;0,1,0))</f>
        <v/>
      </c>
      <c r="O3733" s="16" t="str">
        <f>IF($A3733&lt;Notes!$B$5,"",IF(COUNTIFS(Release_Calendar!$A$2:$A$755,"NZ_LABOUR",Release_Calendar!$B$2:$B$755,$A3733)&gt;0,1,0))</f>
        <v/>
      </c>
      <c r="P3733" s="16">
        <f t="shared" si="4"/>
        <v>0</v>
      </c>
    </row>
    <row r="3734" ht="15.75" customHeight="1">
      <c r="A3734" s="14">
        <v>41752.0</v>
      </c>
      <c r="B3734" s="15">
        <v>0.43</v>
      </c>
      <c r="C3734" s="15">
        <v>4.04</v>
      </c>
      <c r="D3734" s="15"/>
      <c r="E3734" s="15"/>
      <c r="F3734" s="15">
        <f t="shared" si="1"/>
        <v>3.61</v>
      </c>
      <c r="G3734" s="15">
        <f t="shared" si="2"/>
        <v>4.04</v>
      </c>
      <c r="H3734" s="16">
        <v>0.0</v>
      </c>
      <c r="I3734" s="15">
        <f t="shared" si="3"/>
        <v>3.61</v>
      </c>
      <c r="J3734" s="15">
        <v>13.27</v>
      </c>
      <c r="K3734" s="16">
        <f>IF(COUNTIFS(Release_Calendar!$A$2:$A$755,"US_CPI",Release_Calendar!$B$2:$B$755,$A3734)&gt;0,1,0)</f>
        <v>0</v>
      </c>
      <c r="L3734" s="16">
        <f>IF(COUNTIFS(Release_Calendar!$A$2:$A$755,"US_NFP",Release_Calendar!$B$2:$B$755,$A3734)&gt;0,1,0)</f>
        <v>0</v>
      </c>
      <c r="M3734" s="16" t="str">
        <f>IF($A3734&lt;Notes!$B$5,"",IF(COUNTIFS(Release_Calendar!$A$2:$A$755,"NZ_CPI",Release_Calendar!$B$2:$B$755,$A3734)&gt;0,1,0))</f>
        <v/>
      </c>
      <c r="N3734" s="16" t="str">
        <f>IF($A3734&lt;Notes!$B$5,"",IF(COUNTIFS(Release_Calendar!$A$2:$A$755,"NZ_GDP",Release_Calendar!$B$2:$B$755,$A3734)&gt;0,1,0))</f>
        <v/>
      </c>
      <c r="O3734" s="16" t="str">
        <f>IF($A3734&lt;Notes!$B$5,"",IF(COUNTIFS(Release_Calendar!$A$2:$A$755,"NZ_LABOUR",Release_Calendar!$B$2:$B$755,$A3734)&gt;0,1,0))</f>
        <v/>
      </c>
      <c r="P3734" s="16">
        <f t="shared" si="4"/>
        <v>0</v>
      </c>
    </row>
    <row r="3735" ht="15.75" customHeight="1">
      <c r="A3735" s="14">
        <v>41753.0</v>
      </c>
      <c r="B3735" s="15">
        <v>0.43</v>
      </c>
      <c r="C3735" s="15">
        <v>4.03</v>
      </c>
      <c r="D3735" s="15"/>
      <c r="E3735" s="15"/>
      <c r="F3735" s="15">
        <f t="shared" si="1"/>
        <v>3.6</v>
      </c>
      <c r="G3735" s="15">
        <f t="shared" si="2"/>
        <v>4.03</v>
      </c>
      <c r="H3735" s="16">
        <v>0.0</v>
      </c>
      <c r="I3735" s="15">
        <f t="shared" si="3"/>
        <v>3.6</v>
      </c>
      <c r="J3735" s="15">
        <v>13.32</v>
      </c>
      <c r="K3735" s="16">
        <f>IF(COUNTIFS(Release_Calendar!$A$2:$A$755,"US_CPI",Release_Calendar!$B$2:$B$755,$A3735)&gt;0,1,0)</f>
        <v>0</v>
      </c>
      <c r="L3735" s="16">
        <f>IF(COUNTIFS(Release_Calendar!$A$2:$A$755,"US_NFP",Release_Calendar!$B$2:$B$755,$A3735)&gt;0,1,0)</f>
        <v>0</v>
      </c>
      <c r="M3735" s="16" t="str">
        <f>IF($A3735&lt;Notes!$B$5,"",IF(COUNTIFS(Release_Calendar!$A$2:$A$755,"NZ_CPI",Release_Calendar!$B$2:$B$755,$A3735)&gt;0,1,0))</f>
        <v/>
      </c>
      <c r="N3735" s="16" t="str">
        <f>IF($A3735&lt;Notes!$B$5,"",IF(COUNTIFS(Release_Calendar!$A$2:$A$755,"NZ_GDP",Release_Calendar!$B$2:$B$755,$A3735)&gt;0,1,0))</f>
        <v/>
      </c>
      <c r="O3735" s="16" t="str">
        <f>IF($A3735&lt;Notes!$B$5,"",IF(COUNTIFS(Release_Calendar!$A$2:$A$755,"NZ_LABOUR",Release_Calendar!$B$2:$B$755,$A3735)&gt;0,1,0))</f>
        <v/>
      </c>
      <c r="P3735" s="16">
        <f t="shared" si="4"/>
        <v>0</v>
      </c>
    </row>
    <row r="3736" ht="15.75" customHeight="1">
      <c r="A3736" s="14">
        <v>41754.0</v>
      </c>
      <c r="B3736" s="15">
        <v>0.43</v>
      </c>
      <c r="C3736" s="15"/>
      <c r="D3736" s="15"/>
      <c r="E3736" s="15"/>
      <c r="F3736" s="15" t="str">
        <f t="shared" si="1"/>
        <v/>
      </c>
      <c r="G3736" s="15" t="str">
        <f t="shared" si="2"/>
        <v/>
      </c>
      <c r="H3736" s="16">
        <v>0.0</v>
      </c>
      <c r="I3736" s="15" t="str">
        <f t="shared" si="3"/>
        <v/>
      </c>
      <c r="J3736" s="15">
        <v>14.06</v>
      </c>
      <c r="K3736" s="16">
        <f>IF(COUNTIFS(Release_Calendar!$A$2:$A$755,"US_CPI",Release_Calendar!$B$2:$B$755,$A3736)&gt;0,1,0)</f>
        <v>0</v>
      </c>
      <c r="L3736" s="16">
        <f>IF(COUNTIFS(Release_Calendar!$A$2:$A$755,"US_NFP",Release_Calendar!$B$2:$B$755,$A3736)&gt;0,1,0)</f>
        <v>0</v>
      </c>
      <c r="M3736" s="16" t="str">
        <f>IF($A3736&lt;Notes!$B$5,"",IF(COUNTIFS(Release_Calendar!$A$2:$A$755,"NZ_CPI",Release_Calendar!$B$2:$B$755,$A3736)&gt;0,1,0))</f>
        <v/>
      </c>
      <c r="N3736" s="16" t="str">
        <f>IF($A3736&lt;Notes!$B$5,"",IF(COUNTIFS(Release_Calendar!$A$2:$A$755,"NZ_GDP",Release_Calendar!$B$2:$B$755,$A3736)&gt;0,1,0))</f>
        <v/>
      </c>
      <c r="O3736" s="16" t="str">
        <f>IF($A3736&lt;Notes!$B$5,"",IF(COUNTIFS(Release_Calendar!$A$2:$A$755,"NZ_LABOUR",Release_Calendar!$B$2:$B$755,$A3736)&gt;0,1,0))</f>
        <v/>
      </c>
      <c r="P3736" s="16">
        <f t="shared" si="4"/>
        <v>0</v>
      </c>
    </row>
    <row r="3737" ht="15.75" customHeight="1">
      <c r="A3737" s="14">
        <v>41757.0</v>
      </c>
      <c r="B3737" s="15">
        <v>0.44</v>
      </c>
      <c r="C3737" s="15">
        <v>4.01</v>
      </c>
      <c r="D3737" s="15"/>
      <c r="E3737" s="15"/>
      <c r="F3737" s="15">
        <f t="shared" si="1"/>
        <v>3.57</v>
      </c>
      <c r="G3737" s="15">
        <f t="shared" si="2"/>
        <v>4.01</v>
      </c>
      <c r="H3737" s="16">
        <v>0.0</v>
      </c>
      <c r="I3737" s="15">
        <f t="shared" si="3"/>
        <v>3.57</v>
      </c>
      <c r="J3737" s="15">
        <v>13.97</v>
      </c>
      <c r="K3737" s="16">
        <f>IF(COUNTIFS(Release_Calendar!$A$2:$A$755,"US_CPI",Release_Calendar!$B$2:$B$755,$A3737)&gt;0,1,0)</f>
        <v>0</v>
      </c>
      <c r="L3737" s="16">
        <f>IF(COUNTIFS(Release_Calendar!$A$2:$A$755,"US_NFP",Release_Calendar!$B$2:$B$755,$A3737)&gt;0,1,0)</f>
        <v>0</v>
      </c>
      <c r="M3737" s="16" t="str">
        <f>IF($A3737&lt;Notes!$B$5,"",IF(COUNTIFS(Release_Calendar!$A$2:$A$755,"NZ_CPI",Release_Calendar!$B$2:$B$755,$A3737)&gt;0,1,0))</f>
        <v/>
      </c>
      <c r="N3737" s="16" t="str">
        <f>IF($A3737&lt;Notes!$B$5,"",IF(COUNTIFS(Release_Calendar!$A$2:$A$755,"NZ_GDP",Release_Calendar!$B$2:$B$755,$A3737)&gt;0,1,0))</f>
        <v/>
      </c>
      <c r="O3737" s="16" t="str">
        <f>IF($A3737&lt;Notes!$B$5,"",IF(COUNTIFS(Release_Calendar!$A$2:$A$755,"NZ_LABOUR",Release_Calendar!$B$2:$B$755,$A3737)&gt;0,1,0))</f>
        <v/>
      </c>
      <c r="P3737" s="16">
        <f t="shared" si="4"/>
        <v>0</v>
      </c>
    </row>
    <row r="3738" ht="15.75" customHeight="1">
      <c r="A3738" s="14">
        <v>41758.0</v>
      </c>
      <c r="B3738" s="15">
        <v>0.44</v>
      </c>
      <c r="C3738" s="15">
        <v>4.0</v>
      </c>
      <c r="D3738" s="15"/>
      <c r="E3738" s="15"/>
      <c r="F3738" s="15">
        <f t="shared" si="1"/>
        <v>3.56</v>
      </c>
      <c r="G3738" s="15">
        <f t="shared" si="2"/>
        <v>4</v>
      </c>
      <c r="H3738" s="16">
        <v>0.0</v>
      </c>
      <c r="I3738" s="15">
        <f t="shared" si="3"/>
        <v>3.56</v>
      </c>
      <c r="J3738" s="15">
        <v>13.71</v>
      </c>
      <c r="K3738" s="16">
        <f>IF(COUNTIFS(Release_Calendar!$A$2:$A$755,"US_CPI",Release_Calendar!$B$2:$B$755,$A3738)&gt;0,1,0)</f>
        <v>0</v>
      </c>
      <c r="L3738" s="16">
        <f>IF(COUNTIFS(Release_Calendar!$A$2:$A$755,"US_NFP",Release_Calendar!$B$2:$B$755,$A3738)&gt;0,1,0)</f>
        <v>0</v>
      </c>
      <c r="M3738" s="16" t="str">
        <f>IF($A3738&lt;Notes!$B$5,"",IF(COUNTIFS(Release_Calendar!$A$2:$A$755,"NZ_CPI",Release_Calendar!$B$2:$B$755,$A3738)&gt;0,1,0))</f>
        <v/>
      </c>
      <c r="N3738" s="16" t="str">
        <f>IF($A3738&lt;Notes!$B$5,"",IF(COUNTIFS(Release_Calendar!$A$2:$A$755,"NZ_GDP",Release_Calendar!$B$2:$B$755,$A3738)&gt;0,1,0))</f>
        <v/>
      </c>
      <c r="O3738" s="16" t="str">
        <f>IF($A3738&lt;Notes!$B$5,"",IF(COUNTIFS(Release_Calendar!$A$2:$A$755,"NZ_LABOUR",Release_Calendar!$B$2:$B$755,$A3738)&gt;0,1,0))</f>
        <v/>
      </c>
      <c r="P3738" s="16">
        <f t="shared" si="4"/>
        <v>0</v>
      </c>
    </row>
    <row r="3739" ht="15.75" customHeight="1">
      <c r="A3739" s="14">
        <v>41759.0</v>
      </c>
      <c r="B3739" s="15">
        <v>0.42</v>
      </c>
      <c r="C3739" s="15">
        <v>4.0</v>
      </c>
      <c r="D3739" s="15"/>
      <c r="E3739" s="15"/>
      <c r="F3739" s="15">
        <f t="shared" si="1"/>
        <v>3.58</v>
      </c>
      <c r="G3739" s="15">
        <f t="shared" si="2"/>
        <v>4</v>
      </c>
      <c r="H3739" s="16">
        <v>0.0</v>
      </c>
      <c r="I3739" s="15">
        <f t="shared" si="3"/>
        <v>3.58</v>
      </c>
      <c r="J3739" s="15">
        <v>13.41</v>
      </c>
      <c r="K3739" s="16">
        <f>IF(COUNTIFS(Release_Calendar!$A$2:$A$755,"US_CPI",Release_Calendar!$B$2:$B$755,$A3739)&gt;0,1,0)</f>
        <v>0</v>
      </c>
      <c r="L3739" s="16">
        <f>IF(COUNTIFS(Release_Calendar!$A$2:$A$755,"US_NFP",Release_Calendar!$B$2:$B$755,$A3739)&gt;0,1,0)</f>
        <v>0</v>
      </c>
      <c r="M3739" s="16" t="str">
        <f>IF($A3739&lt;Notes!$B$5,"",IF(COUNTIFS(Release_Calendar!$A$2:$A$755,"NZ_CPI",Release_Calendar!$B$2:$B$755,$A3739)&gt;0,1,0))</f>
        <v/>
      </c>
      <c r="N3739" s="16" t="str">
        <f>IF($A3739&lt;Notes!$B$5,"",IF(COUNTIFS(Release_Calendar!$A$2:$A$755,"NZ_GDP",Release_Calendar!$B$2:$B$755,$A3739)&gt;0,1,0))</f>
        <v/>
      </c>
      <c r="O3739" s="16" t="str">
        <f>IF($A3739&lt;Notes!$B$5,"",IF(COUNTIFS(Release_Calendar!$A$2:$A$755,"NZ_LABOUR",Release_Calendar!$B$2:$B$755,$A3739)&gt;0,1,0))</f>
        <v/>
      </c>
      <c r="P3739" s="16">
        <f t="shared" si="4"/>
        <v>0</v>
      </c>
    </row>
    <row r="3740" ht="15.75" customHeight="1">
      <c r="A3740" s="14">
        <v>41760.0</v>
      </c>
      <c r="B3740" s="15">
        <v>0.41</v>
      </c>
      <c r="C3740" s="15">
        <v>3.99</v>
      </c>
      <c r="D3740" s="15"/>
      <c r="E3740" s="15"/>
      <c r="F3740" s="15">
        <f t="shared" si="1"/>
        <v>3.58</v>
      </c>
      <c r="G3740" s="15">
        <f t="shared" si="2"/>
        <v>3.99</v>
      </c>
      <c r="H3740" s="16">
        <v>0.0</v>
      </c>
      <c r="I3740" s="15">
        <f t="shared" si="3"/>
        <v>3.58</v>
      </c>
      <c r="J3740" s="15">
        <v>13.25</v>
      </c>
      <c r="K3740" s="16">
        <f>IF(COUNTIFS(Release_Calendar!$A$2:$A$755,"US_CPI",Release_Calendar!$B$2:$B$755,$A3740)&gt;0,1,0)</f>
        <v>0</v>
      </c>
      <c r="L3740" s="16">
        <f>IF(COUNTIFS(Release_Calendar!$A$2:$A$755,"US_NFP",Release_Calendar!$B$2:$B$755,$A3740)&gt;0,1,0)</f>
        <v>0</v>
      </c>
      <c r="M3740" s="16" t="str">
        <f>IF($A3740&lt;Notes!$B$5,"",IF(COUNTIFS(Release_Calendar!$A$2:$A$755,"NZ_CPI",Release_Calendar!$B$2:$B$755,$A3740)&gt;0,1,0))</f>
        <v/>
      </c>
      <c r="N3740" s="16" t="str">
        <f>IF($A3740&lt;Notes!$B$5,"",IF(COUNTIFS(Release_Calendar!$A$2:$A$755,"NZ_GDP",Release_Calendar!$B$2:$B$755,$A3740)&gt;0,1,0))</f>
        <v/>
      </c>
      <c r="O3740" s="16" t="str">
        <f>IF($A3740&lt;Notes!$B$5,"",IF(COUNTIFS(Release_Calendar!$A$2:$A$755,"NZ_LABOUR",Release_Calendar!$B$2:$B$755,$A3740)&gt;0,1,0))</f>
        <v/>
      </c>
      <c r="P3740" s="16">
        <f t="shared" si="4"/>
        <v>0</v>
      </c>
    </row>
    <row r="3741" ht="15.75" customHeight="1">
      <c r="A3741" s="14">
        <v>41761.0</v>
      </c>
      <c r="B3741" s="15">
        <v>0.42</v>
      </c>
      <c r="C3741" s="15">
        <v>4.01</v>
      </c>
      <c r="D3741" s="15"/>
      <c r="E3741" s="15"/>
      <c r="F3741" s="15">
        <f t="shared" si="1"/>
        <v>3.59</v>
      </c>
      <c r="G3741" s="15">
        <f t="shared" si="2"/>
        <v>4.01</v>
      </c>
      <c r="H3741" s="16">
        <v>0.0</v>
      </c>
      <c r="I3741" s="15">
        <f t="shared" si="3"/>
        <v>3.59</v>
      </c>
      <c r="J3741" s="15">
        <v>12.91</v>
      </c>
      <c r="K3741" s="16">
        <f>IF(COUNTIFS(Release_Calendar!$A$2:$A$755,"US_CPI",Release_Calendar!$B$2:$B$755,$A3741)&gt;0,1,0)</f>
        <v>0</v>
      </c>
      <c r="L3741" s="16">
        <f>IF(COUNTIFS(Release_Calendar!$A$2:$A$755,"US_NFP",Release_Calendar!$B$2:$B$755,$A3741)&gt;0,1,0)</f>
        <v>1</v>
      </c>
      <c r="M3741" s="16" t="str">
        <f>IF($A3741&lt;Notes!$B$5,"",IF(COUNTIFS(Release_Calendar!$A$2:$A$755,"NZ_CPI",Release_Calendar!$B$2:$B$755,$A3741)&gt;0,1,0))</f>
        <v/>
      </c>
      <c r="N3741" s="16" t="str">
        <f>IF($A3741&lt;Notes!$B$5,"",IF(COUNTIFS(Release_Calendar!$A$2:$A$755,"NZ_GDP",Release_Calendar!$B$2:$B$755,$A3741)&gt;0,1,0))</f>
        <v/>
      </c>
      <c r="O3741" s="16" t="str">
        <f>IF($A3741&lt;Notes!$B$5,"",IF(COUNTIFS(Release_Calendar!$A$2:$A$755,"NZ_LABOUR",Release_Calendar!$B$2:$B$755,$A3741)&gt;0,1,0))</f>
        <v/>
      </c>
      <c r="P3741" s="16">
        <f t="shared" si="4"/>
        <v>1</v>
      </c>
    </row>
    <row r="3742" ht="15.75" customHeight="1">
      <c r="A3742" s="14">
        <v>41764.0</v>
      </c>
      <c r="B3742" s="15">
        <v>0.43</v>
      </c>
      <c r="C3742" s="15">
        <v>3.99</v>
      </c>
      <c r="D3742" s="15"/>
      <c r="E3742" s="15"/>
      <c r="F3742" s="15">
        <f t="shared" si="1"/>
        <v>3.56</v>
      </c>
      <c r="G3742" s="15">
        <f t="shared" si="2"/>
        <v>3.99</v>
      </c>
      <c r="H3742" s="16">
        <v>0.0</v>
      </c>
      <c r="I3742" s="15">
        <f t="shared" si="3"/>
        <v>3.56</v>
      </c>
      <c r="J3742" s="15">
        <v>13.29</v>
      </c>
      <c r="K3742" s="16">
        <f>IF(COUNTIFS(Release_Calendar!$A$2:$A$755,"US_CPI",Release_Calendar!$B$2:$B$755,$A3742)&gt;0,1,0)</f>
        <v>0</v>
      </c>
      <c r="L3742" s="16">
        <f>IF(COUNTIFS(Release_Calendar!$A$2:$A$755,"US_NFP",Release_Calendar!$B$2:$B$755,$A3742)&gt;0,1,0)</f>
        <v>0</v>
      </c>
      <c r="M3742" s="16" t="str">
        <f>IF($A3742&lt;Notes!$B$5,"",IF(COUNTIFS(Release_Calendar!$A$2:$A$755,"NZ_CPI",Release_Calendar!$B$2:$B$755,$A3742)&gt;0,1,0))</f>
        <v/>
      </c>
      <c r="N3742" s="16" t="str">
        <f>IF($A3742&lt;Notes!$B$5,"",IF(COUNTIFS(Release_Calendar!$A$2:$A$755,"NZ_GDP",Release_Calendar!$B$2:$B$755,$A3742)&gt;0,1,0))</f>
        <v/>
      </c>
      <c r="O3742" s="16" t="str">
        <f>IF($A3742&lt;Notes!$B$5,"",IF(COUNTIFS(Release_Calendar!$A$2:$A$755,"NZ_LABOUR",Release_Calendar!$B$2:$B$755,$A3742)&gt;0,1,0))</f>
        <v/>
      </c>
      <c r="P3742" s="16">
        <f t="shared" si="4"/>
        <v>0</v>
      </c>
    </row>
    <row r="3743" ht="15.75" customHeight="1">
      <c r="A3743" s="14">
        <v>41765.0</v>
      </c>
      <c r="B3743" s="15">
        <v>0.43</v>
      </c>
      <c r="C3743" s="15">
        <v>4.01</v>
      </c>
      <c r="D3743" s="15"/>
      <c r="E3743" s="15"/>
      <c r="F3743" s="15">
        <f t="shared" si="1"/>
        <v>3.58</v>
      </c>
      <c r="G3743" s="15">
        <f t="shared" si="2"/>
        <v>4.01</v>
      </c>
      <c r="H3743" s="16">
        <v>0.0</v>
      </c>
      <c r="I3743" s="15">
        <f t="shared" si="3"/>
        <v>3.58</v>
      </c>
      <c r="J3743" s="15">
        <v>13.8</v>
      </c>
      <c r="K3743" s="16">
        <f>IF(COUNTIFS(Release_Calendar!$A$2:$A$755,"US_CPI",Release_Calendar!$B$2:$B$755,$A3743)&gt;0,1,0)</f>
        <v>0</v>
      </c>
      <c r="L3743" s="16">
        <f>IF(COUNTIFS(Release_Calendar!$A$2:$A$755,"US_NFP",Release_Calendar!$B$2:$B$755,$A3743)&gt;0,1,0)</f>
        <v>0</v>
      </c>
      <c r="M3743" s="16" t="str">
        <f>IF($A3743&lt;Notes!$B$5,"",IF(COUNTIFS(Release_Calendar!$A$2:$A$755,"NZ_CPI",Release_Calendar!$B$2:$B$755,$A3743)&gt;0,1,0))</f>
        <v/>
      </c>
      <c r="N3743" s="16" t="str">
        <f>IF($A3743&lt;Notes!$B$5,"",IF(COUNTIFS(Release_Calendar!$A$2:$A$755,"NZ_GDP",Release_Calendar!$B$2:$B$755,$A3743)&gt;0,1,0))</f>
        <v/>
      </c>
      <c r="O3743" s="16" t="str">
        <f>IF($A3743&lt;Notes!$B$5,"",IF(COUNTIFS(Release_Calendar!$A$2:$A$755,"NZ_LABOUR",Release_Calendar!$B$2:$B$755,$A3743)&gt;0,1,0))</f>
        <v/>
      </c>
      <c r="P3743" s="16">
        <f t="shared" si="4"/>
        <v>0</v>
      </c>
    </row>
    <row r="3744" ht="15.75" customHeight="1">
      <c r="A3744" s="14">
        <v>41766.0</v>
      </c>
      <c r="B3744" s="15">
        <v>0.41</v>
      </c>
      <c r="C3744" s="15">
        <v>3.95</v>
      </c>
      <c r="D3744" s="15"/>
      <c r="E3744" s="15"/>
      <c r="F3744" s="15">
        <f t="shared" si="1"/>
        <v>3.54</v>
      </c>
      <c r="G3744" s="15">
        <f t="shared" si="2"/>
        <v>3.95</v>
      </c>
      <c r="H3744" s="16">
        <v>0.0</v>
      </c>
      <c r="I3744" s="15">
        <f t="shared" si="3"/>
        <v>3.54</v>
      </c>
      <c r="J3744" s="15">
        <v>13.4</v>
      </c>
      <c r="K3744" s="16">
        <f>IF(COUNTIFS(Release_Calendar!$A$2:$A$755,"US_CPI",Release_Calendar!$B$2:$B$755,$A3744)&gt;0,1,0)</f>
        <v>0</v>
      </c>
      <c r="L3744" s="16">
        <f>IF(COUNTIFS(Release_Calendar!$A$2:$A$755,"US_NFP",Release_Calendar!$B$2:$B$755,$A3744)&gt;0,1,0)</f>
        <v>0</v>
      </c>
      <c r="M3744" s="16" t="str">
        <f>IF($A3744&lt;Notes!$B$5,"",IF(COUNTIFS(Release_Calendar!$A$2:$A$755,"NZ_CPI",Release_Calendar!$B$2:$B$755,$A3744)&gt;0,1,0))</f>
        <v/>
      </c>
      <c r="N3744" s="16" t="str">
        <f>IF($A3744&lt;Notes!$B$5,"",IF(COUNTIFS(Release_Calendar!$A$2:$A$755,"NZ_GDP",Release_Calendar!$B$2:$B$755,$A3744)&gt;0,1,0))</f>
        <v/>
      </c>
      <c r="O3744" s="16" t="str">
        <f>IF($A3744&lt;Notes!$B$5,"",IF(COUNTIFS(Release_Calendar!$A$2:$A$755,"NZ_LABOUR",Release_Calendar!$B$2:$B$755,$A3744)&gt;0,1,0))</f>
        <v/>
      </c>
      <c r="P3744" s="16">
        <f t="shared" si="4"/>
        <v>0</v>
      </c>
    </row>
    <row r="3745" ht="15.75" customHeight="1">
      <c r="A3745" s="14">
        <v>41767.0</v>
      </c>
      <c r="B3745" s="15">
        <v>0.4</v>
      </c>
      <c r="C3745" s="15">
        <v>3.94</v>
      </c>
      <c r="D3745" s="15"/>
      <c r="E3745" s="15"/>
      <c r="F3745" s="15">
        <f t="shared" si="1"/>
        <v>3.54</v>
      </c>
      <c r="G3745" s="15">
        <f t="shared" si="2"/>
        <v>3.94</v>
      </c>
      <c r="H3745" s="16">
        <v>0.0</v>
      </c>
      <c r="I3745" s="15">
        <f t="shared" si="3"/>
        <v>3.54</v>
      </c>
      <c r="J3745" s="15">
        <v>13.43</v>
      </c>
      <c r="K3745" s="16">
        <f>IF(COUNTIFS(Release_Calendar!$A$2:$A$755,"US_CPI",Release_Calendar!$B$2:$B$755,$A3745)&gt;0,1,0)</f>
        <v>0</v>
      </c>
      <c r="L3745" s="16">
        <f>IF(COUNTIFS(Release_Calendar!$A$2:$A$755,"US_NFP",Release_Calendar!$B$2:$B$755,$A3745)&gt;0,1,0)</f>
        <v>0</v>
      </c>
      <c r="M3745" s="16" t="str">
        <f>IF($A3745&lt;Notes!$B$5,"",IF(COUNTIFS(Release_Calendar!$A$2:$A$755,"NZ_CPI",Release_Calendar!$B$2:$B$755,$A3745)&gt;0,1,0))</f>
        <v/>
      </c>
      <c r="N3745" s="16" t="str">
        <f>IF($A3745&lt;Notes!$B$5,"",IF(COUNTIFS(Release_Calendar!$A$2:$A$755,"NZ_GDP",Release_Calendar!$B$2:$B$755,$A3745)&gt;0,1,0))</f>
        <v/>
      </c>
      <c r="O3745" s="16" t="str">
        <f>IF($A3745&lt;Notes!$B$5,"",IF(COUNTIFS(Release_Calendar!$A$2:$A$755,"NZ_LABOUR",Release_Calendar!$B$2:$B$755,$A3745)&gt;0,1,0))</f>
        <v/>
      </c>
      <c r="P3745" s="16">
        <f t="shared" si="4"/>
        <v>0</v>
      </c>
    </row>
    <row r="3746" ht="15.75" customHeight="1">
      <c r="A3746" s="14">
        <v>41768.0</v>
      </c>
      <c r="B3746" s="15">
        <v>0.4</v>
      </c>
      <c r="C3746" s="15">
        <v>3.96</v>
      </c>
      <c r="D3746" s="15"/>
      <c r="E3746" s="15"/>
      <c r="F3746" s="15">
        <f t="shared" si="1"/>
        <v>3.56</v>
      </c>
      <c r="G3746" s="15">
        <f t="shared" si="2"/>
        <v>3.96</v>
      </c>
      <c r="H3746" s="16">
        <v>0.0</v>
      </c>
      <c r="I3746" s="15">
        <f t="shared" si="3"/>
        <v>3.56</v>
      </c>
      <c r="J3746" s="15">
        <v>12.92</v>
      </c>
      <c r="K3746" s="16">
        <f>IF(COUNTIFS(Release_Calendar!$A$2:$A$755,"US_CPI",Release_Calendar!$B$2:$B$755,$A3746)&gt;0,1,0)</f>
        <v>0</v>
      </c>
      <c r="L3746" s="16">
        <f>IF(COUNTIFS(Release_Calendar!$A$2:$A$755,"US_NFP",Release_Calendar!$B$2:$B$755,$A3746)&gt;0,1,0)</f>
        <v>0</v>
      </c>
      <c r="M3746" s="16" t="str">
        <f>IF($A3746&lt;Notes!$B$5,"",IF(COUNTIFS(Release_Calendar!$A$2:$A$755,"NZ_CPI",Release_Calendar!$B$2:$B$755,$A3746)&gt;0,1,0))</f>
        <v/>
      </c>
      <c r="N3746" s="16" t="str">
        <f>IF($A3746&lt;Notes!$B$5,"",IF(COUNTIFS(Release_Calendar!$A$2:$A$755,"NZ_GDP",Release_Calendar!$B$2:$B$755,$A3746)&gt;0,1,0))</f>
        <v/>
      </c>
      <c r="O3746" s="16" t="str">
        <f>IF($A3746&lt;Notes!$B$5,"",IF(COUNTIFS(Release_Calendar!$A$2:$A$755,"NZ_LABOUR",Release_Calendar!$B$2:$B$755,$A3746)&gt;0,1,0))</f>
        <v/>
      </c>
      <c r="P3746" s="16">
        <f t="shared" si="4"/>
        <v>0</v>
      </c>
    </row>
    <row r="3747" ht="15.75" customHeight="1">
      <c r="A3747" s="14">
        <v>41771.0</v>
      </c>
      <c r="B3747" s="15">
        <v>0.41</v>
      </c>
      <c r="C3747" s="15">
        <v>3.97</v>
      </c>
      <c r="D3747" s="15"/>
      <c r="E3747" s="15"/>
      <c r="F3747" s="15">
        <f t="shared" si="1"/>
        <v>3.56</v>
      </c>
      <c r="G3747" s="15">
        <f t="shared" si="2"/>
        <v>3.97</v>
      </c>
      <c r="H3747" s="16">
        <v>0.0</v>
      </c>
      <c r="I3747" s="15">
        <f t="shared" si="3"/>
        <v>3.56</v>
      </c>
      <c r="J3747" s="15">
        <v>12.23</v>
      </c>
      <c r="K3747" s="16">
        <f>IF(COUNTIFS(Release_Calendar!$A$2:$A$755,"US_CPI",Release_Calendar!$B$2:$B$755,$A3747)&gt;0,1,0)</f>
        <v>0</v>
      </c>
      <c r="L3747" s="16">
        <f>IF(COUNTIFS(Release_Calendar!$A$2:$A$755,"US_NFP",Release_Calendar!$B$2:$B$755,$A3747)&gt;0,1,0)</f>
        <v>0</v>
      </c>
      <c r="M3747" s="16" t="str">
        <f>IF($A3747&lt;Notes!$B$5,"",IF(COUNTIFS(Release_Calendar!$A$2:$A$755,"NZ_CPI",Release_Calendar!$B$2:$B$755,$A3747)&gt;0,1,0))</f>
        <v/>
      </c>
      <c r="N3747" s="16" t="str">
        <f>IF($A3747&lt;Notes!$B$5,"",IF(COUNTIFS(Release_Calendar!$A$2:$A$755,"NZ_GDP",Release_Calendar!$B$2:$B$755,$A3747)&gt;0,1,0))</f>
        <v/>
      </c>
      <c r="O3747" s="16" t="str">
        <f>IF($A3747&lt;Notes!$B$5,"",IF(COUNTIFS(Release_Calendar!$A$2:$A$755,"NZ_LABOUR",Release_Calendar!$B$2:$B$755,$A3747)&gt;0,1,0))</f>
        <v/>
      </c>
      <c r="P3747" s="16">
        <f t="shared" si="4"/>
        <v>0</v>
      </c>
    </row>
    <row r="3748" ht="15.75" customHeight="1">
      <c r="A3748" s="14">
        <v>41772.0</v>
      </c>
      <c r="B3748" s="15">
        <v>0.39</v>
      </c>
      <c r="C3748" s="15">
        <v>4.01</v>
      </c>
      <c r="D3748" s="15"/>
      <c r="E3748" s="15"/>
      <c r="F3748" s="15">
        <f t="shared" si="1"/>
        <v>3.62</v>
      </c>
      <c r="G3748" s="15">
        <f t="shared" si="2"/>
        <v>4.01</v>
      </c>
      <c r="H3748" s="16">
        <v>0.0</v>
      </c>
      <c r="I3748" s="15">
        <f t="shared" si="3"/>
        <v>3.62</v>
      </c>
      <c r="J3748" s="15">
        <v>12.13</v>
      </c>
      <c r="K3748" s="16">
        <f>IF(COUNTIFS(Release_Calendar!$A$2:$A$755,"US_CPI",Release_Calendar!$B$2:$B$755,$A3748)&gt;0,1,0)</f>
        <v>0</v>
      </c>
      <c r="L3748" s="16">
        <f>IF(COUNTIFS(Release_Calendar!$A$2:$A$755,"US_NFP",Release_Calendar!$B$2:$B$755,$A3748)&gt;0,1,0)</f>
        <v>0</v>
      </c>
      <c r="M3748" s="16" t="str">
        <f>IF($A3748&lt;Notes!$B$5,"",IF(COUNTIFS(Release_Calendar!$A$2:$A$755,"NZ_CPI",Release_Calendar!$B$2:$B$755,$A3748)&gt;0,1,0))</f>
        <v/>
      </c>
      <c r="N3748" s="16" t="str">
        <f>IF($A3748&lt;Notes!$B$5,"",IF(COUNTIFS(Release_Calendar!$A$2:$A$755,"NZ_GDP",Release_Calendar!$B$2:$B$755,$A3748)&gt;0,1,0))</f>
        <v/>
      </c>
      <c r="O3748" s="16" t="str">
        <f>IF($A3748&lt;Notes!$B$5,"",IF(COUNTIFS(Release_Calendar!$A$2:$A$755,"NZ_LABOUR",Release_Calendar!$B$2:$B$755,$A3748)&gt;0,1,0))</f>
        <v/>
      </c>
      <c r="P3748" s="16">
        <f t="shared" si="4"/>
        <v>0</v>
      </c>
    </row>
    <row r="3749" ht="15.75" customHeight="1">
      <c r="A3749" s="14">
        <v>41773.0</v>
      </c>
      <c r="B3749" s="15">
        <v>0.39</v>
      </c>
      <c r="C3749" s="15">
        <v>3.99</v>
      </c>
      <c r="D3749" s="15"/>
      <c r="E3749" s="15"/>
      <c r="F3749" s="15">
        <f t="shared" si="1"/>
        <v>3.6</v>
      </c>
      <c r="G3749" s="15">
        <f t="shared" si="2"/>
        <v>3.99</v>
      </c>
      <c r="H3749" s="16">
        <v>0.0</v>
      </c>
      <c r="I3749" s="15">
        <f t="shared" si="3"/>
        <v>3.6</v>
      </c>
      <c r="J3749" s="15">
        <v>12.17</v>
      </c>
      <c r="K3749" s="16">
        <f>IF(COUNTIFS(Release_Calendar!$A$2:$A$755,"US_CPI",Release_Calendar!$B$2:$B$755,$A3749)&gt;0,1,0)</f>
        <v>0</v>
      </c>
      <c r="L3749" s="16">
        <f>IF(COUNTIFS(Release_Calendar!$A$2:$A$755,"US_NFP",Release_Calendar!$B$2:$B$755,$A3749)&gt;0,1,0)</f>
        <v>0</v>
      </c>
      <c r="M3749" s="16" t="str">
        <f>IF($A3749&lt;Notes!$B$5,"",IF(COUNTIFS(Release_Calendar!$A$2:$A$755,"NZ_CPI",Release_Calendar!$B$2:$B$755,$A3749)&gt;0,1,0))</f>
        <v/>
      </c>
      <c r="N3749" s="16" t="str">
        <f>IF($A3749&lt;Notes!$B$5,"",IF(COUNTIFS(Release_Calendar!$A$2:$A$755,"NZ_GDP",Release_Calendar!$B$2:$B$755,$A3749)&gt;0,1,0))</f>
        <v/>
      </c>
      <c r="O3749" s="16" t="str">
        <f>IF($A3749&lt;Notes!$B$5,"",IF(COUNTIFS(Release_Calendar!$A$2:$A$755,"NZ_LABOUR",Release_Calendar!$B$2:$B$755,$A3749)&gt;0,1,0))</f>
        <v/>
      </c>
      <c r="P3749" s="16">
        <f t="shared" si="4"/>
        <v>0</v>
      </c>
    </row>
    <row r="3750" ht="15.75" customHeight="1">
      <c r="A3750" s="14">
        <v>41774.0</v>
      </c>
      <c r="B3750" s="15">
        <v>0.38</v>
      </c>
      <c r="C3750" s="15">
        <v>3.99</v>
      </c>
      <c r="D3750" s="15"/>
      <c r="E3750" s="15"/>
      <c r="F3750" s="15">
        <f t="shared" si="1"/>
        <v>3.61</v>
      </c>
      <c r="G3750" s="15">
        <f t="shared" si="2"/>
        <v>3.99</v>
      </c>
      <c r="H3750" s="16">
        <v>0.0</v>
      </c>
      <c r="I3750" s="15">
        <f t="shared" si="3"/>
        <v>3.61</v>
      </c>
      <c r="J3750" s="15">
        <v>13.17</v>
      </c>
      <c r="K3750" s="16">
        <f>IF(COUNTIFS(Release_Calendar!$A$2:$A$755,"US_CPI",Release_Calendar!$B$2:$B$755,$A3750)&gt;0,1,0)</f>
        <v>1</v>
      </c>
      <c r="L3750" s="16">
        <f>IF(COUNTIFS(Release_Calendar!$A$2:$A$755,"US_NFP",Release_Calendar!$B$2:$B$755,$A3750)&gt;0,1,0)</f>
        <v>0</v>
      </c>
      <c r="M3750" s="16" t="str">
        <f>IF($A3750&lt;Notes!$B$5,"",IF(COUNTIFS(Release_Calendar!$A$2:$A$755,"NZ_CPI",Release_Calendar!$B$2:$B$755,$A3750)&gt;0,1,0))</f>
        <v/>
      </c>
      <c r="N3750" s="16" t="str">
        <f>IF($A3750&lt;Notes!$B$5,"",IF(COUNTIFS(Release_Calendar!$A$2:$A$755,"NZ_GDP",Release_Calendar!$B$2:$B$755,$A3750)&gt;0,1,0))</f>
        <v/>
      </c>
      <c r="O3750" s="16" t="str">
        <f>IF($A3750&lt;Notes!$B$5,"",IF(COUNTIFS(Release_Calendar!$A$2:$A$755,"NZ_LABOUR",Release_Calendar!$B$2:$B$755,$A3750)&gt;0,1,0))</f>
        <v/>
      </c>
      <c r="P3750" s="16">
        <f t="shared" si="4"/>
        <v>1</v>
      </c>
    </row>
    <row r="3751" ht="15.75" customHeight="1">
      <c r="A3751" s="14">
        <v>41775.0</v>
      </c>
      <c r="B3751" s="15">
        <v>0.38</v>
      </c>
      <c r="C3751" s="15">
        <v>3.96</v>
      </c>
      <c r="D3751" s="15"/>
      <c r="E3751" s="15"/>
      <c r="F3751" s="15">
        <f t="shared" si="1"/>
        <v>3.58</v>
      </c>
      <c r="G3751" s="15">
        <f t="shared" si="2"/>
        <v>3.96</v>
      </c>
      <c r="H3751" s="16">
        <v>0.0</v>
      </c>
      <c r="I3751" s="15">
        <f t="shared" si="3"/>
        <v>3.58</v>
      </c>
      <c r="J3751" s="15">
        <v>12.44</v>
      </c>
      <c r="K3751" s="16">
        <f>IF(COUNTIFS(Release_Calendar!$A$2:$A$755,"US_CPI",Release_Calendar!$B$2:$B$755,$A3751)&gt;0,1,0)</f>
        <v>0</v>
      </c>
      <c r="L3751" s="16">
        <f>IF(COUNTIFS(Release_Calendar!$A$2:$A$755,"US_NFP",Release_Calendar!$B$2:$B$755,$A3751)&gt;0,1,0)</f>
        <v>0</v>
      </c>
      <c r="M3751" s="16" t="str">
        <f>IF($A3751&lt;Notes!$B$5,"",IF(COUNTIFS(Release_Calendar!$A$2:$A$755,"NZ_CPI",Release_Calendar!$B$2:$B$755,$A3751)&gt;0,1,0))</f>
        <v/>
      </c>
      <c r="N3751" s="16" t="str">
        <f>IF($A3751&lt;Notes!$B$5,"",IF(COUNTIFS(Release_Calendar!$A$2:$A$755,"NZ_GDP",Release_Calendar!$B$2:$B$755,$A3751)&gt;0,1,0))</f>
        <v/>
      </c>
      <c r="O3751" s="16" t="str">
        <f>IF($A3751&lt;Notes!$B$5,"",IF(COUNTIFS(Release_Calendar!$A$2:$A$755,"NZ_LABOUR",Release_Calendar!$B$2:$B$755,$A3751)&gt;0,1,0))</f>
        <v/>
      </c>
      <c r="P3751" s="16">
        <f t="shared" si="4"/>
        <v>0</v>
      </c>
    </row>
    <row r="3752" ht="15.75" customHeight="1">
      <c r="A3752" s="14">
        <v>41778.0</v>
      </c>
      <c r="B3752" s="15">
        <v>0.36</v>
      </c>
      <c r="C3752" s="15">
        <v>3.96</v>
      </c>
      <c r="D3752" s="15"/>
      <c r="E3752" s="15"/>
      <c r="F3752" s="15">
        <f t="shared" si="1"/>
        <v>3.6</v>
      </c>
      <c r="G3752" s="15">
        <f t="shared" si="2"/>
        <v>3.96</v>
      </c>
      <c r="H3752" s="16">
        <v>0.0</v>
      </c>
      <c r="I3752" s="15">
        <f t="shared" si="3"/>
        <v>3.6</v>
      </c>
      <c r="J3752" s="15">
        <v>12.42</v>
      </c>
      <c r="K3752" s="16">
        <f>IF(COUNTIFS(Release_Calendar!$A$2:$A$755,"US_CPI",Release_Calendar!$B$2:$B$755,$A3752)&gt;0,1,0)</f>
        <v>0</v>
      </c>
      <c r="L3752" s="16">
        <f>IF(COUNTIFS(Release_Calendar!$A$2:$A$755,"US_NFP",Release_Calendar!$B$2:$B$755,$A3752)&gt;0,1,0)</f>
        <v>0</v>
      </c>
      <c r="M3752" s="16" t="str">
        <f>IF($A3752&lt;Notes!$B$5,"",IF(COUNTIFS(Release_Calendar!$A$2:$A$755,"NZ_CPI",Release_Calendar!$B$2:$B$755,$A3752)&gt;0,1,0))</f>
        <v/>
      </c>
      <c r="N3752" s="16" t="str">
        <f>IF($A3752&lt;Notes!$B$5,"",IF(COUNTIFS(Release_Calendar!$A$2:$A$755,"NZ_GDP",Release_Calendar!$B$2:$B$755,$A3752)&gt;0,1,0))</f>
        <v/>
      </c>
      <c r="O3752" s="16" t="str">
        <f>IF($A3752&lt;Notes!$B$5,"",IF(COUNTIFS(Release_Calendar!$A$2:$A$755,"NZ_LABOUR",Release_Calendar!$B$2:$B$755,$A3752)&gt;0,1,0))</f>
        <v/>
      </c>
      <c r="P3752" s="16">
        <f t="shared" si="4"/>
        <v>0</v>
      </c>
    </row>
    <row r="3753" ht="15.75" customHeight="1">
      <c r="A3753" s="14">
        <v>41779.0</v>
      </c>
      <c r="B3753" s="15">
        <v>0.35</v>
      </c>
      <c r="C3753" s="15">
        <v>3.97</v>
      </c>
      <c r="D3753" s="15"/>
      <c r="E3753" s="15"/>
      <c r="F3753" s="15">
        <f t="shared" si="1"/>
        <v>3.62</v>
      </c>
      <c r="G3753" s="15">
        <f t="shared" si="2"/>
        <v>3.97</v>
      </c>
      <c r="H3753" s="16">
        <v>0.0</v>
      </c>
      <c r="I3753" s="15">
        <f t="shared" si="3"/>
        <v>3.62</v>
      </c>
      <c r="J3753" s="15">
        <v>12.96</v>
      </c>
      <c r="K3753" s="16">
        <f>IF(COUNTIFS(Release_Calendar!$A$2:$A$755,"US_CPI",Release_Calendar!$B$2:$B$755,$A3753)&gt;0,1,0)</f>
        <v>0</v>
      </c>
      <c r="L3753" s="16">
        <f>IF(COUNTIFS(Release_Calendar!$A$2:$A$755,"US_NFP",Release_Calendar!$B$2:$B$755,$A3753)&gt;0,1,0)</f>
        <v>0</v>
      </c>
      <c r="M3753" s="16" t="str">
        <f>IF($A3753&lt;Notes!$B$5,"",IF(COUNTIFS(Release_Calendar!$A$2:$A$755,"NZ_CPI",Release_Calendar!$B$2:$B$755,$A3753)&gt;0,1,0))</f>
        <v/>
      </c>
      <c r="N3753" s="16" t="str">
        <f>IF($A3753&lt;Notes!$B$5,"",IF(COUNTIFS(Release_Calendar!$A$2:$A$755,"NZ_GDP",Release_Calendar!$B$2:$B$755,$A3753)&gt;0,1,0))</f>
        <v/>
      </c>
      <c r="O3753" s="16" t="str">
        <f>IF($A3753&lt;Notes!$B$5,"",IF(COUNTIFS(Release_Calendar!$A$2:$A$755,"NZ_LABOUR",Release_Calendar!$B$2:$B$755,$A3753)&gt;0,1,0))</f>
        <v/>
      </c>
      <c r="P3753" s="16">
        <f t="shared" si="4"/>
        <v>0</v>
      </c>
    </row>
    <row r="3754" ht="15.75" customHeight="1">
      <c r="A3754" s="14">
        <v>41780.0</v>
      </c>
      <c r="B3754" s="15">
        <v>0.37</v>
      </c>
      <c r="C3754" s="15">
        <v>3.95</v>
      </c>
      <c r="D3754" s="15"/>
      <c r="E3754" s="15"/>
      <c r="F3754" s="15">
        <f t="shared" si="1"/>
        <v>3.58</v>
      </c>
      <c r="G3754" s="15">
        <f t="shared" si="2"/>
        <v>3.95</v>
      </c>
      <c r="H3754" s="16">
        <v>0.0</v>
      </c>
      <c r="I3754" s="15">
        <f t="shared" si="3"/>
        <v>3.58</v>
      </c>
      <c r="J3754" s="15">
        <v>11.91</v>
      </c>
      <c r="K3754" s="16">
        <f>IF(COUNTIFS(Release_Calendar!$A$2:$A$755,"US_CPI",Release_Calendar!$B$2:$B$755,$A3754)&gt;0,1,0)</f>
        <v>0</v>
      </c>
      <c r="L3754" s="16">
        <f>IF(COUNTIFS(Release_Calendar!$A$2:$A$755,"US_NFP",Release_Calendar!$B$2:$B$755,$A3754)&gt;0,1,0)</f>
        <v>0</v>
      </c>
      <c r="M3754" s="16" t="str">
        <f>IF($A3754&lt;Notes!$B$5,"",IF(COUNTIFS(Release_Calendar!$A$2:$A$755,"NZ_CPI",Release_Calendar!$B$2:$B$755,$A3754)&gt;0,1,0))</f>
        <v/>
      </c>
      <c r="N3754" s="16" t="str">
        <f>IF($A3754&lt;Notes!$B$5,"",IF(COUNTIFS(Release_Calendar!$A$2:$A$755,"NZ_GDP",Release_Calendar!$B$2:$B$755,$A3754)&gt;0,1,0))</f>
        <v/>
      </c>
      <c r="O3754" s="16" t="str">
        <f>IF($A3754&lt;Notes!$B$5,"",IF(COUNTIFS(Release_Calendar!$A$2:$A$755,"NZ_LABOUR",Release_Calendar!$B$2:$B$755,$A3754)&gt;0,1,0))</f>
        <v/>
      </c>
      <c r="P3754" s="16">
        <f t="shared" si="4"/>
        <v>0</v>
      </c>
    </row>
    <row r="3755" ht="15.75" customHeight="1">
      <c r="A3755" s="14">
        <v>41781.0</v>
      </c>
      <c r="B3755" s="15">
        <v>0.37</v>
      </c>
      <c r="C3755" s="15">
        <v>3.98</v>
      </c>
      <c r="D3755" s="15"/>
      <c r="E3755" s="15"/>
      <c r="F3755" s="15">
        <f t="shared" si="1"/>
        <v>3.61</v>
      </c>
      <c r="G3755" s="15">
        <f t="shared" si="2"/>
        <v>3.98</v>
      </c>
      <c r="H3755" s="16">
        <v>0.0</v>
      </c>
      <c r="I3755" s="15">
        <f t="shared" si="3"/>
        <v>3.61</v>
      </c>
      <c r="J3755" s="15">
        <v>12.03</v>
      </c>
      <c r="K3755" s="16">
        <f>IF(COUNTIFS(Release_Calendar!$A$2:$A$755,"US_CPI",Release_Calendar!$B$2:$B$755,$A3755)&gt;0,1,0)</f>
        <v>0</v>
      </c>
      <c r="L3755" s="16">
        <f>IF(COUNTIFS(Release_Calendar!$A$2:$A$755,"US_NFP",Release_Calendar!$B$2:$B$755,$A3755)&gt;0,1,0)</f>
        <v>0</v>
      </c>
      <c r="M3755" s="16" t="str">
        <f>IF($A3755&lt;Notes!$B$5,"",IF(COUNTIFS(Release_Calendar!$A$2:$A$755,"NZ_CPI",Release_Calendar!$B$2:$B$755,$A3755)&gt;0,1,0))</f>
        <v/>
      </c>
      <c r="N3755" s="16" t="str">
        <f>IF($A3755&lt;Notes!$B$5,"",IF(COUNTIFS(Release_Calendar!$A$2:$A$755,"NZ_GDP",Release_Calendar!$B$2:$B$755,$A3755)&gt;0,1,0))</f>
        <v/>
      </c>
      <c r="O3755" s="16" t="str">
        <f>IF($A3755&lt;Notes!$B$5,"",IF(COUNTIFS(Release_Calendar!$A$2:$A$755,"NZ_LABOUR",Release_Calendar!$B$2:$B$755,$A3755)&gt;0,1,0))</f>
        <v/>
      </c>
      <c r="P3755" s="16">
        <f t="shared" si="4"/>
        <v>0</v>
      </c>
    </row>
    <row r="3756" ht="15.75" customHeight="1">
      <c r="A3756" s="14">
        <v>41782.0</v>
      </c>
      <c r="B3756" s="15">
        <v>0.37</v>
      </c>
      <c r="C3756" s="15">
        <v>3.97</v>
      </c>
      <c r="D3756" s="15"/>
      <c r="E3756" s="15"/>
      <c r="F3756" s="15">
        <f t="shared" si="1"/>
        <v>3.6</v>
      </c>
      <c r="G3756" s="15">
        <f t="shared" si="2"/>
        <v>3.97</v>
      </c>
      <c r="H3756" s="16">
        <v>0.0</v>
      </c>
      <c r="I3756" s="15">
        <f t="shared" si="3"/>
        <v>3.6</v>
      </c>
      <c r="J3756" s="15">
        <v>11.36</v>
      </c>
      <c r="K3756" s="16">
        <f>IF(COUNTIFS(Release_Calendar!$A$2:$A$755,"US_CPI",Release_Calendar!$B$2:$B$755,$A3756)&gt;0,1,0)</f>
        <v>0</v>
      </c>
      <c r="L3756" s="16">
        <f>IF(COUNTIFS(Release_Calendar!$A$2:$A$755,"US_NFP",Release_Calendar!$B$2:$B$755,$A3756)&gt;0,1,0)</f>
        <v>0</v>
      </c>
      <c r="M3756" s="16" t="str">
        <f>IF($A3756&lt;Notes!$B$5,"",IF(COUNTIFS(Release_Calendar!$A$2:$A$755,"NZ_CPI",Release_Calendar!$B$2:$B$755,$A3756)&gt;0,1,0))</f>
        <v/>
      </c>
      <c r="N3756" s="16" t="str">
        <f>IF($A3756&lt;Notes!$B$5,"",IF(COUNTIFS(Release_Calendar!$A$2:$A$755,"NZ_GDP",Release_Calendar!$B$2:$B$755,$A3756)&gt;0,1,0))</f>
        <v/>
      </c>
      <c r="O3756" s="16" t="str">
        <f>IF($A3756&lt;Notes!$B$5,"",IF(COUNTIFS(Release_Calendar!$A$2:$A$755,"NZ_LABOUR",Release_Calendar!$B$2:$B$755,$A3756)&gt;0,1,0))</f>
        <v/>
      </c>
      <c r="P3756" s="16">
        <f t="shared" si="4"/>
        <v>0</v>
      </c>
    </row>
    <row r="3757" ht="15.75" customHeight="1">
      <c r="A3757" s="14">
        <v>41785.0</v>
      </c>
      <c r="B3757" s="15"/>
      <c r="C3757" s="15">
        <v>3.95</v>
      </c>
      <c r="D3757" s="15"/>
      <c r="E3757" s="15"/>
      <c r="F3757" s="15" t="str">
        <f t="shared" si="1"/>
        <v/>
      </c>
      <c r="G3757" s="15">
        <f t="shared" si="2"/>
        <v>3.95</v>
      </c>
      <c r="H3757" s="16">
        <v>0.0</v>
      </c>
      <c r="I3757" s="15" t="str">
        <f t="shared" si="3"/>
        <v/>
      </c>
      <c r="J3757" s="15"/>
      <c r="K3757" s="16">
        <f>IF(COUNTIFS(Release_Calendar!$A$2:$A$755,"US_CPI",Release_Calendar!$B$2:$B$755,$A3757)&gt;0,1,0)</f>
        <v>0</v>
      </c>
      <c r="L3757" s="16">
        <f>IF(COUNTIFS(Release_Calendar!$A$2:$A$755,"US_NFP",Release_Calendar!$B$2:$B$755,$A3757)&gt;0,1,0)</f>
        <v>0</v>
      </c>
      <c r="M3757" s="16" t="str">
        <f>IF($A3757&lt;Notes!$B$5,"",IF(COUNTIFS(Release_Calendar!$A$2:$A$755,"NZ_CPI",Release_Calendar!$B$2:$B$755,$A3757)&gt;0,1,0))</f>
        <v/>
      </c>
      <c r="N3757" s="16" t="str">
        <f>IF($A3757&lt;Notes!$B$5,"",IF(COUNTIFS(Release_Calendar!$A$2:$A$755,"NZ_GDP",Release_Calendar!$B$2:$B$755,$A3757)&gt;0,1,0))</f>
        <v/>
      </c>
      <c r="O3757" s="16" t="str">
        <f>IF($A3757&lt;Notes!$B$5,"",IF(COUNTIFS(Release_Calendar!$A$2:$A$755,"NZ_LABOUR",Release_Calendar!$B$2:$B$755,$A3757)&gt;0,1,0))</f>
        <v/>
      </c>
      <c r="P3757" s="16">
        <f t="shared" si="4"/>
        <v>0</v>
      </c>
    </row>
    <row r="3758" ht="15.75" customHeight="1">
      <c r="A3758" s="14">
        <v>41786.0</v>
      </c>
      <c r="B3758" s="15">
        <v>0.39</v>
      </c>
      <c r="C3758" s="15">
        <v>3.93</v>
      </c>
      <c r="D3758" s="15"/>
      <c r="E3758" s="15"/>
      <c r="F3758" s="15">
        <f t="shared" si="1"/>
        <v>3.54</v>
      </c>
      <c r="G3758" s="15">
        <f t="shared" si="2"/>
        <v>3.93</v>
      </c>
      <c r="H3758" s="16">
        <v>0.0</v>
      </c>
      <c r="I3758" s="15">
        <f t="shared" si="3"/>
        <v>3.54</v>
      </c>
      <c r="J3758" s="15">
        <v>11.51</v>
      </c>
      <c r="K3758" s="16">
        <f>IF(COUNTIFS(Release_Calendar!$A$2:$A$755,"US_CPI",Release_Calendar!$B$2:$B$755,$A3758)&gt;0,1,0)</f>
        <v>0</v>
      </c>
      <c r="L3758" s="16">
        <f>IF(COUNTIFS(Release_Calendar!$A$2:$A$755,"US_NFP",Release_Calendar!$B$2:$B$755,$A3758)&gt;0,1,0)</f>
        <v>0</v>
      </c>
      <c r="M3758" s="16" t="str">
        <f>IF($A3758&lt;Notes!$B$5,"",IF(COUNTIFS(Release_Calendar!$A$2:$A$755,"NZ_CPI",Release_Calendar!$B$2:$B$755,$A3758)&gt;0,1,0))</f>
        <v/>
      </c>
      <c r="N3758" s="16" t="str">
        <f>IF($A3758&lt;Notes!$B$5,"",IF(COUNTIFS(Release_Calendar!$A$2:$A$755,"NZ_GDP",Release_Calendar!$B$2:$B$755,$A3758)&gt;0,1,0))</f>
        <v/>
      </c>
      <c r="O3758" s="16" t="str">
        <f>IF($A3758&lt;Notes!$B$5,"",IF(COUNTIFS(Release_Calendar!$A$2:$A$755,"NZ_LABOUR",Release_Calendar!$B$2:$B$755,$A3758)&gt;0,1,0))</f>
        <v/>
      </c>
      <c r="P3758" s="16">
        <f t="shared" si="4"/>
        <v>0</v>
      </c>
    </row>
    <row r="3759" ht="15.75" customHeight="1">
      <c r="A3759" s="14">
        <v>41787.0</v>
      </c>
      <c r="B3759" s="15">
        <v>0.37</v>
      </c>
      <c r="C3759" s="15">
        <v>3.92</v>
      </c>
      <c r="D3759" s="15"/>
      <c r="E3759" s="15"/>
      <c r="F3759" s="15">
        <f t="shared" si="1"/>
        <v>3.55</v>
      </c>
      <c r="G3759" s="15">
        <f t="shared" si="2"/>
        <v>3.92</v>
      </c>
      <c r="H3759" s="16">
        <v>0.0</v>
      </c>
      <c r="I3759" s="15">
        <f t="shared" si="3"/>
        <v>3.55</v>
      </c>
      <c r="J3759" s="15">
        <v>11.68</v>
      </c>
      <c r="K3759" s="16">
        <f>IF(COUNTIFS(Release_Calendar!$A$2:$A$755,"US_CPI",Release_Calendar!$B$2:$B$755,$A3759)&gt;0,1,0)</f>
        <v>0</v>
      </c>
      <c r="L3759" s="16">
        <f>IF(COUNTIFS(Release_Calendar!$A$2:$A$755,"US_NFP",Release_Calendar!$B$2:$B$755,$A3759)&gt;0,1,0)</f>
        <v>0</v>
      </c>
      <c r="M3759" s="16" t="str">
        <f>IF($A3759&lt;Notes!$B$5,"",IF(COUNTIFS(Release_Calendar!$A$2:$A$755,"NZ_CPI",Release_Calendar!$B$2:$B$755,$A3759)&gt;0,1,0))</f>
        <v/>
      </c>
      <c r="N3759" s="16" t="str">
        <f>IF($A3759&lt;Notes!$B$5,"",IF(COUNTIFS(Release_Calendar!$A$2:$A$755,"NZ_GDP",Release_Calendar!$B$2:$B$755,$A3759)&gt;0,1,0))</f>
        <v/>
      </c>
      <c r="O3759" s="16" t="str">
        <f>IF($A3759&lt;Notes!$B$5,"",IF(COUNTIFS(Release_Calendar!$A$2:$A$755,"NZ_LABOUR",Release_Calendar!$B$2:$B$755,$A3759)&gt;0,1,0))</f>
        <v/>
      </c>
      <c r="P3759" s="16">
        <f t="shared" si="4"/>
        <v>0</v>
      </c>
    </row>
    <row r="3760" ht="15.75" customHeight="1">
      <c r="A3760" s="14">
        <v>41788.0</v>
      </c>
      <c r="B3760" s="15">
        <v>0.37</v>
      </c>
      <c r="C3760" s="15">
        <v>3.88</v>
      </c>
      <c r="D3760" s="15"/>
      <c r="E3760" s="15"/>
      <c r="F3760" s="15">
        <f t="shared" si="1"/>
        <v>3.51</v>
      </c>
      <c r="G3760" s="15">
        <f t="shared" si="2"/>
        <v>3.88</v>
      </c>
      <c r="H3760" s="16">
        <v>0.0</v>
      </c>
      <c r="I3760" s="15">
        <f t="shared" si="3"/>
        <v>3.51</v>
      </c>
      <c r="J3760" s="15">
        <v>11.57</v>
      </c>
      <c r="K3760" s="16">
        <f>IF(COUNTIFS(Release_Calendar!$A$2:$A$755,"US_CPI",Release_Calendar!$B$2:$B$755,$A3760)&gt;0,1,0)</f>
        <v>0</v>
      </c>
      <c r="L3760" s="16">
        <f>IF(COUNTIFS(Release_Calendar!$A$2:$A$755,"US_NFP",Release_Calendar!$B$2:$B$755,$A3760)&gt;0,1,0)</f>
        <v>0</v>
      </c>
      <c r="M3760" s="16" t="str">
        <f>IF($A3760&lt;Notes!$B$5,"",IF(COUNTIFS(Release_Calendar!$A$2:$A$755,"NZ_CPI",Release_Calendar!$B$2:$B$755,$A3760)&gt;0,1,0))</f>
        <v/>
      </c>
      <c r="N3760" s="16" t="str">
        <f>IF($A3760&lt;Notes!$B$5,"",IF(COUNTIFS(Release_Calendar!$A$2:$A$755,"NZ_GDP",Release_Calendar!$B$2:$B$755,$A3760)&gt;0,1,0))</f>
        <v/>
      </c>
      <c r="O3760" s="16" t="str">
        <f>IF($A3760&lt;Notes!$B$5,"",IF(COUNTIFS(Release_Calendar!$A$2:$A$755,"NZ_LABOUR",Release_Calendar!$B$2:$B$755,$A3760)&gt;0,1,0))</f>
        <v/>
      </c>
      <c r="P3760" s="16">
        <f t="shared" si="4"/>
        <v>0</v>
      </c>
    </row>
    <row r="3761" ht="15.75" customHeight="1">
      <c r="A3761" s="14">
        <v>41789.0</v>
      </c>
      <c r="B3761" s="15">
        <v>0.37</v>
      </c>
      <c r="C3761" s="15">
        <v>3.93</v>
      </c>
      <c r="D3761" s="15"/>
      <c r="E3761" s="15"/>
      <c r="F3761" s="15">
        <f t="shared" si="1"/>
        <v>3.56</v>
      </c>
      <c r="G3761" s="15">
        <f t="shared" si="2"/>
        <v>3.93</v>
      </c>
      <c r="H3761" s="16">
        <v>0.0</v>
      </c>
      <c r="I3761" s="15">
        <f t="shared" si="3"/>
        <v>3.56</v>
      </c>
      <c r="J3761" s="15">
        <v>11.4</v>
      </c>
      <c r="K3761" s="16">
        <f>IF(COUNTIFS(Release_Calendar!$A$2:$A$755,"US_CPI",Release_Calendar!$B$2:$B$755,$A3761)&gt;0,1,0)</f>
        <v>0</v>
      </c>
      <c r="L3761" s="16">
        <f>IF(COUNTIFS(Release_Calendar!$A$2:$A$755,"US_NFP",Release_Calendar!$B$2:$B$755,$A3761)&gt;0,1,0)</f>
        <v>0</v>
      </c>
      <c r="M3761" s="16" t="str">
        <f>IF($A3761&lt;Notes!$B$5,"",IF(COUNTIFS(Release_Calendar!$A$2:$A$755,"NZ_CPI",Release_Calendar!$B$2:$B$755,$A3761)&gt;0,1,0))</f>
        <v/>
      </c>
      <c r="N3761" s="16" t="str">
        <f>IF($A3761&lt;Notes!$B$5,"",IF(COUNTIFS(Release_Calendar!$A$2:$A$755,"NZ_GDP",Release_Calendar!$B$2:$B$755,$A3761)&gt;0,1,0))</f>
        <v/>
      </c>
      <c r="O3761" s="16" t="str">
        <f>IF($A3761&lt;Notes!$B$5,"",IF(COUNTIFS(Release_Calendar!$A$2:$A$755,"NZ_LABOUR",Release_Calendar!$B$2:$B$755,$A3761)&gt;0,1,0))</f>
        <v/>
      </c>
      <c r="P3761" s="16">
        <f t="shared" si="4"/>
        <v>0</v>
      </c>
    </row>
    <row r="3762" ht="15.75" customHeight="1">
      <c r="A3762" s="14">
        <v>41792.0</v>
      </c>
      <c r="B3762" s="15">
        <v>0.39</v>
      </c>
      <c r="C3762" s="15"/>
      <c r="D3762" s="15"/>
      <c r="E3762" s="15"/>
      <c r="F3762" s="15" t="str">
        <f t="shared" si="1"/>
        <v/>
      </c>
      <c r="G3762" s="15" t="str">
        <f t="shared" si="2"/>
        <v/>
      </c>
      <c r="H3762" s="16">
        <v>0.0</v>
      </c>
      <c r="I3762" s="15" t="str">
        <f t="shared" si="3"/>
        <v/>
      </c>
      <c r="J3762" s="15">
        <v>11.58</v>
      </c>
      <c r="K3762" s="16">
        <f>IF(COUNTIFS(Release_Calendar!$A$2:$A$755,"US_CPI",Release_Calendar!$B$2:$B$755,$A3762)&gt;0,1,0)</f>
        <v>0</v>
      </c>
      <c r="L3762" s="16">
        <f>IF(COUNTIFS(Release_Calendar!$A$2:$A$755,"US_NFP",Release_Calendar!$B$2:$B$755,$A3762)&gt;0,1,0)</f>
        <v>0</v>
      </c>
      <c r="M3762" s="16" t="str">
        <f>IF($A3762&lt;Notes!$B$5,"",IF(COUNTIFS(Release_Calendar!$A$2:$A$755,"NZ_CPI",Release_Calendar!$B$2:$B$755,$A3762)&gt;0,1,0))</f>
        <v/>
      </c>
      <c r="N3762" s="16" t="str">
        <f>IF($A3762&lt;Notes!$B$5,"",IF(COUNTIFS(Release_Calendar!$A$2:$A$755,"NZ_GDP",Release_Calendar!$B$2:$B$755,$A3762)&gt;0,1,0))</f>
        <v/>
      </c>
      <c r="O3762" s="16" t="str">
        <f>IF($A3762&lt;Notes!$B$5,"",IF(COUNTIFS(Release_Calendar!$A$2:$A$755,"NZ_LABOUR",Release_Calendar!$B$2:$B$755,$A3762)&gt;0,1,0))</f>
        <v/>
      </c>
      <c r="P3762" s="16">
        <f t="shared" si="4"/>
        <v>0</v>
      </c>
    </row>
    <row r="3763" ht="15.75" customHeight="1">
      <c r="A3763" s="14">
        <v>41793.0</v>
      </c>
      <c r="B3763" s="15">
        <v>0.41</v>
      </c>
      <c r="C3763" s="15">
        <v>3.94</v>
      </c>
      <c r="D3763" s="15"/>
      <c r="E3763" s="15"/>
      <c r="F3763" s="15">
        <f t="shared" si="1"/>
        <v>3.53</v>
      </c>
      <c r="G3763" s="15">
        <f t="shared" si="2"/>
        <v>3.94</v>
      </c>
      <c r="H3763" s="16">
        <v>0.0</v>
      </c>
      <c r="I3763" s="15">
        <f t="shared" si="3"/>
        <v>3.53</v>
      </c>
      <c r="J3763" s="15">
        <v>11.87</v>
      </c>
      <c r="K3763" s="16">
        <f>IF(COUNTIFS(Release_Calendar!$A$2:$A$755,"US_CPI",Release_Calendar!$B$2:$B$755,$A3763)&gt;0,1,0)</f>
        <v>0</v>
      </c>
      <c r="L3763" s="16">
        <f>IF(COUNTIFS(Release_Calendar!$A$2:$A$755,"US_NFP",Release_Calendar!$B$2:$B$755,$A3763)&gt;0,1,0)</f>
        <v>0</v>
      </c>
      <c r="M3763" s="16" t="str">
        <f>IF($A3763&lt;Notes!$B$5,"",IF(COUNTIFS(Release_Calendar!$A$2:$A$755,"NZ_CPI",Release_Calendar!$B$2:$B$755,$A3763)&gt;0,1,0))</f>
        <v/>
      </c>
      <c r="N3763" s="16" t="str">
        <f>IF($A3763&lt;Notes!$B$5,"",IF(COUNTIFS(Release_Calendar!$A$2:$A$755,"NZ_GDP",Release_Calendar!$B$2:$B$755,$A3763)&gt;0,1,0))</f>
        <v/>
      </c>
      <c r="O3763" s="16" t="str">
        <f>IF($A3763&lt;Notes!$B$5,"",IF(COUNTIFS(Release_Calendar!$A$2:$A$755,"NZ_LABOUR",Release_Calendar!$B$2:$B$755,$A3763)&gt;0,1,0))</f>
        <v/>
      </c>
      <c r="P3763" s="16">
        <f t="shared" si="4"/>
        <v>0</v>
      </c>
    </row>
    <row r="3764" ht="15.75" customHeight="1">
      <c r="A3764" s="14">
        <v>41794.0</v>
      </c>
      <c r="B3764" s="15">
        <v>0.41</v>
      </c>
      <c r="C3764" s="15">
        <v>3.96</v>
      </c>
      <c r="D3764" s="15"/>
      <c r="E3764" s="15"/>
      <c r="F3764" s="15">
        <f t="shared" si="1"/>
        <v>3.55</v>
      </c>
      <c r="G3764" s="15">
        <f t="shared" si="2"/>
        <v>3.96</v>
      </c>
      <c r="H3764" s="16">
        <v>0.0</v>
      </c>
      <c r="I3764" s="15">
        <f t="shared" si="3"/>
        <v>3.55</v>
      </c>
      <c r="J3764" s="15">
        <v>12.08</v>
      </c>
      <c r="K3764" s="16">
        <f>IF(COUNTIFS(Release_Calendar!$A$2:$A$755,"US_CPI",Release_Calendar!$B$2:$B$755,$A3764)&gt;0,1,0)</f>
        <v>0</v>
      </c>
      <c r="L3764" s="16">
        <f>IF(COUNTIFS(Release_Calendar!$A$2:$A$755,"US_NFP",Release_Calendar!$B$2:$B$755,$A3764)&gt;0,1,0)</f>
        <v>0</v>
      </c>
      <c r="M3764" s="16" t="str">
        <f>IF($A3764&lt;Notes!$B$5,"",IF(COUNTIFS(Release_Calendar!$A$2:$A$755,"NZ_CPI",Release_Calendar!$B$2:$B$755,$A3764)&gt;0,1,0))</f>
        <v/>
      </c>
      <c r="N3764" s="16" t="str">
        <f>IF($A3764&lt;Notes!$B$5,"",IF(COUNTIFS(Release_Calendar!$A$2:$A$755,"NZ_GDP",Release_Calendar!$B$2:$B$755,$A3764)&gt;0,1,0))</f>
        <v/>
      </c>
      <c r="O3764" s="16" t="str">
        <f>IF($A3764&lt;Notes!$B$5,"",IF(COUNTIFS(Release_Calendar!$A$2:$A$755,"NZ_LABOUR",Release_Calendar!$B$2:$B$755,$A3764)&gt;0,1,0))</f>
        <v/>
      </c>
      <c r="P3764" s="16">
        <f t="shared" si="4"/>
        <v>0</v>
      </c>
    </row>
    <row r="3765" ht="15.75" customHeight="1">
      <c r="A3765" s="14">
        <v>41795.0</v>
      </c>
      <c r="B3765" s="15">
        <v>0.4</v>
      </c>
      <c r="C3765" s="15">
        <v>3.95</v>
      </c>
      <c r="D3765" s="15"/>
      <c r="E3765" s="15"/>
      <c r="F3765" s="15">
        <f t="shared" si="1"/>
        <v>3.55</v>
      </c>
      <c r="G3765" s="15">
        <f t="shared" si="2"/>
        <v>3.95</v>
      </c>
      <c r="H3765" s="16">
        <v>0.0</v>
      </c>
      <c r="I3765" s="15">
        <f t="shared" si="3"/>
        <v>3.55</v>
      </c>
      <c r="J3765" s="15">
        <v>11.68</v>
      </c>
      <c r="K3765" s="16">
        <f>IF(COUNTIFS(Release_Calendar!$A$2:$A$755,"US_CPI",Release_Calendar!$B$2:$B$755,$A3765)&gt;0,1,0)</f>
        <v>0</v>
      </c>
      <c r="L3765" s="16">
        <f>IF(COUNTIFS(Release_Calendar!$A$2:$A$755,"US_NFP",Release_Calendar!$B$2:$B$755,$A3765)&gt;0,1,0)</f>
        <v>0</v>
      </c>
      <c r="M3765" s="16" t="str">
        <f>IF($A3765&lt;Notes!$B$5,"",IF(COUNTIFS(Release_Calendar!$A$2:$A$755,"NZ_CPI",Release_Calendar!$B$2:$B$755,$A3765)&gt;0,1,0))</f>
        <v/>
      </c>
      <c r="N3765" s="16" t="str">
        <f>IF($A3765&lt;Notes!$B$5,"",IF(COUNTIFS(Release_Calendar!$A$2:$A$755,"NZ_GDP",Release_Calendar!$B$2:$B$755,$A3765)&gt;0,1,0))</f>
        <v/>
      </c>
      <c r="O3765" s="16" t="str">
        <f>IF($A3765&lt;Notes!$B$5,"",IF(COUNTIFS(Release_Calendar!$A$2:$A$755,"NZ_LABOUR",Release_Calendar!$B$2:$B$755,$A3765)&gt;0,1,0))</f>
        <v/>
      </c>
      <c r="P3765" s="16">
        <f t="shared" si="4"/>
        <v>0</v>
      </c>
    </row>
    <row r="3766" ht="15.75" customHeight="1">
      <c r="A3766" s="14">
        <v>41796.0</v>
      </c>
      <c r="B3766" s="15">
        <v>0.41</v>
      </c>
      <c r="C3766" s="15">
        <v>3.95</v>
      </c>
      <c r="D3766" s="15"/>
      <c r="E3766" s="15"/>
      <c r="F3766" s="15">
        <f t="shared" si="1"/>
        <v>3.54</v>
      </c>
      <c r="G3766" s="15">
        <f t="shared" si="2"/>
        <v>3.95</v>
      </c>
      <c r="H3766" s="16">
        <v>0.0</v>
      </c>
      <c r="I3766" s="15">
        <f t="shared" si="3"/>
        <v>3.54</v>
      </c>
      <c r="J3766" s="15">
        <v>10.73</v>
      </c>
      <c r="K3766" s="16">
        <f>IF(COUNTIFS(Release_Calendar!$A$2:$A$755,"US_CPI",Release_Calendar!$B$2:$B$755,$A3766)&gt;0,1,0)</f>
        <v>0</v>
      </c>
      <c r="L3766" s="16">
        <f>IF(COUNTIFS(Release_Calendar!$A$2:$A$755,"US_NFP",Release_Calendar!$B$2:$B$755,$A3766)&gt;0,1,0)</f>
        <v>1</v>
      </c>
      <c r="M3766" s="16" t="str">
        <f>IF($A3766&lt;Notes!$B$5,"",IF(COUNTIFS(Release_Calendar!$A$2:$A$755,"NZ_CPI",Release_Calendar!$B$2:$B$755,$A3766)&gt;0,1,0))</f>
        <v/>
      </c>
      <c r="N3766" s="16" t="str">
        <f>IF($A3766&lt;Notes!$B$5,"",IF(COUNTIFS(Release_Calendar!$A$2:$A$755,"NZ_GDP",Release_Calendar!$B$2:$B$755,$A3766)&gt;0,1,0))</f>
        <v/>
      </c>
      <c r="O3766" s="16" t="str">
        <f>IF($A3766&lt;Notes!$B$5,"",IF(COUNTIFS(Release_Calendar!$A$2:$A$755,"NZ_LABOUR",Release_Calendar!$B$2:$B$755,$A3766)&gt;0,1,0))</f>
        <v/>
      </c>
      <c r="P3766" s="16">
        <f t="shared" si="4"/>
        <v>1</v>
      </c>
    </row>
    <row r="3767" ht="15.75" customHeight="1">
      <c r="A3767" s="14">
        <v>41799.0</v>
      </c>
      <c r="B3767" s="15">
        <v>0.43</v>
      </c>
      <c r="C3767" s="15">
        <v>3.98</v>
      </c>
      <c r="D3767" s="15"/>
      <c r="E3767" s="15"/>
      <c r="F3767" s="15">
        <f t="shared" si="1"/>
        <v>3.55</v>
      </c>
      <c r="G3767" s="15">
        <f t="shared" si="2"/>
        <v>3.98</v>
      </c>
      <c r="H3767" s="16">
        <v>0.0</v>
      </c>
      <c r="I3767" s="15">
        <f t="shared" si="3"/>
        <v>3.55</v>
      </c>
      <c r="J3767" s="15">
        <v>11.15</v>
      </c>
      <c r="K3767" s="16">
        <f>IF(COUNTIFS(Release_Calendar!$A$2:$A$755,"US_CPI",Release_Calendar!$B$2:$B$755,$A3767)&gt;0,1,0)</f>
        <v>0</v>
      </c>
      <c r="L3767" s="16">
        <f>IF(COUNTIFS(Release_Calendar!$A$2:$A$755,"US_NFP",Release_Calendar!$B$2:$B$755,$A3767)&gt;0,1,0)</f>
        <v>0</v>
      </c>
      <c r="M3767" s="16" t="str">
        <f>IF($A3767&lt;Notes!$B$5,"",IF(COUNTIFS(Release_Calendar!$A$2:$A$755,"NZ_CPI",Release_Calendar!$B$2:$B$755,$A3767)&gt;0,1,0))</f>
        <v/>
      </c>
      <c r="N3767" s="16" t="str">
        <f>IF($A3767&lt;Notes!$B$5,"",IF(COUNTIFS(Release_Calendar!$A$2:$A$755,"NZ_GDP",Release_Calendar!$B$2:$B$755,$A3767)&gt;0,1,0))</f>
        <v/>
      </c>
      <c r="O3767" s="16" t="str">
        <f>IF($A3767&lt;Notes!$B$5,"",IF(COUNTIFS(Release_Calendar!$A$2:$A$755,"NZ_LABOUR",Release_Calendar!$B$2:$B$755,$A3767)&gt;0,1,0))</f>
        <v/>
      </c>
      <c r="P3767" s="16">
        <f t="shared" si="4"/>
        <v>0</v>
      </c>
    </row>
    <row r="3768" ht="15.75" customHeight="1">
      <c r="A3768" s="14">
        <v>41800.0</v>
      </c>
      <c r="B3768" s="15">
        <v>0.45</v>
      </c>
      <c r="C3768" s="15">
        <v>4.01</v>
      </c>
      <c r="D3768" s="15"/>
      <c r="E3768" s="15"/>
      <c r="F3768" s="15">
        <f t="shared" si="1"/>
        <v>3.56</v>
      </c>
      <c r="G3768" s="15">
        <f t="shared" si="2"/>
        <v>4.01</v>
      </c>
      <c r="H3768" s="16">
        <v>0.0</v>
      </c>
      <c r="I3768" s="15">
        <f t="shared" si="3"/>
        <v>3.56</v>
      </c>
      <c r="J3768" s="15">
        <v>10.99</v>
      </c>
      <c r="K3768" s="16">
        <f>IF(COUNTIFS(Release_Calendar!$A$2:$A$755,"US_CPI",Release_Calendar!$B$2:$B$755,$A3768)&gt;0,1,0)</f>
        <v>0</v>
      </c>
      <c r="L3768" s="16">
        <f>IF(COUNTIFS(Release_Calendar!$A$2:$A$755,"US_NFP",Release_Calendar!$B$2:$B$755,$A3768)&gt;0,1,0)</f>
        <v>0</v>
      </c>
      <c r="M3768" s="16" t="str">
        <f>IF($A3768&lt;Notes!$B$5,"",IF(COUNTIFS(Release_Calendar!$A$2:$A$755,"NZ_CPI",Release_Calendar!$B$2:$B$755,$A3768)&gt;0,1,0))</f>
        <v/>
      </c>
      <c r="N3768" s="16" t="str">
        <f>IF($A3768&lt;Notes!$B$5,"",IF(COUNTIFS(Release_Calendar!$A$2:$A$755,"NZ_GDP",Release_Calendar!$B$2:$B$755,$A3768)&gt;0,1,0))</f>
        <v/>
      </c>
      <c r="O3768" s="16" t="str">
        <f>IF($A3768&lt;Notes!$B$5,"",IF(COUNTIFS(Release_Calendar!$A$2:$A$755,"NZ_LABOUR",Release_Calendar!$B$2:$B$755,$A3768)&gt;0,1,0))</f>
        <v/>
      </c>
      <c r="P3768" s="16">
        <f t="shared" si="4"/>
        <v>0</v>
      </c>
    </row>
    <row r="3769" ht="15.75" customHeight="1">
      <c r="A3769" s="14">
        <v>41801.0</v>
      </c>
      <c r="B3769" s="15">
        <v>0.44</v>
      </c>
      <c r="C3769" s="15">
        <v>4.03</v>
      </c>
      <c r="D3769" s="15"/>
      <c r="E3769" s="15"/>
      <c r="F3769" s="15">
        <f t="shared" si="1"/>
        <v>3.59</v>
      </c>
      <c r="G3769" s="15">
        <f t="shared" si="2"/>
        <v>4.03</v>
      </c>
      <c r="H3769" s="16">
        <v>0.0</v>
      </c>
      <c r="I3769" s="15">
        <f t="shared" si="3"/>
        <v>3.59</v>
      </c>
      <c r="J3769" s="15">
        <v>11.6</v>
      </c>
      <c r="K3769" s="16">
        <f>IF(COUNTIFS(Release_Calendar!$A$2:$A$755,"US_CPI",Release_Calendar!$B$2:$B$755,$A3769)&gt;0,1,0)</f>
        <v>0</v>
      </c>
      <c r="L3769" s="16">
        <f>IF(COUNTIFS(Release_Calendar!$A$2:$A$755,"US_NFP",Release_Calendar!$B$2:$B$755,$A3769)&gt;0,1,0)</f>
        <v>0</v>
      </c>
      <c r="M3769" s="16" t="str">
        <f>IF($A3769&lt;Notes!$B$5,"",IF(COUNTIFS(Release_Calendar!$A$2:$A$755,"NZ_CPI",Release_Calendar!$B$2:$B$755,$A3769)&gt;0,1,0))</f>
        <v/>
      </c>
      <c r="N3769" s="16" t="str">
        <f>IF($A3769&lt;Notes!$B$5,"",IF(COUNTIFS(Release_Calendar!$A$2:$A$755,"NZ_GDP",Release_Calendar!$B$2:$B$755,$A3769)&gt;0,1,0))</f>
        <v/>
      </c>
      <c r="O3769" s="16" t="str">
        <f>IF($A3769&lt;Notes!$B$5,"",IF(COUNTIFS(Release_Calendar!$A$2:$A$755,"NZ_LABOUR",Release_Calendar!$B$2:$B$755,$A3769)&gt;0,1,0))</f>
        <v/>
      </c>
      <c r="P3769" s="16">
        <f t="shared" si="4"/>
        <v>0</v>
      </c>
    </row>
    <row r="3770" ht="15.75" customHeight="1">
      <c r="A3770" s="14">
        <v>41802.0</v>
      </c>
      <c r="B3770" s="15">
        <v>0.42</v>
      </c>
      <c r="C3770" s="15">
        <v>4.13</v>
      </c>
      <c r="D3770" s="15"/>
      <c r="E3770" s="15"/>
      <c r="F3770" s="15">
        <f t="shared" si="1"/>
        <v>3.71</v>
      </c>
      <c r="G3770" s="15">
        <f t="shared" si="2"/>
        <v>4.13</v>
      </c>
      <c r="H3770" s="16">
        <v>0.0</v>
      </c>
      <c r="I3770" s="15">
        <f t="shared" si="3"/>
        <v>3.71</v>
      </c>
      <c r="J3770" s="15">
        <v>12.56</v>
      </c>
      <c r="K3770" s="16">
        <f>IF(COUNTIFS(Release_Calendar!$A$2:$A$755,"US_CPI",Release_Calendar!$B$2:$B$755,$A3770)&gt;0,1,0)</f>
        <v>0</v>
      </c>
      <c r="L3770" s="16">
        <f>IF(COUNTIFS(Release_Calendar!$A$2:$A$755,"US_NFP",Release_Calendar!$B$2:$B$755,$A3770)&gt;0,1,0)</f>
        <v>0</v>
      </c>
      <c r="M3770" s="16" t="str">
        <f>IF($A3770&lt;Notes!$B$5,"",IF(COUNTIFS(Release_Calendar!$A$2:$A$755,"NZ_CPI",Release_Calendar!$B$2:$B$755,$A3770)&gt;0,1,0))</f>
        <v/>
      </c>
      <c r="N3770" s="16" t="str">
        <f>IF($A3770&lt;Notes!$B$5,"",IF(COUNTIFS(Release_Calendar!$A$2:$A$755,"NZ_GDP",Release_Calendar!$B$2:$B$755,$A3770)&gt;0,1,0))</f>
        <v/>
      </c>
      <c r="O3770" s="16" t="str">
        <f>IF($A3770&lt;Notes!$B$5,"",IF(COUNTIFS(Release_Calendar!$A$2:$A$755,"NZ_LABOUR",Release_Calendar!$B$2:$B$755,$A3770)&gt;0,1,0))</f>
        <v/>
      </c>
      <c r="P3770" s="16">
        <f t="shared" si="4"/>
        <v>0</v>
      </c>
    </row>
    <row r="3771" ht="15.75" customHeight="1">
      <c r="A3771" s="14">
        <v>41803.0</v>
      </c>
      <c r="B3771" s="15">
        <v>0.45</v>
      </c>
      <c r="C3771" s="15">
        <v>4.18</v>
      </c>
      <c r="D3771" s="15"/>
      <c r="E3771" s="15"/>
      <c r="F3771" s="15">
        <f t="shared" si="1"/>
        <v>3.73</v>
      </c>
      <c r="G3771" s="15">
        <f t="shared" si="2"/>
        <v>4.18</v>
      </c>
      <c r="H3771" s="16">
        <v>0.0</v>
      </c>
      <c r="I3771" s="15">
        <f t="shared" si="3"/>
        <v>3.73</v>
      </c>
      <c r="J3771" s="15">
        <v>12.18</v>
      </c>
      <c r="K3771" s="16">
        <f>IF(COUNTIFS(Release_Calendar!$A$2:$A$755,"US_CPI",Release_Calendar!$B$2:$B$755,$A3771)&gt;0,1,0)</f>
        <v>0</v>
      </c>
      <c r="L3771" s="16">
        <f>IF(COUNTIFS(Release_Calendar!$A$2:$A$755,"US_NFP",Release_Calendar!$B$2:$B$755,$A3771)&gt;0,1,0)</f>
        <v>0</v>
      </c>
      <c r="M3771" s="16" t="str">
        <f>IF($A3771&lt;Notes!$B$5,"",IF(COUNTIFS(Release_Calendar!$A$2:$A$755,"NZ_CPI",Release_Calendar!$B$2:$B$755,$A3771)&gt;0,1,0))</f>
        <v/>
      </c>
      <c r="N3771" s="16" t="str">
        <f>IF($A3771&lt;Notes!$B$5,"",IF(COUNTIFS(Release_Calendar!$A$2:$A$755,"NZ_GDP",Release_Calendar!$B$2:$B$755,$A3771)&gt;0,1,0))</f>
        <v/>
      </c>
      <c r="O3771" s="16" t="str">
        <f>IF($A3771&lt;Notes!$B$5,"",IF(COUNTIFS(Release_Calendar!$A$2:$A$755,"NZ_LABOUR",Release_Calendar!$B$2:$B$755,$A3771)&gt;0,1,0))</f>
        <v/>
      </c>
      <c r="P3771" s="16">
        <f t="shared" si="4"/>
        <v>0</v>
      </c>
    </row>
    <row r="3772" ht="15.75" customHeight="1">
      <c r="A3772" s="14">
        <v>41806.0</v>
      </c>
      <c r="B3772" s="15">
        <v>0.49</v>
      </c>
      <c r="C3772" s="15">
        <v>4.21</v>
      </c>
      <c r="D3772" s="15"/>
      <c r="E3772" s="15"/>
      <c r="F3772" s="15">
        <f t="shared" si="1"/>
        <v>3.72</v>
      </c>
      <c r="G3772" s="15">
        <f t="shared" si="2"/>
        <v>4.21</v>
      </c>
      <c r="H3772" s="16">
        <v>0.0</v>
      </c>
      <c r="I3772" s="15">
        <f t="shared" si="3"/>
        <v>3.72</v>
      </c>
      <c r="J3772" s="15">
        <v>12.65</v>
      </c>
      <c r="K3772" s="16">
        <f>IF(COUNTIFS(Release_Calendar!$A$2:$A$755,"US_CPI",Release_Calendar!$B$2:$B$755,$A3772)&gt;0,1,0)</f>
        <v>0</v>
      </c>
      <c r="L3772" s="16">
        <f>IF(COUNTIFS(Release_Calendar!$A$2:$A$755,"US_NFP",Release_Calendar!$B$2:$B$755,$A3772)&gt;0,1,0)</f>
        <v>0</v>
      </c>
      <c r="M3772" s="16" t="str">
        <f>IF($A3772&lt;Notes!$B$5,"",IF(COUNTIFS(Release_Calendar!$A$2:$A$755,"NZ_CPI",Release_Calendar!$B$2:$B$755,$A3772)&gt;0,1,0))</f>
        <v/>
      </c>
      <c r="N3772" s="16" t="str">
        <f>IF($A3772&lt;Notes!$B$5,"",IF(COUNTIFS(Release_Calendar!$A$2:$A$755,"NZ_GDP",Release_Calendar!$B$2:$B$755,$A3772)&gt;0,1,0))</f>
        <v/>
      </c>
      <c r="O3772" s="16" t="str">
        <f>IF($A3772&lt;Notes!$B$5,"",IF(COUNTIFS(Release_Calendar!$A$2:$A$755,"NZ_LABOUR",Release_Calendar!$B$2:$B$755,$A3772)&gt;0,1,0))</f>
        <v/>
      </c>
      <c r="P3772" s="16">
        <f t="shared" si="4"/>
        <v>0</v>
      </c>
    </row>
    <row r="3773" ht="15.75" customHeight="1">
      <c r="A3773" s="14">
        <v>41807.0</v>
      </c>
      <c r="B3773" s="15">
        <v>0.51</v>
      </c>
      <c r="C3773" s="15">
        <v>4.18</v>
      </c>
      <c r="D3773" s="15"/>
      <c r="E3773" s="15"/>
      <c r="F3773" s="15">
        <f t="shared" si="1"/>
        <v>3.67</v>
      </c>
      <c r="G3773" s="15">
        <f t="shared" si="2"/>
        <v>4.18</v>
      </c>
      <c r="H3773" s="16">
        <v>0.0</v>
      </c>
      <c r="I3773" s="15">
        <f t="shared" si="3"/>
        <v>3.67</v>
      </c>
      <c r="J3773" s="15">
        <v>12.06</v>
      </c>
      <c r="K3773" s="16">
        <f>IF(COUNTIFS(Release_Calendar!$A$2:$A$755,"US_CPI",Release_Calendar!$B$2:$B$755,$A3773)&gt;0,1,0)</f>
        <v>1</v>
      </c>
      <c r="L3773" s="16">
        <f>IF(COUNTIFS(Release_Calendar!$A$2:$A$755,"US_NFP",Release_Calendar!$B$2:$B$755,$A3773)&gt;0,1,0)</f>
        <v>0</v>
      </c>
      <c r="M3773" s="16" t="str">
        <f>IF($A3773&lt;Notes!$B$5,"",IF(COUNTIFS(Release_Calendar!$A$2:$A$755,"NZ_CPI",Release_Calendar!$B$2:$B$755,$A3773)&gt;0,1,0))</f>
        <v/>
      </c>
      <c r="N3773" s="16" t="str">
        <f>IF($A3773&lt;Notes!$B$5,"",IF(COUNTIFS(Release_Calendar!$A$2:$A$755,"NZ_GDP",Release_Calendar!$B$2:$B$755,$A3773)&gt;0,1,0))</f>
        <v/>
      </c>
      <c r="O3773" s="16" t="str">
        <f>IF($A3773&lt;Notes!$B$5,"",IF(COUNTIFS(Release_Calendar!$A$2:$A$755,"NZ_LABOUR",Release_Calendar!$B$2:$B$755,$A3773)&gt;0,1,0))</f>
        <v/>
      </c>
      <c r="P3773" s="16">
        <f t="shared" si="4"/>
        <v>1</v>
      </c>
    </row>
    <row r="3774" ht="15.75" customHeight="1">
      <c r="A3774" s="14">
        <v>41808.0</v>
      </c>
      <c r="B3774" s="15">
        <v>0.48</v>
      </c>
      <c r="C3774" s="15">
        <v>4.21</v>
      </c>
      <c r="D3774" s="15"/>
      <c r="E3774" s="15"/>
      <c r="F3774" s="15">
        <f t="shared" si="1"/>
        <v>3.73</v>
      </c>
      <c r="G3774" s="15">
        <f t="shared" si="2"/>
        <v>4.21</v>
      </c>
      <c r="H3774" s="16">
        <v>0.0</v>
      </c>
      <c r="I3774" s="15">
        <f t="shared" si="3"/>
        <v>3.73</v>
      </c>
      <c r="J3774" s="15">
        <v>10.61</v>
      </c>
      <c r="K3774" s="16">
        <f>IF(COUNTIFS(Release_Calendar!$A$2:$A$755,"US_CPI",Release_Calendar!$B$2:$B$755,$A3774)&gt;0,1,0)</f>
        <v>0</v>
      </c>
      <c r="L3774" s="16">
        <f>IF(COUNTIFS(Release_Calendar!$A$2:$A$755,"US_NFP",Release_Calendar!$B$2:$B$755,$A3774)&gt;0,1,0)</f>
        <v>0</v>
      </c>
      <c r="M3774" s="16" t="str">
        <f>IF($A3774&lt;Notes!$B$5,"",IF(COUNTIFS(Release_Calendar!$A$2:$A$755,"NZ_CPI",Release_Calendar!$B$2:$B$755,$A3774)&gt;0,1,0))</f>
        <v/>
      </c>
      <c r="N3774" s="16" t="str">
        <f>IF($A3774&lt;Notes!$B$5,"",IF(COUNTIFS(Release_Calendar!$A$2:$A$755,"NZ_GDP",Release_Calendar!$B$2:$B$755,$A3774)&gt;0,1,0))</f>
        <v/>
      </c>
      <c r="O3774" s="16" t="str">
        <f>IF($A3774&lt;Notes!$B$5,"",IF(COUNTIFS(Release_Calendar!$A$2:$A$755,"NZ_LABOUR",Release_Calendar!$B$2:$B$755,$A3774)&gt;0,1,0))</f>
        <v/>
      </c>
      <c r="P3774" s="16">
        <f t="shared" si="4"/>
        <v>0</v>
      </c>
    </row>
    <row r="3775" ht="15.75" customHeight="1">
      <c r="A3775" s="14">
        <v>41809.0</v>
      </c>
      <c r="B3775" s="15">
        <v>0.48</v>
      </c>
      <c r="C3775" s="15">
        <v>4.16</v>
      </c>
      <c r="D3775" s="15"/>
      <c r="E3775" s="15"/>
      <c r="F3775" s="15">
        <f t="shared" si="1"/>
        <v>3.68</v>
      </c>
      <c r="G3775" s="15">
        <f t="shared" si="2"/>
        <v>4.16</v>
      </c>
      <c r="H3775" s="16">
        <v>0.0</v>
      </c>
      <c r="I3775" s="15">
        <f t="shared" si="3"/>
        <v>3.68</v>
      </c>
      <c r="J3775" s="15">
        <v>10.62</v>
      </c>
      <c r="K3775" s="16">
        <f>IF(COUNTIFS(Release_Calendar!$A$2:$A$755,"US_CPI",Release_Calendar!$B$2:$B$755,$A3775)&gt;0,1,0)</f>
        <v>0</v>
      </c>
      <c r="L3775" s="16">
        <f>IF(COUNTIFS(Release_Calendar!$A$2:$A$755,"US_NFP",Release_Calendar!$B$2:$B$755,$A3775)&gt;0,1,0)</f>
        <v>0</v>
      </c>
      <c r="M3775" s="16" t="str">
        <f>IF($A3775&lt;Notes!$B$5,"",IF(COUNTIFS(Release_Calendar!$A$2:$A$755,"NZ_CPI",Release_Calendar!$B$2:$B$755,$A3775)&gt;0,1,0))</f>
        <v/>
      </c>
      <c r="N3775" s="16" t="str">
        <f>IF($A3775&lt;Notes!$B$5,"",IF(COUNTIFS(Release_Calendar!$A$2:$A$755,"NZ_GDP",Release_Calendar!$B$2:$B$755,$A3775)&gt;0,1,0))</f>
        <v/>
      </c>
      <c r="O3775" s="16" t="str">
        <f>IF($A3775&lt;Notes!$B$5,"",IF(COUNTIFS(Release_Calendar!$A$2:$A$755,"NZ_LABOUR",Release_Calendar!$B$2:$B$755,$A3775)&gt;0,1,0))</f>
        <v/>
      </c>
      <c r="P3775" s="16">
        <f t="shared" si="4"/>
        <v>0</v>
      </c>
    </row>
    <row r="3776" ht="15.75" customHeight="1">
      <c r="A3776" s="14">
        <v>41810.0</v>
      </c>
      <c r="B3776" s="15">
        <v>0.5</v>
      </c>
      <c r="C3776" s="15">
        <v>4.15</v>
      </c>
      <c r="D3776" s="15"/>
      <c r="E3776" s="15"/>
      <c r="F3776" s="15">
        <f t="shared" si="1"/>
        <v>3.65</v>
      </c>
      <c r="G3776" s="15">
        <f t="shared" si="2"/>
        <v>4.15</v>
      </c>
      <c r="H3776" s="16">
        <v>0.0</v>
      </c>
      <c r="I3776" s="15">
        <f t="shared" si="3"/>
        <v>3.65</v>
      </c>
      <c r="J3776" s="15">
        <v>10.85</v>
      </c>
      <c r="K3776" s="16">
        <f>IF(COUNTIFS(Release_Calendar!$A$2:$A$755,"US_CPI",Release_Calendar!$B$2:$B$755,$A3776)&gt;0,1,0)</f>
        <v>0</v>
      </c>
      <c r="L3776" s="16">
        <f>IF(COUNTIFS(Release_Calendar!$A$2:$A$755,"US_NFP",Release_Calendar!$B$2:$B$755,$A3776)&gt;0,1,0)</f>
        <v>0</v>
      </c>
      <c r="M3776" s="16" t="str">
        <f>IF($A3776&lt;Notes!$B$5,"",IF(COUNTIFS(Release_Calendar!$A$2:$A$755,"NZ_CPI",Release_Calendar!$B$2:$B$755,$A3776)&gt;0,1,0))</f>
        <v/>
      </c>
      <c r="N3776" s="16" t="str">
        <f>IF($A3776&lt;Notes!$B$5,"",IF(COUNTIFS(Release_Calendar!$A$2:$A$755,"NZ_GDP",Release_Calendar!$B$2:$B$755,$A3776)&gt;0,1,0))</f>
        <v/>
      </c>
      <c r="O3776" s="16" t="str">
        <f>IF($A3776&lt;Notes!$B$5,"",IF(COUNTIFS(Release_Calendar!$A$2:$A$755,"NZ_LABOUR",Release_Calendar!$B$2:$B$755,$A3776)&gt;0,1,0))</f>
        <v/>
      </c>
      <c r="P3776" s="16">
        <f t="shared" si="4"/>
        <v>0</v>
      </c>
    </row>
    <row r="3777" ht="15.75" customHeight="1">
      <c r="A3777" s="14">
        <v>41813.0</v>
      </c>
      <c r="B3777" s="15">
        <v>0.48</v>
      </c>
      <c r="C3777" s="15">
        <v>4.17</v>
      </c>
      <c r="D3777" s="15"/>
      <c r="E3777" s="15"/>
      <c r="F3777" s="15">
        <f t="shared" si="1"/>
        <v>3.69</v>
      </c>
      <c r="G3777" s="15">
        <f t="shared" si="2"/>
        <v>4.17</v>
      </c>
      <c r="H3777" s="16">
        <v>0.0</v>
      </c>
      <c r="I3777" s="15">
        <f t="shared" si="3"/>
        <v>3.69</v>
      </c>
      <c r="J3777" s="15">
        <v>10.98</v>
      </c>
      <c r="K3777" s="16">
        <f>IF(COUNTIFS(Release_Calendar!$A$2:$A$755,"US_CPI",Release_Calendar!$B$2:$B$755,$A3777)&gt;0,1,0)</f>
        <v>0</v>
      </c>
      <c r="L3777" s="16">
        <f>IF(COUNTIFS(Release_Calendar!$A$2:$A$755,"US_NFP",Release_Calendar!$B$2:$B$755,$A3777)&gt;0,1,0)</f>
        <v>0</v>
      </c>
      <c r="M3777" s="16" t="str">
        <f>IF($A3777&lt;Notes!$B$5,"",IF(COUNTIFS(Release_Calendar!$A$2:$A$755,"NZ_CPI",Release_Calendar!$B$2:$B$755,$A3777)&gt;0,1,0))</f>
        <v/>
      </c>
      <c r="N3777" s="16" t="str">
        <f>IF($A3777&lt;Notes!$B$5,"",IF(COUNTIFS(Release_Calendar!$A$2:$A$755,"NZ_GDP",Release_Calendar!$B$2:$B$755,$A3777)&gt;0,1,0))</f>
        <v/>
      </c>
      <c r="O3777" s="16" t="str">
        <f>IF($A3777&lt;Notes!$B$5,"",IF(COUNTIFS(Release_Calendar!$A$2:$A$755,"NZ_LABOUR",Release_Calendar!$B$2:$B$755,$A3777)&gt;0,1,0))</f>
        <v/>
      </c>
      <c r="P3777" s="16">
        <f t="shared" si="4"/>
        <v>0</v>
      </c>
    </row>
    <row r="3778" ht="15.75" customHeight="1">
      <c r="A3778" s="14">
        <v>41814.0</v>
      </c>
      <c r="B3778" s="15">
        <v>0.49</v>
      </c>
      <c r="C3778" s="15">
        <v>4.19</v>
      </c>
      <c r="D3778" s="15"/>
      <c r="E3778" s="15"/>
      <c r="F3778" s="15">
        <f t="shared" si="1"/>
        <v>3.7</v>
      </c>
      <c r="G3778" s="15">
        <f t="shared" si="2"/>
        <v>4.19</v>
      </c>
      <c r="H3778" s="16">
        <v>0.0</v>
      </c>
      <c r="I3778" s="15">
        <f t="shared" si="3"/>
        <v>3.7</v>
      </c>
      <c r="J3778" s="15">
        <v>12.13</v>
      </c>
      <c r="K3778" s="16">
        <f>IF(COUNTIFS(Release_Calendar!$A$2:$A$755,"US_CPI",Release_Calendar!$B$2:$B$755,$A3778)&gt;0,1,0)</f>
        <v>0</v>
      </c>
      <c r="L3778" s="16">
        <f>IF(COUNTIFS(Release_Calendar!$A$2:$A$755,"US_NFP",Release_Calendar!$B$2:$B$755,$A3778)&gt;0,1,0)</f>
        <v>0</v>
      </c>
      <c r="M3778" s="16" t="str">
        <f>IF($A3778&lt;Notes!$B$5,"",IF(COUNTIFS(Release_Calendar!$A$2:$A$755,"NZ_CPI",Release_Calendar!$B$2:$B$755,$A3778)&gt;0,1,0))</f>
        <v/>
      </c>
      <c r="N3778" s="16" t="str">
        <f>IF($A3778&lt;Notes!$B$5,"",IF(COUNTIFS(Release_Calendar!$A$2:$A$755,"NZ_GDP",Release_Calendar!$B$2:$B$755,$A3778)&gt;0,1,0))</f>
        <v/>
      </c>
      <c r="O3778" s="16" t="str">
        <f>IF($A3778&lt;Notes!$B$5,"",IF(COUNTIFS(Release_Calendar!$A$2:$A$755,"NZ_LABOUR",Release_Calendar!$B$2:$B$755,$A3778)&gt;0,1,0))</f>
        <v/>
      </c>
      <c r="P3778" s="16">
        <f t="shared" si="4"/>
        <v>0</v>
      </c>
    </row>
    <row r="3779" ht="15.75" customHeight="1">
      <c r="A3779" s="14">
        <v>41815.0</v>
      </c>
      <c r="B3779" s="15">
        <v>0.48</v>
      </c>
      <c r="C3779" s="15">
        <v>4.17</v>
      </c>
      <c r="D3779" s="15"/>
      <c r="E3779" s="15"/>
      <c r="F3779" s="15">
        <f t="shared" si="1"/>
        <v>3.69</v>
      </c>
      <c r="G3779" s="15">
        <f t="shared" si="2"/>
        <v>4.17</v>
      </c>
      <c r="H3779" s="16">
        <v>0.0</v>
      </c>
      <c r="I3779" s="15">
        <f t="shared" si="3"/>
        <v>3.69</v>
      </c>
      <c r="J3779" s="15">
        <v>11.59</v>
      </c>
      <c r="K3779" s="16">
        <f>IF(COUNTIFS(Release_Calendar!$A$2:$A$755,"US_CPI",Release_Calendar!$B$2:$B$755,$A3779)&gt;0,1,0)</f>
        <v>0</v>
      </c>
      <c r="L3779" s="16">
        <f>IF(COUNTIFS(Release_Calendar!$A$2:$A$755,"US_NFP",Release_Calendar!$B$2:$B$755,$A3779)&gt;0,1,0)</f>
        <v>0</v>
      </c>
      <c r="M3779" s="16" t="str">
        <f>IF($A3779&lt;Notes!$B$5,"",IF(COUNTIFS(Release_Calendar!$A$2:$A$755,"NZ_CPI",Release_Calendar!$B$2:$B$755,$A3779)&gt;0,1,0))</f>
        <v/>
      </c>
      <c r="N3779" s="16" t="str">
        <f>IF($A3779&lt;Notes!$B$5,"",IF(COUNTIFS(Release_Calendar!$A$2:$A$755,"NZ_GDP",Release_Calendar!$B$2:$B$755,$A3779)&gt;0,1,0))</f>
        <v/>
      </c>
      <c r="O3779" s="16" t="str">
        <f>IF($A3779&lt;Notes!$B$5,"",IF(COUNTIFS(Release_Calendar!$A$2:$A$755,"NZ_LABOUR",Release_Calendar!$B$2:$B$755,$A3779)&gt;0,1,0))</f>
        <v/>
      </c>
      <c r="P3779" s="16">
        <f t="shared" si="4"/>
        <v>0</v>
      </c>
    </row>
    <row r="3780" ht="15.75" customHeight="1">
      <c r="A3780" s="14">
        <v>41816.0</v>
      </c>
      <c r="B3780" s="15">
        <v>0.46</v>
      </c>
      <c r="C3780" s="15">
        <v>4.21</v>
      </c>
      <c r="D3780" s="15"/>
      <c r="E3780" s="15"/>
      <c r="F3780" s="15">
        <f t="shared" si="1"/>
        <v>3.75</v>
      </c>
      <c r="G3780" s="15">
        <f t="shared" si="2"/>
        <v>4.21</v>
      </c>
      <c r="H3780" s="16">
        <v>0.0</v>
      </c>
      <c r="I3780" s="15">
        <f t="shared" si="3"/>
        <v>3.75</v>
      </c>
      <c r="J3780" s="15">
        <v>11.63</v>
      </c>
      <c r="K3780" s="16">
        <f>IF(COUNTIFS(Release_Calendar!$A$2:$A$755,"US_CPI",Release_Calendar!$B$2:$B$755,$A3780)&gt;0,1,0)</f>
        <v>0</v>
      </c>
      <c r="L3780" s="16">
        <f>IF(COUNTIFS(Release_Calendar!$A$2:$A$755,"US_NFP",Release_Calendar!$B$2:$B$755,$A3780)&gt;0,1,0)</f>
        <v>0</v>
      </c>
      <c r="M3780" s="16" t="str">
        <f>IF($A3780&lt;Notes!$B$5,"",IF(COUNTIFS(Release_Calendar!$A$2:$A$755,"NZ_CPI",Release_Calendar!$B$2:$B$755,$A3780)&gt;0,1,0))</f>
        <v/>
      </c>
      <c r="N3780" s="16" t="str">
        <f>IF($A3780&lt;Notes!$B$5,"",IF(COUNTIFS(Release_Calendar!$A$2:$A$755,"NZ_GDP",Release_Calendar!$B$2:$B$755,$A3780)&gt;0,1,0))</f>
        <v/>
      </c>
      <c r="O3780" s="16" t="str">
        <f>IF($A3780&lt;Notes!$B$5,"",IF(COUNTIFS(Release_Calendar!$A$2:$A$755,"NZ_LABOUR",Release_Calendar!$B$2:$B$755,$A3780)&gt;0,1,0))</f>
        <v/>
      </c>
      <c r="P3780" s="16">
        <f t="shared" si="4"/>
        <v>0</v>
      </c>
    </row>
    <row r="3781" ht="15.75" customHeight="1">
      <c r="A3781" s="14">
        <v>41817.0</v>
      </c>
      <c r="B3781" s="15">
        <v>0.45</v>
      </c>
      <c r="C3781" s="15">
        <v>4.19</v>
      </c>
      <c r="D3781" s="15"/>
      <c r="E3781" s="15"/>
      <c r="F3781" s="15">
        <f t="shared" si="1"/>
        <v>3.74</v>
      </c>
      <c r="G3781" s="15">
        <f t="shared" si="2"/>
        <v>4.19</v>
      </c>
      <c r="H3781" s="16">
        <v>0.0</v>
      </c>
      <c r="I3781" s="15">
        <f t="shared" si="3"/>
        <v>3.74</v>
      </c>
      <c r="J3781" s="15">
        <v>11.26</v>
      </c>
      <c r="K3781" s="16">
        <f>IF(COUNTIFS(Release_Calendar!$A$2:$A$755,"US_CPI",Release_Calendar!$B$2:$B$755,$A3781)&gt;0,1,0)</f>
        <v>0</v>
      </c>
      <c r="L3781" s="16">
        <f>IF(COUNTIFS(Release_Calendar!$A$2:$A$755,"US_NFP",Release_Calendar!$B$2:$B$755,$A3781)&gt;0,1,0)</f>
        <v>0</v>
      </c>
      <c r="M3781" s="16" t="str">
        <f>IF($A3781&lt;Notes!$B$5,"",IF(COUNTIFS(Release_Calendar!$A$2:$A$755,"NZ_CPI",Release_Calendar!$B$2:$B$755,$A3781)&gt;0,1,0))</f>
        <v/>
      </c>
      <c r="N3781" s="16" t="str">
        <f>IF($A3781&lt;Notes!$B$5,"",IF(COUNTIFS(Release_Calendar!$A$2:$A$755,"NZ_GDP",Release_Calendar!$B$2:$B$755,$A3781)&gt;0,1,0))</f>
        <v/>
      </c>
      <c r="O3781" s="16" t="str">
        <f>IF($A3781&lt;Notes!$B$5,"",IF(COUNTIFS(Release_Calendar!$A$2:$A$755,"NZ_LABOUR",Release_Calendar!$B$2:$B$755,$A3781)&gt;0,1,0))</f>
        <v/>
      </c>
      <c r="P3781" s="16">
        <f t="shared" si="4"/>
        <v>0</v>
      </c>
    </row>
    <row r="3782" ht="15.75" customHeight="1">
      <c r="A3782" s="14">
        <v>41820.0</v>
      </c>
      <c r="B3782" s="15">
        <v>0.47</v>
      </c>
      <c r="C3782" s="15">
        <v>4.21</v>
      </c>
      <c r="D3782" s="15"/>
      <c r="E3782" s="15"/>
      <c r="F3782" s="15">
        <f t="shared" si="1"/>
        <v>3.74</v>
      </c>
      <c r="G3782" s="15">
        <f t="shared" si="2"/>
        <v>4.21</v>
      </c>
      <c r="H3782" s="16">
        <v>0.0</v>
      </c>
      <c r="I3782" s="15">
        <f t="shared" si="3"/>
        <v>3.74</v>
      </c>
      <c r="J3782" s="15">
        <v>11.57</v>
      </c>
      <c r="K3782" s="16">
        <f>IF(COUNTIFS(Release_Calendar!$A$2:$A$755,"US_CPI",Release_Calendar!$B$2:$B$755,$A3782)&gt;0,1,0)</f>
        <v>0</v>
      </c>
      <c r="L3782" s="16">
        <f>IF(COUNTIFS(Release_Calendar!$A$2:$A$755,"US_NFP",Release_Calendar!$B$2:$B$755,$A3782)&gt;0,1,0)</f>
        <v>0</v>
      </c>
      <c r="M3782" s="16" t="str">
        <f>IF($A3782&lt;Notes!$B$5,"",IF(COUNTIFS(Release_Calendar!$A$2:$A$755,"NZ_CPI",Release_Calendar!$B$2:$B$755,$A3782)&gt;0,1,0))</f>
        <v/>
      </c>
      <c r="N3782" s="16" t="str">
        <f>IF($A3782&lt;Notes!$B$5,"",IF(COUNTIFS(Release_Calendar!$A$2:$A$755,"NZ_GDP",Release_Calendar!$B$2:$B$755,$A3782)&gt;0,1,0))</f>
        <v/>
      </c>
      <c r="O3782" s="16" t="str">
        <f>IF($A3782&lt;Notes!$B$5,"",IF(COUNTIFS(Release_Calendar!$A$2:$A$755,"NZ_LABOUR",Release_Calendar!$B$2:$B$755,$A3782)&gt;0,1,0))</f>
        <v/>
      </c>
      <c r="P3782" s="16">
        <f t="shared" si="4"/>
        <v>0</v>
      </c>
    </row>
    <row r="3783" ht="15.75" customHeight="1">
      <c r="A3783" s="14">
        <v>41821.0</v>
      </c>
      <c r="B3783" s="15">
        <v>0.47</v>
      </c>
      <c r="C3783" s="15">
        <v>4.24</v>
      </c>
      <c r="D3783" s="15"/>
      <c r="E3783" s="15"/>
      <c r="F3783" s="15">
        <f t="shared" si="1"/>
        <v>3.77</v>
      </c>
      <c r="G3783" s="15">
        <f t="shared" si="2"/>
        <v>4.24</v>
      </c>
      <c r="H3783" s="16">
        <v>0.0</v>
      </c>
      <c r="I3783" s="15">
        <f t="shared" si="3"/>
        <v>3.77</v>
      </c>
      <c r="J3783" s="15">
        <v>11.15</v>
      </c>
      <c r="K3783" s="16">
        <f>IF(COUNTIFS(Release_Calendar!$A$2:$A$755,"US_CPI",Release_Calendar!$B$2:$B$755,$A3783)&gt;0,1,0)</f>
        <v>0</v>
      </c>
      <c r="L3783" s="16">
        <f>IF(COUNTIFS(Release_Calendar!$A$2:$A$755,"US_NFP",Release_Calendar!$B$2:$B$755,$A3783)&gt;0,1,0)</f>
        <v>0</v>
      </c>
      <c r="M3783" s="16" t="str">
        <f>IF($A3783&lt;Notes!$B$5,"",IF(COUNTIFS(Release_Calendar!$A$2:$A$755,"NZ_CPI",Release_Calendar!$B$2:$B$755,$A3783)&gt;0,1,0))</f>
        <v/>
      </c>
      <c r="N3783" s="16" t="str">
        <f>IF($A3783&lt;Notes!$B$5,"",IF(COUNTIFS(Release_Calendar!$A$2:$A$755,"NZ_GDP",Release_Calendar!$B$2:$B$755,$A3783)&gt;0,1,0))</f>
        <v/>
      </c>
      <c r="O3783" s="16" t="str">
        <f>IF($A3783&lt;Notes!$B$5,"",IF(COUNTIFS(Release_Calendar!$A$2:$A$755,"NZ_LABOUR",Release_Calendar!$B$2:$B$755,$A3783)&gt;0,1,0))</f>
        <v/>
      </c>
      <c r="P3783" s="16">
        <f t="shared" si="4"/>
        <v>0</v>
      </c>
    </row>
    <row r="3784" ht="15.75" customHeight="1">
      <c r="A3784" s="14">
        <v>41822.0</v>
      </c>
      <c r="B3784" s="15">
        <v>0.49</v>
      </c>
      <c r="C3784" s="15">
        <v>4.23</v>
      </c>
      <c r="D3784" s="15"/>
      <c r="E3784" s="15"/>
      <c r="F3784" s="15">
        <f t="shared" si="1"/>
        <v>3.74</v>
      </c>
      <c r="G3784" s="15">
        <f t="shared" si="2"/>
        <v>4.23</v>
      </c>
      <c r="H3784" s="16">
        <v>0.0</v>
      </c>
      <c r="I3784" s="15">
        <f t="shared" si="3"/>
        <v>3.74</v>
      </c>
      <c r="J3784" s="15">
        <v>10.82</v>
      </c>
      <c r="K3784" s="16">
        <f>IF(COUNTIFS(Release_Calendar!$A$2:$A$755,"US_CPI",Release_Calendar!$B$2:$B$755,$A3784)&gt;0,1,0)</f>
        <v>0</v>
      </c>
      <c r="L3784" s="16">
        <f>IF(COUNTIFS(Release_Calendar!$A$2:$A$755,"US_NFP",Release_Calendar!$B$2:$B$755,$A3784)&gt;0,1,0)</f>
        <v>0</v>
      </c>
      <c r="M3784" s="16" t="str">
        <f>IF($A3784&lt;Notes!$B$5,"",IF(COUNTIFS(Release_Calendar!$A$2:$A$755,"NZ_CPI",Release_Calendar!$B$2:$B$755,$A3784)&gt;0,1,0))</f>
        <v/>
      </c>
      <c r="N3784" s="16" t="str">
        <f>IF($A3784&lt;Notes!$B$5,"",IF(COUNTIFS(Release_Calendar!$A$2:$A$755,"NZ_GDP",Release_Calendar!$B$2:$B$755,$A3784)&gt;0,1,0))</f>
        <v/>
      </c>
      <c r="O3784" s="16" t="str">
        <f>IF($A3784&lt;Notes!$B$5,"",IF(COUNTIFS(Release_Calendar!$A$2:$A$755,"NZ_LABOUR",Release_Calendar!$B$2:$B$755,$A3784)&gt;0,1,0))</f>
        <v/>
      </c>
      <c r="P3784" s="16">
        <f t="shared" si="4"/>
        <v>0</v>
      </c>
    </row>
    <row r="3785" ht="15.75" customHeight="1">
      <c r="A3785" s="14">
        <v>41823.0</v>
      </c>
      <c r="B3785" s="15">
        <v>0.52</v>
      </c>
      <c r="C3785" s="15">
        <v>4.22</v>
      </c>
      <c r="D3785" s="15"/>
      <c r="E3785" s="15"/>
      <c r="F3785" s="15">
        <f t="shared" si="1"/>
        <v>3.7</v>
      </c>
      <c r="G3785" s="15">
        <f t="shared" si="2"/>
        <v>4.22</v>
      </c>
      <c r="H3785" s="16">
        <v>0.0</v>
      </c>
      <c r="I3785" s="15">
        <f t="shared" si="3"/>
        <v>3.7</v>
      </c>
      <c r="J3785" s="15">
        <v>10.32</v>
      </c>
      <c r="K3785" s="16">
        <f>IF(COUNTIFS(Release_Calendar!$A$2:$A$755,"US_CPI",Release_Calendar!$B$2:$B$755,$A3785)&gt;0,1,0)</f>
        <v>0</v>
      </c>
      <c r="L3785" s="16">
        <f>IF(COUNTIFS(Release_Calendar!$A$2:$A$755,"US_NFP",Release_Calendar!$B$2:$B$755,$A3785)&gt;0,1,0)</f>
        <v>1</v>
      </c>
      <c r="M3785" s="16" t="str">
        <f>IF($A3785&lt;Notes!$B$5,"",IF(COUNTIFS(Release_Calendar!$A$2:$A$755,"NZ_CPI",Release_Calendar!$B$2:$B$755,$A3785)&gt;0,1,0))</f>
        <v/>
      </c>
      <c r="N3785" s="16" t="str">
        <f>IF($A3785&lt;Notes!$B$5,"",IF(COUNTIFS(Release_Calendar!$A$2:$A$755,"NZ_GDP",Release_Calendar!$B$2:$B$755,$A3785)&gt;0,1,0))</f>
        <v/>
      </c>
      <c r="O3785" s="16" t="str">
        <f>IF($A3785&lt;Notes!$B$5,"",IF(COUNTIFS(Release_Calendar!$A$2:$A$755,"NZ_LABOUR",Release_Calendar!$B$2:$B$755,$A3785)&gt;0,1,0))</f>
        <v/>
      </c>
      <c r="P3785" s="16">
        <f t="shared" si="4"/>
        <v>1</v>
      </c>
    </row>
    <row r="3786" ht="15.75" customHeight="1">
      <c r="A3786" s="14">
        <v>41824.0</v>
      </c>
      <c r="B3786" s="15"/>
      <c r="C3786" s="15">
        <v>4.24</v>
      </c>
      <c r="D3786" s="15"/>
      <c r="E3786" s="15"/>
      <c r="F3786" s="15" t="str">
        <f t="shared" si="1"/>
        <v/>
      </c>
      <c r="G3786" s="15">
        <f t="shared" si="2"/>
        <v>4.24</v>
      </c>
      <c r="H3786" s="16">
        <v>0.0</v>
      </c>
      <c r="I3786" s="15" t="str">
        <f t="shared" si="3"/>
        <v/>
      </c>
      <c r="J3786" s="15"/>
      <c r="K3786" s="16">
        <f>IF(COUNTIFS(Release_Calendar!$A$2:$A$755,"US_CPI",Release_Calendar!$B$2:$B$755,$A3786)&gt;0,1,0)</f>
        <v>0</v>
      </c>
      <c r="L3786" s="16">
        <f>IF(COUNTIFS(Release_Calendar!$A$2:$A$755,"US_NFP",Release_Calendar!$B$2:$B$755,$A3786)&gt;0,1,0)</f>
        <v>0</v>
      </c>
      <c r="M3786" s="16" t="str">
        <f>IF($A3786&lt;Notes!$B$5,"",IF(COUNTIFS(Release_Calendar!$A$2:$A$755,"NZ_CPI",Release_Calendar!$B$2:$B$755,$A3786)&gt;0,1,0))</f>
        <v/>
      </c>
      <c r="N3786" s="16" t="str">
        <f>IF($A3786&lt;Notes!$B$5,"",IF(COUNTIFS(Release_Calendar!$A$2:$A$755,"NZ_GDP",Release_Calendar!$B$2:$B$755,$A3786)&gt;0,1,0))</f>
        <v/>
      </c>
      <c r="O3786" s="16" t="str">
        <f>IF($A3786&lt;Notes!$B$5,"",IF(COUNTIFS(Release_Calendar!$A$2:$A$755,"NZ_LABOUR",Release_Calendar!$B$2:$B$755,$A3786)&gt;0,1,0))</f>
        <v/>
      </c>
      <c r="P3786" s="16">
        <f t="shared" si="4"/>
        <v>0</v>
      </c>
    </row>
    <row r="3787" ht="15.75" customHeight="1">
      <c r="A3787" s="14">
        <v>41827.0</v>
      </c>
      <c r="B3787" s="15">
        <v>0.52</v>
      </c>
      <c r="C3787" s="15">
        <v>4.25</v>
      </c>
      <c r="D3787" s="15"/>
      <c r="E3787" s="15"/>
      <c r="F3787" s="15">
        <f t="shared" si="1"/>
        <v>3.73</v>
      </c>
      <c r="G3787" s="15">
        <f t="shared" si="2"/>
        <v>4.25</v>
      </c>
      <c r="H3787" s="16">
        <v>0.0</v>
      </c>
      <c r="I3787" s="15">
        <f t="shared" si="3"/>
        <v>3.73</v>
      </c>
      <c r="J3787" s="15">
        <v>11.33</v>
      </c>
      <c r="K3787" s="16">
        <f>IF(COUNTIFS(Release_Calendar!$A$2:$A$755,"US_CPI",Release_Calendar!$B$2:$B$755,$A3787)&gt;0,1,0)</f>
        <v>0</v>
      </c>
      <c r="L3787" s="16">
        <f>IF(COUNTIFS(Release_Calendar!$A$2:$A$755,"US_NFP",Release_Calendar!$B$2:$B$755,$A3787)&gt;0,1,0)</f>
        <v>0</v>
      </c>
      <c r="M3787" s="16" t="str">
        <f>IF($A3787&lt;Notes!$B$5,"",IF(COUNTIFS(Release_Calendar!$A$2:$A$755,"NZ_CPI",Release_Calendar!$B$2:$B$755,$A3787)&gt;0,1,0))</f>
        <v/>
      </c>
      <c r="N3787" s="16" t="str">
        <f>IF($A3787&lt;Notes!$B$5,"",IF(COUNTIFS(Release_Calendar!$A$2:$A$755,"NZ_GDP",Release_Calendar!$B$2:$B$755,$A3787)&gt;0,1,0))</f>
        <v/>
      </c>
      <c r="O3787" s="16" t="str">
        <f>IF($A3787&lt;Notes!$B$5,"",IF(COUNTIFS(Release_Calendar!$A$2:$A$755,"NZ_LABOUR",Release_Calendar!$B$2:$B$755,$A3787)&gt;0,1,0))</f>
        <v/>
      </c>
      <c r="P3787" s="16">
        <f t="shared" si="4"/>
        <v>0</v>
      </c>
    </row>
    <row r="3788" ht="15.75" customHeight="1">
      <c r="A3788" s="14">
        <v>41828.0</v>
      </c>
      <c r="B3788" s="15">
        <v>0.51</v>
      </c>
      <c r="C3788" s="15">
        <v>4.26</v>
      </c>
      <c r="D3788" s="15"/>
      <c r="E3788" s="15"/>
      <c r="F3788" s="15">
        <f t="shared" si="1"/>
        <v>3.75</v>
      </c>
      <c r="G3788" s="15">
        <f t="shared" si="2"/>
        <v>4.26</v>
      </c>
      <c r="H3788" s="16">
        <v>0.0</v>
      </c>
      <c r="I3788" s="15">
        <f t="shared" si="3"/>
        <v>3.75</v>
      </c>
      <c r="J3788" s="15">
        <v>11.98</v>
      </c>
      <c r="K3788" s="16">
        <f>IF(COUNTIFS(Release_Calendar!$A$2:$A$755,"US_CPI",Release_Calendar!$B$2:$B$755,$A3788)&gt;0,1,0)</f>
        <v>0</v>
      </c>
      <c r="L3788" s="16">
        <f>IF(COUNTIFS(Release_Calendar!$A$2:$A$755,"US_NFP",Release_Calendar!$B$2:$B$755,$A3788)&gt;0,1,0)</f>
        <v>0</v>
      </c>
      <c r="M3788" s="16" t="str">
        <f>IF($A3788&lt;Notes!$B$5,"",IF(COUNTIFS(Release_Calendar!$A$2:$A$755,"NZ_CPI",Release_Calendar!$B$2:$B$755,$A3788)&gt;0,1,0))</f>
        <v/>
      </c>
      <c r="N3788" s="16" t="str">
        <f>IF($A3788&lt;Notes!$B$5,"",IF(COUNTIFS(Release_Calendar!$A$2:$A$755,"NZ_GDP",Release_Calendar!$B$2:$B$755,$A3788)&gt;0,1,0))</f>
        <v/>
      </c>
      <c r="O3788" s="16" t="str">
        <f>IF($A3788&lt;Notes!$B$5,"",IF(COUNTIFS(Release_Calendar!$A$2:$A$755,"NZ_LABOUR",Release_Calendar!$B$2:$B$755,$A3788)&gt;0,1,0))</f>
        <v/>
      </c>
      <c r="P3788" s="16">
        <f t="shared" si="4"/>
        <v>0</v>
      </c>
    </row>
    <row r="3789" ht="15.75" customHeight="1">
      <c r="A3789" s="14">
        <v>41829.0</v>
      </c>
      <c r="B3789" s="15">
        <v>0.51</v>
      </c>
      <c r="C3789" s="15">
        <v>4.24</v>
      </c>
      <c r="D3789" s="15"/>
      <c r="E3789" s="15"/>
      <c r="F3789" s="15">
        <f t="shared" si="1"/>
        <v>3.73</v>
      </c>
      <c r="G3789" s="15">
        <f t="shared" si="2"/>
        <v>4.24</v>
      </c>
      <c r="H3789" s="16">
        <v>0.0</v>
      </c>
      <c r="I3789" s="15">
        <f t="shared" si="3"/>
        <v>3.73</v>
      </c>
      <c r="J3789" s="15">
        <v>11.65</v>
      </c>
      <c r="K3789" s="16">
        <f>IF(COUNTIFS(Release_Calendar!$A$2:$A$755,"US_CPI",Release_Calendar!$B$2:$B$755,$A3789)&gt;0,1,0)</f>
        <v>0</v>
      </c>
      <c r="L3789" s="16">
        <f>IF(COUNTIFS(Release_Calendar!$A$2:$A$755,"US_NFP",Release_Calendar!$B$2:$B$755,$A3789)&gt;0,1,0)</f>
        <v>0</v>
      </c>
      <c r="M3789" s="16" t="str">
        <f>IF($A3789&lt;Notes!$B$5,"",IF(COUNTIFS(Release_Calendar!$A$2:$A$755,"NZ_CPI",Release_Calendar!$B$2:$B$755,$A3789)&gt;0,1,0))</f>
        <v/>
      </c>
      <c r="N3789" s="16" t="str">
        <f>IF($A3789&lt;Notes!$B$5,"",IF(COUNTIFS(Release_Calendar!$A$2:$A$755,"NZ_GDP",Release_Calendar!$B$2:$B$755,$A3789)&gt;0,1,0))</f>
        <v/>
      </c>
      <c r="O3789" s="16" t="str">
        <f>IF($A3789&lt;Notes!$B$5,"",IF(COUNTIFS(Release_Calendar!$A$2:$A$755,"NZ_LABOUR",Release_Calendar!$B$2:$B$755,$A3789)&gt;0,1,0))</f>
        <v/>
      </c>
      <c r="P3789" s="16">
        <f t="shared" si="4"/>
        <v>0</v>
      </c>
    </row>
    <row r="3790" ht="15.75" customHeight="1">
      <c r="A3790" s="14">
        <v>41830.0</v>
      </c>
      <c r="B3790" s="15">
        <v>0.46</v>
      </c>
      <c r="C3790" s="15">
        <v>4.23</v>
      </c>
      <c r="D3790" s="15"/>
      <c r="E3790" s="15"/>
      <c r="F3790" s="15">
        <f t="shared" si="1"/>
        <v>3.77</v>
      </c>
      <c r="G3790" s="15">
        <f t="shared" si="2"/>
        <v>4.23</v>
      </c>
      <c r="H3790" s="16">
        <v>0.0</v>
      </c>
      <c r="I3790" s="15">
        <f t="shared" si="3"/>
        <v>3.77</v>
      </c>
      <c r="J3790" s="15">
        <v>12.59</v>
      </c>
      <c r="K3790" s="16">
        <f>IF(COUNTIFS(Release_Calendar!$A$2:$A$755,"US_CPI",Release_Calendar!$B$2:$B$755,$A3790)&gt;0,1,0)</f>
        <v>0</v>
      </c>
      <c r="L3790" s="16">
        <f>IF(COUNTIFS(Release_Calendar!$A$2:$A$755,"US_NFP",Release_Calendar!$B$2:$B$755,$A3790)&gt;0,1,0)</f>
        <v>0</v>
      </c>
      <c r="M3790" s="16" t="str">
        <f>IF($A3790&lt;Notes!$B$5,"",IF(COUNTIFS(Release_Calendar!$A$2:$A$755,"NZ_CPI",Release_Calendar!$B$2:$B$755,$A3790)&gt;0,1,0))</f>
        <v/>
      </c>
      <c r="N3790" s="16" t="str">
        <f>IF($A3790&lt;Notes!$B$5,"",IF(COUNTIFS(Release_Calendar!$A$2:$A$755,"NZ_GDP",Release_Calendar!$B$2:$B$755,$A3790)&gt;0,1,0))</f>
        <v/>
      </c>
      <c r="O3790" s="16" t="str">
        <f>IF($A3790&lt;Notes!$B$5,"",IF(COUNTIFS(Release_Calendar!$A$2:$A$755,"NZ_LABOUR",Release_Calendar!$B$2:$B$755,$A3790)&gt;0,1,0))</f>
        <v/>
      </c>
      <c r="P3790" s="16">
        <f t="shared" si="4"/>
        <v>0</v>
      </c>
    </row>
    <row r="3791" ht="15.75" customHeight="1">
      <c r="A3791" s="14">
        <v>41831.0</v>
      </c>
      <c r="B3791" s="15">
        <v>0.48</v>
      </c>
      <c r="C3791" s="15">
        <v>4.19</v>
      </c>
      <c r="D3791" s="15"/>
      <c r="E3791" s="15"/>
      <c r="F3791" s="15">
        <f t="shared" si="1"/>
        <v>3.71</v>
      </c>
      <c r="G3791" s="15">
        <f t="shared" si="2"/>
        <v>4.19</v>
      </c>
      <c r="H3791" s="16">
        <v>0.0</v>
      </c>
      <c r="I3791" s="15">
        <f t="shared" si="3"/>
        <v>3.71</v>
      </c>
      <c r="J3791" s="15">
        <v>12.08</v>
      </c>
      <c r="K3791" s="16">
        <f>IF(COUNTIFS(Release_Calendar!$A$2:$A$755,"US_CPI",Release_Calendar!$B$2:$B$755,$A3791)&gt;0,1,0)</f>
        <v>0</v>
      </c>
      <c r="L3791" s="16">
        <f>IF(COUNTIFS(Release_Calendar!$A$2:$A$755,"US_NFP",Release_Calendar!$B$2:$B$755,$A3791)&gt;0,1,0)</f>
        <v>0</v>
      </c>
      <c r="M3791" s="16" t="str">
        <f>IF($A3791&lt;Notes!$B$5,"",IF(COUNTIFS(Release_Calendar!$A$2:$A$755,"NZ_CPI",Release_Calendar!$B$2:$B$755,$A3791)&gt;0,1,0))</f>
        <v/>
      </c>
      <c r="N3791" s="16" t="str">
        <f>IF($A3791&lt;Notes!$B$5,"",IF(COUNTIFS(Release_Calendar!$A$2:$A$755,"NZ_GDP",Release_Calendar!$B$2:$B$755,$A3791)&gt;0,1,0))</f>
        <v/>
      </c>
      <c r="O3791" s="16" t="str">
        <f>IF($A3791&lt;Notes!$B$5,"",IF(COUNTIFS(Release_Calendar!$A$2:$A$755,"NZ_LABOUR",Release_Calendar!$B$2:$B$755,$A3791)&gt;0,1,0))</f>
        <v/>
      </c>
      <c r="P3791" s="16">
        <f t="shared" si="4"/>
        <v>0</v>
      </c>
    </row>
    <row r="3792" ht="15.75" customHeight="1">
      <c r="A3792" s="14">
        <v>41834.0</v>
      </c>
      <c r="B3792" s="15">
        <v>0.48</v>
      </c>
      <c r="C3792" s="15">
        <v>4.2</v>
      </c>
      <c r="D3792" s="15"/>
      <c r="E3792" s="15"/>
      <c r="F3792" s="15">
        <f t="shared" si="1"/>
        <v>3.72</v>
      </c>
      <c r="G3792" s="15">
        <f t="shared" si="2"/>
        <v>4.2</v>
      </c>
      <c r="H3792" s="16">
        <v>0.0</v>
      </c>
      <c r="I3792" s="15">
        <f t="shared" si="3"/>
        <v>3.72</v>
      </c>
      <c r="J3792" s="15">
        <v>11.82</v>
      </c>
      <c r="K3792" s="16">
        <f>IF(COUNTIFS(Release_Calendar!$A$2:$A$755,"US_CPI",Release_Calendar!$B$2:$B$755,$A3792)&gt;0,1,0)</f>
        <v>0</v>
      </c>
      <c r="L3792" s="16">
        <f>IF(COUNTIFS(Release_Calendar!$A$2:$A$755,"US_NFP",Release_Calendar!$B$2:$B$755,$A3792)&gt;0,1,0)</f>
        <v>0</v>
      </c>
      <c r="M3792" s="16" t="str">
        <f>IF($A3792&lt;Notes!$B$5,"",IF(COUNTIFS(Release_Calendar!$A$2:$A$755,"NZ_CPI",Release_Calendar!$B$2:$B$755,$A3792)&gt;0,1,0))</f>
        <v/>
      </c>
      <c r="N3792" s="16" t="str">
        <f>IF($A3792&lt;Notes!$B$5,"",IF(COUNTIFS(Release_Calendar!$A$2:$A$755,"NZ_GDP",Release_Calendar!$B$2:$B$755,$A3792)&gt;0,1,0))</f>
        <v/>
      </c>
      <c r="O3792" s="16" t="str">
        <f>IF($A3792&lt;Notes!$B$5,"",IF(COUNTIFS(Release_Calendar!$A$2:$A$755,"NZ_LABOUR",Release_Calendar!$B$2:$B$755,$A3792)&gt;0,1,0))</f>
        <v/>
      </c>
      <c r="P3792" s="16">
        <f t="shared" si="4"/>
        <v>0</v>
      </c>
    </row>
    <row r="3793" ht="15.75" customHeight="1">
      <c r="A3793" s="14">
        <v>41835.0</v>
      </c>
      <c r="B3793" s="15">
        <v>0.49</v>
      </c>
      <c r="C3793" s="15">
        <v>4.22</v>
      </c>
      <c r="D3793" s="15"/>
      <c r="E3793" s="15"/>
      <c r="F3793" s="15">
        <f t="shared" si="1"/>
        <v>3.73</v>
      </c>
      <c r="G3793" s="15">
        <f t="shared" si="2"/>
        <v>4.22</v>
      </c>
      <c r="H3793" s="16">
        <v>0.0</v>
      </c>
      <c r="I3793" s="15">
        <f t="shared" si="3"/>
        <v>3.73</v>
      </c>
      <c r="J3793" s="15">
        <v>11.96</v>
      </c>
      <c r="K3793" s="16">
        <f>IF(COUNTIFS(Release_Calendar!$A$2:$A$755,"US_CPI",Release_Calendar!$B$2:$B$755,$A3793)&gt;0,1,0)</f>
        <v>0</v>
      </c>
      <c r="L3793" s="16">
        <f>IF(COUNTIFS(Release_Calendar!$A$2:$A$755,"US_NFP",Release_Calendar!$B$2:$B$755,$A3793)&gt;0,1,0)</f>
        <v>0</v>
      </c>
      <c r="M3793" s="16" t="str">
        <f>IF($A3793&lt;Notes!$B$5,"",IF(COUNTIFS(Release_Calendar!$A$2:$A$755,"NZ_CPI",Release_Calendar!$B$2:$B$755,$A3793)&gt;0,1,0))</f>
        <v/>
      </c>
      <c r="N3793" s="16" t="str">
        <f>IF($A3793&lt;Notes!$B$5,"",IF(COUNTIFS(Release_Calendar!$A$2:$A$755,"NZ_GDP",Release_Calendar!$B$2:$B$755,$A3793)&gt;0,1,0))</f>
        <v/>
      </c>
      <c r="O3793" s="16" t="str">
        <f>IF($A3793&lt;Notes!$B$5,"",IF(COUNTIFS(Release_Calendar!$A$2:$A$755,"NZ_LABOUR",Release_Calendar!$B$2:$B$755,$A3793)&gt;0,1,0))</f>
        <v/>
      </c>
      <c r="P3793" s="16">
        <f t="shared" si="4"/>
        <v>0</v>
      </c>
    </row>
    <row r="3794" ht="15.75" customHeight="1">
      <c r="A3794" s="14">
        <v>41836.0</v>
      </c>
      <c r="B3794" s="15">
        <v>0.5</v>
      </c>
      <c r="C3794" s="15">
        <v>4.13</v>
      </c>
      <c r="D3794" s="15"/>
      <c r="E3794" s="15"/>
      <c r="F3794" s="15">
        <f t="shared" si="1"/>
        <v>3.63</v>
      </c>
      <c r="G3794" s="15">
        <f t="shared" si="2"/>
        <v>4.13</v>
      </c>
      <c r="H3794" s="16">
        <v>0.0</v>
      </c>
      <c r="I3794" s="15">
        <f t="shared" si="3"/>
        <v>3.63</v>
      </c>
      <c r="J3794" s="15">
        <v>11.0</v>
      </c>
      <c r="K3794" s="16">
        <f>IF(COUNTIFS(Release_Calendar!$A$2:$A$755,"US_CPI",Release_Calendar!$B$2:$B$755,$A3794)&gt;0,1,0)</f>
        <v>0</v>
      </c>
      <c r="L3794" s="16">
        <f>IF(COUNTIFS(Release_Calendar!$A$2:$A$755,"US_NFP",Release_Calendar!$B$2:$B$755,$A3794)&gt;0,1,0)</f>
        <v>0</v>
      </c>
      <c r="M3794" s="16" t="str">
        <f>IF($A3794&lt;Notes!$B$5,"",IF(COUNTIFS(Release_Calendar!$A$2:$A$755,"NZ_CPI",Release_Calendar!$B$2:$B$755,$A3794)&gt;0,1,0))</f>
        <v/>
      </c>
      <c r="N3794" s="16" t="str">
        <f>IF($A3794&lt;Notes!$B$5,"",IF(COUNTIFS(Release_Calendar!$A$2:$A$755,"NZ_GDP",Release_Calendar!$B$2:$B$755,$A3794)&gt;0,1,0))</f>
        <v/>
      </c>
      <c r="O3794" s="16" t="str">
        <f>IF($A3794&lt;Notes!$B$5,"",IF(COUNTIFS(Release_Calendar!$A$2:$A$755,"NZ_LABOUR",Release_Calendar!$B$2:$B$755,$A3794)&gt;0,1,0))</f>
        <v/>
      </c>
      <c r="P3794" s="16">
        <f t="shared" si="4"/>
        <v>0</v>
      </c>
    </row>
    <row r="3795" ht="15.75" customHeight="1">
      <c r="A3795" s="14">
        <v>41837.0</v>
      </c>
      <c r="B3795" s="15">
        <v>0.47</v>
      </c>
      <c r="C3795" s="15">
        <v>4.14</v>
      </c>
      <c r="D3795" s="15"/>
      <c r="E3795" s="15"/>
      <c r="F3795" s="15">
        <f t="shared" si="1"/>
        <v>3.67</v>
      </c>
      <c r="G3795" s="15">
        <f t="shared" si="2"/>
        <v>4.14</v>
      </c>
      <c r="H3795" s="16">
        <v>0.0</v>
      </c>
      <c r="I3795" s="15">
        <f t="shared" si="3"/>
        <v>3.67</v>
      </c>
      <c r="J3795" s="15">
        <v>14.54</v>
      </c>
      <c r="K3795" s="16">
        <f>IF(COUNTIFS(Release_Calendar!$A$2:$A$755,"US_CPI",Release_Calendar!$B$2:$B$755,$A3795)&gt;0,1,0)</f>
        <v>0</v>
      </c>
      <c r="L3795" s="16">
        <f>IF(COUNTIFS(Release_Calendar!$A$2:$A$755,"US_NFP",Release_Calendar!$B$2:$B$755,$A3795)&gt;0,1,0)</f>
        <v>0</v>
      </c>
      <c r="M3795" s="16" t="str">
        <f>IF($A3795&lt;Notes!$B$5,"",IF(COUNTIFS(Release_Calendar!$A$2:$A$755,"NZ_CPI",Release_Calendar!$B$2:$B$755,$A3795)&gt;0,1,0))</f>
        <v/>
      </c>
      <c r="N3795" s="16" t="str">
        <f>IF($A3795&lt;Notes!$B$5,"",IF(COUNTIFS(Release_Calendar!$A$2:$A$755,"NZ_GDP",Release_Calendar!$B$2:$B$755,$A3795)&gt;0,1,0))</f>
        <v/>
      </c>
      <c r="O3795" s="16" t="str">
        <f>IF($A3795&lt;Notes!$B$5,"",IF(COUNTIFS(Release_Calendar!$A$2:$A$755,"NZ_LABOUR",Release_Calendar!$B$2:$B$755,$A3795)&gt;0,1,0))</f>
        <v/>
      </c>
      <c r="P3795" s="16">
        <f t="shared" si="4"/>
        <v>0</v>
      </c>
    </row>
    <row r="3796" ht="15.75" customHeight="1">
      <c r="A3796" s="14">
        <v>41838.0</v>
      </c>
      <c r="B3796" s="15">
        <v>0.51</v>
      </c>
      <c r="C3796" s="15">
        <v>4.1</v>
      </c>
      <c r="D3796" s="15"/>
      <c r="E3796" s="15"/>
      <c r="F3796" s="15">
        <f t="shared" si="1"/>
        <v>3.59</v>
      </c>
      <c r="G3796" s="15">
        <f t="shared" si="2"/>
        <v>4.1</v>
      </c>
      <c r="H3796" s="16">
        <v>0.0</v>
      </c>
      <c r="I3796" s="15">
        <f t="shared" si="3"/>
        <v>3.59</v>
      </c>
      <c r="J3796" s="15">
        <v>12.06</v>
      </c>
      <c r="K3796" s="16">
        <f>IF(COUNTIFS(Release_Calendar!$A$2:$A$755,"US_CPI",Release_Calendar!$B$2:$B$755,$A3796)&gt;0,1,0)</f>
        <v>0</v>
      </c>
      <c r="L3796" s="16">
        <f>IF(COUNTIFS(Release_Calendar!$A$2:$A$755,"US_NFP",Release_Calendar!$B$2:$B$755,$A3796)&gt;0,1,0)</f>
        <v>0</v>
      </c>
      <c r="M3796" s="16" t="str">
        <f>IF($A3796&lt;Notes!$B$5,"",IF(COUNTIFS(Release_Calendar!$A$2:$A$755,"NZ_CPI",Release_Calendar!$B$2:$B$755,$A3796)&gt;0,1,0))</f>
        <v/>
      </c>
      <c r="N3796" s="16" t="str">
        <f>IF($A3796&lt;Notes!$B$5,"",IF(COUNTIFS(Release_Calendar!$A$2:$A$755,"NZ_GDP",Release_Calendar!$B$2:$B$755,$A3796)&gt;0,1,0))</f>
        <v/>
      </c>
      <c r="O3796" s="16" t="str">
        <f>IF($A3796&lt;Notes!$B$5,"",IF(COUNTIFS(Release_Calendar!$A$2:$A$755,"NZ_LABOUR",Release_Calendar!$B$2:$B$755,$A3796)&gt;0,1,0))</f>
        <v/>
      </c>
      <c r="P3796" s="16">
        <f t="shared" si="4"/>
        <v>0</v>
      </c>
    </row>
    <row r="3797" ht="15.75" customHeight="1">
      <c r="A3797" s="14">
        <v>41841.0</v>
      </c>
      <c r="B3797" s="15">
        <v>0.51</v>
      </c>
      <c r="C3797" s="15">
        <v>4.13</v>
      </c>
      <c r="D3797" s="15"/>
      <c r="E3797" s="15"/>
      <c r="F3797" s="15">
        <f t="shared" si="1"/>
        <v>3.62</v>
      </c>
      <c r="G3797" s="15">
        <f t="shared" si="2"/>
        <v>4.13</v>
      </c>
      <c r="H3797" s="16">
        <v>0.0</v>
      </c>
      <c r="I3797" s="15">
        <f t="shared" si="3"/>
        <v>3.62</v>
      </c>
      <c r="J3797" s="15">
        <v>12.81</v>
      </c>
      <c r="K3797" s="16">
        <f>IF(COUNTIFS(Release_Calendar!$A$2:$A$755,"US_CPI",Release_Calendar!$B$2:$B$755,$A3797)&gt;0,1,0)</f>
        <v>0</v>
      </c>
      <c r="L3797" s="16">
        <f>IF(COUNTIFS(Release_Calendar!$A$2:$A$755,"US_NFP",Release_Calendar!$B$2:$B$755,$A3797)&gt;0,1,0)</f>
        <v>0</v>
      </c>
      <c r="M3797" s="16" t="str">
        <f>IF($A3797&lt;Notes!$B$5,"",IF(COUNTIFS(Release_Calendar!$A$2:$A$755,"NZ_CPI",Release_Calendar!$B$2:$B$755,$A3797)&gt;0,1,0))</f>
        <v/>
      </c>
      <c r="N3797" s="16" t="str">
        <f>IF($A3797&lt;Notes!$B$5,"",IF(COUNTIFS(Release_Calendar!$A$2:$A$755,"NZ_GDP",Release_Calendar!$B$2:$B$755,$A3797)&gt;0,1,0))</f>
        <v/>
      </c>
      <c r="O3797" s="16" t="str">
        <f>IF($A3797&lt;Notes!$B$5,"",IF(COUNTIFS(Release_Calendar!$A$2:$A$755,"NZ_LABOUR",Release_Calendar!$B$2:$B$755,$A3797)&gt;0,1,0))</f>
        <v/>
      </c>
      <c r="P3797" s="16">
        <f t="shared" si="4"/>
        <v>0</v>
      </c>
    </row>
    <row r="3798" ht="15.75" customHeight="1">
      <c r="A3798" s="14">
        <v>41842.0</v>
      </c>
      <c r="B3798" s="15">
        <v>0.49</v>
      </c>
      <c r="C3798" s="15">
        <v>4.11</v>
      </c>
      <c r="D3798" s="15"/>
      <c r="E3798" s="15"/>
      <c r="F3798" s="15">
        <f t="shared" si="1"/>
        <v>3.62</v>
      </c>
      <c r="G3798" s="15">
        <f t="shared" si="2"/>
        <v>4.11</v>
      </c>
      <c r="H3798" s="16">
        <v>0.0</v>
      </c>
      <c r="I3798" s="15">
        <f t="shared" si="3"/>
        <v>3.62</v>
      </c>
      <c r="J3798" s="15">
        <v>12.24</v>
      </c>
      <c r="K3798" s="16">
        <f>IF(COUNTIFS(Release_Calendar!$A$2:$A$755,"US_CPI",Release_Calendar!$B$2:$B$755,$A3798)&gt;0,1,0)</f>
        <v>1</v>
      </c>
      <c r="L3798" s="16">
        <f>IF(COUNTIFS(Release_Calendar!$A$2:$A$755,"US_NFP",Release_Calendar!$B$2:$B$755,$A3798)&gt;0,1,0)</f>
        <v>0</v>
      </c>
      <c r="M3798" s="16" t="str">
        <f>IF($A3798&lt;Notes!$B$5,"",IF(COUNTIFS(Release_Calendar!$A$2:$A$755,"NZ_CPI",Release_Calendar!$B$2:$B$755,$A3798)&gt;0,1,0))</f>
        <v/>
      </c>
      <c r="N3798" s="16" t="str">
        <f>IF($A3798&lt;Notes!$B$5,"",IF(COUNTIFS(Release_Calendar!$A$2:$A$755,"NZ_GDP",Release_Calendar!$B$2:$B$755,$A3798)&gt;0,1,0))</f>
        <v/>
      </c>
      <c r="O3798" s="16" t="str">
        <f>IF($A3798&lt;Notes!$B$5,"",IF(COUNTIFS(Release_Calendar!$A$2:$A$755,"NZ_LABOUR",Release_Calendar!$B$2:$B$755,$A3798)&gt;0,1,0))</f>
        <v/>
      </c>
      <c r="P3798" s="16">
        <f t="shared" si="4"/>
        <v>1</v>
      </c>
    </row>
    <row r="3799" ht="15.75" customHeight="1">
      <c r="A3799" s="14">
        <v>41843.0</v>
      </c>
      <c r="B3799" s="15">
        <v>0.5</v>
      </c>
      <c r="C3799" s="15">
        <v>4.13</v>
      </c>
      <c r="D3799" s="15"/>
      <c r="E3799" s="15"/>
      <c r="F3799" s="15">
        <f t="shared" si="1"/>
        <v>3.63</v>
      </c>
      <c r="G3799" s="15">
        <f t="shared" si="2"/>
        <v>4.13</v>
      </c>
      <c r="H3799" s="16">
        <v>0.0</v>
      </c>
      <c r="I3799" s="15">
        <f t="shared" si="3"/>
        <v>3.63</v>
      </c>
      <c r="J3799" s="15">
        <v>11.52</v>
      </c>
      <c r="K3799" s="16">
        <f>IF(COUNTIFS(Release_Calendar!$A$2:$A$755,"US_CPI",Release_Calendar!$B$2:$B$755,$A3799)&gt;0,1,0)</f>
        <v>0</v>
      </c>
      <c r="L3799" s="16">
        <f>IF(COUNTIFS(Release_Calendar!$A$2:$A$755,"US_NFP",Release_Calendar!$B$2:$B$755,$A3799)&gt;0,1,0)</f>
        <v>0</v>
      </c>
      <c r="M3799" s="16" t="str">
        <f>IF($A3799&lt;Notes!$B$5,"",IF(COUNTIFS(Release_Calendar!$A$2:$A$755,"NZ_CPI",Release_Calendar!$B$2:$B$755,$A3799)&gt;0,1,0))</f>
        <v/>
      </c>
      <c r="N3799" s="16" t="str">
        <f>IF($A3799&lt;Notes!$B$5,"",IF(COUNTIFS(Release_Calendar!$A$2:$A$755,"NZ_GDP",Release_Calendar!$B$2:$B$755,$A3799)&gt;0,1,0))</f>
        <v/>
      </c>
      <c r="O3799" s="16" t="str">
        <f>IF($A3799&lt;Notes!$B$5,"",IF(COUNTIFS(Release_Calendar!$A$2:$A$755,"NZ_LABOUR",Release_Calendar!$B$2:$B$755,$A3799)&gt;0,1,0))</f>
        <v/>
      </c>
      <c r="P3799" s="16">
        <f t="shared" si="4"/>
        <v>0</v>
      </c>
    </row>
    <row r="3800" ht="15.75" customHeight="1">
      <c r="A3800" s="14">
        <v>41844.0</v>
      </c>
      <c r="B3800" s="15">
        <v>0.53</v>
      </c>
      <c r="C3800" s="15">
        <v>4.09</v>
      </c>
      <c r="D3800" s="15"/>
      <c r="E3800" s="15"/>
      <c r="F3800" s="15">
        <f t="shared" si="1"/>
        <v>3.56</v>
      </c>
      <c r="G3800" s="15">
        <f t="shared" si="2"/>
        <v>4.09</v>
      </c>
      <c r="H3800" s="16">
        <v>0.0</v>
      </c>
      <c r="I3800" s="15">
        <f t="shared" si="3"/>
        <v>3.56</v>
      </c>
      <c r="J3800" s="15">
        <v>11.84</v>
      </c>
      <c r="K3800" s="16">
        <f>IF(COUNTIFS(Release_Calendar!$A$2:$A$755,"US_CPI",Release_Calendar!$B$2:$B$755,$A3800)&gt;0,1,0)</f>
        <v>0</v>
      </c>
      <c r="L3800" s="16">
        <f>IF(COUNTIFS(Release_Calendar!$A$2:$A$755,"US_NFP",Release_Calendar!$B$2:$B$755,$A3800)&gt;0,1,0)</f>
        <v>0</v>
      </c>
      <c r="M3800" s="16" t="str">
        <f>IF($A3800&lt;Notes!$B$5,"",IF(COUNTIFS(Release_Calendar!$A$2:$A$755,"NZ_CPI",Release_Calendar!$B$2:$B$755,$A3800)&gt;0,1,0))</f>
        <v/>
      </c>
      <c r="N3800" s="16" t="str">
        <f>IF($A3800&lt;Notes!$B$5,"",IF(COUNTIFS(Release_Calendar!$A$2:$A$755,"NZ_GDP",Release_Calendar!$B$2:$B$755,$A3800)&gt;0,1,0))</f>
        <v/>
      </c>
      <c r="O3800" s="16" t="str">
        <f>IF($A3800&lt;Notes!$B$5,"",IF(COUNTIFS(Release_Calendar!$A$2:$A$755,"NZ_LABOUR",Release_Calendar!$B$2:$B$755,$A3800)&gt;0,1,0))</f>
        <v/>
      </c>
      <c r="P3800" s="16">
        <f t="shared" si="4"/>
        <v>0</v>
      </c>
    </row>
    <row r="3801" ht="15.75" customHeight="1">
      <c r="A3801" s="14">
        <v>41845.0</v>
      </c>
      <c r="B3801" s="15">
        <v>0.53</v>
      </c>
      <c r="C3801" s="15">
        <v>4.11</v>
      </c>
      <c r="D3801" s="15"/>
      <c r="E3801" s="15"/>
      <c r="F3801" s="15">
        <f t="shared" si="1"/>
        <v>3.58</v>
      </c>
      <c r="G3801" s="15">
        <f t="shared" si="2"/>
        <v>4.11</v>
      </c>
      <c r="H3801" s="16">
        <v>0.0</v>
      </c>
      <c r="I3801" s="15">
        <f t="shared" si="3"/>
        <v>3.58</v>
      </c>
      <c r="J3801" s="15">
        <v>12.69</v>
      </c>
      <c r="K3801" s="16">
        <f>IF(COUNTIFS(Release_Calendar!$A$2:$A$755,"US_CPI",Release_Calendar!$B$2:$B$755,$A3801)&gt;0,1,0)</f>
        <v>0</v>
      </c>
      <c r="L3801" s="16">
        <f>IF(COUNTIFS(Release_Calendar!$A$2:$A$755,"US_NFP",Release_Calendar!$B$2:$B$755,$A3801)&gt;0,1,0)</f>
        <v>0</v>
      </c>
      <c r="M3801" s="16" t="str">
        <f>IF($A3801&lt;Notes!$B$5,"",IF(COUNTIFS(Release_Calendar!$A$2:$A$755,"NZ_CPI",Release_Calendar!$B$2:$B$755,$A3801)&gt;0,1,0))</f>
        <v/>
      </c>
      <c r="N3801" s="16" t="str">
        <f>IF($A3801&lt;Notes!$B$5,"",IF(COUNTIFS(Release_Calendar!$A$2:$A$755,"NZ_GDP",Release_Calendar!$B$2:$B$755,$A3801)&gt;0,1,0))</f>
        <v/>
      </c>
      <c r="O3801" s="16" t="str">
        <f>IF($A3801&lt;Notes!$B$5,"",IF(COUNTIFS(Release_Calendar!$A$2:$A$755,"NZ_LABOUR",Release_Calendar!$B$2:$B$755,$A3801)&gt;0,1,0))</f>
        <v/>
      </c>
      <c r="P3801" s="16">
        <f t="shared" si="4"/>
        <v>0</v>
      </c>
    </row>
    <row r="3802" ht="15.75" customHeight="1">
      <c r="A3802" s="14">
        <v>41848.0</v>
      </c>
      <c r="B3802" s="15">
        <v>0.54</v>
      </c>
      <c r="C3802" s="15">
        <v>4.08</v>
      </c>
      <c r="D3802" s="15"/>
      <c r="E3802" s="15"/>
      <c r="F3802" s="15">
        <f t="shared" si="1"/>
        <v>3.54</v>
      </c>
      <c r="G3802" s="15">
        <f t="shared" si="2"/>
        <v>4.08</v>
      </c>
      <c r="H3802" s="16">
        <v>0.0</v>
      </c>
      <c r="I3802" s="15">
        <f t="shared" si="3"/>
        <v>3.54</v>
      </c>
      <c r="J3802" s="15">
        <v>12.56</v>
      </c>
      <c r="K3802" s="16">
        <f>IF(COUNTIFS(Release_Calendar!$A$2:$A$755,"US_CPI",Release_Calendar!$B$2:$B$755,$A3802)&gt;0,1,0)</f>
        <v>0</v>
      </c>
      <c r="L3802" s="16">
        <f>IF(COUNTIFS(Release_Calendar!$A$2:$A$755,"US_NFP",Release_Calendar!$B$2:$B$755,$A3802)&gt;0,1,0)</f>
        <v>0</v>
      </c>
      <c r="M3802" s="16" t="str">
        <f>IF($A3802&lt;Notes!$B$5,"",IF(COUNTIFS(Release_Calendar!$A$2:$A$755,"NZ_CPI",Release_Calendar!$B$2:$B$755,$A3802)&gt;0,1,0))</f>
        <v/>
      </c>
      <c r="N3802" s="16" t="str">
        <f>IF($A3802&lt;Notes!$B$5,"",IF(COUNTIFS(Release_Calendar!$A$2:$A$755,"NZ_GDP",Release_Calendar!$B$2:$B$755,$A3802)&gt;0,1,0))</f>
        <v/>
      </c>
      <c r="O3802" s="16" t="str">
        <f>IF($A3802&lt;Notes!$B$5,"",IF(COUNTIFS(Release_Calendar!$A$2:$A$755,"NZ_LABOUR",Release_Calendar!$B$2:$B$755,$A3802)&gt;0,1,0))</f>
        <v/>
      </c>
      <c r="P3802" s="16">
        <f t="shared" si="4"/>
        <v>0</v>
      </c>
    </row>
    <row r="3803" ht="15.75" customHeight="1">
      <c r="A3803" s="14">
        <v>41849.0</v>
      </c>
      <c r="B3803" s="15">
        <v>0.54</v>
      </c>
      <c r="C3803" s="15">
        <v>4.08</v>
      </c>
      <c r="D3803" s="15"/>
      <c r="E3803" s="15"/>
      <c r="F3803" s="15">
        <f t="shared" si="1"/>
        <v>3.54</v>
      </c>
      <c r="G3803" s="15">
        <f t="shared" si="2"/>
        <v>4.08</v>
      </c>
      <c r="H3803" s="16">
        <v>0.0</v>
      </c>
      <c r="I3803" s="15">
        <f t="shared" si="3"/>
        <v>3.54</v>
      </c>
      <c r="J3803" s="15">
        <v>13.28</v>
      </c>
      <c r="K3803" s="16">
        <f>IF(COUNTIFS(Release_Calendar!$A$2:$A$755,"US_CPI",Release_Calendar!$B$2:$B$755,$A3803)&gt;0,1,0)</f>
        <v>0</v>
      </c>
      <c r="L3803" s="16">
        <f>IF(COUNTIFS(Release_Calendar!$A$2:$A$755,"US_NFP",Release_Calendar!$B$2:$B$755,$A3803)&gt;0,1,0)</f>
        <v>0</v>
      </c>
      <c r="M3803" s="16" t="str">
        <f>IF($A3803&lt;Notes!$B$5,"",IF(COUNTIFS(Release_Calendar!$A$2:$A$755,"NZ_CPI",Release_Calendar!$B$2:$B$755,$A3803)&gt;0,1,0))</f>
        <v/>
      </c>
      <c r="N3803" s="16" t="str">
        <f>IF($A3803&lt;Notes!$B$5,"",IF(COUNTIFS(Release_Calendar!$A$2:$A$755,"NZ_GDP",Release_Calendar!$B$2:$B$755,$A3803)&gt;0,1,0))</f>
        <v/>
      </c>
      <c r="O3803" s="16" t="str">
        <f>IF($A3803&lt;Notes!$B$5,"",IF(COUNTIFS(Release_Calendar!$A$2:$A$755,"NZ_LABOUR",Release_Calendar!$B$2:$B$755,$A3803)&gt;0,1,0))</f>
        <v/>
      </c>
      <c r="P3803" s="16">
        <f t="shared" si="4"/>
        <v>0</v>
      </c>
    </row>
    <row r="3804" ht="15.75" customHeight="1">
      <c r="A3804" s="14">
        <v>41850.0</v>
      </c>
      <c r="B3804" s="15">
        <v>0.56</v>
      </c>
      <c r="C3804" s="15">
        <v>4.06</v>
      </c>
      <c r="D3804" s="15"/>
      <c r="E3804" s="15"/>
      <c r="F3804" s="15">
        <f t="shared" si="1"/>
        <v>3.5</v>
      </c>
      <c r="G3804" s="15">
        <f t="shared" si="2"/>
        <v>4.06</v>
      </c>
      <c r="H3804" s="16">
        <v>0.0</v>
      </c>
      <c r="I3804" s="15">
        <f t="shared" si="3"/>
        <v>3.5</v>
      </c>
      <c r="J3804" s="15">
        <v>13.33</v>
      </c>
      <c r="K3804" s="16">
        <f>IF(COUNTIFS(Release_Calendar!$A$2:$A$755,"US_CPI",Release_Calendar!$B$2:$B$755,$A3804)&gt;0,1,0)</f>
        <v>0</v>
      </c>
      <c r="L3804" s="16">
        <f>IF(COUNTIFS(Release_Calendar!$A$2:$A$755,"US_NFP",Release_Calendar!$B$2:$B$755,$A3804)&gt;0,1,0)</f>
        <v>0</v>
      </c>
      <c r="M3804" s="16" t="str">
        <f>IF($A3804&lt;Notes!$B$5,"",IF(COUNTIFS(Release_Calendar!$A$2:$A$755,"NZ_CPI",Release_Calendar!$B$2:$B$755,$A3804)&gt;0,1,0))</f>
        <v/>
      </c>
      <c r="N3804" s="16" t="str">
        <f>IF($A3804&lt;Notes!$B$5,"",IF(COUNTIFS(Release_Calendar!$A$2:$A$755,"NZ_GDP",Release_Calendar!$B$2:$B$755,$A3804)&gt;0,1,0))</f>
        <v/>
      </c>
      <c r="O3804" s="16" t="str">
        <f>IF($A3804&lt;Notes!$B$5,"",IF(COUNTIFS(Release_Calendar!$A$2:$A$755,"NZ_LABOUR",Release_Calendar!$B$2:$B$755,$A3804)&gt;0,1,0))</f>
        <v/>
      </c>
      <c r="P3804" s="16">
        <f t="shared" si="4"/>
        <v>0</v>
      </c>
    </row>
    <row r="3805" ht="15.75" customHeight="1">
      <c r="A3805" s="14">
        <v>41851.0</v>
      </c>
      <c r="B3805" s="15">
        <v>0.53</v>
      </c>
      <c r="C3805" s="15">
        <v>4.09</v>
      </c>
      <c r="D3805" s="15"/>
      <c r="E3805" s="15"/>
      <c r="F3805" s="15">
        <f t="shared" si="1"/>
        <v>3.56</v>
      </c>
      <c r="G3805" s="15">
        <f t="shared" si="2"/>
        <v>4.09</v>
      </c>
      <c r="H3805" s="16">
        <v>0.0</v>
      </c>
      <c r="I3805" s="15">
        <f t="shared" si="3"/>
        <v>3.56</v>
      </c>
      <c r="J3805" s="15">
        <v>16.95</v>
      </c>
      <c r="K3805" s="16">
        <f>IF(COUNTIFS(Release_Calendar!$A$2:$A$755,"US_CPI",Release_Calendar!$B$2:$B$755,$A3805)&gt;0,1,0)</f>
        <v>0</v>
      </c>
      <c r="L3805" s="16">
        <f>IF(COUNTIFS(Release_Calendar!$A$2:$A$755,"US_NFP",Release_Calendar!$B$2:$B$755,$A3805)&gt;0,1,0)</f>
        <v>0</v>
      </c>
      <c r="M3805" s="16" t="str">
        <f>IF($A3805&lt;Notes!$B$5,"",IF(COUNTIFS(Release_Calendar!$A$2:$A$755,"NZ_CPI",Release_Calendar!$B$2:$B$755,$A3805)&gt;0,1,0))</f>
        <v/>
      </c>
      <c r="N3805" s="16" t="str">
        <f>IF($A3805&lt;Notes!$B$5,"",IF(COUNTIFS(Release_Calendar!$A$2:$A$755,"NZ_GDP",Release_Calendar!$B$2:$B$755,$A3805)&gt;0,1,0))</f>
        <v/>
      </c>
      <c r="O3805" s="16" t="str">
        <f>IF($A3805&lt;Notes!$B$5,"",IF(COUNTIFS(Release_Calendar!$A$2:$A$755,"NZ_LABOUR",Release_Calendar!$B$2:$B$755,$A3805)&gt;0,1,0))</f>
        <v/>
      </c>
      <c r="P3805" s="16">
        <f t="shared" si="4"/>
        <v>0</v>
      </c>
    </row>
    <row r="3806" ht="15.75" customHeight="1">
      <c r="A3806" s="14">
        <v>41852.0</v>
      </c>
      <c r="B3806" s="15">
        <v>0.47</v>
      </c>
      <c r="C3806" s="15">
        <v>4.09</v>
      </c>
      <c r="D3806" s="15"/>
      <c r="E3806" s="15"/>
      <c r="F3806" s="15">
        <f t="shared" si="1"/>
        <v>3.62</v>
      </c>
      <c r="G3806" s="15">
        <f t="shared" si="2"/>
        <v>4.09</v>
      </c>
      <c r="H3806" s="16">
        <v>0.0</v>
      </c>
      <c r="I3806" s="15">
        <f t="shared" si="3"/>
        <v>3.62</v>
      </c>
      <c r="J3806" s="15">
        <v>17.03</v>
      </c>
      <c r="K3806" s="16">
        <f>IF(COUNTIFS(Release_Calendar!$A$2:$A$755,"US_CPI",Release_Calendar!$B$2:$B$755,$A3806)&gt;0,1,0)</f>
        <v>0</v>
      </c>
      <c r="L3806" s="16">
        <f>IF(COUNTIFS(Release_Calendar!$A$2:$A$755,"US_NFP",Release_Calendar!$B$2:$B$755,$A3806)&gt;0,1,0)</f>
        <v>1</v>
      </c>
      <c r="M3806" s="16" t="str">
        <f>IF($A3806&lt;Notes!$B$5,"",IF(COUNTIFS(Release_Calendar!$A$2:$A$755,"NZ_CPI",Release_Calendar!$B$2:$B$755,$A3806)&gt;0,1,0))</f>
        <v/>
      </c>
      <c r="N3806" s="16" t="str">
        <f>IF($A3806&lt;Notes!$B$5,"",IF(COUNTIFS(Release_Calendar!$A$2:$A$755,"NZ_GDP",Release_Calendar!$B$2:$B$755,$A3806)&gt;0,1,0))</f>
        <v/>
      </c>
      <c r="O3806" s="16" t="str">
        <f>IF($A3806&lt;Notes!$B$5,"",IF(COUNTIFS(Release_Calendar!$A$2:$A$755,"NZ_LABOUR",Release_Calendar!$B$2:$B$755,$A3806)&gt;0,1,0))</f>
        <v/>
      </c>
      <c r="P3806" s="16">
        <f t="shared" si="4"/>
        <v>1</v>
      </c>
    </row>
    <row r="3807" ht="15.75" customHeight="1">
      <c r="A3807" s="14">
        <v>41855.0</v>
      </c>
      <c r="B3807" s="15">
        <v>0.47</v>
      </c>
      <c r="C3807" s="15">
        <v>4.07</v>
      </c>
      <c r="D3807" s="15"/>
      <c r="E3807" s="15"/>
      <c r="F3807" s="15">
        <f t="shared" si="1"/>
        <v>3.6</v>
      </c>
      <c r="G3807" s="15">
        <f t="shared" si="2"/>
        <v>4.07</v>
      </c>
      <c r="H3807" s="16">
        <v>0.0</v>
      </c>
      <c r="I3807" s="15">
        <f t="shared" si="3"/>
        <v>3.6</v>
      </c>
      <c r="J3807" s="15">
        <v>15.12</v>
      </c>
      <c r="K3807" s="16">
        <f>IF(COUNTIFS(Release_Calendar!$A$2:$A$755,"US_CPI",Release_Calendar!$B$2:$B$755,$A3807)&gt;0,1,0)</f>
        <v>0</v>
      </c>
      <c r="L3807" s="16">
        <f>IF(COUNTIFS(Release_Calendar!$A$2:$A$755,"US_NFP",Release_Calendar!$B$2:$B$755,$A3807)&gt;0,1,0)</f>
        <v>0</v>
      </c>
      <c r="M3807" s="16" t="str">
        <f>IF($A3807&lt;Notes!$B$5,"",IF(COUNTIFS(Release_Calendar!$A$2:$A$755,"NZ_CPI",Release_Calendar!$B$2:$B$755,$A3807)&gt;0,1,0))</f>
        <v/>
      </c>
      <c r="N3807" s="16" t="str">
        <f>IF($A3807&lt;Notes!$B$5,"",IF(COUNTIFS(Release_Calendar!$A$2:$A$755,"NZ_GDP",Release_Calendar!$B$2:$B$755,$A3807)&gt;0,1,0))</f>
        <v/>
      </c>
      <c r="O3807" s="16" t="str">
        <f>IF($A3807&lt;Notes!$B$5,"",IF(COUNTIFS(Release_Calendar!$A$2:$A$755,"NZ_LABOUR",Release_Calendar!$B$2:$B$755,$A3807)&gt;0,1,0))</f>
        <v/>
      </c>
      <c r="P3807" s="16">
        <f t="shared" si="4"/>
        <v>0</v>
      </c>
    </row>
    <row r="3808" ht="15.75" customHeight="1">
      <c r="A3808" s="14">
        <v>41856.0</v>
      </c>
      <c r="B3808" s="15">
        <v>0.47</v>
      </c>
      <c r="C3808" s="15">
        <v>4.08</v>
      </c>
      <c r="D3808" s="15"/>
      <c r="E3808" s="15"/>
      <c r="F3808" s="15">
        <f t="shared" si="1"/>
        <v>3.61</v>
      </c>
      <c r="G3808" s="15">
        <f t="shared" si="2"/>
        <v>4.08</v>
      </c>
      <c r="H3808" s="16">
        <v>0.0</v>
      </c>
      <c r="I3808" s="15">
        <f t="shared" si="3"/>
        <v>3.61</v>
      </c>
      <c r="J3808" s="15">
        <v>16.87</v>
      </c>
      <c r="K3808" s="16">
        <f>IF(COUNTIFS(Release_Calendar!$A$2:$A$755,"US_CPI",Release_Calendar!$B$2:$B$755,$A3808)&gt;0,1,0)</f>
        <v>0</v>
      </c>
      <c r="L3808" s="16">
        <f>IF(COUNTIFS(Release_Calendar!$A$2:$A$755,"US_NFP",Release_Calendar!$B$2:$B$755,$A3808)&gt;0,1,0)</f>
        <v>0</v>
      </c>
      <c r="M3808" s="16" t="str">
        <f>IF($A3808&lt;Notes!$B$5,"",IF(COUNTIFS(Release_Calendar!$A$2:$A$755,"NZ_CPI",Release_Calendar!$B$2:$B$755,$A3808)&gt;0,1,0))</f>
        <v/>
      </c>
      <c r="N3808" s="16" t="str">
        <f>IF($A3808&lt;Notes!$B$5,"",IF(COUNTIFS(Release_Calendar!$A$2:$A$755,"NZ_GDP",Release_Calendar!$B$2:$B$755,$A3808)&gt;0,1,0))</f>
        <v/>
      </c>
      <c r="O3808" s="16" t="str">
        <f>IF($A3808&lt;Notes!$B$5,"",IF(COUNTIFS(Release_Calendar!$A$2:$A$755,"NZ_LABOUR",Release_Calendar!$B$2:$B$755,$A3808)&gt;0,1,0))</f>
        <v/>
      </c>
      <c r="P3808" s="16">
        <f t="shared" si="4"/>
        <v>0</v>
      </c>
    </row>
    <row r="3809" ht="15.75" customHeight="1">
      <c r="A3809" s="14">
        <v>41857.0</v>
      </c>
      <c r="B3809" s="15">
        <v>0.48</v>
      </c>
      <c r="C3809" s="15">
        <v>4.09</v>
      </c>
      <c r="D3809" s="15"/>
      <c r="E3809" s="15"/>
      <c r="F3809" s="15">
        <f t="shared" si="1"/>
        <v>3.61</v>
      </c>
      <c r="G3809" s="15">
        <f t="shared" si="2"/>
        <v>4.09</v>
      </c>
      <c r="H3809" s="16">
        <v>0.0</v>
      </c>
      <c r="I3809" s="15">
        <f t="shared" si="3"/>
        <v>3.61</v>
      </c>
      <c r="J3809" s="15">
        <v>16.37</v>
      </c>
      <c r="K3809" s="16">
        <f>IF(COUNTIFS(Release_Calendar!$A$2:$A$755,"US_CPI",Release_Calendar!$B$2:$B$755,$A3809)&gt;0,1,0)</f>
        <v>0</v>
      </c>
      <c r="L3809" s="16">
        <f>IF(COUNTIFS(Release_Calendar!$A$2:$A$755,"US_NFP",Release_Calendar!$B$2:$B$755,$A3809)&gt;0,1,0)</f>
        <v>0</v>
      </c>
      <c r="M3809" s="16" t="str">
        <f>IF($A3809&lt;Notes!$B$5,"",IF(COUNTIFS(Release_Calendar!$A$2:$A$755,"NZ_CPI",Release_Calendar!$B$2:$B$755,$A3809)&gt;0,1,0))</f>
        <v/>
      </c>
      <c r="N3809" s="16" t="str">
        <f>IF($A3809&lt;Notes!$B$5,"",IF(COUNTIFS(Release_Calendar!$A$2:$A$755,"NZ_GDP",Release_Calendar!$B$2:$B$755,$A3809)&gt;0,1,0))</f>
        <v/>
      </c>
      <c r="O3809" s="16" t="str">
        <f>IF($A3809&lt;Notes!$B$5,"",IF(COUNTIFS(Release_Calendar!$A$2:$A$755,"NZ_LABOUR",Release_Calendar!$B$2:$B$755,$A3809)&gt;0,1,0))</f>
        <v/>
      </c>
      <c r="P3809" s="16">
        <f t="shared" si="4"/>
        <v>0</v>
      </c>
    </row>
    <row r="3810" ht="15.75" customHeight="1">
      <c r="A3810" s="14">
        <v>41858.0</v>
      </c>
      <c r="B3810" s="15">
        <v>0.44</v>
      </c>
      <c r="C3810" s="15">
        <v>4.08</v>
      </c>
      <c r="D3810" s="15"/>
      <c r="E3810" s="15"/>
      <c r="F3810" s="15">
        <f t="shared" si="1"/>
        <v>3.64</v>
      </c>
      <c r="G3810" s="15">
        <f t="shared" si="2"/>
        <v>4.08</v>
      </c>
      <c r="H3810" s="16">
        <v>0.0</v>
      </c>
      <c r="I3810" s="15">
        <f t="shared" si="3"/>
        <v>3.64</v>
      </c>
      <c r="J3810" s="15">
        <v>16.66</v>
      </c>
      <c r="K3810" s="16">
        <f>IF(COUNTIFS(Release_Calendar!$A$2:$A$755,"US_CPI",Release_Calendar!$B$2:$B$755,$A3810)&gt;0,1,0)</f>
        <v>0</v>
      </c>
      <c r="L3810" s="16">
        <f>IF(COUNTIFS(Release_Calendar!$A$2:$A$755,"US_NFP",Release_Calendar!$B$2:$B$755,$A3810)&gt;0,1,0)</f>
        <v>0</v>
      </c>
      <c r="M3810" s="16" t="str">
        <f>IF($A3810&lt;Notes!$B$5,"",IF(COUNTIFS(Release_Calendar!$A$2:$A$755,"NZ_CPI",Release_Calendar!$B$2:$B$755,$A3810)&gt;0,1,0))</f>
        <v/>
      </c>
      <c r="N3810" s="16" t="str">
        <f>IF($A3810&lt;Notes!$B$5,"",IF(COUNTIFS(Release_Calendar!$A$2:$A$755,"NZ_GDP",Release_Calendar!$B$2:$B$755,$A3810)&gt;0,1,0))</f>
        <v/>
      </c>
      <c r="O3810" s="16" t="str">
        <f>IF($A3810&lt;Notes!$B$5,"",IF(COUNTIFS(Release_Calendar!$A$2:$A$755,"NZ_LABOUR",Release_Calendar!$B$2:$B$755,$A3810)&gt;0,1,0))</f>
        <v/>
      </c>
      <c r="P3810" s="16">
        <f t="shared" si="4"/>
        <v>0</v>
      </c>
    </row>
    <row r="3811" ht="15.75" customHeight="1">
      <c r="A3811" s="14">
        <v>41859.0</v>
      </c>
      <c r="B3811" s="15">
        <v>0.45</v>
      </c>
      <c r="C3811" s="15">
        <v>4.04</v>
      </c>
      <c r="D3811" s="15"/>
      <c r="E3811" s="15"/>
      <c r="F3811" s="15">
        <f t="shared" si="1"/>
        <v>3.59</v>
      </c>
      <c r="G3811" s="15">
        <f t="shared" si="2"/>
        <v>4.04</v>
      </c>
      <c r="H3811" s="16">
        <v>0.0</v>
      </c>
      <c r="I3811" s="15">
        <f t="shared" si="3"/>
        <v>3.59</v>
      </c>
      <c r="J3811" s="15">
        <v>15.77</v>
      </c>
      <c r="K3811" s="16">
        <f>IF(COUNTIFS(Release_Calendar!$A$2:$A$755,"US_CPI",Release_Calendar!$B$2:$B$755,$A3811)&gt;0,1,0)</f>
        <v>0</v>
      </c>
      <c r="L3811" s="16">
        <f>IF(COUNTIFS(Release_Calendar!$A$2:$A$755,"US_NFP",Release_Calendar!$B$2:$B$755,$A3811)&gt;0,1,0)</f>
        <v>0</v>
      </c>
      <c r="M3811" s="16" t="str">
        <f>IF($A3811&lt;Notes!$B$5,"",IF(COUNTIFS(Release_Calendar!$A$2:$A$755,"NZ_CPI",Release_Calendar!$B$2:$B$755,$A3811)&gt;0,1,0))</f>
        <v/>
      </c>
      <c r="N3811" s="16" t="str">
        <f>IF($A3811&lt;Notes!$B$5,"",IF(COUNTIFS(Release_Calendar!$A$2:$A$755,"NZ_GDP",Release_Calendar!$B$2:$B$755,$A3811)&gt;0,1,0))</f>
        <v/>
      </c>
      <c r="O3811" s="16" t="str">
        <f>IF($A3811&lt;Notes!$B$5,"",IF(COUNTIFS(Release_Calendar!$A$2:$A$755,"NZ_LABOUR",Release_Calendar!$B$2:$B$755,$A3811)&gt;0,1,0))</f>
        <v/>
      </c>
      <c r="P3811" s="16">
        <f t="shared" si="4"/>
        <v>0</v>
      </c>
    </row>
    <row r="3812" ht="15.75" customHeight="1">
      <c r="A3812" s="14">
        <v>41862.0</v>
      </c>
      <c r="B3812" s="15">
        <v>0.47</v>
      </c>
      <c r="C3812" s="15">
        <v>4.07</v>
      </c>
      <c r="D3812" s="15"/>
      <c r="E3812" s="15"/>
      <c r="F3812" s="15">
        <f t="shared" si="1"/>
        <v>3.6</v>
      </c>
      <c r="G3812" s="15">
        <f t="shared" si="2"/>
        <v>4.07</v>
      </c>
      <c r="H3812" s="16">
        <v>0.0</v>
      </c>
      <c r="I3812" s="15">
        <f t="shared" si="3"/>
        <v>3.6</v>
      </c>
      <c r="J3812" s="15">
        <v>14.23</v>
      </c>
      <c r="K3812" s="16">
        <f>IF(COUNTIFS(Release_Calendar!$A$2:$A$755,"US_CPI",Release_Calendar!$B$2:$B$755,$A3812)&gt;0,1,0)</f>
        <v>0</v>
      </c>
      <c r="L3812" s="16">
        <f>IF(COUNTIFS(Release_Calendar!$A$2:$A$755,"US_NFP",Release_Calendar!$B$2:$B$755,$A3812)&gt;0,1,0)</f>
        <v>0</v>
      </c>
      <c r="M3812" s="16" t="str">
        <f>IF($A3812&lt;Notes!$B$5,"",IF(COUNTIFS(Release_Calendar!$A$2:$A$755,"NZ_CPI",Release_Calendar!$B$2:$B$755,$A3812)&gt;0,1,0))</f>
        <v/>
      </c>
      <c r="N3812" s="16" t="str">
        <f>IF($A3812&lt;Notes!$B$5,"",IF(COUNTIFS(Release_Calendar!$A$2:$A$755,"NZ_GDP",Release_Calendar!$B$2:$B$755,$A3812)&gt;0,1,0))</f>
        <v/>
      </c>
      <c r="O3812" s="16" t="str">
        <f>IF($A3812&lt;Notes!$B$5,"",IF(COUNTIFS(Release_Calendar!$A$2:$A$755,"NZ_LABOUR",Release_Calendar!$B$2:$B$755,$A3812)&gt;0,1,0))</f>
        <v/>
      </c>
      <c r="P3812" s="16">
        <f t="shared" si="4"/>
        <v>0</v>
      </c>
    </row>
    <row r="3813" ht="15.75" customHeight="1">
      <c r="A3813" s="14">
        <v>41863.0</v>
      </c>
      <c r="B3813" s="15">
        <v>0.45</v>
      </c>
      <c r="C3813" s="15">
        <v>4.07</v>
      </c>
      <c r="D3813" s="15"/>
      <c r="E3813" s="15"/>
      <c r="F3813" s="15">
        <f t="shared" si="1"/>
        <v>3.62</v>
      </c>
      <c r="G3813" s="15">
        <f t="shared" si="2"/>
        <v>4.07</v>
      </c>
      <c r="H3813" s="16">
        <v>0.0</v>
      </c>
      <c r="I3813" s="15">
        <f t="shared" si="3"/>
        <v>3.62</v>
      </c>
      <c r="J3813" s="15">
        <v>14.13</v>
      </c>
      <c r="K3813" s="16">
        <f>IF(COUNTIFS(Release_Calendar!$A$2:$A$755,"US_CPI",Release_Calendar!$B$2:$B$755,$A3813)&gt;0,1,0)</f>
        <v>0</v>
      </c>
      <c r="L3813" s="16">
        <f>IF(COUNTIFS(Release_Calendar!$A$2:$A$755,"US_NFP",Release_Calendar!$B$2:$B$755,$A3813)&gt;0,1,0)</f>
        <v>0</v>
      </c>
      <c r="M3813" s="16" t="str">
        <f>IF($A3813&lt;Notes!$B$5,"",IF(COUNTIFS(Release_Calendar!$A$2:$A$755,"NZ_CPI",Release_Calendar!$B$2:$B$755,$A3813)&gt;0,1,0))</f>
        <v/>
      </c>
      <c r="N3813" s="16" t="str">
        <f>IF($A3813&lt;Notes!$B$5,"",IF(COUNTIFS(Release_Calendar!$A$2:$A$755,"NZ_GDP",Release_Calendar!$B$2:$B$755,$A3813)&gt;0,1,0))</f>
        <v/>
      </c>
      <c r="O3813" s="16" t="str">
        <f>IF($A3813&lt;Notes!$B$5,"",IF(COUNTIFS(Release_Calendar!$A$2:$A$755,"NZ_LABOUR",Release_Calendar!$B$2:$B$755,$A3813)&gt;0,1,0))</f>
        <v/>
      </c>
      <c r="P3813" s="16">
        <f t="shared" si="4"/>
        <v>0</v>
      </c>
    </row>
    <row r="3814" ht="15.75" customHeight="1">
      <c r="A3814" s="14">
        <v>41864.0</v>
      </c>
      <c r="B3814" s="15">
        <v>0.43</v>
      </c>
      <c r="C3814" s="15">
        <v>4.07</v>
      </c>
      <c r="D3814" s="15"/>
      <c r="E3814" s="15"/>
      <c r="F3814" s="15">
        <f t="shared" si="1"/>
        <v>3.64</v>
      </c>
      <c r="G3814" s="15">
        <f t="shared" si="2"/>
        <v>4.07</v>
      </c>
      <c r="H3814" s="16">
        <v>0.0</v>
      </c>
      <c r="I3814" s="15">
        <f t="shared" si="3"/>
        <v>3.64</v>
      </c>
      <c r="J3814" s="15">
        <v>12.9</v>
      </c>
      <c r="K3814" s="16">
        <f>IF(COUNTIFS(Release_Calendar!$A$2:$A$755,"US_CPI",Release_Calendar!$B$2:$B$755,$A3814)&gt;0,1,0)</f>
        <v>0</v>
      </c>
      <c r="L3814" s="16">
        <f>IF(COUNTIFS(Release_Calendar!$A$2:$A$755,"US_NFP",Release_Calendar!$B$2:$B$755,$A3814)&gt;0,1,0)</f>
        <v>0</v>
      </c>
      <c r="M3814" s="16" t="str">
        <f>IF($A3814&lt;Notes!$B$5,"",IF(COUNTIFS(Release_Calendar!$A$2:$A$755,"NZ_CPI",Release_Calendar!$B$2:$B$755,$A3814)&gt;0,1,0))</f>
        <v/>
      </c>
      <c r="N3814" s="16" t="str">
        <f>IF($A3814&lt;Notes!$B$5,"",IF(COUNTIFS(Release_Calendar!$A$2:$A$755,"NZ_GDP",Release_Calendar!$B$2:$B$755,$A3814)&gt;0,1,0))</f>
        <v/>
      </c>
      <c r="O3814" s="16" t="str">
        <f>IF($A3814&lt;Notes!$B$5,"",IF(COUNTIFS(Release_Calendar!$A$2:$A$755,"NZ_LABOUR",Release_Calendar!$B$2:$B$755,$A3814)&gt;0,1,0))</f>
        <v/>
      </c>
      <c r="P3814" s="16">
        <f t="shared" si="4"/>
        <v>0</v>
      </c>
    </row>
    <row r="3815" ht="15.75" customHeight="1">
      <c r="A3815" s="14">
        <v>41865.0</v>
      </c>
      <c r="B3815" s="15">
        <v>0.42</v>
      </c>
      <c r="C3815" s="15">
        <v>4.05</v>
      </c>
      <c r="D3815" s="15"/>
      <c r="E3815" s="15"/>
      <c r="F3815" s="15">
        <f t="shared" si="1"/>
        <v>3.63</v>
      </c>
      <c r="G3815" s="15">
        <f t="shared" si="2"/>
        <v>4.05</v>
      </c>
      <c r="H3815" s="16">
        <v>0.0</v>
      </c>
      <c r="I3815" s="15">
        <f t="shared" si="3"/>
        <v>3.63</v>
      </c>
      <c r="J3815" s="15">
        <v>12.42</v>
      </c>
      <c r="K3815" s="16">
        <f>IF(COUNTIFS(Release_Calendar!$A$2:$A$755,"US_CPI",Release_Calendar!$B$2:$B$755,$A3815)&gt;0,1,0)</f>
        <v>0</v>
      </c>
      <c r="L3815" s="16">
        <f>IF(COUNTIFS(Release_Calendar!$A$2:$A$755,"US_NFP",Release_Calendar!$B$2:$B$755,$A3815)&gt;0,1,0)</f>
        <v>0</v>
      </c>
      <c r="M3815" s="16" t="str">
        <f>IF($A3815&lt;Notes!$B$5,"",IF(COUNTIFS(Release_Calendar!$A$2:$A$755,"NZ_CPI",Release_Calendar!$B$2:$B$755,$A3815)&gt;0,1,0))</f>
        <v/>
      </c>
      <c r="N3815" s="16" t="str">
        <f>IF($A3815&lt;Notes!$B$5,"",IF(COUNTIFS(Release_Calendar!$A$2:$A$755,"NZ_GDP",Release_Calendar!$B$2:$B$755,$A3815)&gt;0,1,0))</f>
        <v/>
      </c>
      <c r="O3815" s="16" t="str">
        <f>IF($A3815&lt;Notes!$B$5,"",IF(COUNTIFS(Release_Calendar!$A$2:$A$755,"NZ_LABOUR",Release_Calendar!$B$2:$B$755,$A3815)&gt;0,1,0))</f>
        <v/>
      </c>
      <c r="P3815" s="16">
        <f t="shared" si="4"/>
        <v>0</v>
      </c>
    </row>
    <row r="3816" ht="15.75" customHeight="1">
      <c r="A3816" s="14">
        <v>41866.0</v>
      </c>
      <c r="B3816" s="15">
        <v>0.42</v>
      </c>
      <c r="C3816" s="15">
        <v>4.05</v>
      </c>
      <c r="D3816" s="15"/>
      <c r="E3816" s="15"/>
      <c r="F3816" s="15">
        <f t="shared" si="1"/>
        <v>3.63</v>
      </c>
      <c r="G3816" s="15">
        <f t="shared" si="2"/>
        <v>4.05</v>
      </c>
      <c r="H3816" s="16">
        <v>0.0</v>
      </c>
      <c r="I3816" s="15">
        <f t="shared" si="3"/>
        <v>3.63</v>
      </c>
      <c r="J3816" s="15">
        <v>13.15</v>
      </c>
      <c r="K3816" s="16">
        <f>IF(COUNTIFS(Release_Calendar!$A$2:$A$755,"US_CPI",Release_Calendar!$B$2:$B$755,$A3816)&gt;0,1,0)</f>
        <v>0</v>
      </c>
      <c r="L3816" s="16">
        <f>IF(COUNTIFS(Release_Calendar!$A$2:$A$755,"US_NFP",Release_Calendar!$B$2:$B$755,$A3816)&gt;0,1,0)</f>
        <v>0</v>
      </c>
      <c r="M3816" s="16" t="str">
        <f>IF($A3816&lt;Notes!$B$5,"",IF(COUNTIFS(Release_Calendar!$A$2:$A$755,"NZ_CPI",Release_Calendar!$B$2:$B$755,$A3816)&gt;0,1,0))</f>
        <v/>
      </c>
      <c r="N3816" s="16" t="str">
        <f>IF($A3816&lt;Notes!$B$5,"",IF(COUNTIFS(Release_Calendar!$A$2:$A$755,"NZ_GDP",Release_Calendar!$B$2:$B$755,$A3816)&gt;0,1,0))</f>
        <v/>
      </c>
      <c r="O3816" s="16" t="str">
        <f>IF($A3816&lt;Notes!$B$5,"",IF(COUNTIFS(Release_Calendar!$A$2:$A$755,"NZ_LABOUR",Release_Calendar!$B$2:$B$755,$A3816)&gt;0,1,0))</f>
        <v/>
      </c>
      <c r="P3816" s="16">
        <f t="shared" si="4"/>
        <v>0</v>
      </c>
    </row>
    <row r="3817" ht="15.75" customHeight="1">
      <c r="A3817" s="14">
        <v>41869.0</v>
      </c>
      <c r="B3817" s="15">
        <v>0.44</v>
      </c>
      <c r="C3817" s="15">
        <v>4.02</v>
      </c>
      <c r="D3817" s="15"/>
      <c r="E3817" s="15"/>
      <c r="F3817" s="15">
        <f t="shared" si="1"/>
        <v>3.58</v>
      </c>
      <c r="G3817" s="15">
        <f t="shared" si="2"/>
        <v>4.02</v>
      </c>
      <c r="H3817" s="16">
        <v>0.0</v>
      </c>
      <c r="I3817" s="15">
        <f t="shared" si="3"/>
        <v>3.58</v>
      </c>
      <c r="J3817" s="15">
        <v>12.32</v>
      </c>
      <c r="K3817" s="16">
        <f>IF(COUNTIFS(Release_Calendar!$A$2:$A$755,"US_CPI",Release_Calendar!$B$2:$B$755,$A3817)&gt;0,1,0)</f>
        <v>0</v>
      </c>
      <c r="L3817" s="16">
        <f>IF(COUNTIFS(Release_Calendar!$A$2:$A$755,"US_NFP",Release_Calendar!$B$2:$B$755,$A3817)&gt;0,1,0)</f>
        <v>0</v>
      </c>
      <c r="M3817" s="16" t="str">
        <f>IF($A3817&lt;Notes!$B$5,"",IF(COUNTIFS(Release_Calendar!$A$2:$A$755,"NZ_CPI",Release_Calendar!$B$2:$B$755,$A3817)&gt;0,1,0))</f>
        <v/>
      </c>
      <c r="N3817" s="16" t="str">
        <f>IF($A3817&lt;Notes!$B$5,"",IF(COUNTIFS(Release_Calendar!$A$2:$A$755,"NZ_GDP",Release_Calendar!$B$2:$B$755,$A3817)&gt;0,1,0))</f>
        <v/>
      </c>
      <c r="O3817" s="16" t="str">
        <f>IF($A3817&lt;Notes!$B$5,"",IF(COUNTIFS(Release_Calendar!$A$2:$A$755,"NZ_LABOUR",Release_Calendar!$B$2:$B$755,$A3817)&gt;0,1,0))</f>
        <v/>
      </c>
      <c r="P3817" s="16">
        <f t="shared" si="4"/>
        <v>0</v>
      </c>
    </row>
    <row r="3818" ht="15.75" customHeight="1">
      <c r="A3818" s="14">
        <v>41870.0</v>
      </c>
      <c r="B3818" s="15">
        <v>0.46</v>
      </c>
      <c r="C3818" s="15">
        <v>4.04</v>
      </c>
      <c r="D3818" s="15"/>
      <c r="E3818" s="15"/>
      <c r="F3818" s="15">
        <f t="shared" si="1"/>
        <v>3.58</v>
      </c>
      <c r="G3818" s="15">
        <f t="shared" si="2"/>
        <v>4.04</v>
      </c>
      <c r="H3818" s="16">
        <v>0.0</v>
      </c>
      <c r="I3818" s="15">
        <f t="shared" si="3"/>
        <v>3.58</v>
      </c>
      <c r="J3818" s="15">
        <v>12.21</v>
      </c>
      <c r="K3818" s="16">
        <f>IF(COUNTIFS(Release_Calendar!$A$2:$A$755,"US_CPI",Release_Calendar!$B$2:$B$755,$A3818)&gt;0,1,0)</f>
        <v>1</v>
      </c>
      <c r="L3818" s="16">
        <f>IF(COUNTIFS(Release_Calendar!$A$2:$A$755,"US_NFP",Release_Calendar!$B$2:$B$755,$A3818)&gt;0,1,0)</f>
        <v>0</v>
      </c>
      <c r="M3818" s="16" t="str">
        <f>IF($A3818&lt;Notes!$B$5,"",IF(COUNTIFS(Release_Calendar!$A$2:$A$755,"NZ_CPI",Release_Calendar!$B$2:$B$755,$A3818)&gt;0,1,0))</f>
        <v/>
      </c>
      <c r="N3818" s="16" t="str">
        <f>IF($A3818&lt;Notes!$B$5,"",IF(COUNTIFS(Release_Calendar!$A$2:$A$755,"NZ_GDP",Release_Calendar!$B$2:$B$755,$A3818)&gt;0,1,0))</f>
        <v/>
      </c>
      <c r="O3818" s="16" t="str">
        <f>IF($A3818&lt;Notes!$B$5,"",IF(COUNTIFS(Release_Calendar!$A$2:$A$755,"NZ_LABOUR",Release_Calendar!$B$2:$B$755,$A3818)&gt;0,1,0))</f>
        <v/>
      </c>
      <c r="P3818" s="16">
        <f t="shared" si="4"/>
        <v>1</v>
      </c>
    </row>
    <row r="3819" ht="15.75" customHeight="1">
      <c r="A3819" s="14">
        <v>41871.0</v>
      </c>
      <c r="B3819" s="15">
        <v>0.49</v>
      </c>
      <c r="C3819" s="15">
        <v>4.07</v>
      </c>
      <c r="D3819" s="15"/>
      <c r="E3819" s="15"/>
      <c r="F3819" s="15">
        <f t="shared" si="1"/>
        <v>3.58</v>
      </c>
      <c r="G3819" s="15">
        <f t="shared" si="2"/>
        <v>4.07</v>
      </c>
      <c r="H3819" s="16">
        <v>0.0</v>
      </c>
      <c r="I3819" s="15">
        <f t="shared" si="3"/>
        <v>3.58</v>
      </c>
      <c r="J3819" s="15">
        <v>11.78</v>
      </c>
      <c r="K3819" s="16">
        <f>IF(COUNTIFS(Release_Calendar!$A$2:$A$755,"US_CPI",Release_Calendar!$B$2:$B$755,$A3819)&gt;0,1,0)</f>
        <v>0</v>
      </c>
      <c r="L3819" s="16">
        <f>IF(COUNTIFS(Release_Calendar!$A$2:$A$755,"US_NFP",Release_Calendar!$B$2:$B$755,$A3819)&gt;0,1,0)</f>
        <v>0</v>
      </c>
      <c r="M3819" s="16" t="str">
        <f>IF($A3819&lt;Notes!$B$5,"",IF(COUNTIFS(Release_Calendar!$A$2:$A$755,"NZ_CPI",Release_Calendar!$B$2:$B$755,$A3819)&gt;0,1,0))</f>
        <v/>
      </c>
      <c r="N3819" s="16" t="str">
        <f>IF($A3819&lt;Notes!$B$5,"",IF(COUNTIFS(Release_Calendar!$A$2:$A$755,"NZ_GDP",Release_Calendar!$B$2:$B$755,$A3819)&gt;0,1,0))</f>
        <v/>
      </c>
      <c r="O3819" s="16" t="str">
        <f>IF($A3819&lt;Notes!$B$5,"",IF(COUNTIFS(Release_Calendar!$A$2:$A$755,"NZ_LABOUR",Release_Calendar!$B$2:$B$755,$A3819)&gt;0,1,0))</f>
        <v/>
      </c>
      <c r="P3819" s="16">
        <f t="shared" si="4"/>
        <v>0</v>
      </c>
    </row>
    <row r="3820" ht="15.75" customHeight="1">
      <c r="A3820" s="14">
        <v>41872.0</v>
      </c>
      <c r="B3820" s="15">
        <v>0.49</v>
      </c>
      <c r="C3820" s="15">
        <v>4.09</v>
      </c>
      <c r="D3820" s="15"/>
      <c r="E3820" s="15"/>
      <c r="F3820" s="15">
        <f t="shared" si="1"/>
        <v>3.6</v>
      </c>
      <c r="G3820" s="15">
        <f t="shared" si="2"/>
        <v>4.09</v>
      </c>
      <c r="H3820" s="16">
        <v>0.0</v>
      </c>
      <c r="I3820" s="15">
        <f t="shared" si="3"/>
        <v>3.6</v>
      </c>
      <c r="J3820" s="15">
        <v>11.76</v>
      </c>
      <c r="K3820" s="16">
        <f>IF(COUNTIFS(Release_Calendar!$A$2:$A$755,"US_CPI",Release_Calendar!$B$2:$B$755,$A3820)&gt;0,1,0)</f>
        <v>0</v>
      </c>
      <c r="L3820" s="16">
        <f>IF(COUNTIFS(Release_Calendar!$A$2:$A$755,"US_NFP",Release_Calendar!$B$2:$B$755,$A3820)&gt;0,1,0)</f>
        <v>0</v>
      </c>
      <c r="M3820" s="16" t="str">
        <f>IF($A3820&lt;Notes!$B$5,"",IF(COUNTIFS(Release_Calendar!$A$2:$A$755,"NZ_CPI",Release_Calendar!$B$2:$B$755,$A3820)&gt;0,1,0))</f>
        <v/>
      </c>
      <c r="N3820" s="16" t="str">
        <f>IF($A3820&lt;Notes!$B$5,"",IF(COUNTIFS(Release_Calendar!$A$2:$A$755,"NZ_GDP",Release_Calendar!$B$2:$B$755,$A3820)&gt;0,1,0))</f>
        <v/>
      </c>
      <c r="O3820" s="16" t="str">
        <f>IF($A3820&lt;Notes!$B$5,"",IF(COUNTIFS(Release_Calendar!$A$2:$A$755,"NZ_LABOUR",Release_Calendar!$B$2:$B$755,$A3820)&gt;0,1,0))</f>
        <v/>
      </c>
      <c r="P3820" s="16">
        <f t="shared" si="4"/>
        <v>0</v>
      </c>
    </row>
    <row r="3821" ht="15.75" customHeight="1">
      <c r="A3821" s="14">
        <v>41873.0</v>
      </c>
      <c r="B3821" s="15">
        <v>0.53</v>
      </c>
      <c r="C3821" s="15">
        <v>4.09</v>
      </c>
      <c r="D3821" s="15"/>
      <c r="E3821" s="15"/>
      <c r="F3821" s="15">
        <f t="shared" si="1"/>
        <v>3.56</v>
      </c>
      <c r="G3821" s="15">
        <f t="shared" si="2"/>
        <v>4.09</v>
      </c>
      <c r="H3821" s="16">
        <v>0.0</v>
      </c>
      <c r="I3821" s="15">
        <f t="shared" si="3"/>
        <v>3.56</v>
      </c>
      <c r="J3821" s="15">
        <v>11.47</v>
      </c>
      <c r="K3821" s="16">
        <f>IF(COUNTIFS(Release_Calendar!$A$2:$A$755,"US_CPI",Release_Calendar!$B$2:$B$755,$A3821)&gt;0,1,0)</f>
        <v>0</v>
      </c>
      <c r="L3821" s="16">
        <f>IF(COUNTIFS(Release_Calendar!$A$2:$A$755,"US_NFP",Release_Calendar!$B$2:$B$755,$A3821)&gt;0,1,0)</f>
        <v>0</v>
      </c>
      <c r="M3821" s="16" t="str">
        <f>IF($A3821&lt;Notes!$B$5,"",IF(COUNTIFS(Release_Calendar!$A$2:$A$755,"NZ_CPI",Release_Calendar!$B$2:$B$755,$A3821)&gt;0,1,0))</f>
        <v/>
      </c>
      <c r="N3821" s="16" t="str">
        <f>IF($A3821&lt;Notes!$B$5,"",IF(COUNTIFS(Release_Calendar!$A$2:$A$755,"NZ_GDP",Release_Calendar!$B$2:$B$755,$A3821)&gt;0,1,0))</f>
        <v/>
      </c>
      <c r="O3821" s="16" t="str">
        <f>IF($A3821&lt;Notes!$B$5,"",IF(COUNTIFS(Release_Calendar!$A$2:$A$755,"NZ_LABOUR",Release_Calendar!$B$2:$B$755,$A3821)&gt;0,1,0))</f>
        <v/>
      </c>
      <c r="P3821" s="16">
        <f t="shared" si="4"/>
        <v>0</v>
      </c>
    </row>
    <row r="3822" ht="15.75" customHeight="1">
      <c r="A3822" s="14">
        <v>41876.0</v>
      </c>
      <c r="B3822" s="15">
        <v>0.53</v>
      </c>
      <c r="C3822" s="15">
        <v>4.07</v>
      </c>
      <c r="D3822" s="15"/>
      <c r="E3822" s="15"/>
      <c r="F3822" s="15">
        <f t="shared" si="1"/>
        <v>3.54</v>
      </c>
      <c r="G3822" s="15">
        <f t="shared" si="2"/>
        <v>4.07</v>
      </c>
      <c r="H3822" s="16">
        <v>0.0</v>
      </c>
      <c r="I3822" s="15">
        <f t="shared" si="3"/>
        <v>3.54</v>
      </c>
      <c r="J3822" s="15">
        <v>11.7</v>
      </c>
      <c r="K3822" s="16">
        <f>IF(COUNTIFS(Release_Calendar!$A$2:$A$755,"US_CPI",Release_Calendar!$B$2:$B$755,$A3822)&gt;0,1,0)</f>
        <v>0</v>
      </c>
      <c r="L3822" s="16">
        <f>IF(COUNTIFS(Release_Calendar!$A$2:$A$755,"US_NFP",Release_Calendar!$B$2:$B$755,$A3822)&gt;0,1,0)</f>
        <v>0</v>
      </c>
      <c r="M3822" s="16" t="str">
        <f>IF($A3822&lt;Notes!$B$5,"",IF(COUNTIFS(Release_Calendar!$A$2:$A$755,"NZ_CPI",Release_Calendar!$B$2:$B$755,$A3822)&gt;0,1,0))</f>
        <v/>
      </c>
      <c r="N3822" s="16" t="str">
        <f>IF($A3822&lt;Notes!$B$5,"",IF(COUNTIFS(Release_Calendar!$A$2:$A$755,"NZ_GDP",Release_Calendar!$B$2:$B$755,$A3822)&gt;0,1,0))</f>
        <v/>
      </c>
      <c r="O3822" s="16" t="str">
        <f>IF($A3822&lt;Notes!$B$5,"",IF(COUNTIFS(Release_Calendar!$A$2:$A$755,"NZ_LABOUR",Release_Calendar!$B$2:$B$755,$A3822)&gt;0,1,0))</f>
        <v/>
      </c>
      <c r="P3822" s="16">
        <f t="shared" si="4"/>
        <v>0</v>
      </c>
    </row>
    <row r="3823" ht="15.75" customHeight="1">
      <c r="A3823" s="14">
        <v>41877.0</v>
      </c>
      <c r="B3823" s="15">
        <v>0.52</v>
      </c>
      <c r="C3823" s="15">
        <v>4.03</v>
      </c>
      <c r="D3823" s="15"/>
      <c r="E3823" s="15"/>
      <c r="F3823" s="15">
        <f t="shared" si="1"/>
        <v>3.51</v>
      </c>
      <c r="G3823" s="15">
        <f t="shared" si="2"/>
        <v>4.03</v>
      </c>
      <c r="H3823" s="16">
        <v>0.0</v>
      </c>
      <c r="I3823" s="15">
        <f t="shared" si="3"/>
        <v>3.51</v>
      </c>
      <c r="J3823" s="15">
        <v>11.63</v>
      </c>
      <c r="K3823" s="16">
        <f>IF(COUNTIFS(Release_Calendar!$A$2:$A$755,"US_CPI",Release_Calendar!$B$2:$B$755,$A3823)&gt;0,1,0)</f>
        <v>0</v>
      </c>
      <c r="L3823" s="16">
        <f>IF(COUNTIFS(Release_Calendar!$A$2:$A$755,"US_NFP",Release_Calendar!$B$2:$B$755,$A3823)&gt;0,1,0)</f>
        <v>0</v>
      </c>
      <c r="M3823" s="16" t="str">
        <f>IF($A3823&lt;Notes!$B$5,"",IF(COUNTIFS(Release_Calendar!$A$2:$A$755,"NZ_CPI",Release_Calendar!$B$2:$B$755,$A3823)&gt;0,1,0))</f>
        <v/>
      </c>
      <c r="N3823" s="16" t="str">
        <f>IF($A3823&lt;Notes!$B$5,"",IF(COUNTIFS(Release_Calendar!$A$2:$A$755,"NZ_GDP",Release_Calendar!$B$2:$B$755,$A3823)&gt;0,1,0))</f>
        <v/>
      </c>
      <c r="O3823" s="16" t="str">
        <f>IF($A3823&lt;Notes!$B$5,"",IF(COUNTIFS(Release_Calendar!$A$2:$A$755,"NZ_LABOUR",Release_Calendar!$B$2:$B$755,$A3823)&gt;0,1,0))</f>
        <v/>
      </c>
      <c r="P3823" s="16">
        <f t="shared" si="4"/>
        <v>0</v>
      </c>
    </row>
    <row r="3824" ht="15.75" customHeight="1">
      <c r="A3824" s="14">
        <v>41878.0</v>
      </c>
      <c r="B3824" s="15">
        <v>0.51</v>
      </c>
      <c r="C3824" s="15">
        <v>4.04</v>
      </c>
      <c r="D3824" s="15"/>
      <c r="E3824" s="15"/>
      <c r="F3824" s="15">
        <f t="shared" si="1"/>
        <v>3.53</v>
      </c>
      <c r="G3824" s="15">
        <f t="shared" si="2"/>
        <v>4.04</v>
      </c>
      <c r="H3824" s="16">
        <v>0.0</v>
      </c>
      <c r="I3824" s="15">
        <f t="shared" si="3"/>
        <v>3.53</v>
      </c>
      <c r="J3824" s="15">
        <v>11.78</v>
      </c>
      <c r="K3824" s="16">
        <f>IF(COUNTIFS(Release_Calendar!$A$2:$A$755,"US_CPI",Release_Calendar!$B$2:$B$755,$A3824)&gt;0,1,0)</f>
        <v>0</v>
      </c>
      <c r="L3824" s="16">
        <f>IF(COUNTIFS(Release_Calendar!$A$2:$A$755,"US_NFP",Release_Calendar!$B$2:$B$755,$A3824)&gt;0,1,0)</f>
        <v>0</v>
      </c>
      <c r="M3824" s="16" t="str">
        <f>IF($A3824&lt;Notes!$B$5,"",IF(COUNTIFS(Release_Calendar!$A$2:$A$755,"NZ_CPI",Release_Calendar!$B$2:$B$755,$A3824)&gt;0,1,0))</f>
        <v/>
      </c>
      <c r="N3824" s="16" t="str">
        <f>IF($A3824&lt;Notes!$B$5,"",IF(COUNTIFS(Release_Calendar!$A$2:$A$755,"NZ_GDP",Release_Calendar!$B$2:$B$755,$A3824)&gt;0,1,0))</f>
        <v/>
      </c>
      <c r="O3824" s="16" t="str">
        <f>IF($A3824&lt;Notes!$B$5,"",IF(COUNTIFS(Release_Calendar!$A$2:$A$755,"NZ_LABOUR",Release_Calendar!$B$2:$B$755,$A3824)&gt;0,1,0))</f>
        <v/>
      </c>
      <c r="P3824" s="16">
        <f t="shared" si="4"/>
        <v>0</v>
      </c>
    </row>
    <row r="3825" ht="15.75" customHeight="1">
      <c r="A3825" s="14">
        <v>41879.0</v>
      </c>
      <c r="B3825" s="15">
        <v>0.5</v>
      </c>
      <c r="C3825" s="15">
        <v>4.06</v>
      </c>
      <c r="D3825" s="15"/>
      <c r="E3825" s="15"/>
      <c r="F3825" s="15">
        <f t="shared" si="1"/>
        <v>3.56</v>
      </c>
      <c r="G3825" s="15">
        <f t="shared" si="2"/>
        <v>4.06</v>
      </c>
      <c r="H3825" s="16">
        <v>0.0</v>
      </c>
      <c r="I3825" s="15">
        <f t="shared" si="3"/>
        <v>3.56</v>
      </c>
      <c r="J3825" s="15">
        <v>12.05</v>
      </c>
      <c r="K3825" s="16">
        <f>IF(COUNTIFS(Release_Calendar!$A$2:$A$755,"US_CPI",Release_Calendar!$B$2:$B$755,$A3825)&gt;0,1,0)</f>
        <v>0</v>
      </c>
      <c r="L3825" s="16">
        <f>IF(COUNTIFS(Release_Calendar!$A$2:$A$755,"US_NFP",Release_Calendar!$B$2:$B$755,$A3825)&gt;0,1,0)</f>
        <v>0</v>
      </c>
      <c r="M3825" s="16" t="str">
        <f>IF($A3825&lt;Notes!$B$5,"",IF(COUNTIFS(Release_Calendar!$A$2:$A$755,"NZ_CPI",Release_Calendar!$B$2:$B$755,$A3825)&gt;0,1,0))</f>
        <v/>
      </c>
      <c r="N3825" s="16" t="str">
        <f>IF($A3825&lt;Notes!$B$5,"",IF(COUNTIFS(Release_Calendar!$A$2:$A$755,"NZ_GDP",Release_Calendar!$B$2:$B$755,$A3825)&gt;0,1,0))</f>
        <v/>
      </c>
      <c r="O3825" s="16" t="str">
        <f>IF($A3825&lt;Notes!$B$5,"",IF(COUNTIFS(Release_Calendar!$A$2:$A$755,"NZ_LABOUR",Release_Calendar!$B$2:$B$755,$A3825)&gt;0,1,0))</f>
        <v/>
      </c>
      <c r="P3825" s="16">
        <f t="shared" si="4"/>
        <v>0</v>
      </c>
    </row>
    <row r="3826" ht="15.75" customHeight="1">
      <c r="A3826" s="14">
        <v>41880.0</v>
      </c>
      <c r="B3826" s="15">
        <v>0.48</v>
      </c>
      <c r="C3826" s="15">
        <v>4.07</v>
      </c>
      <c r="D3826" s="15"/>
      <c r="E3826" s="15"/>
      <c r="F3826" s="15">
        <f t="shared" si="1"/>
        <v>3.59</v>
      </c>
      <c r="G3826" s="15">
        <f t="shared" si="2"/>
        <v>4.07</v>
      </c>
      <c r="H3826" s="16">
        <v>0.0</v>
      </c>
      <c r="I3826" s="15">
        <f t="shared" si="3"/>
        <v>3.59</v>
      </c>
      <c r="J3826" s="15">
        <v>11.98</v>
      </c>
      <c r="K3826" s="16">
        <f>IF(COUNTIFS(Release_Calendar!$A$2:$A$755,"US_CPI",Release_Calendar!$B$2:$B$755,$A3826)&gt;0,1,0)</f>
        <v>0</v>
      </c>
      <c r="L3826" s="16">
        <f>IF(COUNTIFS(Release_Calendar!$A$2:$A$755,"US_NFP",Release_Calendar!$B$2:$B$755,$A3826)&gt;0,1,0)</f>
        <v>0</v>
      </c>
      <c r="M3826" s="16" t="str">
        <f>IF($A3826&lt;Notes!$B$5,"",IF(COUNTIFS(Release_Calendar!$A$2:$A$755,"NZ_CPI",Release_Calendar!$B$2:$B$755,$A3826)&gt;0,1,0))</f>
        <v/>
      </c>
      <c r="N3826" s="16" t="str">
        <f>IF($A3826&lt;Notes!$B$5,"",IF(COUNTIFS(Release_Calendar!$A$2:$A$755,"NZ_GDP",Release_Calendar!$B$2:$B$755,$A3826)&gt;0,1,0))</f>
        <v/>
      </c>
      <c r="O3826" s="16" t="str">
        <f>IF($A3826&lt;Notes!$B$5,"",IF(COUNTIFS(Release_Calendar!$A$2:$A$755,"NZ_LABOUR",Release_Calendar!$B$2:$B$755,$A3826)&gt;0,1,0))</f>
        <v/>
      </c>
      <c r="P3826" s="16">
        <f t="shared" si="4"/>
        <v>0</v>
      </c>
    </row>
    <row r="3827" ht="15.75" customHeight="1">
      <c r="A3827" s="14">
        <v>41883.0</v>
      </c>
      <c r="B3827" s="15"/>
      <c r="C3827" s="15">
        <v>4.08</v>
      </c>
      <c r="D3827" s="15"/>
      <c r="E3827" s="15"/>
      <c r="F3827" s="15" t="str">
        <f t="shared" si="1"/>
        <v/>
      </c>
      <c r="G3827" s="15">
        <f t="shared" si="2"/>
        <v>4.08</v>
      </c>
      <c r="H3827" s="16">
        <v>0.0</v>
      </c>
      <c r="I3827" s="15" t="str">
        <f t="shared" si="3"/>
        <v/>
      </c>
      <c r="J3827" s="15"/>
      <c r="K3827" s="16">
        <f>IF(COUNTIFS(Release_Calendar!$A$2:$A$755,"US_CPI",Release_Calendar!$B$2:$B$755,$A3827)&gt;0,1,0)</f>
        <v>0</v>
      </c>
      <c r="L3827" s="16">
        <f>IF(COUNTIFS(Release_Calendar!$A$2:$A$755,"US_NFP",Release_Calendar!$B$2:$B$755,$A3827)&gt;0,1,0)</f>
        <v>0</v>
      </c>
      <c r="M3827" s="16" t="str">
        <f>IF($A3827&lt;Notes!$B$5,"",IF(COUNTIFS(Release_Calendar!$A$2:$A$755,"NZ_CPI",Release_Calendar!$B$2:$B$755,$A3827)&gt;0,1,0))</f>
        <v/>
      </c>
      <c r="N3827" s="16" t="str">
        <f>IF($A3827&lt;Notes!$B$5,"",IF(COUNTIFS(Release_Calendar!$A$2:$A$755,"NZ_GDP",Release_Calendar!$B$2:$B$755,$A3827)&gt;0,1,0))</f>
        <v/>
      </c>
      <c r="O3827" s="16" t="str">
        <f>IF($A3827&lt;Notes!$B$5,"",IF(COUNTIFS(Release_Calendar!$A$2:$A$755,"NZ_LABOUR",Release_Calendar!$B$2:$B$755,$A3827)&gt;0,1,0))</f>
        <v/>
      </c>
      <c r="P3827" s="16">
        <f t="shared" si="4"/>
        <v>0</v>
      </c>
    </row>
    <row r="3828" ht="15.75" customHeight="1">
      <c r="A3828" s="14">
        <v>41884.0</v>
      </c>
      <c r="B3828" s="15">
        <v>0.53</v>
      </c>
      <c r="C3828" s="15">
        <v>4.07</v>
      </c>
      <c r="D3828" s="15"/>
      <c r="E3828" s="15"/>
      <c r="F3828" s="15">
        <f t="shared" si="1"/>
        <v>3.54</v>
      </c>
      <c r="G3828" s="15">
        <f t="shared" si="2"/>
        <v>4.07</v>
      </c>
      <c r="H3828" s="16">
        <v>0.0</v>
      </c>
      <c r="I3828" s="15">
        <f t="shared" si="3"/>
        <v>3.54</v>
      </c>
      <c r="J3828" s="15">
        <v>12.25</v>
      </c>
      <c r="K3828" s="16">
        <f>IF(COUNTIFS(Release_Calendar!$A$2:$A$755,"US_CPI",Release_Calendar!$B$2:$B$755,$A3828)&gt;0,1,0)</f>
        <v>0</v>
      </c>
      <c r="L3828" s="16">
        <f>IF(COUNTIFS(Release_Calendar!$A$2:$A$755,"US_NFP",Release_Calendar!$B$2:$B$755,$A3828)&gt;0,1,0)</f>
        <v>0</v>
      </c>
      <c r="M3828" s="16" t="str">
        <f>IF($A3828&lt;Notes!$B$5,"",IF(COUNTIFS(Release_Calendar!$A$2:$A$755,"NZ_CPI",Release_Calendar!$B$2:$B$755,$A3828)&gt;0,1,0))</f>
        <v/>
      </c>
      <c r="N3828" s="16" t="str">
        <f>IF($A3828&lt;Notes!$B$5,"",IF(COUNTIFS(Release_Calendar!$A$2:$A$755,"NZ_GDP",Release_Calendar!$B$2:$B$755,$A3828)&gt;0,1,0))</f>
        <v/>
      </c>
      <c r="O3828" s="16" t="str">
        <f>IF($A3828&lt;Notes!$B$5,"",IF(COUNTIFS(Release_Calendar!$A$2:$A$755,"NZ_LABOUR",Release_Calendar!$B$2:$B$755,$A3828)&gt;0,1,0))</f>
        <v/>
      </c>
      <c r="P3828" s="16">
        <f t="shared" si="4"/>
        <v>0</v>
      </c>
    </row>
    <row r="3829" ht="15.75" customHeight="1">
      <c r="A3829" s="14">
        <v>41885.0</v>
      </c>
      <c r="B3829" s="15">
        <v>0.52</v>
      </c>
      <c r="C3829" s="15">
        <v>4.08</v>
      </c>
      <c r="D3829" s="15"/>
      <c r="E3829" s="15"/>
      <c r="F3829" s="15">
        <f t="shared" si="1"/>
        <v>3.56</v>
      </c>
      <c r="G3829" s="15">
        <f t="shared" si="2"/>
        <v>4.08</v>
      </c>
      <c r="H3829" s="16">
        <v>0.0</v>
      </c>
      <c r="I3829" s="15">
        <f t="shared" si="3"/>
        <v>3.56</v>
      </c>
      <c r="J3829" s="15">
        <v>12.36</v>
      </c>
      <c r="K3829" s="16">
        <f>IF(COUNTIFS(Release_Calendar!$A$2:$A$755,"US_CPI",Release_Calendar!$B$2:$B$755,$A3829)&gt;0,1,0)</f>
        <v>0</v>
      </c>
      <c r="L3829" s="16">
        <f>IF(COUNTIFS(Release_Calendar!$A$2:$A$755,"US_NFP",Release_Calendar!$B$2:$B$755,$A3829)&gt;0,1,0)</f>
        <v>0</v>
      </c>
      <c r="M3829" s="16" t="str">
        <f>IF($A3829&lt;Notes!$B$5,"",IF(COUNTIFS(Release_Calendar!$A$2:$A$755,"NZ_CPI",Release_Calendar!$B$2:$B$755,$A3829)&gt;0,1,0))</f>
        <v/>
      </c>
      <c r="N3829" s="16" t="str">
        <f>IF($A3829&lt;Notes!$B$5,"",IF(COUNTIFS(Release_Calendar!$A$2:$A$755,"NZ_GDP",Release_Calendar!$B$2:$B$755,$A3829)&gt;0,1,0))</f>
        <v/>
      </c>
      <c r="O3829" s="16" t="str">
        <f>IF($A3829&lt;Notes!$B$5,"",IF(COUNTIFS(Release_Calendar!$A$2:$A$755,"NZ_LABOUR",Release_Calendar!$B$2:$B$755,$A3829)&gt;0,1,0))</f>
        <v/>
      </c>
      <c r="P3829" s="16">
        <f t="shared" si="4"/>
        <v>0</v>
      </c>
    </row>
    <row r="3830" ht="15.75" customHeight="1">
      <c r="A3830" s="14">
        <v>41886.0</v>
      </c>
      <c r="B3830" s="15">
        <v>0.54</v>
      </c>
      <c r="C3830" s="15">
        <v>4.08</v>
      </c>
      <c r="D3830" s="15"/>
      <c r="E3830" s="15"/>
      <c r="F3830" s="15">
        <f t="shared" si="1"/>
        <v>3.54</v>
      </c>
      <c r="G3830" s="15">
        <f t="shared" si="2"/>
        <v>4.08</v>
      </c>
      <c r="H3830" s="16">
        <v>0.0</v>
      </c>
      <c r="I3830" s="15">
        <f t="shared" si="3"/>
        <v>3.54</v>
      </c>
      <c r="J3830" s="15">
        <v>12.64</v>
      </c>
      <c r="K3830" s="16">
        <f>IF(COUNTIFS(Release_Calendar!$A$2:$A$755,"US_CPI",Release_Calendar!$B$2:$B$755,$A3830)&gt;0,1,0)</f>
        <v>0</v>
      </c>
      <c r="L3830" s="16">
        <f>IF(COUNTIFS(Release_Calendar!$A$2:$A$755,"US_NFP",Release_Calendar!$B$2:$B$755,$A3830)&gt;0,1,0)</f>
        <v>0</v>
      </c>
      <c r="M3830" s="16" t="str">
        <f>IF($A3830&lt;Notes!$B$5,"",IF(COUNTIFS(Release_Calendar!$A$2:$A$755,"NZ_CPI",Release_Calendar!$B$2:$B$755,$A3830)&gt;0,1,0))</f>
        <v/>
      </c>
      <c r="N3830" s="16" t="str">
        <f>IF($A3830&lt;Notes!$B$5,"",IF(COUNTIFS(Release_Calendar!$A$2:$A$755,"NZ_GDP",Release_Calendar!$B$2:$B$755,$A3830)&gt;0,1,0))</f>
        <v/>
      </c>
      <c r="O3830" s="16" t="str">
        <f>IF($A3830&lt;Notes!$B$5,"",IF(COUNTIFS(Release_Calendar!$A$2:$A$755,"NZ_LABOUR",Release_Calendar!$B$2:$B$755,$A3830)&gt;0,1,0))</f>
        <v/>
      </c>
      <c r="P3830" s="16">
        <f t="shared" si="4"/>
        <v>0</v>
      </c>
    </row>
    <row r="3831" ht="15.75" customHeight="1">
      <c r="A3831" s="14">
        <v>41887.0</v>
      </c>
      <c r="B3831" s="15">
        <v>0.52</v>
      </c>
      <c r="C3831" s="15">
        <v>4.08</v>
      </c>
      <c r="D3831" s="15"/>
      <c r="E3831" s="15"/>
      <c r="F3831" s="15">
        <f t="shared" si="1"/>
        <v>3.56</v>
      </c>
      <c r="G3831" s="15">
        <f t="shared" si="2"/>
        <v>4.08</v>
      </c>
      <c r="H3831" s="16">
        <v>0.0</v>
      </c>
      <c r="I3831" s="15">
        <f t="shared" si="3"/>
        <v>3.56</v>
      </c>
      <c r="J3831" s="15">
        <v>12.09</v>
      </c>
      <c r="K3831" s="16">
        <f>IF(COUNTIFS(Release_Calendar!$A$2:$A$755,"US_CPI",Release_Calendar!$B$2:$B$755,$A3831)&gt;0,1,0)</f>
        <v>0</v>
      </c>
      <c r="L3831" s="16">
        <f>IF(COUNTIFS(Release_Calendar!$A$2:$A$755,"US_NFP",Release_Calendar!$B$2:$B$755,$A3831)&gt;0,1,0)</f>
        <v>1</v>
      </c>
      <c r="M3831" s="16" t="str">
        <f>IF($A3831&lt;Notes!$B$5,"",IF(COUNTIFS(Release_Calendar!$A$2:$A$755,"NZ_CPI",Release_Calendar!$B$2:$B$755,$A3831)&gt;0,1,0))</f>
        <v/>
      </c>
      <c r="N3831" s="16" t="str">
        <f>IF($A3831&lt;Notes!$B$5,"",IF(COUNTIFS(Release_Calendar!$A$2:$A$755,"NZ_GDP",Release_Calendar!$B$2:$B$755,$A3831)&gt;0,1,0))</f>
        <v/>
      </c>
      <c r="O3831" s="16" t="str">
        <f>IF($A3831&lt;Notes!$B$5,"",IF(COUNTIFS(Release_Calendar!$A$2:$A$755,"NZ_LABOUR",Release_Calendar!$B$2:$B$755,$A3831)&gt;0,1,0))</f>
        <v/>
      </c>
      <c r="P3831" s="16">
        <f t="shared" si="4"/>
        <v>1</v>
      </c>
    </row>
    <row r="3832" ht="15.75" customHeight="1">
      <c r="A3832" s="14">
        <v>41890.0</v>
      </c>
      <c r="B3832" s="15">
        <v>0.54</v>
      </c>
      <c r="C3832" s="15">
        <v>4.07</v>
      </c>
      <c r="D3832" s="15"/>
      <c r="E3832" s="15"/>
      <c r="F3832" s="15">
        <f t="shared" si="1"/>
        <v>3.53</v>
      </c>
      <c r="G3832" s="15">
        <f t="shared" si="2"/>
        <v>4.07</v>
      </c>
      <c r="H3832" s="16">
        <v>0.0</v>
      </c>
      <c r="I3832" s="15">
        <f t="shared" si="3"/>
        <v>3.53</v>
      </c>
      <c r="J3832" s="15">
        <v>12.66</v>
      </c>
      <c r="K3832" s="16">
        <f>IF(COUNTIFS(Release_Calendar!$A$2:$A$755,"US_CPI",Release_Calendar!$B$2:$B$755,$A3832)&gt;0,1,0)</f>
        <v>0</v>
      </c>
      <c r="L3832" s="16">
        <f>IF(COUNTIFS(Release_Calendar!$A$2:$A$755,"US_NFP",Release_Calendar!$B$2:$B$755,$A3832)&gt;0,1,0)</f>
        <v>0</v>
      </c>
      <c r="M3832" s="16" t="str">
        <f>IF($A3832&lt;Notes!$B$5,"",IF(COUNTIFS(Release_Calendar!$A$2:$A$755,"NZ_CPI",Release_Calendar!$B$2:$B$755,$A3832)&gt;0,1,0))</f>
        <v/>
      </c>
      <c r="N3832" s="16" t="str">
        <f>IF($A3832&lt;Notes!$B$5,"",IF(COUNTIFS(Release_Calendar!$A$2:$A$755,"NZ_GDP",Release_Calendar!$B$2:$B$755,$A3832)&gt;0,1,0))</f>
        <v/>
      </c>
      <c r="O3832" s="16" t="str">
        <f>IF($A3832&lt;Notes!$B$5,"",IF(COUNTIFS(Release_Calendar!$A$2:$A$755,"NZ_LABOUR",Release_Calendar!$B$2:$B$755,$A3832)&gt;0,1,0))</f>
        <v/>
      </c>
      <c r="P3832" s="16">
        <f t="shared" si="4"/>
        <v>0</v>
      </c>
    </row>
    <row r="3833" ht="15.75" customHeight="1">
      <c r="A3833" s="14">
        <v>41891.0</v>
      </c>
      <c r="B3833" s="15">
        <v>0.56</v>
      </c>
      <c r="C3833" s="15">
        <v>4.09</v>
      </c>
      <c r="D3833" s="15"/>
      <c r="E3833" s="15"/>
      <c r="F3833" s="15">
        <f t="shared" si="1"/>
        <v>3.53</v>
      </c>
      <c r="G3833" s="15">
        <f t="shared" si="2"/>
        <v>4.09</v>
      </c>
      <c r="H3833" s="16">
        <v>0.0</v>
      </c>
      <c r="I3833" s="15">
        <f t="shared" si="3"/>
        <v>3.53</v>
      </c>
      <c r="J3833" s="15">
        <v>13.5</v>
      </c>
      <c r="K3833" s="16">
        <f>IF(COUNTIFS(Release_Calendar!$A$2:$A$755,"US_CPI",Release_Calendar!$B$2:$B$755,$A3833)&gt;0,1,0)</f>
        <v>0</v>
      </c>
      <c r="L3833" s="16">
        <f>IF(COUNTIFS(Release_Calendar!$A$2:$A$755,"US_NFP",Release_Calendar!$B$2:$B$755,$A3833)&gt;0,1,0)</f>
        <v>0</v>
      </c>
      <c r="M3833" s="16" t="str">
        <f>IF($A3833&lt;Notes!$B$5,"",IF(COUNTIFS(Release_Calendar!$A$2:$A$755,"NZ_CPI",Release_Calendar!$B$2:$B$755,$A3833)&gt;0,1,0))</f>
        <v/>
      </c>
      <c r="N3833" s="16" t="str">
        <f>IF($A3833&lt;Notes!$B$5,"",IF(COUNTIFS(Release_Calendar!$A$2:$A$755,"NZ_GDP",Release_Calendar!$B$2:$B$755,$A3833)&gt;0,1,0))</f>
        <v/>
      </c>
      <c r="O3833" s="16" t="str">
        <f>IF($A3833&lt;Notes!$B$5,"",IF(COUNTIFS(Release_Calendar!$A$2:$A$755,"NZ_LABOUR",Release_Calendar!$B$2:$B$755,$A3833)&gt;0,1,0))</f>
        <v/>
      </c>
      <c r="P3833" s="16">
        <f t="shared" si="4"/>
        <v>0</v>
      </c>
    </row>
    <row r="3834" ht="15.75" customHeight="1">
      <c r="A3834" s="14">
        <v>41892.0</v>
      </c>
      <c r="B3834" s="15">
        <v>0.58</v>
      </c>
      <c r="C3834" s="15">
        <v>4.11</v>
      </c>
      <c r="D3834" s="15"/>
      <c r="E3834" s="15"/>
      <c r="F3834" s="15">
        <f t="shared" si="1"/>
        <v>3.53</v>
      </c>
      <c r="G3834" s="15">
        <f t="shared" si="2"/>
        <v>4.11</v>
      </c>
      <c r="H3834" s="16">
        <v>0.0</v>
      </c>
      <c r="I3834" s="15">
        <f t="shared" si="3"/>
        <v>3.53</v>
      </c>
      <c r="J3834" s="15">
        <v>12.88</v>
      </c>
      <c r="K3834" s="16">
        <f>IF(COUNTIFS(Release_Calendar!$A$2:$A$755,"US_CPI",Release_Calendar!$B$2:$B$755,$A3834)&gt;0,1,0)</f>
        <v>0</v>
      </c>
      <c r="L3834" s="16">
        <f>IF(COUNTIFS(Release_Calendar!$A$2:$A$755,"US_NFP",Release_Calendar!$B$2:$B$755,$A3834)&gt;0,1,0)</f>
        <v>0</v>
      </c>
      <c r="M3834" s="16" t="str">
        <f>IF($A3834&lt;Notes!$B$5,"",IF(COUNTIFS(Release_Calendar!$A$2:$A$755,"NZ_CPI",Release_Calendar!$B$2:$B$755,$A3834)&gt;0,1,0))</f>
        <v/>
      </c>
      <c r="N3834" s="16" t="str">
        <f>IF($A3834&lt;Notes!$B$5,"",IF(COUNTIFS(Release_Calendar!$A$2:$A$755,"NZ_GDP",Release_Calendar!$B$2:$B$755,$A3834)&gt;0,1,0))</f>
        <v/>
      </c>
      <c r="O3834" s="16" t="str">
        <f>IF($A3834&lt;Notes!$B$5,"",IF(COUNTIFS(Release_Calendar!$A$2:$A$755,"NZ_LABOUR",Release_Calendar!$B$2:$B$755,$A3834)&gt;0,1,0))</f>
        <v/>
      </c>
      <c r="P3834" s="16">
        <f t="shared" si="4"/>
        <v>0</v>
      </c>
    </row>
    <row r="3835" ht="15.75" customHeight="1">
      <c r="A3835" s="14">
        <v>41893.0</v>
      </c>
      <c r="B3835" s="15">
        <v>0.58</v>
      </c>
      <c r="C3835" s="15">
        <v>4.05</v>
      </c>
      <c r="D3835" s="15"/>
      <c r="E3835" s="15"/>
      <c r="F3835" s="15">
        <f t="shared" si="1"/>
        <v>3.47</v>
      </c>
      <c r="G3835" s="15">
        <f t="shared" si="2"/>
        <v>4.05</v>
      </c>
      <c r="H3835" s="16">
        <v>0.0</v>
      </c>
      <c r="I3835" s="15">
        <f t="shared" si="3"/>
        <v>3.47</v>
      </c>
      <c r="J3835" s="15">
        <v>12.8</v>
      </c>
      <c r="K3835" s="16">
        <f>IF(COUNTIFS(Release_Calendar!$A$2:$A$755,"US_CPI",Release_Calendar!$B$2:$B$755,$A3835)&gt;0,1,0)</f>
        <v>0</v>
      </c>
      <c r="L3835" s="16">
        <f>IF(COUNTIFS(Release_Calendar!$A$2:$A$755,"US_NFP",Release_Calendar!$B$2:$B$755,$A3835)&gt;0,1,0)</f>
        <v>0</v>
      </c>
      <c r="M3835" s="16" t="str">
        <f>IF($A3835&lt;Notes!$B$5,"",IF(COUNTIFS(Release_Calendar!$A$2:$A$755,"NZ_CPI",Release_Calendar!$B$2:$B$755,$A3835)&gt;0,1,0))</f>
        <v/>
      </c>
      <c r="N3835" s="16" t="str">
        <f>IF($A3835&lt;Notes!$B$5,"",IF(COUNTIFS(Release_Calendar!$A$2:$A$755,"NZ_GDP",Release_Calendar!$B$2:$B$755,$A3835)&gt;0,1,0))</f>
        <v/>
      </c>
      <c r="O3835" s="16" t="str">
        <f>IF($A3835&lt;Notes!$B$5,"",IF(COUNTIFS(Release_Calendar!$A$2:$A$755,"NZ_LABOUR",Release_Calendar!$B$2:$B$755,$A3835)&gt;0,1,0))</f>
        <v/>
      </c>
      <c r="P3835" s="16">
        <f t="shared" si="4"/>
        <v>0</v>
      </c>
    </row>
    <row r="3836" ht="15.75" customHeight="1">
      <c r="A3836" s="14">
        <v>41894.0</v>
      </c>
      <c r="B3836" s="15">
        <v>0.58</v>
      </c>
      <c r="C3836" s="15">
        <v>4.06</v>
      </c>
      <c r="D3836" s="15"/>
      <c r="E3836" s="15"/>
      <c r="F3836" s="15">
        <f t="shared" si="1"/>
        <v>3.48</v>
      </c>
      <c r="G3836" s="15">
        <f t="shared" si="2"/>
        <v>4.06</v>
      </c>
      <c r="H3836" s="16">
        <v>0.0</v>
      </c>
      <c r="I3836" s="15">
        <f t="shared" si="3"/>
        <v>3.48</v>
      </c>
      <c r="J3836" s="15">
        <v>13.31</v>
      </c>
      <c r="K3836" s="16">
        <f>IF(COUNTIFS(Release_Calendar!$A$2:$A$755,"US_CPI",Release_Calendar!$B$2:$B$755,$A3836)&gt;0,1,0)</f>
        <v>0</v>
      </c>
      <c r="L3836" s="16">
        <f>IF(COUNTIFS(Release_Calendar!$A$2:$A$755,"US_NFP",Release_Calendar!$B$2:$B$755,$A3836)&gt;0,1,0)</f>
        <v>0</v>
      </c>
      <c r="M3836" s="16" t="str">
        <f>IF($A3836&lt;Notes!$B$5,"",IF(COUNTIFS(Release_Calendar!$A$2:$A$755,"NZ_CPI",Release_Calendar!$B$2:$B$755,$A3836)&gt;0,1,0))</f>
        <v/>
      </c>
      <c r="N3836" s="16" t="str">
        <f>IF($A3836&lt;Notes!$B$5,"",IF(COUNTIFS(Release_Calendar!$A$2:$A$755,"NZ_GDP",Release_Calendar!$B$2:$B$755,$A3836)&gt;0,1,0))</f>
        <v/>
      </c>
      <c r="O3836" s="16" t="str">
        <f>IF($A3836&lt;Notes!$B$5,"",IF(COUNTIFS(Release_Calendar!$A$2:$A$755,"NZ_LABOUR",Release_Calendar!$B$2:$B$755,$A3836)&gt;0,1,0))</f>
        <v/>
      </c>
      <c r="P3836" s="16">
        <f t="shared" si="4"/>
        <v>0</v>
      </c>
    </row>
    <row r="3837" ht="15.75" customHeight="1">
      <c r="A3837" s="14">
        <v>41897.0</v>
      </c>
      <c r="B3837" s="15">
        <v>0.58</v>
      </c>
      <c r="C3837" s="15">
        <v>4.07</v>
      </c>
      <c r="D3837" s="15"/>
      <c r="E3837" s="15"/>
      <c r="F3837" s="15">
        <f t="shared" si="1"/>
        <v>3.49</v>
      </c>
      <c r="G3837" s="15">
        <f t="shared" si="2"/>
        <v>4.07</v>
      </c>
      <c r="H3837" s="16">
        <v>0.0</v>
      </c>
      <c r="I3837" s="15">
        <f t="shared" si="3"/>
        <v>3.49</v>
      </c>
      <c r="J3837" s="15">
        <v>14.12</v>
      </c>
      <c r="K3837" s="16">
        <f>IF(COUNTIFS(Release_Calendar!$A$2:$A$755,"US_CPI",Release_Calendar!$B$2:$B$755,$A3837)&gt;0,1,0)</f>
        <v>0</v>
      </c>
      <c r="L3837" s="16">
        <f>IF(COUNTIFS(Release_Calendar!$A$2:$A$755,"US_NFP",Release_Calendar!$B$2:$B$755,$A3837)&gt;0,1,0)</f>
        <v>0</v>
      </c>
      <c r="M3837" s="16" t="str">
        <f>IF($A3837&lt;Notes!$B$5,"",IF(COUNTIFS(Release_Calendar!$A$2:$A$755,"NZ_CPI",Release_Calendar!$B$2:$B$755,$A3837)&gt;0,1,0))</f>
        <v/>
      </c>
      <c r="N3837" s="16" t="str">
        <f>IF($A3837&lt;Notes!$B$5,"",IF(COUNTIFS(Release_Calendar!$A$2:$A$755,"NZ_GDP",Release_Calendar!$B$2:$B$755,$A3837)&gt;0,1,0))</f>
        <v/>
      </c>
      <c r="O3837" s="16" t="str">
        <f>IF($A3837&lt;Notes!$B$5,"",IF(COUNTIFS(Release_Calendar!$A$2:$A$755,"NZ_LABOUR",Release_Calendar!$B$2:$B$755,$A3837)&gt;0,1,0))</f>
        <v/>
      </c>
      <c r="P3837" s="16">
        <f t="shared" si="4"/>
        <v>0</v>
      </c>
    </row>
    <row r="3838" ht="15.75" customHeight="1">
      <c r="A3838" s="14">
        <v>41898.0</v>
      </c>
      <c r="B3838" s="15">
        <v>0.55</v>
      </c>
      <c r="C3838" s="15">
        <v>4.03</v>
      </c>
      <c r="D3838" s="15"/>
      <c r="E3838" s="15"/>
      <c r="F3838" s="15">
        <f t="shared" si="1"/>
        <v>3.48</v>
      </c>
      <c r="G3838" s="15">
        <f t="shared" si="2"/>
        <v>4.03</v>
      </c>
      <c r="H3838" s="16">
        <v>0.0</v>
      </c>
      <c r="I3838" s="15">
        <f t="shared" si="3"/>
        <v>3.48</v>
      </c>
      <c r="J3838" s="15">
        <v>12.73</v>
      </c>
      <c r="K3838" s="16">
        <f>IF(COUNTIFS(Release_Calendar!$A$2:$A$755,"US_CPI",Release_Calendar!$B$2:$B$755,$A3838)&gt;0,1,0)</f>
        <v>0</v>
      </c>
      <c r="L3838" s="16">
        <f>IF(COUNTIFS(Release_Calendar!$A$2:$A$755,"US_NFP",Release_Calendar!$B$2:$B$755,$A3838)&gt;0,1,0)</f>
        <v>0</v>
      </c>
      <c r="M3838" s="16" t="str">
        <f>IF($A3838&lt;Notes!$B$5,"",IF(COUNTIFS(Release_Calendar!$A$2:$A$755,"NZ_CPI",Release_Calendar!$B$2:$B$755,$A3838)&gt;0,1,0))</f>
        <v/>
      </c>
      <c r="N3838" s="16" t="str">
        <f>IF($A3838&lt;Notes!$B$5,"",IF(COUNTIFS(Release_Calendar!$A$2:$A$755,"NZ_GDP",Release_Calendar!$B$2:$B$755,$A3838)&gt;0,1,0))</f>
        <v/>
      </c>
      <c r="O3838" s="16" t="str">
        <f>IF($A3838&lt;Notes!$B$5,"",IF(COUNTIFS(Release_Calendar!$A$2:$A$755,"NZ_LABOUR",Release_Calendar!$B$2:$B$755,$A3838)&gt;0,1,0))</f>
        <v/>
      </c>
      <c r="P3838" s="16">
        <f t="shared" si="4"/>
        <v>0</v>
      </c>
    </row>
    <row r="3839" ht="15.75" customHeight="1">
      <c r="A3839" s="14">
        <v>41899.0</v>
      </c>
      <c r="B3839" s="15">
        <v>0.59</v>
      </c>
      <c r="C3839" s="15">
        <v>4.03</v>
      </c>
      <c r="D3839" s="15"/>
      <c r="E3839" s="15"/>
      <c r="F3839" s="15">
        <f t="shared" si="1"/>
        <v>3.44</v>
      </c>
      <c r="G3839" s="15">
        <f t="shared" si="2"/>
        <v>4.03</v>
      </c>
      <c r="H3839" s="16">
        <v>0.0</v>
      </c>
      <c r="I3839" s="15">
        <f t="shared" si="3"/>
        <v>3.44</v>
      </c>
      <c r="J3839" s="15">
        <v>12.65</v>
      </c>
      <c r="K3839" s="16">
        <f>IF(COUNTIFS(Release_Calendar!$A$2:$A$755,"US_CPI",Release_Calendar!$B$2:$B$755,$A3839)&gt;0,1,0)</f>
        <v>1</v>
      </c>
      <c r="L3839" s="16">
        <f>IF(COUNTIFS(Release_Calendar!$A$2:$A$755,"US_NFP",Release_Calendar!$B$2:$B$755,$A3839)&gt;0,1,0)</f>
        <v>0</v>
      </c>
      <c r="M3839" s="16" t="str">
        <f>IF($A3839&lt;Notes!$B$5,"",IF(COUNTIFS(Release_Calendar!$A$2:$A$755,"NZ_CPI",Release_Calendar!$B$2:$B$755,$A3839)&gt;0,1,0))</f>
        <v/>
      </c>
      <c r="N3839" s="16" t="str">
        <f>IF($A3839&lt;Notes!$B$5,"",IF(COUNTIFS(Release_Calendar!$A$2:$A$755,"NZ_GDP",Release_Calendar!$B$2:$B$755,$A3839)&gt;0,1,0))</f>
        <v/>
      </c>
      <c r="O3839" s="16" t="str">
        <f>IF($A3839&lt;Notes!$B$5,"",IF(COUNTIFS(Release_Calendar!$A$2:$A$755,"NZ_LABOUR",Release_Calendar!$B$2:$B$755,$A3839)&gt;0,1,0))</f>
        <v/>
      </c>
      <c r="P3839" s="16">
        <f t="shared" si="4"/>
        <v>1</v>
      </c>
    </row>
    <row r="3840" ht="15.75" customHeight="1">
      <c r="A3840" s="14">
        <v>41900.0</v>
      </c>
      <c r="B3840" s="15">
        <v>0.59</v>
      </c>
      <c r="C3840" s="15">
        <v>4.05</v>
      </c>
      <c r="D3840" s="15"/>
      <c r="E3840" s="15"/>
      <c r="F3840" s="15">
        <f t="shared" si="1"/>
        <v>3.46</v>
      </c>
      <c r="G3840" s="15">
        <f t="shared" si="2"/>
        <v>4.05</v>
      </c>
      <c r="H3840" s="16">
        <v>0.0</v>
      </c>
      <c r="I3840" s="15">
        <f t="shared" si="3"/>
        <v>3.46</v>
      </c>
      <c r="J3840" s="15">
        <v>12.03</v>
      </c>
      <c r="K3840" s="16">
        <f>IF(COUNTIFS(Release_Calendar!$A$2:$A$755,"US_CPI",Release_Calendar!$B$2:$B$755,$A3840)&gt;0,1,0)</f>
        <v>0</v>
      </c>
      <c r="L3840" s="16">
        <f>IF(COUNTIFS(Release_Calendar!$A$2:$A$755,"US_NFP",Release_Calendar!$B$2:$B$755,$A3840)&gt;0,1,0)</f>
        <v>0</v>
      </c>
      <c r="M3840" s="16" t="str">
        <f>IF($A3840&lt;Notes!$B$5,"",IF(COUNTIFS(Release_Calendar!$A$2:$A$755,"NZ_CPI",Release_Calendar!$B$2:$B$755,$A3840)&gt;0,1,0))</f>
        <v/>
      </c>
      <c r="N3840" s="16" t="str">
        <f>IF($A3840&lt;Notes!$B$5,"",IF(COUNTIFS(Release_Calendar!$A$2:$A$755,"NZ_GDP",Release_Calendar!$B$2:$B$755,$A3840)&gt;0,1,0))</f>
        <v/>
      </c>
      <c r="O3840" s="16" t="str">
        <f>IF($A3840&lt;Notes!$B$5,"",IF(COUNTIFS(Release_Calendar!$A$2:$A$755,"NZ_LABOUR",Release_Calendar!$B$2:$B$755,$A3840)&gt;0,1,0))</f>
        <v/>
      </c>
      <c r="P3840" s="16">
        <f t="shared" si="4"/>
        <v>0</v>
      </c>
    </row>
    <row r="3841" ht="15.75" customHeight="1">
      <c r="A3841" s="14">
        <v>41901.0</v>
      </c>
      <c r="B3841" s="15">
        <v>0.59</v>
      </c>
      <c r="C3841" s="15">
        <v>4.06</v>
      </c>
      <c r="D3841" s="15"/>
      <c r="E3841" s="15"/>
      <c r="F3841" s="15">
        <f t="shared" si="1"/>
        <v>3.47</v>
      </c>
      <c r="G3841" s="15">
        <f t="shared" si="2"/>
        <v>4.06</v>
      </c>
      <c r="H3841" s="16">
        <v>0.0</v>
      </c>
      <c r="I3841" s="15">
        <f t="shared" si="3"/>
        <v>3.47</v>
      </c>
      <c r="J3841" s="15">
        <v>12.11</v>
      </c>
      <c r="K3841" s="16">
        <f>IF(COUNTIFS(Release_Calendar!$A$2:$A$755,"US_CPI",Release_Calendar!$B$2:$B$755,$A3841)&gt;0,1,0)</f>
        <v>0</v>
      </c>
      <c r="L3841" s="16">
        <f>IF(COUNTIFS(Release_Calendar!$A$2:$A$755,"US_NFP",Release_Calendar!$B$2:$B$755,$A3841)&gt;0,1,0)</f>
        <v>0</v>
      </c>
      <c r="M3841" s="16" t="str">
        <f>IF($A3841&lt;Notes!$B$5,"",IF(COUNTIFS(Release_Calendar!$A$2:$A$755,"NZ_CPI",Release_Calendar!$B$2:$B$755,$A3841)&gt;0,1,0))</f>
        <v/>
      </c>
      <c r="N3841" s="16" t="str">
        <f>IF($A3841&lt;Notes!$B$5,"",IF(COUNTIFS(Release_Calendar!$A$2:$A$755,"NZ_GDP",Release_Calendar!$B$2:$B$755,$A3841)&gt;0,1,0))</f>
        <v/>
      </c>
      <c r="O3841" s="16" t="str">
        <f>IF($A3841&lt;Notes!$B$5,"",IF(COUNTIFS(Release_Calendar!$A$2:$A$755,"NZ_LABOUR",Release_Calendar!$B$2:$B$755,$A3841)&gt;0,1,0))</f>
        <v/>
      </c>
      <c r="P3841" s="16">
        <f t="shared" si="4"/>
        <v>0</v>
      </c>
    </row>
    <row r="3842" ht="15.75" customHeight="1">
      <c r="A3842" s="14">
        <v>41904.0</v>
      </c>
      <c r="B3842" s="15">
        <v>0.58</v>
      </c>
      <c r="C3842" s="15">
        <v>4.04</v>
      </c>
      <c r="D3842" s="15"/>
      <c r="E3842" s="15"/>
      <c r="F3842" s="15">
        <f t="shared" si="1"/>
        <v>3.46</v>
      </c>
      <c r="G3842" s="15">
        <f t="shared" si="2"/>
        <v>4.04</v>
      </c>
      <c r="H3842" s="16">
        <v>0.0</v>
      </c>
      <c r="I3842" s="15">
        <f t="shared" si="3"/>
        <v>3.46</v>
      </c>
      <c r="J3842" s="15">
        <v>13.69</v>
      </c>
      <c r="K3842" s="16">
        <f>IF(COUNTIFS(Release_Calendar!$A$2:$A$755,"US_CPI",Release_Calendar!$B$2:$B$755,$A3842)&gt;0,1,0)</f>
        <v>0</v>
      </c>
      <c r="L3842" s="16">
        <f>IF(COUNTIFS(Release_Calendar!$A$2:$A$755,"US_NFP",Release_Calendar!$B$2:$B$755,$A3842)&gt;0,1,0)</f>
        <v>0</v>
      </c>
      <c r="M3842" s="16" t="str">
        <f>IF($A3842&lt;Notes!$B$5,"",IF(COUNTIFS(Release_Calendar!$A$2:$A$755,"NZ_CPI",Release_Calendar!$B$2:$B$755,$A3842)&gt;0,1,0))</f>
        <v/>
      </c>
      <c r="N3842" s="16" t="str">
        <f>IF($A3842&lt;Notes!$B$5,"",IF(COUNTIFS(Release_Calendar!$A$2:$A$755,"NZ_GDP",Release_Calendar!$B$2:$B$755,$A3842)&gt;0,1,0))</f>
        <v/>
      </c>
      <c r="O3842" s="16" t="str">
        <f>IF($A3842&lt;Notes!$B$5,"",IF(COUNTIFS(Release_Calendar!$A$2:$A$755,"NZ_LABOUR",Release_Calendar!$B$2:$B$755,$A3842)&gt;0,1,0))</f>
        <v/>
      </c>
      <c r="P3842" s="16">
        <f t="shared" si="4"/>
        <v>0</v>
      </c>
    </row>
    <row r="3843" ht="15.75" customHeight="1">
      <c r="A3843" s="14">
        <v>41905.0</v>
      </c>
      <c r="B3843" s="15">
        <v>0.57</v>
      </c>
      <c r="C3843" s="15">
        <v>4.03</v>
      </c>
      <c r="D3843" s="15"/>
      <c r="E3843" s="15"/>
      <c r="F3843" s="15">
        <f t="shared" si="1"/>
        <v>3.46</v>
      </c>
      <c r="G3843" s="15">
        <f t="shared" si="2"/>
        <v>4.03</v>
      </c>
      <c r="H3843" s="16">
        <v>0.0</v>
      </c>
      <c r="I3843" s="15">
        <f t="shared" si="3"/>
        <v>3.46</v>
      </c>
      <c r="J3843" s="15">
        <v>14.93</v>
      </c>
      <c r="K3843" s="16">
        <f>IF(COUNTIFS(Release_Calendar!$A$2:$A$755,"US_CPI",Release_Calendar!$B$2:$B$755,$A3843)&gt;0,1,0)</f>
        <v>0</v>
      </c>
      <c r="L3843" s="16">
        <f>IF(COUNTIFS(Release_Calendar!$A$2:$A$755,"US_NFP",Release_Calendar!$B$2:$B$755,$A3843)&gt;0,1,0)</f>
        <v>0</v>
      </c>
      <c r="M3843" s="16" t="str">
        <f>IF($A3843&lt;Notes!$B$5,"",IF(COUNTIFS(Release_Calendar!$A$2:$A$755,"NZ_CPI",Release_Calendar!$B$2:$B$755,$A3843)&gt;0,1,0))</f>
        <v/>
      </c>
      <c r="N3843" s="16" t="str">
        <f>IF($A3843&lt;Notes!$B$5,"",IF(COUNTIFS(Release_Calendar!$A$2:$A$755,"NZ_GDP",Release_Calendar!$B$2:$B$755,$A3843)&gt;0,1,0))</f>
        <v/>
      </c>
      <c r="O3843" s="16" t="str">
        <f>IF($A3843&lt;Notes!$B$5,"",IF(COUNTIFS(Release_Calendar!$A$2:$A$755,"NZ_LABOUR",Release_Calendar!$B$2:$B$755,$A3843)&gt;0,1,0))</f>
        <v/>
      </c>
      <c r="P3843" s="16">
        <f t="shared" si="4"/>
        <v>0</v>
      </c>
    </row>
    <row r="3844" ht="15.75" customHeight="1">
      <c r="A3844" s="14">
        <v>41906.0</v>
      </c>
      <c r="B3844" s="15">
        <v>0.59</v>
      </c>
      <c r="C3844" s="15">
        <v>4.05</v>
      </c>
      <c r="D3844" s="15"/>
      <c r="E3844" s="15"/>
      <c r="F3844" s="15">
        <f t="shared" si="1"/>
        <v>3.46</v>
      </c>
      <c r="G3844" s="15">
        <f t="shared" si="2"/>
        <v>4.05</v>
      </c>
      <c r="H3844" s="16">
        <v>0.0</v>
      </c>
      <c r="I3844" s="15">
        <f t="shared" si="3"/>
        <v>3.46</v>
      </c>
      <c r="J3844" s="15">
        <v>13.27</v>
      </c>
      <c r="K3844" s="16">
        <f>IF(COUNTIFS(Release_Calendar!$A$2:$A$755,"US_CPI",Release_Calendar!$B$2:$B$755,$A3844)&gt;0,1,0)</f>
        <v>0</v>
      </c>
      <c r="L3844" s="16">
        <f>IF(COUNTIFS(Release_Calendar!$A$2:$A$755,"US_NFP",Release_Calendar!$B$2:$B$755,$A3844)&gt;0,1,0)</f>
        <v>0</v>
      </c>
      <c r="M3844" s="16" t="str">
        <f>IF($A3844&lt;Notes!$B$5,"",IF(COUNTIFS(Release_Calendar!$A$2:$A$755,"NZ_CPI",Release_Calendar!$B$2:$B$755,$A3844)&gt;0,1,0))</f>
        <v/>
      </c>
      <c r="N3844" s="16" t="str">
        <f>IF($A3844&lt;Notes!$B$5,"",IF(COUNTIFS(Release_Calendar!$A$2:$A$755,"NZ_GDP",Release_Calendar!$B$2:$B$755,$A3844)&gt;0,1,0))</f>
        <v/>
      </c>
      <c r="O3844" s="16" t="str">
        <f>IF($A3844&lt;Notes!$B$5,"",IF(COUNTIFS(Release_Calendar!$A$2:$A$755,"NZ_LABOUR",Release_Calendar!$B$2:$B$755,$A3844)&gt;0,1,0))</f>
        <v/>
      </c>
      <c r="P3844" s="16">
        <f t="shared" si="4"/>
        <v>0</v>
      </c>
    </row>
    <row r="3845" ht="15.75" customHeight="1">
      <c r="A3845" s="14">
        <v>41907.0</v>
      </c>
      <c r="B3845" s="15">
        <v>0.56</v>
      </c>
      <c r="C3845" s="15">
        <v>4.04</v>
      </c>
      <c r="D3845" s="15"/>
      <c r="E3845" s="15"/>
      <c r="F3845" s="15">
        <f t="shared" si="1"/>
        <v>3.48</v>
      </c>
      <c r="G3845" s="15">
        <f t="shared" si="2"/>
        <v>4.04</v>
      </c>
      <c r="H3845" s="16">
        <v>0.0</v>
      </c>
      <c r="I3845" s="15">
        <f t="shared" si="3"/>
        <v>3.48</v>
      </c>
      <c r="J3845" s="15">
        <v>15.64</v>
      </c>
      <c r="K3845" s="16">
        <f>IF(COUNTIFS(Release_Calendar!$A$2:$A$755,"US_CPI",Release_Calendar!$B$2:$B$755,$A3845)&gt;0,1,0)</f>
        <v>0</v>
      </c>
      <c r="L3845" s="16">
        <f>IF(COUNTIFS(Release_Calendar!$A$2:$A$755,"US_NFP",Release_Calendar!$B$2:$B$755,$A3845)&gt;0,1,0)</f>
        <v>0</v>
      </c>
      <c r="M3845" s="16" t="str">
        <f>IF($A3845&lt;Notes!$B$5,"",IF(COUNTIFS(Release_Calendar!$A$2:$A$755,"NZ_CPI",Release_Calendar!$B$2:$B$755,$A3845)&gt;0,1,0))</f>
        <v/>
      </c>
      <c r="N3845" s="16" t="str">
        <f>IF($A3845&lt;Notes!$B$5,"",IF(COUNTIFS(Release_Calendar!$A$2:$A$755,"NZ_GDP",Release_Calendar!$B$2:$B$755,$A3845)&gt;0,1,0))</f>
        <v/>
      </c>
      <c r="O3845" s="16" t="str">
        <f>IF($A3845&lt;Notes!$B$5,"",IF(COUNTIFS(Release_Calendar!$A$2:$A$755,"NZ_LABOUR",Release_Calendar!$B$2:$B$755,$A3845)&gt;0,1,0))</f>
        <v/>
      </c>
      <c r="P3845" s="16">
        <f t="shared" si="4"/>
        <v>0</v>
      </c>
    </row>
    <row r="3846" ht="15.75" customHeight="1">
      <c r="A3846" s="14">
        <v>41908.0</v>
      </c>
      <c r="B3846" s="15">
        <v>0.59</v>
      </c>
      <c r="C3846" s="15">
        <v>4.04</v>
      </c>
      <c r="D3846" s="15"/>
      <c r="E3846" s="15"/>
      <c r="F3846" s="15">
        <f t="shared" si="1"/>
        <v>3.45</v>
      </c>
      <c r="G3846" s="15">
        <f t="shared" si="2"/>
        <v>4.04</v>
      </c>
      <c r="H3846" s="16">
        <v>0.0</v>
      </c>
      <c r="I3846" s="15">
        <f t="shared" si="3"/>
        <v>3.45</v>
      </c>
      <c r="J3846" s="15">
        <v>14.85</v>
      </c>
      <c r="K3846" s="16">
        <f>IF(COUNTIFS(Release_Calendar!$A$2:$A$755,"US_CPI",Release_Calendar!$B$2:$B$755,$A3846)&gt;0,1,0)</f>
        <v>0</v>
      </c>
      <c r="L3846" s="16">
        <f>IF(COUNTIFS(Release_Calendar!$A$2:$A$755,"US_NFP",Release_Calendar!$B$2:$B$755,$A3846)&gt;0,1,0)</f>
        <v>0</v>
      </c>
      <c r="M3846" s="16" t="str">
        <f>IF($A3846&lt;Notes!$B$5,"",IF(COUNTIFS(Release_Calendar!$A$2:$A$755,"NZ_CPI",Release_Calendar!$B$2:$B$755,$A3846)&gt;0,1,0))</f>
        <v/>
      </c>
      <c r="N3846" s="16" t="str">
        <f>IF($A3846&lt;Notes!$B$5,"",IF(COUNTIFS(Release_Calendar!$A$2:$A$755,"NZ_GDP",Release_Calendar!$B$2:$B$755,$A3846)&gt;0,1,0))</f>
        <v/>
      </c>
      <c r="O3846" s="16" t="str">
        <f>IF($A3846&lt;Notes!$B$5,"",IF(COUNTIFS(Release_Calendar!$A$2:$A$755,"NZ_LABOUR",Release_Calendar!$B$2:$B$755,$A3846)&gt;0,1,0))</f>
        <v/>
      </c>
      <c r="P3846" s="16">
        <f t="shared" si="4"/>
        <v>0</v>
      </c>
    </row>
    <row r="3847" ht="15.75" customHeight="1">
      <c r="A3847" s="14">
        <v>41911.0</v>
      </c>
      <c r="B3847" s="15">
        <v>0.58</v>
      </c>
      <c r="C3847" s="15">
        <v>4.07</v>
      </c>
      <c r="D3847" s="15"/>
      <c r="E3847" s="15"/>
      <c r="F3847" s="15">
        <f t="shared" si="1"/>
        <v>3.49</v>
      </c>
      <c r="G3847" s="15">
        <f t="shared" si="2"/>
        <v>4.07</v>
      </c>
      <c r="H3847" s="16">
        <v>0.0</v>
      </c>
      <c r="I3847" s="15">
        <f t="shared" si="3"/>
        <v>3.49</v>
      </c>
      <c r="J3847" s="15">
        <v>15.98</v>
      </c>
      <c r="K3847" s="16">
        <f>IF(COUNTIFS(Release_Calendar!$A$2:$A$755,"US_CPI",Release_Calendar!$B$2:$B$755,$A3847)&gt;0,1,0)</f>
        <v>0</v>
      </c>
      <c r="L3847" s="16">
        <f>IF(COUNTIFS(Release_Calendar!$A$2:$A$755,"US_NFP",Release_Calendar!$B$2:$B$755,$A3847)&gt;0,1,0)</f>
        <v>0</v>
      </c>
      <c r="M3847" s="16" t="str">
        <f>IF($A3847&lt;Notes!$B$5,"",IF(COUNTIFS(Release_Calendar!$A$2:$A$755,"NZ_CPI",Release_Calendar!$B$2:$B$755,$A3847)&gt;0,1,0))</f>
        <v/>
      </c>
      <c r="N3847" s="16" t="str">
        <f>IF($A3847&lt;Notes!$B$5,"",IF(COUNTIFS(Release_Calendar!$A$2:$A$755,"NZ_GDP",Release_Calendar!$B$2:$B$755,$A3847)&gt;0,1,0))</f>
        <v/>
      </c>
      <c r="O3847" s="16" t="str">
        <f>IF($A3847&lt;Notes!$B$5,"",IF(COUNTIFS(Release_Calendar!$A$2:$A$755,"NZ_LABOUR",Release_Calendar!$B$2:$B$755,$A3847)&gt;0,1,0))</f>
        <v/>
      </c>
      <c r="P3847" s="16">
        <f t="shared" si="4"/>
        <v>0</v>
      </c>
    </row>
    <row r="3848" ht="15.75" customHeight="1">
      <c r="A3848" s="14">
        <v>41912.0</v>
      </c>
      <c r="B3848" s="15">
        <v>0.58</v>
      </c>
      <c r="C3848" s="15">
        <v>4.09</v>
      </c>
      <c r="D3848" s="15"/>
      <c r="E3848" s="15"/>
      <c r="F3848" s="15">
        <f t="shared" si="1"/>
        <v>3.51</v>
      </c>
      <c r="G3848" s="15">
        <f t="shared" si="2"/>
        <v>4.09</v>
      </c>
      <c r="H3848" s="16">
        <v>0.0</v>
      </c>
      <c r="I3848" s="15">
        <f t="shared" si="3"/>
        <v>3.51</v>
      </c>
      <c r="J3848" s="15">
        <v>16.31</v>
      </c>
      <c r="K3848" s="16">
        <f>IF(COUNTIFS(Release_Calendar!$A$2:$A$755,"US_CPI",Release_Calendar!$B$2:$B$755,$A3848)&gt;0,1,0)</f>
        <v>0</v>
      </c>
      <c r="L3848" s="16">
        <f>IF(COUNTIFS(Release_Calendar!$A$2:$A$755,"US_NFP",Release_Calendar!$B$2:$B$755,$A3848)&gt;0,1,0)</f>
        <v>0</v>
      </c>
      <c r="M3848" s="16" t="str">
        <f>IF($A3848&lt;Notes!$B$5,"",IF(COUNTIFS(Release_Calendar!$A$2:$A$755,"NZ_CPI",Release_Calendar!$B$2:$B$755,$A3848)&gt;0,1,0))</f>
        <v/>
      </c>
      <c r="N3848" s="16" t="str">
        <f>IF($A3848&lt;Notes!$B$5,"",IF(COUNTIFS(Release_Calendar!$A$2:$A$755,"NZ_GDP",Release_Calendar!$B$2:$B$755,$A3848)&gt;0,1,0))</f>
        <v/>
      </c>
      <c r="O3848" s="16" t="str">
        <f>IF($A3848&lt;Notes!$B$5,"",IF(COUNTIFS(Release_Calendar!$A$2:$A$755,"NZ_LABOUR",Release_Calendar!$B$2:$B$755,$A3848)&gt;0,1,0))</f>
        <v/>
      </c>
      <c r="P3848" s="16">
        <f t="shared" si="4"/>
        <v>0</v>
      </c>
    </row>
    <row r="3849" ht="15.75" customHeight="1">
      <c r="A3849" s="14">
        <v>41913.0</v>
      </c>
      <c r="B3849" s="15">
        <v>0.53</v>
      </c>
      <c r="C3849" s="15">
        <v>4.09</v>
      </c>
      <c r="D3849" s="15"/>
      <c r="E3849" s="15"/>
      <c r="F3849" s="15">
        <f t="shared" si="1"/>
        <v>3.56</v>
      </c>
      <c r="G3849" s="15">
        <f t="shared" si="2"/>
        <v>4.09</v>
      </c>
      <c r="H3849" s="16">
        <v>0.0</v>
      </c>
      <c r="I3849" s="15">
        <f t="shared" si="3"/>
        <v>3.56</v>
      </c>
      <c r="J3849" s="15">
        <v>16.71</v>
      </c>
      <c r="K3849" s="16">
        <f>IF(COUNTIFS(Release_Calendar!$A$2:$A$755,"US_CPI",Release_Calendar!$B$2:$B$755,$A3849)&gt;0,1,0)</f>
        <v>0</v>
      </c>
      <c r="L3849" s="16">
        <f>IF(COUNTIFS(Release_Calendar!$A$2:$A$755,"US_NFP",Release_Calendar!$B$2:$B$755,$A3849)&gt;0,1,0)</f>
        <v>0</v>
      </c>
      <c r="M3849" s="16" t="str">
        <f>IF($A3849&lt;Notes!$B$5,"",IF(COUNTIFS(Release_Calendar!$A$2:$A$755,"NZ_CPI",Release_Calendar!$B$2:$B$755,$A3849)&gt;0,1,0))</f>
        <v/>
      </c>
      <c r="N3849" s="16" t="str">
        <f>IF($A3849&lt;Notes!$B$5,"",IF(COUNTIFS(Release_Calendar!$A$2:$A$755,"NZ_GDP",Release_Calendar!$B$2:$B$755,$A3849)&gt;0,1,0))</f>
        <v/>
      </c>
      <c r="O3849" s="16" t="str">
        <f>IF($A3849&lt;Notes!$B$5,"",IF(COUNTIFS(Release_Calendar!$A$2:$A$755,"NZ_LABOUR",Release_Calendar!$B$2:$B$755,$A3849)&gt;0,1,0))</f>
        <v/>
      </c>
      <c r="P3849" s="16">
        <f t="shared" si="4"/>
        <v>0</v>
      </c>
    </row>
    <row r="3850" ht="15.75" customHeight="1">
      <c r="A3850" s="14">
        <v>41914.0</v>
      </c>
      <c r="B3850" s="15">
        <v>0.53</v>
      </c>
      <c r="C3850" s="15">
        <v>4.05</v>
      </c>
      <c r="D3850" s="15"/>
      <c r="E3850" s="15"/>
      <c r="F3850" s="15">
        <f t="shared" si="1"/>
        <v>3.52</v>
      </c>
      <c r="G3850" s="15">
        <f t="shared" si="2"/>
        <v>4.05</v>
      </c>
      <c r="H3850" s="16">
        <v>0.0</v>
      </c>
      <c r="I3850" s="15">
        <f t="shared" si="3"/>
        <v>3.52</v>
      </c>
      <c r="J3850" s="15">
        <v>16.16</v>
      </c>
      <c r="K3850" s="16">
        <f>IF(COUNTIFS(Release_Calendar!$A$2:$A$755,"US_CPI",Release_Calendar!$B$2:$B$755,$A3850)&gt;0,1,0)</f>
        <v>0</v>
      </c>
      <c r="L3850" s="16">
        <f>IF(COUNTIFS(Release_Calendar!$A$2:$A$755,"US_NFP",Release_Calendar!$B$2:$B$755,$A3850)&gt;0,1,0)</f>
        <v>0</v>
      </c>
      <c r="M3850" s="16" t="str">
        <f>IF($A3850&lt;Notes!$B$5,"",IF(COUNTIFS(Release_Calendar!$A$2:$A$755,"NZ_CPI",Release_Calendar!$B$2:$B$755,$A3850)&gt;0,1,0))</f>
        <v/>
      </c>
      <c r="N3850" s="16" t="str">
        <f>IF($A3850&lt;Notes!$B$5,"",IF(COUNTIFS(Release_Calendar!$A$2:$A$755,"NZ_GDP",Release_Calendar!$B$2:$B$755,$A3850)&gt;0,1,0))</f>
        <v/>
      </c>
      <c r="O3850" s="16" t="str">
        <f>IF($A3850&lt;Notes!$B$5,"",IF(COUNTIFS(Release_Calendar!$A$2:$A$755,"NZ_LABOUR",Release_Calendar!$B$2:$B$755,$A3850)&gt;0,1,0))</f>
        <v/>
      </c>
      <c r="P3850" s="16">
        <f t="shared" si="4"/>
        <v>0</v>
      </c>
    </row>
    <row r="3851" ht="15.75" customHeight="1">
      <c r="A3851" s="14">
        <v>41915.0</v>
      </c>
      <c r="B3851" s="15">
        <v>0.57</v>
      </c>
      <c r="C3851" s="15">
        <v>4.07</v>
      </c>
      <c r="D3851" s="15"/>
      <c r="E3851" s="15"/>
      <c r="F3851" s="15">
        <f t="shared" si="1"/>
        <v>3.5</v>
      </c>
      <c r="G3851" s="15">
        <f t="shared" si="2"/>
        <v>4.07</v>
      </c>
      <c r="H3851" s="16">
        <v>0.0</v>
      </c>
      <c r="I3851" s="15">
        <f t="shared" si="3"/>
        <v>3.5</v>
      </c>
      <c r="J3851" s="15">
        <v>14.55</v>
      </c>
      <c r="K3851" s="16">
        <f>IF(COUNTIFS(Release_Calendar!$A$2:$A$755,"US_CPI",Release_Calendar!$B$2:$B$755,$A3851)&gt;0,1,0)</f>
        <v>0</v>
      </c>
      <c r="L3851" s="16">
        <f>IF(COUNTIFS(Release_Calendar!$A$2:$A$755,"US_NFP",Release_Calendar!$B$2:$B$755,$A3851)&gt;0,1,0)</f>
        <v>1</v>
      </c>
      <c r="M3851" s="16" t="str">
        <f>IF($A3851&lt;Notes!$B$5,"",IF(COUNTIFS(Release_Calendar!$A$2:$A$755,"NZ_CPI",Release_Calendar!$B$2:$B$755,$A3851)&gt;0,1,0))</f>
        <v/>
      </c>
      <c r="N3851" s="16" t="str">
        <f>IF($A3851&lt;Notes!$B$5,"",IF(COUNTIFS(Release_Calendar!$A$2:$A$755,"NZ_GDP",Release_Calendar!$B$2:$B$755,$A3851)&gt;0,1,0))</f>
        <v/>
      </c>
      <c r="O3851" s="16" t="str">
        <f>IF($A3851&lt;Notes!$B$5,"",IF(COUNTIFS(Release_Calendar!$A$2:$A$755,"NZ_LABOUR",Release_Calendar!$B$2:$B$755,$A3851)&gt;0,1,0))</f>
        <v/>
      </c>
      <c r="P3851" s="16">
        <f t="shared" si="4"/>
        <v>1</v>
      </c>
    </row>
    <row r="3852" ht="15.75" customHeight="1">
      <c r="A3852" s="14">
        <v>41918.0</v>
      </c>
      <c r="B3852" s="15">
        <v>0.54</v>
      </c>
      <c r="C3852" s="15">
        <v>4.07</v>
      </c>
      <c r="D3852" s="15"/>
      <c r="E3852" s="15"/>
      <c r="F3852" s="15">
        <f t="shared" si="1"/>
        <v>3.53</v>
      </c>
      <c r="G3852" s="15">
        <f t="shared" si="2"/>
        <v>4.07</v>
      </c>
      <c r="H3852" s="16">
        <v>0.0</v>
      </c>
      <c r="I3852" s="15">
        <f t="shared" si="3"/>
        <v>3.53</v>
      </c>
      <c r="J3852" s="15">
        <v>15.46</v>
      </c>
      <c r="K3852" s="16">
        <f>IF(COUNTIFS(Release_Calendar!$A$2:$A$755,"US_CPI",Release_Calendar!$B$2:$B$755,$A3852)&gt;0,1,0)</f>
        <v>0</v>
      </c>
      <c r="L3852" s="16">
        <f>IF(COUNTIFS(Release_Calendar!$A$2:$A$755,"US_NFP",Release_Calendar!$B$2:$B$755,$A3852)&gt;0,1,0)</f>
        <v>0</v>
      </c>
      <c r="M3852" s="16" t="str">
        <f>IF($A3852&lt;Notes!$B$5,"",IF(COUNTIFS(Release_Calendar!$A$2:$A$755,"NZ_CPI",Release_Calendar!$B$2:$B$755,$A3852)&gt;0,1,0))</f>
        <v/>
      </c>
      <c r="N3852" s="16" t="str">
        <f>IF($A3852&lt;Notes!$B$5,"",IF(COUNTIFS(Release_Calendar!$A$2:$A$755,"NZ_GDP",Release_Calendar!$B$2:$B$755,$A3852)&gt;0,1,0))</f>
        <v/>
      </c>
      <c r="O3852" s="16" t="str">
        <f>IF($A3852&lt;Notes!$B$5,"",IF(COUNTIFS(Release_Calendar!$A$2:$A$755,"NZ_LABOUR",Release_Calendar!$B$2:$B$755,$A3852)&gt;0,1,0))</f>
        <v/>
      </c>
      <c r="P3852" s="16">
        <f t="shared" si="4"/>
        <v>0</v>
      </c>
    </row>
    <row r="3853" ht="15.75" customHeight="1">
      <c r="A3853" s="14">
        <v>41919.0</v>
      </c>
      <c r="B3853" s="15">
        <v>0.52</v>
      </c>
      <c r="C3853" s="15">
        <v>4.07</v>
      </c>
      <c r="D3853" s="15"/>
      <c r="E3853" s="15"/>
      <c r="F3853" s="15">
        <f t="shared" si="1"/>
        <v>3.55</v>
      </c>
      <c r="G3853" s="15">
        <f t="shared" si="2"/>
        <v>4.07</v>
      </c>
      <c r="H3853" s="16">
        <v>0.0</v>
      </c>
      <c r="I3853" s="15">
        <f t="shared" si="3"/>
        <v>3.55</v>
      </c>
      <c r="J3853" s="15">
        <v>17.2</v>
      </c>
      <c r="K3853" s="16">
        <f>IF(COUNTIFS(Release_Calendar!$A$2:$A$755,"US_CPI",Release_Calendar!$B$2:$B$755,$A3853)&gt;0,1,0)</f>
        <v>0</v>
      </c>
      <c r="L3853" s="16">
        <f>IF(COUNTIFS(Release_Calendar!$A$2:$A$755,"US_NFP",Release_Calendar!$B$2:$B$755,$A3853)&gt;0,1,0)</f>
        <v>0</v>
      </c>
      <c r="M3853" s="16" t="str">
        <f>IF($A3853&lt;Notes!$B$5,"",IF(COUNTIFS(Release_Calendar!$A$2:$A$755,"NZ_CPI",Release_Calendar!$B$2:$B$755,$A3853)&gt;0,1,0))</f>
        <v/>
      </c>
      <c r="N3853" s="16" t="str">
        <f>IF($A3853&lt;Notes!$B$5,"",IF(COUNTIFS(Release_Calendar!$A$2:$A$755,"NZ_GDP",Release_Calendar!$B$2:$B$755,$A3853)&gt;0,1,0))</f>
        <v/>
      </c>
      <c r="O3853" s="16" t="str">
        <f>IF($A3853&lt;Notes!$B$5,"",IF(COUNTIFS(Release_Calendar!$A$2:$A$755,"NZ_LABOUR",Release_Calendar!$B$2:$B$755,$A3853)&gt;0,1,0))</f>
        <v/>
      </c>
      <c r="P3853" s="16">
        <f t="shared" si="4"/>
        <v>0</v>
      </c>
    </row>
    <row r="3854" ht="15.75" customHeight="1">
      <c r="A3854" s="14">
        <v>41920.0</v>
      </c>
      <c r="B3854" s="15">
        <v>0.46</v>
      </c>
      <c r="C3854" s="15">
        <v>4.04</v>
      </c>
      <c r="D3854" s="15"/>
      <c r="E3854" s="15"/>
      <c r="F3854" s="15">
        <f t="shared" si="1"/>
        <v>3.58</v>
      </c>
      <c r="G3854" s="15">
        <f t="shared" si="2"/>
        <v>4.04</v>
      </c>
      <c r="H3854" s="16">
        <v>0.0</v>
      </c>
      <c r="I3854" s="15">
        <f t="shared" si="3"/>
        <v>3.58</v>
      </c>
      <c r="J3854" s="15">
        <v>15.11</v>
      </c>
      <c r="K3854" s="16">
        <f>IF(COUNTIFS(Release_Calendar!$A$2:$A$755,"US_CPI",Release_Calendar!$B$2:$B$755,$A3854)&gt;0,1,0)</f>
        <v>0</v>
      </c>
      <c r="L3854" s="16">
        <f>IF(COUNTIFS(Release_Calendar!$A$2:$A$755,"US_NFP",Release_Calendar!$B$2:$B$755,$A3854)&gt;0,1,0)</f>
        <v>0</v>
      </c>
      <c r="M3854" s="16" t="str">
        <f>IF($A3854&lt;Notes!$B$5,"",IF(COUNTIFS(Release_Calendar!$A$2:$A$755,"NZ_CPI",Release_Calendar!$B$2:$B$755,$A3854)&gt;0,1,0))</f>
        <v/>
      </c>
      <c r="N3854" s="16" t="str">
        <f>IF($A3854&lt;Notes!$B$5,"",IF(COUNTIFS(Release_Calendar!$A$2:$A$755,"NZ_GDP",Release_Calendar!$B$2:$B$755,$A3854)&gt;0,1,0))</f>
        <v/>
      </c>
      <c r="O3854" s="16" t="str">
        <f>IF($A3854&lt;Notes!$B$5,"",IF(COUNTIFS(Release_Calendar!$A$2:$A$755,"NZ_LABOUR",Release_Calendar!$B$2:$B$755,$A3854)&gt;0,1,0))</f>
        <v/>
      </c>
      <c r="P3854" s="16">
        <f t="shared" si="4"/>
        <v>0</v>
      </c>
    </row>
    <row r="3855" ht="15.75" customHeight="1">
      <c r="A3855" s="14">
        <v>41921.0</v>
      </c>
      <c r="B3855" s="15">
        <v>0.46</v>
      </c>
      <c r="C3855" s="15">
        <v>4.02</v>
      </c>
      <c r="D3855" s="15"/>
      <c r="E3855" s="15"/>
      <c r="F3855" s="15">
        <f t="shared" si="1"/>
        <v>3.56</v>
      </c>
      <c r="G3855" s="15">
        <f t="shared" si="2"/>
        <v>4.02</v>
      </c>
      <c r="H3855" s="16">
        <v>0.0</v>
      </c>
      <c r="I3855" s="15">
        <f t="shared" si="3"/>
        <v>3.56</v>
      </c>
      <c r="J3855" s="15">
        <v>18.76</v>
      </c>
      <c r="K3855" s="16">
        <f>IF(COUNTIFS(Release_Calendar!$A$2:$A$755,"US_CPI",Release_Calendar!$B$2:$B$755,$A3855)&gt;0,1,0)</f>
        <v>0</v>
      </c>
      <c r="L3855" s="16">
        <f>IF(COUNTIFS(Release_Calendar!$A$2:$A$755,"US_NFP",Release_Calendar!$B$2:$B$755,$A3855)&gt;0,1,0)</f>
        <v>0</v>
      </c>
      <c r="M3855" s="16" t="str">
        <f>IF($A3855&lt;Notes!$B$5,"",IF(COUNTIFS(Release_Calendar!$A$2:$A$755,"NZ_CPI",Release_Calendar!$B$2:$B$755,$A3855)&gt;0,1,0))</f>
        <v/>
      </c>
      <c r="N3855" s="16" t="str">
        <f>IF($A3855&lt;Notes!$B$5,"",IF(COUNTIFS(Release_Calendar!$A$2:$A$755,"NZ_GDP",Release_Calendar!$B$2:$B$755,$A3855)&gt;0,1,0))</f>
        <v/>
      </c>
      <c r="O3855" s="16" t="str">
        <f>IF($A3855&lt;Notes!$B$5,"",IF(COUNTIFS(Release_Calendar!$A$2:$A$755,"NZ_LABOUR",Release_Calendar!$B$2:$B$755,$A3855)&gt;0,1,0))</f>
        <v/>
      </c>
      <c r="P3855" s="16">
        <f t="shared" si="4"/>
        <v>0</v>
      </c>
    </row>
    <row r="3856" ht="15.75" customHeight="1">
      <c r="A3856" s="14">
        <v>41922.0</v>
      </c>
      <c r="B3856" s="15">
        <v>0.45</v>
      </c>
      <c r="C3856" s="15">
        <v>4.02</v>
      </c>
      <c r="D3856" s="15"/>
      <c r="E3856" s="15"/>
      <c r="F3856" s="15">
        <f t="shared" si="1"/>
        <v>3.57</v>
      </c>
      <c r="G3856" s="15">
        <f t="shared" si="2"/>
        <v>4.02</v>
      </c>
      <c r="H3856" s="16">
        <v>0.0</v>
      </c>
      <c r="I3856" s="15">
        <f t="shared" si="3"/>
        <v>3.57</v>
      </c>
      <c r="J3856" s="15">
        <v>21.24</v>
      </c>
      <c r="K3856" s="16">
        <f>IF(COUNTIFS(Release_Calendar!$A$2:$A$755,"US_CPI",Release_Calendar!$B$2:$B$755,$A3856)&gt;0,1,0)</f>
        <v>0</v>
      </c>
      <c r="L3856" s="16">
        <f>IF(COUNTIFS(Release_Calendar!$A$2:$A$755,"US_NFP",Release_Calendar!$B$2:$B$755,$A3856)&gt;0,1,0)</f>
        <v>0</v>
      </c>
      <c r="M3856" s="16" t="str">
        <f>IF($A3856&lt;Notes!$B$5,"",IF(COUNTIFS(Release_Calendar!$A$2:$A$755,"NZ_CPI",Release_Calendar!$B$2:$B$755,$A3856)&gt;0,1,0))</f>
        <v/>
      </c>
      <c r="N3856" s="16" t="str">
        <f>IF($A3856&lt;Notes!$B$5,"",IF(COUNTIFS(Release_Calendar!$A$2:$A$755,"NZ_GDP",Release_Calendar!$B$2:$B$755,$A3856)&gt;0,1,0))</f>
        <v/>
      </c>
      <c r="O3856" s="16" t="str">
        <f>IF($A3856&lt;Notes!$B$5,"",IF(COUNTIFS(Release_Calendar!$A$2:$A$755,"NZ_LABOUR",Release_Calendar!$B$2:$B$755,$A3856)&gt;0,1,0))</f>
        <v/>
      </c>
      <c r="P3856" s="16">
        <f t="shared" si="4"/>
        <v>0</v>
      </c>
    </row>
    <row r="3857" ht="15.75" customHeight="1">
      <c r="A3857" s="14">
        <v>41925.0</v>
      </c>
      <c r="B3857" s="15"/>
      <c r="C3857" s="15">
        <v>3.99</v>
      </c>
      <c r="D3857" s="15"/>
      <c r="E3857" s="15"/>
      <c r="F3857" s="15" t="str">
        <f t="shared" si="1"/>
        <v/>
      </c>
      <c r="G3857" s="15">
        <f t="shared" si="2"/>
        <v>3.99</v>
      </c>
      <c r="H3857" s="16">
        <v>0.0</v>
      </c>
      <c r="I3857" s="15" t="str">
        <f t="shared" si="3"/>
        <v/>
      </c>
      <c r="J3857" s="15">
        <v>24.64</v>
      </c>
      <c r="K3857" s="16">
        <f>IF(COUNTIFS(Release_Calendar!$A$2:$A$755,"US_CPI",Release_Calendar!$B$2:$B$755,$A3857)&gt;0,1,0)</f>
        <v>0</v>
      </c>
      <c r="L3857" s="16">
        <f>IF(COUNTIFS(Release_Calendar!$A$2:$A$755,"US_NFP",Release_Calendar!$B$2:$B$755,$A3857)&gt;0,1,0)</f>
        <v>0</v>
      </c>
      <c r="M3857" s="16" t="str">
        <f>IF($A3857&lt;Notes!$B$5,"",IF(COUNTIFS(Release_Calendar!$A$2:$A$755,"NZ_CPI",Release_Calendar!$B$2:$B$755,$A3857)&gt;0,1,0))</f>
        <v/>
      </c>
      <c r="N3857" s="16" t="str">
        <f>IF($A3857&lt;Notes!$B$5,"",IF(COUNTIFS(Release_Calendar!$A$2:$A$755,"NZ_GDP",Release_Calendar!$B$2:$B$755,$A3857)&gt;0,1,0))</f>
        <v/>
      </c>
      <c r="O3857" s="16" t="str">
        <f>IF($A3857&lt;Notes!$B$5,"",IF(COUNTIFS(Release_Calendar!$A$2:$A$755,"NZ_LABOUR",Release_Calendar!$B$2:$B$755,$A3857)&gt;0,1,0))</f>
        <v/>
      </c>
      <c r="P3857" s="16">
        <f t="shared" si="4"/>
        <v>0</v>
      </c>
    </row>
    <row r="3858" ht="15.75" customHeight="1">
      <c r="A3858" s="14">
        <v>41926.0</v>
      </c>
      <c r="B3858" s="15">
        <v>0.39</v>
      </c>
      <c r="C3858" s="15">
        <v>3.98</v>
      </c>
      <c r="D3858" s="15"/>
      <c r="E3858" s="15"/>
      <c r="F3858" s="15">
        <f t="shared" si="1"/>
        <v>3.59</v>
      </c>
      <c r="G3858" s="15">
        <f t="shared" si="2"/>
        <v>3.98</v>
      </c>
      <c r="H3858" s="16">
        <v>0.0</v>
      </c>
      <c r="I3858" s="15">
        <f t="shared" si="3"/>
        <v>3.59</v>
      </c>
      <c r="J3858" s="15">
        <v>22.79</v>
      </c>
      <c r="K3858" s="16">
        <f>IF(COUNTIFS(Release_Calendar!$A$2:$A$755,"US_CPI",Release_Calendar!$B$2:$B$755,$A3858)&gt;0,1,0)</f>
        <v>0</v>
      </c>
      <c r="L3858" s="16">
        <f>IF(COUNTIFS(Release_Calendar!$A$2:$A$755,"US_NFP",Release_Calendar!$B$2:$B$755,$A3858)&gt;0,1,0)</f>
        <v>0</v>
      </c>
      <c r="M3858" s="16" t="str">
        <f>IF($A3858&lt;Notes!$B$5,"",IF(COUNTIFS(Release_Calendar!$A$2:$A$755,"NZ_CPI",Release_Calendar!$B$2:$B$755,$A3858)&gt;0,1,0))</f>
        <v/>
      </c>
      <c r="N3858" s="16" t="str">
        <f>IF($A3858&lt;Notes!$B$5,"",IF(COUNTIFS(Release_Calendar!$A$2:$A$755,"NZ_GDP",Release_Calendar!$B$2:$B$755,$A3858)&gt;0,1,0))</f>
        <v/>
      </c>
      <c r="O3858" s="16" t="str">
        <f>IF($A3858&lt;Notes!$B$5,"",IF(COUNTIFS(Release_Calendar!$A$2:$A$755,"NZ_LABOUR",Release_Calendar!$B$2:$B$755,$A3858)&gt;0,1,0))</f>
        <v/>
      </c>
      <c r="P3858" s="16">
        <f t="shared" si="4"/>
        <v>0</v>
      </c>
    </row>
    <row r="3859" ht="15.75" customHeight="1">
      <c r="A3859" s="14">
        <v>41927.0</v>
      </c>
      <c r="B3859" s="15">
        <v>0.34</v>
      </c>
      <c r="C3859" s="15">
        <v>3.95</v>
      </c>
      <c r="D3859" s="15"/>
      <c r="E3859" s="15"/>
      <c r="F3859" s="15">
        <f t="shared" si="1"/>
        <v>3.61</v>
      </c>
      <c r="G3859" s="15">
        <f t="shared" si="2"/>
        <v>3.95</v>
      </c>
      <c r="H3859" s="16">
        <v>0.0</v>
      </c>
      <c r="I3859" s="15">
        <f t="shared" si="3"/>
        <v>3.61</v>
      </c>
      <c r="J3859" s="15">
        <v>26.25</v>
      </c>
      <c r="K3859" s="16">
        <f>IF(COUNTIFS(Release_Calendar!$A$2:$A$755,"US_CPI",Release_Calendar!$B$2:$B$755,$A3859)&gt;0,1,0)</f>
        <v>0</v>
      </c>
      <c r="L3859" s="16">
        <f>IF(COUNTIFS(Release_Calendar!$A$2:$A$755,"US_NFP",Release_Calendar!$B$2:$B$755,$A3859)&gt;0,1,0)</f>
        <v>0</v>
      </c>
      <c r="M3859" s="16" t="str">
        <f>IF($A3859&lt;Notes!$B$5,"",IF(COUNTIFS(Release_Calendar!$A$2:$A$755,"NZ_CPI",Release_Calendar!$B$2:$B$755,$A3859)&gt;0,1,0))</f>
        <v/>
      </c>
      <c r="N3859" s="16" t="str">
        <f>IF($A3859&lt;Notes!$B$5,"",IF(COUNTIFS(Release_Calendar!$A$2:$A$755,"NZ_GDP",Release_Calendar!$B$2:$B$755,$A3859)&gt;0,1,0))</f>
        <v/>
      </c>
      <c r="O3859" s="16" t="str">
        <f>IF($A3859&lt;Notes!$B$5,"",IF(COUNTIFS(Release_Calendar!$A$2:$A$755,"NZ_LABOUR",Release_Calendar!$B$2:$B$755,$A3859)&gt;0,1,0))</f>
        <v/>
      </c>
      <c r="P3859" s="16">
        <f t="shared" si="4"/>
        <v>0</v>
      </c>
    </row>
    <row r="3860" ht="15.75" customHeight="1">
      <c r="A3860" s="14">
        <v>41928.0</v>
      </c>
      <c r="B3860" s="15">
        <v>0.35</v>
      </c>
      <c r="C3860" s="15">
        <v>3.93</v>
      </c>
      <c r="D3860" s="15"/>
      <c r="E3860" s="15"/>
      <c r="F3860" s="15">
        <f t="shared" si="1"/>
        <v>3.58</v>
      </c>
      <c r="G3860" s="15">
        <f t="shared" si="2"/>
        <v>3.93</v>
      </c>
      <c r="H3860" s="16">
        <v>0.0</v>
      </c>
      <c r="I3860" s="15">
        <f t="shared" si="3"/>
        <v>3.58</v>
      </c>
      <c r="J3860" s="15">
        <v>25.2</v>
      </c>
      <c r="K3860" s="16">
        <f>IF(COUNTIFS(Release_Calendar!$A$2:$A$755,"US_CPI",Release_Calendar!$B$2:$B$755,$A3860)&gt;0,1,0)</f>
        <v>0</v>
      </c>
      <c r="L3860" s="16">
        <f>IF(COUNTIFS(Release_Calendar!$A$2:$A$755,"US_NFP",Release_Calendar!$B$2:$B$755,$A3860)&gt;0,1,0)</f>
        <v>0</v>
      </c>
      <c r="M3860" s="16" t="str">
        <f>IF($A3860&lt;Notes!$B$5,"",IF(COUNTIFS(Release_Calendar!$A$2:$A$755,"NZ_CPI",Release_Calendar!$B$2:$B$755,$A3860)&gt;0,1,0))</f>
        <v/>
      </c>
      <c r="N3860" s="16" t="str">
        <f>IF($A3860&lt;Notes!$B$5,"",IF(COUNTIFS(Release_Calendar!$A$2:$A$755,"NZ_GDP",Release_Calendar!$B$2:$B$755,$A3860)&gt;0,1,0))</f>
        <v/>
      </c>
      <c r="O3860" s="16" t="str">
        <f>IF($A3860&lt;Notes!$B$5,"",IF(COUNTIFS(Release_Calendar!$A$2:$A$755,"NZ_LABOUR",Release_Calendar!$B$2:$B$755,$A3860)&gt;0,1,0))</f>
        <v/>
      </c>
      <c r="P3860" s="16">
        <f t="shared" si="4"/>
        <v>0</v>
      </c>
    </row>
    <row r="3861" ht="15.75" customHeight="1">
      <c r="A3861" s="14">
        <v>41929.0</v>
      </c>
      <c r="B3861" s="15">
        <v>0.39</v>
      </c>
      <c r="C3861" s="15">
        <v>3.96</v>
      </c>
      <c r="D3861" s="15"/>
      <c r="E3861" s="15"/>
      <c r="F3861" s="15">
        <f t="shared" si="1"/>
        <v>3.57</v>
      </c>
      <c r="G3861" s="15">
        <f t="shared" si="2"/>
        <v>3.96</v>
      </c>
      <c r="H3861" s="16">
        <v>0.0</v>
      </c>
      <c r="I3861" s="15">
        <f t="shared" si="3"/>
        <v>3.57</v>
      </c>
      <c r="J3861" s="15">
        <v>21.99</v>
      </c>
      <c r="K3861" s="16">
        <f>IF(COUNTIFS(Release_Calendar!$A$2:$A$755,"US_CPI",Release_Calendar!$B$2:$B$755,$A3861)&gt;0,1,0)</f>
        <v>0</v>
      </c>
      <c r="L3861" s="16">
        <f>IF(COUNTIFS(Release_Calendar!$A$2:$A$755,"US_NFP",Release_Calendar!$B$2:$B$755,$A3861)&gt;0,1,0)</f>
        <v>0</v>
      </c>
      <c r="M3861" s="16" t="str">
        <f>IF($A3861&lt;Notes!$B$5,"",IF(COUNTIFS(Release_Calendar!$A$2:$A$755,"NZ_CPI",Release_Calendar!$B$2:$B$755,$A3861)&gt;0,1,0))</f>
        <v/>
      </c>
      <c r="N3861" s="16" t="str">
        <f>IF($A3861&lt;Notes!$B$5,"",IF(COUNTIFS(Release_Calendar!$A$2:$A$755,"NZ_GDP",Release_Calendar!$B$2:$B$755,$A3861)&gt;0,1,0))</f>
        <v/>
      </c>
      <c r="O3861" s="16" t="str">
        <f>IF($A3861&lt;Notes!$B$5,"",IF(COUNTIFS(Release_Calendar!$A$2:$A$755,"NZ_LABOUR",Release_Calendar!$B$2:$B$755,$A3861)&gt;0,1,0))</f>
        <v/>
      </c>
      <c r="P3861" s="16">
        <f t="shared" si="4"/>
        <v>0</v>
      </c>
    </row>
    <row r="3862" ht="15.75" customHeight="1">
      <c r="A3862" s="14">
        <v>41932.0</v>
      </c>
      <c r="B3862" s="15">
        <v>0.37</v>
      </c>
      <c r="C3862" s="15">
        <v>3.98</v>
      </c>
      <c r="D3862" s="15"/>
      <c r="E3862" s="15"/>
      <c r="F3862" s="15">
        <f t="shared" si="1"/>
        <v>3.61</v>
      </c>
      <c r="G3862" s="15">
        <f t="shared" si="2"/>
        <v>3.98</v>
      </c>
      <c r="H3862" s="16">
        <v>0.0</v>
      </c>
      <c r="I3862" s="15">
        <f t="shared" si="3"/>
        <v>3.61</v>
      </c>
      <c r="J3862" s="15">
        <v>18.57</v>
      </c>
      <c r="K3862" s="16">
        <f>IF(COUNTIFS(Release_Calendar!$A$2:$A$755,"US_CPI",Release_Calendar!$B$2:$B$755,$A3862)&gt;0,1,0)</f>
        <v>0</v>
      </c>
      <c r="L3862" s="16">
        <f>IF(COUNTIFS(Release_Calendar!$A$2:$A$755,"US_NFP",Release_Calendar!$B$2:$B$755,$A3862)&gt;0,1,0)</f>
        <v>0</v>
      </c>
      <c r="M3862" s="16" t="str">
        <f>IF($A3862&lt;Notes!$B$5,"",IF(COUNTIFS(Release_Calendar!$A$2:$A$755,"NZ_CPI",Release_Calendar!$B$2:$B$755,$A3862)&gt;0,1,0))</f>
        <v/>
      </c>
      <c r="N3862" s="16" t="str">
        <f>IF($A3862&lt;Notes!$B$5,"",IF(COUNTIFS(Release_Calendar!$A$2:$A$755,"NZ_GDP",Release_Calendar!$B$2:$B$755,$A3862)&gt;0,1,0))</f>
        <v/>
      </c>
      <c r="O3862" s="16" t="str">
        <f>IF($A3862&lt;Notes!$B$5,"",IF(COUNTIFS(Release_Calendar!$A$2:$A$755,"NZ_LABOUR",Release_Calendar!$B$2:$B$755,$A3862)&gt;0,1,0))</f>
        <v/>
      </c>
      <c r="P3862" s="16">
        <f t="shared" si="4"/>
        <v>0</v>
      </c>
    </row>
    <row r="3863" ht="15.75" customHeight="1">
      <c r="A3863" s="14">
        <v>41933.0</v>
      </c>
      <c r="B3863" s="15">
        <v>0.38</v>
      </c>
      <c r="C3863" s="15">
        <v>3.94</v>
      </c>
      <c r="D3863" s="15"/>
      <c r="E3863" s="15"/>
      <c r="F3863" s="15">
        <f t="shared" si="1"/>
        <v>3.56</v>
      </c>
      <c r="G3863" s="15">
        <f t="shared" si="2"/>
        <v>3.94</v>
      </c>
      <c r="H3863" s="16">
        <v>0.0</v>
      </c>
      <c r="I3863" s="15">
        <f t="shared" si="3"/>
        <v>3.56</v>
      </c>
      <c r="J3863" s="15">
        <v>16.08</v>
      </c>
      <c r="K3863" s="16">
        <f>IF(COUNTIFS(Release_Calendar!$A$2:$A$755,"US_CPI",Release_Calendar!$B$2:$B$755,$A3863)&gt;0,1,0)</f>
        <v>0</v>
      </c>
      <c r="L3863" s="16">
        <f>IF(COUNTIFS(Release_Calendar!$A$2:$A$755,"US_NFP",Release_Calendar!$B$2:$B$755,$A3863)&gt;0,1,0)</f>
        <v>0</v>
      </c>
      <c r="M3863" s="16" t="str">
        <f>IF($A3863&lt;Notes!$B$5,"",IF(COUNTIFS(Release_Calendar!$A$2:$A$755,"NZ_CPI",Release_Calendar!$B$2:$B$755,$A3863)&gt;0,1,0))</f>
        <v/>
      </c>
      <c r="N3863" s="16" t="str">
        <f>IF($A3863&lt;Notes!$B$5,"",IF(COUNTIFS(Release_Calendar!$A$2:$A$755,"NZ_GDP",Release_Calendar!$B$2:$B$755,$A3863)&gt;0,1,0))</f>
        <v/>
      </c>
      <c r="O3863" s="16" t="str">
        <f>IF($A3863&lt;Notes!$B$5,"",IF(COUNTIFS(Release_Calendar!$A$2:$A$755,"NZ_LABOUR",Release_Calendar!$B$2:$B$755,$A3863)&gt;0,1,0))</f>
        <v/>
      </c>
      <c r="P3863" s="16">
        <f t="shared" si="4"/>
        <v>0</v>
      </c>
    </row>
    <row r="3864" ht="15.75" customHeight="1">
      <c r="A3864" s="14">
        <v>41934.0</v>
      </c>
      <c r="B3864" s="15">
        <v>0.41</v>
      </c>
      <c r="C3864" s="15">
        <v>3.96</v>
      </c>
      <c r="D3864" s="15"/>
      <c r="E3864" s="15"/>
      <c r="F3864" s="15">
        <f t="shared" si="1"/>
        <v>3.55</v>
      </c>
      <c r="G3864" s="15">
        <f t="shared" si="2"/>
        <v>3.96</v>
      </c>
      <c r="H3864" s="16">
        <v>0.0</v>
      </c>
      <c r="I3864" s="15">
        <f t="shared" si="3"/>
        <v>3.55</v>
      </c>
      <c r="J3864" s="15">
        <v>17.87</v>
      </c>
      <c r="K3864" s="16">
        <f>IF(COUNTIFS(Release_Calendar!$A$2:$A$755,"US_CPI",Release_Calendar!$B$2:$B$755,$A3864)&gt;0,1,0)</f>
        <v>1</v>
      </c>
      <c r="L3864" s="16">
        <f>IF(COUNTIFS(Release_Calendar!$A$2:$A$755,"US_NFP",Release_Calendar!$B$2:$B$755,$A3864)&gt;0,1,0)</f>
        <v>0</v>
      </c>
      <c r="M3864" s="16" t="str">
        <f>IF($A3864&lt;Notes!$B$5,"",IF(COUNTIFS(Release_Calendar!$A$2:$A$755,"NZ_CPI",Release_Calendar!$B$2:$B$755,$A3864)&gt;0,1,0))</f>
        <v/>
      </c>
      <c r="N3864" s="16" t="str">
        <f>IF($A3864&lt;Notes!$B$5,"",IF(COUNTIFS(Release_Calendar!$A$2:$A$755,"NZ_GDP",Release_Calendar!$B$2:$B$755,$A3864)&gt;0,1,0))</f>
        <v/>
      </c>
      <c r="O3864" s="16" t="str">
        <f>IF($A3864&lt;Notes!$B$5,"",IF(COUNTIFS(Release_Calendar!$A$2:$A$755,"NZ_LABOUR",Release_Calendar!$B$2:$B$755,$A3864)&gt;0,1,0))</f>
        <v/>
      </c>
      <c r="P3864" s="16">
        <f t="shared" si="4"/>
        <v>1</v>
      </c>
    </row>
    <row r="3865" ht="15.75" customHeight="1">
      <c r="A3865" s="14">
        <v>41935.0</v>
      </c>
      <c r="B3865" s="15">
        <v>0.41</v>
      </c>
      <c r="C3865" s="15">
        <v>3.91</v>
      </c>
      <c r="D3865" s="15"/>
      <c r="E3865" s="15"/>
      <c r="F3865" s="15">
        <f t="shared" si="1"/>
        <v>3.5</v>
      </c>
      <c r="G3865" s="15">
        <f t="shared" si="2"/>
        <v>3.91</v>
      </c>
      <c r="H3865" s="16">
        <v>0.0</v>
      </c>
      <c r="I3865" s="15">
        <f t="shared" si="3"/>
        <v>3.5</v>
      </c>
      <c r="J3865" s="15">
        <v>16.53</v>
      </c>
      <c r="K3865" s="16">
        <f>IF(COUNTIFS(Release_Calendar!$A$2:$A$755,"US_CPI",Release_Calendar!$B$2:$B$755,$A3865)&gt;0,1,0)</f>
        <v>0</v>
      </c>
      <c r="L3865" s="16">
        <f>IF(COUNTIFS(Release_Calendar!$A$2:$A$755,"US_NFP",Release_Calendar!$B$2:$B$755,$A3865)&gt;0,1,0)</f>
        <v>0</v>
      </c>
      <c r="M3865" s="16" t="str">
        <f>IF($A3865&lt;Notes!$B$5,"",IF(COUNTIFS(Release_Calendar!$A$2:$A$755,"NZ_CPI",Release_Calendar!$B$2:$B$755,$A3865)&gt;0,1,0))</f>
        <v/>
      </c>
      <c r="N3865" s="16" t="str">
        <f>IF($A3865&lt;Notes!$B$5,"",IF(COUNTIFS(Release_Calendar!$A$2:$A$755,"NZ_GDP",Release_Calendar!$B$2:$B$755,$A3865)&gt;0,1,0))</f>
        <v/>
      </c>
      <c r="O3865" s="16" t="str">
        <f>IF($A3865&lt;Notes!$B$5,"",IF(COUNTIFS(Release_Calendar!$A$2:$A$755,"NZ_LABOUR",Release_Calendar!$B$2:$B$755,$A3865)&gt;0,1,0))</f>
        <v/>
      </c>
      <c r="P3865" s="16">
        <f t="shared" si="4"/>
        <v>0</v>
      </c>
    </row>
    <row r="3866" ht="15.75" customHeight="1">
      <c r="A3866" s="14">
        <v>41936.0</v>
      </c>
      <c r="B3866" s="15">
        <v>0.41</v>
      </c>
      <c r="C3866" s="15">
        <v>3.92</v>
      </c>
      <c r="D3866" s="15"/>
      <c r="E3866" s="15"/>
      <c r="F3866" s="15">
        <f t="shared" si="1"/>
        <v>3.51</v>
      </c>
      <c r="G3866" s="15">
        <f t="shared" si="2"/>
        <v>3.92</v>
      </c>
      <c r="H3866" s="16">
        <v>0.0</v>
      </c>
      <c r="I3866" s="15">
        <f t="shared" si="3"/>
        <v>3.51</v>
      </c>
      <c r="J3866" s="15">
        <v>16.11</v>
      </c>
      <c r="K3866" s="16">
        <f>IF(COUNTIFS(Release_Calendar!$A$2:$A$755,"US_CPI",Release_Calendar!$B$2:$B$755,$A3866)&gt;0,1,0)</f>
        <v>0</v>
      </c>
      <c r="L3866" s="16">
        <f>IF(COUNTIFS(Release_Calendar!$A$2:$A$755,"US_NFP",Release_Calendar!$B$2:$B$755,$A3866)&gt;0,1,0)</f>
        <v>0</v>
      </c>
      <c r="M3866" s="16" t="str">
        <f>IF($A3866&lt;Notes!$B$5,"",IF(COUNTIFS(Release_Calendar!$A$2:$A$755,"NZ_CPI",Release_Calendar!$B$2:$B$755,$A3866)&gt;0,1,0))</f>
        <v/>
      </c>
      <c r="N3866" s="16" t="str">
        <f>IF($A3866&lt;Notes!$B$5,"",IF(COUNTIFS(Release_Calendar!$A$2:$A$755,"NZ_GDP",Release_Calendar!$B$2:$B$755,$A3866)&gt;0,1,0))</f>
        <v/>
      </c>
      <c r="O3866" s="16" t="str">
        <f>IF($A3866&lt;Notes!$B$5,"",IF(COUNTIFS(Release_Calendar!$A$2:$A$755,"NZ_LABOUR",Release_Calendar!$B$2:$B$755,$A3866)&gt;0,1,0))</f>
        <v/>
      </c>
      <c r="P3866" s="16">
        <f t="shared" si="4"/>
        <v>0</v>
      </c>
    </row>
    <row r="3867" ht="15.75" customHeight="1">
      <c r="A3867" s="14">
        <v>41939.0</v>
      </c>
      <c r="B3867" s="15">
        <v>0.41</v>
      </c>
      <c r="C3867" s="15"/>
      <c r="D3867" s="15"/>
      <c r="E3867" s="15"/>
      <c r="F3867" s="15" t="str">
        <f t="shared" si="1"/>
        <v/>
      </c>
      <c r="G3867" s="15" t="str">
        <f t="shared" si="2"/>
        <v/>
      </c>
      <c r="H3867" s="16">
        <v>0.0</v>
      </c>
      <c r="I3867" s="15" t="str">
        <f t="shared" si="3"/>
        <v/>
      </c>
      <c r="J3867" s="15">
        <v>16.04</v>
      </c>
      <c r="K3867" s="16">
        <f>IF(COUNTIFS(Release_Calendar!$A$2:$A$755,"US_CPI",Release_Calendar!$B$2:$B$755,$A3867)&gt;0,1,0)</f>
        <v>0</v>
      </c>
      <c r="L3867" s="16">
        <f>IF(COUNTIFS(Release_Calendar!$A$2:$A$755,"US_NFP",Release_Calendar!$B$2:$B$755,$A3867)&gt;0,1,0)</f>
        <v>0</v>
      </c>
      <c r="M3867" s="16" t="str">
        <f>IF($A3867&lt;Notes!$B$5,"",IF(COUNTIFS(Release_Calendar!$A$2:$A$755,"NZ_CPI",Release_Calendar!$B$2:$B$755,$A3867)&gt;0,1,0))</f>
        <v/>
      </c>
      <c r="N3867" s="16" t="str">
        <f>IF($A3867&lt;Notes!$B$5,"",IF(COUNTIFS(Release_Calendar!$A$2:$A$755,"NZ_GDP",Release_Calendar!$B$2:$B$755,$A3867)&gt;0,1,0))</f>
        <v/>
      </c>
      <c r="O3867" s="16" t="str">
        <f>IF($A3867&lt;Notes!$B$5,"",IF(COUNTIFS(Release_Calendar!$A$2:$A$755,"NZ_LABOUR",Release_Calendar!$B$2:$B$755,$A3867)&gt;0,1,0))</f>
        <v/>
      </c>
      <c r="P3867" s="16">
        <f t="shared" si="4"/>
        <v>0</v>
      </c>
    </row>
    <row r="3868" ht="15.75" customHeight="1">
      <c r="A3868" s="14">
        <v>41940.0</v>
      </c>
      <c r="B3868" s="15">
        <v>0.42</v>
      </c>
      <c r="C3868" s="15">
        <v>3.9</v>
      </c>
      <c r="D3868" s="15"/>
      <c r="E3868" s="15"/>
      <c r="F3868" s="15">
        <f t="shared" si="1"/>
        <v>3.48</v>
      </c>
      <c r="G3868" s="15">
        <f t="shared" si="2"/>
        <v>3.9</v>
      </c>
      <c r="H3868" s="16">
        <v>0.0</v>
      </c>
      <c r="I3868" s="15">
        <f t="shared" si="3"/>
        <v>3.48</v>
      </c>
      <c r="J3868" s="15">
        <v>14.39</v>
      </c>
      <c r="K3868" s="16">
        <f>IF(COUNTIFS(Release_Calendar!$A$2:$A$755,"US_CPI",Release_Calendar!$B$2:$B$755,$A3868)&gt;0,1,0)</f>
        <v>0</v>
      </c>
      <c r="L3868" s="16">
        <f>IF(COUNTIFS(Release_Calendar!$A$2:$A$755,"US_NFP",Release_Calendar!$B$2:$B$755,$A3868)&gt;0,1,0)</f>
        <v>0</v>
      </c>
      <c r="M3868" s="16" t="str">
        <f>IF($A3868&lt;Notes!$B$5,"",IF(COUNTIFS(Release_Calendar!$A$2:$A$755,"NZ_CPI",Release_Calendar!$B$2:$B$755,$A3868)&gt;0,1,0))</f>
        <v/>
      </c>
      <c r="N3868" s="16" t="str">
        <f>IF($A3868&lt;Notes!$B$5,"",IF(COUNTIFS(Release_Calendar!$A$2:$A$755,"NZ_GDP",Release_Calendar!$B$2:$B$755,$A3868)&gt;0,1,0))</f>
        <v/>
      </c>
      <c r="O3868" s="16" t="str">
        <f>IF($A3868&lt;Notes!$B$5,"",IF(COUNTIFS(Release_Calendar!$A$2:$A$755,"NZ_LABOUR",Release_Calendar!$B$2:$B$755,$A3868)&gt;0,1,0))</f>
        <v/>
      </c>
      <c r="P3868" s="16">
        <f t="shared" si="4"/>
        <v>0</v>
      </c>
    </row>
    <row r="3869" ht="15.75" customHeight="1">
      <c r="A3869" s="14">
        <v>41941.0</v>
      </c>
      <c r="B3869" s="15">
        <v>0.48</v>
      </c>
      <c r="C3869" s="15">
        <v>3.9</v>
      </c>
      <c r="D3869" s="15"/>
      <c r="E3869" s="15"/>
      <c r="F3869" s="15">
        <f t="shared" si="1"/>
        <v>3.42</v>
      </c>
      <c r="G3869" s="15">
        <f t="shared" si="2"/>
        <v>3.9</v>
      </c>
      <c r="H3869" s="16">
        <v>0.0</v>
      </c>
      <c r="I3869" s="15">
        <f t="shared" si="3"/>
        <v>3.42</v>
      </c>
      <c r="J3869" s="15">
        <v>15.15</v>
      </c>
      <c r="K3869" s="16">
        <f>IF(COUNTIFS(Release_Calendar!$A$2:$A$755,"US_CPI",Release_Calendar!$B$2:$B$755,$A3869)&gt;0,1,0)</f>
        <v>0</v>
      </c>
      <c r="L3869" s="16">
        <f>IF(COUNTIFS(Release_Calendar!$A$2:$A$755,"US_NFP",Release_Calendar!$B$2:$B$755,$A3869)&gt;0,1,0)</f>
        <v>0</v>
      </c>
      <c r="M3869" s="16" t="str">
        <f>IF($A3869&lt;Notes!$B$5,"",IF(COUNTIFS(Release_Calendar!$A$2:$A$755,"NZ_CPI",Release_Calendar!$B$2:$B$755,$A3869)&gt;0,1,0))</f>
        <v/>
      </c>
      <c r="N3869" s="16" t="str">
        <f>IF($A3869&lt;Notes!$B$5,"",IF(COUNTIFS(Release_Calendar!$A$2:$A$755,"NZ_GDP",Release_Calendar!$B$2:$B$755,$A3869)&gt;0,1,0))</f>
        <v/>
      </c>
      <c r="O3869" s="16" t="str">
        <f>IF($A3869&lt;Notes!$B$5,"",IF(COUNTIFS(Release_Calendar!$A$2:$A$755,"NZ_LABOUR",Release_Calendar!$B$2:$B$755,$A3869)&gt;0,1,0))</f>
        <v/>
      </c>
      <c r="P3869" s="16">
        <f t="shared" si="4"/>
        <v>0</v>
      </c>
    </row>
    <row r="3870" ht="15.75" customHeight="1">
      <c r="A3870" s="14">
        <v>41942.0</v>
      </c>
      <c r="B3870" s="15">
        <v>0.48</v>
      </c>
      <c r="C3870" s="15">
        <v>3.88</v>
      </c>
      <c r="D3870" s="15"/>
      <c r="E3870" s="15"/>
      <c r="F3870" s="15">
        <f t="shared" si="1"/>
        <v>3.4</v>
      </c>
      <c r="G3870" s="15">
        <f t="shared" si="2"/>
        <v>3.88</v>
      </c>
      <c r="H3870" s="16">
        <v>0.0</v>
      </c>
      <c r="I3870" s="15">
        <f t="shared" si="3"/>
        <v>3.4</v>
      </c>
      <c r="J3870" s="15">
        <v>14.52</v>
      </c>
      <c r="K3870" s="16">
        <f>IF(COUNTIFS(Release_Calendar!$A$2:$A$755,"US_CPI",Release_Calendar!$B$2:$B$755,$A3870)&gt;0,1,0)</f>
        <v>0</v>
      </c>
      <c r="L3870" s="16">
        <f>IF(COUNTIFS(Release_Calendar!$A$2:$A$755,"US_NFP",Release_Calendar!$B$2:$B$755,$A3870)&gt;0,1,0)</f>
        <v>0</v>
      </c>
      <c r="M3870" s="16" t="str">
        <f>IF($A3870&lt;Notes!$B$5,"",IF(COUNTIFS(Release_Calendar!$A$2:$A$755,"NZ_CPI",Release_Calendar!$B$2:$B$755,$A3870)&gt;0,1,0))</f>
        <v/>
      </c>
      <c r="N3870" s="16" t="str">
        <f>IF($A3870&lt;Notes!$B$5,"",IF(COUNTIFS(Release_Calendar!$A$2:$A$755,"NZ_GDP",Release_Calendar!$B$2:$B$755,$A3870)&gt;0,1,0))</f>
        <v/>
      </c>
      <c r="O3870" s="16" t="str">
        <f>IF($A3870&lt;Notes!$B$5,"",IF(COUNTIFS(Release_Calendar!$A$2:$A$755,"NZ_LABOUR",Release_Calendar!$B$2:$B$755,$A3870)&gt;0,1,0))</f>
        <v/>
      </c>
      <c r="P3870" s="16">
        <f t="shared" si="4"/>
        <v>0</v>
      </c>
    </row>
    <row r="3871" ht="15.75" customHeight="1">
      <c r="A3871" s="14">
        <v>41943.0</v>
      </c>
      <c r="B3871" s="15">
        <v>0.5</v>
      </c>
      <c r="C3871" s="15">
        <v>3.87</v>
      </c>
      <c r="D3871" s="15"/>
      <c r="E3871" s="15"/>
      <c r="F3871" s="15">
        <f t="shared" si="1"/>
        <v>3.37</v>
      </c>
      <c r="G3871" s="15">
        <f t="shared" si="2"/>
        <v>3.87</v>
      </c>
      <c r="H3871" s="16">
        <v>0.0</v>
      </c>
      <c r="I3871" s="15">
        <f t="shared" si="3"/>
        <v>3.37</v>
      </c>
      <c r="J3871" s="15">
        <v>14.03</v>
      </c>
      <c r="K3871" s="16">
        <f>IF(COUNTIFS(Release_Calendar!$A$2:$A$755,"US_CPI",Release_Calendar!$B$2:$B$755,$A3871)&gt;0,1,0)</f>
        <v>0</v>
      </c>
      <c r="L3871" s="16">
        <f>IF(COUNTIFS(Release_Calendar!$A$2:$A$755,"US_NFP",Release_Calendar!$B$2:$B$755,$A3871)&gt;0,1,0)</f>
        <v>0</v>
      </c>
      <c r="M3871" s="16" t="str">
        <f>IF($A3871&lt;Notes!$B$5,"",IF(COUNTIFS(Release_Calendar!$A$2:$A$755,"NZ_CPI",Release_Calendar!$B$2:$B$755,$A3871)&gt;0,1,0))</f>
        <v/>
      </c>
      <c r="N3871" s="16" t="str">
        <f>IF($A3871&lt;Notes!$B$5,"",IF(COUNTIFS(Release_Calendar!$A$2:$A$755,"NZ_GDP",Release_Calendar!$B$2:$B$755,$A3871)&gt;0,1,0))</f>
        <v/>
      </c>
      <c r="O3871" s="16" t="str">
        <f>IF($A3871&lt;Notes!$B$5,"",IF(COUNTIFS(Release_Calendar!$A$2:$A$755,"NZ_LABOUR",Release_Calendar!$B$2:$B$755,$A3871)&gt;0,1,0))</f>
        <v/>
      </c>
      <c r="P3871" s="16">
        <f t="shared" si="4"/>
        <v>0</v>
      </c>
    </row>
    <row r="3872" ht="15.75" customHeight="1">
      <c r="A3872" s="14">
        <v>41946.0</v>
      </c>
      <c r="B3872" s="15">
        <v>0.52</v>
      </c>
      <c r="C3872" s="15">
        <v>3.87</v>
      </c>
      <c r="D3872" s="15"/>
      <c r="E3872" s="15"/>
      <c r="F3872" s="15">
        <f t="shared" si="1"/>
        <v>3.35</v>
      </c>
      <c r="G3872" s="15">
        <f t="shared" si="2"/>
        <v>3.87</v>
      </c>
      <c r="H3872" s="16">
        <v>0.0</v>
      </c>
      <c r="I3872" s="15">
        <f t="shared" si="3"/>
        <v>3.35</v>
      </c>
      <c r="J3872" s="15">
        <v>14.73</v>
      </c>
      <c r="K3872" s="16">
        <f>IF(COUNTIFS(Release_Calendar!$A$2:$A$755,"US_CPI",Release_Calendar!$B$2:$B$755,$A3872)&gt;0,1,0)</f>
        <v>0</v>
      </c>
      <c r="L3872" s="16">
        <f>IF(COUNTIFS(Release_Calendar!$A$2:$A$755,"US_NFP",Release_Calendar!$B$2:$B$755,$A3872)&gt;0,1,0)</f>
        <v>0</v>
      </c>
      <c r="M3872" s="16" t="str">
        <f>IF($A3872&lt;Notes!$B$5,"",IF(COUNTIFS(Release_Calendar!$A$2:$A$755,"NZ_CPI",Release_Calendar!$B$2:$B$755,$A3872)&gt;0,1,0))</f>
        <v/>
      </c>
      <c r="N3872" s="16" t="str">
        <f>IF($A3872&lt;Notes!$B$5,"",IF(COUNTIFS(Release_Calendar!$A$2:$A$755,"NZ_GDP",Release_Calendar!$B$2:$B$755,$A3872)&gt;0,1,0))</f>
        <v/>
      </c>
      <c r="O3872" s="16" t="str">
        <f>IF($A3872&lt;Notes!$B$5,"",IF(COUNTIFS(Release_Calendar!$A$2:$A$755,"NZ_LABOUR",Release_Calendar!$B$2:$B$755,$A3872)&gt;0,1,0))</f>
        <v/>
      </c>
      <c r="P3872" s="16">
        <f t="shared" si="4"/>
        <v>0</v>
      </c>
    </row>
    <row r="3873" ht="15.75" customHeight="1">
      <c r="A3873" s="14">
        <v>41947.0</v>
      </c>
      <c r="B3873" s="15">
        <v>0.52</v>
      </c>
      <c r="C3873" s="15">
        <v>3.88</v>
      </c>
      <c r="D3873" s="15"/>
      <c r="E3873" s="15"/>
      <c r="F3873" s="15">
        <f t="shared" si="1"/>
        <v>3.36</v>
      </c>
      <c r="G3873" s="15">
        <f t="shared" si="2"/>
        <v>3.88</v>
      </c>
      <c r="H3873" s="16">
        <v>0.0</v>
      </c>
      <c r="I3873" s="15">
        <f t="shared" si="3"/>
        <v>3.36</v>
      </c>
      <c r="J3873" s="15">
        <v>14.89</v>
      </c>
      <c r="K3873" s="16">
        <f>IF(COUNTIFS(Release_Calendar!$A$2:$A$755,"US_CPI",Release_Calendar!$B$2:$B$755,$A3873)&gt;0,1,0)</f>
        <v>0</v>
      </c>
      <c r="L3873" s="16">
        <f>IF(COUNTIFS(Release_Calendar!$A$2:$A$755,"US_NFP",Release_Calendar!$B$2:$B$755,$A3873)&gt;0,1,0)</f>
        <v>0</v>
      </c>
      <c r="M3873" s="16" t="str">
        <f>IF($A3873&lt;Notes!$B$5,"",IF(COUNTIFS(Release_Calendar!$A$2:$A$755,"NZ_CPI",Release_Calendar!$B$2:$B$755,$A3873)&gt;0,1,0))</f>
        <v/>
      </c>
      <c r="N3873" s="16" t="str">
        <f>IF($A3873&lt;Notes!$B$5,"",IF(COUNTIFS(Release_Calendar!$A$2:$A$755,"NZ_GDP",Release_Calendar!$B$2:$B$755,$A3873)&gt;0,1,0))</f>
        <v/>
      </c>
      <c r="O3873" s="16" t="str">
        <f>IF($A3873&lt;Notes!$B$5,"",IF(COUNTIFS(Release_Calendar!$A$2:$A$755,"NZ_LABOUR",Release_Calendar!$B$2:$B$755,$A3873)&gt;0,1,0))</f>
        <v/>
      </c>
      <c r="P3873" s="16">
        <f t="shared" si="4"/>
        <v>0</v>
      </c>
    </row>
    <row r="3874" ht="15.75" customHeight="1">
      <c r="A3874" s="14">
        <v>41948.0</v>
      </c>
      <c r="B3874" s="15">
        <v>0.52</v>
      </c>
      <c r="C3874" s="15">
        <v>3.89</v>
      </c>
      <c r="D3874" s="15"/>
      <c r="E3874" s="15"/>
      <c r="F3874" s="15">
        <f t="shared" si="1"/>
        <v>3.37</v>
      </c>
      <c r="G3874" s="15">
        <f t="shared" si="2"/>
        <v>3.89</v>
      </c>
      <c r="H3874" s="16">
        <v>0.0</v>
      </c>
      <c r="I3874" s="15">
        <f t="shared" si="3"/>
        <v>3.37</v>
      </c>
      <c r="J3874" s="15">
        <v>14.17</v>
      </c>
      <c r="K3874" s="16">
        <f>IF(COUNTIFS(Release_Calendar!$A$2:$A$755,"US_CPI",Release_Calendar!$B$2:$B$755,$A3874)&gt;0,1,0)</f>
        <v>0</v>
      </c>
      <c r="L3874" s="16">
        <f>IF(COUNTIFS(Release_Calendar!$A$2:$A$755,"US_NFP",Release_Calendar!$B$2:$B$755,$A3874)&gt;0,1,0)</f>
        <v>0</v>
      </c>
      <c r="M3874" s="16" t="str">
        <f>IF($A3874&lt;Notes!$B$5,"",IF(COUNTIFS(Release_Calendar!$A$2:$A$755,"NZ_CPI",Release_Calendar!$B$2:$B$755,$A3874)&gt;0,1,0))</f>
        <v/>
      </c>
      <c r="N3874" s="16" t="str">
        <f>IF($A3874&lt;Notes!$B$5,"",IF(COUNTIFS(Release_Calendar!$A$2:$A$755,"NZ_GDP",Release_Calendar!$B$2:$B$755,$A3874)&gt;0,1,0))</f>
        <v/>
      </c>
      <c r="O3874" s="16" t="str">
        <f>IF($A3874&lt;Notes!$B$5,"",IF(COUNTIFS(Release_Calendar!$A$2:$A$755,"NZ_LABOUR",Release_Calendar!$B$2:$B$755,$A3874)&gt;0,1,0))</f>
        <v/>
      </c>
      <c r="P3874" s="16">
        <f t="shared" si="4"/>
        <v>0</v>
      </c>
    </row>
    <row r="3875" ht="15.75" customHeight="1">
      <c r="A3875" s="14">
        <v>41949.0</v>
      </c>
      <c r="B3875" s="15">
        <v>0.54</v>
      </c>
      <c r="C3875" s="15">
        <v>3.9</v>
      </c>
      <c r="D3875" s="15"/>
      <c r="E3875" s="15"/>
      <c r="F3875" s="15">
        <f t="shared" si="1"/>
        <v>3.36</v>
      </c>
      <c r="G3875" s="15">
        <f t="shared" si="2"/>
        <v>3.9</v>
      </c>
      <c r="H3875" s="16">
        <v>0.0</v>
      </c>
      <c r="I3875" s="15">
        <f t="shared" si="3"/>
        <v>3.36</v>
      </c>
      <c r="J3875" s="15">
        <v>13.67</v>
      </c>
      <c r="K3875" s="16">
        <f>IF(COUNTIFS(Release_Calendar!$A$2:$A$755,"US_CPI",Release_Calendar!$B$2:$B$755,$A3875)&gt;0,1,0)</f>
        <v>0</v>
      </c>
      <c r="L3875" s="16">
        <f>IF(COUNTIFS(Release_Calendar!$A$2:$A$755,"US_NFP",Release_Calendar!$B$2:$B$755,$A3875)&gt;0,1,0)</f>
        <v>0</v>
      </c>
      <c r="M3875" s="16" t="str">
        <f>IF($A3875&lt;Notes!$B$5,"",IF(COUNTIFS(Release_Calendar!$A$2:$A$755,"NZ_CPI",Release_Calendar!$B$2:$B$755,$A3875)&gt;0,1,0))</f>
        <v/>
      </c>
      <c r="N3875" s="16" t="str">
        <f>IF($A3875&lt;Notes!$B$5,"",IF(COUNTIFS(Release_Calendar!$A$2:$A$755,"NZ_GDP",Release_Calendar!$B$2:$B$755,$A3875)&gt;0,1,0))</f>
        <v/>
      </c>
      <c r="O3875" s="16" t="str">
        <f>IF($A3875&lt;Notes!$B$5,"",IF(COUNTIFS(Release_Calendar!$A$2:$A$755,"NZ_LABOUR",Release_Calendar!$B$2:$B$755,$A3875)&gt;0,1,0))</f>
        <v/>
      </c>
      <c r="P3875" s="16">
        <f t="shared" si="4"/>
        <v>0</v>
      </c>
    </row>
    <row r="3876" ht="15.75" customHeight="1">
      <c r="A3876" s="14">
        <v>41950.0</v>
      </c>
      <c r="B3876" s="15">
        <v>0.51</v>
      </c>
      <c r="C3876" s="15">
        <v>3.93</v>
      </c>
      <c r="D3876" s="15"/>
      <c r="E3876" s="15"/>
      <c r="F3876" s="15">
        <f t="shared" si="1"/>
        <v>3.42</v>
      </c>
      <c r="G3876" s="15">
        <f t="shared" si="2"/>
        <v>3.93</v>
      </c>
      <c r="H3876" s="16">
        <v>0.0</v>
      </c>
      <c r="I3876" s="15">
        <f t="shared" si="3"/>
        <v>3.42</v>
      </c>
      <c r="J3876" s="15">
        <v>13.12</v>
      </c>
      <c r="K3876" s="16">
        <f>IF(COUNTIFS(Release_Calendar!$A$2:$A$755,"US_CPI",Release_Calendar!$B$2:$B$755,$A3876)&gt;0,1,0)</f>
        <v>0</v>
      </c>
      <c r="L3876" s="16">
        <f>IF(COUNTIFS(Release_Calendar!$A$2:$A$755,"US_NFP",Release_Calendar!$B$2:$B$755,$A3876)&gt;0,1,0)</f>
        <v>1</v>
      </c>
      <c r="M3876" s="16" t="str">
        <f>IF($A3876&lt;Notes!$B$5,"",IF(COUNTIFS(Release_Calendar!$A$2:$A$755,"NZ_CPI",Release_Calendar!$B$2:$B$755,$A3876)&gt;0,1,0))</f>
        <v/>
      </c>
      <c r="N3876" s="16" t="str">
        <f>IF($A3876&lt;Notes!$B$5,"",IF(COUNTIFS(Release_Calendar!$A$2:$A$755,"NZ_GDP",Release_Calendar!$B$2:$B$755,$A3876)&gt;0,1,0))</f>
        <v/>
      </c>
      <c r="O3876" s="16" t="str">
        <f>IF($A3876&lt;Notes!$B$5,"",IF(COUNTIFS(Release_Calendar!$A$2:$A$755,"NZ_LABOUR",Release_Calendar!$B$2:$B$755,$A3876)&gt;0,1,0))</f>
        <v/>
      </c>
      <c r="P3876" s="16">
        <f t="shared" si="4"/>
        <v>1</v>
      </c>
    </row>
    <row r="3877" ht="15.75" customHeight="1">
      <c r="A3877" s="14">
        <v>41953.0</v>
      </c>
      <c r="B3877" s="15">
        <v>0.55</v>
      </c>
      <c r="C3877" s="15">
        <v>3.9</v>
      </c>
      <c r="D3877" s="15"/>
      <c r="E3877" s="15"/>
      <c r="F3877" s="15">
        <f t="shared" si="1"/>
        <v>3.35</v>
      </c>
      <c r="G3877" s="15">
        <f t="shared" si="2"/>
        <v>3.9</v>
      </c>
      <c r="H3877" s="16">
        <v>0.0</v>
      </c>
      <c r="I3877" s="15">
        <f t="shared" si="3"/>
        <v>3.35</v>
      </c>
      <c r="J3877" s="15">
        <v>12.67</v>
      </c>
      <c r="K3877" s="16">
        <f>IF(COUNTIFS(Release_Calendar!$A$2:$A$755,"US_CPI",Release_Calendar!$B$2:$B$755,$A3877)&gt;0,1,0)</f>
        <v>0</v>
      </c>
      <c r="L3877" s="16">
        <f>IF(COUNTIFS(Release_Calendar!$A$2:$A$755,"US_NFP",Release_Calendar!$B$2:$B$755,$A3877)&gt;0,1,0)</f>
        <v>0</v>
      </c>
      <c r="M3877" s="16" t="str">
        <f>IF($A3877&lt;Notes!$B$5,"",IF(COUNTIFS(Release_Calendar!$A$2:$A$755,"NZ_CPI",Release_Calendar!$B$2:$B$755,$A3877)&gt;0,1,0))</f>
        <v/>
      </c>
      <c r="N3877" s="16" t="str">
        <f>IF($A3877&lt;Notes!$B$5,"",IF(COUNTIFS(Release_Calendar!$A$2:$A$755,"NZ_GDP",Release_Calendar!$B$2:$B$755,$A3877)&gt;0,1,0))</f>
        <v/>
      </c>
      <c r="O3877" s="16" t="str">
        <f>IF($A3877&lt;Notes!$B$5,"",IF(COUNTIFS(Release_Calendar!$A$2:$A$755,"NZ_LABOUR",Release_Calendar!$B$2:$B$755,$A3877)&gt;0,1,0))</f>
        <v/>
      </c>
      <c r="P3877" s="16">
        <f t="shared" si="4"/>
        <v>0</v>
      </c>
    </row>
    <row r="3878" ht="15.75" customHeight="1">
      <c r="A3878" s="14">
        <v>41954.0</v>
      </c>
      <c r="B3878" s="15"/>
      <c r="C3878" s="15">
        <v>3.92</v>
      </c>
      <c r="D3878" s="15"/>
      <c r="E3878" s="15"/>
      <c r="F3878" s="15" t="str">
        <f t="shared" si="1"/>
        <v/>
      </c>
      <c r="G3878" s="15">
        <f t="shared" si="2"/>
        <v>3.92</v>
      </c>
      <c r="H3878" s="16">
        <v>0.0</v>
      </c>
      <c r="I3878" s="15" t="str">
        <f t="shared" si="3"/>
        <v/>
      </c>
      <c r="J3878" s="15">
        <v>12.92</v>
      </c>
      <c r="K3878" s="16">
        <f>IF(COUNTIFS(Release_Calendar!$A$2:$A$755,"US_CPI",Release_Calendar!$B$2:$B$755,$A3878)&gt;0,1,0)</f>
        <v>0</v>
      </c>
      <c r="L3878" s="16">
        <f>IF(COUNTIFS(Release_Calendar!$A$2:$A$755,"US_NFP",Release_Calendar!$B$2:$B$755,$A3878)&gt;0,1,0)</f>
        <v>0</v>
      </c>
      <c r="M3878" s="16" t="str">
        <f>IF($A3878&lt;Notes!$B$5,"",IF(COUNTIFS(Release_Calendar!$A$2:$A$755,"NZ_CPI",Release_Calendar!$B$2:$B$755,$A3878)&gt;0,1,0))</f>
        <v/>
      </c>
      <c r="N3878" s="16" t="str">
        <f>IF($A3878&lt;Notes!$B$5,"",IF(COUNTIFS(Release_Calendar!$A$2:$A$755,"NZ_GDP",Release_Calendar!$B$2:$B$755,$A3878)&gt;0,1,0))</f>
        <v/>
      </c>
      <c r="O3878" s="16" t="str">
        <f>IF($A3878&lt;Notes!$B$5,"",IF(COUNTIFS(Release_Calendar!$A$2:$A$755,"NZ_LABOUR",Release_Calendar!$B$2:$B$755,$A3878)&gt;0,1,0))</f>
        <v/>
      </c>
      <c r="P3878" s="16">
        <f t="shared" si="4"/>
        <v>0</v>
      </c>
    </row>
    <row r="3879" ht="15.75" customHeight="1">
      <c r="A3879" s="14">
        <v>41955.0</v>
      </c>
      <c r="B3879" s="15">
        <v>0.55</v>
      </c>
      <c r="C3879" s="15">
        <v>3.95</v>
      </c>
      <c r="D3879" s="15"/>
      <c r="E3879" s="15"/>
      <c r="F3879" s="15">
        <f t="shared" si="1"/>
        <v>3.4</v>
      </c>
      <c r="G3879" s="15">
        <f t="shared" si="2"/>
        <v>3.95</v>
      </c>
      <c r="H3879" s="16">
        <v>0.0</v>
      </c>
      <c r="I3879" s="15">
        <f t="shared" si="3"/>
        <v>3.4</v>
      </c>
      <c r="J3879" s="15">
        <v>13.02</v>
      </c>
      <c r="K3879" s="16">
        <f>IF(COUNTIFS(Release_Calendar!$A$2:$A$755,"US_CPI",Release_Calendar!$B$2:$B$755,$A3879)&gt;0,1,0)</f>
        <v>0</v>
      </c>
      <c r="L3879" s="16">
        <f>IF(COUNTIFS(Release_Calendar!$A$2:$A$755,"US_NFP",Release_Calendar!$B$2:$B$755,$A3879)&gt;0,1,0)</f>
        <v>0</v>
      </c>
      <c r="M3879" s="16" t="str">
        <f>IF($A3879&lt;Notes!$B$5,"",IF(COUNTIFS(Release_Calendar!$A$2:$A$755,"NZ_CPI",Release_Calendar!$B$2:$B$755,$A3879)&gt;0,1,0))</f>
        <v/>
      </c>
      <c r="N3879" s="16" t="str">
        <f>IF($A3879&lt;Notes!$B$5,"",IF(COUNTIFS(Release_Calendar!$A$2:$A$755,"NZ_GDP",Release_Calendar!$B$2:$B$755,$A3879)&gt;0,1,0))</f>
        <v/>
      </c>
      <c r="O3879" s="16" t="str">
        <f>IF($A3879&lt;Notes!$B$5,"",IF(COUNTIFS(Release_Calendar!$A$2:$A$755,"NZ_LABOUR",Release_Calendar!$B$2:$B$755,$A3879)&gt;0,1,0))</f>
        <v/>
      </c>
      <c r="P3879" s="16">
        <f t="shared" si="4"/>
        <v>0</v>
      </c>
    </row>
    <row r="3880" ht="15.75" customHeight="1">
      <c r="A3880" s="14">
        <v>41956.0</v>
      </c>
      <c r="B3880" s="15">
        <v>0.53</v>
      </c>
      <c r="C3880" s="15">
        <v>3.96</v>
      </c>
      <c r="D3880" s="15"/>
      <c r="E3880" s="15"/>
      <c r="F3880" s="15">
        <f t="shared" si="1"/>
        <v>3.43</v>
      </c>
      <c r="G3880" s="15">
        <f t="shared" si="2"/>
        <v>3.96</v>
      </c>
      <c r="H3880" s="16">
        <v>0.0</v>
      </c>
      <c r="I3880" s="15">
        <f t="shared" si="3"/>
        <v>3.43</v>
      </c>
      <c r="J3880" s="15">
        <v>13.79</v>
      </c>
      <c r="K3880" s="16">
        <f>IF(COUNTIFS(Release_Calendar!$A$2:$A$755,"US_CPI",Release_Calendar!$B$2:$B$755,$A3880)&gt;0,1,0)</f>
        <v>0</v>
      </c>
      <c r="L3880" s="16">
        <f>IF(COUNTIFS(Release_Calendar!$A$2:$A$755,"US_NFP",Release_Calendar!$B$2:$B$755,$A3880)&gt;0,1,0)</f>
        <v>0</v>
      </c>
      <c r="M3880" s="16" t="str">
        <f>IF($A3880&lt;Notes!$B$5,"",IF(COUNTIFS(Release_Calendar!$A$2:$A$755,"NZ_CPI",Release_Calendar!$B$2:$B$755,$A3880)&gt;0,1,0))</f>
        <v/>
      </c>
      <c r="N3880" s="16" t="str">
        <f>IF($A3880&lt;Notes!$B$5,"",IF(COUNTIFS(Release_Calendar!$A$2:$A$755,"NZ_GDP",Release_Calendar!$B$2:$B$755,$A3880)&gt;0,1,0))</f>
        <v/>
      </c>
      <c r="O3880" s="16" t="str">
        <f>IF($A3880&lt;Notes!$B$5,"",IF(COUNTIFS(Release_Calendar!$A$2:$A$755,"NZ_LABOUR",Release_Calendar!$B$2:$B$755,$A3880)&gt;0,1,0))</f>
        <v/>
      </c>
      <c r="P3880" s="16">
        <f t="shared" si="4"/>
        <v>0</v>
      </c>
    </row>
    <row r="3881" ht="15.75" customHeight="1">
      <c r="A3881" s="14">
        <v>41957.0</v>
      </c>
      <c r="B3881" s="15">
        <v>0.54</v>
      </c>
      <c r="C3881" s="15">
        <v>3.95</v>
      </c>
      <c r="D3881" s="15"/>
      <c r="E3881" s="15"/>
      <c r="F3881" s="15">
        <f t="shared" si="1"/>
        <v>3.41</v>
      </c>
      <c r="G3881" s="15">
        <f t="shared" si="2"/>
        <v>3.95</v>
      </c>
      <c r="H3881" s="16">
        <v>0.0</v>
      </c>
      <c r="I3881" s="15">
        <f t="shared" si="3"/>
        <v>3.41</v>
      </c>
      <c r="J3881" s="15">
        <v>13.31</v>
      </c>
      <c r="K3881" s="16">
        <f>IF(COUNTIFS(Release_Calendar!$A$2:$A$755,"US_CPI",Release_Calendar!$B$2:$B$755,$A3881)&gt;0,1,0)</f>
        <v>0</v>
      </c>
      <c r="L3881" s="16">
        <f>IF(COUNTIFS(Release_Calendar!$A$2:$A$755,"US_NFP",Release_Calendar!$B$2:$B$755,$A3881)&gt;0,1,0)</f>
        <v>0</v>
      </c>
      <c r="M3881" s="16" t="str">
        <f>IF($A3881&lt;Notes!$B$5,"",IF(COUNTIFS(Release_Calendar!$A$2:$A$755,"NZ_CPI",Release_Calendar!$B$2:$B$755,$A3881)&gt;0,1,0))</f>
        <v/>
      </c>
      <c r="N3881" s="16" t="str">
        <f>IF($A3881&lt;Notes!$B$5,"",IF(COUNTIFS(Release_Calendar!$A$2:$A$755,"NZ_GDP",Release_Calendar!$B$2:$B$755,$A3881)&gt;0,1,0))</f>
        <v/>
      </c>
      <c r="O3881" s="16" t="str">
        <f>IF($A3881&lt;Notes!$B$5,"",IF(COUNTIFS(Release_Calendar!$A$2:$A$755,"NZ_LABOUR",Release_Calendar!$B$2:$B$755,$A3881)&gt;0,1,0))</f>
        <v/>
      </c>
      <c r="P3881" s="16">
        <f t="shared" si="4"/>
        <v>0</v>
      </c>
    </row>
    <row r="3882" ht="15.75" customHeight="1">
      <c r="A3882" s="14">
        <v>41960.0</v>
      </c>
      <c r="B3882" s="15">
        <v>0.54</v>
      </c>
      <c r="C3882" s="15">
        <v>3.95</v>
      </c>
      <c r="D3882" s="15"/>
      <c r="E3882" s="15"/>
      <c r="F3882" s="15">
        <f t="shared" si="1"/>
        <v>3.41</v>
      </c>
      <c r="G3882" s="15">
        <f t="shared" si="2"/>
        <v>3.95</v>
      </c>
      <c r="H3882" s="16">
        <v>0.0</v>
      </c>
      <c r="I3882" s="15">
        <f t="shared" si="3"/>
        <v>3.41</v>
      </c>
      <c r="J3882" s="15">
        <v>13.99</v>
      </c>
      <c r="K3882" s="16">
        <f>IF(COUNTIFS(Release_Calendar!$A$2:$A$755,"US_CPI",Release_Calendar!$B$2:$B$755,$A3882)&gt;0,1,0)</f>
        <v>0</v>
      </c>
      <c r="L3882" s="16">
        <f>IF(COUNTIFS(Release_Calendar!$A$2:$A$755,"US_NFP",Release_Calendar!$B$2:$B$755,$A3882)&gt;0,1,0)</f>
        <v>0</v>
      </c>
      <c r="M3882" s="16" t="str">
        <f>IF($A3882&lt;Notes!$B$5,"",IF(COUNTIFS(Release_Calendar!$A$2:$A$755,"NZ_CPI",Release_Calendar!$B$2:$B$755,$A3882)&gt;0,1,0))</f>
        <v/>
      </c>
      <c r="N3882" s="16" t="str">
        <f>IF($A3882&lt;Notes!$B$5,"",IF(COUNTIFS(Release_Calendar!$A$2:$A$755,"NZ_GDP",Release_Calendar!$B$2:$B$755,$A3882)&gt;0,1,0))</f>
        <v/>
      </c>
      <c r="O3882" s="16" t="str">
        <f>IF($A3882&lt;Notes!$B$5,"",IF(COUNTIFS(Release_Calendar!$A$2:$A$755,"NZ_LABOUR",Release_Calendar!$B$2:$B$755,$A3882)&gt;0,1,0))</f>
        <v/>
      </c>
      <c r="P3882" s="16">
        <f t="shared" si="4"/>
        <v>0</v>
      </c>
    </row>
    <row r="3883" ht="15.75" customHeight="1">
      <c r="A3883" s="14">
        <v>41961.0</v>
      </c>
      <c r="B3883" s="15">
        <v>0.53</v>
      </c>
      <c r="C3883" s="15">
        <v>3.95</v>
      </c>
      <c r="D3883" s="15"/>
      <c r="E3883" s="15"/>
      <c r="F3883" s="15">
        <f t="shared" si="1"/>
        <v>3.42</v>
      </c>
      <c r="G3883" s="15">
        <f t="shared" si="2"/>
        <v>3.95</v>
      </c>
      <c r="H3883" s="16">
        <v>0.0</v>
      </c>
      <c r="I3883" s="15">
        <f t="shared" si="3"/>
        <v>3.42</v>
      </c>
      <c r="J3883" s="15">
        <v>13.86</v>
      </c>
      <c r="K3883" s="16">
        <f>IF(COUNTIFS(Release_Calendar!$A$2:$A$755,"US_CPI",Release_Calendar!$B$2:$B$755,$A3883)&gt;0,1,0)</f>
        <v>0</v>
      </c>
      <c r="L3883" s="16">
        <f>IF(COUNTIFS(Release_Calendar!$A$2:$A$755,"US_NFP",Release_Calendar!$B$2:$B$755,$A3883)&gt;0,1,0)</f>
        <v>0</v>
      </c>
      <c r="M3883" s="16" t="str">
        <f>IF($A3883&lt;Notes!$B$5,"",IF(COUNTIFS(Release_Calendar!$A$2:$A$755,"NZ_CPI",Release_Calendar!$B$2:$B$755,$A3883)&gt;0,1,0))</f>
        <v/>
      </c>
      <c r="N3883" s="16" t="str">
        <f>IF($A3883&lt;Notes!$B$5,"",IF(COUNTIFS(Release_Calendar!$A$2:$A$755,"NZ_GDP",Release_Calendar!$B$2:$B$755,$A3883)&gt;0,1,0))</f>
        <v/>
      </c>
      <c r="O3883" s="16" t="str">
        <f>IF($A3883&lt;Notes!$B$5,"",IF(COUNTIFS(Release_Calendar!$A$2:$A$755,"NZ_LABOUR",Release_Calendar!$B$2:$B$755,$A3883)&gt;0,1,0))</f>
        <v/>
      </c>
      <c r="P3883" s="16">
        <f t="shared" si="4"/>
        <v>0</v>
      </c>
    </row>
    <row r="3884" ht="15.75" customHeight="1">
      <c r="A3884" s="14">
        <v>41962.0</v>
      </c>
      <c r="B3884" s="15">
        <v>0.54</v>
      </c>
      <c r="C3884" s="15">
        <v>3.93</v>
      </c>
      <c r="D3884" s="15"/>
      <c r="E3884" s="15"/>
      <c r="F3884" s="15">
        <f t="shared" si="1"/>
        <v>3.39</v>
      </c>
      <c r="G3884" s="15">
        <f t="shared" si="2"/>
        <v>3.93</v>
      </c>
      <c r="H3884" s="16">
        <v>0.0</v>
      </c>
      <c r="I3884" s="15">
        <f t="shared" si="3"/>
        <v>3.39</v>
      </c>
      <c r="J3884" s="15">
        <v>13.96</v>
      </c>
      <c r="K3884" s="16">
        <f>IF(COUNTIFS(Release_Calendar!$A$2:$A$755,"US_CPI",Release_Calendar!$B$2:$B$755,$A3884)&gt;0,1,0)</f>
        <v>0</v>
      </c>
      <c r="L3884" s="16">
        <f>IF(COUNTIFS(Release_Calendar!$A$2:$A$755,"US_NFP",Release_Calendar!$B$2:$B$755,$A3884)&gt;0,1,0)</f>
        <v>0</v>
      </c>
      <c r="M3884" s="16" t="str">
        <f>IF($A3884&lt;Notes!$B$5,"",IF(COUNTIFS(Release_Calendar!$A$2:$A$755,"NZ_CPI",Release_Calendar!$B$2:$B$755,$A3884)&gt;0,1,0))</f>
        <v/>
      </c>
      <c r="N3884" s="16" t="str">
        <f>IF($A3884&lt;Notes!$B$5,"",IF(COUNTIFS(Release_Calendar!$A$2:$A$755,"NZ_GDP",Release_Calendar!$B$2:$B$755,$A3884)&gt;0,1,0))</f>
        <v/>
      </c>
      <c r="O3884" s="16" t="str">
        <f>IF($A3884&lt;Notes!$B$5,"",IF(COUNTIFS(Release_Calendar!$A$2:$A$755,"NZ_LABOUR",Release_Calendar!$B$2:$B$755,$A3884)&gt;0,1,0))</f>
        <v/>
      </c>
      <c r="P3884" s="16">
        <f t="shared" si="4"/>
        <v>0</v>
      </c>
    </row>
    <row r="3885" ht="15.75" customHeight="1">
      <c r="A3885" s="14">
        <v>41963.0</v>
      </c>
      <c r="B3885" s="15">
        <v>0.53</v>
      </c>
      <c r="C3885" s="15">
        <v>3.93</v>
      </c>
      <c r="D3885" s="15"/>
      <c r="E3885" s="15"/>
      <c r="F3885" s="15">
        <f t="shared" si="1"/>
        <v>3.4</v>
      </c>
      <c r="G3885" s="15">
        <f t="shared" si="2"/>
        <v>3.93</v>
      </c>
      <c r="H3885" s="16">
        <v>0.0</v>
      </c>
      <c r="I3885" s="15">
        <f t="shared" si="3"/>
        <v>3.4</v>
      </c>
      <c r="J3885" s="15">
        <v>13.58</v>
      </c>
      <c r="K3885" s="16">
        <f>IF(COUNTIFS(Release_Calendar!$A$2:$A$755,"US_CPI",Release_Calendar!$B$2:$B$755,$A3885)&gt;0,1,0)</f>
        <v>1</v>
      </c>
      <c r="L3885" s="16">
        <f>IF(COUNTIFS(Release_Calendar!$A$2:$A$755,"US_NFP",Release_Calendar!$B$2:$B$755,$A3885)&gt;0,1,0)</f>
        <v>0</v>
      </c>
      <c r="M3885" s="16" t="str">
        <f>IF($A3885&lt;Notes!$B$5,"",IF(COUNTIFS(Release_Calendar!$A$2:$A$755,"NZ_CPI",Release_Calendar!$B$2:$B$755,$A3885)&gt;0,1,0))</f>
        <v/>
      </c>
      <c r="N3885" s="16" t="str">
        <f>IF($A3885&lt;Notes!$B$5,"",IF(COUNTIFS(Release_Calendar!$A$2:$A$755,"NZ_GDP",Release_Calendar!$B$2:$B$755,$A3885)&gt;0,1,0))</f>
        <v/>
      </c>
      <c r="O3885" s="16" t="str">
        <f>IF($A3885&lt;Notes!$B$5,"",IF(COUNTIFS(Release_Calendar!$A$2:$A$755,"NZ_LABOUR",Release_Calendar!$B$2:$B$755,$A3885)&gt;0,1,0))</f>
        <v/>
      </c>
      <c r="P3885" s="16">
        <f t="shared" si="4"/>
        <v>1</v>
      </c>
    </row>
    <row r="3886" ht="15.75" customHeight="1">
      <c r="A3886" s="14">
        <v>41964.0</v>
      </c>
      <c r="B3886" s="15">
        <v>0.53</v>
      </c>
      <c r="C3886" s="15">
        <v>3.92</v>
      </c>
      <c r="D3886" s="15"/>
      <c r="E3886" s="15"/>
      <c r="F3886" s="15">
        <f t="shared" si="1"/>
        <v>3.39</v>
      </c>
      <c r="G3886" s="15">
        <f t="shared" si="2"/>
        <v>3.92</v>
      </c>
      <c r="H3886" s="16">
        <v>0.0</v>
      </c>
      <c r="I3886" s="15">
        <f t="shared" si="3"/>
        <v>3.39</v>
      </c>
      <c r="J3886" s="15">
        <v>12.9</v>
      </c>
      <c r="K3886" s="16">
        <f>IF(COUNTIFS(Release_Calendar!$A$2:$A$755,"US_CPI",Release_Calendar!$B$2:$B$755,$A3886)&gt;0,1,0)</f>
        <v>0</v>
      </c>
      <c r="L3886" s="16">
        <f>IF(COUNTIFS(Release_Calendar!$A$2:$A$755,"US_NFP",Release_Calendar!$B$2:$B$755,$A3886)&gt;0,1,0)</f>
        <v>0</v>
      </c>
      <c r="M3886" s="16" t="str">
        <f>IF($A3886&lt;Notes!$B$5,"",IF(COUNTIFS(Release_Calendar!$A$2:$A$755,"NZ_CPI",Release_Calendar!$B$2:$B$755,$A3886)&gt;0,1,0))</f>
        <v/>
      </c>
      <c r="N3886" s="16" t="str">
        <f>IF($A3886&lt;Notes!$B$5,"",IF(COUNTIFS(Release_Calendar!$A$2:$A$755,"NZ_GDP",Release_Calendar!$B$2:$B$755,$A3886)&gt;0,1,0))</f>
        <v/>
      </c>
      <c r="O3886" s="16" t="str">
        <f>IF($A3886&lt;Notes!$B$5,"",IF(COUNTIFS(Release_Calendar!$A$2:$A$755,"NZ_LABOUR",Release_Calendar!$B$2:$B$755,$A3886)&gt;0,1,0))</f>
        <v/>
      </c>
      <c r="P3886" s="16">
        <f t="shared" si="4"/>
        <v>0</v>
      </c>
    </row>
    <row r="3887" ht="15.75" customHeight="1">
      <c r="A3887" s="14">
        <v>41967.0</v>
      </c>
      <c r="B3887" s="15">
        <v>0.53</v>
      </c>
      <c r="C3887" s="15">
        <v>3.93</v>
      </c>
      <c r="D3887" s="15"/>
      <c r="E3887" s="15"/>
      <c r="F3887" s="15">
        <f t="shared" si="1"/>
        <v>3.4</v>
      </c>
      <c r="G3887" s="15">
        <f t="shared" si="2"/>
        <v>3.93</v>
      </c>
      <c r="H3887" s="16">
        <v>0.0</v>
      </c>
      <c r="I3887" s="15">
        <f t="shared" si="3"/>
        <v>3.4</v>
      </c>
      <c r="J3887" s="15">
        <v>12.62</v>
      </c>
      <c r="K3887" s="16">
        <f>IF(COUNTIFS(Release_Calendar!$A$2:$A$755,"US_CPI",Release_Calendar!$B$2:$B$755,$A3887)&gt;0,1,0)</f>
        <v>0</v>
      </c>
      <c r="L3887" s="16">
        <f>IF(COUNTIFS(Release_Calendar!$A$2:$A$755,"US_NFP",Release_Calendar!$B$2:$B$755,$A3887)&gt;0,1,0)</f>
        <v>0</v>
      </c>
      <c r="M3887" s="16" t="str">
        <f>IF($A3887&lt;Notes!$B$5,"",IF(COUNTIFS(Release_Calendar!$A$2:$A$755,"NZ_CPI",Release_Calendar!$B$2:$B$755,$A3887)&gt;0,1,0))</f>
        <v/>
      </c>
      <c r="N3887" s="16" t="str">
        <f>IF($A3887&lt;Notes!$B$5,"",IF(COUNTIFS(Release_Calendar!$A$2:$A$755,"NZ_GDP",Release_Calendar!$B$2:$B$755,$A3887)&gt;0,1,0))</f>
        <v/>
      </c>
      <c r="O3887" s="16" t="str">
        <f>IF($A3887&lt;Notes!$B$5,"",IF(COUNTIFS(Release_Calendar!$A$2:$A$755,"NZ_LABOUR",Release_Calendar!$B$2:$B$755,$A3887)&gt;0,1,0))</f>
        <v/>
      </c>
      <c r="P3887" s="16">
        <f t="shared" si="4"/>
        <v>0</v>
      </c>
    </row>
    <row r="3888" ht="15.75" customHeight="1">
      <c r="A3888" s="14">
        <v>41968.0</v>
      </c>
      <c r="B3888" s="15">
        <v>0.51</v>
      </c>
      <c r="C3888" s="15">
        <v>3.89</v>
      </c>
      <c r="D3888" s="15"/>
      <c r="E3888" s="15"/>
      <c r="F3888" s="15">
        <f t="shared" si="1"/>
        <v>3.38</v>
      </c>
      <c r="G3888" s="15">
        <f t="shared" si="2"/>
        <v>3.89</v>
      </c>
      <c r="H3888" s="16">
        <v>0.0</v>
      </c>
      <c r="I3888" s="15">
        <f t="shared" si="3"/>
        <v>3.38</v>
      </c>
      <c r="J3888" s="15">
        <v>12.25</v>
      </c>
      <c r="K3888" s="16">
        <f>IF(COUNTIFS(Release_Calendar!$A$2:$A$755,"US_CPI",Release_Calendar!$B$2:$B$755,$A3888)&gt;0,1,0)</f>
        <v>0</v>
      </c>
      <c r="L3888" s="16">
        <f>IF(COUNTIFS(Release_Calendar!$A$2:$A$755,"US_NFP",Release_Calendar!$B$2:$B$755,$A3888)&gt;0,1,0)</f>
        <v>0</v>
      </c>
      <c r="M3888" s="16" t="str">
        <f>IF($A3888&lt;Notes!$B$5,"",IF(COUNTIFS(Release_Calendar!$A$2:$A$755,"NZ_CPI",Release_Calendar!$B$2:$B$755,$A3888)&gt;0,1,0))</f>
        <v/>
      </c>
      <c r="N3888" s="16" t="str">
        <f>IF($A3888&lt;Notes!$B$5,"",IF(COUNTIFS(Release_Calendar!$A$2:$A$755,"NZ_GDP",Release_Calendar!$B$2:$B$755,$A3888)&gt;0,1,0))</f>
        <v/>
      </c>
      <c r="O3888" s="16" t="str">
        <f>IF($A3888&lt;Notes!$B$5,"",IF(COUNTIFS(Release_Calendar!$A$2:$A$755,"NZ_LABOUR",Release_Calendar!$B$2:$B$755,$A3888)&gt;0,1,0))</f>
        <v/>
      </c>
      <c r="P3888" s="16">
        <f t="shared" si="4"/>
        <v>0</v>
      </c>
    </row>
    <row r="3889" ht="15.75" customHeight="1">
      <c r="A3889" s="14">
        <v>41969.0</v>
      </c>
      <c r="B3889" s="15">
        <v>0.53</v>
      </c>
      <c r="C3889" s="15">
        <v>3.89</v>
      </c>
      <c r="D3889" s="15"/>
      <c r="E3889" s="15"/>
      <c r="F3889" s="15">
        <f t="shared" si="1"/>
        <v>3.36</v>
      </c>
      <c r="G3889" s="15">
        <f t="shared" si="2"/>
        <v>3.89</v>
      </c>
      <c r="H3889" s="16">
        <v>0.0</v>
      </c>
      <c r="I3889" s="15">
        <f t="shared" si="3"/>
        <v>3.36</v>
      </c>
      <c r="J3889" s="15">
        <v>12.07</v>
      </c>
      <c r="K3889" s="16">
        <f>IF(COUNTIFS(Release_Calendar!$A$2:$A$755,"US_CPI",Release_Calendar!$B$2:$B$755,$A3889)&gt;0,1,0)</f>
        <v>0</v>
      </c>
      <c r="L3889" s="16">
        <f>IF(COUNTIFS(Release_Calendar!$A$2:$A$755,"US_NFP",Release_Calendar!$B$2:$B$755,$A3889)&gt;0,1,0)</f>
        <v>0</v>
      </c>
      <c r="M3889" s="16" t="str">
        <f>IF($A3889&lt;Notes!$B$5,"",IF(COUNTIFS(Release_Calendar!$A$2:$A$755,"NZ_CPI",Release_Calendar!$B$2:$B$755,$A3889)&gt;0,1,0))</f>
        <v/>
      </c>
      <c r="N3889" s="16" t="str">
        <f>IF($A3889&lt;Notes!$B$5,"",IF(COUNTIFS(Release_Calendar!$A$2:$A$755,"NZ_GDP",Release_Calendar!$B$2:$B$755,$A3889)&gt;0,1,0))</f>
        <v/>
      </c>
      <c r="O3889" s="16" t="str">
        <f>IF($A3889&lt;Notes!$B$5,"",IF(COUNTIFS(Release_Calendar!$A$2:$A$755,"NZ_LABOUR",Release_Calendar!$B$2:$B$755,$A3889)&gt;0,1,0))</f>
        <v/>
      </c>
      <c r="P3889" s="16">
        <f t="shared" si="4"/>
        <v>0</v>
      </c>
    </row>
    <row r="3890" ht="15.75" customHeight="1">
      <c r="A3890" s="14">
        <v>41970.0</v>
      </c>
      <c r="B3890" s="15"/>
      <c r="C3890" s="15">
        <v>3.88</v>
      </c>
      <c r="D3890" s="15"/>
      <c r="E3890" s="15"/>
      <c r="F3890" s="15" t="str">
        <f t="shared" si="1"/>
        <v/>
      </c>
      <c r="G3890" s="15">
        <f t="shared" si="2"/>
        <v>3.88</v>
      </c>
      <c r="H3890" s="16">
        <v>0.0</v>
      </c>
      <c r="I3890" s="15" t="str">
        <f t="shared" si="3"/>
        <v/>
      </c>
      <c r="J3890" s="15"/>
      <c r="K3890" s="16">
        <f>IF(COUNTIFS(Release_Calendar!$A$2:$A$755,"US_CPI",Release_Calendar!$B$2:$B$755,$A3890)&gt;0,1,0)</f>
        <v>0</v>
      </c>
      <c r="L3890" s="16">
        <f>IF(COUNTIFS(Release_Calendar!$A$2:$A$755,"US_NFP",Release_Calendar!$B$2:$B$755,$A3890)&gt;0,1,0)</f>
        <v>0</v>
      </c>
      <c r="M3890" s="16" t="str">
        <f>IF($A3890&lt;Notes!$B$5,"",IF(COUNTIFS(Release_Calendar!$A$2:$A$755,"NZ_CPI",Release_Calendar!$B$2:$B$755,$A3890)&gt;0,1,0))</f>
        <v/>
      </c>
      <c r="N3890" s="16" t="str">
        <f>IF($A3890&lt;Notes!$B$5,"",IF(COUNTIFS(Release_Calendar!$A$2:$A$755,"NZ_GDP",Release_Calendar!$B$2:$B$755,$A3890)&gt;0,1,0))</f>
        <v/>
      </c>
      <c r="O3890" s="16" t="str">
        <f>IF($A3890&lt;Notes!$B$5,"",IF(COUNTIFS(Release_Calendar!$A$2:$A$755,"NZ_LABOUR",Release_Calendar!$B$2:$B$755,$A3890)&gt;0,1,0))</f>
        <v/>
      </c>
      <c r="P3890" s="16">
        <f t="shared" si="4"/>
        <v>0</v>
      </c>
    </row>
    <row r="3891" ht="15.75" customHeight="1">
      <c r="A3891" s="14">
        <v>41971.0</v>
      </c>
      <c r="B3891" s="15">
        <v>0.47</v>
      </c>
      <c r="C3891" s="15">
        <v>3.88</v>
      </c>
      <c r="D3891" s="15"/>
      <c r="E3891" s="15"/>
      <c r="F3891" s="15">
        <f t="shared" si="1"/>
        <v>3.41</v>
      </c>
      <c r="G3891" s="15">
        <f t="shared" si="2"/>
        <v>3.88</v>
      </c>
      <c r="H3891" s="16">
        <v>0.0</v>
      </c>
      <c r="I3891" s="15">
        <f t="shared" si="3"/>
        <v>3.41</v>
      </c>
      <c r="J3891" s="15">
        <v>13.33</v>
      </c>
      <c r="K3891" s="16">
        <f>IF(COUNTIFS(Release_Calendar!$A$2:$A$755,"US_CPI",Release_Calendar!$B$2:$B$755,$A3891)&gt;0,1,0)</f>
        <v>0</v>
      </c>
      <c r="L3891" s="16">
        <f>IF(COUNTIFS(Release_Calendar!$A$2:$A$755,"US_NFP",Release_Calendar!$B$2:$B$755,$A3891)&gt;0,1,0)</f>
        <v>0</v>
      </c>
      <c r="M3891" s="16" t="str">
        <f>IF($A3891&lt;Notes!$B$5,"",IF(COUNTIFS(Release_Calendar!$A$2:$A$755,"NZ_CPI",Release_Calendar!$B$2:$B$755,$A3891)&gt;0,1,0))</f>
        <v/>
      </c>
      <c r="N3891" s="16" t="str">
        <f>IF($A3891&lt;Notes!$B$5,"",IF(COUNTIFS(Release_Calendar!$A$2:$A$755,"NZ_GDP",Release_Calendar!$B$2:$B$755,$A3891)&gt;0,1,0))</f>
        <v/>
      </c>
      <c r="O3891" s="16" t="str">
        <f>IF($A3891&lt;Notes!$B$5,"",IF(COUNTIFS(Release_Calendar!$A$2:$A$755,"NZ_LABOUR",Release_Calendar!$B$2:$B$755,$A3891)&gt;0,1,0))</f>
        <v/>
      </c>
      <c r="P3891" s="16">
        <f t="shared" si="4"/>
        <v>0</v>
      </c>
    </row>
    <row r="3892" ht="15.75" customHeight="1">
      <c r="A3892" s="14">
        <v>41974.0</v>
      </c>
      <c r="B3892" s="15">
        <v>0.49</v>
      </c>
      <c r="C3892" s="15">
        <v>3.86</v>
      </c>
      <c r="D3892" s="15"/>
      <c r="E3892" s="15"/>
      <c r="F3892" s="15">
        <f t="shared" si="1"/>
        <v>3.37</v>
      </c>
      <c r="G3892" s="15">
        <f t="shared" si="2"/>
        <v>3.86</v>
      </c>
      <c r="H3892" s="16">
        <v>0.0</v>
      </c>
      <c r="I3892" s="15">
        <f t="shared" si="3"/>
        <v>3.37</v>
      </c>
      <c r="J3892" s="15">
        <v>14.29</v>
      </c>
      <c r="K3892" s="16">
        <f>IF(COUNTIFS(Release_Calendar!$A$2:$A$755,"US_CPI",Release_Calendar!$B$2:$B$755,$A3892)&gt;0,1,0)</f>
        <v>0</v>
      </c>
      <c r="L3892" s="16">
        <f>IF(COUNTIFS(Release_Calendar!$A$2:$A$755,"US_NFP",Release_Calendar!$B$2:$B$755,$A3892)&gt;0,1,0)</f>
        <v>0</v>
      </c>
      <c r="M3892" s="16" t="str">
        <f>IF($A3892&lt;Notes!$B$5,"",IF(COUNTIFS(Release_Calendar!$A$2:$A$755,"NZ_CPI",Release_Calendar!$B$2:$B$755,$A3892)&gt;0,1,0))</f>
        <v/>
      </c>
      <c r="N3892" s="16" t="str">
        <f>IF($A3892&lt;Notes!$B$5,"",IF(COUNTIFS(Release_Calendar!$A$2:$A$755,"NZ_GDP",Release_Calendar!$B$2:$B$755,$A3892)&gt;0,1,0))</f>
        <v/>
      </c>
      <c r="O3892" s="16" t="str">
        <f>IF($A3892&lt;Notes!$B$5,"",IF(COUNTIFS(Release_Calendar!$A$2:$A$755,"NZ_LABOUR",Release_Calendar!$B$2:$B$755,$A3892)&gt;0,1,0))</f>
        <v/>
      </c>
      <c r="P3892" s="16">
        <f t="shared" si="4"/>
        <v>0</v>
      </c>
    </row>
    <row r="3893" ht="15.75" customHeight="1">
      <c r="A3893" s="14">
        <v>41975.0</v>
      </c>
      <c r="B3893" s="15">
        <v>0.55</v>
      </c>
      <c r="C3893" s="15">
        <v>3.9</v>
      </c>
      <c r="D3893" s="15"/>
      <c r="E3893" s="15"/>
      <c r="F3893" s="15">
        <f t="shared" si="1"/>
        <v>3.35</v>
      </c>
      <c r="G3893" s="15">
        <f t="shared" si="2"/>
        <v>3.9</v>
      </c>
      <c r="H3893" s="16">
        <v>0.0</v>
      </c>
      <c r="I3893" s="15">
        <f t="shared" si="3"/>
        <v>3.35</v>
      </c>
      <c r="J3893" s="15">
        <v>12.85</v>
      </c>
      <c r="K3893" s="16">
        <f>IF(COUNTIFS(Release_Calendar!$A$2:$A$755,"US_CPI",Release_Calendar!$B$2:$B$755,$A3893)&gt;0,1,0)</f>
        <v>0</v>
      </c>
      <c r="L3893" s="16">
        <f>IF(COUNTIFS(Release_Calendar!$A$2:$A$755,"US_NFP",Release_Calendar!$B$2:$B$755,$A3893)&gt;0,1,0)</f>
        <v>0</v>
      </c>
      <c r="M3893" s="16" t="str">
        <f>IF($A3893&lt;Notes!$B$5,"",IF(COUNTIFS(Release_Calendar!$A$2:$A$755,"NZ_CPI",Release_Calendar!$B$2:$B$755,$A3893)&gt;0,1,0))</f>
        <v/>
      </c>
      <c r="N3893" s="16" t="str">
        <f>IF($A3893&lt;Notes!$B$5,"",IF(COUNTIFS(Release_Calendar!$A$2:$A$755,"NZ_GDP",Release_Calendar!$B$2:$B$755,$A3893)&gt;0,1,0))</f>
        <v/>
      </c>
      <c r="O3893" s="16" t="str">
        <f>IF($A3893&lt;Notes!$B$5,"",IF(COUNTIFS(Release_Calendar!$A$2:$A$755,"NZ_LABOUR",Release_Calendar!$B$2:$B$755,$A3893)&gt;0,1,0))</f>
        <v/>
      </c>
      <c r="P3893" s="16">
        <f t="shared" si="4"/>
        <v>0</v>
      </c>
    </row>
    <row r="3894" ht="15.75" customHeight="1">
      <c r="A3894" s="14">
        <v>41976.0</v>
      </c>
      <c r="B3894" s="15">
        <v>0.57</v>
      </c>
      <c r="C3894" s="15">
        <v>3.87</v>
      </c>
      <c r="D3894" s="15"/>
      <c r="E3894" s="15"/>
      <c r="F3894" s="15">
        <f t="shared" si="1"/>
        <v>3.3</v>
      </c>
      <c r="G3894" s="15">
        <f t="shared" si="2"/>
        <v>3.87</v>
      </c>
      <c r="H3894" s="16">
        <v>0.0</v>
      </c>
      <c r="I3894" s="15">
        <f t="shared" si="3"/>
        <v>3.3</v>
      </c>
      <c r="J3894" s="15">
        <v>12.47</v>
      </c>
      <c r="K3894" s="16">
        <f>IF(COUNTIFS(Release_Calendar!$A$2:$A$755,"US_CPI",Release_Calendar!$B$2:$B$755,$A3894)&gt;0,1,0)</f>
        <v>0</v>
      </c>
      <c r="L3894" s="16">
        <f>IF(COUNTIFS(Release_Calendar!$A$2:$A$755,"US_NFP",Release_Calendar!$B$2:$B$755,$A3894)&gt;0,1,0)</f>
        <v>0</v>
      </c>
      <c r="M3894" s="16" t="str">
        <f>IF($A3894&lt;Notes!$B$5,"",IF(COUNTIFS(Release_Calendar!$A$2:$A$755,"NZ_CPI",Release_Calendar!$B$2:$B$755,$A3894)&gt;0,1,0))</f>
        <v/>
      </c>
      <c r="N3894" s="16" t="str">
        <f>IF($A3894&lt;Notes!$B$5,"",IF(COUNTIFS(Release_Calendar!$A$2:$A$755,"NZ_GDP",Release_Calendar!$B$2:$B$755,$A3894)&gt;0,1,0))</f>
        <v/>
      </c>
      <c r="O3894" s="16" t="str">
        <f>IF($A3894&lt;Notes!$B$5,"",IF(COUNTIFS(Release_Calendar!$A$2:$A$755,"NZ_LABOUR",Release_Calendar!$B$2:$B$755,$A3894)&gt;0,1,0))</f>
        <v/>
      </c>
      <c r="P3894" s="16">
        <f t="shared" si="4"/>
        <v>0</v>
      </c>
    </row>
    <row r="3895" ht="15.75" customHeight="1">
      <c r="A3895" s="14">
        <v>41977.0</v>
      </c>
      <c r="B3895" s="15">
        <v>0.55</v>
      </c>
      <c r="C3895" s="15">
        <v>3.86</v>
      </c>
      <c r="D3895" s="15"/>
      <c r="E3895" s="15"/>
      <c r="F3895" s="15">
        <f t="shared" si="1"/>
        <v>3.31</v>
      </c>
      <c r="G3895" s="15">
        <f t="shared" si="2"/>
        <v>3.86</v>
      </c>
      <c r="H3895" s="16">
        <v>0.0</v>
      </c>
      <c r="I3895" s="15">
        <f t="shared" si="3"/>
        <v>3.31</v>
      </c>
      <c r="J3895" s="15">
        <v>12.38</v>
      </c>
      <c r="K3895" s="16">
        <f>IF(COUNTIFS(Release_Calendar!$A$2:$A$755,"US_CPI",Release_Calendar!$B$2:$B$755,$A3895)&gt;0,1,0)</f>
        <v>0</v>
      </c>
      <c r="L3895" s="16">
        <f>IF(COUNTIFS(Release_Calendar!$A$2:$A$755,"US_NFP",Release_Calendar!$B$2:$B$755,$A3895)&gt;0,1,0)</f>
        <v>0</v>
      </c>
      <c r="M3895" s="16" t="str">
        <f>IF($A3895&lt;Notes!$B$5,"",IF(COUNTIFS(Release_Calendar!$A$2:$A$755,"NZ_CPI",Release_Calendar!$B$2:$B$755,$A3895)&gt;0,1,0))</f>
        <v/>
      </c>
      <c r="N3895" s="16" t="str">
        <f>IF($A3895&lt;Notes!$B$5,"",IF(COUNTIFS(Release_Calendar!$A$2:$A$755,"NZ_GDP",Release_Calendar!$B$2:$B$755,$A3895)&gt;0,1,0))</f>
        <v/>
      </c>
      <c r="O3895" s="16" t="str">
        <f>IF($A3895&lt;Notes!$B$5,"",IF(COUNTIFS(Release_Calendar!$A$2:$A$755,"NZ_LABOUR",Release_Calendar!$B$2:$B$755,$A3895)&gt;0,1,0))</f>
        <v/>
      </c>
      <c r="P3895" s="16">
        <f t="shared" si="4"/>
        <v>0</v>
      </c>
    </row>
    <row r="3896" ht="15.75" customHeight="1">
      <c r="A3896" s="14">
        <v>41978.0</v>
      </c>
      <c r="B3896" s="15">
        <v>0.65</v>
      </c>
      <c r="C3896" s="15">
        <v>3.85</v>
      </c>
      <c r="D3896" s="15"/>
      <c r="E3896" s="15"/>
      <c r="F3896" s="15">
        <f t="shared" si="1"/>
        <v>3.2</v>
      </c>
      <c r="G3896" s="15">
        <f t="shared" si="2"/>
        <v>3.85</v>
      </c>
      <c r="H3896" s="16">
        <v>0.0</v>
      </c>
      <c r="I3896" s="15">
        <f t="shared" si="3"/>
        <v>3.2</v>
      </c>
      <c r="J3896" s="15">
        <v>11.82</v>
      </c>
      <c r="K3896" s="16">
        <f>IF(COUNTIFS(Release_Calendar!$A$2:$A$755,"US_CPI",Release_Calendar!$B$2:$B$755,$A3896)&gt;0,1,0)</f>
        <v>0</v>
      </c>
      <c r="L3896" s="16">
        <f>IF(COUNTIFS(Release_Calendar!$A$2:$A$755,"US_NFP",Release_Calendar!$B$2:$B$755,$A3896)&gt;0,1,0)</f>
        <v>1</v>
      </c>
      <c r="M3896" s="16" t="str">
        <f>IF($A3896&lt;Notes!$B$5,"",IF(COUNTIFS(Release_Calendar!$A$2:$A$755,"NZ_CPI",Release_Calendar!$B$2:$B$755,$A3896)&gt;0,1,0))</f>
        <v/>
      </c>
      <c r="N3896" s="16" t="str">
        <f>IF($A3896&lt;Notes!$B$5,"",IF(COUNTIFS(Release_Calendar!$A$2:$A$755,"NZ_GDP",Release_Calendar!$B$2:$B$755,$A3896)&gt;0,1,0))</f>
        <v/>
      </c>
      <c r="O3896" s="16" t="str">
        <f>IF($A3896&lt;Notes!$B$5,"",IF(COUNTIFS(Release_Calendar!$A$2:$A$755,"NZ_LABOUR",Release_Calendar!$B$2:$B$755,$A3896)&gt;0,1,0))</f>
        <v/>
      </c>
      <c r="P3896" s="16">
        <f t="shared" si="4"/>
        <v>1</v>
      </c>
    </row>
    <row r="3897" ht="15.75" customHeight="1">
      <c r="A3897" s="14">
        <v>41981.0</v>
      </c>
      <c r="B3897" s="15">
        <v>0.64</v>
      </c>
      <c r="C3897" s="15">
        <v>3.86</v>
      </c>
      <c r="D3897" s="15"/>
      <c r="E3897" s="15"/>
      <c r="F3897" s="15">
        <f t="shared" si="1"/>
        <v>3.22</v>
      </c>
      <c r="G3897" s="15">
        <f t="shared" si="2"/>
        <v>3.86</v>
      </c>
      <c r="H3897" s="16">
        <v>0.0</v>
      </c>
      <c r="I3897" s="15">
        <f t="shared" si="3"/>
        <v>3.22</v>
      </c>
      <c r="J3897" s="15">
        <v>14.21</v>
      </c>
      <c r="K3897" s="16">
        <f>IF(COUNTIFS(Release_Calendar!$A$2:$A$755,"US_CPI",Release_Calendar!$B$2:$B$755,$A3897)&gt;0,1,0)</f>
        <v>0</v>
      </c>
      <c r="L3897" s="16">
        <f>IF(COUNTIFS(Release_Calendar!$A$2:$A$755,"US_NFP",Release_Calendar!$B$2:$B$755,$A3897)&gt;0,1,0)</f>
        <v>0</v>
      </c>
      <c r="M3897" s="16" t="str">
        <f>IF($A3897&lt;Notes!$B$5,"",IF(COUNTIFS(Release_Calendar!$A$2:$A$755,"NZ_CPI",Release_Calendar!$B$2:$B$755,$A3897)&gt;0,1,0))</f>
        <v/>
      </c>
      <c r="N3897" s="16" t="str">
        <f>IF($A3897&lt;Notes!$B$5,"",IF(COUNTIFS(Release_Calendar!$A$2:$A$755,"NZ_GDP",Release_Calendar!$B$2:$B$755,$A3897)&gt;0,1,0))</f>
        <v/>
      </c>
      <c r="O3897" s="16" t="str">
        <f>IF($A3897&lt;Notes!$B$5,"",IF(COUNTIFS(Release_Calendar!$A$2:$A$755,"NZ_LABOUR",Release_Calendar!$B$2:$B$755,$A3897)&gt;0,1,0))</f>
        <v/>
      </c>
      <c r="P3897" s="16">
        <f t="shared" si="4"/>
        <v>0</v>
      </c>
    </row>
    <row r="3898" ht="15.75" customHeight="1">
      <c r="A3898" s="14">
        <v>41982.0</v>
      </c>
      <c r="B3898" s="15">
        <v>0.64</v>
      </c>
      <c r="C3898" s="15">
        <v>3.85</v>
      </c>
      <c r="D3898" s="15"/>
      <c r="E3898" s="15"/>
      <c r="F3898" s="15">
        <f t="shared" si="1"/>
        <v>3.21</v>
      </c>
      <c r="G3898" s="15">
        <f t="shared" si="2"/>
        <v>3.85</v>
      </c>
      <c r="H3898" s="16">
        <v>0.0</v>
      </c>
      <c r="I3898" s="15">
        <f t="shared" si="3"/>
        <v>3.21</v>
      </c>
      <c r="J3898" s="15">
        <v>14.89</v>
      </c>
      <c r="K3898" s="16">
        <f>IF(COUNTIFS(Release_Calendar!$A$2:$A$755,"US_CPI",Release_Calendar!$B$2:$B$755,$A3898)&gt;0,1,0)</f>
        <v>0</v>
      </c>
      <c r="L3898" s="16">
        <f>IF(COUNTIFS(Release_Calendar!$A$2:$A$755,"US_NFP",Release_Calendar!$B$2:$B$755,$A3898)&gt;0,1,0)</f>
        <v>0</v>
      </c>
      <c r="M3898" s="16" t="str">
        <f>IF($A3898&lt;Notes!$B$5,"",IF(COUNTIFS(Release_Calendar!$A$2:$A$755,"NZ_CPI",Release_Calendar!$B$2:$B$755,$A3898)&gt;0,1,0))</f>
        <v/>
      </c>
      <c r="N3898" s="16" t="str">
        <f>IF($A3898&lt;Notes!$B$5,"",IF(COUNTIFS(Release_Calendar!$A$2:$A$755,"NZ_GDP",Release_Calendar!$B$2:$B$755,$A3898)&gt;0,1,0))</f>
        <v/>
      </c>
      <c r="O3898" s="16" t="str">
        <f>IF($A3898&lt;Notes!$B$5,"",IF(COUNTIFS(Release_Calendar!$A$2:$A$755,"NZ_LABOUR",Release_Calendar!$B$2:$B$755,$A3898)&gt;0,1,0))</f>
        <v/>
      </c>
      <c r="P3898" s="16">
        <f t="shared" si="4"/>
        <v>0</v>
      </c>
    </row>
    <row r="3899" ht="15.75" customHeight="1">
      <c r="A3899" s="14">
        <v>41983.0</v>
      </c>
      <c r="B3899" s="15">
        <v>0.59</v>
      </c>
      <c r="C3899" s="15">
        <v>3.83</v>
      </c>
      <c r="D3899" s="15"/>
      <c r="E3899" s="15"/>
      <c r="F3899" s="15">
        <f t="shared" si="1"/>
        <v>3.24</v>
      </c>
      <c r="G3899" s="15">
        <f t="shared" si="2"/>
        <v>3.83</v>
      </c>
      <c r="H3899" s="16">
        <v>0.0</v>
      </c>
      <c r="I3899" s="15">
        <f t="shared" si="3"/>
        <v>3.24</v>
      </c>
      <c r="J3899" s="15">
        <v>18.53</v>
      </c>
      <c r="K3899" s="16">
        <f>IF(COUNTIFS(Release_Calendar!$A$2:$A$755,"US_CPI",Release_Calendar!$B$2:$B$755,$A3899)&gt;0,1,0)</f>
        <v>0</v>
      </c>
      <c r="L3899" s="16">
        <f>IF(COUNTIFS(Release_Calendar!$A$2:$A$755,"US_NFP",Release_Calendar!$B$2:$B$755,$A3899)&gt;0,1,0)</f>
        <v>0</v>
      </c>
      <c r="M3899" s="16" t="str">
        <f>IF($A3899&lt;Notes!$B$5,"",IF(COUNTIFS(Release_Calendar!$A$2:$A$755,"NZ_CPI",Release_Calendar!$B$2:$B$755,$A3899)&gt;0,1,0))</f>
        <v/>
      </c>
      <c r="N3899" s="16" t="str">
        <f>IF($A3899&lt;Notes!$B$5,"",IF(COUNTIFS(Release_Calendar!$A$2:$A$755,"NZ_GDP",Release_Calendar!$B$2:$B$755,$A3899)&gt;0,1,0))</f>
        <v/>
      </c>
      <c r="O3899" s="16" t="str">
        <f>IF($A3899&lt;Notes!$B$5,"",IF(COUNTIFS(Release_Calendar!$A$2:$A$755,"NZ_LABOUR",Release_Calendar!$B$2:$B$755,$A3899)&gt;0,1,0))</f>
        <v/>
      </c>
      <c r="P3899" s="16">
        <f t="shared" si="4"/>
        <v>0</v>
      </c>
    </row>
    <row r="3900" ht="15.75" customHeight="1">
      <c r="A3900" s="14">
        <v>41984.0</v>
      </c>
      <c r="B3900" s="15">
        <v>0.62</v>
      </c>
      <c r="C3900" s="15">
        <v>3.83</v>
      </c>
      <c r="D3900" s="15"/>
      <c r="E3900" s="15"/>
      <c r="F3900" s="15">
        <f t="shared" si="1"/>
        <v>3.21</v>
      </c>
      <c r="G3900" s="15">
        <f t="shared" si="2"/>
        <v>3.83</v>
      </c>
      <c r="H3900" s="16">
        <v>0.0</v>
      </c>
      <c r="I3900" s="15">
        <f t="shared" si="3"/>
        <v>3.21</v>
      </c>
      <c r="J3900" s="15">
        <v>20.08</v>
      </c>
      <c r="K3900" s="16">
        <f>IF(COUNTIFS(Release_Calendar!$A$2:$A$755,"US_CPI",Release_Calendar!$B$2:$B$755,$A3900)&gt;0,1,0)</f>
        <v>0</v>
      </c>
      <c r="L3900" s="16">
        <f>IF(COUNTIFS(Release_Calendar!$A$2:$A$755,"US_NFP",Release_Calendar!$B$2:$B$755,$A3900)&gt;0,1,0)</f>
        <v>0</v>
      </c>
      <c r="M3900" s="16" t="str">
        <f>IF($A3900&lt;Notes!$B$5,"",IF(COUNTIFS(Release_Calendar!$A$2:$A$755,"NZ_CPI",Release_Calendar!$B$2:$B$755,$A3900)&gt;0,1,0))</f>
        <v/>
      </c>
      <c r="N3900" s="16" t="str">
        <f>IF($A3900&lt;Notes!$B$5,"",IF(COUNTIFS(Release_Calendar!$A$2:$A$755,"NZ_GDP",Release_Calendar!$B$2:$B$755,$A3900)&gt;0,1,0))</f>
        <v/>
      </c>
      <c r="O3900" s="16" t="str">
        <f>IF($A3900&lt;Notes!$B$5,"",IF(COUNTIFS(Release_Calendar!$A$2:$A$755,"NZ_LABOUR",Release_Calendar!$B$2:$B$755,$A3900)&gt;0,1,0))</f>
        <v/>
      </c>
      <c r="P3900" s="16">
        <f t="shared" si="4"/>
        <v>0</v>
      </c>
    </row>
    <row r="3901" ht="15.75" customHeight="1">
      <c r="A3901" s="14">
        <v>41985.0</v>
      </c>
      <c r="B3901" s="15">
        <v>0.56</v>
      </c>
      <c r="C3901" s="15">
        <v>3.82</v>
      </c>
      <c r="D3901" s="15"/>
      <c r="E3901" s="15"/>
      <c r="F3901" s="15">
        <f t="shared" si="1"/>
        <v>3.26</v>
      </c>
      <c r="G3901" s="15">
        <f t="shared" si="2"/>
        <v>3.82</v>
      </c>
      <c r="H3901" s="16">
        <v>0.0</v>
      </c>
      <c r="I3901" s="15">
        <f t="shared" si="3"/>
        <v>3.26</v>
      </c>
      <c r="J3901" s="15">
        <v>21.08</v>
      </c>
      <c r="K3901" s="16">
        <f>IF(COUNTIFS(Release_Calendar!$A$2:$A$755,"US_CPI",Release_Calendar!$B$2:$B$755,$A3901)&gt;0,1,0)</f>
        <v>0</v>
      </c>
      <c r="L3901" s="16">
        <f>IF(COUNTIFS(Release_Calendar!$A$2:$A$755,"US_NFP",Release_Calendar!$B$2:$B$755,$A3901)&gt;0,1,0)</f>
        <v>0</v>
      </c>
      <c r="M3901" s="16" t="str">
        <f>IF($A3901&lt;Notes!$B$5,"",IF(COUNTIFS(Release_Calendar!$A$2:$A$755,"NZ_CPI",Release_Calendar!$B$2:$B$755,$A3901)&gt;0,1,0))</f>
        <v/>
      </c>
      <c r="N3901" s="16" t="str">
        <f>IF($A3901&lt;Notes!$B$5,"",IF(COUNTIFS(Release_Calendar!$A$2:$A$755,"NZ_GDP",Release_Calendar!$B$2:$B$755,$A3901)&gt;0,1,0))</f>
        <v/>
      </c>
      <c r="O3901" s="16" t="str">
        <f>IF($A3901&lt;Notes!$B$5,"",IF(COUNTIFS(Release_Calendar!$A$2:$A$755,"NZ_LABOUR",Release_Calendar!$B$2:$B$755,$A3901)&gt;0,1,0))</f>
        <v/>
      </c>
      <c r="P3901" s="16">
        <f t="shared" si="4"/>
        <v>0</v>
      </c>
    </row>
    <row r="3902" ht="15.75" customHeight="1">
      <c r="A3902" s="14">
        <v>41988.0</v>
      </c>
      <c r="B3902" s="15">
        <v>0.6</v>
      </c>
      <c r="C3902" s="15">
        <v>3.8</v>
      </c>
      <c r="D3902" s="15">
        <v>3.5</v>
      </c>
      <c r="E3902" s="15">
        <v>3.52</v>
      </c>
      <c r="F3902" s="15">
        <f t="shared" si="1"/>
        <v>3.2</v>
      </c>
      <c r="G3902" s="15">
        <f t="shared" si="2"/>
        <v>3.8</v>
      </c>
      <c r="H3902" s="16">
        <v>0.0</v>
      </c>
      <c r="I3902" s="15">
        <f t="shared" si="3"/>
        <v>3.2</v>
      </c>
      <c r="J3902" s="15">
        <v>20.42</v>
      </c>
      <c r="K3902" s="16">
        <f>IF(COUNTIFS(Release_Calendar!$A$2:$A$755,"US_CPI",Release_Calendar!$B$2:$B$755,$A3902)&gt;0,1,0)</f>
        <v>0</v>
      </c>
      <c r="L3902" s="16">
        <f>IF(COUNTIFS(Release_Calendar!$A$2:$A$755,"US_NFP",Release_Calendar!$B$2:$B$755,$A3902)&gt;0,1,0)</f>
        <v>0</v>
      </c>
      <c r="M3902" s="16" t="str">
        <f>IF($A3902&lt;Notes!$B$5,"",IF(COUNTIFS(Release_Calendar!$A$2:$A$755,"NZ_CPI",Release_Calendar!$B$2:$B$755,$A3902)&gt;0,1,0))</f>
        <v/>
      </c>
      <c r="N3902" s="16" t="str">
        <f>IF($A3902&lt;Notes!$B$5,"",IF(COUNTIFS(Release_Calendar!$A$2:$A$755,"NZ_GDP",Release_Calendar!$B$2:$B$755,$A3902)&gt;0,1,0))</f>
        <v/>
      </c>
      <c r="O3902" s="16" t="str">
        <f>IF($A3902&lt;Notes!$B$5,"",IF(COUNTIFS(Release_Calendar!$A$2:$A$755,"NZ_LABOUR",Release_Calendar!$B$2:$B$755,$A3902)&gt;0,1,0))</f>
        <v/>
      </c>
      <c r="P3902" s="16">
        <f t="shared" si="4"/>
        <v>0</v>
      </c>
    </row>
    <row r="3903" ht="15.75" customHeight="1">
      <c r="A3903" s="14">
        <v>41989.0</v>
      </c>
      <c r="B3903" s="15">
        <v>0.58</v>
      </c>
      <c r="C3903" s="15">
        <v>3.81</v>
      </c>
      <c r="D3903" s="15">
        <v>3.54</v>
      </c>
      <c r="E3903" s="15">
        <v>3.54</v>
      </c>
      <c r="F3903" s="15">
        <f t="shared" si="1"/>
        <v>3.23</v>
      </c>
      <c r="G3903" s="15">
        <f t="shared" si="2"/>
        <v>3.81</v>
      </c>
      <c r="H3903" s="16">
        <v>0.0</v>
      </c>
      <c r="I3903" s="15">
        <f t="shared" si="3"/>
        <v>3.23</v>
      </c>
      <c r="J3903" s="15">
        <v>23.57</v>
      </c>
      <c r="K3903" s="16">
        <f>IF(COUNTIFS(Release_Calendar!$A$2:$A$755,"US_CPI",Release_Calendar!$B$2:$B$755,$A3903)&gt;0,1,0)</f>
        <v>0</v>
      </c>
      <c r="L3903" s="16">
        <f>IF(COUNTIFS(Release_Calendar!$A$2:$A$755,"US_NFP",Release_Calendar!$B$2:$B$755,$A3903)&gt;0,1,0)</f>
        <v>0</v>
      </c>
      <c r="M3903" s="16" t="str">
        <f>IF($A3903&lt;Notes!$B$5,"",IF(COUNTIFS(Release_Calendar!$A$2:$A$755,"NZ_CPI",Release_Calendar!$B$2:$B$755,$A3903)&gt;0,1,0))</f>
        <v/>
      </c>
      <c r="N3903" s="16" t="str">
        <f>IF($A3903&lt;Notes!$B$5,"",IF(COUNTIFS(Release_Calendar!$A$2:$A$755,"NZ_GDP",Release_Calendar!$B$2:$B$755,$A3903)&gt;0,1,0))</f>
        <v/>
      </c>
      <c r="O3903" s="16" t="str">
        <f>IF($A3903&lt;Notes!$B$5,"",IF(COUNTIFS(Release_Calendar!$A$2:$A$755,"NZ_LABOUR",Release_Calendar!$B$2:$B$755,$A3903)&gt;0,1,0))</f>
        <v/>
      </c>
      <c r="P3903" s="16">
        <f t="shared" si="4"/>
        <v>0</v>
      </c>
    </row>
    <row r="3904" ht="15.75" customHeight="1">
      <c r="A3904" s="14">
        <v>41990.0</v>
      </c>
      <c r="B3904" s="15">
        <v>0.62</v>
      </c>
      <c r="C3904" s="15">
        <v>3.79</v>
      </c>
      <c r="D3904" s="15">
        <v>3.51</v>
      </c>
      <c r="E3904" s="15">
        <v>3.52</v>
      </c>
      <c r="F3904" s="15">
        <f t="shared" si="1"/>
        <v>3.17</v>
      </c>
      <c r="G3904" s="15">
        <f t="shared" si="2"/>
        <v>3.79</v>
      </c>
      <c r="H3904" s="16">
        <v>0.0</v>
      </c>
      <c r="I3904" s="15">
        <f t="shared" si="3"/>
        <v>3.17</v>
      </c>
      <c r="J3904" s="15">
        <v>19.44</v>
      </c>
      <c r="K3904" s="16">
        <f>IF(COUNTIFS(Release_Calendar!$A$2:$A$755,"US_CPI",Release_Calendar!$B$2:$B$755,$A3904)&gt;0,1,0)</f>
        <v>1</v>
      </c>
      <c r="L3904" s="16">
        <f>IF(COUNTIFS(Release_Calendar!$A$2:$A$755,"US_NFP",Release_Calendar!$B$2:$B$755,$A3904)&gt;0,1,0)</f>
        <v>0</v>
      </c>
      <c r="M3904" s="16" t="str">
        <f>IF($A3904&lt;Notes!$B$5,"",IF(COUNTIFS(Release_Calendar!$A$2:$A$755,"NZ_CPI",Release_Calendar!$B$2:$B$755,$A3904)&gt;0,1,0))</f>
        <v/>
      </c>
      <c r="N3904" s="16" t="str">
        <f>IF($A3904&lt;Notes!$B$5,"",IF(COUNTIFS(Release_Calendar!$A$2:$A$755,"NZ_GDP",Release_Calendar!$B$2:$B$755,$A3904)&gt;0,1,0))</f>
        <v/>
      </c>
      <c r="O3904" s="16" t="str">
        <f>IF($A3904&lt;Notes!$B$5,"",IF(COUNTIFS(Release_Calendar!$A$2:$A$755,"NZ_LABOUR",Release_Calendar!$B$2:$B$755,$A3904)&gt;0,1,0))</f>
        <v/>
      </c>
      <c r="P3904" s="16">
        <f t="shared" si="4"/>
        <v>1</v>
      </c>
    </row>
    <row r="3905" ht="15.75" customHeight="1">
      <c r="A3905" s="14">
        <v>41991.0</v>
      </c>
      <c r="B3905" s="15">
        <v>0.67</v>
      </c>
      <c r="C3905" s="15">
        <v>3.81</v>
      </c>
      <c r="D3905" s="15">
        <v>3.57</v>
      </c>
      <c r="E3905" s="15">
        <v>3.55</v>
      </c>
      <c r="F3905" s="15">
        <f t="shared" si="1"/>
        <v>3.14</v>
      </c>
      <c r="G3905" s="15">
        <f t="shared" si="2"/>
        <v>3.81</v>
      </c>
      <c r="H3905" s="16">
        <v>0.0</v>
      </c>
      <c r="I3905" s="15">
        <f t="shared" si="3"/>
        <v>3.14</v>
      </c>
      <c r="J3905" s="15">
        <v>16.81</v>
      </c>
      <c r="K3905" s="16">
        <f>IF(COUNTIFS(Release_Calendar!$A$2:$A$755,"US_CPI",Release_Calendar!$B$2:$B$755,$A3905)&gt;0,1,0)</f>
        <v>0</v>
      </c>
      <c r="L3905" s="16">
        <f>IF(COUNTIFS(Release_Calendar!$A$2:$A$755,"US_NFP",Release_Calendar!$B$2:$B$755,$A3905)&gt;0,1,0)</f>
        <v>0</v>
      </c>
      <c r="M3905" s="16" t="str">
        <f>IF($A3905&lt;Notes!$B$5,"",IF(COUNTIFS(Release_Calendar!$A$2:$A$755,"NZ_CPI",Release_Calendar!$B$2:$B$755,$A3905)&gt;0,1,0))</f>
        <v/>
      </c>
      <c r="N3905" s="16" t="str">
        <f>IF($A3905&lt;Notes!$B$5,"",IF(COUNTIFS(Release_Calendar!$A$2:$A$755,"NZ_GDP",Release_Calendar!$B$2:$B$755,$A3905)&gt;0,1,0))</f>
        <v/>
      </c>
      <c r="O3905" s="16" t="str">
        <f>IF($A3905&lt;Notes!$B$5,"",IF(COUNTIFS(Release_Calendar!$A$2:$A$755,"NZ_LABOUR",Release_Calendar!$B$2:$B$755,$A3905)&gt;0,1,0))</f>
        <v/>
      </c>
      <c r="P3905" s="16">
        <f t="shared" si="4"/>
        <v>0</v>
      </c>
    </row>
    <row r="3906" ht="15.75" customHeight="1">
      <c r="A3906" s="14">
        <v>41992.0</v>
      </c>
      <c r="B3906" s="15">
        <v>0.67</v>
      </c>
      <c r="C3906" s="15">
        <v>3.86</v>
      </c>
      <c r="D3906" s="15">
        <v>3.56</v>
      </c>
      <c r="E3906" s="15">
        <v>3.6</v>
      </c>
      <c r="F3906" s="15">
        <f t="shared" si="1"/>
        <v>3.19</v>
      </c>
      <c r="G3906" s="15">
        <f t="shared" si="2"/>
        <v>3.86</v>
      </c>
      <c r="H3906" s="16">
        <v>0.0</v>
      </c>
      <c r="I3906" s="15">
        <f t="shared" si="3"/>
        <v>3.19</v>
      </c>
      <c r="J3906" s="15">
        <v>16.49</v>
      </c>
      <c r="K3906" s="16">
        <f>IF(COUNTIFS(Release_Calendar!$A$2:$A$755,"US_CPI",Release_Calendar!$B$2:$B$755,$A3906)&gt;0,1,0)</f>
        <v>0</v>
      </c>
      <c r="L3906" s="16">
        <f>IF(COUNTIFS(Release_Calendar!$A$2:$A$755,"US_NFP",Release_Calendar!$B$2:$B$755,$A3906)&gt;0,1,0)</f>
        <v>0</v>
      </c>
      <c r="M3906" s="16" t="str">
        <f>IF($A3906&lt;Notes!$B$5,"",IF(COUNTIFS(Release_Calendar!$A$2:$A$755,"NZ_CPI",Release_Calendar!$B$2:$B$755,$A3906)&gt;0,1,0))</f>
        <v/>
      </c>
      <c r="N3906" s="16" t="str">
        <f>IF($A3906&lt;Notes!$B$5,"",IF(COUNTIFS(Release_Calendar!$A$2:$A$755,"NZ_GDP",Release_Calendar!$B$2:$B$755,$A3906)&gt;0,1,0))</f>
        <v/>
      </c>
      <c r="O3906" s="16" t="str">
        <f>IF($A3906&lt;Notes!$B$5,"",IF(COUNTIFS(Release_Calendar!$A$2:$A$755,"NZ_LABOUR",Release_Calendar!$B$2:$B$755,$A3906)&gt;0,1,0))</f>
        <v/>
      </c>
      <c r="P3906" s="16">
        <f t="shared" si="4"/>
        <v>0</v>
      </c>
    </row>
    <row r="3907" ht="15.75" customHeight="1">
      <c r="A3907" s="14">
        <v>41995.0</v>
      </c>
      <c r="B3907" s="15">
        <v>0.71</v>
      </c>
      <c r="C3907" s="15">
        <v>3.83</v>
      </c>
      <c r="D3907" s="15">
        <v>3.58</v>
      </c>
      <c r="E3907" s="15">
        <v>3.57</v>
      </c>
      <c r="F3907" s="15">
        <f t="shared" si="1"/>
        <v>3.12</v>
      </c>
      <c r="G3907" s="15">
        <f t="shared" si="2"/>
        <v>3.83</v>
      </c>
      <c r="H3907" s="16">
        <v>0.0</v>
      </c>
      <c r="I3907" s="15">
        <f t="shared" si="3"/>
        <v>3.12</v>
      </c>
      <c r="J3907" s="15">
        <v>15.25</v>
      </c>
      <c r="K3907" s="16">
        <f>IF(COUNTIFS(Release_Calendar!$A$2:$A$755,"US_CPI",Release_Calendar!$B$2:$B$755,$A3907)&gt;0,1,0)</f>
        <v>0</v>
      </c>
      <c r="L3907" s="16">
        <f>IF(COUNTIFS(Release_Calendar!$A$2:$A$755,"US_NFP",Release_Calendar!$B$2:$B$755,$A3907)&gt;0,1,0)</f>
        <v>0</v>
      </c>
      <c r="M3907" s="16" t="str">
        <f>IF($A3907&lt;Notes!$B$5,"",IF(COUNTIFS(Release_Calendar!$A$2:$A$755,"NZ_CPI",Release_Calendar!$B$2:$B$755,$A3907)&gt;0,1,0))</f>
        <v/>
      </c>
      <c r="N3907" s="16" t="str">
        <f>IF($A3907&lt;Notes!$B$5,"",IF(COUNTIFS(Release_Calendar!$A$2:$A$755,"NZ_GDP",Release_Calendar!$B$2:$B$755,$A3907)&gt;0,1,0))</f>
        <v/>
      </c>
      <c r="O3907" s="16" t="str">
        <f>IF($A3907&lt;Notes!$B$5,"",IF(COUNTIFS(Release_Calendar!$A$2:$A$755,"NZ_LABOUR",Release_Calendar!$B$2:$B$755,$A3907)&gt;0,1,0))</f>
        <v/>
      </c>
      <c r="P3907" s="16">
        <f t="shared" si="4"/>
        <v>0</v>
      </c>
    </row>
    <row r="3908" ht="15.75" customHeight="1">
      <c r="A3908" s="14">
        <v>41996.0</v>
      </c>
      <c r="B3908" s="15">
        <v>0.73</v>
      </c>
      <c r="C3908" s="15">
        <v>3.85</v>
      </c>
      <c r="D3908" s="15">
        <v>3.56</v>
      </c>
      <c r="E3908" s="15">
        <v>3.57</v>
      </c>
      <c r="F3908" s="15">
        <f t="shared" si="1"/>
        <v>3.12</v>
      </c>
      <c r="G3908" s="15">
        <f t="shared" si="2"/>
        <v>3.85</v>
      </c>
      <c r="H3908" s="16">
        <v>0.0</v>
      </c>
      <c r="I3908" s="15">
        <f t="shared" si="3"/>
        <v>3.12</v>
      </c>
      <c r="J3908" s="15">
        <v>14.8</v>
      </c>
      <c r="K3908" s="16">
        <f>IF(COUNTIFS(Release_Calendar!$A$2:$A$755,"US_CPI",Release_Calendar!$B$2:$B$755,$A3908)&gt;0,1,0)</f>
        <v>0</v>
      </c>
      <c r="L3908" s="16">
        <f>IF(COUNTIFS(Release_Calendar!$A$2:$A$755,"US_NFP",Release_Calendar!$B$2:$B$755,$A3908)&gt;0,1,0)</f>
        <v>0</v>
      </c>
      <c r="M3908" s="16" t="str">
        <f>IF($A3908&lt;Notes!$B$5,"",IF(COUNTIFS(Release_Calendar!$A$2:$A$755,"NZ_CPI",Release_Calendar!$B$2:$B$755,$A3908)&gt;0,1,0))</f>
        <v/>
      </c>
      <c r="N3908" s="16" t="str">
        <f>IF($A3908&lt;Notes!$B$5,"",IF(COUNTIFS(Release_Calendar!$A$2:$A$755,"NZ_GDP",Release_Calendar!$B$2:$B$755,$A3908)&gt;0,1,0))</f>
        <v/>
      </c>
      <c r="O3908" s="16" t="str">
        <f>IF($A3908&lt;Notes!$B$5,"",IF(COUNTIFS(Release_Calendar!$A$2:$A$755,"NZ_LABOUR",Release_Calendar!$B$2:$B$755,$A3908)&gt;0,1,0))</f>
        <v/>
      </c>
      <c r="P3908" s="16">
        <f t="shared" si="4"/>
        <v>0</v>
      </c>
    </row>
    <row r="3909" ht="15.75" customHeight="1">
      <c r="A3909" s="14">
        <v>41997.0</v>
      </c>
      <c r="B3909" s="15">
        <v>0.73</v>
      </c>
      <c r="C3909" s="15">
        <v>3.87</v>
      </c>
      <c r="D3909" s="15">
        <v>3.58</v>
      </c>
      <c r="E3909" s="15">
        <v>3.59</v>
      </c>
      <c r="F3909" s="15">
        <f t="shared" si="1"/>
        <v>3.14</v>
      </c>
      <c r="G3909" s="15">
        <f t="shared" si="2"/>
        <v>3.87</v>
      </c>
      <c r="H3909" s="16">
        <v>0.0</v>
      </c>
      <c r="I3909" s="15">
        <f t="shared" si="3"/>
        <v>3.14</v>
      </c>
      <c r="J3909" s="15">
        <v>14.37</v>
      </c>
      <c r="K3909" s="16">
        <f>IF(COUNTIFS(Release_Calendar!$A$2:$A$755,"US_CPI",Release_Calendar!$B$2:$B$755,$A3909)&gt;0,1,0)</f>
        <v>0</v>
      </c>
      <c r="L3909" s="16">
        <f>IF(COUNTIFS(Release_Calendar!$A$2:$A$755,"US_NFP",Release_Calendar!$B$2:$B$755,$A3909)&gt;0,1,0)</f>
        <v>0</v>
      </c>
      <c r="M3909" s="16" t="str">
        <f>IF($A3909&lt;Notes!$B$5,"",IF(COUNTIFS(Release_Calendar!$A$2:$A$755,"NZ_CPI",Release_Calendar!$B$2:$B$755,$A3909)&gt;0,1,0))</f>
        <v/>
      </c>
      <c r="N3909" s="16" t="str">
        <f>IF($A3909&lt;Notes!$B$5,"",IF(COUNTIFS(Release_Calendar!$A$2:$A$755,"NZ_GDP",Release_Calendar!$B$2:$B$755,$A3909)&gt;0,1,0))</f>
        <v/>
      </c>
      <c r="O3909" s="16" t="str">
        <f>IF($A3909&lt;Notes!$B$5,"",IF(COUNTIFS(Release_Calendar!$A$2:$A$755,"NZ_LABOUR",Release_Calendar!$B$2:$B$755,$A3909)&gt;0,1,0))</f>
        <v/>
      </c>
      <c r="P3909" s="16">
        <f t="shared" si="4"/>
        <v>0</v>
      </c>
    </row>
    <row r="3910" ht="15.75" customHeight="1">
      <c r="A3910" s="14">
        <v>41998.0</v>
      </c>
      <c r="B3910" s="15"/>
      <c r="C3910" s="15"/>
      <c r="D3910" s="15"/>
      <c r="E3910" s="15"/>
      <c r="F3910" s="15" t="str">
        <f t="shared" si="1"/>
        <v/>
      </c>
      <c r="G3910" s="15" t="str">
        <f t="shared" si="2"/>
        <v/>
      </c>
      <c r="H3910" s="16">
        <v>0.0</v>
      </c>
      <c r="I3910" s="15" t="str">
        <f t="shared" si="3"/>
        <v/>
      </c>
      <c r="J3910" s="15"/>
      <c r="K3910" s="16">
        <f>IF(COUNTIFS(Release_Calendar!$A$2:$A$755,"US_CPI",Release_Calendar!$B$2:$B$755,$A3910)&gt;0,1,0)</f>
        <v>0</v>
      </c>
      <c r="L3910" s="16">
        <f>IF(COUNTIFS(Release_Calendar!$A$2:$A$755,"US_NFP",Release_Calendar!$B$2:$B$755,$A3910)&gt;0,1,0)</f>
        <v>0</v>
      </c>
      <c r="M3910" s="16" t="str">
        <f>IF($A3910&lt;Notes!$B$5,"",IF(COUNTIFS(Release_Calendar!$A$2:$A$755,"NZ_CPI",Release_Calendar!$B$2:$B$755,$A3910)&gt;0,1,0))</f>
        <v/>
      </c>
      <c r="N3910" s="16" t="str">
        <f>IF($A3910&lt;Notes!$B$5,"",IF(COUNTIFS(Release_Calendar!$A$2:$A$755,"NZ_GDP",Release_Calendar!$B$2:$B$755,$A3910)&gt;0,1,0))</f>
        <v/>
      </c>
      <c r="O3910" s="16" t="str">
        <f>IF($A3910&lt;Notes!$B$5,"",IF(COUNTIFS(Release_Calendar!$A$2:$A$755,"NZ_LABOUR",Release_Calendar!$B$2:$B$755,$A3910)&gt;0,1,0))</f>
        <v/>
      </c>
      <c r="P3910" s="16">
        <f t="shared" si="4"/>
        <v>0</v>
      </c>
    </row>
    <row r="3911" ht="15.75" customHeight="1">
      <c r="A3911" s="14">
        <v>41999.0</v>
      </c>
      <c r="B3911" s="15">
        <v>0.73</v>
      </c>
      <c r="C3911" s="15"/>
      <c r="D3911" s="15"/>
      <c r="E3911" s="15"/>
      <c r="F3911" s="15" t="str">
        <f t="shared" si="1"/>
        <v/>
      </c>
      <c r="G3911" s="15" t="str">
        <f t="shared" si="2"/>
        <v/>
      </c>
      <c r="H3911" s="16">
        <v>0.0</v>
      </c>
      <c r="I3911" s="15" t="str">
        <f t="shared" si="3"/>
        <v/>
      </c>
      <c r="J3911" s="15">
        <v>14.5</v>
      </c>
      <c r="K3911" s="16">
        <f>IF(COUNTIFS(Release_Calendar!$A$2:$A$755,"US_CPI",Release_Calendar!$B$2:$B$755,$A3911)&gt;0,1,0)</f>
        <v>0</v>
      </c>
      <c r="L3911" s="16">
        <f>IF(COUNTIFS(Release_Calendar!$A$2:$A$755,"US_NFP",Release_Calendar!$B$2:$B$755,$A3911)&gt;0,1,0)</f>
        <v>0</v>
      </c>
      <c r="M3911" s="16" t="str">
        <f>IF($A3911&lt;Notes!$B$5,"",IF(COUNTIFS(Release_Calendar!$A$2:$A$755,"NZ_CPI",Release_Calendar!$B$2:$B$755,$A3911)&gt;0,1,0))</f>
        <v/>
      </c>
      <c r="N3911" s="16" t="str">
        <f>IF($A3911&lt;Notes!$B$5,"",IF(COUNTIFS(Release_Calendar!$A$2:$A$755,"NZ_GDP",Release_Calendar!$B$2:$B$755,$A3911)&gt;0,1,0))</f>
        <v/>
      </c>
      <c r="O3911" s="16" t="str">
        <f>IF($A3911&lt;Notes!$B$5,"",IF(COUNTIFS(Release_Calendar!$A$2:$A$755,"NZ_LABOUR",Release_Calendar!$B$2:$B$755,$A3911)&gt;0,1,0))</f>
        <v/>
      </c>
      <c r="P3911" s="16">
        <f t="shared" si="4"/>
        <v>0</v>
      </c>
    </row>
    <row r="3912" ht="15.75" customHeight="1">
      <c r="A3912" s="14">
        <v>42002.0</v>
      </c>
      <c r="B3912" s="15">
        <v>0.72</v>
      </c>
      <c r="C3912" s="15">
        <v>3.87</v>
      </c>
      <c r="D3912" s="15">
        <v>3.59</v>
      </c>
      <c r="E3912" s="15">
        <v>3.59</v>
      </c>
      <c r="F3912" s="15">
        <f t="shared" si="1"/>
        <v>3.15</v>
      </c>
      <c r="G3912" s="15">
        <f t="shared" si="2"/>
        <v>3.87</v>
      </c>
      <c r="H3912" s="16">
        <v>0.0</v>
      </c>
      <c r="I3912" s="15">
        <f t="shared" si="3"/>
        <v>3.15</v>
      </c>
      <c r="J3912" s="15">
        <v>15.06</v>
      </c>
      <c r="K3912" s="16">
        <f>IF(COUNTIFS(Release_Calendar!$A$2:$A$755,"US_CPI",Release_Calendar!$B$2:$B$755,$A3912)&gt;0,1,0)</f>
        <v>0</v>
      </c>
      <c r="L3912" s="16">
        <f>IF(COUNTIFS(Release_Calendar!$A$2:$A$755,"US_NFP",Release_Calendar!$B$2:$B$755,$A3912)&gt;0,1,0)</f>
        <v>0</v>
      </c>
      <c r="M3912" s="16" t="str">
        <f>IF($A3912&lt;Notes!$B$5,"",IF(COUNTIFS(Release_Calendar!$A$2:$A$755,"NZ_CPI",Release_Calendar!$B$2:$B$755,$A3912)&gt;0,1,0))</f>
        <v/>
      </c>
      <c r="N3912" s="16" t="str">
        <f>IF($A3912&lt;Notes!$B$5,"",IF(COUNTIFS(Release_Calendar!$A$2:$A$755,"NZ_GDP",Release_Calendar!$B$2:$B$755,$A3912)&gt;0,1,0))</f>
        <v/>
      </c>
      <c r="O3912" s="16" t="str">
        <f>IF($A3912&lt;Notes!$B$5,"",IF(COUNTIFS(Release_Calendar!$A$2:$A$755,"NZ_LABOUR",Release_Calendar!$B$2:$B$755,$A3912)&gt;0,1,0))</f>
        <v/>
      </c>
      <c r="P3912" s="16">
        <f t="shared" si="4"/>
        <v>0</v>
      </c>
    </row>
    <row r="3913" ht="15.75" customHeight="1">
      <c r="A3913" s="14">
        <v>42003.0</v>
      </c>
      <c r="B3913" s="15">
        <v>0.69</v>
      </c>
      <c r="C3913" s="15">
        <v>3.84</v>
      </c>
      <c r="D3913" s="15">
        <v>3.58</v>
      </c>
      <c r="E3913" s="15">
        <v>3.56</v>
      </c>
      <c r="F3913" s="15">
        <f t="shared" si="1"/>
        <v>3.15</v>
      </c>
      <c r="G3913" s="15">
        <f t="shared" si="2"/>
        <v>3.84</v>
      </c>
      <c r="H3913" s="16">
        <v>0.0</v>
      </c>
      <c r="I3913" s="15">
        <f t="shared" si="3"/>
        <v>3.15</v>
      </c>
      <c r="J3913" s="15">
        <v>15.92</v>
      </c>
      <c r="K3913" s="16">
        <f>IF(COUNTIFS(Release_Calendar!$A$2:$A$755,"US_CPI",Release_Calendar!$B$2:$B$755,$A3913)&gt;0,1,0)</f>
        <v>0</v>
      </c>
      <c r="L3913" s="16">
        <f>IF(COUNTIFS(Release_Calendar!$A$2:$A$755,"US_NFP",Release_Calendar!$B$2:$B$755,$A3913)&gt;0,1,0)</f>
        <v>0</v>
      </c>
      <c r="M3913" s="16" t="str">
        <f>IF($A3913&lt;Notes!$B$5,"",IF(COUNTIFS(Release_Calendar!$A$2:$A$755,"NZ_CPI",Release_Calendar!$B$2:$B$755,$A3913)&gt;0,1,0))</f>
        <v/>
      </c>
      <c r="N3913" s="16" t="str">
        <f>IF($A3913&lt;Notes!$B$5,"",IF(COUNTIFS(Release_Calendar!$A$2:$A$755,"NZ_GDP",Release_Calendar!$B$2:$B$755,$A3913)&gt;0,1,0))</f>
        <v/>
      </c>
      <c r="O3913" s="16" t="str">
        <f>IF($A3913&lt;Notes!$B$5,"",IF(COUNTIFS(Release_Calendar!$A$2:$A$755,"NZ_LABOUR",Release_Calendar!$B$2:$B$755,$A3913)&gt;0,1,0))</f>
        <v/>
      </c>
      <c r="P3913" s="16">
        <f t="shared" si="4"/>
        <v>0</v>
      </c>
    </row>
    <row r="3914" ht="15.75" customHeight="1">
      <c r="A3914" s="14">
        <v>42004.0</v>
      </c>
      <c r="B3914" s="15">
        <v>0.67</v>
      </c>
      <c r="C3914" s="15">
        <v>3.8</v>
      </c>
      <c r="D3914" s="15">
        <v>3.54</v>
      </c>
      <c r="E3914" s="15">
        <v>3.53</v>
      </c>
      <c r="F3914" s="15">
        <f t="shared" si="1"/>
        <v>3.13</v>
      </c>
      <c r="G3914" s="15">
        <f t="shared" si="2"/>
        <v>3.8</v>
      </c>
      <c r="H3914" s="16">
        <v>0.0</v>
      </c>
      <c r="I3914" s="15">
        <f t="shared" si="3"/>
        <v>3.13</v>
      </c>
      <c r="J3914" s="15">
        <v>19.2</v>
      </c>
      <c r="K3914" s="16">
        <f>IF(COUNTIFS(Release_Calendar!$A$2:$A$755,"US_CPI",Release_Calendar!$B$2:$B$755,$A3914)&gt;0,1,0)</f>
        <v>0</v>
      </c>
      <c r="L3914" s="16">
        <f>IF(COUNTIFS(Release_Calendar!$A$2:$A$755,"US_NFP",Release_Calendar!$B$2:$B$755,$A3914)&gt;0,1,0)</f>
        <v>0</v>
      </c>
      <c r="M3914" s="16" t="str">
        <f>IF($A3914&lt;Notes!$B$5,"",IF(COUNTIFS(Release_Calendar!$A$2:$A$755,"NZ_CPI",Release_Calendar!$B$2:$B$755,$A3914)&gt;0,1,0))</f>
        <v/>
      </c>
      <c r="N3914" s="16" t="str">
        <f>IF($A3914&lt;Notes!$B$5,"",IF(COUNTIFS(Release_Calendar!$A$2:$A$755,"NZ_GDP",Release_Calendar!$B$2:$B$755,$A3914)&gt;0,1,0))</f>
        <v/>
      </c>
      <c r="O3914" s="16" t="str">
        <f>IF($A3914&lt;Notes!$B$5,"",IF(COUNTIFS(Release_Calendar!$A$2:$A$755,"NZ_LABOUR",Release_Calendar!$B$2:$B$755,$A3914)&gt;0,1,0))</f>
        <v/>
      </c>
      <c r="P3914" s="16">
        <f t="shared" si="4"/>
        <v>0</v>
      </c>
    </row>
    <row r="3915" ht="15.75" customHeight="1">
      <c r="A3915" s="14">
        <v>42005.0</v>
      </c>
      <c r="B3915" s="15"/>
      <c r="C3915" s="15"/>
      <c r="D3915" s="15"/>
      <c r="E3915" s="15"/>
      <c r="F3915" s="15" t="str">
        <f t="shared" si="1"/>
        <v/>
      </c>
      <c r="G3915" s="15" t="str">
        <f t="shared" si="2"/>
        <v/>
      </c>
      <c r="H3915" s="16">
        <v>0.0</v>
      </c>
      <c r="I3915" s="15" t="str">
        <f t="shared" si="3"/>
        <v/>
      </c>
      <c r="J3915" s="15"/>
      <c r="K3915" s="16">
        <f>IF(COUNTIFS(Release_Calendar!$A$2:$A$755,"US_CPI",Release_Calendar!$B$2:$B$755,$A3915)&gt;0,1,0)</f>
        <v>0</v>
      </c>
      <c r="L3915" s="16">
        <f>IF(COUNTIFS(Release_Calendar!$A$2:$A$755,"US_NFP",Release_Calendar!$B$2:$B$755,$A3915)&gt;0,1,0)</f>
        <v>0</v>
      </c>
      <c r="M3915" s="16" t="str">
        <f>IF($A3915&lt;Notes!$B$5,"",IF(COUNTIFS(Release_Calendar!$A$2:$A$755,"NZ_CPI",Release_Calendar!$B$2:$B$755,$A3915)&gt;0,1,0))</f>
        <v/>
      </c>
      <c r="N3915" s="16" t="str">
        <f>IF($A3915&lt;Notes!$B$5,"",IF(COUNTIFS(Release_Calendar!$A$2:$A$755,"NZ_GDP",Release_Calendar!$B$2:$B$755,$A3915)&gt;0,1,0))</f>
        <v/>
      </c>
      <c r="O3915" s="16" t="str">
        <f>IF($A3915&lt;Notes!$B$5,"",IF(COUNTIFS(Release_Calendar!$A$2:$A$755,"NZ_LABOUR",Release_Calendar!$B$2:$B$755,$A3915)&gt;0,1,0))</f>
        <v/>
      </c>
      <c r="P3915" s="16">
        <f t="shared" si="4"/>
        <v>0</v>
      </c>
    </row>
    <row r="3916" ht="15.75" customHeight="1">
      <c r="A3916" s="14">
        <v>42006.0</v>
      </c>
      <c r="B3916" s="15">
        <v>0.66</v>
      </c>
      <c r="C3916" s="15"/>
      <c r="D3916" s="15"/>
      <c r="E3916" s="15"/>
      <c r="F3916" s="15" t="str">
        <f t="shared" si="1"/>
        <v/>
      </c>
      <c r="G3916" s="15" t="str">
        <f t="shared" si="2"/>
        <v/>
      </c>
      <c r="H3916" s="16">
        <v>0.0</v>
      </c>
      <c r="I3916" s="15" t="str">
        <f t="shared" si="3"/>
        <v/>
      </c>
      <c r="J3916" s="15">
        <v>17.79</v>
      </c>
      <c r="K3916" s="16">
        <f>IF(COUNTIFS(Release_Calendar!$A$2:$A$755,"US_CPI",Release_Calendar!$B$2:$B$755,$A3916)&gt;0,1,0)</f>
        <v>0</v>
      </c>
      <c r="L3916" s="16">
        <f>IF(COUNTIFS(Release_Calendar!$A$2:$A$755,"US_NFP",Release_Calendar!$B$2:$B$755,$A3916)&gt;0,1,0)</f>
        <v>0</v>
      </c>
      <c r="M3916" s="16" t="str">
        <f>IF($A3916&lt;Notes!$B$5,"",IF(COUNTIFS(Release_Calendar!$A$2:$A$755,"NZ_CPI",Release_Calendar!$B$2:$B$755,$A3916)&gt;0,1,0))</f>
        <v/>
      </c>
      <c r="N3916" s="16" t="str">
        <f>IF($A3916&lt;Notes!$B$5,"",IF(COUNTIFS(Release_Calendar!$A$2:$A$755,"NZ_GDP",Release_Calendar!$B$2:$B$755,$A3916)&gt;0,1,0))</f>
        <v/>
      </c>
      <c r="O3916" s="16" t="str">
        <f>IF($A3916&lt;Notes!$B$5,"",IF(COUNTIFS(Release_Calendar!$A$2:$A$755,"NZ_LABOUR",Release_Calendar!$B$2:$B$755,$A3916)&gt;0,1,0))</f>
        <v/>
      </c>
      <c r="P3916" s="16">
        <f t="shared" si="4"/>
        <v>0</v>
      </c>
    </row>
    <row r="3917" ht="15.75" customHeight="1">
      <c r="A3917" s="14">
        <v>42009.0</v>
      </c>
      <c r="B3917" s="15">
        <v>0.68</v>
      </c>
      <c r="C3917" s="15">
        <v>3.8</v>
      </c>
      <c r="D3917" s="15">
        <v>3.51</v>
      </c>
      <c r="E3917" s="15">
        <v>3.49</v>
      </c>
      <c r="F3917" s="15">
        <f t="shared" si="1"/>
        <v>3.12</v>
      </c>
      <c r="G3917" s="15">
        <f t="shared" si="2"/>
        <v>3.8</v>
      </c>
      <c r="H3917" s="16">
        <v>0.0</v>
      </c>
      <c r="I3917" s="15">
        <f t="shared" si="3"/>
        <v>3.12</v>
      </c>
      <c r="J3917" s="15">
        <v>19.92</v>
      </c>
      <c r="K3917" s="16">
        <f>IF(COUNTIFS(Release_Calendar!$A$2:$A$755,"US_CPI",Release_Calendar!$B$2:$B$755,$A3917)&gt;0,1,0)</f>
        <v>0</v>
      </c>
      <c r="L3917" s="16">
        <f>IF(COUNTIFS(Release_Calendar!$A$2:$A$755,"US_NFP",Release_Calendar!$B$2:$B$755,$A3917)&gt;0,1,0)</f>
        <v>0</v>
      </c>
      <c r="M3917" s="16" t="str">
        <f>IF($A3917&lt;Notes!$B$5,"",IF(COUNTIFS(Release_Calendar!$A$2:$A$755,"NZ_CPI",Release_Calendar!$B$2:$B$755,$A3917)&gt;0,1,0))</f>
        <v/>
      </c>
      <c r="N3917" s="16" t="str">
        <f>IF($A3917&lt;Notes!$B$5,"",IF(COUNTIFS(Release_Calendar!$A$2:$A$755,"NZ_GDP",Release_Calendar!$B$2:$B$755,$A3917)&gt;0,1,0))</f>
        <v/>
      </c>
      <c r="O3917" s="16" t="str">
        <f>IF($A3917&lt;Notes!$B$5,"",IF(COUNTIFS(Release_Calendar!$A$2:$A$755,"NZ_LABOUR",Release_Calendar!$B$2:$B$755,$A3917)&gt;0,1,0))</f>
        <v/>
      </c>
      <c r="P3917" s="16">
        <f t="shared" si="4"/>
        <v>0</v>
      </c>
    </row>
    <row r="3918" ht="15.75" customHeight="1">
      <c r="A3918" s="14">
        <v>42010.0</v>
      </c>
      <c r="B3918" s="15">
        <v>0.65</v>
      </c>
      <c r="C3918" s="15">
        <v>3.8</v>
      </c>
      <c r="D3918" s="15">
        <v>3.46</v>
      </c>
      <c r="E3918" s="15">
        <v>3.5</v>
      </c>
      <c r="F3918" s="15">
        <f t="shared" si="1"/>
        <v>3.15</v>
      </c>
      <c r="G3918" s="15">
        <f t="shared" si="2"/>
        <v>3.8</v>
      </c>
      <c r="H3918" s="16">
        <v>0.0</v>
      </c>
      <c r="I3918" s="15">
        <f t="shared" si="3"/>
        <v>3.15</v>
      </c>
      <c r="J3918" s="15">
        <v>21.12</v>
      </c>
      <c r="K3918" s="16">
        <f>IF(COUNTIFS(Release_Calendar!$A$2:$A$755,"US_CPI",Release_Calendar!$B$2:$B$755,$A3918)&gt;0,1,0)</f>
        <v>0</v>
      </c>
      <c r="L3918" s="16">
        <f>IF(COUNTIFS(Release_Calendar!$A$2:$A$755,"US_NFP",Release_Calendar!$B$2:$B$755,$A3918)&gt;0,1,0)</f>
        <v>0</v>
      </c>
      <c r="M3918" s="16" t="str">
        <f>IF($A3918&lt;Notes!$B$5,"",IF(COUNTIFS(Release_Calendar!$A$2:$A$755,"NZ_CPI",Release_Calendar!$B$2:$B$755,$A3918)&gt;0,1,0))</f>
        <v/>
      </c>
      <c r="N3918" s="16" t="str">
        <f>IF($A3918&lt;Notes!$B$5,"",IF(COUNTIFS(Release_Calendar!$A$2:$A$755,"NZ_GDP",Release_Calendar!$B$2:$B$755,$A3918)&gt;0,1,0))</f>
        <v/>
      </c>
      <c r="O3918" s="16" t="str">
        <f>IF($A3918&lt;Notes!$B$5,"",IF(COUNTIFS(Release_Calendar!$A$2:$A$755,"NZ_LABOUR",Release_Calendar!$B$2:$B$755,$A3918)&gt;0,1,0))</f>
        <v/>
      </c>
      <c r="P3918" s="16">
        <f t="shared" si="4"/>
        <v>0</v>
      </c>
    </row>
    <row r="3919" ht="15.75" customHeight="1">
      <c r="A3919" s="14">
        <v>42011.0</v>
      </c>
      <c r="B3919" s="15">
        <v>0.62</v>
      </c>
      <c r="C3919" s="15">
        <v>3.8</v>
      </c>
      <c r="D3919" s="15">
        <v>3.44</v>
      </c>
      <c r="E3919" s="15">
        <v>3.48</v>
      </c>
      <c r="F3919" s="15">
        <f t="shared" si="1"/>
        <v>3.18</v>
      </c>
      <c r="G3919" s="15">
        <f t="shared" si="2"/>
        <v>3.8</v>
      </c>
      <c r="H3919" s="16">
        <v>0.0</v>
      </c>
      <c r="I3919" s="15">
        <f t="shared" si="3"/>
        <v>3.18</v>
      </c>
      <c r="J3919" s="15">
        <v>19.31</v>
      </c>
      <c r="K3919" s="16">
        <f>IF(COUNTIFS(Release_Calendar!$A$2:$A$755,"US_CPI",Release_Calendar!$B$2:$B$755,$A3919)&gt;0,1,0)</f>
        <v>0</v>
      </c>
      <c r="L3919" s="16">
        <f>IF(COUNTIFS(Release_Calendar!$A$2:$A$755,"US_NFP",Release_Calendar!$B$2:$B$755,$A3919)&gt;0,1,0)</f>
        <v>0</v>
      </c>
      <c r="M3919" s="16" t="str">
        <f>IF($A3919&lt;Notes!$B$5,"",IF(COUNTIFS(Release_Calendar!$A$2:$A$755,"NZ_CPI",Release_Calendar!$B$2:$B$755,$A3919)&gt;0,1,0))</f>
        <v/>
      </c>
      <c r="N3919" s="16" t="str">
        <f>IF($A3919&lt;Notes!$B$5,"",IF(COUNTIFS(Release_Calendar!$A$2:$A$755,"NZ_GDP",Release_Calendar!$B$2:$B$755,$A3919)&gt;0,1,0))</f>
        <v/>
      </c>
      <c r="O3919" s="16" t="str">
        <f>IF($A3919&lt;Notes!$B$5,"",IF(COUNTIFS(Release_Calendar!$A$2:$A$755,"NZ_LABOUR",Release_Calendar!$B$2:$B$755,$A3919)&gt;0,1,0))</f>
        <v/>
      </c>
      <c r="P3919" s="16">
        <f t="shared" si="4"/>
        <v>0</v>
      </c>
    </row>
    <row r="3920" ht="15.75" customHeight="1">
      <c r="A3920" s="14">
        <v>42012.0</v>
      </c>
      <c r="B3920" s="15">
        <v>0.62</v>
      </c>
      <c r="C3920" s="15">
        <v>3.83</v>
      </c>
      <c r="D3920" s="15">
        <v>3.48</v>
      </c>
      <c r="E3920" s="15">
        <v>3.51</v>
      </c>
      <c r="F3920" s="15">
        <f t="shared" si="1"/>
        <v>3.21</v>
      </c>
      <c r="G3920" s="15">
        <f t="shared" si="2"/>
        <v>3.83</v>
      </c>
      <c r="H3920" s="16">
        <v>0.0</v>
      </c>
      <c r="I3920" s="15">
        <f t="shared" si="3"/>
        <v>3.21</v>
      </c>
      <c r="J3920" s="15">
        <v>17.01</v>
      </c>
      <c r="K3920" s="16">
        <f>IF(COUNTIFS(Release_Calendar!$A$2:$A$755,"US_CPI",Release_Calendar!$B$2:$B$755,$A3920)&gt;0,1,0)</f>
        <v>0</v>
      </c>
      <c r="L3920" s="16">
        <f>IF(COUNTIFS(Release_Calendar!$A$2:$A$755,"US_NFP",Release_Calendar!$B$2:$B$755,$A3920)&gt;0,1,0)</f>
        <v>0</v>
      </c>
      <c r="M3920" s="16" t="str">
        <f>IF($A3920&lt;Notes!$B$5,"",IF(COUNTIFS(Release_Calendar!$A$2:$A$755,"NZ_CPI",Release_Calendar!$B$2:$B$755,$A3920)&gt;0,1,0))</f>
        <v/>
      </c>
      <c r="N3920" s="16" t="str">
        <f>IF($A3920&lt;Notes!$B$5,"",IF(COUNTIFS(Release_Calendar!$A$2:$A$755,"NZ_GDP",Release_Calendar!$B$2:$B$755,$A3920)&gt;0,1,0))</f>
        <v/>
      </c>
      <c r="O3920" s="16" t="str">
        <f>IF($A3920&lt;Notes!$B$5,"",IF(COUNTIFS(Release_Calendar!$A$2:$A$755,"NZ_LABOUR",Release_Calendar!$B$2:$B$755,$A3920)&gt;0,1,0))</f>
        <v/>
      </c>
      <c r="P3920" s="16">
        <f t="shared" si="4"/>
        <v>0</v>
      </c>
    </row>
    <row r="3921" ht="15.75" customHeight="1">
      <c r="A3921" s="14">
        <v>42013.0</v>
      </c>
      <c r="B3921" s="15">
        <v>0.59</v>
      </c>
      <c r="C3921" s="15">
        <v>3.83</v>
      </c>
      <c r="D3921" s="15">
        <v>3.51</v>
      </c>
      <c r="E3921" s="15">
        <v>3.52</v>
      </c>
      <c r="F3921" s="15">
        <f t="shared" si="1"/>
        <v>3.24</v>
      </c>
      <c r="G3921" s="15">
        <f t="shared" si="2"/>
        <v>3.83</v>
      </c>
      <c r="H3921" s="16">
        <v>0.0</v>
      </c>
      <c r="I3921" s="15">
        <f t="shared" si="3"/>
        <v>3.24</v>
      </c>
      <c r="J3921" s="15">
        <v>17.55</v>
      </c>
      <c r="K3921" s="16">
        <f>IF(COUNTIFS(Release_Calendar!$A$2:$A$755,"US_CPI",Release_Calendar!$B$2:$B$755,$A3921)&gt;0,1,0)</f>
        <v>0</v>
      </c>
      <c r="L3921" s="16">
        <f>IF(COUNTIFS(Release_Calendar!$A$2:$A$755,"US_NFP",Release_Calendar!$B$2:$B$755,$A3921)&gt;0,1,0)</f>
        <v>1</v>
      </c>
      <c r="M3921" s="16" t="str">
        <f>IF($A3921&lt;Notes!$B$5,"",IF(COUNTIFS(Release_Calendar!$A$2:$A$755,"NZ_CPI",Release_Calendar!$B$2:$B$755,$A3921)&gt;0,1,0))</f>
        <v/>
      </c>
      <c r="N3921" s="16" t="str">
        <f>IF($A3921&lt;Notes!$B$5,"",IF(COUNTIFS(Release_Calendar!$A$2:$A$755,"NZ_GDP",Release_Calendar!$B$2:$B$755,$A3921)&gt;0,1,0))</f>
        <v/>
      </c>
      <c r="O3921" s="16" t="str">
        <f>IF($A3921&lt;Notes!$B$5,"",IF(COUNTIFS(Release_Calendar!$A$2:$A$755,"NZ_LABOUR",Release_Calendar!$B$2:$B$755,$A3921)&gt;0,1,0))</f>
        <v/>
      </c>
      <c r="P3921" s="16">
        <f t="shared" si="4"/>
        <v>1</v>
      </c>
    </row>
    <row r="3922" ht="15.75" customHeight="1">
      <c r="A3922" s="14">
        <v>42016.0</v>
      </c>
      <c r="B3922" s="15">
        <v>0.56</v>
      </c>
      <c r="C3922" s="15">
        <v>3.81</v>
      </c>
      <c r="D3922" s="15">
        <v>3.49</v>
      </c>
      <c r="E3922" s="15">
        <v>3.49</v>
      </c>
      <c r="F3922" s="15">
        <f t="shared" si="1"/>
        <v>3.25</v>
      </c>
      <c r="G3922" s="15">
        <f t="shared" si="2"/>
        <v>3.81</v>
      </c>
      <c r="H3922" s="16">
        <v>0.0</v>
      </c>
      <c r="I3922" s="15">
        <f t="shared" si="3"/>
        <v>3.25</v>
      </c>
      <c r="J3922" s="15">
        <v>19.6</v>
      </c>
      <c r="K3922" s="16">
        <f>IF(COUNTIFS(Release_Calendar!$A$2:$A$755,"US_CPI",Release_Calendar!$B$2:$B$755,$A3922)&gt;0,1,0)</f>
        <v>0</v>
      </c>
      <c r="L3922" s="16">
        <f>IF(COUNTIFS(Release_Calendar!$A$2:$A$755,"US_NFP",Release_Calendar!$B$2:$B$755,$A3922)&gt;0,1,0)</f>
        <v>0</v>
      </c>
      <c r="M3922" s="16" t="str">
        <f>IF($A3922&lt;Notes!$B$5,"",IF(COUNTIFS(Release_Calendar!$A$2:$A$755,"NZ_CPI",Release_Calendar!$B$2:$B$755,$A3922)&gt;0,1,0))</f>
        <v/>
      </c>
      <c r="N3922" s="16" t="str">
        <f>IF($A3922&lt;Notes!$B$5,"",IF(COUNTIFS(Release_Calendar!$A$2:$A$755,"NZ_GDP",Release_Calendar!$B$2:$B$755,$A3922)&gt;0,1,0))</f>
        <v/>
      </c>
      <c r="O3922" s="16" t="str">
        <f>IF($A3922&lt;Notes!$B$5,"",IF(COUNTIFS(Release_Calendar!$A$2:$A$755,"NZ_LABOUR",Release_Calendar!$B$2:$B$755,$A3922)&gt;0,1,0))</f>
        <v/>
      </c>
      <c r="P3922" s="16">
        <f t="shared" si="4"/>
        <v>0</v>
      </c>
    </row>
    <row r="3923" ht="15.75" customHeight="1">
      <c r="A3923" s="14">
        <v>42017.0</v>
      </c>
      <c r="B3923" s="15">
        <v>0.54</v>
      </c>
      <c r="C3923" s="15">
        <v>3.77</v>
      </c>
      <c r="D3923" s="15">
        <v>3.46</v>
      </c>
      <c r="E3923" s="15">
        <v>3.45</v>
      </c>
      <c r="F3923" s="15">
        <f t="shared" si="1"/>
        <v>3.23</v>
      </c>
      <c r="G3923" s="15">
        <f t="shared" si="2"/>
        <v>3.77</v>
      </c>
      <c r="H3923" s="16">
        <v>0.0</v>
      </c>
      <c r="I3923" s="15">
        <f t="shared" si="3"/>
        <v>3.23</v>
      </c>
      <c r="J3923" s="15">
        <v>20.56</v>
      </c>
      <c r="K3923" s="16">
        <f>IF(COUNTIFS(Release_Calendar!$A$2:$A$755,"US_CPI",Release_Calendar!$B$2:$B$755,$A3923)&gt;0,1,0)</f>
        <v>0</v>
      </c>
      <c r="L3923" s="16">
        <f>IF(COUNTIFS(Release_Calendar!$A$2:$A$755,"US_NFP",Release_Calendar!$B$2:$B$755,$A3923)&gt;0,1,0)</f>
        <v>0</v>
      </c>
      <c r="M3923" s="16" t="str">
        <f>IF($A3923&lt;Notes!$B$5,"",IF(COUNTIFS(Release_Calendar!$A$2:$A$755,"NZ_CPI",Release_Calendar!$B$2:$B$755,$A3923)&gt;0,1,0))</f>
        <v/>
      </c>
      <c r="N3923" s="16" t="str">
        <f>IF($A3923&lt;Notes!$B$5,"",IF(COUNTIFS(Release_Calendar!$A$2:$A$755,"NZ_GDP",Release_Calendar!$B$2:$B$755,$A3923)&gt;0,1,0))</f>
        <v/>
      </c>
      <c r="O3923" s="16" t="str">
        <f>IF($A3923&lt;Notes!$B$5,"",IF(COUNTIFS(Release_Calendar!$A$2:$A$755,"NZ_LABOUR",Release_Calendar!$B$2:$B$755,$A3923)&gt;0,1,0))</f>
        <v/>
      </c>
      <c r="P3923" s="16">
        <f t="shared" si="4"/>
        <v>0</v>
      </c>
    </row>
    <row r="3924" ht="15.75" customHeight="1">
      <c r="A3924" s="14">
        <v>42018.0</v>
      </c>
      <c r="B3924" s="15">
        <v>0.51</v>
      </c>
      <c r="C3924" s="15">
        <v>3.77</v>
      </c>
      <c r="D3924" s="15">
        <v>3.46</v>
      </c>
      <c r="E3924" s="15">
        <v>3.44</v>
      </c>
      <c r="F3924" s="15">
        <f t="shared" si="1"/>
        <v>3.26</v>
      </c>
      <c r="G3924" s="15">
        <f t="shared" si="2"/>
        <v>3.77</v>
      </c>
      <c r="H3924" s="16">
        <v>0.0</v>
      </c>
      <c r="I3924" s="15">
        <f t="shared" si="3"/>
        <v>3.26</v>
      </c>
      <c r="J3924" s="15">
        <v>21.48</v>
      </c>
      <c r="K3924" s="16">
        <f>IF(COUNTIFS(Release_Calendar!$A$2:$A$755,"US_CPI",Release_Calendar!$B$2:$B$755,$A3924)&gt;0,1,0)</f>
        <v>0</v>
      </c>
      <c r="L3924" s="16">
        <f>IF(COUNTIFS(Release_Calendar!$A$2:$A$755,"US_NFP",Release_Calendar!$B$2:$B$755,$A3924)&gt;0,1,0)</f>
        <v>0</v>
      </c>
      <c r="M3924" s="16" t="str">
        <f>IF($A3924&lt;Notes!$B$5,"",IF(COUNTIFS(Release_Calendar!$A$2:$A$755,"NZ_CPI",Release_Calendar!$B$2:$B$755,$A3924)&gt;0,1,0))</f>
        <v/>
      </c>
      <c r="N3924" s="16" t="str">
        <f>IF($A3924&lt;Notes!$B$5,"",IF(COUNTIFS(Release_Calendar!$A$2:$A$755,"NZ_GDP",Release_Calendar!$B$2:$B$755,$A3924)&gt;0,1,0))</f>
        <v/>
      </c>
      <c r="O3924" s="16" t="str">
        <f>IF($A3924&lt;Notes!$B$5,"",IF(COUNTIFS(Release_Calendar!$A$2:$A$755,"NZ_LABOUR",Release_Calendar!$B$2:$B$755,$A3924)&gt;0,1,0))</f>
        <v/>
      </c>
      <c r="P3924" s="16">
        <f t="shared" si="4"/>
        <v>0</v>
      </c>
    </row>
    <row r="3925" ht="15.75" customHeight="1">
      <c r="A3925" s="14">
        <v>42019.0</v>
      </c>
      <c r="B3925" s="15">
        <v>0.44</v>
      </c>
      <c r="C3925" s="15">
        <v>3.78</v>
      </c>
      <c r="D3925" s="15">
        <v>3.4</v>
      </c>
      <c r="E3925" s="15">
        <v>3.44</v>
      </c>
      <c r="F3925" s="15">
        <f t="shared" si="1"/>
        <v>3.34</v>
      </c>
      <c r="G3925" s="15">
        <f t="shared" si="2"/>
        <v>3.78</v>
      </c>
      <c r="H3925" s="16">
        <v>0.0</v>
      </c>
      <c r="I3925" s="15">
        <f t="shared" si="3"/>
        <v>3.34</v>
      </c>
      <c r="J3925" s="15">
        <v>22.39</v>
      </c>
      <c r="K3925" s="16">
        <f>IF(COUNTIFS(Release_Calendar!$A$2:$A$755,"US_CPI",Release_Calendar!$B$2:$B$755,$A3925)&gt;0,1,0)</f>
        <v>0</v>
      </c>
      <c r="L3925" s="16">
        <f>IF(COUNTIFS(Release_Calendar!$A$2:$A$755,"US_NFP",Release_Calendar!$B$2:$B$755,$A3925)&gt;0,1,0)</f>
        <v>0</v>
      </c>
      <c r="M3925" s="16" t="str">
        <f>IF($A3925&lt;Notes!$B$5,"",IF(COUNTIFS(Release_Calendar!$A$2:$A$755,"NZ_CPI",Release_Calendar!$B$2:$B$755,$A3925)&gt;0,1,0))</f>
        <v/>
      </c>
      <c r="N3925" s="16" t="str">
        <f>IF($A3925&lt;Notes!$B$5,"",IF(COUNTIFS(Release_Calendar!$A$2:$A$755,"NZ_GDP",Release_Calendar!$B$2:$B$755,$A3925)&gt;0,1,0))</f>
        <v/>
      </c>
      <c r="O3925" s="16" t="str">
        <f>IF($A3925&lt;Notes!$B$5,"",IF(COUNTIFS(Release_Calendar!$A$2:$A$755,"NZ_LABOUR",Release_Calendar!$B$2:$B$755,$A3925)&gt;0,1,0))</f>
        <v/>
      </c>
      <c r="P3925" s="16">
        <f t="shared" si="4"/>
        <v>0</v>
      </c>
    </row>
    <row r="3926" ht="15.75" customHeight="1">
      <c r="A3926" s="14">
        <v>42020.0</v>
      </c>
      <c r="B3926" s="15">
        <v>0.49</v>
      </c>
      <c r="C3926" s="15">
        <v>3.73</v>
      </c>
      <c r="D3926" s="15">
        <v>3.35</v>
      </c>
      <c r="E3926" s="15">
        <v>3.35</v>
      </c>
      <c r="F3926" s="15">
        <f t="shared" si="1"/>
        <v>3.24</v>
      </c>
      <c r="G3926" s="15">
        <f t="shared" si="2"/>
        <v>3.73</v>
      </c>
      <c r="H3926" s="16">
        <v>0.0</v>
      </c>
      <c r="I3926" s="15">
        <f t="shared" si="3"/>
        <v>3.24</v>
      </c>
      <c r="J3926" s="15">
        <v>20.95</v>
      </c>
      <c r="K3926" s="16">
        <f>IF(COUNTIFS(Release_Calendar!$A$2:$A$755,"US_CPI",Release_Calendar!$B$2:$B$755,$A3926)&gt;0,1,0)</f>
        <v>1</v>
      </c>
      <c r="L3926" s="16">
        <f>IF(COUNTIFS(Release_Calendar!$A$2:$A$755,"US_NFP",Release_Calendar!$B$2:$B$755,$A3926)&gt;0,1,0)</f>
        <v>0</v>
      </c>
      <c r="M3926" s="16" t="str">
        <f>IF($A3926&lt;Notes!$B$5,"",IF(COUNTIFS(Release_Calendar!$A$2:$A$755,"NZ_CPI",Release_Calendar!$B$2:$B$755,$A3926)&gt;0,1,0))</f>
        <v/>
      </c>
      <c r="N3926" s="16" t="str">
        <f>IF($A3926&lt;Notes!$B$5,"",IF(COUNTIFS(Release_Calendar!$A$2:$A$755,"NZ_GDP",Release_Calendar!$B$2:$B$755,$A3926)&gt;0,1,0))</f>
        <v/>
      </c>
      <c r="O3926" s="16" t="str">
        <f>IF($A3926&lt;Notes!$B$5,"",IF(COUNTIFS(Release_Calendar!$A$2:$A$755,"NZ_LABOUR",Release_Calendar!$B$2:$B$755,$A3926)&gt;0,1,0))</f>
        <v/>
      </c>
      <c r="P3926" s="16">
        <f t="shared" si="4"/>
        <v>1</v>
      </c>
    </row>
    <row r="3927" ht="15.75" customHeight="1">
      <c r="A3927" s="14">
        <v>42023.0</v>
      </c>
      <c r="B3927" s="15"/>
      <c r="C3927" s="15">
        <v>3.75</v>
      </c>
      <c r="D3927" s="15">
        <v>3.35</v>
      </c>
      <c r="E3927" s="15">
        <v>3.35</v>
      </c>
      <c r="F3927" s="15" t="str">
        <f t="shared" si="1"/>
        <v/>
      </c>
      <c r="G3927" s="15">
        <f t="shared" si="2"/>
        <v>3.75</v>
      </c>
      <c r="H3927" s="16">
        <v>0.0</v>
      </c>
      <c r="I3927" s="15" t="str">
        <f t="shared" si="3"/>
        <v/>
      </c>
      <c r="J3927" s="15"/>
      <c r="K3927" s="16">
        <f>IF(COUNTIFS(Release_Calendar!$A$2:$A$755,"US_CPI",Release_Calendar!$B$2:$B$755,$A3927)&gt;0,1,0)</f>
        <v>0</v>
      </c>
      <c r="L3927" s="16">
        <f>IF(COUNTIFS(Release_Calendar!$A$2:$A$755,"US_NFP",Release_Calendar!$B$2:$B$755,$A3927)&gt;0,1,0)</f>
        <v>0</v>
      </c>
      <c r="M3927" s="16" t="str">
        <f>IF($A3927&lt;Notes!$B$5,"",IF(COUNTIFS(Release_Calendar!$A$2:$A$755,"NZ_CPI",Release_Calendar!$B$2:$B$755,$A3927)&gt;0,1,0))</f>
        <v/>
      </c>
      <c r="N3927" s="16" t="str">
        <f>IF($A3927&lt;Notes!$B$5,"",IF(COUNTIFS(Release_Calendar!$A$2:$A$755,"NZ_GDP",Release_Calendar!$B$2:$B$755,$A3927)&gt;0,1,0))</f>
        <v/>
      </c>
      <c r="O3927" s="16" t="str">
        <f>IF($A3927&lt;Notes!$B$5,"",IF(COUNTIFS(Release_Calendar!$A$2:$A$755,"NZ_LABOUR",Release_Calendar!$B$2:$B$755,$A3927)&gt;0,1,0))</f>
        <v/>
      </c>
      <c r="P3927" s="16">
        <f t="shared" si="4"/>
        <v>0</v>
      </c>
    </row>
    <row r="3928" ht="15.75" customHeight="1">
      <c r="A3928" s="14">
        <v>42024.0</v>
      </c>
      <c r="B3928" s="15">
        <v>0.53</v>
      </c>
      <c r="C3928" s="15">
        <v>3.73</v>
      </c>
      <c r="D3928" s="15">
        <v>3.41</v>
      </c>
      <c r="E3928" s="15">
        <v>3.4</v>
      </c>
      <c r="F3928" s="15">
        <f t="shared" si="1"/>
        <v>3.2</v>
      </c>
      <c r="G3928" s="15">
        <f t="shared" si="2"/>
        <v>3.73</v>
      </c>
      <c r="H3928" s="16">
        <v>0.0</v>
      </c>
      <c r="I3928" s="15">
        <f t="shared" si="3"/>
        <v>3.2</v>
      </c>
      <c r="J3928" s="15">
        <v>19.89</v>
      </c>
      <c r="K3928" s="16">
        <f>IF(COUNTIFS(Release_Calendar!$A$2:$A$755,"US_CPI",Release_Calendar!$B$2:$B$755,$A3928)&gt;0,1,0)</f>
        <v>0</v>
      </c>
      <c r="L3928" s="16">
        <f>IF(COUNTIFS(Release_Calendar!$A$2:$A$755,"US_NFP",Release_Calendar!$B$2:$B$755,$A3928)&gt;0,1,0)</f>
        <v>0</v>
      </c>
      <c r="M3928" s="16" t="str">
        <f>IF($A3928&lt;Notes!$B$5,"",IF(COUNTIFS(Release_Calendar!$A$2:$A$755,"NZ_CPI",Release_Calendar!$B$2:$B$755,$A3928)&gt;0,1,0))</f>
        <v/>
      </c>
      <c r="N3928" s="16" t="str">
        <f>IF($A3928&lt;Notes!$B$5,"",IF(COUNTIFS(Release_Calendar!$A$2:$A$755,"NZ_GDP",Release_Calendar!$B$2:$B$755,$A3928)&gt;0,1,0))</f>
        <v/>
      </c>
      <c r="O3928" s="16" t="str">
        <f>IF($A3928&lt;Notes!$B$5,"",IF(COUNTIFS(Release_Calendar!$A$2:$A$755,"NZ_LABOUR",Release_Calendar!$B$2:$B$755,$A3928)&gt;0,1,0))</f>
        <v/>
      </c>
      <c r="P3928" s="16">
        <f t="shared" si="4"/>
        <v>0</v>
      </c>
    </row>
    <row r="3929" ht="15.75" customHeight="1">
      <c r="A3929" s="14">
        <v>42025.0</v>
      </c>
      <c r="B3929" s="15">
        <v>0.53</v>
      </c>
      <c r="C3929" s="15">
        <v>3.69</v>
      </c>
      <c r="D3929" s="15">
        <v>3.37</v>
      </c>
      <c r="E3929" s="15">
        <v>3.35</v>
      </c>
      <c r="F3929" s="15">
        <f t="shared" si="1"/>
        <v>3.16</v>
      </c>
      <c r="G3929" s="15">
        <f t="shared" si="2"/>
        <v>3.69</v>
      </c>
      <c r="H3929" s="16">
        <v>0.0</v>
      </c>
      <c r="I3929" s="15">
        <f t="shared" si="3"/>
        <v>3.16</v>
      </c>
      <c r="J3929" s="15">
        <v>18.85</v>
      </c>
      <c r="K3929" s="16">
        <f>IF(COUNTIFS(Release_Calendar!$A$2:$A$755,"US_CPI",Release_Calendar!$B$2:$B$755,$A3929)&gt;0,1,0)</f>
        <v>0</v>
      </c>
      <c r="L3929" s="16">
        <f>IF(COUNTIFS(Release_Calendar!$A$2:$A$755,"US_NFP",Release_Calendar!$B$2:$B$755,$A3929)&gt;0,1,0)</f>
        <v>0</v>
      </c>
      <c r="M3929" s="16" t="str">
        <f>IF($A3929&lt;Notes!$B$5,"",IF(COUNTIFS(Release_Calendar!$A$2:$A$755,"NZ_CPI",Release_Calendar!$B$2:$B$755,$A3929)&gt;0,1,0))</f>
        <v/>
      </c>
      <c r="N3929" s="16" t="str">
        <f>IF($A3929&lt;Notes!$B$5,"",IF(COUNTIFS(Release_Calendar!$A$2:$A$755,"NZ_GDP",Release_Calendar!$B$2:$B$755,$A3929)&gt;0,1,0))</f>
        <v/>
      </c>
      <c r="O3929" s="16" t="str">
        <f>IF($A3929&lt;Notes!$B$5,"",IF(COUNTIFS(Release_Calendar!$A$2:$A$755,"NZ_LABOUR",Release_Calendar!$B$2:$B$755,$A3929)&gt;0,1,0))</f>
        <v/>
      </c>
      <c r="P3929" s="16">
        <f t="shared" si="4"/>
        <v>0</v>
      </c>
    </row>
    <row r="3930" ht="15.75" customHeight="1">
      <c r="A3930" s="14">
        <v>42026.0</v>
      </c>
      <c r="B3930" s="15">
        <v>0.53</v>
      </c>
      <c r="C3930" s="15">
        <v>3.63</v>
      </c>
      <c r="D3930" s="15">
        <v>3.31</v>
      </c>
      <c r="E3930" s="15">
        <v>3.29</v>
      </c>
      <c r="F3930" s="15">
        <f t="shared" si="1"/>
        <v>3.1</v>
      </c>
      <c r="G3930" s="15">
        <f t="shared" si="2"/>
        <v>3.63</v>
      </c>
      <c r="H3930" s="16">
        <v>0.0</v>
      </c>
      <c r="I3930" s="15">
        <f t="shared" si="3"/>
        <v>3.1</v>
      </c>
      <c r="J3930" s="15">
        <v>16.4</v>
      </c>
      <c r="K3930" s="16">
        <f>IF(COUNTIFS(Release_Calendar!$A$2:$A$755,"US_CPI",Release_Calendar!$B$2:$B$755,$A3930)&gt;0,1,0)</f>
        <v>0</v>
      </c>
      <c r="L3930" s="16">
        <f>IF(COUNTIFS(Release_Calendar!$A$2:$A$755,"US_NFP",Release_Calendar!$B$2:$B$755,$A3930)&gt;0,1,0)</f>
        <v>0</v>
      </c>
      <c r="M3930" s="16" t="str">
        <f>IF($A3930&lt;Notes!$B$5,"",IF(COUNTIFS(Release_Calendar!$A$2:$A$755,"NZ_CPI",Release_Calendar!$B$2:$B$755,$A3930)&gt;0,1,0))</f>
        <v/>
      </c>
      <c r="N3930" s="16" t="str">
        <f>IF($A3930&lt;Notes!$B$5,"",IF(COUNTIFS(Release_Calendar!$A$2:$A$755,"NZ_GDP",Release_Calendar!$B$2:$B$755,$A3930)&gt;0,1,0))</f>
        <v/>
      </c>
      <c r="O3930" s="16" t="str">
        <f>IF($A3930&lt;Notes!$B$5,"",IF(COUNTIFS(Release_Calendar!$A$2:$A$755,"NZ_LABOUR",Release_Calendar!$B$2:$B$755,$A3930)&gt;0,1,0))</f>
        <v/>
      </c>
      <c r="P3930" s="16">
        <f t="shared" si="4"/>
        <v>0</v>
      </c>
    </row>
    <row r="3931" ht="15.75" customHeight="1">
      <c r="A3931" s="14">
        <v>42027.0</v>
      </c>
      <c r="B3931" s="15">
        <v>0.52</v>
      </c>
      <c r="C3931" s="15">
        <v>3.66</v>
      </c>
      <c r="D3931" s="15">
        <v>3.3</v>
      </c>
      <c r="E3931" s="15">
        <v>3.29</v>
      </c>
      <c r="F3931" s="15">
        <f t="shared" si="1"/>
        <v>3.14</v>
      </c>
      <c r="G3931" s="15">
        <f t="shared" si="2"/>
        <v>3.66</v>
      </c>
      <c r="H3931" s="16">
        <v>0.0</v>
      </c>
      <c r="I3931" s="15">
        <f t="shared" si="3"/>
        <v>3.14</v>
      </c>
      <c r="J3931" s="15">
        <v>16.66</v>
      </c>
      <c r="K3931" s="16">
        <f>IF(COUNTIFS(Release_Calendar!$A$2:$A$755,"US_CPI",Release_Calendar!$B$2:$B$755,$A3931)&gt;0,1,0)</f>
        <v>0</v>
      </c>
      <c r="L3931" s="16">
        <f>IF(COUNTIFS(Release_Calendar!$A$2:$A$755,"US_NFP",Release_Calendar!$B$2:$B$755,$A3931)&gt;0,1,0)</f>
        <v>0</v>
      </c>
      <c r="M3931" s="16" t="str">
        <f>IF($A3931&lt;Notes!$B$5,"",IF(COUNTIFS(Release_Calendar!$A$2:$A$755,"NZ_CPI",Release_Calendar!$B$2:$B$755,$A3931)&gt;0,1,0))</f>
        <v/>
      </c>
      <c r="N3931" s="16" t="str">
        <f>IF($A3931&lt;Notes!$B$5,"",IF(COUNTIFS(Release_Calendar!$A$2:$A$755,"NZ_GDP",Release_Calendar!$B$2:$B$755,$A3931)&gt;0,1,0))</f>
        <v/>
      </c>
      <c r="O3931" s="16" t="str">
        <f>IF($A3931&lt;Notes!$B$5,"",IF(COUNTIFS(Release_Calendar!$A$2:$A$755,"NZ_LABOUR",Release_Calendar!$B$2:$B$755,$A3931)&gt;0,1,0))</f>
        <v/>
      </c>
      <c r="P3931" s="16">
        <f t="shared" si="4"/>
        <v>0</v>
      </c>
    </row>
    <row r="3932" ht="15.75" customHeight="1">
      <c r="A3932" s="14">
        <v>42030.0</v>
      </c>
      <c r="B3932" s="15">
        <v>0.54</v>
      </c>
      <c r="C3932" s="15">
        <v>3.62</v>
      </c>
      <c r="D3932" s="15">
        <v>3.24</v>
      </c>
      <c r="E3932" s="15">
        <v>3.29</v>
      </c>
      <c r="F3932" s="15">
        <f t="shared" si="1"/>
        <v>3.08</v>
      </c>
      <c r="G3932" s="15">
        <f t="shared" si="2"/>
        <v>3.62</v>
      </c>
      <c r="H3932" s="16">
        <v>0.0</v>
      </c>
      <c r="I3932" s="15">
        <f t="shared" si="3"/>
        <v>3.08</v>
      </c>
      <c r="J3932" s="15">
        <v>15.52</v>
      </c>
      <c r="K3932" s="16">
        <f>IF(COUNTIFS(Release_Calendar!$A$2:$A$755,"US_CPI",Release_Calendar!$B$2:$B$755,$A3932)&gt;0,1,0)</f>
        <v>0</v>
      </c>
      <c r="L3932" s="16">
        <f>IF(COUNTIFS(Release_Calendar!$A$2:$A$755,"US_NFP",Release_Calendar!$B$2:$B$755,$A3932)&gt;0,1,0)</f>
        <v>0</v>
      </c>
      <c r="M3932" s="16" t="str">
        <f>IF($A3932&lt;Notes!$B$5,"",IF(COUNTIFS(Release_Calendar!$A$2:$A$755,"NZ_CPI",Release_Calendar!$B$2:$B$755,$A3932)&gt;0,1,0))</f>
        <v/>
      </c>
      <c r="N3932" s="16" t="str">
        <f>IF($A3932&lt;Notes!$B$5,"",IF(COUNTIFS(Release_Calendar!$A$2:$A$755,"NZ_GDP",Release_Calendar!$B$2:$B$755,$A3932)&gt;0,1,0))</f>
        <v/>
      </c>
      <c r="O3932" s="16" t="str">
        <f>IF($A3932&lt;Notes!$B$5,"",IF(COUNTIFS(Release_Calendar!$A$2:$A$755,"NZ_LABOUR",Release_Calendar!$B$2:$B$755,$A3932)&gt;0,1,0))</f>
        <v/>
      </c>
      <c r="P3932" s="16">
        <f t="shared" si="4"/>
        <v>0</v>
      </c>
    </row>
    <row r="3933" ht="15.75" customHeight="1">
      <c r="A3933" s="14">
        <v>42031.0</v>
      </c>
      <c r="B3933" s="15">
        <v>0.54</v>
      </c>
      <c r="C3933" s="15">
        <v>3.63</v>
      </c>
      <c r="D3933" s="15">
        <v>3.25</v>
      </c>
      <c r="E3933" s="15">
        <v>3.24</v>
      </c>
      <c r="F3933" s="15">
        <f t="shared" si="1"/>
        <v>3.09</v>
      </c>
      <c r="G3933" s="15">
        <f t="shared" si="2"/>
        <v>3.63</v>
      </c>
      <c r="H3933" s="16">
        <v>0.0</v>
      </c>
      <c r="I3933" s="15">
        <f t="shared" si="3"/>
        <v>3.09</v>
      </c>
      <c r="J3933" s="15">
        <v>17.22</v>
      </c>
      <c r="K3933" s="16">
        <f>IF(COUNTIFS(Release_Calendar!$A$2:$A$755,"US_CPI",Release_Calendar!$B$2:$B$755,$A3933)&gt;0,1,0)</f>
        <v>0</v>
      </c>
      <c r="L3933" s="16">
        <f>IF(COUNTIFS(Release_Calendar!$A$2:$A$755,"US_NFP",Release_Calendar!$B$2:$B$755,$A3933)&gt;0,1,0)</f>
        <v>0</v>
      </c>
      <c r="M3933" s="16" t="str">
        <f>IF($A3933&lt;Notes!$B$5,"",IF(COUNTIFS(Release_Calendar!$A$2:$A$755,"NZ_CPI",Release_Calendar!$B$2:$B$755,$A3933)&gt;0,1,0))</f>
        <v/>
      </c>
      <c r="N3933" s="16" t="str">
        <f>IF($A3933&lt;Notes!$B$5,"",IF(COUNTIFS(Release_Calendar!$A$2:$A$755,"NZ_GDP",Release_Calendar!$B$2:$B$755,$A3933)&gt;0,1,0))</f>
        <v/>
      </c>
      <c r="O3933" s="16" t="str">
        <f>IF($A3933&lt;Notes!$B$5,"",IF(COUNTIFS(Release_Calendar!$A$2:$A$755,"NZ_LABOUR",Release_Calendar!$B$2:$B$755,$A3933)&gt;0,1,0))</f>
        <v/>
      </c>
      <c r="P3933" s="16">
        <f t="shared" si="4"/>
        <v>0</v>
      </c>
    </row>
    <row r="3934" ht="15.75" customHeight="1">
      <c r="A3934" s="14">
        <v>42032.0</v>
      </c>
      <c r="B3934" s="15">
        <v>0.5</v>
      </c>
      <c r="C3934" s="15">
        <v>3.64</v>
      </c>
      <c r="D3934" s="15">
        <v>3.24</v>
      </c>
      <c r="E3934" s="15">
        <v>3.24</v>
      </c>
      <c r="F3934" s="15">
        <f t="shared" si="1"/>
        <v>3.14</v>
      </c>
      <c r="G3934" s="15">
        <f t="shared" si="2"/>
        <v>3.64</v>
      </c>
      <c r="H3934" s="16">
        <v>0.0</v>
      </c>
      <c r="I3934" s="15">
        <f t="shared" si="3"/>
        <v>3.14</v>
      </c>
      <c r="J3934" s="15">
        <v>20.44</v>
      </c>
      <c r="K3934" s="16">
        <f>IF(COUNTIFS(Release_Calendar!$A$2:$A$755,"US_CPI",Release_Calendar!$B$2:$B$755,$A3934)&gt;0,1,0)</f>
        <v>0</v>
      </c>
      <c r="L3934" s="16">
        <f>IF(COUNTIFS(Release_Calendar!$A$2:$A$755,"US_NFP",Release_Calendar!$B$2:$B$755,$A3934)&gt;0,1,0)</f>
        <v>0</v>
      </c>
      <c r="M3934" s="16" t="str">
        <f>IF($A3934&lt;Notes!$B$5,"",IF(COUNTIFS(Release_Calendar!$A$2:$A$755,"NZ_CPI",Release_Calendar!$B$2:$B$755,$A3934)&gt;0,1,0))</f>
        <v/>
      </c>
      <c r="N3934" s="16" t="str">
        <f>IF($A3934&lt;Notes!$B$5,"",IF(COUNTIFS(Release_Calendar!$A$2:$A$755,"NZ_GDP",Release_Calendar!$B$2:$B$755,$A3934)&gt;0,1,0))</f>
        <v/>
      </c>
      <c r="O3934" s="16" t="str">
        <f>IF($A3934&lt;Notes!$B$5,"",IF(COUNTIFS(Release_Calendar!$A$2:$A$755,"NZ_LABOUR",Release_Calendar!$B$2:$B$755,$A3934)&gt;0,1,0))</f>
        <v/>
      </c>
      <c r="P3934" s="16">
        <f t="shared" si="4"/>
        <v>0</v>
      </c>
    </row>
    <row r="3935" ht="15.75" customHeight="1">
      <c r="A3935" s="14">
        <v>42033.0</v>
      </c>
      <c r="B3935" s="15">
        <v>0.51</v>
      </c>
      <c r="C3935" s="15">
        <v>3.57</v>
      </c>
      <c r="D3935" s="15">
        <v>3.1</v>
      </c>
      <c r="E3935" s="15">
        <v>3.14</v>
      </c>
      <c r="F3935" s="15">
        <f t="shared" si="1"/>
        <v>3.06</v>
      </c>
      <c r="G3935" s="15">
        <f t="shared" si="2"/>
        <v>3.57</v>
      </c>
      <c r="H3935" s="16">
        <v>0.0</v>
      </c>
      <c r="I3935" s="15">
        <f t="shared" si="3"/>
        <v>3.06</v>
      </c>
      <c r="J3935" s="15">
        <v>18.76</v>
      </c>
      <c r="K3935" s="16">
        <f>IF(COUNTIFS(Release_Calendar!$A$2:$A$755,"US_CPI",Release_Calendar!$B$2:$B$755,$A3935)&gt;0,1,0)</f>
        <v>0</v>
      </c>
      <c r="L3935" s="16">
        <f>IF(COUNTIFS(Release_Calendar!$A$2:$A$755,"US_NFP",Release_Calendar!$B$2:$B$755,$A3935)&gt;0,1,0)</f>
        <v>0</v>
      </c>
      <c r="M3935" s="16" t="str">
        <f>IF($A3935&lt;Notes!$B$5,"",IF(COUNTIFS(Release_Calendar!$A$2:$A$755,"NZ_CPI",Release_Calendar!$B$2:$B$755,$A3935)&gt;0,1,0))</f>
        <v/>
      </c>
      <c r="N3935" s="16" t="str">
        <f>IF($A3935&lt;Notes!$B$5,"",IF(COUNTIFS(Release_Calendar!$A$2:$A$755,"NZ_GDP",Release_Calendar!$B$2:$B$755,$A3935)&gt;0,1,0))</f>
        <v/>
      </c>
      <c r="O3935" s="16" t="str">
        <f>IF($A3935&lt;Notes!$B$5,"",IF(COUNTIFS(Release_Calendar!$A$2:$A$755,"NZ_LABOUR",Release_Calendar!$B$2:$B$755,$A3935)&gt;0,1,0))</f>
        <v/>
      </c>
      <c r="P3935" s="16">
        <f t="shared" si="4"/>
        <v>0</v>
      </c>
    </row>
    <row r="3936" ht="15.75" customHeight="1">
      <c r="A3936" s="14">
        <v>42034.0</v>
      </c>
      <c r="B3936" s="15">
        <v>0.47</v>
      </c>
      <c r="C3936" s="15">
        <v>3.56</v>
      </c>
      <c r="D3936" s="15">
        <v>3.15</v>
      </c>
      <c r="E3936" s="15">
        <v>3.13</v>
      </c>
      <c r="F3936" s="15">
        <f t="shared" si="1"/>
        <v>3.09</v>
      </c>
      <c r="G3936" s="15">
        <f t="shared" si="2"/>
        <v>3.56</v>
      </c>
      <c r="H3936" s="16">
        <v>0.0</v>
      </c>
      <c r="I3936" s="15">
        <f t="shared" si="3"/>
        <v>3.09</v>
      </c>
      <c r="J3936" s="15">
        <v>20.97</v>
      </c>
      <c r="K3936" s="16">
        <f>IF(COUNTIFS(Release_Calendar!$A$2:$A$755,"US_CPI",Release_Calendar!$B$2:$B$755,$A3936)&gt;0,1,0)</f>
        <v>0</v>
      </c>
      <c r="L3936" s="16">
        <f>IF(COUNTIFS(Release_Calendar!$A$2:$A$755,"US_NFP",Release_Calendar!$B$2:$B$755,$A3936)&gt;0,1,0)</f>
        <v>0</v>
      </c>
      <c r="M3936" s="16" t="str">
        <f>IF($A3936&lt;Notes!$B$5,"",IF(COUNTIFS(Release_Calendar!$A$2:$A$755,"NZ_CPI",Release_Calendar!$B$2:$B$755,$A3936)&gt;0,1,0))</f>
        <v/>
      </c>
      <c r="N3936" s="16" t="str">
        <f>IF($A3936&lt;Notes!$B$5,"",IF(COUNTIFS(Release_Calendar!$A$2:$A$755,"NZ_GDP",Release_Calendar!$B$2:$B$755,$A3936)&gt;0,1,0))</f>
        <v/>
      </c>
      <c r="O3936" s="16" t="str">
        <f>IF($A3936&lt;Notes!$B$5,"",IF(COUNTIFS(Release_Calendar!$A$2:$A$755,"NZ_LABOUR",Release_Calendar!$B$2:$B$755,$A3936)&gt;0,1,0))</f>
        <v/>
      </c>
      <c r="P3936" s="16">
        <f t="shared" si="4"/>
        <v>0</v>
      </c>
    </row>
    <row r="3937" ht="15.75" customHeight="1">
      <c r="A3937" s="14">
        <v>42037.0</v>
      </c>
      <c r="B3937" s="15">
        <v>0.49</v>
      </c>
      <c r="C3937" s="15">
        <v>3.54</v>
      </c>
      <c r="D3937" s="15">
        <v>3.07</v>
      </c>
      <c r="E3937" s="15">
        <v>3.08</v>
      </c>
      <c r="F3937" s="15">
        <f t="shared" si="1"/>
        <v>3.05</v>
      </c>
      <c r="G3937" s="15">
        <f t="shared" si="2"/>
        <v>3.54</v>
      </c>
      <c r="H3937" s="16">
        <v>0.0</v>
      </c>
      <c r="I3937" s="15">
        <f t="shared" si="3"/>
        <v>3.05</v>
      </c>
      <c r="J3937" s="15">
        <v>19.43</v>
      </c>
      <c r="K3937" s="16">
        <f>IF(COUNTIFS(Release_Calendar!$A$2:$A$755,"US_CPI",Release_Calendar!$B$2:$B$755,$A3937)&gt;0,1,0)</f>
        <v>0</v>
      </c>
      <c r="L3937" s="16">
        <f>IF(COUNTIFS(Release_Calendar!$A$2:$A$755,"US_NFP",Release_Calendar!$B$2:$B$755,$A3937)&gt;0,1,0)</f>
        <v>0</v>
      </c>
      <c r="M3937" s="16" t="str">
        <f>IF($A3937&lt;Notes!$B$5,"",IF(COUNTIFS(Release_Calendar!$A$2:$A$755,"NZ_CPI",Release_Calendar!$B$2:$B$755,$A3937)&gt;0,1,0))</f>
        <v/>
      </c>
      <c r="N3937" s="16" t="str">
        <f>IF($A3937&lt;Notes!$B$5,"",IF(COUNTIFS(Release_Calendar!$A$2:$A$755,"NZ_GDP",Release_Calendar!$B$2:$B$755,$A3937)&gt;0,1,0))</f>
        <v/>
      </c>
      <c r="O3937" s="16" t="str">
        <f>IF($A3937&lt;Notes!$B$5,"",IF(COUNTIFS(Release_Calendar!$A$2:$A$755,"NZ_LABOUR",Release_Calendar!$B$2:$B$755,$A3937)&gt;0,1,0))</f>
        <v/>
      </c>
      <c r="P3937" s="16">
        <f t="shared" si="4"/>
        <v>0</v>
      </c>
    </row>
    <row r="3938" ht="15.75" customHeight="1">
      <c r="A3938" s="14">
        <v>42038.0</v>
      </c>
      <c r="B3938" s="15">
        <v>0.52</v>
      </c>
      <c r="C3938" s="15">
        <v>3.54</v>
      </c>
      <c r="D3938" s="15">
        <v>3.09</v>
      </c>
      <c r="E3938" s="15">
        <v>3.09</v>
      </c>
      <c r="F3938" s="15">
        <f t="shared" si="1"/>
        <v>3.02</v>
      </c>
      <c r="G3938" s="15">
        <f t="shared" si="2"/>
        <v>3.54</v>
      </c>
      <c r="H3938" s="16">
        <v>0.0</v>
      </c>
      <c r="I3938" s="15">
        <f t="shared" si="3"/>
        <v>3.02</v>
      </c>
      <c r="J3938" s="15">
        <v>17.33</v>
      </c>
      <c r="K3938" s="16">
        <f>IF(COUNTIFS(Release_Calendar!$A$2:$A$755,"US_CPI",Release_Calendar!$B$2:$B$755,$A3938)&gt;0,1,0)</f>
        <v>0</v>
      </c>
      <c r="L3938" s="16">
        <f>IF(COUNTIFS(Release_Calendar!$A$2:$A$755,"US_NFP",Release_Calendar!$B$2:$B$755,$A3938)&gt;0,1,0)</f>
        <v>0</v>
      </c>
      <c r="M3938" s="16" t="str">
        <f>IF($A3938&lt;Notes!$B$5,"",IF(COUNTIFS(Release_Calendar!$A$2:$A$755,"NZ_CPI",Release_Calendar!$B$2:$B$755,$A3938)&gt;0,1,0))</f>
        <v/>
      </c>
      <c r="N3938" s="16" t="str">
        <f>IF($A3938&lt;Notes!$B$5,"",IF(COUNTIFS(Release_Calendar!$A$2:$A$755,"NZ_GDP",Release_Calendar!$B$2:$B$755,$A3938)&gt;0,1,0))</f>
        <v/>
      </c>
      <c r="O3938" s="16" t="str">
        <f>IF($A3938&lt;Notes!$B$5,"",IF(COUNTIFS(Release_Calendar!$A$2:$A$755,"NZ_LABOUR",Release_Calendar!$B$2:$B$755,$A3938)&gt;0,1,0))</f>
        <v/>
      </c>
      <c r="P3938" s="16">
        <f t="shared" si="4"/>
        <v>0</v>
      </c>
    </row>
    <row r="3939" ht="15.75" customHeight="1">
      <c r="A3939" s="14">
        <v>42039.0</v>
      </c>
      <c r="B3939" s="15">
        <v>0.52</v>
      </c>
      <c r="C3939" s="15">
        <v>3.56</v>
      </c>
      <c r="D3939" s="15">
        <v>3.04</v>
      </c>
      <c r="E3939" s="15">
        <v>3.14</v>
      </c>
      <c r="F3939" s="15">
        <f t="shared" si="1"/>
        <v>3.04</v>
      </c>
      <c r="G3939" s="15">
        <f t="shared" si="2"/>
        <v>3.56</v>
      </c>
      <c r="H3939" s="16">
        <v>0.0</v>
      </c>
      <c r="I3939" s="15">
        <f t="shared" si="3"/>
        <v>3.04</v>
      </c>
      <c r="J3939" s="15">
        <v>18.33</v>
      </c>
      <c r="K3939" s="16">
        <f>IF(COUNTIFS(Release_Calendar!$A$2:$A$755,"US_CPI",Release_Calendar!$B$2:$B$755,$A3939)&gt;0,1,0)</f>
        <v>0</v>
      </c>
      <c r="L3939" s="16">
        <f>IF(COUNTIFS(Release_Calendar!$A$2:$A$755,"US_NFP",Release_Calendar!$B$2:$B$755,$A3939)&gt;0,1,0)</f>
        <v>0</v>
      </c>
      <c r="M3939" s="16" t="str">
        <f>IF($A3939&lt;Notes!$B$5,"",IF(COUNTIFS(Release_Calendar!$A$2:$A$755,"NZ_CPI",Release_Calendar!$B$2:$B$755,$A3939)&gt;0,1,0))</f>
        <v/>
      </c>
      <c r="N3939" s="16" t="str">
        <f>IF($A3939&lt;Notes!$B$5,"",IF(COUNTIFS(Release_Calendar!$A$2:$A$755,"NZ_GDP",Release_Calendar!$B$2:$B$755,$A3939)&gt;0,1,0))</f>
        <v/>
      </c>
      <c r="O3939" s="16" t="str">
        <f>IF($A3939&lt;Notes!$B$5,"",IF(COUNTIFS(Release_Calendar!$A$2:$A$755,"NZ_LABOUR",Release_Calendar!$B$2:$B$755,$A3939)&gt;0,1,0))</f>
        <v/>
      </c>
      <c r="P3939" s="16">
        <f t="shared" si="4"/>
        <v>0</v>
      </c>
    </row>
    <row r="3940" ht="15.75" customHeight="1">
      <c r="A3940" s="14">
        <v>42040.0</v>
      </c>
      <c r="B3940" s="15">
        <v>0.52</v>
      </c>
      <c r="C3940" s="15">
        <v>3.54</v>
      </c>
      <c r="D3940" s="15">
        <v>3.08</v>
      </c>
      <c r="E3940" s="15">
        <v>3.11</v>
      </c>
      <c r="F3940" s="15">
        <f t="shared" si="1"/>
        <v>3.02</v>
      </c>
      <c r="G3940" s="15">
        <f t="shared" si="2"/>
        <v>3.54</v>
      </c>
      <c r="H3940" s="16">
        <v>0.0</v>
      </c>
      <c r="I3940" s="15">
        <f t="shared" si="3"/>
        <v>3.02</v>
      </c>
      <c r="J3940" s="15">
        <v>16.85</v>
      </c>
      <c r="K3940" s="16">
        <f>IF(COUNTIFS(Release_Calendar!$A$2:$A$755,"US_CPI",Release_Calendar!$B$2:$B$755,$A3940)&gt;0,1,0)</f>
        <v>0</v>
      </c>
      <c r="L3940" s="16">
        <f>IF(COUNTIFS(Release_Calendar!$A$2:$A$755,"US_NFP",Release_Calendar!$B$2:$B$755,$A3940)&gt;0,1,0)</f>
        <v>0</v>
      </c>
      <c r="M3940" s="16" t="str">
        <f>IF($A3940&lt;Notes!$B$5,"",IF(COUNTIFS(Release_Calendar!$A$2:$A$755,"NZ_CPI",Release_Calendar!$B$2:$B$755,$A3940)&gt;0,1,0))</f>
        <v/>
      </c>
      <c r="N3940" s="16" t="str">
        <f>IF($A3940&lt;Notes!$B$5,"",IF(COUNTIFS(Release_Calendar!$A$2:$A$755,"NZ_GDP",Release_Calendar!$B$2:$B$755,$A3940)&gt;0,1,0))</f>
        <v/>
      </c>
      <c r="O3940" s="16" t="str">
        <f>IF($A3940&lt;Notes!$B$5,"",IF(COUNTIFS(Release_Calendar!$A$2:$A$755,"NZ_LABOUR",Release_Calendar!$B$2:$B$755,$A3940)&gt;0,1,0))</f>
        <v/>
      </c>
      <c r="P3940" s="16">
        <f t="shared" si="4"/>
        <v>0</v>
      </c>
    </row>
    <row r="3941" ht="15.75" customHeight="1">
      <c r="A3941" s="14">
        <v>42041.0</v>
      </c>
      <c r="B3941" s="15">
        <v>0.65</v>
      </c>
      <c r="C3941" s="15"/>
      <c r="D3941" s="15"/>
      <c r="E3941" s="15"/>
      <c r="F3941" s="15" t="str">
        <f t="shared" si="1"/>
        <v/>
      </c>
      <c r="G3941" s="15" t="str">
        <f t="shared" si="2"/>
        <v/>
      </c>
      <c r="H3941" s="16">
        <v>0.0</v>
      </c>
      <c r="I3941" s="15" t="str">
        <f t="shared" si="3"/>
        <v/>
      </c>
      <c r="J3941" s="15">
        <v>17.29</v>
      </c>
      <c r="K3941" s="16">
        <f>IF(COUNTIFS(Release_Calendar!$A$2:$A$755,"US_CPI",Release_Calendar!$B$2:$B$755,$A3941)&gt;0,1,0)</f>
        <v>0</v>
      </c>
      <c r="L3941" s="16">
        <f>IF(COUNTIFS(Release_Calendar!$A$2:$A$755,"US_NFP",Release_Calendar!$B$2:$B$755,$A3941)&gt;0,1,0)</f>
        <v>1</v>
      </c>
      <c r="M3941" s="16" t="str">
        <f>IF($A3941&lt;Notes!$B$5,"",IF(COUNTIFS(Release_Calendar!$A$2:$A$755,"NZ_CPI",Release_Calendar!$B$2:$B$755,$A3941)&gt;0,1,0))</f>
        <v/>
      </c>
      <c r="N3941" s="16" t="str">
        <f>IF($A3941&lt;Notes!$B$5,"",IF(COUNTIFS(Release_Calendar!$A$2:$A$755,"NZ_GDP",Release_Calendar!$B$2:$B$755,$A3941)&gt;0,1,0))</f>
        <v/>
      </c>
      <c r="O3941" s="16" t="str">
        <f>IF($A3941&lt;Notes!$B$5,"",IF(COUNTIFS(Release_Calendar!$A$2:$A$755,"NZ_LABOUR",Release_Calendar!$B$2:$B$755,$A3941)&gt;0,1,0))</f>
        <v/>
      </c>
      <c r="P3941" s="16">
        <f t="shared" si="4"/>
        <v>1</v>
      </c>
    </row>
    <row r="3942" ht="15.75" customHeight="1">
      <c r="A3942" s="14">
        <v>42044.0</v>
      </c>
      <c r="B3942" s="15">
        <v>0.65</v>
      </c>
      <c r="C3942" s="15">
        <v>3.62</v>
      </c>
      <c r="D3942" s="15">
        <v>3.18</v>
      </c>
      <c r="E3942" s="15">
        <v>3.2</v>
      </c>
      <c r="F3942" s="15">
        <f t="shared" si="1"/>
        <v>2.97</v>
      </c>
      <c r="G3942" s="15">
        <f t="shared" si="2"/>
        <v>3.62</v>
      </c>
      <c r="H3942" s="16">
        <v>0.0</v>
      </c>
      <c r="I3942" s="15">
        <f t="shared" si="3"/>
        <v>2.97</v>
      </c>
      <c r="J3942" s="15">
        <v>18.55</v>
      </c>
      <c r="K3942" s="16">
        <f>IF(COUNTIFS(Release_Calendar!$A$2:$A$755,"US_CPI",Release_Calendar!$B$2:$B$755,$A3942)&gt;0,1,0)</f>
        <v>0</v>
      </c>
      <c r="L3942" s="16">
        <f>IF(COUNTIFS(Release_Calendar!$A$2:$A$755,"US_NFP",Release_Calendar!$B$2:$B$755,$A3942)&gt;0,1,0)</f>
        <v>0</v>
      </c>
      <c r="M3942" s="16" t="str">
        <f>IF($A3942&lt;Notes!$B$5,"",IF(COUNTIFS(Release_Calendar!$A$2:$A$755,"NZ_CPI",Release_Calendar!$B$2:$B$755,$A3942)&gt;0,1,0))</f>
        <v/>
      </c>
      <c r="N3942" s="16" t="str">
        <f>IF($A3942&lt;Notes!$B$5,"",IF(COUNTIFS(Release_Calendar!$A$2:$A$755,"NZ_GDP",Release_Calendar!$B$2:$B$755,$A3942)&gt;0,1,0))</f>
        <v/>
      </c>
      <c r="O3942" s="16" t="str">
        <f>IF($A3942&lt;Notes!$B$5,"",IF(COUNTIFS(Release_Calendar!$A$2:$A$755,"NZ_LABOUR",Release_Calendar!$B$2:$B$755,$A3942)&gt;0,1,0))</f>
        <v/>
      </c>
      <c r="P3942" s="16">
        <f t="shared" si="4"/>
        <v>0</v>
      </c>
    </row>
    <row r="3943" ht="15.75" customHeight="1">
      <c r="A3943" s="14">
        <v>42045.0</v>
      </c>
      <c r="B3943" s="15">
        <v>0.67</v>
      </c>
      <c r="C3943" s="15">
        <v>3.62</v>
      </c>
      <c r="D3943" s="15">
        <v>3.21</v>
      </c>
      <c r="E3943" s="15">
        <v>3.22</v>
      </c>
      <c r="F3943" s="15">
        <f t="shared" si="1"/>
        <v>2.95</v>
      </c>
      <c r="G3943" s="15">
        <f t="shared" si="2"/>
        <v>3.62</v>
      </c>
      <c r="H3943" s="16">
        <v>0.0</v>
      </c>
      <c r="I3943" s="15">
        <f t="shared" si="3"/>
        <v>2.95</v>
      </c>
      <c r="J3943" s="15">
        <v>17.23</v>
      </c>
      <c r="K3943" s="16">
        <f>IF(COUNTIFS(Release_Calendar!$A$2:$A$755,"US_CPI",Release_Calendar!$B$2:$B$755,$A3943)&gt;0,1,0)</f>
        <v>0</v>
      </c>
      <c r="L3943" s="16">
        <f>IF(COUNTIFS(Release_Calendar!$A$2:$A$755,"US_NFP",Release_Calendar!$B$2:$B$755,$A3943)&gt;0,1,0)</f>
        <v>0</v>
      </c>
      <c r="M3943" s="16" t="str">
        <f>IF($A3943&lt;Notes!$B$5,"",IF(COUNTIFS(Release_Calendar!$A$2:$A$755,"NZ_CPI",Release_Calendar!$B$2:$B$755,$A3943)&gt;0,1,0))</f>
        <v/>
      </c>
      <c r="N3943" s="16" t="str">
        <f>IF($A3943&lt;Notes!$B$5,"",IF(COUNTIFS(Release_Calendar!$A$2:$A$755,"NZ_GDP",Release_Calendar!$B$2:$B$755,$A3943)&gt;0,1,0))</f>
        <v/>
      </c>
      <c r="O3943" s="16" t="str">
        <f>IF($A3943&lt;Notes!$B$5,"",IF(COUNTIFS(Release_Calendar!$A$2:$A$755,"NZ_LABOUR",Release_Calendar!$B$2:$B$755,$A3943)&gt;0,1,0))</f>
        <v/>
      </c>
      <c r="P3943" s="16">
        <f t="shared" si="4"/>
        <v>0</v>
      </c>
    </row>
    <row r="3944" ht="15.75" customHeight="1">
      <c r="A3944" s="14">
        <v>42046.0</v>
      </c>
      <c r="B3944" s="15">
        <v>0.67</v>
      </c>
      <c r="C3944" s="15">
        <v>3.63</v>
      </c>
      <c r="D3944" s="15">
        <v>3.25</v>
      </c>
      <c r="E3944" s="15">
        <v>3.26</v>
      </c>
      <c r="F3944" s="15">
        <f t="shared" si="1"/>
        <v>2.96</v>
      </c>
      <c r="G3944" s="15">
        <f t="shared" si="2"/>
        <v>3.63</v>
      </c>
      <c r="H3944" s="16">
        <v>0.0</v>
      </c>
      <c r="I3944" s="15">
        <f t="shared" si="3"/>
        <v>2.96</v>
      </c>
      <c r="J3944" s="15">
        <v>16.96</v>
      </c>
      <c r="K3944" s="16">
        <f>IF(COUNTIFS(Release_Calendar!$A$2:$A$755,"US_CPI",Release_Calendar!$B$2:$B$755,$A3944)&gt;0,1,0)</f>
        <v>0</v>
      </c>
      <c r="L3944" s="16">
        <f>IF(COUNTIFS(Release_Calendar!$A$2:$A$755,"US_NFP",Release_Calendar!$B$2:$B$755,$A3944)&gt;0,1,0)</f>
        <v>0</v>
      </c>
      <c r="M3944" s="16" t="str">
        <f>IF($A3944&lt;Notes!$B$5,"",IF(COUNTIFS(Release_Calendar!$A$2:$A$755,"NZ_CPI",Release_Calendar!$B$2:$B$755,$A3944)&gt;0,1,0))</f>
        <v/>
      </c>
      <c r="N3944" s="16" t="str">
        <f>IF($A3944&lt;Notes!$B$5,"",IF(COUNTIFS(Release_Calendar!$A$2:$A$755,"NZ_GDP",Release_Calendar!$B$2:$B$755,$A3944)&gt;0,1,0))</f>
        <v/>
      </c>
      <c r="O3944" s="16" t="str">
        <f>IF($A3944&lt;Notes!$B$5,"",IF(COUNTIFS(Release_Calendar!$A$2:$A$755,"NZ_LABOUR",Release_Calendar!$B$2:$B$755,$A3944)&gt;0,1,0))</f>
        <v/>
      </c>
      <c r="P3944" s="16">
        <f t="shared" si="4"/>
        <v>0</v>
      </c>
    </row>
    <row r="3945" ht="15.75" customHeight="1">
      <c r="A3945" s="14">
        <v>42047.0</v>
      </c>
      <c r="B3945" s="15">
        <v>0.61</v>
      </c>
      <c r="C3945" s="15">
        <v>3.6</v>
      </c>
      <c r="D3945" s="15">
        <v>3.26</v>
      </c>
      <c r="E3945" s="15">
        <v>3.22</v>
      </c>
      <c r="F3945" s="15">
        <f t="shared" si="1"/>
        <v>2.99</v>
      </c>
      <c r="G3945" s="15">
        <f t="shared" si="2"/>
        <v>3.6</v>
      </c>
      <c r="H3945" s="16">
        <v>0.0</v>
      </c>
      <c r="I3945" s="15">
        <f t="shared" si="3"/>
        <v>2.99</v>
      </c>
      <c r="J3945" s="15">
        <v>15.34</v>
      </c>
      <c r="K3945" s="16">
        <f>IF(COUNTIFS(Release_Calendar!$A$2:$A$755,"US_CPI",Release_Calendar!$B$2:$B$755,$A3945)&gt;0,1,0)</f>
        <v>0</v>
      </c>
      <c r="L3945" s="16">
        <f>IF(COUNTIFS(Release_Calendar!$A$2:$A$755,"US_NFP",Release_Calendar!$B$2:$B$755,$A3945)&gt;0,1,0)</f>
        <v>0</v>
      </c>
      <c r="M3945" s="16" t="str">
        <f>IF($A3945&lt;Notes!$B$5,"",IF(COUNTIFS(Release_Calendar!$A$2:$A$755,"NZ_CPI",Release_Calendar!$B$2:$B$755,$A3945)&gt;0,1,0))</f>
        <v/>
      </c>
      <c r="N3945" s="16" t="str">
        <f>IF($A3945&lt;Notes!$B$5,"",IF(COUNTIFS(Release_Calendar!$A$2:$A$755,"NZ_GDP",Release_Calendar!$B$2:$B$755,$A3945)&gt;0,1,0))</f>
        <v/>
      </c>
      <c r="O3945" s="16" t="str">
        <f>IF($A3945&lt;Notes!$B$5,"",IF(COUNTIFS(Release_Calendar!$A$2:$A$755,"NZ_LABOUR",Release_Calendar!$B$2:$B$755,$A3945)&gt;0,1,0))</f>
        <v/>
      </c>
      <c r="P3945" s="16">
        <f t="shared" si="4"/>
        <v>0</v>
      </c>
    </row>
    <row r="3946" ht="15.75" customHeight="1">
      <c r="A3946" s="14">
        <v>42048.0</v>
      </c>
      <c r="B3946" s="15">
        <v>0.66</v>
      </c>
      <c r="C3946" s="15">
        <v>3.56</v>
      </c>
      <c r="D3946" s="15">
        <v>3.21</v>
      </c>
      <c r="E3946" s="15">
        <v>3.18</v>
      </c>
      <c r="F3946" s="15">
        <f t="shared" si="1"/>
        <v>2.9</v>
      </c>
      <c r="G3946" s="15">
        <f t="shared" si="2"/>
        <v>3.56</v>
      </c>
      <c r="H3946" s="16">
        <v>0.0</v>
      </c>
      <c r="I3946" s="15">
        <f t="shared" si="3"/>
        <v>2.9</v>
      </c>
      <c r="J3946" s="15">
        <v>14.69</v>
      </c>
      <c r="K3946" s="16">
        <f>IF(COUNTIFS(Release_Calendar!$A$2:$A$755,"US_CPI",Release_Calendar!$B$2:$B$755,$A3946)&gt;0,1,0)</f>
        <v>0</v>
      </c>
      <c r="L3946" s="16">
        <f>IF(COUNTIFS(Release_Calendar!$A$2:$A$755,"US_NFP",Release_Calendar!$B$2:$B$755,$A3946)&gt;0,1,0)</f>
        <v>0</v>
      </c>
      <c r="M3946" s="16" t="str">
        <f>IF($A3946&lt;Notes!$B$5,"",IF(COUNTIFS(Release_Calendar!$A$2:$A$755,"NZ_CPI",Release_Calendar!$B$2:$B$755,$A3946)&gt;0,1,0))</f>
        <v/>
      </c>
      <c r="N3946" s="16" t="str">
        <f>IF($A3946&lt;Notes!$B$5,"",IF(COUNTIFS(Release_Calendar!$A$2:$A$755,"NZ_GDP",Release_Calendar!$B$2:$B$755,$A3946)&gt;0,1,0))</f>
        <v/>
      </c>
      <c r="O3946" s="16" t="str">
        <f>IF($A3946&lt;Notes!$B$5,"",IF(COUNTIFS(Release_Calendar!$A$2:$A$755,"NZ_LABOUR",Release_Calendar!$B$2:$B$755,$A3946)&gt;0,1,0))</f>
        <v/>
      </c>
      <c r="P3946" s="16">
        <f t="shared" si="4"/>
        <v>0</v>
      </c>
    </row>
    <row r="3947" ht="15.75" customHeight="1">
      <c r="A3947" s="14">
        <v>42051.0</v>
      </c>
      <c r="B3947" s="15"/>
      <c r="C3947" s="15">
        <v>3.59</v>
      </c>
      <c r="D3947" s="15">
        <v>3.2</v>
      </c>
      <c r="E3947" s="15">
        <v>3.2</v>
      </c>
      <c r="F3947" s="15" t="str">
        <f t="shared" si="1"/>
        <v/>
      </c>
      <c r="G3947" s="15">
        <f t="shared" si="2"/>
        <v>3.59</v>
      </c>
      <c r="H3947" s="16">
        <v>0.0</v>
      </c>
      <c r="I3947" s="15" t="str">
        <f t="shared" si="3"/>
        <v/>
      </c>
      <c r="J3947" s="15"/>
      <c r="K3947" s="16">
        <f>IF(COUNTIFS(Release_Calendar!$A$2:$A$755,"US_CPI",Release_Calendar!$B$2:$B$755,$A3947)&gt;0,1,0)</f>
        <v>0</v>
      </c>
      <c r="L3947" s="16">
        <f>IF(COUNTIFS(Release_Calendar!$A$2:$A$755,"US_NFP",Release_Calendar!$B$2:$B$755,$A3947)&gt;0,1,0)</f>
        <v>0</v>
      </c>
      <c r="M3947" s="16" t="str">
        <f>IF($A3947&lt;Notes!$B$5,"",IF(COUNTIFS(Release_Calendar!$A$2:$A$755,"NZ_CPI",Release_Calendar!$B$2:$B$755,$A3947)&gt;0,1,0))</f>
        <v/>
      </c>
      <c r="N3947" s="16" t="str">
        <f>IF($A3947&lt;Notes!$B$5,"",IF(COUNTIFS(Release_Calendar!$A$2:$A$755,"NZ_GDP",Release_Calendar!$B$2:$B$755,$A3947)&gt;0,1,0))</f>
        <v/>
      </c>
      <c r="O3947" s="16" t="str">
        <f>IF($A3947&lt;Notes!$B$5,"",IF(COUNTIFS(Release_Calendar!$A$2:$A$755,"NZ_LABOUR",Release_Calendar!$B$2:$B$755,$A3947)&gt;0,1,0))</f>
        <v/>
      </c>
      <c r="P3947" s="16">
        <f t="shared" si="4"/>
        <v>0</v>
      </c>
    </row>
    <row r="3948" ht="15.75" customHeight="1">
      <c r="A3948" s="14">
        <v>42052.0</v>
      </c>
      <c r="B3948" s="15">
        <v>0.7</v>
      </c>
      <c r="C3948" s="15">
        <v>3.59</v>
      </c>
      <c r="D3948" s="15">
        <v>3.18</v>
      </c>
      <c r="E3948" s="15">
        <v>3.19</v>
      </c>
      <c r="F3948" s="15">
        <f t="shared" si="1"/>
        <v>2.89</v>
      </c>
      <c r="G3948" s="15">
        <f t="shared" si="2"/>
        <v>3.59</v>
      </c>
      <c r="H3948" s="16">
        <v>0.0</v>
      </c>
      <c r="I3948" s="15">
        <f t="shared" si="3"/>
        <v>2.89</v>
      </c>
      <c r="J3948" s="15">
        <v>15.8</v>
      </c>
      <c r="K3948" s="16">
        <f>IF(COUNTIFS(Release_Calendar!$A$2:$A$755,"US_CPI",Release_Calendar!$B$2:$B$755,$A3948)&gt;0,1,0)</f>
        <v>0</v>
      </c>
      <c r="L3948" s="16">
        <f>IF(COUNTIFS(Release_Calendar!$A$2:$A$755,"US_NFP",Release_Calendar!$B$2:$B$755,$A3948)&gt;0,1,0)</f>
        <v>0</v>
      </c>
      <c r="M3948" s="16" t="str">
        <f>IF($A3948&lt;Notes!$B$5,"",IF(COUNTIFS(Release_Calendar!$A$2:$A$755,"NZ_CPI",Release_Calendar!$B$2:$B$755,$A3948)&gt;0,1,0))</f>
        <v/>
      </c>
      <c r="N3948" s="16" t="str">
        <f>IF($A3948&lt;Notes!$B$5,"",IF(COUNTIFS(Release_Calendar!$A$2:$A$755,"NZ_GDP",Release_Calendar!$B$2:$B$755,$A3948)&gt;0,1,0))</f>
        <v/>
      </c>
      <c r="O3948" s="16" t="str">
        <f>IF($A3948&lt;Notes!$B$5,"",IF(COUNTIFS(Release_Calendar!$A$2:$A$755,"NZ_LABOUR",Release_Calendar!$B$2:$B$755,$A3948)&gt;0,1,0))</f>
        <v/>
      </c>
      <c r="P3948" s="16">
        <f t="shared" si="4"/>
        <v>0</v>
      </c>
    </row>
    <row r="3949" ht="15.75" customHeight="1">
      <c r="A3949" s="14">
        <v>42053.0</v>
      </c>
      <c r="B3949" s="15">
        <v>0.62</v>
      </c>
      <c r="C3949" s="15">
        <v>3.63</v>
      </c>
      <c r="D3949" s="15">
        <v>3.23</v>
      </c>
      <c r="E3949" s="15">
        <v>3.24</v>
      </c>
      <c r="F3949" s="15">
        <f t="shared" si="1"/>
        <v>3.01</v>
      </c>
      <c r="G3949" s="15">
        <f t="shared" si="2"/>
        <v>3.63</v>
      </c>
      <c r="H3949" s="16">
        <v>0.0</v>
      </c>
      <c r="I3949" s="15">
        <f t="shared" si="3"/>
        <v>3.01</v>
      </c>
      <c r="J3949" s="15">
        <v>15.45</v>
      </c>
      <c r="K3949" s="16">
        <f>IF(COUNTIFS(Release_Calendar!$A$2:$A$755,"US_CPI",Release_Calendar!$B$2:$B$755,$A3949)&gt;0,1,0)</f>
        <v>0</v>
      </c>
      <c r="L3949" s="16">
        <f>IF(COUNTIFS(Release_Calendar!$A$2:$A$755,"US_NFP",Release_Calendar!$B$2:$B$755,$A3949)&gt;0,1,0)</f>
        <v>0</v>
      </c>
      <c r="M3949" s="16" t="str">
        <f>IF($A3949&lt;Notes!$B$5,"",IF(COUNTIFS(Release_Calendar!$A$2:$A$755,"NZ_CPI",Release_Calendar!$B$2:$B$755,$A3949)&gt;0,1,0))</f>
        <v/>
      </c>
      <c r="N3949" s="16" t="str">
        <f>IF($A3949&lt;Notes!$B$5,"",IF(COUNTIFS(Release_Calendar!$A$2:$A$755,"NZ_GDP",Release_Calendar!$B$2:$B$755,$A3949)&gt;0,1,0))</f>
        <v/>
      </c>
      <c r="O3949" s="16" t="str">
        <f>IF($A3949&lt;Notes!$B$5,"",IF(COUNTIFS(Release_Calendar!$A$2:$A$755,"NZ_LABOUR",Release_Calendar!$B$2:$B$755,$A3949)&gt;0,1,0))</f>
        <v/>
      </c>
      <c r="P3949" s="16">
        <f t="shared" si="4"/>
        <v>0</v>
      </c>
    </row>
    <row r="3950" ht="15.75" customHeight="1">
      <c r="A3950" s="14">
        <v>42054.0</v>
      </c>
      <c r="B3950" s="15">
        <v>0.67</v>
      </c>
      <c r="C3950" s="15">
        <v>3.6</v>
      </c>
      <c r="D3950" s="15">
        <v>3.2</v>
      </c>
      <c r="E3950" s="15">
        <v>3.2</v>
      </c>
      <c r="F3950" s="15">
        <f t="shared" si="1"/>
        <v>2.93</v>
      </c>
      <c r="G3950" s="15">
        <f t="shared" si="2"/>
        <v>3.6</v>
      </c>
      <c r="H3950" s="16">
        <v>0.0</v>
      </c>
      <c r="I3950" s="15">
        <f t="shared" si="3"/>
        <v>2.93</v>
      </c>
      <c r="J3950" s="15">
        <v>15.29</v>
      </c>
      <c r="K3950" s="16">
        <f>IF(COUNTIFS(Release_Calendar!$A$2:$A$755,"US_CPI",Release_Calendar!$B$2:$B$755,$A3950)&gt;0,1,0)</f>
        <v>0</v>
      </c>
      <c r="L3950" s="16">
        <f>IF(COUNTIFS(Release_Calendar!$A$2:$A$755,"US_NFP",Release_Calendar!$B$2:$B$755,$A3950)&gt;0,1,0)</f>
        <v>0</v>
      </c>
      <c r="M3950" s="16" t="str">
        <f>IF($A3950&lt;Notes!$B$5,"",IF(COUNTIFS(Release_Calendar!$A$2:$A$755,"NZ_CPI",Release_Calendar!$B$2:$B$755,$A3950)&gt;0,1,0))</f>
        <v/>
      </c>
      <c r="N3950" s="16" t="str">
        <f>IF($A3950&lt;Notes!$B$5,"",IF(COUNTIFS(Release_Calendar!$A$2:$A$755,"NZ_GDP",Release_Calendar!$B$2:$B$755,$A3950)&gt;0,1,0))</f>
        <v/>
      </c>
      <c r="O3950" s="16" t="str">
        <f>IF($A3950&lt;Notes!$B$5,"",IF(COUNTIFS(Release_Calendar!$A$2:$A$755,"NZ_LABOUR",Release_Calendar!$B$2:$B$755,$A3950)&gt;0,1,0))</f>
        <v/>
      </c>
      <c r="P3950" s="16">
        <f t="shared" si="4"/>
        <v>0</v>
      </c>
    </row>
    <row r="3951" ht="15.75" customHeight="1">
      <c r="A3951" s="14">
        <v>42055.0</v>
      </c>
      <c r="B3951" s="15">
        <v>0.67</v>
      </c>
      <c r="C3951" s="15">
        <v>3.62</v>
      </c>
      <c r="D3951" s="15">
        <v>3.21</v>
      </c>
      <c r="E3951" s="15">
        <v>3.22</v>
      </c>
      <c r="F3951" s="15">
        <f t="shared" si="1"/>
        <v>2.95</v>
      </c>
      <c r="G3951" s="15">
        <f t="shared" si="2"/>
        <v>3.62</v>
      </c>
      <c r="H3951" s="16">
        <v>0.0</v>
      </c>
      <c r="I3951" s="15">
        <f t="shared" si="3"/>
        <v>2.95</v>
      </c>
      <c r="J3951" s="15">
        <v>14.3</v>
      </c>
      <c r="K3951" s="16">
        <f>IF(COUNTIFS(Release_Calendar!$A$2:$A$755,"US_CPI",Release_Calendar!$B$2:$B$755,$A3951)&gt;0,1,0)</f>
        <v>0</v>
      </c>
      <c r="L3951" s="16">
        <f>IF(COUNTIFS(Release_Calendar!$A$2:$A$755,"US_NFP",Release_Calendar!$B$2:$B$755,$A3951)&gt;0,1,0)</f>
        <v>0</v>
      </c>
      <c r="M3951" s="16" t="str">
        <f>IF($A3951&lt;Notes!$B$5,"",IF(COUNTIFS(Release_Calendar!$A$2:$A$755,"NZ_CPI",Release_Calendar!$B$2:$B$755,$A3951)&gt;0,1,0))</f>
        <v/>
      </c>
      <c r="N3951" s="16" t="str">
        <f>IF($A3951&lt;Notes!$B$5,"",IF(COUNTIFS(Release_Calendar!$A$2:$A$755,"NZ_GDP",Release_Calendar!$B$2:$B$755,$A3951)&gt;0,1,0))</f>
        <v/>
      </c>
      <c r="O3951" s="16" t="str">
        <f>IF($A3951&lt;Notes!$B$5,"",IF(COUNTIFS(Release_Calendar!$A$2:$A$755,"NZ_LABOUR",Release_Calendar!$B$2:$B$755,$A3951)&gt;0,1,0))</f>
        <v/>
      </c>
      <c r="P3951" s="16">
        <f t="shared" si="4"/>
        <v>0</v>
      </c>
    </row>
    <row r="3952" ht="15.75" customHeight="1">
      <c r="A3952" s="14">
        <v>42058.0</v>
      </c>
      <c r="B3952" s="15">
        <v>0.64</v>
      </c>
      <c r="C3952" s="15">
        <v>3.63</v>
      </c>
      <c r="D3952" s="15">
        <v>3.23</v>
      </c>
      <c r="E3952" s="15">
        <v>3.24</v>
      </c>
      <c r="F3952" s="15">
        <f t="shared" si="1"/>
        <v>2.99</v>
      </c>
      <c r="G3952" s="15">
        <f t="shared" si="2"/>
        <v>3.63</v>
      </c>
      <c r="H3952" s="16">
        <v>0.0</v>
      </c>
      <c r="I3952" s="15">
        <f t="shared" si="3"/>
        <v>2.99</v>
      </c>
      <c r="J3952" s="15">
        <v>14.56</v>
      </c>
      <c r="K3952" s="16">
        <f>IF(COUNTIFS(Release_Calendar!$A$2:$A$755,"US_CPI",Release_Calendar!$B$2:$B$755,$A3952)&gt;0,1,0)</f>
        <v>0</v>
      </c>
      <c r="L3952" s="16">
        <f>IF(COUNTIFS(Release_Calendar!$A$2:$A$755,"US_NFP",Release_Calendar!$B$2:$B$755,$A3952)&gt;0,1,0)</f>
        <v>0</v>
      </c>
      <c r="M3952" s="16" t="str">
        <f>IF($A3952&lt;Notes!$B$5,"",IF(COUNTIFS(Release_Calendar!$A$2:$A$755,"NZ_CPI",Release_Calendar!$B$2:$B$755,$A3952)&gt;0,1,0))</f>
        <v/>
      </c>
      <c r="N3952" s="16" t="str">
        <f>IF($A3952&lt;Notes!$B$5,"",IF(COUNTIFS(Release_Calendar!$A$2:$A$755,"NZ_GDP",Release_Calendar!$B$2:$B$755,$A3952)&gt;0,1,0))</f>
        <v/>
      </c>
      <c r="O3952" s="16" t="str">
        <f>IF($A3952&lt;Notes!$B$5,"",IF(COUNTIFS(Release_Calendar!$A$2:$A$755,"NZ_LABOUR",Release_Calendar!$B$2:$B$755,$A3952)&gt;0,1,0))</f>
        <v/>
      </c>
      <c r="P3952" s="16">
        <f t="shared" si="4"/>
        <v>0</v>
      </c>
    </row>
    <row r="3953" ht="15.75" customHeight="1">
      <c r="A3953" s="14">
        <v>42059.0</v>
      </c>
      <c r="B3953" s="15">
        <v>0.6</v>
      </c>
      <c r="C3953" s="15">
        <v>3.6</v>
      </c>
      <c r="D3953" s="15">
        <v>3.21</v>
      </c>
      <c r="E3953" s="15">
        <v>3.21</v>
      </c>
      <c r="F3953" s="15">
        <f t="shared" si="1"/>
        <v>3</v>
      </c>
      <c r="G3953" s="15">
        <f t="shared" si="2"/>
        <v>3.6</v>
      </c>
      <c r="H3953" s="16">
        <v>0.0</v>
      </c>
      <c r="I3953" s="15">
        <f t="shared" si="3"/>
        <v>3</v>
      </c>
      <c r="J3953" s="15">
        <v>13.69</v>
      </c>
      <c r="K3953" s="16">
        <f>IF(COUNTIFS(Release_Calendar!$A$2:$A$755,"US_CPI",Release_Calendar!$B$2:$B$755,$A3953)&gt;0,1,0)</f>
        <v>0</v>
      </c>
      <c r="L3953" s="16">
        <f>IF(COUNTIFS(Release_Calendar!$A$2:$A$755,"US_NFP",Release_Calendar!$B$2:$B$755,$A3953)&gt;0,1,0)</f>
        <v>0</v>
      </c>
      <c r="M3953" s="16" t="str">
        <f>IF($A3953&lt;Notes!$B$5,"",IF(COUNTIFS(Release_Calendar!$A$2:$A$755,"NZ_CPI",Release_Calendar!$B$2:$B$755,$A3953)&gt;0,1,0))</f>
        <v/>
      </c>
      <c r="N3953" s="16" t="str">
        <f>IF($A3953&lt;Notes!$B$5,"",IF(COUNTIFS(Release_Calendar!$A$2:$A$755,"NZ_GDP",Release_Calendar!$B$2:$B$755,$A3953)&gt;0,1,0))</f>
        <v/>
      </c>
      <c r="O3953" s="16" t="str">
        <f>IF($A3953&lt;Notes!$B$5,"",IF(COUNTIFS(Release_Calendar!$A$2:$A$755,"NZ_LABOUR",Release_Calendar!$B$2:$B$755,$A3953)&gt;0,1,0))</f>
        <v/>
      </c>
      <c r="P3953" s="16">
        <f t="shared" si="4"/>
        <v>0</v>
      </c>
    </row>
    <row r="3954" ht="15.75" customHeight="1">
      <c r="A3954" s="14">
        <v>42060.0</v>
      </c>
      <c r="B3954" s="15">
        <v>0.61</v>
      </c>
      <c r="C3954" s="15">
        <v>3.6</v>
      </c>
      <c r="D3954" s="15">
        <v>3.18</v>
      </c>
      <c r="E3954" s="15">
        <v>3.19</v>
      </c>
      <c r="F3954" s="15">
        <f t="shared" si="1"/>
        <v>2.99</v>
      </c>
      <c r="G3954" s="15">
        <f t="shared" si="2"/>
        <v>3.6</v>
      </c>
      <c r="H3954" s="16">
        <v>0.0</v>
      </c>
      <c r="I3954" s="15">
        <f t="shared" si="3"/>
        <v>2.99</v>
      </c>
      <c r="J3954" s="15">
        <v>13.84</v>
      </c>
      <c r="K3954" s="16">
        <f>IF(COUNTIFS(Release_Calendar!$A$2:$A$755,"US_CPI",Release_Calendar!$B$2:$B$755,$A3954)&gt;0,1,0)</f>
        <v>0</v>
      </c>
      <c r="L3954" s="16">
        <f>IF(COUNTIFS(Release_Calendar!$A$2:$A$755,"US_NFP",Release_Calendar!$B$2:$B$755,$A3954)&gt;0,1,0)</f>
        <v>0</v>
      </c>
      <c r="M3954" s="16" t="str">
        <f>IF($A3954&lt;Notes!$B$5,"",IF(COUNTIFS(Release_Calendar!$A$2:$A$755,"NZ_CPI",Release_Calendar!$B$2:$B$755,$A3954)&gt;0,1,0))</f>
        <v/>
      </c>
      <c r="N3954" s="16" t="str">
        <f>IF($A3954&lt;Notes!$B$5,"",IF(COUNTIFS(Release_Calendar!$A$2:$A$755,"NZ_GDP",Release_Calendar!$B$2:$B$755,$A3954)&gt;0,1,0))</f>
        <v/>
      </c>
      <c r="O3954" s="16" t="str">
        <f>IF($A3954&lt;Notes!$B$5,"",IF(COUNTIFS(Release_Calendar!$A$2:$A$755,"NZ_LABOUR",Release_Calendar!$B$2:$B$755,$A3954)&gt;0,1,0))</f>
        <v/>
      </c>
      <c r="P3954" s="16">
        <f t="shared" si="4"/>
        <v>0</v>
      </c>
    </row>
    <row r="3955" ht="15.75" customHeight="1">
      <c r="A3955" s="14">
        <v>42061.0</v>
      </c>
      <c r="B3955" s="15">
        <v>0.66</v>
      </c>
      <c r="C3955" s="15">
        <v>3.58</v>
      </c>
      <c r="D3955" s="15">
        <v>3.17</v>
      </c>
      <c r="E3955" s="15">
        <v>3.16</v>
      </c>
      <c r="F3955" s="15">
        <f t="shared" si="1"/>
        <v>2.92</v>
      </c>
      <c r="G3955" s="15">
        <f t="shared" si="2"/>
        <v>3.58</v>
      </c>
      <c r="H3955" s="16">
        <v>0.0</v>
      </c>
      <c r="I3955" s="15">
        <f t="shared" si="3"/>
        <v>2.92</v>
      </c>
      <c r="J3955" s="15">
        <v>13.91</v>
      </c>
      <c r="K3955" s="16">
        <f>IF(COUNTIFS(Release_Calendar!$A$2:$A$755,"US_CPI",Release_Calendar!$B$2:$B$755,$A3955)&gt;0,1,0)</f>
        <v>1</v>
      </c>
      <c r="L3955" s="16">
        <f>IF(COUNTIFS(Release_Calendar!$A$2:$A$755,"US_NFP",Release_Calendar!$B$2:$B$755,$A3955)&gt;0,1,0)</f>
        <v>0</v>
      </c>
      <c r="M3955" s="16" t="str">
        <f>IF($A3955&lt;Notes!$B$5,"",IF(COUNTIFS(Release_Calendar!$A$2:$A$755,"NZ_CPI",Release_Calendar!$B$2:$B$755,$A3955)&gt;0,1,0))</f>
        <v/>
      </c>
      <c r="N3955" s="16" t="str">
        <f>IF($A3955&lt;Notes!$B$5,"",IF(COUNTIFS(Release_Calendar!$A$2:$A$755,"NZ_GDP",Release_Calendar!$B$2:$B$755,$A3955)&gt;0,1,0))</f>
        <v/>
      </c>
      <c r="O3955" s="16" t="str">
        <f>IF($A3955&lt;Notes!$B$5,"",IF(COUNTIFS(Release_Calendar!$A$2:$A$755,"NZ_LABOUR",Release_Calendar!$B$2:$B$755,$A3955)&gt;0,1,0))</f>
        <v/>
      </c>
      <c r="P3955" s="16">
        <f t="shared" si="4"/>
        <v>1</v>
      </c>
    </row>
    <row r="3956" ht="15.75" customHeight="1">
      <c r="A3956" s="14">
        <v>42062.0</v>
      </c>
      <c r="B3956" s="15">
        <v>0.63</v>
      </c>
      <c r="C3956" s="15">
        <v>3.59</v>
      </c>
      <c r="D3956" s="15">
        <v>3.19</v>
      </c>
      <c r="E3956" s="15">
        <v>3.18</v>
      </c>
      <c r="F3956" s="15">
        <f t="shared" si="1"/>
        <v>2.96</v>
      </c>
      <c r="G3956" s="15">
        <f t="shared" si="2"/>
        <v>3.59</v>
      </c>
      <c r="H3956" s="16">
        <v>0.0</v>
      </c>
      <c r="I3956" s="15">
        <f t="shared" si="3"/>
        <v>2.96</v>
      </c>
      <c r="J3956" s="15">
        <v>13.34</v>
      </c>
      <c r="K3956" s="16">
        <f>IF(COUNTIFS(Release_Calendar!$A$2:$A$755,"US_CPI",Release_Calendar!$B$2:$B$755,$A3956)&gt;0,1,0)</f>
        <v>0</v>
      </c>
      <c r="L3956" s="16">
        <f>IF(COUNTIFS(Release_Calendar!$A$2:$A$755,"US_NFP",Release_Calendar!$B$2:$B$755,$A3956)&gt;0,1,0)</f>
        <v>0</v>
      </c>
      <c r="M3956" s="16" t="str">
        <f>IF($A3956&lt;Notes!$B$5,"",IF(COUNTIFS(Release_Calendar!$A$2:$A$755,"NZ_CPI",Release_Calendar!$B$2:$B$755,$A3956)&gt;0,1,0))</f>
        <v/>
      </c>
      <c r="N3956" s="16" t="str">
        <f>IF($A3956&lt;Notes!$B$5,"",IF(COUNTIFS(Release_Calendar!$A$2:$A$755,"NZ_GDP",Release_Calendar!$B$2:$B$755,$A3956)&gt;0,1,0))</f>
        <v/>
      </c>
      <c r="O3956" s="16" t="str">
        <f>IF($A3956&lt;Notes!$B$5,"",IF(COUNTIFS(Release_Calendar!$A$2:$A$755,"NZ_LABOUR",Release_Calendar!$B$2:$B$755,$A3956)&gt;0,1,0))</f>
        <v/>
      </c>
      <c r="P3956" s="16">
        <f t="shared" si="4"/>
        <v>0</v>
      </c>
    </row>
    <row r="3957" ht="15.75" customHeight="1">
      <c r="A3957" s="14">
        <v>42065.0</v>
      </c>
      <c r="B3957" s="15">
        <v>0.66</v>
      </c>
      <c r="C3957" s="15">
        <v>3.58</v>
      </c>
      <c r="D3957" s="15">
        <v>3.18</v>
      </c>
      <c r="E3957" s="15">
        <v>3.17</v>
      </c>
      <c r="F3957" s="15">
        <f t="shared" si="1"/>
        <v>2.92</v>
      </c>
      <c r="G3957" s="15">
        <f t="shared" si="2"/>
        <v>3.58</v>
      </c>
      <c r="H3957" s="16">
        <v>0.0</v>
      </c>
      <c r="I3957" s="15">
        <f t="shared" si="3"/>
        <v>2.92</v>
      </c>
      <c r="J3957" s="15">
        <v>13.04</v>
      </c>
      <c r="K3957" s="16">
        <f>IF(COUNTIFS(Release_Calendar!$A$2:$A$755,"US_CPI",Release_Calendar!$B$2:$B$755,$A3957)&gt;0,1,0)</f>
        <v>0</v>
      </c>
      <c r="L3957" s="16">
        <f>IF(COUNTIFS(Release_Calendar!$A$2:$A$755,"US_NFP",Release_Calendar!$B$2:$B$755,$A3957)&gt;0,1,0)</f>
        <v>0</v>
      </c>
      <c r="M3957" s="16" t="str">
        <f>IF($A3957&lt;Notes!$B$5,"",IF(COUNTIFS(Release_Calendar!$A$2:$A$755,"NZ_CPI",Release_Calendar!$B$2:$B$755,$A3957)&gt;0,1,0))</f>
        <v/>
      </c>
      <c r="N3957" s="16" t="str">
        <f>IF($A3957&lt;Notes!$B$5,"",IF(COUNTIFS(Release_Calendar!$A$2:$A$755,"NZ_GDP",Release_Calendar!$B$2:$B$755,$A3957)&gt;0,1,0))</f>
        <v/>
      </c>
      <c r="O3957" s="16" t="str">
        <f>IF($A3957&lt;Notes!$B$5,"",IF(COUNTIFS(Release_Calendar!$A$2:$A$755,"NZ_LABOUR",Release_Calendar!$B$2:$B$755,$A3957)&gt;0,1,0))</f>
        <v/>
      </c>
      <c r="P3957" s="16">
        <f t="shared" si="4"/>
        <v>0</v>
      </c>
    </row>
    <row r="3958" ht="15.75" customHeight="1">
      <c r="A3958" s="14">
        <v>42066.0</v>
      </c>
      <c r="B3958" s="15">
        <v>0.68</v>
      </c>
      <c r="C3958" s="15">
        <v>3.58</v>
      </c>
      <c r="D3958" s="15">
        <v>3.16</v>
      </c>
      <c r="E3958" s="15">
        <v>3.17</v>
      </c>
      <c r="F3958" s="15">
        <f t="shared" si="1"/>
        <v>2.9</v>
      </c>
      <c r="G3958" s="15">
        <f t="shared" si="2"/>
        <v>3.58</v>
      </c>
      <c r="H3958" s="16">
        <v>0.0</v>
      </c>
      <c r="I3958" s="15">
        <f t="shared" si="3"/>
        <v>2.9</v>
      </c>
      <c r="J3958" s="15">
        <v>13.86</v>
      </c>
      <c r="K3958" s="16">
        <f>IF(COUNTIFS(Release_Calendar!$A$2:$A$755,"US_CPI",Release_Calendar!$B$2:$B$755,$A3958)&gt;0,1,0)</f>
        <v>0</v>
      </c>
      <c r="L3958" s="16">
        <f>IF(COUNTIFS(Release_Calendar!$A$2:$A$755,"US_NFP",Release_Calendar!$B$2:$B$755,$A3958)&gt;0,1,0)</f>
        <v>0</v>
      </c>
      <c r="M3958" s="16" t="str">
        <f>IF($A3958&lt;Notes!$B$5,"",IF(COUNTIFS(Release_Calendar!$A$2:$A$755,"NZ_CPI",Release_Calendar!$B$2:$B$755,$A3958)&gt;0,1,0))</f>
        <v/>
      </c>
      <c r="N3958" s="16" t="str">
        <f>IF($A3958&lt;Notes!$B$5,"",IF(COUNTIFS(Release_Calendar!$A$2:$A$755,"NZ_GDP",Release_Calendar!$B$2:$B$755,$A3958)&gt;0,1,0))</f>
        <v/>
      </c>
      <c r="O3958" s="16" t="str">
        <f>IF($A3958&lt;Notes!$B$5,"",IF(COUNTIFS(Release_Calendar!$A$2:$A$755,"NZ_LABOUR",Release_Calendar!$B$2:$B$755,$A3958)&gt;0,1,0))</f>
        <v/>
      </c>
      <c r="P3958" s="16">
        <f t="shared" si="4"/>
        <v>0</v>
      </c>
    </row>
    <row r="3959" ht="15.75" customHeight="1">
      <c r="A3959" s="14">
        <v>42067.0</v>
      </c>
      <c r="B3959" s="15">
        <v>0.66</v>
      </c>
      <c r="C3959" s="15">
        <v>3.62</v>
      </c>
      <c r="D3959" s="15">
        <v>3.19</v>
      </c>
      <c r="E3959" s="15">
        <v>3.21</v>
      </c>
      <c r="F3959" s="15">
        <f t="shared" si="1"/>
        <v>2.96</v>
      </c>
      <c r="G3959" s="15">
        <f t="shared" si="2"/>
        <v>3.62</v>
      </c>
      <c r="H3959" s="16">
        <v>0.0</v>
      </c>
      <c r="I3959" s="15">
        <f t="shared" si="3"/>
        <v>2.96</v>
      </c>
      <c r="J3959" s="15">
        <v>14.23</v>
      </c>
      <c r="K3959" s="16">
        <f>IF(COUNTIFS(Release_Calendar!$A$2:$A$755,"US_CPI",Release_Calendar!$B$2:$B$755,$A3959)&gt;0,1,0)</f>
        <v>0</v>
      </c>
      <c r="L3959" s="16">
        <f>IF(COUNTIFS(Release_Calendar!$A$2:$A$755,"US_NFP",Release_Calendar!$B$2:$B$755,$A3959)&gt;0,1,0)</f>
        <v>0</v>
      </c>
      <c r="M3959" s="16" t="str">
        <f>IF($A3959&lt;Notes!$B$5,"",IF(COUNTIFS(Release_Calendar!$A$2:$A$755,"NZ_CPI",Release_Calendar!$B$2:$B$755,$A3959)&gt;0,1,0))</f>
        <v/>
      </c>
      <c r="N3959" s="16" t="str">
        <f>IF($A3959&lt;Notes!$B$5,"",IF(COUNTIFS(Release_Calendar!$A$2:$A$755,"NZ_GDP",Release_Calendar!$B$2:$B$755,$A3959)&gt;0,1,0))</f>
        <v/>
      </c>
      <c r="O3959" s="16" t="str">
        <f>IF($A3959&lt;Notes!$B$5,"",IF(COUNTIFS(Release_Calendar!$A$2:$A$755,"NZ_LABOUR",Release_Calendar!$B$2:$B$755,$A3959)&gt;0,1,0))</f>
        <v/>
      </c>
      <c r="P3959" s="16">
        <f t="shared" si="4"/>
        <v>0</v>
      </c>
    </row>
    <row r="3960" ht="15.75" customHeight="1">
      <c r="A3960" s="14">
        <v>42068.0</v>
      </c>
      <c r="B3960" s="15">
        <v>0.65</v>
      </c>
      <c r="C3960" s="15">
        <v>3.59</v>
      </c>
      <c r="D3960" s="15">
        <v>3.21</v>
      </c>
      <c r="E3960" s="15">
        <v>3.21</v>
      </c>
      <c r="F3960" s="15">
        <f t="shared" si="1"/>
        <v>2.94</v>
      </c>
      <c r="G3960" s="15">
        <f t="shared" si="2"/>
        <v>3.59</v>
      </c>
      <c r="H3960" s="16">
        <v>0.0</v>
      </c>
      <c r="I3960" s="15">
        <f t="shared" si="3"/>
        <v>2.94</v>
      </c>
      <c r="J3960" s="15">
        <v>14.04</v>
      </c>
      <c r="K3960" s="16">
        <f>IF(COUNTIFS(Release_Calendar!$A$2:$A$755,"US_CPI",Release_Calendar!$B$2:$B$755,$A3960)&gt;0,1,0)</f>
        <v>0</v>
      </c>
      <c r="L3960" s="16">
        <f>IF(COUNTIFS(Release_Calendar!$A$2:$A$755,"US_NFP",Release_Calendar!$B$2:$B$755,$A3960)&gt;0,1,0)</f>
        <v>0</v>
      </c>
      <c r="M3960" s="16" t="str">
        <f>IF($A3960&lt;Notes!$B$5,"",IF(COUNTIFS(Release_Calendar!$A$2:$A$755,"NZ_CPI",Release_Calendar!$B$2:$B$755,$A3960)&gt;0,1,0))</f>
        <v/>
      </c>
      <c r="N3960" s="16" t="str">
        <f>IF($A3960&lt;Notes!$B$5,"",IF(COUNTIFS(Release_Calendar!$A$2:$A$755,"NZ_GDP",Release_Calendar!$B$2:$B$755,$A3960)&gt;0,1,0))</f>
        <v/>
      </c>
      <c r="O3960" s="16" t="str">
        <f>IF($A3960&lt;Notes!$B$5,"",IF(COUNTIFS(Release_Calendar!$A$2:$A$755,"NZ_LABOUR",Release_Calendar!$B$2:$B$755,$A3960)&gt;0,1,0))</f>
        <v/>
      </c>
      <c r="P3960" s="16">
        <f t="shared" si="4"/>
        <v>0</v>
      </c>
    </row>
    <row r="3961" ht="15.75" customHeight="1">
      <c r="A3961" s="14">
        <v>42069.0</v>
      </c>
      <c r="B3961" s="15">
        <v>0.73</v>
      </c>
      <c r="C3961" s="15">
        <v>3.58</v>
      </c>
      <c r="D3961" s="15">
        <v>3.19</v>
      </c>
      <c r="E3961" s="15">
        <v>3.2</v>
      </c>
      <c r="F3961" s="15">
        <f t="shared" si="1"/>
        <v>2.85</v>
      </c>
      <c r="G3961" s="15">
        <f t="shared" si="2"/>
        <v>3.58</v>
      </c>
      <c r="H3961" s="16">
        <v>0.0</v>
      </c>
      <c r="I3961" s="15">
        <f t="shared" si="3"/>
        <v>2.85</v>
      </c>
      <c r="J3961" s="15">
        <v>15.2</v>
      </c>
      <c r="K3961" s="16">
        <f>IF(COUNTIFS(Release_Calendar!$A$2:$A$755,"US_CPI",Release_Calendar!$B$2:$B$755,$A3961)&gt;0,1,0)</f>
        <v>0</v>
      </c>
      <c r="L3961" s="16">
        <f>IF(COUNTIFS(Release_Calendar!$A$2:$A$755,"US_NFP",Release_Calendar!$B$2:$B$755,$A3961)&gt;0,1,0)</f>
        <v>1</v>
      </c>
      <c r="M3961" s="16" t="str">
        <f>IF($A3961&lt;Notes!$B$5,"",IF(COUNTIFS(Release_Calendar!$A$2:$A$755,"NZ_CPI",Release_Calendar!$B$2:$B$755,$A3961)&gt;0,1,0))</f>
        <v/>
      </c>
      <c r="N3961" s="16" t="str">
        <f>IF($A3961&lt;Notes!$B$5,"",IF(COUNTIFS(Release_Calendar!$A$2:$A$755,"NZ_GDP",Release_Calendar!$B$2:$B$755,$A3961)&gt;0,1,0))</f>
        <v/>
      </c>
      <c r="O3961" s="16" t="str">
        <f>IF($A3961&lt;Notes!$B$5,"",IF(COUNTIFS(Release_Calendar!$A$2:$A$755,"NZ_LABOUR",Release_Calendar!$B$2:$B$755,$A3961)&gt;0,1,0))</f>
        <v/>
      </c>
      <c r="P3961" s="16">
        <f t="shared" si="4"/>
        <v>1</v>
      </c>
    </row>
    <row r="3962" ht="15.75" customHeight="1">
      <c r="A3962" s="14">
        <v>42072.0</v>
      </c>
      <c r="B3962" s="15">
        <v>0.7</v>
      </c>
      <c r="C3962" s="15">
        <v>3.61</v>
      </c>
      <c r="D3962" s="15">
        <v>3.26</v>
      </c>
      <c r="E3962" s="15">
        <v>3.27</v>
      </c>
      <c r="F3962" s="15">
        <f t="shared" si="1"/>
        <v>2.91</v>
      </c>
      <c r="G3962" s="15">
        <f t="shared" si="2"/>
        <v>3.61</v>
      </c>
      <c r="H3962" s="16">
        <v>0.0</v>
      </c>
      <c r="I3962" s="15">
        <f t="shared" si="3"/>
        <v>2.91</v>
      </c>
      <c r="J3962" s="15">
        <v>15.06</v>
      </c>
      <c r="K3962" s="16">
        <f>IF(COUNTIFS(Release_Calendar!$A$2:$A$755,"US_CPI",Release_Calendar!$B$2:$B$755,$A3962)&gt;0,1,0)</f>
        <v>0</v>
      </c>
      <c r="L3962" s="16">
        <f>IF(COUNTIFS(Release_Calendar!$A$2:$A$755,"US_NFP",Release_Calendar!$B$2:$B$755,$A3962)&gt;0,1,0)</f>
        <v>0</v>
      </c>
      <c r="M3962" s="16" t="str">
        <f>IF($A3962&lt;Notes!$B$5,"",IF(COUNTIFS(Release_Calendar!$A$2:$A$755,"NZ_CPI",Release_Calendar!$B$2:$B$755,$A3962)&gt;0,1,0))</f>
        <v/>
      </c>
      <c r="N3962" s="16" t="str">
        <f>IF($A3962&lt;Notes!$B$5,"",IF(COUNTIFS(Release_Calendar!$A$2:$A$755,"NZ_GDP",Release_Calendar!$B$2:$B$755,$A3962)&gt;0,1,0))</f>
        <v/>
      </c>
      <c r="O3962" s="16" t="str">
        <f>IF($A3962&lt;Notes!$B$5,"",IF(COUNTIFS(Release_Calendar!$A$2:$A$755,"NZ_LABOUR",Release_Calendar!$B$2:$B$755,$A3962)&gt;0,1,0))</f>
        <v/>
      </c>
      <c r="P3962" s="16">
        <f t="shared" si="4"/>
        <v>0</v>
      </c>
    </row>
    <row r="3963" ht="15.75" customHeight="1">
      <c r="A3963" s="14">
        <v>42073.0</v>
      </c>
      <c r="B3963" s="15">
        <v>0.7</v>
      </c>
      <c r="C3963" s="15">
        <v>3.58</v>
      </c>
      <c r="D3963" s="15">
        <v>3.25</v>
      </c>
      <c r="E3963" s="15">
        <v>3.25</v>
      </c>
      <c r="F3963" s="15">
        <f t="shared" si="1"/>
        <v>2.88</v>
      </c>
      <c r="G3963" s="15">
        <f t="shared" si="2"/>
        <v>3.58</v>
      </c>
      <c r="H3963" s="16">
        <v>0.0</v>
      </c>
      <c r="I3963" s="15">
        <f t="shared" si="3"/>
        <v>2.88</v>
      </c>
      <c r="J3963" s="15">
        <v>16.69</v>
      </c>
      <c r="K3963" s="16">
        <f>IF(COUNTIFS(Release_Calendar!$A$2:$A$755,"US_CPI",Release_Calendar!$B$2:$B$755,$A3963)&gt;0,1,0)</f>
        <v>0</v>
      </c>
      <c r="L3963" s="16">
        <f>IF(COUNTIFS(Release_Calendar!$A$2:$A$755,"US_NFP",Release_Calendar!$B$2:$B$755,$A3963)&gt;0,1,0)</f>
        <v>0</v>
      </c>
      <c r="M3963" s="16" t="str">
        <f>IF($A3963&lt;Notes!$B$5,"",IF(COUNTIFS(Release_Calendar!$A$2:$A$755,"NZ_CPI",Release_Calendar!$B$2:$B$755,$A3963)&gt;0,1,0))</f>
        <v/>
      </c>
      <c r="N3963" s="16" t="str">
        <f>IF($A3963&lt;Notes!$B$5,"",IF(COUNTIFS(Release_Calendar!$A$2:$A$755,"NZ_GDP",Release_Calendar!$B$2:$B$755,$A3963)&gt;0,1,0))</f>
        <v/>
      </c>
      <c r="O3963" s="16" t="str">
        <f>IF($A3963&lt;Notes!$B$5,"",IF(COUNTIFS(Release_Calendar!$A$2:$A$755,"NZ_LABOUR",Release_Calendar!$B$2:$B$755,$A3963)&gt;0,1,0))</f>
        <v/>
      </c>
      <c r="P3963" s="16">
        <f t="shared" si="4"/>
        <v>0</v>
      </c>
    </row>
    <row r="3964" ht="15.75" customHeight="1">
      <c r="A3964" s="14">
        <v>42074.0</v>
      </c>
      <c r="B3964" s="15">
        <v>0.7</v>
      </c>
      <c r="C3964" s="15">
        <v>3.57</v>
      </c>
      <c r="D3964" s="15">
        <v>3.18</v>
      </c>
      <c r="E3964" s="15">
        <v>3.17</v>
      </c>
      <c r="F3964" s="15">
        <f t="shared" si="1"/>
        <v>2.87</v>
      </c>
      <c r="G3964" s="15">
        <f t="shared" si="2"/>
        <v>3.57</v>
      </c>
      <c r="H3964" s="16">
        <v>0.0</v>
      </c>
      <c r="I3964" s="15">
        <f t="shared" si="3"/>
        <v>2.87</v>
      </c>
      <c r="J3964" s="15">
        <v>16.87</v>
      </c>
      <c r="K3964" s="16">
        <f>IF(COUNTIFS(Release_Calendar!$A$2:$A$755,"US_CPI",Release_Calendar!$B$2:$B$755,$A3964)&gt;0,1,0)</f>
        <v>0</v>
      </c>
      <c r="L3964" s="16">
        <f>IF(COUNTIFS(Release_Calendar!$A$2:$A$755,"US_NFP",Release_Calendar!$B$2:$B$755,$A3964)&gt;0,1,0)</f>
        <v>0</v>
      </c>
      <c r="M3964" s="16" t="str">
        <f>IF($A3964&lt;Notes!$B$5,"",IF(COUNTIFS(Release_Calendar!$A$2:$A$755,"NZ_CPI",Release_Calendar!$B$2:$B$755,$A3964)&gt;0,1,0))</f>
        <v/>
      </c>
      <c r="N3964" s="16" t="str">
        <f>IF($A3964&lt;Notes!$B$5,"",IF(COUNTIFS(Release_Calendar!$A$2:$A$755,"NZ_GDP",Release_Calendar!$B$2:$B$755,$A3964)&gt;0,1,0))</f>
        <v/>
      </c>
      <c r="O3964" s="16" t="str">
        <f>IF($A3964&lt;Notes!$B$5,"",IF(COUNTIFS(Release_Calendar!$A$2:$A$755,"NZ_LABOUR",Release_Calendar!$B$2:$B$755,$A3964)&gt;0,1,0))</f>
        <v/>
      </c>
      <c r="P3964" s="16">
        <f t="shared" si="4"/>
        <v>0</v>
      </c>
    </row>
    <row r="3965" ht="15.75" customHeight="1">
      <c r="A3965" s="14">
        <v>42075.0</v>
      </c>
      <c r="B3965" s="15">
        <v>0.67</v>
      </c>
      <c r="C3965" s="15">
        <v>3.57</v>
      </c>
      <c r="D3965" s="15">
        <v>3.17</v>
      </c>
      <c r="E3965" s="15">
        <v>3.15</v>
      </c>
      <c r="F3965" s="15">
        <f t="shared" si="1"/>
        <v>2.9</v>
      </c>
      <c r="G3965" s="15">
        <f t="shared" si="2"/>
        <v>3.57</v>
      </c>
      <c r="H3965" s="16">
        <v>0.0</v>
      </c>
      <c r="I3965" s="15">
        <f t="shared" si="3"/>
        <v>2.9</v>
      </c>
      <c r="J3965" s="15">
        <v>15.42</v>
      </c>
      <c r="K3965" s="16">
        <f>IF(COUNTIFS(Release_Calendar!$A$2:$A$755,"US_CPI",Release_Calendar!$B$2:$B$755,$A3965)&gt;0,1,0)</f>
        <v>0</v>
      </c>
      <c r="L3965" s="16">
        <f>IF(COUNTIFS(Release_Calendar!$A$2:$A$755,"US_NFP",Release_Calendar!$B$2:$B$755,$A3965)&gt;0,1,0)</f>
        <v>0</v>
      </c>
      <c r="M3965" s="16" t="str">
        <f>IF($A3965&lt;Notes!$B$5,"",IF(COUNTIFS(Release_Calendar!$A$2:$A$755,"NZ_CPI",Release_Calendar!$B$2:$B$755,$A3965)&gt;0,1,0))</f>
        <v/>
      </c>
      <c r="N3965" s="16" t="str">
        <f>IF($A3965&lt;Notes!$B$5,"",IF(COUNTIFS(Release_Calendar!$A$2:$A$755,"NZ_GDP",Release_Calendar!$B$2:$B$755,$A3965)&gt;0,1,0))</f>
        <v/>
      </c>
      <c r="O3965" s="16" t="str">
        <f>IF($A3965&lt;Notes!$B$5,"",IF(COUNTIFS(Release_Calendar!$A$2:$A$755,"NZ_LABOUR",Release_Calendar!$B$2:$B$755,$A3965)&gt;0,1,0))</f>
        <v/>
      </c>
      <c r="P3965" s="16">
        <f t="shared" si="4"/>
        <v>0</v>
      </c>
    </row>
    <row r="3966" ht="15.75" customHeight="1">
      <c r="A3966" s="14">
        <v>42076.0</v>
      </c>
      <c r="B3966" s="15">
        <v>0.68</v>
      </c>
      <c r="C3966" s="15">
        <v>3.58</v>
      </c>
      <c r="D3966" s="15">
        <v>3.15</v>
      </c>
      <c r="E3966" s="15">
        <v>3.19</v>
      </c>
      <c r="F3966" s="15">
        <f t="shared" si="1"/>
        <v>2.9</v>
      </c>
      <c r="G3966" s="15">
        <f t="shared" si="2"/>
        <v>3.58</v>
      </c>
      <c r="H3966" s="16">
        <v>0.0</v>
      </c>
      <c r="I3966" s="15">
        <f t="shared" si="3"/>
        <v>2.9</v>
      </c>
      <c r="J3966" s="15">
        <v>16.0</v>
      </c>
      <c r="K3966" s="16">
        <f>IF(COUNTIFS(Release_Calendar!$A$2:$A$755,"US_CPI",Release_Calendar!$B$2:$B$755,$A3966)&gt;0,1,0)</f>
        <v>0</v>
      </c>
      <c r="L3966" s="16">
        <f>IF(COUNTIFS(Release_Calendar!$A$2:$A$755,"US_NFP",Release_Calendar!$B$2:$B$755,$A3966)&gt;0,1,0)</f>
        <v>0</v>
      </c>
      <c r="M3966" s="16" t="str">
        <f>IF($A3966&lt;Notes!$B$5,"",IF(COUNTIFS(Release_Calendar!$A$2:$A$755,"NZ_CPI",Release_Calendar!$B$2:$B$755,$A3966)&gt;0,1,0))</f>
        <v/>
      </c>
      <c r="N3966" s="16" t="str">
        <f>IF($A3966&lt;Notes!$B$5,"",IF(COUNTIFS(Release_Calendar!$A$2:$A$755,"NZ_GDP",Release_Calendar!$B$2:$B$755,$A3966)&gt;0,1,0))</f>
        <v/>
      </c>
      <c r="O3966" s="16" t="str">
        <f>IF($A3966&lt;Notes!$B$5,"",IF(COUNTIFS(Release_Calendar!$A$2:$A$755,"NZ_LABOUR",Release_Calendar!$B$2:$B$755,$A3966)&gt;0,1,0))</f>
        <v/>
      </c>
      <c r="P3966" s="16">
        <f t="shared" si="4"/>
        <v>0</v>
      </c>
    </row>
    <row r="3967" ht="15.75" customHeight="1">
      <c r="A3967" s="14">
        <v>42079.0</v>
      </c>
      <c r="B3967" s="15">
        <v>0.66</v>
      </c>
      <c r="C3967" s="15">
        <v>3.58</v>
      </c>
      <c r="D3967" s="15">
        <v>3.18</v>
      </c>
      <c r="E3967" s="15">
        <v>3.17</v>
      </c>
      <c r="F3967" s="15">
        <f t="shared" si="1"/>
        <v>2.92</v>
      </c>
      <c r="G3967" s="15">
        <f t="shared" si="2"/>
        <v>3.58</v>
      </c>
      <c r="H3967" s="16">
        <v>0.0</v>
      </c>
      <c r="I3967" s="15">
        <f t="shared" si="3"/>
        <v>2.92</v>
      </c>
      <c r="J3967" s="15">
        <v>15.61</v>
      </c>
      <c r="K3967" s="16">
        <f>IF(COUNTIFS(Release_Calendar!$A$2:$A$755,"US_CPI",Release_Calendar!$B$2:$B$755,$A3967)&gt;0,1,0)</f>
        <v>0</v>
      </c>
      <c r="L3967" s="16">
        <f>IF(COUNTIFS(Release_Calendar!$A$2:$A$755,"US_NFP",Release_Calendar!$B$2:$B$755,$A3967)&gt;0,1,0)</f>
        <v>0</v>
      </c>
      <c r="M3967" s="16" t="str">
        <f>IF($A3967&lt;Notes!$B$5,"",IF(COUNTIFS(Release_Calendar!$A$2:$A$755,"NZ_CPI",Release_Calendar!$B$2:$B$755,$A3967)&gt;0,1,0))</f>
        <v/>
      </c>
      <c r="N3967" s="16" t="str">
        <f>IF($A3967&lt;Notes!$B$5,"",IF(COUNTIFS(Release_Calendar!$A$2:$A$755,"NZ_GDP",Release_Calendar!$B$2:$B$755,$A3967)&gt;0,1,0))</f>
        <v/>
      </c>
      <c r="O3967" s="16" t="str">
        <f>IF($A3967&lt;Notes!$B$5,"",IF(COUNTIFS(Release_Calendar!$A$2:$A$755,"NZ_LABOUR",Release_Calendar!$B$2:$B$755,$A3967)&gt;0,1,0))</f>
        <v/>
      </c>
      <c r="P3967" s="16">
        <f t="shared" si="4"/>
        <v>0</v>
      </c>
    </row>
    <row r="3968" ht="15.75" customHeight="1">
      <c r="A3968" s="14">
        <v>42080.0</v>
      </c>
      <c r="B3968" s="15">
        <v>0.7</v>
      </c>
      <c r="C3968" s="15">
        <v>3.56</v>
      </c>
      <c r="D3968" s="15">
        <v>3.15</v>
      </c>
      <c r="E3968" s="15">
        <v>3.14</v>
      </c>
      <c r="F3968" s="15">
        <f t="shared" si="1"/>
        <v>2.86</v>
      </c>
      <c r="G3968" s="15">
        <f t="shared" si="2"/>
        <v>3.56</v>
      </c>
      <c r="H3968" s="16">
        <v>0.0</v>
      </c>
      <c r="I3968" s="15">
        <f t="shared" si="3"/>
        <v>2.86</v>
      </c>
      <c r="J3968" s="15">
        <v>15.66</v>
      </c>
      <c r="K3968" s="16">
        <f>IF(COUNTIFS(Release_Calendar!$A$2:$A$755,"US_CPI",Release_Calendar!$B$2:$B$755,$A3968)&gt;0,1,0)</f>
        <v>0</v>
      </c>
      <c r="L3968" s="16">
        <f>IF(COUNTIFS(Release_Calendar!$A$2:$A$755,"US_NFP",Release_Calendar!$B$2:$B$755,$A3968)&gt;0,1,0)</f>
        <v>0</v>
      </c>
      <c r="M3968" s="16" t="str">
        <f>IF($A3968&lt;Notes!$B$5,"",IF(COUNTIFS(Release_Calendar!$A$2:$A$755,"NZ_CPI",Release_Calendar!$B$2:$B$755,$A3968)&gt;0,1,0))</f>
        <v/>
      </c>
      <c r="N3968" s="16" t="str">
        <f>IF($A3968&lt;Notes!$B$5,"",IF(COUNTIFS(Release_Calendar!$A$2:$A$755,"NZ_GDP",Release_Calendar!$B$2:$B$755,$A3968)&gt;0,1,0))</f>
        <v/>
      </c>
      <c r="O3968" s="16" t="str">
        <f>IF($A3968&lt;Notes!$B$5,"",IF(COUNTIFS(Release_Calendar!$A$2:$A$755,"NZ_LABOUR",Release_Calendar!$B$2:$B$755,$A3968)&gt;0,1,0))</f>
        <v/>
      </c>
      <c r="P3968" s="16">
        <f t="shared" si="4"/>
        <v>0</v>
      </c>
    </row>
    <row r="3969" ht="15.75" customHeight="1">
      <c r="A3969" s="14">
        <v>42081.0</v>
      </c>
      <c r="B3969" s="15">
        <v>0.57</v>
      </c>
      <c r="C3969" s="15">
        <v>3.55</v>
      </c>
      <c r="D3969" s="15">
        <v>3.13</v>
      </c>
      <c r="E3969" s="15">
        <v>3.14</v>
      </c>
      <c r="F3969" s="15">
        <f t="shared" si="1"/>
        <v>2.98</v>
      </c>
      <c r="G3969" s="15">
        <f t="shared" si="2"/>
        <v>3.55</v>
      </c>
      <c r="H3969" s="16">
        <v>0.0</v>
      </c>
      <c r="I3969" s="15">
        <f t="shared" si="3"/>
        <v>2.98</v>
      </c>
      <c r="J3969" s="15">
        <v>13.97</v>
      </c>
      <c r="K3969" s="16">
        <f>IF(COUNTIFS(Release_Calendar!$A$2:$A$755,"US_CPI",Release_Calendar!$B$2:$B$755,$A3969)&gt;0,1,0)</f>
        <v>0</v>
      </c>
      <c r="L3969" s="16">
        <f>IF(COUNTIFS(Release_Calendar!$A$2:$A$755,"US_NFP",Release_Calendar!$B$2:$B$755,$A3969)&gt;0,1,0)</f>
        <v>0</v>
      </c>
      <c r="M3969" s="16" t="str">
        <f>IF($A3969&lt;Notes!$B$5,"",IF(COUNTIFS(Release_Calendar!$A$2:$A$755,"NZ_CPI",Release_Calendar!$B$2:$B$755,$A3969)&gt;0,1,0))</f>
        <v/>
      </c>
      <c r="N3969" s="16" t="str">
        <f>IF($A3969&lt;Notes!$B$5,"",IF(COUNTIFS(Release_Calendar!$A$2:$A$755,"NZ_GDP",Release_Calendar!$B$2:$B$755,$A3969)&gt;0,1,0))</f>
        <v/>
      </c>
      <c r="O3969" s="16" t="str">
        <f>IF($A3969&lt;Notes!$B$5,"",IF(COUNTIFS(Release_Calendar!$A$2:$A$755,"NZ_LABOUR",Release_Calendar!$B$2:$B$755,$A3969)&gt;0,1,0))</f>
        <v/>
      </c>
      <c r="P3969" s="16">
        <f t="shared" si="4"/>
        <v>0</v>
      </c>
    </row>
    <row r="3970" ht="15.75" customHeight="1">
      <c r="A3970" s="14">
        <v>42082.0</v>
      </c>
      <c r="B3970" s="15">
        <v>0.63</v>
      </c>
      <c r="C3970" s="15">
        <v>3.53</v>
      </c>
      <c r="D3970" s="15">
        <v>3.06</v>
      </c>
      <c r="E3970" s="15">
        <v>3.08</v>
      </c>
      <c r="F3970" s="15">
        <f t="shared" si="1"/>
        <v>2.9</v>
      </c>
      <c r="G3970" s="15">
        <f t="shared" si="2"/>
        <v>3.53</v>
      </c>
      <c r="H3970" s="16">
        <v>0.0</v>
      </c>
      <c r="I3970" s="15">
        <f t="shared" si="3"/>
        <v>2.9</v>
      </c>
      <c r="J3970" s="15">
        <v>14.07</v>
      </c>
      <c r="K3970" s="16">
        <f>IF(COUNTIFS(Release_Calendar!$A$2:$A$755,"US_CPI",Release_Calendar!$B$2:$B$755,$A3970)&gt;0,1,0)</f>
        <v>0</v>
      </c>
      <c r="L3970" s="16">
        <f>IF(COUNTIFS(Release_Calendar!$A$2:$A$755,"US_NFP",Release_Calendar!$B$2:$B$755,$A3970)&gt;0,1,0)</f>
        <v>0</v>
      </c>
      <c r="M3970" s="16" t="str">
        <f>IF($A3970&lt;Notes!$B$5,"",IF(COUNTIFS(Release_Calendar!$A$2:$A$755,"NZ_CPI",Release_Calendar!$B$2:$B$755,$A3970)&gt;0,1,0))</f>
        <v/>
      </c>
      <c r="N3970" s="16" t="str">
        <f>IF($A3970&lt;Notes!$B$5,"",IF(COUNTIFS(Release_Calendar!$A$2:$A$755,"NZ_GDP",Release_Calendar!$B$2:$B$755,$A3970)&gt;0,1,0))</f>
        <v/>
      </c>
      <c r="O3970" s="16" t="str">
        <f>IF($A3970&lt;Notes!$B$5,"",IF(COUNTIFS(Release_Calendar!$A$2:$A$755,"NZ_LABOUR",Release_Calendar!$B$2:$B$755,$A3970)&gt;0,1,0))</f>
        <v/>
      </c>
      <c r="P3970" s="16">
        <f t="shared" si="4"/>
        <v>0</v>
      </c>
    </row>
    <row r="3971" ht="15.75" customHeight="1">
      <c r="A3971" s="14">
        <v>42083.0</v>
      </c>
      <c r="B3971" s="15">
        <v>0.6</v>
      </c>
      <c r="C3971" s="15">
        <v>3.55</v>
      </c>
      <c r="D3971" s="15">
        <v>3.09</v>
      </c>
      <c r="E3971" s="15">
        <v>3.09</v>
      </c>
      <c r="F3971" s="15">
        <f t="shared" si="1"/>
        <v>2.95</v>
      </c>
      <c r="G3971" s="15">
        <f t="shared" si="2"/>
        <v>3.55</v>
      </c>
      <c r="H3971" s="16">
        <v>0.0</v>
      </c>
      <c r="I3971" s="15">
        <f t="shared" si="3"/>
        <v>2.95</v>
      </c>
      <c r="J3971" s="15">
        <v>13.02</v>
      </c>
      <c r="K3971" s="16">
        <f>IF(COUNTIFS(Release_Calendar!$A$2:$A$755,"US_CPI",Release_Calendar!$B$2:$B$755,$A3971)&gt;0,1,0)</f>
        <v>0</v>
      </c>
      <c r="L3971" s="16">
        <f>IF(COUNTIFS(Release_Calendar!$A$2:$A$755,"US_NFP",Release_Calendar!$B$2:$B$755,$A3971)&gt;0,1,0)</f>
        <v>0</v>
      </c>
      <c r="M3971" s="16" t="str">
        <f>IF($A3971&lt;Notes!$B$5,"",IF(COUNTIFS(Release_Calendar!$A$2:$A$755,"NZ_CPI",Release_Calendar!$B$2:$B$755,$A3971)&gt;0,1,0))</f>
        <v/>
      </c>
      <c r="N3971" s="16" t="str">
        <f>IF($A3971&lt;Notes!$B$5,"",IF(COUNTIFS(Release_Calendar!$A$2:$A$755,"NZ_GDP",Release_Calendar!$B$2:$B$755,$A3971)&gt;0,1,0))</f>
        <v/>
      </c>
      <c r="O3971" s="16" t="str">
        <f>IF($A3971&lt;Notes!$B$5,"",IF(COUNTIFS(Release_Calendar!$A$2:$A$755,"NZ_LABOUR",Release_Calendar!$B$2:$B$755,$A3971)&gt;0,1,0))</f>
        <v/>
      </c>
      <c r="P3971" s="16">
        <f t="shared" si="4"/>
        <v>0</v>
      </c>
    </row>
    <row r="3972" ht="15.75" customHeight="1">
      <c r="A3972" s="14">
        <v>42086.0</v>
      </c>
      <c r="B3972" s="15">
        <v>0.6</v>
      </c>
      <c r="C3972" s="15">
        <v>3.55</v>
      </c>
      <c r="D3972" s="15">
        <v>3.08</v>
      </c>
      <c r="E3972" s="15">
        <v>3.08</v>
      </c>
      <c r="F3972" s="15">
        <f t="shared" si="1"/>
        <v>2.95</v>
      </c>
      <c r="G3972" s="15">
        <f t="shared" si="2"/>
        <v>3.55</v>
      </c>
      <c r="H3972" s="16">
        <v>0.0</v>
      </c>
      <c r="I3972" s="15">
        <f t="shared" si="3"/>
        <v>2.95</v>
      </c>
      <c r="J3972" s="15">
        <v>13.41</v>
      </c>
      <c r="K3972" s="16">
        <f>IF(COUNTIFS(Release_Calendar!$A$2:$A$755,"US_CPI",Release_Calendar!$B$2:$B$755,$A3972)&gt;0,1,0)</f>
        <v>0</v>
      </c>
      <c r="L3972" s="16">
        <f>IF(COUNTIFS(Release_Calendar!$A$2:$A$755,"US_NFP",Release_Calendar!$B$2:$B$755,$A3972)&gt;0,1,0)</f>
        <v>0</v>
      </c>
      <c r="M3972" s="16" t="str">
        <f>IF($A3972&lt;Notes!$B$5,"",IF(COUNTIFS(Release_Calendar!$A$2:$A$755,"NZ_CPI",Release_Calendar!$B$2:$B$755,$A3972)&gt;0,1,0))</f>
        <v/>
      </c>
      <c r="N3972" s="16" t="str">
        <f>IF($A3972&lt;Notes!$B$5,"",IF(COUNTIFS(Release_Calendar!$A$2:$A$755,"NZ_GDP",Release_Calendar!$B$2:$B$755,$A3972)&gt;0,1,0))</f>
        <v/>
      </c>
      <c r="O3972" s="16" t="str">
        <f>IF($A3972&lt;Notes!$B$5,"",IF(COUNTIFS(Release_Calendar!$A$2:$A$755,"NZ_LABOUR",Release_Calendar!$B$2:$B$755,$A3972)&gt;0,1,0))</f>
        <v/>
      </c>
      <c r="P3972" s="16">
        <f t="shared" si="4"/>
        <v>0</v>
      </c>
    </row>
    <row r="3973" ht="15.75" customHeight="1">
      <c r="A3973" s="14">
        <v>42087.0</v>
      </c>
      <c r="B3973" s="15">
        <v>0.58</v>
      </c>
      <c r="C3973" s="15">
        <v>3.54</v>
      </c>
      <c r="D3973" s="15">
        <v>3.08</v>
      </c>
      <c r="E3973" s="15">
        <v>3.08</v>
      </c>
      <c r="F3973" s="15">
        <f t="shared" si="1"/>
        <v>2.96</v>
      </c>
      <c r="G3973" s="15">
        <f t="shared" si="2"/>
        <v>3.54</v>
      </c>
      <c r="H3973" s="16">
        <v>0.0</v>
      </c>
      <c r="I3973" s="15">
        <f t="shared" si="3"/>
        <v>2.96</v>
      </c>
      <c r="J3973" s="15">
        <v>13.62</v>
      </c>
      <c r="K3973" s="16">
        <f>IF(COUNTIFS(Release_Calendar!$A$2:$A$755,"US_CPI",Release_Calendar!$B$2:$B$755,$A3973)&gt;0,1,0)</f>
        <v>1</v>
      </c>
      <c r="L3973" s="16">
        <f>IF(COUNTIFS(Release_Calendar!$A$2:$A$755,"US_NFP",Release_Calendar!$B$2:$B$755,$A3973)&gt;0,1,0)</f>
        <v>0</v>
      </c>
      <c r="M3973" s="16" t="str">
        <f>IF($A3973&lt;Notes!$B$5,"",IF(COUNTIFS(Release_Calendar!$A$2:$A$755,"NZ_CPI",Release_Calendar!$B$2:$B$755,$A3973)&gt;0,1,0))</f>
        <v/>
      </c>
      <c r="N3973" s="16" t="str">
        <f>IF($A3973&lt;Notes!$B$5,"",IF(COUNTIFS(Release_Calendar!$A$2:$A$755,"NZ_GDP",Release_Calendar!$B$2:$B$755,$A3973)&gt;0,1,0))</f>
        <v/>
      </c>
      <c r="O3973" s="16" t="str">
        <f>IF($A3973&lt;Notes!$B$5,"",IF(COUNTIFS(Release_Calendar!$A$2:$A$755,"NZ_LABOUR",Release_Calendar!$B$2:$B$755,$A3973)&gt;0,1,0))</f>
        <v/>
      </c>
      <c r="P3973" s="16">
        <f t="shared" si="4"/>
        <v>1</v>
      </c>
    </row>
    <row r="3974" ht="15.75" customHeight="1">
      <c r="A3974" s="14">
        <v>42088.0</v>
      </c>
      <c r="B3974" s="15">
        <v>0.59</v>
      </c>
      <c r="C3974" s="15">
        <v>3.53</v>
      </c>
      <c r="D3974" s="15">
        <v>3.05</v>
      </c>
      <c r="E3974" s="15">
        <v>3.04</v>
      </c>
      <c r="F3974" s="15">
        <f t="shared" si="1"/>
        <v>2.94</v>
      </c>
      <c r="G3974" s="15">
        <f t="shared" si="2"/>
        <v>3.53</v>
      </c>
      <c r="H3974" s="16">
        <v>0.0</v>
      </c>
      <c r="I3974" s="15">
        <f t="shared" si="3"/>
        <v>2.94</v>
      </c>
      <c r="J3974" s="15">
        <v>15.44</v>
      </c>
      <c r="K3974" s="16">
        <f>IF(COUNTIFS(Release_Calendar!$A$2:$A$755,"US_CPI",Release_Calendar!$B$2:$B$755,$A3974)&gt;0,1,0)</f>
        <v>0</v>
      </c>
      <c r="L3974" s="16">
        <f>IF(COUNTIFS(Release_Calendar!$A$2:$A$755,"US_NFP",Release_Calendar!$B$2:$B$755,$A3974)&gt;0,1,0)</f>
        <v>0</v>
      </c>
      <c r="M3974" s="16" t="str">
        <f>IF($A3974&lt;Notes!$B$5,"",IF(COUNTIFS(Release_Calendar!$A$2:$A$755,"NZ_CPI",Release_Calendar!$B$2:$B$755,$A3974)&gt;0,1,0))</f>
        <v/>
      </c>
      <c r="N3974" s="16" t="str">
        <f>IF($A3974&lt;Notes!$B$5,"",IF(COUNTIFS(Release_Calendar!$A$2:$A$755,"NZ_GDP",Release_Calendar!$B$2:$B$755,$A3974)&gt;0,1,0))</f>
        <v/>
      </c>
      <c r="O3974" s="16" t="str">
        <f>IF($A3974&lt;Notes!$B$5,"",IF(COUNTIFS(Release_Calendar!$A$2:$A$755,"NZ_LABOUR",Release_Calendar!$B$2:$B$755,$A3974)&gt;0,1,0))</f>
        <v/>
      </c>
      <c r="P3974" s="16">
        <f t="shared" si="4"/>
        <v>0</v>
      </c>
    </row>
    <row r="3975" ht="15.75" customHeight="1">
      <c r="A3975" s="14">
        <v>42089.0</v>
      </c>
      <c r="B3975" s="15">
        <v>0.61</v>
      </c>
      <c r="C3975" s="15">
        <v>3.55</v>
      </c>
      <c r="D3975" s="15">
        <v>3.07</v>
      </c>
      <c r="E3975" s="15">
        <v>3.09</v>
      </c>
      <c r="F3975" s="15">
        <f t="shared" si="1"/>
        <v>2.94</v>
      </c>
      <c r="G3975" s="15">
        <f t="shared" si="2"/>
        <v>3.55</v>
      </c>
      <c r="H3975" s="16">
        <v>0.0</v>
      </c>
      <c r="I3975" s="15">
        <f t="shared" si="3"/>
        <v>2.94</v>
      </c>
      <c r="J3975" s="15">
        <v>15.8</v>
      </c>
      <c r="K3975" s="16">
        <f>IF(COUNTIFS(Release_Calendar!$A$2:$A$755,"US_CPI",Release_Calendar!$B$2:$B$755,$A3975)&gt;0,1,0)</f>
        <v>0</v>
      </c>
      <c r="L3975" s="16">
        <f>IF(COUNTIFS(Release_Calendar!$A$2:$A$755,"US_NFP",Release_Calendar!$B$2:$B$755,$A3975)&gt;0,1,0)</f>
        <v>0</v>
      </c>
      <c r="M3975" s="16" t="str">
        <f>IF($A3975&lt;Notes!$B$5,"",IF(COUNTIFS(Release_Calendar!$A$2:$A$755,"NZ_CPI",Release_Calendar!$B$2:$B$755,$A3975)&gt;0,1,0))</f>
        <v/>
      </c>
      <c r="N3975" s="16" t="str">
        <f>IF($A3975&lt;Notes!$B$5,"",IF(COUNTIFS(Release_Calendar!$A$2:$A$755,"NZ_GDP",Release_Calendar!$B$2:$B$755,$A3975)&gt;0,1,0))</f>
        <v/>
      </c>
      <c r="O3975" s="16" t="str">
        <f>IF($A3975&lt;Notes!$B$5,"",IF(COUNTIFS(Release_Calendar!$A$2:$A$755,"NZ_LABOUR",Release_Calendar!$B$2:$B$755,$A3975)&gt;0,1,0))</f>
        <v/>
      </c>
      <c r="P3975" s="16">
        <f t="shared" si="4"/>
        <v>0</v>
      </c>
    </row>
    <row r="3976" ht="15.75" customHeight="1">
      <c r="A3976" s="14">
        <v>42090.0</v>
      </c>
      <c r="B3976" s="15">
        <v>0.58</v>
      </c>
      <c r="C3976" s="15">
        <v>3.57</v>
      </c>
      <c r="D3976" s="15">
        <v>3.12</v>
      </c>
      <c r="E3976" s="15">
        <v>3.14</v>
      </c>
      <c r="F3976" s="15">
        <f t="shared" si="1"/>
        <v>2.99</v>
      </c>
      <c r="G3976" s="15">
        <f t="shared" si="2"/>
        <v>3.57</v>
      </c>
      <c r="H3976" s="16">
        <v>0.0</v>
      </c>
      <c r="I3976" s="15">
        <f t="shared" si="3"/>
        <v>2.99</v>
      </c>
      <c r="J3976" s="15">
        <v>15.07</v>
      </c>
      <c r="K3976" s="16">
        <f>IF(COUNTIFS(Release_Calendar!$A$2:$A$755,"US_CPI",Release_Calendar!$B$2:$B$755,$A3976)&gt;0,1,0)</f>
        <v>0</v>
      </c>
      <c r="L3976" s="16">
        <f>IF(COUNTIFS(Release_Calendar!$A$2:$A$755,"US_NFP",Release_Calendar!$B$2:$B$755,$A3976)&gt;0,1,0)</f>
        <v>0</v>
      </c>
      <c r="M3976" s="16" t="str">
        <f>IF($A3976&lt;Notes!$B$5,"",IF(COUNTIFS(Release_Calendar!$A$2:$A$755,"NZ_CPI",Release_Calendar!$B$2:$B$755,$A3976)&gt;0,1,0))</f>
        <v/>
      </c>
      <c r="N3976" s="16" t="str">
        <f>IF($A3976&lt;Notes!$B$5,"",IF(COUNTIFS(Release_Calendar!$A$2:$A$755,"NZ_GDP",Release_Calendar!$B$2:$B$755,$A3976)&gt;0,1,0))</f>
        <v/>
      </c>
      <c r="O3976" s="16" t="str">
        <f>IF($A3976&lt;Notes!$B$5,"",IF(COUNTIFS(Release_Calendar!$A$2:$A$755,"NZ_LABOUR",Release_Calendar!$B$2:$B$755,$A3976)&gt;0,1,0))</f>
        <v/>
      </c>
      <c r="P3976" s="16">
        <f t="shared" si="4"/>
        <v>0</v>
      </c>
    </row>
    <row r="3977" ht="15.75" customHeight="1">
      <c r="A3977" s="14">
        <v>42093.0</v>
      </c>
      <c r="B3977" s="15">
        <v>0.58</v>
      </c>
      <c r="C3977" s="15">
        <v>3.56</v>
      </c>
      <c r="D3977" s="15">
        <v>3.11</v>
      </c>
      <c r="E3977" s="15">
        <v>3.12</v>
      </c>
      <c r="F3977" s="15">
        <f t="shared" si="1"/>
        <v>2.98</v>
      </c>
      <c r="G3977" s="15">
        <f t="shared" si="2"/>
        <v>3.56</v>
      </c>
      <c r="H3977" s="16">
        <v>0.0</v>
      </c>
      <c r="I3977" s="15">
        <f t="shared" si="3"/>
        <v>2.98</v>
      </c>
      <c r="J3977" s="15">
        <v>14.51</v>
      </c>
      <c r="K3977" s="16">
        <f>IF(COUNTIFS(Release_Calendar!$A$2:$A$755,"US_CPI",Release_Calendar!$B$2:$B$755,$A3977)&gt;0,1,0)</f>
        <v>0</v>
      </c>
      <c r="L3977" s="16">
        <f>IF(COUNTIFS(Release_Calendar!$A$2:$A$755,"US_NFP",Release_Calendar!$B$2:$B$755,$A3977)&gt;0,1,0)</f>
        <v>0</v>
      </c>
      <c r="M3977" s="16" t="str">
        <f>IF($A3977&lt;Notes!$B$5,"",IF(COUNTIFS(Release_Calendar!$A$2:$A$755,"NZ_CPI",Release_Calendar!$B$2:$B$755,$A3977)&gt;0,1,0))</f>
        <v/>
      </c>
      <c r="N3977" s="16" t="str">
        <f>IF($A3977&lt;Notes!$B$5,"",IF(COUNTIFS(Release_Calendar!$A$2:$A$755,"NZ_GDP",Release_Calendar!$B$2:$B$755,$A3977)&gt;0,1,0))</f>
        <v/>
      </c>
      <c r="O3977" s="16" t="str">
        <f>IF($A3977&lt;Notes!$B$5,"",IF(COUNTIFS(Release_Calendar!$A$2:$A$755,"NZ_LABOUR",Release_Calendar!$B$2:$B$755,$A3977)&gt;0,1,0))</f>
        <v/>
      </c>
      <c r="P3977" s="16">
        <f t="shared" si="4"/>
        <v>0</v>
      </c>
    </row>
    <row r="3978" ht="15.75" customHeight="1">
      <c r="A3978" s="14">
        <v>42094.0</v>
      </c>
      <c r="B3978" s="15">
        <v>0.56</v>
      </c>
      <c r="C3978" s="15">
        <v>3.52</v>
      </c>
      <c r="D3978" s="15">
        <v>3.11</v>
      </c>
      <c r="E3978" s="15">
        <v>3.1</v>
      </c>
      <c r="F3978" s="15">
        <f t="shared" si="1"/>
        <v>2.96</v>
      </c>
      <c r="G3978" s="15">
        <f t="shared" si="2"/>
        <v>3.52</v>
      </c>
      <c r="H3978" s="16">
        <v>0.0</v>
      </c>
      <c r="I3978" s="15">
        <f t="shared" si="3"/>
        <v>2.96</v>
      </c>
      <c r="J3978" s="15">
        <v>15.29</v>
      </c>
      <c r="K3978" s="16">
        <f>IF(COUNTIFS(Release_Calendar!$A$2:$A$755,"US_CPI",Release_Calendar!$B$2:$B$755,$A3978)&gt;0,1,0)</f>
        <v>0</v>
      </c>
      <c r="L3978" s="16">
        <f>IF(COUNTIFS(Release_Calendar!$A$2:$A$755,"US_NFP",Release_Calendar!$B$2:$B$755,$A3978)&gt;0,1,0)</f>
        <v>0</v>
      </c>
      <c r="M3978" s="16" t="str">
        <f>IF($A3978&lt;Notes!$B$5,"",IF(COUNTIFS(Release_Calendar!$A$2:$A$755,"NZ_CPI",Release_Calendar!$B$2:$B$755,$A3978)&gt;0,1,0))</f>
        <v/>
      </c>
      <c r="N3978" s="16" t="str">
        <f>IF($A3978&lt;Notes!$B$5,"",IF(COUNTIFS(Release_Calendar!$A$2:$A$755,"NZ_GDP",Release_Calendar!$B$2:$B$755,$A3978)&gt;0,1,0))</f>
        <v/>
      </c>
      <c r="O3978" s="16" t="str">
        <f>IF($A3978&lt;Notes!$B$5,"",IF(COUNTIFS(Release_Calendar!$A$2:$A$755,"NZ_LABOUR",Release_Calendar!$B$2:$B$755,$A3978)&gt;0,1,0))</f>
        <v/>
      </c>
      <c r="P3978" s="16">
        <f t="shared" si="4"/>
        <v>0</v>
      </c>
    </row>
    <row r="3979" ht="15.75" customHeight="1">
      <c r="A3979" s="14">
        <v>42095.0</v>
      </c>
      <c r="B3979" s="15">
        <v>0.55</v>
      </c>
      <c r="C3979" s="15">
        <v>3.51</v>
      </c>
      <c r="D3979" s="15">
        <v>3.08</v>
      </c>
      <c r="E3979" s="15">
        <v>3.09</v>
      </c>
      <c r="F3979" s="15">
        <f t="shared" si="1"/>
        <v>2.96</v>
      </c>
      <c r="G3979" s="15">
        <f t="shared" si="2"/>
        <v>3.51</v>
      </c>
      <c r="H3979" s="16">
        <v>0.0</v>
      </c>
      <c r="I3979" s="15">
        <f t="shared" si="3"/>
        <v>2.96</v>
      </c>
      <c r="J3979" s="15">
        <v>15.11</v>
      </c>
      <c r="K3979" s="16">
        <f>IF(COUNTIFS(Release_Calendar!$A$2:$A$755,"US_CPI",Release_Calendar!$B$2:$B$755,$A3979)&gt;0,1,0)</f>
        <v>0</v>
      </c>
      <c r="L3979" s="16">
        <f>IF(COUNTIFS(Release_Calendar!$A$2:$A$755,"US_NFP",Release_Calendar!$B$2:$B$755,$A3979)&gt;0,1,0)</f>
        <v>0</v>
      </c>
      <c r="M3979" s="16" t="str">
        <f>IF($A3979&lt;Notes!$B$5,"",IF(COUNTIFS(Release_Calendar!$A$2:$A$755,"NZ_CPI",Release_Calendar!$B$2:$B$755,$A3979)&gt;0,1,0))</f>
        <v/>
      </c>
      <c r="N3979" s="16" t="str">
        <f>IF($A3979&lt;Notes!$B$5,"",IF(COUNTIFS(Release_Calendar!$A$2:$A$755,"NZ_GDP",Release_Calendar!$B$2:$B$755,$A3979)&gt;0,1,0))</f>
        <v/>
      </c>
      <c r="O3979" s="16" t="str">
        <f>IF($A3979&lt;Notes!$B$5,"",IF(COUNTIFS(Release_Calendar!$A$2:$A$755,"NZ_LABOUR",Release_Calendar!$B$2:$B$755,$A3979)&gt;0,1,0))</f>
        <v/>
      </c>
      <c r="P3979" s="16">
        <f t="shared" si="4"/>
        <v>0</v>
      </c>
    </row>
    <row r="3980" ht="15.75" customHeight="1">
      <c r="A3980" s="14">
        <v>42096.0</v>
      </c>
      <c r="B3980" s="15">
        <v>0.55</v>
      </c>
      <c r="C3980" s="15">
        <v>3.49</v>
      </c>
      <c r="D3980" s="15">
        <v>3.04</v>
      </c>
      <c r="E3980" s="15">
        <v>3.06</v>
      </c>
      <c r="F3980" s="15">
        <f t="shared" si="1"/>
        <v>2.94</v>
      </c>
      <c r="G3980" s="15">
        <f t="shared" si="2"/>
        <v>3.49</v>
      </c>
      <c r="H3980" s="16">
        <v>0.0</v>
      </c>
      <c r="I3980" s="15">
        <f t="shared" si="3"/>
        <v>2.94</v>
      </c>
      <c r="J3980" s="15">
        <v>14.67</v>
      </c>
      <c r="K3980" s="16">
        <f>IF(COUNTIFS(Release_Calendar!$A$2:$A$755,"US_CPI",Release_Calendar!$B$2:$B$755,$A3980)&gt;0,1,0)</f>
        <v>0</v>
      </c>
      <c r="L3980" s="16">
        <f>IF(COUNTIFS(Release_Calendar!$A$2:$A$755,"US_NFP",Release_Calendar!$B$2:$B$755,$A3980)&gt;0,1,0)</f>
        <v>0</v>
      </c>
      <c r="M3980" s="16" t="str">
        <f>IF($A3980&lt;Notes!$B$5,"",IF(COUNTIFS(Release_Calendar!$A$2:$A$755,"NZ_CPI",Release_Calendar!$B$2:$B$755,$A3980)&gt;0,1,0))</f>
        <v/>
      </c>
      <c r="N3980" s="16" t="str">
        <f>IF($A3980&lt;Notes!$B$5,"",IF(COUNTIFS(Release_Calendar!$A$2:$A$755,"NZ_GDP",Release_Calendar!$B$2:$B$755,$A3980)&gt;0,1,0))</f>
        <v/>
      </c>
      <c r="O3980" s="16" t="str">
        <f>IF($A3980&lt;Notes!$B$5,"",IF(COUNTIFS(Release_Calendar!$A$2:$A$755,"NZ_LABOUR",Release_Calendar!$B$2:$B$755,$A3980)&gt;0,1,0))</f>
        <v/>
      </c>
      <c r="P3980" s="16">
        <f t="shared" si="4"/>
        <v>0</v>
      </c>
    </row>
    <row r="3981" ht="15.75" customHeight="1">
      <c r="A3981" s="14">
        <v>42097.0</v>
      </c>
      <c r="B3981" s="15">
        <v>0.49</v>
      </c>
      <c r="C3981" s="15"/>
      <c r="D3981" s="15"/>
      <c r="E3981" s="15"/>
      <c r="F3981" s="15" t="str">
        <f t="shared" si="1"/>
        <v/>
      </c>
      <c r="G3981" s="15" t="str">
        <f t="shared" si="2"/>
        <v/>
      </c>
      <c r="H3981" s="16">
        <v>0.0</v>
      </c>
      <c r="I3981" s="15" t="str">
        <f t="shared" si="3"/>
        <v/>
      </c>
      <c r="J3981" s="15"/>
      <c r="K3981" s="16">
        <f>IF(COUNTIFS(Release_Calendar!$A$2:$A$755,"US_CPI",Release_Calendar!$B$2:$B$755,$A3981)&gt;0,1,0)</f>
        <v>0</v>
      </c>
      <c r="L3981" s="16">
        <f>IF(COUNTIFS(Release_Calendar!$A$2:$A$755,"US_NFP",Release_Calendar!$B$2:$B$755,$A3981)&gt;0,1,0)</f>
        <v>1</v>
      </c>
      <c r="M3981" s="16" t="str">
        <f>IF($A3981&lt;Notes!$B$5,"",IF(COUNTIFS(Release_Calendar!$A$2:$A$755,"NZ_CPI",Release_Calendar!$B$2:$B$755,$A3981)&gt;0,1,0))</f>
        <v/>
      </c>
      <c r="N3981" s="16" t="str">
        <f>IF($A3981&lt;Notes!$B$5,"",IF(COUNTIFS(Release_Calendar!$A$2:$A$755,"NZ_GDP",Release_Calendar!$B$2:$B$755,$A3981)&gt;0,1,0))</f>
        <v/>
      </c>
      <c r="O3981" s="16" t="str">
        <f>IF($A3981&lt;Notes!$B$5,"",IF(COUNTIFS(Release_Calendar!$A$2:$A$755,"NZ_LABOUR",Release_Calendar!$B$2:$B$755,$A3981)&gt;0,1,0))</f>
        <v/>
      </c>
      <c r="P3981" s="16">
        <f t="shared" si="4"/>
        <v>1</v>
      </c>
    </row>
    <row r="3982" ht="15.75" customHeight="1">
      <c r="A3982" s="14">
        <v>42100.0</v>
      </c>
      <c r="B3982" s="15">
        <v>0.51</v>
      </c>
      <c r="C3982" s="15"/>
      <c r="D3982" s="15"/>
      <c r="E3982" s="15"/>
      <c r="F3982" s="15" t="str">
        <f t="shared" si="1"/>
        <v/>
      </c>
      <c r="G3982" s="15" t="str">
        <f t="shared" si="2"/>
        <v/>
      </c>
      <c r="H3982" s="16">
        <v>0.0</v>
      </c>
      <c r="I3982" s="15" t="str">
        <f t="shared" si="3"/>
        <v/>
      </c>
      <c r="J3982" s="15">
        <v>14.74</v>
      </c>
      <c r="K3982" s="16">
        <f>IF(COUNTIFS(Release_Calendar!$A$2:$A$755,"US_CPI",Release_Calendar!$B$2:$B$755,$A3982)&gt;0,1,0)</f>
        <v>0</v>
      </c>
      <c r="L3982" s="16">
        <f>IF(COUNTIFS(Release_Calendar!$A$2:$A$755,"US_NFP",Release_Calendar!$B$2:$B$755,$A3982)&gt;0,1,0)</f>
        <v>0</v>
      </c>
      <c r="M3982" s="16" t="str">
        <f>IF($A3982&lt;Notes!$B$5,"",IF(COUNTIFS(Release_Calendar!$A$2:$A$755,"NZ_CPI",Release_Calendar!$B$2:$B$755,$A3982)&gt;0,1,0))</f>
        <v/>
      </c>
      <c r="N3982" s="16" t="str">
        <f>IF($A3982&lt;Notes!$B$5,"",IF(COUNTIFS(Release_Calendar!$A$2:$A$755,"NZ_GDP",Release_Calendar!$B$2:$B$755,$A3982)&gt;0,1,0))</f>
        <v/>
      </c>
      <c r="O3982" s="16" t="str">
        <f>IF($A3982&lt;Notes!$B$5,"",IF(COUNTIFS(Release_Calendar!$A$2:$A$755,"NZ_LABOUR",Release_Calendar!$B$2:$B$755,$A3982)&gt;0,1,0))</f>
        <v/>
      </c>
      <c r="P3982" s="16">
        <f t="shared" si="4"/>
        <v>0</v>
      </c>
    </row>
    <row r="3983" ht="15.75" customHeight="1">
      <c r="A3983" s="14">
        <v>42101.0</v>
      </c>
      <c r="B3983" s="15">
        <v>0.52</v>
      </c>
      <c r="C3983" s="15">
        <v>3.46</v>
      </c>
      <c r="D3983" s="15">
        <v>3.05</v>
      </c>
      <c r="E3983" s="15">
        <v>3.03</v>
      </c>
      <c r="F3983" s="15">
        <f t="shared" si="1"/>
        <v>2.94</v>
      </c>
      <c r="G3983" s="15">
        <f t="shared" si="2"/>
        <v>3.46</v>
      </c>
      <c r="H3983" s="16">
        <v>0.0</v>
      </c>
      <c r="I3983" s="15">
        <f t="shared" si="3"/>
        <v>2.94</v>
      </c>
      <c r="J3983" s="15">
        <v>14.78</v>
      </c>
      <c r="K3983" s="16">
        <f>IF(COUNTIFS(Release_Calendar!$A$2:$A$755,"US_CPI",Release_Calendar!$B$2:$B$755,$A3983)&gt;0,1,0)</f>
        <v>0</v>
      </c>
      <c r="L3983" s="16">
        <f>IF(COUNTIFS(Release_Calendar!$A$2:$A$755,"US_NFP",Release_Calendar!$B$2:$B$755,$A3983)&gt;0,1,0)</f>
        <v>0</v>
      </c>
      <c r="M3983" s="16" t="str">
        <f>IF($A3983&lt;Notes!$B$5,"",IF(COUNTIFS(Release_Calendar!$A$2:$A$755,"NZ_CPI",Release_Calendar!$B$2:$B$755,$A3983)&gt;0,1,0))</f>
        <v/>
      </c>
      <c r="N3983" s="16" t="str">
        <f>IF($A3983&lt;Notes!$B$5,"",IF(COUNTIFS(Release_Calendar!$A$2:$A$755,"NZ_GDP",Release_Calendar!$B$2:$B$755,$A3983)&gt;0,1,0))</f>
        <v/>
      </c>
      <c r="O3983" s="16" t="str">
        <f>IF($A3983&lt;Notes!$B$5,"",IF(COUNTIFS(Release_Calendar!$A$2:$A$755,"NZ_LABOUR",Release_Calendar!$B$2:$B$755,$A3983)&gt;0,1,0))</f>
        <v/>
      </c>
      <c r="P3983" s="16">
        <f t="shared" si="4"/>
        <v>0</v>
      </c>
    </row>
    <row r="3984" ht="15.75" customHeight="1">
      <c r="A3984" s="14">
        <v>42102.0</v>
      </c>
      <c r="B3984" s="15">
        <v>0.54</v>
      </c>
      <c r="C3984" s="15">
        <v>3.49</v>
      </c>
      <c r="D3984" s="15">
        <v>3.06</v>
      </c>
      <c r="E3984" s="15">
        <v>3.08</v>
      </c>
      <c r="F3984" s="15">
        <f t="shared" si="1"/>
        <v>2.95</v>
      </c>
      <c r="G3984" s="15">
        <f t="shared" si="2"/>
        <v>3.49</v>
      </c>
      <c r="H3984" s="16">
        <v>0.0</v>
      </c>
      <c r="I3984" s="15">
        <f t="shared" si="3"/>
        <v>2.95</v>
      </c>
      <c r="J3984" s="15">
        <v>13.98</v>
      </c>
      <c r="K3984" s="16">
        <f>IF(COUNTIFS(Release_Calendar!$A$2:$A$755,"US_CPI",Release_Calendar!$B$2:$B$755,$A3984)&gt;0,1,0)</f>
        <v>0</v>
      </c>
      <c r="L3984" s="16">
        <f>IF(COUNTIFS(Release_Calendar!$A$2:$A$755,"US_NFP",Release_Calendar!$B$2:$B$755,$A3984)&gt;0,1,0)</f>
        <v>0</v>
      </c>
      <c r="M3984" s="16" t="str">
        <f>IF($A3984&lt;Notes!$B$5,"",IF(COUNTIFS(Release_Calendar!$A$2:$A$755,"NZ_CPI",Release_Calendar!$B$2:$B$755,$A3984)&gt;0,1,0))</f>
        <v/>
      </c>
      <c r="N3984" s="16" t="str">
        <f>IF($A3984&lt;Notes!$B$5,"",IF(COUNTIFS(Release_Calendar!$A$2:$A$755,"NZ_GDP",Release_Calendar!$B$2:$B$755,$A3984)&gt;0,1,0))</f>
        <v/>
      </c>
      <c r="O3984" s="16" t="str">
        <f>IF($A3984&lt;Notes!$B$5,"",IF(COUNTIFS(Release_Calendar!$A$2:$A$755,"NZ_LABOUR",Release_Calendar!$B$2:$B$755,$A3984)&gt;0,1,0))</f>
        <v/>
      </c>
      <c r="P3984" s="16">
        <f t="shared" si="4"/>
        <v>0</v>
      </c>
    </row>
    <row r="3985" ht="15.75" customHeight="1">
      <c r="A3985" s="14">
        <v>42103.0</v>
      </c>
      <c r="B3985" s="15">
        <v>0.56</v>
      </c>
      <c r="C3985" s="15">
        <v>3.5</v>
      </c>
      <c r="D3985" s="15">
        <v>3.08</v>
      </c>
      <c r="E3985" s="15">
        <v>3.08</v>
      </c>
      <c r="F3985" s="15">
        <f t="shared" si="1"/>
        <v>2.94</v>
      </c>
      <c r="G3985" s="15">
        <f t="shared" si="2"/>
        <v>3.5</v>
      </c>
      <c r="H3985" s="16">
        <v>0.0</v>
      </c>
      <c r="I3985" s="15">
        <f t="shared" si="3"/>
        <v>2.94</v>
      </c>
      <c r="J3985" s="15">
        <v>13.09</v>
      </c>
      <c r="K3985" s="16">
        <f>IF(COUNTIFS(Release_Calendar!$A$2:$A$755,"US_CPI",Release_Calendar!$B$2:$B$755,$A3985)&gt;0,1,0)</f>
        <v>0</v>
      </c>
      <c r="L3985" s="16">
        <f>IF(COUNTIFS(Release_Calendar!$A$2:$A$755,"US_NFP",Release_Calendar!$B$2:$B$755,$A3985)&gt;0,1,0)</f>
        <v>0</v>
      </c>
      <c r="M3985" s="16" t="str">
        <f>IF($A3985&lt;Notes!$B$5,"",IF(COUNTIFS(Release_Calendar!$A$2:$A$755,"NZ_CPI",Release_Calendar!$B$2:$B$755,$A3985)&gt;0,1,0))</f>
        <v/>
      </c>
      <c r="N3985" s="16" t="str">
        <f>IF($A3985&lt;Notes!$B$5,"",IF(COUNTIFS(Release_Calendar!$A$2:$A$755,"NZ_GDP",Release_Calendar!$B$2:$B$755,$A3985)&gt;0,1,0))</f>
        <v/>
      </c>
      <c r="O3985" s="16" t="str">
        <f>IF($A3985&lt;Notes!$B$5,"",IF(COUNTIFS(Release_Calendar!$A$2:$A$755,"NZ_LABOUR",Release_Calendar!$B$2:$B$755,$A3985)&gt;0,1,0))</f>
        <v/>
      </c>
      <c r="P3985" s="16">
        <f t="shared" si="4"/>
        <v>0</v>
      </c>
    </row>
    <row r="3986" ht="15.75" customHeight="1">
      <c r="A3986" s="14">
        <v>42104.0</v>
      </c>
      <c r="B3986" s="15">
        <v>0.57</v>
      </c>
      <c r="C3986" s="15">
        <v>3.51</v>
      </c>
      <c r="D3986" s="15">
        <v>3.1</v>
      </c>
      <c r="E3986" s="15">
        <v>3.08</v>
      </c>
      <c r="F3986" s="15">
        <f t="shared" si="1"/>
        <v>2.94</v>
      </c>
      <c r="G3986" s="15">
        <f t="shared" si="2"/>
        <v>3.51</v>
      </c>
      <c r="H3986" s="16">
        <v>0.0</v>
      </c>
      <c r="I3986" s="15">
        <f t="shared" si="3"/>
        <v>2.94</v>
      </c>
      <c r="J3986" s="15">
        <v>12.58</v>
      </c>
      <c r="K3986" s="16">
        <f>IF(COUNTIFS(Release_Calendar!$A$2:$A$755,"US_CPI",Release_Calendar!$B$2:$B$755,$A3986)&gt;0,1,0)</f>
        <v>0</v>
      </c>
      <c r="L3986" s="16">
        <f>IF(COUNTIFS(Release_Calendar!$A$2:$A$755,"US_NFP",Release_Calendar!$B$2:$B$755,$A3986)&gt;0,1,0)</f>
        <v>0</v>
      </c>
      <c r="M3986" s="16" t="str">
        <f>IF($A3986&lt;Notes!$B$5,"",IF(COUNTIFS(Release_Calendar!$A$2:$A$755,"NZ_CPI",Release_Calendar!$B$2:$B$755,$A3986)&gt;0,1,0))</f>
        <v/>
      </c>
      <c r="N3986" s="16" t="str">
        <f>IF($A3986&lt;Notes!$B$5,"",IF(COUNTIFS(Release_Calendar!$A$2:$A$755,"NZ_GDP",Release_Calendar!$B$2:$B$755,$A3986)&gt;0,1,0))</f>
        <v/>
      </c>
      <c r="O3986" s="16" t="str">
        <f>IF($A3986&lt;Notes!$B$5,"",IF(COUNTIFS(Release_Calendar!$A$2:$A$755,"NZ_LABOUR",Release_Calendar!$B$2:$B$755,$A3986)&gt;0,1,0))</f>
        <v/>
      </c>
      <c r="P3986" s="16">
        <f t="shared" si="4"/>
        <v>0</v>
      </c>
    </row>
    <row r="3987" ht="15.75" customHeight="1">
      <c r="A3987" s="14">
        <v>42107.0</v>
      </c>
      <c r="B3987" s="15">
        <v>0.54</v>
      </c>
      <c r="C3987" s="15">
        <v>3.49</v>
      </c>
      <c r="D3987" s="15">
        <v>3.08</v>
      </c>
      <c r="E3987" s="15">
        <v>3.06</v>
      </c>
      <c r="F3987" s="15">
        <f t="shared" si="1"/>
        <v>2.95</v>
      </c>
      <c r="G3987" s="15">
        <f t="shared" si="2"/>
        <v>3.49</v>
      </c>
      <c r="H3987" s="16">
        <v>0.0</v>
      </c>
      <c r="I3987" s="15">
        <f t="shared" si="3"/>
        <v>2.95</v>
      </c>
      <c r="J3987" s="15">
        <v>13.94</v>
      </c>
      <c r="K3987" s="16">
        <f>IF(COUNTIFS(Release_Calendar!$A$2:$A$755,"US_CPI",Release_Calendar!$B$2:$B$755,$A3987)&gt;0,1,0)</f>
        <v>0</v>
      </c>
      <c r="L3987" s="16">
        <f>IF(COUNTIFS(Release_Calendar!$A$2:$A$755,"US_NFP",Release_Calendar!$B$2:$B$755,$A3987)&gt;0,1,0)</f>
        <v>0</v>
      </c>
      <c r="M3987" s="16" t="str">
        <f>IF($A3987&lt;Notes!$B$5,"",IF(COUNTIFS(Release_Calendar!$A$2:$A$755,"NZ_CPI",Release_Calendar!$B$2:$B$755,$A3987)&gt;0,1,0))</f>
        <v/>
      </c>
      <c r="N3987" s="16" t="str">
        <f>IF($A3987&lt;Notes!$B$5,"",IF(COUNTIFS(Release_Calendar!$A$2:$A$755,"NZ_GDP",Release_Calendar!$B$2:$B$755,$A3987)&gt;0,1,0))</f>
        <v/>
      </c>
      <c r="O3987" s="16" t="str">
        <f>IF($A3987&lt;Notes!$B$5,"",IF(COUNTIFS(Release_Calendar!$A$2:$A$755,"NZ_LABOUR",Release_Calendar!$B$2:$B$755,$A3987)&gt;0,1,0))</f>
        <v/>
      </c>
      <c r="P3987" s="16">
        <f t="shared" si="4"/>
        <v>0</v>
      </c>
    </row>
    <row r="3988" ht="15.75" customHeight="1">
      <c r="A3988" s="14">
        <v>42108.0</v>
      </c>
      <c r="B3988" s="15">
        <v>0.53</v>
      </c>
      <c r="C3988" s="15">
        <v>3.48</v>
      </c>
      <c r="D3988" s="15">
        <v>3.05</v>
      </c>
      <c r="E3988" s="15">
        <v>3.05</v>
      </c>
      <c r="F3988" s="15">
        <f t="shared" si="1"/>
        <v>2.95</v>
      </c>
      <c r="G3988" s="15">
        <f t="shared" si="2"/>
        <v>3.48</v>
      </c>
      <c r="H3988" s="16">
        <v>0.0</v>
      </c>
      <c r="I3988" s="15">
        <f t="shared" si="3"/>
        <v>2.95</v>
      </c>
      <c r="J3988" s="15">
        <v>13.67</v>
      </c>
      <c r="K3988" s="16">
        <f>IF(COUNTIFS(Release_Calendar!$A$2:$A$755,"US_CPI",Release_Calendar!$B$2:$B$755,$A3988)&gt;0,1,0)</f>
        <v>0</v>
      </c>
      <c r="L3988" s="16">
        <f>IF(COUNTIFS(Release_Calendar!$A$2:$A$755,"US_NFP",Release_Calendar!$B$2:$B$755,$A3988)&gt;0,1,0)</f>
        <v>0</v>
      </c>
      <c r="M3988" s="16" t="str">
        <f>IF($A3988&lt;Notes!$B$5,"",IF(COUNTIFS(Release_Calendar!$A$2:$A$755,"NZ_CPI",Release_Calendar!$B$2:$B$755,$A3988)&gt;0,1,0))</f>
        <v/>
      </c>
      <c r="N3988" s="16" t="str">
        <f>IF($A3988&lt;Notes!$B$5,"",IF(COUNTIFS(Release_Calendar!$A$2:$A$755,"NZ_GDP",Release_Calendar!$B$2:$B$755,$A3988)&gt;0,1,0))</f>
        <v/>
      </c>
      <c r="O3988" s="16" t="str">
        <f>IF($A3988&lt;Notes!$B$5,"",IF(COUNTIFS(Release_Calendar!$A$2:$A$755,"NZ_LABOUR",Release_Calendar!$B$2:$B$755,$A3988)&gt;0,1,0))</f>
        <v/>
      </c>
      <c r="P3988" s="16">
        <f t="shared" si="4"/>
        <v>0</v>
      </c>
    </row>
    <row r="3989" ht="15.75" customHeight="1">
      <c r="A3989" s="14">
        <v>42109.0</v>
      </c>
      <c r="B3989" s="15">
        <v>0.51</v>
      </c>
      <c r="C3989" s="15">
        <v>3.49</v>
      </c>
      <c r="D3989" s="15">
        <v>3.07</v>
      </c>
      <c r="E3989" s="15">
        <v>3.08</v>
      </c>
      <c r="F3989" s="15">
        <f t="shared" si="1"/>
        <v>2.98</v>
      </c>
      <c r="G3989" s="15">
        <f t="shared" si="2"/>
        <v>3.49</v>
      </c>
      <c r="H3989" s="16">
        <v>0.0</v>
      </c>
      <c r="I3989" s="15">
        <f t="shared" si="3"/>
        <v>2.98</v>
      </c>
      <c r="J3989" s="15">
        <v>12.84</v>
      </c>
      <c r="K3989" s="16">
        <f>IF(COUNTIFS(Release_Calendar!$A$2:$A$755,"US_CPI",Release_Calendar!$B$2:$B$755,$A3989)&gt;0,1,0)</f>
        <v>0</v>
      </c>
      <c r="L3989" s="16">
        <f>IF(COUNTIFS(Release_Calendar!$A$2:$A$755,"US_NFP",Release_Calendar!$B$2:$B$755,$A3989)&gt;0,1,0)</f>
        <v>0</v>
      </c>
      <c r="M3989" s="16" t="str">
        <f>IF($A3989&lt;Notes!$B$5,"",IF(COUNTIFS(Release_Calendar!$A$2:$A$755,"NZ_CPI",Release_Calendar!$B$2:$B$755,$A3989)&gt;0,1,0))</f>
        <v/>
      </c>
      <c r="N3989" s="16" t="str">
        <f>IF($A3989&lt;Notes!$B$5,"",IF(COUNTIFS(Release_Calendar!$A$2:$A$755,"NZ_GDP",Release_Calendar!$B$2:$B$755,$A3989)&gt;0,1,0))</f>
        <v/>
      </c>
      <c r="O3989" s="16" t="str">
        <f>IF($A3989&lt;Notes!$B$5,"",IF(COUNTIFS(Release_Calendar!$A$2:$A$755,"NZ_LABOUR",Release_Calendar!$B$2:$B$755,$A3989)&gt;0,1,0))</f>
        <v/>
      </c>
      <c r="P3989" s="16">
        <f t="shared" si="4"/>
        <v>0</v>
      </c>
    </row>
    <row r="3990" ht="15.75" customHeight="1">
      <c r="A3990" s="14">
        <v>42110.0</v>
      </c>
      <c r="B3990" s="15">
        <v>0.5</v>
      </c>
      <c r="C3990" s="15">
        <v>3.53</v>
      </c>
      <c r="D3990" s="15">
        <v>3.14</v>
      </c>
      <c r="E3990" s="15">
        <v>3.17</v>
      </c>
      <c r="F3990" s="15">
        <f t="shared" si="1"/>
        <v>3.03</v>
      </c>
      <c r="G3990" s="15">
        <f t="shared" si="2"/>
        <v>3.53</v>
      </c>
      <c r="H3990" s="16">
        <v>0.0</v>
      </c>
      <c r="I3990" s="15">
        <f t="shared" si="3"/>
        <v>3.03</v>
      </c>
      <c r="J3990" s="15">
        <v>12.6</v>
      </c>
      <c r="K3990" s="16">
        <f>IF(COUNTIFS(Release_Calendar!$A$2:$A$755,"US_CPI",Release_Calendar!$B$2:$B$755,$A3990)&gt;0,1,0)</f>
        <v>0</v>
      </c>
      <c r="L3990" s="16">
        <f>IF(COUNTIFS(Release_Calendar!$A$2:$A$755,"US_NFP",Release_Calendar!$B$2:$B$755,$A3990)&gt;0,1,0)</f>
        <v>0</v>
      </c>
      <c r="M3990" s="16" t="str">
        <f>IF($A3990&lt;Notes!$B$5,"",IF(COUNTIFS(Release_Calendar!$A$2:$A$755,"NZ_CPI",Release_Calendar!$B$2:$B$755,$A3990)&gt;0,1,0))</f>
        <v/>
      </c>
      <c r="N3990" s="16" t="str">
        <f>IF($A3990&lt;Notes!$B$5,"",IF(COUNTIFS(Release_Calendar!$A$2:$A$755,"NZ_GDP",Release_Calendar!$B$2:$B$755,$A3990)&gt;0,1,0))</f>
        <v/>
      </c>
      <c r="O3990" s="16" t="str">
        <f>IF($A3990&lt;Notes!$B$5,"",IF(COUNTIFS(Release_Calendar!$A$2:$A$755,"NZ_LABOUR",Release_Calendar!$B$2:$B$755,$A3990)&gt;0,1,0))</f>
        <v/>
      </c>
      <c r="P3990" s="16">
        <f t="shared" si="4"/>
        <v>0</v>
      </c>
    </row>
    <row r="3991" ht="15.75" customHeight="1">
      <c r="A3991" s="14">
        <v>42111.0</v>
      </c>
      <c r="B3991" s="15">
        <v>0.51</v>
      </c>
      <c r="C3991" s="15">
        <v>3.52</v>
      </c>
      <c r="D3991" s="15">
        <v>3.15</v>
      </c>
      <c r="E3991" s="15">
        <v>3.16</v>
      </c>
      <c r="F3991" s="15">
        <f t="shared" si="1"/>
        <v>3.01</v>
      </c>
      <c r="G3991" s="15">
        <f t="shared" si="2"/>
        <v>3.52</v>
      </c>
      <c r="H3991" s="16">
        <v>0.0</v>
      </c>
      <c r="I3991" s="15">
        <f t="shared" si="3"/>
        <v>3.01</v>
      </c>
      <c r="J3991" s="15">
        <v>13.89</v>
      </c>
      <c r="K3991" s="16">
        <f>IF(COUNTIFS(Release_Calendar!$A$2:$A$755,"US_CPI",Release_Calendar!$B$2:$B$755,$A3991)&gt;0,1,0)</f>
        <v>1</v>
      </c>
      <c r="L3991" s="16">
        <f>IF(COUNTIFS(Release_Calendar!$A$2:$A$755,"US_NFP",Release_Calendar!$B$2:$B$755,$A3991)&gt;0,1,0)</f>
        <v>0</v>
      </c>
      <c r="M3991" s="16" t="str">
        <f>IF($A3991&lt;Notes!$B$5,"",IF(COUNTIFS(Release_Calendar!$A$2:$A$755,"NZ_CPI",Release_Calendar!$B$2:$B$755,$A3991)&gt;0,1,0))</f>
        <v/>
      </c>
      <c r="N3991" s="16" t="str">
        <f>IF($A3991&lt;Notes!$B$5,"",IF(COUNTIFS(Release_Calendar!$A$2:$A$755,"NZ_GDP",Release_Calendar!$B$2:$B$755,$A3991)&gt;0,1,0))</f>
        <v/>
      </c>
      <c r="O3991" s="16" t="str">
        <f>IF($A3991&lt;Notes!$B$5,"",IF(COUNTIFS(Release_Calendar!$A$2:$A$755,"NZ_LABOUR",Release_Calendar!$B$2:$B$755,$A3991)&gt;0,1,0))</f>
        <v/>
      </c>
      <c r="P3991" s="16">
        <f t="shared" si="4"/>
        <v>1</v>
      </c>
    </row>
    <row r="3992" ht="15.75" customHeight="1">
      <c r="A3992" s="14">
        <v>42114.0</v>
      </c>
      <c r="B3992" s="15">
        <v>0.55</v>
      </c>
      <c r="C3992" s="15">
        <v>3.55</v>
      </c>
      <c r="D3992" s="15">
        <v>3.16</v>
      </c>
      <c r="E3992" s="15">
        <v>3.18</v>
      </c>
      <c r="F3992" s="15">
        <f t="shared" si="1"/>
        <v>3</v>
      </c>
      <c r="G3992" s="15">
        <f t="shared" si="2"/>
        <v>3.55</v>
      </c>
      <c r="H3992" s="16">
        <v>0.0</v>
      </c>
      <c r="I3992" s="15">
        <f t="shared" si="3"/>
        <v>3</v>
      </c>
      <c r="J3992" s="15">
        <v>13.3</v>
      </c>
      <c r="K3992" s="16">
        <f>IF(COUNTIFS(Release_Calendar!$A$2:$A$755,"US_CPI",Release_Calendar!$B$2:$B$755,$A3992)&gt;0,1,0)</f>
        <v>0</v>
      </c>
      <c r="L3992" s="16">
        <f>IF(COUNTIFS(Release_Calendar!$A$2:$A$755,"US_NFP",Release_Calendar!$B$2:$B$755,$A3992)&gt;0,1,0)</f>
        <v>0</v>
      </c>
      <c r="M3992" s="16" t="str">
        <f>IF($A3992&lt;Notes!$B$5,"",IF(COUNTIFS(Release_Calendar!$A$2:$A$755,"NZ_CPI",Release_Calendar!$B$2:$B$755,$A3992)&gt;0,1,0))</f>
        <v/>
      </c>
      <c r="N3992" s="16" t="str">
        <f>IF($A3992&lt;Notes!$B$5,"",IF(COUNTIFS(Release_Calendar!$A$2:$A$755,"NZ_GDP",Release_Calendar!$B$2:$B$755,$A3992)&gt;0,1,0))</f>
        <v/>
      </c>
      <c r="O3992" s="16" t="str">
        <f>IF($A3992&lt;Notes!$B$5,"",IF(COUNTIFS(Release_Calendar!$A$2:$A$755,"NZ_LABOUR",Release_Calendar!$B$2:$B$755,$A3992)&gt;0,1,0))</f>
        <v/>
      </c>
      <c r="P3992" s="16">
        <f t="shared" si="4"/>
        <v>0</v>
      </c>
    </row>
    <row r="3993" ht="15.75" customHeight="1">
      <c r="A3993" s="14">
        <v>42115.0</v>
      </c>
      <c r="B3993" s="15">
        <v>0.55</v>
      </c>
      <c r="C3993" s="15">
        <v>3.55</v>
      </c>
      <c r="D3993" s="15">
        <v>3.18</v>
      </c>
      <c r="E3993" s="15">
        <v>3.17</v>
      </c>
      <c r="F3993" s="15">
        <f t="shared" si="1"/>
        <v>3</v>
      </c>
      <c r="G3993" s="15">
        <f t="shared" si="2"/>
        <v>3.55</v>
      </c>
      <c r="H3993" s="16">
        <v>0.0</v>
      </c>
      <c r="I3993" s="15">
        <f t="shared" si="3"/>
        <v>3</v>
      </c>
      <c r="J3993" s="15">
        <v>13.25</v>
      </c>
      <c r="K3993" s="16">
        <f>IF(COUNTIFS(Release_Calendar!$A$2:$A$755,"US_CPI",Release_Calendar!$B$2:$B$755,$A3993)&gt;0,1,0)</f>
        <v>0</v>
      </c>
      <c r="L3993" s="16">
        <f>IF(COUNTIFS(Release_Calendar!$A$2:$A$755,"US_NFP",Release_Calendar!$B$2:$B$755,$A3993)&gt;0,1,0)</f>
        <v>0</v>
      </c>
      <c r="M3993" s="16" t="str">
        <f>IF($A3993&lt;Notes!$B$5,"",IF(COUNTIFS(Release_Calendar!$A$2:$A$755,"NZ_CPI",Release_Calendar!$B$2:$B$755,$A3993)&gt;0,1,0))</f>
        <v/>
      </c>
      <c r="N3993" s="16" t="str">
        <f>IF($A3993&lt;Notes!$B$5,"",IF(COUNTIFS(Release_Calendar!$A$2:$A$755,"NZ_GDP",Release_Calendar!$B$2:$B$755,$A3993)&gt;0,1,0))</f>
        <v/>
      </c>
      <c r="O3993" s="16" t="str">
        <f>IF($A3993&lt;Notes!$B$5,"",IF(COUNTIFS(Release_Calendar!$A$2:$A$755,"NZ_LABOUR",Release_Calendar!$B$2:$B$755,$A3993)&gt;0,1,0))</f>
        <v/>
      </c>
      <c r="P3993" s="16">
        <f t="shared" si="4"/>
        <v>0</v>
      </c>
    </row>
    <row r="3994" ht="15.75" customHeight="1">
      <c r="A3994" s="14">
        <v>42116.0</v>
      </c>
      <c r="B3994" s="15">
        <v>0.57</v>
      </c>
      <c r="C3994" s="15">
        <v>3.58</v>
      </c>
      <c r="D3994" s="15">
        <v>3.17</v>
      </c>
      <c r="E3994" s="15">
        <v>3.18</v>
      </c>
      <c r="F3994" s="15">
        <f t="shared" si="1"/>
        <v>3.01</v>
      </c>
      <c r="G3994" s="15">
        <f t="shared" si="2"/>
        <v>3.58</v>
      </c>
      <c r="H3994" s="16">
        <v>0.0</v>
      </c>
      <c r="I3994" s="15">
        <f t="shared" si="3"/>
        <v>3.01</v>
      </c>
      <c r="J3994" s="15">
        <v>12.71</v>
      </c>
      <c r="K3994" s="16">
        <f>IF(COUNTIFS(Release_Calendar!$A$2:$A$755,"US_CPI",Release_Calendar!$B$2:$B$755,$A3994)&gt;0,1,0)</f>
        <v>0</v>
      </c>
      <c r="L3994" s="16">
        <f>IF(COUNTIFS(Release_Calendar!$A$2:$A$755,"US_NFP",Release_Calendar!$B$2:$B$755,$A3994)&gt;0,1,0)</f>
        <v>0</v>
      </c>
      <c r="M3994" s="16" t="str">
        <f>IF($A3994&lt;Notes!$B$5,"",IF(COUNTIFS(Release_Calendar!$A$2:$A$755,"NZ_CPI",Release_Calendar!$B$2:$B$755,$A3994)&gt;0,1,0))</f>
        <v/>
      </c>
      <c r="N3994" s="16" t="str">
        <f>IF($A3994&lt;Notes!$B$5,"",IF(COUNTIFS(Release_Calendar!$A$2:$A$755,"NZ_GDP",Release_Calendar!$B$2:$B$755,$A3994)&gt;0,1,0))</f>
        <v/>
      </c>
      <c r="O3994" s="16" t="str">
        <f>IF($A3994&lt;Notes!$B$5,"",IF(COUNTIFS(Release_Calendar!$A$2:$A$755,"NZ_LABOUR",Release_Calendar!$B$2:$B$755,$A3994)&gt;0,1,0))</f>
        <v/>
      </c>
      <c r="P3994" s="16">
        <f t="shared" si="4"/>
        <v>0</v>
      </c>
    </row>
    <row r="3995" ht="15.75" customHeight="1">
      <c r="A3995" s="14">
        <v>42117.0</v>
      </c>
      <c r="B3995" s="15">
        <v>0.55</v>
      </c>
      <c r="C3995" s="15">
        <v>3.56</v>
      </c>
      <c r="D3995" s="15">
        <v>3.22</v>
      </c>
      <c r="E3995" s="15">
        <v>3.17</v>
      </c>
      <c r="F3995" s="15">
        <f t="shared" si="1"/>
        <v>3.01</v>
      </c>
      <c r="G3995" s="15">
        <f t="shared" si="2"/>
        <v>3.56</v>
      </c>
      <c r="H3995" s="16">
        <v>0.0</v>
      </c>
      <c r="I3995" s="15">
        <f t="shared" si="3"/>
        <v>3.01</v>
      </c>
      <c r="J3995" s="15">
        <v>12.48</v>
      </c>
      <c r="K3995" s="16">
        <f>IF(COUNTIFS(Release_Calendar!$A$2:$A$755,"US_CPI",Release_Calendar!$B$2:$B$755,$A3995)&gt;0,1,0)</f>
        <v>0</v>
      </c>
      <c r="L3995" s="16">
        <f>IF(COUNTIFS(Release_Calendar!$A$2:$A$755,"US_NFP",Release_Calendar!$B$2:$B$755,$A3995)&gt;0,1,0)</f>
        <v>0</v>
      </c>
      <c r="M3995" s="16" t="str">
        <f>IF($A3995&lt;Notes!$B$5,"",IF(COUNTIFS(Release_Calendar!$A$2:$A$755,"NZ_CPI",Release_Calendar!$B$2:$B$755,$A3995)&gt;0,1,0))</f>
        <v/>
      </c>
      <c r="N3995" s="16" t="str">
        <f>IF($A3995&lt;Notes!$B$5,"",IF(COUNTIFS(Release_Calendar!$A$2:$A$755,"NZ_GDP",Release_Calendar!$B$2:$B$755,$A3995)&gt;0,1,0))</f>
        <v/>
      </c>
      <c r="O3995" s="16" t="str">
        <f>IF($A3995&lt;Notes!$B$5,"",IF(COUNTIFS(Release_Calendar!$A$2:$A$755,"NZ_LABOUR",Release_Calendar!$B$2:$B$755,$A3995)&gt;0,1,0))</f>
        <v/>
      </c>
      <c r="P3995" s="16">
        <f t="shared" si="4"/>
        <v>0</v>
      </c>
    </row>
    <row r="3996" ht="15.75" customHeight="1">
      <c r="A3996" s="14">
        <v>42118.0</v>
      </c>
      <c r="B3996" s="15">
        <v>0.54</v>
      </c>
      <c r="C3996" s="15">
        <v>3.53</v>
      </c>
      <c r="D3996" s="15">
        <v>3.14</v>
      </c>
      <c r="E3996" s="15">
        <v>3.17</v>
      </c>
      <c r="F3996" s="15">
        <f t="shared" si="1"/>
        <v>2.99</v>
      </c>
      <c r="G3996" s="15">
        <f t="shared" si="2"/>
        <v>3.53</v>
      </c>
      <c r="H3996" s="16">
        <v>0.0</v>
      </c>
      <c r="I3996" s="15">
        <f t="shared" si="3"/>
        <v>2.99</v>
      </c>
      <c r="J3996" s="15">
        <v>12.29</v>
      </c>
      <c r="K3996" s="16">
        <f>IF(COUNTIFS(Release_Calendar!$A$2:$A$755,"US_CPI",Release_Calendar!$B$2:$B$755,$A3996)&gt;0,1,0)</f>
        <v>0</v>
      </c>
      <c r="L3996" s="16">
        <f>IF(COUNTIFS(Release_Calendar!$A$2:$A$755,"US_NFP",Release_Calendar!$B$2:$B$755,$A3996)&gt;0,1,0)</f>
        <v>0</v>
      </c>
      <c r="M3996" s="16" t="str">
        <f>IF($A3996&lt;Notes!$B$5,"",IF(COUNTIFS(Release_Calendar!$A$2:$A$755,"NZ_CPI",Release_Calendar!$B$2:$B$755,$A3996)&gt;0,1,0))</f>
        <v/>
      </c>
      <c r="N3996" s="16" t="str">
        <f>IF($A3996&lt;Notes!$B$5,"",IF(COUNTIFS(Release_Calendar!$A$2:$A$755,"NZ_GDP",Release_Calendar!$B$2:$B$755,$A3996)&gt;0,1,0))</f>
        <v/>
      </c>
      <c r="O3996" s="16" t="str">
        <f>IF($A3996&lt;Notes!$B$5,"",IF(COUNTIFS(Release_Calendar!$A$2:$A$755,"NZ_LABOUR",Release_Calendar!$B$2:$B$755,$A3996)&gt;0,1,0))</f>
        <v/>
      </c>
      <c r="P3996" s="16">
        <f t="shared" si="4"/>
        <v>0</v>
      </c>
    </row>
    <row r="3997" ht="15.75" customHeight="1">
      <c r="A3997" s="14">
        <v>42121.0</v>
      </c>
      <c r="B3997" s="15">
        <v>0.54</v>
      </c>
      <c r="C3997" s="15"/>
      <c r="D3997" s="15"/>
      <c r="E3997" s="15"/>
      <c r="F3997" s="15" t="str">
        <f t="shared" si="1"/>
        <v/>
      </c>
      <c r="G3997" s="15" t="str">
        <f t="shared" si="2"/>
        <v/>
      </c>
      <c r="H3997" s="16">
        <v>0.0</v>
      </c>
      <c r="I3997" s="15" t="str">
        <f t="shared" si="3"/>
        <v/>
      </c>
      <c r="J3997" s="15">
        <v>13.12</v>
      </c>
      <c r="K3997" s="16">
        <f>IF(COUNTIFS(Release_Calendar!$A$2:$A$755,"US_CPI",Release_Calendar!$B$2:$B$755,$A3997)&gt;0,1,0)</f>
        <v>0</v>
      </c>
      <c r="L3997" s="16">
        <f>IF(COUNTIFS(Release_Calendar!$A$2:$A$755,"US_NFP",Release_Calendar!$B$2:$B$755,$A3997)&gt;0,1,0)</f>
        <v>0</v>
      </c>
      <c r="M3997" s="16" t="str">
        <f>IF($A3997&lt;Notes!$B$5,"",IF(COUNTIFS(Release_Calendar!$A$2:$A$755,"NZ_CPI",Release_Calendar!$B$2:$B$755,$A3997)&gt;0,1,0))</f>
        <v/>
      </c>
      <c r="N3997" s="16" t="str">
        <f>IF($A3997&lt;Notes!$B$5,"",IF(COUNTIFS(Release_Calendar!$A$2:$A$755,"NZ_GDP",Release_Calendar!$B$2:$B$755,$A3997)&gt;0,1,0))</f>
        <v/>
      </c>
      <c r="O3997" s="16" t="str">
        <f>IF($A3997&lt;Notes!$B$5,"",IF(COUNTIFS(Release_Calendar!$A$2:$A$755,"NZ_LABOUR",Release_Calendar!$B$2:$B$755,$A3997)&gt;0,1,0))</f>
        <v/>
      </c>
      <c r="P3997" s="16">
        <f t="shared" si="4"/>
        <v>0</v>
      </c>
    </row>
    <row r="3998" ht="15.75" customHeight="1">
      <c r="A3998" s="14">
        <v>42122.0</v>
      </c>
      <c r="B3998" s="15">
        <v>0.56</v>
      </c>
      <c r="C3998" s="15">
        <v>3.52</v>
      </c>
      <c r="D3998" s="15">
        <v>3.15</v>
      </c>
      <c r="E3998" s="15">
        <v>3.16</v>
      </c>
      <c r="F3998" s="15">
        <f t="shared" si="1"/>
        <v>2.96</v>
      </c>
      <c r="G3998" s="15">
        <f t="shared" si="2"/>
        <v>3.52</v>
      </c>
      <c r="H3998" s="16">
        <v>0.0</v>
      </c>
      <c r="I3998" s="15">
        <f t="shared" si="3"/>
        <v>2.96</v>
      </c>
      <c r="J3998" s="15">
        <v>12.41</v>
      </c>
      <c r="K3998" s="16">
        <f>IF(COUNTIFS(Release_Calendar!$A$2:$A$755,"US_CPI",Release_Calendar!$B$2:$B$755,$A3998)&gt;0,1,0)</f>
        <v>0</v>
      </c>
      <c r="L3998" s="16">
        <f>IF(COUNTIFS(Release_Calendar!$A$2:$A$755,"US_NFP",Release_Calendar!$B$2:$B$755,$A3998)&gt;0,1,0)</f>
        <v>0</v>
      </c>
      <c r="M3998" s="16" t="str">
        <f>IF($A3998&lt;Notes!$B$5,"",IF(COUNTIFS(Release_Calendar!$A$2:$A$755,"NZ_CPI",Release_Calendar!$B$2:$B$755,$A3998)&gt;0,1,0))</f>
        <v/>
      </c>
      <c r="N3998" s="16" t="str">
        <f>IF($A3998&lt;Notes!$B$5,"",IF(COUNTIFS(Release_Calendar!$A$2:$A$755,"NZ_GDP",Release_Calendar!$B$2:$B$755,$A3998)&gt;0,1,0))</f>
        <v/>
      </c>
      <c r="O3998" s="16" t="str">
        <f>IF($A3998&lt;Notes!$B$5,"",IF(COUNTIFS(Release_Calendar!$A$2:$A$755,"NZ_LABOUR",Release_Calendar!$B$2:$B$755,$A3998)&gt;0,1,0))</f>
        <v/>
      </c>
      <c r="P3998" s="16">
        <f t="shared" si="4"/>
        <v>0</v>
      </c>
    </row>
    <row r="3999" ht="15.75" customHeight="1">
      <c r="A3999" s="14">
        <v>42123.0</v>
      </c>
      <c r="B3999" s="15">
        <v>0.56</v>
      </c>
      <c r="C3999" s="15">
        <v>3.51</v>
      </c>
      <c r="D3999" s="15">
        <v>3.17</v>
      </c>
      <c r="E3999" s="15">
        <v>3.16</v>
      </c>
      <c r="F3999" s="15">
        <f t="shared" si="1"/>
        <v>2.95</v>
      </c>
      <c r="G3999" s="15">
        <f t="shared" si="2"/>
        <v>3.51</v>
      </c>
      <c r="H3999" s="16">
        <v>0.0</v>
      </c>
      <c r="I3999" s="15">
        <f t="shared" si="3"/>
        <v>2.95</v>
      </c>
      <c r="J3999" s="15">
        <v>13.39</v>
      </c>
      <c r="K3999" s="16">
        <f>IF(COUNTIFS(Release_Calendar!$A$2:$A$755,"US_CPI",Release_Calendar!$B$2:$B$755,$A3999)&gt;0,1,0)</f>
        <v>0</v>
      </c>
      <c r="L3999" s="16">
        <f>IF(COUNTIFS(Release_Calendar!$A$2:$A$755,"US_NFP",Release_Calendar!$B$2:$B$755,$A3999)&gt;0,1,0)</f>
        <v>0</v>
      </c>
      <c r="M3999" s="16" t="str">
        <f>IF($A3999&lt;Notes!$B$5,"",IF(COUNTIFS(Release_Calendar!$A$2:$A$755,"NZ_CPI",Release_Calendar!$B$2:$B$755,$A3999)&gt;0,1,0))</f>
        <v/>
      </c>
      <c r="N3999" s="16" t="str">
        <f>IF($A3999&lt;Notes!$B$5,"",IF(COUNTIFS(Release_Calendar!$A$2:$A$755,"NZ_GDP",Release_Calendar!$B$2:$B$755,$A3999)&gt;0,1,0))</f>
        <v/>
      </c>
      <c r="O3999" s="16" t="str">
        <f>IF($A3999&lt;Notes!$B$5,"",IF(COUNTIFS(Release_Calendar!$A$2:$A$755,"NZ_LABOUR",Release_Calendar!$B$2:$B$755,$A3999)&gt;0,1,0))</f>
        <v/>
      </c>
      <c r="P3999" s="16">
        <f t="shared" si="4"/>
        <v>0</v>
      </c>
    </row>
    <row r="4000" ht="15.75" customHeight="1">
      <c r="A4000" s="14">
        <v>42124.0</v>
      </c>
      <c r="B4000" s="15">
        <v>0.58</v>
      </c>
      <c r="C4000" s="15">
        <v>3.49</v>
      </c>
      <c r="D4000" s="15">
        <v>3.14</v>
      </c>
      <c r="E4000" s="15">
        <v>3.15</v>
      </c>
      <c r="F4000" s="15">
        <f t="shared" si="1"/>
        <v>2.91</v>
      </c>
      <c r="G4000" s="15">
        <f t="shared" si="2"/>
        <v>3.49</v>
      </c>
      <c r="H4000" s="16">
        <v>0.0</v>
      </c>
      <c r="I4000" s="15">
        <f t="shared" si="3"/>
        <v>2.91</v>
      </c>
      <c r="J4000" s="15">
        <v>14.55</v>
      </c>
      <c r="K4000" s="16">
        <f>IF(COUNTIFS(Release_Calendar!$A$2:$A$755,"US_CPI",Release_Calendar!$B$2:$B$755,$A4000)&gt;0,1,0)</f>
        <v>0</v>
      </c>
      <c r="L4000" s="16">
        <f>IF(COUNTIFS(Release_Calendar!$A$2:$A$755,"US_NFP",Release_Calendar!$B$2:$B$755,$A4000)&gt;0,1,0)</f>
        <v>0</v>
      </c>
      <c r="M4000" s="16" t="str">
        <f>IF($A4000&lt;Notes!$B$5,"",IF(COUNTIFS(Release_Calendar!$A$2:$A$755,"NZ_CPI",Release_Calendar!$B$2:$B$755,$A4000)&gt;0,1,0))</f>
        <v/>
      </c>
      <c r="N4000" s="16" t="str">
        <f>IF($A4000&lt;Notes!$B$5,"",IF(COUNTIFS(Release_Calendar!$A$2:$A$755,"NZ_GDP",Release_Calendar!$B$2:$B$755,$A4000)&gt;0,1,0))</f>
        <v/>
      </c>
      <c r="O4000" s="16" t="str">
        <f>IF($A4000&lt;Notes!$B$5,"",IF(COUNTIFS(Release_Calendar!$A$2:$A$755,"NZ_LABOUR",Release_Calendar!$B$2:$B$755,$A4000)&gt;0,1,0))</f>
        <v/>
      </c>
      <c r="P4000" s="16">
        <f t="shared" si="4"/>
        <v>0</v>
      </c>
    </row>
    <row r="4001" ht="15.75" customHeight="1">
      <c r="A4001" s="14">
        <v>42125.0</v>
      </c>
      <c r="B4001" s="15">
        <v>0.6</v>
      </c>
      <c r="C4001" s="15">
        <v>3.49</v>
      </c>
      <c r="D4001" s="15">
        <v>3.13</v>
      </c>
      <c r="E4001" s="15">
        <v>3.15</v>
      </c>
      <c r="F4001" s="15">
        <f t="shared" si="1"/>
        <v>2.89</v>
      </c>
      <c r="G4001" s="15">
        <f t="shared" si="2"/>
        <v>3.49</v>
      </c>
      <c r="H4001" s="16">
        <v>0.0</v>
      </c>
      <c r="I4001" s="15">
        <f t="shared" si="3"/>
        <v>2.89</v>
      </c>
      <c r="J4001" s="15">
        <v>12.7</v>
      </c>
      <c r="K4001" s="16">
        <f>IF(COUNTIFS(Release_Calendar!$A$2:$A$755,"US_CPI",Release_Calendar!$B$2:$B$755,$A4001)&gt;0,1,0)</f>
        <v>0</v>
      </c>
      <c r="L4001" s="16">
        <f>IF(COUNTIFS(Release_Calendar!$A$2:$A$755,"US_NFP",Release_Calendar!$B$2:$B$755,$A4001)&gt;0,1,0)</f>
        <v>0</v>
      </c>
      <c r="M4001" s="16" t="str">
        <f>IF($A4001&lt;Notes!$B$5,"",IF(COUNTIFS(Release_Calendar!$A$2:$A$755,"NZ_CPI",Release_Calendar!$B$2:$B$755,$A4001)&gt;0,1,0))</f>
        <v/>
      </c>
      <c r="N4001" s="16" t="str">
        <f>IF($A4001&lt;Notes!$B$5,"",IF(COUNTIFS(Release_Calendar!$A$2:$A$755,"NZ_GDP",Release_Calendar!$B$2:$B$755,$A4001)&gt;0,1,0))</f>
        <v/>
      </c>
      <c r="O4001" s="16" t="str">
        <f>IF($A4001&lt;Notes!$B$5,"",IF(COUNTIFS(Release_Calendar!$A$2:$A$755,"NZ_LABOUR",Release_Calendar!$B$2:$B$755,$A4001)&gt;0,1,0))</f>
        <v/>
      </c>
      <c r="P4001" s="16">
        <f t="shared" si="4"/>
        <v>0</v>
      </c>
    </row>
    <row r="4002" ht="15.75" customHeight="1">
      <c r="A4002" s="14">
        <v>42128.0</v>
      </c>
      <c r="B4002" s="15">
        <v>0.6</v>
      </c>
      <c r="C4002" s="15">
        <v>3.5</v>
      </c>
      <c r="D4002" s="15">
        <v>3.16</v>
      </c>
      <c r="E4002" s="15">
        <v>3.15</v>
      </c>
      <c r="F4002" s="15">
        <f t="shared" si="1"/>
        <v>2.9</v>
      </c>
      <c r="G4002" s="15">
        <f t="shared" si="2"/>
        <v>3.5</v>
      </c>
      <c r="H4002" s="16">
        <v>0.0</v>
      </c>
      <c r="I4002" s="15">
        <f t="shared" si="3"/>
        <v>2.9</v>
      </c>
      <c r="J4002" s="15">
        <v>12.85</v>
      </c>
      <c r="K4002" s="16">
        <f>IF(COUNTIFS(Release_Calendar!$A$2:$A$755,"US_CPI",Release_Calendar!$B$2:$B$755,$A4002)&gt;0,1,0)</f>
        <v>0</v>
      </c>
      <c r="L4002" s="16">
        <f>IF(COUNTIFS(Release_Calendar!$A$2:$A$755,"US_NFP",Release_Calendar!$B$2:$B$755,$A4002)&gt;0,1,0)</f>
        <v>0</v>
      </c>
      <c r="M4002" s="16" t="str">
        <f>IF($A4002&lt;Notes!$B$5,"",IF(COUNTIFS(Release_Calendar!$A$2:$A$755,"NZ_CPI",Release_Calendar!$B$2:$B$755,$A4002)&gt;0,1,0))</f>
        <v/>
      </c>
      <c r="N4002" s="16" t="str">
        <f>IF($A4002&lt;Notes!$B$5,"",IF(COUNTIFS(Release_Calendar!$A$2:$A$755,"NZ_GDP",Release_Calendar!$B$2:$B$755,$A4002)&gt;0,1,0))</f>
        <v/>
      </c>
      <c r="O4002" s="16" t="str">
        <f>IF($A4002&lt;Notes!$B$5,"",IF(COUNTIFS(Release_Calendar!$A$2:$A$755,"NZ_LABOUR",Release_Calendar!$B$2:$B$755,$A4002)&gt;0,1,0))</f>
        <v/>
      </c>
      <c r="P4002" s="16">
        <f t="shared" si="4"/>
        <v>0</v>
      </c>
    </row>
    <row r="4003" ht="15.75" customHeight="1">
      <c r="A4003" s="14">
        <v>42129.0</v>
      </c>
      <c r="B4003" s="15">
        <v>0.62</v>
      </c>
      <c r="C4003" s="15">
        <v>3.51</v>
      </c>
      <c r="D4003" s="15">
        <v>3.15</v>
      </c>
      <c r="E4003" s="15">
        <v>3.19</v>
      </c>
      <c r="F4003" s="15">
        <f t="shared" si="1"/>
        <v>2.89</v>
      </c>
      <c r="G4003" s="15">
        <f t="shared" si="2"/>
        <v>3.51</v>
      </c>
      <c r="H4003" s="16">
        <v>0.0</v>
      </c>
      <c r="I4003" s="15">
        <f t="shared" si="3"/>
        <v>2.89</v>
      </c>
      <c r="J4003" s="15">
        <v>14.31</v>
      </c>
      <c r="K4003" s="16">
        <f>IF(COUNTIFS(Release_Calendar!$A$2:$A$755,"US_CPI",Release_Calendar!$B$2:$B$755,$A4003)&gt;0,1,0)</f>
        <v>0</v>
      </c>
      <c r="L4003" s="16">
        <f>IF(COUNTIFS(Release_Calendar!$A$2:$A$755,"US_NFP",Release_Calendar!$B$2:$B$755,$A4003)&gt;0,1,0)</f>
        <v>0</v>
      </c>
      <c r="M4003" s="16" t="str">
        <f>IF($A4003&lt;Notes!$B$5,"",IF(COUNTIFS(Release_Calendar!$A$2:$A$755,"NZ_CPI",Release_Calendar!$B$2:$B$755,$A4003)&gt;0,1,0))</f>
        <v/>
      </c>
      <c r="N4003" s="16" t="str">
        <f>IF($A4003&lt;Notes!$B$5,"",IF(COUNTIFS(Release_Calendar!$A$2:$A$755,"NZ_GDP",Release_Calendar!$B$2:$B$755,$A4003)&gt;0,1,0))</f>
        <v/>
      </c>
      <c r="O4003" s="16" t="str">
        <f>IF($A4003&lt;Notes!$B$5,"",IF(COUNTIFS(Release_Calendar!$A$2:$A$755,"NZ_LABOUR",Release_Calendar!$B$2:$B$755,$A4003)&gt;0,1,0))</f>
        <v/>
      </c>
      <c r="P4003" s="16">
        <f t="shared" si="4"/>
        <v>0</v>
      </c>
    </row>
    <row r="4004" ht="15.75" customHeight="1">
      <c r="A4004" s="14">
        <v>42130.0</v>
      </c>
      <c r="B4004" s="15">
        <v>0.65</v>
      </c>
      <c r="C4004" s="15">
        <v>3.45</v>
      </c>
      <c r="D4004" s="15">
        <v>3.22</v>
      </c>
      <c r="E4004" s="15">
        <v>3.17</v>
      </c>
      <c r="F4004" s="15">
        <f t="shared" si="1"/>
        <v>2.8</v>
      </c>
      <c r="G4004" s="15">
        <f t="shared" si="2"/>
        <v>3.45</v>
      </c>
      <c r="H4004" s="16">
        <v>0.0</v>
      </c>
      <c r="I4004" s="15">
        <f t="shared" si="3"/>
        <v>2.8</v>
      </c>
      <c r="J4004" s="15">
        <v>15.15</v>
      </c>
      <c r="K4004" s="16">
        <f>IF(COUNTIFS(Release_Calendar!$A$2:$A$755,"US_CPI",Release_Calendar!$B$2:$B$755,$A4004)&gt;0,1,0)</f>
        <v>0</v>
      </c>
      <c r="L4004" s="16">
        <f>IF(COUNTIFS(Release_Calendar!$A$2:$A$755,"US_NFP",Release_Calendar!$B$2:$B$755,$A4004)&gt;0,1,0)</f>
        <v>0</v>
      </c>
      <c r="M4004" s="16" t="str">
        <f>IF($A4004&lt;Notes!$B$5,"",IF(COUNTIFS(Release_Calendar!$A$2:$A$755,"NZ_CPI",Release_Calendar!$B$2:$B$755,$A4004)&gt;0,1,0))</f>
        <v/>
      </c>
      <c r="N4004" s="16" t="str">
        <f>IF($A4004&lt;Notes!$B$5,"",IF(COUNTIFS(Release_Calendar!$A$2:$A$755,"NZ_GDP",Release_Calendar!$B$2:$B$755,$A4004)&gt;0,1,0))</f>
        <v/>
      </c>
      <c r="O4004" s="16" t="str">
        <f>IF($A4004&lt;Notes!$B$5,"",IF(COUNTIFS(Release_Calendar!$A$2:$A$755,"NZ_LABOUR",Release_Calendar!$B$2:$B$755,$A4004)&gt;0,1,0))</f>
        <v/>
      </c>
      <c r="P4004" s="16">
        <f t="shared" si="4"/>
        <v>0</v>
      </c>
    </row>
    <row r="4005" ht="15.75" customHeight="1">
      <c r="A4005" s="14">
        <v>42131.0</v>
      </c>
      <c r="B4005" s="15">
        <v>0.63</v>
      </c>
      <c r="C4005" s="15">
        <v>3.46</v>
      </c>
      <c r="D4005" s="15">
        <v>3.18</v>
      </c>
      <c r="E4005" s="15">
        <v>3.18</v>
      </c>
      <c r="F4005" s="15">
        <f t="shared" si="1"/>
        <v>2.83</v>
      </c>
      <c r="G4005" s="15">
        <f t="shared" si="2"/>
        <v>3.46</v>
      </c>
      <c r="H4005" s="16">
        <v>0.0</v>
      </c>
      <c r="I4005" s="15">
        <f t="shared" si="3"/>
        <v>2.83</v>
      </c>
      <c r="J4005" s="15">
        <v>15.13</v>
      </c>
      <c r="K4005" s="16">
        <f>IF(COUNTIFS(Release_Calendar!$A$2:$A$755,"US_CPI",Release_Calendar!$B$2:$B$755,$A4005)&gt;0,1,0)</f>
        <v>0</v>
      </c>
      <c r="L4005" s="16">
        <f>IF(COUNTIFS(Release_Calendar!$A$2:$A$755,"US_NFP",Release_Calendar!$B$2:$B$755,$A4005)&gt;0,1,0)</f>
        <v>0</v>
      </c>
      <c r="M4005" s="16" t="str">
        <f>IF($A4005&lt;Notes!$B$5,"",IF(COUNTIFS(Release_Calendar!$A$2:$A$755,"NZ_CPI",Release_Calendar!$B$2:$B$755,$A4005)&gt;0,1,0))</f>
        <v/>
      </c>
      <c r="N4005" s="16" t="str">
        <f>IF($A4005&lt;Notes!$B$5,"",IF(COUNTIFS(Release_Calendar!$A$2:$A$755,"NZ_GDP",Release_Calendar!$B$2:$B$755,$A4005)&gt;0,1,0))</f>
        <v/>
      </c>
      <c r="O4005" s="16" t="str">
        <f>IF($A4005&lt;Notes!$B$5,"",IF(COUNTIFS(Release_Calendar!$A$2:$A$755,"NZ_LABOUR",Release_Calendar!$B$2:$B$755,$A4005)&gt;0,1,0))</f>
        <v/>
      </c>
      <c r="P4005" s="16">
        <f t="shared" si="4"/>
        <v>0</v>
      </c>
    </row>
    <row r="4006" ht="15.75" customHeight="1">
      <c r="A4006" s="14">
        <v>42132.0</v>
      </c>
      <c r="B4006" s="15">
        <v>0.59</v>
      </c>
      <c r="C4006" s="15">
        <v>3.44</v>
      </c>
      <c r="D4006" s="15">
        <v>3.13</v>
      </c>
      <c r="E4006" s="15">
        <v>3.11</v>
      </c>
      <c r="F4006" s="15">
        <f t="shared" si="1"/>
        <v>2.85</v>
      </c>
      <c r="G4006" s="15">
        <f t="shared" si="2"/>
        <v>3.44</v>
      </c>
      <c r="H4006" s="16">
        <v>0.0</v>
      </c>
      <c r="I4006" s="15">
        <f t="shared" si="3"/>
        <v>2.85</v>
      </c>
      <c r="J4006" s="15">
        <v>12.86</v>
      </c>
      <c r="K4006" s="16">
        <f>IF(COUNTIFS(Release_Calendar!$A$2:$A$755,"US_CPI",Release_Calendar!$B$2:$B$755,$A4006)&gt;0,1,0)</f>
        <v>0</v>
      </c>
      <c r="L4006" s="16">
        <f>IF(COUNTIFS(Release_Calendar!$A$2:$A$755,"US_NFP",Release_Calendar!$B$2:$B$755,$A4006)&gt;0,1,0)</f>
        <v>1</v>
      </c>
      <c r="M4006" s="16" t="str">
        <f>IF($A4006&lt;Notes!$B$5,"",IF(COUNTIFS(Release_Calendar!$A$2:$A$755,"NZ_CPI",Release_Calendar!$B$2:$B$755,$A4006)&gt;0,1,0))</f>
        <v/>
      </c>
      <c r="N4006" s="16" t="str">
        <f>IF($A4006&lt;Notes!$B$5,"",IF(COUNTIFS(Release_Calendar!$A$2:$A$755,"NZ_GDP",Release_Calendar!$B$2:$B$755,$A4006)&gt;0,1,0))</f>
        <v/>
      </c>
      <c r="O4006" s="16" t="str">
        <f>IF($A4006&lt;Notes!$B$5,"",IF(COUNTIFS(Release_Calendar!$A$2:$A$755,"NZ_LABOUR",Release_Calendar!$B$2:$B$755,$A4006)&gt;0,1,0))</f>
        <v/>
      </c>
      <c r="P4006" s="16">
        <f t="shared" si="4"/>
        <v>1</v>
      </c>
    </row>
    <row r="4007" ht="15.75" customHeight="1">
      <c r="A4007" s="14">
        <v>42135.0</v>
      </c>
      <c r="B4007" s="15">
        <v>0.62</v>
      </c>
      <c r="C4007" s="15">
        <v>3.39</v>
      </c>
      <c r="D4007" s="15">
        <v>3.05</v>
      </c>
      <c r="E4007" s="15">
        <v>3.06</v>
      </c>
      <c r="F4007" s="15">
        <f t="shared" si="1"/>
        <v>2.77</v>
      </c>
      <c r="G4007" s="15">
        <f t="shared" si="2"/>
        <v>3.39</v>
      </c>
      <c r="H4007" s="16">
        <v>0.0</v>
      </c>
      <c r="I4007" s="15">
        <f t="shared" si="3"/>
        <v>2.77</v>
      </c>
      <c r="J4007" s="15">
        <v>13.85</v>
      </c>
      <c r="K4007" s="16">
        <f>IF(COUNTIFS(Release_Calendar!$A$2:$A$755,"US_CPI",Release_Calendar!$B$2:$B$755,$A4007)&gt;0,1,0)</f>
        <v>0</v>
      </c>
      <c r="L4007" s="16">
        <f>IF(COUNTIFS(Release_Calendar!$A$2:$A$755,"US_NFP",Release_Calendar!$B$2:$B$755,$A4007)&gt;0,1,0)</f>
        <v>0</v>
      </c>
      <c r="M4007" s="16" t="str">
        <f>IF($A4007&lt;Notes!$B$5,"",IF(COUNTIFS(Release_Calendar!$A$2:$A$755,"NZ_CPI",Release_Calendar!$B$2:$B$755,$A4007)&gt;0,1,0))</f>
        <v/>
      </c>
      <c r="N4007" s="16" t="str">
        <f>IF($A4007&lt;Notes!$B$5,"",IF(COUNTIFS(Release_Calendar!$A$2:$A$755,"NZ_GDP",Release_Calendar!$B$2:$B$755,$A4007)&gt;0,1,0))</f>
        <v/>
      </c>
      <c r="O4007" s="16" t="str">
        <f>IF($A4007&lt;Notes!$B$5,"",IF(COUNTIFS(Release_Calendar!$A$2:$A$755,"NZ_LABOUR",Release_Calendar!$B$2:$B$755,$A4007)&gt;0,1,0))</f>
        <v/>
      </c>
      <c r="P4007" s="16">
        <f t="shared" si="4"/>
        <v>0</v>
      </c>
    </row>
    <row r="4008" ht="15.75" customHeight="1">
      <c r="A4008" s="14">
        <v>42136.0</v>
      </c>
      <c r="B4008" s="15">
        <v>0.61</v>
      </c>
      <c r="C4008" s="15">
        <v>3.41</v>
      </c>
      <c r="D4008" s="15">
        <v>3.1</v>
      </c>
      <c r="E4008" s="15">
        <v>3.08</v>
      </c>
      <c r="F4008" s="15">
        <f t="shared" si="1"/>
        <v>2.8</v>
      </c>
      <c r="G4008" s="15">
        <f t="shared" si="2"/>
        <v>3.41</v>
      </c>
      <c r="H4008" s="16">
        <v>0.0</v>
      </c>
      <c r="I4008" s="15">
        <f t="shared" si="3"/>
        <v>2.8</v>
      </c>
      <c r="J4008" s="15">
        <v>13.86</v>
      </c>
      <c r="K4008" s="16">
        <f>IF(COUNTIFS(Release_Calendar!$A$2:$A$755,"US_CPI",Release_Calendar!$B$2:$B$755,$A4008)&gt;0,1,0)</f>
        <v>0</v>
      </c>
      <c r="L4008" s="16">
        <f>IF(COUNTIFS(Release_Calendar!$A$2:$A$755,"US_NFP",Release_Calendar!$B$2:$B$755,$A4008)&gt;0,1,0)</f>
        <v>0</v>
      </c>
      <c r="M4008" s="16" t="str">
        <f>IF($A4008&lt;Notes!$B$5,"",IF(COUNTIFS(Release_Calendar!$A$2:$A$755,"NZ_CPI",Release_Calendar!$B$2:$B$755,$A4008)&gt;0,1,0))</f>
        <v/>
      </c>
      <c r="N4008" s="16" t="str">
        <f>IF($A4008&lt;Notes!$B$5,"",IF(COUNTIFS(Release_Calendar!$A$2:$A$755,"NZ_GDP",Release_Calendar!$B$2:$B$755,$A4008)&gt;0,1,0))</f>
        <v/>
      </c>
      <c r="O4008" s="16" t="str">
        <f>IF($A4008&lt;Notes!$B$5,"",IF(COUNTIFS(Release_Calendar!$A$2:$A$755,"NZ_LABOUR",Release_Calendar!$B$2:$B$755,$A4008)&gt;0,1,0))</f>
        <v/>
      </c>
      <c r="P4008" s="16">
        <f t="shared" si="4"/>
        <v>0</v>
      </c>
    </row>
    <row r="4009" ht="15.75" customHeight="1">
      <c r="A4009" s="14">
        <v>42137.0</v>
      </c>
      <c r="B4009" s="15">
        <v>0.59</v>
      </c>
      <c r="C4009" s="15">
        <v>3.42</v>
      </c>
      <c r="D4009" s="15">
        <v>3.06</v>
      </c>
      <c r="E4009" s="15">
        <v>3.09</v>
      </c>
      <c r="F4009" s="15">
        <f t="shared" si="1"/>
        <v>2.83</v>
      </c>
      <c r="G4009" s="15">
        <f t="shared" si="2"/>
        <v>3.42</v>
      </c>
      <c r="H4009" s="16">
        <v>0.0</v>
      </c>
      <c r="I4009" s="15">
        <f t="shared" si="3"/>
        <v>2.83</v>
      </c>
      <c r="J4009" s="15">
        <v>13.76</v>
      </c>
      <c r="K4009" s="16">
        <f>IF(COUNTIFS(Release_Calendar!$A$2:$A$755,"US_CPI",Release_Calendar!$B$2:$B$755,$A4009)&gt;0,1,0)</f>
        <v>0</v>
      </c>
      <c r="L4009" s="16">
        <f>IF(COUNTIFS(Release_Calendar!$A$2:$A$755,"US_NFP",Release_Calendar!$B$2:$B$755,$A4009)&gt;0,1,0)</f>
        <v>0</v>
      </c>
      <c r="M4009" s="16" t="str">
        <f>IF($A4009&lt;Notes!$B$5,"",IF(COUNTIFS(Release_Calendar!$A$2:$A$755,"NZ_CPI",Release_Calendar!$B$2:$B$755,$A4009)&gt;0,1,0))</f>
        <v/>
      </c>
      <c r="N4009" s="16" t="str">
        <f>IF($A4009&lt;Notes!$B$5,"",IF(COUNTIFS(Release_Calendar!$A$2:$A$755,"NZ_GDP",Release_Calendar!$B$2:$B$755,$A4009)&gt;0,1,0))</f>
        <v/>
      </c>
      <c r="O4009" s="16" t="str">
        <f>IF($A4009&lt;Notes!$B$5,"",IF(COUNTIFS(Release_Calendar!$A$2:$A$755,"NZ_LABOUR",Release_Calendar!$B$2:$B$755,$A4009)&gt;0,1,0))</f>
        <v/>
      </c>
      <c r="P4009" s="16">
        <f t="shared" si="4"/>
        <v>0</v>
      </c>
    </row>
    <row r="4010" ht="15.75" customHeight="1">
      <c r="A4010" s="14">
        <v>42138.0</v>
      </c>
      <c r="B4010" s="15">
        <v>0.56</v>
      </c>
      <c r="C4010" s="15">
        <v>3.43</v>
      </c>
      <c r="D4010" s="15">
        <v>3.1</v>
      </c>
      <c r="E4010" s="15">
        <v>3.14</v>
      </c>
      <c r="F4010" s="15">
        <f t="shared" si="1"/>
        <v>2.87</v>
      </c>
      <c r="G4010" s="15">
        <f t="shared" si="2"/>
        <v>3.43</v>
      </c>
      <c r="H4010" s="16">
        <v>0.0</v>
      </c>
      <c r="I4010" s="15">
        <f t="shared" si="3"/>
        <v>2.87</v>
      </c>
      <c r="J4010" s="15">
        <v>12.74</v>
      </c>
      <c r="K4010" s="16">
        <f>IF(COUNTIFS(Release_Calendar!$A$2:$A$755,"US_CPI",Release_Calendar!$B$2:$B$755,$A4010)&gt;0,1,0)</f>
        <v>0</v>
      </c>
      <c r="L4010" s="16">
        <f>IF(COUNTIFS(Release_Calendar!$A$2:$A$755,"US_NFP",Release_Calendar!$B$2:$B$755,$A4010)&gt;0,1,0)</f>
        <v>0</v>
      </c>
      <c r="M4010" s="16" t="str">
        <f>IF($A4010&lt;Notes!$B$5,"",IF(COUNTIFS(Release_Calendar!$A$2:$A$755,"NZ_CPI",Release_Calendar!$B$2:$B$755,$A4010)&gt;0,1,0))</f>
        <v/>
      </c>
      <c r="N4010" s="16" t="str">
        <f>IF($A4010&lt;Notes!$B$5,"",IF(COUNTIFS(Release_Calendar!$A$2:$A$755,"NZ_GDP",Release_Calendar!$B$2:$B$755,$A4010)&gt;0,1,0))</f>
        <v/>
      </c>
      <c r="O4010" s="16" t="str">
        <f>IF($A4010&lt;Notes!$B$5,"",IF(COUNTIFS(Release_Calendar!$A$2:$A$755,"NZ_LABOUR",Release_Calendar!$B$2:$B$755,$A4010)&gt;0,1,0))</f>
        <v/>
      </c>
      <c r="P4010" s="16">
        <f t="shared" si="4"/>
        <v>0</v>
      </c>
    </row>
    <row r="4011" ht="15.75" customHeight="1">
      <c r="A4011" s="14">
        <v>42139.0</v>
      </c>
      <c r="B4011" s="15">
        <v>0.55</v>
      </c>
      <c r="C4011" s="15">
        <v>3.38</v>
      </c>
      <c r="D4011" s="15">
        <v>3.08</v>
      </c>
      <c r="E4011" s="15">
        <v>3.09</v>
      </c>
      <c r="F4011" s="15">
        <f t="shared" si="1"/>
        <v>2.83</v>
      </c>
      <c r="G4011" s="15">
        <f t="shared" si="2"/>
        <v>3.38</v>
      </c>
      <c r="H4011" s="16">
        <v>0.0</v>
      </c>
      <c r="I4011" s="15">
        <f t="shared" si="3"/>
        <v>2.83</v>
      </c>
      <c r="J4011" s="15">
        <v>12.38</v>
      </c>
      <c r="K4011" s="16">
        <f>IF(COUNTIFS(Release_Calendar!$A$2:$A$755,"US_CPI",Release_Calendar!$B$2:$B$755,$A4011)&gt;0,1,0)</f>
        <v>0</v>
      </c>
      <c r="L4011" s="16">
        <f>IF(COUNTIFS(Release_Calendar!$A$2:$A$755,"US_NFP",Release_Calendar!$B$2:$B$755,$A4011)&gt;0,1,0)</f>
        <v>0</v>
      </c>
      <c r="M4011" s="16" t="str">
        <f>IF($A4011&lt;Notes!$B$5,"",IF(COUNTIFS(Release_Calendar!$A$2:$A$755,"NZ_CPI",Release_Calendar!$B$2:$B$755,$A4011)&gt;0,1,0))</f>
        <v/>
      </c>
      <c r="N4011" s="16" t="str">
        <f>IF($A4011&lt;Notes!$B$5,"",IF(COUNTIFS(Release_Calendar!$A$2:$A$755,"NZ_GDP",Release_Calendar!$B$2:$B$755,$A4011)&gt;0,1,0))</f>
        <v/>
      </c>
      <c r="O4011" s="16" t="str">
        <f>IF($A4011&lt;Notes!$B$5,"",IF(COUNTIFS(Release_Calendar!$A$2:$A$755,"NZ_LABOUR",Release_Calendar!$B$2:$B$755,$A4011)&gt;0,1,0))</f>
        <v/>
      </c>
      <c r="P4011" s="16">
        <f t="shared" si="4"/>
        <v>0</v>
      </c>
    </row>
    <row r="4012" ht="15.75" customHeight="1">
      <c r="A4012" s="14">
        <v>42142.0</v>
      </c>
      <c r="B4012" s="15">
        <v>0.58</v>
      </c>
      <c r="C4012" s="15">
        <v>3.36</v>
      </c>
      <c r="D4012" s="15">
        <v>3.04</v>
      </c>
      <c r="E4012" s="15">
        <v>3.05</v>
      </c>
      <c r="F4012" s="15">
        <f t="shared" si="1"/>
        <v>2.78</v>
      </c>
      <c r="G4012" s="15">
        <f t="shared" si="2"/>
        <v>3.36</v>
      </c>
      <c r="H4012" s="16">
        <v>0.0</v>
      </c>
      <c r="I4012" s="15">
        <f t="shared" si="3"/>
        <v>2.78</v>
      </c>
      <c r="J4012" s="15">
        <v>12.73</v>
      </c>
      <c r="K4012" s="16">
        <f>IF(COUNTIFS(Release_Calendar!$A$2:$A$755,"US_CPI",Release_Calendar!$B$2:$B$755,$A4012)&gt;0,1,0)</f>
        <v>0</v>
      </c>
      <c r="L4012" s="16">
        <f>IF(COUNTIFS(Release_Calendar!$A$2:$A$755,"US_NFP",Release_Calendar!$B$2:$B$755,$A4012)&gt;0,1,0)</f>
        <v>0</v>
      </c>
      <c r="M4012" s="16" t="str">
        <f>IF($A4012&lt;Notes!$B$5,"",IF(COUNTIFS(Release_Calendar!$A$2:$A$755,"NZ_CPI",Release_Calendar!$B$2:$B$755,$A4012)&gt;0,1,0))</f>
        <v/>
      </c>
      <c r="N4012" s="16" t="str">
        <f>IF($A4012&lt;Notes!$B$5,"",IF(COUNTIFS(Release_Calendar!$A$2:$A$755,"NZ_GDP",Release_Calendar!$B$2:$B$755,$A4012)&gt;0,1,0))</f>
        <v/>
      </c>
      <c r="O4012" s="16" t="str">
        <f>IF($A4012&lt;Notes!$B$5,"",IF(COUNTIFS(Release_Calendar!$A$2:$A$755,"NZ_LABOUR",Release_Calendar!$B$2:$B$755,$A4012)&gt;0,1,0))</f>
        <v/>
      </c>
      <c r="P4012" s="16">
        <f t="shared" si="4"/>
        <v>0</v>
      </c>
    </row>
    <row r="4013" ht="15.75" customHeight="1">
      <c r="A4013" s="14">
        <v>42143.0</v>
      </c>
      <c r="B4013" s="15">
        <v>0.63</v>
      </c>
      <c r="C4013" s="15">
        <v>3.37</v>
      </c>
      <c r="D4013" s="15">
        <v>3.07</v>
      </c>
      <c r="E4013" s="15">
        <v>3.07</v>
      </c>
      <c r="F4013" s="15">
        <f t="shared" si="1"/>
        <v>2.74</v>
      </c>
      <c r="G4013" s="15">
        <f t="shared" si="2"/>
        <v>3.37</v>
      </c>
      <c r="H4013" s="16">
        <v>0.0</v>
      </c>
      <c r="I4013" s="15">
        <f t="shared" si="3"/>
        <v>2.74</v>
      </c>
      <c r="J4013" s="15">
        <v>12.85</v>
      </c>
      <c r="K4013" s="16">
        <f>IF(COUNTIFS(Release_Calendar!$A$2:$A$755,"US_CPI",Release_Calendar!$B$2:$B$755,$A4013)&gt;0,1,0)</f>
        <v>0</v>
      </c>
      <c r="L4013" s="16">
        <f>IF(COUNTIFS(Release_Calendar!$A$2:$A$755,"US_NFP",Release_Calendar!$B$2:$B$755,$A4013)&gt;0,1,0)</f>
        <v>0</v>
      </c>
      <c r="M4013" s="16" t="str">
        <f>IF($A4013&lt;Notes!$B$5,"",IF(COUNTIFS(Release_Calendar!$A$2:$A$755,"NZ_CPI",Release_Calendar!$B$2:$B$755,$A4013)&gt;0,1,0))</f>
        <v/>
      </c>
      <c r="N4013" s="16" t="str">
        <f>IF($A4013&lt;Notes!$B$5,"",IF(COUNTIFS(Release_Calendar!$A$2:$A$755,"NZ_GDP",Release_Calendar!$B$2:$B$755,$A4013)&gt;0,1,0))</f>
        <v/>
      </c>
      <c r="O4013" s="16" t="str">
        <f>IF($A4013&lt;Notes!$B$5,"",IF(COUNTIFS(Release_Calendar!$A$2:$A$755,"NZ_LABOUR",Release_Calendar!$B$2:$B$755,$A4013)&gt;0,1,0))</f>
        <v/>
      </c>
      <c r="P4013" s="16">
        <f t="shared" si="4"/>
        <v>0</v>
      </c>
    </row>
    <row r="4014" ht="15.75" customHeight="1">
      <c r="A4014" s="14">
        <v>42144.0</v>
      </c>
      <c r="B4014" s="15">
        <v>0.6</v>
      </c>
      <c r="C4014" s="15">
        <v>3.38</v>
      </c>
      <c r="D4014" s="15">
        <v>3.07</v>
      </c>
      <c r="E4014" s="15">
        <v>3.07</v>
      </c>
      <c r="F4014" s="15">
        <f t="shared" si="1"/>
        <v>2.78</v>
      </c>
      <c r="G4014" s="15">
        <f t="shared" si="2"/>
        <v>3.38</v>
      </c>
      <c r="H4014" s="16">
        <v>0.0</v>
      </c>
      <c r="I4014" s="15">
        <f t="shared" si="3"/>
        <v>2.78</v>
      </c>
      <c r="J4014" s="15">
        <v>12.88</v>
      </c>
      <c r="K4014" s="16">
        <f>IF(COUNTIFS(Release_Calendar!$A$2:$A$755,"US_CPI",Release_Calendar!$B$2:$B$755,$A4014)&gt;0,1,0)</f>
        <v>0</v>
      </c>
      <c r="L4014" s="16">
        <f>IF(COUNTIFS(Release_Calendar!$A$2:$A$755,"US_NFP",Release_Calendar!$B$2:$B$755,$A4014)&gt;0,1,0)</f>
        <v>0</v>
      </c>
      <c r="M4014" s="16" t="str">
        <f>IF($A4014&lt;Notes!$B$5,"",IF(COUNTIFS(Release_Calendar!$A$2:$A$755,"NZ_CPI",Release_Calendar!$B$2:$B$755,$A4014)&gt;0,1,0))</f>
        <v/>
      </c>
      <c r="N4014" s="16" t="str">
        <f>IF($A4014&lt;Notes!$B$5,"",IF(COUNTIFS(Release_Calendar!$A$2:$A$755,"NZ_GDP",Release_Calendar!$B$2:$B$755,$A4014)&gt;0,1,0))</f>
        <v/>
      </c>
      <c r="O4014" s="16" t="str">
        <f>IF($A4014&lt;Notes!$B$5,"",IF(COUNTIFS(Release_Calendar!$A$2:$A$755,"NZ_LABOUR",Release_Calendar!$B$2:$B$755,$A4014)&gt;0,1,0))</f>
        <v/>
      </c>
      <c r="P4014" s="16">
        <f t="shared" si="4"/>
        <v>0</v>
      </c>
    </row>
    <row r="4015" ht="15.75" customHeight="1">
      <c r="A4015" s="14">
        <v>42145.0</v>
      </c>
      <c r="B4015" s="15">
        <v>0.6</v>
      </c>
      <c r="C4015" s="15">
        <v>3.38</v>
      </c>
      <c r="D4015" s="15">
        <v>3.05</v>
      </c>
      <c r="E4015" s="15">
        <v>3.08</v>
      </c>
      <c r="F4015" s="15">
        <f t="shared" si="1"/>
        <v>2.78</v>
      </c>
      <c r="G4015" s="15">
        <f t="shared" si="2"/>
        <v>3.38</v>
      </c>
      <c r="H4015" s="16">
        <v>0.0</v>
      </c>
      <c r="I4015" s="15">
        <f t="shared" si="3"/>
        <v>2.78</v>
      </c>
      <c r="J4015" s="15">
        <v>12.11</v>
      </c>
      <c r="K4015" s="16">
        <f>IF(COUNTIFS(Release_Calendar!$A$2:$A$755,"US_CPI",Release_Calendar!$B$2:$B$755,$A4015)&gt;0,1,0)</f>
        <v>0</v>
      </c>
      <c r="L4015" s="16">
        <f>IF(COUNTIFS(Release_Calendar!$A$2:$A$755,"US_NFP",Release_Calendar!$B$2:$B$755,$A4015)&gt;0,1,0)</f>
        <v>0</v>
      </c>
      <c r="M4015" s="16" t="str">
        <f>IF($A4015&lt;Notes!$B$5,"",IF(COUNTIFS(Release_Calendar!$A$2:$A$755,"NZ_CPI",Release_Calendar!$B$2:$B$755,$A4015)&gt;0,1,0))</f>
        <v/>
      </c>
      <c r="N4015" s="16" t="str">
        <f>IF($A4015&lt;Notes!$B$5,"",IF(COUNTIFS(Release_Calendar!$A$2:$A$755,"NZ_GDP",Release_Calendar!$B$2:$B$755,$A4015)&gt;0,1,0))</f>
        <v/>
      </c>
      <c r="O4015" s="16" t="str">
        <f>IF($A4015&lt;Notes!$B$5,"",IF(COUNTIFS(Release_Calendar!$A$2:$A$755,"NZ_LABOUR",Release_Calendar!$B$2:$B$755,$A4015)&gt;0,1,0))</f>
        <v/>
      </c>
      <c r="P4015" s="16">
        <f t="shared" si="4"/>
        <v>0</v>
      </c>
    </row>
    <row r="4016" ht="15.75" customHeight="1">
      <c r="A4016" s="14">
        <v>42146.0</v>
      </c>
      <c r="B4016" s="15">
        <v>0.64</v>
      </c>
      <c r="C4016" s="15">
        <v>3.39</v>
      </c>
      <c r="D4016" s="15">
        <v>3.06</v>
      </c>
      <c r="E4016" s="15">
        <v>3.07</v>
      </c>
      <c r="F4016" s="15">
        <f t="shared" si="1"/>
        <v>2.75</v>
      </c>
      <c r="G4016" s="15">
        <f t="shared" si="2"/>
        <v>3.39</v>
      </c>
      <c r="H4016" s="16">
        <v>0.0</v>
      </c>
      <c r="I4016" s="15">
        <f t="shared" si="3"/>
        <v>2.75</v>
      </c>
      <c r="J4016" s="15">
        <v>12.13</v>
      </c>
      <c r="K4016" s="16">
        <f>IF(COUNTIFS(Release_Calendar!$A$2:$A$755,"US_CPI",Release_Calendar!$B$2:$B$755,$A4016)&gt;0,1,0)</f>
        <v>1</v>
      </c>
      <c r="L4016" s="16">
        <f>IF(COUNTIFS(Release_Calendar!$A$2:$A$755,"US_NFP",Release_Calendar!$B$2:$B$755,$A4016)&gt;0,1,0)</f>
        <v>0</v>
      </c>
      <c r="M4016" s="16" t="str">
        <f>IF($A4016&lt;Notes!$B$5,"",IF(COUNTIFS(Release_Calendar!$A$2:$A$755,"NZ_CPI",Release_Calendar!$B$2:$B$755,$A4016)&gt;0,1,0))</f>
        <v/>
      </c>
      <c r="N4016" s="16" t="str">
        <f>IF($A4016&lt;Notes!$B$5,"",IF(COUNTIFS(Release_Calendar!$A$2:$A$755,"NZ_GDP",Release_Calendar!$B$2:$B$755,$A4016)&gt;0,1,0))</f>
        <v/>
      </c>
      <c r="O4016" s="16" t="str">
        <f>IF($A4016&lt;Notes!$B$5,"",IF(COUNTIFS(Release_Calendar!$A$2:$A$755,"NZ_LABOUR",Release_Calendar!$B$2:$B$755,$A4016)&gt;0,1,0))</f>
        <v/>
      </c>
      <c r="P4016" s="16">
        <f t="shared" si="4"/>
        <v>1</v>
      </c>
    </row>
    <row r="4017" ht="15.75" customHeight="1">
      <c r="A4017" s="14">
        <v>42149.0</v>
      </c>
      <c r="B4017" s="15"/>
      <c r="C4017" s="15">
        <v>3.39</v>
      </c>
      <c r="D4017" s="15">
        <v>3.06</v>
      </c>
      <c r="E4017" s="15">
        <v>3.09</v>
      </c>
      <c r="F4017" s="15" t="str">
        <f t="shared" si="1"/>
        <v/>
      </c>
      <c r="G4017" s="15">
        <f t="shared" si="2"/>
        <v>3.39</v>
      </c>
      <c r="H4017" s="16">
        <v>0.0</v>
      </c>
      <c r="I4017" s="15" t="str">
        <f t="shared" si="3"/>
        <v/>
      </c>
      <c r="J4017" s="15"/>
      <c r="K4017" s="16">
        <f>IF(COUNTIFS(Release_Calendar!$A$2:$A$755,"US_CPI",Release_Calendar!$B$2:$B$755,$A4017)&gt;0,1,0)</f>
        <v>0</v>
      </c>
      <c r="L4017" s="16">
        <f>IF(COUNTIFS(Release_Calendar!$A$2:$A$755,"US_NFP",Release_Calendar!$B$2:$B$755,$A4017)&gt;0,1,0)</f>
        <v>0</v>
      </c>
      <c r="M4017" s="16" t="str">
        <f>IF($A4017&lt;Notes!$B$5,"",IF(COUNTIFS(Release_Calendar!$A$2:$A$755,"NZ_CPI",Release_Calendar!$B$2:$B$755,$A4017)&gt;0,1,0))</f>
        <v/>
      </c>
      <c r="N4017" s="16" t="str">
        <f>IF($A4017&lt;Notes!$B$5,"",IF(COUNTIFS(Release_Calendar!$A$2:$A$755,"NZ_GDP",Release_Calendar!$B$2:$B$755,$A4017)&gt;0,1,0))</f>
        <v/>
      </c>
      <c r="O4017" s="16" t="str">
        <f>IF($A4017&lt;Notes!$B$5,"",IF(COUNTIFS(Release_Calendar!$A$2:$A$755,"NZ_LABOUR",Release_Calendar!$B$2:$B$755,$A4017)&gt;0,1,0))</f>
        <v/>
      </c>
      <c r="P4017" s="16">
        <f t="shared" si="4"/>
        <v>0</v>
      </c>
    </row>
    <row r="4018" ht="15.75" customHeight="1">
      <c r="A4018" s="14">
        <v>42150.0</v>
      </c>
      <c r="B4018" s="15">
        <v>0.64</v>
      </c>
      <c r="C4018" s="15">
        <v>3.39</v>
      </c>
      <c r="D4018" s="15">
        <v>3.08</v>
      </c>
      <c r="E4018" s="15">
        <v>3.1</v>
      </c>
      <c r="F4018" s="15">
        <f t="shared" si="1"/>
        <v>2.75</v>
      </c>
      <c r="G4018" s="15">
        <f t="shared" si="2"/>
        <v>3.39</v>
      </c>
      <c r="H4018" s="16">
        <v>0.0</v>
      </c>
      <c r="I4018" s="15">
        <f t="shared" si="3"/>
        <v>2.75</v>
      </c>
      <c r="J4018" s="15">
        <v>14.06</v>
      </c>
      <c r="K4018" s="16">
        <f>IF(COUNTIFS(Release_Calendar!$A$2:$A$755,"US_CPI",Release_Calendar!$B$2:$B$755,$A4018)&gt;0,1,0)</f>
        <v>0</v>
      </c>
      <c r="L4018" s="16">
        <f>IF(COUNTIFS(Release_Calendar!$A$2:$A$755,"US_NFP",Release_Calendar!$B$2:$B$755,$A4018)&gt;0,1,0)</f>
        <v>0</v>
      </c>
      <c r="M4018" s="16" t="str">
        <f>IF($A4018&lt;Notes!$B$5,"",IF(COUNTIFS(Release_Calendar!$A$2:$A$755,"NZ_CPI",Release_Calendar!$B$2:$B$755,$A4018)&gt;0,1,0))</f>
        <v/>
      </c>
      <c r="N4018" s="16" t="str">
        <f>IF($A4018&lt;Notes!$B$5,"",IF(COUNTIFS(Release_Calendar!$A$2:$A$755,"NZ_GDP",Release_Calendar!$B$2:$B$755,$A4018)&gt;0,1,0))</f>
        <v/>
      </c>
      <c r="O4018" s="16" t="str">
        <f>IF($A4018&lt;Notes!$B$5,"",IF(COUNTIFS(Release_Calendar!$A$2:$A$755,"NZ_LABOUR",Release_Calendar!$B$2:$B$755,$A4018)&gt;0,1,0))</f>
        <v/>
      </c>
      <c r="P4018" s="16">
        <f t="shared" si="4"/>
        <v>0</v>
      </c>
    </row>
    <row r="4019" ht="15.75" customHeight="1">
      <c r="A4019" s="14">
        <v>42151.0</v>
      </c>
      <c r="B4019" s="15">
        <v>0.64</v>
      </c>
      <c r="C4019" s="15">
        <v>3.39</v>
      </c>
      <c r="D4019" s="15">
        <v>3.08</v>
      </c>
      <c r="E4019" s="15">
        <v>3.08</v>
      </c>
      <c r="F4019" s="15">
        <f t="shared" si="1"/>
        <v>2.75</v>
      </c>
      <c r="G4019" s="15">
        <f t="shared" si="2"/>
        <v>3.39</v>
      </c>
      <c r="H4019" s="16">
        <v>0.0</v>
      </c>
      <c r="I4019" s="15">
        <f t="shared" si="3"/>
        <v>2.75</v>
      </c>
      <c r="J4019" s="15">
        <v>13.27</v>
      </c>
      <c r="K4019" s="16">
        <f>IF(COUNTIFS(Release_Calendar!$A$2:$A$755,"US_CPI",Release_Calendar!$B$2:$B$755,$A4019)&gt;0,1,0)</f>
        <v>0</v>
      </c>
      <c r="L4019" s="16">
        <f>IF(COUNTIFS(Release_Calendar!$A$2:$A$755,"US_NFP",Release_Calendar!$B$2:$B$755,$A4019)&gt;0,1,0)</f>
        <v>0</v>
      </c>
      <c r="M4019" s="16" t="str">
        <f>IF($A4019&lt;Notes!$B$5,"",IF(COUNTIFS(Release_Calendar!$A$2:$A$755,"NZ_CPI",Release_Calendar!$B$2:$B$755,$A4019)&gt;0,1,0))</f>
        <v/>
      </c>
      <c r="N4019" s="16" t="str">
        <f>IF($A4019&lt;Notes!$B$5,"",IF(COUNTIFS(Release_Calendar!$A$2:$A$755,"NZ_GDP",Release_Calendar!$B$2:$B$755,$A4019)&gt;0,1,0))</f>
        <v/>
      </c>
      <c r="O4019" s="16" t="str">
        <f>IF($A4019&lt;Notes!$B$5,"",IF(COUNTIFS(Release_Calendar!$A$2:$A$755,"NZ_LABOUR",Release_Calendar!$B$2:$B$755,$A4019)&gt;0,1,0))</f>
        <v/>
      </c>
      <c r="P4019" s="16">
        <f t="shared" si="4"/>
        <v>0</v>
      </c>
    </row>
    <row r="4020" ht="15.75" customHeight="1">
      <c r="A4020" s="14">
        <v>42152.0</v>
      </c>
      <c r="B4020" s="15">
        <v>0.62</v>
      </c>
      <c r="C4020" s="15">
        <v>3.39</v>
      </c>
      <c r="D4020" s="15">
        <v>3.07</v>
      </c>
      <c r="E4020" s="15">
        <v>3.1</v>
      </c>
      <c r="F4020" s="15">
        <f t="shared" si="1"/>
        <v>2.77</v>
      </c>
      <c r="G4020" s="15">
        <f t="shared" si="2"/>
        <v>3.39</v>
      </c>
      <c r="H4020" s="16">
        <v>0.0</v>
      </c>
      <c r="I4020" s="15">
        <f t="shared" si="3"/>
        <v>2.77</v>
      </c>
      <c r="J4020" s="15">
        <v>13.31</v>
      </c>
      <c r="K4020" s="16">
        <f>IF(COUNTIFS(Release_Calendar!$A$2:$A$755,"US_CPI",Release_Calendar!$B$2:$B$755,$A4020)&gt;0,1,0)</f>
        <v>0</v>
      </c>
      <c r="L4020" s="16">
        <f>IF(COUNTIFS(Release_Calendar!$A$2:$A$755,"US_NFP",Release_Calendar!$B$2:$B$755,$A4020)&gt;0,1,0)</f>
        <v>0</v>
      </c>
      <c r="M4020" s="16" t="str">
        <f>IF($A4020&lt;Notes!$B$5,"",IF(COUNTIFS(Release_Calendar!$A$2:$A$755,"NZ_CPI",Release_Calendar!$B$2:$B$755,$A4020)&gt;0,1,0))</f>
        <v/>
      </c>
      <c r="N4020" s="16" t="str">
        <f>IF($A4020&lt;Notes!$B$5,"",IF(COUNTIFS(Release_Calendar!$A$2:$A$755,"NZ_GDP",Release_Calendar!$B$2:$B$755,$A4020)&gt;0,1,0))</f>
        <v/>
      </c>
      <c r="O4020" s="16" t="str">
        <f>IF($A4020&lt;Notes!$B$5,"",IF(COUNTIFS(Release_Calendar!$A$2:$A$755,"NZ_LABOUR",Release_Calendar!$B$2:$B$755,$A4020)&gt;0,1,0))</f>
        <v/>
      </c>
      <c r="P4020" s="16">
        <f t="shared" si="4"/>
        <v>0</v>
      </c>
    </row>
    <row r="4021" ht="15.75" customHeight="1">
      <c r="A4021" s="14">
        <v>42153.0</v>
      </c>
      <c r="B4021" s="15">
        <v>0.61</v>
      </c>
      <c r="C4021" s="15">
        <v>3.34</v>
      </c>
      <c r="D4021" s="15">
        <v>3.06</v>
      </c>
      <c r="E4021" s="15">
        <v>3.04</v>
      </c>
      <c r="F4021" s="15">
        <f t="shared" si="1"/>
        <v>2.73</v>
      </c>
      <c r="G4021" s="15">
        <f t="shared" si="2"/>
        <v>3.34</v>
      </c>
      <c r="H4021" s="16">
        <v>0.0</v>
      </c>
      <c r="I4021" s="15">
        <f t="shared" si="3"/>
        <v>2.73</v>
      </c>
      <c r="J4021" s="15">
        <v>13.84</v>
      </c>
      <c r="K4021" s="16">
        <f>IF(COUNTIFS(Release_Calendar!$A$2:$A$755,"US_CPI",Release_Calendar!$B$2:$B$755,$A4021)&gt;0,1,0)</f>
        <v>0</v>
      </c>
      <c r="L4021" s="16">
        <f>IF(COUNTIFS(Release_Calendar!$A$2:$A$755,"US_NFP",Release_Calendar!$B$2:$B$755,$A4021)&gt;0,1,0)</f>
        <v>0</v>
      </c>
      <c r="M4021" s="16" t="str">
        <f>IF($A4021&lt;Notes!$B$5,"",IF(COUNTIFS(Release_Calendar!$A$2:$A$755,"NZ_CPI",Release_Calendar!$B$2:$B$755,$A4021)&gt;0,1,0))</f>
        <v/>
      </c>
      <c r="N4021" s="16" t="str">
        <f>IF($A4021&lt;Notes!$B$5,"",IF(COUNTIFS(Release_Calendar!$A$2:$A$755,"NZ_GDP",Release_Calendar!$B$2:$B$755,$A4021)&gt;0,1,0))</f>
        <v/>
      </c>
      <c r="O4021" s="16" t="str">
        <f>IF($A4021&lt;Notes!$B$5,"",IF(COUNTIFS(Release_Calendar!$A$2:$A$755,"NZ_LABOUR",Release_Calendar!$B$2:$B$755,$A4021)&gt;0,1,0))</f>
        <v/>
      </c>
      <c r="P4021" s="16">
        <f t="shared" si="4"/>
        <v>0</v>
      </c>
    </row>
    <row r="4022" ht="15.75" customHeight="1">
      <c r="A4022" s="14">
        <v>42156.0</v>
      </c>
      <c r="B4022" s="15">
        <v>0.64</v>
      </c>
      <c r="C4022" s="15"/>
      <c r="D4022" s="15"/>
      <c r="E4022" s="15"/>
      <c r="F4022" s="15" t="str">
        <f t="shared" si="1"/>
        <v/>
      </c>
      <c r="G4022" s="15" t="str">
        <f t="shared" si="2"/>
        <v/>
      </c>
      <c r="H4022" s="16">
        <v>0.0</v>
      </c>
      <c r="I4022" s="15" t="str">
        <f t="shared" si="3"/>
        <v/>
      </c>
      <c r="J4022" s="15">
        <v>13.97</v>
      </c>
      <c r="K4022" s="16">
        <f>IF(COUNTIFS(Release_Calendar!$A$2:$A$755,"US_CPI",Release_Calendar!$B$2:$B$755,$A4022)&gt;0,1,0)</f>
        <v>0</v>
      </c>
      <c r="L4022" s="16">
        <f>IF(COUNTIFS(Release_Calendar!$A$2:$A$755,"US_NFP",Release_Calendar!$B$2:$B$755,$A4022)&gt;0,1,0)</f>
        <v>0</v>
      </c>
      <c r="M4022" s="16" t="str">
        <f>IF($A4022&lt;Notes!$B$5,"",IF(COUNTIFS(Release_Calendar!$A$2:$A$755,"NZ_CPI",Release_Calendar!$B$2:$B$755,$A4022)&gt;0,1,0))</f>
        <v/>
      </c>
      <c r="N4022" s="16" t="str">
        <f>IF($A4022&lt;Notes!$B$5,"",IF(COUNTIFS(Release_Calendar!$A$2:$A$755,"NZ_GDP",Release_Calendar!$B$2:$B$755,$A4022)&gt;0,1,0))</f>
        <v/>
      </c>
      <c r="O4022" s="16" t="str">
        <f>IF($A4022&lt;Notes!$B$5,"",IF(COUNTIFS(Release_Calendar!$A$2:$A$755,"NZ_LABOUR",Release_Calendar!$B$2:$B$755,$A4022)&gt;0,1,0))</f>
        <v/>
      </c>
      <c r="P4022" s="16">
        <f t="shared" si="4"/>
        <v>0</v>
      </c>
    </row>
    <row r="4023" ht="15.75" customHeight="1">
      <c r="A4023" s="14">
        <v>42157.0</v>
      </c>
      <c r="B4023" s="15">
        <v>0.64</v>
      </c>
      <c r="C4023" s="15">
        <v>3.35</v>
      </c>
      <c r="D4023" s="15">
        <v>3.04</v>
      </c>
      <c r="E4023" s="15">
        <v>3.06</v>
      </c>
      <c r="F4023" s="15">
        <f t="shared" si="1"/>
        <v>2.71</v>
      </c>
      <c r="G4023" s="15">
        <f t="shared" si="2"/>
        <v>3.35</v>
      </c>
      <c r="H4023" s="16">
        <v>0.0</v>
      </c>
      <c r="I4023" s="15">
        <f t="shared" si="3"/>
        <v>2.71</v>
      </c>
      <c r="J4023" s="15">
        <v>14.24</v>
      </c>
      <c r="K4023" s="16">
        <f>IF(COUNTIFS(Release_Calendar!$A$2:$A$755,"US_CPI",Release_Calendar!$B$2:$B$755,$A4023)&gt;0,1,0)</f>
        <v>0</v>
      </c>
      <c r="L4023" s="16">
        <f>IF(COUNTIFS(Release_Calendar!$A$2:$A$755,"US_NFP",Release_Calendar!$B$2:$B$755,$A4023)&gt;0,1,0)</f>
        <v>0</v>
      </c>
      <c r="M4023" s="16" t="str">
        <f>IF($A4023&lt;Notes!$B$5,"",IF(COUNTIFS(Release_Calendar!$A$2:$A$755,"NZ_CPI",Release_Calendar!$B$2:$B$755,$A4023)&gt;0,1,0))</f>
        <v/>
      </c>
      <c r="N4023" s="16" t="str">
        <f>IF($A4023&lt;Notes!$B$5,"",IF(COUNTIFS(Release_Calendar!$A$2:$A$755,"NZ_GDP",Release_Calendar!$B$2:$B$755,$A4023)&gt;0,1,0))</f>
        <v/>
      </c>
      <c r="O4023" s="16" t="str">
        <f>IF($A4023&lt;Notes!$B$5,"",IF(COUNTIFS(Release_Calendar!$A$2:$A$755,"NZ_LABOUR",Release_Calendar!$B$2:$B$755,$A4023)&gt;0,1,0))</f>
        <v/>
      </c>
      <c r="P4023" s="16">
        <f t="shared" si="4"/>
        <v>0</v>
      </c>
    </row>
    <row r="4024" ht="15.75" customHeight="1">
      <c r="A4024" s="14">
        <v>42158.0</v>
      </c>
      <c r="B4024" s="15">
        <v>0.69</v>
      </c>
      <c r="C4024" s="15">
        <v>3.33</v>
      </c>
      <c r="D4024" s="15">
        <v>3.09</v>
      </c>
      <c r="E4024" s="15">
        <v>3.08</v>
      </c>
      <c r="F4024" s="15">
        <f t="shared" si="1"/>
        <v>2.64</v>
      </c>
      <c r="G4024" s="15">
        <f t="shared" si="2"/>
        <v>3.33</v>
      </c>
      <c r="H4024" s="16">
        <v>0.0</v>
      </c>
      <c r="I4024" s="15">
        <f t="shared" si="3"/>
        <v>2.64</v>
      </c>
      <c r="J4024" s="15">
        <v>13.66</v>
      </c>
      <c r="K4024" s="16">
        <f>IF(COUNTIFS(Release_Calendar!$A$2:$A$755,"US_CPI",Release_Calendar!$B$2:$B$755,$A4024)&gt;0,1,0)</f>
        <v>0</v>
      </c>
      <c r="L4024" s="16">
        <f>IF(COUNTIFS(Release_Calendar!$A$2:$A$755,"US_NFP",Release_Calendar!$B$2:$B$755,$A4024)&gt;0,1,0)</f>
        <v>0</v>
      </c>
      <c r="M4024" s="16" t="str">
        <f>IF($A4024&lt;Notes!$B$5,"",IF(COUNTIFS(Release_Calendar!$A$2:$A$755,"NZ_CPI",Release_Calendar!$B$2:$B$755,$A4024)&gt;0,1,0))</f>
        <v/>
      </c>
      <c r="N4024" s="16" t="str">
        <f>IF($A4024&lt;Notes!$B$5,"",IF(COUNTIFS(Release_Calendar!$A$2:$A$755,"NZ_GDP",Release_Calendar!$B$2:$B$755,$A4024)&gt;0,1,0))</f>
        <v/>
      </c>
      <c r="O4024" s="16" t="str">
        <f>IF($A4024&lt;Notes!$B$5,"",IF(COUNTIFS(Release_Calendar!$A$2:$A$755,"NZ_LABOUR",Release_Calendar!$B$2:$B$755,$A4024)&gt;0,1,0))</f>
        <v/>
      </c>
      <c r="P4024" s="16">
        <f t="shared" si="4"/>
        <v>0</v>
      </c>
    </row>
    <row r="4025" ht="15.75" customHeight="1">
      <c r="A4025" s="14">
        <v>42159.0</v>
      </c>
      <c r="B4025" s="15">
        <v>0.66</v>
      </c>
      <c r="C4025" s="15">
        <v>3.37</v>
      </c>
      <c r="D4025" s="15">
        <v>3.11</v>
      </c>
      <c r="E4025" s="15">
        <v>3.12</v>
      </c>
      <c r="F4025" s="15">
        <f t="shared" si="1"/>
        <v>2.71</v>
      </c>
      <c r="G4025" s="15">
        <f t="shared" si="2"/>
        <v>3.37</v>
      </c>
      <c r="H4025" s="16">
        <v>0.0</v>
      </c>
      <c r="I4025" s="15">
        <f t="shared" si="3"/>
        <v>2.71</v>
      </c>
      <c r="J4025" s="15">
        <v>14.71</v>
      </c>
      <c r="K4025" s="16">
        <f>IF(COUNTIFS(Release_Calendar!$A$2:$A$755,"US_CPI",Release_Calendar!$B$2:$B$755,$A4025)&gt;0,1,0)</f>
        <v>0</v>
      </c>
      <c r="L4025" s="16">
        <f>IF(COUNTIFS(Release_Calendar!$A$2:$A$755,"US_NFP",Release_Calendar!$B$2:$B$755,$A4025)&gt;0,1,0)</f>
        <v>0</v>
      </c>
      <c r="M4025" s="16" t="str">
        <f>IF($A4025&lt;Notes!$B$5,"",IF(COUNTIFS(Release_Calendar!$A$2:$A$755,"NZ_CPI",Release_Calendar!$B$2:$B$755,$A4025)&gt;0,1,0))</f>
        <v/>
      </c>
      <c r="N4025" s="16" t="str">
        <f>IF($A4025&lt;Notes!$B$5,"",IF(COUNTIFS(Release_Calendar!$A$2:$A$755,"NZ_GDP",Release_Calendar!$B$2:$B$755,$A4025)&gt;0,1,0))</f>
        <v/>
      </c>
      <c r="O4025" s="16" t="str">
        <f>IF($A4025&lt;Notes!$B$5,"",IF(COUNTIFS(Release_Calendar!$A$2:$A$755,"NZ_LABOUR",Release_Calendar!$B$2:$B$755,$A4025)&gt;0,1,0))</f>
        <v/>
      </c>
      <c r="P4025" s="16">
        <f t="shared" si="4"/>
        <v>0</v>
      </c>
    </row>
    <row r="4026" ht="15.75" customHeight="1">
      <c r="A4026" s="14">
        <v>42160.0</v>
      </c>
      <c r="B4026" s="15">
        <v>0.73</v>
      </c>
      <c r="C4026" s="15">
        <v>3.37</v>
      </c>
      <c r="D4026" s="15">
        <v>3.09</v>
      </c>
      <c r="E4026" s="15">
        <v>3.13</v>
      </c>
      <c r="F4026" s="15">
        <f t="shared" si="1"/>
        <v>2.64</v>
      </c>
      <c r="G4026" s="15">
        <f t="shared" si="2"/>
        <v>3.37</v>
      </c>
      <c r="H4026" s="16">
        <v>0.0</v>
      </c>
      <c r="I4026" s="15">
        <f t="shared" si="3"/>
        <v>2.64</v>
      </c>
      <c r="J4026" s="15">
        <v>14.21</v>
      </c>
      <c r="K4026" s="16">
        <f>IF(COUNTIFS(Release_Calendar!$A$2:$A$755,"US_CPI",Release_Calendar!$B$2:$B$755,$A4026)&gt;0,1,0)</f>
        <v>0</v>
      </c>
      <c r="L4026" s="16">
        <f>IF(COUNTIFS(Release_Calendar!$A$2:$A$755,"US_NFP",Release_Calendar!$B$2:$B$755,$A4026)&gt;0,1,0)</f>
        <v>1</v>
      </c>
      <c r="M4026" s="16" t="str">
        <f>IF($A4026&lt;Notes!$B$5,"",IF(COUNTIFS(Release_Calendar!$A$2:$A$755,"NZ_CPI",Release_Calendar!$B$2:$B$755,$A4026)&gt;0,1,0))</f>
        <v/>
      </c>
      <c r="N4026" s="16" t="str">
        <f>IF($A4026&lt;Notes!$B$5,"",IF(COUNTIFS(Release_Calendar!$A$2:$A$755,"NZ_GDP",Release_Calendar!$B$2:$B$755,$A4026)&gt;0,1,0))</f>
        <v/>
      </c>
      <c r="O4026" s="16" t="str">
        <f>IF($A4026&lt;Notes!$B$5,"",IF(COUNTIFS(Release_Calendar!$A$2:$A$755,"NZ_LABOUR",Release_Calendar!$B$2:$B$755,$A4026)&gt;0,1,0))</f>
        <v/>
      </c>
      <c r="P4026" s="16">
        <f t="shared" si="4"/>
        <v>1</v>
      </c>
    </row>
    <row r="4027" ht="15.75" customHeight="1">
      <c r="A4027" s="14">
        <v>42163.0</v>
      </c>
      <c r="B4027" s="15">
        <v>0.7</v>
      </c>
      <c r="C4027" s="15">
        <v>3.38</v>
      </c>
      <c r="D4027" s="15">
        <v>3.15</v>
      </c>
      <c r="E4027" s="15">
        <v>3.16</v>
      </c>
      <c r="F4027" s="15">
        <f t="shared" si="1"/>
        <v>2.68</v>
      </c>
      <c r="G4027" s="15">
        <f t="shared" si="2"/>
        <v>3.38</v>
      </c>
      <c r="H4027" s="16">
        <v>0.0</v>
      </c>
      <c r="I4027" s="15">
        <f t="shared" si="3"/>
        <v>2.68</v>
      </c>
      <c r="J4027" s="15">
        <v>15.29</v>
      </c>
      <c r="K4027" s="16">
        <f>IF(COUNTIFS(Release_Calendar!$A$2:$A$755,"US_CPI",Release_Calendar!$B$2:$B$755,$A4027)&gt;0,1,0)</f>
        <v>0</v>
      </c>
      <c r="L4027" s="16">
        <f>IF(COUNTIFS(Release_Calendar!$A$2:$A$755,"US_NFP",Release_Calendar!$B$2:$B$755,$A4027)&gt;0,1,0)</f>
        <v>0</v>
      </c>
      <c r="M4027" s="16" t="str">
        <f>IF($A4027&lt;Notes!$B$5,"",IF(COUNTIFS(Release_Calendar!$A$2:$A$755,"NZ_CPI",Release_Calendar!$B$2:$B$755,$A4027)&gt;0,1,0))</f>
        <v/>
      </c>
      <c r="N4027" s="16" t="str">
        <f>IF($A4027&lt;Notes!$B$5,"",IF(COUNTIFS(Release_Calendar!$A$2:$A$755,"NZ_GDP",Release_Calendar!$B$2:$B$755,$A4027)&gt;0,1,0))</f>
        <v/>
      </c>
      <c r="O4027" s="16" t="str">
        <f>IF($A4027&lt;Notes!$B$5,"",IF(COUNTIFS(Release_Calendar!$A$2:$A$755,"NZ_LABOUR",Release_Calendar!$B$2:$B$755,$A4027)&gt;0,1,0))</f>
        <v/>
      </c>
      <c r="P4027" s="16">
        <f t="shared" si="4"/>
        <v>0</v>
      </c>
    </row>
    <row r="4028" ht="15.75" customHeight="1">
      <c r="A4028" s="14">
        <v>42164.0</v>
      </c>
      <c r="B4028" s="15">
        <v>0.72</v>
      </c>
      <c r="C4028" s="15">
        <v>3.37</v>
      </c>
      <c r="D4028" s="15">
        <v>3.14</v>
      </c>
      <c r="E4028" s="15">
        <v>3.12</v>
      </c>
      <c r="F4028" s="15">
        <f t="shared" si="1"/>
        <v>2.65</v>
      </c>
      <c r="G4028" s="15">
        <f t="shared" si="2"/>
        <v>3.37</v>
      </c>
      <c r="H4028" s="16">
        <v>0.0</v>
      </c>
      <c r="I4028" s="15">
        <f t="shared" si="3"/>
        <v>2.65</v>
      </c>
      <c r="J4028" s="15">
        <v>14.47</v>
      </c>
      <c r="K4028" s="16">
        <f>IF(COUNTIFS(Release_Calendar!$A$2:$A$755,"US_CPI",Release_Calendar!$B$2:$B$755,$A4028)&gt;0,1,0)</f>
        <v>0</v>
      </c>
      <c r="L4028" s="16">
        <f>IF(COUNTIFS(Release_Calendar!$A$2:$A$755,"US_NFP",Release_Calendar!$B$2:$B$755,$A4028)&gt;0,1,0)</f>
        <v>0</v>
      </c>
      <c r="M4028" s="16" t="str">
        <f>IF($A4028&lt;Notes!$B$5,"",IF(COUNTIFS(Release_Calendar!$A$2:$A$755,"NZ_CPI",Release_Calendar!$B$2:$B$755,$A4028)&gt;0,1,0))</f>
        <v/>
      </c>
      <c r="N4028" s="16" t="str">
        <f>IF($A4028&lt;Notes!$B$5,"",IF(COUNTIFS(Release_Calendar!$A$2:$A$755,"NZ_GDP",Release_Calendar!$B$2:$B$755,$A4028)&gt;0,1,0))</f>
        <v/>
      </c>
      <c r="O4028" s="16" t="str">
        <f>IF($A4028&lt;Notes!$B$5,"",IF(COUNTIFS(Release_Calendar!$A$2:$A$755,"NZ_LABOUR",Release_Calendar!$B$2:$B$755,$A4028)&gt;0,1,0))</f>
        <v/>
      </c>
      <c r="P4028" s="16">
        <f t="shared" si="4"/>
        <v>0</v>
      </c>
    </row>
    <row r="4029" ht="15.75" customHeight="1">
      <c r="A4029" s="14">
        <v>42165.0</v>
      </c>
      <c r="B4029" s="15">
        <v>0.75</v>
      </c>
      <c r="C4029" s="15">
        <v>3.34</v>
      </c>
      <c r="D4029" s="15">
        <v>3.15</v>
      </c>
      <c r="E4029" s="15">
        <v>3.13</v>
      </c>
      <c r="F4029" s="15">
        <f t="shared" si="1"/>
        <v>2.59</v>
      </c>
      <c r="G4029" s="15">
        <f t="shared" si="2"/>
        <v>3.34</v>
      </c>
      <c r="H4029" s="16">
        <v>0.0</v>
      </c>
      <c r="I4029" s="15">
        <f t="shared" si="3"/>
        <v>2.59</v>
      </c>
      <c r="J4029" s="15">
        <v>13.22</v>
      </c>
      <c r="K4029" s="16">
        <f>IF(COUNTIFS(Release_Calendar!$A$2:$A$755,"US_CPI",Release_Calendar!$B$2:$B$755,$A4029)&gt;0,1,0)</f>
        <v>0</v>
      </c>
      <c r="L4029" s="16">
        <f>IF(COUNTIFS(Release_Calendar!$A$2:$A$755,"US_NFP",Release_Calendar!$B$2:$B$755,$A4029)&gt;0,1,0)</f>
        <v>0</v>
      </c>
      <c r="M4029" s="16" t="str">
        <f>IF($A4029&lt;Notes!$B$5,"",IF(COUNTIFS(Release_Calendar!$A$2:$A$755,"NZ_CPI",Release_Calendar!$B$2:$B$755,$A4029)&gt;0,1,0))</f>
        <v/>
      </c>
      <c r="N4029" s="16" t="str">
        <f>IF($A4029&lt;Notes!$B$5,"",IF(COUNTIFS(Release_Calendar!$A$2:$A$755,"NZ_GDP",Release_Calendar!$B$2:$B$755,$A4029)&gt;0,1,0))</f>
        <v/>
      </c>
      <c r="O4029" s="16" t="str">
        <f>IF($A4029&lt;Notes!$B$5,"",IF(COUNTIFS(Release_Calendar!$A$2:$A$755,"NZ_LABOUR",Release_Calendar!$B$2:$B$755,$A4029)&gt;0,1,0))</f>
        <v/>
      </c>
      <c r="P4029" s="16">
        <f t="shared" si="4"/>
        <v>0</v>
      </c>
    </row>
    <row r="4030" ht="15.75" customHeight="1">
      <c r="A4030" s="14">
        <v>42166.0</v>
      </c>
      <c r="B4030" s="15">
        <v>0.73</v>
      </c>
      <c r="C4030" s="15">
        <v>3.24</v>
      </c>
      <c r="D4030" s="15">
        <v>3.0</v>
      </c>
      <c r="E4030" s="15">
        <v>3.03</v>
      </c>
      <c r="F4030" s="15">
        <f t="shared" si="1"/>
        <v>2.51</v>
      </c>
      <c r="G4030" s="15">
        <f t="shared" si="2"/>
        <v>3.24</v>
      </c>
      <c r="H4030" s="16">
        <v>0.0</v>
      </c>
      <c r="I4030" s="15">
        <f t="shared" si="3"/>
        <v>2.51</v>
      </c>
      <c r="J4030" s="15">
        <v>12.85</v>
      </c>
      <c r="K4030" s="16">
        <f>IF(COUNTIFS(Release_Calendar!$A$2:$A$755,"US_CPI",Release_Calendar!$B$2:$B$755,$A4030)&gt;0,1,0)</f>
        <v>0</v>
      </c>
      <c r="L4030" s="16">
        <f>IF(COUNTIFS(Release_Calendar!$A$2:$A$755,"US_NFP",Release_Calendar!$B$2:$B$755,$A4030)&gt;0,1,0)</f>
        <v>0</v>
      </c>
      <c r="M4030" s="16" t="str">
        <f>IF($A4030&lt;Notes!$B$5,"",IF(COUNTIFS(Release_Calendar!$A$2:$A$755,"NZ_CPI",Release_Calendar!$B$2:$B$755,$A4030)&gt;0,1,0))</f>
        <v/>
      </c>
      <c r="N4030" s="16" t="str">
        <f>IF($A4030&lt;Notes!$B$5,"",IF(COUNTIFS(Release_Calendar!$A$2:$A$755,"NZ_GDP",Release_Calendar!$B$2:$B$755,$A4030)&gt;0,1,0))</f>
        <v/>
      </c>
      <c r="O4030" s="16" t="str">
        <f>IF($A4030&lt;Notes!$B$5,"",IF(COUNTIFS(Release_Calendar!$A$2:$A$755,"NZ_LABOUR",Release_Calendar!$B$2:$B$755,$A4030)&gt;0,1,0))</f>
        <v/>
      </c>
      <c r="P4030" s="16">
        <f t="shared" si="4"/>
        <v>0</v>
      </c>
    </row>
    <row r="4031" ht="15.75" customHeight="1">
      <c r="A4031" s="14">
        <v>42167.0</v>
      </c>
      <c r="B4031" s="15">
        <v>0.74</v>
      </c>
      <c r="C4031" s="15">
        <v>3.2</v>
      </c>
      <c r="D4031" s="15">
        <v>2.98</v>
      </c>
      <c r="E4031" s="15">
        <v>2.96</v>
      </c>
      <c r="F4031" s="15">
        <f t="shared" si="1"/>
        <v>2.46</v>
      </c>
      <c r="G4031" s="15">
        <f t="shared" si="2"/>
        <v>3.2</v>
      </c>
      <c r="H4031" s="16">
        <v>0.0</v>
      </c>
      <c r="I4031" s="15">
        <f t="shared" si="3"/>
        <v>2.46</v>
      </c>
      <c r="J4031" s="15">
        <v>13.78</v>
      </c>
      <c r="K4031" s="16">
        <f>IF(COUNTIFS(Release_Calendar!$A$2:$A$755,"US_CPI",Release_Calendar!$B$2:$B$755,$A4031)&gt;0,1,0)</f>
        <v>0</v>
      </c>
      <c r="L4031" s="16">
        <f>IF(COUNTIFS(Release_Calendar!$A$2:$A$755,"US_NFP",Release_Calendar!$B$2:$B$755,$A4031)&gt;0,1,0)</f>
        <v>0</v>
      </c>
      <c r="M4031" s="16" t="str">
        <f>IF($A4031&lt;Notes!$B$5,"",IF(COUNTIFS(Release_Calendar!$A$2:$A$755,"NZ_CPI",Release_Calendar!$B$2:$B$755,$A4031)&gt;0,1,0))</f>
        <v/>
      </c>
      <c r="N4031" s="16" t="str">
        <f>IF($A4031&lt;Notes!$B$5,"",IF(COUNTIFS(Release_Calendar!$A$2:$A$755,"NZ_GDP",Release_Calendar!$B$2:$B$755,$A4031)&gt;0,1,0))</f>
        <v/>
      </c>
      <c r="O4031" s="16" t="str">
        <f>IF($A4031&lt;Notes!$B$5,"",IF(COUNTIFS(Release_Calendar!$A$2:$A$755,"NZ_LABOUR",Release_Calendar!$B$2:$B$755,$A4031)&gt;0,1,0))</f>
        <v/>
      </c>
      <c r="P4031" s="16">
        <f t="shared" si="4"/>
        <v>0</v>
      </c>
    </row>
    <row r="4032" ht="15.75" customHeight="1">
      <c r="A4032" s="14">
        <v>42170.0</v>
      </c>
      <c r="B4032" s="15">
        <v>0.72</v>
      </c>
      <c r="C4032" s="15">
        <v>3.19</v>
      </c>
      <c r="D4032" s="15">
        <v>2.95</v>
      </c>
      <c r="E4032" s="15">
        <v>2.95</v>
      </c>
      <c r="F4032" s="15">
        <f t="shared" si="1"/>
        <v>2.47</v>
      </c>
      <c r="G4032" s="15">
        <f t="shared" si="2"/>
        <v>3.19</v>
      </c>
      <c r="H4032" s="16">
        <v>0.0</v>
      </c>
      <c r="I4032" s="15">
        <f t="shared" si="3"/>
        <v>2.47</v>
      </c>
      <c r="J4032" s="15">
        <v>15.39</v>
      </c>
      <c r="K4032" s="16">
        <f>IF(COUNTIFS(Release_Calendar!$A$2:$A$755,"US_CPI",Release_Calendar!$B$2:$B$755,$A4032)&gt;0,1,0)</f>
        <v>0</v>
      </c>
      <c r="L4032" s="16">
        <f>IF(COUNTIFS(Release_Calendar!$A$2:$A$755,"US_NFP",Release_Calendar!$B$2:$B$755,$A4032)&gt;0,1,0)</f>
        <v>0</v>
      </c>
      <c r="M4032" s="16" t="str">
        <f>IF($A4032&lt;Notes!$B$5,"",IF(COUNTIFS(Release_Calendar!$A$2:$A$755,"NZ_CPI",Release_Calendar!$B$2:$B$755,$A4032)&gt;0,1,0))</f>
        <v/>
      </c>
      <c r="N4032" s="16" t="str">
        <f>IF($A4032&lt;Notes!$B$5,"",IF(COUNTIFS(Release_Calendar!$A$2:$A$755,"NZ_GDP",Release_Calendar!$B$2:$B$755,$A4032)&gt;0,1,0))</f>
        <v/>
      </c>
      <c r="O4032" s="16" t="str">
        <f>IF($A4032&lt;Notes!$B$5,"",IF(COUNTIFS(Release_Calendar!$A$2:$A$755,"NZ_LABOUR",Release_Calendar!$B$2:$B$755,$A4032)&gt;0,1,0))</f>
        <v/>
      </c>
      <c r="P4032" s="16">
        <f t="shared" si="4"/>
        <v>0</v>
      </c>
    </row>
    <row r="4033" ht="15.75" customHeight="1">
      <c r="A4033" s="14">
        <v>42171.0</v>
      </c>
      <c r="B4033" s="15">
        <v>0.71</v>
      </c>
      <c r="C4033" s="15">
        <v>3.16</v>
      </c>
      <c r="D4033" s="15">
        <v>2.94</v>
      </c>
      <c r="E4033" s="15">
        <v>2.94</v>
      </c>
      <c r="F4033" s="15">
        <f t="shared" si="1"/>
        <v>2.45</v>
      </c>
      <c r="G4033" s="15">
        <f t="shared" si="2"/>
        <v>3.16</v>
      </c>
      <c r="H4033" s="16">
        <v>0.0</v>
      </c>
      <c r="I4033" s="15">
        <f t="shared" si="3"/>
        <v>2.45</v>
      </c>
      <c r="J4033" s="15">
        <v>14.81</v>
      </c>
      <c r="K4033" s="16">
        <f>IF(COUNTIFS(Release_Calendar!$A$2:$A$755,"US_CPI",Release_Calendar!$B$2:$B$755,$A4033)&gt;0,1,0)</f>
        <v>0</v>
      </c>
      <c r="L4033" s="16">
        <f>IF(COUNTIFS(Release_Calendar!$A$2:$A$755,"US_NFP",Release_Calendar!$B$2:$B$755,$A4033)&gt;0,1,0)</f>
        <v>0</v>
      </c>
      <c r="M4033" s="16" t="str">
        <f>IF($A4033&lt;Notes!$B$5,"",IF(COUNTIFS(Release_Calendar!$A$2:$A$755,"NZ_CPI",Release_Calendar!$B$2:$B$755,$A4033)&gt;0,1,0))</f>
        <v/>
      </c>
      <c r="N4033" s="16" t="str">
        <f>IF($A4033&lt;Notes!$B$5,"",IF(COUNTIFS(Release_Calendar!$A$2:$A$755,"NZ_GDP",Release_Calendar!$B$2:$B$755,$A4033)&gt;0,1,0))</f>
        <v/>
      </c>
      <c r="O4033" s="16" t="str">
        <f>IF($A4033&lt;Notes!$B$5,"",IF(COUNTIFS(Release_Calendar!$A$2:$A$755,"NZ_LABOUR",Release_Calendar!$B$2:$B$755,$A4033)&gt;0,1,0))</f>
        <v/>
      </c>
      <c r="P4033" s="16">
        <f t="shared" si="4"/>
        <v>0</v>
      </c>
    </row>
    <row r="4034" ht="15.75" customHeight="1">
      <c r="A4034" s="14">
        <v>42172.0</v>
      </c>
      <c r="B4034" s="15">
        <v>0.67</v>
      </c>
      <c r="C4034" s="15">
        <v>3.17</v>
      </c>
      <c r="D4034" s="15">
        <v>2.92</v>
      </c>
      <c r="E4034" s="15">
        <v>2.94</v>
      </c>
      <c r="F4034" s="15">
        <f t="shared" si="1"/>
        <v>2.5</v>
      </c>
      <c r="G4034" s="15">
        <f t="shared" si="2"/>
        <v>3.17</v>
      </c>
      <c r="H4034" s="16">
        <v>0.0</v>
      </c>
      <c r="I4034" s="15">
        <f t="shared" si="3"/>
        <v>2.5</v>
      </c>
      <c r="J4034" s="15">
        <v>14.5</v>
      </c>
      <c r="K4034" s="16">
        <f>IF(COUNTIFS(Release_Calendar!$A$2:$A$755,"US_CPI",Release_Calendar!$B$2:$B$755,$A4034)&gt;0,1,0)</f>
        <v>0</v>
      </c>
      <c r="L4034" s="16">
        <f>IF(COUNTIFS(Release_Calendar!$A$2:$A$755,"US_NFP",Release_Calendar!$B$2:$B$755,$A4034)&gt;0,1,0)</f>
        <v>0</v>
      </c>
      <c r="M4034" s="16" t="str">
        <f>IF($A4034&lt;Notes!$B$5,"",IF(COUNTIFS(Release_Calendar!$A$2:$A$755,"NZ_CPI",Release_Calendar!$B$2:$B$755,$A4034)&gt;0,1,0))</f>
        <v/>
      </c>
      <c r="N4034" s="16" t="str">
        <f>IF($A4034&lt;Notes!$B$5,"",IF(COUNTIFS(Release_Calendar!$A$2:$A$755,"NZ_GDP",Release_Calendar!$B$2:$B$755,$A4034)&gt;0,1,0))</f>
        <v/>
      </c>
      <c r="O4034" s="16" t="str">
        <f>IF($A4034&lt;Notes!$B$5,"",IF(COUNTIFS(Release_Calendar!$A$2:$A$755,"NZ_LABOUR",Release_Calendar!$B$2:$B$755,$A4034)&gt;0,1,0))</f>
        <v/>
      </c>
      <c r="P4034" s="16">
        <f t="shared" si="4"/>
        <v>0</v>
      </c>
    </row>
    <row r="4035" ht="15.75" customHeight="1">
      <c r="A4035" s="14">
        <v>42173.0</v>
      </c>
      <c r="B4035" s="15">
        <v>0.66</v>
      </c>
      <c r="C4035" s="15">
        <v>3.08</v>
      </c>
      <c r="D4035" s="15">
        <v>2.9</v>
      </c>
      <c r="E4035" s="15">
        <v>2.88</v>
      </c>
      <c r="F4035" s="15">
        <f t="shared" si="1"/>
        <v>2.42</v>
      </c>
      <c r="G4035" s="15">
        <f t="shared" si="2"/>
        <v>3.08</v>
      </c>
      <c r="H4035" s="16">
        <v>0.0</v>
      </c>
      <c r="I4035" s="15">
        <f t="shared" si="3"/>
        <v>2.42</v>
      </c>
      <c r="J4035" s="15">
        <v>13.19</v>
      </c>
      <c r="K4035" s="16">
        <f>IF(COUNTIFS(Release_Calendar!$A$2:$A$755,"US_CPI",Release_Calendar!$B$2:$B$755,$A4035)&gt;0,1,0)</f>
        <v>1</v>
      </c>
      <c r="L4035" s="16">
        <f>IF(COUNTIFS(Release_Calendar!$A$2:$A$755,"US_NFP",Release_Calendar!$B$2:$B$755,$A4035)&gt;0,1,0)</f>
        <v>0</v>
      </c>
      <c r="M4035" s="16" t="str">
        <f>IF($A4035&lt;Notes!$B$5,"",IF(COUNTIFS(Release_Calendar!$A$2:$A$755,"NZ_CPI",Release_Calendar!$B$2:$B$755,$A4035)&gt;0,1,0))</f>
        <v/>
      </c>
      <c r="N4035" s="16" t="str">
        <f>IF($A4035&lt;Notes!$B$5,"",IF(COUNTIFS(Release_Calendar!$A$2:$A$755,"NZ_GDP",Release_Calendar!$B$2:$B$755,$A4035)&gt;0,1,0))</f>
        <v/>
      </c>
      <c r="O4035" s="16" t="str">
        <f>IF($A4035&lt;Notes!$B$5,"",IF(COUNTIFS(Release_Calendar!$A$2:$A$755,"NZ_LABOUR",Release_Calendar!$B$2:$B$755,$A4035)&gt;0,1,0))</f>
        <v/>
      </c>
      <c r="P4035" s="16">
        <f t="shared" si="4"/>
        <v>1</v>
      </c>
    </row>
    <row r="4036" ht="15.75" customHeight="1">
      <c r="A4036" s="14">
        <v>42174.0</v>
      </c>
      <c r="B4036" s="15">
        <v>0.65</v>
      </c>
      <c r="C4036" s="15">
        <v>3.07</v>
      </c>
      <c r="D4036" s="15">
        <v>2.91</v>
      </c>
      <c r="E4036" s="15">
        <v>2.85</v>
      </c>
      <c r="F4036" s="15">
        <f t="shared" si="1"/>
        <v>2.42</v>
      </c>
      <c r="G4036" s="15">
        <f t="shared" si="2"/>
        <v>3.07</v>
      </c>
      <c r="H4036" s="16">
        <v>0.0</v>
      </c>
      <c r="I4036" s="15">
        <f t="shared" si="3"/>
        <v>2.42</v>
      </c>
      <c r="J4036" s="15">
        <v>13.96</v>
      </c>
      <c r="K4036" s="16">
        <f>IF(COUNTIFS(Release_Calendar!$A$2:$A$755,"US_CPI",Release_Calendar!$B$2:$B$755,$A4036)&gt;0,1,0)</f>
        <v>0</v>
      </c>
      <c r="L4036" s="16">
        <f>IF(COUNTIFS(Release_Calendar!$A$2:$A$755,"US_NFP",Release_Calendar!$B$2:$B$755,$A4036)&gt;0,1,0)</f>
        <v>0</v>
      </c>
      <c r="M4036" s="16" t="str">
        <f>IF($A4036&lt;Notes!$B$5,"",IF(COUNTIFS(Release_Calendar!$A$2:$A$755,"NZ_CPI",Release_Calendar!$B$2:$B$755,$A4036)&gt;0,1,0))</f>
        <v/>
      </c>
      <c r="N4036" s="16" t="str">
        <f>IF($A4036&lt;Notes!$B$5,"",IF(COUNTIFS(Release_Calendar!$A$2:$A$755,"NZ_GDP",Release_Calendar!$B$2:$B$755,$A4036)&gt;0,1,0))</f>
        <v/>
      </c>
      <c r="O4036" s="16" t="str">
        <f>IF($A4036&lt;Notes!$B$5,"",IF(COUNTIFS(Release_Calendar!$A$2:$A$755,"NZ_LABOUR",Release_Calendar!$B$2:$B$755,$A4036)&gt;0,1,0))</f>
        <v/>
      </c>
      <c r="P4036" s="16">
        <f t="shared" si="4"/>
        <v>0</v>
      </c>
    </row>
    <row r="4037" ht="15.75" customHeight="1">
      <c r="A4037" s="14">
        <v>42177.0</v>
      </c>
      <c r="B4037" s="15">
        <v>0.68</v>
      </c>
      <c r="C4037" s="15">
        <v>3.06</v>
      </c>
      <c r="D4037" s="15">
        <v>2.85</v>
      </c>
      <c r="E4037" s="15">
        <v>2.85</v>
      </c>
      <c r="F4037" s="15">
        <f t="shared" si="1"/>
        <v>2.38</v>
      </c>
      <c r="G4037" s="15">
        <f t="shared" si="2"/>
        <v>3.06</v>
      </c>
      <c r="H4037" s="16">
        <v>0.0</v>
      </c>
      <c r="I4037" s="15">
        <f t="shared" si="3"/>
        <v>2.38</v>
      </c>
      <c r="J4037" s="15">
        <v>12.74</v>
      </c>
      <c r="K4037" s="16">
        <f>IF(COUNTIFS(Release_Calendar!$A$2:$A$755,"US_CPI",Release_Calendar!$B$2:$B$755,$A4037)&gt;0,1,0)</f>
        <v>0</v>
      </c>
      <c r="L4037" s="16">
        <f>IF(COUNTIFS(Release_Calendar!$A$2:$A$755,"US_NFP",Release_Calendar!$B$2:$B$755,$A4037)&gt;0,1,0)</f>
        <v>0</v>
      </c>
      <c r="M4037" s="16" t="str">
        <f>IF($A4037&lt;Notes!$B$5,"",IF(COUNTIFS(Release_Calendar!$A$2:$A$755,"NZ_CPI",Release_Calendar!$B$2:$B$755,$A4037)&gt;0,1,0))</f>
        <v/>
      </c>
      <c r="N4037" s="16" t="str">
        <f>IF($A4037&lt;Notes!$B$5,"",IF(COUNTIFS(Release_Calendar!$A$2:$A$755,"NZ_GDP",Release_Calendar!$B$2:$B$755,$A4037)&gt;0,1,0))</f>
        <v/>
      </c>
      <c r="O4037" s="16" t="str">
        <f>IF($A4037&lt;Notes!$B$5,"",IF(COUNTIFS(Release_Calendar!$A$2:$A$755,"NZ_LABOUR",Release_Calendar!$B$2:$B$755,$A4037)&gt;0,1,0))</f>
        <v/>
      </c>
      <c r="P4037" s="16">
        <f t="shared" si="4"/>
        <v>0</v>
      </c>
    </row>
    <row r="4038" ht="15.75" customHeight="1">
      <c r="A4038" s="14">
        <v>42178.0</v>
      </c>
      <c r="B4038" s="15">
        <v>0.7</v>
      </c>
      <c r="C4038" s="15">
        <v>3.1</v>
      </c>
      <c r="D4038" s="15">
        <v>2.88</v>
      </c>
      <c r="E4038" s="15">
        <v>2.89</v>
      </c>
      <c r="F4038" s="15">
        <f t="shared" si="1"/>
        <v>2.4</v>
      </c>
      <c r="G4038" s="15">
        <f t="shared" si="2"/>
        <v>3.1</v>
      </c>
      <c r="H4038" s="16">
        <v>0.0</v>
      </c>
      <c r="I4038" s="15">
        <f t="shared" si="3"/>
        <v>2.4</v>
      </c>
      <c r="J4038" s="15">
        <v>12.11</v>
      </c>
      <c r="K4038" s="16">
        <f>IF(COUNTIFS(Release_Calendar!$A$2:$A$755,"US_CPI",Release_Calendar!$B$2:$B$755,$A4038)&gt;0,1,0)</f>
        <v>0</v>
      </c>
      <c r="L4038" s="16">
        <f>IF(COUNTIFS(Release_Calendar!$A$2:$A$755,"US_NFP",Release_Calendar!$B$2:$B$755,$A4038)&gt;0,1,0)</f>
        <v>0</v>
      </c>
      <c r="M4038" s="16" t="str">
        <f>IF($A4038&lt;Notes!$B$5,"",IF(COUNTIFS(Release_Calendar!$A$2:$A$755,"NZ_CPI",Release_Calendar!$B$2:$B$755,$A4038)&gt;0,1,0))</f>
        <v/>
      </c>
      <c r="N4038" s="16" t="str">
        <f>IF($A4038&lt;Notes!$B$5,"",IF(COUNTIFS(Release_Calendar!$A$2:$A$755,"NZ_GDP",Release_Calendar!$B$2:$B$755,$A4038)&gt;0,1,0))</f>
        <v/>
      </c>
      <c r="O4038" s="16" t="str">
        <f>IF($A4038&lt;Notes!$B$5,"",IF(COUNTIFS(Release_Calendar!$A$2:$A$755,"NZ_LABOUR",Release_Calendar!$B$2:$B$755,$A4038)&gt;0,1,0))</f>
        <v/>
      </c>
      <c r="P4038" s="16">
        <f t="shared" si="4"/>
        <v>0</v>
      </c>
    </row>
    <row r="4039" ht="15.75" customHeight="1">
      <c r="A4039" s="14">
        <v>42179.0</v>
      </c>
      <c r="B4039" s="15">
        <v>0.68</v>
      </c>
      <c r="C4039" s="15">
        <v>3.11</v>
      </c>
      <c r="D4039" s="15">
        <v>2.91</v>
      </c>
      <c r="E4039" s="15">
        <v>2.9</v>
      </c>
      <c r="F4039" s="15">
        <f t="shared" si="1"/>
        <v>2.43</v>
      </c>
      <c r="G4039" s="15">
        <f t="shared" si="2"/>
        <v>3.11</v>
      </c>
      <c r="H4039" s="16">
        <v>0.0</v>
      </c>
      <c r="I4039" s="15">
        <f t="shared" si="3"/>
        <v>2.43</v>
      </c>
      <c r="J4039" s="15">
        <v>13.26</v>
      </c>
      <c r="K4039" s="16">
        <f>IF(COUNTIFS(Release_Calendar!$A$2:$A$755,"US_CPI",Release_Calendar!$B$2:$B$755,$A4039)&gt;0,1,0)</f>
        <v>0</v>
      </c>
      <c r="L4039" s="16">
        <f>IF(COUNTIFS(Release_Calendar!$A$2:$A$755,"US_NFP",Release_Calendar!$B$2:$B$755,$A4039)&gt;0,1,0)</f>
        <v>0</v>
      </c>
      <c r="M4039" s="16" t="str">
        <f>IF($A4039&lt;Notes!$B$5,"",IF(COUNTIFS(Release_Calendar!$A$2:$A$755,"NZ_CPI",Release_Calendar!$B$2:$B$755,$A4039)&gt;0,1,0))</f>
        <v/>
      </c>
      <c r="N4039" s="16" t="str">
        <f>IF($A4039&lt;Notes!$B$5,"",IF(COUNTIFS(Release_Calendar!$A$2:$A$755,"NZ_GDP",Release_Calendar!$B$2:$B$755,$A4039)&gt;0,1,0))</f>
        <v/>
      </c>
      <c r="O4039" s="16" t="str">
        <f>IF($A4039&lt;Notes!$B$5,"",IF(COUNTIFS(Release_Calendar!$A$2:$A$755,"NZ_LABOUR",Release_Calendar!$B$2:$B$755,$A4039)&gt;0,1,0))</f>
        <v/>
      </c>
      <c r="P4039" s="16">
        <f t="shared" si="4"/>
        <v>0</v>
      </c>
    </row>
    <row r="4040" ht="15.75" customHeight="1">
      <c r="A4040" s="14">
        <v>42180.0</v>
      </c>
      <c r="B4040" s="15">
        <v>0.68</v>
      </c>
      <c r="C4040" s="15">
        <v>3.1</v>
      </c>
      <c r="D4040" s="15">
        <v>2.89</v>
      </c>
      <c r="E4040" s="15">
        <v>2.87</v>
      </c>
      <c r="F4040" s="15">
        <f t="shared" si="1"/>
        <v>2.42</v>
      </c>
      <c r="G4040" s="15">
        <f t="shared" si="2"/>
        <v>3.1</v>
      </c>
      <c r="H4040" s="16">
        <v>0.0</v>
      </c>
      <c r="I4040" s="15">
        <f t="shared" si="3"/>
        <v>2.42</v>
      </c>
      <c r="J4040" s="15">
        <v>14.01</v>
      </c>
      <c r="K4040" s="16">
        <f>IF(COUNTIFS(Release_Calendar!$A$2:$A$755,"US_CPI",Release_Calendar!$B$2:$B$755,$A4040)&gt;0,1,0)</f>
        <v>0</v>
      </c>
      <c r="L4040" s="16">
        <f>IF(COUNTIFS(Release_Calendar!$A$2:$A$755,"US_NFP",Release_Calendar!$B$2:$B$755,$A4040)&gt;0,1,0)</f>
        <v>0</v>
      </c>
      <c r="M4040" s="16" t="str">
        <f>IF($A4040&lt;Notes!$B$5,"",IF(COUNTIFS(Release_Calendar!$A$2:$A$755,"NZ_CPI",Release_Calendar!$B$2:$B$755,$A4040)&gt;0,1,0))</f>
        <v/>
      </c>
      <c r="N4040" s="16" t="str">
        <f>IF($A4040&lt;Notes!$B$5,"",IF(COUNTIFS(Release_Calendar!$A$2:$A$755,"NZ_GDP",Release_Calendar!$B$2:$B$755,$A4040)&gt;0,1,0))</f>
        <v/>
      </c>
      <c r="O4040" s="16" t="str">
        <f>IF($A4040&lt;Notes!$B$5,"",IF(COUNTIFS(Release_Calendar!$A$2:$A$755,"NZ_LABOUR",Release_Calendar!$B$2:$B$755,$A4040)&gt;0,1,0))</f>
        <v/>
      </c>
      <c r="P4040" s="16">
        <f t="shared" si="4"/>
        <v>0</v>
      </c>
    </row>
    <row r="4041" ht="15.75" customHeight="1">
      <c r="A4041" s="14">
        <v>42181.0</v>
      </c>
      <c r="B4041" s="15">
        <v>0.72</v>
      </c>
      <c r="C4041" s="15">
        <v>3.1</v>
      </c>
      <c r="D4041" s="15">
        <v>2.85</v>
      </c>
      <c r="E4041" s="15">
        <v>2.86</v>
      </c>
      <c r="F4041" s="15">
        <f t="shared" si="1"/>
        <v>2.38</v>
      </c>
      <c r="G4041" s="15">
        <f t="shared" si="2"/>
        <v>3.1</v>
      </c>
      <c r="H4041" s="16">
        <v>0.0</v>
      </c>
      <c r="I4041" s="15">
        <f t="shared" si="3"/>
        <v>2.38</v>
      </c>
      <c r="J4041" s="15">
        <v>14.02</v>
      </c>
      <c r="K4041" s="16">
        <f>IF(COUNTIFS(Release_Calendar!$A$2:$A$755,"US_CPI",Release_Calendar!$B$2:$B$755,$A4041)&gt;0,1,0)</f>
        <v>0</v>
      </c>
      <c r="L4041" s="16">
        <f>IF(COUNTIFS(Release_Calendar!$A$2:$A$755,"US_NFP",Release_Calendar!$B$2:$B$755,$A4041)&gt;0,1,0)</f>
        <v>0</v>
      </c>
      <c r="M4041" s="16" t="str">
        <f>IF($A4041&lt;Notes!$B$5,"",IF(COUNTIFS(Release_Calendar!$A$2:$A$755,"NZ_CPI",Release_Calendar!$B$2:$B$755,$A4041)&gt;0,1,0))</f>
        <v/>
      </c>
      <c r="N4041" s="16" t="str">
        <f>IF($A4041&lt;Notes!$B$5,"",IF(COUNTIFS(Release_Calendar!$A$2:$A$755,"NZ_GDP",Release_Calendar!$B$2:$B$755,$A4041)&gt;0,1,0))</f>
        <v/>
      </c>
      <c r="O4041" s="16" t="str">
        <f>IF($A4041&lt;Notes!$B$5,"",IF(COUNTIFS(Release_Calendar!$A$2:$A$755,"NZ_LABOUR",Release_Calendar!$B$2:$B$755,$A4041)&gt;0,1,0))</f>
        <v/>
      </c>
      <c r="P4041" s="16">
        <f t="shared" si="4"/>
        <v>0</v>
      </c>
    </row>
    <row r="4042" ht="15.75" customHeight="1">
      <c r="A4042" s="14">
        <v>42184.0</v>
      </c>
      <c r="B4042" s="15">
        <v>0.64</v>
      </c>
      <c r="C4042" s="15">
        <v>3.08</v>
      </c>
      <c r="D4042" s="15">
        <v>2.78</v>
      </c>
      <c r="E4042" s="15">
        <v>2.81</v>
      </c>
      <c r="F4042" s="15">
        <f t="shared" si="1"/>
        <v>2.44</v>
      </c>
      <c r="G4042" s="15">
        <f t="shared" si="2"/>
        <v>3.08</v>
      </c>
      <c r="H4042" s="16">
        <v>0.0</v>
      </c>
      <c r="I4042" s="15">
        <f t="shared" si="3"/>
        <v>2.44</v>
      </c>
      <c r="J4042" s="15">
        <v>18.85</v>
      </c>
      <c r="K4042" s="16">
        <f>IF(COUNTIFS(Release_Calendar!$A$2:$A$755,"US_CPI",Release_Calendar!$B$2:$B$755,$A4042)&gt;0,1,0)</f>
        <v>0</v>
      </c>
      <c r="L4042" s="16">
        <f>IF(COUNTIFS(Release_Calendar!$A$2:$A$755,"US_NFP",Release_Calendar!$B$2:$B$755,$A4042)&gt;0,1,0)</f>
        <v>0</v>
      </c>
      <c r="M4042" s="16" t="str">
        <f>IF($A4042&lt;Notes!$B$5,"",IF(COUNTIFS(Release_Calendar!$A$2:$A$755,"NZ_CPI",Release_Calendar!$B$2:$B$755,$A4042)&gt;0,1,0))</f>
        <v/>
      </c>
      <c r="N4042" s="16" t="str">
        <f>IF($A4042&lt;Notes!$B$5,"",IF(COUNTIFS(Release_Calendar!$A$2:$A$755,"NZ_GDP",Release_Calendar!$B$2:$B$755,$A4042)&gt;0,1,0))</f>
        <v/>
      </c>
      <c r="O4042" s="16" t="str">
        <f>IF($A4042&lt;Notes!$B$5,"",IF(COUNTIFS(Release_Calendar!$A$2:$A$755,"NZ_LABOUR",Release_Calendar!$B$2:$B$755,$A4042)&gt;0,1,0))</f>
        <v/>
      </c>
      <c r="P4042" s="16">
        <f t="shared" si="4"/>
        <v>0</v>
      </c>
    </row>
    <row r="4043" ht="15.75" customHeight="1">
      <c r="A4043" s="14">
        <v>42185.0</v>
      </c>
      <c r="B4043" s="15">
        <v>0.64</v>
      </c>
      <c r="C4043" s="15">
        <v>3.1</v>
      </c>
      <c r="D4043" s="15">
        <v>2.81</v>
      </c>
      <c r="E4043" s="15">
        <v>2.84</v>
      </c>
      <c r="F4043" s="15">
        <f t="shared" si="1"/>
        <v>2.46</v>
      </c>
      <c r="G4043" s="15">
        <f t="shared" si="2"/>
        <v>3.1</v>
      </c>
      <c r="H4043" s="16">
        <v>0.0</v>
      </c>
      <c r="I4043" s="15">
        <f t="shared" si="3"/>
        <v>2.46</v>
      </c>
      <c r="J4043" s="15">
        <v>18.23</v>
      </c>
      <c r="K4043" s="16">
        <f>IF(COUNTIFS(Release_Calendar!$A$2:$A$755,"US_CPI",Release_Calendar!$B$2:$B$755,$A4043)&gt;0,1,0)</f>
        <v>0</v>
      </c>
      <c r="L4043" s="16">
        <f>IF(COUNTIFS(Release_Calendar!$A$2:$A$755,"US_NFP",Release_Calendar!$B$2:$B$755,$A4043)&gt;0,1,0)</f>
        <v>0</v>
      </c>
      <c r="M4043" s="16" t="str">
        <f>IF($A4043&lt;Notes!$B$5,"",IF(COUNTIFS(Release_Calendar!$A$2:$A$755,"NZ_CPI",Release_Calendar!$B$2:$B$755,$A4043)&gt;0,1,0))</f>
        <v/>
      </c>
      <c r="N4043" s="16" t="str">
        <f>IF($A4043&lt;Notes!$B$5,"",IF(COUNTIFS(Release_Calendar!$A$2:$A$755,"NZ_GDP",Release_Calendar!$B$2:$B$755,$A4043)&gt;0,1,0))</f>
        <v/>
      </c>
      <c r="O4043" s="16" t="str">
        <f>IF($A4043&lt;Notes!$B$5,"",IF(COUNTIFS(Release_Calendar!$A$2:$A$755,"NZ_LABOUR",Release_Calendar!$B$2:$B$755,$A4043)&gt;0,1,0))</f>
        <v/>
      </c>
      <c r="P4043" s="16">
        <f t="shared" si="4"/>
        <v>0</v>
      </c>
    </row>
    <row r="4044" ht="15.75" customHeight="1">
      <c r="A4044" s="14">
        <v>42186.0</v>
      </c>
      <c r="B4044" s="15">
        <v>0.69</v>
      </c>
      <c r="C4044" s="15">
        <v>3.1</v>
      </c>
      <c r="D4044" s="15">
        <v>2.85</v>
      </c>
      <c r="E4044" s="15">
        <v>2.84</v>
      </c>
      <c r="F4044" s="15">
        <f t="shared" si="1"/>
        <v>2.41</v>
      </c>
      <c r="G4044" s="15">
        <f t="shared" si="2"/>
        <v>3.1</v>
      </c>
      <c r="H4044" s="16">
        <v>0.0</v>
      </c>
      <c r="I4044" s="15">
        <f t="shared" si="3"/>
        <v>2.41</v>
      </c>
      <c r="J4044" s="15">
        <v>16.09</v>
      </c>
      <c r="K4044" s="16">
        <f>IF(COUNTIFS(Release_Calendar!$A$2:$A$755,"US_CPI",Release_Calendar!$B$2:$B$755,$A4044)&gt;0,1,0)</f>
        <v>0</v>
      </c>
      <c r="L4044" s="16">
        <f>IF(COUNTIFS(Release_Calendar!$A$2:$A$755,"US_NFP",Release_Calendar!$B$2:$B$755,$A4044)&gt;0,1,0)</f>
        <v>0</v>
      </c>
      <c r="M4044" s="16" t="str">
        <f>IF($A4044&lt;Notes!$B$5,"",IF(COUNTIFS(Release_Calendar!$A$2:$A$755,"NZ_CPI",Release_Calendar!$B$2:$B$755,$A4044)&gt;0,1,0))</f>
        <v/>
      </c>
      <c r="N4044" s="16" t="str">
        <f>IF($A4044&lt;Notes!$B$5,"",IF(COUNTIFS(Release_Calendar!$A$2:$A$755,"NZ_GDP",Release_Calendar!$B$2:$B$755,$A4044)&gt;0,1,0))</f>
        <v/>
      </c>
      <c r="O4044" s="16" t="str">
        <f>IF($A4044&lt;Notes!$B$5,"",IF(COUNTIFS(Release_Calendar!$A$2:$A$755,"NZ_LABOUR",Release_Calendar!$B$2:$B$755,$A4044)&gt;0,1,0))</f>
        <v/>
      </c>
      <c r="P4044" s="16">
        <f t="shared" si="4"/>
        <v>0</v>
      </c>
    </row>
    <row r="4045" ht="15.75" customHeight="1">
      <c r="A4045" s="14">
        <v>42187.0</v>
      </c>
      <c r="B4045" s="15">
        <v>0.64</v>
      </c>
      <c r="C4045" s="15">
        <v>3.02</v>
      </c>
      <c r="D4045" s="15">
        <v>2.78</v>
      </c>
      <c r="E4045" s="15">
        <v>2.75</v>
      </c>
      <c r="F4045" s="15">
        <f t="shared" si="1"/>
        <v>2.38</v>
      </c>
      <c r="G4045" s="15">
        <f t="shared" si="2"/>
        <v>3.02</v>
      </c>
      <c r="H4045" s="16">
        <v>0.0</v>
      </c>
      <c r="I4045" s="15">
        <f t="shared" si="3"/>
        <v>2.38</v>
      </c>
      <c r="J4045" s="15">
        <v>16.79</v>
      </c>
      <c r="K4045" s="16">
        <f>IF(COUNTIFS(Release_Calendar!$A$2:$A$755,"US_CPI",Release_Calendar!$B$2:$B$755,$A4045)&gt;0,1,0)</f>
        <v>0</v>
      </c>
      <c r="L4045" s="16">
        <f>IF(COUNTIFS(Release_Calendar!$A$2:$A$755,"US_NFP",Release_Calendar!$B$2:$B$755,$A4045)&gt;0,1,0)</f>
        <v>1</v>
      </c>
      <c r="M4045" s="16" t="str">
        <f>IF($A4045&lt;Notes!$B$5,"",IF(COUNTIFS(Release_Calendar!$A$2:$A$755,"NZ_CPI",Release_Calendar!$B$2:$B$755,$A4045)&gt;0,1,0))</f>
        <v/>
      </c>
      <c r="N4045" s="16" t="str">
        <f>IF($A4045&lt;Notes!$B$5,"",IF(COUNTIFS(Release_Calendar!$A$2:$A$755,"NZ_GDP",Release_Calendar!$B$2:$B$755,$A4045)&gt;0,1,0))</f>
        <v/>
      </c>
      <c r="O4045" s="16" t="str">
        <f>IF($A4045&lt;Notes!$B$5,"",IF(COUNTIFS(Release_Calendar!$A$2:$A$755,"NZ_LABOUR",Release_Calendar!$B$2:$B$755,$A4045)&gt;0,1,0))</f>
        <v/>
      </c>
      <c r="P4045" s="16">
        <f t="shared" si="4"/>
        <v>1</v>
      </c>
    </row>
    <row r="4046" ht="15.75" customHeight="1">
      <c r="A4046" s="14">
        <v>42188.0</v>
      </c>
      <c r="B4046" s="15"/>
      <c r="C4046" s="15">
        <v>2.97</v>
      </c>
      <c r="D4046" s="15">
        <v>2.73</v>
      </c>
      <c r="E4046" s="15">
        <v>2.73</v>
      </c>
      <c r="F4046" s="15" t="str">
        <f t="shared" si="1"/>
        <v/>
      </c>
      <c r="G4046" s="15">
        <f t="shared" si="2"/>
        <v>2.97</v>
      </c>
      <c r="H4046" s="16">
        <v>0.0</v>
      </c>
      <c r="I4046" s="15" t="str">
        <f t="shared" si="3"/>
        <v/>
      </c>
      <c r="J4046" s="15"/>
      <c r="K4046" s="16">
        <f>IF(COUNTIFS(Release_Calendar!$A$2:$A$755,"US_CPI",Release_Calendar!$B$2:$B$755,$A4046)&gt;0,1,0)</f>
        <v>0</v>
      </c>
      <c r="L4046" s="16">
        <f>IF(COUNTIFS(Release_Calendar!$A$2:$A$755,"US_NFP",Release_Calendar!$B$2:$B$755,$A4046)&gt;0,1,0)</f>
        <v>0</v>
      </c>
      <c r="M4046" s="16" t="str">
        <f>IF($A4046&lt;Notes!$B$5,"",IF(COUNTIFS(Release_Calendar!$A$2:$A$755,"NZ_CPI",Release_Calendar!$B$2:$B$755,$A4046)&gt;0,1,0))</f>
        <v/>
      </c>
      <c r="N4046" s="16" t="str">
        <f>IF($A4046&lt;Notes!$B$5,"",IF(COUNTIFS(Release_Calendar!$A$2:$A$755,"NZ_GDP",Release_Calendar!$B$2:$B$755,$A4046)&gt;0,1,0))</f>
        <v/>
      </c>
      <c r="O4046" s="16" t="str">
        <f>IF($A4046&lt;Notes!$B$5,"",IF(COUNTIFS(Release_Calendar!$A$2:$A$755,"NZ_LABOUR",Release_Calendar!$B$2:$B$755,$A4046)&gt;0,1,0))</f>
        <v/>
      </c>
      <c r="P4046" s="16">
        <f t="shared" si="4"/>
        <v>0</v>
      </c>
    </row>
    <row r="4047" ht="15.75" customHeight="1">
      <c r="A4047" s="14">
        <v>42191.0</v>
      </c>
      <c r="B4047" s="15">
        <v>0.6</v>
      </c>
      <c r="C4047" s="15">
        <v>2.94</v>
      </c>
      <c r="D4047" s="15">
        <v>2.67</v>
      </c>
      <c r="E4047" s="15">
        <v>2.69</v>
      </c>
      <c r="F4047" s="15">
        <f t="shared" si="1"/>
        <v>2.34</v>
      </c>
      <c r="G4047" s="15">
        <f t="shared" si="2"/>
        <v>2.94</v>
      </c>
      <c r="H4047" s="16">
        <v>0.0</v>
      </c>
      <c r="I4047" s="15">
        <f t="shared" si="3"/>
        <v>2.34</v>
      </c>
      <c r="J4047" s="15">
        <v>17.01</v>
      </c>
      <c r="K4047" s="16">
        <f>IF(COUNTIFS(Release_Calendar!$A$2:$A$755,"US_CPI",Release_Calendar!$B$2:$B$755,$A4047)&gt;0,1,0)</f>
        <v>0</v>
      </c>
      <c r="L4047" s="16">
        <f>IF(COUNTIFS(Release_Calendar!$A$2:$A$755,"US_NFP",Release_Calendar!$B$2:$B$755,$A4047)&gt;0,1,0)</f>
        <v>0</v>
      </c>
      <c r="M4047" s="16" t="str">
        <f>IF($A4047&lt;Notes!$B$5,"",IF(COUNTIFS(Release_Calendar!$A$2:$A$755,"NZ_CPI",Release_Calendar!$B$2:$B$755,$A4047)&gt;0,1,0))</f>
        <v/>
      </c>
      <c r="N4047" s="16" t="str">
        <f>IF($A4047&lt;Notes!$B$5,"",IF(COUNTIFS(Release_Calendar!$A$2:$A$755,"NZ_GDP",Release_Calendar!$B$2:$B$755,$A4047)&gt;0,1,0))</f>
        <v/>
      </c>
      <c r="O4047" s="16" t="str">
        <f>IF($A4047&lt;Notes!$B$5,"",IF(COUNTIFS(Release_Calendar!$A$2:$A$755,"NZ_LABOUR",Release_Calendar!$B$2:$B$755,$A4047)&gt;0,1,0))</f>
        <v/>
      </c>
      <c r="P4047" s="16">
        <f t="shared" si="4"/>
        <v>0</v>
      </c>
    </row>
    <row r="4048" ht="15.75" customHeight="1">
      <c r="A4048" s="14">
        <v>42192.0</v>
      </c>
      <c r="B4048" s="15">
        <v>0.58</v>
      </c>
      <c r="C4048" s="15">
        <v>2.96</v>
      </c>
      <c r="D4048" s="15">
        <v>2.7</v>
      </c>
      <c r="E4048" s="15">
        <v>2.69</v>
      </c>
      <c r="F4048" s="15">
        <f t="shared" si="1"/>
        <v>2.38</v>
      </c>
      <c r="G4048" s="15">
        <f t="shared" si="2"/>
        <v>2.96</v>
      </c>
      <c r="H4048" s="16">
        <v>0.0</v>
      </c>
      <c r="I4048" s="15">
        <f t="shared" si="3"/>
        <v>2.38</v>
      </c>
      <c r="J4048" s="15">
        <v>16.09</v>
      </c>
      <c r="K4048" s="16">
        <f>IF(COUNTIFS(Release_Calendar!$A$2:$A$755,"US_CPI",Release_Calendar!$B$2:$B$755,$A4048)&gt;0,1,0)</f>
        <v>0</v>
      </c>
      <c r="L4048" s="16">
        <f>IF(COUNTIFS(Release_Calendar!$A$2:$A$755,"US_NFP",Release_Calendar!$B$2:$B$755,$A4048)&gt;0,1,0)</f>
        <v>0</v>
      </c>
      <c r="M4048" s="16" t="str">
        <f>IF($A4048&lt;Notes!$B$5,"",IF(COUNTIFS(Release_Calendar!$A$2:$A$755,"NZ_CPI",Release_Calendar!$B$2:$B$755,$A4048)&gt;0,1,0))</f>
        <v/>
      </c>
      <c r="N4048" s="16" t="str">
        <f>IF($A4048&lt;Notes!$B$5,"",IF(COUNTIFS(Release_Calendar!$A$2:$A$755,"NZ_GDP",Release_Calendar!$B$2:$B$755,$A4048)&gt;0,1,0))</f>
        <v/>
      </c>
      <c r="O4048" s="16" t="str">
        <f>IF($A4048&lt;Notes!$B$5,"",IF(COUNTIFS(Release_Calendar!$A$2:$A$755,"NZ_LABOUR",Release_Calendar!$B$2:$B$755,$A4048)&gt;0,1,0))</f>
        <v/>
      </c>
      <c r="P4048" s="16">
        <f t="shared" si="4"/>
        <v>0</v>
      </c>
    </row>
    <row r="4049" ht="15.75" customHeight="1">
      <c r="A4049" s="14">
        <v>42193.0</v>
      </c>
      <c r="B4049" s="15">
        <v>0.55</v>
      </c>
      <c r="C4049" s="15">
        <v>2.93</v>
      </c>
      <c r="D4049" s="15">
        <v>2.66</v>
      </c>
      <c r="E4049" s="15">
        <v>2.64</v>
      </c>
      <c r="F4049" s="15">
        <f t="shared" si="1"/>
        <v>2.38</v>
      </c>
      <c r="G4049" s="15">
        <f t="shared" si="2"/>
        <v>2.93</v>
      </c>
      <c r="H4049" s="16">
        <v>0.0</v>
      </c>
      <c r="I4049" s="15">
        <f t="shared" si="3"/>
        <v>2.38</v>
      </c>
      <c r="J4049" s="15">
        <v>19.66</v>
      </c>
      <c r="K4049" s="16">
        <f>IF(COUNTIFS(Release_Calendar!$A$2:$A$755,"US_CPI",Release_Calendar!$B$2:$B$755,$A4049)&gt;0,1,0)</f>
        <v>0</v>
      </c>
      <c r="L4049" s="16">
        <f>IF(COUNTIFS(Release_Calendar!$A$2:$A$755,"US_NFP",Release_Calendar!$B$2:$B$755,$A4049)&gt;0,1,0)</f>
        <v>0</v>
      </c>
      <c r="M4049" s="16" t="str">
        <f>IF($A4049&lt;Notes!$B$5,"",IF(COUNTIFS(Release_Calendar!$A$2:$A$755,"NZ_CPI",Release_Calendar!$B$2:$B$755,$A4049)&gt;0,1,0))</f>
        <v/>
      </c>
      <c r="N4049" s="16" t="str">
        <f>IF($A4049&lt;Notes!$B$5,"",IF(COUNTIFS(Release_Calendar!$A$2:$A$755,"NZ_GDP",Release_Calendar!$B$2:$B$755,$A4049)&gt;0,1,0))</f>
        <v/>
      </c>
      <c r="O4049" s="16" t="str">
        <f>IF($A4049&lt;Notes!$B$5,"",IF(COUNTIFS(Release_Calendar!$A$2:$A$755,"NZ_LABOUR",Release_Calendar!$B$2:$B$755,$A4049)&gt;0,1,0))</f>
        <v/>
      </c>
      <c r="P4049" s="16">
        <f t="shared" si="4"/>
        <v>0</v>
      </c>
    </row>
    <row r="4050" ht="15.75" customHeight="1">
      <c r="A4050" s="14">
        <v>42194.0</v>
      </c>
      <c r="B4050" s="15">
        <v>0.6</v>
      </c>
      <c r="C4050" s="15">
        <v>2.96</v>
      </c>
      <c r="D4050" s="15">
        <v>2.66</v>
      </c>
      <c r="E4050" s="15">
        <v>2.68</v>
      </c>
      <c r="F4050" s="15">
        <f t="shared" si="1"/>
        <v>2.36</v>
      </c>
      <c r="G4050" s="15">
        <f t="shared" si="2"/>
        <v>2.96</v>
      </c>
      <c r="H4050" s="16">
        <v>0.0</v>
      </c>
      <c r="I4050" s="15">
        <f t="shared" si="3"/>
        <v>2.36</v>
      </c>
      <c r="J4050" s="15">
        <v>19.97</v>
      </c>
      <c r="K4050" s="16">
        <f>IF(COUNTIFS(Release_Calendar!$A$2:$A$755,"US_CPI",Release_Calendar!$B$2:$B$755,$A4050)&gt;0,1,0)</f>
        <v>0</v>
      </c>
      <c r="L4050" s="16">
        <f>IF(COUNTIFS(Release_Calendar!$A$2:$A$755,"US_NFP",Release_Calendar!$B$2:$B$755,$A4050)&gt;0,1,0)</f>
        <v>0</v>
      </c>
      <c r="M4050" s="16" t="str">
        <f>IF($A4050&lt;Notes!$B$5,"",IF(COUNTIFS(Release_Calendar!$A$2:$A$755,"NZ_CPI",Release_Calendar!$B$2:$B$755,$A4050)&gt;0,1,0))</f>
        <v/>
      </c>
      <c r="N4050" s="16" t="str">
        <f>IF($A4050&lt;Notes!$B$5,"",IF(COUNTIFS(Release_Calendar!$A$2:$A$755,"NZ_GDP",Release_Calendar!$B$2:$B$755,$A4050)&gt;0,1,0))</f>
        <v/>
      </c>
      <c r="O4050" s="16" t="str">
        <f>IF($A4050&lt;Notes!$B$5,"",IF(COUNTIFS(Release_Calendar!$A$2:$A$755,"NZ_LABOUR",Release_Calendar!$B$2:$B$755,$A4050)&gt;0,1,0))</f>
        <v/>
      </c>
      <c r="P4050" s="16">
        <f t="shared" si="4"/>
        <v>0</v>
      </c>
    </row>
    <row r="4051" ht="15.75" customHeight="1">
      <c r="A4051" s="14">
        <v>42195.0</v>
      </c>
      <c r="B4051" s="15">
        <v>0.65</v>
      </c>
      <c r="C4051" s="15">
        <v>2.98</v>
      </c>
      <c r="D4051" s="15">
        <v>2.73</v>
      </c>
      <c r="E4051" s="15">
        <v>2.74</v>
      </c>
      <c r="F4051" s="15">
        <f t="shared" si="1"/>
        <v>2.33</v>
      </c>
      <c r="G4051" s="15">
        <f t="shared" si="2"/>
        <v>2.98</v>
      </c>
      <c r="H4051" s="16">
        <v>0.0</v>
      </c>
      <c r="I4051" s="15">
        <f t="shared" si="3"/>
        <v>2.33</v>
      </c>
      <c r="J4051" s="15">
        <v>16.83</v>
      </c>
      <c r="K4051" s="16">
        <f>IF(COUNTIFS(Release_Calendar!$A$2:$A$755,"US_CPI",Release_Calendar!$B$2:$B$755,$A4051)&gt;0,1,0)</f>
        <v>0</v>
      </c>
      <c r="L4051" s="16">
        <f>IF(COUNTIFS(Release_Calendar!$A$2:$A$755,"US_NFP",Release_Calendar!$B$2:$B$755,$A4051)&gt;0,1,0)</f>
        <v>0</v>
      </c>
      <c r="M4051" s="16" t="str">
        <f>IF($A4051&lt;Notes!$B$5,"",IF(COUNTIFS(Release_Calendar!$A$2:$A$755,"NZ_CPI",Release_Calendar!$B$2:$B$755,$A4051)&gt;0,1,0))</f>
        <v/>
      </c>
      <c r="N4051" s="16" t="str">
        <f>IF($A4051&lt;Notes!$B$5,"",IF(COUNTIFS(Release_Calendar!$A$2:$A$755,"NZ_GDP",Release_Calendar!$B$2:$B$755,$A4051)&gt;0,1,0))</f>
        <v/>
      </c>
      <c r="O4051" s="16" t="str">
        <f>IF($A4051&lt;Notes!$B$5,"",IF(COUNTIFS(Release_Calendar!$A$2:$A$755,"NZ_LABOUR",Release_Calendar!$B$2:$B$755,$A4051)&gt;0,1,0))</f>
        <v/>
      </c>
      <c r="P4051" s="16">
        <f t="shared" si="4"/>
        <v>0</v>
      </c>
    </row>
    <row r="4052" ht="15.75" customHeight="1">
      <c r="A4052" s="14">
        <v>42198.0</v>
      </c>
      <c r="B4052" s="15">
        <v>0.69</v>
      </c>
      <c r="C4052" s="15">
        <v>2.99</v>
      </c>
      <c r="D4052" s="15">
        <v>2.74</v>
      </c>
      <c r="E4052" s="15">
        <v>2.76</v>
      </c>
      <c r="F4052" s="15">
        <f t="shared" si="1"/>
        <v>2.3</v>
      </c>
      <c r="G4052" s="15">
        <f t="shared" si="2"/>
        <v>2.99</v>
      </c>
      <c r="H4052" s="16">
        <v>0.0</v>
      </c>
      <c r="I4052" s="15">
        <f t="shared" si="3"/>
        <v>2.3</v>
      </c>
      <c r="J4052" s="15">
        <v>13.9</v>
      </c>
      <c r="K4052" s="16">
        <f>IF(COUNTIFS(Release_Calendar!$A$2:$A$755,"US_CPI",Release_Calendar!$B$2:$B$755,$A4052)&gt;0,1,0)</f>
        <v>0</v>
      </c>
      <c r="L4052" s="16">
        <f>IF(COUNTIFS(Release_Calendar!$A$2:$A$755,"US_NFP",Release_Calendar!$B$2:$B$755,$A4052)&gt;0,1,0)</f>
        <v>0</v>
      </c>
      <c r="M4052" s="16" t="str">
        <f>IF($A4052&lt;Notes!$B$5,"",IF(COUNTIFS(Release_Calendar!$A$2:$A$755,"NZ_CPI",Release_Calendar!$B$2:$B$755,$A4052)&gt;0,1,0))</f>
        <v/>
      </c>
      <c r="N4052" s="16" t="str">
        <f>IF($A4052&lt;Notes!$B$5,"",IF(COUNTIFS(Release_Calendar!$A$2:$A$755,"NZ_GDP",Release_Calendar!$B$2:$B$755,$A4052)&gt;0,1,0))</f>
        <v/>
      </c>
      <c r="O4052" s="16" t="str">
        <f>IF($A4052&lt;Notes!$B$5,"",IF(COUNTIFS(Release_Calendar!$A$2:$A$755,"NZ_LABOUR",Release_Calendar!$B$2:$B$755,$A4052)&gt;0,1,0))</f>
        <v/>
      </c>
      <c r="P4052" s="16">
        <f t="shared" si="4"/>
        <v>0</v>
      </c>
    </row>
    <row r="4053" ht="15.75" customHeight="1">
      <c r="A4053" s="14">
        <v>42199.0</v>
      </c>
      <c r="B4053" s="15">
        <v>0.66</v>
      </c>
      <c r="C4053" s="15">
        <v>3.01</v>
      </c>
      <c r="D4053" s="15">
        <v>2.78</v>
      </c>
      <c r="E4053" s="15">
        <v>2.78</v>
      </c>
      <c r="F4053" s="15">
        <f t="shared" si="1"/>
        <v>2.35</v>
      </c>
      <c r="G4053" s="15">
        <f t="shared" si="2"/>
        <v>3.01</v>
      </c>
      <c r="H4053" s="16">
        <v>0.0</v>
      </c>
      <c r="I4053" s="15">
        <f t="shared" si="3"/>
        <v>2.35</v>
      </c>
      <c r="J4053" s="15">
        <v>13.37</v>
      </c>
      <c r="K4053" s="16">
        <f>IF(COUNTIFS(Release_Calendar!$A$2:$A$755,"US_CPI",Release_Calendar!$B$2:$B$755,$A4053)&gt;0,1,0)</f>
        <v>0</v>
      </c>
      <c r="L4053" s="16">
        <f>IF(COUNTIFS(Release_Calendar!$A$2:$A$755,"US_NFP",Release_Calendar!$B$2:$B$755,$A4053)&gt;0,1,0)</f>
        <v>0</v>
      </c>
      <c r="M4053" s="16" t="str">
        <f>IF($A4053&lt;Notes!$B$5,"",IF(COUNTIFS(Release_Calendar!$A$2:$A$755,"NZ_CPI",Release_Calendar!$B$2:$B$755,$A4053)&gt;0,1,0))</f>
        <v/>
      </c>
      <c r="N4053" s="16" t="str">
        <f>IF($A4053&lt;Notes!$B$5,"",IF(COUNTIFS(Release_Calendar!$A$2:$A$755,"NZ_GDP",Release_Calendar!$B$2:$B$755,$A4053)&gt;0,1,0))</f>
        <v/>
      </c>
      <c r="O4053" s="16" t="str">
        <f>IF($A4053&lt;Notes!$B$5,"",IF(COUNTIFS(Release_Calendar!$A$2:$A$755,"NZ_LABOUR",Release_Calendar!$B$2:$B$755,$A4053)&gt;0,1,0))</f>
        <v/>
      </c>
      <c r="P4053" s="16">
        <f t="shared" si="4"/>
        <v>0</v>
      </c>
    </row>
    <row r="4054" ht="15.75" customHeight="1">
      <c r="A4054" s="14">
        <v>42200.0</v>
      </c>
      <c r="B4054" s="15">
        <v>0.64</v>
      </c>
      <c r="C4054" s="15">
        <v>3.0</v>
      </c>
      <c r="D4054" s="15">
        <v>2.77</v>
      </c>
      <c r="E4054" s="15">
        <v>2.79</v>
      </c>
      <c r="F4054" s="15">
        <f t="shared" si="1"/>
        <v>2.36</v>
      </c>
      <c r="G4054" s="15">
        <f t="shared" si="2"/>
        <v>3</v>
      </c>
      <c r="H4054" s="16">
        <v>0.0</v>
      </c>
      <c r="I4054" s="15">
        <f t="shared" si="3"/>
        <v>2.36</v>
      </c>
      <c r="J4054" s="15">
        <v>13.23</v>
      </c>
      <c r="K4054" s="16">
        <f>IF(COUNTIFS(Release_Calendar!$A$2:$A$755,"US_CPI",Release_Calendar!$B$2:$B$755,$A4054)&gt;0,1,0)</f>
        <v>0</v>
      </c>
      <c r="L4054" s="16">
        <f>IF(COUNTIFS(Release_Calendar!$A$2:$A$755,"US_NFP",Release_Calendar!$B$2:$B$755,$A4054)&gt;0,1,0)</f>
        <v>0</v>
      </c>
      <c r="M4054" s="16" t="str">
        <f>IF($A4054&lt;Notes!$B$5,"",IF(COUNTIFS(Release_Calendar!$A$2:$A$755,"NZ_CPI",Release_Calendar!$B$2:$B$755,$A4054)&gt;0,1,0))</f>
        <v/>
      </c>
      <c r="N4054" s="16" t="str">
        <f>IF($A4054&lt;Notes!$B$5,"",IF(COUNTIFS(Release_Calendar!$A$2:$A$755,"NZ_GDP",Release_Calendar!$B$2:$B$755,$A4054)&gt;0,1,0))</f>
        <v/>
      </c>
      <c r="O4054" s="16" t="str">
        <f>IF($A4054&lt;Notes!$B$5,"",IF(COUNTIFS(Release_Calendar!$A$2:$A$755,"NZ_LABOUR",Release_Calendar!$B$2:$B$755,$A4054)&gt;0,1,0))</f>
        <v/>
      </c>
      <c r="P4054" s="16">
        <f t="shared" si="4"/>
        <v>0</v>
      </c>
    </row>
    <row r="4055" ht="15.75" customHeight="1">
      <c r="A4055" s="14">
        <v>42201.0</v>
      </c>
      <c r="B4055" s="15">
        <v>0.67</v>
      </c>
      <c r="C4055" s="15">
        <v>2.89</v>
      </c>
      <c r="D4055" s="15">
        <v>2.71</v>
      </c>
      <c r="E4055" s="15">
        <v>2.65</v>
      </c>
      <c r="F4055" s="15">
        <f t="shared" si="1"/>
        <v>2.22</v>
      </c>
      <c r="G4055" s="15">
        <f t="shared" si="2"/>
        <v>2.89</v>
      </c>
      <c r="H4055" s="16">
        <v>0.0</v>
      </c>
      <c r="I4055" s="15">
        <f t="shared" si="3"/>
        <v>2.22</v>
      </c>
      <c r="J4055" s="15">
        <v>12.11</v>
      </c>
      <c r="K4055" s="16">
        <f>IF(COUNTIFS(Release_Calendar!$A$2:$A$755,"US_CPI",Release_Calendar!$B$2:$B$755,$A4055)&gt;0,1,0)</f>
        <v>0</v>
      </c>
      <c r="L4055" s="16">
        <f>IF(COUNTIFS(Release_Calendar!$A$2:$A$755,"US_NFP",Release_Calendar!$B$2:$B$755,$A4055)&gt;0,1,0)</f>
        <v>0</v>
      </c>
      <c r="M4055" s="16" t="str">
        <f>IF($A4055&lt;Notes!$B$5,"",IF(COUNTIFS(Release_Calendar!$A$2:$A$755,"NZ_CPI",Release_Calendar!$B$2:$B$755,$A4055)&gt;0,1,0))</f>
        <v/>
      </c>
      <c r="N4055" s="16" t="str">
        <f>IF($A4055&lt;Notes!$B$5,"",IF(COUNTIFS(Release_Calendar!$A$2:$A$755,"NZ_GDP",Release_Calendar!$B$2:$B$755,$A4055)&gt;0,1,0))</f>
        <v/>
      </c>
      <c r="O4055" s="16" t="str">
        <f>IF($A4055&lt;Notes!$B$5,"",IF(COUNTIFS(Release_Calendar!$A$2:$A$755,"NZ_LABOUR",Release_Calendar!$B$2:$B$755,$A4055)&gt;0,1,0))</f>
        <v/>
      </c>
      <c r="P4055" s="16">
        <f t="shared" si="4"/>
        <v>0</v>
      </c>
    </row>
    <row r="4056" ht="15.75" customHeight="1">
      <c r="A4056" s="14">
        <v>42202.0</v>
      </c>
      <c r="B4056" s="15">
        <v>0.68</v>
      </c>
      <c r="C4056" s="15">
        <v>2.87</v>
      </c>
      <c r="D4056" s="15">
        <v>2.64</v>
      </c>
      <c r="E4056" s="15">
        <v>2.62</v>
      </c>
      <c r="F4056" s="15">
        <f t="shared" si="1"/>
        <v>2.19</v>
      </c>
      <c r="G4056" s="15">
        <f t="shared" si="2"/>
        <v>2.87</v>
      </c>
      <c r="H4056" s="16">
        <v>0.0</v>
      </c>
      <c r="I4056" s="15">
        <f t="shared" si="3"/>
        <v>2.19</v>
      </c>
      <c r="J4056" s="15">
        <v>11.95</v>
      </c>
      <c r="K4056" s="16">
        <f>IF(COUNTIFS(Release_Calendar!$A$2:$A$755,"US_CPI",Release_Calendar!$B$2:$B$755,$A4056)&gt;0,1,0)</f>
        <v>1</v>
      </c>
      <c r="L4056" s="16">
        <f>IF(COUNTIFS(Release_Calendar!$A$2:$A$755,"US_NFP",Release_Calendar!$B$2:$B$755,$A4056)&gt;0,1,0)</f>
        <v>0</v>
      </c>
      <c r="M4056" s="16" t="str">
        <f>IF($A4056&lt;Notes!$B$5,"",IF(COUNTIFS(Release_Calendar!$A$2:$A$755,"NZ_CPI",Release_Calendar!$B$2:$B$755,$A4056)&gt;0,1,0))</f>
        <v/>
      </c>
      <c r="N4056" s="16" t="str">
        <f>IF($A4056&lt;Notes!$B$5,"",IF(COUNTIFS(Release_Calendar!$A$2:$A$755,"NZ_GDP",Release_Calendar!$B$2:$B$755,$A4056)&gt;0,1,0))</f>
        <v/>
      </c>
      <c r="O4056" s="16" t="str">
        <f>IF($A4056&lt;Notes!$B$5,"",IF(COUNTIFS(Release_Calendar!$A$2:$A$755,"NZ_LABOUR",Release_Calendar!$B$2:$B$755,$A4056)&gt;0,1,0))</f>
        <v/>
      </c>
      <c r="P4056" s="16">
        <f t="shared" si="4"/>
        <v>1</v>
      </c>
    </row>
    <row r="4057" ht="15.75" customHeight="1">
      <c r="A4057" s="14">
        <v>42205.0</v>
      </c>
      <c r="B4057" s="15">
        <v>0.71</v>
      </c>
      <c r="C4057" s="15">
        <v>2.86</v>
      </c>
      <c r="D4057" s="15">
        <v>2.61</v>
      </c>
      <c r="E4057" s="15">
        <v>2.6</v>
      </c>
      <c r="F4057" s="15">
        <f t="shared" si="1"/>
        <v>2.15</v>
      </c>
      <c r="G4057" s="15">
        <f t="shared" si="2"/>
        <v>2.86</v>
      </c>
      <c r="H4057" s="16">
        <v>0.0</v>
      </c>
      <c r="I4057" s="15">
        <f t="shared" si="3"/>
        <v>2.15</v>
      </c>
      <c r="J4057" s="15">
        <v>12.25</v>
      </c>
      <c r="K4057" s="16">
        <f>IF(COUNTIFS(Release_Calendar!$A$2:$A$755,"US_CPI",Release_Calendar!$B$2:$B$755,$A4057)&gt;0,1,0)</f>
        <v>0</v>
      </c>
      <c r="L4057" s="16">
        <f>IF(COUNTIFS(Release_Calendar!$A$2:$A$755,"US_NFP",Release_Calendar!$B$2:$B$755,$A4057)&gt;0,1,0)</f>
        <v>0</v>
      </c>
      <c r="M4057" s="16" t="str">
        <f>IF($A4057&lt;Notes!$B$5,"",IF(COUNTIFS(Release_Calendar!$A$2:$A$755,"NZ_CPI",Release_Calendar!$B$2:$B$755,$A4057)&gt;0,1,0))</f>
        <v/>
      </c>
      <c r="N4057" s="16" t="str">
        <f>IF($A4057&lt;Notes!$B$5,"",IF(COUNTIFS(Release_Calendar!$A$2:$A$755,"NZ_GDP",Release_Calendar!$B$2:$B$755,$A4057)&gt;0,1,0))</f>
        <v/>
      </c>
      <c r="O4057" s="16" t="str">
        <f>IF($A4057&lt;Notes!$B$5,"",IF(COUNTIFS(Release_Calendar!$A$2:$A$755,"NZ_LABOUR",Release_Calendar!$B$2:$B$755,$A4057)&gt;0,1,0))</f>
        <v/>
      </c>
      <c r="P4057" s="16">
        <f t="shared" si="4"/>
        <v>0</v>
      </c>
    </row>
    <row r="4058" ht="15.75" customHeight="1">
      <c r="A4058" s="14">
        <v>42206.0</v>
      </c>
      <c r="B4058" s="15">
        <v>0.71</v>
      </c>
      <c r="C4058" s="15">
        <v>2.89</v>
      </c>
      <c r="D4058" s="15">
        <v>2.61</v>
      </c>
      <c r="E4058" s="15">
        <v>2.61</v>
      </c>
      <c r="F4058" s="15">
        <f t="shared" si="1"/>
        <v>2.18</v>
      </c>
      <c r="G4058" s="15">
        <f t="shared" si="2"/>
        <v>2.89</v>
      </c>
      <c r="H4058" s="16">
        <v>0.0</v>
      </c>
      <c r="I4058" s="15">
        <f t="shared" si="3"/>
        <v>2.18</v>
      </c>
      <c r="J4058" s="15">
        <v>12.22</v>
      </c>
      <c r="K4058" s="16">
        <f>IF(COUNTIFS(Release_Calendar!$A$2:$A$755,"US_CPI",Release_Calendar!$B$2:$B$755,$A4058)&gt;0,1,0)</f>
        <v>0</v>
      </c>
      <c r="L4058" s="16">
        <f>IF(COUNTIFS(Release_Calendar!$A$2:$A$755,"US_NFP",Release_Calendar!$B$2:$B$755,$A4058)&gt;0,1,0)</f>
        <v>0</v>
      </c>
      <c r="M4058" s="16" t="str">
        <f>IF($A4058&lt;Notes!$B$5,"",IF(COUNTIFS(Release_Calendar!$A$2:$A$755,"NZ_CPI",Release_Calendar!$B$2:$B$755,$A4058)&gt;0,1,0))</f>
        <v/>
      </c>
      <c r="N4058" s="16" t="str">
        <f>IF($A4058&lt;Notes!$B$5,"",IF(COUNTIFS(Release_Calendar!$A$2:$A$755,"NZ_GDP",Release_Calendar!$B$2:$B$755,$A4058)&gt;0,1,0))</f>
        <v/>
      </c>
      <c r="O4058" s="16" t="str">
        <f>IF($A4058&lt;Notes!$B$5,"",IF(COUNTIFS(Release_Calendar!$A$2:$A$755,"NZ_LABOUR",Release_Calendar!$B$2:$B$755,$A4058)&gt;0,1,0))</f>
        <v/>
      </c>
      <c r="P4058" s="16">
        <f t="shared" si="4"/>
        <v>0</v>
      </c>
    </row>
    <row r="4059" ht="15.75" customHeight="1">
      <c r="A4059" s="14">
        <v>42207.0</v>
      </c>
      <c r="B4059" s="15">
        <v>0.75</v>
      </c>
      <c r="C4059" s="15">
        <v>2.87</v>
      </c>
      <c r="D4059" s="15">
        <v>2.6</v>
      </c>
      <c r="E4059" s="15">
        <v>2.6</v>
      </c>
      <c r="F4059" s="15">
        <f t="shared" si="1"/>
        <v>2.12</v>
      </c>
      <c r="G4059" s="15">
        <f t="shared" si="2"/>
        <v>2.87</v>
      </c>
      <c r="H4059" s="16">
        <v>0.0</v>
      </c>
      <c r="I4059" s="15">
        <f t="shared" si="3"/>
        <v>2.12</v>
      </c>
      <c r="J4059" s="15">
        <v>12.12</v>
      </c>
      <c r="K4059" s="16">
        <f>IF(COUNTIFS(Release_Calendar!$A$2:$A$755,"US_CPI",Release_Calendar!$B$2:$B$755,$A4059)&gt;0,1,0)</f>
        <v>0</v>
      </c>
      <c r="L4059" s="16">
        <f>IF(COUNTIFS(Release_Calendar!$A$2:$A$755,"US_NFP",Release_Calendar!$B$2:$B$755,$A4059)&gt;0,1,0)</f>
        <v>0</v>
      </c>
      <c r="M4059" s="16" t="str">
        <f>IF($A4059&lt;Notes!$B$5,"",IF(COUNTIFS(Release_Calendar!$A$2:$A$755,"NZ_CPI",Release_Calendar!$B$2:$B$755,$A4059)&gt;0,1,0))</f>
        <v/>
      </c>
      <c r="N4059" s="16" t="str">
        <f>IF($A4059&lt;Notes!$B$5,"",IF(COUNTIFS(Release_Calendar!$A$2:$A$755,"NZ_GDP",Release_Calendar!$B$2:$B$755,$A4059)&gt;0,1,0))</f>
        <v/>
      </c>
      <c r="O4059" s="16" t="str">
        <f>IF($A4059&lt;Notes!$B$5,"",IF(COUNTIFS(Release_Calendar!$A$2:$A$755,"NZ_LABOUR",Release_Calendar!$B$2:$B$755,$A4059)&gt;0,1,0))</f>
        <v/>
      </c>
      <c r="P4059" s="16">
        <f t="shared" si="4"/>
        <v>0</v>
      </c>
    </row>
    <row r="4060" ht="15.75" customHeight="1">
      <c r="A4060" s="14">
        <v>42208.0</v>
      </c>
      <c r="B4060" s="15">
        <v>0.71</v>
      </c>
      <c r="C4060" s="15">
        <v>2.9</v>
      </c>
      <c r="D4060" s="15">
        <v>2.61</v>
      </c>
      <c r="E4060" s="15">
        <v>2.61</v>
      </c>
      <c r="F4060" s="15">
        <f t="shared" si="1"/>
        <v>2.19</v>
      </c>
      <c r="G4060" s="15">
        <f t="shared" si="2"/>
        <v>2.9</v>
      </c>
      <c r="H4060" s="16">
        <v>0.0</v>
      </c>
      <c r="I4060" s="15">
        <f t="shared" si="3"/>
        <v>2.19</v>
      </c>
      <c r="J4060" s="15">
        <v>12.64</v>
      </c>
      <c r="K4060" s="16">
        <f>IF(COUNTIFS(Release_Calendar!$A$2:$A$755,"US_CPI",Release_Calendar!$B$2:$B$755,$A4060)&gt;0,1,0)</f>
        <v>0</v>
      </c>
      <c r="L4060" s="16">
        <f>IF(COUNTIFS(Release_Calendar!$A$2:$A$755,"US_NFP",Release_Calendar!$B$2:$B$755,$A4060)&gt;0,1,0)</f>
        <v>0</v>
      </c>
      <c r="M4060" s="16" t="str">
        <f>IF($A4060&lt;Notes!$B$5,"",IF(COUNTIFS(Release_Calendar!$A$2:$A$755,"NZ_CPI",Release_Calendar!$B$2:$B$755,$A4060)&gt;0,1,0))</f>
        <v/>
      </c>
      <c r="N4060" s="16" t="str">
        <f>IF($A4060&lt;Notes!$B$5,"",IF(COUNTIFS(Release_Calendar!$A$2:$A$755,"NZ_GDP",Release_Calendar!$B$2:$B$755,$A4060)&gt;0,1,0))</f>
        <v/>
      </c>
      <c r="O4060" s="16" t="str">
        <f>IF($A4060&lt;Notes!$B$5,"",IF(COUNTIFS(Release_Calendar!$A$2:$A$755,"NZ_LABOUR",Release_Calendar!$B$2:$B$755,$A4060)&gt;0,1,0))</f>
        <v/>
      </c>
      <c r="P4060" s="16">
        <f t="shared" si="4"/>
        <v>0</v>
      </c>
    </row>
    <row r="4061" ht="15.75" customHeight="1">
      <c r="A4061" s="14">
        <v>42209.0</v>
      </c>
      <c r="B4061" s="15">
        <v>0.7</v>
      </c>
      <c r="C4061" s="15">
        <v>2.88</v>
      </c>
      <c r="D4061" s="15">
        <v>2.58</v>
      </c>
      <c r="E4061" s="15">
        <v>2.58</v>
      </c>
      <c r="F4061" s="15">
        <f t="shared" si="1"/>
        <v>2.18</v>
      </c>
      <c r="G4061" s="15">
        <f t="shared" si="2"/>
        <v>2.88</v>
      </c>
      <c r="H4061" s="16">
        <v>0.0</v>
      </c>
      <c r="I4061" s="15">
        <f t="shared" si="3"/>
        <v>2.18</v>
      </c>
      <c r="J4061" s="15">
        <v>13.74</v>
      </c>
      <c r="K4061" s="16">
        <f>IF(COUNTIFS(Release_Calendar!$A$2:$A$755,"US_CPI",Release_Calendar!$B$2:$B$755,$A4061)&gt;0,1,0)</f>
        <v>0</v>
      </c>
      <c r="L4061" s="16">
        <f>IF(COUNTIFS(Release_Calendar!$A$2:$A$755,"US_NFP",Release_Calendar!$B$2:$B$755,$A4061)&gt;0,1,0)</f>
        <v>0</v>
      </c>
      <c r="M4061" s="16" t="str">
        <f>IF($A4061&lt;Notes!$B$5,"",IF(COUNTIFS(Release_Calendar!$A$2:$A$755,"NZ_CPI",Release_Calendar!$B$2:$B$755,$A4061)&gt;0,1,0))</f>
        <v/>
      </c>
      <c r="N4061" s="16" t="str">
        <f>IF($A4061&lt;Notes!$B$5,"",IF(COUNTIFS(Release_Calendar!$A$2:$A$755,"NZ_GDP",Release_Calendar!$B$2:$B$755,$A4061)&gt;0,1,0))</f>
        <v/>
      </c>
      <c r="O4061" s="16" t="str">
        <f>IF($A4061&lt;Notes!$B$5,"",IF(COUNTIFS(Release_Calendar!$A$2:$A$755,"NZ_LABOUR",Release_Calendar!$B$2:$B$755,$A4061)&gt;0,1,0))</f>
        <v/>
      </c>
      <c r="P4061" s="16">
        <f t="shared" si="4"/>
        <v>0</v>
      </c>
    </row>
    <row r="4062" ht="15.75" customHeight="1">
      <c r="A4062" s="14">
        <v>42212.0</v>
      </c>
      <c r="B4062" s="15">
        <v>0.68</v>
      </c>
      <c r="C4062" s="15">
        <v>2.87</v>
      </c>
      <c r="D4062" s="15">
        <v>2.56</v>
      </c>
      <c r="E4062" s="15">
        <v>2.56</v>
      </c>
      <c r="F4062" s="15">
        <f t="shared" si="1"/>
        <v>2.19</v>
      </c>
      <c r="G4062" s="15">
        <f t="shared" si="2"/>
        <v>2.87</v>
      </c>
      <c r="H4062" s="16">
        <v>0.0</v>
      </c>
      <c r="I4062" s="15">
        <f t="shared" si="3"/>
        <v>2.19</v>
      </c>
      <c r="J4062" s="15">
        <v>15.6</v>
      </c>
      <c r="K4062" s="16">
        <f>IF(COUNTIFS(Release_Calendar!$A$2:$A$755,"US_CPI",Release_Calendar!$B$2:$B$755,$A4062)&gt;0,1,0)</f>
        <v>0</v>
      </c>
      <c r="L4062" s="16">
        <f>IF(COUNTIFS(Release_Calendar!$A$2:$A$755,"US_NFP",Release_Calendar!$B$2:$B$755,$A4062)&gt;0,1,0)</f>
        <v>0</v>
      </c>
      <c r="M4062" s="16" t="str">
        <f>IF($A4062&lt;Notes!$B$5,"",IF(COUNTIFS(Release_Calendar!$A$2:$A$755,"NZ_CPI",Release_Calendar!$B$2:$B$755,$A4062)&gt;0,1,0))</f>
        <v/>
      </c>
      <c r="N4062" s="16" t="str">
        <f>IF($A4062&lt;Notes!$B$5,"",IF(COUNTIFS(Release_Calendar!$A$2:$A$755,"NZ_GDP",Release_Calendar!$B$2:$B$755,$A4062)&gt;0,1,0))</f>
        <v/>
      </c>
      <c r="O4062" s="16" t="str">
        <f>IF($A4062&lt;Notes!$B$5,"",IF(COUNTIFS(Release_Calendar!$A$2:$A$755,"NZ_LABOUR",Release_Calendar!$B$2:$B$755,$A4062)&gt;0,1,0))</f>
        <v/>
      </c>
      <c r="P4062" s="16">
        <f t="shared" si="4"/>
        <v>0</v>
      </c>
    </row>
    <row r="4063" ht="15.75" customHeight="1">
      <c r="A4063" s="14">
        <v>42213.0</v>
      </c>
      <c r="B4063" s="15">
        <v>0.69</v>
      </c>
      <c r="C4063" s="15">
        <v>2.93</v>
      </c>
      <c r="D4063" s="15">
        <v>2.54</v>
      </c>
      <c r="E4063" s="15">
        <v>2.62</v>
      </c>
      <c r="F4063" s="15">
        <f t="shared" si="1"/>
        <v>2.24</v>
      </c>
      <c r="G4063" s="15">
        <f t="shared" si="2"/>
        <v>2.93</v>
      </c>
      <c r="H4063" s="16">
        <v>0.0</v>
      </c>
      <c r="I4063" s="15">
        <f t="shared" si="3"/>
        <v>2.24</v>
      </c>
      <c r="J4063" s="15">
        <v>13.44</v>
      </c>
      <c r="K4063" s="16">
        <f>IF(COUNTIFS(Release_Calendar!$A$2:$A$755,"US_CPI",Release_Calendar!$B$2:$B$755,$A4063)&gt;0,1,0)</f>
        <v>0</v>
      </c>
      <c r="L4063" s="16">
        <f>IF(COUNTIFS(Release_Calendar!$A$2:$A$755,"US_NFP",Release_Calendar!$B$2:$B$755,$A4063)&gt;0,1,0)</f>
        <v>0</v>
      </c>
      <c r="M4063" s="16" t="str">
        <f>IF($A4063&lt;Notes!$B$5,"",IF(COUNTIFS(Release_Calendar!$A$2:$A$755,"NZ_CPI",Release_Calendar!$B$2:$B$755,$A4063)&gt;0,1,0))</f>
        <v/>
      </c>
      <c r="N4063" s="16" t="str">
        <f>IF($A4063&lt;Notes!$B$5,"",IF(COUNTIFS(Release_Calendar!$A$2:$A$755,"NZ_GDP",Release_Calendar!$B$2:$B$755,$A4063)&gt;0,1,0))</f>
        <v/>
      </c>
      <c r="O4063" s="16" t="str">
        <f>IF($A4063&lt;Notes!$B$5,"",IF(COUNTIFS(Release_Calendar!$A$2:$A$755,"NZ_LABOUR",Release_Calendar!$B$2:$B$755,$A4063)&gt;0,1,0))</f>
        <v/>
      </c>
      <c r="P4063" s="16">
        <f t="shared" si="4"/>
        <v>0</v>
      </c>
    </row>
    <row r="4064" ht="15.75" customHeight="1">
      <c r="A4064" s="14">
        <v>42214.0</v>
      </c>
      <c r="B4064" s="15">
        <v>0.7</v>
      </c>
      <c r="C4064" s="15">
        <v>2.94</v>
      </c>
      <c r="D4064" s="15">
        <v>2.68</v>
      </c>
      <c r="E4064" s="15">
        <v>2.63</v>
      </c>
      <c r="F4064" s="15">
        <f t="shared" si="1"/>
        <v>2.24</v>
      </c>
      <c r="G4064" s="15">
        <f t="shared" si="2"/>
        <v>2.94</v>
      </c>
      <c r="H4064" s="16">
        <v>0.0</v>
      </c>
      <c r="I4064" s="15">
        <f t="shared" si="3"/>
        <v>2.24</v>
      </c>
      <c r="J4064" s="15">
        <v>12.5</v>
      </c>
      <c r="K4064" s="16">
        <f>IF(COUNTIFS(Release_Calendar!$A$2:$A$755,"US_CPI",Release_Calendar!$B$2:$B$755,$A4064)&gt;0,1,0)</f>
        <v>0</v>
      </c>
      <c r="L4064" s="16">
        <f>IF(COUNTIFS(Release_Calendar!$A$2:$A$755,"US_NFP",Release_Calendar!$B$2:$B$755,$A4064)&gt;0,1,0)</f>
        <v>0</v>
      </c>
      <c r="M4064" s="16" t="str">
        <f>IF($A4064&lt;Notes!$B$5,"",IF(COUNTIFS(Release_Calendar!$A$2:$A$755,"NZ_CPI",Release_Calendar!$B$2:$B$755,$A4064)&gt;0,1,0))</f>
        <v/>
      </c>
      <c r="N4064" s="16" t="str">
        <f>IF($A4064&lt;Notes!$B$5,"",IF(COUNTIFS(Release_Calendar!$A$2:$A$755,"NZ_GDP",Release_Calendar!$B$2:$B$755,$A4064)&gt;0,1,0))</f>
        <v/>
      </c>
      <c r="O4064" s="16" t="str">
        <f>IF($A4064&lt;Notes!$B$5,"",IF(COUNTIFS(Release_Calendar!$A$2:$A$755,"NZ_LABOUR",Release_Calendar!$B$2:$B$755,$A4064)&gt;0,1,0))</f>
        <v/>
      </c>
      <c r="P4064" s="16">
        <f t="shared" si="4"/>
        <v>0</v>
      </c>
    </row>
    <row r="4065" ht="15.75" customHeight="1">
      <c r="A4065" s="14">
        <v>42215.0</v>
      </c>
      <c r="B4065" s="15">
        <v>0.72</v>
      </c>
      <c r="C4065" s="15">
        <v>2.93</v>
      </c>
      <c r="D4065" s="15">
        <v>2.64</v>
      </c>
      <c r="E4065" s="15">
        <v>2.64</v>
      </c>
      <c r="F4065" s="15">
        <f t="shared" si="1"/>
        <v>2.21</v>
      </c>
      <c r="G4065" s="15">
        <f t="shared" si="2"/>
        <v>2.93</v>
      </c>
      <c r="H4065" s="16">
        <v>0.0</v>
      </c>
      <c r="I4065" s="15">
        <f t="shared" si="3"/>
        <v>2.21</v>
      </c>
      <c r="J4065" s="15">
        <v>12.13</v>
      </c>
      <c r="K4065" s="16">
        <f>IF(COUNTIFS(Release_Calendar!$A$2:$A$755,"US_CPI",Release_Calendar!$B$2:$B$755,$A4065)&gt;0,1,0)</f>
        <v>0</v>
      </c>
      <c r="L4065" s="16">
        <f>IF(COUNTIFS(Release_Calendar!$A$2:$A$755,"US_NFP",Release_Calendar!$B$2:$B$755,$A4065)&gt;0,1,0)</f>
        <v>0</v>
      </c>
      <c r="M4065" s="16" t="str">
        <f>IF($A4065&lt;Notes!$B$5,"",IF(COUNTIFS(Release_Calendar!$A$2:$A$755,"NZ_CPI",Release_Calendar!$B$2:$B$755,$A4065)&gt;0,1,0))</f>
        <v/>
      </c>
      <c r="N4065" s="16" t="str">
        <f>IF($A4065&lt;Notes!$B$5,"",IF(COUNTIFS(Release_Calendar!$A$2:$A$755,"NZ_GDP",Release_Calendar!$B$2:$B$755,$A4065)&gt;0,1,0))</f>
        <v/>
      </c>
      <c r="O4065" s="16" t="str">
        <f>IF($A4065&lt;Notes!$B$5,"",IF(COUNTIFS(Release_Calendar!$A$2:$A$755,"NZ_LABOUR",Release_Calendar!$B$2:$B$755,$A4065)&gt;0,1,0))</f>
        <v/>
      </c>
      <c r="P4065" s="16">
        <f t="shared" si="4"/>
        <v>0</v>
      </c>
    </row>
    <row r="4066" ht="15.75" customHeight="1">
      <c r="A4066" s="14">
        <v>42216.0</v>
      </c>
      <c r="B4066" s="15">
        <v>0.67</v>
      </c>
      <c r="C4066" s="15">
        <v>2.89</v>
      </c>
      <c r="D4066" s="15">
        <v>2.6</v>
      </c>
      <c r="E4066" s="15">
        <v>2.58</v>
      </c>
      <c r="F4066" s="15">
        <f t="shared" si="1"/>
        <v>2.22</v>
      </c>
      <c r="G4066" s="15">
        <f t="shared" si="2"/>
        <v>2.89</v>
      </c>
      <c r="H4066" s="16">
        <v>0.0</v>
      </c>
      <c r="I4066" s="15">
        <f t="shared" si="3"/>
        <v>2.22</v>
      </c>
      <c r="J4066" s="15">
        <v>12.12</v>
      </c>
      <c r="K4066" s="16">
        <f>IF(COUNTIFS(Release_Calendar!$A$2:$A$755,"US_CPI",Release_Calendar!$B$2:$B$755,$A4066)&gt;0,1,0)</f>
        <v>0</v>
      </c>
      <c r="L4066" s="16">
        <f>IF(COUNTIFS(Release_Calendar!$A$2:$A$755,"US_NFP",Release_Calendar!$B$2:$B$755,$A4066)&gt;0,1,0)</f>
        <v>0</v>
      </c>
      <c r="M4066" s="16" t="str">
        <f>IF($A4066&lt;Notes!$B$5,"",IF(COUNTIFS(Release_Calendar!$A$2:$A$755,"NZ_CPI",Release_Calendar!$B$2:$B$755,$A4066)&gt;0,1,0))</f>
        <v/>
      </c>
      <c r="N4066" s="16" t="str">
        <f>IF($A4066&lt;Notes!$B$5,"",IF(COUNTIFS(Release_Calendar!$A$2:$A$755,"NZ_GDP",Release_Calendar!$B$2:$B$755,$A4066)&gt;0,1,0))</f>
        <v/>
      </c>
      <c r="O4066" s="16" t="str">
        <f>IF($A4066&lt;Notes!$B$5,"",IF(COUNTIFS(Release_Calendar!$A$2:$A$755,"NZ_LABOUR",Release_Calendar!$B$2:$B$755,$A4066)&gt;0,1,0))</f>
        <v/>
      </c>
      <c r="P4066" s="16">
        <f t="shared" si="4"/>
        <v>0</v>
      </c>
    </row>
    <row r="4067" ht="15.75" customHeight="1">
      <c r="A4067" s="14">
        <v>42219.0</v>
      </c>
      <c r="B4067" s="15">
        <v>0.68</v>
      </c>
      <c r="C4067" s="15">
        <v>2.88</v>
      </c>
      <c r="D4067" s="15">
        <v>2.55</v>
      </c>
      <c r="E4067" s="15">
        <v>2.57</v>
      </c>
      <c r="F4067" s="15">
        <f t="shared" si="1"/>
        <v>2.2</v>
      </c>
      <c r="G4067" s="15">
        <f t="shared" si="2"/>
        <v>2.88</v>
      </c>
      <c r="H4067" s="16">
        <v>0.0</v>
      </c>
      <c r="I4067" s="15">
        <f t="shared" si="3"/>
        <v>2.2</v>
      </c>
      <c r="J4067" s="15">
        <v>12.56</v>
      </c>
      <c r="K4067" s="16">
        <f>IF(COUNTIFS(Release_Calendar!$A$2:$A$755,"US_CPI",Release_Calendar!$B$2:$B$755,$A4067)&gt;0,1,0)</f>
        <v>0</v>
      </c>
      <c r="L4067" s="16">
        <f>IF(COUNTIFS(Release_Calendar!$A$2:$A$755,"US_NFP",Release_Calendar!$B$2:$B$755,$A4067)&gt;0,1,0)</f>
        <v>0</v>
      </c>
      <c r="M4067" s="16" t="str">
        <f>IF($A4067&lt;Notes!$B$5,"",IF(COUNTIFS(Release_Calendar!$A$2:$A$755,"NZ_CPI",Release_Calendar!$B$2:$B$755,$A4067)&gt;0,1,0))</f>
        <v/>
      </c>
      <c r="N4067" s="16" t="str">
        <f>IF($A4067&lt;Notes!$B$5,"",IF(COUNTIFS(Release_Calendar!$A$2:$A$755,"NZ_GDP",Release_Calendar!$B$2:$B$755,$A4067)&gt;0,1,0))</f>
        <v/>
      </c>
      <c r="O4067" s="16" t="str">
        <f>IF($A4067&lt;Notes!$B$5,"",IF(COUNTIFS(Release_Calendar!$A$2:$A$755,"NZ_LABOUR",Release_Calendar!$B$2:$B$755,$A4067)&gt;0,1,0))</f>
        <v/>
      </c>
      <c r="P4067" s="16">
        <f t="shared" si="4"/>
        <v>0</v>
      </c>
    </row>
    <row r="4068" ht="15.75" customHeight="1">
      <c r="A4068" s="14">
        <v>42220.0</v>
      </c>
      <c r="B4068" s="15">
        <v>0.74</v>
      </c>
      <c r="C4068" s="15">
        <v>2.86</v>
      </c>
      <c r="D4068" s="15">
        <v>2.54</v>
      </c>
      <c r="E4068" s="15">
        <v>2.55</v>
      </c>
      <c r="F4068" s="15">
        <f t="shared" si="1"/>
        <v>2.12</v>
      </c>
      <c r="G4068" s="15">
        <f t="shared" si="2"/>
        <v>2.86</v>
      </c>
      <c r="H4068" s="16">
        <v>0.0</v>
      </c>
      <c r="I4068" s="15">
        <f t="shared" si="3"/>
        <v>2.12</v>
      </c>
      <c r="J4068" s="15">
        <v>13.0</v>
      </c>
      <c r="K4068" s="16">
        <f>IF(COUNTIFS(Release_Calendar!$A$2:$A$755,"US_CPI",Release_Calendar!$B$2:$B$755,$A4068)&gt;0,1,0)</f>
        <v>0</v>
      </c>
      <c r="L4068" s="16">
        <f>IF(COUNTIFS(Release_Calendar!$A$2:$A$755,"US_NFP",Release_Calendar!$B$2:$B$755,$A4068)&gt;0,1,0)</f>
        <v>0</v>
      </c>
      <c r="M4068" s="16" t="str">
        <f>IF($A4068&lt;Notes!$B$5,"",IF(COUNTIFS(Release_Calendar!$A$2:$A$755,"NZ_CPI",Release_Calendar!$B$2:$B$755,$A4068)&gt;0,1,0))</f>
        <v/>
      </c>
      <c r="N4068" s="16" t="str">
        <f>IF($A4068&lt;Notes!$B$5,"",IF(COUNTIFS(Release_Calendar!$A$2:$A$755,"NZ_GDP",Release_Calendar!$B$2:$B$755,$A4068)&gt;0,1,0))</f>
        <v/>
      </c>
      <c r="O4068" s="16" t="str">
        <f>IF($A4068&lt;Notes!$B$5,"",IF(COUNTIFS(Release_Calendar!$A$2:$A$755,"NZ_LABOUR",Release_Calendar!$B$2:$B$755,$A4068)&gt;0,1,0))</f>
        <v/>
      </c>
      <c r="P4068" s="16">
        <f t="shared" si="4"/>
        <v>0</v>
      </c>
    </row>
    <row r="4069" ht="15.75" customHeight="1">
      <c r="A4069" s="14">
        <v>42221.0</v>
      </c>
      <c r="B4069" s="15">
        <v>0.73</v>
      </c>
      <c r="C4069" s="15">
        <v>2.88</v>
      </c>
      <c r="D4069" s="15">
        <v>2.56</v>
      </c>
      <c r="E4069" s="15">
        <v>2.57</v>
      </c>
      <c r="F4069" s="15">
        <f t="shared" si="1"/>
        <v>2.15</v>
      </c>
      <c r="G4069" s="15">
        <f t="shared" si="2"/>
        <v>2.88</v>
      </c>
      <c r="H4069" s="16">
        <v>0.0</v>
      </c>
      <c r="I4069" s="15">
        <f t="shared" si="3"/>
        <v>2.15</v>
      </c>
      <c r="J4069" s="15">
        <v>12.51</v>
      </c>
      <c r="K4069" s="16">
        <f>IF(COUNTIFS(Release_Calendar!$A$2:$A$755,"US_CPI",Release_Calendar!$B$2:$B$755,$A4069)&gt;0,1,0)</f>
        <v>0</v>
      </c>
      <c r="L4069" s="16">
        <f>IF(COUNTIFS(Release_Calendar!$A$2:$A$755,"US_NFP",Release_Calendar!$B$2:$B$755,$A4069)&gt;0,1,0)</f>
        <v>0</v>
      </c>
      <c r="M4069" s="16" t="str">
        <f>IF($A4069&lt;Notes!$B$5,"",IF(COUNTIFS(Release_Calendar!$A$2:$A$755,"NZ_CPI",Release_Calendar!$B$2:$B$755,$A4069)&gt;0,1,0))</f>
        <v/>
      </c>
      <c r="N4069" s="16" t="str">
        <f>IF($A4069&lt;Notes!$B$5,"",IF(COUNTIFS(Release_Calendar!$A$2:$A$755,"NZ_GDP",Release_Calendar!$B$2:$B$755,$A4069)&gt;0,1,0))</f>
        <v/>
      </c>
      <c r="O4069" s="16" t="str">
        <f>IF($A4069&lt;Notes!$B$5,"",IF(COUNTIFS(Release_Calendar!$A$2:$A$755,"NZ_LABOUR",Release_Calendar!$B$2:$B$755,$A4069)&gt;0,1,0))</f>
        <v/>
      </c>
      <c r="P4069" s="16">
        <f t="shared" si="4"/>
        <v>0</v>
      </c>
    </row>
    <row r="4070" ht="15.75" customHeight="1">
      <c r="A4070" s="14">
        <v>42222.0</v>
      </c>
      <c r="B4070" s="15">
        <v>0.71</v>
      </c>
      <c r="C4070" s="15">
        <v>2.9</v>
      </c>
      <c r="D4070" s="15">
        <v>2.6</v>
      </c>
      <c r="E4070" s="15">
        <v>2.61</v>
      </c>
      <c r="F4070" s="15">
        <f t="shared" si="1"/>
        <v>2.19</v>
      </c>
      <c r="G4070" s="15">
        <f t="shared" si="2"/>
        <v>2.9</v>
      </c>
      <c r="H4070" s="16">
        <v>0.0</v>
      </c>
      <c r="I4070" s="15">
        <f t="shared" si="3"/>
        <v>2.19</v>
      </c>
      <c r="J4070" s="15">
        <v>13.77</v>
      </c>
      <c r="K4070" s="16">
        <f>IF(COUNTIFS(Release_Calendar!$A$2:$A$755,"US_CPI",Release_Calendar!$B$2:$B$755,$A4070)&gt;0,1,0)</f>
        <v>0</v>
      </c>
      <c r="L4070" s="16">
        <f>IF(COUNTIFS(Release_Calendar!$A$2:$A$755,"US_NFP",Release_Calendar!$B$2:$B$755,$A4070)&gt;0,1,0)</f>
        <v>0</v>
      </c>
      <c r="M4070" s="16" t="str">
        <f>IF($A4070&lt;Notes!$B$5,"",IF(COUNTIFS(Release_Calendar!$A$2:$A$755,"NZ_CPI",Release_Calendar!$B$2:$B$755,$A4070)&gt;0,1,0))</f>
        <v/>
      </c>
      <c r="N4070" s="16" t="str">
        <f>IF($A4070&lt;Notes!$B$5,"",IF(COUNTIFS(Release_Calendar!$A$2:$A$755,"NZ_GDP",Release_Calendar!$B$2:$B$755,$A4070)&gt;0,1,0))</f>
        <v/>
      </c>
      <c r="O4070" s="16" t="str">
        <f>IF($A4070&lt;Notes!$B$5,"",IF(COUNTIFS(Release_Calendar!$A$2:$A$755,"NZ_LABOUR",Release_Calendar!$B$2:$B$755,$A4070)&gt;0,1,0))</f>
        <v/>
      </c>
      <c r="P4070" s="16">
        <f t="shared" si="4"/>
        <v>0</v>
      </c>
    </row>
    <row r="4071" ht="15.75" customHeight="1">
      <c r="A4071" s="14">
        <v>42223.0</v>
      </c>
      <c r="B4071" s="15">
        <v>0.73</v>
      </c>
      <c r="C4071" s="15">
        <v>2.9</v>
      </c>
      <c r="D4071" s="15">
        <v>2.59</v>
      </c>
      <c r="E4071" s="15">
        <v>2.62</v>
      </c>
      <c r="F4071" s="15">
        <f t="shared" si="1"/>
        <v>2.17</v>
      </c>
      <c r="G4071" s="15">
        <f t="shared" si="2"/>
        <v>2.9</v>
      </c>
      <c r="H4071" s="16">
        <v>0.0</v>
      </c>
      <c r="I4071" s="15">
        <f t="shared" si="3"/>
        <v>2.17</v>
      </c>
      <c r="J4071" s="15">
        <v>13.39</v>
      </c>
      <c r="K4071" s="16">
        <f>IF(COUNTIFS(Release_Calendar!$A$2:$A$755,"US_CPI",Release_Calendar!$B$2:$B$755,$A4071)&gt;0,1,0)</f>
        <v>0</v>
      </c>
      <c r="L4071" s="16">
        <f>IF(COUNTIFS(Release_Calendar!$A$2:$A$755,"US_NFP",Release_Calendar!$B$2:$B$755,$A4071)&gt;0,1,0)</f>
        <v>1</v>
      </c>
      <c r="M4071" s="16" t="str">
        <f>IF($A4071&lt;Notes!$B$5,"",IF(COUNTIFS(Release_Calendar!$A$2:$A$755,"NZ_CPI",Release_Calendar!$B$2:$B$755,$A4071)&gt;0,1,0))</f>
        <v/>
      </c>
      <c r="N4071" s="16" t="str">
        <f>IF($A4071&lt;Notes!$B$5,"",IF(COUNTIFS(Release_Calendar!$A$2:$A$755,"NZ_GDP",Release_Calendar!$B$2:$B$755,$A4071)&gt;0,1,0))</f>
        <v/>
      </c>
      <c r="O4071" s="16" t="str">
        <f>IF($A4071&lt;Notes!$B$5,"",IF(COUNTIFS(Release_Calendar!$A$2:$A$755,"NZ_LABOUR",Release_Calendar!$B$2:$B$755,$A4071)&gt;0,1,0))</f>
        <v/>
      </c>
      <c r="P4071" s="16">
        <f t="shared" si="4"/>
        <v>1</v>
      </c>
    </row>
    <row r="4072" ht="15.75" customHeight="1">
      <c r="A4072" s="14">
        <v>42226.0</v>
      </c>
      <c r="B4072" s="15">
        <v>0.73</v>
      </c>
      <c r="C4072" s="15">
        <v>2.89</v>
      </c>
      <c r="D4072" s="15">
        <v>2.59</v>
      </c>
      <c r="E4072" s="15">
        <v>2.61</v>
      </c>
      <c r="F4072" s="15">
        <f t="shared" si="1"/>
        <v>2.16</v>
      </c>
      <c r="G4072" s="15">
        <f t="shared" si="2"/>
        <v>2.89</v>
      </c>
      <c r="H4072" s="16">
        <v>0.0</v>
      </c>
      <c r="I4072" s="15">
        <f t="shared" si="3"/>
        <v>2.16</v>
      </c>
      <c r="J4072" s="15">
        <v>12.23</v>
      </c>
      <c r="K4072" s="16">
        <f>IF(COUNTIFS(Release_Calendar!$A$2:$A$755,"US_CPI",Release_Calendar!$B$2:$B$755,$A4072)&gt;0,1,0)</f>
        <v>0</v>
      </c>
      <c r="L4072" s="16">
        <f>IF(COUNTIFS(Release_Calendar!$A$2:$A$755,"US_NFP",Release_Calendar!$B$2:$B$755,$A4072)&gt;0,1,0)</f>
        <v>0</v>
      </c>
      <c r="M4072" s="16" t="str">
        <f>IF($A4072&lt;Notes!$B$5,"",IF(COUNTIFS(Release_Calendar!$A$2:$A$755,"NZ_CPI",Release_Calendar!$B$2:$B$755,$A4072)&gt;0,1,0))</f>
        <v/>
      </c>
      <c r="N4072" s="16" t="str">
        <f>IF($A4072&lt;Notes!$B$5,"",IF(COUNTIFS(Release_Calendar!$A$2:$A$755,"NZ_GDP",Release_Calendar!$B$2:$B$755,$A4072)&gt;0,1,0))</f>
        <v/>
      </c>
      <c r="O4072" s="16" t="str">
        <f>IF($A4072&lt;Notes!$B$5,"",IF(COUNTIFS(Release_Calendar!$A$2:$A$755,"NZ_LABOUR",Release_Calendar!$B$2:$B$755,$A4072)&gt;0,1,0))</f>
        <v/>
      </c>
      <c r="P4072" s="16">
        <f t="shared" si="4"/>
        <v>0</v>
      </c>
    </row>
    <row r="4073" ht="15.75" customHeight="1">
      <c r="A4073" s="14">
        <v>42227.0</v>
      </c>
      <c r="B4073" s="15">
        <v>0.68</v>
      </c>
      <c r="C4073" s="15">
        <v>2.88</v>
      </c>
      <c r="D4073" s="15">
        <v>2.62</v>
      </c>
      <c r="E4073" s="15">
        <v>2.6</v>
      </c>
      <c r="F4073" s="15">
        <f t="shared" si="1"/>
        <v>2.2</v>
      </c>
      <c r="G4073" s="15">
        <f t="shared" si="2"/>
        <v>2.88</v>
      </c>
      <c r="H4073" s="16">
        <v>0.0</v>
      </c>
      <c r="I4073" s="15">
        <f t="shared" si="3"/>
        <v>2.2</v>
      </c>
      <c r="J4073" s="15">
        <v>13.71</v>
      </c>
      <c r="K4073" s="16">
        <f>IF(COUNTIFS(Release_Calendar!$A$2:$A$755,"US_CPI",Release_Calendar!$B$2:$B$755,$A4073)&gt;0,1,0)</f>
        <v>0</v>
      </c>
      <c r="L4073" s="16">
        <f>IF(COUNTIFS(Release_Calendar!$A$2:$A$755,"US_NFP",Release_Calendar!$B$2:$B$755,$A4073)&gt;0,1,0)</f>
        <v>0</v>
      </c>
      <c r="M4073" s="16" t="str">
        <f>IF($A4073&lt;Notes!$B$5,"",IF(COUNTIFS(Release_Calendar!$A$2:$A$755,"NZ_CPI",Release_Calendar!$B$2:$B$755,$A4073)&gt;0,1,0))</f>
        <v/>
      </c>
      <c r="N4073" s="16" t="str">
        <f>IF($A4073&lt;Notes!$B$5,"",IF(COUNTIFS(Release_Calendar!$A$2:$A$755,"NZ_GDP",Release_Calendar!$B$2:$B$755,$A4073)&gt;0,1,0))</f>
        <v/>
      </c>
      <c r="O4073" s="16" t="str">
        <f>IF($A4073&lt;Notes!$B$5,"",IF(COUNTIFS(Release_Calendar!$A$2:$A$755,"NZ_LABOUR",Release_Calendar!$B$2:$B$755,$A4073)&gt;0,1,0))</f>
        <v/>
      </c>
      <c r="P4073" s="16">
        <f t="shared" si="4"/>
        <v>0</v>
      </c>
    </row>
    <row r="4074" ht="15.75" customHeight="1">
      <c r="A4074" s="14">
        <v>42228.0</v>
      </c>
      <c r="B4074" s="15">
        <v>0.67</v>
      </c>
      <c r="C4074" s="15">
        <v>2.84</v>
      </c>
      <c r="D4074" s="15">
        <v>2.55</v>
      </c>
      <c r="E4074" s="15">
        <v>2.55</v>
      </c>
      <c r="F4074" s="15">
        <f t="shared" si="1"/>
        <v>2.17</v>
      </c>
      <c r="G4074" s="15">
        <f t="shared" si="2"/>
        <v>2.84</v>
      </c>
      <c r="H4074" s="16">
        <v>0.0</v>
      </c>
      <c r="I4074" s="15">
        <f t="shared" si="3"/>
        <v>2.17</v>
      </c>
      <c r="J4074" s="15">
        <v>13.61</v>
      </c>
      <c r="K4074" s="16">
        <f>IF(COUNTIFS(Release_Calendar!$A$2:$A$755,"US_CPI",Release_Calendar!$B$2:$B$755,$A4074)&gt;0,1,0)</f>
        <v>0</v>
      </c>
      <c r="L4074" s="16">
        <f>IF(COUNTIFS(Release_Calendar!$A$2:$A$755,"US_NFP",Release_Calendar!$B$2:$B$755,$A4074)&gt;0,1,0)</f>
        <v>0</v>
      </c>
      <c r="M4074" s="16" t="str">
        <f>IF($A4074&lt;Notes!$B$5,"",IF(COUNTIFS(Release_Calendar!$A$2:$A$755,"NZ_CPI",Release_Calendar!$B$2:$B$755,$A4074)&gt;0,1,0))</f>
        <v/>
      </c>
      <c r="N4074" s="16" t="str">
        <f>IF($A4074&lt;Notes!$B$5,"",IF(COUNTIFS(Release_Calendar!$A$2:$A$755,"NZ_GDP",Release_Calendar!$B$2:$B$755,$A4074)&gt;0,1,0))</f>
        <v/>
      </c>
      <c r="O4074" s="16" t="str">
        <f>IF($A4074&lt;Notes!$B$5,"",IF(COUNTIFS(Release_Calendar!$A$2:$A$755,"NZ_LABOUR",Release_Calendar!$B$2:$B$755,$A4074)&gt;0,1,0))</f>
        <v/>
      </c>
      <c r="P4074" s="16">
        <f t="shared" si="4"/>
        <v>0</v>
      </c>
    </row>
    <row r="4075" ht="15.75" customHeight="1">
      <c r="A4075" s="14">
        <v>42229.0</v>
      </c>
      <c r="B4075" s="15">
        <v>0.72</v>
      </c>
      <c r="C4075" s="15">
        <v>2.87</v>
      </c>
      <c r="D4075" s="15">
        <v>2.58</v>
      </c>
      <c r="E4075" s="15">
        <v>2.6</v>
      </c>
      <c r="F4075" s="15">
        <f t="shared" si="1"/>
        <v>2.15</v>
      </c>
      <c r="G4075" s="15">
        <f t="shared" si="2"/>
        <v>2.87</v>
      </c>
      <c r="H4075" s="16">
        <v>0.0</v>
      </c>
      <c r="I4075" s="15">
        <f t="shared" si="3"/>
        <v>2.15</v>
      </c>
      <c r="J4075" s="15">
        <v>13.49</v>
      </c>
      <c r="K4075" s="16">
        <f>IF(COUNTIFS(Release_Calendar!$A$2:$A$755,"US_CPI",Release_Calendar!$B$2:$B$755,$A4075)&gt;0,1,0)</f>
        <v>0</v>
      </c>
      <c r="L4075" s="16">
        <f>IF(COUNTIFS(Release_Calendar!$A$2:$A$755,"US_NFP",Release_Calendar!$B$2:$B$755,$A4075)&gt;0,1,0)</f>
        <v>0</v>
      </c>
      <c r="M4075" s="16" t="str">
        <f>IF($A4075&lt;Notes!$B$5,"",IF(COUNTIFS(Release_Calendar!$A$2:$A$755,"NZ_CPI",Release_Calendar!$B$2:$B$755,$A4075)&gt;0,1,0))</f>
        <v/>
      </c>
      <c r="N4075" s="16" t="str">
        <f>IF($A4075&lt;Notes!$B$5,"",IF(COUNTIFS(Release_Calendar!$A$2:$A$755,"NZ_GDP",Release_Calendar!$B$2:$B$755,$A4075)&gt;0,1,0))</f>
        <v/>
      </c>
      <c r="O4075" s="16" t="str">
        <f>IF($A4075&lt;Notes!$B$5,"",IF(COUNTIFS(Release_Calendar!$A$2:$A$755,"NZ_LABOUR",Release_Calendar!$B$2:$B$755,$A4075)&gt;0,1,0))</f>
        <v/>
      </c>
      <c r="P4075" s="16">
        <f t="shared" si="4"/>
        <v>0</v>
      </c>
    </row>
    <row r="4076" ht="15.75" customHeight="1">
      <c r="A4076" s="14">
        <v>42230.0</v>
      </c>
      <c r="B4076" s="15">
        <v>0.73</v>
      </c>
      <c r="C4076" s="15">
        <v>2.88</v>
      </c>
      <c r="D4076" s="15">
        <v>2.61</v>
      </c>
      <c r="E4076" s="15">
        <v>2.61</v>
      </c>
      <c r="F4076" s="15">
        <f t="shared" si="1"/>
        <v>2.15</v>
      </c>
      <c r="G4076" s="15">
        <f t="shared" si="2"/>
        <v>2.88</v>
      </c>
      <c r="H4076" s="16">
        <v>0.0</v>
      </c>
      <c r="I4076" s="15">
        <f t="shared" si="3"/>
        <v>2.15</v>
      </c>
      <c r="J4076" s="15">
        <v>12.83</v>
      </c>
      <c r="K4076" s="16">
        <f>IF(COUNTIFS(Release_Calendar!$A$2:$A$755,"US_CPI",Release_Calendar!$B$2:$B$755,$A4076)&gt;0,1,0)</f>
        <v>0</v>
      </c>
      <c r="L4076" s="16">
        <f>IF(COUNTIFS(Release_Calendar!$A$2:$A$755,"US_NFP",Release_Calendar!$B$2:$B$755,$A4076)&gt;0,1,0)</f>
        <v>0</v>
      </c>
      <c r="M4076" s="16" t="str">
        <f>IF($A4076&lt;Notes!$B$5,"",IF(COUNTIFS(Release_Calendar!$A$2:$A$755,"NZ_CPI",Release_Calendar!$B$2:$B$755,$A4076)&gt;0,1,0))</f>
        <v/>
      </c>
      <c r="N4076" s="16" t="str">
        <f>IF($A4076&lt;Notes!$B$5,"",IF(COUNTIFS(Release_Calendar!$A$2:$A$755,"NZ_GDP",Release_Calendar!$B$2:$B$755,$A4076)&gt;0,1,0))</f>
        <v/>
      </c>
      <c r="O4076" s="16" t="str">
        <f>IF($A4076&lt;Notes!$B$5,"",IF(COUNTIFS(Release_Calendar!$A$2:$A$755,"NZ_LABOUR",Release_Calendar!$B$2:$B$755,$A4076)&gt;0,1,0))</f>
        <v/>
      </c>
      <c r="P4076" s="16">
        <f t="shared" si="4"/>
        <v>0</v>
      </c>
    </row>
    <row r="4077" ht="15.75" customHeight="1">
      <c r="A4077" s="14">
        <v>42233.0</v>
      </c>
      <c r="B4077" s="15">
        <v>0.72</v>
      </c>
      <c r="C4077" s="15">
        <v>2.87</v>
      </c>
      <c r="D4077" s="15">
        <v>2.6</v>
      </c>
      <c r="E4077" s="15">
        <v>2.61</v>
      </c>
      <c r="F4077" s="15">
        <f t="shared" si="1"/>
        <v>2.15</v>
      </c>
      <c r="G4077" s="15">
        <f t="shared" si="2"/>
        <v>2.87</v>
      </c>
      <c r="H4077" s="16">
        <v>0.0</v>
      </c>
      <c r="I4077" s="15">
        <f t="shared" si="3"/>
        <v>2.15</v>
      </c>
      <c r="J4077" s="15">
        <v>13.02</v>
      </c>
      <c r="K4077" s="16">
        <f>IF(COUNTIFS(Release_Calendar!$A$2:$A$755,"US_CPI",Release_Calendar!$B$2:$B$755,$A4077)&gt;0,1,0)</f>
        <v>0</v>
      </c>
      <c r="L4077" s="16">
        <f>IF(COUNTIFS(Release_Calendar!$A$2:$A$755,"US_NFP",Release_Calendar!$B$2:$B$755,$A4077)&gt;0,1,0)</f>
        <v>0</v>
      </c>
      <c r="M4077" s="16" t="str">
        <f>IF($A4077&lt;Notes!$B$5,"",IF(COUNTIFS(Release_Calendar!$A$2:$A$755,"NZ_CPI",Release_Calendar!$B$2:$B$755,$A4077)&gt;0,1,0))</f>
        <v/>
      </c>
      <c r="N4077" s="16" t="str">
        <f>IF($A4077&lt;Notes!$B$5,"",IF(COUNTIFS(Release_Calendar!$A$2:$A$755,"NZ_GDP",Release_Calendar!$B$2:$B$755,$A4077)&gt;0,1,0))</f>
        <v/>
      </c>
      <c r="O4077" s="16" t="str">
        <f>IF($A4077&lt;Notes!$B$5,"",IF(COUNTIFS(Release_Calendar!$A$2:$A$755,"NZ_LABOUR",Release_Calendar!$B$2:$B$755,$A4077)&gt;0,1,0))</f>
        <v/>
      </c>
      <c r="P4077" s="16">
        <f t="shared" si="4"/>
        <v>0</v>
      </c>
    </row>
    <row r="4078" ht="15.75" customHeight="1">
      <c r="A4078" s="14">
        <v>42234.0</v>
      </c>
      <c r="B4078" s="15">
        <v>0.74</v>
      </c>
      <c r="C4078" s="15">
        <v>2.89</v>
      </c>
      <c r="D4078" s="15">
        <v>2.6</v>
      </c>
      <c r="E4078" s="15">
        <v>2.61</v>
      </c>
      <c r="F4078" s="15">
        <f t="shared" si="1"/>
        <v>2.15</v>
      </c>
      <c r="G4078" s="15">
        <f t="shared" si="2"/>
        <v>2.89</v>
      </c>
      <c r="H4078" s="16">
        <v>0.0</v>
      </c>
      <c r="I4078" s="15">
        <f t="shared" si="3"/>
        <v>2.15</v>
      </c>
      <c r="J4078" s="15">
        <v>13.79</v>
      </c>
      <c r="K4078" s="16">
        <f>IF(COUNTIFS(Release_Calendar!$A$2:$A$755,"US_CPI",Release_Calendar!$B$2:$B$755,$A4078)&gt;0,1,0)</f>
        <v>0</v>
      </c>
      <c r="L4078" s="16">
        <f>IF(COUNTIFS(Release_Calendar!$A$2:$A$755,"US_NFP",Release_Calendar!$B$2:$B$755,$A4078)&gt;0,1,0)</f>
        <v>0</v>
      </c>
      <c r="M4078" s="16" t="str">
        <f>IF($A4078&lt;Notes!$B$5,"",IF(COUNTIFS(Release_Calendar!$A$2:$A$755,"NZ_CPI",Release_Calendar!$B$2:$B$755,$A4078)&gt;0,1,0))</f>
        <v/>
      </c>
      <c r="N4078" s="16" t="str">
        <f>IF($A4078&lt;Notes!$B$5,"",IF(COUNTIFS(Release_Calendar!$A$2:$A$755,"NZ_GDP",Release_Calendar!$B$2:$B$755,$A4078)&gt;0,1,0))</f>
        <v/>
      </c>
      <c r="O4078" s="16" t="str">
        <f>IF($A4078&lt;Notes!$B$5,"",IF(COUNTIFS(Release_Calendar!$A$2:$A$755,"NZ_LABOUR",Release_Calendar!$B$2:$B$755,$A4078)&gt;0,1,0))</f>
        <v/>
      </c>
      <c r="P4078" s="16">
        <f t="shared" si="4"/>
        <v>0</v>
      </c>
    </row>
    <row r="4079" ht="15.75" customHeight="1">
      <c r="A4079" s="14">
        <v>42235.0</v>
      </c>
      <c r="B4079" s="15">
        <v>0.67</v>
      </c>
      <c r="C4079" s="15">
        <v>2.89</v>
      </c>
      <c r="D4079" s="15">
        <v>2.63</v>
      </c>
      <c r="E4079" s="15">
        <v>2.61</v>
      </c>
      <c r="F4079" s="15">
        <f t="shared" si="1"/>
        <v>2.22</v>
      </c>
      <c r="G4079" s="15">
        <f t="shared" si="2"/>
        <v>2.89</v>
      </c>
      <c r="H4079" s="16">
        <v>0.0</v>
      </c>
      <c r="I4079" s="15">
        <f t="shared" si="3"/>
        <v>2.22</v>
      </c>
      <c r="J4079" s="15">
        <v>15.25</v>
      </c>
      <c r="K4079" s="16">
        <f>IF(COUNTIFS(Release_Calendar!$A$2:$A$755,"US_CPI",Release_Calendar!$B$2:$B$755,$A4079)&gt;0,1,0)</f>
        <v>1</v>
      </c>
      <c r="L4079" s="16">
        <f>IF(COUNTIFS(Release_Calendar!$A$2:$A$755,"US_NFP",Release_Calendar!$B$2:$B$755,$A4079)&gt;0,1,0)</f>
        <v>0</v>
      </c>
      <c r="M4079" s="16" t="str">
        <f>IF($A4079&lt;Notes!$B$5,"",IF(COUNTIFS(Release_Calendar!$A$2:$A$755,"NZ_CPI",Release_Calendar!$B$2:$B$755,$A4079)&gt;0,1,0))</f>
        <v/>
      </c>
      <c r="N4079" s="16" t="str">
        <f>IF($A4079&lt;Notes!$B$5,"",IF(COUNTIFS(Release_Calendar!$A$2:$A$755,"NZ_GDP",Release_Calendar!$B$2:$B$755,$A4079)&gt;0,1,0))</f>
        <v/>
      </c>
      <c r="O4079" s="16" t="str">
        <f>IF($A4079&lt;Notes!$B$5,"",IF(COUNTIFS(Release_Calendar!$A$2:$A$755,"NZ_LABOUR",Release_Calendar!$B$2:$B$755,$A4079)&gt;0,1,0))</f>
        <v/>
      </c>
      <c r="P4079" s="16">
        <f t="shared" si="4"/>
        <v>1</v>
      </c>
    </row>
    <row r="4080" ht="15.75" customHeight="1">
      <c r="A4080" s="14">
        <v>42236.0</v>
      </c>
      <c r="B4080" s="15">
        <v>0.69</v>
      </c>
      <c r="C4080" s="15">
        <v>2.86</v>
      </c>
      <c r="D4080" s="15">
        <v>2.58</v>
      </c>
      <c r="E4080" s="15">
        <v>2.56</v>
      </c>
      <c r="F4080" s="15">
        <f t="shared" si="1"/>
        <v>2.17</v>
      </c>
      <c r="G4080" s="15">
        <f t="shared" si="2"/>
        <v>2.86</v>
      </c>
      <c r="H4080" s="16">
        <v>0.0</v>
      </c>
      <c r="I4080" s="15">
        <f t="shared" si="3"/>
        <v>2.17</v>
      </c>
      <c r="J4080" s="15">
        <v>19.14</v>
      </c>
      <c r="K4080" s="16">
        <f>IF(COUNTIFS(Release_Calendar!$A$2:$A$755,"US_CPI",Release_Calendar!$B$2:$B$755,$A4080)&gt;0,1,0)</f>
        <v>0</v>
      </c>
      <c r="L4080" s="16">
        <f>IF(COUNTIFS(Release_Calendar!$A$2:$A$755,"US_NFP",Release_Calendar!$B$2:$B$755,$A4080)&gt;0,1,0)</f>
        <v>0</v>
      </c>
      <c r="M4080" s="16" t="str">
        <f>IF($A4080&lt;Notes!$B$5,"",IF(COUNTIFS(Release_Calendar!$A$2:$A$755,"NZ_CPI",Release_Calendar!$B$2:$B$755,$A4080)&gt;0,1,0))</f>
        <v/>
      </c>
      <c r="N4080" s="16" t="str">
        <f>IF($A4080&lt;Notes!$B$5,"",IF(COUNTIFS(Release_Calendar!$A$2:$A$755,"NZ_GDP",Release_Calendar!$B$2:$B$755,$A4080)&gt;0,1,0))</f>
        <v/>
      </c>
      <c r="O4080" s="16" t="str">
        <f>IF($A4080&lt;Notes!$B$5,"",IF(COUNTIFS(Release_Calendar!$A$2:$A$755,"NZ_LABOUR",Release_Calendar!$B$2:$B$755,$A4080)&gt;0,1,0))</f>
        <v/>
      </c>
      <c r="P4080" s="16">
        <f t="shared" si="4"/>
        <v>0</v>
      </c>
    </row>
    <row r="4081" ht="15.75" customHeight="1">
      <c r="A4081" s="14">
        <v>42237.0</v>
      </c>
      <c r="B4081" s="15">
        <v>0.64</v>
      </c>
      <c r="C4081" s="15">
        <v>2.85</v>
      </c>
      <c r="D4081" s="15">
        <v>2.53</v>
      </c>
      <c r="E4081" s="15">
        <v>2.54</v>
      </c>
      <c r="F4081" s="15">
        <f t="shared" si="1"/>
        <v>2.21</v>
      </c>
      <c r="G4081" s="15">
        <f t="shared" si="2"/>
        <v>2.85</v>
      </c>
      <c r="H4081" s="16">
        <v>0.0</v>
      </c>
      <c r="I4081" s="15">
        <f t="shared" si="3"/>
        <v>2.21</v>
      </c>
      <c r="J4081" s="15">
        <v>28.03</v>
      </c>
      <c r="K4081" s="16">
        <f>IF(COUNTIFS(Release_Calendar!$A$2:$A$755,"US_CPI",Release_Calendar!$B$2:$B$755,$A4081)&gt;0,1,0)</f>
        <v>0</v>
      </c>
      <c r="L4081" s="16">
        <f>IF(COUNTIFS(Release_Calendar!$A$2:$A$755,"US_NFP",Release_Calendar!$B$2:$B$755,$A4081)&gt;0,1,0)</f>
        <v>0</v>
      </c>
      <c r="M4081" s="16" t="str">
        <f>IF($A4081&lt;Notes!$B$5,"",IF(COUNTIFS(Release_Calendar!$A$2:$A$755,"NZ_CPI",Release_Calendar!$B$2:$B$755,$A4081)&gt;0,1,0))</f>
        <v/>
      </c>
      <c r="N4081" s="16" t="str">
        <f>IF($A4081&lt;Notes!$B$5,"",IF(COUNTIFS(Release_Calendar!$A$2:$A$755,"NZ_GDP",Release_Calendar!$B$2:$B$755,$A4081)&gt;0,1,0))</f>
        <v/>
      </c>
      <c r="O4081" s="16" t="str">
        <f>IF($A4081&lt;Notes!$B$5,"",IF(COUNTIFS(Release_Calendar!$A$2:$A$755,"NZ_LABOUR",Release_Calendar!$B$2:$B$755,$A4081)&gt;0,1,0))</f>
        <v/>
      </c>
      <c r="P4081" s="16">
        <f t="shared" si="4"/>
        <v>0</v>
      </c>
    </row>
    <row r="4082" ht="15.75" customHeight="1">
      <c r="A4082" s="14">
        <v>42240.0</v>
      </c>
      <c r="B4082" s="15">
        <v>0.59</v>
      </c>
      <c r="C4082" s="15">
        <v>2.82</v>
      </c>
      <c r="D4082" s="15">
        <v>2.51</v>
      </c>
      <c r="E4082" s="15">
        <v>2.5</v>
      </c>
      <c r="F4082" s="15">
        <f t="shared" si="1"/>
        <v>2.23</v>
      </c>
      <c r="G4082" s="15">
        <f t="shared" si="2"/>
        <v>2.82</v>
      </c>
      <c r="H4082" s="16">
        <v>0.0</v>
      </c>
      <c r="I4082" s="15">
        <f t="shared" si="3"/>
        <v>2.23</v>
      </c>
      <c r="J4082" s="15">
        <v>40.74</v>
      </c>
      <c r="K4082" s="16">
        <f>IF(COUNTIFS(Release_Calendar!$A$2:$A$755,"US_CPI",Release_Calendar!$B$2:$B$755,$A4082)&gt;0,1,0)</f>
        <v>0</v>
      </c>
      <c r="L4082" s="16">
        <f>IF(COUNTIFS(Release_Calendar!$A$2:$A$755,"US_NFP",Release_Calendar!$B$2:$B$755,$A4082)&gt;0,1,0)</f>
        <v>0</v>
      </c>
      <c r="M4082" s="16" t="str">
        <f>IF($A4082&lt;Notes!$B$5,"",IF(COUNTIFS(Release_Calendar!$A$2:$A$755,"NZ_CPI",Release_Calendar!$B$2:$B$755,$A4082)&gt;0,1,0))</f>
        <v/>
      </c>
      <c r="N4082" s="16" t="str">
        <f>IF($A4082&lt;Notes!$B$5,"",IF(COUNTIFS(Release_Calendar!$A$2:$A$755,"NZ_GDP",Release_Calendar!$B$2:$B$755,$A4082)&gt;0,1,0))</f>
        <v/>
      </c>
      <c r="O4082" s="16" t="str">
        <f>IF($A4082&lt;Notes!$B$5,"",IF(COUNTIFS(Release_Calendar!$A$2:$A$755,"NZ_LABOUR",Release_Calendar!$B$2:$B$755,$A4082)&gt;0,1,0))</f>
        <v/>
      </c>
      <c r="P4082" s="16">
        <f t="shared" si="4"/>
        <v>0</v>
      </c>
    </row>
    <row r="4083" ht="15.75" customHeight="1">
      <c r="A4083" s="14">
        <v>42241.0</v>
      </c>
      <c r="B4083" s="15">
        <v>0.67</v>
      </c>
      <c r="C4083" s="15">
        <v>2.83</v>
      </c>
      <c r="D4083" s="15">
        <v>2.49</v>
      </c>
      <c r="E4083" s="15">
        <v>2.53</v>
      </c>
      <c r="F4083" s="15">
        <f t="shared" si="1"/>
        <v>2.16</v>
      </c>
      <c r="G4083" s="15">
        <f t="shared" si="2"/>
        <v>2.83</v>
      </c>
      <c r="H4083" s="16">
        <v>0.0</v>
      </c>
      <c r="I4083" s="15">
        <f t="shared" si="3"/>
        <v>2.16</v>
      </c>
      <c r="J4083" s="15">
        <v>36.02</v>
      </c>
      <c r="K4083" s="16">
        <f>IF(COUNTIFS(Release_Calendar!$A$2:$A$755,"US_CPI",Release_Calendar!$B$2:$B$755,$A4083)&gt;0,1,0)</f>
        <v>0</v>
      </c>
      <c r="L4083" s="16">
        <f>IF(COUNTIFS(Release_Calendar!$A$2:$A$755,"US_NFP",Release_Calendar!$B$2:$B$755,$A4083)&gt;0,1,0)</f>
        <v>0</v>
      </c>
      <c r="M4083" s="16" t="str">
        <f>IF($A4083&lt;Notes!$B$5,"",IF(COUNTIFS(Release_Calendar!$A$2:$A$755,"NZ_CPI",Release_Calendar!$B$2:$B$755,$A4083)&gt;0,1,0))</f>
        <v/>
      </c>
      <c r="N4083" s="16" t="str">
        <f>IF($A4083&lt;Notes!$B$5,"",IF(COUNTIFS(Release_Calendar!$A$2:$A$755,"NZ_GDP",Release_Calendar!$B$2:$B$755,$A4083)&gt;0,1,0))</f>
        <v/>
      </c>
      <c r="O4083" s="16" t="str">
        <f>IF($A4083&lt;Notes!$B$5,"",IF(COUNTIFS(Release_Calendar!$A$2:$A$755,"NZ_LABOUR",Release_Calendar!$B$2:$B$755,$A4083)&gt;0,1,0))</f>
        <v/>
      </c>
      <c r="P4083" s="16">
        <f t="shared" si="4"/>
        <v>0</v>
      </c>
    </row>
    <row r="4084" ht="15.75" customHeight="1">
      <c r="A4084" s="14">
        <v>42242.0</v>
      </c>
      <c r="B4084" s="15">
        <v>0.67</v>
      </c>
      <c r="C4084" s="15">
        <v>2.82</v>
      </c>
      <c r="D4084" s="15">
        <v>2.51</v>
      </c>
      <c r="E4084" s="15">
        <v>2.53</v>
      </c>
      <c r="F4084" s="15">
        <f t="shared" si="1"/>
        <v>2.15</v>
      </c>
      <c r="G4084" s="15">
        <f t="shared" si="2"/>
        <v>2.82</v>
      </c>
      <c r="H4084" s="16">
        <v>0.0</v>
      </c>
      <c r="I4084" s="15">
        <f t="shared" si="3"/>
        <v>2.15</v>
      </c>
      <c r="J4084" s="15">
        <v>30.32</v>
      </c>
      <c r="K4084" s="16">
        <f>IF(COUNTIFS(Release_Calendar!$A$2:$A$755,"US_CPI",Release_Calendar!$B$2:$B$755,$A4084)&gt;0,1,0)</f>
        <v>0</v>
      </c>
      <c r="L4084" s="16">
        <f>IF(COUNTIFS(Release_Calendar!$A$2:$A$755,"US_NFP",Release_Calendar!$B$2:$B$755,$A4084)&gt;0,1,0)</f>
        <v>0</v>
      </c>
      <c r="M4084" s="16" t="str">
        <f>IF($A4084&lt;Notes!$B$5,"",IF(COUNTIFS(Release_Calendar!$A$2:$A$755,"NZ_CPI",Release_Calendar!$B$2:$B$755,$A4084)&gt;0,1,0))</f>
        <v/>
      </c>
      <c r="N4084" s="16" t="str">
        <f>IF($A4084&lt;Notes!$B$5,"",IF(COUNTIFS(Release_Calendar!$A$2:$A$755,"NZ_GDP",Release_Calendar!$B$2:$B$755,$A4084)&gt;0,1,0))</f>
        <v/>
      </c>
      <c r="O4084" s="16" t="str">
        <f>IF($A4084&lt;Notes!$B$5,"",IF(COUNTIFS(Release_Calendar!$A$2:$A$755,"NZ_LABOUR",Release_Calendar!$B$2:$B$755,$A4084)&gt;0,1,0))</f>
        <v/>
      </c>
      <c r="P4084" s="16">
        <f t="shared" si="4"/>
        <v>0</v>
      </c>
    </row>
    <row r="4085" ht="15.75" customHeight="1">
      <c r="A4085" s="14">
        <v>42243.0</v>
      </c>
      <c r="B4085" s="15">
        <v>0.68</v>
      </c>
      <c r="C4085" s="15">
        <v>2.8</v>
      </c>
      <c r="D4085" s="15">
        <v>2.56</v>
      </c>
      <c r="E4085" s="15">
        <v>2.51</v>
      </c>
      <c r="F4085" s="15">
        <f t="shared" si="1"/>
        <v>2.12</v>
      </c>
      <c r="G4085" s="15">
        <f t="shared" si="2"/>
        <v>2.8</v>
      </c>
      <c r="H4085" s="16">
        <v>0.0</v>
      </c>
      <c r="I4085" s="15">
        <f t="shared" si="3"/>
        <v>2.12</v>
      </c>
      <c r="J4085" s="15">
        <v>26.1</v>
      </c>
      <c r="K4085" s="16">
        <f>IF(COUNTIFS(Release_Calendar!$A$2:$A$755,"US_CPI",Release_Calendar!$B$2:$B$755,$A4085)&gt;0,1,0)</f>
        <v>0</v>
      </c>
      <c r="L4085" s="16">
        <f>IF(COUNTIFS(Release_Calendar!$A$2:$A$755,"US_NFP",Release_Calendar!$B$2:$B$755,$A4085)&gt;0,1,0)</f>
        <v>0</v>
      </c>
      <c r="M4085" s="16" t="str">
        <f>IF($A4085&lt;Notes!$B$5,"",IF(COUNTIFS(Release_Calendar!$A$2:$A$755,"NZ_CPI",Release_Calendar!$B$2:$B$755,$A4085)&gt;0,1,0))</f>
        <v/>
      </c>
      <c r="N4085" s="16" t="str">
        <f>IF($A4085&lt;Notes!$B$5,"",IF(COUNTIFS(Release_Calendar!$A$2:$A$755,"NZ_GDP",Release_Calendar!$B$2:$B$755,$A4085)&gt;0,1,0))</f>
        <v/>
      </c>
      <c r="O4085" s="16" t="str">
        <f>IF($A4085&lt;Notes!$B$5,"",IF(COUNTIFS(Release_Calendar!$A$2:$A$755,"NZ_LABOUR",Release_Calendar!$B$2:$B$755,$A4085)&gt;0,1,0))</f>
        <v/>
      </c>
      <c r="P4085" s="16">
        <f t="shared" si="4"/>
        <v>0</v>
      </c>
    </row>
    <row r="4086" ht="15.75" customHeight="1">
      <c r="A4086" s="14">
        <v>42244.0</v>
      </c>
      <c r="B4086" s="15">
        <v>0.72</v>
      </c>
      <c r="C4086" s="15">
        <v>2.8</v>
      </c>
      <c r="D4086" s="15">
        <v>2.52</v>
      </c>
      <c r="E4086" s="15">
        <v>2.52</v>
      </c>
      <c r="F4086" s="15">
        <f t="shared" si="1"/>
        <v>2.08</v>
      </c>
      <c r="G4086" s="15">
        <f t="shared" si="2"/>
        <v>2.8</v>
      </c>
      <c r="H4086" s="16">
        <v>0.0</v>
      </c>
      <c r="I4086" s="15">
        <f t="shared" si="3"/>
        <v>2.08</v>
      </c>
      <c r="J4086" s="15">
        <v>26.05</v>
      </c>
      <c r="K4086" s="16">
        <f>IF(COUNTIFS(Release_Calendar!$A$2:$A$755,"US_CPI",Release_Calendar!$B$2:$B$755,$A4086)&gt;0,1,0)</f>
        <v>0</v>
      </c>
      <c r="L4086" s="16">
        <f>IF(COUNTIFS(Release_Calendar!$A$2:$A$755,"US_NFP",Release_Calendar!$B$2:$B$755,$A4086)&gt;0,1,0)</f>
        <v>0</v>
      </c>
      <c r="M4086" s="16" t="str">
        <f>IF($A4086&lt;Notes!$B$5,"",IF(COUNTIFS(Release_Calendar!$A$2:$A$755,"NZ_CPI",Release_Calendar!$B$2:$B$755,$A4086)&gt;0,1,0))</f>
        <v/>
      </c>
      <c r="N4086" s="16" t="str">
        <f>IF($A4086&lt;Notes!$B$5,"",IF(COUNTIFS(Release_Calendar!$A$2:$A$755,"NZ_GDP",Release_Calendar!$B$2:$B$755,$A4086)&gt;0,1,0))</f>
        <v/>
      </c>
      <c r="O4086" s="16" t="str">
        <f>IF($A4086&lt;Notes!$B$5,"",IF(COUNTIFS(Release_Calendar!$A$2:$A$755,"NZ_LABOUR",Release_Calendar!$B$2:$B$755,$A4086)&gt;0,1,0))</f>
        <v/>
      </c>
      <c r="P4086" s="16">
        <f t="shared" si="4"/>
        <v>0</v>
      </c>
    </row>
    <row r="4087" ht="15.75" customHeight="1">
      <c r="A4087" s="14">
        <v>42247.0</v>
      </c>
      <c r="B4087" s="15">
        <v>0.74</v>
      </c>
      <c r="C4087" s="15">
        <v>2.78</v>
      </c>
      <c r="D4087" s="15">
        <v>2.53</v>
      </c>
      <c r="E4087" s="15">
        <v>2.5</v>
      </c>
      <c r="F4087" s="15">
        <f t="shared" si="1"/>
        <v>2.04</v>
      </c>
      <c r="G4087" s="15">
        <f t="shared" si="2"/>
        <v>2.78</v>
      </c>
      <c r="H4087" s="16">
        <v>0.0</v>
      </c>
      <c r="I4087" s="15">
        <f t="shared" si="3"/>
        <v>2.04</v>
      </c>
      <c r="J4087" s="15">
        <v>28.43</v>
      </c>
      <c r="K4087" s="16">
        <f>IF(COUNTIFS(Release_Calendar!$A$2:$A$755,"US_CPI",Release_Calendar!$B$2:$B$755,$A4087)&gt;0,1,0)</f>
        <v>0</v>
      </c>
      <c r="L4087" s="16">
        <f>IF(COUNTIFS(Release_Calendar!$A$2:$A$755,"US_NFP",Release_Calendar!$B$2:$B$755,$A4087)&gt;0,1,0)</f>
        <v>0</v>
      </c>
      <c r="M4087" s="16" t="str">
        <f>IF($A4087&lt;Notes!$B$5,"",IF(COUNTIFS(Release_Calendar!$A$2:$A$755,"NZ_CPI",Release_Calendar!$B$2:$B$755,$A4087)&gt;0,1,0))</f>
        <v/>
      </c>
      <c r="N4087" s="16" t="str">
        <f>IF($A4087&lt;Notes!$B$5,"",IF(COUNTIFS(Release_Calendar!$A$2:$A$755,"NZ_GDP",Release_Calendar!$B$2:$B$755,$A4087)&gt;0,1,0))</f>
        <v/>
      </c>
      <c r="O4087" s="16" t="str">
        <f>IF($A4087&lt;Notes!$B$5,"",IF(COUNTIFS(Release_Calendar!$A$2:$A$755,"NZ_LABOUR",Release_Calendar!$B$2:$B$755,$A4087)&gt;0,1,0))</f>
        <v/>
      </c>
      <c r="P4087" s="16">
        <f t="shared" si="4"/>
        <v>0</v>
      </c>
    </row>
    <row r="4088" ht="15.75" customHeight="1">
      <c r="A4088" s="14">
        <v>42248.0</v>
      </c>
      <c r="B4088" s="15">
        <v>0.7</v>
      </c>
      <c r="C4088" s="15">
        <v>2.77</v>
      </c>
      <c r="D4088" s="15">
        <v>2.49</v>
      </c>
      <c r="E4088" s="15">
        <v>2.47</v>
      </c>
      <c r="F4088" s="15">
        <f t="shared" si="1"/>
        <v>2.07</v>
      </c>
      <c r="G4088" s="15">
        <f t="shared" si="2"/>
        <v>2.77</v>
      </c>
      <c r="H4088" s="16">
        <v>0.0</v>
      </c>
      <c r="I4088" s="15">
        <f t="shared" si="3"/>
        <v>2.07</v>
      </c>
      <c r="J4088" s="15">
        <v>31.4</v>
      </c>
      <c r="K4088" s="16">
        <f>IF(COUNTIFS(Release_Calendar!$A$2:$A$755,"US_CPI",Release_Calendar!$B$2:$B$755,$A4088)&gt;0,1,0)</f>
        <v>0</v>
      </c>
      <c r="L4088" s="16">
        <f>IF(COUNTIFS(Release_Calendar!$A$2:$A$755,"US_NFP",Release_Calendar!$B$2:$B$755,$A4088)&gt;0,1,0)</f>
        <v>0</v>
      </c>
      <c r="M4088" s="16" t="str">
        <f>IF($A4088&lt;Notes!$B$5,"",IF(COUNTIFS(Release_Calendar!$A$2:$A$755,"NZ_CPI",Release_Calendar!$B$2:$B$755,$A4088)&gt;0,1,0))</f>
        <v/>
      </c>
      <c r="N4088" s="16" t="str">
        <f>IF($A4088&lt;Notes!$B$5,"",IF(COUNTIFS(Release_Calendar!$A$2:$A$755,"NZ_GDP",Release_Calendar!$B$2:$B$755,$A4088)&gt;0,1,0))</f>
        <v/>
      </c>
      <c r="O4088" s="16" t="str">
        <f>IF($A4088&lt;Notes!$B$5,"",IF(COUNTIFS(Release_Calendar!$A$2:$A$755,"NZ_LABOUR",Release_Calendar!$B$2:$B$755,$A4088)&gt;0,1,0))</f>
        <v/>
      </c>
      <c r="P4088" s="16">
        <f t="shared" si="4"/>
        <v>0</v>
      </c>
    </row>
    <row r="4089" ht="15.75" customHeight="1">
      <c r="A4089" s="14">
        <v>42249.0</v>
      </c>
      <c r="B4089" s="15">
        <v>0.72</v>
      </c>
      <c r="C4089" s="15">
        <v>2.8</v>
      </c>
      <c r="D4089" s="15">
        <v>2.48</v>
      </c>
      <c r="E4089" s="15">
        <v>2.52</v>
      </c>
      <c r="F4089" s="15">
        <f t="shared" si="1"/>
        <v>2.08</v>
      </c>
      <c r="G4089" s="15">
        <f t="shared" si="2"/>
        <v>2.8</v>
      </c>
      <c r="H4089" s="16">
        <v>0.0</v>
      </c>
      <c r="I4089" s="15">
        <f t="shared" si="3"/>
        <v>2.08</v>
      </c>
      <c r="J4089" s="15">
        <v>26.09</v>
      </c>
      <c r="K4089" s="16">
        <f>IF(COUNTIFS(Release_Calendar!$A$2:$A$755,"US_CPI",Release_Calendar!$B$2:$B$755,$A4089)&gt;0,1,0)</f>
        <v>0</v>
      </c>
      <c r="L4089" s="16">
        <f>IF(COUNTIFS(Release_Calendar!$A$2:$A$755,"US_NFP",Release_Calendar!$B$2:$B$755,$A4089)&gt;0,1,0)</f>
        <v>0</v>
      </c>
      <c r="M4089" s="16" t="str">
        <f>IF($A4089&lt;Notes!$B$5,"",IF(COUNTIFS(Release_Calendar!$A$2:$A$755,"NZ_CPI",Release_Calendar!$B$2:$B$755,$A4089)&gt;0,1,0))</f>
        <v/>
      </c>
      <c r="N4089" s="16" t="str">
        <f>IF($A4089&lt;Notes!$B$5,"",IF(COUNTIFS(Release_Calendar!$A$2:$A$755,"NZ_GDP",Release_Calendar!$B$2:$B$755,$A4089)&gt;0,1,0))</f>
        <v/>
      </c>
      <c r="O4089" s="16" t="str">
        <f>IF($A4089&lt;Notes!$B$5,"",IF(COUNTIFS(Release_Calendar!$A$2:$A$755,"NZ_LABOUR",Release_Calendar!$B$2:$B$755,$A4089)&gt;0,1,0))</f>
        <v/>
      </c>
      <c r="P4089" s="16">
        <f t="shared" si="4"/>
        <v>0</v>
      </c>
    </row>
    <row r="4090" ht="15.75" customHeight="1">
      <c r="A4090" s="14">
        <v>42250.0</v>
      </c>
      <c r="B4090" s="15">
        <v>0.71</v>
      </c>
      <c r="C4090" s="15">
        <v>2.81</v>
      </c>
      <c r="D4090" s="15">
        <v>2.54</v>
      </c>
      <c r="E4090" s="15">
        <v>2.54</v>
      </c>
      <c r="F4090" s="15">
        <f t="shared" si="1"/>
        <v>2.1</v>
      </c>
      <c r="G4090" s="15">
        <f t="shared" si="2"/>
        <v>2.81</v>
      </c>
      <c r="H4090" s="16">
        <v>0.0</v>
      </c>
      <c r="I4090" s="15">
        <f t="shared" si="3"/>
        <v>2.1</v>
      </c>
      <c r="J4090" s="15">
        <v>25.61</v>
      </c>
      <c r="K4090" s="16">
        <f>IF(COUNTIFS(Release_Calendar!$A$2:$A$755,"US_CPI",Release_Calendar!$B$2:$B$755,$A4090)&gt;0,1,0)</f>
        <v>0</v>
      </c>
      <c r="L4090" s="16">
        <f>IF(COUNTIFS(Release_Calendar!$A$2:$A$755,"US_NFP",Release_Calendar!$B$2:$B$755,$A4090)&gt;0,1,0)</f>
        <v>0</v>
      </c>
      <c r="M4090" s="16" t="str">
        <f>IF($A4090&lt;Notes!$B$5,"",IF(COUNTIFS(Release_Calendar!$A$2:$A$755,"NZ_CPI",Release_Calendar!$B$2:$B$755,$A4090)&gt;0,1,0))</f>
        <v/>
      </c>
      <c r="N4090" s="16" t="str">
        <f>IF($A4090&lt;Notes!$B$5,"",IF(COUNTIFS(Release_Calendar!$A$2:$A$755,"NZ_GDP",Release_Calendar!$B$2:$B$755,$A4090)&gt;0,1,0))</f>
        <v/>
      </c>
      <c r="O4090" s="16" t="str">
        <f>IF($A4090&lt;Notes!$B$5,"",IF(COUNTIFS(Release_Calendar!$A$2:$A$755,"NZ_LABOUR",Release_Calendar!$B$2:$B$755,$A4090)&gt;0,1,0))</f>
        <v/>
      </c>
      <c r="P4090" s="16">
        <f t="shared" si="4"/>
        <v>0</v>
      </c>
    </row>
    <row r="4091" ht="15.75" customHeight="1">
      <c r="A4091" s="14">
        <v>42251.0</v>
      </c>
      <c r="B4091" s="15">
        <v>0.71</v>
      </c>
      <c r="C4091" s="15">
        <v>2.8</v>
      </c>
      <c r="D4091" s="15">
        <v>2.54</v>
      </c>
      <c r="E4091" s="15">
        <v>2.53</v>
      </c>
      <c r="F4091" s="15">
        <f t="shared" si="1"/>
        <v>2.09</v>
      </c>
      <c r="G4091" s="15">
        <f t="shared" si="2"/>
        <v>2.8</v>
      </c>
      <c r="H4091" s="16">
        <v>0.0</v>
      </c>
      <c r="I4091" s="15">
        <f t="shared" si="3"/>
        <v>2.09</v>
      </c>
      <c r="J4091" s="15">
        <v>27.8</v>
      </c>
      <c r="K4091" s="16">
        <f>IF(COUNTIFS(Release_Calendar!$A$2:$A$755,"US_CPI",Release_Calendar!$B$2:$B$755,$A4091)&gt;0,1,0)</f>
        <v>0</v>
      </c>
      <c r="L4091" s="16">
        <f>IF(COUNTIFS(Release_Calendar!$A$2:$A$755,"US_NFP",Release_Calendar!$B$2:$B$755,$A4091)&gt;0,1,0)</f>
        <v>1</v>
      </c>
      <c r="M4091" s="16" t="str">
        <f>IF($A4091&lt;Notes!$B$5,"",IF(COUNTIFS(Release_Calendar!$A$2:$A$755,"NZ_CPI",Release_Calendar!$B$2:$B$755,$A4091)&gt;0,1,0))</f>
        <v/>
      </c>
      <c r="N4091" s="16" t="str">
        <f>IF($A4091&lt;Notes!$B$5,"",IF(COUNTIFS(Release_Calendar!$A$2:$A$755,"NZ_GDP",Release_Calendar!$B$2:$B$755,$A4091)&gt;0,1,0))</f>
        <v/>
      </c>
      <c r="O4091" s="16" t="str">
        <f>IF($A4091&lt;Notes!$B$5,"",IF(COUNTIFS(Release_Calendar!$A$2:$A$755,"NZ_LABOUR",Release_Calendar!$B$2:$B$755,$A4091)&gt;0,1,0))</f>
        <v/>
      </c>
      <c r="P4091" s="16">
        <f t="shared" si="4"/>
        <v>1</v>
      </c>
    </row>
    <row r="4092" ht="15.75" customHeight="1">
      <c r="A4092" s="14">
        <v>42254.0</v>
      </c>
      <c r="B4092" s="15"/>
      <c r="C4092" s="15">
        <v>2.81</v>
      </c>
      <c r="D4092" s="15">
        <v>2.53</v>
      </c>
      <c r="E4092" s="15">
        <v>2.54</v>
      </c>
      <c r="F4092" s="15" t="str">
        <f t="shared" si="1"/>
        <v/>
      </c>
      <c r="G4092" s="15">
        <f t="shared" si="2"/>
        <v>2.81</v>
      </c>
      <c r="H4092" s="16">
        <v>0.0</v>
      </c>
      <c r="I4092" s="15" t="str">
        <f t="shared" si="3"/>
        <v/>
      </c>
      <c r="J4092" s="15"/>
      <c r="K4092" s="16">
        <f>IF(COUNTIFS(Release_Calendar!$A$2:$A$755,"US_CPI",Release_Calendar!$B$2:$B$755,$A4092)&gt;0,1,0)</f>
        <v>0</v>
      </c>
      <c r="L4092" s="16">
        <f>IF(COUNTIFS(Release_Calendar!$A$2:$A$755,"US_NFP",Release_Calendar!$B$2:$B$755,$A4092)&gt;0,1,0)</f>
        <v>0</v>
      </c>
      <c r="M4092" s="16" t="str">
        <f>IF($A4092&lt;Notes!$B$5,"",IF(COUNTIFS(Release_Calendar!$A$2:$A$755,"NZ_CPI",Release_Calendar!$B$2:$B$755,$A4092)&gt;0,1,0))</f>
        <v/>
      </c>
      <c r="N4092" s="16" t="str">
        <f>IF($A4092&lt;Notes!$B$5,"",IF(COUNTIFS(Release_Calendar!$A$2:$A$755,"NZ_GDP",Release_Calendar!$B$2:$B$755,$A4092)&gt;0,1,0))</f>
        <v/>
      </c>
      <c r="O4092" s="16" t="str">
        <f>IF($A4092&lt;Notes!$B$5,"",IF(COUNTIFS(Release_Calendar!$A$2:$A$755,"NZ_LABOUR",Release_Calendar!$B$2:$B$755,$A4092)&gt;0,1,0))</f>
        <v/>
      </c>
      <c r="P4092" s="16">
        <f t="shared" si="4"/>
        <v>0</v>
      </c>
    </row>
    <row r="4093" ht="15.75" customHeight="1">
      <c r="A4093" s="14">
        <v>42255.0</v>
      </c>
      <c r="B4093" s="15">
        <v>0.74</v>
      </c>
      <c r="C4093" s="15">
        <v>2.81</v>
      </c>
      <c r="D4093" s="15">
        <v>2.55</v>
      </c>
      <c r="E4093" s="15">
        <v>2.55</v>
      </c>
      <c r="F4093" s="15">
        <f t="shared" si="1"/>
        <v>2.07</v>
      </c>
      <c r="G4093" s="15">
        <f t="shared" si="2"/>
        <v>2.81</v>
      </c>
      <c r="H4093" s="16">
        <v>0.0</v>
      </c>
      <c r="I4093" s="15">
        <f t="shared" si="3"/>
        <v>2.07</v>
      </c>
      <c r="J4093" s="15">
        <v>24.9</v>
      </c>
      <c r="K4093" s="16">
        <f>IF(COUNTIFS(Release_Calendar!$A$2:$A$755,"US_CPI",Release_Calendar!$B$2:$B$755,$A4093)&gt;0,1,0)</f>
        <v>0</v>
      </c>
      <c r="L4093" s="16">
        <f>IF(COUNTIFS(Release_Calendar!$A$2:$A$755,"US_NFP",Release_Calendar!$B$2:$B$755,$A4093)&gt;0,1,0)</f>
        <v>0</v>
      </c>
      <c r="M4093" s="16" t="str">
        <f>IF($A4093&lt;Notes!$B$5,"",IF(COUNTIFS(Release_Calendar!$A$2:$A$755,"NZ_CPI",Release_Calendar!$B$2:$B$755,$A4093)&gt;0,1,0))</f>
        <v/>
      </c>
      <c r="N4093" s="16" t="str">
        <f>IF($A4093&lt;Notes!$B$5,"",IF(COUNTIFS(Release_Calendar!$A$2:$A$755,"NZ_GDP",Release_Calendar!$B$2:$B$755,$A4093)&gt;0,1,0))</f>
        <v/>
      </c>
      <c r="O4093" s="16" t="str">
        <f>IF($A4093&lt;Notes!$B$5,"",IF(COUNTIFS(Release_Calendar!$A$2:$A$755,"NZ_LABOUR",Release_Calendar!$B$2:$B$755,$A4093)&gt;0,1,0))</f>
        <v/>
      </c>
      <c r="P4093" s="16">
        <f t="shared" si="4"/>
        <v>0</v>
      </c>
    </row>
    <row r="4094" ht="15.75" customHeight="1">
      <c r="A4094" s="14">
        <v>42256.0</v>
      </c>
      <c r="B4094" s="15">
        <v>0.75</v>
      </c>
      <c r="C4094" s="15">
        <v>2.84</v>
      </c>
      <c r="D4094" s="15">
        <v>2.57</v>
      </c>
      <c r="E4094" s="15">
        <v>2.58</v>
      </c>
      <c r="F4094" s="15">
        <f t="shared" si="1"/>
        <v>2.09</v>
      </c>
      <c r="G4094" s="15">
        <f t="shared" si="2"/>
        <v>2.84</v>
      </c>
      <c r="H4094" s="16">
        <v>0.0</v>
      </c>
      <c r="I4094" s="15">
        <f t="shared" si="3"/>
        <v>2.09</v>
      </c>
      <c r="J4094" s="15">
        <v>26.23</v>
      </c>
      <c r="K4094" s="16">
        <f>IF(COUNTIFS(Release_Calendar!$A$2:$A$755,"US_CPI",Release_Calendar!$B$2:$B$755,$A4094)&gt;0,1,0)</f>
        <v>0</v>
      </c>
      <c r="L4094" s="16">
        <f>IF(COUNTIFS(Release_Calendar!$A$2:$A$755,"US_NFP",Release_Calendar!$B$2:$B$755,$A4094)&gt;0,1,0)</f>
        <v>0</v>
      </c>
      <c r="M4094" s="16" t="str">
        <f>IF($A4094&lt;Notes!$B$5,"",IF(COUNTIFS(Release_Calendar!$A$2:$A$755,"NZ_CPI",Release_Calendar!$B$2:$B$755,$A4094)&gt;0,1,0))</f>
        <v/>
      </c>
      <c r="N4094" s="16" t="str">
        <f>IF($A4094&lt;Notes!$B$5,"",IF(COUNTIFS(Release_Calendar!$A$2:$A$755,"NZ_GDP",Release_Calendar!$B$2:$B$755,$A4094)&gt;0,1,0))</f>
        <v/>
      </c>
      <c r="O4094" s="16" t="str">
        <f>IF($A4094&lt;Notes!$B$5,"",IF(COUNTIFS(Release_Calendar!$A$2:$A$755,"NZ_LABOUR",Release_Calendar!$B$2:$B$755,$A4094)&gt;0,1,0))</f>
        <v/>
      </c>
      <c r="P4094" s="16">
        <f t="shared" si="4"/>
        <v>0</v>
      </c>
    </row>
    <row r="4095" ht="15.75" customHeight="1">
      <c r="A4095" s="14">
        <v>42257.0</v>
      </c>
      <c r="B4095" s="15">
        <v>0.75</v>
      </c>
      <c r="C4095" s="15">
        <v>2.75</v>
      </c>
      <c r="D4095" s="15">
        <v>2.5</v>
      </c>
      <c r="E4095" s="15">
        <v>2.49</v>
      </c>
      <c r="F4095" s="15">
        <f t="shared" si="1"/>
        <v>2</v>
      </c>
      <c r="G4095" s="15">
        <f t="shared" si="2"/>
        <v>2.75</v>
      </c>
      <c r="H4095" s="16">
        <v>0.0</v>
      </c>
      <c r="I4095" s="15">
        <f t="shared" si="3"/>
        <v>2</v>
      </c>
      <c r="J4095" s="15">
        <v>24.37</v>
      </c>
      <c r="K4095" s="16">
        <f>IF(COUNTIFS(Release_Calendar!$A$2:$A$755,"US_CPI",Release_Calendar!$B$2:$B$755,$A4095)&gt;0,1,0)</f>
        <v>0</v>
      </c>
      <c r="L4095" s="16">
        <f>IF(COUNTIFS(Release_Calendar!$A$2:$A$755,"US_NFP",Release_Calendar!$B$2:$B$755,$A4095)&gt;0,1,0)</f>
        <v>0</v>
      </c>
      <c r="M4095" s="16" t="str">
        <f>IF($A4095&lt;Notes!$B$5,"",IF(COUNTIFS(Release_Calendar!$A$2:$A$755,"NZ_CPI",Release_Calendar!$B$2:$B$755,$A4095)&gt;0,1,0))</f>
        <v/>
      </c>
      <c r="N4095" s="16" t="str">
        <f>IF($A4095&lt;Notes!$B$5,"",IF(COUNTIFS(Release_Calendar!$A$2:$A$755,"NZ_GDP",Release_Calendar!$B$2:$B$755,$A4095)&gt;0,1,0))</f>
        <v/>
      </c>
      <c r="O4095" s="16" t="str">
        <f>IF($A4095&lt;Notes!$B$5,"",IF(COUNTIFS(Release_Calendar!$A$2:$A$755,"NZ_LABOUR",Release_Calendar!$B$2:$B$755,$A4095)&gt;0,1,0))</f>
        <v/>
      </c>
      <c r="P4095" s="16">
        <f t="shared" si="4"/>
        <v>0</v>
      </c>
    </row>
    <row r="4096" ht="15.75" customHeight="1">
      <c r="A4096" s="14">
        <v>42258.0</v>
      </c>
      <c r="B4096" s="15">
        <v>0.71</v>
      </c>
      <c r="C4096" s="15">
        <v>2.73</v>
      </c>
      <c r="D4096" s="15">
        <v>2.49</v>
      </c>
      <c r="E4096" s="15">
        <v>2.46</v>
      </c>
      <c r="F4096" s="15">
        <f t="shared" si="1"/>
        <v>2.02</v>
      </c>
      <c r="G4096" s="15">
        <f t="shared" si="2"/>
        <v>2.73</v>
      </c>
      <c r="H4096" s="16">
        <v>0.0</v>
      </c>
      <c r="I4096" s="15">
        <f t="shared" si="3"/>
        <v>2.02</v>
      </c>
      <c r="J4096" s="15">
        <v>23.2</v>
      </c>
      <c r="K4096" s="16">
        <f>IF(COUNTIFS(Release_Calendar!$A$2:$A$755,"US_CPI",Release_Calendar!$B$2:$B$755,$A4096)&gt;0,1,0)</f>
        <v>0</v>
      </c>
      <c r="L4096" s="16">
        <f>IF(COUNTIFS(Release_Calendar!$A$2:$A$755,"US_NFP",Release_Calendar!$B$2:$B$755,$A4096)&gt;0,1,0)</f>
        <v>0</v>
      </c>
      <c r="M4096" s="16" t="str">
        <f>IF($A4096&lt;Notes!$B$5,"",IF(COUNTIFS(Release_Calendar!$A$2:$A$755,"NZ_CPI",Release_Calendar!$B$2:$B$755,$A4096)&gt;0,1,0))</f>
        <v/>
      </c>
      <c r="N4096" s="16" t="str">
        <f>IF($A4096&lt;Notes!$B$5,"",IF(COUNTIFS(Release_Calendar!$A$2:$A$755,"NZ_GDP",Release_Calendar!$B$2:$B$755,$A4096)&gt;0,1,0))</f>
        <v/>
      </c>
      <c r="O4096" s="16" t="str">
        <f>IF($A4096&lt;Notes!$B$5,"",IF(COUNTIFS(Release_Calendar!$A$2:$A$755,"NZ_LABOUR",Release_Calendar!$B$2:$B$755,$A4096)&gt;0,1,0))</f>
        <v/>
      </c>
      <c r="P4096" s="16">
        <f t="shared" si="4"/>
        <v>0</v>
      </c>
    </row>
    <row r="4097" ht="15.75" customHeight="1">
      <c r="A4097" s="14">
        <v>42261.0</v>
      </c>
      <c r="B4097" s="15">
        <v>0.73</v>
      </c>
      <c r="C4097" s="15">
        <v>2.71</v>
      </c>
      <c r="D4097" s="15">
        <v>2.45</v>
      </c>
      <c r="E4097" s="15">
        <v>2.43</v>
      </c>
      <c r="F4097" s="15">
        <f t="shared" si="1"/>
        <v>1.98</v>
      </c>
      <c r="G4097" s="15">
        <f t="shared" si="2"/>
        <v>2.71</v>
      </c>
      <c r="H4097" s="16">
        <v>0.0</v>
      </c>
      <c r="I4097" s="15">
        <f t="shared" si="3"/>
        <v>1.98</v>
      </c>
      <c r="J4097" s="15">
        <v>24.25</v>
      </c>
      <c r="K4097" s="16">
        <f>IF(COUNTIFS(Release_Calendar!$A$2:$A$755,"US_CPI",Release_Calendar!$B$2:$B$755,$A4097)&gt;0,1,0)</f>
        <v>0</v>
      </c>
      <c r="L4097" s="16">
        <f>IF(COUNTIFS(Release_Calendar!$A$2:$A$755,"US_NFP",Release_Calendar!$B$2:$B$755,$A4097)&gt;0,1,0)</f>
        <v>0</v>
      </c>
      <c r="M4097" s="16" t="str">
        <f>IF($A4097&lt;Notes!$B$5,"",IF(COUNTIFS(Release_Calendar!$A$2:$A$755,"NZ_CPI",Release_Calendar!$B$2:$B$755,$A4097)&gt;0,1,0))</f>
        <v/>
      </c>
      <c r="N4097" s="16" t="str">
        <f>IF($A4097&lt;Notes!$B$5,"",IF(COUNTIFS(Release_Calendar!$A$2:$A$755,"NZ_GDP",Release_Calendar!$B$2:$B$755,$A4097)&gt;0,1,0))</f>
        <v/>
      </c>
      <c r="O4097" s="16" t="str">
        <f>IF($A4097&lt;Notes!$B$5,"",IF(COUNTIFS(Release_Calendar!$A$2:$A$755,"NZ_LABOUR",Release_Calendar!$B$2:$B$755,$A4097)&gt;0,1,0))</f>
        <v/>
      </c>
      <c r="P4097" s="16">
        <f t="shared" si="4"/>
        <v>0</v>
      </c>
    </row>
    <row r="4098" ht="15.75" customHeight="1">
      <c r="A4098" s="14">
        <v>42262.0</v>
      </c>
      <c r="B4098" s="15">
        <v>0.82</v>
      </c>
      <c r="C4098" s="15">
        <v>2.7</v>
      </c>
      <c r="D4098" s="15">
        <v>2.43</v>
      </c>
      <c r="E4098" s="15">
        <v>2.43</v>
      </c>
      <c r="F4098" s="15">
        <f t="shared" si="1"/>
        <v>1.88</v>
      </c>
      <c r="G4098" s="15">
        <f t="shared" si="2"/>
        <v>2.7</v>
      </c>
      <c r="H4098" s="16">
        <v>0.0</v>
      </c>
      <c r="I4098" s="15">
        <f t="shared" si="3"/>
        <v>1.88</v>
      </c>
      <c r="J4098" s="15">
        <v>22.54</v>
      </c>
      <c r="K4098" s="16">
        <f>IF(COUNTIFS(Release_Calendar!$A$2:$A$755,"US_CPI",Release_Calendar!$B$2:$B$755,$A4098)&gt;0,1,0)</f>
        <v>0</v>
      </c>
      <c r="L4098" s="16">
        <f>IF(COUNTIFS(Release_Calendar!$A$2:$A$755,"US_NFP",Release_Calendar!$B$2:$B$755,$A4098)&gt;0,1,0)</f>
        <v>0</v>
      </c>
      <c r="M4098" s="16" t="str">
        <f>IF($A4098&lt;Notes!$B$5,"",IF(COUNTIFS(Release_Calendar!$A$2:$A$755,"NZ_CPI",Release_Calendar!$B$2:$B$755,$A4098)&gt;0,1,0))</f>
        <v/>
      </c>
      <c r="N4098" s="16" t="str">
        <f>IF($A4098&lt;Notes!$B$5,"",IF(COUNTIFS(Release_Calendar!$A$2:$A$755,"NZ_GDP",Release_Calendar!$B$2:$B$755,$A4098)&gt;0,1,0))</f>
        <v/>
      </c>
      <c r="O4098" s="16" t="str">
        <f>IF($A4098&lt;Notes!$B$5,"",IF(COUNTIFS(Release_Calendar!$A$2:$A$755,"NZ_LABOUR",Release_Calendar!$B$2:$B$755,$A4098)&gt;0,1,0))</f>
        <v/>
      </c>
      <c r="P4098" s="16">
        <f t="shared" si="4"/>
        <v>0</v>
      </c>
    </row>
    <row r="4099" ht="15.75" customHeight="1">
      <c r="A4099" s="14">
        <v>42263.0</v>
      </c>
      <c r="B4099" s="15">
        <v>0.82</v>
      </c>
      <c r="C4099" s="15">
        <v>2.72</v>
      </c>
      <c r="D4099" s="15">
        <v>2.49</v>
      </c>
      <c r="E4099" s="15">
        <v>2.46</v>
      </c>
      <c r="F4099" s="15">
        <f t="shared" si="1"/>
        <v>1.9</v>
      </c>
      <c r="G4099" s="15">
        <f t="shared" si="2"/>
        <v>2.72</v>
      </c>
      <c r="H4099" s="16">
        <v>0.0</v>
      </c>
      <c r="I4099" s="15">
        <f t="shared" si="3"/>
        <v>1.9</v>
      </c>
      <c r="J4099" s="15">
        <v>21.35</v>
      </c>
      <c r="K4099" s="16">
        <f>IF(COUNTIFS(Release_Calendar!$A$2:$A$755,"US_CPI",Release_Calendar!$B$2:$B$755,$A4099)&gt;0,1,0)</f>
        <v>1</v>
      </c>
      <c r="L4099" s="16">
        <f>IF(COUNTIFS(Release_Calendar!$A$2:$A$755,"US_NFP",Release_Calendar!$B$2:$B$755,$A4099)&gt;0,1,0)</f>
        <v>0</v>
      </c>
      <c r="M4099" s="16" t="str">
        <f>IF($A4099&lt;Notes!$B$5,"",IF(COUNTIFS(Release_Calendar!$A$2:$A$755,"NZ_CPI",Release_Calendar!$B$2:$B$755,$A4099)&gt;0,1,0))</f>
        <v/>
      </c>
      <c r="N4099" s="16" t="str">
        <f>IF($A4099&lt;Notes!$B$5,"",IF(COUNTIFS(Release_Calendar!$A$2:$A$755,"NZ_GDP",Release_Calendar!$B$2:$B$755,$A4099)&gt;0,1,0))</f>
        <v/>
      </c>
      <c r="O4099" s="16" t="str">
        <f>IF($A4099&lt;Notes!$B$5,"",IF(COUNTIFS(Release_Calendar!$A$2:$A$755,"NZ_LABOUR",Release_Calendar!$B$2:$B$755,$A4099)&gt;0,1,0))</f>
        <v/>
      </c>
      <c r="P4099" s="16">
        <f t="shared" si="4"/>
        <v>1</v>
      </c>
    </row>
    <row r="4100" ht="15.75" customHeight="1">
      <c r="A4100" s="14">
        <v>42264.0</v>
      </c>
      <c r="B4100" s="15">
        <v>0.7</v>
      </c>
      <c r="C4100" s="15">
        <v>2.75</v>
      </c>
      <c r="D4100" s="15">
        <v>2.48</v>
      </c>
      <c r="E4100" s="15">
        <v>2.48</v>
      </c>
      <c r="F4100" s="15">
        <f t="shared" si="1"/>
        <v>2.05</v>
      </c>
      <c r="G4100" s="15">
        <f t="shared" si="2"/>
        <v>2.75</v>
      </c>
      <c r="H4100" s="16">
        <v>0.0</v>
      </c>
      <c r="I4100" s="15">
        <f t="shared" si="3"/>
        <v>2.05</v>
      </c>
      <c r="J4100" s="15">
        <v>21.14</v>
      </c>
      <c r="K4100" s="16">
        <f>IF(COUNTIFS(Release_Calendar!$A$2:$A$755,"US_CPI",Release_Calendar!$B$2:$B$755,$A4100)&gt;0,1,0)</f>
        <v>0</v>
      </c>
      <c r="L4100" s="16">
        <f>IF(COUNTIFS(Release_Calendar!$A$2:$A$755,"US_NFP",Release_Calendar!$B$2:$B$755,$A4100)&gt;0,1,0)</f>
        <v>0</v>
      </c>
      <c r="M4100" s="16" t="str">
        <f>IF($A4100&lt;Notes!$B$5,"",IF(COUNTIFS(Release_Calendar!$A$2:$A$755,"NZ_CPI",Release_Calendar!$B$2:$B$755,$A4100)&gt;0,1,0))</f>
        <v/>
      </c>
      <c r="N4100" s="16" t="str">
        <f>IF($A4100&lt;Notes!$B$5,"",IF(COUNTIFS(Release_Calendar!$A$2:$A$755,"NZ_GDP",Release_Calendar!$B$2:$B$755,$A4100)&gt;0,1,0))</f>
        <v/>
      </c>
      <c r="O4100" s="16" t="str">
        <f>IF($A4100&lt;Notes!$B$5,"",IF(COUNTIFS(Release_Calendar!$A$2:$A$755,"NZ_LABOUR",Release_Calendar!$B$2:$B$755,$A4100)&gt;0,1,0))</f>
        <v/>
      </c>
      <c r="P4100" s="16">
        <f t="shared" si="4"/>
        <v>0</v>
      </c>
    </row>
    <row r="4101" ht="15.75" customHeight="1">
      <c r="A4101" s="14">
        <v>42265.0</v>
      </c>
      <c r="B4101" s="15">
        <v>0.69</v>
      </c>
      <c r="C4101" s="15">
        <v>2.73</v>
      </c>
      <c r="D4101" s="15">
        <v>2.44</v>
      </c>
      <c r="E4101" s="15">
        <v>2.44</v>
      </c>
      <c r="F4101" s="15">
        <f t="shared" si="1"/>
        <v>2.04</v>
      </c>
      <c r="G4101" s="15">
        <f t="shared" si="2"/>
        <v>2.73</v>
      </c>
      <c r="H4101" s="16">
        <v>0.0</v>
      </c>
      <c r="I4101" s="15">
        <f t="shared" si="3"/>
        <v>2.04</v>
      </c>
      <c r="J4101" s="15">
        <v>22.28</v>
      </c>
      <c r="K4101" s="16">
        <f>IF(COUNTIFS(Release_Calendar!$A$2:$A$755,"US_CPI",Release_Calendar!$B$2:$B$755,$A4101)&gt;0,1,0)</f>
        <v>0</v>
      </c>
      <c r="L4101" s="16">
        <f>IF(COUNTIFS(Release_Calendar!$A$2:$A$755,"US_NFP",Release_Calendar!$B$2:$B$755,$A4101)&gt;0,1,0)</f>
        <v>0</v>
      </c>
      <c r="M4101" s="16" t="str">
        <f>IF($A4101&lt;Notes!$B$5,"",IF(COUNTIFS(Release_Calendar!$A$2:$A$755,"NZ_CPI",Release_Calendar!$B$2:$B$755,$A4101)&gt;0,1,0))</f>
        <v/>
      </c>
      <c r="N4101" s="16" t="str">
        <f>IF($A4101&lt;Notes!$B$5,"",IF(COUNTIFS(Release_Calendar!$A$2:$A$755,"NZ_GDP",Release_Calendar!$B$2:$B$755,$A4101)&gt;0,1,0))</f>
        <v/>
      </c>
      <c r="O4101" s="16" t="str">
        <f>IF($A4101&lt;Notes!$B$5,"",IF(COUNTIFS(Release_Calendar!$A$2:$A$755,"NZ_LABOUR",Release_Calendar!$B$2:$B$755,$A4101)&gt;0,1,0))</f>
        <v/>
      </c>
      <c r="P4101" s="16">
        <f t="shared" si="4"/>
        <v>0</v>
      </c>
    </row>
    <row r="4102" ht="15.75" customHeight="1">
      <c r="A4102" s="14">
        <v>42268.0</v>
      </c>
      <c r="B4102" s="15">
        <v>0.72</v>
      </c>
      <c r="C4102" s="15">
        <v>2.7</v>
      </c>
      <c r="D4102" s="15">
        <v>2.43</v>
      </c>
      <c r="E4102" s="15">
        <v>2.4</v>
      </c>
      <c r="F4102" s="15">
        <f t="shared" si="1"/>
        <v>1.98</v>
      </c>
      <c r="G4102" s="15">
        <f t="shared" si="2"/>
        <v>2.7</v>
      </c>
      <c r="H4102" s="16">
        <v>0.0</v>
      </c>
      <c r="I4102" s="15">
        <f t="shared" si="3"/>
        <v>1.98</v>
      </c>
      <c r="J4102" s="15">
        <v>20.14</v>
      </c>
      <c r="K4102" s="16">
        <f>IF(COUNTIFS(Release_Calendar!$A$2:$A$755,"US_CPI",Release_Calendar!$B$2:$B$755,$A4102)&gt;0,1,0)</f>
        <v>0</v>
      </c>
      <c r="L4102" s="16">
        <f>IF(COUNTIFS(Release_Calendar!$A$2:$A$755,"US_NFP",Release_Calendar!$B$2:$B$755,$A4102)&gt;0,1,0)</f>
        <v>0</v>
      </c>
      <c r="M4102" s="16" t="str">
        <f>IF($A4102&lt;Notes!$B$5,"",IF(COUNTIFS(Release_Calendar!$A$2:$A$755,"NZ_CPI",Release_Calendar!$B$2:$B$755,$A4102)&gt;0,1,0))</f>
        <v/>
      </c>
      <c r="N4102" s="16" t="str">
        <f>IF($A4102&lt;Notes!$B$5,"",IF(COUNTIFS(Release_Calendar!$A$2:$A$755,"NZ_GDP",Release_Calendar!$B$2:$B$755,$A4102)&gt;0,1,0))</f>
        <v/>
      </c>
      <c r="O4102" s="16" t="str">
        <f>IF($A4102&lt;Notes!$B$5,"",IF(COUNTIFS(Release_Calendar!$A$2:$A$755,"NZ_LABOUR",Release_Calendar!$B$2:$B$755,$A4102)&gt;0,1,0))</f>
        <v/>
      </c>
      <c r="P4102" s="16">
        <f t="shared" si="4"/>
        <v>0</v>
      </c>
    </row>
    <row r="4103" ht="15.75" customHeight="1">
      <c r="A4103" s="14">
        <v>42269.0</v>
      </c>
      <c r="B4103" s="15">
        <v>0.69</v>
      </c>
      <c r="C4103" s="15">
        <v>2.72</v>
      </c>
      <c r="D4103" s="15">
        <v>2.42</v>
      </c>
      <c r="E4103" s="15">
        <v>2.44</v>
      </c>
      <c r="F4103" s="15">
        <f t="shared" si="1"/>
        <v>2.03</v>
      </c>
      <c r="G4103" s="15">
        <f t="shared" si="2"/>
        <v>2.72</v>
      </c>
      <c r="H4103" s="16">
        <v>0.0</v>
      </c>
      <c r="I4103" s="15">
        <f t="shared" si="3"/>
        <v>2.03</v>
      </c>
      <c r="J4103" s="15">
        <v>22.44</v>
      </c>
      <c r="K4103" s="16">
        <f>IF(COUNTIFS(Release_Calendar!$A$2:$A$755,"US_CPI",Release_Calendar!$B$2:$B$755,$A4103)&gt;0,1,0)</f>
        <v>0</v>
      </c>
      <c r="L4103" s="16">
        <f>IF(COUNTIFS(Release_Calendar!$A$2:$A$755,"US_NFP",Release_Calendar!$B$2:$B$755,$A4103)&gt;0,1,0)</f>
        <v>0</v>
      </c>
      <c r="M4103" s="16" t="str">
        <f>IF($A4103&lt;Notes!$B$5,"",IF(COUNTIFS(Release_Calendar!$A$2:$A$755,"NZ_CPI",Release_Calendar!$B$2:$B$755,$A4103)&gt;0,1,0))</f>
        <v/>
      </c>
      <c r="N4103" s="16" t="str">
        <f>IF($A4103&lt;Notes!$B$5,"",IF(COUNTIFS(Release_Calendar!$A$2:$A$755,"NZ_GDP",Release_Calendar!$B$2:$B$755,$A4103)&gt;0,1,0))</f>
        <v/>
      </c>
      <c r="O4103" s="16" t="str">
        <f>IF($A4103&lt;Notes!$B$5,"",IF(COUNTIFS(Release_Calendar!$A$2:$A$755,"NZ_LABOUR",Release_Calendar!$B$2:$B$755,$A4103)&gt;0,1,0))</f>
        <v/>
      </c>
      <c r="P4103" s="16">
        <f t="shared" si="4"/>
        <v>0</v>
      </c>
    </row>
    <row r="4104" ht="15.75" customHeight="1">
      <c r="A4104" s="14">
        <v>42270.0</v>
      </c>
      <c r="B4104" s="15">
        <v>0.7</v>
      </c>
      <c r="C4104" s="15">
        <v>2.68</v>
      </c>
      <c r="D4104" s="15">
        <v>2.39</v>
      </c>
      <c r="E4104" s="15">
        <v>2.4</v>
      </c>
      <c r="F4104" s="15">
        <f t="shared" si="1"/>
        <v>1.98</v>
      </c>
      <c r="G4104" s="15">
        <f t="shared" si="2"/>
        <v>2.68</v>
      </c>
      <c r="H4104" s="16">
        <v>0.0</v>
      </c>
      <c r="I4104" s="15">
        <f t="shared" si="3"/>
        <v>1.98</v>
      </c>
      <c r="J4104" s="15">
        <v>22.13</v>
      </c>
      <c r="K4104" s="16">
        <f>IF(COUNTIFS(Release_Calendar!$A$2:$A$755,"US_CPI",Release_Calendar!$B$2:$B$755,$A4104)&gt;0,1,0)</f>
        <v>0</v>
      </c>
      <c r="L4104" s="16">
        <f>IF(COUNTIFS(Release_Calendar!$A$2:$A$755,"US_NFP",Release_Calendar!$B$2:$B$755,$A4104)&gt;0,1,0)</f>
        <v>0</v>
      </c>
      <c r="M4104" s="16" t="str">
        <f>IF($A4104&lt;Notes!$B$5,"",IF(COUNTIFS(Release_Calendar!$A$2:$A$755,"NZ_CPI",Release_Calendar!$B$2:$B$755,$A4104)&gt;0,1,0))</f>
        <v/>
      </c>
      <c r="N4104" s="16" t="str">
        <f>IF($A4104&lt;Notes!$B$5,"",IF(COUNTIFS(Release_Calendar!$A$2:$A$755,"NZ_GDP",Release_Calendar!$B$2:$B$755,$A4104)&gt;0,1,0))</f>
        <v/>
      </c>
      <c r="O4104" s="16" t="str">
        <f>IF($A4104&lt;Notes!$B$5,"",IF(COUNTIFS(Release_Calendar!$A$2:$A$755,"NZ_LABOUR",Release_Calendar!$B$2:$B$755,$A4104)&gt;0,1,0))</f>
        <v/>
      </c>
      <c r="P4104" s="16">
        <f t="shared" si="4"/>
        <v>0</v>
      </c>
    </row>
    <row r="4105" ht="15.75" customHeight="1">
      <c r="A4105" s="14">
        <v>42271.0</v>
      </c>
      <c r="B4105" s="15">
        <v>0.67</v>
      </c>
      <c r="C4105" s="15">
        <v>2.7</v>
      </c>
      <c r="D4105" s="15">
        <v>2.45</v>
      </c>
      <c r="E4105" s="15">
        <v>2.46</v>
      </c>
      <c r="F4105" s="15">
        <f t="shared" si="1"/>
        <v>2.03</v>
      </c>
      <c r="G4105" s="15">
        <f t="shared" si="2"/>
        <v>2.7</v>
      </c>
      <c r="H4105" s="16">
        <v>0.0</v>
      </c>
      <c r="I4105" s="15">
        <f t="shared" si="3"/>
        <v>2.03</v>
      </c>
      <c r="J4105" s="15">
        <v>23.47</v>
      </c>
      <c r="K4105" s="16">
        <f>IF(COUNTIFS(Release_Calendar!$A$2:$A$755,"US_CPI",Release_Calendar!$B$2:$B$755,$A4105)&gt;0,1,0)</f>
        <v>0</v>
      </c>
      <c r="L4105" s="16">
        <f>IF(COUNTIFS(Release_Calendar!$A$2:$A$755,"US_NFP",Release_Calendar!$B$2:$B$755,$A4105)&gt;0,1,0)</f>
        <v>0</v>
      </c>
      <c r="M4105" s="16" t="str">
        <f>IF($A4105&lt;Notes!$B$5,"",IF(COUNTIFS(Release_Calendar!$A$2:$A$755,"NZ_CPI",Release_Calendar!$B$2:$B$755,$A4105)&gt;0,1,0))</f>
        <v/>
      </c>
      <c r="N4105" s="16" t="str">
        <f>IF($A4105&lt;Notes!$B$5,"",IF(COUNTIFS(Release_Calendar!$A$2:$A$755,"NZ_GDP",Release_Calendar!$B$2:$B$755,$A4105)&gt;0,1,0))</f>
        <v/>
      </c>
      <c r="O4105" s="16" t="str">
        <f>IF($A4105&lt;Notes!$B$5,"",IF(COUNTIFS(Release_Calendar!$A$2:$A$755,"NZ_LABOUR",Release_Calendar!$B$2:$B$755,$A4105)&gt;0,1,0))</f>
        <v/>
      </c>
      <c r="P4105" s="16">
        <f t="shared" si="4"/>
        <v>0</v>
      </c>
    </row>
    <row r="4106" ht="15.75" customHeight="1">
      <c r="A4106" s="14">
        <v>42272.0</v>
      </c>
      <c r="B4106" s="15">
        <v>0.7</v>
      </c>
      <c r="C4106" s="15">
        <v>2.74</v>
      </c>
      <c r="D4106" s="15">
        <v>2.49</v>
      </c>
      <c r="E4106" s="15">
        <v>2.5</v>
      </c>
      <c r="F4106" s="15">
        <f t="shared" si="1"/>
        <v>2.04</v>
      </c>
      <c r="G4106" s="15">
        <f t="shared" si="2"/>
        <v>2.74</v>
      </c>
      <c r="H4106" s="16">
        <v>0.0</v>
      </c>
      <c r="I4106" s="15">
        <f t="shared" si="3"/>
        <v>2.04</v>
      </c>
      <c r="J4106" s="15">
        <v>23.62</v>
      </c>
      <c r="K4106" s="16">
        <f>IF(COUNTIFS(Release_Calendar!$A$2:$A$755,"US_CPI",Release_Calendar!$B$2:$B$755,$A4106)&gt;0,1,0)</f>
        <v>0</v>
      </c>
      <c r="L4106" s="16">
        <f>IF(COUNTIFS(Release_Calendar!$A$2:$A$755,"US_NFP",Release_Calendar!$B$2:$B$755,$A4106)&gt;0,1,0)</f>
        <v>0</v>
      </c>
      <c r="M4106" s="16" t="str">
        <f>IF($A4106&lt;Notes!$B$5,"",IF(COUNTIFS(Release_Calendar!$A$2:$A$755,"NZ_CPI",Release_Calendar!$B$2:$B$755,$A4106)&gt;0,1,0))</f>
        <v/>
      </c>
      <c r="N4106" s="16" t="str">
        <f>IF($A4106&lt;Notes!$B$5,"",IF(COUNTIFS(Release_Calendar!$A$2:$A$755,"NZ_GDP",Release_Calendar!$B$2:$B$755,$A4106)&gt;0,1,0))</f>
        <v/>
      </c>
      <c r="O4106" s="16" t="str">
        <f>IF($A4106&lt;Notes!$B$5,"",IF(COUNTIFS(Release_Calendar!$A$2:$A$755,"NZ_LABOUR",Release_Calendar!$B$2:$B$755,$A4106)&gt;0,1,0))</f>
        <v/>
      </c>
      <c r="P4106" s="16">
        <f t="shared" si="4"/>
        <v>0</v>
      </c>
    </row>
    <row r="4107" ht="15.75" customHeight="1">
      <c r="A4107" s="14">
        <v>42275.0</v>
      </c>
      <c r="B4107" s="15">
        <v>0.67</v>
      </c>
      <c r="C4107" s="15">
        <v>2.74</v>
      </c>
      <c r="D4107" s="15">
        <v>2.49</v>
      </c>
      <c r="E4107" s="15">
        <v>2.49</v>
      </c>
      <c r="F4107" s="15">
        <f t="shared" si="1"/>
        <v>2.07</v>
      </c>
      <c r="G4107" s="15">
        <f t="shared" si="2"/>
        <v>2.74</v>
      </c>
      <c r="H4107" s="16">
        <v>0.0</v>
      </c>
      <c r="I4107" s="15">
        <f t="shared" si="3"/>
        <v>2.07</v>
      </c>
      <c r="J4107" s="15">
        <v>27.63</v>
      </c>
      <c r="K4107" s="16">
        <f>IF(COUNTIFS(Release_Calendar!$A$2:$A$755,"US_CPI",Release_Calendar!$B$2:$B$755,$A4107)&gt;0,1,0)</f>
        <v>0</v>
      </c>
      <c r="L4107" s="16">
        <f>IF(COUNTIFS(Release_Calendar!$A$2:$A$755,"US_NFP",Release_Calendar!$B$2:$B$755,$A4107)&gt;0,1,0)</f>
        <v>0</v>
      </c>
      <c r="M4107" s="16" t="str">
        <f>IF($A4107&lt;Notes!$B$5,"",IF(COUNTIFS(Release_Calendar!$A$2:$A$755,"NZ_CPI",Release_Calendar!$B$2:$B$755,$A4107)&gt;0,1,0))</f>
        <v/>
      </c>
      <c r="N4107" s="16" t="str">
        <f>IF($A4107&lt;Notes!$B$5,"",IF(COUNTIFS(Release_Calendar!$A$2:$A$755,"NZ_GDP",Release_Calendar!$B$2:$B$755,$A4107)&gt;0,1,0))</f>
        <v/>
      </c>
      <c r="O4107" s="16" t="str">
        <f>IF($A4107&lt;Notes!$B$5,"",IF(COUNTIFS(Release_Calendar!$A$2:$A$755,"NZ_LABOUR",Release_Calendar!$B$2:$B$755,$A4107)&gt;0,1,0))</f>
        <v/>
      </c>
      <c r="P4107" s="16">
        <f t="shared" si="4"/>
        <v>0</v>
      </c>
    </row>
    <row r="4108" ht="15.75" customHeight="1">
      <c r="A4108" s="14">
        <v>42276.0</v>
      </c>
      <c r="B4108" s="15">
        <v>0.64</v>
      </c>
      <c r="C4108" s="15">
        <v>2.7</v>
      </c>
      <c r="D4108" s="15">
        <v>2.46</v>
      </c>
      <c r="E4108" s="15">
        <v>2.48</v>
      </c>
      <c r="F4108" s="15">
        <f t="shared" si="1"/>
        <v>2.06</v>
      </c>
      <c r="G4108" s="15">
        <f t="shared" si="2"/>
        <v>2.7</v>
      </c>
      <c r="H4108" s="16">
        <v>0.0</v>
      </c>
      <c r="I4108" s="15">
        <f t="shared" si="3"/>
        <v>2.06</v>
      </c>
      <c r="J4108" s="15">
        <v>26.83</v>
      </c>
      <c r="K4108" s="16">
        <f>IF(COUNTIFS(Release_Calendar!$A$2:$A$755,"US_CPI",Release_Calendar!$B$2:$B$755,$A4108)&gt;0,1,0)</f>
        <v>0</v>
      </c>
      <c r="L4108" s="16">
        <f>IF(COUNTIFS(Release_Calendar!$A$2:$A$755,"US_NFP",Release_Calendar!$B$2:$B$755,$A4108)&gt;0,1,0)</f>
        <v>0</v>
      </c>
      <c r="M4108" s="16" t="str">
        <f>IF($A4108&lt;Notes!$B$5,"",IF(COUNTIFS(Release_Calendar!$A$2:$A$755,"NZ_CPI",Release_Calendar!$B$2:$B$755,$A4108)&gt;0,1,0))</f>
        <v/>
      </c>
      <c r="N4108" s="16" t="str">
        <f>IF($A4108&lt;Notes!$B$5,"",IF(COUNTIFS(Release_Calendar!$A$2:$A$755,"NZ_GDP",Release_Calendar!$B$2:$B$755,$A4108)&gt;0,1,0))</f>
        <v/>
      </c>
      <c r="O4108" s="16" t="str">
        <f>IF($A4108&lt;Notes!$B$5,"",IF(COUNTIFS(Release_Calendar!$A$2:$A$755,"NZ_LABOUR",Release_Calendar!$B$2:$B$755,$A4108)&gt;0,1,0))</f>
        <v/>
      </c>
      <c r="P4108" s="16">
        <f t="shared" si="4"/>
        <v>0</v>
      </c>
    </row>
    <row r="4109" ht="15.75" customHeight="1">
      <c r="A4109" s="14">
        <v>42277.0</v>
      </c>
      <c r="B4109" s="15">
        <v>0.64</v>
      </c>
      <c r="C4109" s="15">
        <v>2.71</v>
      </c>
      <c r="D4109" s="15">
        <v>2.48</v>
      </c>
      <c r="E4109" s="15">
        <v>2.49</v>
      </c>
      <c r="F4109" s="15">
        <f t="shared" si="1"/>
        <v>2.07</v>
      </c>
      <c r="G4109" s="15">
        <f t="shared" si="2"/>
        <v>2.71</v>
      </c>
      <c r="H4109" s="16">
        <v>0.0</v>
      </c>
      <c r="I4109" s="15">
        <f t="shared" si="3"/>
        <v>2.07</v>
      </c>
      <c r="J4109" s="15">
        <v>24.5</v>
      </c>
      <c r="K4109" s="16">
        <f>IF(COUNTIFS(Release_Calendar!$A$2:$A$755,"US_CPI",Release_Calendar!$B$2:$B$755,$A4109)&gt;0,1,0)</f>
        <v>0</v>
      </c>
      <c r="L4109" s="16">
        <f>IF(COUNTIFS(Release_Calendar!$A$2:$A$755,"US_NFP",Release_Calendar!$B$2:$B$755,$A4109)&gt;0,1,0)</f>
        <v>0</v>
      </c>
      <c r="M4109" s="16" t="str">
        <f>IF($A4109&lt;Notes!$B$5,"",IF(COUNTIFS(Release_Calendar!$A$2:$A$755,"NZ_CPI",Release_Calendar!$B$2:$B$755,$A4109)&gt;0,1,0))</f>
        <v/>
      </c>
      <c r="N4109" s="16" t="str">
        <f>IF($A4109&lt;Notes!$B$5,"",IF(COUNTIFS(Release_Calendar!$A$2:$A$755,"NZ_GDP",Release_Calendar!$B$2:$B$755,$A4109)&gt;0,1,0))</f>
        <v/>
      </c>
      <c r="O4109" s="16" t="str">
        <f>IF($A4109&lt;Notes!$B$5,"",IF(COUNTIFS(Release_Calendar!$A$2:$A$755,"NZ_LABOUR",Release_Calendar!$B$2:$B$755,$A4109)&gt;0,1,0))</f>
        <v/>
      </c>
      <c r="P4109" s="16">
        <f t="shared" si="4"/>
        <v>0</v>
      </c>
    </row>
    <row r="4110" ht="15.75" customHeight="1">
      <c r="A4110" s="14">
        <v>42278.0</v>
      </c>
      <c r="B4110" s="15">
        <v>0.64</v>
      </c>
      <c r="C4110" s="15">
        <v>2.7</v>
      </c>
      <c r="D4110" s="15">
        <v>2.5</v>
      </c>
      <c r="E4110" s="15">
        <v>2.5</v>
      </c>
      <c r="F4110" s="15">
        <f t="shared" si="1"/>
        <v>2.06</v>
      </c>
      <c r="G4110" s="15">
        <f t="shared" si="2"/>
        <v>2.7</v>
      </c>
      <c r="H4110" s="16">
        <v>0.0</v>
      </c>
      <c r="I4110" s="15">
        <f t="shared" si="3"/>
        <v>2.06</v>
      </c>
      <c r="J4110" s="15">
        <v>22.55</v>
      </c>
      <c r="K4110" s="16">
        <f>IF(COUNTIFS(Release_Calendar!$A$2:$A$755,"US_CPI",Release_Calendar!$B$2:$B$755,$A4110)&gt;0,1,0)</f>
        <v>0</v>
      </c>
      <c r="L4110" s="16">
        <f>IF(COUNTIFS(Release_Calendar!$A$2:$A$755,"US_NFP",Release_Calendar!$B$2:$B$755,$A4110)&gt;0,1,0)</f>
        <v>0</v>
      </c>
      <c r="M4110" s="16" t="str">
        <f>IF($A4110&lt;Notes!$B$5,"",IF(COUNTIFS(Release_Calendar!$A$2:$A$755,"NZ_CPI",Release_Calendar!$B$2:$B$755,$A4110)&gt;0,1,0))</f>
        <v/>
      </c>
      <c r="N4110" s="16" t="str">
        <f>IF($A4110&lt;Notes!$B$5,"",IF(COUNTIFS(Release_Calendar!$A$2:$A$755,"NZ_GDP",Release_Calendar!$B$2:$B$755,$A4110)&gt;0,1,0))</f>
        <v/>
      </c>
      <c r="O4110" s="16" t="str">
        <f>IF($A4110&lt;Notes!$B$5,"",IF(COUNTIFS(Release_Calendar!$A$2:$A$755,"NZ_LABOUR",Release_Calendar!$B$2:$B$755,$A4110)&gt;0,1,0))</f>
        <v/>
      </c>
      <c r="P4110" s="16">
        <f t="shared" si="4"/>
        <v>0</v>
      </c>
    </row>
    <row r="4111" ht="15.75" customHeight="1">
      <c r="A4111" s="14">
        <v>42279.0</v>
      </c>
      <c r="B4111" s="15">
        <v>0.58</v>
      </c>
      <c r="C4111" s="15">
        <v>2.71</v>
      </c>
      <c r="D4111" s="15">
        <v>2.49</v>
      </c>
      <c r="E4111" s="15">
        <v>2.5</v>
      </c>
      <c r="F4111" s="15">
        <f t="shared" si="1"/>
        <v>2.13</v>
      </c>
      <c r="G4111" s="15">
        <f t="shared" si="2"/>
        <v>2.71</v>
      </c>
      <c r="H4111" s="16">
        <v>0.0</v>
      </c>
      <c r="I4111" s="15">
        <f t="shared" si="3"/>
        <v>2.13</v>
      </c>
      <c r="J4111" s="15">
        <v>20.94</v>
      </c>
      <c r="K4111" s="16">
        <f>IF(COUNTIFS(Release_Calendar!$A$2:$A$755,"US_CPI",Release_Calendar!$B$2:$B$755,$A4111)&gt;0,1,0)</f>
        <v>0</v>
      </c>
      <c r="L4111" s="16">
        <f>IF(COUNTIFS(Release_Calendar!$A$2:$A$755,"US_NFP",Release_Calendar!$B$2:$B$755,$A4111)&gt;0,1,0)</f>
        <v>1</v>
      </c>
      <c r="M4111" s="16" t="str">
        <f>IF($A4111&lt;Notes!$B$5,"",IF(COUNTIFS(Release_Calendar!$A$2:$A$755,"NZ_CPI",Release_Calendar!$B$2:$B$755,$A4111)&gt;0,1,0))</f>
        <v/>
      </c>
      <c r="N4111" s="16" t="str">
        <f>IF($A4111&lt;Notes!$B$5,"",IF(COUNTIFS(Release_Calendar!$A$2:$A$755,"NZ_GDP",Release_Calendar!$B$2:$B$755,$A4111)&gt;0,1,0))</f>
        <v/>
      </c>
      <c r="O4111" s="16" t="str">
        <f>IF($A4111&lt;Notes!$B$5,"",IF(COUNTIFS(Release_Calendar!$A$2:$A$755,"NZ_LABOUR",Release_Calendar!$B$2:$B$755,$A4111)&gt;0,1,0))</f>
        <v/>
      </c>
      <c r="P4111" s="16">
        <f t="shared" si="4"/>
        <v>1</v>
      </c>
    </row>
    <row r="4112" ht="15.75" customHeight="1">
      <c r="A4112" s="14">
        <v>42282.0</v>
      </c>
      <c r="B4112" s="15">
        <v>0.61</v>
      </c>
      <c r="C4112" s="15">
        <v>2.68</v>
      </c>
      <c r="D4112" s="15">
        <v>2.46</v>
      </c>
      <c r="E4112" s="15">
        <v>2.47</v>
      </c>
      <c r="F4112" s="15">
        <f t="shared" si="1"/>
        <v>2.07</v>
      </c>
      <c r="G4112" s="15">
        <f t="shared" si="2"/>
        <v>2.68</v>
      </c>
      <c r="H4112" s="16">
        <v>0.0</v>
      </c>
      <c r="I4112" s="15">
        <f t="shared" si="3"/>
        <v>2.07</v>
      </c>
      <c r="J4112" s="15">
        <v>19.54</v>
      </c>
      <c r="K4112" s="16">
        <f>IF(COUNTIFS(Release_Calendar!$A$2:$A$755,"US_CPI",Release_Calendar!$B$2:$B$755,$A4112)&gt;0,1,0)</f>
        <v>0</v>
      </c>
      <c r="L4112" s="16">
        <f>IF(COUNTIFS(Release_Calendar!$A$2:$A$755,"US_NFP",Release_Calendar!$B$2:$B$755,$A4112)&gt;0,1,0)</f>
        <v>0</v>
      </c>
      <c r="M4112" s="16" t="str">
        <f>IF($A4112&lt;Notes!$B$5,"",IF(COUNTIFS(Release_Calendar!$A$2:$A$755,"NZ_CPI",Release_Calendar!$B$2:$B$755,$A4112)&gt;0,1,0))</f>
        <v/>
      </c>
      <c r="N4112" s="16" t="str">
        <f>IF($A4112&lt;Notes!$B$5,"",IF(COUNTIFS(Release_Calendar!$A$2:$A$755,"NZ_GDP",Release_Calendar!$B$2:$B$755,$A4112)&gt;0,1,0))</f>
        <v/>
      </c>
      <c r="O4112" s="16" t="str">
        <f>IF($A4112&lt;Notes!$B$5,"",IF(COUNTIFS(Release_Calendar!$A$2:$A$755,"NZ_LABOUR",Release_Calendar!$B$2:$B$755,$A4112)&gt;0,1,0))</f>
        <v/>
      </c>
      <c r="P4112" s="16">
        <f t="shared" si="4"/>
        <v>0</v>
      </c>
    </row>
    <row r="4113" ht="15.75" customHeight="1">
      <c r="A4113" s="14">
        <v>42283.0</v>
      </c>
      <c r="B4113" s="15">
        <v>0.61</v>
      </c>
      <c r="C4113" s="15">
        <v>2.7</v>
      </c>
      <c r="D4113" s="15">
        <v>2.49</v>
      </c>
      <c r="E4113" s="15">
        <v>2.51</v>
      </c>
      <c r="F4113" s="15">
        <f t="shared" si="1"/>
        <v>2.09</v>
      </c>
      <c r="G4113" s="15">
        <f t="shared" si="2"/>
        <v>2.7</v>
      </c>
      <c r="H4113" s="16">
        <v>0.0</v>
      </c>
      <c r="I4113" s="15">
        <f t="shared" si="3"/>
        <v>2.09</v>
      </c>
      <c r="J4113" s="15">
        <v>19.4</v>
      </c>
      <c r="K4113" s="16">
        <f>IF(COUNTIFS(Release_Calendar!$A$2:$A$755,"US_CPI",Release_Calendar!$B$2:$B$755,$A4113)&gt;0,1,0)</f>
        <v>0</v>
      </c>
      <c r="L4113" s="16">
        <f>IF(COUNTIFS(Release_Calendar!$A$2:$A$755,"US_NFP",Release_Calendar!$B$2:$B$755,$A4113)&gt;0,1,0)</f>
        <v>0</v>
      </c>
      <c r="M4113" s="16" t="str">
        <f>IF($A4113&lt;Notes!$B$5,"",IF(COUNTIFS(Release_Calendar!$A$2:$A$755,"NZ_CPI",Release_Calendar!$B$2:$B$755,$A4113)&gt;0,1,0))</f>
        <v/>
      </c>
      <c r="N4113" s="16" t="str">
        <f>IF($A4113&lt;Notes!$B$5,"",IF(COUNTIFS(Release_Calendar!$A$2:$A$755,"NZ_GDP",Release_Calendar!$B$2:$B$755,$A4113)&gt;0,1,0))</f>
        <v/>
      </c>
      <c r="O4113" s="16" t="str">
        <f>IF($A4113&lt;Notes!$B$5,"",IF(COUNTIFS(Release_Calendar!$A$2:$A$755,"NZ_LABOUR",Release_Calendar!$B$2:$B$755,$A4113)&gt;0,1,0))</f>
        <v/>
      </c>
      <c r="P4113" s="16">
        <f t="shared" si="4"/>
        <v>0</v>
      </c>
    </row>
    <row r="4114" ht="15.75" customHeight="1">
      <c r="A4114" s="14">
        <v>42284.0</v>
      </c>
      <c r="B4114" s="15">
        <v>0.65</v>
      </c>
      <c r="C4114" s="15">
        <v>2.71</v>
      </c>
      <c r="D4114" s="15">
        <v>2.51</v>
      </c>
      <c r="E4114" s="15">
        <v>2.53</v>
      </c>
      <c r="F4114" s="15">
        <f t="shared" si="1"/>
        <v>2.06</v>
      </c>
      <c r="G4114" s="15">
        <f t="shared" si="2"/>
        <v>2.71</v>
      </c>
      <c r="H4114" s="16">
        <v>0.0</v>
      </c>
      <c r="I4114" s="15">
        <f t="shared" si="3"/>
        <v>2.06</v>
      </c>
      <c r="J4114" s="15">
        <v>18.4</v>
      </c>
      <c r="K4114" s="16">
        <f>IF(COUNTIFS(Release_Calendar!$A$2:$A$755,"US_CPI",Release_Calendar!$B$2:$B$755,$A4114)&gt;0,1,0)</f>
        <v>0</v>
      </c>
      <c r="L4114" s="16">
        <f>IF(COUNTIFS(Release_Calendar!$A$2:$A$755,"US_NFP",Release_Calendar!$B$2:$B$755,$A4114)&gt;0,1,0)</f>
        <v>0</v>
      </c>
      <c r="M4114" s="16" t="str">
        <f>IF($A4114&lt;Notes!$B$5,"",IF(COUNTIFS(Release_Calendar!$A$2:$A$755,"NZ_CPI",Release_Calendar!$B$2:$B$755,$A4114)&gt;0,1,0))</f>
        <v/>
      </c>
      <c r="N4114" s="16" t="str">
        <f>IF($A4114&lt;Notes!$B$5,"",IF(COUNTIFS(Release_Calendar!$A$2:$A$755,"NZ_GDP",Release_Calendar!$B$2:$B$755,$A4114)&gt;0,1,0))</f>
        <v/>
      </c>
      <c r="O4114" s="16" t="str">
        <f>IF($A4114&lt;Notes!$B$5,"",IF(COUNTIFS(Release_Calendar!$A$2:$A$755,"NZ_LABOUR",Release_Calendar!$B$2:$B$755,$A4114)&gt;0,1,0))</f>
        <v/>
      </c>
      <c r="P4114" s="16">
        <f t="shared" si="4"/>
        <v>0</v>
      </c>
    </row>
    <row r="4115" ht="15.75" customHeight="1">
      <c r="A4115" s="14">
        <v>42285.0</v>
      </c>
      <c r="B4115" s="15">
        <v>0.65</v>
      </c>
      <c r="C4115" s="15">
        <v>2.71</v>
      </c>
      <c r="D4115" s="15">
        <v>2.57</v>
      </c>
      <c r="E4115" s="15">
        <v>2.55</v>
      </c>
      <c r="F4115" s="15">
        <f t="shared" si="1"/>
        <v>2.06</v>
      </c>
      <c r="G4115" s="15">
        <f t="shared" si="2"/>
        <v>2.71</v>
      </c>
      <c r="H4115" s="16">
        <v>0.0</v>
      </c>
      <c r="I4115" s="15">
        <f t="shared" si="3"/>
        <v>2.06</v>
      </c>
      <c r="J4115" s="15">
        <v>17.42</v>
      </c>
      <c r="K4115" s="16">
        <f>IF(COUNTIFS(Release_Calendar!$A$2:$A$755,"US_CPI",Release_Calendar!$B$2:$B$755,$A4115)&gt;0,1,0)</f>
        <v>0</v>
      </c>
      <c r="L4115" s="16">
        <f>IF(COUNTIFS(Release_Calendar!$A$2:$A$755,"US_NFP",Release_Calendar!$B$2:$B$755,$A4115)&gt;0,1,0)</f>
        <v>0</v>
      </c>
      <c r="M4115" s="16" t="str">
        <f>IF($A4115&lt;Notes!$B$5,"",IF(COUNTIFS(Release_Calendar!$A$2:$A$755,"NZ_CPI",Release_Calendar!$B$2:$B$755,$A4115)&gt;0,1,0))</f>
        <v/>
      </c>
      <c r="N4115" s="16" t="str">
        <f>IF($A4115&lt;Notes!$B$5,"",IF(COUNTIFS(Release_Calendar!$A$2:$A$755,"NZ_GDP",Release_Calendar!$B$2:$B$755,$A4115)&gt;0,1,0))</f>
        <v/>
      </c>
      <c r="O4115" s="16" t="str">
        <f>IF($A4115&lt;Notes!$B$5,"",IF(COUNTIFS(Release_Calendar!$A$2:$A$755,"NZ_LABOUR",Release_Calendar!$B$2:$B$755,$A4115)&gt;0,1,0))</f>
        <v/>
      </c>
      <c r="P4115" s="16">
        <f t="shared" si="4"/>
        <v>0</v>
      </c>
    </row>
    <row r="4116" ht="15.75" customHeight="1">
      <c r="A4116" s="14">
        <v>42286.0</v>
      </c>
      <c r="B4116" s="15">
        <v>0.65</v>
      </c>
      <c r="C4116" s="15">
        <v>2.72</v>
      </c>
      <c r="D4116" s="15">
        <v>2.59</v>
      </c>
      <c r="E4116" s="15">
        <v>2.58</v>
      </c>
      <c r="F4116" s="15">
        <f t="shared" si="1"/>
        <v>2.07</v>
      </c>
      <c r="G4116" s="15">
        <f t="shared" si="2"/>
        <v>2.72</v>
      </c>
      <c r="H4116" s="16">
        <v>0.0</v>
      </c>
      <c r="I4116" s="15">
        <f t="shared" si="3"/>
        <v>2.07</v>
      </c>
      <c r="J4116" s="15">
        <v>17.08</v>
      </c>
      <c r="K4116" s="16">
        <f>IF(COUNTIFS(Release_Calendar!$A$2:$A$755,"US_CPI",Release_Calendar!$B$2:$B$755,$A4116)&gt;0,1,0)</f>
        <v>0</v>
      </c>
      <c r="L4116" s="16">
        <f>IF(COUNTIFS(Release_Calendar!$A$2:$A$755,"US_NFP",Release_Calendar!$B$2:$B$755,$A4116)&gt;0,1,0)</f>
        <v>0</v>
      </c>
      <c r="M4116" s="16" t="str">
        <f>IF($A4116&lt;Notes!$B$5,"",IF(COUNTIFS(Release_Calendar!$A$2:$A$755,"NZ_CPI",Release_Calendar!$B$2:$B$755,$A4116)&gt;0,1,0))</f>
        <v/>
      </c>
      <c r="N4116" s="16" t="str">
        <f>IF($A4116&lt;Notes!$B$5,"",IF(COUNTIFS(Release_Calendar!$A$2:$A$755,"NZ_GDP",Release_Calendar!$B$2:$B$755,$A4116)&gt;0,1,0))</f>
        <v/>
      </c>
      <c r="O4116" s="16" t="str">
        <f>IF($A4116&lt;Notes!$B$5,"",IF(COUNTIFS(Release_Calendar!$A$2:$A$755,"NZ_LABOUR",Release_Calendar!$B$2:$B$755,$A4116)&gt;0,1,0))</f>
        <v/>
      </c>
      <c r="P4116" s="16">
        <f t="shared" si="4"/>
        <v>0</v>
      </c>
    </row>
    <row r="4117" ht="15.75" customHeight="1">
      <c r="A4117" s="14">
        <v>42289.0</v>
      </c>
      <c r="B4117" s="15"/>
      <c r="C4117" s="15">
        <v>2.73</v>
      </c>
      <c r="D4117" s="15">
        <v>2.59</v>
      </c>
      <c r="E4117" s="15">
        <v>2.57</v>
      </c>
      <c r="F4117" s="15" t="str">
        <f t="shared" si="1"/>
        <v/>
      </c>
      <c r="G4117" s="15">
        <f t="shared" si="2"/>
        <v>2.73</v>
      </c>
      <c r="H4117" s="16">
        <v>0.0</v>
      </c>
      <c r="I4117" s="15" t="str">
        <f t="shared" si="3"/>
        <v/>
      </c>
      <c r="J4117" s="15">
        <v>16.17</v>
      </c>
      <c r="K4117" s="16">
        <f>IF(COUNTIFS(Release_Calendar!$A$2:$A$755,"US_CPI",Release_Calendar!$B$2:$B$755,$A4117)&gt;0,1,0)</f>
        <v>0</v>
      </c>
      <c r="L4117" s="16">
        <f>IF(COUNTIFS(Release_Calendar!$A$2:$A$755,"US_NFP",Release_Calendar!$B$2:$B$755,$A4117)&gt;0,1,0)</f>
        <v>0</v>
      </c>
      <c r="M4117" s="16" t="str">
        <f>IF($A4117&lt;Notes!$B$5,"",IF(COUNTIFS(Release_Calendar!$A$2:$A$755,"NZ_CPI",Release_Calendar!$B$2:$B$755,$A4117)&gt;0,1,0))</f>
        <v/>
      </c>
      <c r="N4117" s="16" t="str">
        <f>IF($A4117&lt;Notes!$B$5,"",IF(COUNTIFS(Release_Calendar!$A$2:$A$755,"NZ_GDP",Release_Calendar!$B$2:$B$755,$A4117)&gt;0,1,0))</f>
        <v/>
      </c>
      <c r="O4117" s="16" t="str">
        <f>IF($A4117&lt;Notes!$B$5,"",IF(COUNTIFS(Release_Calendar!$A$2:$A$755,"NZ_LABOUR",Release_Calendar!$B$2:$B$755,$A4117)&gt;0,1,0))</f>
        <v/>
      </c>
      <c r="P4117" s="16">
        <f t="shared" si="4"/>
        <v>0</v>
      </c>
    </row>
    <row r="4118" ht="15.75" customHeight="1">
      <c r="A4118" s="14">
        <v>42290.0</v>
      </c>
      <c r="B4118" s="15">
        <v>0.64</v>
      </c>
      <c r="C4118" s="15">
        <v>2.71</v>
      </c>
      <c r="D4118" s="15">
        <v>2.57</v>
      </c>
      <c r="E4118" s="15">
        <v>2.54</v>
      </c>
      <c r="F4118" s="15">
        <f t="shared" si="1"/>
        <v>2.07</v>
      </c>
      <c r="G4118" s="15">
        <f t="shared" si="2"/>
        <v>2.71</v>
      </c>
      <c r="H4118" s="16">
        <v>0.0</v>
      </c>
      <c r="I4118" s="15">
        <f t="shared" si="3"/>
        <v>2.07</v>
      </c>
      <c r="J4118" s="15">
        <v>17.67</v>
      </c>
      <c r="K4118" s="16">
        <f>IF(COUNTIFS(Release_Calendar!$A$2:$A$755,"US_CPI",Release_Calendar!$B$2:$B$755,$A4118)&gt;0,1,0)</f>
        <v>0</v>
      </c>
      <c r="L4118" s="16">
        <f>IF(COUNTIFS(Release_Calendar!$A$2:$A$755,"US_NFP",Release_Calendar!$B$2:$B$755,$A4118)&gt;0,1,0)</f>
        <v>0</v>
      </c>
      <c r="M4118" s="16" t="str">
        <f>IF($A4118&lt;Notes!$B$5,"",IF(COUNTIFS(Release_Calendar!$A$2:$A$755,"NZ_CPI",Release_Calendar!$B$2:$B$755,$A4118)&gt;0,1,0))</f>
        <v/>
      </c>
      <c r="N4118" s="16" t="str">
        <f>IF($A4118&lt;Notes!$B$5,"",IF(COUNTIFS(Release_Calendar!$A$2:$A$755,"NZ_GDP",Release_Calendar!$B$2:$B$755,$A4118)&gt;0,1,0))</f>
        <v/>
      </c>
      <c r="O4118" s="16" t="str">
        <f>IF($A4118&lt;Notes!$B$5,"",IF(COUNTIFS(Release_Calendar!$A$2:$A$755,"NZ_LABOUR",Release_Calendar!$B$2:$B$755,$A4118)&gt;0,1,0))</f>
        <v/>
      </c>
      <c r="P4118" s="16">
        <f t="shared" si="4"/>
        <v>0</v>
      </c>
    </row>
    <row r="4119" ht="15.75" customHeight="1">
      <c r="A4119" s="14">
        <v>42291.0</v>
      </c>
      <c r="B4119" s="15">
        <v>0.57</v>
      </c>
      <c r="C4119" s="15">
        <v>2.71</v>
      </c>
      <c r="D4119" s="15">
        <v>2.53</v>
      </c>
      <c r="E4119" s="15">
        <v>2.53</v>
      </c>
      <c r="F4119" s="15">
        <f t="shared" si="1"/>
        <v>2.14</v>
      </c>
      <c r="G4119" s="15">
        <f t="shared" si="2"/>
        <v>2.71</v>
      </c>
      <c r="H4119" s="16">
        <v>0.0</v>
      </c>
      <c r="I4119" s="15">
        <f t="shared" si="3"/>
        <v>2.14</v>
      </c>
      <c r="J4119" s="15">
        <v>18.03</v>
      </c>
      <c r="K4119" s="16">
        <f>IF(COUNTIFS(Release_Calendar!$A$2:$A$755,"US_CPI",Release_Calendar!$B$2:$B$755,$A4119)&gt;0,1,0)</f>
        <v>0</v>
      </c>
      <c r="L4119" s="16">
        <f>IF(COUNTIFS(Release_Calendar!$A$2:$A$755,"US_NFP",Release_Calendar!$B$2:$B$755,$A4119)&gt;0,1,0)</f>
        <v>0</v>
      </c>
      <c r="M4119" s="16" t="str">
        <f>IF($A4119&lt;Notes!$B$5,"",IF(COUNTIFS(Release_Calendar!$A$2:$A$755,"NZ_CPI",Release_Calendar!$B$2:$B$755,$A4119)&gt;0,1,0))</f>
        <v/>
      </c>
      <c r="N4119" s="16" t="str">
        <f>IF($A4119&lt;Notes!$B$5,"",IF(COUNTIFS(Release_Calendar!$A$2:$A$755,"NZ_GDP",Release_Calendar!$B$2:$B$755,$A4119)&gt;0,1,0))</f>
        <v/>
      </c>
      <c r="O4119" s="16" t="str">
        <f>IF($A4119&lt;Notes!$B$5,"",IF(COUNTIFS(Release_Calendar!$A$2:$A$755,"NZ_LABOUR",Release_Calendar!$B$2:$B$755,$A4119)&gt;0,1,0))</f>
        <v/>
      </c>
      <c r="P4119" s="16">
        <f t="shared" si="4"/>
        <v>0</v>
      </c>
    </row>
    <row r="4120" ht="15.75" customHeight="1">
      <c r="A4120" s="14">
        <v>42292.0</v>
      </c>
      <c r="B4120" s="15">
        <v>0.61</v>
      </c>
      <c r="C4120" s="15">
        <v>2.73</v>
      </c>
      <c r="D4120" s="15">
        <v>2.48</v>
      </c>
      <c r="E4120" s="15">
        <v>2.49</v>
      </c>
      <c r="F4120" s="15">
        <f t="shared" si="1"/>
        <v>2.12</v>
      </c>
      <c r="G4120" s="15">
        <f t="shared" si="2"/>
        <v>2.73</v>
      </c>
      <c r="H4120" s="16">
        <v>0.0</v>
      </c>
      <c r="I4120" s="15">
        <f t="shared" si="3"/>
        <v>2.12</v>
      </c>
      <c r="J4120" s="15">
        <v>16.05</v>
      </c>
      <c r="K4120" s="16">
        <f>IF(COUNTIFS(Release_Calendar!$A$2:$A$755,"US_CPI",Release_Calendar!$B$2:$B$755,$A4120)&gt;0,1,0)</f>
        <v>1</v>
      </c>
      <c r="L4120" s="16">
        <f>IF(COUNTIFS(Release_Calendar!$A$2:$A$755,"US_NFP",Release_Calendar!$B$2:$B$755,$A4120)&gt;0,1,0)</f>
        <v>0</v>
      </c>
      <c r="M4120" s="16" t="str">
        <f>IF($A4120&lt;Notes!$B$5,"",IF(COUNTIFS(Release_Calendar!$A$2:$A$755,"NZ_CPI",Release_Calendar!$B$2:$B$755,$A4120)&gt;0,1,0))</f>
        <v/>
      </c>
      <c r="N4120" s="16" t="str">
        <f>IF($A4120&lt;Notes!$B$5,"",IF(COUNTIFS(Release_Calendar!$A$2:$A$755,"NZ_GDP",Release_Calendar!$B$2:$B$755,$A4120)&gt;0,1,0))</f>
        <v/>
      </c>
      <c r="O4120" s="16" t="str">
        <f>IF($A4120&lt;Notes!$B$5,"",IF(COUNTIFS(Release_Calendar!$A$2:$A$755,"NZ_LABOUR",Release_Calendar!$B$2:$B$755,$A4120)&gt;0,1,0))</f>
        <v/>
      </c>
      <c r="P4120" s="16">
        <f t="shared" si="4"/>
        <v>1</v>
      </c>
    </row>
    <row r="4121" ht="15.75" customHeight="1">
      <c r="A4121" s="14">
        <v>42293.0</v>
      </c>
      <c r="B4121" s="15">
        <v>0.61</v>
      </c>
      <c r="C4121" s="15">
        <v>2.73</v>
      </c>
      <c r="D4121" s="15">
        <v>2.49</v>
      </c>
      <c r="E4121" s="15">
        <v>2.5</v>
      </c>
      <c r="F4121" s="15">
        <f t="shared" si="1"/>
        <v>2.12</v>
      </c>
      <c r="G4121" s="15">
        <f t="shared" si="2"/>
        <v>2.73</v>
      </c>
      <c r="H4121" s="16">
        <v>0.0</v>
      </c>
      <c r="I4121" s="15">
        <f t="shared" si="3"/>
        <v>2.12</v>
      </c>
      <c r="J4121" s="15">
        <v>15.05</v>
      </c>
      <c r="K4121" s="16">
        <f>IF(COUNTIFS(Release_Calendar!$A$2:$A$755,"US_CPI",Release_Calendar!$B$2:$B$755,$A4121)&gt;0,1,0)</f>
        <v>0</v>
      </c>
      <c r="L4121" s="16">
        <f>IF(COUNTIFS(Release_Calendar!$A$2:$A$755,"US_NFP",Release_Calendar!$B$2:$B$755,$A4121)&gt;0,1,0)</f>
        <v>0</v>
      </c>
      <c r="M4121" s="16" t="str">
        <f>IF($A4121&lt;Notes!$B$5,"",IF(COUNTIFS(Release_Calendar!$A$2:$A$755,"NZ_CPI",Release_Calendar!$B$2:$B$755,$A4121)&gt;0,1,0))</f>
        <v/>
      </c>
      <c r="N4121" s="16" t="str">
        <f>IF($A4121&lt;Notes!$B$5,"",IF(COUNTIFS(Release_Calendar!$A$2:$A$755,"NZ_GDP",Release_Calendar!$B$2:$B$755,$A4121)&gt;0,1,0))</f>
        <v/>
      </c>
      <c r="O4121" s="16" t="str">
        <f>IF($A4121&lt;Notes!$B$5,"",IF(COUNTIFS(Release_Calendar!$A$2:$A$755,"NZ_LABOUR",Release_Calendar!$B$2:$B$755,$A4121)&gt;0,1,0))</f>
        <v/>
      </c>
      <c r="P4121" s="16">
        <f t="shared" si="4"/>
        <v>0</v>
      </c>
    </row>
    <row r="4122" ht="15.75" customHeight="1">
      <c r="A4122" s="14">
        <v>42296.0</v>
      </c>
      <c r="B4122" s="15">
        <v>0.61</v>
      </c>
      <c r="C4122" s="15">
        <v>2.72</v>
      </c>
      <c r="D4122" s="15">
        <v>2.5</v>
      </c>
      <c r="E4122" s="15">
        <v>2.5</v>
      </c>
      <c r="F4122" s="15">
        <f t="shared" si="1"/>
        <v>2.11</v>
      </c>
      <c r="G4122" s="15">
        <f t="shared" si="2"/>
        <v>2.72</v>
      </c>
      <c r="H4122" s="16">
        <v>0.0</v>
      </c>
      <c r="I4122" s="15">
        <f t="shared" si="3"/>
        <v>2.11</v>
      </c>
      <c r="J4122" s="15">
        <v>14.98</v>
      </c>
      <c r="K4122" s="16">
        <f>IF(COUNTIFS(Release_Calendar!$A$2:$A$755,"US_CPI",Release_Calendar!$B$2:$B$755,$A4122)&gt;0,1,0)</f>
        <v>0</v>
      </c>
      <c r="L4122" s="16">
        <f>IF(COUNTIFS(Release_Calendar!$A$2:$A$755,"US_NFP",Release_Calendar!$B$2:$B$755,$A4122)&gt;0,1,0)</f>
        <v>0</v>
      </c>
      <c r="M4122" s="16" t="str">
        <f>IF($A4122&lt;Notes!$B$5,"",IF(COUNTIFS(Release_Calendar!$A$2:$A$755,"NZ_CPI",Release_Calendar!$B$2:$B$755,$A4122)&gt;0,1,0))</f>
        <v/>
      </c>
      <c r="N4122" s="16" t="str">
        <f>IF($A4122&lt;Notes!$B$5,"",IF(COUNTIFS(Release_Calendar!$A$2:$A$755,"NZ_GDP",Release_Calendar!$B$2:$B$755,$A4122)&gt;0,1,0))</f>
        <v/>
      </c>
      <c r="O4122" s="16" t="str">
        <f>IF($A4122&lt;Notes!$B$5,"",IF(COUNTIFS(Release_Calendar!$A$2:$A$755,"NZ_LABOUR",Release_Calendar!$B$2:$B$755,$A4122)&gt;0,1,0))</f>
        <v/>
      </c>
      <c r="P4122" s="16">
        <f t="shared" si="4"/>
        <v>0</v>
      </c>
    </row>
    <row r="4123" ht="15.75" customHeight="1">
      <c r="A4123" s="14">
        <v>42297.0</v>
      </c>
      <c r="B4123" s="15">
        <v>0.66</v>
      </c>
      <c r="C4123" s="15">
        <v>2.75</v>
      </c>
      <c r="D4123" s="15">
        <v>2.5</v>
      </c>
      <c r="E4123" s="15">
        <v>2.52</v>
      </c>
      <c r="F4123" s="15">
        <f t="shared" si="1"/>
        <v>2.09</v>
      </c>
      <c r="G4123" s="15">
        <f t="shared" si="2"/>
        <v>2.75</v>
      </c>
      <c r="H4123" s="16">
        <v>0.0</v>
      </c>
      <c r="I4123" s="15">
        <f t="shared" si="3"/>
        <v>2.09</v>
      </c>
      <c r="J4123" s="15">
        <v>15.75</v>
      </c>
      <c r="K4123" s="16">
        <f>IF(COUNTIFS(Release_Calendar!$A$2:$A$755,"US_CPI",Release_Calendar!$B$2:$B$755,$A4123)&gt;0,1,0)</f>
        <v>0</v>
      </c>
      <c r="L4123" s="16">
        <f>IF(COUNTIFS(Release_Calendar!$A$2:$A$755,"US_NFP",Release_Calendar!$B$2:$B$755,$A4123)&gt;0,1,0)</f>
        <v>0</v>
      </c>
      <c r="M4123" s="16" t="str">
        <f>IF($A4123&lt;Notes!$B$5,"",IF(COUNTIFS(Release_Calendar!$A$2:$A$755,"NZ_CPI",Release_Calendar!$B$2:$B$755,$A4123)&gt;0,1,0))</f>
        <v/>
      </c>
      <c r="N4123" s="16" t="str">
        <f>IF($A4123&lt;Notes!$B$5,"",IF(COUNTIFS(Release_Calendar!$A$2:$A$755,"NZ_GDP",Release_Calendar!$B$2:$B$755,$A4123)&gt;0,1,0))</f>
        <v/>
      </c>
      <c r="O4123" s="16" t="str">
        <f>IF($A4123&lt;Notes!$B$5,"",IF(COUNTIFS(Release_Calendar!$A$2:$A$755,"NZ_LABOUR",Release_Calendar!$B$2:$B$755,$A4123)&gt;0,1,0))</f>
        <v/>
      </c>
      <c r="P4123" s="16">
        <f t="shared" si="4"/>
        <v>0</v>
      </c>
    </row>
    <row r="4124" ht="15.75" customHeight="1">
      <c r="A4124" s="14">
        <v>42298.0</v>
      </c>
      <c r="B4124" s="15">
        <v>0.64</v>
      </c>
      <c r="C4124" s="15">
        <v>2.76</v>
      </c>
      <c r="D4124" s="15">
        <v>2.54</v>
      </c>
      <c r="E4124" s="15">
        <v>2.55</v>
      </c>
      <c r="F4124" s="15">
        <f t="shared" si="1"/>
        <v>2.12</v>
      </c>
      <c r="G4124" s="15">
        <f t="shared" si="2"/>
        <v>2.76</v>
      </c>
      <c r="H4124" s="16">
        <v>0.0</v>
      </c>
      <c r="I4124" s="15">
        <f t="shared" si="3"/>
        <v>2.12</v>
      </c>
      <c r="J4124" s="15">
        <v>16.7</v>
      </c>
      <c r="K4124" s="16">
        <f>IF(COUNTIFS(Release_Calendar!$A$2:$A$755,"US_CPI",Release_Calendar!$B$2:$B$755,$A4124)&gt;0,1,0)</f>
        <v>0</v>
      </c>
      <c r="L4124" s="16">
        <f>IF(COUNTIFS(Release_Calendar!$A$2:$A$755,"US_NFP",Release_Calendar!$B$2:$B$755,$A4124)&gt;0,1,0)</f>
        <v>0</v>
      </c>
      <c r="M4124" s="16" t="str">
        <f>IF($A4124&lt;Notes!$B$5,"",IF(COUNTIFS(Release_Calendar!$A$2:$A$755,"NZ_CPI",Release_Calendar!$B$2:$B$755,$A4124)&gt;0,1,0))</f>
        <v/>
      </c>
      <c r="N4124" s="16" t="str">
        <f>IF($A4124&lt;Notes!$B$5,"",IF(COUNTIFS(Release_Calendar!$A$2:$A$755,"NZ_GDP",Release_Calendar!$B$2:$B$755,$A4124)&gt;0,1,0))</f>
        <v/>
      </c>
      <c r="O4124" s="16" t="str">
        <f>IF($A4124&lt;Notes!$B$5,"",IF(COUNTIFS(Release_Calendar!$A$2:$A$755,"NZ_LABOUR",Release_Calendar!$B$2:$B$755,$A4124)&gt;0,1,0))</f>
        <v/>
      </c>
      <c r="P4124" s="16">
        <f t="shared" si="4"/>
        <v>0</v>
      </c>
    </row>
    <row r="4125" ht="15.75" customHeight="1">
      <c r="A4125" s="14">
        <v>42299.0</v>
      </c>
      <c r="B4125" s="15">
        <v>0.61</v>
      </c>
      <c r="C4125" s="15">
        <v>2.74</v>
      </c>
      <c r="D4125" s="15">
        <v>2.53</v>
      </c>
      <c r="E4125" s="15">
        <v>2.54</v>
      </c>
      <c r="F4125" s="15">
        <f t="shared" si="1"/>
        <v>2.13</v>
      </c>
      <c r="G4125" s="15">
        <f t="shared" si="2"/>
        <v>2.74</v>
      </c>
      <c r="H4125" s="16">
        <v>0.0</v>
      </c>
      <c r="I4125" s="15">
        <f t="shared" si="3"/>
        <v>2.13</v>
      </c>
      <c r="J4125" s="15">
        <v>14.45</v>
      </c>
      <c r="K4125" s="16">
        <f>IF(COUNTIFS(Release_Calendar!$A$2:$A$755,"US_CPI",Release_Calendar!$B$2:$B$755,$A4125)&gt;0,1,0)</f>
        <v>0</v>
      </c>
      <c r="L4125" s="16">
        <f>IF(COUNTIFS(Release_Calendar!$A$2:$A$755,"US_NFP",Release_Calendar!$B$2:$B$755,$A4125)&gt;0,1,0)</f>
        <v>0</v>
      </c>
      <c r="M4125" s="16" t="str">
        <f>IF($A4125&lt;Notes!$B$5,"",IF(COUNTIFS(Release_Calendar!$A$2:$A$755,"NZ_CPI",Release_Calendar!$B$2:$B$755,$A4125)&gt;0,1,0))</f>
        <v/>
      </c>
      <c r="N4125" s="16" t="str">
        <f>IF($A4125&lt;Notes!$B$5,"",IF(COUNTIFS(Release_Calendar!$A$2:$A$755,"NZ_GDP",Release_Calendar!$B$2:$B$755,$A4125)&gt;0,1,0))</f>
        <v/>
      </c>
      <c r="O4125" s="16" t="str">
        <f>IF($A4125&lt;Notes!$B$5,"",IF(COUNTIFS(Release_Calendar!$A$2:$A$755,"NZ_LABOUR",Release_Calendar!$B$2:$B$755,$A4125)&gt;0,1,0))</f>
        <v/>
      </c>
      <c r="P4125" s="16">
        <f t="shared" si="4"/>
        <v>0</v>
      </c>
    </row>
    <row r="4126" ht="15.75" customHeight="1">
      <c r="A4126" s="14">
        <v>42300.0</v>
      </c>
      <c r="B4126" s="15">
        <v>0.66</v>
      </c>
      <c r="C4126" s="15">
        <v>2.74</v>
      </c>
      <c r="D4126" s="15">
        <v>2.51</v>
      </c>
      <c r="E4126" s="15">
        <v>2.52</v>
      </c>
      <c r="F4126" s="15">
        <f t="shared" si="1"/>
        <v>2.08</v>
      </c>
      <c r="G4126" s="15">
        <f t="shared" si="2"/>
        <v>2.74</v>
      </c>
      <c r="H4126" s="16">
        <v>0.0</v>
      </c>
      <c r="I4126" s="15">
        <f t="shared" si="3"/>
        <v>2.08</v>
      </c>
      <c r="J4126" s="15">
        <v>14.46</v>
      </c>
      <c r="K4126" s="16">
        <f>IF(COUNTIFS(Release_Calendar!$A$2:$A$755,"US_CPI",Release_Calendar!$B$2:$B$755,$A4126)&gt;0,1,0)</f>
        <v>0</v>
      </c>
      <c r="L4126" s="16">
        <f>IF(COUNTIFS(Release_Calendar!$A$2:$A$755,"US_NFP",Release_Calendar!$B$2:$B$755,$A4126)&gt;0,1,0)</f>
        <v>0</v>
      </c>
      <c r="M4126" s="16" t="str">
        <f>IF($A4126&lt;Notes!$B$5,"",IF(COUNTIFS(Release_Calendar!$A$2:$A$755,"NZ_CPI",Release_Calendar!$B$2:$B$755,$A4126)&gt;0,1,0))</f>
        <v/>
      </c>
      <c r="N4126" s="16" t="str">
        <f>IF($A4126&lt;Notes!$B$5,"",IF(COUNTIFS(Release_Calendar!$A$2:$A$755,"NZ_GDP",Release_Calendar!$B$2:$B$755,$A4126)&gt;0,1,0))</f>
        <v/>
      </c>
      <c r="O4126" s="16" t="str">
        <f>IF($A4126&lt;Notes!$B$5,"",IF(COUNTIFS(Release_Calendar!$A$2:$A$755,"NZ_LABOUR",Release_Calendar!$B$2:$B$755,$A4126)&gt;0,1,0))</f>
        <v/>
      </c>
      <c r="P4126" s="16">
        <f t="shared" si="4"/>
        <v>0</v>
      </c>
    </row>
    <row r="4127" ht="15.75" customHeight="1">
      <c r="A4127" s="14">
        <v>42303.0</v>
      </c>
      <c r="B4127" s="15">
        <v>0.66</v>
      </c>
      <c r="C4127" s="15"/>
      <c r="D4127" s="15"/>
      <c r="E4127" s="15"/>
      <c r="F4127" s="15" t="str">
        <f t="shared" si="1"/>
        <v/>
      </c>
      <c r="G4127" s="15" t="str">
        <f t="shared" si="2"/>
        <v/>
      </c>
      <c r="H4127" s="16">
        <v>0.0</v>
      </c>
      <c r="I4127" s="15" t="str">
        <f t="shared" si="3"/>
        <v/>
      </c>
      <c r="J4127" s="15">
        <v>15.29</v>
      </c>
      <c r="K4127" s="16">
        <f>IF(COUNTIFS(Release_Calendar!$A$2:$A$755,"US_CPI",Release_Calendar!$B$2:$B$755,$A4127)&gt;0,1,0)</f>
        <v>0</v>
      </c>
      <c r="L4127" s="16">
        <f>IF(COUNTIFS(Release_Calendar!$A$2:$A$755,"US_NFP",Release_Calendar!$B$2:$B$755,$A4127)&gt;0,1,0)</f>
        <v>0</v>
      </c>
      <c r="M4127" s="16" t="str">
        <f>IF($A4127&lt;Notes!$B$5,"",IF(COUNTIFS(Release_Calendar!$A$2:$A$755,"NZ_CPI",Release_Calendar!$B$2:$B$755,$A4127)&gt;0,1,0))</f>
        <v/>
      </c>
      <c r="N4127" s="16" t="str">
        <f>IF($A4127&lt;Notes!$B$5,"",IF(COUNTIFS(Release_Calendar!$A$2:$A$755,"NZ_GDP",Release_Calendar!$B$2:$B$755,$A4127)&gt;0,1,0))</f>
        <v/>
      </c>
      <c r="O4127" s="16" t="str">
        <f>IF($A4127&lt;Notes!$B$5,"",IF(COUNTIFS(Release_Calendar!$A$2:$A$755,"NZ_LABOUR",Release_Calendar!$B$2:$B$755,$A4127)&gt;0,1,0))</f>
        <v/>
      </c>
      <c r="P4127" s="16">
        <f t="shared" si="4"/>
        <v>0</v>
      </c>
    </row>
    <row r="4128" ht="15.75" customHeight="1">
      <c r="A4128" s="14">
        <v>42304.0</v>
      </c>
      <c r="B4128" s="15">
        <v>0.65</v>
      </c>
      <c r="C4128" s="15">
        <v>2.75</v>
      </c>
      <c r="D4128" s="15">
        <v>2.52</v>
      </c>
      <c r="E4128" s="15">
        <v>2.53</v>
      </c>
      <c r="F4128" s="15">
        <f t="shared" si="1"/>
        <v>2.1</v>
      </c>
      <c r="G4128" s="15">
        <f t="shared" si="2"/>
        <v>2.75</v>
      </c>
      <c r="H4128" s="16">
        <v>0.0</v>
      </c>
      <c r="I4128" s="15">
        <f t="shared" si="3"/>
        <v>2.1</v>
      </c>
      <c r="J4128" s="15">
        <v>15.43</v>
      </c>
      <c r="K4128" s="16">
        <f>IF(COUNTIFS(Release_Calendar!$A$2:$A$755,"US_CPI",Release_Calendar!$B$2:$B$755,$A4128)&gt;0,1,0)</f>
        <v>0</v>
      </c>
      <c r="L4128" s="16">
        <f>IF(COUNTIFS(Release_Calendar!$A$2:$A$755,"US_NFP",Release_Calendar!$B$2:$B$755,$A4128)&gt;0,1,0)</f>
        <v>0</v>
      </c>
      <c r="M4128" s="16" t="str">
        <f>IF($A4128&lt;Notes!$B$5,"",IF(COUNTIFS(Release_Calendar!$A$2:$A$755,"NZ_CPI",Release_Calendar!$B$2:$B$755,$A4128)&gt;0,1,0))</f>
        <v/>
      </c>
      <c r="N4128" s="16" t="str">
        <f>IF($A4128&lt;Notes!$B$5,"",IF(COUNTIFS(Release_Calendar!$A$2:$A$755,"NZ_GDP",Release_Calendar!$B$2:$B$755,$A4128)&gt;0,1,0))</f>
        <v/>
      </c>
      <c r="O4128" s="16" t="str">
        <f>IF($A4128&lt;Notes!$B$5,"",IF(COUNTIFS(Release_Calendar!$A$2:$A$755,"NZ_LABOUR",Release_Calendar!$B$2:$B$755,$A4128)&gt;0,1,0))</f>
        <v/>
      </c>
      <c r="P4128" s="16">
        <f t="shared" si="4"/>
        <v>0</v>
      </c>
    </row>
    <row r="4129" ht="15.75" customHeight="1">
      <c r="A4129" s="14">
        <v>42305.0</v>
      </c>
      <c r="B4129" s="15">
        <v>0.73</v>
      </c>
      <c r="C4129" s="15">
        <v>2.71</v>
      </c>
      <c r="D4129" s="15">
        <v>2.53</v>
      </c>
      <c r="E4129" s="15">
        <v>2.48</v>
      </c>
      <c r="F4129" s="15">
        <f t="shared" si="1"/>
        <v>1.98</v>
      </c>
      <c r="G4129" s="15">
        <f t="shared" si="2"/>
        <v>2.71</v>
      </c>
      <c r="H4129" s="16">
        <v>0.0</v>
      </c>
      <c r="I4129" s="15">
        <f t="shared" si="3"/>
        <v>1.98</v>
      </c>
      <c r="J4129" s="15">
        <v>14.33</v>
      </c>
      <c r="K4129" s="16">
        <f>IF(COUNTIFS(Release_Calendar!$A$2:$A$755,"US_CPI",Release_Calendar!$B$2:$B$755,$A4129)&gt;0,1,0)</f>
        <v>0</v>
      </c>
      <c r="L4129" s="16">
        <f>IF(COUNTIFS(Release_Calendar!$A$2:$A$755,"US_NFP",Release_Calendar!$B$2:$B$755,$A4129)&gt;0,1,0)</f>
        <v>0</v>
      </c>
      <c r="M4129" s="16" t="str">
        <f>IF($A4129&lt;Notes!$B$5,"",IF(COUNTIFS(Release_Calendar!$A$2:$A$755,"NZ_CPI",Release_Calendar!$B$2:$B$755,$A4129)&gt;0,1,0))</f>
        <v/>
      </c>
      <c r="N4129" s="16" t="str">
        <f>IF($A4129&lt;Notes!$B$5,"",IF(COUNTIFS(Release_Calendar!$A$2:$A$755,"NZ_GDP",Release_Calendar!$B$2:$B$755,$A4129)&gt;0,1,0))</f>
        <v/>
      </c>
      <c r="O4129" s="16" t="str">
        <f>IF($A4129&lt;Notes!$B$5,"",IF(COUNTIFS(Release_Calendar!$A$2:$A$755,"NZ_LABOUR",Release_Calendar!$B$2:$B$755,$A4129)&gt;0,1,0))</f>
        <v/>
      </c>
      <c r="P4129" s="16">
        <f t="shared" si="4"/>
        <v>0</v>
      </c>
    </row>
    <row r="4130" ht="15.75" customHeight="1">
      <c r="A4130" s="14">
        <v>42306.0</v>
      </c>
      <c r="B4130" s="15">
        <v>0.75</v>
      </c>
      <c r="C4130" s="15">
        <v>2.73</v>
      </c>
      <c r="D4130" s="15">
        <v>2.51</v>
      </c>
      <c r="E4130" s="15">
        <v>2.5</v>
      </c>
      <c r="F4130" s="15">
        <f t="shared" si="1"/>
        <v>1.98</v>
      </c>
      <c r="G4130" s="15">
        <f t="shared" si="2"/>
        <v>2.73</v>
      </c>
      <c r="H4130" s="16">
        <v>0.0</v>
      </c>
      <c r="I4130" s="15">
        <f t="shared" si="3"/>
        <v>1.98</v>
      </c>
      <c r="J4130" s="15">
        <v>14.61</v>
      </c>
      <c r="K4130" s="16">
        <f>IF(COUNTIFS(Release_Calendar!$A$2:$A$755,"US_CPI",Release_Calendar!$B$2:$B$755,$A4130)&gt;0,1,0)</f>
        <v>0</v>
      </c>
      <c r="L4130" s="16">
        <f>IF(COUNTIFS(Release_Calendar!$A$2:$A$755,"US_NFP",Release_Calendar!$B$2:$B$755,$A4130)&gt;0,1,0)</f>
        <v>0</v>
      </c>
      <c r="M4130" s="16" t="str">
        <f>IF($A4130&lt;Notes!$B$5,"",IF(COUNTIFS(Release_Calendar!$A$2:$A$755,"NZ_CPI",Release_Calendar!$B$2:$B$755,$A4130)&gt;0,1,0))</f>
        <v/>
      </c>
      <c r="N4130" s="16" t="str">
        <f>IF($A4130&lt;Notes!$B$5,"",IF(COUNTIFS(Release_Calendar!$A$2:$A$755,"NZ_GDP",Release_Calendar!$B$2:$B$755,$A4130)&gt;0,1,0))</f>
        <v/>
      </c>
      <c r="O4130" s="16" t="str">
        <f>IF($A4130&lt;Notes!$B$5,"",IF(COUNTIFS(Release_Calendar!$A$2:$A$755,"NZ_LABOUR",Release_Calendar!$B$2:$B$755,$A4130)&gt;0,1,0))</f>
        <v/>
      </c>
      <c r="P4130" s="16">
        <f t="shared" si="4"/>
        <v>0</v>
      </c>
    </row>
    <row r="4131" ht="15.75" customHeight="1">
      <c r="A4131" s="14">
        <v>42307.0</v>
      </c>
      <c r="B4131" s="15">
        <v>0.75</v>
      </c>
      <c r="C4131" s="15">
        <v>2.76</v>
      </c>
      <c r="D4131" s="15">
        <v>2.53</v>
      </c>
      <c r="E4131" s="15">
        <v>2.54</v>
      </c>
      <c r="F4131" s="15">
        <f t="shared" si="1"/>
        <v>2.01</v>
      </c>
      <c r="G4131" s="15">
        <f t="shared" si="2"/>
        <v>2.76</v>
      </c>
      <c r="H4131" s="16">
        <v>0.0</v>
      </c>
      <c r="I4131" s="15">
        <f t="shared" si="3"/>
        <v>2.01</v>
      </c>
      <c r="J4131" s="15">
        <v>15.07</v>
      </c>
      <c r="K4131" s="16">
        <f>IF(COUNTIFS(Release_Calendar!$A$2:$A$755,"US_CPI",Release_Calendar!$B$2:$B$755,$A4131)&gt;0,1,0)</f>
        <v>0</v>
      </c>
      <c r="L4131" s="16">
        <f>IF(COUNTIFS(Release_Calendar!$A$2:$A$755,"US_NFP",Release_Calendar!$B$2:$B$755,$A4131)&gt;0,1,0)</f>
        <v>0</v>
      </c>
      <c r="M4131" s="16" t="str">
        <f>IF($A4131&lt;Notes!$B$5,"",IF(COUNTIFS(Release_Calendar!$A$2:$A$755,"NZ_CPI",Release_Calendar!$B$2:$B$755,$A4131)&gt;0,1,0))</f>
        <v/>
      </c>
      <c r="N4131" s="16" t="str">
        <f>IF($A4131&lt;Notes!$B$5,"",IF(COUNTIFS(Release_Calendar!$A$2:$A$755,"NZ_GDP",Release_Calendar!$B$2:$B$755,$A4131)&gt;0,1,0))</f>
        <v/>
      </c>
      <c r="O4131" s="16" t="str">
        <f>IF($A4131&lt;Notes!$B$5,"",IF(COUNTIFS(Release_Calendar!$A$2:$A$755,"NZ_LABOUR",Release_Calendar!$B$2:$B$755,$A4131)&gt;0,1,0))</f>
        <v/>
      </c>
      <c r="P4131" s="16">
        <f t="shared" si="4"/>
        <v>0</v>
      </c>
    </row>
    <row r="4132" ht="15.75" customHeight="1">
      <c r="A4132" s="14">
        <v>42310.0</v>
      </c>
      <c r="B4132" s="15">
        <v>0.77</v>
      </c>
      <c r="C4132" s="15">
        <v>2.76</v>
      </c>
      <c r="D4132" s="15">
        <v>2.54</v>
      </c>
      <c r="E4132" s="15">
        <v>2.53</v>
      </c>
      <c r="F4132" s="15">
        <f t="shared" si="1"/>
        <v>1.99</v>
      </c>
      <c r="G4132" s="15">
        <f t="shared" si="2"/>
        <v>2.76</v>
      </c>
      <c r="H4132" s="16">
        <v>0.0</v>
      </c>
      <c r="I4132" s="15">
        <f t="shared" si="3"/>
        <v>1.99</v>
      </c>
      <c r="J4132" s="15">
        <v>14.15</v>
      </c>
      <c r="K4132" s="16">
        <f>IF(COUNTIFS(Release_Calendar!$A$2:$A$755,"US_CPI",Release_Calendar!$B$2:$B$755,$A4132)&gt;0,1,0)</f>
        <v>0</v>
      </c>
      <c r="L4132" s="16">
        <f>IF(COUNTIFS(Release_Calendar!$A$2:$A$755,"US_NFP",Release_Calendar!$B$2:$B$755,$A4132)&gt;0,1,0)</f>
        <v>0</v>
      </c>
      <c r="M4132" s="16" t="str">
        <f>IF($A4132&lt;Notes!$B$5,"",IF(COUNTIFS(Release_Calendar!$A$2:$A$755,"NZ_CPI",Release_Calendar!$B$2:$B$755,$A4132)&gt;0,1,0))</f>
        <v/>
      </c>
      <c r="N4132" s="16" t="str">
        <f>IF($A4132&lt;Notes!$B$5,"",IF(COUNTIFS(Release_Calendar!$A$2:$A$755,"NZ_GDP",Release_Calendar!$B$2:$B$755,$A4132)&gt;0,1,0))</f>
        <v/>
      </c>
      <c r="O4132" s="16" t="str">
        <f>IF($A4132&lt;Notes!$B$5,"",IF(COUNTIFS(Release_Calendar!$A$2:$A$755,"NZ_LABOUR",Release_Calendar!$B$2:$B$755,$A4132)&gt;0,1,0))</f>
        <v/>
      </c>
      <c r="P4132" s="16">
        <f t="shared" si="4"/>
        <v>0</v>
      </c>
    </row>
    <row r="4133" ht="15.75" customHeight="1">
      <c r="A4133" s="14">
        <v>42311.0</v>
      </c>
      <c r="B4133" s="15">
        <v>0.8</v>
      </c>
      <c r="C4133" s="15">
        <v>2.8</v>
      </c>
      <c r="D4133" s="15">
        <v>2.54</v>
      </c>
      <c r="E4133" s="15">
        <v>2.57</v>
      </c>
      <c r="F4133" s="15">
        <f t="shared" si="1"/>
        <v>2</v>
      </c>
      <c r="G4133" s="15">
        <f t="shared" si="2"/>
        <v>2.8</v>
      </c>
      <c r="H4133" s="16">
        <v>0.0</v>
      </c>
      <c r="I4133" s="15">
        <f t="shared" si="3"/>
        <v>2</v>
      </c>
      <c r="J4133" s="15">
        <v>14.54</v>
      </c>
      <c r="K4133" s="16">
        <f>IF(COUNTIFS(Release_Calendar!$A$2:$A$755,"US_CPI",Release_Calendar!$B$2:$B$755,$A4133)&gt;0,1,0)</f>
        <v>0</v>
      </c>
      <c r="L4133" s="16">
        <f>IF(COUNTIFS(Release_Calendar!$A$2:$A$755,"US_NFP",Release_Calendar!$B$2:$B$755,$A4133)&gt;0,1,0)</f>
        <v>0</v>
      </c>
      <c r="M4133" s="16" t="str">
        <f>IF($A4133&lt;Notes!$B$5,"",IF(COUNTIFS(Release_Calendar!$A$2:$A$755,"NZ_CPI",Release_Calendar!$B$2:$B$755,$A4133)&gt;0,1,0))</f>
        <v/>
      </c>
      <c r="N4133" s="16" t="str">
        <f>IF($A4133&lt;Notes!$B$5,"",IF(COUNTIFS(Release_Calendar!$A$2:$A$755,"NZ_GDP",Release_Calendar!$B$2:$B$755,$A4133)&gt;0,1,0))</f>
        <v/>
      </c>
      <c r="O4133" s="16" t="str">
        <f>IF($A4133&lt;Notes!$B$5,"",IF(COUNTIFS(Release_Calendar!$A$2:$A$755,"NZ_LABOUR",Release_Calendar!$B$2:$B$755,$A4133)&gt;0,1,0))</f>
        <v/>
      </c>
      <c r="P4133" s="16">
        <f t="shared" si="4"/>
        <v>0</v>
      </c>
    </row>
    <row r="4134" ht="15.75" customHeight="1">
      <c r="A4134" s="14">
        <v>42312.0</v>
      </c>
      <c r="B4134" s="15">
        <v>0.84</v>
      </c>
      <c r="C4134" s="15">
        <v>2.78</v>
      </c>
      <c r="D4134" s="15">
        <v>2.56</v>
      </c>
      <c r="E4134" s="15">
        <v>2.56</v>
      </c>
      <c r="F4134" s="15">
        <f t="shared" si="1"/>
        <v>1.94</v>
      </c>
      <c r="G4134" s="15">
        <f t="shared" si="2"/>
        <v>2.78</v>
      </c>
      <c r="H4134" s="16">
        <v>0.0</v>
      </c>
      <c r="I4134" s="15">
        <f t="shared" si="3"/>
        <v>1.94</v>
      </c>
      <c r="J4134" s="15">
        <v>15.51</v>
      </c>
      <c r="K4134" s="16">
        <f>IF(COUNTIFS(Release_Calendar!$A$2:$A$755,"US_CPI",Release_Calendar!$B$2:$B$755,$A4134)&gt;0,1,0)</f>
        <v>0</v>
      </c>
      <c r="L4134" s="16">
        <f>IF(COUNTIFS(Release_Calendar!$A$2:$A$755,"US_NFP",Release_Calendar!$B$2:$B$755,$A4134)&gt;0,1,0)</f>
        <v>0</v>
      </c>
      <c r="M4134" s="16" t="str">
        <f>IF($A4134&lt;Notes!$B$5,"",IF(COUNTIFS(Release_Calendar!$A$2:$A$755,"NZ_CPI",Release_Calendar!$B$2:$B$755,$A4134)&gt;0,1,0))</f>
        <v/>
      </c>
      <c r="N4134" s="16" t="str">
        <f>IF($A4134&lt;Notes!$B$5,"",IF(COUNTIFS(Release_Calendar!$A$2:$A$755,"NZ_GDP",Release_Calendar!$B$2:$B$755,$A4134)&gt;0,1,0))</f>
        <v/>
      </c>
      <c r="O4134" s="16" t="str">
        <f>IF($A4134&lt;Notes!$B$5,"",IF(COUNTIFS(Release_Calendar!$A$2:$A$755,"NZ_LABOUR",Release_Calendar!$B$2:$B$755,$A4134)&gt;0,1,0))</f>
        <v/>
      </c>
      <c r="P4134" s="16">
        <f t="shared" si="4"/>
        <v>0</v>
      </c>
    </row>
    <row r="4135" ht="15.75" customHeight="1">
      <c r="A4135" s="14">
        <v>42313.0</v>
      </c>
      <c r="B4135" s="15">
        <v>0.85</v>
      </c>
      <c r="C4135" s="15">
        <v>2.77</v>
      </c>
      <c r="D4135" s="15">
        <v>2.57</v>
      </c>
      <c r="E4135" s="15">
        <v>2.57</v>
      </c>
      <c r="F4135" s="15">
        <f t="shared" si="1"/>
        <v>1.92</v>
      </c>
      <c r="G4135" s="15">
        <f t="shared" si="2"/>
        <v>2.77</v>
      </c>
      <c r="H4135" s="16">
        <v>0.0</v>
      </c>
      <c r="I4135" s="15">
        <f t="shared" si="3"/>
        <v>1.92</v>
      </c>
      <c r="J4135" s="15">
        <v>15.05</v>
      </c>
      <c r="K4135" s="16">
        <f>IF(COUNTIFS(Release_Calendar!$A$2:$A$755,"US_CPI",Release_Calendar!$B$2:$B$755,$A4135)&gt;0,1,0)</f>
        <v>0</v>
      </c>
      <c r="L4135" s="16">
        <f>IF(COUNTIFS(Release_Calendar!$A$2:$A$755,"US_NFP",Release_Calendar!$B$2:$B$755,$A4135)&gt;0,1,0)</f>
        <v>0</v>
      </c>
      <c r="M4135" s="16" t="str">
        <f>IF($A4135&lt;Notes!$B$5,"",IF(COUNTIFS(Release_Calendar!$A$2:$A$755,"NZ_CPI",Release_Calendar!$B$2:$B$755,$A4135)&gt;0,1,0))</f>
        <v/>
      </c>
      <c r="N4135" s="16" t="str">
        <f>IF($A4135&lt;Notes!$B$5,"",IF(COUNTIFS(Release_Calendar!$A$2:$A$755,"NZ_GDP",Release_Calendar!$B$2:$B$755,$A4135)&gt;0,1,0))</f>
        <v/>
      </c>
      <c r="O4135" s="16" t="str">
        <f>IF($A4135&lt;Notes!$B$5,"",IF(COUNTIFS(Release_Calendar!$A$2:$A$755,"NZ_LABOUR",Release_Calendar!$B$2:$B$755,$A4135)&gt;0,1,0))</f>
        <v/>
      </c>
      <c r="P4135" s="16">
        <f t="shared" si="4"/>
        <v>0</v>
      </c>
    </row>
    <row r="4136" ht="15.75" customHeight="1">
      <c r="A4136" s="14">
        <v>42314.0</v>
      </c>
      <c r="B4136" s="15">
        <v>0.9</v>
      </c>
      <c r="C4136" s="15">
        <v>2.75</v>
      </c>
      <c r="D4136" s="15">
        <v>2.57</v>
      </c>
      <c r="E4136" s="15">
        <v>2.56</v>
      </c>
      <c r="F4136" s="15">
        <f t="shared" si="1"/>
        <v>1.85</v>
      </c>
      <c r="G4136" s="15">
        <f t="shared" si="2"/>
        <v>2.75</v>
      </c>
      <c r="H4136" s="16">
        <v>0.0</v>
      </c>
      <c r="I4136" s="15">
        <f t="shared" si="3"/>
        <v>1.85</v>
      </c>
      <c r="J4136" s="15">
        <v>14.33</v>
      </c>
      <c r="K4136" s="16">
        <f>IF(COUNTIFS(Release_Calendar!$A$2:$A$755,"US_CPI",Release_Calendar!$B$2:$B$755,$A4136)&gt;0,1,0)</f>
        <v>0</v>
      </c>
      <c r="L4136" s="16">
        <f>IF(COUNTIFS(Release_Calendar!$A$2:$A$755,"US_NFP",Release_Calendar!$B$2:$B$755,$A4136)&gt;0,1,0)</f>
        <v>1</v>
      </c>
      <c r="M4136" s="16" t="str">
        <f>IF($A4136&lt;Notes!$B$5,"",IF(COUNTIFS(Release_Calendar!$A$2:$A$755,"NZ_CPI",Release_Calendar!$B$2:$B$755,$A4136)&gt;0,1,0))</f>
        <v/>
      </c>
      <c r="N4136" s="16" t="str">
        <f>IF($A4136&lt;Notes!$B$5,"",IF(COUNTIFS(Release_Calendar!$A$2:$A$755,"NZ_GDP",Release_Calendar!$B$2:$B$755,$A4136)&gt;0,1,0))</f>
        <v/>
      </c>
      <c r="O4136" s="16" t="str">
        <f>IF($A4136&lt;Notes!$B$5,"",IF(COUNTIFS(Release_Calendar!$A$2:$A$755,"NZ_LABOUR",Release_Calendar!$B$2:$B$755,$A4136)&gt;0,1,0))</f>
        <v/>
      </c>
      <c r="P4136" s="16">
        <f t="shared" si="4"/>
        <v>1</v>
      </c>
    </row>
    <row r="4137" ht="15.75" customHeight="1">
      <c r="A4137" s="14">
        <v>42317.0</v>
      </c>
      <c r="B4137" s="15">
        <v>0.89</v>
      </c>
      <c r="C4137" s="15">
        <v>2.82</v>
      </c>
      <c r="D4137" s="15">
        <v>2.61</v>
      </c>
      <c r="E4137" s="15">
        <v>2.62</v>
      </c>
      <c r="F4137" s="15">
        <f t="shared" si="1"/>
        <v>1.93</v>
      </c>
      <c r="G4137" s="15">
        <f t="shared" si="2"/>
        <v>2.82</v>
      </c>
      <c r="H4137" s="16">
        <v>0.0</v>
      </c>
      <c r="I4137" s="15">
        <f t="shared" si="3"/>
        <v>1.93</v>
      </c>
      <c r="J4137" s="15">
        <v>16.52</v>
      </c>
      <c r="K4137" s="16">
        <f>IF(COUNTIFS(Release_Calendar!$A$2:$A$755,"US_CPI",Release_Calendar!$B$2:$B$755,$A4137)&gt;0,1,0)</f>
        <v>0</v>
      </c>
      <c r="L4137" s="16">
        <f>IF(COUNTIFS(Release_Calendar!$A$2:$A$755,"US_NFP",Release_Calendar!$B$2:$B$755,$A4137)&gt;0,1,0)</f>
        <v>0</v>
      </c>
      <c r="M4137" s="16" t="str">
        <f>IF($A4137&lt;Notes!$B$5,"",IF(COUNTIFS(Release_Calendar!$A$2:$A$755,"NZ_CPI",Release_Calendar!$B$2:$B$755,$A4137)&gt;0,1,0))</f>
        <v/>
      </c>
      <c r="N4137" s="16" t="str">
        <f>IF($A4137&lt;Notes!$B$5,"",IF(COUNTIFS(Release_Calendar!$A$2:$A$755,"NZ_GDP",Release_Calendar!$B$2:$B$755,$A4137)&gt;0,1,0))</f>
        <v/>
      </c>
      <c r="O4137" s="16" t="str">
        <f>IF($A4137&lt;Notes!$B$5,"",IF(COUNTIFS(Release_Calendar!$A$2:$A$755,"NZ_LABOUR",Release_Calendar!$B$2:$B$755,$A4137)&gt;0,1,0))</f>
        <v/>
      </c>
      <c r="P4137" s="16">
        <f t="shared" si="4"/>
        <v>0</v>
      </c>
    </row>
    <row r="4138" ht="15.75" customHeight="1">
      <c r="A4138" s="14">
        <v>42318.0</v>
      </c>
      <c r="B4138" s="15">
        <v>0.87</v>
      </c>
      <c r="C4138" s="15">
        <v>2.81</v>
      </c>
      <c r="D4138" s="15">
        <v>2.63</v>
      </c>
      <c r="E4138" s="15">
        <v>2.68</v>
      </c>
      <c r="F4138" s="15">
        <f t="shared" si="1"/>
        <v>1.94</v>
      </c>
      <c r="G4138" s="15">
        <f t="shared" si="2"/>
        <v>2.81</v>
      </c>
      <c r="H4138" s="16">
        <v>0.0</v>
      </c>
      <c r="I4138" s="15">
        <f t="shared" si="3"/>
        <v>1.94</v>
      </c>
      <c r="J4138" s="15">
        <v>15.29</v>
      </c>
      <c r="K4138" s="16">
        <f>IF(COUNTIFS(Release_Calendar!$A$2:$A$755,"US_CPI",Release_Calendar!$B$2:$B$755,$A4138)&gt;0,1,0)</f>
        <v>0</v>
      </c>
      <c r="L4138" s="16">
        <f>IF(COUNTIFS(Release_Calendar!$A$2:$A$755,"US_NFP",Release_Calendar!$B$2:$B$755,$A4138)&gt;0,1,0)</f>
        <v>0</v>
      </c>
      <c r="M4138" s="16" t="str">
        <f>IF($A4138&lt;Notes!$B$5,"",IF(COUNTIFS(Release_Calendar!$A$2:$A$755,"NZ_CPI",Release_Calendar!$B$2:$B$755,$A4138)&gt;0,1,0))</f>
        <v/>
      </c>
      <c r="N4138" s="16" t="str">
        <f>IF($A4138&lt;Notes!$B$5,"",IF(COUNTIFS(Release_Calendar!$A$2:$A$755,"NZ_GDP",Release_Calendar!$B$2:$B$755,$A4138)&gt;0,1,0))</f>
        <v/>
      </c>
      <c r="O4138" s="16" t="str">
        <f>IF($A4138&lt;Notes!$B$5,"",IF(COUNTIFS(Release_Calendar!$A$2:$A$755,"NZ_LABOUR",Release_Calendar!$B$2:$B$755,$A4138)&gt;0,1,0))</f>
        <v/>
      </c>
      <c r="P4138" s="16">
        <f t="shared" si="4"/>
        <v>0</v>
      </c>
    </row>
    <row r="4139" ht="15.75" customHeight="1">
      <c r="A4139" s="14">
        <v>42319.0</v>
      </c>
      <c r="B4139" s="15"/>
      <c r="C4139" s="15">
        <v>2.78</v>
      </c>
      <c r="D4139" s="15">
        <v>2.65</v>
      </c>
      <c r="E4139" s="15">
        <v>2.64</v>
      </c>
      <c r="F4139" s="15" t="str">
        <f t="shared" si="1"/>
        <v/>
      </c>
      <c r="G4139" s="15">
        <f t="shared" si="2"/>
        <v>2.78</v>
      </c>
      <c r="H4139" s="16">
        <v>0.0</v>
      </c>
      <c r="I4139" s="15" t="str">
        <f t="shared" si="3"/>
        <v/>
      </c>
      <c r="J4139" s="15">
        <v>16.06</v>
      </c>
      <c r="K4139" s="16">
        <f>IF(COUNTIFS(Release_Calendar!$A$2:$A$755,"US_CPI",Release_Calendar!$B$2:$B$755,$A4139)&gt;0,1,0)</f>
        <v>0</v>
      </c>
      <c r="L4139" s="16">
        <f>IF(COUNTIFS(Release_Calendar!$A$2:$A$755,"US_NFP",Release_Calendar!$B$2:$B$755,$A4139)&gt;0,1,0)</f>
        <v>0</v>
      </c>
      <c r="M4139" s="16" t="str">
        <f>IF($A4139&lt;Notes!$B$5,"",IF(COUNTIFS(Release_Calendar!$A$2:$A$755,"NZ_CPI",Release_Calendar!$B$2:$B$755,$A4139)&gt;0,1,0))</f>
        <v/>
      </c>
      <c r="N4139" s="16" t="str">
        <f>IF($A4139&lt;Notes!$B$5,"",IF(COUNTIFS(Release_Calendar!$A$2:$A$755,"NZ_GDP",Release_Calendar!$B$2:$B$755,$A4139)&gt;0,1,0))</f>
        <v/>
      </c>
      <c r="O4139" s="16" t="str">
        <f>IF($A4139&lt;Notes!$B$5,"",IF(COUNTIFS(Release_Calendar!$A$2:$A$755,"NZ_LABOUR",Release_Calendar!$B$2:$B$755,$A4139)&gt;0,1,0))</f>
        <v/>
      </c>
      <c r="P4139" s="16">
        <f t="shared" si="4"/>
        <v>0</v>
      </c>
    </row>
    <row r="4140" ht="15.75" customHeight="1">
      <c r="A4140" s="14">
        <v>42320.0</v>
      </c>
      <c r="B4140" s="15">
        <v>0.89</v>
      </c>
      <c r="C4140" s="15">
        <v>2.8</v>
      </c>
      <c r="D4140" s="15">
        <v>2.65</v>
      </c>
      <c r="E4140" s="15">
        <v>2.66</v>
      </c>
      <c r="F4140" s="15">
        <f t="shared" si="1"/>
        <v>1.91</v>
      </c>
      <c r="G4140" s="15">
        <f t="shared" si="2"/>
        <v>2.8</v>
      </c>
      <c r="H4140" s="16">
        <v>0.0</v>
      </c>
      <c r="I4140" s="15">
        <f t="shared" si="3"/>
        <v>1.91</v>
      </c>
      <c r="J4140" s="15">
        <v>18.37</v>
      </c>
      <c r="K4140" s="16">
        <f>IF(COUNTIFS(Release_Calendar!$A$2:$A$755,"US_CPI",Release_Calendar!$B$2:$B$755,$A4140)&gt;0,1,0)</f>
        <v>0</v>
      </c>
      <c r="L4140" s="16">
        <f>IF(COUNTIFS(Release_Calendar!$A$2:$A$755,"US_NFP",Release_Calendar!$B$2:$B$755,$A4140)&gt;0,1,0)</f>
        <v>0</v>
      </c>
      <c r="M4140" s="16" t="str">
        <f>IF($A4140&lt;Notes!$B$5,"",IF(COUNTIFS(Release_Calendar!$A$2:$A$755,"NZ_CPI",Release_Calendar!$B$2:$B$755,$A4140)&gt;0,1,0))</f>
        <v/>
      </c>
      <c r="N4140" s="16" t="str">
        <f>IF($A4140&lt;Notes!$B$5,"",IF(COUNTIFS(Release_Calendar!$A$2:$A$755,"NZ_GDP",Release_Calendar!$B$2:$B$755,$A4140)&gt;0,1,0))</f>
        <v/>
      </c>
      <c r="O4140" s="16" t="str">
        <f>IF($A4140&lt;Notes!$B$5,"",IF(COUNTIFS(Release_Calendar!$A$2:$A$755,"NZ_LABOUR",Release_Calendar!$B$2:$B$755,$A4140)&gt;0,1,0))</f>
        <v/>
      </c>
      <c r="P4140" s="16">
        <f t="shared" si="4"/>
        <v>0</v>
      </c>
    </row>
    <row r="4141" ht="15.75" customHeight="1">
      <c r="A4141" s="14">
        <v>42321.0</v>
      </c>
      <c r="B4141" s="15">
        <v>0.86</v>
      </c>
      <c r="C4141" s="15">
        <v>2.78</v>
      </c>
      <c r="D4141" s="15">
        <v>2.65</v>
      </c>
      <c r="E4141" s="15">
        <v>2.64</v>
      </c>
      <c r="F4141" s="15">
        <f t="shared" si="1"/>
        <v>1.92</v>
      </c>
      <c r="G4141" s="15">
        <f t="shared" si="2"/>
        <v>2.78</v>
      </c>
      <c r="H4141" s="16">
        <v>0.0</v>
      </c>
      <c r="I4141" s="15">
        <f t="shared" si="3"/>
        <v>1.92</v>
      </c>
      <c r="J4141" s="15">
        <v>20.08</v>
      </c>
      <c r="K4141" s="16">
        <f>IF(COUNTIFS(Release_Calendar!$A$2:$A$755,"US_CPI",Release_Calendar!$B$2:$B$755,$A4141)&gt;0,1,0)</f>
        <v>0</v>
      </c>
      <c r="L4141" s="16">
        <f>IF(COUNTIFS(Release_Calendar!$A$2:$A$755,"US_NFP",Release_Calendar!$B$2:$B$755,$A4141)&gt;0,1,0)</f>
        <v>0</v>
      </c>
      <c r="M4141" s="16" t="str">
        <f>IF($A4141&lt;Notes!$B$5,"",IF(COUNTIFS(Release_Calendar!$A$2:$A$755,"NZ_CPI",Release_Calendar!$B$2:$B$755,$A4141)&gt;0,1,0))</f>
        <v/>
      </c>
      <c r="N4141" s="16" t="str">
        <f>IF($A4141&lt;Notes!$B$5,"",IF(COUNTIFS(Release_Calendar!$A$2:$A$755,"NZ_GDP",Release_Calendar!$B$2:$B$755,$A4141)&gt;0,1,0))</f>
        <v/>
      </c>
      <c r="O4141" s="16" t="str">
        <f>IF($A4141&lt;Notes!$B$5,"",IF(COUNTIFS(Release_Calendar!$A$2:$A$755,"NZ_LABOUR",Release_Calendar!$B$2:$B$755,$A4141)&gt;0,1,0))</f>
        <v/>
      </c>
      <c r="P4141" s="16">
        <f t="shared" si="4"/>
        <v>0</v>
      </c>
    </row>
    <row r="4142" ht="15.75" customHeight="1">
      <c r="A4142" s="14">
        <v>42324.0</v>
      </c>
      <c r="B4142" s="15">
        <v>0.88</v>
      </c>
      <c r="C4142" s="15">
        <v>2.75</v>
      </c>
      <c r="D4142" s="15">
        <v>2.6</v>
      </c>
      <c r="E4142" s="15">
        <v>2.61</v>
      </c>
      <c r="F4142" s="15">
        <f t="shared" si="1"/>
        <v>1.87</v>
      </c>
      <c r="G4142" s="15">
        <f t="shared" si="2"/>
        <v>2.75</v>
      </c>
      <c r="H4142" s="16">
        <v>0.0</v>
      </c>
      <c r="I4142" s="15">
        <f t="shared" si="3"/>
        <v>1.87</v>
      </c>
      <c r="J4142" s="15">
        <v>18.16</v>
      </c>
      <c r="K4142" s="16">
        <f>IF(COUNTIFS(Release_Calendar!$A$2:$A$755,"US_CPI",Release_Calendar!$B$2:$B$755,$A4142)&gt;0,1,0)</f>
        <v>0</v>
      </c>
      <c r="L4142" s="16">
        <f>IF(COUNTIFS(Release_Calendar!$A$2:$A$755,"US_NFP",Release_Calendar!$B$2:$B$755,$A4142)&gt;0,1,0)</f>
        <v>0</v>
      </c>
      <c r="M4142" s="16" t="str">
        <f>IF($A4142&lt;Notes!$B$5,"",IF(COUNTIFS(Release_Calendar!$A$2:$A$755,"NZ_CPI",Release_Calendar!$B$2:$B$755,$A4142)&gt;0,1,0))</f>
        <v/>
      </c>
      <c r="N4142" s="16" t="str">
        <f>IF($A4142&lt;Notes!$B$5,"",IF(COUNTIFS(Release_Calendar!$A$2:$A$755,"NZ_GDP",Release_Calendar!$B$2:$B$755,$A4142)&gt;0,1,0))</f>
        <v/>
      </c>
      <c r="O4142" s="16" t="str">
        <f>IF($A4142&lt;Notes!$B$5,"",IF(COUNTIFS(Release_Calendar!$A$2:$A$755,"NZ_LABOUR",Release_Calendar!$B$2:$B$755,$A4142)&gt;0,1,0))</f>
        <v/>
      </c>
      <c r="P4142" s="16">
        <f t="shared" si="4"/>
        <v>0</v>
      </c>
    </row>
    <row r="4143" ht="15.75" customHeight="1">
      <c r="A4143" s="14">
        <v>42325.0</v>
      </c>
      <c r="B4143" s="15">
        <v>0.86</v>
      </c>
      <c r="C4143" s="15">
        <v>2.74</v>
      </c>
      <c r="D4143" s="15">
        <v>2.61</v>
      </c>
      <c r="E4143" s="15">
        <v>2.61</v>
      </c>
      <c r="F4143" s="15">
        <f t="shared" si="1"/>
        <v>1.88</v>
      </c>
      <c r="G4143" s="15">
        <f t="shared" si="2"/>
        <v>2.74</v>
      </c>
      <c r="H4143" s="16">
        <v>0.0</v>
      </c>
      <c r="I4143" s="15">
        <f t="shared" si="3"/>
        <v>1.88</v>
      </c>
      <c r="J4143" s="15">
        <v>18.84</v>
      </c>
      <c r="K4143" s="16">
        <f>IF(COUNTIFS(Release_Calendar!$A$2:$A$755,"US_CPI",Release_Calendar!$B$2:$B$755,$A4143)&gt;0,1,0)</f>
        <v>1</v>
      </c>
      <c r="L4143" s="16">
        <f>IF(COUNTIFS(Release_Calendar!$A$2:$A$755,"US_NFP",Release_Calendar!$B$2:$B$755,$A4143)&gt;0,1,0)</f>
        <v>0</v>
      </c>
      <c r="M4143" s="16" t="str">
        <f>IF($A4143&lt;Notes!$B$5,"",IF(COUNTIFS(Release_Calendar!$A$2:$A$755,"NZ_CPI",Release_Calendar!$B$2:$B$755,$A4143)&gt;0,1,0))</f>
        <v/>
      </c>
      <c r="N4143" s="16" t="str">
        <f>IF($A4143&lt;Notes!$B$5,"",IF(COUNTIFS(Release_Calendar!$A$2:$A$755,"NZ_GDP",Release_Calendar!$B$2:$B$755,$A4143)&gt;0,1,0))</f>
        <v/>
      </c>
      <c r="O4143" s="16" t="str">
        <f>IF($A4143&lt;Notes!$B$5,"",IF(COUNTIFS(Release_Calendar!$A$2:$A$755,"NZ_LABOUR",Release_Calendar!$B$2:$B$755,$A4143)&gt;0,1,0))</f>
        <v/>
      </c>
      <c r="P4143" s="16">
        <f t="shared" si="4"/>
        <v>1</v>
      </c>
    </row>
    <row r="4144" ht="15.75" customHeight="1">
      <c r="A4144" s="14">
        <v>42326.0</v>
      </c>
      <c r="B4144" s="15">
        <v>0.9</v>
      </c>
      <c r="C4144" s="15">
        <v>2.73</v>
      </c>
      <c r="D4144" s="15">
        <v>2.57</v>
      </c>
      <c r="E4144" s="15">
        <v>2.59</v>
      </c>
      <c r="F4144" s="15">
        <f t="shared" si="1"/>
        <v>1.83</v>
      </c>
      <c r="G4144" s="15">
        <f t="shared" si="2"/>
        <v>2.73</v>
      </c>
      <c r="H4144" s="16">
        <v>0.0</v>
      </c>
      <c r="I4144" s="15">
        <f t="shared" si="3"/>
        <v>1.83</v>
      </c>
      <c r="J4144" s="15">
        <v>16.85</v>
      </c>
      <c r="K4144" s="16">
        <f>IF(COUNTIFS(Release_Calendar!$A$2:$A$755,"US_CPI",Release_Calendar!$B$2:$B$755,$A4144)&gt;0,1,0)</f>
        <v>0</v>
      </c>
      <c r="L4144" s="16">
        <f>IF(COUNTIFS(Release_Calendar!$A$2:$A$755,"US_NFP",Release_Calendar!$B$2:$B$755,$A4144)&gt;0,1,0)</f>
        <v>0</v>
      </c>
      <c r="M4144" s="16" t="str">
        <f>IF($A4144&lt;Notes!$B$5,"",IF(COUNTIFS(Release_Calendar!$A$2:$A$755,"NZ_CPI",Release_Calendar!$B$2:$B$755,$A4144)&gt;0,1,0))</f>
        <v/>
      </c>
      <c r="N4144" s="16" t="str">
        <f>IF($A4144&lt;Notes!$B$5,"",IF(COUNTIFS(Release_Calendar!$A$2:$A$755,"NZ_GDP",Release_Calendar!$B$2:$B$755,$A4144)&gt;0,1,0))</f>
        <v/>
      </c>
      <c r="O4144" s="16" t="str">
        <f>IF($A4144&lt;Notes!$B$5,"",IF(COUNTIFS(Release_Calendar!$A$2:$A$755,"NZ_LABOUR",Release_Calendar!$B$2:$B$755,$A4144)&gt;0,1,0))</f>
        <v/>
      </c>
      <c r="P4144" s="16">
        <f t="shared" si="4"/>
        <v>0</v>
      </c>
    </row>
    <row r="4145" ht="15.75" customHeight="1">
      <c r="A4145" s="14">
        <v>42327.0</v>
      </c>
      <c r="B4145" s="15">
        <v>0.91</v>
      </c>
      <c r="C4145" s="15">
        <v>2.74</v>
      </c>
      <c r="D4145" s="15">
        <v>2.59</v>
      </c>
      <c r="E4145" s="15">
        <v>2.62</v>
      </c>
      <c r="F4145" s="15">
        <f t="shared" si="1"/>
        <v>1.83</v>
      </c>
      <c r="G4145" s="15">
        <f t="shared" si="2"/>
        <v>2.74</v>
      </c>
      <c r="H4145" s="16">
        <v>0.0</v>
      </c>
      <c r="I4145" s="15">
        <f t="shared" si="3"/>
        <v>1.83</v>
      </c>
      <c r="J4145" s="15">
        <v>16.99</v>
      </c>
      <c r="K4145" s="16">
        <f>IF(COUNTIFS(Release_Calendar!$A$2:$A$755,"US_CPI",Release_Calendar!$B$2:$B$755,$A4145)&gt;0,1,0)</f>
        <v>0</v>
      </c>
      <c r="L4145" s="16">
        <f>IF(COUNTIFS(Release_Calendar!$A$2:$A$755,"US_NFP",Release_Calendar!$B$2:$B$755,$A4145)&gt;0,1,0)</f>
        <v>0</v>
      </c>
      <c r="M4145" s="16" t="str">
        <f>IF($A4145&lt;Notes!$B$5,"",IF(COUNTIFS(Release_Calendar!$A$2:$A$755,"NZ_CPI",Release_Calendar!$B$2:$B$755,$A4145)&gt;0,1,0))</f>
        <v/>
      </c>
      <c r="N4145" s="16" t="str">
        <f>IF($A4145&lt;Notes!$B$5,"",IF(COUNTIFS(Release_Calendar!$A$2:$A$755,"NZ_GDP",Release_Calendar!$B$2:$B$755,$A4145)&gt;0,1,0))</f>
        <v/>
      </c>
      <c r="O4145" s="16" t="str">
        <f>IF($A4145&lt;Notes!$B$5,"",IF(COUNTIFS(Release_Calendar!$A$2:$A$755,"NZ_LABOUR",Release_Calendar!$B$2:$B$755,$A4145)&gt;0,1,0))</f>
        <v/>
      </c>
      <c r="P4145" s="16">
        <f t="shared" si="4"/>
        <v>0</v>
      </c>
    </row>
    <row r="4146" ht="15.75" customHeight="1">
      <c r="A4146" s="14">
        <v>42328.0</v>
      </c>
      <c r="B4146" s="15">
        <v>0.93</v>
      </c>
      <c r="C4146" s="15">
        <v>2.74</v>
      </c>
      <c r="D4146" s="15">
        <v>2.6</v>
      </c>
      <c r="E4146" s="15">
        <v>2.59</v>
      </c>
      <c r="F4146" s="15">
        <f t="shared" si="1"/>
        <v>1.81</v>
      </c>
      <c r="G4146" s="15">
        <f t="shared" si="2"/>
        <v>2.74</v>
      </c>
      <c r="H4146" s="16">
        <v>0.0</v>
      </c>
      <c r="I4146" s="15">
        <f t="shared" si="3"/>
        <v>1.81</v>
      </c>
      <c r="J4146" s="15">
        <v>15.47</v>
      </c>
      <c r="K4146" s="16">
        <f>IF(COUNTIFS(Release_Calendar!$A$2:$A$755,"US_CPI",Release_Calendar!$B$2:$B$755,$A4146)&gt;0,1,0)</f>
        <v>0</v>
      </c>
      <c r="L4146" s="16">
        <f>IF(COUNTIFS(Release_Calendar!$A$2:$A$755,"US_NFP",Release_Calendar!$B$2:$B$755,$A4146)&gt;0,1,0)</f>
        <v>0</v>
      </c>
      <c r="M4146" s="16" t="str">
        <f>IF($A4146&lt;Notes!$B$5,"",IF(COUNTIFS(Release_Calendar!$A$2:$A$755,"NZ_CPI",Release_Calendar!$B$2:$B$755,$A4146)&gt;0,1,0))</f>
        <v/>
      </c>
      <c r="N4146" s="16" t="str">
        <f>IF($A4146&lt;Notes!$B$5,"",IF(COUNTIFS(Release_Calendar!$A$2:$A$755,"NZ_GDP",Release_Calendar!$B$2:$B$755,$A4146)&gt;0,1,0))</f>
        <v/>
      </c>
      <c r="O4146" s="16" t="str">
        <f>IF($A4146&lt;Notes!$B$5,"",IF(COUNTIFS(Release_Calendar!$A$2:$A$755,"NZ_LABOUR",Release_Calendar!$B$2:$B$755,$A4146)&gt;0,1,0))</f>
        <v/>
      </c>
      <c r="P4146" s="16">
        <f t="shared" si="4"/>
        <v>0</v>
      </c>
    </row>
    <row r="4147" ht="15.75" customHeight="1">
      <c r="A4147" s="14">
        <v>42331.0</v>
      </c>
      <c r="B4147" s="15">
        <v>0.94</v>
      </c>
      <c r="C4147" s="15">
        <v>2.73</v>
      </c>
      <c r="D4147" s="15">
        <v>2.59</v>
      </c>
      <c r="E4147" s="15">
        <v>2.62</v>
      </c>
      <c r="F4147" s="15">
        <f t="shared" si="1"/>
        <v>1.79</v>
      </c>
      <c r="G4147" s="15">
        <f t="shared" si="2"/>
        <v>2.73</v>
      </c>
      <c r="H4147" s="16">
        <v>0.0</v>
      </c>
      <c r="I4147" s="15">
        <f t="shared" si="3"/>
        <v>1.79</v>
      </c>
      <c r="J4147" s="15">
        <v>15.62</v>
      </c>
      <c r="K4147" s="16">
        <f>IF(COUNTIFS(Release_Calendar!$A$2:$A$755,"US_CPI",Release_Calendar!$B$2:$B$755,$A4147)&gt;0,1,0)</f>
        <v>0</v>
      </c>
      <c r="L4147" s="16">
        <f>IF(COUNTIFS(Release_Calendar!$A$2:$A$755,"US_NFP",Release_Calendar!$B$2:$B$755,$A4147)&gt;0,1,0)</f>
        <v>0</v>
      </c>
      <c r="M4147" s="16" t="str">
        <f>IF($A4147&lt;Notes!$B$5,"",IF(COUNTIFS(Release_Calendar!$A$2:$A$755,"NZ_CPI",Release_Calendar!$B$2:$B$755,$A4147)&gt;0,1,0))</f>
        <v/>
      </c>
      <c r="N4147" s="16" t="str">
        <f>IF($A4147&lt;Notes!$B$5,"",IF(COUNTIFS(Release_Calendar!$A$2:$A$755,"NZ_GDP",Release_Calendar!$B$2:$B$755,$A4147)&gt;0,1,0))</f>
        <v/>
      </c>
      <c r="O4147" s="16" t="str">
        <f>IF($A4147&lt;Notes!$B$5,"",IF(COUNTIFS(Release_Calendar!$A$2:$A$755,"NZ_LABOUR",Release_Calendar!$B$2:$B$755,$A4147)&gt;0,1,0))</f>
        <v/>
      </c>
      <c r="P4147" s="16">
        <f t="shared" si="4"/>
        <v>0</v>
      </c>
    </row>
    <row r="4148" ht="15.75" customHeight="1">
      <c r="A4148" s="14">
        <v>42332.0</v>
      </c>
      <c r="B4148" s="15">
        <v>0.93</v>
      </c>
      <c r="C4148" s="15">
        <v>2.71</v>
      </c>
      <c r="D4148" s="15">
        <v>2.6</v>
      </c>
      <c r="E4148" s="15">
        <v>2.6</v>
      </c>
      <c r="F4148" s="15">
        <f t="shared" si="1"/>
        <v>1.78</v>
      </c>
      <c r="G4148" s="15">
        <f t="shared" si="2"/>
        <v>2.71</v>
      </c>
      <c r="H4148" s="16">
        <v>0.0</v>
      </c>
      <c r="I4148" s="15">
        <f t="shared" si="3"/>
        <v>1.78</v>
      </c>
      <c r="J4148" s="15">
        <v>15.93</v>
      </c>
      <c r="K4148" s="16">
        <f>IF(COUNTIFS(Release_Calendar!$A$2:$A$755,"US_CPI",Release_Calendar!$B$2:$B$755,$A4148)&gt;0,1,0)</f>
        <v>0</v>
      </c>
      <c r="L4148" s="16">
        <f>IF(COUNTIFS(Release_Calendar!$A$2:$A$755,"US_NFP",Release_Calendar!$B$2:$B$755,$A4148)&gt;0,1,0)</f>
        <v>0</v>
      </c>
      <c r="M4148" s="16" t="str">
        <f>IF($A4148&lt;Notes!$B$5,"",IF(COUNTIFS(Release_Calendar!$A$2:$A$755,"NZ_CPI",Release_Calendar!$B$2:$B$755,$A4148)&gt;0,1,0))</f>
        <v/>
      </c>
      <c r="N4148" s="16" t="str">
        <f>IF($A4148&lt;Notes!$B$5,"",IF(COUNTIFS(Release_Calendar!$A$2:$A$755,"NZ_GDP",Release_Calendar!$B$2:$B$755,$A4148)&gt;0,1,0))</f>
        <v/>
      </c>
      <c r="O4148" s="16" t="str">
        <f>IF($A4148&lt;Notes!$B$5,"",IF(COUNTIFS(Release_Calendar!$A$2:$A$755,"NZ_LABOUR",Release_Calendar!$B$2:$B$755,$A4148)&gt;0,1,0))</f>
        <v/>
      </c>
      <c r="P4148" s="16">
        <f t="shared" si="4"/>
        <v>0</v>
      </c>
    </row>
    <row r="4149" ht="15.75" customHeight="1">
      <c r="A4149" s="14">
        <v>42333.0</v>
      </c>
      <c r="B4149" s="15">
        <v>0.93</v>
      </c>
      <c r="C4149" s="15">
        <v>2.71</v>
      </c>
      <c r="D4149" s="15">
        <v>2.59</v>
      </c>
      <c r="E4149" s="15">
        <v>2.63</v>
      </c>
      <c r="F4149" s="15">
        <f t="shared" si="1"/>
        <v>1.78</v>
      </c>
      <c r="G4149" s="15">
        <f t="shared" si="2"/>
        <v>2.71</v>
      </c>
      <c r="H4149" s="16">
        <v>0.0</v>
      </c>
      <c r="I4149" s="15">
        <f t="shared" si="3"/>
        <v>1.78</v>
      </c>
      <c r="J4149" s="15">
        <v>15.19</v>
      </c>
      <c r="K4149" s="16">
        <f>IF(COUNTIFS(Release_Calendar!$A$2:$A$755,"US_CPI",Release_Calendar!$B$2:$B$755,$A4149)&gt;0,1,0)</f>
        <v>0</v>
      </c>
      <c r="L4149" s="16">
        <f>IF(COUNTIFS(Release_Calendar!$A$2:$A$755,"US_NFP",Release_Calendar!$B$2:$B$755,$A4149)&gt;0,1,0)</f>
        <v>0</v>
      </c>
      <c r="M4149" s="16" t="str">
        <f>IF($A4149&lt;Notes!$B$5,"",IF(COUNTIFS(Release_Calendar!$A$2:$A$755,"NZ_CPI",Release_Calendar!$B$2:$B$755,$A4149)&gt;0,1,0))</f>
        <v/>
      </c>
      <c r="N4149" s="16" t="str">
        <f>IF($A4149&lt;Notes!$B$5,"",IF(COUNTIFS(Release_Calendar!$A$2:$A$755,"NZ_GDP",Release_Calendar!$B$2:$B$755,$A4149)&gt;0,1,0))</f>
        <v/>
      </c>
      <c r="O4149" s="16" t="str">
        <f>IF($A4149&lt;Notes!$B$5,"",IF(COUNTIFS(Release_Calendar!$A$2:$A$755,"NZ_LABOUR",Release_Calendar!$B$2:$B$755,$A4149)&gt;0,1,0))</f>
        <v/>
      </c>
      <c r="P4149" s="16">
        <f t="shared" si="4"/>
        <v>0</v>
      </c>
    </row>
    <row r="4150" ht="15.75" customHeight="1">
      <c r="A4150" s="14">
        <v>42334.0</v>
      </c>
      <c r="B4150" s="15"/>
      <c r="C4150" s="15">
        <v>2.7</v>
      </c>
      <c r="D4150" s="15">
        <v>2.62</v>
      </c>
      <c r="E4150" s="15">
        <v>2.57</v>
      </c>
      <c r="F4150" s="15" t="str">
        <f t="shared" si="1"/>
        <v/>
      </c>
      <c r="G4150" s="15">
        <f t="shared" si="2"/>
        <v>2.7</v>
      </c>
      <c r="H4150" s="16">
        <v>0.0</v>
      </c>
      <c r="I4150" s="15" t="str">
        <f t="shared" si="3"/>
        <v/>
      </c>
      <c r="J4150" s="15"/>
      <c r="K4150" s="16">
        <f>IF(COUNTIFS(Release_Calendar!$A$2:$A$755,"US_CPI",Release_Calendar!$B$2:$B$755,$A4150)&gt;0,1,0)</f>
        <v>0</v>
      </c>
      <c r="L4150" s="16">
        <f>IF(COUNTIFS(Release_Calendar!$A$2:$A$755,"US_NFP",Release_Calendar!$B$2:$B$755,$A4150)&gt;0,1,0)</f>
        <v>0</v>
      </c>
      <c r="M4150" s="16" t="str">
        <f>IF($A4150&lt;Notes!$B$5,"",IF(COUNTIFS(Release_Calendar!$A$2:$A$755,"NZ_CPI",Release_Calendar!$B$2:$B$755,$A4150)&gt;0,1,0))</f>
        <v/>
      </c>
      <c r="N4150" s="16" t="str">
        <f>IF($A4150&lt;Notes!$B$5,"",IF(COUNTIFS(Release_Calendar!$A$2:$A$755,"NZ_GDP",Release_Calendar!$B$2:$B$755,$A4150)&gt;0,1,0))</f>
        <v/>
      </c>
      <c r="O4150" s="16" t="str">
        <f>IF($A4150&lt;Notes!$B$5,"",IF(COUNTIFS(Release_Calendar!$A$2:$A$755,"NZ_LABOUR",Release_Calendar!$B$2:$B$755,$A4150)&gt;0,1,0))</f>
        <v/>
      </c>
      <c r="P4150" s="16">
        <f t="shared" si="4"/>
        <v>0</v>
      </c>
    </row>
    <row r="4151" ht="15.75" customHeight="1">
      <c r="A4151" s="14">
        <v>42335.0</v>
      </c>
      <c r="B4151" s="15">
        <v>0.92</v>
      </c>
      <c r="C4151" s="15">
        <v>2.71</v>
      </c>
      <c r="D4151" s="15">
        <v>2.57</v>
      </c>
      <c r="E4151" s="15">
        <v>2.57</v>
      </c>
      <c r="F4151" s="15">
        <f t="shared" si="1"/>
        <v>1.79</v>
      </c>
      <c r="G4151" s="15">
        <f t="shared" si="2"/>
        <v>2.71</v>
      </c>
      <c r="H4151" s="16">
        <v>0.0</v>
      </c>
      <c r="I4151" s="15">
        <f t="shared" si="3"/>
        <v>1.79</v>
      </c>
      <c r="J4151" s="15">
        <v>15.12</v>
      </c>
      <c r="K4151" s="16">
        <f>IF(COUNTIFS(Release_Calendar!$A$2:$A$755,"US_CPI",Release_Calendar!$B$2:$B$755,$A4151)&gt;0,1,0)</f>
        <v>0</v>
      </c>
      <c r="L4151" s="16">
        <f>IF(COUNTIFS(Release_Calendar!$A$2:$A$755,"US_NFP",Release_Calendar!$B$2:$B$755,$A4151)&gt;0,1,0)</f>
        <v>0</v>
      </c>
      <c r="M4151" s="16" t="str">
        <f>IF($A4151&lt;Notes!$B$5,"",IF(COUNTIFS(Release_Calendar!$A$2:$A$755,"NZ_CPI",Release_Calendar!$B$2:$B$755,$A4151)&gt;0,1,0))</f>
        <v/>
      </c>
      <c r="N4151" s="16" t="str">
        <f>IF($A4151&lt;Notes!$B$5,"",IF(COUNTIFS(Release_Calendar!$A$2:$A$755,"NZ_GDP",Release_Calendar!$B$2:$B$755,$A4151)&gt;0,1,0))</f>
        <v/>
      </c>
      <c r="O4151" s="16" t="str">
        <f>IF($A4151&lt;Notes!$B$5,"",IF(COUNTIFS(Release_Calendar!$A$2:$A$755,"NZ_LABOUR",Release_Calendar!$B$2:$B$755,$A4151)&gt;0,1,0))</f>
        <v/>
      </c>
      <c r="P4151" s="16">
        <f t="shared" si="4"/>
        <v>0</v>
      </c>
    </row>
    <row r="4152" ht="15.75" customHeight="1">
      <c r="A4152" s="14">
        <v>42338.0</v>
      </c>
      <c r="B4152" s="15">
        <v>0.94</v>
      </c>
      <c r="C4152" s="15">
        <v>2.72</v>
      </c>
      <c r="D4152" s="15">
        <v>2.57</v>
      </c>
      <c r="E4152" s="15">
        <v>2.58</v>
      </c>
      <c r="F4152" s="15">
        <f t="shared" si="1"/>
        <v>1.78</v>
      </c>
      <c r="G4152" s="15">
        <f t="shared" si="2"/>
        <v>2.72</v>
      </c>
      <c r="H4152" s="16">
        <v>0.0</v>
      </c>
      <c r="I4152" s="15">
        <f t="shared" si="3"/>
        <v>1.78</v>
      </c>
      <c r="J4152" s="15">
        <v>16.13</v>
      </c>
      <c r="K4152" s="16">
        <f>IF(COUNTIFS(Release_Calendar!$A$2:$A$755,"US_CPI",Release_Calendar!$B$2:$B$755,$A4152)&gt;0,1,0)</f>
        <v>0</v>
      </c>
      <c r="L4152" s="16">
        <f>IF(COUNTIFS(Release_Calendar!$A$2:$A$755,"US_NFP",Release_Calendar!$B$2:$B$755,$A4152)&gt;0,1,0)</f>
        <v>0</v>
      </c>
      <c r="M4152" s="16" t="str">
        <f>IF($A4152&lt;Notes!$B$5,"",IF(COUNTIFS(Release_Calendar!$A$2:$A$755,"NZ_CPI",Release_Calendar!$B$2:$B$755,$A4152)&gt;0,1,0))</f>
        <v/>
      </c>
      <c r="N4152" s="16" t="str">
        <f>IF($A4152&lt;Notes!$B$5,"",IF(COUNTIFS(Release_Calendar!$A$2:$A$755,"NZ_GDP",Release_Calendar!$B$2:$B$755,$A4152)&gt;0,1,0))</f>
        <v/>
      </c>
      <c r="O4152" s="16" t="str">
        <f>IF($A4152&lt;Notes!$B$5,"",IF(COUNTIFS(Release_Calendar!$A$2:$A$755,"NZ_LABOUR",Release_Calendar!$B$2:$B$755,$A4152)&gt;0,1,0))</f>
        <v/>
      </c>
      <c r="P4152" s="16">
        <f t="shared" si="4"/>
        <v>0</v>
      </c>
    </row>
    <row r="4153" ht="15.75" customHeight="1">
      <c r="A4153" s="14">
        <v>42339.0</v>
      </c>
      <c r="B4153" s="15">
        <v>0.91</v>
      </c>
      <c r="C4153" s="15">
        <v>2.74</v>
      </c>
      <c r="D4153" s="15">
        <v>2.58</v>
      </c>
      <c r="E4153" s="15">
        <v>2.59</v>
      </c>
      <c r="F4153" s="15">
        <f t="shared" si="1"/>
        <v>1.83</v>
      </c>
      <c r="G4153" s="15">
        <f t="shared" si="2"/>
        <v>2.74</v>
      </c>
      <c r="H4153" s="16">
        <v>0.0</v>
      </c>
      <c r="I4153" s="15">
        <f t="shared" si="3"/>
        <v>1.83</v>
      </c>
      <c r="J4153" s="15">
        <v>14.67</v>
      </c>
      <c r="K4153" s="16">
        <f>IF(COUNTIFS(Release_Calendar!$A$2:$A$755,"US_CPI",Release_Calendar!$B$2:$B$755,$A4153)&gt;0,1,0)</f>
        <v>0</v>
      </c>
      <c r="L4153" s="16">
        <f>IF(COUNTIFS(Release_Calendar!$A$2:$A$755,"US_NFP",Release_Calendar!$B$2:$B$755,$A4153)&gt;0,1,0)</f>
        <v>0</v>
      </c>
      <c r="M4153" s="16" t="str">
        <f>IF($A4153&lt;Notes!$B$5,"",IF(COUNTIFS(Release_Calendar!$A$2:$A$755,"NZ_CPI",Release_Calendar!$B$2:$B$755,$A4153)&gt;0,1,0))</f>
        <v/>
      </c>
      <c r="N4153" s="16" t="str">
        <f>IF($A4153&lt;Notes!$B$5,"",IF(COUNTIFS(Release_Calendar!$A$2:$A$755,"NZ_GDP",Release_Calendar!$B$2:$B$755,$A4153)&gt;0,1,0))</f>
        <v/>
      </c>
      <c r="O4153" s="16" t="str">
        <f>IF($A4153&lt;Notes!$B$5,"",IF(COUNTIFS(Release_Calendar!$A$2:$A$755,"NZ_LABOUR",Release_Calendar!$B$2:$B$755,$A4153)&gt;0,1,0))</f>
        <v/>
      </c>
      <c r="P4153" s="16">
        <f t="shared" si="4"/>
        <v>0</v>
      </c>
    </row>
    <row r="4154" ht="15.75" customHeight="1">
      <c r="A4154" s="14">
        <v>42340.0</v>
      </c>
      <c r="B4154" s="15">
        <v>0.94</v>
      </c>
      <c r="C4154" s="15">
        <v>2.73</v>
      </c>
      <c r="D4154" s="15">
        <v>2.58</v>
      </c>
      <c r="E4154" s="15">
        <v>2.56</v>
      </c>
      <c r="F4154" s="15">
        <f t="shared" si="1"/>
        <v>1.79</v>
      </c>
      <c r="G4154" s="15">
        <f t="shared" si="2"/>
        <v>2.73</v>
      </c>
      <c r="H4154" s="16">
        <v>0.0</v>
      </c>
      <c r="I4154" s="15">
        <f t="shared" si="3"/>
        <v>1.79</v>
      </c>
      <c r="J4154" s="15">
        <v>15.91</v>
      </c>
      <c r="K4154" s="16">
        <f>IF(COUNTIFS(Release_Calendar!$A$2:$A$755,"US_CPI",Release_Calendar!$B$2:$B$755,$A4154)&gt;0,1,0)</f>
        <v>0</v>
      </c>
      <c r="L4154" s="16">
        <f>IF(COUNTIFS(Release_Calendar!$A$2:$A$755,"US_NFP",Release_Calendar!$B$2:$B$755,$A4154)&gt;0,1,0)</f>
        <v>0</v>
      </c>
      <c r="M4154" s="16" t="str">
        <f>IF($A4154&lt;Notes!$B$5,"",IF(COUNTIFS(Release_Calendar!$A$2:$A$755,"NZ_CPI",Release_Calendar!$B$2:$B$755,$A4154)&gt;0,1,0))</f>
        <v/>
      </c>
      <c r="N4154" s="16" t="str">
        <f>IF($A4154&lt;Notes!$B$5,"",IF(COUNTIFS(Release_Calendar!$A$2:$A$755,"NZ_GDP",Release_Calendar!$B$2:$B$755,$A4154)&gt;0,1,0))</f>
        <v/>
      </c>
      <c r="O4154" s="16" t="str">
        <f>IF($A4154&lt;Notes!$B$5,"",IF(COUNTIFS(Release_Calendar!$A$2:$A$755,"NZ_LABOUR",Release_Calendar!$B$2:$B$755,$A4154)&gt;0,1,0))</f>
        <v/>
      </c>
      <c r="P4154" s="16">
        <f t="shared" si="4"/>
        <v>0</v>
      </c>
    </row>
    <row r="4155" ht="15.75" customHeight="1">
      <c r="A4155" s="14">
        <v>42341.0</v>
      </c>
      <c r="B4155" s="15">
        <v>0.96</v>
      </c>
      <c r="C4155" s="15">
        <v>2.73</v>
      </c>
      <c r="D4155" s="15">
        <v>2.56</v>
      </c>
      <c r="E4155" s="15">
        <v>2.55</v>
      </c>
      <c r="F4155" s="15">
        <f t="shared" si="1"/>
        <v>1.77</v>
      </c>
      <c r="G4155" s="15">
        <f t="shared" si="2"/>
        <v>2.73</v>
      </c>
      <c r="H4155" s="16">
        <v>0.0</v>
      </c>
      <c r="I4155" s="15">
        <f t="shared" si="3"/>
        <v>1.77</v>
      </c>
      <c r="J4155" s="15">
        <v>18.11</v>
      </c>
      <c r="K4155" s="16">
        <f>IF(COUNTIFS(Release_Calendar!$A$2:$A$755,"US_CPI",Release_Calendar!$B$2:$B$755,$A4155)&gt;0,1,0)</f>
        <v>0</v>
      </c>
      <c r="L4155" s="16">
        <f>IF(COUNTIFS(Release_Calendar!$A$2:$A$755,"US_NFP",Release_Calendar!$B$2:$B$755,$A4155)&gt;0,1,0)</f>
        <v>0</v>
      </c>
      <c r="M4155" s="16" t="str">
        <f>IF($A4155&lt;Notes!$B$5,"",IF(COUNTIFS(Release_Calendar!$A$2:$A$755,"NZ_CPI",Release_Calendar!$B$2:$B$755,$A4155)&gt;0,1,0))</f>
        <v/>
      </c>
      <c r="N4155" s="16" t="str">
        <f>IF($A4155&lt;Notes!$B$5,"",IF(COUNTIFS(Release_Calendar!$A$2:$A$755,"NZ_GDP",Release_Calendar!$B$2:$B$755,$A4155)&gt;0,1,0))</f>
        <v/>
      </c>
      <c r="O4155" s="16" t="str">
        <f>IF($A4155&lt;Notes!$B$5,"",IF(COUNTIFS(Release_Calendar!$A$2:$A$755,"NZ_LABOUR",Release_Calendar!$B$2:$B$755,$A4155)&gt;0,1,0))</f>
        <v/>
      </c>
      <c r="P4155" s="16">
        <f t="shared" si="4"/>
        <v>0</v>
      </c>
    </row>
    <row r="4156" ht="15.75" customHeight="1">
      <c r="A4156" s="14">
        <v>42342.0</v>
      </c>
      <c r="B4156" s="15">
        <v>0.96</v>
      </c>
      <c r="C4156" s="15">
        <v>2.75</v>
      </c>
      <c r="D4156" s="15">
        <v>2.6</v>
      </c>
      <c r="E4156" s="15">
        <v>2.58</v>
      </c>
      <c r="F4156" s="15">
        <f t="shared" si="1"/>
        <v>1.79</v>
      </c>
      <c r="G4156" s="15">
        <f t="shared" si="2"/>
        <v>2.75</v>
      </c>
      <c r="H4156" s="16">
        <v>0.0</v>
      </c>
      <c r="I4156" s="15">
        <f t="shared" si="3"/>
        <v>1.79</v>
      </c>
      <c r="J4156" s="15">
        <v>14.81</v>
      </c>
      <c r="K4156" s="16">
        <f>IF(COUNTIFS(Release_Calendar!$A$2:$A$755,"US_CPI",Release_Calendar!$B$2:$B$755,$A4156)&gt;0,1,0)</f>
        <v>0</v>
      </c>
      <c r="L4156" s="16">
        <f>IF(COUNTIFS(Release_Calendar!$A$2:$A$755,"US_NFP",Release_Calendar!$B$2:$B$755,$A4156)&gt;0,1,0)</f>
        <v>1</v>
      </c>
      <c r="M4156" s="16" t="str">
        <f>IF($A4156&lt;Notes!$B$5,"",IF(COUNTIFS(Release_Calendar!$A$2:$A$755,"NZ_CPI",Release_Calendar!$B$2:$B$755,$A4156)&gt;0,1,0))</f>
        <v/>
      </c>
      <c r="N4156" s="16" t="str">
        <f>IF($A4156&lt;Notes!$B$5,"",IF(COUNTIFS(Release_Calendar!$A$2:$A$755,"NZ_GDP",Release_Calendar!$B$2:$B$755,$A4156)&gt;0,1,0))</f>
        <v/>
      </c>
      <c r="O4156" s="16" t="str">
        <f>IF($A4156&lt;Notes!$B$5,"",IF(COUNTIFS(Release_Calendar!$A$2:$A$755,"NZ_LABOUR",Release_Calendar!$B$2:$B$755,$A4156)&gt;0,1,0))</f>
        <v/>
      </c>
      <c r="P4156" s="16">
        <f t="shared" si="4"/>
        <v>1</v>
      </c>
    </row>
    <row r="4157" ht="15.75" customHeight="1">
      <c r="A4157" s="14">
        <v>42345.0</v>
      </c>
      <c r="B4157" s="15">
        <v>0.94</v>
      </c>
      <c r="C4157" s="15">
        <v>2.72</v>
      </c>
      <c r="D4157" s="15">
        <v>2.58</v>
      </c>
      <c r="E4157" s="15">
        <v>2.58</v>
      </c>
      <c r="F4157" s="15">
        <f t="shared" si="1"/>
        <v>1.78</v>
      </c>
      <c r="G4157" s="15">
        <f t="shared" si="2"/>
        <v>2.72</v>
      </c>
      <c r="H4157" s="16">
        <v>0.0</v>
      </c>
      <c r="I4157" s="15">
        <f t="shared" si="3"/>
        <v>1.78</v>
      </c>
      <c r="J4157" s="15">
        <v>15.84</v>
      </c>
      <c r="K4157" s="16">
        <f>IF(COUNTIFS(Release_Calendar!$A$2:$A$755,"US_CPI",Release_Calendar!$B$2:$B$755,$A4157)&gt;0,1,0)</f>
        <v>0</v>
      </c>
      <c r="L4157" s="16">
        <f>IF(COUNTIFS(Release_Calendar!$A$2:$A$755,"US_NFP",Release_Calendar!$B$2:$B$755,$A4157)&gt;0,1,0)</f>
        <v>0</v>
      </c>
      <c r="M4157" s="16" t="str">
        <f>IF($A4157&lt;Notes!$B$5,"",IF(COUNTIFS(Release_Calendar!$A$2:$A$755,"NZ_CPI",Release_Calendar!$B$2:$B$755,$A4157)&gt;0,1,0))</f>
        <v/>
      </c>
      <c r="N4157" s="16" t="str">
        <f>IF($A4157&lt;Notes!$B$5,"",IF(COUNTIFS(Release_Calendar!$A$2:$A$755,"NZ_GDP",Release_Calendar!$B$2:$B$755,$A4157)&gt;0,1,0))</f>
        <v/>
      </c>
      <c r="O4157" s="16" t="str">
        <f>IF($A4157&lt;Notes!$B$5,"",IF(COUNTIFS(Release_Calendar!$A$2:$A$755,"NZ_LABOUR",Release_Calendar!$B$2:$B$755,$A4157)&gt;0,1,0))</f>
        <v/>
      </c>
      <c r="P4157" s="16">
        <f t="shared" si="4"/>
        <v>0</v>
      </c>
    </row>
    <row r="4158" ht="15.75" customHeight="1">
      <c r="A4158" s="14">
        <v>42346.0</v>
      </c>
      <c r="B4158" s="15">
        <v>0.94</v>
      </c>
      <c r="C4158" s="15">
        <v>2.72</v>
      </c>
      <c r="D4158" s="15">
        <v>2.55</v>
      </c>
      <c r="E4158" s="15">
        <v>2.55</v>
      </c>
      <c r="F4158" s="15">
        <f t="shared" si="1"/>
        <v>1.78</v>
      </c>
      <c r="G4158" s="15">
        <f t="shared" si="2"/>
        <v>2.72</v>
      </c>
      <c r="H4158" s="16">
        <v>0.0</v>
      </c>
      <c r="I4158" s="15">
        <f t="shared" si="3"/>
        <v>1.78</v>
      </c>
      <c r="J4158" s="15">
        <v>17.6</v>
      </c>
      <c r="K4158" s="16">
        <f>IF(COUNTIFS(Release_Calendar!$A$2:$A$755,"US_CPI",Release_Calendar!$B$2:$B$755,$A4158)&gt;0,1,0)</f>
        <v>0</v>
      </c>
      <c r="L4158" s="16">
        <f>IF(COUNTIFS(Release_Calendar!$A$2:$A$755,"US_NFP",Release_Calendar!$B$2:$B$755,$A4158)&gt;0,1,0)</f>
        <v>0</v>
      </c>
      <c r="M4158" s="16" t="str">
        <f>IF($A4158&lt;Notes!$B$5,"",IF(COUNTIFS(Release_Calendar!$A$2:$A$755,"NZ_CPI",Release_Calendar!$B$2:$B$755,$A4158)&gt;0,1,0))</f>
        <v/>
      </c>
      <c r="N4158" s="16" t="str">
        <f>IF($A4158&lt;Notes!$B$5,"",IF(COUNTIFS(Release_Calendar!$A$2:$A$755,"NZ_GDP",Release_Calendar!$B$2:$B$755,$A4158)&gt;0,1,0))</f>
        <v/>
      </c>
      <c r="O4158" s="16" t="str">
        <f>IF($A4158&lt;Notes!$B$5,"",IF(COUNTIFS(Release_Calendar!$A$2:$A$755,"NZ_LABOUR",Release_Calendar!$B$2:$B$755,$A4158)&gt;0,1,0))</f>
        <v/>
      </c>
      <c r="P4158" s="16">
        <f t="shared" si="4"/>
        <v>0</v>
      </c>
    </row>
    <row r="4159" ht="15.75" customHeight="1">
      <c r="A4159" s="14">
        <v>42347.0</v>
      </c>
      <c r="B4159" s="15">
        <v>0.93</v>
      </c>
      <c r="C4159" s="15">
        <v>2.71</v>
      </c>
      <c r="D4159" s="15">
        <v>2.55</v>
      </c>
      <c r="E4159" s="15">
        <v>2.53</v>
      </c>
      <c r="F4159" s="15">
        <f t="shared" si="1"/>
        <v>1.78</v>
      </c>
      <c r="G4159" s="15">
        <f t="shared" si="2"/>
        <v>2.71</v>
      </c>
      <c r="H4159" s="16">
        <v>0.0</v>
      </c>
      <c r="I4159" s="15">
        <f t="shared" si="3"/>
        <v>1.78</v>
      </c>
      <c r="J4159" s="15">
        <v>19.61</v>
      </c>
      <c r="K4159" s="16">
        <f>IF(COUNTIFS(Release_Calendar!$A$2:$A$755,"US_CPI",Release_Calendar!$B$2:$B$755,$A4159)&gt;0,1,0)</f>
        <v>0</v>
      </c>
      <c r="L4159" s="16">
        <f>IF(COUNTIFS(Release_Calendar!$A$2:$A$755,"US_NFP",Release_Calendar!$B$2:$B$755,$A4159)&gt;0,1,0)</f>
        <v>0</v>
      </c>
      <c r="M4159" s="16" t="str">
        <f>IF($A4159&lt;Notes!$B$5,"",IF(COUNTIFS(Release_Calendar!$A$2:$A$755,"NZ_CPI",Release_Calendar!$B$2:$B$755,$A4159)&gt;0,1,0))</f>
        <v/>
      </c>
      <c r="N4159" s="16" t="str">
        <f>IF($A4159&lt;Notes!$B$5,"",IF(COUNTIFS(Release_Calendar!$A$2:$A$755,"NZ_GDP",Release_Calendar!$B$2:$B$755,$A4159)&gt;0,1,0))</f>
        <v/>
      </c>
      <c r="O4159" s="16" t="str">
        <f>IF($A4159&lt;Notes!$B$5,"",IF(COUNTIFS(Release_Calendar!$A$2:$A$755,"NZ_LABOUR",Release_Calendar!$B$2:$B$755,$A4159)&gt;0,1,0))</f>
        <v/>
      </c>
      <c r="P4159" s="16">
        <f t="shared" si="4"/>
        <v>0</v>
      </c>
    </row>
    <row r="4160" ht="15.75" customHeight="1">
      <c r="A4160" s="14">
        <v>42348.0</v>
      </c>
      <c r="B4160" s="15">
        <v>0.95</v>
      </c>
      <c r="C4160" s="15">
        <v>2.74</v>
      </c>
      <c r="D4160" s="15">
        <v>2.5</v>
      </c>
      <c r="E4160" s="15">
        <v>2.56</v>
      </c>
      <c r="F4160" s="15">
        <f t="shared" si="1"/>
        <v>1.79</v>
      </c>
      <c r="G4160" s="15">
        <f t="shared" si="2"/>
        <v>2.74</v>
      </c>
      <c r="H4160" s="16">
        <v>0.0</v>
      </c>
      <c r="I4160" s="15">
        <f t="shared" si="3"/>
        <v>1.79</v>
      </c>
      <c r="J4160" s="15">
        <v>19.34</v>
      </c>
      <c r="K4160" s="16">
        <f>IF(COUNTIFS(Release_Calendar!$A$2:$A$755,"US_CPI",Release_Calendar!$B$2:$B$755,$A4160)&gt;0,1,0)</f>
        <v>0</v>
      </c>
      <c r="L4160" s="16">
        <f>IF(COUNTIFS(Release_Calendar!$A$2:$A$755,"US_NFP",Release_Calendar!$B$2:$B$755,$A4160)&gt;0,1,0)</f>
        <v>0</v>
      </c>
      <c r="M4160" s="16" t="str">
        <f>IF($A4160&lt;Notes!$B$5,"",IF(COUNTIFS(Release_Calendar!$A$2:$A$755,"NZ_CPI",Release_Calendar!$B$2:$B$755,$A4160)&gt;0,1,0))</f>
        <v/>
      </c>
      <c r="N4160" s="16" t="str">
        <f>IF($A4160&lt;Notes!$B$5,"",IF(COUNTIFS(Release_Calendar!$A$2:$A$755,"NZ_GDP",Release_Calendar!$B$2:$B$755,$A4160)&gt;0,1,0))</f>
        <v/>
      </c>
      <c r="O4160" s="16" t="str">
        <f>IF($A4160&lt;Notes!$B$5,"",IF(COUNTIFS(Release_Calendar!$A$2:$A$755,"NZ_LABOUR",Release_Calendar!$B$2:$B$755,$A4160)&gt;0,1,0))</f>
        <v/>
      </c>
      <c r="P4160" s="16">
        <f t="shared" si="4"/>
        <v>0</v>
      </c>
    </row>
    <row r="4161" ht="15.75" customHeight="1">
      <c r="A4161" s="14">
        <v>42349.0</v>
      </c>
      <c r="B4161" s="15">
        <v>0.88</v>
      </c>
      <c r="C4161" s="15">
        <v>2.78</v>
      </c>
      <c r="D4161" s="15">
        <v>2.6</v>
      </c>
      <c r="E4161" s="15">
        <v>2.6</v>
      </c>
      <c r="F4161" s="15">
        <f t="shared" si="1"/>
        <v>1.9</v>
      </c>
      <c r="G4161" s="15">
        <f t="shared" si="2"/>
        <v>2.78</v>
      </c>
      <c r="H4161" s="16">
        <v>0.0</v>
      </c>
      <c r="I4161" s="15">
        <f t="shared" si="3"/>
        <v>1.9</v>
      </c>
      <c r="J4161" s="15">
        <v>24.39</v>
      </c>
      <c r="K4161" s="16">
        <f>IF(COUNTIFS(Release_Calendar!$A$2:$A$755,"US_CPI",Release_Calendar!$B$2:$B$755,$A4161)&gt;0,1,0)</f>
        <v>0</v>
      </c>
      <c r="L4161" s="16">
        <f>IF(COUNTIFS(Release_Calendar!$A$2:$A$755,"US_NFP",Release_Calendar!$B$2:$B$755,$A4161)&gt;0,1,0)</f>
        <v>0</v>
      </c>
      <c r="M4161" s="16" t="str">
        <f>IF($A4161&lt;Notes!$B$5,"",IF(COUNTIFS(Release_Calendar!$A$2:$A$755,"NZ_CPI",Release_Calendar!$B$2:$B$755,$A4161)&gt;0,1,0))</f>
        <v/>
      </c>
      <c r="N4161" s="16" t="str">
        <f>IF($A4161&lt;Notes!$B$5,"",IF(COUNTIFS(Release_Calendar!$A$2:$A$755,"NZ_GDP",Release_Calendar!$B$2:$B$755,$A4161)&gt;0,1,0))</f>
        <v/>
      </c>
      <c r="O4161" s="16" t="str">
        <f>IF($A4161&lt;Notes!$B$5,"",IF(COUNTIFS(Release_Calendar!$A$2:$A$755,"NZ_LABOUR",Release_Calendar!$B$2:$B$755,$A4161)&gt;0,1,0))</f>
        <v/>
      </c>
      <c r="P4161" s="16">
        <f t="shared" si="4"/>
        <v>0</v>
      </c>
    </row>
    <row r="4162" ht="15.75" customHeight="1">
      <c r="A4162" s="14">
        <v>42352.0</v>
      </c>
      <c r="B4162" s="15">
        <v>0.97</v>
      </c>
      <c r="C4162" s="15">
        <v>2.77</v>
      </c>
      <c r="D4162" s="15">
        <v>2.58</v>
      </c>
      <c r="E4162" s="15">
        <v>2.58</v>
      </c>
      <c r="F4162" s="15">
        <f t="shared" si="1"/>
        <v>1.8</v>
      </c>
      <c r="G4162" s="15">
        <f t="shared" si="2"/>
        <v>2.77</v>
      </c>
      <c r="H4162" s="16">
        <v>0.0</v>
      </c>
      <c r="I4162" s="15">
        <f t="shared" si="3"/>
        <v>1.8</v>
      </c>
      <c r="J4162" s="15">
        <v>22.73</v>
      </c>
      <c r="K4162" s="16">
        <f>IF(COUNTIFS(Release_Calendar!$A$2:$A$755,"US_CPI",Release_Calendar!$B$2:$B$755,$A4162)&gt;0,1,0)</f>
        <v>0</v>
      </c>
      <c r="L4162" s="16">
        <f>IF(COUNTIFS(Release_Calendar!$A$2:$A$755,"US_NFP",Release_Calendar!$B$2:$B$755,$A4162)&gt;0,1,0)</f>
        <v>0</v>
      </c>
      <c r="M4162" s="16" t="str">
        <f>IF($A4162&lt;Notes!$B$5,"",IF(COUNTIFS(Release_Calendar!$A$2:$A$755,"NZ_CPI",Release_Calendar!$B$2:$B$755,$A4162)&gt;0,1,0))</f>
        <v/>
      </c>
      <c r="N4162" s="16" t="str">
        <f>IF($A4162&lt;Notes!$B$5,"",IF(COUNTIFS(Release_Calendar!$A$2:$A$755,"NZ_GDP",Release_Calendar!$B$2:$B$755,$A4162)&gt;0,1,0))</f>
        <v/>
      </c>
      <c r="O4162" s="16" t="str">
        <f>IF($A4162&lt;Notes!$B$5,"",IF(COUNTIFS(Release_Calendar!$A$2:$A$755,"NZ_LABOUR",Release_Calendar!$B$2:$B$755,$A4162)&gt;0,1,0))</f>
        <v/>
      </c>
      <c r="P4162" s="16">
        <f t="shared" si="4"/>
        <v>0</v>
      </c>
    </row>
    <row r="4163" ht="15.75" customHeight="1">
      <c r="A4163" s="14">
        <v>42353.0</v>
      </c>
      <c r="B4163" s="15">
        <v>0.98</v>
      </c>
      <c r="C4163" s="15">
        <v>2.82</v>
      </c>
      <c r="D4163" s="15">
        <v>2.6</v>
      </c>
      <c r="E4163" s="15">
        <v>2.64</v>
      </c>
      <c r="F4163" s="15">
        <f t="shared" si="1"/>
        <v>1.84</v>
      </c>
      <c r="G4163" s="15">
        <f t="shared" si="2"/>
        <v>2.82</v>
      </c>
      <c r="H4163" s="16">
        <v>0.0</v>
      </c>
      <c r="I4163" s="15">
        <f t="shared" si="3"/>
        <v>1.84</v>
      </c>
      <c r="J4163" s="15">
        <v>20.95</v>
      </c>
      <c r="K4163" s="16">
        <f>IF(COUNTIFS(Release_Calendar!$A$2:$A$755,"US_CPI",Release_Calendar!$B$2:$B$755,$A4163)&gt;0,1,0)</f>
        <v>1</v>
      </c>
      <c r="L4163" s="16">
        <f>IF(COUNTIFS(Release_Calendar!$A$2:$A$755,"US_NFP",Release_Calendar!$B$2:$B$755,$A4163)&gt;0,1,0)</f>
        <v>0</v>
      </c>
      <c r="M4163" s="16" t="str">
        <f>IF($A4163&lt;Notes!$B$5,"",IF(COUNTIFS(Release_Calendar!$A$2:$A$755,"NZ_CPI",Release_Calendar!$B$2:$B$755,$A4163)&gt;0,1,0))</f>
        <v/>
      </c>
      <c r="N4163" s="16" t="str">
        <f>IF($A4163&lt;Notes!$B$5,"",IF(COUNTIFS(Release_Calendar!$A$2:$A$755,"NZ_GDP",Release_Calendar!$B$2:$B$755,$A4163)&gt;0,1,0))</f>
        <v/>
      </c>
      <c r="O4163" s="16" t="str">
        <f>IF($A4163&lt;Notes!$B$5,"",IF(COUNTIFS(Release_Calendar!$A$2:$A$755,"NZ_LABOUR",Release_Calendar!$B$2:$B$755,$A4163)&gt;0,1,0))</f>
        <v/>
      </c>
      <c r="P4163" s="16">
        <f t="shared" si="4"/>
        <v>1</v>
      </c>
    </row>
    <row r="4164" ht="15.75" customHeight="1">
      <c r="A4164" s="14">
        <v>42354.0</v>
      </c>
      <c r="B4164" s="15">
        <v>1.02</v>
      </c>
      <c r="C4164" s="15">
        <v>2.86</v>
      </c>
      <c r="D4164" s="15">
        <v>2.66</v>
      </c>
      <c r="E4164" s="15">
        <v>2.7</v>
      </c>
      <c r="F4164" s="15">
        <f t="shared" si="1"/>
        <v>1.84</v>
      </c>
      <c r="G4164" s="15">
        <f t="shared" si="2"/>
        <v>2.86</v>
      </c>
      <c r="H4164" s="16">
        <v>0.0</v>
      </c>
      <c r="I4164" s="15">
        <f t="shared" si="3"/>
        <v>1.84</v>
      </c>
      <c r="J4164" s="15">
        <v>17.86</v>
      </c>
      <c r="K4164" s="16">
        <f>IF(COUNTIFS(Release_Calendar!$A$2:$A$755,"US_CPI",Release_Calendar!$B$2:$B$755,$A4164)&gt;0,1,0)</f>
        <v>0</v>
      </c>
      <c r="L4164" s="16">
        <f>IF(COUNTIFS(Release_Calendar!$A$2:$A$755,"US_NFP",Release_Calendar!$B$2:$B$755,$A4164)&gt;0,1,0)</f>
        <v>0</v>
      </c>
      <c r="M4164" s="16" t="str">
        <f>IF($A4164&lt;Notes!$B$5,"",IF(COUNTIFS(Release_Calendar!$A$2:$A$755,"NZ_CPI",Release_Calendar!$B$2:$B$755,$A4164)&gt;0,1,0))</f>
        <v/>
      </c>
      <c r="N4164" s="16" t="str">
        <f>IF($A4164&lt;Notes!$B$5,"",IF(COUNTIFS(Release_Calendar!$A$2:$A$755,"NZ_GDP",Release_Calendar!$B$2:$B$755,$A4164)&gt;0,1,0))</f>
        <v/>
      </c>
      <c r="O4164" s="16" t="str">
        <f>IF($A4164&lt;Notes!$B$5,"",IF(COUNTIFS(Release_Calendar!$A$2:$A$755,"NZ_LABOUR",Release_Calendar!$B$2:$B$755,$A4164)&gt;0,1,0))</f>
        <v/>
      </c>
      <c r="P4164" s="16">
        <f t="shared" si="4"/>
        <v>0</v>
      </c>
    </row>
    <row r="4165" ht="15.75" customHeight="1">
      <c r="A4165" s="14">
        <v>42355.0</v>
      </c>
      <c r="B4165" s="15">
        <v>1.0</v>
      </c>
      <c r="C4165" s="15">
        <v>2.82</v>
      </c>
      <c r="D4165" s="15">
        <v>2.7</v>
      </c>
      <c r="E4165" s="15">
        <v>2.68</v>
      </c>
      <c r="F4165" s="15">
        <f t="shared" si="1"/>
        <v>1.82</v>
      </c>
      <c r="G4165" s="15">
        <f t="shared" si="2"/>
        <v>2.82</v>
      </c>
      <c r="H4165" s="16">
        <v>0.0</v>
      </c>
      <c r="I4165" s="15">
        <f t="shared" si="3"/>
        <v>1.82</v>
      </c>
      <c r="J4165" s="15">
        <v>18.94</v>
      </c>
      <c r="K4165" s="16">
        <f>IF(COUNTIFS(Release_Calendar!$A$2:$A$755,"US_CPI",Release_Calendar!$B$2:$B$755,$A4165)&gt;0,1,0)</f>
        <v>0</v>
      </c>
      <c r="L4165" s="16">
        <f>IF(COUNTIFS(Release_Calendar!$A$2:$A$755,"US_NFP",Release_Calendar!$B$2:$B$755,$A4165)&gt;0,1,0)</f>
        <v>0</v>
      </c>
      <c r="M4165" s="16" t="str">
        <f>IF($A4165&lt;Notes!$B$5,"",IF(COUNTIFS(Release_Calendar!$A$2:$A$755,"NZ_CPI",Release_Calendar!$B$2:$B$755,$A4165)&gt;0,1,0))</f>
        <v/>
      </c>
      <c r="N4165" s="16" t="str">
        <f>IF($A4165&lt;Notes!$B$5,"",IF(COUNTIFS(Release_Calendar!$A$2:$A$755,"NZ_GDP",Release_Calendar!$B$2:$B$755,$A4165)&gt;0,1,0))</f>
        <v/>
      </c>
      <c r="O4165" s="16" t="str">
        <f>IF($A4165&lt;Notes!$B$5,"",IF(COUNTIFS(Release_Calendar!$A$2:$A$755,"NZ_LABOUR",Release_Calendar!$B$2:$B$755,$A4165)&gt;0,1,0))</f>
        <v/>
      </c>
      <c r="P4165" s="16">
        <f t="shared" si="4"/>
        <v>0</v>
      </c>
    </row>
    <row r="4166" ht="15.75" customHeight="1">
      <c r="A4166" s="14">
        <v>42356.0</v>
      </c>
      <c r="B4166" s="15">
        <v>0.97</v>
      </c>
      <c r="C4166" s="15">
        <v>2.8</v>
      </c>
      <c r="D4166" s="15">
        <v>2.62</v>
      </c>
      <c r="E4166" s="15">
        <v>2.61</v>
      </c>
      <c r="F4166" s="15">
        <f t="shared" si="1"/>
        <v>1.83</v>
      </c>
      <c r="G4166" s="15">
        <f t="shared" si="2"/>
        <v>2.8</v>
      </c>
      <c r="H4166" s="16">
        <v>0.0</v>
      </c>
      <c r="I4166" s="15">
        <f t="shared" si="3"/>
        <v>1.83</v>
      </c>
      <c r="J4166" s="15">
        <v>20.7</v>
      </c>
      <c r="K4166" s="16">
        <f>IF(COUNTIFS(Release_Calendar!$A$2:$A$755,"US_CPI",Release_Calendar!$B$2:$B$755,$A4166)&gt;0,1,0)</f>
        <v>0</v>
      </c>
      <c r="L4166" s="16">
        <f>IF(COUNTIFS(Release_Calendar!$A$2:$A$755,"US_NFP",Release_Calendar!$B$2:$B$755,$A4166)&gt;0,1,0)</f>
        <v>0</v>
      </c>
      <c r="M4166" s="16" t="str">
        <f>IF($A4166&lt;Notes!$B$5,"",IF(COUNTIFS(Release_Calendar!$A$2:$A$755,"NZ_CPI",Release_Calendar!$B$2:$B$755,$A4166)&gt;0,1,0))</f>
        <v/>
      </c>
      <c r="N4166" s="16" t="str">
        <f>IF($A4166&lt;Notes!$B$5,"",IF(COUNTIFS(Release_Calendar!$A$2:$A$755,"NZ_GDP",Release_Calendar!$B$2:$B$755,$A4166)&gt;0,1,0))</f>
        <v/>
      </c>
      <c r="O4166" s="16" t="str">
        <f>IF($A4166&lt;Notes!$B$5,"",IF(COUNTIFS(Release_Calendar!$A$2:$A$755,"NZ_LABOUR",Release_Calendar!$B$2:$B$755,$A4166)&gt;0,1,0))</f>
        <v/>
      </c>
      <c r="P4166" s="16">
        <f t="shared" si="4"/>
        <v>0</v>
      </c>
    </row>
    <row r="4167" ht="15.75" customHeight="1">
      <c r="A4167" s="14">
        <v>42359.0</v>
      </c>
      <c r="B4167" s="15">
        <v>0.96</v>
      </c>
      <c r="C4167" s="15">
        <v>2.85</v>
      </c>
      <c r="D4167" s="15">
        <v>2.59</v>
      </c>
      <c r="E4167" s="15">
        <v>2.62</v>
      </c>
      <c r="F4167" s="15">
        <f t="shared" si="1"/>
        <v>1.89</v>
      </c>
      <c r="G4167" s="15">
        <f t="shared" si="2"/>
        <v>2.85</v>
      </c>
      <c r="H4167" s="16">
        <v>0.0</v>
      </c>
      <c r="I4167" s="15">
        <f t="shared" si="3"/>
        <v>1.89</v>
      </c>
      <c r="J4167" s="15">
        <v>18.7</v>
      </c>
      <c r="K4167" s="16">
        <f>IF(COUNTIFS(Release_Calendar!$A$2:$A$755,"US_CPI",Release_Calendar!$B$2:$B$755,$A4167)&gt;0,1,0)</f>
        <v>0</v>
      </c>
      <c r="L4167" s="16">
        <f>IF(COUNTIFS(Release_Calendar!$A$2:$A$755,"US_NFP",Release_Calendar!$B$2:$B$755,$A4167)&gt;0,1,0)</f>
        <v>0</v>
      </c>
      <c r="M4167" s="16" t="str">
        <f>IF($A4167&lt;Notes!$B$5,"",IF(COUNTIFS(Release_Calendar!$A$2:$A$755,"NZ_CPI",Release_Calendar!$B$2:$B$755,$A4167)&gt;0,1,0))</f>
        <v/>
      </c>
      <c r="N4167" s="16" t="str">
        <f>IF($A4167&lt;Notes!$B$5,"",IF(COUNTIFS(Release_Calendar!$A$2:$A$755,"NZ_GDP",Release_Calendar!$B$2:$B$755,$A4167)&gt;0,1,0))</f>
        <v/>
      </c>
      <c r="O4167" s="16" t="str">
        <f>IF($A4167&lt;Notes!$B$5,"",IF(COUNTIFS(Release_Calendar!$A$2:$A$755,"NZ_LABOUR",Release_Calendar!$B$2:$B$755,$A4167)&gt;0,1,0))</f>
        <v/>
      </c>
      <c r="P4167" s="16">
        <f t="shared" si="4"/>
        <v>0</v>
      </c>
    </row>
    <row r="4168" ht="15.75" customHeight="1">
      <c r="A4168" s="14">
        <v>42360.0</v>
      </c>
      <c r="B4168" s="15">
        <v>0.99</v>
      </c>
      <c r="C4168" s="15">
        <v>2.85</v>
      </c>
      <c r="D4168" s="15">
        <v>2.6</v>
      </c>
      <c r="E4168" s="15">
        <v>2.63</v>
      </c>
      <c r="F4168" s="15">
        <f t="shared" si="1"/>
        <v>1.86</v>
      </c>
      <c r="G4168" s="15">
        <f t="shared" si="2"/>
        <v>2.85</v>
      </c>
      <c r="H4168" s="16">
        <v>0.0</v>
      </c>
      <c r="I4168" s="15">
        <f t="shared" si="3"/>
        <v>1.86</v>
      </c>
      <c r="J4168" s="15">
        <v>16.6</v>
      </c>
      <c r="K4168" s="16">
        <f>IF(COUNTIFS(Release_Calendar!$A$2:$A$755,"US_CPI",Release_Calendar!$B$2:$B$755,$A4168)&gt;0,1,0)</f>
        <v>0</v>
      </c>
      <c r="L4168" s="16">
        <f>IF(COUNTIFS(Release_Calendar!$A$2:$A$755,"US_NFP",Release_Calendar!$B$2:$B$755,$A4168)&gt;0,1,0)</f>
        <v>0</v>
      </c>
      <c r="M4168" s="16" t="str">
        <f>IF($A4168&lt;Notes!$B$5,"",IF(COUNTIFS(Release_Calendar!$A$2:$A$755,"NZ_CPI",Release_Calendar!$B$2:$B$755,$A4168)&gt;0,1,0))</f>
        <v/>
      </c>
      <c r="N4168" s="16" t="str">
        <f>IF($A4168&lt;Notes!$B$5,"",IF(COUNTIFS(Release_Calendar!$A$2:$A$755,"NZ_GDP",Release_Calendar!$B$2:$B$755,$A4168)&gt;0,1,0))</f>
        <v/>
      </c>
      <c r="O4168" s="16" t="str">
        <f>IF($A4168&lt;Notes!$B$5,"",IF(COUNTIFS(Release_Calendar!$A$2:$A$755,"NZ_LABOUR",Release_Calendar!$B$2:$B$755,$A4168)&gt;0,1,0))</f>
        <v/>
      </c>
      <c r="P4168" s="16">
        <f t="shared" si="4"/>
        <v>0</v>
      </c>
    </row>
    <row r="4169" ht="15.75" customHeight="1">
      <c r="A4169" s="14">
        <v>42361.0</v>
      </c>
      <c r="B4169" s="15">
        <v>1.01</v>
      </c>
      <c r="C4169" s="15">
        <v>2.87</v>
      </c>
      <c r="D4169" s="15">
        <v>2.66</v>
      </c>
      <c r="E4169" s="15">
        <v>2.65</v>
      </c>
      <c r="F4169" s="15">
        <f t="shared" si="1"/>
        <v>1.86</v>
      </c>
      <c r="G4169" s="15">
        <f t="shared" si="2"/>
        <v>2.87</v>
      </c>
      <c r="H4169" s="16">
        <v>0.0</v>
      </c>
      <c r="I4169" s="15">
        <f t="shared" si="3"/>
        <v>1.86</v>
      </c>
      <c r="J4169" s="15">
        <v>15.57</v>
      </c>
      <c r="K4169" s="16">
        <f>IF(COUNTIFS(Release_Calendar!$A$2:$A$755,"US_CPI",Release_Calendar!$B$2:$B$755,$A4169)&gt;0,1,0)</f>
        <v>0</v>
      </c>
      <c r="L4169" s="16">
        <f>IF(COUNTIFS(Release_Calendar!$A$2:$A$755,"US_NFP",Release_Calendar!$B$2:$B$755,$A4169)&gt;0,1,0)</f>
        <v>0</v>
      </c>
      <c r="M4169" s="16" t="str">
        <f>IF($A4169&lt;Notes!$B$5,"",IF(COUNTIFS(Release_Calendar!$A$2:$A$755,"NZ_CPI",Release_Calendar!$B$2:$B$755,$A4169)&gt;0,1,0))</f>
        <v/>
      </c>
      <c r="N4169" s="16" t="str">
        <f>IF($A4169&lt;Notes!$B$5,"",IF(COUNTIFS(Release_Calendar!$A$2:$A$755,"NZ_GDP",Release_Calendar!$B$2:$B$755,$A4169)&gt;0,1,0))</f>
        <v/>
      </c>
      <c r="O4169" s="16" t="str">
        <f>IF($A4169&lt;Notes!$B$5,"",IF(COUNTIFS(Release_Calendar!$A$2:$A$755,"NZ_LABOUR",Release_Calendar!$B$2:$B$755,$A4169)&gt;0,1,0))</f>
        <v/>
      </c>
      <c r="P4169" s="16">
        <f t="shared" si="4"/>
        <v>0</v>
      </c>
    </row>
    <row r="4170" ht="15.75" customHeight="1">
      <c r="A4170" s="14">
        <v>42362.0</v>
      </c>
      <c r="B4170" s="15">
        <v>1.03</v>
      </c>
      <c r="C4170" s="15">
        <v>2.88</v>
      </c>
      <c r="D4170" s="15">
        <v>2.66</v>
      </c>
      <c r="E4170" s="15">
        <v>2.66</v>
      </c>
      <c r="F4170" s="15">
        <f t="shared" si="1"/>
        <v>1.85</v>
      </c>
      <c r="G4170" s="15">
        <f t="shared" si="2"/>
        <v>2.88</v>
      </c>
      <c r="H4170" s="16">
        <v>0.0</v>
      </c>
      <c r="I4170" s="15">
        <f t="shared" si="3"/>
        <v>1.85</v>
      </c>
      <c r="J4170" s="15">
        <v>15.74</v>
      </c>
      <c r="K4170" s="16">
        <f>IF(COUNTIFS(Release_Calendar!$A$2:$A$755,"US_CPI",Release_Calendar!$B$2:$B$755,$A4170)&gt;0,1,0)</f>
        <v>0</v>
      </c>
      <c r="L4170" s="16">
        <f>IF(COUNTIFS(Release_Calendar!$A$2:$A$755,"US_NFP",Release_Calendar!$B$2:$B$755,$A4170)&gt;0,1,0)</f>
        <v>0</v>
      </c>
      <c r="M4170" s="16" t="str">
        <f>IF($A4170&lt;Notes!$B$5,"",IF(COUNTIFS(Release_Calendar!$A$2:$A$755,"NZ_CPI",Release_Calendar!$B$2:$B$755,$A4170)&gt;0,1,0))</f>
        <v/>
      </c>
      <c r="N4170" s="16" t="str">
        <f>IF($A4170&lt;Notes!$B$5,"",IF(COUNTIFS(Release_Calendar!$A$2:$A$755,"NZ_GDP",Release_Calendar!$B$2:$B$755,$A4170)&gt;0,1,0))</f>
        <v/>
      </c>
      <c r="O4170" s="16" t="str">
        <f>IF($A4170&lt;Notes!$B$5,"",IF(COUNTIFS(Release_Calendar!$A$2:$A$755,"NZ_LABOUR",Release_Calendar!$B$2:$B$755,$A4170)&gt;0,1,0))</f>
        <v/>
      </c>
      <c r="P4170" s="16">
        <f t="shared" si="4"/>
        <v>0</v>
      </c>
    </row>
    <row r="4171" ht="15.75" customHeight="1">
      <c r="A4171" s="14">
        <v>42363.0</v>
      </c>
      <c r="B4171" s="15"/>
      <c r="C4171" s="15"/>
      <c r="D4171" s="15"/>
      <c r="E4171" s="15"/>
      <c r="F4171" s="15" t="str">
        <f t="shared" si="1"/>
        <v/>
      </c>
      <c r="G4171" s="15" t="str">
        <f t="shared" si="2"/>
        <v/>
      </c>
      <c r="H4171" s="16">
        <v>0.0</v>
      </c>
      <c r="I4171" s="15" t="str">
        <f t="shared" si="3"/>
        <v/>
      </c>
      <c r="J4171" s="15"/>
      <c r="K4171" s="16">
        <f>IF(COUNTIFS(Release_Calendar!$A$2:$A$755,"US_CPI",Release_Calendar!$B$2:$B$755,$A4171)&gt;0,1,0)</f>
        <v>0</v>
      </c>
      <c r="L4171" s="16">
        <f>IF(COUNTIFS(Release_Calendar!$A$2:$A$755,"US_NFP",Release_Calendar!$B$2:$B$755,$A4171)&gt;0,1,0)</f>
        <v>0</v>
      </c>
      <c r="M4171" s="16" t="str">
        <f>IF($A4171&lt;Notes!$B$5,"",IF(COUNTIFS(Release_Calendar!$A$2:$A$755,"NZ_CPI",Release_Calendar!$B$2:$B$755,$A4171)&gt;0,1,0))</f>
        <v/>
      </c>
      <c r="N4171" s="16" t="str">
        <f>IF($A4171&lt;Notes!$B$5,"",IF(COUNTIFS(Release_Calendar!$A$2:$A$755,"NZ_GDP",Release_Calendar!$B$2:$B$755,$A4171)&gt;0,1,0))</f>
        <v/>
      </c>
      <c r="O4171" s="16" t="str">
        <f>IF($A4171&lt;Notes!$B$5,"",IF(COUNTIFS(Release_Calendar!$A$2:$A$755,"NZ_LABOUR",Release_Calendar!$B$2:$B$755,$A4171)&gt;0,1,0))</f>
        <v/>
      </c>
      <c r="P4171" s="16">
        <f t="shared" si="4"/>
        <v>0</v>
      </c>
    </row>
    <row r="4172" ht="15.75" customHeight="1">
      <c r="A4172" s="14">
        <v>42366.0</v>
      </c>
      <c r="B4172" s="15">
        <v>1.05</v>
      </c>
      <c r="C4172" s="15"/>
      <c r="D4172" s="15"/>
      <c r="E4172" s="15"/>
      <c r="F4172" s="15" t="str">
        <f t="shared" si="1"/>
        <v/>
      </c>
      <c r="G4172" s="15" t="str">
        <f t="shared" si="2"/>
        <v/>
      </c>
      <c r="H4172" s="16">
        <v>0.0</v>
      </c>
      <c r="I4172" s="15" t="str">
        <f t="shared" si="3"/>
        <v/>
      </c>
      <c r="J4172" s="15">
        <v>16.91</v>
      </c>
      <c r="K4172" s="16">
        <f>IF(COUNTIFS(Release_Calendar!$A$2:$A$755,"US_CPI",Release_Calendar!$B$2:$B$755,$A4172)&gt;0,1,0)</f>
        <v>0</v>
      </c>
      <c r="L4172" s="16">
        <f>IF(COUNTIFS(Release_Calendar!$A$2:$A$755,"US_NFP",Release_Calendar!$B$2:$B$755,$A4172)&gt;0,1,0)</f>
        <v>0</v>
      </c>
      <c r="M4172" s="16" t="str">
        <f>IF($A4172&lt;Notes!$B$5,"",IF(COUNTIFS(Release_Calendar!$A$2:$A$755,"NZ_CPI",Release_Calendar!$B$2:$B$755,$A4172)&gt;0,1,0))</f>
        <v/>
      </c>
      <c r="N4172" s="16" t="str">
        <f>IF($A4172&lt;Notes!$B$5,"",IF(COUNTIFS(Release_Calendar!$A$2:$A$755,"NZ_GDP",Release_Calendar!$B$2:$B$755,$A4172)&gt;0,1,0))</f>
        <v/>
      </c>
      <c r="O4172" s="16" t="str">
        <f>IF($A4172&lt;Notes!$B$5,"",IF(COUNTIFS(Release_Calendar!$A$2:$A$755,"NZ_LABOUR",Release_Calendar!$B$2:$B$755,$A4172)&gt;0,1,0))</f>
        <v/>
      </c>
      <c r="P4172" s="16">
        <f t="shared" si="4"/>
        <v>0</v>
      </c>
    </row>
    <row r="4173" ht="15.75" customHeight="1">
      <c r="A4173" s="14">
        <v>42367.0</v>
      </c>
      <c r="B4173" s="15">
        <v>1.09</v>
      </c>
      <c r="C4173" s="15">
        <v>2.86</v>
      </c>
      <c r="D4173" s="15">
        <v>2.65</v>
      </c>
      <c r="E4173" s="15">
        <v>2.64</v>
      </c>
      <c r="F4173" s="15">
        <f t="shared" si="1"/>
        <v>1.77</v>
      </c>
      <c r="G4173" s="15">
        <f t="shared" si="2"/>
        <v>2.86</v>
      </c>
      <c r="H4173" s="16">
        <v>0.0</v>
      </c>
      <c r="I4173" s="15">
        <f t="shared" si="3"/>
        <v>1.77</v>
      </c>
      <c r="J4173" s="15">
        <v>16.08</v>
      </c>
      <c r="K4173" s="16">
        <f>IF(COUNTIFS(Release_Calendar!$A$2:$A$755,"US_CPI",Release_Calendar!$B$2:$B$755,$A4173)&gt;0,1,0)</f>
        <v>0</v>
      </c>
      <c r="L4173" s="16">
        <f>IF(COUNTIFS(Release_Calendar!$A$2:$A$755,"US_NFP",Release_Calendar!$B$2:$B$755,$A4173)&gt;0,1,0)</f>
        <v>0</v>
      </c>
      <c r="M4173" s="16" t="str">
        <f>IF($A4173&lt;Notes!$B$5,"",IF(COUNTIFS(Release_Calendar!$A$2:$A$755,"NZ_CPI",Release_Calendar!$B$2:$B$755,$A4173)&gt;0,1,0))</f>
        <v/>
      </c>
      <c r="N4173" s="16" t="str">
        <f>IF($A4173&lt;Notes!$B$5,"",IF(COUNTIFS(Release_Calendar!$A$2:$A$755,"NZ_GDP",Release_Calendar!$B$2:$B$755,$A4173)&gt;0,1,0))</f>
        <v/>
      </c>
      <c r="O4173" s="16" t="str">
        <f>IF($A4173&lt;Notes!$B$5,"",IF(COUNTIFS(Release_Calendar!$A$2:$A$755,"NZ_LABOUR",Release_Calendar!$B$2:$B$755,$A4173)&gt;0,1,0))</f>
        <v/>
      </c>
      <c r="P4173" s="16">
        <f t="shared" si="4"/>
        <v>0</v>
      </c>
    </row>
    <row r="4174" ht="15.75" customHeight="1">
      <c r="A4174" s="14">
        <v>42368.0</v>
      </c>
      <c r="B4174" s="15">
        <v>1.08</v>
      </c>
      <c r="C4174" s="15">
        <v>2.86</v>
      </c>
      <c r="D4174" s="15">
        <v>2.64</v>
      </c>
      <c r="E4174" s="15">
        <v>2.64</v>
      </c>
      <c r="F4174" s="15">
        <f t="shared" si="1"/>
        <v>1.78</v>
      </c>
      <c r="G4174" s="15">
        <f t="shared" si="2"/>
        <v>2.86</v>
      </c>
      <c r="H4174" s="16">
        <v>0.0</v>
      </c>
      <c r="I4174" s="15">
        <f t="shared" si="3"/>
        <v>1.78</v>
      </c>
      <c r="J4174" s="15">
        <v>17.29</v>
      </c>
      <c r="K4174" s="16">
        <f>IF(COUNTIFS(Release_Calendar!$A$2:$A$755,"US_CPI",Release_Calendar!$B$2:$B$755,$A4174)&gt;0,1,0)</f>
        <v>0</v>
      </c>
      <c r="L4174" s="16">
        <f>IF(COUNTIFS(Release_Calendar!$A$2:$A$755,"US_NFP",Release_Calendar!$B$2:$B$755,$A4174)&gt;0,1,0)</f>
        <v>0</v>
      </c>
      <c r="M4174" s="16" t="str">
        <f>IF($A4174&lt;Notes!$B$5,"",IF(COUNTIFS(Release_Calendar!$A$2:$A$755,"NZ_CPI",Release_Calendar!$B$2:$B$755,$A4174)&gt;0,1,0))</f>
        <v/>
      </c>
      <c r="N4174" s="16" t="str">
        <f>IF($A4174&lt;Notes!$B$5,"",IF(COUNTIFS(Release_Calendar!$A$2:$A$755,"NZ_GDP",Release_Calendar!$B$2:$B$755,$A4174)&gt;0,1,0))</f>
        <v/>
      </c>
      <c r="O4174" s="16" t="str">
        <f>IF($A4174&lt;Notes!$B$5,"",IF(COUNTIFS(Release_Calendar!$A$2:$A$755,"NZ_LABOUR",Release_Calendar!$B$2:$B$755,$A4174)&gt;0,1,0))</f>
        <v/>
      </c>
      <c r="P4174" s="16">
        <f t="shared" si="4"/>
        <v>0</v>
      </c>
    </row>
    <row r="4175" ht="15.75" customHeight="1">
      <c r="A4175" s="14">
        <v>42369.0</v>
      </c>
      <c r="B4175" s="15">
        <v>1.06</v>
      </c>
      <c r="C4175" s="15">
        <v>2.85</v>
      </c>
      <c r="D4175" s="15">
        <v>2.65</v>
      </c>
      <c r="E4175" s="15">
        <v>2.65</v>
      </c>
      <c r="F4175" s="15">
        <f t="shared" si="1"/>
        <v>1.79</v>
      </c>
      <c r="G4175" s="15">
        <f t="shared" si="2"/>
        <v>2.85</v>
      </c>
      <c r="H4175" s="16">
        <v>0.0</v>
      </c>
      <c r="I4175" s="15">
        <f t="shared" si="3"/>
        <v>1.79</v>
      </c>
      <c r="J4175" s="15">
        <v>18.21</v>
      </c>
      <c r="K4175" s="16">
        <f>IF(COUNTIFS(Release_Calendar!$A$2:$A$755,"US_CPI",Release_Calendar!$B$2:$B$755,$A4175)&gt;0,1,0)</f>
        <v>0</v>
      </c>
      <c r="L4175" s="16">
        <f>IF(COUNTIFS(Release_Calendar!$A$2:$A$755,"US_NFP",Release_Calendar!$B$2:$B$755,$A4175)&gt;0,1,0)</f>
        <v>0</v>
      </c>
      <c r="M4175" s="16" t="str">
        <f>IF($A4175&lt;Notes!$B$5,"",IF(COUNTIFS(Release_Calendar!$A$2:$A$755,"NZ_CPI",Release_Calendar!$B$2:$B$755,$A4175)&gt;0,1,0))</f>
        <v/>
      </c>
      <c r="N4175" s="16" t="str">
        <f>IF($A4175&lt;Notes!$B$5,"",IF(COUNTIFS(Release_Calendar!$A$2:$A$755,"NZ_GDP",Release_Calendar!$B$2:$B$755,$A4175)&gt;0,1,0))</f>
        <v/>
      </c>
      <c r="O4175" s="16" t="str">
        <f>IF($A4175&lt;Notes!$B$5,"",IF(COUNTIFS(Release_Calendar!$A$2:$A$755,"NZ_LABOUR",Release_Calendar!$B$2:$B$755,$A4175)&gt;0,1,0))</f>
        <v/>
      </c>
      <c r="P4175" s="16">
        <f t="shared" si="4"/>
        <v>0</v>
      </c>
    </row>
    <row r="4176" ht="15.75" customHeight="1">
      <c r="A4176" s="14">
        <v>42370.0</v>
      </c>
      <c r="B4176" s="15"/>
      <c r="C4176" s="15"/>
      <c r="D4176" s="15"/>
      <c r="E4176" s="15"/>
      <c r="F4176" s="15" t="str">
        <f t="shared" si="1"/>
        <v/>
      </c>
      <c r="G4176" s="15" t="str">
        <f t="shared" si="2"/>
        <v/>
      </c>
      <c r="H4176" s="16">
        <v>0.0</v>
      </c>
      <c r="I4176" s="15" t="str">
        <f t="shared" si="3"/>
        <v/>
      </c>
      <c r="J4176" s="15"/>
      <c r="K4176" s="16">
        <f>IF(COUNTIFS(Release_Calendar!$A$2:$A$755,"US_CPI",Release_Calendar!$B$2:$B$755,$A4176)&gt;0,1,0)</f>
        <v>0</v>
      </c>
      <c r="L4176" s="16">
        <f>IF(COUNTIFS(Release_Calendar!$A$2:$A$755,"US_NFP",Release_Calendar!$B$2:$B$755,$A4176)&gt;0,1,0)</f>
        <v>0</v>
      </c>
      <c r="M4176" s="16" t="str">
        <f>IF($A4176&lt;Notes!$B$5,"",IF(COUNTIFS(Release_Calendar!$A$2:$A$755,"NZ_CPI",Release_Calendar!$B$2:$B$755,$A4176)&gt;0,1,0))</f>
        <v/>
      </c>
      <c r="N4176" s="16" t="str">
        <f>IF($A4176&lt;Notes!$B$5,"",IF(COUNTIFS(Release_Calendar!$A$2:$A$755,"NZ_GDP",Release_Calendar!$B$2:$B$755,$A4176)&gt;0,1,0))</f>
        <v/>
      </c>
      <c r="O4176" s="16" t="str">
        <f>IF($A4176&lt;Notes!$B$5,"",IF(COUNTIFS(Release_Calendar!$A$2:$A$755,"NZ_LABOUR",Release_Calendar!$B$2:$B$755,$A4176)&gt;0,1,0))</f>
        <v/>
      </c>
      <c r="P4176" s="16">
        <f t="shared" si="4"/>
        <v>0</v>
      </c>
    </row>
    <row r="4177" ht="15.75" customHeight="1">
      <c r="A4177" s="14">
        <v>42373.0</v>
      </c>
      <c r="B4177" s="15">
        <v>1.02</v>
      </c>
      <c r="C4177" s="15"/>
      <c r="D4177" s="15"/>
      <c r="E4177" s="15"/>
      <c r="F4177" s="15" t="str">
        <f t="shared" si="1"/>
        <v/>
      </c>
      <c r="G4177" s="15" t="str">
        <f t="shared" si="2"/>
        <v/>
      </c>
      <c r="H4177" s="16">
        <v>0.0</v>
      </c>
      <c r="I4177" s="15" t="str">
        <f t="shared" si="3"/>
        <v/>
      </c>
      <c r="J4177" s="15">
        <v>20.7</v>
      </c>
      <c r="K4177" s="16">
        <f>IF(COUNTIFS(Release_Calendar!$A$2:$A$755,"US_CPI",Release_Calendar!$B$2:$B$755,$A4177)&gt;0,1,0)</f>
        <v>0</v>
      </c>
      <c r="L4177" s="16">
        <f>IF(COUNTIFS(Release_Calendar!$A$2:$A$755,"US_NFP",Release_Calendar!$B$2:$B$755,$A4177)&gt;0,1,0)</f>
        <v>0</v>
      </c>
      <c r="M4177" s="16" t="str">
        <f>IF($A4177&lt;Notes!$B$5,"",IF(COUNTIFS(Release_Calendar!$A$2:$A$755,"NZ_CPI",Release_Calendar!$B$2:$B$755,$A4177)&gt;0,1,0))</f>
        <v/>
      </c>
      <c r="N4177" s="16" t="str">
        <f>IF($A4177&lt;Notes!$B$5,"",IF(COUNTIFS(Release_Calendar!$A$2:$A$755,"NZ_GDP",Release_Calendar!$B$2:$B$755,$A4177)&gt;0,1,0))</f>
        <v/>
      </c>
      <c r="O4177" s="16" t="str">
        <f>IF($A4177&lt;Notes!$B$5,"",IF(COUNTIFS(Release_Calendar!$A$2:$A$755,"NZ_LABOUR",Release_Calendar!$B$2:$B$755,$A4177)&gt;0,1,0))</f>
        <v/>
      </c>
      <c r="P4177" s="16">
        <f t="shared" si="4"/>
        <v>0</v>
      </c>
    </row>
    <row r="4178" ht="15.75" customHeight="1">
      <c r="A4178" s="14">
        <v>42374.0</v>
      </c>
      <c r="B4178" s="15">
        <v>1.04</v>
      </c>
      <c r="C4178" s="15">
        <v>2.83</v>
      </c>
      <c r="D4178" s="15">
        <v>2.59</v>
      </c>
      <c r="E4178" s="15">
        <v>2.57</v>
      </c>
      <c r="F4178" s="15">
        <f t="shared" si="1"/>
        <v>1.79</v>
      </c>
      <c r="G4178" s="15">
        <f t="shared" si="2"/>
        <v>2.83</v>
      </c>
      <c r="H4178" s="16">
        <v>0.0</v>
      </c>
      <c r="I4178" s="15">
        <f t="shared" si="3"/>
        <v>1.79</v>
      </c>
      <c r="J4178" s="15">
        <v>19.34</v>
      </c>
      <c r="K4178" s="16">
        <f>IF(COUNTIFS(Release_Calendar!$A$2:$A$755,"US_CPI",Release_Calendar!$B$2:$B$755,$A4178)&gt;0,1,0)</f>
        <v>0</v>
      </c>
      <c r="L4178" s="16">
        <f>IF(COUNTIFS(Release_Calendar!$A$2:$A$755,"US_NFP",Release_Calendar!$B$2:$B$755,$A4178)&gt;0,1,0)</f>
        <v>0</v>
      </c>
      <c r="M4178" s="16" t="str">
        <f>IF($A4178&lt;Notes!$B$5,"",IF(COUNTIFS(Release_Calendar!$A$2:$A$755,"NZ_CPI",Release_Calendar!$B$2:$B$755,$A4178)&gt;0,1,0))</f>
        <v/>
      </c>
      <c r="N4178" s="16" t="str">
        <f>IF($A4178&lt;Notes!$B$5,"",IF(COUNTIFS(Release_Calendar!$A$2:$A$755,"NZ_GDP",Release_Calendar!$B$2:$B$755,$A4178)&gt;0,1,0))</f>
        <v/>
      </c>
      <c r="O4178" s="16" t="str">
        <f>IF($A4178&lt;Notes!$B$5,"",IF(COUNTIFS(Release_Calendar!$A$2:$A$755,"NZ_LABOUR",Release_Calendar!$B$2:$B$755,$A4178)&gt;0,1,0))</f>
        <v/>
      </c>
      <c r="P4178" s="16">
        <f t="shared" si="4"/>
        <v>0</v>
      </c>
    </row>
    <row r="4179" ht="15.75" customHeight="1">
      <c r="A4179" s="14">
        <v>42375.0</v>
      </c>
      <c r="B4179" s="15">
        <v>0.99</v>
      </c>
      <c r="C4179" s="15">
        <v>2.79</v>
      </c>
      <c r="D4179" s="15">
        <v>2.56</v>
      </c>
      <c r="E4179" s="15">
        <v>2.5</v>
      </c>
      <c r="F4179" s="15">
        <f t="shared" si="1"/>
        <v>1.8</v>
      </c>
      <c r="G4179" s="15">
        <f t="shared" si="2"/>
        <v>2.79</v>
      </c>
      <c r="H4179" s="16">
        <v>0.0</v>
      </c>
      <c r="I4179" s="15">
        <f t="shared" si="3"/>
        <v>1.8</v>
      </c>
      <c r="J4179" s="15">
        <v>20.59</v>
      </c>
      <c r="K4179" s="16">
        <f>IF(COUNTIFS(Release_Calendar!$A$2:$A$755,"US_CPI",Release_Calendar!$B$2:$B$755,$A4179)&gt;0,1,0)</f>
        <v>0</v>
      </c>
      <c r="L4179" s="16">
        <f>IF(COUNTIFS(Release_Calendar!$A$2:$A$755,"US_NFP",Release_Calendar!$B$2:$B$755,$A4179)&gt;0,1,0)</f>
        <v>0</v>
      </c>
      <c r="M4179" s="16" t="str">
        <f>IF($A4179&lt;Notes!$B$5,"",IF(COUNTIFS(Release_Calendar!$A$2:$A$755,"NZ_CPI",Release_Calendar!$B$2:$B$755,$A4179)&gt;0,1,0))</f>
        <v/>
      </c>
      <c r="N4179" s="16" t="str">
        <f>IF($A4179&lt;Notes!$B$5,"",IF(COUNTIFS(Release_Calendar!$A$2:$A$755,"NZ_GDP",Release_Calendar!$B$2:$B$755,$A4179)&gt;0,1,0))</f>
        <v/>
      </c>
      <c r="O4179" s="16" t="str">
        <f>IF($A4179&lt;Notes!$B$5,"",IF(COUNTIFS(Release_Calendar!$A$2:$A$755,"NZ_LABOUR",Release_Calendar!$B$2:$B$755,$A4179)&gt;0,1,0))</f>
        <v/>
      </c>
      <c r="P4179" s="16">
        <f t="shared" si="4"/>
        <v>0</v>
      </c>
    </row>
    <row r="4180" ht="15.75" customHeight="1">
      <c r="A4180" s="14">
        <v>42376.0</v>
      </c>
      <c r="B4180" s="15">
        <v>0.96</v>
      </c>
      <c r="C4180" s="15">
        <v>2.77</v>
      </c>
      <c r="D4180" s="15">
        <v>2.47</v>
      </c>
      <c r="E4180" s="15">
        <v>2.47</v>
      </c>
      <c r="F4180" s="15">
        <f t="shared" si="1"/>
        <v>1.81</v>
      </c>
      <c r="G4180" s="15">
        <f t="shared" si="2"/>
        <v>2.77</v>
      </c>
      <c r="H4180" s="16">
        <v>0.0</v>
      </c>
      <c r="I4180" s="15">
        <f t="shared" si="3"/>
        <v>1.81</v>
      </c>
      <c r="J4180" s="15">
        <v>24.99</v>
      </c>
      <c r="K4180" s="16">
        <f>IF(COUNTIFS(Release_Calendar!$A$2:$A$755,"US_CPI",Release_Calendar!$B$2:$B$755,$A4180)&gt;0,1,0)</f>
        <v>0</v>
      </c>
      <c r="L4180" s="16">
        <f>IF(COUNTIFS(Release_Calendar!$A$2:$A$755,"US_NFP",Release_Calendar!$B$2:$B$755,$A4180)&gt;0,1,0)</f>
        <v>0</v>
      </c>
      <c r="M4180" s="16" t="str">
        <f>IF($A4180&lt;Notes!$B$5,"",IF(COUNTIFS(Release_Calendar!$A$2:$A$755,"NZ_CPI",Release_Calendar!$B$2:$B$755,$A4180)&gt;0,1,0))</f>
        <v/>
      </c>
      <c r="N4180" s="16" t="str">
        <f>IF($A4180&lt;Notes!$B$5,"",IF(COUNTIFS(Release_Calendar!$A$2:$A$755,"NZ_GDP",Release_Calendar!$B$2:$B$755,$A4180)&gt;0,1,0))</f>
        <v/>
      </c>
      <c r="O4180" s="16" t="str">
        <f>IF($A4180&lt;Notes!$B$5,"",IF(COUNTIFS(Release_Calendar!$A$2:$A$755,"NZ_LABOUR",Release_Calendar!$B$2:$B$755,$A4180)&gt;0,1,0))</f>
        <v/>
      </c>
      <c r="P4180" s="16">
        <f t="shared" si="4"/>
        <v>0</v>
      </c>
    </row>
    <row r="4181" ht="15.75" customHeight="1">
      <c r="A4181" s="14">
        <v>42377.0</v>
      </c>
      <c r="B4181" s="15">
        <v>0.94</v>
      </c>
      <c r="C4181" s="15">
        <v>2.78</v>
      </c>
      <c r="D4181" s="15">
        <v>2.47</v>
      </c>
      <c r="E4181" s="15">
        <v>2.51</v>
      </c>
      <c r="F4181" s="15">
        <f t="shared" si="1"/>
        <v>1.84</v>
      </c>
      <c r="G4181" s="15">
        <f t="shared" si="2"/>
        <v>2.78</v>
      </c>
      <c r="H4181" s="16">
        <v>0.0</v>
      </c>
      <c r="I4181" s="15">
        <f t="shared" si="3"/>
        <v>1.84</v>
      </c>
      <c r="J4181" s="15">
        <v>27.01</v>
      </c>
      <c r="K4181" s="16">
        <f>IF(COUNTIFS(Release_Calendar!$A$2:$A$755,"US_CPI",Release_Calendar!$B$2:$B$755,$A4181)&gt;0,1,0)</f>
        <v>0</v>
      </c>
      <c r="L4181" s="16">
        <f>IF(COUNTIFS(Release_Calendar!$A$2:$A$755,"US_NFP",Release_Calendar!$B$2:$B$755,$A4181)&gt;0,1,0)</f>
        <v>1</v>
      </c>
      <c r="M4181" s="16" t="str">
        <f>IF($A4181&lt;Notes!$B$5,"",IF(COUNTIFS(Release_Calendar!$A$2:$A$755,"NZ_CPI",Release_Calendar!$B$2:$B$755,$A4181)&gt;0,1,0))</f>
        <v/>
      </c>
      <c r="N4181" s="16" t="str">
        <f>IF($A4181&lt;Notes!$B$5,"",IF(COUNTIFS(Release_Calendar!$A$2:$A$755,"NZ_GDP",Release_Calendar!$B$2:$B$755,$A4181)&gt;0,1,0))</f>
        <v/>
      </c>
      <c r="O4181" s="16" t="str">
        <f>IF($A4181&lt;Notes!$B$5,"",IF(COUNTIFS(Release_Calendar!$A$2:$A$755,"NZ_LABOUR",Release_Calendar!$B$2:$B$755,$A4181)&gt;0,1,0))</f>
        <v/>
      </c>
      <c r="P4181" s="16">
        <f t="shared" si="4"/>
        <v>1</v>
      </c>
    </row>
    <row r="4182" ht="15.75" customHeight="1">
      <c r="A4182" s="14">
        <v>42380.0</v>
      </c>
      <c r="B4182" s="15">
        <v>0.94</v>
      </c>
      <c r="C4182" s="15">
        <v>2.75</v>
      </c>
      <c r="D4182" s="15">
        <v>2.49</v>
      </c>
      <c r="E4182" s="15">
        <v>2.48</v>
      </c>
      <c r="F4182" s="15">
        <f t="shared" si="1"/>
        <v>1.81</v>
      </c>
      <c r="G4182" s="15">
        <f t="shared" si="2"/>
        <v>2.75</v>
      </c>
      <c r="H4182" s="16">
        <v>0.0</v>
      </c>
      <c r="I4182" s="15">
        <f t="shared" si="3"/>
        <v>1.81</v>
      </c>
      <c r="J4182" s="15">
        <v>24.3</v>
      </c>
      <c r="K4182" s="16">
        <f>IF(COUNTIFS(Release_Calendar!$A$2:$A$755,"US_CPI",Release_Calendar!$B$2:$B$755,$A4182)&gt;0,1,0)</f>
        <v>0</v>
      </c>
      <c r="L4182" s="16">
        <f>IF(COUNTIFS(Release_Calendar!$A$2:$A$755,"US_NFP",Release_Calendar!$B$2:$B$755,$A4182)&gt;0,1,0)</f>
        <v>0</v>
      </c>
      <c r="M4182" s="16" t="str">
        <f>IF($A4182&lt;Notes!$B$5,"",IF(COUNTIFS(Release_Calendar!$A$2:$A$755,"NZ_CPI",Release_Calendar!$B$2:$B$755,$A4182)&gt;0,1,0))</f>
        <v/>
      </c>
      <c r="N4182" s="16" t="str">
        <f>IF($A4182&lt;Notes!$B$5,"",IF(COUNTIFS(Release_Calendar!$A$2:$A$755,"NZ_GDP",Release_Calendar!$B$2:$B$755,$A4182)&gt;0,1,0))</f>
        <v/>
      </c>
      <c r="O4182" s="16" t="str">
        <f>IF($A4182&lt;Notes!$B$5,"",IF(COUNTIFS(Release_Calendar!$A$2:$A$755,"NZ_LABOUR",Release_Calendar!$B$2:$B$755,$A4182)&gt;0,1,0))</f>
        <v/>
      </c>
      <c r="P4182" s="16">
        <f t="shared" si="4"/>
        <v>0</v>
      </c>
    </row>
    <row r="4183" ht="15.75" customHeight="1">
      <c r="A4183" s="14">
        <v>42381.0</v>
      </c>
      <c r="B4183" s="15">
        <v>0.93</v>
      </c>
      <c r="C4183" s="15">
        <v>2.75</v>
      </c>
      <c r="D4183" s="15">
        <v>2.52</v>
      </c>
      <c r="E4183" s="15">
        <v>2.49</v>
      </c>
      <c r="F4183" s="15">
        <f t="shared" si="1"/>
        <v>1.82</v>
      </c>
      <c r="G4183" s="15">
        <f t="shared" si="2"/>
        <v>2.75</v>
      </c>
      <c r="H4183" s="16">
        <v>0.0</v>
      </c>
      <c r="I4183" s="15">
        <f t="shared" si="3"/>
        <v>1.82</v>
      </c>
      <c r="J4183" s="15">
        <v>22.47</v>
      </c>
      <c r="K4183" s="16">
        <f>IF(COUNTIFS(Release_Calendar!$A$2:$A$755,"US_CPI",Release_Calendar!$B$2:$B$755,$A4183)&gt;0,1,0)</f>
        <v>0</v>
      </c>
      <c r="L4183" s="16">
        <f>IF(COUNTIFS(Release_Calendar!$A$2:$A$755,"US_NFP",Release_Calendar!$B$2:$B$755,$A4183)&gt;0,1,0)</f>
        <v>0</v>
      </c>
      <c r="M4183" s="16" t="str">
        <f>IF($A4183&lt;Notes!$B$5,"",IF(COUNTIFS(Release_Calendar!$A$2:$A$755,"NZ_CPI",Release_Calendar!$B$2:$B$755,$A4183)&gt;0,1,0))</f>
        <v/>
      </c>
      <c r="N4183" s="16" t="str">
        <f>IF($A4183&lt;Notes!$B$5,"",IF(COUNTIFS(Release_Calendar!$A$2:$A$755,"NZ_GDP",Release_Calendar!$B$2:$B$755,$A4183)&gt;0,1,0))</f>
        <v/>
      </c>
      <c r="O4183" s="16" t="str">
        <f>IF($A4183&lt;Notes!$B$5,"",IF(COUNTIFS(Release_Calendar!$A$2:$A$755,"NZ_LABOUR",Release_Calendar!$B$2:$B$755,$A4183)&gt;0,1,0))</f>
        <v/>
      </c>
      <c r="P4183" s="16">
        <f t="shared" si="4"/>
        <v>0</v>
      </c>
    </row>
    <row r="4184" ht="15.75" customHeight="1">
      <c r="A4184" s="14">
        <v>42382.0</v>
      </c>
      <c r="B4184" s="15">
        <v>0.91</v>
      </c>
      <c r="C4184" s="15">
        <v>2.75</v>
      </c>
      <c r="D4184" s="15">
        <v>2.47</v>
      </c>
      <c r="E4184" s="15">
        <v>2.47</v>
      </c>
      <c r="F4184" s="15">
        <f t="shared" si="1"/>
        <v>1.84</v>
      </c>
      <c r="G4184" s="15">
        <f t="shared" si="2"/>
        <v>2.75</v>
      </c>
      <c r="H4184" s="16">
        <v>0.0</v>
      </c>
      <c r="I4184" s="15">
        <f t="shared" si="3"/>
        <v>1.84</v>
      </c>
      <c r="J4184" s="15">
        <v>25.22</v>
      </c>
      <c r="K4184" s="16">
        <f>IF(COUNTIFS(Release_Calendar!$A$2:$A$755,"US_CPI",Release_Calendar!$B$2:$B$755,$A4184)&gt;0,1,0)</f>
        <v>0</v>
      </c>
      <c r="L4184" s="16">
        <f>IF(COUNTIFS(Release_Calendar!$A$2:$A$755,"US_NFP",Release_Calendar!$B$2:$B$755,$A4184)&gt;0,1,0)</f>
        <v>0</v>
      </c>
      <c r="M4184" s="16" t="str">
        <f>IF($A4184&lt;Notes!$B$5,"",IF(COUNTIFS(Release_Calendar!$A$2:$A$755,"NZ_CPI",Release_Calendar!$B$2:$B$755,$A4184)&gt;0,1,0))</f>
        <v/>
      </c>
      <c r="N4184" s="16" t="str">
        <f>IF($A4184&lt;Notes!$B$5,"",IF(COUNTIFS(Release_Calendar!$A$2:$A$755,"NZ_GDP",Release_Calendar!$B$2:$B$755,$A4184)&gt;0,1,0))</f>
        <v/>
      </c>
      <c r="O4184" s="16" t="str">
        <f>IF($A4184&lt;Notes!$B$5,"",IF(COUNTIFS(Release_Calendar!$A$2:$A$755,"NZ_LABOUR",Release_Calendar!$B$2:$B$755,$A4184)&gt;0,1,0))</f>
        <v/>
      </c>
      <c r="P4184" s="16">
        <f t="shared" si="4"/>
        <v>0</v>
      </c>
    </row>
    <row r="4185" ht="15.75" customHeight="1">
      <c r="A4185" s="14">
        <v>42383.0</v>
      </c>
      <c r="B4185" s="15">
        <v>0.9</v>
      </c>
      <c r="C4185" s="15">
        <v>2.73</v>
      </c>
      <c r="D4185" s="15">
        <v>2.43</v>
      </c>
      <c r="E4185" s="15">
        <v>2.42</v>
      </c>
      <c r="F4185" s="15">
        <f t="shared" si="1"/>
        <v>1.83</v>
      </c>
      <c r="G4185" s="15">
        <f t="shared" si="2"/>
        <v>2.73</v>
      </c>
      <c r="H4185" s="16">
        <v>0.0</v>
      </c>
      <c r="I4185" s="15">
        <f t="shared" si="3"/>
        <v>1.83</v>
      </c>
      <c r="J4185" s="15">
        <v>23.95</v>
      </c>
      <c r="K4185" s="16">
        <f>IF(COUNTIFS(Release_Calendar!$A$2:$A$755,"US_CPI",Release_Calendar!$B$2:$B$755,$A4185)&gt;0,1,0)</f>
        <v>0</v>
      </c>
      <c r="L4185" s="16">
        <f>IF(COUNTIFS(Release_Calendar!$A$2:$A$755,"US_NFP",Release_Calendar!$B$2:$B$755,$A4185)&gt;0,1,0)</f>
        <v>0</v>
      </c>
      <c r="M4185" s="16" t="str">
        <f>IF($A4185&lt;Notes!$B$5,"",IF(COUNTIFS(Release_Calendar!$A$2:$A$755,"NZ_CPI",Release_Calendar!$B$2:$B$755,$A4185)&gt;0,1,0))</f>
        <v/>
      </c>
      <c r="N4185" s="16" t="str">
        <f>IF($A4185&lt;Notes!$B$5,"",IF(COUNTIFS(Release_Calendar!$A$2:$A$755,"NZ_GDP",Release_Calendar!$B$2:$B$755,$A4185)&gt;0,1,0))</f>
        <v/>
      </c>
      <c r="O4185" s="16" t="str">
        <f>IF($A4185&lt;Notes!$B$5,"",IF(COUNTIFS(Release_Calendar!$A$2:$A$755,"NZ_LABOUR",Release_Calendar!$B$2:$B$755,$A4185)&gt;0,1,0))</f>
        <v/>
      </c>
      <c r="P4185" s="16">
        <f t="shared" si="4"/>
        <v>0</v>
      </c>
    </row>
    <row r="4186" ht="15.75" customHeight="1">
      <c r="A4186" s="14">
        <v>42384.0</v>
      </c>
      <c r="B4186" s="15">
        <v>0.85</v>
      </c>
      <c r="C4186" s="15">
        <v>2.74</v>
      </c>
      <c r="D4186" s="15">
        <v>2.43</v>
      </c>
      <c r="E4186" s="15">
        <v>2.45</v>
      </c>
      <c r="F4186" s="15">
        <f t="shared" si="1"/>
        <v>1.89</v>
      </c>
      <c r="G4186" s="15">
        <f t="shared" si="2"/>
        <v>2.74</v>
      </c>
      <c r="H4186" s="16">
        <v>0.0</v>
      </c>
      <c r="I4186" s="15">
        <f t="shared" si="3"/>
        <v>1.89</v>
      </c>
      <c r="J4186" s="15">
        <v>27.02</v>
      </c>
      <c r="K4186" s="16">
        <f>IF(COUNTIFS(Release_Calendar!$A$2:$A$755,"US_CPI",Release_Calendar!$B$2:$B$755,$A4186)&gt;0,1,0)</f>
        <v>0</v>
      </c>
      <c r="L4186" s="16">
        <f>IF(COUNTIFS(Release_Calendar!$A$2:$A$755,"US_NFP",Release_Calendar!$B$2:$B$755,$A4186)&gt;0,1,0)</f>
        <v>0</v>
      </c>
      <c r="M4186" s="16" t="str">
        <f>IF($A4186&lt;Notes!$B$5,"",IF(COUNTIFS(Release_Calendar!$A$2:$A$755,"NZ_CPI",Release_Calendar!$B$2:$B$755,$A4186)&gt;0,1,0))</f>
        <v/>
      </c>
      <c r="N4186" s="16" t="str">
        <f>IF($A4186&lt;Notes!$B$5,"",IF(COUNTIFS(Release_Calendar!$A$2:$A$755,"NZ_GDP",Release_Calendar!$B$2:$B$755,$A4186)&gt;0,1,0))</f>
        <v/>
      </c>
      <c r="O4186" s="16" t="str">
        <f>IF($A4186&lt;Notes!$B$5,"",IF(COUNTIFS(Release_Calendar!$A$2:$A$755,"NZ_LABOUR",Release_Calendar!$B$2:$B$755,$A4186)&gt;0,1,0))</f>
        <v/>
      </c>
      <c r="P4186" s="16">
        <f t="shared" si="4"/>
        <v>0</v>
      </c>
    </row>
    <row r="4187" ht="15.75" customHeight="1">
      <c r="A4187" s="14">
        <v>42387.0</v>
      </c>
      <c r="B4187" s="15"/>
      <c r="C4187" s="15">
        <v>2.7</v>
      </c>
      <c r="D4187" s="15">
        <v>2.4</v>
      </c>
      <c r="E4187" s="15">
        <v>2.41</v>
      </c>
      <c r="F4187" s="15" t="str">
        <f t="shared" si="1"/>
        <v/>
      </c>
      <c r="G4187" s="15">
        <f t="shared" si="2"/>
        <v>2.7</v>
      </c>
      <c r="H4187" s="16">
        <v>0.0</v>
      </c>
      <c r="I4187" s="15" t="str">
        <f t="shared" si="3"/>
        <v/>
      </c>
      <c r="J4187" s="15"/>
      <c r="K4187" s="16">
        <f>IF(COUNTIFS(Release_Calendar!$A$2:$A$755,"US_CPI",Release_Calendar!$B$2:$B$755,$A4187)&gt;0,1,0)</f>
        <v>0</v>
      </c>
      <c r="L4187" s="16">
        <f>IF(COUNTIFS(Release_Calendar!$A$2:$A$755,"US_NFP",Release_Calendar!$B$2:$B$755,$A4187)&gt;0,1,0)</f>
        <v>0</v>
      </c>
      <c r="M4187" s="16" t="str">
        <f>IF($A4187&lt;Notes!$B$5,"",IF(COUNTIFS(Release_Calendar!$A$2:$A$755,"NZ_CPI",Release_Calendar!$B$2:$B$755,$A4187)&gt;0,1,0))</f>
        <v/>
      </c>
      <c r="N4187" s="16" t="str">
        <f>IF($A4187&lt;Notes!$B$5,"",IF(COUNTIFS(Release_Calendar!$A$2:$A$755,"NZ_GDP",Release_Calendar!$B$2:$B$755,$A4187)&gt;0,1,0))</f>
        <v/>
      </c>
      <c r="O4187" s="16" t="str">
        <f>IF($A4187&lt;Notes!$B$5,"",IF(COUNTIFS(Release_Calendar!$A$2:$A$755,"NZ_LABOUR",Release_Calendar!$B$2:$B$755,$A4187)&gt;0,1,0))</f>
        <v/>
      </c>
      <c r="P4187" s="16">
        <f t="shared" si="4"/>
        <v>0</v>
      </c>
    </row>
    <row r="4188" ht="15.75" customHeight="1">
      <c r="A4188" s="14">
        <v>42388.0</v>
      </c>
      <c r="B4188" s="15">
        <v>0.88</v>
      </c>
      <c r="C4188" s="15">
        <v>2.68</v>
      </c>
      <c r="D4188" s="15">
        <v>2.41</v>
      </c>
      <c r="E4188" s="15">
        <v>2.42</v>
      </c>
      <c r="F4188" s="15">
        <f t="shared" si="1"/>
        <v>1.8</v>
      </c>
      <c r="G4188" s="15">
        <f t="shared" si="2"/>
        <v>2.68</v>
      </c>
      <c r="H4188" s="16">
        <v>0.0</v>
      </c>
      <c r="I4188" s="15">
        <f t="shared" si="3"/>
        <v>1.8</v>
      </c>
      <c r="J4188" s="15">
        <v>26.05</v>
      </c>
      <c r="K4188" s="16">
        <f>IF(COUNTIFS(Release_Calendar!$A$2:$A$755,"US_CPI",Release_Calendar!$B$2:$B$755,$A4188)&gt;0,1,0)</f>
        <v>0</v>
      </c>
      <c r="L4188" s="16">
        <f>IF(COUNTIFS(Release_Calendar!$A$2:$A$755,"US_NFP",Release_Calendar!$B$2:$B$755,$A4188)&gt;0,1,0)</f>
        <v>0</v>
      </c>
      <c r="M4188" s="16" t="str">
        <f>IF($A4188&lt;Notes!$B$5,"",IF(COUNTIFS(Release_Calendar!$A$2:$A$755,"NZ_CPI",Release_Calendar!$B$2:$B$755,$A4188)&gt;0,1,0))</f>
        <v/>
      </c>
      <c r="N4188" s="16" t="str">
        <f>IF($A4188&lt;Notes!$B$5,"",IF(COUNTIFS(Release_Calendar!$A$2:$A$755,"NZ_GDP",Release_Calendar!$B$2:$B$755,$A4188)&gt;0,1,0))</f>
        <v/>
      </c>
      <c r="O4188" s="16" t="str">
        <f>IF($A4188&lt;Notes!$B$5,"",IF(COUNTIFS(Release_Calendar!$A$2:$A$755,"NZ_LABOUR",Release_Calendar!$B$2:$B$755,$A4188)&gt;0,1,0))</f>
        <v/>
      </c>
      <c r="P4188" s="16">
        <f t="shared" si="4"/>
        <v>0</v>
      </c>
    </row>
    <row r="4189" ht="15.75" customHeight="1">
      <c r="A4189" s="14">
        <v>42389.0</v>
      </c>
      <c r="B4189" s="15">
        <v>0.85</v>
      </c>
      <c r="C4189" s="15">
        <v>2.59</v>
      </c>
      <c r="D4189" s="15">
        <v>2.4</v>
      </c>
      <c r="E4189" s="15">
        <v>2.32</v>
      </c>
      <c r="F4189" s="15">
        <f t="shared" si="1"/>
        <v>1.74</v>
      </c>
      <c r="G4189" s="15">
        <f t="shared" si="2"/>
        <v>2.59</v>
      </c>
      <c r="H4189" s="16">
        <v>0.0</v>
      </c>
      <c r="I4189" s="15">
        <f t="shared" si="3"/>
        <v>1.74</v>
      </c>
      <c r="J4189" s="15">
        <v>27.59</v>
      </c>
      <c r="K4189" s="16">
        <f>IF(COUNTIFS(Release_Calendar!$A$2:$A$755,"US_CPI",Release_Calendar!$B$2:$B$755,$A4189)&gt;0,1,0)</f>
        <v>1</v>
      </c>
      <c r="L4189" s="16">
        <f>IF(COUNTIFS(Release_Calendar!$A$2:$A$755,"US_NFP",Release_Calendar!$B$2:$B$755,$A4189)&gt;0,1,0)</f>
        <v>0</v>
      </c>
      <c r="M4189" s="16" t="str">
        <f>IF($A4189&lt;Notes!$B$5,"",IF(COUNTIFS(Release_Calendar!$A$2:$A$755,"NZ_CPI",Release_Calendar!$B$2:$B$755,$A4189)&gt;0,1,0))</f>
        <v/>
      </c>
      <c r="N4189" s="16" t="str">
        <f>IF($A4189&lt;Notes!$B$5,"",IF(COUNTIFS(Release_Calendar!$A$2:$A$755,"NZ_GDP",Release_Calendar!$B$2:$B$755,$A4189)&gt;0,1,0))</f>
        <v/>
      </c>
      <c r="O4189" s="16" t="str">
        <f>IF($A4189&lt;Notes!$B$5,"",IF(COUNTIFS(Release_Calendar!$A$2:$A$755,"NZ_LABOUR",Release_Calendar!$B$2:$B$755,$A4189)&gt;0,1,0))</f>
        <v/>
      </c>
      <c r="P4189" s="16">
        <f t="shared" si="4"/>
        <v>1</v>
      </c>
    </row>
    <row r="4190" ht="15.75" customHeight="1">
      <c r="A4190" s="14">
        <v>42390.0</v>
      </c>
      <c r="B4190" s="15">
        <v>0.84</v>
      </c>
      <c r="C4190" s="15">
        <v>2.65</v>
      </c>
      <c r="D4190" s="15">
        <v>2.32</v>
      </c>
      <c r="E4190" s="15">
        <v>2.36</v>
      </c>
      <c r="F4190" s="15">
        <f t="shared" si="1"/>
        <v>1.81</v>
      </c>
      <c r="G4190" s="15">
        <f t="shared" si="2"/>
        <v>2.65</v>
      </c>
      <c r="H4190" s="16">
        <v>0.0</v>
      </c>
      <c r="I4190" s="15">
        <f t="shared" si="3"/>
        <v>1.81</v>
      </c>
      <c r="J4190" s="15">
        <v>26.69</v>
      </c>
      <c r="K4190" s="16">
        <f>IF(COUNTIFS(Release_Calendar!$A$2:$A$755,"US_CPI",Release_Calendar!$B$2:$B$755,$A4190)&gt;0,1,0)</f>
        <v>0</v>
      </c>
      <c r="L4190" s="16">
        <f>IF(COUNTIFS(Release_Calendar!$A$2:$A$755,"US_NFP",Release_Calendar!$B$2:$B$755,$A4190)&gt;0,1,0)</f>
        <v>0</v>
      </c>
      <c r="M4190" s="16" t="str">
        <f>IF($A4190&lt;Notes!$B$5,"",IF(COUNTIFS(Release_Calendar!$A$2:$A$755,"NZ_CPI",Release_Calendar!$B$2:$B$755,$A4190)&gt;0,1,0))</f>
        <v/>
      </c>
      <c r="N4190" s="16" t="str">
        <f>IF($A4190&lt;Notes!$B$5,"",IF(COUNTIFS(Release_Calendar!$A$2:$A$755,"NZ_GDP",Release_Calendar!$B$2:$B$755,$A4190)&gt;0,1,0))</f>
        <v/>
      </c>
      <c r="O4190" s="16" t="str">
        <f>IF($A4190&lt;Notes!$B$5,"",IF(COUNTIFS(Release_Calendar!$A$2:$A$755,"NZ_LABOUR",Release_Calendar!$B$2:$B$755,$A4190)&gt;0,1,0))</f>
        <v/>
      </c>
      <c r="P4190" s="16">
        <f t="shared" si="4"/>
        <v>0</v>
      </c>
    </row>
    <row r="4191" ht="15.75" customHeight="1">
      <c r="A4191" s="14">
        <v>42391.0</v>
      </c>
      <c r="B4191" s="15">
        <v>0.88</v>
      </c>
      <c r="C4191" s="15">
        <v>2.67</v>
      </c>
      <c r="D4191" s="15">
        <v>2.36</v>
      </c>
      <c r="E4191" s="15">
        <v>2.37</v>
      </c>
      <c r="F4191" s="15">
        <f t="shared" si="1"/>
        <v>1.79</v>
      </c>
      <c r="G4191" s="15">
        <f t="shared" si="2"/>
        <v>2.67</v>
      </c>
      <c r="H4191" s="16">
        <v>0.0</v>
      </c>
      <c r="I4191" s="15">
        <f t="shared" si="3"/>
        <v>1.79</v>
      </c>
      <c r="J4191" s="15">
        <v>22.34</v>
      </c>
      <c r="K4191" s="16">
        <f>IF(COUNTIFS(Release_Calendar!$A$2:$A$755,"US_CPI",Release_Calendar!$B$2:$B$755,$A4191)&gt;0,1,0)</f>
        <v>0</v>
      </c>
      <c r="L4191" s="16">
        <f>IF(COUNTIFS(Release_Calendar!$A$2:$A$755,"US_NFP",Release_Calendar!$B$2:$B$755,$A4191)&gt;0,1,0)</f>
        <v>0</v>
      </c>
      <c r="M4191" s="16" t="str">
        <f>IF($A4191&lt;Notes!$B$5,"",IF(COUNTIFS(Release_Calendar!$A$2:$A$755,"NZ_CPI",Release_Calendar!$B$2:$B$755,$A4191)&gt;0,1,0))</f>
        <v/>
      </c>
      <c r="N4191" s="16" t="str">
        <f>IF($A4191&lt;Notes!$B$5,"",IF(COUNTIFS(Release_Calendar!$A$2:$A$755,"NZ_GDP",Release_Calendar!$B$2:$B$755,$A4191)&gt;0,1,0))</f>
        <v/>
      </c>
      <c r="O4191" s="16" t="str">
        <f>IF($A4191&lt;Notes!$B$5,"",IF(COUNTIFS(Release_Calendar!$A$2:$A$755,"NZ_LABOUR",Release_Calendar!$B$2:$B$755,$A4191)&gt;0,1,0))</f>
        <v/>
      </c>
      <c r="P4191" s="16">
        <f t="shared" si="4"/>
        <v>0</v>
      </c>
    </row>
    <row r="4192" ht="15.75" customHeight="1">
      <c r="A4192" s="14">
        <v>42394.0</v>
      </c>
      <c r="B4192" s="15">
        <v>0.88</v>
      </c>
      <c r="C4192" s="15">
        <v>2.67</v>
      </c>
      <c r="D4192" s="15">
        <v>2.37</v>
      </c>
      <c r="E4192" s="15">
        <v>2.37</v>
      </c>
      <c r="F4192" s="15">
        <f t="shared" si="1"/>
        <v>1.79</v>
      </c>
      <c r="G4192" s="15">
        <f t="shared" si="2"/>
        <v>2.67</v>
      </c>
      <c r="H4192" s="16">
        <v>0.0</v>
      </c>
      <c r="I4192" s="15">
        <f t="shared" si="3"/>
        <v>1.79</v>
      </c>
      <c r="J4192" s="15">
        <v>24.15</v>
      </c>
      <c r="K4192" s="16">
        <f>IF(COUNTIFS(Release_Calendar!$A$2:$A$755,"US_CPI",Release_Calendar!$B$2:$B$755,$A4192)&gt;0,1,0)</f>
        <v>0</v>
      </c>
      <c r="L4192" s="16">
        <f>IF(COUNTIFS(Release_Calendar!$A$2:$A$755,"US_NFP",Release_Calendar!$B$2:$B$755,$A4192)&gt;0,1,0)</f>
        <v>0</v>
      </c>
      <c r="M4192" s="16" t="str">
        <f>IF($A4192&lt;Notes!$B$5,"",IF(COUNTIFS(Release_Calendar!$A$2:$A$755,"NZ_CPI",Release_Calendar!$B$2:$B$755,$A4192)&gt;0,1,0))</f>
        <v/>
      </c>
      <c r="N4192" s="16" t="str">
        <f>IF($A4192&lt;Notes!$B$5,"",IF(COUNTIFS(Release_Calendar!$A$2:$A$755,"NZ_GDP",Release_Calendar!$B$2:$B$755,$A4192)&gt;0,1,0))</f>
        <v/>
      </c>
      <c r="O4192" s="16" t="str">
        <f>IF($A4192&lt;Notes!$B$5,"",IF(COUNTIFS(Release_Calendar!$A$2:$A$755,"NZ_LABOUR",Release_Calendar!$B$2:$B$755,$A4192)&gt;0,1,0))</f>
        <v/>
      </c>
      <c r="P4192" s="16">
        <f t="shared" si="4"/>
        <v>0</v>
      </c>
    </row>
    <row r="4193" ht="15.75" customHeight="1">
      <c r="A4193" s="14">
        <v>42395.0</v>
      </c>
      <c r="B4193" s="15">
        <v>0.85</v>
      </c>
      <c r="C4193" s="15">
        <v>2.65</v>
      </c>
      <c r="D4193" s="15">
        <v>2.39</v>
      </c>
      <c r="E4193" s="15">
        <v>2.41</v>
      </c>
      <c r="F4193" s="15">
        <f t="shared" si="1"/>
        <v>1.8</v>
      </c>
      <c r="G4193" s="15">
        <f t="shared" si="2"/>
        <v>2.65</v>
      </c>
      <c r="H4193" s="16">
        <v>0.0</v>
      </c>
      <c r="I4193" s="15">
        <f t="shared" si="3"/>
        <v>1.8</v>
      </c>
      <c r="J4193" s="15">
        <v>22.5</v>
      </c>
      <c r="K4193" s="16">
        <f>IF(COUNTIFS(Release_Calendar!$A$2:$A$755,"US_CPI",Release_Calendar!$B$2:$B$755,$A4193)&gt;0,1,0)</f>
        <v>0</v>
      </c>
      <c r="L4193" s="16">
        <f>IF(COUNTIFS(Release_Calendar!$A$2:$A$755,"US_NFP",Release_Calendar!$B$2:$B$755,$A4193)&gt;0,1,0)</f>
        <v>0</v>
      </c>
      <c r="M4193" s="16" t="str">
        <f>IF($A4193&lt;Notes!$B$5,"",IF(COUNTIFS(Release_Calendar!$A$2:$A$755,"NZ_CPI",Release_Calendar!$B$2:$B$755,$A4193)&gt;0,1,0))</f>
        <v/>
      </c>
      <c r="N4193" s="16" t="str">
        <f>IF($A4193&lt;Notes!$B$5,"",IF(COUNTIFS(Release_Calendar!$A$2:$A$755,"NZ_GDP",Release_Calendar!$B$2:$B$755,$A4193)&gt;0,1,0))</f>
        <v/>
      </c>
      <c r="O4193" s="16" t="str">
        <f>IF($A4193&lt;Notes!$B$5,"",IF(COUNTIFS(Release_Calendar!$A$2:$A$755,"NZ_LABOUR",Release_Calendar!$B$2:$B$755,$A4193)&gt;0,1,0))</f>
        <v/>
      </c>
      <c r="P4193" s="16">
        <f t="shared" si="4"/>
        <v>0</v>
      </c>
    </row>
    <row r="4194" ht="15.75" customHeight="1">
      <c r="A4194" s="14">
        <v>42396.0</v>
      </c>
      <c r="B4194" s="15">
        <v>0.84</v>
      </c>
      <c r="C4194" s="15">
        <v>2.65</v>
      </c>
      <c r="D4194" s="15">
        <v>2.41</v>
      </c>
      <c r="E4194" s="15">
        <v>2.42</v>
      </c>
      <c r="F4194" s="15">
        <f t="shared" si="1"/>
        <v>1.81</v>
      </c>
      <c r="G4194" s="15">
        <f t="shared" si="2"/>
        <v>2.65</v>
      </c>
      <c r="H4194" s="16">
        <v>0.0</v>
      </c>
      <c r="I4194" s="15">
        <f t="shared" si="3"/>
        <v>1.81</v>
      </c>
      <c r="J4194" s="15">
        <v>23.11</v>
      </c>
      <c r="K4194" s="16">
        <f>IF(COUNTIFS(Release_Calendar!$A$2:$A$755,"US_CPI",Release_Calendar!$B$2:$B$755,$A4194)&gt;0,1,0)</f>
        <v>0</v>
      </c>
      <c r="L4194" s="16">
        <f>IF(COUNTIFS(Release_Calendar!$A$2:$A$755,"US_NFP",Release_Calendar!$B$2:$B$755,$A4194)&gt;0,1,0)</f>
        <v>0</v>
      </c>
      <c r="M4194" s="16" t="str">
        <f>IF($A4194&lt;Notes!$B$5,"",IF(COUNTIFS(Release_Calendar!$A$2:$A$755,"NZ_CPI",Release_Calendar!$B$2:$B$755,$A4194)&gt;0,1,0))</f>
        <v/>
      </c>
      <c r="N4194" s="16" t="str">
        <f>IF($A4194&lt;Notes!$B$5,"",IF(COUNTIFS(Release_Calendar!$A$2:$A$755,"NZ_GDP",Release_Calendar!$B$2:$B$755,$A4194)&gt;0,1,0))</f>
        <v/>
      </c>
      <c r="O4194" s="16" t="str">
        <f>IF($A4194&lt;Notes!$B$5,"",IF(COUNTIFS(Release_Calendar!$A$2:$A$755,"NZ_LABOUR",Release_Calendar!$B$2:$B$755,$A4194)&gt;0,1,0))</f>
        <v/>
      </c>
      <c r="P4194" s="16">
        <f t="shared" si="4"/>
        <v>0</v>
      </c>
    </row>
    <row r="4195" ht="15.75" customHeight="1">
      <c r="A4195" s="14">
        <v>42397.0</v>
      </c>
      <c r="B4195" s="15">
        <v>0.83</v>
      </c>
      <c r="C4195" s="15">
        <v>2.63</v>
      </c>
      <c r="D4195" s="15">
        <v>2.4</v>
      </c>
      <c r="E4195" s="15">
        <v>2.41</v>
      </c>
      <c r="F4195" s="15">
        <f t="shared" si="1"/>
        <v>1.8</v>
      </c>
      <c r="G4195" s="15">
        <f t="shared" si="2"/>
        <v>2.63</v>
      </c>
      <c r="H4195" s="16">
        <v>0.0</v>
      </c>
      <c r="I4195" s="15">
        <f t="shared" si="3"/>
        <v>1.8</v>
      </c>
      <c r="J4195" s="15">
        <v>22.42</v>
      </c>
      <c r="K4195" s="16">
        <f>IF(COUNTIFS(Release_Calendar!$A$2:$A$755,"US_CPI",Release_Calendar!$B$2:$B$755,$A4195)&gt;0,1,0)</f>
        <v>0</v>
      </c>
      <c r="L4195" s="16">
        <f>IF(COUNTIFS(Release_Calendar!$A$2:$A$755,"US_NFP",Release_Calendar!$B$2:$B$755,$A4195)&gt;0,1,0)</f>
        <v>0</v>
      </c>
      <c r="M4195" s="16" t="str">
        <f>IF($A4195&lt;Notes!$B$5,"",IF(COUNTIFS(Release_Calendar!$A$2:$A$755,"NZ_CPI",Release_Calendar!$B$2:$B$755,$A4195)&gt;0,1,0))</f>
        <v/>
      </c>
      <c r="N4195" s="16" t="str">
        <f>IF($A4195&lt;Notes!$B$5,"",IF(COUNTIFS(Release_Calendar!$A$2:$A$755,"NZ_GDP",Release_Calendar!$B$2:$B$755,$A4195)&gt;0,1,0))</f>
        <v/>
      </c>
      <c r="O4195" s="16" t="str">
        <f>IF($A4195&lt;Notes!$B$5,"",IF(COUNTIFS(Release_Calendar!$A$2:$A$755,"NZ_LABOUR",Release_Calendar!$B$2:$B$755,$A4195)&gt;0,1,0))</f>
        <v/>
      </c>
      <c r="P4195" s="16">
        <f t="shared" si="4"/>
        <v>0</v>
      </c>
    </row>
    <row r="4196" ht="15.75" customHeight="1">
      <c r="A4196" s="14">
        <v>42398.0</v>
      </c>
      <c r="B4196" s="15">
        <v>0.76</v>
      </c>
      <c r="C4196" s="15">
        <v>2.62</v>
      </c>
      <c r="D4196" s="15">
        <v>2.42</v>
      </c>
      <c r="E4196" s="15">
        <v>2.4</v>
      </c>
      <c r="F4196" s="15">
        <f t="shared" si="1"/>
        <v>1.86</v>
      </c>
      <c r="G4196" s="15">
        <f t="shared" si="2"/>
        <v>2.62</v>
      </c>
      <c r="H4196" s="16">
        <v>0.0</v>
      </c>
      <c r="I4196" s="15">
        <f t="shared" si="3"/>
        <v>1.86</v>
      </c>
      <c r="J4196" s="15">
        <v>20.2</v>
      </c>
      <c r="K4196" s="16">
        <f>IF(COUNTIFS(Release_Calendar!$A$2:$A$755,"US_CPI",Release_Calendar!$B$2:$B$755,$A4196)&gt;0,1,0)</f>
        <v>0</v>
      </c>
      <c r="L4196" s="16">
        <f>IF(COUNTIFS(Release_Calendar!$A$2:$A$755,"US_NFP",Release_Calendar!$B$2:$B$755,$A4196)&gt;0,1,0)</f>
        <v>0</v>
      </c>
      <c r="M4196" s="16" t="str">
        <f>IF($A4196&lt;Notes!$B$5,"",IF(COUNTIFS(Release_Calendar!$A$2:$A$755,"NZ_CPI",Release_Calendar!$B$2:$B$755,$A4196)&gt;0,1,0))</f>
        <v/>
      </c>
      <c r="N4196" s="16" t="str">
        <f>IF($A4196&lt;Notes!$B$5,"",IF(COUNTIFS(Release_Calendar!$A$2:$A$755,"NZ_GDP",Release_Calendar!$B$2:$B$755,$A4196)&gt;0,1,0))</f>
        <v/>
      </c>
      <c r="O4196" s="16" t="str">
        <f>IF($A4196&lt;Notes!$B$5,"",IF(COUNTIFS(Release_Calendar!$A$2:$A$755,"NZ_LABOUR",Release_Calendar!$B$2:$B$755,$A4196)&gt;0,1,0))</f>
        <v/>
      </c>
      <c r="P4196" s="16">
        <f t="shared" si="4"/>
        <v>0</v>
      </c>
    </row>
    <row r="4197" ht="15.75" customHeight="1">
      <c r="A4197" s="14">
        <v>42401.0</v>
      </c>
      <c r="B4197" s="15">
        <v>0.81</v>
      </c>
      <c r="C4197" s="15">
        <v>2.62</v>
      </c>
      <c r="D4197" s="15">
        <v>2.38</v>
      </c>
      <c r="E4197" s="15">
        <v>2.4</v>
      </c>
      <c r="F4197" s="15">
        <f t="shared" si="1"/>
        <v>1.81</v>
      </c>
      <c r="G4197" s="15">
        <f t="shared" si="2"/>
        <v>2.62</v>
      </c>
      <c r="H4197" s="16">
        <v>0.0</v>
      </c>
      <c r="I4197" s="15">
        <f t="shared" si="3"/>
        <v>1.81</v>
      </c>
      <c r="J4197" s="15">
        <v>19.98</v>
      </c>
      <c r="K4197" s="16">
        <f>IF(COUNTIFS(Release_Calendar!$A$2:$A$755,"US_CPI",Release_Calendar!$B$2:$B$755,$A4197)&gt;0,1,0)</f>
        <v>0</v>
      </c>
      <c r="L4197" s="16">
        <f>IF(COUNTIFS(Release_Calendar!$A$2:$A$755,"US_NFP",Release_Calendar!$B$2:$B$755,$A4197)&gt;0,1,0)</f>
        <v>0</v>
      </c>
      <c r="M4197" s="16" t="str">
        <f>IF($A4197&lt;Notes!$B$5,"",IF(COUNTIFS(Release_Calendar!$A$2:$A$755,"NZ_CPI",Release_Calendar!$B$2:$B$755,$A4197)&gt;0,1,0))</f>
        <v/>
      </c>
      <c r="N4197" s="16" t="str">
        <f>IF($A4197&lt;Notes!$B$5,"",IF(COUNTIFS(Release_Calendar!$A$2:$A$755,"NZ_GDP",Release_Calendar!$B$2:$B$755,$A4197)&gt;0,1,0))</f>
        <v/>
      </c>
      <c r="O4197" s="16" t="str">
        <f>IF($A4197&lt;Notes!$B$5,"",IF(COUNTIFS(Release_Calendar!$A$2:$A$755,"NZ_LABOUR",Release_Calendar!$B$2:$B$755,$A4197)&gt;0,1,0))</f>
        <v/>
      </c>
      <c r="P4197" s="16">
        <f t="shared" si="4"/>
        <v>0</v>
      </c>
    </row>
    <row r="4198" ht="15.75" customHeight="1">
      <c r="A4198" s="14">
        <v>42402.0</v>
      </c>
      <c r="B4198" s="15">
        <v>0.75</v>
      </c>
      <c r="C4198" s="15">
        <v>2.61</v>
      </c>
      <c r="D4198" s="15">
        <v>2.41</v>
      </c>
      <c r="E4198" s="15">
        <v>2.41</v>
      </c>
      <c r="F4198" s="15">
        <f t="shared" si="1"/>
        <v>1.86</v>
      </c>
      <c r="G4198" s="15">
        <f t="shared" si="2"/>
        <v>2.61</v>
      </c>
      <c r="H4198" s="16">
        <v>0.0</v>
      </c>
      <c r="I4198" s="15">
        <f t="shared" si="3"/>
        <v>1.86</v>
      </c>
      <c r="J4198" s="15">
        <v>21.98</v>
      </c>
      <c r="K4198" s="16">
        <f>IF(COUNTIFS(Release_Calendar!$A$2:$A$755,"US_CPI",Release_Calendar!$B$2:$B$755,$A4198)&gt;0,1,0)</f>
        <v>0</v>
      </c>
      <c r="L4198" s="16">
        <f>IF(COUNTIFS(Release_Calendar!$A$2:$A$755,"US_NFP",Release_Calendar!$B$2:$B$755,$A4198)&gt;0,1,0)</f>
        <v>0</v>
      </c>
      <c r="M4198" s="16" t="str">
        <f>IF($A4198&lt;Notes!$B$5,"",IF(COUNTIFS(Release_Calendar!$A$2:$A$755,"NZ_CPI",Release_Calendar!$B$2:$B$755,$A4198)&gt;0,1,0))</f>
        <v/>
      </c>
      <c r="N4198" s="16" t="str">
        <f>IF($A4198&lt;Notes!$B$5,"",IF(COUNTIFS(Release_Calendar!$A$2:$A$755,"NZ_GDP",Release_Calendar!$B$2:$B$755,$A4198)&gt;0,1,0))</f>
        <v/>
      </c>
      <c r="O4198" s="16" t="str">
        <f>IF($A4198&lt;Notes!$B$5,"",IF(COUNTIFS(Release_Calendar!$A$2:$A$755,"NZ_LABOUR",Release_Calendar!$B$2:$B$755,$A4198)&gt;0,1,0))</f>
        <v/>
      </c>
      <c r="P4198" s="16">
        <f t="shared" si="4"/>
        <v>0</v>
      </c>
    </row>
    <row r="4199" ht="15.75" customHeight="1">
      <c r="A4199" s="14">
        <v>42403.0</v>
      </c>
      <c r="B4199" s="15">
        <v>0.72</v>
      </c>
      <c r="C4199" s="15">
        <v>2.61</v>
      </c>
      <c r="D4199" s="15">
        <v>2.38</v>
      </c>
      <c r="E4199" s="15">
        <v>2.39</v>
      </c>
      <c r="F4199" s="15">
        <f t="shared" si="1"/>
        <v>1.89</v>
      </c>
      <c r="G4199" s="15">
        <f t="shared" si="2"/>
        <v>2.61</v>
      </c>
      <c r="H4199" s="16">
        <v>0.0</v>
      </c>
      <c r="I4199" s="15">
        <f t="shared" si="3"/>
        <v>1.89</v>
      </c>
      <c r="J4199" s="15">
        <v>21.65</v>
      </c>
      <c r="K4199" s="16">
        <f>IF(COUNTIFS(Release_Calendar!$A$2:$A$755,"US_CPI",Release_Calendar!$B$2:$B$755,$A4199)&gt;0,1,0)</f>
        <v>0</v>
      </c>
      <c r="L4199" s="16">
        <f>IF(COUNTIFS(Release_Calendar!$A$2:$A$755,"US_NFP",Release_Calendar!$B$2:$B$755,$A4199)&gt;0,1,0)</f>
        <v>0</v>
      </c>
      <c r="M4199" s="16" t="str">
        <f>IF($A4199&lt;Notes!$B$5,"",IF(COUNTIFS(Release_Calendar!$A$2:$A$755,"NZ_CPI",Release_Calendar!$B$2:$B$755,$A4199)&gt;0,1,0))</f>
        <v/>
      </c>
      <c r="N4199" s="16" t="str">
        <f>IF($A4199&lt;Notes!$B$5,"",IF(COUNTIFS(Release_Calendar!$A$2:$A$755,"NZ_GDP",Release_Calendar!$B$2:$B$755,$A4199)&gt;0,1,0))</f>
        <v/>
      </c>
      <c r="O4199" s="16" t="str">
        <f>IF($A4199&lt;Notes!$B$5,"",IF(COUNTIFS(Release_Calendar!$A$2:$A$755,"NZ_LABOUR",Release_Calendar!$B$2:$B$755,$A4199)&gt;0,1,0))</f>
        <v/>
      </c>
      <c r="P4199" s="16">
        <f t="shared" si="4"/>
        <v>0</v>
      </c>
    </row>
    <row r="4200" ht="15.75" customHeight="1">
      <c r="A4200" s="14">
        <v>42404.0</v>
      </c>
      <c r="B4200" s="15">
        <v>0.7</v>
      </c>
      <c r="C4200" s="15">
        <v>2.63</v>
      </c>
      <c r="D4200" s="15">
        <v>2.42</v>
      </c>
      <c r="E4200" s="15">
        <v>2.43</v>
      </c>
      <c r="F4200" s="15">
        <f t="shared" si="1"/>
        <v>1.93</v>
      </c>
      <c r="G4200" s="15">
        <f t="shared" si="2"/>
        <v>2.63</v>
      </c>
      <c r="H4200" s="16">
        <v>0.0</v>
      </c>
      <c r="I4200" s="15">
        <f t="shared" si="3"/>
        <v>1.93</v>
      </c>
      <c r="J4200" s="15">
        <v>21.84</v>
      </c>
      <c r="K4200" s="16">
        <f>IF(COUNTIFS(Release_Calendar!$A$2:$A$755,"US_CPI",Release_Calendar!$B$2:$B$755,$A4200)&gt;0,1,0)</f>
        <v>0</v>
      </c>
      <c r="L4200" s="16">
        <f>IF(COUNTIFS(Release_Calendar!$A$2:$A$755,"US_NFP",Release_Calendar!$B$2:$B$755,$A4200)&gt;0,1,0)</f>
        <v>0</v>
      </c>
      <c r="M4200" s="16" t="str">
        <f>IF($A4200&lt;Notes!$B$5,"",IF(COUNTIFS(Release_Calendar!$A$2:$A$755,"NZ_CPI",Release_Calendar!$B$2:$B$755,$A4200)&gt;0,1,0))</f>
        <v/>
      </c>
      <c r="N4200" s="16" t="str">
        <f>IF($A4200&lt;Notes!$B$5,"",IF(COUNTIFS(Release_Calendar!$A$2:$A$755,"NZ_GDP",Release_Calendar!$B$2:$B$755,$A4200)&gt;0,1,0))</f>
        <v/>
      </c>
      <c r="O4200" s="16" t="str">
        <f>IF($A4200&lt;Notes!$B$5,"",IF(COUNTIFS(Release_Calendar!$A$2:$A$755,"NZ_LABOUR",Release_Calendar!$B$2:$B$755,$A4200)&gt;0,1,0))</f>
        <v/>
      </c>
      <c r="P4200" s="16">
        <f t="shared" si="4"/>
        <v>0</v>
      </c>
    </row>
    <row r="4201" ht="15.75" customHeight="1">
      <c r="A4201" s="14">
        <v>42405.0</v>
      </c>
      <c r="B4201" s="15">
        <v>0.74</v>
      </c>
      <c r="C4201" s="15">
        <v>2.62</v>
      </c>
      <c r="D4201" s="15">
        <v>2.43</v>
      </c>
      <c r="E4201" s="15">
        <v>2.44</v>
      </c>
      <c r="F4201" s="15">
        <f t="shared" si="1"/>
        <v>1.88</v>
      </c>
      <c r="G4201" s="15">
        <f t="shared" si="2"/>
        <v>2.62</v>
      </c>
      <c r="H4201" s="16">
        <v>0.0</v>
      </c>
      <c r="I4201" s="15">
        <f t="shared" si="3"/>
        <v>1.88</v>
      </c>
      <c r="J4201" s="15">
        <v>23.38</v>
      </c>
      <c r="K4201" s="16">
        <f>IF(COUNTIFS(Release_Calendar!$A$2:$A$755,"US_CPI",Release_Calendar!$B$2:$B$755,$A4201)&gt;0,1,0)</f>
        <v>0</v>
      </c>
      <c r="L4201" s="16">
        <f>IF(COUNTIFS(Release_Calendar!$A$2:$A$755,"US_NFP",Release_Calendar!$B$2:$B$755,$A4201)&gt;0,1,0)</f>
        <v>1</v>
      </c>
      <c r="M4201" s="16" t="str">
        <f>IF($A4201&lt;Notes!$B$5,"",IF(COUNTIFS(Release_Calendar!$A$2:$A$755,"NZ_CPI",Release_Calendar!$B$2:$B$755,$A4201)&gt;0,1,0))</f>
        <v/>
      </c>
      <c r="N4201" s="16" t="str">
        <f>IF($A4201&lt;Notes!$B$5,"",IF(COUNTIFS(Release_Calendar!$A$2:$A$755,"NZ_GDP",Release_Calendar!$B$2:$B$755,$A4201)&gt;0,1,0))</f>
        <v/>
      </c>
      <c r="O4201" s="16" t="str">
        <f>IF($A4201&lt;Notes!$B$5,"",IF(COUNTIFS(Release_Calendar!$A$2:$A$755,"NZ_LABOUR",Release_Calendar!$B$2:$B$755,$A4201)&gt;0,1,0))</f>
        <v/>
      </c>
      <c r="P4201" s="16">
        <f t="shared" si="4"/>
        <v>1</v>
      </c>
    </row>
    <row r="4202" ht="15.75" customHeight="1">
      <c r="A4202" s="14">
        <v>42408.0</v>
      </c>
      <c r="B4202" s="15">
        <v>0.66</v>
      </c>
      <c r="C4202" s="15"/>
      <c r="D4202" s="15"/>
      <c r="E4202" s="15"/>
      <c r="F4202" s="15" t="str">
        <f t="shared" si="1"/>
        <v/>
      </c>
      <c r="G4202" s="15" t="str">
        <f t="shared" si="2"/>
        <v/>
      </c>
      <c r="H4202" s="16">
        <v>0.0</v>
      </c>
      <c r="I4202" s="15" t="str">
        <f t="shared" si="3"/>
        <v/>
      </c>
      <c r="J4202" s="15">
        <v>26.0</v>
      </c>
      <c r="K4202" s="16">
        <f>IF(COUNTIFS(Release_Calendar!$A$2:$A$755,"US_CPI",Release_Calendar!$B$2:$B$755,$A4202)&gt;0,1,0)</f>
        <v>0</v>
      </c>
      <c r="L4202" s="16">
        <f>IF(COUNTIFS(Release_Calendar!$A$2:$A$755,"US_NFP",Release_Calendar!$B$2:$B$755,$A4202)&gt;0,1,0)</f>
        <v>0</v>
      </c>
      <c r="M4202" s="16" t="str">
        <f>IF($A4202&lt;Notes!$B$5,"",IF(COUNTIFS(Release_Calendar!$A$2:$A$755,"NZ_CPI",Release_Calendar!$B$2:$B$755,$A4202)&gt;0,1,0))</f>
        <v/>
      </c>
      <c r="N4202" s="16" t="str">
        <f>IF($A4202&lt;Notes!$B$5,"",IF(COUNTIFS(Release_Calendar!$A$2:$A$755,"NZ_GDP",Release_Calendar!$B$2:$B$755,$A4202)&gt;0,1,0))</f>
        <v/>
      </c>
      <c r="O4202" s="16" t="str">
        <f>IF($A4202&lt;Notes!$B$5,"",IF(COUNTIFS(Release_Calendar!$A$2:$A$755,"NZ_LABOUR",Release_Calendar!$B$2:$B$755,$A4202)&gt;0,1,0))</f>
        <v/>
      </c>
      <c r="P4202" s="16">
        <f t="shared" si="4"/>
        <v>0</v>
      </c>
    </row>
    <row r="4203" ht="15.75" customHeight="1">
      <c r="A4203" s="14">
        <v>42409.0</v>
      </c>
      <c r="B4203" s="15">
        <v>0.69</v>
      </c>
      <c r="C4203" s="15">
        <v>2.57</v>
      </c>
      <c r="D4203" s="15">
        <v>2.4</v>
      </c>
      <c r="E4203" s="15">
        <v>2.4</v>
      </c>
      <c r="F4203" s="15">
        <f t="shared" si="1"/>
        <v>1.88</v>
      </c>
      <c r="G4203" s="15">
        <f t="shared" si="2"/>
        <v>2.57</v>
      </c>
      <c r="H4203" s="16">
        <v>0.0</v>
      </c>
      <c r="I4203" s="15">
        <f t="shared" si="3"/>
        <v>1.88</v>
      </c>
      <c r="J4203" s="15">
        <v>26.54</v>
      </c>
      <c r="K4203" s="16">
        <f>IF(COUNTIFS(Release_Calendar!$A$2:$A$755,"US_CPI",Release_Calendar!$B$2:$B$755,$A4203)&gt;0,1,0)</f>
        <v>0</v>
      </c>
      <c r="L4203" s="16">
        <f>IF(COUNTIFS(Release_Calendar!$A$2:$A$755,"US_NFP",Release_Calendar!$B$2:$B$755,$A4203)&gt;0,1,0)</f>
        <v>0</v>
      </c>
      <c r="M4203" s="16" t="str">
        <f>IF($A4203&lt;Notes!$B$5,"",IF(COUNTIFS(Release_Calendar!$A$2:$A$755,"NZ_CPI",Release_Calendar!$B$2:$B$755,$A4203)&gt;0,1,0))</f>
        <v/>
      </c>
      <c r="N4203" s="16" t="str">
        <f>IF($A4203&lt;Notes!$B$5,"",IF(COUNTIFS(Release_Calendar!$A$2:$A$755,"NZ_GDP",Release_Calendar!$B$2:$B$755,$A4203)&gt;0,1,0))</f>
        <v/>
      </c>
      <c r="O4203" s="16" t="str">
        <f>IF($A4203&lt;Notes!$B$5,"",IF(COUNTIFS(Release_Calendar!$A$2:$A$755,"NZ_LABOUR",Release_Calendar!$B$2:$B$755,$A4203)&gt;0,1,0))</f>
        <v/>
      </c>
      <c r="P4203" s="16">
        <f t="shared" si="4"/>
        <v>0</v>
      </c>
    </row>
    <row r="4204" ht="15.75" customHeight="1">
      <c r="A4204" s="14">
        <v>42410.0</v>
      </c>
      <c r="B4204" s="15">
        <v>0.71</v>
      </c>
      <c r="C4204" s="15">
        <v>2.59</v>
      </c>
      <c r="D4204" s="15">
        <v>2.42</v>
      </c>
      <c r="E4204" s="15">
        <v>2.43</v>
      </c>
      <c r="F4204" s="15">
        <f t="shared" si="1"/>
        <v>1.88</v>
      </c>
      <c r="G4204" s="15">
        <f t="shared" si="2"/>
        <v>2.59</v>
      </c>
      <c r="H4204" s="16">
        <v>0.0</v>
      </c>
      <c r="I4204" s="15">
        <f t="shared" si="3"/>
        <v>1.88</v>
      </c>
      <c r="J4204" s="15">
        <v>26.29</v>
      </c>
      <c r="K4204" s="16">
        <f>IF(COUNTIFS(Release_Calendar!$A$2:$A$755,"US_CPI",Release_Calendar!$B$2:$B$755,$A4204)&gt;0,1,0)</f>
        <v>0</v>
      </c>
      <c r="L4204" s="16">
        <f>IF(COUNTIFS(Release_Calendar!$A$2:$A$755,"US_NFP",Release_Calendar!$B$2:$B$755,$A4204)&gt;0,1,0)</f>
        <v>0</v>
      </c>
      <c r="M4204" s="16" t="str">
        <f>IF($A4204&lt;Notes!$B$5,"",IF(COUNTIFS(Release_Calendar!$A$2:$A$755,"NZ_CPI",Release_Calendar!$B$2:$B$755,$A4204)&gt;0,1,0))</f>
        <v/>
      </c>
      <c r="N4204" s="16" t="str">
        <f>IF($A4204&lt;Notes!$B$5,"",IF(COUNTIFS(Release_Calendar!$A$2:$A$755,"NZ_GDP",Release_Calendar!$B$2:$B$755,$A4204)&gt;0,1,0))</f>
        <v/>
      </c>
      <c r="O4204" s="16" t="str">
        <f>IF($A4204&lt;Notes!$B$5,"",IF(COUNTIFS(Release_Calendar!$A$2:$A$755,"NZ_LABOUR",Release_Calendar!$B$2:$B$755,$A4204)&gt;0,1,0))</f>
        <v/>
      </c>
      <c r="P4204" s="16">
        <f t="shared" si="4"/>
        <v>0</v>
      </c>
    </row>
    <row r="4205" ht="15.75" customHeight="1">
      <c r="A4205" s="14">
        <v>42411.0</v>
      </c>
      <c r="B4205" s="15">
        <v>0.64</v>
      </c>
      <c r="C4205" s="15">
        <v>2.56</v>
      </c>
      <c r="D4205" s="15">
        <v>2.42</v>
      </c>
      <c r="E4205" s="15">
        <v>2.41</v>
      </c>
      <c r="F4205" s="15">
        <f t="shared" si="1"/>
        <v>1.92</v>
      </c>
      <c r="G4205" s="15">
        <f t="shared" si="2"/>
        <v>2.56</v>
      </c>
      <c r="H4205" s="16">
        <v>0.0</v>
      </c>
      <c r="I4205" s="15">
        <f t="shared" si="3"/>
        <v>1.92</v>
      </c>
      <c r="J4205" s="15">
        <v>28.14</v>
      </c>
      <c r="K4205" s="16">
        <f>IF(COUNTIFS(Release_Calendar!$A$2:$A$755,"US_CPI",Release_Calendar!$B$2:$B$755,$A4205)&gt;0,1,0)</f>
        <v>0</v>
      </c>
      <c r="L4205" s="16">
        <f>IF(COUNTIFS(Release_Calendar!$A$2:$A$755,"US_NFP",Release_Calendar!$B$2:$B$755,$A4205)&gt;0,1,0)</f>
        <v>0</v>
      </c>
      <c r="M4205" s="16" t="str">
        <f>IF($A4205&lt;Notes!$B$5,"",IF(COUNTIFS(Release_Calendar!$A$2:$A$755,"NZ_CPI",Release_Calendar!$B$2:$B$755,$A4205)&gt;0,1,0))</f>
        <v/>
      </c>
      <c r="N4205" s="16" t="str">
        <f>IF($A4205&lt;Notes!$B$5,"",IF(COUNTIFS(Release_Calendar!$A$2:$A$755,"NZ_GDP",Release_Calendar!$B$2:$B$755,$A4205)&gt;0,1,0))</f>
        <v/>
      </c>
      <c r="O4205" s="16" t="str">
        <f>IF($A4205&lt;Notes!$B$5,"",IF(COUNTIFS(Release_Calendar!$A$2:$A$755,"NZ_LABOUR",Release_Calendar!$B$2:$B$755,$A4205)&gt;0,1,0))</f>
        <v/>
      </c>
      <c r="P4205" s="16">
        <f t="shared" si="4"/>
        <v>0</v>
      </c>
    </row>
    <row r="4206" ht="15.75" customHeight="1">
      <c r="A4206" s="14">
        <v>42412.0</v>
      </c>
      <c r="B4206" s="15">
        <v>0.71</v>
      </c>
      <c r="C4206" s="15">
        <v>2.54</v>
      </c>
      <c r="D4206" s="15">
        <v>2.41</v>
      </c>
      <c r="E4206" s="15">
        <v>2.39</v>
      </c>
      <c r="F4206" s="15">
        <f t="shared" si="1"/>
        <v>1.83</v>
      </c>
      <c r="G4206" s="15">
        <f t="shared" si="2"/>
        <v>2.54</v>
      </c>
      <c r="H4206" s="16">
        <v>0.0</v>
      </c>
      <c r="I4206" s="15">
        <f t="shared" si="3"/>
        <v>1.83</v>
      </c>
      <c r="J4206" s="15">
        <v>25.4</v>
      </c>
      <c r="K4206" s="16">
        <f>IF(COUNTIFS(Release_Calendar!$A$2:$A$755,"US_CPI",Release_Calendar!$B$2:$B$755,$A4206)&gt;0,1,0)</f>
        <v>0</v>
      </c>
      <c r="L4206" s="16">
        <f>IF(COUNTIFS(Release_Calendar!$A$2:$A$755,"US_NFP",Release_Calendar!$B$2:$B$755,$A4206)&gt;0,1,0)</f>
        <v>0</v>
      </c>
      <c r="M4206" s="16" t="str">
        <f>IF($A4206&lt;Notes!$B$5,"",IF(COUNTIFS(Release_Calendar!$A$2:$A$755,"NZ_CPI",Release_Calendar!$B$2:$B$755,$A4206)&gt;0,1,0))</f>
        <v/>
      </c>
      <c r="N4206" s="16" t="str">
        <f>IF($A4206&lt;Notes!$B$5,"",IF(COUNTIFS(Release_Calendar!$A$2:$A$755,"NZ_GDP",Release_Calendar!$B$2:$B$755,$A4206)&gt;0,1,0))</f>
        <v/>
      </c>
      <c r="O4206" s="16" t="str">
        <f>IF($A4206&lt;Notes!$B$5,"",IF(COUNTIFS(Release_Calendar!$A$2:$A$755,"NZ_LABOUR",Release_Calendar!$B$2:$B$755,$A4206)&gt;0,1,0))</f>
        <v/>
      </c>
      <c r="P4206" s="16">
        <f t="shared" si="4"/>
        <v>0</v>
      </c>
    </row>
    <row r="4207" ht="15.75" customHeight="1">
      <c r="A4207" s="14">
        <v>42415.0</v>
      </c>
      <c r="B4207" s="15"/>
      <c r="C4207" s="15">
        <v>2.57</v>
      </c>
      <c r="D4207" s="15">
        <v>2.43</v>
      </c>
      <c r="E4207" s="15">
        <v>2.43</v>
      </c>
      <c r="F4207" s="15" t="str">
        <f t="shared" si="1"/>
        <v/>
      </c>
      <c r="G4207" s="15">
        <f t="shared" si="2"/>
        <v>2.57</v>
      </c>
      <c r="H4207" s="16">
        <v>0.0</v>
      </c>
      <c r="I4207" s="15" t="str">
        <f t="shared" si="3"/>
        <v/>
      </c>
      <c r="J4207" s="15"/>
      <c r="K4207" s="16">
        <f>IF(COUNTIFS(Release_Calendar!$A$2:$A$755,"US_CPI",Release_Calendar!$B$2:$B$755,$A4207)&gt;0,1,0)</f>
        <v>0</v>
      </c>
      <c r="L4207" s="16">
        <f>IF(COUNTIFS(Release_Calendar!$A$2:$A$755,"US_NFP",Release_Calendar!$B$2:$B$755,$A4207)&gt;0,1,0)</f>
        <v>0</v>
      </c>
      <c r="M4207" s="16" t="str">
        <f>IF($A4207&lt;Notes!$B$5,"",IF(COUNTIFS(Release_Calendar!$A$2:$A$755,"NZ_CPI",Release_Calendar!$B$2:$B$755,$A4207)&gt;0,1,0))</f>
        <v/>
      </c>
      <c r="N4207" s="16" t="str">
        <f>IF($A4207&lt;Notes!$B$5,"",IF(COUNTIFS(Release_Calendar!$A$2:$A$755,"NZ_GDP",Release_Calendar!$B$2:$B$755,$A4207)&gt;0,1,0))</f>
        <v/>
      </c>
      <c r="O4207" s="16" t="str">
        <f>IF($A4207&lt;Notes!$B$5,"",IF(COUNTIFS(Release_Calendar!$A$2:$A$755,"NZ_LABOUR",Release_Calendar!$B$2:$B$755,$A4207)&gt;0,1,0))</f>
        <v/>
      </c>
      <c r="P4207" s="16">
        <f t="shared" si="4"/>
        <v>0</v>
      </c>
    </row>
    <row r="4208" ht="15.75" customHeight="1">
      <c r="A4208" s="14">
        <v>42416.0</v>
      </c>
      <c r="B4208" s="15">
        <v>0.74</v>
      </c>
      <c r="C4208" s="15">
        <v>2.54</v>
      </c>
      <c r="D4208" s="15">
        <v>2.46</v>
      </c>
      <c r="E4208" s="15">
        <v>2.42</v>
      </c>
      <c r="F4208" s="15">
        <f t="shared" si="1"/>
        <v>1.8</v>
      </c>
      <c r="G4208" s="15">
        <f t="shared" si="2"/>
        <v>2.54</v>
      </c>
      <c r="H4208" s="16">
        <v>0.0</v>
      </c>
      <c r="I4208" s="15">
        <f t="shared" si="3"/>
        <v>1.8</v>
      </c>
      <c r="J4208" s="15">
        <v>24.11</v>
      </c>
      <c r="K4208" s="16">
        <f>IF(COUNTIFS(Release_Calendar!$A$2:$A$755,"US_CPI",Release_Calendar!$B$2:$B$755,$A4208)&gt;0,1,0)</f>
        <v>0</v>
      </c>
      <c r="L4208" s="16">
        <f>IF(COUNTIFS(Release_Calendar!$A$2:$A$755,"US_NFP",Release_Calendar!$B$2:$B$755,$A4208)&gt;0,1,0)</f>
        <v>0</v>
      </c>
      <c r="M4208" s="16" t="str">
        <f>IF($A4208&lt;Notes!$B$5,"",IF(COUNTIFS(Release_Calendar!$A$2:$A$755,"NZ_CPI",Release_Calendar!$B$2:$B$755,$A4208)&gt;0,1,0))</f>
        <v/>
      </c>
      <c r="N4208" s="16" t="str">
        <f>IF($A4208&lt;Notes!$B$5,"",IF(COUNTIFS(Release_Calendar!$A$2:$A$755,"NZ_GDP",Release_Calendar!$B$2:$B$755,$A4208)&gt;0,1,0))</f>
        <v/>
      </c>
      <c r="O4208" s="16" t="str">
        <f>IF($A4208&lt;Notes!$B$5,"",IF(COUNTIFS(Release_Calendar!$A$2:$A$755,"NZ_LABOUR",Release_Calendar!$B$2:$B$755,$A4208)&gt;0,1,0))</f>
        <v/>
      </c>
      <c r="P4208" s="16">
        <f t="shared" si="4"/>
        <v>0</v>
      </c>
    </row>
    <row r="4209" ht="15.75" customHeight="1">
      <c r="A4209" s="14">
        <v>42417.0</v>
      </c>
      <c r="B4209" s="15">
        <v>0.74</v>
      </c>
      <c r="C4209" s="15">
        <v>2.52</v>
      </c>
      <c r="D4209" s="15">
        <v>2.41</v>
      </c>
      <c r="E4209" s="15">
        <v>2.39</v>
      </c>
      <c r="F4209" s="15">
        <f t="shared" si="1"/>
        <v>1.78</v>
      </c>
      <c r="G4209" s="15">
        <f t="shared" si="2"/>
        <v>2.52</v>
      </c>
      <c r="H4209" s="16">
        <v>0.0</v>
      </c>
      <c r="I4209" s="15">
        <f t="shared" si="3"/>
        <v>1.78</v>
      </c>
      <c r="J4209" s="15">
        <v>22.31</v>
      </c>
      <c r="K4209" s="16">
        <f>IF(COUNTIFS(Release_Calendar!$A$2:$A$755,"US_CPI",Release_Calendar!$B$2:$B$755,$A4209)&gt;0,1,0)</f>
        <v>0</v>
      </c>
      <c r="L4209" s="16">
        <f>IF(COUNTIFS(Release_Calendar!$A$2:$A$755,"US_NFP",Release_Calendar!$B$2:$B$755,$A4209)&gt;0,1,0)</f>
        <v>0</v>
      </c>
      <c r="M4209" s="16" t="str">
        <f>IF($A4209&lt;Notes!$B$5,"",IF(COUNTIFS(Release_Calendar!$A$2:$A$755,"NZ_CPI",Release_Calendar!$B$2:$B$755,$A4209)&gt;0,1,0))</f>
        <v/>
      </c>
      <c r="N4209" s="16" t="str">
        <f>IF($A4209&lt;Notes!$B$5,"",IF(COUNTIFS(Release_Calendar!$A$2:$A$755,"NZ_GDP",Release_Calendar!$B$2:$B$755,$A4209)&gt;0,1,0))</f>
        <v/>
      </c>
      <c r="O4209" s="16" t="str">
        <f>IF($A4209&lt;Notes!$B$5,"",IF(COUNTIFS(Release_Calendar!$A$2:$A$755,"NZ_LABOUR",Release_Calendar!$B$2:$B$755,$A4209)&gt;0,1,0))</f>
        <v/>
      </c>
      <c r="P4209" s="16">
        <f t="shared" si="4"/>
        <v>0</v>
      </c>
    </row>
    <row r="4210" ht="15.75" customHeight="1">
      <c r="A4210" s="14">
        <v>42418.0</v>
      </c>
      <c r="B4210" s="15">
        <v>0.71</v>
      </c>
      <c r="C4210" s="15">
        <v>2.52</v>
      </c>
      <c r="D4210" s="15">
        <v>2.41</v>
      </c>
      <c r="E4210" s="15">
        <v>2.4</v>
      </c>
      <c r="F4210" s="15">
        <f t="shared" si="1"/>
        <v>1.81</v>
      </c>
      <c r="G4210" s="15">
        <f t="shared" si="2"/>
        <v>2.52</v>
      </c>
      <c r="H4210" s="16">
        <v>0.0</v>
      </c>
      <c r="I4210" s="15">
        <f t="shared" si="3"/>
        <v>1.81</v>
      </c>
      <c r="J4210" s="15">
        <v>21.64</v>
      </c>
      <c r="K4210" s="16">
        <f>IF(COUNTIFS(Release_Calendar!$A$2:$A$755,"US_CPI",Release_Calendar!$B$2:$B$755,$A4210)&gt;0,1,0)</f>
        <v>0</v>
      </c>
      <c r="L4210" s="16">
        <f>IF(COUNTIFS(Release_Calendar!$A$2:$A$755,"US_NFP",Release_Calendar!$B$2:$B$755,$A4210)&gt;0,1,0)</f>
        <v>0</v>
      </c>
      <c r="M4210" s="16" t="str">
        <f>IF($A4210&lt;Notes!$B$5,"",IF(COUNTIFS(Release_Calendar!$A$2:$A$755,"NZ_CPI",Release_Calendar!$B$2:$B$755,$A4210)&gt;0,1,0))</f>
        <v/>
      </c>
      <c r="N4210" s="16" t="str">
        <f>IF($A4210&lt;Notes!$B$5,"",IF(COUNTIFS(Release_Calendar!$A$2:$A$755,"NZ_GDP",Release_Calendar!$B$2:$B$755,$A4210)&gt;0,1,0))</f>
        <v/>
      </c>
      <c r="O4210" s="16" t="str">
        <f>IF($A4210&lt;Notes!$B$5,"",IF(COUNTIFS(Release_Calendar!$A$2:$A$755,"NZ_LABOUR",Release_Calendar!$B$2:$B$755,$A4210)&gt;0,1,0))</f>
        <v/>
      </c>
      <c r="P4210" s="16">
        <f t="shared" si="4"/>
        <v>0</v>
      </c>
    </row>
    <row r="4211" ht="15.75" customHeight="1">
      <c r="A4211" s="14">
        <v>42419.0</v>
      </c>
      <c r="B4211" s="15">
        <v>0.76</v>
      </c>
      <c r="C4211" s="15">
        <v>2.49</v>
      </c>
      <c r="D4211" s="15">
        <v>2.36</v>
      </c>
      <c r="E4211" s="15">
        <v>2.35</v>
      </c>
      <c r="F4211" s="15">
        <f t="shared" si="1"/>
        <v>1.73</v>
      </c>
      <c r="G4211" s="15">
        <f t="shared" si="2"/>
        <v>2.49</v>
      </c>
      <c r="H4211" s="16">
        <v>0.0</v>
      </c>
      <c r="I4211" s="15">
        <f t="shared" si="3"/>
        <v>1.73</v>
      </c>
      <c r="J4211" s="15">
        <v>20.53</v>
      </c>
      <c r="K4211" s="16">
        <f>IF(COUNTIFS(Release_Calendar!$A$2:$A$755,"US_CPI",Release_Calendar!$B$2:$B$755,$A4211)&gt;0,1,0)</f>
        <v>1</v>
      </c>
      <c r="L4211" s="16">
        <f>IF(COUNTIFS(Release_Calendar!$A$2:$A$755,"US_NFP",Release_Calendar!$B$2:$B$755,$A4211)&gt;0,1,0)</f>
        <v>0</v>
      </c>
      <c r="M4211" s="16" t="str">
        <f>IF($A4211&lt;Notes!$B$5,"",IF(COUNTIFS(Release_Calendar!$A$2:$A$755,"NZ_CPI",Release_Calendar!$B$2:$B$755,$A4211)&gt;0,1,0))</f>
        <v/>
      </c>
      <c r="N4211" s="16" t="str">
        <f>IF($A4211&lt;Notes!$B$5,"",IF(COUNTIFS(Release_Calendar!$A$2:$A$755,"NZ_GDP",Release_Calendar!$B$2:$B$755,$A4211)&gt;0,1,0))</f>
        <v/>
      </c>
      <c r="O4211" s="16" t="str">
        <f>IF($A4211&lt;Notes!$B$5,"",IF(COUNTIFS(Release_Calendar!$A$2:$A$755,"NZ_LABOUR",Release_Calendar!$B$2:$B$755,$A4211)&gt;0,1,0))</f>
        <v/>
      </c>
      <c r="P4211" s="16">
        <f t="shared" si="4"/>
        <v>1</v>
      </c>
    </row>
    <row r="4212" ht="15.75" customHeight="1">
      <c r="A4212" s="14">
        <v>42422.0</v>
      </c>
      <c r="B4212" s="15">
        <v>0.78</v>
      </c>
      <c r="C4212" s="15">
        <v>2.5</v>
      </c>
      <c r="D4212" s="15">
        <v>2.35</v>
      </c>
      <c r="E4212" s="15">
        <v>2.35</v>
      </c>
      <c r="F4212" s="15">
        <f t="shared" si="1"/>
        <v>1.72</v>
      </c>
      <c r="G4212" s="15">
        <f t="shared" si="2"/>
        <v>2.5</v>
      </c>
      <c r="H4212" s="16">
        <v>0.0</v>
      </c>
      <c r="I4212" s="15">
        <f t="shared" si="3"/>
        <v>1.72</v>
      </c>
      <c r="J4212" s="15">
        <v>19.38</v>
      </c>
      <c r="K4212" s="16">
        <f>IF(COUNTIFS(Release_Calendar!$A$2:$A$755,"US_CPI",Release_Calendar!$B$2:$B$755,$A4212)&gt;0,1,0)</f>
        <v>0</v>
      </c>
      <c r="L4212" s="16">
        <f>IF(COUNTIFS(Release_Calendar!$A$2:$A$755,"US_NFP",Release_Calendar!$B$2:$B$755,$A4212)&gt;0,1,0)</f>
        <v>0</v>
      </c>
      <c r="M4212" s="16" t="str">
        <f>IF($A4212&lt;Notes!$B$5,"",IF(COUNTIFS(Release_Calendar!$A$2:$A$755,"NZ_CPI",Release_Calendar!$B$2:$B$755,$A4212)&gt;0,1,0))</f>
        <v/>
      </c>
      <c r="N4212" s="16" t="str">
        <f>IF($A4212&lt;Notes!$B$5,"",IF(COUNTIFS(Release_Calendar!$A$2:$A$755,"NZ_GDP",Release_Calendar!$B$2:$B$755,$A4212)&gt;0,1,0))</f>
        <v/>
      </c>
      <c r="O4212" s="16" t="str">
        <f>IF($A4212&lt;Notes!$B$5,"",IF(COUNTIFS(Release_Calendar!$A$2:$A$755,"NZ_LABOUR",Release_Calendar!$B$2:$B$755,$A4212)&gt;0,1,0))</f>
        <v/>
      </c>
      <c r="P4212" s="16">
        <f t="shared" si="4"/>
        <v>0</v>
      </c>
    </row>
    <row r="4213" ht="15.75" customHeight="1">
      <c r="A4213" s="14">
        <v>42423.0</v>
      </c>
      <c r="B4213" s="15">
        <v>0.76</v>
      </c>
      <c r="C4213" s="15">
        <v>2.48</v>
      </c>
      <c r="D4213" s="15">
        <v>2.35</v>
      </c>
      <c r="E4213" s="15">
        <v>2.32</v>
      </c>
      <c r="F4213" s="15">
        <f t="shared" si="1"/>
        <v>1.72</v>
      </c>
      <c r="G4213" s="15">
        <f t="shared" si="2"/>
        <v>2.48</v>
      </c>
      <c r="H4213" s="16">
        <v>0.0</v>
      </c>
      <c r="I4213" s="15">
        <f t="shared" si="3"/>
        <v>1.72</v>
      </c>
      <c r="J4213" s="15">
        <v>20.98</v>
      </c>
      <c r="K4213" s="16">
        <f>IF(COUNTIFS(Release_Calendar!$A$2:$A$755,"US_CPI",Release_Calendar!$B$2:$B$755,$A4213)&gt;0,1,0)</f>
        <v>0</v>
      </c>
      <c r="L4213" s="16">
        <f>IF(COUNTIFS(Release_Calendar!$A$2:$A$755,"US_NFP",Release_Calendar!$B$2:$B$755,$A4213)&gt;0,1,0)</f>
        <v>0</v>
      </c>
      <c r="M4213" s="16" t="str">
        <f>IF($A4213&lt;Notes!$B$5,"",IF(COUNTIFS(Release_Calendar!$A$2:$A$755,"NZ_CPI",Release_Calendar!$B$2:$B$755,$A4213)&gt;0,1,0))</f>
        <v/>
      </c>
      <c r="N4213" s="16" t="str">
        <f>IF($A4213&lt;Notes!$B$5,"",IF(COUNTIFS(Release_Calendar!$A$2:$A$755,"NZ_GDP",Release_Calendar!$B$2:$B$755,$A4213)&gt;0,1,0))</f>
        <v/>
      </c>
      <c r="O4213" s="16" t="str">
        <f>IF($A4213&lt;Notes!$B$5,"",IF(COUNTIFS(Release_Calendar!$A$2:$A$755,"NZ_LABOUR",Release_Calendar!$B$2:$B$755,$A4213)&gt;0,1,0))</f>
        <v/>
      </c>
      <c r="P4213" s="16">
        <f t="shared" si="4"/>
        <v>0</v>
      </c>
    </row>
    <row r="4214" ht="15.75" customHeight="1">
      <c r="A4214" s="14">
        <v>42424.0</v>
      </c>
      <c r="B4214" s="15">
        <v>0.75</v>
      </c>
      <c r="C4214" s="15">
        <v>2.45</v>
      </c>
      <c r="D4214" s="15">
        <v>2.3</v>
      </c>
      <c r="E4214" s="15">
        <v>2.26</v>
      </c>
      <c r="F4214" s="15">
        <f t="shared" si="1"/>
        <v>1.7</v>
      </c>
      <c r="G4214" s="15">
        <f t="shared" si="2"/>
        <v>2.45</v>
      </c>
      <c r="H4214" s="16">
        <v>0.0</v>
      </c>
      <c r="I4214" s="15">
        <f t="shared" si="3"/>
        <v>1.7</v>
      </c>
      <c r="J4214" s="15">
        <v>20.72</v>
      </c>
      <c r="K4214" s="16">
        <f>IF(COUNTIFS(Release_Calendar!$A$2:$A$755,"US_CPI",Release_Calendar!$B$2:$B$755,$A4214)&gt;0,1,0)</f>
        <v>0</v>
      </c>
      <c r="L4214" s="16">
        <f>IF(COUNTIFS(Release_Calendar!$A$2:$A$755,"US_NFP",Release_Calendar!$B$2:$B$755,$A4214)&gt;0,1,0)</f>
        <v>0</v>
      </c>
      <c r="M4214" s="16" t="str">
        <f>IF($A4214&lt;Notes!$B$5,"",IF(COUNTIFS(Release_Calendar!$A$2:$A$755,"NZ_CPI",Release_Calendar!$B$2:$B$755,$A4214)&gt;0,1,0))</f>
        <v/>
      </c>
      <c r="N4214" s="16" t="str">
        <f>IF($A4214&lt;Notes!$B$5,"",IF(COUNTIFS(Release_Calendar!$A$2:$A$755,"NZ_GDP",Release_Calendar!$B$2:$B$755,$A4214)&gt;0,1,0))</f>
        <v/>
      </c>
      <c r="O4214" s="16" t="str">
        <f>IF($A4214&lt;Notes!$B$5,"",IF(COUNTIFS(Release_Calendar!$A$2:$A$755,"NZ_LABOUR",Release_Calendar!$B$2:$B$755,$A4214)&gt;0,1,0))</f>
        <v/>
      </c>
      <c r="P4214" s="16">
        <f t="shared" si="4"/>
        <v>0</v>
      </c>
    </row>
    <row r="4215" ht="15.75" customHeight="1">
      <c r="A4215" s="14">
        <v>42425.0</v>
      </c>
      <c r="B4215" s="15">
        <v>0.72</v>
      </c>
      <c r="C4215" s="15">
        <v>2.42</v>
      </c>
      <c r="D4215" s="15">
        <v>2.29</v>
      </c>
      <c r="E4215" s="15">
        <v>2.24</v>
      </c>
      <c r="F4215" s="15">
        <f t="shared" si="1"/>
        <v>1.7</v>
      </c>
      <c r="G4215" s="15">
        <f t="shared" si="2"/>
        <v>2.42</v>
      </c>
      <c r="H4215" s="16">
        <v>0.0</v>
      </c>
      <c r="I4215" s="15">
        <f t="shared" si="3"/>
        <v>1.7</v>
      </c>
      <c r="J4215" s="15">
        <v>19.11</v>
      </c>
      <c r="K4215" s="16">
        <f>IF(COUNTIFS(Release_Calendar!$A$2:$A$755,"US_CPI",Release_Calendar!$B$2:$B$755,$A4215)&gt;0,1,0)</f>
        <v>0</v>
      </c>
      <c r="L4215" s="16">
        <f>IF(COUNTIFS(Release_Calendar!$A$2:$A$755,"US_NFP",Release_Calendar!$B$2:$B$755,$A4215)&gt;0,1,0)</f>
        <v>0</v>
      </c>
      <c r="M4215" s="16" t="str">
        <f>IF($A4215&lt;Notes!$B$5,"",IF(COUNTIFS(Release_Calendar!$A$2:$A$755,"NZ_CPI",Release_Calendar!$B$2:$B$755,$A4215)&gt;0,1,0))</f>
        <v/>
      </c>
      <c r="N4215" s="16" t="str">
        <f>IF($A4215&lt;Notes!$B$5,"",IF(COUNTIFS(Release_Calendar!$A$2:$A$755,"NZ_GDP",Release_Calendar!$B$2:$B$755,$A4215)&gt;0,1,0))</f>
        <v/>
      </c>
      <c r="O4215" s="16" t="str">
        <f>IF($A4215&lt;Notes!$B$5,"",IF(COUNTIFS(Release_Calendar!$A$2:$A$755,"NZ_LABOUR",Release_Calendar!$B$2:$B$755,$A4215)&gt;0,1,0))</f>
        <v/>
      </c>
      <c r="P4215" s="16">
        <f t="shared" si="4"/>
        <v>0</v>
      </c>
    </row>
    <row r="4216" ht="15.75" customHeight="1">
      <c r="A4216" s="14">
        <v>42426.0</v>
      </c>
      <c r="B4216" s="15">
        <v>0.8</v>
      </c>
      <c r="C4216" s="15">
        <v>2.42</v>
      </c>
      <c r="D4216" s="15">
        <v>2.23</v>
      </c>
      <c r="E4216" s="15">
        <v>2.24</v>
      </c>
      <c r="F4216" s="15">
        <f t="shared" si="1"/>
        <v>1.62</v>
      </c>
      <c r="G4216" s="15">
        <f t="shared" si="2"/>
        <v>2.42</v>
      </c>
      <c r="H4216" s="16">
        <v>0.0</v>
      </c>
      <c r="I4216" s="15">
        <f t="shared" si="3"/>
        <v>1.62</v>
      </c>
      <c r="J4216" s="15">
        <v>19.81</v>
      </c>
      <c r="K4216" s="16">
        <f>IF(COUNTIFS(Release_Calendar!$A$2:$A$755,"US_CPI",Release_Calendar!$B$2:$B$755,$A4216)&gt;0,1,0)</f>
        <v>0</v>
      </c>
      <c r="L4216" s="16">
        <f>IF(COUNTIFS(Release_Calendar!$A$2:$A$755,"US_NFP",Release_Calendar!$B$2:$B$755,$A4216)&gt;0,1,0)</f>
        <v>0</v>
      </c>
      <c r="M4216" s="16" t="str">
        <f>IF($A4216&lt;Notes!$B$5,"",IF(COUNTIFS(Release_Calendar!$A$2:$A$755,"NZ_CPI",Release_Calendar!$B$2:$B$755,$A4216)&gt;0,1,0))</f>
        <v/>
      </c>
      <c r="N4216" s="16" t="str">
        <f>IF($A4216&lt;Notes!$B$5,"",IF(COUNTIFS(Release_Calendar!$A$2:$A$755,"NZ_GDP",Release_Calendar!$B$2:$B$755,$A4216)&gt;0,1,0))</f>
        <v/>
      </c>
      <c r="O4216" s="16" t="str">
        <f>IF($A4216&lt;Notes!$B$5,"",IF(COUNTIFS(Release_Calendar!$A$2:$A$755,"NZ_LABOUR",Release_Calendar!$B$2:$B$755,$A4216)&gt;0,1,0))</f>
        <v/>
      </c>
      <c r="P4216" s="16">
        <f t="shared" si="4"/>
        <v>0</v>
      </c>
    </row>
    <row r="4217" ht="15.75" customHeight="1">
      <c r="A4217" s="14">
        <v>42429.0</v>
      </c>
      <c r="B4217" s="15">
        <v>0.78</v>
      </c>
      <c r="C4217" s="15">
        <v>2.39</v>
      </c>
      <c r="D4217" s="15">
        <v>2.24</v>
      </c>
      <c r="E4217" s="15">
        <v>2.21</v>
      </c>
      <c r="F4217" s="15">
        <f t="shared" si="1"/>
        <v>1.61</v>
      </c>
      <c r="G4217" s="15">
        <f t="shared" si="2"/>
        <v>2.39</v>
      </c>
      <c r="H4217" s="16">
        <v>0.0</v>
      </c>
      <c r="I4217" s="15">
        <f t="shared" si="3"/>
        <v>1.61</v>
      </c>
      <c r="J4217" s="15">
        <v>20.55</v>
      </c>
      <c r="K4217" s="16">
        <f>IF(COUNTIFS(Release_Calendar!$A$2:$A$755,"US_CPI",Release_Calendar!$B$2:$B$755,$A4217)&gt;0,1,0)</f>
        <v>0</v>
      </c>
      <c r="L4217" s="16">
        <f>IF(COUNTIFS(Release_Calendar!$A$2:$A$755,"US_NFP",Release_Calendar!$B$2:$B$755,$A4217)&gt;0,1,0)</f>
        <v>0</v>
      </c>
      <c r="M4217" s="16" t="str">
        <f>IF($A4217&lt;Notes!$B$5,"",IF(COUNTIFS(Release_Calendar!$A$2:$A$755,"NZ_CPI",Release_Calendar!$B$2:$B$755,$A4217)&gt;0,1,0))</f>
        <v/>
      </c>
      <c r="N4217" s="16" t="str">
        <f>IF($A4217&lt;Notes!$B$5,"",IF(COUNTIFS(Release_Calendar!$A$2:$A$755,"NZ_GDP",Release_Calendar!$B$2:$B$755,$A4217)&gt;0,1,0))</f>
        <v/>
      </c>
      <c r="O4217" s="16" t="str">
        <f>IF($A4217&lt;Notes!$B$5,"",IF(COUNTIFS(Release_Calendar!$A$2:$A$755,"NZ_LABOUR",Release_Calendar!$B$2:$B$755,$A4217)&gt;0,1,0))</f>
        <v/>
      </c>
      <c r="P4217" s="16">
        <f t="shared" si="4"/>
        <v>0</v>
      </c>
    </row>
    <row r="4218" ht="15.75" customHeight="1">
      <c r="A4218" s="14">
        <v>42430.0</v>
      </c>
      <c r="B4218" s="15">
        <v>0.85</v>
      </c>
      <c r="C4218" s="15">
        <v>2.38</v>
      </c>
      <c r="D4218" s="15">
        <v>2.2</v>
      </c>
      <c r="E4218" s="15">
        <v>2.18</v>
      </c>
      <c r="F4218" s="15">
        <f t="shared" si="1"/>
        <v>1.53</v>
      </c>
      <c r="G4218" s="15">
        <f t="shared" si="2"/>
        <v>2.38</v>
      </c>
      <c r="H4218" s="16">
        <v>0.0</v>
      </c>
      <c r="I4218" s="15">
        <f t="shared" si="3"/>
        <v>1.53</v>
      </c>
      <c r="J4218" s="15">
        <v>17.7</v>
      </c>
      <c r="K4218" s="16">
        <f>IF(COUNTIFS(Release_Calendar!$A$2:$A$755,"US_CPI",Release_Calendar!$B$2:$B$755,$A4218)&gt;0,1,0)</f>
        <v>0</v>
      </c>
      <c r="L4218" s="16">
        <f>IF(COUNTIFS(Release_Calendar!$A$2:$A$755,"US_NFP",Release_Calendar!$B$2:$B$755,$A4218)&gt;0,1,0)</f>
        <v>0</v>
      </c>
      <c r="M4218" s="16" t="str">
        <f>IF($A4218&lt;Notes!$B$5,"",IF(COUNTIFS(Release_Calendar!$A$2:$A$755,"NZ_CPI",Release_Calendar!$B$2:$B$755,$A4218)&gt;0,1,0))</f>
        <v/>
      </c>
      <c r="N4218" s="16" t="str">
        <f>IF($A4218&lt;Notes!$B$5,"",IF(COUNTIFS(Release_Calendar!$A$2:$A$755,"NZ_GDP",Release_Calendar!$B$2:$B$755,$A4218)&gt;0,1,0))</f>
        <v/>
      </c>
      <c r="O4218" s="16" t="str">
        <f>IF($A4218&lt;Notes!$B$5,"",IF(COUNTIFS(Release_Calendar!$A$2:$A$755,"NZ_LABOUR",Release_Calendar!$B$2:$B$755,$A4218)&gt;0,1,0))</f>
        <v/>
      </c>
      <c r="P4218" s="16">
        <f t="shared" si="4"/>
        <v>0</v>
      </c>
    </row>
    <row r="4219" ht="15.75" customHeight="1">
      <c r="A4219" s="14">
        <v>42431.0</v>
      </c>
      <c r="B4219" s="15">
        <v>0.85</v>
      </c>
      <c r="C4219" s="15">
        <v>2.42</v>
      </c>
      <c r="D4219" s="15">
        <v>2.22</v>
      </c>
      <c r="E4219" s="15">
        <v>2.23</v>
      </c>
      <c r="F4219" s="15">
        <f t="shared" si="1"/>
        <v>1.57</v>
      </c>
      <c r="G4219" s="15">
        <f t="shared" si="2"/>
        <v>2.42</v>
      </c>
      <c r="H4219" s="16">
        <v>0.0</v>
      </c>
      <c r="I4219" s="15">
        <f t="shared" si="3"/>
        <v>1.57</v>
      </c>
      <c r="J4219" s="15">
        <v>17.09</v>
      </c>
      <c r="K4219" s="16">
        <f>IF(COUNTIFS(Release_Calendar!$A$2:$A$755,"US_CPI",Release_Calendar!$B$2:$B$755,$A4219)&gt;0,1,0)</f>
        <v>0</v>
      </c>
      <c r="L4219" s="16">
        <f>IF(COUNTIFS(Release_Calendar!$A$2:$A$755,"US_NFP",Release_Calendar!$B$2:$B$755,$A4219)&gt;0,1,0)</f>
        <v>0</v>
      </c>
      <c r="M4219" s="16" t="str">
        <f>IF($A4219&lt;Notes!$B$5,"",IF(COUNTIFS(Release_Calendar!$A$2:$A$755,"NZ_CPI",Release_Calendar!$B$2:$B$755,$A4219)&gt;0,1,0))</f>
        <v/>
      </c>
      <c r="N4219" s="16" t="str">
        <f>IF($A4219&lt;Notes!$B$5,"",IF(COUNTIFS(Release_Calendar!$A$2:$A$755,"NZ_GDP",Release_Calendar!$B$2:$B$755,$A4219)&gt;0,1,0))</f>
        <v/>
      </c>
      <c r="O4219" s="16" t="str">
        <f>IF($A4219&lt;Notes!$B$5,"",IF(COUNTIFS(Release_Calendar!$A$2:$A$755,"NZ_LABOUR",Release_Calendar!$B$2:$B$755,$A4219)&gt;0,1,0))</f>
        <v/>
      </c>
      <c r="P4219" s="16">
        <f t="shared" si="4"/>
        <v>0</v>
      </c>
    </row>
    <row r="4220" ht="15.75" customHeight="1">
      <c r="A4220" s="14">
        <v>42432.0</v>
      </c>
      <c r="B4220" s="15">
        <v>0.85</v>
      </c>
      <c r="C4220" s="15">
        <v>2.42</v>
      </c>
      <c r="D4220" s="15">
        <v>2.23</v>
      </c>
      <c r="E4220" s="15">
        <v>2.23</v>
      </c>
      <c r="F4220" s="15">
        <f t="shared" si="1"/>
        <v>1.57</v>
      </c>
      <c r="G4220" s="15">
        <f t="shared" si="2"/>
        <v>2.42</v>
      </c>
      <c r="H4220" s="16">
        <v>0.0</v>
      </c>
      <c r="I4220" s="15">
        <f t="shared" si="3"/>
        <v>1.57</v>
      </c>
      <c r="J4220" s="15">
        <v>16.7</v>
      </c>
      <c r="K4220" s="16">
        <f>IF(COUNTIFS(Release_Calendar!$A$2:$A$755,"US_CPI",Release_Calendar!$B$2:$B$755,$A4220)&gt;0,1,0)</f>
        <v>0</v>
      </c>
      <c r="L4220" s="16">
        <f>IF(COUNTIFS(Release_Calendar!$A$2:$A$755,"US_NFP",Release_Calendar!$B$2:$B$755,$A4220)&gt;0,1,0)</f>
        <v>0</v>
      </c>
      <c r="M4220" s="16" t="str">
        <f>IF($A4220&lt;Notes!$B$5,"",IF(COUNTIFS(Release_Calendar!$A$2:$A$755,"NZ_CPI",Release_Calendar!$B$2:$B$755,$A4220)&gt;0,1,0))</f>
        <v/>
      </c>
      <c r="N4220" s="16" t="str">
        <f>IF($A4220&lt;Notes!$B$5,"",IF(COUNTIFS(Release_Calendar!$A$2:$A$755,"NZ_GDP",Release_Calendar!$B$2:$B$755,$A4220)&gt;0,1,0))</f>
        <v/>
      </c>
      <c r="O4220" s="16" t="str">
        <f>IF($A4220&lt;Notes!$B$5,"",IF(COUNTIFS(Release_Calendar!$A$2:$A$755,"NZ_LABOUR",Release_Calendar!$B$2:$B$755,$A4220)&gt;0,1,0))</f>
        <v/>
      </c>
      <c r="P4220" s="16">
        <f t="shared" si="4"/>
        <v>0</v>
      </c>
    </row>
    <row r="4221" ht="15.75" customHeight="1">
      <c r="A4221" s="14">
        <v>42433.0</v>
      </c>
      <c r="B4221" s="15">
        <v>0.88</v>
      </c>
      <c r="C4221" s="15">
        <v>2.44</v>
      </c>
      <c r="D4221" s="15">
        <v>2.22</v>
      </c>
      <c r="E4221" s="15">
        <v>2.23</v>
      </c>
      <c r="F4221" s="15">
        <f t="shared" si="1"/>
        <v>1.56</v>
      </c>
      <c r="G4221" s="15">
        <f t="shared" si="2"/>
        <v>2.44</v>
      </c>
      <c r="H4221" s="16">
        <v>0.0</v>
      </c>
      <c r="I4221" s="15">
        <f t="shared" si="3"/>
        <v>1.56</v>
      </c>
      <c r="J4221" s="15">
        <v>16.86</v>
      </c>
      <c r="K4221" s="16">
        <f>IF(COUNTIFS(Release_Calendar!$A$2:$A$755,"US_CPI",Release_Calendar!$B$2:$B$755,$A4221)&gt;0,1,0)</f>
        <v>0</v>
      </c>
      <c r="L4221" s="16">
        <f>IF(COUNTIFS(Release_Calendar!$A$2:$A$755,"US_NFP",Release_Calendar!$B$2:$B$755,$A4221)&gt;0,1,0)</f>
        <v>1</v>
      </c>
      <c r="M4221" s="16" t="str">
        <f>IF($A4221&lt;Notes!$B$5,"",IF(COUNTIFS(Release_Calendar!$A$2:$A$755,"NZ_CPI",Release_Calendar!$B$2:$B$755,$A4221)&gt;0,1,0))</f>
        <v/>
      </c>
      <c r="N4221" s="16" t="str">
        <f>IF($A4221&lt;Notes!$B$5,"",IF(COUNTIFS(Release_Calendar!$A$2:$A$755,"NZ_GDP",Release_Calendar!$B$2:$B$755,$A4221)&gt;0,1,0))</f>
        <v/>
      </c>
      <c r="O4221" s="16" t="str">
        <f>IF($A4221&lt;Notes!$B$5,"",IF(COUNTIFS(Release_Calendar!$A$2:$A$755,"NZ_LABOUR",Release_Calendar!$B$2:$B$755,$A4221)&gt;0,1,0))</f>
        <v/>
      </c>
      <c r="P4221" s="16">
        <f t="shared" si="4"/>
        <v>1</v>
      </c>
    </row>
    <row r="4222" ht="15.75" customHeight="1">
      <c r="A4222" s="14">
        <v>42436.0</v>
      </c>
      <c r="B4222" s="15">
        <v>0.91</v>
      </c>
      <c r="C4222" s="15">
        <v>2.44</v>
      </c>
      <c r="D4222" s="15">
        <v>2.24</v>
      </c>
      <c r="E4222" s="15">
        <v>2.25</v>
      </c>
      <c r="F4222" s="15">
        <f t="shared" si="1"/>
        <v>1.53</v>
      </c>
      <c r="G4222" s="15">
        <f t="shared" si="2"/>
        <v>2.44</v>
      </c>
      <c r="H4222" s="16">
        <v>0.0</v>
      </c>
      <c r="I4222" s="15">
        <f t="shared" si="3"/>
        <v>1.53</v>
      </c>
      <c r="J4222" s="15">
        <v>17.35</v>
      </c>
      <c r="K4222" s="16">
        <f>IF(COUNTIFS(Release_Calendar!$A$2:$A$755,"US_CPI",Release_Calendar!$B$2:$B$755,$A4222)&gt;0,1,0)</f>
        <v>0</v>
      </c>
      <c r="L4222" s="16">
        <f>IF(COUNTIFS(Release_Calendar!$A$2:$A$755,"US_NFP",Release_Calendar!$B$2:$B$755,$A4222)&gt;0,1,0)</f>
        <v>0</v>
      </c>
      <c r="M4222" s="16" t="str">
        <f>IF($A4222&lt;Notes!$B$5,"",IF(COUNTIFS(Release_Calendar!$A$2:$A$755,"NZ_CPI",Release_Calendar!$B$2:$B$755,$A4222)&gt;0,1,0))</f>
        <v/>
      </c>
      <c r="N4222" s="16" t="str">
        <f>IF($A4222&lt;Notes!$B$5,"",IF(COUNTIFS(Release_Calendar!$A$2:$A$755,"NZ_GDP",Release_Calendar!$B$2:$B$755,$A4222)&gt;0,1,0))</f>
        <v/>
      </c>
      <c r="O4222" s="16" t="str">
        <f>IF($A4222&lt;Notes!$B$5,"",IF(COUNTIFS(Release_Calendar!$A$2:$A$755,"NZ_LABOUR",Release_Calendar!$B$2:$B$755,$A4222)&gt;0,1,0))</f>
        <v/>
      </c>
      <c r="P4222" s="16">
        <f t="shared" si="4"/>
        <v>0</v>
      </c>
    </row>
    <row r="4223" ht="15.75" customHeight="1">
      <c r="A4223" s="14">
        <v>42437.0</v>
      </c>
      <c r="B4223" s="15">
        <v>0.88</v>
      </c>
      <c r="C4223" s="15">
        <v>2.43</v>
      </c>
      <c r="D4223" s="15">
        <v>2.26</v>
      </c>
      <c r="E4223" s="15">
        <v>2.22</v>
      </c>
      <c r="F4223" s="15">
        <f t="shared" si="1"/>
        <v>1.55</v>
      </c>
      <c r="G4223" s="15">
        <f t="shared" si="2"/>
        <v>2.43</v>
      </c>
      <c r="H4223" s="16">
        <v>0.0</v>
      </c>
      <c r="I4223" s="15">
        <f t="shared" si="3"/>
        <v>1.55</v>
      </c>
      <c r="J4223" s="15">
        <v>18.67</v>
      </c>
      <c r="K4223" s="16">
        <f>IF(COUNTIFS(Release_Calendar!$A$2:$A$755,"US_CPI",Release_Calendar!$B$2:$B$755,$A4223)&gt;0,1,0)</f>
        <v>0</v>
      </c>
      <c r="L4223" s="16">
        <f>IF(COUNTIFS(Release_Calendar!$A$2:$A$755,"US_NFP",Release_Calendar!$B$2:$B$755,$A4223)&gt;0,1,0)</f>
        <v>0</v>
      </c>
      <c r="M4223" s="16" t="str">
        <f>IF($A4223&lt;Notes!$B$5,"",IF(COUNTIFS(Release_Calendar!$A$2:$A$755,"NZ_CPI",Release_Calendar!$B$2:$B$755,$A4223)&gt;0,1,0))</f>
        <v/>
      </c>
      <c r="N4223" s="16" t="str">
        <f>IF($A4223&lt;Notes!$B$5,"",IF(COUNTIFS(Release_Calendar!$A$2:$A$755,"NZ_GDP",Release_Calendar!$B$2:$B$755,$A4223)&gt;0,1,0))</f>
        <v/>
      </c>
      <c r="O4223" s="16" t="str">
        <f>IF($A4223&lt;Notes!$B$5,"",IF(COUNTIFS(Release_Calendar!$A$2:$A$755,"NZ_LABOUR",Release_Calendar!$B$2:$B$755,$A4223)&gt;0,1,0))</f>
        <v/>
      </c>
      <c r="P4223" s="16">
        <f t="shared" si="4"/>
        <v>0</v>
      </c>
    </row>
    <row r="4224" ht="15.75" customHeight="1">
      <c r="A4224" s="14">
        <v>42438.0</v>
      </c>
      <c r="B4224" s="15">
        <v>0.9</v>
      </c>
      <c r="C4224" s="15">
        <v>2.44</v>
      </c>
      <c r="D4224" s="15">
        <v>2.19</v>
      </c>
      <c r="E4224" s="15">
        <v>2.2</v>
      </c>
      <c r="F4224" s="15">
        <f t="shared" si="1"/>
        <v>1.54</v>
      </c>
      <c r="G4224" s="15">
        <f t="shared" si="2"/>
        <v>2.44</v>
      </c>
      <c r="H4224" s="16">
        <v>0.0</v>
      </c>
      <c r="I4224" s="15">
        <f t="shared" si="3"/>
        <v>1.54</v>
      </c>
      <c r="J4224" s="15">
        <v>18.34</v>
      </c>
      <c r="K4224" s="16">
        <f>IF(COUNTIFS(Release_Calendar!$A$2:$A$755,"US_CPI",Release_Calendar!$B$2:$B$755,$A4224)&gt;0,1,0)</f>
        <v>0</v>
      </c>
      <c r="L4224" s="16">
        <f>IF(COUNTIFS(Release_Calendar!$A$2:$A$755,"US_NFP",Release_Calendar!$B$2:$B$755,$A4224)&gt;0,1,0)</f>
        <v>0</v>
      </c>
      <c r="M4224" s="16" t="str">
        <f>IF($A4224&lt;Notes!$B$5,"",IF(COUNTIFS(Release_Calendar!$A$2:$A$755,"NZ_CPI",Release_Calendar!$B$2:$B$755,$A4224)&gt;0,1,0))</f>
        <v/>
      </c>
      <c r="N4224" s="16" t="str">
        <f>IF($A4224&lt;Notes!$B$5,"",IF(COUNTIFS(Release_Calendar!$A$2:$A$755,"NZ_GDP",Release_Calendar!$B$2:$B$755,$A4224)&gt;0,1,0))</f>
        <v/>
      </c>
      <c r="O4224" s="16" t="str">
        <f>IF($A4224&lt;Notes!$B$5,"",IF(COUNTIFS(Release_Calendar!$A$2:$A$755,"NZ_LABOUR",Release_Calendar!$B$2:$B$755,$A4224)&gt;0,1,0))</f>
        <v/>
      </c>
      <c r="P4224" s="16">
        <f t="shared" si="4"/>
        <v>0</v>
      </c>
    </row>
    <row r="4225" ht="15.75" customHeight="1">
      <c r="A4225" s="14">
        <v>42439.0</v>
      </c>
      <c r="B4225" s="15">
        <v>0.93</v>
      </c>
      <c r="C4225" s="15">
        <v>2.24</v>
      </c>
      <c r="D4225" s="15">
        <v>2.04</v>
      </c>
      <c r="E4225" s="15">
        <v>2.03</v>
      </c>
      <c r="F4225" s="15">
        <f t="shared" si="1"/>
        <v>1.31</v>
      </c>
      <c r="G4225" s="15">
        <f t="shared" si="2"/>
        <v>2.24</v>
      </c>
      <c r="H4225" s="16">
        <v>0.0</v>
      </c>
      <c r="I4225" s="15">
        <f t="shared" si="3"/>
        <v>1.31</v>
      </c>
      <c r="J4225" s="15">
        <v>18.05</v>
      </c>
      <c r="K4225" s="16">
        <f>IF(COUNTIFS(Release_Calendar!$A$2:$A$755,"US_CPI",Release_Calendar!$B$2:$B$755,$A4225)&gt;0,1,0)</f>
        <v>0</v>
      </c>
      <c r="L4225" s="16">
        <f>IF(COUNTIFS(Release_Calendar!$A$2:$A$755,"US_NFP",Release_Calendar!$B$2:$B$755,$A4225)&gt;0,1,0)</f>
        <v>0</v>
      </c>
      <c r="M4225" s="16" t="str">
        <f>IF($A4225&lt;Notes!$B$5,"",IF(COUNTIFS(Release_Calendar!$A$2:$A$755,"NZ_CPI",Release_Calendar!$B$2:$B$755,$A4225)&gt;0,1,0))</f>
        <v/>
      </c>
      <c r="N4225" s="16" t="str">
        <f>IF($A4225&lt;Notes!$B$5,"",IF(COUNTIFS(Release_Calendar!$A$2:$A$755,"NZ_GDP",Release_Calendar!$B$2:$B$755,$A4225)&gt;0,1,0))</f>
        <v/>
      </c>
      <c r="O4225" s="16" t="str">
        <f>IF($A4225&lt;Notes!$B$5,"",IF(COUNTIFS(Release_Calendar!$A$2:$A$755,"NZ_LABOUR",Release_Calendar!$B$2:$B$755,$A4225)&gt;0,1,0))</f>
        <v/>
      </c>
      <c r="P4225" s="16">
        <f t="shared" si="4"/>
        <v>0</v>
      </c>
    </row>
    <row r="4226" ht="15.75" customHeight="1">
      <c r="A4226" s="14">
        <v>42440.0</v>
      </c>
      <c r="B4226" s="15">
        <v>0.97</v>
      </c>
      <c r="C4226" s="15">
        <v>2.27</v>
      </c>
      <c r="D4226" s="15">
        <v>2.04</v>
      </c>
      <c r="E4226" s="15">
        <v>2.06</v>
      </c>
      <c r="F4226" s="15">
        <f t="shared" si="1"/>
        <v>1.3</v>
      </c>
      <c r="G4226" s="15">
        <f t="shared" si="2"/>
        <v>2.27</v>
      </c>
      <c r="H4226" s="16">
        <v>0.0</v>
      </c>
      <c r="I4226" s="15">
        <f t="shared" si="3"/>
        <v>1.3</v>
      </c>
      <c r="J4226" s="15">
        <v>16.5</v>
      </c>
      <c r="K4226" s="16">
        <f>IF(COUNTIFS(Release_Calendar!$A$2:$A$755,"US_CPI",Release_Calendar!$B$2:$B$755,$A4226)&gt;0,1,0)</f>
        <v>0</v>
      </c>
      <c r="L4226" s="16">
        <f>IF(COUNTIFS(Release_Calendar!$A$2:$A$755,"US_NFP",Release_Calendar!$B$2:$B$755,$A4226)&gt;0,1,0)</f>
        <v>0</v>
      </c>
      <c r="M4226" s="16" t="str">
        <f>IF($A4226&lt;Notes!$B$5,"",IF(COUNTIFS(Release_Calendar!$A$2:$A$755,"NZ_CPI",Release_Calendar!$B$2:$B$755,$A4226)&gt;0,1,0))</f>
        <v/>
      </c>
      <c r="N4226" s="16" t="str">
        <f>IF($A4226&lt;Notes!$B$5,"",IF(COUNTIFS(Release_Calendar!$A$2:$A$755,"NZ_GDP",Release_Calendar!$B$2:$B$755,$A4226)&gt;0,1,0))</f>
        <v/>
      </c>
      <c r="O4226" s="16" t="str">
        <f>IF($A4226&lt;Notes!$B$5,"",IF(COUNTIFS(Release_Calendar!$A$2:$A$755,"NZ_LABOUR",Release_Calendar!$B$2:$B$755,$A4226)&gt;0,1,0))</f>
        <v/>
      </c>
      <c r="P4226" s="16">
        <f t="shared" si="4"/>
        <v>0</v>
      </c>
    </row>
    <row r="4227" ht="15.75" customHeight="1">
      <c r="A4227" s="14">
        <v>42443.0</v>
      </c>
      <c r="B4227" s="15">
        <v>0.97</v>
      </c>
      <c r="C4227" s="15">
        <v>2.28</v>
      </c>
      <c r="D4227" s="15">
        <v>2.08</v>
      </c>
      <c r="E4227" s="15">
        <v>2.1</v>
      </c>
      <c r="F4227" s="15">
        <f t="shared" si="1"/>
        <v>1.31</v>
      </c>
      <c r="G4227" s="15">
        <f t="shared" si="2"/>
        <v>2.28</v>
      </c>
      <c r="H4227" s="16">
        <v>0.0</v>
      </c>
      <c r="I4227" s="15">
        <f t="shared" si="3"/>
        <v>1.31</v>
      </c>
      <c r="J4227" s="15">
        <v>16.92</v>
      </c>
      <c r="K4227" s="16">
        <f>IF(COUNTIFS(Release_Calendar!$A$2:$A$755,"US_CPI",Release_Calendar!$B$2:$B$755,$A4227)&gt;0,1,0)</f>
        <v>0</v>
      </c>
      <c r="L4227" s="16">
        <f>IF(COUNTIFS(Release_Calendar!$A$2:$A$755,"US_NFP",Release_Calendar!$B$2:$B$755,$A4227)&gt;0,1,0)</f>
        <v>0</v>
      </c>
      <c r="M4227" s="16" t="str">
        <f>IF($A4227&lt;Notes!$B$5,"",IF(COUNTIFS(Release_Calendar!$A$2:$A$755,"NZ_CPI",Release_Calendar!$B$2:$B$755,$A4227)&gt;0,1,0))</f>
        <v/>
      </c>
      <c r="N4227" s="16" t="str">
        <f>IF($A4227&lt;Notes!$B$5,"",IF(COUNTIFS(Release_Calendar!$A$2:$A$755,"NZ_GDP",Release_Calendar!$B$2:$B$755,$A4227)&gt;0,1,0))</f>
        <v/>
      </c>
      <c r="O4227" s="16" t="str">
        <f>IF($A4227&lt;Notes!$B$5,"",IF(COUNTIFS(Release_Calendar!$A$2:$A$755,"NZ_LABOUR",Release_Calendar!$B$2:$B$755,$A4227)&gt;0,1,0))</f>
        <v/>
      </c>
      <c r="P4227" s="16">
        <f t="shared" si="4"/>
        <v>0</v>
      </c>
    </row>
    <row r="4228" ht="15.75" customHeight="1">
      <c r="A4228" s="14">
        <v>42444.0</v>
      </c>
      <c r="B4228" s="15">
        <v>0.98</v>
      </c>
      <c r="C4228" s="15">
        <v>2.27</v>
      </c>
      <c r="D4228" s="15">
        <v>2.08</v>
      </c>
      <c r="E4228" s="15">
        <v>2.09</v>
      </c>
      <c r="F4228" s="15">
        <f t="shared" si="1"/>
        <v>1.29</v>
      </c>
      <c r="G4228" s="15">
        <f t="shared" si="2"/>
        <v>2.27</v>
      </c>
      <c r="H4228" s="16">
        <v>0.0</v>
      </c>
      <c r="I4228" s="15">
        <f t="shared" si="3"/>
        <v>1.29</v>
      </c>
      <c r="J4228" s="15">
        <v>16.84</v>
      </c>
      <c r="K4228" s="16">
        <f>IF(COUNTIFS(Release_Calendar!$A$2:$A$755,"US_CPI",Release_Calendar!$B$2:$B$755,$A4228)&gt;0,1,0)</f>
        <v>0</v>
      </c>
      <c r="L4228" s="16">
        <f>IF(COUNTIFS(Release_Calendar!$A$2:$A$755,"US_NFP",Release_Calendar!$B$2:$B$755,$A4228)&gt;0,1,0)</f>
        <v>0</v>
      </c>
      <c r="M4228" s="16" t="str">
        <f>IF($A4228&lt;Notes!$B$5,"",IF(COUNTIFS(Release_Calendar!$A$2:$A$755,"NZ_CPI",Release_Calendar!$B$2:$B$755,$A4228)&gt;0,1,0))</f>
        <v/>
      </c>
      <c r="N4228" s="16" t="str">
        <f>IF($A4228&lt;Notes!$B$5,"",IF(COUNTIFS(Release_Calendar!$A$2:$A$755,"NZ_GDP",Release_Calendar!$B$2:$B$755,$A4228)&gt;0,1,0))</f>
        <v/>
      </c>
      <c r="O4228" s="16" t="str">
        <f>IF($A4228&lt;Notes!$B$5,"",IF(COUNTIFS(Release_Calendar!$A$2:$A$755,"NZ_LABOUR",Release_Calendar!$B$2:$B$755,$A4228)&gt;0,1,0))</f>
        <v/>
      </c>
      <c r="P4228" s="16">
        <f t="shared" si="4"/>
        <v>0</v>
      </c>
    </row>
    <row r="4229" ht="15.75" customHeight="1">
      <c r="A4229" s="14">
        <v>42445.0</v>
      </c>
      <c r="B4229" s="15">
        <v>0.87</v>
      </c>
      <c r="C4229" s="15">
        <v>2.29</v>
      </c>
      <c r="D4229" s="15">
        <v>2.11</v>
      </c>
      <c r="E4229" s="15">
        <v>2.11</v>
      </c>
      <c r="F4229" s="15">
        <f t="shared" si="1"/>
        <v>1.42</v>
      </c>
      <c r="G4229" s="15">
        <f t="shared" si="2"/>
        <v>2.29</v>
      </c>
      <c r="H4229" s="16">
        <v>0.0</v>
      </c>
      <c r="I4229" s="15">
        <f t="shared" si="3"/>
        <v>1.42</v>
      </c>
      <c r="J4229" s="15">
        <v>14.99</v>
      </c>
      <c r="K4229" s="16">
        <f>IF(COUNTIFS(Release_Calendar!$A$2:$A$755,"US_CPI",Release_Calendar!$B$2:$B$755,$A4229)&gt;0,1,0)</f>
        <v>1</v>
      </c>
      <c r="L4229" s="16">
        <f>IF(COUNTIFS(Release_Calendar!$A$2:$A$755,"US_NFP",Release_Calendar!$B$2:$B$755,$A4229)&gt;0,1,0)</f>
        <v>0</v>
      </c>
      <c r="M4229" s="16" t="str">
        <f>IF($A4229&lt;Notes!$B$5,"",IF(COUNTIFS(Release_Calendar!$A$2:$A$755,"NZ_CPI",Release_Calendar!$B$2:$B$755,$A4229)&gt;0,1,0))</f>
        <v/>
      </c>
      <c r="N4229" s="16" t="str">
        <f>IF($A4229&lt;Notes!$B$5,"",IF(COUNTIFS(Release_Calendar!$A$2:$A$755,"NZ_GDP",Release_Calendar!$B$2:$B$755,$A4229)&gt;0,1,0))</f>
        <v/>
      </c>
      <c r="O4229" s="16" t="str">
        <f>IF($A4229&lt;Notes!$B$5,"",IF(COUNTIFS(Release_Calendar!$A$2:$A$755,"NZ_LABOUR",Release_Calendar!$B$2:$B$755,$A4229)&gt;0,1,0))</f>
        <v/>
      </c>
      <c r="P4229" s="16">
        <f t="shared" si="4"/>
        <v>1</v>
      </c>
    </row>
    <row r="4230" ht="15.75" customHeight="1">
      <c r="A4230" s="14">
        <v>42446.0</v>
      </c>
      <c r="B4230" s="15">
        <v>0.87</v>
      </c>
      <c r="C4230" s="15">
        <v>2.25</v>
      </c>
      <c r="D4230" s="15">
        <v>2.07</v>
      </c>
      <c r="E4230" s="15">
        <v>2.07</v>
      </c>
      <c r="F4230" s="15">
        <f t="shared" si="1"/>
        <v>1.38</v>
      </c>
      <c r="G4230" s="15">
        <f t="shared" si="2"/>
        <v>2.25</v>
      </c>
      <c r="H4230" s="16">
        <v>0.0</v>
      </c>
      <c r="I4230" s="15">
        <f t="shared" si="3"/>
        <v>1.38</v>
      </c>
      <c r="J4230" s="15">
        <v>14.44</v>
      </c>
      <c r="K4230" s="16">
        <f>IF(COUNTIFS(Release_Calendar!$A$2:$A$755,"US_CPI",Release_Calendar!$B$2:$B$755,$A4230)&gt;0,1,0)</f>
        <v>0</v>
      </c>
      <c r="L4230" s="16">
        <f>IF(COUNTIFS(Release_Calendar!$A$2:$A$755,"US_NFP",Release_Calendar!$B$2:$B$755,$A4230)&gt;0,1,0)</f>
        <v>0</v>
      </c>
      <c r="M4230" s="16" t="str">
        <f>IF($A4230&lt;Notes!$B$5,"",IF(COUNTIFS(Release_Calendar!$A$2:$A$755,"NZ_CPI",Release_Calendar!$B$2:$B$755,$A4230)&gt;0,1,0))</f>
        <v/>
      </c>
      <c r="N4230" s="16" t="str">
        <f>IF($A4230&lt;Notes!$B$5,"",IF(COUNTIFS(Release_Calendar!$A$2:$A$755,"NZ_GDP",Release_Calendar!$B$2:$B$755,$A4230)&gt;0,1,0))</f>
        <v/>
      </c>
      <c r="O4230" s="16" t="str">
        <f>IF($A4230&lt;Notes!$B$5,"",IF(COUNTIFS(Release_Calendar!$A$2:$A$755,"NZ_LABOUR",Release_Calendar!$B$2:$B$755,$A4230)&gt;0,1,0))</f>
        <v/>
      </c>
      <c r="P4230" s="16">
        <f t="shared" si="4"/>
        <v>0</v>
      </c>
    </row>
    <row r="4231" ht="15.75" customHeight="1">
      <c r="A4231" s="14">
        <v>42447.0</v>
      </c>
      <c r="B4231" s="15">
        <v>0.84</v>
      </c>
      <c r="C4231" s="15">
        <v>2.23</v>
      </c>
      <c r="D4231" s="15">
        <v>2.06</v>
      </c>
      <c r="E4231" s="15">
        <v>2.04</v>
      </c>
      <c r="F4231" s="15">
        <f t="shared" si="1"/>
        <v>1.39</v>
      </c>
      <c r="G4231" s="15">
        <f t="shared" si="2"/>
        <v>2.23</v>
      </c>
      <c r="H4231" s="16">
        <v>0.0</v>
      </c>
      <c r="I4231" s="15">
        <f t="shared" si="3"/>
        <v>1.39</v>
      </c>
      <c r="J4231" s="15">
        <v>14.02</v>
      </c>
      <c r="K4231" s="16">
        <f>IF(COUNTIFS(Release_Calendar!$A$2:$A$755,"US_CPI",Release_Calendar!$B$2:$B$755,$A4231)&gt;0,1,0)</f>
        <v>0</v>
      </c>
      <c r="L4231" s="16">
        <f>IF(COUNTIFS(Release_Calendar!$A$2:$A$755,"US_NFP",Release_Calendar!$B$2:$B$755,$A4231)&gt;0,1,0)</f>
        <v>0</v>
      </c>
      <c r="M4231" s="16" t="str">
        <f>IF($A4231&lt;Notes!$B$5,"",IF(COUNTIFS(Release_Calendar!$A$2:$A$755,"NZ_CPI",Release_Calendar!$B$2:$B$755,$A4231)&gt;0,1,0))</f>
        <v/>
      </c>
      <c r="N4231" s="16" t="str">
        <f>IF($A4231&lt;Notes!$B$5,"",IF(COUNTIFS(Release_Calendar!$A$2:$A$755,"NZ_GDP",Release_Calendar!$B$2:$B$755,$A4231)&gt;0,1,0))</f>
        <v/>
      </c>
      <c r="O4231" s="16" t="str">
        <f>IF($A4231&lt;Notes!$B$5,"",IF(COUNTIFS(Release_Calendar!$A$2:$A$755,"NZ_LABOUR",Release_Calendar!$B$2:$B$755,$A4231)&gt;0,1,0))</f>
        <v/>
      </c>
      <c r="P4231" s="16">
        <f t="shared" si="4"/>
        <v>0</v>
      </c>
    </row>
    <row r="4232" ht="15.75" customHeight="1">
      <c r="A4232" s="14">
        <v>42450.0</v>
      </c>
      <c r="B4232" s="15">
        <v>0.87</v>
      </c>
      <c r="C4232" s="15">
        <v>2.22</v>
      </c>
      <c r="D4232" s="15">
        <v>2.04</v>
      </c>
      <c r="E4232" s="15">
        <v>2.04</v>
      </c>
      <c r="F4232" s="15">
        <f t="shared" si="1"/>
        <v>1.35</v>
      </c>
      <c r="G4232" s="15">
        <f t="shared" si="2"/>
        <v>2.22</v>
      </c>
      <c r="H4232" s="16">
        <v>0.0</v>
      </c>
      <c r="I4232" s="15">
        <f t="shared" si="3"/>
        <v>1.35</v>
      </c>
      <c r="J4232" s="15">
        <v>13.79</v>
      </c>
      <c r="K4232" s="16">
        <f>IF(COUNTIFS(Release_Calendar!$A$2:$A$755,"US_CPI",Release_Calendar!$B$2:$B$755,$A4232)&gt;0,1,0)</f>
        <v>0</v>
      </c>
      <c r="L4232" s="16">
        <f>IF(COUNTIFS(Release_Calendar!$A$2:$A$755,"US_NFP",Release_Calendar!$B$2:$B$755,$A4232)&gt;0,1,0)</f>
        <v>0</v>
      </c>
      <c r="M4232" s="16" t="str">
        <f>IF($A4232&lt;Notes!$B$5,"",IF(COUNTIFS(Release_Calendar!$A$2:$A$755,"NZ_CPI",Release_Calendar!$B$2:$B$755,$A4232)&gt;0,1,0))</f>
        <v/>
      </c>
      <c r="N4232" s="16" t="str">
        <f>IF($A4232&lt;Notes!$B$5,"",IF(COUNTIFS(Release_Calendar!$A$2:$A$755,"NZ_GDP",Release_Calendar!$B$2:$B$755,$A4232)&gt;0,1,0))</f>
        <v/>
      </c>
      <c r="O4232" s="16" t="str">
        <f>IF($A4232&lt;Notes!$B$5,"",IF(COUNTIFS(Release_Calendar!$A$2:$A$755,"NZ_LABOUR",Release_Calendar!$B$2:$B$755,$A4232)&gt;0,1,0))</f>
        <v/>
      </c>
      <c r="P4232" s="16">
        <f t="shared" si="4"/>
        <v>0</v>
      </c>
    </row>
    <row r="4233" ht="15.75" customHeight="1">
      <c r="A4233" s="14">
        <v>42451.0</v>
      </c>
      <c r="B4233" s="15">
        <v>0.91</v>
      </c>
      <c r="C4233" s="15">
        <v>2.23</v>
      </c>
      <c r="D4233" s="15">
        <v>2.07</v>
      </c>
      <c r="E4233" s="15">
        <v>2.06</v>
      </c>
      <c r="F4233" s="15">
        <f t="shared" si="1"/>
        <v>1.32</v>
      </c>
      <c r="G4233" s="15">
        <f t="shared" si="2"/>
        <v>2.23</v>
      </c>
      <c r="H4233" s="16">
        <v>0.0</v>
      </c>
      <c r="I4233" s="15">
        <f t="shared" si="3"/>
        <v>1.32</v>
      </c>
      <c r="J4233" s="15">
        <v>14.17</v>
      </c>
      <c r="K4233" s="16">
        <f>IF(COUNTIFS(Release_Calendar!$A$2:$A$755,"US_CPI",Release_Calendar!$B$2:$B$755,$A4233)&gt;0,1,0)</f>
        <v>0</v>
      </c>
      <c r="L4233" s="16">
        <f>IF(COUNTIFS(Release_Calendar!$A$2:$A$755,"US_NFP",Release_Calendar!$B$2:$B$755,$A4233)&gt;0,1,0)</f>
        <v>0</v>
      </c>
      <c r="M4233" s="16" t="str">
        <f>IF($A4233&lt;Notes!$B$5,"",IF(COUNTIFS(Release_Calendar!$A$2:$A$755,"NZ_CPI",Release_Calendar!$B$2:$B$755,$A4233)&gt;0,1,0))</f>
        <v/>
      </c>
      <c r="N4233" s="16" t="str">
        <f>IF($A4233&lt;Notes!$B$5,"",IF(COUNTIFS(Release_Calendar!$A$2:$A$755,"NZ_GDP",Release_Calendar!$B$2:$B$755,$A4233)&gt;0,1,0))</f>
        <v/>
      </c>
      <c r="O4233" s="16" t="str">
        <f>IF($A4233&lt;Notes!$B$5,"",IF(COUNTIFS(Release_Calendar!$A$2:$A$755,"NZ_LABOUR",Release_Calendar!$B$2:$B$755,$A4233)&gt;0,1,0))</f>
        <v/>
      </c>
      <c r="P4233" s="16">
        <f t="shared" si="4"/>
        <v>0</v>
      </c>
    </row>
    <row r="4234" ht="15.75" customHeight="1">
      <c r="A4234" s="14">
        <v>42452.0</v>
      </c>
      <c r="B4234" s="15">
        <v>0.87</v>
      </c>
      <c r="C4234" s="15">
        <v>2.26</v>
      </c>
      <c r="D4234" s="15">
        <v>2.08</v>
      </c>
      <c r="E4234" s="15">
        <v>2.08</v>
      </c>
      <c r="F4234" s="15">
        <f t="shared" si="1"/>
        <v>1.39</v>
      </c>
      <c r="G4234" s="15">
        <f t="shared" si="2"/>
        <v>2.26</v>
      </c>
      <c r="H4234" s="16">
        <v>0.0</v>
      </c>
      <c r="I4234" s="15">
        <f t="shared" si="3"/>
        <v>1.39</v>
      </c>
      <c r="J4234" s="15">
        <v>14.94</v>
      </c>
      <c r="K4234" s="16">
        <f>IF(COUNTIFS(Release_Calendar!$A$2:$A$755,"US_CPI",Release_Calendar!$B$2:$B$755,$A4234)&gt;0,1,0)</f>
        <v>0</v>
      </c>
      <c r="L4234" s="16">
        <f>IF(COUNTIFS(Release_Calendar!$A$2:$A$755,"US_NFP",Release_Calendar!$B$2:$B$755,$A4234)&gt;0,1,0)</f>
        <v>0</v>
      </c>
      <c r="M4234" s="16" t="str">
        <f>IF($A4234&lt;Notes!$B$5,"",IF(COUNTIFS(Release_Calendar!$A$2:$A$755,"NZ_CPI",Release_Calendar!$B$2:$B$755,$A4234)&gt;0,1,0))</f>
        <v/>
      </c>
      <c r="N4234" s="16" t="str">
        <f>IF($A4234&lt;Notes!$B$5,"",IF(COUNTIFS(Release_Calendar!$A$2:$A$755,"NZ_GDP",Release_Calendar!$B$2:$B$755,$A4234)&gt;0,1,0))</f>
        <v/>
      </c>
      <c r="O4234" s="16" t="str">
        <f>IF($A4234&lt;Notes!$B$5,"",IF(COUNTIFS(Release_Calendar!$A$2:$A$755,"NZ_LABOUR",Release_Calendar!$B$2:$B$755,$A4234)&gt;0,1,0))</f>
        <v/>
      </c>
      <c r="P4234" s="16">
        <f t="shared" si="4"/>
        <v>0</v>
      </c>
    </row>
    <row r="4235" ht="15.75" customHeight="1">
      <c r="A4235" s="14">
        <v>42453.0</v>
      </c>
      <c r="B4235" s="15">
        <v>0.89</v>
      </c>
      <c r="C4235" s="15">
        <v>2.26</v>
      </c>
      <c r="D4235" s="15">
        <v>2.07</v>
      </c>
      <c r="E4235" s="15">
        <v>2.05</v>
      </c>
      <c r="F4235" s="15">
        <f t="shared" si="1"/>
        <v>1.37</v>
      </c>
      <c r="G4235" s="15">
        <f t="shared" si="2"/>
        <v>2.26</v>
      </c>
      <c r="H4235" s="16">
        <v>0.0</v>
      </c>
      <c r="I4235" s="15">
        <f t="shared" si="3"/>
        <v>1.37</v>
      </c>
      <c r="J4235" s="15">
        <v>14.74</v>
      </c>
      <c r="K4235" s="16">
        <f>IF(COUNTIFS(Release_Calendar!$A$2:$A$755,"US_CPI",Release_Calendar!$B$2:$B$755,$A4235)&gt;0,1,0)</f>
        <v>0</v>
      </c>
      <c r="L4235" s="16">
        <f>IF(COUNTIFS(Release_Calendar!$A$2:$A$755,"US_NFP",Release_Calendar!$B$2:$B$755,$A4235)&gt;0,1,0)</f>
        <v>0</v>
      </c>
      <c r="M4235" s="16" t="str">
        <f>IF($A4235&lt;Notes!$B$5,"",IF(COUNTIFS(Release_Calendar!$A$2:$A$755,"NZ_CPI",Release_Calendar!$B$2:$B$755,$A4235)&gt;0,1,0))</f>
        <v/>
      </c>
      <c r="N4235" s="16" t="str">
        <f>IF($A4235&lt;Notes!$B$5,"",IF(COUNTIFS(Release_Calendar!$A$2:$A$755,"NZ_GDP",Release_Calendar!$B$2:$B$755,$A4235)&gt;0,1,0))</f>
        <v/>
      </c>
      <c r="O4235" s="16" t="str">
        <f>IF($A4235&lt;Notes!$B$5,"",IF(COUNTIFS(Release_Calendar!$A$2:$A$755,"NZ_LABOUR",Release_Calendar!$B$2:$B$755,$A4235)&gt;0,1,0))</f>
        <v/>
      </c>
      <c r="P4235" s="16">
        <f t="shared" si="4"/>
        <v>0</v>
      </c>
    </row>
    <row r="4236" ht="15.75" customHeight="1">
      <c r="A4236" s="14">
        <v>42454.0</v>
      </c>
      <c r="B4236" s="15"/>
      <c r="C4236" s="15"/>
      <c r="D4236" s="15"/>
      <c r="E4236" s="15"/>
      <c r="F4236" s="15" t="str">
        <f t="shared" si="1"/>
        <v/>
      </c>
      <c r="G4236" s="15" t="str">
        <f t="shared" si="2"/>
        <v/>
      </c>
      <c r="H4236" s="16">
        <v>0.0</v>
      </c>
      <c r="I4236" s="15" t="str">
        <f t="shared" si="3"/>
        <v/>
      </c>
      <c r="J4236" s="15"/>
      <c r="K4236" s="16">
        <f>IF(COUNTIFS(Release_Calendar!$A$2:$A$755,"US_CPI",Release_Calendar!$B$2:$B$755,$A4236)&gt;0,1,0)</f>
        <v>0</v>
      </c>
      <c r="L4236" s="16">
        <f>IF(COUNTIFS(Release_Calendar!$A$2:$A$755,"US_NFP",Release_Calendar!$B$2:$B$755,$A4236)&gt;0,1,0)</f>
        <v>0</v>
      </c>
      <c r="M4236" s="16" t="str">
        <f>IF($A4236&lt;Notes!$B$5,"",IF(COUNTIFS(Release_Calendar!$A$2:$A$755,"NZ_CPI",Release_Calendar!$B$2:$B$755,$A4236)&gt;0,1,0))</f>
        <v/>
      </c>
      <c r="N4236" s="16" t="str">
        <f>IF($A4236&lt;Notes!$B$5,"",IF(COUNTIFS(Release_Calendar!$A$2:$A$755,"NZ_GDP",Release_Calendar!$B$2:$B$755,$A4236)&gt;0,1,0))</f>
        <v/>
      </c>
      <c r="O4236" s="16" t="str">
        <f>IF($A4236&lt;Notes!$B$5,"",IF(COUNTIFS(Release_Calendar!$A$2:$A$755,"NZ_LABOUR",Release_Calendar!$B$2:$B$755,$A4236)&gt;0,1,0))</f>
        <v/>
      </c>
      <c r="P4236" s="16">
        <f t="shared" si="4"/>
        <v>0</v>
      </c>
    </row>
    <row r="4237" ht="15.75" customHeight="1">
      <c r="A4237" s="14">
        <v>42457.0</v>
      </c>
      <c r="B4237" s="15">
        <v>0.89</v>
      </c>
      <c r="C4237" s="15"/>
      <c r="D4237" s="15"/>
      <c r="E4237" s="15"/>
      <c r="F4237" s="15" t="str">
        <f t="shared" si="1"/>
        <v/>
      </c>
      <c r="G4237" s="15" t="str">
        <f t="shared" si="2"/>
        <v/>
      </c>
      <c r="H4237" s="16">
        <v>0.0</v>
      </c>
      <c r="I4237" s="15" t="str">
        <f t="shared" si="3"/>
        <v/>
      </c>
      <c r="J4237" s="15">
        <v>15.24</v>
      </c>
      <c r="K4237" s="16">
        <f>IF(COUNTIFS(Release_Calendar!$A$2:$A$755,"US_CPI",Release_Calendar!$B$2:$B$755,$A4237)&gt;0,1,0)</f>
        <v>0</v>
      </c>
      <c r="L4237" s="16">
        <f>IF(COUNTIFS(Release_Calendar!$A$2:$A$755,"US_NFP",Release_Calendar!$B$2:$B$755,$A4237)&gt;0,1,0)</f>
        <v>0</v>
      </c>
      <c r="M4237" s="16" t="str">
        <f>IF($A4237&lt;Notes!$B$5,"",IF(COUNTIFS(Release_Calendar!$A$2:$A$755,"NZ_CPI",Release_Calendar!$B$2:$B$755,$A4237)&gt;0,1,0))</f>
        <v/>
      </c>
      <c r="N4237" s="16" t="str">
        <f>IF($A4237&lt;Notes!$B$5,"",IF(COUNTIFS(Release_Calendar!$A$2:$A$755,"NZ_GDP",Release_Calendar!$B$2:$B$755,$A4237)&gt;0,1,0))</f>
        <v/>
      </c>
      <c r="O4237" s="16" t="str">
        <f>IF($A4237&lt;Notes!$B$5,"",IF(COUNTIFS(Release_Calendar!$A$2:$A$755,"NZ_LABOUR",Release_Calendar!$B$2:$B$755,$A4237)&gt;0,1,0))</f>
        <v/>
      </c>
      <c r="P4237" s="16">
        <f t="shared" si="4"/>
        <v>0</v>
      </c>
    </row>
    <row r="4238" ht="15.75" customHeight="1">
      <c r="A4238" s="14">
        <v>42458.0</v>
      </c>
      <c r="B4238" s="15">
        <v>0.78</v>
      </c>
      <c r="C4238" s="15">
        <v>2.27</v>
      </c>
      <c r="D4238" s="15">
        <v>2.05</v>
      </c>
      <c r="E4238" s="15">
        <v>2.05</v>
      </c>
      <c r="F4238" s="15">
        <f t="shared" si="1"/>
        <v>1.49</v>
      </c>
      <c r="G4238" s="15">
        <f t="shared" si="2"/>
        <v>2.27</v>
      </c>
      <c r="H4238" s="16">
        <v>0.0</v>
      </c>
      <c r="I4238" s="15">
        <f t="shared" si="3"/>
        <v>1.49</v>
      </c>
      <c r="J4238" s="15">
        <v>13.82</v>
      </c>
      <c r="K4238" s="16">
        <f>IF(COUNTIFS(Release_Calendar!$A$2:$A$755,"US_CPI",Release_Calendar!$B$2:$B$755,$A4238)&gt;0,1,0)</f>
        <v>0</v>
      </c>
      <c r="L4238" s="16">
        <f>IF(COUNTIFS(Release_Calendar!$A$2:$A$755,"US_NFP",Release_Calendar!$B$2:$B$755,$A4238)&gt;0,1,0)</f>
        <v>0</v>
      </c>
      <c r="M4238" s="16" t="str">
        <f>IF($A4238&lt;Notes!$B$5,"",IF(COUNTIFS(Release_Calendar!$A$2:$A$755,"NZ_CPI",Release_Calendar!$B$2:$B$755,$A4238)&gt;0,1,0))</f>
        <v/>
      </c>
      <c r="N4238" s="16" t="str">
        <f>IF($A4238&lt;Notes!$B$5,"",IF(COUNTIFS(Release_Calendar!$A$2:$A$755,"NZ_GDP",Release_Calendar!$B$2:$B$755,$A4238)&gt;0,1,0))</f>
        <v/>
      </c>
      <c r="O4238" s="16" t="str">
        <f>IF($A4238&lt;Notes!$B$5,"",IF(COUNTIFS(Release_Calendar!$A$2:$A$755,"NZ_LABOUR",Release_Calendar!$B$2:$B$755,$A4238)&gt;0,1,0))</f>
        <v/>
      </c>
      <c r="P4238" s="16">
        <f t="shared" si="4"/>
        <v>0</v>
      </c>
    </row>
    <row r="4239" ht="15.75" customHeight="1">
      <c r="A4239" s="14">
        <v>42459.0</v>
      </c>
      <c r="B4239" s="15">
        <v>0.76</v>
      </c>
      <c r="C4239" s="15">
        <v>2.21</v>
      </c>
      <c r="D4239" s="15">
        <v>2.02</v>
      </c>
      <c r="E4239" s="15">
        <v>1.99</v>
      </c>
      <c r="F4239" s="15">
        <f t="shared" si="1"/>
        <v>1.45</v>
      </c>
      <c r="G4239" s="15">
        <f t="shared" si="2"/>
        <v>2.21</v>
      </c>
      <c r="H4239" s="16">
        <v>0.0</v>
      </c>
      <c r="I4239" s="15">
        <f t="shared" si="3"/>
        <v>1.45</v>
      </c>
      <c r="J4239" s="15">
        <v>13.56</v>
      </c>
      <c r="K4239" s="16">
        <f>IF(COUNTIFS(Release_Calendar!$A$2:$A$755,"US_CPI",Release_Calendar!$B$2:$B$755,$A4239)&gt;0,1,0)</f>
        <v>0</v>
      </c>
      <c r="L4239" s="16">
        <f>IF(COUNTIFS(Release_Calendar!$A$2:$A$755,"US_NFP",Release_Calendar!$B$2:$B$755,$A4239)&gt;0,1,0)</f>
        <v>0</v>
      </c>
      <c r="M4239" s="16" t="str">
        <f>IF($A4239&lt;Notes!$B$5,"",IF(COUNTIFS(Release_Calendar!$A$2:$A$755,"NZ_CPI",Release_Calendar!$B$2:$B$755,$A4239)&gt;0,1,0))</f>
        <v/>
      </c>
      <c r="N4239" s="16" t="str">
        <f>IF($A4239&lt;Notes!$B$5,"",IF(COUNTIFS(Release_Calendar!$A$2:$A$755,"NZ_GDP",Release_Calendar!$B$2:$B$755,$A4239)&gt;0,1,0))</f>
        <v/>
      </c>
      <c r="O4239" s="16" t="str">
        <f>IF($A4239&lt;Notes!$B$5,"",IF(COUNTIFS(Release_Calendar!$A$2:$A$755,"NZ_LABOUR",Release_Calendar!$B$2:$B$755,$A4239)&gt;0,1,0))</f>
        <v/>
      </c>
      <c r="P4239" s="16">
        <f t="shared" si="4"/>
        <v>0</v>
      </c>
    </row>
    <row r="4240" ht="15.75" customHeight="1">
      <c r="A4240" s="14">
        <v>42460.0</v>
      </c>
      <c r="B4240" s="15">
        <v>0.73</v>
      </c>
      <c r="C4240" s="15">
        <v>2.2</v>
      </c>
      <c r="D4240" s="15">
        <v>1.99</v>
      </c>
      <c r="E4240" s="15">
        <v>1.95</v>
      </c>
      <c r="F4240" s="15">
        <f t="shared" si="1"/>
        <v>1.47</v>
      </c>
      <c r="G4240" s="15">
        <f t="shared" si="2"/>
        <v>2.2</v>
      </c>
      <c r="H4240" s="16">
        <v>0.0</v>
      </c>
      <c r="I4240" s="15">
        <f t="shared" si="3"/>
        <v>1.47</v>
      </c>
      <c r="J4240" s="15">
        <v>13.95</v>
      </c>
      <c r="K4240" s="16">
        <f>IF(COUNTIFS(Release_Calendar!$A$2:$A$755,"US_CPI",Release_Calendar!$B$2:$B$755,$A4240)&gt;0,1,0)</f>
        <v>0</v>
      </c>
      <c r="L4240" s="16">
        <f>IF(COUNTIFS(Release_Calendar!$A$2:$A$755,"US_NFP",Release_Calendar!$B$2:$B$755,$A4240)&gt;0,1,0)</f>
        <v>0</v>
      </c>
      <c r="M4240" s="16" t="str">
        <f>IF($A4240&lt;Notes!$B$5,"",IF(COUNTIFS(Release_Calendar!$A$2:$A$755,"NZ_CPI",Release_Calendar!$B$2:$B$755,$A4240)&gt;0,1,0))</f>
        <v/>
      </c>
      <c r="N4240" s="16" t="str">
        <f>IF($A4240&lt;Notes!$B$5,"",IF(COUNTIFS(Release_Calendar!$A$2:$A$755,"NZ_GDP",Release_Calendar!$B$2:$B$755,$A4240)&gt;0,1,0))</f>
        <v/>
      </c>
      <c r="O4240" s="16" t="str">
        <f>IF($A4240&lt;Notes!$B$5,"",IF(COUNTIFS(Release_Calendar!$A$2:$A$755,"NZ_LABOUR",Release_Calendar!$B$2:$B$755,$A4240)&gt;0,1,0))</f>
        <v/>
      </c>
      <c r="P4240" s="16">
        <f t="shared" si="4"/>
        <v>0</v>
      </c>
    </row>
    <row r="4241" ht="15.75" customHeight="1">
      <c r="A4241" s="14">
        <v>42461.0</v>
      </c>
      <c r="B4241" s="15">
        <v>0.76</v>
      </c>
      <c r="C4241" s="15">
        <v>2.21</v>
      </c>
      <c r="D4241" s="15">
        <v>1.9</v>
      </c>
      <c r="E4241" s="15">
        <v>1.97</v>
      </c>
      <c r="F4241" s="15">
        <f t="shared" si="1"/>
        <v>1.45</v>
      </c>
      <c r="G4241" s="15">
        <f t="shared" si="2"/>
        <v>2.21</v>
      </c>
      <c r="H4241" s="16">
        <v>0.0</v>
      </c>
      <c r="I4241" s="15">
        <f t="shared" si="3"/>
        <v>1.45</v>
      </c>
      <c r="J4241" s="15">
        <v>13.1</v>
      </c>
      <c r="K4241" s="16">
        <f>IF(COUNTIFS(Release_Calendar!$A$2:$A$755,"US_CPI",Release_Calendar!$B$2:$B$755,$A4241)&gt;0,1,0)</f>
        <v>0</v>
      </c>
      <c r="L4241" s="16">
        <f>IF(COUNTIFS(Release_Calendar!$A$2:$A$755,"US_NFP",Release_Calendar!$B$2:$B$755,$A4241)&gt;0,1,0)</f>
        <v>1</v>
      </c>
      <c r="M4241" s="16" t="str">
        <f>IF($A4241&lt;Notes!$B$5,"",IF(COUNTIFS(Release_Calendar!$A$2:$A$755,"NZ_CPI",Release_Calendar!$B$2:$B$755,$A4241)&gt;0,1,0))</f>
        <v/>
      </c>
      <c r="N4241" s="16" t="str">
        <f>IF($A4241&lt;Notes!$B$5,"",IF(COUNTIFS(Release_Calendar!$A$2:$A$755,"NZ_GDP",Release_Calendar!$B$2:$B$755,$A4241)&gt;0,1,0))</f>
        <v/>
      </c>
      <c r="O4241" s="16" t="str">
        <f>IF($A4241&lt;Notes!$B$5,"",IF(COUNTIFS(Release_Calendar!$A$2:$A$755,"NZ_LABOUR",Release_Calendar!$B$2:$B$755,$A4241)&gt;0,1,0))</f>
        <v/>
      </c>
      <c r="P4241" s="16">
        <f t="shared" si="4"/>
        <v>1</v>
      </c>
    </row>
    <row r="4242" ht="15.75" customHeight="1">
      <c r="A4242" s="14">
        <v>42464.0</v>
      </c>
      <c r="B4242" s="15">
        <v>0.75</v>
      </c>
      <c r="C4242" s="15">
        <v>2.17</v>
      </c>
      <c r="D4242" s="15">
        <v>1.94</v>
      </c>
      <c r="E4242" s="15">
        <v>1.96</v>
      </c>
      <c r="F4242" s="15">
        <f t="shared" si="1"/>
        <v>1.42</v>
      </c>
      <c r="G4242" s="15">
        <f t="shared" si="2"/>
        <v>2.17</v>
      </c>
      <c r="H4242" s="16">
        <v>0.0</v>
      </c>
      <c r="I4242" s="15">
        <f t="shared" si="3"/>
        <v>1.42</v>
      </c>
      <c r="J4242" s="15">
        <v>14.12</v>
      </c>
      <c r="K4242" s="16">
        <f>IF(COUNTIFS(Release_Calendar!$A$2:$A$755,"US_CPI",Release_Calendar!$B$2:$B$755,$A4242)&gt;0,1,0)</f>
        <v>0</v>
      </c>
      <c r="L4242" s="16">
        <f>IF(COUNTIFS(Release_Calendar!$A$2:$A$755,"US_NFP",Release_Calendar!$B$2:$B$755,$A4242)&gt;0,1,0)</f>
        <v>0</v>
      </c>
      <c r="M4242" s="16" t="str">
        <f>IF($A4242&lt;Notes!$B$5,"",IF(COUNTIFS(Release_Calendar!$A$2:$A$755,"NZ_CPI",Release_Calendar!$B$2:$B$755,$A4242)&gt;0,1,0))</f>
        <v/>
      </c>
      <c r="N4242" s="16" t="str">
        <f>IF($A4242&lt;Notes!$B$5,"",IF(COUNTIFS(Release_Calendar!$A$2:$A$755,"NZ_GDP",Release_Calendar!$B$2:$B$755,$A4242)&gt;0,1,0))</f>
        <v/>
      </c>
      <c r="O4242" s="16" t="str">
        <f>IF($A4242&lt;Notes!$B$5,"",IF(COUNTIFS(Release_Calendar!$A$2:$A$755,"NZ_LABOUR",Release_Calendar!$B$2:$B$755,$A4242)&gt;0,1,0))</f>
        <v/>
      </c>
      <c r="P4242" s="16">
        <f t="shared" si="4"/>
        <v>0</v>
      </c>
    </row>
    <row r="4243" ht="15.75" customHeight="1">
      <c r="A4243" s="14">
        <v>42465.0</v>
      </c>
      <c r="B4243" s="15">
        <v>0.72</v>
      </c>
      <c r="C4243" s="15">
        <v>2.17</v>
      </c>
      <c r="D4243" s="15">
        <v>1.96</v>
      </c>
      <c r="E4243" s="15">
        <v>1.97</v>
      </c>
      <c r="F4243" s="15">
        <f t="shared" si="1"/>
        <v>1.45</v>
      </c>
      <c r="G4243" s="15">
        <f t="shared" si="2"/>
        <v>2.17</v>
      </c>
      <c r="H4243" s="16">
        <v>0.0</v>
      </c>
      <c r="I4243" s="15">
        <f t="shared" si="3"/>
        <v>1.45</v>
      </c>
      <c r="J4243" s="15">
        <v>15.42</v>
      </c>
      <c r="K4243" s="16">
        <f>IF(COUNTIFS(Release_Calendar!$A$2:$A$755,"US_CPI",Release_Calendar!$B$2:$B$755,$A4243)&gt;0,1,0)</f>
        <v>0</v>
      </c>
      <c r="L4243" s="16">
        <f>IF(COUNTIFS(Release_Calendar!$A$2:$A$755,"US_NFP",Release_Calendar!$B$2:$B$755,$A4243)&gt;0,1,0)</f>
        <v>0</v>
      </c>
      <c r="M4243" s="16" t="str">
        <f>IF($A4243&lt;Notes!$B$5,"",IF(COUNTIFS(Release_Calendar!$A$2:$A$755,"NZ_CPI",Release_Calendar!$B$2:$B$755,$A4243)&gt;0,1,0))</f>
        <v/>
      </c>
      <c r="N4243" s="16" t="str">
        <f>IF($A4243&lt;Notes!$B$5,"",IF(COUNTIFS(Release_Calendar!$A$2:$A$755,"NZ_GDP",Release_Calendar!$B$2:$B$755,$A4243)&gt;0,1,0))</f>
        <v/>
      </c>
      <c r="O4243" s="16" t="str">
        <f>IF($A4243&lt;Notes!$B$5,"",IF(COUNTIFS(Release_Calendar!$A$2:$A$755,"NZ_LABOUR",Release_Calendar!$B$2:$B$755,$A4243)&gt;0,1,0))</f>
        <v/>
      </c>
      <c r="P4243" s="16">
        <f t="shared" si="4"/>
        <v>0</v>
      </c>
    </row>
    <row r="4244" ht="15.75" customHeight="1">
      <c r="A4244" s="14">
        <v>42466.0</v>
      </c>
      <c r="B4244" s="15">
        <v>0.73</v>
      </c>
      <c r="C4244" s="15">
        <v>2.17</v>
      </c>
      <c r="D4244" s="15">
        <v>1.97</v>
      </c>
      <c r="E4244" s="15">
        <v>1.98</v>
      </c>
      <c r="F4244" s="15">
        <f t="shared" si="1"/>
        <v>1.44</v>
      </c>
      <c r="G4244" s="15">
        <f t="shared" si="2"/>
        <v>2.17</v>
      </c>
      <c r="H4244" s="16">
        <v>0.0</v>
      </c>
      <c r="I4244" s="15">
        <f t="shared" si="3"/>
        <v>1.44</v>
      </c>
      <c r="J4244" s="15">
        <v>14.09</v>
      </c>
      <c r="K4244" s="16">
        <f>IF(COUNTIFS(Release_Calendar!$A$2:$A$755,"US_CPI",Release_Calendar!$B$2:$B$755,$A4244)&gt;0,1,0)</f>
        <v>0</v>
      </c>
      <c r="L4244" s="16">
        <f>IF(COUNTIFS(Release_Calendar!$A$2:$A$755,"US_NFP",Release_Calendar!$B$2:$B$755,$A4244)&gt;0,1,0)</f>
        <v>0</v>
      </c>
      <c r="M4244" s="16" t="str">
        <f>IF($A4244&lt;Notes!$B$5,"",IF(COUNTIFS(Release_Calendar!$A$2:$A$755,"NZ_CPI",Release_Calendar!$B$2:$B$755,$A4244)&gt;0,1,0))</f>
        <v/>
      </c>
      <c r="N4244" s="16" t="str">
        <f>IF($A4244&lt;Notes!$B$5,"",IF(COUNTIFS(Release_Calendar!$A$2:$A$755,"NZ_GDP",Release_Calendar!$B$2:$B$755,$A4244)&gt;0,1,0))</f>
        <v/>
      </c>
      <c r="O4244" s="16" t="str">
        <f>IF($A4244&lt;Notes!$B$5,"",IF(COUNTIFS(Release_Calendar!$A$2:$A$755,"NZ_LABOUR",Release_Calendar!$B$2:$B$755,$A4244)&gt;0,1,0))</f>
        <v/>
      </c>
      <c r="P4244" s="16">
        <f t="shared" si="4"/>
        <v>0</v>
      </c>
    </row>
    <row r="4245" ht="15.75" customHeight="1">
      <c r="A4245" s="14">
        <v>42467.0</v>
      </c>
      <c r="B4245" s="15">
        <v>0.7</v>
      </c>
      <c r="C4245" s="15">
        <v>2.19</v>
      </c>
      <c r="D4245" s="15">
        <v>1.98</v>
      </c>
      <c r="E4245" s="15">
        <v>1.98</v>
      </c>
      <c r="F4245" s="15">
        <f t="shared" si="1"/>
        <v>1.49</v>
      </c>
      <c r="G4245" s="15">
        <f t="shared" si="2"/>
        <v>2.19</v>
      </c>
      <c r="H4245" s="16">
        <v>0.0</v>
      </c>
      <c r="I4245" s="15">
        <f t="shared" si="3"/>
        <v>1.49</v>
      </c>
      <c r="J4245" s="15">
        <v>16.16</v>
      </c>
      <c r="K4245" s="16">
        <f>IF(COUNTIFS(Release_Calendar!$A$2:$A$755,"US_CPI",Release_Calendar!$B$2:$B$755,$A4245)&gt;0,1,0)</f>
        <v>0</v>
      </c>
      <c r="L4245" s="16">
        <f>IF(COUNTIFS(Release_Calendar!$A$2:$A$755,"US_NFP",Release_Calendar!$B$2:$B$755,$A4245)&gt;0,1,0)</f>
        <v>0</v>
      </c>
      <c r="M4245" s="16" t="str">
        <f>IF($A4245&lt;Notes!$B$5,"",IF(COUNTIFS(Release_Calendar!$A$2:$A$755,"NZ_CPI",Release_Calendar!$B$2:$B$755,$A4245)&gt;0,1,0))</f>
        <v/>
      </c>
      <c r="N4245" s="16" t="str">
        <f>IF($A4245&lt;Notes!$B$5,"",IF(COUNTIFS(Release_Calendar!$A$2:$A$755,"NZ_GDP",Release_Calendar!$B$2:$B$755,$A4245)&gt;0,1,0))</f>
        <v/>
      </c>
      <c r="O4245" s="16" t="str">
        <f>IF($A4245&lt;Notes!$B$5,"",IF(COUNTIFS(Release_Calendar!$A$2:$A$755,"NZ_LABOUR",Release_Calendar!$B$2:$B$755,$A4245)&gt;0,1,0))</f>
        <v/>
      </c>
      <c r="P4245" s="16">
        <f t="shared" si="4"/>
        <v>0</v>
      </c>
    </row>
    <row r="4246" ht="15.75" customHeight="1">
      <c r="A4246" s="14">
        <v>42468.0</v>
      </c>
      <c r="B4246" s="15">
        <v>0.7</v>
      </c>
      <c r="C4246" s="15">
        <v>2.18</v>
      </c>
      <c r="D4246" s="15">
        <v>1.94</v>
      </c>
      <c r="E4246" s="15">
        <v>1.97</v>
      </c>
      <c r="F4246" s="15">
        <f t="shared" si="1"/>
        <v>1.48</v>
      </c>
      <c r="G4246" s="15">
        <f t="shared" si="2"/>
        <v>2.18</v>
      </c>
      <c r="H4246" s="16">
        <v>0.0</v>
      </c>
      <c r="I4246" s="15">
        <f t="shared" si="3"/>
        <v>1.48</v>
      </c>
      <c r="J4246" s="15">
        <v>15.36</v>
      </c>
      <c r="K4246" s="16">
        <f>IF(COUNTIFS(Release_Calendar!$A$2:$A$755,"US_CPI",Release_Calendar!$B$2:$B$755,$A4246)&gt;0,1,0)</f>
        <v>0</v>
      </c>
      <c r="L4246" s="16">
        <f>IF(COUNTIFS(Release_Calendar!$A$2:$A$755,"US_NFP",Release_Calendar!$B$2:$B$755,$A4246)&gt;0,1,0)</f>
        <v>0</v>
      </c>
      <c r="M4246" s="16" t="str">
        <f>IF($A4246&lt;Notes!$B$5,"",IF(COUNTIFS(Release_Calendar!$A$2:$A$755,"NZ_CPI",Release_Calendar!$B$2:$B$755,$A4246)&gt;0,1,0))</f>
        <v/>
      </c>
      <c r="N4246" s="16" t="str">
        <f>IF($A4246&lt;Notes!$B$5,"",IF(COUNTIFS(Release_Calendar!$A$2:$A$755,"NZ_GDP",Release_Calendar!$B$2:$B$755,$A4246)&gt;0,1,0))</f>
        <v/>
      </c>
      <c r="O4246" s="16" t="str">
        <f>IF($A4246&lt;Notes!$B$5,"",IF(COUNTIFS(Release_Calendar!$A$2:$A$755,"NZ_LABOUR",Release_Calendar!$B$2:$B$755,$A4246)&gt;0,1,0))</f>
        <v/>
      </c>
      <c r="P4246" s="16">
        <f t="shared" si="4"/>
        <v>0</v>
      </c>
    </row>
    <row r="4247" ht="15.75" customHeight="1">
      <c r="A4247" s="14">
        <v>42471.0</v>
      </c>
      <c r="B4247" s="15">
        <v>0.7</v>
      </c>
      <c r="C4247" s="15">
        <v>2.19</v>
      </c>
      <c r="D4247" s="15">
        <v>2.0</v>
      </c>
      <c r="E4247" s="15">
        <v>1.99</v>
      </c>
      <c r="F4247" s="15">
        <f t="shared" si="1"/>
        <v>1.49</v>
      </c>
      <c r="G4247" s="15">
        <f t="shared" si="2"/>
        <v>2.19</v>
      </c>
      <c r="H4247" s="16">
        <v>0.0</v>
      </c>
      <c r="I4247" s="15">
        <f t="shared" si="3"/>
        <v>1.49</v>
      </c>
      <c r="J4247" s="15">
        <v>16.26</v>
      </c>
      <c r="K4247" s="16">
        <f>IF(COUNTIFS(Release_Calendar!$A$2:$A$755,"US_CPI",Release_Calendar!$B$2:$B$755,$A4247)&gt;0,1,0)</f>
        <v>0</v>
      </c>
      <c r="L4247" s="16">
        <f>IF(COUNTIFS(Release_Calendar!$A$2:$A$755,"US_NFP",Release_Calendar!$B$2:$B$755,$A4247)&gt;0,1,0)</f>
        <v>0</v>
      </c>
      <c r="M4247" s="16" t="str">
        <f>IF($A4247&lt;Notes!$B$5,"",IF(COUNTIFS(Release_Calendar!$A$2:$A$755,"NZ_CPI",Release_Calendar!$B$2:$B$755,$A4247)&gt;0,1,0))</f>
        <v/>
      </c>
      <c r="N4247" s="16" t="str">
        <f>IF($A4247&lt;Notes!$B$5,"",IF(COUNTIFS(Release_Calendar!$A$2:$A$755,"NZ_GDP",Release_Calendar!$B$2:$B$755,$A4247)&gt;0,1,0))</f>
        <v/>
      </c>
      <c r="O4247" s="16" t="str">
        <f>IF($A4247&lt;Notes!$B$5,"",IF(COUNTIFS(Release_Calendar!$A$2:$A$755,"NZ_LABOUR",Release_Calendar!$B$2:$B$755,$A4247)&gt;0,1,0))</f>
        <v/>
      </c>
      <c r="P4247" s="16">
        <f t="shared" si="4"/>
        <v>0</v>
      </c>
    </row>
    <row r="4248" ht="15.75" customHeight="1">
      <c r="A4248" s="14">
        <v>42472.0</v>
      </c>
      <c r="B4248" s="15">
        <v>0.74</v>
      </c>
      <c r="C4248" s="15">
        <v>2.21</v>
      </c>
      <c r="D4248" s="15">
        <v>2.01</v>
      </c>
      <c r="E4248" s="15">
        <v>2.02</v>
      </c>
      <c r="F4248" s="15">
        <f t="shared" si="1"/>
        <v>1.47</v>
      </c>
      <c r="G4248" s="15">
        <f t="shared" si="2"/>
        <v>2.21</v>
      </c>
      <c r="H4248" s="16">
        <v>0.0</v>
      </c>
      <c r="I4248" s="15">
        <f t="shared" si="3"/>
        <v>1.47</v>
      </c>
      <c r="J4248" s="15">
        <v>14.85</v>
      </c>
      <c r="K4248" s="16">
        <f>IF(COUNTIFS(Release_Calendar!$A$2:$A$755,"US_CPI",Release_Calendar!$B$2:$B$755,$A4248)&gt;0,1,0)</f>
        <v>0</v>
      </c>
      <c r="L4248" s="16">
        <f>IF(COUNTIFS(Release_Calendar!$A$2:$A$755,"US_NFP",Release_Calendar!$B$2:$B$755,$A4248)&gt;0,1,0)</f>
        <v>0</v>
      </c>
      <c r="M4248" s="16" t="str">
        <f>IF($A4248&lt;Notes!$B$5,"",IF(COUNTIFS(Release_Calendar!$A$2:$A$755,"NZ_CPI",Release_Calendar!$B$2:$B$755,$A4248)&gt;0,1,0))</f>
        <v/>
      </c>
      <c r="N4248" s="16" t="str">
        <f>IF($A4248&lt;Notes!$B$5,"",IF(COUNTIFS(Release_Calendar!$A$2:$A$755,"NZ_GDP",Release_Calendar!$B$2:$B$755,$A4248)&gt;0,1,0))</f>
        <v/>
      </c>
      <c r="O4248" s="16" t="str">
        <f>IF($A4248&lt;Notes!$B$5,"",IF(COUNTIFS(Release_Calendar!$A$2:$A$755,"NZ_LABOUR",Release_Calendar!$B$2:$B$755,$A4248)&gt;0,1,0))</f>
        <v/>
      </c>
      <c r="P4248" s="16">
        <f t="shared" si="4"/>
        <v>0</v>
      </c>
    </row>
    <row r="4249" ht="15.75" customHeight="1">
      <c r="A4249" s="14">
        <v>42473.0</v>
      </c>
      <c r="B4249" s="15">
        <v>0.75</v>
      </c>
      <c r="C4249" s="15">
        <v>2.25</v>
      </c>
      <c r="D4249" s="15">
        <v>2.05</v>
      </c>
      <c r="E4249" s="15">
        <v>2.09</v>
      </c>
      <c r="F4249" s="15">
        <f t="shared" si="1"/>
        <v>1.5</v>
      </c>
      <c r="G4249" s="15">
        <f t="shared" si="2"/>
        <v>2.25</v>
      </c>
      <c r="H4249" s="16">
        <v>0.0</v>
      </c>
      <c r="I4249" s="15">
        <f t="shared" si="3"/>
        <v>1.5</v>
      </c>
      <c r="J4249" s="15">
        <v>13.84</v>
      </c>
      <c r="K4249" s="16">
        <f>IF(COUNTIFS(Release_Calendar!$A$2:$A$755,"US_CPI",Release_Calendar!$B$2:$B$755,$A4249)&gt;0,1,0)</f>
        <v>0</v>
      </c>
      <c r="L4249" s="16">
        <f>IF(COUNTIFS(Release_Calendar!$A$2:$A$755,"US_NFP",Release_Calendar!$B$2:$B$755,$A4249)&gt;0,1,0)</f>
        <v>0</v>
      </c>
      <c r="M4249" s="16" t="str">
        <f>IF($A4249&lt;Notes!$B$5,"",IF(COUNTIFS(Release_Calendar!$A$2:$A$755,"NZ_CPI",Release_Calendar!$B$2:$B$755,$A4249)&gt;0,1,0))</f>
        <v/>
      </c>
      <c r="N4249" s="16" t="str">
        <f>IF($A4249&lt;Notes!$B$5,"",IF(COUNTIFS(Release_Calendar!$A$2:$A$755,"NZ_GDP",Release_Calendar!$B$2:$B$755,$A4249)&gt;0,1,0))</f>
        <v/>
      </c>
      <c r="O4249" s="16" t="str">
        <f>IF($A4249&lt;Notes!$B$5,"",IF(COUNTIFS(Release_Calendar!$A$2:$A$755,"NZ_LABOUR",Release_Calendar!$B$2:$B$755,$A4249)&gt;0,1,0))</f>
        <v/>
      </c>
      <c r="P4249" s="16">
        <f t="shared" si="4"/>
        <v>0</v>
      </c>
    </row>
    <row r="4250" ht="15.75" customHeight="1">
      <c r="A4250" s="14">
        <v>42474.0</v>
      </c>
      <c r="B4250" s="15">
        <v>0.77</v>
      </c>
      <c r="C4250" s="15">
        <v>2.22</v>
      </c>
      <c r="D4250" s="15">
        <v>2.09</v>
      </c>
      <c r="E4250" s="15">
        <v>2.06</v>
      </c>
      <c r="F4250" s="15">
        <f t="shared" si="1"/>
        <v>1.45</v>
      </c>
      <c r="G4250" s="15">
        <f t="shared" si="2"/>
        <v>2.22</v>
      </c>
      <c r="H4250" s="16">
        <v>0.0</v>
      </c>
      <c r="I4250" s="15">
        <f t="shared" si="3"/>
        <v>1.45</v>
      </c>
      <c r="J4250" s="15">
        <v>13.72</v>
      </c>
      <c r="K4250" s="16">
        <f>IF(COUNTIFS(Release_Calendar!$A$2:$A$755,"US_CPI",Release_Calendar!$B$2:$B$755,$A4250)&gt;0,1,0)</f>
        <v>1</v>
      </c>
      <c r="L4250" s="16">
        <f>IF(COUNTIFS(Release_Calendar!$A$2:$A$755,"US_NFP",Release_Calendar!$B$2:$B$755,$A4250)&gt;0,1,0)</f>
        <v>0</v>
      </c>
      <c r="M4250" s="16" t="str">
        <f>IF($A4250&lt;Notes!$B$5,"",IF(COUNTIFS(Release_Calendar!$A$2:$A$755,"NZ_CPI",Release_Calendar!$B$2:$B$755,$A4250)&gt;0,1,0))</f>
        <v/>
      </c>
      <c r="N4250" s="16" t="str">
        <f>IF($A4250&lt;Notes!$B$5,"",IF(COUNTIFS(Release_Calendar!$A$2:$A$755,"NZ_GDP",Release_Calendar!$B$2:$B$755,$A4250)&gt;0,1,0))</f>
        <v/>
      </c>
      <c r="O4250" s="16" t="str">
        <f>IF($A4250&lt;Notes!$B$5,"",IF(COUNTIFS(Release_Calendar!$A$2:$A$755,"NZ_LABOUR",Release_Calendar!$B$2:$B$755,$A4250)&gt;0,1,0))</f>
        <v/>
      </c>
      <c r="P4250" s="16">
        <f t="shared" si="4"/>
        <v>1</v>
      </c>
    </row>
    <row r="4251" ht="15.75" customHeight="1">
      <c r="A4251" s="14">
        <v>42475.0</v>
      </c>
      <c r="B4251" s="15">
        <v>0.74</v>
      </c>
      <c r="C4251" s="15">
        <v>2.25</v>
      </c>
      <c r="D4251" s="15">
        <v>2.06</v>
      </c>
      <c r="E4251" s="15">
        <v>2.07</v>
      </c>
      <c r="F4251" s="15">
        <f t="shared" si="1"/>
        <v>1.51</v>
      </c>
      <c r="G4251" s="15">
        <f t="shared" si="2"/>
        <v>2.25</v>
      </c>
      <c r="H4251" s="16">
        <v>0.0</v>
      </c>
      <c r="I4251" s="15">
        <f t="shared" si="3"/>
        <v>1.51</v>
      </c>
      <c r="J4251" s="15">
        <v>13.62</v>
      </c>
      <c r="K4251" s="16">
        <f>IF(COUNTIFS(Release_Calendar!$A$2:$A$755,"US_CPI",Release_Calendar!$B$2:$B$755,$A4251)&gt;0,1,0)</f>
        <v>0</v>
      </c>
      <c r="L4251" s="16">
        <f>IF(COUNTIFS(Release_Calendar!$A$2:$A$755,"US_NFP",Release_Calendar!$B$2:$B$755,$A4251)&gt;0,1,0)</f>
        <v>0</v>
      </c>
      <c r="M4251" s="16" t="str">
        <f>IF($A4251&lt;Notes!$B$5,"",IF(COUNTIFS(Release_Calendar!$A$2:$A$755,"NZ_CPI",Release_Calendar!$B$2:$B$755,$A4251)&gt;0,1,0))</f>
        <v/>
      </c>
      <c r="N4251" s="16" t="str">
        <f>IF($A4251&lt;Notes!$B$5,"",IF(COUNTIFS(Release_Calendar!$A$2:$A$755,"NZ_GDP",Release_Calendar!$B$2:$B$755,$A4251)&gt;0,1,0))</f>
        <v/>
      </c>
      <c r="O4251" s="16" t="str">
        <f>IF($A4251&lt;Notes!$B$5,"",IF(COUNTIFS(Release_Calendar!$A$2:$A$755,"NZ_LABOUR",Release_Calendar!$B$2:$B$755,$A4251)&gt;0,1,0))</f>
        <v/>
      </c>
      <c r="P4251" s="16">
        <f t="shared" si="4"/>
        <v>0</v>
      </c>
    </row>
    <row r="4252" ht="15.75" customHeight="1">
      <c r="A4252" s="14">
        <v>42478.0</v>
      </c>
      <c r="B4252" s="15">
        <v>0.75</v>
      </c>
      <c r="C4252" s="15">
        <v>2.25</v>
      </c>
      <c r="D4252" s="15">
        <v>2.03</v>
      </c>
      <c r="E4252" s="15">
        <v>2.05</v>
      </c>
      <c r="F4252" s="15">
        <f t="shared" si="1"/>
        <v>1.5</v>
      </c>
      <c r="G4252" s="15">
        <f t="shared" si="2"/>
        <v>2.25</v>
      </c>
      <c r="H4252" s="16">
        <v>0.0</v>
      </c>
      <c r="I4252" s="15">
        <f t="shared" si="3"/>
        <v>1.5</v>
      </c>
      <c r="J4252" s="15">
        <v>13.35</v>
      </c>
      <c r="K4252" s="16">
        <f>IF(COUNTIFS(Release_Calendar!$A$2:$A$755,"US_CPI",Release_Calendar!$B$2:$B$755,$A4252)&gt;0,1,0)</f>
        <v>0</v>
      </c>
      <c r="L4252" s="16">
        <f>IF(COUNTIFS(Release_Calendar!$A$2:$A$755,"US_NFP",Release_Calendar!$B$2:$B$755,$A4252)&gt;0,1,0)</f>
        <v>0</v>
      </c>
      <c r="M4252" s="16" t="str">
        <f>IF($A4252&lt;Notes!$B$5,"",IF(COUNTIFS(Release_Calendar!$A$2:$A$755,"NZ_CPI",Release_Calendar!$B$2:$B$755,$A4252)&gt;0,1,0))</f>
        <v/>
      </c>
      <c r="N4252" s="16" t="str">
        <f>IF($A4252&lt;Notes!$B$5,"",IF(COUNTIFS(Release_Calendar!$A$2:$A$755,"NZ_GDP",Release_Calendar!$B$2:$B$755,$A4252)&gt;0,1,0))</f>
        <v/>
      </c>
      <c r="O4252" s="16" t="str">
        <f>IF($A4252&lt;Notes!$B$5,"",IF(COUNTIFS(Release_Calendar!$A$2:$A$755,"NZ_LABOUR",Release_Calendar!$B$2:$B$755,$A4252)&gt;0,1,0))</f>
        <v/>
      </c>
      <c r="P4252" s="16">
        <f t="shared" si="4"/>
        <v>0</v>
      </c>
    </row>
    <row r="4253" ht="15.75" customHeight="1">
      <c r="A4253" s="14">
        <v>42479.0</v>
      </c>
      <c r="B4253" s="15">
        <v>0.77</v>
      </c>
      <c r="C4253" s="15">
        <v>2.28</v>
      </c>
      <c r="D4253" s="15">
        <v>2.06</v>
      </c>
      <c r="E4253" s="15">
        <v>2.08</v>
      </c>
      <c r="F4253" s="15">
        <f t="shared" si="1"/>
        <v>1.51</v>
      </c>
      <c r="G4253" s="15">
        <f t="shared" si="2"/>
        <v>2.28</v>
      </c>
      <c r="H4253" s="16">
        <v>0.0</v>
      </c>
      <c r="I4253" s="15">
        <f t="shared" si="3"/>
        <v>1.51</v>
      </c>
      <c r="J4253" s="15">
        <v>13.24</v>
      </c>
      <c r="K4253" s="16">
        <f>IF(COUNTIFS(Release_Calendar!$A$2:$A$755,"US_CPI",Release_Calendar!$B$2:$B$755,$A4253)&gt;0,1,0)</f>
        <v>0</v>
      </c>
      <c r="L4253" s="16">
        <f>IF(COUNTIFS(Release_Calendar!$A$2:$A$755,"US_NFP",Release_Calendar!$B$2:$B$755,$A4253)&gt;0,1,0)</f>
        <v>0</v>
      </c>
      <c r="M4253" s="16" t="str">
        <f>IF($A4253&lt;Notes!$B$5,"",IF(COUNTIFS(Release_Calendar!$A$2:$A$755,"NZ_CPI",Release_Calendar!$B$2:$B$755,$A4253)&gt;0,1,0))</f>
        <v/>
      </c>
      <c r="N4253" s="16" t="str">
        <f>IF($A4253&lt;Notes!$B$5,"",IF(COUNTIFS(Release_Calendar!$A$2:$A$755,"NZ_GDP",Release_Calendar!$B$2:$B$755,$A4253)&gt;0,1,0))</f>
        <v/>
      </c>
      <c r="O4253" s="16" t="str">
        <f>IF($A4253&lt;Notes!$B$5,"",IF(COUNTIFS(Release_Calendar!$A$2:$A$755,"NZ_LABOUR",Release_Calendar!$B$2:$B$755,$A4253)&gt;0,1,0))</f>
        <v/>
      </c>
      <c r="P4253" s="16">
        <f t="shared" si="4"/>
        <v>0</v>
      </c>
    </row>
    <row r="4254" ht="15.75" customHeight="1">
      <c r="A4254" s="14">
        <v>42480.0</v>
      </c>
      <c r="B4254" s="15">
        <v>0.8</v>
      </c>
      <c r="C4254" s="15">
        <v>2.24</v>
      </c>
      <c r="D4254" s="15">
        <v>2.09</v>
      </c>
      <c r="E4254" s="15">
        <v>2.07</v>
      </c>
      <c r="F4254" s="15">
        <f t="shared" si="1"/>
        <v>1.44</v>
      </c>
      <c r="G4254" s="15">
        <f t="shared" si="2"/>
        <v>2.24</v>
      </c>
      <c r="H4254" s="16">
        <v>0.0</v>
      </c>
      <c r="I4254" s="15">
        <f t="shared" si="3"/>
        <v>1.44</v>
      </c>
      <c r="J4254" s="15">
        <v>13.28</v>
      </c>
      <c r="K4254" s="16">
        <f>IF(COUNTIFS(Release_Calendar!$A$2:$A$755,"US_CPI",Release_Calendar!$B$2:$B$755,$A4254)&gt;0,1,0)</f>
        <v>0</v>
      </c>
      <c r="L4254" s="16">
        <f>IF(COUNTIFS(Release_Calendar!$A$2:$A$755,"US_NFP",Release_Calendar!$B$2:$B$755,$A4254)&gt;0,1,0)</f>
        <v>0</v>
      </c>
      <c r="M4254" s="16" t="str">
        <f>IF($A4254&lt;Notes!$B$5,"",IF(COUNTIFS(Release_Calendar!$A$2:$A$755,"NZ_CPI",Release_Calendar!$B$2:$B$755,$A4254)&gt;0,1,0))</f>
        <v/>
      </c>
      <c r="N4254" s="16" t="str">
        <f>IF($A4254&lt;Notes!$B$5,"",IF(COUNTIFS(Release_Calendar!$A$2:$A$755,"NZ_GDP",Release_Calendar!$B$2:$B$755,$A4254)&gt;0,1,0))</f>
        <v/>
      </c>
      <c r="O4254" s="16" t="str">
        <f>IF($A4254&lt;Notes!$B$5,"",IF(COUNTIFS(Release_Calendar!$A$2:$A$755,"NZ_LABOUR",Release_Calendar!$B$2:$B$755,$A4254)&gt;0,1,0))</f>
        <v/>
      </c>
      <c r="P4254" s="16">
        <f t="shared" si="4"/>
        <v>0</v>
      </c>
    </row>
    <row r="4255" ht="15.75" customHeight="1">
      <c r="A4255" s="14">
        <v>42481.0</v>
      </c>
      <c r="B4255" s="15">
        <v>0.82</v>
      </c>
      <c r="C4255" s="15">
        <v>2.24</v>
      </c>
      <c r="D4255" s="15">
        <v>2.09</v>
      </c>
      <c r="E4255" s="15">
        <v>2.08</v>
      </c>
      <c r="F4255" s="15">
        <f t="shared" si="1"/>
        <v>1.42</v>
      </c>
      <c r="G4255" s="15">
        <f t="shared" si="2"/>
        <v>2.24</v>
      </c>
      <c r="H4255" s="16">
        <v>0.0</v>
      </c>
      <c r="I4255" s="15">
        <f t="shared" si="3"/>
        <v>1.42</v>
      </c>
      <c r="J4255" s="15">
        <v>13.95</v>
      </c>
      <c r="K4255" s="16">
        <f>IF(COUNTIFS(Release_Calendar!$A$2:$A$755,"US_CPI",Release_Calendar!$B$2:$B$755,$A4255)&gt;0,1,0)</f>
        <v>0</v>
      </c>
      <c r="L4255" s="16">
        <f>IF(COUNTIFS(Release_Calendar!$A$2:$A$755,"US_NFP",Release_Calendar!$B$2:$B$755,$A4255)&gt;0,1,0)</f>
        <v>0</v>
      </c>
      <c r="M4255" s="16" t="str">
        <f>IF($A4255&lt;Notes!$B$5,"",IF(COUNTIFS(Release_Calendar!$A$2:$A$755,"NZ_CPI",Release_Calendar!$B$2:$B$755,$A4255)&gt;0,1,0))</f>
        <v/>
      </c>
      <c r="N4255" s="16" t="str">
        <f>IF($A4255&lt;Notes!$B$5,"",IF(COUNTIFS(Release_Calendar!$A$2:$A$755,"NZ_GDP",Release_Calendar!$B$2:$B$755,$A4255)&gt;0,1,0))</f>
        <v/>
      </c>
      <c r="O4255" s="16" t="str">
        <f>IF($A4255&lt;Notes!$B$5,"",IF(COUNTIFS(Release_Calendar!$A$2:$A$755,"NZ_LABOUR",Release_Calendar!$B$2:$B$755,$A4255)&gt;0,1,0))</f>
        <v/>
      </c>
      <c r="P4255" s="16">
        <f t="shared" si="4"/>
        <v>0</v>
      </c>
    </row>
    <row r="4256" ht="15.75" customHeight="1">
      <c r="A4256" s="14">
        <v>42482.0</v>
      </c>
      <c r="B4256" s="15">
        <v>0.84</v>
      </c>
      <c r="C4256" s="15">
        <v>2.21</v>
      </c>
      <c r="D4256" s="15">
        <v>2.08</v>
      </c>
      <c r="E4256" s="15">
        <v>2.07</v>
      </c>
      <c r="F4256" s="15">
        <f t="shared" si="1"/>
        <v>1.37</v>
      </c>
      <c r="G4256" s="15">
        <f t="shared" si="2"/>
        <v>2.21</v>
      </c>
      <c r="H4256" s="16">
        <v>0.0</v>
      </c>
      <c r="I4256" s="15">
        <f t="shared" si="3"/>
        <v>1.37</v>
      </c>
      <c r="J4256" s="15">
        <v>13.22</v>
      </c>
      <c r="K4256" s="16">
        <f>IF(COUNTIFS(Release_Calendar!$A$2:$A$755,"US_CPI",Release_Calendar!$B$2:$B$755,$A4256)&gt;0,1,0)</f>
        <v>0</v>
      </c>
      <c r="L4256" s="16">
        <f>IF(COUNTIFS(Release_Calendar!$A$2:$A$755,"US_NFP",Release_Calendar!$B$2:$B$755,$A4256)&gt;0,1,0)</f>
        <v>0</v>
      </c>
      <c r="M4256" s="16" t="str">
        <f>IF($A4256&lt;Notes!$B$5,"",IF(COUNTIFS(Release_Calendar!$A$2:$A$755,"NZ_CPI",Release_Calendar!$B$2:$B$755,$A4256)&gt;0,1,0))</f>
        <v/>
      </c>
      <c r="N4256" s="16" t="str">
        <f>IF($A4256&lt;Notes!$B$5,"",IF(COUNTIFS(Release_Calendar!$A$2:$A$755,"NZ_GDP",Release_Calendar!$B$2:$B$755,$A4256)&gt;0,1,0))</f>
        <v/>
      </c>
      <c r="O4256" s="16" t="str">
        <f>IF($A4256&lt;Notes!$B$5,"",IF(COUNTIFS(Release_Calendar!$A$2:$A$755,"NZ_LABOUR",Release_Calendar!$B$2:$B$755,$A4256)&gt;0,1,0))</f>
        <v/>
      </c>
      <c r="P4256" s="16">
        <f t="shared" si="4"/>
        <v>0</v>
      </c>
    </row>
    <row r="4257" ht="15.75" customHeight="1">
      <c r="A4257" s="14">
        <v>42485.0</v>
      </c>
      <c r="B4257" s="15">
        <v>0.85</v>
      </c>
      <c r="C4257" s="15"/>
      <c r="D4257" s="15"/>
      <c r="E4257" s="15"/>
      <c r="F4257" s="15" t="str">
        <f t="shared" si="1"/>
        <v/>
      </c>
      <c r="G4257" s="15" t="str">
        <f t="shared" si="2"/>
        <v/>
      </c>
      <c r="H4257" s="16">
        <v>0.0</v>
      </c>
      <c r="I4257" s="15" t="str">
        <f t="shared" si="3"/>
        <v/>
      </c>
      <c r="J4257" s="15">
        <v>14.08</v>
      </c>
      <c r="K4257" s="16">
        <f>IF(COUNTIFS(Release_Calendar!$A$2:$A$755,"US_CPI",Release_Calendar!$B$2:$B$755,$A4257)&gt;0,1,0)</f>
        <v>0</v>
      </c>
      <c r="L4257" s="16">
        <f>IF(COUNTIFS(Release_Calendar!$A$2:$A$755,"US_NFP",Release_Calendar!$B$2:$B$755,$A4257)&gt;0,1,0)</f>
        <v>0</v>
      </c>
      <c r="M4257" s="16" t="str">
        <f>IF($A4257&lt;Notes!$B$5,"",IF(COUNTIFS(Release_Calendar!$A$2:$A$755,"NZ_CPI",Release_Calendar!$B$2:$B$755,$A4257)&gt;0,1,0))</f>
        <v/>
      </c>
      <c r="N4257" s="16" t="str">
        <f>IF($A4257&lt;Notes!$B$5,"",IF(COUNTIFS(Release_Calendar!$A$2:$A$755,"NZ_GDP",Release_Calendar!$B$2:$B$755,$A4257)&gt;0,1,0))</f>
        <v/>
      </c>
      <c r="O4257" s="16" t="str">
        <f>IF($A4257&lt;Notes!$B$5,"",IF(COUNTIFS(Release_Calendar!$A$2:$A$755,"NZ_LABOUR",Release_Calendar!$B$2:$B$755,$A4257)&gt;0,1,0))</f>
        <v/>
      </c>
      <c r="P4257" s="16">
        <f t="shared" si="4"/>
        <v>0</v>
      </c>
    </row>
    <row r="4258" ht="15.75" customHeight="1">
      <c r="A4258" s="14">
        <v>42486.0</v>
      </c>
      <c r="B4258" s="15">
        <v>0.86</v>
      </c>
      <c r="C4258" s="15">
        <v>2.23</v>
      </c>
      <c r="D4258" s="15">
        <v>2.08</v>
      </c>
      <c r="E4258" s="15">
        <v>2.09</v>
      </c>
      <c r="F4258" s="15">
        <f t="shared" si="1"/>
        <v>1.37</v>
      </c>
      <c r="G4258" s="15">
        <f t="shared" si="2"/>
        <v>2.23</v>
      </c>
      <c r="H4258" s="16">
        <v>0.0</v>
      </c>
      <c r="I4258" s="15">
        <f t="shared" si="3"/>
        <v>1.37</v>
      </c>
      <c r="J4258" s="15">
        <v>13.96</v>
      </c>
      <c r="K4258" s="16">
        <f>IF(COUNTIFS(Release_Calendar!$A$2:$A$755,"US_CPI",Release_Calendar!$B$2:$B$755,$A4258)&gt;0,1,0)</f>
        <v>0</v>
      </c>
      <c r="L4258" s="16">
        <f>IF(COUNTIFS(Release_Calendar!$A$2:$A$755,"US_NFP",Release_Calendar!$B$2:$B$755,$A4258)&gt;0,1,0)</f>
        <v>0</v>
      </c>
      <c r="M4258" s="16" t="str">
        <f>IF($A4258&lt;Notes!$B$5,"",IF(COUNTIFS(Release_Calendar!$A$2:$A$755,"NZ_CPI",Release_Calendar!$B$2:$B$755,$A4258)&gt;0,1,0))</f>
        <v/>
      </c>
      <c r="N4258" s="16" t="str">
        <f>IF($A4258&lt;Notes!$B$5,"",IF(COUNTIFS(Release_Calendar!$A$2:$A$755,"NZ_GDP",Release_Calendar!$B$2:$B$755,$A4258)&gt;0,1,0))</f>
        <v/>
      </c>
      <c r="O4258" s="16" t="str">
        <f>IF($A4258&lt;Notes!$B$5,"",IF(COUNTIFS(Release_Calendar!$A$2:$A$755,"NZ_LABOUR",Release_Calendar!$B$2:$B$755,$A4258)&gt;0,1,0))</f>
        <v/>
      </c>
      <c r="P4258" s="16">
        <f t="shared" si="4"/>
        <v>0</v>
      </c>
    </row>
    <row r="4259" ht="15.75" customHeight="1">
      <c r="A4259" s="14">
        <v>42487.0</v>
      </c>
      <c r="B4259" s="15">
        <v>0.83</v>
      </c>
      <c r="C4259" s="15">
        <v>2.21</v>
      </c>
      <c r="D4259" s="15">
        <v>2.1</v>
      </c>
      <c r="E4259" s="15">
        <v>2.05</v>
      </c>
      <c r="F4259" s="15">
        <f t="shared" si="1"/>
        <v>1.38</v>
      </c>
      <c r="G4259" s="15">
        <f t="shared" si="2"/>
        <v>2.21</v>
      </c>
      <c r="H4259" s="16">
        <v>0.0</v>
      </c>
      <c r="I4259" s="15">
        <f t="shared" si="3"/>
        <v>1.38</v>
      </c>
      <c r="J4259" s="15">
        <v>13.77</v>
      </c>
      <c r="K4259" s="16">
        <f>IF(COUNTIFS(Release_Calendar!$A$2:$A$755,"US_CPI",Release_Calendar!$B$2:$B$755,$A4259)&gt;0,1,0)</f>
        <v>0</v>
      </c>
      <c r="L4259" s="16">
        <f>IF(COUNTIFS(Release_Calendar!$A$2:$A$755,"US_NFP",Release_Calendar!$B$2:$B$755,$A4259)&gt;0,1,0)</f>
        <v>0</v>
      </c>
      <c r="M4259" s="16" t="str">
        <f>IF($A4259&lt;Notes!$B$5,"",IF(COUNTIFS(Release_Calendar!$A$2:$A$755,"NZ_CPI",Release_Calendar!$B$2:$B$755,$A4259)&gt;0,1,0))</f>
        <v/>
      </c>
      <c r="N4259" s="16" t="str">
        <f>IF($A4259&lt;Notes!$B$5,"",IF(COUNTIFS(Release_Calendar!$A$2:$A$755,"NZ_GDP",Release_Calendar!$B$2:$B$755,$A4259)&gt;0,1,0))</f>
        <v/>
      </c>
      <c r="O4259" s="16" t="str">
        <f>IF($A4259&lt;Notes!$B$5,"",IF(COUNTIFS(Release_Calendar!$A$2:$A$755,"NZ_LABOUR",Release_Calendar!$B$2:$B$755,$A4259)&gt;0,1,0))</f>
        <v/>
      </c>
      <c r="P4259" s="16">
        <f t="shared" si="4"/>
        <v>0</v>
      </c>
    </row>
    <row r="4260" ht="15.75" customHeight="1">
      <c r="A4260" s="14">
        <v>42488.0</v>
      </c>
      <c r="B4260" s="15">
        <v>0.78</v>
      </c>
      <c r="C4260" s="15">
        <v>2.25</v>
      </c>
      <c r="D4260" s="15">
        <v>2.08</v>
      </c>
      <c r="E4260" s="15">
        <v>2.08</v>
      </c>
      <c r="F4260" s="15">
        <f t="shared" si="1"/>
        <v>1.47</v>
      </c>
      <c r="G4260" s="15">
        <f t="shared" si="2"/>
        <v>2.25</v>
      </c>
      <c r="H4260" s="16">
        <v>0.0</v>
      </c>
      <c r="I4260" s="15">
        <f t="shared" si="3"/>
        <v>1.47</v>
      </c>
      <c r="J4260" s="15">
        <v>15.22</v>
      </c>
      <c r="K4260" s="16">
        <f>IF(COUNTIFS(Release_Calendar!$A$2:$A$755,"US_CPI",Release_Calendar!$B$2:$B$755,$A4260)&gt;0,1,0)</f>
        <v>0</v>
      </c>
      <c r="L4260" s="16">
        <f>IF(COUNTIFS(Release_Calendar!$A$2:$A$755,"US_NFP",Release_Calendar!$B$2:$B$755,$A4260)&gt;0,1,0)</f>
        <v>0</v>
      </c>
      <c r="M4260" s="16" t="str">
        <f>IF($A4260&lt;Notes!$B$5,"",IF(COUNTIFS(Release_Calendar!$A$2:$A$755,"NZ_CPI",Release_Calendar!$B$2:$B$755,$A4260)&gt;0,1,0))</f>
        <v/>
      </c>
      <c r="N4260" s="16" t="str">
        <f>IF($A4260&lt;Notes!$B$5,"",IF(COUNTIFS(Release_Calendar!$A$2:$A$755,"NZ_GDP",Release_Calendar!$B$2:$B$755,$A4260)&gt;0,1,0))</f>
        <v/>
      </c>
      <c r="O4260" s="16" t="str">
        <f>IF($A4260&lt;Notes!$B$5,"",IF(COUNTIFS(Release_Calendar!$A$2:$A$755,"NZ_LABOUR",Release_Calendar!$B$2:$B$755,$A4260)&gt;0,1,0))</f>
        <v/>
      </c>
      <c r="P4260" s="16">
        <f t="shared" si="4"/>
        <v>0</v>
      </c>
    </row>
    <row r="4261" ht="15.75" customHeight="1">
      <c r="A4261" s="14">
        <v>42489.0</v>
      </c>
      <c r="B4261" s="15">
        <v>0.77</v>
      </c>
      <c r="C4261" s="15">
        <v>2.25</v>
      </c>
      <c r="D4261" s="15">
        <v>2.09</v>
      </c>
      <c r="E4261" s="15">
        <v>2.06</v>
      </c>
      <c r="F4261" s="15">
        <f t="shared" si="1"/>
        <v>1.48</v>
      </c>
      <c r="G4261" s="15">
        <f t="shared" si="2"/>
        <v>2.25</v>
      </c>
      <c r="H4261" s="16">
        <v>0.0</v>
      </c>
      <c r="I4261" s="15">
        <f t="shared" si="3"/>
        <v>1.48</v>
      </c>
      <c r="J4261" s="15">
        <v>15.7</v>
      </c>
      <c r="K4261" s="16">
        <f>IF(COUNTIFS(Release_Calendar!$A$2:$A$755,"US_CPI",Release_Calendar!$B$2:$B$755,$A4261)&gt;0,1,0)</f>
        <v>0</v>
      </c>
      <c r="L4261" s="16">
        <f>IF(COUNTIFS(Release_Calendar!$A$2:$A$755,"US_NFP",Release_Calendar!$B$2:$B$755,$A4261)&gt;0,1,0)</f>
        <v>0</v>
      </c>
      <c r="M4261" s="16" t="str">
        <f>IF($A4261&lt;Notes!$B$5,"",IF(COUNTIFS(Release_Calendar!$A$2:$A$755,"NZ_CPI",Release_Calendar!$B$2:$B$755,$A4261)&gt;0,1,0))</f>
        <v/>
      </c>
      <c r="N4261" s="16" t="str">
        <f>IF($A4261&lt;Notes!$B$5,"",IF(COUNTIFS(Release_Calendar!$A$2:$A$755,"NZ_GDP",Release_Calendar!$B$2:$B$755,$A4261)&gt;0,1,0))</f>
        <v/>
      </c>
      <c r="O4261" s="16" t="str">
        <f>IF($A4261&lt;Notes!$B$5,"",IF(COUNTIFS(Release_Calendar!$A$2:$A$755,"NZ_LABOUR",Release_Calendar!$B$2:$B$755,$A4261)&gt;0,1,0))</f>
        <v/>
      </c>
      <c r="P4261" s="16">
        <f t="shared" si="4"/>
        <v>0</v>
      </c>
    </row>
    <row r="4262" ht="15.75" customHeight="1">
      <c r="A4262" s="14">
        <v>42492.0</v>
      </c>
      <c r="B4262" s="15">
        <v>0.8</v>
      </c>
      <c r="C4262" s="15">
        <v>2.26</v>
      </c>
      <c r="D4262" s="15">
        <v>2.07</v>
      </c>
      <c r="E4262" s="15">
        <v>2.08</v>
      </c>
      <c r="F4262" s="15">
        <f t="shared" si="1"/>
        <v>1.46</v>
      </c>
      <c r="G4262" s="15">
        <f t="shared" si="2"/>
        <v>2.26</v>
      </c>
      <c r="H4262" s="16">
        <v>0.0</v>
      </c>
      <c r="I4262" s="15">
        <f t="shared" si="3"/>
        <v>1.46</v>
      </c>
      <c r="J4262" s="15">
        <v>14.68</v>
      </c>
      <c r="K4262" s="16">
        <f>IF(COUNTIFS(Release_Calendar!$A$2:$A$755,"US_CPI",Release_Calendar!$B$2:$B$755,$A4262)&gt;0,1,0)</f>
        <v>0</v>
      </c>
      <c r="L4262" s="16">
        <f>IF(COUNTIFS(Release_Calendar!$A$2:$A$755,"US_NFP",Release_Calendar!$B$2:$B$755,$A4262)&gt;0,1,0)</f>
        <v>0</v>
      </c>
      <c r="M4262" s="16" t="str">
        <f>IF($A4262&lt;Notes!$B$5,"",IF(COUNTIFS(Release_Calendar!$A$2:$A$755,"NZ_CPI",Release_Calendar!$B$2:$B$755,$A4262)&gt;0,1,0))</f>
        <v/>
      </c>
      <c r="N4262" s="16" t="str">
        <f>IF($A4262&lt;Notes!$B$5,"",IF(COUNTIFS(Release_Calendar!$A$2:$A$755,"NZ_GDP",Release_Calendar!$B$2:$B$755,$A4262)&gt;0,1,0))</f>
        <v/>
      </c>
      <c r="O4262" s="16" t="str">
        <f>IF($A4262&lt;Notes!$B$5,"",IF(COUNTIFS(Release_Calendar!$A$2:$A$755,"NZ_LABOUR",Release_Calendar!$B$2:$B$755,$A4262)&gt;0,1,0))</f>
        <v/>
      </c>
      <c r="P4262" s="16">
        <f t="shared" si="4"/>
        <v>0</v>
      </c>
    </row>
    <row r="4263" ht="15.75" customHeight="1">
      <c r="A4263" s="14">
        <v>42493.0</v>
      </c>
      <c r="B4263" s="15">
        <v>0.75</v>
      </c>
      <c r="C4263" s="15">
        <v>2.31</v>
      </c>
      <c r="D4263" s="15">
        <v>2.09</v>
      </c>
      <c r="E4263" s="15">
        <v>2.12</v>
      </c>
      <c r="F4263" s="15">
        <f t="shared" si="1"/>
        <v>1.56</v>
      </c>
      <c r="G4263" s="15">
        <f t="shared" si="2"/>
        <v>2.31</v>
      </c>
      <c r="H4263" s="16">
        <v>0.0</v>
      </c>
      <c r="I4263" s="15">
        <f t="shared" si="3"/>
        <v>1.56</v>
      </c>
      <c r="J4263" s="15">
        <v>15.6</v>
      </c>
      <c r="K4263" s="16">
        <f>IF(COUNTIFS(Release_Calendar!$A$2:$A$755,"US_CPI",Release_Calendar!$B$2:$B$755,$A4263)&gt;0,1,0)</f>
        <v>0</v>
      </c>
      <c r="L4263" s="16">
        <f>IF(COUNTIFS(Release_Calendar!$A$2:$A$755,"US_NFP",Release_Calendar!$B$2:$B$755,$A4263)&gt;0,1,0)</f>
        <v>0</v>
      </c>
      <c r="M4263" s="16" t="str">
        <f>IF($A4263&lt;Notes!$B$5,"",IF(COUNTIFS(Release_Calendar!$A$2:$A$755,"NZ_CPI",Release_Calendar!$B$2:$B$755,$A4263)&gt;0,1,0))</f>
        <v/>
      </c>
      <c r="N4263" s="16" t="str">
        <f>IF($A4263&lt;Notes!$B$5,"",IF(COUNTIFS(Release_Calendar!$A$2:$A$755,"NZ_GDP",Release_Calendar!$B$2:$B$755,$A4263)&gt;0,1,0))</f>
        <v/>
      </c>
      <c r="O4263" s="16" t="str">
        <f>IF($A4263&lt;Notes!$B$5,"",IF(COUNTIFS(Release_Calendar!$A$2:$A$755,"NZ_LABOUR",Release_Calendar!$B$2:$B$755,$A4263)&gt;0,1,0))</f>
        <v/>
      </c>
      <c r="P4263" s="16">
        <f t="shared" si="4"/>
        <v>0</v>
      </c>
    </row>
    <row r="4264" ht="15.75" customHeight="1">
      <c r="A4264" s="14">
        <v>42494.0</v>
      </c>
      <c r="B4264" s="15">
        <v>0.75</v>
      </c>
      <c r="C4264" s="15">
        <v>2.24</v>
      </c>
      <c r="D4264" s="15">
        <v>2.06</v>
      </c>
      <c r="E4264" s="15">
        <v>2.04</v>
      </c>
      <c r="F4264" s="15">
        <f t="shared" si="1"/>
        <v>1.49</v>
      </c>
      <c r="G4264" s="15">
        <f t="shared" si="2"/>
        <v>2.24</v>
      </c>
      <c r="H4264" s="16">
        <v>0.0</v>
      </c>
      <c r="I4264" s="15">
        <f t="shared" si="3"/>
        <v>1.49</v>
      </c>
      <c r="J4264" s="15">
        <v>16.05</v>
      </c>
      <c r="K4264" s="16">
        <f>IF(COUNTIFS(Release_Calendar!$A$2:$A$755,"US_CPI",Release_Calendar!$B$2:$B$755,$A4264)&gt;0,1,0)</f>
        <v>0</v>
      </c>
      <c r="L4264" s="16">
        <f>IF(COUNTIFS(Release_Calendar!$A$2:$A$755,"US_NFP",Release_Calendar!$B$2:$B$755,$A4264)&gt;0,1,0)</f>
        <v>0</v>
      </c>
      <c r="M4264" s="16" t="str">
        <f>IF($A4264&lt;Notes!$B$5,"",IF(COUNTIFS(Release_Calendar!$A$2:$A$755,"NZ_CPI",Release_Calendar!$B$2:$B$755,$A4264)&gt;0,1,0))</f>
        <v/>
      </c>
      <c r="N4264" s="16" t="str">
        <f>IF($A4264&lt;Notes!$B$5,"",IF(COUNTIFS(Release_Calendar!$A$2:$A$755,"NZ_GDP",Release_Calendar!$B$2:$B$755,$A4264)&gt;0,1,0))</f>
        <v/>
      </c>
      <c r="O4264" s="16" t="str">
        <f>IF($A4264&lt;Notes!$B$5,"",IF(COUNTIFS(Release_Calendar!$A$2:$A$755,"NZ_LABOUR",Release_Calendar!$B$2:$B$755,$A4264)&gt;0,1,0))</f>
        <v/>
      </c>
      <c r="P4264" s="16">
        <f t="shared" si="4"/>
        <v>0</v>
      </c>
    </row>
    <row r="4265" ht="15.75" customHeight="1">
      <c r="A4265" s="14">
        <v>42495.0</v>
      </c>
      <c r="B4265" s="15">
        <v>0.72</v>
      </c>
      <c r="C4265" s="15">
        <v>2.22</v>
      </c>
      <c r="D4265" s="15">
        <v>2.03</v>
      </c>
      <c r="E4265" s="15">
        <v>2.03</v>
      </c>
      <c r="F4265" s="15">
        <f t="shared" si="1"/>
        <v>1.5</v>
      </c>
      <c r="G4265" s="15">
        <f t="shared" si="2"/>
        <v>2.22</v>
      </c>
      <c r="H4265" s="16">
        <v>0.0</v>
      </c>
      <c r="I4265" s="15">
        <f t="shared" si="3"/>
        <v>1.5</v>
      </c>
      <c r="J4265" s="15">
        <v>15.91</v>
      </c>
      <c r="K4265" s="16">
        <f>IF(COUNTIFS(Release_Calendar!$A$2:$A$755,"US_CPI",Release_Calendar!$B$2:$B$755,$A4265)&gt;0,1,0)</f>
        <v>0</v>
      </c>
      <c r="L4265" s="16">
        <f>IF(COUNTIFS(Release_Calendar!$A$2:$A$755,"US_NFP",Release_Calendar!$B$2:$B$755,$A4265)&gt;0,1,0)</f>
        <v>0</v>
      </c>
      <c r="M4265" s="16" t="str">
        <f>IF($A4265&lt;Notes!$B$5,"",IF(COUNTIFS(Release_Calendar!$A$2:$A$755,"NZ_CPI",Release_Calendar!$B$2:$B$755,$A4265)&gt;0,1,0))</f>
        <v/>
      </c>
      <c r="N4265" s="16" t="str">
        <f>IF($A4265&lt;Notes!$B$5,"",IF(COUNTIFS(Release_Calendar!$A$2:$A$755,"NZ_GDP",Release_Calendar!$B$2:$B$755,$A4265)&gt;0,1,0))</f>
        <v/>
      </c>
      <c r="O4265" s="16" t="str">
        <f>IF($A4265&lt;Notes!$B$5,"",IF(COUNTIFS(Release_Calendar!$A$2:$A$755,"NZ_LABOUR",Release_Calendar!$B$2:$B$755,$A4265)&gt;0,1,0))</f>
        <v/>
      </c>
      <c r="P4265" s="16">
        <f t="shared" si="4"/>
        <v>0</v>
      </c>
    </row>
    <row r="4266" ht="15.75" customHeight="1">
      <c r="A4266" s="14">
        <v>42496.0</v>
      </c>
      <c r="B4266" s="15">
        <v>0.74</v>
      </c>
      <c r="C4266" s="15">
        <v>2.15</v>
      </c>
      <c r="D4266" s="15">
        <v>2.0</v>
      </c>
      <c r="E4266" s="15">
        <v>1.98</v>
      </c>
      <c r="F4266" s="15">
        <f t="shared" si="1"/>
        <v>1.41</v>
      </c>
      <c r="G4266" s="15">
        <f t="shared" si="2"/>
        <v>2.15</v>
      </c>
      <c r="H4266" s="16">
        <v>0.0</v>
      </c>
      <c r="I4266" s="15">
        <f t="shared" si="3"/>
        <v>1.41</v>
      </c>
      <c r="J4266" s="15">
        <v>14.72</v>
      </c>
      <c r="K4266" s="16">
        <f>IF(COUNTIFS(Release_Calendar!$A$2:$A$755,"US_CPI",Release_Calendar!$B$2:$B$755,$A4266)&gt;0,1,0)</f>
        <v>0</v>
      </c>
      <c r="L4266" s="16">
        <f>IF(COUNTIFS(Release_Calendar!$A$2:$A$755,"US_NFP",Release_Calendar!$B$2:$B$755,$A4266)&gt;0,1,0)</f>
        <v>1</v>
      </c>
      <c r="M4266" s="16" t="str">
        <f>IF($A4266&lt;Notes!$B$5,"",IF(COUNTIFS(Release_Calendar!$A$2:$A$755,"NZ_CPI",Release_Calendar!$B$2:$B$755,$A4266)&gt;0,1,0))</f>
        <v/>
      </c>
      <c r="N4266" s="16" t="str">
        <f>IF($A4266&lt;Notes!$B$5,"",IF(COUNTIFS(Release_Calendar!$A$2:$A$755,"NZ_GDP",Release_Calendar!$B$2:$B$755,$A4266)&gt;0,1,0))</f>
        <v/>
      </c>
      <c r="O4266" s="16" t="str">
        <f>IF($A4266&lt;Notes!$B$5,"",IF(COUNTIFS(Release_Calendar!$A$2:$A$755,"NZ_LABOUR",Release_Calendar!$B$2:$B$755,$A4266)&gt;0,1,0))</f>
        <v/>
      </c>
      <c r="P4266" s="16">
        <f t="shared" si="4"/>
        <v>1</v>
      </c>
    </row>
    <row r="4267" ht="15.75" customHeight="1">
      <c r="A4267" s="14">
        <v>42499.0</v>
      </c>
      <c r="B4267" s="15">
        <v>0.72</v>
      </c>
      <c r="C4267" s="15">
        <v>2.16</v>
      </c>
      <c r="D4267" s="15">
        <v>2.0</v>
      </c>
      <c r="E4267" s="15">
        <v>2.0</v>
      </c>
      <c r="F4267" s="15">
        <f t="shared" si="1"/>
        <v>1.44</v>
      </c>
      <c r="G4267" s="15">
        <f t="shared" si="2"/>
        <v>2.16</v>
      </c>
      <c r="H4267" s="16">
        <v>0.0</v>
      </c>
      <c r="I4267" s="15">
        <f t="shared" si="3"/>
        <v>1.44</v>
      </c>
      <c r="J4267" s="15">
        <v>14.57</v>
      </c>
      <c r="K4267" s="16">
        <f>IF(COUNTIFS(Release_Calendar!$A$2:$A$755,"US_CPI",Release_Calendar!$B$2:$B$755,$A4267)&gt;0,1,0)</f>
        <v>0</v>
      </c>
      <c r="L4267" s="16">
        <f>IF(COUNTIFS(Release_Calendar!$A$2:$A$755,"US_NFP",Release_Calendar!$B$2:$B$755,$A4267)&gt;0,1,0)</f>
        <v>0</v>
      </c>
      <c r="M4267" s="16" t="str">
        <f>IF($A4267&lt;Notes!$B$5,"",IF(COUNTIFS(Release_Calendar!$A$2:$A$755,"NZ_CPI",Release_Calendar!$B$2:$B$755,$A4267)&gt;0,1,0))</f>
        <v/>
      </c>
      <c r="N4267" s="16" t="str">
        <f>IF($A4267&lt;Notes!$B$5,"",IF(COUNTIFS(Release_Calendar!$A$2:$A$755,"NZ_GDP",Release_Calendar!$B$2:$B$755,$A4267)&gt;0,1,0))</f>
        <v/>
      </c>
      <c r="O4267" s="16" t="str">
        <f>IF($A4267&lt;Notes!$B$5,"",IF(COUNTIFS(Release_Calendar!$A$2:$A$755,"NZ_LABOUR",Release_Calendar!$B$2:$B$755,$A4267)&gt;0,1,0))</f>
        <v/>
      </c>
      <c r="P4267" s="16">
        <f t="shared" si="4"/>
        <v>0</v>
      </c>
    </row>
    <row r="4268" ht="15.75" customHeight="1">
      <c r="A4268" s="14">
        <v>42500.0</v>
      </c>
      <c r="B4268" s="15">
        <v>0.72</v>
      </c>
      <c r="C4268" s="15">
        <v>2.13</v>
      </c>
      <c r="D4268" s="15">
        <v>1.97</v>
      </c>
      <c r="E4268" s="15">
        <v>1.98</v>
      </c>
      <c r="F4268" s="15">
        <f t="shared" si="1"/>
        <v>1.41</v>
      </c>
      <c r="G4268" s="15">
        <f t="shared" si="2"/>
        <v>2.13</v>
      </c>
      <c r="H4268" s="16">
        <v>0.0</v>
      </c>
      <c r="I4268" s="15">
        <f t="shared" si="3"/>
        <v>1.41</v>
      </c>
      <c r="J4268" s="15">
        <v>13.63</v>
      </c>
      <c r="K4268" s="16">
        <f>IF(COUNTIFS(Release_Calendar!$A$2:$A$755,"US_CPI",Release_Calendar!$B$2:$B$755,$A4268)&gt;0,1,0)</f>
        <v>0</v>
      </c>
      <c r="L4268" s="16">
        <f>IF(COUNTIFS(Release_Calendar!$A$2:$A$755,"US_NFP",Release_Calendar!$B$2:$B$755,$A4268)&gt;0,1,0)</f>
        <v>0</v>
      </c>
      <c r="M4268" s="16" t="str">
        <f>IF($A4268&lt;Notes!$B$5,"",IF(COUNTIFS(Release_Calendar!$A$2:$A$755,"NZ_CPI",Release_Calendar!$B$2:$B$755,$A4268)&gt;0,1,0))</f>
        <v/>
      </c>
      <c r="N4268" s="16" t="str">
        <f>IF($A4268&lt;Notes!$B$5,"",IF(COUNTIFS(Release_Calendar!$A$2:$A$755,"NZ_GDP",Release_Calendar!$B$2:$B$755,$A4268)&gt;0,1,0))</f>
        <v/>
      </c>
      <c r="O4268" s="16" t="str">
        <f>IF($A4268&lt;Notes!$B$5,"",IF(COUNTIFS(Release_Calendar!$A$2:$A$755,"NZ_LABOUR",Release_Calendar!$B$2:$B$755,$A4268)&gt;0,1,0))</f>
        <v/>
      </c>
      <c r="P4268" s="16">
        <f t="shared" si="4"/>
        <v>0</v>
      </c>
    </row>
    <row r="4269" ht="15.75" customHeight="1">
      <c r="A4269" s="14">
        <v>42501.0</v>
      </c>
      <c r="B4269" s="15">
        <v>0.74</v>
      </c>
      <c r="C4269" s="15">
        <v>2.16</v>
      </c>
      <c r="D4269" s="15">
        <v>2.02</v>
      </c>
      <c r="E4269" s="15">
        <v>2.0</v>
      </c>
      <c r="F4269" s="15">
        <f t="shared" si="1"/>
        <v>1.42</v>
      </c>
      <c r="G4269" s="15">
        <f t="shared" si="2"/>
        <v>2.16</v>
      </c>
      <c r="H4269" s="16">
        <v>0.0</v>
      </c>
      <c r="I4269" s="15">
        <f t="shared" si="3"/>
        <v>1.42</v>
      </c>
      <c r="J4269" s="15">
        <v>14.69</v>
      </c>
      <c r="K4269" s="16">
        <f>IF(COUNTIFS(Release_Calendar!$A$2:$A$755,"US_CPI",Release_Calendar!$B$2:$B$755,$A4269)&gt;0,1,0)</f>
        <v>0</v>
      </c>
      <c r="L4269" s="16">
        <f>IF(COUNTIFS(Release_Calendar!$A$2:$A$755,"US_NFP",Release_Calendar!$B$2:$B$755,$A4269)&gt;0,1,0)</f>
        <v>0</v>
      </c>
      <c r="M4269" s="16" t="str">
        <f>IF($A4269&lt;Notes!$B$5,"",IF(COUNTIFS(Release_Calendar!$A$2:$A$755,"NZ_CPI",Release_Calendar!$B$2:$B$755,$A4269)&gt;0,1,0))</f>
        <v/>
      </c>
      <c r="N4269" s="16" t="str">
        <f>IF($A4269&lt;Notes!$B$5,"",IF(COUNTIFS(Release_Calendar!$A$2:$A$755,"NZ_GDP",Release_Calendar!$B$2:$B$755,$A4269)&gt;0,1,0))</f>
        <v/>
      </c>
      <c r="O4269" s="16" t="str">
        <f>IF($A4269&lt;Notes!$B$5,"",IF(COUNTIFS(Release_Calendar!$A$2:$A$755,"NZ_LABOUR",Release_Calendar!$B$2:$B$755,$A4269)&gt;0,1,0))</f>
        <v/>
      </c>
      <c r="P4269" s="16">
        <f t="shared" si="4"/>
        <v>0</v>
      </c>
    </row>
    <row r="4270" ht="15.75" customHeight="1">
      <c r="A4270" s="14">
        <v>42502.0</v>
      </c>
      <c r="B4270" s="15">
        <v>0.76</v>
      </c>
      <c r="C4270" s="15">
        <v>2.2</v>
      </c>
      <c r="D4270" s="15">
        <v>1.98</v>
      </c>
      <c r="E4270" s="15">
        <v>2.01</v>
      </c>
      <c r="F4270" s="15">
        <f t="shared" si="1"/>
        <v>1.44</v>
      </c>
      <c r="G4270" s="15">
        <f t="shared" si="2"/>
        <v>2.2</v>
      </c>
      <c r="H4270" s="16">
        <v>0.0</v>
      </c>
      <c r="I4270" s="15">
        <f t="shared" si="3"/>
        <v>1.44</v>
      </c>
      <c r="J4270" s="15">
        <v>14.41</v>
      </c>
      <c r="K4270" s="16">
        <f>IF(COUNTIFS(Release_Calendar!$A$2:$A$755,"US_CPI",Release_Calendar!$B$2:$B$755,$A4270)&gt;0,1,0)</f>
        <v>0</v>
      </c>
      <c r="L4270" s="16">
        <f>IF(COUNTIFS(Release_Calendar!$A$2:$A$755,"US_NFP",Release_Calendar!$B$2:$B$755,$A4270)&gt;0,1,0)</f>
        <v>0</v>
      </c>
      <c r="M4270" s="16" t="str">
        <f>IF($A4270&lt;Notes!$B$5,"",IF(COUNTIFS(Release_Calendar!$A$2:$A$755,"NZ_CPI",Release_Calendar!$B$2:$B$755,$A4270)&gt;0,1,0))</f>
        <v/>
      </c>
      <c r="N4270" s="16" t="str">
        <f>IF($A4270&lt;Notes!$B$5,"",IF(COUNTIFS(Release_Calendar!$A$2:$A$755,"NZ_GDP",Release_Calendar!$B$2:$B$755,$A4270)&gt;0,1,0))</f>
        <v/>
      </c>
      <c r="O4270" s="16" t="str">
        <f>IF($A4270&lt;Notes!$B$5,"",IF(COUNTIFS(Release_Calendar!$A$2:$A$755,"NZ_LABOUR",Release_Calendar!$B$2:$B$755,$A4270)&gt;0,1,0))</f>
        <v/>
      </c>
      <c r="P4270" s="16">
        <f t="shared" si="4"/>
        <v>0</v>
      </c>
    </row>
    <row r="4271" ht="15.75" customHeight="1">
      <c r="A4271" s="14">
        <v>42503.0</v>
      </c>
      <c r="B4271" s="15">
        <v>0.76</v>
      </c>
      <c r="C4271" s="15">
        <v>2.22</v>
      </c>
      <c r="D4271" s="15">
        <v>2.06</v>
      </c>
      <c r="E4271" s="15">
        <v>2.05</v>
      </c>
      <c r="F4271" s="15">
        <f t="shared" si="1"/>
        <v>1.46</v>
      </c>
      <c r="G4271" s="15">
        <f t="shared" si="2"/>
        <v>2.22</v>
      </c>
      <c r="H4271" s="16">
        <v>0.0</v>
      </c>
      <c r="I4271" s="15">
        <f t="shared" si="3"/>
        <v>1.46</v>
      </c>
      <c r="J4271" s="15">
        <v>15.04</v>
      </c>
      <c r="K4271" s="16">
        <f>IF(COUNTIFS(Release_Calendar!$A$2:$A$755,"US_CPI",Release_Calendar!$B$2:$B$755,$A4271)&gt;0,1,0)</f>
        <v>0</v>
      </c>
      <c r="L4271" s="16">
        <f>IF(COUNTIFS(Release_Calendar!$A$2:$A$755,"US_NFP",Release_Calendar!$B$2:$B$755,$A4271)&gt;0,1,0)</f>
        <v>0</v>
      </c>
      <c r="M4271" s="16" t="str">
        <f>IF($A4271&lt;Notes!$B$5,"",IF(COUNTIFS(Release_Calendar!$A$2:$A$755,"NZ_CPI",Release_Calendar!$B$2:$B$755,$A4271)&gt;0,1,0))</f>
        <v/>
      </c>
      <c r="N4271" s="16" t="str">
        <f>IF($A4271&lt;Notes!$B$5,"",IF(COUNTIFS(Release_Calendar!$A$2:$A$755,"NZ_GDP",Release_Calendar!$B$2:$B$755,$A4271)&gt;0,1,0))</f>
        <v/>
      </c>
      <c r="O4271" s="16" t="str">
        <f>IF($A4271&lt;Notes!$B$5,"",IF(COUNTIFS(Release_Calendar!$A$2:$A$755,"NZ_LABOUR",Release_Calendar!$B$2:$B$755,$A4271)&gt;0,1,0))</f>
        <v/>
      </c>
      <c r="P4271" s="16">
        <f t="shared" si="4"/>
        <v>0</v>
      </c>
    </row>
    <row r="4272" ht="15.75" customHeight="1">
      <c r="A4272" s="14">
        <v>42506.0</v>
      </c>
      <c r="B4272" s="15">
        <v>0.79</v>
      </c>
      <c r="C4272" s="15">
        <v>2.2</v>
      </c>
      <c r="D4272" s="15">
        <v>2.03</v>
      </c>
      <c r="E4272" s="15">
        <v>2.04</v>
      </c>
      <c r="F4272" s="15">
        <f t="shared" si="1"/>
        <v>1.41</v>
      </c>
      <c r="G4272" s="15">
        <f t="shared" si="2"/>
        <v>2.2</v>
      </c>
      <c r="H4272" s="16">
        <v>0.0</v>
      </c>
      <c r="I4272" s="15">
        <f t="shared" si="3"/>
        <v>1.41</v>
      </c>
      <c r="J4272" s="15">
        <v>14.68</v>
      </c>
      <c r="K4272" s="16">
        <f>IF(COUNTIFS(Release_Calendar!$A$2:$A$755,"US_CPI",Release_Calendar!$B$2:$B$755,$A4272)&gt;0,1,0)</f>
        <v>0</v>
      </c>
      <c r="L4272" s="16">
        <f>IF(COUNTIFS(Release_Calendar!$A$2:$A$755,"US_NFP",Release_Calendar!$B$2:$B$755,$A4272)&gt;0,1,0)</f>
        <v>0</v>
      </c>
      <c r="M4272" s="16" t="str">
        <f>IF($A4272&lt;Notes!$B$5,"",IF(COUNTIFS(Release_Calendar!$A$2:$A$755,"NZ_CPI",Release_Calendar!$B$2:$B$755,$A4272)&gt;0,1,0))</f>
        <v/>
      </c>
      <c r="N4272" s="16" t="str">
        <f>IF($A4272&lt;Notes!$B$5,"",IF(COUNTIFS(Release_Calendar!$A$2:$A$755,"NZ_GDP",Release_Calendar!$B$2:$B$755,$A4272)&gt;0,1,0))</f>
        <v/>
      </c>
      <c r="O4272" s="16" t="str">
        <f>IF($A4272&lt;Notes!$B$5,"",IF(COUNTIFS(Release_Calendar!$A$2:$A$755,"NZ_LABOUR",Release_Calendar!$B$2:$B$755,$A4272)&gt;0,1,0))</f>
        <v/>
      </c>
      <c r="P4272" s="16">
        <f t="shared" si="4"/>
        <v>0</v>
      </c>
    </row>
    <row r="4273" ht="15.75" customHeight="1">
      <c r="A4273" s="14">
        <v>42507.0</v>
      </c>
      <c r="B4273" s="15">
        <v>0.82</v>
      </c>
      <c r="C4273" s="15">
        <v>2.22</v>
      </c>
      <c r="D4273" s="15">
        <v>2.06</v>
      </c>
      <c r="E4273" s="15">
        <v>2.07</v>
      </c>
      <c r="F4273" s="15">
        <f t="shared" si="1"/>
        <v>1.4</v>
      </c>
      <c r="G4273" s="15">
        <f t="shared" si="2"/>
        <v>2.22</v>
      </c>
      <c r="H4273" s="16">
        <v>0.0</v>
      </c>
      <c r="I4273" s="15">
        <f t="shared" si="3"/>
        <v>1.4</v>
      </c>
      <c r="J4273" s="15">
        <v>15.57</v>
      </c>
      <c r="K4273" s="16">
        <f>IF(COUNTIFS(Release_Calendar!$A$2:$A$755,"US_CPI",Release_Calendar!$B$2:$B$755,$A4273)&gt;0,1,0)</f>
        <v>1</v>
      </c>
      <c r="L4273" s="16">
        <f>IF(COUNTIFS(Release_Calendar!$A$2:$A$755,"US_NFP",Release_Calendar!$B$2:$B$755,$A4273)&gt;0,1,0)</f>
        <v>0</v>
      </c>
      <c r="M4273" s="16" t="str">
        <f>IF($A4273&lt;Notes!$B$5,"",IF(COUNTIFS(Release_Calendar!$A$2:$A$755,"NZ_CPI",Release_Calendar!$B$2:$B$755,$A4273)&gt;0,1,0))</f>
        <v/>
      </c>
      <c r="N4273" s="16" t="str">
        <f>IF($A4273&lt;Notes!$B$5,"",IF(COUNTIFS(Release_Calendar!$A$2:$A$755,"NZ_GDP",Release_Calendar!$B$2:$B$755,$A4273)&gt;0,1,0))</f>
        <v/>
      </c>
      <c r="O4273" s="16" t="str">
        <f>IF($A4273&lt;Notes!$B$5,"",IF(COUNTIFS(Release_Calendar!$A$2:$A$755,"NZ_LABOUR",Release_Calendar!$B$2:$B$755,$A4273)&gt;0,1,0))</f>
        <v/>
      </c>
      <c r="P4273" s="16">
        <f t="shared" si="4"/>
        <v>1</v>
      </c>
    </row>
    <row r="4274" ht="15.75" customHeight="1">
      <c r="A4274" s="14">
        <v>42508.0</v>
      </c>
      <c r="B4274" s="15">
        <v>0.9</v>
      </c>
      <c r="C4274" s="15">
        <v>2.24</v>
      </c>
      <c r="D4274" s="15">
        <v>2.1</v>
      </c>
      <c r="E4274" s="15">
        <v>2.1</v>
      </c>
      <c r="F4274" s="15">
        <f t="shared" si="1"/>
        <v>1.34</v>
      </c>
      <c r="G4274" s="15">
        <f t="shared" si="2"/>
        <v>2.24</v>
      </c>
      <c r="H4274" s="16">
        <v>0.0</v>
      </c>
      <c r="I4274" s="15">
        <f t="shared" si="3"/>
        <v>1.34</v>
      </c>
      <c r="J4274" s="15">
        <v>15.95</v>
      </c>
      <c r="K4274" s="16">
        <f>IF(COUNTIFS(Release_Calendar!$A$2:$A$755,"US_CPI",Release_Calendar!$B$2:$B$755,$A4274)&gt;0,1,0)</f>
        <v>0</v>
      </c>
      <c r="L4274" s="16">
        <f>IF(COUNTIFS(Release_Calendar!$A$2:$A$755,"US_NFP",Release_Calendar!$B$2:$B$755,$A4274)&gt;0,1,0)</f>
        <v>0</v>
      </c>
      <c r="M4274" s="16" t="str">
        <f>IF($A4274&lt;Notes!$B$5,"",IF(COUNTIFS(Release_Calendar!$A$2:$A$755,"NZ_CPI",Release_Calendar!$B$2:$B$755,$A4274)&gt;0,1,0))</f>
        <v/>
      </c>
      <c r="N4274" s="16" t="str">
        <f>IF($A4274&lt;Notes!$B$5,"",IF(COUNTIFS(Release_Calendar!$A$2:$A$755,"NZ_GDP",Release_Calendar!$B$2:$B$755,$A4274)&gt;0,1,0))</f>
        <v/>
      </c>
      <c r="O4274" s="16" t="str">
        <f>IF($A4274&lt;Notes!$B$5,"",IF(COUNTIFS(Release_Calendar!$A$2:$A$755,"NZ_LABOUR",Release_Calendar!$B$2:$B$755,$A4274)&gt;0,1,0))</f>
        <v/>
      </c>
      <c r="P4274" s="16">
        <f t="shared" si="4"/>
        <v>0</v>
      </c>
    </row>
    <row r="4275" ht="15.75" customHeight="1">
      <c r="A4275" s="14">
        <v>42509.0</v>
      </c>
      <c r="B4275" s="15">
        <v>0.89</v>
      </c>
      <c r="C4275" s="15">
        <v>2.28</v>
      </c>
      <c r="D4275" s="15">
        <v>2.16</v>
      </c>
      <c r="E4275" s="15">
        <v>2.14</v>
      </c>
      <c r="F4275" s="15">
        <f t="shared" si="1"/>
        <v>1.39</v>
      </c>
      <c r="G4275" s="15">
        <f t="shared" si="2"/>
        <v>2.28</v>
      </c>
      <c r="H4275" s="16">
        <v>0.0</v>
      </c>
      <c r="I4275" s="15">
        <f t="shared" si="3"/>
        <v>1.39</v>
      </c>
      <c r="J4275" s="15">
        <v>16.33</v>
      </c>
      <c r="K4275" s="16">
        <f>IF(COUNTIFS(Release_Calendar!$A$2:$A$755,"US_CPI",Release_Calendar!$B$2:$B$755,$A4275)&gt;0,1,0)</f>
        <v>0</v>
      </c>
      <c r="L4275" s="16">
        <f>IF(COUNTIFS(Release_Calendar!$A$2:$A$755,"US_NFP",Release_Calendar!$B$2:$B$755,$A4275)&gt;0,1,0)</f>
        <v>0</v>
      </c>
      <c r="M4275" s="16" t="str">
        <f>IF($A4275&lt;Notes!$B$5,"",IF(COUNTIFS(Release_Calendar!$A$2:$A$755,"NZ_CPI",Release_Calendar!$B$2:$B$755,$A4275)&gt;0,1,0))</f>
        <v/>
      </c>
      <c r="N4275" s="16" t="str">
        <f>IF($A4275&lt;Notes!$B$5,"",IF(COUNTIFS(Release_Calendar!$A$2:$A$755,"NZ_GDP",Release_Calendar!$B$2:$B$755,$A4275)&gt;0,1,0))</f>
        <v/>
      </c>
      <c r="O4275" s="16" t="str">
        <f>IF($A4275&lt;Notes!$B$5,"",IF(COUNTIFS(Release_Calendar!$A$2:$A$755,"NZ_LABOUR",Release_Calendar!$B$2:$B$755,$A4275)&gt;0,1,0))</f>
        <v/>
      </c>
      <c r="P4275" s="16">
        <f t="shared" si="4"/>
        <v>0</v>
      </c>
    </row>
    <row r="4276" ht="15.75" customHeight="1">
      <c r="A4276" s="14">
        <v>42510.0</v>
      </c>
      <c r="B4276" s="15">
        <v>0.89</v>
      </c>
      <c r="C4276" s="15">
        <v>2.29</v>
      </c>
      <c r="D4276" s="15">
        <v>2.12</v>
      </c>
      <c r="E4276" s="15">
        <v>2.15</v>
      </c>
      <c r="F4276" s="15">
        <f t="shared" si="1"/>
        <v>1.4</v>
      </c>
      <c r="G4276" s="15">
        <f t="shared" si="2"/>
        <v>2.29</v>
      </c>
      <c r="H4276" s="16">
        <v>0.0</v>
      </c>
      <c r="I4276" s="15">
        <f t="shared" si="3"/>
        <v>1.4</v>
      </c>
      <c r="J4276" s="15">
        <v>15.2</v>
      </c>
      <c r="K4276" s="16">
        <f>IF(COUNTIFS(Release_Calendar!$A$2:$A$755,"US_CPI",Release_Calendar!$B$2:$B$755,$A4276)&gt;0,1,0)</f>
        <v>0</v>
      </c>
      <c r="L4276" s="16">
        <f>IF(COUNTIFS(Release_Calendar!$A$2:$A$755,"US_NFP",Release_Calendar!$B$2:$B$755,$A4276)&gt;0,1,0)</f>
        <v>0</v>
      </c>
      <c r="M4276" s="16" t="str">
        <f>IF($A4276&lt;Notes!$B$5,"",IF(COUNTIFS(Release_Calendar!$A$2:$A$755,"NZ_CPI",Release_Calendar!$B$2:$B$755,$A4276)&gt;0,1,0))</f>
        <v/>
      </c>
      <c r="N4276" s="16" t="str">
        <f>IF($A4276&lt;Notes!$B$5,"",IF(COUNTIFS(Release_Calendar!$A$2:$A$755,"NZ_GDP",Release_Calendar!$B$2:$B$755,$A4276)&gt;0,1,0))</f>
        <v/>
      </c>
      <c r="O4276" s="16" t="str">
        <f>IF($A4276&lt;Notes!$B$5,"",IF(COUNTIFS(Release_Calendar!$A$2:$A$755,"NZ_LABOUR",Release_Calendar!$B$2:$B$755,$A4276)&gt;0,1,0))</f>
        <v/>
      </c>
      <c r="P4276" s="16">
        <f t="shared" si="4"/>
        <v>0</v>
      </c>
    </row>
    <row r="4277" ht="15.75" customHeight="1">
      <c r="A4277" s="14">
        <v>42513.0</v>
      </c>
      <c r="B4277" s="15">
        <v>0.91</v>
      </c>
      <c r="C4277" s="15">
        <v>2.33</v>
      </c>
      <c r="D4277" s="15">
        <v>2.15</v>
      </c>
      <c r="E4277" s="15">
        <v>2.19</v>
      </c>
      <c r="F4277" s="15">
        <f t="shared" si="1"/>
        <v>1.42</v>
      </c>
      <c r="G4277" s="15">
        <f t="shared" si="2"/>
        <v>2.33</v>
      </c>
      <c r="H4277" s="16">
        <v>0.0</v>
      </c>
      <c r="I4277" s="15">
        <f t="shared" si="3"/>
        <v>1.42</v>
      </c>
      <c r="J4277" s="15">
        <v>15.82</v>
      </c>
      <c r="K4277" s="16">
        <f>IF(COUNTIFS(Release_Calendar!$A$2:$A$755,"US_CPI",Release_Calendar!$B$2:$B$755,$A4277)&gt;0,1,0)</f>
        <v>0</v>
      </c>
      <c r="L4277" s="16">
        <f>IF(COUNTIFS(Release_Calendar!$A$2:$A$755,"US_NFP",Release_Calendar!$B$2:$B$755,$A4277)&gt;0,1,0)</f>
        <v>0</v>
      </c>
      <c r="M4277" s="16" t="str">
        <f>IF($A4277&lt;Notes!$B$5,"",IF(COUNTIFS(Release_Calendar!$A$2:$A$755,"NZ_CPI",Release_Calendar!$B$2:$B$755,$A4277)&gt;0,1,0))</f>
        <v/>
      </c>
      <c r="N4277" s="16" t="str">
        <f>IF($A4277&lt;Notes!$B$5,"",IF(COUNTIFS(Release_Calendar!$A$2:$A$755,"NZ_GDP",Release_Calendar!$B$2:$B$755,$A4277)&gt;0,1,0))</f>
        <v/>
      </c>
      <c r="O4277" s="16" t="str">
        <f>IF($A4277&lt;Notes!$B$5,"",IF(COUNTIFS(Release_Calendar!$A$2:$A$755,"NZ_LABOUR",Release_Calendar!$B$2:$B$755,$A4277)&gt;0,1,0))</f>
        <v/>
      </c>
      <c r="P4277" s="16">
        <f t="shared" si="4"/>
        <v>0</v>
      </c>
    </row>
    <row r="4278" ht="15.75" customHeight="1">
      <c r="A4278" s="14">
        <v>42514.0</v>
      </c>
      <c r="B4278" s="15">
        <v>0.92</v>
      </c>
      <c r="C4278" s="15">
        <v>2.3</v>
      </c>
      <c r="D4278" s="15">
        <v>2.19</v>
      </c>
      <c r="E4278" s="15">
        <v>2.17</v>
      </c>
      <c r="F4278" s="15">
        <f t="shared" si="1"/>
        <v>1.38</v>
      </c>
      <c r="G4278" s="15">
        <f t="shared" si="2"/>
        <v>2.3</v>
      </c>
      <c r="H4278" s="16">
        <v>0.0</v>
      </c>
      <c r="I4278" s="15">
        <f t="shared" si="3"/>
        <v>1.38</v>
      </c>
      <c r="J4278" s="15">
        <v>14.42</v>
      </c>
      <c r="K4278" s="16">
        <f>IF(COUNTIFS(Release_Calendar!$A$2:$A$755,"US_CPI",Release_Calendar!$B$2:$B$755,$A4278)&gt;0,1,0)</f>
        <v>0</v>
      </c>
      <c r="L4278" s="16">
        <f>IF(COUNTIFS(Release_Calendar!$A$2:$A$755,"US_NFP",Release_Calendar!$B$2:$B$755,$A4278)&gt;0,1,0)</f>
        <v>0</v>
      </c>
      <c r="M4278" s="16" t="str">
        <f>IF($A4278&lt;Notes!$B$5,"",IF(COUNTIFS(Release_Calendar!$A$2:$A$755,"NZ_CPI",Release_Calendar!$B$2:$B$755,$A4278)&gt;0,1,0))</f>
        <v/>
      </c>
      <c r="N4278" s="16" t="str">
        <f>IF($A4278&lt;Notes!$B$5,"",IF(COUNTIFS(Release_Calendar!$A$2:$A$755,"NZ_GDP",Release_Calendar!$B$2:$B$755,$A4278)&gt;0,1,0))</f>
        <v/>
      </c>
      <c r="O4278" s="16" t="str">
        <f>IF($A4278&lt;Notes!$B$5,"",IF(COUNTIFS(Release_Calendar!$A$2:$A$755,"NZ_LABOUR",Release_Calendar!$B$2:$B$755,$A4278)&gt;0,1,0))</f>
        <v/>
      </c>
      <c r="P4278" s="16">
        <f t="shared" si="4"/>
        <v>0</v>
      </c>
    </row>
    <row r="4279" ht="15.75" customHeight="1">
      <c r="A4279" s="14">
        <v>42515.0</v>
      </c>
      <c r="B4279" s="15">
        <v>0.92</v>
      </c>
      <c r="C4279" s="15">
        <v>2.31</v>
      </c>
      <c r="D4279" s="15">
        <v>2.18</v>
      </c>
      <c r="E4279" s="15">
        <v>2.17</v>
      </c>
      <c r="F4279" s="15">
        <f t="shared" si="1"/>
        <v>1.39</v>
      </c>
      <c r="G4279" s="15">
        <f t="shared" si="2"/>
        <v>2.31</v>
      </c>
      <c r="H4279" s="16">
        <v>0.0</v>
      </c>
      <c r="I4279" s="15">
        <f t="shared" si="3"/>
        <v>1.39</v>
      </c>
      <c r="J4279" s="15">
        <v>13.9</v>
      </c>
      <c r="K4279" s="16">
        <f>IF(COUNTIFS(Release_Calendar!$A$2:$A$755,"US_CPI",Release_Calendar!$B$2:$B$755,$A4279)&gt;0,1,0)</f>
        <v>0</v>
      </c>
      <c r="L4279" s="16">
        <f>IF(COUNTIFS(Release_Calendar!$A$2:$A$755,"US_NFP",Release_Calendar!$B$2:$B$755,$A4279)&gt;0,1,0)</f>
        <v>0</v>
      </c>
      <c r="M4279" s="16" t="str">
        <f>IF($A4279&lt;Notes!$B$5,"",IF(COUNTIFS(Release_Calendar!$A$2:$A$755,"NZ_CPI",Release_Calendar!$B$2:$B$755,$A4279)&gt;0,1,0))</f>
        <v/>
      </c>
      <c r="N4279" s="16" t="str">
        <f>IF($A4279&lt;Notes!$B$5,"",IF(COUNTIFS(Release_Calendar!$A$2:$A$755,"NZ_GDP",Release_Calendar!$B$2:$B$755,$A4279)&gt;0,1,0))</f>
        <v/>
      </c>
      <c r="O4279" s="16" t="str">
        <f>IF($A4279&lt;Notes!$B$5,"",IF(COUNTIFS(Release_Calendar!$A$2:$A$755,"NZ_LABOUR",Release_Calendar!$B$2:$B$755,$A4279)&gt;0,1,0))</f>
        <v/>
      </c>
      <c r="P4279" s="16">
        <f t="shared" si="4"/>
        <v>0</v>
      </c>
    </row>
    <row r="4280" ht="15.75" customHeight="1">
      <c r="A4280" s="14">
        <v>42516.0</v>
      </c>
      <c r="B4280" s="15">
        <v>0.87</v>
      </c>
      <c r="C4280" s="15">
        <v>2.27</v>
      </c>
      <c r="D4280" s="15">
        <v>2.15</v>
      </c>
      <c r="E4280" s="15">
        <v>2.09</v>
      </c>
      <c r="F4280" s="15">
        <f t="shared" si="1"/>
        <v>1.4</v>
      </c>
      <c r="G4280" s="15">
        <f t="shared" si="2"/>
        <v>2.27</v>
      </c>
      <c r="H4280" s="16">
        <v>0.0</v>
      </c>
      <c r="I4280" s="15">
        <f t="shared" si="3"/>
        <v>1.4</v>
      </c>
      <c r="J4280" s="15">
        <v>13.43</v>
      </c>
      <c r="K4280" s="16">
        <f>IF(COUNTIFS(Release_Calendar!$A$2:$A$755,"US_CPI",Release_Calendar!$B$2:$B$755,$A4280)&gt;0,1,0)</f>
        <v>0</v>
      </c>
      <c r="L4280" s="16">
        <f>IF(COUNTIFS(Release_Calendar!$A$2:$A$755,"US_NFP",Release_Calendar!$B$2:$B$755,$A4280)&gt;0,1,0)</f>
        <v>0</v>
      </c>
      <c r="M4280" s="16" t="str">
        <f>IF($A4280&lt;Notes!$B$5,"",IF(COUNTIFS(Release_Calendar!$A$2:$A$755,"NZ_CPI",Release_Calendar!$B$2:$B$755,$A4280)&gt;0,1,0))</f>
        <v/>
      </c>
      <c r="N4280" s="16" t="str">
        <f>IF($A4280&lt;Notes!$B$5,"",IF(COUNTIFS(Release_Calendar!$A$2:$A$755,"NZ_GDP",Release_Calendar!$B$2:$B$755,$A4280)&gt;0,1,0))</f>
        <v/>
      </c>
      <c r="O4280" s="16" t="str">
        <f>IF($A4280&lt;Notes!$B$5,"",IF(COUNTIFS(Release_Calendar!$A$2:$A$755,"NZ_LABOUR",Release_Calendar!$B$2:$B$755,$A4280)&gt;0,1,0))</f>
        <v/>
      </c>
      <c r="P4280" s="16">
        <f t="shared" si="4"/>
        <v>0</v>
      </c>
    </row>
    <row r="4281" ht="15.75" customHeight="1">
      <c r="A4281" s="14">
        <v>42517.0</v>
      </c>
      <c r="B4281" s="15">
        <v>0.9</v>
      </c>
      <c r="C4281" s="15">
        <v>2.25</v>
      </c>
      <c r="D4281" s="15">
        <v>2.08</v>
      </c>
      <c r="E4281" s="15">
        <v>2.06</v>
      </c>
      <c r="F4281" s="15">
        <f t="shared" si="1"/>
        <v>1.35</v>
      </c>
      <c r="G4281" s="15">
        <f t="shared" si="2"/>
        <v>2.25</v>
      </c>
      <c r="H4281" s="16">
        <v>0.0</v>
      </c>
      <c r="I4281" s="15">
        <f t="shared" si="3"/>
        <v>1.35</v>
      </c>
      <c r="J4281" s="15">
        <v>13.12</v>
      </c>
      <c r="K4281" s="16">
        <f>IF(COUNTIFS(Release_Calendar!$A$2:$A$755,"US_CPI",Release_Calendar!$B$2:$B$755,$A4281)&gt;0,1,0)</f>
        <v>0</v>
      </c>
      <c r="L4281" s="16">
        <f>IF(COUNTIFS(Release_Calendar!$A$2:$A$755,"US_NFP",Release_Calendar!$B$2:$B$755,$A4281)&gt;0,1,0)</f>
        <v>0</v>
      </c>
      <c r="M4281" s="16" t="str">
        <f>IF($A4281&lt;Notes!$B$5,"",IF(COUNTIFS(Release_Calendar!$A$2:$A$755,"NZ_CPI",Release_Calendar!$B$2:$B$755,$A4281)&gt;0,1,0))</f>
        <v/>
      </c>
      <c r="N4281" s="16" t="str">
        <f>IF($A4281&lt;Notes!$B$5,"",IF(COUNTIFS(Release_Calendar!$A$2:$A$755,"NZ_GDP",Release_Calendar!$B$2:$B$755,$A4281)&gt;0,1,0))</f>
        <v/>
      </c>
      <c r="O4281" s="16" t="str">
        <f>IF($A4281&lt;Notes!$B$5,"",IF(COUNTIFS(Release_Calendar!$A$2:$A$755,"NZ_LABOUR",Release_Calendar!$B$2:$B$755,$A4281)&gt;0,1,0))</f>
        <v/>
      </c>
      <c r="P4281" s="16">
        <f t="shared" si="4"/>
        <v>0</v>
      </c>
    </row>
    <row r="4282" ht="15.75" customHeight="1">
      <c r="A4282" s="14">
        <v>42520.0</v>
      </c>
      <c r="B4282" s="15"/>
      <c r="C4282" s="15">
        <v>2.29</v>
      </c>
      <c r="D4282" s="15">
        <v>2.1</v>
      </c>
      <c r="E4282" s="15">
        <v>2.09</v>
      </c>
      <c r="F4282" s="15" t="str">
        <f t="shared" si="1"/>
        <v/>
      </c>
      <c r="G4282" s="15">
        <f t="shared" si="2"/>
        <v>2.29</v>
      </c>
      <c r="H4282" s="16">
        <v>0.0</v>
      </c>
      <c r="I4282" s="15" t="str">
        <f t="shared" si="3"/>
        <v/>
      </c>
      <c r="J4282" s="15"/>
      <c r="K4282" s="16">
        <f>IF(COUNTIFS(Release_Calendar!$A$2:$A$755,"US_CPI",Release_Calendar!$B$2:$B$755,$A4282)&gt;0,1,0)</f>
        <v>0</v>
      </c>
      <c r="L4282" s="16">
        <f>IF(COUNTIFS(Release_Calendar!$A$2:$A$755,"US_NFP",Release_Calendar!$B$2:$B$755,$A4282)&gt;0,1,0)</f>
        <v>0</v>
      </c>
      <c r="M4282" s="16" t="str">
        <f>IF($A4282&lt;Notes!$B$5,"",IF(COUNTIFS(Release_Calendar!$A$2:$A$755,"NZ_CPI",Release_Calendar!$B$2:$B$755,$A4282)&gt;0,1,0))</f>
        <v/>
      </c>
      <c r="N4282" s="16" t="str">
        <f>IF($A4282&lt;Notes!$B$5,"",IF(COUNTIFS(Release_Calendar!$A$2:$A$755,"NZ_GDP",Release_Calendar!$B$2:$B$755,$A4282)&gt;0,1,0))</f>
        <v/>
      </c>
      <c r="O4282" s="16" t="str">
        <f>IF($A4282&lt;Notes!$B$5,"",IF(COUNTIFS(Release_Calendar!$A$2:$A$755,"NZ_LABOUR",Release_Calendar!$B$2:$B$755,$A4282)&gt;0,1,0))</f>
        <v/>
      </c>
      <c r="P4282" s="16">
        <f t="shared" si="4"/>
        <v>0</v>
      </c>
    </row>
    <row r="4283" ht="15.75" customHeight="1">
      <c r="A4283" s="14">
        <v>42521.0</v>
      </c>
      <c r="B4283" s="15">
        <v>0.87</v>
      </c>
      <c r="C4283" s="15">
        <v>2.3</v>
      </c>
      <c r="D4283" s="15">
        <v>2.09</v>
      </c>
      <c r="E4283" s="15">
        <v>2.1</v>
      </c>
      <c r="F4283" s="15">
        <f t="shared" si="1"/>
        <v>1.43</v>
      </c>
      <c r="G4283" s="15">
        <f t="shared" si="2"/>
        <v>2.3</v>
      </c>
      <c r="H4283" s="16">
        <v>0.0</v>
      </c>
      <c r="I4283" s="15">
        <f t="shared" si="3"/>
        <v>1.43</v>
      </c>
      <c r="J4283" s="15">
        <v>14.19</v>
      </c>
      <c r="K4283" s="16">
        <f>IF(COUNTIFS(Release_Calendar!$A$2:$A$755,"US_CPI",Release_Calendar!$B$2:$B$755,$A4283)&gt;0,1,0)</f>
        <v>0</v>
      </c>
      <c r="L4283" s="16">
        <f>IF(COUNTIFS(Release_Calendar!$A$2:$A$755,"US_NFP",Release_Calendar!$B$2:$B$755,$A4283)&gt;0,1,0)</f>
        <v>0</v>
      </c>
      <c r="M4283" s="16" t="str">
        <f>IF($A4283&lt;Notes!$B$5,"",IF(COUNTIFS(Release_Calendar!$A$2:$A$755,"NZ_CPI",Release_Calendar!$B$2:$B$755,$A4283)&gt;0,1,0))</f>
        <v/>
      </c>
      <c r="N4283" s="16" t="str">
        <f>IF($A4283&lt;Notes!$B$5,"",IF(COUNTIFS(Release_Calendar!$A$2:$A$755,"NZ_GDP",Release_Calendar!$B$2:$B$755,$A4283)&gt;0,1,0))</f>
        <v/>
      </c>
      <c r="O4283" s="16" t="str">
        <f>IF($A4283&lt;Notes!$B$5,"",IF(COUNTIFS(Release_Calendar!$A$2:$A$755,"NZ_LABOUR",Release_Calendar!$B$2:$B$755,$A4283)&gt;0,1,0))</f>
        <v/>
      </c>
      <c r="P4283" s="16">
        <f t="shared" si="4"/>
        <v>0</v>
      </c>
    </row>
    <row r="4284" ht="15.75" customHeight="1">
      <c r="A4284" s="14">
        <v>42522.0</v>
      </c>
      <c r="B4284" s="15">
        <v>0.91</v>
      </c>
      <c r="C4284" s="15">
        <v>2.3</v>
      </c>
      <c r="D4284" s="15">
        <v>2.09</v>
      </c>
      <c r="E4284" s="15">
        <v>2.11</v>
      </c>
      <c r="F4284" s="15">
        <f t="shared" si="1"/>
        <v>1.39</v>
      </c>
      <c r="G4284" s="15">
        <f t="shared" si="2"/>
        <v>2.3</v>
      </c>
      <c r="H4284" s="16">
        <v>0.0</v>
      </c>
      <c r="I4284" s="15">
        <f t="shared" si="3"/>
        <v>1.39</v>
      </c>
      <c r="J4284" s="15">
        <v>14.2</v>
      </c>
      <c r="K4284" s="16">
        <f>IF(COUNTIFS(Release_Calendar!$A$2:$A$755,"US_CPI",Release_Calendar!$B$2:$B$755,$A4284)&gt;0,1,0)</f>
        <v>0</v>
      </c>
      <c r="L4284" s="16">
        <f>IF(COUNTIFS(Release_Calendar!$A$2:$A$755,"US_NFP",Release_Calendar!$B$2:$B$755,$A4284)&gt;0,1,0)</f>
        <v>0</v>
      </c>
      <c r="M4284" s="16" t="str">
        <f>IF($A4284&lt;Notes!$B$5,"",IF(COUNTIFS(Release_Calendar!$A$2:$A$755,"NZ_CPI",Release_Calendar!$B$2:$B$755,$A4284)&gt;0,1,0))</f>
        <v/>
      </c>
      <c r="N4284" s="16" t="str">
        <f>IF($A4284&lt;Notes!$B$5,"",IF(COUNTIFS(Release_Calendar!$A$2:$A$755,"NZ_GDP",Release_Calendar!$B$2:$B$755,$A4284)&gt;0,1,0))</f>
        <v/>
      </c>
      <c r="O4284" s="16" t="str">
        <f>IF($A4284&lt;Notes!$B$5,"",IF(COUNTIFS(Release_Calendar!$A$2:$A$755,"NZ_LABOUR",Release_Calendar!$B$2:$B$755,$A4284)&gt;0,1,0))</f>
        <v/>
      </c>
      <c r="P4284" s="16">
        <f t="shared" si="4"/>
        <v>0</v>
      </c>
    </row>
    <row r="4285" ht="15.75" customHeight="1">
      <c r="A4285" s="14">
        <v>42523.0</v>
      </c>
      <c r="B4285" s="15">
        <v>0.89</v>
      </c>
      <c r="C4285" s="15">
        <v>2.28</v>
      </c>
      <c r="D4285" s="15">
        <v>2.09</v>
      </c>
      <c r="E4285" s="15">
        <v>2.09</v>
      </c>
      <c r="F4285" s="15">
        <f t="shared" si="1"/>
        <v>1.39</v>
      </c>
      <c r="G4285" s="15">
        <f t="shared" si="2"/>
        <v>2.28</v>
      </c>
      <c r="H4285" s="16">
        <v>0.0</v>
      </c>
      <c r="I4285" s="15">
        <f t="shared" si="3"/>
        <v>1.39</v>
      </c>
      <c r="J4285" s="15">
        <v>13.63</v>
      </c>
      <c r="K4285" s="16">
        <f>IF(COUNTIFS(Release_Calendar!$A$2:$A$755,"US_CPI",Release_Calendar!$B$2:$B$755,$A4285)&gt;0,1,0)</f>
        <v>0</v>
      </c>
      <c r="L4285" s="16">
        <f>IF(COUNTIFS(Release_Calendar!$A$2:$A$755,"US_NFP",Release_Calendar!$B$2:$B$755,$A4285)&gt;0,1,0)</f>
        <v>0</v>
      </c>
      <c r="M4285" s="16" t="str">
        <f>IF($A4285&lt;Notes!$B$5,"",IF(COUNTIFS(Release_Calendar!$A$2:$A$755,"NZ_CPI",Release_Calendar!$B$2:$B$755,$A4285)&gt;0,1,0))</f>
        <v/>
      </c>
      <c r="N4285" s="16" t="str">
        <f>IF($A4285&lt;Notes!$B$5,"",IF(COUNTIFS(Release_Calendar!$A$2:$A$755,"NZ_GDP",Release_Calendar!$B$2:$B$755,$A4285)&gt;0,1,0))</f>
        <v/>
      </c>
      <c r="O4285" s="16" t="str">
        <f>IF($A4285&lt;Notes!$B$5,"",IF(COUNTIFS(Release_Calendar!$A$2:$A$755,"NZ_LABOUR",Release_Calendar!$B$2:$B$755,$A4285)&gt;0,1,0))</f>
        <v/>
      </c>
      <c r="P4285" s="16">
        <f t="shared" si="4"/>
        <v>0</v>
      </c>
    </row>
    <row r="4286" ht="15.75" customHeight="1">
      <c r="A4286" s="14">
        <v>42524.0</v>
      </c>
      <c r="B4286" s="15">
        <v>0.78</v>
      </c>
      <c r="C4286" s="15">
        <v>2.28</v>
      </c>
      <c r="D4286" s="15">
        <v>2.08</v>
      </c>
      <c r="E4286" s="15">
        <v>2.07</v>
      </c>
      <c r="F4286" s="15">
        <f t="shared" si="1"/>
        <v>1.5</v>
      </c>
      <c r="G4286" s="15">
        <f t="shared" si="2"/>
        <v>2.28</v>
      </c>
      <c r="H4286" s="16">
        <v>0.0</v>
      </c>
      <c r="I4286" s="15">
        <f t="shared" si="3"/>
        <v>1.5</v>
      </c>
      <c r="J4286" s="15">
        <v>13.47</v>
      </c>
      <c r="K4286" s="16">
        <f>IF(COUNTIFS(Release_Calendar!$A$2:$A$755,"US_CPI",Release_Calendar!$B$2:$B$755,$A4286)&gt;0,1,0)</f>
        <v>0</v>
      </c>
      <c r="L4286" s="16">
        <f>IF(COUNTIFS(Release_Calendar!$A$2:$A$755,"US_NFP",Release_Calendar!$B$2:$B$755,$A4286)&gt;0,1,0)</f>
        <v>1</v>
      </c>
      <c r="M4286" s="16" t="str">
        <f>IF($A4286&lt;Notes!$B$5,"",IF(COUNTIFS(Release_Calendar!$A$2:$A$755,"NZ_CPI",Release_Calendar!$B$2:$B$755,$A4286)&gt;0,1,0))</f>
        <v/>
      </c>
      <c r="N4286" s="16" t="str">
        <f>IF($A4286&lt;Notes!$B$5,"",IF(COUNTIFS(Release_Calendar!$A$2:$A$755,"NZ_GDP",Release_Calendar!$B$2:$B$755,$A4286)&gt;0,1,0))</f>
        <v/>
      </c>
      <c r="O4286" s="16" t="str">
        <f>IF($A4286&lt;Notes!$B$5,"",IF(COUNTIFS(Release_Calendar!$A$2:$A$755,"NZ_LABOUR",Release_Calendar!$B$2:$B$755,$A4286)&gt;0,1,0))</f>
        <v/>
      </c>
      <c r="P4286" s="16">
        <f t="shared" si="4"/>
        <v>1</v>
      </c>
    </row>
    <row r="4287" ht="15.75" customHeight="1">
      <c r="A4287" s="14">
        <v>42527.0</v>
      </c>
      <c r="B4287" s="15">
        <v>0.8</v>
      </c>
      <c r="C4287" s="15"/>
      <c r="D4287" s="15"/>
      <c r="E4287" s="15"/>
      <c r="F4287" s="15" t="str">
        <f t="shared" si="1"/>
        <v/>
      </c>
      <c r="G4287" s="15" t="str">
        <f t="shared" si="2"/>
        <v/>
      </c>
      <c r="H4287" s="16">
        <v>0.0</v>
      </c>
      <c r="I4287" s="15" t="str">
        <f t="shared" si="3"/>
        <v/>
      </c>
      <c r="J4287" s="15">
        <v>13.65</v>
      </c>
      <c r="K4287" s="16">
        <f>IF(COUNTIFS(Release_Calendar!$A$2:$A$755,"US_CPI",Release_Calendar!$B$2:$B$755,$A4287)&gt;0,1,0)</f>
        <v>0</v>
      </c>
      <c r="L4287" s="16">
        <f>IF(COUNTIFS(Release_Calendar!$A$2:$A$755,"US_NFP",Release_Calendar!$B$2:$B$755,$A4287)&gt;0,1,0)</f>
        <v>0</v>
      </c>
      <c r="M4287" s="16" t="str">
        <f>IF($A4287&lt;Notes!$B$5,"",IF(COUNTIFS(Release_Calendar!$A$2:$A$755,"NZ_CPI",Release_Calendar!$B$2:$B$755,$A4287)&gt;0,1,0))</f>
        <v/>
      </c>
      <c r="N4287" s="16" t="str">
        <f>IF($A4287&lt;Notes!$B$5,"",IF(COUNTIFS(Release_Calendar!$A$2:$A$755,"NZ_GDP",Release_Calendar!$B$2:$B$755,$A4287)&gt;0,1,0))</f>
        <v/>
      </c>
      <c r="O4287" s="16" t="str">
        <f>IF($A4287&lt;Notes!$B$5,"",IF(COUNTIFS(Release_Calendar!$A$2:$A$755,"NZ_LABOUR",Release_Calendar!$B$2:$B$755,$A4287)&gt;0,1,0))</f>
        <v/>
      </c>
      <c r="P4287" s="16">
        <f t="shared" si="4"/>
        <v>0</v>
      </c>
    </row>
    <row r="4288" ht="15.75" customHeight="1">
      <c r="A4288" s="14">
        <v>42528.0</v>
      </c>
      <c r="B4288" s="15">
        <v>0.78</v>
      </c>
      <c r="C4288" s="15">
        <v>2.23</v>
      </c>
      <c r="D4288" s="15">
        <v>2.02</v>
      </c>
      <c r="E4288" s="15">
        <v>2.04</v>
      </c>
      <c r="F4288" s="15">
        <f t="shared" si="1"/>
        <v>1.45</v>
      </c>
      <c r="G4288" s="15">
        <f t="shared" si="2"/>
        <v>2.23</v>
      </c>
      <c r="H4288" s="16">
        <v>0.0</v>
      </c>
      <c r="I4288" s="15">
        <f t="shared" si="3"/>
        <v>1.45</v>
      </c>
      <c r="J4288" s="15">
        <v>14.05</v>
      </c>
      <c r="K4288" s="16">
        <f>IF(COUNTIFS(Release_Calendar!$A$2:$A$755,"US_CPI",Release_Calendar!$B$2:$B$755,$A4288)&gt;0,1,0)</f>
        <v>0</v>
      </c>
      <c r="L4288" s="16">
        <f>IF(COUNTIFS(Release_Calendar!$A$2:$A$755,"US_NFP",Release_Calendar!$B$2:$B$755,$A4288)&gt;0,1,0)</f>
        <v>0</v>
      </c>
      <c r="M4288" s="16" t="str">
        <f>IF($A4288&lt;Notes!$B$5,"",IF(COUNTIFS(Release_Calendar!$A$2:$A$755,"NZ_CPI",Release_Calendar!$B$2:$B$755,$A4288)&gt;0,1,0))</f>
        <v/>
      </c>
      <c r="N4288" s="16" t="str">
        <f>IF($A4288&lt;Notes!$B$5,"",IF(COUNTIFS(Release_Calendar!$A$2:$A$755,"NZ_GDP",Release_Calendar!$B$2:$B$755,$A4288)&gt;0,1,0))</f>
        <v/>
      </c>
      <c r="O4288" s="16" t="str">
        <f>IF($A4288&lt;Notes!$B$5,"",IF(COUNTIFS(Release_Calendar!$A$2:$A$755,"NZ_LABOUR",Release_Calendar!$B$2:$B$755,$A4288)&gt;0,1,0))</f>
        <v/>
      </c>
      <c r="P4288" s="16">
        <f t="shared" si="4"/>
        <v>0</v>
      </c>
    </row>
    <row r="4289" ht="15.75" customHeight="1">
      <c r="A4289" s="14">
        <v>42529.0</v>
      </c>
      <c r="B4289" s="15">
        <v>0.78</v>
      </c>
      <c r="C4289" s="15">
        <v>2.28</v>
      </c>
      <c r="D4289" s="15">
        <v>2.07</v>
      </c>
      <c r="E4289" s="15">
        <v>2.09</v>
      </c>
      <c r="F4289" s="15">
        <f t="shared" si="1"/>
        <v>1.5</v>
      </c>
      <c r="G4289" s="15">
        <f t="shared" si="2"/>
        <v>2.28</v>
      </c>
      <c r="H4289" s="16">
        <v>0.0</v>
      </c>
      <c r="I4289" s="15">
        <f t="shared" si="3"/>
        <v>1.5</v>
      </c>
      <c r="J4289" s="15">
        <v>14.08</v>
      </c>
      <c r="K4289" s="16">
        <f>IF(COUNTIFS(Release_Calendar!$A$2:$A$755,"US_CPI",Release_Calendar!$B$2:$B$755,$A4289)&gt;0,1,0)</f>
        <v>0</v>
      </c>
      <c r="L4289" s="16">
        <f>IF(COUNTIFS(Release_Calendar!$A$2:$A$755,"US_NFP",Release_Calendar!$B$2:$B$755,$A4289)&gt;0,1,0)</f>
        <v>0</v>
      </c>
      <c r="M4289" s="16" t="str">
        <f>IF($A4289&lt;Notes!$B$5,"",IF(COUNTIFS(Release_Calendar!$A$2:$A$755,"NZ_CPI",Release_Calendar!$B$2:$B$755,$A4289)&gt;0,1,0))</f>
        <v/>
      </c>
      <c r="N4289" s="16" t="str">
        <f>IF($A4289&lt;Notes!$B$5,"",IF(COUNTIFS(Release_Calendar!$A$2:$A$755,"NZ_GDP",Release_Calendar!$B$2:$B$755,$A4289)&gt;0,1,0))</f>
        <v/>
      </c>
      <c r="O4289" s="16" t="str">
        <f>IF($A4289&lt;Notes!$B$5,"",IF(COUNTIFS(Release_Calendar!$A$2:$A$755,"NZ_LABOUR",Release_Calendar!$B$2:$B$755,$A4289)&gt;0,1,0))</f>
        <v/>
      </c>
      <c r="P4289" s="16">
        <f t="shared" si="4"/>
        <v>0</v>
      </c>
    </row>
    <row r="4290" ht="15.75" customHeight="1">
      <c r="A4290" s="14">
        <v>42530.0</v>
      </c>
      <c r="B4290" s="15">
        <v>0.77</v>
      </c>
      <c r="C4290" s="15">
        <v>2.32</v>
      </c>
      <c r="D4290" s="15">
        <v>2.15</v>
      </c>
      <c r="E4290" s="15">
        <v>2.15</v>
      </c>
      <c r="F4290" s="15">
        <f t="shared" si="1"/>
        <v>1.55</v>
      </c>
      <c r="G4290" s="15">
        <f t="shared" si="2"/>
        <v>2.32</v>
      </c>
      <c r="H4290" s="16">
        <v>0.0</v>
      </c>
      <c r="I4290" s="15">
        <f t="shared" si="3"/>
        <v>1.55</v>
      </c>
      <c r="J4290" s="15">
        <v>14.64</v>
      </c>
      <c r="K4290" s="16">
        <f>IF(COUNTIFS(Release_Calendar!$A$2:$A$755,"US_CPI",Release_Calendar!$B$2:$B$755,$A4290)&gt;0,1,0)</f>
        <v>0</v>
      </c>
      <c r="L4290" s="16">
        <f>IF(COUNTIFS(Release_Calendar!$A$2:$A$755,"US_NFP",Release_Calendar!$B$2:$B$755,$A4290)&gt;0,1,0)</f>
        <v>0</v>
      </c>
      <c r="M4290" s="16" t="str">
        <f>IF($A4290&lt;Notes!$B$5,"",IF(COUNTIFS(Release_Calendar!$A$2:$A$755,"NZ_CPI",Release_Calendar!$B$2:$B$755,$A4290)&gt;0,1,0))</f>
        <v/>
      </c>
      <c r="N4290" s="16" t="str">
        <f>IF($A4290&lt;Notes!$B$5,"",IF(COUNTIFS(Release_Calendar!$A$2:$A$755,"NZ_GDP",Release_Calendar!$B$2:$B$755,$A4290)&gt;0,1,0))</f>
        <v/>
      </c>
      <c r="O4290" s="16" t="str">
        <f>IF($A4290&lt;Notes!$B$5,"",IF(COUNTIFS(Release_Calendar!$A$2:$A$755,"NZ_LABOUR",Release_Calendar!$B$2:$B$755,$A4290)&gt;0,1,0))</f>
        <v/>
      </c>
      <c r="P4290" s="16">
        <f t="shared" si="4"/>
        <v>0</v>
      </c>
    </row>
    <row r="4291" ht="15.75" customHeight="1">
      <c r="A4291" s="14">
        <v>42531.0</v>
      </c>
      <c r="B4291" s="15">
        <v>0.73</v>
      </c>
      <c r="C4291" s="15">
        <v>2.31</v>
      </c>
      <c r="D4291" s="15">
        <v>2.14</v>
      </c>
      <c r="E4291" s="15">
        <v>2.12</v>
      </c>
      <c r="F4291" s="15">
        <f t="shared" si="1"/>
        <v>1.58</v>
      </c>
      <c r="G4291" s="15">
        <f t="shared" si="2"/>
        <v>2.31</v>
      </c>
      <c r="H4291" s="16">
        <v>0.0</v>
      </c>
      <c r="I4291" s="15">
        <f t="shared" si="3"/>
        <v>1.58</v>
      </c>
      <c r="J4291" s="15">
        <v>17.03</v>
      </c>
      <c r="K4291" s="16">
        <f>IF(COUNTIFS(Release_Calendar!$A$2:$A$755,"US_CPI",Release_Calendar!$B$2:$B$755,$A4291)&gt;0,1,0)</f>
        <v>0</v>
      </c>
      <c r="L4291" s="16">
        <f>IF(COUNTIFS(Release_Calendar!$A$2:$A$755,"US_NFP",Release_Calendar!$B$2:$B$755,$A4291)&gt;0,1,0)</f>
        <v>0</v>
      </c>
      <c r="M4291" s="16" t="str">
        <f>IF($A4291&lt;Notes!$B$5,"",IF(COUNTIFS(Release_Calendar!$A$2:$A$755,"NZ_CPI",Release_Calendar!$B$2:$B$755,$A4291)&gt;0,1,0))</f>
        <v/>
      </c>
      <c r="N4291" s="16" t="str">
        <f>IF($A4291&lt;Notes!$B$5,"",IF(COUNTIFS(Release_Calendar!$A$2:$A$755,"NZ_GDP",Release_Calendar!$B$2:$B$755,$A4291)&gt;0,1,0))</f>
        <v/>
      </c>
      <c r="O4291" s="16" t="str">
        <f>IF($A4291&lt;Notes!$B$5,"",IF(COUNTIFS(Release_Calendar!$A$2:$A$755,"NZ_LABOUR",Release_Calendar!$B$2:$B$755,$A4291)&gt;0,1,0))</f>
        <v/>
      </c>
      <c r="P4291" s="16">
        <f t="shared" si="4"/>
        <v>0</v>
      </c>
    </row>
    <row r="4292" ht="15.75" customHeight="1">
      <c r="A4292" s="14">
        <v>42534.0</v>
      </c>
      <c r="B4292" s="15">
        <v>0.73</v>
      </c>
      <c r="C4292" s="15">
        <v>2.28</v>
      </c>
      <c r="D4292" s="15">
        <v>2.11</v>
      </c>
      <c r="E4292" s="15">
        <v>2.1</v>
      </c>
      <c r="F4292" s="15">
        <f t="shared" si="1"/>
        <v>1.55</v>
      </c>
      <c r="G4292" s="15">
        <f t="shared" si="2"/>
        <v>2.28</v>
      </c>
      <c r="H4292" s="16">
        <v>0.0</v>
      </c>
      <c r="I4292" s="15">
        <f t="shared" si="3"/>
        <v>1.55</v>
      </c>
      <c r="J4292" s="15">
        <v>20.97</v>
      </c>
      <c r="K4292" s="16">
        <f>IF(COUNTIFS(Release_Calendar!$A$2:$A$755,"US_CPI",Release_Calendar!$B$2:$B$755,$A4292)&gt;0,1,0)</f>
        <v>0</v>
      </c>
      <c r="L4292" s="16">
        <f>IF(COUNTIFS(Release_Calendar!$A$2:$A$755,"US_NFP",Release_Calendar!$B$2:$B$755,$A4292)&gt;0,1,0)</f>
        <v>0</v>
      </c>
      <c r="M4292" s="16" t="str">
        <f>IF($A4292&lt;Notes!$B$5,"",IF(COUNTIFS(Release_Calendar!$A$2:$A$755,"NZ_CPI",Release_Calendar!$B$2:$B$755,$A4292)&gt;0,1,0))</f>
        <v/>
      </c>
      <c r="N4292" s="16" t="str">
        <f>IF($A4292&lt;Notes!$B$5,"",IF(COUNTIFS(Release_Calendar!$A$2:$A$755,"NZ_GDP",Release_Calendar!$B$2:$B$755,$A4292)&gt;0,1,0))</f>
        <v/>
      </c>
      <c r="O4292" s="16" t="str">
        <f>IF($A4292&lt;Notes!$B$5,"",IF(COUNTIFS(Release_Calendar!$A$2:$A$755,"NZ_LABOUR",Release_Calendar!$B$2:$B$755,$A4292)&gt;0,1,0))</f>
        <v/>
      </c>
      <c r="P4292" s="16">
        <f t="shared" si="4"/>
        <v>0</v>
      </c>
    </row>
    <row r="4293" ht="15.75" customHeight="1">
      <c r="A4293" s="14">
        <v>42535.0</v>
      </c>
      <c r="B4293" s="15">
        <v>0.74</v>
      </c>
      <c r="C4293" s="15">
        <v>2.25</v>
      </c>
      <c r="D4293" s="15">
        <v>2.09</v>
      </c>
      <c r="E4293" s="15">
        <v>2.09</v>
      </c>
      <c r="F4293" s="15">
        <f t="shared" si="1"/>
        <v>1.51</v>
      </c>
      <c r="G4293" s="15">
        <f t="shared" si="2"/>
        <v>2.25</v>
      </c>
      <c r="H4293" s="16">
        <v>0.0</v>
      </c>
      <c r="I4293" s="15">
        <f t="shared" si="3"/>
        <v>1.51</v>
      </c>
      <c r="J4293" s="15">
        <v>20.5</v>
      </c>
      <c r="K4293" s="16">
        <f>IF(COUNTIFS(Release_Calendar!$A$2:$A$755,"US_CPI",Release_Calendar!$B$2:$B$755,$A4293)&gt;0,1,0)</f>
        <v>0</v>
      </c>
      <c r="L4293" s="16">
        <f>IF(COUNTIFS(Release_Calendar!$A$2:$A$755,"US_NFP",Release_Calendar!$B$2:$B$755,$A4293)&gt;0,1,0)</f>
        <v>0</v>
      </c>
      <c r="M4293" s="16" t="str">
        <f>IF($A4293&lt;Notes!$B$5,"",IF(COUNTIFS(Release_Calendar!$A$2:$A$755,"NZ_CPI",Release_Calendar!$B$2:$B$755,$A4293)&gt;0,1,0))</f>
        <v/>
      </c>
      <c r="N4293" s="16" t="str">
        <f>IF($A4293&lt;Notes!$B$5,"",IF(COUNTIFS(Release_Calendar!$A$2:$A$755,"NZ_GDP",Release_Calendar!$B$2:$B$755,$A4293)&gt;0,1,0))</f>
        <v/>
      </c>
      <c r="O4293" s="16" t="str">
        <f>IF($A4293&lt;Notes!$B$5,"",IF(COUNTIFS(Release_Calendar!$A$2:$A$755,"NZ_LABOUR",Release_Calendar!$B$2:$B$755,$A4293)&gt;0,1,0))</f>
        <v/>
      </c>
      <c r="P4293" s="16">
        <f t="shared" si="4"/>
        <v>0</v>
      </c>
    </row>
    <row r="4294" ht="15.75" customHeight="1">
      <c r="A4294" s="14">
        <v>42536.0</v>
      </c>
      <c r="B4294" s="15">
        <v>0.69</v>
      </c>
      <c r="C4294" s="15">
        <v>2.26</v>
      </c>
      <c r="D4294" s="15">
        <v>2.07</v>
      </c>
      <c r="E4294" s="15">
        <v>2.1</v>
      </c>
      <c r="F4294" s="15">
        <f t="shared" si="1"/>
        <v>1.57</v>
      </c>
      <c r="G4294" s="15">
        <f t="shared" si="2"/>
        <v>2.26</v>
      </c>
      <c r="H4294" s="16">
        <v>0.0</v>
      </c>
      <c r="I4294" s="15">
        <f t="shared" si="3"/>
        <v>1.57</v>
      </c>
      <c r="J4294" s="15">
        <v>20.14</v>
      </c>
      <c r="K4294" s="16">
        <f>IF(COUNTIFS(Release_Calendar!$A$2:$A$755,"US_CPI",Release_Calendar!$B$2:$B$755,$A4294)&gt;0,1,0)</f>
        <v>0</v>
      </c>
      <c r="L4294" s="16">
        <f>IF(COUNTIFS(Release_Calendar!$A$2:$A$755,"US_NFP",Release_Calendar!$B$2:$B$755,$A4294)&gt;0,1,0)</f>
        <v>0</v>
      </c>
      <c r="M4294" s="16" t="str">
        <f>IF($A4294&lt;Notes!$B$5,"",IF(COUNTIFS(Release_Calendar!$A$2:$A$755,"NZ_CPI",Release_Calendar!$B$2:$B$755,$A4294)&gt;0,1,0))</f>
        <v/>
      </c>
      <c r="N4294" s="16" t="str">
        <f>IF($A4294&lt;Notes!$B$5,"",IF(COUNTIFS(Release_Calendar!$A$2:$A$755,"NZ_GDP",Release_Calendar!$B$2:$B$755,$A4294)&gt;0,1,0))</f>
        <v/>
      </c>
      <c r="O4294" s="16" t="str">
        <f>IF($A4294&lt;Notes!$B$5,"",IF(COUNTIFS(Release_Calendar!$A$2:$A$755,"NZ_LABOUR",Release_Calendar!$B$2:$B$755,$A4294)&gt;0,1,0))</f>
        <v/>
      </c>
      <c r="P4294" s="16">
        <f t="shared" si="4"/>
        <v>0</v>
      </c>
    </row>
    <row r="4295" ht="15.75" customHeight="1">
      <c r="A4295" s="14">
        <v>42537.0</v>
      </c>
      <c r="B4295" s="15">
        <v>0.7</v>
      </c>
      <c r="C4295" s="15">
        <v>2.25</v>
      </c>
      <c r="D4295" s="15">
        <v>2.1</v>
      </c>
      <c r="E4295" s="15">
        <v>2.07</v>
      </c>
      <c r="F4295" s="15">
        <f t="shared" si="1"/>
        <v>1.55</v>
      </c>
      <c r="G4295" s="15">
        <f t="shared" si="2"/>
        <v>2.25</v>
      </c>
      <c r="H4295" s="16">
        <v>0.0</v>
      </c>
      <c r="I4295" s="15">
        <f t="shared" si="3"/>
        <v>1.55</v>
      </c>
      <c r="J4295" s="15">
        <v>19.37</v>
      </c>
      <c r="K4295" s="16">
        <f>IF(COUNTIFS(Release_Calendar!$A$2:$A$755,"US_CPI",Release_Calendar!$B$2:$B$755,$A4295)&gt;0,1,0)</f>
        <v>1</v>
      </c>
      <c r="L4295" s="16">
        <f>IF(COUNTIFS(Release_Calendar!$A$2:$A$755,"US_NFP",Release_Calendar!$B$2:$B$755,$A4295)&gt;0,1,0)</f>
        <v>0</v>
      </c>
      <c r="M4295" s="16" t="str">
        <f>IF($A4295&lt;Notes!$B$5,"",IF(COUNTIFS(Release_Calendar!$A$2:$A$755,"NZ_CPI",Release_Calendar!$B$2:$B$755,$A4295)&gt;0,1,0))</f>
        <v/>
      </c>
      <c r="N4295" s="16" t="str">
        <f>IF($A4295&lt;Notes!$B$5,"",IF(COUNTIFS(Release_Calendar!$A$2:$A$755,"NZ_GDP",Release_Calendar!$B$2:$B$755,$A4295)&gt;0,1,0))</f>
        <v/>
      </c>
      <c r="O4295" s="16" t="str">
        <f>IF($A4295&lt;Notes!$B$5,"",IF(COUNTIFS(Release_Calendar!$A$2:$A$755,"NZ_LABOUR",Release_Calendar!$B$2:$B$755,$A4295)&gt;0,1,0))</f>
        <v/>
      </c>
      <c r="P4295" s="16">
        <f t="shared" si="4"/>
        <v>1</v>
      </c>
    </row>
    <row r="4296" ht="15.75" customHeight="1">
      <c r="A4296" s="14">
        <v>42538.0</v>
      </c>
      <c r="B4296" s="15">
        <v>0.7</v>
      </c>
      <c r="C4296" s="15">
        <v>2.27</v>
      </c>
      <c r="D4296" s="15">
        <v>2.07</v>
      </c>
      <c r="E4296" s="15">
        <v>2.08</v>
      </c>
      <c r="F4296" s="15">
        <f t="shared" si="1"/>
        <v>1.57</v>
      </c>
      <c r="G4296" s="15">
        <f t="shared" si="2"/>
        <v>2.27</v>
      </c>
      <c r="H4296" s="16">
        <v>0.0</v>
      </c>
      <c r="I4296" s="15">
        <f t="shared" si="3"/>
        <v>1.57</v>
      </c>
      <c r="J4296" s="15">
        <v>19.41</v>
      </c>
      <c r="K4296" s="16">
        <f>IF(COUNTIFS(Release_Calendar!$A$2:$A$755,"US_CPI",Release_Calendar!$B$2:$B$755,$A4296)&gt;0,1,0)</f>
        <v>0</v>
      </c>
      <c r="L4296" s="16">
        <f>IF(COUNTIFS(Release_Calendar!$A$2:$A$755,"US_NFP",Release_Calendar!$B$2:$B$755,$A4296)&gt;0,1,0)</f>
        <v>0</v>
      </c>
      <c r="M4296" s="16" t="str">
        <f>IF($A4296&lt;Notes!$B$5,"",IF(COUNTIFS(Release_Calendar!$A$2:$A$755,"NZ_CPI",Release_Calendar!$B$2:$B$755,$A4296)&gt;0,1,0))</f>
        <v/>
      </c>
      <c r="N4296" s="16" t="str">
        <f>IF($A4296&lt;Notes!$B$5,"",IF(COUNTIFS(Release_Calendar!$A$2:$A$755,"NZ_GDP",Release_Calendar!$B$2:$B$755,$A4296)&gt;0,1,0))</f>
        <v/>
      </c>
      <c r="O4296" s="16" t="str">
        <f>IF($A4296&lt;Notes!$B$5,"",IF(COUNTIFS(Release_Calendar!$A$2:$A$755,"NZ_LABOUR",Release_Calendar!$B$2:$B$755,$A4296)&gt;0,1,0))</f>
        <v/>
      </c>
      <c r="P4296" s="16">
        <f t="shared" si="4"/>
        <v>0</v>
      </c>
    </row>
    <row r="4297" ht="15.75" customHeight="1">
      <c r="A4297" s="14">
        <v>42541.0</v>
      </c>
      <c r="B4297" s="15">
        <v>0.74</v>
      </c>
      <c r="C4297" s="15">
        <v>2.28</v>
      </c>
      <c r="D4297" s="15">
        <v>2.11</v>
      </c>
      <c r="E4297" s="15">
        <v>2.11</v>
      </c>
      <c r="F4297" s="15">
        <f t="shared" si="1"/>
        <v>1.54</v>
      </c>
      <c r="G4297" s="15">
        <f t="shared" si="2"/>
        <v>2.28</v>
      </c>
      <c r="H4297" s="16">
        <v>0.0</v>
      </c>
      <c r="I4297" s="15">
        <f t="shared" si="3"/>
        <v>1.54</v>
      </c>
      <c r="J4297" s="15">
        <v>18.37</v>
      </c>
      <c r="K4297" s="16">
        <f>IF(COUNTIFS(Release_Calendar!$A$2:$A$755,"US_CPI",Release_Calendar!$B$2:$B$755,$A4297)&gt;0,1,0)</f>
        <v>0</v>
      </c>
      <c r="L4297" s="16">
        <f>IF(COUNTIFS(Release_Calendar!$A$2:$A$755,"US_NFP",Release_Calendar!$B$2:$B$755,$A4297)&gt;0,1,0)</f>
        <v>0</v>
      </c>
      <c r="M4297" s="16" t="str">
        <f>IF($A4297&lt;Notes!$B$5,"",IF(COUNTIFS(Release_Calendar!$A$2:$A$755,"NZ_CPI",Release_Calendar!$B$2:$B$755,$A4297)&gt;0,1,0))</f>
        <v/>
      </c>
      <c r="N4297" s="16" t="str">
        <f>IF($A4297&lt;Notes!$B$5,"",IF(COUNTIFS(Release_Calendar!$A$2:$A$755,"NZ_GDP",Release_Calendar!$B$2:$B$755,$A4297)&gt;0,1,0))</f>
        <v/>
      </c>
      <c r="O4297" s="16" t="str">
        <f>IF($A4297&lt;Notes!$B$5,"",IF(COUNTIFS(Release_Calendar!$A$2:$A$755,"NZ_LABOUR",Release_Calendar!$B$2:$B$755,$A4297)&gt;0,1,0))</f>
        <v/>
      </c>
      <c r="P4297" s="16">
        <f t="shared" si="4"/>
        <v>0</v>
      </c>
    </row>
    <row r="4298" ht="15.75" customHeight="1">
      <c r="A4298" s="14">
        <v>42542.0</v>
      </c>
      <c r="B4298" s="15">
        <v>0.76</v>
      </c>
      <c r="C4298" s="15">
        <v>2.3</v>
      </c>
      <c r="D4298" s="15">
        <v>2.14</v>
      </c>
      <c r="E4298" s="15">
        <v>2.13</v>
      </c>
      <c r="F4298" s="15">
        <f t="shared" si="1"/>
        <v>1.54</v>
      </c>
      <c r="G4298" s="15">
        <f t="shared" si="2"/>
        <v>2.3</v>
      </c>
      <c r="H4298" s="16">
        <v>0.0</v>
      </c>
      <c r="I4298" s="15">
        <f t="shared" si="3"/>
        <v>1.54</v>
      </c>
      <c r="J4298" s="15">
        <v>18.48</v>
      </c>
      <c r="K4298" s="16">
        <f>IF(COUNTIFS(Release_Calendar!$A$2:$A$755,"US_CPI",Release_Calendar!$B$2:$B$755,$A4298)&gt;0,1,0)</f>
        <v>0</v>
      </c>
      <c r="L4298" s="16">
        <f>IF(COUNTIFS(Release_Calendar!$A$2:$A$755,"US_NFP",Release_Calendar!$B$2:$B$755,$A4298)&gt;0,1,0)</f>
        <v>0</v>
      </c>
      <c r="M4298" s="16" t="str">
        <f>IF($A4298&lt;Notes!$B$5,"",IF(COUNTIFS(Release_Calendar!$A$2:$A$755,"NZ_CPI",Release_Calendar!$B$2:$B$755,$A4298)&gt;0,1,0))</f>
        <v/>
      </c>
      <c r="N4298" s="16" t="str">
        <f>IF($A4298&lt;Notes!$B$5,"",IF(COUNTIFS(Release_Calendar!$A$2:$A$755,"NZ_GDP",Release_Calendar!$B$2:$B$755,$A4298)&gt;0,1,0))</f>
        <v/>
      </c>
      <c r="O4298" s="16" t="str">
        <f>IF($A4298&lt;Notes!$B$5,"",IF(COUNTIFS(Release_Calendar!$A$2:$A$755,"NZ_LABOUR",Release_Calendar!$B$2:$B$755,$A4298)&gt;0,1,0))</f>
        <v/>
      </c>
      <c r="P4298" s="16">
        <f t="shared" si="4"/>
        <v>0</v>
      </c>
    </row>
    <row r="4299" ht="15.75" customHeight="1">
      <c r="A4299" s="14">
        <v>42543.0</v>
      </c>
      <c r="B4299" s="15">
        <v>0.75</v>
      </c>
      <c r="C4299" s="15">
        <v>2.32</v>
      </c>
      <c r="D4299" s="15">
        <v>2.16</v>
      </c>
      <c r="E4299" s="15">
        <v>2.15</v>
      </c>
      <c r="F4299" s="15">
        <f t="shared" si="1"/>
        <v>1.57</v>
      </c>
      <c r="G4299" s="15">
        <f t="shared" si="2"/>
        <v>2.32</v>
      </c>
      <c r="H4299" s="16">
        <v>0.0</v>
      </c>
      <c r="I4299" s="15">
        <f t="shared" si="3"/>
        <v>1.57</v>
      </c>
      <c r="J4299" s="15">
        <v>21.17</v>
      </c>
      <c r="K4299" s="16">
        <f>IF(COUNTIFS(Release_Calendar!$A$2:$A$755,"US_CPI",Release_Calendar!$B$2:$B$755,$A4299)&gt;0,1,0)</f>
        <v>0</v>
      </c>
      <c r="L4299" s="16">
        <f>IF(COUNTIFS(Release_Calendar!$A$2:$A$755,"US_NFP",Release_Calendar!$B$2:$B$755,$A4299)&gt;0,1,0)</f>
        <v>0</v>
      </c>
      <c r="M4299" s="16" t="str">
        <f>IF($A4299&lt;Notes!$B$5,"",IF(COUNTIFS(Release_Calendar!$A$2:$A$755,"NZ_CPI",Release_Calendar!$B$2:$B$755,$A4299)&gt;0,1,0))</f>
        <v/>
      </c>
      <c r="N4299" s="16" t="str">
        <f>IF($A4299&lt;Notes!$B$5,"",IF(COUNTIFS(Release_Calendar!$A$2:$A$755,"NZ_GDP",Release_Calendar!$B$2:$B$755,$A4299)&gt;0,1,0))</f>
        <v/>
      </c>
      <c r="O4299" s="16" t="str">
        <f>IF($A4299&lt;Notes!$B$5,"",IF(COUNTIFS(Release_Calendar!$A$2:$A$755,"NZ_LABOUR",Release_Calendar!$B$2:$B$755,$A4299)&gt;0,1,0))</f>
        <v/>
      </c>
      <c r="P4299" s="16">
        <f t="shared" si="4"/>
        <v>0</v>
      </c>
    </row>
    <row r="4300" ht="15.75" customHeight="1">
      <c r="A4300" s="14">
        <v>42544.0</v>
      </c>
      <c r="B4300" s="15">
        <v>0.78</v>
      </c>
      <c r="C4300" s="15">
        <v>2.32</v>
      </c>
      <c r="D4300" s="15">
        <v>2.16</v>
      </c>
      <c r="E4300" s="15">
        <v>2.17</v>
      </c>
      <c r="F4300" s="15">
        <f t="shared" si="1"/>
        <v>1.54</v>
      </c>
      <c r="G4300" s="15">
        <f t="shared" si="2"/>
        <v>2.32</v>
      </c>
      <c r="H4300" s="16">
        <v>0.0</v>
      </c>
      <c r="I4300" s="15">
        <f t="shared" si="3"/>
        <v>1.54</v>
      </c>
      <c r="J4300" s="15">
        <v>17.25</v>
      </c>
      <c r="K4300" s="16">
        <f>IF(COUNTIFS(Release_Calendar!$A$2:$A$755,"US_CPI",Release_Calendar!$B$2:$B$755,$A4300)&gt;0,1,0)</f>
        <v>0</v>
      </c>
      <c r="L4300" s="16">
        <f>IF(COUNTIFS(Release_Calendar!$A$2:$A$755,"US_NFP",Release_Calendar!$B$2:$B$755,$A4300)&gt;0,1,0)</f>
        <v>0</v>
      </c>
      <c r="M4300" s="16" t="str">
        <f>IF($A4300&lt;Notes!$B$5,"",IF(COUNTIFS(Release_Calendar!$A$2:$A$755,"NZ_CPI",Release_Calendar!$B$2:$B$755,$A4300)&gt;0,1,0))</f>
        <v/>
      </c>
      <c r="N4300" s="16" t="str">
        <f>IF($A4300&lt;Notes!$B$5,"",IF(COUNTIFS(Release_Calendar!$A$2:$A$755,"NZ_GDP",Release_Calendar!$B$2:$B$755,$A4300)&gt;0,1,0))</f>
        <v/>
      </c>
      <c r="O4300" s="16" t="str">
        <f>IF($A4300&lt;Notes!$B$5,"",IF(COUNTIFS(Release_Calendar!$A$2:$A$755,"NZ_LABOUR",Release_Calendar!$B$2:$B$755,$A4300)&gt;0,1,0))</f>
        <v/>
      </c>
      <c r="P4300" s="16">
        <f t="shared" si="4"/>
        <v>0</v>
      </c>
    </row>
    <row r="4301" ht="15.75" customHeight="1">
      <c r="A4301" s="14">
        <v>42545.0</v>
      </c>
      <c r="B4301" s="15">
        <v>0.64</v>
      </c>
      <c r="C4301" s="15">
        <v>2.18</v>
      </c>
      <c r="D4301" s="15">
        <v>2.16</v>
      </c>
      <c r="E4301" s="15">
        <v>1.99</v>
      </c>
      <c r="F4301" s="15">
        <f t="shared" si="1"/>
        <v>1.54</v>
      </c>
      <c r="G4301" s="15">
        <f t="shared" si="2"/>
        <v>2.18</v>
      </c>
      <c r="H4301" s="16">
        <v>0.0</v>
      </c>
      <c r="I4301" s="15">
        <f t="shared" si="3"/>
        <v>1.54</v>
      </c>
      <c r="J4301" s="15">
        <v>25.76</v>
      </c>
      <c r="K4301" s="16">
        <f>IF(COUNTIFS(Release_Calendar!$A$2:$A$755,"US_CPI",Release_Calendar!$B$2:$B$755,$A4301)&gt;0,1,0)</f>
        <v>0</v>
      </c>
      <c r="L4301" s="16">
        <f>IF(COUNTIFS(Release_Calendar!$A$2:$A$755,"US_NFP",Release_Calendar!$B$2:$B$755,$A4301)&gt;0,1,0)</f>
        <v>0</v>
      </c>
      <c r="M4301" s="16" t="str">
        <f>IF($A4301&lt;Notes!$B$5,"",IF(COUNTIFS(Release_Calendar!$A$2:$A$755,"NZ_CPI",Release_Calendar!$B$2:$B$755,$A4301)&gt;0,1,0))</f>
        <v/>
      </c>
      <c r="N4301" s="16" t="str">
        <f>IF($A4301&lt;Notes!$B$5,"",IF(COUNTIFS(Release_Calendar!$A$2:$A$755,"NZ_GDP",Release_Calendar!$B$2:$B$755,$A4301)&gt;0,1,0))</f>
        <v/>
      </c>
      <c r="O4301" s="16" t="str">
        <f>IF($A4301&lt;Notes!$B$5,"",IF(COUNTIFS(Release_Calendar!$A$2:$A$755,"NZ_LABOUR",Release_Calendar!$B$2:$B$755,$A4301)&gt;0,1,0))</f>
        <v/>
      </c>
      <c r="P4301" s="16">
        <f t="shared" si="4"/>
        <v>0</v>
      </c>
    </row>
    <row r="4302" ht="15.75" customHeight="1">
      <c r="A4302" s="14">
        <v>42548.0</v>
      </c>
      <c r="B4302" s="15">
        <v>0.61</v>
      </c>
      <c r="C4302" s="15">
        <v>2.18</v>
      </c>
      <c r="D4302" s="15">
        <v>1.98</v>
      </c>
      <c r="E4302" s="15">
        <v>2.0</v>
      </c>
      <c r="F4302" s="15">
        <f t="shared" si="1"/>
        <v>1.57</v>
      </c>
      <c r="G4302" s="15">
        <f t="shared" si="2"/>
        <v>2.18</v>
      </c>
      <c r="H4302" s="16">
        <v>0.0</v>
      </c>
      <c r="I4302" s="15">
        <f t="shared" si="3"/>
        <v>1.57</v>
      </c>
      <c r="J4302" s="15">
        <v>23.85</v>
      </c>
      <c r="K4302" s="16">
        <f>IF(COUNTIFS(Release_Calendar!$A$2:$A$755,"US_CPI",Release_Calendar!$B$2:$B$755,$A4302)&gt;0,1,0)</f>
        <v>0</v>
      </c>
      <c r="L4302" s="16">
        <f>IF(COUNTIFS(Release_Calendar!$A$2:$A$755,"US_NFP",Release_Calendar!$B$2:$B$755,$A4302)&gt;0,1,0)</f>
        <v>0</v>
      </c>
      <c r="M4302" s="16" t="str">
        <f>IF($A4302&lt;Notes!$B$5,"",IF(COUNTIFS(Release_Calendar!$A$2:$A$755,"NZ_CPI",Release_Calendar!$B$2:$B$755,$A4302)&gt;0,1,0))</f>
        <v/>
      </c>
      <c r="N4302" s="16" t="str">
        <f>IF($A4302&lt;Notes!$B$5,"",IF(COUNTIFS(Release_Calendar!$A$2:$A$755,"NZ_GDP",Release_Calendar!$B$2:$B$755,$A4302)&gt;0,1,0))</f>
        <v/>
      </c>
      <c r="O4302" s="16" t="str">
        <f>IF($A4302&lt;Notes!$B$5,"",IF(COUNTIFS(Release_Calendar!$A$2:$A$755,"NZ_LABOUR",Release_Calendar!$B$2:$B$755,$A4302)&gt;0,1,0))</f>
        <v/>
      </c>
      <c r="P4302" s="16">
        <f t="shared" si="4"/>
        <v>0</v>
      </c>
    </row>
    <row r="4303" ht="15.75" customHeight="1">
      <c r="A4303" s="14">
        <v>42549.0</v>
      </c>
      <c r="B4303" s="15">
        <v>0.61</v>
      </c>
      <c r="C4303" s="15">
        <v>2.19</v>
      </c>
      <c r="D4303" s="15">
        <v>1.97</v>
      </c>
      <c r="E4303" s="15">
        <v>2.0</v>
      </c>
      <c r="F4303" s="15">
        <f t="shared" si="1"/>
        <v>1.58</v>
      </c>
      <c r="G4303" s="15">
        <f t="shared" si="2"/>
        <v>2.19</v>
      </c>
      <c r="H4303" s="16">
        <v>0.0</v>
      </c>
      <c r="I4303" s="15">
        <f t="shared" si="3"/>
        <v>1.58</v>
      </c>
      <c r="J4303" s="15">
        <v>18.75</v>
      </c>
      <c r="K4303" s="16">
        <f>IF(COUNTIFS(Release_Calendar!$A$2:$A$755,"US_CPI",Release_Calendar!$B$2:$B$755,$A4303)&gt;0,1,0)</f>
        <v>0</v>
      </c>
      <c r="L4303" s="16">
        <f>IF(COUNTIFS(Release_Calendar!$A$2:$A$755,"US_NFP",Release_Calendar!$B$2:$B$755,$A4303)&gt;0,1,0)</f>
        <v>0</v>
      </c>
      <c r="M4303" s="16" t="str">
        <f>IF($A4303&lt;Notes!$B$5,"",IF(COUNTIFS(Release_Calendar!$A$2:$A$755,"NZ_CPI",Release_Calendar!$B$2:$B$755,$A4303)&gt;0,1,0))</f>
        <v/>
      </c>
      <c r="N4303" s="16" t="str">
        <f>IF($A4303&lt;Notes!$B$5,"",IF(COUNTIFS(Release_Calendar!$A$2:$A$755,"NZ_GDP",Release_Calendar!$B$2:$B$755,$A4303)&gt;0,1,0))</f>
        <v/>
      </c>
      <c r="O4303" s="16" t="str">
        <f>IF($A4303&lt;Notes!$B$5,"",IF(COUNTIFS(Release_Calendar!$A$2:$A$755,"NZ_LABOUR",Release_Calendar!$B$2:$B$755,$A4303)&gt;0,1,0))</f>
        <v/>
      </c>
      <c r="P4303" s="16">
        <f t="shared" si="4"/>
        <v>0</v>
      </c>
    </row>
    <row r="4304" ht="15.75" customHeight="1">
      <c r="A4304" s="14">
        <v>42550.0</v>
      </c>
      <c r="B4304" s="15">
        <v>0.62</v>
      </c>
      <c r="C4304" s="15">
        <v>2.22</v>
      </c>
      <c r="D4304" s="15">
        <v>2.0</v>
      </c>
      <c r="E4304" s="15">
        <v>2.0</v>
      </c>
      <c r="F4304" s="15">
        <f t="shared" si="1"/>
        <v>1.6</v>
      </c>
      <c r="G4304" s="15">
        <f t="shared" si="2"/>
        <v>2.22</v>
      </c>
      <c r="H4304" s="16">
        <v>0.0</v>
      </c>
      <c r="I4304" s="15">
        <f t="shared" si="3"/>
        <v>1.6</v>
      </c>
      <c r="J4304" s="15">
        <v>16.64</v>
      </c>
      <c r="K4304" s="16">
        <f>IF(COUNTIFS(Release_Calendar!$A$2:$A$755,"US_CPI",Release_Calendar!$B$2:$B$755,$A4304)&gt;0,1,0)</f>
        <v>0</v>
      </c>
      <c r="L4304" s="16">
        <f>IF(COUNTIFS(Release_Calendar!$A$2:$A$755,"US_NFP",Release_Calendar!$B$2:$B$755,$A4304)&gt;0,1,0)</f>
        <v>0</v>
      </c>
      <c r="M4304" s="16" t="str">
        <f>IF($A4304&lt;Notes!$B$5,"",IF(COUNTIFS(Release_Calendar!$A$2:$A$755,"NZ_CPI",Release_Calendar!$B$2:$B$755,$A4304)&gt;0,1,0))</f>
        <v/>
      </c>
      <c r="N4304" s="16" t="str">
        <f>IF($A4304&lt;Notes!$B$5,"",IF(COUNTIFS(Release_Calendar!$A$2:$A$755,"NZ_GDP",Release_Calendar!$B$2:$B$755,$A4304)&gt;0,1,0))</f>
        <v/>
      </c>
      <c r="O4304" s="16" t="str">
        <f>IF($A4304&lt;Notes!$B$5,"",IF(COUNTIFS(Release_Calendar!$A$2:$A$755,"NZ_LABOUR",Release_Calendar!$B$2:$B$755,$A4304)&gt;0,1,0))</f>
        <v/>
      </c>
      <c r="P4304" s="16">
        <f t="shared" si="4"/>
        <v>0</v>
      </c>
    </row>
    <row r="4305" ht="15.75" customHeight="1">
      <c r="A4305" s="14">
        <v>42551.0</v>
      </c>
      <c r="B4305" s="15">
        <v>0.58</v>
      </c>
      <c r="C4305" s="15">
        <v>2.23</v>
      </c>
      <c r="D4305" s="15">
        <v>2.0</v>
      </c>
      <c r="E4305" s="15">
        <v>2.02</v>
      </c>
      <c r="F4305" s="15">
        <f t="shared" si="1"/>
        <v>1.65</v>
      </c>
      <c r="G4305" s="15">
        <f t="shared" si="2"/>
        <v>2.23</v>
      </c>
      <c r="H4305" s="16">
        <v>0.0</v>
      </c>
      <c r="I4305" s="15">
        <f t="shared" si="3"/>
        <v>1.65</v>
      </c>
      <c r="J4305" s="15">
        <v>15.63</v>
      </c>
      <c r="K4305" s="16">
        <f>IF(COUNTIFS(Release_Calendar!$A$2:$A$755,"US_CPI",Release_Calendar!$B$2:$B$755,$A4305)&gt;0,1,0)</f>
        <v>0</v>
      </c>
      <c r="L4305" s="16">
        <f>IF(COUNTIFS(Release_Calendar!$A$2:$A$755,"US_NFP",Release_Calendar!$B$2:$B$755,$A4305)&gt;0,1,0)</f>
        <v>0</v>
      </c>
      <c r="M4305" s="16" t="str">
        <f>IF($A4305&lt;Notes!$B$5,"",IF(COUNTIFS(Release_Calendar!$A$2:$A$755,"NZ_CPI",Release_Calendar!$B$2:$B$755,$A4305)&gt;0,1,0))</f>
        <v/>
      </c>
      <c r="N4305" s="16" t="str">
        <f>IF($A4305&lt;Notes!$B$5,"",IF(COUNTIFS(Release_Calendar!$A$2:$A$755,"NZ_GDP",Release_Calendar!$B$2:$B$755,$A4305)&gt;0,1,0))</f>
        <v/>
      </c>
      <c r="O4305" s="16" t="str">
        <f>IF($A4305&lt;Notes!$B$5,"",IF(COUNTIFS(Release_Calendar!$A$2:$A$755,"NZ_LABOUR",Release_Calendar!$B$2:$B$755,$A4305)&gt;0,1,0))</f>
        <v/>
      </c>
      <c r="P4305" s="16">
        <f t="shared" si="4"/>
        <v>0</v>
      </c>
    </row>
    <row r="4306" ht="15.75" customHeight="1">
      <c r="A4306" s="14">
        <v>42552.0</v>
      </c>
      <c r="B4306" s="15">
        <v>0.59</v>
      </c>
      <c r="C4306" s="15">
        <v>2.2</v>
      </c>
      <c r="D4306" s="15">
        <v>2.01</v>
      </c>
      <c r="E4306" s="15">
        <v>1.99</v>
      </c>
      <c r="F4306" s="15">
        <f t="shared" si="1"/>
        <v>1.61</v>
      </c>
      <c r="G4306" s="15">
        <f t="shared" si="2"/>
        <v>2.2</v>
      </c>
      <c r="H4306" s="16">
        <v>0.0</v>
      </c>
      <c r="I4306" s="15">
        <f t="shared" si="3"/>
        <v>1.61</v>
      </c>
      <c r="J4306" s="15">
        <v>14.77</v>
      </c>
      <c r="K4306" s="16">
        <f>IF(COUNTIFS(Release_Calendar!$A$2:$A$755,"US_CPI",Release_Calendar!$B$2:$B$755,$A4306)&gt;0,1,0)</f>
        <v>0</v>
      </c>
      <c r="L4306" s="16">
        <f>IF(COUNTIFS(Release_Calendar!$A$2:$A$755,"US_NFP",Release_Calendar!$B$2:$B$755,$A4306)&gt;0,1,0)</f>
        <v>0</v>
      </c>
      <c r="M4306" s="16" t="str">
        <f>IF($A4306&lt;Notes!$B$5,"",IF(COUNTIFS(Release_Calendar!$A$2:$A$755,"NZ_CPI",Release_Calendar!$B$2:$B$755,$A4306)&gt;0,1,0))</f>
        <v/>
      </c>
      <c r="N4306" s="16" t="str">
        <f>IF($A4306&lt;Notes!$B$5,"",IF(COUNTIFS(Release_Calendar!$A$2:$A$755,"NZ_GDP",Release_Calendar!$B$2:$B$755,$A4306)&gt;0,1,0))</f>
        <v/>
      </c>
      <c r="O4306" s="16" t="str">
        <f>IF($A4306&lt;Notes!$B$5,"",IF(COUNTIFS(Release_Calendar!$A$2:$A$755,"NZ_LABOUR",Release_Calendar!$B$2:$B$755,$A4306)&gt;0,1,0))</f>
        <v/>
      </c>
      <c r="P4306" s="16">
        <f t="shared" si="4"/>
        <v>0</v>
      </c>
    </row>
    <row r="4307" ht="15.75" customHeight="1">
      <c r="A4307" s="14">
        <v>42555.0</v>
      </c>
      <c r="B4307" s="15"/>
      <c r="C4307" s="15">
        <v>2.18</v>
      </c>
      <c r="D4307" s="15">
        <v>1.98</v>
      </c>
      <c r="E4307" s="15">
        <v>1.98</v>
      </c>
      <c r="F4307" s="15" t="str">
        <f t="shared" si="1"/>
        <v/>
      </c>
      <c r="G4307" s="15">
        <f t="shared" si="2"/>
        <v>2.18</v>
      </c>
      <c r="H4307" s="16">
        <v>0.0</v>
      </c>
      <c r="I4307" s="15" t="str">
        <f t="shared" si="3"/>
        <v/>
      </c>
      <c r="J4307" s="15"/>
      <c r="K4307" s="16">
        <f>IF(COUNTIFS(Release_Calendar!$A$2:$A$755,"US_CPI",Release_Calendar!$B$2:$B$755,$A4307)&gt;0,1,0)</f>
        <v>0</v>
      </c>
      <c r="L4307" s="16">
        <f>IF(COUNTIFS(Release_Calendar!$A$2:$A$755,"US_NFP",Release_Calendar!$B$2:$B$755,$A4307)&gt;0,1,0)</f>
        <v>0</v>
      </c>
      <c r="M4307" s="16" t="str">
        <f>IF($A4307&lt;Notes!$B$5,"",IF(COUNTIFS(Release_Calendar!$A$2:$A$755,"NZ_CPI",Release_Calendar!$B$2:$B$755,$A4307)&gt;0,1,0))</f>
        <v/>
      </c>
      <c r="N4307" s="16" t="str">
        <f>IF($A4307&lt;Notes!$B$5,"",IF(COUNTIFS(Release_Calendar!$A$2:$A$755,"NZ_GDP",Release_Calendar!$B$2:$B$755,$A4307)&gt;0,1,0))</f>
        <v/>
      </c>
      <c r="O4307" s="16" t="str">
        <f>IF($A4307&lt;Notes!$B$5,"",IF(COUNTIFS(Release_Calendar!$A$2:$A$755,"NZ_LABOUR",Release_Calendar!$B$2:$B$755,$A4307)&gt;0,1,0))</f>
        <v/>
      </c>
      <c r="P4307" s="16">
        <f t="shared" si="4"/>
        <v>0</v>
      </c>
    </row>
    <row r="4308" ht="15.75" customHeight="1">
      <c r="A4308" s="14">
        <v>42556.0</v>
      </c>
      <c r="B4308" s="15">
        <v>0.56</v>
      </c>
      <c r="C4308" s="15">
        <v>2.17</v>
      </c>
      <c r="D4308" s="15">
        <v>1.98</v>
      </c>
      <c r="E4308" s="15">
        <v>1.97</v>
      </c>
      <c r="F4308" s="15">
        <f t="shared" si="1"/>
        <v>1.61</v>
      </c>
      <c r="G4308" s="15">
        <f t="shared" si="2"/>
        <v>2.17</v>
      </c>
      <c r="H4308" s="16">
        <v>0.0</v>
      </c>
      <c r="I4308" s="15">
        <f t="shared" si="3"/>
        <v>1.61</v>
      </c>
      <c r="J4308" s="15">
        <v>15.58</v>
      </c>
      <c r="K4308" s="16">
        <f>IF(COUNTIFS(Release_Calendar!$A$2:$A$755,"US_CPI",Release_Calendar!$B$2:$B$755,$A4308)&gt;0,1,0)</f>
        <v>0</v>
      </c>
      <c r="L4308" s="16">
        <f>IF(COUNTIFS(Release_Calendar!$A$2:$A$755,"US_NFP",Release_Calendar!$B$2:$B$755,$A4308)&gt;0,1,0)</f>
        <v>0</v>
      </c>
      <c r="M4308" s="16" t="str">
        <f>IF($A4308&lt;Notes!$B$5,"",IF(COUNTIFS(Release_Calendar!$A$2:$A$755,"NZ_CPI",Release_Calendar!$B$2:$B$755,$A4308)&gt;0,1,0))</f>
        <v/>
      </c>
      <c r="N4308" s="16" t="str">
        <f>IF($A4308&lt;Notes!$B$5,"",IF(COUNTIFS(Release_Calendar!$A$2:$A$755,"NZ_GDP",Release_Calendar!$B$2:$B$755,$A4308)&gt;0,1,0))</f>
        <v/>
      </c>
      <c r="O4308" s="16" t="str">
        <f>IF($A4308&lt;Notes!$B$5,"",IF(COUNTIFS(Release_Calendar!$A$2:$A$755,"NZ_LABOUR",Release_Calendar!$B$2:$B$755,$A4308)&gt;0,1,0))</f>
        <v/>
      </c>
      <c r="P4308" s="16">
        <f t="shared" si="4"/>
        <v>0</v>
      </c>
    </row>
    <row r="4309" ht="15.75" customHeight="1">
      <c r="A4309" s="14">
        <v>42557.0</v>
      </c>
      <c r="B4309" s="15">
        <v>0.58</v>
      </c>
      <c r="C4309" s="15">
        <v>2.15</v>
      </c>
      <c r="D4309" s="15">
        <v>1.96</v>
      </c>
      <c r="E4309" s="15">
        <v>1.94</v>
      </c>
      <c r="F4309" s="15">
        <f t="shared" si="1"/>
        <v>1.57</v>
      </c>
      <c r="G4309" s="15">
        <f t="shared" si="2"/>
        <v>2.15</v>
      </c>
      <c r="H4309" s="16">
        <v>0.0</v>
      </c>
      <c r="I4309" s="15">
        <f t="shared" si="3"/>
        <v>1.57</v>
      </c>
      <c r="J4309" s="15">
        <v>14.96</v>
      </c>
      <c r="K4309" s="16">
        <f>IF(COUNTIFS(Release_Calendar!$A$2:$A$755,"US_CPI",Release_Calendar!$B$2:$B$755,$A4309)&gt;0,1,0)</f>
        <v>0</v>
      </c>
      <c r="L4309" s="16">
        <f>IF(COUNTIFS(Release_Calendar!$A$2:$A$755,"US_NFP",Release_Calendar!$B$2:$B$755,$A4309)&gt;0,1,0)</f>
        <v>0</v>
      </c>
      <c r="M4309" s="16" t="str">
        <f>IF($A4309&lt;Notes!$B$5,"",IF(COUNTIFS(Release_Calendar!$A$2:$A$755,"NZ_CPI",Release_Calendar!$B$2:$B$755,$A4309)&gt;0,1,0))</f>
        <v/>
      </c>
      <c r="N4309" s="16" t="str">
        <f>IF($A4309&lt;Notes!$B$5,"",IF(COUNTIFS(Release_Calendar!$A$2:$A$755,"NZ_GDP",Release_Calendar!$B$2:$B$755,$A4309)&gt;0,1,0))</f>
        <v/>
      </c>
      <c r="O4309" s="16" t="str">
        <f>IF($A4309&lt;Notes!$B$5,"",IF(COUNTIFS(Release_Calendar!$A$2:$A$755,"NZ_LABOUR",Release_Calendar!$B$2:$B$755,$A4309)&gt;0,1,0))</f>
        <v/>
      </c>
      <c r="P4309" s="16">
        <f t="shared" si="4"/>
        <v>0</v>
      </c>
    </row>
    <row r="4310" ht="15.75" customHeight="1">
      <c r="A4310" s="14">
        <v>42558.0</v>
      </c>
      <c r="B4310" s="15">
        <v>0.58</v>
      </c>
      <c r="C4310" s="15">
        <v>2.18</v>
      </c>
      <c r="D4310" s="15">
        <v>1.95</v>
      </c>
      <c r="E4310" s="15">
        <v>1.95</v>
      </c>
      <c r="F4310" s="15">
        <f t="shared" si="1"/>
        <v>1.6</v>
      </c>
      <c r="G4310" s="15">
        <f t="shared" si="2"/>
        <v>2.18</v>
      </c>
      <c r="H4310" s="16">
        <v>0.0</v>
      </c>
      <c r="I4310" s="15">
        <f t="shared" si="3"/>
        <v>1.6</v>
      </c>
      <c r="J4310" s="15">
        <v>14.76</v>
      </c>
      <c r="K4310" s="16">
        <f>IF(COUNTIFS(Release_Calendar!$A$2:$A$755,"US_CPI",Release_Calendar!$B$2:$B$755,$A4310)&gt;0,1,0)</f>
        <v>0</v>
      </c>
      <c r="L4310" s="16">
        <f>IF(COUNTIFS(Release_Calendar!$A$2:$A$755,"US_NFP",Release_Calendar!$B$2:$B$755,$A4310)&gt;0,1,0)</f>
        <v>0</v>
      </c>
      <c r="M4310" s="16" t="str">
        <f>IF($A4310&lt;Notes!$B$5,"",IF(COUNTIFS(Release_Calendar!$A$2:$A$755,"NZ_CPI",Release_Calendar!$B$2:$B$755,$A4310)&gt;0,1,0))</f>
        <v/>
      </c>
      <c r="N4310" s="16" t="str">
        <f>IF($A4310&lt;Notes!$B$5,"",IF(COUNTIFS(Release_Calendar!$A$2:$A$755,"NZ_GDP",Release_Calendar!$B$2:$B$755,$A4310)&gt;0,1,0))</f>
        <v/>
      </c>
      <c r="O4310" s="16" t="str">
        <f>IF($A4310&lt;Notes!$B$5,"",IF(COUNTIFS(Release_Calendar!$A$2:$A$755,"NZ_LABOUR",Release_Calendar!$B$2:$B$755,$A4310)&gt;0,1,0))</f>
        <v/>
      </c>
      <c r="P4310" s="16">
        <f t="shared" si="4"/>
        <v>0</v>
      </c>
    </row>
    <row r="4311" ht="15.75" customHeight="1">
      <c r="A4311" s="14">
        <v>42559.0</v>
      </c>
      <c r="B4311" s="15">
        <v>0.61</v>
      </c>
      <c r="C4311" s="15">
        <v>2.23</v>
      </c>
      <c r="D4311" s="15">
        <v>1.99</v>
      </c>
      <c r="E4311" s="15">
        <v>2.0</v>
      </c>
      <c r="F4311" s="15">
        <f t="shared" si="1"/>
        <v>1.62</v>
      </c>
      <c r="G4311" s="15">
        <f t="shared" si="2"/>
        <v>2.23</v>
      </c>
      <c r="H4311" s="16">
        <v>0.0</v>
      </c>
      <c r="I4311" s="15">
        <f t="shared" si="3"/>
        <v>1.62</v>
      </c>
      <c r="J4311" s="15">
        <v>13.2</v>
      </c>
      <c r="K4311" s="16">
        <f>IF(COUNTIFS(Release_Calendar!$A$2:$A$755,"US_CPI",Release_Calendar!$B$2:$B$755,$A4311)&gt;0,1,0)</f>
        <v>0</v>
      </c>
      <c r="L4311" s="16">
        <f>IF(COUNTIFS(Release_Calendar!$A$2:$A$755,"US_NFP",Release_Calendar!$B$2:$B$755,$A4311)&gt;0,1,0)</f>
        <v>1</v>
      </c>
      <c r="M4311" s="16" t="str">
        <f>IF($A4311&lt;Notes!$B$5,"",IF(COUNTIFS(Release_Calendar!$A$2:$A$755,"NZ_CPI",Release_Calendar!$B$2:$B$755,$A4311)&gt;0,1,0))</f>
        <v/>
      </c>
      <c r="N4311" s="16" t="str">
        <f>IF($A4311&lt;Notes!$B$5,"",IF(COUNTIFS(Release_Calendar!$A$2:$A$755,"NZ_GDP",Release_Calendar!$B$2:$B$755,$A4311)&gt;0,1,0))</f>
        <v/>
      </c>
      <c r="O4311" s="16" t="str">
        <f>IF($A4311&lt;Notes!$B$5,"",IF(COUNTIFS(Release_Calendar!$A$2:$A$755,"NZ_LABOUR",Release_Calendar!$B$2:$B$755,$A4311)&gt;0,1,0))</f>
        <v/>
      </c>
      <c r="P4311" s="16">
        <f t="shared" si="4"/>
        <v>1</v>
      </c>
    </row>
    <row r="4312" ht="15.75" customHeight="1">
      <c r="A4312" s="14">
        <v>42562.0</v>
      </c>
      <c r="B4312" s="15">
        <v>0.66</v>
      </c>
      <c r="C4312" s="15">
        <v>2.22</v>
      </c>
      <c r="D4312" s="15">
        <v>2.0</v>
      </c>
      <c r="E4312" s="15">
        <v>2.0</v>
      </c>
      <c r="F4312" s="15">
        <f t="shared" si="1"/>
        <v>1.56</v>
      </c>
      <c r="G4312" s="15">
        <f t="shared" si="2"/>
        <v>2.22</v>
      </c>
      <c r="H4312" s="16">
        <v>0.0</v>
      </c>
      <c r="I4312" s="15">
        <f t="shared" si="3"/>
        <v>1.56</v>
      </c>
      <c r="J4312" s="15">
        <v>13.54</v>
      </c>
      <c r="K4312" s="16">
        <f>IF(COUNTIFS(Release_Calendar!$A$2:$A$755,"US_CPI",Release_Calendar!$B$2:$B$755,$A4312)&gt;0,1,0)</f>
        <v>0</v>
      </c>
      <c r="L4312" s="16">
        <f>IF(COUNTIFS(Release_Calendar!$A$2:$A$755,"US_NFP",Release_Calendar!$B$2:$B$755,$A4312)&gt;0,1,0)</f>
        <v>0</v>
      </c>
      <c r="M4312" s="16" t="str">
        <f>IF($A4312&lt;Notes!$B$5,"",IF(COUNTIFS(Release_Calendar!$A$2:$A$755,"NZ_CPI",Release_Calendar!$B$2:$B$755,$A4312)&gt;0,1,0))</f>
        <v/>
      </c>
      <c r="N4312" s="16" t="str">
        <f>IF($A4312&lt;Notes!$B$5,"",IF(COUNTIFS(Release_Calendar!$A$2:$A$755,"NZ_GDP",Release_Calendar!$B$2:$B$755,$A4312)&gt;0,1,0))</f>
        <v/>
      </c>
      <c r="O4312" s="16" t="str">
        <f>IF($A4312&lt;Notes!$B$5,"",IF(COUNTIFS(Release_Calendar!$A$2:$A$755,"NZ_LABOUR",Release_Calendar!$B$2:$B$755,$A4312)&gt;0,1,0))</f>
        <v/>
      </c>
      <c r="P4312" s="16">
        <f t="shared" si="4"/>
        <v>0</v>
      </c>
    </row>
    <row r="4313" ht="15.75" customHeight="1">
      <c r="A4313" s="14">
        <v>42563.0</v>
      </c>
      <c r="B4313" s="15">
        <v>0.69</v>
      </c>
      <c r="C4313" s="15">
        <v>2.23</v>
      </c>
      <c r="D4313" s="15">
        <v>2.03</v>
      </c>
      <c r="E4313" s="15">
        <v>2.03</v>
      </c>
      <c r="F4313" s="15">
        <f t="shared" si="1"/>
        <v>1.54</v>
      </c>
      <c r="G4313" s="15">
        <f t="shared" si="2"/>
        <v>2.23</v>
      </c>
      <c r="H4313" s="16">
        <v>0.0</v>
      </c>
      <c r="I4313" s="15">
        <f t="shared" si="3"/>
        <v>1.54</v>
      </c>
      <c r="J4313" s="15">
        <v>13.55</v>
      </c>
      <c r="K4313" s="16">
        <f>IF(COUNTIFS(Release_Calendar!$A$2:$A$755,"US_CPI",Release_Calendar!$B$2:$B$755,$A4313)&gt;0,1,0)</f>
        <v>0</v>
      </c>
      <c r="L4313" s="16">
        <f>IF(COUNTIFS(Release_Calendar!$A$2:$A$755,"US_NFP",Release_Calendar!$B$2:$B$755,$A4313)&gt;0,1,0)</f>
        <v>0</v>
      </c>
      <c r="M4313" s="16" t="str">
        <f>IF($A4313&lt;Notes!$B$5,"",IF(COUNTIFS(Release_Calendar!$A$2:$A$755,"NZ_CPI",Release_Calendar!$B$2:$B$755,$A4313)&gt;0,1,0))</f>
        <v/>
      </c>
      <c r="N4313" s="16" t="str">
        <f>IF($A4313&lt;Notes!$B$5,"",IF(COUNTIFS(Release_Calendar!$A$2:$A$755,"NZ_GDP",Release_Calendar!$B$2:$B$755,$A4313)&gt;0,1,0))</f>
        <v/>
      </c>
      <c r="O4313" s="16" t="str">
        <f>IF($A4313&lt;Notes!$B$5,"",IF(COUNTIFS(Release_Calendar!$A$2:$A$755,"NZ_LABOUR",Release_Calendar!$B$2:$B$755,$A4313)&gt;0,1,0))</f>
        <v/>
      </c>
      <c r="P4313" s="16">
        <f t="shared" si="4"/>
        <v>0</v>
      </c>
    </row>
    <row r="4314" ht="15.75" customHeight="1">
      <c r="A4314" s="14">
        <v>42564.0</v>
      </c>
      <c r="B4314" s="15">
        <v>0.68</v>
      </c>
      <c r="C4314" s="15">
        <v>2.23</v>
      </c>
      <c r="D4314" s="15">
        <v>2.06</v>
      </c>
      <c r="E4314" s="15">
        <v>2.05</v>
      </c>
      <c r="F4314" s="15">
        <f t="shared" si="1"/>
        <v>1.55</v>
      </c>
      <c r="G4314" s="15">
        <f t="shared" si="2"/>
        <v>2.23</v>
      </c>
      <c r="H4314" s="16">
        <v>0.0</v>
      </c>
      <c r="I4314" s="15">
        <f t="shared" si="3"/>
        <v>1.55</v>
      </c>
      <c r="J4314" s="15">
        <v>13.04</v>
      </c>
      <c r="K4314" s="16">
        <f>IF(COUNTIFS(Release_Calendar!$A$2:$A$755,"US_CPI",Release_Calendar!$B$2:$B$755,$A4314)&gt;0,1,0)</f>
        <v>0</v>
      </c>
      <c r="L4314" s="16">
        <f>IF(COUNTIFS(Release_Calendar!$A$2:$A$755,"US_NFP",Release_Calendar!$B$2:$B$755,$A4314)&gt;0,1,0)</f>
        <v>0</v>
      </c>
      <c r="M4314" s="16" t="str">
        <f>IF($A4314&lt;Notes!$B$5,"",IF(COUNTIFS(Release_Calendar!$A$2:$A$755,"NZ_CPI",Release_Calendar!$B$2:$B$755,$A4314)&gt;0,1,0))</f>
        <v/>
      </c>
      <c r="N4314" s="16" t="str">
        <f>IF($A4314&lt;Notes!$B$5,"",IF(COUNTIFS(Release_Calendar!$A$2:$A$755,"NZ_GDP",Release_Calendar!$B$2:$B$755,$A4314)&gt;0,1,0))</f>
        <v/>
      </c>
      <c r="O4314" s="16" t="str">
        <f>IF($A4314&lt;Notes!$B$5,"",IF(COUNTIFS(Release_Calendar!$A$2:$A$755,"NZ_LABOUR",Release_Calendar!$B$2:$B$755,$A4314)&gt;0,1,0))</f>
        <v/>
      </c>
      <c r="P4314" s="16">
        <f t="shared" si="4"/>
        <v>0</v>
      </c>
    </row>
    <row r="4315" ht="15.75" customHeight="1">
      <c r="A4315" s="14">
        <v>42565.0</v>
      </c>
      <c r="B4315" s="15">
        <v>0.68</v>
      </c>
      <c r="C4315" s="15">
        <v>2.19</v>
      </c>
      <c r="D4315" s="15">
        <v>2.03</v>
      </c>
      <c r="E4315" s="15">
        <v>2.0</v>
      </c>
      <c r="F4315" s="15">
        <f t="shared" si="1"/>
        <v>1.51</v>
      </c>
      <c r="G4315" s="15">
        <f t="shared" si="2"/>
        <v>2.19</v>
      </c>
      <c r="H4315" s="16">
        <v>0.0</v>
      </c>
      <c r="I4315" s="15">
        <f t="shared" si="3"/>
        <v>1.51</v>
      </c>
      <c r="J4315" s="15">
        <v>12.82</v>
      </c>
      <c r="K4315" s="16">
        <f>IF(COUNTIFS(Release_Calendar!$A$2:$A$755,"US_CPI",Release_Calendar!$B$2:$B$755,$A4315)&gt;0,1,0)</f>
        <v>0</v>
      </c>
      <c r="L4315" s="16">
        <f>IF(COUNTIFS(Release_Calendar!$A$2:$A$755,"US_NFP",Release_Calendar!$B$2:$B$755,$A4315)&gt;0,1,0)</f>
        <v>0</v>
      </c>
      <c r="M4315" s="16" t="str">
        <f>IF($A4315&lt;Notes!$B$5,"",IF(COUNTIFS(Release_Calendar!$A$2:$A$755,"NZ_CPI",Release_Calendar!$B$2:$B$755,$A4315)&gt;0,1,0))</f>
        <v/>
      </c>
      <c r="N4315" s="16" t="str">
        <f>IF($A4315&lt;Notes!$B$5,"",IF(COUNTIFS(Release_Calendar!$A$2:$A$755,"NZ_GDP",Release_Calendar!$B$2:$B$755,$A4315)&gt;0,1,0))</f>
        <v/>
      </c>
      <c r="O4315" s="16" t="str">
        <f>IF($A4315&lt;Notes!$B$5,"",IF(COUNTIFS(Release_Calendar!$A$2:$A$755,"NZ_LABOUR",Release_Calendar!$B$2:$B$755,$A4315)&gt;0,1,0))</f>
        <v/>
      </c>
      <c r="P4315" s="16">
        <f t="shared" si="4"/>
        <v>0</v>
      </c>
    </row>
    <row r="4316" ht="15.75" customHeight="1">
      <c r="A4316" s="14">
        <v>42566.0</v>
      </c>
      <c r="B4316" s="15">
        <v>0.71</v>
      </c>
      <c r="C4316" s="15">
        <v>2.19</v>
      </c>
      <c r="D4316" s="15">
        <v>2.01</v>
      </c>
      <c r="E4316" s="15">
        <v>1.99</v>
      </c>
      <c r="F4316" s="15">
        <f t="shared" si="1"/>
        <v>1.48</v>
      </c>
      <c r="G4316" s="15">
        <f t="shared" si="2"/>
        <v>2.19</v>
      </c>
      <c r="H4316" s="16">
        <v>0.0</v>
      </c>
      <c r="I4316" s="15">
        <f t="shared" si="3"/>
        <v>1.48</v>
      </c>
      <c r="J4316" s="15">
        <v>12.67</v>
      </c>
      <c r="K4316" s="16">
        <f>IF(COUNTIFS(Release_Calendar!$A$2:$A$755,"US_CPI",Release_Calendar!$B$2:$B$755,$A4316)&gt;0,1,0)</f>
        <v>1</v>
      </c>
      <c r="L4316" s="16">
        <f>IF(COUNTIFS(Release_Calendar!$A$2:$A$755,"US_NFP",Release_Calendar!$B$2:$B$755,$A4316)&gt;0,1,0)</f>
        <v>0</v>
      </c>
      <c r="M4316" s="16" t="str">
        <f>IF($A4316&lt;Notes!$B$5,"",IF(COUNTIFS(Release_Calendar!$A$2:$A$755,"NZ_CPI",Release_Calendar!$B$2:$B$755,$A4316)&gt;0,1,0))</f>
        <v/>
      </c>
      <c r="N4316" s="16" t="str">
        <f>IF($A4316&lt;Notes!$B$5,"",IF(COUNTIFS(Release_Calendar!$A$2:$A$755,"NZ_GDP",Release_Calendar!$B$2:$B$755,$A4316)&gt;0,1,0))</f>
        <v/>
      </c>
      <c r="O4316" s="16" t="str">
        <f>IF($A4316&lt;Notes!$B$5,"",IF(COUNTIFS(Release_Calendar!$A$2:$A$755,"NZ_LABOUR",Release_Calendar!$B$2:$B$755,$A4316)&gt;0,1,0))</f>
        <v/>
      </c>
      <c r="P4316" s="16">
        <f t="shared" si="4"/>
        <v>1</v>
      </c>
    </row>
    <row r="4317" ht="15.75" customHeight="1">
      <c r="A4317" s="14">
        <v>42569.0</v>
      </c>
      <c r="B4317" s="15">
        <v>0.68</v>
      </c>
      <c r="C4317" s="15">
        <v>2.15</v>
      </c>
      <c r="D4317" s="15">
        <v>1.98</v>
      </c>
      <c r="E4317" s="15">
        <v>1.96</v>
      </c>
      <c r="F4317" s="15">
        <f t="shared" si="1"/>
        <v>1.47</v>
      </c>
      <c r="G4317" s="15">
        <f t="shared" si="2"/>
        <v>2.15</v>
      </c>
      <c r="H4317" s="16">
        <v>0.0</v>
      </c>
      <c r="I4317" s="15">
        <f t="shared" si="3"/>
        <v>1.47</v>
      </c>
      <c r="J4317" s="15">
        <v>12.44</v>
      </c>
      <c r="K4317" s="16">
        <f>IF(COUNTIFS(Release_Calendar!$A$2:$A$755,"US_CPI",Release_Calendar!$B$2:$B$755,$A4317)&gt;0,1,0)</f>
        <v>0</v>
      </c>
      <c r="L4317" s="16">
        <f>IF(COUNTIFS(Release_Calendar!$A$2:$A$755,"US_NFP",Release_Calendar!$B$2:$B$755,$A4317)&gt;0,1,0)</f>
        <v>0</v>
      </c>
      <c r="M4317" s="16" t="str">
        <f>IF($A4317&lt;Notes!$B$5,"",IF(COUNTIFS(Release_Calendar!$A$2:$A$755,"NZ_CPI",Release_Calendar!$B$2:$B$755,$A4317)&gt;0,1,0))</f>
        <v/>
      </c>
      <c r="N4317" s="16" t="str">
        <f>IF($A4317&lt;Notes!$B$5,"",IF(COUNTIFS(Release_Calendar!$A$2:$A$755,"NZ_GDP",Release_Calendar!$B$2:$B$755,$A4317)&gt;0,1,0))</f>
        <v/>
      </c>
      <c r="O4317" s="16" t="str">
        <f>IF($A4317&lt;Notes!$B$5,"",IF(COUNTIFS(Release_Calendar!$A$2:$A$755,"NZ_LABOUR",Release_Calendar!$B$2:$B$755,$A4317)&gt;0,1,0))</f>
        <v/>
      </c>
      <c r="P4317" s="16">
        <f t="shared" si="4"/>
        <v>0</v>
      </c>
    </row>
    <row r="4318" ht="15.75" customHeight="1">
      <c r="A4318" s="14">
        <v>42570.0</v>
      </c>
      <c r="B4318" s="15">
        <v>0.7</v>
      </c>
      <c r="C4318" s="15">
        <v>2.09</v>
      </c>
      <c r="D4318" s="15">
        <v>1.91</v>
      </c>
      <c r="E4318" s="15">
        <v>1.9</v>
      </c>
      <c r="F4318" s="15">
        <f t="shared" si="1"/>
        <v>1.39</v>
      </c>
      <c r="G4318" s="15">
        <f t="shared" si="2"/>
        <v>2.09</v>
      </c>
      <c r="H4318" s="16">
        <v>0.0</v>
      </c>
      <c r="I4318" s="15">
        <f t="shared" si="3"/>
        <v>1.39</v>
      </c>
      <c r="J4318" s="15">
        <v>11.97</v>
      </c>
      <c r="K4318" s="16">
        <f>IF(COUNTIFS(Release_Calendar!$A$2:$A$755,"US_CPI",Release_Calendar!$B$2:$B$755,$A4318)&gt;0,1,0)</f>
        <v>0</v>
      </c>
      <c r="L4318" s="16">
        <f>IF(COUNTIFS(Release_Calendar!$A$2:$A$755,"US_NFP",Release_Calendar!$B$2:$B$755,$A4318)&gt;0,1,0)</f>
        <v>0</v>
      </c>
      <c r="M4318" s="16" t="str">
        <f>IF($A4318&lt;Notes!$B$5,"",IF(COUNTIFS(Release_Calendar!$A$2:$A$755,"NZ_CPI",Release_Calendar!$B$2:$B$755,$A4318)&gt;0,1,0))</f>
        <v/>
      </c>
      <c r="N4318" s="16" t="str">
        <f>IF($A4318&lt;Notes!$B$5,"",IF(COUNTIFS(Release_Calendar!$A$2:$A$755,"NZ_GDP",Release_Calendar!$B$2:$B$755,$A4318)&gt;0,1,0))</f>
        <v/>
      </c>
      <c r="O4318" s="16" t="str">
        <f>IF($A4318&lt;Notes!$B$5,"",IF(COUNTIFS(Release_Calendar!$A$2:$A$755,"NZ_LABOUR",Release_Calendar!$B$2:$B$755,$A4318)&gt;0,1,0))</f>
        <v/>
      </c>
      <c r="P4318" s="16">
        <f t="shared" si="4"/>
        <v>0</v>
      </c>
    </row>
    <row r="4319" ht="15.75" customHeight="1">
      <c r="A4319" s="14">
        <v>42571.0</v>
      </c>
      <c r="B4319" s="15">
        <v>0.73</v>
      </c>
      <c r="C4319" s="15">
        <v>2.11</v>
      </c>
      <c r="D4319" s="15">
        <v>1.91</v>
      </c>
      <c r="E4319" s="15">
        <v>1.92</v>
      </c>
      <c r="F4319" s="15">
        <f t="shared" si="1"/>
        <v>1.38</v>
      </c>
      <c r="G4319" s="15">
        <f t="shared" si="2"/>
        <v>2.11</v>
      </c>
      <c r="H4319" s="16">
        <v>0.0</v>
      </c>
      <c r="I4319" s="15">
        <f t="shared" si="3"/>
        <v>1.38</v>
      </c>
      <c r="J4319" s="15">
        <v>11.77</v>
      </c>
      <c r="K4319" s="16">
        <f>IF(COUNTIFS(Release_Calendar!$A$2:$A$755,"US_CPI",Release_Calendar!$B$2:$B$755,$A4319)&gt;0,1,0)</f>
        <v>0</v>
      </c>
      <c r="L4319" s="16">
        <f>IF(COUNTIFS(Release_Calendar!$A$2:$A$755,"US_NFP",Release_Calendar!$B$2:$B$755,$A4319)&gt;0,1,0)</f>
        <v>0</v>
      </c>
      <c r="M4319" s="16" t="str">
        <f>IF($A4319&lt;Notes!$B$5,"",IF(COUNTIFS(Release_Calendar!$A$2:$A$755,"NZ_CPI",Release_Calendar!$B$2:$B$755,$A4319)&gt;0,1,0))</f>
        <v/>
      </c>
      <c r="N4319" s="16" t="str">
        <f>IF($A4319&lt;Notes!$B$5,"",IF(COUNTIFS(Release_Calendar!$A$2:$A$755,"NZ_GDP",Release_Calendar!$B$2:$B$755,$A4319)&gt;0,1,0))</f>
        <v/>
      </c>
      <c r="O4319" s="16" t="str">
        <f>IF($A4319&lt;Notes!$B$5,"",IF(COUNTIFS(Release_Calendar!$A$2:$A$755,"NZ_LABOUR",Release_Calendar!$B$2:$B$755,$A4319)&gt;0,1,0))</f>
        <v/>
      </c>
      <c r="P4319" s="16">
        <f t="shared" si="4"/>
        <v>0</v>
      </c>
    </row>
    <row r="4320" ht="15.75" customHeight="1">
      <c r="A4320" s="14">
        <v>42572.0</v>
      </c>
      <c r="B4320" s="15">
        <v>0.7</v>
      </c>
      <c r="C4320" s="15">
        <v>2.05</v>
      </c>
      <c r="D4320" s="15">
        <v>1.86</v>
      </c>
      <c r="E4320" s="15">
        <v>1.87</v>
      </c>
      <c r="F4320" s="15">
        <f t="shared" si="1"/>
        <v>1.35</v>
      </c>
      <c r="G4320" s="15">
        <f t="shared" si="2"/>
        <v>2.05</v>
      </c>
      <c r="H4320" s="16">
        <v>0.0</v>
      </c>
      <c r="I4320" s="15">
        <f t="shared" si="3"/>
        <v>1.35</v>
      </c>
      <c r="J4320" s="15">
        <v>12.74</v>
      </c>
      <c r="K4320" s="16">
        <f>IF(COUNTIFS(Release_Calendar!$A$2:$A$755,"US_CPI",Release_Calendar!$B$2:$B$755,$A4320)&gt;0,1,0)</f>
        <v>0</v>
      </c>
      <c r="L4320" s="16">
        <f>IF(COUNTIFS(Release_Calendar!$A$2:$A$755,"US_NFP",Release_Calendar!$B$2:$B$755,$A4320)&gt;0,1,0)</f>
        <v>0</v>
      </c>
      <c r="M4320" s="16" t="str">
        <f>IF($A4320&lt;Notes!$B$5,"",IF(COUNTIFS(Release_Calendar!$A$2:$A$755,"NZ_CPI",Release_Calendar!$B$2:$B$755,$A4320)&gt;0,1,0))</f>
        <v/>
      </c>
      <c r="N4320" s="16" t="str">
        <f>IF($A4320&lt;Notes!$B$5,"",IF(COUNTIFS(Release_Calendar!$A$2:$A$755,"NZ_GDP",Release_Calendar!$B$2:$B$755,$A4320)&gt;0,1,0))</f>
        <v/>
      </c>
      <c r="O4320" s="16" t="str">
        <f>IF($A4320&lt;Notes!$B$5,"",IF(COUNTIFS(Release_Calendar!$A$2:$A$755,"NZ_LABOUR",Release_Calendar!$B$2:$B$755,$A4320)&gt;0,1,0))</f>
        <v/>
      </c>
      <c r="P4320" s="16">
        <f t="shared" si="4"/>
        <v>0</v>
      </c>
    </row>
    <row r="4321" ht="15.75" customHeight="1">
      <c r="A4321" s="14">
        <v>42573.0</v>
      </c>
      <c r="B4321" s="15">
        <v>0.71</v>
      </c>
      <c r="C4321" s="15">
        <v>2.04</v>
      </c>
      <c r="D4321" s="15">
        <v>1.87</v>
      </c>
      <c r="E4321" s="15">
        <v>1.84</v>
      </c>
      <c r="F4321" s="15">
        <f t="shared" si="1"/>
        <v>1.33</v>
      </c>
      <c r="G4321" s="15">
        <f t="shared" si="2"/>
        <v>2.04</v>
      </c>
      <c r="H4321" s="16">
        <v>0.0</v>
      </c>
      <c r="I4321" s="15">
        <f t="shared" si="3"/>
        <v>1.33</v>
      </c>
      <c r="J4321" s="15">
        <v>12.02</v>
      </c>
      <c r="K4321" s="16">
        <f>IF(COUNTIFS(Release_Calendar!$A$2:$A$755,"US_CPI",Release_Calendar!$B$2:$B$755,$A4321)&gt;0,1,0)</f>
        <v>0</v>
      </c>
      <c r="L4321" s="16">
        <f>IF(COUNTIFS(Release_Calendar!$A$2:$A$755,"US_NFP",Release_Calendar!$B$2:$B$755,$A4321)&gt;0,1,0)</f>
        <v>0</v>
      </c>
      <c r="M4321" s="16" t="str">
        <f>IF($A4321&lt;Notes!$B$5,"",IF(COUNTIFS(Release_Calendar!$A$2:$A$755,"NZ_CPI",Release_Calendar!$B$2:$B$755,$A4321)&gt;0,1,0))</f>
        <v/>
      </c>
      <c r="N4321" s="16" t="str">
        <f>IF($A4321&lt;Notes!$B$5,"",IF(COUNTIFS(Release_Calendar!$A$2:$A$755,"NZ_GDP",Release_Calendar!$B$2:$B$755,$A4321)&gt;0,1,0))</f>
        <v/>
      </c>
      <c r="O4321" s="16" t="str">
        <f>IF($A4321&lt;Notes!$B$5,"",IF(COUNTIFS(Release_Calendar!$A$2:$A$755,"NZ_LABOUR",Release_Calendar!$B$2:$B$755,$A4321)&gt;0,1,0))</f>
        <v/>
      </c>
      <c r="P4321" s="16">
        <f t="shared" si="4"/>
        <v>0</v>
      </c>
    </row>
    <row r="4322" ht="15.75" customHeight="1">
      <c r="A4322" s="14">
        <v>42576.0</v>
      </c>
      <c r="B4322" s="15">
        <v>0.72</v>
      </c>
      <c r="C4322" s="15">
        <v>2.05</v>
      </c>
      <c r="D4322" s="15">
        <v>1.86</v>
      </c>
      <c r="E4322" s="15">
        <v>1.86</v>
      </c>
      <c r="F4322" s="15">
        <f t="shared" si="1"/>
        <v>1.33</v>
      </c>
      <c r="G4322" s="15">
        <f t="shared" si="2"/>
        <v>2.05</v>
      </c>
      <c r="H4322" s="16">
        <v>0.0</v>
      </c>
      <c r="I4322" s="15">
        <f t="shared" si="3"/>
        <v>1.33</v>
      </c>
      <c r="J4322" s="15">
        <v>12.87</v>
      </c>
      <c r="K4322" s="16">
        <f>IF(COUNTIFS(Release_Calendar!$A$2:$A$755,"US_CPI",Release_Calendar!$B$2:$B$755,$A4322)&gt;0,1,0)</f>
        <v>0</v>
      </c>
      <c r="L4322" s="16">
        <f>IF(COUNTIFS(Release_Calendar!$A$2:$A$755,"US_NFP",Release_Calendar!$B$2:$B$755,$A4322)&gt;0,1,0)</f>
        <v>0</v>
      </c>
      <c r="M4322" s="16" t="str">
        <f>IF($A4322&lt;Notes!$B$5,"",IF(COUNTIFS(Release_Calendar!$A$2:$A$755,"NZ_CPI",Release_Calendar!$B$2:$B$755,$A4322)&gt;0,1,0))</f>
        <v/>
      </c>
      <c r="N4322" s="16" t="str">
        <f>IF($A4322&lt;Notes!$B$5,"",IF(COUNTIFS(Release_Calendar!$A$2:$A$755,"NZ_GDP",Release_Calendar!$B$2:$B$755,$A4322)&gt;0,1,0))</f>
        <v/>
      </c>
      <c r="O4322" s="16" t="str">
        <f>IF($A4322&lt;Notes!$B$5,"",IF(COUNTIFS(Release_Calendar!$A$2:$A$755,"NZ_LABOUR",Release_Calendar!$B$2:$B$755,$A4322)&gt;0,1,0))</f>
        <v/>
      </c>
      <c r="P4322" s="16">
        <f t="shared" si="4"/>
        <v>0</v>
      </c>
    </row>
    <row r="4323" ht="15.75" customHeight="1">
      <c r="A4323" s="14">
        <v>42577.0</v>
      </c>
      <c r="B4323" s="15">
        <v>0.75</v>
      </c>
      <c r="C4323" s="15">
        <v>2.04</v>
      </c>
      <c r="D4323" s="15">
        <v>1.88</v>
      </c>
      <c r="E4323" s="15">
        <v>1.85</v>
      </c>
      <c r="F4323" s="15">
        <f t="shared" si="1"/>
        <v>1.29</v>
      </c>
      <c r="G4323" s="15">
        <f t="shared" si="2"/>
        <v>2.04</v>
      </c>
      <c r="H4323" s="16">
        <v>0.0</v>
      </c>
      <c r="I4323" s="15">
        <f t="shared" si="3"/>
        <v>1.29</v>
      </c>
      <c r="J4323" s="15">
        <v>13.05</v>
      </c>
      <c r="K4323" s="16">
        <f>IF(COUNTIFS(Release_Calendar!$A$2:$A$755,"US_CPI",Release_Calendar!$B$2:$B$755,$A4323)&gt;0,1,0)</f>
        <v>0</v>
      </c>
      <c r="L4323" s="16">
        <f>IF(COUNTIFS(Release_Calendar!$A$2:$A$755,"US_NFP",Release_Calendar!$B$2:$B$755,$A4323)&gt;0,1,0)</f>
        <v>0</v>
      </c>
      <c r="M4323" s="16" t="str">
        <f>IF($A4323&lt;Notes!$B$5,"",IF(COUNTIFS(Release_Calendar!$A$2:$A$755,"NZ_CPI",Release_Calendar!$B$2:$B$755,$A4323)&gt;0,1,0))</f>
        <v/>
      </c>
      <c r="N4323" s="16" t="str">
        <f>IF($A4323&lt;Notes!$B$5,"",IF(COUNTIFS(Release_Calendar!$A$2:$A$755,"NZ_GDP",Release_Calendar!$B$2:$B$755,$A4323)&gt;0,1,0))</f>
        <v/>
      </c>
      <c r="O4323" s="16" t="str">
        <f>IF($A4323&lt;Notes!$B$5,"",IF(COUNTIFS(Release_Calendar!$A$2:$A$755,"NZ_LABOUR",Release_Calendar!$B$2:$B$755,$A4323)&gt;0,1,0))</f>
        <v/>
      </c>
      <c r="P4323" s="16">
        <f t="shared" si="4"/>
        <v>0</v>
      </c>
    </row>
    <row r="4324" ht="15.75" customHeight="1">
      <c r="A4324" s="14">
        <v>42578.0</v>
      </c>
      <c r="B4324" s="15">
        <v>0.73</v>
      </c>
      <c r="C4324" s="15">
        <v>2.07</v>
      </c>
      <c r="D4324" s="15">
        <v>1.86</v>
      </c>
      <c r="E4324" s="15">
        <v>1.89</v>
      </c>
      <c r="F4324" s="15">
        <f t="shared" si="1"/>
        <v>1.34</v>
      </c>
      <c r="G4324" s="15">
        <f t="shared" si="2"/>
        <v>2.07</v>
      </c>
      <c r="H4324" s="16">
        <v>0.0</v>
      </c>
      <c r="I4324" s="15">
        <f t="shared" si="3"/>
        <v>1.34</v>
      </c>
      <c r="J4324" s="15">
        <v>12.83</v>
      </c>
      <c r="K4324" s="16">
        <f>IF(COUNTIFS(Release_Calendar!$A$2:$A$755,"US_CPI",Release_Calendar!$B$2:$B$755,$A4324)&gt;0,1,0)</f>
        <v>0</v>
      </c>
      <c r="L4324" s="16">
        <f>IF(COUNTIFS(Release_Calendar!$A$2:$A$755,"US_NFP",Release_Calendar!$B$2:$B$755,$A4324)&gt;0,1,0)</f>
        <v>0</v>
      </c>
      <c r="M4324" s="16" t="str">
        <f>IF($A4324&lt;Notes!$B$5,"",IF(COUNTIFS(Release_Calendar!$A$2:$A$755,"NZ_CPI",Release_Calendar!$B$2:$B$755,$A4324)&gt;0,1,0))</f>
        <v/>
      </c>
      <c r="N4324" s="16" t="str">
        <f>IF($A4324&lt;Notes!$B$5,"",IF(COUNTIFS(Release_Calendar!$A$2:$A$755,"NZ_GDP",Release_Calendar!$B$2:$B$755,$A4324)&gt;0,1,0))</f>
        <v/>
      </c>
      <c r="O4324" s="16" t="str">
        <f>IF($A4324&lt;Notes!$B$5,"",IF(COUNTIFS(Release_Calendar!$A$2:$A$755,"NZ_LABOUR",Release_Calendar!$B$2:$B$755,$A4324)&gt;0,1,0))</f>
        <v/>
      </c>
      <c r="P4324" s="16">
        <f t="shared" si="4"/>
        <v>0</v>
      </c>
    </row>
    <row r="4325" ht="15.75" customHeight="1">
      <c r="A4325" s="14">
        <v>42579.0</v>
      </c>
      <c r="B4325" s="15">
        <v>0.72</v>
      </c>
      <c r="C4325" s="15">
        <v>2.05</v>
      </c>
      <c r="D4325" s="15">
        <v>1.86</v>
      </c>
      <c r="E4325" s="15">
        <v>1.84</v>
      </c>
      <c r="F4325" s="15">
        <f t="shared" si="1"/>
        <v>1.33</v>
      </c>
      <c r="G4325" s="15">
        <f t="shared" si="2"/>
        <v>2.05</v>
      </c>
      <c r="H4325" s="16">
        <v>0.0</v>
      </c>
      <c r="I4325" s="15">
        <f t="shared" si="3"/>
        <v>1.33</v>
      </c>
      <c r="J4325" s="15">
        <v>12.72</v>
      </c>
      <c r="K4325" s="16">
        <f>IF(COUNTIFS(Release_Calendar!$A$2:$A$755,"US_CPI",Release_Calendar!$B$2:$B$755,$A4325)&gt;0,1,0)</f>
        <v>0</v>
      </c>
      <c r="L4325" s="16">
        <f>IF(COUNTIFS(Release_Calendar!$A$2:$A$755,"US_NFP",Release_Calendar!$B$2:$B$755,$A4325)&gt;0,1,0)</f>
        <v>0</v>
      </c>
      <c r="M4325" s="16" t="str">
        <f>IF($A4325&lt;Notes!$B$5,"",IF(COUNTIFS(Release_Calendar!$A$2:$A$755,"NZ_CPI",Release_Calendar!$B$2:$B$755,$A4325)&gt;0,1,0))</f>
        <v/>
      </c>
      <c r="N4325" s="16" t="str">
        <f>IF($A4325&lt;Notes!$B$5,"",IF(COUNTIFS(Release_Calendar!$A$2:$A$755,"NZ_GDP",Release_Calendar!$B$2:$B$755,$A4325)&gt;0,1,0))</f>
        <v/>
      </c>
      <c r="O4325" s="16" t="str">
        <f>IF($A4325&lt;Notes!$B$5,"",IF(COUNTIFS(Release_Calendar!$A$2:$A$755,"NZ_LABOUR",Release_Calendar!$B$2:$B$755,$A4325)&gt;0,1,0))</f>
        <v/>
      </c>
      <c r="P4325" s="16">
        <f t="shared" si="4"/>
        <v>0</v>
      </c>
    </row>
    <row r="4326" ht="15.75" customHeight="1">
      <c r="A4326" s="14">
        <v>42580.0</v>
      </c>
      <c r="B4326" s="15">
        <v>0.67</v>
      </c>
      <c r="C4326" s="15">
        <v>2.04</v>
      </c>
      <c r="D4326" s="15">
        <v>1.83</v>
      </c>
      <c r="E4326" s="15">
        <v>1.82</v>
      </c>
      <c r="F4326" s="15">
        <f t="shared" si="1"/>
        <v>1.37</v>
      </c>
      <c r="G4326" s="15">
        <f t="shared" si="2"/>
        <v>2.04</v>
      </c>
      <c r="H4326" s="16">
        <v>0.0</v>
      </c>
      <c r="I4326" s="15">
        <f t="shared" si="3"/>
        <v>1.37</v>
      </c>
      <c r="J4326" s="15">
        <v>11.87</v>
      </c>
      <c r="K4326" s="16">
        <f>IF(COUNTIFS(Release_Calendar!$A$2:$A$755,"US_CPI",Release_Calendar!$B$2:$B$755,$A4326)&gt;0,1,0)</f>
        <v>0</v>
      </c>
      <c r="L4326" s="16">
        <f>IF(COUNTIFS(Release_Calendar!$A$2:$A$755,"US_NFP",Release_Calendar!$B$2:$B$755,$A4326)&gt;0,1,0)</f>
        <v>0</v>
      </c>
      <c r="M4326" s="16" t="str">
        <f>IF($A4326&lt;Notes!$B$5,"",IF(COUNTIFS(Release_Calendar!$A$2:$A$755,"NZ_CPI",Release_Calendar!$B$2:$B$755,$A4326)&gt;0,1,0))</f>
        <v/>
      </c>
      <c r="N4326" s="16" t="str">
        <f>IF($A4326&lt;Notes!$B$5,"",IF(COUNTIFS(Release_Calendar!$A$2:$A$755,"NZ_GDP",Release_Calendar!$B$2:$B$755,$A4326)&gt;0,1,0))</f>
        <v/>
      </c>
      <c r="O4326" s="16" t="str">
        <f>IF($A4326&lt;Notes!$B$5,"",IF(COUNTIFS(Release_Calendar!$A$2:$A$755,"NZ_LABOUR",Release_Calendar!$B$2:$B$755,$A4326)&gt;0,1,0))</f>
        <v/>
      </c>
      <c r="P4326" s="16">
        <f t="shared" si="4"/>
        <v>0</v>
      </c>
    </row>
    <row r="4327" ht="15.75" customHeight="1">
      <c r="A4327" s="14">
        <v>42583.0</v>
      </c>
      <c r="B4327" s="15">
        <v>0.67</v>
      </c>
      <c r="C4327" s="15">
        <v>2.02</v>
      </c>
      <c r="D4327" s="15">
        <v>1.78</v>
      </c>
      <c r="E4327" s="15">
        <v>1.78</v>
      </c>
      <c r="F4327" s="15">
        <f t="shared" si="1"/>
        <v>1.35</v>
      </c>
      <c r="G4327" s="15">
        <f t="shared" si="2"/>
        <v>2.02</v>
      </c>
      <c r="H4327" s="16">
        <v>0.0</v>
      </c>
      <c r="I4327" s="15">
        <f t="shared" si="3"/>
        <v>1.35</v>
      </c>
      <c r="J4327" s="15">
        <v>12.44</v>
      </c>
      <c r="K4327" s="16">
        <f>IF(COUNTIFS(Release_Calendar!$A$2:$A$755,"US_CPI",Release_Calendar!$B$2:$B$755,$A4327)&gt;0,1,0)</f>
        <v>0</v>
      </c>
      <c r="L4327" s="16">
        <f>IF(COUNTIFS(Release_Calendar!$A$2:$A$755,"US_NFP",Release_Calendar!$B$2:$B$755,$A4327)&gt;0,1,0)</f>
        <v>0</v>
      </c>
      <c r="M4327" s="16" t="str">
        <f>IF($A4327&lt;Notes!$B$5,"",IF(COUNTIFS(Release_Calendar!$A$2:$A$755,"NZ_CPI",Release_Calendar!$B$2:$B$755,$A4327)&gt;0,1,0))</f>
        <v/>
      </c>
      <c r="N4327" s="16" t="str">
        <f>IF($A4327&lt;Notes!$B$5,"",IF(COUNTIFS(Release_Calendar!$A$2:$A$755,"NZ_GDP",Release_Calendar!$B$2:$B$755,$A4327)&gt;0,1,0))</f>
        <v/>
      </c>
      <c r="O4327" s="16" t="str">
        <f>IF($A4327&lt;Notes!$B$5,"",IF(COUNTIFS(Release_Calendar!$A$2:$A$755,"NZ_LABOUR",Release_Calendar!$B$2:$B$755,$A4327)&gt;0,1,0))</f>
        <v/>
      </c>
      <c r="P4327" s="16">
        <f t="shared" si="4"/>
        <v>0</v>
      </c>
    </row>
    <row r="4328" ht="15.75" customHeight="1">
      <c r="A4328" s="14">
        <v>42584.0</v>
      </c>
      <c r="B4328" s="15">
        <v>0.67</v>
      </c>
      <c r="C4328" s="15">
        <v>2.03</v>
      </c>
      <c r="D4328" s="15">
        <v>1.8</v>
      </c>
      <c r="E4328" s="15">
        <v>1.8</v>
      </c>
      <c r="F4328" s="15">
        <f t="shared" si="1"/>
        <v>1.36</v>
      </c>
      <c r="G4328" s="15">
        <f t="shared" si="2"/>
        <v>2.03</v>
      </c>
      <c r="H4328" s="16">
        <v>0.0</v>
      </c>
      <c r="I4328" s="15">
        <f t="shared" si="3"/>
        <v>1.36</v>
      </c>
      <c r="J4328" s="15">
        <v>13.37</v>
      </c>
      <c r="K4328" s="16">
        <f>IF(COUNTIFS(Release_Calendar!$A$2:$A$755,"US_CPI",Release_Calendar!$B$2:$B$755,$A4328)&gt;0,1,0)</f>
        <v>0</v>
      </c>
      <c r="L4328" s="16">
        <f>IF(COUNTIFS(Release_Calendar!$A$2:$A$755,"US_NFP",Release_Calendar!$B$2:$B$755,$A4328)&gt;0,1,0)</f>
        <v>0</v>
      </c>
      <c r="M4328" s="16" t="str">
        <f>IF($A4328&lt;Notes!$B$5,"",IF(COUNTIFS(Release_Calendar!$A$2:$A$755,"NZ_CPI",Release_Calendar!$B$2:$B$755,$A4328)&gt;0,1,0))</f>
        <v/>
      </c>
      <c r="N4328" s="16" t="str">
        <f>IF($A4328&lt;Notes!$B$5,"",IF(COUNTIFS(Release_Calendar!$A$2:$A$755,"NZ_GDP",Release_Calendar!$B$2:$B$755,$A4328)&gt;0,1,0))</f>
        <v/>
      </c>
      <c r="O4328" s="16" t="str">
        <f>IF($A4328&lt;Notes!$B$5,"",IF(COUNTIFS(Release_Calendar!$A$2:$A$755,"NZ_LABOUR",Release_Calendar!$B$2:$B$755,$A4328)&gt;0,1,0))</f>
        <v/>
      </c>
      <c r="P4328" s="16">
        <f t="shared" si="4"/>
        <v>0</v>
      </c>
    </row>
    <row r="4329" ht="15.75" customHeight="1">
      <c r="A4329" s="14">
        <v>42585.0</v>
      </c>
      <c r="B4329" s="15">
        <v>0.67</v>
      </c>
      <c r="C4329" s="15">
        <v>2.02</v>
      </c>
      <c r="D4329" s="15">
        <v>1.82</v>
      </c>
      <c r="E4329" s="15">
        <v>1.82</v>
      </c>
      <c r="F4329" s="15">
        <f t="shared" si="1"/>
        <v>1.35</v>
      </c>
      <c r="G4329" s="15">
        <f t="shared" si="2"/>
        <v>2.02</v>
      </c>
      <c r="H4329" s="16">
        <v>0.0</v>
      </c>
      <c r="I4329" s="15">
        <f t="shared" si="3"/>
        <v>1.35</v>
      </c>
      <c r="J4329" s="15">
        <v>12.86</v>
      </c>
      <c r="K4329" s="16">
        <f>IF(COUNTIFS(Release_Calendar!$A$2:$A$755,"US_CPI",Release_Calendar!$B$2:$B$755,$A4329)&gt;0,1,0)</f>
        <v>0</v>
      </c>
      <c r="L4329" s="16">
        <f>IF(COUNTIFS(Release_Calendar!$A$2:$A$755,"US_NFP",Release_Calendar!$B$2:$B$755,$A4329)&gt;0,1,0)</f>
        <v>0</v>
      </c>
      <c r="M4329" s="16" t="str">
        <f>IF($A4329&lt;Notes!$B$5,"",IF(COUNTIFS(Release_Calendar!$A$2:$A$755,"NZ_CPI",Release_Calendar!$B$2:$B$755,$A4329)&gt;0,1,0))</f>
        <v/>
      </c>
      <c r="N4329" s="16" t="str">
        <f>IF($A4329&lt;Notes!$B$5,"",IF(COUNTIFS(Release_Calendar!$A$2:$A$755,"NZ_GDP",Release_Calendar!$B$2:$B$755,$A4329)&gt;0,1,0))</f>
        <v/>
      </c>
      <c r="O4329" s="16" t="str">
        <f>IF($A4329&lt;Notes!$B$5,"",IF(COUNTIFS(Release_Calendar!$A$2:$A$755,"NZ_LABOUR",Release_Calendar!$B$2:$B$755,$A4329)&gt;0,1,0))</f>
        <v/>
      </c>
      <c r="P4329" s="16">
        <f t="shared" si="4"/>
        <v>0</v>
      </c>
    </row>
    <row r="4330" ht="15.75" customHeight="1">
      <c r="A4330" s="14">
        <v>42586.0</v>
      </c>
      <c r="B4330" s="15">
        <v>0.64</v>
      </c>
      <c r="C4330" s="15">
        <v>2.0</v>
      </c>
      <c r="D4330" s="15">
        <v>1.81</v>
      </c>
      <c r="E4330" s="15">
        <v>1.81</v>
      </c>
      <c r="F4330" s="15">
        <f t="shared" si="1"/>
        <v>1.36</v>
      </c>
      <c r="G4330" s="15">
        <f t="shared" si="2"/>
        <v>2</v>
      </c>
      <c r="H4330" s="16">
        <v>0.0</v>
      </c>
      <c r="I4330" s="15">
        <f t="shared" si="3"/>
        <v>1.36</v>
      </c>
      <c r="J4330" s="15">
        <v>12.42</v>
      </c>
      <c r="K4330" s="16">
        <f>IF(COUNTIFS(Release_Calendar!$A$2:$A$755,"US_CPI",Release_Calendar!$B$2:$B$755,$A4330)&gt;0,1,0)</f>
        <v>0</v>
      </c>
      <c r="L4330" s="16">
        <f>IF(COUNTIFS(Release_Calendar!$A$2:$A$755,"US_NFP",Release_Calendar!$B$2:$B$755,$A4330)&gt;0,1,0)</f>
        <v>0</v>
      </c>
      <c r="M4330" s="16" t="str">
        <f>IF($A4330&lt;Notes!$B$5,"",IF(COUNTIFS(Release_Calendar!$A$2:$A$755,"NZ_CPI",Release_Calendar!$B$2:$B$755,$A4330)&gt;0,1,0))</f>
        <v/>
      </c>
      <c r="N4330" s="16" t="str">
        <f>IF($A4330&lt;Notes!$B$5,"",IF(COUNTIFS(Release_Calendar!$A$2:$A$755,"NZ_GDP",Release_Calendar!$B$2:$B$755,$A4330)&gt;0,1,0))</f>
        <v/>
      </c>
      <c r="O4330" s="16" t="str">
        <f>IF($A4330&lt;Notes!$B$5,"",IF(COUNTIFS(Release_Calendar!$A$2:$A$755,"NZ_LABOUR",Release_Calendar!$B$2:$B$755,$A4330)&gt;0,1,0))</f>
        <v/>
      </c>
      <c r="P4330" s="16">
        <f t="shared" si="4"/>
        <v>0</v>
      </c>
    </row>
    <row r="4331" ht="15.75" customHeight="1">
      <c r="A4331" s="14">
        <v>42587.0</v>
      </c>
      <c r="B4331" s="15">
        <v>0.72</v>
      </c>
      <c r="C4331" s="15">
        <v>1.99</v>
      </c>
      <c r="D4331" s="15">
        <v>1.77</v>
      </c>
      <c r="E4331" s="15">
        <v>1.78</v>
      </c>
      <c r="F4331" s="15">
        <f t="shared" si="1"/>
        <v>1.27</v>
      </c>
      <c r="G4331" s="15">
        <f t="shared" si="2"/>
        <v>1.99</v>
      </c>
      <c r="H4331" s="16">
        <v>0.0</v>
      </c>
      <c r="I4331" s="15">
        <f t="shared" si="3"/>
        <v>1.27</v>
      </c>
      <c r="J4331" s="15">
        <v>11.39</v>
      </c>
      <c r="K4331" s="16">
        <f>IF(COUNTIFS(Release_Calendar!$A$2:$A$755,"US_CPI",Release_Calendar!$B$2:$B$755,$A4331)&gt;0,1,0)</f>
        <v>0</v>
      </c>
      <c r="L4331" s="16">
        <f>IF(COUNTIFS(Release_Calendar!$A$2:$A$755,"US_NFP",Release_Calendar!$B$2:$B$755,$A4331)&gt;0,1,0)</f>
        <v>1</v>
      </c>
      <c r="M4331" s="16" t="str">
        <f>IF($A4331&lt;Notes!$B$5,"",IF(COUNTIFS(Release_Calendar!$A$2:$A$755,"NZ_CPI",Release_Calendar!$B$2:$B$755,$A4331)&gt;0,1,0))</f>
        <v/>
      </c>
      <c r="N4331" s="16" t="str">
        <f>IF($A4331&lt;Notes!$B$5,"",IF(COUNTIFS(Release_Calendar!$A$2:$A$755,"NZ_GDP",Release_Calendar!$B$2:$B$755,$A4331)&gt;0,1,0))</f>
        <v/>
      </c>
      <c r="O4331" s="16" t="str">
        <f>IF($A4331&lt;Notes!$B$5,"",IF(COUNTIFS(Release_Calendar!$A$2:$A$755,"NZ_LABOUR",Release_Calendar!$B$2:$B$755,$A4331)&gt;0,1,0))</f>
        <v/>
      </c>
      <c r="P4331" s="16">
        <f t="shared" si="4"/>
        <v>1</v>
      </c>
    </row>
    <row r="4332" ht="15.75" customHeight="1">
      <c r="A4332" s="14">
        <v>42590.0</v>
      </c>
      <c r="B4332" s="15">
        <v>0.74</v>
      </c>
      <c r="C4332" s="15">
        <v>2.0</v>
      </c>
      <c r="D4332" s="15">
        <v>1.79</v>
      </c>
      <c r="E4332" s="15">
        <v>1.79</v>
      </c>
      <c r="F4332" s="15">
        <f t="shared" si="1"/>
        <v>1.26</v>
      </c>
      <c r="G4332" s="15">
        <f t="shared" si="2"/>
        <v>2</v>
      </c>
      <c r="H4332" s="16">
        <v>0.0</v>
      </c>
      <c r="I4332" s="15">
        <f t="shared" si="3"/>
        <v>1.26</v>
      </c>
      <c r="J4332" s="15">
        <v>11.5</v>
      </c>
      <c r="K4332" s="16">
        <f>IF(COUNTIFS(Release_Calendar!$A$2:$A$755,"US_CPI",Release_Calendar!$B$2:$B$755,$A4332)&gt;0,1,0)</f>
        <v>0</v>
      </c>
      <c r="L4332" s="16">
        <f>IF(COUNTIFS(Release_Calendar!$A$2:$A$755,"US_NFP",Release_Calendar!$B$2:$B$755,$A4332)&gt;0,1,0)</f>
        <v>0</v>
      </c>
      <c r="M4332" s="16" t="str">
        <f>IF($A4332&lt;Notes!$B$5,"",IF(COUNTIFS(Release_Calendar!$A$2:$A$755,"NZ_CPI",Release_Calendar!$B$2:$B$755,$A4332)&gt;0,1,0))</f>
        <v/>
      </c>
      <c r="N4332" s="16" t="str">
        <f>IF($A4332&lt;Notes!$B$5,"",IF(COUNTIFS(Release_Calendar!$A$2:$A$755,"NZ_GDP",Release_Calendar!$B$2:$B$755,$A4332)&gt;0,1,0))</f>
        <v/>
      </c>
      <c r="O4332" s="16" t="str">
        <f>IF($A4332&lt;Notes!$B$5,"",IF(COUNTIFS(Release_Calendar!$A$2:$A$755,"NZ_LABOUR",Release_Calendar!$B$2:$B$755,$A4332)&gt;0,1,0))</f>
        <v/>
      </c>
      <c r="P4332" s="16">
        <f t="shared" si="4"/>
        <v>0</v>
      </c>
    </row>
    <row r="4333" ht="15.75" customHeight="1">
      <c r="A4333" s="14">
        <v>42591.0</v>
      </c>
      <c r="B4333" s="15">
        <v>0.71</v>
      </c>
      <c r="C4333" s="15">
        <v>1.95</v>
      </c>
      <c r="D4333" s="15">
        <v>1.78</v>
      </c>
      <c r="E4333" s="15">
        <v>1.75</v>
      </c>
      <c r="F4333" s="15">
        <f t="shared" si="1"/>
        <v>1.24</v>
      </c>
      <c r="G4333" s="15">
        <f t="shared" si="2"/>
        <v>1.95</v>
      </c>
      <c r="H4333" s="16">
        <v>0.0</v>
      </c>
      <c r="I4333" s="15">
        <f t="shared" si="3"/>
        <v>1.24</v>
      </c>
      <c r="J4333" s="15">
        <v>11.66</v>
      </c>
      <c r="K4333" s="16">
        <f>IF(COUNTIFS(Release_Calendar!$A$2:$A$755,"US_CPI",Release_Calendar!$B$2:$B$755,$A4333)&gt;0,1,0)</f>
        <v>0</v>
      </c>
      <c r="L4333" s="16">
        <f>IF(COUNTIFS(Release_Calendar!$A$2:$A$755,"US_NFP",Release_Calendar!$B$2:$B$755,$A4333)&gt;0,1,0)</f>
        <v>0</v>
      </c>
      <c r="M4333" s="16" t="str">
        <f>IF($A4333&lt;Notes!$B$5,"",IF(COUNTIFS(Release_Calendar!$A$2:$A$755,"NZ_CPI",Release_Calendar!$B$2:$B$755,$A4333)&gt;0,1,0))</f>
        <v/>
      </c>
      <c r="N4333" s="16" t="str">
        <f>IF($A4333&lt;Notes!$B$5,"",IF(COUNTIFS(Release_Calendar!$A$2:$A$755,"NZ_GDP",Release_Calendar!$B$2:$B$755,$A4333)&gt;0,1,0))</f>
        <v/>
      </c>
      <c r="O4333" s="16" t="str">
        <f>IF($A4333&lt;Notes!$B$5,"",IF(COUNTIFS(Release_Calendar!$A$2:$A$755,"NZ_LABOUR",Release_Calendar!$B$2:$B$755,$A4333)&gt;0,1,0))</f>
        <v/>
      </c>
      <c r="P4333" s="16">
        <f t="shared" si="4"/>
        <v>0</v>
      </c>
    </row>
    <row r="4334" ht="15.75" customHeight="1">
      <c r="A4334" s="14">
        <v>42592.0</v>
      </c>
      <c r="B4334" s="15">
        <v>0.69</v>
      </c>
      <c r="C4334" s="15">
        <v>1.95</v>
      </c>
      <c r="D4334" s="15">
        <v>1.72</v>
      </c>
      <c r="E4334" s="15">
        <v>1.72</v>
      </c>
      <c r="F4334" s="15">
        <f t="shared" si="1"/>
        <v>1.26</v>
      </c>
      <c r="G4334" s="15">
        <f t="shared" si="2"/>
        <v>1.95</v>
      </c>
      <c r="H4334" s="16">
        <v>0.0</v>
      </c>
      <c r="I4334" s="15">
        <f t="shared" si="3"/>
        <v>1.26</v>
      </c>
      <c r="J4334" s="15">
        <v>12.05</v>
      </c>
      <c r="K4334" s="16">
        <f>IF(COUNTIFS(Release_Calendar!$A$2:$A$755,"US_CPI",Release_Calendar!$B$2:$B$755,$A4334)&gt;0,1,0)</f>
        <v>0</v>
      </c>
      <c r="L4334" s="16">
        <f>IF(COUNTIFS(Release_Calendar!$A$2:$A$755,"US_NFP",Release_Calendar!$B$2:$B$755,$A4334)&gt;0,1,0)</f>
        <v>0</v>
      </c>
      <c r="M4334" s="16" t="str">
        <f>IF($A4334&lt;Notes!$B$5,"",IF(COUNTIFS(Release_Calendar!$A$2:$A$755,"NZ_CPI",Release_Calendar!$B$2:$B$755,$A4334)&gt;0,1,0))</f>
        <v/>
      </c>
      <c r="N4334" s="16" t="str">
        <f>IF($A4334&lt;Notes!$B$5,"",IF(COUNTIFS(Release_Calendar!$A$2:$A$755,"NZ_GDP",Release_Calendar!$B$2:$B$755,$A4334)&gt;0,1,0))</f>
        <v/>
      </c>
      <c r="O4334" s="16" t="str">
        <f>IF($A4334&lt;Notes!$B$5,"",IF(COUNTIFS(Release_Calendar!$A$2:$A$755,"NZ_LABOUR",Release_Calendar!$B$2:$B$755,$A4334)&gt;0,1,0))</f>
        <v/>
      </c>
      <c r="P4334" s="16">
        <f t="shared" si="4"/>
        <v>0</v>
      </c>
    </row>
    <row r="4335" ht="15.75" customHeight="1">
      <c r="A4335" s="14">
        <v>42593.0</v>
      </c>
      <c r="B4335" s="15">
        <v>0.76</v>
      </c>
      <c r="C4335" s="15">
        <v>1.97</v>
      </c>
      <c r="D4335" s="15">
        <v>1.75</v>
      </c>
      <c r="E4335" s="15">
        <v>1.74</v>
      </c>
      <c r="F4335" s="15">
        <f t="shared" si="1"/>
        <v>1.21</v>
      </c>
      <c r="G4335" s="15">
        <f t="shared" si="2"/>
        <v>1.97</v>
      </c>
      <c r="H4335" s="16">
        <v>0.0</v>
      </c>
      <c r="I4335" s="15">
        <f t="shared" si="3"/>
        <v>1.21</v>
      </c>
      <c r="J4335" s="15">
        <v>11.68</v>
      </c>
      <c r="K4335" s="16">
        <f>IF(COUNTIFS(Release_Calendar!$A$2:$A$755,"US_CPI",Release_Calendar!$B$2:$B$755,$A4335)&gt;0,1,0)</f>
        <v>0</v>
      </c>
      <c r="L4335" s="16">
        <f>IF(COUNTIFS(Release_Calendar!$A$2:$A$755,"US_NFP",Release_Calendar!$B$2:$B$755,$A4335)&gt;0,1,0)</f>
        <v>0</v>
      </c>
      <c r="M4335" s="16" t="str">
        <f>IF($A4335&lt;Notes!$B$5,"",IF(COUNTIFS(Release_Calendar!$A$2:$A$755,"NZ_CPI",Release_Calendar!$B$2:$B$755,$A4335)&gt;0,1,0))</f>
        <v/>
      </c>
      <c r="N4335" s="16" t="str">
        <f>IF($A4335&lt;Notes!$B$5,"",IF(COUNTIFS(Release_Calendar!$A$2:$A$755,"NZ_GDP",Release_Calendar!$B$2:$B$755,$A4335)&gt;0,1,0))</f>
        <v/>
      </c>
      <c r="O4335" s="16" t="str">
        <f>IF($A4335&lt;Notes!$B$5,"",IF(COUNTIFS(Release_Calendar!$A$2:$A$755,"NZ_LABOUR",Release_Calendar!$B$2:$B$755,$A4335)&gt;0,1,0))</f>
        <v/>
      </c>
      <c r="P4335" s="16">
        <f t="shared" si="4"/>
        <v>0</v>
      </c>
    </row>
    <row r="4336" ht="15.75" customHeight="1">
      <c r="A4336" s="14">
        <v>42594.0</v>
      </c>
      <c r="B4336" s="15">
        <v>0.71</v>
      </c>
      <c r="C4336" s="15">
        <v>1.96</v>
      </c>
      <c r="D4336" s="15">
        <v>1.77</v>
      </c>
      <c r="E4336" s="15">
        <v>1.75</v>
      </c>
      <c r="F4336" s="15">
        <f t="shared" si="1"/>
        <v>1.25</v>
      </c>
      <c r="G4336" s="15">
        <f t="shared" si="2"/>
        <v>1.96</v>
      </c>
      <c r="H4336" s="16">
        <v>0.0</v>
      </c>
      <c r="I4336" s="15">
        <f t="shared" si="3"/>
        <v>1.25</v>
      </c>
      <c r="J4336" s="15">
        <v>11.55</v>
      </c>
      <c r="K4336" s="16">
        <f>IF(COUNTIFS(Release_Calendar!$A$2:$A$755,"US_CPI",Release_Calendar!$B$2:$B$755,$A4336)&gt;0,1,0)</f>
        <v>0</v>
      </c>
      <c r="L4336" s="16">
        <f>IF(COUNTIFS(Release_Calendar!$A$2:$A$755,"US_NFP",Release_Calendar!$B$2:$B$755,$A4336)&gt;0,1,0)</f>
        <v>0</v>
      </c>
      <c r="M4336" s="16" t="str">
        <f>IF($A4336&lt;Notes!$B$5,"",IF(COUNTIFS(Release_Calendar!$A$2:$A$755,"NZ_CPI",Release_Calendar!$B$2:$B$755,$A4336)&gt;0,1,0))</f>
        <v/>
      </c>
      <c r="N4336" s="16" t="str">
        <f>IF($A4336&lt;Notes!$B$5,"",IF(COUNTIFS(Release_Calendar!$A$2:$A$755,"NZ_GDP",Release_Calendar!$B$2:$B$755,$A4336)&gt;0,1,0))</f>
        <v/>
      </c>
      <c r="O4336" s="16" t="str">
        <f>IF($A4336&lt;Notes!$B$5,"",IF(COUNTIFS(Release_Calendar!$A$2:$A$755,"NZ_LABOUR",Release_Calendar!$B$2:$B$755,$A4336)&gt;0,1,0))</f>
        <v/>
      </c>
      <c r="P4336" s="16">
        <f t="shared" si="4"/>
        <v>0</v>
      </c>
    </row>
    <row r="4337" ht="15.75" customHeight="1">
      <c r="A4337" s="14">
        <v>42597.0</v>
      </c>
      <c r="B4337" s="15">
        <v>0.72</v>
      </c>
      <c r="C4337" s="15">
        <v>1.94</v>
      </c>
      <c r="D4337" s="15">
        <v>1.73</v>
      </c>
      <c r="E4337" s="15">
        <v>1.74</v>
      </c>
      <c r="F4337" s="15">
        <f t="shared" si="1"/>
        <v>1.22</v>
      </c>
      <c r="G4337" s="15">
        <f t="shared" si="2"/>
        <v>1.94</v>
      </c>
      <c r="H4337" s="16">
        <v>0.0</v>
      </c>
      <c r="I4337" s="15">
        <f t="shared" si="3"/>
        <v>1.22</v>
      </c>
      <c r="J4337" s="15">
        <v>11.81</v>
      </c>
      <c r="K4337" s="16">
        <f>IF(COUNTIFS(Release_Calendar!$A$2:$A$755,"US_CPI",Release_Calendar!$B$2:$B$755,$A4337)&gt;0,1,0)</f>
        <v>0</v>
      </c>
      <c r="L4337" s="16">
        <f>IF(COUNTIFS(Release_Calendar!$A$2:$A$755,"US_NFP",Release_Calendar!$B$2:$B$755,$A4337)&gt;0,1,0)</f>
        <v>0</v>
      </c>
      <c r="M4337" s="16" t="str">
        <f>IF($A4337&lt;Notes!$B$5,"",IF(COUNTIFS(Release_Calendar!$A$2:$A$755,"NZ_CPI",Release_Calendar!$B$2:$B$755,$A4337)&gt;0,1,0))</f>
        <v/>
      </c>
      <c r="N4337" s="16" t="str">
        <f>IF($A4337&lt;Notes!$B$5,"",IF(COUNTIFS(Release_Calendar!$A$2:$A$755,"NZ_GDP",Release_Calendar!$B$2:$B$755,$A4337)&gt;0,1,0))</f>
        <v/>
      </c>
      <c r="O4337" s="16" t="str">
        <f>IF($A4337&lt;Notes!$B$5,"",IF(COUNTIFS(Release_Calendar!$A$2:$A$755,"NZ_LABOUR",Release_Calendar!$B$2:$B$755,$A4337)&gt;0,1,0))</f>
        <v/>
      </c>
      <c r="P4337" s="16">
        <f t="shared" si="4"/>
        <v>0</v>
      </c>
    </row>
    <row r="4338" ht="15.75" customHeight="1">
      <c r="A4338" s="14">
        <v>42598.0</v>
      </c>
      <c r="B4338" s="15">
        <v>0.76</v>
      </c>
      <c r="C4338" s="15">
        <v>1.95</v>
      </c>
      <c r="D4338" s="15">
        <v>1.74</v>
      </c>
      <c r="E4338" s="15">
        <v>1.75</v>
      </c>
      <c r="F4338" s="15">
        <f t="shared" si="1"/>
        <v>1.19</v>
      </c>
      <c r="G4338" s="15">
        <f t="shared" si="2"/>
        <v>1.95</v>
      </c>
      <c r="H4338" s="16">
        <v>0.0</v>
      </c>
      <c r="I4338" s="15">
        <f t="shared" si="3"/>
        <v>1.19</v>
      </c>
      <c r="J4338" s="15">
        <v>12.64</v>
      </c>
      <c r="K4338" s="16">
        <f>IF(COUNTIFS(Release_Calendar!$A$2:$A$755,"US_CPI",Release_Calendar!$B$2:$B$755,$A4338)&gt;0,1,0)</f>
        <v>1</v>
      </c>
      <c r="L4338" s="16">
        <f>IF(COUNTIFS(Release_Calendar!$A$2:$A$755,"US_NFP",Release_Calendar!$B$2:$B$755,$A4338)&gt;0,1,0)</f>
        <v>0</v>
      </c>
      <c r="M4338" s="16" t="str">
        <f>IF($A4338&lt;Notes!$B$5,"",IF(COUNTIFS(Release_Calendar!$A$2:$A$755,"NZ_CPI",Release_Calendar!$B$2:$B$755,$A4338)&gt;0,1,0))</f>
        <v/>
      </c>
      <c r="N4338" s="16" t="str">
        <f>IF($A4338&lt;Notes!$B$5,"",IF(COUNTIFS(Release_Calendar!$A$2:$A$755,"NZ_GDP",Release_Calendar!$B$2:$B$755,$A4338)&gt;0,1,0))</f>
        <v/>
      </c>
      <c r="O4338" s="16" t="str">
        <f>IF($A4338&lt;Notes!$B$5,"",IF(COUNTIFS(Release_Calendar!$A$2:$A$755,"NZ_LABOUR",Release_Calendar!$B$2:$B$755,$A4338)&gt;0,1,0))</f>
        <v/>
      </c>
      <c r="P4338" s="16">
        <f t="shared" si="4"/>
        <v>1</v>
      </c>
    </row>
    <row r="4339" ht="15.75" customHeight="1">
      <c r="A4339" s="14">
        <v>42599.0</v>
      </c>
      <c r="B4339" s="15">
        <v>0.74</v>
      </c>
      <c r="C4339" s="15">
        <v>1.96</v>
      </c>
      <c r="D4339" s="15">
        <v>1.75</v>
      </c>
      <c r="E4339" s="15">
        <v>1.77</v>
      </c>
      <c r="F4339" s="15">
        <f t="shared" si="1"/>
        <v>1.22</v>
      </c>
      <c r="G4339" s="15">
        <f t="shared" si="2"/>
        <v>1.96</v>
      </c>
      <c r="H4339" s="16">
        <v>0.0</v>
      </c>
      <c r="I4339" s="15">
        <f t="shared" si="3"/>
        <v>1.22</v>
      </c>
      <c r="J4339" s="15">
        <v>12.19</v>
      </c>
      <c r="K4339" s="16">
        <f>IF(COUNTIFS(Release_Calendar!$A$2:$A$755,"US_CPI",Release_Calendar!$B$2:$B$755,$A4339)&gt;0,1,0)</f>
        <v>0</v>
      </c>
      <c r="L4339" s="16">
        <f>IF(COUNTIFS(Release_Calendar!$A$2:$A$755,"US_NFP",Release_Calendar!$B$2:$B$755,$A4339)&gt;0,1,0)</f>
        <v>0</v>
      </c>
      <c r="M4339" s="16" t="str">
        <f>IF($A4339&lt;Notes!$B$5,"",IF(COUNTIFS(Release_Calendar!$A$2:$A$755,"NZ_CPI",Release_Calendar!$B$2:$B$755,$A4339)&gt;0,1,0))</f>
        <v/>
      </c>
      <c r="N4339" s="16" t="str">
        <f>IF($A4339&lt;Notes!$B$5,"",IF(COUNTIFS(Release_Calendar!$A$2:$A$755,"NZ_GDP",Release_Calendar!$B$2:$B$755,$A4339)&gt;0,1,0))</f>
        <v/>
      </c>
      <c r="O4339" s="16" t="str">
        <f>IF($A4339&lt;Notes!$B$5,"",IF(COUNTIFS(Release_Calendar!$A$2:$A$755,"NZ_LABOUR",Release_Calendar!$B$2:$B$755,$A4339)&gt;0,1,0))</f>
        <v/>
      </c>
      <c r="P4339" s="16">
        <f t="shared" si="4"/>
        <v>0</v>
      </c>
    </row>
    <row r="4340" ht="15.75" customHeight="1">
      <c r="A4340" s="14">
        <v>42600.0</v>
      </c>
      <c r="B4340" s="15">
        <v>0.71</v>
      </c>
      <c r="C4340" s="15">
        <v>1.94</v>
      </c>
      <c r="D4340" s="15">
        <v>1.76</v>
      </c>
      <c r="E4340" s="15">
        <v>1.74</v>
      </c>
      <c r="F4340" s="15">
        <f t="shared" si="1"/>
        <v>1.23</v>
      </c>
      <c r="G4340" s="15">
        <f t="shared" si="2"/>
        <v>1.94</v>
      </c>
      <c r="H4340" s="16">
        <v>0.0</v>
      </c>
      <c r="I4340" s="15">
        <f t="shared" si="3"/>
        <v>1.23</v>
      </c>
      <c r="J4340" s="15">
        <v>11.43</v>
      </c>
      <c r="K4340" s="16">
        <f>IF(COUNTIFS(Release_Calendar!$A$2:$A$755,"US_CPI",Release_Calendar!$B$2:$B$755,$A4340)&gt;0,1,0)</f>
        <v>0</v>
      </c>
      <c r="L4340" s="16">
        <f>IF(COUNTIFS(Release_Calendar!$A$2:$A$755,"US_NFP",Release_Calendar!$B$2:$B$755,$A4340)&gt;0,1,0)</f>
        <v>0</v>
      </c>
      <c r="M4340" s="16" t="str">
        <f>IF($A4340&lt;Notes!$B$5,"",IF(COUNTIFS(Release_Calendar!$A$2:$A$755,"NZ_CPI",Release_Calendar!$B$2:$B$755,$A4340)&gt;0,1,0))</f>
        <v/>
      </c>
      <c r="N4340" s="16" t="str">
        <f>IF($A4340&lt;Notes!$B$5,"",IF(COUNTIFS(Release_Calendar!$A$2:$A$755,"NZ_GDP",Release_Calendar!$B$2:$B$755,$A4340)&gt;0,1,0))</f>
        <v/>
      </c>
      <c r="O4340" s="16" t="str">
        <f>IF($A4340&lt;Notes!$B$5,"",IF(COUNTIFS(Release_Calendar!$A$2:$A$755,"NZ_LABOUR",Release_Calendar!$B$2:$B$755,$A4340)&gt;0,1,0))</f>
        <v/>
      </c>
      <c r="P4340" s="16">
        <f t="shared" si="4"/>
        <v>0</v>
      </c>
    </row>
    <row r="4341" ht="15.75" customHeight="1">
      <c r="A4341" s="14">
        <v>42601.0</v>
      </c>
      <c r="B4341" s="15">
        <v>0.76</v>
      </c>
      <c r="C4341" s="15">
        <v>1.97</v>
      </c>
      <c r="D4341" s="15">
        <v>1.74</v>
      </c>
      <c r="E4341" s="15">
        <v>1.77</v>
      </c>
      <c r="F4341" s="15">
        <f t="shared" si="1"/>
        <v>1.21</v>
      </c>
      <c r="G4341" s="15">
        <f t="shared" si="2"/>
        <v>1.97</v>
      </c>
      <c r="H4341" s="16">
        <v>0.0</v>
      </c>
      <c r="I4341" s="15">
        <f t="shared" si="3"/>
        <v>1.21</v>
      </c>
      <c r="J4341" s="15">
        <v>11.34</v>
      </c>
      <c r="K4341" s="16">
        <f>IF(COUNTIFS(Release_Calendar!$A$2:$A$755,"US_CPI",Release_Calendar!$B$2:$B$755,$A4341)&gt;0,1,0)</f>
        <v>0</v>
      </c>
      <c r="L4341" s="16">
        <f>IF(COUNTIFS(Release_Calendar!$A$2:$A$755,"US_NFP",Release_Calendar!$B$2:$B$755,$A4341)&gt;0,1,0)</f>
        <v>0</v>
      </c>
      <c r="M4341" s="16" t="str">
        <f>IF($A4341&lt;Notes!$B$5,"",IF(COUNTIFS(Release_Calendar!$A$2:$A$755,"NZ_CPI",Release_Calendar!$B$2:$B$755,$A4341)&gt;0,1,0))</f>
        <v/>
      </c>
      <c r="N4341" s="16" t="str">
        <f>IF($A4341&lt;Notes!$B$5,"",IF(COUNTIFS(Release_Calendar!$A$2:$A$755,"NZ_GDP",Release_Calendar!$B$2:$B$755,$A4341)&gt;0,1,0))</f>
        <v/>
      </c>
      <c r="O4341" s="16" t="str">
        <f>IF($A4341&lt;Notes!$B$5,"",IF(COUNTIFS(Release_Calendar!$A$2:$A$755,"NZ_LABOUR",Release_Calendar!$B$2:$B$755,$A4341)&gt;0,1,0))</f>
        <v/>
      </c>
      <c r="P4341" s="16">
        <f t="shared" si="4"/>
        <v>0</v>
      </c>
    </row>
    <row r="4342" ht="15.75" customHeight="1">
      <c r="A4342" s="14">
        <v>42604.0</v>
      </c>
      <c r="B4342" s="15">
        <v>0.76</v>
      </c>
      <c r="C4342" s="15">
        <v>2.0</v>
      </c>
      <c r="D4342" s="15">
        <v>1.79</v>
      </c>
      <c r="E4342" s="15">
        <v>1.79</v>
      </c>
      <c r="F4342" s="15">
        <f t="shared" si="1"/>
        <v>1.24</v>
      </c>
      <c r="G4342" s="15">
        <f t="shared" si="2"/>
        <v>2</v>
      </c>
      <c r="H4342" s="16">
        <v>0.0</v>
      </c>
      <c r="I4342" s="15">
        <f t="shared" si="3"/>
        <v>1.24</v>
      </c>
      <c r="J4342" s="15">
        <v>12.27</v>
      </c>
      <c r="K4342" s="16">
        <f>IF(COUNTIFS(Release_Calendar!$A$2:$A$755,"US_CPI",Release_Calendar!$B$2:$B$755,$A4342)&gt;0,1,0)</f>
        <v>0</v>
      </c>
      <c r="L4342" s="16">
        <f>IF(COUNTIFS(Release_Calendar!$A$2:$A$755,"US_NFP",Release_Calendar!$B$2:$B$755,$A4342)&gt;0,1,0)</f>
        <v>0</v>
      </c>
      <c r="M4342" s="16" t="str">
        <f>IF($A4342&lt;Notes!$B$5,"",IF(COUNTIFS(Release_Calendar!$A$2:$A$755,"NZ_CPI",Release_Calendar!$B$2:$B$755,$A4342)&gt;0,1,0))</f>
        <v/>
      </c>
      <c r="N4342" s="16" t="str">
        <f>IF($A4342&lt;Notes!$B$5,"",IF(COUNTIFS(Release_Calendar!$A$2:$A$755,"NZ_GDP",Release_Calendar!$B$2:$B$755,$A4342)&gt;0,1,0))</f>
        <v/>
      </c>
      <c r="O4342" s="16" t="str">
        <f>IF($A4342&lt;Notes!$B$5,"",IF(COUNTIFS(Release_Calendar!$A$2:$A$755,"NZ_LABOUR",Release_Calendar!$B$2:$B$755,$A4342)&gt;0,1,0))</f>
        <v/>
      </c>
      <c r="P4342" s="16">
        <f t="shared" si="4"/>
        <v>0</v>
      </c>
    </row>
    <row r="4343" ht="15.75" customHeight="1">
      <c r="A4343" s="14">
        <v>42605.0</v>
      </c>
      <c r="B4343" s="15">
        <v>0.74</v>
      </c>
      <c r="C4343" s="15">
        <v>1.98</v>
      </c>
      <c r="D4343" s="15">
        <v>1.78</v>
      </c>
      <c r="E4343" s="15">
        <v>1.77</v>
      </c>
      <c r="F4343" s="15">
        <f t="shared" si="1"/>
        <v>1.24</v>
      </c>
      <c r="G4343" s="15">
        <f t="shared" si="2"/>
        <v>1.98</v>
      </c>
      <c r="H4343" s="16">
        <v>0.0</v>
      </c>
      <c r="I4343" s="15">
        <f t="shared" si="3"/>
        <v>1.24</v>
      </c>
      <c r="J4343" s="15">
        <v>12.38</v>
      </c>
      <c r="K4343" s="16">
        <f>IF(COUNTIFS(Release_Calendar!$A$2:$A$755,"US_CPI",Release_Calendar!$B$2:$B$755,$A4343)&gt;0,1,0)</f>
        <v>0</v>
      </c>
      <c r="L4343" s="16">
        <f>IF(COUNTIFS(Release_Calendar!$A$2:$A$755,"US_NFP",Release_Calendar!$B$2:$B$755,$A4343)&gt;0,1,0)</f>
        <v>0</v>
      </c>
      <c r="M4343" s="16" t="str">
        <f>IF($A4343&lt;Notes!$B$5,"",IF(COUNTIFS(Release_Calendar!$A$2:$A$755,"NZ_CPI",Release_Calendar!$B$2:$B$755,$A4343)&gt;0,1,0))</f>
        <v/>
      </c>
      <c r="N4343" s="16" t="str">
        <f>IF($A4343&lt;Notes!$B$5,"",IF(COUNTIFS(Release_Calendar!$A$2:$A$755,"NZ_GDP",Release_Calendar!$B$2:$B$755,$A4343)&gt;0,1,0))</f>
        <v/>
      </c>
      <c r="O4343" s="16" t="str">
        <f>IF($A4343&lt;Notes!$B$5,"",IF(COUNTIFS(Release_Calendar!$A$2:$A$755,"NZ_LABOUR",Release_Calendar!$B$2:$B$755,$A4343)&gt;0,1,0))</f>
        <v/>
      </c>
      <c r="P4343" s="16">
        <f t="shared" si="4"/>
        <v>0</v>
      </c>
    </row>
    <row r="4344" ht="15.75" customHeight="1">
      <c r="A4344" s="14">
        <v>42606.0</v>
      </c>
      <c r="B4344" s="15">
        <v>0.76</v>
      </c>
      <c r="C4344" s="15">
        <v>1.98</v>
      </c>
      <c r="D4344" s="15">
        <v>1.75</v>
      </c>
      <c r="E4344" s="15">
        <v>1.77</v>
      </c>
      <c r="F4344" s="15">
        <f t="shared" si="1"/>
        <v>1.22</v>
      </c>
      <c r="G4344" s="15">
        <f t="shared" si="2"/>
        <v>1.98</v>
      </c>
      <c r="H4344" s="16">
        <v>0.0</v>
      </c>
      <c r="I4344" s="15">
        <f t="shared" si="3"/>
        <v>1.22</v>
      </c>
      <c r="J4344" s="15">
        <v>13.45</v>
      </c>
      <c r="K4344" s="16">
        <f>IF(COUNTIFS(Release_Calendar!$A$2:$A$755,"US_CPI",Release_Calendar!$B$2:$B$755,$A4344)&gt;0,1,0)</f>
        <v>0</v>
      </c>
      <c r="L4344" s="16">
        <f>IF(COUNTIFS(Release_Calendar!$A$2:$A$755,"US_NFP",Release_Calendar!$B$2:$B$755,$A4344)&gt;0,1,0)</f>
        <v>0</v>
      </c>
      <c r="M4344" s="16" t="str">
        <f>IF($A4344&lt;Notes!$B$5,"",IF(COUNTIFS(Release_Calendar!$A$2:$A$755,"NZ_CPI",Release_Calendar!$B$2:$B$755,$A4344)&gt;0,1,0))</f>
        <v/>
      </c>
      <c r="N4344" s="16" t="str">
        <f>IF($A4344&lt;Notes!$B$5,"",IF(COUNTIFS(Release_Calendar!$A$2:$A$755,"NZ_GDP",Release_Calendar!$B$2:$B$755,$A4344)&gt;0,1,0))</f>
        <v/>
      </c>
      <c r="O4344" s="16" t="str">
        <f>IF($A4344&lt;Notes!$B$5,"",IF(COUNTIFS(Release_Calendar!$A$2:$A$755,"NZ_LABOUR",Release_Calendar!$B$2:$B$755,$A4344)&gt;0,1,0))</f>
        <v/>
      </c>
      <c r="P4344" s="16">
        <f t="shared" si="4"/>
        <v>0</v>
      </c>
    </row>
    <row r="4345" ht="15.75" customHeight="1">
      <c r="A4345" s="14">
        <v>42607.0</v>
      </c>
      <c r="B4345" s="15">
        <v>0.78</v>
      </c>
      <c r="C4345" s="15">
        <v>1.96</v>
      </c>
      <c r="D4345" s="15">
        <v>1.81</v>
      </c>
      <c r="E4345" s="15">
        <v>1.79</v>
      </c>
      <c r="F4345" s="15">
        <f t="shared" si="1"/>
        <v>1.18</v>
      </c>
      <c r="G4345" s="15">
        <f t="shared" si="2"/>
        <v>1.96</v>
      </c>
      <c r="H4345" s="16">
        <v>0.0</v>
      </c>
      <c r="I4345" s="15">
        <f t="shared" si="3"/>
        <v>1.18</v>
      </c>
      <c r="J4345" s="15">
        <v>13.63</v>
      </c>
      <c r="K4345" s="16">
        <f>IF(COUNTIFS(Release_Calendar!$A$2:$A$755,"US_CPI",Release_Calendar!$B$2:$B$755,$A4345)&gt;0,1,0)</f>
        <v>0</v>
      </c>
      <c r="L4345" s="16">
        <f>IF(COUNTIFS(Release_Calendar!$A$2:$A$755,"US_NFP",Release_Calendar!$B$2:$B$755,$A4345)&gt;0,1,0)</f>
        <v>0</v>
      </c>
      <c r="M4345" s="16" t="str">
        <f>IF($A4345&lt;Notes!$B$5,"",IF(COUNTIFS(Release_Calendar!$A$2:$A$755,"NZ_CPI",Release_Calendar!$B$2:$B$755,$A4345)&gt;0,1,0))</f>
        <v/>
      </c>
      <c r="N4345" s="16" t="str">
        <f>IF($A4345&lt;Notes!$B$5,"",IF(COUNTIFS(Release_Calendar!$A$2:$A$755,"NZ_GDP",Release_Calendar!$B$2:$B$755,$A4345)&gt;0,1,0))</f>
        <v/>
      </c>
      <c r="O4345" s="16" t="str">
        <f>IF($A4345&lt;Notes!$B$5,"",IF(COUNTIFS(Release_Calendar!$A$2:$A$755,"NZ_LABOUR",Release_Calendar!$B$2:$B$755,$A4345)&gt;0,1,0))</f>
        <v/>
      </c>
      <c r="P4345" s="16">
        <f t="shared" si="4"/>
        <v>0</v>
      </c>
    </row>
    <row r="4346" ht="15.75" customHeight="1">
      <c r="A4346" s="14">
        <v>42608.0</v>
      </c>
      <c r="B4346" s="15">
        <v>0.84</v>
      </c>
      <c r="C4346" s="15">
        <v>1.96</v>
      </c>
      <c r="D4346" s="15">
        <v>1.8</v>
      </c>
      <c r="E4346" s="15">
        <v>1.79</v>
      </c>
      <c r="F4346" s="15">
        <f t="shared" si="1"/>
        <v>1.12</v>
      </c>
      <c r="G4346" s="15">
        <f t="shared" si="2"/>
        <v>1.96</v>
      </c>
      <c r="H4346" s="16">
        <v>0.0</v>
      </c>
      <c r="I4346" s="15">
        <f t="shared" si="3"/>
        <v>1.12</v>
      </c>
      <c r="J4346" s="15">
        <v>13.65</v>
      </c>
      <c r="K4346" s="16">
        <f>IF(COUNTIFS(Release_Calendar!$A$2:$A$755,"US_CPI",Release_Calendar!$B$2:$B$755,$A4346)&gt;0,1,0)</f>
        <v>0</v>
      </c>
      <c r="L4346" s="16">
        <f>IF(COUNTIFS(Release_Calendar!$A$2:$A$755,"US_NFP",Release_Calendar!$B$2:$B$755,$A4346)&gt;0,1,0)</f>
        <v>0</v>
      </c>
      <c r="M4346" s="16" t="str">
        <f>IF($A4346&lt;Notes!$B$5,"",IF(COUNTIFS(Release_Calendar!$A$2:$A$755,"NZ_CPI",Release_Calendar!$B$2:$B$755,$A4346)&gt;0,1,0))</f>
        <v/>
      </c>
      <c r="N4346" s="16" t="str">
        <f>IF($A4346&lt;Notes!$B$5,"",IF(COUNTIFS(Release_Calendar!$A$2:$A$755,"NZ_GDP",Release_Calendar!$B$2:$B$755,$A4346)&gt;0,1,0))</f>
        <v/>
      </c>
      <c r="O4346" s="16" t="str">
        <f>IF($A4346&lt;Notes!$B$5,"",IF(COUNTIFS(Release_Calendar!$A$2:$A$755,"NZ_LABOUR",Release_Calendar!$B$2:$B$755,$A4346)&gt;0,1,0))</f>
        <v/>
      </c>
      <c r="P4346" s="16">
        <f t="shared" si="4"/>
        <v>0</v>
      </c>
    </row>
    <row r="4347" ht="15.75" customHeight="1">
      <c r="A4347" s="14">
        <v>42611.0</v>
      </c>
      <c r="B4347" s="15">
        <v>0.81</v>
      </c>
      <c r="C4347" s="15">
        <v>1.97</v>
      </c>
      <c r="D4347" s="15">
        <v>1.82</v>
      </c>
      <c r="E4347" s="15">
        <v>1.81</v>
      </c>
      <c r="F4347" s="15">
        <f t="shared" si="1"/>
        <v>1.16</v>
      </c>
      <c r="G4347" s="15">
        <f t="shared" si="2"/>
        <v>1.97</v>
      </c>
      <c r="H4347" s="16">
        <v>0.0</v>
      </c>
      <c r="I4347" s="15">
        <f t="shared" si="3"/>
        <v>1.16</v>
      </c>
      <c r="J4347" s="15">
        <v>12.94</v>
      </c>
      <c r="K4347" s="16">
        <f>IF(COUNTIFS(Release_Calendar!$A$2:$A$755,"US_CPI",Release_Calendar!$B$2:$B$755,$A4347)&gt;0,1,0)</f>
        <v>0</v>
      </c>
      <c r="L4347" s="16">
        <f>IF(COUNTIFS(Release_Calendar!$A$2:$A$755,"US_NFP",Release_Calendar!$B$2:$B$755,$A4347)&gt;0,1,0)</f>
        <v>0</v>
      </c>
      <c r="M4347" s="16" t="str">
        <f>IF($A4347&lt;Notes!$B$5,"",IF(COUNTIFS(Release_Calendar!$A$2:$A$755,"NZ_CPI",Release_Calendar!$B$2:$B$755,$A4347)&gt;0,1,0))</f>
        <v/>
      </c>
      <c r="N4347" s="16" t="str">
        <f>IF($A4347&lt;Notes!$B$5,"",IF(COUNTIFS(Release_Calendar!$A$2:$A$755,"NZ_GDP",Release_Calendar!$B$2:$B$755,$A4347)&gt;0,1,0))</f>
        <v/>
      </c>
      <c r="O4347" s="16" t="str">
        <f>IF($A4347&lt;Notes!$B$5,"",IF(COUNTIFS(Release_Calendar!$A$2:$A$755,"NZ_LABOUR",Release_Calendar!$B$2:$B$755,$A4347)&gt;0,1,0))</f>
        <v/>
      </c>
      <c r="P4347" s="16">
        <f t="shared" si="4"/>
        <v>0</v>
      </c>
    </row>
    <row r="4348" ht="15.75" customHeight="1">
      <c r="A4348" s="14">
        <v>42612.0</v>
      </c>
      <c r="B4348" s="15">
        <v>0.8</v>
      </c>
      <c r="C4348" s="15">
        <v>1.97</v>
      </c>
      <c r="D4348" s="15">
        <v>1.79</v>
      </c>
      <c r="E4348" s="15">
        <v>1.82</v>
      </c>
      <c r="F4348" s="15">
        <f t="shared" si="1"/>
        <v>1.17</v>
      </c>
      <c r="G4348" s="15">
        <f t="shared" si="2"/>
        <v>1.97</v>
      </c>
      <c r="H4348" s="16">
        <v>0.0</v>
      </c>
      <c r="I4348" s="15">
        <f t="shared" si="3"/>
        <v>1.17</v>
      </c>
      <c r="J4348" s="15">
        <v>13.12</v>
      </c>
      <c r="K4348" s="16">
        <f>IF(COUNTIFS(Release_Calendar!$A$2:$A$755,"US_CPI",Release_Calendar!$B$2:$B$755,$A4348)&gt;0,1,0)</f>
        <v>0</v>
      </c>
      <c r="L4348" s="16">
        <f>IF(COUNTIFS(Release_Calendar!$A$2:$A$755,"US_NFP",Release_Calendar!$B$2:$B$755,$A4348)&gt;0,1,0)</f>
        <v>0</v>
      </c>
      <c r="M4348" s="16" t="str">
        <f>IF($A4348&lt;Notes!$B$5,"",IF(COUNTIFS(Release_Calendar!$A$2:$A$755,"NZ_CPI",Release_Calendar!$B$2:$B$755,$A4348)&gt;0,1,0))</f>
        <v/>
      </c>
      <c r="N4348" s="16" t="str">
        <f>IF($A4348&lt;Notes!$B$5,"",IF(COUNTIFS(Release_Calendar!$A$2:$A$755,"NZ_GDP",Release_Calendar!$B$2:$B$755,$A4348)&gt;0,1,0))</f>
        <v/>
      </c>
      <c r="O4348" s="16" t="str">
        <f>IF($A4348&lt;Notes!$B$5,"",IF(COUNTIFS(Release_Calendar!$A$2:$A$755,"NZ_LABOUR",Release_Calendar!$B$2:$B$755,$A4348)&gt;0,1,0))</f>
        <v/>
      </c>
      <c r="P4348" s="16">
        <f t="shared" si="4"/>
        <v>0</v>
      </c>
    </row>
    <row r="4349" ht="15.75" customHeight="1">
      <c r="A4349" s="14">
        <v>42613.0</v>
      </c>
      <c r="B4349" s="15">
        <v>0.8</v>
      </c>
      <c r="C4349" s="15">
        <v>1.99</v>
      </c>
      <c r="D4349" s="15">
        <v>1.82</v>
      </c>
      <c r="E4349" s="15">
        <v>1.81</v>
      </c>
      <c r="F4349" s="15">
        <f t="shared" si="1"/>
        <v>1.19</v>
      </c>
      <c r="G4349" s="15">
        <f t="shared" si="2"/>
        <v>1.99</v>
      </c>
      <c r="H4349" s="16">
        <v>0.0</v>
      </c>
      <c r="I4349" s="15">
        <f t="shared" si="3"/>
        <v>1.19</v>
      </c>
      <c r="J4349" s="15">
        <v>13.42</v>
      </c>
      <c r="K4349" s="16">
        <f>IF(COUNTIFS(Release_Calendar!$A$2:$A$755,"US_CPI",Release_Calendar!$B$2:$B$755,$A4349)&gt;0,1,0)</f>
        <v>0</v>
      </c>
      <c r="L4349" s="16">
        <f>IF(COUNTIFS(Release_Calendar!$A$2:$A$755,"US_NFP",Release_Calendar!$B$2:$B$755,$A4349)&gt;0,1,0)</f>
        <v>0</v>
      </c>
      <c r="M4349" s="16" t="str">
        <f>IF($A4349&lt;Notes!$B$5,"",IF(COUNTIFS(Release_Calendar!$A$2:$A$755,"NZ_CPI",Release_Calendar!$B$2:$B$755,$A4349)&gt;0,1,0))</f>
        <v/>
      </c>
      <c r="N4349" s="16" t="str">
        <f>IF($A4349&lt;Notes!$B$5,"",IF(COUNTIFS(Release_Calendar!$A$2:$A$755,"NZ_GDP",Release_Calendar!$B$2:$B$755,$A4349)&gt;0,1,0))</f>
        <v/>
      </c>
      <c r="O4349" s="16" t="str">
        <f>IF($A4349&lt;Notes!$B$5,"",IF(COUNTIFS(Release_Calendar!$A$2:$A$755,"NZ_LABOUR",Release_Calendar!$B$2:$B$755,$A4349)&gt;0,1,0))</f>
        <v/>
      </c>
      <c r="P4349" s="16">
        <f t="shared" si="4"/>
        <v>0</v>
      </c>
    </row>
    <row r="4350" ht="15.75" customHeight="1">
      <c r="A4350" s="14">
        <v>42614.0</v>
      </c>
      <c r="B4350" s="15">
        <v>0.78</v>
      </c>
      <c r="C4350" s="15">
        <v>2.0</v>
      </c>
      <c r="D4350" s="15">
        <v>1.81</v>
      </c>
      <c r="E4350" s="15">
        <v>1.83</v>
      </c>
      <c r="F4350" s="15">
        <f t="shared" si="1"/>
        <v>1.22</v>
      </c>
      <c r="G4350" s="15">
        <f t="shared" si="2"/>
        <v>2</v>
      </c>
      <c r="H4350" s="16">
        <v>0.0</v>
      </c>
      <c r="I4350" s="15">
        <f t="shared" si="3"/>
        <v>1.22</v>
      </c>
      <c r="J4350" s="15">
        <v>13.48</v>
      </c>
      <c r="K4350" s="16">
        <f>IF(COUNTIFS(Release_Calendar!$A$2:$A$755,"US_CPI",Release_Calendar!$B$2:$B$755,$A4350)&gt;0,1,0)</f>
        <v>0</v>
      </c>
      <c r="L4350" s="16">
        <f>IF(COUNTIFS(Release_Calendar!$A$2:$A$755,"US_NFP",Release_Calendar!$B$2:$B$755,$A4350)&gt;0,1,0)</f>
        <v>0</v>
      </c>
      <c r="M4350" s="16" t="str">
        <f>IF($A4350&lt;Notes!$B$5,"",IF(COUNTIFS(Release_Calendar!$A$2:$A$755,"NZ_CPI",Release_Calendar!$B$2:$B$755,$A4350)&gt;0,1,0))</f>
        <v/>
      </c>
      <c r="N4350" s="16" t="str">
        <f>IF($A4350&lt;Notes!$B$5,"",IF(COUNTIFS(Release_Calendar!$A$2:$A$755,"NZ_GDP",Release_Calendar!$B$2:$B$755,$A4350)&gt;0,1,0))</f>
        <v/>
      </c>
      <c r="O4350" s="16" t="str">
        <f>IF($A4350&lt;Notes!$B$5,"",IF(COUNTIFS(Release_Calendar!$A$2:$A$755,"NZ_LABOUR",Release_Calendar!$B$2:$B$755,$A4350)&gt;0,1,0))</f>
        <v/>
      </c>
      <c r="P4350" s="16">
        <f t="shared" si="4"/>
        <v>0</v>
      </c>
    </row>
    <row r="4351" ht="15.75" customHeight="1">
      <c r="A4351" s="14">
        <v>42615.0</v>
      </c>
      <c r="B4351" s="15">
        <v>0.8</v>
      </c>
      <c r="C4351" s="15">
        <v>2.0</v>
      </c>
      <c r="D4351" s="15">
        <v>1.84</v>
      </c>
      <c r="E4351" s="15">
        <v>1.84</v>
      </c>
      <c r="F4351" s="15">
        <f t="shared" si="1"/>
        <v>1.2</v>
      </c>
      <c r="G4351" s="15">
        <f t="shared" si="2"/>
        <v>2</v>
      </c>
      <c r="H4351" s="16">
        <v>0.0</v>
      </c>
      <c r="I4351" s="15">
        <f t="shared" si="3"/>
        <v>1.2</v>
      </c>
      <c r="J4351" s="15">
        <v>11.98</v>
      </c>
      <c r="K4351" s="16">
        <f>IF(COUNTIFS(Release_Calendar!$A$2:$A$755,"US_CPI",Release_Calendar!$B$2:$B$755,$A4351)&gt;0,1,0)</f>
        <v>0</v>
      </c>
      <c r="L4351" s="16">
        <f>IF(COUNTIFS(Release_Calendar!$A$2:$A$755,"US_NFP",Release_Calendar!$B$2:$B$755,$A4351)&gt;0,1,0)</f>
        <v>1</v>
      </c>
      <c r="M4351" s="16" t="str">
        <f>IF($A4351&lt;Notes!$B$5,"",IF(COUNTIFS(Release_Calendar!$A$2:$A$755,"NZ_CPI",Release_Calendar!$B$2:$B$755,$A4351)&gt;0,1,0))</f>
        <v/>
      </c>
      <c r="N4351" s="16" t="str">
        <f>IF($A4351&lt;Notes!$B$5,"",IF(COUNTIFS(Release_Calendar!$A$2:$A$755,"NZ_GDP",Release_Calendar!$B$2:$B$755,$A4351)&gt;0,1,0))</f>
        <v/>
      </c>
      <c r="O4351" s="16" t="str">
        <f>IF($A4351&lt;Notes!$B$5,"",IF(COUNTIFS(Release_Calendar!$A$2:$A$755,"NZ_LABOUR",Release_Calendar!$B$2:$B$755,$A4351)&gt;0,1,0))</f>
        <v/>
      </c>
      <c r="P4351" s="16">
        <f t="shared" si="4"/>
        <v>1</v>
      </c>
    </row>
    <row r="4352" ht="15.75" customHeight="1">
      <c r="A4352" s="14">
        <v>42618.0</v>
      </c>
      <c r="B4352" s="15"/>
      <c r="C4352" s="15">
        <v>2.01</v>
      </c>
      <c r="D4352" s="15">
        <v>1.85</v>
      </c>
      <c r="E4352" s="15">
        <v>1.85</v>
      </c>
      <c r="F4352" s="15" t="str">
        <f t="shared" si="1"/>
        <v/>
      </c>
      <c r="G4352" s="15">
        <f t="shared" si="2"/>
        <v>2.01</v>
      </c>
      <c r="H4352" s="16">
        <v>0.0</v>
      </c>
      <c r="I4352" s="15" t="str">
        <f t="shared" si="3"/>
        <v/>
      </c>
      <c r="J4352" s="15"/>
      <c r="K4352" s="16">
        <f>IF(COUNTIFS(Release_Calendar!$A$2:$A$755,"US_CPI",Release_Calendar!$B$2:$B$755,$A4352)&gt;0,1,0)</f>
        <v>0</v>
      </c>
      <c r="L4352" s="16">
        <f>IF(COUNTIFS(Release_Calendar!$A$2:$A$755,"US_NFP",Release_Calendar!$B$2:$B$755,$A4352)&gt;0,1,0)</f>
        <v>0</v>
      </c>
      <c r="M4352" s="16" t="str">
        <f>IF($A4352&lt;Notes!$B$5,"",IF(COUNTIFS(Release_Calendar!$A$2:$A$755,"NZ_CPI",Release_Calendar!$B$2:$B$755,$A4352)&gt;0,1,0))</f>
        <v/>
      </c>
      <c r="N4352" s="16" t="str">
        <f>IF($A4352&lt;Notes!$B$5,"",IF(COUNTIFS(Release_Calendar!$A$2:$A$755,"NZ_GDP",Release_Calendar!$B$2:$B$755,$A4352)&gt;0,1,0))</f>
        <v/>
      </c>
      <c r="O4352" s="16" t="str">
        <f>IF($A4352&lt;Notes!$B$5,"",IF(COUNTIFS(Release_Calendar!$A$2:$A$755,"NZ_LABOUR",Release_Calendar!$B$2:$B$755,$A4352)&gt;0,1,0))</f>
        <v/>
      </c>
      <c r="P4352" s="16">
        <f t="shared" si="4"/>
        <v>0</v>
      </c>
    </row>
    <row r="4353" ht="15.75" customHeight="1">
      <c r="A4353" s="14">
        <v>42619.0</v>
      </c>
      <c r="B4353" s="15">
        <v>0.74</v>
      </c>
      <c r="C4353" s="15">
        <v>2.01</v>
      </c>
      <c r="D4353" s="15">
        <v>1.84</v>
      </c>
      <c r="E4353" s="15">
        <v>1.84</v>
      </c>
      <c r="F4353" s="15">
        <f t="shared" si="1"/>
        <v>1.27</v>
      </c>
      <c r="G4353" s="15">
        <f t="shared" si="2"/>
        <v>2.01</v>
      </c>
      <c r="H4353" s="16">
        <v>0.0</v>
      </c>
      <c r="I4353" s="15">
        <f t="shared" si="3"/>
        <v>1.27</v>
      </c>
      <c r="J4353" s="15">
        <v>12.02</v>
      </c>
      <c r="K4353" s="16">
        <f>IF(COUNTIFS(Release_Calendar!$A$2:$A$755,"US_CPI",Release_Calendar!$B$2:$B$755,$A4353)&gt;0,1,0)</f>
        <v>0</v>
      </c>
      <c r="L4353" s="16">
        <f>IF(COUNTIFS(Release_Calendar!$A$2:$A$755,"US_NFP",Release_Calendar!$B$2:$B$755,$A4353)&gt;0,1,0)</f>
        <v>0</v>
      </c>
      <c r="M4353" s="16" t="str">
        <f>IF($A4353&lt;Notes!$B$5,"",IF(COUNTIFS(Release_Calendar!$A$2:$A$755,"NZ_CPI",Release_Calendar!$B$2:$B$755,$A4353)&gt;0,1,0))</f>
        <v/>
      </c>
      <c r="N4353" s="16" t="str">
        <f>IF($A4353&lt;Notes!$B$5,"",IF(COUNTIFS(Release_Calendar!$A$2:$A$755,"NZ_GDP",Release_Calendar!$B$2:$B$755,$A4353)&gt;0,1,0))</f>
        <v/>
      </c>
      <c r="O4353" s="16" t="str">
        <f>IF($A4353&lt;Notes!$B$5,"",IF(COUNTIFS(Release_Calendar!$A$2:$A$755,"NZ_LABOUR",Release_Calendar!$B$2:$B$755,$A4353)&gt;0,1,0))</f>
        <v/>
      </c>
      <c r="P4353" s="16">
        <f t="shared" si="4"/>
        <v>0</v>
      </c>
    </row>
    <row r="4354" ht="15.75" customHeight="1">
      <c r="A4354" s="14">
        <v>42620.0</v>
      </c>
      <c r="B4354" s="15">
        <v>0.74</v>
      </c>
      <c r="C4354" s="15">
        <v>1.98</v>
      </c>
      <c r="D4354" s="15">
        <v>1.82</v>
      </c>
      <c r="E4354" s="15">
        <v>1.82</v>
      </c>
      <c r="F4354" s="15">
        <f t="shared" si="1"/>
        <v>1.24</v>
      </c>
      <c r="G4354" s="15">
        <f t="shared" si="2"/>
        <v>1.98</v>
      </c>
      <c r="H4354" s="16">
        <v>0.0</v>
      </c>
      <c r="I4354" s="15">
        <f t="shared" si="3"/>
        <v>1.24</v>
      </c>
      <c r="J4354" s="15">
        <v>11.94</v>
      </c>
      <c r="K4354" s="16">
        <f>IF(COUNTIFS(Release_Calendar!$A$2:$A$755,"US_CPI",Release_Calendar!$B$2:$B$755,$A4354)&gt;0,1,0)</f>
        <v>0</v>
      </c>
      <c r="L4354" s="16">
        <f>IF(COUNTIFS(Release_Calendar!$A$2:$A$755,"US_NFP",Release_Calendar!$B$2:$B$755,$A4354)&gt;0,1,0)</f>
        <v>0</v>
      </c>
      <c r="M4354" s="16" t="str">
        <f>IF($A4354&lt;Notes!$B$5,"",IF(COUNTIFS(Release_Calendar!$A$2:$A$755,"NZ_CPI",Release_Calendar!$B$2:$B$755,$A4354)&gt;0,1,0))</f>
        <v/>
      </c>
      <c r="N4354" s="16" t="str">
        <f>IF($A4354&lt;Notes!$B$5,"",IF(COUNTIFS(Release_Calendar!$A$2:$A$755,"NZ_GDP",Release_Calendar!$B$2:$B$755,$A4354)&gt;0,1,0))</f>
        <v/>
      </c>
      <c r="O4354" s="16" t="str">
        <f>IF($A4354&lt;Notes!$B$5,"",IF(COUNTIFS(Release_Calendar!$A$2:$A$755,"NZ_LABOUR",Release_Calendar!$B$2:$B$755,$A4354)&gt;0,1,0))</f>
        <v/>
      </c>
      <c r="P4354" s="16">
        <f t="shared" si="4"/>
        <v>0</v>
      </c>
    </row>
    <row r="4355" ht="15.75" customHeight="1">
      <c r="A4355" s="14">
        <v>42621.0</v>
      </c>
      <c r="B4355" s="15">
        <v>0.78</v>
      </c>
      <c r="C4355" s="15">
        <v>1.99</v>
      </c>
      <c r="D4355" s="15">
        <v>1.83</v>
      </c>
      <c r="E4355" s="15">
        <v>1.83</v>
      </c>
      <c r="F4355" s="15">
        <f t="shared" si="1"/>
        <v>1.21</v>
      </c>
      <c r="G4355" s="15">
        <f t="shared" si="2"/>
        <v>1.99</v>
      </c>
      <c r="H4355" s="16">
        <v>0.0</v>
      </c>
      <c r="I4355" s="15">
        <f t="shared" si="3"/>
        <v>1.21</v>
      </c>
      <c r="J4355" s="15">
        <v>12.51</v>
      </c>
      <c r="K4355" s="16">
        <f>IF(COUNTIFS(Release_Calendar!$A$2:$A$755,"US_CPI",Release_Calendar!$B$2:$B$755,$A4355)&gt;0,1,0)</f>
        <v>0</v>
      </c>
      <c r="L4355" s="16">
        <f>IF(COUNTIFS(Release_Calendar!$A$2:$A$755,"US_NFP",Release_Calendar!$B$2:$B$755,$A4355)&gt;0,1,0)</f>
        <v>0</v>
      </c>
      <c r="M4355" s="16" t="str">
        <f>IF($A4355&lt;Notes!$B$5,"",IF(COUNTIFS(Release_Calendar!$A$2:$A$755,"NZ_CPI",Release_Calendar!$B$2:$B$755,$A4355)&gt;0,1,0))</f>
        <v/>
      </c>
      <c r="N4355" s="16" t="str">
        <f>IF($A4355&lt;Notes!$B$5,"",IF(COUNTIFS(Release_Calendar!$A$2:$A$755,"NZ_GDP",Release_Calendar!$B$2:$B$755,$A4355)&gt;0,1,0))</f>
        <v/>
      </c>
      <c r="O4355" s="16" t="str">
        <f>IF($A4355&lt;Notes!$B$5,"",IF(COUNTIFS(Release_Calendar!$A$2:$A$755,"NZ_LABOUR",Release_Calendar!$B$2:$B$755,$A4355)&gt;0,1,0))</f>
        <v/>
      </c>
      <c r="P4355" s="16">
        <f t="shared" si="4"/>
        <v>0</v>
      </c>
    </row>
    <row r="4356" ht="15.75" customHeight="1">
      <c r="A4356" s="14">
        <v>42622.0</v>
      </c>
      <c r="B4356" s="15">
        <v>0.79</v>
      </c>
      <c r="C4356" s="15">
        <v>2.01</v>
      </c>
      <c r="D4356" s="15">
        <v>1.85</v>
      </c>
      <c r="E4356" s="15">
        <v>1.86</v>
      </c>
      <c r="F4356" s="15">
        <f t="shared" si="1"/>
        <v>1.22</v>
      </c>
      <c r="G4356" s="15">
        <f t="shared" si="2"/>
        <v>2.01</v>
      </c>
      <c r="H4356" s="16">
        <v>0.0</v>
      </c>
      <c r="I4356" s="15">
        <f t="shared" si="3"/>
        <v>1.22</v>
      </c>
      <c r="J4356" s="15">
        <v>17.5</v>
      </c>
      <c r="K4356" s="16">
        <f>IF(COUNTIFS(Release_Calendar!$A$2:$A$755,"US_CPI",Release_Calendar!$B$2:$B$755,$A4356)&gt;0,1,0)</f>
        <v>0</v>
      </c>
      <c r="L4356" s="16">
        <f>IF(COUNTIFS(Release_Calendar!$A$2:$A$755,"US_NFP",Release_Calendar!$B$2:$B$755,$A4356)&gt;0,1,0)</f>
        <v>0</v>
      </c>
      <c r="M4356" s="16" t="str">
        <f>IF($A4356&lt;Notes!$B$5,"",IF(COUNTIFS(Release_Calendar!$A$2:$A$755,"NZ_CPI",Release_Calendar!$B$2:$B$755,$A4356)&gt;0,1,0))</f>
        <v/>
      </c>
      <c r="N4356" s="16" t="str">
        <f>IF($A4356&lt;Notes!$B$5,"",IF(COUNTIFS(Release_Calendar!$A$2:$A$755,"NZ_GDP",Release_Calendar!$B$2:$B$755,$A4356)&gt;0,1,0))</f>
        <v/>
      </c>
      <c r="O4356" s="16" t="str">
        <f>IF($A4356&lt;Notes!$B$5,"",IF(COUNTIFS(Release_Calendar!$A$2:$A$755,"NZ_LABOUR",Release_Calendar!$B$2:$B$755,$A4356)&gt;0,1,0))</f>
        <v/>
      </c>
      <c r="P4356" s="16">
        <f t="shared" si="4"/>
        <v>0</v>
      </c>
    </row>
    <row r="4357" ht="15.75" customHeight="1">
      <c r="A4357" s="14">
        <v>42625.0</v>
      </c>
      <c r="B4357" s="15">
        <v>0.79</v>
      </c>
      <c r="C4357" s="15">
        <v>2.04</v>
      </c>
      <c r="D4357" s="15">
        <v>1.91</v>
      </c>
      <c r="E4357" s="15">
        <v>1.92</v>
      </c>
      <c r="F4357" s="15">
        <f t="shared" si="1"/>
        <v>1.25</v>
      </c>
      <c r="G4357" s="15">
        <f t="shared" si="2"/>
        <v>2.04</v>
      </c>
      <c r="H4357" s="16">
        <v>0.0</v>
      </c>
      <c r="I4357" s="15">
        <f t="shared" si="3"/>
        <v>1.25</v>
      </c>
      <c r="J4357" s="15">
        <v>15.16</v>
      </c>
      <c r="K4357" s="16">
        <f>IF(COUNTIFS(Release_Calendar!$A$2:$A$755,"US_CPI",Release_Calendar!$B$2:$B$755,$A4357)&gt;0,1,0)</f>
        <v>0</v>
      </c>
      <c r="L4357" s="16">
        <f>IF(COUNTIFS(Release_Calendar!$A$2:$A$755,"US_NFP",Release_Calendar!$B$2:$B$755,$A4357)&gt;0,1,0)</f>
        <v>0</v>
      </c>
      <c r="M4357" s="16" t="str">
        <f>IF($A4357&lt;Notes!$B$5,"",IF(COUNTIFS(Release_Calendar!$A$2:$A$755,"NZ_CPI",Release_Calendar!$B$2:$B$755,$A4357)&gt;0,1,0))</f>
        <v/>
      </c>
      <c r="N4357" s="16" t="str">
        <f>IF($A4357&lt;Notes!$B$5,"",IF(COUNTIFS(Release_Calendar!$A$2:$A$755,"NZ_GDP",Release_Calendar!$B$2:$B$755,$A4357)&gt;0,1,0))</f>
        <v/>
      </c>
      <c r="O4357" s="16" t="str">
        <f>IF($A4357&lt;Notes!$B$5,"",IF(COUNTIFS(Release_Calendar!$A$2:$A$755,"NZ_LABOUR",Release_Calendar!$B$2:$B$755,$A4357)&gt;0,1,0))</f>
        <v/>
      </c>
      <c r="P4357" s="16">
        <f t="shared" si="4"/>
        <v>0</v>
      </c>
    </row>
    <row r="4358" ht="15.75" customHeight="1">
      <c r="A4358" s="14">
        <v>42626.0</v>
      </c>
      <c r="B4358" s="15">
        <v>0.8</v>
      </c>
      <c r="C4358" s="15">
        <v>2.06</v>
      </c>
      <c r="D4358" s="15">
        <v>1.94</v>
      </c>
      <c r="E4358" s="15">
        <v>1.94</v>
      </c>
      <c r="F4358" s="15">
        <f t="shared" si="1"/>
        <v>1.26</v>
      </c>
      <c r="G4358" s="15">
        <f t="shared" si="2"/>
        <v>2.06</v>
      </c>
      <c r="H4358" s="16">
        <v>0.0</v>
      </c>
      <c r="I4358" s="15">
        <f t="shared" si="3"/>
        <v>1.26</v>
      </c>
      <c r="J4358" s="15">
        <v>17.85</v>
      </c>
      <c r="K4358" s="16">
        <f>IF(COUNTIFS(Release_Calendar!$A$2:$A$755,"US_CPI",Release_Calendar!$B$2:$B$755,$A4358)&gt;0,1,0)</f>
        <v>0</v>
      </c>
      <c r="L4358" s="16">
        <f>IF(COUNTIFS(Release_Calendar!$A$2:$A$755,"US_NFP",Release_Calendar!$B$2:$B$755,$A4358)&gt;0,1,0)</f>
        <v>0</v>
      </c>
      <c r="M4358" s="16" t="str">
        <f>IF($A4358&lt;Notes!$B$5,"",IF(COUNTIFS(Release_Calendar!$A$2:$A$755,"NZ_CPI",Release_Calendar!$B$2:$B$755,$A4358)&gt;0,1,0))</f>
        <v/>
      </c>
      <c r="N4358" s="16" t="str">
        <f>IF($A4358&lt;Notes!$B$5,"",IF(COUNTIFS(Release_Calendar!$A$2:$A$755,"NZ_GDP",Release_Calendar!$B$2:$B$755,$A4358)&gt;0,1,0))</f>
        <v/>
      </c>
      <c r="O4358" s="16" t="str">
        <f>IF($A4358&lt;Notes!$B$5,"",IF(COUNTIFS(Release_Calendar!$A$2:$A$755,"NZ_LABOUR",Release_Calendar!$B$2:$B$755,$A4358)&gt;0,1,0))</f>
        <v/>
      </c>
      <c r="P4358" s="16">
        <f t="shared" si="4"/>
        <v>0</v>
      </c>
    </row>
    <row r="4359" ht="15.75" customHeight="1">
      <c r="A4359" s="14">
        <v>42627.0</v>
      </c>
      <c r="B4359" s="15">
        <v>0.77</v>
      </c>
      <c r="C4359" s="15">
        <v>2.06</v>
      </c>
      <c r="D4359" s="15">
        <v>1.96</v>
      </c>
      <c r="E4359" s="15">
        <v>1.95</v>
      </c>
      <c r="F4359" s="15">
        <f t="shared" si="1"/>
        <v>1.29</v>
      </c>
      <c r="G4359" s="15">
        <f t="shared" si="2"/>
        <v>2.06</v>
      </c>
      <c r="H4359" s="16">
        <v>0.0</v>
      </c>
      <c r="I4359" s="15">
        <f t="shared" si="3"/>
        <v>1.29</v>
      </c>
      <c r="J4359" s="15">
        <v>18.14</v>
      </c>
      <c r="K4359" s="16">
        <f>IF(COUNTIFS(Release_Calendar!$A$2:$A$755,"US_CPI",Release_Calendar!$B$2:$B$755,$A4359)&gt;0,1,0)</f>
        <v>0</v>
      </c>
      <c r="L4359" s="16">
        <f>IF(COUNTIFS(Release_Calendar!$A$2:$A$755,"US_NFP",Release_Calendar!$B$2:$B$755,$A4359)&gt;0,1,0)</f>
        <v>0</v>
      </c>
      <c r="M4359" s="16" t="str">
        <f>IF($A4359&lt;Notes!$B$5,"",IF(COUNTIFS(Release_Calendar!$A$2:$A$755,"NZ_CPI",Release_Calendar!$B$2:$B$755,$A4359)&gt;0,1,0))</f>
        <v/>
      </c>
      <c r="N4359" s="16" t="str">
        <f>IF($A4359&lt;Notes!$B$5,"",IF(COUNTIFS(Release_Calendar!$A$2:$A$755,"NZ_GDP",Release_Calendar!$B$2:$B$755,$A4359)&gt;0,1,0))</f>
        <v/>
      </c>
      <c r="O4359" s="16" t="str">
        <f>IF($A4359&lt;Notes!$B$5,"",IF(COUNTIFS(Release_Calendar!$A$2:$A$755,"NZ_LABOUR",Release_Calendar!$B$2:$B$755,$A4359)&gt;0,1,0))</f>
        <v/>
      </c>
      <c r="P4359" s="16">
        <f t="shared" si="4"/>
        <v>0</v>
      </c>
    </row>
    <row r="4360" ht="15.75" customHeight="1">
      <c r="A4360" s="14">
        <v>42628.0</v>
      </c>
      <c r="B4360" s="15">
        <v>0.74</v>
      </c>
      <c r="C4360" s="15">
        <v>2.07</v>
      </c>
      <c r="D4360" s="15">
        <v>1.92</v>
      </c>
      <c r="E4360" s="15">
        <v>1.93</v>
      </c>
      <c r="F4360" s="15">
        <f t="shared" si="1"/>
        <v>1.33</v>
      </c>
      <c r="G4360" s="15">
        <f t="shared" si="2"/>
        <v>2.07</v>
      </c>
      <c r="H4360" s="16">
        <v>0.0</v>
      </c>
      <c r="I4360" s="15">
        <f t="shared" si="3"/>
        <v>1.33</v>
      </c>
      <c r="J4360" s="15">
        <v>16.3</v>
      </c>
      <c r="K4360" s="16">
        <f>IF(COUNTIFS(Release_Calendar!$A$2:$A$755,"US_CPI",Release_Calendar!$B$2:$B$755,$A4360)&gt;0,1,0)</f>
        <v>0</v>
      </c>
      <c r="L4360" s="16">
        <f>IF(COUNTIFS(Release_Calendar!$A$2:$A$755,"US_NFP",Release_Calendar!$B$2:$B$755,$A4360)&gt;0,1,0)</f>
        <v>0</v>
      </c>
      <c r="M4360" s="16" t="str">
        <f>IF($A4360&lt;Notes!$B$5,"",IF(COUNTIFS(Release_Calendar!$A$2:$A$755,"NZ_CPI",Release_Calendar!$B$2:$B$755,$A4360)&gt;0,1,0))</f>
        <v/>
      </c>
      <c r="N4360" s="16" t="str">
        <f>IF($A4360&lt;Notes!$B$5,"",IF(COUNTIFS(Release_Calendar!$A$2:$A$755,"NZ_GDP",Release_Calendar!$B$2:$B$755,$A4360)&gt;0,1,0))</f>
        <v/>
      </c>
      <c r="O4360" s="16" t="str">
        <f>IF($A4360&lt;Notes!$B$5,"",IF(COUNTIFS(Release_Calendar!$A$2:$A$755,"NZ_LABOUR",Release_Calendar!$B$2:$B$755,$A4360)&gt;0,1,0))</f>
        <v/>
      </c>
      <c r="P4360" s="16">
        <f t="shared" si="4"/>
        <v>0</v>
      </c>
    </row>
    <row r="4361" ht="15.75" customHeight="1">
      <c r="A4361" s="14">
        <v>42629.0</v>
      </c>
      <c r="B4361" s="15">
        <v>0.77</v>
      </c>
      <c r="C4361" s="15">
        <v>2.08</v>
      </c>
      <c r="D4361" s="15">
        <v>1.94</v>
      </c>
      <c r="E4361" s="15">
        <v>1.95</v>
      </c>
      <c r="F4361" s="15">
        <f t="shared" si="1"/>
        <v>1.31</v>
      </c>
      <c r="G4361" s="15">
        <f t="shared" si="2"/>
        <v>2.08</v>
      </c>
      <c r="H4361" s="16">
        <v>0.0</v>
      </c>
      <c r="I4361" s="15">
        <f t="shared" si="3"/>
        <v>1.31</v>
      </c>
      <c r="J4361" s="15">
        <v>15.37</v>
      </c>
      <c r="K4361" s="16">
        <f>IF(COUNTIFS(Release_Calendar!$A$2:$A$755,"US_CPI",Release_Calendar!$B$2:$B$755,$A4361)&gt;0,1,0)</f>
        <v>1</v>
      </c>
      <c r="L4361" s="16">
        <f>IF(COUNTIFS(Release_Calendar!$A$2:$A$755,"US_NFP",Release_Calendar!$B$2:$B$755,$A4361)&gt;0,1,0)</f>
        <v>0</v>
      </c>
      <c r="M4361" s="16" t="str">
        <f>IF($A4361&lt;Notes!$B$5,"",IF(COUNTIFS(Release_Calendar!$A$2:$A$755,"NZ_CPI",Release_Calendar!$B$2:$B$755,$A4361)&gt;0,1,0))</f>
        <v/>
      </c>
      <c r="N4361" s="16" t="str">
        <f>IF($A4361&lt;Notes!$B$5,"",IF(COUNTIFS(Release_Calendar!$A$2:$A$755,"NZ_GDP",Release_Calendar!$B$2:$B$755,$A4361)&gt;0,1,0))</f>
        <v/>
      </c>
      <c r="O4361" s="16" t="str">
        <f>IF($A4361&lt;Notes!$B$5,"",IF(COUNTIFS(Release_Calendar!$A$2:$A$755,"NZ_LABOUR",Release_Calendar!$B$2:$B$755,$A4361)&gt;0,1,0))</f>
        <v/>
      </c>
      <c r="P4361" s="16">
        <f t="shared" si="4"/>
        <v>1</v>
      </c>
    </row>
    <row r="4362" ht="15.75" customHeight="1">
      <c r="A4362" s="14">
        <v>42632.0</v>
      </c>
      <c r="B4362" s="15">
        <v>0.79</v>
      </c>
      <c r="C4362" s="15">
        <v>2.09</v>
      </c>
      <c r="D4362" s="15">
        <v>1.94</v>
      </c>
      <c r="E4362" s="15">
        <v>1.96</v>
      </c>
      <c r="F4362" s="15">
        <f t="shared" si="1"/>
        <v>1.3</v>
      </c>
      <c r="G4362" s="15">
        <f t="shared" si="2"/>
        <v>2.09</v>
      </c>
      <c r="H4362" s="16">
        <v>0.0</v>
      </c>
      <c r="I4362" s="15">
        <f t="shared" si="3"/>
        <v>1.3</v>
      </c>
      <c r="J4362" s="15">
        <v>15.53</v>
      </c>
      <c r="K4362" s="16">
        <f>IF(COUNTIFS(Release_Calendar!$A$2:$A$755,"US_CPI",Release_Calendar!$B$2:$B$755,$A4362)&gt;0,1,0)</f>
        <v>0</v>
      </c>
      <c r="L4362" s="16">
        <f>IF(COUNTIFS(Release_Calendar!$A$2:$A$755,"US_NFP",Release_Calendar!$B$2:$B$755,$A4362)&gt;0,1,0)</f>
        <v>0</v>
      </c>
      <c r="M4362" s="16" t="str">
        <f>IF($A4362&lt;Notes!$B$5,"",IF(COUNTIFS(Release_Calendar!$A$2:$A$755,"NZ_CPI",Release_Calendar!$B$2:$B$755,$A4362)&gt;0,1,0))</f>
        <v/>
      </c>
      <c r="N4362" s="16" t="str">
        <f>IF($A4362&lt;Notes!$B$5,"",IF(COUNTIFS(Release_Calendar!$A$2:$A$755,"NZ_GDP",Release_Calendar!$B$2:$B$755,$A4362)&gt;0,1,0))</f>
        <v/>
      </c>
      <c r="O4362" s="16" t="str">
        <f>IF($A4362&lt;Notes!$B$5,"",IF(COUNTIFS(Release_Calendar!$A$2:$A$755,"NZ_LABOUR",Release_Calendar!$B$2:$B$755,$A4362)&gt;0,1,0))</f>
        <v/>
      </c>
      <c r="P4362" s="16">
        <f t="shared" si="4"/>
        <v>0</v>
      </c>
    </row>
    <row r="4363" ht="15.75" customHeight="1">
      <c r="A4363" s="14">
        <v>42633.0</v>
      </c>
      <c r="B4363" s="15">
        <v>0.79</v>
      </c>
      <c r="C4363" s="15">
        <v>2.11</v>
      </c>
      <c r="D4363" s="15">
        <v>1.97</v>
      </c>
      <c r="E4363" s="15">
        <v>1.97</v>
      </c>
      <c r="F4363" s="15">
        <f t="shared" si="1"/>
        <v>1.32</v>
      </c>
      <c r="G4363" s="15">
        <f t="shared" si="2"/>
        <v>2.11</v>
      </c>
      <c r="H4363" s="16">
        <v>0.0</v>
      </c>
      <c r="I4363" s="15">
        <f t="shared" si="3"/>
        <v>1.32</v>
      </c>
      <c r="J4363" s="15">
        <v>15.92</v>
      </c>
      <c r="K4363" s="16">
        <f>IF(COUNTIFS(Release_Calendar!$A$2:$A$755,"US_CPI",Release_Calendar!$B$2:$B$755,$A4363)&gt;0,1,0)</f>
        <v>0</v>
      </c>
      <c r="L4363" s="16">
        <f>IF(COUNTIFS(Release_Calendar!$A$2:$A$755,"US_NFP",Release_Calendar!$B$2:$B$755,$A4363)&gt;0,1,0)</f>
        <v>0</v>
      </c>
      <c r="M4363" s="16" t="str">
        <f>IF($A4363&lt;Notes!$B$5,"",IF(COUNTIFS(Release_Calendar!$A$2:$A$755,"NZ_CPI",Release_Calendar!$B$2:$B$755,$A4363)&gt;0,1,0))</f>
        <v/>
      </c>
      <c r="N4363" s="16" t="str">
        <f>IF($A4363&lt;Notes!$B$5,"",IF(COUNTIFS(Release_Calendar!$A$2:$A$755,"NZ_GDP",Release_Calendar!$B$2:$B$755,$A4363)&gt;0,1,0))</f>
        <v/>
      </c>
      <c r="O4363" s="16" t="str">
        <f>IF($A4363&lt;Notes!$B$5,"",IF(COUNTIFS(Release_Calendar!$A$2:$A$755,"NZ_LABOUR",Release_Calendar!$B$2:$B$755,$A4363)&gt;0,1,0))</f>
        <v/>
      </c>
      <c r="P4363" s="16">
        <f t="shared" si="4"/>
        <v>0</v>
      </c>
    </row>
    <row r="4364" ht="15.75" customHeight="1">
      <c r="A4364" s="14">
        <v>42634.0</v>
      </c>
      <c r="B4364" s="15">
        <v>0.79</v>
      </c>
      <c r="C4364" s="15">
        <v>2.1</v>
      </c>
      <c r="D4364" s="15">
        <v>1.94</v>
      </c>
      <c r="E4364" s="15">
        <v>1.98</v>
      </c>
      <c r="F4364" s="15">
        <f t="shared" si="1"/>
        <v>1.31</v>
      </c>
      <c r="G4364" s="15">
        <f t="shared" si="2"/>
        <v>2.1</v>
      </c>
      <c r="H4364" s="16">
        <v>0.0</v>
      </c>
      <c r="I4364" s="15">
        <f t="shared" si="3"/>
        <v>1.31</v>
      </c>
      <c r="J4364" s="15">
        <v>13.3</v>
      </c>
      <c r="K4364" s="16">
        <f>IF(COUNTIFS(Release_Calendar!$A$2:$A$755,"US_CPI",Release_Calendar!$B$2:$B$755,$A4364)&gt;0,1,0)</f>
        <v>0</v>
      </c>
      <c r="L4364" s="16">
        <f>IF(COUNTIFS(Release_Calendar!$A$2:$A$755,"US_NFP",Release_Calendar!$B$2:$B$755,$A4364)&gt;0,1,0)</f>
        <v>0</v>
      </c>
      <c r="M4364" s="16" t="str">
        <f>IF($A4364&lt;Notes!$B$5,"",IF(COUNTIFS(Release_Calendar!$A$2:$A$755,"NZ_CPI",Release_Calendar!$B$2:$B$755,$A4364)&gt;0,1,0))</f>
        <v/>
      </c>
      <c r="N4364" s="16" t="str">
        <f>IF($A4364&lt;Notes!$B$5,"",IF(COUNTIFS(Release_Calendar!$A$2:$A$755,"NZ_GDP",Release_Calendar!$B$2:$B$755,$A4364)&gt;0,1,0))</f>
        <v/>
      </c>
      <c r="O4364" s="16" t="str">
        <f>IF($A4364&lt;Notes!$B$5,"",IF(COUNTIFS(Release_Calendar!$A$2:$A$755,"NZ_LABOUR",Release_Calendar!$B$2:$B$755,$A4364)&gt;0,1,0))</f>
        <v/>
      </c>
      <c r="P4364" s="16">
        <f t="shared" si="4"/>
        <v>0</v>
      </c>
    </row>
    <row r="4365" ht="15.75" customHeight="1">
      <c r="A4365" s="14">
        <v>42635.0</v>
      </c>
      <c r="B4365" s="15">
        <v>0.79</v>
      </c>
      <c r="C4365" s="15">
        <v>2.03</v>
      </c>
      <c r="D4365" s="15">
        <v>1.93</v>
      </c>
      <c r="E4365" s="15">
        <v>1.9</v>
      </c>
      <c r="F4365" s="15">
        <f t="shared" si="1"/>
        <v>1.24</v>
      </c>
      <c r="G4365" s="15">
        <f t="shared" si="2"/>
        <v>2.03</v>
      </c>
      <c r="H4365" s="16">
        <v>0.0</v>
      </c>
      <c r="I4365" s="15">
        <f t="shared" si="3"/>
        <v>1.24</v>
      </c>
      <c r="J4365" s="15">
        <v>12.02</v>
      </c>
      <c r="K4365" s="16">
        <f>IF(COUNTIFS(Release_Calendar!$A$2:$A$755,"US_CPI",Release_Calendar!$B$2:$B$755,$A4365)&gt;0,1,0)</f>
        <v>0</v>
      </c>
      <c r="L4365" s="16">
        <f>IF(COUNTIFS(Release_Calendar!$A$2:$A$755,"US_NFP",Release_Calendar!$B$2:$B$755,$A4365)&gt;0,1,0)</f>
        <v>0</v>
      </c>
      <c r="M4365" s="16" t="str">
        <f>IF($A4365&lt;Notes!$B$5,"",IF(COUNTIFS(Release_Calendar!$A$2:$A$755,"NZ_CPI",Release_Calendar!$B$2:$B$755,$A4365)&gt;0,1,0))</f>
        <v/>
      </c>
      <c r="N4365" s="16" t="str">
        <f>IF($A4365&lt;Notes!$B$5,"",IF(COUNTIFS(Release_Calendar!$A$2:$A$755,"NZ_GDP",Release_Calendar!$B$2:$B$755,$A4365)&gt;0,1,0))</f>
        <v/>
      </c>
      <c r="O4365" s="16" t="str">
        <f>IF($A4365&lt;Notes!$B$5,"",IF(COUNTIFS(Release_Calendar!$A$2:$A$755,"NZ_LABOUR",Release_Calendar!$B$2:$B$755,$A4365)&gt;0,1,0))</f>
        <v/>
      </c>
      <c r="P4365" s="16">
        <f t="shared" si="4"/>
        <v>0</v>
      </c>
    </row>
    <row r="4366" ht="15.75" customHeight="1">
      <c r="A4366" s="14">
        <v>42636.0</v>
      </c>
      <c r="B4366" s="15">
        <v>0.77</v>
      </c>
      <c r="C4366" s="15">
        <v>2.02</v>
      </c>
      <c r="D4366" s="15">
        <v>1.89</v>
      </c>
      <c r="E4366" s="15">
        <v>1.87</v>
      </c>
      <c r="F4366" s="15">
        <f t="shared" si="1"/>
        <v>1.25</v>
      </c>
      <c r="G4366" s="15">
        <f t="shared" si="2"/>
        <v>2.02</v>
      </c>
      <c r="H4366" s="16">
        <v>0.0</v>
      </c>
      <c r="I4366" s="15">
        <f t="shared" si="3"/>
        <v>1.25</v>
      </c>
      <c r="J4366" s="15">
        <v>12.29</v>
      </c>
      <c r="K4366" s="16">
        <f>IF(COUNTIFS(Release_Calendar!$A$2:$A$755,"US_CPI",Release_Calendar!$B$2:$B$755,$A4366)&gt;0,1,0)</f>
        <v>0</v>
      </c>
      <c r="L4366" s="16">
        <f>IF(COUNTIFS(Release_Calendar!$A$2:$A$755,"US_NFP",Release_Calendar!$B$2:$B$755,$A4366)&gt;0,1,0)</f>
        <v>0</v>
      </c>
      <c r="M4366" s="16" t="str">
        <f>IF($A4366&lt;Notes!$B$5,"",IF(COUNTIFS(Release_Calendar!$A$2:$A$755,"NZ_CPI",Release_Calendar!$B$2:$B$755,$A4366)&gt;0,1,0))</f>
        <v/>
      </c>
      <c r="N4366" s="16" t="str">
        <f>IF($A4366&lt;Notes!$B$5,"",IF(COUNTIFS(Release_Calendar!$A$2:$A$755,"NZ_GDP",Release_Calendar!$B$2:$B$755,$A4366)&gt;0,1,0))</f>
        <v/>
      </c>
      <c r="O4366" s="16" t="str">
        <f>IF($A4366&lt;Notes!$B$5,"",IF(COUNTIFS(Release_Calendar!$A$2:$A$755,"NZ_LABOUR",Release_Calendar!$B$2:$B$755,$A4366)&gt;0,1,0))</f>
        <v/>
      </c>
      <c r="P4366" s="16">
        <f t="shared" si="4"/>
        <v>0</v>
      </c>
    </row>
    <row r="4367" ht="15.75" customHeight="1">
      <c r="A4367" s="14">
        <v>42639.0</v>
      </c>
      <c r="B4367" s="15">
        <v>0.76</v>
      </c>
      <c r="C4367" s="15">
        <v>2.01</v>
      </c>
      <c r="D4367" s="15">
        <v>1.87</v>
      </c>
      <c r="E4367" s="15">
        <v>1.87</v>
      </c>
      <c r="F4367" s="15">
        <f t="shared" si="1"/>
        <v>1.25</v>
      </c>
      <c r="G4367" s="15">
        <f t="shared" si="2"/>
        <v>2.01</v>
      </c>
      <c r="H4367" s="16">
        <v>0.0</v>
      </c>
      <c r="I4367" s="15">
        <f t="shared" si="3"/>
        <v>1.25</v>
      </c>
      <c r="J4367" s="15">
        <v>14.5</v>
      </c>
      <c r="K4367" s="16">
        <f>IF(COUNTIFS(Release_Calendar!$A$2:$A$755,"US_CPI",Release_Calendar!$B$2:$B$755,$A4367)&gt;0,1,0)</f>
        <v>0</v>
      </c>
      <c r="L4367" s="16">
        <f>IF(COUNTIFS(Release_Calendar!$A$2:$A$755,"US_NFP",Release_Calendar!$B$2:$B$755,$A4367)&gt;0,1,0)</f>
        <v>0</v>
      </c>
      <c r="M4367" s="16" t="str">
        <f>IF($A4367&lt;Notes!$B$5,"",IF(COUNTIFS(Release_Calendar!$A$2:$A$755,"NZ_CPI",Release_Calendar!$B$2:$B$755,$A4367)&gt;0,1,0))</f>
        <v/>
      </c>
      <c r="N4367" s="16" t="str">
        <f>IF($A4367&lt;Notes!$B$5,"",IF(COUNTIFS(Release_Calendar!$A$2:$A$755,"NZ_GDP",Release_Calendar!$B$2:$B$755,$A4367)&gt;0,1,0))</f>
        <v/>
      </c>
      <c r="O4367" s="16" t="str">
        <f>IF($A4367&lt;Notes!$B$5,"",IF(COUNTIFS(Release_Calendar!$A$2:$A$755,"NZ_LABOUR",Release_Calendar!$B$2:$B$755,$A4367)&gt;0,1,0))</f>
        <v/>
      </c>
      <c r="P4367" s="16">
        <f t="shared" si="4"/>
        <v>0</v>
      </c>
    </row>
    <row r="4368" ht="15.75" customHeight="1">
      <c r="A4368" s="14">
        <v>42640.0</v>
      </c>
      <c r="B4368" s="15">
        <v>0.75</v>
      </c>
      <c r="C4368" s="15">
        <v>2.01</v>
      </c>
      <c r="D4368" s="15">
        <v>1.87</v>
      </c>
      <c r="E4368" s="15">
        <v>1.89</v>
      </c>
      <c r="F4368" s="15">
        <f t="shared" si="1"/>
        <v>1.26</v>
      </c>
      <c r="G4368" s="15">
        <f t="shared" si="2"/>
        <v>2.01</v>
      </c>
      <c r="H4368" s="16">
        <v>0.0</v>
      </c>
      <c r="I4368" s="15">
        <f t="shared" si="3"/>
        <v>1.26</v>
      </c>
      <c r="J4368" s="15">
        <v>13.1</v>
      </c>
      <c r="K4368" s="16">
        <f>IF(COUNTIFS(Release_Calendar!$A$2:$A$755,"US_CPI",Release_Calendar!$B$2:$B$755,$A4368)&gt;0,1,0)</f>
        <v>0</v>
      </c>
      <c r="L4368" s="16">
        <f>IF(COUNTIFS(Release_Calendar!$A$2:$A$755,"US_NFP",Release_Calendar!$B$2:$B$755,$A4368)&gt;0,1,0)</f>
        <v>0</v>
      </c>
      <c r="M4368" s="16" t="str">
        <f>IF($A4368&lt;Notes!$B$5,"",IF(COUNTIFS(Release_Calendar!$A$2:$A$755,"NZ_CPI",Release_Calendar!$B$2:$B$755,$A4368)&gt;0,1,0))</f>
        <v/>
      </c>
      <c r="N4368" s="16" t="str">
        <f>IF($A4368&lt;Notes!$B$5,"",IF(COUNTIFS(Release_Calendar!$A$2:$A$755,"NZ_GDP",Release_Calendar!$B$2:$B$755,$A4368)&gt;0,1,0))</f>
        <v/>
      </c>
      <c r="O4368" s="16" t="str">
        <f>IF($A4368&lt;Notes!$B$5,"",IF(COUNTIFS(Release_Calendar!$A$2:$A$755,"NZ_LABOUR",Release_Calendar!$B$2:$B$755,$A4368)&gt;0,1,0))</f>
        <v/>
      </c>
      <c r="P4368" s="16">
        <f t="shared" si="4"/>
        <v>0</v>
      </c>
    </row>
    <row r="4369" ht="15.75" customHeight="1">
      <c r="A4369" s="14">
        <v>42641.0</v>
      </c>
      <c r="B4369" s="15">
        <v>0.75</v>
      </c>
      <c r="C4369" s="15">
        <v>2.01</v>
      </c>
      <c r="D4369" s="15">
        <v>1.89</v>
      </c>
      <c r="E4369" s="15">
        <v>1.9</v>
      </c>
      <c r="F4369" s="15">
        <f t="shared" si="1"/>
        <v>1.26</v>
      </c>
      <c r="G4369" s="15">
        <f t="shared" si="2"/>
        <v>2.01</v>
      </c>
      <c r="H4369" s="16">
        <v>0.0</v>
      </c>
      <c r="I4369" s="15">
        <f t="shared" si="3"/>
        <v>1.26</v>
      </c>
      <c r="J4369" s="15">
        <v>12.39</v>
      </c>
      <c r="K4369" s="16">
        <f>IF(COUNTIFS(Release_Calendar!$A$2:$A$755,"US_CPI",Release_Calendar!$B$2:$B$755,$A4369)&gt;0,1,0)</f>
        <v>0</v>
      </c>
      <c r="L4369" s="16">
        <f>IF(COUNTIFS(Release_Calendar!$A$2:$A$755,"US_NFP",Release_Calendar!$B$2:$B$755,$A4369)&gt;0,1,0)</f>
        <v>0</v>
      </c>
      <c r="M4369" s="16" t="str">
        <f>IF($A4369&lt;Notes!$B$5,"",IF(COUNTIFS(Release_Calendar!$A$2:$A$755,"NZ_CPI",Release_Calendar!$B$2:$B$755,$A4369)&gt;0,1,0))</f>
        <v/>
      </c>
      <c r="N4369" s="16" t="str">
        <f>IF($A4369&lt;Notes!$B$5,"",IF(COUNTIFS(Release_Calendar!$A$2:$A$755,"NZ_GDP",Release_Calendar!$B$2:$B$755,$A4369)&gt;0,1,0))</f>
        <v/>
      </c>
      <c r="O4369" s="16" t="str">
        <f>IF($A4369&lt;Notes!$B$5,"",IF(COUNTIFS(Release_Calendar!$A$2:$A$755,"NZ_LABOUR",Release_Calendar!$B$2:$B$755,$A4369)&gt;0,1,0))</f>
        <v/>
      </c>
      <c r="P4369" s="16">
        <f t="shared" si="4"/>
        <v>0</v>
      </c>
    </row>
    <row r="4370" ht="15.75" customHeight="1">
      <c r="A4370" s="14">
        <v>42642.0</v>
      </c>
      <c r="B4370" s="15">
        <v>0.73</v>
      </c>
      <c r="C4370" s="15">
        <v>2.02</v>
      </c>
      <c r="D4370" s="15">
        <v>1.9</v>
      </c>
      <c r="E4370" s="15">
        <v>1.93</v>
      </c>
      <c r="F4370" s="15">
        <f t="shared" si="1"/>
        <v>1.29</v>
      </c>
      <c r="G4370" s="15">
        <f t="shared" si="2"/>
        <v>2.02</v>
      </c>
      <c r="H4370" s="16">
        <v>0.0</v>
      </c>
      <c r="I4370" s="15">
        <f t="shared" si="3"/>
        <v>1.29</v>
      </c>
      <c r="J4370" s="15">
        <v>14.02</v>
      </c>
      <c r="K4370" s="16">
        <f>IF(COUNTIFS(Release_Calendar!$A$2:$A$755,"US_CPI",Release_Calendar!$B$2:$B$755,$A4370)&gt;0,1,0)</f>
        <v>0</v>
      </c>
      <c r="L4370" s="16">
        <f>IF(COUNTIFS(Release_Calendar!$A$2:$A$755,"US_NFP",Release_Calendar!$B$2:$B$755,$A4370)&gt;0,1,0)</f>
        <v>0</v>
      </c>
      <c r="M4370" s="16" t="str">
        <f>IF($A4370&lt;Notes!$B$5,"",IF(COUNTIFS(Release_Calendar!$A$2:$A$755,"NZ_CPI",Release_Calendar!$B$2:$B$755,$A4370)&gt;0,1,0))</f>
        <v/>
      </c>
      <c r="N4370" s="16" t="str">
        <f>IF($A4370&lt;Notes!$B$5,"",IF(COUNTIFS(Release_Calendar!$A$2:$A$755,"NZ_GDP",Release_Calendar!$B$2:$B$755,$A4370)&gt;0,1,0))</f>
        <v/>
      </c>
      <c r="O4370" s="16" t="str">
        <f>IF($A4370&lt;Notes!$B$5,"",IF(COUNTIFS(Release_Calendar!$A$2:$A$755,"NZ_LABOUR",Release_Calendar!$B$2:$B$755,$A4370)&gt;0,1,0))</f>
        <v/>
      </c>
      <c r="P4370" s="16">
        <f t="shared" si="4"/>
        <v>0</v>
      </c>
    </row>
    <row r="4371" ht="15.75" customHeight="1">
      <c r="A4371" s="14">
        <v>42643.0</v>
      </c>
      <c r="B4371" s="15">
        <v>0.77</v>
      </c>
      <c r="C4371" s="15">
        <v>1.99</v>
      </c>
      <c r="D4371" s="15">
        <v>1.9</v>
      </c>
      <c r="E4371" s="15">
        <v>1.89</v>
      </c>
      <c r="F4371" s="15">
        <f t="shared" si="1"/>
        <v>1.22</v>
      </c>
      <c r="G4371" s="15">
        <f t="shared" si="2"/>
        <v>1.99</v>
      </c>
      <c r="H4371" s="16">
        <v>0.0</v>
      </c>
      <c r="I4371" s="15">
        <f t="shared" si="3"/>
        <v>1.22</v>
      </c>
      <c r="J4371" s="15">
        <v>13.29</v>
      </c>
      <c r="K4371" s="16">
        <f>IF(COUNTIFS(Release_Calendar!$A$2:$A$755,"US_CPI",Release_Calendar!$B$2:$B$755,$A4371)&gt;0,1,0)</f>
        <v>0</v>
      </c>
      <c r="L4371" s="16">
        <f>IF(COUNTIFS(Release_Calendar!$A$2:$A$755,"US_NFP",Release_Calendar!$B$2:$B$755,$A4371)&gt;0,1,0)</f>
        <v>0</v>
      </c>
      <c r="M4371" s="16" t="str">
        <f>IF($A4371&lt;Notes!$B$5,"",IF(COUNTIFS(Release_Calendar!$A$2:$A$755,"NZ_CPI",Release_Calendar!$B$2:$B$755,$A4371)&gt;0,1,0))</f>
        <v/>
      </c>
      <c r="N4371" s="16" t="str">
        <f>IF($A4371&lt;Notes!$B$5,"",IF(COUNTIFS(Release_Calendar!$A$2:$A$755,"NZ_GDP",Release_Calendar!$B$2:$B$755,$A4371)&gt;0,1,0))</f>
        <v/>
      </c>
      <c r="O4371" s="16" t="str">
        <f>IF($A4371&lt;Notes!$B$5,"",IF(COUNTIFS(Release_Calendar!$A$2:$A$755,"NZ_LABOUR",Release_Calendar!$B$2:$B$755,$A4371)&gt;0,1,0))</f>
        <v/>
      </c>
      <c r="P4371" s="16">
        <f t="shared" si="4"/>
        <v>0</v>
      </c>
    </row>
    <row r="4372" ht="15.75" customHeight="1">
      <c r="A4372" s="14">
        <v>42646.0</v>
      </c>
      <c r="B4372" s="15">
        <v>0.8</v>
      </c>
      <c r="C4372" s="15">
        <v>2.01</v>
      </c>
      <c r="D4372" s="15">
        <v>1.9</v>
      </c>
      <c r="E4372" s="15">
        <v>1.91</v>
      </c>
      <c r="F4372" s="15">
        <f t="shared" si="1"/>
        <v>1.21</v>
      </c>
      <c r="G4372" s="15">
        <f t="shared" si="2"/>
        <v>2.01</v>
      </c>
      <c r="H4372" s="16">
        <v>0.0</v>
      </c>
      <c r="I4372" s="15">
        <f t="shared" si="3"/>
        <v>1.21</v>
      </c>
      <c r="J4372" s="15">
        <v>13.57</v>
      </c>
      <c r="K4372" s="16">
        <f>IF(COUNTIFS(Release_Calendar!$A$2:$A$755,"US_CPI",Release_Calendar!$B$2:$B$755,$A4372)&gt;0,1,0)</f>
        <v>0</v>
      </c>
      <c r="L4372" s="16">
        <f>IF(COUNTIFS(Release_Calendar!$A$2:$A$755,"US_NFP",Release_Calendar!$B$2:$B$755,$A4372)&gt;0,1,0)</f>
        <v>0</v>
      </c>
      <c r="M4372" s="16" t="str">
        <f>IF($A4372&lt;Notes!$B$5,"",IF(COUNTIFS(Release_Calendar!$A$2:$A$755,"NZ_CPI",Release_Calendar!$B$2:$B$755,$A4372)&gt;0,1,0))</f>
        <v/>
      </c>
      <c r="N4372" s="16" t="str">
        <f>IF($A4372&lt;Notes!$B$5,"",IF(COUNTIFS(Release_Calendar!$A$2:$A$755,"NZ_GDP",Release_Calendar!$B$2:$B$755,$A4372)&gt;0,1,0))</f>
        <v/>
      </c>
      <c r="O4372" s="16" t="str">
        <f>IF($A4372&lt;Notes!$B$5,"",IF(COUNTIFS(Release_Calendar!$A$2:$A$755,"NZ_LABOUR",Release_Calendar!$B$2:$B$755,$A4372)&gt;0,1,0))</f>
        <v/>
      </c>
      <c r="P4372" s="16">
        <f t="shared" si="4"/>
        <v>0</v>
      </c>
    </row>
    <row r="4373" ht="15.75" customHeight="1">
      <c r="A4373" s="14">
        <v>42647.0</v>
      </c>
      <c r="B4373" s="15">
        <v>0.82</v>
      </c>
      <c r="C4373" s="15">
        <v>2.04</v>
      </c>
      <c r="D4373" s="15">
        <v>1.93</v>
      </c>
      <c r="E4373" s="15">
        <v>1.94</v>
      </c>
      <c r="F4373" s="15">
        <f t="shared" si="1"/>
        <v>1.22</v>
      </c>
      <c r="G4373" s="15">
        <f t="shared" si="2"/>
        <v>2.04</v>
      </c>
      <c r="H4373" s="16">
        <v>0.0</v>
      </c>
      <c r="I4373" s="15">
        <f t="shared" si="3"/>
        <v>1.22</v>
      </c>
      <c r="J4373" s="15">
        <v>13.63</v>
      </c>
      <c r="K4373" s="16">
        <f>IF(COUNTIFS(Release_Calendar!$A$2:$A$755,"US_CPI",Release_Calendar!$B$2:$B$755,$A4373)&gt;0,1,0)</f>
        <v>0</v>
      </c>
      <c r="L4373" s="16">
        <f>IF(COUNTIFS(Release_Calendar!$A$2:$A$755,"US_NFP",Release_Calendar!$B$2:$B$755,$A4373)&gt;0,1,0)</f>
        <v>0</v>
      </c>
      <c r="M4373" s="16" t="str">
        <f>IF($A4373&lt;Notes!$B$5,"",IF(COUNTIFS(Release_Calendar!$A$2:$A$755,"NZ_CPI",Release_Calendar!$B$2:$B$755,$A4373)&gt;0,1,0))</f>
        <v/>
      </c>
      <c r="N4373" s="16" t="str">
        <f>IF($A4373&lt;Notes!$B$5,"",IF(COUNTIFS(Release_Calendar!$A$2:$A$755,"NZ_GDP",Release_Calendar!$B$2:$B$755,$A4373)&gt;0,1,0))</f>
        <v/>
      </c>
      <c r="O4373" s="16" t="str">
        <f>IF($A4373&lt;Notes!$B$5,"",IF(COUNTIFS(Release_Calendar!$A$2:$A$755,"NZ_LABOUR",Release_Calendar!$B$2:$B$755,$A4373)&gt;0,1,0))</f>
        <v/>
      </c>
      <c r="P4373" s="16">
        <f t="shared" si="4"/>
        <v>0</v>
      </c>
    </row>
    <row r="4374" ht="15.75" customHeight="1">
      <c r="A4374" s="14">
        <v>42648.0</v>
      </c>
      <c r="B4374" s="15">
        <v>0.85</v>
      </c>
      <c r="C4374" s="15">
        <v>2.06</v>
      </c>
      <c r="D4374" s="15">
        <v>1.97</v>
      </c>
      <c r="E4374" s="15">
        <v>1.96</v>
      </c>
      <c r="F4374" s="15">
        <f t="shared" si="1"/>
        <v>1.21</v>
      </c>
      <c r="G4374" s="15">
        <f t="shared" si="2"/>
        <v>2.06</v>
      </c>
      <c r="H4374" s="16">
        <v>0.0</v>
      </c>
      <c r="I4374" s="15">
        <f t="shared" si="3"/>
        <v>1.21</v>
      </c>
      <c r="J4374" s="15">
        <v>12.99</v>
      </c>
      <c r="K4374" s="16">
        <f>IF(COUNTIFS(Release_Calendar!$A$2:$A$755,"US_CPI",Release_Calendar!$B$2:$B$755,$A4374)&gt;0,1,0)</f>
        <v>0</v>
      </c>
      <c r="L4374" s="16">
        <f>IF(COUNTIFS(Release_Calendar!$A$2:$A$755,"US_NFP",Release_Calendar!$B$2:$B$755,$A4374)&gt;0,1,0)</f>
        <v>0</v>
      </c>
      <c r="M4374" s="16" t="str">
        <f>IF($A4374&lt;Notes!$B$5,"",IF(COUNTIFS(Release_Calendar!$A$2:$A$755,"NZ_CPI",Release_Calendar!$B$2:$B$755,$A4374)&gt;0,1,0))</f>
        <v/>
      </c>
      <c r="N4374" s="16" t="str">
        <f>IF($A4374&lt;Notes!$B$5,"",IF(COUNTIFS(Release_Calendar!$A$2:$A$755,"NZ_GDP",Release_Calendar!$B$2:$B$755,$A4374)&gt;0,1,0))</f>
        <v/>
      </c>
      <c r="O4374" s="16" t="str">
        <f>IF($A4374&lt;Notes!$B$5,"",IF(COUNTIFS(Release_Calendar!$A$2:$A$755,"NZ_LABOUR",Release_Calendar!$B$2:$B$755,$A4374)&gt;0,1,0))</f>
        <v/>
      </c>
      <c r="P4374" s="16">
        <f t="shared" si="4"/>
        <v>0</v>
      </c>
    </row>
    <row r="4375" ht="15.75" customHeight="1">
      <c r="A4375" s="14">
        <v>42649.0</v>
      </c>
      <c r="B4375" s="15">
        <v>0.86</v>
      </c>
      <c r="C4375" s="15">
        <v>2.07</v>
      </c>
      <c r="D4375" s="15">
        <v>1.96</v>
      </c>
      <c r="E4375" s="15">
        <v>1.97</v>
      </c>
      <c r="F4375" s="15">
        <f t="shared" si="1"/>
        <v>1.21</v>
      </c>
      <c r="G4375" s="15">
        <f t="shared" si="2"/>
        <v>2.07</v>
      </c>
      <c r="H4375" s="16">
        <v>0.0</v>
      </c>
      <c r="I4375" s="15">
        <f t="shared" si="3"/>
        <v>1.21</v>
      </c>
      <c r="J4375" s="15">
        <v>12.84</v>
      </c>
      <c r="K4375" s="16">
        <f>IF(COUNTIFS(Release_Calendar!$A$2:$A$755,"US_CPI",Release_Calendar!$B$2:$B$755,$A4375)&gt;0,1,0)</f>
        <v>0</v>
      </c>
      <c r="L4375" s="16">
        <f>IF(COUNTIFS(Release_Calendar!$A$2:$A$755,"US_NFP",Release_Calendar!$B$2:$B$755,$A4375)&gt;0,1,0)</f>
        <v>0</v>
      </c>
      <c r="M4375" s="16" t="str">
        <f>IF($A4375&lt;Notes!$B$5,"",IF(COUNTIFS(Release_Calendar!$A$2:$A$755,"NZ_CPI",Release_Calendar!$B$2:$B$755,$A4375)&gt;0,1,0))</f>
        <v/>
      </c>
      <c r="N4375" s="16" t="str">
        <f>IF($A4375&lt;Notes!$B$5,"",IF(COUNTIFS(Release_Calendar!$A$2:$A$755,"NZ_GDP",Release_Calendar!$B$2:$B$755,$A4375)&gt;0,1,0))</f>
        <v/>
      </c>
      <c r="O4375" s="16" t="str">
        <f>IF($A4375&lt;Notes!$B$5,"",IF(COUNTIFS(Release_Calendar!$A$2:$A$755,"NZ_LABOUR",Release_Calendar!$B$2:$B$755,$A4375)&gt;0,1,0))</f>
        <v/>
      </c>
      <c r="P4375" s="16">
        <f t="shared" si="4"/>
        <v>0</v>
      </c>
    </row>
    <row r="4376" ht="15.75" customHeight="1">
      <c r="A4376" s="14">
        <v>42650.0</v>
      </c>
      <c r="B4376" s="15">
        <v>0.83</v>
      </c>
      <c r="C4376" s="15">
        <v>2.08</v>
      </c>
      <c r="D4376" s="15">
        <v>1.98</v>
      </c>
      <c r="E4376" s="15">
        <v>1.95</v>
      </c>
      <c r="F4376" s="15">
        <f t="shared" si="1"/>
        <v>1.25</v>
      </c>
      <c r="G4376" s="15">
        <f t="shared" si="2"/>
        <v>2.08</v>
      </c>
      <c r="H4376" s="16">
        <v>0.0</v>
      </c>
      <c r="I4376" s="15">
        <f t="shared" si="3"/>
        <v>1.25</v>
      </c>
      <c r="J4376" s="15">
        <v>13.48</v>
      </c>
      <c r="K4376" s="16">
        <f>IF(COUNTIFS(Release_Calendar!$A$2:$A$755,"US_CPI",Release_Calendar!$B$2:$B$755,$A4376)&gt;0,1,0)</f>
        <v>0</v>
      </c>
      <c r="L4376" s="16">
        <f>IF(COUNTIFS(Release_Calendar!$A$2:$A$755,"US_NFP",Release_Calendar!$B$2:$B$755,$A4376)&gt;0,1,0)</f>
        <v>1</v>
      </c>
      <c r="M4376" s="16" t="str">
        <f>IF($A4376&lt;Notes!$B$5,"",IF(COUNTIFS(Release_Calendar!$A$2:$A$755,"NZ_CPI",Release_Calendar!$B$2:$B$755,$A4376)&gt;0,1,0))</f>
        <v/>
      </c>
      <c r="N4376" s="16" t="str">
        <f>IF($A4376&lt;Notes!$B$5,"",IF(COUNTIFS(Release_Calendar!$A$2:$A$755,"NZ_GDP",Release_Calendar!$B$2:$B$755,$A4376)&gt;0,1,0))</f>
        <v/>
      </c>
      <c r="O4376" s="16" t="str">
        <f>IF($A4376&lt;Notes!$B$5,"",IF(COUNTIFS(Release_Calendar!$A$2:$A$755,"NZ_LABOUR",Release_Calendar!$B$2:$B$755,$A4376)&gt;0,1,0))</f>
        <v/>
      </c>
      <c r="P4376" s="16">
        <f t="shared" si="4"/>
        <v>1</v>
      </c>
    </row>
    <row r="4377" ht="15.75" customHeight="1">
      <c r="A4377" s="14">
        <v>42653.0</v>
      </c>
      <c r="B4377" s="15"/>
      <c r="C4377" s="15">
        <v>2.08</v>
      </c>
      <c r="D4377" s="15">
        <v>1.95</v>
      </c>
      <c r="E4377" s="15">
        <v>1.93</v>
      </c>
      <c r="F4377" s="15" t="str">
        <f t="shared" si="1"/>
        <v/>
      </c>
      <c r="G4377" s="15">
        <f t="shared" si="2"/>
        <v>2.08</v>
      </c>
      <c r="H4377" s="16">
        <v>0.0</v>
      </c>
      <c r="I4377" s="15" t="str">
        <f t="shared" si="3"/>
        <v/>
      </c>
      <c r="J4377" s="15">
        <v>13.38</v>
      </c>
      <c r="K4377" s="16">
        <f>IF(COUNTIFS(Release_Calendar!$A$2:$A$755,"US_CPI",Release_Calendar!$B$2:$B$755,$A4377)&gt;0,1,0)</f>
        <v>0</v>
      </c>
      <c r="L4377" s="16">
        <f>IF(COUNTIFS(Release_Calendar!$A$2:$A$755,"US_NFP",Release_Calendar!$B$2:$B$755,$A4377)&gt;0,1,0)</f>
        <v>0</v>
      </c>
      <c r="M4377" s="16" t="str">
        <f>IF($A4377&lt;Notes!$B$5,"",IF(COUNTIFS(Release_Calendar!$A$2:$A$755,"NZ_CPI",Release_Calendar!$B$2:$B$755,$A4377)&gt;0,1,0))</f>
        <v/>
      </c>
      <c r="N4377" s="16" t="str">
        <f>IF($A4377&lt;Notes!$B$5,"",IF(COUNTIFS(Release_Calendar!$A$2:$A$755,"NZ_GDP",Release_Calendar!$B$2:$B$755,$A4377)&gt;0,1,0))</f>
        <v/>
      </c>
      <c r="O4377" s="16" t="str">
        <f>IF($A4377&lt;Notes!$B$5,"",IF(COUNTIFS(Release_Calendar!$A$2:$A$755,"NZ_LABOUR",Release_Calendar!$B$2:$B$755,$A4377)&gt;0,1,0))</f>
        <v/>
      </c>
      <c r="P4377" s="16">
        <f t="shared" si="4"/>
        <v>0</v>
      </c>
    </row>
    <row r="4378" ht="15.75" customHeight="1">
      <c r="A4378" s="14">
        <v>42654.0</v>
      </c>
      <c r="B4378" s="15">
        <v>0.87</v>
      </c>
      <c r="C4378" s="15">
        <v>2.06</v>
      </c>
      <c r="D4378" s="15">
        <v>1.93</v>
      </c>
      <c r="E4378" s="15">
        <v>1.9</v>
      </c>
      <c r="F4378" s="15">
        <f t="shared" si="1"/>
        <v>1.19</v>
      </c>
      <c r="G4378" s="15">
        <f t="shared" si="2"/>
        <v>2.06</v>
      </c>
      <c r="H4378" s="16">
        <v>0.0</v>
      </c>
      <c r="I4378" s="15">
        <f t="shared" si="3"/>
        <v>1.19</v>
      </c>
      <c r="J4378" s="15">
        <v>15.36</v>
      </c>
      <c r="K4378" s="16">
        <f>IF(COUNTIFS(Release_Calendar!$A$2:$A$755,"US_CPI",Release_Calendar!$B$2:$B$755,$A4378)&gt;0,1,0)</f>
        <v>0</v>
      </c>
      <c r="L4378" s="16">
        <f>IF(COUNTIFS(Release_Calendar!$A$2:$A$755,"US_NFP",Release_Calendar!$B$2:$B$755,$A4378)&gt;0,1,0)</f>
        <v>0</v>
      </c>
      <c r="M4378" s="16" t="str">
        <f>IF($A4378&lt;Notes!$B$5,"",IF(COUNTIFS(Release_Calendar!$A$2:$A$755,"NZ_CPI",Release_Calendar!$B$2:$B$755,$A4378)&gt;0,1,0))</f>
        <v/>
      </c>
      <c r="N4378" s="16" t="str">
        <f>IF($A4378&lt;Notes!$B$5,"",IF(COUNTIFS(Release_Calendar!$A$2:$A$755,"NZ_GDP",Release_Calendar!$B$2:$B$755,$A4378)&gt;0,1,0))</f>
        <v/>
      </c>
      <c r="O4378" s="16" t="str">
        <f>IF($A4378&lt;Notes!$B$5,"",IF(COUNTIFS(Release_Calendar!$A$2:$A$755,"NZ_LABOUR",Release_Calendar!$B$2:$B$755,$A4378)&gt;0,1,0))</f>
        <v/>
      </c>
      <c r="P4378" s="16">
        <f t="shared" si="4"/>
        <v>0</v>
      </c>
    </row>
    <row r="4379" ht="15.75" customHeight="1">
      <c r="A4379" s="14">
        <v>42655.0</v>
      </c>
      <c r="B4379" s="15">
        <v>0.87</v>
      </c>
      <c r="C4379" s="15">
        <v>2.08</v>
      </c>
      <c r="D4379" s="15">
        <v>1.89</v>
      </c>
      <c r="E4379" s="15">
        <v>1.91</v>
      </c>
      <c r="F4379" s="15">
        <f t="shared" si="1"/>
        <v>1.21</v>
      </c>
      <c r="G4379" s="15">
        <f t="shared" si="2"/>
        <v>2.08</v>
      </c>
      <c r="H4379" s="16">
        <v>0.0</v>
      </c>
      <c r="I4379" s="15">
        <f t="shared" si="3"/>
        <v>1.21</v>
      </c>
      <c r="J4379" s="15">
        <v>15.91</v>
      </c>
      <c r="K4379" s="16">
        <f>IF(COUNTIFS(Release_Calendar!$A$2:$A$755,"US_CPI",Release_Calendar!$B$2:$B$755,$A4379)&gt;0,1,0)</f>
        <v>0</v>
      </c>
      <c r="L4379" s="16">
        <f>IF(COUNTIFS(Release_Calendar!$A$2:$A$755,"US_NFP",Release_Calendar!$B$2:$B$755,$A4379)&gt;0,1,0)</f>
        <v>0</v>
      </c>
      <c r="M4379" s="16" t="str">
        <f>IF($A4379&lt;Notes!$B$5,"",IF(COUNTIFS(Release_Calendar!$A$2:$A$755,"NZ_CPI",Release_Calendar!$B$2:$B$755,$A4379)&gt;0,1,0))</f>
        <v/>
      </c>
      <c r="N4379" s="16" t="str">
        <f>IF($A4379&lt;Notes!$B$5,"",IF(COUNTIFS(Release_Calendar!$A$2:$A$755,"NZ_GDP",Release_Calendar!$B$2:$B$755,$A4379)&gt;0,1,0))</f>
        <v/>
      </c>
      <c r="O4379" s="16" t="str">
        <f>IF($A4379&lt;Notes!$B$5,"",IF(COUNTIFS(Release_Calendar!$A$2:$A$755,"NZ_LABOUR",Release_Calendar!$B$2:$B$755,$A4379)&gt;0,1,0))</f>
        <v/>
      </c>
      <c r="P4379" s="16">
        <f t="shared" si="4"/>
        <v>0</v>
      </c>
    </row>
    <row r="4380" ht="15.75" customHeight="1">
      <c r="A4380" s="14">
        <v>42656.0</v>
      </c>
      <c r="B4380" s="15">
        <v>0.85</v>
      </c>
      <c r="C4380" s="15">
        <v>2.04</v>
      </c>
      <c r="D4380" s="15">
        <v>1.88</v>
      </c>
      <c r="E4380" s="15">
        <v>1.89</v>
      </c>
      <c r="F4380" s="15">
        <f t="shared" si="1"/>
        <v>1.19</v>
      </c>
      <c r="G4380" s="15">
        <f t="shared" si="2"/>
        <v>2.04</v>
      </c>
      <c r="H4380" s="16">
        <v>0.0</v>
      </c>
      <c r="I4380" s="15">
        <f t="shared" si="3"/>
        <v>1.19</v>
      </c>
      <c r="J4380" s="15">
        <v>16.69</v>
      </c>
      <c r="K4380" s="16">
        <f>IF(COUNTIFS(Release_Calendar!$A$2:$A$755,"US_CPI",Release_Calendar!$B$2:$B$755,$A4380)&gt;0,1,0)</f>
        <v>0</v>
      </c>
      <c r="L4380" s="16">
        <f>IF(COUNTIFS(Release_Calendar!$A$2:$A$755,"US_NFP",Release_Calendar!$B$2:$B$755,$A4380)&gt;0,1,0)</f>
        <v>0</v>
      </c>
      <c r="M4380" s="16" t="str">
        <f>IF($A4380&lt;Notes!$B$5,"",IF(COUNTIFS(Release_Calendar!$A$2:$A$755,"NZ_CPI",Release_Calendar!$B$2:$B$755,$A4380)&gt;0,1,0))</f>
        <v/>
      </c>
      <c r="N4380" s="16" t="str">
        <f>IF($A4380&lt;Notes!$B$5,"",IF(COUNTIFS(Release_Calendar!$A$2:$A$755,"NZ_GDP",Release_Calendar!$B$2:$B$755,$A4380)&gt;0,1,0))</f>
        <v/>
      </c>
      <c r="O4380" s="16" t="str">
        <f>IF($A4380&lt;Notes!$B$5,"",IF(COUNTIFS(Release_Calendar!$A$2:$A$755,"NZ_LABOUR",Release_Calendar!$B$2:$B$755,$A4380)&gt;0,1,0))</f>
        <v/>
      </c>
      <c r="P4380" s="16">
        <f t="shared" si="4"/>
        <v>0</v>
      </c>
    </row>
    <row r="4381" ht="15.75" customHeight="1">
      <c r="A4381" s="14">
        <v>42657.0</v>
      </c>
      <c r="B4381" s="15">
        <v>0.84</v>
      </c>
      <c r="C4381" s="15">
        <v>2.06</v>
      </c>
      <c r="D4381" s="15">
        <v>1.88</v>
      </c>
      <c r="E4381" s="15">
        <v>1.88</v>
      </c>
      <c r="F4381" s="15">
        <f t="shared" si="1"/>
        <v>1.22</v>
      </c>
      <c r="G4381" s="15">
        <f t="shared" si="2"/>
        <v>2.06</v>
      </c>
      <c r="H4381" s="16">
        <v>0.0</v>
      </c>
      <c r="I4381" s="15">
        <f t="shared" si="3"/>
        <v>1.22</v>
      </c>
      <c r="J4381" s="15">
        <v>16.12</v>
      </c>
      <c r="K4381" s="16">
        <f>IF(COUNTIFS(Release_Calendar!$A$2:$A$755,"US_CPI",Release_Calendar!$B$2:$B$755,$A4381)&gt;0,1,0)</f>
        <v>0</v>
      </c>
      <c r="L4381" s="16">
        <f>IF(COUNTIFS(Release_Calendar!$A$2:$A$755,"US_NFP",Release_Calendar!$B$2:$B$755,$A4381)&gt;0,1,0)</f>
        <v>0</v>
      </c>
      <c r="M4381" s="16" t="str">
        <f>IF($A4381&lt;Notes!$B$5,"",IF(COUNTIFS(Release_Calendar!$A$2:$A$755,"NZ_CPI",Release_Calendar!$B$2:$B$755,$A4381)&gt;0,1,0))</f>
        <v/>
      </c>
      <c r="N4381" s="16" t="str">
        <f>IF($A4381&lt;Notes!$B$5,"",IF(COUNTIFS(Release_Calendar!$A$2:$A$755,"NZ_GDP",Release_Calendar!$B$2:$B$755,$A4381)&gt;0,1,0))</f>
        <v/>
      </c>
      <c r="O4381" s="16" t="str">
        <f>IF($A4381&lt;Notes!$B$5,"",IF(COUNTIFS(Release_Calendar!$A$2:$A$755,"NZ_LABOUR",Release_Calendar!$B$2:$B$755,$A4381)&gt;0,1,0))</f>
        <v/>
      </c>
      <c r="P4381" s="16">
        <f t="shared" si="4"/>
        <v>0</v>
      </c>
    </row>
    <row r="4382" ht="15.75" customHeight="1">
      <c r="A4382" s="14">
        <v>42660.0</v>
      </c>
      <c r="B4382" s="15">
        <v>0.81</v>
      </c>
      <c r="C4382" s="15">
        <v>2.08</v>
      </c>
      <c r="D4382" s="15">
        <v>1.9</v>
      </c>
      <c r="E4382" s="15">
        <v>1.89</v>
      </c>
      <c r="F4382" s="15">
        <f t="shared" si="1"/>
        <v>1.27</v>
      </c>
      <c r="G4382" s="15">
        <f t="shared" si="2"/>
        <v>2.08</v>
      </c>
      <c r="H4382" s="16">
        <v>0.0</v>
      </c>
      <c r="I4382" s="15">
        <f t="shared" si="3"/>
        <v>1.27</v>
      </c>
      <c r="J4382" s="15">
        <v>16.21</v>
      </c>
      <c r="K4382" s="16">
        <f>IF(COUNTIFS(Release_Calendar!$A$2:$A$755,"US_CPI",Release_Calendar!$B$2:$B$755,$A4382)&gt;0,1,0)</f>
        <v>0</v>
      </c>
      <c r="L4382" s="16">
        <f>IF(COUNTIFS(Release_Calendar!$A$2:$A$755,"US_NFP",Release_Calendar!$B$2:$B$755,$A4382)&gt;0,1,0)</f>
        <v>0</v>
      </c>
      <c r="M4382" s="16" t="str">
        <f>IF($A4382&lt;Notes!$B$5,"",IF(COUNTIFS(Release_Calendar!$A$2:$A$755,"NZ_CPI",Release_Calendar!$B$2:$B$755,$A4382)&gt;0,1,0))</f>
        <v/>
      </c>
      <c r="N4382" s="16" t="str">
        <f>IF($A4382&lt;Notes!$B$5,"",IF(COUNTIFS(Release_Calendar!$A$2:$A$755,"NZ_GDP",Release_Calendar!$B$2:$B$755,$A4382)&gt;0,1,0))</f>
        <v/>
      </c>
      <c r="O4382" s="16" t="str">
        <f>IF($A4382&lt;Notes!$B$5,"",IF(COUNTIFS(Release_Calendar!$A$2:$A$755,"NZ_LABOUR",Release_Calendar!$B$2:$B$755,$A4382)&gt;0,1,0))</f>
        <v/>
      </c>
      <c r="P4382" s="16">
        <f t="shared" si="4"/>
        <v>0</v>
      </c>
    </row>
    <row r="4383" ht="15.75" customHeight="1">
      <c r="A4383" s="14">
        <v>42661.0</v>
      </c>
      <c r="B4383" s="15">
        <v>0.82</v>
      </c>
      <c r="C4383" s="15">
        <v>2.13</v>
      </c>
      <c r="D4383" s="15">
        <v>1.92</v>
      </c>
      <c r="E4383" s="15">
        <v>1.95</v>
      </c>
      <c r="F4383" s="15">
        <f t="shared" si="1"/>
        <v>1.31</v>
      </c>
      <c r="G4383" s="15">
        <f t="shared" si="2"/>
        <v>2.13</v>
      </c>
      <c r="H4383" s="16">
        <v>0.0</v>
      </c>
      <c r="I4383" s="15">
        <f t="shared" si="3"/>
        <v>1.31</v>
      </c>
      <c r="J4383" s="15">
        <v>15.28</v>
      </c>
      <c r="K4383" s="16">
        <f>IF(COUNTIFS(Release_Calendar!$A$2:$A$755,"US_CPI",Release_Calendar!$B$2:$B$755,$A4383)&gt;0,1,0)</f>
        <v>1</v>
      </c>
      <c r="L4383" s="16">
        <f>IF(COUNTIFS(Release_Calendar!$A$2:$A$755,"US_NFP",Release_Calendar!$B$2:$B$755,$A4383)&gt;0,1,0)</f>
        <v>0</v>
      </c>
      <c r="M4383" s="16" t="str">
        <f>IF($A4383&lt;Notes!$B$5,"",IF(COUNTIFS(Release_Calendar!$A$2:$A$755,"NZ_CPI",Release_Calendar!$B$2:$B$755,$A4383)&gt;0,1,0))</f>
        <v/>
      </c>
      <c r="N4383" s="16" t="str">
        <f>IF($A4383&lt;Notes!$B$5,"",IF(COUNTIFS(Release_Calendar!$A$2:$A$755,"NZ_GDP",Release_Calendar!$B$2:$B$755,$A4383)&gt;0,1,0))</f>
        <v/>
      </c>
      <c r="O4383" s="16" t="str">
        <f>IF($A4383&lt;Notes!$B$5,"",IF(COUNTIFS(Release_Calendar!$A$2:$A$755,"NZ_LABOUR",Release_Calendar!$B$2:$B$755,$A4383)&gt;0,1,0))</f>
        <v/>
      </c>
      <c r="P4383" s="16">
        <f t="shared" si="4"/>
        <v>1</v>
      </c>
    </row>
    <row r="4384" ht="15.75" customHeight="1">
      <c r="A4384" s="14">
        <v>42662.0</v>
      </c>
      <c r="B4384" s="15">
        <v>0.81</v>
      </c>
      <c r="C4384" s="15">
        <v>2.11</v>
      </c>
      <c r="D4384" s="15">
        <v>1.94</v>
      </c>
      <c r="E4384" s="15">
        <v>1.95</v>
      </c>
      <c r="F4384" s="15">
        <f t="shared" si="1"/>
        <v>1.3</v>
      </c>
      <c r="G4384" s="15">
        <f t="shared" si="2"/>
        <v>2.11</v>
      </c>
      <c r="H4384" s="16">
        <v>0.0</v>
      </c>
      <c r="I4384" s="15">
        <f t="shared" si="3"/>
        <v>1.3</v>
      </c>
      <c r="J4384" s="15">
        <v>14.41</v>
      </c>
      <c r="K4384" s="16">
        <f>IF(COUNTIFS(Release_Calendar!$A$2:$A$755,"US_CPI",Release_Calendar!$B$2:$B$755,$A4384)&gt;0,1,0)</f>
        <v>0</v>
      </c>
      <c r="L4384" s="16">
        <f>IF(COUNTIFS(Release_Calendar!$A$2:$A$755,"US_NFP",Release_Calendar!$B$2:$B$755,$A4384)&gt;0,1,0)</f>
        <v>0</v>
      </c>
      <c r="M4384" s="16" t="str">
        <f>IF($A4384&lt;Notes!$B$5,"",IF(COUNTIFS(Release_Calendar!$A$2:$A$755,"NZ_CPI",Release_Calendar!$B$2:$B$755,$A4384)&gt;0,1,0))</f>
        <v/>
      </c>
      <c r="N4384" s="16" t="str">
        <f>IF($A4384&lt;Notes!$B$5,"",IF(COUNTIFS(Release_Calendar!$A$2:$A$755,"NZ_GDP",Release_Calendar!$B$2:$B$755,$A4384)&gt;0,1,0))</f>
        <v/>
      </c>
      <c r="O4384" s="16" t="str">
        <f>IF($A4384&lt;Notes!$B$5,"",IF(COUNTIFS(Release_Calendar!$A$2:$A$755,"NZ_LABOUR",Release_Calendar!$B$2:$B$755,$A4384)&gt;0,1,0))</f>
        <v/>
      </c>
      <c r="P4384" s="16">
        <f t="shared" si="4"/>
        <v>0</v>
      </c>
    </row>
    <row r="4385" ht="15.75" customHeight="1">
      <c r="A4385" s="14">
        <v>42663.0</v>
      </c>
      <c r="B4385" s="15">
        <v>0.84</v>
      </c>
      <c r="C4385" s="15">
        <v>2.09</v>
      </c>
      <c r="D4385" s="15">
        <v>1.95</v>
      </c>
      <c r="E4385" s="15">
        <v>1.93</v>
      </c>
      <c r="F4385" s="15">
        <f t="shared" si="1"/>
        <v>1.25</v>
      </c>
      <c r="G4385" s="15">
        <f t="shared" si="2"/>
        <v>2.09</v>
      </c>
      <c r="H4385" s="16">
        <v>0.0</v>
      </c>
      <c r="I4385" s="15">
        <f t="shared" si="3"/>
        <v>1.25</v>
      </c>
      <c r="J4385" s="15">
        <v>13.75</v>
      </c>
      <c r="K4385" s="16">
        <f>IF(COUNTIFS(Release_Calendar!$A$2:$A$755,"US_CPI",Release_Calendar!$B$2:$B$755,$A4385)&gt;0,1,0)</f>
        <v>0</v>
      </c>
      <c r="L4385" s="16">
        <f>IF(COUNTIFS(Release_Calendar!$A$2:$A$755,"US_NFP",Release_Calendar!$B$2:$B$755,$A4385)&gt;0,1,0)</f>
        <v>0</v>
      </c>
      <c r="M4385" s="16" t="str">
        <f>IF($A4385&lt;Notes!$B$5,"",IF(COUNTIFS(Release_Calendar!$A$2:$A$755,"NZ_CPI",Release_Calendar!$B$2:$B$755,$A4385)&gt;0,1,0))</f>
        <v/>
      </c>
      <c r="N4385" s="16" t="str">
        <f>IF($A4385&lt;Notes!$B$5,"",IF(COUNTIFS(Release_Calendar!$A$2:$A$755,"NZ_GDP",Release_Calendar!$B$2:$B$755,$A4385)&gt;0,1,0))</f>
        <v/>
      </c>
      <c r="O4385" s="16" t="str">
        <f>IF($A4385&lt;Notes!$B$5,"",IF(COUNTIFS(Release_Calendar!$A$2:$A$755,"NZ_LABOUR",Release_Calendar!$B$2:$B$755,$A4385)&gt;0,1,0))</f>
        <v/>
      </c>
      <c r="P4385" s="16">
        <f t="shared" si="4"/>
        <v>0</v>
      </c>
    </row>
    <row r="4386" ht="15.75" customHeight="1">
      <c r="A4386" s="14">
        <v>42664.0</v>
      </c>
      <c r="B4386" s="15">
        <v>0.84</v>
      </c>
      <c r="C4386" s="15">
        <v>2.08</v>
      </c>
      <c r="D4386" s="15">
        <v>1.92</v>
      </c>
      <c r="E4386" s="15">
        <v>1.93</v>
      </c>
      <c r="F4386" s="15">
        <f t="shared" si="1"/>
        <v>1.24</v>
      </c>
      <c r="G4386" s="15">
        <f t="shared" si="2"/>
        <v>2.08</v>
      </c>
      <c r="H4386" s="16">
        <v>0.0</v>
      </c>
      <c r="I4386" s="15">
        <f t="shared" si="3"/>
        <v>1.24</v>
      </c>
      <c r="J4386" s="15">
        <v>13.34</v>
      </c>
      <c r="K4386" s="16">
        <f>IF(COUNTIFS(Release_Calendar!$A$2:$A$755,"US_CPI",Release_Calendar!$B$2:$B$755,$A4386)&gt;0,1,0)</f>
        <v>0</v>
      </c>
      <c r="L4386" s="16">
        <f>IF(COUNTIFS(Release_Calendar!$A$2:$A$755,"US_NFP",Release_Calendar!$B$2:$B$755,$A4386)&gt;0,1,0)</f>
        <v>0</v>
      </c>
      <c r="M4386" s="16" t="str">
        <f>IF($A4386&lt;Notes!$B$5,"",IF(COUNTIFS(Release_Calendar!$A$2:$A$755,"NZ_CPI",Release_Calendar!$B$2:$B$755,$A4386)&gt;0,1,0))</f>
        <v/>
      </c>
      <c r="N4386" s="16" t="str">
        <f>IF($A4386&lt;Notes!$B$5,"",IF(COUNTIFS(Release_Calendar!$A$2:$A$755,"NZ_GDP",Release_Calendar!$B$2:$B$755,$A4386)&gt;0,1,0))</f>
        <v/>
      </c>
      <c r="O4386" s="16" t="str">
        <f>IF($A4386&lt;Notes!$B$5,"",IF(COUNTIFS(Release_Calendar!$A$2:$A$755,"NZ_LABOUR",Release_Calendar!$B$2:$B$755,$A4386)&gt;0,1,0))</f>
        <v/>
      </c>
      <c r="P4386" s="16">
        <f t="shared" si="4"/>
        <v>0</v>
      </c>
    </row>
    <row r="4387" ht="15.75" customHeight="1">
      <c r="A4387" s="14">
        <v>42667.0</v>
      </c>
      <c r="B4387" s="15">
        <v>0.84</v>
      </c>
      <c r="C4387" s="15"/>
      <c r="D4387" s="15"/>
      <c r="E4387" s="15"/>
      <c r="F4387" s="15" t="str">
        <f t="shared" si="1"/>
        <v/>
      </c>
      <c r="G4387" s="15" t="str">
        <f t="shared" si="2"/>
        <v/>
      </c>
      <c r="H4387" s="16">
        <v>0.0</v>
      </c>
      <c r="I4387" s="15" t="str">
        <f t="shared" si="3"/>
        <v/>
      </c>
      <c r="J4387" s="15">
        <v>13.02</v>
      </c>
      <c r="K4387" s="16">
        <f>IF(COUNTIFS(Release_Calendar!$A$2:$A$755,"US_CPI",Release_Calendar!$B$2:$B$755,$A4387)&gt;0,1,0)</f>
        <v>0</v>
      </c>
      <c r="L4387" s="16">
        <f>IF(COUNTIFS(Release_Calendar!$A$2:$A$755,"US_NFP",Release_Calendar!$B$2:$B$755,$A4387)&gt;0,1,0)</f>
        <v>0</v>
      </c>
      <c r="M4387" s="16" t="str">
        <f>IF($A4387&lt;Notes!$B$5,"",IF(COUNTIFS(Release_Calendar!$A$2:$A$755,"NZ_CPI",Release_Calendar!$B$2:$B$755,$A4387)&gt;0,1,0))</f>
        <v/>
      </c>
      <c r="N4387" s="16" t="str">
        <f>IF($A4387&lt;Notes!$B$5,"",IF(COUNTIFS(Release_Calendar!$A$2:$A$755,"NZ_GDP",Release_Calendar!$B$2:$B$755,$A4387)&gt;0,1,0))</f>
        <v/>
      </c>
      <c r="O4387" s="16" t="str">
        <f>IF($A4387&lt;Notes!$B$5,"",IF(COUNTIFS(Release_Calendar!$A$2:$A$755,"NZ_LABOUR",Release_Calendar!$B$2:$B$755,$A4387)&gt;0,1,0))</f>
        <v/>
      </c>
      <c r="P4387" s="16">
        <f t="shared" si="4"/>
        <v>0</v>
      </c>
    </row>
    <row r="4388" ht="15.75" customHeight="1">
      <c r="A4388" s="14">
        <v>42668.0</v>
      </c>
      <c r="B4388" s="15">
        <v>0.86</v>
      </c>
      <c r="C4388" s="15">
        <v>2.1</v>
      </c>
      <c r="D4388" s="15">
        <v>1.9</v>
      </c>
      <c r="E4388" s="15">
        <v>1.94</v>
      </c>
      <c r="F4388" s="15">
        <f t="shared" si="1"/>
        <v>1.24</v>
      </c>
      <c r="G4388" s="15">
        <f t="shared" si="2"/>
        <v>2.1</v>
      </c>
      <c r="H4388" s="16">
        <v>0.0</v>
      </c>
      <c r="I4388" s="15">
        <f t="shared" si="3"/>
        <v>1.24</v>
      </c>
      <c r="J4388" s="15">
        <v>13.46</v>
      </c>
      <c r="K4388" s="16">
        <f>IF(COUNTIFS(Release_Calendar!$A$2:$A$755,"US_CPI",Release_Calendar!$B$2:$B$755,$A4388)&gt;0,1,0)</f>
        <v>0</v>
      </c>
      <c r="L4388" s="16">
        <f>IF(COUNTIFS(Release_Calendar!$A$2:$A$755,"US_NFP",Release_Calendar!$B$2:$B$755,$A4388)&gt;0,1,0)</f>
        <v>0</v>
      </c>
      <c r="M4388" s="16" t="str">
        <f>IF($A4388&lt;Notes!$B$5,"",IF(COUNTIFS(Release_Calendar!$A$2:$A$755,"NZ_CPI",Release_Calendar!$B$2:$B$755,$A4388)&gt;0,1,0))</f>
        <v/>
      </c>
      <c r="N4388" s="16" t="str">
        <f>IF($A4388&lt;Notes!$B$5,"",IF(COUNTIFS(Release_Calendar!$A$2:$A$755,"NZ_GDP",Release_Calendar!$B$2:$B$755,$A4388)&gt;0,1,0))</f>
        <v/>
      </c>
      <c r="O4388" s="16" t="str">
        <f>IF($A4388&lt;Notes!$B$5,"",IF(COUNTIFS(Release_Calendar!$A$2:$A$755,"NZ_LABOUR",Release_Calendar!$B$2:$B$755,$A4388)&gt;0,1,0))</f>
        <v/>
      </c>
      <c r="P4388" s="16">
        <f t="shared" si="4"/>
        <v>0</v>
      </c>
    </row>
    <row r="4389" ht="15.75" customHeight="1">
      <c r="A4389" s="14">
        <v>42669.0</v>
      </c>
      <c r="B4389" s="15">
        <v>0.86</v>
      </c>
      <c r="C4389" s="15">
        <v>2.12</v>
      </c>
      <c r="D4389" s="15">
        <v>1.94</v>
      </c>
      <c r="E4389" s="15">
        <v>1.95</v>
      </c>
      <c r="F4389" s="15">
        <f t="shared" si="1"/>
        <v>1.26</v>
      </c>
      <c r="G4389" s="15">
        <f t="shared" si="2"/>
        <v>2.12</v>
      </c>
      <c r="H4389" s="16">
        <v>0.0</v>
      </c>
      <c r="I4389" s="15">
        <f t="shared" si="3"/>
        <v>1.26</v>
      </c>
      <c r="J4389" s="15">
        <v>14.24</v>
      </c>
      <c r="K4389" s="16">
        <f>IF(COUNTIFS(Release_Calendar!$A$2:$A$755,"US_CPI",Release_Calendar!$B$2:$B$755,$A4389)&gt;0,1,0)</f>
        <v>0</v>
      </c>
      <c r="L4389" s="16">
        <f>IF(COUNTIFS(Release_Calendar!$A$2:$A$755,"US_NFP",Release_Calendar!$B$2:$B$755,$A4389)&gt;0,1,0)</f>
        <v>0</v>
      </c>
      <c r="M4389" s="16" t="str">
        <f>IF($A4389&lt;Notes!$B$5,"",IF(COUNTIFS(Release_Calendar!$A$2:$A$755,"NZ_CPI",Release_Calendar!$B$2:$B$755,$A4389)&gt;0,1,0))</f>
        <v/>
      </c>
      <c r="N4389" s="16" t="str">
        <f>IF($A4389&lt;Notes!$B$5,"",IF(COUNTIFS(Release_Calendar!$A$2:$A$755,"NZ_GDP",Release_Calendar!$B$2:$B$755,$A4389)&gt;0,1,0))</f>
        <v/>
      </c>
      <c r="O4389" s="16" t="str">
        <f>IF($A4389&lt;Notes!$B$5,"",IF(COUNTIFS(Release_Calendar!$A$2:$A$755,"NZ_LABOUR",Release_Calendar!$B$2:$B$755,$A4389)&gt;0,1,0))</f>
        <v/>
      </c>
      <c r="P4389" s="16">
        <f t="shared" si="4"/>
        <v>0</v>
      </c>
    </row>
    <row r="4390" ht="15.75" customHeight="1">
      <c r="A4390" s="14">
        <v>42670.0</v>
      </c>
      <c r="B4390" s="15">
        <v>0.87</v>
      </c>
      <c r="C4390" s="15">
        <v>2.14</v>
      </c>
      <c r="D4390" s="15">
        <v>1.98</v>
      </c>
      <c r="E4390" s="15">
        <v>1.98</v>
      </c>
      <c r="F4390" s="15">
        <f t="shared" si="1"/>
        <v>1.27</v>
      </c>
      <c r="G4390" s="15">
        <f t="shared" si="2"/>
        <v>2.14</v>
      </c>
      <c r="H4390" s="16">
        <v>0.0</v>
      </c>
      <c r="I4390" s="15">
        <f t="shared" si="3"/>
        <v>1.27</v>
      </c>
      <c r="J4390" s="15">
        <v>15.36</v>
      </c>
      <c r="K4390" s="16">
        <f>IF(COUNTIFS(Release_Calendar!$A$2:$A$755,"US_CPI",Release_Calendar!$B$2:$B$755,$A4390)&gt;0,1,0)</f>
        <v>0</v>
      </c>
      <c r="L4390" s="16">
        <f>IF(COUNTIFS(Release_Calendar!$A$2:$A$755,"US_NFP",Release_Calendar!$B$2:$B$755,$A4390)&gt;0,1,0)</f>
        <v>0</v>
      </c>
      <c r="M4390" s="16" t="str">
        <f>IF($A4390&lt;Notes!$B$5,"",IF(COUNTIFS(Release_Calendar!$A$2:$A$755,"NZ_CPI",Release_Calendar!$B$2:$B$755,$A4390)&gt;0,1,0))</f>
        <v/>
      </c>
      <c r="N4390" s="16" t="str">
        <f>IF($A4390&lt;Notes!$B$5,"",IF(COUNTIFS(Release_Calendar!$A$2:$A$755,"NZ_GDP",Release_Calendar!$B$2:$B$755,$A4390)&gt;0,1,0))</f>
        <v/>
      </c>
      <c r="O4390" s="16" t="str">
        <f>IF($A4390&lt;Notes!$B$5,"",IF(COUNTIFS(Release_Calendar!$A$2:$A$755,"NZ_LABOUR",Release_Calendar!$B$2:$B$755,$A4390)&gt;0,1,0))</f>
        <v/>
      </c>
      <c r="P4390" s="16">
        <f t="shared" si="4"/>
        <v>0</v>
      </c>
    </row>
    <row r="4391" ht="15.75" customHeight="1">
      <c r="A4391" s="14">
        <v>42671.0</v>
      </c>
      <c r="B4391" s="15">
        <v>0.86</v>
      </c>
      <c r="C4391" s="15">
        <v>2.15</v>
      </c>
      <c r="D4391" s="15">
        <v>2.02</v>
      </c>
      <c r="E4391" s="15">
        <v>2.0</v>
      </c>
      <c r="F4391" s="15">
        <f t="shared" si="1"/>
        <v>1.29</v>
      </c>
      <c r="G4391" s="15">
        <f t="shared" si="2"/>
        <v>2.15</v>
      </c>
      <c r="H4391" s="16">
        <v>0.0</v>
      </c>
      <c r="I4391" s="15">
        <f t="shared" si="3"/>
        <v>1.29</v>
      </c>
      <c r="J4391" s="15">
        <v>16.19</v>
      </c>
      <c r="K4391" s="16">
        <f>IF(COUNTIFS(Release_Calendar!$A$2:$A$755,"US_CPI",Release_Calendar!$B$2:$B$755,$A4391)&gt;0,1,0)</f>
        <v>0</v>
      </c>
      <c r="L4391" s="16">
        <f>IF(COUNTIFS(Release_Calendar!$A$2:$A$755,"US_NFP",Release_Calendar!$B$2:$B$755,$A4391)&gt;0,1,0)</f>
        <v>0</v>
      </c>
      <c r="M4391" s="16" t="str">
        <f>IF($A4391&lt;Notes!$B$5,"",IF(COUNTIFS(Release_Calendar!$A$2:$A$755,"NZ_CPI",Release_Calendar!$B$2:$B$755,$A4391)&gt;0,1,0))</f>
        <v/>
      </c>
      <c r="N4391" s="16" t="str">
        <f>IF($A4391&lt;Notes!$B$5,"",IF(COUNTIFS(Release_Calendar!$A$2:$A$755,"NZ_GDP",Release_Calendar!$B$2:$B$755,$A4391)&gt;0,1,0))</f>
        <v/>
      </c>
      <c r="O4391" s="16" t="str">
        <f>IF($A4391&lt;Notes!$B$5,"",IF(COUNTIFS(Release_Calendar!$A$2:$A$755,"NZ_LABOUR",Release_Calendar!$B$2:$B$755,$A4391)&gt;0,1,0))</f>
        <v/>
      </c>
      <c r="P4391" s="16">
        <f t="shared" si="4"/>
        <v>0</v>
      </c>
    </row>
    <row r="4392" ht="15.75" customHeight="1">
      <c r="A4392" s="14">
        <v>42674.0</v>
      </c>
      <c r="B4392" s="15">
        <v>0.86</v>
      </c>
      <c r="C4392" s="15">
        <v>2.13</v>
      </c>
      <c r="D4392" s="15">
        <v>1.97</v>
      </c>
      <c r="E4392" s="15">
        <v>2.0</v>
      </c>
      <c r="F4392" s="15">
        <f t="shared" si="1"/>
        <v>1.27</v>
      </c>
      <c r="G4392" s="15">
        <f t="shared" si="2"/>
        <v>2.13</v>
      </c>
      <c r="H4392" s="16">
        <v>0.0</v>
      </c>
      <c r="I4392" s="15">
        <f t="shared" si="3"/>
        <v>1.27</v>
      </c>
      <c r="J4392" s="15">
        <v>17.06</v>
      </c>
      <c r="K4392" s="16">
        <f>IF(COUNTIFS(Release_Calendar!$A$2:$A$755,"US_CPI",Release_Calendar!$B$2:$B$755,$A4392)&gt;0,1,0)</f>
        <v>0</v>
      </c>
      <c r="L4392" s="16">
        <f>IF(COUNTIFS(Release_Calendar!$A$2:$A$755,"US_NFP",Release_Calendar!$B$2:$B$755,$A4392)&gt;0,1,0)</f>
        <v>0</v>
      </c>
      <c r="M4392" s="16" t="str">
        <f>IF($A4392&lt;Notes!$B$5,"",IF(COUNTIFS(Release_Calendar!$A$2:$A$755,"NZ_CPI",Release_Calendar!$B$2:$B$755,$A4392)&gt;0,1,0))</f>
        <v/>
      </c>
      <c r="N4392" s="16" t="str">
        <f>IF($A4392&lt;Notes!$B$5,"",IF(COUNTIFS(Release_Calendar!$A$2:$A$755,"NZ_GDP",Release_Calendar!$B$2:$B$755,$A4392)&gt;0,1,0))</f>
        <v/>
      </c>
      <c r="O4392" s="16" t="str">
        <f>IF($A4392&lt;Notes!$B$5,"",IF(COUNTIFS(Release_Calendar!$A$2:$A$755,"NZ_LABOUR",Release_Calendar!$B$2:$B$755,$A4392)&gt;0,1,0))</f>
        <v/>
      </c>
      <c r="P4392" s="16">
        <f t="shared" si="4"/>
        <v>0</v>
      </c>
    </row>
    <row r="4393" ht="15.75" customHeight="1">
      <c r="A4393" s="14">
        <v>42675.0</v>
      </c>
      <c r="B4393" s="15">
        <v>0.83</v>
      </c>
      <c r="C4393" s="15">
        <v>2.13</v>
      </c>
      <c r="D4393" s="15">
        <v>1.99</v>
      </c>
      <c r="E4393" s="15">
        <v>1.99</v>
      </c>
      <c r="F4393" s="15">
        <f t="shared" si="1"/>
        <v>1.3</v>
      </c>
      <c r="G4393" s="15">
        <f t="shared" si="2"/>
        <v>2.13</v>
      </c>
      <c r="H4393" s="16">
        <v>0.0</v>
      </c>
      <c r="I4393" s="15">
        <f t="shared" si="3"/>
        <v>1.3</v>
      </c>
      <c r="J4393" s="15">
        <v>18.56</v>
      </c>
      <c r="K4393" s="16">
        <f>IF(COUNTIFS(Release_Calendar!$A$2:$A$755,"US_CPI",Release_Calendar!$B$2:$B$755,$A4393)&gt;0,1,0)</f>
        <v>0</v>
      </c>
      <c r="L4393" s="16">
        <f>IF(COUNTIFS(Release_Calendar!$A$2:$A$755,"US_NFP",Release_Calendar!$B$2:$B$755,$A4393)&gt;0,1,0)</f>
        <v>0</v>
      </c>
      <c r="M4393" s="16" t="str">
        <f>IF($A4393&lt;Notes!$B$5,"",IF(COUNTIFS(Release_Calendar!$A$2:$A$755,"NZ_CPI",Release_Calendar!$B$2:$B$755,$A4393)&gt;0,1,0))</f>
        <v/>
      </c>
      <c r="N4393" s="16" t="str">
        <f>IF($A4393&lt;Notes!$B$5,"",IF(COUNTIFS(Release_Calendar!$A$2:$A$755,"NZ_GDP",Release_Calendar!$B$2:$B$755,$A4393)&gt;0,1,0))</f>
        <v/>
      </c>
      <c r="O4393" s="16" t="str">
        <f>IF($A4393&lt;Notes!$B$5,"",IF(COUNTIFS(Release_Calendar!$A$2:$A$755,"NZ_LABOUR",Release_Calendar!$B$2:$B$755,$A4393)&gt;0,1,0))</f>
        <v/>
      </c>
      <c r="P4393" s="16">
        <f t="shared" si="4"/>
        <v>0</v>
      </c>
    </row>
    <row r="4394" ht="15.75" customHeight="1">
      <c r="A4394" s="14">
        <v>42676.0</v>
      </c>
      <c r="B4394" s="15">
        <v>0.81</v>
      </c>
      <c r="C4394" s="15">
        <v>2.18</v>
      </c>
      <c r="D4394" s="15">
        <v>2.02</v>
      </c>
      <c r="E4394" s="15">
        <v>2.05</v>
      </c>
      <c r="F4394" s="15">
        <f t="shared" si="1"/>
        <v>1.37</v>
      </c>
      <c r="G4394" s="15">
        <f t="shared" si="2"/>
        <v>2.18</v>
      </c>
      <c r="H4394" s="16">
        <v>0.0</v>
      </c>
      <c r="I4394" s="15">
        <f t="shared" si="3"/>
        <v>1.37</v>
      </c>
      <c r="J4394" s="15">
        <v>19.32</v>
      </c>
      <c r="K4394" s="16">
        <f>IF(COUNTIFS(Release_Calendar!$A$2:$A$755,"US_CPI",Release_Calendar!$B$2:$B$755,$A4394)&gt;0,1,0)</f>
        <v>0</v>
      </c>
      <c r="L4394" s="16">
        <f>IF(COUNTIFS(Release_Calendar!$A$2:$A$755,"US_NFP",Release_Calendar!$B$2:$B$755,$A4394)&gt;0,1,0)</f>
        <v>0</v>
      </c>
      <c r="M4394" s="16" t="str">
        <f>IF($A4394&lt;Notes!$B$5,"",IF(COUNTIFS(Release_Calendar!$A$2:$A$755,"NZ_CPI",Release_Calendar!$B$2:$B$755,$A4394)&gt;0,1,0))</f>
        <v/>
      </c>
      <c r="N4394" s="16" t="str">
        <f>IF($A4394&lt;Notes!$B$5,"",IF(COUNTIFS(Release_Calendar!$A$2:$A$755,"NZ_GDP",Release_Calendar!$B$2:$B$755,$A4394)&gt;0,1,0))</f>
        <v/>
      </c>
      <c r="O4394" s="16" t="str">
        <f>IF($A4394&lt;Notes!$B$5,"",IF(COUNTIFS(Release_Calendar!$A$2:$A$755,"NZ_LABOUR",Release_Calendar!$B$2:$B$755,$A4394)&gt;0,1,0))</f>
        <v/>
      </c>
      <c r="P4394" s="16">
        <f t="shared" si="4"/>
        <v>0</v>
      </c>
    </row>
    <row r="4395" ht="15.75" customHeight="1">
      <c r="A4395" s="14">
        <v>42677.0</v>
      </c>
      <c r="B4395" s="15">
        <v>0.81</v>
      </c>
      <c r="C4395" s="15">
        <v>2.17</v>
      </c>
      <c r="D4395" s="15">
        <v>2.05</v>
      </c>
      <c r="E4395" s="15">
        <v>2.05</v>
      </c>
      <c r="F4395" s="15">
        <f t="shared" si="1"/>
        <v>1.36</v>
      </c>
      <c r="G4395" s="15">
        <f t="shared" si="2"/>
        <v>2.17</v>
      </c>
      <c r="H4395" s="16">
        <v>0.0</v>
      </c>
      <c r="I4395" s="15">
        <f t="shared" si="3"/>
        <v>1.36</v>
      </c>
      <c r="J4395" s="15">
        <v>22.08</v>
      </c>
      <c r="K4395" s="16">
        <f>IF(COUNTIFS(Release_Calendar!$A$2:$A$755,"US_CPI",Release_Calendar!$B$2:$B$755,$A4395)&gt;0,1,0)</f>
        <v>0</v>
      </c>
      <c r="L4395" s="16">
        <f>IF(COUNTIFS(Release_Calendar!$A$2:$A$755,"US_NFP",Release_Calendar!$B$2:$B$755,$A4395)&gt;0,1,0)</f>
        <v>0</v>
      </c>
      <c r="M4395" s="16" t="str">
        <f>IF($A4395&lt;Notes!$B$5,"",IF(COUNTIFS(Release_Calendar!$A$2:$A$755,"NZ_CPI",Release_Calendar!$B$2:$B$755,$A4395)&gt;0,1,0))</f>
        <v/>
      </c>
      <c r="N4395" s="16" t="str">
        <f>IF($A4395&lt;Notes!$B$5,"",IF(COUNTIFS(Release_Calendar!$A$2:$A$755,"NZ_GDP",Release_Calendar!$B$2:$B$755,$A4395)&gt;0,1,0))</f>
        <v/>
      </c>
      <c r="O4395" s="16" t="str">
        <f>IF($A4395&lt;Notes!$B$5,"",IF(COUNTIFS(Release_Calendar!$A$2:$A$755,"NZ_LABOUR",Release_Calendar!$B$2:$B$755,$A4395)&gt;0,1,0))</f>
        <v/>
      </c>
      <c r="P4395" s="16">
        <f t="shared" si="4"/>
        <v>0</v>
      </c>
    </row>
    <row r="4396" ht="15.75" customHeight="1">
      <c r="A4396" s="14">
        <v>42678.0</v>
      </c>
      <c r="B4396" s="15">
        <v>0.8</v>
      </c>
      <c r="C4396" s="15">
        <v>2.21</v>
      </c>
      <c r="D4396" s="15">
        <v>2.08</v>
      </c>
      <c r="E4396" s="15">
        <v>2.09</v>
      </c>
      <c r="F4396" s="15">
        <f t="shared" si="1"/>
        <v>1.41</v>
      </c>
      <c r="G4396" s="15">
        <f t="shared" si="2"/>
        <v>2.21</v>
      </c>
      <c r="H4396" s="16">
        <v>0.0</v>
      </c>
      <c r="I4396" s="15">
        <f t="shared" si="3"/>
        <v>1.41</v>
      </c>
      <c r="J4396" s="15">
        <v>22.51</v>
      </c>
      <c r="K4396" s="16">
        <f>IF(COUNTIFS(Release_Calendar!$A$2:$A$755,"US_CPI",Release_Calendar!$B$2:$B$755,$A4396)&gt;0,1,0)</f>
        <v>0</v>
      </c>
      <c r="L4396" s="16">
        <f>IF(COUNTIFS(Release_Calendar!$A$2:$A$755,"US_NFP",Release_Calendar!$B$2:$B$755,$A4396)&gt;0,1,0)</f>
        <v>1</v>
      </c>
      <c r="M4396" s="16" t="str">
        <f>IF($A4396&lt;Notes!$B$5,"",IF(COUNTIFS(Release_Calendar!$A$2:$A$755,"NZ_CPI",Release_Calendar!$B$2:$B$755,$A4396)&gt;0,1,0))</f>
        <v/>
      </c>
      <c r="N4396" s="16" t="str">
        <f>IF($A4396&lt;Notes!$B$5,"",IF(COUNTIFS(Release_Calendar!$A$2:$A$755,"NZ_GDP",Release_Calendar!$B$2:$B$755,$A4396)&gt;0,1,0))</f>
        <v/>
      </c>
      <c r="O4396" s="16" t="str">
        <f>IF($A4396&lt;Notes!$B$5,"",IF(COUNTIFS(Release_Calendar!$A$2:$A$755,"NZ_LABOUR",Release_Calendar!$B$2:$B$755,$A4396)&gt;0,1,0))</f>
        <v/>
      </c>
      <c r="P4396" s="16">
        <f t="shared" si="4"/>
        <v>1</v>
      </c>
    </row>
    <row r="4397" ht="15.75" customHeight="1">
      <c r="A4397" s="14">
        <v>42681.0</v>
      </c>
      <c r="B4397" s="15">
        <v>0.82</v>
      </c>
      <c r="C4397" s="15">
        <v>2.23</v>
      </c>
      <c r="D4397" s="15">
        <v>2.09</v>
      </c>
      <c r="E4397" s="15">
        <v>2.08</v>
      </c>
      <c r="F4397" s="15">
        <f t="shared" si="1"/>
        <v>1.41</v>
      </c>
      <c r="G4397" s="15">
        <f t="shared" si="2"/>
        <v>2.23</v>
      </c>
      <c r="H4397" s="16">
        <v>0.0</v>
      </c>
      <c r="I4397" s="15">
        <f t="shared" si="3"/>
        <v>1.41</v>
      </c>
      <c r="J4397" s="15">
        <v>18.71</v>
      </c>
      <c r="K4397" s="16">
        <f>IF(COUNTIFS(Release_Calendar!$A$2:$A$755,"US_CPI",Release_Calendar!$B$2:$B$755,$A4397)&gt;0,1,0)</f>
        <v>0</v>
      </c>
      <c r="L4397" s="16">
        <f>IF(COUNTIFS(Release_Calendar!$A$2:$A$755,"US_NFP",Release_Calendar!$B$2:$B$755,$A4397)&gt;0,1,0)</f>
        <v>0</v>
      </c>
      <c r="M4397" s="16" t="str">
        <f>IF($A4397&lt;Notes!$B$5,"",IF(COUNTIFS(Release_Calendar!$A$2:$A$755,"NZ_CPI",Release_Calendar!$B$2:$B$755,$A4397)&gt;0,1,0))</f>
        <v/>
      </c>
      <c r="N4397" s="16" t="str">
        <f>IF($A4397&lt;Notes!$B$5,"",IF(COUNTIFS(Release_Calendar!$A$2:$A$755,"NZ_GDP",Release_Calendar!$B$2:$B$755,$A4397)&gt;0,1,0))</f>
        <v/>
      </c>
      <c r="O4397" s="16" t="str">
        <f>IF($A4397&lt;Notes!$B$5,"",IF(COUNTIFS(Release_Calendar!$A$2:$A$755,"NZ_LABOUR",Release_Calendar!$B$2:$B$755,$A4397)&gt;0,1,0))</f>
        <v/>
      </c>
      <c r="P4397" s="16">
        <f t="shared" si="4"/>
        <v>0</v>
      </c>
    </row>
    <row r="4398" ht="15.75" customHeight="1">
      <c r="A4398" s="14">
        <v>42682.0</v>
      </c>
      <c r="B4398" s="15">
        <v>0.87</v>
      </c>
      <c r="C4398" s="15">
        <v>2.23</v>
      </c>
      <c r="D4398" s="15">
        <v>2.1</v>
      </c>
      <c r="E4398" s="15">
        <v>2.09</v>
      </c>
      <c r="F4398" s="15">
        <f t="shared" si="1"/>
        <v>1.36</v>
      </c>
      <c r="G4398" s="15">
        <f t="shared" si="2"/>
        <v>2.23</v>
      </c>
      <c r="H4398" s="16">
        <v>0.0</v>
      </c>
      <c r="I4398" s="15">
        <f t="shared" si="3"/>
        <v>1.36</v>
      </c>
      <c r="J4398" s="15">
        <v>18.74</v>
      </c>
      <c r="K4398" s="16">
        <f>IF(COUNTIFS(Release_Calendar!$A$2:$A$755,"US_CPI",Release_Calendar!$B$2:$B$755,$A4398)&gt;0,1,0)</f>
        <v>0</v>
      </c>
      <c r="L4398" s="16">
        <f>IF(COUNTIFS(Release_Calendar!$A$2:$A$755,"US_NFP",Release_Calendar!$B$2:$B$755,$A4398)&gt;0,1,0)</f>
        <v>0</v>
      </c>
      <c r="M4398" s="16" t="str">
        <f>IF($A4398&lt;Notes!$B$5,"",IF(COUNTIFS(Release_Calendar!$A$2:$A$755,"NZ_CPI",Release_Calendar!$B$2:$B$755,$A4398)&gt;0,1,0))</f>
        <v/>
      </c>
      <c r="N4398" s="16" t="str">
        <f>IF($A4398&lt;Notes!$B$5,"",IF(COUNTIFS(Release_Calendar!$A$2:$A$755,"NZ_GDP",Release_Calendar!$B$2:$B$755,$A4398)&gt;0,1,0))</f>
        <v/>
      </c>
      <c r="O4398" s="16" t="str">
        <f>IF($A4398&lt;Notes!$B$5,"",IF(COUNTIFS(Release_Calendar!$A$2:$A$755,"NZ_LABOUR",Release_Calendar!$B$2:$B$755,$A4398)&gt;0,1,0))</f>
        <v/>
      </c>
      <c r="P4398" s="16">
        <f t="shared" si="4"/>
        <v>0</v>
      </c>
    </row>
    <row r="4399" ht="15.75" customHeight="1">
      <c r="A4399" s="14">
        <v>42683.0</v>
      </c>
      <c r="B4399" s="15">
        <v>0.9</v>
      </c>
      <c r="C4399" s="15">
        <v>2.19</v>
      </c>
      <c r="D4399" s="15">
        <v>2.1</v>
      </c>
      <c r="E4399" s="15">
        <v>1.99</v>
      </c>
      <c r="F4399" s="15">
        <f t="shared" si="1"/>
        <v>1.29</v>
      </c>
      <c r="G4399" s="15">
        <f t="shared" si="2"/>
        <v>2.19</v>
      </c>
      <c r="H4399" s="16">
        <v>0.0</v>
      </c>
      <c r="I4399" s="15">
        <f t="shared" si="3"/>
        <v>1.29</v>
      </c>
      <c r="J4399" s="15">
        <v>14.38</v>
      </c>
      <c r="K4399" s="16">
        <f>IF(COUNTIFS(Release_Calendar!$A$2:$A$755,"US_CPI",Release_Calendar!$B$2:$B$755,$A4399)&gt;0,1,0)</f>
        <v>0</v>
      </c>
      <c r="L4399" s="16">
        <f>IF(COUNTIFS(Release_Calendar!$A$2:$A$755,"US_NFP",Release_Calendar!$B$2:$B$755,$A4399)&gt;0,1,0)</f>
        <v>0</v>
      </c>
      <c r="M4399" s="16" t="str">
        <f>IF($A4399&lt;Notes!$B$5,"",IF(COUNTIFS(Release_Calendar!$A$2:$A$755,"NZ_CPI",Release_Calendar!$B$2:$B$755,$A4399)&gt;0,1,0))</f>
        <v/>
      </c>
      <c r="N4399" s="16" t="str">
        <f>IF($A4399&lt;Notes!$B$5,"",IF(COUNTIFS(Release_Calendar!$A$2:$A$755,"NZ_GDP",Release_Calendar!$B$2:$B$755,$A4399)&gt;0,1,0))</f>
        <v/>
      </c>
      <c r="O4399" s="16" t="str">
        <f>IF($A4399&lt;Notes!$B$5,"",IF(COUNTIFS(Release_Calendar!$A$2:$A$755,"NZ_LABOUR",Release_Calendar!$B$2:$B$755,$A4399)&gt;0,1,0))</f>
        <v/>
      </c>
      <c r="P4399" s="16">
        <f t="shared" si="4"/>
        <v>0</v>
      </c>
    </row>
    <row r="4400" ht="15.75" customHeight="1">
      <c r="A4400" s="14">
        <v>42684.0</v>
      </c>
      <c r="B4400" s="15">
        <v>0.92</v>
      </c>
      <c r="C4400" s="15">
        <v>2.24</v>
      </c>
      <c r="D4400" s="15">
        <v>2.07</v>
      </c>
      <c r="E4400" s="15">
        <v>2.07</v>
      </c>
      <c r="F4400" s="15">
        <f t="shared" si="1"/>
        <v>1.32</v>
      </c>
      <c r="G4400" s="15">
        <f t="shared" si="2"/>
        <v>2.24</v>
      </c>
      <c r="H4400" s="16">
        <v>0.0</v>
      </c>
      <c r="I4400" s="15">
        <f t="shared" si="3"/>
        <v>1.32</v>
      </c>
      <c r="J4400" s="15">
        <v>14.74</v>
      </c>
      <c r="K4400" s="16">
        <f>IF(COUNTIFS(Release_Calendar!$A$2:$A$755,"US_CPI",Release_Calendar!$B$2:$B$755,$A4400)&gt;0,1,0)</f>
        <v>0</v>
      </c>
      <c r="L4400" s="16">
        <f>IF(COUNTIFS(Release_Calendar!$A$2:$A$755,"US_NFP",Release_Calendar!$B$2:$B$755,$A4400)&gt;0,1,0)</f>
        <v>0</v>
      </c>
      <c r="M4400" s="16" t="str">
        <f>IF($A4400&lt;Notes!$B$5,"",IF(COUNTIFS(Release_Calendar!$A$2:$A$755,"NZ_CPI",Release_Calendar!$B$2:$B$755,$A4400)&gt;0,1,0))</f>
        <v/>
      </c>
      <c r="N4400" s="16" t="str">
        <f>IF($A4400&lt;Notes!$B$5,"",IF(COUNTIFS(Release_Calendar!$A$2:$A$755,"NZ_GDP",Release_Calendar!$B$2:$B$755,$A4400)&gt;0,1,0))</f>
        <v/>
      </c>
      <c r="O4400" s="16" t="str">
        <f>IF($A4400&lt;Notes!$B$5,"",IF(COUNTIFS(Release_Calendar!$A$2:$A$755,"NZ_LABOUR",Release_Calendar!$B$2:$B$755,$A4400)&gt;0,1,0))</f>
        <v/>
      </c>
      <c r="P4400" s="16">
        <f t="shared" si="4"/>
        <v>0</v>
      </c>
    </row>
    <row r="4401" ht="15.75" customHeight="1">
      <c r="A4401" s="14">
        <v>42685.0</v>
      </c>
      <c r="B4401" s="15"/>
      <c r="C4401" s="15">
        <v>2.27</v>
      </c>
      <c r="D4401" s="15">
        <v>2.11</v>
      </c>
      <c r="E4401" s="15">
        <v>2.12</v>
      </c>
      <c r="F4401" s="15" t="str">
        <f t="shared" si="1"/>
        <v/>
      </c>
      <c r="G4401" s="15">
        <f t="shared" si="2"/>
        <v>2.27</v>
      </c>
      <c r="H4401" s="16">
        <v>0.0</v>
      </c>
      <c r="I4401" s="15" t="str">
        <f t="shared" si="3"/>
        <v/>
      </c>
      <c r="J4401" s="15">
        <v>14.17</v>
      </c>
      <c r="K4401" s="16">
        <f>IF(COUNTIFS(Release_Calendar!$A$2:$A$755,"US_CPI",Release_Calendar!$B$2:$B$755,$A4401)&gt;0,1,0)</f>
        <v>0</v>
      </c>
      <c r="L4401" s="16">
        <f>IF(COUNTIFS(Release_Calendar!$A$2:$A$755,"US_NFP",Release_Calendar!$B$2:$B$755,$A4401)&gt;0,1,0)</f>
        <v>0</v>
      </c>
      <c r="M4401" s="16" t="str">
        <f>IF($A4401&lt;Notes!$B$5,"",IF(COUNTIFS(Release_Calendar!$A$2:$A$755,"NZ_CPI",Release_Calendar!$B$2:$B$755,$A4401)&gt;0,1,0))</f>
        <v/>
      </c>
      <c r="N4401" s="16" t="str">
        <f>IF($A4401&lt;Notes!$B$5,"",IF(COUNTIFS(Release_Calendar!$A$2:$A$755,"NZ_GDP",Release_Calendar!$B$2:$B$755,$A4401)&gt;0,1,0))</f>
        <v/>
      </c>
      <c r="O4401" s="16" t="str">
        <f>IF($A4401&lt;Notes!$B$5,"",IF(COUNTIFS(Release_Calendar!$A$2:$A$755,"NZ_LABOUR",Release_Calendar!$B$2:$B$755,$A4401)&gt;0,1,0))</f>
        <v/>
      </c>
      <c r="P4401" s="16">
        <f t="shared" si="4"/>
        <v>0</v>
      </c>
    </row>
    <row r="4402" ht="15.75" customHeight="1">
      <c r="A4402" s="14">
        <v>42688.0</v>
      </c>
      <c r="B4402" s="15">
        <v>1.0</v>
      </c>
      <c r="C4402" s="15">
        <v>2.28</v>
      </c>
      <c r="D4402" s="15">
        <v>2.11</v>
      </c>
      <c r="E4402" s="15">
        <v>2.12</v>
      </c>
      <c r="F4402" s="15">
        <f t="shared" si="1"/>
        <v>1.28</v>
      </c>
      <c r="G4402" s="15">
        <f t="shared" si="2"/>
        <v>2.28</v>
      </c>
      <c r="H4402" s="16">
        <v>0.0</v>
      </c>
      <c r="I4402" s="15">
        <f t="shared" si="3"/>
        <v>1.28</v>
      </c>
      <c r="J4402" s="15">
        <v>14.48</v>
      </c>
      <c r="K4402" s="16">
        <f>IF(COUNTIFS(Release_Calendar!$A$2:$A$755,"US_CPI",Release_Calendar!$B$2:$B$755,$A4402)&gt;0,1,0)</f>
        <v>0</v>
      </c>
      <c r="L4402" s="16">
        <f>IF(COUNTIFS(Release_Calendar!$A$2:$A$755,"US_NFP",Release_Calendar!$B$2:$B$755,$A4402)&gt;0,1,0)</f>
        <v>0</v>
      </c>
      <c r="M4402" s="16" t="str">
        <f>IF($A4402&lt;Notes!$B$5,"",IF(COUNTIFS(Release_Calendar!$A$2:$A$755,"NZ_CPI",Release_Calendar!$B$2:$B$755,$A4402)&gt;0,1,0))</f>
        <v/>
      </c>
      <c r="N4402" s="16" t="str">
        <f>IF($A4402&lt;Notes!$B$5,"",IF(COUNTIFS(Release_Calendar!$A$2:$A$755,"NZ_GDP",Release_Calendar!$B$2:$B$755,$A4402)&gt;0,1,0))</f>
        <v/>
      </c>
      <c r="O4402" s="16" t="str">
        <f>IF($A4402&lt;Notes!$B$5,"",IF(COUNTIFS(Release_Calendar!$A$2:$A$755,"NZ_LABOUR",Release_Calendar!$B$2:$B$755,$A4402)&gt;0,1,0))</f>
        <v/>
      </c>
      <c r="P4402" s="16">
        <f t="shared" si="4"/>
        <v>0</v>
      </c>
    </row>
    <row r="4403" ht="15.75" customHeight="1">
      <c r="A4403" s="14">
        <v>42689.0</v>
      </c>
      <c r="B4403" s="15">
        <v>1.02</v>
      </c>
      <c r="C4403" s="15">
        <v>2.27</v>
      </c>
      <c r="D4403" s="15">
        <v>2.14</v>
      </c>
      <c r="E4403" s="15">
        <v>2.11</v>
      </c>
      <c r="F4403" s="15">
        <f t="shared" si="1"/>
        <v>1.25</v>
      </c>
      <c r="G4403" s="15">
        <f t="shared" si="2"/>
        <v>2.27</v>
      </c>
      <c r="H4403" s="16">
        <v>0.0</v>
      </c>
      <c r="I4403" s="15">
        <f t="shared" si="3"/>
        <v>1.25</v>
      </c>
      <c r="J4403" s="15">
        <v>13.37</v>
      </c>
      <c r="K4403" s="16">
        <f>IF(COUNTIFS(Release_Calendar!$A$2:$A$755,"US_CPI",Release_Calendar!$B$2:$B$755,$A4403)&gt;0,1,0)</f>
        <v>0</v>
      </c>
      <c r="L4403" s="16">
        <f>IF(COUNTIFS(Release_Calendar!$A$2:$A$755,"US_NFP",Release_Calendar!$B$2:$B$755,$A4403)&gt;0,1,0)</f>
        <v>0</v>
      </c>
      <c r="M4403" s="16" t="str">
        <f>IF($A4403&lt;Notes!$B$5,"",IF(COUNTIFS(Release_Calendar!$A$2:$A$755,"NZ_CPI",Release_Calendar!$B$2:$B$755,$A4403)&gt;0,1,0))</f>
        <v/>
      </c>
      <c r="N4403" s="16" t="str">
        <f>IF($A4403&lt;Notes!$B$5,"",IF(COUNTIFS(Release_Calendar!$A$2:$A$755,"NZ_GDP",Release_Calendar!$B$2:$B$755,$A4403)&gt;0,1,0))</f>
        <v/>
      </c>
      <c r="O4403" s="16" t="str">
        <f>IF($A4403&lt;Notes!$B$5,"",IF(COUNTIFS(Release_Calendar!$A$2:$A$755,"NZ_LABOUR",Release_Calendar!$B$2:$B$755,$A4403)&gt;0,1,0))</f>
        <v/>
      </c>
      <c r="P4403" s="16">
        <f t="shared" si="4"/>
        <v>0</v>
      </c>
    </row>
    <row r="4404" ht="15.75" customHeight="1">
      <c r="A4404" s="14">
        <v>42690.0</v>
      </c>
      <c r="B4404" s="15">
        <v>1.0</v>
      </c>
      <c r="C4404" s="15">
        <v>2.26</v>
      </c>
      <c r="D4404" s="15">
        <v>2.13</v>
      </c>
      <c r="E4404" s="15">
        <v>2.11</v>
      </c>
      <c r="F4404" s="15">
        <f t="shared" si="1"/>
        <v>1.26</v>
      </c>
      <c r="G4404" s="15">
        <f t="shared" si="2"/>
        <v>2.26</v>
      </c>
      <c r="H4404" s="16">
        <v>0.0</v>
      </c>
      <c r="I4404" s="15">
        <f t="shared" si="3"/>
        <v>1.26</v>
      </c>
      <c r="J4404" s="15">
        <v>13.72</v>
      </c>
      <c r="K4404" s="16">
        <f>IF(COUNTIFS(Release_Calendar!$A$2:$A$755,"US_CPI",Release_Calendar!$B$2:$B$755,$A4404)&gt;0,1,0)</f>
        <v>0</v>
      </c>
      <c r="L4404" s="16">
        <f>IF(COUNTIFS(Release_Calendar!$A$2:$A$755,"US_NFP",Release_Calendar!$B$2:$B$755,$A4404)&gt;0,1,0)</f>
        <v>0</v>
      </c>
      <c r="M4404" s="16" t="str">
        <f>IF($A4404&lt;Notes!$B$5,"",IF(COUNTIFS(Release_Calendar!$A$2:$A$755,"NZ_CPI",Release_Calendar!$B$2:$B$755,$A4404)&gt;0,1,0))</f>
        <v/>
      </c>
      <c r="N4404" s="16" t="str">
        <f>IF($A4404&lt;Notes!$B$5,"",IF(COUNTIFS(Release_Calendar!$A$2:$A$755,"NZ_GDP",Release_Calendar!$B$2:$B$755,$A4404)&gt;0,1,0))</f>
        <v/>
      </c>
      <c r="O4404" s="16" t="str">
        <f>IF($A4404&lt;Notes!$B$5,"",IF(COUNTIFS(Release_Calendar!$A$2:$A$755,"NZ_LABOUR",Release_Calendar!$B$2:$B$755,$A4404)&gt;0,1,0))</f>
        <v/>
      </c>
      <c r="P4404" s="16">
        <f t="shared" si="4"/>
        <v>0</v>
      </c>
    </row>
    <row r="4405" ht="15.75" customHeight="1">
      <c r="A4405" s="14">
        <v>42691.0</v>
      </c>
      <c r="B4405" s="15">
        <v>1.04</v>
      </c>
      <c r="C4405" s="15">
        <v>2.22</v>
      </c>
      <c r="D4405" s="15">
        <v>2.09</v>
      </c>
      <c r="E4405" s="15">
        <v>2.04</v>
      </c>
      <c r="F4405" s="15">
        <f t="shared" si="1"/>
        <v>1.18</v>
      </c>
      <c r="G4405" s="15">
        <f t="shared" si="2"/>
        <v>2.22</v>
      </c>
      <c r="H4405" s="16">
        <v>0.0</v>
      </c>
      <c r="I4405" s="15">
        <f t="shared" si="3"/>
        <v>1.18</v>
      </c>
      <c r="J4405" s="15">
        <v>13.35</v>
      </c>
      <c r="K4405" s="16">
        <f>IF(COUNTIFS(Release_Calendar!$A$2:$A$755,"US_CPI",Release_Calendar!$B$2:$B$755,$A4405)&gt;0,1,0)</f>
        <v>1</v>
      </c>
      <c r="L4405" s="16">
        <f>IF(COUNTIFS(Release_Calendar!$A$2:$A$755,"US_NFP",Release_Calendar!$B$2:$B$755,$A4405)&gt;0,1,0)</f>
        <v>0</v>
      </c>
      <c r="M4405" s="16" t="str">
        <f>IF($A4405&lt;Notes!$B$5,"",IF(COUNTIFS(Release_Calendar!$A$2:$A$755,"NZ_CPI",Release_Calendar!$B$2:$B$755,$A4405)&gt;0,1,0))</f>
        <v/>
      </c>
      <c r="N4405" s="16" t="str">
        <f>IF($A4405&lt;Notes!$B$5,"",IF(COUNTIFS(Release_Calendar!$A$2:$A$755,"NZ_GDP",Release_Calendar!$B$2:$B$755,$A4405)&gt;0,1,0))</f>
        <v/>
      </c>
      <c r="O4405" s="16" t="str">
        <f>IF($A4405&lt;Notes!$B$5,"",IF(COUNTIFS(Release_Calendar!$A$2:$A$755,"NZ_LABOUR",Release_Calendar!$B$2:$B$755,$A4405)&gt;0,1,0))</f>
        <v/>
      </c>
      <c r="P4405" s="16">
        <f t="shared" si="4"/>
        <v>1</v>
      </c>
    </row>
    <row r="4406" ht="15.75" customHeight="1">
      <c r="A4406" s="14">
        <v>42692.0</v>
      </c>
      <c r="B4406" s="15">
        <v>1.07</v>
      </c>
      <c r="C4406" s="15">
        <v>2.26</v>
      </c>
      <c r="D4406" s="15">
        <v>2.1</v>
      </c>
      <c r="E4406" s="15">
        <v>2.12</v>
      </c>
      <c r="F4406" s="15">
        <f t="shared" si="1"/>
        <v>1.19</v>
      </c>
      <c r="G4406" s="15">
        <f t="shared" si="2"/>
        <v>2.26</v>
      </c>
      <c r="H4406" s="16">
        <v>0.0</v>
      </c>
      <c r="I4406" s="15">
        <f t="shared" si="3"/>
        <v>1.19</v>
      </c>
      <c r="J4406" s="15">
        <v>12.85</v>
      </c>
      <c r="K4406" s="16">
        <f>IF(COUNTIFS(Release_Calendar!$A$2:$A$755,"US_CPI",Release_Calendar!$B$2:$B$755,$A4406)&gt;0,1,0)</f>
        <v>0</v>
      </c>
      <c r="L4406" s="16">
        <f>IF(COUNTIFS(Release_Calendar!$A$2:$A$755,"US_NFP",Release_Calendar!$B$2:$B$755,$A4406)&gt;0,1,0)</f>
        <v>0</v>
      </c>
      <c r="M4406" s="16" t="str">
        <f>IF($A4406&lt;Notes!$B$5,"",IF(COUNTIFS(Release_Calendar!$A$2:$A$755,"NZ_CPI",Release_Calendar!$B$2:$B$755,$A4406)&gt;0,1,0))</f>
        <v/>
      </c>
      <c r="N4406" s="16" t="str">
        <f>IF($A4406&lt;Notes!$B$5,"",IF(COUNTIFS(Release_Calendar!$A$2:$A$755,"NZ_GDP",Release_Calendar!$B$2:$B$755,$A4406)&gt;0,1,0))</f>
        <v/>
      </c>
      <c r="O4406" s="16" t="str">
        <f>IF($A4406&lt;Notes!$B$5,"",IF(COUNTIFS(Release_Calendar!$A$2:$A$755,"NZ_LABOUR",Release_Calendar!$B$2:$B$755,$A4406)&gt;0,1,0))</f>
        <v/>
      </c>
      <c r="P4406" s="16">
        <f t="shared" si="4"/>
        <v>0</v>
      </c>
    </row>
    <row r="4407" ht="15.75" customHeight="1">
      <c r="A4407" s="14">
        <v>42695.0</v>
      </c>
      <c r="B4407" s="15">
        <v>1.08</v>
      </c>
      <c r="C4407" s="15">
        <v>2.26</v>
      </c>
      <c r="D4407" s="15">
        <v>2.13</v>
      </c>
      <c r="E4407" s="15">
        <v>2.1</v>
      </c>
      <c r="F4407" s="15">
        <f t="shared" si="1"/>
        <v>1.18</v>
      </c>
      <c r="G4407" s="15">
        <f t="shared" si="2"/>
        <v>2.26</v>
      </c>
      <c r="H4407" s="16">
        <v>0.0</v>
      </c>
      <c r="I4407" s="15">
        <f t="shared" si="3"/>
        <v>1.18</v>
      </c>
      <c r="J4407" s="15">
        <v>12.42</v>
      </c>
      <c r="K4407" s="16">
        <f>IF(COUNTIFS(Release_Calendar!$A$2:$A$755,"US_CPI",Release_Calendar!$B$2:$B$755,$A4407)&gt;0,1,0)</f>
        <v>0</v>
      </c>
      <c r="L4407" s="16">
        <f>IF(COUNTIFS(Release_Calendar!$A$2:$A$755,"US_NFP",Release_Calendar!$B$2:$B$755,$A4407)&gt;0,1,0)</f>
        <v>0</v>
      </c>
      <c r="M4407" s="16" t="str">
        <f>IF($A4407&lt;Notes!$B$5,"",IF(COUNTIFS(Release_Calendar!$A$2:$A$755,"NZ_CPI",Release_Calendar!$B$2:$B$755,$A4407)&gt;0,1,0))</f>
        <v/>
      </c>
      <c r="N4407" s="16" t="str">
        <f>IF($A4407&lt;Notes!$B$5,"",IF(COUNTIFS(Release_Calendar!$A$2:$A$755,"NZ_GDP",Release_Calendar!$B$2:$B$755,$A4407)&gt;0,1,0))</f>
        <v/>
      </c>
      <c r="O4407" s="16" t="str">
        <f>IF($A4407&lt;Notes!$B$5,"",IF(COUNTIFS(Release_Calendar!$A$2:$A$755,"NZ_LABOUR",Release_Calendar!$B$2:$B$755,$A4407)&gt;0,1,0))</f>
        <v/>
      </c>
      <c r="P4407" s="16">
        <f t="shared" si="4"/>
        <v>0</v>
      </c>
    </row>
    <row r="4408" ht="15.75" customHeight="1">
      <c r="A4408" s="14">
        <v>42696.0</v>
      </c>
      <c r="B4408" s="15">
        <v>1.07</v>
      </c>
      <c r="C4408" s="15">
        <v>2.24</v>
      </c>
      <c r="D4408" s="15">
        <v>2.07</v>
      </c>
      <c r="E4408" s="15">
        <v>2.07</v>
      </c>
      <c r="F4408" s="15">
        <f t="shared" si="1"/>
        <v>1.17</v>
      </c>
      <c r="G4408" s="15">
        <f t="shared" si="2"/>
        <v>2.24</v>
      </c>
      <c r="H4408" s="16">
        <v>0.0</v>
      </c>
      <c r="I4408" s="15">
        <f t="shared" si="3"/>
        <v>1.17</v>
      </c>
      <c r="J4408" s="15">
        <v>12.41</v>
      </c>
      <c r="K4408" s="16">
        <f>IF(COUNTIFS(Release_Calendar!$A$2:$A$755,"US_CPI",Release_Calendar!$B$2:$B$755,$A4408)&gt;0,1,0)</f>
        <v>0</v>
      </c>
      <c r="L4408" s="16">
        <f>IF(COUNTIFS(Release_Calendar!$A$2:$A$755,"US_NFP",Release_Calendar!$B$2:$B$755,$A4408)&gt;0,1,0)</f>
        <v>0</v>
      </c>
      <c r="M4408" s="16" t="str">
        <f>IF($A4408&lt;Notes!$B$5,"",IF(COUNTIFS(Release_Calendar!$A$2:$A$755,"NZ_CPI",Release_Calendar!$B$2:$B$755,$A4408)&gt;0,1,0))</f>
        <v/>
      </c>
      <c r="N4408" s="16" t="str">
        <f>IF($A4408&lt;Notes!$B$5,"",IF(COUNTIFS(Release_Calendar!$A$2:$A$755,"NZ_GDP",Release_Calendar!$B$2:$B$755,$A4408)&gt;0,1,0))</f>
        <v/>
      </c>
      <c r="O4408" s="16" t="str">
        <f>IF($A4408&lt;Notes!$B$5,"",IF(COUNTIFS(Release_Calendar!$A$2:$A$755,"NZ_LABOUR",Release_Calendar!$B$2:$B$755,$A4408)&gt;0,1,0))</f>
        <v/>
      </c>
      <c r="P4408" s="16">
        <f t="shared" si="4"/>
        <v>0</v>
      </c>
    </row>
    <row r="4409" ht="15.75" customHeight="1">
      <c r="A4409" s="14">
        <v>42697.0</v>
      </c>
      <c r="B4409" s="15">
        <v>1.12</v>
      </c>
      <c r="C4409" s="15">
        <v>2.26</v>
      </c>
      <c r="D4409" s="15">
        <v>2.09</v>
      </c>
      <c r="E4409" s="15">
        <v>2.11</v>
      </c>
      <c r="F4409" s="15">
        <f t="shared" si="1"/>
        <v>1.14</v>
      </c>
      <c r="G4409" s="15">
        <f t="shared" si="2"/>
        <v>2.26</v>
      </c>
      <c r="H4409" s="16">
        <v>0.0</v>
      </c>
      <c r="I4409" s="15">
        <f t="shared" si="3"/>
        <v>1.14</v>
      </c>
      <c r="J4409" s="15">
        <v>12.43</v>
      </c>
      <c r="K4409" s="16">
        <f>IF(COUNTIFS(Release_Calendar!$A$2:$A$755,"US_CPI",Release_Calendar!$B$2:$B$755,$A4409)&gt;0,1,0)</f>
        <v>0</v>
      </c>
      <c r="L4409" s="16">
        <f>IF(COUNTIFS(Release_Calendar!$A$2:$A$755,"US_NFP",Release_Calendar!$B$2:$B$755,$A4409)&gt;0,1,0)</f>
        <v>0</v>
      </c>
      <c r="M4409" s="16" t="str">
        <f>IF($A4409&lt;Notes!$B$5,"",IF(COUNTIFS(Release_Calendar!$A$2:$A$755,"NZ_CPI",Release_Calendar!$B$2:$B$755,$A4409)&gt;0,1,0))</f>
        <v/>
      </c>
      <c r="N4409" s="16" t="str">
        <f>IF($A4409&lt;Notes!$B$5,"",IF(COUNTIFS(Release_Calendar!$A$2:$A$755,"NZ_GDP",Release_Calendar!$B$2:$B$755,$A4409)&gt;0,1,0))</f>
        <v/>
      </c>
      <c r="O4409" s="16" t="str">
        <f>IF($A4409&lt;Notes!$B$5,"",IF(COUNTIFS(Release_Calendar!$A$2:$A$755,"NZ_LABOUR",Release_Calendar!$B$2:$B$755,$A4409)&gt;0,1,0))</f>
        <v/>
      </c>
      <c r="P4409" s="16">
        <f t="shared" si="4"/>
        <v>0</v>
      </c>
    </row>
    <row r="4410" ht="15.75" customHeight="1">
      <c r="A4410" s="14">
        <v>42698.0</v>
      </c>
      <c r="B4410" s="15"/>
      <c r="C4410" s="15">
        <v>2.28</v>
      </c>
      <c r="D4410" s="15">
        <v>2.15</v>
      </c>
      <c r="E4410" s="15">
        <v>2.16</v>
      </c>
      <c r="F4410" s="15" t="str">
        <f t="shared" si="1"/>
        <v/>
      </c>
      <c r="G4410" s="15">
        <f t="shared" si="2"/>
        <v>2.28</v>
      </c>
      <c r="H4410" s="16">
        <v>0.0</v>
      </c>
      <c r="I4410" s="15" t="str">
        <f t="shared" si="3"/>
        <v/>
      </c>
      <c r="J4410" s="15"/>
      <c r="K4410" s="16">
        <f>IF(COUNTIFS(Release_Calendar!$A$2:$A$755,"US_CPI",Release_Calendar!$B$2:$B$755,$A4410)&gt;0,1,0)</f>
        <v>0</v>
      </c>
      <c r="L4410" s="16">
        <f>IF(COUNTIFS(Release_Calendar!$A$2:$A$755,"US_NFP",Release_Calendar!$B$2:$B$755,$A4410)&gt;0,1,0)</f>
        <v>0</v>
      </c>
      <c r="M4410" s="16" t="str">
        <f>IF($A4410&lt;Notes!$B$5,"",IF(COUNTIFS(Release_Calendar!$A$2:$A$755,"NZ_CPI",Release_Calendar!$B$2:$B$755,$A4410)&gt;0,1,0))</f>
        <v/>
      </c>
      <c r="N4410" s="16" t="str">
        <f>IF($A4410&lt;Notes!$B$5,"",IF(COUNTIFS(Release_Calendar!$A$2:$A$755,"NZ_GDP",Release_Calendar!$B$2:$B$755,$A4410)&gt;0,1,0))</f>
        <v/>
      </c>
      <c r="O4410" s="16" t="str">
        <f>IF($A4410&lt;Notes!$B$5,"",IF(COUNTIFS(Release_Calendar!$A$2:$A$755,"NZ_LABOUR",Release_Calendar!$B$2:$B$755,$A4410)&gt;0,1,0))</f>
        <v/>
      </c>
      <c r="P4410" s="16">
        <f t="shared" si="4"/>
        <v>0</v>
      </c>
    </row>
    <row r="4411" ht="15.75" customHeight="1">
      <c r="A4411" s="14">
        <v>42699.0</v>
      </c>
      <c r="B4411" s="15">
        <v>1.12</v>
      </c>
      <c r="C4411" s="15">
        <v>2.27</v>
      </c>
      <c r="D4411" s="15">
        <v>2.17</v>
      </c>
      <c r="E4411" s="15">
        <v>2.15</v>
      </c>
      <c r="F4411" s="15">
        <f t="shared" si="1"/>
        <v>1.15</v>
      </c>
      <c r="G4411" s="15">
        <f t="shared" si="2"/>
        <v>2.27</v>
      </c>
      <c r="H4411" s="16">
        <v>0.0</v>
      </c>
      <c r="I4411" s="15">
        <f t="shared" si="3"/>
        <v>1.15</v>
      </c>
      <c r="J4411" s="15">
        <v>12.34</v>
      </c>
      <c r="K4411" s="16">
        <f>IF(COUNTIFS(Release_Calendar!$A$2:$A$755,"US_CPI",Release_Calendar!$B$2:$B$755,$A4411)&gt;0,1,0)</f>
        <v>0</v>
      </c>
      <c r="L4411" s="16">
        <f>IF(COUNTIFS(Release_Calendar!$A$2:$A$755,"US_NFP",Release_Calendar!$B$2:$B$755,$A4411)&gt;0,1,0)</f>
        <v>0</v>
      </c>
      <c r="M4411" s="16" t="str">
        <f>IF($A4411&lt;Notes!$B$5,"",IF(COUNTIFS(Release_Calendar!$A$2:$A$755,"NZ_CPI",Release_Calendar!$B$2:$B$755,$A4411)&gt;0,1,0))</f>
        <v/>
      </c>
      <c r="N4411" s="16" t="str">
        <f>IF($A4411&lt;Notes!$B$5,"",IF(COUNTIFS(Release_Calendar!$A$2:$A$755,"NZ_GDP",Release_Calendar!$B$2:$B$755,$A4411)&gt;0,1,0))</f>
        <v/>
      </c>
      <c r="O4411" s="16" t="str">
        <f>IF($A4411&lt;Notes!$B$5,"",IF(COUNTIFS(Release_Calendar!$A$2:$A$755,"NZ_LABOUR",Release_Calendar!$B$2:$B$755,$A4411)&gt;0,1,0))</f>
        <v/>
      </c>
      <c r="P4411" s="16">
        <f t="shared" si="4"/>
        <v>0</v>
      </c>
    </row>
    <row r="4412" ht="15.75" customHeight="1">
      <c r="A4412" s="14">
        <v>42702.0</v>
      </c>
      <c r="B4412" s="15">
        <v>1.11</v>
      </c>
      <c r="C4412" s="15">
        <v>2.24</v>
      </c>
      <c r="D4412" s="15">
        <v>2.12</v>
      </c>
      <c r="E4412" s="15">
        <v>2.11</v>
      </c>
      <c r="F4412" s="15">
        <f t="shared" si="1"/>
        <v>1.13</v>
      </c>
      <c r="G4412" s="15">
        <f t="shared" si="2"/>
        <v>2.24</v>
      </c>
      <c r="H4412" s="16">
        <v>0.0</v>
      </c>
      <c r="I4412" s="15">
        <f t="shared" si="3"/>
        <v>1.13</v>
      </c>
      <c r="J4412" s="15">
        <v>13.15</v>
      </c>
      <c r="K4412" s="16">
        <f>IF(COUNTIFS(Release_Calendar!$A$2:$A$755,"US_CPI",Release_Calendar!$B$2:$B$755,$A4412)&gt;0,1,0)</f>
        <v>0</v>
      </c>
      <c r="L4412" s="16">
        <f>IF(COUNTIFS(Release_Calendar!$A$2:$A$755,"US_NFP",Release_Calendar!$B$2:$B$755,$A4412)&gt;0,1,0)</f>
        <v>0</v>
      </c>
      <c r="M4412" s="16" t="str">
        <f>IF($A4412&lt;Notes!$B$5,"",IF(COUNTIFS(Release_Calendar!$A$2:$A$755,"NZ_CPI",Release_Calendar!$B$2:$B$755,$A4412)&gt;0,1,0))</f>
        <v/>
      </c>
      <c r="N4412" s="16" t="str">
        <f>IF($A4412&lt;Notes!$B$5,"",IF(COUNTIFS(Release_Calendar!$A$2:$A$755,"NZ_GDP",Release_Calendar!$B$2:$B$755,$A4412)&gt;0,1,0))</f>
        <v/>
      </c>
      <c r="O4412" s="16" t="str">
        <f>IF($A4412&lt;Notes!$B$5,"",IF(COUNTIFS(Release_Calendar!$A$2:$A$755,"NZ_LABOUR",Release_Calendar!$B$2:$B$755,$A4412)&gt;0,1,0))</f>
        <v/>
      </c>
      <c r="P4412" s="16">
        <f t="shared" si="4"/>
        <v>0</v>
      </c>
    </row>
    <row r="4413" ht="15.75" customHeight="1">
      <c r="A4413" s="14">
        <v>42703.0</v>
      </c>
      <c r="B4413" s="15">
        <v>1.09</v>
      </c>
      <c r="C4413" s="15">
        <v>2.25</v>
      </c>
      <c r="D4413" s="15">
        <v>2.09</v>
      </c>
      <c r="E4413" s="15">
        <v>2.12</v>
      </c>
      <c r="F4413" s="15">
        <f t="shared" si="1"/>
        <v>1.16</v>
      </c>
      <c r="G4413" s="15">
        <f t="shared" si="2"/>
        <v>2.25</v>
      </c>
      <c r="H4413" s="16">
        <v>0.0</v>
      </c>
      <c r="I4413" s="15">
        <f t="shared" si="3"/>
        <v>1.16</v>
      </c>
      <c r="J4413" s="15">
        <v>12.9</v>
      </c>
      <c r="K4413" s="16">
        <f>IF(COUNTIFS(Release_Calendar!$A$2:$A$755,"US_CPI",Release_Calendar!$B$2:$B$755,$A4413)&gt;0,1,0)</f>
        <v>0</v>
      </c>
      <c r="L4413" s="16">
        <f>IF(COUNTIFS(Release_Calendar!$A$2:$A$755,"US_NFP",Release_Calendar!$B$2:$B$755,$A4413)&gt;0,1,0)</f>
        <v>0</v>
      </c>
      <c r="M4413" s="16" t="str">
        <f>IF($A4413&lt;Notes!$B$5,"",IF(COUNTIFS(Release_Calendar!$A$2:$A$755,"NZ_CPI",Release_Calendar!$B$2:$B$755,$A4413)&gt;0,1,0))</f>
        <v/>
      </c>
      <c r="N4413" s="16" t="str">
        <f>IF($A4413&lt;Notes!$B$5,"",IF(COUNTIFS(Release_Calendar!$A$2:$A$755,"NZ_GDP",Release_Calendar!$B$2:$B$755,$A4413)&gt;0,1,0))</f>
        <v/>
      </c>
      <c r="O4413" s="16" t="str">
        <f>IF($A4413&lt;Notes!$B$5,"",IF(COUNTIFS(Release_Calendar!$A$2:$A$755,"NZ_LABOUR",Release_Calendar!$B$2:$B$755,$A4413)&gt;0,1,0))</f>
        <v/>
      </c>
      <c r="P4413" s="16">
        <f t="shared" si="4"/>
        <v>0</v>
      </c>
    </row>
    <row r="4414" ht="15.75" customHeight="1">
      <c r="A4414" s="14">
        <v>42704.0</v>
      </c>
      <c r="B4414" s="15">
        <v>1.11</v>
      </c>
      <c r="C4414" s="15">
        <v>2.27</v>
      </c>
      <c r="D4414" s="15">
        <v>2.13</v>
      </c>
      <c r="E4414" s="15">
        <v>2.15</v>
      </c>
      <c r="F4414" s="15">
        <f t="shared" si="1"/>
        <v>1.16</v>
      </c>
      <c r="G4414" s="15">
        <f t="shared" si="2"/>
        <v>2.27</v>
      </c>
      <c r="H4414" s="16">
        <v>0.0</v>
      </c>
      <c r="I4414" s="15">
        <f t="shared" si="3"/>
        <v>1.16</v>
      </c>
      <c r="J4414" s="15">
        <v>13.33</v>
      </c>
      <c r="K4414" s="16">
        <f>IF(COUNTIFS(Release_Calendar!$A$2:$A$755,"US_CPI",Release_Calendar!$B$2:$B$755,$A4414)&gt;0,1,0)</f>
        <v>0</v>
      </c>
      <c r="L4414" s="16">
        <f>IF(COUNTIFS(Release_Calendar!$A$2:$A$755,"US_NFP",Release_Calendar!$B$2:$B$755,$A4414)&gt;0,1,0)</f>
        <v>0</v>
      </c>
      <c r="M4414" s="16" t="str">
        <f>IF($A4414&lt;Notes!$B$5,"",IF(COUNTIFS(Release_Calendar!$A$2:$A$755,"NZ_CPI",Release_Calendar!$B$2:$B$755,$A4414)&gt;0,1,0))</f>
        <v/>
      </c>
      <c r="N4414" s="16" t="str">
        <f>IF($A4414&lt;Notes!$B$5,"",IF(COUNTIFS(Release_Calendar!$A$2:$A$755,"NZ_GDP",Release_Calendar!$B$2:$B$755,$A4414)&gt;0,1,0))</f>
        <v/>
      </c>
      <c r="O4414" s="16" t="str">
        <f>IF($A4414&lt;Notes!$B$5,"",IF(COUNTIFS(Release_Calendar!$A$2:$A$755,"NZ_LABOUR",Release_Calendar!$B$2:$B$755,$A4414)&gt;0,1,0))</f>
        <v/>
      </c>
      <c r="P4414" s="16">
        <f t="shared" si="4"/>
        <v>0</v>
      </c>
    </row>
    <row r="4415" ht="15.75" customHeight="1">
      <c r="A4415" s="14">
        <v>42705.0</v>
      </c>
      <c r="B4415" s="15">
        <v>1.14</v>
      </c>
      <c r="C4415" s="15">
        <v>2.28</v>
      </c>
      <c r="D4415" s="15">
        <v>2.2</v>
      </c>
      <c r="E4415" s="15">
        <v>2.18</v>
      </c>
      <c r="F4415" s="15">
        <f t="shared" si="1"/>
        <v>1.14</v>
      </c>
      <c r="G4415" s="15">
        <f t="shared" si="2"/>
        <v>2.28</v>
      </c>
      <c r="H4415" s="16">
        <v>0.0</v>
      </c>
      <c r="I4415" s="15">
        <f t="shared" si="3"/>
        <v>1.14</v>
      </c>
      <c r="J4415" s="15">
        <v>14.07</v>
      </c>
      <c r="K4415" s="16">
        <f>IF(COUNTIFS(Release_Calendar!$A$2:$A$755,"US_CPI",Release_Calendar!$B$2:$B$755,$A4415)&gt;0,1,0)</f>
        <v>0</v>
      </c>
      <c r="L4415" s="16">
        <f>IF(COUNTIFS(Release_Calendar!$A$2:$A$755,"US_NFP",Release_Calendar!$B$2:$B$755,$A4415)&gt;0,1,0)</f>
        <v>0</v>
      </c>
      <c r="M4415" s="16" t="str">
        <f>IF($A4415&lt;Notes!$B$5,"",IF(COUNTIFS(Release_Calendar!$A$2:$A$755,"NZ_CPI",Release_Calendar!$B$2:$B$755,$A4415)&gt;0,1,0))</f>
        <v/>
      </c>
      <c r="N4415" s="16" t="str">
        <f>IF($A4415&lt;Notes!$B$5,"",IF(COUNTIFS(Release_Calendar!$A$2:$A$755,"NZ_GDP",Release_Calendar!$B$2:$B$755,$A4415)&gt;0,1,0))</f>
        <v/>
      </c>
      <c r="O4415" s="16" t="str">
        <f>IF($A4415&lt;Notes!$B$5,"",IF(COUNTIFS(Release_Calendar!$A$2:$A$755,"NZ_LABOUR",Release_Calendar!$B$2:$B$755,$A4415)&gt;0,1,0))</f>
        <v/>
      </c>
      <c r="P4415" s="16">
        <f t="shared" si="4"/>
        <v>0</v>
      </c>
    </row>
    <row r="4416" ht="15.75" customHeight="1">
      <c r="A4416" s="14">
        <v>42706.0</v>
      </c>
      <c r="B4416" s="15">
        <v>1.11</v>
      </c>
      <c r="C4416" s="15">
        <v>2.29</v>
      </c>
      <c r="D4416" s="15">
        <v>2.22</v>
      </c>
      <c r="E4416" s="15">
        <v>2.19</v>
      </c>
      <c r="F4416" s="15">
        <f t="shared" si="1"/>
        <v>1.18</v>
      </c>
      <c r="G4416" s="15">
        <f t="shared" si="2"/>
        <v>2.29</v>
      </c>
      <c r="H4416" s="16">
        <v>0.0</v>
      </c>
      <c r="I4416" s="15">
        <f t="shared" si="3"/>
        <v>1.18</v>
      </c>
      <c r="J4416" s="15">
        <v>14.12</v>
      </c>
      <c r="K4416" s="16">
        <f>IF(COUNTIFS(Release_Calendar!$A$2:$A$755,"US_CPI",Release_Calendar!$B$2:$B$755,$A4416)&gt;0,1,0)</f>
        <v>0</v>
      </c>
      <c r="L4416" s="16">
        <f>IF(COUNTIFS(Release_Calendar!$A$2:$A$755,"US_NFP",Release_Calendar!$B$2:$B$755,$A4416)&gt;0,1,0)</f>
        <v>1</v>
      </c>
      <c r="M4416" s="16" t="str">
        <f>IF($A4416&lt;Notes!$B$5,"",IF(COUNTIFS(Release_Calendar!$A$2:$A$755,"NZ_CPI",Release_Calendar!$B$2:$B$755,$A4416)&gt;0,1,0))</f>
        <v/>
      </c>
      <c r="N4416" s="16" t="str">
        <f>IF($A4416&lt;Notes!$B$5,"",IF(COUNTIFS(Release_Calendar!$A$2:$A$755,"NZ_GDP",Release_Calendar!$B$2:$B$755,$A4416)&gt;0,1,0))</f>
        <v/>
      </c>
      <c r="O4416" s="16" t="str">
        <f>IF($A4416&lt;Notes!$B$5,"",IF(COUNTIFS(Release_Calendar!$A$2:$A$755,"NZ_LABOUR",Release_Calendar!$B$2:$B$755,$A4416)&gt;0,1,0))</f>
        <v/>
      </c>
      <c r="P4416" s="16">
        <f t="shared" si="4"/>
        <v>1</v>
      </c>
    </row>
    <row r="4417" ht="15.75" customHeight="1">
      <c r="A4417" s="14">
        <v>42709.0</v>
      </c>
      <c r="B4417" s="15">
        <v>1.13</v>
      </c>
      <c r="C4417" s="15">
        <v>2.27</v>
      </c>
      <c r="D4417" s="15">
        <v>2.15</v>
      </c>
      <c r="E4417" s="15">
        <v>2.16</v>
      </c>
      <c r="F4417" s="15">
        <f t="shared" si="1"/>
        <v>1.14</v>
      </c>
      <c r="G4417" s="15">
        <f t="shared" si="2"/>
        <v>2.27</v>
      </c>
      <c r="H4417" s="16">
        <v>0.0</v>
      </c>
      <c r="I4417" s="15">
        <f t="shared" si="3"/>
        <v>1.14</v>
      </c>
      <c r="J4417" s="15">
        <v>12.14</v>
      </c>
      <c r="K4417" s="16">
        <f>IF(COUNTIFS(Release_Calendar!$A$2:$A$755,"US_CPI",Release_Calendar!$B$2:$B$755,$A4417)&gt;0,1,0)</f>
        <v>0</v>
      </c>
      <c r="L4417" s="16">
        <f>IF(COUNTIFS(Release_Calendar!$A$2:$A$755,"US_NFP",Release_Calendar!$B$2:$B$755,$A4417)&gt;0,1,0)</f>
        <v>0</v>
      </c>
      <c r="M4417" s="16" t="str">
        <f>IF($A4417&lt;Notes!$B$5,"",IF(COUNTIFS(Release_Calendar!$A$2:$A$755,"NZ_CPI",Release_Calendar!$B$2:$B$755,$A4417)&gt;0,1,0))</f>
        <v/>
      </c>
      <c r="N4417" s="16" t="str">
        <f>IF($A4417&lt;Notes!$B$5,"",IF(COUNTIFS(Release_Calendar!$A$2:$A$755,"NZ_GDP",Release_Calendar!$B$2:$B$755,$A4417)&gt;0,1,0))</f>
        <v/>
      </c>
      <c r="O4417" s="16" t="str">
        <f>IF($A4417&lt;Notes!$B$5,"",IF(COUNTIFS(Release_Calendar!$A$2:$A$755,"NZ_LABOUR",Release_Calendar!$B$2:$B$755,$A4417)&gt;0,1,0))</f>
        <v/>
      </c>
      <c r="P4417" s="16">
        <f t="shared" si="4"/>
        <v>0</v>
      </c>
    </row>
    <row r="4418" ht="15.75" customHeight="1">
      <c r="A4418" s="14">
        <v>42710.0</v>
      </c>
      <c r="B4418" s="15">
        <v>1.12</v>
      </c>
      <c r="C4418" s="15">
        <v>2.28</v>
      </c>
      <c r="D4418" s="15">
        <v>2.17</v>
      </c>
      <c r="E4418" s="15">
        <v>2.16</v>
      </c>
      <c r="F4418" s="15">
        <f t="shared" si="1"/>
        <v>1.16</v>
      </c>
      <c r="G4418" s="15">
        <f t="shared" si="2"/>
        <v>2.28</v>
      </c>
      <c r="H4418" s="16">
        <v>0.0</v>
      </c>
      <c r="I4418" s="15">
        <f t="shared" si="3"/>
        <v>1.16</v>
      </c>
      <c r="J4418" s="15">
        <v>11.79</v>
      </c>
      <c r="K4418" s="16">
        <f>IF(COUNTIFS(Release_Calendar!$A$2:$A$755,"US_CPI",Release_Calendar!$B$2:$B$755,$A4418)&gt;0,1,0)</f>
        <v>0</v>
      </c>
      <c r="L4418" s="16">
        <f>IF(COUNTIFS(Release_Calendar!$A$2:$A$755,"US_NFP",Release_Calendar!$B$2:$B$755,$A4418)&gt;0,1,0)</f>
        <v>0</v>
      </c>
      <c r="M4418" s="16" t="str">
        <f>IF($A4418&lt;Notes!$B$5,"",IF(COUNTIFS(Release_Calendar!$A$2:$A$755,"NZ_CPI",Release_Calendar!$B$2:$B$755,$A4418)&gt;0,1,0))</f>
        <v/>
      </c>
      <c r="N4418" s="16" t="str">
        <f>IF($A4418&lt;Notes!$B$5,"",IF(COUNTIFS(Release_Calendar!$A$2:$A$755,"NZ_GDP",Release_Calendar!$B$2:$B$755,$A4418)&gt;0,1,0))</f>
        <v/>
      </c>
      <c r="O4418" s="16" t="str">
        <f>IF($A4418&lt;Notes!$B$5,"",IF(COUNTIFS(Release_Calendar!$A$2:$A$755,"NZ_LABOUR",Release_Calendar!$B$2:$B$755,$A4418)&gt;0,1,0))</f>
        <v/>
      </c>
      <c r="P4418" s="16">
        <f t="shared" si="4"/>
        <v>0</v>
      </c>
    </row>
    <row r="4419" ht="15.75" customHeight="1">
      <c r="A4419" s="14">
        <v>42711.0</v>
      </c>
      <c r="B4419" s="15">
        <v>1.1</v>
      </c>
      <c r="C4419" s="15">
        <v>2.27</v>
      </c>
      <c r="D4419" s="15">
        <v>2.16</v>
      </c>
      <c r="E4419" s="15">
        <v>2.16</v>
      </c>
      <c r="F4419" s="15">
        <f t="shared" si="1"/>
        <v>1.17</v>
      </c>
      <c r="G4419" s="15">
        <f t="shared" si="2"/>
        <v>2.27</v>
      </c>
      <c r="H4419" s="16">
        <v>0.0</v>
      </c>
      <c r="I4419" s="15">
        <f t="shared" si="3"/>
        <v>1.17</v>
      </c>
      <c r="J4419" s="15">
        <v>12.22</v>
      </c>
      <c r="K4419" s="16">
        <f>IF(COUNTIFS(Release_Calendar!$A$2:$A$755,"US_CPI",Release_Calendar!$B$2:$B$755,$A4419)&gt;0,1,0)</f>
        <v>0</v>
      </c>
      <c r="L4419" s="16">
        <f>IF(COUNTIFS(Release_Calendar!$A$2:$A$755,"US_NFP",Release_Calendar!$B$2:$B$755,$A4419)&gt;0,1,0)</f>
        <v>0</v>
      </c>
      <c r="M4419" s="16" t="str">
        <f>IF($A4419&lt;Notes!$B$5,"",IF(COUNTIFS(Release_Calendar!$A$2:$A$755,"NZ_CPI",Release_Calendar!$B$2:$B$755,$A4419)&gt;0,1,0))</f>
        <v/>
      </c>
      <c r="N4419" s="16" t="str">
        <f>IF($A4419&lt;Notes!$B$5,"",IF(COUNTIFS(Release_Calendar!$A$2:$A$755,"NZ_GDP",Release_Calendar!$B$2:$B$755,$A4419)&gt;0,1,0))</f>
        <v/>
      </c>
      <c r="O4419" s="16" t="str">
        <f>IF($A4419&lt;Notes!$B$5,"",IF(COUNTIFS(Release_Calendar!$A$2:$A$755,"NZ_LABOUR",Release_Calendar!$B$2:$B$755,$A4419)&gt;0,1,0))</f>
        <v/>
      </c>
      <c r="P4419" s="16">
        <f t="shared" si="4"/>
        <v>0</v>
      </c>
    </row>
    <row r="4420" ht="15.75" customHeight="1">
      <c r="A4420" s="14">
        <v>42712.0</v>
      </c>
      <c r="B4420" s="15">
        <v>1.12</v>
      </c>
      <c r="C4420" s="15">
        <v>2.26</v>
      </c>
      <c r="D4420" s="15">
        <v>2.13</v>
      </c>
      <c r="E4420" s="15">
        <v>2.13</v>
      </c>
      <c r="F4420" s="15">
        <f t="shared" si="1"/>
        <v>1.14</v>
      </c>
      <c r="G4420" s="15">
        <f t="shared" si="2"/>
        <v>2.26</v>
      </c>
      <c r="H4420" s="16">
        <v>0.0</v>
      </c>
      <c r="I4420" s="15">
        <f t="shared" si="3"/>
        <v>1.14</v>
      </c>
      <c r="J4420" s="15">
        <v>12.64</v>
      </c>
      <c r="K4420" s="16">
        <f>IF(COUNTIFS(Release_Calendar!$A$2:$A$755,"US_CPI",Release_Calendar!$B$2:$B$755,$A4420)&gt;0,1,0)</f>
        <v>0</v>
      </c>
      <c r="L4420" s="16">
        <f>IF(COUNTIFS(Release_Calendar!$A$2:$A$755,"US_NFP",Release_Calendar!$B$2:$B$755,$A4420)&gt;0,1,0)</f>
        <v>0</v>
      </c>
      <c r="M4420" s="16" t="str">
        <f>IF($A4420&lt;Notes!$B$5,"",IF(COUNTIFS(Release_Calendar!$A$2:$A$755,"NZ_CPI",Release_Calendar!$B$2:$B$755,$A4420)&gt;0,1,0))</f>
        <v/>
      </c>
      <c r="N4420" s="16" t="str">
        <f>IF($A4420&lt;Notes!$B$5,"",IF(COUNTIFS(Release_Calendar!$A$2:$A$755,"NZ_GDP",Release_Calendar!$B$2:$B$755,$A4420)&gt;0,1,0))</f>
        <v/>
      </c>
      <c r="O4420" s="16" t="str">
        <f>IF($A4420&lt;Notes!$B$5,"",IF(COUNTIFS(Release_Calendar!$A$2:$A$755,"NZ_LABOUR",Release_Calendar!$B$2:$B$755,$A4420)&gt;0,1,0))</f>
        <v/>
      </c>
      <c r="P4420" s="16">
        <f t="shared" si="4"/>
        <v>0</v>
      </c>
    </row>
    <row r="4421" ht="15.75" customHeight="1">
      <c r="A4421" s="14">
        <v>42713.0</v>
      </c>
      <c r="B4421" s="15">
        <v>1.15</v>
      </c>
      <c r="C4421" s="15">
        <v>2.29</v>
      </c>
      <c r="D4421" s="15">
        <v>2.14</v>
      </c>
      <c r="E4421" s="15">
        <v>2.18</v>
      </c>
      <c r="F4421" s="15">
        <f t="shared" si="1"/>
        <v>1.14</v>
      </c>
      <c r="G4421" s="15">
        <f t="shared" si="2"/>
        <v>2.29</v>
      </c>
      <c r="H4421" s="16">
        <v>0.0</v>
      </c>
      <c r="I4421" s="15">
        <f t="shared" si="3"/>
        <v>1.14</v>
      </c>
      <c r="J4421" s="15">
        <v>11.75</v>
      </c>
      <c r="K4421" s="16">
        <f>IF(COUNTIFS(Release_Calendar!$A$2:$A$755,"US_CPI",Release_Calendar!$B$2:$B$755,$A4421)&gt;0,1,0)</f>
        <v>0</v>
      </c>
      <c r="L4421" s="16">
        <f>IF(COUNTIFS(Release_Calendar!$A$2:$A$755,"US_NFP",Release_Calendar!$B$2:$B$755,$A4421)&gt;0,1,0)</f>
        <v>0</v>
      </c>
      <c r="M4421" s="16" t="str">
        <f>IF($A4421&lt;Notes!$B$5,"",IF(COUNTIFS(Release_Calendar!$A$2:$A$755,"NZ_CPI",Release_Calendar!$B$2:$B$755,$A4421)&gt;0,1,0))</f>
        <v/>
      </c>
      <c r="N4421" s="16" t="str">
        <f>IF($A4421&lt;Notes!$B$5,"",IF(COUNTIFS(Release_Calendar!$A$2:$A$755,"NZ_GDP",Release_Calendar!$B$2:$B$755,$A4421)&gt;0,1,0))</f>
        <v/>
      </c>
      <c r="O4421" s="16" t="str">
        <f>IF($A4421&lt;Notes!$B$5,"",IF(COUNTIFS(Release_Calendar!$A$2:$A$755,"NZ_LABOUR",Release_Calendar!$B$2:$B$755,$A4421)&gt;0,1,0))</f>
        <v/>
      </c>
      <c r="P4421" s="16">
        <f t="shared" si="4"/>
        <v>0</v>
      </c>
    </row>
    <row r="4422" ht="15.75" customHeight="1">
      <c r="A4422" s="14">
        <v>42716.0</v>
      </c>
      <c r="B4422" s="15">
        <v>1.15</v>
      </c>
      <c r="C4422" s="15">
        <v>2.32</v>
      </c>
      <c r="D4422" s="15">
        <v>2.2</v>
      </c>
      <c r="E4422" s="15">
        <v>2.19</v>
      </c>
      <c r="F4422" s="15">
        <f t="shared" si="1"/>
        <v>1.17</v>
      </c>
      <c r="G4422" s="15">
        <f t="shared" si="2"/>
        <v>2.32</v>
      </c>
      <c r="H4422" s="16">
        <v>0.0</v>
      </c>
      <c r="I4422" s="15">
        <f t="shared" si="3"/>
        <v>1.17</v>
      </c>
      <c r="J4422" s="15">
        <v>12.64</v>
      </c>
      <c r="K4422" s="16">
        <f>IF(COUNTIFS(Release_Calendar!$A$2:$A$755,"US_CPI",Release_Calendar!$B$2:$B$755,$A4422)&gt;0,1,0)</f>
        <v>0</v>
      </c>
      <c r="L4422" s="16">
        <f>IF(COUNTIFS(Release_Calendar!$A$2:$A$755,"US_NFP",Release_Calendar!$B$2:$B$755,$A4422)&gt;0,1,0)</f>
        <v>0</v>
      </c>
      <c r="M4422" s="16" t="str">
        <f>IF($A4422&lt;Notes!$B$5,"",IF(COUNTIFS(Release_Calendar!$A$2:$A$755,"NZ_CPI",Release_Calendar!$B$2:$B$755,$A4422)&gt;0,1,0))</f>
        <v/>
      </c>
      <c r="N4422" s="16" t="str">
        <f>IF($A4422&lt;Notes!$B$5,"",IF(COUNTIFS(Release_Calendar!$A$2:$A$755,"NZ_GDP",Release_Calendar!$B$2:$B$755,$A4422)&gt;0,1,0))</f>
        <v/>
      </c>
      <c r="O4422" s="16" t="str">
        <f>IF($A4422&lt;Notes!$B$5,"",IF(COUNTIFS(Release_Calendar!$A$2:$A$755,"NZ_LABOUR",Release_Calendar!$B$2:$B$755,$A4422)&gt;0,1,0))</f>
        <v/>
      </c>
      <c r="P4422" s="16">
        <f t="shared" si="4"/>
        <v>0</v>
      </c>
    </row>
    <row r="4423" ht="15.75" customHeight="1">
      <c r="A4423" s="14">
        <v>42717.0</v>
      </c>
      <c r="B4423" s="15">
        <v>1.17</v>
      </c>
      <c r="C4423" s="15">
        <v>2.31</v>
      </c>
      <c r="D4423" s="15">
        <v>2.18</v>
      </c>
      <c r="E4423" s="15">
        <v>2.18</v>
      </c>
      <c r="F4423" s="15">
        <f t="shared" si="1"/>
        <v>1.14</v>
      </c>
      <c r="G4423" s="15">
        <f t="shared" si="2"/>
        <v>2.31</v>
      </c>
      <c r="H4423" s="16">
        <v>0.0</v>
      </c>
      <c r="I4423" s="15">
        <f t="shared" si="3"/>
        <v>1.14</v>
      </c>
      <c r="J4423" s="15">
        <v>12.72</v>
      </c>
      <c r="K4423" s="16">
        <f>IF(COUNTIFS(Release_Calendar!$A$2:$A$755,"US_CPI",Release_Calendar!$B$2:$B$755,$A4423)&gt;0,1,0)</f>
        <v>0</v>
      </c>
      <c r="L4423" s="16">
        <f>IF(COUNTIFS(Release_Calendar!$A$2:$A$755,"US_NFP",Release_Calendar!$B$2:$B$755,$A4423)&gt;0,1,0)</f>
        <v>0</v>
      </c>
      <c r="M4423" s="16" t="str">
        <f>IF($A4423&lt;Notes!$B$5,"",IF(COUNTIFS(Release_Calendar!$A$2:$A$755,"NZ_CPI",Release_Calendar!$B$2:$B$755,$A4423)&gt;0,1,0))</f>
        <v/>
      </c>
      <c r="N4423" s="16" t="str">
        <f>IF($A4423&lt;Notes!$B$5,"",IF(COUNTIFS(Release_Calendar!$A$2:$A$755,"NZ_GDP",Release_Calendar!$B$2:$B$755,$A4423)&gt;0,1,0))</f>
        <v/>
      </c>
      <c r="O4423" s="16" t="str">
        <f>IF($A4423&lt;Notes!$B$5,"",IF(COUNTIFS(Release_Calendar!$A$2:$A$755,"NZ_LABOUR",Release_Calendar!$B$2:$B$755,$A4423)&gt;0,1,0))</f>
        <v/>
      </c>
      <c r="P4423" s="16">
        <f t="shared" si="4"/>
        <v>0</v>
      </c>
    </row>
    <row r="4424" ht="15.75" customHeight="1">
      <c r="A4424" s="14">
        <v>42718.0</v>
      </c>
      <c r="B4424" s="15">
        <v>1.27</v>
      </c>
      <c r="C4424" s="15">
        <v>2.32</v>
      </c>
      <c r="D4424" s="15">
        <v>2.17</v>
      </c>
      <c r="E4424" s="15">
        <v>2.16</v>
      </c>
      <c r="F4424" s="15">
        <f t="shared" si="1"/>
        <v>1.05</v>
      </c>
      <c r="G4424" s="15">
        <f t="shared" si="2"/>
        <v>2.32</v>
      </c>
      <c r="H4424" s="16">
        <v>0.0</v>
      </c>
      <c r="I4424" s="15">
        <f t="shared" si="3"/>
        <v>1.05</v>
      </c>
      <c r="J4424" s="15">
        <v>13.19</v>
      </c>
      <c r="K4424" s="16">
        <f>IF(COUNTIFS(Release_Calendar!$A$2:$A$755,"US_CPI",Release_Calendar!$B$2:$B$755,$A4424)&gt;0,1,0)</f>
        <v>0</v>
      </c>
      <c r="L4424" s="16">
        <f>IF(COUNTIFS(Release_Calendar!$A$2:$A$755,"US_NFP",Release_Calendar!$B$2:$B$755,$A4424)&gt;0,1,0)</f>
        <v>0</v>
      </c>
      <c r="M4424" s="16" t="str">
        <f>IF($A4424&lt;Notes!$B$5,"",IF(COUNTIFS(Release_Calendar!$A$2:$A$755,"NZ_CPI",Release_Calendar!$B$2:$B$755,$A4424)&gt;0,1,0))</f>
        <v/>
      </c>
      <c r="N4424" s="16" t="str">
        <f>IF($A4424&lt;Notes!$B$5,"",IF(COUNTIFS(Release_Calendar!$A$2:$A$755,"NZ_GDP",Release_Calendar!$B$2:$B$755,$A4424)&gt;0,1,0))</f>
        <v/>
      </c>
      <c r="O4424" s="16" t="str">
        <f>IF($A4424&lt;Notes!$B$5,"",IF(COUNTIFS(Release_Calendar!$A$2:$A$755,"NZ_LABOUR",Release_Calendar!$B$2:$B$755,$A4424)&gt;0,1,0))</f>
        <v/>
      </c>
      <c r="P4424" s="16">
        <f t="shared" si="4"/>
        <v>0</v>
      </c>
    </row>
    <row r="4425" ht="15.75" customHeight="1">
      <c r="A4425" s="14">
        <v>42719.0</v>
      </c>
      <c r="B4425" s="15">
        <v>1.29</v>
      </c>
      <c r="C4425" s="15">
        <v>2.39</v>
      </c>
      <c r="D4425" s="15">
        <v>2.22</v>
      </c>
      <c r="E4425" s="15">
        <v>2.24</v>
      </c>
      <c r="F4425" s="15">
        <f t="shared" si="1"/>
        <v>1.1</v>
      </c>
      <c r="G4425" s="15">
        <f t="shared" si="2"/>
        <v>2.39</v>
      </c>
      <c r="H4425" s="16">
        <v>0.0</v>
      </c>
      <c r="I4425" s="15">
        <f t="shared" si="3"/>
        <v>1.1</v>
      </c>
      <c r="J4425" s="15">
        <v>12.79</v>
      </c>
      <c r="K4425" s="16">
        <f>IF(COUNTIFS(Release_Calendar!$A$2:$A$755,"US_CPI",Release_Calendar!$B$2:$B$755,$A4425)&gt;0,1,0)</f>
        <v>1</v>
      </c>
      <c r="L4425" s="16">
        <f>IF(COUNTIFS(Release_Calendar!$A$2:$A$755,"US_NFP",Release_Calendar!$B$2:$B$755,$A4425)&gt;0,1,0)</f>
        <v>0</v>
      </c>
      <c r="M4425" s="16" t="str">
        <f>IF($A4425&lt;Notes!$B$5,"",IF(COUNTIFS(Release_Calendar!$A$2:$A$755,"NZ_CPI",Release_Calendar!$B$2:$B$755,$A4425)&gt;0,1,0))</f>
        <v/>
      </c>
      <c r="N4425" s="16" t="str">
        <f>IF($A4425&lt;Notes!$B$5,"",IF(COUNTIFS(Release_Calendar!$A$2:$A$755,"NZ_GDP",Release_Calendar!$B$2:$B$755,$A4425)&gt;0,1,0))</f>
        <v/>
      </c>
      <c r="O4425" s="16" t="str">
        <f>IF($A4425&lt;Notes!$B$5,"",IF(COUNTIFS(Release_Calendar!$A$2:$A$755,"NZ_LABOUR",Release_Calendar!$B$2:$B$755,$A4425)&gt;0,1,0))</f>
        <v/>
      </c>
      <c r="P4425" s="16">
        <f t="shared" si="4"/>
        <v>1</v>
      </c>
    </row>
    <row r="4426" ht="15.75" customHeight="1">
      <c r="A4426" s="14">
        <v>42720.0</v>
      </c>
      <c r="B4426" s="15">
        <v>1.28</v>
      </c>
      <c r="C4426" s="15">
        <v>2.41</v>
      </c>
      <c r="D4426" s="15">
        <v>2.28</v>
      </c>
      <c r="E4426" s="15">
        <v>2.24</v>
      </c>
      <c r="F4426" s="15">
        <f t="shared" si="1"/>
        <v>1.13</v>
      </c>
      <c r="G4426" s="15">
        <f t="shared" si="2"/>
        <v>2.41</v>
      </c>
      <c r="H4426" s="16">
        <v>0.0</v>
      </c>
      <c r="I4426" s="15">
        <f t="shared" si="3"/>
        <v>1.13</v>
      </c>
      <c r="J4426" s="15">
        <v>12.2</v>
      </c>
      <c r="K4426" s="16">
        <f>IF(COUNTIFS(Release_Calendar!$A$2:$A$755,"US_CPI",Release_Calendar!$B$2:$B$755,$A4426)&gt;0,1,0)</f>
        <v>0</v>
      </c>
      <c r="L4426" s="16">
        <f>IF(COUNTIFS(Release_Calendar!$A$2:$A$755,"US_NFP",Release_Calendar!$B$2:$B$755,$A4426)&gt;0,1,0)</f>
        <v>0</v>
      </c>
      <c r="M4426" s="16" t="str">
        <f>IF($A4426&lt;Notes!$B$5,"",IF(COUNTIFS(Release_Calendar!$A$2:$A$755,"NZ_CPI",Release_Calendar!$B$2:$B$755,$A4426)&gt;0,1,0))</f>
        <v/>
      </c>
      <c r="N4426" s="16" t="str">
        <f>IF($A4426&lt;Notes!$B$5,"",IF(COUNTIFS(Release_Calendar!$A$2:$A$755,"NZ_GDP",Release_Calendar!$B$2:$B$755,$A4426)&gt;0,1,0))</f>
        <v/>
      </c>
      <c r="O4426" s="16" t="str">
        <f>IF($A4426&lt;Notes!$B$5,"",IF(COUNTIFS(Release_Calendar!$A$2:$A$755,"NZ_LABOUR",Release_Calendar!$B$2:$B$755,$A4426)&gt;0,1,0))</f>
        <v/>
      </c>
      <c r="P4426" s="16">
        <f t="shared" si="4"/>
        <v>0</v>
      </c>
    </row>
    <row r="4427" ht="15.75" customHeight="1">
      <c r="A4427" s="14">
        <v>42723.0</v>
      </c>
      <c r="B4427" s="15">
        <v>1.24</v>
      </c>
      <c r="C4427" s="15">
        <v>2.43</v>
      </c>
      <c r="D4427" s="15">
        <v>2.25</v>
      </c>
      <c r="E4427" s="15">
        <v>2.28</v>
      </c>
      <c r="F4427" s="15">
        <f t="shared" si="1"/>
        <v>1.19</v>
      </c>
      <c r="G4427" s="15">
        <f t="shared" si="2"/>
        <v>2.43</v>
      </c>
      <c r="H4427" s="16">
        <v>0.0</v>
      </c>
      <c r="I4427" s="15">
        <f t="shared" si="3"/>
        <v>1.19</v>
      </c>
      <c r="J4427" s="15">
        <v>11.71</v>
      </c>
      <c r="K4427" s="16">
        <f>IF(COUNTIFS(Release_Calendar!$A$2:$A$755,"US_CPI",Release_Calendar!$B$2:$B$755,$A4427)&gt;0,1,0)</f>
        <v>0</v>
      </c>
      <c r="L4427" s="16">
        <f>IF(COUNTIFS(Release_Calendar!$A$2:$A$755,"US_NFP",Release_Calendar!$B$2:$B$755,$A4427)&gt;0,1,0)</f>
        <v>0</v>
      </c>
      <c r="M4427" s="16" t="str">
        <f>IF($A4427&lt;Notes!$B$5,"",IF(COUNTIFS(Release_Calendar!$A$2:$A$755,"NZ_CPI",Release_Calendar!$B$2:$B$755,$A4427)&gt;0,1,0))</f>
        <v/>
      </c>
      <c r="N4427" s="16" t="str">
        <f>IF($A4427&lt;Notes!$B$5,"",IF(COUNTIFS(Release_Calendar!$A$2:$A$755,"NZ_GDP",Release_Calendar!$B$2:$B$755,$A4427)&gt;0,1,0))</f>
        <v/>
      </c>
      <c r="O4427" s="16" t="str">
        <f>IF($A4427&lt;Notes!$B$5,"",IF(COUNTIFS(Release_Calendar!$A$2:$A$755,"NZ_LABOUR",Release_Calendar!$B$2:$B$755,$A4427)&gt;0,1,0))</f>
        <v/>
      </c>
      <c r="P4427" s="16">
        <f t="shared" si="4"/>
        <v>0</v>
      </c>
    </row>
    <row r="4428" ht="15.75" customHeight="1">
      <c r="A4428" s="14">
        <v>42724.0</v>
      </c>
      <c r="B4428" s="15">
        <v>1.25</v>
      </c>
      <c r="C4428" s="15">
        <v>2.42</v>
      </c>
      <c r="D4428" s="15">
        <v>2.27</v>
      </c>
      <c r="E4428" s="15">
        <v>2.28</v>
      </c>
      <c r="F4428" s="15">
        <f t="shared" si="1"/>
        <v>1.17</v>
      </c>
      <c r="G4428" s="15">
        <f t="shared" si="2"/>
        <v>2.42</v>
      </c>
      <c r="H4428" s="16">
        <v>0.0</v>
      </c>
      <c r="I4428" s="15">
        <f t="shared" si="3"/>
        <v>1.17</v>
      </c>
      <c r="J4428" s="15">
        <v>11.45</v>
      </c>
      <c r="K4428" s="16">
        <f>IF(COUNTIFS(Release_Calendar!$A$2:$A$755,"US_CPI",Release_Calendar!$B$2:$B$755,$A4428)&gt;0,1,0)</f>
        <v>0</v>
      </c>
      <c r="L4428" s="16">
        <f>IF(COUNTIFS(Release_Calendar!$A$2:$A$755,"US_NFP",Release_Calendar!$B$2:$B$755,$A4428)&gt;0,1,0)</f>
        <v>0</v>
      </c>
      <c r="M4428" s="16" t="str">
        <f>IF($A4428&lt;Notes!$B$5,"",IF(COUNTIFS(Release_Calendar!$A$2:$A$755,"NZ_CPI",Release_Calendar!$B$2:$B$755,$A4428)&gt;0,1,0))</f>
        <v/>
      </c>
      <c r="N4428" s="16" t="str">
        <f>IF($A4428&lt;Notes!$B$5,"",IF(COUNTIFS(Release_Calendar!$A$2:$A$755,"NZ_GDP",Release_Calendar!$B$2:$B$755,$A4428)&gt;0,1,0))</f>
        <v/>
      </c>
      <c r="O4428" s="16" t="str">
        <f>IF($A4428&lt;Notes!$B$5,"",IF(COUNTIFS(Release_Calendar!$A$2:$A$755,"NZ_LABOUR",Release_Calendar!$B$2:$B$755,$A4428)&gt;0,1,0))</f>
        <v/>
      </c>
      <c r="P4428" s="16">
        <f t="shared" si="4"/>
        <v>0</v>
      </c>
    </row>
    <row r="4429" ht="15.75" customHeight="1">
      <c r="A4429" s="14">
        <v>42725.0</v>
      </c>
      <c r="B4429" s="15">
        <v>1.21</v>
      </c>
      <c r="C4429" s="15">
        <v>2.45</v>
      </c>
      <c r="D4429" s="15">
        <v>2.28</v>
      </c>
      <c r="E4429" s="15">
        <v>2.31</v>
      </c>
      <c r="F4429" s="15">
        <f t="shared" si="1"/>
        <v>1.24</v>
      </c>
      <c r="G4429" s="15">
        <f t="shared" si="2"/>
        <v>2.45</v>
      </c>
      <c r="H4429" s="16">
        <v>0.0</v>
      </c>
      <c r="I4429" s="15">
        <f t="shared" si="3"/>
        <v>1.24</v>
      </c>
      <c r="J4429" s="15">
        <v>11.27</v>
      </c>
      <c r="K4429" s="16">
        <f>IF(COUNTIFS(Release_Calendar!$A$2:$A$755,"US_CPI",Release_Calendar!$B$2:$B$755,$A4429)&gt;0,1,0)</f>
        <v>0</v>
      </c>
      <c r="L4429" s="16">
        <f>IF(COUNTIFS(Release_Calendar!$A$2:$A$755,"US_NFP",Release_Calendar!$B$2:$B$755,$A4429)&gt;0,1,0)</f>
        <v>0</v>
      </c>
      <c r="M4429" s="16" t="str">
        <f>IF($A4429&lt;Notes!$B$5,"",IF(COUNTIFS(Release_Calendar!$A$2:$A$755,"NZ_CPI",Release_Calendar!$B$2:$B$755,$A4429)&gt;0,1,0))</f>
        <v/>
      </c>
      <c r="N4429" s="16" t="str">
        <f>IF($A4429&lt;Notes!$B$5,"",IF(COUNTIFS(Release_Calendar!$A$2:$A$755,"NZ_GDP",Release_Calendar!$B$2:$B$755,$A4429)&gt;0,1,0))</f>
        <v/>
      </c>
      <c r="O4429" s="16" t="str">
        <f>IF($A4429&lt;Notes!$B$5,"",IF(COUNTIFS(Release_Calendar!$A$2:$A$755,"NZ_LABOUR",Release_Calendar!$B$2:$B$755,$A4429)&gt;0,1,0))</f>
        <v/>
      </c>
      <c r="P4429" s="16">
        <f t="shared" si="4"/>
        <v>0</v>
      </c>
    </row>
    <row r="4430" ht="15.75" customHeight="1">
      <c r="A4430" s="14">
        <v>42726.0</v>
      </c>
      <c r="B4430" s="15">
        <v>1.22</v>
      </c>
      <c r="C4430" s="15">
        <v>2.5</v>
      </c>
      <c r="D4430" s="15">
        <v>2.31</v>
      </c>
      <c r="E4430" s="15">
        <v>2.32</v>
      </c>
      <c r="F4430" s="15">
        <f t="shared" si="1"/>
        <v>1.28</v>
      </c>
      <c r="G4430" s="15">
        <f t="shared" si="2"/>
        <v>2.5</v>
      </c>
      <c r="H4430" s="16">
        <v>0.0</v>
      </c>
      <c r="I4430" s="15">
        <f t="shared" si="3"/>
        <v>1.28</v>
      </c>
      <c r="J4430" s="15">
        <v>11.43</v>
      </c>
      <c r="K4430" s="16">
        <f>IF(COUNTIFS(Release_Calendar!$A$2:$A$755,"US_CPI",Release_Calendar!$B$2:$B$755,$A4430)&gt;0,1,0)</f>
        <v>0</v>
      </c>
      <c r="L4430" s="16">
        <f>IF(COUNTIFS(Release_Calendar!$A$2:$A$755,"US_NFP",Release_Calendar!$B$2:$B$755,$A4430)&gt;0,1,0)</f>
        <v>0</v>
      </c>
      <c r="M4430" s="16" t="str">
        <f>IF($A4430&lt;Notes!$B$5,"",IF(COUNTIFS(Release_Calendar!$A$2:$A$755,"NZ_CPI",Release_Calendar!$B$2:$B$755,$A4430)&gt;0,1,0))</f>
        <v/>
      </c>
      <c r="N4430" s="16" t="str">
        <f>IF($A4430&lt;Notes!$B$5,"",IF(COUNTIFS(Release_Calendar!$A$2:$A$755,"NZ_GDP",Release_Calendar!$B$2:$B$755,$A4430)&gt;0,1,0))</f>
        <v/>
      </c>
      <c r="O4430" s="16" t="str">
        <f>IF($A4430&lt;Notes!$B$5,"",IF(COUNTIFS(Release_Calendar!$A$2:$A$755,"NZ_LABOUR",Release_Calendar!$B$2:$B$755,$A4430)&gt;0,1,0))</f>
        <v/>
      </c>
      <c r="P4430" s="16">
        <f t="shared" si="4"/>
        <v>0</v>
      </c>
    </row>
    <row r="4431" ht="15.75" customHeight="1">
      <c r="A4431" s="14">
        <v>42727.0</v>
      </c>
      <c r="B4431" s="15">
        <v>1.22</v>
      </c>
      <c r="C4431" s="15">
        <v>2.52</v>
      </c>
      <c r="D4431" s="15">
        <v>2.34</v>
      </c>
      <c r="E4431" s="15">
        <v>2.36</v>
      </c>
      <c r="F4431" s="15">
        <f t="shared" si="1"/>
        <v>1.3</v>
      </c>
      <c r="G4431" s="15">
        <f t="shared" si="2"/>
        <v>2.52</v>
      </c>
      <c r="H4431" s="16">
        <v>0.0</v>
      </c>
      <c r="I4431" s="15">
        <f t="shared" si="3"/>
        <v>1.3</v>
      </c>
      <c r="J4431" s="15">
        <v>11.44</v>
      </c>
      <c r="K4431" s="16">
        <f>IF(COUNTIFS(Release_Calendar!$A$2:$A$755,"US_CPI",Release_Calendar!$B$2:$B$755,$A4431)&gt;0,1,0)</f>
        <v>0</v>
      </c>
      <c r="L4431" s="16">
        <f>IF(COUNTIFS(Release_Calendar!$A$2:$A$755,"US_NFP",Release_Calendar!$B$2:$B$755,$A4431)&gt;0,1,0)</f>
        <v>0</v>
      </c>
      <c r="M4431" s="16" t="str">
        <f>IF($A4431&lt;Notes!$B$5,"",IF(COUNTIFS(Release_Calendar!$A$2:$A$755,"NZ_CPI",Release_Calendar!$B$2:$B$755,$A4431)&gt;0,1,0))</f>
        <v/>
      </c>
      <c r="N4431" s="16" t="str">
        <f>IF($A4431&lt;Notes!$B$5,"",IF(COUNTIFS(Release_Calendar!$A$2:$A$755,"NZ_GDP",Release_Calendar!$B$2:$B$755,$A4431)&gt;0,1,0))</f>
        <v/>
      </c>
      <c r="O4431" s="16" t="str">
        <f>IF($A4431&lt;Notes!$B$5,"",IF(COUNTIFS(Release_Calendar!$A$2:$A$755,"NZ_LABOUR",Release_Calendar!$B$2:$B$755,$A4431)&gt;0,1,0))</f>
        <v/>
      </c>
      <c r="P4431" s="16">
        <f t="shared" si="4"/>
        <v>0</v>
      </c>
    </row>
    <row r="4432" ht="15.75" customHeight="1">
      <c r="A4432" s="14">
        <v>42730.0</v>
      </c>
      <c r="B4432" s="15"/>
      <c r="C4432" s="15"/>
      <c r="D4432" s="15"/>
      <c r="E4432" s="15"/>
      <c r="F4432" s="15" t="str">
        <f t="shared" si="1"/>
        <v/>
      </c>
      <c r="G4432" s="15" t="str">
        <f t="shared" si="2"/>
        <v/>
      </c>
      <c r="H4432" s="16">
        <v>0.0</v>
      </c>
      <c r="I4432" s="15" t="str">
        <f t="shared" si="3"/>
        <v/>
      </c>
      <c r="J4432" s="15"/>
      <c r="K4432" s="16">
        <f>IF(COUNTIFS(Release_Calendar!$A$2:$A$755,"US_CPI",Release_Calendar!$B$2:$B$755,$A4432)&gt;0,1,0)</f>
        <v>0</v>
      </c>
      <c r="L4432" s="16">
        <f>IF(COUNTIFS(Release_Calendar!$A$2:$A$755,"US_NFP",Release_Calendar!$B$2:$B$755,$A4432)&gt;0,1,0)</f>
        <v>0</v>
      </c>
      <c r="M4432" s="16" t="str">
        <f>IF($A4432&lt;Notes!$B$5,"",IF(COUNTIFS(Release_Calendar!$A$2:$A$755,"NZ_CPI",Release_Calendar!$B$2:$B$755,$A4432)&gt;0,1,0))</f>
        <v/>
      </c>
      <c r="N4432" s="16" t="str">
        <f>IF($A4432&lt;Notes!$B$5,"",IF(COUNTIFS(Release_Calendar!$A$2:$A$755,"NZ_GDP",Release_Calendar!$B$2:$B$755,$A4432)&gt;0,1,0))</f>
        <v/>
      </c>
      <c r="O4432" s="16" t="str">
        <f>IF($A4432&lt;Notes!$B$5,"",IF(COUNTIFS(Release_Calendar!$A$2:$A$755,"NZ_LABOUR",Release_Calendar!$B$2:$B$755,$A4432)&gt;0,1,0))</f>
        <v/>
      </c>
      <c r="P4432" s="16">
        <f t="shared" si="4"/>
        <v>0</v>
      </c>
    </row>
    <row r="4433" ht="15.75" customHeight="1">
      <c r="A4433" s="14">
        <v>42731.0</v>
      </c>
      <c r="B4433" s="15">
        <v>1.28</v>
      </c>
      <c r="C4433" s="15"/>
      <c r="D4433" s="15"/>
      <c r="E4433" s="15"/>
      <c r="F4433" s="15" t="str">
        <f t="shared" si="1"/>
        <v/>
      </c>
      <c r="G4433" s="15" t="str">
        <f t="shared" si="2"/>
        <v/>
      </c>
      <c r="H4433" s="16">
        <v>0.0</v>
      </c>
      <c r="I4433" s="15" t="str">
        <f t="shared" si="3"/>
        <v/>
      </c>
      <c r="J4433" s="15">
        <v>11.99</v>
      </c>
      <c r="K4433" s="16">
        <f>IF(COUNTIFS(Release_Calendar!$A$2:$A$755,"US_CPI",Release_Calendar!$B$2:$B$755,$A4433)&gt;0,1,0)</f>
        <v>0</v>
      </c>
      <c r="L4433" s="16">
        <f>IF(COUNTIFS(Release_Calendar!$A$2:$A$755,"US_NFP",Release_Calendar!$B$2:$B$755,$A4433)&gt;0,1,0)</f>
        <v>0</v>
      </c>
      <c r="M4433" s="16" t="str">
        <f>IF($A4433&lt;Notes!$B$5,"",IF(COUNTIFS(Release_Calendar!$A$2:$A$755,"NZ_CPI",Release_Calendar!$B$2:$B$755,$A4433)&gt;0,1,0))</f>
        <v/>
      </c>
      <c r="N4433" s="16" t="str">
        <f>IF($A4433&lt;Notes!$B$5,"",IF(COUNTIFS(Release_Calendar!$A$2:$A$755,"NZ_GDP",Release_Calendar!$B$2:$B$755,$A4433)&gt;0,1,0))</f>
        <v/>
      </c>
      <c r="O4433" s="16" t="str">
        <f>IF($A4433&lt;Notes!$B$5,"",IF(COUNTIFS(Release_Calendar!$A$2:$A$755,"NZ_LABOUR",Release_Calendar!$B$2:$B$755,$A4433)&gt;0,1,0))</f>
        <v/>
      </c>
      <c r="P4433" s="16">
        <f t="shared" si="4"/>
        <v>0</v>
      </c>
    </row>
    <row r="4434" ht="15.75" customHeight="1">
      <c r="A4434" s="14">
        <v>42732.0</v>
      </c>
      <c r="B4434" s="15">
        <v>1.26</v>
      </c>
      <c r="C4434" s="15">
        <v>2.54</v>
      </c>
      <c r="D4434" s="15">
        <v>2.36</v>
      </c>
      <c r="E4434" s="15">
        <v>2.37</v>
      </c>
      <c r="F4434" s="15">
        <f t="shared" si="1"/>
        <v>1.28</v>
      </c>
      <c r="G4434" s="15">
        <f t="shared" si="2"/>
        <v>2.54</v>
      </c>
      <c r="H4434" s="16">
        <v>0.0</v>
      </c>
      <c r="I4434" s="15">
        <f t="shared" si="3"/>
        <v>1.28</v>
      </c>
      <c r="J4434" s="15">
        <v>12.95</v>
      </c>
      <c r="K4434" s="16">
        <f>IF(COUNTIFS(Release_Calendar!$A$2:$A$755,"US_CPI",Release_Calendar!$B$2:$B$755,$A4434)&gt;0,1,0)</f>
        <v>0</v>
      </c>
      <c r="L4434" s="16">
        <f>IF(COUNTIFS(Release_Calendar!$A$2:$A$755,"US_NFP",Release_Calendar!$B$2:$B$755,$A4434)&gt;0,1,0)</f>
        <v>0</v>
      </c>
      <c r="M4434" s="16" t="str">
        <f>IF($A4434&lt;Notes!$B$5,"",IF(COUNTIFS(Release_Calendar!$A$2:$A$755,"NZ_CPI",Release_Calendar!$B$2:$B$755,$A4434)&gt;0,1,0))</f>
        <v/>
      </c>
      <c r="N4434" s="16" t="str">
        <f>IF($A4434&lt;Notes!$B$5,"",IF(COUNTIFS(Release_Calendar!$A$2:$A$755,"NZ_GDP",Release_Calendar!$B$2:$B$755,$A4434)&gt;0,1,0))</f>
        <v/>
      </c>
      <c r="O4434" s="16" t="str">
        <f>IF($A4434&lt;Notes!$B$5,"",IF(COUNTIFS(Release_Calendar!$A$2:$A$755,"NZ_LABOUR",Release_Calendar!$B$2:$B$755,$A4434)&gt;0,1,0))</f>
        <v/>
      </c>
      <c r="P4434" s="16">
        <f t="shared" si="4"/>
        <v>0</v>
      </c>
    </row>
    <row r="4435" ht="15.75" customHeight="1">
      <c r="A4435" s="14">
        <v>42733.0</v>
      </c>
      <c r="B4435" s="15">
        <v>1.22</v>
      </c>
      <c r="C4435" s="15">
        <v>2.5</v>
      </c>
      <c r="D4435" s="15">
        <v>2.33</v>
      </c>
      <c r="E4435" s="15">
        <v>2.3</v>
      </c>
      <c r="F4435" s="15">
        <f t="shared" si="1"/>
        <v>1.28</v>
      </c>
      <c r="G4435" s="15">
        <f t="shared" si="2"/>
        <v>2.5</v>
      </c>
      <c r="H4435" s="16">
        <v>0.0</v>
      </c>
      <c r="I4435" s="15">
        <f t="shared" si="3"/>
        <v>1.28</v>
      </c>
      <c r="J4435" s="15">
        <v>13.37</v>
      </c>
      <c r="K4435" s="16">
        <f>IF(COUNTIFS(Release_Calendar!$A$2:$A$755,"US_CPI",Release_Calendar!$B$2:$B$755,$A4435)&gt;0,1,0)</f>
        <v>0</v>
      </c>
      <c r="L4435" s="16">
        <f>IF(COUNTIFS(Release_Calendar!$A$2:$A$755,"US_NFP",Release_Calendar!$B$2:$B$755,$A4435)&gt;0,1,0)</f>
        <v>0</v>
      </c>
      <c r="M4435" s="16" t="str">
        <f>IF($A4435&lt;Notes!$B$5,"",IF(COUNTIFS(Release_Calendar!$A$2:$A$755,"NZ_CPI",Release_Calendar!$B$2:$B$755,$A4435)&gt;0,1,0))</f>
        <v/>
      </c>
      <c r="N4435" s="16" t="str">
        <f>IF($A4435&lt;Notes!$B$5,"",IF(COUNTIFS(Release_Calendar!$A$2:$A$755,"NZ_GDP",Release_Calendar!$B$2:$B$755,$A4435)&gt;0,1,0))</f>
        <v/>
      </c>
      <c r="O4435" s="16" t="str">
        <f>IF($A4435&lt;Notes!$B$5,"",IF(COUNTIFS(Release_Calendar!$A$2:$A$755,"NZ_LABOUR",Release_Calendar!$B$2:$B$755,$A4435)&gt;0,1,0))</f>
        <v/>
      </c>
      <c r="P4435" s="16">
        <f t="shared" si="4"/>
        <v>0</v>
      </c>
    </row>
    <row r="4436" ht="15.75" customHeight="1">
      <c r="A4436" s="14">
        <v>42734.0</v>
      </c>
      <c r="B4436" s="15">
        <v>1.2</v>
      </c>
      <c r="C4436" s="15">
        <v>2.45</v>
      </c>
      <c r="D4436" s="15">
        <v>2.27</v>
      </c>
      <c r="E4436" s="15">
        <v>2.26</v>
      </c>
      <c r="F4436" s="15">
        <f t="shared" si="1"/>
        <v>1.25</v>
      </c>
      <c r="G4436" s="15">
        <f t="shared" si="2"/>
        <v>2.45</v>
      </c>
      <c r="H4436" s="16">
        <v>0.0</v>
      </c>
      <c r="I4436" s="15">
        <f t="shared" si="3"/>
        <v>1.25</v>
      </c>
      <c r="J4436" s="15">
        <v>14.04</v>
      </c>
      <c r="K4436" s="16">
        <f>IF(COUNTIFS(Release_Calendar!$A$2:$A$755,"US_CPI",Release_Calendar!$B$2:$B$755,$A4436)&gt;0,1,0)</f>
        <v>0</v>
      </c>
      <c r="L4436" s="16">
        <f>IF(COUNTIFS(Release_Calendar!$A$2:$A$755,"US_NFP",Release_Calendar!$B$2:$B$755,$A4436)&gt;0,1,0)</f>
        <v>0</v>
      </c>
      <c r="M4436" s="16" t="str">
        <f>IF($A4436&lt;Notes!$B$5,"",IF(COUNTIFS(Release_Calendar!$A$2:$A$755,"NZ_CPI",Release_Calendar!$B$2:$B$755,$A4436)&gt;0,1,0))</f>
        <v/>
      </c>
      <c r="N4436" s="16" t="str">
        <f>IF($A4436&lt;Notes!$B$5,"",IF(COUNTIFS(Release_Calendar!$A$2:$A$755,"NZ_GDP",Release_Calendar!$B$2:$B$755,$A4436)&gt;0,1,0))</f>
        <v/>
      </c>
      <c r="O4436" s="16" t="str">
        <f>IF($A4436&lt;Notes!$B$5,"",IF(COUNTIFS(Release_Calendar!$A$2:$A$755,"NZ_LABOUR",Release_Calendar!$B$2:$B$755,$A4436)&gt;0,1,0))</f>
        <v/>
      </c>
      <c r="P4436" s="16">
        <f t="shared" si="4"/>
        <v>0</v>
      </c>
    </row>
    <row r="4437" ht="15.75" customHeight="1">
      <c r="A4437" s="14">
        <v>42737.0</v>
      </c>
      <c r="B4437" s="15"/>
      <c r="C4437" s="15"/>
      <c r="D4437" s="15"/>
      <c r="E4437" s="15"/>
      <c r="F4437" s="15" t="str">
        <f t="shared" si="1"/>
        <v/>
      </c>
      <c r="G4437" s="15" t="str">
        <f t="shared" si="2"/>
        <v/>
      </c>
      <c r="H4437" s="16">
        <v>0.0</v>
      </c>
      <c r="I4437" s="15" t="str">
        <f t="shared" si="3"/>
        <v/>
      </c>
      <c r="J4437" s="15"/>
      <c r="K4437" s="16">
        <f>IF(COUNTIFS(Release_Calendar!$A$2:$A$755,"US_CPI",Release_Calendar!$B$2:$B$755,$A4437)&gt;0,1,0)</f>
        <v>0</v>
      </c>
      <c r="L4437" s="16">
        <f>IF(COUNTIFS(Release_Calendar!$A$2:$A$755,"US_NFP",Release_Calendar!$B$2:$B$755,$A4437)&gt;0,1,0)</f>
        <v>0</v>
      </c>
      <c r="M4437" s="16" t="str">
        <f>IF($A4437&lt;Notes!$B$5,"",IF(COUNTIFS(Release_Calendar!$A$2:$A$755,"NZ_CPI",Release_Calendar!$B$2:$B$755,$A4437)&gt;0,1,0))</f>
        <v/>
      </c>
      <c r="N4437" s="16" t="str">
        <f>IF($A4437&lt;Notes!$B$5,"",IF(COUNTIFS(Release_Calendar!$A$2:$A$755,"NZ_GDP",Release_Calendar!$B$2:$B$755,$A4437)&gt;0,1,0))</f>
        <v/>
      </c>
      <c r="O4437" s="16" t="str">
        <f>IF($A4437&lt;Notes!$B$5,"",IF(COUNTIFS(Release_Calendar!$A$2:$A$755,"NZ_LABOUR",Release_Calendar!$B$2:$B$755,$A4437)&gt;0,1,0))</f>
        <v/>
      </c>
      <c r="P4437" s="16">
        <f t="shared" si="4"/>
        <v>0</v>
      </c>
    </row>
    <row r="4438" ht="15.75" customHeight="1">
      <c r="A4438" s="14">
        <v>42738.0</v>
      </c>
      <c r="B4438" s="15">
        <v>1.22</v>
      </c>
      <c r="C4438" s="15"/>
      <c r="D4438" s="15"/>
      <c r="E4438" s="15"/>
      <c r="F4438" s="15" t="str">
        <f t="shared" si="1"/>
        <v/>
      </c>
      <c r="G4438" s="15" t="str">
        <f t="shared" si="2"/>
        <v/>
      </c>
      <c r="H4438" s="16">
        <v>0.0</v>
      </c>
      <c r="I4438" s="15" t="str">
        <f t="shared" si="3"/>
        <v/>
      </c>
      <c r="J4438" s="15">
        <v>12.85</v>
      </c>
      <c r="K4438" s="16">
        <f>IF(COUNTIFS(Release_Calendar!$A$2:$A$755,"US_CPI",Release_Calendar!$B$2:$B$755,$A4438)&gt;0,1,0)</f>
        <v>0</v>
      </c>
      <c r="L4438" s="16">
        <f>IF(COUNTIFS(Release_Calendar!$A$2:$A$755,"US_NFP",Release_Calendar!$B$2:$B$755,$A4438)&gt;0,1,0)</f>
        <v>0</v>
      </c>
      <c r="M4438" s="16" t="str">
        <f>IF($A4438&lt;Notes!$B$5,"",IF(COUNTIFS(Release_Calendar!$A$2:$A$755,"NZ_CPI",Release_Calendar!$B$2:$B$755,$A4438)&gt;0,1,0))</f>
        <v/>
      </c>
      <c r="N4438" s="16" t="str">
        <f>IF($A4438&lt;Notes!$B$5,"",IF(COUNTIFS(Release_Calendar!$A$2:$A$755,"NZ_GDP",Release_Calendar!$B$2:$B$755,$A4438)&gt;0,1,0))</f>
        <v/>
      </c>
      <c r="O4438" s="16" t="str">
        <f>IF($A4438&lt;Notes!$B$5,"",IF(COUNTIFS(Release_Calendar!$A$2:$A$755,"NZ_LABOUR",Release_Calendar!$B$2:$B$755,$A4438)&gt;0,1,0))</f>
        <v/>
      </c>
      <c r="P4438" s="16">
        <f t="shared" si="4"/>
        <v>0</v>
      </c>
    </row>
    <row r="4439" ht="15.75" customHeight="1">
      <c r="A4439" s="14">
        <v>42739.0</v>
      </c>
      <c r="B4439" s="15">
        <v>1.24</v>
      </c>
      <c r="C4439" s="15">
        <v>2.44</v>
      </c>
      <c r="D4439" s="15">
        <v>2.24</v>
      </c>
      <c r="E4439" s="15">
        <v>2.23</v>
      </c>
      <c r="F4439" s="15">
        <f t="shared" si="1"/>
        <v>1.2</v>
      </c>
      <c r="G4439" s="15">
        <f t="shared" si="2"/>
        <v>2.44</v>
      </c>
      <c r="H4439" s="16">
        <v>0.0</v>
      </c>
      <c r="I4439" s="15">
        <f t="shared" si="3"/>
        <v>1.2</v>
      </c>
      <c r="J4439" s="15">
        <v>11.85</v>
      </c>
      <c r="K4439" s="16">
        <f>IF(COUNTIFS(Release_Calendar!$A$2:$A$755,"US_CPI",Release_Calendar!$B$2:$B$755,$A4439)&gt;0,1,0)</f>
        <v>0</v>
      </c>
      <c r="L4439" s="16">
        <f>IF(COUNTIFS(Release_Calendar!$A$2:$A$755,"US_NFP",Release_Calendar!$B$2:$B$755,$A4439)&gt;0,1,0)</f>
        <v>0</v>
      </c>
      <c r="M4439" s="16" t="str">
        <f>IF($A4439&lt;Notes!$B$5,"",IF(COUNTIFS(Release_Calendar!$A$2:$A$755,"NZ_CPI",Release_Calendar!$B$2:$B$755,$A4439)&gt;0,1,0))</f>
        <v/>
      </c>
      <c r="N4439" s="16" t="str">
        <f>IF($A4439&lt;Notes!$B$5,"",IF(COUNTIFS(Release_Calendar!$A$2:$A$755,"NZ_GDP",Release_Calendar!$B$2:$B$755,$A4439)&gt;0,1,0))</f>
        <v/>
      </c>
      <c r="O4439" s="16" t="str">
        <f>IF($A4439&lt;Notes!$B$5,"",IF(COUNTIFS(Release_Calendar!$A$2:$A$755,"NZ_LABOUR",Release_Calendar!$B$2:$B$755,$A4439)&gt;0,1,0))</f>
        <v/>
      </c>
      <c r="P4439" s="16">
        <f t="shared" si="4"/>
        <v>0</v>
      </c>
    </row>
    <row r="4440" ht="15.75" customHeight="1">
      <c r="A4440" s="14">
        <v>42740.0</v>
      </c>
      <c r="B4440" s="15">
        <v>1.17</v>
      </c>
      <c r="C4440" s="15">
        <v>2.39</v>
      </c>
      <c r="D4440" s="15">
        <v>2.2</v>
      </c>
      <c r="E4440" s="15">
        <v>2.19</v>
      </c>
      <c r="F4440" s="15">
        <f t="shared" si="1"/>
        <v>1.22</v>
      </c>
      <c r="G4440" s="15">
        <f t="shared" si="2"/>
        <v>2.39</v>
      </c>
      <c r="H4440" s="16">
        <v>0.0</v>
      </c>
      <c r="I4440" s="15">
        <f t="shared" si="3"/>
        <v>1.22</v>
      </c>
      <c r="J4440" s="15">
        <v>11.67</v>
      </c>
      <c r="K4440" s="16">
        <f>IF(COUNTIFS(Release_Calendar!$A$2:$A$755,"US_CPI",Release_Calendar!$B$2:$B$755,$A4440)&gt;0,1,0)</f>
        <v>0</v>
      </c>
      <c r="L4440" s="16">
        <f>IF(COUNTIFS(Release_Calendar!$A$2:$A$755,"US_NFP",Release_Calendar!$B$2:$B$755,$A4440)&gt;0,1,0)</f>
        <v>0</v>
      </c>
      <c r="M4440" s="16" t="str">
        <f>IF($A4440&lt;Notes!$B$5,"",IF(COUNTIFS(Release_Calendar!$A$2:$A$755,"NZ_CPI",Release_Calendar!$B$2:$B$755,$A4440)&gt;0,1,0))</f>
        <v/>
      </c>
      <c r="N4440" s="16" t="str">
        <f>IF($A4440&lt;Notes!$B$5,"",IF(COUNTIFS(Release_Calendar!$A$2:$A$755,"NZ_GDP",Release_Calendar!$B$2:$B$755,$A4440)&gt;0,1,0))</f>
        <v/>
      </c>
      <c r="O4440" s="16" t="str">
        <f>IF($A4440&lt;Notes!$B$5,"",IF(COUNTIFS(Release_Calendar!$A$2:$A$755,"NZ_LABOUR",Release_Calendar!$B$2:$B$755,$A4440)&gt;0,1,0))</f>
        <v/>
      </c>
      <c r="P4440" s="16">
        <f t="shared" si="4"/>
        <v>0</v>
      </c>
    </row>
    <row r="4441" ht="15.75" customHeight="1">
      <c r="A4441" s="14">
        <v>42741.0</v>
      </c>
      <c r="B4441" s="15">
        <v>1.22</v>
      </c>
      <c r="C4441" s="15">
        <v>2.4</v>
      </c>
      <c r="D4441" s="15">
        <v>2.15</v>
      </c>
      <c r="E4441" s="15">
        <v>2.2</v>
      </c>
      <c r="F4441" s="15">
        <f t="shared" si="1"/>
        <v>1.18</v>
      </c>
      <c r="G4441" s="15">
        <f t="shared" si="2"/>
        <v>2.4</v>
      </c>
      <c r="H4441" s="16">
        <v>0.0</v>
      </c>
      <c r="I4441" s="15">
        <f t="shared" si="3"/>
        <v>1.18</v>
      </c>
      <c r="J4441" s="15">
        <v>11.32</v>
      </c>
      <c r="K4441" s="16">
        <f>IF(COUNTIFS(Release_Calendar!$A$2:$A$755,"US_CPI",Release_Calendar!$B$2:$B$755,$A4441)&gt;0,1,0)</f>
        <v>0</v>
      </c>
      <c r="L4441" s="16">
        <f>IF(COUNTIFS(Release_Calendar!$A$2:$A$755,"US_NFP",Release_Calendar!$B$2:$B$755,$A4441)&gt;0,1,0)</f>
        <v>1</v>
      </c>
      <c r="M4441" s="16" t="str">
        <f>IF($A4441&lt;Notes!$B$5,"",IF(COUNTIFS(Release_Calendar!$A$2:$A$755,"NZ_CPI",Release_Calendar!$B$2:$B$755,$A4441)&gt;0,1,0))</f>
        <v/>
      </c>
      <c r="N4441" s="16" t="str">
        <f>IF($A4441&lt;Notes!$B$5,"",IF(COUNTIFS(Release_Calendar!$A$2:$A$755,"NZ_GDP",Release_Calendar!$B$2:$B$755,$A4441)&gt;0,1,0))</f>
        <v/>
      </c>
      <c r="O4441" s="16" t="str">
        <f>IF($A4441&lt;Notes!$B$5,"",IF(COUNTIFS(Release_Calendar!$A$2:$A$755,"NZ_LABOUR",Release_Calendar!$B$2:$B$755,$A4441)&gt;0,1,0))</f>
        <v/>
      </c>
      <c r="P4441" s="16">
        <f t="shared" si="4"/>
        <v>1</v>
      </c>
    </row>
    <row r="4442" ht="15.75" customHeight="1">
      <c r="A4442" s="14">
        <v>42744.0</v>
      </c>
      <c r="B4442" s="15">
        <v>1.21</v>
      </c>
      <c r="C4442" s="15">
        <v>2.42</v>
      </c>
      <c r="D4442" s="15">
        <v>2.24</v>
      </c>
      <c r="E4442" s="15">
        <v>2.24</v>
      </c>
      <c r="F4442" s="15">
        <f t="shared" si="1"/>
        <v>1.21</v>
      </c>
      <c r="G4442" s="15">
        <f t="shared" si="2"/>
        <v>2.42</v>
      </c>
      <c r="H4442" s="16">
        <v>0.0</v>
      </c>
      <c r="I4442" s="15">
        <f t="shared" si="3"/>
        <v>1.21</v>
      </c>
      <c r="J4442" s="15">
        <v>11.56</v>
      </c>
      <c r="K4442" s="16">
        <f>IF(COUNTIFS(Release_Calendar!$A$2:$A$755,"US_CPI",Release_Calendar!$B$2:$B$755,$A4442)&gt;0,1,0)</f>
        <v>0</v>
      </c>
      <c r="L4442" s="16">
        <f>IF(COUNTIFS(Release_Calendar!$A$2:$A$755,"US_NFP",Release_Calendar!$B$2:$B$755,$A4442)&gt;0,1,0)</f>
        <v>0</v>
      </c>
      <c r="M4442" s="16" t="str">
        <f>IF($A4442&lt;Notes!$B$5,"",IF(COUNTIFS(Release_Calendar!$A$2:$A$755,"NZ_CPI",Release_Calendar!$B$2:$B$755,$A4442)&gt;0,1,0))</f>
        <v/>
      </c>
      <c r="N4442" s="16" t="str">
        <f>IF($A4442&lt;Notes!$B$5,"",IF(COUNTIFS(Release_Calendar!$A$2:$A$755,"NZ_GDP",Release_Calendar!$B$2:$B$755,$A4442)&gt;0,1,0))</f>
        <v/>
      </c>
      <c r="O4442" s="16" t="str">
        <f>IF($A4442&lt;Notes!$B$5,"",IF(COUNTIFS(Release_Calendar!$A$2:$A$755,"NZ_LABOUR",Release_Calendar!$B$2:$B$755,$A4442)&gt;0,1,0))</f>
        <v/>
      </c>
      <c r="P4442" s="16">
        <f t="shared" si="4"/>
        <v>0</v>
      </c>
    </row>
    <row r="4443" ht="15.75" customHeight="1">
      <c r="A4443" s="14">
        <v>42745.0</v>
      </c>
      <c r="B4443" s="15">
        <v>1.19</v>
      </c>
      <c r="C4443" s="15">
        <v>2.39</v>
      </c>
      <c r="D4443" s="15">
        <v>2.21</v>
      </c>
      <c r="E4443" s="15">
        <v>2.2</v>
      </c>
      <c r="F4443" s="15">
        <f t="shared" si="1"/>
        <v>1.2</v>
      </c>
      <c r="G4443" s="15">
        <f t="shared" si="2"/>
        <v>2.39</v>
      </c>
      <c r="H4443" s="16">
        <v>0.0</v>
      </c>
      <c r="I4443" s="15">
        <f t="shared" si="3"/>
        <v>1.2</v>
      </c>
      <c r="J4443" s="15">
        <v>11.49</v>
      </c>
      <c r="K4443" s="16">
        <f>IF(COUNTIFS(Release_Calendar!$A$2:$A$755,"US_CPI",Release_Calendar!$B$2:$B$755,$A4443)&gt;0,1,0)</f>
        <v>0</v>
      </c>
      <c r="L4443" s="16">
        <f>IF(COUNTIFS(Release_Calendar!$A$2:$A$755,"US_NFP",Release_Calendar!$B$2:$B$755,$A4443)&gt;0,1,0)</f>
        <v>0</v>
      </c>
      <c r="M4443" s="16" t="str">
        <f>IF($A4443&lt;Notes!$B$5,"",IF(COUNTIFS(Release_Calendar!$A$2:$A$755,"NZ_CPI",Release_Calendar!$B$2:$B$755,$A4443)&gt;0,1,0))</f>
        <v/>
      </c>
      <c r="N4443" s="16" t="str">
        <f>IF($A4443&lt;Notes!$B$5,"",IF(COUNTIFS(Release_Calendar!$A$2:$A$755,"NZ_GDP",Release_Calendar!$B$2:$B$755,$A4443)&gt;0,1,0))</f>
        <v/>
      </c>
      <c r="O4443" s="16" t="str">
        <f>IF($A4443&lt;Notes!$B$5,"",IF(COUNTIFS(Release_Calendar!$A$2:$A$755,"NZ_LABOUR",Release_Calendar!$B$2:$B$755,$A4443)&gt;0,1,0))</f>
        <v/>
      </c>
      <c r="P4443" s="16">
        <f t="shared" si="4"/>
        <v>0</v>
      </c>
    </row>
    <row r="4444" ht="15.75" customHeight="1">
      <c r="A4444" s="14">
        <v>42746.0</v>
      </c>
      <c r="B4444" s="15">
        <v>1.2</v>
      </c>
      <c r="C4444" s="15">
        <v>2.4</v>
      </c>
      <c r="D4444" s="15">
        <v>2.2</v>
      </c>
      <c r="E4444" s="15">
        <v>2.21</v>
      </c>
      <c r="F4444" s="15">
        <f t="shared" si="1"/>
        <v>1.2</v>
      </c>
      <c r="G4444" s="15">
        <f t="shared" si="2"/>
        <v>2.4</v>
      </c>
      <c r="H4444" s="16">
        <v>0.0</v>
      </c>
      <c r="I4444" s="15">
        <f t="shared" si="3"/>
        <v>1.2</v>
      </c>
      <c r="J4444" s="15">
        <v>11.26</v>
      </c>
      <c r="K4444" s="16">
        <f>IF(COUNTIFS(Release_Calendar!$A$2:$A$755,"US_CPI",Release_Calendar!$B$2:$B$755,$A4444)&gt;0,1,0)</f>
        <v>0</v>
      </c>
      <c r="L4444" s="16">
        <f>IF(COUNTIFS(Release_Calendar!$A$2:$A$755,"US_NFP",Release_Calendar!$B$2:$B$755,$A4444)&gt;0,1,0)</f>
        <v>0</v>
      </c>
      <c r="M4444" s="16" t="str">
        <f>IF($A4444&lt;Notes!$B$5,"",IF(COUNTIFS(Release_Calendar!$A$2:$A$755,"NZ_CPI",Release_Calendar!$B$2:$B$755,$A4444)&gt;0,1,0))</f>
        <v/>
      </c>
      <c r="N4444" s="16" t="str">
        <f>IF($A4444&lt;Notes!$B$5,"",IF(COUNTIFS(Release_Calendar!$A$2:$A$755,"NZ_GDP",Release_Calendar!$B$2:$B$755,$A4444)&gt;0,1,0))</f>
        <v/>
      </c>
      <c r="O4444" s="16" t="str">
        <f>IF($A4444&lt;Notes!$B$5,"",IF(COUNTIFS(Release_Calendar!$A$2:$A$755,"NZ_LABOUR",Release_Calendar!$B$2:$B$755,$A4444)&gt;0,1,0))</f>
        <v/>
      </c>
      <c r="P4444" s="16">
        <f t="shared" si="4"/>
        <v>0</v>
      </c>
    </row>
    <row r="4445" ht="15.75" customHeight="1">
      <c r="A4445" s="14">
        <v>42747.0</v>
      </c>
      <c r="B4445" s="15">
        <v>1.18</v>
      </c>
      <c r="C4445" s="15">
        <v>2.37</v>
      </c>
      <c r="D4445" s="15">
        <v>2.21</v>
      </c>
      <c r="E4445" s="15">
        <v>2.17</v>
      </c>
      <c r="F4445" s="15">
        <f t="shared" si="1"/>
        <v>1.19</v>
      </c>
      <c r="G4445" s="15">
        <f t="shared" si="2"/>
        <v>2.37</v>
      </c>
      <c r="H4445" s="16">
        <v>0.0</v>
      </c>
      <c r="I4445" s="15">
        <f t="shared" si="3"/>
        <v>1.19</v>
      </c>
      <c r="J4445" s="15">
        <v>11.54</v>
      </c>
      <c r="K4445" s="16">
        <f>IF(COUNTIFS(Release_Calendar!$A$2:$A$755,"US_CPI",Release_Calendar!$B$2:$B$755,$A4445)&gt;0,1,0)</f>
        <v>0</v>
      </c>
      <c r="L4445" s="16">
        <f>IF(COUNTIFS(Release_Calendar!$A$2:$A$755,"US_NFP",Release_Calendar!$B$2:$B$755,$A4445)&gt;0,1,0)</f>
        <v>0</v>
      </c>
      <c r="M4445" s="16" t="str">
        <f>IF($A4445&lt;Notes!$B$5,"",IF(COUNTIFS(Release_Calendar!$A$2:$A$755,"NZ_CPI",Release_Calendar!$B$2:$B$755,$A4445)&gt;0,1,0))</f>
        <v/>
      </c>
      <c r="N4445" s="16" t="str">
        <f>IF($A4445&lt;Notes!$B$5,"",IF(COUNTIFS(Release_Calendar!$A$2:$A$755,"NZ_GDP",Release_Calendar!$B$2:$B$755,$A4445)&gt;0,1,0))</f>
        <v/>
      </c>
      <c r="O4445" s="16" t="str">
        <f>IF($A4445&lt;Notes!$B$5,"",IF(COUNTIFS(Release_Calendar!$A$2:$A$755,"NZ_LABOUR",Release_Calendar!$B$2:$B$755,$A4445)&gt;0,1,0))</f>
        <v/>
      </c>
      <c r="P4445" s="16">
        <f t="shared" si="4"/>
        <v>0</v>
      </c>
    </row>
    <row r="4446" ht="15.75" customHeight="1">
      <c r="A4446" s="14">
        <v>42748.0</v>
      </c>
      <c r="B4446" s="15">
        <v>1.21</v>
      </c>
      <c r="C4446" s="15">
        <v>2.4</v>
      </c>
      <c r="D4446" s="15">
        <v>2.17</v>
      </c>
      <c r="E4446" s="15">
        <v>2.18</v>
      </c>
      <c r="F4446" s="15">
        <f t="shared" si="1"/>
        <v>1.19</v>
      </c>
      <c r="G4446" s="15">
        <f t="shared" si="2"/>
        <v>2.4</v>
      </c>
      <c r="H4446" s="16">
        <v>0.0</v>
      </c>
      <c r="I4446" s="15">
        <f t="shared" si="3"/>
        <v>1.19</v>
      </c>
      <c r="J4446" s="15">
        <v>11.23</v>
      </c>
      <c r="K4446" s="16">
        <f>IF(COUNTIFS(Release_Calendar!$A$2:$A$755,"US_CPI",Release_Calendar!$B$2:$B$755,$A4446)&gt;0,1,0)</f>
        <v>0</v>
      </c>
      <c r="L4446" s="16">
        <f>IF(COUNTIFS(Release_Calendar!$A$2:$A$755,"US_NFP",Release_Calendar!$B$2:$B$755,$A4446)&gt;0,1,0)</f>
        <v>0</v>
      </c>
      <c r="M4446" s="16" t="str">
        <f>IF($A4446&lt;Notes!$B$5,"",IF(COUNTIFS(Release_Calendar!$A$2:$A$755,"NZ_CPI",Release_Calendar!$B$2:$B$755,$A4446)&gt;0,1,0))</f>
        <v/>
      </c>
      <c r="N4446" s="16" t="str">
        <f>IF($A4446&lt;Notes!$B$5,"",IF(COUNTIFS(Release_Calendar!$A$2:$A$755,"NZ_GDP",Release_Calendar!$B$2:$B$755,$A4446)&gt;0,1,0))</f>
        <v/>
      </c>
      <c r="O4446" s="16" t="str">
        <f>IF($A4446&lt;Notes!$B$5,"",IF(COUNTIFS(Release_Calendar!$A$2:$A$755,"NZ_LABOUR",Release_Calendar!$B$2:$B$755,$A4446)&gt;0,1,0))</f>
        <v/>
      </c>
      <c r="P4446" s="16">
        <f t="shared" si="4"/>
        <v>0</v>
      </c>
    </row>
    <row r="4447" ht="15.75" customHeight="1">
      <c r="A4447" s="14">
        <v>42751.0</v>
      </c>
      <c r="B4447" s="15"/>
      <c r="C4447" s="15">
        <v>2.39</v>
      </c>
      <c r="D4447" s="15">
        <v>2.19</v>
      </c>
      <c r="E4447" s="15">
        <v>2.19</v>
      </c>
      <c r="F4447" s="15" t="str">
        <f t="shared" si="1"/>
        <v/>
      </c>
      <c r="G4447" s="15">
        <f t="shared" si="2"/>
        <v>2.39</v>
      </c>
      <c r="H4447" s="16">
        <v>0.0</v>
      </c>
      <c r="I4447" s="15" t="str">
        <f t="shared" si="3"/>
        <v/>
      </c>
      <c r="J4447" s="15"/>
      <c r="K4447" s="16">
        <f>IF(COUNTIFS(Release_Calendar!$A$2:$A$755,"US_CPI",Release_Calendar!$B$2:$B$755,$A4447)&gt;0,1,0)</f>
        <v>0</v>
      </c>
      <c r="L4447" s="16">
        <f>IF(COUNTIFS(Release_Calendar!$A$2:$A$755,"US_NFP",Release_Calendar!$B$2:$B$755,$A4447)&gt;0,1,0)</f>
        <v>0</v>
      </c>
      <c r="M4447" s="16" t="str">
        <f>IF($A4447&lt;Notes!$B$5,"",IF(COUNTIFS(Release_Calendar!$A$2:$A$755,"NZ_CPI",Release_Calendar!$B$2:$B$755,$A4447)&gt;0,1,0))</f>
        <v/>
      </c>
      <c r="N4447" s="16" t="str">
        <f>IF($A4447&lt;Notes!$B$5,"",IF(COUNTIFS(Release_Calendar!$A$2:$A$755,"NZ_GDP",Release_Calendar!$B$2:$B$755,$A4447)&gt;0,1,0))</f>
        <v/>
      </c>
      <c r="O4447" s="16" t="str">
        <f>IF($A4447&lt;Notes!$B$5,"",IF(COUNTIFS(Release_Calendar!$A$2:$A$755,"NZ_LABOUR",Release_Calendar!$B$2:$B$755,$A4447)&gt;0,1,0))</f>
        <v/>
      </c>
      <c r="P4447" s="16">
        <f t="shared" si="4"/>
        <v>0</v>
      </c>
    </row>
    <row r="4448" ht="15.75" customHeight="1">
      <c r="A4448" s="14">
        <v>42752.0</v>
      </c>
      <c r="B4448" s="15">
        <v>1.17</v>
      </c>
      <c r="C4448" s="15">
        <v>2.39</v>
      </c>
      <c r="D4448" s="15">
        <v>2.18</v>
      </c>
      <c r="E4448" s="15">
        <v>2.18</v>
      </c>
      <c r="F4448" s="15">
        <f t="shared" si="1"/>
        <v>1.22</v>
      </c>
      <c r="G4448" s="15">
        <f t="shared" si="2"/>
        <v>2.39</v>
      </c>
      <c r="H4448" s="16">
        <v>0.0</v>
      </c>
      <c r="I4448" s="15">
        <f t="shared" si="3"/>
        <v>1.22</v>
      </c>
      <c r="J4448" s="15">
        <v>11.87</v>
      </c>
      <c r="K4448" s="16">
        <f>IF(COUNTIFS(Release_Calendar!$A$2:$A$755,"US_CPI",Release_Calendar!$B$2:$B$755,$A4448)&gt;0,1,0)</f>
        <v>0</v>
      </c>
      <c r="L4448" s="16">
        <f>IF(COUNTIFS(Release_Calendar!$A$2:$A$755,"US_NFP",Release_Calendar!$B$2:$B$755,$A4448)&gt;0,1,0)</f>
        <v>0</v>
      </c>
      <c r="M4448" s="16" t="str">
        <f>IF($A4448&lt;Notes!$B$5,"",IF(COUNTIFS(Release_Calendar!$A$2:$A$755,"NZ_CPI",Release_Calendar!$B$2:$B$755,$A4448)&gt;0,1,0))</f>
        <v/>
      </c>
      <c r="N4448" s="16" t="str">
        <f>IF($A4448&lt;Notes!$B$5,"",IF(COUNTIFS(Release_Calendar!$A$2:$A$755,"NZ_GDP",Release_Calendar!$B$2:$B$755,$A4448)&gt;0,1,0))</f>
        <v/>
      </c>
      <c r="O4448" s="16" t="str">
        <f>IF($A4448&lt;Notes!$B$5,"",IF(COUNTIFS(Release_Calendar!$A$2:$A$755,"NZ_LABOUR",Release_Calendar!$B$2:$B$755,$A4448)&gt;0,1,0))</f>
        <v/>
      </c>
      <c r="P4448" s="16">
        <f t="shared" si="4"/>
        <v>0</v>
      </c>
    </row>
    <row r="4449" ht="15.75" customHeight="1">
      <c r="A4449" s="14">
        <v>42753.0</v>
      </c>
      <c r="B4449" s="15">
        <v>1.23</v>
      </c>
      <c r="C4449" s="15">
        <v>2.4</v>
      </c>
      <c r="D4449" s="15">
        <v>2.17</v>
      </c>
      <c r="E4449" s="15">
        <v>2.2</v>
      </c>
      <c r="F4449" s="15">
        <f t="shared" si="1"/>
        <v>1.17</v>
      </c>
      <c r="G4449" s="15">
        <f t="shared" si="2"/>
        <v>2.4</v>
      </c>
      <c r="H4449" s="16">
        <v>0.0</v>
      </c>
      <c r="I4449" s="15">
        <f t="shared" si="3"/>
        <v>1.17</v>
      </c>
      <c r="J4449" s="15">
        <v>12.48</v>
      </c>
      <c r="K4449" s="16">
        <f>IF(COUNTIFS(Release_Calendar!$A$2:$A$755,"US_CPI",Release_Calendar!$B$2:$B$755,$A4449)&gt;0,1,0)</f>
        <v>1</v>
      </c>
      <c r="L4449" s="16">
        <f>IF(COUNTIFS(Release_Calendar!$A$2:$A$755,"US_NFP",Release_Calendar!$B$2:$B$755,$A4449)&gt;0,1,0)</f>
        <v>0</v>
      </c>
      <c r="M4449" s="16" t="str">
        <f>IF($A4449&lt;Notes!$B$5,"",IF(COUNTIFS(Release_Calendar!$A$2:$A$755,"NZ_CPI",Release_Calendar!$B$2:$B$755,$A4449)&gt;0,1,0))</f>
        <v/>
      </c>
      <c r="N4449" s="16" t="str">
        <f>IF($A4449&lt;Notes!$B$5,"",IF(COUNTIFS(Release_Calendar!$A$2:$A$755,"NZ_GDP",Release_Calendar!$B$2:$B$755,$A4449)&gt;0,1,0))</f>
        <v/>
      </c>
      <c r="O4449" s="16" t="str">
        <f>IF($A4449&lt;Notes!$B$5,"",IF(COUNTIFS(Release_Calendar!$A$2:$A$755,"NZ_LABOUR",Release_Calendar!$B$2:$B$755,$A4449)&gt;0,1,0))</f>
        <v/>
      </c>
      <c r="P4449" s="16">
        <f t="shared" si="4"/>
        <v>1</v>
      </c>
    </row>
    <row r="4450" ht="15.75" customHeight="1">
      <c r="A4450" s="14">
        <v>42754.0</v>
      </c>
      <c r="B4450" s="15">
        <v>1.25</v>
      </c>
      <c r="C4450" s="15">
        <v>2.43</v>
      </c>
      <c r="D4450" s="15">
        <v>2.28</v>
      </c>
      <c r="E4450" s="15">
        <v>2.26</v>
      </c>
      <c r="F4450" s="15">
        <f t="shared" si="1"/>
        <v>1.18</v>
      </c>
      <c r="G4450" s="15">
        <f t="shared" si="2"/>
        <v>2.43</v>
      </c>
      <c r="H4450" s="16">
        <v>0.0</v>
      </c>
      <c r="I4450" s="15">
        <f t="shared" si="3"/>
        <v>1.18</v>
      </c>
      <c r="J4450" s="15">
        <v>12.78</v>
      </c>
      <c r="K4450" s="16">
        <f>IF(COUNTIFS(Release_Calendar!$A$2:$A$755,"US_CPI",Release_Calendar!$B$2:$B$755,$A4450)&gt;0,1,0)</f>
        <v>0</v>
      </c>
      <c r="L4450" s="16">
        <f>IF(COUNTIFS(Release_Calendar!$A$2:$A$755,"US_NFP",Release_Calendar!$B$2:$B$755,$A4450)&gt;0,1,0)</f>
        <v>0</v>
      </c>
      <c r="M4450" s="16" t="str">
        <f>IF($A4450&lt;Notes!$B$5,"",IF(COUNTIFS(Release_Calendar!$A$2:$A$755,"NZ_CPI",Release_Calendar!$B$2:$B$755,$A4450)&gt;0,1,0))</f>
        <v/>
      </c>
      <c r="N4450" s="16" t="str">
        <f>IF($A4450&lt;Notes!$B$5,"",IF(COUNTIFS(Release_Calendar!$A$2:$A$755,"NZ_GDP",Release_Calendar!$B$2:$B$755,$A4450)&gt;0,1,0))</f>
        <v/>
      </c>
      <c r="O4450" s="16" t="str">
        <f>IF($A4450&lt;Notes!$B$5,"",IF(COUNTIFS(Release_Calendar!$A$2:$A$755,"NZ_LABOUR",Release_Calendar!$B$2:$B$755,$A4450)&gt;0,1,0))</f>
        <v/>
      </c>
      <c r="P4450" s="16">
        <f t="shared" si="4"/>
        <v>0</v>
      </c>
    </row>
    <row r="4451" ht="15.75" customHeight="1">
      <c r="A4451" s="14">
        <v>42755.0</v>
      </c>
      <c r="B4451" s="15">
        <v>1.2</v>
      </c>
      <c r="C4451" s="15">
        <v>2.43</v>
      </c>
      <c r="D4451" s="15">
        <v>2.29</v>
      </c>
      <c r="E4451" s="15">
        <v>2.29</v>
      </c>
      <c r="F4451" s="15">
        <f t="shared" si="1"/>
        <v>1.23</v>
      </c>
      <c r="G4451" s="15">
        <f t="shared" si="2"/>
        <v>2.43</v>
      </c>
      <c r="H4451" s="16">
        <v>0.0</v>
      </c>
      <c r="I4451" s="15">
        <f t="shared" si="3"/>
        <v>1.23</v>
      </c>
      <c r="J4451" s="15">
        <v>11.54</v>
      </c>
      <c r="K4451" s="16">
        <f>IF(COUNTIFS(Release_Calendar!$A$2:$A$755,"US_CPI",Release_Calendar!$B$2:$B$755,$A4451)&gt;0,1,0)</f>
        <v>0</v>
      </c>
      <c r="L4451" s="16">
        <f>IF(COUNTIFS(Release_Calendar!$A$2:$A$755,"US_NFP",Release_Calendar!$B$2:$B$755,$A4451)&gt;0,1,0)</f>
        <v>0</v>
      </c>
      <c r="M4451" s="16" t="str">
        <f>IF($A4451&lt;Notes!$B$5,"",IF(COUNTIFS(Release_Calendar!$A$2:$A$755,"NZ_CPI",Release_Calendar!$B$2:$B$755,$A4451)&gt;0,1,0))</f>
        <v/>
      </c>
      <c r="N4451" s="16" t="str">
        <f>IF($A4451&lt;Notes!$B$5,"",IF(COUNTIFS(Release_Calendar!$A$2:$A$755,"NZ_GDP",Release_Calendar!$B$2:$B$755,$A4451)&gt;0,1,0))</f>
        <v/>
      </c>
      <c r="O4451" s="16" t="str">
        <f>IF($A4451&lt;Notes!$B$5,"",IF(COUNTIFS(Release_Calendar!$A$2:$A$755,"NZ_LABOUR",Release_Calendar!$B$2:$B$755,$A4451)&gt;0,1,0))</f>
        <v/>
      </c>
      <c r="P4451" s="16">
        <f t="shared" si="4"/>
        <v>0</v>
      </c>
    </row>
    <row r="4452" ht="15.75" customHeight="1">
      <c r="A4452" s="14">
        <v>42758.0</v>
      </c>
      <c r="B4452" s="15">
        <v>1.16</v>
      </c>
      <c r="C4452" s="15">
        <v>2.43</v>
      </c>
      <c r="D4452" s="15">
        <v>2.29</v>
      </c>
      <c r="E4452" s="15">
        <v>2.29</v>
      </c>
      <c r="F4452" s="15">
        <f t="shared" si="1"/>
        <v>1.27</v>
      </c>
      <c r="G4452" s="15">
        <f t="shared" si="2"/>
        <v>2.43</v>
      </c>
      <c r="H4452" s="16">
        <v>0.0</v>
      </c>
      <c r="I4452" s="15">
        <f t="shared" si="3"/>
        <v>1.27</v>
      </c>
      <c r="J4452" s="15">
        <v>11.77</v>
      </c>
      <c r="K4452" s="16">
        <f>IF(COUNTIFS(Release_Calendar!$A$2:$A$755,"US_CPI",Release_Calendar!$B$2:$B$755,$A4452)&gt;0,1,0)</f>
        <v>0</v>
      </c>
      <c r="L4452" s="16">
        <f>IF(COUNTIFS(Release_Calendar!$A$2:$A$755,"US_NFP",Release_Calendar!$B$2:$B$755,$A4452)&gt;0,1,0)</f>
        <v>0</v>
      </c>
      <c r="M4452" s="16" t="str">
        <f>IF($A4452&lt;Notes!$B$5,"",IF(COUNTIFS(Release_Calendar!$A$2:$A$755,"NZ_CPI",Release_Calendar!$B$2:$B$755,$A4452)&gt;0,1,0))</f>
        <v/>
      </c>
      <c r="N4452" s="16" t="str">
        <f>IF($A4452&lt;Notes!$B$5,"",IF(COUNTIFS(Release_Calendar!$A$2:$A$755,"NZ_GDP",Release_Calendar!$B$2:$B$755,$A4452)&gt;0,1,0))</f>
        <v/>
      </c>
      <c r="O4452" s="16" t="str">
        <f>IF($A4452&lt;Notes!$B$5,"",IF(COUNTIFS(Release_Calendar!$A$2:$A$755,"NZ_LABOUR",Release_Calendar!$B$2:$B$755,$A4452)&gt;0,1,0))</f>
        <v/>
      </c>
      <c r="P4452" s="16">
        <f t="shared" si="4"/>
        <v>0</v>
      </c>
    </row>
    <row r="4453" ht="15.75" customHeight="1">
      <c r="A4453" s="14">
        <v>42759.0</v>
      </c>
      <c r="B4453" s="15">
        <v>1.21</v>
      </c>
      <c r="C4453" s="15">
        <v>2.41</v>
      </c>
      <c r="D4453" s="15">
        <v>2.26</v>
      </c>
      <c r="E4453" s="15">
        <v>2.27</v>
      </c>
      <c r="F4453" s="15">
        <f t="shared" si="1"/>
        <v>1.2</v>
      </c>
      <c r="G4453" s="15">
        <f t="shared" si="2"/>
        <v>2.41</v>
      </c>
      <c r="H4453" s="16">
        <v>0.0</v>
      </c>
      <c r="I4453" s="15">
        <f t="shared" si="3"/>
        <v>1.2</v>
      </c>
      <c r="J4453" s="15">
        <v>11.07</v>
      </c>
      <c r="K4453" s="16">
        <f>IF(COUNTIFS(Release_Calendar!$A$2:$A$755,"US_CPI",Release_Calendar!$B$2:$B$755,$A4453)&gt;0,1,0)</f>
        <v>0</v>
      </c>
      <c r="L4453" s="16">
        <f>IF(COUNTIFS(Release_Calendar!$A$2:$A$755,"US_NFP",Release_Calendar!$B$2:$B$755,$A4453)&gt;0,1,0)</f>
        <v>0</v>
      </c>
      <c r="M4453" s="16" t="str">
        <f>IF($A4453&lt;Notes!$B$5,"",IF(COUNTIFS(Release_Calendar!$A$2:$A$755,"NZ_CPI",Release_Calendar!$B$2:$B$755,$A4453)&gt;0,1,0))</f>
        <v/>
      </c>
      <c r="N4453" s="16" t="str">
        <f>IF($A4453&lt;Notes!$B$5,"",IF(COUNTIFS(Release_Calendar!$A$2:$A$755,"NZ_GDP",Release_Calendar!$B$2:$B$755,$A4453)&gt;0,1,0))</f>
        <v/>
      </c>
      <c r="O4453" s="16" t="str">
        <f>IF($A4453&lt;Notes!$B$5,"",IF(COUNTIFS(Release_Calendar!$A$2:$A$755,"NZ_LABOUR",Release_Calendar!$B$2:$B$755,$A4453)&gt;0,1,0))</f>
        <v/>
      </c>
      <c r="P4453" s="16">
        <f t="shared" si="4"/>
        <v>0</v>
      </c>
    </row>
    <row r="4454" ht="15.75" customHeight="1">
      <c r="A4454" s="14">
        <v>42760.0</v>
      </c>
      <c r="B4454" s="15">
        <v>1.23</v>
      </c>
      <c r="C4454" s="15">
        <v>2.42</v>
      </c>
      <c r="D4454" s="15">
        <v>2.29</v>
      </c>
      <c r="E4454" s="15">
        <v>2.28</v>
      </c>
      <c r="F4454" s="15">
        <f t="shared" si="1"/>
        <v>1.19</v>
      </c>
      <c r="G4454" s="15">
        <f t="shared" si="2"/>
        <v>2.42</v>
      </c>
      <c r="H4454" s="16">
        <v>0.0</v>
      </c>
      <c r="I4454" s="15">
        <f t="shared" si="3"/>
        <v>1.19</v>
      </c>
      <c r="J4454" s="15">
        <v>10.81</v>
      </c>
      <c r="K4454" s="16">
        <f>IF(COUNTIFS(Release_Calendar!$A$2:$A$755,"US_CPI",Release_Calendar!$B$2:$B$755,$A4454)&gt;0,1,0)</f>
        <v>0</v>
      </c>
      <c r="L4454" s="16">
        <f>IF(COUNTIFS(Release_Calendar!$A$2:$A$755,"US_NFP",Release_Calendar!$B$2:$B$755,$A4454)&gt;0,1,0)</f>
        <v>0</v>
      </c>
      <c r="M4454" s="16" t="str">
        <f>IF($A4454&lt;Notes!$B$5,"",IF(COUNTIFS(Release_Calendar!$A$2:$A$755,"NZ_CPI",Release_Calendar!$B$2:$B$755,$A4454)&gt;0,1,0))</f>
        <v/>
      </c>
      <c r="N4454" s="16" t="str">
        <f>IF($A4454&lt;Notes!$B$5,"",IF(COUNTIFS(Release_Calendar!$A$2:$A$755,"NZ_GDP",Release_Calendar!$B$2:$B$755,$A4454)&gt;0,1,0))</f>
        <v/>
      </c>
      <c r="O4454" s="16" t="str">
        <f>IF($A4454&lt;Notes!$B$5,"",IF(COUNTIFS(Release_Calendar!$A$2:$A$755,"NZ_LABOUR",Release_Calendar!$B$2:$B$755,$A4454)&gt;0,1,0))</f>
        <v/>
      </c>
      <c r="P4454" s="16">
        <f t="shared" si="4"/>
        <v>0</v>
      </c>
    </row>
    <row r="4455" ht="15.75" customHeight="1">
      <c r="A4455" s="14">
        <v>42761.0</v>
      </c>
      <c r="B4455" s="15">
        <v>1.21</v>
      </c>
      <c r="C4455" s="15">
        <v>2.45</v>
      </c>
      <c r="D4455" s="15">
        <v>2.3</v>
      </c>
      <c r="E4455" s="15">
        <v>2.32</v>
      </c>
      <c r="F4455" s="15">
        <f t="shared" si="1"/>
        <v>1.24</v>
      </c>
      <c r="G4455" s="15">
        <f t="shared" si="2"/>
        <v>2.45</v>
      </c>
      <c r="H4455" s="16">
        <v>0.0</v>
      </c>
      <c r="I4455" s="15">
        <f t="shared" si="3"/>
        <v>1.24</v>
      </c>
      <c r="J4455" s="15">
        <v>10.63</v>
      </c>
      <c r="K4455" s="16">
        <f>IF(COUNTIFS(Release_Calendar!$A$2:$A$755,"US_CPI",Release_Calendar!$B$2:$B$755,$A4455)&gt;0,1,0)</f>
        <v>0</v>
      </c>
      <c r="L4455" s="16">
        <f>IF(COUNTIFS(Release_Calendar!$A$2:$A$755,"US_NFP",Release_Calendar!$B$2:$B$755,$A4455)&gt;0,1,0)</f>
        <v>0</v>
      </c>
      <c r="M4455" s="16" t="str">
        <f>IF($A4455&lt;Notes!$B$5,"",IF(COUNTIFS(Release_Calendar!$A$2:$A$755,"NZ_CPI",Release_Calendar!$B$2:$B$755,$A4455)&gt;0,1,0))</f>
        <v/>
      </c>
      <c r="N4455" s="16" t="str">
        <f>IF($A4455&lt;Notes!$B$5,"",IF(COUNTIFS(Release_Calendar!$A$2:$A$755,"NZ_GDP",Release_Calendar!$B$2:$B$755,$A4455)&gt;0,1,0))</f>
        <v/>
      </c>
      <c r="O4455" s="16" t="str">
        <f>IF($A4455&lt;Notes!$B$5,"",IF(COUNTIFS(Release_Calendar!$A$2:$A$755,"NZ_LABOUR",Release_Calendar!$B$2:$B$755,$A4455)&gt;0,1,0))</f>
        <v/>
      </c>
      <c r="P4455" s="16">
        <f t="shared" si="4"/>
        <v>0</v>
      </c>
    </row>
    <row r="4456" ht="15.75" customHeight="1">
      <c r="A4456" s="14">
        <v>42762.0</v>
      </c>
      <c r="B4456" s="15">
        <v>1.22</v>
      </c>
      <c r="C4456" s="15">
        <v>2.46</v>
      </c>
      <c r="D4456" s="15">
        <v>2.34</v>
      </c>
      <c r="E4456" s="15">
        <v>2.36</v>
      </c>
      <c r="F4456" s="15">
        <f t="shared" si="1"/>
        <v>1.24</v>
      </c>
      <c r="G4456" s="15">
        <f t="shared" si="2"/>
        <v>2.46</v>
      </c>
      <c r="H4456" s="16">
        <v>0.0</v>
      </c>
      <c r="I4456" s="15">
        <f t="shared" si="3"/>
        <v>1.24</v>
      </c>
      <c r="J4456" s="15">
        <v>10.58</v>
      </c>
      <c r="K4456" s="16">
        <f>IF(COUNTIFS(Release_Calendar!$A$2:$A$755,"US_CPI",Release_Calendar!$B$2:$B$755,$A4456)&gt;0,1,0)</f>
        <v>0</v>
      </c>
      <c r="L4456" s="16">
        <f>IF(COUNTIFS(Release_Calendar!$A$2:$A$755,"US_NFP",Release_Calendar!$B$2:$B$755,$A4456)&gt;0,1,0)</f>
        <v>0</v>
      </c>
      <c r="M4456" s="16" t="str">
        <f>IF($A4456&lt;Notes!$B$5,"",IF(COUNTIFS(Release_Calendar!$A$2:$A$755,"NZ_CPI",Release_Calendar!$B$2:$B$755,$A4456)&gt;0,1,0))</f>
        <v/>
      </c>
      <c r="N4456" s="16" t="str">
        <f>IF($A4456&lt;Notes!$B$5,"",IF(COUNTIFS(Release_Calendar!$A$2:$A$755,"NZ_GDP",Release_Calendar!$B$2:$B$755,$A4456)&gt;0,1,0))</f>
        <v/>
      </c>
      <c r="O4456" s="16" t="str">
        <f>IF($A4456&lt;Notes!$B$5,"",IF(COUNTIFS(Release_Calendar!$A$2:$A$755,"NZ_LABOUR",Release_Calendar!$B$2:$B$755,$A4456)&gt;0,1,0))</f>
        <v/>
      </c>
      <c r="P4456" s="16">
        <f t="shared" si="4"/>
        <v>0</v>
      </c>
    </row>
    <row r="4457" ht="15.75" customHeight="1">
      <c r="A4457" s="14">
        <v>42765.0</v>
      </c>
      <c r="B4457" s="15">
        <v>1.22</v>
      </c>
      <c r="C4457" s="15">
        <v>2.44</v>
      </c>
      <c r="D4457" s="15">
        <v>2.34</v>
      </c>
      <c r="E4457" s="15">
        <v>2.36</v>
      </c>
      <c r="F4457" s="15">
        <f t="shared" si="1"/>
        <v>1.22</v>
      </c>
      <c r="G4457" s="15">
        <f t="shared" si="2"/>
        <v>2.44</v>
      </c>
      <c r="H4457" s="16">
        <v>0.0</v>
      </c>
      <c r="I4457" s="15">
        <f t="shared" si="3"/>
        <v>1.22</v>
      </c>
      <c r="J4457" s="15">
        <v>11.88</v>
      </c>
      <c r="K4457" s="16">
        <f>IF(COUNTIFS(Release_Calendar!$A$2:$A$755,"US_CPI",Release_Calendar!$B$2:$B$755,$A4457)&gt;0,1,0)</f>
        <v>0</v>
      </c>
      <c r="L4457" s="16">
        <f>IF(COUNTIFS(Release_Calendar!$A$2:$A$755,"US_NFP",Release_Calendar!$B$2:$B$755,$A4457)&gt;0,1,0)</f>
        <v>0</v>
      </c>
      <c r="M4457" s="16" t="str">
        <f>IF($A4457&lt;Notes!$B$5,"",IF(COUNTIFS(Release_Calendar!$A$2:$A$755,"NZ_CPI",Release_Calendar!$B$2:$B$755,$A4457)&gt;0,1,0))</f>
        <v/>
      </c>
      <c r="N4457" s="16" t="str">
        <f>IF($A4457&lt;Notes!$B$5,"",IF(COUNTIFS(Release_Calendar!$A$2:$A$755,"NZ_GDP",Release_Calendar!$B$2:$B$755,$A4457)&gt;0,1,0))</f>
        <v/>
      </c>
      <c r="O4457" s="16" t="str">
        <f>IF($A4457&lt;Notes!$B$5,"",IF(COUNTIFS(Release_Calendar!$A$2:$A$755,"NZ_LABOUR",Release_Calendar!$B$2:$B$755,$A4457)&gt;0,1,0))</f>
        <v/>
      </c>
      <c r="P4457" s="16">
        <f t="shared" si="4"/>
        <v>0</v>
      </c>
    </row>
    <row r="4458" ht="15.75" customHeight="1">
      <c r="A4458" s="14">
        <v>42766.0</v>
      </c>
      <c r="B4458" s="15">
        <v>1.19</v>
      </c>
      <c r="C4458" s="15">
        <v>2.45</v>
      </c>
      <c r="D4458" s="15">
        <v>2.32</v>
      </c>
      <c r="E4458" s="15">
        <v>2.32</v>
      </c>
      <c r="F4458" s="15">
        <f t="shared" si="1"/>
        <v>1.26</v>
      </c>
      <c r="G4458" s="15">
        <f t="shared" si="2"/>
        <v>2.45</v>
      </c>
      <c r="H4458" s="16">
        <v>0.0</v>
      </c>
      <c r="I4458" s="15">
        <f t="shared" si="3"/>
        <v>1.26</v>
      </c>
      <c r="J4458" s="15">
        <v>11.99</v>
      </c>
      <c r="K4458" s="16">
        <f>IF(COUNTIFS(Release_Calendar!$A$2:$A$755,"US_CPI",Release_Calendar!$B$2:$B$755,$A4458)&gt;0,1,0)</f>
        <v>0</v>
      </c>
      <c r="L4458" s="16">
        <f>IF(COUNTIFS(Release_Calendar!$A$2:$A$755,"US_NFP",Release_Calendar!$B$2:$B$755,$A4458)&gt;0,1,0)</f>
        <v>0</v>
      </c>
      <c r="M4458" s="16" t="str">
        <f>IF($A4458&lt;Notes!$B$5,"",IF(COUNTIFS(Release_Calendar!$A$2:$A$755,"NZ_CPI",Release_Calendar!$B$2:$B$755,$A4458)&gt;0,1,0))</f>
        <v/>
      </c>
      <c r="N4458" s="16" t="str">
        <f>IF($A4458&lt;Notes!$B$5,"",IF(COUNTIFS(Release_Calendar!$A$2:$A$755,"NZ_GDP",Release_Calendar!$B$2:$B$755,$A4458)&gt;0,1,0))</f>
        <v/>
      </c>
      <c r="O4458" s="16" t="str">
        <f>IF($A4458&lt;Notes!$B$5,"",IF(COUNTIFS(Release_Calendar!$A$2:$A$755,"NZ_LABOUR",Release_Calendar!$B$2:$B$755,$A4458)&gt;0,1,0))</f>
        <v/>
      </c>
      <c r="P4458" s="16">
        <f t="shared" si="4"/>
        <v>0</v>
      </c>
    </row>
    <row r="4459" ht="15.75" customHeight="1">
      <c r="A4459" s="14">
        <v>42767.0</v>
      </c>
      <c r="B4459" s="15">
        <v>1.22</v>
      </c>
      <c r="C4459" s="15">
        <v>2.43</v>
      </c>
      <c r="D4459" s="15">
        <v>2.3</v>
      </c>
      <c r="E4459" s="15">
        <v>2.3</v>
      </c>
      <c r="F4459" s="15">
        <f t="shared" si="1"/>
        <v>1.21</v>
      </c>
      <c r="G4459" s="15">
        <f t="shared" si="2"/>
        <v>2.43</v>
      </c>
      <c r="H4459" s="16">
        <v>0.0</v>
      </c>
      <c r="I4459" s="15">
        <f t="shared" si="3"/>
        <v>1.21</v>
      </c>
      <c r="J4459" s="15">
        <v>11.81</v>
      </c>
      <c r="K4459" s="16">
        <f>IF(COUNTIFS(Release_Calendar!$A$2:$A$755,"US_CPI",Release_Calendar!$B$2:$B$755,$A4459)&gt;0,1,0)</f>
        <v>0</v>
      </c>
      <c r="L4459" s="16">
        <f>IF(COUNTIFS(Release_Calendar!$A$2:$A$755,"US_NFP",Release_Calendar!$B$2:$B$755,$A4459)&gt;0,1,0)</f>
        <v>0</v>
      </c>
      <c r="M4459" s="16" t="str">
        <f>IF($A4459&lt;Notes!$B$5,"",IF(COUNTIFS(Release_Calendar!$A$2:$A$755,"NZ_CPI",Release_Calendar!$B$2:$B$755,$A4459)&gt;0,1,0))</f>
        <v/>
      </c>
      <c r="N4459" s="16" t="str">
        <f>IF($A4459&lt;Notes!$B$5,"",IF(COUNTIFS(Release_Calendar!$A$2:$A$755,"NZ_GDP",Release_Calendar!$B$2:$B$755,$A4459)&gt;0,1,0))</f>
        <v/>
      </c>
      <c r="O4459" s="16" t="str">
        <f>IF($A4459&lt;Notes!$B$5,"",IF(COUNTIFS(Release_Calendar!$A$2:$A$755,"NZ_LABOUR",Release_Calendar!$B$2:$B$755,$A4459)&gt;0,1,0))</f>
        <v/>
      </c>
      <c r="P4459" s="16">
        <f t="shared" si="4"/>
        <v>0</v>
      </c>
    </row>
    <row r="4460" ht="15.75" customHeight="1">
      <c r="A4460" s="14">
        <v>42768.0</v>
      </c>
      <c r="B4460" s="15">
        <v>1.21</v>
      </c>
      <c r="C4460" s="15">
        <v>2.41</v>
      </c>
      <c r="D4460" s="15">
        <v>2.31</v>
      </c>
      <c r="E4460" s="15">
        <v>2.3</v>
      </c>
      <c r="F4460" s="15">
        <f t="shared" si="1"/>
        <v>1.2</v>
      </c>
      <c r="G4460" s="15">
        <f t="shared" si="2"/>
        <v>2.41</v>
      </c>
      <c r="H4460" s="16">
        <v>0.0</v>
      </c>
      <c r="I4460" s="15">
        <f t="shared" si="3"/>
        <v>1.2</v>
      </c>
      <c r="J4460" s="15">
        <v>11.93</v>
      </c>
      <c r="K4460" s="16">
        <f>IF(COUNTIFS(Release_Calendar!$A$2:$A$755,"US_CPI",Release_Calendar!$B$2:$B$755,$A4460)&gt;0,1,0)</f>
        <v>0</v>
      </c>
      <c r="L4460" s="16">
        <f>IF(COUNTIFS(Release_Calendar!$A$2:$A$755,"US_NFP",Release_Calendar!$B$2:$B$755,$A4460)&gt;0,1,0)</f>
        <v>0</v>
      </c>
      <c r="M4460" s="16" t="str">
        <f>IF($A4460&lt;Notes!$B$5,"",IF(COUNTIFS(Release_Calendar!$A$2:$A$755,"NZ_CPI",Release_Calendar!$B$2:$B$755,$A4460)&gt;0,1,0))</f>
        <v/>
      </c>
      <c r="N4460" s="16" t="str">
        <f>IF($A4460&lt;Notes!$B$5,"",IF(COUNTIFS(Release_Calendar!$A$2:$A$755,"NZ_GDP",Release_Calendar!$B$2:$B$755,$A4460)&gt;0,1,0))</f>
        <v/>
      </c>
      <c r="O4460" s="16" t="str">
        <f>IF($A4460&lt;Notes!$B$5,"",IF(COUNTIFS(Release_Calendar!$A$2:$A$755,"NZ_LABOUR",Release_Calendar!$B$2:$B$755,$A4460)&gt;0,1,0))</f>
        <v/>
      </c>
      <c r="P4460" s="16">
        <f t="shared" si="4"/>
        <v>0</v>
      </c>
    </row>
    <row r="4461" ht="15.75" customHeight="1">
      <c r="A4461" s="14">
        <v>42769.0</v>
      </c>
      <c r="B4461" s="15">
        <v>1.21</v>
      </c>
      <c r="C4461" s="15">
        <v>2.41</v>
      </c>
      <c r="D4461" s="15">
        <v>2.29</v>
      </c>
      <c r="E4461" s="15">
        <v>2.29</v>
      </c>
      <c r="F4461" s="15">
        <f t="shared" si="1"/>
        <v>1.2</v>
      </c>
      <c r="G4461" s="15">
        <f t="shared" si="2"/>
        <v>2.41</v>
      </c>
      <c r="H4461" s="16">
        <v>0.0</v>
      </c>
      <c r="I4461" s="15">
        <f t="shared" si="3"/>
        <v>1.2</v>
      </c>
      <c r="J4461" s="15">
        <v>10.97</v>
      </c>
      <c r="K4461" s="16">
        <f>IF(COUNTIFS(Release_Calendar!$A$2:$A$755,"US_CPI",Release_Calendar!$B$2:$B$755,$A4461)&gt;0,1,0)</f>
        <v>0</v>
      </c>
      <c r="L4461" s="16">
        <f>IF(COUNTIFS(Release_Calendar!$A$2:$A$755,"US_NFP",Release_Calendar!$B$2:$B$755,$A4461)&gt;0,1,0)</f>
        <v>1</v>
      </c>
      <c r="M4461" s="16" t="str">
        <f>IF($A4461&lt;Notes!$B$5,"",IF(COUNTIFS(Release_Calendar!$A$2:$A$755,"NZ_CPI",Release_Calendar!$B$2:$B$755,$A4461)&gt;0,1,0))</f>
        <v/>
      </c>
      <c r="N4461" s="16" t="str">
        <f>IF($A4461&lt;Notes!$B$5,"",IF(COUNTIFS(Release_Calendar!$A$2:$A$755,"NZ_GDP",Release_Calendar!$B$2:$B$755,$A4461)&gt;0,1,0))</f>
        <v/>
      </c>
      <c r="O4461" s="16" t="str">
        <f>IF($A4461&lt;Notes!$B$5,"",IF(COUNTIFS(Release_Calendar!$A$2:$A$755,"NZ_LABOUR",Release_Calendar!$B$2:$B$755,$A4461)&gt;0,1,0))</f>
        <v/>
      </c>
      <c r="P4461" s="16">
        <f t="shared" si="4"/>
        <v>1</v>
      </c>
    </row>
    <row r="4462" ht="15.75" customHeight="1">
      <c r="A4462" s="14">
        <v>42772.0</v>
      </c>
      <c r="B4462" s="15">
        <v>1.16</v>
      </c>
      <c r="C4462" s="15"/>
      <c r="D4462" s="15"/>
      <c r="E4462" s="15"/>
      <c r="F4462" s="15" t="str">
        <f t="shared" si="1"/>
        <v/>
      </c>
      <c r="G4462" s="15" t="str">
        <f t="shared" si="2"/>
        <v/>
      </c>
      <c r="H4462" s="16">
        <v>0.0</v>
      </c>
      <c r="I4462" s="15" t="str">
        <f t="shared" si="3"/>
        <v/>
      </c>
      <c r="J4462" s="15">
        <v>11.37</v>
      </c>
      <c r="K4462" s="16">
        <f>IF(COUNTIFS(Release_Calendar!$A$2:$A$755,"US_CPI",Release_Calendar!$B$2:$B$755,$A4462)&gt;0,1,0)</f>
        <v>0</v>
      </c>
      <c r="L4462" s="16">
        <f>IF(COUNTIFS(Release_Calendar!$A$2:$A$755,"US_NFP",Release_Calendar!$B$2:$B$755,$A4462)&gt;0,1,0)</f>
        <v>0</v>
      </c>
      <c r="M4462" s="16" t="str">
        <f>IF($A4462&lt;Notes!$B$5,"",IF(COUNTIFS(Release_Calendar!$A$2:$A$755,"NZ_CPI",Release_Calendar!$B$2:$B$755,$A4462)&gt;0,1,0))</f>
        <v/>
      </c>
      <c r="N4462" s="16" t="str">
        <f>IF($A4462&lt;Notes!$B$5,"",IF(COUNTIFS(Release_Calendar!$A$2:$A$755,"NZ_GDP",Release_Calendar!$B$2:$B$755,$A4462)&gt;0,1,0))</f>
        <v/>
      </c>
      <c r="O4462" s="16" t="str">
        <f>IF($A4462&lt;Notes!$B$5,"",IF(COUNTIFS(Release_Calendar!$A$2:$A$755,"NZ_LABOUR",Release_Calendar!$B$2:$B$755,$A4462)&gt;0,1,0))</f>
        <v/>
      </c>
      <c r="P4462" s="16">
        <f t="shared" si="4"/>
        <v>0</v>
      </c>
    </row>
    <row r="4463" ht="15.75" customHeight="1">
      <c r="A4463" s="14">
        <v>42773.0</v>
      </c>
      <c r="B4463" s="15">
        <v>1.16</v>
      </c>
      <c r="C4463" s="15">
        <v>2.41</v>
      </c>
      <c r="D4463" s="15">
        <v>2.23</v>
      </c>
      <c r="E4463" s="15">
        <v>2.25</v>
      </c>
      <c r="F4463" s="15">
        <f t="shared" si="1"/>
        <v>1.25</v>
      </c>
      <c r="G4463" s="15">
        <f t="shared" si="2"/>
        <v>2.41</v>
      </c>
      <c r="H4463" s="16">
        <v>0.0</v>
      </c>
      <c r="I4463" s="15">
        <f t="shared" si="3"/>
        <v>1.25</v>
      </c>
      <c r="J4463" s="15">
        <v>11.29</v>
      </c>
      <c r="K4463" s="16">
        <f>IF(COUNTIFS(Release_Calendar!$A$2:$A$755,"US_CPI",Release_Calendar!$B$2:$B$755,$A4463)&gt;0,1,0)</f>
        <v>0</v>
      </c>
      <c r="L4463" s="16">
        <f>IF(COUNTIFS(Release_Calendar!$A$2:$A$755,"US_NFP",Release_Calendar!$B$2:$B$755,$A4463)&gt;0,1,0)</f>
        <v>0</v>
      </c>
      <c r="M4463" s="16" t="str">
        <f>IF($A4463&lt;Notes!$B$5,"",IF(COUNTIFS(Release_Calendar!$A$2:$A$755,"NZ_CPI",Release_Calendar!$B$2:$B$755,$A4463)&gt;0,1,0))</f>
        <v/>
      </c>
      <c r="N4463" s="16" t="str">
        <f>IF($A4463&lt;Notes!$B$5,"",IF(COUNTIFS(Release_Calendar!$A$2:$A$755,"NZ_GDP",Release_Calendar!$B$2:$B$755,$A4463)&gt;0,1,0))</f>
        <v/>
      </c>
      <c r="O4463" s="16" t="str">
        <f>IF($A4463&lt;Notes!$B$5,"",IF(COUNTIFS(Release_Calendar!$A$2:$A$755,"NZ_LABOUR",Release_Calendar!$B$2:$B$755,$A4463)&gt;0,1,0))</f>
        <v/>
      </c>
      <c r="P4463" s="16">
        <f t="shared" si="4"/>
        <v>0</v>
      </c>
    </row>
    <row r="4464" ht="15.75" customHeight="1">
      <c r="A4464" s="14">
        <v>42774.0</v>
      </c>
      <c r="B4464" s="15">
        <v>1.15</v>
      </c>
      <c r="C4464" s="15">
        <v>2.4</v>
      </c>
      <c r="D4464" s="15">
        <v>2.25</v>
      </c>
      <c r="E4464" s="15">
        <v>2.23</v>
      </c>
      <c r="F4464" s="15">
        <f t="shared" si="1"/>
        <v>1.25</v>
      </c>
      <c r="G4464" s="15">
        <f t="shared" si="2"/>
        <v>2.4</v>
      </c>
      <c r="H4464" s="16">
        <v>0.0</v>
      </c>
      <c r="I4464" s="15">
        <f t="shared" si="3"/>
        <v>1.25</v>
      </c>
      <c r="J4464" s="15">
        <v>11.45</v>
      </c>
      <c r="K4464" s="16">
        <f>IF(COUNTIFS(Release_Calendar!$A$2:$A$755,"US_CPI",Release_Calendar!$B$2:$B$755,$A4464)&gt;0,1,0)</f>
        <v>0</v>
      </c>
      <c r="L4464" s="16">
        <f>IF(COUNTIFS(Release_Calendar!$A$2:$A$755,"US_NFP",Release_Calendar!$B$2:$B$755,$A4464)&gt;0,1,0)</f>
        <v>0</v>
      </c>
      <c r="M4464" s="16" t="str">
        <f>IF($A4464&lt;Notes!$B$5,"",IF(COUNTIFS(Release_Calendar!$A$2:$A$755,"NZ_CPI",Release_Calendar!$B$2:$B$755,$A4464)&gt;0,1,0))</f>
        <v/>
      </c>
      <c r="N4464" s="16" t="str">
        <f>IF($A4464&lt;Notes!$B$5,"",IF(COUNTIFS(Release_Calendar!$A$2:$A$755,"NZ_GDP",Release_Calendar!$B$2:$B$755,$A4464)&gt;0,1,0))</f>
        <v/>
      </c>
      <c r="O4464" s="16" t="str">
        <f>IF($A4464&lt;Notes!$B$5,"",IF(COUNTIFS(Release_Calendar!$A$2:$A$755,"NZ_LABOUR",Release_Calendar!$B$2:$B$755,$A4464)&gt;0,1,0))</f>
        <v/>
      </c>
      <c r="P4464" s="16">
        <f t="shared" si="4"/>
        <v>0</v>
      </c>
    </row>
    <row r="4465" ht="15.75" customHeight="1">
      <c r="A4465" s="14">
        <v>42775.0</v>
      </c>
      <c r="B4465" s="15">
        <v>1.2</v>
      </c>
      <c r="C4465" s="15">
        <v>2.33</v>
      </c>
      <c r="D4465" s="15">
        <v>2.18</v>
      </c>
      <c r="E4465" s="15">
        <v>2.15</v>
      </c>
      <c r="F4465" s="15">
        <f t="shared" si="1"/>
        <v>1.13</v>
      </c>
      <c r="G4465" s="15">
        <f t="shared" si="2"/>
        <v>2.33</v>
      </c>
      <c r="H4465" s="16">
        <v>0.0</v>
      </c>
      <c r="I4465" s="15">
        <f t="shared" si="3"/>
        <v>1.13</v>
      </c>
      <c r="J4465" s="15">
        <v>10.88</v>
      </c>
      <c r="K4465" s="16">
        <f>IF(COUNTIFS(Release_Calendar!$A$2:$A$755,"US_CPI",Release_Calendar!$B$2:$B$755,$A4465)&gt;0,1,0)</f>
        <v>0</v>
      </c>
      <c r="L4465" s="16">
        <f>IF(COUNTIFS(Release_Calendar!$A$2:$A$755,"US_NFP",Release_Calendar!$B$2:$B$755,$A4465)&gt;0,1,0)</f>
        <v>0</v>
      </c>
      <c r="M4465" s="16" t="str">
        <f>IF($A4465&lt;Notes!$B$5,"",IF(COUNTIFS(Release_Calendar!$A$2:$A$755,"NZ_CPI",Release_Calendar!$B$2:$B$755,$A4465)&gt;0,1,0))</f>
        <v/>
      </c>
      <c r="N4465" s="16" t="str">
        <f>IF($A4465&lt;Notes!$B$5,"",IF(COUNTIFS(Release_Calendar!$A$2:$A$755,"NZ_GDP",Release_Calendar!$B$2:$B$755,$A4465)&gt;0,1,0))</f>
        <v/>
      </c>
      <c r="O4465" s="16" t="str">
        <f>IF($A4465&lt;Notes!$B$5,"",IF(COUNTIFS(Release_Calendar!$A$2:$A$755,"NZ_LABOUR",Release_Calendar!$B$2:$B$755,$A4465)&gt;0,1,0))</f>
        <v/>
      </c>
      <c r="P4465" s="16">
        <f t="shared" si="4"/>
        <v>0</v>
      </c>
    </row>
    <row r="4466" ht="15.75" customHeight="1">
      <c r="A4466" s="14">
        <v>42776.0</v>
      </c>
      <c r="B4466" s="15">
        <v>1.2</v>
      </c>
      <c r="C4466" s="15">
        <v>2.35</v>
      </c>
      <c r="D4466" s="15">
        <v>2.19</v>
      </c>
      <c r="E4466" s="15">
        <v>2.17</v>
      </c>
      <c r="F4466" s="15">
        <f t="shared" si="1"/>
        <v>1.15</v>
      </c>
      <c r="G4466" s="15">
        <f t="shared" si="2"/>
        <v>2.35</v>
      </c>
      <c r="H4466" s="16">
        <v>0.0</v>
      </c>
      <c r="I4466" s="15">
        <f t="shared" si="3"/>
        <v>1.15</v>
      </c>
      <c r="J4466" s="15">
        <v>10.85</v>
      </c>
      <c r="K4466" s="16">
        <f>IF(COUNTIFS(Release_Calendar!$A$2:$A$755,"US_CPI",Release_Calendar!$B$2:$B$755,$A4466)&gt;0,1,0)</f>
        <v>0</v>
      </c>
      <c r="L4466" s="16">
        <f>IF(COUNTIFS(Release_Calendar!$A$2:$A$755,"US_NFP",Release_Calendar!$B$2:$B$755,$A4466)&gt;0,1,0)</f>
        <v>0</v>
      </c>
      <c r="M4466" s="16" t="str">
        <f>IF($A4466&lt;Notes!$B$5,"",IF(COUNTIFS(Release_Calendar!$A$2:$A$755,"NZ_CPI",Release_Calendar!$B$2:$B$755,$A4466)&gt;0,1,0))</f>
        <v/>
      </c>
      <c r="N4466" s="16" t="str">
        <f>IF($A4466&lt;Notes!$B$5,"",IF(COUNTIFS(Release_Calendar!$A$2:$A$755,"NZ_GDP",Release_Calendar!$B$2:$B$755,$A4466)&gt;0,1,0))</f>
        <v/>
      </c>
      <c r="O4466" s="16" t="str">
        <f>IF($A4466&lt;Notes!$B$5,"",IF(COUNTIFS(Release_Calendar!$A$2:$A$755,"NZ_LABOUR",Release_Calendar!$B$2:$B$755,$A4466)&gt;0,1,0))</f>
        <v/>
      </c>
      <c r="P4466" s="16">
        <f t="shared" si="4"/>
        <v>0</v>
      </c>
    </row>
    <row r="4467" ht="15.75" customHeight="1">
      <c r="A4467" s="14">
        <v>42779.0</v>
      </c>
      <c r="B4467" s="15">
        <v>1.2</v>
      </c>
      <c r="C4467" s="15">
        <v>2.35</v>
      </c>
      <c r="D4467" s="15">
        <v>2.18</v>
      </c>
      <c r="E4467" s="15">
        <v>2.18</v>
      </c>
      <c r="F4467" s="15">
        <f t="shared" si="1"/>
        <v>1.15</v>
      </c>
      <c r="G4467" s="15">
        <f t="shared" si="2"/>
        <v>2.35</v>
      </c>
      <c r="H4467" s="16">
        <v>0.0</v>
      </c>
      <c r="I4467" s="15">
        <f t="shared" si="3"/>
        <v>1.15</v>
      </c>
      <c r="J4467" s="15">
        <v>11.07</v>
      </c>
      <c r="K4467" s="16">
        <f>IF(COUNTIFS(Release_Calendar!$A$2:$A$755,"US_CPI",Release_Calendar!$B$2:$B$755,$A4467)&gt;0,1,0)</f>
        <v>0</v>
      </c>
      <c r="L4467" s="16">
        <f>IF(COUNTIFS(Release_Calendar!$A$2:$A$755,"US_NFP",Release_Calendar!$B$2:$B$755,$A4467)&gt;0,1,0)</f>
        <v>0</v>
      </c>
      <c r="M4467" s="16" t="str">
        <f>IF($A4467&lt;Notes!$B$5,"",IF(COUNTIFS(Release_Calendar!$A$2:$A$755,"NZ_CPI",Release_Calendar!$B$2:$B$755,$A4467)&gt;0,1,0))</f>
        <v/>
      </c>
      <c r="N4467" s="16" t="str">
        <f>IF($A4467&lt;Notes!$B$5,"",IF(COUNTIFS(Release_Calendar!$A$2:$A$755,"NZ_GDP",Release_Calendar!$B$2:$B$755,$A4467)&gt;0,1,0))</f>
        <v/>
      </c>
      <c r="O4467" s="16" t="str">
        <f>IF($A4467&lt;Notes!$B$5,"",IF(COUNTIFS(Release_Calendar!$A$2:$A$755,"NZ_LABOUR",Release_Calendar!$B$2:$B$755,$A4467)&gt;0,1,0))</f>
        <v/>
      </c>
      <c r="P4467" s="16">
        <f t="shared" si="4"/>
        <v>0</v>
      </c>
    </row>
    <row r="4468" ht="15.75" customHeight="1">
      <c r="A4468" s="14">
        <v>42780.0</v>
      </c>
      <c r="B4468" s="15">
        <v>1.25</v>
      </c>
      <c r="C4468" s="15">
        <v>2.35</v>
      </c>
      <c r="D4468" s="15">
        <v>2.19</v>
      </c>
      <c r="E4468" s="15">
        <v>2.2</v>
      </c>
      <c r="F4468" s="15">
        <f t="shared" si="1"/>
        <v>1.1</v>
      </c>
      <c r="G4468" s="15">
        <f t="shared" si="2"/>
        <v>2.35</v>
      </c>
      <c r="H4468" s="16">
        <v>0.0</v>
      </c>
      <c r="I4468" s="15">
        <f t="shared" si="3"/>
        <v>1.1</v>
      </c>
      <c r="J4468" s="15">
        <v>10.74</v>
      </c>
      <c r="K4468" s="16">
        <f>IF(COUNTIFS(Release_Calendar!$A$2:$A$755,"US_CPI",Release_Calendar!$B$2:$B$755,$A4468)&gt;0,1,0)</f>
        <v>0</v>
      </c>
      <c r="L4468" s="16">
        <f>IF(COUNTIFS(Release_Calendar!$A$2:$A$755,"US_NFP",Release_Calendar!$B$2:$B$755,$A4468)&gt;0,1,0)</f>
        <v>0</v>
      </c>
      <c r="M4468" s="16" t="str">
        <f>IF($A4468&lt;Notes!$B$5,"",IF(COUNTIFS(Release_Calendar!$A$2:$A$755,"NZ_CPI",Release_Calendar!$B$2:$B$755,$A4468)&gt;0,1,0))</f>
        <v/>
      </c>
      <c r="N4468" s="16" t="str">
        <f>IF($A4468&lt;Notes!$B$5,"",IF(COUNTIFS(Release_Calendar!$A$2:$A$755,"NZ_GDP",Release_Calendar!$B$2:$B$755,$A4468)&gt;0,1,0))</f>
        <v/>
      </c>
      <c r="O4468" s="16" t="str">
        <f>IF($A4468&lt;Notes!$B$5,"",IF(COUNTIFS(Release_Calendar!$A$2:$A$755,"NZ_LABOUR",Release_Calendar!$B$2:$B$755,$A4468)&gt;0,1,0))</f>
        <v/>
      </c>
      <c r="P4468" s="16">
        <f t="shared" si="4"/>
        <v>0</v>
      </c>
    </row>
    <row r="4469" ht="15.75" customHeight="1">
      <c r="A4469" s="14">
        <v>42781.0</v>
      </c>
      <c r="B4469" s="15">
        <v>1.27</v>
      </c>
      <c r="C4469" s="15">
        <v>2.37</v>
      </c>
      <c r="D4469" s="15">
        <v>2.22</v>
      </c>
      <c r="E4469" s="15">
        <v>2.22</v>
      </c>
      <c r="F4469" s="15">
        <f t="shared" si="1"/>
        <v>1.1</v>
      </c>
      <c r="G4469" s="15">
        <f t="shared" si="2"/>
        <v>2.37</v>
      </c>
      <c r="H4469" s="16">
        <v>0.0</v>
      </c>
      <c r="I4469" s="15">
        <f t="shared" si="3"/>
        <v>1.1</v>
      </c>
      <c r="J4469" s="15">
        <v>11.97</v>
      </c>
      <c r="K4469" s="16">
        <f>IF(COUNTIFS(Release_Calendar!$A$2:$A$755,"US_CPI",Release_Calendar!$B$2:$B$755,$A4469)&gt;0,1,0)</f>
        <v>1</v>
      </c>
      <c r="L4469" s="16">
        <f>IF(COUNTIFS(Release_Calendar!$A$2:$A$755,"US_NFP",Release_Calendar!$B$2:$B$755,$A4469)&gt;0,1,0)</f>
        <v>0</v>
      </c>
      <c r="M4469" s="16" t="str">
        <f>IF($A4469&lt;Notes!$B$5,"",IF(COUNTIFS(Release_Calendar!$A$2:$A$755,"NZ_CPI",Release_Calendar!$B$2:$B$755,$A4469)&gt;0,1,0))</f>
        <v/>
      </c>
      <c r="N4469" s="16" t="str">
        <f>IF($A4469&lt;Notes!$B$5,"",IF(COUNTIFS(Release_Calendar!$A$2:$A$755,"NZ_GDP",Release_Calendar!$B$2:$B$755,$A4469)&gt;0,1,0))</f>
        <v/>
      </c>
      <c r="O4469" s="16" t="str">
        <f>IF($A4469&lt;Notes!$B$5,"",IF(COUNTIFS(Release_Calendar!$A$2:$A$755,"NZ_LABOUR",Release_Calendar!$B$2:$B$755,$A4469)&gt;0,1,0))</f>
        <v/>
      </c>
      <c r="P4469" s="16">
        <f t="shared" si="4"/>
        <v>1</v>
      </c>
    </row>
    <row r="4470" ht="15.75" customHeight="1">
      <c r="A4470" s="14">
        <v>42782.0</v>
      </c>
      <c r="B4470" s="15">
        <v>1.22</v>
      </c>
      <c r="C4470" s="15">
        <v>2.38</v>
      </c>
      <c r="D4470" s="15">
        <v>2.24</v>
      </c>
      <c r="E4470" s="15">
        <v>2.24</v>
      </c>
      <c r="F4470" s="15">
        <f t="shared" si="1"/>
        <v>1.16</v>
      </c>
      <c r="G4470" s="15">
        <f t="shared" si="2"/>
        <v>2.38</v>
      </c>
      <c r="H4470" s="16">
        <v>0.0</v>
      </c>
      <c r="I4470" s="15">
        <f t="shared" si="3"/>
        <v>1.16</v>
      </c>
      <c r="J4470" s="15">
        <v>11.76</v>
      </c>
      <c r="K4470" s="16">
        <f>IF(COUNTIFS(Release_Calendar!$A$2:$A$755,"US_CPI",Release_Calendar!$B$2:$B$755,$A4470)&gt;0,1,0)</f>
        <v>0</v>
      </c>
      <c r="L4470" s="16">
        <f>IF(COUNTIFS(Release_Calendar!$A$2:$A$755,"US_NFP",Release_Calendar!$B$2:$B$755,$A4470)&gt;0,1,0)</f>
        <v>0</v>
      </c>
      <c r="M4470" s="16" t="str">
        <f>IF($A4470&lt;Notes!$B$5,"",IF(COUNTIFS(Release_Calendar!$A$2:$A$755,"NZ_CPI",Release_Calendar!$B$2:$B$755,$A4470)&gt;0,1,0))</f>
        <v/>
      </c>
      <c r="N4470" s="16" t="str">
        <f>IF($A4470&lt;Notes!$B$5,"",IF(COUNTIFS(Release_Calendar!$A$2:$A$755,"NZ_GDP",Release_Calendar!$B$2:$B$755,$A4470)&gt;0,1,0))</f>
        <v/>
      </c>
      <c r="O4470" s="16" t="str">
        <f>IF($A4470&lt;Notes!$B$5,"",IF(COUNTIFS(Release_Calendar!$A$2:$A$755,"NZ_LABOUR",Release_Calendar!$B$2:$B$755,$A4470)&gt;0,1,0))</f>
        <v/>
      </c>
      <c r="P4470" s="16">
        <f t="shared" si="4"/>
        <v>0</v>
      </c>
    </row>
    <row r="4471" ht="15.75" customHeight="1">
      <c r="A4471" s="14">
        <v>42783.0</v>
      </c>
      <c r="B4471" s="15">
        <v>1.21</v>
      </c>
      <c r="C4471" s="15">
        <v>2.36</v>
      </c>
      <c r="D4471" s="15">
        <v>2.22</v>
      </c>
      <c r="E4471" s="15">
        <v>2.2</v>
      </c>
      <c r="F4471" s="15">
        <f t="shared" si="1"/>
        <v>1.15</v>
      </c>
      <c r="G4471" s="15">
        <f t="shared" si="2"/>
        <v>2.36</v>
      </c>
      <c r="H4471" s="16">
        <v>0.0</v>
      </c>
      <c r="I4471" s="15">
        <f t="shared" si="3"/>
        <v>1.15</v>
      </c>
      <c r="J4471" s="15">
        <v>11.49</v>
      </c>
      <c r="K4471" s="16">
        <f>IF(COUNTIFS(Release_Calendar!$A$2:$A$755,"US_CPI",Release_Calendar!$B$2:$B$755,$A4471)&gt;0,1,0)</f>
        <v>0</v>
      </c>
      <c r="L4471" s="16">
        <f>IF(COUNTIFS(Release_Calendar!$A$2:$A$755,"US_NFP",Release_Calendar!$B$2:$B$755,$A4471)&gt;0,1,0)</f>
        <v>0</v>
      </c>
      <c r="M4471" s="16" t="str">
        <f>IF($A4471&lt;Notes!$B$5,"",IF(COUNTIFS(Release_Calendar!$A$2:$A$755,"NZ_CPI",Release_Calendar!$B$2:$B$755,$A4471)&gt;0,1,0))</f>
        <v/>
      </c>
      <c r="N4471" s="16" t="str">
        <f>IF($A4471&lt;Notes!$B$5,"",IF(COUNTIFS(Release_Calendar!$A$2:$A$755,"NZ_GDP",Release_Calendar!$B$2:$B$755,$A4471)&gt;0,1,0))</f>
        <v/>
      </c>
      <c r="O4471" s="16" t="str">
        <f>IF($A4471&lt;Notes!$B$5,"",IF(COUNTIFS(Release_Calendar!$A$2:$A$755,"NZ_LABOUR",Release_Calendar!$B$2:$B$755,$A4471)&gt;0,1,0))</f>
        <v/>
      </c>
      <c r="P4471" s="16">
        <f t="shared" si="4"/>
        <v>0</v>
      </c>
    </row>
    <row r="4472" ht="15.75" customHeight="1">
      <c r="A4472" s="14">
        <v>42786.0</v>
      </c>
      <c r="B4472" s="15"/>
      <c r="C4472" s="15">
        <v>2.32</v>
      </c>
      <c r="D4472" s="15">
        <v>2.18</v>
      </c>
      <c r="E4472" s="15">
        <v>2.17</v>
      </c>
      <c r="F4472" s="15" t="str">
        <f t="shared" si="1"/>
        <v/>
      </c>
      <c r="G4472" s="15">
        <f t="shared" si="2"/>
        <v>2.32</v>
      </c>
      <c r="H4472" s="16">
        <v>0.0</v>
      </c>
      <c r="I4472" s="15" t="str">
        <f t="shared" si="3"/>
        <v/>
      </c>
      <c r="J4472" s="15"/>
      <c r="K4472" s="16">
        <f>IF(COUNTIFS(Release_Calendar!$A$2:$A$755,"US_CPI",Release_Calendar!$B$2:$B$755,$A4472)&gt;0,1,0)</f>
        <v>0</v>
      </c>
      <c r="L4472" s="16">
        <f>IF(COUNTIFS(Release_Calendar!$A$2:$A$755,"US_NFP",Release_Calendar!$B$2:$B$755,$A4472)&gt;0,1,0)</f>
        <v>0</v>
      </c>
      <c r="M4472" s="16" t="str">
        <f>IF($A4472&lt;Notes!$B$5,"",IF(COUNTIFS(Release_Calendar!$A$2:$A$755,"NZ_CPI",Release_Calendar!$B$2:$B$755,$A4472)&gt;0,1,0))</f>
        <v/>
      </c>
      <c r="N4472" s="16" t="str">
        <f>IF($A4472&lt;Notes!$B$5,"",IF(COUNTIFS(Release_Calendar!$A$2:$A$755,"NZ_GDP",Release_Calendar!$B$2:$B$755,$A4472)&gt;0,1,0))</f>
        <v/>
      </c>
      <c r="O4472" s="16" t="str">
        <f>IF($A4472&lt;Notes!$B$5,"",IF(COUNTIFS(Release_Calendar!$A$2:$A$755,"NZ_LABOUR",Release_Calendar!$B$2:$B$755,$A4472)&gt;0,1,0))</f>
        <v/>
      </c>
      <c r="P4472" s="16">
        <f t="shared" si="4"/>
        <v>0</v>
      </c>
    </row>
    <row r="4473" ht="15.75" customHeight="1">
      <c r="A4473" s="14">
        <v>42787.0</v>
      </c>
      <c r="B4473" s="15">
        <v>1.22</v>
      </c>
      <c r="C4473" s="15">
        <v>2.34</v>
      </c>
      <c r="D4473" s="15">
        <v>2.17</v>
      </c>
      <c r="E4473" s="15">
        <v>2.17</v>
      </c>
      <c r="F4473" s="15">
        <f t="shared" si="1"/>
        <v>1.12</v>
      </c>
      <c r="G4473" s="15">
        <f t="shared" si="2"/>
        <v>2.34</v>
      </c>
      <c r="H4473" s="16">
        <v>0.0</v>
      </c>
      <c r="I4473" s="15">
        <f t="shared" si="3"/>
        <v>1.12</v>
      </c>
      <c r="J4473" s="15">
        <v>11.57</v>
      </c>
      <c r="K4473" s="16">
        <f>IF(COUNTIFS(Release_Calendar!$A$2:$A$755,"US_CPI",Release_Calendar!$B$2:$B$755,$A4473)&gt;0,1,0)</f>
        <v>0</v>
      </c>
      <c r="L4473" s="16">
        <f>IF(COUNTIFS(Release_Calendar!$A$2:$A$755,"US_NFP",Release_Calendar!$B$2:$B$755,$A4473)&gt;0,1,0)</f>
        <v>0</v>
      </c>
      <c r="M4473" s="16" t="str">
        <f>IF($A4473&lt;Notes!$B$5,"",IF(COUNTIFS(Release_Calendar!$A$2:$A$755,"NZ_CPI",Release_Calendar!$B$2:$B$755,$A4473)&gt;0,1,0))</f>
        <v/>
      </c>
      <c r="N4473" s="16" t="str">
        <f>IF($A4473&lt;Notes!$B$5,"",IF(COUNTIFS(Release_Calendar!$A$2:$A$755,"NZ_GDP",Release_Calendar!$B$2:$B$755,$A4473)&gt;0,1,0))</f>
        <v/>
      </c>
      <c r="O4473" s="16" t="str">
        <f>IF($A4473&lt;Notes!$B$5,"",IF(COUNTIFS(Release_Calendar!$A$2:$A$755,"NZ_LABOUR",Release_Calendar!$B$2:$B$755,$A4473)&gt;0,1,0))</f>
        <v/>
      </c>
      <c r="P4473" s="16">
        <f t="shared" si="4"/>
        <v>0</v>
      </c>
    </row>
    <row r="4474" ht="15.75" customHeight="1">
      <c r="A4474" s="14">
        <v>42788.0</v>
      </c>
      <c r="B4474" s="15">
        <v>1.22</v>
      </c>
      <c r="C4474" s="15">
        <v>2.34</v>
      </c>
      <c r="D4474" s="15">
        <v>2.18</v>
      </c>
      <c r="E4474" s="15">
        <v>2.17</v>
      </c>
      <c r="F4474" s="15">
        <f t="shared" si="1"/>
        <v>1.12</v>
      </c>
      <c r="G4474" s="15">
        <f t="shared" si="2"/>
        <v>2.34</v>
      </c>
      <c r="H4474" s="16">
        <v>0.0</v>
      </c>
      <c r="I4474" s="15">
        <f t="shared" si="3"/>
        <v>1.12</v>
      </c>
      <c r="J4474" s="15">
        <v>11.74</v>
      </c>
      <c r="K4474" s="16">
        <f>IF(COUNTIFS(Release_Calendar!$A$2:$A$755,"US_CPI",Release_Calendar!$B$2:$B$755,$A4474)&gt;0,1,0)</f>
        <v>0</v>
      </c>
      <c r="L4474" s="16">
        <f>IF(COUNTIFS(Release_Calendar!$A$2:$A$755,"US_NFP",Release_Calendar!$B$2:$B$755,$A4474)&gt;0,1,0)</f>
        <v>0</v>
      </c>
      <c r="M4474" s="16" t="str">
        <f>IF($A4474&lt;Notes!$B$5,"",IF(COUNTIFS(Release_Calendar!$A$2:$A$755,"NZ_CPI",Release_Calendar!$B$2:$B$755,$A4474)&gt;0,1,0))</f>
        <v/>
      </c>
      <c r="N4474" s="16" t="str">
        <f>IF($A4474&lt;Notes!$B$5,"",IF(COUNTIFS(Release_Calendar!$A$2:$A$755,"NZ_GDP",Release_Calendar!$B$2:$B$755,$A4474)&gt;0,1,0))</f>
        <v/>
      </c>
      <c r="O4474" s="16" t="str">
        <f>IF($A4474&lt;Notes!$B$5,"",IF(COUNTIFS(Release_Calendar!$A$2:$A$755,"NZ_LABOUR",Release_Calendar!$B$2:$B$755,$A4474)&gt;0,1,0))</f>
        <v/>
      </c>
      <c r="P4474" s="16">
        <f t="shared" si="4"/>
        <v>0</v>
      </c>
    </row>
    <row r="4475" ht="15.75" customHeight="1">
      <c r="A4475" s="14">
        <v>42789.0</v>
      </c>
      <c r="B4475" s="15">
        <v>1.18</v>
      </c>
      <c r="C4475" s="15">
        <v>2.33</v>
      </c>
      <c r="D4475" s="15">
        <v>2.17</v>
      </c>
      <c r="E4475" s="15">
        <v>2.16</v>
      </c>
      <c r="F4475" s="15">
        <f t="shared" si="1"/>
        <v>1.15</v>
      </c>
      <c r="G4475" s="15">
        <f t="shared" si="2"/>
        <v>2.33</v>
      </c>
      <c r="H4475" s="16">
        <v>0.0</v>
      </c>
      <c r="I4475" s="15">
        <f t="shared" si="3"/>
        <v>1.15</v>
      </c>
      <c r="J4475" s="15">
        <v>11.71</v>
      </c>
      <c r="K4475" s="16">
        <f>IF(COUNTIFS(Release_Calendar!$A$2:$A$755,"US_CPI",Release_Calendar!$B$2:$B$755,$A4475)&gt;0,1,0)</f>
        <v>0</v>
      </c>
      <c r="L4475" s="16">
        <f>IF(COUNTIFS(Release_Calendar!$A$2:$A$755,"US_NFP",Release_Calendar!$B$2:$B$755,$A4475)&gt;0,1,0)</f>
        <v>0</v>
      </c>
      <c r="M4475" s="16" t="str">
        <f>IF($A4475&lt;Notes!$B$5,"",IF(COUNTIFS(Release_Calendar!$A$2:$A$755,"NZ_CPI",Release_Calendar!$B$2:$B$755,$A4475)&gt;0,1,0))</f>
        <v/>
      </c>
      <c r="N4475" s="16" t="str">
        <f>IF($A4475&lt;Notes!$B$5,"",IF(COUNTIFS(Release_Calendar!$A$2:$A$755,"NZ_GDP",Release_Calendar!$B$2:$B$755,$A4475)&gt;0,1,0))</f>
        <v/>
      </c>
      <c r="O4475" s="16" t="str">
        <f>IF($A4475&lt;Notes!$B$5,"",IF(COUNTIFS(Release_Calendar!$A$2:$A$755,"NZ_LABOUR",Release_Calendar!$B$2:$B$755,$A4475)&gt;0,1,0))</f>
        <v/>
      </c>
      <c r="P4475" s="16">
        <f t="shared" si="4"/>
        <v>0</v>
      </c>
    </row>
    <row r="4476" ht="15.75" customHeight="1">
      <c r="A4476" s="14">
        <v>42790.0</v>
      </c>
      <c r="B4476" s="15">
        <v>1.12</v>
      </c>
      <c r="C4476" s="15">
        <v>2.32</v>
      </c>
      <c r="D4476" s="15">
        <v>2.13</v>
      </c>
      <c r="E4476" s="15">
        <v>2.17</v>
      </c>
      <c r="F4476" s="15">
        <f t="shared" si="1"/>
        <v>1.2</v>
      </c>
      <c r="G4476" s="15">
        <f t="shared" si="2"/>
        <v>2.32</v>
      </c>
      <c r="H4476" s="16">
        <v>0.0</v>
      </c>
      <c r="I4476" s="15">
        <f t="shared" si="3"/>
        <v>1.2</v>
      </c>
      <c r="J4476" s="15">
        <v>11.47</v>
      </c>
      <c r="K4476" s="16">
        <f>IF(COUNTIFS(Release_Calendar!$A$2:$A$755,"US_CPI",Release_Calendar!$B$2:$B$755,$A4476)&gt;0,1,0)</f>
        <v>0</v>
      </c>
      <c r="L4476" s="16">
        <f>IF(COUNTIFS(Release_Calendar!$A$2:$A$755,"US_NFP",Release_Calendar!$B$2:$B$755,$A4476)&gt;0,1,0)</f>
        <v>0</v>
      </c>
      <c r="M4476" s="16" t="str">
        <f>IF($A4476&lt;Notes!$B$5,"",IF(COUNTIFS(Release_Calendar!$A$2:$A$755,"NZ_CPI",Release_Calendar!$B$2:$B$755,$A4476)&gt;0,1,0))</f>
        <v/>
      </c>
      <c r="N4476" s="16" t="str">
        <f>IF($A4476&lt;Notes!$B$5,"",IF(COUNTIFS(Release_Calendar!$A$2:$A$755,"NZ_GDP",Release_Calendar!$B$2:$B$755,$A4476)&gt;0,1,0))</f>
        <v/>
      </c>
      <c r="O4476" s="16" t="str">
        <f>IF($A4476&lt;Notes!$B$5,"",IF(COUNTIFS(Release_Calendar!$A$2:$A$755,"NZ_LABOUR",Release_Calendar!$B$2:$B$755,$A4476)&gt;0,1,0))</f>
        <v/>
      </c>
      <c r="P4476" s="16">
        <f t="shared" si="4"/>
        <v>0</v>
      </c>
    </row>
    <row r="4477" ht="15.75" customHeight="1">
      <c r="A4477" s="14">
        <v>42793.0</v>
      </c>
      <c r="B4477" s="15">
        <v>1.2</v>
      </c>
      <c r="C4477" s="15">
        <v>2.32</v>
      </c>
      <c r="D4477" s="15">
        <v>2.15</v>
      </c>
      <c r="E4477" s="15">
        <v>2.15</v>
      </c>
      <c r="F4477" s="15">
        <f t="shared" si="1"/>
        <v>1.12</v>
      </c>
      <c r="G4477" s="15">
        <f t="shared" si="2"/>
        <v>2.32</v>
      </c>
      <c r="H4477" s="16">
        <v>0.0</v>
      </c>
      <c r="I4477" s="15">
        <f t="shared" si="3"/>
        <v>1.12</v>
      </c>
      <c r="J4477" s="15">
        <v>12.09</v>
      </c>
      <c r="K4477" s="16">
        <f>IF(COUNTIFS(Release_Calendar!$A$2:$A$755,"US_CPI",Release_Calendar!$B$2:$B$755,$A4477)&gt;0,1,0)</f>
        <v>0</v>
      </c>
      <c r="L4477" s="16">
        <f>IF(COUNTIFS(Release_Calendar!$A$2:$A$755,"US_NFP",Release_Calendar!$B$2:$B$755,$A4477)&gt;0,1,0)</f>
        <v>0</v>
      </c>
      <c r="M4477" s="16" t="str">
        <f>IF($A4477&lt;Notes!$B$5,"",IF(COUNTIFS(Release_Calendar!$A$2:$A$755,"NZ_CPI",Release_Calendar!$B$2:$B$755,$A4477)&gt;0,1,0))</f>
        <v/>
      </c>
      <c r="N4477" s="16" t="str">
        <f>IF($A4477&lt;Notes!$B$5,"",IF(COUNTIFS(Release_Calendar!$A$2:$A$755,"NZ_GDP",Release_Calendar!$B$2:$B$755,$A4477)&gt;0,1,0))</f>
        <v/>
      </c>
      <c r="O4477" s="16" t="str">
        <f>IF($A4477&lt;Notes!$B$5,"",IF(COUNTIFS(Release_Calendar!$A$2:$A$755,"NZ_LABOUR",Release_Calendar!$B$2:$B$755,$A4477)&gt;0,1,0))</f>
        <v/>
      </c>
      <c r="P4477" s="16">
        <f t="shared" si="4"/>
        <v>0</v>
      </c>
    </row>
    <row r="4478" ht="15.75" customHeight="1">
      <c r="A4478" s="14">
        <v>42794.0</v>
      </c>
      <c r="B4478" s="15">
        <v>1.22</v>
      </c>
      <c r="C4478" s="15">
        <v>2.34</v>
      </c>
      <c r="D4478" s="15">
        <v>2.18</v>
      </c>
      <c r="E4478" s="15">
        <v>2.17</v>
      </c>
      <c r="F4478" s="15">
        <f t="shared" si="1"/>
        <v>1.12</v>
      </c>
      <c r="G4478" s="15">
        <f t="shared" si="2"/>
        <v>2.34</v>
      </c>
      <c r="H4478" s="16">
        <v>0.0</v>
      </c>
      <c r="I4478" s="15">
        <f t="shared" si="3"/>
        <v>1.12</v>
      </c>
      <c r="J4478" s="15">
        <v>12.92</v>
      </c>
      <c r="K4478" s="16">
        <f>IF(COUNTIFS(Release_Calendar!$A$2:$A$755,"US_CPI",Release_Calendar!$B$2:$B$755,$A4478)&gt;0,1,0)</f>
        <v>0</v>
      </c>
      <c r="L4478" s="16">
        <f>IF(COUNTIFS(Release_Calendar!$A$2:$A$755,"US_NFP",Release_Calendar!$B$2:$B$755,$A4478)&gt;0,1,0)</f>
        <v>0</v>
      </c>
      <c r="M4478" s="16" t="str">
        <f>IF($A4478&lt;Notes!$B$5,"",IF(COUNTIFS(Release_Calendar!$A$2:$A$755,"NZ_CPI",Release_Calendar!$B$2:$B$755,$A4478)&gt;0,1,0))</f>
        <v/>
      </c>
      <c r="N4478" s="16" t="str">
        <f>IF($A4478&lt;Notes!$B$5,"",IF(COUNTIFS(Release_Calendar!$A$2:$A$755,"NZ_GDP",Release_Calendar!$B$2:$B$755,$A4478)&gt;0,1,0))</f>
        <v/>
      </c>
      <c r="O4478" s="16" t="str">
        <f>IF($A4478&lt;Notes!$B$5,"",IF(COUNTIFS(Release_Calendar!$A$2:$A$755,"NZ_LABOUR",Release_Calendar!$B$2:$B$755,$A4478)&gt;0,1,0))</f>
        <v/>
      </c>
      <c r="P4478" s="16">
        <f t="shared" si="4"/>
        <v>0</v>
      </c>
    </row>
    <row r="4479" ht="15.75" customHeight="1">
      <c r="A4479" s="14">
        <v>42795.0</v>
      </c>
      <c r="B4479" s="15">
        <v>1.29</v>
      </c>
      <c r="C4479" s="15">
        <v>2.34</v>
      </c>
      <c r="D4479" s="15">
        <v>2.21</v>
      </c>
      <c r="E4479" s="15">
        <v>2.19</v>
      </c>
      <c r="F4479" s="15">
        <f t="shared" si="1"/>
        <v>1.05</v>
      </c>
      <c r="G4479" s="15">
        <f t="shared" si="2"/>
        <v>2.34</v>
      </c>
      <c r="H4479" s="16">
        <v>0.0</v>
      </c>
      <c r="I4479" s="15">
        <f t="shared" si="3"/>
        <v>1.05</v>
      </c>
      <c r="J4479" s="15">
        <v>12.54</v>
      </c>
      <c r="K4479" s="16">
        <f>IF(COUNTIFS(Release_Calendar!$A$2:$A$755,"US_CPI",Release_Calendar!$B$2:$B$755,$A4479)&gt;0,1,0)</f>
        <v>0</v>
      </c>
      <c r="L4479" s="16">
        <f>IF(COUNTIFS(Release_Calendar!$A$2:$A$755,"US_NFP",Release_Calendar!$B$2:$B$755,$A4479)&gt;0,1,0)</f>
        <v>0</v>
      </c>
      <c r="M4479" s="16" t="str">
        <f>IF($A4479&lt;Notes!$B$5,"",IF(COUNTIFS(Release_Calendar!$A$2:$A$755,"NZ_CPI",Release_Calendar!$B$2:$B$755,$A4479)&gt;0,1,0))</f>
        <v/>
      </c>
      <c r="N4479" s="16" t="str">
        <f>IF($A4479&lt;Notes!$B$5,"",IF(COUNTIFS(Release_Calendar!$A$2:$A$755,"NZ_GDP",Release_Calendar!$B$2:$B$755,$A4479)&gt;0,1,0))</f>
        <v/>
      </c>
      <c r="O4479" s="16" t="str">
        <f>IF($A4479&lt;Notes!$B$5,"",IF(COUNTIFS(Release_Calendar!$A$2:$A$755,"NZ_LABOUR",Release_Calendar!$B$2:$B$755,$A4479)&gt;0,1,0))</f>
        <v/>
      </c>
      <c r="P4479" s="16">
        <f t="shared" si="4"/>
        <v>0</v>
      </c>
    </row>
    <row r="4480" ht="15.75" customHeight="1">
      <c r="A4480" s="14">
        <v>42796.0</v>
      </c>
      <c r="B4480" s="15">
        <v>1.32</v>
      </c>
      <c r="C4480" s="15">
        <v>2.34</v>
      </c>
      <c r="D4480" s="15">
        <v>2.2</v>
      </c>
      <c r="E4480" s="15">
        <v>2.19</v>
      </c>
      <c r="F4480" s="15">
        <f t="shared" si="1"/>
        <v>1.02</v>
      </c>
      <c r="G4480" s="15">
        <f t="shared" si="2"/>
        <v>2.34</v>
      </c>
      <c r="H4480" s="16">
        <v>0.0</v>
      </c>
      <c r="I4480" s="15">
        <f t="shared" si="3"/>
        <v>1.02</v>
      </c>
      <c r="J4480" s="15">
        <v>11.81</v>
      </c>
      <c r="K4480" s="16">
        <f>IF(COUNTIFS(Release_Calendar!$A$2:$A$755,"US_CPI",Release_Calendar!$B$2:$B$755,$A4480)&gt;0,1,0)</f>
        <v>0</v>
      </c>
      <c r="L4480" s="16">
        <f>IF(COUNTIFS(Release_Calendar!$A$2:$A$755,"US_NFP",Release_Calendar!$B$2:$B$755,$A4480)&gt;0,1,0)</f>
        <v>0</v>
      </c>
      <c r="M4480" s="16" t="str">
        <f>IF($A4480&lt;Notes!$B$5,"",IF(COUNTIFS(Release_Calendar!$A$2:$A$755,"NZ_CPI",Release_Calendar!$B$2:$B$755,$A4480)&gt;0,1,0))</f>
        <v/>
      </c>
      <c r="N4480" s="16" t="str">
        <f>IF($A4480&lt;Notes!$B$5,"",IF(COUNTIFS(Release_Calendar!$A$2:$A$755,"NZ_GDP",Release_Calendar!$B$2:$B$755,$A4480)&gt;0,1,0))</f>
        <v/>
      </c>
      <c r="O4480" s="16" t="str">
        <f>IF($A4480&lt;Notes!$B$5,"",IF(COUNTIFS(Release_Calendar!$A$2:$A$755,"NZ_LABOUR",Release_Calendar!$B$2:$B$755,$A4480)&gt;0,1,0))</f>
        <v/>
      </c>
      <c r="P4480" s="16">
        <f t="shared" si="4"/>
        <v>0</v>
      </c>
    </row>
    <row r="4481" ht="15.75" customHeight="1">
      <c r="A4481" s="14">
        <v>42797.0</v>
      </c>
      <c r="B4481" s="15">
        <v>1.32</v>
      </c>
      <c r="C4481" s="15">
        <v>2.34</v>
      </c>
      <c r="D4481" s="15">
        <v>2.17</v>
      </c>
      <c r="E4481" s="15">
        <v>2.17</v>
      </c>
      <c r="F4481" s="15">
        <f t="shared" si="1"/>
        <v>1.02</v>
      </c>
      <c r="G4481" s="15">
        <f t="shared" si="2"/>
        <v>2.34</v>
      </c>
      <c r="H4481" s="16">
        <v>0.0</v>
      </c>
      <c r="I4481" s="15">
        <f t="shared" si="3"/>
        <v>1.02</v>
      </c>
      <c r="J4481" s="15">
        <v>10.96</v>
      </c>
      <c r="K4481" s="16">
        <f>IF(COUNTIFS(Release_Calendar!$A$2:$A$755,"US_CPI",Release_Calendar!$B$2:$B$755,$A4481)&gt;0,1,0)</f>
        <v>0</v>
      </c>
      <c r="L4481" s="16">
        <f>IF(COUNTIFS(Release_Calendar!$A$2:$A$755,"US_NFP",Release_Calendar!$B$2:$B$755,$A4481)&gt;0,1,0)</f>
        <v>0</v>
      </c>
      <c r="M4481" s="16" t="str">
        <f>IF($A4481&lt;Notes!$B$5,"",IF(COUNTIFS(Release_Calendar!$A$2:$A$755,"NZ_CPI",Release_Calendar!$B$2:$B$755,$A4481)&gt;0,1,0))</f>
        <v/>
      </c>
      <c r="N4481" s="16" t="str">
        <f>IF($A4481&lt;Notes!$B$5,"",IF(COUNTIFS(Release_Calendar!$A$2:$A$755,"NZ_GDP",Release_Calendar!$B$2:$B$755,$A4481)&gt;0,1,0))</f>
        <v/>
      </c>
      <c r="O4481" s="16" t="str">
        <f>IF($A4481&lt;Notes!$B$5,"",IF(COUNTIFS(Release_Calendar!$A$2:$A$755,"NZ_LABOUR",Release_Calendar!$B$2:$B$755,$A4481)&gt;0,1,0))</f>
        <v/>
      </c>
      <c r="P4481" s="16">
        <f t="shared" si="4"/>
        <v>0</v>
      </c>
    </row>
    <row r="4482" ht="15.75" customHeight="1">
      <c r="A4482" s="14">
        <v>42800.0</v>
      </c>
      <c r="B4482" s="15">
        <v>1.31</v>
      </c>
      <c r="C4482" s="15">
        <v>2.34</v>
      </c>
      <c r="D4482" s="15">
        <v>2.19</v>
      </c>
      <c r="E4482" s="15">
        <v>2.18</v>
      </c>
      <c r="F4482" s="15">
        <f t="shared" si="1"/>
        <v>1.03</v>
      </c>
      <c r="G4482" s="15">
        <f t="shared" si="2"/>
        <v>2.34</v>
      </c>
      <c r="H4482" s="16">
        <v>0.0</v>
      </c>
      <c r="I4482" s="15">
        <f t="shared" si="3"/>
        <v>1.03</v>
      </c>
      <c r="J4482" s="15">
        <v>11.24</v>
      </c>
      <c r="K4482" s="16">
        <f>IF(COUNTIFS(Release_Calendar!$A$2:$A$755,"US_CPI",Release_Calendar!$B$2:$B$755,$A4482)&gt;0,1,0)</f>
        <v>0</v>
      </c>
      <c r="L4482" s="16">
        <f>IF(COUNTIFS(Release_Calendar!$A$2:$A$755,"US_NFP",Release_Calendar!$B$2:$B$755,$A4482)&gt;0,1,0)</f>
        <v>0</v>
      </c>
      <c r="M4482" s="16" t="str">
        <f>IF($A4482&lt;Notes!$B$5,"",IF(COUNTIFS(Release_Calendar!$A$2:$A$755,"NZ_CPI",Release_Calendar!$B$2:$B$755,$A4482)&gt;0,1,0))</f>
        <v/>
      </c>
      <c r="N4482" s="16" t="str">
        <f>IF($A4482&lt;Notes!$B$5,"",IF(COUNTIFS(Release_Calendar!$A$2:$A$755,"NZ_GDP",Release_Calendar!$B$2:$B$755,$A4482)&gt;0,1,0))</f>
        <v/>
      </c>
      <c r="O4482" s="16" t="str">
        <f>IF($A4482&lt;Notes!$B$5,"",IF(COUNTIFS(Release_Calendar!$A$2:$A$755,"NZ_LABOUR",Release_Calendar!$B$2:$B$755,$A4482)&gt;0,1,0))</f>
        <v/>
      </c>
      <c r="P4482" s="16">
        <f t="shared" si="4"/>
        <v>0</v>
      </c>
    </row>
    <row r="4483" ht="15.75" customHeight="1">
      <c r="A4483" s="14">
        <v>42801.0</v>
      </c>
      <c r="B4483" s="15">
        <v>1.32</v>
      </c>
      <c r="C4483" s="15">
        <v>2.34</v>
      </c>
      <c r="D4483" s="15">
        <v>2.19</v>
      </c>
      <c r="E4483" s="15">
        <v>2.18</v>
      </c>
      <c r="F4483" s="15">
        <f t="shared" si="1"/>
        <v>1.02</v>
      </c>
      <c r="G4483" s="15">
        <f t="shared" si="2"/>
        <v>2.34</v>
      </c>
      <c r="H4483" s="16">
        <v>0.0</v>
      </c>
      <c r="I4483" s="15">
        <f t="shared" si="3"/>
        <v>1.02</v>
      </c>
      <c r="J4483" s="15">
        <v>11.45</v>
      </c>
      <c r="K4483" s="16">
        <f>IF(COUNTIFS(Release_Calendar!$A$2:$A$755,"US_CPI",Release_Calendar!$B$2:$B$755,$A4483)&gt;0,1,0)</f>
        <v>0</v>
      </c>
      <c r="L4483" s="16">
        <f>IF(COUNTIFS(Release_Calendar!$A$2:$A$755,"US_NFP",Release_Calendar!$B$2:$B$755,$A4483)&gt;0,1,0)</f>
        <v>0</v>
      </c>
      <c r="M4483" s="16" t="str">
        <f>IF($A4483&lt;Notes!$B$5,"",IF(COUNTIFS(Release_Calendar!$A$2:$A$755,"NZ_CPI",Release_Calendar!$B$2:$B$755,$A4483)&gt;0,1,0))</f>
        <v/>
      </c>
      <c r="N4483" s="16" t="str">
        <f>IF($A4483&lt;Notes!$B$5,"",IF(COUNTIFS(Release_Calendar!$A$2:$A$755,"NZ_GDP",Release_Calendar!$B$2:$B$755,$A4483)&gt;0,1,0))</f>
        <v/>
      </c>
      <c r="O4483" s="16" t="str">
        <f>IF($A4483&lt;Notes!$B$5,"",IF(COUNTIFS(Release_Calendar!$A$2:$A$755,"NZ_LABOUR",Release_Calendar!$B$2:$B$755,$A4483)&gt;0,1,0))</f>
        <v/>
      </c>
      <c r="P4483" s="16">
        <f t="shared" si="4"/>
        <v>0</v>
      </c>
    </row>
    <row r="4484" ht="15.75" customHeight="1">
      <c r="A4484" s="14">
        <v>42802.0</v>
      </c>
      <c r="B4484" s="15">
        <v>1.36</v>
      </c>
      <c r="C4484" s="15">
        <v>2.33</v>
      </c>
      <c r="D4484" s="15">
        <v>2.19</v>
      </c>
      <c r="E4484" s="15">
        <v>2.18</v>
      </c>
      <c r="F4484" s="15">
        <f t="shared" si="1"/>
        <v>0.97</v>
      </c>
      <c r="G4484" s="15">
        <f t="shared" si="2"/>
        <v>2.33</v>
      </c>
      <c r="H4484" s="16">
        <v>0.0</v>
      </c>
      <c r="I4484" s="15">
        <f t="shared" si="3"/>
        <v>0.97</v>
      </c>
      <c r="J4484" s="15">
        <v>11.86</v>
      </c>
      <c r="K4484" s="16">
        <f>IF(COUNTIFS(Release_Calendar!$A$2:$A$755,"US_CPI",Release_Calendar!$B$2:$B$755,$A4484)&gt;0,1,0)</f>
        <v>0</v>
      </c>
      <c r="L4484" s="16">
        <f>IF(COUNTIFS(Release_Calendar!$A$2:$A$755,"US_NFP",Release_Calendar!$B$2:$B$755,$A4484)&gt;0,1,0)</f>
        <v>0</v>
      </c>
      <c r="M4484" s="16" t="str">
        <f>IF($A4484&lt;Notes!$B$5,"",IF(COUNTIFS(Release_Calendar!$A$2:$A$755,"NZ_CPI",Release_Calendar!$B$2:$B$755,$A4484)&gt;0,1,0))</f>
        <v/>
      </c>
      <c r="N4484" s="16" t="str">
        <f>IF($A4484&lt;Notes!$B$5,"",IF(COUNTIFS(Release_Calendar!$A$2:$A$755,"NZ_GDP",Release_Calendar!$B$2:$B$755,$A4484)&gt;0,1,0))</f>
        <v/>
      </c>
      <c r="O4484" s="16" t="str">
        <f>IF($A4484&lt;Notes!$B$5,"",IF(COUNTIFS(Release_Calendar!$A$2:$A$755,"NZ_LABOUR",Release_Calendar!$B$2:$B$755,$A4484)&gt;0,1,0))</f>
        <v/>
      </c>
      <c r="P4484" s="16">
        <f t="shared" si="4"/>
        <v>0</v>
      </c>
    </row>
    <row r="4485" ht="15.75" customHeight="1">
      <c r="A4485" s="14">
        <v>42803.0</v>
      </c>
      <c r="B4485" s="15">
        <v>1.37</v>
      </c>
      <c r="C4485" s="15">
        <v>2.35</v>
      </c>
      <c r="D4485" s="15">
        <v>2.21</v>
      </c>
      <c r="E4485" s="15">
        <v>2.2</v>
      </c>
      <c r="F4485" s="15">
        <f t="shared" si="1"/>
        <v>0.98</v>
      </c>
      <c r="G4485" s="15">
        <f t="shared" si="2"/>
        <v>2.35</v>
      </c>
      <c r="H4485" s="16">
        <v>0.0</v>
      </c>
      <c r="I4485" s="15">
        <f t="shared" si="3"/>
        <v>0.98</v>
      </c>
      <c r="J4485" s="15">
        <v>12.3</v>
      </c>
      <c r="K4485" s="16">
        <f>IF(COUNTIFS(Release_Calendar!$A$2:$A$755,"US_CPI",Release_Calendar!$B$2:$B$755,$A4485)&gt;0,1,0)</f>
        <v>0</v>
      </c>
      <c r="L4485" s="16">
        <f>IF(COUNTIFS(Release_Calendar!$A$2:$A$755,"US_NFP",Release_Calendar!$B$2:$B$755,$A4485)&gt;0,1,0)</f>
        <v>0</v>
      </c>
      <c r="M4485" s="16" t="str">
        <f>IF($A4485&lt;Notes!$B$5,"",IF(COUNTIFS(Release_Calendar!$A$2:$A$755,"NZ_CPI",Release_Calendar!$B$2:$B$755,$A4485)&gt;0,1,0))</f>
        <v/>
      </c>
      <c r="N4485" s="16" t="str">
        <f>IF($A4485&lt;Notes!$B$5,"",IF(COUNTIFS(Release_Calendar!$A$2:$A$755,"NZ_GDP",Release_Calendar!$B$2:$B$755,$A4485)&gt;0,1,0))</f>
        <v/>
      </c>
      <c r="O4485" s="16" t="str">
        <f>IF($A4485&lt;Notes!$B$5,"",IF(COUNTIFS(Release_Calendar!$A$2:$A$755,"NZ_LABOUR",Release_Calendar!$B$2:$B$755,$A4485)&gt;0,1,0))</f>
        <v/>
      </c>
      <c r="P4485" s="16">
        <f t="shared" si="4"/>
        <v>0</v>
      </c>
    </row>
    <row r="4486" ht="15.75" customHeight="1">
      <c r="A4486" s="14">
        <v>42804.0</v>
      </c>
      <c r="B4486" s="15">
        <v>1.36</v>
      </c>
      <c r="C4486" s="15">
        <v>2.36</v>
      </c>
      <c r="D4486" s="15">
        <v>2.21</v>
      </c>
      <c r="E4486" s="15">
        <v>2.21</v>
      </c>
      <c r="F4486" s="15">
        <f t="shared" si="1"/>
        <v>1</v>
      </c>
      <c r="G4486" s="15">
        <f t="shared" si="2"/>
        <v>2.36</v>
      </c>
      <c r="H4486" s="16">
        <v>0.0</v>
      </c>
      <c r="I4486" s="15">
        <f t="shared" si="3"/>
        <v>1</v>
      </c>
      <c r="J4486" s="15">
        <v>11.66</v>
      </c>
      <c r="K4486" s="16">
        <f>IF(COUNTIFS(Release_Calendar!$A$2:$A$755,"US_CPI",Release_Calendar!$B$2:$B$755,$A4486)&gt;0,1,0)</f>
        <v>0</v>
      </c>
      <c r="L4486" s="16">
        <f>IF(COUNTIFS(Release_Calendar!$A$2:$A$755,"US_NFP",Release_Calendar!$B$2:$B$755,$A4486)&gt;0,1,0)</f>
        <v>1</v>
      </c>
      <c r="M4486" s="16" t="str">
        <f>IF($A4486&lt;Notes!$B$5,"",IF(COUNTIFS(Release_Calendar!$A$2:$A$755,"NZ_CPI",Release_Calendar!$B$2:$B$755,$A4486)&gt;0,1,0))</f>
        <v/>
      </c>
      <c r="N4486" s="16" t="str">
        <f>IF($A4486&lt;Notes!$B$5,"",IF(COUNTIFS(Release_Calendar!$A$2:$A$755,"NZ_GDP",Release_Calendar!$B$2:$B$755,$A4486)&gt;0,1,0))</f>
        <v/>
      </c>
      <c r="O4486" s="16" t="str">
        <f>IF($A4486&lt;Notes!$B$5,"",IF(COUNTIFS(Release_Calendar!$A$2:$A$755,"NZ_LABOUR",Release_Calendar!$B$2:$B$755,$A4486)&gt;0,1,0))</f>
        <v/>
      </c>
      <c r="P4486" s="16">
        <f t="shared" si="4"/>
        <v>1</v>
      </c>
    </row>
    <row r="4487" ht="15.75" customHeight="1">
      <c r="A4487" s="14">
        <v>42807.0</v>
      </c>
      <c r="B4487" s="15">
        <v>1.4</v>
      </c>
      <c r="C4487" s="15">
        <v>2.33</v>
      </c>
      <c r="D4487" s="15">
        <v>2.19</v>
      </c>
      <c r="E4487" s="15">
        <v>2.18</v>
      </c>
      <c r="F4487" s="15">
        <f t="shared" si="1"/>
        <v>0.93</v>
      </c>
      <c r="G4487" s="15">
        <f t="shared" si="2"/>
        <v>2.33</v>
      </c>
      <c r="H4487" s="16">
        <v>0.0</v>
      </c>
      <c r="I4487" s="15">
        <f t="shared" si="3"/>
        <v>0.93</v>
      </c>
      <c r="J4487" s="15">
        <v>11.35</v>
      </c>
      <c r="K4487" s="16">
        <f>IF(COUNTIFS(Release_Calendar!$A$2:$A$755,"US_CPI",Release_Calendar!$B$2:$B$755,$A4487)&gt;0,1,0)</f>
        <v>0</v>
      </c>
      <c r="L4487" s="16">
        <f>IF(COUNTIFS(Release_Calendar!$A$2:$A$755,"US_NFP",Release_Calendar!$B$2:$B$755,$A4487)&gt;0,1,0)</f>
        <v>0</v>
      </c>
      <c r="M4487" s="16" t="str">
        <f>IF($A4487&lt;Notes!$B$5,"",IF(COUNTIFS(Release_Calendar!$A$2:$A$755,"NZ_CPI",Release_Calendar!$B$2:$B$755,$A4487)&gt;0,1,0))</f>
        <v/>
      </c>
      <c r="N4487" s="16" t="str">
        <f>IF($A4487&lt;Notes!$B$5,"",IF(COUNTIFS(Release_Calendar!$A$2:$A$755,"NZ_GDP",Release_Calendar!$B$2:$B$755,$A4487)&gt;0,1,0))</f>
        <v/>
      </c>
      <c r="O4487" s="16" t="str">
        <f>IF($A4487&lt;Notes!$B$5,"",IF(COUNTIFS(Release_Calendar!$A$2:$A$755,"NZ_LABOUR",Release_Calendar!$B$2:$B$755,$A4487)&gt;0,1,0))</f>
        <v/>
      </c>
      <c r="P4487" s="16">
        <f t="shared" si="4"/>
        <v>0</v>
      </c>
    </row>
    <row r="4488" ht="15.75" customHeight="1">
      <c r="A4488" s="14">
        <v>42808.0</v>
      </c>
      <c r="B4488" s="15">
        <v>1.4</v>
      </c>
      <c r="C4488" s="15">
        <v>2.33</v>
      </c>
      <c r="D4488" s="15">
        <v>2.19</v>
      </c>
      <c r="E4488" s="15">
        <v>2.16</v>
      </c>
      <c r="F4488" s="15">
        <f t="shared" si="1"/>
        <v>0.93</v>
      </c>
      <c r="G4488" s="15">
        <f t="shared" si="2"/>
        <v>2.33</v>
      </c>
      <c r="H4488" s="16">
        <v>0.0</v>
      </c>
      <c r="I4488" s="15">
        <f t="shared" si="3"/>
        <v>0.93</v>
      </c>
      <c r="J4488" s="15">
        <v>12.3</v>
      </c>
      <c r="K4488" s="16">
        <f>IF(COUNTIFS(Release_Calendar!$A$2:$A$755,"US_CPI",Release_Calendar!$B$2:$B$755,$A4488)&gt;0,1,0)</f>
        <v>0</v>
      </c>
      <c r="L4488" s="16">
        <f>IF(COUNTIFS(Release_Calendar!$A$2:$A$755,"US_NFP",Release_Calendar!$B$2:$B$755,$A4488)&gt;0,1,0)</f>
        <v>0</v>
      </c>
      <c r="M4488" s="16" t="str">
        <f>IF($A4488&lt;Notes!$B$5,"",IF(COUNTIFS(Release_Calendar!$A$2:$A$755,"NZ_CPI",Release_Calendar!$B$2:$B$755,$A4488)&gt;0,1,0))</f>
        <v/>
      </c>
      <c r="N4488" s="16" t="str">
        <f>IF($A4488&lt;Notes!$B$5,"",IF(COUNTIFS(Release_Calendar!$A$2:$A$755,"NZ_GDP",Release_Calendar!$B$2:$B$755,$A4488)&gt;0,1,0))</f>
        <v/>
      </c>
      <c r="O4488" s="16" t="str">
        <f>IF($A4488&lt;Notes!$B$5,"",IF(COUNTIFS(Release_Calendar!$A$2:$A$755,"NZ_LABOUR",Release_Calendar!$B$2:$B$755,$A4488)&gt;0,1,0))</f>
        <v/>
      </c>
      <c r="P4488" s="16">
        <f t="shared" si="4"/>
        <v>0</v>
      </c>
    </row>
    <row r="4489" ht="15.75" customHeight="1">
      <c r="A4489" s="14">
        <v>42809.0</v>
      </c>
      <c r="B4489" s="15">
        <v>1.33</v>
      </c>
      <c r="C4489" s="15">
        <v>2.33</v>
      </c>
      <c r="D4489" s="15">
        <v>2.16</v>
      </c>
      <c r="E4489" s="15">
        <v>2.16</v>
      </c>
      <c r="F4489" s="15">
        <f t="shared" si="1"/>
        <v>1</v>
      </c>
      <c r="G4489" s="15">
        <f t="shared" si="2"/>
        <v>2.33</v>
      </c>
      <c r="H4489" s="16">
        <v>0.0</v>
      </c>
      <c r="I4489" s="15">
        <f t="shared" si="3"/>
        <v>1</v>
      </c>
      <c r="J4489" s="15">
        <v>11.63</v>
      </c>
      <c r="K4489" s="16">
        <f>IF(COUNTIFS(Release_Calendar!$A$2:$A$755,"US_CPI",Release_Calendar!$B$2:$B$755,$A4489)&gt;0,1,0)</f>
        <v>1</v>
      </c>
      <c r="L4489" s="16">
        <f>IF(COUNTIFS(Release_Calendar!$A$2:$A$755,"US_NFP",Release_Calendar!$B$2:$B$755,$A4489)&gt;0,1,0)</f>
        <v>0</v>
      </c>
      <c r="M4489" s="16" t="str">
        <f>IF($A4489&lt;Notes!$B$5,"",IF(COUNTIFS(Release_Calendar!$A$2:$A$755,"NZ_CPI",Release_Calendar!$B$2:$B$755,$A4489)&gt;0,1,0))</f>
        <v/>
      </c>
      <c r="N4489" s="16" t="str">
        <f>IF($A4489&lt;Notes!$B$5,"",IF(COUNTIFS(Release_Calendar!$A$2:$A$755,"NZ_GDP",Release_Calendar!$B$2:$B$755,$A4489)&gt;0,1,0))</f>
        <v/>
      </c>
      <c r="O4489" s="16" t="str">
        <f>IF($A4489&lt;Notes!$B$5,"",IF(COUNTIFS(Release_Calendar!$A$2:$A$755,"NZ_LABOUR",Release_Calendar!$B$2:$B$755,$A4489)&gt;0,1,0))</f>
        <v/>
      </c>
      <c r="P4489" s="16">
        <f t="shared" si="4"/>
        <v>1</v>
      </c>
    </row>
    <row r="4490" ht="15.75" customHeight="1">
      <c r="A4490" s="14">
        <v>42810.0</v>
      </c>
      <c r="B4490" s="15">
        <v>1.35</v>
      </c>
      <c r="C4490" s="15">
        <v>2.29</v>
      </c>
      <c r="D4490" s="15">
        <v>2.13</v>
      </c>
      <c r="E4490" s="15">
        <v>2.1</v>
      </c>
      <c r="F4490" s="15">
        <f t="shared" si="1"/>
        <v>0.94</v>
      </c>
      <c r="G4490" s="15">
        <f t="shared" si="2"/>
        <v>2.29</v>
      </c>
      <c r="H4490" s="16">
        <v>0.0</v>
      </c>
      <c r="I4490" s="15">
        <f t="shared" si="3"/>
        <v>0.94</v>
      </c>
      <c r="J4490" s="15">
        <v>11.21</v>
      </c>
      <c r="K4490" s="16">
        <f>IF(COUNTIFS(Release_Calendar!$A$2:$A$755,"US_CPI",Release_Calendar!$B$2:$B$755,$A4490)&gt;0,1,0)</f>
        <v>0</v>
      </c>
      <c r="L4490" s="16">
        <f>IF(COUNTIFS(Release_Calendar!$A$2:$A$755,"US_NFP",Release_Calendar!$B$2:$B$755,$A4490)&gt;0,1,0)</f>
        <v>0</v>
      </c>
      <c r="M4490" s="16" t="str">
        <f>IF($A4490&lt;Notes!$B$5,"",IF(COUNTIFS(Release_Calendar!$A$2:$A$755,"NZ_CPI",Release_Calendar!$B$2:$B$755,$A4490)&gt;0,1,0))</f>
        <v/>
      </c>
      <c r="N4490" s="16" t="str">
        <f>IF($A4490&lt;Notes!$B$5,"",IF(COUNTIFS(Release_Calendar!$A$2:$A$755,"NZ_GDP",Release_Calendar!$B$2:$B$755,$A4490)&gt;0,1,0))</f>
        <v/>
      </c>
      <c r="O4490" s="16" t="str">
        <f>IF($A4490&lt;Notes!$B$5,"",IF(COUNTIFS(Release_Calendar!$A$2:$A$755,"NZ_LABOUR",Release_Calendar!$B$2:$B$755,$A4490)&gt;0,1,0))</f>
        <v/>
      </c>
      <c r="P4490" s="16">
        <f t="shared" si="4"/>
        <v>0</v>
      </c>
    </row>
    <row r="4491" ht="15.75" customHeight="1">
      <c r="A4491" s="14">
        <v>42811.0</v>
      </c>
      <c r="B4491" s="15">
        <v>1.33</v>
      </c>
      <c r="C4491" s="15">
        <v>2.3</v>
      </c>
      <c r="D4491" s="15">
        <v>2.12</v>
      </c>
      <c r="E4491" s="15">
        <v>2.12</v>
      </c>
      <c r="F4491" s="15">
        <f t="shared" si="1"/>
        <v>0.97</v>
      </c>
      <c r="G4491" s="15">
        <f t="shared" si="2"/>
        <v>2.3</v>
      </c>
      <c r="H4491" s="16">
        <v>0.0</v>
      </c>
      <c r="I4491" s="15">
        <f t="shared" si="3"/>
        <v>0.97</v>
      </c>
      <c r="J4491" s="15">
        <v>11.28</v>
      </c>
      <c r="K4491" s="16">
        <f>IF(COUNTIFS(Release_Calendar!$A$2:$A$755,"US_CPI",Release_Calendar!$B$2:$B$755,$A4491)&gt;0,1,0)</f>
        <v>0</v>
      </c>
      <c r="L4491" s="16">
        <f>IF(COUNTIFS(Release_Calendar!$A$2:$A$755,"US_NFP",Release_Calendar!$B$2:$B$755,$A4491)&gt;0,1,0)</f>
        <v>0</v>
      </c>
      <c r="M4491" s="16" t="str">
        <f>IF($A4491&lt;Notes!$B$5,"",IF(COUNTIFS(Release_Calendar!$A$2:$A$755,"NZ_CPI",Release_Calendar!$B$2:$B$755,$A4491)&gt;0,1,0))</f>
        <v/>
      </c>
      <c r="N4491" s="16" t="str">
        <f>IF($A4491&lt;Notes!$B$5,"",IF(COUNTIFS(Release_Calendar!$A$2:$A$755,"NZ_GDP",Release_Calendar!$B$2:$B$755,$A4491)&gt;0,1,0))</f>
        <v/>
      </c>
      <c r="O4491" s="16" t="str">
        <f>IF($A4491&lt;Notes!$B$5,"",IF(COUNTIFS(Release_Calendar!$A$2:$A$755,"NZ_LABOUR",Release_Calendar!$B$2:$B$755,$A4491)&gt;0,1,0))</f>
        <v/>
      </c>
      <c r="P4491" s="16">
        <f t="shared" si="4"/>
        <v>0</v>
      </c>
    </row>
    <row r="4492" ht="15.75" customHeight="1">
      <c r="A4492" s="14">
        <v>42814.0</v>
      </c>
      <c r="B4492" s="15">
        <v>1.3</v>
      </c>
      <c r="C4492" s="15">
        <v>2.28</v>
      </c>
      <c r="D4492" s="15">
        <v>2.09</v>
      </c>
      <c r="E4492" s="15">
        <v>2.09</v>
      </c>
      <c r="F4492" s="15">
        <f t="shared" si="1"/>
        <v>0.98</v>
      </c>
      <c r="G4492" s="15">
        <f t="shared" si="2"/>
        <v>2.28</v>
      </c>
      <c r="H4492" s="16">
        <v>0.0</v>
      </c>
      <c r="I4492" s="15">
        <f t="shared" si="3"/>
        <v>0.98</v>
      </c>
      <c r="J4492" s="15">
        <v>11.34</v>
      </c>
      <c r="K4492" s="16">
        <f>IF(COUNTIFS(Release_Calendar!$A$2:$A$755,"US_CPI",Release_Calendar!$B$2:$B$755,$A4492)&gt;0,1,0)</f>
        <v>0</v>
      </c>
      <c r="L4492" s="16">
        <f>IF(COUNTIFS(Release_Calendar!$A$2:$A$755,"US_NFP",Release_Calendar!$B$2:$B$755,$A4492)&gt;0,1,0)</f>
        <v>0</v>
      </c>
      <c r="M4492" s="16" t="str">
        <f>IF($A4492&lt;Notes!$B$5,"",IF(COUNTIFS(Release_Calendar!$A$2:$A$755,"NZ_CPI",Release_Calendar!$B$2:$B$755,$A4492)&gt;0,1,0))</f>
        <v/>
      </c>
      <c r="N4492" s="16" t="str">
        <f>IF($A4492&lt;Notes!$B$5,"",IF(COUNTIFS(Release_Calendar!$A$2:$A$755,"NZ_GDP",Release_Calendar!$B$2:$B$755,$A4492)&gt;0,1,0))</f>
        <v/>
      </c>
      <c r="O4492" s="16" t="str">
        <f>IF($A4492&lt;Notes!$B$5,"",IF(COUNTIFS(Release_Calendar!$A$2:$A$755,"NZ_LABOUR",Release_Calendar!$B$2:$B$755,$A4492)&gt;0,1,0))</f>
        <v/>
      </c>
      <c r="P4492" s="16">
        <f t="shared" si="4"/>
        <v>0</v>
      </c>
    </row>
    <row r="4493" ht="15.75" customHeight="1">
      <c r="A4493" s="14">
        <v>42815.0</v>
      </c>
      <c r="B4493" s="15">
        <v>1.27</v>
      </c>
      <c r="C4493" s="15">
        <v>2.28</v>
      </c>
      <c r="D4493" s="15">
        <v>2.07</v>
      </c>
      <c r="E4493" s="15">
        <v>2.09</v>
      </c>
      <c r="F4493" s="15">
        <f t="shared" si="1"/>
        <v>1.01</v>
      </c>
      <c r="G4493" s="15">
        <f t="shared" si="2"/>
        <v>2.28</v>
      </c>
      <c r="H4493" s="16">
        <v>0.0</v>
      </c>
      <c r="I4493" s="15">
        <f t="shared" si="3"/>
        <v>1.01</v>
      </c>
      <c r="J4493" s="15">
        <v>12.47</v>
      </c>
      <c r="K4493" s="16">
        <f>IF(COUNTIFS(Release_Calendar!$A$2:$A$755,"US_CPI",Release_Calendar!$B$2:$B$755,$A4493)&gt;0,1,0)</f>
        <v>0</v>
      </c>
      <c r="L4493" s="16">
        <f>IF(COUNTIFS(Release_Calendar!$A$2:$A$755,"US_NFP",Release_Calendar!$B$2:$B$755,$A4493)&gt;0,1,0)</f>
        <v>0</v>
      </c>
      <c r="M4493" s="16" t="str">
        <f>IF($A4493&lt;Notes!$B$5,"",IF(COUNTIFS(Release_Calendar!$A$2:$A$755,"NZ_CPI",Release_Calendar!$B$2:$B$755,$A4493)&gt;0,1,0))</f>
        <v/>
      </c>
      <c r="N4493" s="16" t="str">
        <f>IF($A4493&lt;Notes!$B$5,"",IF(COUNTIFS(Release_Calendar!$A$2:$A$755,"NZ_GDP",Release_Calendar!$B$2:$B$755,$A4493)&gt;0,1,0))</f>
        <v/>
      </c>
      <c r="O4493" s="16" t="str">
        <f>IF($A4493&lt;Notes!$B$5,"",IF(COUNTIFS(Release_Calendar!$A$2:$A$755,"NZ_LABOUR",Release_Calendar!$B$2:$B$755,$A4493)&gt;0,1,0))</f>
        <v/>
      </c>
      <c r="P4493" s="16">
        <f t="shared" si="4"/>
        <v>0</v>
      </c>
    </row>
    <row r="4494" ht="15.75" customHeight="1">
      <c r="A4494" s="14">
        <v>42816.0</v>
      </c>
      <c r="B4494" s="15">
        <v>1.27</v>
      </c>
      <c r="C4494" s="15">
        <v>2.29</v>
      </c>
      <c r="D4494" s="15">
        <v>2.08</v>
      </c>
      <c r="E4494" s="15">
        <v>2.09</v>
      </c>
      <c r="F4494" s="15">
        <f t="shared" si="1"/>
        <v>1.02</v>
      </c>
      <c r="G4494" s="15">
        <f t="shared" si="2"/>
        <v>2.29</v>
      </c>
      <c r="H4494" s="16">
        <v>0.0</v>
      </c>
      <c r="I4494" s="15">
        <f t="shared" si="3"/>
        <v>1.02</v>
      </c>
      <c r="J4494" s="15">
        <v>12.81</v>
      </c>
      <c r="K4494" s="16">
        <f>IF(COUNTIFS(Release_Calendar!$A$2:$A$755,"US_CPI",Release_Calendar!$B$2:$B$755,$A4494)&gt;0,1,0)</f>
        <v>0</v>
      </c>
      <c r="L4494" s="16">
        <f>IF(COUNTIFS(Release_Calendar!$A$2:$A$755,"US_NFP",Release_Calendar!$B$2:$B$755,$A4494)&gt;0,1,0)</f>
        <v>0</v>
      </c>
      <c r="M4494" s="16" t="str">
        <f>IF($A4494&lt;Notes!$B$5,"",IF(COUNTIFS(Release_Calendar!$A$2:$A$755,"NZ_CPI",Release_Calendar!$B$2:$B$755,$A4494)&gt;0,1,0))</f>
        <v/>
      </c>
      <c r="N4494" s="16" t="str">
        <f>IF($A4494&lt;Notes!$B$5,"",IF(COUNTIFS(Release_Calendar!$A$2:$A$755,"NZ_GDP",Release_Calendar!$B$2:$B$755,$A4494)&gt;0,1,0))</f>
        <v/>
      </c>
      <c r="O4494" s="16" t="str">
        <f>IF($A4494&lt;Notes!$B$5,"",IF(COUNTIFS(Release_Calendar!$A$2:$A$755,"NZ_LABOUR",Release_Calendar!$B$2:$B$755,$A4494)&gt;0,1,0))</f>
        <v/>
      </c>
      <c r="P4494" s="16">
        <f t="shared" si="4"/>
        <v>0</v>
      </c>
    </row>
    <row r="4495" ht="15.75" customHeight="1">
      <c r="A4495" s="14">
        <v>42817.0</v>
      </c>
      <c r="B4495" s="15">
        <v>1.26</v>
      </c>
      <c r="C4495" s="15">
        <v>2.31</v>
      </c>
      <c r="D4495" s="15">
        <v>2.11</v>
      </c>
      <c r="E4495" s="15">
        <v>2.13</v>
      </c>
      <c r="F4495" s="15">
        <f t="shared" si="1"/>
        <v>1.05</v>
      </c>
      <c r="G4495" s="15">
        <f t="shared" si="2"/>
        <v>2.31</v>
      </c>
      <c r="H4495" s="16">
        <v>0.0</v>
      </c>
      <c r="I4495" s="15">
        <f t="shared" si="3"/>
        <v>1.05</v>
      </c>
      <c r="J4495" s="15">
        <v>13.12</v>
      </c>
      <c r="K4495" s="16">
        <f>IF(COUNTIFS(Release_Calendar!$A$2:$A$755,"US_CPI",Release_Calendar!$B$2:$B$755,$A4495)&gt;0,1,0)</f>
        <v>0</v>
      </c>
      <c r="L4495" s="16">
        <f>IF(COUNTIFS(Release_Calendar!$A$2:$A$755,"US_NFP",Release_Calendar!$B$2:$B$755,$A4495)&gt;0,1,0)</f>
        <v>0</v>
      </c>
      <c r="M4495" s="16" t="str">
        <f>IF($A4495&lt;Notes!$B$5,"",IF(COUNTIFS(Release_Calendar!$A$2:$A$755,"NZ_CPI",Release_Calendar!$B$2:$B$755,$A4495)&gt;0,1,0))</f>
        <v/>
      </c>
      <c r="N4495" s="16" t="str">
        <f>IF($A4495&lt;Notes!$B$5,"",IF(COUNTIFS(Release_Calendar!$A$2:$A$755,"NZ_GDP",Release_Calendar!$B$2:$B$755,$A4495)&gt;0,1,0))</f>
        <v/>
      </c>
      <c r="O4495" s="16" t="str">
        <f>IF($A4495&lt;Notes!$B$5,"",IF(COUNTIFS(Release_Calendar!$A$2:$A$755,"NZ_LABOUR",Release_Calendar!$B$2:$B$755,$A4495)&gt;0,1,0))</f>
        <v/>
      </c>
      <c r="P4495" s="16">
        <f t="shared" si="4"/>
        <v>0</v>
      </c>
    </row>
    <row r="4496" ht="15.75" customHeight="1">
      <c r="A4496" s="14">
        <v>42818.0</v>
      </c>
      <c r="B4496" s="15">
        <v>1.26</v>
      </c>
      <c r="C4496" s="15">
        <v>2.31</v>
      </c>
      <c r="D4496" s="15">
        <v>2.13</v>
      </c>
      <c r="E4496" s="15">
        <v>2.14</v>
      </c>
      <c r="F4496" s="15">
        <f t="shared" si="1"/>
        <v>1.05</v>
      </c>
      <c r="G4496" s="15">
        <f t="shared" si="2"/>
        <v>2.31</v>
      </c>
      <c r="H4496" s="16">
        <v>0.0</v>
      </c>
      <c r="I4496" s="15">
        <f t="shared" si="3"/>
        <v>1.05</v>
      </c>
      <c r="J4496" s="15">
        <v>12.96</v>
      </c>
      <c r="K4496" s="16">
        <f>IF(COUNTIFS(Release_Calendar!$A$2:$A$755,"US_CPI",Release_Calendar!$B$2:$B$755,$A4496)&gt;0,1,0)</f>
        <v>0</v>
      </c>
      <c r="L4496" s="16">
        <f>IF(COUNTIFS(Release_Calendar!$A$2:$A$755,"US_NFP",Release_Calendar!$B$2:$B$755,$A4496)&gt;0,1,0)</f>
        <v>0</v>
      </c>
      <c r="M4496" s="16" t="str">
        <f>IF($A4496&lt;Notes!$B$5,"",IF(COUNTIFS(Release_Calendar!$A$2:$A$755,"NZ_CPI",Release_Calendar!$B$2:$B$755,$A4496)&gt;0,1,0))</f>
        <v/>
      </c>
      <c r="N4496" s="16" t="str">
        <f>IF($A4496&lt;Notes!$B$5,"",IF(COUNTIFS(Release_Calendar!$A$2:$A$755,"NZ_GDP",Release_Calendar!$B$2:$B$755,$A4496)&gt;0,1,0))</f>
        <v/>
      </c>
      <c r="O4496" s="16" t="str">
        <f>IF($A4496&lt;Notes!$B$5,"",IF(COUNTIFS(Release_Calendar!$A$2:$A$755,"NZ_LABOUR",Release_Calendar!$B$2:$B$755,$A4496)&gt;0,1,0))</f>
        <v/>
      </c>
      <c r="P4496" s="16">
        <f t="shared" si="4"/>
        <v>0</v>
      </c>
    </row>
    <row r="4497" ht="15.75" customHeight="1">
      <c r="A4497" s="14">
        <v>42821.0</v>
      </c>
      <c r="B4497" s="15">
        <v>1.27</v>
      </c>
      <c r="C4497" s="15">
        <v>2.29</v>
      </c>
      <c r="D4497" s="15">
        <v>2.12</v>
      </c>
      <c r="E4497" s="15">
        <v>2.11</v>
      </c>
      <c r="F4497" s="15">
        <f t="shared" si="1"/>
        <v>1.02</v>
      </c>
      <c r="G4497" s="15">
        <f t="shared" si="2"/>
        <v>2.29</v>
      </c>
      <c r="H4497" s="16">
        <v>0.0</v>
      </c>
      <c r="I4497" s="15">
        <f t="shared" si="3"/>
        <v>1.02</v>
      </c>
      <c r="J4497" s="15">
        <v>12.5</v>
      </c>
      <c r="K4497" s="16">
        <f>IF(COUNTIFS(Release_Calendar!$A$2:$A$755,"US_CPI",Release_Calendar!$B$2:$B$755,$A4497)&gt;0,1,0)</f>
        <v>0</v>
      </c>
      <c r="L4497" s="16">
        <f>IF(COUNTIFS(Release_Calendar!$A$2:$A$755,"US_NFP",Release_Calendar!$B$2:$B$755,$A4497)&gt;0,1,0)</f>
        <v>0</v>
      </c>
      <c r="M4497" s="16" t="str">
        <f>IF($A4497&lt;Notes!$B$5,"",IF(COUNTIFS(Release_Calendar!$A$2:$A$755,"NZ_CPI",Release_Calendar!$B$2:$B$755,$A4497)&gt;0,1,0))</f>
        <v/>
      </c>
      <c r="N4497" s="16" t="str">
        <f>IF($A4497&lt;Notes!$B$5,"",IF(COUNTIFS(Release_Calendar!$A$2:$A$755,"NZ_GDP",Release_Calendar!$B$2:$B$755,$A4497)&gt;0,1,0))</f>
        <v/>
      </c>
      <c r="O4497" s="16" t="str">
        <f>IF($A4497&lt;Notes!$B$5,"",IF(COUNTIFS(Release_Calendar!$A$2:$A$755,"NZ_LABOUR",Release_Calendar!$B$2:$B$755,$A4497)&gt;0,1,0))</f>
        <v/>
      </c>
      <c r="P4497" s="16">
        <f t="shared" si="4"/>
        <v>0</v>
      </c>
    </row>
    <row r="4498" ht="15.75" customHeight="1">
      <c r="A4498" s="14">
        <v>42822.0</v>
      </c>
      <c r="B4498" s="15">
        <v>1.3</v>
      </c>
      <c r="C4498" s="15">
        <v>2.31</v>
      </c>
      <c r="D4498" s="15">
        <v>2.12</v>
      </c>
      <c r="E4498" s="15">
        <v>2.13</v>
      </c>
      <c r="F4498" s="15">
        <f t="shared" si="1"/>
        <v>1.01</v>
      </c>
      <c r="G4498" s="15">
        <f t="shared" si="2"/>
        <v>2.31</v>
      </c>
      <c r="H4498" s="16">
        <v>0.0</v>
      </c>
      <c r="I4498" s="15">
        <f t="shared" si="3"/>
        <v>1.01</v>
      </c>
      <c r="J4498" s="15">
        <v>11.53</v>
      </c>
      <c r="K4498" s="16">
        <f>IF(COUNTIFS(Release_Calendar!$A$2:$A$755,"US_CPI",Release_Calendar!$B$2:$B$755,$A4498)&gt;0,1,0)</f>
        <v>0</v>
      </c>
      <c r="L4498" s="16">
        <f>IF(COUNTIFS(Release_Calendar!$A$2:$A$755,"US_NFP",Release_Calendar!$B$2:$B$755,$A4498)&gt;0,1,0)</f>
        <v>0</v>
      </c>
      <c r="M4498" s="16" t="str">
        <f>IF($A4498&lt;Notes!$B$5,"",IF(COUNTIFS(Release_Calendar!$A$2:$A$755,"NZ_CPI",Release_Calendar!$B$2:$B$755,$A4498)&gt;0,1,0))</f>
        <v/>
      </c>
      <c r="N4498" s="16" t="str">
        <f>IF($A4498&lt;Notes!$B$5,"",IF(COUNTIFS(Release_Calendar!$A$2:$A$755,"NZ_GDP",Release_Calendar!$B$2:$B$755,$A4498)&gt;0,1,0))</f>
        <v/>
      </c>
      <c r="O4498" s="16" t="str">
        <f>IF($A4498&lt;Notes!$B$5,"",IF(COUNTIFS(Release_Calendar!$A$2:$A$755,"NZ_LABOUR",Release_Calendar!$B$2:$B$755,$A4498)&gt;0,1,0))</f>
        <v/>
      </c>
      <c r="P4498" s="16">
        <f t="shared" si="4"/>
        <v>0</v>
      </c>
    </row>
    <row r="4499" ht="15.75" customHeight="1">
      <c r="A4499" s="14">
        <v>42823.0</v>
      </c>
      <c r="B4499" s="15">
        <v>1.26</v>
      </c>
      <c r="C4499" s="15">
        <v>2.33</v>
      </c>
      <c r="D4499" s="15">
        <v>2.15</v>
      </c>
      <c r="E4499" s="15">
        <v>2.15</v>
      </c>
      <c r="F4499" s="15">
        <f t="shared" si="1"/>
        <v>1.07</v>
      </c>
      <c r="G4499" s="15">
        <f t="shared" si="2"/>
        <v>2.33</v>
      </c>
      <c r="H4499" s="16">
        <v>0.0</v>
      </c>
      <c r="I4499" s="15">
        <f t="shared" si="3"/>
        <v>1.07</v>
      </c>
      <c r="J4499" s="15">
        <v>11.42</v>
      </c>
      <c r="K4499" s="16">
        <f>IF(COUNTIFS(Release_Calendar!$A$2:$A$755,"US_CPI",Release_Calendar!$B$2:$B$755,$A4499)&gt;0,1,0)</f>
        <v>0</v>
      </c>
      <c r="L4499" s="16">
        <f>IF(COUNTIFS(Release_Calendar!$A$2:$A$755,"US_NFP",Release_Calendar!$B$2:$B$755,$A4499)&gt;0,1,0)</f>
        <v>0</v>
      </c>
      <c r="M4499" s="16" t="str">
        <f>IF($A4499&lt;Notes!$B$5,"",IF(COUNTIFS(Release_Calendar!$A$2:$A$755,"NZ_CPI",Release_Calendar!$B$2:$B$755,$A4499)&gt;0,1,0))</f>
        <v/>
      </c>
      <c r="N4499" s="16" t="str">
        <f>IF($A4499&lt;Notes!$B$5,"",IF(COUNTIFS(Release_Calendar!$A$2:$A$755,"NZ_GDP",Release_Calendar!$B$2:$B$755,$A4499)&gt;0,1,0))</f>
        <v/>
      </c>
      <c r="O4499" s="16" t="str">
        <f>IF($A4499&lt;Notes!$B$5,"",IF(COUNTIFS(Release_Calendar!$A$2:$A$755,"NZ_LABOUR",Release_Calendar!$B$2:$B$755,$A4499)&gt;0,1,0))</f>
        <v/>
      </c>
      <c r="P4499" s="16">
        <f t="shared" si="4"/>
        <v>0</v>
      </c>
    </row>
    <row r="4500" ht="15.75" customHeight="1">
      <c r="A4500" s="14">
        <v>42824.0</v>
      </c>
      <c r="B4500" s="15">
        <v>1.28</v>
      </c>
      <c r="C4500" s="15">
        <v>2.32</v>
      </c>
      <c r="D4500" s="15">
        <v>2.13</v>
      </c>
      <c r="E4500" s="15">
        <v>2.14</v>
      </c>
      <c r="F4500" s="15">
        <f t="shared" si="1"/>
        <v>1.04</v>
      </c>
      <c r="G4500" s="15">
        <f t="shared" si="2"/>
        <v>2.32</v>
      </c>
      <c r="H4500" s="16">
        <v>0.0</v>
      </c>
      <c r="I4500" s="15">
        <f t="shared" si="3"/>
        <v>1.04</v>
      </c>
      <c r="J4500" s="15">
        <v>11.54</v>
      </c>
      <c r="K4500" s="16">
        <f>IF(COUNTIFS(Release_Calendar!$A$2:$A$755,"US_CPI",Release_Calendar!$B$2:$B$755,$A4500)&gt;0,1,0)</f>
        <v>0</v>
      </c>
      <c r="L4500" s="16">
        <f>IF(COUNTIFS(Release_Calendar!$A$2:$A$755,"US_NFP",Release_Calendar!$B$2:$B$755,$A4500)&gt;0,1,0)</f>
        <v>0</v>
      </c>
      <c r="M4500" s="16" t="str">
        <f>IF($A4500&lt;Notes!$B$5,"",IF(COUNTIFS(Release_Calendar!$A$2:$A$755,"NZ_CPI",Release_Calendar!$B$2:$B$755,$A4500)&gt;0,1,0))</f>
        <v/>
      </c>
      <c r="N4500" s="16" t="str">
        <f>IF($A4500&lt;Notes!$B$5,"",IF(COUNTIFS(Release_Calendar!$A$2:$A$755,"NZ_GDP",Release_Calendar!$B$2:$B$755,$A4500)&gt;0,1,0))</f>
        <v/>
      </c>
      <c r="O4500" s="16" t="str">
        <f>IF($A4500&lt;Notes!$B$5,"",IF(COUNTIFS(Release_Calendar!$A$2:$A$755,"NZ_LABOUR",Release_Calendar!$B$2:$B$755,$A4500)&gt;0,1,0))</f>
        <v/>
      </c>
      <c r="P4500" s="16">
        <f t="shared" si="4"/>
        <v>0</v>
      </c>
    </row>
    <row r="4501" ht="15.75" customHeight="1">
      <c r="A4501" s="14">
        <v>42825.0</v>
      </c>
      <c r="B4501" s="15">
        <v>1.27</v>
      </c>
      <c r="C4501" s="15">
        <v>2.32</v>
      </c>
      <c r="D4501" s="15">
        <v>2.16</v>
      </c>
      <c r="E4501" s="15">
        <v>2.14</v>
      </c>
      <c r="F4501" s="15">
        <f t="shared" si="1"/>
        <v>1.05</v>
      </c>
      <c r="G4501" s="15">
        <f t="shared" si="2"/>
        <v>2.32</v>
      </c>
      <c r="H4501" s="16">
        <v>0.0</v>
      </c>
      <c r="I4501" s="15">
        <f t="shared" si="3"/>
        <v>1.05</v>
      </c>
      <c r="J4501" s="15">
        <v>12.37</v>
      </c>
      <c r="K4501" s="16">
        <f>IF(COUNTIFS(Release_Calendar!$A$2:$A$755,"US_CPI",Release_Calendar!$B$2:$B$755,$A4501)&gt;0,1,0)</f>
        <v>0</v>
      </c>
      <c r="L4501" s="16">
        <f>IF(COUNTIFS(Release_Calendar!$A$2:$A$755,"US_NFP",Release_Calendar!$B$2:$B$755,$A4501)&gt;0,1,0)</f>
        <v>0</v>
      </c>
      <c r="M4501" s="16" t="str">
        <f>IF($A4501&lt;Notes!$B$5,"",IF(COUNTIFS(Release_Calendar!$A$2:$A$755,"NZ_CPI",Release_Calendar!$B$2:$B$755,$A4501)&gt;0,1,0))</f>
        <v/>
      </c>
      <c r="N4501" s="16" t="str">
        <f>IF($A4501&lt;Notes!$B$5,"",IF(COUNTIFS(Release_Calendar!$A$2:$A$755,"NZ_GDP",Release_Calendar!$B$2:$B$755,$A4501)&gt;0,1,0))</f>
        <v/>
      </c>
      <c r="O4501" s="16" t="str">
        <f>IF($A4501&lt;Notes!$B$5,"",IF(COUNTIFS(Release_Calendar!$A$2:$A$755,"NZ_LABOUR",Release_Calendar!$B$2:$B$755,$A4501)&gt;0,1,0))</f>
        <v/>
      </c>
      <c r="P4501" s="16">
        <f t="shared" si="4"/>
        <v>0</v>
      </c>
    </row>
    <row r="4502" ht="15.75" customHeight="1">
      <c r="A4502" s="14">
        <v>42828.0</v>
      </c>
      <c r="B4502" s="15">
        <v>1.24</v>
      </c>
      <c r="C4502" s="15">
        <v>2.31</v>
      </c>
      <c r="D4502" s="15">
        <v>2.12</v>
      </c>
      <c r="E4502" s="15">
        <v>2.12</v>
      </c>
      <c r="F4502" s="15">
        <f t="shared" si="1"/>
        <v>1.07</v>
      </c>
      <c r="G4502" s="15">
        <f t="shared" si="2"/>
        <v>2.31</v>
      </c>
      <c r="H4502" s="16">
        <v>0.0</v>
      </c>
      <c r="I4502" s="15">
        <f t="shared" si="3"/>
        <v>1.07</v>
      </c>
      <c r="J4502" s="15">
        <v>12.38</v>
      </c>
      <c r="K4502" s="16">
        <f>IF(COUNTIFS(Release_Calendar!$A$2:$A$755,"US_CPI",Release_Calendar!$B$2:$B$755,$A4502)&gt;0,1,0)</f>
        <v>0</v>
      </c>
      <c r="L4502" s="16">
        <f>IF(COUNTIFS(Release_Calendar!$A$2:$A$755,"US_NFP",Release_Calendar!$B$2:$B$755,$A4502)&gt;0,1,0)</f>
        <v>0</v>
      </c>
      <c r="M4502" s="16" t="str">
        <f>IF($A4502&lt;Notes!$B$5,"",IF(COUNTIFS(Release_Calendar!$A$2:$A$755,"NZ_CPI",Release_Calendar!$B$2:$B$755,$A4502)&gt;0,1,0))</f>
        <v/>
      </c>
      <c r="N4502" s="16" t="str">
        <f>IF($A4502&lt;Notes!$B$5,"",IF(COUNTIFS(Release_Calendar!$A$2:$A$755,"NZ_GDP",Release_Calendar!$B$2:$B$755,$A4502)&gt;0,1,0))</f>
        <v/>
      </c>
      <c r="O4502" s="16" t="str">
        <f>IF($A4502&lt;Notes!$B$5,"",IF(COUNTIFS(Release_Calendar!$A$2:$A$755,"NZ_LABOUR",Release_Calendar!$B$2:$B$755,$A4502)&gt;0,1,0))</f>
        <v/>
      </c>
      <c r="P4502" s="16">
        <f t="shared" si="4"/>
        <v>0</v>
      </c>
    </row>
    <row r="4503" ht="15.75" customHeight="1">
      <c r="A4503" s="14">
        <v>42829.0</v>
      </c>
      <c r="B4503" s="15">
        <v>1.25</v>
      </c>
      <c r="C4503" s="15">
        <v>2.27</v>
      </c>
      <c r="D4503" s="15">
        <v>2.08</v>
      </c>
      <c r="E4503" s="15">
        <v>2.11</v>
      </c>
      <c r="F4503" s="15">
        <f t="shared" si="1"/>
        <v>1.02</v>
      </c>
      <c r="G4503" s="15">
        <f t="shared" si="2"/>
        <v>2.27</v>
      </c>
      <c r="H4503" s="16">
        <v>0.0</v>
      </c>
      <c r="I4503" s="15">
        <f t="shared" si="3"/>
        <v>1.02</v>
      </c>
      <c r="J4503" s="15">
        <v>11.79</v>
      </c>
      <c r="K4503" s="16">
        <f>IF(COUNTIFS(Release_Calendar!$A$2:$A$755,"US_CPI",Release_Calendar!$B$2:$B$755,$A4503)&gt;0,1,0)</f>
        <v>0</v>
      </c>
      <c r="L4503" s="16">
        <f>IF(COUNTIFS(Release_Calendar!$A$2:$A$755,"US_NFP",Release_Calendar!$B$2:$B$755,$A4503)&gt;0,1,0)</f>
        <v>0</v>
      </c>
      <c r="M4503" s="16" t="str">
        <f>IF($A4503&lt;Notes!$B$5,"",IF(COUNTIFS(Release_Calendar!$A$2:$A$755,"NZ_CPI",Release_Calendar!$B$2:$B$755,$A4503)&gt;0,1,0))</f>
        <v/>
      </c>
      <c r="N4503" s="16" t="str">
        <f>IF($A4503&lt;Notes!$B$5,"",IF(COUNTIFS(Release_Calendar!$A$2:$A$755,"NZ_GDP",Release_Calendar!$B$2:$B$755,$A4503)&gt;0,1,0))</f>
        <v/>
      </c>
      <c r="O4503" s="16" t="str">
        <f>IF($A4503&lt;Notes!$B$5,"",IF(COUNTIFS(Release_Calendar!$A$2:$A$755,"NZ_LABOUR",Release_Calendar!$B$2:$B$755,$A4503)&gt;0,1,0))</f>
        <v/>
      </c>
      <c r="P4503" s="16">
        <f t="shared" si="4"/>
        <v>0</v>
      </c>
    </row>
    <row r="4504" ht="15.75" customHeight="1">
      <c r="A4504" s="14">
        <v>42830.0</v>
      </c>
      <c r="B4504" s="15">
        <v>1.24</v>
      </c>
      <c r="C4504" s="15">
        <v>2.28</v>
      </c>
      <c r="D4504" s="15">
        <v>2.12</v>
      </c>
      <c r="E4504" s="15">
        <v>2.11</v>
      </c>
      <c r="F4504" s="15">
        <f t="shared" si="1"/>
        <v>1.04</v>
      </c>
      <c r="G4504" s="15">
        <f t="shared" si="2"/>
        <v>2.28</v>
      </c>
      <c r="H4504" s="16">
        <v>0.0</v>
      </c>
      <c r="I4504" s="15">
        <f t="shared" si="3"/>
        <v>1.04</v>
      </c>
      <c r="J4504" s="15">
        <v>12.89</v>
      </c>
      <c r="K4504" s="16">
        <f>IF(COUNTIFS(Release_Calendar!$A$2:$A$755,"US_CPI",Release_Calendar!$B$2:$B$755,$A4504)&gt;0,1,0)</f>
        <v>0</v>
      </c>
      <c r="L4504" s="16">
        <f>IF(COUNTIFS(Release_Calendar!$A$2:$A$755,"US_NFP",Release_Calendar!$B$2:$B$755,$A4504)&gt;0,1,0)</f>
        <v>0</v>
      </c>
      <c r="M4504" s="16" t="str">
        <f>IF($A4504&lt;Notes!$B$5,"",IF(COUNTIFS(Release_Calendar!$A$2:$A$755,"NZ_CPI",Release_Calendar!$B$2:$B$755,$A4504)&gt;0,1,0))</f>
        <v/>
      </c>
      <c r="N4504" s="16" t="str">
        <f>IF($A4504&lt;Notes!$B$5,"",IF(COUNTIFS(Release_Calendar!$A$2:$A$755,"NZ_GDP",Release_Calendar!$B$2:$B$755,$A4504)&gt;0,1,0))</f>
        <v/>
      </c>
      <c r="O4504" s="16" t="str">
        <f>IF($A4504&lt;Notes!$B$5,"",IF(COUNTIFS(Release_Calendar!$A$2:$A$755,"NZ_LABOUR",Release_Calendar!$B$2:$B$755,$A4504)&gt;0,1,0))</f>
        <v/>
      </c>
      <c r="P4504" s="16">
        <f t="shared" si="4"/>
        <v>0</v>
      </c>
    </row>
    <row r="4505" ht="15.75" customHeight="1">
      <c r="A4505" s="14">
        <v>42831.0</v>
      </c>
      <c r="B4505" s="15">
        <v>1.24</v>
      </c>
      <c r="C4505" s="15">
        <v>2.26</v>
      </c>
      <c r="D4505" s="15">
        <v>2.11</v>
      </c>
      <c r="E4505" s="15">
        <v>2.11</v>
      </c>
      <c r="F4505" s="15">
        <f t="shared" si="1"/>
        <v>1.02</v>
      </c>
      <c r="G4505" s="15">
        <f t="shared" si="2"/>
        <v>2.26</v>
      </c>
      <c r="H4505" s="16">
        <v>0.0</v>
      </c>
      <c r="I4505" s="15">
        <f t="shared" si="3"/>
        <v>1.02</v>
      </c>
      <c r="J4505" s="15">
        <v>12.39</v>
      </c>
      <c r="K4505" s="16">
        <f>IF(COUNTIFS(Release_Calendar!$A$2:$A$755,"US_CPI",Release_Calendar!$B$2:$B$755,$A4505)&gt;0,1,0)</f>
        <v>0</v>
      </c>
      <c r="L4505" s="16">
        <f>IF(COUNTIFS(Release_Calendar!$A$2:$A$755,"US_NFP",Release_Calendar!$B$2:$B$755,$A4505)&gt;0,1,0)</f>
        <v>0</v>
      </c>
      <c r="M4505" s="16" t="str">
        <f>IF($A4505&lt;Notes!$B$5,"",IF(COUNTIFS(Release_Calendar!$A$2:$A$755,"NZ_CPI",Release_Calendar!$B$2:$B$755,$A4505)&gt;0,1,0))</f>
        <v/>
      </c>
      <c r="N4505" s="16" t="str">
        <f>IF($A4505&lt;Notes!$B$5,"",IF(COUNTIFS(Release_Calendar!$A$2:$A$755,"NZ_GDP",Release_Calendar!$B$2:$B$755,$A4505)&gt;0,1,0))</f>
        <v/>
      </c>
      <c r="O4505" s="16" t="str">
        <f>IF($A4505&lt;Notes!$B$5,"",IF(COUNTIFS(Release_Calendar!$A$2:$A$755,"NZ_LABOUR",Release_Calendar!$B$2:$B$755,$A4505)&gt;0,1,0))</f>
        <v/>
      </c>
      <c r="P4505" s="16">
        <f t="shared" si="4"/>
        <v>0</v>
      </c>
    </row>
    <row r="4506" ht="15.75" customHeight="1">
      <c r="A4506" s="14">
        <v>42832.0</v>
      </c>
      <c r="B4506" s="15">
        <v>1.29</v>
      </c>
      <c r="C4506" s="15">
        <v>2.25</v>
      </c>
      <c r="D4506" s="15">
        <v>2.11</v>
      </c>
      <c r="E4506" s="15">
        <v>2.07</v>
      </c>
      <c r="F4506" s="15">
        <f t="shared" si="1"/>
        <v>0.96</v>
      </c>
      <c r="G4506" s="15">
        <f t="shared" si="2"/>
        <v>2.25</v>
      </c>
      <c r="H4506" s="16">
        <v>0.0</v>
      </c>
      <c r="I4506" s="15">
        <f t="shared" si="3"/>
        <v>0.96</v>
      </c>
      <c r="J4506" s="15">
        <v>12.87</v>
      </c>
      <c r="K4506" s="16">
        <f>IF(COUNTIFS(Release_Calendar!$A$2:$A$755,"US_CPI",Release_Calendar!$B$2:$B$755,$A4506)&gt;0,1,0)</f>
        <v>0</v>
      </c>
      <c r="L4506" s="16">
        <f>IF(COUNTIFS(Release_Calendar!$A$2:$A$755,"US_NFP",Release_Calendar!$B$2:$B$755,$A4506)&gt;0,1,0)</f>
        <v>1</v>
      </c>
      <c r="M4506" s="16" t="str">
        <f>IF($A4506&lt;Notes!$B$5,"",IF(COUNTIFS(Release_Calendar!$A$2:$A$755,"NZ_CPI",Release_Calendar!$B$2:$B$755,$A4506)&gt;0,1,0))</f>
        <v/>
      </c>
      <c r="N4506" s="16" t="str">
        <f>IF($A4506&lt;Notes!$B$5,"",IF(COUNTIFS(Release_Calendar!$A$2:$A$755,"NZ_GDP",Release_Calendar!$B$2:$B$755,$A4506)&gt;0,1,0))</f>
        <v/>
      </c>
      <c r="O4506" s="16" t="str">
        <f>IF($A4506&lt;Notes!$B$5,"",IF(COUNTIFS(Release_Calendar!$A$2:$A$755,"NZ_LABOUR",Release_Calendar!$B$2:$B$755,$A4506)&gt;0,1,0))</f>
        <v/>
      </c>
      <c r="P4506" s="16">
        <f t="shared" si="4"/>
        <v>1</v>
      </c>
    </row>
    <row r="4507" ht="15.75" customHeight="1">
      <c r="A4507" s="14">
        <v>42835.0</v>
      </c>
      <c r="B4507" s="15">
        <v>1.29</v>
      </c>
      <c r="C4507" s="15">
        <v>2.28</v>
      </c>
      <c r="D4507" s="15">
        <v>2.1</v>
      </c>
      <c r="E4507" s="15">
        <v>2.1</v>
      </c>
      <c r="F4507" s="15">
        <f t="shared" si="1"/>
        <v>0.99</v>
      </c>
      <c r="G4507" s="15">
        <f t="shared" si="2"/>
        <v>2.28</v>
      </c>
      <c r="H4507" s="16">
        <v>0.0</v>
      </c>
      <c r="I4507" s="15">
        <f t="shared" si="3"/>
        <v>0.99</v>
      </c>
      <c r="J4507" s="15">
        <v>14.05</v>
      </c>
      <c r="K4507" s="16">
        <f>IF(COUNTIFS(Release_Calendar!$A$2:$A$755,"US_CPI",Release_Calendar!$B$2:$B$755,$A4507)&gt;0,1,0)</f>
        <v>0</v>
      </c>
      <c r="L4507" s="16">
        <f>IF(COUNTIFS(Release_Calendar!$A$2:$A$755,"US_NFP",Release_Calendar!$B$2:$B$755,$A4507)&gt;0,1,0)</f>
        <v>0</v>
      </c>
      <c r="M4507" s="16" t="str">
        <f>IF($A4507&lt;Notes!$B$5,"",IF(COUNTIFS(Release_Calendar!$A$2:$A$755,"NZ_CPI",Release_Calendar!$B$2:$B$755,$A4507)&gt;0,1,0))</f>
        <v/>
      </c>
      <c r="N4507" s="16" t="str">
        <f>IF($A4507&lt;Notes!$B$5,"",IF(COUNTIFS(Release_Calendar!$A$2:$A$755,"NZ_GDP",Release_Calendar!$B$2:$B$755,$A4507)&gt;0,1,0))</f>
        <v/>
      </c>
      <c r="O4507" s="16" t="str">
        <f>IF($A4507&lt;Notes!$B$5,"",IF(COUNTIFS(Release_Calendar!$A$2:$A$755,"NZ_LABOUR",Release_Calendar!$B$2:$B$755,$A4507)&gt;0,1,0))</f>
        <v/>
      </c>
      <c r="P4507" s="16">
        <f t="shared" si="4"/>
        <v>0</v>
      </c>
    </row>
    <row r="4508" ht="15.75" customHeight="1">
      <c r="A4508" s="14">
        <v>42836.0</v>
      </c>
      <c r="B4508" s="15">
        <v>1.24</v>
      </c>
      <c r="C4508" s="15">
        <v>2.26</v>
      </c>
      <c r="D4508" s="15">
        <v>2.08</v>
      </c>
      <c r="E4508" s="15">
        <v>2.08</v>
      </c>
      <c r="F4508" s="15">
        <f t="shared" si="1"/>
        <v>1.02</v>
      </c>
      <c r="G4508" s="15">
        <f t="shared" si="2"/>
        <v>2.26</v>
      </c>
      <c r="H4508" s="16">
        <v>0.0</v>
      </c>
      <c r="I4508" s="15">
        <f t="shared" si="3"/>
        <v>1.02</v>
      </c>
      <c r="J4508" s="15">
        <v>15.07</v>
      </c>
      <c r="K4508" s="16">
        <f>IF(COUNTIFS(Release_Calendar!$A$2:$A$755,"US_CPI",Release_Calendar!$B$2:$B$755,$A4508)&gt;0,1,0)</f>
        <v>0</v>
      </c>
      <c r="L4508" s="16">
        <f>IF(COUNTIFS(Release_Calendar!$A$2:$A$755,"US_NFP",Release_Calendar!$B$2:$B$755,$A4508)&gt;0,1,0)</f>
        <v>0</v>
      </c>
      <c r="M4508" s="16" t="str">
        <f>IF($A4508&lt;Notes!$B$5,"",IF(COUNTIFS(Release_Calendar!$A$2:$A$755,"NZ_CPI",Release_Calendar!$B$2:$B$755,$A4508)&gt;0,1,0))</f>
        <v/>
      </c>
      <c r="N4508" s="16" t="str">
        <f>IF($A4508&lt;Notes!$B$5,"",IF(COUNTIFS(Release_Calendar!$A$2:$A$755,"NZ_GDP",Release_Calendar!$B$2:$B$755,$A4508)&gt;0,1,0))</f>
        <v/>
      </c>
      <c r="O4508" s="16" t="str">
        <f>IF($A4508&lt;Notes!$B$5,"",IF(COUNTIFS(Release_Calendar!$A$2:$A$755,"NZ_LABOUR",Release_Calendar!$B$2:$B$755,$A4508)&gt;0,1,0))</f>
        <v/>
      </c>
      <c r="P4508" s="16">
        <f t="shared" si="4"/>
        <v>0</v>
      </c>
    </row>
    <row r="4509" ht="15.75" customHeight="1">
      <c r="A4509" s="14">
        <v>42837.0</v>
      </c>
      <c r="B4509" s="15">
        <v>1.24</v>
      </c>
      <c r="C4509" s="15">
        <v>2.27</v>
      </c>
      <c r="D4509" s="15">
        <v>2.06</v>
      </c>
      <c r="E4509" s="15">
        <v>2.08</v>
      </c>
      <c r="F4509" s="15">
        <f t="shared" si="1"/>
        <v>1.03</v>
      </c>
      <c r="G4509" s="15">
        <f t="shared" si="2"/>
        <v>2.27</v>
      </c>
      <c r="H4509" s="16">
        <v>0.0</v>
      </c>
      <c r="I4509" s="15">
        <f t="shared" si="3"/>
        <v>1.03</v>
      </c>
      <c r="J4509" s="15">
        <v>15.77</v>
      </c>
      <c r="K4509" s="16">
        <f>IF(COUNTIFS(Release_Calendar!$A$2:$A$755,"US_CPI",Release_Calendar!$B$2:$B$755,$A4509)&gt;0,1,0)</f>
        <v>0</v>
      </c>
      <c r="L4509" s="16">
        <f>IF(COUNTIFS(Release_Calendar!$A$2:$A$755,"US_NFP",Release_Calendar!$B$2:$B$755,$A4509)&gt;0,1,0)</f>
        <v>0</v>
      </c>
      <c r="M4509" s="16" t="str">
        <f>IF($A4509&lt;Notes!$B$5,"",IF(COUNTIFS(Release_Calendar!$A$2:$A$755,"NZ_CPI",Release_Calendar!$B$2:$B$755,$A4509)&gt;0,1,0))</f>
        <v/>
      </c>
      <c r="N4509" s="16" t="str">
        <f>IF($A4509&lt;Notes!$B$5,"",IF(COUNTIFS(Release_Calendar!$A$2:$A$755,"NZ_GDP",Release_Calendar!$B$2:$B$755,$A4509)&gt;0,1,0))</f>
        <v/>
      </c>
      <c r="O4509" s="16" t="str">
        <f>IF($A4509&lt;Notes!$B$5,"",IF(COUNTIFS(Release_Calendar!$A$2:$A$755,"NZ_LABOUR",Release_Calendar!$B$2:$B$755,$A4509)&gt;0,1,0))</f>
        <v/>
      </c>
      <c r="P4509" s="16">
        <f t="shared" si="4"/>
        <v>0</v>
      </c>
    </row>
    <row r="4510" ht="15.75" customHeight="1">
      <c r="A4510" s="14">
        <v>42838.0</v>
      </c>
      <c r="B4510" s="15">
        <v>1.21</v>
      </c>
      <c r="C4510" s="15">
        <v>2.27</v>
      </c>
      <c r="D4510" s="15">
        <v>2.06</v>
      </c>
      <c r="E4510" s="15">
        <v>2.08</v>
      </c>
      <c r="F4510" s="15">
        <f t="shared" si="1"/>
        <v>1.06</v>
      </c>
      <c r="G4510" s="15">
        <f t="shared" si="2"/>
        <v>2.27</v>
      </c>
      <c r="H4510" s="16">
        <v>0.0</v>
      </c>
      <c r="I4510" s="15">
        <f t="shared" si="3"/>
        <v>1.06</v>
      </c>
      <c r="J4510" s="15">
        <v>15.96</v>
      </c>
      <c r="K4510" s="16">
        <f>IF(COUNTIFS(Release_Calendar!$A$2:$A$755,"US_CPI",Release_Calendar!$B$2:$B$755,$A4510)&gt;0,1,0)</f>
        <v>0</v>
      </c>
      <c r="L4510" s="16">
        <f>IF(COUNTIFS(Release_Calendar!$A$2:$A$755,"US_NFP",Release_Calendar!$B$2:$B$755,$A4510)&gt;0,1,0)</f>
        <v>0</v>
      </c>
      <c r="M4510" s="16" t="str">
        <f>IF($A4510&lt;Notes!$B$5,"",IF(COUNTIFS(Release_Calendar!$A$2:$A$755,"NZ_CPI",Release_Calendar!$B$2:$B$755,$A4510)&gt;0,1,0))</f>
        <v/>
      </c>
      <c r="N4510" s="16" t="str">
        <f>IF($A4510&lt;Notes!$B$5,"",IF(COUNTIFS(Release_Calendar!$A$2:$A$755,"NZ_GDP",Release_Calendar!$B$2:$B$755,$A4510)&gt;0,1,0))</f>
        <v/>
      </c>
      <c r="O4510" s="16" t="str">
        <f>IF($A4510&lt;Notes!$B$5,"",IF(COUNTIFS(Release_Calendar!$A$2:$A$755,"NZ_LABOUR",Release_Calendar!$B$2:$B$755,$A4510)&gt;0,1,0))</f>
        <v/>
      </c>
      <c r="P4510" s="16">
        <f t="shared" si="4"/>
        <v>0</v>
      </c>
    </row>
    <row r="4511" ht="15.75" customHeight="1">
      <c r="A4511" s="14">
        <v>42839.0</v>
      </c>
      <c r="B4511" s="15"/>
      <c r="C4511" s="15"/>
      <c r="D4511" s="15"/>
      <c r="E4511" s="15"/>
      <c r="F4511" s="15" t="str">
        <f t="shared" si="1"/>
        <v/>
      </c>
      <c r="G4511" s="15" t="str">
        <f t="shared" si="2"/>
        <v/>
      </c>
      <c r="H4511" s="16">
        <v>0.0</v>
      </c>
      <c r="I4511" s="15" t="str">
        <f t="shared" si="3"/>
        <v/>
      </c>
      <c r="J4511" s="15"/>
      <c r="K4511" s="16">
        <f>IF(COUNTIFS(Release_Calendar!$A$2:$A$755,"US_CPI",Release_Calendar!$B$2:$B$755,$A4511)&gt;0,1,0)</f>
        <v>1</v>
      </c>
      <c r="L4511" s="16">
        <f>IF(COUNTIFS(Release_Calendar!$A$2:$A$755,"US_NFP",Release_Calendar!$B$2:$B$755,$A4511)&gt;0,1,0)</f>
        <v>0</v>
      </c>
      <c r="M4511" s="16" t="str">
        <f>IF($A4511&lt;Notes!$B$5,"",IF(COUNTIFS(Release_Calendar!$A$2:$A$755,"NZ_CPI",Release_Calendar!$B$2:$B$755,$A4511)&gt;0,1,0))</f>
        <v/>
      </c>
      <c r="N4511" s="16" t="str">
        <f>IF($A4511&lt;Notes!$B$5,"",IF(COUNTIFS(Release_Calendar!$A$2:$A$755,"NZ_GDP",Release_Calendar!$B$2:$B$755,$A4511)&gt;0,1,0))</f>
        <v/>
      </c>
      <c r="O4511" s="16" t="str">
        <f>IF($A4511&lt;Notes!$B$5,"",IF(COUNTIFS(Release_Calendar!$A$2:$A$755,"NZ_LABOUR",Release_Calendar!$B$2:$B$755,$A4511)&gt;0,1,0))</f>
        <v/>
      </c>
      <c r="P4511" s="16">
        <f t="shared" si="4"/>
        <v>1</v>
      </c>
    </row>
    <row r="4512" ht="15.75" customHeight="1">
      <c r="A4512" s="14">
        <v>42842.0</v>
      </c>
      <c r="B4512" s="15">
        <v>1.21</v>
      </c>
      <c r="C4512" s="15"/>
      <c r="D4512" s="15"/>
      <c r="E4512" s="15"/>
      <c r="F4512" s="15" t="str">
        <f t="shared" si="1"/>
        <v/>
      </c>
      <c r="G4512" s="15" t="str">
        <f t="shared" si="2"/>
        <v/>
      </c>
      <c r="H4512" s="16">
        <v>0.0</v>
      </c>
      <c r="I4512" s="15" t="str">
        <f t="shared" si="3"/>
        <v/>
      </c>
      <c r="J4512" s="15">
        <v>14.66</v>
      </c>
      <c r="K4512" s="16">
        <f>IF(COUNTIFS(Release_Calendar!$A$2:$A$755,"US_CPI",Release_Calendar!$B$2:$B$755,$A4512)&gt;0,1,0)</f>
        <v>0</v>
      </c>
      <c r="L4512" s="16">
        <f>IF(COUNTIFS(Release_Calendar!$A$2:$A$755,"US_NFP",Release_Calendar!$B$2:$B$755,$A4512)&gt;0,1,0)</f>
        <v>0</v>
      </c>
      <c r="M4512" s="16" t="str">
        <f>IF($A4512&lt;Notes!$B$5,"",IF(COUNTIFS(Release_Calendar!$A$2:$A$755,"NZ_CPI",Release_Calendar!$B$2:$B$755,$A4512)&gt;0,1,0))</f>
        <v/>
      </c>
      <c r="N4512" s="16" t="str">
        <f>IF($A4512&lt;Notes!$B$5,"",IF(COUNTIFS(Release_Calendar!$A$2:$A$755,"NZ_GDP",Release_Calendar!$B$2:$B$755,$A4512)&gt;0,1,0))</f>
        <v/>
      </c>
      <c r="O4512" s="16" t="str">
        <f>IF($A4512&lt;Notes!$B$5,"",IF(COUNTIFS(Release_Calendar!$A$2:$A$755,"NZ_LABOUR",Release_Calendar!$B$2:$B$755,$A4512)&gt;0,1,0))</f>
        <v/>
      </c>
      <c r="P4512" s="16">
        <f t="shared" si="4"/>
        <v>0</v>
      </c>
    </row>
    <row r="4513" ht="15.75" customHeight="1">
      <c r="A4513" s="14">
        <v>42843.0</v>
      </c>
      <c r="B4513" s="15">
        <v>1.18</v>
      </c>
      <c r="C4513" s="15">
        <v>2.29</v>
      </c>
      <c r="D4513" s="15">
        <v>2.1</v>
      </c>
      <c r="E4513" s="15">
        <v>2.12</v>
      </c>
      <c r="F4513" s="15">
        <f t="shared" si="1"/>
        <v>1.11</v>
      </c>
      <c r="G4513" s="15">
        <f t="shared" si="2"/>
        <v>2.29</v>
      </c>
      <c r="H4513" s="16">
        <v>0.0</v>
      </c>
      <c r="I4513" s="15">
        <f t="shared" si="3"/>
        <v>1.11</v>
      </c>
      <c r="J4513" s="15">
        <v>14.42</v>
      </c>
      <c r="K4513" s="16">
        <f>IF(COUNTIFS(Release_Calendar!$A$2:$A$755,"US_CPI",Release_Calendar!$B$2:$B$755,$A4513)&gt;0,1,0)</f>
        <v>0</v>
      </c>
      <c r="L4513" s="16">
        <f>IF(COUNTIFS(Release_Calendar!$A$2:$A$755,"US_NFP",Release_Calendar!$B$2:$B$755,$A4513)&gt;0,1,0)</f>
        <v>0</v>
      </c>
      <c r="M4513" s="16" t="str">
        <f>IF($A4513&lt;Notes!$B$5,"",IF(COUNTIFS(Release_Calendar!$A$2:$A$755,"NZ_CPI",Release_Calendar!$B$2:$B$755,$A4513)&gt;0,1,0))</f>
        <v/>
      </c>
      <c r="N4513" s="16" t="str">
        <f>IF($A4513&lt;Notes!$B$5,"",IF(COUNTIFS(Release_Calendar!$A$2:$A$755,"NZ_GDP",Release_Calendar!$B$2:$B$755,$A4513)&gt;0,1,0))</f>
        <v/>
      </c>
      <c r="O4513" s="16" t="str">
        <f>IF($A4513&lt;Notes!$B$5,"",IF(COUNTIFS(Release_Calendar!$A$2:$A$755,"NZ_LABOUR",Release_Calendar!$B$2:$B$755,$A4513)&gt;0,1,0))</f>
        <v/>
      </c>
      <c r="P4513" s="16">
        <f t="shared" si="4"/>
        <v>0</v>
      </c>
    </row>
    <row r="4514" ht="15.75" customHeight="1">
      <c r="A4514" s="14">
        <v>42844.0</v>
      </c>
      <c r="B4514" s="15">
        <v>1.19</v>
      </c>
      <c r="C4514" s="15">
        <v>2.29</v>
      </c>
      <c r="D4514" s="15">
        <v>2.09</v>
      </c>
      <c r="E4514" s="15">
        <v>2.09</v>
      </c>
      <c r="F4514" s="15">
        <f t="shared" si="1"/>
        <v>1.1</v>
      </c>
      <c r="G4514" s="15">
        <f t="shared" si="2"/>
        <v>2.29</v>
      </c>
      <c r="H4514" s="16">
        <v>0.0</v>
      </c>
      <c r="I4514" s="15">
        <f t="shared" si="3"/>
        <v>1.1</v>
      </c>
      <c r="J4514" s="15">
        <v>14.93</v>
      </c>
      <c r="K4514" s="16">
        <f>IF(COUNTIFS(Release_Calendar!$A$2:$A$755,"US_CPI",Release_Calendar!$B$2:$B$755,$A4514)&gt;0,1,0)</f>
        <v>0</v>
      </c>
      <c r="L4514" s="16">
        <f>IF(COUNTIFS(Release_Calendar!$A$2:$A$755,"US_NFP",Release_Calendar!$B$2:$B$755,$A4514)&gt;0,1,0)</f>
        <v>0</v>
      </c>
      <c r="M4514" s="16" t="str">
        <f>IF($A4514&lt;Notes!$B$5,"",IF(COUNTIFS(Release_Calendar!$A$2:$A$755,"NZ_CPI",Release_Calendar!$B$2:$B$755,$A4514)&gt;0,1,0))</f>
        <v/>
      </c>
      <c r="N4514" s="16" t="str">
        <f>IF($A4514&lt;Notes!$B$5,"",IF(COUNTIFS(Release_Calendar!$A$2:$A$755,"NZ_GDP",Release_Calendar!$B$2:$B$755,$A4514)&gt;0,1,0))</f>
        <v/>
      </c>
      <c r="O4514" s="16" t="str">
        <f>IF($A4514&lt;Notes!$B$5,"",IF(COUNTIFS(Release_Calendar!$A$2:$A$755,"NZ_LABOUR",Release_Calendar!$B$2:$B$755,$A4514)&gt;0,1,0))</f>
        <v/>
      </c>
      <c r="P4514" s="16">
        <f t="shared" si="4"/>
        <v>0</v>
      </c>
    </row>
    <row r="4515" ht="15.75" customHeight="1">
      <c r="A4515" s="14">
        <v>42845.0</v>
      </c>
      <c r="B4515" s="15">
        <v>1.21</v>
      </c>
      <c r="C4515" s="15">
        <v>2.32</v>
      </c>
      <c r="D4515" s="15">
        <v>2.15</v>
      </c>
      <c r="E4515" s="15">
        <v>2.13</v>
      </c>
      <c r="F4515" s="15">
        <f t="shared" si="1"/>
        <v>1.11</v>
      </c>
      <c r="G4515" s="15">
        <f t="shared" si="2"/>
        <v>2.32</v>
      </c>
      <c r="H4515" s="16">
        <v>0.0</v>
      </c>
      <c r="I4515" s="15">
        <f t="shared" si="3"/>
        <v>1.11</v>
      </c>
      <c r="J4515" s="15">
        <v>14.15</v>
      </c>
      <c r="K4515" s="16">
        <f>IF(COUNTIFS(Release_Calendar!$A$2:$A$755,"US_CPI",Release_Calendar!$B$2:$B$755,$A4515)&gt;0,1,0)</f>
        <v>0</v>
      </c>
      <c r="L4515" s="16">
        <f>IF(COUNTIFS(Release_Calendar!$A$2:$A$755,"US_NFP",Release_Calendar!$B$2:$B$755,$A4515)&gt;0,1,0)</f>
        <v>0</v>
      </c>
      <c r="M4515" s="16" t="str">
        <f>IF($A4515&lt;Notes!$B$5,"",IF(COUNTIFS(Release_Calendar!$A$2:$A$755,"NZ_CPI",Release_Calendar!$B$2:$B$755,$A4515)&gt;0,1,0))</f>
        <v/>
      </c>
      <c r="N4515" s="16" t="str">
        <f>IF($A4515&lt;Notes!$B$5,"",IF(COUNTIFS(Release_Calendar!$A$2:$A$755,"NZ_GDP",Release_Calendar!$B$2:$B$755,$A4515)&gt;0,1,0))</f>
        <v/>
      </c>
      <c r="O4515" s="16" t="str">
        <f>IF($A4515&lt;Notes!$B$5,"",IF(COUNTIFS(Release_Calendar!$A$2:$A$755,"NZ_LABOUR",Release_Calendar!$B$2:$B$755,$A4515)&gt;0,1,0))</f>
        <v/>
      </c>
      <c r="P4515" s="16">
        <f t="shared" si="4"/>
        <v>0</v>
      </c>
    </row>
    <row r="4516" ht="15.75" customHeight="1">
      <c r="A4516" s="14">
        <v>42846.0</v>
      </c>
      <c r="B4516" s="15">
        <v>1.2</v>
      </c>
      <c r="C4516" s="15">
        <v>2.32</v>
      </c>
      <c r="D4516" s="15">
        <v>2.14</v>
      </c>
      <c r="E4516" s="15">
        <v>2.09</v>
      </c>
      <c r="F4516" s="15">
        <f t="shared" si="1"/>
        <v>1.12</v>
      </c>
      <c r="G4516" s="15">
        <f t="shared" si="2"/>
        <v>2.32</v>
      </c>
      <c r="H4516" s="16">
        <v>0.0</v>
      </c>
      <c r="I4516" s="15">
        <f t="shared" si="3"/>
        <v>1.12</v>
      </c>
      <c r="J4516" s="15">
        <v>14.63</v>
      </c>
      <c r="K4516" s="16">
        <f>IF(COUNTIFS(Release_Calendar!$A$2:$A$755,"US_CPI",Release_Calendar!$B$2:$B$755,$A4516)&gt;0,1,0)</f>
        <v>0</v>
      </c>
      <c r="L4516" s="16">
        <f>IF(COUNTIFS(Release_Calendar!$A$2:$A$755,"US_NFP",Release_Calendar!$B$2:$B$755,$A4516)&gt;0,1,0)</f>
        <v>0</v>
      </c>
      <c r="M4516" s="16" t="str">
        <f>IF($A4516&lt;Notes!$B$5,"",IF(COUNTIFS(Release_Calendar!$A$2:$A$755,"NZ_CPI",Release_Calendar!$B$2:$B$755,$A4516)&gt;0,1,0))</f>
        <v/>
      </c>
      <c r="N4516" s="16" t="str">
        <f>IF($A4516&lt;Notes!$B$5,"",IF(COUNTIFS(Release_Calendar!$A$2:$A$755,"NZ_GDP",Release_Calendar!$B$2:$B$755,$A4516)&gt;0,1,0))</f>
        <v/>
      </c>
      <c r="O4516" s="16" t="str">
        <f>IF($A4516&lt;Notes!$B$5,"",IF(COUNTIFS(Release_Calendar!$A$2:$A$755,"NZ_LABOUR",Release_Calendar!$B$2:$B$755,$A4516)&gt;0,1,0))</f>
        <v/>
      </c>
      <c r="P4516" s="16">
        <f t="shared" si="4"/>
        <v>0</v>
      </c>
    </row>
    <row r="4517" ht="15.75" customHeight="1">
      <c r="A4517" s="14">
        <v>42849.0</v>
      </c>
      <c r="B4517" s="15">
        <v>1.25</v>
      </c>
      <c r="C4517" s="15">
        <v>2.34</v>
      </c>
      <c r="D4517" s="15">
        <v>2.14</v>
      </c>
      <c r="E4517" s="15">
        <v>2.12</v>
      </c>
      <c r="F4517" s="15">
        <f t="shared" si="1"/>
        <v>1.09</v>
      </c>
      <c r="G4517" s="15">
        <f t="shared" si="2"/>
        <v>2.34</v>
      </c>
      <c r="H4517" s="16">
        <v>0.0</v>
      </c>
      <c r="I4517" s="15">
        <f t="shared" si="3"/>
        <v>1.09</v>
      </c>
      <c r="J4517" s="15">
        <v>10.84</v>
      </c>
      <c r="K4517" s="16">
        <f>IF(COUNTIFS(Release_Calendar!$A$2:$A$755,"US_CPI",Release_Calendar!$B$2:$B$755,$A4517)&gt;0,1,0)</f>
        <v>0</v>
      </c>
      <c r="L4517" s="16">
        <f>IF(COUNTIFS(Release_Calendar!$A$2:$A$755,"US_NFP",Release_Calendar!$B$2:$B$755,$A4517)&gt;0,1,0)</f>
        <v>0</v>
      </c>
      <c r="M4517" s="16" t="str">
        <f>IF($A4517&lt;Notes!$B$5,"",IF(COUNTIFS(Release_Calendar!$A$2:$A$755,"NZ_CPI",Release_Calendar!$B$2:$B$755,$A4517)&gt;0,1,0))</f>
        <v/>
      </c>
      <c r="N4517" s="16" t="str">
        <f>IF($A4517&lt;Notes!$B$5,"",IF(COUNTIFS(Release_Calendar!$A$2:$A$755,"NZ_GDP",Release_Calendar!$B$2:$B$755,$A4517)&gt;0,1,0))</f>
        <v/>
      </c>
      <c r="O4517" s="16" t="str">
        <f>IF($A4517&lt;Notes!$B$5,"",IF(COUNTIFS(Release_Calendar!$A$2:$A$755,"NZ_LABOUR",Release_Calendar!$B$2:$B$755,$A4517)&gt;0,1,0))</f>
        <v/>
      </c>
      <c r="P4517" s="16">
        <f t="shared" si="4"/>
        <v>0</v>
      </c>
    </row>
    <row r="4518" ht="15.75" customHeight="1">
      <c r="A4518" s="14">
        <v>42850.0</v>
      </c>
      <c r="B4518" s="15">
        <v>1.29</v>
      </c>
      <c r="C4518" s="15"/>
      <c r="D4518" s="15"/>
      <c r="E4518" s="15"/>
      <c r="F4518" s="15" t="str">
        <f t="shared" si="1"/>
        <v/>
      </c>
      <c r="G4518" s="15" t="str">
        <f t="shared" si="2"/>
        <v/>
      </c>
      <c r="H4518" s="16">
        <v>0.0</v>
      </c>
      <c r="I4518" s="15" t="str">
        <f t="shared" si="3"/>
        <v/>
      </c>
      <c r="J4518" s="15">
        <v>10.76</v>
      </c>
      <c r="K4518" s="16">
        <f>IF(COUNTIFS(Release_Calendar!$A$2:$A$755,"US_CPI",Release_Calendar!$B$2:$B$755,$A4518)&gt;0,1,0)</f>
        <v>0</v>
      </c>
      <c r="L4518" s="16">
        <f>IF(COUNTIFS(Release_Calendar!$A$2:$A$755,"US_NFP",Release_Calendar!$B$2:$B$755,$A4518)&gt;0,1,0)</f>
        <v>0</v>
      </c>
      <c r="M4518" s="16" t="str">
        <f>IF($A4518&lt;Notes!$B$5,"",IF(COUNTIFS(Release_Calendar!$A$2:$A$755,"NZ_CPI",Release_Calendar!$B$2:$B$755,$A4518)&gt;0,1,0))</f>
        <v/>
      </c>
      <c r="N4518" s="16" t="str">
        <f>IF($A4518&lt;Notes!$B$5,"",IF(COUNTIFS(Release_Calendar!$A$2:$A$755,"NZ_GDP",Release_Calendar!$B$2:$B$755,$A4518)&gt;0,1,0))</f>
        <v/>
      </c>
      <c r="O4518" s="16" t="str">
        <f>IF($A4518&lt;Notes!$B$5,"",IF(COUNTIFS(Release_Calendar!$A$2:$A$755,"NZ_LABOUR",Release_Calendar!$B$2:$B$755,$A4518)&gt;0,1,0))</f>
        <v/>
      </c>
      <c r="P4518" s="16">
        <f t="shared" si="4"/>
        <v>0</v>
      </c>
    </row>
    <row r="4519" ht="15.75" customHeight="1">
      <c r="A4519" s="14">
        <v>42851.0</v>
      </c>
      <c r="B4519" s="15">
        <v>1.28</v>
      </c>
      <c r="C4519" s="15">
        <v>2.32</v>
      </c>
      <c r="D4519" s="15">
        <v>2.11</v>
      </c>
      <c r="E4519" s="15">
        <v>2.11</v>
      </c>
      <c r="F4519" s="15">
        <f t="shared" si="1"/>
        <v>1.04</v>
      </c>
      <c r="G4519" s="15">
        <f t="shared" si="2"/>
        <v>2.32</v>
      </c>
      <c r="H4519" s="16">
        <v>0.0</v>
      </c>
      <c r="I4519" s="15">
        <f t="shared" si="3"/>
        <v>1.04</v>
      </c>
      <c r="J4519" s="15">
        <v>10.85</v>
      </c>
      <c r="K4519" s="16">
        <f>IF(COUNTIFS(Release_Calendar!$A$2:$A$755,"US_CPI",Release_Calendar!$B$2:$B$755,$A4519)&gt;0,1,0)</f>
        <v>0</v>
      </c>
      <c r="L4519" s="16">
        <f>IF(COUNTIFS(Release_Calendar!$A$2:$A$755,"US_NFP",Release_Calendar!$B$2:$B$755,$A4519)&gt;0,1,0)</f>
        <v>0</v>
      </c>
      <c r="M4519" s="16" t="str">
        <f>IF($A4519&lt;Notes!$B$5,"",IF(COUNTIFS(Release_Calendar!$A$2:$A$755,"NZ_CPI",Release_Calendar!$B$2:$B$755,$A4519)&gt;0,1,0))</f>
        <v/>
      </c>
      <c r="N4519" s="16" t="str">
        <f>IF($A4519&lt;Notes!$B$5,"",IF(COUNTIFS(Release_Calendar!$A$2:$A$755,"NZ_GDP",Release_Calendar!$B$2:$B$755,$A4519)&gt;0,1,0))</f>
        <v/>
      </c>
      <c r="O4519" s="16" t="str">
        <f>IF($A4519&lt;Notes!$B$5,"",IF(COUNTIFS(Release_Calendar!$A$2:$A$755,"NZ_LABOUR",Release_Calendar!$B$2:$B$755,$A4519)&gt;0,1,0))</f>
        <v/>
      </c>
      <c r="P4519" s="16">
        <f t="shared" si="4"/>
        <v>0</v>
      </c>
    </row>
    <row r="4520" ht="15.75" customHeight="1">
      <c r="A4520" s="14">
        <v>42852.0</v>
      </c>
      <c r="B4520" s="15">
        <v>1.25</v>
      </c>
      <c r="C4520" s="15">
        <v>2.31</v>
      </c>
      <c r="D4520" s="15">
        <v>2.09</v>
      </c>
      <c r="E4520" s="15">
        <v>2.1</v>
      </c>
      <c r="F4520" s="15">
        <f t="shared" si="1"/>
        <v>1.06</v>
      </c>
      <c r="G4520" s="15">
        <f t="shared" si="2"/>
        <v>2.31</v>
      </c>
      <c r="H4520" s="16">
        <v>0.0</v>
      </c>
      <c r="I4520" s="15">
        <f t="shared" si="3"/>
        <v>1.06</v>
      </c>
      <c r="J4520" s="15">
        <v>10.36</v>
      </c>
      <c r="K4520" s="16">
        <f>IF(COUNTIFS(Release_Calendar!$A$2:$A$755,"US_CPI",Release_Calendar!$B$2:$B$755,$A4520)&gt;0,1,0)</f>
        <v>0</v>
      </c>
      <c r="L4520" s="16">
        <f>IF(COUNTIFS(Release_Calendar!$A$2:$A$755,"US_NFP",Release_Calendar!$B$2:$B$755,$A4520)&gt;0,1,0)</f>
        <v>0</v>
      </c>
      <c r="M4520" s="16" t="str">
        <f>IF($A4520&lt;Notes!$B$5,"",IF(COUNTIFS(Release_Calendar!$A$2:$A$755,"NZ_CPI",Release_Calendar!$B$2:$B$755,$A4520)&gt;0,1,0))</f>
        <v/>
      </c>
      <c r="N4520" s="16" t="str">
        <f>IF($A4520&lt;Notes!$B$5,"",IF(COUNTIFS(Release_Calendar!$A$2:$A$755,"NZ_GDP",Release_Calendar!$B$2:$B$755,$A4520)&gt;0,1,0))</f>
        <v/>
      </c>
      <c r="O4520" s="16" t="str">
        <f>IF($A4520&lt;Notes!$B$5,"",IF(COUNTIFS(Release_Calendar!$A$2:$A$755,"NZ_LABOUR",Release_Calendar!$B$2:$B$755,$A4520)&gt;0,1,0))</f>
        <v/>
      </c>
      <c r="P4520" s="16">
        <f t="shared" si="4"/>
        <v>0</v>
      </c>
    </row>
    <row r="4521" ht="15.75" customHeight="1">
      <c r="A4521" s="14">
        <v>42853.0</v>
      </c>
      <c r="B4521" s="15">
        <v>1.28</v>
      </c>
      <c r="C4521" s="15">
        <v>2.3</v>
      </c>
      <c r="D4521" s="15">
        <v>2.08</v>
      </c>
      <c r="E4521" s="15">
        <v>2.08</v>
      </c>
      <c r="F4521" s="15">
        <f t="shared" si="1"/>
        <v>1.02</v>
      </c>
      <c r="G4521" s="15">
        <f t="shared" si="2"/>
        <v>2.3</v>
      </c>
      <c r="H4521" s="16">
        <v>0.0</v>
      </c>
      <c r="I4521" s="15">
        <f t="shared" si="3"/>
        <v>1.02</v>
      </c>
      <c r="J4521" s="15">
        <v>10.82</v>
      </c>
      <c r="K4521" s="16">
        <f>IF(COUNTIFS(Release_Calendar!$A$2:$A$755,"US_CPI",Release_Calendar!$B$2:$B$755,$A4521)&gt;0,1,0)</f>
        <v>0</v>
      </c>
      <c r="L4521" s="16">
        <f>IF(COUNTIFS(Release_Calendar!$A$2:$A$755,"US_NFP",Release_Calendar!$B$2:$B$755,$A4521)&gt;0,1,0)</f>
        <v>0</v>
      </c>
      <c r="M4521" s="16" t="str">
        <f>IF($A4521&lt;Notes!$B$5,"",IF(COUNTIFS(Release_Calendar!$A$2:$A$755,"NZ_CPI",Release_Calendar!$B$2:$B$755,$A4521)&gt;0,1,0))</f>
        <v/>
      </c>
      <c r="N4521" s="16" t="str">
        <f>IF($A4521&lt;Notes!$B$5,"",IF(COUNTIFS(Release_Calendar!$A$2:$A$755,"NZ_GDP",Release_Calendar!$B$2:$B$755,$A4521)&gt;0,1,0))</f>
        <v/>
      </c>
      <c r="O4521" s="16" t="str">
        <f>IF($A4521&lt;Notes!$B$5,"",IF(COUNTIFS(Release_Calendar!$A$2:$A$755,"NZ_LABOUR",Release_Calendar!$B$2:$B$755,$A4521)&gt;0,1,0))</f>
        <v/>
      </c>
      <c r="P4521" s="16">
        <f t="shared" si="4"/>
        <v>0</v>
      </c>
    </row>
    <row r="4522" ht="15.75" customHeight="1">
      <c r="A4522" s="14">
        <v>42856.0</v>
      </c>
      <c r="B4522" s="15">
        <v>1.28</v>
      </c>
      <c r="C4522" s="15">
        <v>2.29</v>
      </c>
      <c r="D4522" s="15">
        <v>2.06</v>
      </c>
      <c r="E4522" s="15">
        <v>2.06</v>
      </c>
      <c r="F4522" s="15">
        <f t="shared" si="1"/>
        <v>1.01</v>
      </c>
      <c r="G4522" s="15">
        <f t="shared" si="2"/>
        <v>2.29</v>
      </c>
      <c r="H4522" s="16">
        <v>0.0</v>
      </c>
      <c r="I4522" s="15">
        <f t="shared" si="3"/>
        <v>1.01</v>
      </c>
      <c r="J4522" s="15">
        <v>10.11</v>
      </c>
      <c r="K4522" s="16">
        <f>IF(COUNTIFS(Release_Calendar!$A$2:$A$755,"US_CPI",Release_Calendar!$B$2:$B$755,$A4522)&gt;0,1,0)</f>
        <v>0</v>
      </c>
      <c r="L4522" s="16">
        <f>IF(COUNTIFS(Release_Calendar!$A$2:$A$755,"US_NFP",Release_Calendar!$B$2:$B$755,$A4522)&gt;0,1,0)</f>
        <v>0</v>
      </c>
      <c r="M4522" s="16" t="str">
        <f>IF($A4522&lt;Notes!$B$5,"",IF(COUNTIFS(Release_Calendar!$A$2:$A$755,"NZ_CPI",Release_Calendar!$B$2:$B$755,$A4522)&gt;0,1,0))</f>
        <v/>
      </c>
      <c r="N4522" s="16" t="str">
        <f>IF($A4522&lt;Notes!$B$5,"",IF(COUNTIFS(Release_Calendar!$A$2:$A$755,"NZ_GDP",Release_Calendar!$B$2:$B$755,$A4522)&gt;0,1,0))</f>
        <v/>
      </c>
      <c r="O4522" s="16" t="str">
        <f>IF($A4522&lt;Notes!$B$5,"",IF(COUNTIFS(Release_Calendar!$A$2:$A$755,"NZ_LABOUR",Release_Calendar!$B$2:$B$755,$A4522)&gt;0,1,0))</f>
        <v/>
      </c>
      <c r="P4522" s="16">
        <f t="shared" si="4"/>
        <v>0</v>
      </c>
    </row>
    <row r="4523" ht="15.75" customHeight="1">
      <c r="A4523" s="14">
        <v>42857.0</v>
      </c>
      <c r="B4523" s="15">
        <v>1.27</v>
      </c>
      <c r="C4523" s="15">
        <v>2.3</v>
      </c>
      <c r="D4523" s="15">
        <v>2.08</v>
      </c>
      <c r="E4523" s="15">
        <v>2.05</v>
      </c>
      <c r="F4523" s="15">
        <f t="shared" si="1"/>
        <v>1.03</v>
      </c>
      <c r="G4523" s="15">
        <f t="shared" si="2"/>
        <v>2.3</v>
      </c>
      <c r="H4523" s="16">
        <v>0.0</v>
      </c>
      <c r="I4523" s="15">
        <f t="shared" si="3"/>
        <v>1.03</v>
      </c>
      <c r="J4523" s="15">
        <v>10.59</v>
      </c>
      <c r="K4523" s="16">
        <f>IF(COUNTIFS(Release_Calendar!$A$2:$A$755,"US_CPI",Release_Calendar!$B$2:$B$755,$A4523)&gt;0,1,0)</f>
        <v>0</v>
      </c>
      <c r="L4523" s="16">
        <f>IF(COUNTIFS(Release_Calendar!$A$2:$A$755,"US_NFP",Release_Calendar!$B$2:$B$755,$A4523)&gt;0,1,0)</f>
        <v>0</v>
      </c>
      <c r="M4523" s="16" t="str">
        <f>IF($A4523&lt;Notes!$B$5,"",IF(COUNTIFS(Release_Calendar!$A$2:$A$755,"NZ_CPI",Release_Calendar!$B$2:$B$755,$A4523)&gt;0,1,0))</f>
        <v/>
      </c>
      <c r="N4523" s="16" t="str">
        <f>IF($A4523&lt;Notes!$B$5,"",IF(COUNTIFS(Release_Calendar!$A$2:$A$755,"NZ_GDP",Release_Calendar!$B$2:$B$755,$A4523)&gt;0,1,0))</f>
        <v/>
      </c>
      <c r="O4523" s="16" t="str">
        <f>IF($A4523&lt;Notes!$B$5,"",IF(COUNTIFS(Release_Calendar!$A$2:$A$755,"NZ_LABOUR",Release_Calendar!$B$2:$B$755,$A4523)&gt;0,1,0))</f>
        <v/>
      </c>
      <c r="P4523" s="16">
        <f t="shared" si="4"/>
        <v>0</v>
      </c>
    </row>
    <row r="4524" ht="15.75" customHeight="1">
      <c r="A4524" s="14">
        <v>42858.0</v>
      </c>
      <c r="B4524" s="15">
        <v>1.3</v>
      </c>
      <c r="C4524" s="15">
        <v>2.3</v>
      </c>
      <c r="D4524" s="15">
        <v>2.03</v>
      </c>
      <c r="E4524" s="15">
        <v>2.04</v>
      </c>
      <c r="F4524" s="15">
        <f t="shared" si="1"/>
        <v>1</v>
      </c>
      <c r="G4524" s="15">
        <f t="shared" si="2"/>
        <v>2.3</v>
      </c>
      <c r="H4524" s="16">
        <v>0.0</v>
      </c>
      <c r="I4524" s="15">
        <f t="shared" si="3"/>
        <v>1</v>
      </c>
      <c r="J4524" s="15">
        <v>10.68</v>
      </c>
      <c r="K4524" s="16">
        <f>IF(COUNTIFS(Release_Calendar!$A$2:$A$755,"US_CPI",Release_Calendar!$B$2:$B$755,$A4524)&gt;0,1,0)</f>
        <v>0</v>
      </c>
      <c r="L4524" s="16">
        <f>IF(COUNTIFS(Release_Calendar!$A$2:$A$755,"US_NFP",Release_Calendar!$B$2:$B$755,$A4524)&gt;0,1,0)</f>
        <v>0</v>
      </c>
      <c r="M4524" s="16" t="str">
        <f>IF($A4524&lt;Notes!$B$5,"",IF(COUNTIFS(Release_Calendar!$A$2:$A$755,"NZ_CPI",Release_Calendar!$B$2:$B$755,$A4524)&gt;0,1,0))</f>
        <v/>
      </c>
      <c r="N4524" s="16" t="str">
        <f>IF($A4524&lt;Notes!$B$5,"",IF(COUNTIFS(Release_Calendar!$A$2:$A$755,"NZ_GDP",Release_Calendar!$B$2:$B$755,$A4524)&gt;0,1,0))</f>
        <v/>
      </c>
      <c r="O4524" s="16" t="str">
        <f>IF($A4524&lt;Notes!$B$5,"",IF(COUNTIFS(Release_Calendar!$A$2:$A$755,"NZ_LABOUR",Release_Calendar!$B$2:$B$755,$A4524)&gt;0,1,0))</f>
        <v/>
      </c>
      <c r="P4524" s="16">
        <f t="shared" si="4"/>
        <v>0</v>
      </c>
    </row>
    <row r="4525" ht="15.75" customHeight="1">
      <c r="A4525" s="14">
        <v>42859.0</v>
      </c>
      <c r="B4525" s="15">
        <v>1.32</v>
      </c>
      <c r="C4525" s="15">
        <v>2.31</v>
      </c>
      <c r="D4525" s="15">
        <v>2.07</v>
      </c>
      <c r="E4525" s="15">
        <v>2.08</v>
      </c>
      <c r="F4525" s="15">
        <f t="shared" si="1"/>
        <v>0.99</v>
      </c>
      <c r="G4525" s="15">
        <f t="shared" si="2"/>
        <v>2.31</v>
      </c>
      <c r="H4525" s="16">
        <v>0.0</v>
      </c>
      <c r="I4525" s="15">
        <f t="shared" si="3"/>
        <v>0.99</v>
      </c>
      <c r="J4525" s="15">
        <v>10.46</v>
      </c>
      <c r="K4525" s="16">
        <f>IF(COUNTIFS(Release_Calendar!$A$2:$A$755,"US_CPI",Release_Calendar!$B$2:$B$755,$A4525)&gt;0,1,0)</f>
        <v>0</v>
      </c>
      <c r="L4525" s="16">
        <f>IF(COUNTIFS(Release_Calendar!$A$2:$A$755,"US_NFP",Release_Calendar!$B$2:$B$755,$A4525)&gt;0,1,0)</f>
        <v>0</v>
      </c>
      <c r="M4525" s="16" t="str">
        <f>IF($A4525&lt;Notes!$B$5,"",IF(COUNTIFS(Release_Calendar!$A$2:$A$755,"NZ_CPI",Release_Calendar!$B$2:$B$755,$A4525)&gt;0,1,0))</f>
        <v/>
      </c>
      <c r="N4525" s="16" t="str">
        <f>IF($A4525&lt;Notes!$B$5,"",IF(COUNTIFS(Release_Calendar!$A$2:$A$755,"NZ_GDP",Release_Calendar!$B$2:$B$755,$A4525)&gt;0,1,0))</f>
        <v/>
      </c>
      <c r="O4525" s="16" t="str">
        <f>IF($A4525&lt;Notes!$B$5,"",IF(COUNTIFS(Release_Calendar!$A$2:$A$755,"NZ_LABOUR",Release_Calendar!$B$2:$B$755,$A4525)&gt;0,1,0))</f>
        <v/>
      </c>
      <c r="P4525" s="16">
        <f t="shared" si="4"/>
        <v>0</v>
      </c>
    </row>
    <row r="4526" ht="15.75" customHeight="1">
      <c r="A4526" s="14">
        <v>42860.0</v>
      </c>
      <c r="B4526" s="15">
        <v>1.32</v>
      </c>
      <c r="C4526" s="15">
        <v>2.32</v>
      </c>
      <c r="D4526" s="15">
        <v>2.08</v>
      </c>
      <c r="E4526" s="15">
        <v>2.08</v>
      </c>
      <c r="F4526" s="15">
        <f t="shared" si="1"/>
        <v>1</v>
      </c>
      <c r="G4526" s="15">
        <f t="shared" si="2"/>
        <v>2.32</v>
      </c>
      <c r="H4526" s="16">
        <v>0.0</v>
      </c>
      <c r="I4526" s="15">
        <f t="shared" si="3"/>
        <v>1</v>
      </c>
      <c r="J4526" s="15">
        <v>10.57</v>
      </c>
      <c r="K4526" s="16">
        <f>IF(COUNTIFS(Release_Calendar!$A$2:$A$755,"US_CPI",Release_Calendar!$B$2:$B$755,$A4526)&gt;0,1,0)</f>
        <v>0</v>
      </c>
      <c r="L4526" s="16">
        <f>IF(COUNTIFS(Release_Calendar!$A$2:$A$755,"US_NFP",Release_Calendar!$B$2:$B$755,$A4526)&gt;0,1,0)</f>
        <v>1</v>
      </c>
      <c r="M4526" s="16" t="str">
        <f>IF($A4526&lt;Notes!$B$5,"",IF(COUNTIFS(Release_Calendar!$A$2:$A$755,"NZ_CPI",Release_Calendar!$B$2:$B$755,$A4526)&gt;0,1,0))</f>
        <v/>
      </c>
      <c r="N4526" s="16" t="str">
        <f>IF($A4526&lt;Notes!$B$5,"",IF(COUNTIFS(Release_Calendar!$A$2:$A$755,"NZ_GDP",Release_Calendar!$B$2:$B$755,$A4526)&gt;0,1,0))</f>
        <v/>
      </c>
      <c r="O4526" s="16" t="str">
        <f>IF($A4526&lt;Notes!$B$5,"",IF(COUNTIFS(Release_Calendar!$A$2:$A$755,"NZ_LABOUR",Release_Calendar!$B$2:$B$755,$A4526)&gt;0,1,0))</f>
        <v/>
      </c>
      <c r="P4526" s="16">
        <f t="shared" si="4"/>
        <v>1</v>
      </c>
    </row>
    <row r="4527" ht="15.75" customHeight="1">
      <c r="A4527" s="14">
        <v>42863.0</v>
      </c>
      <c r="B4527" s="15">
        <v>1.33</v>
      </c>
      <c r="C4527" s="15">
        <v>2.34</v>
      </c>
      <c r="D4527" s="15">
        <v>2.09</v>
      </c>
      <c r="E4527" s="15">
        <v>2.09</v>
      </c>
      <c r="F4527" s="15">
        <f t="shared" si="1"/>
        <v>1.01</v>
      </c>
      <c r="G4527" s="15">
        <f t="shared" si="2"/>
        <v>2.34</v>
      </c>
      <c r="H4527" s="16">
        <v>0.0</v>
      </c>
      <c r="I4527" s="15">
        <f t="shared" si="3"/>
        <v>1.01</v>
      </c>
      <c r="J4527" s="15">
        <v>9.77</v>
      </c>
      <c r="K4527" s="16">
        <f>IF(COUNTIFS(Release_Calendar!$A$2:$A$755,"US_CPI",Release_Calendar!$B$2:$B$755,$A4527)&gt;0,1,0)</f>
        <v>0</v>
      </c>
      <c r="L4527" s="16">
        <f>IF(COUNTIFS(Release_Calendar!$A$2:$A$755,"US_NFP",Release_Calendar!$B$2:$B$755,$A4527)&gt;0,1,0)</f>
        <v>0</v>
      </c>
      <c r="M4527" s="16" t="str">
        <f>IF($A4527&lt;Notes!$B$5,"",IF(COUNTIFS(Release_Calendar!$A$2:$A$755,"NZ_CPI",Release_Calendar!$B$2:$B$755,$A4527)&gt;0,1,0))</f>
        <v/>
      </c>
      <c r="N4527" s="16" t="str">
        <f>IF($A4527&lt;Notes!$B$5,"",IF(COUNTIFS(Release_Calendar!$A$2:$A$755,"NZ_GDP",Release_Calendar!$B$2:$B$755,$A4527)&gt;0,1,0))</f>
        <v/>
      </c>
      <c r="O4527" s="16" t="str">
        <f>IF($A4527&lt;Notes!$B$5,"",IF(COUNTIFS(Release_Calendar!$A$2:$A$755,"NZ_LABOUR",Release_Calendar!$B$2:$B$755,$A4527)&gt;0,1,0))</f>
        <v/>
      </c>
      <c r="P4527" s="16">
        <f t="shared" si="4"/>
        <v>0</v>
      </c>
    </row>
    <row r="4528" ht="15.75" customHeight="1">
      <c r="A4528" s="14">
        <v>42864.0</v>
      </c>
      <c r="B4528" s="15">
        <v>1.37</v>
      </c>
      <c r="C4528" s="15">
        <v>2.35</v>
      </c>
      <c r="D4528" s="15">
        <v>2.12</v>
      </c>
      <c r="E4528" s="15">
        <v>2.11</v>
      </c>
      <c r="F4528" s="15">
        <f t="shared" si="1"/>
        <v>0.98</v>
      </c>
      <c r="G4528" s="15">
        <f t="shared" si="2"/>
        <v>2.35</v>
      </c>
      <c r="H4528" s="16">
        <v>0.0</v>
      </c>
      <c r="I4528" s="15">
        <f t="shared" si="3"/>
        <v>0.98</v>
      </c>
      <c r="J4528" s="15">
        <v>9.96</v>
      </c>
      <c r="K4528" s="16">
        <f>IF(COUNTIFS(Release_Calendar!$A$2:$A$755,"US_CPI",Release_Calendar!$B$2:$B$755,$A4528)&gt;0,1,0)</f>
        <v>0</v>
      </c>
      <c r="L4528" s="16">
        <f>IF(COUNTIFS(Release_Calendar!$A$2:$A$755,"US_NFP",Release_Calendar!$B$2:$B$755,$A4528)&gt;0,1,0)</f>
        <v>0</v>
      </c>
      <c r="M4528" s="16" t="str">
        <f>IF($A4528&lt;Notes!$B$5,"",IF(COUNTIFS(Release_Calendar!$A$2:$A$755,"NZ_CPI",Release_Calendar!$B$2:$B$755,$A4528)&gt;0,1,0))</f>
        <v/>
      </c>
      <c r="N4528" s="16" t="str">
        <f>IF($A4528&lt;Notes!$B$5,"",IF(COUNTIFS(Release_Calendar!$A$2:$A$755,"NZ_GDP",Release_Calendar!$B$2:$B$755,$A4528)&gt;0,1,0))</f>
        <v/>
      </c>
      <c r="O4528" s="16" t="str">
        <f>IF($A4528&lt;Notes!$B$5,"",IF(COUNTIFS(Release_Calendar!$A$2:$A$755,"NZ_LABOUR",Release_Calendar!$B$2:$B$755,$A4528)&gt;0,1,0))</f>
        <v/>
      </c>
      <c r="P4528" s="16">
        <f t="shared" si="4"/>
        <v>0</v>
      </c>
    </row>
    <row r="4529" ht="15.75" customHeight="1">
      <c r="A4529" s="14">
        <v>42865.0</v>
      </c>
      <c r="B4529" s="15">
        <v>1.35</v>
      </c>
      <c r="C4529" s="15">
        <v>2.34</v>
      </c>
      <c r="D4529" s="15">
        <v>2.08</v>
      </c>
      <c r="E4529" s="15">
        <v>2.09</v>
      </c>
      <c r="F4529" s="15">
        <f t="shared" si="1"/>
        <v>0.99</v>
      </c>
      <c r="G4529" s="15">
        <f t="shared" si="2"/>
        <v>2.34</v>
      </c>
      <c r="H4529" s="16">
        <v>0.0</v>
      </c>
      <c r="I4529" s="15">
        <f t="shared" si="3"/>
        <v>0.99</v>
      </c>
      <c r="J4529" s="15">
        <v>10.21</v>
      </c>
      <c r="K4529" s="16">
        <f>IF(COUNTIFS(Release_Calendar!$A$2:$A$755,"US_CPI",Release_Calendar!$B$2:$B$755,$A4529)&gt;0,1,0)</f>
        <v>0</v>
      </c>
      <c r="L4529" s="16">
        <f>IF(COUNTIFS(Release_Calendar!$A$2:$A$755,"US_NFP",Release_Calendar!$B$2:$B$755,$A4529)&gt;0,1,0)</f>
        <v>0</v>
      </c>
      <c r="M4529" s="16" t="str">
        <f>IF($A4529&lt;Notes!$B$5,"",IF(COUNTIFS(Release_Calendar!$A$2:$A$755,"NZ_CPI",Release_Calendar!$B$2:$B$755,$A4529)&gt;0,1,0))</f>
        <v/>
      </c>
      <c r="N4529" s="16" t="str">
        <f>IF($A4529&lt;Notes!$B$5,"",IF(COUNTIFS(Release_Calendar!$A$2:$A$755,"NZ_GDP",Release_Calendar!$B$2:$B$755,$A4529)&gt;0,1,0))</f>
        <v/>
      </c>
      <c r="O4529" s="16" t="str">
        <f>IF($A4529&lt;Notes!$B$5,"",IF(COUNTIFS(Release_Calendar!$A$2:$A$755,"NZ_LABOUR",Release_Calendar!$B$2:$B$755,$A4529)&gt;0,1,0))</f>
        <v/>
      </c>
      <c r="P4529" s="16">
        <f t="shared" si="4"/>
        <v>0</v>
      </c>
    </row>
    <row r="4530" ht="15.75" customHeight="1">
      <c r="A4530" s="14">
        <v>42866.0</v>
      </c>
      <c r="B4530" s="15">
        <v>1.35</v>
      </c>
      <c r="C4530" s="15">
        <v>2.27</v>
      </c>
      <c r="D4530" s="15">
        <v>2.02</v>
      </c>
      <c r="E4530" s="15">
        <v>2.02</v>
      </c>
      <c r="F4530" s="15">
        <f t="shared" si="1"/>
        <v>0.92</v>
      </c>
      <c r="G4530" s="15">
        <f t="shared" si="2"/>
        <v>2.27</v>
      </c>
      <c r="H4530" s="16">
        <v>0.0</v>
      </c>
      <c r="I4530" s="15">
        <f t="shared" si="3"/>
        <v>0.92</v>
      </c>
      <c r="J4530" s="15">
        <v>10.6</v>
      </c>
      <c r="K4530" s="16">
        <f>IF(COUNTIFS(Release_Calendar!$A$2:$A$755,"US_CPI",Release_Calendar!$B$2:$B$755,$A4530)&gt;0,1,0)</f>
        <v>0</v>
      </c>
      <c r="L4530" s="16">
        <f>IF(COUNTIFS(Release_Calendar!$A$2:$A$755,"US_NFP",Release_Calendar!$B$2:$B$755,$A4530)&gt;0,1,0)</f>
        <v>0</v>
      </c>
      <c r="M4530" s="16" t="str">
        <f>IF($A4530&lt;Notes!$B$5,"",IF(COUNTIFS(Release_Calendar!$A$2:$A$755,"NZ_CPI",Release_Calendar!$B$2:$B$755,$A4530)&gt;0,1,0))</f>
        <v/>
      </c>
      <c r="N4530" s="16" t="str">
        <f>IF($A4530&lt;Notes!$B$5,"",IF(COUNTIFS(Release_Calendar!$A$2:$A$755,"NZ_GDP",Release_Calendar!$B$2:$B$755,$A4530)&gt;0,1,0))</f>
        <v/>
      </c>
      <c r="O4530" s="16" t="str">
        <f>IF($A4530&lt;Notes!$B$5,"",IF(COUNTIFS(Release_Calendar!$A$2:$A$755,"NZ_LABOUR",Release_Calendar!$B$2:$B$755,$A4530)&gt;0,1,0))</f>
        <v/>
      </c>
      <c r="P4530" s="16">
        <f t="shared" si="4"/>
        <v>0</v>
      </c>
    </row>
    <row r="4531" ht="15.75" customHeight="1">
      <c r="A4531" s="14">
        <v>42867.0</v>
      </c>
      <c r="B4531" s="15">
        <v>1.29</v>
      </c>
      <c r="C4531" s="15">
        <v>2.23</v>
      </c>
      <c r="D4531" s="15">
        <v>1.98</v>
      </c>
      <c r="E4531" s="15">
        <v>1.97</v>
      </c>
      <c r="F4531" s="15">
        <f t="shared" si="1"/>
        <v>0.94</v>
      </c>
      <c r="G4531" s="15">
        <f t="shared" si="2"/>
        <v>2.23</v>
      </c>
      <c r="H4531" s="16">
        <v>0.0</v>
      </c>
      <c r="I4531" s="15">
        <f t="shared" si="3"/>
        <v>0.94</v>
      </c>
      <c r="J4531" s="15">
        <v>10.4</v>
      </c>
      <c r="K4531" s="16">
        <f>IF(COUNTIFS(Release_Calendar!$A$2:$A$755,"US_CPI",Release_Calendar!$B$2:$B$755,$A4531)&gt;0,1,0)</f>
        <v>1</v>
      </c>
      <c r="L4531" s="16">
        <f>IF(COUNTIFS(Release_Calendar!$A$2:$A$755,"US_NFP",Release_Calendar!$B$2:$B$755,$A4531)&gt;0,1,0)</f>
        <v>0</v>
      </c>
      <c r="M4531" s="16" t="str">
        <f>IF($A4531&lt;Notes!$B$5,"",IF(COUNTIFS(Release_Calendar!$A$2:$A$755,"NZ_CPI",Release_Calendar!$B$2:$B$755,$A4531)&gt;0,1,0))</f>
        <v/>
      </c>
      <c r="N4531" s="16" t="str">
        <f>IF($A4531&lt;Notes!$B$5,"",IF(COUNTIFS(Release_Calendar!$A$2:$A$755,"NZ_GDP",Release_Calendar!$B$2:$B$755,$A4531)&gt;0,1,0))</f>
        <v/>
      </c>
      <c r="O4531" s="16" t="str">
        <f>IF($A4531&lt;Notes!$B$5,"",IF(COUNTIFS(Release_Calendar!$A$2:$A$755,"NZ_LABOUR",Release_Calendar!$B$2:$B$755,$A4531)&gt;0,1,0))</f>
        <v/>
      </c>
      <c r="P4531" s="16">
        <f t="shared" si="4"/>
        <v>1</v>
      </c>
    </row>
    <row r="4532" ht="15.75" customHeight="1">
      <c r="A4532" s="14">
        <v>42870.0</v>
      </c>
      <c r="B4532" s="15">
        <v>1.31</v>
      </c>
      <c r="C4532" s="15">
        <v>2.22</v>
      </c>
      <c r="D4532" s="15">
        <v>1.93</v>
      </c>
      <c r="E4532" s="15">
        <v>1.94</v>
      </c>
      <c r="F4532" s="15">
        <f t="shared" si="1"/>
        <v>0.91</v>
      </c>
      <c r="G4532" s="15">
        <f t="shared" si="2"/>
        <v>2.22</v>
      </c>
      <c r="H4532" s="16">
        <v>0.0</v>
      </c>
      <c r="I4532" s="15">
        <f t="shared" si="3"/>
        <v>0.91</v>
      </c>
      <c r="J4532" s="15">
        <v>10.42</v>
      </c>
      <c r="K4532" s="16">
        <f>IF(COUNTIFS(Release_Calendar!$A$2:$A$755,"US_CPI",Release_Calendar!$B$2:$B$755,$A4532)&gt;0,1,0)</f>
        <v>0</v>
      </c>
      <c r="L4532" s="16">
        <f>IF(COUNTIFS(Release_Calendar!$A$2:$A$755,"US_NFP",Release_Calendar!$B$2:$B$755,$A4532)&gt;0,1,0)</f>
        <v>0</v>
      </c>
      <c r="M4532" s="16" t="str">
        <f>IF($A4532&lt;Notes!$B$5,"",IF(COUNTIFS(Release_Calendar!$A$2:$A$755,"NZ_CPI",Release_Calendar!$B$2:$B$755,$A4532)&gt;0,1,0))</f>
        <v/>
      </c>
      <c r="N4532" s="16" t="str">
        <f>IF($A4532&lt;Notes!$B$5,"",IF(COUNTIFS(Release_Calendar!$A$2:$A$755,"NZ_GDP",Release_Calendar!$B$2:$B$755,$A4532)&gt;0,1,0))</f>
        <v/>
      </c>
      <c r="O4532" s="16" t="str">
        <f>IF($A4532&lt;Notes!$B$5,"",IF(COUNTIFS(Release_Calendar!$A$2:$A$755,"NZ_LABOUR",Release_Calendar!$B$2:$B$755,$A4532)&gt;0,1,0))</f>
        <v/>
      </c>
      <c r="P4532" s="16">
        <f t="shared" si="4"/>
        <v>0</v>
      </c>
    </row>
    <row r="4533" ht="15.75" customHeight="1">
      <c r="A4533" s="14">
        <v>42871.0</v>
      </c>
      <c r="B4533" s="15">
        <v>1.29</v>
      </c>
      <c r="C4533" s="15">
        <v>2.23</v>
      </c>
      <c r="D4533" s="15">
        <v>1.95</v>
      </c>
      <c r="E4533" s="15">
        <v>1.94</v>
      </c>
      <c r="F4533" s="15">
        <f t="shared" si="1"/>
        <v>0.94</v>
      </c>
      <c r="G4533" s="15">
        <f t="shared" si="2"/>
        <v>2.23</v>
      </c>
      <c r="H4533" s="16">
        <v>0.0</v>
      </c>
      <c r="I4533" s="15">
        <f t="shared" si="3"/>
        <v>0.94</v>
      </c>
      <c r="J4533" s="15">
        <v>10.65</v>
      </c>
      <c r="K4533" s="16">
        <f>IF(COUNTIFS(Release_Calendar!$A$2:$A$755,"US_CPI",Release_Calendar!$B$2:$B$755,$A4533)&gt;0,1,0)</f>
        <v>0</v>
      </c>
      <c r="L4533" s="16">
        <f>IF(COUNTIFS(Release_Calendar!$A$2:$A$755,"US_NFP",Release_Calendar!$B$2:$B$755,$A4533)&gt;0,1,0)</f>
        <v>0</v>
      </c>
      <c r="M4533" s="16" t="str">
        <f>IF($A4533&lt;Notes!$B$5,"",IF(COUNTIFS(Release_Calendar!$A$2:$A$755,"NZ_CPI",Release_Calendar!$B$2:$B$755,$A4533)&gt;0,1,0))</f>
        <v/>
      </c>
      <c r="N4533" s="16" t="str">
        <f>IF($A4533&lt;Notes!$B$5,"",IF(COUNTIFS(Release_Calendar!$A$2:$A$755,"NZ_GDP",Release_Calendar!$B$2:$B$755,$A4533)&gt;0,1,0))</f>
        <v/>
      </c>
      <c r="O4533" s="16" t="str">
        <f>IF($A4533&lt;Notes!$B$5,"",IF(COUNTIFS(Release_Calendar!$A$2:$A$755,"NZ_LABOUR",Release_Calendar!$B$2:$B$755,$A4533)&gt;0,1,0))</f>
        <v/>
      </c>
      <c r="P4533" s="16">
        <f t="shared" si="4"/>
        <v>0</v>
      </c>
    </row>
    <row r="4534" ht="15.75" customHeight="1">
      <c r="A4534" s="14">
        <v>42872.0</v>
      </c>
      <c r="B4534" s="15">
        <v>1.26</v>
      </c>
      <c r="C4534" s="15">
        <v>2.22</v>
      </c>
      <c r="D4534" s="15">
        <v>1.92</v>
      </c>
      <c r="E4534" s="15">
        <v>1.93</v>
      </c>
      <c r="F4534" s="15">
        <f t="shared" si="1"/>
        <v>0.96</v>
      </c>
      <c r="G4534" s="15">
        <f t="shared" si="2"/>
        <v>2.22</v>
      </c>
      <c r="H4534" s="16">
        <v>0.0</v>
      </c>
      <c r="I4534" s="15">
        <f t="shared" si="3"/>
        <v>0.96</v>
      </c>
      <c r="J4534" s="15">
        <v>15.59</v>
      </c>
      <c r="K4534" s="16">
        <f>IF(COUNTIFS(Release_Calendar!$A$2:$A$755,"US_CPI",Release_Calendar!$B$2:$B$755,$A4534)&gt;0,1,0)</f>
        <v>0</v>
      </c>
      <c r="L4534" s="16">
        <f>IF(COUNTIFS(Release_Calendar!$A$2:$A$755,"US_NFP",Release_Calendar!$B$2:$B$755,$A4534)&gt;0,1,0)</f>
        <v>0</v>
      </c>
      <c r="M4534" s="16" t="str">
        <f>IF($A4534&lt;Notes!$B$5,"",IF(COUNTIFS(Release_Calendar!$A$2:$A$755,"NZ_CPI",Release_Calendar!$B$2:$B$755,$A4534)&gt;0,1,0))</f>
        <v/>
      </c>
      <c r="N4534" s="16" t="str">
        <f>IF($A4534&lt;Notes!$B$5,"",IF(COUNTIFS(Release_Calendar!$A$2:$A$755,"NZ_GDP",Release_Calendar!$B$2:$B$755,$A4534)&gt;0,1,0))</f>
        <v/>
      </c>
      <c r="O4534" s="16" t="str">
        <f>IF($A4534&lt;Notes!$B$5,"",IF(COUNTIFS(Release_Calendar!$A$2:$A$755,"NZ_LABOUR",Release_Calendar!$B$2:$B$755,$A4534)&gt;0,1,0))</f>
        <v/>
      </c>
      <c r="P4534" s="16">
        <f t="shared" si="4"/>
        <v>0</v>
      </c>
    </row>
    <row r="4535" ht="15.75" customHeight="1">
      <c r="A4535" s="14">
        <v>42873.0</v>
      </c>
      <c r="B4535" s="15">
        <v>1.27</v>
      </c>
      <c r="C4535" s="15">
        <v>2.23</v>
      </c>
      <c r="D4535" s="15">
        <v>1.91</v>
      </c>
      <c r="E4535" s="15">
        <v>1.94</v>
      </c>
      <c r="F4535" s="15">
        <f t="shared" si="1"/>
        <v>0.96</v>
      </c>
      <c r="G4535" s="15">
        <f t="shared" si="2"/>
        <v>2.23</v>
      </c>
      <c r="H4535" s="16">
        <v>0.0</v>
      </c>
      <c r="I4535" s="15">
        <f t="shared" si="3"/>
        <v>0.96</v>
      </c>
      <c r="J4535" s="15">
        <v>14.66</v>
      </c>
      <c r="K4535" s="16">
        <f>IF(COUNTIFS(Release_Calendar!$A$2:$A$755,"US_CPI",Release_Calendar!$B$2:$B$755,$A4535)&gt;0,1,0)</f>
        <v>0</v>
      </c>
      <c r="L4535" s="16">
        <f>IF(COUNTIFS(Release_Calendar!$A$2:$A$755,"US_NFP",Release_Calendar!$B$2:$B$755,$A4535)&gt;0,1,0)</f>
        <v>0</v>
      </c>
      <c r="M4535" s="16" t="str">
        <f>IF($A4535&lt;Notes!$B$5,"",IF(COUNTIFS(Release_Calendar!$A$2:$A$755,"NZ_CPI",Release_Calendar!$B$2:$B$755,$A4535)&gt;0,1,0))</f>
        <v/>
      </c>
      <c r="N4535" s="16" t="str">
        <f>IF($A4535&lt;Notes!$B$5,"",IF(COUNTIFS(Release_Calendar!$A$2:$A$755,"NZ_GDP",Release_Calendar!$B$2:$B$755,$A4535)&gt;0,1,0))</f>
        <v/>
      </c>
      <c r="O4535" s="16" t="str">
        <f>IF($A4535&lt;Notes!$B$5,"",IF(COUNTIFS(Release_Calendar!$A$2:$A$755,"NZ_LABOUR",Release_Calendar!$B$2:$B$755,$A4535)&gt;0,1,0))</f>
        <v/>
      </c>
      <c r="P4535" s="16">
        <f t="shared" si="4"/>
        <v>0</v>
      </c>
    </row>
    <row r="4536" ht="15.75" customHeight="1">
      <c r="A4536" s="14">
        <v>42874.0</v>
      </c>
      <c r="B4536" s="15">
        <v>1.28</v>
      </c>
      <c r="C4536" s="15">
        <v>2.23</v>
      </c>
      <c r="D4536" s="15">
        <v>1.95</v>
      </c>
      <c r="E4536" s="15">
        <v>1.94</v>
      </c>
      <c r="F4536" s="15">
        <f t="shared" si="1"/>
        <v>0.95</v>
      </c>
      <c r="G4536" s="15">
        <f t="shared" si="2"/>
        <v>2.23</v>
      </c>
      <c r="H4536" s="16">
        <v>0.0</v>
      </c>
      <c r="I4536" s="15">
        <f t="shared" si="3"/>
        <v>0.95</v>
      </c>
      <c r="J4536" s="15">
        <v>12.04</v>
      </c>
      <c r="K4536" s="16">
        <f>IF(COUNTIFS(Release_Calendar!$A$2:$A$755,"US_CPI",Release_Calendar!$B$2:$B$755,$A4536)&gt;0,1,0)</f>
        <v>0</v>
      </c>
      <c r="L4536" s="16">
        <f>IF(COUNTIFS(Release_Calendar!$A$2:$A$755,"US_NFP",Release_Calendar!$B$2:$B$755,$A4536)&gt;0,1,0)</f>
        <v>0</v>
      </c>
      <c r="M4536" s="16" t="str">
        <f>IF($A4536&lt;Notes!$B$5,"",IF(COUNTIFS(Release_Calendar!$A$2:$A$755,"NZ_CPI",Release_Calendar!$B$2:$B$755,$A4536)&gt;0,1,0))</f>
        <v/>
      </c>
      <c r="N4536" s="16" t="str">
        <f>IF($A4536&lt;Notes!$B$5,"",IF(COUNTIFS(Release_Calendar!$A$2:$A$755,"NZ_GDP",Release_Calendar!$B$2:$B$755,$A4536)&gt;0,1,0))</f>
        <v/>
      </c>
      <c r="O4536" s="16" t="str">
        <f>IF($A4536&lt;Notes!$B$5,"",IF(COUNTIFS(Release_Calendar!$A$2:$A$755,"NZ_LABOUR",Release_Calendar!$B$2:$B$755,$A4536)&gt;0,1,0))</f>
        <v/>
      </c>
      <c r="P4536" s="16">
        <f t="shared" si="4"/>
        <v>0</v>
      </c>
    </row>
    <row r="4537" ht="15.75" customHeight="1">
      <c r="A4537" s="14">
        <v>42877.0</v>
      </c>
      <c r="B4537" s="15">
        <v>1.29</v>
      </c>
      <c r="C4537" s="15">
        <v>2.24</v>
      </c>
      <c r="D4537" s="15">
        <v>1.94</v>
      </c>
      <c r="E4537" s="15">
        <v>1.95</v>
      </c>
      <c r="F4537" s="15">
        <f t="shared" si="1"/>
        <v>0.95</v>
      </c>
      <c r="G4537" s="15">
        <f t="shared" si="2"/>
        <v>2.24</v>
      </c>
      <c r="H4537" s="16">
        <v>0.0</v>
      </c>
      <c r="I4537" s="15">
        <f t="shared" si="3"/>
        <v>0.95</v>
      </c>
      <c r="J4537" s="15">
        <v>10.93</v>
      </c>
      <c r="K4537" s="16">
        <f>IF(COUNTIFS(Release_Calendar!$A$2:$A$755,"US_CPI",Release_Calendar!$B$2:$B$755,$A4537)&gt;0,1,0)</f>
        <v>0</v>
      </c>
      <c r="L4537" s="16">
        <f>IF(COUNTIFS(Release_Calendar!$A$2:$A$755,"US_NFP",Release_Calendar!$B$2:$B$755,$A4537)&gt;0,1,0)</f>
        <v>0</v>
      </c>
      <c r="M4537" s="16" t="str">
        <f>IF($A4537&lt;Notes!$B$5,"",IF(COUNTIFS(Release_Calendar!$A$2:$A$755,"NZ_CPI",Release_Calendar!$B$2:$B$755,$A4537)&gt;0,1,0))</f>
        <v/>
      </c>
      <c r="N4537" s="16" t="str">
        <f>IF($A4537&lt;Notes!$B$5,"",IF(COUNTIFS(Release_Calendar!$A$2:$A$755,"NZ_GDP",Release_Calendar!$B$2:$B$755,$A4537)&gt;0,1,0))</f>
        <v/>
      </c>
      <c r="O4537" s="16" t="str">
        <f>IF($A4537&lt;Notes!$B$5,"",IF(COUNTIFS(Release_Calendar!$A$2:$A$755,"NZ_LABOUR",Release_Calendar!$B$2:$B$755,$A4537)&gt;0,1,0))</f>
        <v/>
      </c>
      <c r="P4537" s="16">
        <f t="shared" si="4"/>
        <v>0</v>
      </c>
    </row>
    <row r="4538" ht="15.75" customHeight="1">
      <c r="A4538" s="14">
        <v>42878.0</v>
      </c>
      <c r="B4538" s="15">
        <v>1.31</v>
      </c>
      <c r="C4538" s="15">
        <v>2.23</v>
      </c>
      <c r="D4538" s="15">
        <v>1.94</v>
      </c>
      <c r="E4538" s="15">
        <v>1.93</v>
      </c>
      <c r="F4538" s="15">
        <f t="shared" si="1"/>
        <v>0.92</v>
      </c>
      <c r="G4538" s="15">
        <f t="shared" si="2"/>
        <v>2.23</v>
      </c>
      <c r="H4538" s="16">
        <v>0.0</v>
      </c>
      <c r="I4538" s="15">
        <f t="shared" si="3"/>
        <v>0.92</v>
      </c>
      <c r="J4538" s="15">
        <v>10.72</v>
      </c>
      <c r="K4538" s="16">
        <f>IF(COUNTIFS(Release_Calendar!$A$2:$A$755,"US_CPI",Release_Calendar!$B$2:$B$755,$A4538)&gt;0,1,0)</f>
        <v>0</v>
      </c>
      <c r="L4538" s="16">
        <f>IF(COUNTIFS(Release_Calendar!$A$2:$A$755,"US_NFP",Release_Calendar!$B$2:$B$755,$A4538)&gt;0,1,0)</f>
        <v>0</v>
      </c>
      <c r="M4538" s="16" t="str">
        <f>IF($A4538&lt;Notes!$B$5,"",IF(COUNTIFS(Release_Calendar!$A$2:$A$755,"NZ_CPI",Release_Calendar!$B$2:$B$755,$A4538)&gt;0,1,0))</f>
        <v/>
      </c>
      <c r="N4538" s="16" t="str">
        <f>IF($A4538&lt;Notes!$B$5,"",IF(COUNTIFS(Release_Calendar!$A$2:$A$755,"NZ_GDP",Release_Calendar!$B$2:$B$755,$A4538)&gt;0,1,0))</f>
        <v/>
      </c>
      <c r="O4538" s="16" t="str">
        <f>IF($A4538&lt;Notes!$B$5,"",IF(COUNTIFS(Release_Calendar!$A$2:$A$755,"NZ_LABOUR",Release_Calendar!$B$2:$B$755,$A4538)&gt;0,1,0))</f>
        <v/>
      </c>
      <c r="P4538" s="16">
        <f t="shared" si="4"/>
        <v>0</v>
      </c>
    </row>
    <row r="4539" ht="15.75" customHeight="1">
      <c r="A4539" s="14">
        <v>42879.0</v>
      </c>
      <c r="B4539" s="15">
        <v>1.29</v>
      </c>
      <c r="C4539" s="15">
        <v>2.23</v>
      </c>
      <c r="D4539" s="15">
        <v>1.96</v>
      </c>
      <c r="E4539" s="15">
        <v>1.94</v>
      </c>
      <c r="F4539" s="15">
        <f t="shared" si="1"/>
        <v>0.94</v>
      </c>
      <c r="G4539" s="15">
        <f t="shared" si="2"/>
        <v>2.23</v>
      </c>
      <c r="H4539" s="16">
        <v>0.0</v>
      </c>
      <c r="I4539" s="15">
        <f t="shared" si="3"/>
        <v>0.94</v>
      </c>
      <c r="J4539" s="15">
        <v>10.02</v>
      </c>
      <c r="K4539" s="16">
        <f>IF(COUNTIFS(Release_Calendar!$A$2:$A$755,"US_CPI",Release_Calendar!$B$2:$B$755,$A4539)&gt;0,1,0)</f>
        <v>0</v>
      </c>
      <c r="L4539" s="16">
        <f>IF(COUNTIFS(Release_Calendar!$A$2:$A$755,"US_NFP",Release_Calendar!$B$2:$B$755,$A4539)&gt;0,1,0)</f>
        <v>0</v>
      </c>
      <c r="M4539" s="16" t="str">
        <f>IF($A4539&lt;Notes!$B$5,"",IF(COUNTIFS(Release_Calendar!$A$2:$A$755,"NZ_CPI",Release_Calendar!$B$2:$B$755,$A4539)&gt;0,1,0))</f>
        <v/>
      </c>
      <c r="N4539" s="16" t="str">
        <f>IF($A4539&lt;Notes!$B$5,"",IF(COUNTIFS(Release_Calendar!$A$2:$A$755,"NZ_GDP",Release_Calendar!$B$2:$B$755,$A4539)&gt;0,1,0))</f>
        <v/>
      </c>
      <c r="O4539" s="16" t="str">
        <f>IF($A4539&lt;Notes!$B$5,"",IF(COUNTIFS(Release_Calendar!$A$2:$A$755,"NZ_LABOUR",Release_Calendar!$B$2:$B$755,$A4539)&gt;0,1,0))</f>
        <v/>
      </c>
      <c r="P4539" s="16">
        <f t="shared" si="4"/>
        <v>0</v>
      </c>
    </row>
    <row r="4540" ht="15.75" customHeight="1">
      <c r="A4540" s="14">
        <v>42880.0</v>
      </c>
      <c r="B4540" s="15">
        <v>1.3</v>
      </c>
      <c r="C4540" s="15">
        <v>2.22</v>
      </c>
      <c r="D4540" s="15">
        <v>1.93</v>
      </c>
      <c r="E4540" s="15">
        <v>1.94</v>
      </c>
      <c r="F4540" s="15">
        <f t="shared" si="1"/>
        <v>0.92</v>
      </c>
      <c r="G4540" s="15">
        <f t="shared" si="2"/>
        <v>2.22</v>
      </c>
      <c r="H4540" s="16">
        <v>0.0</v>
      </c>
      <c r="I4540" s="15">
        <f t="shared" si="3"/>
        <v>0.92</v>
      </c>
      <c r="J4540" s="15">
        <v>9.99</v>
      </c>
      <c r="K4540" s="16">
        <f>IF(COUNTIFS(Release_Calendar!$A$2:$A$755,"US_CPI",Release_Calendar!$B$2:$B$755,$A4540)&gt;0,1,0)</f>
        <v>0</v>
      </c>
      <c r="L4540" s="16">
        <f>IF(COUNTIFS(Release_Calendar!$A$2:$A$755,"US_NFP",Release_Calendar!$B$2:$B$755,$A4540)&gt;0,1,0)</f>
        <v>0</v>
      </c>
      <c r="M4540" s="16" t="str">
        <f>IF($A4540&lt;Notes!$B$5,"",IF(COUNTIFS(Release_Calendar!$A$2:$A$755,"NZ_CPI",Release_Calendar!$B$2:$B$755,$A4540)&gt;0,1,0))</f>
        <v/>
      </c>
      <c r="N4540" s="16" t="str">
        <f>IF($A4540&lt;Notes!$B$5,"",IF(COUNTIFS(Release_Calendar!$A$2:$A$755,"NZ_GDP",Release_Calendar!$B$2:$B$755,$A4540)&gt;0,1,0))</f>
        <v/>
      </c>
      <c r="O4540" s="16" t="str">
        <f>IF($A4540&lt;Notes!$B$5,"",IF(COUNTIFS(Release_Calendar!$A$2:$A$755,"NZ_LABOUR",Release_Calendar!$B$2:$B$755,$A4540)&gt;0,1,0))</f>
        <v/>
      </c>
      <c r="P4540" s="16">
        <f t="shared" si="4"/>
        <v>0</v>
      </c>
    </row>
    <row r="4541" ht="15.75" customHeight="1">
      <c r="A4541" s="14">
        <v>42881.0</v>
      </c>
      <c r="B4541" s="15">
        <v>1.3</v>
      </c>
      <c r="C4541" s="15">
        <v>2.21</v>
      </c>
      <c r="D4541" s="15">
        <v>1.92</v>
      </c>
      <c r="E4541" s="15">
        <v>1.93</v>
      </c>
      <c r="F4541" s="15">
        <f t="shared" si="1"/>
        <v>0.91</v>
      </c>
      <c r="G4541" s="15">
        <f t="shared" si="2"/>
        <v>2.21</v>
      </c>
      <c r="H4541" s="16">
        <v>0.0</v>
      </c>
      <c r="I4541" s="15">
        <f t="shared" si="3"/>
        <v>0.91</v>
      </c>
      <c r="J4541" s="15">
        <v>9.81</v>
      </c>
      <c r="K4541" s="16">
        <f>IF(COUNTIFS(Release_Calendar!$A$2:$A$755,"US_CPI",Release_Calendar!$B$2:$B$755,$A4541)&gt;0,1,0)</f>
        <v>0</v>
      </c>
      <c r="L4541" s="16">
        <f>IF(COUNTIFS(Release_Calendar!$A$2:$A$755,"US_NFP",Release_Calendar!$B$2:$B$755,$A4541)&gt;0,1,0)</f>
        <v>0</v>
      </c>
      <c r="M4541" s="16" t="str">
        <f>IF($A4541&lt;Notes!$B$5,"",IF(COUNTIFS(Release_Calendar!$A$2:$A$755,"NZ_CPI",Release_Calendar!$B$2:$B$755,$A4541)&gt;0,1,0))</f>
        <v/>
      </c>
      <c r="N4541" s="16" t="str">
        <f>IF($A4541&lt;Notes!$B$5,"",IF(COUNTIFS(Release_Calendar!$A$2:$A$755,"NZ_GDP",Release_Calendar!$B$2:$B$755,$A4541)&gt;0,1,0))</f>
        <v/>
      </c>
      <c r="O4541" s="16" t="str">
        <f>IF($A4541&lt;Notes!$B$5,"",IF(COUNTIFS(Release_Calendar!$A$2:$A$755,"NZ_LABOUR",Release_Calendar!$B$2:$B$755,$A4541)&gt;0,1,0))</f>
        <v/>
      </c>
      <c r="P4541" s="16">
        <f t="shared" si="4"/>
        <v>0</v>
      </c>
    </row>
    <row r="4542" ht="15.75" customHeight="1">
      <c r="A4542" s="14">
        <v>42884.0</v>
      </c>
      <c r="B4542" s="15"/>
      <c r="C4542" s="15">
        <v>2.23</v>
      </c>
      <c r="D4542" s="15">
        <v>1.93</v>
      </c>
      <c r="E4542" s="15">
        <v>1.95</v>
      </c>
      <c r="F4542" s="15" t="str">
        <f t="shared" si="1"/>
        <v/>
      </c>
      <c r="G4542" s="15">
        <f t="shared" si="2"/>
        <v>2.23</v>
      </c>
      <c r="H4542" s="16">
        <v>0.0</v>
      </c>
      <c r="I4542" s="15" t="str">
        <f t="shared" si="3"/>
        <v/>
      </c>
      <c r="J4542" s="15"/>
      <c r="K4542" s="16">
        <f>IF(COUNTIFS(Release_Calendar!$A$2:$A$755,"US_CPI",Release_Calendar!$B$2:$B$755,$A4542)&gt;0,1,0)</f>
        <v>0</v>
      </c>
      <c r="L4542" s="16">
        <f>IF(COUNTIFS(Release_Calendar!$A$2:$A$755,"US_NFP",Release_Calendar!$B$2:$B$755,$A4542)&gt;0,1,0)</f>
        <v>0</v>
      </c>
      <c r="M4542" s="16" t="str">
        <f>IF($A4542&lt;Notes!$B$5,"",IF(COUNTIFS(Release_Calendar!$A$2:$A$755,"NZ_CPI",Release_Calendar!$B$2:$B$755,$A4542)&gt;0,1,0))</f>
        <v/>
      </c>
      <c r="N4542" s="16" t="str">
        <f>IF($A4542&lt;Notes!$B$5,"",IF(COUNTIFS(Release_Calendar!$A$2:$A$755,"NZ_GDP",Release_Calendar!$B$2:$B$755,$A4542)&gt;0,1,0))</f>
        <v/>
      </c>
      <c r="O4542" s="16" t="str">
        <f>IF($A4542&lt;Notes!$B$5,"",IF(COUNTIFS(Release_Calendar!$A$2:$A$755,"NZ_LABOUR",Release_Calendar!$B$2:$B$755,$A4542)&gt;0,1,0))</f>
        <v/>
      </c>
      <c r="P4542" s="16">
        <f t="shared" si="4"/>
        <v>0</v>
      </c>
    </row>
    <row r="4543" ht="15.75" customHeight="1">
      <c r="A4543" s="14">
        <v>42885.0</v>
      </c>
      <c r="B4543" s="15">
        <v>1.28</v>
      </c>
      <c r="C4543" s="15">
        <v>2.23</v>
      </c>
      <c r="D4543" s="15">
        <v>1.94</v>
      </c>
      <c r="E4543" s="15">
        <v>1.94</v>
      </c>
      <c r="F4543" s="15">
        <f t="shared" si="1"/>
        <v>0.95</v>
      </c>
      <c r="G4543" s="15">
        <f t="shared" si="2"/>
        <v>2.23</v>
      </c>
      <c r="H4543" s="16">
        <v>0.0</v>
      </c>
      <c r="I4543" s="15">
        <f t="shared" si="3"/>
        <v>0.95</v>
      </c>
      <c r="J4543" s="15">
        <v>10.38</v>
      </c>
      <c r="K4543" s="16">
        <f>IF(COUNTIFS(Release_Calendar!$A$2:$A$755,"US_CPI",Release_Calendar!$B$2:$B$755,$A4543)&gt;0,1,0)</f>
        <v>0</v>
      </c>
      <c r="L4543" s="16">
        <f>IF(COUNTIFS(Release_Calendar!$A$2:$A$755,"US_NFP",Release_Calendar!$B$2:$B$755,$A4543)&gt;0,1,0)</f>
        <v>0</v>
      </c>
      <c r="M4543" s="16" t="str">
        <f>IF($A4543&lt;Notes!$B$5,"",IF(COUNTIFS(Release_Calendar!$A$2:$A$755,"NZ_CPI",Release_Calendar!$B$2:$B$755,$A4543)&gt;0,1,0))</f>
        <v/>
      </c>
      <c r="N4543" s="16" t="str">
        <f>IF($A4543&lt;Notes!$B$5,"",IF(COUNTIFS(Release_Calendar!$A$2:$A$755,"NZ_GDP",Release_Calendar!$B$2:$B$755,$A4543)&gt;0,1,0))</f>
        <v/>
      </c>
      <c r="O4543" s="16" t="str">
        <f>IF($A4543&lt;Notes!$B$5,"",IF(COUNTIFS(Release_Calendar!$A$2:$A$755,"NZ_LABOUR",Release_Calendar!$B$2:$B$755,$A4543)&gt;0,1,0))</f>
        <v/>
      </c>
      <c r="P4543" s="16">
        <f t="shared" si="4"/>
        <v>0</v>
      </c>
    </row>
    <row r="4544" ht="15.75" customHeight="1">
      <c r="A4544" s="14">
        <v>42886.0</v>
      </c>
      <c r="B4544" s="15">
        <v>1.28</v>
      </c>
      <c r="C4544" s="15">
        <v>2.21</v>
      </c>
      <c r="D4544" s="15">
        <v>1.92</v>
      </c>
      <c r="E4544" s="15">
        <v>1.92</v>
      </c>
      <c r="F4544" s="15">
        <f t="shared" si="1"/>
        <v>0.93</v>
      </c>
      <c r="G4544" s="15">
        <f t="shared" si="2"/>
        <v>2.21</v>
      </c>
      <c r="H4544" s="16">
        <v>0.0</v>
      </c>
      <c r="I4544" s="15">
        <f t="shared" si="3"/>
        <v>0.93</v>
      </c>
      <c r="J4544" s="15">
        <v>10.41</v>
      </c>
      <c r="K4544" s="16">
        <f>IF(COUNTIFS(Release_Calendar!$A$2:$A$755,"US_CPI",Release_Calendar!$B$2:$B$755,$A4544)&gt;0,1,0)</f>
        <v>0</v>
      </c>
      <c r="L4544" s="16">
        <f>IF(COUNTIFS(Release_Calendar!$A$2:$A$755,"US_NFP",Release_Calendar!$B$2:$B$755,$A4544)&gt;0,1,0)</f>
        <v>0</v>
      </c>
      <c r="M4544" s="16" t="str">
        <f>IF($A4544&lt;Notes!$B$5,"",IF(COUNTIFS(Release_Calendar!$A$2:$A$755,"NZ_CPI",Release_Calendar!$B$2:$B$755,$A4544)&gt;0,1,0))</f>
        <v/>
      </c>
      <c r="N4544" s="16" t="str">
        <f>IF($A4544&lt;Notes!$B$5,"",IF(COUNTIFS(Release_Calendar!$A$2:$A$755,"NZ_GDP",Release_Calendar!$B$2:$B$755,$A4544)&gt;0,1,0))</f>
        <v/>
      </c>
      <c r="O4544" s="16" t="str">
        <f>IF($A4544&lt;Notes!$B$5,"",IF(COUNTIFS(Release_Calendar!$A$2:$A$755,"NZ_LABOUR",Release_Calendar!$B$2:$B$755,$A4544)&gt;0,1,0))</f>
        <v/>
      </c>
      <c r="P4544" s="16">
        <f t="shared" si="4"/>
        <v>0</v>
      </c>
    </row>
    <row r="4545" ht="15.75" customHeight="1">
      <c r="A4545" s="14">
        <v>42887.0</v>
      </c>
      <c r="B4545" s="15">
        <v>1.28</v>
      </c>
      <c r="C4545" s="15">
        <v>2.19</v>
      </c>
      <c r="D4545" s="15">
        <v>1.92</v>
      </c>
      <c r="E4545" s="15">
        <v>1.92</v>
      </c>
      <c r="F4545" s="15">
        <f t="shared" si="1"/>
        <v>0.91</v>
      </c>
      <c r="G4545" s="15">
        <f t="shared" si="2"/>
        <v>2.19</v>
      </c>
      <c r="H4545" s="16">
        <v>0.0</v>
      </c>
      <c r="I4545" s="15">
        <f t="shared" si="3"/>
        <v>0.91</v>
      </c>
      <c r="J4545" s="15">
        <v>9.89</v>
      </c>
      <c r="K4545" s="16">
        <f>IF(COUNTIFS(Release_Calendar!$A$2:$A$755,"US_CPI",Release_Calendar!$B$2:$B$755,$A4545)&gt;0,1,0)</f>
        <v>0</v>
      </c>
      <c r="L4545" s="16">
        <f>IF(COUNTIFS(Release_Calendar!$A$2:$A$755,"US_NFP",Release_Calendar!$B$2:$B$755,$A4545)&gt;0,1,0)</f>
        <v>0</v>
      </c>
      <c r="M4545" s="16" t="str">
        <f>IF($A4545&lt;Notes!$B$5,"",IF(COUNTIFS(Release_Calendar!$A$2:$A$755,"NZ_CPI",Release_Calendar!$B$2:$B$755,$A4545)&gt;0,1,0))</f>
        <v/>
      </c>
      <c r="N4545" s="16" t="str">
        <f>IF($A4545&lt;Notes!$B$5,"",IF(COUNTIFS(Release_Calendar!$A$2:$A$755,"NZ_GDP",Release_Calendar!$B$2:$B$755,$A4545)&gt;0,1,0))</f>
        <v/>
      </c>
      <c r="O4545" s="16" t="str">
        <f>IF($A4545&lt;Notes!$B$5,"",IF(COUNTIFS(Release_Calendar!$A$2:$A$755,"NZ_LABOUR",Release_Calendar!$B$2:$B$755,$A4545)&gt;0,1,0))</f>
        <v/>
      </c>
      <c r="P4545" s="16">
        <f t="shared" si="4"/>
        <v>0</v>
      </c>
    </row>
    <row r="4546" ht="15.75" customHeight="1">
      <c r="A4546" s="14">
        <v>42888.0</v>
      </c>
      <c r="B4546" s="15">
        <v>1.28</v>
      </c>
      <c r="C4546" s="15">
        <v>2.21</v>
      </c>
      <c r="D4546" s="15">
        <v>1.93</v>
      </c>
      <c r="E4546" s="15">
        <v>1.94</v>
      </c>
      <c r="F4546" s="15">
        <f t="shared" si="1"/>
        <v>0.93</v>
      </c>
      <c r="G4546" s="15">
        <f t="shared" si="2"/>
        <v>2.21</v>
      </c>
      <c r="H4546" s="16">
        <v>0.0</v>
      </c>
      <c r="I4546" s="15">
        <f t="shared" si="3"/>
        <v>0.93</v>
      </c>
      <c r="J4546" s="15">
        <v>9.75</v>
      </c>
      <c r="K4546" s="16">
        <f>IF(COUNTIFS(Release_Calendar!$A$2:$A$755,"US_CPI",Release_Calendar!$B$2:$B$755,$A4546)&gt;0,1,0)</f>
        <v>0</v>
      </c>
      <c r="L4546" s="16">
        <f>IF(COUNTIFS(Release_Calendar!$A$2:$A$755,"US_NFP",Release_Calendar!$B$2:$B$755,$A4546)&gt;0,1,0)</f>
        <v>1</v>
      </c>
      <c r="M4546" s="16" t="str">
        <f>IF($A4546&lt;Notes!$B$5,"",IF(COUNTIFS(Release_Calendar!$A$2:$A$755,"NZ_CPI",Release_Calendar!$B$2:$B$755,$A4546)&gt;0,1,0))</f>
        <v/>
      </c>
      <c r="N4546" s="16" t="str">
        <f>IF($A4546&lt;Notes!$B$5,"",IF(COUNTIFS(Release_Calendar!$A$2:$A$755,"NZ_GDP",Release_Calendar!$B$2:$B$755,$A4546)&gt;0,1,0))</f>
        <v/>
      </c>
      <c r="O4546" s="16" t="str">
        <f>IF($A4546&lt;Notes!$B$5,"",IF(COUNTIFS(Release_Calendar!$A$2:$A$755,"NZ_LABOUR",Release_Calendar!$B$2:$B$755,$A4546)&gt;0,1,0))</f>
        <v/>
      </c>
      <c r="P4546" s="16">
        <f t="shared" si="4"/>
        <v>1</v>
      </c>
    </row>
    <row r="4547" ht="15.75" customHeight="1">
      <c r="A4547" s="14">
        <v>42891.0</v>
      </c>
      <c r="B4547" s="15">
        <v>1.32</v>
      </c>
      <c r="C4547" s="15"/>
      <c r="D4547" s="15"/>
      <c r="E4547" s="15"/>
      <c r="F4547" s="15" t="str">
        <f t="shared" si="1"/>
        <v/>
      </c>
      <c r="G4547" s="15" t="str">
        <f t="shared" si="2"/>
        <v/>
      </c>
      <c r="H4547" s="16">
        <v>0.0</v>
      </c>
      <c r="I4547" s="15" t="str">
        <f t="shared" si="3"/>
        <v/>
      </c>
      <c r="J4547" s="15">
        <v>10.07</v>
      </c>
      <c r="K4547" s="16">
        <f>IF(COUNTIFS(Release_Calendar!$A$2:$A$755,"US_CPI",Release_Calendar!$B$2:$B$755,$A4547)&gt;0,1,0)</f>
        <v>0</v>
      </c>
      <c r="L4547" s="16">
        <f>IF(COUNTIFS(Release_Calendar!$A$2:$A$755,"US_NFP",Release_Calendar!$B$2:$B$755,$A4547)&gt;0,1,0)</f>
        <v>0</v>
      </c>
      <c r="M4547" s="16" t="str">
        <f>IF($A4547&lt;Notes!$B$5,"",IF(COUNTIFS(Release_Calendar!$A$2:$A$755,"NZ_CPI",Release_Calendar!$B$2:$B$755,$A4547)&gt;0,1,0))</f>
        <v/>
      </c>
      <c r="N4547" s="16" t="str">
        <f>IF($A4547&lt;Notes!$B$5,"",IF(COUNTIFS(Release_Calendar!$A$2:$A$755,"NZ_GDP",Release_Calendar!$B$2:$B$755,$A4547)&gt;0,1,0))</f>
        <v/>
      </c>
      <c r="O4547" s="16" t="str">
        <f>IF($A4547&lt;Notes!$B$5,"",IF(COUNTIFS(Release_Calendar!$A$2:$A$755,"NZ_LABOUR",Release_Calendar!$B$2:$B$755,$A4547)&gt;0,1,0))</f>
        <v/>
      </c>
      <c r="P4547" s="16">
        <f t="shared" si="4"/>
        <v>0</v>
      </c>
    </row>
    <row r="4548" ht="15.75" customHeight="1">
      <c r="A4548" s="14">
        <v>42892.0</v>
      </c>
      <c r="B4548" s="15">
        <v>1.3</v>
      </c>
      <c r="C4548" s="15">
        <v>2.19</v>
      </c>
      <c r="D4548" s="15">
        <v>1.93</v>
      </c>
      <c r="E4548" s="15">
        <v>1.91</v>
      </c>
      <c r="F4548" s="15">
        <f t="shared" si="1"/>
        <v>0.89</v>
      </c>
      <c r="G4548" s="15">
        <f t="shared" si="2"/>
        <v>2.19</v>
      </c>
      <c r="H4548" s="16">
        <v>0.0</v>
      </c>
      <c r="I4548" s="15">
        <f t="shared" si="3"/>
        <v>0.89</v>
      </c>
      <c r="J4548" s="15">
        <v>10.45</v>
      </c>
      <c r="K4548" s="16">
        <f>IF(COUNTIFS(Release_Calendar!$A$2:$A$755,"US_CPI",Release_Calendar!$B$2:$B$755,$A4548)&gt;0,1,0)</f>
        <v>0</v>
      </c>
      <c r="L4548" s="16">
        <f>IF(COUNTIFS(Release_Calendar!$A$2:$A$755,"US_NFP",Release_Calendar!$B$2:$B$755,$A4548)&gt;0,1,0)</f>
        <v>0</v>
      </c>
      <c r="M4548" s="16" t="str">
        <f>IF($A4548&lt;Notes!$B$5,"",IF(COUNTIFS(Release_Calendar!$A$2:$A$755,"NZ_CPI",Release_Calendar!$B$2:$B$755,$A4548)&gt;0,1,0))</f>
        <v/>
      </c>
      <c r="N4548" s="16" t="str">
        <f>IF($A4548&lt;Notes!$B$5,"",IF(COUNTIFS(Release_Calendar!$A$2:$A$755,"NZ_GDP",Release_Calendar!$B$2:$B$755,$A4548)&gt;0,1,0))</f>
        <v/>
      </c>
      <c r="O4548" s="16" t="str">
        <f>IF($A4548&lt;Notes!$B$5,"",IF(COUNTIFS(Release_Calendar!$A$2:$A$755,"NZ_LABOUR",Release_Calendar!$B$2:$B$755,$A4548)&gt;0,1,0))</f>
        <v/>
      </c>
      <c r="P4548" s="16">
        <f t="shared" si="4"/>
        <v>0</v>
      </c>
    </row>
    <row r="4549" ht="15.75" customHeight="1">
      <c r="A4549" s="14">
        <v>42893.0</v>
      </c>
      <c r="B4549" s="15">
        <v>1.32</v>
      </c>
      <c r="C4549" s="15">
        <v>2.18</v>
      </c>
      <c r="D4549" s="15">
        <v>1.89</v>
      </c>
      <c r="E4549" s="15">
        <v>1.91</v>
      </c>
      <c r="F4549" s="15">
        <f t="shared" si="1"/>
        <v>0.86</v>
      </c>
      <c r="G4549" s="15">
        <f t="shared" si="2"/>
        <v>2.18</v>
      </c>
      <c r="H4549" s="16">
        <v>0.0</v>
      </c>
      <c r="I4549" s="15">
        <f t="shared" si="3"/>
        <v>0.86</v>
      </c>
      <c r="J4549" s="15">
        <v>10.39</v>
      </c>
      <c r="K4549" s="16">
        <f>IF(COUNTIFS(Release_Calendar!$A$2:$A$755,"US_CPI",Release_Calendar!$B$2:$B$755,$A4549)&gt;0,1,0)</f>
        <v>0</v>
      </c>
      <c r="L4549" s="16">
        <f>IF(COUNTIFS(Release_Calendar!$A$2:$A$755,"US_NFP",Release_Calendar!$B$2:$B$755,$A4549)&gt;0,1,0)</f>
        <v>0</v>
      </c>
      <c r="M4549" s="16" t="str">
        <f>IF($A4549&lt;Notes!$B$5,"",IF(COUNTIFS(Release_Calendar!$A$2:$A$755,"NZ_CPI",Release_Calendar!$B$2:$B$755,$A4549)&gt;0,1,0))</f>
        <v/>
      </c>
      <c r="N4549" s="16" t="str">
        <f>IF($A4549&lt;Notes!$B$5,"",IF(COUNTIFS(Release_Calendar!$A$2:$A$755,"NZ_GDP",Release_Calendar!$B$2:$B$755,$A4549)&gt;0,1,0))</f>
        <v/>
      </c>
      <c r="O4549" s="16" t="str">
        <f>IF($A4549&lt;Notes!$B$5,"",IF(COUNTIFS(Release_Calendar!$A$2:$A$755,"NZ_LABOUR",Release_Calendar!$B$2:$B$755,$A4549)&gt;0,1,0))</f>
        <v/>
      </c>
      <c r="P4549" s="16">
        <f t="shared" si="4"/>
        <v>0</v>
      </c>
    </row>
    <row r="4550" ht="15.75" customHeight="1">
      <c r="A4550" s="14">
        <v>42894.0</v>
      </c>
      <c r="B4550" s="15">
        <v>1.33</v>
      </c>
      <c r="C4550" s="15">
        <v>2.19</v>
      </c>
      <c r="D4550" s="15">
        <v>1.93</v>
      </c>
      <c r="E4550" s="15">
        <v>1.93</v>
      </c>
      <c r="F4550" s="15">
        <f t="shared" si="1"/>
        <v>0.86</v>
      </c>
      <c r="G4550" s="15">
        <f t="shared" si="2"/>
        <v>2.19</v>
      </c>
      <c r="H4550" s="16">
        <v>0.0</v>
      </c>
      <c r="I4550" s="15">
        <f t="shared" si="3"/>
        <v>0.86</v>
      </c>
      <c r="J4550" s="15">
        <v>10.16</v>
      </c>
      <c r="K4550" s="16">
        <f>IF(COUNTIFS(Release_Calendar!$A$2:$A$755,"US_CPI",Release_Calendar!$B$2:$B$755,$A4550)&gt;0,1,0)</f>
        <v>0</v>
      </c>
      <c r="L4550" s="16">
        <f>IF(COUNTIFS(Release_Calendar!$A$2:$A$755,"US_NFP",Release_Calendar!$B$2:$B$755,$A4550)&gt;0,1,0)</f>
        <v>0</v>
      </c>
      <c r="M4550" s="16" t="str">
        <f>IF($A4550&lt;Notes!$B$5,"",IF(COUNTIFS(Release_Calendar!$A$2:$A$755,"NZ_CPI",Release_Calendar!$B$2:$B$755,$A4550)&gt;0,1,0))</f>
        <v/>
      </c>
      <c r="N4550" s="16" t="str">
        <f>IF($A4550&lt;Notes!$B$5,"",IF(COUNTIFS(Release_Calendar!$A$2:$A$755,"NZ_GDP",Release_Calendar!$B$2:$B$755,$A4550)&gt;0,1,0))</f>
        <v/>
      </c>
      <c r="O4550" s="16" t="str">
        <f>IF($A4550&lt;Notes!$B$5,"",IF(COUNTIFS(Release_Calendar!$A$2:$A$755,"NZ_LABOUR",Release_Calendar!$B$2:$B$755,$A4550)&gt;0,1,0))</f>
        <v/>
      </c>
      <c r="P4550" s="16">
        <f t="shared" si="4"/>
        <v>0</v>
      </c>
    </row>
    <row r="4551" ht="15.75" customHeight="1">
      <c r="A4551" s="14">
        <v>42895.0</v>
      </c>
      <c r="B4551" s="15">
        <v>1.35</v>
      </c>
      <c r="C4551" s="15">
        <v>2.2</v>
      </c>
      <c r="D4551" s="15">
        <v>1.93</v>
      </c>
      <c r="E4551" s="15">
        <v>1.94</v>
      </c>
      <c r="F4551" s="15">
        <f t="shared" si="1"/>
        <v>0.85</v>
      </c>
      <c r="G4551" s="15">
        <f t="shared" si="2"/>
        <v>2.2</v>
      </c>
      <c r="H4551" s="16">
        <v>0.0</v>
      </c>
      <c r="I4551" s="15">
        <f t="shared" si="3"/>
        <v>0.85</v>
      </c>
      <c r="J4551" s="15">
        <v>10.7</v>
      </c>
      <c r="K4551" s="16">
        <f>IF(COUNTIFS(Release_Calendar!$A$2:$A$755,"US_CPI",Release_Calendar!$B$2:$B$755,$A4551)&gt;0,1,0)</f>
        <v>0</v>
      </c>
      <c r="L4551" s="16">
        <f>IF(COUNTIFS(Release_Calendar!$A$2:$A$755,"US_NFP",Release_Calendar!$B$2:$B$755,$A4551)&gt;0,1,0)</f>
        <v>0</v>
      </c>
      <c r="M4551" s="16" t="str">
        <f>IF($A4551&lt;Notes!$B$5,"",IF(COUNTIFS(Release_Calendar!$A$2:$A$755,"NZ_CPI",Release_Calendar!$B$2:$B$755,$A4551)&gt;0,1,0))</f>
        <v/>
      </c>
      <c r="N4551" s="16" t="str">
        <f>IF($A4551&lt;Notes!$B$5,"",IF(COUNTIFS(Release_Calendar!$A$2:$A$755,"NZ_GDP",Release_Calendar!$B$2:$B$755,$A4551)&gt;0,1,0))</f>
        <v/>
      </c>
      <c r="O4551" s="16" t="str">
        <f>IF($A4551&lt;Notes!$B$5,"",IF(COUNTIFS(Release_Calendar!$A$2:$A$755,"NZ_LABOUR",Release_Calendar!$B$2:$B$755,$A4551)&gt;0,1,0))</f>
        <v/>
      </c>
      <c r="P4551" s="16">
        <f t="shared" si="4"/>
        <v>0</v>
      </c>
    </row>
    <row r="4552" ht="15.75" customHeight="1">
      <c r="A4552" s="14">
        <v>42898.0</v>
      </c>
      <c r="B4552" s="15">
        <v>1.35</v>
      </c>
      <c r="C4552" s="15">
        <v>2.2</v>
      </c>
      <c r="D4552" s="15">
        <v>1.94</v>
      </c>
      <c r="E4552" s="15">
        <v>1.94</v>
      </c>
      <c r="F4552" s="15">
        <f t="shared" si="1"/>
        <v>0.85</v>
      </c>
      <c r="G4552" s="15">
        <f t="shared" si="2"/>
        <v>2.2</v>
      </c>
      <c r="H4552" s="16">
        <v>0.0</v>
      </c>
      <c r="I4552" s="15">
        <f t="shared" si="3"/>
        <v>0.85</v>
      </c>
      <c r="J4552" s="15">
        <v>11.46</v>
      </c>
      <c r="K4552" s="16">
        <f>IF(COUNTIFS(Release_Calendar!$A$2:$A$755,"US_CPI",Release_Calendar!$B$2:$B$755,$A4552)&gt;0,1,0)</f>
        <v>0</v>
      </c>
      <c r="L4552" s="16">
        <f>IF(COUNTIFS(Release_Calendar!$A$2:$A$755,"US_NFP",Release_Calendar!$B$2:$B$755,$A4552)&gt;0,1,0)</f>
        <v>0</v>
      </c>
      <c r="M4552" s="16" t="str">
        <f>IF($A4552&lt;Notes!$B$5,"",IF(COUNTIFS(Release_Calendar!$A$2:$A$755,"NZ_CPI",Release_Calendar!$B$2:$B$755,$A4552)&gt;0,1,0))</f>
        <v/>
      </c>
      <c r="N4552" s="16" t="str">
        <f>IF($A4552&lt;Notes!$B$5,"",IF(COUNTIFS(Release_Calendar!$A$2:$A$755,"NZ_GDP",Release_Calendar!$B$2:$B$755,$A4552)&gt;0,1,0))</f>
        <v/>
      </c>
      <c r="O4552" s="16" t="str">
        <f>IF($A4552&lt;Notes!$B$5,"",IF(COUNTIFS(Release_Calendar!$A$2:$A$755,"NZ_LABOUR",Release_Calendar!$B$2:$B$755,$A4552)&gt;0,1,0))</f>
        <v/>
      </c>
      <c r="P4552" s="16">
        <f t="shared" si="4"/>
        <v>0</v>
      </c>
    </row>
    <row r="4553" ht="15.75" customHeight="1">
      <c r="A4553" s="14">
        <v>42899.0</v>
      </c>
      <c r="B4553" s="15">
        <v>1.38</v>
      </c>
      <c r="C4553" s="15">
        <v>2.19</v>
      </c>
      <c r="D4553" s="15">
        <v>1.95</v>
      </c>
      <c r="E4553" s="15">
        <v>1.93</v>
      </c>
      <c r="F4553" s="15">
        <f t="shared" si="1"/>
        <v>0.81</v>
      </c>
      <c r="G4553" s="15">
        <f t="shared" si="2"/>
        <v>2.19</v>
      </c>
      <c r="H4553" s="16">
        <v>0.0</v>
      </c>
      <c r="I4553" s="15">
        <f t="shared" si="3"/>
        <v>0.81</v>
      </c>
      <c r="J4553" s="15">
        <v>10.42</v>
      </c>
      <c r="K4553" s="16">
        <f>IF(COUNTIFS(Release_Calendar!$A$2:$A$755,"US_CPI",Release_Calendar!$B$2:$B$755,$A4553)&gt;0,1,0)</f>
        <v>0</v>
      </c>
      <c r="L4553" s="16">
        <f>IF(COUNTIFS(Release_Calendar!$A$2:$A$755,"US_NFP",Release_Calendar!$B$2:$B$755,$A4553)&gt;0,1,0)</f>
        <v>0</v>
      </c>
      <c r="M4553" s="16" t="str">
        <f>IF($A4553&lt;Notes!$B$5,"",IF(COUNTIFS(Release_Calendar!$A$2:$A$755,"NZ_CPI",Release_Calendar!$B$2:$B$755,$A4553)&gt;0,1,0))</f>
        <v/>
      </c>
      <c r="N4553" s="16" t="str">
        <f>IF($A4553&lt;Notes!$B$5,"",IF(COUNTIFS(Release_Calendar!$A$2:$A$755,"NZ_GDP",Release_Calendar!$B$2:$B$755,$A4553)&gt;0,1,0))</f>
        <v/>
      </c>
      <c r="O4553" s="16" t="str">
        <f>IF($A4553&lt;Notes!$B$5,"",IF(COUNTIFS(Release_Calendar!$A$2:$A$755,"NZ_LABOUR",Release_Calendar!$B$2:$B$755,$A4553)&gt;0,1,0))</f>
        <v/>
      </c>
      <c r="P4553" s="16">
        <f t="shared" si="4"/>
        <v>0</v>
      </c>
    </row>
    <row r="4554" ht="15.75" customHeight="1">
      <c r="A4554" s="14">
        <v>42900.0</v>
      </c>
      <c r="B4554" s="15">
        <v>1.35</v>
      </c>
      <c r="C4554" s="15">
        <v>2.2</v>
      </c>
      <c r="D4554" s="15">
        <v>1.93</v>
      </c>
      <c r="E4554" s="15">
        <v>1.94</v>
      </c>
      <c r="F4554" s="15">
        <f t="shared" si="1"/>
        <v>0.85</v>
      </c>
      <c r="G4554" s="15">
        <f t="shared" si="2"/>
        <v>2.2</v>
      </c>
      <c r="H4554" s="16">
        <v>0.0</v>
      </c>
      <c r="I4554" s="15">
        <f t="shared" si="3"/>
        <v>0.85</v>
      </c>
      <c r="J4554" s="15">
        <v>10.64</v>
      </c>
      <c r="K4554" s="16">
        <f>IF(COUNTIFS(Release_Calendar!$A$2:$A$755,"US_CPI",Release_Calendar!$B$2:$B$755,$A4554)&gt;0,1,0)</f>
        <v>1</v>
      </c>
      <c r="L4554" s="16">
        <f>IF(COUNTIFS(Release_Calendar!$A$2:$A$755,"US_NFP",Release_Calendar!$B$2:$B$755,$A4554)&gt;0,1,0)</f>
        <v>0</v>
      </c>
      <c r="M4554" s="16" t="str">
        <f>IF($A4554&lt;Notes!$B$5,"",IF(COUNTIFS(Release_Calendar!$A$2:$A$755,"NZ_CPI",Release_Calendar!$B$2:$B$755,$A4554)&gt;0,1,0))</f>
        <v/>
      </c>
      <c r="N4554" s="16" t="str">
        <f>IF($A4554&lt;Notes!$B$5,"",IF(COUNTIFS(Release_Calendar!$A$2:$A$755,"NZ_GDP",Release_Calendar!$B$2:$B$755,$A4554)&gt;0,1,0))</f>
        <v/>
      </c>
      <c r="O4554" s="16" t="str">
        <f>IF($A4554&lt;Notes!$B$5,"",IF(COUNTIFS(Release_Calendar!$A$2:$A$755,"NZ_LABOUR",Release_Calendar!$B$2:$B$755,$A4554)&gt;0,1,0))</f>
        <v/>
      </c>
      <c r="P4554" s="16">
        <f t="shared" si="4"/>
        <v>1</v>
      </c>
    </row>
    <row r="4555" ht="15.75" customHeight="1">
      <c r="A4555" s="14">
        <v>42901.0</v>
      </c>
      <c r="B4555" s="15">
        <v>1.35</v>
      </c>
      <c r="C4555" s="15">
        <v>2.16</v>
      </c>
      <c r="D4555" s="15">
        <v>1.9</v>
      </c>
      <c r="E4555" s="15">
        <v>1.92</v>
      </c>
      <c r="F4555" s="15">
        <f t="shared" si="1"/>
        <v>0.81</v>
      </c>
      <c r="G4555" s="15">
        <f t="shared" si="2"/>
        <v>2.16</v>
      </c>
      <c r="H4555" s="16">
        <v>0.0</v>
      </c>
      <c r="I4555" s="15">
        <f t="shared" si="3"/>
        <v>0.81</v>
      </c>
      <c r="J4555" s="15">
        <v>10.9</v>
      </c>
      <c r="K4555" s="16">
        <f>IF(COUNTIFS(Release_Calendar!$A$2:$A$755,"US_CPI",Release_Calendar!$B$2:$B$755,$A4555)&gt;0,1,0)</f>
        <v>0</v>
      </c>
      <c r="L4555" s="16">
        <f>IF(COUNTIFS(Release_Calendar!$A$2:$A$755,"US_NFP",Release_Calendar!$B$2:$B$755,$A4555)&gt;0,1,0)</f>
        <v>0</v>
      </c>
      <c r="M4555" s="16">
        <f>IF($A4555&lt;Notes!$B$5,"",IF(COUNTIFS(Release_Calendar!$A$2:$A$755,"NZ_CPI",Release_Calendar!$B$2:$B$755,$A4555)&gt;0,1,0))</f>
        <v>0</v>
      </c>
      <c r="N4555" s="16">
        <f>IF($A4555&lt;Notes!$B$5,"",IF(COUNTIFS(Release_Calendar!$A$2:$A$755,"NZ_GDP",Release_Calendar!$B$2:$B$755,$A4555)&gt;0,1,0))</f>
        <v>1</v>
      </c>
      <c r="O4555" s="16">
        <f>IF($A4555&lt;Notes!$B$5,"",IF(COUNTIFS(Release_Calendar!$A$2:$A$755,"NZ_LABOUR",Release_Calendar!$B$2:$B$755,$A4555)&gt;0,1,0))</f>
        <v>0</v>
      </c>
      <c r="P4555" s="16">
        <f t="shared" si="4"/>
        <v>1</v>
      </c>
    </row>
    <row r="4556" ht="15.75" customHeight="1">
      <c r="A4556" s="14">
        <v>42902.0</v>
      </c>
      <c r="B4556" s="15">
        <v>1.32</v>
      </c>
      <c r="C4556" s="15">
        <v>2.19</v>
      </c>
      <c r="D4556" s="15">
        <v>1.93</v>
      </c>
      <c r="E4556" s="15">
        <v>1.94</v>
      </c>
      <c r="F4556" s="15">
        <f t="shared" si="1"/>
        <v>0.87</v>
      </c>
      <c r="G4556" s="15">
        <f t="shared" si="2"/>
        <v>2.19</v>
      </c>
      <c r="H4556" s="16">
        <v>0.0</v>
      </c>
      <c r="I4556" s="15">
        <f t="shared" si="3"/>
        <v>0.87</v>
      </c>
      <c r="J4556" s="15">
        <v>10.38</v>
      </c>
      <c r="K4556" s="16">
        <f>IF(COUNTIFS(Release_Calendar!$A$2:$A$755,"US_CPI",Release_Calendar!$B$2:$B$755,$A4556)&gt;0,1,0)</f>
        <v>0</v>
      </c>
      <c r="L4556" s="16">
        <f>IF(COUNTIFS(Release_Calendar!$A$2:$A$755,"US_NFP",Release_Calendar!$B$2:$B$755,$A4556)&gt;0,1,0)</f>
        <v>0</v>
      </c>
      <c r="M4556" s="16">
        <f>IF($A4556&lt;Notes!$B$5,"",IF(COUNTIFS(Release_Calendar!$A$2:$A$755,"NZ_CPI",Release_Calendar!$B$2:$B$755,$A4556)&gt;0,1,0))</f>
        <v>0</v>
      </c>
      <c r="N4556" s="16">
        <f>IF($A4556&lt;Notes!$B$5,"",IF(COUNTIFS(Release_Calendar!$A$2:$A$755,"NZ_GDP",Release_Calendar!$B$2:$B$755,$A4556)&gt;0,1,0))</f>
        <v>0</v>
      </c>
      <c r="O4556" s="16">
        <f>IF($A4556&lt;Notes!$B$5,"",IF(COUNTIFS(Release_Calendar!$A$2:$A$755,"NZ_LABOUR",Release_Calendar!$B$2:$B$755,$A4556)&gt;0,1,0))</f>
        <v>0</v>
      </c>
      <c r="P4556" s="16">
        <f t="shared" si="4"/>
        <v>0</v>
      </c>
    </row>
    <row r="4557" ht="15.75" customHeight="1">
      <c r="A4557" s="14">
        <v>42905.0</v>
      </c>
      <c r="B4557" s="15">
        <v>1.36</v>
      </c>
      <c r="C4557" s="15">
        <v>2.2</v>
      </c>
      <c r="D4557" s="15">
        <v>1.95</v>
      </c>
      <c r="E4557" s="15">
        <v>1.95</v>
      </c>
      <c r="F4557" s="15">
        <f t="shared" si="1"/>
        <v>0.84</v>
      </c>
      <c r="G4557" s="15">
        <f t="shared" si="2"/>
        <v>2.2</v>
      </c>
      <c r="H4557" s="16">
        <v>0.0</v>
      </c>
      <c r="I4557" s="15">
        <f t="shared" si="3"/>
        <v>0.84</v>
      </c>
      <c r="J4557" s="15">
        <v>10.37</v>
      </c>
      <c r="K4557" s="16">
        <f>IF(COUNTIFS(Release_Calendar!$A$2:$A$755,"US_CPI",Release_Calendar!$B$2:$B$755,$A4557)&gt;0,1,0)</f>
        <v>0</v>
      </c>
      <c r="L4557" s="16">
        <f>IF(COUNTIFS(Release_Calendar!$A$2:$A$755,"US_NFP",Release_Calendar!$B$2:$B$755,$A4557)&gt;0,1,0)</f>
        <v>0</v>
      </c>
      <c r="M4557" s="16">
        <f>IF($A4557&lt;Notes!$B$5,"",IF(COUNTIFS(Release_Calendar!$A$2:$A$755,"NZ_CPI",Release_Calendar!$B$2:$B$755,$A4557)&gt;0,1,0))</f>
        <v>0</v>
      </c>
      <c r="N4557" s="16">
        <f>IF($A4557&lt;Notes!$B$5,"",IF(COUNTIFS(Release_Calendar!$A$2:$A$755,"NZ_GDP",Release_Calendar!$B$2:$B$755,$A4557)&gt;0,1,0))</f>
        <v>0</v>
      </c>
      <c r="O4557" s="16">
        <f>IF($A4557&lt;Notes!$B$5,"",IF(COUNTIFS(Release_Calendar!$A$2:$A$755,"NZ_LABOUR",Release_Calendar!$B$2:$B$755,$A4557)&gt;0,1,0))</f>
        <v>0</v>
      </c>
      <c r="P4557" s="16">
        <f t="shared" si="4"/>
        <v>0</v>
      </c>
    </row>
    <row r="4558" ht="15.75" customHeight="1">
      <c r="A4558" s="14">
        <v>42906.0</v>
      </c>
      <c r="B4558" s="15">
        <v>1.36</v>
      </c>
      <c r="C4558" s="15">
        <v>2.23</v>
      </c>
      <c r="D4558" s="15">
        <v>1.98</v>
      </c>
      <c r="E4558" s="15">
        <v>1.97</v>
      </c>
      <c r="F4558" s="15">
        <f t="shared" si="1"/>
        <v>0.87</v>
      </c>
      <c r="G4558" s="15">
        <f t="shared" si="2"/>
        <v>2.23</v>
      </c>
      <c r="H4558" s="16">
        <v>0.0</v>
      </c>
      <c r="I4558" s="15">
        <f t="shared" si="3"/>
        <v>0.87</v>
      </c>
      <c r="J4558" s="15">
        <v>10.86</v>
      </c>
      <c r="K4558" s="16">
        <f>IF(COUNTIFS(Release_Calendar!$A$2:$A$755,"US_CPI",Release_Calendar!$B$2:$B$755,$A4558)&gt;0,1,0)</f>
        <v>0</v>
      </c>
      <c r="L4558" s="16">
        <f>IF(COUNTIFS(Release_Calendar!$A$2:$A$755,"US_NFP",Release_Calendar!$B$2:$B$755,$A4558)&gt;0,1,0)</f>
        <v>0</v>
      </c>
      <c r="M4558" s="16">
        <f>IF($A4558&lt;Notes!$B$5,"",IF(COUNTIFS(Release_Calendar!$A$2:$A$755,"NZ_CPI",Release_Calendar!$B$2:$B$755,$A4558)&gt;0,1,0))</f>
        <v>0</v>
      </c>
      <c r="N4558" s="16">
        <f>IF($A4558&lt;Notes!$B$5,"",IF(COUNTIFS(Release_Calendar!$A$2:$A$755,"NZ_GDP",Release_Calendar!$B$2:$B$755,$A4558)&gt;0,1,0))</f>
        <v>0</v>
      </c>
      <c r="O4558" s="16">
        <f>IF($A4558&lt;Notes!$B$5,"",IF(COUNTIFS(Release_Calendar!$A$2:$A$755,"NZ_LABOUR",Release_Calendar!$B$2:$B$755,$A4558)&gt;0,1,0))</f>
        <v>0</v>
      </c>
      <c r="P4558" s="16">
        <f t="shared" si="4"/>
        <v>0</v>
      </c>
    </row>
    <row r="4559" ht="15.75" customHeight="1">
      <c r="A4559" s="14">
        <v>42907.0</v>
      </c>
      <c r="B4559" s="15">
        <v>1.36</v>
      </c>
      <c r="C4559" s="15">
        <v>2.21</v>
      </c>
      <c r="D4559" s="15">
        <v>1.97</v>
      </c>
      <c r="E4559" s="15">
        <v>1.96</v>
      </c>
      <c r="F4559" s="15">
        <f t="shared" si="1"/>
        <v>0.85</v>
      </c>
      <c r="G4559" s="15">
        <f t="shared" si="2"/>
        <v>2.21</v>
      </c>
      <c r="H4559" s="16">
        <v>0.0</v>
      </c>
      <c r="I4559" s="15">
        <f t="shared" si="3"/>
        <v>0.85</v>
      </c>
      <c r="J4559" s="15">
        <v>10.75</v>
      </c>
      <c r="K4559" s="16">
        <f>IF(COUNTIFS(Release_Calendar!$A$2:$A$755,"US_CPI",Release_Calendar!$B$2:$B$755,$A4559)&gt;0,1,0)</f>
        <v>0</v>
      </c>
      <c r="L4559" s="16">
        <f>IF(COUNTIFS(Release_Calendar!$A$2:$A$755,"US_NFP",Release_Calendar!$B$2:$B$755,$A4559)&gt;0,1,0)</f>
        <v>0</v>
      </c>
      <c r="M4559" s="16">
        <f>IF($A4559&lt;Notes!$B$5,"",IF(COUNTIFS(Release_Calendar!$A$2:$A$755,"NZ_CPI",Release_Calendar!$B$2:$B$755,$A4559)&gt;0,1,0))</f>
        <v>0</v>
      </c>
      <c r="N4559" s="16">
        <f>IF($A4559&lt;Notes!$B$5,"",IF(COUNTIFS(Release_Calendar!$A$2:$A$755,"NZ_GDP",Release_Calendar!$B$2:$B$755,$A4559)&gt;0,1,0))</f>
        <v>0</v>
      </c>
      <c r="O4559" s="16">
        <f>IF($A4559&lt;Notes!$B$5,"",IF(COUNTIFS(Release_Calendar!$A$2:$A$755,"NZ_LABOUR",Release_Calendar!$B$2:$B$755,$A4559)&gt;0,1,0))</f>
        <v>0</v>
      </c>
      <c r="P4559" s="16">
        <f t="shared" si="4"/>
        <v>0</v>
      </c>
    </row>
    <row r="4560" ht="15.75" customHeight="1">
      <c r="A4560" s="14">
        <v>42908.0</v>
      </c>
      <c r="B4560" s="15">
        <v>1.34</v>
      </c>
      <c r="C4560" s="15">
        <v>2.2</v>
      </c>
      <c r="D4560" s="15">
        <v>1.96</v>
      </c>
      <c r="E4560" s="15">
        <v>1.96</v>
      </c>
      <c r="F4560" s="15">
        <f t="shared" si="1"/>
        <v>0.86</v>
      </c>
      <c r="G4560" s="15">
        <f t="shared" si="2"/>
        <v>2.2</v>
      </c>
      <c r="H4560" s="16">
        <v>0.0</v>
      </c>
      <c r="I4560" s="15">
        <f t="shared" si="3"/>
        <v>0.86</v>
      </c>
      <c r="J4560" s="15">
        <v>10.48</v>
      </c>
      <c r="K4560" s="16">
        <f>IF(COUNTIFS(Release_Calendar!$A$2:$A$755,"US_CPI",Release_Calendar!$B$2:$B$755,$A4560)&gt;0,1,0)</f>
        <v>0</v>
      </c>
      <c r="L4560" s="16">
        <f>IF(COUNTIFS(Release_Calendar!$A$2:$A$755,"US_NFP",Release_Calendar!$B$2:$B$755,$A4560)&gt;0,1,0)</f>
        <v>0</v>
      </c>
      <c r="M4560" s="16">
        <f>IF($A4560&lt;Notes!$B$5,"",IF(COUNTIFS(Release_Calendar!$A$2:$A$755,"NZ_CPI",Release_Calendar!$B$2:$B$755,$A4560)&gt;0,1,0))</f>
        <v>0</v>
      </c>
      <c r="N4560" s="16">
        <f>IF($A4560&lt;Notes!$B$5,"",IF(COUNTIFS(Release_Calendar!$A$2:$A$755,"NZ_GDP",Release_Calendar!$B$2:$B$755,$A4560)&gt;0,1,0))</f>
        <v>0</v>
      </c>
      <c r="O4560" s="16">
        <f>IF($A4560&lt;Notes!$B$5,"",IF(COUNTIFS(Release_Calendar!$A$2:$A$755,"NZ_LABOUR",Release_Calendar!$B$2:$B$755,$A4560)&gt;0,1,0))</f>
        <v>0</v>
      </c>
      <c r="P4560" s="16">
        <f t="shared" si="4"/>
        <v>0</v>
      </c>
    </row>
    <row r="4561" ht="15.75" customHeight="1">
      <c r="A4561" s="14">
        <v>42909.0</v>
      </c>
      <c r="B4561" s="15">
        <v>1.34</v>
      </c>
      <c r="C4561" s="15">
        <v>2.2</v>
      </c>
      <c r="D4561" s="15">
        <v>1.96</v>
      </c>
      <c r="E4561" s="15">
        <v>1.95</v>
      </c>
      <c r="F4561" s="15">
        <f t="shared" si="1"/>
        <v>0.86</v>
      </c>
      <c r="G4561" s="15">
        <f t="shared" si="2"/>
        <v>2.2</v>
      </c>
      <c r="H4561" s="16">
        <v>0.0</v>
      </c>
      <c r="I4561" s="15">
        <f t="shared" si="3"/>
        <v>0.86</v>
      </c>
      <c r="J4561" s="15">
        <v>10.02</v>
      </c>
      <c r="K4561" s="16">
        <f>IF(COUNTIFS(Release_Calendar!$A$2:$A$755,"US_CPI",Release_Calendar!$B$2:$B$755,$A4561)&gt;0,1,0)</f>
        <v>0</v>
      </c>
      <c r="L4561" s="16">
        <f>IF(COUNTIFS(Release_Calendar!$A$2:$A$755,"US_NFP",Release_Calendar!$B$2:$B$755,$A4561)&gt;0,1,0)</f>
        <v>0</v>
      </c>
      <c r="M4561" s="16">
        <f>IF($A4561&lt;Notes!$B$5,"",IF(COUNTIFS(Release_Calendar!$A$2:$A$755,"NZ_CPI",Release_Calendar!$B$2:$B$755,$A4561)&gt;0,1,0))</f>
        <v>0</v>
      </c>
      <c r="N4561" s="16">
        <f>IF($A4561&lt;Notes!$B$5,"",IF(COUNTIFS(Release_Calendar!$A$2:$A$755,"NZ_GDP",Release_Calendar!$B$2:$B$755,$A4561)&gt;0,1,0))</f>
        <v>0</v>
      </c>
      <c r="O4561" s="16">
        <f>IF($A4561&lt;Notes!$B$5,"",IF(COUNTIFS(Release_Calendar!$A$2:$A$755,"NZ_LABOUR",Release_Calendar!$B$2:$B$755,$A4561)&gt;0,1,0))</f>
        <v>0</v>
      </c>
      <c r="P4561" s="16">
        <f t="shared" si="4"/>
        <v>0</v>
      </c>
    </row>
    <row r="4562" ht="15.75" customHeight="1">
      <c r="A4562" s="14">
        <v>42912.0</v>
      </c>
      <c r="B4562" s="15">
        <v>1.36</v>
      </c>
      <c r="C4562" s="15">
        <v>2.21</v>
      </c>
      <c r="D4562" s="15">
        <v>1.94</v>
      </c>
      <c r="E4562" s="15">
        <v>1.95</v>
      </c>
      <c r="F4562" s="15">
        <f t="shared" si="1"/>
        <v>0.85</v>
      </c>
      <c r="G4562" s="15">
        <f t="shared" si="2"/>
        <v>2.21</v>
      </c>
      <c r="H4562" s="16">
        <v>0.0</v>
      </c>
      <c r="I4562" s="15">
        <f t="shared" si="3"/>
        <v>0.85</v>
      </c>
      <c r="J4562" s="15">
        <v>9.9</v>
      </c>
      <c r="K4562" s="16">
        <f>IF(COUNTIFS(Release_Calendar!$A$2:$A$755,"US_CPI",Release_Calendar!$B$2:$B$755,$A4562)&gt;0,1,0)</f>
        <v>0</v>
      </c>
      <c r="L4562" s="16">
        <f>IF(COUNTIFS(Release_Calendar!$A$2:$A$755,"US_NFP",Release_Calendar!$B$2:$B$755,$A4562)&gt;0,1,0)</f>
        <v>0</v>
      </c>
      <c r="M4562" s="16">
        <f>IF($A4562&lt;Notes!$B$5,"",IF(COUNTIFS(Release_Calendar!$A$2:$A$755,"NZ_CPI",Release_Calendar!$B$2:$B$755,$A4562)&gt;0,1,0))</f>
        <v>0</v>
      </c>
      <c r="N4562" s="16">
        <f>IF($A4562&lt;Notes!$B$5,"",IF(COUNTIFS(Release_Calendar!$A$2:$A$755,"NZ_GDP",Release_Calendar!$B$2:$B$755,$A4562)&gt;0,1,0))</f>
        <v>0</v>
      </c>
      <c r="O4562" s="16">
        <f>IF($A4562&lt;Notes!$B$5,"",IF(COUNTIFS(Release_Calendar!$A$2:$A$755,"NZ_LABOUR",Release_Calendar!$B$2:$B$755,$A4562)&gt;0,1,0))</f>
        <v>0</v>
      </c>
      <c r="P4562" s="16">
        <f t="shared" si="4"/>
        <v>0</v>
      </c>
    </row>
    <row r="4563" ht="15.75" customHeight="1">
      <c r="A4563" s="14">
        <v>42913.0</v>
      </c>
      <c r="B4563" s="15">
        <v>1.38</v>
      </c>
      <c r="C4563" s="15">
        <v>2.21</v>
      </c>
      <c r="D4563" s="15">
        <v>1.95</v>
      </c>
      <c r="E4563" s="15">
        <v>1.95</v>
      </c>
      <c r="F4563" s="15">
        <f t="shared" si="1"/>
        <v>0.83</v>
      </c>
      <c r="G4563" s="15">
        <f t="shared" si="2"/>
        <v>2.21</v>
      </c>
      <c r="H4563" s="16">
        <v>0.0</v>
      </c>
      <c r="I4563" s="15">
        <f t="shared" si="3"/>
        <v>0.83</v>
      </c>
      <c r="J4563" s="15">
        <v>11.06</v>
      </c>
      <c r="K4563" s="16">
        <f>IF(COUNTIFS(Release_Calendar!$A$2:$A$755,"US_CPI",Release_Calendar!$B$2:$B$755,$A4563)&gt;0,1,0)</f>
        <v>0</v>
      </c>
      <c r="L4563" s="16">
        <f>IF(COUNTIFS(Release_Calendar!$A$2:$A$755,"US_NFP",Release_Calendar!$B$2:$B$755,$A4563)&gt;0,1,0)</f>
        <v>0</v>
      </c>
      <c r="M4563" s="16">
        <f>IF($A4563&lt;Notes!$B$5,"",IF(COUNTIFS(Release_Calendar!$A$2:$A$755,"NZ_CPI",Release_Calendar!$B$2:$B$755,$A4563)&gt;0,1,0))</f>
        <v>0</v>
      </c>
      <c r="N4563" s="16">
        <f>IF($A4563&lt;Notes!$B$5,"",IF(COUNTIFS(Release_Calendar!$A$2:$A$755,"NZ_GDP",Release_Calendar!$B$2:$B$755,$A4563)&gt;0,1,0))</f>
        <v>0</v>
      </c>
      <c r="O4563" s="16">
        <f>IF($A4563&lt;Notes!$B$5,"",IF(COUNTIFS(Release_Calendar!$A$2:$A$755,"NZ_LABOUR",Release_Calendar!$B$2:$B$755,$A4563)&gt;0,1,0))</f>
        <v>0</v>
      </c>
      <c r="P4563" s="16">
        <f t="shared" si="4"/>
        <v>0</v>
      </c>
    </row>
    <row r="4564" ht="15.75" customHeight="1">
      <c r="A4564" s="14">
        <v>42914.0</v>
      </c>
      <c r="B4564" s="15">
        <v>1.34</v>
      </c>
      <c r="C4564" s="15">
        <v>2.24</v>
      </c>
      <c r="D4564" s="15">
        <v>1.98</v>
      </c>
      <c r="E4564" s="15">
        <v>1.98</v>
      </c>
      <c r="F4564" s="15">
        <f t="shared" si="1"/>
        <v>0.9</v>
      </c>
      <c r="G4564" s="15">
        <f t="shared" si="2"/>
        <v>2.24</v>
      </c>
      <c r="H4564" s="16">
        <v>0.0</v>
      </c>
      <c r="I4564" s="15">
        <f t="shared" si="3"/>
        <v>0.9</v>
      </c>
      <c r="J4564" s="15">
        <v>10.03</v>
      </c>
      <c r="K4564" s="16">
        <f>IF(COUNTIFS(Release_Calendar!$A$2:$A$755,"US_CPI",Release_Calendar!$B$2:$B$755,$A4564)&gt;0,1,0)</f>
        <v>0</v>
      </c>
      <c r="L4564" s="16">
        <f>IF(COUNTIFS(Release_Calendar!$A$2:$A$755,"US_NFP",Release_Calendar!$B$2:$B$755,$A4564)&gt;0,1,0)</f>
        <v>0</v>
      </c>
      <c r="M4564" s="16">
        <f>IF($A4564&lt;Notes!$B$5,"",IF(COUNTIFS(Release_Calendar!$A$2:$A$755,"NZ_CPI",Release_Calendar!$B$2:$B$755,$A4564)&gt;0,1,0))</f>
        <v>0</v>
      </c>
      <c r="N4564" s="16">
        <f>IF($A4564&lt;Notes!$B$5,"",IF(COUNTIFS(Release_Calendar!$A$2:$A$755,"NZ_GDP",Release_Calendar!$B$2:$B$755,$A4564)&gt;0,1,0))</f>
        <v>0</v>
      </c>
      <c r="O4564" s="16">
        <f>IF($A4564&lt;Notes!$B$5,"",IF(COUNTIFS(Release_Calendar!$A$2:$A$755,"NZ_LABOUR",Release_Calendar!$B$2:$B$755,$A4564)&gt;0,1,0))</f>
        <v>0</v>
      </c>
      <c r="P4564" s="16">
        <f t="shared" si="4"/>
        <v>0</v>
      </c>
    </row>
    <row r="4565" ht="15.75" customHeight="1">
      <c r="A4565" s="14">
        <v>42915.0</v>
      </c>
      <c r="B4565" s="15">
        <v>1.38</v>
      </c>
      <c r="C4565" s="15">
        <v>2.28</v>
      </c>
      <c r="D4565" s="15">
        <v>1.99</v>
      </c>
      <c r="E4565" s="15">
        <v>1.98</v>
      </c>
      <c r="F4565" s="15">
        <f t="shared" si="1"/>
        <v>0.9</v>
      </c>
      <c r="G4565" s="15">
        <f t="shared" si="2"/>
        <v>2.28</v>
      </c>
      <c r="H4565" s="16">
        <v>0.0</v>
      </c>
      <c r="I4565" s="15">
        <f t="shared" si="3"/>
        <v>0.9</v>
      </c>
      <c r="J4565" s="15">
        <v>11.44</v>
      </c>
      <c r="K4565" s="16">
        <f>IF(COUNTIFS(Release_Calendar!$A$2:$A$755,"US_CPI",Release_Calendar!$B$2:$B$755,$A4565)&gt;0,1,0)</f>
        <v>0</v>
      </c>
      <c r="L4565" s="16">
        <f>IF(COUNTIFS(Release_Calendar!$A$2:$A$755,"US_NFP",Release_Calendar!$B$2:$B$755,$A4565)&gt;0,1,0)</f>
        <v>0</v>
      </c>
      <c r="M4565" s="16">
        <f>IF($A4565&lt;Notes!$B$5,"",IF(COUNTIFS(Release_Calendar!$A$2:$A$755,"NZ_CPI",Release_Calendar!$B$2:$B$755,$A4565)&gt;0,1,0))</f>
        <v>0</v>
      </c>
      <c r="N4565" s="16">
        <f>IF($A4565&lt;Notes!$B$5,"",IF(COUNTIFS(Release_Calendar!$A$2:$A$755,"NZ_GDP",Release_Calendar!$B$2:$B$755,$A4565)&gt;0,1,0))</f>
        <v>0</v>
      </c>
      <c r="O4565" s="16">
        <f>IF($A4565&lt;Notes!$B$5,"",IF(COUNTIFS(Release_Calendar!$A$2:$A$755,"NZ_LABOUR",Release_Calendar!$B$2:$B$755,$A4565)&gt;0,1,0))</f>
        <v>0</v>
      </c>
      <c r="P4565" s="16">
        <f t="shared" si="4"/>
        <v>0</v>
      </c>
    </row>
    <row r="4566" ht="15.75" customHeight="1">
      <c r="A4566" s="14">
        <v>42916.0</v>
      </c>
      <c r="B4566" s="15">
        <v>1.38</v>
      </c>
      <c r="C4566" s="15">
        <v>2.33</v>
      </c>
      <c r="D4566" s="15">
        <v>2.07</v>
      </c>
      <c r="E4566" s="15">
        <v>2.07</v>
      </c>
      <c r="F4566" s="15">
        <f t="shared" si="1"/>
        <v>0.95</v>
      </c>
      <c r="G4566" s="15">
        <f t="shared" si="2"/>
        <v>2.33</v>
      </c>
      <c r="H4566" s="16">
        <v>0.0</v>
      </c>
      <c r="I4566" s="15">
        <f t="shared" si="3"/>
        <v>0.95</v>
      </c>
      <c r="J4566" s="15">
        <v>11.18</v>
      </c>
      <c r="K4566" s="16">
        <f>IF(COUNTIFS(Release_Calendar!$A$2:$A$755,"US_CPI",Release_Calendar!$B$2:$B$755,$A4566)&gt;0,1,0)</f>
        <v>0</v>
      </c>
      <c r="L4566" s="16">
        <f>IF(COUNTIFS(Release_Calendar!$A$2:$A$755,"US_NFP",Release_Calendar!$B$2:$B$755,$A4566)&gt;0,1,0)</f>
        <v>0</v>
      </c>
      <c r="M4566" s="16">
        <f>IF($A4566&lt;Notes!$B$5,"",IF(COUNTIFS(Release_Calendar!$A$2:$A$755,"NZ_CPI",Release_Calendar!$B$2:$B$755,$A4566)&gt;0,1,0))</f>
        <v>0</v>
      </c>
      <c r="N4566" s="16">
        <f>IF($A4566&lt;Notes!$B$5,"",IF(COUNTIFS(Release_Calendar!$A$2:$A$755,"NZ_GDP",Release_Calendar!$B$2:$B$755,$A4566)&gt;0,1,0))</f>
        <v>0</v>
      </c>
      <c r="O4566" s="16">
        <f>IF($A4566&lt;Notes!$B$5,"",IF(COUNTIFS(Release_Calendar!$A$2:$A$755,"NZ_LABOUR",Release_Calendar!$B$2:$B$755,$A4566)&gt;0,1,0))</f>
        <v>0</v>
      </c>
      <c r="P4566" s="16">
        <f t="shared" si="4"/>
        <v>0</v>
      </c>
    </row>
    <row r="4567" ht="15.75" customHeight="1">
      <c r="A4567" s="14">
        <v>42919.0</v>
      </c>
      <c r="B4567" s="15">
        <v>1.41</v>
      </c>
      <c r="C4567" s="15">
        <v>2.37</v>
      </c>
      <c r="D4567" s="15">
        <v>2.1</v>
      </c>
      <c r="E4567" s="15">
        <v>2.1</v>
      </c>
      <c r="F4567" s="15">
        <f t="shared" si="1"/>
        <v>0.96</v>
      </c>
      <c r="G4567" s="15">
        <f t="shared" si="2"/>
        <v>2.37</v>
      </c>
      <c r="H4567" s="16">
        <v>0.0</v>
      </c>
      <c r="I4567" s="15">
        <f t="shared" si="3"/>
        <v>0.96</v>
      </c>
      <c r="J4567" s="15">
        <v>11.22</v>
      </c>
      <c r="K4567" s="16">
        <f>IF(COUNTIFS(Release_Calendar!$A$2:$A$755,"US_CPI",Release_Calendar!$B$2:$B$755,$A4567)&gt;0,1,0)</f>
        <v>0</v>
      </c>
      <c r="L4567" s="16">
        <f>IF(COUNTIFS(Release_Calendar!$A$2:$A$755,"US_NFP",Release_Calendar!$B$2:$B$755,$A4567)&gt;0,1,0)</f>
        <v>0</v>
      </c>
      <c r="M4567" s="16">
        <f>IF($A4567&lt;Notes!$B$5,"",IF(COUNTIFS(Release_Calendar!$A$2:$A$755,"NZ_CPI",Release_Calendar!$B$2:$B$755,$A4567)&gt;0,1,0))</f>
        <v>0</v>
      </c>
      <c r="N4567" s="16">
        <f>IF($A4567&lt;Notes!$B$5,"",IF(COUNTIFS(Release_Calendar!$A$2:$A$755,"NZ_GDP",Release_Calendar!$B$2:$B$755,$A4567)&gt;0,1,0))</f>
        <v>0</v>
      </c>
      <c r="O4567" s="16">
        <f>IF($A4567&lt;Notes!$B$5,"",IF(COUNTIFS(Release_Calendar!$A$2:$A$755,"NZ_LABOUR",Release_Calendar!$B$2:$B$755,$A4567)&gt;0,1,0))</f>
        <v>0</v>
      </c>
      <c r="P4567" s="16">
        <f t="shared" si="4"/>
        <v>0</v>
      </c>
    </row>
    <row r="4568" ht="15.75" customHeight="1">
      <c r="A4568" s="14">
        <v>42920.0</v>
      </c>
      <c r="B4568" s="15"/>
      <c r="C4568" s="15">
        <v>2.34</v>
      </c>
      <c r="D4568" s="15">
        <v>2.08</v>
      </c>
      <c r="E4568" s="15">
        <v>2.06</v>
      </c>
      <c r="F4568" s="15" t="str">
        <f t="shared" si="1"/>
        <v/>
      </c>
      <c r="G4568" s="15">
        <f t="shared" si="2"/>
        <v>2.34</v>
      </c>
      <c r="H4568" s="16">
        <v>0.0</v>
      </c>
      <c r="I4568" s="15" t="str">
        <f t="shared" si="3"/>
        <v/>
      </c>
      <c r="J4568" s="15"/>
      <c r="K4568" s="16">
        <f>IF(COUNTIFS(Release_Calendar!$A$2:$A$755,"US_CPI",Release_Calendar!$B$2:$B$755,$A4568)&gt;0,1,0)</f>
        <v>0</v>
      </c>
      <c r="L4568" s="16">
        <f>IF(COUNTIFS(Release_Calendar!$A$2:$A$755,"US_NFP",Release_Calendar!$B$2:$B$755,$A4568)&gt;0,1,0)</f>
        <v>0</v>
      </c>
      <c r="M4568" s="16">
        <f>IF($A4568&lt;Notes!$B$5,"",IF(COUNTIFS(Release_Calendar!$A$2:$A$755,"NZ_CPI",Release_Calendar!$B$2:$B$755,$A4568)&gt;0,1,0))</f>
        <v>0</v>
      </c>
      <c r="N4568" s="16">
        <f>IF($A4568&lt;Notes!$B$5,"",IF(COUNTIFS(Release_Calendar!$A$2:$A$755,"NZ_GDP",Release_Calendar!$B$2:$B$755,$A4568)&gt;0,1,0))</f>
        <v>0</v>
      </c>
      <c r="O4568" s="16">
        <f>IF($A4568&lt;Notes!$B$5,"",IF(COUNTIFS(Release_Calendar!$A$2:$A$755,"NZ_LABOUR",Release_Calendar!$B$2:$B$755,$A4568)&gt;0,1,0))</f>
        <v>0</v>
      </c>
      <c r="P4568" s="16">
        <f t="shared" si="4"/>
        <v>0</v>
      </c>
    </row>
    <row r="4569" ht="15.75" customHeight="1">
      <c r="A4569" s="14">
        <v>42921.0</v>
      </c>
      <c r="B4569" s="15">
        <v>1.41</v>
      </c>
      <c r="C4569" s="15">
        <v>2.31</v>
      </c>
      <c r="D4569" s="15">
        <v>2.03</v>
      </c>
      <c r="E4569" s="15">
        <v>2.03</v>
      </c>
      <c r="F4569" s="15">
        <f t="shared" si="1"/>
        <v>0.9</v>
      </c>
      <c r="G4569" s="15">
        <f t="shared" si="2"/>
        <v>2.31</v>
      </c>
      <c r="H4569" s="16">
        <v>0.0</v>
      </c>
      <c r="I4569" s="15">
        <f t="shared" si="3"/>
        <v>0.9</v>
      </c>
      <c r="J4569" s="15">
        <v>11.07</v>
      </c>
      <c r="K4569" s="16">
        <f>IF(COUNTIFS(Release_Calendar!$A$2:$A$755,"US_CPI",Release_Calendar!$B$2:$B$755,$A4569)&gt;0,1,0)</f>
        <v>0</v>
      </c>
      <c r="L4569" s="16">
        <f>IF(COUNTIFS(Release_Calendar!$A$2:$A$755,"US_NFP",Release_Calendar!$B$2:$B$755,$A4569)&gt;0,1,0)</f>
        <v>0</v>
      </c>
      <c r="M4569" s="16">
        <f>IF($A4569&lt;Notes!$B$5,"",IF(COUNTIFS(Release_Calendar!$A$2:$A$755,"NZ_CPI",Release_Calendar!$B$2:$B$755,$A4569)&gt;0,1,0))</f>
        <v>0</v>
      </c>
      <c r="N4569" s="16">
        <f>IF($A4569&lt;Notes!$B$5,"",IF(COUNTIFS(Release_Calendar!$A$2:$A$755,"NZ_GDP",Release_Calendar!$B$2:$B$755,$A4569)&gt;0,1,0))</f>
        <v>0</v>
      </c>
      <c r="O4569" s="16">
        <f>IF($A4569&lt;Notes!$B$5,"",IF(COUNTIFS(Release_Calendar!$A$2:$A$755,"NZ_LABOUR",Release_Calendar!$B$2:$B$755,$A4569)&gt;0,1,0))</f>
        <v>0</v>
      </c>
      <c r="P4569" s="16">
        <f t="shared" si="4"/>
        <v>0</v>
      </c>
    </row>
    <row r="4570" ht="15.75" customHeight="1">
      <c r="A4570" s="14">
        <v>42922.0</v>
      </c>
      <c r="B4570" s="15">
        <v>1.4</v>
      </c>
      <c r="C4570" s="15">
        <v>2.29</v>
      </c>
      <c r="D4570" s="15">
        <v>2.02</v>
      </c>
      <c r="E4570" s="15">
        <v>2.01</v>
      </c>
      <c r="F4570" s="15">
        <f t="shared" si="1"/>
        <v>0.89</v>
      </c>
      <c r="G4570" s="15">
        <f t="shared" si="2"/>
        <v>2.29</v>
      </c>
      <c r="H4570" s="16">
        <v>0.0</v>
      </c>
      <c r="I4570" s="15">
        <f t="shared" si="3"/>
        <v>0.89</v>
      </c>
      <c r="J4570" s="15">
        <v>12.54</v>
      </c>
      <c r="K4570" s="16">
        <f>IF(COUNTIFS(Release_Calendar!$A$2:$A$755,"US_CPI",Release_Calendar!$B$2:$B$755,$A4570)&gt;0,1,0)</f>
        <v>0</v>
      </c>
      <c r="L4570" s="16">
        <f>IF(COUNTIFS(Release_Calendar!$A$2:$A$755,"US_NFP",Release_Calendar!$B$2:$B$755,$A4570)&gt;0,1,0)</f>
        <v>0</v>
      </c>
      <c r="M4570" s="16">
        <f>IF($A4570&lt;Notes!$B$5,"",IF(COUNTIFS(Release_Calendar!$A$2:$A$755,"NZ_CPI",Release_Calendar!$B$2:$B$755,$A4570)&gt;0,1,0))</f>
        <v>0</v>
      </c>
      <c r="N4570" s="16">
        <f>IF($A4570&lt;Notes!$B$5,"",IF(COUNTIFS(Release_Calendar!$A$2:$A$755,"NZ_GDP",Release_Calendar!$B$2:$B$755,$A4570)&gt;0,1,0))</f>
        <v>0</v>
      </c>
      <c r="O4570" s="16">
        <f>IF($A4570&lt;Notes!$B$5,"",IF(COUNTIFS(Release_Calendar!$A$2:$A$755,"NZ_LABOUR",Release_Calendar!$B$2:$B$755,$A4570)&gt;0,1,0))</f>
        <v>0</v>
      </c>
      <c r="P4570" s="16">
        <f t="shared" si="4"/>
        <v>0</v>
      </c>
    </row>
    <row r="4571" ht="15.75" customHeight="1">
      <c r="A4571" s="14">
        <v>42923.0</v>
      </c>
      <c r="B4571" s="15">
        <v>1.4</v>
      </c>
      <c r="C4571" s="15">
        <v>2.32</v>
      </c>
      <c r="D4571" s="15">
        <v>2.04</v>
      </c>
      <c r="E4571" s="15">
        <v>2.05</v>
      </c>
      <c r="F4571" s="15">
        <f t="shared" si="1"/>
        <v>0.92</v>
      </c>
      <c r="G4571" s="15">
        <f t="shared" si="2"/>
        <v>2.32</v>
      </c>
      <c r="H4571" s="16">
        <v>0.0</v>
      </c>
      <c r="I4571" s="15">
        <f t="shared" si="3"/>
        <v>0.92</v>
      </c>
      <c r="J4571" s="15">
        <v>11.19</v>
      </c>
      <c r="K4571" s="16">
        <f>IF(COUNTIFS(Release_Calendar!$A$2:$A$755,"US_CPI",Release_Calendar!$B$2:$B$755,$A4571)&gt;0,1,0)</f>
        <v>0</v>
      </c>
      <c r="L4571" s="16">
        <f>IF(COUNTIFS(Release_Calendar!$A$2:$A$755,"US_NFP",Release_Calendar!$B$2:$B$755,$A4571)&gt;0,1,0)</f>
        <v>1</v>
      </c>
      <c r="M4571" s="16">
        <f>IF($A4571&lt;Notes!$B$5,"",IF(COUNTIFS(Release_Calendar!$A$2:$A$755,"NZ_CPI",Release_Calendar!$B$2:$B$755,$A4571)&gt;0,1,0))</f>
        <v>0</v>
      </c>
      <c r="N4571" s="16">
        <f>IF($A4571&lt;Notes!$B$5,"",IF(COUNTIFS(Release_Calendar!$A$2:$A$755,"NZ_GDP",Release_Calendar!$B$2:$B$755,$A4571)&gt;0,1,0))</f>
        <v>0</v>
      </c>
      <c r="O4571" s="16">
        <f>IF($A4571&lt;Notes!$B$5,"",IF(COUNTIFS(Release_Calendar!$A$2:$A$755,"NZ_LABOUR",Release_Calendar!$B$2:$B$755,$A4571)&gt;0,1,0))</f>
        <v>0</v>
      </c>
      <c r="P4571" s="16">
        <f t="shared" si="4"/>
        <v>1</v>
      </c>
    </row>
    <row r="4572" ht="15.75" customHeight="1">
      <c r="A4572" s="14">
        <v>42926.0</v>
      </c>
      <c r="B4572" s="15">
        <v>1.4</v>
      </c>
      <c r="C4572" s="15">
        <v>2.33</v>
      </c>
      <c r="D4572" s="15">
        <v>2.05</v>
      </c>
      <c r="E4572" s="15">
        <v>2.06</v>
      </c>
      <c r="F4572" s="15">
        <f t="shared" si="1"/>
        <v>0.93</v>
      </c>
      <c r="G4572" s="15">
        <f t="shared" si="2"/>
        <v>2.33</v>
      </c>
      <c r="H4572" s="16">
        <v>0.0</v>
      </c>
      <c r="I4572" s="15">
        <f t="shared" si="3"/>
        <v>0.93</v>
      </c>
      <c r="J4572" s="15">
        <v>11.11</v>
      </c>
      <c r="K4572" s="16">
        <f>IF(COUNTIFS(Release_Calendar!$A$2:$A$755,"US_CPI",Release_Calendar!$B$2:$B$755,$A4572)&gt;0,1,0)</f>
        <v>0</v>
      </c>
      <c r="L4572" s="16">
        <f>IF(COUNTIFS(Release_Calendar!$A$2:$A$755,"US_NFP",Release_Calendar!$B$2:$B$755,$A4572)&gt;0,1,0)</f>
        <v>0</v>
      </c>
      <c r="M4572" s="16">
        <f>IF($A4572&lt;Notes!$B$5,"",IF(COUNTIFS(Release_Calendar!$A$2:$A$755,"NZ_CPI",Release_Calendar!$B$2:$B$755,$A4572)&gt;0,1,0))</f>
        <v>0</v>
      </c>
      <c r="N4572" s="16">
        <f>IF($A4572&lt;Notes!$B$5,"",IF(COUNTIFS(Release_Calendar!$A$2:$A$755,"NZ_GDP",Release_Calendar!$B$2:$B$755,$A4572)&gt;0,1,0))</f>
        <v>0</v>
      </c>
      <c r="O4572" s="16">
        <f>IF($A4572&lt;Notes!$B$5,"",IF(COUNTIFS(Release_Calendar!$A$2:$A$755,"NZ_LABOUR",Release_Calendar!$B$2:$B$755,$A4572)&gt;0,1,0))</f>
        <v>0</v>
      </c>
      <c r="P4572" s="16">
        <f t="shared" si="4"/>
        <v>0</v>
      </c>
    </row>
    <row r="4573" ht="15.75" customHeight="1">
      <c r="A4573" s="14">
        <v>42927.0</v>
      </c>
      <c r="B4573" s="15">
        <v>1.37</v>
      </c>
      <c r="C4573" s="15">
        <v>2.31</v>
      </c>
      <c r="D4573" s="15">
        <v>2.03</v>
      </c>
      <c r="E4573" s="15">
        <v>2.03</v>
      </c>
      <c r="F4573" s="15">
        <f t="shared" si="1"/>
        <v>0.94</v>
      </c>
      <c r="G4573" s="15">
        <f t="shared" si="2"/>
        <v>2.31</v>
      </c>
      <c r="H4573" s="16">
        <v>0.0</v>
      </c>
      <c r="I4573" s="15">
        <f t="shared" si="3"/>
        <v>0.94</v>
      </c>
      <c r="J4573" s="15">
        <v>10.89</v>
      </c>
      <c r="K4573" s="16">
        <f>IF(COUNTIFS(Release_Calendar!$A$2:$A$755,"US_CPI",Release_Calendar!$B$2:$B$755,$A4573)&gt;0,1,0)</f>
        <v>0</v>
      </c>
      <c r="L4573" s="16">
        <f>IF(COUNTIFS(Release_Calendar!$A$2:$A$755,"US_NFP",Release_Calendar!$B$2:$B$755,$A4573)&gt;0,1,0)</f>
        <v>0</v>
      </c>
      <c r="M4573" s="16">
        <f>IF($A4573&lt;Notes!$B$5,"",IF(COUNTIFS(Release_Calendar!$A$2:$A$755,"NZ_CPI",Release_Calendar!$B$2:$B$755,$A4573)&gt;0,1,0))</f>
        <v>0</v>
      </c>
      <c r="N4573" s="16">
        <f>IF($A4573&lt;Notes!$B$5,"",IF(COUNTIFS(Release_Calendar!$A$2:$A$755,"NZ_GDP",Release_Calendar!$B$2:$B$755,$A4573)&gt;0,1,0))</f>
        <v>0</v>
      </c>
      <c r="O4573" s="16">
        <f>IF($A4573&lt;Notes!$B$5,"",IF(COUNTIFS(Release_Calendar!$A$2:$A$755,"NZ_LABOUR",Release_Calendar!$B$2:$B$755,$A4573)&gt;0,1,0))</f>
        <v>0</v>
      </c>
      <c r="P4573" s="16">
        <f t="shared" si="4"/>
        <v>0</v>
      </c>
    </row>
    <row r="4574" ht="15.75" customHeight="1">
      <c r="A4574" s="14">
        <v>42928.0</v>
      </c>
      <c r="B4574" s="15">
        <v>1.35</v>
      </c>
      <c r="C4574" s="15">
        <v>2.29</v>
      </c>
      <c r="D4574" s="15">
        <v>2.02</v>
      </c>
      <c r="E4574" s="15">
        <v>2.01</v>
      </c>
      <c r="F4574" s="15">
        <f t="shared" si="1"/>
        <v>0.94</v>
      </c>
      <c r="G4574" s="15">
        <f t="shared" si="2"/>
        <v>2.29</v>
      </c>
      <c r="H4574" s="16">
        <v>0.0</v>
      </c>
      <c r="I4574" s="15">
        <f t="shared" si="3"/>
        <v>0.94</v>
      </c>
      <c r="J4574" s="15">
        <v>10.3</v>
      </c>
      <c r="K4574" s="16">
        <f>IF(COUNTIFS(Release_Calendar!$A$2:$A$755,"US_CPI",Release_Calendar!$B$2:$B$755,$A4574)&gt;0,1,0)</f>
        <v>0</v>
      </c>
      <c r="L4574" s="16">
        <f>IF(COUNTIFS(Release_Calendar!$A$2:$A$755,"US_NFP",Release_Calendar!$B$2:$B$755,$A4574)&gt;0,1,0)</f>
        <v>0</v>
      </c>
      <c r="M4574" s="16">
        <f>IF($A4574&lt;Notes!$B$5,"",IF(COUNTIFS(Release_Calendar!$A$2:$A$755,"NZ_CPI",Release_Calendar!$B$2:$B$755,$A4574)&gt;0,1,0))</f>
        <v>0</v>
      </c>
      <c r="N4574" s="16">
        <f>IF($A4574&lt;Notes!$B$5,"",IF(COUNTIFS(Release_Calendar!$A$2:$A$755,"NZ_GDP",Release_Calendar!$B$2:$B$755,$A4574)&gt;0,1,0))</f>
        <v>0</v>
      </c>
      <c r="O4574" s="16">
        <f>IF($A4574&lt;Notes!$B$5,"",IF(COUNTIFS(Release_Calendar!$A$2:$A$755,"NZ_LABOUR",Release_Calendar!$B$2:$B$755,$A4574)&gt;0,1,0))</f>
        <v>0</v>
      </c>
      <c r="P4574" s="16">
        <f t="shared" si="4"/>
        <v>0</v>
      </c>
    </row>
    <row r="4575" ht="15.75" customHeight="1">
      <c r="A4575" s="14">
        <v>42929.0</v>
      </c>
      <c r="B4575" s="15">
        <v>1.37</v>
      </c>
      <c r="C4575" s="15">
        <v>2.27</v>
      </c>
      <c r="D4575" s="15">
        <v>1.98</v>
      </c>
      <c r="E4575" s="15">
        <v>1.97</v>
      </c>
      <c r="F4575" s="15">
        <f t="shared" si="1"/>
        <v>0.9</v>
      </c>
      <c r="G4575" s="15">
        <f t="shared" si="2"/>
        <v>2.27</v>
      </c>
      <c r="H4575" s="16">
        <v>0.0</v>
      </c>
      <c r="I4575" s="15">
        <f t="shared" si="3"/>
        <v>0.9</v>
      </c>
      <c r="J4575" s="15">
        <v>9.9</v>
      </c>
      <c r="K4575" s="16">
        <f>IF(COUNTIFS(Release_Calendar!$A$2:$A$755,"US_CPI",Release_Calendar!$B$2:$B$755,$A4575)&gt;0,1,0)</f>
        <v>0</v>
      </c>
      <c r="L4575" s="16">
        <f>IF(COUNTIFS(Release_Calendar!$A$2:$A$755,"US_NFP",Release_Calendar!$B$2:$B$755,$A4575)&gt;0,1,0)</f>
        <v>0</v>
      </c>
      <c r="M4575" s="16">
        <f>IF($A4575&lt;Notes!$B$5,"",IF(COUNTIFS(Release_Calendar!$A$2:$A$755,"NZ_CPI",Release_Calendar!$B$2:$B$755,$A4575)&gt;0,1,0))</f>
        <v>0</v>
      </c>
      <c r="N4575" s="16">
        <f>IF($A4575&lt;Notes!$B$5,"",IF(COUNTIFS(Release_Calendar!$A$2:$A$755,"NZ_GDP",Release_Calendar!$B$2:$B$755,$A4575)&gt;0,1,0))</f>
        <v>0</v>
      </c>
      <c r="O4575" s="16">
        <f>IF($A4575&lt;Notes!$B$5,"",IF(COUNTIFS(Release_Calendar!$A$2:$A$755,"NZ_LABOUR",Release_Calendar!$B$2:$B$755,$A4575)&gt;0,1,0))</f>
        <v>0</v>
      </c>
      <c r="P4575" s="16">
        <f t="shared" si="4"/>
        <v>0</v>
      </c>
    </row>
    <row r="4576" ht="15.75" customHeight="1">
      <c r="A4576" s="14">
        <v>42930.0</v>
      </c>
      <c r="B4576" s="15">
        <v>1.35</v>
      </c>
      <c r="C4576" s="15">
        <v>2.27</v>
      </c>
      <c r="D4576" s="15">
        <v>1.99</v>
      </c>
      <c r="E4576" s="15">
        <v>1.98</v>
      </c>
      <c r="F4576" s="15">
        <f t="shared" si="1"/>
        <v>0.92</v>
      </c>
      <c r="G4576" s="15">
        <f t="shared" si="2"/>
        <v>2.27</v>
      </c>
      <c r="H4576" s="16">
        <v>0.0</v>
      </c>
      <c r="I4576" s="15">
        <f t="shared" si="3"/>
        <v>0.92</v>
      </c>
      <c r="J4576" s="15">
        <v>9.51</v>
      </c>
      <c r="K4576" s="16">
        <f>IF(COUNTIFS(Release_Calendar!$A$2:$A$755,"US_CPI",Release_Calendar!$B$2:$B$755,$A4576)&gt;0,1,0)</f>
        <v>1</v>
      </c>
      <c r="L4576" s="16">
        <f>IF(COUNTIFS(Release_Calendar!$A$2:$A$755,"US_NFP",Release_Calendar!$B$2:$B$755,$A4576)&gt;0,1,0)</f>
        <v>0</v>
      </c>
      <c r="M4576" s="16">
        <f>IF($A4576&lt;Notes!$B$5,"",IF(COUNTIFS(Release_Calendar!$A$2:$A$755,"NZ_CPI",Release_Calendar!$B$2:$B$755,$A4576)&gt;0,1,0))</f>
        <v>0</v>
      </c>
      <c r="N4576" s="16">
        <f>IF($A4576&lt;Notes!$B$5,"",IF(COUNTIFS(Release_Calendar!$A$2:$A$755,"NZ_GDP",Release_Calendar!$B$2:$B$755,$A4576)&gt;0,1,0))</f>
        <v>0</v>
      </c>
      <c r="O4576" s="16">
        <f>IF($A4576&lt;Notes!$B$5,"",IF(COUNTIFS(Release_Calendar!$A$2:$A$755,"NZ_LABOUR",Release_Calendar!$B$2:$B$755,$A4576)&gt;0,1,0))</f>
        <v>0</v>
      </c>
      <c r="P4576" s="16">
        <f t="shared" si="4"/>
        <v>1</v>
      </c>
    </row>
    <row r="4577" ht="15.75" customHeight="1">
      <c r="A4577" s="14">
        <v>42933.0</v>
      </c>
      <c r="B4577" s="15">
        <v>1.36</v>
      </c>
      <c r="C4577" s="15">
        <v>2.25</v>
      </c>
      <c r="D4577" s="15">
        <v>1.95</v>
      </c>
      <c r="E4577" s="15">
        <v>1.96</v>
      </c>
      <c r="F4577" s="15">
        <f t="shared" si="1"/>
        <v>0.89</v>
      </c>
      <c r="G4577" s="15">
        <f t="shared" si="2"/>
        <v>2.25</v>
      </c>
      <c r="H4577" s="16">
        <v>0.0</v>
      </c>
      <c r="I4577" s="15">
        <f t="shared" si="3"/>
        <v>0.89</v>
      </c>
      <c r="J4577" s="15">
        <v>9.82</v>
      </c>
      <c r="K4577" s="16">
        <f>IF(COUNTIFS(Release_Calendar!$A$2:$A$755,"US_CPI",Release_Calendar!$B$2:$B$755,$A4577)&gt;0,1,0)</f>
        <v>0</v>
      </c>
      <c r="L4577" s="16">
        <f>IF(COUNTIFS(Release_Calendar!$A$2:$A$755,"US_NFP",Release_Calendar!$B$2:$B$755,$A4577)&gt;0,1,0)</f>
        <v>0</v>
      </c>
      <c r="M4577" s="16">
        <f>IF($A4577&lt;Notes!$B$5,"",IF(COUNTIFS(Release_Calendar!$A$2:$A$755,"NZ_CPI",Release_Calendar!$B$2:$B$755,$A4577)&gt;0,1,0))</f>
        <v>0</v>
      </c>
      <c r="N4577" s="16">
        <f>IF($A4577&lt;Notes!$B$5,"",IF(COUNTIFS(Release_Calendar!$A$2:$A$755,"NZ_GDP",Release_Calendar!$B$2:$B$755,$A4577)&gt;0,1,0))</f>
        <v>0</v>
      </c>
      <c r="O4577" s="16">
        <f>IF($A4577&lt;Notes!$B$5,"",IF(COUNTIFS(Release_Calendar!$A$2:$A$755,"NZ_LABOUR",Release_Calendar!$B$2:$B$755,$A4577)&gt;0,1,0))</f>
        <v>0</v>
      </c>
      <c r="P4577" s="16">
        <f t="shared" si="4"/>
        <v>0</v>
      </c>
    </row>
    <row r="4578" ht="15.75" customHeight="1">
      <c r="A4578" s="14">
        <v>42934.0</v>
      </c>
      <c r="B4578" s="15">
        <v>1.36</v>
      </c>
      <c r="C4578" s="15">
        <v>2.23</v>
      </c>
      <c r="D4578" s="15">
        <v>1.92</v>
      </c>
      <c r="E4578" s="15">
        <v>1.93</v>
      </c>
      <c r="F4578" s="15">
        <f t="shared" si="1"/>
        <v>0.87</v>
      </c>
      <c r="G4578" s="15">
        <f t="shared" si="2"/>
        <v>2.23</v>
      </c>
      <c r="H4578" s="16">
        <v>0.0</v>
      </c>
      <c r="I4578" s="15">
        <f t="shared" si="3"/>
        <v>0.87</v>
      </c>
      <c r="J4578" s="15">
        <v>9.89</v>
      </c>
      <c r="K4578" s="16">
        <f>IF(COUNTIFS(Release_Calendar!$A$2:$A$755,"US_CPI",Release_Calendar!$B$2:$B$755,$A4578)&gt;0,1,0)</f>
        <v>0</v>
      </c>
      <c r="L4578" s="16">
        <f>IF(COUNTIFS(Release_Calendar!$A$2:$A$755,"US_NFP",Release_Calendar!$B$2:$B$755,$A4578)&gt;0,1,0)</f>
        <v>0</v>
      </c>
      <c r="M4578" s="16">
        <f>IF($A4578&lt;Notes!$B$5,"",IF(COUNTIFS(Release_Calendar!$A$2:$A$755,"NZ_CPI",Release_Calendar!$B$2:$B$755,$A4578)&gt;0,1,0))</f>
        <v>1</v>
      </c>
      <c r="N4578" s="16">
        <f>IF($A4578&lt;Notes!$B$5,"",IF(COUNTIFS(Release_Calendar!$A$2:$A$755,"NZ_GDP",Release_Calendar!$B$2:$B$755,$A4578)&gt;0,1,0))</f>
        <v>0</v>
      </c>
      <c r="O4578" s="16">
        <f>IF($A4578&lt;Notes!$B$5,"",IF(COUNTIFS(Release_Calendar!$A$2:$A$755,"NZ_LABOUR",Release_Calendar!$B$2:$B$755,$A4578)&gt;0,1,0))</f>
        <v>0</v>
      </c>
      <c r="P4578" s="16">
        <f t="shared" si="4"/>
        <v>1</v>
      </c>
    </row>
    <row r="4579" ht="15.75" customHeight="1">
      <c r="A4579" s="14">
        <v>42935.0</v>
      </c>
      <c r="B4579" s="15">
        <v>1.37</v>
      </c>
      <c r="C4579" s="15">
        <v>2.23</v>
      </c>
      <c r="D4579" s="15">
        <v>1.91</v>
      </c>
      <c r="E4579" s="15">
        <v>1.93</v>
      </c>
      <c r="F4579" s="15">
        <f t="shared" si="1"/>
        <v>0.86</v>
      </c>
      <c r="G4579" s="15">
        <f t="shared" si="2"/>
        <v>2.23</v>
      </c>
      <c r="H4579" s="16">
        <v>0.0</v>
      </c>
      <c r="I4579" s="15">
        <f t="shared" si="3"/>
        <v>0.86</v>
      </c>
      <c r="J4579" s="15">
        <v>9.79</v>
      </c>
      <c r="K4579" s="16">
        <f>IF(COUNTIFS(Release_Calendar!$A$2:$A$755,"US_CPI",Release_Calendar!$B$2:$B$755,$A4579)&gt;0,1,0)</f>
        <v>0</v>
      </c>
      <c r="L4579" s="16">
        <f>IF(COUNTIFS(Release_Calendar!$A$2:$A$755,"US_NFP",Release_Calendar!$B$2:$B$755,$A4579)&gt;0,1,0)</f>
        <v>0</v>
      </c>
      <c r="M4579" s="16">
        <f>IF($A4579&lt;Notes!$B$5,"",IF(COUNTIFS(Release_Calendar!$A$2:$A$755,"NZ_CPI",Release_Calendar!$B$2:$B$755,$A4579)&gt;0,1,0))</f>
        <v>0</v>
      </c>
      <c r="N4579" s="16">
        <f>IF($A4579&lt;Notes!$B$5,"",IF(COUNTIFS(Release_Calendar!$A$2:$A$755,"NZ_GDP",Release_Calendar!$B$2:$B$755,$A4579)&gt;0,1,0))</f>
        <v>0</v>
      </c>
      <c r="O4579" s="16">
        <f>IF($A4579&lt;Notes!$B$5,"",IF(COUNTIFS(Release_Calendar!$A$2:$A$755,"NZ_LABOUR",Release_Calendar!$B$2:$B$755,$A4579)&gt;0,1,0))</f>
        <v>0</v>
      </c>
      <c r="P4579" s="16">
        <f t="shared" si="4"/>
        <v>0</v>
      </c>
    </row>
    <row r="4580" ht="15.75" customHeight="1">
      <c r="A4580" s="14">
        <v>42936.0</v>
      </c>
      <c r="B4580" s="15">
        <v>1.37</v>
      </c>
      <c r="C4580" s="15">
        <v>2.23</v>
      </c>
      <c r="D4580" s="15">
        <v>1.95</v>
      </c>
      <c r="E4580" s="15">
        <v>1.94</v>
      </c>
      <c r="F4580" s="15">
        <f t="shared" si="1"/>
        <v>0.86</v>
      </c>
      <c r="G4580" s="15">
        <f t="shared" si="2"/>
        <v>2.23</v>
      </c>
      <c r="H4580" s="16">
        <v>0.0</v>
      </c>
      <c r="I4580" s="15">
        <f t="shared" si="3"/>
        <v>0.86</v>
      </c>
      <c r="J4580" s="15">
        <v>9.58</v>
      </c>
      <c r="K4580" s="16">
        <f>IF(COUNTIFS(Release_Calendar!$A$2:$A$755,"US_CPI",Release_Calendar!$B$2:$B$755,$A4580)&gt;0,1,0)</f>
        <v>0</v>
      </c>
      <c r="L4580" s="16">
        <f>IF(COUNTIFS(Release_Calendar!$A$2:$A$755,"US_NFP",Release_Calendar!$B$2:$B$755,$A4580)&gt;0,1,0)</f>
        <v>0</v>
      </c>
      <c r="M4580" s="16">
        <f>IF($A4580&lt;Notes!$B$5,"",IF(COUNTIFS(Release_Calendar!$A$2:$A$755,"NZ_CPI",Release_Calendar!$B$2:$B$755,$A4580)&gt;0,1,0))</f>
        <v>0</v>
      </c>
      <c r="N4580" s="16">
        <f>IF($A4580&lt;Notes!$B$5,"",IF(COUNTIFS(Release_Calendar!$A$2:$A$755,"NZ_GDP",Release_Calendar!$B$2:$B$755,$A4580)&gt;0,1,0))</f>
        <v>0</v>
      </c>
      <c r="O4580" s="16">
        <f>IF($A4580&lt;Notes!$B$5,"",IF(COUNTIFS(Release_Calendar!$A$2:$A$755,"NZ_LABOUR",Release_Calendar!$B$2:$B$755,$A4580)&gt;0,1,0))</f>
        <v>0</v>
      </c>
      <c r="P4580" s="16">
        <f t="shared" si="4"/>
        <v>0</v>
      </c>
    </row>
    <row r="4581" ht="15.75" customHeight="1">
      <c r="A4581" s="14">
        <v>42937.0</v>
      </c>
      <c r="B4581" s="15">
        <v>1.36</v>
      </c>
      <c r="C4581" s="15">
        <v>2.21</v>
      </c>
      <c r="D4581" s="15">
        <v>1.92</v>
      </c>
      <c r="E4581" s="15">
        <v>1.95</v>
      </c>
      <c r="F4581" s="15">
        <f t="shared" si="1"/>
        <v>0.85</v>
      </c>
      <c r="G4581" s="15">
        <f t="shared" si="2"/>
        <v>2.21</v>
      </c>
      <c r="H4581" s="16">
        <v>0.0</v>
      </c>
      <c r="I4581" s="15">
        <f t="shared" si="3"/>
        <v>0.85</v>
      </c>
      <c r="J4581" s="15">
        <v>9.36</v>
      </c>
      <c r="K4581" s="16">
        <f>IF(COUNTIFS(Release_Calendar!$A$2:$A$755,"US_CPI",Release_Calendar!$B$2:$B$755,$A4581)&gt;0,1,0)</f>
        <v>0</v>
      </c>
      <c r="L4581" s="16">
        <f>IF(COUNTIFS(Release_Calendar!$A$2:$A$755,"US_NFP",Release_Calendar!$B$2:$B$755,$A4581)&gt;0,1,0)</f>
        <v>0</v>
      </c>
      <c r="M4581" s="16">
        <f>IF($A4581&lt;Notes!$B$5,"",IF(COUNTIFS(Release_Calendar!$A$2:$A$755,"NZ_CPI",Release_Calendar!$B$2:$B$755,$A4581)&gt;0,1,0))</f>
        <v>0</v>
      </c>
      <c r="N4581" s="16">
        <f>IF($A4581&lt;Notes!$B$5,"",IF(COUNTIFS(Release_Calendar!$A$2:$A$755,"NZ_GDP",Release_Calendar!$B$2:$B$755,$A4581)&gt;0,1,0))</f>
        <v>0</v>
      </c>
      <c r="O4581" s="16">
        <f>IF($A4581&lt;Notes!$B$5,"",IF(COUNTIFS(Release_Calendar!$A$2:$A$755,"NZ_LABOUR",Release_Calendar!$B$2:$B$755,$A4581)&gt;0,1,0))</f>
        <v>0</v>
      </c>
      <c r="P4581" s="16">
        <f t="shared" si="4"/>
        <v>0</v>
      </c>
    </row>
    <row r="4582" ht="15.75" customHeight="1">
      <c r="A4582" s="14">
        <v>42940.0</v>
      </c>
      <c r="B4582" s="15">
        <v>1.37</v>
      </c>
      <c r="C4582" s="15">
        <v>2.22</v>
      </c>
      <c r="D4582" s="15">
        <v>1.92</v>
      </c>
      <c r="E4582" s="15">
        <v>1.94</v>
      </c>
      <c r="F4582" s="15">
        <f t="shared" si="1"/>
        <v>0.85</v>
      </c>
      <c r="G4582" s="15">
        <f t="shared" si="2"/>
        <v>2.22</v>
      </c>
      <c r="H4582" s="16">
        <v>0.0</v>
      </c>
      <c r="I4582" s="15">
        <f t="shared" si="3"/>
        <v>0.85</v>
      </c>
      <c r="J4582" s="15">
        <v>9.43</v>
      </c>
      <c r="K4582" s="16">
        <f>IF(COUNTIFS(Release_Calendar!$A$2:$A$755,"US_CPI",Release_Calendar!$B$2:$B$755,$A4582)&gt;0,1,0)</f>
        <v>0</v>
      </c>
      <c r="L4582" s="16">
        <f>IF(COUNTIFS(Release_Calendar!$A$2:$A$755,"US_NFP",Release_Calendar!$B$2:$B$755,$A4582)&gt;0,1,0)</f>
        <v>0</v>
      </c>
      <c r="M4582" s="16">
        <f>IF($A4582&lt;Notes!$B$5,"",IF(COUNTIFS(Release_Calendar!$A$2:$A$755,"NZ_CPI",Release_Calendar!$B$2:$B$755,$A4582)&gt;0,1,0))</f>
        <v>0</v>
      </c>
      <c r="N4582" s="16">
        <f>IF($A4582&lt;Notes!$B$5,"",IF(COUNTIFS(Release_Calendar!$A$2:$A$755,"NZ_GDP",Release_Calendar!$B$2:$B$755,$A4582)&gt;0,1,0))</f>
        <v>0</v>
      </c>
      <c r="O4582" s="16">
        <f>IF($A4582&lt;Notes!$B$5,"",IF(COUNTIFS(Release_Calendar!$A$2:$A$755,"NZ_LABOUR",Release_Calendar!$B$2:$B$755,$A4582)&gt;0,1,0))</f>
        <v>0</v>
      </c>
      <c r="P4582" s="16">
        <f t="shared" si="4"/>
        <v>0</v>
      </c>
    </row>
    <row r="4583" ht="15.75" customHeight="1">
      <c r="A4583" s="14">
        <v>42941.0</v>
      </c>
      <c r="B4583" s="15">
        <v>1.4</v>
      </c>
      <c r="C4583" s="15">
        <v>2.23</v>
      </c>
      <c r="D4583" s="15">
        <v>1.96</v>
      </c>
      <c r="E4583" s="15">
        <v>1.94</v>
      </c>
      <c r="F4583" s="15">
        <f t="shared" si="1"/>
        <v>0.83</v>
      </c>
      <c r="G4583" s="15">
        <f t="shared" si="2"/>
        <v>2.23</v>
      </c>
      <c r="H4583" s="16">
        <v>0.0</v>
      </c>
      <c r="I4583" s="15">
        <f t="shared" si="3"/>
        <v>0.83</v>
      </c>
      <c r="J4583" s="15">
        <v>9.43</v>
      </c>
      <c r="K4583" s="16">
        <f>IF(COUNTIFS(Release_Calendar!$A$2:$A$755,"US_CPI",Release_Calendar!$B$2:$B$755,$A4583)&gt;0,1,0)</f>
        <v>0</v>
      </c>
      <c r="L4583" s="16">
        <f>IF(COUNTIFS(Release_Calendar!$A$2:$A$755,"US_NFP",Release_Calendar!$B$2:$B$755,$A4583)&gt;0,1,0)</f>
        <v>0</v>
      </c>
      <c r="M4583" s="16">
        <f>IF($A4583&lt;Notes!$B$5,"",IF(COUNTIFS(Release_Calendar!$A$2:$A$755,"NZ_CPI",Release_Calendar!$B$2:$B$755,$A4583)&gt;0,1,0))</f>
        <v>0</v>
      </c>
      <c r="N4583" s="16">
        <f>IF($A4583&lt;Notes!$B$5,"",IF(COUNTIFS(Release_Calendar!$A$2:$A$755,"NZ_GDP",Release_Calendar!$B$2:$B$755,$A4583)&gt;0,1,0))</f>
        <v>0</v>
      </c>
      <c r="O4583" s="16">
        <f>IF($A4583&lt;Notes!$B$5,"",IF(COUNTIFS(Release_Calendar!$A$2:$A$755,"NZ_LABOUR",Release_Calendar!$B$2:$B$755,$A4583)&gt;0,1,0))</f>
        <v>0</v>
      </c>
      <c r="P4583" s="16">
        <f t="shared" si="4"/>
        <v>0</v>
      </c>
    </row>
    <row r="4584" ht="15.75" customHeight="1">
      <c r="A4584" s="14">
        <v>42942.0</v>
      </c>
      <c r="B4584" s="15">
        <v>1.36</v>
      </c>
      <c r="C4584" s="15">
        <v>2.22</v>
      </c>
      <c r="D4584" s="15">
        <v>1.97</v>
      </c>
      <c r="E4584" s="15">
        <v>1.95</v>
      </c>
      <c r="F4584" s="15">
        <f t="shared" si="1"/>
        <v>0.86</v>
      </c>
      <c r="G4584" s="15">
        <f t="shared" si="2"/>
        <v>2.22</v>
      </c>
      <c r="H4584" s="16">
        <v>0.0</v>
      </c>
      <c r="I4584" s="15">
        <f t="shared" si="3"/>
        <v>0.86</v>
      </c>
      <c r="J4584" s="15">
        <v>9.6</v>
      </c>
      <c r="K4584" s="16">
        <f>IF(COUNTIFS(Release_Calendar!$A$2:$A$755,"US_CPI",Release_Calendar!$B$2:$B$755,$A4584)&gt;0,1,0)</f>
        <v>0</v>
      </c>
      <c r="L4584" s="16">
        <f>IF(COUNTIFS(Release_Calendar!$A$2:$A$755,"US_NFP",Release_Calendar!$B$2:$B$755,$A4584)&gt;0,1,0)</f>
        <v>0</v>
      </c>
      <c r="M4584" s="16">
        <f>IF($A4584&lt;Notes!$B$5,"",IF(COUNTIFS(Release_Calendar!$A$2:$A$755,"NZ_CPI",Release_Calendar!$B$2:$B$755,$A4584)&gt;0,1,0))</f>
        <v>0</v>
      </c>
      <c r="N4584" s="16">
        <f>IF($A4584&lt;Notes!$B$5,"",IF(COUNTIFS(Release_Calendar!$A$2:$A$755,"NZ_GDP",Release_Calendar!$B$2:$B$755,$A4584)&gt;0,1,0))</f>
        <v>0</v>
      </c>
      <c r="O4584" s="16">
        <f>IF($A4584&lt;Notes!$B$5,"",IF(COUNTIFS(Release_Calendar!$A$2:$A$755,"NZ_LABOUR",Release_Calendar!$B$2:$B$755,$A4584)&gt;0,1,0))</f>
        <v>0</v>
      </c>
      <c r="P4584" s="16">
        <f t="shared" si="4"/>
        <v>0</v>
      </c>
    </row>
    <row r="4585" ht="15.75" customHeight="1">
      <c r="A4585" s="14">
        <v>42943.0</v>
      </c>
      <c r="B4585" s="15">
        <v>1.36</v>
      </c>
      <c r="C4585" s="15">
        <v>2.2</v>
      </c>
      <c r="D4585" s="15">
        <v>1.93</v>
      </c>
      <c r="E4585" s="15">
        <v>1.92</v>
      </c>
      <c r="F4585" s="15">
        <f t="shared" si="1"/>
        <v>0.84</v>
      </c>
      <c r="G4585" s="15">
        <f t="shared" si="2"/>
        <v>2.2</v>
      </c>
      <c r="H4585" s="16">
        <v>0.0</v>
      </c>
      <c r="I4585" s="15">
        <f t="shared" si="3"/>
        <v>0.84</v>
      </c>
      <c r="J4585" s="15">
        <v>10.11</v>
      </c>
      <c r="K4585" s="16">
        <f>IF(COUNTIFS(Release_Calendar!$A$2:$A$755,"US_CPI",Release_Calendar!$B$2:$B$755,$A4585)&gt;0,1,0)</f>
        <v>0</v>
      </c>
      <c r="L4585" s="16">
        <f>IF(COUNTIFS(Release_Calendar!$A$2:$A$755,"US_NFP",Release_Calendar!$B$2:$B$755,$A4585)&gt;0,1,0)</f>
        <v>0</v>
      </c>
      <c r="M4585" s="16">
        <f>IF($A4585&lt;Notes!$B$5,"",IF(COUNTIFS(Release_Calendar!$A$2:$A$755,"NZ_CPI",Release_Calendar!$B$2:$B$755,$A4585)&gt;0,1,0))</f>
        <v>0</v>
      </c>
      <c r="N4585" s="16">
        <f>IF($A4585&lt;Notes!$B$5,"",IF(COUNTIFS(Release_Calendar!$A$2:$A$755,"NZ_GDP",Release_Calendar!$B$2:$B$755,$A4585)&gt;0,1,0))</f>
        <v>0</v>
      </c>
      <c r="O4585" s="16">
        <f>IF($A4585&lt;Notes!$B$5,"",IF(COUNTIFS(Release_Calendar!$A$2:$A$755,"NZ_LABOUR",Release_Calendar!$B$2:$B$755,$A4585)&gt;0,1,0))</f>
        <v>0</v>
      </c>
      <c r="P4585" s="16">
        <f t="shared" si="4"/>
        <v>0</v>
      </c>
    </row>
    <row r="4586" ht="15.75" customHeight="1">
      <c r="A4586" s="14">
        <v>42944.0</v>
      </c>
      <c r="B4586" s="15">
        <v>1.34</v>
      </c>
      <c r="C4586" s="15">
        <v>2.21</v>
      </c>
      <c r="D4586" s="15">
        <v>2.12</v>
      </c>
      <c r="E4586" s="15">
        <v>2.11</v>
      </c>
      <c r="F4586" s="15">
        <f t="shared" si="1"/>
        <v>0.87</v>
      </c>
      <c r="G4586" s="15">
        <f t="shared" si="2"/>
        <v>2.21</v>
      </c>
      <c r="H4586" s="16">
        <v>0.0</v>
      </c>
      <c r="I4586" s="15">
        <f t="shared" si="3"/>
        <v>0.87</v>
      </c>
      <c r="J4586" s="15">
        <v>10.29</v>
      </c>
      <c r="K4586" s="16">
        <f>IF(COUNTIFS(Release_Calendar!$A$2:$A$755,"US_CPI",Release_Calendar!$B$2:$B$755,$A4586)&gt;0,1,0)</f>
        <v>0</v>
      </c>
      <c r="L4586" s="16">
        <f>IF(COUNTIFS(Release_Calendar!$A$2:$A$755,"US_NFP",Release_Calendar!$B$2:$B$755,$A4586)&gt;0,1,0)</f>
        <v>0</v>
      </c>
      <c r="M4586" s="16">
        <f>IF($A4586&lt;Notes!$B$5,"",IF(COUNTIFS(Release_Calendar!$A$2:$A$755,"NZ_CPI",Release_Calendar!$B$2:$B$755,$A4586)&gt;0,1,0))</f>
        <v>0</v>
      </c>
      <c r="N4586" s="16">
        <f>IF($A4586&lt;Notes!$B$5,"",IF(COUNTIFS(Release_Calendar!$A$2:$A$755,"NZ_GDP",Release_Calendar!$B$2:$B$755,$A4586)&gt;0,1,0))</f>
        <v>0</v>
      </c>
      <c r="O4586" s="16">
        <f>IF($A4586&lt;Notes!$B$5,"",IF(COUNTIFS(Release_Calendar!$A$2:$A$755,"NZ_LABOUR",Release_Calendar!$B$2:$B$755,$A4586)&gt;0,1,0))</f>
        <v>0</v>
      </c>
      <c r="P4586" s="16">
        <f t="shared" si="4"/>
        <v>0</v>
      </c>
    </row>
    <row r="4587" ht="15.75" customHeight="1">
      <c r="A4587" s="14">
        <v>42947.0</v>
      </c>
      <c r="B4587" s="15">
        <v>1.34</v>
      </c>
      <c r="C4587" s="15">
        <v>2.21</v>
      </c>
      <c r="D4587" s="15">
        <v>2.12</v>
      </c>
      <c r="E4587" s="15">
        <v>2.1</v>
      </c>
      <c r="F4587" s="15">
        <f t="shared" si="1"/>
        <v>0.87</v>
      </c>
      <c r="G4587" s="15">
        <f t="shared" si="2"/>
        <v>2.21</v>
      </c>
      <c r="H4587" s="16">
        <v>0.0</v>
      </c>
      <c r="I4587" s="15">
        <f t="shared" si="3"/>
        <v>0.87</v>
      </c>
      <c r="J4587" s="15">
        <v>10.26</v>
      </c>
      <c r="K4587" s="16">
        <f>IF(COUNTIFS(Release_Calendar!$A$2:$A$755,"US_CPI",Release_Calendar!$B$2:$B$755,$A4587)&gt;0,1,0)</f>
        <v>0</v>
      </c>
      <c r="L4587" s="16">
        <f>IF(COUNTIFS(Release_Calendar!$A$2:$A$755,"US_NFP",Release_Calendar!$B$2:$B$755,$A4587)&gt;0,1,0)</f>
        <v>0</v>
      </c>
      <c r="M4587" s="16">
        <f>IF($A4587&lt;Notes!$B$5,"",IF(COUNTIFS(Release_Calendar!$A$2:$A$755,"NZ_CPI",Release_Calendar!$B$2:$B$755,$A4587)&gt;0,1,0))</f>
        <v>0</v>
      </c>
      <c r="N4587" s="16">
        <f>IF($A4587&lt;Notes!$B$5,"",IF(COUNTIFS(Release_Calendar!$A$2:$A$755,"NZ_GDP",Release_Calendar!$B$2:$B$755,$A4587)&gt;0,1,0))</f>
        <v>0</v>
      </c>
      <c r="O4587" s="16">
        <f>IF($A4587&lt;Notes!$B$5,"",IF(COUNTIFS(Release_Calendar!$A$2:$A$755,"NZ_LABOUR",Release_Calendar!$B$2:$B$755,$A4587)&gt;0,1,0))</f>
        <v>0</v>
      </c>
      <c r="P4587" s="16">
        <f t="shared" si="4"/>
        <v>0</v>
      </c>
    </row>
    <row r="4588" ht="15.75" customHeight="1">
      <c r="A4588" s="14">
        <v>42948.0</v>
      </c>
      <c r="B4588" s="15">
        <v>1.34</v>
      </c>
      <c r="C4588" s="15">
        <v>2.22</v>
      </c>
      <c r="D4588" s="15">
        <v>2.11</v>
      </c>
      <c r="E4588" s="15">
        <v>2.1</v>
      </c>
      <c r="F4588" s="15">
        <f t="shared" si="1"/>
        <v>0.88</v>
      </c>
      <c r="G4588" s="15">
        <f t="shared" si="2"/>
        <v>2.22</v>
      </c>
      <c r="H4588" s="16">
        <v>0.0</v>
      </c>
      <c r="I4588" s="15">
        <f t="shared" si="3"/>
        <v>0.88</v>
      </c>
      <c r="J4588" s="15">
        <v>10.09</v>
      </c>
      <c r="K4588" s="16">
        <f>IF(COUNTIFS(Release_Calendar!$A$2:$A$755,"US_CPI",Release_Calendar!$B$2:$B$755,$A4588)&gt;0,1,0)</f>
        <v>0</v>
      </c>
      <c r="L4588" s="16">
        <f>IF(COUNTIFS(Release_Calendar!$A$2:$A$755,"US_NFP",Release_Calendar!$B$2:$B$755,$A4588)&gt;0,1,0)</f>
        <v>0</v>
      </c>
      <c r="M4588" s="16">
        <f>IF($A4588&lt;Notes!$B$5,"",IF(COUNTIFS(Release_Calendar!$A$2:$A$755,"NZ_CPI",Release_Calendar!$B$2:$B$755,$A4588)&gt;0,1,0))</f>
        <v>0</v>
      </c>
      <c r="N4588" s="16">
        <f>IF($A4588&lt;Notes!$B$5,"",IF(COUNTIFS(Release_Calendar!$A$2:$A$755,"NZ_GDP",Release_Calendar!$B$2:$B$755,$A4588)&gt;0,1,0))</f>
        <v>0</v>
      </c>
      <c r="O4588" s="16">
        <f>IF($A4588&lt;Notes!$B$5,"",IF(COUNTIFS(Release_Calendar!$A$2:$A$755,"NZ_LABOUR",Release_Calendar!$B$2:$B$755,$A4588)&gt;0,1,0))</f>
        <v>0</v>
      </c>
      <c r="P4588" s="16">
        <f t="shared" si="4"/>
        <v>0</v>
      </c>
    </row>
    <row r="4589" ht="15.75" customHeight="1">
      <c r="A4589" s="14">
        <v>42949.0</v>
      </c>
      <c r="B4589" s="15">
        <v>1.36</v>
      </c>
      <c r="C4589" s="15">
        <v>2.21</v>
      </c>
      <c r="D4589" s="15">
        <v>2.07</v>
      </c>
      <c r="E4589" s="15">
        <v>2.08</v>
      </c>
      <c r="F4589" s="15">
        <f t="shared" si="1"/>
        <v>0.85</v>
      </c>
      <c r="G4589" s="15">
        <f t="shared" si="2"/>
        <v>2.21</v>
      </c>
      <c r="H4589" s="16">
        <v>0.0</v>
      </c>
      <c r="I4589" s="15">
        <f t="shared" si="3"/>
        <v>0.85</v>
      </c>
      <c r="J4589" s="15">
        <v>10.28</v>
      </c>
      <c r="K4589" s="16">
        <f>IF(COUNTIFS(Release_Calendar!$A$2:$A$755,"US_CPI",Release_Calendar!$B$2:$B$755,$A4589)&gt;0,1,0)</f>
        <v>0</v>
      </c>
      <c r="L4589" s="16">
        <f>IF(COUNTIFS(Release_Calendar!$A$2:$A$755,"US_NFP",Release_Calendar!$B$2:$B$755,$A4589)&gt;0,1,0)</f>
        <v>0</v>
      </c>
      <c r="M4589" s="16">
        <f>IF($A4589&lt;Notes!$B$5,"",IF(COUNTIFS(Release_Calendar!$A$2:$A$755,"NZ_CPI",Release_Calendar!$B$2:$B$755,$A4589)&gt;0,1,0))</f>
        <v>0</v>
      </c>
      <c r="N4589" s="16">
        <f>IF($A4589&lt;Notes!$B$5,"",IF(COUNTIFS(Release_Calendar!$A$2:$A$755,"NZ_GDP",Release_Calendar!$B$2:$B$755,$A4589)&gt;0,1,0))</f>
        <v>0</v>
      </c>
      <c r="O4589" s="16">
        <f>IF($A4589&lt;Notes!$B$5,"",IF(COUNTIFS(Release_Calendar!$A$2:$A$755,"NZ_LABOUR",Release_Calendar!$B$2:$B$755,$A4589)&gt;0,1,0))</f>
        <v>1</v>
      </c>
      <c r="P4589" s="16">
        <f t="shared" si="4"/>
        <v>1</v>
      </c>
    </row>
    <row r="4590" ht="15.75" customHeight="1">
      <c r="A4590" s="14">
        <v>42950.0</v>
      </c>
      <c r="B4590" s="15">
        <v>1.34</v>
      </c>
      <c r="C4590" s="15">
        <v>2.19</v>
      </c>
      <c r="D4590" s="15">
        <v>2.07</v>
      </c>
      <c r="E4590" s="15">
        <v>2.05</v>
      </c>
      <c r="F4590" s="15">
        <f t="shared" si="1"/>
        <v>0.85</v>
      </c>
      <c r="G4590" s="15">
        <f t="shared" si="2"/>
        <v>2.19</v>
      </c>
      <c r="H4590" s="16">
        <v>0.0</v>
      </c>
      <c r="I4590" s="15">
        <f t="shared" si="3"/>
        <v>0.85</v>
      </c>
      <c r="J4590" s="15">
        <v>10.44</v>
      </c>
      <c r="K4590" s="16">
        <f>IF(COUNTIFS(Release_Calendar!$A$2:$A$755,"US_CPI",Release_Calendar!$B$2:$B$755,$A4590)&gt;0,1,0)</f>
        <v>0</v>
      </c>
      <c r="L4590" s="16">
        <f>IF(COUNTIFS(Release_Calendar!$A$2:$A$755,"US_NFP",Release_Calendar!$B$2:$B$755,$A4590)&gt;0,1,0)</f>
        <v>0</v>
      </c>
      <c r="M4590" s="16">
        <f>IF($A4590&lt;Notes!$B$5,"",IF(COUNTIFS(Release_Calendar!$A$2:$A$755,"NZ_CPI",Release_Calendar!$B$2:$B$755,$A4590)&gt;0,1,0))</f>
        <v>0</v>
      </c>
      <c r="N4590" s="16">
        <f>IF($A4590&lt;Notes!$B$5,"",IF(COUNTIFS(Release_Calendar!$A$2:$A$755,"NZ_GDP",Release_Calendar!$B$2:$B$755,$A4590)&gt;0,1,0))</f>
        <v>0</v>
      </c>
      <c r="O4590" s="16">
        <f>IF($A4590&lt;Notes!$B$5,"",IF(COUNTIFS(Release_Calendar!$A$2:$A$755,"NZ_LABOUR",Release_Calendar!$B$2:$B$755,$A4590)&gt;0,1,0))</f>
        <v>0</v>
      </c>
      <c r="P4590" s="16">
        <f t="shared" si="4"/>
        <v>0</v>
      </c>
    </row>
    <row r="4591" ht="15.75" customHeight="1">
      <c r="A4591" s="14">
        <v>42951.0</v>
      </c>
      <c r="B4591" s="15">
        <v>1.36</v>
      </c>
      <c r="C4591" s="15">
        <v>2.17</v>
      </c>
      <c r="D4591" s="15">
        <v>2.02</v>
      </c>
      <c r="E4591" s="15">
        <v>2.02</v>
      </c>
      <c r="F4591" s="15">
        <f t="shared" si="1"/>
        <v>0.81</v>
      </c>
      <c r="G4591" s="15">
        <f t="shared" si="2"/>
        <v>2.17</v>
      </c>
      <c r="H4591" s="16">
        <v>0.0</v>
      </c>
      <c r="I4591" s="15">
        <f t="shared" si="3"/>
        <v>0.81</v>
      </c>
      <c r="J4591" s="15">
        <v>10.03</v>
      </c>
      <c r="K4591" s="16">
        <f>IF(COUNTIFS(Release_Calendar!$A$2:$A$755,"US_CPI",Release_Calendar!$B$2:$B$755,$A4591)&gt;0,1,0)</f>
        <v>0</v>
      </c>
      <c r="L4591" s="16">
        <f>IF(COUNTIFS(Release_Calendar!$A$2:$A$755,"US_NFP",Release_Calendar!$B$2:$B$755,$A4591)&gt;0,1,0)</f>
        <v>1</v>
      </c>
      <c r="M4591" s="16">
        <f>IF($A4591&lt;Notes!$B$5,"",IF(COUNTIFS(Release_Calendar!$A$2:$A$755,"NZ_CPI",Release_Calendar!$B$2:$B$755,$A4591)&gt;0,1,0))</f>
        <v>0</v>
      </c>
      <c r="N4591" s="16">
        <f>IF($A4591&lt;Notes!$B$5,"",IF(COUNTIFS(Release_Calendar!$A$2:$A$755,"NZ_GDP",Release_Calendar!$B$2:$B$755,$A4591)&gt;0,1,0))</f>
        <v>0</v>
      </c>
      <c r="O4591" s="16">
        <f>IF($A4591&lt;Notes!$B$5,"",IF(COUNTIFS(Release_Calendar!$A$2:$A$755,"NZ_LABOUR",Release_Calendar!$B$2:$B$755,$A4591)&gt;0,1,0))</f>
        <v>0</v>
      </c>
      <c r="P4591" s="16">
        <f t="shared" si="4"/>
        <v>1</v>
      </c>
    </row>
    <row r="4592" ht="15.75" customHeight="1">
      <c r="A4592" s="14">
        <v>42954.0</v>
      </c>
      <c r="B4592" s="15">
        <v>1.36</v>
      </c>
      <c r="C4592" s="15">
        <v>2.18</v>
      </c>
      <c r="D4592" s="15">
        <v>2.04</v>
      </c>
      <c r="E4592" s="15">
        <v>2.04</v>
      </c>
      <c r="F4592" s="15">
        <f t="shared" si="1"/>
        <v>0.82</v>
      </c>
      <c r="G4592" s="15">
        <f t="shared" si="2"/>
        <v>2.18</v>
      </c>
      <c r="H4592" s="16">
        <v>0.0</v>
      </c>
      <c r="I4592" s="15">
        <f t="shared" si="3"/>
        <v>0.82</v>
      </c>
      <c r="J4592" s="15">
        <v>9.93</v>
      </c>
      <c r="K4592" s="16">
        <f>IF(COUNTIFS(Release_Calendar!$A$2:$A$755,"US_CPI",Release_Calendar!$B$2:$B$755,$A4592)&gt;0,1,0)</f>
        <v>0</v>
      </c>
      <c r="L4592" s="16">
        <f>IF(COUNTIFS(Release_Calendar!$A$2:$A$755,"US_NFP",Release_Calendar!$B$2:$B$755,$A4592)&gt;0,1,0)</f>
        <v>0</v>
      </c>
      <c r="M4592" s="16">
        <f>IF($A4592&lt;Notes!$B$5,"",IF(COUNTIFS(Release_Calendar!$A$2:$A$755,"NZ_CPI",Release_Calendar!$B$2:$B$755,$A4592)&gt;0,1,0))</f>
        <v>0</v>
      </c>
      <c r="N4592" s="16">
        <f>IF($A4592&lt;Notes!$B$5,"",IF(COUNTIFS(Release_Calendar!$A$2:$A$755,"NZ_GDP",Release_Calendar!$B$2:$B$755,$A4592)&gt;0,1,0))</f>
        <v>0</v>
      </c>
      <c r="O4592" s="16">
        <f>IF($A4592&lt;Notes!$B$5,"",IF(COUNTIFS(Release_Calendar!$A$2:$A$755,"NZ_LABOUR",Release_Calendar!$B$2:$B$755,$A4592)&gt;0,1,0))</f>
        <v>0</v>
      </c>
      <c r="P4592" s="16">
        <f t="shared" si="4"/>
        <v>0</v>
      </c>
    </row>
    <row r="4593" ht="15.75" customHeight="1">
      <c r="A4593" s="14">
        <v>42955.0</v>
      </c>
      <c r="B4593" s="15">
        <v>1.36</v>
      </c>
      <c r="C4593" s="15">
        <v>2.16</v>
      </c>
      <c r="D4593" s="15">
        <v>2.02</v>
      </c>
      <c r="E4593" s="15">
        <v>2.0</v>
      </c>
      <c r="F4593" s="15">
        <f t="shared" si="1"/>
        <v>0.8</v>
      </c>
      <c r="G4593" s="15">
        <f t="shared" si="2"/>
        <v>2.16</v>
      </c>
      <c r="H4593" s="16">
        <v>0.0</v>
      </c>
      <c r="I4593" s="15">
        <f t="shared" si="3"/>
        <v>0.8</v>
      </c>
      <c r="J4593" s="15">
        <v>10.96</v>
      </c>
      <c r="K4593" s="16">
        <f>IF(COUNTIFS(Release_Calendar!$A$2:$A$755,"US_CPI",Release_Calendar!$B$2:$B$755,$A4593)&gt;0,1,0)</f>
        <v>0</v>
      </c>
      <c r="L4593" s="16">
        <f>IF(COUNTIFS(Release_Calendar!$A$2:$A$755,"US_NFP",Release_Calendar!$B$2:$B$755,$A4593)&gt;0,1,0)</f>
        <v>0</v>
      </c>
      <c r="M4593" s="16">
        <f>IF($A4593&lt;Notes!$B$5,"",IF(COUNTIFS(Release_Calendar!$A$2:$A$755,"NZ_CPI",Release_Calendar!$B$2:$B$755,$A4593)&gt;0,1,0))</f>
        <v>0</v>
      </c>
      <c r="N4593" s="16">
        <f>IF($A4593&lt;Notes!$B$5,"",IF(COUNTIFS(Release_Calendar!$A$2:$A$755,"NZ_GDP",Release_Calendar!$B$2:$B$755,$A4593)&gt;0,1,0))</f>
        <v>0</v>
      </c>
      <c r="O4593" s="16">
        <f>IF($A4593&lt;Notes!$B$5,"",IF(COUNTIFS(Release_Calendar!$A$2:$A$755,"NZ_LABOUR",Release_Calendar!$B$2:$B$755,$A4593)&gt;0,1,0))</f>
        <v>0</v>
      </c>
      <c r="P4593" s="16">
        <f t="shared" si="4"/>
        <v>0</v>
      </c>
    </row>
    <row r="4594" ht="15.75" customHeight="1">
      <c r="A4594" s="14">
        <v>42956.0</v>
      </c>
      <c r="B4594" s="15">
        <v>1.33</v>
      </c>
      <c r="C4594" s="15">
        <v>2.15</v>
      </c>
      <c r="D4594" s="15">
        <v>2.0</v>
      </c>
      <c r="E4594" s="15">
        <v>1.99</v>
      </c>
      <c r="F4594" s="15">
        <f t="shared" si="1"/>
        <v>0.82</v>
      </c>
      <c r="G4594" s="15">
        <f t="shared" si="2"/>
        <v>2.15</v>
      </c>
      <c r="H4594" s="16">
        <v>0.0</v>
      </c>
      <c r="I4594" s="15">
        <f t="shared" si="3"/>
        <v>0.82</v>
      </c>
      <c r="J4594" s="15">
        <v>11.11</v>
      </c>
      <c r="K4594" s="16">
        <f>IF(COUNTIFS(Release_Calendar!$A$2:$A$755,"US_CPI",Release_Calendar!$B$2:$B$755,$A4594)&gt;0,1,0)</f>
        <v>0</v>
      </c>
      <c r="L4594" s="16">
        <f>IF(COUNTIFS(Release_Calendar!$A$2:$A$755,"US_NFP",Release_Calendar!$B$2:$B$755,$A4594)&gt;0,1,0)</f>
        <v>0</v>
      </c>
      <c r="M4594" s="16">
        <f>IF($A4594&lt;Notes!$B$5,"",IF(COUNTIFS(Release_Calendar!$A$2:$A$755,"NZ_CPI",Release_Calendar!$B$2:$B$755,$A4594)&gt;0,1,0))</f>
        <v>0</v>
      </c>
      <c r="N4594" s="16">
        <f>IF($A4594&lt;Notes!$B$5,"",IF(COUNTIFS(Release_Calendar!$A$2:$A$755,"NZ_GDP",Release_Calendar!$B$2:$B$755,$A4594)&gt;0,1,0))</f>
        <v>0</v>
      </c>
      <c r="O4594" s="16">
        <f>IF($A4594&lt;Notes!$B$5,"",IF(COUNTIFS(Release_Calendar!$A$2:$A$755,"NZ_LABOUR",Release_Calendar!$B$2:$B$755,$A4594)&gt;0,1,0))</f>
        <v>0</v>
      </c>
      <c r="P4594" s="16">
        <f t="shared" si="4"/>
        <v>0</v>
      </c>
    </row>
    <row r="4595" ht="15.75" customHeight="1">
      <c r="A4595" s="14">
        <v>42957.0</v>
      </c>
      <c r="B4595" s="15">
        <v>1.33</v>
      </c>
      <c r="C4595" s="15">
        <v>2.18</v>
      </c>
      <c r="D4595" s="15">
        <v>2.01</v>
      </c>
      <c r="E4595" s="15">
        <v>2.01</v>
      </c>
      <c r="F4595" s="15">
        <f t="shared" si="1"/>
        <v>0.85</v>
      </c>
      <c r="G4595" s="15">
        <f t="shared" si="2"/>
        <v>2.18</v>
      </c>
      <c r="H4595" s="16">
        <v>0.0</v>
      </c>
      <c r="I4595" s="15">
        <f t="shared" si="3"/>
        <v>0.85</v>
      </c>
      <c r="J4595" s="15">
        <v>16.04</v>
      </c>
      <c r="K4595" s="16">
        <f>IF(COUNTIFS(Release_Calendar!$A$2:$A$755,"US_CPI",Release_Calendar!$B$2:$B$755,$A4595)&gt;0,1,0)</f>
        <v>0</v>
      </c>
      <c r="L4595" s="16">
        <f>IF(COUNTIFS(Release_Calendar!$A$2:$A$755,"US_NFP",Release_Calendar!$B$2:$B$755,$A4595)&gt;0,1,0)</f>
        <v>0</v>
      </c>
      <c r="M4595" s="16">
        <f>IF($A4595&lt;Notes!$B$5,"",IF(COUNTIFS(Release_Calendar!$A$2:$A$755,"NZ_CPI",Release_Calendar!$B$2:$B$755,$A4595)&gt;0,1,0))</f>
        <v>0</v>
      </c>
      <c r="N4595" s="16">
        <f>IF($A4595&lt;Notes!$B$5,"",IF(COUNTIFS(Release_Calendar!$A$2:$A$755,"NZ_GDP",Release_Calendar!$B$2:$B$755,$A4595)&gt;0,1,0))</f>
        <v>0</v>
      </c>
      <c r="O4595" s="16">
        <f>IF($A4595&lt;Notes!$B$5,"",IF(COUNTIFS(Release_Calendar!$A$2:$A$755,"NZ_LABOUR",Release_Calendar!$B$2:$B$755,$A4595)&gt;0,1,0))</f>
        <v>0</v>
      </c>
      <c r="P4595" s="16">
        <f t="shared" si="4"/>
        <v>0</v>
      </c>
    </row>
    <row r="4596" ht="15.75" customHeight="1">
      <c r="A4596" s="14">
        <v>42958.0</v>
      </c>
      <c r="B4596" s="15">
        <v>1.3</v>
      </c>
      <c r="C4596" s="15">
        <v>2.15</v>
      </c>
      <c r="D4596" s="15">
        <v>2.0</v>
      </c>
      <c r="E4596" s="15">
        <v>2.0</v>
      </c>
      <c r="F4596" s="15">
        <f t="shared" si="1"/>
        <v>0.85</v>
      </c>
      <c r="G4596" s="15">
        <f t="shared" si="2"/>
        <v>2.15</v>
      </c>
      <c r="H4596" s="16">
        <v>0.0</v>
      </c>
      <c r="I4596" s="15">
        <f t="shared" si="3"/>
        <v>0.85</v>
      </c>
      <c r="J4596" s="15">
        <v>15.51</v>
      </c>
      <c r="K4596" s="16">
        <f>IF(COUNTIFS(Release_Calendar!$A$2:$A$755,"US_CPI",Release_Calendar!$B$2:$B$755,$A4596)&gt;0,1,0)</f>
        <v>1</v>
      </c>
      <c r="L4596" s="16">
        <f>IF(COUNTIFS(Release_Calendar!$A$2:$A$755,"US_NFP",Release_Calendar!$B$2:$B$755,$A4596)&gt;0,1,0)</f>
        <v>0</v>
      </c>
      <c r="M4596" s="16">
        <f>IF($A4596&lt;Notes!$B$5,"",IF(COUNTIFS(Release_Calendar!$A$2:$A$755,"NZ_CPI",Release_Calendar!$B$2:$B$755,$A4596)&gt;0,1,0))</f>
        <v>0</v>
      </c>
      <c r="N4596" s="16">
        <f>IF($A4596&lt;Notes!$B$5,"",IF(COUNTIFS(Release_Calendar!$A$2:$A$755,"NZ_GDP",Release_Calendar!$B$2:$B$755,$A4596)&gt;0,1,0))</f>
        <v>0</v>
      </c>
      <c r="O4596" s="16">
        <f>IF($A4596&lt;Notes!$B$5,"",IF(COUNTIFS(Release_Calendar!$A$2:$A$755,"NZ_LABOUR",Release_Calendar!$B$2:$B$755,$A4596)&gt;0,1,0))</f>
        <v>0</v>
      </c>
      <c r="P4596" s="16">
        <f t="shared" si="4"/>
        <v>1</v>
      </c>
    </row>
    <row r="4597" ht="15.75" customHeight="1">
      <c r="A4597" s="14">
        <v>42961.0</v>
      </c>
      <c r="B4597" s="15">
        <v>1.33</v>
      </c>
      <c r="C4597" s="15">
        <v>2.15</v>
      </c>
      <c r="D4597" s="15">
        <v>2.02</v>
      </c>
      <c r="E4597" s="15">
        <v>2.03</v>
      </c>
      <c r="F4597" s="15">
        <f t="shared" si="1"/>
        <v>0.82</v>
      </c>
      <c r="G4597" s="15">
        <f t="shared" si="2"/>
        <v>2.15</v>
      </c>
      <c r="H4597" s="16">
        <v>0.0</v>
      </c>
      <c r="I4597" s="15">
        <f t="shared" si="3"/>
        <v>0.82</v>
      </c>
      <c r="J4597" s="15">
        <v>12.33</v>
      </c>
      <c r="K4597" s="16">
        <f>IF(COUNTIFS(Release_Calendar!$A$2:$A$755,"US_CPI",Release_Calendar!$B$2:$B$755,$A4597)&gt;0,1,0)</f>
        <v>0</v>
      </c>
      <c r="L4597" s="16">
        <f>IF(COUNTIFS(Release_Calendar!$A$2:$A$755,"US_NFP",Release_Calendar!$B$2:$B$755,$A4597)&gt;0,1,0)</f>
        <v>0</v>
      </c>
      <c r="M4597" s="16">
        <f>IF($A4597&lt;Notes!$B$5,"",IF(COUNTIFS(Release_Calendar!$A$2:$A$755,"NZ_CPI",Release_Calendar!$B$2:$B$755,$A4597)&gt;0,1,0))</f>
        <v>0</v>
      </c>
      <c r="N4597" s="16">
        <f>IF($A4597&lt;Notes!$B$5,"",IF(COUNTIFS(Release_Calendar!$A$2:$A$755,"NZ_GDP",Release_Calendar!$B$2:$B$755,$A4597)&gt;0,1,0))</f>
        <v>0</v>
      </c>
      <c r="O4597" s="16">
        <f>IF($A4597&lt;Notes!$B$5,"",IF(COUNTIFS(Release_Calendar!$A$2:$A$755,"NZ_LABOUR",Release_Calendar!$B$2:$B$755,$A4597)&gt;0,1,0))</f>
        <v>0</v>
      </c>
      <c r="P4597" s="16">
        <f t="shared" si="4"/>
        <v>0</v>
      </c>
    </row>
    <row r="4598" ht="15.75" customHeight="1">
      <c r="A4598" s="14">
        <v>42962.0</v>
      </c>
      <c r="B4598" s="15">
        <v>1.35</v>
      </c>
      <c r="C4598" s="15">
        <v>2.18</v>
      </c>
      <c r="D4598" s="15">
        <v>2.05</v>
      </c>
      <c r="E4598" s="15">
        <v>2.05</v>
      </c>
      <c r="F4598" s="15">
        <f t="shared" si="1"/>
        <v>0.83</v>
      </c>
      <c r="G4598" s="15">
        <f t="shared" si="2"/>
        <v>2.18</v>
      </c>
      <c r="H4598" s="16">
        <v>0.0</v>
      </c>
      <c r="I4598" s="15">
        <f t="shared" si="3"/>
        <v>0.83</v>
      </c>
      <c r="J4598" s="15">
        <v>12.04</v>
      </c>
      <c r="K4598" s="16">
        <f>IF(COUNTIFS(Release_Calendar!$A$2:$A$755,"US_CPI",Release_Calendar!$B$2:$B$755,$A4598)&gt;0,1,0)</f>
        <v>0</v>
      </c>
      <c r="L4598" s="16">
        <f>IF(COUNTIFS(Release_Calendar!$A$2:$A$755,"US_NFP",Release_Calendar!$B$2:$B$755,$A4598)&gt;0,1,0)</f>
        <v>0</v>
      </c>
      <c r="M4598" s="16">
        <f>IF($A4598&lt;Notes!$B$5,"",IF(COUNTIFS(Release_Calendar!$A$2:$A$755,"NZ_CPI",Release_Calendar!$B$2:$B$755,$A4598)&gt;0,1,0))</f>
        <v>0</v>
      </c>
      <c r="N4598" s="16">
        <f>IF($A4598&lt;Notes!$B$5,"",IF(COUNTIFS(Release_Calendar!$A$2:$A$755,"NZ_GDP",Release_Calendar!$B$2:$B$755,$A4598)&gt;0,1,0))</f>
        <v>0</v>
      </c>
      <c r="O4598" s="16">
        <f>IF($A4598&lt;Notes!$B$5,"",IF(COUNTIFS(Release_Calendar!$A$2:$A$755,"NZ_LABOUR",Release_Calendar!$B$2:$B$755,$A4598)&gt;0,1,0))</f>
        <v>0</v>
      </c>
      <c r="P4598" s="16">
        <f t="shared" si="4"/>
        <v>0</v>
      </c>
    </row>
    <row r="4599" ht="15.75" customHeight="1">
      <c r="A4599" s="14">
        <v>42963.0</v>
      </c>
      <c r="B4599" s="15">
        <v>1.33</v>
      </c>
      <c r="C4599" s="15">
        <v>2.18</v>
      </c>
      <c r="D4599" s="15">
        <v>2.07</v>
      </c>
      <c r="E4599" s="15">
        <v>2.04</v>
      </c>
      <c r="F4599" s="15">
        <f t="shared" si="1"/>
        <v>0.85</v>
      </c>
      <c r="G4599" s="15">
        <f t="shared" si="2"/>
        <v>2.18</v>
      </c>
      <c r="H4599" s="16">
        <v>0.0</v>
      </c>
      <c r="I4599" s="15">
        <f t="shared" si="3"/>
        <v>0.85</v>
      </c>
      <c r="J4599" s="15">
        <v>11.74</v>
      </c>
      <c r="K4599" s="16">
        <f>IF(COUNTIFS(Release_Calendar!$A$2:$A$755,"US_CPI",Release_Calendar!$B$2:$B$755,$A4599)&gt;0,1,0)</f>
        <v>0</v>
      </c>
      <c r="L4599" s="16">
        <f>IF(COUNTIFS(Release_Calendar!$A$2:$A$755,"US_NFP",Release_Calendar!$B$2:$B$755,$A4599)&gt;0,1,0)</f>
        <v>0</v>
      </c>
      <c r="M4599" s="16">
        <f>IF($A4599&lt;Notes!$B$5,"",IF(COUNTIFS(Release_Calendar!$A$2:$A$755,"NZ_CPI",Release_Calendar!$B$2:$B$755,$A4599)&gt;0,1,0))</f>
        <v>0</v>
      </c>
      <c r="N4599" s="16">
        <f>IF($A4599&lt;Notes!$B$5,"",IF(COUNTIFS(Release_Calendar!$A$2:$A$755,"NZ_GDP",Release_Calendar!$B$2:$B$755,$A4599)&gt;0,1,0))</f>
        <v>0</v>
      </c>
      <c r="O4599" s="16">
        <f>IF($A4599&lt;Notes!$B$5,"",IF(COUNTIFS(Release_Calendar!$A$2:$A$755,"NZ_LABOUR",Release_Calendar!$B$2:$B$755,$A4599)&gt;0,1,0))</f>
        <v>0</v>
      </c>
      <c r="P4599" s="16">
        <f t="shared" si="4"/>
        <v>0</v>
      </c>
    </row>
    <row r="4600" ht="15.75" customHeight="1">
      <c r="A4600" s="14">
        <v>42964.0</v>
      </c>
      <c r="B4600" s="15">
        <v>1.32</v>
      </c>
      <c r="C4600" s="15">
        <v>2.17</v>
      </c>
      <c r="D4600" s="15">
        <v>2.02</v>
      </c>
      <c r="E4600" s="15">
        <v>2.01</v>
      </c>
      <c r="F4600" s="15">
        <f t="shared" si="1"/>
        <v>0.85</v>
      </c>
      <c r="G4600" s="15">
        <f t="shared" si="2"/>
        <v>2.17</v>
      </c>
      <c r="H4600" s="16">
        <v>0.0</v>
      </c>
      <c r="I4600" s="15">
        <f t="shared" si="3"/>
        <v>0.85</v>
      </c>
      <c r="J4600" s="15">
        <v>15.55</v>
      </c>
      <c r="K4600" s="16">
        <f>IF(COUNTIFS(Release_Calendar!$A$2:$A$755,"US_CPI",Release_Calendar!$B$2:$B$755,$A4600)&gt;0,1,0)</f>
        <v>0</v>
      </c>
      <c r="L4600" s="16">
        <f>IF(COUNTIFS(Release_Calendar!$A$2:$A$755,"US_NFP",Release_Calendar!$B$2:$B$755,$A4600)&gt;0,1,0)</f>
        <v>0</v>
      </c>
      <c r="M4600" s="16">
        <f>IF($A4600&lt;Notes!$B$5,"",IF(COUNTIFS(Release_Calendar!$A$2:$A$755,"NZ_CPI",Release_Calendar!$B$2:$B$755,$A4600)&gt;0,1,0))</f>
        <v>0</v>
      </c>
      <c r="N4600" s="16">
        <f>IF($A4600&lt;Notes!$B$5,"",IF(COUNTIFS(Release_Calendar!$A$2:$A$755,"NZ_GDP",Release_Calendar!$B$2:$B$755,$A4600)&gt;0,1,0))</f>
        <v>0</v>
      </c>
      <c r="O4600" s="16">
        <f>IF($A4600&lt;Notes!$B$5,"",IF(COUNTIFS(Release_Calendar!$A$2:$A$755,"NZ_LABOUR",Release_Calendar!$B$2:$B$755,$A4600)&gt;0,1,0))</f>
        <v>0</v>
      </c>
      <c r="P4600" s="16">
        <f t="shared" si="4"/>
        <v>0</v>
      </c>
    </row>
    <row r="4601" ht="15.75" customHeight="1">
      <c r="A4601" s="14">
        <v>42965.0</v>
      </c>
      <c r="B4601" s="15">
        <v>1.33</v>
      </c>
      <c r="C4601" s="15">
        <v>2.17</v>
      </c>
      <c r="D4601" s="15">
        <v>2.0</v>
      </c>
      <c r="E4601" s="15">
        <v>2.0</v>
      </c>
      <c r="F4601" s="15">
        <f t="shared" si="1"/>
        <v>0.84</v>
      </c>
      <c r="G4601" s="15">
        <f t="shared" si="2"/>
        <v>2.17</v>
      </c>
      <c r="H4601" s="16">
        <v>0.0</v>
      </c>
      <c r="I4601" s="15">
        <f t="shared" si="3"/>
        <v>0.84</v>
      </c>
      <c r="J4601" s="15">
        <v>14.26</v>
      </c>
      <c r="K4601" s="16">
        <f>IF(COUNTIFS(Release_Calendar!$A$2:$A$755,"US_CPI",Release_Calendar!$B$2:$B$755,$A4601)&gt;0,1,0)</f>
        <v>0</v>
      </c>
      <c r="L4601" s="16">
        <f>IF(COUNTIFS(Release_Calendar!$A$2:$A$755,"US_NFP",Release_Calendar!$B$2:$B$755,$A4601)&gt;0,1,0)</f>
        <v>0</v>
      </c>
      <c r="M4601" s="16">
        <f>IF($A4601&lt;Notes!$B$5,"",IF(COUNTIFS(Release_Calendar!$A$2:$A$755,"NZ_CPI",Release_Calendar!$B$2:$B$755,$A4601)&gt;0,1,0))</f>
        <v>0</v>
      </c>
      <c r="N4601" s="16">
        <f>IF($A4601&lt;Notes!$B$5,"",IF(COUNTIFS(Release_Calendar!$A$2:$A$755,"NZ_GDP",Release_Calendar!$B$2:$B$755,$A4601)&gt;0,1,0))</f>
        <v>0</v>
      </c>
      <c r="O4601" s="16">
        <f>IF($A4601&lt;Notes!$B$5,"",IF(COUNTIFS(Release_Calendar!$A$2:$A$755,"NZ_LABOUR",Release_Calendar!$B$2:$B$755,$A4601)&gt;0,1,0))</f>
        <v>0</v>
      </c>
      <c r="P4601" s="16">
        <f t="shared" si="4"/>
        <v>0</v>
      </c>
    </row>
    <row r="4602" ht="15.75" customHeight="1">
      <c r="A4602" s="14">
        <v>42968.0</v>
      </c>
      <c r="B4602" s="15">
        <v>1.32</v>
      </c>
      <c r="C4602" s="15">
        <v>2.17</v>
      </c>
      <c r="D4602" s="15">
        <v>2.01</v>
      </c>
      <c r="E4602" s="15">
        <v>2.03</v>
      </c>
      <c r="F4602" s="15">
        <f t="shared" si="1"/>
        <v>0.85</v>
      </c>
      <c r="G4602" s="15">
        <f t="shared" si="2"/>
        <v>2.17</v>
      </c>
      <c r="H4602" s="16">
        <v>0.0</v>
      </c>
      <c r="I4602" s="15">
        <f t="shared" si="3"/>
        <v>0.85</v>
      </c>
      <c r="J4602" s="15">
        <v>13.19</v>
      </c>
      <c r="K4602" s="16">
        <f>IF(COUNTIFS(Release_Calendar!$A$2:$A$755,"US_CPI",Release_Calendar!$B$2:$B$755,$A4602)&gt;0,1,0)</f>
        <v>0</v>
      </c>
      <c r="L4602" s="16">
        <f>IF(COUNTIFS(Release_Calendar!$A$2:$A$755,"US_NFP",Release_Calendar!$B$2:$B$755,$A4602)&gt;0,1,0)</f>
        <v>0</v>
      </c>
      <c r="M4602" s="16">
        <f>IF($A4602&lt;Notes!$B$5,"",IF(COUNTIFS(Release_Calendar!$A$2:$A$755,"NZ_CPI",Release_Calendar!$B$2:$B$755,$A4602)&gt;0,1,0))</f>
        <v>0</v>
      </c>
      <c r="N4602" s="16">
        <f>IF($A4602&lt;Notes!$B$5,"",IF(COUNTIFS(Release_Calendar!$A$2:$A$755,"NZ_GDP",Release_Calendar!$B$2:$B$755,$A4602)&gt;0,1,0))</f>
        <v>0</v>
      </c>
      <c r="O4602" s="16">
        <f>IF($A4602&lt;Notes!$B$5,"",IF(COUNTIFS(Release_Calendar!$A$2:$A$755,"NZ_LABOUR",Release_Calendar!$B$2:$B$755,$A4602)&gt;0,1,0))</f>
        <v>0</v>
      </c>
      <c r="P4602" s="16">
        <f t="shared" si="4"/>
        <v>0</v>
      </c>
    </row>
    <row r="4603" ht="15.75" customHeight="1">
      <c r="A4603" s="14">
        <v>42969.0</v>
      </c>
      <c r="B4603" s="15">
        <v>1.33</v>
      </c>
      <c r="C4603" s="15">
        <v>2.18</v>
      </c>
      <c r="D4603" s="15">
        <v>2.03</v>
      </c>
      <c r="E4603" s="15">
        <v>2.04</v>
      </c>
      <c r="F4603" s="15">
        <f t="shared" si="1"/>
        <v>0.85</v>
      </c>
      <c r="G4603" s="15">
        <f t="shared" si="2"/>
        <v>2.18</v>
      </c>
      <c r="H4603" s="16">
        <v>0.0</v>
      </c>
      <c r="I4603" s="15">
        <f t="shared" si="3"/>
        <v>0.85</v>
      </c>
      <c r="J4603" s="15">
        <v>11.35</v>
      </c>
      <c r="K4603" s="16">
        <f>IF(COUNTIFS(Release_Calendar!$A$2:$A$755,"US_CPI",Release_Calendar!$B$2:$B$755,$A4603)&gt;0,1,0)</f>
        <v>0</v>
      </c>
      <c r="L4603" s="16">
        <f>IF(COUNTIFS(Release_Calendar!$A$2:$A$755,"US_NFP",Release_Calendar!$B$2:$B$755,$A4603)&gt;0,1,0)</f>
        <v>0</v>
      </c>
      <c r="M4603" s="16">
        <f>IF($A4603&lt;Notes!$B$5,"",IF(COUNTIFS(Release_Calendar!$A$2:$A$755,"NZ_CPI",Release_Calendar!$B$2:$B$755,$A4603)&gt;0,1,0))</f>
        <v>0</v>
      </c>
      <c r="N4603" s="16">
        <f>IF($A4603&lt;Notes!$B$5,"",IF(COUNTIFS(Release_Calendar!$A$2:$A$755,"NZ_GDP",Release_Calendar!$B$2:$B$755,$A4603)&gt;0,1,0))</f>
        <v>0</v>
      </c>
      <c r="O4603" s="16">
        <f>IF($A4603&lt;Notes!$B$5,"",IF(COUNTIFS(Release_Calendar!$A$2:$A$755,"NZ_LABOUR",Release_Calendar!$B$2:$B$755,$A4603)&gt;0,1,0))</f>
        <v>0</v>
      </c>
      <c r="P4603" s="16">
        <f t="shared" si="4"/>
        <v>0</v>
      </c>
    </row>
    <row r="4604" ht="15.75" customHeight="1">
      <c r="A4604" s="14">
        <v>42970.0</v>
      </c>
      <c r="B4604" s="15">
        <v>1.32</v>
      </c>
      <c r="C4604" s="15">
        <v>2.18</v>
      </c>
      <c r="D4604" s="15">
        <v>2.05</v>
      </c>
      <c r="E4604" s="15">
        <v>2.06</v>
      </c>
      <c r="F4604" s="15">
        <f t="shared" si="1"/>
        <v>0.86</v>
      </c>
      <c r="G4604" s="15">
        <f t="shared" si="2"/>
        <v>2.18</v>
      </c>
      <c r="H4604" s="16">
        <v>0.0</v>
      </c>
      <c r="I4604" s="15">
        <f t="shared" si="3"/>
        <v>0.86</v>
      </c>
      <c r="J4604" s="15">
        <v>12.25</v>
      </c>
      <c r="K4604" s="16">
        <f>IF(COUNTIFS(Release_Calendar!$A$2:$A$755,"US_CPI",Release_Calendar!$B$2:$B$755,$A4604)&gt;0,1,0)</f>
        <v>0</v>
      </c>
      <c r="L4604" s="16">
        <f>IF(COUNTIFS(Release_Calendar!$A$2:$A$755,"US_NFP",Release_Calendar!$B$2:$B$755,$A4604)&gt;0,1,0)</f>
        <v>0</v>
      </c>
      <c r="M4604" s="16">
        <f>IF($A4604&lt;Notes!$B$5,"",IF(COUNTIFS(Release_Calendar!$A$2:$A$755,"NZ_CPI",Release_Calendar!$B$2:$B$755,$A4604)&gt;0,1,0))</f>
        <v>0</v>
      </c>
      <c r="N4604" s="16">
        <f>IF($A4604&lt;Notes!$B$5,"",IF(COUNTIFS(Release_Calendar!$A$2:$A$755,"NZ_GDP",Release_Calendar!$B$2:$B$755,$A4604)&gt;0,1,0))</f>
        <v>0</v>
      </c>
      <c r="O4604" s="16">
        <f>IF($A4604&lt;Notes!$B$5,"",IF(COUNTIFS(Release_Calendar!$A$2:$A$755,"NZ_LABOUR",Release_Calendar!$B$2:$B$755,$A4604)&gt;0,1,0))</f>
        <v>0</v>
      </c>
      <c r="P4604" s="16">
        <f t="shared" si="4"/>
        <v>0</v>
      </c>
    </row>
    <row r="4605" ht="15.75" customHeight="1">
      <c r="A4605" s="14">
        <v>42971.0</v>
      </c>
      <c r="B4605" s="15">
        <v>1.33</v>
      </c>
      <c r="C4605" s="15">
        <v>2.18</v>
      </c>
      <c r="D4605" s="15">
        <v>2.04</v>
      </c>
      <c r="E4605" s="15">
        <v>2.04</v>
      </c>
      <c r="F4605" s="15">
        <f t="shared" si="1"/>
        <v>0.85</v>
      </c>
      <c r="G4605" s="15">
        <f t="shared" si="2"/>
        <v>2.18</v>
      </c>
      <c r="H4605" s="16">
        <v>0.0</v>
      </c>
      <c r="I4605" s="15">
        <f t="shared" si="3"/>
        <v>0.85</v>
      </c>
      <c r="J4605" s="15">
        <v>12.23</v>
      </c>
      <c r="K4605" s="16">
        <f>IF(COUNTIFS(Release_Calendar!$A$2:$A$755,"US_CPI",Release_Calendar!$B$2:$B$755,$A4605)&gt;0,1,0)</f>
        <v>0</v>
      </c>
      <c r="L4605" s="16">
        <f>IF(COUNTIFS(Release_Calendar!$A$2:$A$755,"US_NFP",Release_Calendar!$B$2:$B$755,$A4605)&gt;0,1,0)</f>
        <v>0</v>
      </c>
      <c r="M4605" s="16">
        <f>IF($A4605&lt;Notes!$B$5,"",IF(COUNTIFS(Release_Calendar!$A$2:$A$755,"NZ_CPI",Release_Calendar!$B$2:$B$755,$A4605)&gt;0,1,0))</f>
        <v>0</v>
      </c>
      <c r="N4605" s="16">
        <f>IF($A4605&lt;Notes!$B$5,"",IF(COUNTIFS(Release_Calendar!$A$2:$A$755,"NZ_GDP",Release_Calendar!$B$2:$B$755,$A4605)&gt;0,1,0))</f>
        <v>0</v>
      </c>
      <c r="O4605" s="16">
        <f>IF($A4605&lt;Notes!$B$5,"",IF(COUNTIFS(Release_Calendar!$A$2:$A$755,"NZ_LABOUR",Release_Calendar!$B$2:$B$755,$A4605)&gt;0,1,0))</f>
        <v>0</v>
      </c>
      <c r="P4605" s="16">
        <f t="shared" si="4"/>
        <v>0</v>
      </c>
    </row>
    <row r="4606" ht="15.75" customHeight="1">
      <c r="A4606" s="14">
        <v>42972.0</v>
      </c>
      <c r="B4606" s="15">
        <v>1.35</v>
      </c>
      <c r="C4606" s="15">
        <v>2.18</v>
      </c>
      <c r="D4606" s="15">
        <v>2.04</v>
      </c>
      <c r="E4606" s="15">
        <v>2.03</v>
      </c>
      <c r="F4606" s="15">
        <f t="shared" si="1"/>
        <v>0.83</v>
      </c>
      <c r="G4606" s="15">
        <f t="shared" si="2"/>
        <v>2.18</v>
      </c>
      <c r="H4606" s="16">
        <v>0.0</v>
      </c>
      <c r="I4606" s="15">
        <f t="shared" si="3"/>
        <v>0.83</v>
      </c>
      <c r="J4606" s="15">
        <v>11.28</v>
      </c>
      <c r="K4606" s="16">
        <f>IF(COUNTIFS(Release_Calendar!$A$2:$A$755,"US_CPI",Release_Calendar!$B$2:$B$755,$A4606)&gt;0,1,0)</f>
        <v>0</v>
      </c>
      <c r="L4606" s="16">
        <f>IF(COUNTIFS(Release_Calendar!$A$2:$A$755,"US_NFP",Release_Calendar!$B$2:$B$755,$A4606)&gt;0,1,0)</f>
        <v>0</v>
      </c>
      <c r="M4606" s="16">
        <f>IF($A4606&lt;Notes!$B$5,"",IF(COUNTIFS(Release_Calendar!$A$2:$A$755,"NZ_CPI",Release_Calendar!$B$2:$B$755,$A4606)&gt;0,1,0))</f>
        <v>0</v>
      </c>
      <c r="N4606" s="16">
        <f>IF($A4606&lt;Notes!$B$5,"",IF(COUNTIFS(Release_Calendar!$A$2:$A$755,"NZ_GDP",Release_Calendar!$B$2:$B$755,$A4606)&gt;0,1,0))</f>
        <v>0</v>
      </c>
      <c r="O4606" s="16">
        <f>IF($A4606&lt;Notes!$B$5,"",IF(COUNTIFS(Release_Calendar!$A$2:$A$755,"NZ_LABOUR",Release_Calendar!$B$2:$B$755,$A4606)&gt;0,1,0))</f>
        <v>0</v>
      </c>
      <c r="P4606" s="16">
        <f t="shared" si="4"/>
        <v>0</v>
      </c>
    </row>
    <row r="4607" ht="15.75" customHeight="1">
      <c r="A4607" s="14">
        <v>42975.0</v>
      </c>
      <c r="B4607" s="15">
        <v>1.33</v>
      </c>
      <c r="C4607" s="15">
        <v>2.18</v>
      </c>
      <c r="D4607" s="15">
        <v>2.04</v>
      </c>
      <c r="E4607" s="15">
        <v>2.04</v>
      </c>
      <c r="F4607" s="15">
        <f t="shared" si="1"/>
        <v>0.85</v>
      </c>
      <c r="G4607" s="15">
        <f t="shared" si="2"/>
        <v>2.18</v>
      </c>
      <c r="H4607" s="16">
        <v>0.0</v>
      </c>
      <c r="I4607" s="15">
        <f t="shared" si="3"/>
        <v>0.85</v>
      </c>
      <c r="J4607" s="15">
        <v>11.32</v>
      </c>
      <c r="K4607" s="16">
        <f>IF(COUNTIFS(Release_Calendar!$A$2:$A$755,"US_CPI",Release_Calendar!$B$2:$B$755,$A4607)&gt;0,1,0)</f>
        <v>0</v>
      </c>
      <c r="L4607" s="16">
        <f>IF(COUNTIFS(Release_Calendar!$A$2:$A$755,"US_NFP",Release_Calendar!$B$2:$B$755,$A4607)&gt;0,1,0)</f>
        <v>0</v>
      </c>
      <c r="M4607" s="16">
        <f>IF($A4607&lt;Notes!$B$5,"",IF(COUNTIFS(Release_Calendar!$A$2:$A$755,"NZ_CPI",Release_Calendar!$B$2:$B$755,$A4607)&gt;0,1,0))</f>
        <v>0</v>
      </c>
      <c r="N4607" s="16">
        <f>IF($A4607&lt;Notes!$B$5,"",IF(COUNTIFS(Release_Calendar!$A$2:$A$755,"NZ_GDP",Release_Calendar!$B$2:$B$755,$A4607)&gt;0,1,0))</f>
        <v>0</v>
      </c>
      <c r="O4607" s="16">
        <f>IF($A4607&lt;Notes!$B$5,"",IF(COUNTIFS(Release_Calendar!$A$2:$A$755,"NZ_LABOUR",Release_Calendar!$B$2:$B$755,$A4607)&gt;0,1,0))</f>
        <v>0</v>
      </c>
      <c r="P4607" s="16">
        <f t="shared" si="4"/>
        <v>0</v>
      </c>
    </row>
    <row r="4608" ht="15.75" customHeight="1">
      <c r="A4608" s="14">
        <v>42976.0</v>
      </c>
      <c r="B4608" s="15">
        <v>1.33</v>
      </c>
      <c r="C4608" s="15">
        <v>2.16</v>
      </c>
      <c r="D4608" s="15">
        <v>2.0</v>
      </c>
      <c r="E4608" s="15">
        <v>2.01</v>
      </c>
      <c r="F4608" s="15">
        <f t="shared" si="1"/>
        <v>0.83</v>
      </c>
      <c r="G4608" s="15">
        <f t="shared" si="2"/>
        <v>2.16</v>
      </c>
      <c r="H4608" s="16">
        <v>0.0</v>
      </c>
      <c r="I4608" s="15">
        <f t="shared" si="3"/>
        <v>0.83</v>
      </c>
      <c r="J4608" s="15">
        <v>11.7</v>
      </c>
      <c r="K4608" s="16">
        <f>IF(COUNTIFS(Release_Calendar!$A$2:$A$755,"US_CPI",Release_Calendar!$B$2:$B$755,$A4608)&gt;0,1,0)</f>
        <v>0</v>
      </c>
      <c r="L4608" s="16">
        <f>IF(COUNTIFS(Release_Calendar!$A$2:$A$755,"US_NFP",Release_Calendar!$B$2:$B$755,$A4608)&gt;0,1,0)</f>
        <v>0</v>
      </c>
      <c r="M4608" s="16">
        <f>IF($A4608&lt;Notes!$B$5,"",IF(COUNTIFS(Release_Calendar!$A$2:$A$755,"NZ_CPI",Release_Calendar!$B$2:$B$755,$A4608)&gt;0,1,0))</f>
        <v>0</v>
      </c>
      <c r="N4608" s="16">
        <f>IF($A4608&lt;Notes!$B$5,"",IF(COUNTIFS(Release_Calendar!$A$2:$A$755,"NZ_GDP",Release_Calendar!$B$2:$B$755,$A4608)&gt;0,1,0))</f>
        <v>0</v>
      </c>
      <c r="O4608" s="16">
        <f>IF($A4608&lt;Notes!$B$5,"",IF(COUNTIFS(Release_Calendar!$A$2:$A$755,"NZ_LABOUR",Release_Calendar!$B$2:$B$755,$A4608)&gt;0,1,0))</f>
        <v>0</v>
      </c>
      <c r="P4608" s="16">
        <f t="shared" si="4"/>
        <v>0</v>
      </c>
    </row>
    <row r="4609" ht="15.75" customHeight="1">
      <c r="A4609" s="14">
        <v>42977.0</v>
      </c>
      <c r="B4609" s="15">
        <v>1.33</v>
      </c>
      <c r="C4609" s="15">
        <v>2.18</v>
      </c>
      <c r="D4609" s="15">
        <v>2.01</v>
      </c>
      <c r="E4609" s="15">
        <v>2.03</v>
      </c>
      <c r="F4609" s="15">
        <f t="shared" si="1"/>
        <v>0.85</v>
      </c>
      <c r="G4609" s="15">
        <f t="shared" si="2"/>
        <v>2.18</v>
      </c>
      <c r="H4609" s="16">
        <v>0.0</v>
      </c>
      <c r="I4609" s="15">
        <f t="shared" si="3"/>
        <v>0.85</v>
      </c>
      <c r="J4609" s="15">
        <v>11.22</v>
      </c>
      <c r="K4609" s="16">
        <f>IF(COUNTIFS(Release_Calendar!$A$2:$A$755,"US_CPI",Release_Calendar!$B$2:$B$755,$A4609)&gt;0,1,0)</f>
        <v>0</v>
      </c>
      <c r="L4609" s="16">
        <f>IF(COUNTIFS(Release_Calendar!$A$2:$A$755,"US_NFP",Release_Calendar!$B$2:$B$755,$A4609)&gt;0,1,0)</f>
        <v>0</v>
      </c>
      <c r="M4609" s="16">
        <f>IF($A4609&lt;Notes!$B$5,"",IF(COUNTIFS(Release_Calendar!$A$2:$A$755,"NZ_CPI",Release_Calendar!$B$2:$B$755,$A4609)&gt;0,1,0))</f>
        <v>0</v>
      </c>
      <c r="N4609" s="16">
        <f>IF($A4609&lt;Notes!$B$5,"",IF(COUNTIFS(Release_Calendar!$A$2:$A$755,"NZ_GDP",Release_Calendar!$B$2:$B$755,$A4609)&gt;0,1,0))</f>
        <v>0</v>
      </c>
      <c r="O4609" s="16">
        <f>IF($A4609&lt;Notes!$B$5,"",IF(COUNTIFS(Release_Calendar!$A$2:$A$755,"NZ_LABOUR",Release_Calendar!$B$2:$B$755,$A4609)&gt;0,1,0))</f>
        <v>0</v>
      </c>
      <c r="P4609" s="16">
        <f t="shared" si="4"/>
        <v>0</v>
      </c>
    </row>
    <row r="4610" ht="15.75" customHeight="1">
      <c r="A4610" s="14">
        <v>42978.0</v>
      </c>
      <c r="B4610" s="15">
        <v>1.33</v>
      </c>
      <c r="C4610" s="15">
        <v>2.19</v>
      </c>
      <c r="D4610" s="15">
        <v>2.03</v>
      </c>
      <c r="E4610" s="15">
        <v>2.03</v>
      </c>
      <c r="F4610" s="15">
        <f t="shared" si="1"/>
        <v>0.86</v>
      </c>
      <c r="G4610" s="15">
        <f t="shared" si="2"/>
        <v>2.19</v>
      </c>
      <c r="H4610" s="16">
        <v>0.0</v>
      </c>
      <c r="I4610" s="15">
        <f t="shared" si="3"/>
        <v>0.86</v>
      </c>
      <c r="J4610" s="15">
        <v>10.59</v>
      </c>
      <c r="K4610" s="16">
        <f>IF(COUNTIFS(Release_Calendar!$A$2:$A$755,"US_CPI",Release_Calendar!$B$2:$B$755,$A4610)&gt;0,1,0)</f>
        <v>0</v>
      </c>
      <c r="L4610" s="16">
        <f>IF(COUNTIFS(Release_Calendar!$A$2:$A$755,"US_NFP",Release_Calendar!$B$2:$B$755,$A4610)&gt;0,1,0)</f>
        <v>0</v>
      </c>
      <c r="M4610" s="16">
        <f>IF($A4610&lt;Notes!$B$5,"",IF(COUNTIFS(Release_Calendar!$A$2:$A$755,"NZ_CPI",Release_Calendar!$B$2:$B$755,$A4610)&gt;0,1,0))</f>
        <v>0</v>
      </c>
      <c r="N4610" s="16">
        <f>IF($A4610&lt;Notes!$B$5,"",IF(COUNTIFS(Release_Calendar!$A$2:$A$755,"NZ_GDP",Release_Calendar!$B$2:$B$755,$A4610)&gt;0,1,0))</f>
        <v>0</v>
      </c>
      <c r="O4610" s="16">
        <f>IF($A4610&lt;Notes!$B$5,"",IF(COUNTIFS(Release_Calendar!$A$2:$A$755,"NZ_LABOUR",Release_Calendar!$B$2:$B$755,$A4610)&gt;0,1,0))</f>
        <v>0</v>
      </c>
      <c r="P4610" s="16">
        <f t="shared" si="4"/>
        <v>0</v>
      </c>
    </row>
    <row r="4611" ht="15.75" customHeight="1">
      <c r="A4611" s="14">
        <v>42979.0</v>
      </c>
      <c r="B4611" s="15">
        <v>1.35</v>
      </c>
      <c r="C4611" s="15">
        <v>2.17</v>
      </c>
      <c r="D4611" s="15">
        <v>2.0</v>
      </c>
      <c r="E4611" s="15">
        <v>2.01</v>
      </c>
      <c r="F4611" s="15">
        <f t="shared" si="1"/>
        <v>0.82</v>
      </c>
      <c r="G4611" s="15">
        <f t="shared" si="2"/>
        <v>2.17</v>
      </c>
      <c r="H4611" s="16">
        <v>0.0</v>
      </c>
      <c r="I4611" s="15">
        <f t="shared" si="3"/>
        <v>0.82</v>
      </c>
      <c r="J4611" s="15">
        <v>10.13</v>
      </c>
      <c r="K4611" s="16">
        <f>IF(COUNTIFS(Release_Calendar!$A$2:$A$755,"US_CPI",Release_Calendar!$B$2:$B$755,$A4611)&gt;0,1,0)</f>
        <v>0</v>
      </c>
      <c r="L4611" s="16">
        <f>IF(COUNTIFS(Release_Calendar!$A$2:$A$755,"US_NFP",Release_Calendar!$B$2:$B$755,$A4611)&gt;0,1,0)</f>
        <v>1</v>
      </c>
      <c r="M4611" s="16">
        <f>IF($A4611&lt;Notes!$B$5,"",IF(COUNTIFS(Release_Calendar!$A$2:$A$755,"NZ_CPI",Release_Calendar!$B$2:$B$755,$A4611)&gt;0,1,0))</f>
        <v>0</v>
      </c>
      <c r="N4611" s="16">
        <f>IF($A4611&lt;Notes!$B$5,"",IF(COUNTIFS(Release_Calendar!$A$2:$A$755,"NZ_GDP",Release_Calendar!$B$2:$B$755,$A4611)&gt;0,1,0))</f>
        <v>0</v>
      </c>
      <c r="O4611" s="16">
        <f>IF($A4611&lt;Notes!$B$5,"",IF(COUNTIFS(Release_Calendar!$A$2:$A$755,"NZ_LABOUR",Release_Calendar!$B$2:$B$755,$A4611)&gt;0,1,0))</f>
        <v>0</v>
      </c>
      <c r="P4611" s="16">
        <f t="shared" si="4"/>
        <v>1</v>
      </c>
    </row>
    <row r="4612" ht="15.75" customHeight="1">
      <c r="A4612" s="14">
        <v>42982.0</v>
      </c>
      <c r="B4612" s="15"/>
      <c r="C4612" s="15">
        <v>2.16</v>
      </c>
      <c r="D4612" s="15">
        <v>2.0</v>
      </c>
      <c r="E4612" s="15">
        <v>1.99</v>
      </c>
      <c r="F4612" s="15" t="str">
        <f t="shared" si="1"/>
        <v/>
      </c>
      <c r="G4612" s="15">
        <f t="shared" si="2"/>
        <v>2.16</v>
      </c>
      <c r="H4612" s="16">
        <v>0.0</v>
      </c>
      <c r="I4612" s="15" t="str">
        <f t="shared" si="3"/>
        <v/>
      </c>
      <c r="J4612" s="15"/>
      <c r="K4612" s="16">
        <f>IF(COUNTIFS(Release_Calendar!$A$2:$A$755,"US_CPI",Release_Calendar!$B$2:$B$755,$A4612)&gt;0,1,0)</f>
        <v>0</v>
      </c>
      <c r="L4612" s="16">
        <f>IF(COUNTIFS(Release_Calendar!$A$2:$A$755,"US_NFP",Release_Calendar!$B$2:$B$755,$A4612)&gt;0,1,0)</f>
        <v>0</v>
      </c>
      <c r="M4612" s="16">
        <f>IF($A4612&lt;Notes!$B$5,"",IF(COUNTIFS(Release_Calendar!$A$2:$A$755,"NZ_CPI",Release_Calendar!$B$2:$B$755,$A4612)&gt;0,1,0))</f>
        <v>0</v>
      </c>
      <c r="N4612" s="16">
        <f>IF($A4612&lt;Notes!$B$5,"",IF(COUNTIFS(Release_Calendar!$A$2:$A$755,"NZ_GDP",Release_Calendar!$B$2:$B$755,$A4612)&gt;0,1,0))</f>
        <v>0</v>
      </c>
      <c r="O4612" s="16">
        <f>IF($A4612&lt;Notes!$B$5,"",IF(COUNTIFS(Release_Calendar!$A$2:$A$755,"NZ_LABOUR",Release_Calendar!$B$2:$B$755,$A4612)&gt;0,1,0))</f>
        <v>0</v>
      </c>
      <c r="P4612" s="16">
        <f t="shared" si="4"/>
        <v>0</v>
      </c>
    </row>
    <row r="4613" ht="15.75" customHeight="1">
      <c r="A4613" s="14">
        <v>42983.0</v>
      </c>
      <c r="B4613" s="15">
        <v>1.3</v>
      </c>
      <c r="C4613" s="15">
        <v>2.16</v>
      </c>
      <c r="D4613" s="15">
        <v>1.99</v>
      </c>
      <c r="E4613" s="15">
        <v>1.99</v>
      </c>
      <c r="F4613" s="15">
        <f t="shared" si="1"/>
        <v>0.86</v>
      </c>
      <c r="G4613" s="15">
        <f t="shared" si="2"/>
        <v>2.16</v>
      </c>
      <c r="H4613" s="16">
        <v>0.0</v>
      </c>
      <c r="I4613" s="15">
        <f t="shared" si="3"/>
        <v>0.86</v>
      </c>
      <c r="J4613" s="15">
        <v>12.23</v>
      </c>
      <c r="K4613" s="16">
        <f>IF(COUNTIFS(Release_Calendar!$A$2:$A$755,"US_CPI",Release_Calendar!$B$2:$B$755,$A4613)&gt;0,1,0)</f>
        <v>0</v>
      </c>
      <c r="L4613" s="16">
        <f>IF(COUNTIFS(Release_Calendar!$A$2:$A$755,"US_NFP",Release_Calendar!$B$2:$B$755,$A4613)&gt;0,1,0)</f>
        <v>0</v>
      </c>
      <c r="M4613" s="16">
        <f>IF($A4613&lt;Notes!$B$5,"",IF(COUNTIFS(Release_Calendar!$A$2:$A$755,"NZ_CPI",Release_Calendar!$B$2:$B$755,$A4613)&gt;0,1,0))</f>
        <v>0</v>
      </c>
      <c r="N4613" s="16">
        <f>IF($A4613&lt;Notes!$B$5,"",IF(COUNTIFS(Release_Calendar!$A$2:$A$755,"NZ_GDP",Release_Calendar!$B$2:$B$755,$A4613)&gt;0,1,0))</f>
        <v>0</v>
      </c>
      <c r="O4613" s="16">
        <f>IF($A4613&lt;Notes!$B$5,"",IF(COUNTIFS(Release_Calendar!$A$2:$A$755,"NZ_LABOUR",Release_Calendar!$B$2:$B$755,$A4613)&gt;0,1,0))</f>
        <v>0</v>
      </c>
      <c r="P4613" s="16">
        <f t="shared" si="4"/>
        <v>0</v>
      </c>
    </row>
    <row r="4614" ht="15.75" customHeight="1">
      <c r="A4614" s="14">
        <v>42984.0</v>
      </c>
      <c r="B4614" s="15">
        <v>1.3</v>
      </c>
      <c r="C4614" s="15">
        <v>2.13</v>
      </c>
      <c r="D4614" s="15">
        <v>1.97</v>
      </c>
      <c r="E4614" s="15">
        <v>1.95</v>
      </c>
      <c r="F4614" s="15">
        <f t="shared" si="1"/>
        <v>0.83</v>
      </c>
      <c r="G4614" s="15">
        <f t="shared" si="2"/>
        <v>2.13</v>
      </c>
      <c r="H4614" s="16">
        <v>0.0</v>
      </c>
      <c r="I4614" s="15">
        <f t="shared" si="3"/>
        <v>0.83</v>
      </c>
      <c r="J4614" s="15">
        <v>11.63</v>
      </c>
      <c r="K4614" s="16">
        <f>IF(COUNTIFS(Release_Calendar!$A$2:$A$755,"US_CPI",Release_Calendar!$B$2:$B$755,$A4614)&gt;0,1,0)</f>
        <v>0</v>
      </c>
      <c r="L4614" s="16">
        <f>IF(COUNTIFS(Release_Calendar!$A$2:$A$755,"US_NFP",Release_Calendar!$B$2:$B$755,$A4614)&gt;0,1,0)</f>
        <v>0</v>
      </c>
      <c r="M4614" s="16">
        <f>IF($A4614&lt;Notes!$B$5,"",IF(COUNTIFS(Release_Calendar!$A$2:$A$755,"NZ_CPI",Release_Calendar!$B$2:$B$755,$A4614)&gt;0,1,0))</f>
        <v>0</v>
      </c>
      <c r="N4614" s="16">
        <f>IF($A4614&lt;Notes!$B$5,"",IF(COUNTIFS(Release_Calendar!$A$2:$A$755,"NZ_GDP",Release_Calendar!$B$2:$B$755,$A4614)&gt;0,1,0))</f>
        <v>0</v>
      </c>
      <c r="O4614" s="16">
        <f>IF($A4614&lt;Notes!$B$5,"",IF(COUNTIFS(Release_Calendar!$A$2:$A$755,"NZ_LABOUR",Release_Calendar!$B$2:$B$755,$A4614)&gt;0,1,0))</f>
        <v>0</v>
      </c>
      <c r="P4614" s="16">
        <f t="shared" si="4"/>
        <v>0</v>
      </c>
    </row>
    <row r="4615" ht="15.75" customHeight="1">
      <c r="A4615" s="14">
        <v>42985.0</v>
      </c>
      <c r="B4615" s="15">
        <v>1.27</v>
      </c>
      <c r="C4615" s="15">
        <v>2.14</v>
      </c>
      <c r="D4615" s="15">
        <v>1.99</v>
      </c>
      <c r="E4615" s="15">
        <v>1.96</v>
      </c>
      <c r="F4615" s="15">
        <f t="shared" si="1"/>
        <v>0.87</v>
      </c>
      <c r="G4615" s="15">
        <f t="shared" si="2"/>
        <v>2.14</v>
      </c>
      <c r="H4615" s="16">
        <v>0.0</v>
      </c>
      <c r="I4615" s="15">
        <f t="shared" si="3"/>
        <v>0.87</v>
      </c>
      <c r="J4615" s="15">
        <v>11.55</v>
      </c>
      <c r="K4615" s="16">
        <f>IF(COUNTIFS(Release_Calendar!$A$2:$A$755,"US_CPI",Release_Calendar!$B$2:$B$755,$A4615)&gt;0,1,0)</f>
        <v>0</v>
      </c>
      <c r="L4615" s="16">
        <f>IF(COUNTIFS(Release_Calendar!$A$2:$A$755,"US_NFP",Release_Calendar!$B$2:$B$755,$A4615)&gt;0,1,0)</f>
        <v>0</v>
      </c>
      <c r="M4615" s="16">
        <f>IF($A4615&lt;Notes!$B$5,"",IF(COUNTIFS(Release_Calendar!$A$2:$A$755,"NZ_CPI",Release_Calendar!$B$2:$B$755,$A4615)&gt;0,1,0))</f>
        <v>0</v>
      </c>
      <c r="N4615" s="16">
        <f>IF($A4615&lt;Notes!$B$5,"",IF(COUNTIFS(Release_Calendar!$A$2:$A$755,"NZ_GDP",Release_Calendar!$B$2:$B$755,$A4615)&gt;0,1,0))</f>
        <v>0</v>
      </c>
      <c r="O4615" s="16">
        <f>IF($A4615&lt;Notes!$B$5,"",IF(COUNTIFS(Release_Calendar!$A$2:$A$755,"NZ_LABOUR",Release_Calendar!$B$2:$B$755,$A4615)&gt;0,1,0))</f>
        <v>0</v>
      </c>
      <c r="P4615" s="16">
        <f t="shared" si="4"/>
        <v>0</v>
      </c>
    </row>
    <row r="4616" ht="15.75" customHeight="1">
      <c r="A4616" s="14">
        <v>42986.0</v>
      </c>
      <c r="B4616" s="15">
        <v>1.27</v>
      </c>
      <c r="C4616" s="15">
        <v>2.14</v>
      </c>
      <c r="D4616" s="15">
        <v>1.95</v>
      </c>
      <c r="E4616" s="15">
        <v>1.98</v>
      </c>
      <c r="F4616" s="15">
        <f t="shared" si="1"/>
        <v>0.87</v>
      </c>
      <c r="G4616" s="15">
        <f t="shared" si="2"/>
        <v>2.14</v>
      </c>
      <c r="H4616" s="16">
        <v>0.0</v>
      </c>
      <c r="I4616" s="15">
        <f t="shared" si="3"/>
        <v>0.87</v>
      </c>
      <c r="J4616" s="15">
        <v>12.12</v>
      </c>
      <c r="K4616" s="16">
        <f>IF(COUNTIFS(Release_Calendar!$A$2:$A$755,"US_CPI",Release_Calendar!$B$2:$B$755,$A4616)&gt;0,1,0)</f>
        <v>0</v>
      </c>
      <c r="L4616" s="16">
        <f>IF(COUNTIFS(Release_Calendar!$A$2:$A$755,"US_NFP",Release_Calendar!$B$2:$B$755,$A4616)&gt;0,1,0)</f>
        <v>0</v>
      </c>
      <c r="M4616" s="16">
        <f>IF($A4616&lt;Notes!$B$5,"",IF(COUNTIFS(Release_Calendar!$A$2:$A$755,"NZ_CPI",Release_Calendar!$B$2:$B$755,$A4616)&gt;0,1,0))</f>
        <v>0</v>
      </c>
      <c r="N4616" s="16">
        <f>IF($A4616&lt;Notes!$B$5,"",IF(COUNTIFS(Release_Calendar!$A$2:$A$755,"NZ_GDP",Release_Calendar!$B$2:$B$755,$A4616)&gt;0,1,0))</f>
        <v>0</v>
      </c>
      <c r="O4616" s="16">
        <f>IF($A4616&lt;Notes!$B$5,"",IF(COUNTIFS(Release_Calendar!$A$2:$A$755,"NZ_LABOUR",Release_Calendar!$B$2:$B$755,$A4616)&gt;0,1,0))</f>
        <v>0</v>
      </c>
      <c r="P4616" s="16">
        <f t="shared" si="4"/>
        <v>0</v>
      </c>
    </row>
    <row r="4617" ht="15.75" customHeight="1">
      <c r="A4617" s="14">
        <v>42989.0</v>
      </c>
      <c r="B4617" s="15">
        <v>1.32</v>
      </c>
      <c r="C4617" s="15">
        <v>2.15</v>
      </c>
      <c r="D4617" s="15">
        <v>1.99</v>
      </c>
      <c r="E4617" s="15">
        <v>1.99</v>
      </c>
      <c r="F4617" s="15">
        <f t="shared" si="1"/>
        <v>0.83</v>
      </c>
      <c r="G4617" s="15">
        <f t="shared" si="2"/>
        <v>2.15</v>
      </c>
      <c r="H4617" s="16">
        <v>0.0</v>
      </c>
      <c r="I4617" s="15">
        <f t="shared" si="3"/>
        <v>0.83</v>
      </c>
      <c r="J4617" s="15">
        <v>10.73</v>
      </c>
      <c r="K4617" s="16">
        <f>IF(COUNTIFS(Release_Calendar!$A$2:$A$755,"US_CPI",Release_Calendar!$B$2:$B$755,$A4617)&gt;0,1,0)</f>
        <v>0</v>
      </c>
      <c r="L4617" s="16">
        <f>IF(COUNTIFS(Release_Calendar!$A$2:$A$755,"US_NFP",Release_Calendar!$B$2:$B$755,$A4617)&gt;0,1,0)</f>
        <v>0</v>
      </c>
      <c r="M4617" s="16">
        <f>IF($A4617&lt;Notes!$B$5,"",IF(COUNTIFS(Release_Calendar!$A$2:$A$755,"NZ_CPI",Release_Calendar!$B$2:$B$755,$A4617)&gt;0,1,0))</f>
        <v>0</v>
      </c>
      <c r="N4617" s="16">
        <f>IF($A4617&lt;Notes!$B$5,"",IF(COUNTIFS(Release_Calendar!$A$2:$A$755,"NZ_GDP",Release_Calendar!$B$2:$B$755,$A4617)&gt;0,1,0))</f>
        <v>0</v>
      </c>
      <c r="O4617" s="16">
        <f>IF($A4617&lt;Notes!$B$5,"",IF(COUNTIFS(Release_Calendar!$A$2:$A$755,"NZ_LABOUR",Release_Calendar!$B$2:$B$755,$A4617)&gt;0,1,0))</f>
        <v>0</v>
      </c>
      <c r="P4617" s="16">
        <f t="shared" si="4"/>
        <v>0</v>
      </c>
    </row>
    <row r="4618" ht="15.75" customHeight="1">
      <c r="A4618" s="14">
        <v>42990.0</v>
      </c>
      <c r="B4618" s="15">
        <v>1.33</v>
      </c>
      <c r="C4618" s="15">
        <v>2.14</v>
      </c>
      <c r="D4618" s="15">
        <v>2.01</v>
      </c>
      <c r="E4618" s="15">
        <v>1.99</v>
      </c>
      <c r="F4618" s="15">
        <f t="shared" si="1"/>
        <v>0.81</v>
      </c>
      <c r="G4618" s="15">
        <f t="shared" si="2"/>
        <v>2.14</v>
      </c>
      <c r="H4618" s="16">
        <v>0.0</v>
      </c>
      <c r="I4618" s="15">
        <f t="shared" si="3"/>
        <v>0.81</v>
      </c>
      <c r="J4618" s="15">
        <v>10.58</v>
      </c>
      <c r="K4618" s="16">
        <f>IF(COUNTIFS(Release_Calendar!$A$2:$A$755,"US_CPI",Release_Calendar!$B$2:$B$755,$A4618)&gt;0,1,0)</f>
        <v>0</v>
      </c>
      <c r="L4618" s="16">
        <f>IF(COUNTIFS(Release_Calendar!$A$2:$A$755,"US_NFP",Release_Calendar!$B$2:$B$755,$A4618)&gt;0,1,0)</f>
        <v>0</v>
      </c>
      <c r="M4618" s="16">
        <f>IF($A4618&lt;Notes!$B$5,"",IF(COUNTIFS(Release_Calendar!$A$2:$A$755,"NZ_CPI",Release_Calendar!$B$2:$B$755,$A4618)&gt;0,1,0))</f>
        <v>0</v>
      </c>
      <c r="N4618" s="16">
        <f>IF($A4618&lt;Notes!$B$5,"",IF(COUNTIFS(Release_Calendar!$A$2:$A$755,"NZ_GDP",Release_Calendar!$B$2:$B$755,$A4618)&gt;0,1,0))</f>
        <v>0</v>
      </c>
      <c r="O4618" s="16">
        <f>IF($A4618&lt;Notes!$B$5,"",IF(COUNTIFS(Release_Calendar!$A$2:$A$755,"NZ_LABOUR",Release_Calendar!$B$2:$B$755,$A4618)&gt;0,1,0))</f>
        <v>0</v>
      </c>
      <c r="P4618" s="16">
        <f t="shared" si="4"/>
        <v>0</v>
      </c>
    </row>
    <row r="4619" ht="15.75" customHeight="1">
      <c r="A4619" s="14">
        <v>42991.0</v>
      </c>
      <c r="B4619" s="15">
        <v>1.35</v>
      </c>
      <c r="C4619" s="15">
        <v>2.16</v>
      </c>
      <c r="D4619" s="15">
        <v>2.02</v>
      </c>
      <c r="E4619" s="15">
        <v>2.01</v>
      </c>
      <c r="F4619" s="15">
        <f t="shared" si="1"/>
        <v>0.81</v>
      </c>
      <c r="G4619" s="15">
        <f t="shared" si="2"/>
        <v>2.16</v>
      </c>
      <c r="H4619" s="16">
        <v>0.0</v>
      </c>
      <c r="I4619" s="15">
        <f t="shared" si="3"/>
        <v>0.81</v>
      </c>
      <c r="J4619" s="15">
        <v>10.5</v>
      </c>
      <c r="K4619" s="16">
        <f>IF(COUNTIFS(Release_Calendar!$A$2:$A$755,"US_CPI",Release_Calendar!$B$2:$B$755,$A4619)&gt;0,1,0)</f>
        <v>0</v>
      </c>
      <c r="L4619" s="16">
        <f>IF(COUNTIFS(Release_Calendar!$A$2:$A$755,"US_NFP",Release_Calendar!$B$2:$B$755,$A4619)&gt;0,1,0)</f>
        <v>0</v>
      </c>
      <c r="M4619" s="16">
        <f>IF($A4619&lt;Notes!$B$5,"",IF(COUNTIFS(Release_Calendar!$A$2:$A$755,"NZ_CPI",Release_Calendar!$B$2:$B$755,$A4619)&gt;0,1,0))</f>
        <v>0</v>
      </c>
      <c r="N4619" s="16">
        <f>IF($A4619&lt;Notes!$B$5,"",IF(COUNTIFS(Release_Calendar!$A$2:$A$755,"NZ_GDP",Release_Calendar!$B$2:$B$755,$A4619)&gt;0,1,0))</f>
        <v>0</v>
      </c>
      <c r="O4619" s="16">
        <f>IF($A4619&lt;Notes!$B$5,"",IF(COUNTIFS(Release_Calendar!$A$2:$A$755,"NZ_LABOUR",Release_Calendar!$B$2:$B$755,$A4619)&gt;0,1,0))</f>
        <v>0</v>
      </c>
      <c r="P4619" s="16">
        <f t="shared" si="4"/>
        <v>0</v>
      </c>
    </row>
    <row r="4620" ht="15.75" customHeight="1">
      <c r="A4620" s="14">
        <v>42992.0</v>
      </c>
      <c r="B4620" s="15">
        <v>1.37</v>
      </c>
      <c r="C4620" s="15">
        <v>2.19</v>
      </c>
      <c r="D4620" s="15">
        <v>2.03</v>
      </c>
      <c r="E4620" s="15">
        <v>2.04</v>
      </c>
      <c r="F4620" s="15">
        <f t="shared" si="1"/>
        <v>0.82</v>
      </c>
      <c r="G4620" s="15">
        <f t="shared" si="2"/>
        <v>2.19</v>
      </c>
      <c r="H4620" s="16">
        <v>0.0</v>
      </c>
      <c r="I4620" s="15">
        <f t="shared" si="3"/>
        <v>0.82</v>
      </c>
      <c r="J4620" s="15">
        <v>10.44</v>
      </c>
      <c r="K4620" s="16">
        <f>IF(COUNTIFS(Release_Calendar!$A$2:$A$755,"US_CPI",Release_Calendar!$B$2:$B$755,$A4620)&gt;0,1,0)</f>
        <v>1</v>
      </c>
      <c r="L4620" s="16">
        <f>IF(COUNTIFS(Release_Calendar!$A$2:$A$755,"US_NFP",Release_Calendar!$B$2:$B$755,$A4620)&gt;0,1,0)</f>
        <v>0</v>
      </c>
      <c r="M4620" s="16">
        <f>IF($A4620&lt;Notes!$B$5,"",IF(COUNTIFS(Release_Calendar!$A$2:$A$755,"NZ_CPI",Release_Calendar!$B$2:$B$755,$A4620)&gt;0,1,0))</f>
        <v>0</v>
      </c>
      <c r="N4620" s="16">
        <f>IF($A4620&lt;Notes!$B$5,"",IF(COUNTIFS(Release_Calendar!$A$2:$A$755,"NZ_GDP",Release_Calendar!$B$2:$B$755,$A4620)&gt;0,1,0))</f>
        <v>0</v>
      </c>
      <c r="O4620" s="16">
        <f>IF($A4620&lt;Notes!$B$5,"",IF(COUNTIFS(Release_Calendar!$A$2:$A$755,"NZ_LABOUR",Release_Calendar!$B$2:$B$755,$A4620)&gt;0,1,0))</f>
        <v>0</v>
      </c>
      <c r="P4620" s="16">
        <f t="shared" si="4"/>
        <v>1</v>
      </c>
    </row>
    <row r="4621" ht="15.75" customHeight="1">
      <c r="A4621" s="14">
        <v>42993.0</v>
      </c>
      <c r="B4621" s="15">
        <v>1.39</v>
      </c>
      <c r="C4621" s="15">
        <v>2.2</v>
      </c>
      <c r="D4621" s="15">
        <v>2.06</v>
      </c>
      <c r="E4621" s="15">
        <v>2.05</v>
      </c>
      <c r="F4621" s="15">
        <f t="shared" si="1"/>
        <v>0.81</v>
      </c>
      <c r="G4621" s="15">
        <f t="shared" si="2"/>
        <v>2.2</v>
      </c>
      <c r="H4621" s="16">
        <v>0.0</v>
      </c>
      <c r="I4621" s="15">
        <f t="shared" si="3"/>
        <v>0.81</v>
      </c>
      <c r="J4621" s="15">
        <v>10.17</v>
      </c>
      <c r="K4621" s="16">
        <f>IF(COUNTIFS(Release_Calendar!$A$2:$A$755,"US_CPI",Release_Calendar!$B$2:$B$755,$A4621)&gt;0,1,0)</f>
        <v>0</v>
      </c>
      <c r="L4621" s="16">
        <f>IF(COUNTIFS(Release_Calendar!$A$2:$A$755,"US_NFP",Release_Calendar!$B$2:$B$755,$A4621)&gt;0,1,0)</f>
        <v>0</v>
      </c>
      <c r="M4621" s="16">
        <f>IF($A4621&lt;Notes!$B$5,"",IF(COUNTIFS(Release_Calendar!$A$2:$A$755,"NZ_CPI",Release_Calendar!$B$2:$B$755,$A4621)&gt;0,1,0))</f>
        <v>0</v>
      </c>
      <c r="N4621" s="16">
        <f>IF($A4621&lt;Notes!$B$5,"",IF(COUNTIFS(Release_Calendar!$A$2:$A$755,"NZ_GDP",Release_Calendar!$B$2:$B$755,$A4621)&gt;0,1,0))</f>
        <v>0</v>
      </c>
      <c r="O4621" s="16">
        <f>IF($A4621&lt;Notes!$B$5,"",IF(COUNTIFS(Release_Calendar!$A$2:$A$755,"NZ_LABOUR",Release_Calendar!$B$2:$B$755,$A4621)&gt;0,1,0))</f>
        <v>0</v>
      </c>
      <c r="P4621" s="16">
        <f t="shared" si="4"/>
        <v>0</v>
      </c>
    </row>
    <row r="4622" ht="15.75" customHeight="1">
      <c r="A4622" s="14">
        <v>42996.0</v>
      </c>
      <c r="B4622" s="15">
        <v>1.4</v>
      </c>
      <c r="C4622" s="15">
        <v>2.22</v>
      </c>
      <c r="D4622" s="15">
        <v>2.08</v>
      </c>
      <c r="E4622" s="15">
        <v>2.1</v>
      </c>
      <c r="F4622" s="15">
        <f t="shared" si="1"/>
        <v>0.82</v>
      </c>
      <c r="G4622" s="15">
        <f t="shared" si="2"/>
        <v>2.22</v>
      </c>
      <c r="H4622" s="16">
        <v>0.0</v>
      </c>
      <c r="I4622" s="15">
        <f t="shared" si="3"/>
        <v>0.82</v>
      </c>
      <c r="J4622" s="15">
        <v>10.15</v>
      </c>
      <c r="K4622" s="16">
        <f>IF(COUNTIFS(Release_Calendar!$A$2:$A$755,"US_CPI",Release_Calendar!$B$2:$B$755,$A4622)&gt;0,1,0)</f>
        <v>0</v>
      </c>
      <c r="L4622" s="16">
        <f>IF(COUNTIFS(Release_Calendar!$A$2:$A$755,"US_NFP",Release_Calendar!$B$2:$B$755,$A4622)&gt;0,1,0)</f>
        <v>0</v>
      </c>
      <c r="M4622" s="16">
        <f>IF($A4622&lt;Notes!$B$5,"",IF(COUNTIFS(Release_Calendar!$A$2:$A$755,"NZ_CPI",Release_Calendar!$B$2:$B$755,$A4622)&gt;0,1,0))</f>
        <v>0</v>
      </c>
      <c r="N4622" s="16">
        <f>IF($A4622&lt;Notes!$B$5,"",IF(COUNTIFS(Release_Calendar!$A$2:$A$755,"NZ_GDP",Release_Calendar!$B$2:$B$755,$A4622)&gt;0,1,0))</f>
        <v>0</v>
      </c>
      <c r="O4622" s="16">
        <f>IF($A4622&lt;Notes!$B$5,"",IF(COUNTIFS(Release_Calendar!$A$2:$A$755,"NZ_LABOUR",Release_Calendar!$B$2:$B$755,$A4622)&gt;0,1,0))</f>
        <v>0</v>
      </c>
      <c r="P4622" s="16">
        <f t="shared" si="4"/>
        <v>0</v>
      </c>
    </row>
    <row r="4623" ht="15.75" customHeight="1">
      <c r="A4623" s="14">
        <v>42997.0</v>
      </c>
      <c r="B4623" s="15">
        <v>1.4</v>
      </c>
      <c r="C4623" s="15">
        <v>2.24</v>
      </c>
      <c r="D4623" s="15">
        <v>2.09</v>
      </c>
      <c r="E4623" s="15">
        <v>2.12</v>
      </c>
      <c r="F4623" s="15">
        <f t="shared" si="1"/>
        <v>0.84</v>
      </c>
      <c r="G4623" s="15">
        <f t="shared" si="2"/>
        <v>2.24</v>
      </c>
      <c r="H4623" s="16">
        <v>0.0</v>
      </c>
      <c r="I4623" s="15">
        <f t="shared" si="3"/>
        <v>0.84</v>
      </c>
      <c r="J4623" s="15">
        <v>10.18</v>
      </c>
      <c r="K4623" s="16">
        <f>IF(COUNTIFS(Release_Calendar!$A$2:$A$755,"US_CPI",Release_Calendar!$B$2:$B$755,$A4623)&gt;0,1,0)</f>
        <v>0</v>
      </c>
      <c r="L4623" s="16">
        <f>IF(COUNTIFS(Release_Calendar!$A$2:$A$755,"US_NFP",Release_Calendar!$B$2:$B$755,$A4623)&gt;0,1,0)</f>
        <v>0</v>
      </c>
      <c r="M4623" s="16">
        <f>IF($A4623&lt;Notes!$B$5,"",IF(COUNTIFS(Release_Calendar!$A$2:$A$755,"NZ_CPI",Release_Calendar!$B$2:$B$755,$A4623)&gt;0,1,0))</f>
        <v>0</v>
      </c>
      <c r="N4623" s="16">
        <f>IF($A4623&lt;Notes!$B$5,"",IF(COUNTIFS(Release_Calendar!$A$2:$A$755,"NZ_GDP",Release_Calendar!$B$2:$B$755,$A4623)&gt;0,1,0))</f>
        <v>0</v>
      </c>
      <c r="O4623" s="16">
        <f>IF($A4623&lt;Notes!$B$5,"",IF(COUNTIFS(Release_Calendar!$A$2:$A$755,"NZ_LABOUR",Release_Calendar!$B$2:$B$755,$A4623)&gt;0,1,0))</f>
        <v>0</v>
      </c>
      <c r="P4623" s="16">
        <f t="shared" si="4"/>
        <v>0</v>
      </c>
    </row>
    <row r="4624" ht="15.75" customHeight="1">
      <c r="A4624" s="14">
        <v>42998.0</v>
      </c>
      <c r="B4624" s="15">
        <v>1.45</v>
      </c>
      <c r="C4624" s="15">
        <v>2.25</v>
      </c>
      <c r="D4624" s="15">
        <v>2.15</v>
      </c>
      <c r="E4624" s="15">
        <v>2.14</v>
      </c>
      <c r="F4624" s="15">
        <f t="shared" si="1"/>
        <v>0.8</v>
      </c>
      <c r="G4624" s="15">
        <f t="shared" si="2"/>
        <v>2.25</v>
      </c>
      <c r="H4624" s="16">
        <v>0.0</v>
      </c>
      <c r="I4624" s="15">
        <f t="shared" si="3"/>
        <v>0.8</v>
      </c>
      <c r="J4624" s="15">
        <v>9.78</v>
      </c>
      <c r="K4624" s="16">
        <f>IF(COUNTIFS(Release_Calendar!$A$2:$A$755,"US_CPI",Release_Calendar!$B$2:$B$755,$A4624)&gt;0,1,0)</f>
        <v>0</v>
      </c>
      <c r="L4624" s="16">
        <f>IF(COUNTIFS(Release_Calendar!$A$2:$A$755,"US_NFP",Release_Calendar!$B$2:$B$755,$A4624)&gt;0,1,0)</f>
        <v>0</v>
      </c>
      <c r="M4624" s="16">
        <f>IF($A4624&lt;Notes!$B$5,"",IF(COUNTIFS(Release_Calendar!$A$2:$A$755,"NZ_CPI",Release_Calendar!$B$2:$B$755,$A4624)&gt;0,1,0))</f>
        <v>0</v>
      </c>
      <c r="N4624" s="16">
        <f>IF($A4624&lt;Notes!$B$5,"",IF(COUNTIFS(Release_Calendar!$A$2:$A$755,"NZ_GDP",Release_Calendar!$B$2:$B$755,$A4624)&gt;0,1,0))</f>
        <v>0</v>
      </c>
      <c r="O4624" s="16">
        <f>IF($A4624&lt;Notes!$B$5,"",IF(COUNTIFS(Release_Calendar!$A$2:$A$755,"NZ_LABOUR",Release_Calendar!$B$2:$B$755,$A4624)&gt;0,1,0))</f>
        <v>0</v>
      </c>
      <c r="P4624" s="16">
        <f t="shared" si="4"/>
        <v>0</v>
      </c>
    </row>
    <row r="4625" ht="15.75" customHeight="1">
      <c r="A4625" s="14">
        <v>42999.0</v>
      </c>
      <c r="B4625" s="15">
        <v>1.45</v>
      </c>
      <c r="C4625" s="15">
        <v>2.25</v>
      </c>
      <c r="D4625" s="15">
        <v>2.18</v>
      </c>
      <c r="E4625" s="15">
        <v>2.17</v>
      </c>
      <c r="F4625" s="15">
        <f t="shared" si="1"/>
        <v>0.8</v>
      </c>
      <c r="G4625" s="15">
        <f t="shared" si="2"/>
        <v>2.25</v>
      </c>
      <c r="H4625" s="16">
        <v>0.0</v>
      </c>
      <c r="I4625" s="15">
        <f t="shared" si="3"/>
        <v>0.8</v>
      </c>
      <c r="J4625" s="15">
        <v>9.67</v>
      </c>
      <c r="K4625" s="16">
        <f>IF(COUNTIFS(Release_Calendar!$A$2:$A$755,"US_CPI",Release_Calendar!$B$2:$B$755,$A4625)&gt;0,1,0)</f>
        <v>0</v>
      </c>
      <c r="L4625" s="16">
        <f>IF(COUNTIFS(Release_Calendar!$A$2:$A$755,"US_NFP",Release_Calendar!$B$2:$B$755,$A4625)&gt;0,1,0)</f>
        <v>0</v>
      </c>
      <c r="M4625" s="16">
        <f>IF($A4625&lt;Notes!$B$5,"",IF(COUNTIFS(Release_Calendar!$A$2:$A$755,"NZ_CPI",Release_Calendar!$B$2:$B$755,$A4625)&gt;0,1,0))</f>
        <v>0</v>
      </c>
      <c r="N4625" s="16">
        <f>IF($A4625&lt;Notes!$B$5,"",IF(COUNTIFS(Release_Calendar!$A$2:$A$755,"NZ_GDP",Release_Calendar!$B$2:$B$755,$A4625)&gt;0,1,0))</f>
        <v>1</v>
      </c>
      <c r="O4625" s="16">
        <f>IF($A4625&lt;Notes!$B$5,"",IF(COUNTIFS(Release_Calendar!$A$2:$A$755,"NZ_LABOUR",Release_Calendar!$B$2:$B$755,$A4625)&gt;0,1,0))</f>
        <v>0</v>
      </c>
      <c r="P4625" s="16">
        <f t="shared" si="4"/>
        <v>1</v>
      </c>
    </row>
    <row r="4626" ht="15.75" customHeight="1">
      <c r="A4626" s="14">
        <v>43000.0</v>
      </c>
      <c r="B4626" s="15">
        <v>1.46</v>
      </c>
      <c r="C4626" s="15">
        <v>2.23</v>
      </c>
      <c r="D4626" s="15">
        <v>2.16</v>
      </c>
      <c r="E4626" s="15">
        <v>2.14</v>
      </c>
      <c r="F4626" s="15">
        <f t="shared" si="1"/>
        <v>0.77</v>
      </c>
      <c r="G4626" s="15">
        <f t="shared" si="2"/>
        <v>2.23</v>
      </c>
      <c r="H4626" s="16">
        <v>0.0</v>
      </c>
      <c r="I4626" s="15">
        <f t="shared" si="3"/>
        <v>0.77</v>
      </c>
      <c r="J4626" s="15">
        <v>9.59</v>
      </c>
      <c r="K4626" s="16">
        <f>IF(COUNTIFS(Release_Calendar!$A$2:$A$755,"US_CPI",Release_Calendar!$B$2:$B$755,$A4626)&gt;0,1,0)</f>
        <v>0</v>
      </c>
      <c r="L4626" s="16">
        <f>IF(COUNTIFS(Release_Calendar!$A$2:$A$755,"US_NFP",Release_Calendar!$B$2:$B$755,$A4626)&gt;0,1,0)</f>
        <v>0</v>
      </c>
      <c r="M4626" s="16">
        <f>IF($A4626&lt;Notes!$B$5,"",IF(COUNTIFS(Release_Calendar!$A$2:$A$755,"NZ_CPI",Release_Calendar!$B$2:$B$755,$A4626)&gt;0,1,0))</f>
        <v>0</v>
      </c>
      <c r="N4626" s="16">
        <f>IF($A4626&lt;Notes!$B$5,"",IF(COUNTIFS(Release_Calendar!$A$2:$A$755,"NZ_GDP",Release_Calendar!$B$2:$B$755,$A4626)&gt;0,1,0))</f>
        <v>0</v>
      </c>
      <c r="O4626" s="16">
        <f>IF($A4626&lt;Notes!$B$5,"",IF(COUNTIFS(Release_Calendar!$A$2:$A$755,"NZ_LABOUR",Release_Calendar!$B$2:$B$755,$A4626)&gt;0,1,0))</f>
        <v>0</v>
      </c>
      <c r="P4626" s="16">
        <f t="shared" si="4"/>
        <v>0</v>
      </c>
    </row>
    <row r="4627" ht="15.75" customHeight="1">
      <c r="A4627" s="14">
        <v>43003.0</v>
      </c>
      <c r="B4627" s="15">
        <v>1.44</v>
      </c>
      <c r="C4627" s="15">
        <v>2.21</v>
      </c>
      <c r="D4627" s="15">
        <v>2.14</v>
      </c>
      <c r="E4627" s="15">
        <v>2.12</v>
      </c>
      <c r="F4627" s="15">
        <f t="shared" si="1"/>
        <v>0.77</v>
      </c>
      <c r="G4627" s="15">
        <f t="shared" si="2"/>
        <v>2.21</v>
      </c>
      <c r="H4627" s="16">
        <v>0.0</v>
      </c>
      <c r="I4627" s="15">
        <f t="shared" si="3"/>
        <v>0.77</v>
      </c>
      <c r="J4627" s="15">
        <v>10.21</v>
      </c>
      <c r="K4627" s="16">
        <f>IF(COUNTIFS(Release_Calendar!$A$2:$A$755,"US_CPI",Release_Calendar!$B$2:$B$755,$A4627)&gt;0,1,0)</f>
        <v>0</v>
      </c>
      <c r="L4627" s="16">
        <f>IF(COUNTIFS(Release_Calendar!$A$2:$A$755,"US_NFP",Release_Calendar!$B$2:$B$755,$A4627)&gt;0,1,0)</f>
        <v>0</v>
      </c>
      <c r="M4627" s="16">
        <f>IF($A4627&lt;Notes!$B$5,"",IF(COUNTIFS(Release_Calendar!$A$2:$A$755,"NZ_CPI",Release_Calendar!$B$2:$B$755,$A4627)&gt;0,1,0))</f>
        <v>0</v>
      </c>
      <c r="N4627" s="16">
        <f>IF($A4627&lt;Notes!$B$5,"",IF(COUNTIFS(Release_Calendar!$A$2:$A$755,"NZ_GDP",Release_Calendar!$B$2:$B$755,$A4627)&gt;0,1,0))</f>
        <v>0</v>
      </c>
      <c r="O4627" s="16">
        <f>IF($A4627&lt;Notes!$B$5,"",IF(COUNTIFS(Release_Calendar!$A$2:$A$755,"NZ_LABOUR",Release_Calendar!$B$2:$B$755,$A4627)&gt;0,1,0))</f>
        <v>0</v>
      </c>
      <c r="P4627" s="16">
        <f t="shared" si="4"/>
        <v>0</v>
      </c>
    </row>
    <row r="4628" ht="15.75" customHeight="1">
      <c r="A4628" s="14">
        <v>43004.0</v>
      </c>
      <c r="B4628" s="15">
        <v>1.45</v>
      </c>
      <c r="C4628" s="15">
        <v>2.18</v>
      </c>
      <c r="D4628" s="15">
        <v>2.1</v>
      </c>
      <c r="E4628" s="15">
        <v>2.1</v>
      </c>
      <c r="F4628" s="15">
        <f t="shared" si="1"/>
        <v>0.73</v>
      </c>
      <c r="G4628" s="15">
        <f t="shared" si="2"/>
        <v>2.18</v>
      </c>
      <c r="H4628" s="16">
        <v>0.0</v>
      </c>
      <c r="I4628" s="15">
        <f t="shared" si="3"/>
        <v>0.73</v>
      </c>
      <c r="J4628" s="15">
        <v>10.17</v>
      </c>
      <c r="K4628" s="16">
        <f>IF(COUNTIFS(Release_Calendar!$A$2:$A$755,"US_CPI",Release_Calendar!$B$2:$B$755,$A4628)&gt;0,1,0)</f>
        <v>0</v>
      </c>
      <c r="L4628" s="16">
        <f>IF(COUNTIFS(Release_Calendar!$A$2:$A$755,"US_NFP",Release_Calendar!$B$2:$B$755,$A4628)&gt;0,1,0)</f>
        <v>0</v>
      </c>
      <c r="M4628" s="16">
        <f>IF($A4628&lt;Notes!$B$5,"",IF(COUNTIFS(Release_Calendar!$A$2:$A$755,"NZ_CPI",Release_Calendar!$B$2:$B$755,$A4628)&gt;0,1,0))</f>
        <v>0</v>
      </c>
      <c r="N4628" s="16">
        <f>IF($A4628&lt;Notes!$B$5,"",IF(COUNTIFS(Release_Calendar!$A$2:$A$755,"NZ_GDP",Release_Calendar!$B$2:$B$755,$A4628)&gt;0,1,0))</f>
        <v>0</v>
      </c>
      <c r="O4628" s="16">
        <f>IF($A4628&lt;Notes!$B$5,"",IF(COUNTIFS(Release_Calendar!$A$2:$A$755,"NZ_LABOUR",Release_Calendar!$B$2:$B$755,$A4628)&gt;0,1,0))</f>
        <v>0</v>
      </c>
      <c r="P4628" s="16">
        <f t="shared" si="4"/>
        <v>0</v>
      </c>
    </row>
    <row r="4629" ht="15.75" customHeight="1">
      <c r="A4629" s="14">
        <v>43005.0</v>
      </c>
      <c r="B4629" s="15">
        <v>1.47</v>
      </c>
      <c r="C4629" s="15">
        <v>2.2</v>
      </c>
      <c r="D4629" s="15">
        <v>2.1</v>
      </c>
      <c r="E4629" s="15">
        <v>2.1</v>
      </c>
      <c r="F4629" s="15">
        <f t="shared" si="1"/>
        <v>0.73</v>
      </c>
      <c r="G4629" s="15">
        <f t="shared" si="2"/>
        <v>2.2</v>
      </c>
      <c r="H4629" s="16">
        <v>0.0</v>
      </c>
      <c r="I4629" s="15">
        <f t="shared" si="3"/>
        <v>0.73</v>
      </c>
      <c r="J4629" s="15">
        <v>9.87</v>
      </c>
      <c r="K4629" s="16">
        <f>IF(COUNTIFS(Release_Calendar!$A$2:$A$755,"US_CPI",Release_Calendar!$B$2:$B$755,$A4629)&gt;0,1,0)</f>
        <v>0</v>
      </c>
      <c r="L4629" s="16">
        <f>IF(COUNTIFS(Release_Calendar!$A$2:$A$755,"US_NFP",Release_Calendar!$B$2:$B$755,$A4629)&gt;0,1,0)</f>
        <v>0</v>
      </c>
      <c r="M4629" s="16">
        <f>IF($A4629&lt;Notes!$B$5,"",IF(COUNTIFS(Release_Calendar!$A$2:$A$755,"NZ_CPI",Release_Calendar!$B$2:$B$755,$A4629)&gt;0,1,0))</f>
        <v>0</v>
      </c>
      <c r="N4629" s="16">
        <f>IF($A4629&lt;Notes!$B$5,"",IF(COUNTIFS(Release_Calendar!$A$2:$A$755,"NZ_GDP",Release_Calendar!$B$2:$B$755,$A4629)&gt;0,1,0))</f>
        <v>0</v>
      </c>
      <c r="O4629" s="16">
        <f>IF($A4629&lt;Notes!$B$5,"",IF(COUNTIFS(Release_Calendar!$A$2:$A$755,"NZ_LABOUR",Release_Calendar!$B$2:$B$755,$A4629)&gt;0,1,0))</f>
        <v>0</v>
      </c>
      <c r="P4629" s="16">
        <f t="shared" si="4"/>
        <v>0</v>
      </c>
    </row>
    <row r="4630" ht="15.75" customHeight="1">
      <c r="A4630" s="14">
        <v>43006.0</v>
      </c>
      <c r="B4630" s="15">
        <v>1.45</v>
      </c>
      <c r="C4630" s="15">
        <v>2.2</v>
      </c>
      <c r="D4630" s="15">
        <v>2.09</v>
      </c>
      <c r="E4630" s="15">
        <v>2.08</v>
      </c>
      <c r="F4630" s="15">
        <f t="shared" si="1"/>
        <v>0.75</v>
      </c>
      <c r="G4630" s="15">
        <f t="shared" si="2"/>
        <v>2.2</v>
      </c>
      <c r="H4630" s="16">
        <v>0.0</v>
      </c>
      <c r="I4630" s="15">
        <f t="shared" si="3"/>
        <v>0.75</v>
      </c>
      <c r="J4630" s="15">
        <v>9.55</v>
      </c>
      <c r="K4630" s="16">
        <f>IF(COUNTIFS(Release_Calendar!$A$2:$A$755,"US_CPI",Release_Calendar!$B$2:$B$755,$A4630)&gt;0,1,0)</f>
        <v>0</v>
      </c>
      <c r="L4630" s="16">
        <f>IF(COUNTIFS(Release_Calendar!$A$2:$A$755,"US_NFP",Release_Calendar!$B$2:$B$755,$A4630)&gt;0,1,0)</f>
        <v>0</v>
      </c>
      <c r="M4630" s="16">
        <f>IF($A4630&lt;Notes!$B$5,"",IF(COUNTIFS(Release_Calendar!$A$2:$A$755,"NZ_CPI",Release_Calendar!$B$2:$B$755,$A4630)&gt;0,1,0))</f>
        <v>0</v>
      </c>
      <c r="N4630" s="16">
        <f>IF($A4630&lt;Notes!$B$5,"",IF(COUNTIFS(Release_Calendar!$A$2:$A$755,"NZ_GDP",Release_Calendar!$B$2:$B$755,$A4630)&gt;0,1,0))</f>
        <v>0</v>
      </c>
      <c r="O4630" s="16">
        <f>IF($A4630&lt;Notes!$B$5,"",IF(COUNTIFS(Release_Calendar!$A$2:$A$755,"NZ_LABOUR",Release_Calendar!$B$2:$B$755,$A4630)&gt;0,1,0))</f>
        <v>0</v>
      </c>
      <c r="P4630" s="16">
        <f t="shared" si="4"/>
        <v>0</v>
      </c>
    </row>
    <row r="4631" ht="15.75" customHeight="1">
      <c r="A4631" s="14">
        <v>43007.0</v>
      </c>
      <c r="B4631" s="15">
        <v>1.47</v>
      </c>
      <c r="C4631" s="15">
        <v>2.21</v>
      </c>
      <c r="D4631" s="15">
        <v>2.06</v>
      </c>
      <c r="E4631" s="15">
        <v>2.09</v>
      </c>
      <c r="F4631" s="15">
        <f t="shared" si="1"/>
        <v>0.74</v>
      </c>
      <c r="G4631" s="15">
        <f t="shared" si="2"/>
        <v>2.21</v>
      </c>
      <c r="H4631" s="16">
        <v>0.0</v>
      </c>
      <c r="I4631" s="15">
        <f t="shared" si="3"/>
        <v>0.74</v>
      </c>
      <c r="J4631" s="15">
        <v>9.51</v>
      </c>
      <c r="K4631" s="16">
        <f>IF(COUNTIFS(Release_Calendar!$A$2:$A$755,"US_CPI",Release_Calendar!$B$2:$B$755,$A4631)&gt;0,1,0)</f>
        <v>0</v>
      </c>
      <c r="L4631" s="16">
        <f>IF(COUNTIFS(Release_Calendar!$A$2:$A$755,"US_NFP",Release_Calendar!$B$2:$B$755,$A4631)&gt;0,1,0)</f>
        <v>0</v>
      </c>
      <c r="M4631" s="16">
        <f>IF($A4631&lt;Notes!$B$5,"",IF(COUNTIFS(Release_Calendar!$A$2:$A$755,"NZ_CPI",Release_Calendar!$B$2:$B$755,$A4631)&gt;0,1,0))</f>
        <v>0</v>
      </c>
      <c r="N4631" s="16">
        <f>IF($A4631&lt;Notes!$B$5,"",IF(COUNTIFS(Release_Calendar!$A$2:$A$755,"NZ_GDP",Release_Calendar!$B$2:$B$755,$A4631)&gt;0,1,0))</f>
        <v>0</v>
      </c>
      <c r="O4631" s="16">
        <f>IF($A4631&lt;Notes!$B$5,"",IF(COUNTIFS(Release_Calendar!$A$2:$A$755,"NZ_LABOUR",Release_Calendar!$B$2:$B$755,$A4631)&gt;0,1,0))</f>
        <v>0</v>
      </c>
      <c r="P4631" s="16">
        <f t="shared" si="4"/>
        <v>0</v>
      </c>
    </row>
    <row r="4632" ht="15.75" customHeight="1">
      <c r="A4632" s="14">
        <v>43010.0</v>
      </c>
      <c r="B4632" s="15">
        <v>1.49</v>
      </c>
      <c r="C4632" s="15">
        <v>2.21</v>
      </c>
      <c r="D4632" s="15">
        <v>2.09</v>
      </c>
      <c r="E4632" s="15">
        <v>2.1</v>
      </c>
      <c r="F4632" s="15">
        <f t="shared" si="1"/>
        <v>0.72</v>
      </c>
      <c r="G4632" s="15">
        <f t="shared" si="2"/>
        <v>2.21</v>
      </c>
      <c r="H4632" s="16">
        <v>0.0</v>
      </c>
      <c r="I4632" s="15">
        <f t="shared" si="3"/>
        <v>0.72</v>
      </c>
      <c r="J4632" s="15">
        <v>9.45</v>
      </c>
      <c r="K4632" s="16">
        <f>IF(COUNTIFS(Release_Calendar!$A$2:$A$755,"US_CPI",Release_Calendar!$B$2:$B$755,$A4632)&gt;0,1,0)</f>
        <v>0</v>
      </c>
      <c r="L4632" s="16">
        <f>IF(COUNTIFS(Release_Calendar!$A$2:$A$755,"US_NFP",Release_Calendar!$B$2:$B$755,$A4632)&gt;0,1,0)</f>
        <v>0</v>
      </c>
      <c r="M4632" s="16">
        <f>IF($A4632&lt;Notes!$B$5,"",IF(COUNTIFS(Release_Calendar!$A$2:$A$755,"NZ_CPI",Release_Calendar!$B$2:$B$755,$A4632)&gt;0,1,0))</f>
        <v>0</v>
      </c>
      <c r="N4632" s="16">
        <f>IF($A4632&lt;Notes!$B$5,"",IF(COUNTIFS(Release_Calendar!$A$2:$A$755,"NZ_GDP",Release_Calendar!$B$2:$B$755,$A4632)&gt;0,1,0))</f>
        <v>0</v>
      </c>
      <c r="O4632" s="16">
        <f>IF($A4632&lt;Notes!$B$5,"",IF(COUNTIFS(Release_Calendar!$A$2:$A$755,"NZ_LABOUR",Release_Calendar!$B$2:$B$755,$A4632)&gt;0,1,0))</f>
        <v>0</v>
      </c>
      <c r="P4632" s="16">
        <f t="shared" si="4"/>
        <v>0</v>
      </c>
    </row>
    <row r="4633" ht="15.75" customHeight="1">
      <c r="A4633" s="14">
        <v>43011.0</v>
      </c>
      <c r="B4633" s="15">
        <v>1.47</v>
      </c>
      <c r="C4633" s="15">
        <v>2.21</v>
      </c>
      <c r="D4633" s="15">
        <v>2.09</v>
      </c>
      <c r="E4633" s="15">
        <v>2.09</v>
      </c>
      <c r="F4633" s="15">
        <f t="shared" si="1"/>
        <v>0.74</v>
      </c>
      <c r="G4633" s="15">
        <f t="shared" si="2"/>
        <v>2.21</v>
      </c>
      <c r="H4633" s="16">
        <v>0.0</v>
      </c>
      <c r="I4633" s="15">
        <f t="shared" si="3"/>
        <v>0.74</v>
      </c>
      <c r="J4633" s="15">
        <v>9.51</v>
      </c>
      <c r="K4633" s="16">
        <f>IF(COUNTIFS(Release_Calendar!$A$2:$A$755,"US_CPI",Release_Calendar!$B$2:$B$755,$A4633)&gt;0,1,0)</f>
        <v>0</v>
      </c>
      <c r="L4633" s="16">
        <f>IF(COUNTIFS(Release_Calendar!$A$2:$A$755,"US_NFP",Release_Calendar!$B$2:$B$755,$A4633)&gt;0,1,0)</f>
        <v>0</v>
      </c>
      <c r="M4633" s="16">
        <f>IF($A4633&lt;Notes!$B$5,"",IF(COUNTIFS(Release_Calendar!$A$2:$A$755,"NZ_CPI",Release_Calendar!$B$2:$B$755,$A4633)&gt;0,1,0))</f>
        <v>0</v>
      </c>
      <c r="N4633" s="16">
        <f>IF($A4633&lt;Notes!$B$5,"",IF(COUNTIFS(Release_Calendar!$A$2:$A$755,"NZ_GDP",Release_Calendar!$B$2:$B$755,$A4633)&gt;0,1,0))</f>
        <v>0</v>
      </c>
      <c r="O4633" s="16">
        <f>IF($A4633&lt;Notes!$B$5,"",IF(COUNTIFS(Release_Calendar!$A$2:$A$755,"NZ_LABOUR",Release_Calendar!$B$2:$B$755,$A4633)&gt;0,1,0))</f>
        <v>0</v>
      </c>
      <c r="P4633" s="16">
        <f t="shared" si="4"/>
        <v>0</v>
      </c>
    </row>
    <row r="4634" ht="15.75" customHeight="1">
      <c r="A4634" s="14">
        <v>43012.0</v>
      </c>
      <c r="B4634" s="15">
        <v>1.47</v>
      </c>
      <c r="C4634" s="15">
        <v>2.2</v>
      </c>
      <c r="D4634" s="15">
        <v>2.08</v>
      </c>
      <c r="E4634" s="15">
        <v>2.08</v>
      </c>
      <c r="F4634" s="15">
        <f t="shared" si="1"/>
        <v>0.73</v>
      </c>
      <c r="G4634" s="15">
        <f t="shared" si="2"/>
        <v>2.2</v>
      </c>
      <c r="H4634" s="16">
        <v>0.0</v>
      </c>
      <c r="I4634" s="15">
        <f t="shared" si="3"/>
        <v>0.73</v>
      </c>
      <c r="J4634" s="15">
        <v>9.63</v>
      </c>
      <c r="K4634" s="16">
        <f>IF(COUNTIFS(Release_Calendar!$A$2:$A$755,"US_CPI",Release_Calendar!$B$2:$B$755,$A4634)&gt;0,1,0)</f>
        <v>0</v>
      </c>
      <c r="L4634" s="16">
        <f>IF(COUNTIFS(Release_Calendar!$A$2:$A$755,"US_NFP",Release_Calendar!$B$2:$B$755,$A4634)&gt;0,1,0)</f>
        <v>0</v>
      </c>
      <c r="M4634" s="16">
        <f>IF($A4634&lt;Notes!$B$5,"",IF(COUNTIFS(Release_Calendar!$A$2:$A$755,"NZ_CPI",Release_Calendar!$B$2:$B$755,$A4634)&gt;0,1,0))</f>
        <v>0</v>
      </c>
      <c r="N4634" s="16">
        <f>IF($A4634&lt;Notes!$B$5,"",IF(COUNTIFS(Release_Calendar!$A$2:$A$755,"NZ_GDP",Release_Calendar!$B$2:$B$755,$A4634)&gt;0,1,0))</f>
        <v>0</v>
      </c>
      <c r="O4634" s="16">
        <f>IF($A4634&lt;Notes!$B$5,"",IF(COUNTIFS(Release_Calendar!$A$2:$A$755,"NZ_LABOUR",Release_Calendar!$B$2:$B$755,$A4634)&gt;0,1,0))</f>
        <v>0</v>
      </c>
      <c r="P4634" s="16">
        <f t="shared" si="4"/>
        <v>0</v>
      </c>
    </row>
    <row r="4635" ht="15.75" customHeight="1">
      <c r="A4635" s="14">
        <v>43013.0</v>
      </c>
      <c r="B4635" s="15">
        <v>1.49</v>
      </c>
      <c r="C4635" s="15">
        <v>2.19</v>
      </c>
      <c r="D4635" s="15">
        <v>2.08</v>
      </c>
      <c r="E4635" s="15">
        <v>2.07</v>
      </c>
      <c r="F4635" s="15">
        <f t="shared" si="1"/>
        <v>0.7</v>
      </c>
      <c r="G4635" s="15">
        <f t="shared" si="2"/>
        <v>2.19</v>
      </c>
      <c r="H4635" s="16">
        <v>0.0</v>
      </c>
      <c r="I4635" s="15">
        <f t="shared" si="3"/>
        <v>0.7</v>
      </c>
      <c r="J4635" s="15">
        <v>9.19</v>
      </c>
      <c r="K4635" s="16">
        <f>IF(COUNTIFS(Release_Calendar!$A$2:$A$755,"US_CPI",Release_Calendar!$B$2:$B$755,$A4635)&gt;0,1,0)</f>
        <v>0</v>
      </c>
      <c r="L4635" s="16">
        <f>IF(COUNTIFS(Release_Calendar!$A$2:$A$755,"US_NFP",Release_Calendar!$B$2:$B$755,$A4635)&gt;0,1,0)</f>
        <v>0</v>
      </c>
      <c r="M4635" s="16">
        <f>IF($A4635&lt;Notes!$B$5,"",IF(COUNTIFS(Release_Calendar!$A$2:$A$755,"NZ_CPI",Release_Calendar!$B$2:$B$755,$A4635)&gt;0,1,0))</f>
        <v>0</v>
      </c>
      <c r="N4635" s="16">
        <f>IF($A4635&lt;Notes!$B$5,"",IF(COUNTIFS(Release_Calendar!$A$2:$A$755,"NZ_GDP",Release_Calendar!$B$2:$B$755,$A4635)&gt;0,1,0))</f>
        <v>0</v>
      </c>
      <c r="O4635" s="16">
        <f>IF($A4635&lt;Notes!$B$5,"",IF(COUNTIFS(Release_Calendar!$A$2:$A$755,"NZ_LABOUR",Release_Calendar!$B$2:$B$755,$A4635)&gt;0,1,0))</f>
        <v>0</v>
      </c>
      <c r="P4635" s="16">
        <f t="shared" si="4"/>
        <v>0</v>
      </c>
    </row>
    <row r="4636" ht="15.75" customHeight="1">
      <c r="A4636" s="14">
        <v>43014.0</v>
      </c>
      <c r="B4636" s="15">
        <v>1.54</v>
      </c>
      <c r="C4636" s="15">
        <v>2.21</v>
      </c>
      <c r="D4636" s="15">
        <v>2.08</v>
      </c>
      <c r="E4636" s="15">
        <v>2.07</v>
      </c>
      <c r="F4636" s="15">
        <f t="shared" si="1"/>
        <v>0.67</v>
      </c>
      <c r="G4636" s="15">
        <f t="shared" si="2"/>
        <v>2.21</v>
      </c>
      <c r="H4636" s="16">
        <v>0.0</v>
      </c>
      <c r="I4636" s="15">
        <f t="shared" si="3"/>
        <v>0.67</v>
      </c>
      <c r="J4636" s="15">
        <v>9.65</v>
      </c>
      <c r="K4636" s="16">
        <f>IF(COUNTIFS(Release_Calendar!$A$2:$A$755,"US_CPI",Release_Calendar!$B$2:$B$755,$A4636)&gt;0,1,0)</f>
        <v>0</v>
      </c>
      <c r="L4636" s="16">
        <f>IF(COUNTIFS(Release_Calendar!$A$2:$A$755,"US_NFP",Release_Calendar!$B$2:$B$755,$A4636)&gt;0,1,0)</f>
        <v>1</v>
      </c>
      <c r="M4636" s="16">
        <f>IF($A4636&lt;Notes!$B$5,"",IF(COUNTIFS(Release_Calendar!$A$2:$A$755,"NZ_CPI",Release_Calendar!$B$2:$B$755,$A4636)&gt;0,1,0))</f>
        <v>0</v>
      </c>
      <c r="N4636" s="16">
        <f>IF($A4636&lt;Notes!$B$5,"",IF(COUNTIFS(Release_Calendar!$A$2:$A$755,"NZ_GDP",Release_Calendar!$B$2:$B$755,$A4636)&gt;0,1,0))</f>
        <v>0</v>
      </c>
      <c r="O4636" s="16">
        <f>IF($A4636&lt;Notes!$B$5,"",IF(COUNTIFS(Release_Calendar!$A$2:$A$755,"NZ_LABOUR",Release_Calendar!$B$2:$B$755,$A4636)&gt;0,1,0))</f>
        <v>0</v>
      </c>
      <c r="P4636" s="16">
        <f t="shared" si="4"/>
        <v>1</v>
      </c>
    </row>
    <row r="4637" ht="15.75" customHeight="1">
      <c r="A4637" s="14">
        <v>43017.0</v>
      </c>
      <c r="B4637" s="15"/>
      <c r="C4637" s="15">
        <v>2.21</v>
      </c>
      <c r="D4637" s="15">
        <v>2.09</v>
      </c>
      <c r="E4637" s="15">
        <v>2.1</v>
      </c>
      <c r="F4637" s="15" t="str">
        <f t="shared" si="1"/>
        <v/>
      </c>
      <c r="G4637" s="15">
        <f t="shared" si="2"/>
        <v>2.21</v>
      </c>
      <c r="H4637" s="16">
        <v>0.0</v>
      </c>
      <c r="I4637" s="15" t="str">
        <f t="shared" si="3"/>
        <v/>
      </c>
      <c r="J4637" s="15">
        <v>10.33</v>
      </c>
      <c r="K4637" s="16">
        <f>IF(COUNTIFS(Release_Calendar!$A$2:$A$755,"US_CPI",Release_Calendar!$B$2:$B$755,$A4637)&gt;0,1,0)</f>
        <v>0</v>
      </c>
      <c r="L4637" s="16">
        <f>IF(COUNTIFS(Release_Calendar!$A$2:$A$755,"US_NFP",Release_Calendar!$B$2:$B$755,$A4637)&gt;0,1,0)</f>
        <v>0</v>
      </c>
      <c r="M4637" s="16">
        <f>IF($A4637&lt;Notes!$B$5,"",IF(COUNTIFS(Release_Calendar!$A$2:$A$755,"NZ_CPI",Release_Calendar!$B$2:$B$755,$A4637)&gt;0,1,0))</f>
        <v>0</v>
      </c>
      <c r="N4637" s="16">
        <f>IF($A4637&lt;Notes!$B$5,"",IF(COUNTIFS(Release_Calendar!$A$2:$A$755,"NZ_GDP",Release_Calendar!$B$2:$B$755,$A4637)&gt;0,1,0))</f>
        <v>0</v>
      </c>
      <c r="O4637" s="16">
        <f>IF($A4637&lt;Notes!$B$5,"",IF(COUNTIFS(Release_Calendar!$A$2:$A$755,"NZ_LABOUR",Release_Calendar!$B$2:$B$755,$A4637)&gt;0,1,0))</f>
        <v>0</v>
      </c>
      <c r="P4637" s="16">
        <f t="shared" si="4"/>
        <v>0</v>
      </c>
    </row>
    <row r="4638" ht="15.75" customHeight="1">
      <c r="A4638" s="14">
        <v>43018.0</v>
      </c>
      <c r="B4638" s="15">
        <v>1.51</v>
      </c>
      <c r="C4638" s="15">
        <v>2.21</v>
      </c>
      <c r="D4638" s="15">
        <v>2.1</v>
      </c>
      <c r="E4638" s="15">
        <v>2.1</v>
      </c>
      <c r="F4638" s="15">
        <f t="shared" si="1"/>
        <v>0.7</v>
      </c>
      <c r="G4638" s="15">
        <f t="shared" si="2"/>
        <v>2.21</v>
      </c>
      <c r="H4638" s="16">
        <v>0.0</v>
      </c>
      <c r="I4638" s="15">
        <f t="shared" si="3"/>
        <v>0.7</v>
      </c>
      <c r="J4638" s="15">
        <v>10.08</v>
      </c>
      <c r="K4638" s="16">
        <f>IF(COUNTIFS(Release_Calendar!$A$2:$A$755,"US_CPI",Release_Calendar!$B$2:$B$755,$A4638)&gt;0,1,0)</f>
        <v>0</v>
      </c>
      <c r="L4638" s="16">
        <f>IF(COUNTIFS(Release_Calendar!$A$2:$A$755,"US_NFP",Release_Calendar!$B$2:$B$755,$A4638)&gt;0,1,0)</f>
        <v>0</v>
      </c>
      <c r="M4638" s="16">
        <f>IF($A4638&lt;Notes!$B$5,"",IF(COUNTIFS(Release_Calendar!$A$2:$A$755,"NZ_CPI",Release_Calendar!$B$2:$B$755,$A4638)&gt;0,1,0))</f>
        <v>0</v>
      </c>
      <c r="N4638" s="16">
        <f>IF($A4638&lt;Notes!$B$5,"",IF(COUNTIFS(Release_Calendar!$A$2:$A$755,"NZ_GDP",Release_Calendar!$B$2:$B$755,$A4638)&gt;0,1,0))</f>
        <v>0</v>
      </c>
      <c r="O4638" s="16">
        <f>IF($A4638&lt;Notes!$B$5,"",IF(COUNTIFS(Release_Calendar!$A$2:$A$755,"NZ_LABOUR",Release_Calendar!$B$2:$B$755,$A4638)&gt;0,1,0))</f>
        <v>0</v>
      </c>
      <c r="P4638" s="16">
        <f t="shared" si="4"/>
        <v>0</v>
      </c>
    </row>
    <row r="4639" ht="15.75" customHeight="1">
      <c r="A4639" s="14">
        <v>43019.0</v>
      </c>
      <c r="B4639" s="15">
        <v>1.51</v>
      </c>
      <c r="C4639" s="15">
        <v>2.2</v>
      </c>
      <c r="D4639" s="15">
        <v>2.09</v>
      </c>
      <c r="E4639" s="15">
        <v>2.08</v>
      </c>
      <c r="F4639" s="15">
        <f t="shared" si="1"/>
        <v>0.69</v>
      </c>
      <c r="G4639" s="15">
        <f t="shared" si="2"/>
        <v>2.2</v>
      </c>
      <c r="H4639" s="16">
        <v>0.0</v>
      </c>
      <c r="I4639" s="15">
        <f t="shared" si="3"/>
        <v>0.69</v>
      </c>
      <c r="J4639" s="15">
        <v>9.85</v>
      </c>
      <c r="K4639" s="16">
        <f>IF(COUNTIFS(Release_Calendar!$A$2:$A$755,"US_CPI",Release_Calendar!$B$2:$B$755,$A4639)&gt;0,1,0)</f>
        <v>0</v>
      </c>
      <c r="L4639" s="16">
        <f>IF(COUNTIFS(Release_Calendar!$A$2:$A$755,"US_NFP",Release_Calendar!$B$2:$B$755,$A4639)&gt;0,1,0)</f>
        <v>0</v>
      </c>
      <c r="M4639" s="16">
        <f>IF($A4639&lt;Notes!$B$5,"",IF(COUNTIFS(Release_Calendar!$A$2:$A$755,"NZ_CPI",Release_Calendar!$B$2:$B$755,$A4639)&gt;0,1,0))</f>
        <v>0</v>
      </c>
      <c r="N4639" s="16">
        <f>IF($A4639&lt;Notes!$B$5,"",IF(COUNTIFS(Release_Calendar!$A$2:$A$755,"NZ_GDP",Release_Calendar!$B$2:$B$755,$A4639)&gt;0,1,0))</f>
        <v>0</v>
      </c>
      <c r="O4639" s="16">
        <f>IF($A4639&lt;Notes!$B$5,"",IF(COUNTIFS(Release_Calendar!$A$2:$A$755,"NZ_LABOUR",Release_Calendar!$B$2:$B$755,$A4639)&gt;0,1,0))</f>
        <v>0</v>
      </c>
      <c r="P4639" s="16">
        <f t="shared" si="4"/>
        <v>0</v>
      </c>
    </row>
    <row r="4640" ht="15.75" customHeight="1">
      <c r="A4640" s="14">
        <v>43020.0</v>
      </c>
      <c r="B4640" s="15">
        <v>1.51</v>
      </c>
      <c r="C4640" s="15">
        <v>2.19</v>
      </c>
      <c r="D4640" s="15">
        <v>2.07</v>
      </c>
      <c r="E4640" s="15">
        <v>2.07</v>
      </c>
      <c r="F4640" s="15">
        <f t="shared" si="1"/>
        <v>0.68</v>
      </c>
      <c r="G4640" s="15">
        <f t="shared" si="2"/>
        <v>2.19</v>
      </c>
      <c r="H4640" s="16">
        <v>0.0</v>
      </c>
      <c r="I4640" s="15">
        <f t="shared" si="3"/>
        <v>0.68</v>
      </c>
      <c r="J4640" s="15">
        <v>9.91</v>
      </c>
      <c r="K4640" s="16">
        <f>IF(COUNTIFS(Release_Calendar!$A$2:$A$755,"US_CPI",Release_Calendar!$B$2:$B$755,$A4640)&gt;0,1,0)</f>
        <v>0</v>
      </c>
      <c r="L4640" s="16">
        <f>IF(COUNTIFS(Release_Calendar!$A$2:$A$755,"US_NFP",Release_Calendar!$B$2:$B$755,$A4640)&gt;0,1,0)</f>
        <v>0</v>
      </c>
      <c r="M4640" s="16">
        <f>IF($A4640&lt;Notes!$B$5,"",IF(COUNTIFS(Release_Calendar!$A$2:$A$755,"NZ_CPI",Release_Calendar!$B$2:$B$755,$A4640)&gt;0,1,0))</f>
        <v>0</v>
      </c>
      <c r="N4640" s="16">
        <f>IF($A4640&lt;Notes!$B$5,"",IF(COUNTIFS(Release_Calendar!$A$2:$A$755,"NZ_GDP",Release_Calendar!$B$2:$B$755,$A4640)&gt;0,1,0))</f>
        <v>0</v>
      </c>
      <c r="O4640" s="16">
        <f>IF($A4640&lt;Notes!$B$5,"",IF(COUNTIFS(Release_Calendar!$A$2:$A$755,"NZ_LABOUR",Release_Calendar!$B$2:$B$755,$A4640)&gt;0,1,0))</f>
        <v>0</v>
      </c>
      <c r="P4640" s="16">
        <f t="shared" si="4"/>
        <v>0</v>
      </c>
    </row>
    <row r="4641" ht="15.75" customHeight="1">
      <c r="A4641" s="14">
        <v>43021.0</v>
      </c>
      <c r="B4641" s="15">
        <v>1.51</v>
      </c>
      <c r="C4641" s="15">
        <v>2.19</v>
      </c>
      <c r="D4641" s="15">
        <v>2.06</v>
      </c>
      <c r="E4641" s="15">
        <v>2.06</v>
      </c>
      <c r="F4641" s="15">
        <f t="shared" si="1"/>
        <v>0.68</v>
      </c>
      <c r="G4641" s="15">
        <f t="shared" si="2"/>
        <v>2.19</v>
      </c>
      <c r="H4641" s="16">
        <v>0.0</v>
      </c>
      <c r="I4641" s="15">
        <f t="shared" si="3"/>
        <v>0.68</v>
      </c>
      <c r="J4641" s="15">
        <v>9.61</v>
      </c>
      <c r="K4641" s="16">
        <f>IF(COUNTIFS(Release_Calendar!$A$2:$A$755,"US_CPI",Release_Calendar!$B$2:$B$755,$A4641)&gt;0,1,0)</f>
        <v>1</v>
      </c>
      <c r="L4641" s="16">
        <f>IF(COUNTIFS(Release_Calendar!$A$2:$A$755,"US_NFP",Release_Calendar!$B$2:$B$755,$A4641)&gt;0,1,0)</f>
        <v>0</v>
      </c>
      <c r="M4641" s="16">
        <f>IF($A4641&lt;Notes!$B$5,"",IF(COUNTIFS(Release_Calendar!$A$2:$A$755,"NZ_CPI",Release_Calendar!$B$2:$B$755,$A4641)&gt;0,1,0))</f>
        <v>0</v>
      </c>
      <c r="N4641" s="16">
        <f>IF($A4641&lt;Notes!$B$5,"",IF(COUNTIFS(Release_Calendar!$A$2:$A$755,"NZ_GDP",Release_Calendar!$B$2:$B$755,$A4641)&gt;0,1,0))</f>
        <v>0</v>
      </c>
      <c r="O4641" s="16">
        <f>IF($A4641&lt;Notes!$B$5,"",IF(COUNTIFS(Release_Calendar!$A$2:$A$755,"NZ_LABOUR",Release_Calendar!$B$2:$B$755,$A4641)&gt;0,1,0))</f>
        <v>0</v>
      </c>
      <c r="P4641" s="16">
        <f t="shared" si="4"/>
        <v>1</v>
      </c>
    </row>
    <row r="4642" ht="15.75" customHeight="1">
      <c r="A4642" s="14">
        <v>43024.0</v>
      </c>
      <c r="B4642" s="15">
        <v>1.54</v>
      </c>
      <c r="C4642" s="15">
        <v>2.19</v>
      </c>
      <c r="D4642" s="15">
        <v>2.05</v>
      </c>
      <c r="E4642" s="15">
        <v>2.04</v>
      </c>
      <c r="F4642" s="15">
        <f t="shared" si="1"/>
        <v>0.65</v>
      </c>
      <c r="G4642" s="15">
        <f t="shared" si="2"/>
        <v>2.19</v>
      </c>
      <c r="H4642" s="16">
        <v>0.0</v>
      </c>
      <c r="I4642" s="15">
        <f t="shared" si="3"/>
        <v>0.65</v>
      </c>
      <c r="J4642" s="15">
        <v>9.91</v>
      </c>
      <c r="K4642" s="16">
        <f>IF(COUNTIFS(Release_Calendar!$A$2:$A$755,"US_CPI",Release_Calendar!$B$2:$B$755,$A4642)&gt;0,1,0)</f>
        <v>0</v>
      </c>
      <c r="L4642" s="16">
        <f>IF(COUNTIFS(Release_Calendar!$A$2:$A$755,"US_NFP",Release_Calendar!$B$2:$B$755,$A4642)&gt;0,1,0)</f>
        <v>0</v>
      </c>
      <c r="M4642" s="16">
        <f>IF($A4642&lt;Notes!$B$5,"",IF(COUNTIFS(Release_Calendar!$A$2:$A$755,"NZ_CPI",Release_Calendar!$B$2:$B$755,$A4642)&gt;0,1,0))</f>
        <v>0</v>
      </c>
      <c r="N4642" s="16">
        <f>IF($A4642&lt;Notes!$B$5,"",IF(COUNTIFS(Release_Calendar!$A$2:$A$755,"NZ_GDP",Release_Calendar!$B$2:$B$755,$A4642)&gt;0,1,0))</f>
        <v>0</v>
      </c>
      <c r="O4642" s="16">
        <f>IF($A4642&lt;Notes!$B$5,"",IF(COUNTIFS(Release_Calendar!$A$2:$A$755,"NZ_LABOUR",Release_Calendar!$B$2:$B$755,$A4642)&gt;0,1,0))</f>
        <v>0</v>
      </c>
      <c r="P4642" s="16">
        <f t="shared" si="4"/>
        <v>0</v>
      </c>
    </row>
    <row r="4643" ht="15.75" customHeight="1">
      <c r="A4643" s="14">
        <v>43025.0</v>
      </c>
      <c r="B4643" s="15">
        <v>1.54</v>
      </c>
      <c r="C4643" s="15">
        <v>2.19</v>
      </c>
      <c r="D4643" s="15">
        <v>2.06</v>
      </c>
      <c r="E4643" s="15">
        <v>2.06</v>
      </c>
      <c r="F4643" s="15">
        <f t="shared" si="1"/>
        <v>0.65</v>
      </c>
      <c r="G4643" s="15">
        <f t="shared" si="2"/>
        <v>2.19</v>
      </c>
      <c r="H4643" s="16">
        <v>0.0</v>
      </c>
      <c r="I4643" s="15">
        <f t="shared" si="3"/>
        <v>0.65</v>
      </c>
      <c r="J4643" s="15">
        <v>10.31</v>
      </c>
      <c r="K4643" s="16">
        <f>IF(COUNTIFS(Release_Calendar!$A$2:$A$755,"US_CPI",Release_Calendar!$B$2:$B$755,$A4643)&gt;0,1,0)</f>
        <v>0</v>
      </c>
      <c r="L4643" s="16">
        <f>IF(COUNTIFS(Release_Calendar!$A$2:$A$755,"US_NFP",Release_Calendar!$B$2:$B$755,$A4643)&gt;0,1,0)</f>
        <v>0</v>
      </c>
      <c r="M4643" s="16">
        <f>IF($A4643&lt;Notes!$B$5,"",IF(COUNTIFS(Release_Calendar!$A$2:$A$755,"NZ_CPI",Release_Calendar!$B$2:$B$755,$A4643)&gt;0,1,0))</f>
        <v>1</v>
      </c>
      <c r="N4643" s="16">
        <f>IF($A4643&lt;Notes!$B$5,"",IF(COUNTIFS(Release_Calendar!$A$2:$A$755,"NZ_GDP",Release_Calendar!$B$2:$B$755,$A4643)&gt;0,1,0))</f>
        <v>0</v>
      </c>
      <c r="O4643" s="16">
        <f>IF($A4643&lt;Notes!$B$5,"",IF(COUNTIFS(Release_Calendar!$A$2:$A$755,"NZ_LABOUR",Release_Calendar!$B$2:$B$755,$A4643)&gt;0,1,0))</f>
        <v>0</v>
      </c>
      <c r="P4643" s="16">
        <f t="shared" si="4"/>
        <v>1</v>
      </c>
    </row>
    <row r="4644" ht="15.75" customHeight="1">
      <c r="A4644" s="14">
        <v>43026.0</v>
      </c>
      <c r="B4644" s="15">
        <v>1.59</v>
      </c>
      <c r="C4644" s="15">
        <v>2.19</v>
      </c>
      <c r="D4644" s="15">
        <v>2.05</v>
      </c>
      <c r="E4644" s="15">
        <v>2.05</v>
      </c>
      <c r="F4644" s="15">
        <f t="shared" si="1"/>
        <v>0.6</v>
      </c>
      <c r="G4644" s="15">
        <f t="shared" si="2"/>
        <v>2.19</v>
      </c>
      <c r="H4644" s="16">
        <v>0.0</v>
      </c>
      <c r="I4644" s="15">
        <f t="shared" si="3"/>
        <v>0.6</v>
      </c>
      <c r="J4644" s="15">
        <v>10.07</v>
      </c>
      <c r="K4644" s="16">
        <f>IF(COUNTIFS(Release_Calendar!$A$2:$A$755,"US_CPI",Release_Calendar!$B$2:$B$755,$A4644)&gt;0,1,0)</f>
        <v>0</v>
      </c>
      <c r="L4644" s="16">
        <f>IF(COUNTIFS(Release_Calendar!$A$2:$A$755,"US_NFP",Release_Calendar!$B$2:$B$755,$A4644)&gt;0,1,0)</f>
        <v>0</v>
      </c>
      <c r="M4644" s="16">
        <f>IF($A4644&lt;Notes!$B$5,"",IF(COUNTIFS(Release_Calendar!$A$2:$A$755,"NZ_CPI",Release_Calendar!$B$2:$B$755,$A4644)&gt;0,1,0))</f>
        <v>0</v>
      </c>
      <c r="N4644" s="16">
        <f>IF($A4644&lt;Notes!$B$5,"",IF(COUNTIFS(Release_Calendar!$A$2:$A$755,"NZ_GDP",Release_Calendar!$B$2:$B$755,$A4644)&gt;0,1,0))</f>
        <v>0</v>
      </c>
      <c r="O4644" s="16">
        <f>IF($A4644&lt;Notes!$B$5,"",IF(COUNTIFS(Release_Calendar!$A$2:$A$755,"NZ_LABOUR",Release_Calendar!$B$2:$B$755,$A4644)&gt;0,1,0))</f>
        <v>0</v>
      </c>
      <c r="P4644" s="16">
        <f t="shared" si="4"/>
        <v>0</v>
      </c>
    </row>
    <row r="4645" ht="15.75" customHeight="1">
      <c r="A4645" s="14">
        <v>43027.0</v>
      </c>
      <c r="B4645" s="15">
        <v>1.58</v>
      </c>
      <c r="C4645" s="15">
        <v>2.2</v>
      </c>
      <c r="D4645" s="15">
        <v>2.06</v>
      </c>
      <c r="E4645" s="15">
        <v>2.07</v>
      </c>
      <c r="F4645" s="15">
        <f t="shared" si="1"/>
        <v>0.62</v>
      </c>
      <c r="G4645" s="15">
        <f t="shared" si="2"/>
        <v>2.2</v>
      </c>
      <c r="H4645" s="16">
        <v>0.0</v>
      </c>
      <c r="I4645" s="15">
        <f t="shared" si="3"/>
        <v>0.62</v>
      </c>
      <c r="J4645" s="15">
        <v>10.05</v>
      </c>
      <c r="K4645" s="16">
        <f>IF(COUNTIFS(Release_Calendar!$A$2:$A$755,"US_CPI",Release_Calendar!$B$2:$B$755,$A4645)&gt;0,1,0)</f>
        <v>0</v>
      </c>
      <c r="L4645" s="16">
        <f>IF(COUNTIFS(Release_Calendar!$A$2:$A$755,"US_NFP",Release_Calendar!$B$2:$B$755,$A4645)&gt;0,1,0)</f>
        <v>0</v>
      </c>
      <c r="M4645" s="16">
        <f>IF($A4645&lt;Notes!$B$5,"",IF(COUNTIFS(Release_Calendar!$A$2:$A$755,"NZ_CPI",Release_Calendar!$B$2:$B$755,$A4645)&gt;0,1,0))</f>
        <v>0</v>
      </c>
      <c r="N4645" s="16">
        <f>IF($A4645&lt;Notes!$B$5,"",IF(COUNTIFS(Release_Calendar!$A$2:$A$755,"NZ_GDP",Release_Calendar!$B$2:$B$755,$A4645)&gt;0,1,0))</f>
        <v>0</v>
      </c>
      <c r="O4645" s="16">
        <f>IF($A4645&lt;Notes!$B$5,"",IF(COUNTIFS(Release_Calendar!$A$2:$A$755,"NZ_LABOUR",Release_Calendar!$B$2:$B$755,$A4645)&gt;0,1,0))</f>
        <v>0</v>
      </c>
      <c r="P4645" s="16">
        <f t="shared" si="4"/>
        <v>0</v>
      </c>
    </row>
    <row r="4646" ht="15.75" customHeight="1">
      <c r="A4646" s="14">
        <v>43028.0</v>
      </c>
      <c r="B4646" s="15">
        <v>1.6</v>
      </c>
      <c r="C4646" s="15">
        <v>2.17</v>
      </c>
      <c r="D4646" s="15">
        <v>2.03</v>
      </c>
      <c r="E4646" s="15">
        <v>2.04</v>
      </c>
      <c r="F4646" s="15">
        <f t="shared" si="1"/>
        <v>0.57</v>
      </c>
      <c r="G4646" s="15">
        <f t="shared" si="2"/>
        <v>2.17</v>
      </c>
      <c r="H4646" s="16">
        <v>0.0</v>
      </c>
      <c r="I4646" s="15">
        <f t="shared" si="3"/>
        <v>0.57</v>
      </c>
      <c r="J4646" s="15">
        <v>9.97</v>
      </c>
      <c r="K4646" s="16">
        <f>IF(COUNTIFS(Release_Calendar!$A$2:$A$755,"US_CPI",Release_Calendar!$B$2:$B$755,$A4646)&gt;0,1,0)</f>
        <v>0</v>
      </c>
      <c r="L4646" s="16">
        <f>IF(COUNTIFS(Release_Calendar!$A$2:$A$755,"US_NFP",Release_Calendar!$B$2:$B$755,$A4646)&gt;0,1,0)</f>
        <v>0</v>
      </c>
      <c r="M4646" s="16">
        <f>IF($A4646&lt;Notes!$B$5,"",IF(COUNTIFS(Release_Calendar!$A$2:$A$755,"NZ_CPI",Release_Calendar!$B$2:$B$755,$A4646)&gt;0,1,0))</f>
        <v>0</v>
      </c>
      <c r="N4646" s="16">
        <f>IF($A4646&lt;Notes!$B$5,"",IF(COUNTIFS(Release_Calendar!$A$2:$A$755,"NZ_GDP",Release_Calendar!$B$2:$B$755,$A4646)&gt;0,1,0))</f>
        <v>0</v>
      </c>
      <c r="O4646" s="16">
        <f>IF($A4646&lt;Notes!$B$5,"",IF(COUNTIFS(Release_Calendar!$A$2:$A$755,"NZ_LABOUR",Release_Calendar!$B$2:$B$755,$A4646)&gt;0,1,0))</f>
        <v>0</v>
      </c>
      <c r="P4646" s="16">
        <f t="shared" si="4"/>
        <v>0</v>
      </c>
    </row>
    <row r="4647" ht="15.75" customHeight="1">
      <c r="A4647" s="14">
        <v>43031.0</v>
      </c>
      <c r="B4647" s="15">
        <v>1.58</v>
      </c>
      <c r="C4647" s="15"/>
      <c r="D4647" s="15"/>
      <c r="E4647" s="15"/>
      <c r="F4647" s="15" t="str">
        <f t="shared" si="1"/>
        <v/>
      </c>
      <c r="G4647" s="15" t="str">
        <f t="shared" si="2"/>
        <v/>
      </c>
      <c r="H4647" s="16">
        <v>0.0</v>
      </c>
      <c r="I4647" s="15" t="str">
        <f t="shared" si="3"/>
        <v/>
      </c>
      <c r="J4647" s="15">
        <v>11.07</v>
      </c>
      <c r="K4647" s="16">
        <f>IF(COUNTIFS(Release_Calendar!$A$2:$A$755,"US_CPI",Release_Calendar!$B$2:$B$755,$A4647)&gt;0,1,0)</f>
        <v>0</v>
      </c>
      <c r="L4647" s="16">
        <f>IF(COUNTIFS(Release_Calendar!$A$2:$A$755,"US_NFP",Release_Calendar!$B$2:$B$755,$A4647)&gt;0,1,0)</f>
        <v>0</v>
      </c>
      <c r="M4647" s="16">
        <f>IF($A4647&lt;Notes!$B$5,"",IF(COUNTIFS(Release_Calendar!$A$2:$A$755,"NZ_CPI",Release_Calendar!$B$2:$B$755,$A4647)&gt;0,1,0))</f>
        <v>0</v>
      </c>
      <c r="N4647" s="16">
        <f>IF($A4647&lt;Notes!$B$5,"",IF(COUNTIFS(Release_Calendar!$A$2:$A$755,"NZ_GDP",Release_Calendar!$B$2:$B$755,$A4647)&gt;0,1,0))</f>
        <v>0</v>
      </c>
      <c r="O4647" s="16">
        <f>IF($A4647&lt;Notes!$B$5,"",IF(COUNTIFS(Release_Calendar!$A$2:$A$755,"NZ_LABOUR",Release_Calendar!$B$2:$B$755,$A4647)&gt;0,1,0))</f>
        <v>0</v>
      </c>
      <c r="P4647" s="16">
        <f t="shared" si="4"/>
        <v>0</v>
      </c>
    </row>
    <row r="4648" ht="15.75" customHeight="1">
      <c r="A4648" s="14">
        <v>43032.0</v>
      </c>
      <c r="B4648" s="15">
        <v>1.6</v>
      </c>
      <c r="C4648" s="15">
        <v>2.16</v>
      </c>
      <c r="D4648" s="15">
        <v>2.04</v>
      </c>
      <c r="E4648" s="15">
        <v>2.03</v>
      </c>
      <c r="F4648" s="15">
        <f t="shared" si="1"/>
        <v>0.56</v>
      </c>
      <c r="G4648" s="15">
        <f t="shared" si="2"/>
        <v>2.16</v>
      </c>
      <c r="H4648" s="16">
        <v>0.0</v>
      </c>
      <c r="I4648" s="15">
        <f t="shared" si="3"/>
        <v>0.56</v>
      </c>
      <c r="J4648" s="15">
        <v>11.16</v>
      </c>
      <c r="K4648" s="16">
        <f>IF(COUNTIFS(Release_Calendar!$A$2:$A$755,"US_CPI",Release_Calendar!$B$2:$B$755,$A4648)&gt;0,1,0)</f>
        <v>0</v>
      </c>
      <c r="L4648" s="16">
        <f>IF(COUNTIFS(Release_Calendar!$A$2:$A$755,"US_NFP",Release_Calendar!$B$2:$B$755,$A4648)&gt;0,1,0)</f>
        <v>0</v>
      </c>
      <c r="M4648" s="16">
        <f>IF($A4648&lt;Notes!$B$5,"",IF(COUNTIFS(Release_Calendar!$A$2:$A$755,"NZ_CPI",Release_Calendar!$B$2:$B$755,$A4648)&gt;0,1,0))</f>
        <v>0</v>
      </c>
      <c r="N4648" s="16">
        <f>IF($A4648&lt;Notes!$B$5,"",IF(COUNTIFS(Release_Calendar!$A$2:$A$755,"NZ_GDP",Release_Calendar!$B$2:$B$755,$A4648)&gt;0,1,0))</f>
        <v>0</v>
      </c>
      <c r="O4648" s="16">
        <f>IF($A4648&lt;Notes!$B$5,"",IF(COUNTIFS(Release_Calendar!$A$2:$A$755,"NZ_LABOUR",Release_Calendar!$B$2:$B$755,$A4648)&gt;0,1,0))</f>
        <v>0</v>
      </c>
      <c r="P4648" s="16">
        <f t="shared" si="4"/>
        <v>0</v>
      </c>
    </row>
    <row r="4649" ht="15.75" customHeight="1">
      <c r="A4649" s="14">
        <v>43033.0</v>
      </c>
      <c r="B4649" s="15">
        <v>1.61</v>
      </c>
      <c r="C4649" s="15">
        <v>2.16</v>
      </c>
      <c r="D4649" s="15">
        <v>2.05</v>
      </c>
      <c r="E4649" s="15">
        <v>2.03</v>
      </c>
      <c r="F4649" s="15">
        <f t="shared" si="1"/>
        <v>0.55</v>
      </c>
      <c r="G4649" s="15">
        <f t="shared" si="2"/>
        <v>2.16</v>
      </c>
      <c r="H4649" s="16">
        <v>0.0</v>
      </c>
      <c r="I4649" s="15">
        <f t="shared" si="3"/>
        <v>0.55</v>
      </c>
      <c r="J4649" s="15">
        <v>11.23</v>
      </c>
      <c r="K4649" s="16">
        <f>IF(COUNTIFS(Release_Calendar!$A$2:$A$755,"US_CPI",Release_Calendar!$B$2:$B$755,$A4649)&gt;0,1,0)</f>
        <v>0</v>
      </c>
      <c r="L4649" s="16">
        <f>IF(COUNTIFS(Release_Calendar!$A$2:$A$755,"US_NFP",Release_Calendar!$B$2:$B$755,$A4649)&gt;0,1,0)</f>
        <v>0</v>
      </c>
      <c r="M4649" s="16">
        <f>IF($A4649&lt;Notes!$B$5,"",IF(COUNTIFS(Release_Calendar!$A$2:$A$755,"NZ_CPI",Release_Calendar!$B$2:$B$755,$A4649)&gt;0,1,0))</f>
        <v>0</v>
      </c>
      <c r="N4649" s="16">
        <f>IF($A4649&lt;Notes!$B$5,"",IF(COUNTIFS(Release_Calendar!$A$2:$A$755,"NZ_GDP",Release_Calendar!$B$2:$B$755,$A4649)&gt;0,1,0))</f>
        <v>0</v>
      </c>
      <c r="O4649" s="16">
        <f>IF($A4649&lt;Notes!$B$5,"",IF(COUNTIFS(Release_Calendar!$A$2:$A$755,"NZ_LABOUR",Release_Calendar!$B$2:$B$755,$A4649)&gt;0,1,0))</f>
        <v>0</v>
      </c>
      <c r="P4649" s="16">
        <f t="shared" si="4"/>
        <v>0</v>
      </c>
    </row>
    <row r="4650" ht="15.75" customHeight="1">
      <c r="A4650" s="14">
        <v>43034.0</v>
      </c>
      <c r="B4650" s="15">
        <v>1.63</v>
      </c>
      <c r="C4650" s="15">
        <v>2.17</v>
      </c>
      <c r="D4650" s="15">
        <v>2.03</v>
      </c>
      <c r="E4650" s="15">
        <v>2.04</v>
      </c>
      <c r="F4650" s="15">
        <f t="shared" si="1"/>
        <v>0.54</v>
      </c>
      <c r="G4650" s="15">
        <f t="shared" si="2"/>
        <v>2.17</v>
      </c>
      <c r="H4650" s="16">
        <v>0.0</v>
      </c>
      <c r="I4650" s="15">
        <f t="shared" si="3"/>
        <v>0.54</v>
      </c>
      <c r="J4650" s="15">
        <v>11.3</v>
      </c>
      <c r="K4650" s="16">
        <f>IF(COUNTIFS(Release_Calendar!$A$2:$A$755,"US_CPI",Release_Calendar!$B$2:$B$755,$A4650)&gt;0,1,0)</f>
        <v>0</v>
      </c>
      <c r="L4650" s="16">
        <f>IF(COUNTIFS(Release_Calendar!$A$2:$A$755,"US_NFP",Release_Calendar!$B$2:$B$755,$A4650)&gt;0,1,0)</f>
        <v>0</v>
      </c>
      <c r="M4650" s="16">
        <f>IF($A4650&lt;Notes!$B$5,"",IF(COUNTIFS(Release_Calendar!$A$2:$A$755,"NZ_CPI",Release_Calendar!$B$2:$B$755,$A4650)&gt;0,1,0))</f>
        <v>0</v>
      </c>
      <c r="N4650" s="16">
        <f>IF($A4650&lt;Notes!$B$5,"",IF(COUNTIFS(Release_Calendar!$A$2:$A$755,"NZ_GDP",Release_Calendar!$B$2:$B$755,$A4650)&gt;0,1,0))</f>
        <v>0</v>
      </c>
      <c r="O4650" s="16">
        <f>IF($A4650&lt;Notes!$B$5,"",IF(COUNTIFS(Release_Calendar!$A$2:$A$755,"NZ_LABOUR",Release_Calendar!$B$2:$B$755,$A4650)&gt;0,1,0))</f>
        <v>0</v>
      </c>
      <c r="P4650" s="16">
        <f t="shared" si="4"/>
        <v>0</v>
      </c>
    </row>
    <row r="4651" ht="15.75" customHeight="1">
      <c r="A4651" s="14">
        <v>43035.0</v>
      </c>
      <c r="B4651" s="15">
        <v>1.59</v>
      </c>
      <c r="C4651" s="15">
        <v>2.17</v>
      </c>
      <c r="D4651" s="15">
        <v>2.07</v>
      </c>
      <c r="E4651" s="15">
        <v>2.05</v>
      </c>
      <c r="F4651" s="15">
        <f t="shared" si="1"/>
        <v>0.58</v>
      </c>
      <c r="G4651" s="15">
        <f t="shared" si="2"/>
        <v>2.17</v>
      </c>
      <c r="H4651" s="16">
        <v>0.0</v>
      </c>
      <c r="I4651" s="15">
        <f t="shared" si="3"/>
        <v>0.58</v>
      </c>
      <c r="J4651" s="15">
        <v>9.8</v>
      </c>
      <c r="K4651" s="16">
        <f>IF(COUNTIFS(Release_Calendar!$A$2:$A$755,"US_CPI",Release_Calendar!$B$2:$B$755,$A4651)&gt;0,1,0)</f>
        <v>0</v>
      </c>
      <c r="L4651" s="16">
        <f>IF(COUNTIFS(Release_Calendar!$A$2:$A$755,"US_NFP",Release_Calendar!$B$2:$B$755,$A4651)&gt;0,1,0)</f>
        <v>0</v>
      </c>
      <c r="M4651" s="16">
        <f>IF($A4651&lt;Notes!$B$5,"",IF(COUNTIFS(Release_Calendar!$A$2:$A$755,"NZ_CPI",Release_Calendar!$B$2:$B$755,$A4651)&gt;0,1,0))</f>
        <v>0</v>
      </c>
      <c r="N4651" s="16">
        <f>IF($A4651&lt;Notes!$B$5,"",IF(COUNTIFS(Release_Calendar!$A$2:$A$755,"NZ_GDP",Release_Calendar!$B$2:$B$755,$A4651)&gt;0,1,0))</f>
        <v>0</v>
      </c>
      <c r="O4651" s="16">
        <f>IF($A4651&lt;Notes!$B$5,"",IF(COUNTIFS(Release_Calendar!$A$2:$A$755,"NZ_LABOUR",Release_Calendar!$B$2:$B$755,$A4651)&gt;0,1,0))</f>
        <v>0</v>
      </c>
      <c r="P4651" s="16">
        <f t="shared" si="4"/>
        <v>0</v>
      </c>
    </row>
    <row r="4652" ht="15.75" customHeight="1">
      <c r="A4652" s="14">
        <v>43038.0</v>
      </c>
      <c r="B4652" s="15">
        <v>1.58</v>
      </c>
      <c r="C4652" s="15">
        <v>2.15</v>
      </c>
      <c r="D4652" s="15">
        <v>2.03</v>
      </c>
      <c r="E4652" s="15">
        <v>2.02</v>
      </c>
      <c r="F4652" s="15">
        <f t="shared" si="1"/>
        <v>0.57</v>
      </c>
      <c r="G4652" s="15">
        <f t="shared" si="2"/>
        <v>2.15</v>
      </c>
      <c r="H4652" s="16">
        <v>0.0</v>
      </c>
      <c r="I4652" s="15">
        <f t="shared" si="3"/>
        <v>0.57</v>
      </c>
      <c r="J4652" s="15">
        <v>10.5</v>
      </c>
      <c r="K4652" s="16">
        <f>IF(COUNTIFS(Release_Calendar!$A$2:$A$755,"US_CPI",Release_Calendar!$B$2:$B$755,$A4652)&gt;0,1,0)</f>
        <v>0</v>
      </c>
      <c r="L4652" s="16">
        <f>IF(COUNTIFS(Release_Calendar!$A$2:$A$755,"US_NFP",Release_Calendar!$B$2:$B$755,$A4652)&gt;0,1,0)</f>
        <v>0</v>
      </c>
      <c r="M4652" s="16">
        <f>IF($A4652&lt;Notes!$B$5,"",IF(COUNTIFS(Release_Calendar!$A$2:$A$755,"NZ_CPI",Release_Calendar!$B$2:$B$755,$A4652)&gt;0,1,0))</f>
        <v>0</v>
      </c>
      <c r="N4652" s="16">
        <f>IF($A4652&lt;Notes!$B$5,"",IF(COUNTIFS(Release_Calendar!$A$2:$A$755,"NZ_GDP",Release_Calendar!$B$2:$B$755,$A4652)&gt;0,1,0))</f>
        <v>0</v>
      </c>
      <c r="O4652" s="16">
        <f>IF($A4652&lt;Notes!$B$5,"",IF(COUNTIFS(Release_Calendar!$A$2:$A$755,"NZ_LABOUR",Release_Calendar!$B$2:$B$755,$A4652)&gt;0,1,0))</f>
        <v>0</v>
      </c>
      <c r="P4652" s="16">
        <f t="shared" si="4"/>
        <v>0</v>
      </c>
    </row>
    <row r="4653" ht="15.75" customHeight="1">
      <c r="A4653" s="14">
        <v>43039.0</v>
      </c>
      <c r="B4653" s="15">
        <v>1.6</v>
      </c>
      <c r="C4653" s="15">
        <v>2.15</v>
      </c>
      <c r="D4653" s="15">
        <v>1.99</v>
      </c>
      <c r="E4653" s="15">
        <v>2.01</v>
      </c>
      <c r="F4653" s="15">
        <f t="shared" si="1"/>
        <v>0.55</v>
      </c>
      <c r="G4653" s="15">
        <f t="shared" si="2"/>
        <v>2.15</v>
      </c>
      <c r="H4653" s="16">
        <v>0.0</v>
      </c>
      <c r="I4653" s="15">
        <f t="shared" si="3"/>
        <v>0.55</v>
      </c>
      <c r="J4653" s="15">
        <v>10.18</v>
      </c>
      <c r="K4653" s="16">
        <f>IF(COUNTIFS(Release_Calendar!$A$2:$A$755,"US_CPI",Release_Calendar!$B$2:$B$755,$A4653)&gt;0,1,0)</f>
        <v>0</v>
      </c>
      <c r="L4653" s="16">
        <f>IF(COUNTIFS(Release_Calendar!$A$2:$A$755,"US_NFP",Release_Calendar!$B$2:$B$755,$A4653)&gt;0,1,0)</f>
        <v>0</v>
      </c>
      <c r="M4653" s="16">
        <f>IF($A4653&lt;Notes!$B$5,"",IF(COUNTIFS(Release_Calendar!$A$2:$A$755,"NZ_CPI",Release_Calendar!$B$2:$B$755,$A4653)&gt;0,1,0))</f>
        <v>0</v>
      </c>
      <c r="N4653" s="16">
        <f>IF($A4653&lt;Notes!$B$5,"",IF(COUNTIFS(Release_Calendar!$A$2:$A$755,"NZ_GDP",Release_Calendar!$B$2:$B$755,$A4653)&gt;0,1,0))</f>
        <v>0</v>
      </c>
      <c r="O4653" s="16">
        <f>IF($A4653&lt;Notes!$B$5,"",IF(COUNTIFS(Release_Calendar!$A$2:$A$755,"NZ_LABOUR",Release_Calendar!$B$2:$B$755,$A4653)&gt;0,1,0))</f>
        <v>0</v>
      </c>
      <c r="P4653" s="16">
        <f t="shared" si="4"/>
        <v>0</v>
      </c>
    </row>
    <row r="4654" ht="15.75" customHeight="1">
      <c r="A4654" s="14">
        <v>43040.0</v>
      </c>
      <c r="B4654" s="15">
        <v>1.61</v>
      </c>
      <c r="C4654" s="15">
        <v>2.16</v>
      </c>
      <c r="D4654" s="15">
        <v>2.02</v>
      </c>
      <c r="E4654" s="15">
        <v>2.0</v>
      </c>
      <c r="F4654" s="15">
        <f t="shared" si="1"/>
        <v>0.55</v>
      </c>
      <c r="G4654" s="15">
        <f t="shared" si="2"/>
        <v>2.16</v>
      </c>
      <c r="H4654" s="16">
        <v>0.0</v>
      </c>
      <c r="I4654" s="15">
        <f t="shared" si="3"/>
        <v>0.55</v>
      </c>
      <c r="J4654" s="15">
        <v>10.2</v>
      </c>
      <c r="K4654" s="16">
        <f>IF(COUNTIFS(Release_Calendar!$A$2:$A$755,"US_CPI",Release_Calendar!$B$2:$B$755,$A4654)&gt;0,1,0)</f>
        <v>0</v>
      </c>
      <c r="L4654" s="16">
        <f>IF(COUNTIFS(Release_Calendar!$A$2:$A$755,"US_NFP",Release_Calendar!$B$2:$B$755,$A4654)&gt;0,1,0)</f>
        <v>0</v>
      </c>
      <c r="M4654" s="16">
        <f>IF($A4654&lt;Notes!$B$5,"",IF(COUNTIFS(Release_Calendar!$A$2:$A$755,"NZ_CPI",Release_Calendar!$B$2:$B$755,$A4654)&gt;0,1,0))</f>
        <v>0</v>
      </c>
      <c r="N4654" s="16">
        <f>IF($A4654&lt;Notes!$B$5,"",IF(COUNTIFS(Release_Calendar!$A$2:$A$755,"NZ_GDP",Release_Calendar!$B$2:$B$755,$A4654)&gt;0,1,0))</f>
        <v>0</v>
      </c>
      <c r="O4654" s="16">
        <f>IF($A4654&lt;Notes!$B$5,"",IF(COUNTIFS(Release_Calendar!$A$2:$A$755,"NZ_LABOUR",Release_Calendar!$B$2:$B$755,$A4654)&gt;0,1,0))</f>
        <v>1</v>
      </c>
      <c r="P4654" s="16">
        <f t="shared" si="4"/>
        <v>1</v>
      </c>
    </row>
    <row r="4655" ht="15.75" customHeight="1">
      <c r="A4655" s="14">
        <v>43041.0</v>
      </c>
      <c r="B4655" s="15">
        <v>1.61</v>
      </c>
      <c r="C4655" s="15">
        <v>2.15</v>
      </c>
      <c r="D4655" s="15">
        <v>1.99</v>
      </c>
      <c r="E4655" s="15">
        <v>1.98</v>
      </c>
      <c r="F4655" s="15">
        <f t="shared" si="1"/>
        <v>0.54</v>
      </c>
      <c r="G4655" s="15">
        <f t="shared" si="2"/>
        <v>2.15</v>
      </c>
      <c r="H4655" s="16">
        <v>0.0</v>
      </c>
      <c r="I4655" s="15">
        <f t="shared" si="3"/>
        <v>0.54</v>
      </c>
      <c r="J4655" s="15">
        <v>9.93</v>
      </c>
      <c r="K4655" s="16">
        <f>IF(COUNTIFS(Release_Calendar!$A$2:$A$755,"US_CPI",Release_Calendar!$B$2:$B$755,$A4655)&gt;0,1,0)</f>
        <v>0</v>
      </c>
      <c r="L4655" s="16">
        <f>IF(COUNTIFS(Release_Calendar!$A$2:$A$755,"US_NFP",Release_Calendar!$B$2:$B$755,$A4655)&gt;0,1,0)</f>
        <v>0</v>
      </c>
      <c r="M4655" s="16">
        <f>IF($A4655&lt;Notes!$B$5,"",IF(COUNTIFS(Release_Calendar!$A$2:$A$755,"NZ_CPI",Release_Calendar!$B$2:$B$755,$A4655)&gt;0,1,0))</f>
        <v>0</v>
      </c>
      <c r="N4655" s="16">
        <f>IF($A4655&lt;Notes!$B$5,"",IF(COUNTIFS(Release_Calendar!$A$2:$A$755,"NZ_GDP",Release_Calendar!$B$2:$B$755,$A4655)&gt;0,1,0))</f>
        <v>0</v>
      </c>
      <c r="O4655" s="16">
        <f>IF($A4655&lt;Notes!$B$5,"",IF(COUNTIFS(Release_Calendar!$A$2:$A$755,"NZ_LABOUR",Release_Calendar!$B$2:$B$755,$A4655)&gt;0,1,0))</f>
        <v>0</v>
      </c>
      <c r="P4655" s="16">
        <f t="shared" si="4"/>
        <v>0</v>
      </c>
    </row>
    <row r="4656" ht="15.75" customHeight="1">
      <c r="A4656" s="14">
        <v>43042.0</v>
      </c>
      <c r="B4656" s="15">
        <v>1.63</v>
      </c>
      <c r="C4656" s="15">
        <v>2.16</v>
      </c>
      <c r="D4656" s="15">
        <v>1.99</v>
      </c>
      <c r="E4656" s="15">
        <v>1.96</v>
      </c>
      <c r="F4656" s="15">
        <f t="shared" si="1"/>
        <v>0.53</v>
      </c>
      <c r="G4656" s="15">
        <f t="shared" si="2"/>
        <v>2.16</v>
      </c>
      <c r="H4656" s="16">
        <v>0.0</v>
      </c>
      <c r="I4656" s="15">
        <f t="shared" si="3"/>
        <v>0.53</v>
      </c>
      <c r="J4656" s="15">
        <v>9.14</v>
      </c>
      <c r="K4656" s="16">
        <f>IF(COUNTIFS(Release_Calendar!$A$2:$A$755,"US_CPI",Release_Calendar!$B$2:$B$755,$A4656)&gt;0,1,0)</f>
        <v>0</v>
      </c>
      <c r="L4656" s="16">
        <f>IF(COUNTIFS(Release_Calendar!$A$2:$A$755,"US_NFP",Release_Calendar!$B$2:$B$755,$A4656)&gt;0,1,0)</f>
        <v>1</v>
      </c>
      <c r="M4656" s="16">
        <f>IF($A4656&lt;Notes!$B$5,"",IF(COUNTIFS(Release_Calendar!$A$2:$A$755,"NZ_CPI",Release_Calendar!$B$2:$B$755,$A4656)&gt;0,1,0))</f>
        <v>0</v>
      </c>
      <c r="N4656" s="16">
        <f>IF($A4656&lt;Notes!$B$5,"",IF(COUNTIFS(Release_Calendar!$A$2:$A$755,"NZ_GDP",Release_Calendar!$B$2:$B$755,$A4656)&gt;0,1,0))</f>
        <v>0</v>
      </c>
      <c r="O4656" s="16">
        <f>IF($A4656&lt;Notes!$B$5,"",IF(COUNTIFS(Release_Calendar!$A$2:$A$755,"NZ_LABOUR",Release_Calendar!$B$2:$B$755,$A4656)&gt;0,1,0))</f>
        <v>0</v>
      </c>
      <c r="P4656" s="16">
        <f t="shared" si="4"/>
        <v>1</v>
      </c>
    </row>
    <row r="4657" ht="15.75" customHeight="1">
      <c r="A4657" s="14">
        <v>43045.0</v>
      </c>
      <c r="B4657" s="15">
        <v>1.61</v>
      </c>
      <c r="C4657" s="15">
        <v>2.16</v>
      </c>
      <c r="D4657" s="15">
        <v>1.96</v>
      </c>
      <c r="E4657" s="15">
        <v>1.94</v>
      </c>
      <c r="F4657" s="15">
        <f t="shared" si="1"/>
        <v>0.55</v>
      </c>
      <c r="G4657" s="15">
        <f t="shared" si="2"/>
        <v>2.16</v>
      </c>
      <c r="H4657" s="16">
        <v>0.0</v>
      </c>
      <c r="I4657" s="15">
        <f t="shared" si="3"/>
        <v>0.55</v>
      </c>
      <c r="J4657" s="15">
        <v>9.4</v>
      </c>
      <c r="K4657" s="16">
        <f>IF(COUNTIFS(Release_Calendar!$A$2:$A$755,"US_CPI",Release_Calendar!$B$2:$B$755,$A4657)&gt;0,1,0)</f>
        <v>0</v>
      </c>
      <c r="L4657" s="16">
        <f>IF(COUNTIFS(Release_Calendar!$A$2:$A$755,"US_NFP",Release_Calendar!$B$2:$B$755,$A4657)&gt;0,1,0)</f>
        <v>0</v>
      </c>
      <c r="M4657" s="16">
        <f>IF($A4657&lt;Notes!$B$5,"",IF(COUNTIFS(Release_Calendar!$A$2:$A$755,"NZ_CPI",Release_Calendar!$B$2:$B$755,$A4657)&gt;0,1,0))</f>
        <v>0</v>
      </c>
      <c r="N4657" s="16">
        <f>IF($A4657&lt;Notes!$B$5,"",IF(COUNTIFS(Release_Calendar!$A$2:$A$755,"NZ_GDP",Release_Calendar!$B$2:$B$755,$A4657)&gt;0,1,0))</f>
        <v>0</v>
      </c>
      <c r="O4657" s="16">
        <f>IF($A4657&lt;Notes!$B$5,"",IF(COUNTIFS(Release_Calendar!$A$2:$A$755,"NZ_LABOUR",Release_Calendar!$B$2:$B$755,$A4657)&gt;0,1,0))</f>
        <v>0</v>
      </c>
      <c r="P4657" s="16">
        <f t="shared" si="4"/>
        <v>0</v>
      </c>
    </row>
    <row r="4658" ht="15.75" customHeight="1">
      <c r="A4658" s="14">
        <v>43046.0</v>
      </c>
      <c r="B4658" s="15">
        <v>1.63</v>
      </c>
      <c r="C4658" s="15">
        <v>2.19</v>
      </c>
      <c r="D4658" s="15">
        <v>1.97</v>
      </c>
      <c r="E4658" s="15">
        <v>1.98</v>
      </c>
      <c r="F4658" s="15">
        <f t="shared" si="1"/>
        <v>0.56</v>
      </c>
      <c r="G4658" s="15">
        <f t="shared" si="2"/>
        <v>2.19</v>
      </c>
      <c r="H4658" s="16">
        <v>0.0</v>
      </c>
      <c r="I4658" s="15">
        <f t="shared" si="3"/>
        <v>0.56</v>
      </c>
      <c r="J4658" s="15">
        <v>9.89</v>
      </c>
      <c r="K4658" s="16">
        <f>IF(COUNTIFS(Release_Calendar!$A$2:$A$755,"US_CPI",Release_Calendar!$B$2:$B$755,$A4658)&gt;0,1,0)</f>
        <v>0</v>
      </c>
      <c r="L4658" s="16">
        <f>IF(COUNTIFS(Release_Calendar!$A$2:$A$755,"US_NFP",Release_Calendar!$B$2:$B$755,$A4658)&gt;0,1,0)</f>
        <v>0</v>
      </c>
      <c r="M4658" s="16">
        <f>IF($A4658&lt;Notes!$B$5,"",IF(COUNTIFS(Release_Calendar!$A$2:$A$755,"NZ_CPI",Release_Calendar!$B$2:$B$755,$A4658)&gt;0,1,0))</f>
        <v>0</v>
      </c>
      <c r="N4658" s="16">
        <f>IF($A4658&lt;Notes!$B$5,"",IF(COUNTIFS(Release_Calendar!$A$2:$A$755,"NZ_GDP",Release_Calendar!$B$2:$B$755,$A4658)&gt;0,1,0))</f>
        <v>0</v>
      </c>
      <c r="O4658" s="16">
        <f>IF($A4658&lt;Notes!$B$5,"",IF(COUNTIFS(Release_Calendar!$A$2:$A$755,"NZ_LABOUR",Release_Calendar!$B$2:$B$755,$A4658)&gt;0,1,0))</f>
        <v>0</v>
      </c>
      <c r="P4658" s="16">
        <f t="shared" si="4"/>
        <v>0</v>
      </c>
    </row>
    <row r="4659" ht="15.75" customHeight="1">
      <c r="A4659" s="14">
        <v>43047.0</v>
      </c>
      <c r="B4659" s="15">
        <v>1.65</v>
      </c>
      <c r="C4659" s="15">
        <v>2.19</v>
      </c>
      <c r="D4659" s="15">
        <v>1.99</v>
      </c>
      <c r="E4659" s="15">
        <v>2.01</v>
      </c>
      <c r="F4659" s="15">
        <f t="shared" si="1"/>
        <v>0.54</v>
      </c>
      <c r="G4659" s="15">
        <f t="shared" si="2"/>
        <v>2.19</v>
      </c>
      <c r="H4659" s="16">
        <v>0.0</v>
      </c>
      <c r="I4659" s="15">
        <f t="shared" si="3"/>
        <v>0.54</v>
      </c>
      <c r="J4659" s="15">
        <v>9.78</v>
      </c>
      <c r="K4659" s="16">
        <f>IF(COUNTIFS(Release_Calendar!$A$2:$A$755,"US_CPI",Release_Calendar!$B$2:$B$755,$A4659)&gt;0,1,0)</f>
        <v>0</v>
      </c>
      <c r="L4659" s="16">
        <f>IF(COUNTIFS(Release_Calendar!$A$2:$A$755,"US_NFP",Release_Calendar!$B$2:$B$755,$A4659)&gt;0,1,0)</f>
        <v>0</v>
      </c>
      <c r="M4659" s="16">
        <f>IF($A4659&lt;Notes!$B$5,"",IF(COUNTIFS(Release_Calendar!$A$2:$A$755,"NZ_CPI",Release_Calendar!$B$2:$B$755,$A4659)&gt;0,1,0))</f>
        <v>0</v>
      </c>
      <c r="N4659" s="16">
        <f>IF($A4659&lt;Notes!$B$5,"",IF(COUNTIFS(Release_Calendar!$A$2:$A$755,"NZ_GDP",Release_Calendar!$B$2:$B$755,$A4659)&gt;0,1,0))</f>
        <v>0</v>
      </c>
      <c r="O4659" s="16">
        <f>IF($A4659&lt;Notes!$B$5,"",IF(COUNTIFS(Release_Calendar!$A$2:$A$755,"NZ_LABOUR",Release_Calendar!$B$2:$B$755,$A4659)&gt;0,1,0))</f>
        <v>0</v>
      </c>
      <c r="P4659" s="16">
        <f t="shared" si="4"/>
        <v>0</v>
      </c>
    </row>
    <row r="4660" ht="15.75" customHeight="1">
      <c r="A4660" s="14">
        <v>43048.0</v>
      </c>
      <c r="B4660" s="15">
        <v>1.63</v>
      </c>
      <c r="C4660" s="15">
        <v>2.21</v>
      </c>
      <c r="D4660" s="15">
        <v>2.04</v>
      </c>
      <c r="E4660" s="15">
        <v>2.05</v>
      </c>
      <c r="F4660" s="15">
        <f t="shared" si="1"/>
        <v>0.58</v>
      </c>
      <c r="G4660" s="15">
        <f t="shared" si="2"/>
        <v>2.21</v>
      </c>
      <c r="H4660" s="16">
        <v>0.0</v>
      </c>
      <c r="I4660" s="15">
        <f t="shared" si="3"/>
        <v>0.58</v>
      </c>
      <c r="J4660" s="15">
        <v>10.5</v>
      </c>
      <c r="K4660" s="16">
        <f>IF(COUNTIFS(Release_Calendar!$A$2:$A$755,"US_CPI",Release_Calendar!$B$2:$B$755,$A4660)&gt;0,1,0)</f>
        <v>0</v>
      </c>
      <c r="L4660" s="16">
        <f>IF(COUNTIFS(Release_Calendar!$A$2:$A$755,"US_NFP",Release_Calendar!$B$2:$B$755,$A4660)&gt;0,1,0)</f>
        <v>0</v>
      </c>
      <c r="M4660" s="16">
        <f>IF($A4660&lt;Notes!$B$5,"",IF(COUNTIFS(Release_Calendar!$A$2:$A$755,"NZ_CPI",Release_Calendar!$B$2:$B$755,$A4660)&gt;0,1,0))</f>
        <v>0</v>
      </c>
      <c r="N4660" s="16">
        <f>IF($A4660&lt;Notes!$B$5,"",IF(COUNTIFS(Release_Calendar!$A$2:$A$755,"NZ_GDP",Release_Calendar!$B$2:$B$755,$A4660)&gt;0,1,0))</f>
        <v>0</v>
      </c>
      <c r="O4660" s="16">
        <f>IF($A4660&lt;Notes!$B$5,"",IF(COUNTIFS(Release_Calendar!$A$2:$A$755,"NZ_LABOUR",Release_Calendar!$B$2:$B$755,$A4660)&gt;0,1,0))</f>
        <v>0</v>
      </c>
      <c r="P4660" s="16">
        <f t="shared" si="4"/>
        <v>0</v>
      </c>
    </row>
    <row r="4661" ht="15.75" customHeight="1">
      <c r="A4661" s="14">
        <v>43049.0</v>
      </c>
      <c r="B4661" s="15">
        <v>1.67</v>
      </c>
      <c r="C4661" s="15">
        <v>2.2</v>
      </c>
      <c r="D4661" s="15">
        <v>2.05</v>
      </c>
      <c r="E4661" s="15">
        <v>2.04</v>
      </c>
      <c r="F4661" s="15">
        <f t="shared" si="1"/>
        <v>0.53</v>
      </c>
      <c r="G4661" s="15">
        <f t="shared" si="2"/>
        <v>2.2</v>
      </c>
      <c r="H4661" s="16">
        <v>0.0</v>
      </c>
      <c r="I4661" s="15">
        <f t="shared" si="3"/>
        <v>0.53</v>
      </c>
      <c r="J4661" s="15">
        <v>11.29</v>
      </c>
      <c r="K4661" s="16">
        <f>IF(COUNTIFS(Release_Calendar!$A$2:$A$755,"US_CPI",Release_Calendar!$B$2:$B$755,$A4661)&gt;0,1,0)</f>
        <v>0</v>
      </c>
      <c r="L4661" s="16">
        <f>IF(COUNTIFS(Release_Calendar!$A$2:$A$755,"US_NFP",Release_Calendar!$B$2:$B$755,$A4661)&gt;0,1,0)</f>
        <v>0</v>
      </c>
      <c r="M4661" s="16">
        <f>IF($A4661&lt;Notes!$B$5,"",IF(COUNTIFS(Release_Calendar!$A$2:$A$755,"NZ_CPI",Release_Calendar!$B$2:$B$755,$A4661)&gt;0,1,0))</f>
        <v>0</v>
      </c>
      <c r="N4661" s="16">
        <f>IF($A4661&lt;Notes!$B$5,"",IF(COUNTIFS(Release_Calendar!$A$2:$A$755,"NZ_GDP",Release_Calendar!$B$2:$B$755,$A4661)&gt;0,1,0))</f>
        <v>0</v>
      </c>
      <c r="O4661" s="16">
        <f>IF($A4661&lt;Notes!$B$5,"",IF(COUNTIFS(Release_Calendar!$A$2:$A$755,"NZ_LABOUR",Release_Calendar!$B$2:$B$755,$A4661)&gt;0,1,0))</f>
        <v>0</v>
      </c>
      <c r="P4661" s="16">
        <f t="shared" si="4"/>
        <v>0</v>
      </c>
    </row>
    <row r="4662" ht="15.75" customHeight="1">
      <c r="A4662" s="14">
        <v>43052.0</v>
      </c>
      <c r="B4662" s="15">
        <v>1.7</v>
      </c>
      <c r="C4662" s="15">
        <v>2.2</v>
      </c>
      <c r="D4662" s="15">
        <v>2.06</v>
      </c>
      <c r="E4662" s="15">
        <v>2.03</v>
      </c>
      <c r="F4662" s="15">
        <f t="shared" si="1"/>
        <v>0.5</v>
      </c>
      <c r="G4662" s="15">
        <f t="shared" si="2"/>
        <v>2.2</v>
      </c>
      <c r="H4662" s="16">
        <v>0.0</v>
      </c>
      <c r="I4662" s="15">
        <f t="shared" si="3"/>
        <v>0.5</v>
      </c>
      <c r="J4662" s="15">
        <v>11.5</v>
      </c>
      <c r="K4662" s="16">
        <f>IF(COUNTIFS(Release_Calendar!$A$2:$A$755,"US_CPI",Release_Calendar!$B$2:$B$755,$A4662)&gt;0,1,0)</f>
        <v>0</v>
      </c>
      <c r="L4662" s="16">
        <f>IF(COUNTIFS(Release_Calendar!$A$2:$A$755,"US_NFP",Release_Calendar!$B$2:$B$755,$A4662)&gt;0,1,0)</f>
        <v>0</v>
      </c>
      <c r="M4662" s="16">
        <f>IF($A4662&lt;Notes!$B$5,"",IF(COUNTIFS(Release_Calendar!$A$2:$A$755,"NZ_CPI",Release_Calendar!$B$2:$B$755,$A4662)&gt;0,1,0))</f>
        <v>0</v>
      </c>
      <c r="N4662" s="16">
        <f>IF($A4662&lt;Notes!$B$5,"",IF(COUNTIFS(Release_Calendar!$A$2:$A$755,"NZ_GDP",Release_Calendar!$B$2:$B$755,$A4662)&gt;0,1,0))</f>
        <v>0</v>
      </c>
      <c r="O4662" s="16">
        <f>IF($A4662&lt;Notes!$B$5,"",IF(COUNTIFS(Release_Calendar!$A$2:$A$755,"NZ_LABOUR",Release_Calendar!$B$2:$B$755,$A4662)&gt;0,1,0))</f>
        <v>0</v>
      </c>
      <c r="P4662" s="16">
        <f t="shared" si="4"/>
        <v>0</v>
      </c>
    </row>
    <row r="4663" ht="15.75" customHeight="1">
      <c r="A4663" s="14">
        <v>43053.0</v>
      </c>
      <c r="B4663" s="15">
        <v>1.68</v>
      </c>
      <c r="C4663" s="15">
        <v>2.19</v>
      </c>
      <c r="D4663" s="15">
        <v>2.04</v>
      </c>
      <c r="E4663" s="15">
        <v>2.04</v>
      </c>
      <c r="F4663" s="15">
        <f t="shared" si="1"/>
        <v>0.51</v>
      </c>
      <c r="G4663" s="15">
        <f t="shared" si="2"/>
        <v>2.19</v>
      </c>
      <c r="H4663" s="16">
        <v>0.0</v>
      </c>
      <c r="I4663" s="15">
        <f t="shared" si="3"/>
        <v>0.51</v>
      </c>
      <c r="J4663" s="15">
        <v>11.59</v>
      </c>
      <c r="K4663" s="16">
        <f>IF(COUNTIFS(Release_Calendar!$A$2:$A$755,"US_CPI",Release_Calendar!$B$2:$B$755,$A4663)&gt;0,1,0)</f>
        <v>0</v>
      </c>
      <c r="L4663" s="16">
        <f>IF(COUNTIFS(Release_Calendar!$A$2:$A$755,"US_NFP",Release_Calendar!$B$2:$B$755,$A4663)&gt;0,1,0)</f>
        <v>0</v>
      </c>
      <c r="M4663" s="16">
        <f>IF($A4663&lt;Notes!$B$5,"",IF(COUNTIFS(Release_Calendar!$A$2:$A$755,"NZ_CPI",Release_Calendar!$B$2:$B$755,$A4663)&gt;0,1,0))</f>
        <v>0</v>
      </c>
      <c r="N4663" s="16">
        <f>IF($A4663&lt;Notes!$B$5,"",IF(COUNTIFS(Release_Calendar!$A$2:$A$755,"NZ_GDP",Release_Calendar!$B$2:$B$755,$A4663)&gt;0,1,0))</f>
        <v>0</v>
      </c>
      <c r="O4663" s="16">
        <f>IF($A4663&lt;Notes!$B$5,"",IF(COUNTIFS(Release_Calendar!$A$2:$A$755,"NZ_LABOUR",Release_Calendar!$B$2:$B$755,$A4663)&gt;0,1,0))</f>
        <v>0</v>
      </c>
      <c r="P4663" s="16">
        <f t="shared" si="4"/>
        <v>0</v>
      </c>
    </row>
    <row r="4664" ht="15.75" customHeight="1">
      <c r="A4664" s="14">
        <v>43054.0</v>
      </c>
      <c r="B4664" s="15">
        <v>1.68</v>
      </c>
      <c r="C4664" s="15">
        <v>2.17</v>
      </c>
      <c r="D4664" s="15">
        <v>2.02</v>
      </c>
      <c r="E4664" s="15">
        <v>2.01</v>
      </c>
      <c r="F4664" s="15">
        <f t="shared" si="1"/>
        <v>0.49</v>
      </c>
      <c r="G4664" s="15">
        <f t="shared" si="2"/>
        <v>2.17</v>
      </c>
      <c r="H4664" s="16">
        <v>0.0</v>
      </c>
      <c r="I4664" s="15">
        <f t="shared" si="3"/>
        <v>0.49</v>
      </c>
      <c r="J4664" s="15">
        <v>13.13</v>
      </c>
      <c r="K4664" s="16">
        <f>IF(COUNTIFS(Release_Calendar!$A$2:$A$755,"US_CPI",Release_Calendar!$B$2:$B$755,$A4664)&gt;0,1,0)</f>
        <v>1</v>
      </c>
      <c r="L4664" s="16">
        <f>IF(COUNTIFS(Release_Calendar!$A$2:$A$755,"US_NFP",Release_Calendar!$B$2:$B$755,$A4664)&gt;0,1,0)</f>
        <v>0</v>
      </c>
      <c r="M4664" s="16">
        <f>IF($A4664&lt;Notes!$B$5,"",IF(COUNTIFS(Release_Calendar!$A$2:$A$755,"NZ_CPI",Release_Calendar!$B$2:$B$755,$A4664)&gt;0,1,0))</f>
        <v>0</v>
      </c>
      <c r="N4664" s="16">
        <f>IF($A4664&lt;Notes!$B$5,"",IF(COUNTIFS(Release_Calendar!$A$2:$A$755,"NZ_GDP",Release_Calendar!$B$2:$B$755,$A4664)&gt;0,1,0))</f>
        <v>0</v>
      </c>
      <c r="O4664" s="16">
        <f>IF($A4664&lt;Notes!$B$5,"",IF(COUNTIFS(Release_Calendar!$A$2:$A$755,"NZ_LABOUR",Release_Calendar!$B$2:$B$755,$A4664)&gt;0,1,0))</f>
        <v>0</v>
      </c>
      <c r="P4664" s="16">
        <f t="shared" si="4"/>
        <v>1</v>
      </c>
    </row>
    <row r="4665" ht="15.75" customHeight="1">
      <c r="A4665" s="14">
        <v>43055.0</v>
      </c>
      <c r="B4665" s="15">
        <v>1.72</v>
      </c>
      <c r="C4665" s="15">
        <v>2.16</v>
      </c>
      <c r="D4665" s="15">
        <v>1.98</v>
      </c>
      <c r="E4665" s="15">
        <v>1.99</v>
      </c>
      <c r="F4665" s="15">
        <f t="shared" si="1"/>
        <v>0.44</v>
      </c>
      <c r="G4665" s="15">
        <f t="shared" si="2"/>
        <v>2.16</v>
      </c>
      <c r="H4665" s="16">
        <v>0.0</v>
      </c>
      <c r="I4665" s="15">
        <f t="shared" si="3"/>
        <v>0.44</v>
      </c>
      <c r="J4665" s="15">
        <v>11.76</v>
      </c>
      <c r="K4665" s="16">
        <f>IF(COUNTIFS(Release_Calendar!$A$2:$A$755,"US_CPI",Release_Calendar!$B$2:$B$755,$A4665)&gt;0,1,0)</f>
        <v>0</v>
      </c>
      <c r="L4665" s="16">
        <f>IF(COUNTIFS(Release_Calendar!$A$2:$A$755,"US_NFP",Release_Calendar!$B$2:$B$755,$A4665)&gt;0,1,0)</f>
        <v>0</v>
      </c>
      <c r="M4665" s="16">
        <f>IF($A4665&lt;Notes!$B$5,"",IF(COUNTIFS(Release_Calendar!$A$2:$A$755,"NZ_CPI",Release_Calendar!$B$2:$B$755,$A4665)&gt;0,1,0))</f>
        <v>0</v>
      </c>
      <c r="N4665" s="16">
        <f>IF($A4665&lt;Notes!$B$5,"",IF(COUNTIFS(Release_Calendar!$A$2:$A$755,"NZ_GDP",Release_Calendar!$B$2:$B$755,$A4665)&gt;0,1,0))</f>
        <v>0</v>
      </c>
      <c r="O4665" s="16">
        <f>IF($A4665&lt;Notes!$B$5,"",IF(COUNTIFS(Release_Calendar!$A$2:$A$755,"NZ_LABOUR",Release_Calendar!$B$2:$B$755,$A4665)&gt;0,1,0))</f>
        <v>0</v>
      </c>
      <c r="P4665" s="16">
        <f t="shared" si="4"/>
        <v>0</v>
      </c>
    </row>
    <row r="4666" ht="15.75" customHeight="1">
      <c r="A4666" s="14">
        <v>43056.0</v>
      </c>
      <c r="B4666" s="15">
        <v>1.73</v>
      </c>
      <c r="C4666" s="15">
        <v>2.16</v>
      </c>
      <c r="D4666" s="15">
        <v>2.02</v>
      </c>
      <c r="E4666" s="15">
        <v>2.01</v>
      </c>
      <c r="F4666" s="15">
        <f t="shared" si="1"/>
        <v>0.43</v>
      </c>
      <c r="G4666" s="15">
        <f t="shared" si="2"/>
        <v>2.16</v>
      </c>
      <c r="H4666" s="16">
        <v>0.0</v>
      </c>
      <c r="I4666" s="15">
        <f t="shared" si="3"/>
        <v>0.43</v>
      </c>
      <c r="J4666" s="15">
        <v>11.43</v>
      </c>
      <c r="K4666" s="16">
        <f>IF(COUNTIFS(Release_Calendar!$A$2:$A$755,"US_CPI",Release_Calendar!$B$2:$B$755,$A4666)&gt;0,1,0)</f>
        <v>0</v>
      </c>
      <c r="L4666" s="16">
        <f>IF(COUNTIFS(Release_Calendar!$A$2:$A$755,"US_NFP",Release_Calendar!$B$2:$B$755,$A4666)&gt;0,1,0)</f>
        <v>0</v>
      </c>
      <c r="M4666" s="16">
        <f>IF($A4666&lt;Notes!$B$5,"",IF(COUNTIFS(Release_Calendar!$A$2:$A$755,"NZ_CPI",Release_Calendar!$B$2:$B$755,$A4666)&gt;0,1,0))</f>
        <v>0</v>
      </c>
      <c r="N4666" s="16">
        <f>IF($A4666&lt;Notes!$B$5,"",IF(COUNTIFS(Release_Calendar!$A$2:$A$755,"NZ_GDP",Release_Calendar!$B$2:$B$755,$A4666)&gt;0,1,0))</f>
        <v>0</v>
      </c>
      <c r="O4666" s="16">
        <f>IF($A4666&lt;Notes!$B$5,"",IF(COUNTIFS(Release_Calendar!$A$2:$A$755,"NZ_LABOUR",Release_Calendar!$B$2:$B$755,$A4666)&gt;0,1,0))</f>
        <v>0</v>
      </c>
      <c r="P4666" s="16">
        <f t="shared" si="4"/>
        <v>0</v>
      </c>
    </row>
    <row r="4667" ht="15.75" customHeight="1">
      <c r="A4667" s="14">
        <v>43059.0</v>
      </c>
      <c r="B4667" s="15">
        <v>1.77</v>
      </c>
      <c r="C4667" s="15">
        <v>2.15</v>
      </c>
      <c r="D4667" s="15">
        <v>2.01</v>
      </c>
      <c r="E4667" s="15">
        <v>1.98</v>
      </c>
      <c r="F4667" s="15">
        <f t="shared" si="1"/>
        <v>0.38</v>
      </c>
      <c r="G4667" s="15">
        <f t="shared" si="2"/>
        <v>2.15</v>
      </c>
      <c r="H4667" s="16">
        <v>0.0</v>
      </c>
      <c r="I4667" s="15">
        <f t="shared" si="3"/>
        <v>0.38</v>
      </c>
      <c r="J4667" s="15">
        <v>10.65</v>
      </c>
      <c r="K4667" s="16">
        <f>IF(COUNTIFS(Release_Calendar!$A$2:$A$755,"US_CPI",Release_Calendar!$B$2:$B$755,$A4667)&gt;0,1,0)</f>
        <v>0</v>
      </c>
      <c r="L4667" s="16">
        <f>IF(COUNTIFS(Release_Calendar!$A$2:$A$755,"US_NFP",Release_Calendar!$B$2:$B$755,$A4667)&gt;0,1,0)</f>
        <v>0</v>
      </c>
      <c r="M4667" s="16">
        <f>IF($A4667&lt;Notes!$B$5,"",IF(COUNTIFS(Release_Calendar!$A$2:$A$755,"NZ_CPI",Release_Calendar!$B$2:$B$755,$A4667)&gt;0,1,0))</f>
        <v>0</v>
      </c>
      <c r="N4667" s="16">
        <f>IF($A4667&lt;Notes!$B$5,"",IF(COUNTIFS(Release_Calendar!$A$2:$A$755,"NZ_GDP",Release_Calendar!$B$2:$B$755,$A4667)&gt;0,1,0))</f>
        <v>0</v>
      </c>
      <c r="O4667" s="16">
        <f>IF($A4667&lt;Notes!$B$5,"",IF(COUNTIFS(Release_Calendar!$A$2:$A$755,"NZ_LABOUR",Release_Calendar!$B$2:$B$755,$A4667)&gt;0,1,0))</f>
        <v>0</v>
      </c>
      <c r="P4667" s="16">
        <f t="shared" si="4"/>
        <v>0</v>
      </c>
    </row>
    <row r="4668" ht="15.75" customHeight="1">
      <c r="A4668" s="14">
        <v>43060.0</v>
      </c>
      <c r="B4668" s="15">
        <v>1.77</v>
      </c>
      <c r="C4668" s="15">
        <v>2.15</v>
      </c>
      <c r="D4668" s="15">
        <v>1.99</v>
      </c>
      <c r="E4668" s="15">
        <v>1.98</v>
      </c>
      <c r="F4668" s="15">
        <f t="shared" si="1"/>
        <v>0.38</v>
      </c>
      <c r="G4668" s="15">
        <f t="shared" si="2"/>
        <v>2.15</v>
      </c>
      <c r="H4668" s="16">
        <v>0.0</v>
      </c>
      <c r="I4668" s="15">
        <f t="shared" si="3"/>
        <v>0.38</v>
      </c>
      <c r="J4668" s="15">
        <v>9.73</v>
      </c>
      <c r="K4668" s="16">
        <f>IF(COUNTIFS(Release_Calendar!$A$2:$A$755,"US_CPI",Release_Calendar!$B$2:$B$755,$A4668)&gt;0,1,0)</f>
        <v>0</v>
      </c>
      <c r="L4668" s="16">
        <f>IF(COUNTIFS(Release_Calendar!$A$2:$A$755,"US_NFP",Release_Calendar!$B$2:$B$755,$A4668)&gt;0,1,0)</f>
        <v>0</v>
      </c>
      <c r="M4668" s="16">
        <f>IF($A4668&lt;Notes!$B$5,"",IF(COUNTIFS(Release_Calendar!$A$2:$A$755,"NZ_CPI",Release_Calendar!$B$2:$B$755,$A4668)&gt;0,1,0))</f>
        <v>0</v>
      </c>
      <c r="N4668" s="16">
        <f>IF($A4668&lt;Notes!$B$5,"",IF(COUNTIFS(Release_Calendar!$A$2:$A$755,"NZ_GDP",Release_Calendar!$B$2:$B$755,$A4668)&gt;0,1,0))</f>
        <v>0</v>
      </c>
      <c r="O4668" s="16">
        <f>IF($A4668&lt;Notes!$B$5,"",IF(COUNTIFS(Release_Calendar!$A$2:$A$755,"NZ_LABOUR",Release_Calendar!$B$2:$B$755,$A4668)&gt;0,1,0))</f>
        <v>0</v>
      </c>
      <c r="P4668" s="16">
        <f t="shared" si="4"/>
        <v>0</v>
      </c>
    </row>
    <row r="4669" ht="15.75" customHeight="1">
      <c r="A4669" s="14">
        <v>43061.0</v>
      </c>
      <c r="B4669" s="15">
        <v>1.74</v>
      </c>
      <c r="C4669" s="15">
        <v>2.15</v>
      </c>
      <c r="D4669" s="15">
        <v>1.98</v>
      </c>
      <c r="E4669" s="15">
        <v>1.96</v>
      </c>
      <c r="F4669" s="15">
        <f t="shared" si="1"/>
        <v>0.41</v>
      </c>
      <c r="G4669" s="15">
        <f t="shared" si="2"/>
        <v>2.15</v>
      </c>
      <c r="H4669" s="16">
        <v>0.0</v>
      </c>
      <c r="I4669" s="15">
        <f t="shared" si="3"/>
        <v>0.41</v>
      </c>
      <c r="J4669" s="15">
        <v>9.88</v>
      </c>
      <c r="K4669" s="16">
        <f>IF(COUNTIFS(Release_Calendar!$A$2:$A$755,"US_CPI",Release_Calendar!$B$2:$B$755,$A4669)&gt;0,1,0)</f>
        <v>0</v>
      </c>
      <c r="L4669" s="16">
        <f>IF(COUNTIFS(Release_Calendar!$A$2:$A$755,"US_NFP",Release_Calendar!$B$2:$B$755,$A4669)&gt;0,1,0)</f>
        <v>0</v>
      </c>
      <c r="M4669" s="16">
        <f>IF($A4669&lt;Notes!$B$5,"",IF(COUNTIFS(Release_Calendar!$A$2:$A$755,"NZ_CPI",Release_Calendar!$B$2:$B$755,$A4669)&gt;0,1,0))</f>
        <v>0</v>
      </c>
      <c r="N4669" s="16">
        <f>IF($A4669&lt;Notes!$B$5,"",IF(COUNTIFS(Release_Calendar!$A$2:$A$755,"NZ_GDP",Release_Calendar!$B$2:$B$755,$A4669)&gt;0,1,0))</f>
        <v>0</v>
      </c>
      <c r="O4669" s="16">
        <f>IF($A4669&lt;Notes!$B$5,"",IF(COUNTIFS(Release_Calendar!$A$2:$A$755,"NZ_LABOUR",Release_Calendar!$B$2:$B$755,$A4669)&gt;0,1,0))</f>
        <v>0</v>
      </c>
      <c r="P4669" s="16">
        <f t="shared" si="4"/>
        <v>0</v>
      </c>
    </row>
    <row r="4670" ht="15.75" customHeight="1">
      <c r="A4670" s="14">
        <v>43062.0</v>
      </c>
      <c r="B4670" s="15"/>
      <c r="C4670" s="15">
        <v>2.15</v>
      </c>
      <c r="D4670" s="15">
        <v>1.94</v>
      </c>
      <c r="E4670" s="15">
        <v>1.95</v>
      </c>
      <c r="F4670" s="15" t="str">
        <f t="shared" si="1"/>
        <v/>
      </c>
      <c r="G4670" s="15">
        <f t="shared" si="2"/>
        <v>2.15</v>
      </c>
      <c r="H4670" s="16">
        <v>0.0</v>
      </c>
      <c r="I4670" s="15" t="str">
        <f t="shared" si="3"/>
        <v/>
      </c>
      <c r="J4670" s="15"/>
      <c r="K4670" s="16">
        <f>IF(COUNTIFS(Release_Calendar!$A$2:$A$755,"US_CPI",Release_Calendar!$B$2:$B$755,$A4670)&gt;0,1,0)</f>
        <v>0</v>
      </c>
      <c r="L4670" s="16">
        <f>IF(COUNTIFS(Release_Calendar!$A$2:$A$755,"US_NFP",Release_Calendar!$B$2:$B$755,$A4670)&gt;0,1,0)</f>
        <v>0</v>
      </c>
      <c r="M4670" s="16">
        <f>IF($A4670&lt;Notes!$B$5,"",IF(COUNTIFS(Release_Calendar!$A$2:$A$755,"NZ_CPI",Release_Calendar!$B$2:$B$755,$A4670)&gt;0,1,0))</f>
        <v>0</v>
      </c>
      <c r="N4670" s="16">
        <f>IF($A4670&lt;Notes!$B$5,"",IF(COUNTIFS(Release_Calendar!$A$2:$A$755,"NZ_GDP",Release_Calendar!$B$2:$B$755,$A4670)&gt;0,1,0))</f>
        <v>0</v>
      </c>
      <c r="O4670" s="16">
        <f>IF($A4670&lt;Notes!$B$5,"",IF(COUNTIFS(Release_Calendar!$A$2:$A$755,"NZ_LABOUR",Release_Calendar!$B$2:$B$755,$A4670)&gt;0,1,0))</f>
        <v>0</v>
      </c>
      <c r="P4670" s="16">
        <f t="shared" si="4"/>
        <v>0</v>
      </c>
    </row>
    <row r="4671" ht="15.75" customHeight="1">
      <c r="A4671" s="14">
        <v>43063.0</v>
      </c>
      <c r="B4671" s="15">
        <v>1.75</v>
      </c>
      <c r="C4671" s="15">
        <v>2.16</v>
      </c>
      <c r="D4671" s="15">
        <v>1.95</v>
      </c>
      <c r="E4671" s="15">
        <v>1.95</v>
      </c>
      <c r="F4671" s="15">
        <f t="shared" si="1"/>
        <v>0.41</v>
      </c>
      <c r="G4671" s="15">
        <f t="shared" si="2"/>
        <v>2.16</v>
      </c>
      <c r="H4671" s="16">
        <v>0.0</v>
      </c>
      <c r="I4671" s="15">
        <f t="shared" si="3"/>
        <v>0.41</v>
      </c>
      <c r="J4671" s="15">
        <v>9.67</v>
      </c>
      <c r="K4671" s="16">
        <f>IF(COUNTIFS(Release_Calendar!$A$2:$A$755,"US_CPI",Release_Calendar!$B$2:$B$755,$A4671)&gt;0,1,0)</f>
        <v>0</v>
      </c>
      <c r="L4671" s="16">
        <f>IF(COUNTIFS(Release_Calendar!$A$2:$A$755,"US_NFP",Release_Calendar!$B$2:$B$755,$A4671)&gt;0,1,0)</f>
        <v>0</v>
      </c>
      <c r="M4671" s="16">
        <f>IF($A4671&lt;Notes!$B$5,"",IF(COUNTIFS(Release_Calendar!$A$2:$A$755,"NZ_CPI",Release_Calendar!$B$2:$B$755,$A4671)&gt;0,1,0))</f>
        <v>0</v>
      </c>
      <c r="N4671" s="16">
        <f>IF($A4671&lt;Notes!$B$5,"",IF(COUNTIFS(Release_Calendar!$A$2:$A$755,"NZ_GDP",Release_Calendar!$B$2:$B$755,$A4671)&gt;0,1,0))</f>
        <v>0</v>
      </c>
      <c r="O4671" s="16">
        <f>IF($A4671&lt;Notes!$B$5,"",IF(COUNTIFS(Release_Calendar!$A$2:$A$755,"NZ_LABOUR",Release_Calendar!$B$2:$B$755,$A4671)&gt;0,1,0))</f>
        <v>0</v>
      </c>
      <c r="P4671" s="16">
        <f t="shared" si="4"/>
        <v>0</v>
      </c>
    </row>
    <row r="4672" ht="15.75" customHeight="1">
      <c r="A4672" s="14">
        <v>43066.0</v>
      </c>
      <c r="B4672" s="15">
        <v>1.74</v>
      </c>
      <c r="C4672" s="15">
        <v>2.16</v>
      </c>
      <c r="D4672" s="15">
        <v>1.95</v>
      </c>
      <c r="E4672" s="15">
        <v>1.96</v>
      </c>
      <c r="F4672" s="15">
        <f t="shared" si="1"/>
        <v>0.42</v>
      </c>
      <c r="G4672" s="15">
        <f t="shared" si="2"/>
        <v>2.16</v>
      </c>
      <c r="H4672" s="16">
        <v>0.0</v>
      </c>
      <c r="I4672" s="15">
        <f t="shared" si="3"/>
        <v>0.42</v>
      </c>
      <c r="J4672" s="15">
        <v>9.87</v>
      </c>
      <c r="K4672" s="16">
        <f>IF(COUNTIFS(Release_Calendar!$A$2:$A$755,"US_CPI",Release_Calendar!$B$2:$B$755,$A4672)&gt;0,1,0)</f>
        <v>0</v>
      </c>
      <c r="L4672" s="16">
        <f>IF(COUNTIFS(Release_Calendar!$A$2:$A$755,"US_NFP",Release_Calendar!$B$2:$B$755,$A4672)&gt;0,1,0)</f>
        <v>0</v>
      </c>
      <c r="M4672" s="16">
        <f>IF($A4672&lt;Notes!$B$5,"",IF(COUNTIFS(Release_Calendar!$A$2:$A$755,"NZ_CPI",Release_Calendar!$B$2:$B$755,$A4672)&gt;0,1,0))</f>
        <v>0</v>
      </c>
      <c r="N4672" s="16">
        <f>IF($A4672&lt;Notes!$B$5,"",IF(COUNTIFS(Release_Calendar!$A$2:$A$755,"NZ_GDP",Release_Calendar!$B$2:$B$755,$A4672)&gt;0,1,0))</f>
        <v>0</v>
      </c>
      <c r="O4672" s="16">
        <f>IF($A4672&lt;Notes!$B$5,"",IF(COUNTIFS(Release_Calendar!$A$2:$A$755,"NZ_LABOUR",Release_Calendar!$B$2:$B$755,$A4672)&gt;0,1,0))</f>
        <v>0</v>
      </c>
      <c r="P4672" s="16">
        <f t="shared" si="4"/>
        <v>0</v>
      </c>
    </row>
    <row r="4673" ht="15.75" customHeight="1">
      <c r="A4673" s="14">
        <v>43067.0</v>
      </c>
      <c r="B4673" s="15">
        <v>1.75</v>
      </c>
      <c r="C4673" s="15">
        <v>2.15</v>
      </c>
      <c r="D4673" s="15">
        <v>1.96</v>
      </c>
      <c r="E4673" s="15">
        <v>1.94</v>
      </c>
      <c r="F4673" s="15">
        <f t="shared" si="1"/>
        <v>0.4</v>
      </c>
      <c r="G4673" s="15">
        <f t="shared" si="2"/>
        <v>2.15</v>
      </c>
      <c r="H4673" s="16">
        <v>0.0</v>
      </c>
      <c r="I4673" s="15">
        <f t="shared" si="3"/>
        <v>0.4</v>
      </c>
      <c r="J4673" s="15">
        <v>10.03</v>
      </c>
      <c r="K4673" s="16">
        <f>IF(COUNTIFS(Release_Calendar!$A$2:$A$755,"US_CPI",Release_Calendar!$B$2:$B$755,$A4673)&gt;0,1,0)</f>
        <v>0</v>
      </c>
      <c r="L4673" s="16">
        <f>IF(COUNTIFS(Release_Calendar!$A$2:$A$755,"US_NFP",Release_Calendar!$B$2:$B$755,$A4673)&gt;0,1,0)</f>
        <v>0</v>
      </c>
      <c r="M4673" s="16">
        <f>IF($A4673&lt;Notes!$B$5,"",IF(COUNTIFS(Release_Calendar!$A$2:$A$755,"NZ_CPI",Release_Calendar!$B$2:$B$755,$A4673)&gt;0,1,0))</f>
        <v>0</v>
      </c>
      <c r="N4673" s="16">
        <f>IF($A4673&lt;Notes!$B$5,"",IF(COUNTIFS(Release_Calendar!$A$2:$A$755,"NZ_GDP",Release_Calendar!$B$2:$B$755,$A4673)&gt;0,1,0))</f>
        <v>0</v>
      </c>
      <c r="O4673" s="16">
        <f>IF($A4673&lt;Notes!$B$5,"",IF(COUNTIFS(Release_Calendar!$A$2:$A$755,"NZ_LABOUR",Release_Calendar!$B$2:$B$755,$A4673)&gt;0,1,0))</f>
        <v>0</v>
      </c>
      <c r="P4673" s="16">
        <f t="shared" si="4"/>
        <v>0</v>
      </c>
    </row>
    <row r="4674" ht="15.75" customHeight="1">
      <c r="A4674" s="14">
        <v>43068.0</v>
      </c>
      <c r="B4674" s="15">
        <v>1.78</v>
      </c>
      <c r="C4674" s="15">
        <v>2.14</v>
      </c>
      <c r="D4674" s="15">
        <v>1.94</v>
      </c>
      <c r="E4674" s="15">
        <v>1.93</v>
      </c>
      <c r="F4674" s="15">
        <f t="shared" si="1"/>
        <v>0.36</v>
      </c>
      <c r="G4674" s="15">
        <f t="shared" si="2"/>
        <v>2.14</v>
      </c>
      <c r="H4674" s="16">
        <v>0.0</v>
      </c>
      <c r="I4674" s="15">
        <f t="shared" si="3"/>
        <v>0.36</v>
      </c>
      <c r="J4674" s="15">
        <v>10.7</v>
      </c>
      <c r="K4674" s="16">
        <f>IF(COUNTIFS(Release_Calendar!$A$2:$A$755,"US_CPI",Release_Calendar!$B$2:$B$755,$A4674)&gt;0,1,0)</f>
        <v>0</v>
      </c>
      <c r="L4674" s="16">
        <f>IF(COUNTIFS(Release_Calendar!$A$2:$A$755,"US_NFP",Release_Calendar!$B$2:$B$755,$A4674)&gt;0,1,0)</f>
        <v>0</v>
      </c>
      <c r="M4674" s="16">
        <f>IF($A4674&lt;Notes!$B$5,"",IF(COUNTIFS(Release_Calendar!$A$2:$A$755,"NZ_CPI",Release_Calendar!$B$2:$B$755,$A4674)&gt;0,1,0))</f>
        <v>0</v>
      </c>
      <c r="N4674" s="16">
        <f>IF($A4674&lt;Notes!$B$5,"",IF(COUNTIFS(Release_Calendar!$A$2:$A$755,"NZ_GDP",Release_Calendar!$B$2:$B$755,$A4674)&gt;0,1,0))</f>
        <v>0</v>
      </c>
      <c r="O4674" s="16">
        <f>IF($A4674&lt;Notes!$B$5,"",IF(COUNTIFS(Release_Calendar!$A$2:$A$755,"NZ_LABOUR",Release_Calendar!$B$2:$B$755,$A4674)&gt;0,1,0))</f>
        <v>0</v>
      </c>
      <c r="P4674" s="16">
        <f t="shared" si="4"/>
        <v>0</v>
      </c>
    </row>
    <row r="4675" ht="15.75" customHeight="1">
      <c r="A4675" s="14">
        <v>43069.0</v>
      </c>
      <c r="B4675" s="15">
        <v>1.78</v>
      </c>
      <c r="C4675" s="15">
        <v>2.14</v>
      </c>
      <c r="D4675" s="15">
        <v>1.94</v>
      </c>
      <c r="E4675" s="15">
        <v>1.91</v>
      </c>
      <c r="F4675" s="15">
        <f t="shared" si="1"/>
        <v>0.36</v>
      </c>
      <c r="G4675" s="15">
        <f t="shared" si="2"/>
        <v>2.14</v>
      </c>
      <c r="H4675" s="16">
        <v>0.0</v>
      </c>
      <c r="I4675" s="15">
        <f t="shared" si="3"/>
        <v>0.36</v>
      </c>
      <c r="J4675" s="15">
        <v>11.28</v>
      </c>
      <c r="K4675" s="16">
        <f>IF(COUNTIFS(Release_Calendar!$A$2:$A$755,"US_CPI",Release_Calendar!$B$2:$B$755,$A4675)&gt;0,1,0)</f>
        <v>0</v>
      </c>
      <c r="L4675" s="16">
        <f>IF(COUNTIFS(Release_Calendar!$A$2:$A$755,"US_NFP",Release_Calendar!$B$2:$B$755,$A4675)&gt;0,1,0)</f>
        <v>0</v>
      </c>
      <c r="M4675" s="16">
        <f>IF($A4675&lt;Notes!$B$5,"",IF(COUNTIFS(Release_Calendar!$A$2:$A$755,"NZ_CPI",Release_Calendar!$B$2:$B$755,$A4675)&gt;0,1,0))</f>
        <v>0</v>
      </c>
      <c r="N4675" s="16">
        <f>IF($A4675&lt;Notes!$B$5,"",IF(COUNTIFS(Release_Calendar!$A$2:$A$755,"NZ_GDP",Release_Calendar!$B$2:$B$755,$A4675)&gt;0,1,0))</f>
        <v>0</v>
      </c>
      <c r="O4675" s="16">
        <f>IF($A4675&lt;Notes!$B$5,"",IF(COUNTIFS(Release_Calendar!$A$2:$A$755,"NZ_LABOUR",Release_Calendar!$B$2:$B$755,$A4675)&gt;0,1,0))</f>
        <v>0</v>
      </c>
      <c r="P4675" s="16">
        <f t="shared" si="4"/>
        <v>0</v>
      </c>
    </row>
    <row r="4676" ht="15.75" customHeight="1">
      <c r="A4676" s="14">
        <v>43070.0</v>
      </c>
      <c r="B4676" s="15">
        <v>1.78</v>
      </c>
      <c r="C4676" s="15">
        <v>2.13</v>
      </c>
      <c r="D4676" s="15">
        <v>1.91</v>
      </c>
      <c r="E4676" s="15">
        <v>1.9</v>
      </c>
      <c r="F4676" s="15">
        <f t="shared" si="1"/>
        <v>0.35</v>
      </c>
      <c r="G4676" s="15">
        <f t="shared" si="2"/>
        <v>2.13</v>
      </c>
      <c r="H4676" s="16">
        <v>0.0</v>
      </c>
      <c r="I4676" s="15">
        <f t="shared" si="3"/>
        <v>0.35</v>
      </c>
      <c r="J4676" s="15">
        <v>11.43</v>
      </c>
      <c r="K4676" s="16">
        <f>IF(COUNTIFS(Release_Calendar!$A$2:$A$755,"US_CPI",Release_Calendar!$B$2:$B$755,$A4676)&gt;0,1,0)</f>
        <v>0</v>
      </c>
      <c r="L4676" s="16">
        <f>IF(COUNTIFS(Release_Calendar!$A$2:$A$755,"US_NFP",Release_Calendar!$B$2:$B$755,$A4676)&gt;0,1,0)</f>
        <v>0</v>
      </c>
      <c r="M4676" s="16">
        <f>IF($A4676&lt;Notes!$B$5,"",IF(COUNTIFS(Release_Calendar!$A$2:$A$755,"NZ_CPI",Release_Calendar!$B$2:$B$755,$A4676)&gt;0,1,0))</f>
        <v>0</v>
      </c>
      <c r="N4676" s="16">
        <f>IF($A4676&lt;Notes!$B$5,"",IF(COUNTIFS(Release_Calendar!$A$2:$A$755,"NZ_GDP",Release_Calendar!$B$2:$B$755,$A4676)&gt;0,1,0))</f>
        <v>0</v>
      </c>
      <c r="O4676" s="16">
        <f>IF($A4676&lt;Notes!$B$5,"",IF(COUNTIFS(Release_Calendar!$A$2:$A$755,"NZ_LABOUR",Release_Calendar!$B$2:$B$755,$A4676)&gt;0,1,0))</f>
        <v>0</v>
      </c>
      <c r="P4676" s="16">
        <f t="shared" si="4"/>
        <v>0</v>
      </c>
    </row>
    <row r="4677" ht="15.75" customHeight="1">
      <c r="A4677" s="14">
        <v>43073.0</v>
      </c>
      <c r="B4677" s="15">
        <v>1.8</v>
      </c>
      <c r="C4677" s="15">
        <v>2.14</v>
      </c>
      <c r="D4677" s="15">
        <v>1.92</v>
      </c>
      <c r="E4677" s="15">
        <v>1.92</v>
      </c>
      <c r="F4677" s="15">
        <f t="shared" si="1"/>
        <v>0.34</v>
      </c>
      <c r="G4677" s="15">
        <f t="shared" si="2"/>
        <v>2.14</v>
      </c>
      <c r="H4677" s="16">
        <v>0.0</v>
      </c>
      <c r="I4677" s="15">
        <f t="shared" si="3"/>
        <v>0.34</v>
      </c>
      <c r="J4677" s="15">
        <v>11.68</v>
      </c>
      <c r="K4677" s="16">
        <f>IF(COUNTIFS(Release_Calendar!$A$2:$A$755,"US_CPI",Release_Calendar!$B$2:$B$755,$A4677)&gt;0,1,0)</f>
        <v>0</v>
      </c>
      <c r="L4677" s="16">
        <f>IF(COUNTIFS(Release_Calendar!$A$2:$A$755,"US_NFP",Release_Calendar!$B$2:$B$755,$A4677)&gt;0,1,0)</f>
        <v>0</v>
      </c>
      <c r="M4677" s="16">
        <f>IF($A4677&lt;Notes!$B$5,"",IF(COUNTIFS(Release_Calendar!$A$2:$A$755,"NZ_CPI",Release_Calendar!$B$2:$B$755,$A4677)&gt;0,1,0))</f>
        <v>0</v>
      </c>
      <c r="N4677" s="16">
        <f>IF($A4677&lt;Notes!$B$5,"",IF(COUNTIFS(Release_Calendar!$A$2:$A$755,"NZ_GDP",Release_Calendar!$B$2:$B$755,$A4677)&gt;0,1,0))</f>
        <v>0</v>
      </c>
      <c r="O4677" s="16">
        <f>IF($A4677&lt;Notes!$B$5,"",IF(COUNTIFS(Release_Calendar!$A$2:$A$755,"NZ_LABOUR",Release_Calendar!$B$2:$B$755,$A4677)&gt;0,1,0))</f>
        <v>0</v>
      </c>
      <c r="P4677" s="16">
        <f t="shared" si="4"/>
        <v>0</v>
      </c>
    </row>
    <row r="4678" ht="15.75" customHeight="1">
      <c r="A4678" s="14">
        <v>43074.0</v>
      </c>
      <c r="B4678" s="15">
        <v>1.83</v>
      </c>
      <c r="C4678" s="15">
        <v>2.16</v>
      </c>
      <c r="D4678" s="15">
        <v>1.93</v>
      </c>
      <c r="E4678" s="15">
        <v>1.95</v>
      </c>
      <c r="F4678" s="15">
        <f t="shared" si="1"/>
        <v>0.33</v>
      </c>
      <c r="G4678" s="15">
        <f t="shared" si="2"/>
        <v>2.16</v>
      </c>
      <c r="H4678" s="16">
        <v>0.0</v>
      </c>
      <c r="I4678" s="15">
        <f t="shared" si="3"/>
        <v>0.33</v>
      </c>
      <c r="J4678" s="15">
        <v>11.33</v>
      </c>
      <c r="K4678" s="16">
        <f>IF(COUNTIFS(Release_Calendar!$A$2:$A$755,"US_CPI",Release_Calendar!$B$2:$B$755,$A4678)&gt;0,1,0)</f>
        <v>0</v>
      </c>
      <c r="L4678" s="16">
        <f>IF(COUNTIFS(Release_Calendar!$A$2:$A$755,"US_NFP",Release_Calendar!$B$2:$B$755,$A4678)&gt;0,1,0)</f>
        <v>0</v>
      </c>
      <c r="M4678" s="16">
        <f>IF($A4678&lt;Notes!$B$5,"",IF(COUNTIFS(Release_Calendar!$A$2:$A$755,"NZ_CPI",Release_Calendar!$B$2:$B$755,$A4678)&gt;0,1,0))</f>
        <v>0</v>
      </c>
      <c r="N4678" s="16">
        <f>IF($A4678&lt;Notes!$B$5,"",IF(COUNTIFS(Release_Calendar!$A$2:$A$755,"NZ_GDP",Release_Calendar!$B$2:$B$755,$A4678)&gt;0,1,0))</f>
        <v>0</v>
      </c>
      <c r="O4678" s="16">
        <f>IF($A4678&lt;Notes!$B$5,"",IF(COUNTIFS(Release_Calendar!$A$2:$A$755,"NZ_LABOUR",Release_Calendar!$B$2:$B$755,$A4678)&gt;0,1,0))</f>
        <v>0</v>
      </c>
      <c r="P4678" s="16">
        <f t="shared" si="4"/>
        <v>0</v>
      </c>
    </row>
    <row r="4679" ht="15.75" customHeight="1">
      <c r="A4679" s="14">
        <v>43075.0</v>
      </c>
      <c r="B4679" s="15">
        <v>1.78</v>
      </c>
      <c r="C4679" s="15">
        <v>2.15</v>
      </c>
      <c r="D4679" s="15">
        <v>1.93</v>
      </c>
      <c r="E4679" s="15">
        <v>1.93</v>
      </c>
      <c r="F4679" s="15">
        <f t="shared" si="1"/>
        <v>0.37</v>
      </c>
      <c r="G4679" s="15">
        <f t="shared" si="2"/>
        <v>2.15</v>
      </c>
      <c r="H4679" s="16">
        <v>0.0</v>
      </c>
      <c r="I4679" s="15">
        <f t="shared" si="3"/>
        <v>0.37</v>
      </c>
      <c r="J4679" s="15">
        <v>11.02</v>
      </c>
      <c r="K4679" s="16">
        <f>IF(COUNTIFS(Release_Calendar!$A$2:$A$755,"US_CPI",Release_Calendar!$B$2:$B$755,$A4679)&gt;0,1,0)</f>
        <v>0</v>
      </c>
      <c r="L4679" s="16">
        <f>IF(COUNTIFS(Release_Calendar!$A$2:$A$755,"US_NFP",Release_Calendar!$B$2:$B$755,$A4679)&gt;0,1,0)</f>
        <v>0</v>
      </c>
      <c r="M4679" s="16">
        <f>IF($A4679&lt;Notes!$B$5,"",IF(COUNTIFS(Release_Calendar!$A$2:$A$755,"NZ_CPI",Release_Calendar!$B$2:$B$755,$A4679)&gt;0,1,0))</f>
        <v>0</v>
      </c>
      <c r="N4679" s="16">
        <f>IF($A4679&lt;Notes!$B$5,"",IF(COUNTIFS(Release_Calendar!$A$2:$A$755,"NZ_GDP",Release_Calendar!$B$2:$B$755,$A4679)&gt;0,1,0))</f>
        <v>0</v>
      </c>
      <c r="O4679" s="16">
        <f>IF($A4679&lt;Notes!$B$5,"",IF(COUNTIFS(Release_Calendar!$A$2:$A$755,"NZ_LABOUR",Release_Calendar!$B$2:$B$755,$A4679)&gt;0,1,0))</f>
        <v>0</v>
      </c>
      <c r="P4679" s="16">
        <f t="shared" si="4"/>
        <v>0</v>
      </c>
    </row>
    <row r="4680" ht="15.75" customHeight="1">
      <c r="A4680" s="14">
        <v>43076.0</v>
      </c>
      <c r="B4680" s="15">
        <v>1.8</v>
      </c>
      <c r="C4680" s="15">
        <v>2.15</v>
      </c>
      <c r="D4680" s="15">
        <v>1.93</v>
      </c>
      <c r="E4680" s="15">
        <v>1.93</v>
      </c>
      <c r="F4680" s="15">
        <f t="shared" si="1"/>
        <v>0.35</v>
      </c>
      <c r="G4680" s="15">
        <f t="shared" si="2"/>
        <v>2.15</v>
      </c>
      <c r="H4680" s="16">
        <v>0.0</v>
      </c>
      <c r="I4680" s="15">
        <f t="shared" si="3"/>
        <v>0.35</v>
      </c>
      <c r="J4680" s="15">
        <v>10.16</v>
      </c>
      <c r="K4680" s="16">
        <f>IF(COUNTIFS(Release_Calendar!$A$2:$A$755,"US_CPI",Release_Calendar!$B$2:$B$755,$A4680)&gt;0,1,0)</f>
        <v>0</v>
      </c>
      <c r="L4680" s="16">
        <f>IF(COUNTIFS(Release_Calendar!$A$2:$A$755,"US_NFP",Release_Calendar!$B$2:$B$755,$A4680)&gt;0,1,0)</f>
        <v>0</v>
      </c>
      <c r="M4680" s="16">
        <f>IF($A4680&lt;Notes!$B$5,"",IF(COUNTIFS(Release_Calendar!$A$2:$A$755,"NZ_CPI",Release_Calendar!$B$2:$B$755,$A4680)&gt;0,1,0))</f>
        <v>0</v>
      </c>
      <c r="N4680" s="16">
        <f>IF($A4680&lt;Notes!$B$5,"",IF(COUNTIFS(Release_Calendar!$A$2:$A$755,"NZ_GDP",Release_Calendar!$B$2:$B$755,$A4680)&gt;0,1,0))</f>
        <v>0</v>
      </c>
      <c r="O4680" s="16">
        <f>IF($A4680&lt;Notes!$B$5,"",IF(COUNTIFS(Release_Calendar!$A$2:$A$755,"NZ_LABOUR",Release_Calendar!$B$2:$B$755,$A4680)&gt;0,1,0))</f>
        <v>0</v>
      </c>
      <c r="P4680" s="16">
        <f t="shared" si="4"/>
        <v>0</v>
      </c>
    </row>
    <row r="4681" ht="15.75" customHeight="1">
      <c r="A4681" s="14">
        <v>43077.0</v>
      </c>
      <c r="B4681" s="15">
        <v>1.8</v>
      </c>
      <c r="C4681" s="15">
        <v>2.15</v>
      </c>
      <c r="D4681" s="15">
        <v>1.94</v>
      </c>
      <c r="E4681" s="15">
        <v>1.94</v>
      </c>
      <c r="F4681" s="15">
        <f t="shared" si="1"/>
        <v>0.35</v>
      </c>
      <c r="G4681" s="15">
        <f t="shared" si="2"/>
        <v>2.15</v>
      </c>
      <c r="H4681" s="16">
        <v>0.0</v>
      </c>
      <c r="I4681" s="15">
        <f t="shared" si="3"/>
        <v>0.35</v>
      </c>
      <c r="J4681" s="15">
        <v>9.58</v>
      </c>
      <c r="K4681" s="16">
        <f>IF(COUNTIFS(Release_Calendar!$A$2:$A$755,"US_CPI",Release_Calendar!$B$2:$B$755,$A4681)&gt;0,1,0)</f>
        <v>0</v>
      </c>
      <c r="L4681" s="16">
        <f>IF(COUNTIFS(Release_Calendar!$A$2:$A$755,"US_NFP",Release_Calendar!$B$2:$B$755,$A4681)&gt;0,1,0)</f>
        <v>1</v>
      </c>
      <c r="M4681" s="16">
        <f>IF($A4681&lt;Notes!$B$5,"",IF(COUNTIFS(Release_Calendar!$A$2:$A$755,"NZ_CPI",Release_Calendar!$B$2:$B$755,$A4681)&gt;0,1,0))</f>
        <v>0</v>
      </c>
      <c r="N4681" s="16">
        <f>IF($A4681&lt;Notes!$B$5,"",IF(COUNTIFS(Release_Calendar!$A$2:$A$755,"NZ_GDP",Release_Calendar!$B$2:$B$755,$A4681)&gt;0,1,0))</f>
        <v>0</v>
      </c>
      <c r="O4681" s="16">
        <f>IF($A4681&lt;Notes!$B$5,"",IF(COUNTIFS(Release_Calendar!$A$2:$A$755,"NZ_LABOUR",Release_Calendar!$B$2:$B$755,$A4681)&gt;0,1,0))</f>
        <v>0</v>
      </c>
      <c r="P4681" s="16">
        <f t="shared" si="4"/>
        <v>1</v>
      </c>
    </row>
    <row r="4682" ht="15.75" customHeight="1">
      <c r="A4682" s="14">
        <v>43080.0</v>
      </c>
      <c r="B4682" s="15">
        <v>1.82</v>
      </c>
      <c r="C4682" s="15">
        <v>2.16</v>
      </c>
      <c r="D4682" s="15">
        <v>1.95</v>
      </c>
      <c r="E4682" s="15">
        <v>1.96</v>
      </c>
      <c r="F4682" s="15">
        <f t="shared" si="1"/>
        <v>0.34</v>
      </c>
      <c r="G4682" s="15">
        <f t="shared" si="2"/>
        <v>2.16</v>
      </c>
      <c r="H4682" s="16">
        <v>0.0</v>
      </c>
      <c r="I4682" s="15">
        <f t="shared" si="3"/>
        <v>0.34</v>
      </c>
      <c r="J4682" s="15">
        <v>9.34</v>
      </c>
      <c r="K4682" s="16">
        <f>IF(COUNTIFS(Release_Calendar!$A$2:$A$755,"US_CPI",Release_Calendar!$B$2:$B$755,$A4682)&gt;0,1,0)</f>
        <v>0</v>
      </c>
      <c r="L4682" s="16">
        <f>IF(COUNTIFS(Release_Calendar!$A$2:$A$755,"US_NFP",Release_Calendar!$B$2:$B$755,$A4682)&gt;0,1,0)</f>
        <v>0</v>
      </c>
      <c r="M4682" s="16">
        <f>IF($A4682&lt;Notes!$B$5,"",IF(COUNTIFS(Release_Calendar!$A$2:$A$755,"NZ_CPI",Release_Calendar!$B$2:$B$755,$A4682)&gt;0,1,0))</f>
        <v>0</v>
      </c>
      <c r="N4682" s="16">
        <f>IF($A4682&lt;Notes!$B$5,"",IF(COUNTIFS(Release_Calendar!$A$2:$A$755,"NZ_GDP",Release_Calendar!$B$2:$B$755,$A4682)&gt;0,1,0))</f>
        <v>0</v>
      </c>
      <c r="O4682" s="16">
        <f>IF($A4682&lt;Notes!$B$5,"",IF(COUNTIFS(Release_Calendar!$A$2:$A$755,"NZ_LABOUR",Release_Calendar!$B$2:$B$755,$A4682)&gt;0,1,0))</f>
        <v>0</v>
      </c>
      <c r="P4682" s="16">
        <f t="shared" si="4"/>
        <v>0</v>
      </c>
    </row>
    <row r="4683" ht="15.75" customHeight="1">
      <c r="A4683" s="14">
        <v>43081.0</v>
      </c>
      <c r="B4683" s="15">
        <v>1.83</v>
      </c>
      <c r="C4683" s="15">
        <v>2.17</v>
      </c>
      <c r="D4683" s="15">
        <v>1.96</v>
      </c>
      <c r="E4683" s="15">
        <v>1.97</v>
      </c>
      <c r="F4683" s="15">
        <f t="shared" si="1"/>
        <v>0.34</v>
      </c>
      <c r="G4683" s="15">
        <f t="shared" si="2"/>
        <v>2.17</v>
      </c>
      <c r="H4683" s="16">
        <v>0.0</v>
      </c>
      <c r="I4683" s="15">
        <f t="shared" si="3"/>
        <v>0.34</v>
      </c>
      <c r="J4683" s="15">
        <v>9.92</v>
      </c>
      <c r="K4683" s="16">
        <f>IF(COUNTIFS(Release_Calendar!$A$2:$A$755,"US_CPI",Release_Calendar!$B$2:$B$755,$A4683)&gt;0,1,0)</f>
        <v>0</v>
      </c>
      <c r="L4683" s="16">
        <f>IF(COUNTIFS(Release_Calendar!$A$2:$A$755,"US_NFP",Release_Calendar!$B$2:$B$755,$A4683)&gt;0,1,0)</f>
        <v>0</v>
      </c>
      <c r="M4683" s="16">
        <f>IF($A4683&lt;Notes!$B$5,"",IF(COUNTIFS(Release_Calendar!$A$2:$A$755,"NZ_CPI",Release_Calendar!$B$2:$B$755,$A4683)&gt;0,1,0))</f>
        <v>0</v>
      </c>
      <c r="N4683" s="16">
        <f>IF($A4683&lt;Notes!$B$5,"",IF(COUNTIFS(Release_Calendar!$A$2:$A$755,"NZ_GDP",Release_Calendar!$B$2:$B$755,$A4683)&gt;0,1,0))</f>
        <v>0</v>
      </c>
      <c r="O4683" s="16">
        <f>IF($A4683&lt;Notes!$B$5,"",IF(COUNTIFS(Release_Calendar!$A$2:$A$755,"NZ_LABOUR",Release_Calendar!$B$2:$B$755,$A4683)&gt;0,1,0))</f>
        <v>0</v>
      </c>
      <c r="P4683" s="16">
        <f t="shared" si="4"/>
        <v>0</v>
      </c>
    </row>
    <row r="4684" ht="15.75" customHeight="1">
      <c r="A4684" s="14">
        <v>43082.0</v>
      </c>
      <c r="B4684" s="15">
        <v>1.79</v>
      </c>
      <c r="C4684" s="15">
        <v>2.17</v>
      </c>
      <c r="D4684" s="15">
        <v>1.96</v>
      </c>
      <c r="E4684" s="15">
        <v>1.95</v>
      </c>
      <c r="F4684" s="15">
        <f t="shared" si="1"/>
        <v>0.38</v>
      </c>
      <c r="G4684" s="15">
        <f t="shared" si="2"/>
        <v>2.17</v>
      </c>
      <c r="H4684" s="16">
        <v>0.0</v>
      </c>
      <c r="I4684" s="15">
        <f t="shared" si="3"/>
        <v>0.38</v>
      </c>
      <c r="J4684" s="15">
        <v>10.18</v>
      </c>
      <c r="K4684" s="16">
        <f>IF(COUNTIFS(Release_Calendar!$A$2:$A$755,"US_CPI",Release_Calendar!$B$2:$B$755,$A4684)&gt;0,1,0)</f>
        <v>1</v>
      </c>
      <c r="L4684" s="16">
        <f>IF(COUNTIFS(Release_Calendar!$A$2:$A$755,"US_NFP",Release_Calendar!$B$2:$B$755,$A4684)&gt;0,1,0)</f>
        <v>0</v>
      </c>
      <c r="M4684" s="16">
        <f>IF($A4684&lt;Notes!$B$5,"",IF(COUNTIFS(Release_Calendar!$A$2:$A$755,"NZ_CPI",Release_Calendar!$B$2:$B$755,$A4684)&gt;0,1,0))</f>
        <v>0</v>
      </c>
      <c r="N4684" s="16">
        <f>IF($A4684&lt;Notes!$B$5,"",IF(COUNTIFS(Release_Calendar!$A$2:$A$755,"NZ_GDP",Release_Calendar!$B$2:$B$755,$A4684)&gt;0,1,0))</f>
        <v>0</v>
      </c>
      <c r="O4684" s="16">
        <f>IF($A4684&lt;Notes!$B$5,"",IF(COUNTIFS(Release_Calendar!$A$2:$A$755,"NZ_LABOUR",Release_Calendar!$B$2:$B$755,$A4684)&gt;0,1,0))</f>
        <v>0</v>
      </c>
      <c r="P4684" s="16">
        <f t="shared" si="4"/>
        <v>1</v>
      </c>
    </row>
    <row r="4685" ht="15.75" customHeight="1">
      <c r="A4685" s="14">
        <v>43083.0</v>
      </c>
      <c r="B4685" s="15">
        <v>1.82</v>
      </c>
      <c r="C4685" s="15">
        <v>2.17</v>
      </c>
      <c r="D4685" s="15">
        <v>1.93</v>
      </c>
      <c r="E4685" s="15">
        <v>1.93</v>
      </c>
      <c r="F4685" s="15">
        <f t="shared" si="1"/>
        <v>0.35</v>
      </c>
      <c r="G4685" s="15">
        <f t="shared" si="2"/>
        <v>2.17</v>
      </c>
      <c r="H4685" s="16">
        <v>0.0</v>
      </c>
      <c r="I4685" s="15">
        <f t="shared" si="3"/>
        <v>0.35</v>
      </c>
      <c r="J4685" s="15">
        <v>10.49</v>
      </c>
      <c r="K4685" s="16">
        <f>IF(COUNTIFS(Release_Calendar!$A$2:$A$755,"US_CPI",Release_Calendar!$B$2:$B$755,$A4685)&gt;0,1,0)</f>
        <v>0</v>
      </c>
      <c r="L4685" s="16">
        <f>IF(COUNTIFS(Release_Calendar!$A$2:$A$755,"US_NFP",Release_Calendar!$B$2:$B$755,$A4685)&gt;0,1,0)</f>
        <v>0</v>
      </c>
      <c r="M4685" s="16">
        <f>IF($A4685&lt;Notes!$B$5,"",IF(COUNTIFS(Release_Calendar!$A$2:$A$755,"NZ_CPI",Release_Calendar!$B$2:$B$755,$A4685)&gt;0,1,0))</f>
        <v>0</v>
      </c>
      <c r="N4685" s="16">
        <f>IF($A4685&lt;Notes!$B$5,"",IF(COUNTIFS(Release_Calendar!$A$2:$A$755,"NZ_GDP",Release_Calendar!$B$2:$B$755,$A4685)&gt;0,1,0))</f>
        <v>0</v>
      </c>
      <c r="O4685" s="16">
        <f>IF($A4685&lt;Notes!$B$5,"",IF(COUNTIFS(Release_Calendar!$A$2:$A$755,"NZ_LABOUR",Release_Calendar!$B$2:$B$755,$A4685)&gt;0,1,0))</f>
        <v>0</v>
      </c>
      <c r="P4685" s="16">
        <f t="shared" si="4"/>
        <v>0</v>
      </c>
    </row>
    <row r="4686" ht="15.75" customHeight="1">
      <c r="A4686" s="14">
        <v>43084.0</v>
      </c>
      <c r="B4686" s="15">
        <v>1.84</v>
      </c>
      <c r="C4686" s="15">
        <v>2.17</v>
      </c>
      <c r="D4686" s="15">
        <v>1.91</v>
      </c>
      <c r="E4686" s="15">
        <v>1.92</v>
      </c>
      <c r="F4686" s="15">
        <f t="shared" si="1"/>
        <v>0.33</v>
      </c>
      <c r="G4686" s="15">
        <f t="shared" si="2"/>
        <v>2.17</v>
      </c>
      <c r="H4686" s="16">
        <v>0.0</v>
      </c>
      <c r="I4686" s="15">
        <f t="shared" si="3"/>
        <v>0.33</v>
      </c>
      <c r="J4686" s="15">
        <v>9.42</v>
      </c>
      <c r="K4686" s="16">
        <f>IF(COUNTIFS(Release_Calendar!$A$2:$A$755,"US_CPI",Release_Calendar!$B$2:$B$755,$A4686)&gt;0,1,0)</f>
        <v>0</v>
      </c>
      <c r="L4686" s="16">
        <f>IF(COUNTIFS(Release_Calendar!$A$2:$A$755,"US_NFP",Release_Calendar!$B$2:$B$755,$A4686)&gt;0,1,0)</f>
        <v>0</v>
      </c>
      <c r="M4686" s="16">
        <f>IF($A4686&lt;Notes!$B$5,"",IF(COUNTIFS(Release_Calendar!$A$2:$A$755,"NZ_CPI",Release_Calendar!$B$2:$B$755,$A4686)&gt;0,1,0))</f>
        <v>0</v>
      </c>
      <c r="N4686" s="16">
        <f>IF($A4686&lt;Notes!$B$5,"",IF(COUNTIFS(Release_Calendar!$A$2:$A$755,"NZ_GDP",Release_Calendar!$B$2:$B$755,$A4686)&gt;0,1,0))</f>
        <v>0</v>
      </c>
      <c r="O4686" s="16">
        <f>IF($A4686&lt;Notes!$B$5,"",IF(COUNTIFS(Release_Calendar!$A$2:$A$755,"NZ_LABOUR",Release_Calendar!$B$2:$B$755,$A4686)&gt;0,1,0))</f>
        <v>0</v>
      </c>
      <c r="P4686" s="16">
        <f t="shared" si="4"/>
        <v>0</v>
      </c>
    </row>
    <row r="4687" ht="15.75" customHeight="1">
      <c r="A4687" s="14">
        <v>43087.0</v>
      </c>
      <c r="B4687" s="15">
        <v>1.84</v>
      </c>
      <c r="C4687" s="15">
        <v>2.18</v>
      </c>
      <c r="D4687" s="15">
        <v>1.94</v>
      </c>
      <c r="E4687" s="15">
        <v>1.93</v>
      </c>
      <c r="F4687" s="15">
        <f t="shared" si="1"/>
        <v>0.34</v>
      </c>
      <c r="G4687" s="15">
        <f t="shared" si="2"/>
        <v>2.18</v>
      </c>
      <c r="H4687" s="16">
        <v>0.0</v>
      </c>
      <c r="I4687" s="15">
        <f t="shared" si="3"/>
        <v>0.34</v>
      </c>
      <c r="J4687" s="15">
        <v>9.53</v>
      </c>
      <c r="K4687" s="16">
        <f>IF(COUNTIFS(Release_Calendar!$A$2:$A$755,"US_CPI",Release_Calendar!$B$2:$B$755,$A4687)&gt;0,1,0)</f>
        <v>0</v>
      </c>
      <c r="L4687" s="16">
        <f>IF(COUNTIFS(Release_Calendar!$A$2:$A$755,"US_NFP",Release_Calendar!$B$2:$B$755,$A4687)&gt;0,1,0)</f>
        <v>0</v>
      </c>
      <c r="M4687" s="16">
        <f>IF($A4687&lt;Notes!$B$5,"",IF(COUNTIFS(Release_Calendar!$A$2:$A$755,"NZ_CPI",Release_Calendar!$B$2:$B$755,$A4687)&gt;0,1,0))</f>
        <v>0</v>
      </c>
      <c r="N4687" s="16">
        <f>IF($A4687&lt;Notes!$B$5,"",IF(COUNTIFS(Release_Calendar!$A$2:$A$755,"NZ_GDP",Release_Calendar!$B$2:$B$755,$A4687)&gt;0,1,0))</f>
        <v>0</v>
      </c>
      <c r="O4687" s="16">
        <f>IF($A4687&lt;Notes!$B$5,"",IF(COUNTIFS(Release_Calendar!$A$2:$A$755,"NZ_LABOUR",Release_Calendar!$B$2:$B$755,$A4687)&gt;0,1,0))</f>
        <v>0</v>
      </c>
      <c r="P4687" s="16">
        <f t="shared" si="4"/>
        <v>0</v>
      </c>
    </row>
    <row r="4688" ht="15.75" customHeight="1">
      <c r="A4688" s="14">
        <v>43088.0</v>
      </c>
      <c r="B4688" s="15">
        <v>1.87</v>
      </c>
      <c r="C4688" s="15">
        <v>2.19</v>
      </c>
      <c r="D4688" s="15">
        <v>1.92</v>
      </c>
      <c r="E4688" s="15">
        <v>1.91</v>
      </c>
      <c r="F4688" s="15">
        <f t="shared" si="1"/>
        <v>0.32</v>
      </c>
      <c r="G4688" s="15">
        <f t="shared" si="2"/>
        <v>2.19</v>
      </c>
      <c r="H4688" s="16">
        <v>0.0</v>
      </c>
      <c r="I4688" s="15">
        <f t="shared" si="3"/>
        <v>0.32</v>
      </c>
      <c r="J4688" s="15">
        <v>10.03</v>
      </c>
      <c r="K4688" s="16">
        <f>IF(COUNTIFS(Release_Calendar!$A$2:$A$755,"US_CPI",Release_Calendar!$B$2:$B$755,$A4688)&gt;0,1,0)</f>
        <v>0</v>
      </c>
      <c r="L4688" s="16">
        <f>IF(COUNTIFS(Release_Calendar!$A$2:$A$755,"US_NFP",Release_Calendar!$B$2:$B$755,$A4688)&gt;0,1,0)</f>
        <v>0</v>
      </c>
      <c r="M4688" s="16">
        <f>IF($A4688&lt;Notes!$B$5,"",IF(COUNTIFS(Release_Calendar!$A$2:$A$755,"NZ_CPI",Release_Calendar!$B$2:$B$755,$A4688)&gt;0,1,0))</f>
        <v>0</v>
      </c>
      <c r="N4688" s="16">
        <f>IF($A4688&lt;Notes!$B$5,"",IF(COUNTIFS(Release_Calendar!$A$2:$A$755,"NZ_GDP",Release_Calendar!$B$2:$B$755,$A4688)&gt;0,1,0))</f>
        <v>0</v>
      </c>
      <c r="O4688" s="16">
        <f>IF($A4688&lt;Notes!$B$5,"",IF(COUNTIFS(Release_Calendar!$A$2:$A$755,"NZ_LABOUR",Release_Calendar!$B$2:$B$755,$A4688)&gt;0,1,0))</f>
        <v>0</v>
      </c>
      <c r="P4688" s="16">
        <f t="shared" si="4"/>
        <v>0</v>
      </c>
    </row>
    <row r="4689" ht="15.75" customHeight="1">
      <c r="A4689" s="14">
        <v>43089.0</v>
      </c>
      <c r="B4689" s="15">
        <v>1.87</v>
      </c>
      <c r="C4689" s="15">
        <v>2.18</v>
      </c>
      <c r="D4689" s="15">
        <v>1.93</v>
      </c>
      <c r="E4689" s="15">
        <v>1.9</v>
      </c>
      <c r="F4689" s="15">
        <f t="shared" si="1"/>
        <v>0.31</v>
      </c>
      <c r="G4689" s="15">
        <f t="shared" si="2"/>
        <v>2.18</v>
      </c>
      <c r="H4689" s="16">
        <v>0.0</v>
      </c>
      <c r="I4689" s="15">
        <f t="shared" si="3"/>
        <v>0.31</v>
      </c>
      <c r="J4689" s="15">
        <v>9.72</v>
      </c>
      <c r="K4689" s="16">
        <f>IF(COUNTIFS(Release_Calendar!$A$2:$A$755,"US_CPI",Release_Calendar!$B$2:$B$755,$A4689)&gt;0,1,0)</f>
        <v>0</v>
      </c>
      <c r="L4689" s="16">
        <f>IF(COUNTIFS(Release_Calendar!$A$2:$A$755,"US_NFP",Release_Calendar!$B$2:$B$755,$A4689)&gt;0,1,0)</f>
        <v>0</v>
      </c>
      <c r="M4689" s="16">
        <f>IF($A4689&lt;Notes!$B$5,"",IF(COUNTIFS(Release_Calendar!$A$2:$A$755,"NZ_CPI",Release_Calendar!$B$2:$B$755,$A4689)&gt;0,1,0))</f>
        <v>0</v>
      </c>
      <c r="N4689" s="16">
        <f>IF($A4689&lt;Notes!$B$5,"",IF(COUNTIFS(Release_Calendar!$A$2:$A$755,"NZ_GDP",Release_Calendar!$B$2:$B$755,$A4689)&gt;0,1,0))</f>
        <v>0</v>
      </c>
      <c r="O4689" s="16">
        <f>IF($A4689&lt;Notes!$B$5,"",IF(COUNTIFS(Release_Calendar!$A$2:$A$755,"NZ_LABOUR",Release_Calendar!$B$2:$B$755,$A4689)&gt;0,1,0))</f>
        <v>0</v>
      </c>
      <c r="P4689" s="16">
        <f t="shared" si="4"/>
        <v>0</v>
      </c>
    </row>
    <row r="4690" ht="15.75" customHeight="1">
      <c r="A4690" s="14">
        <v>43090.0</v>
      </c>
      <c r="B4690" s="15">
        <v>1.89</v>
      </c>
      <c r="C4690" s="15">
        <v>2.2</v>
      </c>
      <c r="D4690" s="15">
        <v>1.91</v>
      </c>
      <c r="E4690" s="15">
        <v>1.9</v>
      </c>
      <c r="F4690" s="15">
        <f t="shared" si="1"/>
        <v>0.31</v>
      </c>
      <c r="G4690" s="15">
        <f t="shared" si="2"/>
        <v>2.2</v>
      </c>
      <c r="H4690" s="16">
        <v>0.0</v>
      </c>
      <c r="I4690" s="15">
        <f t="shared" si="3"/>
        <v>0.31</v>
      </c>
      <c r="J4690" s="15">
        <v>9.62</v>
      </c>
      <c r="K4690" s="16">
        <f>IF(COUNTIFS(Release_Calendar!$A$2:$A$755,"US_CPI",Release_Calendar!$B$2:$B$755,$A4690)&gt;0,1,0)</f>
        <v>0</v>
      </c>
      <c r="L4690" s="16">
        <f>IF(COUNTIFS(Release_Calendar!$A$2:$A$755,"US_NFP",Release_Calendar!$B$2:$B$755,$A4690)&gt;0,1,0)</f>
        <v>0</v>
      </c>
      <c r="M4690" s="16">
        <f>IF($A4690&lt;Notes!$B$5,"",IF(COUNTIFS(Release_Calendar!$A$2:$A$755,"NZ_CPI",Release_Calendar!$B$2:$B$755,$A4690)&gt;0,1,0))</f>
        <v>0</v>
      </c>
      <c r="N4690" s="16">
        <f>IF($A4690&lt;Notes!$B$5,"",IF(COUNTIFS(Release_Calendar!$A$2:$A$755,"NZ_GDP",Release_Calendar!$B$2:$B$755,$A4690)&gt;0,1,0))</f>
        <v>1</v>
      </c>
      <c r="O4690" s="16">
        <f>IF($A4690&lt;Notes!$B$5,"",IF(COUNTIFS(Release_Calendar!$A$2:$A$755,"NZ_LABOUR",Release_Calendar!$B$2:$B$755,$A4690)&gt;0,1,0))</f>
        <v>0</v>
      </c>
      <c r="P4690" s="16">
        <f t="shared" si="4"/>
        <v>1</v>
      </c>
    </row>
    <row r="4691" ht="15.75" customHeight="1">
      <c r="A4691" s="14">
        <v>43091.0</v>
      </c>
      <c r="B4691" s="15">
        <v>1.91</v>
      </c>
      <c r="C4691" s="15">
        <v>2.2</v>
      </c>
      <c r="D4691" s="15">
        <v>1.9</v>
      </c>
      <c r="E4691" s="15">
        <v>1.9</v>
      </c>
      <c r="F4691" s="15">
        <f t="shared" si="1"/>
        <v>0.29</v>
      </c>
      <c r="G4691" s="15">
        <f t="shared" si="2"/>
        <v>2.2</v>
      </c>
      <c r="H4691" s="16">
        <v>0.0</v>
      </c>
      <c r="I4691" s="15">
        <f t="shared" si="3"/>
        <v>0.29</v>
      </c>
      <c r="J4691" s="15">
        <v>9.9</v>
      </c>
      <c r="K4691" s="16">
        <f>IF(COUNTIFS(Release_Calendar!$A$2:$A$755,"US_CPI",Release_Calendar!$B$2:$B$755,$A4691)&gt;0,1,0)</f>
        <v>0</v>
      </c>
      <c r="L4691" s="16">
        <f>IF(COUNTIFS(Release_Calendar!$A$2:$A$755,"US_NFP",Release_Calendar!$B$2:$B$755,$A4691)&gt;0,1,0)</f>
        <v>0</v>
      </c>
      <c r="M4691" s="16">
        <f>IF($A4691&lt;Notes!$B$5,"",IF(COUNTIFS(Release_Calendar!$A$2:$A$755,"NZ_CPI",Release_Calendar!$B$2:$B$755,$A4691)&gt;0,1,0))</f>
        <v>0</v>
      </c>
      <c r="N4691" s="16">
        <f>IF($A4691&lt;Notes!$B$5,"",IF(COUNTIFS(Release_Calendar!$A$2:$A$755,"NZ_GDP",Release_Calendar!$B$2:$B$755,$A4691)&gt;0,1,0))</f>
        <v>0</v>
      </c>
      <c r="O4691" s="16">
        <f>IF($A4691&lt;Notes!$B$5,"",IF(COUNTIFS(Release_Calendar!$A$2:$A$755,"NZ_LABOUR",Release_Calendar!$B$2:$B$755,$A4691)&gt;0,1,0))</f>
        <v>0</v>
      </c>
      <c r="P4691" s="16">
        <f t="shared" si="4"/>
        <v>0</v>
      </c>
    </row>
    <row r="4692" ht="15.75" customHeight="1">
      <c r="A4692" s="14">
        <v>43094.0</v>
      </c>
      <c r="B4692" s="15"/>
      <c r="C4692" s="15"/>
      <c r="D4692" s="15"/>
      <c r="E4692" s="15"/>
      <c r="F4692" s="15" t="str">
        <f t="shared" si="1"/>
        <v/>
      </c>
      <c r="G4692" s="15" t="str">
        <f t="shared" si="2"/>
        <v/>
      </c>
      <c r="H4692" s="16">
        <v>0.0</v>
      </c>
      <c r="I4692" s="15" t="str">
        <f t="shared" si="3"/>
        <v/>
      </c>
      <c r="J4692" s="15"/>
      <c r="K4692" s="16">
        <f>IF(COUNTIFS(Release_Calendar!$A$2:$A$755,"US_CPI",Release_Calendar!$B$2:$B$755,$A4692)&gt;0,1,0)</f>
        <v>0</v>
      </c>
      <c r="L4692" s="16">
        <f>IF(COUNTIFS(Release_Calendar!$A$2:$A$755,"US_NFP",Release_Calendar!$B$2:$B$755,$A4692)&gt;0,1,0)</f>
        <v>0</v>
      </c>
      <c r="M4692" s="16">
        <f>IF($A4692&lt;Notes!$B$5,"",IF(COUNTIFS(Release_Calendar!$A$2:$A$755,"NZ_CPI",Release_Calendar!$B$2:$B$755,$A4692)&gt;0,1,0))</f>
        <v>0</v>
      </c>
      <c r="N4692" s="16">
        <f>IF($A4692&lt;Notes!$B$5,"",IF(COUNTIFS(Release_Calendar!$A$2:$A$755,"NZ_GDP",Release_Calendar!$B$2:$B$755,$A4692)&gt;0,1,0))</f>
        <v>0</v>
      </c>
      <c r="O4692" s="16">
        <f>IF($A4692&lt;Notes!$B$5,"",IF(COUNTIFS(Release_Calendar!$A$2:$A$755,"NZ_LABOUR",Release_Calendar!$B$2:$B$755,$A4692)&gt;0,1,0))</f>
        <v>0</v>
      </c>
      <c r="P4692" s="16">
        <f t="shared" si="4"/>
        <v>0</v>
      </c>
    </row>
    <row r="4693" ht="15.75" customHeight="1">
      <c r="A4693" s="14">
        <v>43095.0</v>
      </c>
      <c r="B4693" s="15">
        <v>1.92</v>
      </c>
      <c r="C4693" s="15"/>
      <c r="D4693" s="15"/>
      <c r="E4693" s="15"/>
      <c r="F4693" s="15" t="str">
        <f t="shared" si="1"/>
        <v/>
      </c>
      <c r="G4693" s="15" t="str">
        <f t="shared" si="2"/>
        <v/>
      </c>
      <c r="H4693" s="16">
        <v>0.0</v>
      </c>
      <c r="I4693" s="15" t="str">
        <f t="shared" si="3"/>
        <v/>
      </c>
      <c r="J4693" s="15">
        <v>10.25</v>
      </c>
      <c r="K4693" s="16">
        <f>IF(COUNTIFS(Release_Calendar!$A$2:$A$755,"US_CPI",Release_Calendar!$B$2:$B$755,$A4693)&gt;0,1,0)</f>
        <v>0</v>
      </c>
      <c r="L4693" s="16">
        <f>IF(COUNTIFS(Release_Calendar!$A$2:$A$755,"US_NFP",Release_Calendar!$B$2:$B$755,$A4693)&gt;0,1,0)</f>
        <v>0</v>
      </c>
      <c r="M4693" s="16">
        <f>IF($A4693&lt;Notes!$B$5,"",IF(COUNTIFS(Release_Calendar!$A$2:$A$755,"NZ_CPI",Release_Calendar!$B$2:$B$755,$A4693)&gt;0,1,0))</f>
        <v>0</v>
      </c>
      <c r="N4693" s="16">
        <f>IF($A4693&lt;Notes!$B$5,"",IF(COUNTIFS(Release_Calendar!$A$2:$A$755,"NZ_GDP",Release_Calendar!$B$2:$B$755,$A4693)&gt;0,1,0))</f>
        <v>0</v>
      </c>
      <c r="O4693" s="16">
        <f>IF($A4693&lt;Notes!$B$5,"",IF(COUNTIFS(Release_Calendar!$A$2:$A$755,"NZ_LABOUR",Release_Calendar!$B$2:$B$755,$A4693)&gt;0,1,0))</f>
        <v>0</v>
      </c>
      <c r="P4693" s="16">
        <f t="shared" si="4"/>
        <v>0</v>
      </c>
    </row>
    <row r="4694" ht="15.75" customHeight="1">
      <c r="A4694" s="14">
        <v>43096.0</v>
      </c>
      <c r="B4694" s="15">
        <v>1.89</v>
      </c>
      <c r="C4694" s="15">
        <v>2.22</v>
      </c>
      <c r="D4694" s="15">
        <v>1.9</v>
      </c>
      <c r="E4694" s="15">
        <v>1.89</v>
      </c>
      <c r="F4694" s="15">
        <f t="shared" si="1"/>
        <v>0.33</v>
      </c>
      <c r="G4694" s="15">
        <f t="shared" si="2"/>
        <v>2.22</v>
      </c>
      <c r="H4694" s="16">
        <v>0.0</v>
      </c>
      <c r="I4694" s="15">
        <f t="shared" si="3"/>
        <v>0.33</v>
      </c>
      <c r="J4694" s="15">
        <v>10.47</v>
      </c>
      <c r="K4694" s="16">
        <f>IF(COUNTIFS(Release_Calendar!$A$2:$A$755,"US_CPI",Release_Calendar!$B$2:$B$755,$A4694)&gt;0,1,0)</f>
        <v>0</v>
      </c>
      <c r="L4694" s="16">
        <f>IF(COUNTIFS(Release_Calendar!$A$2:$A$755,"US_NFP",Release_Calendar!$B$2:$B$755,$A4694)&gt;0,1,0)</f>
        <v>0</v>
      </c>
      <c r="M4694" s="16">
        <f>IF($A4694&lt;Notes!$B$5,"",IF(COUNTIFS(Release_Calendar!$A$2:$A$755,"NZ_CPI",Release_Calendar!$B$2:$B$755,$A4694)&gt;0,1,0))</f>
        <v>0</v>
      </c>
      <c r="N4694" s="16">
        <f>IF($A4694&lt;Notes!$B$5,"",IF(COUNTIFS(Release_Calendar!$A$2:$A$755,"NZ_GDP",Release_Calendar!$B$2:$B$755,$A4694)&gt;0,1,0))</f>
        <v>0</v>
      </c>
      <c r="O4694" s="16">
        <f>IF($A4694&lt;Notes!$B$5,"",IF(COUNTIFS(Release_Calendar!$A$2:$A$755,"NZ_LABOUR",Release_Calendar!$B$2:$B$755,$A4694)&gt;0,1,0))</f>
        <v>0</v>
      </c>
      <c r="P4694" s="16">
        <f t="shared" si="4"/>
        <v>0</v>
      </c>
    </row>
    <row r="4695" ht="15.75" customHeight="1">
      <c r="A4695" s="14">
        <v>43097.0</v>
      </c>
      <c r="B4695" s="15">
        <v>1.91</v>
      </c>
      <c r="C4695" s="15">
        <v>2.22</v>
      </c>
      <c r="D4695" s="15">
        <v>1.87</v>
      </c>
      <c r="E4695" s="15">
        <v>1.88</v>
      </c>
      <c r="F4695" s="15">
        <f t="shared" si="1"/>
        <v>0.31</v>
      </c>
      <c r="G4695" s="15">
        <f t="shared" si="2"/>
        <v>2.22</v>
      </c>
      <c r="H4695" s="16">
        <v>0.0</v>
      </c>
      <c r="I4695" s="15">
        <f t="shared" si="3"/>
        <v>0.31</v>
      </c>
      <c r="J4695" s="15">
        <v>10.18</v>
      </c>
      <c r="K4695" s="16">
        <f>IF(COUNTIFS(Release_Calendar!$A$2:$A$755,"US_CPI",Release_Calendar!$B$2:$B$755,$A4695)&gt;0,1,0)</f>
        <v>0</v>
      </c>
      <c r="L4695" s="16">
        <f>IF(COUNTIFS(Release_Calendar!$A$2:$A$755,"US_NFP",Release_Calendar!$B$2:$B$755,$A4695)&gt;0,1,0)</f>
        <v>0</v>
      </c>
      <c r="M4695" s="16">
        <f>IF($A4695&lt;Notes!$B$5,"",IF(COUNTIFS(Release_Calendar!$A$2:$A$755,"NZ_CPI",Release_Calendar!$B$2:$B$755,$A4695)&gt;0,1,0))</f>
        <v>0</v>
      </c>
      <c r="N4695" s="16">
        <f>IF($A4695&lt;Notes!$B$5,"",IF(COUNTIFS(Release_Calendar!$A$2:$A$755,"NZ_GDP",Release_Calendar!$B$2:$B$755,$A4695)&gt;0,1,0))</f>
        <v>0</v>
      </c>
      <c r="O4695" s="16">
        <f>IF($A4695&lt;Notes!$B$5,"",IF(COUNTIFS(Release_Calendar!$A$2:$A$755,"NZ_LABOUR",Release_Calendar!$B$2:$B$755,$A4695)&gt;0,1,0))</f>
        <v>0</v>
      </c>
      <c r="P4695" s="16">
        <f t="shared" si="4"/>
        <v>0</v>
      </c>
    </row>
    <row r="4696" ht="15.75" customHeight="1">
      <c r="A4696" s="14">
        <v>43098.0</v>
      </c>
      <c r="B4696" s="15">
        <v>1.89</v>
      </c>
      <c r="C4696" s="15">
        <v>2.21</v>
      </c>
      <c r="D4696" s="15">
        <v>1.89</v>
      </c>
      <c r="E4696" s="15">
        <v>1.88</v>
      </c>
      <c r="F4696" s="15">
        <f t="shared" si="1"/>
        <v>0.32</v>
      </c>
      <c r="G4696" s="15">
        <f t="shared" si="2"/>
        <v>2.21</v>
      </c>
      <c r="H4696" s="16">
        <v>0.0</v>
      </c>
      <c r="I4696" s="15">
        <f t="shared" si="3"/>
        <v>0.32</v>
      </c>
      <c r="J4696" s="15">
        <v>11.04</v>
      </c>
      <c r="K4696" s="16">
        <f>IF(COUNTIFS(Release_Calendar!$A$2:$A$755,"US_CPI",Release_Calendar!$B$2:$B$755,$A4696)&gt;0,1,0)</f>
        <v>0</v>
      </c>
      <c r="L4696" s="16">
        <f>IF(COUNTIFS(Release_Calendar!$A$2:$A$755,"US_NFP",Release_Calendar!$B$2:$B$755,$A4696)&gt;0,1,0)</f>
        <v>0</v>
      </c>
      <c r="M4696" s="16">
        <f>IF($A4696&lt;Notes!$B$5,"",IF(COUNTIFS(Release_Calendar!$A$2:$A$755,"NZ_CPI",Release_Calendar!$B$2:$B$755,$A4696)&gt;0,1,0))</f>
        <v>0</v>
      </c>
      <c r="N4696" s="16">
        <f>IF($A4696&lt;Notes!$B$5,"",IF(COUNTIFS(Release_Calendar!$A$2:$A$755,"NZ_GDP",Release_Calendar!$B$2:$B$755,$A4696)&gt;0,1,0))</f>
        <v>0</v>
      </c>
      <c r="O4696" s="16">
        <f>IF($A4696&lt;Notes!$B$5,"",IF(COUNTIFS(Release_Calendar!$A$2:$A$755,"NZ_LABOUR",Release_Calendar!$B$2:$B$755,$A4696)&gt;0,1,0))</f>
        <v>0</v>
      </c>
      <c r="P4696" s="16">
        <f t="shared" si="4"/>
        <v>0</v>
      </c>
    </row>
    <row r="4697" ht="15.75" customHeight="1">
      <c r="A4697" s="14">
        <v>43101.0</v>
      </c>
      <c r="B4697" s="15"/>
      <c r="C4697" s="15"/>
      <c r="D4697" s="15"/>
      <c r="E4697" s="15"/>
      <c r="F4697" s="15" t="str">
        <f t="shared" si="1"/>
        <v/>
      </c>
      <c r="G4697" s="15" t="str">
        <f t="shared" si="2"/>
        <v/>
      </c>
      <c r="H4697" s="16">
        <v>0.0</v>
      </c>
      <c r="I4697" s="15" t="str">
        <f t="shared" si="3"/>
        <v/>
      </c>
      <c r="J4697" s="15"/>
      <c r="K4697" s="16">
        <f>IF(COUNTIFS(Release_Calendar!$A$2:$A$755,"US_CPI",Release_Calendar!$B$2:$B$755,$A4697)&gt;0,1,0)</f>
        <v>0</v>
      </c>
      <c r="L4697" s="16">
        <f>IF(COUNTIFS(Release_Calendar!$A$2:$A$755,"US_NFP",Release_Calendar!$B$2:$B$755,$A4697)&gt;0,1,0)</f>
        <v>0</v>
      </c>
      <c r="M4697" s="16">
        <f>IF($A4697&lt;Notes!$B$5,"",IF(COUNTIFS(Release_Calendar!$A$2:$A$755,"NZ_CPI",Release_Calendar!$B$2:$B$755,$A4697)&gt;0,1,0))</f>
        <v>0</v>
      </c>
      <c r="N4697" s="16">
        <f>IF($A4697&lt;Notes!$B$5,"",IF(COUNTIFS(Release_Calendar!$A$2:$A$755,"NZ_GDP",Release_Calendar!$B$2:$B$755,$A4697)&gt;0,1,0))</f>
        <v>0</v>
      </c>
      <c r="O4697" s="16">
        <f>IF($A4697&lt;Notes!$B$5,"",IF(COUNTIFS(Release_Calendar!$A$2:$A$755,"NZ_LABOUR",Release_Calendar!$B$2:$B$755,$A4697)&gt;0,1,0))</f>
        <v>0</v>
      </c>
      <c r="P4697" s="16">
        <f t="shared" si="4"/>
        <v>0</v>
      </c>
    </row>
    <row r="4698" ht="15.75" customHeight="1">
      <c r="A4698" s="14">
        <v>43102.0</v>
      </c>
      <c r="B4698" s="15">
        <v>1.92</v>
      </c>
      <c r="C4698" s="15"/>
      <c r="D4698" s="15"/>
      <c r="E4698" s="15"/>
      <c r="F4698" s="15" t="str">
        <f t="shared" si="1"/>
        <v/>
      </c>
      <c r="G4698" s="15" t="str">
        <f t="shared" si="2"/>
        <v/>
      </c>
      <c r="H4698" s="16">
        <v>0.0</v>
      </c>
      <c r="I4698" s="15" t="str">
        <f t="shared" si="3"/>
        <v/>
      </c>
      <c r="J4698" s="15">
        <v>9.77</v>
      </c>
      <c r="K4698" s="16">
        <f>IF(COUNTIFS(Release_Calendar!$A$2:$A$755,"US_CPI",Release_Calendar!$B$2:$B$755,$A4698)&gt;0,1,0)</f>
        <v>0</v>
      </c>
      <c r="L4698" s="16">
        <f>IF(COUNTIFS(Release_Calendar!$A$2:$A$755,"US_NFP",Release_Calendar!$B$2:$B$755,$A4698)&gt;0,1,0)</f>
        <v>0</v>
      </c>
      <c r="M4698" s="16">
        <f>IF($A4698&lt;Notes!$B$5,"",IF(COUNTIFS(Release_Calendar!$A$2:$A$755,"NZ_CPI",Release_Calendar!$B$2:$B$755,$A4698)&gt;0,1,0))</f>
        <v>0</v>
      </c>
      <c r="N4698" s="16">
        <f>IF($A4698&lt;Notes!$B$5,"",IF(COUNTIFS(Release_Calendar!$A$2:$A$755,"NZ_GDP",Release_Calendar!$B$2:$B$755,$A4698)&gt;0,1,0))</f>
        <v>0</v>
      </c>
      <c r="O4698" s="16">
        <f>IF($A4698&lt;Notes!$B$5,"",IF(COUNTIFS(Release_Calendar!$A$2:$A$755,"NZ_LABOUR",Release_Calendar!$B$2:$B$755,$A4698)&gt;0,1,0))</f>
        <v>0</v>
      </c>
      <c r="P4698" s="16">
        <f t="shared" si="4"/>
        <v>0</v>
      </c>
    </row>
    <row r="4699" ht="15.75" customHeight="1">
      <c r="A4699" s="14">
        <v>43103.0</v>
      </c>
      <c r="B4699" s="15">
        <v>1.94</v>
      </c>
      <c r="C4699" s="15">
        <v>2.2</v>
      </c>
      <c r="D4699" s="15"/>
      <c r="E4699" s="15">
        <v>1.94</v>
      </c>
      <c r="F4699" s="15">
        <f t="shared" si="1"/>
        <v>0.26</v>
      </c>
      <c r="G4699" s="15">
        <f t="shared" si="2"/>
        <v>2.2</v>
      </c>
      <c r="H4699" s="16">
        <v>0.0</v>
      </c>
      <c r="I4699" s="15">
        <f t="shared" si="3"/>
        <v>0.26</v>
      </c>
      <c r="J4699" s="15">
        <v>9.15</v>
      </c>
      <c r="K4699" s="16">
        <f>IF(COUNTIFS(Release_Calendar!$A$2:$A$755,"US_CPI",Release_Calendar!$B$2:$B$755,$A4699)&gt;0,1,0)</f>
        <v>0</v>
      </c>
      <c r="L4699" s="16">
        <f>IF(COUNTIFS(Release_Calendar!$A$2:$A$755,"US_NFP",Release_Calendar!$B$2:$B$755,$A4699)&gt;0,1,0)</f>
        <v>0</v>
      </c>
      <c r="M4699" s="16">
        <f>IF($A4699&lt;Notes!$B$5,"",IF(COUNTIFS(Release_Calendar!$A$2:$A$755,"NZ_CPI",Release_Calendar!$B$2:$B$755,$A4699)&gt;0,1,0))</f>
        <v>0</v>
      </c>
      <c r="N4699" s="16">
        <f>IF($A4699&lt;Notes!$B$5,"",IF(COUNTIFS(Release_Calendar!$A$2:$A$755,"NZ_GDP",Release_Calendar!$B$2:$B$755,$A4699)&gt;0,1,0))</f>
        <v>0</v>
      </c>
      <c r="O4699" s="16">
        <f>IF($A4699&lt;Notes!$B$5,"",IF(COUNTIFS(Release_Calendar!$A$2:$A$755,"NZ_LABOUR",Release_Calendar!$B$2:$B$755,$A4699)&gt;0,1,0))</f>
        <v>0</v>
      </c>
      <c r="P4699" s="16">
        <f t="shared" si="4"/>
        <v>0</v>
      </c>
    </row>
    <row r="4700" ht="15.75" customHeight="1">
      <c r="A4700" s="14">
        <v>43104.0</v>
      </c>
      <c r="B4700" s="15">
        <v>1.96</v>
      </c>
      <c r="C4700" s="15">
        <v>2.19</v>
      </c>
      <c r="D4700" s="15"/>
      <c r="E4700" s="15">
        <v>1.93</v>
      </c>
      <c r="F4700" s="15">
        <f t="shared" si="1"/>
        <v>0.23</v>
      </c>
      <c r="G4700" s="15">
        <f t="shared" si="2"/>
        <v>2.19</v>
      </c>
      <c r="H4700" s="16">
        <v>0.0</v>
      </c>
      <c r="I4700" s="15">
        <f t="shared" si="3"/>
        <v>0.23</v>
      </c>
      <c r="J4700" s="15">
        <v>9.22</v>
      </c>
      <c r="K4700" s="16">
        <f>IF(COUNTIFS(Release_Calendar!$A$2:$A$755,"US_CPI",Release_Calendar!$B$2:$B$755,$A4700)&gt;0,1,0)</f>
        <v>0</v>
      </c>
      <c r="L4700" s="16">
        <f>IF(COUNTIFS(Release_Calendar!$A$2:$A$755,"US_NFP",Release_Calendar!$B$2:$B$755,$A4700)&gt;0,1,0)</f>
        <v>0</v>
      </c>
      <c r="M4700" s="16">
        <f>IF($A4700&lt;Notes!$B$5,"",IF(COUNTIFS(Release_Calendar!$A$2:$A$755,"NZ_CPI",Release_Calendar!$B$2:$B$755,$A4700)&gt;0,1,0))</f>
        <v>0</v>
      </c>
      <c r="N4700" s="16">
        <f>IF($A4700&lt;Notes!$B$5,"",IF(COUNTIFS(Release_Calendar!$A$2:$A$755,"NZ_GDP",Release_Calendar!$B$2:$B$755,$A4700)&gt;0,1,0))</f>
        <v>0</v>
      </c>
      <c r="O4700" s="16">
        <f>IF($A4700&lt;Notes!$B$5,"",IF(COUNTIFS(Release_Calendar!$A$2:$A$755,"NZ_LABOUR",Release_Calendar!$B$2:$B$755,$A4700)&gt;0,1,0))</f>
        <v>0</v>
      </c>
      <c r="P4700" s="16">
        <f t="shared" si="4"/>
        <v>0</v>
      </c>
    </row>
    <row r="4701" ht="15.75" customHeight="1">
      <c r="A4701" s="14">
        <v>43105.0</v>
      </c>
      <c r="B4701" s="15">
        <v>1.96</v>
      </c>
      <c r="C4701" s="15">
        <v>2.17</v>
      </c>
      <c r="D4701" s="15"/>
      <c r="E4701" s="15">
        <v>1.93</v>
      </c>
      <c r="F4701" s="15">
        <f t="shared" si="1"/>
        <v>0.21</v>
      </c>
      <c r="G4701" s="15">
        <f t="shared" si="2"/>
        <v>2.17</v>
      </c>
      <c r="H4701" s="16">
        <v>0.0</v>
      </c>
      <c r="I4701" s="15">
        <f t="shared" si="3"/>
        <v>0.21</v>
      </c>
      <c r="J4701" s="15">
        <v>9.22</v>
      </c>
      <c r="K4701" s="16">
        <f>IF(COUNTIFS(Release_Calendar!$A$2:$A$755,"US_CPI",Release_Calendar!$B$2:$B$755,$A4701)&gt;0,1,0)</f>
        <v>0</v>
      </c>
      <c r="L4701" s="16">
        <f>IF(COUNTIFS(Release_Calendar!$A$2:$A$755,"US_NFP",Release_Calendar!$B$2:$B$755,$A4701)&gt;0,1,0)</f>
        <v>1</v>
      </c>
      <c r="M4701" s="16">
        <f>IF($A4701&lt;Notes!$B$5,"",IF(COUNTIFS(Release_Calendar!$A$2:$A$755,"NZ_CPI",Release_Calendar!$B$2:$B$755,$A4701)&gt;0,1,0))</f>
        <v>0</v>
      </c>
      <c r="N4701" s="16">
        <f>IF($A4701&lt;Notes!$B$5,"",IF(COUNTIFS(Release_Calendar!$A$2:$A$755,"NZ_GDP",Release_Calendar!$B$2:$B$755,$A4701)&gt;0,1,0))</f>
        <v>0</v>
      </c>
      <c r="O4701" s="16">
        <f>IF($A4701&lt;Notes!$B$5,"",IF(COUNTIFS(Release_Calendar!$A$2:$A$755,"NZ_LABOUR",Release_Calendar!$B$2:$B$755,$A4701)&gt;0,1,0))</f>
        <v>0</v>
      </c>
      <c r="P4701" s="16">
        <f t="shared" si="4"/>
        <v>1</v>
      </c>
    </row>
    <row r="4702" ht="15.75" customHeight="1">
      <c r="A4702" s="14">
        <v>43108.0</v>
      </c>
      <c r="B4702" s="15">
        <v>1.96</v>
      </c>
      <c r="C4702" s="15">
        <v>2.18</v>
      </c>
      <c r="D4702" s="15"/>
      <c r="E4702" s="15">
        <v>1.95</v>
      </c>
      <c r="F4702" s="15">
        <f t="shared" si="1"/>
        <v>0.22</v>
      </c>
      <c r="G4702" s="15">
        <f t="shared" si="2"/>
        <v>2.18</v>
      </c>
      <c r="H4702" s="16">
        <v>0.0</v>
      </c>
      <c r="I4702" s="15">
        <f t="shared" si="3"/>
        <v>0.22</v>
      </c>
      <c r="J4702" s="15">
        <v>9.52</v>
      </c>
      <c r="K4702" s="16">
        <f>IF(COUNTIFS(Release_Calendar!$A$2:$A$755,"US_CPI",Release_Calendar!$B$2:$B$755,$A4702)&gt;0,1,0)</f>
        <v>0</v>
      </c>
      <c r="L4702" s="16">
        <f>IF(COUNTIFS(Release_Calendar!$A$2:$A$755,"US_NFP",Release_Calendar!$B$2:$B$755,$A4702)&gt;0,1,0)</f>
        <v>0</v>
      </c>
      <c r="M4702" s="16">
        <f>IF($A4702&lt;Notes!$B$5,"",IF(COUNTIFS(Release_Calendar!$A$2:$A$755,"NZ_CPI",Release_Calendar!$B$2:$B$755,$A4702)&gt;0,1,0))</f>
        <v>0</v>
      </c>
      <c r="N4702" s="16">
        <f>IF($A4702&lt;Notes!$B$5,"",IF(COUNTIFS(Release_Calendar!$A$2:$A$755,"NZ_GDP",Release_Calendar!$B$2:$B$755,$A4702)&gt;0,1,0))</f>
        <v>0</v>
      </c>
      <c r="O4702" s="16">
        <f>IF($A4702&lt;Notes!$B$5,"",IF(COUNTIFS(Release_Calendar!$A$2:$A$755,"NZ_LABOUR",Release_Calendar!$B$2:$B$755,$A4702)&gt;0,1,0))</f>
        <v>0</v>
      </c>
      <c r="P4702" s="16">
        <f t="shared" si="4"/>
        <v>0</v>
      </c>
    </row>
    <row r="4703" ht="15.75" customHeight="1">
      <c r="A4703" s="14">
        <v>43109.0</v>
      </c>
      <c r="B4703" s="15">
        <v>1.98</v>
      </c>
      <c r="C4703" s="15">
        <v>2.19</v>
      </c>
      <c r="D4703" s="15"/>
      <c r="E4703" s="15">
        <v>1.96</v>
      </c>
      <c r="F4703" s="15">
        <f t="shared" si="1"/>
        <v>0.21</v>
      </c>
      <c r="G4703" s="15">
        <f t="shared" si="2"/>
        <v>2.19</v>
      </c>
      <c r="H4703" s="16">
        <v>0.0</v>
      </c>
      <c r="I4703" s="15">
        <f t="shared" si="3"/>
        <v>0.21</v>
      </c>
      <c r="J4703" s="15">
        <v>10.08</v>
      </c>
      <c r="K4703" s="16">
        <f>IF(COUNTIFS(Release_Calendar!$A$2:$A$755,"US_CPI",Release_Calendar!$B$2:$B$755,$A4703)&gt;0,1,0)</f>
        <v>0</v>
      </c>
      <c r="L4703" s="16">
        <f>IF(COUNTIFS(Release_Calendar!$A$2:$A$755,"US_NFP",Release_Calendar!$B$2:$B$755,$A4703)&gt;0,1,0)</f>
        <v>0</v>
      </c>
      <c r="M4703" s="16">
        <f>IF($A4703&lt;Notes!$B$5,"",IF(COUNTIFS(Release_Calendar!$A$2:$A$755,"NZ_CPI",Release_Calendar!$B$2:$B$755,$A4703)&gt;0,1,0))</f>
        <v>0</v>
      </c>
      <c r="N4703" s="16">
        <f>IF($A4703&lt;Notes!$B$5,"",IF(COUNTIFS(Release_Calendar!$A$2:$A$755,"NZ_GDP",Release_Calendar!$B$2:$B$755,$A4703)&gt;0,1,0))</f>
        <v>0</v>
      </c>
      <c r="O4703" s="16">
        <f>IF($A4703&lt;Notes!$B$5,"",IF(COUNTIFS(Release_Calendar!$A$2:$A$755,"NZ_LABOUR",Release_Calendar!$B$2:$B$755,$A4703)&gt;0,1,0))</f>
        <v>0</v>
      </c>
      <c r="P4703" s="16">
        <f t="shared" si="4"/>
        <v>0</v>
      </c>
    </row>
    <row r="4704" ht="15.75" customHeight="1">
      <c r="A4704" s="14">
        <v>43110.0</v>
      </c>
      <c r="B4704" s="15">
        <v>1.98</v>
      </c>
      <c r="C4704" s="15">
        <v>2.2</v>
      </c>
      <c r="D4704" s="15"/>
      <c r="E4704" s="15">
        <v>1.98</v>
      </c>
      <c r="F4704" s="15">
        <f t="shared" si="1"/>
        <v>0.22</v>
      </c>
      <c r="G4704" s="15">
        <f t="shared" si="2"/>
        <v>2.2</v>
      </c>
      <c r="H4704" s="16">
        <v>0.0</v>
      </c>
      <c r="I4704" s="15">
        <f t="shared" si="3"/>
        <v>0.22</v>
      </c>
      <c r="J4704" s="15">
        <v>9.82</v>
      </c>
      <c r="K4704" s="16">
        <f>IF(COUNTIFS(Release_Calendar!$A$2:$A$755,"US_CPI",Release_Calendar!$B$2:$B$755,$A4704)&gt;0,1,0)</f>
        <v>0</v>
      </c>
      <c r="L4704" s="16">
        <f>IF(COUNTIFS(Release_Calendar!$A$2:$A$755,"US_NFP",Release_Calendar!$B$2:$B$755,$A4704)&gt;0,1,0)</f>
        <v>0</v>
      </c>
      <c r="M4704" s="16">
        <f>IF($A4704&lt;Notes!$B$5,"",IF(COUNTIFS(Release_Calendar!$A$2:$A$755,"NZ_CPI",Release_Calendar!$B$2:$B$755,$A4704)&gt;0,1,0))</f>
        <v>0</v>
      </c>
      <c r="N4704" s="16">
        <f>IF($A4704&lt;Notes!$B$5,"",IF(COUNTIFS(Release_Calendar!$A$2:$A$755,"NZ_GDP",Release_Calendar!$B$2:$B$755,$A4704)&gt;0,1,0))</f>
        <v>0</v>
      </c>
      <c r="O4704" s="16">
        <f>IF($A4704&lt;Notes!$B$5,"",IF(COUNTIFS(Release_Calendar!$A$2:$A$755,"NZ_LABOUR",Release_Calendar!$B$2:$B$755,$A4704)&gt;0,1,0))</f>
        <v>0</v>
      </c>
      <c r="P4704" s="16">
        <f t="shared" si="4"/>
        <v>0</v>
      </c>
    </row>
    <row r="4705" ht="15.75" customHeight="1">
      <c r="A4705" s="14">
        <v>43111.0</v>
      </c>
      <c r="B4705" s="15">
        <v>1.98</v>
      </c>
      <c r="C4705" s="15">
        <v>2.21</v>
      </c>
      <c r="D4705" s="15"/>
      <c r="E4705" s="15">
        <v>1.98</v>
      </c>
      <c r="F4705" s="15">
        <f t="shared" si="1"/>
        <v>0.23</v>
      </c>
      <c r="G4705" s="15">
        <f t="shared" si="2"/>
        <v>2.21</v>
      </c>
      <c r="H4705" s="16">
        <v>0.0</v>
      </c>
      <c r="I4705" s="15">
        <f t="shared" si="3"/>
        <v>0.23</v>
      </c>
      <c r="J4705" s="15">
        <v>9.88</v>
      </c>
      <c r="K4705" s="16">
        <f>IF(COUNTIFS(Release_Calendar!$A$2:$A$755,"US_CPI",Release_Calendar!$B$2:$B$755,$A4705)&gt;0,1,0)</f>
        <v>0</v>
      </c>
      <c r="L4705" s="16">
        <f>IF(COUNTIFS(Release_Calendar!$A$2:$A$755,"US_NFP",Release_Calendar!$B$2:$B$755,$A4705)&gt;0,1,0)</f>
        <v>0</v>
      </c>
      <c r="M4705" s="16">
        <f>IF($A4705&lt;Notes!$B$5,"",IF(COUNTIFS(Release_Calendar!$A$2:$A$755,"NZ_CPI",Release_Calendar!$B$2:$B$755,$A4705)&gt;0,1,0))</f>
        <v>0</v>
      </c>
      <c r="N4705" s="16">
        <f>IF($A4705&lt;Notes!$B$5,"",IF(COUNTIFS(Release_Calendar!$A$2:$A$755,"NZ_GDP",Release_Calendar!$B$2:$B$755,$A4705)&gt;0,1,0))</f>
        <v>0</v>
      </c>
      <c r="O4705" s="16">
        <f>IF($A4705&lt;Notes!$B$5,"",IF(COUNTIFS(Release_Calendar!$A$2:$A$755,"NZ_LABOUR",Release_Calendar!$B$2:$B$755,$A4705)&gt;0,1,0))</f>
        <v>0</v>
      </c>
      <c r="P4705" s="16">
        <f t="shared" si="4"/>
        <v>0</v>
      </c>
    </row>
    <row r="4706" ht="15.75" customHeight="1">
      <c r="A4706" s="14">
        <v>43112.0</v>
      </c>
      <c r="B4706" s="15">
        <v>1.99</v>
      </c>
      <c r="C4706" s="15">
        <v>2.2</v>
      </c>
      <c r="D4706" s="15"/>
      <c r="E4706" s="15">
        <v>1.95</v>
      </c>
      <c r="F4706" s="15">
        <f t="shared" si="1"/>
        <v>0.21</v>
      </c>
      <c r="G4706" s="15">
        <f t="shared" si="2"/>
        <v>2.2</v>
      </c>
      <c r="H4706" s="16">
        <v>0.0</v>
      </c>
      <c r="I4706" s="15">
        <f t="shared" si="3"/>
        <v>0.21</v>
      </c>
      <c r="J4706" s="15">
        <v>10.16</v>
      </c>
      <c r="K4706" s="16">
        <f>IF(COUNTIFS(Release_Calendar!$A$2:$A$755,"US_CPI",Release_Calendar!$B$2:$B$755,$A4706)&gt;0,1,0)</f>
        <v>1</v>
      </c>
      <c r="L4706" s="16">
        <f>IF(COUNTIFS(Release_Calendar!$A$2:$A$755,"US_NFP",Release_Calendar!$B$2:$B$755,$A4706)&gt;0,1,0)</f>
        <v>0</v>
      </c>
      <c r="M4706" s="16">
        <f>IF($A4706&lt;Notes!$B$5,"",IF(COUNTIFS(Release_Calendar!$A$2:$A$755,"NZ_CPI",Release_Calendar!$B$2:$B$755,$A4706)&gt;0,1,0))</f>
        <v>0</v>
      </c>
      <c r="N4706" s="16">
        <f>IF($A4706&lt;Notes!$B$5,"",IF(COUNTIFS(Release_Calendar!$A$2:$A$755,"NZ_GDP",Release_Calendar!$B$2:$B$755,$A4706)&gt;0,1,0))</f>
        <v>0</v>
      </c>
      <c r="O4706" s="16">
        <f>IF($A4706&lt;Notes!$B$5,"",IF(COUNTIFS(Release_Calendar!$A$2:$A$755,"NZ_LABOUR",Release_Calendar!$B$2:$B$755,$A4706)&gt;0,1,0))</f>
        <v>0</v>
      </c>
      <c r="P4706" s="16">
        <f t="shared" si="4"/>
        <v>1</v>
      </c>
    </row>
    <row r="4707" ht="15.75" customHeight="1">
      <c r="A4707" s="14">
        <v>43115.0</v>
      </c>
      <c r="B4707" s="15"/>
      <c r="C4707" s="15">
        <v>2.22</v>
      </c>
      <c r="D4707" s="15"/>
      <c r="E4707" s="15">
        <v>1.98</v>
      </c>
      <c r="F4707" s="15" t="str">
        <f t="shared" si="1"/>
        <v/>
      </c>
      <c r="G4707" s="15">
        <f t="shared" si="2"/>
        <v>2.22</v>
      </c>
      <c r="H4707" s="16">
        <v>0.0</v>
      </c>
      <c r="I4707" s="15" t="str">
        <f t="shared" si="3"/>
        <v/>
      </c>
      <c r="J4707" s="15"/>
      <c r="K4707" s="16">
        <f>IF(COUNTIFS(Release_Calendar!$A$2:$A$755,"US_CPI",Release_Calendar!$B$2:$B$755,$A4707)&gt;0,1,0)</f>
        <v>0</v>
      </c>
      <c r="L4707" s="16">
        <f>IF(COUNTIFS(Release_Calendar!$A$2:$A$755,"US_NFP",Release_Calendar!$B$2:$B$755,$A4707)&gt;0,1,0)</f>
        <v>0</v>
      </c>
      <c r="M4707" s="16">
        <f>IF($A4707&lt;Notes!$B$5,"",IF(COUNTIFS(Release_Calendar!$A$2:$A$755,"NZ_CPI",Release_Calendar!$B$2:$B$755,$A4707)&gt;0,1,0))</f>
        <v>0</v>
      </c>
      <c r="N4707" s="16">
        <f>IF($A4707&lt;Notes!$B$5,"",IF(COUNTIFS(Release_Calendar!$A$2:$A$755,"NZ_GDP",Release_Calendar!$B$2:$B$755,$A4707)&gt;0,1,0))</f>
        <v>0</v>
      </c>
      <c r="O4707" s="16">
        <f>IF($A4707&lt;Notes!$B$5,"",IF(COUNTIFS(Release_Calendar!$A$2:$A$755,"NZ_LABOUR",Release_Calendar!$B$2:$B$755,$A4707)&gt;0,1,0))</f>
        <v>0</v>
      </c>
      <c r="P4707" s="16">
        <f t="shared" si="4"/>
        <v>0</v>
      </c>
    </row>
    <row r="4708" ht="15.75" customHeight="1">
      <c r="A4708" s="14">
        <v>43116.0</v>
      </c>
      <c r="B4708" s="15">
        <v>2.03</v>
      </c>
      <c r="C4708" s="15">
        <v>2.21</v>
      </c>
      <c r="D4708" s="15"/>
      <c r="E4708" s="15">
        <v>1.99</v>
      </c>
      <c r="F4708" s="15">
        <f t="shared" si="1"/>
        <v>0.18</v>
      </c>
      <c r="G4708" s="15">
        <f t="shared" si="2"/>
        <v>2.21</v>
      </c>
      <c r="H4708" s="16">
        <v>0.0</v>
      </c>
      <c r="I4708" s="15">
        <f t="shared" si="3"/>
        <v>0.18</v>
      </c>
      <c r="J4708" s="15">
        <v>11.66</v>
      </c>
      <c r="K4708" s="16">
        <f>IF(COUNTIFS(Release_Calendar!$A$2:$A$755,"US_CPI",Release_Calendar!$B$2:$B$755,$A4708)&gt;0,1,0)</f>
        <v>0</v>
      </c>
      <c r="L4708" s="16">
        <f>IF(COUNTIFS(Release_Calendar!$A$2:$A$755,"US_NFP",Release_Calendar!$B$2:$B$755,$A4708)&gt;0,1,0)</f>
        <v>0</v>
      </c>
      <c r="M4708" s="16">
        <f>IF($A4708&lt;Notes!$B$5,"",IF(COUNTIFS(Release_Calendar!$A$2:$A$755,"NZ_CPI",Release_Calendar!$B$2:$B$755,$A4708)&gt;0,1,0))</f>
        <v>0</v>
      </c>
      <c r="N4708" s="16">
        <f>IF($A4708&lt;Notes!$B$5,"",IF(COUNTIFS(Release_Calendar!$A$2:$A$755,"NZ_GDP",Release_Calendar!$B$2:$B$755,$A4708)&gt;0,1,0))</f>
        <v>0</v>
      </c>
      <c r="O4708" s="16">
        <f>IF($A4708&lt;Notes!$B$5,"",IF(COUNTIFS(Release_Calendar!$A$2:$A$755,"NZ_LABOUR",Release_Calendar!$B$2:$B$755,$A4708)&gt;0,1,0))</f>
        <v>0</v>
      </c>
      <c r="P4708" s="16">
        <f t="shared" si="4"/>
        <v>0</v>
      </c>
    </row>
    <row r="4709" ht="15.75" customHeight="1">
      <c r="A4709" s="14">
        <v>43117.0</v>
      </c>
      <c r="B4709" s="15">
        <v>2.05</v>
      </c>
      <c r="C4709" s="15">
        <v>2.22</v>
      </c>
      <c r="D4709" s="15"/>
      <c r="E4709" s="15">
        <v>1.99</v>
      </c>
      <c r="F4709" s="15">
        <f t="shared" si="1"/>
        <v>0.17</v>
      </c>
      <c r="G4709" s="15">
        <f t="shared" si="2"/>
        <v>2.22</v>
      </c>
      <c r="H4709" s="16">
        <v>0.0</v>
      </c>
      <c r="I4709" s="15">
        <f t="shared" si="3"/>
        <v>0.17</v>
      </c>
      <c r="J4709" s="15">
        <v>11.91</v>
      </c>
      <c r="K4709" s="16">
        <f>IF(COUNTIFS(Release_Calendar!$A$2:$A$755,"US_CPI",Release_Calendar!$B$2:$B$755,$A4709)&gt;0,1,0)</f>
        <v>0</v>
      </c>
      <c r="L4709" s="16">
        <f>IF(COUNTIFS(Release_Calendar!$A$2:$A$755,"US_NFP",Release_Calendar!$B$2:$B$755,$A4709)&gt;0,1,0)</f>
        <v>0</v>
      </c>
      <c r="M4709" s="16">
        <f>IF($A4709&lt;Notes!$B$5,"",IF(COUNTIFS(Release_Calendar!$A$2:$A$755,"NZ_CPI",Release_Calendar!$B$2:$B$755,$A4709)&gt;0,1,0))</f>
        <v>0</v>
      </c>
      <c r="N4709" s="16">
        <f>IF($A4709&lt;Notes!$B$5,"",IF(COUNTIFS(Release_Calendar!$A$2:$A$755,"NZ_GDP",Release_Calendar!$B$2:$B$755,$A4709)&gt;0,1,0))</f>
        <v>0</v>
      </c>
      <c r="O4709" s="16">
        <f>IF($A4709&lt;Notes!$B$5,"",IF(COUNTIFS(Release_Calendar!$A$2:$A$755,"NZ_LABOUR",Release_Calendar!$B$2:$B$755,$A4709)&gt;0,1,0))</f>
        <v>0</v>
      </c>
      <c r="P4709" s="16">
        <f t="shared" si="4"/>
        <v>0</v>
      </c>
    </row>
    <row r="4710" ht="15.75" customHeight="1">
      <c r="A4710" s="14">
        <v>43118.0</v>
      </c>
      <c r="B4710" s="15">
        <v>2.05</v>
      </c>
      <c r="C4710" s="15">
        <v>2.25</v>
      </c>
      <c r="D4710" s="15"/>
      <c r="E4710" s="15">
        <v>2.01</v>
      </c>
      <c r="F4710" s="15">
        <f t="shared" si="1"/>
        <v>0.2</v>
      </c>
      <c r="G4710" s="15">
        <f t="shared" si="2"/>
        <v>2.25</v>
      </c>
      <c r="H4710" s="16">
        <v>0.0</v>
      </c>
      <c r="I4710" s="15">
        <f t="shared" si="3"/>
        <v>0.2</v>
      </c>
      <c r="J4710" s="15">
        <v>12.22</v>
      </c>
      <c r="K4710" s="16">
        <f>IF(COUNTIFS(Release_Calendar!$A$2:$A$755,"US_CPI",Release_Calendar!$B$2:$B$755,$A4710)&gt;0,1,0)</f>
        <v>0</v>
      </c>
      <c r="L4710" s="16">
        <f>IF(COUNTIFS(Release_Calendar!$A$2:$A$755,"US_NFP",Release_Calendar!$B$2:$B$755,$A4710)&gt;0,1,0)</f>
        <v>0</v>
      </c>
      <c r="M4710" s="16">
        <f>IF($A4710&lt;Notes!$B$5,"",IF(COUNTIFS(Release_Calendar!$A$2:$A$755,"NZ_CPI",Release_Calendar!$B$2:$B$755,$A4710)&gt;0,1,0))</f>
        <v>0</v>
      </c>
      <c r="N4710" s="16">
        <f>IF($A4710&lt;Notes!$B$5,"",IF(COUNTIFS(Release_Calendar!$A$2:$A$755,"NZ_GDP",Release_Calendar!$B$2:$B$755,$A4710)&gt;0,1,0))</f>
        <v>0</v>
      </c>
      <c r="O4710" s="16">
        <f>IF($A4710&lt;Notes!$B$5,"",IF(COUNTIFS(Release_Calendar!$A$2:$A$755,"NZ_LABOUR",Release_Calendar!$B$2:$B$755,$A4710)&gt;0,1,0))</f>
        <v>0</v>
      </c>
      <c r="P4710" s="16">
        <f t="shared" si="4"/>
        <v>0</v>
      </c>
    </row>
    <row r="4711" ht="15.75" customHeight="1">
      <c r="A4711" s="14">
        <v>43119.0</v>
      </c>
      <c r="B4711" s="15">
        <v>2.06</v>
      </c>
      <c r="C4711" s="15">
        <v>2.25</v>
      </c>
      <c r="D4711" s="15"/>
      <c r="E4711" s="15">
        <v>2.04</v>
      </c>
      <c r="F4711" s="15">
        <f t="shared" si="1"/>
        <v>0.19</v>
      </c>
      <c r="G4711" s="15">
        <f t="shared" si="2"/>
        <v>2.25</v>
      </c>
      <c r="H4711" s="16">
        <v>0.0</v>
      </c>
      <c r="I4711" s="15">
        <f t="shared" si="3"/>
        <v>0.19</v>
      </c>
      <c r="J4711" s="15">
        <v>11.27</v>
      </c>
      <c r="K4711" s="16">
        <f>IF(COUNTIFS(Release_Calendar!$A$2:$A$755,"US_CPI",Release_Calendar!$B$2:$B$755,$A4711)&gt;0,1,0)</f>
        <v>0</v>
      </c>
      <c r="L4711" s="16">
        <f>IF(COUNTIFS(Release_Calendar!$A$2:$A$755,"US_NFP",Release_Calendar!$B$2:$B$755,$A4711)&gt;0,1,0)</f>
        <v>0</v>
      </c>
      <c r="M4711" s="16">
        <f>IF($A4711&lt;Notes!$B$5,"",IF(COUNTIFS(Release_Calendar!$A$2:$A$755,"NZ_CPI",Release_Calendar!$B$2:$B$755,$A4711)&gt;0,1,0))</f>
        <v>0</v>
      </c>
      <c r="N4711" s="16">
        <f>IF($A4711&lt;Notes!$B$5,"",IF(COUNTIFS(Release_Calendar!$A$2:$A$755,"NZ_GDP",Release_Calendar!$B$2:$B$755,$A4711)&gt;0,1,0))</f>
        <v>0</v>
      </c>
      <c r="O4711" s="16">
        <f>IF($A4711&lt;Notes!$B$5,"",IF(COUNTIFS(Release_Calendar!$A$2:$A$755,"NZ_LABOUR",Release_Calendar!$B$2:$B$755,$A4711)&gt;0,1,0))</f>
        <v>0</v>
      </c>
      <c r="P4711" s="16">
        <f t="shared" si="4"/>
        <v>0</v>
      </c>
    </row>
    <row r="4712" ht="15.75" customHeight="1">
      <c r="A4712" s="14">
        <v>43122.0</v>
      </c>
      <c r="B4712" s="15">
        <v>2.08</v>
      </c>
      <c r="C4712" s="15">
        <v>2.25</v>
      </c>
      <c r="D4712" s="15"/>
      <c r="E4712" s="15">
        <v>2.04</v>
      </c>
      <c r="F4712" s="15">
        <f t="shared" si="1"/>
        <v>0.17</v>
      </c>
      <c r="G4712" s="15">
        <f t="shared" si="2"/>
        <v>2.25</v>
      </c>
      <c r="H4712" s="16">
        <v>0.0</v>
      </c>
      <c r="I4712" s="15">
        <f t="shared" si="3"/>
        <v>0.17</v>
      </c>
      <c r="J4712" s="15">
        <v>11.03</v>
      </c>
      <c r="K4712" s="16">
        <f>IF(COUNTIFS(Release_Calendar!$A$2:$A$755,"US_CPI",Release_Calendar!$B$2:$B$755,$A4712)&gt;0,1,0)</f>
        <v>0</v>
      </c>
      <c r="L4712" s="16">
        <f>IF(COUNTIFS(Release_Calendar!$A$2:$A$755,"US_NFP",Release_Calendar!$B$2:$B$755,$A4712)&gt;0,1,0)</f>
        <v>0</v>
      </c>
      <c r="M4712" s="16">
        <f>IF($A4712&lt;Notes!$B$5,"",IF(COUNTIFS(Release_Calendar!$A$2:$A$755,"NZ_CPI",Release_Calendar!$B$2:$B$755,$A4712)&gt;0,1,0))</f>
        <v>0</v>
      </c>
      <c r="N4712" s="16">
        <f>IF($A4712&lt;Notes!$B$5,"",IF(COUNTIFS(Release_Calendar!$A$2:$A$755,"NZ_GDP",Release_Calendar!$B$2:$B$755,$A4712)&gt;0,1,0))</f>
        <v>0</v>
      </c>
      <c r="O4712" s="16">
        <f>IF($A4712&lt;Notes!$B$5,"",IF(COUNTIFS(Release_Calendar!$A$2:$A$755,"NZ_LABOUR",Release_Calendar!$B$2:$B$755,$A4712)&gt;0,1,0))</f>
        <v>0</v>
      </c>
      <c r="P4712" s="16">
        <f t="shared" si="4"/>
        <v>0</v>
      </c>
    </row>
    <row r="4713" ht="15.75" customHeight="1">
      <c r="A4713" s="14">
        <v>43123.0</v>
      </c>
      <c r="B4713" s="15">
        <v>2.06</v>
      </c>
      <c r="C4713" s="15">
        <v>2.24</v>
      </c>
      <c r="D4713" s="15"/>
      <c r="E4713" s="15">
        <v>2.03</v>
      </c>
      <c r="F4713" s="15">
        <f t="shared" si="1"/>
        <v>0.18</v>
      </c>
      <c r="G4713" s="15">
        <f t="shared" si="2"/>
        <v>2.24</v>
      </c>
      <c r="H4713" s="16">
        <v>0.0</v>
      </c>
      <c r="I4713" s="15">
        <f t="shared" si="3"/>
        <v>0.18</v>
      </c>
      <c r="J4713" s="15">
        <v>11.1</v>
      </c>
      <c r="K4713" s="16">
        <f>IF(COUNTIFS(Release_Calendar!$A$2:$A$755,"US_CPI",Release_Calendar!$B$2:$B$755,$A4713)&gt;0,1,0)</f>
        <v>0</v>
      </c>
      <c r="L4713" s="16">
        <f>IF(COUNTIFS(Release_Calendar!$A$2:$A$755,"US_NFP",Release_Calendar!$B$2:$B$755,$A4713)&gt;0,1,0)</f>
        <v>0</v>
      </c>
      <c r="M4713" s="16">
        <f>IF($A4713&lt;Notes!$B$5,"",IF(COUNTIFS(Release_Calendar!$A$2:$A$755,"NZ_CPI",Release_Calendar!$B$2:$B$755,$A4713)&gt;0,1,0))</f>
        <v>0</v>
      </c>
      <c r="N4713" s="16">
        <f>IF($A4713&lt;Notes!$B$5,"",IF(COUNTIFS(Release_Calendar!$A$2:$A$755,"NZ_GDP",Release_Calendar!$B$2:$B$755,$A4713)&gt;0,1,0))</f>
        <v>0</v>
      </c>
      <c r="O4713" s="16">
        <f>IF($A4713&lt;Notes!$B$5,"",IF(COUNTIFS(Release_Calendar!$A$2:$A$755,"NZ_LABOUR",Release_Calendar!$B$2:$B$755,$A4713)&gt;0,1,0))</f>
        <v>0</v>
      </c>
      <c r="P4713" s="16">
        <f t="shared" si="4"/>
        <v>0</v>
      </c>
    </row>
    <row r="4714" ht="15.75" customHeight="1">
      <c r="A4714" s="14">
        <v>43124.0</v>
      </c>
      <c r="B4714" s="15">
        <v>2.08</v>
      </c>
      <c r="C4714" s="15">
        <v>2.23</v>
      </c>
      <c r="D4714" s="15"/>
      <c r="E4714" s="15">
        <v>2.01</v>
      </c>
      <c r="F4714" s="15">
        <f t="shared" si="1"/>
        <v>0.15</v>
      </c>
      <c r="G4714" s="15">
        <f t="shared" si="2"/>
        <v>2.23</v>
      </c>
      <c r="H4714" s="16">
        <v>0.0</v>
      </c>
      <c r="I4714" s="15">
        <f t="shared" si="3"/>
        <v>0.15</v>
      </c>
      <c r="J4714" s="15">
        <v>11.47</v>
      </c>
      <c r="K4714" s="16">
        <f>IF(COUNTIFS(Release_Calendar!$A$2:$A$755,"US_CPI",Release_Calendar!$B$2:$B$755,$A4714)&gt;0,1,0)</f>
        <v>0</v>
      </c>
      <c r="L4714" s="16">
        <f>IF(COUNTIFS(Release_Calendar!$A$2:$A$755,"US_NFP",Release_Calendar!$B$2:$B$755,$A4714)&gt;0,1,0)</f>
        <v>0</v>
      </c>
      <c r="M4714" s="16">
        <f>IF($A4714&lt;Notes!$B$5,"",IF(COUNTIFS(Release_Calendar!$A$2:$A$755,"NZ_CPI",Release_Calendar!$B$2:$B$755,$A4714)&gt;0,1,0))</f>
        <v>0</v>
      </c>
      <c r="N4714" s="16">
        <f>IF($A4714&lt;Notes!$B$5,"",IF(COUNTIFS(Release_Calendar!$A$2:$A$755,"NZ_GDP",Release_Calendar!$B$2:$B$755,$A4714)&gt;0,1,0))</f>
        <v>0</v>
      </c>
      <c r="O4714" s="16">
        <f>IF($A4714&lt;Notes!$B$5,"",IF(COUNTIFS(Release_Calendar!$A$2:$A$755,"NZ_LABOUR",Release_Calendar!$B$2:$B$755,$A4714)&gt;0,1,0))</f>
        <v>0</v>
      </c>
      <c r="P4714" s="16">
        <f t="shared" si="4"/>
        <v>0</v>
      </c>
    </row>
    <row r="4715" ht="15.75" customHeight="1">
      <c r="A4715" s="14">
        <v>43125.0</v>
      </c>
      <c r="B4715" s="15">
        <v>2.08</v>
      </c>
      <c r="C4715" s="15">
        <v>2.17</v>
      </c>
      <c r="D4715" s="15"/>
      <c r="E4715" s="15">
        <v>1.96</v>
      </c>
      <c r="F4715" s="15">
        <f t="shared" si="1"/>
        <v>0.09</v>
      </c>
      <c r="G4715" s="15">
        <f t="shared" si="2"/>
        <v>2.17</v>
      </c>
      <c r="H4715" s="16">
        <v>0.0</v>
      </c>
      <c r="I4715" s="15">
        <f t="shared" si="3"/>
        <v>0.09</v>
      </c>
      <c r="J4715" s="15">
        <v>11.58</v>
      </c>
      <c r="K4715" s="16">
        <f>IF(COUNTIFS(Release_Calendar!$A$2:$A$755,"US_CPI",Release_Calendar!$B$2:$B$755,$A4715)&gt;0,1,0)</f>
        <v>0</v>
      </c>
      <c r="L4715" s="16">
        <f>IF(COUNTIFS(Release_Calendar!$A$2:$A$755,"US_NFP",Release_Calendar!$B$2:$B$755,$A4715)&gt;0,1,0)</f>
        <v>0</v>
      </c>
      <c r="M4715" s="16">
        <f>IF($A4715&lt;Notes!$B$5,"",IF(COUNTIFS(Release_Calendar!$A$2:$A$755,"NZ_CPI",Release_Calendar!$B$2:$B$755,$A4715)&gt;0,1,0))</f>
        <v>1</v>
      </c>
      <c r="N4715" s="16">
        <f>IF($A4715&lt;Notes!$B$5,"",IF(COUNTIFS(Release_Calendar!$A$2:$A$755,"NZ_GDP",Release_Calendar!$B$2:$B$755,$A4715)&gt;0,1,0))</f>
        <v>0</v>
      </c>
      <c r="O4715" s="16">
        <f>IF($A4715&lt;Notes!$B$5,"",IF(COUNTIFS(Release_Calendar!$A$2:$A$755,"NZ_LABOUR",Release_Calendar!$B$2:$B$755,$A4715)&gt;0,1,0))</f>
        <v>0</v>
      </c>
      <c r="P4715" s="16">
        <f t="shared" si="4"/>
        <v>1</v>
      </c>
    </row>
    <row r="4716" ht="15.75" customHeight="1">
      <c r="A4716" s="14">
        <v>43126.0</v>
      </c>
      <c r="B4716" s="15">
        <v>2.13</v>
      </c>
      <c r="C4716" s="15">
        <v>2.17</v>
      </c>
      <c r="D4716" s="15"/>
      <c r="E4716" s="15">
        <v>1.95</v>
      </c>
      <c r="F4716" s="15">
        <f t="shared" si="1"/>
        <v>0.04</v>
      </c>
      <c r="G4716" s="15">
        <f t="shared" si="2"/>
        <v>2.17</v>
      </c>
      <c r="H4716" s="16">
        <v>0.0</v>
      </c>
      <c r="I4716" s="15">
        <f t="shared" si="3"/>
        <v>0.04</v>
      </c>
      <c r="J4716" s="15">
        <v>11.08</v>
      </c>
      <c r="K4716" s="16">
        <f>IF(COUNTIFS(Release_Calendar!$A$2:$A$755,"US_CPI",Release_Calendar!$B$2:$B$755,$A4716)&gt;0,1,0)</f>
        <v>0</v>
      </c>
      <c r="L4716" s="16">
        <f>IF(COUNTIFS(Release_Calendar!$A$2:$A$755,"US_NFP",Release_Calendar!$B$2:$B$755,$A4716)&gt;0,1,0)</f>
        <v>0</v>
      </c>
      <c r="M4716" s="16">
        <f>IF($A4716&lt;Notes!$B$5,"",IF(COUNTIFS(Release_Calendar!$A$2:$A$755,"NZ_CPI",Release_Calendar!$B$2:$B$755,$A4716)&gt;0,1,0))</f>
        <v>0</v>
      </c>
      <c r="N4716" s="16">
        <f>IF($A4716&lt;Notes!$B$5,"",IF(COUNTIFS(Release_Calendar!$A$2:$A$755,"NZ_GDP",Release_Calendar!$B$2:$B$755,$A4716)&gt;0,1,0))</f>
        <v>0</v>
      </c>
      <c r="O4716" s="16">
        <f>IF($A4716&lt;Notes!$B$5,"",IF(COUNTIFS(Release_Calendar!$A$2:$A$755,"NZ_LABOUR",Release_Calendar!$B$2:$B$755,$A4716)&gt;0,1,0))</f>
        <v>0</v>
      </c>
      <c r="P4716" s="16">
        <f t="shared" si="4"/>
        <v>0</v>
      </c>
    </row>
    <row r="4717" ht="15.75" customHeight="1">
      <c r="A4717" s="14">
        <v>43129.0</v>
      </c>
      <c r="B4717" s="15">
        <v>2.11</v>
      </c>
      <c r="C4717" s="15">
        <v>2.17</v>
      </c>
      <c r="D4717" s="15"/>
      <c r="E4717" s="15">
        <v>1.95</v>
      </c>
      <c r="F4717" s="15">
        <f t="shared" si="1"/>
        <v>0.06</v>
      </c>
      <c r="G4717" s="15">
        <f t="shared" si="2"/>
        <v>2.17</v>
      </c>
      <c r="H4717" s="16">
        <v>0.0</v>
      </c>
      <c r="I4717" s="15">
        <f t="shared" si="3"/>
        <v>0.06</v>
      </c>
      <c r="J4717" s="15">
        <v>13.84</v>
      </c>
      <c r="K4717" s="16">
        <f>IF(COUNTIFS(Release_Calendar!$A$2:$A$755,"US_CPI",Release_Calendar!$B$2:$B$755,$A4717)&gt;0,1,0)</f>
        <v>0</v>
      </c>
      <c r="L4717" s="16">
        <f>IF(COUNTIFS(Release_Calendar!$A$2:$A$755,"US_NFP",Release_Calendar!$B$2:$B$755,$A4717)&gt;0,1,0)</f>
        <v>0</v>
      </c>
      <c r="M4717" s="16">
        <f>IF($A4717&lt;Notes!$B$5,"",IF(COUNTIFS(Release_Calendar!$A$2:$A$755,"NZ_CPI",Release_Calendar!$B$2:$B$755,$A4717)&gt;0,1,0))</f>
        <v>0</v>
      </c>
      <c r="N4717" s="16">
        <f>IF($A4717&lt;Notes!$B$5,"",IF(COUNTIFS(Release_Calendar!$A$2:$A$755,"NZ_GDP",Release_Calendar!$B$2:$B$755,$A4717)&gt;0,1,0))</f>
        <v>0</v>
      </c>
      <c r="O4717" s="16">
        <f>IF($A4717&lt;Notes!$B$5,"",IF(COUNTIFS(Release_Calendar!$A$2:$A$755,"NZ_LABOUR",Release_Calendar!$B$2:$B$755,$A4717)&gt;0,1,0))</f>
        <v>0</v>
      </c>
      <c r="P4717" s="16">
        <f t="shared" si="4"/>
        <v>0</v>
      </c>
    </row>
    <row r="4718" ht="15.75" customHeight="1">
      <c r="A4718" s="14">
        <v>43130.0</v>
      </c>
      <c r="B4718" s="15">
        <v>2.13</v>
      </c>
      <c r="C4718" s="15">
        <v>2.17</v>
      </c>
      <c r="D4718" s="15"/>
      <c r="E4718" s="15">
        <v>1.96</v>
      </c>
      <c r="F4718" s="15">
        <f t="shared" si="1"/>
        <v>0.04</v>
      </c>
      <c r="G4718" s="15">
        <f t="shared" si="2"/>
        <v>2.17</v>
      </c>
      <c r="H4718" s="16">
        <v>0.0</v>
      </c>
      <c r="I4718" s="15">
        <f t="shared" si="3"/>
        <v>0.04</v>
      </c>
      <c r="J4718" s="15">
        <v>14.79</v>
      </c>
      <c r="K4718" s="16">
        <f>IF(COUNTIFS(Release_Calendar!$A$2:$A$755,"US_CPI",Release_Calendar!$B$2:$B$755,$A4718)&gt;0,1,0)</f>
        <v>0</v>
      </c>
      <c r="L4718" s="16">
        <f>IF(COUNTIFS(Release_Calendar!$A$2:$A$755,"US_NFP",Release_Calendar!$B$2:$B$755,$A4718)&gt;0,1,0)</f>
        <v>0</v>
      </c>
      <c r="M4718" s="16">
        <f>IF($A4718&lt;Notes!$B$5,"",IF(COUNTIFS(Release_Calendar!$A$2:$A$755,"NZ_CPI",Release_Calendar!$B$2:$B$755,$A4718)&gt;0,1,0))</f>
        <v>0</v>
      </c>
      <c r="N4718" s="16">
        <f>IF($A4718&lt;Notes!$B$5,"",IF(COUNTIFS(Release_Calendar!$A$2:$A$755,"NZ_GDP",Release_Calendar!$B$2:$B$755,$A4718)&gt;0,1,0))</f>
        <v>0</v>
      </c>
      <c r="O4718" s="16">
        <f>IF($A4718&lt;Notes!$B$5,"",IF(COUNTIFS(Release_Calendar!$A$2:$A$755,"NZ_LABOUR",Release_Calendar!$B$2:$B$755,$A4718)&gt;0,1,0))</f>
        <v>0</v>
      </c>
      <c r="P4718" s="16">
        <f t="shared" si="4"/>
        <v>0</v>
      </c>
    </row>
    <row r="4719" ht="15.75" customHeight="1">
      <c r="A4719" s="14">
        <v>43131.0</v>
      </c>
      <c r="B4719" s="15">
        <v>2.14</v>
      </c>
      <c r="C4719" s="15">
        <v>2.17</v>
      </c>
      <c r="D4719" s="15"/>
      <c r="E4719" s="15">
        <v>1.93</v>
      </c>
      <c r="F4719" s="15">
        <f t="shared" si="1"/>
        <v>0.03</v>
      </c>
      <c r="G4719" s="15">
        <f t="shared" si="2"/>
        <v>2.17</v>
      </c>
      <c r="H4719" s="16">
        <v>0.0</v>
      </c>
      <c r="I4719" s="15">
        <f t="shared" si="3"/>
        <v>0.03</v>
      </c>
      <c r="J4719" s="15">
        <v>13.54</v>
      </c>
      <c r="K4719" s="16">
        <f>IF(COUNTIFS(Release_Calendar!$A$2:$A$755,"US_CPI",Release_Calendar!$B$2:$B$755,$A4719)&gt;0,1,0)</f>
        <v>0</v>
      </c>
      <c r="L4719" s="16">
        <f>IF(COUNTIFS(Release_Calendar!$A$2:$A$755,"US_NFP",Release_Calendar!$B$2:$B$755,$A4719)&gt;0,1,0)</f>
        <v>0</v>
      </c>
      <c r="M4719" s="16">
        <f>IF($A4719&lt;Notes!$B$5,"",IF(COUNTIFS(Release_Calendar!$A$2:$A$755,"NZ_CPI",Release_Calendar!$B$2:$B$755,$A4719)&gt;0,1,0))</f>
        <v>0</v>
      </c>
      <c r="N4719" s="16">
        <f>IF($A4719&lt;Notes!$B$5,"",IF(COUNTIFS(Release_Calendar!$A$2:$A$755,"NZ_GDP",Release_Calendar!$B$2:$B$755,$A4719)&gt;0,1,0))</f>
        <v>0</v>
      </c>
      <c r="O4719" s="16">
        <f>IF($A4719&lt;Notes!$B$5,"",IF(COUNTIFS(Release_Calendar!$A$2:$A$755,"NZ_LABOUR",Release_Calendar!$B$2:$B$755,$A4719)&gt;0,1,0))</f>
        <v>0</v>
      </c>
      <c r="P4719" s="16">
        <f t="shared" si="4"/>
        <v>0</v>
      </c>
    </row>
    <row r="4720" ht="15.75" customHeight="1">
      <c r="A4720" s="14">
        <v>43132.0</v>
      </c>
      <c r="B4720" s="15">
        <v>2.16</v>
      </c>
      <c r="C4720" s="15">
        <v>2.17</v>
      </c>
      <c r="D4720" s="15"/>
      <c r="E4720" s="15">
        <v>1.93</v>
      </c>
      <c r="F4720" s="15">
        <f t="shared" si="1"/>
        <v>0.01</v>
      </c>
      <c r="G4720" s="15">
        <f t="shared" si="2"/>
        <v>2.17</v>
      </c>
      <c r="H4720" s="16">
        <v>0.0</v>
      </c>
      <c r="I4720" s="15">
        <f t="shared" si="3"/>
        <v>0.01</v>
      </c>
      <c r="J4720" s="15">
        <v>13.47</v>
      </c>
      <c r="K4720" s="16">
        <f>IF(COUNTIFS(Release_Calendar!$A$2:$A$755,"US_CPI",Release_Calendar!$B$2:$B$755,$A4720)&gt;0,1,0)</f>
        <v>0</v>
      </c>
      <c r="L4720" s="16">
        <f>IF(COUNTIFS(Release_Calendar!$A$2:$A$755,"US_NFP",Release_Calendar!$B$2:$B$755,$A4720)&gt;0,1,0)</f>
        <v>0</v>
      </c>
      <c r="M4720" s="16">
        <f>IF($A4720&lt;Notes!$B$5,"",IF(COUNTIFS(Release_Calendar!$A$2:$A$755,"NZ_CPI",Release_Calendar!$B$2:$B$755,$A4720)&gt;0,1,0))</f>
        <v>0</v>
      </c>
      <c r="N4720" s="16">
        <f>IF($A4720&lt;Notes!$B$5,"",IF(COUNTIFS(Release_Calendar!$A$2:$A$755,"NZ_GDP",Release_Calendar!$B$2:$B$755,$A4720)&gt;0,1,0))</f>
        <v>0</v>
      </c>
      <c r="O4720" s="16">
        <f>IF($A4720&lt;Notes!$B$5,"",IF(COUNTIFS(Release_Calendar!$A$2:$A$755,"NZ_LABOUR",Release_Calendar!$B$2:$B$755,$A4720)&gt;0,1,0))</f>
        <v>0</v>
      </c>
      <c r="P4720" s="16">
        <f t="shared" si="4"/>
        <v>0</v>
      </c>
    </row>
    <row r="4721" ht="15.75" customHeight="1">
      <c r="A4721" s="14">
        <v>43133.0</v>
      </c>
      <c r="B4721" s="15">
        <v>2.15</v>
      </c>
      <c r="C4721" s="15">
        <v>2.17</v>
      </c>
      <c r="D4721" s="15"/>
      <c r="E4721" s="15">
        <v>1.93</v>
      </c>
      <c r="F4721" s="15">
        <f t="shared" si="1"/>
        <v>0.02</v>
      </c>
      <c r="G4721" s="15">
        <f t="shared" si="2"/>
        <v>2.17</v>
      </c>
      <c r="H4721" s="16">
        <v>0.0</v>
      </c>
      <c r="I4721" s="15">
        <f t="shared" si="3"/>
        <v>0.02</v>
      </c>
      <c r="J4721" s="15">
        <v>17.31</v>
      </c>
      <c r="K4721" s="16">
        <f>IF(COUNTIFS(Release_Calendar!$A$2:$A$755,"US_CPI",Release_Calendar!$B$2:$B$755,$A4721)&gt;0,1,0)</f>
        <v>0</v>
      </c>
      <c r="L4721" s="16">
        <f>IF(COUNTIFS(Release_Calendar!$A$2:$A$755,"US_NFP",Release_Calendar!$B$2:$B$755,$A4721)&gt;0,1,0)</f>
        <v>1</v>
      </c>
      <c r="M4721" s="16">
        <f>IF($A4721&lt;Notes!$B$5,"",IF(COUNTIFS(Release_Calendar!$A$2:$A$755,"NZ_CPI",Release_Calendar!$B$2:$B$755,$A4721)&gt;0,1,0))</f>
        <v>0</v>
      </c>
      <c r="N4721" s="16">
        <f>IF($A4721&lt;Notes!$B$5,"",IF(COUNTIFS(Release_Calendar!$A$2:$A$755,"NZ_GDP",Release_Calendar!$B$2:$B$755,$A4721)&gt;0,1,0))</f>
        <v>0</v>
      </c>
      <c r="O4721" s="16">
        <f>IF($A4721&lt;Notes!$B$5,"",IF(COUNTIFS(Release_Calendar!$A$2:$A$755,"NZ_LABOUR",Release_Calendar!$B$2:$B$755,$A4721)&gt;0,1,0))</f>
        <v>0</v>
      </c>
      <c r="P4721" s="16">
        <f t="shared" si="4"/>
        <v>1</v>
      </c>
    </row>
    <row r="4722" ht="15.75" customHeight="1">
      <c r="A4722" s="14">
        <v>43136.0</v>
      </c>
      <c r="B4722" s="15">
        <v>2.08</v>
      </c>
      <c r="C4722" s="15">
        <v>2.17</v>
      </c>
      <c r="D4722" s="15"/>
      <c r="E4722" s="15">
        <v>1.94</v>
      </c>
      <c r="F4722" s="15">
        <f t="shared" si="1"/>
        <v>0.09</v>
      </c>
      <c r="G4722" s="15">
        <f t="shared" si="2"/>
        <v>2.17</v>
      </c>
      <c r="H4722" s="16">
        <v>0.0</v>
      </c>
      <c r="I4722" s="15">
        <f t="shared" si="3"/>
        <v>0.09</v>
      </c>
      <c r="J4722" s="15">
        <v>37.32</v>
      </c>
      <c r="K4722" s="16">
        <f>IF(COUNTIFS(Release_Calendar!$A$2:$A$755,"US_CPI",Release_Calendar!$B$2:$B$755,$A4722)&gt;0,1,0)</f>
        <v>0</v>
      </c>
      <c r="L4722" s="16">
        <f>IF(COUNTIFS(Release_Calendar!$A$2:$A$755,"US_NFP",Release_Calendar!$B$2:$B$755,$A4722)&gt;0,1,0)</f>
        <v>0</v>
      </c>
      <c r="M4722" s="16">
        <f>IF($A4722&lt;Notes!$B$5,"",IF(COUNTIFS(Release_Calendar!$A$2:$A$755,"NZ_CPI",Release_Calendar!$B$2:$B$755,$A4722)&gt;0,1,0))</f>
        <v>0</v>
      </c>
      <c r="N4722" s="16">
        <f>IF($A4722&lt;Notes!$B$5,"",IF(COUNTIFS(Release_Calendar!$A$2:$A$755,"NZ_GDP",Release_Calendar!$B$2:$B$755,$A4722)&gt;0,1,0))</f>
        <v>0</v>
      </c>
      <c r="O4722" s="16">
        <f>IF($A4722&lt;Notes!$B$5,"",IF(COUNTIFS(Release_Calendar!$A$2:$A$755,"NZ_LABOUR",Release_Calendar!$B$2:$B$755,$A4722)&gt;0,1,0))</f>
        <v>0</v>
      </c>
      <c r="P4722" s="16">
        <f t="shared" si="4"/>
        <v>0</v>
      </c>
    </row>
    <row r="4723" ht="15.75" customHeight="1">
      <c r="A4723" s="14">
        <v>43137.0</v>
      </c>
      <c r="B4723" s="15">
        <v>2.1</v>
      </c>
      <c r="C4723" s="15"/>
      <c r="D4723" s="15"/>
      <c r="E4723" s="15"/>
      <c r="F4723" s="15" t="str">
        <f t="shared" si="1"/>
        <v/>
      </c>
      <c r="G4723" s="15" t="str">
        <f t="shared" si="2"/>
        <v/>
      </c>
      <c r="H4723" s="16">
        <v>0.0</v>
      </c>
      <c r="I4723" s="15" t="str">
        <f t="shared" si="3"/>
        <v/>
      </c>
      <c r="J4723" s="15">
        <v>29.98</v>
      </c>
      <c r="K4723" s="16">
        <f>IF(COUNTIFS(Release_Calendar!$A$2:$A$755,"US_CPI",Release_Calendar!$B$2:$B$755,$A4723)&gt;0,1,0)</f>
        <v>0</v>
      </c>
      <c r="L4723" s="16">
        <f>IF(COUNTIFS(Release_Calendar!$A$2:$A$755,"US_NFP",Release_Calendar!$B$2:$B$755,$A4723)&gt;0,1,0)</f>
        <v>0</v>
      </c>
      <c r="M4723" s="16">
        <f>IF($A4723&lt;Notes!$B$5,"",IF(COUNTIFS(Release_Calendar!$A$2:$A$755,"NZ_CPI",Release_Calendar!$B$2:$B$755,$A4723)&gt;0,1,0))</f>
        <v>0</v>
      </c>
      <c r="N4723" s="16">
        <f>IF($A4723&lt;Notes!$B$5,"",IF(COUNTIFS(Release_Calendar!$A$2:$A$755,"NZ_GDP",Release_Calendar!$B$2:$B$755,$A4723)&gt;0,1,0))</f>
        <v>0</v>
      </c>
      <c r="O4723" s="16">
        <f>IF($A4723&lt;Notes!$B$5,"",IF(COUNTIFS(Release_Calendar!$A$2:$A$755,"NZ_LABOUR",Release_Calendar!$B$2:$B$755,$A4723)&gt;0,1,0))</f>
        <v>0</v>
      </c>
      <c r="P4723" s="16">
        <f t="shared" si="4"/>
        <v>0</v>
      </c>
    </row>
    <row r="4724" ht="15.75" customHeight="1">
      <c r="A4724" s="14">
        <v>43138.0</v>
      </c>
      <c r="B4724" s="15">
        <v>2.15</v>
      </c>
      <c r="C4724" s="15">
        <v>2.17</v>
      </c>
      <c r="D4724" s="15"/>
      <c r="E4724" s="15">
        <v>1.89</v>
      </c>
      <c r="F4724" s="15">
        <f t="shared" si="1"/>
        <v>0.02</v>
      </c>
      <c r="G4724" s="15">
        <f t="shared" si="2"/>
        <v>2.17</v>
      </c>
      <c r="H4724" s="16">
        <v>0.0</v>
      </c>
      <c r="I4724" s="15">
        <f t="shared" si="3"/>
        <v>0.02</v>
      </c>
      <c r="J4724" s="15">
        <v>27.73</v>
      </c>
      <c r="K4724" s="16">
        <f>IF(COUNTIFS(Release_Calendar!$A$2:$A$755,"US_CPI",Release_Calendar!$B$2:$B$755,$A4724)&gt;0,1,0)</f>
        <v>0</v>
      </c>
      <c r="L4724" s="16">
        <f>IF(COUNTIFS(Release_Calendar!$A$2:$A$755,"US_NFP",Release_Calendar!$B$2:$B$755,$A4724)&gt;0,1,0)</f>
        <v>0</v>
      </c>
      <c r="M4724" s="16">
        <f>IF($A4724&lt;Notes!$B$5,"",IF(COUNTIFS(Release_Calendar!$A$2:$A$755,"NZ_CPI",Release_Calendar!$B$2:$B$755,$A4724)&gt;0,1,0))</f>
        <v>0</v>
      </c>
      <c r="N4724" s="16">
        <f>IF($A4724&lt;Notes!$B$5,"",IF(COUNTIFS(Release_Calendar!$A$2:$A$755,"NZ_GDP",Release_Calendar!$B$2:$B$755,$A4724)&gt;0,1,0))</f>
        <v>0</v>
      </c>
      <c r="O4724" s="16">
        <f>IF($A4724&lt;Notes!$B$5,"",IF(COUNTIFS(Release_Calendar!$A$2:$A$755,"NZ_LABOUR",Release_Calendar!$B$2:$B$755,$A4724)&gt;0,1,0))</f>
        <v>1</v>
      </c>
      <c r="P4724" s="16">
        <f t="shared" si="4"/>
        <v>1</v>
      </c>
    </row>
    <row r="4725" ht="15.75" customHeight="1">
      <c r="A4725" s="14">
        <v>43139.0</v>
      </c>
      <c r="B4725" s="15">
        <v>2.13</v>
      </c>
      <c r="C4725" s="15">
        <v>2.16</v>
      </c>
      <c r="D4725" s="15"/>
      <c r="E4725" s="15">
        <v>1.87</v>
      </c>
      <c r="F4725" s="15">
        <f t="shared" si="1"/>
        <v>0.03</v>
      </c>
      <c r="G4725" s="15">
        <f t="shared" si="2"/>
        <v>2.16</v>
      </c>
      <c r="H4725" s="16">
        <v>0.0</v>
      </c>
      <c r="I4725" s="15">
        <f t="shared" si="3"/>
        <v>0.03</v>
      </c>
      <c r="J4725" s="15">
        <v>33.46</v>
      </c>
      <c r="K4725" s="16">
        <f>IF(COUNTIFS(Release_Calendar!$A$2:$A$755,"US_CPI",Release_Calendar!$B$2:$B$755,$A4725)&gt;0,1,0)</f>
        <v>0</v>
      </c>
      <c r="L4725" s="16">
        <f>IF(COUNTIFS(Release_Calendar!$A$2:$A$755,"US_NFP",Release_Calendar!$B$2:$B$755,$A4725)&gt;0,1,0)</f>
        <v>0</v>
      </c>
      <c r="M4725" s="16">
        <f>IF($A4725&lt;Notes!$B$5,"",IF(COUNTIFS(Release_Calendar!$A$2:$A$755,"NZ_CPI",Release_Calendar!$B$2:$B$755,$A4725)&gt;0,1,0))</f>
        <v>0</v>
      </c>
      <c r="N4725" s="16">
        <f>IF($A4725&lt;Notes!$B$5,"",IF(COUNTIFS(Release_Calendar!$A$2:$A$755,"NZ_GDP",Release_Calendar!$B$2:$B$755,$A4725)&gt;0,1,0))</f>
        <v>0</v>
      </c>
      <c r="O4725" s="16">
        <f>IF($A4725&lt;Notes!$B$5,"",IF(COUNTIFS(Release_Calendar!$A$2:$A$755,"NZ_LABOUR",Release_Calendar!$B$2:$B$755,$A4725)&gt;0,1,0))</f>
        <v>0</v>
      </c>
      <c r="P4725" s="16">
        <f t="shared" si="4"/>
        <v>0</v>
      </c>
    </row>
    <row r="4726" ht="15.75" customHeight="1">
      <c r="A4726" s="14">
        <v>43140.0</v>
      </c>
      <c r="B4726" s="15">
        <v>2.05</v>
      </c>
      <c r="C4726" s="15">
        <v>2.15</v>
      </c>
      <c r="D4726" s="15"/>
      <c r="E4726" s="15">
        <v>1.85</v>
      </c>
      <c r="F4726" s="15">
        <f t="shared" si="1"/>
        <v>0.1</v>
      </c>
      <c r="G4726" s="15">
        <f t="shared" si="2"/>
        <v>2.15</v>
      </c>
      <c r="H4726" s="16">
        <v>0.0</v>
      </c>
      <c r="I4726" s="15">
        <f t="shared" si="3"/>
        <v>0.1</v>
      </c>
      <c r="J4726" s="15">
        <v>29.06</v>
      </c>
      <c r="K4726" s="16">
        <f>IF(COUNTIFS(Release_Calendar!$A$2:$A$755,"US_CPI",Release_Calendar!$B$2:$B$755,$A4726)&gt;0,1,0)</f>
        <v>0</v>
      </c>
      <c r="L4726" s="16">
        <f>IF(COUNTIFS(Release_Calendar!$A$2:$A$755,"US_NFP",Release_Calendar!$B$2:$B$755,$A4726)&gt;0,1,0)</f>
        <v>0</v>
      </c>
      <c r="M4726" s="16">
        <f>IF($A4726&lt;Notes!$B$5,"",IF(COUNTIFS(Release_Calendar!$A$2:$A$755,"NZ_CPI",Release_Calendar!$B$2:$B$755,$A4726)&gt;0,1,0))</f>
        <v>0</v>
      </c>
      <c r="N4726" s="16">
        <f>IF($A4726&lt;Notes!$B$5,"",IF(COUNTIFS(Release_Calendar!$A$2:$A$755,"NZ_GDP",Release_Calendar!$B$2:$B$755,$A4726)&gt;0,1,0))</f>
        <v>0</v>
      </c>
      <c r="O4726" s="16">
        <f>IF($A4726&lt;Notes!$B$5,"",IF(COUNTIFS(Release_Calendar!$A$2:$A$755,"NZ_LABOUR",Release_Calendar!$B$2:$B$755,$A4726)&gt;0,1,0))</f>
        <v>0</v>
      </c>
      <c r="P4726" s="16">
        <f t="shared" si="4"/>
        <v>0</v>
      </c>
    </row>
    <row r="4727" ht="15.75" customHeight="1">
      <c r="A4727" s="14">
        <v>43143.0</v>
      </c>
      <c r="B4727" s="15">
        <v>2.09</v>
      </c>
      <c r="C4727" s="15">
        <v>2.16</v>
      </c>
      <c r="D4727" s="15"/>
      <c r="E4727" s="15">
        <v>1.87</v>
      </c>
      <c r="F4727" s="15">
        <f t="shared" si="1"/>
        <v>0.07</v>
      </c>
      <c r="G4727" s="15">
        <f t="shared" si="2"/>
        <v>2.16</v>
      </c>
      <c r="H4727" s="16">
        <v>0.0</v>
      </c>
      <c r="I4727" s="15">
        <f t="shared" si="3"/>
        <v>0.07</v>
      </c>
      <c r="J4727" s="15">
        <v>25.61</v>
      </c>
      <c r="K4727" s="16">
        <f>IF(COUNTIFS(Release_Calendar!$A$2:$A$755,"US_CPI",Release_Calendar!$B$2:$B$755,$A4727)&gt;0,1,0)</f>
        <v>0</v>
      </c>
      <c r="L4727" s="16">
        <f>IF(COUNTIFS(Release_Calendar!$A$2:$A$755,"US_NFP",Release_Calendar!$B$2:$B$755,$A4727)&gt;0,1,0)</f>
        <v>0</v>
      </c>
      <c r="M4727" s="16">
        <f>IF($A4727&lt;Notes!$B$5,"",IF(COUNTIFS(Release_Calendar!$A$2:$A$755,"NZ_CPI",Release_Calendar!$B$2:$B$755,$A4727)&gt;0,1,0))</f>
        <v>0</v>
      </c>
      <c r="N4727" s="16">
        <f>IF($A4727&lt;Notes!$B$5,"",IF(COUNTIFS(Release_Calendar!$A$2:$A$755,"NZ_GDP",Release_Calendar!$B$2:$B$755,$A4727)&gt;0,1,0))</f>
        <v>0</v>
      </c>
      <c r="O4727" s="16">
        <f>IF($A4727&lt;Notes!$B$5,"",IF(COUNTIFS(Release_Calendar!$A$2:$A$755,"NZ_LABOUR",Release_Calendar!$B$2:$B$755,$A4727)&gt;0,1,0))</f>
        <v>0</v>
      </c>
      <c r="P4727" s="16">
        <f t="shared" si="4"/>
        <v>0</v>
      </c>
    </row>
    <row r="4728" ht="15.75" customHeight="1">
      <c r="A4728" s="14">
        <v>43144.0</v>
      </c>
      <c r="B4728" s="15">
        <v>2.1</v>
      </c>
      <c r="C4728" s="15">
        <v>2.15</v>
      </c>
      <c r="D4728" s="15"/>
      <c r="E4728" s="15">
        <v>1.86</v>
      </c>
      <c r="F4728" s="15">
        <f t="shared" si="1"/>
        <v>0.05</v>
      </c>
      <c r="G4728" s="15">
        <f t="shared" si="2"/>
        <v>2.15</v>
      </c>
      <c r="H4728" s="16">
        <v>0.0</v>
      </c>
      <c r="I4728" s="15">
        <f t="shared" si="3"/>
        <v>0.05</v>
      </c>
      <c r="J4728" s="15">
        <v>24.97</v>
      </c>
      <c r="K4728" s="16">
        <f>IF(COUNTIFS(Release_Calendar!$A$2:$A$755,"US_CPI",Release_Calendar!$B$2:$B$755,$A4728)&gt;0,1,0)</f>
        <v>0</v>
      </c>
      <c r="L4728" s="16">
        <f>IF(COUNTIFS(Release_Calendar!$A$2:$A$755,"US_NFP",Release_Calendar!$B$2:$B$755,$A4728)&gt;0,1,0)</f>
        <v>0</v>
      </c>
      <c r="M4728" s="16">
        <f>IF($A4728&lt;Notes!$B$5,"",IF(COUNTIFS(Release_Calendar!$A$2:$A$755,"NZ_CPI",Release_Calendar!$B$2:$B$755,$A4728)&gt;0,1,0))</f>
        <v>0</v>
      </c>
      <c r="N4728" s="16">
        <f>IF($A4728&lt;Notes!$B$5,"",IF(COUNTIFS(Release_Calendar!$A$2:$A$755,"NZ_GDP",Release_Calendar!$B$2:$B$755,$A4728)&gt;0,1,0))</f>
        <v>0</v>
      </c>
      <c r="O4728" s="16">
        <f>IF($A4728&lt;Notes!$B$5,"",IF(COUNTIFS(Release_Calendar!$A$2:$A$755,"NZ_LABOUR",Release_Calendar!$B$2:$B$755,$A4728)&gt;0,1,0))</f>
        <v>0</v>
      </c>
      <c r="P4728" s="16">
        <f t="shared" si="4"/>
        <v>0</v>
      </c>
    </row>
    <row r="4729" ht="15.75" customHeight="1">
      <c r="A4729" s="14">
        <v>43145.0</v>
      </c>
      <c r="B4729" s="15">
        <v>2.17</v>
      </c>
      <c r="C4729" s="15">
        <v>2.15</v>
      </c>
      <c r="D4729" s="15"/>
      <c r="E4729" s="15">
        <v>1.86</v>
      </c>
      <c r="F4729" s="15">
        <f t="shared" si="1"/>
        <v>-0.02</v>
      </c>
      <c r="G4729" s="15">
        <f t="shared" si="2"/>
        <v>2.15</v>
      </c>
      <c r="H4729" s="16">
        <v>0.0</v>
      </c>
      <c r="I4729" s="15">
        <f t="shared" si="3"/>
        <v>-0.02</v>
      </c>
      <c r="J4729" s="15">
        <v>19.26</v>
      </c>
      <c r="K4729" s="16">
        <f>IF(COUNTIFS(Release_Calendar!$A$2:$A$755,"US_CPI",Release_Calendar!$B$2:$B$755,$A4729)&gt;0,1,0)</f>
        <v>1</v>
      </c>
      <c r="L4729" s="16">
        <f>IF(COUNTIFS(Release_Calendar!$A$2:$A$755,"US_NFP",Release_Calendar!$B$2:$B$755,$A4729)&gt;0,1,0)</f>
        <v>0</v>
      </c>
      <c r="M4729" s="16">
        <f>IF($A4729&lt;Notes!$B$5,"",IF(COUNTIFS(Release_Calendar!$A$2:$A$755,"NZ_CPI",Release_Calendar!$B$2:$B$755,$A4729)&gt;0,1,0))</f>
        <v>0</v>
      </c>
      <c r="N4729" s="16">
        <f>IF($A4729&lt;Notes!$B$5,"",IF(COUNTIFS(Release_Calendar!$A$2:$A$755,"NZ_GDP",Release_Calendar!$B$2:$B$755,$A4729)&gt;0,1,0))</f>
        <v>0</v>
      </c>
      <c r="O4729" s="16">
        <f>IF($A4729&lt;Notes!$B$5,"",IF(COUNTIFS(Release_Calendar!$A$2:$A$755,"NZ_LABOUR",Release_Calendar!$B$2:$B$755,$A4729)&gt;0,1,0))</f>
        <v>0</v>
      </c>
      <c r="P4729" s="16">
        <f t="shared" si="4"/>
        <v>1</v>
      </c>
    </row>
    <row r="4730" ht="15.75" customHeight="1">
      <c r="A4730" s="14">
        <v>43146.0</v>
      </c>
      <c r="B4730" s="15">
        <v>2.19</v>
      </c>
      <c r="C4730" s="15">
        <v>2.17</v>
      </c>
      <c r="D4730" s="15"/>
      <c r="E4730" s="15">
        <v>1.87</v>
      </c>
      <c r="F4730" s="15">
        <f t="shared" si="1"/>
        <v>-0.02</v>
      </c>
      <c r="G4730" s="15">
        <f t="shared" si="2"/>
        <v>2.17</v>
      </c>
      <c r="H4730" s="16">
        <v>0.0</v>
      </c>
      <c r="I4730" s="15">
        <f t="shared" si="3"/>
        <v>-0.02</v>
      </c>
      <c r="J4730" s="15">
        <v>19.13</v>
      </c>
      <c r="K4730" s="16">
        <f>IF(COUNTIFS(Release_Calendar!$A$2:$A$755,"US_CPI",Release_Calendar!$B$2:$B$755,$A4730)&gt;0,1,0)</f>
        <v>0</v>
      </c>
      <c r="L4730" s="16">
        <f>IF(COUNTIFS(Release_Calendar!$A$2:$A$755,"US_NFP",Release_Calendar!$B$2:$B$755,$A4730)&gt;0,1,0)</f>
        <v>0</v>
      </c>
      <c r="M4730" s="16">
        <f>IF($A4730&lt;Notes!$B$5,"",IF(COUNTIFS(Release_Calendar!$A$2:$A$755,"NZ_CPI",Release_Calendar!$B$2:$B$755,$A4730)&gt;0,1,0))</f>
        <v>0</v>
      </c>
      <c r="N4730" s="16">
        <f>IF($A4730&lt;Notes!$B$5,"",IF(COUNTIFS(Release_Calendar!$A$2:$A$755,"NZ_GDP",Release_Calendar!$B$2:$B$755,$A4730)&gt;0,1,0))</f>
        <v>0</v>
      </c>
      <c r="O4730" s="16">
        <f>IF($A4730&lt;Notes!$B$5,"",IF(COUNTIFS(Release_Calendar!$A$2:$A$755,"NZ_LABOUR",Release_Calendar!$B$2:$B$755,$A4730)&gt;0,1,0))</f>
        <v>0</v>
      </c>
      <c r="P4730" s="16">
        <f t="shared" si="4"/>
        <v>0</v>
      </c>
    </row>
    <row r="4731" ht="15.75" customHeight="1">
      <c r="A4731" s="14">
        <v>43147.0</v>
      </c>
      <c r="B4731" s="15">
        <v>2.21</v>
      </c>
      <c r="C4731" s="15">
        <v>2.16</v>
      </c>
      <c r="D4731" s="15"/>
      <c r="E4731" s="15">
        <v>1.87</v>
      </c>
      <c r="F4731" s="15">
        <f t="shared" si="1"/>
        <v>-0.05</v>
      </c>
      <c r="G4731" s="15">
        <f t="shared" si="2"/>
        <v>2.16</v>
      </c>
      <c r="H4731" s="16">
        <v>0.0</v>
      </c>
      <c r="I4731" s="15">
        <f t="shared" si="3"/>
        <v>-0.05</v>
      </c>
      <c r="J4731" s="15">
        <v>19.46</v>
      </c>
      <c r="K4731" s="16">
        <f>IF(COUNTIFS(Release_Calendar!$A$2:$A$755,"US_CPI",Release_Calendar!$B$2:$B$755,$A4731)&gt;0,1,0)</f>
        <v>0</v>
      </c>
      <c r="L4731" s="16">
        <f>IF(COUNTIFS(Release_Calendar!$A$2:$A$755,"US_NFP",Release_Calendar!$B$2:$B$755,$A4731)&gt;0,1,0)</f>
        <v>0</v>
      </c>
      <c r="M4731" s="16">
        <f>IF($A4731&lt;Notes!$B$5,"",IF(COUNTIFS(Release_Calendar!$A$2:$A$755,"NZ_CPI",Release_Calendar!$B$2:$B$755,$A4731)&gt;0,1,0))</f>
        <v>0</v>
      </c>
      <c r="N4731" s="16">
        <f>IF($A4731&lt;Notes!$B$5,"",IF(COUNTIFS(Release_Calendar!$A$2:$A$755,"NZ_GDP",Release_Calendar!$B$2:$B$755,$A4731)&gt;0,1,0))</f>
        <v>0</v>
      </c>
      <c r="O4731" s="16">
        <f>IF($A4731&lt;Notes!$B$5,"",IF(COUNTIFS(Release_Calendar!$A$2:$A$755,"NZ_LABOUR",Release_Calendar!$B$2:$B$755,$A4731)&gt;0,1,0))</f>
        <v>0</v>
      </c>
      <c r="P4731" s="16">
        <f t="shared" si="4"/>
        <v>0</v>
      </c>
    </row>
    <row r="4732" ht="15.75" customHeight="1">
      <c r="A4732" s="14">
        <v>43150.0</v>
      </c>
      <c r="B4732" s="15"/>
      <c r="C4732" s="15">
        <v>2.16</v>
      </c>
      <c r="D4732" s="15"/>
      <c r="E4732" s="15">
        <v>1.86</v>
      </c>
      <c r="F4732" s="15" t="str">
        <f t="shared" si="1"/>
        <v/>
      </c>
      <c r="G4732" s="15">
        <f t="shared" si="2"/>
        <v>2.16</v>
      </c>
      <c r="H4732" s="16">
        <v>0.0</v>
      </c>
      <c r="I4732" s="15" t="str">
        <f t="shared" si="3"/>
        <v/>
      </c>
      <c r="J4732" s="15"/>
      <c r="K4732" s="16">
        <f>IF(COUNTIFS(Release_Calendar!$A$2:$A$755,"US_CPI",Release_Calendar!$B$2:$B$755,$A4732)&gt;0,1,0)</f>
        <v>0</v>
      </c>
      <c r="L4732" s="16">
        <f>IF(COUNTIFS(Release_Calendar!$A$2:$A$755,"US_NFP",Release_Calendar!$B$2:$B$755,$A4732)&gt;0,1,0)</f>
        <v>0</v>
      </c>
      <c r="M4732" s="16">
        <f>IF($A4732&lt;Notes!$B$5,"",IF(COUNTIFS(Release_Calendar!$A$2:$A$755,"NZ_CPI",Release_Calendar!$B$2:$B$755,$A4732)&gt;0,1,0))</f>
        <v>0</v>
      </c>
      <c r="N4732" s="16">
        <f>IF($A4732&lt;Notes!$B$5,"",IF(COUNTIFS(Release_Calendar!$A$2:$A$755,"NZ_GDP",Release_Calendar!$B$2:$B$755,$A4732)&gt;0,1,0))</f>
        <v>0</v>
      </c>
      <c r="O4732" s="16">
        <f>IF($A4732&lt;Notes!$B$5,"",IF(COUNTIFS(Release_Calendar!$A$2:$A$755,"NZ_LABOUR",Release_Calendar!$B$2:$B$755,$A4732)&gt;0,1,0))</f>
        <v>0</v>
      </c>
      <c r="P4732" s="16">
        <f t="shared" si="4"/>
        <v>0</v>
      </c>
    </row>
    <row r="4733" ht="15.75" customHeight="1">
      <c r="A4733" s="14">
        <v>43151.0</v>
      </c>
      <c r="B4733" s="15">
        <v>2.25</v>
      </c>
      <c r="C4733" s="15">
        <v>2.17</v>
      </c>
      <c r="D4733" s="15"/>
      <c r="E4733" s="15">
        <v>1.87</v>
      </c>
      <c r="F4733" s="15">
        <f t="shared" si="1"/>
        <v>-0.08</v>
      </c>
      <c r="G4733" s="15">
        <f t="shared" si="2"/>
        <v>2.17</v>
      </c>
      <c r="H4733" s="16">
        <v>0.0</v>
      </c>
      <c r="I4733" s="15">
        <f t="shared" si="3"/>
        <v>-0.08</v>
      </c>
      <c r="J4733" s="15">
        <v>20.6</v>
      </c>
      <c r="K4733" s="16">
        <f>IF(COUNTIFS(Release_Calendar!$A$2:$A$755,"US_CPI",Release_Calendar!$B$2:$B$755,$A4733)&gt;0,1,0)</f>
        <v>0</v>
      </c>
      <c r="L4733" s="16">
        <f>IF(COUNTIFS(Release_Calendar!$A$2:$A$755,"US_NFP",Release_Calendar!$B$2:$B$755,$A4733)&gt;0,1,0)</f>
        <v>0</v>
      </c>
      <c r="M4733" s="16">
        <f>IF($A4733&lt;Notes!$B$5,"",IF(COUNTIFS(Release_Calendar!$A$2:$A$755,"NZ_CPI",Release_Calendar!$B$2:$B$755,$A4733)&gt;0,1,0))</f>
        <v>0</v>
      </c>
      <c r="N4733" s="16">
        <f>IF($A4733&lt;Notes!$B$5,"",IF(COUNTIFS(Release_Calendar!$A$2:$A$755,"NZ_GDP",Release_Calendar!$B$2:$B$755,$A4733)&gt;0,1,0))</f>
        <v>0</v>
      </c>
      <c r="O4733" s="16">
        <f>IF($A4733&lt;Notes!$B$5,"",IF(COUNTIFS(Release_Calendar!$A$2:$A$755,"NZ_LABOUR",Release_Calendar!$B$2:$B$755,$A4733)&gt;0,1,0))</f>
        <v>0</v>
      </c>
      <c r="P4733" s="16">
        <f t="shared" si="4"/>
        <v>0</v>
      </c>
    </row>
    <row r="4734" ht="15.75" customHeight="1">
      <c r="A4734" s="14">
        <v>43152.0</v>
      </c>
      <c r="B4734" s="15">
        <v>2.26</v>
      </c>
      <c r="C4734" s="15">
        <v>2.17</v>
      </c>
      <c r="D4734" s="15"/>
      <c r="E4734" s="15">
        <v>1.86</v>
      </c>
      <c r="F4734" s="15">
        <f t="shared" si="1"/>
        <v>-0.09</v>
      </c>
      <c r="G4734" s="15">
        <f t="shared" si="2"/>
        <v>2.17</v>
      </c>
      <c r="H4734" s="16">
        <v>0.0</v>
      </c>
      <c r="I4734" s="15">
        <f t="shared" si="3"/>
        <v>-0.09</v>
      </c>
      <c r="J4734" s="15">
        <v>20.02</v>
      </c>
      <c r="K4734" s="16">
        <f>IF(COUNTIFS(Release_Calendar!$A$2:$A$755,"US_CPI",Release_Calendar!$B$2:$B$755,$A4734)&gt;0,1,0)</f>
        <v>0</v>
      </c>
      <c r="L4734" s="16">
        <f>IF(COUNTIFS(Release_Calendar!$A$2:$A$755,"US_NFP",Release_Calendar!$B$2:$B$755,$A4734)&gt;0,1,0)</f>
        <v>0</v>
      </c>
      <c r="M4734" s="16">
        <f>IF($A4734&lt;Notes!$B$5,"",IF(COUNTIFS(Release_Calendar!$A$2:$A$755,"NZ_CPI",Release_Calendar!$B$2:$B$755,$A4734)&gt;0,1,0))</f>
        <v>0</v>
      </c>
      <c r="N4734" s="16">
        <f>IF($A4734&lt;Notes!$B$5,"",IF(COUNTIFS(Release_Calendar!$A$2:$A$755,"NZ_GDP",Release_Calendar!$B$2:$B$755,$A4734)&gt;0,1,0))</f>
        <v>0</v>
      </c>
      <c r="O4734" s="16">
        <f>IF($A4734&lt;Notes!$B$5,"",IF(COUNTIFS(Release_Calendar!$A$2:$A$755,"NZ_LABOUR",Release_Calendar!$B$2:$B$755,$A4734)&gt;0,1,0))</f>
        <v>0</v>
      </c>
      <c r="P4734" s="16">
        <f t="shared" si="4"/>
        <v>0</v>
      </c>
    </row>
    <row r="4735" ht="15.75" customHeight="1">
      <c r="A4735" s="14">
        <v>43153.0</v>
      </c>
      <c r="B4735" s="15">
        <v>2.25</v>
      </c>
      <c r="C4735" s="15">
        <v>2.18</v>
      </c>
      <c r="D4735" s="15"/>
      <c r="E4735" s="15">
        <v>1.88</v>
      </c>
      <c r="F4735" s="15">
        <f t="shared" si="1"/>
        <v>-0.07</v>
      </c>
      <c r="G4735" s="15">
        <f t="shared" si="2"/>
        <v>2.18</v>
      </c>
      <c r="H4735" s="16">
        <v>0.0</v>
      </c>
      <c r="I4735" s="15">
        <f t="shared" si="3"/>
        <v>-0.07</v>
      </c>
      <c r="J4735" s="15">
        <v>18.72</v>
      </c>
      <c r="K4735" s="16">
        <f>IF(COUNTIFS(Release_Calendar!$A$2:$A$755,"US_CPI",Release_Calendar!$B$2:$B$755,$A4735)&gt;0,1,0)</f>
        <v>0</v>
      </c>
      <c r="L4735" s="16">
        <f>IF(COUNTIFS(Release_Calendar!$A$2:$A$755,"US_NFP",Release_Calendar!$B$2:$B$755,$A4735)&gt;0,1,0)</f>
        <v>0</v>
      </c>
      <c r="M4735" s="16">
        <f>IF($A4735&lt;Notes!$B$5,"",IF(COUNTIFS(Release_Calendar!$A$2:$A$755,"NZ_CPI",Release_Calendar!$B$2:$B$755,$A4735)&gt;0,1,0))</f>
        <v>0</v>
      </c>
      <c r="N4735" s="16">
        <f>IF($A4735&lt;Notes!$B$5,"",IF(COUNTIFS(Release_Calendar!$A$2:$A$755,"NZ_GDP",Release_Calendar!$B$2:$B$755,$A4735)&gt;0,1,0))</f>
        <v>0</v>
      </c>
      <c r="O4735" s="16">
        <f>IF($A4735&lt;Notes!$B$5,"",IF(COUNTIFS(Release_Calendar!$A$2:$A$755,"NZ_LABOUR",Release_Calendar!$B$2:$B$755,$A4735)&gt;0,1,0))</f>
        <v>0</v>
      </c>
      <c r="P4735" s="16">
        <f t="shared" si="4"/>
        <v>0</v>
      </c>
    </row>
    <row r="4736" ht="15.75" customHeight="1">
      <c r="A4736" s="14">
        <v>43154.0</v>
      </c>
      <c r="B4736" s="15">
        <v>2.25</v>
      </c>
      <c r="C4736" s="15">
        <v>2.18</v>
      </c>
      <c r="D4736" s="15"/>
      <c r="E4736" s="15">
        <v>1.88</v>
      </c>
      <c r="F4736" s="15">
        <f t="shared" si="1"/>
        <v>-0.07</v>
      </c>
      <c r="G4736" s="15">
        <f t="shared" si="2"/>
        <v>2.18</v>
      </c>
      <c r="H4736" s="16">
        <v>0.0</v>
      </c>
      <c r="I4736" s="15">
        <f t="shared" si="3"/>
        <v>-0.07</v>
      </c>
      <c r="J4736" s="15">
        <v>16.49</v>
      </c>
      <c r="K4736" s="16">
        <f>IF(COUNTIFS(Release_Calendar!$A$2:$A$755,"US_CPI",Release_Calendar!$B$2:$B$755,$A4736)&gt;0,1,0)</f>
        <v>0</v>
      </c>
      <c r="L4736" s="16">
        <f>IF(COUNTIFS(Release_Calendar!$A$2:$A$755,"US_NFP",Release_Calendar!$B$2:$B$755,$A4736)&gt;0,1,0)</f>
        <v>0</v>
      </c>
      <c r="M4736" s="16">
        <f>IF($A4736&lt;Notes!$B$5,"",IF(COUNTIFS(Release_Calendar!$A$2:$A$755,"NZ_CPI",Release_Calendar!$B$2:$B$755,$A4736)&gt;0,1,0))</f>
        <v>0</v>
      </c>
      <c r="N4736" s="16">
        <f>IF($A4736&lt;Notes!$B$5,"",IF(COUNTIFS(Release_Calendar!$A$2:$A$755,"NZ_GDP",Release_Calendar!$B$2:$B$755,$A4736)&gt;0,1,0))</f>
        <v>0</v>
      </c>
      <c r="O4736" s="16">
        <f>IF($A4736&lt;Notes!$B$5,"",IF(COUNTIFS(Release_Calendar!$A$2:$A$755,"NZ_LABOUR",Release_Calendar!$B$2:$B$755,$A4736)&gt;0,1,0))</f>
        <v>0</v>
      </c>
      <c r="P4736" s="16">
        <f t="shared" si="4"/>
        <v>0</v>
      </c>
    </row>
    <row r="4737" ht="15.75" customHeight="1">
      <c r="A4737" s="14">
        <v>43157.0</v>
      </c>
      <c r="B4737" s="15">
        <v>2.22</v>
      </c>
      <c r="C4737" s="15">
        <v>2.17</v>
      </c>
      <c r="D4737" s="15"/>
      <c r="E4737" s="15">
        <v>1.87</v>
      </c>
      <c r="F4737" s="15">
        <f t="shared" si="1"/>
        <v>-0.05</v>
      </c>
      <c r="G4737" s="15">
        <f t="shared" si="2"/>
        <v>2.17</v>
      </c>
      <c r="H4737" s="16">
        <v>0.0</v>
      </c>
      <c r="I4737" s="15">
        <f t="shared" si="3"/>
        <v>-0.05</v>
      </c>
      <c r="J4737" s="15">
        <v>15.8</v>
      </c>
      <c r="K4737" s="16">
        <f>IF(COUNTIFS(Release_Calendar!$A$2:$A$755,"US_CPI",Release_Calendar!$B$2:$B$755,$A4737)&gt;0,1,0)</f>
        <v>0</v>
      </c>
      <c r="L4737" s="16">
        <f>IF(COUNTIFS(Release_Calendar!$A$2:$A$755,"US_NFP",Release_Calendar!$B$2:$B$755,$A4737)&gt;0,1,0)</f>
        <v>0</v>
      </c>
      <c r="M4737" s="16">
        <f>IF($A4737&lt;Notes!$B$5,"",IF(COUNTIFS(Release_Calendar!$A$2:$A$755,"NZ_CPI",Release_Calendar!$B$2:$B$755,$A4737)&gt;0,1,0))</f>
        <v>0</v>
      </c>
      <c r="N4737" s="16">
        <f>IF($A4737&lt;Notes!$B$5,"",IF(COUNTIFS(Release_Calendar!$A$2:$A$755,"NZ_GDP",Release_Calendar!$B$2:$B$755,$A4737)&gt;0,1,0))</f>
        <v>0</v>
      </c>
      <c r="O4737" s="16">
        <f>IF($A4737&lt;Notes!$B$5,"",IF(COUNTIFS(Release_Calendar!$A$2:$A$755,"NZ_LABOUR",Release_Calendar!$B$2:$B$755,$A4737)&gt;0,1,0))</f>
        <v>0</v>
      </c>
      <c r="P4737" s="16">
        <f t="shared" si="4"/>
        <v>0</v>
      </c>
    </row>
    <row r="4738" ht="15.75" customHeight="1">
      <c r="A4738" s="14">
        <v>43158.0</v>
      </c>
      <c r="B4738" s="15">
        <v>2.27</v>
      </c>
      <c r="C4738" s="15">
        <v>2.18</v>
      </c>
      <c r="D4738" s="15"/>
      <c r="E4738" s="15">
        <v>1.87</v>
      </c>
      <c r="F4738" s="15">
        <f t="shared" si="1"/>
        <v>-0.09</v>
      </c>
      <c r="G4738" s="15">
        <f t="shared" si="2"/>
        <v>2.18</v>
      </c>
      <c r="H4738" s="16">
        <v>0.0</v>
      </c>
      <c r="I4738" s="15">
        <f t="shared" si="3"/>
        <v>-0.09</v>
      </c>
      <c r="J4738" s="15">
        <v>18.59</v>
      </c>
      <c r="K4738" s="16">
        <f>IF(COUNTIFS(Release_Calendar!$A$2:$A$755,"US_CPI",Release_Calendar!$B$2:$B$755,$A4738)&gt;0,1,0)</f>
        <v>0</v>
      </c>
      <c r="L4738" s="16">
        <f>IF(COUNTIFS(Release_Calendar!$A$2:$A$755,"US_NFP",Release_Calendar!$B$2:$B$755,$A4738)&gt;0,1,0)</f>
        <v>0</v>
      </c>
      <c r="M4738" s="16">
        <f>IF($A4738&lt;Notes!$B$5,"",IF(COUNTIFS(Release_Calendar!$A$2:$A$755,"NZ_CPI",Release_Calendar!$B$2:$B$755,$A4738)&gt;0,1,0))</f>
        <v>0</v>
      </c>
      <c r="N4738" s="16">
        <f>IF($A4738&lt;Notes!$B$5,"",IF(COUNTIFS(Release_Calendar!$A$2:$A$755,"NZ_GDP",Release_Calendar!$B$2:$B$755,$A4738)&gt;0,1,0))</f>
        <v>0</v>
      </c>
      <c r="O4738" s="16">
        <f>IF($A4738&lt;Notes!$B$5,"",IF(COUNTIFS(Release_Calendar!$A$2:$A$755,"NZ_LABOUR",Release_Calendar!$B$2:$B$755,$A4738)&gt;0,1,0))</f>
        <v>0</v>
      </c>
      <c r="P4738" s="16">
        <f t="shared" si="4"/>
        <v>0</v>
      </c>
    </row>
    <row r="4739" ht="15.75" customHeight="1">
      <c r="A4739" s="14">
        <v>43159.0</v>
      </c>
      <c r="B4739" s="15">
        <v>2.25</v>
      </c>
      <c r="C4739" s="15">
        <v>2.19</v>
      </c>
      <c r="D4739" s="15"/>
      <c r="E4739" s="15">
        <v>1.89</v>
      </c>
      <c r="F4739" s="15">
        <f t="shared" si="1"/>
        <v>-0.06</v>
      </c>
      <c r="G4739" s="15">
        <f t="shared" si="2"/>
        <v>2.19</v>
      </c>
      <c r="H4739" s="16">
        <v>0.0</v>
      </c>
      <c r="I4739" s="15">
        <f t="shared" si="3"/>
        <v>-0.06</v>
      </c>
      <c r="J4739" s="15">
        <v>19.85</v>
      </c>
      <c r="K4739" s="16">
        <f>IF(COUNTIFS(Release_Calendar!$A$2:$A$755,"US_CPI",Release_Calendar!$B$2:$B$755,$A4739)&gt;0,1,0)</f>
        <v>0</v>
      </c>
      <c r="L4739" s="16">
        <f>IF(COUNTIFS(Release_Calendar!$A$2:$A$755,"US_NFP",Release_Calendar!$B$2:$B$755,$A4739)&gt;0,1,0)</f>
        <v>0</v>
      </c>
      <c r="M4739" s="16">
        <f>IF($A4739&lt;Notes!$B$5,"",IF(COUNTIFS(Release_Calendar!$A$2:$A$755,"NZ_CPI",Release_Calendar!$B$2:$B$755,$A4739)&gt;0,1,0))</f>
        <v>0</v>
      </c>
      <c r="N4739" s="16">
        <f>IF($A4739&lt;Notes!$B$5,"",IF(COUNTIFS(Release_Calendar!$A$2:$A$755,"NZ_GDP",Release_Calendar!$B$2:$B$755,$A4739)&gt;0,1,0))</f>
        <v>0</v>
      </c>
      <c r="O4739" s="16">
        <f>IF($A4739&lt;Notes!$B$5,"",IF(COUNTIFS(Release_Calendar!$A$2:$A$755,"NZ_LABOUR",Release_Calendar!$B$2:$B$755,$A4739)&gt;0,1,0))</f>
        <v>0</v>
      </c>
      <c r="P4739" s="16">
        <f t="shared" si="4"/>
        <v>0</v>
      </c>
    </row>
    <row r="4740" ht="15.75" customHeight="1">
      <c r="A4740" s="14">
        <v>43160.0</v>
      </c>
      <c r="B4740" s="15">
        <v>2.22</v>
      </c>
      <c r="C4740" s="15">
        <v>2.2</v>
      </c>
      <c r="D4740" s="15"/>
      <c r="E4740" s="15">
        <v>1.9</v>
      </c>
      <c r="F4740" s="15">
        <f t="shared" si="1"/>
        <v>-0.02</v>
      </c>
      <c r="G4740" s="15">
        <f t="shared" si="2"/>
        <v>2.2</v>
      </c>
      <c r="H4740" s="16">
        <v>0.0</v>
      </c>
      <c r="I4740" s="15">
        <f t="shared" si="3"/>
        <v>-0.02</v>
      </c>
      <c r="J4740" s="15">
        <v>22.47</v>
      </c>
      <c r="K4740" s="16">
        <f>IF(COUNTIFS(Release_Calendar!$A$2:$A$755,"US_CPI",Release_Calendar!$B$2:$B$755,$A4740)&gt;0,1,0)</f>
        <v>0</v>
      </c>
      <c r="L4740" s="16">
        <f>IF(COUNTIFS(Release_Calendar!$A$2:$A$755,"US_NFP",Release_Calendar!$B$2:$B$755,$A4740)&gt;0,1,0)</f>
        <v>0</v>
      </c>
      <c r="M4740" s="16">
        <f>IF($A4740&lt;Notes!$B$5,"",IF(COUNTIFS(Release_Calendar!$A$2:$A$755,"NZ_CPI",Release_Calendar!$B$2:$B$755,$A4740)&gt;0,1,0))</f>
        <v>0</v>
      </c>
      <c r="N4740" s="16">
        <f>IF($A4740&lt;Notes!$B$5,"",IF(COUNTIFS(Release_Calendar!$A$2:$A$755,"NZ_GDP",Release_Calendar!$B$2:$B$755,$A4740)&gt;0,1,0))</f>
        <v>0</v>
      </c>
      <c r="O4740" s="16">
        <f>IF($A4740&lt;Notes!$B$5,"",IF(COUNTIFS(Release_Calendar!$A$2:$A$755,"NZ_LABOUR",Release_Calendar!$B$2:$B$755,$A4740)&gt;0,1,0))</f>
        <v>0</v>
      </c>
      <c r="P4740" s="16">
        <f t="shared" si="4"/>
        <v>0</v>
      </c>
    </row>
    <row r="4741" ht="15.75" customHeight="1">
      <c r="A4741" s="14">
        <v>43161.0</v>
      </c>
      <c r="B4741" s="15">
        <v>2.25</v>
      </c>
      <c r="C4741" s="15">
        <v>2.19</v>
      </c>
      <c r="D4741" s="15"/>
      <c r="E4741" s="15">
        <v>1.89</v>
      </c>
      <c r="F4741" s="15">
        <f t="shared" si="1"/>
        <v>-0.06</v>
      </c>
      <c r="G4741" s="15">
        <f t="shared" si="2"/>
        <v>2.19</v>
      </c>
      <c r="H4741" s="16">
        <v>0.0</v>
      </c>
      <c r="I4741" s="15">
        <f t="shared" si="3"/>
        <v>-0.06</v>
      </c>
      <c r="J4741" s="15">
        <v>19.59</v>
      </c>
      <c r="K4741" s="16">
        <f>IF(COUNTIFS(Release_Calendar!$A$2:$A$755,"US_CPI",Release_Calendar!$B$2:$B$755,$A4741)&gt;0,1,0)</f>
        <v>0</v>
      </c>
      <c r="L4741" s="16">
        <f>IF(COUNTIFS(Release_Calendar!$A$2:$A$755,"US_NFP",Release_Calendar!$B$2:$B$755,$A4741)&gt;0,1,0)</f>
        <v>0</v>
      </c>
      <c r="M4741" s="16">
        <f>IF($A4741&lt;Notes!$B$5,"",IF(COUNTIFS(Release_Calendar!$A$2:$A$755,"NZ_CPI",Release_Calendar!$B$2:$B$755,$A4741)&gt;0,1,0))</f>
        <v>0</v>
      </c>
      <c r="N4741" s="16">
        <f>IF($A4741&lt;Notes!$B$5,"",IF(COUNTIFS(Release_Calendar!$A$2:$A$755,"NZ_GDP",Release_Calendar!$B$2:$B$755,$A4741)&gt;0,1,0))</f>
        <v>0</v>
      </c>
      <c r="O4741" s="16">
        <f>IF($A4741&lt;Notes!$B$5,"",IF(COUNTIFS(Release_Calendar!$A$2:$A$755,"NZ_LABOUR",Release_Calendar!$B$2:$B$755,$A4741)&gt;0,1,0))</f>
        <v>0</v>
      </c>
      <c r="P4741" s="16">
        <f t="shared" si="4"/>
        <v>0</v>
      </c>
    </row>
    <row r="4742" ht="15.75" customHeight="1">
      <c r="A4742" s="14">
        <v>43164.0</v>
      </c>
      <c r="B4742" s="15">
        <v>2.24</v>
      </c>
      <c r="C4742" s="15">
        <v>2.19</v>
      </c>
      <c r="D4742" s="15"/>
      <c r="E4742" s="15">
        <v>1.9</v>
      </c>
      <c r="F4742" s="15">
        <f t="shared" si="1"/>
        <v>-0.05</v>
      </c>
      <c r="G4742" s="15">
        <f t="shared" si="2"/>
        <v>2.19</v>
      </c>
      <c r="H4742" s="16">
        <v>0.0</v>
      </c>
      <c r="I4742" s="15">
        <f t="shared" si="3"/>
        <v>-0.05</v>
      </c>
      <c r="J4742" s="15">
        <v>18.73</v>
      </c>
      <c r="K4742" s="16">
        <f>IF(COUNTIFS(Release_Calendar!$A$2:$A$755,"US_CPI",Release_Calendar!$B$2:$B$755,$A4742)&gt;0,1,0)</f>
        <v>0</v>
      </c>
      <c r="L4742" s="16">
        <f>IF(COUNTIFS(Release_Calendar!$A$2:$A$755,"US_NFP",Release_Calendar!$B$2:$B$755,$A4742)&gt;0,1,0)</f>
        <v>0</v>
      </c>
      <c r="M4742" s="16">
        <f>IF($A4742&lt;Notes!$B$5,"",IF(COUNTIFS(Release_Calendar!$A$2:$A$755,"NZ_CPI",Release_Calendar!$B$2:$B$755,$A4742)&gt;0,1,0))</f>
        <v>0</v>
      </c>
      <c r="N4742" s="16">
        <f>IF($A4742&lt;Notes!$B$5,"",IF(COUNTIFS(Release_Calendar!$A$2:$A$755,"NZ_GDP",Release_Calendar!$B$2:$B$755,$A4742)&gt;0,1,0))</f>
        <v>0</v>
      </c>
      <c r="O4742" s="16">
        <f>IF($A4742&lt;Notes!$B$5,"",IF(COUNTIFS(Release_Calendar!$A$2:$A$755,"NZ_LABOUR",Release_Calendar!$B$2:$B$755,$A4742)&gt;0,1,0))</f>
        <v>0</v>
      </c>
      <c r="P4742" s="16">
        <f t="shared" si="4"/>
        <v>0</v>
      </c>
    </row>
    <row r="4743" ht="15.75" customHeight="1">
      <c r="A4743" s="14">
        <v>43165.0</v>
      </c>
      <c r="B4743" s="15">
        <v>2.25</v>
      </c>
      <c r="C4743" s="15">
        <v>2.21</v>
      </c>
      <c r="D4743" s="15"/>
      <c r="E4743" s="15">
        <v>1.93</v>
      </c>
      <c r="F4743" s="15">
        <f t="shared" si="1"/>
        <v>-0.04</v>
      </c>
      <c r="G4743" s="15">
        <f t="shared" si="2"/>
        <v>2.21</v>
      </c>
      <c r="H4743" s="16">
        <v>0.0</v>
      </c>
      <c r="I4743" s="15">
        <f t="shared" si="3"/>
        <v>-0.04</v>
      </c>
      <c r="J4743" s="15">
        <v>18.36</v>
      </c>
      <c r="K4743" s="16">
        <f>IF(COUNTIFS(Release_Calendar!$A$2:$A$755,"US_CPI",Release_Calendar!$B$2:$B$755,$A4743)&gt;0,1,0)</f>
        <v>0</v>
      </c>
      <c r="L4743" s="16">
        <f>IF(COUNTIFS(Release_Calendar!$A$2:$A$755,"US_NFP",Release_Calendar!$B$2:$B$755,$A4743)&gt;0,1,0)</f>
        <v>0</v>
      </c>
      <c r="M4743" s="16">
        <f>IF($A4743&lt;Notes!$B$5,"",IF(COUNTIFS(Release_Calendar!$A$2:$A$755,"NZ_CPI",Release_Calendar!$B$2:$B$755,$A4743)&gt;0,1,0))</f>
        <v>0</v>
      </c>
      <c r="N4743" s="16">
        <f>IF($A4743&lt;Notes!$B$5,"",IF(COUNTIFS(Release_Calendar!$A$2:$A$755,"NZ_GDP",Release_Calendar!$B$2:$B$755,$A4743)&gt;0,1,0))</f>
        <v>0</v>
      </c>
      <c r="O4743" s="16">
        <f>IF($A4743&lt;Notes!$B$5,"",IF(COUNTIFS(Release_Calendar!$A$2:$A$755,"NZ_LABOUR",Release_Calendar!$B$2:$B$755,$A4743)&gt;0,1,0))</f>
        <v>0</v>
      </c>
      <c r="P4743" s="16">
        <f t="shared" si="4"/>
        <v>0</v>
      </c>
    </row>
    <row r="4744" ht="15.75" customHeight="1">
      <c r="A4744" s="14">
        <v>43166.0</v>
      </c>
      <c r="B4744" s="15">
        <v>2.25</v>
      </c>
      <c r="C4744" s="15">
        <v>2.21</v>
      </c>
      <c r="D4744" s="15"/>
      <c r="E4744" s="15">
        <v>1.92</v>
      </c>
      <c r="F4744" s="15">
        <f t="shared" si="1"/>
        <v>-0.04</v>
      </c>
      <c r="G4744" s="15">
        <f t="shared" si="2"/>
        <v>2.21</v>
      </c>
      <c r="H4744" s="16">
        <v>0.0</v>
      </c>
      <c r="I4744" s="15">
        <f t="shared" si="3"/>
        <v>-0.04</v>
      </c>
      <c r="J4744" s="15">
        <v>17.76</v>
      </c>
      <c r="K4744" s="16">
        <f>IF(COUNTIFS(Release_Calendar!$A$2:$A$755,"US_CPI",Release_Calendar!$B$2:$B$755,$A4744)&gt;0,1,0)</f>
        <v>0</v>
      </c>
      <c r="L4744" s="16">
        <f>IF(COUNTIFS(Release_Calendar!$A$2:$A$755,"US_NFP",Release_Calendar!$B$2:$B$755,$A4744)&gt;0,1,0)</f>
        <v>0</v>
      </c>
      <c r="M4744" s="16">
        <f>IF($A4744&lt;Notes!$B$5,"",IF(COUNTIFS(Release_Calendar!$A$2:$A$755,"NZ_CPI",Release_Calendar!$B$2:$B$755,$A4744)&gt;0,1,0))</f>
        <v>0</v>
      </c>
      <c r="N4744" s="16">
        <f>IF($A4744&lt;Notes!$B$5,"",IF(COUNTIFS(Release_Calendar!$A$2:$A$755,"NZ_GDP",Release_Calendar!$B$2:$B$755,$A4744)&gt;0,1,0))</f>
        <v>0</v>
      </c>
      <c r="O4744" s="16">
        <f>IF($A4744&lt;Notes!$B$5,"",IF(COUNTIFS(Release_Calendar!$A$2:$A$755,"NZ_LABOUR",Release_Calendar!$B$2:$B$755,$A4744)&gt;0,1,0))</f>
        <v>0</v>
      </c>
      <c r="P4744" s="16">
        <f t="shared" si="4"/>
        <v>0</v>
      </c>
    </row>
    <row r="4745" ht="15.75" customHeight="1">
      <c r="A4745" s="14">
        <v>43167.0</v>
      </c>
      <c r="B4745" s="15">
        <v>2.25</v>
      </c>
      <c r="C4745" s="15">
        <v>2.21</v>
      </c>
      <c r="D4745" s="15"/>
      <c r="E4745" s="15">
        <v>1.91</v>
      </c>
      <c r="F4745" s="15">
        <f t="shared" si="1"/>
        <v>-0.04</v>
      </c>
      <c r="G4745" s="15">
        <f t="shared" si="2"/>
        <v>2.21</v>
      </c>
      <c r="H4745" s="16">
        <v>0.0</v>
      </c>
      <c r="I4745" s="15">
        <f t="shared" si="3"/>
        <v>-0.04</v>
      </c>
      <c r="J4745" s="15">
        <v>16.54</v>
      </c>
      <c r="K4745" s="16">
        <f>IF(COUNTIFS(Release_Calendar!$A$2:$A$755,"US_CPI",Release_Calendar!$B$2:$B$755,$A4745)&gt;0,1,0)</f>
        <v>0</v>
      </c>
      <c r="L4745" s="16">
        <f>IF(COUNTIFS(Release_Calendar!$A$2:$A$755,"US_NFP",Release_Calendar!$B$2:$B$755,$A4745)&gt;0,1,0)</f>
        <v>0</v>
      </c>
      <c r="M4745" s="16">
        <f>IF($A4745&lt;Notes!$B$5,"",IF(COUNTIFS(Release_Calendar!$A$2:$A$755,"NZ_CPI",Release_Calendar!$B$2:$B$755,$A4745)&gt;0,1,0))</f>
        <v>0</v>
      </c>
      <c r="N4745" s="16">
        <f>IF($A4745&lt;Notes!$B$5,"",IF(COUNTIFS(Release_Calendar!$A$2:$A$755,"NZ_GDP",Release_Calendar!$B$2:$B$755,$A4745)&gt;0,1,0))</f>
        <v>0</v>
      </c>
      <c r="O4745" s="16">
        <f>IF($A4745&lt;Notes!$B$5,"",IF(COUNTIFS(Release_Calendar!$A$2:$A$755,"NZ_LABOUR",Release_Calendar!$B$2:$B$755,$A4745)&gt;0,1,0))</f>
        <v>0</v>
      </c>
      <c r="P4745" s="16">
        <f t="shared" si="4"/>
        <v>0</v>
      </c>
    </row>
    <row r="4746" ht="15.75" customHeight="1">
      <c r="A4746" s="14">
        <v>43168.0</v>
      </c>
      <c r="B4746" s="15">
        <v>2.27</v>
      </c>
      <c r="C4746" s="15">
        <v>2.2</v>
      </c>
      <c r="D4746" s="15"/>
      <c r="E4746" s="15">
        <v>1.91</v>
      </c>
      <c r="F4746" s="15">
        <f t="shared" si="1"/>
        <v>-0.07</v>
      </c>
      <c r="G4746" s="15">
        <f t="shared" si="2"/>
        <v>2.2</v>
      </c>
      <c r="H4746" s="16">
        <v>0.0</v>
      </c>
      <c r="I4746" s="15">
        <f t="shared" si="3"/>
        <v>-0.07</v>
      </c>
      <c r="J4746" s="15">
        <v>14.64</v>
      </c>
      <c r="K4746" s="16">
        <f>IF(COUNTIFS(Release_Calendar!$A$2:$A$755,"US_CPI",Release_Calendar!$B$2:$B$755,$A4746)&gt;0,1,0)</f>
        <v>0</v>
      </c>
      <c r="L4746" s="16">
        <f>IF(COUNTIFS(Release_Calendar!$A$2:$A$755,"US_NFP",Release_Calendar!$B$2:$B$755,$A4746)&gt;0,1,0)</f>
        <v>1</v>
      </c>
      <c r="M4746" s="16">
        <f>IF($A4746&lt;Notes!$B$5,"",IF(COUNTIFS(Release_Calendar!$A$2:$A$755,"NZ_CPI",Release_Calendar!$B$2:$B$755,$A4746)&gt;0,1,0))</f>
        <v>0</v>
      </c>
      <c r="N4746" s="16">
        <f>IF($A4746&lt;Notes!$B$5,"",IF(COUNTIFS(Release_Calendar!$A$2:$A$755,"NZ_GDP",Release_Calendar!$B$2:$B$755,$A4746)&gt;0,1,0))</f>
        <v>0</v>
      </c>
      <c r="O4746" s="16">
        <f>IF($A4746&lt;Notes!$B$5,"",IF(COUNTIFS(Release_Calendar!$A$2:$A$755,"NZ_LABOUR",Release_Calendar!$B$2:$B$755,$A4746)&gt;0,1,0))</f>
        <v>0</v>
      </c>
      <c r="P4746" s="16">
        <f t="shared" si="4"/>
        <v>1</v>
      </c>
    </row>
    <row r="4747" ht="15.75" customHeight="1">
      <c r="A4747" s="14">
        <v>43171.0</v>
      </c>
      <c r="B4747" s="15">
        <v>2.27</v>
      </c>
      <c r="C4747" s="15">
        <v>2.23</v>
      </c>
      <c r="D4747" s="15"/>
      <c r="E4747" s="15">
        <v>1.95</v>
      </c>
      <c r="F4747" s="15">
        <f t="shared" si="1"/>
        <v>-0.04</v>
      </c>
      <c r="G4747" s="15">
        <f t="shared" si="2"/>
        <v>2.23</v>
      </c>
      <c r="H4747" s="16">
        <v>0.0</v>
      </c>
      <c r="I4747" s="15">
        <f t="shared" si="3"/>
        <v>-0.04</v>
      </c>
      <c r="J4747" s="15">
        <v>15.78</v>
      </c>
      <c r="K4747" s="16">
        <f>IF(COUNTIFS(Release_Calendar!$A$2:$A$755,"US_CPI",Release_Calendar!$B$2:$B$755,$A4747)&gt;0,1,0)</f>
        <v>0</v>
      </c>
      <c r="L4747" s="16">
        <f>IF(COUNTIFS(Release_Calendar!$A$2:$A$755,"US_NFP",Release_Calendar!$B$2:$B$755,$A4747)&gt;0,1,0)</f>
        <v>0</v>
      </c>
      <c r="M4747" s="16">
        <f>IF($A4747&lt;Notes!$B$5,"",IF(COUNTIFS(Release_Calendar!$A$2:$A$755,"NZ_CPI",Release_Calendar!$B$2:$B$755,$A4747)&gt;0,1,0))</f>
        <v>0</v>
      </c>
      <c r="N4747" s="16">
        <f>IF($A4747&lt;Notes!$B$5,"",IF(COUNTIFS(Release_Calendar!$A$2:$A$755,"NZ_GDP",Release_Calendar!$B$2:$B$755,$A4747)&gt;0,1,0))</f>
        <v>0</v>
      </c>
      <c r="O4747" s="16">
        <f>IF($A4747&lt;Notes!$B$5,"",IF(COUNTIFS(Release_Calendar!$A$2:$A$755,"NZ_LABOUR",Release_Calendar!$B$2:$B$755,$A4747)&gt;0,1,0))</f>
        <v>0</v>
      </c>
      <c r="P4747" s="16">
        <f t="shared" si="4"/>
        <v>0</v>
      </c>
    </row>
    <row r="4748" ht="15.75" customHeight="1">
      <c r="A4748" s="14">
        <v>43172.0</v>
      </c>
      <c r="B4748" s="15">
        <v>2.26</v>
      </c>
      <c r="C4748" s="15">
        <v>2.25</v>
      </c>
      <c r="D4748" s="15"/>
      <c r="E4748" s="15">
        <v>1.94</v>
      </c>
      <c r="F4748" s="15">
        <f t="shared" si="1"/>
        <v>-0.01</v>
      </c>
      <c r="G4748" s="15">
        <f t="shared" si="2"/>
        <v>2.25</v>
      </c>
      <c r="H4748" s="16">
        <v>0.0</v>
      </c>
      <c r="I4748" s="15">
        <f t="shared" si="3"/>
        <v>-0.01</v>
      </c>
      <c r="J4748" s="15">
        <v>16.35</v>
      </c>
      <c r="K4748" s="16">
        <f>IF(COUNTIFS(Release_Calendar!$A$2:$A$755,"US_CPI",Release_Calendar!$B$2:$B$755,$A4748)&gt;0,1,0)</f>
        <v>1</v>
      </c>
      <c r="L4748" s="16">
        <f>IF(COUNTIFS(Release_Calendar!$A$2:$A$755,"US_NFP",Release_Calendar!$B$2:$B$755,$A4748)&gt;0,1,0)</f>
        <v>0</v>
      </c>
      <c r="M4748" s="16">
        <f>IF($A4748&lt;Notes!$B$5,"",IF(COUNTIFS(Release_Calendar!$A$2:$A$755,"NZ_CPI",Release_Calendar!$B$2:$B$755,$A4748)&gt;0,1,0))</f>
        <v>0</v>
      </c>
      <c r="N4748" s="16">
        <f>IF($A4748&lt;Notes!$B$5,"",IF(COUNTIFS(Release_Calendar!$A$2:$A$755,"NZ_GDP",Release_Calendar!$B$2:$B$755,$A4748)&gt;0,1,0))</f>
        <v>0</v>
      </c>
      <c r="O4748" s="16">
        <f>IF($A4748&lt;Notes!$B$5,"",IF(COUNTIFS(Release_Calendar!$A$2:$A$755,"NZ_LABOUR",Release_Calendar!$B$2:$B$755,$A4748)&gt;0,1,0))</f>
        <v>0</v>
      </c>
      <c r="P4748" s="16">
        <f t="shared" si="4"/>
        <v>1</v>
      </c>
    </row>
    <row r="4749" ht="15.75" customHeight="1">
      <c r="A4749" s="14">
        <v>43173.0</v>
      </c>
      <c r="B4749" s="15">
        <v>2.26</v>
      </c>
      <c r="C4749" s="15">
        <v>2.24</v>
      </c>
      <c r="D4749" s="15"/>
      <c r="E4749" s="15">
        <v>1.93</v>
      </c>
      <c r="F4749" s="15">
        <f t="shared" si="1"/>
        <v>-0.02</v>
      </c>
      <c r="G4749" s="15">
        <f t="shared" si="2"/>
        <v>2.24</v>
      </c>
      <c r="H4749" s="16">
        <v>0.0</v>
      </c>
      <c r="I4749" s="15">
        <f t="shared" si="3"/>
        <v>-0.02</v>
      </c>
      <c r="J4749" s="15">
        <v>17.23</v>
      </c>
      <c r="K4749" s="16">
        <f>IF(COUNTIFS(Release_Calendar!$A$2:$A$755,"US_CPI",Release_Calendar!$B$2:$B$755,$A4749)&gt;0,1,0)</f>
        <v>0</v>
      </c>
      <c r="L4749" s="16">
        <f>IF(COUNTIFS(Release_Calendar!$A$2:$A$755,"US_NFP",Release_Calendar!$B$2:$B$755,$A4749)&gt;0,1,0)</f>
        <v>0</v>
      </c>
      <c r="M4749" s="16">
        <f>IF($A4749&lt;Notes!$B$5,"",IF(COUNTIFS(Release_Calendar!$A$2:$A$755,"NZ_CPI",Release_Calendar!$B$2:$B$755,$A4749)&gt;0,1,0))</f>
        <v>0</v>
      </c>
      <c r="N4749" s="16">
        <f>IF($A4749&lt;Notes!$B$5,"",IF(COUNTIFS(Release_Calendar!$A$2:$A$755,"NZ_GDP",Release_Calendar!$B$2:$B$755,$A4749)&gt;0,1,0))</f>
        <v>0</v>
      </c>
      <c r="O4749" s="16">
        <f>IF($A4749&lt;Notes!$B$5,"",IF(COUNTIFS(Release_Calendar!$A$2:$A$755,"NZ_LABOUR",Release_Calendar!$B$2:$B$755,$A4749)&gt;0,1,0))</f>
        <v>0</v>
      </c>
      <c r="P4749" s="16">
        <f t="shared" si="4"/>
        <v>0</v>
      </c>
    </row>
    <row r="4750" ht="15.75" customHeight="1">
      <c r="A4750" s="14">
        <v>43174.0</v>
      </c>
      <c r="B4750" s="15">
        <v>2.29</v>
      </c>
      <c r="C4750" s="15">
        <v>2.27</v>
      </c>
      <c r="D4750" s="15"/>
      <c r="E4750" s="15">
        <v>1.91</v>
      </c>
      <c r="F4750" s="15">
        <f t="shared" si="1"/>
        <v>-0.02</v>
      </c>
      <c r="G4750" s="15">
        <f t="shared" si="2"/>
        <v>2.27</v>
      </c>
      <c r="H4750" s="16">
        <v>0.0</v>
      </c>
      <c r="I4750" s="15">
        <f t="shared" si="3"/>
        <v>-0.02</v>
      </c>
      <c r="J4750" s="15">
        <v>16.59</v>
      </c>
      <c r="K4750" s="16">
        <f>IF(COUNTIFS(Release_Calendar!$A$2:$A$755,"US_CPI",Release_Calendar!$B$2:$B$755,$A4750)&gt;0,1,0)</f>
        <v>0</v>
      </c>
      <c r="L4750" s="16">
        <f>IF(COUNTIFS(Release_Calendar!$A$2:$A$755,"US_NFP",Release_Calendar!$B$2:$B$755,$A4750)&gt;0,1,0)</f>
        <v>0</v>
      </c>
      <c r="M4750" s="16">
        <f>IF($A4750&lt;Notes!$B$5,"",IF(COUNTIFS(Release_Calendar!$A$2:$A$755,"NZ_CPI",Release_Calendar!$B$2:$B$755,$A4750)&gt;0,1,0))</f>
        <v>0</v>
      </c>
      <c r="N4750" s="16">
        <f>IF($A4750&lt;Notes!$B$5,"",IF(COUNTIFS(Release_Calendar!$A$2:$A$755,"NZ_GDP",Release_Calendar!$B$2:$B$755,$A4750)&gt;0,1,0))</f>
        <v>1</v>
      </c>
      <c r="O4750" s="16">
        <f>IF($A4750&lt;Notes!$B$5,"",IF(COUNTIFS(Release_Calendar!$A$2:$A$755,"NZ_LABOUR",Release_Calendar!$B$2:$B$755,$A4750)&gt;0,1,0))</f>
        <v>0</v>
      </c>
      <c r="P4750" s="16">
        <f t="shared" si="4"/>
        <v>1</v>
      </c>
    </row>
    <row r="4751" ht="15.75" customHeight="1">
      <c r="A4751" s="14">
        <v>43175.0</v>
      </c>
      <c r="B4751" s="15">
        <v>2.31</v>
      </c>
      <c r="C4751" s="15">
        <v>2.26</v>
      </c>
      <c r="D4751" s="15"/>
      <c r="E4751" s="15">
        <v>1.88</v>
      </c>
      <c r="F4751" s="15">
        <f t="shared" si="1"/>
        <v>-0.05</v>
      </c>
      <c r="G4751" s="15">
        <f t="shared" si="2"/>
        <v>2.26</v>
      </c>
      <c r="H4751" s="16">
        <v>0.0</v>
      </c>
      <c r="I4751" s="15">
        <f t="shared" si="3"/>
        <v>-0.05</v>
      </c>
      <c r="J4751" s="15">
        <v>15.8</v>
      </c>
      <c r="K4751" s="16">
        <f>IF(COUNTIFS(Release_Calendar!$A$2:$A$755,"US_CPI",Release_Calendar!$B$2:$B$755,$A4751)&gt;0,1,0)</f>
        <v>0</v>
      </c>
      <c r="L4751" s="16">
        <f>IF(COUNTIFS(Release_Calendar!$A$2:$A$755,"US_NFP",Release_Calendar!$B$2:$B$755,$A4751)&gt;0,1,0)</f>
        <v>0</v>
      </c>
      <c r="M4751" s="16">
        <f>IF($A4751&lt;Notes!$B$5,"",IF(COUNTIFS(Release_Calendar!$A$2:$A$755,"NZ_CPI",Release_Calendar!$B$2:$B$755,$A4751)&gt;0,1,0))</f>
        <v>0</v>
      </c>
      <c r="N4751" s="16">
        <f>IF($A4751&lt;Notes!$B$5,"",IF(COUNTIFS(Release_Calendar!$A$2:$A$755,"NZ_GDP",Release_Calendar!$B$2:$B$755,$A4751)&gt;0,1,0))</f>
        <v>0</v>
      </c>
      <c r="O4751" s="16">
        <f>IF($A4751&lt;Notes!$B$5,"",IF(COUNTIFS(Release_Calendar!$A$2:$A$755,"NZ_LABOUR",Release_Calendar!$B$2:$B$755,$A4751)&gt;0,1,0))</f>
        <v>0</v>
      </c>
      <c r="P4751" s="16">
        <f t="shared" si="4"/>
        <v>0</v>
      </c>
    </row>
    <row r="4752" ht="15.75" customHeight="1">
      <c r="A4752" s="14">
        <v>43178.0</v>
      </c>
      <c r="B4752" s="15">
        <v>2.31</v>
      </c>
      <c r="C4752" s="15">
        <v>2.26</v>
      </c>
      <c r="D4752" s="15"/>
      <c r="E4752" s="15">
        <v>1.89</v>
      </c>
      <c r="F4752" s="15">
        <f t="shared" si="1"/>
        <v>-0.05</v>
      </c>
      <c r="G4752" s="15">
        <f t="shared" si="2"/>
        <v>2.26</v>
      </c>
      <c r="H4752" s="16">
        <v>0.0</v>
      </c>
      <c r="I4752" s="15">
        <f t="shared" si="3"/>
        <v>-0.05</v>
      </c>
      <c r="J4752" s="15">
        <v>19.02</v>
      </c>
      <c r="K4752" s="16">
        <f>IF(COUNTIFS(Release_Calendar!$A$2:$A$755,"US_CPI",Release_Calendar!$B$2:$B$755,$A4752)&gt;0,1,0)</f>
        <v>0</v>
      </c>
      <c r="L4752" s="16">
        <f>IF(COUNTIFS(Release_Calendar!$A$2:$A$755,"US_NFP",Release_Calendar!$B$2:$B$755,$A4752)&gt;0,1,0)</f>
        <v>0</v>
      </c>
      <c r="M4752" s="16">
        <f>IF($A4752&lt;Notes!$B$5,"",IF(COUNTIFS(Release_Calendar!$A$2:$A$755,"NZ_CPI",Release_Calendar!$B$2:$B$755,$A4752)&gt;0,1,0))</f>
        <v>0</v>
      </c>
      <c r="N4752" s="16">
        <f>IF($A4752&lt;Notes!$B$5,"",IF(COUNTIFS(Release_Calendar!$A$2:$A$755,"NZ_GDP",Release_Calendar!$B$2:$B$755,$A4752)&gt;0,1,0))</f>
        <v>0</v>
      </c>
      <c r="O4752" s="16">
        <f>IF($A4752&lt;Notes!$B$5,"",IF(COUNTIFS(Release_Calendar!$A$2:$A$755,"NZ_LABOUR",Release_Calendar!$B$2:$B$755,$A4752)&gt;0,1,0))</f>
        <v>0</v>
      </c>
      <c r="P4752" s="16">
        <f t="shared" si="4"/>
        <v>0</v>
      </c>
    </row>
    <row r="4753" ht="15.75" customHeight="1">
      <c r="A4753" s="14">
        <v>43179.0</v>
      </c>
      <c r="B4753" s="15">
        <v>2.34</v>
      </c>
      <c r="C4753" s="15">
        <v>2.24</v>
      </c>
      <c r="D4753" s="15"/>
      <c r="E4753" s="15">
        <v>1.89</v>
      </c>
      <c r="F4753" s="15">
        <f t="shared" si="1"/>
        <v>-0.1</v>
      </c>
      <c r="G4753" s="15">
        <f t="shared" si="2"/>
        <v>2.24</v>
      </c>
      <c r="H4753" s="16">
        <v>0.0</v>
      </c>
      <c r="I4753" s="15">
        <f t="shared" si="3"/>
        <v>-0.1</v>
      </c>
      <c r="J4753" s="15">
        <v>18.2</v>
      </c>
      <c r="K4753" s="16">
        <f>IF(COUNTIFS(Release_Calendar!$A$2:$A$755,"US_CPI",Release_Calendar!$B$2:$B$755,$A4753)&gt;0,1,0)</f>
        <v>0</v>
      </c>
      <c r="L4753" s="16">
        <f>IF(COUNTIFS(Release_Calendar!$A$2:$A$755,"US_NFP",Release_Calendar!$B$2:$B$755,$A4753)&gt;0,1,0)</f>
        <v>0</v>
      </c>
      <c r="M4753" s="16">
        <f>IF($A4753&lt;Notes!$B$5,"",IF(COUNTIFS(Release_Calendar!$A$2:$A$755,"NZ_CPI",Release_Calendar!$B$2:$B$755,$A4753)&gt;0,1,0))</f>
        <v>0</v>
      </c>
      <c r="N4753" s="16">
        <f>IF($A4753&lt;Notes!$B$5,"",IF(COUNTIFS(Release_Calendar!$A$2:$A$755,"NZ_GDP",Release_Calendar!$B$2:$B$755,$A4753)&gt;0,1,0))</f>
        <v>0</v>
      </c>
      <c r="O4753" s="16">
        <f>IF($A4753&lt;Notes!$B$5,"",IF(COUNTIFS(Release_Calendar!$A$2:$A$755,"NZ_LABOUR",Release_Calendar!$B$2:$B$755,$A4753)&gt;0,1,0))</f>
        <v>0</v>
      </c>
      <c r="P4753" s="16">
        <f t="shared" si="4"/>
        <v>0</v>
      </c>
    </row>
    <row r="4754" ht="15.75" customHeight="1">
      <c r="A4754" s="14">
        <v>43180.0</v>
      </c>
      <c r="B4754" s="15">
        <v>2.31</v>
      </c>
      <c r="C4754" s="15">
        <v>2.25</v>
      </c>
      <c r="D4754" s="15"/>
      <c r="E4754" s="15">
        <v>1.9</v>
      </c>
      <c r="F4754" s="15">
        <f t="shared" si="1"/>
        <v>-0.06</v>
      </c>
      <c r="G4754" s="15">
        <f t="shared" si="2"/>
        <v>2.25</v>
      </c>
      <c r="H4754" s="16">
        <v>0.0</v>
      </c>
      <c r="I4754" s="15">
        <f t="shared" si="3"/>
        <v>-0.06</v>
      </c>
      <c r="J4754" s="15">
        <v>17.86</v>
      </c>
      <c r="K4754" s="16">
        <f>IF(COUNTIFS(Release_Calendar!$A$2:$A$755,"US_CPI",Release_Calendar!$B$2:$B$755,$A4754)&gt;0,1,0)</f>
        <v>0</v>
      </c>
      <c r="L4754" s="16">
        <f>IF(COUNTIFS(Release_Calendar!$A$2:$A$755,"US_NFP",Release_Calendar!$B$2:$B$755,$A4754)&gt;0,1,0)</f>
        <v>0</v>
      </c>
      <c r="M4754" s="16">
        <f>IF($A4754&lt;Notes!$B$5,"",IF(COUNTIFS(Release_Calendar!$A$2:$A$755,"NZ_CPI",Release_Calendar!$B$2:$B$755,$A4754)&gt;0,1,0))</f>
        <v>0</v>
      </c>
      <c r="N4754" s="16">
        <f>IF($A4754&lt;Notes!$B$5,"",IF(COUNTIFS(Release_Calendar!$A$2:$A$755,"NZ_GDP",Release_Calendar!$B$2:$B$755,$A4754)&gt;0,1,0))</f>
        <v>0</v>
      </c>
      <c r="O4754" s="16">
        <f>IF($A4754&lt;Notes!$B$5,"",IF(COUNTIFS(Release_Calendar!$A$2:$A$755,"NZ_LABOUR",Release_Calendar!$B$2:$B$755,$A4754)&gt;0,1,0))</f>
        <v>0</v>
      </c>
      <c r="P4754" s="16">
        <f t="shared" si="4"/>
        <v>0</v>
      </c>
    </row>
    <row r="4755" ht="15.75" customHeight="1">
      <c r="A4755" s="14">
        <v>43181.0</v>
      </c>
      <c r="B4755" s="15">
        <v>2.29</v>
      </c>
      <c r="C4755" s="15">
        <v>2.24</v>
      </c>
      <c r="D4755" s="15"/>
      <c r="E4755" s="15">
        <v>1.89</v>
      </c>
      <c r="F4755" s="15">
        <f t="shared" si="1"/>
        <v>-0.05</v>
      </c>
      <c r="G4755" s="15">
        <f t="shared" si="2"/>
        <v>2.24</v>
      </c>
      <c r="H4755" s="16">
        <v>0.0</v>
      </c>
      <c r="I4755" s="15">
        <f t="shared" si="3"/>
        <v>-0.05</v>
      </c>
      <c r="J4755" s="15">
        <v>23.34</v>
      </c>
      <c r="K4755" s="16">
        <f>IF(COUNTIFS(Release_Calendar!$A$2:$A$755,"US_CPI",Release_Calendar!$B$2:$B$755,$A4755)&gt;0,1,0)</f>
        <v>0</v>
      </c>
      <c r="L4755" s="16">
        <f>IF(COUNTIFS(Release_Calendar!$A$2:$A$755,"US_NFP",Release_Calendar!$B$2:$B$755,$A4755)&gt;0,1,0)</f>
        <v>0</v>
      </c>
      <c r="M4755" s="16">
        <f>IF($A4755&lt;Notes!$B$5,"",IF(COUNTIFS(Release_Calendar!$A$2:$A$755,"NZ_CPI",Release_Calendar!$B$2:$B$755,$A4755)&gt;0,1,0))</f>
        <v>0</v>
      </c>
      <c r="N4755" s="16">
        <f>IF($A4755&lt;Notes!$B$5,"",IF(COUNTIFS(Release_Calendar!$A$2:$A$755,"NZ_GDP",Release_Calendar!$B$2:$B$755,$A4755)&gt;0,1,0))</f>
        <v>0</v>
      </c>
      <c r="O4755" s="16">
        <f>IF($A4755&lt;Notes!$B$5,"",IF(COUNTIFS(Release_Calendar!$A$2:$A$755,"NZ_LABOUR",Release_Calendar!$B$2:$B$755,$A4755)&gt;0,1,0))</f>
        <v>0</v>
      </c>
      <c r="P4755" s="16">
        <f t="shared" si="4"/>
        <v>0</v>
      </c>
    </row>
    <row r="4756" ht="15.75" customHeight="1">
      <c r="A4756" s="14">
        <v>43182.0</v>
      </c>
      <c r="B4756" s="15">
        <v>2.28</v>
      </c>
      <c r="C4756" s="15">
        <v>2.23</v>
      </c>
      <c r="D4756" s="15"/>
      <c r="E4756" s="15">
        <v>1.86</v>
      </c>
      <c r="F4756" s="15">
        <f t="shared" si="1"/>
        <v>-0.05</v>
      </c>
      <c r="G4756" s="15">
        <f t="shared" si="2"/>
        <v>2.23</v>
      </c>
      <c r="H4756" s="16">
        <v>0.0</v>
      </c>
      <c r="I4756" s="15">
        <f t="shared" si="3"/>
        <v>-0.05</v>
      </c>
      <c r="J4756" s="15">
        <v>24.87</v>
      </c>
      <c r="K4756" s="16">
        <f>IF(COUNTIFS(Release_Calendar!$A$2:$A$755,"US_CPI",Release_Calendar!$B$2:$B$755,$A4756)&gt;0,1,0)</f>
        <v>0</v>
      </c>
      <c r="L4756" s="16">
        <f>IF(COUNTIFS(Release_Calendar!$A$2:$A$755,"US_NFP",Release_Calendar!$B$2:$B$755,$A4756)&gt;0,1,0)</f>
        <v>0</v>
      </c>
      <c r="M4756" s="16">
        <f>IF($A4756&lt;Notes!$B$5,"",IF(COUNTIFS(Release_Calendar!$A$2:$A$755,"NZ_CPI",Release_Calendar!$B$2:$B$755,$A4756)&gt;0,1,0))</f>
        <v>0</v>
      </c>
      <c r="N4756" s="16">
        <f>IF($A4756&lt;Notes!$B$5,"",IF(COUNTIFS(Release_Calendar!$A$2:$A$755,"NZ_GDP",Release_Calendar!$B$2:$B$755,$A4756)&gt;0,1,0))</f>
        <v>0</v>
      </c>
      <c r="O4756" s="16">
        <f>IF($A4756&lt;Notes!$B$5,"",IF(COUNTIFS(Release_Calendar!$A$2:$A$755,"NZ_LABOUR",Release_Calendar!$B$2:$B$755,$A4756)&gt;0,1,0))</f>
        <v>0</v>
      </c>
      <c r="P4756" s="16">
        <f t="shared" si="4"/>
        <v>0</v>
      </c>
    </row>
    <row r="4757" ht="15.75" customHeight="1">
      <c r="A4757" s="14">
        <v>43185.0</v>
      </c>
      <c r="B4757" s="15">
        <v>2.33</v>
      </c>
      <c r="C4757" s="15">
        <v>2.24</v>
      </c>
      <c r="D4757" s="15"/>
      <c r="E4757" s="15">
        <v>1.88</v>
      </c>
      <c r="F4757" s="15">
        <f t="shared" si="1"/>
        <v>-0.09</v>
      </c>
      <c r="G4757" s="15">
        <f t="shared" si="2"/>
        <v>2.24</v>
      </c>
      <c r="H4757" s="16">
        <v>0.0</v>
      </c>
      <c r="I4757" s="15">
        <f t="shared" si="3"/>
        <v>-0.09</v>
      </c>
      <c r="J4757" s="15">
        <v>21.03</v>
      </c>
      <c r="K4757" s="16">
        <f>IF(COUNTIFS(Release_Calendar!$A$2:$A$755,"US_CPI",Release_Calendar!$B$2:$B$755,$A4757)&gt;0,1,0)</f>
        <v>0</v>
      </c>
      <c r="L4757" s="16">
        <f>IF(COUNTIFS(Release_Calendar!$A$2:$A$755,"US_NFP",Release_Calendar!$B$2:$B$755,$A4757)&gt;0,1,0)</f>
        <v>0</v>
      </c>
      <c r="M4757" s="16">
        <f>IF($A4757&lt;Notes!$B$5,"",IF(COUNTIFS(Release_Calendar!$A$2:$A$755,"NZ_CPI",Release_Calendar!$B$2:$B$755,$A4757)&gt;0,1,0))</f>
        <v>0</v>
      </c>
      <c r="N4757" s="16">
        <f>IF($A4757&lt;Notes!$B$5,"",IF(COUNTIFS(Release_Calendar!$A$2:$A$755,"NZ_GDP",Release_Calendar!$B$2:$B$755,$A4757)&gt;0,1,0))</f>
        <v>0</v>
      </c>
      <c r="O4757" s="16">
        <f>IF($A4757&lt;Notes!$B$5,"",IF(COUNTIFS(Release_Calendar!$A$2:$A$755,"NZ_LABOUR",Release_Calendar!$B$2:$B$755,$A4757)&gt;0,1,0))</f>
        <v>0</v>
      </c>
      <c r="P4757" s="16">
        <f t="shared" si="4"/>
        <v>0</v>
      </c>
    </row>
    <row r="4758" ht="15.75" customHeight="1">
      <c r="A4758" s="14">
        <v>43186.0</v>
      </c>
      <c r="B4758" s="15">
        <v>2.26</v>
      </c>
      <c r="C4758" s="15">
        <v>2.24</v>
      </c>
      <c r="D4758" s="15"/>
      <c r="E4758" s="15">
        <v>1.89</v>
      </c>
      <c r="F4758" s="15">
        <f t="shared" si="1"/>
        <v>-0.02</v>
      </c>
      <c r="G4758" s="15">
        <f t="shared" si="2"/>
        <v>2.24</v>
      </c>
      <c r="H4758" s="16">
        <v>0.0</v>
      </c>
      <c r="I4758" s="15">
        <f t="shared" si="3"/>
        <v>-0.02</v>
      </c>
      <c r="J4758" s="15">
        <v>22.5</v>
      </c>
      <c r="K4758" s="16">
        <f>IF(COUNTIFS(Release_Calendar!$A$2:$A$755,"US_CPI",Release_Calendar!$B$2:$B$755,$A4758)&gt;0,1,0)</f>
        <v>0</v>
      </c>
      <c r="L4758" s="16">
        <f>IF(COUNTIFS(Release_Calendar!$A$2:$A$755,"US_NFP",Release_Calendar!$B$2:$B$755,$A4758)&gt;0,1,0)</f>
        <v>0</v>
      </c>
      <c r="M4758" s="16">
        <f>IF($A4758&lt;Notes!$B$5,"",IF(COUNTIFS(Release_Calendar!$A$2:$A$755,"NZ_CPI",Release_Calendar!$B$2:$B$755,$A4758)&gt;0,1,0))</f>
        <v>0</v>
      </c>
      <c r="N4758" s="16">
        <f>IF($A4758&lt;Notes!$B$5,"",IF(COUNTIFS(Release_Calendar!$A$2:$A$755,"NZ_GDP",Release_Calendar!$B$2:$B$755,$A4758)&gt;0,1,0))</f>
        <v>0</v>
      </c>
      <c r="O4758" s="16">
        <f>IF($A4758&lt;Notes!$B$5,"",IF(COUNTIFS(Release_Calendar!$A$2:$A$755,"NZ_LABOUR",Release_Calendar!$B$2:$B$755,$A4758)&gt;0,1,0))</f>
        <v>0</v>
      </c>
      <c r="P4758" s="16">
        <f t="shared" si="4"/>
        <v>0</v>
      </c>
    </row>
    <row r="4759" ht="15.75" customHeight="1">
      <c r="A4759" s="14">
        <v>43187.0</v>
      </c>
      <c r="B4759" s="15">
        <v>2.28</v>
      </c>
      <c r="C4759" s="15">
        <v>2.21</v>
      </c>
      <c r="D4759" s="15"/>
      <c r="E4759" s="15">
        <v>1.85</v>
      </c>
      <c r="F4759" s="15">
        <f t="shared" si="1"/>
        <v>-0.07</v>
      </c>
      <c r="G4759" s="15">
        <f t="shared" si="2"/>
        <v>2.21</v>
      </c>
      <c r="H4759" s="16">
        <v>0.0</v>
      </c>
      <c r="I4759" s="15">
        <f t="shared" si="3"/>
        <v>-0.07</v>
      </c>
      <c r="J4759" s="15">
        <v>22.87</v>
      </c>
      <c r="K4759" s="16">
        <f>IF(COUNTIFS(Release_Calendar!$A$2:$A$755,"US_CPI",Release_Calendar!$B$2:$B$755,$A4759)&gt;0,1,0)</f>
        <v>0</v>
      </c>
      <c r="L4759" s="16">
        <f>IF(COUNTIFS(Release_Calendar!$A$2:$A$755,"US_NFP",Release_Calendar!$B$2:$B$755,$A4759)&gt;0,1,0)</f>
        <v>0</v>
      </c>
      <c r="M4759" s="16">
        <f>IF($A4759&lt;Notes!$B$5,"",IF(COUNTIFS(Release_Calendar!$A$2:$A$755,"NZ_CPI",Release_Calendar!$B$2:$B$755,$A4759)&gt;0,1,0))</f>
        <v>0</v>
      </c>
      <c r="N4759" s="16">
        <f>IF($A4759&lt;Notes!$B$5,"",IF(COUNTIFS(Release_Calendar!$A$2:$A$755,"NZ_GDP",Release_Calendar!$B$2:$B$755,$A4759)&gt;0,1,0))</f>
        <v>0</v>
      </c>
      <c r="O4759" s="16">
        <f>IF($A4759&lt;Notes!$B$5,"",IF(COUNTIFS(Release_Calendar!$A$2:$A$755,"NZ_LABOUR",Release_Calendar!$B$2:$B$755,$A4759)&gt;0,1,0))</f>
        <v>0</v>
      </c>
      <c r="P4759" s="16">
        <f t="shared" si="4"/>
        <v>0</v>
      </c>
    </row>
    <row r="4760" ht="15.75" customHeight="1">
      <c r="A4760" s="14">
        <v>43188.0</v>
      </c>
      <c r="B4760" s="15">
        <v>2.27</v>
      </c>
      <c r="C4760" s="15">
        <v>2.21</v>
      </c>
      <c r="D4760" s="15"/>
      <c r="E4760" s="15">
        <v>1.86</v>
      </c>
      <c r="F4760" s="15">
        <f t="shared" si="1"/>
        <v>-0.06</v>
      </c>
      <c r="G4760" s="15">
        <f t="shared" si="2"/>
        <v>2.21</v>
      </c>
      <c r="H4760" s="16">
        <v>0.0</v>
      </c>
      <c r="I4760" s="15">
        <f t="shared" si="3"/>
        <v>-0.06</v>
      </c>
      <c r="J4760" s="15">
        <v>19.97</v>
      </c>
      <c r="K4760" s="16">
        <f>IF(COUNTIFS(Release_Calendar!$A$2:$A$755,"US_CPI",Release_Calendar!$B$2:$B$755,$A4760)&gt;0,1,0)</f>
        <v>0</v>
      </c>
      <c r="L4760" s="16">
        <f>IF(COUNTIFS(Release_Calendar!$A$2:$A$755,"US_NFP",Release_Calendar!$B$2:$B$755,$A4760)&gt;0,1,0)</f>
        <v>0</v>
      </c>
      <c r="M4760" s="16">
        <f>IF($A4760&lt;Notes!$B$5,"",IF(COUNTIFS(Release_Calendar!$A$2:$A$755,"NZ_CPI",Release_Calendar!$B$2:$B$755,$A4760)&gt;0,1,0))</f>
        <v>0</v>
      </c>
      <c r="N4760" s="16">
        <f>IF($A4760&lt;Notes!$B$5,"",IF(COUNTIFS(Release_Calendar!$A$2:$A$755,"NZ_GDP",Release_Calendar!$B$2:$B$755,$A4760)&gt;0,1,0))</f>
        <v>0</v>
      </c>
      <c r="O4760" s="16">
        <f>IF($A4760&lt;Notes!$B$5,"",IF(COUNTIFS(Release_Calendar!$A$2:$A$755,"NZ_LABOUR",Release_Calendar!$B$2:$B$755,$A4760)&gt;0,1,0))</f>
        <v>0</v>
      </c>
      <c r="P4760" s="16">
        <f t="shared" si="4"/>
        <v>0</v>
      </c>
    </row>
    <row r="4761" ht="15.75" customHeight="1">
      <c r="A4761" s="14">
        <v>43189.0</v>
      </c>
      <c r="B4761" s="15"/>
      <c r="C4761" s="15"/>
      <c r="D4761" s="15"/>
      <c r="E4761" s="15"/>
      <c r="F4761" s="15" t="str">
        <f t="shared" si="1"/>
        <v/>
      </c>
      <c r="G4761" s="15" t="str">
        <f t="shared" si="2"/>
        <v/>
      </c>
      <c r="H4761" s="16">
        <v>0.0</v>
      </c>
      <c r="I4761" s="15" t="str">
        <f t="shared" si="3"/>
        <v/>
      </c>
      <c r="J4761" s="15"/>
      <c r="K4761" s="16">
        <f>IF(COUNTIFS(Release_Calendar!$A$2:$A$755,"US_CPI",Release_Calendar!$B$2:$B$755,$A4761)&gt;0,1,0)</f>
        <v>0</v>
      </c>
      <c r="L4761" s="16">
        <f>IF(COUNTIFS(Release_Calendar!$A$2:$A$755,"US_NFP",Release_Calendar!$B$2:$B$755,$A4761)&gt;0,1,0)</f>
        <v>0</v>
      </c>
      <c r="M4761" s="16">
        <f>IF($A4761&lt;Notes!$B$5,"",IF(COUNTIFS(Release_Calendar!$A$2:$A$755,"NZ_CPI",Release_Calendar!$B$2:$B$755,$A4761)&gt;0,1,0))</f>
        <v>0</v>
      </c>
      <c r="N4761" s="16">
        <f>IF($A4761&lt;Notes!$B$5,"",IF(COUNTIFS(Release_Calendar!$A$2:$A$755,"NZ_GDP",Release_Calendar!$B$2:$B$755,$A4761)&gt;0,1,0))</f>
        <v>0</v>
      </c>
      <c r="O4761" s="16">
        <f>IF($A4761&lt;Notes!$B$5,"",IF(COUNTIFS(Release_Calendar!$A$2:$A$755,"NZ_LABOUR",Release_Calendar!$B$2:$B$755,$A4761)&gt;0,1,0))</f>
        <v>0</v>
      </c>
      <c r="P4761" s="16">
        <f t="shared" si="4"/>
        <v>0</v>
      </c>
    </row>
    <row r="4762" ht="15.75" customHeight="1">
      <c r="A4762" s="14">
        <v>43192.0</v>
      </c>
      <c r="B4762" s="15">
        <v>2.25</v>
      </c>
      <c r="C4762" s="15"/>
      <c r="D4762" s="15"/>
      <c r="E4762" s="15"/>
      <c r="F4762" s="15" t="str">
        <f t="shared" si="1"/>
        <v/>
      </c>
      <c r="G4762" s="15" t="str">
        <f t="shared" si="2"/>
        <v/>
      </c>
      <c r="H4762" s="16">
        <v>0.0</v>
      </c>
      <c r="I4762" s="15" t="str">
        <f t="shared" si="3"/>
        <v/>
      </c>
      <c r="J4762" s="15">
        <v>23.62</v>
      </c>
      <c r="K4762" s="16">
        <f>IF(COUNTIFS(Release_Calendar!$A$2:$A$755,"US_CPI",Release_Calendar!$B$2:$B$755,$A4762)&gt;0,1,0)</f>
        <v>0</v>
      </c>
      <c r="L4762" s="16">
        <f>IF(COUNTIFS(Release_Calendar!$A$2:$A$755,"US_NFP",Release_Calendar!$B$2:$B$755,$A4762)&gt;0,1,0)</f>
        <v>0</v>
      </c>
      <c r="M4762" s="16">
        <f>IF($A4762&lt;Notes!$B$5,"",IF(COUNTIFS(Release_Calendar!$A$2:$A$755,"NZ_CPI",Release_Calendar!$B$2:$B$755,$A4762)&gt;0,1,0))</f>
        <v>0</v>
      </c>
      <c r="N4762" s="16">
        <f>IF($A4762&lt;Notes!$B$5,"",IF(COUNTIFS(Release_Calendar!$A$2:$A$755,"NZ_GDP",Release_Calendar!$B$2:$B$755,$A4762)&gt;0,1,0))</f>
        <v>0</v>
      </c>
      <c r="O4762" s="16">
        <f>IF($A4762&lt;Notes!$B$5,"",IF(COUNTIFS(Release_Calendar!$A$2:$A$755,"NZ_LABOUR",Release_Calendar!$B$2:$B$755,$A4762)&gt;0,1,0))</f>
        <v>0</v>
      </c>
      <c r="P4762" s="16">
        <f t="shared" si="4"/>
        <v>0</v>
      </c>
    </row>
    <row r="4763" ht="15.75" customHeight="1">
      <c r="A4763" s="14">
        <v>43193.0</v>
      </c>
      <c r="B4763" s="15">
        <v>2.28</v>
      </c>
      <c r="C4763" s="15">
        <v>2.22</v>
      </c>
      <c r="D4763" s="15"/>
      <c r="E4763" s="15">
        <v>1.88</v>
      </c>
      <c r="F4763" s="15">
        <f t="shared" si="1"/>
        <v>-0.06</v>
      </c>
      <c r="G4763" s="15">
        <f t="shared" si="2"/>
        <v>2.22</v>
      </c>
      <c r="H4763" s="16">
        <v>0.0</v>
      </c>
      <c r="I4763" s="15">
        <f t="shared" si="3"/>
        <v>-0.06</v>
      </c>
      <c r="J4763" s="15">
        <v>21.1</v>
      </c>
      <c r="K4763" s="16">
        <f>IF(COUNTIFS(Release_Calendar!$A$2:$A$755,"US_CPI",Release_Calendar!$B$2:$B$755,$A4763)&gt;0,1,0)</f>
        <v>0</v>
      </c>
      <c r="L4763" s="16">
        <f>IF(COUNTIFS(Release_Calendar!$A$2:$A$755,"US_NFP",Release_Calendar!$B$2:$B$755,$A4763)&gt;0,1,0)</f>
        <v>0</v>
      </c>
      <c r="M4763" s="16">
        <f>IF($A4763&lt;Notes!$B$5,"",IF(COUNTIFS(Release_Calendar!$A$2:$A$755,"NZ_CPI",Release_Calendar!$B$2:$B$755,$A4763)&gt;0,1,0))</f>
        <v>0</v>
      </c>
      <c r="N4763" s="16">
        <f>IF($A4763&lt;Notes!$B$5,"",IF(COUNTIFS(Release_Calendar!$A$2:$A$755,"NZ_GDP",Release_Calendar!$B$2:$B$755,$A4763)&gt;0,1,0))</f>
        <v>0</v>
      </c>
      <c r="O4763" s="16">
        <f>IF($A4763&lt;Notes!$B$5,"",IF(COUNTIFS(Release_Calendar!$A$2:$A$755,"NZ_LABOUR",Release_Calendar!$B$2:$B$755,$A4763)&gt;0,1,0))</f>
        <v>0</v>
      </c>
      <c r="P4763" s="16">
        <f t="shared" si="4"/>
        <v>0</v>
      </c>
    </row>
    <row r="4764" ht="15.75" customHeight="1">
      <c r="A4764" s="14">
        <v>43194.0</v>
      </c>
      <c r="B4764" s="15">
        <v>2.28</v>
      </c>
      <c r="C4764" s="15">
        <v>2.24</v>
      </c>
      <c r="D4764" s="15"/>
      <c r="E4764" s="15">
        <v>1.91</v>
      </c>
      <c r="F4764" s="15">
        <f t="shared" si="1"/>
        <v>-0.04</v>
      </c>
      <c r="G4764" s="15">
        <f t="shared" si="2"/>
        <v>2.24</v>
      </c>
      <c r="H4764" s="16">
        <v>0.0</v>
      </c>
      <c r="I4764" s="15">
        <f t="shared" si="3"/>
        <v>-0.04</v>
      </c>
      <c r="J4764" s="15">
        <v>20.06</v>
      </c>
      <c r="K4764" s="16">
        <f>IF(COUNTIFS(Release_Calendar!$A$2:$A$755,"US_CPI",Release_Calendar!$B$2:$B$755,$A4764)&gt;0,1,0)</f>
        <v>0</v>
      </c>
      <c r="L4764" s="16">
        <f>IF(COUNTIFS(Release_Calendar!$A$2:$A$755,"US_NFP",Release_Calendar!$B$2:$B$755,$A4764)&gt;0,1,0)</f>
        <v>0</v>
      </c>
      <c r="M4764" s="16">
        <f>IF($A4764&lt;Notes!$B$5,"",IF(COUNTIFS(Release_Calendar!$A$2:$A$755,"NZ_CPI",Release_Calendar!$B$2:$B$755,$A4764)&gt;0,1,0))</f>
        <v>0</v>
      </c>
      <c r="N4764" s="16">
        <f>IF($A4764&lt;Notes!$B$5,"",IF(COUNTIFS(Release_Calendar!$A$2:$A$755,"NZ_GDP",Release_Calendar!$B$2:$B$755,$A4764)&gt;0,1,0))</f>
        <v>0</v>
      </c>
      <c r="O4764" s="16">
        <f>IF($A4764&lt;Notes!$B$5,"",IF(COUNTIFS(Release_Calendar!$A$2:$A$755,"NZ_LABOUR",Release_Calendar!$B$2:$B$755,$A4764)&gt;0,1,0))</f>
        <v>0</v>
      </c>
      <c r="P4764" s="16">
        <f t="shared" si="4"/>
        <v>0</v>
      </c>
    </row>
    <row r="4765" ht="15.75" customHeight="1">
      <c r="A4765" s="14">
        <v>43195.0</v>
      </c>
      <c r="B4765" s="15">
        <v>2.3</v>
      </c>
      <c r="C4765" s="15">
        <v>2.24</v>
      </c>
      <c r="D4765" s="15"/>
      <c r="E4765" s="15">
        <v>1.92</v>
      </c>
      <c r="F4765" s="15">
        <f t="shared" si="1"/>
        <v>-0.06</v>
      </c>
      <c r="G4765" s="15">
        <f t="shared" si="2"/>
        <v>2.24</v>
      </c>
      <c r="H4765" s="16">
        <v>0.0</v>
      </c>
      <c r="I4765" s="15">
        <f t="shared" si="3"/>
        <v>-0.06</v>
      </c>
      <c r="J4765" s="15">
        <v>18.94</v>
      </c>
      <c r="K4765" s="16">
        <f>IF(COUNTIFS(Release_Calendar!$A$2:$A$755,"US_CPI",Release_Calendar!$B$2:$B$755,$A4765)&gt;0,1,0)</f>
        <v>0</v>
      </c>
      <c r="L4765" s="16">
        <f>IF(COUNTIFS(Release_Calendar!$A$2:$A$755,"US_NFP",Release_Calendar!$B$2:$B$755,$A4765)&gt;0,1,0)</f>
        <v>0</v>
      </c>
      <c r="M4765" s="16">
        <f>IF($A4765&lt;Notes!$B$5,"",IF(COUNTIFS(Release_Calendar!$A$2:$A$755,"NZ_CPI",Release_Calendar!$B$2:$B$755,$A4765)&gt;0,1,0))</f>
        <v>0</v>
      </c>
      <c r="N4765" s="16">
        <f>IF($A4765&lt;Notes!$B$5,"",IF(COUNTIFS(Release_Calendar!$A$2:$A$755,"NZ_GDP",Release_Calendar!$B$2:$B$755,$A4765)&gt;0,1,0))</f>
        <v>0</v>
      </c>
      <c r="O4765" s="16">
        <f>IF($A4765&lt;Notes!$B$5,"",IF(COUNTIFS(Release_Calendar!$A$2:$A$755,"NZ_LABOUR",Release_Calendar!$B$2:$B$755,$A4765)&gt;0,1,0))</f>
        <v>0</v>
      </c>
      <c r="P4765" s="16">
        <f t="shared" si="4"/>
        <v>0</v>
      </c>
    </row>
    <row r="4766" ht="15.75" customHeight="1">
      <c r="A4766" s="14">
        <v>43196.0</v>
      </c>
      <c r="B4766" s="15">
        <v>2.27</v>
      </c>
      <c r="C4766" s="15">
        <v>2.25</v>
      </c>
      <c r="D4766" s="15"/>
      <c r="E4766" s="15">
        <v>1.91</v>
      </c>
      <c r="F4766" s="15">
        <f t="shared" si="1"/>
        <v>-0.02</v>
      </c>
      <c r="G4766" s="15">
        <f t="shared" si="2"/>
        <v>2.25</v>
      </c>
      <c r="H4766" s="16">
        <v>0.0</v>
      </c>
      <c r="I4766" s="15">
        <f t="shared" si="3"/>
        <v>-0.02</v>
      </c>
      <c r="J4766" s="15">
        <v>21.49</v>
      </c>
      <c r="K4766" s="16">
        <f>IF(COUNTIFS(Release_Calendar!$A$2:$A$755,"US_CPI",Release_Calendar!$B$2:$B$755,$A4766)&gt;0,1,0)</f>
        <v>0</v>
      </c>
      <c r="L4766" s="16">
        <f>IF(COUNTIFS(Release_Calendar!$A$2:$A$755,"US_NFP",Release_Calendar!$B$2:$B$755,$A4766)&gt;0,1,0)</f>
        <v>1</v>
      </c>
      <c r="M4766" s="16">
        <f>IF($A4766&lt;Notes!$B$5,"",IF(COUNTIFS(Release_Calendar!$A$2:$A$755,"NZ_CPI",Release_Calendar!$B$2:$B$755,$A4766)&gt;0,1,0))</f>
        <v>0</v>
      </c>
      <c r="N4766" s="16">
        <f>IF($A4766&lt;Notes!$B$5,"",IF(COUNTIFS(Release_Calendar!$A$2:$A$755,"NZ_GDP",Release_Calendar!$B$2:$B$755,$A4766)&gt;0,1,0))</f>
        <v>0</v>
      </c>
      <c r="O4766" s="16">
        <f>IF($A4766&lt;Notes!$B$5,"",IF(COUNTIFS(Release_Calendar!$A$2:$A$755,"NZ_LABOUR",Release_Calendar!$B$2:$B$755,$A4766)&gt;0,1,0))</f>
        <v>0</v>
      </c>
      <c r="P4766" s="16">
        <f t="shared" si="4"/>
        <v>1</v>
      </c>
    </row>
    <row r="4767" ht="15.75" customHeight="1">
      <c r="A4767" s="14">
        <v>43199.0</v>
      </c>
      <c r="B4767" s="15">
        <v>2.29</v>
      </c>
      <c r="C4767" s="15">
        <v>2.25</v>
      </c>
      <c r="D4767" s="15"/>
      <c r="E4767" s="15">
        <v>1.9</v>
      </c>
      <c r="F4767" s="15">
        <f t="shared" si="1"/>
        <v>-0.04</v>
      </c>
      <c r="G4767" s="15">
        <f t="shared" si="2"/>
        <v>2.25</v>
      </c>
      <c r="H4767" s="16">
        <v>0.0</v>
      </c>
      <c r="I4767" s="15">
        <f t="shared" si="3"/>
        <v>-0.04</v>
      </c>
      <c r="J4767" s="15">
        <v>21.77</v>
      </c>
      <c r="K4767" s="16">
        <f>IF(COUNTIFS(Release_Calendar!$A$2:$A$755,"US_CPI",Release_Calendar!$B$2:$B$755,$A4767)&gt;0,1,0)</f>
        <v>0</v>
      </c>
      <c r="L4767" s="16">
        <f>IF(COUNTIFS(Release_Calendar!$A$2:$A$755,"US_NFP",Release_Calendar!$B$2:$B$755,$A4767)&gt;0,1,0)</f>
        <v>0</v>
      </c>
      <c r="M4767" s="16">
        <f>IF($A4767&lt;Notes!$B$5,"",IF(COUNTIFS(Release_Calendar!$A$2:$A$755,"NZ_CPI",Release_Calendar!$B$2:$B$755,$A4767)&gt;0,1,0))</f>
        <v>0</v>
      </c>
      <c r="N4767" s="16">
        <f>IF($A4767&lt;Notes!$B$5,"",IF(COUNTIFS(Release_Calendar!$A$2:$A$755,"NZ_GDP",Release_Calendar!$B$2:$B$755,$A4767)&gt;0,1,0))</f>
        <v>0</v>
      </c>
      <c r="O4767" s="16">
        <f>IF($A4767&lt;Notes!$B$5,"",IF(COUNTIFS(Release_Calendar!$A$2:$A$755,"NZ_LABOUR",Release_Calendar!$B$2:$B$755,$A4767)&gt;0,1,0))</f>
        <v>0</v>
      </c>
      <c r="P4767" s="16">
        <f t="shared" si="4"/>
        <v>0</v>
      </c>
    </row>
    <row r="4768" ht="15.75" customHeight="1">
      <c r="A4768" s="14">
        <v>43200.0</v>
      </c>
      <c r="B4768" s="15">
        <v>2.32</v>
      </c>
      <c r="C4768" s="15">
        <v>2.25</v>
      </c>
      <c r="D4768" s="15"/>
      <c r="E4768" s="15">
        <v>1.92</v>
      </c>
      <c r="F4768" s="15">
        <f t="shared" si="1"/>
        <v>-0.07</v>
      </c>
      <c r="G4768" s="15">
        <f t="shared" si="2"/>
        <v>2.25</v>
      </c>
      <c r="H4768" s="16">
        <v>0.0</v>
      </c>
      <c r="I4768" s="15">
        <f t="shared" si="3"/>
        <v>-0.07</v>
      </c>
      <c r="J4768" s="15">
        <v>20.47</v>
      </c>
      <c r="K4768" s="16">
        <f>IF(COUNTIFS(Release_Calendar!$A$2:$A$755,"US_CPI",Release_Calendar!$B$2:$B$755,$A4768)&gt;0,1,0)</f>
        <v>0</v>
      </c>
      <c r="L4768" s="16">
        <f>IF(COUNTIFS(Release_Calendar!$A$2:$A$755,"US_NFP",Release_Calendar!$B$2:$B$755,$A4768)&gt;0,1,0)</f>
        <v>0</v>
      </c>
      <c r="M4768" s="16">
        <f>IF($A4768&lt;Notes!$B$5,"",IF(COUNTIFS(Release_Calendar!$A$2:$A$755,"NZ_CPI",Release_Calendar!$B$2:$B$755,$A4768)&gt;0,1,0))</f>
        <v>0</v>
      </c>
      <c r="N4768" s="16">
        <f>IF($A4768&lt;Notes!$B$5,"",IF(COUNTIFS(Release_Calendar!$A$2:$A$755,"NZ_GDP",Release_Calendar!$B$2:$B$755,$A4768)&gt;0,1,0))</f>
        <v>0</v>
      </c>
      <c r="O4768" s="16">
        <f>IF($A4768&lt;Notes!$B$5,"",IF(COUNTIFS(Release_Calendar!$A$2:$A$755,"NZ_LABOUR",Release_Calendar!$B$2:$B$755,$A4768)&gt;0,1,0))</f>
        <v>0</v>
      </c>
      <c r="P4768" s="16">
        <f t="shared" si="4"/>
        <v>0</v>
      </c>
    </row>
    <row r="4769" ht="15.75" customHeight="1">
      <c r="A4769" s="14">
        <v>43201.0</v>
      </c>
      <c r="B4769" s="15">
        <v>2.32</v>
      </c>
      <c r="C4769" s="15">
        <v>2.25</v>
      </c>
      <c r="D4769" s="15"/>
      <c r="E4769" s="15">
        <v>1.91</v>
      </c>
      <c r="F4769" s="15">
        <f t="shared" si="1"/>
        <v>-0.07</v>
      </c>
      <c r="G4769" s="15">
        <f t="shared" si="2"/>
        <v>2.25</v>
      </c>
      <c r="H4769" s="16">
        <v>0.0</v>
      </c>
      <c r="I4769" s="15">
        <f t="shared" si="3"/>
        <v>-0.07</v>
      </c>
      <c r="J4769" s="15">
        <v>20.24</v>
      </c>
      <c r="K4769" s="16">
        <f>IF(COUNTIFS(Release_Calendar!$A$2:$A$755,"US_CPI",Release_Calendar!$B$2:$B$755,$A4769)&gt;0,1,0)</f>
        <v>1</v>
      </c>
      <c r="L4769" s="16">
        <f>IF(COUNTIFS(Release_Calendar!$A$2:$A$755,"US_NFP",Release_Calendar!$B$2:$B$755,$A4769)&gt;0,1,0)</f>
        <v>0</v>
      </c>
      <c r="M4769" s="16">
        <f>IF($A4769&lt;Notes!$B$5,"",IF(COUNTIFS(Release_Calendar!$A$2:$A$755,"NZ_CPI",Release_Calendar!$B$2:$B$755,$A4769)&gt;0,1,0))</f>
        <v>0</v>
      </c>
      <c r="N4769" s="16">
        <f>IF($A4769&lt;Notes!$B$5,"",IF(COUNTIFS(Release_Calendar!$A$2:$A$755,"NZ_GDP",Release_Calendar!$B$2:$B$755,$A4769)&gt;0,1,0))</f>
        <v>0</v>
      </c>
      <c r="O4769" s="16">
        <f>IF($A4769&lt;Notes!$B$5,"",IF(COUNTIFS(Release_Calendar!$A$2:$A$755,"NZ_LABOUR",Release_Calendar!$B$2:$B$755,$A4769)&gt;0,1,0))</f>
        <v>0</v>
      </c>
      <c r="P4769" s="16">
        <f t="shared" si="4"/>
        <v>1</v>
      </c>
    </row>
    <row r="4770" ht="15.75" customHeight="1">
      <c r="A4770" s="14">
        <v>43202.0</v>
      </c>
      <c r="B4770" s="15">
        <v>2.34</v>
      </c>
      <c r="C4770" s="15">
        <v>2.29</v>
      </c>
      <c r="D4770" s="15"/>
      <c r="E4770" s="15">
        <v>1.92</v>
      </c>
      <c r="F4770" s="15">
        <f t="shared" si="1"/>
        <v>-0.05</v>
      </c>
      <c r="G4770" s="15">
        <f t="shared" si="2"/>
        <v>2.29</v>
      </c>
      <c r="H4770" s="16">
        <v>0.0</v>
      </c>
      <c r="I4770" s="15">
        <f t="shared" si="3"/>
        <v>-0.05</v>
      </c>
      <c r="J4770" s="15">
        <v>18.49</v>
      </c>
      <c r="K4770" s="16">
        <f>IF(COUNTIFS(Release_Calendar!$A$2:$A$755,"US_CPI",Release_Calendar!$B$2:$B$755,$A4770)&gt;0,1,0)</f>
        <v>0</v>
      </c>
      <c r="L4770" s="16">
        <f>IF(COUNTIFS(Release_Calendar!$A$2:$A$755,"US_NFP",Release_Calendar!$B$2:$B$755,$A4770)&gt;0,1,0)</f>
        <v>0</v>
      </c>
      <c r="M4770" s="16">
        <f>IF($A4770&lt;Notes!$B$5,"",IF(COUNTIFS(Release_Calendar!$A$2:$A$755,"NZ_CPI",Release_Calendar!$B$2:$B$755,$A4770)&gt;0,1,0))</f>
        <v>0</v>
      </c>
      <c r="N4770" s="16">
        <f>IF($A4770&lt;Notes!$B$5,"",IF(COUNTIFS(Release_Calendar!$A$2:$A$755,"NZ_GDP",Release_Calendar!$B$2:$B$755,$A4770)&gt;0,1,0))</f>
        <v>0</v>
      </c>
      <c r="O4770" s="16">
        <f>IF($A4770&lt;Notes!$B$5,"",IF(COUNTIFS(Release_Calendar!$A$2:$A$755,"NZ_LABOUR",Release_Calendar!$B$2:$B$755,$A4770)&gt;0,1,0))</f>
        <v>0</v>
      </c>
      <c r="P4770" s="16">
        <f t="shared" si="4"/>
        <v>0</v>
      </c>
    </row>
    <row r="4771" ht="15.75" customHeight="1">
      <c r="A4771" s="14">
        <v>43203.0</v>
      </c>
      <c r="B4771" s="15">
        <v>2.37</v>
      </c>
      <c r="C4771" s="15">
        <v>2.31</v>
      </c>
      <c r="D4771" s="15"/>
      <c r="E4771" s="15">
        <v>1.93</v>
      </c>
      <c r="F4771" s="15">
        <f t="shared" si="1"/>
        <v>-0.06</v>
      </c>
      <c r="G4771" s="15">
        <f t="shared" si="2"/>
        <v>2.31</v>
      </c>
      <c r="H4771" s="16">
        <v>0.0</v>
      </c>
      <c r="I4771" s="15">
        <f t="shared" si="3"/>
        <v>-0.06</v>
      </c>
      <c r="J4771" s="15">
        <v>17.41</v>
      </c>
      <c r="K4771" s="16">
        <f>IF(COUNTIFS(Release_Calendar!$A$2:$A$755,"US_CPI",Release_Calendar!$B$2:$B$755,$A4771)&gt;0,1,0)</f>
        <v>0</v>
      </c>
      <c r="L4771" s="16">
        <f>IF(COUNTIFS(Release_Calendar!$A$2:$A$755,"US_NFP",Release_Calendar!$B$2:$B$755,$A4771)&gt;0,1,0)</f>
        <v>0</v>
      </c>
      <c r="M4771" s="16">
        <f>IF($A4771&lt;Notes!$B$5,"",IF(COUNTIFS(Release_Calendar!$A$2:$A$755,"NZ_CPI",Release_Calendar!$B$2:$B$755,$A4771)&gt;0,1,0))</f>
        <v>0</v>
      </c>
      <c r="N4771" s="16">
        <f>IF($A4771&lt;Notes!$B$5,"",IF(COUNTIFS(Release_Calendar!$A$2:$A$755,"NZ_GDP",Release_Calendar!$B$2:$B$755,$A4771)&gt;0,1,0))</f>
        <v>0</v>
      </c>
      <c r="O4771" s="16">
        <f>IF($A4771&lt;Notes!$B$5,"",IF(COUNTIFS(Release_Calendar!$A$2:$A$755,"NZ_LABOUR",Release_Calendar!$B$2:$B$755,$A4771)&gt;0,1,0))</f>
        <v>0</v>
      </c>
      <c r="P4771" s="16">
        <f t="shared" si="4"/>
        <v>0</v>
      </c>
    </row>
    <row r="4772" ht="15.75" customHeight="1">
      <c r="A4772" s="14">
        <v>43206.0</v>
      </c>
      <c r="B4772" s="15">
        <v>2.39</v>
      </c>
      <c r="C4772" s="15">
        <v>2.33</v>
      </c>
      <c r="D4772" s="15"/>
      <c r="E4772" s="15">
        <v>1.94</v>
      </c>
      <c r="F4772" s="15">
        <f t="shared" si="1"/>
        <v>-0.06</v>
      </c>
      <c r="G4772" s="15">
        <f t="shared" si="2"/>
        <v>2.33</v>
      </c>
      <c r="H4772" s="16">
        <v>0.0</v>
      </c>
      <c r="I4772" s="15">
        <f t="shared" si="3"/>
        <v>-0.06</v>
      </c>
      <c r="J4772" s="15">
        <v>16.56</v>
      </c>
      <c r="K4772" s="16">
        <f>IF(COUNTIFS(Release_Calendar!$A$2:$A$755,"US_CPI",Release_Calendar!$B$2:$B$755,$A4772)&gt;0,1,0)</f>
        <v>0</v>
      </c>
      <c r="L4772" s="16">
        <f>IF(COUNTIFS(Release_Calendar!$A$2:$A$755,"US_NFP",Release_Calendar!$B$2:$B$755,$A4772)&gt;0,1,0)</f>
        <v>0</v>
      </c>
      <c r="M4772" s="16">
        <f>IF($A4772&lt;Notes!$B$5,"",IF(COUNTIFS(Release_Calendar!$A$2:$A$755,"NZ_CPI",Release_Calendar!$B$2:$B$755,$A4772)&gt;0,1,0))</f>
        <v>0</v>
      </c>
      <c r="N4772" s="16">
        <f>IF($A4772&lt;Notes!$B$5,"",IF(COUNTIFS(Release_Calendar!$A$2:$A$755,"NZ_GDP",Release_Calendar!$B$2:$B$755,$A4772)&gt;0,1,0))</f>
        <v>0</v>
      </c>
      <c r="O4772" s="16">
        <f>IF($A4772&lt;Notes!$B$5,"",IF(COUNTIFS(Release_Calendar!$A$2:$A$755,"NZ_LABOUR",Release_Calendar!$B$2:$B$755,$A4772)&gt;0,1,0))</f>
        <v>0</v>
      </c>
      <c r="P4772" s="16">
        <f t="shared" si="4"/>
        <v>0</v>
      </c>
    </row>
    <row r="4773" ht="15.75" customHeight="1">
      <c r="A4773" s="14">
        <v>43207.0</v>
      </c>
      <c r="B4773" s="15">
        <v>2.41</v>
      </c>
      <c r="C4773" s="15">
        <v>2.31</v>
      </c>
      <c r="D4773" s="15"/>
      <c r="E4773" s="15">
        <v>1.94</v>
      </c>
      <c r="F4773" s="15">
        <f t="shared" si="1"/>
        <v>-0.1</v>
      </c>
      <c r="G4773" s="15">
        <f t="shared" si="2"/>
        <v>2.31</v>
      </c>
      <c r="H4773" s="16">
        <v>0.0</v>
      </c>
      <c r="I4773" s="15">
        <f t="shared" si="3"/>
        <v>-0.1</v>
      </c>
      <c r="J4773" s="15">
        <v>15.25</v>
      </c>
      <c r="K4773" s="16">
        <f>IF(COUNTIFS(Release_Calendar!$A$2:$A$755,"US_CPI",Release_Calendar!$B$2:$B$755,$A4773)&gt;0,1,0)</f>
        <v>0</v>
      </c>
      <c r="L4773" s="16">
        <f>IF(COUNTIFS(Release_Calendar!$A$2:$A$755,"US_NFP",Release_Calendar!$B$2:$B$755,$A4773)&gt;0,1,0)</f>
        <v>0</v>
      </c>
      <c r="M4773" s="16">
        <f>IF($A4773&lt;Notes!$B$5,"",IF(COUNTIFS(Release_Calendar!$A$2:$A$755,"NZ_CPI",Release_Calendar!$B$2:$B$755,$A4773)&gt;0,1,0))</f>
        <v>0</v>
      </c>
      <c r="N4773" s="16">
        <f>IF($A4773&lt;Notes!$B$5,"",IF(COUNTIFS(Release_Calendar!$A$2:$A$755,"NZ_GDP",Release_Calendar!$B$2:$B$755,$A4773)&gt;0,1,0))</f>
        <v>0</v>
      </c>
      <c r="O4773" s="16">
        <f>IF($A4773&lt;Notes!$B$5,"",IF(COUNTIFS(Release_Calendar!$A$2:$A$755,"NZ_LABOUR",Release_Calendar!$B$2:$B$755,$A4773)&gt;0,1,0))</f>
        <v>0</v>
      </c>
      <c r="P4773" s="16">
        <f t="shared" si="4"/>
        <v>0</v>
      </c>
    </row>
    <row r="4774" ht="15.75" customHeight="1">
      <c r="A4774" s="14">
        <v>43208.0</v>
      </c>
      <c r="B4774" s="15">
        <v>2.42</v>
      </c>
      <c r="C4774" s="15">
        <v>2.31</v>
      </c>
      <c r="D4774" s="15"/>
      <c r="E4774" s="15">
        <v>1.94</v>
      </c>
      <c r="F4774" s="15">
        <f t="shared" si="1"/>
        <v>-0.11</v>
      </c>
      <c r="G4774" s="15">
        <f t="shared" si="2"/>
        <v>2.31</v>
      </c>
      <c r="H4774" s="16">
        <v>0.0</v>
      </c>
      <c r="I4774" s="15">
        <f t="shared" si="3"/>
        <v>-0.11</v>
      </c>
      <c r="J4774" s="15">
        <v>15.6</v>
      </c>
      <c r="K4774" s="16">
        <f>IF(COUNTIFS(Release_Calendar!$A$2:$A$755,"US_CPI",Release_Calendar!$B$2:$B$755,$A4774)&gt;0,1,0)</f>
        <v>0</v>
      </c>
      <c r="L4774" s="16">
        <f>IF(COUNTIFS(Release_Calendar!$A$2:$A$755,"US_NFP",Release_Calendar!$B$2:$B$755,$A4774)&gt;0,1,0)</f>
        <v>0</v>
      </c>
      <c r="M4774" s="16">
        <f>IF($A4774&lt;Notes!$B$5,"",IF(COUNTIFS(Release_Calendar!$A$2:$A$755,"NZ_CPI",Release_Calendar!$B$2:$B$755,$A4774)&gt;0,1,0))</f>
        <v>0</v>
      </c>
      <c r="N4774" s="16">
        <f>IF($A4774&lt;Notes!$B$5,"",IF(COUNTIFS(Release_Calendar!$A$2:$A$755,"NZ_GDP",Release_Calendar!$B$2:$B$755,$A4774)&gt;0,1,0))</f>
        <v>0</v>
      </c>
      <c r="O4774" s="16">
        <f>IF($A4774&lt;Notes!$B$5,"",IF(COUNTIFS(Release_Calendar!$A$2:$A$755,"NZ_LABOUR",Release_Calendar!$B$2:$B$755,$A4774)&gt;0,1,0))</f>
        <v>0</v>
      </c>
      <c r="P4774" s="16">
        <f t="shared" si="4"/>
        <v>0</v>
      </c>
    </row>
    <row r="4775" ht="15.75" customHeight="1">
      <c r="A4775" s="14">
        <v>43209.0</v>
      </c>
      <c r="B4775" s="15">
        <v>2.44</v>
      </c>
      <c r="C4775" s="15">
        <v>2.31</v>
      </c>
      <c r="D4775" s="15"/>
      <c r="E4775" s="15">
        <v>1.94</v>
      </c>
      <c r="F4775" s="15">
        <f t="shared" si="1"/>
        <v>-0.13</v>
      </c>
      <c r="G4775" s="15">
        <f t="shared" si="2"/>
        <v>2.31</v>
      </c>
      <c r="H4775" s="16">
        <v>0.0</v>
      </c>
      <c r="I4775" s="15">
        <f t="shared" si="3"/>
        <v>-0.13</v>
      </c>
      <c r="J4775" s="15">
        <v>15.96</v>
      </c>
      <c r="K4775" s="16">
        <f>IF(COUNTIFS(Release_Calendar!$A$2:$A$755,"US_CPI",Release_Calendar!$B$2:$B$755,$A4775)&gt;0,1,0)</f>
        <v>0</v>
      </c>
      <c r="L4775" s="16">
        <f>IF(COUNTIFS(Release_Calendar!$A$2:$A$755,"US_NFP",Release_Calendar!$B$2:$B$755,$A4775)&gt;0,1,0)</f>
        <v>0</v>
      </c>
      <c r="M4775" s="16">
        <f>IF($A4775&lt;Notes!$B$5,"",IF(COUNTIFS(Release_Calendar!$A$2:$A$755,"NZ_CPI",Release_Calendar!$B$2:$B$755,$A4775)&gt;0,1,0))</f>
        <v>1</v>
      </c>
      <c r="N4775" s="16">
        <f>IF($A4775&lt;Notes!$B$5,"",IF(COUNTIFS(Release_Calendar!$A$2:$A$755,"NZ_GDP",Release_Calendar!$B$2:$B$755,$A4775)&gt;0,1,0))</f>
        <v>0</v>
      </c>
      <c r="O4775" s="16">
        <f>IF($A4775&lt;Notes!$B$5,"",IF(COUNTIFS(Release_Calendar!$A$2:$A$755,"NZ_LABOUR",Release_Calendar!$B$2:$B$755,$A4775)&gt;0,1,0))</f>
        <v>0</v>
      </c>
      <c r="P4775" s="16">
        <f t="shared" si="4"/>
        <v>1</v>
      </c>
    </row>
    <row r="4776" ht="15.75" customHeight="1">
      <c r="A4776" s="14">
        <v>43210.0</v>
      </c>
      <c r="B4776" s="15">
        <v>2.46</v>
      </c>
      <c r="C4776" s="15">
        <v>2.3</v>
      </c>
      <c r="D4776" s="15"/>
      <c r="E4776" s="15">
        <v>1.95</v>
      </c>
      <c r="F4776" s="15">
        <f t="shared" si="1"/>
        <v>-0.16</v>
      </c>
      <c r="G4776" s="15">
        <f t="shared" si="2"/>
        <v>2.3</v>
      </c>
      <c r="H4776" s="16">
        <v>0.0</v>
      </c>
      <c r="I4776" s="15">
        <f t="shared" si="3"/>
        <v>-0.16</v>
      </c>
      <c r="J4776" s="15">
        <v>16.88</v>
      </c>
      <c r="K4776" s="16">
        <f>IF(COUNTIFS(Release_Calendar!$A$2:$A$755,"US_CPI",Release_Calendar!$B$2:$B$755,$A4776)&gt;0,1,0)</f>
        <v>0</v>
      </c>
      <c r="L4776" s="16">
        <f>IF(COUNTIFS(Release_Calendar!$A$2:$A$755,"US_NFP",Release_Calendar!$B$2:$B$755,$A4776)&gt;0,1,0)</f>
        <v>0</v>
      </c>
      <c r="M4776" s="16">
        <f>IF($A4776&lt;Notes!$B$5,"",IF(COUNTIFS(Release_Calendar!$A$2:$A$755,"NZ_CPI",Release_Calendar!$B$2:$B$755,$A4776)&gt;0,1,0))</f>
        <v>0</v>
      </c>
      <c r="N4776" s="16">
        <f>IF($A4776&lt;Notes!$B$5,"",IF(COUNTIFS(Release_Calendar!$A$2:$A$755,"NZ_GDP",Release_Calendar!$B$2:$B$755,$A4776)&gt;0,1,0))</f>
        <v>0</v>
      </c>
      <c r="O4776" s="16">
        <f>IF($A4776&lt;Notes!$B$5,"",IF(COUNTIFS(Release_Calendar!$A$2:$A$755,"NZ_LABOUR",Release_Calendar!$B$2:$B$755,$A4776)&gt;0,1,0))</f>
        <v>0</v>
      </c>
      <c r="P4776" s="16">
        <f t="shared" si="4"/>
        <v>0</v>
      </c>
    </row>
    <row r="4777" ht="15.75" customHeight="1">
      <c r="A4777" s="14">
        <v>43213.0</v>
      </c>
      <c r="B4777" s="15">
        <v>2.49</v>
      </c>
      <c r="C4777" s="15">
        <v>2.31</v>
      </c>
      <c r="D4777" s="15"/>
      <c r="E4777" s="15">
        <v>1.95</v>
      </c>
      <c r="F4777" s="15">
        <f t="shared" si="1"/>
        <v>-0.18</v>
      </c>
      <c r="G4777" s="15">
        <f t="shared" si="2"/>
        <v>2.31</v>
      </c>
      <c r="H4777" s="16">
        <v>0.0</v>
      </c>
      <c r="I4777" s="15">
        <f t="shared" si="3"/>
        <v>-0.18</v>
      </c>
      <c r="J4777" s="15">
        <v>16.34</v>
      </c>
      <c r="K4777" s="16">
        <f>IF(COUNTIFS(Release_Calendar!$A$2:$A$755,"US_CPI",Release_Calendar!$B$2:$B$755,$A4777)&gt;0,1,0)</f>
        <v>0</v>
      </c>
      <c r="L4777" s="16">
        <f>IF(COUNTIFS(Release_Calendar!$A$2:$A$755,"US_NFP",Release_Calendar!$B$2:$B$755,$A4777)&gt;0,1,0)</f>
        <v>0</v>
      </c>
      <c r="M4777" s="16">
        <f>IF($A4777&lt;Notes!$B$5,"",IF(COUNTIFS(Release_Calendar!$A$2:$A$755,"NZ_CPI",Release_Calendar!$B$2:$B$755,$A4777)&gt;0,1,0))</f>
        <v>0</v>
      </c>
      <c r="N4777" s="16">
        <f>IF($A4777&lt;Notes!$B$5,"",IF(COUNTIFS(Release_Calendar!$A$2:$A$755,"NZ_GDP",Release_Calendar!$B$2:$B$755,$A4777)&gt;0,1,0))</f>
        <v>0</v>
      </c>
      <c r="O4777" s="16">
        <f>IF($A4777&lt;Notes!$B$5,"",IF(COUNTIFS(Release_Calendar!$A$2:$A$755,"NZ_LABOUR",Release_Calendar!$B$2:$B$755,$A4777)&gt;0,1,0))</f>
        <v>0</v>
      </c>
      <c r="P4777" s="16">
        <f t="shared" si="4"/>
        <v>0</v>
      </c>
    </row>
    <row r="4778" ht="15.75" customHeight="1">
      <c r="A4778" s="14">
        <v>43214.0</v>
      </c>
      <c r="B4778" s="15">
        <v>2.48</v>
      </c>
      <c r="C4778" s="15">
        <v>2.28</v>
      </c>
      <c r="D4778" s="15"/>
      <c r="E4778" s="15">
        <v>1.92</v>
      </c>
      <c r="F4778" s="15">
        <f t="shared" si="1"/>
        <v>-0.2</v>
      </c>
      <c r="G4778" s="15">
        <f t="shared" si="2"/>
        <v>2.28</v>
      </c>
      <c r="H4778" s="16">
        <v>0.0</v>
      </c>
      <c r="I4778" s="15">
        <f t="shared" si="3"/>
        <v>-0.2</v>
      </c>
      <c r="J4778" s="15">
        <v>18.02</v>
      </c>
      <c r="K4778" s="16">
        <f>IF(COUNTIFS(Release_Calendar!$A$2:$A$755,"US_CPI",Release_Calendar!$B$2:$B$755,$A4778)&gt;0,1,0)</f>
        <v>0</v>
      </c>
      <c r="L4778" s="16">
        <f>IF(COUNTIFS(Release_Calendar!$A$2:$A$755,"US_NFP",Release_Calendar!$B$2:$B$755,$A4778)&gt;0,1,0)</f>
        <v>0</v>
      </c>
      <c r="M4778" s="16">
        <f>IF($A4778&lt;Notes!$B$5,"",IF(COUNTIFS(Release_Calendar!$A$2:$A$755,"NZ_CPI",Release_Calendar!$B$2:$B$755,$A4778)&gt;0,1,0))</f>
        <v>0</v>
      </c>
      <c r="N4778" s="16">
        <f>IF($A4778&lt;Notes!$B$5,"",IF(COUNTIFS(Release_Calendar!$A$2:$A$755,"NZ_GDP",Release_Calendar!$B$2:$B$755,$A4778)&gt;0,1,0))</f>
        <v>0</v>
      </c>
      <c r="O4778" s="16">
        <f>IF($A4778&lt;Notes!$B$5,"",IF(COUNTIFS(Release_Calendar!$A$2:$A$755,"NZ_LABOUR",Release_Calendar!$B$2:$B$755,$A4778)&gt;0,1,0))</f>
        <v>0</v>
      </c>
      <c r="P4778" s="16">
        <f t="shared" si="4"/>
        <v>0</v>
      </c>
    </row>
    <row r="4779" ht="15.75" customHeight="1">
      <c r="A4779" s="14">
        <v>43215.0</v>
      </c>
      <c r="B4779" s="15">
        <v>2.49</v>
      </c>
      <c r="C4779" s="15"/>
      <c r="D4779" s="15"/>
      <c r="E4779" s="15"/>
      <c r="F4779" s="15" t="str">
        <f t="shared" si="1"/>
        <v/>
      </c>
      <c r="G4779" s="15" t="str">
        <f t="shared" si="2"/>
        <v/>
      </c>
      <c r="H4779" s="16">
        <v>0.0</v>
      </c>
      <c r="I4779" s="15" t="str">
        <f t="shared" si="3"/>
        <v/>
      </c>
      <c r="J4779" s="15">
        <v>17.84</v>
      </c>
      <c r="K4779" s="16">
        <f>IF(COUNTIFS(Release_Calendar!$A$2:$A$755,"US_CPI",Release_Calendar!$B$2:$B$755,$A4779)&gt;0,1,0)</f>
        <v>0</v>
      </c>
      <c r="L4779" s="16">
        <f>IF(COUNTIFS(Release_Calendar!$A$2:$A$755,"US_NFP",Release_Calendar!$B$2:$B$755,$A4779)&gt;0,1,0)</f>
        <v>0</v>
      </c>
      <c r="M4779" s="16">
        <f>IF($A4779&lt;Notes!$B$5,"",IF(COUNTIFS(Release_Calendar!$A$2:$A$755,"NZ_CPI",Release_Calendar!$B$2:$B$755,$A4779)&gt;0,1,0))</f>
        <v>0</v>
      </c>
      <c r="N4779" s="16">
        <f>IF($A4779&lt;Notes!$B$5,"",IF(COUNTIFS(Release_Calendar!$A$2:$A$755,"NZ_GDP",Release_Calendar!$B$2:$B$755,$A4779)&gt;0,1,0))</f>
        <v>0</v>
      </c>
      <c r="O4779" s="16">
        <f>IF($A4779&lt;Notes!$B$5,"",IF(COUNTIFS(Release_Calendar!$A$2:$A$755,"NZ_LABOUR",Release_Calendar!$B$2:$B$755,$A4779)&gt;0,1,0))</f>
        <v>0</v>
      </c>
      <c r="P4779" s="16">
        <f t="shared" si="4"/>
        <v>0</v>
      </c>
    </row>
    <row r="4780" ht="15.75" customHeight="1">
      <c r="A4780" s="14">
        <v>43216.0</v>
      </c>
      <c r="B4780" s="15">
        <v>2.49</v>
      </c>
      <c r="C4780" s="15">
        <v>2.3</v>
      </c>
      <c r="D4780" s="15"/>
      <c r="E4780" s="15">
        <v>1.92</v>
      </c>
      <c r="F4780" s="15">
        <f t="shared" si="1"/>
        <v>-0.19</v>
      </c>
      <c r="G4780" s="15">
        <f t="shared" si="2"/>
        <v>2.3</v>
      </c>
      <c r="H4780" s="16">
        <v>0.0</v>
      </c>
      <c r="I4780" s="15">
        <f t="shared" si="3"/>
        <v>-0.19</v>
      </c>
      <c r="J4780" s="15">
        <v>16.24</v>
      </c>
      <c r="K4780" s="16">
        <f>IF(COUNTIFS(Release_Calendar!$A$2:$A$755,"US_CPI",Release_Calendar!$B$2:$B$755,$A4780)&gt;0,1,0)</f>
        <v>0</v>
      </c>
      <c r="L4780" s="16">
        <f>IF(COUNTIFS(Release_Calendar!$A$2:$A$755,"US_NFP",Release_Calendar!$B$2:$B$755,$A4780)&gt;0,1,0)</f>
        <v>0</v>
      </c>
      <c r="M4780" s="16">
        <f>IF($A4780&lt;Notes!$B$5,"",IF(COUNTIFS(Release_Calendar!$A$2:$A$755,"NZ_CPI",Release_Calendar!$B$2:$B$755,$A4780)&gt;0,1,0))</f>
        <v>0</v>
      </c>
      <c r="N4780" s="16">
        <f>IF($A4780&lt;Notes!$B$5,"",IF(COUNTIFS(Release_Calendar!$A$2:$A$755,"NZ_GDP",Release_Calendar!$B$2:$B$755,$A4780)&gt;0,1,0))</f>
        <v>0</v>
      </c>
      <c r="O4780" s="16">
        <f>IF($A4780&lt;Notes!$B$5,"",IF(COUNTIFS(Release_Calendar!$A$2:$A$755,"NZ_LABOUR",Release_Calendar!$B$2:$B$755,$A4780)&gt;0,1,0))</f>
        <v>0</v>
      </c>
      <c r="P4780" s="16">
        <f t="shared" si="4"/>
        <v>0</v>
      </c>
    </row>
    <row r="4781" ht="15.75" customHeight="1">
      <c r="A4781" s="14">
        <v>43217.0</v>
      </c>
      <c r="B4781" s="15">
        <v>2.49</v>
      </c>
      <c r="C4781" s="15">
        <v>2.28</v>
      </c>
      <c r="D4781" s="15"/>
      <c r="E4781" s="15">
        <v>1.9</v>
      </c>
      <c r="F4781" s="15">
        <f t="shared" si="1"/>
        <v>-0.21</v>
      </c>
      <c r="G4781" s="15">
        <f t="shared" si="2"/>
        <v>2.28</v>
      </c>
      <c r="H4781" s="16">
        <v>0.0</v>
      </c>
      <c r="I4781" s="15">
        <f t="shared" si="3"/>
        <v>-0.21</v>
      </c>
      <c r="J4781" s="15">
        <v>15.41</v>
      </c>
      <c r="K4781" s="16">
        <f>IF(COUNTIFS(Release_Calendar!$A$2:$A$755,"US_CPI",Release_Calendar!$B$2:$B$755,$A4781)&gt;0,1,0)</f>
        <v>0</v>
      </c>
      <c r="L4781" s="16">
        <f>IF(COUNTIFS(Release_Calendar!$A$2:$A$755,"US_NFP",Release_Calendar!$B$2:$B$755,$A4781)&gt;0,1,0)</f>
        <v>0</v>
      </c>
      <c r="M4781" s="16">
        <f>IF($A4781&lt;Notes!$B$5,"",IF(COUNTIFS(Release_Calendar!$A$2:$A$755,"NZ_CPI",Release_Calendar!$B$2:$B$755,$A4781)&gt;0,1,0))</f>
        <v>0</v>
      </c>
      <c r="N4781" s="16">
        <f>IF($A4781&lt;Notes!$B$5,"",IF(COUNTIFS(Release_Calendar!$A$2:$A$755,"NZ_GDP",Release_Calendar!$B$2:$B$755,$A4781)&gt;0,1,0))</f>
        <v>0</v>
      </c>
      <c r="O4781" s="16">
        <f>IF($A4781&lt;Notes!$B$5,"",IF(COUNTIFS(Release_Calendar!$A$2:$A$755,"NZ_LABOUR",Release_Calendar!$B$2:$B$755,$A4781)&gt;0,1,0))</f>
        <v>0</v>
      </c>
      <c r="P4781" s="16">
        <f t="shared" si="4"/>
        <v>0</v>
      </c>
    </row>
    <row r="4782" ht="15.75" customHeight="1">
      <c r="A4782" s="14">
        <v>43220.0</v>
      </c>
      <c r="B4782" s="15">
        <v>2.49</v>
      </c>
      <c r="C4782" s="15">
        <v>2.27</v>
      </c>
      <c r="D4782" s="15"/>
      <c r="E4782" s="15">
        <v>1.88</v>
      </c>
      <c r="F4782" s="15">
        <f t="shared" si="1"/>
        <v>-0.22</v>
      </c>
      <c r="G4782" s="15">
        <f t="shared" si="2"/>
        <v>2.27</v>
      </c>
      <c r="H4782" s="16">
        <v>0.0</v>
      </c>
      <c r="I4782" s="15">
        <f t="shared" si="3"/>
        <v>-0.22</v>
      </c>
      <c r="J4782" s="15">
        <v>15.93</v>
      </c>
      <c r="K4782" s="16">
        <f>IF(COUNTIFS(Release_Calendar!$A$2:$A$755,"US_CPI",Release_Calendar!$B$2:$B$755,$A4782)&gt;0,1,0)</f>
        <v>0</v>
      </c>
      <c r="L4782" s="16">
        <f>IF(COUNTIFS(Release_Calendar!$A$2:$A$755,"US_NFP",Release_Calendar!$B$2:$B$755,$A4782)&gt;0,1,0)</f>
        <v>0</v>
      </c>
      <c r="M4782" s="16">
        <f>IF($A4782&lt;Notes!$B$5,"",IF(COUNTIFS(Release_Calendar!$A$2:$A$755,"NZ_CPI",Release_Calendar!$B$2:$B$755,$A4782)&gt;0,1,0))</f>
        <v>0</v>
      </c>
      <c r="N4782" s="16">
        <f>IF($A4782&lt;Notes!$B$5,"",IF(COUNTIFS(Release_Calendar!$A$2:$A$755,"NZ_GDP",Release_Calendar!$B$2:$B$755,$A4782)&gt;0,1,0))</f>
        <v>0</v>
      </c>
      <c r="O4782" s="16">
        <f>IF($A4782&lt;Notes!$B$5,"",IF(COUNTIFS(Release_Calendar!$A$2:$A$755,"NZ_LABOUR",Release_Calendar!$B$2:$B$755,$A4782)&gt;0,1,0))</f>
        <v>0</v>
      </c>
      <c r="P4782" s="16">
        <f t="shared" si="4"/>
        <v>0</v>
      </c>
    </row>
    <row r="4783" ht="15.75" customHeight="1">
      <c r="A4783" s="14">
        <v>43221.0</v>
      </c>
      <c r="B4783" s="15">
        <v>2.5</v>
      </c>
      <c r="C4783" s="15">
        <v>2.27</v>
      </c>
      <c r="D4783" s="15"/>
      <c r="E4783" s="15">
        <v>1.9</v>
      </c>
      <c r="F4783" s="15">
        <f t="shared" si="1"/>
        <v>-0.23</v>
      </c>
      <c r="G4783" s="15">
        <f t="shared" si="2"/>
        <v>2.27</v>
      </c>
      <c r="H4783" s="16">
        <v>0.0</v>
      </c>
      <c r="I4783" s="15">
        <f t="shared" si="3"/>
        <v>-0.23</v>
      </c>
      <c r="J4783" s="15">
        <v>15.49</v>
      </c>
      <c r="K4783" s="16">
        <f>IF(COUNTIFS(Release_Calendar!$A$2:$A$755,"US_CPI",Release_Calendar!$B$2:$B$755,$A4783)&gt;0,1,0)</f>
        <v>0</v>
      </c>
      <c r="L4783" s="16">
        <f>IF(COUNTIFS(Release_Calendar!$A$2:$A$755,"US_NFP",Release_Calendar!$B$2:$B$755,$A4783)&gt;0,1,0)</f>
        <v>0</v>
      </c>
      <c r="M4783" s="16">
        <f>IF($A4783&lt;Notes!$B$5,"",IF(COUNTIFS(Release_Calendar!$A$2:$A$755,"NZ_CPI",Release_Calendar!$B$2:$B$755,$A4783)&gt;0,1,0))</f>
        <v>0</v>
      </c>
      <c r="N4783" s="16">
        <f>IF($A4783&lt;Notes!$B$5,"",IF(COUNTIFS(Release_Calendar!$A$2:$A$755,"NZ_GDP",Release_Calendar!$B$2:$B$755,$A4783)&gt;0,1,0))</f>
        <v>0</v>
      </c>
      <c r="O4783" s="16">
        <f>IF($A4783&lt;Notes!$B$5,"",IF(COUNTIFS(Release_Calendar!$A$2:$A$755,"NZ_LABOUR",Release_Calendar!$B$2:$B$755,$A4783)&gt;0,1,0))</f>
        <v>0</v>
      </c>
      <c r="P4783" s="16">
        <f t="shared" si="4"/>
        <v>0</v>
      </c>
    </row>
    <row r="4784" ht="15.75" customHeight="1">
      <c r="A4784" s="14">
        <v>43222.0</v>
      </c>
      <c r="B4784" s="15">
        <v>2.49</v>
      </c>
      <c r="C4784" s="15">
        <v>2.28</v>
      </c>
      <c r="D4784" s="15"/>
      <c r="E4784" s="15">
        <v>1.9</v>
      </c>
      <c r="F4784" s="15">
        <f t="shared" si="1"/>
        <v>-0.21</v>
      </c>
      <c r="G4784" s="15">
        <f t="shared" si="2"/>
        <v>2.28</v>
      </c>
      <c r="H4784" s="16">
        <v>0.0</v>
      </c>
      <c r="I4784" s="15">
        <f t="shared" si="3"/>
        <v>-0.21</v>
      </c>
      <c r="J4784" s="15">
        <v>15.97</v>
      </c>
      <c r="K4784" s="16">
        <f>IF(COUNTIFS(Release_Calendar!$A$2:$A$755,"US_CPI",Release_Calendar!$B$2:$B$755,$A4784)&gt;0,1,0)</f>
        <v>0</v>
      </c>
      <c r="L4784" s="16">
        <f>IF(COUNTIFS(Release_Calendar!$A$2:$A$755,"US_NFP",Release_Calendar!$B$2:$B$755,$A4784)&gt;0,1,0)</f>
        <v>0</v>
      </c>
      <c r="M4784" s="16">
        <f>IF($A4784&lt;Notes!$B$5,"",IF(COUNTIFS(Release_Calendar!$A$2:$A$755,"NZ_CPI",Release_Calendar!$B$2:$B$755,$A4784)&gt;0,1,0))</f>
        <v>0</v>
      </c>
      <c r="N4784" s="16">
        <f>IF($A4784&lt;Notes!$B$5,"",IF(COUNTIFS(Release_Calendar!$A$2:$A$755,"NZ_GDP",Release_Calendar!$B$2:$B$755,$A4784)&gt;0,1,0))</f>
        <v>0</v>
      </c>
      <c r="O4784" s="16">
        <f>IF($A4784&lt;Notes!$B$5,"",IF(COUNTIFS(Release_Calendar!$A$2:$A$755,"NZ_LABOUR",Release_Calendar!$B$2:$B$755,$A4784)&gt;0,1,0))</f>
        <v>1</v>
      </c>
      <c r="P4784" s="16">
        <f t="shared" si="4"/>
        <v>1</v>
      </c>
    </row>
    <row r="4785" ht="15.75" customHeight="1">
      <c r="A4785" s="14">
        <v>43223.0</v>
      </c>
      <c r="B4785" s="15">
        <v>2.49</v>
      </c>
      <c r="C4785" s="15">
        <v>2.27</v>
      </c>
      <c r="D4785" s="15"/>
      <c r="E4785" s="15">
        <v>1.9</v>
      </c>
      <c r="F4785" s="15">
        <f t="shared" si="1"/>
        <v>-0.22</v>
      </c>
      <c r="G4785" s="15">
        <f t="shared" si="2"/>
        <v>2.27</v>
      </c>
      <c r="H4785" s="16">
        <v>0.0</v>
      </c>
      <c r="I4785" s="15">
        <f t="shared" si="3"/>
        <v>-0.22</v>
      </c>
      <c r="J4785" s="15">
        <v>15.9</v>
      </c>
      <c r="K4785" s="16">
        <f>IF(COUNTIFS(Release_Calendar!$A$2:$A$755,"US_CPI",Release_Calendar!$B$2:$B$755,$A4785)&gt;0,1,0)</f>
        <v>0</v>
      </c>
      <c r="L4785" s="16">
        <f>IF(COUNTIFS(Release_Calendar!$A$2:$A$755,"US_NFP",Release_Calendar!$B$2:$B$755,$A4785)&gt;0,1,0)</f>
        <v>0</v>
      </c>
      <c r="M4785" s="16">
        <f>IF($A4785&lt;Notes!$B$5,"",IF(COUNTIFS(Release_Calendar!$A$2:$A$755,"NZ_CPI",Release_Calendar!$B$2:$B$755,$A4785)&gt;0,1,0))</f>
        <v>0</v>
      </c>
      <c r="N4785" s="16">
        <f>IF($A4785&lt;Notes!$B$5,"",IF(COUNTIFS(Release_Calendar!$A$2:$A$755,"NZ_GDP",Release_Calendar!$B$2:$B$755,$A4785)&gt;0,1,0))</f>
        <v>0</v>
      </c>
      <c r="O4785" s="16">
        <f>IF($A4785&lt;Notes!$B$5,"",IF(COUNTIFS(Release_Calendar!$A$2:$A$755,"NZ_LABOUR",Release_Calendar!$B$2:$B$755,$A4785)&gt;0,1,0))</f>
        <v>0</v>
      </c>
      <c r="P4785" s="16">
        <f t="shared" si="4"/>
        <v>0</v>
      </c>
    </row>
    <row r="4786" ht="15.75" customHeight="1">
      <c r="A4786" s="14">
        <v>43224.0</v>
      </c>
      <c r="B4786" s="15">
        <v>2.51</v>
      </c>
      <c r="C4786" s="15">
        <v>2.28</v>
      </c>
      <c r="D4786" s="15"/>
      <c r="E4786" s="15">
        <v>1.89</v>
      </c>
      <c r="F4786" s="15">
        <f t="shared" si="1"/>
        <v>-0.23</v>
      </c>
      <c r="G4786" s="15">
        <f t="shared" si="2"/>
        <v>2.28</v>
      </c>
      <c r="H4786" s="16">
        <v>0.0</v>
      </c>
      <c r="I4786" s="15">
        <f t="shared" si="3"/>
        <v>-0.23</v>
      </c>
      <c r="J4786" s="15">
        <v>14.77</v>
      </c>
      <c r="K4786" s="16">
        <f>IF(COUNTIFS(Release_Calendar!$A$2:$A$755,"US_CPI",Release_Calendar!$B$2:$B$755,$A4786)&gt;0,1,0)</f>
        <v>0</v>
      </c>
      <c r="L4786" s="16">
        <f>IF(COUNTIFS(Release_Calendar!$A$2:$A$755,"US_NFP",Release_Calendar!$B$2:$B$755,$A4786)&gt;0,1,0)</f>
        <v>1</v>
      </c>
      <c r="M4786" s="16">
        <f>IF($A4786&lt;Notes!$B$5,"",IF(COUNTIFS(Release_Calendar!$A$2:$A$755,"NZ_CPI",Release_Calendar!$B$2:$B$755,$A4786)&gt;0,1,0))</f>
        <v>0</v>
      </c>
      <c r="N4786" s="16">
        <f>IF($A4786&lt;Notes!$B$5,"",IF(COUNTIFS(Release_Calendar!$A$2:$A$755,"NZ_GDP",Release_Calendar!$B$2:$B$755,$A4786)&gt;0,1,0))</f>
        <v>0</v>
      </c>
      <c r="O4786" s="16">
        <f>IF($A4786&lt;Notes!$B$5,"",IF(COUNTIFS(Release_Calendar!$A$2:$A$755,"NZ_LABOUR",Release_Calendar!$B$2:$B$755,$A4786)&gt;0,1,0))</f>
        <v>0</v>
      </c>
      <c r="P4786" s="16">
        <f t="shared" si="4"/>
        <v>1</v>
      </c>
    </row>
    <row r="4787" ht="15.75" customHeight="1">
      <c r="A4787" s="14">
        <v>43227.0</v>
      </c>
      <c r="B4787" s="15">
        <v>2.49</v>
      </c>
      <c r="C4787" s="15">
        <v>2.27</v>
      </c>
      <c r="D4787" s="15"/>
      <c r="E4787" s="15">
        <v>1.88</v>
      </c>
      <c r="F4787" s="15">
        <f t="shared" si="1"/>
        <v>-0.22</v>
      </c>
      <c r="G4787" s="15">
        <f t="shared" si="2"/>
        <v>2.27</v>
      </c>
      <c r="H4787" s="16">
        <v>0.0</v>
      </c>
      <c r="I4787" s="15">
        <f t="shared" si="3"/>
        <v>-0.22</v>
      </c>
      <c r="J4787" s="15">
        <v>14.75</v>
      </c>
      <c r="K4787" s="16">
        <f>IF(COUNTIFS(Release_Calendar!$A$2:$A$755,"US_CPI",Release_Calendar!$B$2:$B$755,$A4787)&gt;0,1,0)</f>
        <v>0</v>
      </c>
      <c r="L4787" s="16">
        <f>IF(COUNTIFS(Release_Calendar!$A$2:$A$755,"US_NFP",Release_Calendar!$B$2:$B$755,$A4787)&gt;0,1,0)</f>
        <v>0</v>
      </c>
      <c r="M4787" s="16">
        <f>IF($A4787&lt;Notes!$B$5,"",IF(COUNTIFS(Release_Calendar!$A$2:$A$755,"NZ_CPI",Release_Calendar!$B$2:$B$755,$A4787)&gt;0,1,0))</f>
        <v>0</v>
      </c>
      <c r="N4787" s="16">
        <f>IF($A4787&lt;Notes!$B$5,"",IF(COUNTIFS(Release_Calendar!$A$2:$A$755,"NZ_GDP",Release_Calendar!$B$2:$B$755,$A4787)&gt;0,1,0))</f>
        <v>0</v>
      </c>
      <c r="O4787" s="16">
        <f>IF($A4787&lt;Notes!$B$5,"",IF(COUNTIFS(Release_Calendar!$A$2:$A$755,"NZ_LABOUR",Release_Calendar!$B$2:$B$755,$A4787)&gt;0,1,0))</f>
        <v>0</v>
      </c>
      <c r="P4787" s="16">
        <f t="shared" si="4"/>
        <v>0</v>
      </c>
    </row>
    <row r="4788" ht="15.75" customHeight="1">
      <c r="A4788" s="14">
        <v>43228.0</v>
      </c>
      <c r="B4788" s="15">
        <v>2.51</v>
      </c>
      <c r="C4788" s="15">
        <v>2.28</v>
      </c>
      <c r="D4788" s="15"/>
      <c r="E4788" s="15">
        <v>1.88</v>
      </c>
      <c r="F4788" s="15">
        <f t="shared" si="1"/>
        <v>-0.23</v>
      </c>
      <c r="G4788" s="15">
        <f t="shared" si="2"/>
        <v>2.28</v>
      </c>
      <c r="H4788" s="16">
        <v>0.0</v>
      </c>
      <c r="I4788" s="15">
        <f t="shared" si="3"/>
        <v>-0.23</v>
      </c>
      <c r="J4788" s="15">
        <v>14.71</v>
      </c>
      <c r="K4788" s="16">
        <f>IF(COUNTIFS(Release_Calendar!$A$2:$A$755,"US_CPI",Release_Calendar!$B$2:$B$755,$A4788)&gt;0,1,0)</f>
        <v>0</v>
      </c>
      <c r="L4788" s="16">
        <f>IF(COUNTIFS(Release_Calendar!$A$2:$A$755,"US_NFP",Release_Calendar!$B$2:$B$755,$A4788)&gt;0,1,0)</f>
        <v>0</v>
      </c>
      <c r="M4788" s="16">
        <f>IF($A4788&lt;Notes!$B$5,"",IF(COUNTIFS(Release_Calendar!$A$2:$A$755,"NZ_CPI",Release_Calendar!$B$2:$B$755,$A4788)&gt;0,1,0))</f>
        <v>0</v>
      </c>
      <c r="N4788" s="16">
        <f>IF($A4788&lt;Notes!$B$5,"",IF(COUNTIFS(Release_Calendar!$A$2:$A$755,"NZ_GDP",Release_Calendar!$B$2:$B$755,$A4788)&gt;0,1,0))</f>
        <v>0</v>
      </c>
      <c r="O4788" s="16">
        <f>IF($A4788&lt;Notes!$B$5,"",IF(COUNTIFS(Release_Calendar!$A$2:$A$755,"NZ_LABOUR",Release_Calendar!$B$2:$B$755,$A4788)&gt;0,1,0))</f>
        <v>0</v>
      </c>
      <c r="P4788" s="16">
        <f t="shared" si="4"/>
        <v>0</v>
      </c>
    </row>
    <row r="4789" ht="15.75" customHeight="1">
      <c r="A4789" s="14">
        <v>43229.0</v>
      </c>
      <c r="B4789" s="15">
        <v>2.54</v>
      </c>
      <c r="C4789" s="15">
        <v>2.27</v>
      </c>
      <c r="D4789" s="15"/>
      <c r="E4789" s="15">
        <v>1.91</v>
      </c>
      <c r="F4789" s="15">
        <f t="shared" si="1"/>
        <v>-0.27</v>
      </c>
      <c r="G4789" s="15">
        <f t="shared" si="2"/>
        <v>2.27</v>
      </c>
      <c r="H4789" s="16">
        <v>0.0</v>
      </c>
      <c r="I4789" s="15">
        <f t="shared" si="3"/>
        <v>-0.27</v>
      </c>
      <c r="J4789" s="15">
        <v>13.42</v>
      </c>
      <c r="K4789" s="16">
        <f>IF(COUNTIFS(Release_Calendar!$A$2:$A$755,"US_CPI",Release_Calendar!$B$2:$B$755,$A4789)&gt;0,1,0)</f>
        <v>0</v>
      </c>
      <c r="L4789" s="16">
        <f>IF(COUNTIFS(Release_Calendar!$A$2:$A$755,"US_NFP",Release_Calendar!$B$2:$B$755,$A4789)&gt;0,1,0)</f>
        <v>0</v>
      </c>
      <c r="M4789" s="16">
        <f>IF($A4789&lt;Notes!$B$5,"",IF(COUNTIFS(Release_Calendar!$A$2:$A$755,"NZ_CPI",Release_Calendar!$B$2:$B$755,$A4789)&gt;0,1,0))</f>
        <v>0</v>
      </c>
      <c r="N4789" s="16">
        <f>IF($A4789&lt;Notes!$B$5,"",IF(COUNTIFS(Release_Calendar!$A$2:$A$755,"NZ_GDP",Release_Calendar!$B$2:$B$755,$A4789)&gt;0,1,0))</f>
        <v>0</v>
      </c>
      <c r="O4789" s="16">
        <f>IF($A4789&lt;Notes!$B$5,"",IF(COUNTIFS(Release_Calendar!$A$2:$A$755,"NZ_LABOUR",Release_Calendar!$B$2:$B$755,$A4789)&gt;0,1,0))</f>
        <v>0</v>
      </c>
      <c r="P4789" s="16">
        <f t="shared" si="4"/>
        <v>0</v>
      </c>
    </row>
    <row r="4790" ht="15.75" customHeight="1">
      <c r="A4790" s="14">
        <v>43230.0</v>
      </c>
      <c r="B4790" s="15">
        <v>2.54</v>
      </c>
      <c r="C4790" s="15">
        <v>2.23</v>
      </c>
      <c r="D4790" s="15"/>
      <c r="E4790" s="15">
        <v>1.85</v>
      </c>
      <c r="F4790" s="15">
        <f t="shared" si="1"/>
        <v>-0.31</v>
      </c>
      <c r="G4790" s="15">
        <f t="shared" si="2"/>
        <v>2.23</v>
      </c>
      <c r="H4790" s="16">
        <v>0.0</v>
      </c>
      <c r="I4790" s="15">
        <f t="shared" si="3"/>
        <v>-0.31</v>
      </c>
      <c r="J4790" s="15">
        <v>13.23</v>
      </c>
      <c r="K4790" s="16">
        <f>IF(COUNTIFS(Release_Calendar!$A$2:$A$755,"US_CPI",Release_Calendar!$B$2:$B$755,$A4790)&gt;0,1,0)</f>
        <v>1</v>
      </c>
      <c r="L4790" s="16">
        <f>IF(COUNTIFS(Release_Calendar!$A$2:$A$755,"US_NFP",Release_Calendar!$B$2:$B$755,$A4790)&gt;0,1,0)</f>
        <v>0</v>
      </c>
      <c r="M4790" s="16">
        <f>IF($A4790&lt;Notes!$B$5,"",IF(COUNTIFS(Release_Calendar!$A$2:$A$755,"NZ_CPI",Release_Calendar!$B$2:$B$755,$A4790)&gt;0,1,0))</f>
        <v>0</v>
      </c>
      <c r="N4790" s="16">
        <f>IF($A4790&lt;Notes!$B$5,"",IF(COUNTIFS(Release_Calendar!$A$2:$A$755,"NZ_GDP",Release_Calendar!$B$2:$B$755,$A4790)&gt;0,1,0))</f>
        <v>0</v>
      </c>
      <c r="O4790" s="16">
        <f>IF($A4790&lt;Notes!$B$5,"",IF(COUNTIFS(Release_Calendar!$A$2:$A$755,"NZ_LABOUR",Release_Calendar!$B$2:$B$755,$A4790)&gt;0,1,0))</f>
        <v>0</v>
      </c>
      <c r="P4790" s="16">
        <f t="shared" si="4"/>
        <v>1</v>
      </c>
    </row>
    <row r="4791" ht="15.75" customHeight="1">
      <c r="A4791" s="14">
        <v>43231.0</v>
      </c>
      <c r="B4791" s="15">
        <v>2.54</v>
      </c>
      <c r="C4791" s="15">
        <v>2.21</v>
      </c>
      <c r="D4791" s="15"/>
      <c r="E4791" s="15">
        <v>1.85</v>
      </c>
      <c r="F4791" s="15">
        <f t="shared" si="1"/>
        <v>-0.33</v>
      </c>
      <c r="G4791" s="15">
        <f t="shared" si="2"/>
        <v>2.21</v>
      </c>
      <c r="H4791" s="16">
        <v>0.0</v>
      </c>
      <c r="I4791" s="15">
        <f t="shared" si="3"/>
        <v>-0.33</v>
      </c>
      <c r="J4791" s="15">
        <v>12.65</v>
      </c>
      <c r="K4791" s="16">
        <f>IF(COUNTIFS(Release_Calendar!$A$2:$A$755,"US_CPI",Release_Calendar!$B$2:$B$755,$A4791)&gt;0,1,0)</f>
        <v>0</v>
      </c>
      <c r="L4791" s="16">
        <f>IF(COUNTIFS(Release_Calendar!$A$2:$A$755,"US_NFP",Release_Calendar!$B$2:$B$755,$A4791)&gt;0,1,0)</f>
        <v>0</v>
      </c>
      <c r="M4791" s="16">
        <f>IF($A4791&lt;Notes!$B$5,"",IF(COUNTIFS(Release_Calendar!$A$2:$A$755,"NZ_CPI",Release_Calendar!$B$2:$B$755,$A4791)&gt;0,1,0))</f>
        <v>0</v>
      </c>
      <c r="N4791" s="16">
        <f>IF($A4791&lt;Notes!$B$5,"",IF(COUNTIFS(Release_Calendar!$A$2:$A$755,"NZ_GDP",Release_Calendar!$B$2:$B$755,$A4791)&gt;0,1,0))</f>
        <v>0</v>
      </c>
      <c r="O4791" s="16">
        <f>IF($A4791&lt;Notes!$B$5,"",IF(COUNTIFS(Release_Calendar!$A$2:$A$755,"NZ_LABOUR",Release_Calendar!$B$2:$B$755,$A4791)&gt;0,1,0))</f>
        <v>0</v>
      </c>
      <c r="P4791" s="16">
        <f t="shared" si="4"/>
        <v>0</v>
      </c>
    </row>
    <row r="4792" ht="15.75" customHeight="1">
      <c r="A4792" s="14">
        <v>43234.0</v>
      </c>
      <c r="B4792" s="15">
        <v>2.55</v>
      </c>
      <c r="C4792" s="15">
        <v>2.19</v>
      </c>
      <c r="D4792" s="15"/>
      <c r="E4792" s="15">
        <v>1.84</v>
      </c>
      <c r="F4792" s="15">
        <f t="shared" si="1"/>
        <v>-0.36</v>
      </c>
      <c r="G4792" s="15">
        <f t="shared" si="2"/>
        <v>2.19</v>
      </c>
      <c r="H4792" s="16">
        <v>0.0</v>
      </c>
      <c r="I4792" s="15">
        <f t="shared" si="3"/>
        <v>-0.36</v>
      </c>
      <c r="J4792" s="15">
        <v>12.93</v>
      </c>
      <c r="K4792" s="16">
        <f>IF(COUNTIFS(Release_Calendar!$A$2:$A$755,"US_CPI",Release_Calendar!$B$2:$B$755,$A4792)&gt;0,1,0)</f>
        <v>0</v>
      </c>
      <c r="L4792" s="16">
        <f>IF(COUNTIFS(Release_Calendar!$A$2:$A$755,"US_NFP",Release_Calendar!$B$2:$B$755,$A4792)&gt;0,1,0)</f>
        <v>0</v>
      </c>
      <c r="M4792" s="16">
        <f>IF($A4792&lt;Notes!$B$5,"",IF(COUNTIFS(Release_Calendar!$A$2:$A$755,"NZ_CPI",Release_Calendar!$B$2:$B$755,$A4792)&gt;0,1,0))</f>
        <v>0</v>
      </c>
      <c r="N4792" s="16">
        <f>IF($A4792&lt;Notes!$B$5,"",IF(COUNTIFS(Release_Calendar!$A$2:$A$755,"NZ_GDP",Release_Calendar!$B$2:$B$755,$A4792)&gt;0,1,0))</f>
        <v>0</v>
      </c>
      <c r="O4792" s="16">
        <f>IF($A4792&lt;Notes!$B$5,"",IF(COUNTIFS(Release_Calendar!$A$2:$A$755,"NZ_LABOUR",Release_Calendar!$B$2:$B$755,$A4792)&gt;0,1,0))</f>
        <v>0</v>
      </c>
      <c r="P4792" s="16">
        <f t="shared" si="4"/>
        <v>0</v>
      </c>
    </row>
    <row r="4793" ht="15.75" customHeight="1">
      <c r="A4793" s="14">
        <v>43235.0</v>
      </c>
      <c r="B4793" s="15">
        <v>2.58</v>
      </c>
      <c r="C4793" s="15">
        <v>2.2</v>
      </c>
      <c r="D4793" s="15"/>
      <c r="E4793" s="15">
        <v>1.85</v>
      </c>
      <c r="F4793" s="15">
        <f t="shared" si="1"/>
        <v>-0.38</v>
      </c>
      <c r="G4793" s="15">
        <f t="shared" si="2"/>
        <v>2.2</v>
      </c>
      <c r="H4793" s="16">
        <v>0.0</v>
      </c>
      <c r="I4793" s="15">
        <f t="shared" si="3"/>
        <v>-0.38</v>
      </c>
      <c r="J4793" s="15">
        <v>14.63</v>
      </c>
      <c r="K4793" s="16">
        <f>IF(COUNTIFS(Release_Calendar!$A$2:$A$755,"US_CPI",Release_Calendar!$B$2:$B$755,$A4793)&gt;0,1,0)</f>
        <v>0</v>
      </c>
      <c r="L4793" s="16">
        <f>IF(COUNTIFS(Release_Calendar!$A$2:$A$755,"US_NFP",Release_Calendar!$B$2:$B$755,$A4793)&gt;0,1,0)</f>
        <v>0</v>
      </c>
      <c r="M4793" s="16">
        <f>IF($A4793&lt;Notes!$B$5,"",IF(COUNTIFS(Release_Calendar!$A$2:$A$755,"NZ_CPI",Release_Calendar!$B$2:$B$755,$A4793)&gt;0,1,0))</f>
        <v>0</v>
      </c>
      <c r="N4793" s="16">
        <f>IF($A4793&lt;Notes!$B$5,"",IF(COUNTIFS(Release_Calendar!$A$2:$A$755,"NZ_GDP",Release_Calendar!$B$2:$B$755,$A4793)&gt;0,1,0))</f>
        <v>0</v>
      </c>
      <c r="O4793" s="16">
        <f>IF($A4793&lt;Notes!$B$5,"",IF(COUNTIFS(Release_Calendar!$A$2:$A$755,"NZ_LABOUR",Release_Calendar!$B$2:$B$755,$A4793)&gt;0,1,0))</f>
        <v>0</v>
      </c>
      <c r="P4793" s="16">
        <f t="shared" si="4"/>
        <v>0</v>
      </c>
    </row>
    <row r="4794" ht="15.75" customHeight="1">
      <c r="A4794" s="14">
        <v>43236.0</v>
      </c>
      <c r="B4794" s="15">
        <v>2.58</v>
      </c>
      <c r="C4794" s="15">
        <v>2.21</v>
      </c>
      <c r="D4794" s="15"/>
      <c r="E4794" s="15">
        <v>1.88</v>
      </c>
      <c r="F4794" s="15">
        <f t="shared" si="1"/>
        <v>-0.37</v>
      </c>
      <c r="G4794" s="15">
        <f t="shared" si="2"/>
        <v>2.21</v>
      </c>
      <c r="H4794" s="16">
        <v>0.0</v>
      </c>
      <c r="I4794" s="15">
        <f t="shared" si="3"/>
        <v>-0.37</v>
      </c>
      <c r="J4794" s="15">
        <v>13.42</v>
      </c>
      <c r="K4794" s="16">
        <f>IF(COUNTIFS(Release_Calendar!$A$2:$A$755,"US_CPI",Release_Calendar!$B$2:$B$755,$A4794)&gt;0,1,0)</f>
        <v>0</v>
      </c>
      <c r="L4794" s="16">
        <f>IF(COUNTIFS(Release_Calendar!$A$2:$A$755,"US_NFP",Release_Calendar!$B$2:$B$755,$A4794)&gt;0,1,0)</f>
        <v>0</v>
      </c>
      <c r="M4794" s="16">
        <f>IF($A4794&lt;Notes!$B$5,"",IF(COUNTIFS(Release_Calendar!$A$2:$A$755,"NZ_CPI",Release_Calendar!$B$2:$B$755,$A4794)&gt;0,1,0))</f>
        <v>0</v>
      </c>
      <c r="N4794" s="16">
        <f>IF($A4794&lt;Notes!$B$5,"",IF(COUNTIFS(Release_Calendar!$A$2:$A$755,"NZ_GDP",Release_Calendar!$B$2:$B$755,$A4794)&gt;0,1,0))</f>
        <v>0</v>
      </c>
      <c r="O4794" s="16">
        <f>IF($A4794&lt;Notes!$B$5,"",IF(COUNTIFS(Release_Calendar!$A$2:$A$755,"NZ_LABOUR",Release_Calendar!$B$2:$B$755,$A4794)&gt;0,1,0))</f>
        <v>0</v>
      </c>
      <c r="P4794" s="16">
        <f t="shared" si="4"/>
        <v>0</v>
      </c>
    </row>
    <row r="4795" ht="15.75" customHeight="1">
      <c r="A4795" s="14">
        <v>43237.0</v>
      </c>
      <c r="B4795" s="15">
        <v>2.57</v>
      </c>
      <c r="C4795" s="15">
        <v>2.23</v>
      </c>
      <c r="D4795" s="15"/>
      <c r="E4795" s="15">
        <v>1.86</v>
      </c>
      <c r="F4795" s="15">
        <f t="shared" si="1"/>
        <v>-0.34</v>
      </c>
      <c r="G4795" s="15">
        <f t="shared" si="2"/>
        <v>2.23</v>
      </c>
      <c r="H4795" s="16">
        <v>0.0</v>
      </c>
      <c r="I4795" s="15">
        <f t="shared" si="3"/>
        <v>-0.34</v>
      </c>
      <c r="J4795" s="15">
        <v>13.43</v>
      </c>
      <c r="K4795" s="16">
        <f>IF(COUNTIFS(Release_Calendar!$A$2:$A$755,"US_CPI",Release_Calendar!$B$2:$B$755,$A4795)&gt;0,1,0)</f>
        <v>0</v>
      </c>
      <c r="L4795" s="16">
        <f>IF(COUNTIFS(Release_Calendar!$A$2:$A$755,"US_NFP",Release_Calendar!$B$2:$B$755,$A4795)&gt;0,1,0)</f>
        <v>0</v>
      </c>
      <c r="M4795" s="16">
        <f>IF($A4795&lt;Notes!$B$5,"",IF(COUNTIFS(Release_Calendar!$A$2:$A$755,"NZ_CPI",Release_Calendar!$B$2:$B$755,$A4795)&gt;0,1,0))</f>
        <v>0</v>
      </c>
      <c r="N4795" s="16">
        <f>IF($A4795&lt;Notes!$B$5,"",IF(COUNTIFS(Release_Calendar!$A$2:$A$755,"NZ_GDP",Release_Calendar!$B$2:$B$755,$A4795)&gt;0,1,0))</f>
        <v>0</v>
      </c>
      <c r="O4795" s="16">
        <f>IF($A4795&lt;Notes!$B$5,"",IF(COUNTIFS(Release_Calendar!$A$2:$A$755,"NZ_LABOUR",Release_Calendar!$B$2:$B$755,$A4795)&gt;0,1,0))</f>
        <v>0</v>
      </c>
      <c r="P4795" s="16">
        <f t="shared" si="4"/>
        <v>0</v>
      </c>
    </row>
    <row r="4796" ht="15.75" customHeight="1">
      <c r="A4796" s="14">
        <v>43238.0</v>
      </c>
      <c r="B4796" s="15">
        <v>2.55</v>
      </c>
      <c r="C4796" s="15">
        <v>2.23</v>
      </c>
      <c r="D4796" s="15"/>
      <c r="E4796" s="15">
        <v>1.86</v>
      </c>
      <c r="F4796" s="15">
        <f t="shared" si="1"/>
        <v>-0.32</v>
      </c>
      <c r="G4796" s="15">
        <f t="shared" si="2"/>
        <v>2.23</v>
      </c>
      <c r="H4796" s="16">
        <v>0.0</v>
      </c>
      <c r="I4796" s="15">
        <f t="shared" si="3"/>
        <v>-0.32</v>
      </c>
      <c r="J4796" s="15">
        <v>13.42</v>
      </c>
      <c r="K4796" s="16">
        <f>IF(COUNTIFS(Release_Calendar!$A$2:$A$755,"US_CPI",Release_Calendar!$B$2:$B$755,$A4796)&gt;0,1,0)</f>
        <v>0</v>
      </c>
      <c r="L4796" s="16">
        <f>IF(COUNTIFS(Release_Calendar!$A$2:$A$755,"US_NFP",Release_Calendar!$B$2:$B$755,$A4796)&gt;0,1,0)</f>
        <v>0</v>
      </c>
      <c r="M4796" s="16">
        <f>IF($A4796&lt;Notes!$B$5,"",IF(COUNTIFS(Release_Calendar!$A$2:$A$755,"NZ_CPI",Release_Calendar!$B$2:$B$755,$A4796)&gt;0,1,0))</f>
        <v>0</v>
      </c>
      <c r="N4796" s="16">
        <f>IF($A4796&lt;Notes!$B$5,"",IF(COUNTIFS(Release_Calendar!$A$2:$A$755,"NZ_GDP",Release_Calendar!$B$2:$B$755,$A4796)&gt;0,1,0))</f>
        <v>0</v>
      </c>
      <c r="O4796" s="16">
        <f>IF($A4796&lt;Notes!$B$5,"",IF(COUNTIFS(Release_Calendar!$A$2:$A$755,"NZ_LABOUR",Release_Calendar!$B$2:$B$755,$A4796)&gt;0,1,0))</f>
        <v>0</v>
      </c>
      <c r="P4796" s="16">
        <f t="shared" si="4"/>
        <v>0</v>
      </c>
    </row>
    <row r="4797" ht="15.75" customHeight="1">
      <c r="A4797" s="14">
        <v>43241.0</v>
      </c>
      <c r="B4797" s="15">
        <v>2.58</v>
      </c>
      <c r="C4797" s="15">
        <v>2.21</v>
      </c>
      <c r="D4797" s="15"/>
      <c r="E4797" s="15">
        <v>1.85</v>
      </c>
      <c r="F4797" s="15">
        <f t="shared" si="1"/>
        <v>-0.37</v>
      </c>
      <c r="G4797" s="15">
        <f t="shared" si="2"/>
        <v>2.21</v>
      </c>
      <c r="H4797" s="16">
        <v>0.0</v>
      </c>
      <c r="I4797" s="15">
        <f t="shared" si="3"/>
        <v>-0.37</v>
      </c>
      <c r="J4797" s="15">
        <v>13.08</v>
      </c>
      <c r="K4797" s="16">
        <f>IF(COUNTIFS(Release_Calendar!$A$2:$A$755,"US_CPI",Release_Calendar!$B$2:$B$755,$A4797)&gt;0,1,0)</f>
        <v>0</v>
      </c>
      <c r="L4797" s="16">
        <f>IF(COUNTIFS(Release_Calendar!$A$2:$A$755,"US_NFP",Release_Calendar!$B$2:$B$755,$A4797)&gt;0,1,0)</f>
        <v>0</v>
      </c>
      <c r="M4797" s="16">
        <f>IF($A4797&lt;Notes!$B$5,"",IF(COUNTIFS(Release_Calendar!$A$2:$A$755,"NZ_CPI",Release_Calendar!$B$2:$B$755,$A4797)&gt;0,1,0))</f>
        <v>0</v>
      </c>
      <c r="N4797" s="16">
        <f>IF($A4797&lt;Notes!$B$5,"",IF(COUNTIFS(Release_Calendar!$A$2:$A$755,"NZ_GDP",Release_Calendar!$B$2:$B$755,$A4797)&gt;0,1,0))</f>
        <v>0</v>
      </c>
      <c r="O4797" s="16">
        <f>IF($A4797&lt;Notes!$B$5,"",IF(COUNTIFS(Release_Calendar!$A$2:$A$755,"NZ_LABOUR",Release_Calendar!$B$2:$B$755,$A4797)&gt;0,1,0))</f>
        <v>0</v>
      </c>
      <c r="P4797" s="16">
        <f t="shared" si="4"/>
        <v>0</v>
      </c>
    </row>
    <row r="4798" ht="15.75" customHeight="1">
      <c r="A4798" s="14">
        <v>43242.0</v>
      </c>
      <c r="B4798" s="15">
        <v>2.59</v>
      </c>
      <c r="C4798" s="15">
        <v>2.21</v>
      </c>
      <c r="D4798" s="15"/>
      <c r="E4798" s="15">
        <v>1.84</v>
      </c>
      <c r="F4798" s="15">
        <f t="shared" si="1"/>
        <v>-0.38</v>
      </c>
      <c r="G4798" s="15">
        <f t="shared" si="2"/>
        <v>2.21</v>
      </c>
      <c r="H4798" s="16">
        <v>0.0</v>
      </c>
      <c r="I4798" s="15">
        <f t="shared" si="3"/>
        <v>-0.38</v>
      </c>
      <c r="J4798" s="15">
        <v>13.22</v>
      </c>
      <c r="K4798" s="16">
        <f>IF(COUNTIFS(Release_Calendar!$A$2:$A$755,"US_CPI",Release_Calendar!$B$2:$B$755,$A4798)&gt;0,1,0)</f>
        <v>0</v>
      </c>
      <c r="L4798" s="16">
        <f>IF(COUNTIFS(Release_Calendar!$A$2:$A$755,"US_NFP",Release_Calendar!$B$2:$B$755,$A4798)&gt;0,1,0)</f>
        <v>0</v>
      </c>
      <c r="M4798" s="16">
        <f>IF($A4798&lt;Notes!$B$5,"",IF(COUNTIFS(Release_Calendar!$A$2:$A$755,"NZ_CPI",Release_Calendar!$B$2:$B$755,$A4798)&gt;0,1,0))</f>
        <v>0</v>
      </c>
      <c r="N4798" s="16">
        <f>IF($A4798&lt;Notes!$B$5,"",IF(COUNTIFS(Release_Calendar!$A$2:$A$755,"NZ_GDP",Release_Calendar!$B$2:$B$755,$A4798)&gt;0,1,0))</f>
        <v>0</v>
      </c>
      <c r="O4798" s="16">
        <f>IF($A4798&lt;Notes!$B$5,"",IF(COUNTIFS(Release_Calendar!$A$2:$A$755,"NZ_LABOUR",Release_Calendar!$B$2:$B$755,$A4798)&gt;0,1,0))</f>
        <v>0</v>
      </c>
      <c r="P4798" s="16">
        <f t="shared" si="4"/>
        <v>0</v>
      </c>
    </row>
    <row r="4799" ht="15.75" customHeight="1">
      <c r="A4799" s="14">
        <v>43243.0</v>
      </c>
      <c r="B4799" s="15">
        <v>2.53</v>
      </c>
      <c r="C4799" s="15">
        <v>2.19</v>
      </c>
      <c r="D4799" s="15"/>
      <c r="E4799" s="15">
        <v>1.84</v>
      </c>
      <c r="F4799" s="15">
        <f t="shared" si="1"/>
        <v>-0.34</v>
      </c>
      <c r="G4799" s="15">
        <f t="shared" si="2"/>
        <v>2.19</v>
      </c>
      <c r="H4799" s="16">
        <v>0.0</v>
      </c>
      <c r="I4799" s="15">
        <f t="shared" si="3"/>
        <v>-0.34</v>
      </c>
      <c r="J4799" s="15">
        <v>12.58</v>
      </c>
      <c r="K4799" s="16">
        <f>IF(COUNTIFS(Release_Calendar!$A$2:$A$755,"US_CPI",Release_Calendar!$B$2:$B$755,$A4799)&gt;0,1,0)</f>
        <v>0</v>
      </c>
      <c r="L4799" s="16">
        <f>IF(COUNTIFS(Release_Calendar!$A$2:$A$755,"US_NFP",Release_Calendar!$B$2:$B$755,$A4799)&gt;0,1,0)</f>
        <v>0</v>
      </c>
      <c r="M4799" s="16">
        <f>IF($A4799&lt;Notes!$B$5,"",IF(COUNTIFS(Release_Calendar!$A$2:$A$755,"NZ_CPI",Release_Calendar!$B$2:$B$755,$A4799)&gt;0,1,0))</f>
        <v>0</v>
      </c>
      <c r="N4799" s="16">
        <f>IF($A4799&lt;Notes!$B$5,"",IF(COUNTIFS(Release_Calendar!$A$2:$A$755,"NZ_GDP",Release_Calendar!$B$2:$B$755,$A4799)&gt;0,1,0))</f>
        <v>0</v>
      </c>
      <c r="O4799" s="16">
        <f>IF($A4799&lt;Notes!$B$5,"",IF(COUNTIFS(Release_Calendar!$A$2:$A$755,"NZ_LABOUR",Release_Calendar!$B$2:$B$755,$A4799)&gt;0,1,0))</f>
        <v>0</v>
      </c>
      <c r="P4799" s="16">
        <f t="shared" si="4"/>
        <v>0</v>
      </c>
    </row>
    <row r="4800" ht="15.75" customHeight="1">
      <c r="A4800" s="14">
        <v>43244.0</v>
      </c>
      <c r="B4800" s="15">
        <v>2.5</v>
      </c>
      <c r="C4800" s="15">
        <v>2.19</v>
      </c>
      <c r="D4800" s="15"/>
      <c r="E4800" s="15">
        <v>1.85</v>
      </c>
      <c r="F4800" s="15">
        <f t="shared" si="1"/>
        <v>-0.31</v>
      </c>
      <c r="G4800" s="15">
        <f t="shared" si="2"/>
        <v>2.19</v>
      </c>
      <c r="H4800" s="16">
        <v>0.0</v>
      </c>
      <c r="I4800" s="15">
        <f t="shared" si="3"/>
        <v>-0.31</v>
      </c>
      <c r="J4800" s="15">
        <v>12.53</v>
      </c>
      <c r="K4800" s="16">
        <f>IF(COUNTIFS(Release_Calendar!$A$2:$A$755,"US_CPI",Release_Calendar!$B$2:$B$755,$A4800)&gt;0,1,0)</f>
        <v>0</v>
      </c>
      <c r="L4800" s="16">
        <f>IF(COUNTIFS(Release_Calendar!$A$2:$A$755,"US_NFP",Release_Calendar!$B$2:$B$755,$A4800)&gt;0,1,0)</f>
        <v>0</v>
      </c>
      <c r="M4800" s="16">
        <f>IF($A4800&lt;Notes!$B$5,"",IF(COUNTIFS(Release_Calendar!$A$2:$A$755,"NZ_CPI",Release_Calendar!$B$2:$B$755,$A4800)&gt;0,1,0))</f>
        <v>0</v>
      </c>
      <c r="N4800" s="16">
        <f>IF($A4800&lt;Notes!$B$5,"",IF(COUNTIFS(Release_Calendar!$A$2:$A$755,"NZ_GDP",Release_Calendar!$B$2:$B$755,$A4800)&gt;0,1,0))</f>
        <v>0</v>
      </c>
      <c r="O4800" s="16">
        <f>IF($A4800&lt;Notes!$B$5,"",IF(COUNTIFS(Release_Calendar!$A$2:$A$755,"NZ_LABOUR",Release_Calendar!$B$2:$B$755,$A4800)&gt;0,1,0))</f>
        <v>0</v>
      </c>
      <c r="P4800" s="16">
        <f t="shared" si="4"/>
        <v>0</v>
      </c>
    </row>
    <row r="4801" ht="15.75" customHeight="1">
      <c r="A4801" s="14">
        <v>43245.0</v>
      </c>
      <c r="B4801" s="15">
        <v>2.48</v>
      </c>
      <c r="C4801" s="15">
        <v>2.2</v>
      </c>
      <c r="D4801" s="15"/>
      <c r="E4801" s="15">
        <v>1.86</v>
      </c>
      <c r="F4801" s="15">
        <f t="shared" si="1"/>
        <v>-0.28</v>
      </c>
      <c r="G4801" s="15">
        <f t="shared" si="2"/>
        <v>2.2</v>
      </c>
      <c r="H4801" s="16">
        <v>0.0</v>
      </c>
      <c r="I4801" s="15">
        <f t="shared" si="3"/>
        <v>-0.28</v>
      </c>
      <c r="J4801" s="15">
        <v>13.22</v>
      </c>
      <c r="K4801" s="16">
        <f>IF(COUNTIFS(Release_Calendar!$A$2:$A$755,"US_CPI",Release_Calendar!$B$2:$B$755,$A4801)&gt;0,1,0)</f>
        <v>0</v>
      </c>
      <c r="L4801" s="16">
        <f>IF(COUNTIFS(Release_Calendar!$A$2:$A$755,"US_NFP",Release_Calendar!$B$2:$B$755,$A4801)&gt;0,1,0)</f>
        <v>0</v>
      </c>
      <c r="M4801" s="16">
        <f>IF($A4801&lt;Notes!$B$5,"",IF(COUNTIFS(Release_Calendar!$A$2:$A$755,"NZ_CPI",Release_Calendar!$B$2:$B$755,$A4801)&gt;0,1,0))</f>
        <v>0</v>
      </c>
      <c r="N4801" s="16">
        <f>IF($A4801&lt;Notes!$B$5,"",IF(COUNTIFS(Release_Calendar!$A$2:$A$755,"NZ_GDP",Release_Calendar!$B$2:$B$755,$A4801)&gt;0,1,0))</f>
        <v>0</v>
      </c>
      <c r="O4801" s="16">
        <f>IF($A4801&lt;Notes!$B$5,"",IF(COUNTIFS(Release_Calendar!$A$2:$A$755,"NZ_LABOUR",Release_Calendar!$B$2:$B$755,$A4801)&gt;0,1,0))</f>
        <v>0</v>
      </c>
      <c r="P4801" s="16">
        <f t="shared" si="4"/>
        <v>0</v>
      </c>
    </row>
    <row r="4802" ht="15.75" customHeight="1">
      <c r="A4802" s="14">
        <v>43248.0</v>
      </c>
      <c r="B4802" s="15"/>
      <c r="C4802" s="15">
        <v>2.2</v>
      </c>
      <c r="D4802" s="15"/>
      <c r="E4802" s="15">
        <v>1.85</v>
      </c>
      <c r="F4802" s="15" t="str">
        <f t="shared" si="1"/>
        <v/>
      </c>
      <c r="G4802" s="15">
        <f t="shared" si="2"/>
        <v>2.2</v>
      </c>
      <c r="H4802" s="16">
        <v>0.0</v>
      </c>
      <c r="I4802" s="15" t="str">
        <f t="shared" si="3"/>
        <v/>
      </c>
      <c r="J4802" s="15"/>
      <c r="K4802" s="16">
        <f>IF(COUNTIFS(Release_Calendar!$A$2:$A$755,"US_CPI",Release_Calendar!$B$2:$B$755,$A4802)&gt;0,1,0)</f>
        <v>0</v>
      </c>
      <c r="L4802" s="16">
        <f>IF(COUNTIFS(Release_Calendar!$A$2:$A$755,"US_NFP",Release_Calendar!$B$2:$B$755,$A4802)&gt;0,1,0)</f>
        <v>0</v>
      </c>
      <c r="M4802" s="16">
        <f>IF($A4802&lt;Notes!$B$5,"",IF(COUNTIFS(Release_Calendar!$A$2:$A$755,"NZ_CPI",Release_Calendar!$B$2:$B$755,$A4802)&gt;0,1,0))</f>
        <v>0</v>
      </c>
      <c r="N4802" s="16">
        <f>IF($A4802&lt;Notes!$B$5,"",IF(COUNTIFS(Release_Calendar!$A$2:$A$755,"NZ_GDP",Release_Calendar!$B$2:$B$755,$A4802)&gt;0,1,0))</f>
        <v>0</v>
      </c>
      <c r="O4802" s="16">
        <f>IF($A4802&lt;Notes!$B$5,"",IF(COUNTIFS(Release_Calendar!$A$2:$A$755,"NZ_LABOUR",Release_Calendar!$B$2:$B$755,$A4802)&gt;0,1,0))</f>
        <v>0</v>
      </c>
      <c r="P4802" s="16">
        <f t="shared" si="4"/>
        <v>0</v>
      </c>
    </row>
    <row r="4803" ht="15.75" customHeight="1">
      <c r="A4803" s="14">
        <v>43249.0</v>
      </c>
      <c r="B4803" s="15">
        <v>2.32</v>
      </c>
      <c r="C4803" s="15">
        <v>2.2</v>
      </c>
      <c r="D4803" s="15"/>
      <c r="E4803" s="15">
        <v>1.88</v>
      </c>
      <c r="F4803" s="15">
        <f t="shared" si="1"/>
        <v>-0.12</v>
      </c>
      <c r="G4803" s="15">
        <f t="shared" si="2"/>
        <v>2.2</v>
      </c>
      <c r="H4803" s="16">
        <v>0.0</v>
      </c>
      <c r="I4803" s="15">
        <f t="shared" si="3"/>
        <v>-0.12</v>
      </c>
      <c r="J4803" s="15">
        <v>17.02</v>
      </c>
      <c r="K4803" s="16">
        <f>IF(COUNTIFS(Release_Calendar!$A$2:$A$755,"US_CPI",Release_Calendar!$B$2:$B$755,$A4803)&gt;0,1,0)</f>
        <v>0</v>
      </c>
      <c r="L4803" s="16">
        <f>IF(COUNTIFS(Release_Calendar!$A$2:$A$755,"US_NFP",Release_Calendar!$B$2:$B$755,$A4803)&gt;0,1,0)</f>
        <v>0</v>
      </c>
      <c r="M4803" s="16">
        <f>IF($A4803&lt;Notes!$B$5,"",IF(COUNTIFS(Release_Calendar!$A$2:$A$755,"NZ_CPI",Release_Calendar!$B$2:$B$755,$A4803)&gt;0,1,0))</f>
        <v>0</v>
      </c>
      <c r="N4803" s="16">
        <f>IF($A4803&lt;Notes!$B$5,"",IF(COUNTIFS(Release_Calendar!$A$2:$A$755,"NZ_GDP",Release_Calendar!$B$2:$B$755,$A4803)&gt;0,1,0))</f>
        <v>0</v>
      </c>
      <c r="O4803" s="16">
        <f>IF($A4803&lt;Notes!$B$5,"",IF(COUNTIFS(Release_Calendar!$A$2:$A$755,"NZ_LABOUR",Release_Calendar!$B$2:$B$755,$A4803)&gt;0,1,0))</f>
        <v>0</v>
      </c>
      <c r="P4803" s="16">
        <f t="shared" si="4"/>
        <v>0</v>
      </c>
    </row>
    <row r="4804" ht="15.75" customHeight="1">
      <c r="A4804" s="14">
        <v>43250.0</v>
      </c>
      <c r="B4804" s="15">
        <v>2.42</v>
      </c>
      <c r="C4804" s="15">
        <v>2.2</v>
      </c>
      <c r="D4804" s="15"/>
      <c r="E4804" s="15">
        <v>1.86</v>
      </c>
      <c r="F4804" s="15">
        <f t="shared" si="1"/>
        <v>-0.22</v>
      </c>
      <c r="G4804" s="15">
        <f t="shared" si="2"/>
        <v>2.2</v>
      </c>
      <c r="H4804" s="16">
        <v>0.0</v>
      </c>
      <c r="I4804" s="15">
        <f t="shared" si="3"/>
        <v>-0.22</v>
      </c>
      <c r="J4804" s="15">
        <v>14.94</v>
      </c>
      <c r="K4804" s="16">
        <f>IF(COUNTIFS(Release_Calendar!$A$2:$A$755,"US_CPI",Release_Calendar!$B$2:$B$755,$A4804)&gt;0,1,0)</f>
        <v>0</v>
      </c>
      <c r="L4804" s="16">
        <f>IF(COUNTIFS(Release_Calendar!$A$2:$A$755,"US_NFP",Release_Calendar!$B$2:$B$755,$A4804)&gt;0,1,0)</f>
        <v>0</v>
      </c>
      <c r="M4804" s="16">
        <f>IF($A4804&lt;Notes!$B$5,"",IF(COUNTIFS(Release_Calendar!$A$2:$A$755,"NZ_CPI",Release_Calendar!$B$2:$B$755,$A4804)&gt;0,1,0))</f>
        <v>0</v>
      </c>
      <c r="N4804" s="16">
        <f>IF($A4804&lt;Notes!$B$5,"",IF(COUNTIFS(Release_Calendar!$A$2:$A$755,"NZ_GDP",Release_Calendar!$B$2:$B$755,$A4804)&gt;0,1,0))</f>
        <v>0</v>
      </c>
      <c r="O4804" s="16">
        <f>IF($A4804&lt;Notes!$B$5,"",IF(COUNTIFS(Release_Calendar!$A$2:$A$755,"NZ_LABOUR",Release_Calendar!$B$2:$B$755,$A4804)&gt;0,1,0))</f>
        <v>0</v>
      </c>
      <c r="P4804" s="16">
        <f t="shared" si="4"/>
        <v>0</v>
      </c>
    </row>
    <row r="4805" ht="15.75" customHeight="1">
      <c r="A4805" s="14">
        <v>43251.0</v>
      </c>
      <c r="B4805" s="15">
        <v>2.4</v>
      </c>
      <c r="C4805" s="15">
        <v>2.21</v>
      </c>
      <c r="D4805" s="15"/>
      <c r="E4805" s="15">
        <v>1.85</v>
      </c>
      <c r="F4805" s="15">
        <f t="shared" si="1"/>
        <v>-0.19</v>
      </c>
      <c r="G4805" s="15">
        <f t="shared" si="2"/>
        <v>2.21</v>
      </c>
      <c r="H4805" s="16">
        <v>0.0</v>
      </c>
      <c r="I4805" s="15">
        <f t="shared" si="3"/>
        <v>-0.19</v>
      </c>
      <c r="J4805" s="15">
        <v>15.43</v>
      </c>
      <c r="K4805" s="16">
        <f>IF(COUNTIFS(Release_Calendar!$A$2:$A$755,"US_CPI",Release_Calendar!$B$2:$B$755,$A4805)&gt;0,1,0)</f>
        <v>0</v>
      </c>
      <c r="L4805" s="16">
        <f>IF(COUNTIFS(Release_Calendar!$A$2:$A$755,"US_NFP",Release_Calendar!$B$2:$B$755,$A4805)&gt;0,1,0)</f>
        <v>0</v>
      </c>
      <c r="M4805" s="16">
        <f>IF($A4805&lt;Notes!$B$5,"",IF(COUNTIFS(Release_Calendar!$A$2:$A$755,"NZ_CPI",Release_Calendar!$B$2:$B$755,$A4805)&gt;0,1,0))</f>
        <v>0</v>
      </c>
      <c r="N4805" s="16">
        <f>IF($A4805&lt;Notes!$B$5,"",IF(COUNTIFS(Release_Calendar!$A$2:$A$755,"NZ_GDP",Release_Calendar!$B$2:$B$755,$A4805)&gt;0,1,0))</f>
        <v>0</v>
      </c>
      <c r="O4805" s="16">
        <f>IF($A4805&lt;Notes!$B$5,"",IF(COUNTIFS(Release_Calendar!$A$2:$A$755,"NZ_LABOUR",Release_Calendar!$B$2:$B$755,$A4805)&gt;0,1,0))</f>
        <v>0</v>
      </c>
      <c r="P4805" s="16">
        <f t="shared" si="4"/>
        <v>0</v>
      </c>
    </row>
    <row r="4806" ht="15.75" customHeight="1">
      <c r="A4806" s="14">
        <v>43252.0</v>
      </c>
      <c r="B4806" s="15">
        <v>2.47</v>
      </c>
      <c r="C4806" s="15">
        <v>2.22</v>
      </c>
      <c r="D4806" s="15"/>
      <c r="E4806" s="15">
        <v>1.87</v>
      </c>
      <c r="F4806" s="15">
        <f t="shared" si="1"/>
        <v>-0.25</v>
      </c>
      <c r="G4806" s="15">
        <f t="shared" si="2"/>
        <v>2.22</v>
      </c>
      <c r="H4806" s="16">
        <v>0.0</v>
      </c>
      <c r="I4806" s="15">
        <f t="shared" si="3"/>
        <v>-0.25</v>
      </c>
      <c r="J4806" s="15">
        <v>13.46</v>
      </c>
      <c r="K4806" s="16">
        <f>IF(COUNTIFS(Release_Calendar!$A$2:$A$755,"US_CPI",Release_Calendar!$B$2:$B$755,$A4806)&gt;0,1,0)</f>
        <v>0</v>
      </c>
      <c r="L4806" s="16">
        <f>IF(COUNTIFS(Release_Calendar!$A$2:$A$755,"US_NFP",Release_Calendar!$B$2:$B$755,$A4806)&gt;0,1,0)</f>
        <v>1</v>
      </c>
      <c r="M4806" s="16">
        <f>IF($A4806&lt;Notes!$B$5,"",IF(COUNTIFS(Release_Calendar!$A$2:$A$755,"NZ_CPI",Release_Calendar!$B$2:$B$755,$A4806)&gt;0,1,0))</f>
        <v>0</v>
      </c>
      <c r="N4806" s="16">
        <f>IF($A4806&lt;Notes!$B$5,"",IF(COUNTIFS(Release_Calendar!$A$2:$A$755,"NZ_GDP",Release_Calendar!$B$2:$B$755,$A4806)&gt;0,1,0))</f>
        <v>0</v>
      </c>
      <c r="O4806" s="16">
        <f>IF($A4806&lt;Notes!$B$5,"",IF(COUNTIFS(Release_Calendar!$A$2:$A$755,"NZ_LABOUR",Release_Calendar!$B$2:$B$755,$A4806)&gt;0,1,0))</f>
        <v>0</v>
      </c>
      <c r="P4806" s="16">
        <f t="shared" si="4"/>
        <v>1</v>
      </c>
    </row>
    <row r="4807" ht="15.75" customHeight="1">
      <c r="A4807" s="14">
        <v>43255.0</v>
      </c>
      <c r="B4807" s="15">
        <v>2.52</v>
      </c>
      <c r="C4807" s="15"/>
      <c r="D4807" s="15"/>
      <c r="E4807" s="15"/>
      <c r="F4807" s="15" t="str">
        <f t="shared" si="1"/>
        <v/>
      </c>
      <c r="G4807" s="15" t="str">
        <f t="shared" si="2"/>
        <v/>
      </c>
      <c r="H4807" s="16">
        <v>0.0</v>
      </c>
      <c r="I4807" s="15" t="str">
        <f t="shared" si="3"/>
        <v/>
      </c>
      <c r="J4807" s="15">
        <v>12.74</v>
      </c>
      <c r="K4807" s="16">
        <f>IF(COUNTIFS(Release_Calendar!$A$2:$A$755,"US_CPI",Release_Calendar!$B$2:$B$755,$A4807)&gt;0,1,0)</f>
        <v>0</v>
      </c>
      <c r="L4807" s="16">
        <f>IF(COUNTIFS(Release_Calendar!$A$2:$A$755,"US_NFP",Release_Calendar!$B$2:$B$755,$A4807)&gt;0,1,0)</f>
        <v>0</v>
      </c>
      <c r="M4807" s="16">
        <f>IF($A4807&lt;Notes!$B$5,"",IF(COUNTIFS(Release_Calendar!$A$2:$A$755,"NZ_CPI",Release_Calendar!$B$2:$B$755,$A4807)&gt;0,1,0))</f>
        <v>0</v>
      </c>
      <c r="N4807" s="16">
        <f>IF($A4807&lt;Notes!$B$5,"",IF(COUNTIFS(Release_Calendar!$A$2:$A$755,"NZ_GDP",Release_Calendar!$B$2:$B$755,$A4807)&gt;0,1,0))</f>
        <v>0</v>
      </c>
      <c r="O4807" s="16">
        <f>IF($A4807&lt;Notes!$B$5,"",IF(COUNTIFS(Release_Calendar!$A$2:$A$755,"NZ_LABOUR",Release_Calendar!$B$2:$B$755,$A4807)&gt;0,1,0))</f>
        <v>0</v>
      </c>
      <c r="P4807" s="16">
        <f t="shared" si="4"/>
        <v>0</v>
      </c>
    </row>
    <row r="4808" ht="15.75" customHeight="1">
      <c r="A4808" s="14">
        <v>43256.0</v>
      </c>
      <c r="B4808" s="15">
        <v>2.49</v>
      </c>
      <c r="C4808" s="15">
        <v>2.22</v>
      </c>
      <c r="D4808" s="15"/>
      <c r="E4808" s="15">
        <v>1.87</v>
      </c>
      <c r="F4808" s="15">
        <f t="shared" si="1"/>
        <v>-0.27</v>
      </c>
      <c r="G4808" s="15">
        <f t="shared" si="2"/>
        <v>2.22</v>
      </c>
      <c r="H4808" s="16">
        <v>0.0</v>
      </c>
      <c r="I4808" s="15">
        <f t="shared" si="3"/>
        <v>-0.27</v>
      </c>
      <c r="J4808" s="15">
        <v>12.4</v>
      </c>
      <c r="K4808" s="16">
        <f>IF(COUNTIFS(Release_Calendar!$A$2:$A$755,"US_CPI",Release_Calendar!$B$2:$B$755,$A4808)&gt;0,1,0)</f>
        <v>0</v>
      </c>
      <c r="L4808" s="16">
        <f>IF(COUNTIFS(Release_Calendar!$A$2:$A$755,"US_NFP",Release_Calendar!$B$2:$B$755,$A4808)&gt;0,1,0)</f>
        <v>0</v>
      </c>
      <c r="M4808" s="16">
        <f>IF($A4808&lt;Notes!$B$5,"",IF(COUNTIFS(Release_Calendar!$A$2:$A$755,"NZ_CPI",Release_Calendar!$B$2:$B$755,$A4808)&gt;0,1,0))</f>
        <v>0</v>
      </c>
      <c r="N4808" s="16">
        <f>IF($A4808&lt;Notes!$B$5,"",IF(COUNTIFS(Release_Calendar!$A$2:$A$755,"NZ_GDP",Release_Calendar!$B$2:$B$755,$A4808)&gt;0,1,0))</f>
        <v>0</v>
      </c>
      <c r="O4808" s="16">
        <f>IF($A4808&lt;Notes!$B$5,"",IF(COUNTIFS(Release_Calendar!$A$2:$A$755,"NZ_LABOUR",Release_Calendar!$B$2:$B$755,$A4808)&gt;0,1,0))</f>
        <v>0</v>
      </c>
      <c r="P4808" s="16">
        <f t="shared" si="4"/>
        <v>0</v>
      </c>
    </row>
    <row r="4809" ht="15.75" customHeight="1">
      <c r="A4809" s="14">
        <v>43257.0</v>
      </c>
      <c r="B4809" s="15">
        <v>2.52</v>
      </c>
      <c r="C4809" s="15">
        <v>2.22</v>
      </c>
      <c r="D4809" s="15"/>
      <c r="E4809" s="15">
        <v>1.88</v>
      </c>
      <c r="F4809" s="15">
        <f t="shared" si="1"/>
        <v>-0.3</v>
      </c>
      <c r="G4809" s="15">
        <f t="shared" si="2"/>
        <v>2.22</v>
      </c>
      <c r="H4809" s="16">
        <v>0.0</v>
      </c>
      <c r="I4809" s="15">
        <f t="shared" si="3"/>
        <v>-0.3</v>
      </c>
      <c r="J4809" s="15">
        <v>11.64</v>
      </c>
      <c r="K4809" s="16">
        <f>IF(COUNTIFS(Release_Calendar!$A$2:$A$755,"US_CPI",Release_Calendar!$B$2:$B$755,$A4809)&gt;0,1,0)</f>
        <v>0</v>
      </c>
      <c r="L4809" s="16">
        <f>IF(COUNTIFS(Release_Calendar!$A$2:$A$755,"US_NFP",Release_Calendar!$B$2:$B$755,$A4809)&gt;0,1,0)</f>
        <v>0</v>
      </c>
      <c r="M4809" s="16">
        <f>IF($A4809&lt;Notes!$B$5,"",IF(COUNTIFS(Release_Calendar!$A$2:$A$755,"NZ_CPI",Release_Calendar!$B$2:$B$755,$A4809)&gt;0,1,0))</f>
        <v>0</v>
      </c>
      <c r="N4809" s="16">
        <f>IF($A4809&lt;Notes!$B$5,"",IF(COUNTIFS(Release_Calendar!$A$2:$A$755,"NZ_GDP",Release_Calendar!$B$2:$B$755,$A4809)&gt;0,1,0))</f>
        <v>0</v>
      </c>
      <c r="O4809" s="16">
        <f>IF($A4809&lt;Notes!$B$5,"",IF(COUNTIFS(Release_Calendar!$A$2:$A$755,"NZ_LABOUR",Release_Calendar!$B$2:$B$755,$A4809)&gt;0,1,0))</f>
        <v>0</v>
      </c>
      <c r="P4809" s="16">
        <f t="shared" si="4"/>
        <v>0</v>
      </c>
    </row>
    <row r="4810" ht="15.75" customHeight="1">
      <c r="A4810" s="14">
        <v>43258.0</v>
      </c>
      <c r="B4810" s="15">
        <v>2.5</v>
      </c>
      <c r="C4810" s="15">
        <v>2.24</v>
      </c>
      <c r="D4810" s="15"/>
      <c r="E4810" s="15">
        <v>1.9</v>
      </c>
      <c r="F4810" s="15">
        <f t="shared" si="1"/>
        <v>-0.26</v>
      </c>
      <c r="G4810" s="15">
        <f t="shared" si="2"/>
        <v>2.24</v>
      </c>
      <c r="H4810" s="16">
        <v>0.0</v>
      </c>
      <c r="I4810" s="15">
        <f t="shared" si="3"/>
        <v>-0.26</v>
      </c>
      <c r="J4810" s="15">
        <v>12.13</v>
      </c>
      <c r="K4810" s="16">
        <f>IF(COUNTIFS(Release_Calendar!$A$2:$A$755,"US_CPI",Release_Calendar!$B$2:$B$755,$A4810)&gt;0,1,0)</f>
        <v>0</v>
      </c>
      <c r="L4810" s="16">
        <f>IF(COUNTIFS(Release_Calendar!$A$2:$A$755,"US_NFP",Release_Calendar!$B$2:$B$755,$A4810)&gt;0,1,0)</f>
        <v>0</v>
      </c>
      <c r="M4810" s="16">
        <f>IF($A4810&lt;Notes!$B$5,"",IF(COUNTIFS(Release_Calendar!$A$2:$A$755,"NZ_CPI",Release_Calendar!$B$2:$B$755,$A4810)&gt;0,1,0))</f>
        <v>0</v>
      </c>
      <c r="N4810" s="16">
        <f>IF($A4810&lt;Notes!$B$5,"",IF(COUNTIFS(Release_Calendar!$A$2:$A$755,"NZ_GDP",Release_Calendar!$B$2:$B$755,$A4810)&gt;0,1,0))</f>
        <v>0</v>
      </c>
      <c r="O4810" s="16">
        <f>IF($A4810&lt;Notes!$B$5,"",IF(COUNTIFS(Release_Calendar!$A$2:$A$755,"NZ_LABOUR",Release_Calendar!$B$2:$B$755,$A4810)&gt;0,1,0))</f>
        <v>0</v>
      </c>
      <c r="P4810" s="16">
        <f t="shared" si="4"/>
        <v>0</v>
      </c>
    </row>
    <row r="4811" ht="15.75" customHeight="1">
      <c r="A4811" s="14">
        <v>43259.0</v>
      </c>
      <c r="B4811" s="15">
        <v>2.5</v>
      </c>
      <c r="C4811" s="15">
        <v>2.23</v>
      </c>
      <c r="D4811" s="15"/>
      <c r="E4811" s="15">
        <v>1.87</v>
      </c>
      <c r="F4811" s="15">
        <f t="shared" si="1"/>
        <v>-0.27</v>
      </c>
      <c r="G4811" s="15">
        <f t="shared" si="2"/>
        <v>2.23</v>
      </c>
      <c r="H4811" s="16">
        <v>0.0</v>
      </c>
      <c r="I4811" s="15">
        <f t="shared" si="3"/>
        <v>-0.27</v>
      </c>
      <c r="J4811" s="15">
        <v>12.18</v>
      </c>
      <c r="K4811" s="16">
        <f>IF(COUNTIFS(Release_Calendar!$A$2:$A$755,"US_CPI",Release_Calendar!$B$2:$B$755,$A4811)&gt;0,1,0)</f>
        <v>0</v>
      </c>
      <c r="L4811" s="16">
        <f>IF(COUNTIFS(Release_Calendar!$A$2:$A$755,"US_NFP",Release_Calendar!$B$2:$B$755,$A4811)&gt;0,1,0)</f>
        <v>0</v>
      </c>
      <c r="M4811" s="16">
        <f>IF($A4811&lt;Notes!$B$5,"",IF(COUNTIFS(Release_Calendar!$A$2:$A$755,"NZ_CPI",Release_Calendar!$B$2:$B$755,$A4811)&gt;0,1,0))</f>
        <v>0</v>
      </c>
      <c r="N4811" s="16">
        <f>IF($A4811&lt;Notes!$B$5,"",IF(COUNTIFS(Release_Calendar!$A$2:$A$755,"NZ_GDP",Release_Calendar!$B$2:$B$755,$A4811)&gt;0,1,0))</f>
        <v>0</v>
      </c>
      <c r="O4811" s="16">
        <f>IF($A4811&lt;Notes!$B$5,"",IF(COUNTIFS(Release_Calendar!$A$2:$A$755,"NZ_LABOUR",Release_Calendar!$B$2:$B$755,$A4811)&gt;0,1,0))</f>
        <v>0</v>
      </c>
      <c r="P4811" s="16">
        <f t="shared" si="4"/>
        <v>0</v>
      </c>
    </row>
    <row r="4812" ht="15.75" customHeight="1">
      <c r="A4812" s="14">
        <v>43262.0</v>
      </c>
      <c r="B4812" s="15">
        <v>2.52</v>
      </c>
      <c r="C4812" s="15">
        <v>2.23</v>
      </c>
      <c r="D4812" s="15"/>
      <c r="E4812" s="15">
        <v>1.89</v>
      </c>
      <c r="F4812" s="15">
        <f t="shared" si="1"/>
        <v>-0.29</v>
      </c>
      <c r="G4812" s="15">
        <f t="shared" si="2"/>
        <v>2.23</v>
      </c>
      <c r="H4812" s="16">
        <v>0.0</v>
      </c>
      <c r="I4812" s="15">
        <f t="shared" si="3"/>
        <v>-0.29</v>
      </c>
      <c r="J4812" s="15">
        <v>12.35</v>
      </c>
      <c r="K4812" s="16">
        <f>IF(COUNTIFS(Release_Calendar!$A$2:$A$755,"US_CPI",Release_Calendar!$B$2:$B$755,$A4812)&gt;0,1,0)</f>
        <v>0</v>
      </c>
      <c r="L4812" s="16">
        <f>IF(COUNTIFS(Release_Calendar!$A$2:$A$755,"US_NFP",Release_Calendar!$B$2:$B$755,$A4812)&gt;0,1,0)</f>
        <v>0</v>
      </c>
      <c r="M4812" s="16">
        <f>IF($A4812&lt;Notes!$B$5,"",IF(COUNTIFS(Release_Calendar!$A$2:$A$755,"NZ_CPI",Release_Calendar!$B$2:$B$755,$A4812)&gt;0,1,0))</f>
        <v>0</v>
      </c>
      <c r="N4812" s="16">
        <f>IF($A4812&lt;Notes!$B$5,"",IF(COUNTIFS(Release_Calendar!$A$2:$A$755,"NZ_GDP",Release_Calendar!$B$2:$B$755,$A4812)&gt;0,1,0))</f>
        <v>0</v>
      </c>
      <c r="O4812" s="16">
        <f>IF($A4812&lt;Notes!$B$5,"",IF(COUNTIFS(Release_Calendar!$A$2:$A$755,"NZ_LABOUR",Release_Calendar!$B$2:$B$755,$A4812)&gt;0,1,0))</f>
        <v>0</v>
      </c>
      <c r="P4812" s="16">
        <f t="shared" si="4"/>
        <v>0</v>
      </c>
    </row>
    <row r="4813" ht="15.75" customHeight="1">
      <c r="A4813" s="14">
        <v>43263.0</v>
      </c>
      <c r="B4813" s="15">
        <v>2.54</v>
      </c>
      <c r="C4813" s="15">
        <v>2.23</v>
      </c>
      <c r="D4813" s="15"/>
      <c r="E4813" s="15">
        <v>1.9</v>
      </c>
      <c r="F4813" s="15">
        <f t="shared" si="1"/>
        <v>-0.31</v>
      </c>
      <c r="G4813" s="15">
        <f t="shared" si="2"/>
        <v>2.23</v>
      </c>
      <c r="H4813" s="16">
        <v>0.0</v>
      </c>
      <c r="I4813" s="15">
        <f t="shared" si="3"/>
        <v>-0.31</v>
      </c>
      <c r="J4813" s="15">
        <v>12.34</v>
      </c>
      <c r="K4813" s="16">
        <f>IF(COUNTIFS(Release_Calendar!$A$2:$A$755,"US_CPI",Release_Calendar!$B$2:$B$755,$A4813)&gt;0,1,0)</f>
        <v>1</v>
      </c>
      <c r="L4813" s="16">
        <f>IF(COUNTIFS(Release_Calendar!$A$2:$A$755,"US_NFP",Release_Calendar!$B$2:$B$755,$A4813)&gt;0,1,0)</f>
        <v>0</v>
      </c>
      <c r="M4813" s="16">
        <f>IF($A4813&lt;Notes!$B$5,"",IF(COUNTIFS(Release_Calendar!$A$2:$A$755,"NZ_CPI",Release_Calendar!$B$2:$B$755,$A4813)&gt;0,1,0))</f>
        <v>0</v>
      </c>
      <c r="N4813" s="16">
        <f>IF($A4813&lt;Notes!$B$5,"",IF(COUNTIFS(Release_Calendar!$A$2:$A$755,"NZ_GDP",Release_Calendar!$B$2:$B$755,$A4813)&gt;0,1,0))</f>
        <v>0</v>
      </c>
      <c r="O4813" s="16">
        <f>IF($A4813&lt;Notes!$B$5,"",IF(COUNTIFS(Release_Calendar!$A$2:$A$755,"NZ_LABOUR",Release_Calendar!$B$2:$B$755,$A4813)&gt;0,1,0))</f>
        <v>0</v>
      </c>
      <c r="P4813" s="16">
        <f t="shared" si="4"/>
        <v>1</v>
      </c>
    </row>
    <row r="4814" ht="15.75" customHeight="1">
      <c r="A4814" s="14">
        <v>43264.0</v>
      </c>
      <c r="B4814" s="15">
        <v>2.59</v>
      </c>
      <c r="C4814" s="15">
        <v>2.24</v>
      </c>
      <c r="D4814" s="15"/>
      <c r="E4814" s="15">
        <v>1.9</v>
      </c>
      <c r="F4814" s="15">
        <f t="shared" si="1"/>
        <v>-0.35</v>
      </c>
      <c r="G4814" s="15">
        <f t="shared" si="2"/>
        <v>2.24</v>
      </c>
      <c r="H4814" s="16">
        <v>0.0</v>
      </c>
      <c r="I4814" s="15">
        <f t="shared" si="3"/>
        <v>-0.35</v>
      </c>
      <c r="J4814" s="15">
        <v>12.94</v>
      </c>
      <c r="K4814" s="16">
        <f>IF(COUNTIFS(Release_Calendar!$A$2:$A$755,"US_CPI",Release_Calendar!$B$2:$B$755,$A4814)&gt;0,1,0)</f>
        <v>0</v>
      </c>
      <c r="L4814" s="16">
        <f>IF(COUNTIFS(Release_Calendar!$A$2:$A$755,"US_NFP",Release_Calendar!$B$2:$B$755,$A4814)&gt;0,1,0)</f>
        <v>0</v>
      </c>
      <c r="M4814" s="16">
        <f>IF($A4814&lt;Notes!$B$5,"",IF(COUNTIFS(Release_Calendar!$A$2:$A$755,"NZ_CPI",Release_Calendar!$B$2:$B$755,$A4814)&gt;0,1,0))</f>
        <v>0</v>
      </c>
      <c r="N4814" s="16">
        <f>IF($A4814&lt;Notes!$B$5,"",IF(COUNTIFS(Release_Calendar!$A$2:$A$755,"NZ_GDP",Release_Calendar!$B$2:$B$755,$A4814)&gt;0,1,0))</f>
        <v>0</v>
      </c>
      <c r="O4814" s="16">
        <f>IF($A4814&lt;Notes!$B$5,"",IF(COUNTIFS(Release_Calendar!$A$2:$A$755,"NZ_LABOUR",Release_Calendar!$B$2:$B$755,$A4814)&gt;0,1,0))</f>
        <v>0</v>
      </c>
      <c r="P4814" s="16">
        <f t="shared" si="4"/>
        <v>0</v>
      </c>
    </row>
    <row r="4815" ht="15.75" customHeight="1">
      <c r="A4815" s="14">
        <v>43265.0</v>
      </c>
      <c r="B4815" s="15">
        <v>2.59</v>
      </c>
      <c r="C4815" s="15">
        <v>2.24</v>
      </c>
      <c r="D4815" s="15"/>
      <c r="E4815" s="15">
        <v>1.89</v>
      </c>
      <c r="F4815" s="15">
        <f t="shared" si="1"/>
        <v>-0.35</v>
      </c>
      <c r="G4815" s="15">
        <f t="shared" si="2"/>
        <v>2.24</v>
      </c>
      <c r="H4815" s="16">
        <v>0.0</v>
      </c>
      <c r="I4815" s="15">
        <f t="shared" si="3"/>
        <v>-0.35</v>
      </c>
      <c r="J4815" s="15">
        <v>12.12</v>
      </c>
      <c r="K4815" s="16">
        <f>IF(COUNTIFS(Release_Calendar!$A$2:$A$755,"US_CPI",Release_Calendar!$B$2:$B$755,$A4815)&gt;0,1,0)</f>
        <v>0</v>
      </c>
      <c r="L4815" s="16">
        <f>IF(COUNTIFS(Release_Calendar!$A$2:$A$755,"US_NFP",Release_Calendar!$B$2:$B$755,$A4815)&gt;0,1,0)</f>
        <v>0</v>
      </c>
      <c r="M4815" s="16">
        <f>IF($A4815&lt;Notes!$B$5,"",IF(COUNTIFS(Release_Calendar!$A$2:$A$755,"NZ_CPI",Release_Calendar!$B$2:$B$755,$A4815)&gt;0,1,0))</f>
        <v>0</v>
      </c>
      <c r="N4815" s="16">
        <f>IF($A4815&lt;Notes!$B$5,"",IF(COUNTIFS(Release_Calendar!$A$2:$A$755,"NZ_GDP",Release_Calendar!$B$2:$B$755,$A4815)&gt;0,1,0))</f>
        <v>0</v>
      </c>
      <c r="O4815" s="16">
        <f>IF($A4815&lt;Notes!$B$5,"",IF(COUNTIFS(Release_Calendar!$A$2:$A$755,"NZ_LABOUR",Release_Calendar!$B$2:$B$755,$A4815)&gt;0,1,0))</f>
        <v>0</v>
      </c>
      <c r="P4815" s="16">
        <f t="shared" si="4"/>
        <v>0</v>
      </c>
    </row>
    <row r="4816" ht="15.75" customHeight="1">
      <c r="A4816" s="14">
        <v>43266.0</v>
      </c>
      <c r="B4816" s="15">
        <v>2.55</v>
      </c>
      <c r="C4816" s="15">
        <v>2.24</v>
      </c>
      <c r="D4816" s="15"/>
      <c r="E4816" s="15">
        <v>1.88</v>
      </c>
      <c r="F4816" s="15">
        <f t="shared" si="1"/>
        <v>-0.31</v>
      </c>
      <c r="G4816" s="15">
        <f t="shared" si="2"/>
        <v>2.24</v>
      </c>
      <c r="H4816" s="16">
        <v>0.0</v>
      </c>
      <c r="I4816" s="15">
        <f t="shared" si="3"/>
        <v>-0.31</v>
      </c>
      <c r="J4816" s="15">
        <v>11.98</v>
      </c>
      <c r="K4816" s="16">
        <f>IF(COUNTIFS(Release_Calendar!$A$2:$A$755,"US_CPI",Release_Calendar!$B$2:$B$755,$A4816)&gt;0,1,0)</f>
        <v>0</v>
      </c>
      <c r="L4816" s="16">
        <f>IF(COUNTIFS(Release_Calendar!$A$2:$A$755,"US_NFP",Release_Calendar!$B$2:$B$755,$A4816)&gt;0,1,0)</f>
        <v>0</v>
      </c>
      <c r="M4816" s="16">
        <f>IF($A4816&lt;Notes!$B$5,"",IF(COUNTIFS(Release_Calendar!$A$2:$A$755,"NZ_CPI",Release_Calendar!$B$2:$B$755,$A4816)&gt;0,1,0))</f>
        <v>0</v>
      </c>
      <c r="N4816" s="16">
        <f>IF($A4816&lt;Notes!$B$5,"",IF(COUNTIFS(Release_Calendar!$A$2:$A$755,"NZ_GDP",Release_Calendar!$B$2:$B$755,$A4816)&gt;0,1,0))</f>
        <v>0</v>
      </c>
      <c r="O4816" s="16">
        <f>IF($A4816&lt;Notes!$B$5,"",IF(COUNTIFS(Release_Calendar!$A$2:$A$755,"NZ_LABOUR",Release_Calendar!$B$2:$B$755,$A4816)&gt;0,1,0))</f>
        <v>0</v>
      </c>
      <c r="P4816" s="16">
        <f t="shared" si="4"/>
        <v>0</v>
      </c>
    </row>
    <row r="4817" ht="15.75" customHeight="1">
      <c r="A4817" s="14">
        <v>43269.0</v>
      </c>
      <c r="B4817" s="15">
        <v>2.56</v>
      </c>
      <c r="C4817" s="15">
        <v>2.23</v>
      </c>
      <c r="D4817" s="15"/>
      <c r="E4817" s="15">
        <v>1.87</v>
      </c>
      <c r="F4817" s="15">
        <f t="shared" si="1"/>
        <v>-0.33</v>
      </c>
      <c r="G4817" s="15">
        <f t="shared" si="2"/>
        <v>2.23</v>
      </c>
      <c r="H4817" s="16">
        <v>0.0</v>
      </c>
      <c r="I4817" s="15">
        <f t="shared" si="3"/>
        <v>-0.33</v>
      </c>
      <c r="J4817" s="15">
        <v>12.31</v>
      </c>
      <c r="K4817" s="16">
        <f>IF(COUNTIFS(Release_Calendar!$A$2:$A$755,"US_CPI",Release_Calendar!$B$2:$B$755,$A4817)&gt;0,1,0)</f>
        <v>0</v>
      </c>
      <c r="L4817" s="16">
        <f>IF(COUNTIFS(Release_Calendar!$A$2:$A$755,"US_NFP",Release_Calendar!$B$2:$B$755,$A4817)&gt;0,1,0)</f>
        <v>0</v>
      </c>
      <c r="M4817" s="16">
        <f>IF($A4817&lt;Notes!$B$5,"",IF(COUNTIFS(Release_Calendar!$A$2:$A$755,"NZ_CPI",Release_Calendar!$B$2:$B$755,$A4817)&gt;0,1,0))</f>
        <v>0</v>
      </c>
      <c r="N4817" s="16">
        <f>IF($A4817&lt;Notes!$B$5,"",IF(COUNTIFS(Release_Calendar!$A$2:$A$755,"NZ_GDP",Release_Calendar!$B$2:$B$755,$A4817)&gt;0,1,0))</f>
        <v>0</v>
      </c>
      <c r="O4817" s="16">
        <f>IF($A4817&lt;Notes!$B$5,"",IF(COUNTIFS(Release_Calendar!$A$2:$A$755,"NZ_LABOUR",Release_Calendar!$B$2:$B$755,$A4817)&gt;0,1,0))</f>
        <v>0</v>
      </c>
      <c r="P4817" s="16">
        <f t="shared" si="4"/>
        <v>0</v>
      </c>
    </row>
    <row r="4818" ht="15.75" customHeight="1">
      <c r="A4818" s="14">
        <v>43270.0</v>
      </c>
      <c r="B4818" s="15">
        <v>2.54</v>
      </c>
      <c r="C4818" s="15">
        <v>2.23</v>
      </c>
      <c r="D4818" s="15"/>
      <c r="E4818" s="15">
        <v>1.87</v>
      </c>
      <c r="F4818" s="15">
        <f t="shared" si="1"/>
        <v>-0.31</v>
      </c>
      <c r="G4818" s="15">
        <f t="shared" si="2"/>
        <v>2.23</v>
      </c>
      <c r="H4818" s="16">
        <v>0.0</v>
      </c>
      <c r="I4818" s="15">
        <f t="shared" si="3"/>
        <v>-0.31</v>
      </c>
      <c r="J4818" s="15">
        <v>13.35</v>
      </c>
      <c r="K4818" s="16">
        <f>IF(COUNTIFS(Release_Calendar!$A$2:$A$755,"US_CPI",Release_Calendar!$B$2:$B$755,$A4818)&gt;0,1,0)</f>
        <v>0</v>
      </c>
      <c r="L4818" s="16">
        <f>IF(COUNTIFS(Release_Calendar!$A$2:$A$755,"US_NFP",Release_Calendar!$B$2:$B$755,$A4818)&gt;0,1,0)</f>
        <v>0</v>
      </c>
      <c r="M4818" s="16">
        <f>IF($A4818&lt;Notes!$B$5,"",IF(COUNTIFS(Release_Calendar!$A$2:$A$755,"NZ_CPI",Release_Calendar!$B$2:$B$755,$A4818)&gt;0,1,0))</f>
        <v>0</v>
      </c>
      <c r="N4818" s="16">
        <f>IF($A4818&lt;Notes!$B$5,"",IF(COUNTIFS(Release_Calendar!$A$2:$A$755,"NZ_GDP",Release_Calendar!$B$2:$B$755,$A4818)&gt;0,1,0))</f>
        <v>0</v>
      </c>
      <c r="O4818" s="16">
        <f>IF($A4818&lt;Notes!$B$5,"",IF(COUNTIFS(Release_Calendar!$A$2:$A$755,"NZ_LABOUR",Release_Calendar!$B$2:$B$755,$A4818)&gt;0,1,0))</f>
        <v>0</v>
      </c>
      <c r="P4818" s="16">
        <f t="shared" si="4"/>
        <v>0</v>
      </c>
    </row>
    <row r="4819" ht="15.75" customHeight="1">
      <c r="A4819" s="14">
        <v>43271.0</v>
      </c>
      <c r="B4819" s="15">
        <v>2.56</v>
      </c>
      <c r="C4819" s="15">
        <v>2.24</v>
      </c>
      <c r="D4819" s="15"/>
      <c r="E4819" s="15">
        <v>1.89</v>
      </c>
      <c r="F4819" s="15">
        <f t="shared" si="1"/>
        <v>-0.32</v>
      </c>
      <c r="G4819" s="15">
        <f t="shared" si="2"/>
        <v>2.24</v>
      </c>
      <c r="H4819" s="16">
        <v>0.0</v>
      </c>
      <c r="I4819" s="15">
        <f t="shared" si="3"/>
        <v>-0.32</v>
      </c>
      <c r="J4819" s="15">
        <v>12.79</v>
      </c>
      <c r="K4819" s="16">
        <f>IF(COUNTIFS(Release_Calendar!$A$2:$A$755,"US_CPI",Release_Calendar!$B$2:$B$755,$A4819)&gt;0,1,0)</f>
        <v>0</v>
      </c>
      <c r="L4819" s="16">
        <f>IF(COUNTIFS(Release_Calendar!$A$2:$A$755,"US_NFP",Release_Calendar!$B$2:$B$755,$A4819)&gt;0,1,0)</f>
        <v>0</v>
      </c>
      <c r="M4819" s="16">
        <f>IF($A4819&lt;Notes!$B$5,"",IF(COUNTIFS(Release_Calendar!$A$2:$A$755,"NZ_CPI",Release_Calendar!$B$2:$B$755,$A4819)&gt;0,1,0))</f>
        <v>0</v>
      </c>
      <c r="N4819" s="16">
        <f>IF($A4819&lt;Notes!$B$5,"",IF(COUNTIFS(Release_Calendar!$A$2:$A$755,"NZ_GDP",Release_Calendar!$B$2:$B$755,$A4819)&gt;0,1,0))</f>
        <v>0</v>
      </c>
      <c r="O4819" s="16">
        <f>IF($A4819&lt;Notes!$B$5,"",IF(COUNTIFS(Release_Calendar!$A$2:$A$755,"NZ_LABOUR",Release_Calendar!$B$2:$B$755,$A4819)&gt;0,1,0))</f>
        <v>0</v>
      </c>
      <c r="P4819" s="16">
        <f t="shared" si="4"/>
        <v>0</v>
      </c>
    </row>
    <row r="4820" ht="15.75" customHeight="1">
      <c r="A4820" s="14">
        <v>43272.0</v>
      </c>
      <c r="B4820" s="15">
        <v>2.56</v>
      </c>
      <c r="C4820" s="15">
        <v>2.25</v>
      </c>
      <c r="D4820" s="15"/>
      <c r="E4820" s="15">
        <v>1.9</v>
      </c>
      <c r="F4820" s="15">
        <f t="shared" si="1"/>
        <v>-0.31</v>
      </c>
      <c r="G4820" s="15">
        <f t="shared" si="2"/>
        <v>2.25</v>
      </c>
      <c r="H4820" s="16">
        <v>0.0</v>
      </c>
      <c r="I4820" s="15">
        <f t="shared" si="3"/>
        <v>-0.31</v>
      </c>
      <c r="J4820" s="15">
        <v>14.64</v>
      </c>
      <c r="K4820" s="16">
        <f>IF(COUNTIFS(Release_Calendar!$A$2:$A$755,"US_CPI",Release_Calendar!$B$2:$B$755,$A4820)&gt;0,1,0)</f>
        <v>0</v>
      </c>
      <c r="L4820" s="16">
        <f>IF(COUNTIFS(Release_Calendar!$A$2:$A$755,"US_NFP",Release_Calendar!$B$2:$B$755,$A4820)&gt;0,1,0)</f>
        <v>0</v>
      </c>
      <c r="M4820" s="16">
        <f>IF($A4820&lt;Notes!$B$5,"",IF(COUNTIFS(Release_Calendar!$A$2:$A$755,"NZ_CPI",Release_Calendar!$B$2:$B$755,$A4820)&gt;0,1,0))</f>
        <v>0</v>
      </c>
      <c r="N4820" s="16">
        <f>IF($A4820&lt;Notes!$B$5,"",IF(COUNTIFS(Release_Calendar!$A$2:$A$755,"NZ_GDP",Release_Calendar!$B$2:$B$755,$A4820)&gt;0,1,0))</f>
        <v>1</v>
      </c>
      <c r="O4820" s="16">
        <f>IF($A4820&lt;Notes!$B$5,"",IF(COUNTIFS(Release_Calendar!$A$2:$A$755,"NZ_LABOUR",Release_Calendar!$B$2:$B$755,$A4820)&gt;0,1,0))</f>
        <v>0</v>
      </c>
      <c r="P4820" s="16">
        <f t="shared" si="4"/>
        <v>1</v>
      </c>
    </row>
    <row r="4821" ht="15.75" customHeight="1">
      <c r="A4821" s="14">
        <v>43273.0</v>
      </c>
      <c r="B4821" s="15">
        <v>2.56</v>
      </c>
      <c r="C4821" s="15">
        <v>2.25</v>
      </c>
      <c r="D4821" s="15"/>
      <c r="E4821" s="15">
        <v>1.9</v>
      </c>
      <c r="F4821" s="15">
        <f t="shared" si="1"/>
        <v>-0.31</v>
      </c>
      <c r="G4821" s="15">
        <f t="shared" si="2"/>
        <v>2.25</v>
      </c>
      <c r="H4821" s="16">
        <v>0.0</v>
      </c>
      <c r="I4821" s="15">
        <f t="shared" si="3"/>
        <v>-0.31</v>
      </c>
      <c r="J4821" s="15">
        <v>13.77</v>
      </c>
      <c r="K4821" s="16">
        <f>IF(COUNTIFS(Release_Calendar!$A$2:$A$755,"US_CPI",Release_Calendar!$B$2:$B$755,$A4821)&gt;0,1,0)</f>
        <v>0</v>
      </c>
      <c r="L4821" s="16">
        <f>IF(COUNTIFS(Release_Calendar!$A$2:$A$755,"US_NFP",Release_Calendar!$B$2:$B$755,$A4821)&gt;0,1,0)</f>
        <v>0</v>
      </c>
      <c r="M4821" s="16">
        <f>IF($A4821&lt;Notes!$B$5,"",IF(COUNTIFS(Release_Calendar!$A$2:$A$755,"NZ_CPI",Release_Calendar!$B$2:$B$755,$A4821)&gt;0,1,0))</f>
        <v>0</v>
      </c>
      <c r="N4821" s="16">
        <f>IF($A4821&lt;Notes!$B$5,"",IF(COUNTIFS(Release_Calendar!$A$2:$A$755,"NZ_GDP",Release_Calendar!$B$2:$B$755,$A4821)&gt;0,1,0))</f>
        <v>0</v>
      </c>
      <c r="O4821" s="16">
        <f>IF($A4821&lt;Notes!$B$5,"",IF(COUNTIFS(Release_Calendar!$A$2:$A$755,"NZ_LABOUR",Release_Calendar!$B$2:$B$755,$A4821)&gt;0,1,0))</f>
        <v>0</v>
      </c>
      <c r="P4821" s="16">
        <f t="shared" si="4"/>
        <v>0</v>
      </c>
    </row>
    <row r="4822" ht="15.75" customHeight="1">
      <c r="A4822" s="14">
        <v>43276.0</v>
      </c>
      <c r="B4822" s="15">
        <v>2.54</v>
      </c>
      <c r="C4822" s="15">
        <v>2.25</v>
      </c>
      <c r="D4822" s="15"/>
      <c r="E4822" s="15">
        <v>1.9</v>
      </c>
      <c r="F4822" s="15">
        <f t="shared" si="1"/>
        <v>-0.29</v>
      </c>
      <c r="G4822" s="15">
        <f t="shared" si="2"/>
        <v>2.25</v>
      </c>
      <c r="H4822" s="16">
        <v>0.0</v>
      </c>
      <c r="I4822" s="15">
        <f t="shared" si="3"/>
        <v>-0.29</v>
      </c>
      <c r="J4822" s="15">
        <v>17.33</v>
      </c>
      <c r="K4822" s="16">
        <f>IF(COUNTIFS(Release_Calendar!$A$2:$A$755,"US_CPI",Release_Calendar!$B$2:$B$755,$A4822)&gt;0,1,0)</f>
        <v>0</v>
      </c>
      <c r="L4822" s="16">
        <f>IF(COUNTIFS(Release_Calendar!$A$2:$A$755,"US_NFP",Release_Calendar!$B$2:$B$755,$A4822)&gt;0,1,0)</f>
        <v>0</v>
      </c>
      <c r="M4822" s="16">
        <f>IF($A4822&lt;Notes!$B$5,"",IF(COUNTIFS(Release_Calendar!$A$2:$A$755,"NZ_CPI",Release_Calendar!$B$2:$B$755,$A4822)&gt;0,1,0))</f>
        <v>0</v>
      </c>
      <c r="N4822" s="16">
        <f>IF($A4822&lt;Notes!$B$5,"",IF(COUNTIFS(Release_Calendar!$A$2:$A$755,"NZ_GDP",Release_Calendar!$B$2:$B$755,$A4822)&gt;0,1,0))</f>
        <v>0</v>
      </c>
      <c r="O4822" s="16">
        <f>IF($A4822&lt;Notes!$B$5,"",IF(COUNTIFS(Release_Calendar!$A$2:$A$755,"NZ_LABOUR",Release_Calendar!$B$2:$B$755,$A4822)&gt;0,1,0))</f>
        <v>0</v>
      </c>
      <c r="P4822" s="16">
        <f t="shared" si="4"/>
        <v>0</v>
      </c>
    </row>
    <row r="4823" ht="15.75" customHeight="1">
      <c r="A4823" s="14">
        <v>43277.0</v>
      </c>
      <c r="B4823" s="15">
        <v>2.53</v>
      </c>
      <c r="C4823" s="15">
        <v>2.24</v>
      </c>
      <c r="D4823" s="15"/>
      <c r="E4823" s="15">
        <v>1.88</v>
      </c>
      <c r="F4823" s="15">
        <f t="shared" si="1"/>
        <v>-0.29</v>
      </c>
      <c r="G4823" s="15">
        <f t="shared" si="2"/>
        <v>2.24</v>
      </c>
      <c r="H4823" s="16">
        <v>0.0</v>
      </c>
      <c r="I4823" s="15">
        <f t="shared" si="3"/>
        <v>-0.29</v>
      </c>
      <c r="J4823" s="15">
        <v>15.92</v>
      </c>
      <c r="K4823" s="16">
        <f>IF(COUNTIFS(Release_Calendar!$A$2:$A$755,"US_CPI",Release_Calendar!$B$2:$B$755,$A4823)&gt;0,1,0)</f>
        <v>0</v>
      </c>
      <c r="L4823" s="16">
        <f>IF(COUNTIFS(Release_Calendar!$A$2:$A$755,"US_NFP",Release_Calendar!$B$2:$B$755,$A4823)&gt;0,1,0)</f>
        <v>0</v>
      </c>
      <c r="M4823" s="16">
        <f>IF($A4823&lt;Notes!$B$5,"",IF(COUNTIFS(Release_Calendar!$A$2:$A$755,"NZ_CPI",Release_Calendar!$B$2:$B$755,$A4823)&gt;0,1,0))</f>
        <v>0</v>
      </c>
      <c r="N4823" s="16">
        <f>IF($A4823&lt;Notes!$B$5,"",IF(COUNTIFS(Release_Calendar!$A$2:$A$755,"NZ_GDP",Release_Calendar!$B$2:$B$755,$A4823)&gt;0,1,0))</f>
        <v>0</v>
      </c>
      <c r="O4823" s="16">
        <f>IF($A4823&lt;Notes!$B$5,"",IF(COUNTIFS(Release_Calendar!$A$2:$A$755,"NZ_LABOUR",Release_Calendar!$B$2:$B$755,$A4823)&gt;0,1,0))</f>
        <v>0</v>
      </c>
      <c r="P4823" s="16">
        <f t="shared" si="4"/>
        <v>0</v>
      </c>
    </row>
    <row r="4824" ht="15.75" customHeight="1">
      <c r="A4824" s="14">
        <v>43278.0</v>
      </c>
      <c r="B4824" s="15">
        <v>2.52</v>
      </c>
      <c r="C4824" s="15">
        <v>2.21</v>
      </c>
      <c r="D4824" s="15"/>
      <c r="E4824" s="15">
        <v>1.85</v>
      </c>
      <c r="F4824" s="15">
        <f t="shared" si="1"/>
        <v>-0.31</v>
      </c>
      <c r="G4824" s="15">
        <f t="shared" si="2"/>
        <v>2.21</v>
      </c>
      <c r="H4824" s="16">
        <v>0.0</v>
      </c>
      <c r="I4824" s="15">
        <f t="shared" si="3"/>
        <v>-0.31</v>
      </c>
      <c r="J4824" s="15">
        <v>17.91</v>
      </c>
      <c r="K4824" s="16">
        <f>IF(COUNTIFS(Release_Calendar!$A$2:$A$755,"US_CPI",Release_Calendar!$B$2:$B$755,$A4824)&gt;0,1,0)</f>
        <v>0</v>
      </c>
      <c r="L4824" s="16">
        <f>IF(COUNTIFS(Release_Calendar!$A$2:$A$755,"US_NFP",Release_Calendar!$B$2:$B$755,$A4824)&gt;0,1,0)</f>
        <v>0</v>
      </c>
      <c r="M4824" s="16">
        <f>IF($A4824&lt;Notes!$B$5,"",IF(COUNTIFS(Release_Calendar!$A$2:$A$755,"NZ_CPI",Release_Calendar!$B$2:$B$755,$A4824)&gt;0,1,0))</f>
        <v>0</v>
      </c>
      <c r="N4824" s="16">
        <f>IF($A4824&lt;Notes!$B$5,"",IF(COUNTIFS(Release_Calendar!$A$2:$A$755,"NZ_GDP",Release_Calendar!$B$2:$B$755,$A4824)&gt;0,1,0))</f>
        <v>0</v>
      </c>
      <c r="O4824" s="16">
        <f>IF($A4824&lt;Notes!$B$5,"",IF(COUNTIFS(Release_Calendar!$A$2:$A$755,"NZ_LABOUR",Release_Calendar!$B$2:$B$755,$A4824)&gt;0,1,0))</f>
        <v>0</v>
      </c>
      <c r="P4824" s="16">
        <f t="shared" si="4"/>
        <v>0</v>
      </c>
    </row>
    <row r="4825" ht="15.75" customHeight="1">
      <c r="A4825" s="14">
        <v>43279.0</v>
      </c>
      <c r="B4825" s="15">
        <v>2.52</v>
      </c>
      <c r="C4825" s="15">
        <v>2.17</v>
      </c>
      <c r="D4825" s="15"/>
      <c r="E4825" s="15">
        <v>1.83</v>
      </c>
      <c r="F4825" s="15">
        <f t="shared" si="1"/>
        <v>-0.35</v>
      </c>
      <c r="G4825" s="15">
        <f t="shared" si="2"/>
        <v>2.17</v>
      </c>
      <c r="H4825" s="16">
        <v>0.0</v>
      </c>
      <c r="I4825" s="15">
        <f t="shared" si="3"/>
        <v>-0.35</v>
      </c>
      <c r="J4825" s="15">
        <v>16.85</v>
      </c>
      <c r="K4825" s="16">
        <f>IF(COUNTIFS(Release_Calendar!$A$2:$A$755,"US_CPI",Release_Calendar!$B$2:$B$755,$A4825)&gt;0,1,0)</f>
        <v>0</v>
      </c>
      <c r="L4825" s="16">
        <f>IF(COUNTIFS(Release_Calendar!$A$2:$A$755,"US_NFP",Release_Calendar!$B$2:$B$755,$A4825)&gt;0,1,0)</f>
        <v>0</v>
      </c>
      <c r="M4825" s="16">
        <f>IF($A4825&lt;Notes!$B$5,"",IF(COUNTIFS(Release_Calendar!$A$2:$A$755,"NZ_CPI",Release_Calendar!$B$2:$B$755,$A4825)&gt;0,1,0))</f>
        <v>0</v>
      </c>
      <c r="N4825" s="16">
        <f>IF($A4825&lt;Notes!$B$5,"",IF(COUNTIFS(Release_Calendar!$A$2:$A$755,"NZ_GDP",Release_Calendar!$B$2:$B$755,$A4825)&gt;0,1,0))</f>
        <v>0</v>
      </c>
      <c r="O4825" s="16">
        <f>IF($A4825&lt;Notes!$B$5,"",IF(COUNTIFS(Release_Calendar!$A$2:$A$755,"NZ_LABOUR",Release_Calendar!$B$2:$B$755,$A4825)&gt;0,1,0))</f>
        <v>0</v>
      </c>
      <c r="P4825" s="16">
        <f t="shared" si="4"/>
        <v>0</v>
      </c>
    </row>
    <row r="4826" ht="15.75" customHeight="1">
      <c r="A4826" s="14">
        <v>43280.0</v>
      </c>
      <c r="B4826" s="15">
        <v>2.52</v>
      </c>
      <c r="C4826" s="15">
        <v>2.14</v>
      </c>
      <c r="D4826" s="15"/>
      <c r="E4826" s="15">
        <v>1.8</v>
      </c>
      <c r="F4826" s="15">
        <f t="shared" si="1"/>
        <v>-0.38</v>
      </c>
      <c r="G4826" s="15">
        <f t="shared" si="2"/>
        <v>2.14</v>
      </c>
      <c r="H4826" s="16">
        <v>0.0</v>
      </c>
      <c r="I4826" s="15">
        <f t="shared" si="3"/>
        <v>-0.38</v>
      </c>
      <c r="J4826" s="15">
        <v>16.09</v>
      </c>
      <c r="K4826" s="16">
        <f>IF(COUNTIFS(Release_Calendar!$A$2:$A$755,"US_CPI",Release_Calendar!$B$2:$B$755,$A4826)&gt;0,1,0)</f>
        <v>0</v>
      </c>
      <c r="L4826" s="16">
        <f>IF(COUNTIFS(Release_Calendar!$A$2:$A$755,"US_NFP",Release_Calendar!$B$2:$B$755,$A4826)&gt;0,1,0)</f>
        <v>0</v>
      </c>
      <c r="M4826" s="16">
        <f>IF($A4826&lt;Notes!$B$5,"",IF(COUNTIFS(Release_Calendar!$A$2:$A$755,"NZ_CPI",Release_Calendar!$B$2:$B$755,$A4826)&gt;0,1,0))</f>
        <v>0</v>
      </c>
      <c r="N4826" s="16">
        <f>IF($A4826&lt;Notes!$B$5,"",IF(COUNTIFS(Release_Calendar!$A$2:$A$755,"NZ_GDP",Release_Calendar!$B$2:$B$755,$A4826)&gt;0,1,0))</f>
        <v>0</v>
      </c>
      <c r="O4826" s="16">
        <f>IF($A4826&lt;Notes!$B$5,"",IF(COUNTIFS(Release_Calendar!$A$2:$A$755,"NZ_LABOUR",Release_Calendar!$B$2:$B$755,$A4826)&gt;0,1,0))</f>
        <v>0</v>
      </c>
      <c r="P4826" s="16">
        <f t="shared" si="4"/>
        <v>0</v>
      </c>
    </row>
    <row r="4827" ht="15.75" customHeight="1">
      <c r="A4827" s="14">
        <v>43283.0</v>
      </c>
      <c r="B4827" s="15">
        <v>2.57</v>
      </c>
      <c r="C4827" s="15">
        <v>2.14</v>
      </c>
      <c r="D4827" s="15"/>
      <c r="E4827" s="15">
        <v>1.8</v>
      </c>
      <c r="F4827" s="15">
        <f t="shared" si="1"/>
        <v>-0.43</v>
      </c>
      <c r="G4827" s="15">
        <f t="shared" si="2"/>
        <v>2.14</v>
      </c>
      <c r="H4827" s="16">
        <v>0.0</v>
      </c>
      <c r="I4827" s="15">
        <f t="shared" si="3"/>
        <v>-0.43</v>
      </c>
      <c r="J4827" s="15">
        <v>15.6</v>
      </c>
      <c r="K4827" s="16">
        <f>IF(COUNTIFS(Release_Calendar!$A$2:$A$755,"US_CPI",Release_Calendar!$B$2:$B$755,$A4827)&gt;0,1,0)</f>
        <v>0</v>
      </c>
      <c r="L4827" s="16">
        <f>IF(COUNTIFS(Release_Calendar!$A$2:$A$755,"US_NFP",Release_Calendar!$B$2:$B$755,$A4827)&gt;0,1,0)</f>
        <v>0</v>
      </c>
      <c r="M4827" s="16">
        <f>IF($A4827&lt;Notes!$B$5,"",IF(COUNTIFS(Release_Calendar!$A$2:$A$755,"NZ_CPI",Release_Calendar!$B$2:$B$755,$A4827)&gt;0,1,0))</f>
        <v>0</v>
      </c>
      <c r="N4827" s="16">
        <f>IF($A4827&lt;Notes!$B$5,"",IF(COUNTIFS(Release_Calendar!$A$2:$A$755,"NZ_GDP",Release_Calendar!$B$2:$B$755,$A4827)&gt;0,1,0))</f>
        <v>0</v>
      </c>
      <c r="O4827" s="16">
        <f>IF($A4827&lt;Notes!$B$5,"",IF(COUNTIFS(Release_Calendar!$A$2:$A$755,"NZ_LABOUR",Release_Calendar!$B$2:$B$755,$A4827)&gt;0,1,0))</f>
        <v>0</v>
      </c>
      <c r="P4827" s="16">
        <f t="shared" si="4"/>
        <v>0</v>
      </c>
    </row>
    <row r="4828" ht="15.75" customHeight="1">
      <c r="A4828" s="14">
        <v>43284.0</v>
      </c>
      <c r="B4828" s="15">
        <v>2.53</v>
      </c>
      <c r="C4828" s="15">
        <v>2.14</v>
      </c>
      <c r="D4828" s="15"/>
      <c r="E4828" s="15">
        <v>1.79</v>
      </c>
      <c r="F4828" s="15">
        <f t="shared" si="1"/>
        <v>-0.39</v>
      </c>
      <c r="G4828" s="15">
        <f t="shared" si="2"/>
        <v>2.14</v>
      </c>
      <c r="H4828" s="16">
        <v>0.0</v>
      </c>
      <c r="I4828" s="15">
        <f t="shared" si="3"/>
        <v>-0.39</v>
      </c>
      <c r="J4828" s="15">
        <v>16.14</v>
      </c>
      <c r="K4828" s="16">
        <f>IF(COUNTIFS(Release_Calendar!$A$2:$A$755,"US_CPI",Release_Calendar!$B$2:$B$755,$A4828)&gt;0,1,0)</f>
        <v>0</v>
      </c>
      <c r="L4828" s="16">
        <f>IF(COUNTIFS(Release_Calendar!$A$2:$A$755,"US_NFP",Release_Calendar!$B$2:$B$755,$A4828)&gt;0,1,0)</f>
        <v>0</v>
      </c>
      <c r="M4828" s="16">
        <f>IF($A4828&lt;Notes!$B$5,"",IF(COUNTIFS(Release_Calendar!$A$2:$A$755,"NZ_CPI",Release_Calendar!$B$2:$B$755,$A4828)&gt;0,1,0))</f>
        <v>0</v>
      </c>
      <c r="N4828" s="16">
        <f>IF($A4828&lt;Notes!$B$5,"",IF(COUNTIFS(Release_Calendar!$A$2:$A$755,"NZ_GDP",Release_Calendar!$B$2:$B$755,$A4828)&gt;0,1,0))</f>
        <v>0</v>
      </c>
      <c r="O4828" s="16">
        <f>IF($A4828&lt;Notes!$B$5,"",IF(COUNTIFS(Release_Calendar!$A$2:$A$755,"NZ_LABOUR",Release_Calendar!$B$2:$B$755,$A4828)&gt;0,1,0))</f>
        <v>0</v>
      </c>
      <c r="P4828" s="16">
        <f t="shared" si="4"/>
        <v>0</v>
      </c>
    </row>
    <row r="4829" ht="15.75" customHeight="1">
      <c r="A4829" s="14">
        <v>43285.0</v>
      </c>
      <c r="B4829" s="15"/>
      <c r="C4829" s="15">
        <v>2.14</v>
      </c>
      <c r="D4829" s="15"/>
      <c r="E4829" s="15">
        <v>1.8</v>
      </c>
      <c r="F4829" s="15" t="str">
        <f t="shared" si="1"/>
        <v/>
      </c>
      <c r="G4829" s="15">
        <f t="shared" si="2"/>
        <v>2.14</v>
      </c>
      <c r="H4829" s="16">
        <v>0.0</v>
      </c>
      <c r="I4829" s="15" t="str">
        <f t="shared" si="3"/>
        <v/>
      </c>
      <c r="J4829" s="15"/>
      <c r="K4829" s="16">
        <f>IF(COUNTIFS(Release_Calendar!$A$2:$A$755,"US_CPI",Release_Calendar!$B$2:$B$755,$A4829)&gt;0,1,0)</f>
        <v>0</v>
      </c>
      <c r="L4829" s="16">
        <f>IF(COUNTIFS(Release_Calendar!$A$2:$A$755,"US_NFP",Release_Calendar!$B$2:$B$755,$A4829)&gt;0,1,0)</f>
        <v>0</v>
      </c>
      <c r="M4829" s="16">
        <f>IF($A4829&lt;Notes!$B$5,"",IF(COUNTIFS(Release_Calendar!$A$2:$A$755,"NZ_CPI",Release_Calendar!$B$2:$B$755,$A4829)&gt;0,1,0))</f>
        <v>0</v>
      </c>
      <c r="N4829" s="16">
        <f>IF($A4829&lt;Notes!$B$5,"",IF(COUNTIFS(Release_Calendar!$A$2:$A$755,"NZ_GDP",Release_Calendar!$B$2:$B$755,$A4829)&gt;0,1,0))</f>
        <v>0</v>
      </c>
      <c r="O4829" s="16">
        <f>IF($A4829&lt;Notes!$B$5,"",IF(COUNTIFS(Release_Calendar!$A$2:$A$755,"NZ_LABOUR",Release_Calendar!$B$2:$B$755,$A4829)&gt;0,1,0))</f>
        <v>0</v>
      </c>
      <c r="P4829" s="16">
        <f t="shared" si="4"/>
        <v>0</v>
      </c>
    </row>
    <row r="4830" ht="15.75" customHeight="1">
      <c r="A4830" s="14">
        <v>43286.0</v>
      </c>
      <c r="B4830" s="15">
        <v>2.55</v>
      </c>
      <c r="C4830" s="15">
        <v>2.15</v>
      </c>
      <c r="D4830" s="15"/>
      <c r="E4830" s="15">
        <v>1.79</v>
      </c>
      <c r="F4830" s="15">
        <f t="shared" si="1"/>
        <v>-0.4</v>
      </c>
      <c r="G4830" s="15">
        <f t="shared" si="2"/>
        <v>2.15</v>
      </c>
      <c r="H4830" s="16">
        <v>0.0</v>
      </c>
      <c r="I4830" s="15">
        <f t="shared" si="3"/>
        <v>-0.4</v>
      </c>
      <c r="J4830" s="15">
        <v>14.97</v>
      </c>
      <c r="K4830" s="16">
        <f>IF(COUNTIFS(Release_Calendar!$A$2:$A$755,"US_CPI",Release_Calendar!$B$2:$B$755,$A4830)&gt;0,1,0)</f>
        <v>0</v>
      </c>
      <c r="L4830" s="16">
        <f>IF(COUNTIFS(Release_Calendar!$A$2:$A$755,"US_NFP",Release_Calendar!$B$2:$B$755,$A4830)&gt;0,1,0)</f>
        <v>0</v>
      </c>
      <c r="M4830" s="16">
        <f>IF($A4830&lt;Notes!$B$5,"",IF(COUNTIFS(Release_Calendar!$A$2:$A$755,"NZ_CPI",Release_Calendar!$B$2:$B$755,$A4830)&gt;0,1,0))</f>
        <v>0</v>
      </c>
      <c r="N4830" s="16">
        <f>IF($A4830&lt;Notes!$B$5,"",IF(COUNTIFS(Release_Calendar!$A$2:$A$755,"NZ_GDP",Release_Calendar!$B$2:$B$755,$A4830)&gt;0,1,0))</f>
        <v>0</v>
      </c>
      <c r="O4830" s="16">
        <f>IF($A4830&lt;Notes!$B$5,"",IF(COUNTIFS(Release_Calendar!$A$2:$A$755,"NZ_LABOUR",Release_Calendar!$B$2:$B$755,$A4830)&gt;0,1,0))</f>
        <v>0</v>
      </c>
      <c r="P4830" s="16">
        <f t="shared" si="4"/>
        <v>0</v>
      </c>
    </row>
    <row r="4831" ht="15.75" customHeight="1">
      <c r="A4831" s="14">
        <v>43287.0</v>
      </c>
      <c r="B4831" s="15">
        <v>2.53</v>
      </c>
      <c r="C4831" s="15">
        <v>2.18</v>
      </c>
      <c r="D4831" s="15"/>
      <c r="E4831" s="15">
        <v>1.81</v>
      </c>
      <c r="F4831" s="15">
        <f t="shared" si="1"/>
        <v>-0.35</v>
      </c>
      <c r="G4831" s="15">
        <f t="shared" si="2"/>
        <v>2.18</v>
      </c>
      <c r="H4831" s="16">
        <v>0.0</v>
      </c>
      <c r="I4831" s="15">
        <f t="shared" si="3"/>
        <v>-0.35</v>
      </c>
      <c r="J4831" s="15">
        <v>13.37</v>
      </c>
      <c r="K4831" s="16">
        <f>IF(COUNTIFS(Release_Calendar!$A$2:$A$755,"US_CPI",Release_Calendar!$B$2:$B$755,$A4831)&gt;0,1,0)</f>
        <v>0</v>
      </c>
      <c r="L4831" s="16">
        <f>IF(COUNTIFS(Release_Calendar!$A$2:$A$755,"US_NFP",Release_Calendar!$B$2:$B$755,$A4831)&gt;0,1,0)</f>
        <v>1</v>
      </c>
      <c r="M4831" s="16">
        <f>IF($A4831&lt;Notes!$B$5,"",IF(COUNTIFS(Release_Calendar!$A$2:$A$755,"NZ_CPI",Release_Calendar!$B$2:$B$755,$A4831)&gt;0,1,0))</f>
        <v>0</v>
      </c>
      <c r="N4831" s="16">
        <f>IF($A4831&lt;Notes!$B$5,"",IF(COUNTIFS(Release_Calendar!$A$2:$A$755,"NZ_GDP",Release_Calendar!$B$2:$B$755,$A4831)&gt;0,1,0))</f>
        <v>0</v>
      </c>
      <c r="O4831" s="16">
        <f>IF($A4831&lt;Notes!$B$5,"",IF(COUNTIFS(Release_Calendar!$A$2:$A$755,"NZ_LABOUR",Release_Calendar!$B$2:$B$755,$A4831)&gt;0,1,0))</f>
        <v>0</v>
      </c>
      <c r="P4831" s="16">
        <f t="shared" si="4"/>
        <v>1</v>
      </c>
    </row>
    <row r="4832" ht="15.75" customHeight="1">
      <c r="A4832" s="14">
        <v>43290.0</v>
      </c>
      <c r="B4832" s="15">
        <v>2.57</v>
      </c>
      <c r="C4832" s="15">
        <v>2.18</v>
      </c>
      <c r="D4832" s="15"/>
      <c r="E4832" s="15">
        <v>1.82</v>
      </c>
      <c r="F4832" s="15">
        <f t="shared" si="1"/>
        <v>-0.39</v>
      </c>
      <c r="G4832" s="15">
        <f t="shared" si="2"/>
        <v>2.18</v>
      </c>
      <c r="H4832" s="16">
        <v>0.0</v>
      </c>
      <c r="I4832" s="15">
        <f t="shared" si="3"/>
        <v>-0.39</v>
      </c>
      <c r="J4832" s="15">
        <v>12.69</v>
      </c>
      <c r="K4832" s="16">
        <f>IF(COUNTIFS(Release_Calendar!$A$2:$A$755,"US_CPI",Release_Calendar!$B$2:$B$755,$A4832)&gt;0,1,0)</f>
        <v>0</v>
      </c>
      <c r="L4832" s="16">
        <f>IF(COUNTIFS(Release_Calendar!$A$2:$A$755,"US_NFP",Release_Calendar!$B$2:$B$755,$A4832)&gt;0,1,0)</f>
        <v>0</v>
      </c>
      <c r="M4832" s="16">
        <f>IF($A4832&lt;Notes!$B$5,"",IF(COUNTIFS(Release_Calendar!$A$2:$A$755,"NZ_CPI",Release_Calendar!$B$2:$B$755,$A4832)&gt;0,1,0))</f>
        <v>0</v>
      </c>
      <c r="N4832" s="16">
        <f>IF($A4832&lt;Notes!$B$5,"",IF(COUNTIFS(Release_Calendar!$A$2:$A$755,"NZ_GDP",Release_Calendar!$B$2:$B$755,$A4832)&gt;0,1,0))</f>
        <v>0</v>
      </c>
      <c r="O4832" s="16">
        <f>IF($A4832&lt;Notes!$B$5,"",IF(COUNTIFS(Release_Calendar!$A$2:$A$755,"NZ_LABOUR",Release_Calendar!$B$2:$B$755,$A4832)&gt;0,1,0))</f>
        <v>0</v>
      </c>
      <c r="P4832" s="16">
        <f t="shared" si="4"/>
        <v>0</v>
      </c>
    </row>
    <row r="4833" ht="15.75" customHeight="1">
      <c r="A4833" s="14">
        <v>43291.0</v>
      </c>
      <c r="B4833" s="15">
        <v>2.59</v>
      </c>
      <c r="C4833" s="15">
        <v>2.19</v>
      </c>
      <c r="D4833" s="15"/>
      <c r="E4833" s="15">
        <v>1.85</v>
      </c>
      <c r="F4833" s="15">
        <f t="shared" si="1"/>
        <v>-0.4</v>
      </c>
      <c r="G4833" s="15">
        <f t="shared" si="2"/>
        <v>2.19</v>
      </c>
      <c r="H4833" s="16">
        <v>0.0</v>
      </c>
      <c r="I4833" s="15">
        <f t="shared" si="3"/>
        <v>-0.4</v>
      </c>
      <c r="J4833" s="15">
        <v>12.64</v>
      </c>
      <c r="K4833" s="16">
        <f>IF(COUNTIFS(Release_Calendar!$A$2:$A$755,"US_CPI",Release_Calendar!$B$2:$B$755,$A4833)&gt;0,1,0)</f>
        <v>0</v>
      </c>
      <c r="L4833" s="16">
        <f>IF(COUNTIFS(Release_Calendar!$A$2:$A$755,"US_NFP",Release_Calendar!$B$2:$B$755,$A4833)&gt;0,1,0)</f>
        <v>0</v>
      </c>
      <c r="M4833" s="16">
        <f>IF($A4833&lt;Notes!$B$5,"",IF(COUNTIFS(Release_Calendar!$A$2:$A$755,"NZ_CPI",Release_Calendar!$B$2:$B$755,$A4833)&gt;0,1,0))</f>
        <v>0</v>
      </c>
      <c r="N4833" s="16">
        <f>IF($A4833&lt;Notes!$B$5,"",IF(COUNTIFS(Release_Calendar!$A$2:$A$755,"NZ_GDP",Release_Calendar!$B$2:$B$755,$A4833)&gt;0,1,0))</f>
        <v>0</v>
      </c>
      <c r="O4833" s="16">
        <f>IF($A4833&lt;Notes!$B$5,"",IF(COUNTIFS(Release_Calendar!$A$2:$A$755,"NZ_LABOUR",Release_Calendar!$B$2:$B$755,$A4833)&gt;0,1,0))</f>
        <v>0</v>
      </c>
      <c r="P4833" s="16">
        <f t="shared" si="4"/>
        <v>0</v>
      </c>
    </row>
    <row r="4834" ht="15.75" customHeight="1">
      <c r="A4834" s="14">
        <v>43292.0</v>
      </c>
      <c r="B4834" s="15">
        <v>2.58</v>
      </c>
      <c r="C4834" s="15">
        <v>2.17</v>
      </c>
      <c r="D4834" s="15"/>
      <c r="E4834" s="15">
        <v>1.84</v>
      </c>
      <c r="F4834" s="15">
        <f t="shared" si="1"/>
        <v>-0.41</v>
      </c>
      <c r="G4834" s="15">
        <f t="shared" si="2"/>
        <v>2.17</v>
      </c>
      <c r="H4834" s="16">
        <v>0.0</v>
      </c>
      <c r="I4834" s="15">
        <f t="shared" si="3"/>
        <v>-0.41</v>
      </c>
      <c r="J4834" s="15">
        <v>13.63</v>
      </c>
      <c r="K4834" s="16">
        <f>IF(COUNTIFS(Release_Calendar!$A$2:$A$755,"US_CPI",Release_Calendar!$B$2:$B$755,$A4834)&gt;0,1,0)</f>
        <v>0</v>
      </c>
      <c r="L4834" s="16">
        <f>IF(COUNTIFS(Release_Calendar!$A$2:$A$755,"US_NFP",Release_Calendar!$B$2:$B$755,$A4834)&gt;0,1,0)</f>
        <v>0</v>
      </c>
      <c r="M4834" s="16">
        <f>IF($A4834&lt;Notes!$B$5,"",IF(COUNTIFS(Release_Calendar!$A$2:$A$755,"NZ_CPI",Release_Calendar!$B$2:$B$755,$A4834)&gt;0,1,0))</f>
        <v>0</v>
      </c>
      <c r="N4834" s="16">
        <f>IF($A4834&lt;Notes!$B$5,"",IF(COUNTIFS(Release_Calendar!$A$2:$A$755,"NZ_GDP",Release_Calendar!$B$2:$B$755,$A4834)&gt;0,1,0))</f>
        <v>0</v>
      </c>
      <c r="O4834" s="16">
        <f>IF($A4834&lt;Notes!$B$5,"",IF(COUNTIFS(Release_Calendar!$A$2:$A$755,"NZ_LABOUR",Release_Calendar!$B$2:$B$755,$A4834)&gt;0,1,0))</f>
        <v>0</v>
      </c>
      <c r="P4834" s="16">
        <f t="shared" si="4"/>
        <v>0</v>
      </c>
    </row>
    <row r="4835" ht="15.75" customHeight="1">
      <c r="A4835" s="14">
        <v>43293.0</v>
      </c>
      <c r="B4835" s="15">
        <v>2.6</v>
      </c>
      <c r="C4835" s="15">
        <v>2.17</v>
      </c>
      <c r="D4835" s="15"/>
      <c r="E4835" s="15">
        <v>1.84</v>
      </c>
      <c r="F4835" s="15">
        <f t="shared" si="1"/>
        <v>-0.43</v>
      </c>
      <c r="G4835" s="15">
        <f t="shared" si="2"/>
        <v>2.17</v>
      </c>
      <c r="H4835" s="16">
        <v>0.0</v>
      </c>
      <c r="I4835" s="15">
        <f t="shared" si="3"/>
        <v>-0.43</v>
      </c>
      <c r="J4835" s="15">
        <v>12.58</v>
      </c>
      <c r="K4835" s="16">
        <f>IF(COUNTIFS(Release_Calendar!$A$2:$A$755,"US_CPI",Release_Calendar!$B$2:$B$755,$A4835)&gt;0,1,0)</f>
        <v>1</v>
      </c>
      <c r="L4835" s="16">
        <f>IF(COUNTIFS(Release_Calendar!$A$2:$A$755,"US_NFP",Release_Calendar!$B$2:$B$755,$A4835)&gt;0,1,0)</f>
        <v>0</v>
      </c>
      <c r="M4835" s="16">
        <f>IF($A4835&lt;Notes!$B$5,"",IF(COUNTIFS(Release_Calendar!$A$2:$A$755,"NZ_CPI",Release_Calendar!$B$2:$B$755,$A4835)&gt;0,1,0))</f>
        <v>0</v>
      </c>
      <c r="N4835" s="16">
        <f>IF($A4835&lt;Notes!$B$5,"",IF(COUNTIFS(Release_Calendar!$A$2:$A$755,"NZ_GDP",Release_Calendar!$B$2:$B$755,$A4835)&gt;0,1,0))</f>
        <v>0</v>
      </c>
      <c r="O4835" s="16">
        <f>IF($A4835&lt;Notes!$B$5,"",IF(COUNTIFS(Release_Calendar!$A$2:$A$755,"NZ_LABOUR",Release_Calendar!$B$2:$B$755,$A4835)&gt;0,1,0))</f>
        <v>0</v>
      </c>
      <c r="P4835" s="16">
        <f t="shared" si="4"/>
        <v>1</v>
      </c>
    </row>
    <row r="4836" ht="15.75" customHeight="1">
      <c r="A4836" s="14">
        <v>43294.0</v>
      </c>
      <c r="B4836" s="15">
        <v>2.59</v>
      </c>
      <c r="C4836" s="15">
        <v>2.15</v>
      </c>
      <c r="D4836" s="15"/>
      <c r="E4836" s="15">
        <v>1.83</v>
      </c>
      <c r="F4836" s="15">
        <f t="shared" si="1"/>
        <v>-0.44</v>
      </c>
      <c r="G4836" s="15">
        <f t="shared" si="2"/>
        <v>2.15</v>
      </c>
      <c r="H4836" s="16">
        <v>0.0</v>
      </c>
      <c r="I4836" s="15">
        <f t="shared" si="3"/>
        <v>-0.44</v>
      </c>
      <c r="J4836" s="15">
        <v>12.18</v>
      </c>
      <c r="K4836" s="16">
        <f>IF(COUNTIFS(Release_Calendar!$A$2:$A$755,"US_CPI",Release_Calendar!$B$2:$B$755,$A4836)&gt;0,1,0)</f>
        <v>0</v>
      </c>
      <c r="L4836" s="16">
        <f>IF(COUNTIFS(Release_Calendar!$A$2:$A$755,"US_NFP",Release_Calendar!$B$2:$B$755,$A4836)&gt;0,1,0)</f>
        <v>0</v>
      </c>
      <c r="M4836" s="16">
        <f>IF($A4836&lt;Notes!$B$5,"",IF(COUNTIFS(Release_Calendar!$A$2:$A$755,"NZ_CPI",Release_Calendar!$B$2:$B$755,$A4836)&gt;0,1,0))</f>
        <v>0</v>
      </c>
      <c r="N4836" s="16">
        <f>IF($A4836&lt;Notes!$B$5,"",IF(COUNTIFS(Release_Calendar!$A$2:$A$755,"NZ_GDP",Release_Calendar!$B$2:$B$755,$A4836)&gt;0,1,0))</f>
        <v>0</v>
      </c>
      <c r="O4836" s="16">
        <f>IF($A4836&lt;Notes!$B$5,"",IF(COUNTIFS(Release_Calendar!$A$2:$A$755,"NZ_LABOUR",Release_Calendar!$B$2:$B$755,$A4836)&gt;0,1,0))</f>
        <v>0</v>
      </c>
      <c r="P4836" s="16">
        <f t="shared" si="4"/>
        <v>0</v>
      </c>
    </row>
    <row r="4837" ht="15.75" customHeight="1">
      <c r="A4837" s="14">
        <v>43297.0</v>
      </c>
      <c r="B4837" s="15">
        <v>2.59</v>
      </c>
      <c r="C4837" s="15">
        <v>2.13</v>
      </c>
      <c r="D4837" s="15"/>
      <c r="E4837" s="15">
        <v>1.81</v>
      </c>
      <c r="F4837" s="15">
        <f t="shared" si="1"/>
        <v>-0.46</v>
      </c>
      <c r="G4837" s="15">
        <f t="shared" si="2"/>
        <v>2.13</v>
      </c>
      <c r="H4837" s="16">
        <v>0.0</v>
      </c>
      <c r="I4837" s="15">
        <f t="shared" si="3"/>
        <v>-0.46</v>
      </c>
      <c r="J4837" s="15">
        <v>12.83</v>
      </c>
      <c r="K4837" s="16">
        <f>IF(COUNTIFS(Release_Calendar!$A$2:$A$755,"US_CPI",Release_Calendar!$B$2:$B$755,$A4837)&gt;0,1,0)</f>
        <v>0</v>
      </c>
      <c r="L4837" s="16">
        <f>IF(COUNTIFS(Release_Calendar!$A$2:$A$755,"US_NFP",Release_Calendar!$B$2:$B$755,$A4837)&gt;0,1,0)</f>
        <v>0</v>
      </c>
      <c r="M4837" s="16">
        <f>IF($A4837&lt;Notes!$B$5,"",IF(COUNTIFS(Release_Calendar!$A$2:$A$755,"NZ_CPI",Release_Calendar!$B$2:$B$755,$A4837)&gt;0,1,0))</f>
        <v>0</v>
      </c>
      <c r="N4837" s="16">
        <f>IF($A4837&lt;Notes!$B$5,"",IF(COUNTIFS(Release_Calendar!$A$2:$A$755,"NZ_GDP",Release_Calendar!$B$2:$B$755,$A4837)&gt;0,1,0))</f>
        <v>0</v>
      </c>
      <c r="O4837" s="16">
        <f>IF($A4837&lt;Notes!$B$5,"",IF(COUNTIFS(Release_Calendar!$A$2:$A$755,"NZ_LABOUR",Release_Calendar!$B$2:$B$755,$A4837)&gt;0,1,0))</f>
        <v>0</v>
      </c>
      <c r="P4837" s="16">
        <f t="shared" si="4"/>
        <v>0</v>
      </c>
    </row>
    <row r="4838" ht="15.75" customHeight="1">
      <c r="A4838" s="14">
        <v>43298.0</v>
      </c>
      <c r="B4838" s="15">
        <v>2.62</v>
      </c>
      <c r="C4838" s="15">
        <v>2.17</v>
      </c>
      <c r="D4838" s="15"/>
      <c r="E4838" s="15">
        <v>1.85</v>
      </c>
      <c r="F4838" s="15">
        <f t="shared" si="1"/>
        <v>-0.45</v>
      </c>
      <c r="G4838" s="15">
        <f t="shared" si="2"/>
        <v>2.17</v>
      </c>
      <c r="H4838" s="16">
        <v>0.0</v>
      </c>
      <c r="I4838" s="15">
        <f t="shared" si="3"/>
        <v>-0.45</v>
      </c>
      <c r="J4838" s="15">
        <v>12.06</v>
      </c>
      <c r="K4838" s="16">
        <f>IF(COUNTIFS(Release_Calendar!$A$2:$A$755,"US_CPI",Release_Calendar!$B$2:$B$755,$A4838)&gt;0,1,0)</f>
        <v>0</v>
      </c>
      <c r="L4838" s="16">
        <f>IF(COUNTIFS(Release_Calendar!$A$2:$A$755,"US_NFP",Release_Calendar!$B$2:$B$755,$A4838)&gt;0,1,0)</f>
        <v>0</v>
      </c>
      <c r="M4838" s="16">
        <f>IF($A4838&lt;Notes!$B$5,"",IF(COUNTIFS(Release_Calendar!$A$2:$A$755,"NZ_CPI",Release_Calendar!$B$2:$B$755,$A4838)&gt;0,1,0))</f>
        <v>1</v>
      </c>
      <c r="N4838" s="16">
        <f>IF($A4838&lt;Notes!$B$5,"",IF(COUNTIFS(Release_Calendar!$A$2:$A$755,"NZ_GDP",Release_Calendar!$B$2:$B$755,$A4838)&gt;0,1,0))</f>
        <v>0</v>
      </c>
      <c r="O4838" s="16">
        <f>IF($A4838&lt;Notes!$B$5,"",IF(COUNTIFS(Release_Calendar!$A$2:$A$755,"NZ_LABOUR",Release_Calendar!$B$2:$B$755,$A4838)&gt;0,1,0))</f>
        <v>0</v>
      </c>
      <c r="P4838" s="16">
        <f t="shared" si="4"/>
        <v>1</v>
      </c>
    </row>
    <row r="4839" ht="15.75" customHeight="1">
      <c r="A4839" s="14">
        <v>43299.0</v>
      </c>
      <c r="B4839" s="15">
        <v>2.6</v>
      </c>
      <c r="C4839" s="15">
        <v>2.15</v>
      </c>
      <c r="D4839" s="15"/>
      <c r="E4839" s="15">
        <v>1.84</v>
      </c>
      <c r="F4839" s="15">
        <f t="shared" si="1"/>
        <v>-0.45</v>
      </c>
      <c r="G4839" s="15">
        <f t="shared" si="2"/>
        <v>2.15</v>
      </c>
      <c r="H4839" s="16">
        <v>0.0</v>
      </c>
      <c r="I4839" s="15">
        <f t="shared" si="3"/>
        <v>-0.45</v>
      </c>
      <c r="J4839" s="15">
        <v>12.1</v>
      </c>
      <c r="K4839" s="16">
        <f>IF(COUNTIFS(Release_Calendar!$A$2:$A$755,"US_CPI",Release_Calendar!$B$2:$B$755,$A4839)&gt;0,1,0)</f>
        <v>0</v>
      </c>
      <c r="L4839" s="16">
        <f>IF(COUNTIFS(Release_Calendar!$A$2:$A$755,"US_NFP",Release_Calendar!$B$2:$B$755,$A4839)&gt;0,1,0)</f>
        <v>0</v>
      </c>
      <c r="M4839" s="16">
        <f>IF($A4839&lt;Notes!$B$5,"",IF(COUNTIFS(Release_Calendar!$A$2:$A$755,"NZ_CPI",Release_Calendar!$B$2:$B$755,$A4839)&gt;0,1,0))</f>
        <v>0</v>
      </c>
      <c r="N4839" s="16">
        <f>IF($A4839&lt;Notes!$B$5,"",IF(COUNTIFS(Release_Calendar!$A$2:$A$755,"NZ_GDP",Release_Calendar!$B$2:$B$755,$A4839)&gt;0,1,0))</f>
        <v>0</v>
      </c>
      <c r="O4839" s="16">
        <f>IF($A4839&lt;Notes!$B$5,"",IF(COUNTIFS(Release_Calendar!$A$2:$A$755,"NZ_LABOUR",Release_Calendar!$B$2:$B$755,$A4839)&gt;0,1,0))</f>
        <v>0</v>
      </c>
      <c r="P4839" s="16">
        <f t="shared" si="4"/>
        <v>0</v>
      </c>
    </row>
    <row r="4840" ht="15.75" customHeight="1">
      <c r="A4840" s="14">
        <v>43300.0</v>
      </c>
      <c r="B4840" s="15">
        <v>2.6</v>
      </c>
      <c r="C4840" s="15">
        <v>2.14</v>
      </c>
      <c r="D4840" s="15"/>
      <c r="E4840" s="15">
        <v>1.84</v>
      </c>
      <c r="F4840" s="15">
        <f t="shared" si="1"/>
        <v>-0.46</v>
      </c>
      <c r="G4840" s="15">
        <f t="shared" si="2"/>
        <v>2.14</v>
      </c>
      <c r="H4840" s="16">
        <v>0.0</v>
      </c>
      <c r="I4840" s="15">
        <f t="shared" si="3"/>
        <v>-0.46</v>
      </c>
      <c r="J4840" s="15">
        <v>12.87</v>
      </c>
      <c r="K4840" s="16">
        <f>IF(COUNTIFS(Release_Calendar!$A$2:$A$755,"US_CPI",Release_Calendar!$B$2:$B$755,$A4840)&gt;0,1,0)</f>
        <v>0</v>
      </c>
      <c r="L4840" s="16">
        <f>IF(COUNTIFS(Release_Calendar!$A$2:$A$755,"US_NFP",Release_Calendar!$B$2:$B$755,$A4840)&gt;0,1,0)</f>
        <v>0</v>
      </c>
      <c r="M4840" s="16">
        <f>IF($A4840&lt;Notes!$B$5,"",IF(COUNTIFS(Release_Calendar!$A$2:$A$755,"NZ_CPI",Release_Calendar!$B$2:$B$755,$A4840)&gt;0,1,0))</f>
        <v>0</v>
      </c>
      <c r="N4840" s="16">
        <f>IF($A4840&lt;Notes!$B$5,"",IF(COUNTIFS(Release_Calendar!$A$2:$A$755,"NZ_GDP",Release_Calendar!$B$2:$B$755,$A4840)&gt;0,1,0))</f>
        <v>0</v>
      </c>
      <c r="O4840" s="16">
        <f>IF($A4840&lt;Notes!$B$5,"",IF(COUNTIFS(Release_Calendar!$A$2:$A$755,"NZ_LABOUR",Release_Calendar!$B$2:$B$755,$A4840)&gt;0,1,0))</f>
        <v>0</v>
      </c>
      <c r="P4840" s="16">
        <f t="shared" si="4"/>
        <v>0</v>
      </c>
    </row>
    <row r="4841" ht="15.75" customHeight="1">
      <c r="A4841" s="14">
        <v>43301.0</v>
      </c>
      <c r="B4841" s="15">
        <v>2.6</v>
      </c>
      <c r="C4841" s="15">
        <v>2.14</v>
      </c>
      <c r="D4841" s="15"/>
      <c r="E4841" s="15">
        <v>1.83</v>
      </c>
      <c r="F4841" s="15">
        <f t="shared" si="1"/>
        <v>-0.46</v>
      </c>
      <c r="G4841" s="15">
        <f t="shared" si="2"/>
        <v>2.14</v>
      </c>
      <c r="H4841" s="16">
        <v>0.0</v>
      </c>
      <c r="I4841" s="15">
        <f t="shared" si="3"/>
        <v>-0.46</v>
      </c>
      <c r="J4841" s="15">
        <v>12.86</v>
      </c>
      <c r="K4841" s="16">
        <f>IF(COUNTIFS(Release_Calendar!$A$2:$A$755,"US_CPI",Release_Calendar!$B$2:$B$755,$A4841)&gt;0,1,0)</f>
        <v>0</v>
      </c>
      <c r="L4841" s="16">
        <f>IF(COUNTIFS(Release_Calendar!$A$2:$A$755,"US_NFP",Release_Calendar!$B$2:$B$755,$A4841)&gt;0,1,0)</f>
        <v>0</v>
      </c>
      <c r="M4841" s="16">
        <f>IF($A4841&lt;Notes!$B$5,"",IF(COUNTIFS(Release_Calendar!$A$2:$A$755,"NZ_CPI",Release_Calendar!$B$2:$B$755,$A4841)&gt;0,1,0))</f>
        <v>0</v>
      </c>
      <c r="N4841" s="16">
        <f>IF($A4841&lt;Notes!$B$5,"",IF(COUNTIFS(Release_Calendar!$A$2:$A$755,"NZ_GDP",Release_Calendar!$B$2:$B$755,$A4841)&gt;0,1,0))</f>
        <v>0</v>
      </c>
      <c r="O4841" s="16">
        <f>IF($A4841&lt;Notes!$B$5,"",IF(COUNTIFS(Release_Calendar!$A$2:$A$755,"NZ_LABOUR",Release_Calendar!$B$2:$B$755,$A4841)&gt;0,1,0))</f>
        <v>0</v>
      </c>
      <c r="P4841" s="16">
        <f t="shared" si="4"/>
        <v>0</v>
      </c>
    </row>
    <row r="4842" ht="15.75" customHeight="1">
      <c r="A4842" s="14">
        <v>43304.0</v>
      </c>
      <c r="B4842" s="15">
        <v>2.64</v>
      </c>
      <c r="C4842" s="15">
        <v>2.14</v>
      </c>
      <c r="D4842" s="15"/>
      <c r="E4842" s="15">
        <v>1.84</v>
      </c>
      <c r="F4842" s="15">
        <f t="shared" si="1"/>
        <v>-0.5</v>
      </c>
      <c r="G4842" s="15">
        <f t="shared" si="2"/>
        <v>2.14</v>
      </c>
      <c r="H4842" s="16">
        <v>0.0</v>
      </c>
      <c r="I4842" s="15">
        <f t="shared" si="3"/>
        <v>-0.5</v>
      </c>
      <c r="J4842" s="15">
        <v>12.62</v>
      </c>
      <c r="K4842" s="16">
        <f>IF(COUNTIFS(Release_Calendar!$A$2:$A$755,"US_CPI",Release_Calendar!$B$2:$B$755,$A4842)&gt;0,1,0)</f>
        <v>0</v>
      </c>
      <c r="L4842" s="16">
        <f>IF(COUNTIFS(Release_Calendar!$A$2:$A$755,"US_NFP",Release_Calendar!$B$2:$B$755,$A4842)&gt;0,1,0)</f>
        <v>0</v>
      </c>
      <c r="M4842" s="16">
        <f>IF($A4842&lt;Notes!$B$5,"",IF(COUNTIFS(Release_Calendar!$A$2:$A$755,"NZ_CPI",Release_Calendar!$B$2:$B$755,$A4842)&gt;0,1,0))</f>
        <v>0</v>
      </c>
      <c r="N4842" s="16">
        <f>IF($A4842&lt;Notes!$B$5,"",IF(COUNTIFS(Release_Calendar!$A$2:$A$755,"NZ_GDP",Release_Calendar!$B$2:$B$755,$A4842)&gt;0,1,0))</f>
        <v>0</v>
      </c>
      <c r="O4842" s="16">
        <f>IF($A4842&lt;Notes!$B$5,"",IF(COUNTIFS(Release_Calendar!$A$2:$A$755,"NZ_LABOUR",Release_Calendar!$B$2:$B$755,$A4842)&gt;0,1,0))</f>
        <v>0</v>
      </c>
      <c r="P4842" s="16">
        <f t="shared" si="4"/>
        <v>0</v>
      </c>
    </row>
    <row r="4843" ht="15.75" customHeight="1">
      <c r="A4843" s="14">
        <v>43305.0</v>
      </c>
      <c r="B4843" s="15">
        <v>2.63</v>
      </c>
      <c r="C4843" s="15">
        <v>2.14</v>
      </c>
      <c r="D4843" s="15"/>
      <c r="E4843" s="15">
        <v>1.84</v>
      </c>
      <c r="F4843" s="15">
        <f t="shared" si="1"/>
        <v>-0.49</v>
      </c>
      <c r="G4843" s="15">
        <f t="shared" si="2"/>
        <v>2.14</v>
      </c>
      <c r="H4843" s="16">
        <v>0.0</v>
      </c>
      <c r="I4843" s="15">
        <f t="shared" si="3"/>
        <v>-0.49</v>
      </c>
      <c r="J4843" s="15">
        <v>12.41</v>
      </c>
      <c r="K4843" s="16">
        <f>IF(COUNTIFS(Release_Calendar!$A$2:$A$755,"US_CPI",Release_Calendar!$B$2:$B$755,$A4843)&gt;0,1,0)</f>
        <v>0</v>
      </c>
      <c r="L4843" s="16">
        <f>IF(COUNTIFS(Release_Calendar!$A$2:$A$755,"US_NFP",Release_Calendar!$B$2:$B$755,$A4843)&gt;0,1,0)</f>
        <v>0</v>
      </c>
      <c r="M4843" s="16">
        <f>IF($A4843&lt;Notes!$B$5,"",IF(COUNTIFS(Release_Calendar!$A$2:$A$755,"NZ_CPI",Release_Calendar!$B$2:$B$755,$A4843)&gt;0,1,0))</f>
        <v>0</v>
      </c>
      <c r="N4843" s="16">
        <f>IF($A4843&lt;Notes!$B$5,"",IF(COUNTIFS(Release_Calendar!$A$2:$A$755,"NZ_GDP",Release_Calendar!$B$2:$B$755,$A4843)&gt;0,1,0))</f>
        <v>0</v>
      </c>
      <c r="O4843" s="16">
        <f>IF($A4843&lt;Notes!$B$5,"",IF(COUNTIFS(Release_Calendar!$A$2:$A$755,"NZ_LABOUR",Release_Calendar!$B$2:$B$755,$A4843)&gt;0,1,0))</f>
        <v>0</v>
      </c>
      <c r="P4843" s="16">
        <f t="shared" si="4"/>
        <v>0</v>
      </c>
    </row>
    <row r="4844" ht="15.75" customHeight="1">
      <c r="A4844" s="14">
        <v>43306.0</v>
      </c>
      <c r="B4844" s="15">
        <v>2.66</v>
      </c>
      <c r="C4844" s="15">
        <v>2.13</v>
      </c>
      <c r="D4844" s="15"/>
      <c r="E4844" s="15">
        <v>1.83</v>
      </c>
      <c r="F4844" s="15">
        <f t="shared" si="1"/>
        <v>-0.53</v>
      </c>
      <c r="G4844" s="15">
        <f t="shared" si="2"/>
        <v>2.13</v>
      </c>
      <c r="H4844" s="16">
        <v>0.0</v>
      </c>
      <c r="I4844" s="15">
        <f t="shared" si="3"/>
        <v>-0.53</v>
      </c>
      <c r="J4844" s="15">
        <v>12.29</v>
      </c>
      <c r="K4844" s="16">
        <f>IF(COUNTIFS(Release_Calendar!$A$2:$A$755,"US_CPI",Release_Calendar!$B$2:$B$755,$A4844)&gt;0,1,0)</f>
        <v>0</v>
      </c>
      <c r="L4844" s="16">
        <f>IF(COUNTIFS(Release_Calendar!$A$2:$A$755,"US_NFP",Release_Calendar!$B$2:$B$755,$A4844)&gt;0,1,0)</f>
        <v>0</v>
      </c>
      <c r="M4844" s="16">
        <f>IF($A4844&lt;Notes!$B$5,"",IF(COUNTIFS(Release_Calendar!$A$2:$A$755,"NZ_CPI",Release_Calendar!$B$2:$B$755,$A4844)&gt;0,1,0))</f>
        <v>0</v>
      </c>
      <c r="N4844" s="16">
        <f>IF($A4844&lt;Notes!$B$5,"",IF(COUNTIFS(Release_Calendar!$A$2:$A$755,"NZ_GDP",Release_Calendar!$B$2:$B$755,$A4844)&gt;0,1,0))</f>
        <v>0</v>
      </c>
      <c r="O4844" s="16">
        <f>IF($A4844&lt;Notes!$B$5,"",IF(COUNTIFS(Release_Calendar!$A$2:$A$755,"NZ_LABOUR",Release_Calendar!$B$2:$B$755,$A4844)&gt;0,1,0))</f>
        <v>0</v>
      </c>
      <c r="P4844" s="16">
        <f t="shared" si="4"/>
        <v>0</v>
      </c>
    </row>
    <row r="4845" ht="15.75" customHeight="1">
      <c r="A4845" s="14">
        <v>43307.0</v>
      </c>
      <c r="B4845" s="15">
        <v>2.69</v>
      </c>
      <c r="C4845" s="15">
        <v>2.13</v>
      </c>
      <c r="D4845" s="15"/>
      <c r="E4845" s="15">
        <v>1.82</v>
      </c>
      <c r="F4845" s="15">
        <f t="shared" si="1"/>
        <v>-0.56</v>
      </c>
      <c r="G4845" s="15">
        <f t="shared" si="2"/>
        <v>2.13</v>
      </c>
      <c r="H4845" s="16">
        <v>0.0</v>
      </c>
      <c r="I4845" s="15">
        <f t="shared" si="3"/>
        <v>-0.56</v>
      </c>
      <c r="J4845" s="15">
        <v>12.14</v>
      </c>
      <c r="K4845" s="16">
        <f>IF(COUNTIFS(Release_Calendar!$A$2:$A$755,"US_CPI",Release_Calendar!$B$2:$B$755,$A4845)&gt;0,1,0)</f>
        <v>0</v>
      </c>
      <c r="L4845" s="16">
        <f>IF(COUNTIFS(Release_Calendar!$A$2:$A$755,"US_NFP",Release_Calendar!$B$2:$B$755,$A4845)&gt;0,1,0)</f>
        <v>0</v>
      </c>
      <c r="M4845" s="16">
        <f>IF($A4845&lt;Notes!$B$5,"",IF(COUNTIFS(Release_Calendar!$A$2:$A$755,"NZ_CPI",Release_Calendar!$B$2:$B$755,$A4845)&gt;0,1,0))</f>
        <v>0</v>
      </c>
      <c r="N4845" s="16">
        <f>IF($A4845&lt;Notes!$B$5,"",IF(COUNTIFS(Release_Calendar!$A$2:$A$755,"NZ_GDP",Release_Calendar!$B$2:$B$755,$A4845)&gt;0,1,0))</f>
        <v>0</v>
      </c>
      <c r="O4845" s="16">
        <f>IF($A4845&lt;Notes!$B$5,"",IF(COUNTIFS(Release_Calendar!$A$2:$A$755,"NZ_LABOUR",Release_Calendar!$B$2:$B$755,$A4845)&gt;0,1,0))</f>
        <v>0</v>
      </c>
      <c r="P4845" s="16">
        <f t="shared" si="4"/>
        <v>0</v>
      </c>
    </row>
    <row r="4846" ht="15.75" customHeight="1">
      <c r="A4846" s="14">
        <v>43308.0</v>
      </c>
      <c r="B4846" s="15">
        <v>2.67</v>
      </c>
      <c r="C4846" s="15">
        <v>2.13</v>
      </c>
      <c r="D4846" s="15"/>
      <c r="E4846" s="15">
        <v>1.81</v>
      </c>
      <c r="F4846" s="15">
        <f t="shared" si="1"/>
        <v>-0.54</v>
      </c>
      <c r="G4846" s="15">
        <f t="shared" si="2"/>
        <v>2.13</v>
      </c>
      <c r="H4846" s="16">
        <v>0.0</v>
      </c>
      <c r="I4846" s="15">
        <f t="shared" si="3"/>
        <v>-0.54</v>
      </c>
      <c r="J4846" s="15">
        <v>13.03</v>
      </c>
      <c r="K4846" s="16">
        <f>IF(COUNTIFS(Release_Calendar!$A$2:$A$755,"US_CPI",Release_Calendar!$B$2:$B$755,$A4846)&gt;0,1,0)</f>
        <v>0</v>
      </c>
      <c r="L4846" s="16">
        <f>IF(COUNTIFS(Release_Calendar!$A$2:$A$755,"US_NFP",Release_Calendar!$B$2:$B$755,$A4846)&gt;0,1,0)</f>
        <v>0</v>
      </c>
      <c r="M4846" s="16">
        <f>IF($A4846&lt;Notes!$B$5,"",IF(COUNTIFS(Release_Calendar!$A$2:$A$755,"NZ_CPI",Release_Calendar!$B$2:$B$755,$A4846)&gt;0,1,0))</f>
        <v>0</v>
      </c>
      <c r="N4846" s="16">
        <f>IF($A4846&lt;Notes!$B$5,"",IF(COUNTIFS(Release_Calendar!$A$2:$A$755,"NZ_GDP",Release_Calendar!$B$2:$B$755,$A4846)&gt;0,1,0))</f>
        <v>0</v>
      </c>
      <c r="O4846" s="16">
        <f>IF($A4846&lt;Notes!$B$5,"",IF(COUNTIFS(Release_Calendar!$A$2:$A$755,"NZ_LABOUR",Release_Calendar!$B$2:$B$755,$A4846)&gt;0,1,0))</f>
        <v>0</v>
      </c>
      <c r="P4846" s="16">
        <f t="shared" si="4"/>
        <v>0</v>
      </c>
    </row>
    <row r="4847" ht="15.75" customHeight="1">
      <c r="A4847" s="14">
        <v>43311.0</v>
      </c>
      <c r="B4847" s="15">
        <v>2.66</v>
      </c>
      <c r="C4847" s="15">
        <v>2.13</v>
      </c>
      <c r="D4847" s="15"/>
      <c r="E4847" s="15">
        <v>1.81</v>
      </c>
      <c r="F4847" s="15">
        <f t="shared" si="1"/>
        <v>-0.53</v>
      </c>
      <c r="G4847" s="15">
        <f t="shared" si="2"/>
        <v>2.13</v>
      </c>
      <c r="H4847" s="16">
        <v>0.0</v>
      </c>
      <c r="I4847" s="15">
        <f t="shared" si="3"/>
        <v>-0.53</v>
      </c>
      <c r="J4847" s="15">
        <v>14.26</v>
      </c>
      <c r="K4847" s="16">
        <f>IF(COUNTIFS(Release_Calendar!$A$2:$A$755,"US_CPI",Release_Calendar!$B$2:$B$755,$A4847)&gt;0,1,0)</f>
        <v>0</v>
      </c>
      <c r="L4847" s="16">
        <f>IF(COUNTIFS(Release_Calendar!$A$2:$A$755,"US_NFP",Release_Calendar!$B$2:$B$755,$A4847)&gt;0,1,0)</f>
        <v>0</v>
      </c>
      <c r="M4847" s="16">
        <f>IF($A4847&lt;Notes!$B$5,"",IF(COUNTIFS(Release_Calendar!$A$2:$A$755,"NZ_CPI",Release_Calendar!$B$2:$B$755,$A4847)&gt;0,1,0))</f>
        <v>0</v>
      </c>
      <c r="N4847" s="16">
        <f>IF($A4847&lt;Notes!$B$5,"",IF(COUNTIFS(Release_Calendar!$A$2:$A$755,"NZ_GDP",Release_Calendar!$B$2:$B$755,$A4847)&gt;0,1,0))</f>
        <v>0</v>
      </c>
      <c r="O4847" s="16">
        <f>IF($A4847&lt;Notes!$B$5,"",IF(COUNTIFS(Release_Calendar!$A$2:$A$755,"NZ_LABOUR",Release_Calendar!$B$2:$B$755,$A4847)&gt;0,1,0))</f>
        <v>0</v>
      </c>
      <c r="P4847" s="16">
        <f t="shared" si="4"/>
        <v>0</v>
      </c>
    </row>
    <row r="4848" ht="15.75" customHeight="1">
      <c r="A4848" s="14">
        <v>43312.0</v>
      </c>
      <c r="B4848" s="15">
        <v>2.67</v>
      </c>
      <c r="C4848" s="15">
        <v>2.14</v>
      </c>
      <c r="D4848" s="15"/>
      <c r="E4848" s="15">
        <v>1.82</v>
      </c>
      <c r="F4848" s="15">
        <f t="shared" si="1"/>
        <v>-0.53</v>
      </c>
      <c r="G4848" s="15">
        <f t="shared" si="2"/>
        <v>2.14</v>
      </c>
      <c r="H4848" s="16">
        <v>0.0</v>
      </c>
      <c r="I4848" s="15">
        <f t="shared" si="3"/>
        <v>-0.53</v>
      </c>
      <c r="J4848" s="15">
        <v>12.83</v>
      </c>
      <c r="K4848" s="16">
        <f>IF(COUNTIFS(Release_Calendar!$A$2:$A$755,"US_CPI",Release_Calendar!$B$2:$B$755,$A4848)&gt;0,1,0)</f>
        <v>0</v>
      </c>
      <c r="L4848" s="16">
        <f>IF(COUNTIFS(Release_Calendar!$A$2:$A$755,"US_NFP",Release_Calendar!$B$2:$B$755,$A4848)&gt;0,1,0)</f>
        <v>0</v>
      </c>
      <c r="M4848" s="16">
        <f>IF($A4848&lt;Notes!$B$5,"",IF(COUNTIFS(Release_Calendar!$A$2:$A$755,"NZ_CPI",Release_Calendar!$B$2:$B$755,$A4848)&gt;0,1,0))</f>
        <v>0</v>
      </c>
      <c r="N4848" s="16">
        <f>IF($A4848&lt;Notes!$B$5,"",IF(COUNTIFS(Release_Calendar!$A$2:$A$755,"NZ_GDP",Release_Calendar!$B$2:$B$755,$A4848)&gt;0,1,0))</f>
        <v>0</v>
      </c>
      <c r="O4848" s="16">
        <f>IF($A4848&lt;Notes!$B$5,"",IF(COUNTIFS(Release_Calendar!$A$2:$A$755,"NZ_LABOUR",Release_Calendar!$B$2:$B$755,$A4848)&gt;0,1,0))</f>
        <v>0</v>
      </c>
      <c r="P4848" s="16">
        <f t="shared" si="4"/>
        <v>0</v>
      </c>
    </row>
    <row r="4849" ht="15.75" customHeight="1">
      <c r="A4849" s="14">
        <v>43313.0</v>
      </c>
      <c r="B4849" s="15">
        <v>2.67</v>
      </c>
      <c r="C4849" s="15">
        <v>2.13</v>
      </c>
      <c r="D4849" s="15"/>
      <c r="E4849" s="15">
        <v>1.83</v>
      </c>
      <c r="F4849" s="15">
        <f t="shared" si="1"/>
        <v>-0.54</v>
      </c>
      <c r="G4849" s="15">
        <f t="shared" si="2"/>
        <v>2.13</v>
      </c>
      <c r="H4849" s="16">
        <v>0.0</v>
      </c>
      <c r="I4849" s="15">
        <f t="shared" si="3"/>
        <v>-0.54</v>
      </c>
      <c r="J4849" s="15">
        <v>13.15</v>
      </c>
      <c r="K4849" s="16">
        <f>IF(COUNTIFS(Release_Calendar!$A$2:$A$755,"US_CPI",Release_Calendar!$B$2:$B$755,$A4849)&gt;0,1,0)</f>
        <v>0</v>
      </c>
      <c r="L4849" s="16">
        <f>IF(COUNTIFS(Release_Calendar!$A$2:$A$755,"US_NFP",Release_Calendar!$B$2:$B$755,$A4849)&gt;0,1,0)</f>
        <v>0</v>
      </c>
      <c r="M4849" s="16">
        <f>IF($A4849&lt;Notes!$B$5,"",IF(COUNTIFS(Release_Calendar!$A$2:$A$755,"NZ_CPI",Release_Calendar!$B$2:$B$755,$A4849)&gt;0,1,0))</f>
        <v>0</v>
      </c>
      <c r="N4849" s="16">
        <f>IF($A4849&lt;Notes!$B$5,"",IF(COUNTIFS(Release_Calendar!$A$2:$A$755,"NZ_GDP",Release_Calendar!$B$2:$B$755,$A4849)&gt;0,1,0))</f>
        <v>0</v>
      </c>
      <c r="O4849" s="16">
        <f>IF($A4849&lt;Notes!$B$5,"",IF(COUNTIFS(Release_Calendar!$A$2:$A$755,"NZ_LABOUR",Release_Calendar!$B$2:$B$755,$A4849)&gt;0,1,0))</f>
        <v>1</v>
      </c>
      <c r="P4849" s="16">
        <f t="shared" si="4"/>
        <v>1</v>
      </c>
    </row>
    <row r="4850" ht="15.75" customHeight="1">
      <c r="A4850" s="14">
        <v>43314.0</v>
      </c>
      <c r="B4850" s="15">
        <v>2.66</v>
      </c>
      <c r="C4850" s="15">
        <v>2.14</v>
      </c>
      <c r="D4850" s="15"/>
      <c r="E4850" s="15">
        <v>1.83</v>
      </c>
      <c r="F4850" s="15">
        <f t="shared" si="1"/>
        <v>-0.52</v>
      </c>
      <c r="G4850" s="15">
        <f t="shared" si="2"/>
        <v>2.14</v>
      </c>
      <c r="H4850" s="16">
        <v>0.0</v>
      </c>
      <c r="I4850" s="15">
        <f t="shared" si="3"/>
        <v>-0.52</v>
      </c>
      <c r="J4850" s="15">
        <v>12.19</v>
      </c>
      <c r="K4850" s="16">
        <f>IF(COUNTIFS(Release_Calendar!$A$2:$A$755,"US_CPI",Release_Calendar!$B$2:$B$755,$A4850)&gt;0,1,0)</f>
        <v>0</v>
      </c>
      <c r="L4850" s="16">
        <f>IF(COUNTIFS(Release_Calendar!$A$2:$A$755,"US_NFP",Release_Calendar!$B$2:$B$755,$A4850)&gt;0,1,0)</f>
        <v>0</v>
      </c>
      <c r="M4850" s="16">
        <f>IF($A4850&lt;Notes!$B$5,"",IF(COUNTIFS(Release_Calendar!$A$2:$A$755,"NZ_CPI",Release_Calendar!$B$2:$B$755,$A4850)&gt;0,1,0))</f>
        <v>0</v>
      </c>
      <c r="N4850" s="16">
        <f>IF($A4850&lt;Notes!$B$5,"",IF(COUNTIFS(Release_Calendar!$A$2:$A$755,"NZ_GDP",Release_Calendar!$B$2:$B$755,$A4850)&gt;0,1,0))</f>
        <v>0</v>
      </c>
      <c r="O4850" s="16">
        <f>IF($A4850&lt;Notes!$B$5,"",IF(COUNTIFS(Release_Calendar!$A$2:$A$755,"NZ_LABOUR",Release_Calendar!$B$2:$B$755,$A4850)&gt;0,1,0))</f>
        <v>0</v>
      </c>
      <c r="P4850" s="16">
        <f t="shared" si="4"/>
        <v>0</v>
      </c>
    </row>
    <row r="4851" ht="15.75" customHeight="1">
      <c r="A4851" s="14">
        <v>43315.0</v>
      </c>
      <c r="B4851" s="15">
        <v>2.63</v>
      </c>
      <c r="C4851" s="15">
        <v>2.12</v>
      </c>
      <c r="D4851" s="15"/>
      <c r="E4851" s="15">
        <v>1.82</v>
      </c>
      <c r="F4851" s="15">
        <f t="shared" si="1"/>
        <v>-0.51</v>
      </c>
      <c r="G4851" s="15">
        <f t="shared" si="2"/>
        <v>2.12</v>
      </c>
      <c r="H4851" s="16">
        <v>0.0</v>
      </c>
      <c r="I4851" s="15">
        <f t="shared" si="3"/>
        <v>-0.51</v>
      </c>
      <c r="J4851" s="15">
        <v>11.64</v>
      </c>
      <c r="K4851" s="16">
        <f>IF(COUNTIFS(Release_Calendar!$A$2:$A$755,"US_CPI",Release_Calendar!$B$2:$B$755,$A4851)&gt;0,1,0)</f>
        <v>0</v>
      </c>
      <c r="L4851" s="16">
        <f>IF(COUNTIFS(Release_Calendar!$A$2:$A$755,"US_NFP",Release_Calendar!$B$2:$B$755,$A4851)&gt;0,1,0)</f>
        <v>1</v>
      </c>
      <c r="M4851" s="16">
        <f>IF($A4851&lt;Notes!$B$5,"",IF(COUNTIFS(Release_Calendar!$A$2:$A$755,"NZ_CPI",Release_Calendar!$B$2:$B$755,$A4851)&gt;0,1,0))</f>
        <v>0</v>
      </c>
      <c r="N4851" s="16">
        <f>IF($A4851&lt;Notes!$B$5,"",IF(COUNTIFS(Release_Calendar!$A$2:$A$755,"NZ_GDP",Release_Calendar!$B$2:$B$755,$A4851)&gt;0,1,0))</f>
        <v>0</v>
      </c>
      <c r="O4851" s="16">
        <f>IF($A4851&lt;Notes!$B$5,"",IF(COUNTIFS(Release_Calendar!$A$2:$A$755,"NZ_LABOUR",Release_Calendar!$B$2:$B$755,$A4851)&gt;0,1,0))</f>
        <v>0</v>
      </c>
      <c r="P4851" s="16">
        <f t="shared" si="4"/>
        <v>1</v>
      </c>
    </row>
    <row r="4852" ht="15.75" customHeight="1">
      <c r="A4852" s="14">
        <v>43318.0</v>
      </c>
      <c r="B4852" s="15">
        <v>2.64</v>
      </c>
      <c r="C4852" s="15">
        <v>2.1</v>
      </c>
      <c r="D4852" s="15"/>
      <c r="E4852" s="15">
        <v>1.79</v>
      </c>
      <c r="F4852" s="15">
        <f t="shared" si="1"/>
        <v>-0.54</v>
      </c>
      <c r="G4852" s="15">
        <f t="shared" si="2"/>
        <v>2.1</v>
      </c>
      <c r="H4852" s="16">
        <v>0.0</v>
      </c>
      <c r="I4852" s="15">
        <f t="shared" si="3"/>
        <v>-0.54</v>
      </c>
      <c r="J4852" s="15">
        <v>11.27</v>
      </c>
      <c r="K4852" s="16">
        <f>IF(COUNTIFS(Release_Calendar!$A$2:$A$755,"US_CPI",Release_Calendar!$B$2:$B$755,$A4852)&gt;0,1,0)</f>
        <v>0</v>
      </c>
      <c r="L4852" s="16">
        <f>IF(COUNTIFS(Release_Calendar!$A$2:$A$755,"US_NFP",Release_Calendar!$B$2:$B$755,$A4852)&gt;0,1,0)</f>
        <v>0</v>
      </c>
      <c r="M4852" s="16">
        <f>IF($A4852&lt;Notes!$B$5,"",IF(COUNTIFS(Release_Calendar!$A$2:$A$755,"NZ_CPI",Release_Calendar!$B$2:$B$755,$A4852)&gt;0,1,0))</f>
        <v>0</v>
      </c>
      <c r="N4852" s="16">
        <f>IF($A4852&lt;Notes!$B$5,"",IF(COUNTIFS(Release_Calendar!$A$2:$A$755,"NZ_GDP",Release_Calendar!$B$2:$B$755,$A4852)&gt;0,1,0))</f>
        <v>0</v>
      </c>
      <c r="O4852" s="16">
        <f>IF($A4852&lt;Notes!$B$5,"",IF(COUNTIFS(Release_Calendar!$A$2:$A$755,"NZ_LABOUR",Release_Calendar!$B$2:$B$755,$A4852)&gt;0,1,0))</f>
        <v>0</v>
      </c>
      <c r="P4852" s="16">
        <f t="shared" si="4"/>
        <v>0</v>
      </c>
    </row>
    <row r="4853" ht="15.75" customHeight="1">
      <c r="A4853" s="14">
        <v>43319.0</v>
      </c>
      <c r="B4853" s="15">
        <v>2.68</v>
      </c>
      <c r="C4853" s="15">
        <v>2.1</v>
      </c>
      <c r="D4853" s="15"/>
      <c r="E4853" s="15">
        <v>1.78</v>
      </c>
      <c r="F4853" s="15">
        <f t="shared" si="1"/>
        <v>-0.58</v>
      </c>
      <c r="G4853" s="15">
        <f t="shared" si="2"/>
        <v>2.1</v>
      </c>
      <c r="H4853" s="16">
        <v>0.0</v>
      </c>
      <c r="I4853" s="15">
        <f t="shared" si="3"/>
        <v>-0.58</v>
      </c>
      <c r="J4853" s="15">
        <v>10.93</v>
      </c>
      <c r="K4853" s="16">
        <f>IF(COUNTIFS(Release_Calendar!$A$2:$A$755,"US_CPI",Release_Calendar!$B$2:$B$755,$A4853)&gt;0,1,0)</f>
        <v>0</v>
      </c>
      <c r="L4853" s="16">
        <f>IF(COUNTIFS(Release_Calendar!$A$2:$A$755,"US_NFP",Release_Calendar!$B$2:$B$755,$A4853)&gt;0,1,0)</f>
        <v>0</v>
      </c>
      <c r="M4853" s="16">
        <f>IF($A4853&lt;Notes!$B$5,"",IF(COUNTIFS(Release_Calendar!$A$2:$A$755,"NZ_CPI",Release_Calendar!$B$2:$B$755,$A4853)&gt;0,1,0))</f>
        <v>0</v>
      </c>
      <c r="N4853" s="16">
        <f>IF($A4853&lt;Notes!$B$5,"",IF(COUNTIFS(Release_Calendar!$A$2:$A$755,"NZ_GDP",Release_Calendar!$B$2:$B$755,$A4853)&gt;0,1,0))</f>
        <v>0</v>
      </c>
      <c r="O4853" s="16">
        <f>IF($A4853&lt;Notes!$B$5,"",IF(COUNTIFS(Release_Calendar!$A$2:$A$755,"NZ_LABOUR",Release_Calendar!$B$2:$B$755,$A4853)&gt;0,1,0))</f>
        <v>0</v>
      </c>
      <c r="P4853" s="16">
        <f t="shared" si="4"/>
        <v>0</v>
      </c>
    </row>
    <row r="4854" ht="15.75" customHeight="1">
      <c r="A4854" s="14">
        <v>43320.0</v>
      </c>
      <c r="B4854" s="15">
        <v>2.68</v>
      </c>
      <c r="C4854" s="15">
        <v>2.11</v>
      </c>
      <c r="D4854" s="15"/>
      <c r="E4854" s="15">
        <v>1.8</v>
      </c>
      <c r="F4854" s="15">
        <f t="shared" si="1"/>
        <v>-0.57</v>
      </c>
      <c r="G4854" s="15">
        <f t="shared" si="2"/>
        <v>2.11</v>
      </c>
      <c r="H4854" s="16">
        <v>0.0</v>
      </c>
      <c r="I4854" s="15">
        <f t="shared" si="3"/>
        <v>-0.57</v>
      </c>
      <c r="J4854" s="15">
        <v>10.85</v>
      </c>
      <c r="K4854" s="16">
        <f>IF(COUNTIFS(Release_Calendar!$A$2:$A$755,"US_CPI",Release_Calendar!$B$2:$B$755,$A4854)&gt;0,1,0)</f>
        <v>0</v>
      </c>
      <c r="L4854" s="16">
        <f>IF(COUNTIFS(Release_Calendar!$A$2:$A$755,"US_NFP",Release_Calendar!$B$2:$B$755,$A4854)&gt;0,1,0)</f>
        <v>0</v>
      </c>
      <c r="M4854" s="16">
        <f>IF($A4854&lt;Notes!$B$5,"",IF(COUNTIFS(Release_Calendar!$A$2:$A$755,"NZ_CPI",Release_Calendar!$B$2:$B$755,$A4854)&gt;0,1,0))</f>
        <v>0</v>
      </c>
      <c r="N4854" s="16">
        <f>IF($A4854&lt;Notes!$B$5,"",IF(COUNTIFS(Release_Calendar!$A$2:$A$755,"NZ_GDP",Release_Calendar!$B$2:$B$755,$A4854)&gt;0,1,0))</f>
        <v>0</v>
      </c>
      <c r="O4854" s="16">
        <f>IF($A4854&lt;Notes!$B$5,"",IF(COUNTIFS(Release_Calendar!$A$2:$A$755,"NZ_LABOUR",Release_Calendar!$B$2:$B$755,$A4854)&gt;0,1,0))</f>
        <v>0</v>
      </c>
      <c r="P4854" s="16">
        <f t="shared" si="4"/>
        <v>0</v>
      </c>
    </row>
    <row r="4855" ht="15.75" customHeight="1">
      <c r="A4855" s="14">
        <v>43321.0</v>
      </c>
      <c r="B4855" s="15">
        <v>2.64</v>
      </c>
      <c r="C4855" s="15">
        <v>2.04</v>
      </c>
      <c r="D4855" s="15"/>
      <c r="E4855" s="15">
        <v>1.75</v>
      </c>
      <c r="F4855" s="15">
        <f t="shared" si="1"/>
        <v>-0.6</v>
      </c>
      <c r="G4855" s="15">
        <f t="shared" si="2"/>
        <v>2.04</v>
      </c>
      <c r="H4855" s="16">
        <v>0.0</v>
      </c>
      <c r="I4855" s="15">
        <f t="shared" si="3"/>
        <v>-0.6</v>
      </c>
      <c r="J4855" s="15">
        <v>11.27</v>
      </c>
      <c r="K4855" s="16">
        <f>IF(COUNTIFS(Release_Calendar!$A$2:$A$755,"US_CPI",Release_Calendar!$B$2:$B$755,$A4855)&gt;0,1,0)</f>
        <v>0</v>
      </c>
      <c r="L4855" s="16">
        <f>IF(COUNTIFS(Release_Calendar!$A$2:$A$755,"US_NFP",Release_Calendar!$B$2:$B$755,$A4855)&gt;0,1,0)</f>
        <v>0</v>
      </c>
      <c r="M4855" s="16">
        <f>IF($A4855&lt;Notes!$B$5,"",IF(COUNTIFS(Release_Calendar!$A$2:$A$755,"NZ_CPI",Release_Calendar!$B$2:$B$755,$A4855)&gt;0,1,0))</f>
        <v>0</v>
      </c>
      <c r="N4855" s="16">
        <f>IF($A4855&lt;Notes!$B$5,"",IF(COUNTIFS(Release_Calendar!$A$2:$A$755,"NZ_GDP",Release_Calendar!$B$2:$B$755,$A4855)&gt;0,1,0))</f>
        <v>0</v>
      </c>
      <c r="O4855" s="16">
        <f>IF($A4855&lt;Notes!$B$5,"",IF(COUNTIFS(Release_Calendar!$A$2:$A$755,"NZ_LABOUR",Release_Calendar!$B$2:$B$755,$A4855)&gt;0,1,0))</f>
        <v>0</v>
      </c>
      <c r="P4855" s="16">
        <f t="shared" si="4"/>
        <v>0</v>
      </c>
    </row>
    <row r="4856" ht="15.75" customHeight="1">
      <c r="A4856" s="14">
        <v>43322.0</v>
      </c>
      <c r="B4856" s="15">
        <v>2.61</v>
      </c>
      <c r="C4856" s="15">
        <v>1.99</v>
      </c>
      <c r="D4856" s="15"/>
      <c r="E4856" s="15">
        <v>1.69</v>
      </c>
      <c r="F4856" s="15">
        <f t="shared" si="1"/>
        <v>-0.62</v>
      </c>
      <c r="G4856" s="15">
        <f t="shared" si="2"/>
        <v>1.99</v>
      </c>
      <c r="H4856" s="16">
        <v>0.0</v>
      </c>
      <c r="I4856" s="15">
        <f t="shared" si="3"/>
        <v>-0.62</v>
      </c>
      <c r="J4856" s="15">
        <v>13.16</v>
      </c>
      <c r="K4856" s="16">
        <f>IF(COUNTIFS(Release_Calendar!$A$2:$A$755,"US_CPI",Release_Calendar!$B$2:$B$755,$A4856)&gt;0,1,0)</f>
        <v>1</v>
      </c>
      <c r="L4856" s="16">
        <f>IF(COUNTIFS(Release_Calendar!$A$2:$A$755,"US_NFP",Release_Calendar!$B$2:$B$755,$A4856)&gt;0,1,0)</f>
        <v>0</v>
      </c>
      <c r="M4856" s="16">
        <f>IF($A4856&lt;Notes!$B$5,"",IF(COUNTIFS(Release_Calendar!$A$2:$A$755,"NZ_CPI",Release_Calendar!$B$2:$B$755,$A4856)&gt;0,1,0))</f>
        <v>0</v>
      </c>
      <c r="N4856" s="16">
        <f>IF($A4856&lt;Notes!$B$5,"",IF(COUNTIFS(Release_Calendar!$A$2:$A$755,"NZ_GDP",Release_Calendar!$B$2:$B$755,$A4856)&gt;0,1,0))</f>
        <v>0</v>
      </c>
      <c r="O4856" s="16">
        <f>IF($A4856&lt;Notes!$B$5,"",IF(COUNTIFS(Release_Calendar!$A$2:$A$755,"NZ_LABOUR",Release_Calendar!$B$2:$B$755,$A4856)&gt;0,1,0))</f>
        <v>0</v>
      </c>
      <c r="P4856" s="16">
        <f t="shared" si="4"/>
        <v>1</v>
      </c>
    </row>
    <row r="4857" ht="15.75" customHeight="1">
      <c r="A4857" s="14">
        <v>43325.0</v>
      </c>
      <c r="B4857" s="15">
        <v>2.61</v>
      </c>
      <c r="C4857" s="15">
        <v>2.01</v>
      </c>
      <c r="D4857" s="15"/>
      <c r="E4857" s="15">
        <v>1.7</v>
      </c>
      <c r="F4857" s="15">
        <f t="shared" si="1"/>
        <v>-0.6</v>
      </c>
      <c r="G4857" s="15">
        <f t="shared" si="2"/>
        <v>2.01</v>
      </c>
      <c r="H4857" s="16">
        <v>0.0</v>
      </c>
      <c r="I4857" s="15">
        <f t="shared" si="3"/>
        <v>-0.6</v>
      </c>
      <c r="J4857" s="15">
        <v>14.78</v>
      </c>
      <c r="K4857" s="16">
        <f>IF(COUNTIFS(Release_Calendar!$A$2:$A$755,"US_CPI",Release_Calendar!$B$2:$B$755,$A4857)&gt;0,1,0)</f>
        <v>0</v>
      </c>
      <c r="L4857" s="16">
        <f>IF(COUNTIFS(Release_Calendar!$A$2:$A$755,"US_NFP",Release_Calendar!$B$2:$B$755,$A4857)&gt;0,1,0)</f>
        <v>0</v>
      </c>
      <c r="M4857" s="16">
        <f>IF($A4857&lt;Notes!$B$5,"",IF(COUNTIFS(Release_Calendar!$A$2:$A$755,"NZ_CPI",Release_Calendar!$B$2:$B$755,$A4857)&gt;0,1,0))</f>
        <v>0</v>
      </c>
      <c r="N4857" s="16">
        <f>IF($A4857&lt;Notes!$B$5,"",IF(COUNTIFS(Release_Calendar!$A$2:$A$755,"NZ_GDP",Release_Calendar!$B$2:$B$755,$A4857)&gt;0,1,0))</f>
        <v>0</v>
      </c>
      <c r="O4857" s="16">
        <f>IF($A4857&lt;Notes!$B$5,"",IF(COUNTIFS(Release_Calendar!$A$2:$A$755,"NZ_LABOUR",Release_Calendar!$B$2:$B$755,$A4857)&gt;0,1,0))</f>
        <v>0</v>
      </c>
      <c r="P4857" s="16">
        <f t="shared" si="4"/>
        <v>0</v>
      </c>
    </row>
    <row r="4858" ht="15.75" customHeight="1">
      <c r="A4858" s="14">
        <v>43326.0</v>
      </c>
      <c r="B4858" s="15">
        <v>2.63</v>
      </c>
      <c r="C4858" s="15">
        <v>2.03</v>
      </c>
      <c r="D4858" s="15"/>
      <c r="E4858" s="15">
        <v>1.71</v>
      </c>
      <c r="F4858" s="15">
        <f t="shared" si="1"/>
        <v>-0.6</v>
      </c>
      <c r="G4858" s="15">
        <f t="shared" si="2"/>
        <v>2.03</v>
      </c>
      <c r="H4858" s="16">
        <v>0.0</v>
      </c>
      <c r="I4858" s="15">
        <f t="shared" si="3"/>
        <v>-0.6</v>
      </c>
      <c r="J4858" s="15">
        <v>13.31</v>
      </c>
      <c r="K4858" s="16">
        <f>IF(COUNTIFS(Release_Calendar!$A$2:$A$755,"US_CPI",Release_Calendar!$B$2:$B$755,$A4858)&gt;0,1,0)</f>
        <v>0</v>
      </c>
      <c r="L4858" s="16">
        <f>IF(COUNTIFS(Release_Calendar!$A$2:$A$755,"US_NFP",Release_Calendar!$B$2:$B$755,$A4858)&gt;0,1,0)</f>
        <v>0</v>
      </c>
      <c r="M4858" s="16">
        <f>IF($A4858&lt;Notes!$B$5,"",IF(COUNTIFS(Release_Calendar!$A$2:$A$755,"NZ_CPI",Release_Calendar!$B$2:$B$755,$A4858)&gt;0,1,0))</f>
        <v>0</v>
      </c>
      <c r="N4858" s="16">
        <f>IF($A4858&lt;Notes!$B$5,"",IF(COUNTIFS(Release_Calendar!$A$2:$A$755,"NZ_GDP",Release_Calendar!$B$2:$B$755,$A4858)&gt;0,1,0))</f>
        <v>0</v>
      </c>
      <c r="O4858" s="16">
        <f>IF($A4858&lt;Notes!$B$5,"",IF(COUNTIFS(Release_Calendar!$A$2:$A$755,"NZ_LABOUR",Release_Calendar!$B$2:$B$755,$A4858)&gt;0,1,0))</f>
        <v>0</v>
      </c>
      <c r="P4858" s="16">
        <f t="shared" si="4"/>
        <v>0</v>
      </c>
    </row>
    <row r="4859" ht="15.75" customHeight="1">
      <c r="A4859" s="14">
        <v>43327.0</v>
      </c>
      <c r="B4859" s="15">
        <v>2.61</v>
      </c>
      <c r="C4859" s="15">
        <v>2.02</v>
      </c>
      <c r="D4859" s="15"/>
      <c r="E4859" s="15">
        <v>1.71</v>
      </c>
      <c r="F4859" s="15">
        <f t="shared" si="1"/>
        <v>-0.59</v>
      </c>
      <c r="G4859" s="15">
        <f t="shared" si="2"/>
        <v>2.02</v>
      </c>
      <c r="H4859" s="16">
        <v>0.0</v>
      </c>
      <c r="I4859" s="15">
        <f t="shared" si="3"/>
        <v>-0.59</v>
      </c>
      <c r="J4859" s="15">
        <v>14.64</v>
      </c>
      <c r="K4859" s="16">
        <f>IF(COUNTIFS(Release_Calendar!$A$2:$A$755,"US_CPI",Release_Calendar!$B$2:$B$755,$A4859)&gt;0,1,0)</f>
        <v>0</v>
      </c>
      <c r="L4859" s="16">
        <f>IF(COUNTIFS(Release_Calendar!$A$2:$A$755,"US_NFP",Release_Calendar!$B$2:$B$755,$A4859)&gt;0,1,0)</f>
        <v>0</v>
      </c>
      <c r="M4859" s="16">
        <f>IF($A4859&lt;Notes!$B$5,"",IF(COUNTIFS(Release_Calendar!$A$2:$A$755,"NZ_CPI",Release_Calendar!$B$2:$B$755,$A4859)&gt;0,1,0))</f>
        <v>0</v>
      </c>
      <c r="N4859" s="16">
        <f>IF($A4859&lt;Notes!$B$5,"",IF(COUNTIFS(Release_Calendar!$A$2:$A$755,"NZ_GDP",Release_Calendar!$B$2:$B$755,$A4859)&gt;0,1,0))</f>
        <v>0</v>
      </c>
      <c r="O4859" s="16">
        <f>IF($A4859&lt;Notes!$B$5,"",IF(COUNTIFS(Release_Calendar!$A$2:$A$755,"NZ_LABOUR",Release_Calendar!$B$2:$B$755,$A4859)&gt;0,1,0))</f>
        <v>0</v>
      </c>
      <c r="P4859" s="16">
        <f t="shared" si="4"/>
        <v>0</v>
      </c>
    </row>
    <row r="4860" ht="15.75" customHeight="1">
      <c r="A4860" s="14">
        <v>43328.0</v>
      </c>
      <c r="B4860" s="15">
        <v>2.63</v>
      </c>
      <c r="C4860" s="15">
        <v>2.03</v>
      </c>
      <c r="D4860" s="15"/>
      <c r="E4860" s="15">
        <v>1.7</v>
      </c>
      <c r="F4860" s="15">
        <f t="shared" si="1"/>
        <v>-0.6</v>
      </c>
      <c r="G4860" s="15">
        <f t="shared" si="2"/>
        <v>2.03</v>
      </c>
      <c r="H4860" s="16">
        <v>0.0</v>
      </c>
      <c r="I4860" s="15">
        <f t="shared" si="3"/>
        <v>-0.6</v>
      </c>
      <c r="J4860" s="15">
        <v>13.45</v>
      </c>
      <c r="K4860" s="16">
        <f>IF(COUNTIFS(Release_Calendar!$A$2:$A$755,"US_CPI",Release_Calendar!$B$2:$B$755,$A4860)&gt;0,1,0)</f>
        <v>0</v>
      </c>
      <c r="L4860" s="16">
        <f>IF(COUNTIFS(Release_Calendar!$A$2:$A$755,"US_NFP",Release_Calendar!$B$2:$B$755,$A4860)&gt;0,1,0)</f>
        <v>0</v>
      </c>
      <c r="M4860" s="16">
        <f>IF($A4860&lt;Notes!$B$5,"",IF(COUNTIFS(Release_Calendar!$A$2:$A$755,"NZ_CPI",Release_Calendar!$B$2:$B$755,$A4860)&gt;0,1,0))</f>
        <v>0</v>
      </c>
      <c r="N4860" s="16">
        <f>IF($A4860&lt;Notes!$B$5,"",IF(COUNTIFS(Release_Calendar!$A$2:$A$755,"NZ_GDP",Release_Calendar!$B$2:$B$755,$A4860)&gt;0,1,0))</f>
        <v>0</v>
      </c>
      <c r="O4860" s="16">
        <f>IF($A4860&lt;Notes!$B$5,"",IF(COUNTIFS(Release_Calendar!$A$2:$A$755,"NZ_LABOUR",Release_Calendar!$B$2:$B$755,$A4860)&gt;0,1,0))</f>
        <v>0</v>
      </c>
      <c r="P4860" s="16">
        <f t="shared" si="4"/>
        <v>0</v>
      </c>
    </row>
    <row r="4861" ht="15.75" customHeight="1">
      <c r="A4861" s="14">
        <v>43329.0</v>
      </c>
      <c r="B4861" s="15">
        <v>2.61</v>
      </c>
      <c r="C4861" s="15">
        <v>2.04</v>
      </c>
      <c r="D4861" s="15"/>
      <c r="E4861" s="15">
        <v>1.7</v>
      </c>
      <c r="F4861" s="15">
        <f t="shared" si="1"/>
        <v>-0.57</v>
      </c>
      <c r="G4861" s="15">
        <f t="shared" si="2"/>
        <v>2.04</v>
      </c>
      <c r="H4861" s="16">
        <v>0.0</v>
      </c>
      <c r="I4861" s="15">
        <f t="shared" si="3"/>
        <v>-0.57</v>
      </c>
      <c r="J4861" s="15">
        <v>12.64</v>
      </c>
      <c r="K4861" s="16">
        <f>IF(COUNTIFS(Release_Calendar!$A$2:$A$755,"US_CPI",Release_Calendar!$B$2:$B$755,$A4861)&gt;0,1,0)</f>
        <v>0</v>
      </c>
      <c r="L4861" s="16">
        <f>IF(COUNTIFS(Release_Calendar!$A$2:$A$755,"US_NFP",Release_Calendar!$B$2:$B$755,$A4861)&gt;0,1,0)</f>
        <v>0</v>
      </c>
      <c r="M4861" s="16">
        <f>IF($A4861&lt;Notes!$B$5,"",IF(COUNTIFS(Release_Calendar!$A$2:$A$755,"NZ_CPI",Release_Calendar!$B$2:$B$755,$A4861)&gt;0,1,0))</f>
        <v>0</v>
      </c>
      <c r="N4861" s="16">
        <f>IF($A4861&lt;Notes!$B$5,"",IF(COUNTIFS(Release_Calendar!$A$2:$A$755,"NZ_GDP",Release_Calendar!$B$2:$B$755,$A4861)&gt;0,1,0))</f>
        <v>0</v>
      </c>
      <c r="O4861" s="16">
        <f>IF($A4861&lt;Notes!$B$5,"",IF(COUNTIFS(Release_Calendar!$A$2:$A$755,"NZ_LABOUR",Release_Calendar!$B$2:$B$755,$A4861)&gt;0,1,0))</f>
        <v>0</v>
      </c>
      <c r="P4861" s="16">
        <f t="shared" si="4"/>
        <v>0</v>
      </c>
    </row>
    <row r="4862" ht="15.75" customHeight="1">
      <c r="A4862" s="14">
        <v>43332.0</v>
      </c>
      <c r="B4862" s="15">
        <v>2.6</v>
      </c>
      <c r="C4862" s="15">
        <v>2.03</v>
      </c>
      <c r="D4862" s="15"/>
      <c r="E4862" s="15">
        <v>1.69</v>
      </c>
      <c r="F4862" s="15">
        <f t="shared" si="1"/>
        <v>-0.57</v>
      </c>
      <c r="G4862" s="15">
        <f t="shared" si="2"/>
        <v>2.03</v>
      </c>
      <c r="H4862" s="16">
        <v>0.0</v>
      </c>
      <c r="I4862" s="15">
        <f t="shared" si="3"/>
        <v>-0.57</v>
      </c>
      <c r="J4862" s="15">
        <v>12.49</v>
      </c>
      <c r="K4862" s="16">
        <f>IF(COUNTIFS(Release_Calendar!$A$2:$A$755,"US_CPI",Release_Calendar!$B$2:$B$755,$A4862)&gt;0,1,0)</f>
        <v>0</v>
      </c>
      <c r="L4862" s="16">
        <f>IF(COUNTIFS(Release_Calendar!$A$2:$A$755,"US_NFP",Release_Calendar!$B$2:$B$755,$A4862)&gt;0,1,0)</f>
        <v>0</v>
      </c>
      <c r="M4862" s="16">
        <f>IF($A4862&lt;Notes!$B$5,"",IF(COUNTIFS(Release_Calendar!$A$2:$A$755,"NZ_CPI",Release_Calendar!$B$2:$B$755,$A4862)&gt;0,1,0))</f>
        <v>0</v>
      </c>
      <c r="N4862" s="16">
        <f>IF($A4862&lt;Notes!$B$5,"",IF(COUNTIFS(Release_Calendar!$A$2:$A$755,"NZ_GDP",Release_Calendar!$B$2:$B$755,$A4862)&gt;0,1,0))</f>
        <v>0</v>
      </c>
      <c r="O4862" s="16">
        <f>IF($A4862&lt;Notes!$B$5,"",IF(COUNTIFS(Release_Calendar!$A$2:$A$755,"NZ_LABOUR",Release_Calendar!$B$2:$B$755,$A4862)&gt;0,1,0))</f>
        <v>0</v>
      </c>
      <c r="P4862" s="16">
        <f t="shared" si="4"/>
        <v>0</v>
      </c>
    </row>
    <row r="4863" ht="15.75" customHeight="1">
      <c r="A4863" s="14">
        <v>43333.0</v>
      </c>
      <c r="B4863" s="15">
        <v>2.61</v>
      </c>
      <c r="C4863" s="15">
        <v>2.03</v>
      </c>
      <c r="D4863" s="15"/>
      <c r="E4863" s="15">
        <v>1.71</v>
      </c>
      <c r="F4863" s="15">
        <f t="shared" si="1"/>
        <v>-0.58</v>
      </c>
      <c r="G4863" s="15">
        <f t="shared" si="2"/>
        <v>2.03</v>
      </c>
      <c r="H4863" s="16">
        <v>0.0</v>
      </c>
      <c r="I4863" s="15">
        <f t="shared" si="3"/>
        <v>-0.58</v>
      </c>
      <c r="J4863" s="15">
        <v>12.86</v>
      </c>
      <c r="K4863" s="16">
        <f>IF(COUNTIFS(Release_Calendar!$A$2:$A$755,"US_CPI",Release_Calendar!$B$2:$B$755,$A4863)&gt;0,1,0)</f>
        <v>0</v>
      </c>
      <c r="L4863" s="16">
        <f>IF(COUNTIFS(Release_Calendar!$A$2:$A$755,"US_NFP",Release_Calendar!$B$2:$B$755,$A4863)&gt;0,1,0)</f>
        <v>0</v>
      </c>
      <c r="M4863" s="16">
        <f>IF($A4863&lt;Notes!$B$5,"",IF(COUNTIFS(Release_Calendar!$A$2:$A$755,"NZ_CPI",Release_Calendar!$B$2:$B$755,$A4863)&gt;0,1,0))</f>
        <v>0</v>
      </c>
      <c r="N4863" s="16">
        <f>IF($A4863&lt;Notes!$B$5,"",IF(COUNTIFS(Release_Calendar!$A$2:$A$755,"NZ_GDP",Release_Calendar!$B$2:$B$755,$A4863)&gt;0,1,0))</f>
        <v>0</v>
      </c>
      <c r="O4863" s="16">
        <f>IF($A4863&lt;Notes!$B$5,"",IF(COUNTIFS(Release_Calendar!$A$2:$A$755,"NZ_LABOUR",Release_Calendar!$B$2:$B$755,$A4863)&gt;0,1,0))</f>
        <v>0</v>
      </c>
      <c r="P4863" s="16">
        <f t="shared" si="4"/>
        <v>0</v>
      </c>
    </row>
    <row r="4864" ht="15.75" customHeight="1">
      <c r="A4864" s="14">
        <v>43334.0</v>
      </c>
      <c r="B4864" s="15">
        <v>2.6</v>
      </c>
      <c r="C4864" s="15">
        <v>2.02</v>
      </c>
      <c r="D4864" s="15"/>
      <c r="E4864" s="15">
        <v>1.7</v>
      </c>
      <c r="F4864" s="15">
        <f t="shared" si="1"/>
        <v>-0.58</v>
      </c>
      <c r="G4864" s="15">
        <f t="shared" si="2"/>
        <v>2.02</v>
      </c>
      <c r="H4864" s="16">
        <v>0.0</v>
      </c>
      <c r="I4864" s="15">
        <f t="shared" si="3"/>
        <v>-0.58</v>
      </c>
      <c r="J4864" s="15">
        <v>12.25</v>
      </c>
      <c r="K4864" s="16">
        <f>IF(COUNTIFS(Release_Calendar!$A$2:$A$755,"US_CPI",Release_Calendar!$B$2:$B$755,$A4864)&gt;0,1,0)</f>
        <v>0</v>
      </c>
      <c r="L4864" s="16">
        <f>IF(COUNTIFS(Release_Calendar!$A$2:$A$755,"US_NFP",Release_Calendar!$B$2:$B$755,$A4864)&gt;0,1,0)</f>
        <v>0</v>
      </c>
      <c r="M4864" s="16">
        <f>IF($A4864&lt;Notes!$B$5,"",IF(COUNTIFS(Release_Calendar!$A$2:$A$755,"NZ_CPI",Release_Calendar!$B$2:$B$755,$A4864)&gt;0,1,0))</f>
        <v>0</v>
      </c>
      <c r="N4864" s="16">
        <f>IF($A4864&lt;Notes!$B$5,"",IF(COUNTIFS(Release_Calendar!$A$2:$A$755,"NZ_GDP",Release_Calendar!$B$2:$B$755,$A4864)&gt;0,1,0))</f>
        <v>0</v>
      </c>
      <c r="O4864" s="16">
        <f>IF($A4864&lt;Notes!$B$5,"",IF(COUNTIFS(Release_Calendar!$A$2:$A$755,"NZ_LABOUR",Release_Calendar!$B$2:$B$755,$A4864)&gt;0,1,0))</f>
        <v>0</v>
      </c>
      <c r="P4864" s="16">
        <f t="shared" si="4"/>
        <v>0</v>
      </c>
    </row>
    <row r="4865" ht="15.75" customHeight="1">
      <c r="A4865" s="14">
        <v>43335.0</v>
      </c>
      <c r="B4865" s="15">
        <v>2.61</v>
      </c>
      <c r="C4865" s="15">
        <v>2.02</v>
      </c>
      <c r="D4865" s="15"/>
      <c r="E4865" s="15">
        <v>1.68</v>
      </c>
      <c r="F4865" s="15">
        <f t="shared" si="1"/>
        <v>-0.59</v>
      </c>
      <c r="G4865" s="15">
        <f t="shared" si="2"/>
        <v>2.02</v>
      </c>
      <c r="H4865" s="16">
        <v>0.0</v>
      </c>
      <c r="I4865" s="15">
        <f t="shared" si="3"/>
        <v>-0.59</v>
      </c>
      <c r="J4865" s="15">
        <v>12.41</v>
      </c>
      <c r="K4865" s="16">
        <f>IF(COUNTIFS(Release_Calendar!$A$2:$A$755,"US_CPI",Release_Calendar!$B$2:$B$755,$A4865)&gt;0,1,0)</f>
        <v>0</v>
      </c>
      <c r="L4865" s="16">
        <f>IF(COUNTIFS(Release_Calendar!$A$2:$A$755,"US_NFP",Release_Calendar!$B$2:$B$755,$A4865)&gt;0,1,0)</f>
        <v>0</v>
      </c>
      <c r="M4865" s="16">
        <f>IF($A4865&lt;Notes!$B$5,"",IF(COUNTIFS(Release_Calendar!$A$2:$A$755,"NZ_CPI",Release_Calendar!$B$2:$B$755,$A4865)&gt;0,1,0))</f>
        <v>0</v>
      </c>
      <c r="N4865" s="16">
        <f>IF($A4865&lt;Notes!$B$5,"",IF(COUNTIFS(Release_Calendar!$A$2:$A$755,"NZ_GDP",Release_Calendar!$B$2:$B$755,$A4865)&gt;0,1,0))</f>
        <v>0</v>
      </c>
      <c r="O4865" s="16">
        <f>IF($A4865&lt;Notes!$B$5,"",IF(COUNTIFS(Release_Calendar!$A$2:$A$755,"NZ_LABOUR",Release_Calendar!$B$2:$B$755,$A4865)&gt;0,1,0))</f>
        <v>0</v>
      </c>
      <c r="P4865" s="16">
        <f t="shared" si="4"/>
        <v>0</v>
      </c>
    </row>
    <row r="4866" ht="15.75" customHeight="1">
      <c r="A4866" s="14">
        <v>43336.0</v>
      </c>
      <c r="B4866" s="15">
        <v>2.63</v>
      </c>
      <c r="C4866" s="15">
        <v>2.02</v>
      </c>
      <c r="D4866" s="15"/>
      <c r="E4866" s="15">
        <v>1.68</v>
      </c>
      <c r="F4866" s="15">
        <f t="shared" si="1"/>
        <v>-0.61</v>
      </c>
      <c r="G4866" s="15">
        <f t="shared" si="2"/>
        <v>2.02</v>
      </c>
      <c r="H4866" s="16">
        <v>0.0</v>
      </c>
      <c r="I4866" s="15">
        <f t="shared" si="3"/>
        <v>-0.61</v>
      </c>
      <c r="J4866" s="15">
        <v>11.99</v>
      </c>
      <c r="K4866" s="16">
        <f>IF(COUNTIFS(Release_Calendar!$A$2:$A$755,"US_CPI",Release_Calendar!$B$2:$B$755,$A4866)&gt;0,1,0)</f>
        <v>0</v>
      </c>
      <c r="L4866" s="16">
        <f>IF(COUNTIFS(Release_Calendar!$A$2:$A$755,"US_NFP",Release_Calendar!$B$2:$B$755,$A4866)&gt;0,1,0)</f>
        <v>0</v>
      </c>
      <c r="M4866" s="16">
        <f>IF($A4866&lt;Notes!$B$5,"",IF(COUNTIFS(Release_Calendar!$A$2:$A$755,"NZ_CPI",Release_Calendar!$B$2:$B$755,$A4866)&gt;0,1,0))</f>
        <v>0</v>
      </c>
      <c r="N4866" s="16">
        <f>IF($A4866&lt;Notes!$B$5,"",IF(COUNTIFS(Release_Calendar!$A$2:$A$755,"NZ_GDP",Release_Calendar!$B$2:$B$755,$A4866)&gt;0,1,0))</f>
        <v>0</v>
      </c>
      <c r="O4866" s="16">
        <f>IF($A4866&lt;Notes!$B$5,"",IF(COUNTIFS(Release_Calendar!$A$2:$A$755,"NZ_LABOUR",Release_Calendar!$B$2:$B$755,$A4866)&gt;0,1,0))</f>
        <v>0</v>
      </c>
      <c r="P4866" s="16">
        <f t="shared" si="4"/>
        <v>0</v>
      </c>
    </row>
    <row r="4867" ht="15.75" customHeight="1">
      <c r="A4867" s="14">
        <v>43339.0</v>
      </c>
      <c r="B4867" s="15">
        <v>2.67</v>
      </c>
      <c r="C4867" s="15">
        <v>2.03</v>
      </c>
      <c r="D4867" s="15"/>
      <c r="E4867" s="15">
        <v>1.69</v>
      </c>
      <c r="F4867" s="15">
        <f t="shared" si="1"/>
        <v>-0.64</v>
      </c>
      <c r="G4867" s="15">
        <f t="shared" si="2"/>
        <v>2.03</v>
      </c>
      <c r="H4867" s="16">
        <v>0.0</v>
      </c>
      <c r="I4867" s="15">
        <f t="shared" si="3"/>
        <v>-0.64</v>
      </c>
      <c r="J4867" s="15">
        <v>12.16</v>
      </c>
      <c r="K4867" s="16">
        <f>IF(COUNTIFS(Release_Calendar!$A$2:$A$755,"US_CPI",Release_Calendar!$B$2:$B$755,$A4867)&gt;0,1,0)</f>
        <v>0</v>
      </c>
      <c r="L4867" s="16">
        <f>IF(COUNTIFS(Release_Calendar!$A$2:$A$755,"US_NFP",Release_Calendar!$B$2:$B$755,$A4867)&gt;0,1,0)</f>
        <v>0</v>
      </c>
      <c r="M4867" s="16">
        <f>IF($A4867&lt;Notes!$B$5,"",IF(COUNTIFS(Release_Calendar!$A$2:$A$755,"NZ_CPI",Release_Calendar!$B$2:$B$755,$A4867)&gt;0,1,0))</f>
        <v>0</v>
      </c>
      <c r="N4867" s="16">
        <f>IF($A4867&lt;Notes!$B$5,"",IF(COUNTIFS(Release_Calendar!$A$2:$A$755,"NZ_GDP",Release_Calendar!$B$2:$B$755,$A4867)&gt;0,1,0))</f>
        <v>0</v>
      </c>
      <c r="O4867" s="16">
        <f>IF($A4867&lt;Notes!$B$5,"",IF(COUNTIFS(Release_Calendar!$A$2:$A$755,"NZ_LABOUR",Release_Calendar!$B$2:$B$755,$A4867)&gt;0,1,0))</f>
        <v>0</v>
      </c>
      <c r="P4867" s="16">
        <f t="shared" si="4"/>
        <v>0</v>
      </c>
    </row>
    <row r="4868" ht="15.75" customHeight="1">
      <c r="A4868" s="14">
        <v>43340.0</v>
      </c>
      <c r="B4868" s="15">
        <v>2.67</v>
      </c>
      <c r="C4868" s="15">
        <v>2.03</v>
      </c>
      <c r="D4868" s="15"/>
      <c r="E4868" s="15">
        <v>1.7</v>
      </c>
      <c r="F4868" s="15">
        <f t="shared" si="1"/>
        <v>-0.64</v>
      </c>
      <c r="G4868" s="15">
        <f t="shared" si="2"/>
        <v>2.03</v>
      </c>
      <c r="H4868" s="16">
        <v>0.0</v>
      </c>
      <c r="I4868" s="15">
        <f t="shared" si="3"/>
        <v>-0.64</v>
      </c>
      <c r="J4868" s="15">
        <v>12.5</v>
      </c>
      <c r="K4868" s="16">
        <f>IF(COUNTIFS(Release_Calendar!$A$2:$A$755,"US_CPI",Release_Calendar!$B$2:$B$755,$A4868)&gt;0,1,0)</f>
        <v>0</v>
      </c>
      <c r="L4868" s="16">
        <f>IF(COUNTIFS(Release_Calendar!$A$2:$A$755,"US_NFP",Release_Calendar!$B$2:$B$755,$A4868)&gt;0,1,0)</f>
        <v>0</v>
      </c>
      <c r="M4868" s="16">
        <f>IF($A4868&lt;Notes!$B$5,"",IF(COUNTIFS(Release_Calendar!$A$2:$A$755,"NZ_CPI",Release_Calendar!$B$2:$B$755,$A4868)&gt;0,1,0))</f>
        <v>0</v>
      </c>
      <c r="N4868" s="16">
        <f>IF($A4868&lt;Notes!$B$5,"",IF(COUNTIFS(Release_Calendar!$A$2:$A$755,"NZ_GDP",Release_Calendar!$B$2:$B$755,$A4868)&gt;0,1,0))</f>
        <v>0</v>
      </c>
      <c r="O4868" s="16">
        <f>IF($A4868&lt;Notes!$B$5,"",IF(COUNTIFS(Release_Calendar!$A$2:$A$755,"NZ_LABOUR",Release_Calendar!$B$2:$B$755,$A4868)&gt;0,1,0))</f>
        <v>0</v>
      </c>
      <c r="P4868" s="16">
        <f t="shared" si="4"/>
        <v>0</v>
      </c>
    </row>
    <row r="4869" ht="15.75" customHeight="1">
      <c r="A4869" s="14">
        <v>43341.0</v>
      </c>
      <c r="B4869" s="15">
        <v>2.67</v>
      </c>
      <c r="C4869" s="15">
        <v>2.03</v>
      </c>
      <c r="D4869" s="15"/>
      <c r="E4869" s="15">
        <v>1.7</v>
      </c>
      <c r="F4869" s="15">
        <f t="shared" si="1"/>
        <v>-0.64</v>
      </c>
      <c r="G4869" s="15">
        <f t="shared" si="2"/>
        <v>2.03</v>
      </c>
      <c r="H4869" s="16">
        <v>0.0</v>
      </c>
      <c r="I4869" s="15">
        <f t="shared" si="3"/>
        <v>-0.64</v>
      </c>
      <c r="J4869" s="15">
        <v>12.25</v>
      </c>
      <c r="K4869" s="16">
        <f>IF(COUNTIFS(Release_Calendar!$A$2:$A$755,"US_CPI",Release_Calendar!$B$2:$B$755,$A4869)&gt;0,1,0)</f>
        <v>0</v>
      </c>
      <c r="L4869" s="16">
        <f>IF(COUNTIFS(Release_Calendar!$A$2:$A$755,"US_NFP",Release_Calendar!$B$2:$B$755,$A4869)&gt;0,1,0)</f>
        <v>0</v>
      </c>
      <c r="M4869" s="16">
        <f>IF($A4869&lt;Notes!$B$5,"",IF(COUNTIFS(Release_Calendar!$A$2:$A$755,"NZ_CPI",Release_Calendar!$B$2:$B$755,$A4869)&gt;0,1,0))</f>
        <v>0</v>
      </c>
      <c r="N4869" s="16">
        <f>IF($A4869&lt;Notes!$B$5,"",IF(COUNTIFS(Release_Calendar!$A$2:$A$755,"NZ_GDP",Release_Calendar!$B$2:$B$755,$A4869)&gt;0,1,0))</f>
        <v>0</v>
      </c>
      <c r="O4869" s="16">
        <f>IF($A4869&lt;Notes!$B$5,"",IF(COUNTIFS(Release_Calendar!$A$2:$A$755,"NZ_LABOUR",Release_Calendar!$B$2:$B$755,$A4869)&gt;0,1,0))</f>
        <v>0</v>
      </c>
      <c r="P4869" s="16">
        <f t="shared" si="4"/>
        <v>0</v>
      </c>
    </row>
    <row r="4870" ht="15.75" customHeight="1">
      <c r="A4870" s="14">
        <v>43342.0</v>
      </c>
      <c r="B4870" s="15">
        <v>2.64</v>
      </c>
      <c r="C4870" s="15">
        <v>1.98</v>
      </c>
      <c r="D4870" s="15"/>
      <c r="E4870" s="15">
        <v>1.64</v>
      </c>
      <c r="F4870" s="15">
        <f t="shared" si="1"/>
        <v>-0.66</v>
      </c>
      <c r="G4870" s="15">
        <f t="shared" si="2"/>
        <v>1.98</v>
      </c>
      <c r="H4870" s="16">
        <v>0.0</v>
      </c>
      <c r="I4870" s="15">
        <f t="shared" si="3"/>
        <v>-0.66</v>
      </c>
      <c r="J4870" s="15">
        <v>13.53</v>
      </c>
      <c r="K4870" s="16">
        <f>IF(COUNTIFS(Release_Calendar!$A$2:$A$755,"US_CPI",Release_Calendar!$B$2:$B$755,$A4870)&gt;0,1,0)</f>
        <v>0</v>
      </c>
      <c r="L4870" s="16">
        <f>IF(COUNTIFS(Release_Calendar!$A$2:$A$755,"US_NFP",Release_Calendar!$B$2:$B$755,$A4870)&gt;0,1,0)</f>
        <v>0</v>
      </c>
      <c r="M4870" s="16">
        <f>IF($A4870&lt;Notes!$B$5,"",IF(COUNTIFS(Release_Calendar!$A$2:$A$755,"NZ_CPI",Release_Calendar!$B$2:$B$755,$A4870)&gt;0,1,0))</f>
        <v>0</v>
      </c>
      <c r="N4870" s="16">
        <f>IF($A4870&lt;Notes!$B$5,"",IF(COUNTIFS(Release_Calendar!$A$2:$A$755,"NZ_GDP",Release_Calendar!$B$2:$B$755,$A4870)&gt;0,1,0))</f>
        <v>0</v>
      </c>
      <c r="O4870" s="16">
        <f>IF($A4870&lt;Notes!$B$5,"",IF(COUNTIFS(Release_Calendar!$A$2:$A$755,"NZ_LABOUR",Release_Calendar!$B$2:$B$755,$A4870)&gt;0,1,0))</f>
        <v>0</v>
      </c>
      <c r="P4870" s="16">
        <f t="shared" si="4"/>
        <v>0</v>
      </c>
    </row>
    <row r="4871" ht="15.75" customHeight="1">
      <c r="A4871" s="14">
        <v>43343.0</v>
      </c>
      <c r="B4871" s="15">
        <v>2.62</v>
      </c>
      <c r="C4871" s="15">
        <v>1.98</v>
      </c>
      <c r="D4871" s="15"/>
      <c r="E4871" s="15">
        <v>1.64</v>
      </c>
      <c r="F4871" s="15">
        <f t="shared" si="1"/>
        <v>-0.64</v>
      </c>
      <c r="G4871" s="15">
        <f t="shared" si="2"/>
        <v>1.98</v>
      </c>
      <c r="H4871" s="16">
        <v>0.0</v>
      </c>
      <c r="I4871" s="15">
        <f t="shared" si="3"/>
        <v>-0.64</v>
      </c>
      <c r="J4871" s="15">
        <v>12.86</v>
      </c>
      <c r="K4871" s="16">
        <f>IF(COUNTIFS(Release_Calendar!$A$2:$A$755,"US_CPI",Release_Calendar!$B$2:$B$755,$A4871)&gt;0,1,0)</f>
        <v>0</v>
      </c>
      <c r="L4871" s="16">
        <f>IF(COUNTIFS(Release_Calendar!$A$2:$A$755,"US_NFP",Release_Calendar!$B$2:$B$755,$A4871)&gt;0,1,0)</f>
        <v>0</v>
      </c>
      <c r="M4871" s="16">
        <f>IF($A4871&lt;Notes!$B$5,"",IF(COUNTIFS(Release_Calendar!$A$2:$A$755,"NZ_CPI",Release_Calendar!$B$2:$B$755,$A4871)&gt;0,1,0))</f>
        <v>0</v>
      </c>
      <c r="N4871" s="16">
        <f>IF($A4871&lt;Notes!$B$5,"",IF(COUNTIFS(Release_Calendar!$A$2:$A$755,"NZ_GDP",Release_Calendar!$B$2:$B$755,$A4871)&gt;0,1,0))</f>
        <v>0</v>
      </c>
      <c r="O4871" s="16">
        <f>IF($A4871&lt;Notes!$B$5,"",IF(COUNTIFS(Release_Calendar!$A$2:$A$755,"NZ_LABOUR",Release_Calendar!$B$2:$B$755,$A4871)&gt;0,1,0))</f>
        <v>0</v>
      </c>
      <c r="P4871" s="16">
        <f t="shared" si="4"/>
        <v>0</v>
      </c>
    </row>
    <row r="4872" ht="15.75" customHeight="1">
      <c r="A4872" s="14">
        <v>43346.0</v>
      </c>
      <c r="B4872" s="15"/>
      <c r="C4872" s="15">
        <v>1.97</v>
      </c>
      <c r="D4872" s="15"/>
      <c r="E4872" s="15">
        <v>1.63</v>
      </c>
      <c r="F4872" s="15" t="str">
        <f t="shared" si="1"/>
        <v/>
      </c>
      <c r="G4872" s="15">
        <f t="shared" si="2"/>
        <v>1.97</v>
      </c>
      <c r="H4872" s="16">
        <v>0.0</v>
      </c>
      <c r="I4872" s="15" t="str">
        <f t="shared" si="3"/>
        <v/>
      </c>
      <c r="J4872" s="15"/>
      <c r="K4872" s="16">
        <f>IF(COUNTIFS(Release_Calendar!$A$2:$A$755,"US_CPI",Release_Calendar!$B$2:$B$755,$A4872)&gt;0,1,0)</f>
        <v>0</v>
      </c>
      <c r="L4872" s="16">
        <f>IF(COUNTIFS(Release_Calendar!$A$2:$A$755,"US_NFP",Release_Calendar!$B$2:$B$755,$A4872)&gt;0,1,0)</f>
        <v>0</v>
      </c>
      <c r="M4872" s="16">
        <f>IF($A4872&lt;Notes!$B$5,"",IF(COUNTIFS(Release_Calendar!$A$2:$A$755,"NZ_CPI",Release_Calendar!$B$2:$B$755,$A4872)&gt;0,1,0))</f>
        <v>0</v>
      </c>
      <c r="N4872" s="16">
        <f>IF($A4872&lt;Notes!$B$5,"",IF(COUNTIFS(Release_Calendar!$A$2:$A$755,"NZ_GDP",Release_Calendar!$B$2:$B$755,$A4872)&gt;0,1,0))</f>
        <v>0</v>
      </c>
      <c r="O4872" s="16">
        <f>IF($A4872&lt;Notes!$B$5,"",IF(COUNTIFS(Release_Calendar!$A$2:$A$755,"NZ_LABOUR",Release_Calendar!$B$2:$B$755,$A4872)&gt;0,1,0))</f>
        <v>0</v>
      </c>
      <c r="P4872" s="16">
        <f t="shared" si="4"/>
        <v>0</v>
      </c>
    </row>
    <row r="4873" ht="15.75" customHeight="1">
      <c r="A4873" s="14">
        <v>43347.0</v>
      </c>
      <c r="B4873" s="15">
        <v>2.66</v>
      </c>
      <c r="C4873" s="15">
        <v>1.97</v>
      </c>
      <c r="D4873" s="15"/>
      <c r="E4873" s="15">
        <v>1.63</v>
      </c>
      <c r="F4873" s="15">
        <f t="shared" si="1"/>
        <v>-0.69</v>
      </c>
      <c r="G4873" s="15">
        <f t="shared" si="2"/>
        <v>1.97</v>
      </c>
      <c r="H4873" s="16">
        <v>0.0</v>
      </c>
      <c r="I4873" s="15">
        <f t="shared" si="3"/>
        <v>-0.69</v>
      </c>
      <c r="J4873" s="15">
        <v>13.16</v>
      </c>
      <c r="K4873" s="16">
        <f>IF(COUNTIFS(Release_Calendar!$A$2:$A$755,"US_CPI",Release_Calendar!$B$2:$B$755,$A4873)&gt;0,1,0)</f>
        <v>0</v>
      </c>
      <c r="L4873" s="16">
        <f>IF(COUNTIFS(Release_Calendar!$A$2:$A$755,"US_NFP",Release_Calendar!$B$2:$B$755,$A4873)&gt;0,1,0)</f>
        <v>0</v>
      </c>
      <c r="M4873" s="16">
        <f>IF($A4873&lt;Notes!$B$5,"",IF(COUNTIFS(Release_Calendar!$A$2:$A$755,"NZ_CPI",Release_Calendar!$B$2:$B$755,$A4873)&gt;0,1,0))</f>
        <v>0</v>
      </c>
      <c r="N4873" s="16">
        <f>IF($A4873&lt;Notes!$B$5,"",IF(COUNTIFS(Release_Calendar!$A$2:$A$755,"NZ_GDP",Release_Calendar!$B$2:$B$755,$A4873)&gt;0,1,0))</f>
        <v>0</v>
      </c>
      <c r="O4873" s="16">
        <f>IF($A4873&lt;Notes!$B$5,"",IF(COUNTIFS(Release_Calendar!$A$2:$A$755,"NZ_LABOUR",Release_Calendar!$B$2:$B$755,$A4873)&gt;0,1,0))</f>
        <v>0</v>
      </c>
      <c r="P4873" s="16">
        <f t="shared" si="4"/>
        <v>0</v>
      </c>
    </row>
    <row r="4874" ht="15.75" customHeight="1">
      <c r="A4874" s="14">
        <v>43348.0</v>
      </c>
      <c r="B4874" s="15">
        <v>2.66</v>
      </c>
      <c r="C4874" s="15">
        <v>1.98</v>
      </c>
      <c r="D4874" s="15"/>
      <c r="E4874" s="15">
        <v>1.63</v>
      </c>
      <c r="F4874" s="15">
        <f t="shared" si="1"/>
        <v>-0.68</v>
      </c>
      <c r="G4874" s="15">
        <f t="shared" si="2"/>
        <v>1.98</v>
      </c>
      <c r="H4874" s="16">
        <v>0.0</v>
      </c>
      <c r="I4874" s="15">
        <f t="shared" si="3"/>
        <v>-0.68</v>
      </c>
      <c r="J4874" s="15">
        <v>13.91</v>
      </c>
      <c r="K4874" s="16">
        <f>IF(COUNTIFS(Release_Calendar!$A$2:$A$755,"US_CPI",Release_Calendar!$B$2:$B$755,$A4874)&gt;0,1,0)</f>
        <v>0</v>
      </c>
      <c r="L4874" s="16">
        <f>IF(COUNTIFS(Release_Calendar!$A$2:$A$755,"US_NFP",Release_Calendar!$B$2:$B$755,$A4874)&gt;0,1,0)</f>
        <v>0</v>
      </c>
      <c r="M4874" s="16">
        <f>IF($A4874&lt;Notes!$B$5,"",IF(COUNTIFS(Release_Calendar!$A$2:$A$755,"NZ_CPI",Release_Calendar!$B$2:$B$755,$A4874)&gt;0,1,0))</f>
        <v>0</v>
      </c>
      <c r="N4874" s="16">
        <f>IF($A4874&lt;Notes!$B$5,"",IF(COUNTIFS(Release_Calendar!$A$2:$A$755,"NZ_GDP",Release_Calendar!$B$2:$B$755,$A4874)&gt;0,1,0))</f>
        <v>0</v>
      </c>
      <c r="O4874" s="16">
        <f>IF($A4874&lt;Notes!$B$5,"",IF(COUNTIFS(Release_Calendar!$A$2:$A$755,"NZ_LABOUR",Release_Calendar!$B$2:$B$755,$A4874)&gt;0,1,0))</f>
        <v>0</v>
      </c>
      <c r="P4874" s="16">
        <f t="shared" si="4"/>
        <v>0</v>
      </c>
    </row>
    <row r="4875" ht="15.75" customHeight="1">
      <c r="A4875" s="14">
        <v>43349.0</v>
      </c>
      <c r="B4875" s="15">
        <v>2.64</v>
      </c>
      <c r="C4875" s="15">
        <v>1.97</v>
      </c>
      <c r="D4875" s="15"/>
      <c r="E4875" s="15">
        <v>1.61</v>
      </c>
      <c r="F4875" s="15">
        <f t="shared" si="1"/>
        <v>-0.67</v>
      </c>
      <c r="G4875" s="15">
        <f t="shared" si="2"/>
        <v>1.97</v>
      </c>
      <c r="H4875" s="16">
        <v>0.0</v>
      </c>
      <c r="I4875" s="15">
        <f t="shared" si="3"/>
        <v>-0.67</v>
      </c>
      <c r="J4875" s="15">
        <v>14.65</v>
      </c>
      <c r="K4875" s="16">
        <f>IF(COUNTIFS(Release_Calendar!$A$2:$A$755,"US_CPI",Release_Calendar!$B$2:$B$755,$A4875)&gt;0,1,0)</f>
        <v>0</v>
      </c>
      <c r="L4875" s="16">
        <f>IF(COUNTIFS(Release_Calendar!$A$2:$A$755,"US_NFP",Release_Calendar!$B$2:$B$755,$A4875)&gt;0,1,0)</f>
        <v>0</v>
      </c>
      <c r="M4875" s="16">
        <f>IF($A4875&lt;Notes!$B$5,"",IF(COUNTIFS(Release_Calendar!$A$2:$A$755,"NZ_CPI",Release_Calendar!$B$2:$B$755,$A4875)&gt;0,1,0))</f>
        <v>0</v>
      </c>
      <c r="N4875" s="16">
        <f>IF($A4875&lt;Notes!$B$5,"",IF(COUNTIFS(Release_Calendar!$A$2:$A$755,"NZ_GDP",Release_Calendar!$B$2:$B$755,$A4875)&gt;0,1,0))</f>
        <v>0</v>
      </c>
      <c r="O4875" s="16">
        <f>IF($A4875&lt;Notes!$B$5,"",IF(COUNTIFS(Release_Calendar!$A$2:$A$755,"NZ_LABOUR",Release_Calendar!$B$2:$B$755,$A4875)&gt;0,1,0))</f>
        <v>0</v>
      </c>
      <c r="P4875" s="16">
        <f t="shared" si="4"/>
        <v>0</v>
      </c>
    </row>
    <row r="4876" ht="15.75" customHeight="1">
      <c r="A4876" s="14">
        <v>43350.0</v>
      </c>
      <c r="B4876" s="15">
        <v>2.71</v>
      </c>
      <c r="C4876" s="15">
        <v>1.96</v>
      </c>
      <c r="D4876" s="15"/>
      <c r="E4876" s="15">
        <v>1.61</v>
      </c>
      <c r="F4876" s="15">
        <f t="shared" si="1"/>
        <v>-0.75</v>
      </c>
      <c r="G4876" s="15">
        <f t="shared" si="2"/>
        <v>1.96</v>
      </c>
      <c r="H4876" s="16">
        <v>0.0</v>
      </c>
      <c r="I4876" s="15">
        <f t="shared" si="3"/>
        <v>-0.75</v>
      </c>
      <c r="J4876" s="15">
        <v>14.88</v>
      </c>
      <c r="K4876" s="16">
        <f>IF(COUNTIFS(Release_Calendar!$A$2:$A$755,"US_CPI",Release_Calendar!$B$2:$B$755,$A4876)&gt;0,1,0)</f>
        <v>0</v>
      </c>
      <c r="L4876" s="16">
        <f>IF(COUNTIFS(Release_Calendar!$A$2:$A$755,"US_NFP",Release_Calendar!$B$2:$B$755,$A4876)&gt;0,1,0)</f>
        <v>1</v>
      </c>
      <c r="M4876" s="16">
        <f>IF($A4876&lt;Notes!$B$5,"",IF(COUNTIFS(Release_Calendar!$A$2:$A$755,"NZ_CPI",Release_Calendar!$B$2:$B$755,$A4876)&gt;0,1,0))</f>
        <v>0</v>
      </c>
      <c r="N4876" s="16">
        <f>IF($A4876&lt;Notes!$B$5,"",IF(COUNTIFS(Release_Calendar!$A$2:$A$755,"NZ_GDP",Release_Calendar!$B$2:$B$755,$A4876)&gt;0,1,0))</f>
        <v>0</v>
      </c>
      <c r="O4876" s="16">
        <f>IF($A4876&lt;Notes!$B$5,"",IF(COUNTIFS(Release_Calendar!$A$2:$A$755,"NZ_LABOUR",Release_Calendar!$B$2:$B$755,$A4876)&gt;0,1,0))</f>
        <v>0</v>
      </c>
      <c r="P4876" s="16">
        <f t="shared" si="4"/>
        <v>1</v>
      </c>
    </row>
    <row r="4877" ht="15.75" customHeight="1">
      <c r="A4877" s="14">
        <v>43353.0</v>
      </c>
      <c r="B4877" s="15">
        <v>2.73</v>
      </c>
      <c r="C4877" s="15">
        <v>1.97</v>
      </c>
      <c r="D4877" s="15"/>
      <c r="E4877" s="15">
        <v>1.63</v>
      </c>
      <c r="F4877" s="15">
        <f t="shared" si="1"/>
        <v>-0.76</v>
      </c>
      <c r="G4877" s="15">
        <f t="shared" si="2"/>
        <v>1.97</v>
      </c>
      <c r="H4877" s="16">
        <v>0.0</v>
      </c>
      <c r="I4877" s="15">
        <f t="shared" si="3"/>
        <v>-0.76</v>
      </c>
      <c r="J4877" s="15">
        <v>14.16</v>
      </c>
      <c r="K4877" s="16">
        <f>IF(COUNTIFS(Release_Calendar!$A$2:$A$755,"US_CPI",Release_Calendar!$B$2:$B$755,$A4877)&gt;0,1,0)</f>
        <v>0</v>
      </c>
      <c r="L4877" s="16">
        <f>IF(COUNTIFS(Release_Calendar!$A$2:$A$755,"US_NFP",Release_Calendar!$B$2:$B$755,$A4877)&gt;0,1,0)</f>
        <v>0</v>
      </c>
      <c r="M4877" s="16">
        <f>IF($A4877&lt;Notes!$B$5,"",IF(COUNTIFS(Release_Calendar!$A$2:$A$755,"NZ_CPI",Release_Calendar!$B$2:$B$755,$A4877)&gt;0,1,0))</f>
        <v>0</v>
      </c>
      <c r="N4877" s="16">
        <f>IF($A4877&lt;Notes!$B$5,"",IF(COUNTIFS(Release_Calendar!$A$2:$A$755,"NZ_GDP",Release_Calendar!$B$2:$B$755,$A4877)&gt;0,1,0))</f>
        <v>0</v>
      </c>
      <c r="O4877" s="16">
        <f>IF($A4877&lt;Notes!$B$5,"",IF(COUNTIFS(Release_Calendar!$A$2:$A$755,"NZ_LABOUR",Release_Calendar!$B$2:$B$755,$A4877)&gt;0,1,0))</f>
        <v>0</v>
      </c>
      <c r="P4877" s="16">
        <f t="shared" si="4"/>
        <v>0</v>
      </c>
    </row>
    <row r="4878" ht="15.75" customHeight="1">
      <c r="A4878" s="14">
        <v>43354.0</v>
      </c>
      <c r="B4878" s="15">
        <v>2.76</v>
      </c>
      <c r="C4878" s="15">
        <v>1.98</v>
      </c>
      <c r="D4878" s="15"/>
      <c r="E4878" s="15">
        <v>1.62</v>
      </c>
      <c r="F4878" s="15">
        <f t="shared" si="1"/>
        <v>-0.78</v>
      </c>
      <c r="G4878" s="15">
        <f t="shared" si="2"/>
        <v>1.98</v>
      </c>
      <c r="H4878" s="16">
        <v>0.0</v>
      </c>
      <c r="I4878" s="15">
        <f t="shared" si="3"/>
        <v>-0.78</v>
      </c>
      <c r="J4878" s="15">
        <v>13.22</v>
      </c>
      <c r="K4878" s="16">
        <f>IF(COUNTIFS(Release_Calendar!$A$2:$A$755,"US_CPI",Release_Calendar!$B$2:$B$755,$A4878)&gt;0,1,0)</f>
        <v>0</v>
      </c>
      <c r="L4878" s="16">
        <f>IF(COUNTIFS(Release_Calendar!$A$2:$A$755,"US_NFP",Release_Calendar!$B$2:$B$755,$A4878)&gt;0,1,0)</f>
        <v>0</v>
      </c>
      <c r="M4878" s="16">
        <f>IF($A4878&lt;Notes!$B$5,"",IF(COUNTIFS(Release_Calendar!$A$2:$A$755,"NZ_CPI",Release_Calendar!$B$2:$B$755,$A4878)&gt;0,1,0))</f>
        <v>0</v>
      </c>
      <c r="N4878" s="16">
        <f>IF($A4878&lt;Notes!$B$5,"",IF(COUNTIFS(Release_Calendar!$A$2:$A$755,"NZ_GDP",Release_Calendar!$B$2:$B$755,$A4878)&gt;0,1,0))</f>
        <v>0</v>
      </c>
      <c r="O4878" s="16">
        <f>IF($A4878&lt;Notes!$B$5,"",IF(COUNTIFS(Release_Calendar!$A$2:$A$755,"NZ_LABOUR",Release_Calendar!$B$2:$B$755,$A4878)&gt;0,1,0))</f>
        <v>0</v>
      </c>
      <c r="P4878" s="16">
        <f t="shared" si="4"/>
        <v>0</v>
      </c>
    </row>
    <row r="4879" ht="15.75" customHeight="1">
      <c r="A4879" s="14">
        <v>43355.0</v>
      </c>
      <c r="B4879" s="15">
        <v>2.74</v>
      </c>
      <c r="C4879" s="15">
        <v>1.98</v>
      </c>
      <c r="D4879" s="15"/>
      <c r="E4879" s="15">
        <v>1.63</v>
      </c>
      <c r="F4879" s="15">
        <f t="shared" si="1"/>
        <v>-0.76</v>
      </c>
      <c r="G4879" s="15">
        <f t="shared" si="2"/>
        <v>1.98</v>
      </c>
      <c r="H4879" s="16">
        <v>0.0</v>
      </c>
      <c r="I4879" s="15">
        <f t="shared" si="3"/>
        <v>-0.76</v>
      </c>
      <c r="J4879" s="15">
        <v>13.14</v>
      </c>
      <c r="K4879" s="16">
        <f>IF(COUNTIFS(Release_Calendar!$A$2:$A$755,"US_CPI",Release_Calendar!$B$2:$B$755,$A4879)&gt;0,1,0)</f>
        <v>0</v>
      </c>
      <c r="L4879" s="16">
        <f>IF(COUNTIFS(Release_Calendar!$A$2:$A$755,"US_NFP",Release_Calendar!$B$2:$B$755,$A4879)&gt;0,1,0)</f>
        <v>0</v>
      </c>
      <c r="M4879" s="16">
        <f>IF($A4879&lt;Notes!$B$5,"",IF(COUNTIFS(Release_Calendar!$A$2:$A$755,"NZ_CPI",Release_Calendar!$B$2:$B$755,$A4879)&gt;0,1,0))</f>
        <v>0</v>
      </c>
      <c r="N4879" s="16">
        <f>IF($A4879&lt;Notes!$B$5,"",IF(COUNTIFS(Release_Calendar!$A$2:$A$755,"NZ_GDP",Release_Calendar!$B$2:$B$755,$A4879)&gt;0,1,0))</f>
        <v>0</v>
      </c>
      <c r="O4879" s="16">
        <f>IF($A4879&lt;Notes!$B$5,"",IF(COUNTIFS(Release_Calendar!$A$2:$A$755,"NZ_LABOUR",Release_Calendar!$B$2:$B$755,$A4879)&gt;0,1,0))</f>
        <v>0</v>
      </c>
      <c r="P4879" s="16">
        <f t="shared" si="4"/>
        <v>0</v>
      </c>
    </row>
    <row r="4880" ht="15.75" customHeight="1">
      <c r="A4880" s="14">
        <v>43356.0</v>
      </c>
      <c r="B4880" s="15">
        <v>2.76</v>
      </c>
      <c r="C4880" s="15">
        <v>1.98</v>
      </c>
      <c r="D4880" s="15"/>
      <c r="E4880" s="15">
        <v>1.62</v>
      </c>
      <c r="F4880" s="15">
        <f t="shared" si="1"/>
        <v>-0.78</v>
      </c>
      <c r="G4880" s="15">
        <f t="shared" si="2"/>
        <v>1.98</v>
      </c>
      <c r="H4880" s="16">
        <v>0.0</v>
      </c>
      <c r="I4880" s="15">
        <f t="shared" si="3"/>
        <v>-0.78</v>
      </c>
      <c r="J4880" s="15">
        <v>12.37</v>
      </c>
      <c r="K4880" s="16">
        <f>IF(COUNTIFS(Release_Calendar!$A$2:$A$755,"US_CPI",Release_Calendar!$B$2:$B$755,$A4880)&gt;0,1,0)</f>
        <v>1</v>
      </c>
      <c r="L4880" s="16">
        <f>IF(COUNTIFS(Release_Calendar!$A$2:$A$755,"US_NFP",Release_Calendar!$B$2:$B$755,$A4880)&gt;0,1,0)</f>
        <v>0</v>
      </c>
      <c r="M4880" s="16">
        <f>IF($A4880&lt;Notes!$B$5,"",IF(COUNTIFS(Release_Calendar!$A$2:$A$755,"NZ_CPI",Release_Calendar!$B$2:$B$755,$A4880)&gt;0,1,0))</f>
        <v>0</v>
      </c>
      <c r="N4880" s="16">
        <f>IF($A4880&lt;Notes!$B$5,"",IF(COUNTIFS(Release_Calendar!$A$2:$A$755,"NZ_GDP",Release_Calendar!$B$2:$B$755,$A4880)&gt;0,1,0))</f>
        <v>0</v>
      </c>
      <c r="O4880" s="16">
        <f>IF($A4880&lt;Notes!$B$5,"",IF(COUNTIFS(Release_Calendar!$A$2:$A$755,"NZ_LABOUR",Release_Calendar!$B$2:$B$755,$A4880)&gt;0,1,0))</f>
        <v>0</v>
      </c>
      <c r="P4880" s="16">
        <f t="shared" si="4"/>
        <v>1</v>
      </c>
    </row>
    <row r="4881" ht="15.75" customHeight="1">
      <c r="A4881" s="14">
        <v>43357.0</v>
      </c>
      <c r="B4881" s="15">
        <v>2.78</v>
      </c>
      <c r="C4881" s="15">
        <v>1.98</v>
      </c>
      <c r="D4881" s="15"/>
      <c r="E4881" s="15">
        <v>1.64</v>
      </c>
      <c r="F4881" s="15">
        <f t="shared" si="1"/>
        <v>-0.8</v>
      </c>
      <c r="G4881" s="15">
        <f t="shared" si="2"/>
        <v>1.98</v>
      </c>
      <c r="H4881" s="16">
        <v>0.0</v>
      </c>
      <c r="I4881" s="15">
        <f t="shared" si="3"/>
        <v>-0.8</v>
      </c>
      <c r="J4881" s="15">
        <v>12.07</v>
      </c>
      <c r="K4881" s="16">
        <f>IF(COUNTIFS(Release_Calendar!$A$2:$A$755,"US_CPI",Release_Calendar!$B$2:$B$755,$A4881)&gt;0,1,0)</f>
        <v>0</v>
      </c>
      <c r="L4881" s="16">
        <f>IF(COUNTIFS(Release_Calendar!$A$2:$A$755,"US_NFP",Release_Calendar!$B$2:$B$755,$A4881)&gt;0,1,0)</f>
        <v>0</v>
      </c>
      <c r="M4881" s="16">
        <f>IF($A4881&lt;Notes!$B$5,"",IF(COUNTIFS(Release_Calendar!$A$2:$A$755,"NZ_CPI",Release_Calendar!$B$2:$B$755,$A4881)&gt;0,1,0))</f>
        <v>0</v>
      </c>
      <c r="N4881" s="16">
        <f>IF($A4881&lt;Notes!$B$5,"",IF(COUNTIFS(Release_Calendar!$A$2:$A$755,"NZ_GDP",Release_Calendar!$B$2:$B$755,$A4881)&gt;0,1,0))</f>
        <v>0</v>
      </c>
      <c r="O4881" s="16">
        <f>IF($A4881&lt;Notes!$B$5,"",IF(COUNTIFS(Release_Calendar!$A$2:$A$755,"NZ_LABOUR",Release_Calendar!$B$2:$B$755,$A4881)&gt;0,1,0))</f>
        <v>0</v>
      </c>
      <c r="P4881" s="16">
        <f t="shared" si="4"/>
        <v>0</v>
      </c>
    </row>
    <row r="4882" ht="15.75" customHeight="1">
      <c r="A4882" s="14">
        <v>43360.0</v>
      </c>
      <c r="B4882" s="15">
        <v>2.78</v>
      </c>
      <c r="C4882" s="15">
        <v>1.98</v>
      </c>
      <c r="D4882" s="15"/>
      <c r="E4882" s="15">
        <v>1.65</v>
      </c>
      <c r="F4882" s="15">
        <f t="shared" si="1"/>
        <v>-0.8</v>
      </c>
      <c r="G4882" s="15">
        <f t="shared" si="2"/>
        <v>1.98</v>
      </c>
      <c r="H4882" s="16">
        <v>0.0</v>
      </c>
      <c r="I4882" s="15">
        <f t="shared" si="3"/>
        <v>-0.8</v>
      </c>
      <c r="J4882" s="15">
        <v>13.68</v>
      </c>
      <c r="K4882" s="16">
        <f>IF(COUNTIFS(Release_Calendar!$A$2:$A$755,"US_CPI",Release_Calendar!$B$2:$B$755,$A4882)&gt;0,1,0)</f>
        <v>0</v>
      </c>
      <c r="L4882" s="16">
        <f>IF(COUNTIFS(Release_Calendar!$A$2:$A$755,"US_NFP",Release_Calendar!$B$2:$B$755,$A4882)&gt;0,1,0)</f>
        <v>0</v>
      </c>
      <c r="M4882" s="16">
        <f>IF($A4882&lt;Notes!$B$5,"",IF(COUNTIFS(Release_Calendar!$A$2:$A$755,"NZ_CPI",Release_Calendar!$B$2:$B$755,$A4882)&gt;0,1,0))</f>
        <v>0</v>
      </c>
      <c r="N4882" s="16">
        <f>IF($A4882&lt;Notes!$B$5,"",IF(COUNTIFS(Release_Calendar!$A$2:$A$755,"NZ_GDP",Release_Calendar!$B$2:$B$755,$A4882)&gt;0,1,0))</f>
        <v>0</v>
      </c>
      <c r="O4882" s="16">
        <f>IF($A4882&lt;Notes!$B$5,"",IF(COUNTIFS(Release_Calendar!$A$2:$A$755,"NZ_LABOUR",Release_Calendar!$B$2:$B$755,$A4882)&gt;0,1,0))</f>
        <v>0</v>
      </c>
      <c r="P4882" s="16">
        <f t="shared" si="4"/>
        <v>0</v>
      </c>
    </row>
    <row r="4883" ht="15.75" customHeight="1">
      <c r="A4883" s="14">
        <v>43361.0</v>
      </c>
      <c r="B4883" s="15">
        <v>2.81</v>
      </c>
      <c r="C4883" s="15">
        <v>2.0</v>
      </c>
      <c r="D4883" s="15"/>
      <c r="E4883" s="15">
        <v>1.68</v>
      </c>
      <c r="F4883" s="15">
        <f t="shared" si="1"/>
        <v>-0.81</v>
      </c>
      <c r="G4883" s="15">
        <f t="shared" si="2"/>
        <v>2</v>
      </c>
      <c r="H4883" s="16">
        <v>0.0</v>
      </c>
      <c r="I4883" s="15">
        <f t="shared" si="3"/>
        <v>-0.81</v>
      </c>
      <c r="J4883" s="15">
        <v>12.79</v>
      </c>
      <c r="K4883" s="16">
        <f>IF(COUNTIFS(Release_Calendar!$A$2:$A$755,"US_CPI",Release_Calendar!$B$2:$B$755,$A4883)&gt;0,1,0)</f>
        <v>0</v>
      </c>
      <c r="L4883" s="16">
        <f>IF(COUNTIFS(Release_Calendar!$A$2:$A$755,"US_NFP",Release_Calendar!$B$2:$B$755,$A4883)&gt;0,1,0)</f>
        <v>0</v>
      </c>
      <c r="M4883" s="16">
        <f>IF($A4883&lt;Notes!$B$5,"",IF(COUNTIFS(Release_Calendar!$A$2:$A$755,"NZ_CPI",Release_Calendar!$B$2:$B$755,$A4883)&gt;0,1,0))</f>
        <v>0</v>
      </c>
      <c r="N4883" s="16">
        <f>IF($A4883&lt;Notes!$B$5,"",IF(COUNTIFS(Release_Calendar!$A$2:$A$755,"NZ_GDP",Release_Calendar!$B$2:$B$755,$A4883)&gt;0,1,0))</f>
        <v>0</v>
      </c>
      <c r="O4883" s="16">
        <f>IF($A4883&lt;Notes!$B$5,"",IF(COUNTIFS(Release_Calendar!$A$2:$A$755,"NZ_LABOUR",Release_Calendar!$B$2:$B$755,$A4883)&gt;0,1,0))</f>
        <v>0</v>
      </c>
      <c r="P4883" s="16">
        <f t="shared" si="4"/>
        <v>0</v>
      </c>
    </row>
    <row r="4884" ht="15.75" customHeight="1">
      <c r="A4884" s="14">
        <v>43362.0</v>
      </c>
      <c r="B4884" s="15">
        <v>2.81</v>
      </c>
      <c r="C4884" s="15">
        <v>2.0</v>
      </c>
      <c r="D4884" s="15"/>
      <c r="E4884" s="15">
        <v>1.7</v>
      </c>
      <c r="F4884" s="15">
        <f t="shared" si="1"/>
        <v>-0.81</v>
      </c>
      <c r="G4884" s="15">
        <f t="shared" si="2"/>
        <v>2</v>
      </c>
      <c r="H4884" s="16">
        <v>0.0</v>
      </c>
      <c r="I4884" s="15">
        <f t="shared" si="3"/>
        <v>-0.81</v>
      </c>
      <c r="J4884" s="15">
        <v>11.75</v>
      </c>
      <c r="K4884" s="16">
        <f>IF(COUNTIFS(Release_Calendar!$A$2:$A$755,"US_CPI",Release_Calendar!$B$2:$B$755,$A4884)&gt;0,1,0)</f>
        <v>0</v>
      </c>
      <c r="L4884" s="16">
        <f>IF(COUNTIFS(Release_Calendar!$A$2:$A$755,"US_NFP",Release_Calendar!$B$2:$B$755,$A4884)&gt;0,1,0)</f>
        <v>0</v>
      </c>
      <c r="M4884" s="16">
        <f>IF($A4884&lt;Notes!$B$5,"",IF(COUNTIFS(Release_Calendar!$A$2:$A$755,"NZ_CPI",Release_Calendar!$B$2:$B$755,$A4884)&gt;0,1,0))</f>
        <v>0</v>
      </c>
      <c r="N4884" s="16">
        <f>IF($A4884&lt;Notes!$B$5,"",IF(COUNTIFS(Release_Calendar!$A$2:$A$755,"NZ_GDP",Release_Calendar!$B$2:$B$755,$A4884)&gt;0,1,0))</f>
        <v>0</v>
      </c>
      <c r="O4884" s="16">
        <f>IF($A4884&lt;Notes!$B$5,"",IF(COUNTIFS(Release_Calendar!$A$2:$A$755,"NZ_LABOUR",Release_Calendar!$B$2:$B$755,$A4884)&gt;0,1,0))</f>
        <v>0</v>
      </c>
      <c r="P4884" s="16">
        <f t="shared" si="4"/>
        <v>0</v>
      </c>
    </row>
    <row r="4885" ht="15.75" customHeight="1">
      <c r="A4885" s="14">
        <v>43363.0</v>
      </c>
      <c r="B4885" s="15">
        <v>2.81</v>
      </c>
      <c r="C4885" s="15">
        <v>2.03</v>
      </c>
      <c r="D4885" s="15"/>
      <c r="E4885" s="15">
        <v>1.72</v>
      </c>
      <c r="F4885" s="15">
        <f t="shared" si="1"/>
        <v>-0.78</v>
      </c>
      <c r="G4885" s="15">
        <f t="shared" si="2"/>
        <v>2.03</v>
      </c>
      <c r="H4885" s="16">
        <v>0.0</v>
      </c>
      <c r="I4885" s="15">
        <f t="shared" si="3"/>
        <v>-0.78</v>
      </c>
      <c r="J4885" s="15">
        <v>11.8</v>
      </c>
      <c r="K4885" s="16">
        <f>IF(COUNTIFS(Release_Calendar!$A$2:$A$755,"US_CPI",Release_Calendar!$B$2:$B$755,$A4885)&gt;0,1,0)</f>
        <v>0</v>
      </c>
      <c r="L4885" s="16">
        <f>IF(COUNTIFS(Release_Calendar!$A$2:$A$755,"US_NFP",Release_Calendar!$B$2:$B$755,$A4885)&gt;0,1,0)</f>
        <v>0</v>
      </c>
      <c r="M4885" s="16">
        <f>IF($A4885&lt;Notes!$B$5,"",IF(COUNTIFS(Release_Calendar!$A$2:$A$755,"NZ_CPI",Release_Calendar!$B$2:$B$755,$A4885)&gt;0,1,0))</f>
        <v>0</v>
      </c>
      <c r="N4885" s="16">
        <f>IF($A4885&lt;Notes!$B$5,"",IF(COUNTIFS(Release_Calendar!$A$2:$A$755,"NZ_GDP",Release_Calendar!$B$2:$B$755,$A4885)&gt;0,1,0))</f>
        <v>1</v>
      </c>
      <c r="O4885" s="16">
        <f>IF($A4885&lt;Notes!$B$5,"",IF(COUNTIFS(Release_Calendar!$A$2:$A$755,"NZ_LABOUR",Release_Calendar!$B$2:$B$755,$A4885)&gt;0,1,0))</f>
        <v>0</v>
      </c>
      <c r="P4885" s="16">
        <f t="shared" si="4"/>
        <v>1</v>
      </c>
    </row>
    <row r="4886" ht="15.75" customHeight="1">
      <c r="A4886" s="14">
        <v>43364.0</v>
      </c>
      <c r="B4886" s="15">
        <v>2.81</v>
      </c>
      <c r="C4886" s="15">
        <v>2.03</v>
      </c>
      <c r="D4886" s="15"/>
      <c r="E4886" s="15">
        <v>1.73</v>
      </c>
      <c r="F4886" s="15">
        <f t="shared" si="1"/>
        <v>-0.78</v>
      </c>
      <c r="G4886" s="15">
        <f t="shared" si="2"/>
        <v>2.03</v>
      </c>
      <c r="H4886" s="16">
        <v>0.0</v>
      </c>
      <c r="I4886" s="15">
        <f t="shared" si="3"/>
        <v>-0.78</v>
      </c>
      <c r="J4886" s="15">
        <v>11.68</v>
      </c>
      <c r="K4886" s="16">
        <f>IF(COUNTIFS(Release_Calendar!$A$2:$A$755,"US_CPI",Release_Calendar!$B$2:$B$755,$A4886)&gt;0,1,0)</f>
        <v>0</v>
      </c>
      <c r="L4886" s="16">
        <f>IF(COUNTIFS(Release_Calendar!$A$2:$A$755,"US_NFP",Release_Calendar!$B$2:$B$755,$A4886)&gt;0,1,0)</f>
        <v>0</v>
      </c>
      <c r="M4886" s="16">
        <f>IF($A4886&lt;Notes!$B$5,"",IF(COUNTIFS(Release_Calendar!$A$2:$A$755,"NZ_CPI",Release_Calendar!$B$2:$B$755,$A4886)&gt;0,1,0))</f>
        <v>0</v>
      </c>
      <c r="N4886" s="16">
        <f>IF($A4886&lt;Notes!$B$5,"",IF(COUNTIFS(Release_Calendar!$A$2:$A$755,"NZ_GDP",Release_Calendar!$B$2:$B$755,$A4886)&gt;0,1,0))</f>
        <v>0</v>
      </c>
      <c r="O4886" s="16">
        <f>IF($A4886&lt;Notes!$B$5,"",IF(COUNTIFS(Release_Calendar!$A$2:$A$755,"NZ_LABOUR",Release_Calendar!$B$2:$B$755,$A4886)&gt;0,1,0))</f>
        <v>0</v>
      </c>
      <c r="P4886" s="16">
        <f t="shared" si="4"/>
        <v>0</v>
      </c>
    </row>
    <row r="4887" ht="15.75" customHeight="1">
      <c r="A4887" s="14">
        <v>43367.0</v>
      </c>
      <c r="B4887" s="15">
        <v>2.83</v>
      </c>
      <c r="C4887" s="15">
        <v>2.04</v>
      </c>
      <c r="D4887" s="15"/>
      <c r="E4887" s="15">
        <v>1.73</v>
      </c>
      <c r="F4887" s="15">
        <f t="shared" si="1"/>
        <v>-0.79</v>
      </c>
      <c r="G4887" s="15">
        <f t="shared" si="2"/>
        <v>2.04</v>
      </c>
      <c r="H4887" s="16">
        <v>0.0</v>
      </c>
      <c r="I4887" s="15">
        <f t="shared" si="3"/>
        <v>-0.79</v>
      </c>
      <c r="J4887" s="15">
        <v>12.2</v>
      </c>
      <c r="K4887" s="16">
        <f>IF(COUNTIFS(Release_Calendar!$A$2:$A$755,"US_CPI",Release_Calendar!$B$2:$B$755,$A4887)&gt;0,1,0)</f>
        <v>0</v>
      </c>
      <c r="L4887" s="16">
        <f>IF(COUNTIFS(Release_Calendar!$A$2:$A$755,"US_NFP",Release_Calendar!$B$2:$B$755,$A4887)&gt;0,1,0)</f>
        <v>0</v>
      </c>
      <c r="M4887" s="16">
        <f>IF($A4887&lt;Notes!$B$5,"",IF(COUNTIFS(Release_Calendar!$A$2:$A$755,"NZ_CPI",Release_Calendar!$B$2:$B$755,$A4887)&gt;0,1,0))</f>
        <v>0</v>
      </c>
      <c r="N4887" s="16">
        <f>IF($A4887&lt;Notes!$B$5,"",IF(COUNTIFS(Release_Calendar!$A$2:$A$755,"NZ_GDP",Release_Calendar!$B$2:$B$755,$A4887)&gt;0,1,0))</f>
        <v>0</v>
      </c>
      <c r="O4887" s="16">
        <f>IF($A4887&lt;Notes!$B$5,"",IF(COUNTIFS(Release_Calendar!$A$2:$A$755,"NZ_LABOUR",Release_Calendar!$B$2:$B$755,$A4887)&gt;0,1,0))</f>
        <v>0</v>
      </c>
      <c r="P4887" s="16">
        <f t="shared" si="4"/>
        <v>0</v>
      </c>
    </row>
    <row r="4888" ht="15.75" customHeight="1">
      <c r="A4888" s="14">
        <v>43368.0</v>
      </c>
      <c r="B4888" s="15">
        <v>2.83</v>
      </c>
      <c r="C4888" s="15">
        <v>2.05</v>
      </c>
      <c r="D4888" s="15"/>
      <c r="E4888" s="15">
        <v>1.74</v>
      </c>
      <c r="F4888" s="15">
        <f t="shared" si="1"/>
        <v>-0.78</v>
      </c>
      <c r="G4888" s="15">
        <f t="shared" si="2"/>
        <v>2.05</v>
      </c>
      <c r="H4888" s="16">
        <v>0.0</v>
      </c>
      <c r="I4888" s="15">
        <f t="shared" si="3"/>
        <v>-0.78</v>
      </c>
      <c r="J4888" s="15">
        <v>12.42</v>
      </c>
      <c r="K4888" s="16">
        <f>IF(COUNTIFS(Release_Calendar!$A$2:$A$755,"US_CPI",Release_Calendar!$B$2:$B$755,$A4888)&gt;0,1,0)</f>
        <v>0</v>
      </c>
      <c r="L4888" s="16">
        <f>IF(COUNTIFS(Release_Calendar!$A$2:$A$755,"US_NFP",Release_Calendar!$B$2:$B$755,$A4888)&gt;0,1,0)</f>
        <v>0</v>
      </c>
      <c r="M4888" s="16">
        <f>IF($A4888&lt;Notes!$B$5,"",IF(COUNTIFS(Release_Calendar!$A$2:$A$755,"NZ_CPI",Release_Calendar!$B$2:$B$755,$A4888)&gt;0,1,0))</f>
        <v>0</v>
      </c>
      <c r="N4888" s="16">
        <f>IF($A4888&lt;Notes!$B$5,"",IF(COUNTIFS(Release_Calendar!$A$2:$A$755,"NZ_GDP",Release_Calendar!$B$2:$B$755,$A4888)&gt;0,1,0))</f>
        <v>0</v>
      </c>
      <c r="O4888" s="16">
        <f>IF($A4888&lt;Notes!$B$5,"",IF(COUNTIFS(Release_Calendar!$A$2:$A$755,"NZ_LABOUR",Release_Calendar!$B$2:$B$755,$A4888)&gt;0,1,0))</f>
        <v>0</v>
      </c>
      <c r="P4888" s="16">
        <f t="shared" si="4"/>
        <v>0</v>
      </c>
    </row>
    <row r="4889" ht="15.75" customHeight="1">
      <c r="A4889" s="14">
        <v>43369.0</v>
      </c>
      <c r="B4889" s="15">
        <v>2.83</v>
      </c>
      <c r="C4889" s="15">
        <v>2.05</v>
      </c>
      <c r="D4889" s="15"/>
      <c r="E4889" s="15">
        <v>1.75</v>
      </c>
      <c r="F4889" s="15">
        <f t="shared" si="1"/>
        <v>-0.78</v>
      </c>
      <c r="G4889" s="15">
        <f t="shared" si="2"/>
        <v>2.05</v>
      </c>
      <c r="H4889" s="16">
        <v>0.0</v>
      </c>
      <c r="I4889" s="15">
        <f t="shared" si="3"/>
        <v>-0.78</v>
      </c>
      <c r="J4889" s="15">
        <v>12.89</v>
      </c>
      <c r="K4889" s="16">
        <f>IF(COUNTIFS(Release_Calendar!$A$2:$A$755,"US_CPI",Release_Calendar!$B$2:$B$755,$A4889)&gt;0,1,0)</f>
        <v>0</v>
      </c>
      <c r="L4889" s="16">
        <f>IF(COUNTIFS(Release_Calendar!$A$2:$A$755,"US_NFP",Release_Calendar!$B$2:$B$755,$A4889)&gt;0,1,0)</f>
        <v>0</v>
      </c>
      <c r="M4889" s="16">
        <f>IF($A4889&lt;Notes!$B$5,"",IF(COUNTIFS(Release_Calendar!$A$2:$A$755,"NZ_CPI",Release_Calendar!$B$2:$B$755,$A4889)&gt;0,1,0))</f>
        <v>0</v>
      </c>
      <c r="N4889" s="16">
        <f>IF($A4889&lt;Notes!$B$5,"",IF(COUNTIFS(Release_Calendar!$A$2:$A$755,"NZ_GDP",Release_Calendar!$B$2:$B$755,$A4889)&gt;0,1,0))</f>
        <v>0</v>
      </c>
      <c r="O4889" s="16">
        <f>IF($A4889&lt;Notes!$B$5,"",IF(COUNTIFS(Release_Calendar!$A$2:$A$755,"NZ_LABOUR",Release_Calendar!$B$2:$B$755,$A4889)&gt;0,1,0))</f>
        <v>0</v>
      </c>
      <c r="P4889" s="16">
        <f t="shared" si="4"/>
        <v>0</v>
      </c>
    </row>
    <row r="4890" ht="15.75" customHeight="1">
      <c r="A4890" s="14">
        <v>43370.0</v>
      </c>
      <c r="B4890" s="15">
        <v>2.83</v>
      </c>
      <c r="C4890" s="15">
        <v>2.04</v>
      </c>
      <c r="D4890" s="15"/>
      <c r="E4890" s="15">
        <v>1.75</v>
      </c>
      <c r="F4890" s="15">
        <f t="shared" si="1"/>
        <v>-0.79</v>
      </c>
      <c r="G4890" s="15">
        <f t="shared" si="2"/>
        <v>2.04</v>
      </c>
      <c r="H4890" s="16">
        <v>0.0</v>
      </c>
      <c r="I4890" s="15">
        <f t="shared" si="3"/>
        <v>-0.79</v>
      </c>
      <c r="J4890" s="15">
        <v>12.41</v>
      </c>
      <c r="K4890" s="16">
        <f>IF(COUNTIFS(Release_Calendar!$A$2:$A$755,"US_CPI",Release_Calendar!$B$2:$B$755,$A4890)&gt;0,1,0)</f>
        <v>0</v>
      </c>
      <c r="L4890" s="16">
        <f>IF(COUNTIFS(Release_Calendar!$A$2:$A$755,"US_NFP",Release_Calendar!$B$2:$B$755,$A4890)&gt;0,1,0)</f>
        <v>0</v>
      </c>
      <c r="M4890" s="16">
        <f>IF($A4890&lt;Notes!$B$5,"",IF(COUNTIFS(Release_Calendar!$A$2:$A$755,"NZ_CPI",Release_Calendar!$B$2:$B$755,$A4890)&gt;0,1,0))</f>
        <v>0</v>
      </c>
      <c r="N4890" s="16">
        <f>IF($A4890&lt;Notes!$B$5,"",IF(COUNTIFS(Release_Calendar!$A$2:$A$755,"NZ_GDP",Release_Calendar!$B$2:$B$755,$A4890)&gt;0,1,0))</f>
        <v>0</v>
      </c>
      <c r="O4890" s="16">
        <f>IF($A4890&lt;Notes!$B$5,"",IF(COUNTIFS(Release_Calendar!$A$2:$A$755,"NZ_LABOUR",Release_Calendar!$B$2:$B$755,$A4890)&gt;0,1,0))</f>
        <v>0</v>
      </c>
      <c r="P4890" s="16">
        <f t="shared" si="4"/>
        <v>0</v>
      </c>
    </row>
    <row r="4891" ht="15.75" customHeight="1">
      <c r="A4891" s="14">
        <v>43371.0</v>
      </c>
      <c r="B4891" s="15">
        <v>2.81</v>
      </c>
      <c r="C4891" s="15">
        <v>2.04</v>
      </c>
      <c r="D4891" s="15"/>
      <c r="E4891" s="15">
        <v>1.73</v>
      </c>
      <c r="F4891" s="15">
        <f t="shared" si="1"/>
        <v>-0.77</v>
      </c>
      <c r="G4891" s="15">
        <f t="shared" si="2"/>
        <v>2.04</v>
      </c>
      <c r="H4891" s="16">
        <v>0.0</v>
      </c>
      <c r="I4891" s="15">
        <f t="shared" si="3"/>
        <v>-0.77</v>
      </c>
      <c r="J4891" s="15">
        <v>12.12</v>
      </c>
      <c r="K4891" s="16">
        <f>IF(COUNTIFS(Release_Calendar!$A$2:$A$755,"US_CPI",Release_Calendar!$B$2:$B$755,$A4891)&gt;0,1,0)</f>
        <v>0</v>
      </c>
      <c r="L4891" s="16">
        <f>IF(COUNTIFS(Release_Calendar!$A$2:$A$755,"US_NFP",Release_Calendar!$B$2:$B$755,$A4891)&gt;0,1,0)</f>
        <v>0</v>
      </c>
      <c r="M4891" s="16">
        <f>IF($A4891&lt;Notes!$B$5,"",IF(COUNTIFS(Release_Calendar!$A$2:$A$755,"NZ_CPI",Release_Calendar!$B$2:$B$755,$A4891)&gt;0,1,0))</f>
        <v>0</v>
      </c>
      <c r="N4891" s="16">
        <f>IF($A4891&lt;Notes!$B$5,"",IF(COUNTIFS(Release_Calendar!$A$2:$A$755,"NZ_GDP",Release_Calendar!$B$2:$B$755,$A4891)&gt;0,1,0))</f>
        <v>0</v>
      </c>
      <c r="O4891" s="16">
        <f>IF($A4891&lt;Notes!$B$5,"",IF(COUNTIFS(Release_Calendar!$A$2:$A$755,"NZ_LABOUR",Release_Calendar!$B$2:$B$755,$A4891)&gt;0,1,0))</f>
        <v>0</v>
      </c>
      <c r="P4891" s="16">
        <f t="shared" si="4"/>
        <v>0</v>
      </c>
    </row>
    <row r="4892" ht="15.75" customHeight="1">
      <c r="A4892" s="14">
        <v>43374.0</v>
      </c>
      <c r="B4892" s="15">
        <v>2.82</v>
      </c>
      <c r="C4892" s="15">
        <v>2.03</v>
      </c>
      <c r="D4892" s="15"/>
      <c r="E4892" s="15"/>
      <c r="F4892" s="15">
        <f t="shared" si="1"/>
        <v>-0.79</v>
      </c>
      <c r="G4892" s="15">
        <f t="shared" si="2"/>
        <v>2.03</v>
      </c>
      <c r="H4892" s="16">
        <v>0.0</v>
      </c>
      <c r="I4892" s="15">
        <f t="shared" si="3"/>
        <v>-0.79</v>
      </c>
      <c r="J4892" s="15">
        <v>12.0</v>
      </c>
      <c r="K4892" s="16">
        <f>IF(COUNTIFS(Release_Calendar!$A$2:$A$755,"US_CPI",Release_Calendar!$B$2:$B$755,$A4892)&gt;0,1,0)</f>
        <v>0</v>
      </c>
      <c r="L4892" s="16">
        <f>IF(COUNTIFS(Release_Calendar!$A$2:$A$755,"US_NFP",Release_Calendar!$B$2:$B$755,$A4892)&gt;0,1,0)</f>
        <v>0</v>
      </c>
      <c r="M4892" s="16">
        <f>IF($A4892&lt;Notes!$B$5,"",IF(COUNTIFS(Release_Calendar!$A$2:$A$755,"NZ_CPI",Release_Calendar!$B$2:$B$755,$A4892)&gt;0,1,0))</f>
        <v>0</v>
      </c>
      <c r="N4892" s="16">
        <f>IF($A4892&lt;Notes!$B$5,"",IF(COUNTIFS(Release_Calendar!$A$2:$A$755,"NZ_GDP",Release_Calendar!$B$2:$B$755,$A4892)&gt;0,1,0))</f>
        <v>0</v>
      </c>
      <c r="O4892" s="16">
        <f>IF($A4892&lt;Notes!$B$5,"",IF(COUNTIFS(Release_Calendar!$A$2:$A$755,"NZ_LABOUR",Release_Calendar!$B$2:$B$755,$A4892)&gt;0,1,0))</f>
        <v>0</v>
      </c>
      <c r="P4892" s="16">
        <f t="shared" si="4"/>
        <v>0</v>
      </c>
    </row>
    <row r="4893" ht="15.75" customHeight="1">
      <c r="A4893" s="14">
        <v>43375.0</v>
      </c>
      <c r="B4893" s="15">
        <v>2.82</v>
      </c>
      <c r="C4893" s="15">
        <v>2.02</v>
      </c>
      <c r="D4893" s="15"/>
      <c r="E4893" s="15"/>
      <c r="F4893" s="15">
        <f t="shared" si="1"/>
        <v>-0.8</v>
      </c>
      <c r="G4893" s="15">
        <f t="shared" si="2"/>
        <v>2.02</v>
      </c>
      <c r="H4893" s="16">
        <v>0.0</v>
      </c>
      <c r="I4893" s="15">
        <f t="shared" si="3"/>
        <v>-0.8</v>
      </c>
      <c r="J4893" s="15">
        <v>12.05</v>
      </c>
      <c r="K4893" s="16">
        <f>IF(COUNTIFS(Release_Calendar!$A$2:$A$755,"US_CPI",Release_Calendar!$B$2:$B$755,$A4893)&gt;0,1,0)</f>
        <v>0</v>
      </c>
      <c r="L4893" s="16">
        <f>IF(COUNTIFS(Release_Calendar!$A$2:$A$755,"US_NFP",Release_Calendar!$B$2:$B$755,$A4893)&gt;0,1,0)</f>
        <v>0</v>
      </c>
      <c r="M4893" s="16">
        <f>IF($A4893&lt;Notes!$B$5,"",IF(COUNTIFS(Release_Calendar!$A$2:$A$755,"NZ_CPI",Release_Calendar!$B$2:$B$755,$A4893)&gt;0,1,0))</f>
        <v>0</v>
      </c>
      <c r="N4893" s="16">
        <f>IF($A4893&lt;Notes!$B$5,"",IF(COUNTIFS(Release_Calendar!$A$2:$A$755,"NZ_GDP",Release_Calendar!$B$2:$B$755,$A4893)&gt;0,1,0))</f>
        <v>0</v>
      </c>
      <c r="O4893" s="16">
        <f>IF($A4893&lt;Notes!$B$5,"",IF(COUNTIFS(Release_Calendar!$A$2:$A$755,"NZ_LABOUR",Release_Calendar!$B$2:$B$755,$A4893)&gt;0,1,0))</f>
        <v>0</v>
      </c>
      <c r="P4893" s="16">
        <f t="shared" si="4"/>
        <v>0</v>
      </c>
    </row>
    <row r="4894" ht="15.75" customHeight="1">
      <c r="A4894" s="14">
        <v>43376.0</v>
      </c>
      <c r="B4894" s="15">
        <v>2.85</v>
      </c>
      <c r="C4894" s="15">
        <v>2.0</v>
      </c>
      <c r="D4894" s="15"/>
      <c r="E4894" s="15"/>
      <c r="F4894" s="15">
        <f t="shared" si="1"/>
        <v>-0.85</v>
      </c>
      <c r="G4894" s="15">
        <f t="shared" si="2"/>
        <v>2</v>
      </c>
      <c r="H4894" s="16">
        <v>0.0</v>
      </c>
      <c r="I4894" s="15">
        <f t="shared" si="3"/>
        <v>-0.85</v>
      </c>
      <c r="J4894" s="15">
        <v>11.61</v>
      </c>
      <c r="K4894" s="16">
        <f>IF(COUNTIFS(Release_Calendar!$A$2:$A$755,"US_CPI",Release_Calendar!$B$2:$B$755,$A4894)&gt;0,1,0)</f>
        <v>0</v>
      </c>
      <c r="L4894" s="16">
        <f>IF(COUNTIFS(Release_Calendar!$A$2:$A$755,"US_NFP",Release_Calendar!$B$2:$B$755,$A4894)&gt;0,1,0)</f>
        <v>0</v>
      </c>
      <c r="M4894" s="16">
        <f>IF($A4894&lt;Notes!$B$5,"",IF(COUNTIFS(Release_Calendar!$A$2:$A$755,"NZ_CPI",Release_Calendar!$B$2:$B$755,$A4894)&gt;0,1,0))</f>
        <v>0</v>
      </c>
      <c r="N4894" s="16">
        <f>IF($A4894&lt;Notes!$B$5,"",IF(COUNTIFS(Release_Calendar!$A$2:$A$755,"NZ_GDP",Release_Calendar!$B$2:$B$755,$A4894)&gt;0,1,0))</f>
        <v>0</v>
      </c>
      <c r="O4894" s="16">
        <f>IF($A4894&lt;Notes!$B$5,"",IF(COUNTIFS(Release_Calendar!$A$2:$A$755,"NZ_LABOUR",Release_Calendar!$B$2:$B$755,$A4894)&gt;0,1,0))</f>
        <v>0</v>
      </c>
      <c r="P4894" s="16">
        <f t="shared" si="4"/>
        <v>0</v>
      </c>
    </row>
    <row r="4895" ht="15.75" customHeight="1">
      <c r="A4895" s="14">
        <v>43377.0</v>
      </c>
      <c r="B4895" s="15">
        <v>2.87</v>
      </c>
      <c r="C4895" s="15">
        <v>2.01</v>
      </c>
      <c r="D4895" s="15"/>
      <c r="E4895" s="15"/>
      <c r="F4895" s="15">
        <f t="shared" si="1"/>
        <v>-0.86</v>
      </c>
      <c r="G4895" s="15">
        <f t="shared" si="2"/>
        <v>2.01</v>
      </c>
      <c r="H4895" s="16">
        <v>0.0</v>
      </c>
      <c r="I4895" s="15">
        <f t="shared" si="3"/>
        <v>-0.86</v>
      </c>
      <c r="J4895" s="15">
        <v>14.22</v>
      </c>
      <c r="K4895" s="16">
        <f>IF(COUNTIFS(Release_Calendar!$A$2:$A$755,"US_CPI",Release_Calendar!$B$2:$B$755,$A4895)&gt;0,1,0)</f>
        <v>0</v>
      </c>
      <c r="L4895" s="16">
        <f>IF(COUNTIFS(Release_Calendar!$A$2:$A$755,"US_NFP",Release_Calendar!$B$2:$B$755,$A4895)&gt;0,1,0)</f>
        <v>0</v>
      </c>
      <c r="M4895" s="16">
        <f>IF($A4895&lt;Notes!$B$5,"",IF(COUNTIFS(Release_Calendar!$A$2:$A$755,"NZ_CPI",Release_Calendar!$B$2:$B$755,$A4895)&gt;0,1,0))</f>
        <v>0</v>
      </c>
      <c r="N4895" s="16">
        <f>IF($A4895&lt;Notes!$B$5,"",IF(COUNTIFS(Release_Calendar!$A$2:$A$755,"NZ_GDP",Release_Calendar!$B$2:$B$755,$A4895)&gt;0,1,0))</f>
        <v>0</v>
      </c>
      <c r="O4895" s="16">
        <f>IF($A4895&lt;Notes!$B$5,"",IF(COUNTIFS(Release_Calendar!$A$2:$A$755,"NZ_LABOUR",Release_Calendar!$B$2:$B$755,$A4895)&gt;0,1,0))</f>
        <v>0</v>
      </c>
      <c r="P4895" s="16">
        <f t="shared" si="4"/>
        <v>0</v>
      </c>
    </row>
    <row r="4896" ht="15.75" customHeight="1">
      <c r="A4896" s="14">
        <v>43378.0</v>
      </c>
      <c r="B4896" s="15">
        <v>2.88</v>
      </c>
      <c r="C4896" s="15">
        <v>2.01</v>
      </c>
      <c r="D4896" s="15"/>
      <c r="E4896" s="15"/>
      <c r="F4896" s="15">
        <f t="shared" si="1"/>
        <v>-0.87</v>
      </c>
      <c r="G4896" s="15">
        <f t="shared" si="2"/>
        <v>2.01</v>
      </c>
      <c r="H4896" s="16">
        <v>0.0</v>
      </c>
      <c r="I4896" s="15">
        <f t="shared" si="3"/>
        <v>-0.87</v>
      </c>
      <c r="J4896" s="15">
        <v>14.82</v>
      </c>
      <c r="K4896" s="16">
        <f>IF(COUNTIFS(Release_Calendar!$A$2:$A$755,"US_CPI",Release_Calendar!$B$2:$B$755,$A4896)&gt;0,1,0)</f>
        <v>0</v>
      </c>
      <c r="L4896" s="16">
        <f>IF(COUNTIFS(Release_Calendar!$A$2:$A$755,"US_NFP",Release_Calendar!$B$2:$B$755,$A4896)&gt;0,1,0)</f>
        <v>1</v>
      </c>
      <c r="M4896" s="16">
        <f>IF($A4896&lt;Notes!$B$5,"",IF(COUNTIFS(Release_Calendar!$A$2:$A$755,"NZ_CPI",Release_Calendar!$B$2:$B$755,$A4896)&gt;0,1,0))</f>
        <v>0</v>
      </c>
      <c r="N4896" s="16">
        <f>IF($A4896&lt;Notes!$B$5,"",IF(COUNTIFS(Release_Calendar!$A$2:$A$755,"NZ_GDP",Release_Calendar!$B$2:$B$755,$A4896)&gt;0,1,0))</f>
        <v>0</v>
      </c>
      <c r="O4896" s="16">
        <f>IF($A4896&lt;Notes!$B$5,"",IF(COUNTIFS(Release_Calendar!$A$2:$A$755,"NZ_LABOUR",Release_Calendar!$B$2:$B$755,$A4896)&gt;0,1,0))</f>
        <v>0</v>
      </c>
      <c r="P4896" s="16">
        <f t="shared" si="4"/>
        <v>1</v>
      </c>
    </row>
    <row r="4897" ht="15.75" customHeight="1">
      <c r="A4897" s="14">
        <v>43381.0</v>
      </c>
      <c r="B4897" s="15"/>
      <c r="C4897" s="15">
        <v>2.02</v>
      </c>
      <c r="D4897" s="15"/>
      <c r="E4897" s="15"/>
      <c r="F4897" s="15" t="str">
        <f t="shared" si="1"/>
        <v/>
      </c>
      <c r="G4897" s="15">
        <f t="shared" si="2"/>
        <v>2.02</v>
      </c>
      <c r="H4897" s="16">
        <v>0.0</v>
      </c>
      <c r="I4897" s="15" t="str">
        <f t="shared" si="3"/>
        <v/>
      </c>
      <c r="J4897" s="15">
        <v>15.69</v>
      </c>
      <c r="K4897" s="16">
        <f>IF(COUNTIFS(Release_Calendar!$A$2:$A$755,"US_CPI",Release_Calendar!$B$2:$B$755,$A4897)&gt;0,1,0)</f>
        <v>0</v>
      </c>
      <c r="L4897" s="16">
        <f>IF(COUNTIFS(Release_Calendar!$A$2:$A$755,"US_NFP",Release_Calendar!$B$2:$B$755,$A4897)&gt;0,1,0)</f>
        <v>0</v>
      </c>
      <c r="M4897" s="16">
        <f>IF($A4897&lt;Notes!$B$5,"",IF(COUNTIFS(Release_Calendar!$A$2:$A$755,"NZ_CPI",Release_Calendar!$B$2:$B$755,$A4897)&gt;0,1,0))</f>
        <v>0</v>
      </c>
      <c r="N4897" s="16">
        <f>IF($A4897&lt;Notes!$B$5,"",IF(COUNTIFS(Release_Calendar!$A$2:$A$755,"NZ_GDP",Release_Calendar!$B$2:$B$755,$A4897)&gt;0,1,0))</f>
        <v>0</v>
      </c>
      <c r="O4897" s="16">
        <f>IF($A4897&lt;Notes!$B$5,"",IF(COUNTIFS(Release_Calendar!$A$2:$A$755,"NZ_LABOUR",Release_Calendar!$B$2:$B$755,$A4897)&gt;0,1,0))</f>
        <v>0</v>
      </c>
      <c r="P4897" s="16">
        <f t="shared" si="4"/>
        <v>0</v>
      </c>
    </row>
    <row r="4898" ht="15.75" customHeight="1">
      <c r="A4898" s="14">
        <v>43382.0</v>
      </c>
      <c r="B4898" s="15">
        <v>2.88</v>
      </c>
      <c r="C4898" s="15">
        <v>2.02</v>
      </c>
      <c r="D4898" s="15"/>
      <c r="E4898" s="15"/>
      <c r="F4898" s="15">
        <f t="shared" si="1"/>
        <v>-0.86</v>
      </c>
      <c r="G4898" s="15">
        <f t="shared" si="2"/>
        <v>2.02</v>
      </c>
      <c r="H4898" s="16">
        <v>0.0</v>
      </c>
      <c r="I4898" s="15">
        <f t="shared" si="3"/>
        <v>-0.86</v>
      </c>
      <c r="J4898" s="15">
        <v>15.95</v>
      </c>
      <c r="K4898" s="16">
        <f>IF(COUNTIFS(Release_Calendar!$A$2:$A$755,"US_CPI",Release_Calendar!$B$2:$B$755,$A4898)&gt;0,1,0)</f>
        <v>0</v>
      </c>
      <c r="L4898" s="16">
        <f>IF(COUNTIFS(Release_Calendar!$A$2:$A$755,"US_NFP",Release_Calendar!$B$2:$B$755,$A4898)&gt;0,1,0)</f>
        <v>0</v>
      </c>
      <c r="M4898" s="16">
        <f>IF($A4898&lt;Notes!$B$5,"",IF(COUNTIFS(Release_Calendar!$A$2:$A$755,"NZ_CPI",Release_Calendar!$B$2:$B$755,$A4898)&gt;0,1,0))</f>
        <v>0</v>
      </c>
      <c r="N4898" s="16">
        <f>IF($A4898&lt;Notes!$B$5,"",IF(COUNTIFS(Release_Calendar!$A$2:$A$755,"NZ_GDP",Release_Calendar!$B$2:$B$755,$A4898)&gt;0,1,0))</f>
        <v>0</v>
      </c>
      <c r="O4898" s="16">
        <f>IF($A4898&lt;Notes!$B$5,"",IF(COUNTIFS(Release_Calendar!$A$2:$A$755,"NZ_LABOUR",Release_Calendar!$B$2:$B$755,$A4898)&gt;0,1,0))</f>
        <v>0</v>
      </c>
      <c r="P4898" s="16">
        <f t="shared" si="4"/>
        <v>0</v>
      </c>
    </row>
    <row r="4899" ht="15.75" customHeight="1">
      <c r="A4899" s="14">
        <v>43383.0</v>
      </c>
      <c r="B4899" s="15">
        <v>2.88</v>
      </c>
      <c r="C4899" s="15">
        <v>2.02</v>
      </c>
      <c r="D4899" s="15"/>
      <c r="E4899" s="15"/>
      <c r="F4899" s="15">
        <f t="shared" si="1"/>
        <v>-0.86</v>
      </c>
      <c r="G4899" s="15">
        <f t="shared" si="2"/>
        <v>2.02</v>
      </c>
      <c r="H4899" s="16">
        <v>0.0</v>
      </c>
      <c r="I4899" s="15">
        <f t="shared" si="3"/>
        <v>-0.86</v>
      </c>
      <c r="J4899" s="15">
        <v>22.96</v>
      </c>
      <c r="K4899" s="16">
        <f>IF(COUNTIFS(Release_Calendar!$A$2:$A$755,"US_CPI",Release_Calendar!$B$2:$B$755,$A4899)&gt;0,1,0)</f>
        <v>0</v>
      </c>
      <c r="L4899" s="16">
        <f>IF(COUNTIFS(Release_Calendar!$A$2:$A$755,"US_NFP",Release_Calendar!$B$2:$B$755,$A4899)&gt;0,1,0)</f>
        <v>0</v>
      </c>
      <c r="M4899" s="16">
        <f>IF($A4899&lt;Notes!$B$5,"",IF(COUNTIFS(Release_Calendar!$A$2:$A$755,"NZ_CPI",Release_Calendar!$B$2:$B$755,$A4899)&gt;0,1,0))</f>
        <v>0</v>
      </c>
      <c r="N4899" s="16">
        <f>IF($A4899&lt;Notes!$B$5,"",IF(COUNTIFS(Release_Calendar!$A$2:$A$755,"NZ_GDP",Release_Calendar!$B$2:$B$755,$A4899)&gt;0,1,0))</f>
        <v>0</v>
      </c>
      <c r="O4899" s="16">
        <f>IF($A4899&lt;Notes!$B$5,"",IF(COUNTIFS(Release_Calendar!$A$2:$A$755,"NZ_LABOUR",Release_Calendar!$B$2:$B$755,$A4899)&gt;0,1,0))</f>
        <v>0</v>
      </c>
      <c r="P4899" s="16">
        <f t="shared" si="4"/>
        <v>0</v>
      </c>
    </row>
    <row r="4900" ht="15.75" customHeight="1">
      <c r="A4900" s="14">
        <v>43384.0</v>
      </c>
      <c r="B4900" s="15">
        <v>2.85</v>
      </c>
      <c r="C4900" s="15">
        <v>2.02</v>
      </c>
      <c r="D4900" s="15"/>
      <c r="E4900" s="15"/>
      <c r="F4900" s="15">
        <f t="shared" si="1"/>
        <v>-0.83</v>
      </c>
      <c r="G4900" s="15">
        <f t="shared" si="2"/>
        <v>2.02</v>
      </c>
      <c r="H4900" s="16">
        <v>0.0</v>
      </c>
      <c r="I4900" s="15">
        <f t="shared" si="3"/>
        <v>-0.83</v>
      </c>
      <c r="J4900" s="15">
        <v>24.98</v>
      </c>
      <c r="K4900" s="16">
        <f>IF(COUNTIFS(Release_Calendar!$A$2:$A$755,"US_CPI",Release_Calendar!$B$2:$B$755,$A4900)&gt;0,1,0)</f>
        <v>1</v>
      </c>
      <c r="L4900" s="16">
        <f>IF(COUNTIFS(Release_Calendar!$A$2:$A$755,"US_NFP",Release_Calendar!$B$2:$B$755,$A4900)&gt;0,1,0)</f>
        <v>0</v>
      </c>
      <c r="M4900" s="16">
        <f>IF($A4900&lt;Notes!$B$5,"",IF(COUNTIFS(Release_Calendar!$A$2:$A$755,"NZ_CPI",Release_Calendar!$B$2:$B$755,$A4900)&gt;0,1,0))</f>
        <v>0</v>
      </c>
      <c r="N4900" s="16">
        <f>IF($A4900&lt;Notes!$B$5,"",IF(COUNTIFS(Release_Calendar!$A$2:$A$755,"NZ_GDP",Release_Calendar!$B$2:$B$755,$A4900)&gt;0,1,0))</f>
        <v>0</v>
      </c>
      <c r="O4900" s="16">
        <f>IF($A4900&lt;Notes!$B$5,"",IF(COUNTIFS(Release_Calendar!$A$2:$A$755,"NZ_LABOUR",Release_Calendar!$B$2:$B$755,$A4900)&gt;0,1,0))</f>
        <v>0</v>
      </c>
      <c r="P4900" s="16">
        <f t="shared" si="4"/>
        <v>1</v>
      </c>
    </row>
    <row r="4901" ht="15.75" customHeight="1">
      <c r="A4901" s="14">
        <v>43385.0</v>
      </c>
      <c r="B4901" s="15">
        <v>2.85</v>
      </c>
      <c r="C4901" s="15">
        <v>2.03</v>
      </c>
      <c r="D4901" s="15"/>
      <c r="E4901" s="15"/>
      <c r="F4901" s="15">
        <f t="shared" si="1"/>
        <v>-0.82</v>
      </c>
      <c r="G4901" s="15">
        <f t="shared" si="2"/>
        <v>2.03</v>
      </c>
      <c r="H4901" s="16">
        <v>0.0</v>
      </c>
      <c r="I4901" s="15">
        <f t="shared" si="3"/>
        <v>-0.82</v>
      </c>
      <c r="J4901" s="15">
        <v>21.31</v>
      </c>
      <c r="K4901" s="16">
        <f>IF(COUNTIFS(Release_Calendar!$A$2:$A$755,"US_CPI",Release_Calendar!$B$2:$B$755,$A4901)&gt;0,1,0)</f>
        <v>0</v>
      </c>
      <c r="L4901" s="16">
        <f>IF(COUNTIFS(Release_Calendar!$A$2:$A$755,"US_NFP",Release_Calendar!$B$2:$B$755,$A4901)&gt;0,1,0)</f>
        <v>0</v>
      </c>
      <c r="M4901" s="16">
        <f>IF($A4901&lt;Notes!$B$5,"",IF(COUNTIFS(Release_Calendar!$A$2:$A$755,"NZ_CPI",Release_Calendar!$B$2:$B$755,$A4901)&gt;0,1,0))</f>
        <v>0</v>
      </c>
      <c r="N4901" s="16">
        <f>IF($A4901&lt;Notes!$B$5,"",IF(COUNTIFS(Release_Calendar!$A$2:$A$755,"NZ_GDP",Release_Calendar!$B$2:$B$755,$A4901)&gt;0,1,0))</f>
        <v>0</v>
      </c>
      <c r="O4901" s="16">
        <f>IF($A4901&lt;Notes!$B$5,"",IF(COUNTIFS(Release_Calendar!$A$2:$A$755,"NZ_LABOUR",Release_Calendar!$B$2:$B$755,$A4901)&gt;0,1,0))</f>
        <v>0</v>
      </c>
      <c r="P4901" s="16">
        <f t="shared" si="4"/>
        <v>0</v>
      </c>
    </row>
    <row r="4902" ht="15.75" customHeight="1">
      <c r="A4902" s="14">
        <v>43388.0</v>
      </c>
      <c r="B4902" s="15">
        <v>2.85</v>
      </c>
      <c r="C4902" s="15">
        <v>2.02</v>
      </c>
      <c r="D4902" s="15"/>
      <c r="E4902" s="15"/>
      <c r="F4902" s="15">
        <f t="shared" si="1"/>
        <v>-0.83</v>
      </c>
      <c r="G4902" s="15">
        <f t="shared" si="2"/>
        <v>2.02</v>
      </c>
      <c r="H4902" s="16">
        <v>0.0</v>
      </c>
      <c r="I4902" s="15">
        <f t="shared" si="3"/>
        <v>-0.83</v>
      </c>
      <c r="J4902" s="15">
        <v>21.3</v>
      </c>
      <c r="K4902" s="16">
        <f>IF(COUNTIFS(Release_Calendar!$A$2:$A$755,"US_CPI",Release_Calendar!$B$2:$B$755,$A4902)&gt;0,1,0)</f>
        <v>0</v>
      </c>
      <c r="L4902" s="16">
        <f>IF(COUNTIFS(Release_Calendar!$A$2:$A$755,"US_NFP",Release_Calendar!$B$2:$B$755,$A4902)&gt;0,1,0)</f>
        <v>0</v>
      </c>
      <c r="M4902" s="16">
        <f>IF($A4902&lt;Notes!$B$5,"",IF(COUNTIFS(Release_Calendar!$A$2:$A$755,"NZ_CPI",Release_Calendar!$B$2:$B$755,$A4902)&gt;0,1,0))</f>
        <v>0</v>
      </c>
      <c r="N4902" s="16">
        <f>IF($A4902&lt;Notes!$B$5,"",IF(COUNTIFS(Release_Calendar!$A$2:$A$755,"NZ_GDP",Release_Calendar!$B$2:$B$755,$A4902)&gt;0,1,0))</f>
        <v>0</v>
      </c>
      <c r="O4902" s="16">
        <f>IF($A4902&lt;Notes!$B$5,"",IF(COUNTIFS(Release_Calendar!$A$2:$A$755,"NZ_LABOUR",Release_Calendar!$B$2:$B$755,$A4902)&gt;0,1,0))</f>
        <v>0</v>
      </c>
      <c r="P4902" s="16">
        <f t="shared" si="4"/>
        <v>0</v>
      </c>
    </row>
    <row r="4903" ht="15.75" customHeight="1">
      <c r="A4903" s="14">
        <v>43389.0</v>
      </c>
      <c r="B4903" s="15">
        <v>2.87</v>
      </c>
      <c r="C4903" s="15">
        <v>2.03</v>
      </c>
      <c r="D4903" s="15"/>
      <c r="E4903" s="15"/>
      <c r="F4903" s="15">
        <f t="shared" si="1"/>
        <v>-0.84</v>
      </c>
      <c r="G4903" s="15">
        <f t="shared" si="2"/>
        <v>2.03</v>
      </c>
      <c r="H4903" s="16">
        <v>0.0</v>
      </c>
      <c r="I4903" s="15">
        <f t="shared" si="3"/>
        <v>-0.84</v>
      </c>
      <c r="J4903" s="15">
        <v>17.62</v>
      </c>
      <c r="K4903" s="16">
        <f>IF(COUNTIFS(Release_Calendar!$A$2:$A$755,"US_CPI",Release_Calendar!$B$2:$B$755,$A4903)&gt;0,1,0)</f>
        <v>0</v>
      </c>
      <c r="L4903" s="16">
        <f>IF(COUNTIFS(Release_Calendar!$A$2:$A$755,"US_NFP",Release_Calendar!$B$2:$B$755,$A4903)&gt;0,1,0)</f>
        <v>0</v>
      </c>
      <c r="M4903" s="16">
        <f>IF($A4903&lt;Notes!$B$5,"",IF(COUNTIFS(Release_Calendar!$A$2:$A$755,"NZ_CPI",Release_Calendar!$B$2:$B$755,$A4903)&gt;0,1,0))</f>
        <v>1</v>
      </c>
      <c r="N4903" s="16">
        <f>IF($A4903&lt;Notes!$B$5,"",IF(COUNTIFS(Release_Calendar!$A$2:$A$755,"NZ_GDP",Release_Calendar!$B$2:$B$755,$A4903)&gt;0,1,0))</f>
        <v>0</v>
      </c>
      <c r="O4903" s="16">
        <f>IF($A4903&lt;Notes!$B$5,"",IF(COUNTIFS(Release_Calendar!$A$2:$A$755,"NZ_LABOUR",Release_Calendar!$B$2:$B$755,$A4903)&gt;0,1,0))</f>
        <v>0</v>
      </c>
      <c r="P4903" s="16">
        <f t="shared" si="4"/>
        <v>1</v>
      </c>
    </row>
    <row r="4904" ht="15.75" customHeight="1">
      <c r="A4904" s="14">
        <v>43390.0</v>
      </c>
      <c r="B4904" s="15">
        <v>2.89</v>
      </c>
      <c r="C4904" s="15">
        <v>2.03</v>
      </c>
      <c r="D4904" s="15"/>
      <c r="E4904" s="15"/>
      <c r="F4904" s="15">
        <f t="shared" si="1"/>
        <v>-0.86</v>
      </c>
      <c r="G4904" s="15">
        <f t="shared" si="2"/>
        <v>2.03</v>
      </c>
      <c r="H4904" s="16">
        <v>0.0</v>
      </c>
      <c r="I4904" s="15">
        <f t="shared" si="3"/>
        <v>-0.86</v>
      </c>
      <c r="J4904" s="15">
        <v>17.4</v>
      </c>
      <c r="K4904" s="16">
        <f>IF(COUNTIFS(Release_Calendar!$A$2:$A$755,"US_CPI",Release_Calendar!$B$2:$B$755,$A4904)&gt;0,1,0)</f>
        <v>0</v>
      </c>
      <c r="L4904" s="16">
        <f>IF(COUNTIFS(Release_Calendar!$A$2:$A$755,"US_NFP",Release_Calendar!$B$2:$B$755,$A4904)&gt;0,1,0)</f>
        <v>0</v>
      </c>
      <c r="M4904" s="16">
        <f>IF($A4904&lt;Notes!$B$5,"",IF(COUNTIFS(Release_Calendar!$A$2:$A$755,"NZ_CPI",Release_Calendar!$B$2:$B$755,$A4904)&gt;0,1,0))</f>
        <v>0</v>
      </c>
      <c r="N4904" s="16">
        <f>IF($A4904&lt;Notes!$B$5,"",IF(COUNTIFS(Release_Calendar!$A$2:$A$755,"NZ_GDP",Release_Calendar!$B$2:$B$755,$A4904)&gt;0,1,0))</f>
        <v>0</v>
      </c>
      <c r="O4904" s="16">
        <f>IF($A4904&lt;Notes!$B$5,"",IF(COUNTIFS(Release_Calendar!$A$2:$A$755,"NZ_LABOUR",Release_Calendar!$B$2:$B$755,$A4904)&gt;0,1,0))</f>
        <v>0</v>
      </c>
      <c r="P4904" s="16">
        <f t="shared" si="4"/>
        <v>0</v>
      </c>
    </row>
    <row r="4905" ht="15.75" customHeight="1">
      <c r="A4905" s="14">
        <v>43391.0</v>
      </c>
      <c r="B4905" s="15">
        <v>2.87</v>
      </c>
      <c r="C4905" s="15">
        <v>2.03</v>
      </c>
      <c r="D4905" s="15"/>
      <c r="E4905" s="15"/>
      <c r="F4905" s="15">
        <f t="shared" si="1"/>
        <v>-0.84</v>
      </c>
      <c r="G4905" s="15">
        <f t="shared" si="2"/>
        <v>2.03</v>
      </c>
      <c r="H4905" s="16">
        <v>0.0</v>
      </c>
      <c r="I4905" s="15">
        <f t="shared" si="3"/>
        <v>-0.84</v>
      </c>
      <c r="J4905" s="15">
        <v>20.06</v>
      </c>
      <c r="K4905" s="16">
        <f>IF(COUNTIFS(Release_Calendar!$A$2:$A$755,"US_CPI",Release_Calendar!$B$2:$B$755,$A4905)&gt;0,1,0)</f>
        <v>0</v>
      </c>
      <c r="L4905" s="16">
        <f>IF(COUNTIFS(Release_Calendar!$A$2:$A$755,"US_NFP",Release_Calendar!$B$2:$B$755,$A4905)&gt;0,1,0)</f>
        <v>0</v>
      </c>
      <c r="M4905" s="16">
        <f>IF($A4905&lt;Notes!$B$5,"",IF(COUNTIFS(Release_Calendar!$A$2:$A$755,"NZ_CPI",Release_Calendar!$B$2:$B$755,$A4905)&gt;0,1,0))</f>
        <v>0</v>
      </c>
      <c r="N4905" s="16">
        <f>IF($A4905&lt;Notes!$B$5,"",IF(COUNTIFS(Release_Calendar!$A$2:$A$755,"NZ_GDP",Release_Calendar!$B$2:$B$755,$A4905)&gt;0,1,0))</f>
        <v>0</v>
      </c>
      <c r="O4905" s="16">
        <f>IF($A4905&lt;Notes!$B$5,"",IF(COUNTIFS(Release_Calendar!$A$2:$A$755,"NZ_LABOUR",Release_Calendar!$B$2:$B$755,$A4905)&gt;0,1,0))</f>
        <v>0</v>
      </c>
      <c r="P4905" s="16">
        <f t="shared" si="4"/>
        <v>0</v>
      </c>
    </row>
    <row r="4906" ht="15.75" customHeight="1">
      <c r="A4906" s="14">
        <v>43392.0</v>
      </c>
      <c r="B4906" s="15">
        <v>2.92</v>
      </c>
      <c r="C4906" s="15">
        <v>2.03</v>
      </c>
      <c r="D4906" s="15"/>
      <c r="E4906" s="15"/>
      <c r="F4906" s="15">
        <f t="shared" si="1"/>
        <v>-0.89</v>
      </c>
      <c r="G4906" s="15">
        <f t="shared" si="2"/>
        <v>2.03</v>
      </c>
      <c r="H4906" s="16">
        <v>0.0</v>
      </c>
      <c r="I4906" s="15">
        <f t="shared" si="3"/>
        <v>-0.89</v>
      </c>
      <c r="J4906" s="15">
        <v>19.89</v>
      </c>
      <c r="K4906" s="16">
        <f>IF(COUNTIFS(Release_Calendar!$A$2:$A$755,"US_CPI",Release_Calendar!$B$2:$B$755,$A4906)&gt;0,1,0)</f>
        <v>0</v>
      </c>
      <c r="L4906" s="16">
        <f>IF(COUNTIFS(Release_Calendar!$A$2:$A$755,"US_NFP",Release_Calendar!$B$2:$B$755,$A4906)&gt;0,1,0)</f>
        <v>0</v>
      </c>
      <c r="M4906" s="16">
        <f>IF($A4906&lt;Notes!$B$5,"",IF(COUNTIFS(Release_Calendar!$A$2:$A$755,"NZ_CPI",Release_Calendar!$B$2:$B$755,$A4906)&gt;0,1,0))</f>
        <v>0</v>
      </c>
      <c r="N4906" s="16">
        <f>IF($A4906&lt;Notes!$B$5,"",IF(COUNTIFS(Release_Calendar!$A$2:$A$755,"NZ_GDP",Release_Calendar!$B$2:$B$755,$A4906)&gt;0,1,0))</f>
        <v>0</v>
      </c>
      <c r="O4906" s="16">
        <f>IF($A4906&lt;Notes!$B$5,"",IF(COUNTIFS(Release_Calendar!$A$2:$A$755,"NZ_LABOUR",Release_Calendar!$B$2:$B$755,$A4906)&gt;0,1,0))</f>
        <v>0</v>
      </c>
      <c r="P4906" s="16">
        <f t="shared" si="4"/>
        <v>0</v>
      </c>
    </row>
    <row r="4907" ht="15.75" customHeight="1">
      <c r="A4907" s="14">
        <v>43395.0</v>
      </c>
      <c r="B4907" s="15">
        <v>2.92</v>
      </c>
      <c r="C4907" s="15"/>
      <c r="D4907" s="15"/>
      <c r="E4907" s="15"/>
      <c r="F4907" s="15" t="str">
        <f t="shared" si="1"/>
        <v/>
      </c>
      <c r="G4907" s="15" t="str">
        <f t="shared" si="2"/>
        <v/>
      </c>
      <c r="H4907" s="16">
        <v>0.0</v>
      </c>
      <c r="I4907" s="15" t="str">
        <f t="shared" si="3"/>
        <v/>
      </c>
      <c r="J4907" s="15">
        <v>19.64</v>
      </c>
      <c r="K4907" s="16">
        <f>IF(COUNTIFS(Release_Calendar!$A$2:$A$755,"US_CPI",Release_Calendar!$B$2:$B$755,$A4907)&gt;0,1,0)</f>
        <v>0</v>
      </c>
      <c r="L4907" s="16">
        <f>IF(COUNTIFS(Release_Calendar!$A$2:$A$755,"US_NFP",Release_Calendar!$B$2:$B$755,$A4907)&gt;0,1,0)</f>
        <v>0</v>
      </c>
      <c r="M4907" s="16">
        <f>IF($A4907&lt;Notes!$B$5,"",IF(COUNTIFS(Release_Calendar!$A$2:$A$755,"NZ_CPI",Release_Calendar!$B$2:$B$755,$A4907)&gt;0,1,0))</f>
        <v>0</v>
      </c>
      <c r="N4907" s="16">
        <f>IF($A4907&lt;Notes!$B$5,"",IF(COUNTIFS(Release_Calendar!$A$2:$A$755,"NZ_GDP",Release_Calendar!$B$2:$B$755,$A4907)&gt;0,1,0))</f>
        <v>0</v>
      </c>
      <c r="O4907" s="16">
        <f>IF($A4907&lt;Notes!$B$5,"",IF(COUNTIFS(Release_Calendar!$A$2:$A$755,"NZ_LABOUR",Release_Calendar!$B$2:$B$755,$A4907)&gt;0,1,0))</f>
        <v>0</v>
      </c>
      <c r="P4907" s="16">
        <f t="shared" si="4"/>
        <v>0</v>
      </c>
    </row>
    <row r="4908" ht="15.75" customHeight="1">
      <c r="A4908" s="14">
        <v>43396.0</v>
      </c>
      <c r="B4908" s="15">
        <v>2.89</v>
      </c>
      <c r="C4908" s="15">
        <v>2.02</v>
      </c>
      <c r="D4908" s="15"/>
      <c r="E4908" s="15"/>
      <c r="F4908" s="15">
        <f t="shared" si="1"/>
        <v>-0.87</v>
      </c>
      <c r="G4908" s="15">
        <f t="shared" si="2"/>
        <v>2.02</v>
      </c>
      <c r="H4908" s="16">
        <v>0.0</v>
      </c>
      <c r="I4908" s="15">
        <f t="shared" si="3"/>
        <v>-0.87</v>
      </c>
      <c r="J4908" s="15">
        <v>20.71</v>
      </c>
      <c r="K4908" s="16">
        <f>IF(COUNTIFS(Release_Calendar!$A$2:$A$755,"US_CPI",Release_Calendar!$B$2:$B$755,$A4908)&gt;0,1,0)</f>
        <v>0</v>
      </c>
      <c r="L4908" s="16">
        <f>IF(COUNTIFS(Release_Calendar!$A$2:$A$755,"US_NFP",Release_Calendar!$B$2:$B$755,$A4908)&gt;0,1,0)</f>
        <v>0</v>
      </c>
      <c r="M4908" s="16">
        <f>IF($A4908&lt;Notes!$B$5,"",IF(COUNTIFS(Release_Calendar!$A$2:$A$755,"NZ_CPI",Release_Calendar!$B$2:$B$755,$A4908)&gt;0,1,0))</f>
        <v>0</v>
      </c>
      <c r="N4908" s="16">
        <f>IF($A4908&lt;Notes!$B$5,"",IF(COUNTIFS(Release_Calendar!$A$2:$A$755,"NZ_GDP",Release_Calendar!$B$2:$B$755,$A4908)&gt;0,1,0))</f>
        <v>0</v>
      </c>
      <c r="O4908" s="16">
        <f>IF($A4908&lt;Notes!$B$5,"",IF(COUNTIFS(Release_Calendar!$A$2:$A$755,"NZ_LABOUR",Release_Calendar!$B$2:$B$755,$A4908)&gt;0,1,0))</f>
        <v>0</v>
      </c>
      <c r="P4908" s="16">
        <f t="shared" si="4"/>
        <v>0</v>
      </c>
    </row>
    <row r="4909" ht="15.75" customHeight="1">
      <c r="A4909" s="14">
        <v>43397.0</v>
      </c>
      <c r="B4909" s="15">
        <v>2.84</v>
      </c>
      <c r="C4909" s="15">
        <v>2.02</v>
      </c>
      <c r="D4909" s="15"/>
      <c r="E4909" s="15"/>
      <c r="F4909" s="15">
        <f t="shared" si="1"/>
        <v>-0.82</v>
      </c>
      <c r="G4909" s="15">
        <f t="shared" si="2"/>
        <v>2.02</v>
      </c>
      <c r="H4909" s="16">
        <v>0.0</v>
      </c>
      <c r="I4909" s="15">
        <f t="shared" si="3"/>
        <v>-0.82</v>
      </c>
      <c r="J4909" s="15">
        <v>25.23</v>
      </c>
      <c r="K4909" s="16">
        <f>IF(COUNTIFS(Release_Calendar!$A$2:$A$755,"US_CPI",Release_Calendar!$B$2:$B$755,$A4909)&gt;0,1,0)</f>
        <v>0</v>
      </c>
      <c r="L4909" s="16">
        <f>IF(COUNTIFS(Release_Calendar!$A$2:$A$755,"US_NFP",Release_Calendar!$B$2:$B$755,$A4909)&gt;0,1,0)</f>
        <v>0</v>
      </c>
      <c r="M4909" s="16">
        <f>IF($A4909&lt;Notes!$B$5,"",IF(COUNTIFS(Release_Calendar!$A$2:$A$755,"NZ_CPI",Release_Calendar!$B$2:$B$755,$A4909)&gt;0,1,0))</f>
        <v>0</v>
      </c>
      <c r="N4909" s="16">
        <f>IF($A4909&lt;Notes!$B$5,"",IF(COUNTIFS(Release_Calendar!$A$2:$A$755,"NZ_GDP",Release_Calendar!$B$2:$B$755,$A4909)&gt;0,1,0))</f>
        <v>0</v>
      </c>
      <c r="O4909" s="16">
        <f>IF($A4909&lt;Notes!$B$5,"",IF(COUNTIFS(Release_Calendar!$A$2:$A$755,"NZ_LABOUR",Release_Calendar!$B$2:$B$755,$A4909)&gt;0,1,0))</f>
        <v>0</v>
      </c>
      <c r="P4909" s="16">
        <f t="shared" si="4"/>
        <v>0</v>
      </c>
    </row>
    <row r="4910" ht="15.75" customHeight="1">
      <c r="A4910" s="14">
        <v>43398.0</v>
      </c>
      <c r="B4910" s="15">
        <v>2.86</v>
      </c>
      <c r="C4910" s="15">
        <v>2.01</v>
      </c>
      <c r="D4910" s="15"/>
      <c r="E4910" s="15"/>
      <c r="F4910" s="15">
        <f t="shared" si="1"/>
        <v>-0.85</v>
      </c>
      <c r="G4910" s="15">
        <f t="shared" si="2"/>
        <v>2.01</v>
      </c>
      <c r="H4910" s="16">
        <v>0.0</v>
      </c>
      <c r="I4910" s="15">
        <f t="shared" si="3"/>
        <v>-0.85</v>
      </c>
      <c r="J4910" s="15">
        <v>24.22</v>
      </c>
      <c r="K4910" s="16">
        <f>IF(COUNTIFS(Release_Calendar!$A$2:$A$755,"US_CPI",Release_Calendar!$B$2:$B$755,$A4910)&gt;0,1,0)</f>
        <v>0</v>
      </c>
      <c r="L4910" s="16">
        <f>IF(COUNTIFS(Release_Calendar!$A$2:$A$755,"US_NFP",Release_Calendar!$B$2:$B$755,$A4910)&gt;0,1,0)</f>
        <v>0</v>
      </c>
      <c r="M4910" s="16">
        <f>IF($A4910&lt;Notes!$B$5,"",IF(COUNTIFS(Release_Calendar!$A$2:$A$755,"NZ_CPI",Release_Calendar!$B$2:$B$755,$A4910)&gt;0,1,0))</f>
        <v>0</v>
      </c>
      <c r="N4910" s="16">
        <f>IF($A4910&lt;Notes!$B$5,"",IF(COUNTIFS(Release_Calendar!$A$2:$A$755,"NZ_GDP",Release_Calendar!$B$2:$B$755,$A4910)&gt;0,1,0))</f>
        <v>0</v>
      </c>
      <c r="O4910" s="16">
        <f>IF($A4910&lt;Notes!$B$5,"",IF(COUNTIFS(Release_Calendar!$A$2:$A$755,"NZ_LABOUR",Release_Calendar!$B$2:$B$755,$A4910)&gt;0,1,0))</f>
        <v>0</v>
      </c>
      <c r="P4910" s="16">
        <f t="shared" si="4"/>
        <v>0</v>
      </c>
    </row>
    <row r="4911" ht="15.75" customHeight="1">
      <c r="A4911" s="14">
        <v>43399.0</v>
      </c>
      <c r="B4911" s="15">
        <v>2.81</v>
      </c>
      <c r="C4911" s="15">
        <v>2.0</v>
      </c>
      <c r="D4911" s="15"/>
      <c r="E4911" s="15"/>
      <c r="F4911" s="15">
        <f t="shared" si="1"/>
        <v>-0.81</v>
      </c>
      <c r="G4911" s="15">
        <f t="shared" si="2"/>
        <v>2</v>
      </c>
      <c r="H4911" s="16">
        <v>0.0</v>
      </c>
      <c r="I4911" s="15">
        <f t="shared" si="3"/>
        <v>-0.81</v>
      </c>
      <c r="J4911" s="15">
        <v>24.16</v>
      </c>
      <c r="K4911" s="16">
        <f>IF(COUNTIFS(Release_Calendar!$A$2:$A$755,"US_CPI",Release_Calendar!$B$2:$B$755,$A4911)&gt;0,1,0)</f>
        <v>0</v>
      </c>
      <c r="L4911" s="16">
        <f>IF(COUNTIFS(Release_Calendar!$A$2:$A$755,"US_NFP",Release_Calendar!$B$2:$B$755,$A4911)&gt;0,1,0)</f>
        <v>0</v>
      </c>
      <c r="M4911" s="16">
        <f>IF($A4911&lt;Notes!$B$5,"",IF(COUNTIFS(Release_Calendar!$A$2:$A$755,"NZ_CPI",Release_Calendar!$B$2:$B$755,$A4911)&gt;0,1,0))</f>
        <v>0</v>
      </c>
      <c r="N4911" s="16">
        <f>IF($A4911&lt;Notes!$B$5,"",IF(COUNTIFS(Release_Calendar!$A$2:$A$755,"NZ_GDP",Release_Calendar!$B$2:$B$755,$A4911)&gt;0,1,0))</f>
        <v>0</v>
      </c>
      <c r="O4911" s="16">
        <f>IF($A4911&lt;Notes!$B$5,"",IF(COUNTIFS(Release_Calendar!$A$2:$A$755,"NZ_LABOUR",Release_Calendar!$B$2:$B$755,$A4911)&gt;0,1,0))</f>
        <v>0</v>
      </c>
      <c r="P4911" s="16">
        <f t="shared" si="4"/>
        <v>0</v>
      </c>
    </row>
    <row r="4912" ht="15.75" customHeight="1">
      <c r="A4912" s="14">
        <v>43402.0</v>
      </c>
      <c r="B4912" s="15">
        <v>2.81</v>
      </c>
      <c r="C4912" s="15">
        <v>1.99</v>
      </c>
      <c r="D4912" s="15"/>
      <c r="E4912" s="15"/>
      <c r="F4912" s="15">
        <f t="shared" si="1"/>
        <v>-0.82</v>
      </c>
      <c r="G4912" s="15">
        <f t="shared" si="2"/>
        <v>1.99</v>
      </c>
      <c r="H4912" s="16">
        <v>0.0</v>
      </c>
      <c r="I4912" s="15">
        <f t="shared" si="3"/>
        <v>-0.82</v>
      </c>
      <c r="J4912" s="15">
        <v>24.7</v>
      </c>
      <c r="K4912" s="16">
        <f>IF(COUNTIFS(Release_Calendar!$A$2:$A$755,"US_CPI",Release_Calendar!$B$2:$B$755,$A4912)&gt;0,1,0)</f>
        <v>0</v>
      </c>
      <c r="L4912" s="16">
        <f>IF(COUNTIFS(Release_Calendar!$A$2:$A$755,"US_NFP",Release_Calendar!$B$2:$B$755,$A4912)&gt;0,1,0)</f>
        <v>0</v>
      </c>
      <c r="M4912" s="16">
        <f>IF($A4912&lt;Notes!$B$5,"",IF(COUNTIFS(Release_Calendar!$A$2:$A$755,"NZ_CPI",Release_Calendar!$B$2:$B$755,$A4912)&gt;0,1,0))</f>
        <v>0</v>
      </c>
      <c r="N4912" s="16">
        <f>IF($A4912&lt;Notes!$B$5,"",IF(COUNTIFS(Release_Calendar!$A$2:$A$755,"NZ_GDP",Release_Calendar!$B$2:$B$755,$A4912)&gt;0,1,0))</f>
        <v>0</v>
      </c>
      <c r="O4912" s="16">
        <f>IF($A4912&lt;Notes!$B$5,"",IF(COUNTIFS(Release_Calendar!$A$2:$A$755,"NZ_LABOUR",Release_Calendar!$B$2:$B$755,$A4912)&gt;0,1,0))</f>
        <v>0</v>
      </c>
      <c r="P4912" s="16">
        <f t="shared" si="4"/>
        <v>0</v>
      </c>
    </row>
    <row r="4913" ht="15.75" customHeight="1">
      <c r="A4913" s="14">
        <v>43403.0</v>
      </c>
      <c r="B4913" s="15">
        <v>2.84</v>
      </c>
      <c r="C4913" s="15">
        <v>2.0</v>
      </c>
      <c r="D4913" s="15"/>
      <c r="E4913" s="15"/>
      <c r="F4913" s="15">
        <f t="shared" si="1"/>
        <v>-0.84</v>
      </c>
      <c r="G4913" s="15">
        <f t="shared" si="2"/>
        <v>2</v>
      </c>
      <c r="H4913" s="16">
        <v>0.0</v>
      </c>
      <c r="I4913" s="15">
        <f t="shared" si="3"/>
        <v>-0.84</v>
      </c>
      <c r="J4913" s="15">
        <v>23.35</v>
      </c>
      <c r="K4913" s="16">
        <f>IF(COUNTIFS(Release_Calendar!$A$2:$A$755,"US_CPI",Release_Calendar!$B$2:$B$755,$A4913)&gt;0,1,0)</f>
        <v>0</v>
      </c>
      <c r="L4913" s="16">
        <f>IF(COUNTIFS(Release_Calendar!$A$2:$A$755,"US_NFP",Release_Calendar!$B$2:$B$755,$A4913)&gt;0,1,0)</f>
        <v>0</v>
      </c>
      <c r="M4913" s="16">
        <f>IF($A4913&lt;Notes!$B$5,"",IF(COUNTIFS(Release_Calendar!$A$2:$A$755,"NZ_CPI",Release_Calendar!$B$2:$B$755,$A4913)&gt;0,1,0))</f>
        <v>0</v>
      </c>
      <c r="N4913" s="16">
        <f>IF($A4913&lt;Notes!$B$5,"",IF(COUNTIFS(Release_Calendar!$A$2:$A$755,"NZ_GDP",Release_Calendar!$B$2:$B$755,$A4913)&gt;0,1,0))</f>
        <v>0</v>
      </c>
      <c r="O4913" s="16">
        <f>IF($A4913&lt;Notes!$B$5,"",IF(COUNTIFS(Release_Calendar!$A$2:$A$755,"NZ_LABOUR",Release_Calendar!$B$2:$B$755,$A4913)&gt;0,1,0))</f>
        <v>0</v>
      </c>
      <c r="P4913" s="16">
        <f t="shared" si="4"/>
        <v>0</v>
      </c>
    </row>
    <row r="4914" ht="15.75" customHeight="1">
      <c r="A4914" s="14">
        <v>43404.0</v>
      </c>
      <c r="B4914" s="15">
        <v>2.87</v>
      </c>
      <c r="C4914" s="15">
        <v>2.01</v>
      </c>
      <c r="D4914" s="15"/>
      <c r="E4914" s="15">
        <v>1.77</v>
      </c>
      <c r="F4914" s="15">
        <f t="shared" si="1"/>
        <v>-0.86</v>
      </c>
      <c r="G4914" s="15">
        <f t="shared" si="2"/>
        <v>2.01</v>
      </c>
      <c r="H4914" s="16">
        <v>0.0</v>
      </c>
      <c r="I4914" s="15">
        <f t="shared" si="3"/>
        <v>-0.86</v>
      </c>
      <c r="J4914" s="15">
        <v>21.23</v>
      </c>
      <c r="K4914" s="16">
        <f>IF(COUNTIFS(Release_Calendar!$A$2:$A$755,"US_CPI",Release_Calendar!$B$2:$B$755,$A4914)&gt;0,1,0)</f>
        <v>0</v>
      </c>
      <c r="L4914" s="16">
        <f>IF(COUNTIFS(Release_Calendar!$A$2:$A$755,"US_NFP",Release_Calendar!$B$2:$B$755,$A4914)&gt;0,1,0)</f>
        <v>0</v>
      </c>
      <c r="M4914" s="16">
        <f>IF($A4914&lt;Notes!$B$5,"",IF(COUNTIFS(Release_Calendar!$A$2:$A$755,"NZ_CPI",Release_Calendar!$B$2:$B$755,$A4914)&gt;0,1,0))</f>
        <v>0</v>
      </c>
      <c r="N4914" s="16">
        <f>IF($A4914&lt;Notes!$B$5,"",IF(COUNTIFS(Release_Calendar!$A$2:$A$755,"NZ_GDP",Release_Calendar!$B$2:$B$755,$A4914)&gt;0,1,0))</f>
        <v>0</v>
      </c>
      <c r="O4914" s="16">
        <f>IF($A4914&lt;Notes!$B$5,"",IF(COUNTIFS(Release_Calendar!$A$2:$A$755,"NZ_LABOUR",Release_Calendar!$B$2:$B$755,$A4914)&gt;0,1,0))</f>
        <v>0</v>
      </c>
      <c r="P4914" s="16">
        <f t="shared" si="4"/>
        <v>0</v>
      </c>
    </row>
    <row r="4915" ht="15.75" customHeight="1">
      <c r="A4915" s="14">
        <v>43405.0</v>
      </c>
      <c r="B4915" s="15">
        <v>2.84</v>
      </c>
      <c r="C4915" s="15">
        <v>2.02</v>
      </c>
      <c r="D4915" s="15"/>
      <c r="E4915" s="15">
        <v>1.8</v>
      </c>
      <c r="F4915" s="15">
        <f t="shared" si="1"/>
        <v>-0.82</v>
      </c>
      <c r="G4915" s="15">
        <f t="shared" si="2"/>
        <v>2.02</v>
      </c>
      <c r="H4915" s="16">
        <v>0.0</v>
      </c>
      <c r="I4915" s="15">
        <f t="shared" si="3"/>
        <v>-0.82</v>
      </c>
      <c r="J4915" s="15">
        <v>19.34</v>
      </c>
      <c r="K4915" s="16">
        <f>IF(COUNTIFS(Release_Calendar!$A$2:$A$755,"US_CPI",Release_Calendar!$B$2:$B$755,$A4915)&gt;0,1,0)</f>
        <v>0</v>
      </c>
      <c r="L4915" s="16">
        <f>IF(COUNTIFS(Release_Calendar!$A$2:$A$755,"US_NFP",Release_Calendar!$B$2:$B$755,$A4915)&gt;0,1,0)</f>
        <v>0</v>
      </c>
      <c r="M4915" s="16">
        <f>IF($A4915&lt;Notes!$B$5,"",IF(COUNTIFS(Release_Calendar!$A$2:$A$755,"NZ_CPI",Release_Calendar!$B$2:$B$755,$A4915)&gt;0,1,0))</f>
        <v>0</v>
      </c>
      <c r="N4915" s="16">
        <f>IF($A4915&lt;Notes!$B$5,"",IF(COUNTIFS(Release_Calendar!$A$2:$A$755,"NZ_GDP",Release_Calendar!$B$2:$B$755,$A4915)&gt;0,1,0))</f>
        <v>0</v>
      </c>
      <c r="O4915" s="16">
        <f>IF($A4915&lt;Notes!$B$5,"",IF(COUNTIFS(Release_Calendar!$A$2:$A$755,"NZ_LABOUR",Release_Calendar!$B$2:$B$755,$A4915)&gt;0,1,0))</f>
        <v>0</v>
      </c>
      <c r="P4915" s="16">
        <f t="shared" si="4"/>
        <v>0</v>
      </c>
    </row>
    <row r="4916" ht="15.75" customHeight="1">
      <c r="A4916" s="14">
        <v>43406.0</v>
      </c>
      <c r="B4916" s="15">
        <v>2.91</v>
      </c>
      <c r="C4916" s="15">
        <v>2.05</v>
      </c>
      <c r="D4916" s="15"/>
      <c r="E4916" s="15">
        <v>1.82</v>
      </c>
      <c r="F4916" s="15">
        <f t="shared" si="1"/>
        <v>-0.86</v>
      </c>
      <c r="G4916" s="15">
        <f t="shared" si="2"/>
        <v>2.05</v>
      </c>
      <c r="H4916" s="16">
        <v>0.0</v>
      </c>
      <c r="I4916" s="15">
        <f t="shared" si="3"/>
        <v>-0.86</v>
      </c>
      <c r="J4916" s="15">
        <v>19.51</v>
      </c>
      <c r="K4916" s="16">
        <f>IF(COUNTIFS(Release_Calendar!$A$2:$A$755,"US_CPI",Release_Calendar!$B$2:$B$755,$A4916)&gt;0,1,0)</f>
        <v>0</v>
      </c>
      <c r="L4916" s="16">
        <f>IF(COUNTIFS(Release_Calendar!$A$2:$A$755,"US_NFP",Release_Calendar!$B$2:$B$755,$A4916)&gt;0,1,0)</f>
        <v>1</v>
      </c>
      <c r="M4916" s="16">
        <f>IF($A4916&lt;Notes!$B$5,"",IF(COUNTIFS(Release_Calendar!$A$2:$A$755,"NZ_CPI",Release_Calendar!$B$2:$B$755,$A4916)&gt;0,1,0))</f>
        <v>0</v>
      </c>
      <c r="N4916" s="16">
        <f>IF($A4916&lt;Notes!$B$5,"",IF(COUNTIFS(Release_Calendar!$A$2:$A$755,"NZ_GDP",Release_Calendar!$B$2:$B$755,$A4916)&gt;0,1,0))</f>
        <v>0</v>
      </c>
      <c r="O4916" s="16">
        <f>IF($A4916&lt;Notes!$B$5,"",IF(COUNTIFS(Release_Calendar!$A$2:$A$755,"NZ_LABOUR",Release_Calendar!$B$2:$B$755,$A4916)&gt;0,1,0))</f>
        <v>0</v>
      </c>
      <c r="P4916" s="16">
        <f t="shared" si="4"/>
        <v>1</v>
      </c>
    </row>
    <row r="4917" ht="15.75" customHeight="1">
      <c r="A4917" s="14">
        <v>43409.0</v>
      </c>
      <c r="B4917" s="15">
        <v>2.91</v>
      </c>
      <c r="C4917" s="15">
        <v>2.06</v>
      </c>
      <c r="D4917" s="15"/>
      <c r="E4917" s="15">
        <v>1.85</v>
      </c>
      <c r="F4917" s="15">
        <f t="shared" si="1"/>
        <v>-0.85</v>
      </c>
      <c r="G4917" s="15">
        <f t="shared" si="2"/>
        <v>2.06</v>
      </c>
      <c r="H4917" s="16">
        <v>0.0</v>
      </c>
      <c r="I4917" s="15">
        <f t="shared" si="3"/>
        <v>-0.85</v>
      </c>
      <c r="J4917" s="15">
        <v>19.96</v>
      </c>
      <c r="K4917" s="16">
        <f>IF(COUNTIFS(Release_Calendar!$A$2:$A$755,"US_CPI",Release_Calendar!$B$2:$B$755,$A4917)&gt;0,1,0)</f>
        <v>0</v>
      </c>
      <c r="L4917" s="16">
        <f>IF(COUNTIFS(Release_Calendar!$A$2:$A$755,"US_NFP",Release_Calendar!$B$2:$B$755,$A4917)&gt;0,1,0)</f>
        <v>0</v>
      </c>
      <c r="M4917" s="16">
        <f>IF($A4917&lt;Notes!$B$5,"",IF(COUNTIFS(Release_Calendar!$A$2:$A$755,"NZ_CPI",Release_Calendar!$B$2:$B$755,$A4917)&gt;0,1,0))</f>
        <v>0</v>
      </c>
      <c r="N4917" s="16">
        <f>IF($A4917&lt;Notes!$B$5,"",IF(COUNTIFS(Release_Calendar!$A$2:$A$755,"NZ_GDP",Release_Calendar!$B$2:$B$755,$A4917)&gt;0,1,0))</f>
        <v>0</v>
      </c>
      <c r="O4917" s="16">
        <f>IF($A4917&lt;Notes!$B$5,"",IF(COUNTIFS(Release_Calendar!$A$2:$A$755,"NZ_LABOUR",Release_Calendar!$B$2:$B$755,$A4917)&gt;0,1,0))</f>
        <v>0</v>
      </c>
      <c r="P4917" s="16">
        <f t="shared" si="4"/>
        <v>0</v>
      </c>
    </row>
    <row r="4918" ht="15.75" customHeight="1">
      <c r="A4918" s="14">
        <v>43410.0</v>
      </c>
      <c r="B4918" s="15">
        <v>2.93</v>
      </c>
      <c r="C4918" s="15">
        <v>2.06</v>
      </c>
      <c r="D4918" s="15"/>
      <c r="E4918" s="15">
        <v>1.85</v>
      </c>
      <c r="F4918" s="15">
        <f t="shared" si="1"/>
        <v>-0.87</v>
      </c>
      <c r="G4918" s="15">
        <f t="shared" si="2"/>
        <v>2.06</v>
      </c>
      <c r="H4918" s="16">
        <v>0.0</v>
      </c>
      <c r="I4918" s="15">
        <f t="shared" si="3"/>
        <v>-0.87</v>
      </c>
      <c r="J4918" s="15">
        <v>19.91</v>
      </c>
      <c r="K4918" s="16">
        <f>IF(COUNTIFS(Release_Calendar!$A$2:$A$755,"US_CPI",Release_Calendar!$B$2:$B$755,$A4918)&gt;0,1,0)</f>
        <v>0</v>
      </c>
      <c r="L4918" s="16">
        <f>IF(COUNTIFS(Release_Calendar!$A$2:$A$755,"US_NFP",Release_Calendar!$B$2:$B$755,$A4918)&gt;0,1,0)</f>
        <v>0</v>
      </c>
      <c r="M4918" s="16">
        <f>IF($A4918&lt;Notes!$B$5,"",IF(COUNTIFS(Release_Calendar!$A$2:$A$755,"NZ_CPI",Release_Calendar!$B$2:$B$755,$A4918)&gt;0,1,0))</f>
        <v>0</v>
      </c>
      <c r="N4918" s="16">
        <f>IF($A4918&lt;Notes!$B$5,"",IF(COUNTIFS(Release_Calendar!$A$2:$A$755,"NZ_GDP",Release_Calendar!$B$2:$B$755,$A4918)&gt;0,1,0))</f>
        <v>0</v>
      </c>
      <c r="O4918" s="16">
        <f>IF($A4918&lt;Notes!$B$5,"",IF(COUNTIFS(Release_Calendar!$A$2:$A$755,"NZ_LABOUR",Release_Calendar!$B$2:$B$755,$A4918)&gt;0,1,0))</f>
        <v>0</v>
      </c>
      <c r="P4918" s="16">
        <f t="shared" si="4"/>
        <v>0</v>
      </c>
    </row>
    <row r="4919" ht="15.75" customHeight="1">
      <c r="A4919" s="14">
        <v>43411.0</v>
      </c>
      <c r="B4919" s="15">
        <v>2.96</v>
      </c>
      <c r="C4919" s="15">
        <v>2.14</v>
      </c>
      <c r="D4919" s="15"/>
      <c r="E4919" s="15">
        <v>1.92</v>
      </c>
      <c r="F4919" s="15">
        <f t="shared" si="1"/>
        <v>-0.82</v>
      </c>
      <c r="G4919" s="15">
        <f t="shared" si="2"/>
        <v>2.14</v>
      </c>
      <c r="H4919" s="16">
        <v>0.0</v>
      </c>
      <c r="I4919" s="15">
        <f t="shared" si="3"/>
        <v>-0.82</v>
      </c>
      <c r="J4919" s="15">
        <v>16.36</v>
      </c>
      <c r="K4919" s="16">
        <f>IF(COUNTIFS(Release_Calendar!$A$2:$A$755,"US_CPI",Release_Calendar!$B$2:$B$755,$A4919)&gt;0,1,0)</f>
        <v>0</v>
      </c>
      <c r="L4919" s="16">
        <f>IF(COUNTIFS(Release_Calendar!$A$2:$A$755,"US_NFP",Release_Calendar!$B$2:$B$755,$A4919)&gt;0,1,0)</f>
        <v>0</v>
      </c>
      <c r="M4919" s="16">
        <f>IF($A4919&lt;Notes!$B$5,"",IF(COUNTIFS(Release_Calendar!$A$2:$A$755,"NZ_CPI",Release_Calendar!$B$2:$B$755,$A4919)&gt;0,1,0))</f>
        <v>0</v>
      </c>
      <c r="N4919" s="16">
        <f>IF($A4919&lt;Notes!$B$5,"",IF(COUNTIFS(Release_Calendar!$A$2:$A$755,"NZ_GDP",Release_Calendar!$B$2:$B$755,$A4919)&gt;0,1,0))</f>
        <v>0</v>
      </c>
      <c r="O4919" s="16">
        <f>IF($A4919&lt;Notes!$B$5,"",IF(COUNTIFS(Release_Calendar!$A$2:$A$755,"NZ_LABOUR",Release_Calendar!$B$2:$B$755,$A4919)&gt;0,1,0))</f>
        <v>1</v>
      </c>
      <c r="P4919" s="16">
        <f t="shared" si="4"/>
        <v>1</v>
      </c>
    </row>
    <row r="4920" ht="15.75" customHeight="1">
      <c r="A4920" s="14">
        <v>43412.0</v>
      </c>
      <c r="B4920" s="15">
        <v>2.98</v>
      </c>
      <c r="C4920" s="15">
        <v>2.17</v>
      </c>
      <c r="D4920" s="15"/>
      <c r="E4920" s="15">
        <v>1.94</v>
      </c>
      <c r="F4920" s="15">
        <f t="shared" si="1"/>
        <v>-0.81</v>
      </c>
      <c r="G4920" s="15">
        <f t="shared" si="2"/>
        <v>2.17</v>
      </c>
      <c r="H4920" s="16">
        <v>0.0</v>
      </c>
      <c r="I4920" s="15">
        <f t="shared" si="3"/>
        <v>-0.81</v>
      </c>
      <c r="J4920" s="15">
        <v>16.72</v>
      </c>
      <c r="K4920" s="16">
        <f>IF(COUNTIFS(Release_Calendar!$A$2:$A$755,"US_CPI",Release_Calendar!$B$2:$B$755,$A4920)&gt;0,1,0)</f>
        <v>0</v>
      </c>
      <c r="L4920" s="16">
        <f>IF(COUNTIFS(Release_Calendar!$A$2:$A$755,"US_NFP",Release_Calendar!$B$2:$B$755,$A4920)&gt;0,1,0)</f>
        <v>0</v>
      </c>
      <c r="M4920" s="16">
        <f>IF($A4920&lt;Notes!$B$5,"",IF(COUNTIFS(Release_Calendar!$A$2:$A$755,"NZ_CPI",Release_Calendar!$B$2:$B$755,$A4920)&gt;0,1,0))</f>
        <v>0</v>
      </c>
      <c r="N4920" s="16">
        <f>IF($A4920&lt;Notes!$B$5,"",IF(COUNTIFS(Release_Calendar!$A$2:$A$755,"NZ_GDP",Release_Calendar!$B$2:$B$755,$A4920)&gt;0,1,0))</f>
        <v>0</v>
      </c>
      <c r="O4920" s="16">
        <f>IF($A4920&lt;Notes!$B$5,"",IF(COUNTIFS(Release_Calendar!$A$2:$A$755,"NZ_LABOUR",Release_Calendar!$B$2:$B$755,$A4920)&gt;0,1,0))</f>
        <v>0</v>
      </c>
      <c r="P4920" s="16">
        <f t="shared" si="4"/>
        <v>0</v>
      </c>
    </row>
    <row r="4921" ht="15.75" customHeight="1">
      <c r="A4921" s="14">
        <v>43413.0</v>
      </c>
      <c r="B4921" s="15">
        <v>2.94</v>
      </c>
      <c r="C4921" s="15">
        <v>2.19</v>
      </c>
      <c r="D4921" s="15"/>
      <c r="E4921" s="15">
        <v>1.95</v>
      </c>
      <c r="F4921" s="15">
        <f t="shared" si="1"/>
        <v>-0.75</v>
      </c>
      <c r="G4921" s="15">
        <f t="shared" si="2"/>
        <v>2.19</v>
      </c>
      <c r="H4921" s="16">
        <v>0.0</v>
      </c>
      <c r="I4921" s="15">
        <f t="shared" si="3"/>
        <v>-0.75</v>
      </c>
      <c r="J4921" s="15">
        <v>17.36</v>
      </c>
      <c r="K4921" s="16">
        <f>IF(COUNTIFS(Release_Calendar!$A$2:$A$755,"US_CPI",Release_Calendar!$B$2:$B$755,$A4921)&gt;0,1,0)</f>
        <v>0</v>
      </c>
      <c r="L4921" s="16">
        <f>IF(COUNTIFS(Release_Calendar!$A$2:$A$755,"US_NFP",Release_Calendar!$B$2:$B$755,$A4921)&gt;0,1,0)</f>
        <v>0</v>
      </c>
      <c r="M4921" s="16">
        <f>IF($A4921&lt;Notes!$B$5,"",IF(COUNTIFS(Release_Calendar!$A$2:$A$755,"NZ_CPI",Release_Calendar!$B$2:$B$755,$A4921)&gt;0,1,0))</f>
        <v>0</v>
      </c>
      <c r="N4921" s="16">
        <f>IF($A4921&lt;Notes!$B$5,"",IF(COUNTIFS(Release_Calendar!$A$2:$A$755,"NZ_GDP",Release_Calendar!$B$2:$B$755,$A4921)&gt;0,1,0))</f>
        <v>0</v>
      </c>
      <c r="O4921" s="16">
        <f>IF($A4921&lt;Notes!$B$5,"",IF(COUNTIFS(Release_Calendar!$A$2:$A$755,"NZ_LABOUR",Release_Calendar!$B$2:$B$755,$A4921)&gt;0,1,0))</f>
        <v>0</v>
      </c>
      <c r="P4921" s="16">
        <f t="shared" si="4"/>
        <v>0</v>
      </c>
    </row>
    <row r="4922" ht="15.75" customHeight="1">
      <c r="A4922" s="14">
        <v>43416.0</v>
      </c>
      <c r="B4922" s="15"/>
      <c r="C4922" s="15">
        <v>2.19</v>
      </c>
      <c r="D4922" s="15"/>
      <c r="E4922" s="15">
        <v>1.95</v>
      </c>
      <c r="F4922" s="15" t="str">
        <f t="shared" si="1"/>
        <v/>
      </c>
      <c r="G4922" s="15">
        <f t="shared" si="2"/>
        <v>2.19</v>
      </c>
      <c r="H4922" s="16">
        <v>0.0</v>
      </c>
      <c r="I4922" s="15" t="str">
        <f t="shared" si="3"/>
        <v/>
      </c>
      <c r="J4922" s="15">
        <v>20.45</v>
      </c>
      <c r="K4922" s="16">
        <f>IF(COUNTIFS(Release_Calendar!$A$2:$A$755,"US_CPI",Release_Calendar!$B$2:$B$755,$A4922)&gt;0,1,0)</f>
        <v>0</v>
      </c>
      <c r="L4922" s="16">
        <f>IF(COUNTIFS(Release_Calendar!$A$2:$A$755,"US_NFP",Release_Calendar!$B$2:$B$755,$A4922)&gt;0,1,0)</f>
        <v>0</v>
      </c>
      <c r="M4922" s="16">
        <f>IF($A4922&lt;Notes!$B$5,"",IF(COUNTIFS(Release_Calendar!$A$2:$A$755,"NZ_CPI",Release_Calendar!$B$2:$B$755,$A4922)&gt;0,1,0))</f>
        <v>0</v>
      </c>
      <c r="N4922" s="16">
        <f>IF($A4922&lt;Notes!$B$5,"",IF(COUNTIFS(Release_Calendar!$A$2:$A$755,"NZ_GDP",Release_Calendar!$B$2:$B$755,$A4922)&gt;0,1,0))</f>
        <v>0</v>
      </c>
      <c r="O4922" s="16">
        <f>IF($A4922&lt;Notes!$B$5,"",IF(COUNTIFS(Release_Calendar!$A$2:$A$755,"NZ_LABOUR",Release_Calendar!$B$2:$B$755,$A4922)&gt;0,1,0))</f>
        <v>0</v>
      </c>
      <c r="P4922" s="16">
        <f t="shared" si="4"/>
        <v>0</v>
      </c>
    </row>
    <row r="4923" ht="15.75" customHeight="1">
      <c r="A4923" s="14">
        <v>43417.0</v>
      </c>
      <c r="B4923" s="15">
        <v>2.89</v>
      </c>
      <c r="C4923" s="15">
        <v>2.19</v>
      </c>
      <c r="D4923" s="15"/>
      <c r="E4923" s="15">
        <v>1.95</v>
      </c>
      <c r="F4923" s="15">
        <f t="shared" si="1"/>
        <v>-0.7</v>
      </c>
      <c r="G4923" s="15">
        <f t="shared" si="2"/>
        <v>2.19</v>
      </c>
      <c r="H4923" s="16">
        <v>0.0</v>
      </c>
      <c r="I4923" s="15">
        <f t="shared" si="3"/>
        <v>-0.7</v>
      </c>
      <c r="J4923" s="15">
        <v>20.02</v>
      </c>
      <c r="K4923" s="16">
        <f>IF(COUNTIFS(Release_Calendar!$A$2:$A$755,"US_CPI",Release_Calendar!$B$2:$B$755,$A4923)&gt;0,1,0)</f>
        <v>0</v>
      </c>
      <c r="L4923" s="16">
        <f>IF(COUNTIFS(Release_Calendar!$A$2:$A$755,"US_NFP",Release_Calendar!$B$2:$B$755,$A4923)&gt;0,1,0)</f>
        <v>0</v>
      </c>
      <c r="M4923" s="16">
        <f>IF($A4923&lt;Notes!$B$5,"",IF(COUNTIFS(Release_Calendar!$A$2:$A$755,"NZ_CPI",Release_Calendar!$B$2:$B$755,$A4923)&gt;0,1,0))</f>
        <v>0</v>
      </c>
      <c r="N4923" s="16">
        <f>IF($A4923&lt;Notes!$B$5,"",IF(COUNTIFS(Release_Calendar!$A$2:$A$755,"NZ_GDP",Release_Calendar!$B$2:$B$755,$A4923)&gt;0,1,0))</f>
        <v>0</v>
      </c>
      <c r="O4923" s="16">
        <f>IF($A4923&lt;Notes!$B$5,"",IF(COUNTIFS(Release_Calendar!$A$2:$A$755,"NZ_LABOUR",Release_Calendar!$B$2:$B$755,$A4923)&gt;0,1,0))</f>
        <v>0</v>
      </c>
      <c r="P4923" s="16">
        <f t="shared" si="4"/>
        <v>0</v>
      </c>
    </row>
    <row r="4924" ht="15.75" customHeight="1">
      <c r="A4924" s="14">
        <v>43418.0</v>
      </c>
      <c r="B4924" s="15">
        <v>2.86</v>
      </c>
      <c r="C4924" s="15">
        <v>2.19</v>
      </c>
      <c r="D4924" s="15"/>
      <c r="E4924" s="15">
        <v>1.94</v>
      </c>
      <c r="F4924" s="15">
        <f t="shared" si="1"/>
        <v>-0.67</v>
      </c>
      <c r="G4924" s="15">
        <f t="shared" si="2"/>
        <v>2.19</v>
      </c>
      <c r="H4924" s="16">
        <v>0.0</v>
      </c>
      <c r="I4924" s="15">
        <f t="shared" si="3"/>
        <v>-0.67</v>
      </c>
      <c r="J4924" s="15">
        <v>21.25</v>
      </c>
      <c r="K4924" s="16">
        <f>IF(COUNTIFS(Release_Calendar!$A$2:$A$755,"US_CPI",Release_Calendar!$B$2:$B$755,$A4924)&gt;0,1,0)</f>
        <v>1</v>
      </c>
      <c r="L4924" s="16">
        <f>IF(COUNTIFS(Release_Calendar!$A$2:$A$755,"US_NFP",Release_Calendar!$B$2:$B$755,$A4924)&gt;0,1,0)</f>
        <v>0</v>
      </c>
      <c r="M4924" s="16">
        <f>IF($A4924&lt;Notes!$B$5,"",IF(COUNTIFS(Release_Calendar!$A$2:$A$755,"NZ_CPI",Release_Calendar!$B$2:$B$755,$A4924)&gt;0,1,0))</f>
        <v>0</v>
      </c>
      <c r="N4924" s="16">
        <f>IF($A4924&lt;Notes!$B$5,"",IF(COUNTIFS(Release_Calendar!$A$2:$A$755,"NZ_GDP",Release_Calendar!$B$2:$B$755,$A4924)&gt;0,1,0))</f>
        <v>0</v>
      </c>
      <c r="O4924" s="16">
        <f>IF($A4924&lt;Notes!$B$5,"",IF(COUNTIFS(Release_Calendar!$A$2:$A$755,"NZ_LABOUR",Release_Calendar!$B$2:$B$755,$A4924)&gt;0,1,0))</f>
        <v>0</v>
      </c>
      <c r="P4924" s="16">
        <f t="shared" si="4"/>
        <v>1</v>
      </c>
    </row>
    <row r="4925" ht="15.75" customHeight="1">
      <c r="A4925" s="14">
        <v>43419.0</v>
      </c>
      <c r="B4925" s="15">
        <v>2.86</v>
      </c>
      <c r="C4925" s="15">
        <v>2.19</v>
      </c>
      <c r="D4925" s="15"/>
      <c r="E4925" s="15">
        <v>1.94</v>
      </c>
      <c r="F4925" s="15">
        <f t="shared" si="1"/>
        <v>-0.67</v>
      </c>
      <c r="G4925" s="15">
        <f t="shared" si="2"/>
        <v>2.19</v>
      </c>
      <c r="H4925" s="16">
        <v>0.0</v>
      </c>
      <c r="I4925" s="15">
        <f t="shared" si="3"/>
        <v>-0.67</v>
      </c>
      <c r="J4925" s="15">
        <v>19.98</v>
      </c>
      <c r="K4925" s="16">
        <f>IF(COUNTIFS(Release_Calendar!$A$2:$A$755,"US_CPI",Release_Calendar!$B$2:$B$755,$A4925)&gt;0,1,0)</f>
        <v>0</v>
      </c>
      <c r="L4925" s="16">
        <f>IF(COUNTIFS(Release_Calendar!$A$2:$A$755,"US_NFP",Release_Calendar!$B$2:$B$755,$A4925)&gt;0,1,0)</f>
        <v>0</v>
      </c>
      <c r="M4925" s="16">
        <f>IF($A4925&lt;Notes!$B$5,"",IF(COUNTIFS(Release_Calendar!$A$2:$A$755,"NZ_CPI",Release_Calendar!$B$2:$B$755,$A4925)&gt;0,1,0))</f>
        <v>0</v>
      </c>
      <c r="N4925" s="16">
        <f>IF($A4925&lt;Notes!$B$5,"",IF(COUNTIFS(Release_Calendar!$A$2:$A$755,"NZ_GDP",Release_Calendar!$B$2:$B$755,$A4925)&gt;0,1,0))</f>
        <v>0</v>
      </c>
      <c r="O4925" s="16">
        <f>IF($A4925&lt;Notes!$B$5,"",IF(COUNTIFS(Release_Calendar!$A$2:$A$755,"NZ_LABOUR",Release_Calendar!$B$2:$B$755,$A4925)&gt;0,1,0))</f>
        <v>0</v>
      </c>
      <c r="P4925" s="16">
        <f t="shared" si="4"/>
        <v>0</v>
      </c>
    </row>
    <row r="4926" ht="15.75" customHeight="1">
      <c r="A4926" s="14">
        <v>43420.0</v>
      </c>
      <c r="B4926" s="15">
        <v>2.81</v>
      </c>
      <c r="C4926" s="15">
        <v>2.18</v>
      </c>
      <c r="D4926" s="15"/>
      <c r="E4926" s="15">
        <v>1.92</v>
      </c>
      <c r="F4926" s="15">
        <f t="shared" si="1"/>
        <v>-0.63</v>
      </c>
      <c r="G4926" s="15">
        <f t="shared" si="2"/>
        <v>2.18</v>
      </c>
      <c r="H4926" s="16">
        <v>0.0</v>
      </c>
      <c r="I4926" s="15">
        <f t="shared" si="3"/>
        <v>-0.63</v>
      </c>
      <c r="J4926" s="15">
        <v>18.14</v>
      </c>
      <c r="K4926" s="16">
        <f>IF(COUNTIFS(Release_Calendar!$A$2:$A$755,"US_CPI",Release_Calendar!$B$2:$B$755,$A4926)&gt;0,1,0)</f>
        <v>0</v>
      </c>
      <c r="L4926" s="16">
        <f>IF(COUNTIFS(Release_Calendar!$A$2:$A$755,"US_NFP",Release_Calendar!$B$2:$B$755,$A4926)&gt;0,1,0)</f>
        <v>0</v>
      </c>
      <c r="M4926" s="16">
        <f>IF($A4926&lt;Notes!$B$5,"",IF(COUNTIFS(Release_Calendar!$A$2:$A$755,"NZ_CPI",Release_Calendar!$B$2:$B$755,$A4926)&gt;0,1,0))</f>
        <v>0</v>
      </c>
      <c r="N4926" s="16">
        <f>IF($A4926&lt;Notes!$B$5,"",IF(COUNTIFS(Release_Calendar!$A$2:$A$755,"NZ_GDP",Release_Calendar!$B$2:$B$755,$A4926)&gt;0,1,0))</f>
        <v>0</v>
      </c>
      <c r="O4926" s="16">
        <f>IF($A4926&lt;Notes!$B$5,"",IF(COUNTIFS(Release_Calendar!$A$2:$A$755,"NZ_LABOUR",Release_Calendar!$B$2:$B$755,$A4926)&gt;0,1,0))</f>
        <v>0</v>
      </c>
      <c r="P4926" s="16">
        <f t="shared" si="4"/>
        <v>0</v>
      </c>
    </row>
    <row r="4927" ht="15.75" customHeight="1">
      <c r="A4927" s="14">
        <v>43423.0</v>
      </c>
      <c r="B4927" s="15">
        <v>2.79</v>
      </c>
      <c r="C4927" s="15">
        <v>2.16</v>
      </c>
      <c r="D4927" s="15"/>
      <c r="E4927" s="15">
        <v>1.9</v>
      </c>
      <c r="F4927" s="15">
        <f t="shared" si="1"/>
        <v>-0.63</v>
      </c>
      <c r="G4927" s="15">
        <f t="shared" si="2"/>
        <v>2.16</v>
      </c>
      <c r="H4927" s="16">
        <v>0.0</v>
      </c>
      <c r="I4927" s="15">
        <f t="shared" si="3"/>
        <v>-0.63</v>
      </c>
      <c r="J4927" s="15">
        <v>20.1</v>
      </c>
      <c r="K4927" s="16">
        <f>IF(COUNTIFS(Release_Calendar!$A$2:$A$755,"US_CPI",Release_Calendar!$B$2:$B$755,$A4927)&gt;0,1,0)</f>
        <v>0</v>
      </c>
      <c r="L4927" s="16">
        <f>IF(COUNTIFS(Release_Calendar!$A$2:$A$755,"US_NFP",Release_Calendar!$B$2:$B$755,$A4927)&gt;0,1,0)</f>
        <v>0</v>
      </c>
      <c r="M4927" s="16">
        <f>IF($A4927&lt;Notes!$B$5,"",IF(COUNTIFS(Release_Calendar!$A$2:$A$755,"NZ_CPI",Release_Calendar!$B$2:$B$755,$A4927)&gt;0,1,0))</f>
        <v>0</v>
      </c>
      <c r="N4927" s="16">
        <f>IF($A4927&lt;Notes!$B$5,"",IF(COUNTIFS(Release_Calendar!$A$2:$A$755,"NZ_GDP",Release_Calendar!$B$2:$B$755,$A4927)&gt;0,1,0))</f>
        <v>0</v>
      </c>
      <c r="O4927" s="16">
        <f>IF($A4927&lt;Notes!$B$5,"",IF(COUNTIFS(Release_Calendar!$A$2:$A$755,"NZ_LABOUR",Release_Calendar!$B$2:$B$755,$A4927)&gt;0,1,0))</f>
        <v>0</v>
      </c>
      <c r="P4927" s="16">
        <f t="shared" si="4"/>
        <v>0</v>
      </c>
    </row>
    <row r="4928" ht="15.75" customHeight="1">
      <c r="A4928" s="14">
        <v>43424.0</v>
      </c>
      <c r="B4928" s="15">
        <v>2.79</v>
      </c>
      <c r="C4928" s="15">
        <v>2.16</v>
      </c>
      <c r="D4928" s="15"/>
      <c r="E4928" s="15">
        <v>1.92</v>
      </c>
      <c r="F4928" s="15">
        <f t="shared" si="1"/>
        <v>-0.63</v>
      </c>
      <c r="G4928" s="15">
        <f t="shared" si="2"/>
        <v>2.16</v>
      </c>
      <c r="H4928" s="16">
        <v>0.0</v>
      </c>
      <c r="I4928" s="15">
        <f t="shared" si="3"/>
        <v>-0.63</v>
      </c>
      <c r="J4928" s="15">
        <v>22.48</v>
      </c>
      <c r="K4928" s="16">
        <f>IF(COUNTIFS(Release_Calendar!$A$2:$A$755,"US_CPI",Release_Calendar!$B$2:$B$755,$A4928)&gt;0,1,0)</f>
        <v>0</v>
      </c>
      <c r="L4928" s="16">
        <f>IF(COUNTIFS(Release_Calendar!$A$2:$A$755,"US_NFP",Release_Calendar!$B$2:$B$755,$A4928)&gt;0,1,0)</f>
        <v>0</v>
      </c>
      <c r="M4928" s="16">
        <f>IF($A4928&lt;Notes!$B$5,"",IF(COUNTIFS(Release_Calendar!$A$2:$A$755,"NZ_CPI",Release_Calendar!$B$2:$B$755,$A4928)&gt;0,1,0))</f>
        <v>0</v>
      </c>
      <c r="N4928" s="16">
        <f>IF($A4928&lt;Notes!$B$5,"",IF(COUNTIFS(Release_Calendar!$A$2:$A$755,"NZ_GDP",Release_Calendar!$B$2:$B$755,$A4928)&gt;0,1,0))</f>
        <v>0</v>
      </c>
      <c r="O4928" s="16">
        <f>IF($A4928&lt;Notes!$B$5,"",IF(COUNTIFS(Release_Calendar!$A$2:$A$755,"NZ_LABOUR",Release_Calendar!$B$2:$B$755,$A4928)&gt;0,1,0))</f>
        <v>0</v>
      </c>
      <c r="P4928" s="16">
        <f t="shared" si="4"/>
        <v>0</v>
      </c>
    </row>
    <row r="4929" ht="15.75" customHeight="1">
      <c r="A4929" s="14">
        <v>43425.0</v>
      </c>
      <c r="B4929" s="15">
        <v>2.81</v>
      </c>
      <c r="C4929" s="15">
        <v>2.14</v>
      </c>
      <c r="D4929" s="15"/>
      <c r="E4929" s="15">
        <v>1.91</v>
      </c>
      <c r="F4929" s="15">
        <f t="shared" si="1"/>
        <v>-0.67</v>
      </c>
      <c r="G4929" s="15">
        <f t="shared" si="2"/>
        <v>2.14</v>
      </c>
      <c r="H4929" s="16">
        <v>0.0</v>
      </c>
      <c r="I4929" s="15">
        <f t="shared" si="3"/>
        <v>-0.67</v>
      </c>
      <c r="J4929" s="15">
        <v>20.8</v>
      </c>
      <c r="K4929" s="16">
        <f>IF(COUNTIFS(Release_Calendar!$A$2:$A$755,"US_CPI",Release_Calendar!$B$2:$B$755,$A4929)&gt;0,1,0)</f>
        <v>0</v>
      </c>
      <c r="L4929" s="16">
        <f>IF(COUNTIFS(Release_Calendar!$A$2:$A$755,"US_NFP",Release_Calendar!$B$2:$B$755,$A4929)&gt;0,1,0)</f>
        <v>0</v>
      </c>
      <c r="M4929" s="16">
        <f>IF($A4929&lt;Notes!$B$5,"",IF(COUNTIFS(Release_Calendar!$A$2:$A$755,"NZ_CPI",Release_Calendar!$B$2:$B$755,$A4929)&gt;0,1,0))</f>
        <v>0</v>
      </c>
      <c r="N4929" s="16">
        <f>IF($A4929&lt;Notes!$B$5,"",IF(COUNTIFS(Release_Calendar!$A$2:$A$755,"NZ_GDP",Release_Calendar!$B$2:$B$755,$A4929)&gt;0,1,0))</f>
        <v>0</v>
      </c>
      <c r="O4929" s="16">
        <f>IF($A4929&lt;Notes!$B$5,"",IF(COUNTIFS(Release_Calendar!$A$2:$A$755,"NZ_LABOUR",Release_Calendar!$B$2:$B$755,$A4929)&gt;0,1,0))</f>
        <v>0</v>
      </c>
      <c r="P4929" s="16">
        <f t="shared" si="4"/>
        <v>0</v>
      </c>
    </row>
    <row r="4930" ht="15.75" customHeight="1">
      <c r="A4930" s="14">
        <v>43426.0</v>
      </c>
      <c r="B4930" s="15"/>
      <c r="C4930" s="15">
        <v>2.13</v>
      </c>
      <c r="D4930" s="15"/>
      <c r="E4930" s="15">
        <v>1.88</v>
      </c>
      <c r="F4930" s="15" t="str">
        <f t="shared" si="1"/>
        <v/>
      </c>
      <c r="G4930" s="15">
        <f t="shared" si="2"/>
        <v>2.13</v>
      </c>
      <c r="H4930" s="16">
        <v>0.0</v>
      </c>
      <c r="I4930" s="15" t="str">
        <f t="shared" si="3"/>
        <v/>
      </c>
      <c r="J4930" s="15"/>
      <c r="K4930" s="16">
        <f>IF(COUNTIFS(Release_Calendar!$A$2:$A$755,"US_CPI",Release_Calendar!$B$2:$B$755,$A4930)&gt;0,1,0)</f>
        <v>0</v>
      </c>
      <c r="L4930" s="16">
        <f>IF(COUNTIFS(Release_Calendar!$A$2:$A$755,"US_NFP",Release_Calendar!$B$2:$B$755,$A4930)&gt;0,1,0)</f>
        <v>0</v>
      </c>
      <c r="M4930" s="16">
        <f>IF($A4930&lt;Notes!$B$5,"",IF(COUNTIFS(Release_Calendar!$A$2:$A$755,"NZ_CPI",Release_Calendar!$B$2:$B$755,$A4930)&gt;0,1,0))</f>
        <v>0</v>
      </c>
      <c r="N4930" s="16">
        <f>IF($A4930&lt;Notes!$B$5,"",IF(COUNTIFS(Release_Calendar!$A$2:$A$755,"NZ_GDP",Release_Calendar!$B$2:$B$755,$A4930)&gt;0,1,0))</f>
        <v>0</v>
      </c>
      <c r="O4930" s="16">
        <f>IF($A4930&lt;Notes!$B$5,"",IF(COUNTIFS(Release_Calendar!$A$2:$A$755,"NZ_LABOUR",Release_Calendar!$B$2:$B$755,$A4930)&gt;0,1,0))</f>
        <v>0</v>
      </c>
      <c r="P4930" s="16">
        <f t="shared" si="4"/>
        <v>0</v>
      </c>
    </row>
    <row r="4931" ht="15.75" customHeight="1">
      <c r="A4931" s="14">
        <v>43427.0</v>
      </c>
      <c r="B4931" s="15">
        <v>2.81</v>
      </c>
      <c r="C4931" s="15">
        <v>2.12</v>
      </c>
      <c r="D4931" s="15"/>
      <c r="E4931" s="15">
        <v>1.87</v>
      </c>
      <c r="F4931" s="15">
        <f t="shared" si="1"/>
        <v>-0.69</v>
      </c>
      <c r="G4931" s="15">
        <f t="shared" si="2"/>
        <v>2.12</v>
      </c>
      <c r="H4931" s="16">
        <v>0.0</v>
      </c>
      <c r="I4931" s="15">
        <f t="shared" si="3"/>
        <v>-0.69</v>
      </c>
      <c r="J4931" s="15">
        <v>21.52</v>
      </c>
      <c r="K4931" s="16">
        <f>IF(COUNTIFS(Release_Calendar!$A$2:$A$755,"US_CPI",Release_Calendar!$B$2:$B$755,$A4931)&gt;0,1,0)</f>
        <v>0</v>
      </c>
      <c r="L4931" s="16">
        <f>IF(COUNTIFS(Release_Calendar!$A$2:$A$755,"US_NFP",Release_Calendar!$B$2:$B$755,$A4931)&gt;0,1,0)</f>
        <v>0</v>
      </c>
      <c r="M4931" s="16">
        <f>IF($A4931&lt;Notes!$B$5,"",IF(COUNTIFS(Release_Calendar!$A$2:$A$755,"NZ_CPI",Release_Calendar!$B$2:$B$755,$A4931)&gt;0,1,0))</f>
        <v>0</v>
      </c>
      <c r="N4931" s="16">
        <f>IF($A4931&lt;Notes!$B$5,"",IF(COUNTIFS(Release_Calendar!$A$2:$A$755,"NZ_GDP",Release_Calendar!$B$2:$B$755,$A4931)&gt;0,1,0))</f>
        <v>0</v>
      </c>
      <c r="O4931" s="16">
        <f>IF($A4931&lt;Notes!$B$5,"",IF(COUNTIFS(Release_Calendar!$A$2:$A$755,"NZ_LABOUR",Release_Calendar!$B$2:$B$755,$A4931)&gt;0,1,0))</f>
        <v>0</v>
      </c>
      <c r="P4931" s="16">
        <f t="shared" si="4"/>
        <v>0</v>
      </c>
    </row>
    <row r="4932" ht="15.75" customHeight="1">
      <c r="A4932" s="14">
        <v>43430.0</v>
      </c>
      <c r="B4932" s="15">
        <v>2.84</v>
      </c>
      <c r="C4932" s="15">
        <v>2.12</v>
      </c>
      <c r="D4932" s="15"/>
      <c r="E4932" s="15">
        <v>1.86</v>
      </c>
      <c r="F4932" s="15">
        <f t="shared" si="1"/>
        <v>-0.72</v>
      </c>
      <c r="G4932" s="15">
        <f t="shared" si="2"/>
        <v>2.12</v>
      </c>
      <c r="H4932" s="16">
        <v>0.0</v>
      </c>
      <c r="I4932" s="15">
        <f t="shared" si="3"/>
        <v>-0.72</v>
      </c>
      <c r="J4932" s="15">
        <v>18.9</v>
      </c>
      <c r="K4932" s="16">
        <f>IF(COUNTIFS(Release_Calendar!$A$2:$A$755,"US_CPI",Release_Calendar!$B$2:$B$755,$A4932)&gt;0,1,0)</f>
        <v>0</v>
      </c>
      <c r="L4932" s="16">
        <f>IF(COUNTIFS(Release_Calendar!$A$2:$A$755,"US_NFP",Release_Calendar!$B$2:$B$755,$A4932)&gt;0,1,0)</f>
        <v>0</v>
      </c>
      <c r="M4932" s="16">
        <f>IF($A4932&lt;Notes!$B$5,"",IF(COUNTIFS(Release_Calendar!$A$2:$A$755,"NZ_CPI",Release_Calendar!$B$2:$B$755,$A4932)&gt;0,1,0))</f>
        <v>0</v>
      </c>
      <c r="N4932" s="16">
        <f>IF($A4932&lt;Notes!$B$5,"",IF(COUNTIFS(Release_Calendar!$A$2:$A$755,"NZ_GDP",Release_Calendar!$B$2:$B$755,$A4932)&gt;0,1,0))</f>
        <v>0</v>
      </c>
      <c r="O4932" s="16">
        <f>IF($A4932&lt;Notes!$B$5,"",IF(COUNTIFS(Release_Calendar!$A$2:$A$755,"NZ_LABOUR",Release_Calendar!$B$2:$B$755,$A4932)&gt;0,1,0))</f>
        <v>0</v>
      </c>
      <c r="P4932" s="16">
        <f t="shared" si="4"/>
        <v>0</v>
      </c>
    </row>
    <row r="4933" ht="15.75" customHeight="1">
      <c r="A4933" s="14">
        <v>43431.0</v>
      </c>
      <c r="B4933" s="15">
        <v>2.83</v>
      </c>
      <c r="C4933" s="15">
        <v>2.1</v>
      </c>
      <c r="D4933" s="15"/>
      <c r="E4933" s="15">
        <v>1.85</v>
      </c>
      <c r="F4933" s="15">
        <f t="shared" si="1"/>
        <v>-0.73</v>
      </c>
      <c r="G4933" s="15">
        <f t="shared" si="2"/>
        <v>2.1</v>
      </c>
      <c r="H4933" s="16">
        <v>0.0</v>
      </c>
      <c r="I4933" s="15">
        <f t="shared" si="3"/>
        <v>-0.73</v>
      </c>
      <c r="J4933" s="15">
        <v>19.02</v>
      </c>
      <c r="K4933" s="16">
        <f>IF(COUNTIFS(Release_Calendar!$A$2:$A$755,"US_CPI",Release_Calendar!$B$2:$B$755,$A4933)&gt;0,1,0)</f>
        <v>0</v>
      </c>
      <c r="L4933" s="16">
        <f>IF(COUNTIFS(Release_Calendar!$A$2:$A$755,"US_NFP",Release_Calendar!$B$2:$B$755,$A4933)&gt;0,1,0)</f>
        <v>0</v>
      </c>
      <c r="M4933" s="16">
        <f>IF($A4933&lt;Notes!$B$5,"",IF(COUNTIFS(Release_Calendar!$A$2:$A$755,"NZ_CPI",Release_Calendar!$B$2:$B$755,$A4933)&gt;0,1,0))</f>
        <v>0</v>
      </c>
      <c r="N4933" s="16">
        <f>IF($A4933&lt;Notes!$B$5,"",IF(COUNTIFS(Release_Calendar!$A$2:$A$755,"NZ_GDP",Release_Calendar!$B$2:$B$755,$A4933)&gt;0,1,0))</f>
        <v>0</v>
      </c>
      <c r="O4933" s="16">
        <f>IF($A4933&lt;Notes!$B$5,"",IF(COUNTIFS(Release_Calendar!$A$2:$A$755,"NZ_LABOUR",Release_Calendar!$B$2:$B$755,$A4933)&gt;0,1,0))</f>
        <v>0</v>
      </c>
      <c r="P4933" s="16">
        <f t="shared" si="4"/>
        <v>0</v>
      </c>
    </row>
    <row r="4934" ht="15.75" customHeight="1">
      <c r="A4934" s="14">
        <v>43432.0</v>
      </c>
      <c r="B4934" s="15">
        <v>2.81</v>
      </c>
      <c r="C4934" s="15">
        <v>2.09</v>
      </c>
      <c r="D4934" s="15"/>
      <c r="E4934" s="15">
        <v>1.84</v>
      </c>
      <c r="F4934" s="15">
        <f t="shared" si="1"/>
        <v>-0.72</v>
      </c>
      <c r="G4934" s="15">
        <f t="shared" si="2"/>
        <v>2.09</v>
      </c>
      <c r="H4934" s="16">
        <v>0.0</v>
      </c>
      <c r="I4934" s="15">
        <f t="shared" si="3"/>
        <v>-0.72</v>
      </c>
      <c r="J4934" s="15">
        <v>18.49</v>
      </c>
      <c r="K4934" s="16">
        <f>IF(COUNTIFS(Release_Calendar!$A$2:$A$755,"US_CPI",Release_Calendar!$B$2:$B$755,$A4934)&gt;0,1,0)</f>
        <v>0</v>
      </c>
      <c r="L4934" s="16">
        <f>IF(COUNTIFS(Release_Calendar!$A$2:$A$755,"US_NFP",Release_Calendar!$B$2:$B$755,$A4934)&gt;0,1,0)</f>
        <v>0</v>
      </c>
      <c r="M4934" s="16">
        <f>IF($A4934&lt;Notes!$B$5,"",IF(COUNTIFS(Release_Calendar!$A$2:$A$755,"NZ_CPI",Release_Calendar!$B$2:$B$755,$A4934)&gt;0,1,0))</f>
        <v>0</v>
      </c>
      <c r="N4934" s="16">
        <f>IF($A4934&lt;Notes!$B$5,"",IF(COUNTIFS(Release_Calendar!$A$2:$A$755,"NZ_GDP",Release_Calendar!$B$2:$B$755,$A4934)&gt;0,1,0))</f>
        <v>0</v>
      </c>
      <c r="O4934" s="16">
        <f>IF($A4934&lt;Notes!$B$5,"",IF(COUNTIFS(Release_Calendar!$A$2:$A$755,"NZ_LABOUR",Release_Calendar!$B$2:$B$755,$A4934)&gt;0,1,0))</f>
        <v>0</v>
      </c>
      <c r="P4934" s="16">
        <f t="shared" si="4"/>
        <v>0</v>
      </c>
    </row>
    <row r="4935" ht="15.75" customHeight="1">
      <c r="A4935" s="14">
        <v>43433.0</v>
      </c>
      <c r="B4935" s="15">
        <v>2.81</v>
      </c>
      <c r="C4935" s="15">
        <v>2.1</v>
      </c>
      <c r="D4935" s="15"/>
      <c r="E4935" s="15">
        <v>1.81</v>
      </c>
      <c r="F4935" s="15">
        <f t="shared" si="1"/>
        <v>-0.71</v>
      </c>
      <c r="G4935" s="15">
        <f t="shared" si="2"/>
        <v>2.1</v>
      </c>
      <c r="H4935" s="16">
        <v>0.0</v>
      </c>
      <c r="I4935" s="15">
        <f t="shared" si="3"/>
        <v>-0.71</v>
      </c>
      <c r="J4935" s="15">
        <v>18.79</v>
      </c>
      <c r="K4935" s="16">
        <f>IF(COUNTIFS(Release_Calendar!$A$2:$A$755,"US_CPI",Release_Calendar!$B$2:$B$755,$A4935)&gt;0,1,0)</f>
        <v>0</v>
      </c>
      <c r="L4935" s="16">
        <f>IF(COUNTIFS(Release_Calendar!$A$2:$A$755,"US_NFP",Release_Calendar!$B$2:$B$755,$A4935)&gt;0,1,0)</f>
        <v>0</v>
      </c>
      <c r="M4935" s="16">
        <f>IF($A4935&lt;Notes!$B$5,"",IF(COUNTIFS(Release_Calendar!$A$2:$A$755,"NZ_CPI",Release_Calendar!$B$2:$B$755,$A4935)&gt;0,1,0))</f>
        <v>0</v>
      </c>
      <c r="N4935" s="16">
        <f>IF($A4935&lt;Notes!$B$5,"",IF(COUNTIFS(Release_Calendar!$A$2:$A$755,"NZ_GDP",Release_Calendar!$B$2:$B$755,$A4935)&gt;0,1,0))</f>
        <v>0</v>
      </c>
      <c r="O4935" s="16">
        <f>IF($A4935&lt;Notes!$B$5,"",IF(COUNTIFS(Release_Calendar!$A$2:$A$755,"NZ_LABOUR",Release_Calendar!$B$2:$B$755,$A4935)&gt;0,1,0))</f>
        <v>0</v>
      </c>
      <c r="P4935" s="16">
        <f t="shared" si="4"/>
        <v>0</v>
      </c>
    </row>
    <row r="4936" ht="15.75" customHeight="1">
      <c r="A4936" s="14">
        <v>43434.0</v>
      </c>
      <c r="B4936" s="15">
        <v>2.8</v>
      </c>
      <c r="C4936" s="15">
        <v>2.09</v>
      </c>
      <c r="D4936" s="15"/>
      <c r="E4936" s="15">
        <v>1.8</v>
      </c>
      <c r="F4936" s="15">
        <f t="shared" si="1"/>
        <v>-0.71</v>
      </c>
      <c r="G4936" s="15">
        <f t="shared" si="2"/>
        <v>2.09</v>
      </c>
      <c r="H4936" s="16">
        <v>0.0</v>
      </c>
      <c r="I4936" s="15">
        <f t="shared" si="3"/>
        <v>-0.71</v>
      </c>
      <c r="J4936" s="15">
        <v>18.07</v>
      </c>
      <c r="K4936" s="16">
        <f>IF(COUNTIFS(Release_Calendar!$A$2:$A$755,"US_CPI",Release_Calendar!$B$2:$B$755,$A4936)&gt;0,1,0)</f>
        <v>0</v>
      </c>
      <c r="L4936" s="16">
        <f>IF(COUNTIFS(Release_Calendar!$A$2:$A$755,"US_NFP",Release_Calendar!$B$2:$B$755,$A4936)&gt;0,1,0)</f>
        <v>0</v>
      </c>
      <c r="M4936" s="16">
        <f>IF($A4936&lt;Notes!$B$5,"",IF(COUNTIFS(Release_Calendar!$A$2:$A$755,"NZ_CPI",Release_Calendar!$B$2:$B$755,$A4936)&gt;0,1,0))</f>
        <v>0</v>
      </c>
      <c r="N4936" s="16">
        <f>IF($A4936&lt;Notes!$B$5,"",IF(COUNTIFS(Release_Calendar!$A$2:$A$755,"NZ_GDP",Release_Calendar!$B$2:$B$755,$A4936)&gt;0,1,0))</f>
        <v>0</v>
      </c>
      <c r="O4936" s="16">
        <f>IF($A4936&lt;Notes!$B$5,"",IF(COUNTIFS(Release_Calendar!$A$2:$A$755,"NZ_LABOUR",Release_Calendar!$B$2:$B$755,$A4936)&gt;0,1,0))</f>
        <v>0</v>
      </c>
      <c r="P4936" s="16">
        <f t="shared" si="4"/>
        <v>0</v>
      </c>
    </row>
    <row r="4937" ht="15.75" customHeight="1">
      <c r="A4937" s="14">
        <v>43437.0</v>
      </c>
      <c r="B4937" s="15">
        <v>2.83</v>
      </c>
      <c r="C4937" s="15">
        <v>2.09</v>
      </c>
      <c r="D4937" s="15"/>
      <c r="E4937" s="15">
        <v>1.82</v>
      </c>
      <c r="F4937" s="15">
        <f t="shared" si="1"/>
        <v>-0.74</v>
      </c>
      <c r="G4937" s="15">
        <f t="shared" si="2"/>
        <v>2.09</v>
      </c>
      <c r="H4937" s="16">
        <v>0.0</v>
      </c>
      <c r="I4937" s="15">
        <f t="shared" si="3"/>
        <v>-0.74</v>
      </c>
      <c r="J4937" s="15">
        <v>16.44</v>
      </c>
      <c r="K4937" s="16">
        <f>IF(COUNTIFS(Release_Calendar!$A$2:$A$755,"US_CPI",Release_Calendar!$B$2:$B$755,$A4937)&gt;0,1,0)</f>
        <v>0</v>
      </c>
      <c r="L4937" s="16">
        <f>IF(COUNTIFS(Release_Calendar!$A$2:$A$755,"US_NFP",Release_Calendar!$B$2:$B$755,$A4937)&gt;0,1,0)</f>
        <v>0</v>
      </c>
      <c r="M4937" s="16">
        <f>IF($A4937&lt;Notes!$B$5,"",IF(COUNTIFS(Release_Calendar!$A$2:$A$755,"NZ_CPI",Release_Calendar!$B$2:$B$755,$A4937)&gt;0,1,0))</f>
        <v>0</v>
      </c>
      <c r="N4937" s="16">
        <f>IF($A4937&lt;Notes!$B$5,"",IF(COUNTIFS(Release_Calendar!$A$2:$A$755,"NZ_GDP",Release_Calendar!$B$2:$B$755,$A4937)&gt;0,1,0))</f>
        <v>0</v>
      </c>
      <c r="O4937" s="16">
        <f>IF($A4937&lt;Notes!$B$5,"",IF(COUNTIFS(Release_Calendar!$A$2:$A$755,"NZ_LABOUR",Release_Calendar!$B$2:$B$755,$A4937)&gt;0,1,0))</f>
        <v>0</v>
      </c>
      <c r="P4937" s="16">
        <f t="shared" si="4"/>
        <v>0</v>
      </c>
    </row>
    <row r="4938" ht="15.75" customHeight="1">
      <c r="A4938" s="14">
        <v>43438.0</v>
      </c>
      <c r="B4938" s="15">
        <v>2.8</v>
      </c>
      <c r="C4938" s="15">
        <v>2.08</v>
      </c>
      <c r="D4938" s="15"/>
      <c r="E4938" s="15">
        <v>1.78</v>
      </c>
      <c r="F4938" s="15">
        <f t="shared" si="1"/>
        <v>-0.72</v>
      </c>
      <c r="G4938" s="15">
        <f t="shared" si="2"/>
        <v>2.08</v>
      </c>
      <c r="H4938" s="16">
        <v>0.0</v>
      </c>
      <c r="I4938" s="15">
        <f t="shared" si="3"/>
        <v>-0.72</v>
      </c>
      <c r="J4938" s="15">
        <v>20.74</v>
      </c>
      <c r="K4938" s="16">
        <f>IF(COUNTIFS(Release_Calendar!$A$2:$A$755,"US_CPI",Release_Calendar!$B$2:$B$755,$A4938)&gt;0,1,0)</f>
        <v>0</v>
      </c>
      <c r="L4938" s="16">
        <f>IF(COUNTIFS(Release_Calendar!$A$2:$A$755,"US_NFP",Release_Calendar!$B$2:$B$755,$A4938)&gt;0,1,0)</f>
        <v>0</v>
      </c>
      <c r="M4938" s="16">
        <f>IF($A4938&lt;Notes!$B$5,"",IF(COUNTIFS(Release_Calendar!$A$2:$A$755,"NZ_CPI",Release_Calendar!$B$2:$B$755,$A4938)&gt;0,1,0))</f>
        <v>0</v>
      </c>
      <c r="N4938" s="16">
        <f>IF($A4938&lt;Notes!$B$5,"",IF(COUNTIFS(Release_Calendar!$A$2:$A$755,"NZ_GDP",Release_Calendar!$B$2:$B$755,$A4938)&gt;0,1,0))</f>
        <v>0</v>
      </c>
      <c r="O4938" s="16">
        <f>IF($A4938&lt;Notes!$B$5,"",IF(COUNTIFS(Release_Calendar!$A$2:$A$755,"NZ_LABOUR",Release_Calendar!$B$2:$B$755,$A4938)&gt;0,1,0))</f>
        <v>0</v>
      </c>
      <c r="P4938" s="16">
        <f t="shared" si="4"/>
        <v>0</v>
      </c>
    </row>
    <row r="4939" ht="15.75" customHeight="1">
      <c r="A4939" s="14">
        <v>43439.0</v>
      </c>
      <c r="B4939" s="15"/>
      <c r="C4939" s="15">
        <v>2.06</v>
      </c>
      <c r="D4939" s="15"/>
      <c r="E4939" s="15">
        <v>1.77</v>
      </c>
      <c r="F4939" s="15" t="str">
        <f t="shared" si="1"/>
        <v/>
      </c>
      <c r="G4939" s="15">
        <f t="shared" si="2"/>
        <v>2.06</v>
      </c>
      <c r="H4939" s="16">
        <v>0.0</v>
      </c>
      <c r="I4939" s="15" t="str">
        <f t="shared" si="3"/>
        <v/>
      </c>
      <c r="J4939" s="15"/>
      <c r="K4939" s="16">
        <f>IF(COUNTIFS(Release_Calendar!$A$2:$A$755,"US_CPI",Release_Calendar!$B$2:$B$755,$A4939)&gt;0,1,0)</f>
        <v>0</v>
      </c>
      <c r="L4939" s="16">
        <f>IF(COUNTIFS(Release_Calendar!$A$2:$A$755,"US_NFP",Release_Calendar!$B$2:$B$755,$A4939)&gt;0,1,0)</f>
        <v>0</v>
      </c>
      <c r="M4939" s="16">
        <f>IF($A4939&lt;Notes!$B$5,"",IF(COUNTIFS(Release_Calendar!$A$2:$A$755,"NZ_CPI",Release_Calendar!$B$2:$B$755,$A4939)&gt;0,1,0))</f>
        <v>0</v>
      </c>
      <c r="N4939" s="16">
        <f>IF($A4939&lt;Notes!$B$5,"",IF(COUNTIFS(Release_Calendar!$A$2:$A$755,"NZ_GDP",Release_Calendar!$B$2:$B$755,$A4939)&gt;0,1,0))</f>
        <v>0</v>
      </c>
      <c r="O4939" s="16">
        <f>IF($A4939&lt;Notes!$B$5,"",IF(COUNTIFS(Release_Calendar!$A$2:$A$755,"NZ_LABOUR",Release_Calendar!$B$2:$B$755,$A4939)&gt;0,1,0))</f>
        <v>0</v>
      </c>
      <c r="P4939" s="16">
        <f t="shared" si="4"/>
        <v>0</v>
      </c>
    </row>
    <row r="4940" ht="15.75" customHeight="1">
      <c r="A4940" s="14">
        <v>43440.0</v>
      </c>
      <c r="B4940" s="15">
        <v>2.75</v>
      </c>
      <c r="C4940" s="15">
        <v>2.05</v>
      </c>
      <c r="D4940" s="15"/>
      <c r="E4940" s="15">
        <v>1.76</v>
      </c>
      <c r="F4940" s="15">
        <f t="shared" si="1"/>
        <v>-0.7</v>
      </c>
      <c r="G4940" s="15">
        <f t="shared" si="2"/>
        <v>2.05</v>
      </c>
      <c r="H4940" s="16">
        <v>0.0</v>
      </c>
      <c r="I4940" s="15">
        <f t="shared" si="3"/>
        <v>-0.7</v>
      </c>
      <c r="J4940" s="15">
        <v>21.19</v>
      </c>
      <c r="K4940" s="16">
        <f>IF(COUNTIFS(Release_Calendar!$A$2:$A$755,"US_CPI",Release_Calendar!$B$2:$B$755,$A4940)&gt;0,1,0)</f>
        <v>0</v>
      </c>
      <c r="L4940" s="16">
        <f>IF(COUNTIFS(Release_Calendar!$A$2:$A$755,"US_NFP",Release_Calendar!$B$2:$B$755,$A4940)&gt;0,1,0)</f>
        <v>0</v>
      </c>
      <c r="M4940" s="16">
        <f>IF($A4940&lt;Notes!$B$5,"",IF(COUNTIFS(Release_Calendar!$A$2:$A$755,"NZ_CPI",Release_Calendar!$B$2:$B$755,$A4940)&gt;0,1,0))</f>
        <v>0</v>
      </c>
      <c r="N4940" s="16">
        <f>IF($A4940&lt;Notes!$B$5,"",IF(COUNTIFS(Release_Calendar!$A$2:$A$755,"NZ_GDP",Release_Calendar!$B$2:$B$755,$A4940)&gt;0,1,0))</f>
        <v>0</v>
      </c>
      <c r="O4940" s="16">
        <f>IF($A4940&lt;Notes!$B$5,"",IF(COUNTIFS(Release_Calendar!$A$2:$A$755,"NZ_LABOUR",Release_Calendar!$B$2:$B$755,$A4940)&gt;0,1,0))</f>
        <v>0</v>
      </c>
      <c r="P4940" s="16">
        <f t="shared" si="4"/>
        <v>0</v>
      </c>
    </row>
    <row r="4941" ht="15.75" customHeight="1">
      <c r="A4941" s="14">
        <v>43441.0</v>
      </c>
      <c r="B4941" s="15">
        <v>2.72</v>
      </c>
      <c r="C4941" s="15">
        <v>2.05</v>
      </c>
      <c r="D4941" s="15"/>
      <c r="E4941" s="15">
        <v>1.76</v>
      </c>
      <c r="F4941" s="15">
        <f t="shared" si="1"/>
        <v>-0.67</v>
      </c>
      <c r="G4941" s="15">
        <f t="shared" si="2"/>
        <v>2.05</v>
      </c>
      <c r="H4941" s="16">
        <v>0.0</v>
      </c>
      <c r="I4941" s="15">
        <f t="shared" si="3"/>
        <v>-0.67</v>
      </c>
      <c r="J4941" s="15">
        <v>23.23</v>
      </c>
      <c r="K4941" s="16">
        <f>IF(COUNTIFS(Release_Calendar!$A$2:$A$755,"US_CPI",Release_Calendar!$B$2:$B$755,$A4941)&gt;0,1,0)</f>
        <v>0</v>
      </c>
      <c r="L4941" s="16">
        <f>IF(COUNTIFS(Release_Calendar!$A$2:$A$755,"US_NFP",Release_Calendar!$B$2:$B$755,$A4941)&gt;0,1,0)</f>
        <v>1</v>
      </c>
      <c r="M4941" s="16">
        <f>IF($A4941&lt;Notes!$B$5,"",IF(COUNTIFS(Release_Calendar!$A$2:$A$755,"NZ_CPI",Release_Calendar!$B$2:$B$755,$A4941)&gt;0,1,0))</f>
        <v>0</v>
      </c>
      <c r="N4941" s="16">
        <f>IF($A4941&lt;Notes!$B$5,"",IF(COUNTIFS(Release_Calendar!$A$2:$A$755,"NZ_GDP",Release_Calendar!$B$2:$B$755,$A4941)&gt;0,1,0))</f>
        <v>0</v>
      </c>
      <c r="O4941" s="16">
        <f>IF($A4941&lt;Notes!$B$5,"",IF(COUNTIFS(Release_Calendar!$A$2:$A$755,"NZ_LABOUR",Release_Calendar!$B$2:$B$755,$A4941)&gt;0,1,0))</f>
        <v>0</v>
      </c>
      <c r="P4941" s="16">
        <f t="shared" si="4"/>
        <v>1</v>
      </c>
    </row>
    <row r="4942" ht="15.75" customHeight="1">
      <c r="A4942" s="14">
        <v>43444.0</v>
      </c>
      <c r="B4942" s="15">
        <v>2.72</v>
      </c>
      <c r="C4942" s="15">
        <v>2.04</v>
      </c>
      <c r="D4942" s="15"/>
      <c r="E4942" s="15">
        <v>1.76</v>
      </c>
      <c r="F4942" s="15">
        <f t="shared" si="1"/>
        <v>-0.68</v>
      </c>
      <c r="G4942" s="15">
        <f t="shared" si="2"/>
        <v>2.04</v>
      </c>
      <c r="H4942" s="16">
        <v>0.0</v>
      </c>
      <c r="I4942" s="15">
        <f t="shared" si="3"/>
        <v>-0.68</v>
      </c>
      <c r="J4942" s="15">
        <v>22.64</v>
      </c>
      <c r="K4942" s="16">
        <f>IF(COUNTIFS(Release_Calendar!$A$2:$A$755,"US_CPI",Release_Calendar!$B$2:$B$755,$A4942)&gt;0,1,0)</f>
        <v>0</v>
      </c>
      <c r="L4942" s="16">
        <f>IF(COUNTIFS(Release_Calendar!$A$2:$A$755,"US_NFP",Release_Calendar!$B$2:$B$755,$A4942)&gt;0,1,0)</f>
        <v>0</v>
      </c>
      <c r="M4942" s="16">
        <f>IF($A4942&lt;Notes!$B$5,"",IF(COUNTIFS(Release_Calendar!$A$2:$A$755,"NZ_CPI",Release_Calendar!$B$2:$B$755,$A4942)&gt;0,1,0))</f>
        <v>0</v>
      </c>
      <c r="N4942" s="16">
        <f>IF($A4942&lt;Notes!$B$5,"",IF(COUNTIFS(Release_Calendar!$A$2:$A$755,"NZ_GDP",Release_Calendar!$B$2:$B$755,$A4942)&gt;0,1,0))</f>
        <v>0</v>
      </c>
      <c r="O4942" s="16">
        <f>IF($A4942&lt;Notes!$B$5,"",IF(COUNTIFS(Release_Calendar!$A$2:$A$755,"NZ_LABOUR",Release_Calendar!$B$2:$B$755,$A4942)&gt;0,1,0))</f>
        <v>0</v>
      </c>
      <c r="P4942" s="16">
        <f t="shared" si="4"/>
        <v>0</v>
      </c>
    </row>
    <row r="4943" ht="15.75" customHeight="1">
      <c r="A4943" s="14">
        <v>43445.0</v>
      </c>
      <c r="B4943" s="15">
        <v>2.78</v>
      </c>
      <c r="C4943" s="15">
        <v>2.03</v>
      </c>
      <c r="D4943" s="15"/>
      <c r="E4943" s="15">
        <v>1.77</v>
      </c>
      <c r="F4943" s="15">
        <f t="shared" si="1"/>
        <v>-0.75</v>
      </c>
      <c r="G4943" s="15">
        <f t="shared" si="2"/>
        <v>2.03</v>
      </c>
      <c r="H4943" s="16">
        <v>0.0</v>
      </c>
      <c r="I4943" s="15">
        <f t="shared" si="3"/>
        <v>-0.75</v>
      </c>
      <c r="J4943" s="15">
        <v>21.76</v>
      </c>
      <c r="K4943" s="16">
        <f>IF(COUNTIFS(Release_Calendar!$A$2:$A$755,"US_CPI",Release_Calendar!$B$2:$B$755,$A4943)&gt;0,1,0)</f>
        <v>0</v>
      </c>
      <c r="L4943" s="16">
        <f>IF(COUNTIFS(Release_Calendar!$A$2:$A$755,"US_NFP",Release_Calendar!$B$2:$B$755,$A4943)&gt;0,1,0)</f>
        <v>0</v>
      </c>
      <c r="M4943" s="16">
        <f>IF($A4943&lt;Notes!$B$5,"",IF(COUNTIFS(Release_Calendar!$A$2:$A$755,"NZ_CPI",Release_Calendar!$B$2:$B$755,$A4943)&gt;0,1,0))</f>
        <v>0</v>
      </c>
      <c r="N4943" s="16">
        <f>IF($A4943&lt;Notes!$B$5,"",IF(COUNTIFS(Release_Calendar!$A$2:$A$755,"NZ_GDP",Release_Calendar!$B$2:$B$755,$A4943)&gt;0,1,0))</f>
        <v>0</v>
      </c>
      <c r="O4943" s="16">
        <f>IF($A4943&lt;Notes!$B$5,"",IF(COUNTIFS(Release_Calendar!$A$2:$A$755,"NZ_LABOUR",Release_Calendar!$B$2:$B$755,$A4943)&gt;0,1,0))</f>
        <v>0</v>
      </c>
      <c r="P4943" s="16">
        <f t="shared" si="4"/>
        <v>0</v>
      </c>
    </row>
    <row r="4944" ht="15.75" customHeight="1">
      <c r="A4944" s="14">
        <v>43446.0</v>
      </c>
      <c r="B4944" s="15">
        <v>2.77</v>
      </c>
      <c r="C4944" s="15">
        <v>2.05</v>
      </c>
      <c r="D4944" s="15"/>
      <c r="E4944" s="15">
        <v>1.78</v>
      </c>
      <c r="F4944" s="15">
        <f t="shared" si="1"/>
        <v>-0.72</v>
      </c>
      <c r="G4944" s="15">
        <f t="shared" si="2"/>
        <v>2.05</v>
      </c>
      <c r="H4944" s="16">
        <v>0.0</v>
      </c>
      <c r="I4944" s="15">
        <f t="shared" si="3"/>
        <v>-0.72</v>
      </c>
      <c r="J4944" s="15">
        <v>21.46</v>
      </c>
      <c r="K4944" s="16">
        <f>IF(COUNTIFS(Release_Calendar!$A$2:$A$755,"US_CPI",Release_Calendar!$B$2:$B$755,$A4944)&gt;0,1,0)</f>
        <v>1</v>
      </c>
      <c r="L4944" s="16">
        <f>IF(COUNTIFS(Release_Calendar!$A$2:$A$755,"US_NFP",Release_Calendar!$B$2:$B$755,$A4944)&gt;0,1,0)</f>
        <v>0</v>
      </c>
      <c r="M4944" s="16">
        <f>IF($A4944&lt;Notes!$B$5,"",IF(COUNTIFS(Release_Calendar!$A$2:$A$755,"NZ_CPI",Release_Calendar!$B$2:$B$755,$A4944)&gt;0,1,0))</f>
        <v>0</v>
      </c>
      <c r="N4944" s="16">
        <f>IF($A4944&lt;Notes!$B$5,"",IF(COUNTIFS(Release_Calendar!$A$2:$A$755,"NZ_GDP",Release_Calendar!$B$2:$B$755,$A4944)&gt;0,1,0))</f>
        <v>0</v>
      </c>
      <c r="O4944" s="16">
        <f>IF($A4944&lt;Notes!$B$5,"",IF(COUNTIFS(Release_Calendar!$A$2:$A$755,"NZ_LABOUR",Release_Calendar!$B$2:$B$755,$A4944)&gt;0,1,0))</f>
        <v>0</v>
      </c>
      <c r="P4944" s="16">
        <f t="shared" si="4"/>
        <v>1</v>
      </c>
    </row>
    <row r="4945" ht="15.75" customHeight="1">
      <c r="A4945" s="14">
        <v>43447.0</v>
      </c>
      <c r="B4945" s="15">
        <v>2.75</v>
      </c>
      <c r="C4945" s="15">
        <v>2.08</v>
      </c>
      <c r="D4945" s="15"/>
      <c r="E4945" s="15">
        <v>1.8</v>
      </c>
      <c r="F4945" s="15">
        <f t="shared" si="1"/>
        <v>-0.67</v>
      </c>
      <c r="G4945" s="15">
        <f t="shared" si="2"/>
        <v>2.08</v>
      </c>
      <c r="H4945" s="16">
        <v>0.0</v>
      </c>
      <c r="I4945" s="15">
        <f t="shared" si="3"/>
        <v>-0.67</v>
      </c>
      <c r="J4945" s="15">
        <v>20.65</v>
      </c>
      <c r="K4945" s="16">
        <f>IF(COUNTIFS(Release_Calendar!$A$2:$A$755,"US_CPI",Release_Calendar!$B$2:$B$755,$A4945)&gt;0,1,0)</f>
        <v>0</v>
      </c>
      <c r="L4945" s="16">
        <f>IF(COUNTIFS(Release_Calendar!$A$2:$A$755,"US_NFP",Release_Calendar!$B$2:$B$755,$A4945)&gt;0,1,0)</f>
        <v>0</v>
      </c>
      <c r="M4945" s="16">
        <f>IF($A4945&lt;Notes!$B$5,"",IF(COUNTIFS(Release_Calendar!$A$2:$A$755,"NZ_CPI",Release_Calendar!$B$2:$B$755,$A4945)&gt;0,1,0))</f>
        <v>0</v>
      </c>
      <c r="N4945" s="16">
        <f>IF($A4945&lt;Notes!$B$5,"",IF(COUNTIFS(Release_Calendar!$A$2:$A$755,"NZ_GDP",Release_Calendar!$B$2:$B$755,$A4945)&gt;0,1,0))</f>
        <v>0</v>
      </c>
      <c r="O4945" s="16">
        <f>IF($A4945&lt;Notes!$B$5,"",IF(COUNTIFS(Release_Calendar!$A$2:$A$755,"NZ_LABOUR",Release_Calendar!$B$2:$B$755,$A4945)&gt;0,1,0))</f>
        <v>0</v>
      </c>
      <c r="P4945" s="16">
        <f t="shared" si="4"/>
        <v>0</v>
      </c>
    </row>
    <row r="4946" ht="15.75" customHeight="1">
      <c r="A4946" s="14">
        <v>43448.0</v>
      </c>
      <c r="B4946" s="15">
        <v>2.73</v>
      </c>
      <c r="C4946" s="15">
        <v>2.07</v>
      </c>
      <c r="D4946" s="15"/>
      <c r="E4946" s="15">
        <v>1.77</v>
      </c>
      <c r="F4946" s="15">
        <f t="shared" si="1"/>
        <v>-0.66</v>
      </c>
      <c r="G4946" s="15">
        <f t="shared" si="2"/>
        <v>2.07</v>
      </c>
      <c r="H4946" s="16">
        <v>0.0</v>
      </c>
      <c r="I4946" s="15">
        <f t="shared" si="3"/>
        <v>-0.66</v>
      </c>
      <c r="J4946" s="15">
        <v>21.63</v>
      </c>
      <c r="K4946" s="16">
        <f>IF(COUNTIFS(Release_Calendar!$A$2:$A$755,"US_CPI",Release_Calendar!$B$2:$B$755,$A4946)&gt;0,1,0)</f>
        <v>0</v>
      </c>
      <c r="L4946" s="16">
        <f>IF(COUNTIFS(Release_Calendar!$A$2:$A$755,"US_NFP",Release_Calendar!$B$2:$B$755,$A4946)&gt;0,1,0)</f>
        <v>0</v>
      </c>
      <c r="M4946" s="16">
        <f>IF($A4946&lt;Notes!$B$5,"",IF(COUNTIFS(Release_Calendar!$A$2:$A$755,"NZ_CPI",Release_Calendar!$B$2:$B$755,$A4946)&gt;0,1,0))</f>
        <v>0</v>
      </c>
      <c r="N4946" s="16">
        <f>IF($A4946&lt;Notes!$B$5,"",IF(COUNTIFS(Release_Calendar!$A$2:$A$755,"NZ_GDP",Release_Calendar!$B$2:$B$755,$A4946)&gt;0,1,0))</f>
        <v>0</v>
      </c>
      <c r="O4946" s="16">
        <f>IF($A4946&lt;Notes!$B$5,"",IF(COUNTIFS(Release_Calendar!$A$2:$A$755,"NZ_LABOUR",Release_Calendar!$B$2:$B$755,$A4946)&gt;0,1,0))</f>
        <v>0</v>
      </c>
      <c r="P4946" s="16">
        <f t="shared" si="4"/>
        <v>0</v>
      </c>
    </row>
    <row r="4947" ht="15.75" customHeight="1">
      <c r="A4947" s="14">
        <v>43451.0</v>
      </c>
      <c r="B4947" s="15">
        <v>2.7</v>
      </c>
      <c r="C4947" s="15">
        <v>2.07</v>
      </c>
      <c r="D4947" s="15"/>
      <c r="E4947" s="15">
        <v>1.77</v>
      </c>
      <c r="F4947" s="15">
        <f t="shared" si="1"/>
        <v>-0.63</v>
      </c>
      <c r="G4947" s="15">
        <f t="shared" si="2"/>
        <v>2.07</v>
      </c>
      <c r="H4947" s="16">
        <v>0.0</v>
      </c>
      <c r="I4947" s="15">
        <f t="shared" si="3"/>
        <v>-0.63</v>
      </c>
      <c r="J4947" s="15">
        <v>24.52</v>
      </c>
      <c r="K4947" s="16">
        <f>IF(COUNTIFS(Release_Calendar!$A$2:$A$755,"US_CPI",Release_Calendar!$B$2:$B$755,$A4947)&gt;0,1,0)</f>
        <v>0</v>
      </c>
      <c r="L4947" s="16">
        <f>IF(COUNTIFS(Release_Calendar!$A$2:$A$755,"US_NFP",Release_Calendar!$B$2:$B$755,$A4947)&gt;0,1,0)</f>
        <v>0</v>
      </c>
      <c r="M4947" s="16">
        <f>IF($A4947&lt;Notes!$B$5,"",IF(COUNTIFS(Release_Calendar!$A$2:$A$755,"NZ_CPI",Release_Calendar!$B$2:$B$755,$A4947)&gt;0,1,0))</f>
        <v>0</v>
      </c>
      <c r="N4947" s="16">
        <f>IF($A4947&lt;Notes!$B$5,"",IF(COUNTIFS(Release_Calendar!$A$2:$A$755,"NZ_GDP",Release_Calendar!$B$2:$B$755,$A4947)&gt;0,1,0))</f>
        <v>0</v>
      </c>
      <c r="O4947" s="16">
        <f>IF($A4947&lt;Notes!$B$5,"",IF(COUNTIFS(Release_Calendar!$A$2:$A$755,"NZ_LABOUR",Release_Calendar!$B$2:$B$755,$A4947)&gt;0,1,0))</f>
        <v>0</v>
      </c>
      <c r="P4947" s="16">
        <f t="shared" si="4"/>
        <v>0</v>
      </c>
    </row>
    <row r="4948" ht="15.75" customHeight="1">
      <c r="A4948" s="14">
        <v>43452.0</v>
      </c>
      <c r="B4948" s="15">
        <v>2.65</v>
      </c>
      <c r="C4948" s="15">
        <v>2.06</v>
      </c>
      <c r="D4948" s="15"/>
      <c r="E4948" s="15">
        <v>1.76</v>
      </c>
      <c r="F4948" s="15">
        <f t="shared" si="1"/>
        <v>-0.59</v>
      </c>
      <c r="G4948" s="15">
        <f t="shared" si="2"/>
        <v>2.06</v>
      </c>
      <c r="H4948" s="16">
        <v>0.0</v>
      </c>
      <c r="I4948" s="15">
        <f t="shared" si="3"/>
        <v>-0.59</v>
      </c>
      <c r="J4948" s="15">
        <v>25.58</v>
      </c>
      <c r="K4948" s="16">
        <f>IF(COUNTIFS(Release_Calendar!$A$2:$A$755,"US_CPI",Release_Calendar!$B$2:$B$755,$A4948)&gt;0,1,0)</f>
        <v>0</v>
      </c>
      <c r="L4948" s="16">
        <f>IF(COUNTIFS(Release_Calendar!$A$2:$A$755,"US_NFP",Release_Calendar!$B$2:$B$755,$A4948)&gt;0,1,0)</f>
        <v>0</v>
      </c>
      <c r="M4948" s="16">
        <f>IF($A4948&lt;Notes!$B$5,"",IF(COUNTIFS(Release_Calendar!$A$2:$A$755,"NZ_CPI",Release_Calendar!$B$2:$B$755,$A4948)&gt;0,1,0))</f>
        <v>0</v>
      </c>
      <c r="N4948" s="16">
        <f>IF($A4948&lt;Notes!$B$5,"",IF(COUNTIFS(Release_Calendar!$A$2:$A$755,"NZ_GDP",Release_Calendar!$B$2:$B$755,$A4948)&gt;0,1,0))</f>
        <v>0</v>
      </c>
      <c r="O4948" s="16">
        <f>IF($A4948&lt;Notes!$B$5,"",IF(COUNTIFS(Release_Calendar!$A$2:$A$755,"NZ_LABOUR",Release_Calendar!$B$2:$B$755,$A4948)&gt;0,1,0))</f>
        <v>0</v>
      </c>
      <c r="P4948" s="16">
        <f t="shared" si="4"/>
        <v>0</v>
      </c>
    </row>
    <row r="4949" ht="15.75" customHeight="1">
      <c r="A4949" s="14">
        <v>43453.0</v>
      </c>
      <c r="B4949" s="15">
        <v>2.63</v>
      </c>
      <c r="C4949" s="15">
        <v>2.05</v>
      </c>
      <c r="D4949" s="15"/>
      <c r="E4949" s="15">
        <v>1.77</v>
      </c>
      <c r="F4949" s="15">
        <f t="shared" si="1"/>
        <v>-0.58</v>
      </c>
      <c r="G4949" s="15">
        <f t="shared" si="2"/>
        <v>2.05</v>
      </c>
      <c r="H4949" s="16">
        <v>0.0</v>
      </c>
      <c r="I4949" s="15">
        <f t="shared" si="3"/>
        <v>-0.58</v>
      </c>
      <c r="J4949" s="15">
        <v>25.58</v>
      </c>
      <c r="K4949" s="16">
        <f>IF(COUNTIFS(Release_Calendar!$A$2:$A$755,"US_CPI",Release_Calendar!$B$2:$B$755,$A4949)&gt;0,1,0)</f>
        <v>0</v>
      </c>
      <c r="L4949" s="16">
        <f>IF(COUNTIFS(Release_Calendar!$A$2:$A$755,"US_NFP",Release_Calendar!$B$2:$B$755,$A4949)&gt;0,1,0)</f>
        <v>0</v>
      </c>
      <c r="M4949" s="16">
        <f>IF($A4949&lt;Notes!$B$5,"",IF(COUNTIFS(Release_Calendar!$A$2:$A$755,"NZ_CPI",Release_Calendar!$B$2:$B$755,$A4949)&gt;0,1,0))</f>
        <v>0</v>
      </c>
      <c r="N4949" s="16">
        <f>IF($A4949&lt;Notes!$B$5,"",IF(COUNTIFS(Release_Calendar!$A$2:$A$755,"NZ_GDP",Release_Calendar!$B$2:$B$755,$A4949)&gt;0,1,0))</f>
        <v>0</v>
      </c>
      <c r="O4949" s="16">
        <f>IF($A4949&lt;Notes!$B$5,"",IF(COUNTIFS(Release_Calendar!$A$2:$A$755,"NZ_LABOUR",Release_Calendar!$B$2:$B$755,$A4949)&gt;0,1,0))</f>
        <v>0</v>
      </c>
      <c r="P4949" s="16">
        <f t="shared" si="4"/>
        <v>0</v>
      </c>
    </row>
    <row r="4950" ht="15.75" customHeight="1">
      <c r="A4950" s="14">
        <v>43454.0</v>
      </c>
      <c r="B4950" s="15">
        <v>2.67</v>
      </c>
      <c r="C4950" s="15">
        <v>1.98</v>
      </c>
      <c r="D4950" s="15"/>
      <c r="E4950" s="15">
        <v>1.69</v>
      </c>
      <c r="F4950" s="15">
        <f t="shared" si="1"/>
        <v>-0.69</v>
      </c>
      <c r="G4950" s="15">
        <f t="shared" si="2"/>
        <v>1.98</v>
      </c>
      <c r="H4950" s="16">
        <v>0.0</v>
      </c>
      <c r="I4950" s="15">
        <f t="shared" si="3"/>
        <v>-0.69</v>
      </c>
      <c r="J4950" s="15">
        <v>28.38</v>
      </c>
      <c r="K4950" s="16">
        <f>IF(COUNTIFS(Release_Calendar!$A$2:$A$755,"US_CPI",Release_Calendar!$B$2:$B$755,$A4950)&gt;0,1,0)</f>
        <v>0</v>
      </c>
      <c r="L4950" s="16">
        <f>IF(COUNTIFS(Release_Calendar!$A$2:$A$755,"US_NFP",Release_Calendar!$B$2:$B$755,$A4950)&gt;0,1,0)</f>
        <v>0</v>
      </c>
      <c r="M4950" s="16">
        <f>IF($A4950&lt;Notes!$B$5,"",IF(COUNTIFS(Release_Calendar!$A$2:$A$755,"NZ_CPI",Release_Calendar!$B$2:$B$755,$A4950)&gt;0,1,0))</f>
        <v>0</v>
      </c>
      <c r="N4950" s="16">
        <f>IF($A4950&lt;Notes!$B$5,"",IF(COUNTIFS(Release_Calendar!$A$2:$A$755,"NZ_GDP",Release_Calendar!$B$2:$B$755,$A4950)&gt;0,1,0))</f>
        <v>1</v>
      </c>
      <c r="O4950" s="16">
        <f>IF($A4950&lt;Notes!$B$5,"",IF(COUNTIFS(Release_Calendar!$A$2:$A$755,"NZ_LABOUR",Release_Calendar!$B$2:$B$755,$A4950)&gt;0,1,0))</f>
        <v>0</v>
      </c>
      <c r="P4950" s="16">
        <f t="shared" si="4"/>
        <v>1</v>
      </c>
    </row>
    <row r="4951" ht="15.75" customHeight="1">
      <c r="A4951" s="14">
        <v>43455.0</v>
      </c>
      <c r="B4951" s="15">
        <v>2.63</v>
      </c>
      <c r="C4951" s="15">
        <v>1.97</v>
      </c>
      <c r="D4951" s="15"/>
      <c r="E4951" s="15">
        <v>1.72</v>
      </c>
      <c r="F4951" s="15">
        <f t="shared" si="1"/>
        <v>-0.66</v>
      </c>
      <c r="G4951" s="15">
        <f t="shared" si="2"/>
        <v>1.97</v>
      </c>
      <c r="H4951" s="16">
        <v>0.0</v>
      </c>
      <c r="I4951" s="15">
        <f t="shared" si="3"/>
        <v>-0.66</v>
      </c>
      <c r="J4951" s="15">
        <v>30.11</v>
      </c>
      <c r="K4951" s="16">
        <f>IF(COUNTIFS(Release_Calendar!$A$2:$A$755,"US_CPI",Release_Calendar!$B$2:$B$755,$A4951)&gt;0,1,0)</f>
        <v>0</v>
      </c>
      <c r="L4951" s="16">
        <f>IF(COUNTIFS(Release_Calendar!$A$2:$A$755,"US_NFP",Release_Calendar!$B$2:$B$755,$A4951)&gt;0,1,0)</f>
        <v>0</v>
      </c>
      <c r="M4951" s="16">
        <f>IF($A4951&lt;Notes!$B$5,"",IF(COUNTIFS(Release_Calendar!$A$2:$A$755,"NZ_CPI",Release_Calendar!$B$2:$B$755,$A4951)&gt;0,1,0))</f>
        <v>0</v>
      </c>
      <c r="N4951" s="16">
        <f>IF($A4951&lt;Notes!$B$5,"",IF(COUNTIFS(Release_Calendar!$A$2:$A$755,"NZ_GDP",Release_Calendar!$B$2:$B$755,$A4951)&gt;0,1,0))</f>
        <v>0</v>
      </c>
      <c r="O4951" s="16">
        <f>IF($A4951&lt;Notes!$B$5,"",IF(COUNTIFS(Release_Calendar!$A$2:$A$755,"NZ_LABOUR",Release_Calendar!$B$2:$B$755,$A4951)&gt;0,1,0))</f>
        <v>0</v>
      </c>
      <c r="P4951" s="16">
        <f t="shared" si="4"/>
        <v>0</v>
      </c>
    </row>
    <row r="4952" ht="15.75" customHeight="1">
      <c r="A4952" s="14">
        <v>43458.0</v>
      </c>
      <c r="B4952" s="15">
        <v>2.55</v>
      </c>
      <c r="C4952" s="15">
        <v>1.98</v>
      </c>
      <c r="D4952" s="15"/>
      <c r="E4952" s="15">
        <v>1.72</v>
      </c>
      <c r="F4952" s="15">
        <f t="shared" si="1"/>
        <v>-0.57</v>
      </c>
      <c r="G4952" s="15">
        <f t="shared" si="2"/>
        <v>1.98</v>
      </c>
      <c r="H4952" s="16">
        <v>0.0</v>
      </c>
      <c r="I4952" s="15">
        <f t="shared" si="3"/>
        <v>-0.57</v>
      </c>
      <c r="J4952" s="15">
        <v>36.07</v>
      </c>
      <c r="K4952" s="16">
        <f>IF(COUNTIFS(Release_Calendar!$A$2:$A$755,"US_CPI",Release_Calendar!$B$2:$B$755,$A4952)&gt;0,1,0)</f>
        <v>0</v>
      </c>
      <c r="L4952" s="16">
        <f>IF(COUNTIFS(Release_Calendar!$A$2:$A$755,"US_NFP",Release_Calendar!$B$2:$B$755,$A4952)&gt;0,1,0)</f>
        <v>0</v>
      </c>
      <c r="M4952" s="16">
        <f>IF($A4952&lt;Notes!$B$5,"",IF(COUNTIFS(Release_Calendar!$A$2:$A$755,"NZ_CPI",Release_Calendar!$B$2:$B$755,$A4952)&gt;0,1,0))</f>
        <v>0</v>
      </c>
      <c r="N4952" s="16">
        <f>IF($A4952&lt;Notes!$B$5,"",IF(COUNTIFS(Release_Calendar!$A$2:$A$755,"NZ_GDP",Release_Calendar!$B$2:$B$755,$A4952)&gt;0,1,0))</f>
        <v>0</v>
      </c>
      <c r="O4952" s="16">
        <f>IF($A4952&lt;Notes!$B$5,"",IF(COUNTIFS(Release_Calendar!$A$2:$A$755,"NZ_LABOUR",Release_Calendar!$B$2:$B$755,$A4952)&gt;0,1,0))</f>
        <v>0</v>
      </c>
      <c r="P4952" s="16">
        <f t="shared" si="4"/>
        <v>0</v>
      </c>
    </row>
    <row r="4953" ht="15.75" customHeight="1">
      <c r="A4953" s="14">
        <v>43459.0</v>
      </c>
      <c r="B4953" s="15"/>
      <c r="C4953" s="15"/>
      <c r="D4953" s="15"/>
      <c r="E4953" s="15"/>
      <c r="F4953" s="15" t="str">
        <f t="shared" si="1"/>
        <v/>
      </c>
      <c r="G4953" s="15" t="str">
        <f t="shared" si="2"/>
        <v/>
      </c>
      <c r="H4953" s="16">
        <v>0.0</v>
      </c>
      <c r="I4953" s="15" t="str">
        <f t="shared" si="3"/>
        <v/>
      </c>
      <c r="J4953" s="15"/>
      <c r="K4953" s="16">
        <f>IF(COUNTIFS(Release_Calendar!$A$2:$A$755,"US_CPI",Release_Calendar!$B$2:$B$755,$A4953)&gt;0,1,0)</f>
        <v>0</v>
      </c>
      <c r="L4953" s="16">
        <f>IF(COUNTIFS(Release_Calendar!$A$2:$A$755,"US_NFP",Release_Calendar!$B$2:$B$755,$A4953)&gt;0,1,0)</f>
        <v>0</v>
      </c>
      <c r="M4953" s="16">
        <f>IF($A4953&lt;Notes!$B$5,"",IF(COUNTIFS(Release_Calendar!$A$2:$A$755,"NZ_CPI",Release_Calendar!$B$2:$B$755,$A4953)&gt;0,1,0))</f>
        <v>0</v>
      </c>
      <c r="N4953" s="16">
        <f>IF($A4953&lt;Notes!$B$5,"",IF(COUNTIFS(Release_Calendar!$A$2:$A$755,"NZ_GDP",Release_Calendar!$B$2:$B$755,$A4953)&gt;0,1,0))</f>
        <v>0</v>
      </c>
      <c r="O4953" s="16">
        <f>IF($A4953&lt;Notes!$B$5,"",IF(COUNTIFS(Release_Calendar!$A$2:$A$755,"NZ_LABOUR",Release_Calendar!$B$2:$B$755,$A4953)&gt;0,1,0))</f>
        <v>0</v>
      </c>
      <c r="P4953" s="16">
        <f t="shared" si="4"/>
        <v>0</v>
      </c>
    </row>
    <row r="4954" ht="15.75" customHeight="1">
      <c r="A4954" s="14">
        <v>43460.0</v>
      </c>
      <c r="B4954" s="15">
        <v>2.61</v>
      </c>
      <c r="C4954" s="15"/>
      <c r="D4954" s="15"/>
      <c r="E4954" s="15"/>
      <c r="F4954" s="15" t="str">
        <f t="shared" si="1"/>
        <v/>
      </c>
      <c r="G4954" s="15" t="str">
        <f t="shared" si="2"/>
        <v/>
      </c>
      <c r="H4954" s="16">
        <v>0.0</v>
      </c>
      <c r="I4954" s="15" t="str">
        <f t="shared" si="3"/>
        <v/>
      </c>
      <c r="J4954" s="15">
        <v>30.41</v>
      </c>
      <c r="K4954" s="16">
        <f>IF(COUNTIFS(Release_Calendar!$A$2:$A$755,"US_CPI",Release_Calendar!$B$2:$B$755,$A4954)&gt;0,1,0)</f>
        <v>0</v>
      </c>
      <c r="L4954" s="16">
        <f>IF(COUNTIFS(Release_Calendar!$A$2:$A$755,"US_NFP",Release_Calendar!$B$2:$B$755,$A4954)&gt;0,1,0)</f>
        <v>0</v>
      </c>
      <c r="M4954" s="16">
        <f>IF($A4954&lt;Notes!$B$5,"",IF(COUNTIFS(Release_Calendar!$A$2:$A$755,"NZ_CPI",Release_Calendar!$B$2:$B$755,$A4954)&gt;0,1,0))</f>
        <v>0</v>
      </c>
      <c r="N4954" s="16">
        <f>IF($A4954&lt;Notes!$B$5,"",IF(COUNTIFS(Release_Calendar!$A$2:$A$755,"NZ_GDP",Release_Calendar!$B$2:$B$755,$A4954)&gt;0,1,0))</f>
        <v>0</v>
      </c>
      <c r="O4954" s="16">
        <f>IF($A4954&lt;Notes!$B$5,"",IF(COUNTIFS(Release_Calendar!$A$2:$A$755,"NZ_LABOUR",Release_Calendar!$B$2:$B$755,$A4954)&gt;0,1,0))</f>
        <v>0</v>
      </c>
      <c r="P4954" s="16">
        <f t="shared" si="4"/>
        <v>0</v>
      </c>
    </row>
    <row r="4955" ht="15.75" customHeight="1">
      <c r="A4955" s="14">
        <v>43461.0</v>
      </c>
      <c r="B4955" s="15">
        <v>2.56</v>
      </c>
      <c r="C4955" s="15">
        <v>1.98</v>
      </c>
      <c r="D4955" s="15"/>
      <c r="E4955" s="15">
        <v>1.72</v>
      </c>
      <c r="F4955" s="15">
        <f t="shared" si="1"/>
        <v>-0.58</v>
      </c>
      <c r="G4955" s="15">
        <f t="shared" si="2"/>
        <v>1.98</v>
      </c>
      <c r="H4955" s="16">
        <v>0.0</v>
      </c>
      <c r="I4955" s="15">
        <f t="shared" si="3"/>
        <v>-0.58</v>
      </c>
      <c r="J4955" s="15">
        <v>29.96</v>
      </c>
      <c r="K4955" s="16">
        <f>IF(COUNTIFS(Release_Calendar!$A$2:$A$755,"US_CPI",Release_Calendar!$B$2:$B$755,$A4955)&gt;0,1,0)</f>
        <v>0</v>
      </c>
      <c r="L4955" s="16">
        <f>IF(COUNTIFS(Release_Calendar!$A$2:$A$755,"US_NFP",Release_Calendar!$B$2:$B$755,$A4955)&gt;0,1,0)</f>
        <v>0</v>
      </c>
      <c r="M4955" s="16">
        <f>IF($A4955&lt;Notes!$B$5,"",IF(COUNTIFS(Release_Calendar!$A$2:$A$755,"NZ_CPI",Release_Calendar!$B$2:$B$755,$A4955)&gt;0,1,0))</f>
        <v>0</v>
      </c>
      <c r="N4955" s="16">
        <f>IF($A4955&lt;Notes!$B$5,"",IF(COUNTIFS(Release_Calendar!$A$2:$A$755,"NZ_GDP",Release_Calendar!$B$2:$B$755,$A4955)&gt;0,1,0))</f>
        <v>0</v>
      </c>
      <c r="O4955" s="16">
        <f>IF($A4955&lt;Notes!$B$5,"",IF(COUNTIFS(Release_Calendar!$A$2:$A$755,"NZ_LABOUR",Release_Calendar!$B$2:$B$755,$A4955)&gt;0,1,0))</f>
        <v>0</v>
      </c>
      <c r="P4955" s="16">
        <f t="shared" si="4"/>
        <v>0</v>
      </c>
    </row>
    <row r="4956" ht="15.75" customHeight="1">
      <c r="A4956" s="14">
        <v>43462.0</v>
      </c>
      <c r="B4956" s="15">
        <v>2.52</v>
      </c>
      <c r="C4956" s="15">
        <v>1.98</v>
      </c>
      <c r="D4956" s="15"/>
      <c r="E4956" s="15">
        <v>1.7</v>
      </c>
      <c r="F4956" s="15">
        <f t="shared" si="1"/>
        <v>-0.54</v>
      </c>
      <c r="G4956" s="15">
        <f t="shared" si="2"/>
        <v>1.98</v>
      </c>
      <c r="H4956" s="16">
        <v>0.0</v>
      </c>
      <c r="I4956" s="15">
        <f t="shared" si="3"/>
        <v>-0.54</v>
      </c>
      <c r="J4956" s="15">
        <v>28.34</v>
      </c>
      <c r="K4956" s="16">
        <f>IF(COUNTIFS(Release_Calendar!$A$2:$A$755,"US_CPI",Release_Calendar!$B$2:$B$755,$A4956)&gt;0,1,0)</f>
        <v>0</v>
      </c>
      <c r="L4956" s="16">
        <f>IF(COUNTIFS(Release_Calendar!$A$2:$A$755,"US_NFP",Release_Calendar!$B$2:$B$755,$A4956)&gt;0,1,0)</f>
        <v>0</v>
      </c>
      <c r="M4956" s="16">
        <f>IF($A4956&lt;Notes!$B$5,"",IF(COUNTIFS(Release_Calendar!$A$2:$A$755,"NZ_CPI",Release_Calendar!$B$2:$B$755,$A4956)&gt;0,1,0))</f>
        <v>0</v>
      </c>
      <c r="N4956" s="16">
        <f>IF($A4956&lt;Notes!$B$5,"",IF(COUNTIFS(Release_Calendar!$A$2:$A$755,"NZ_GDP",Release_Calendar!$B$2:$B$755,$A4956)&gt;0,1,0))</f>
        <v>0</v>
      </c>
      <c r="O4956" s="16">
        <f>IF($A4956&lt;Notes!$B$5,"",IF(COUNTIFS(Release_Calendar!$A$2:$A$755,"NZ_LABOUR",Release_Calendar!$B$2:$B$755,$A4956)&gt;0,1,0))</f>
        <v>0</v>
      </c>
      <c r="P4956" s="16">
        <f t="shared" si="4"/>
        <v>0</v>
      </c>
    </row>
    <row r="4957" ht="15.75" customHeight="1">
      <c r="A4957" s="14">
        <v>43465.0</v>
      </c>
      <c r="B4957" s="15">
        <v>2.48</v>
      </c>
      <c r="C4957" s="15">
        <v>1.96</v>
      </c>
      <c r="D4957" s="15"/>
      <c r="E4957" s="15">
        <v>1.7</v>
      </c>
      <c r="F4957" s="15">
        <f t="shared" si="1"/>
        <v>-0.52</v>
      </c>
      <c r="G4957" s="15">
        <f t="shared" si="2"/>
        <v>1.96</v>
      </c>
      <c r="H4957" s="16">
        <v>0.0</v>
      </c>
      <c r="I4957" s="15">
        <f t="shared" si="3"/>
        <v>-0.52</v>
      </c>
      <c r="J4957" s="15">
        <v>25.42</v>
      </c>
      <c r="K4957" s="16">
        <f>IF(COUNTIFS(Release_Calendar!$A$2:$A$755,"US_CPI",Release_Calendar!$B$2:$B$755,$A4957)&gt;0,1,0)</f>
        <v>0</v>
      </c>
      <c r="L4957" s="16">
        <f>IF(COUNTIFS(Release_Calendar!$A$2:$A$755,"US_NFP",Release_Calendar!$B$2:$B$755,$A4957)&gt;0,1,0)</f>
        <v>0</v>
      </c>
      <c r="M4957" s="16">
        <f>IF($A4957&lt;Notes!$B$5,"",IF(COUNTIFS(Release_Calendar!$A$2:$A$755,"NZ_CPI",Release_Calendar!$B$2:$B$755,$A4957)&gt;0,1,0))</f>
        <v>0</v>
      </c>
      <c r="N4957" s="16">
        <f>IF($A4957&lt;Notes!$B$5,"",IF(COUNTIFS(Release_Calendar!$A$2:$A$755,"NZ_GDP",Release_Calendar!$B$2:$B$755,$A4957)&gt;0,1,0))</f>
        <v>0</v>
      </c>
      <c r="O4957" s="16">
        <f>IF($A4957&lt;Notes!$B$5,"",IF(COUNTIFS(Release_Calendar!$A$2:$A$755,"NZ_LABOUR",Release_Calendar!$B$2:$B$755,$A4957)&gt;0,1,0))</f>
        <v>0</v>
      </c>
      <c r="P4957" s="16">
        <f t="shared" si="4"/>
        <v>0</v>
      </c>
    </row>
    <row r="4958" ht="15.75" customHeight="1">
      <c r="A4958" s="14">
        <v>43466.0</v>
      </c>
      <c r="B4958" s="15"/>
      <c r="C4958" s="15"/>
      <c r="D4958" s="15"/>
      <c r="E4958" s="15"/>
      <c r="F4958" s="15" t="str">
        <f t="shared" si="1"/>
        <v/>
      </c>
      <c r="G4958" s="15" t="str">
        <f t="shared" si="2"/>
        <v/>
      </c>
      <c r="H4958" s="16">
        <v>0.0</v>
      </c>
      <c r="I4958" s="15" t="str">
        <f t="shared" si="3"/>
        <v/>
      </c>
      <c r="J4958" s="15"/>
      <c r="K4958" s="16">
        <f>IF(COUNTIFS(Release_Calendar!$A$2:$A$755,"US_CPI",Release_Calendar!$B$2:$B$755,$A4958)&gt;0,1,0)</f>
        <v>0</v>
      </c>
      <c r="L4958" s="16">
        <f>IF(COUNTIFS(Release_Calendar!$A$2:$A$755,"US_NFP",Release_Calendar!$B$2:$B$755,$A4958)&gt;0,1,0)</f>
        <v>0</v>
      </c>
      <c r="M4958" s="16">
        <f>IF($A4958&lt;Notes!$B$5,"",IF(COUNTIFS(Release_Calendar!$A$2:$A$755,"NZ_CPI",Release_Calendar!$B$2:$B$755,$A4958)&gt;0,1,0))</f>
        <v>0</v>
      </c>
      <c r="N4958" s="16">
        <f>IF($A4958&lt;Notes!$B$5,"",IF(COUNTIFS(Release_Calendar!$A$2:$A$755,"NZ_GDP",Release_Calendar!$B$2:$B$755,$A4958)&gt;0,1,0))</f>
        <v>0</v>
      </c>
      <c r="O4958" s="16">
        <f>IF($A4958&lt;Notes!$B$5,"",IF(COUNTIFS(Release_Calendar!$A$2:$A$755,"NZ_LABOUR",Release_Calendar!$B$2:$B$755,$A4958)&gt;0,1,0))</f>
        <v>0</v>
      </c>
      <c r="P4958" s="16">
        <f t="shared" si="4"/>
        <v>0</v>
      </c>
    </row>
    <row r="4959" ht="15.75" customHeight="1">
      <c r="A4959" s="14">
        <v>43467.0</v>
      </c>
      <c r="B4959" s="15">
        <v>2.5</v>
      </c>
      <c r="C4959" s="15"/>
      <c r="D4959" s="15"/>
      <c r="E4959" s="15"/>
      <c r="F4959" s="15" t="str">
        <f t="shared" si="1"/>
        <v/>
      </c>
      <c r="G4959" s="15" t="str">
        <f t="shared" si="2"/>
        <v/>
      </c>
      <c r="H4959" s="16">
        <v>0.0</v>
      </c>
      <c r="I4959" s="15" t="str">
        <f t="shared" si="3"/>
        <v/>
      </c>
      <c r="J4959" s="15">
        <v>23.22</v>
      </c>
      <c r="K4959" s="16">
        <f>IF(COUNTIFS(Release_Calendar!$A$2:$A$755,"US_CPI",Release_Calendar!$B$2:$B$755,$A4959)&gt;0,1,0)</f>
        <v>0</v>
      </c>
      <c r="L4959" s="16">
        <f>IF(COUNTIFS(Release_Calendar!$A$2:$A$755,"US_NFP",Release_Calendar!$B$2:$B$755,$A4959)&gt;0,1,0)</f>
        <v>0</v>
      </c>
      <c r="M4959" s="16">
        <f>IF($A4959&lt;Notes!$B$5,"",IF(COUNTIFS(Release_Calendar!$A$2:$A$755,"NZ_CPI",Release_Calendar!$B$2:$B$755,$A4959)&gt;0,1,0))</f>
        <v>0</v>
      </c>
      <c r="N4959" s="16">
        <f>IF($A4959&lt;Notes!$B$5,"",IF(COUNTIFS(Release_Calendar!$A$2:$A$755,"NZ_GDP",Release_Calendar!$B$2:$B$755,$A4959)&gt;0,1,0))</f>
        <v>0</v>
      </c>
      <c r="O4959" s="16">
        <f>IF($A4959&lt;Notes!$B$5,"",IF(COUNTIFS(Release_Calendar!$A$2:$A$755,"NZ_LABOUR",Release_Calendar!$B$2:$B$755,$A4959)&gt;0,1,0))</f>
        <v>0</v>
      </c>
      <c r="P4959" s="16">
        <f t="shared" si="4"/>
        <v>0</v>
      </c>
    </row>
    <row r="4960" ht="15.75" customHeight="1">
      <c r="A4960" s="14">
        <v>43468.0</v>
      </c>
      <c r="B4960" s="15">
        <v>2.39</v>
      </c>
      <c r="C4960" s="15">
        <v>1.94</v>
      </c>
      <c r="D4960" s="15"/>
      <c r="E4960" s="15">
        <v>1.66</v>
      </c>
      <c r="F4960" s="15">
        <f t="shared" si="1"/>
        <v>-0.45</v>
      </c>
      <c r="G4960" s="15">
        <f t="shared" si="2"/>
        <v>1.94</v>
      </c>
      <c r="H4960" s="16">
        <v>0.0</v>
      </c>
      <c r="I4960" s="15">
        <f t="shared" si="3"/>
        <v>-0.45</v>
      </c>
      <c r="J4960" s="15">
        <v>25.45</v>
      </c>
      <c r="K4960" s="16">
        <f>IF(COUNTIFS(Release_Calendar!$A$2:$A$755,"US_CPI",Release_Calendar!$B$2:$B$755,$A4960)&gt;0,1,0)</f>
        <v>0</v>
      </c>
      <c r="L4960" s="16">
        <f>IF(COUNTIFS(Release_Calendar!$A$2:$A$755,"US_NFP",Release_Calendar!$B$2:$B$755,$A4960)&gt;0,1,0)</f>
        <v>0</v>
      </c>
      <c r="M4960" s="16">
        <f>IF($A4960&lt;Notes!$B$5,"",IF(COUNTIFS(Release_Calendar!$A$2:$A$755,"NZ_CPI",Release_Calendar!$B$2:$B$755,$A4960)&gt;0,1,0))</f>
        <v>0</v>
      </c>
      <c r="N4960" s="16">
        <f>IF($A4960&lt;Notes!$B$5,"",IF(COUNTIFS(Release_Calendar!$A$2:$A$755,"NZ_GDP",Release_Calendar!$B$2:$B$755,$A4960)&gt;0,1,0))</f>
        <v>0</v>
      </c>
      <c r="O4960" s="16">
        <f>IF($A4960&lt;Notes!$B$5,"",IF(COUNTIFS(Release_Calendar!$A$2:$A$755,"NZ_LABOUR",Release_Calendar!$B$2:$B$755,$A4960)&gt;0,1,0))</f>
        <v>0</v>
      </c>
      <c r="P4960" s="16">
        <f t="shared" si="4"/>
        <v>0</v>
      </c>
    </row>
    <row r="4961" ht="15.75" customHeight="1">
      <c r="A4961" s="14">
        <v>43469.0</v>
      </c>
      <c r="B4961" s="15">
        <v>2.5</v>
      </c>
      <c r="C4961" s="15">
        <v>1.95</v>
      </c>
      <c r="D4961" s="15"/>
      <c r="E4961" s="15">
        <v>1.68</v>
      </c>
      <c r="F4961" s="15">
        <f t="shared" si="1"/>
        <v>-0.55</v>
      </c>
      <c r="G4961" s="15">
        <f t="shared" si="2"/>
        <v>1.95</v>
      </c>
      <c r="H4961" s="16">
        <v>0.0</v>
      </c>
      <c r="I4961" s="15">
        <f t="shared" si="3"/>
        <v>-0.55</v>
      </c>
      <c r="J4961" s="15">
        <v>21.38</v>
      </c>
      <c r="K4961" s="16">
        <f>IF(COUNTIFS(Release_Calendar!$A$2:$A$755,"US_CPI",Release_Calendar!$B$2:$B$755,$A4961)&gt;0,1,0)</f>
        <v>0</v>
      </c>
      <c r="L4961" s="16">
        <f>IF(COUNTIFS(Release_Calendar!$A$2:$A$755,"US_NFP",Release_Calendar!$B$2:$B$755,$A4961)&gt;0,1,0)</f>
        <v>1</v>
      </c>
      <c r="M4961" s="16">
        <f>IF($A4961&lt;Notes!$B$5,"",IF(COUNTIFS(Release_Calendar!$A$2:$A$755,"NZ_CPI",Release_Calendar!$B$2:$B$755,$A4961)&gt;0,1,0))</f>
        <v>0</v>
      </c>
      <c r="N4961" s="16">
        <f>IF($A4961&lt;Notes!$B$5,"",IF(COUNTIFS(Release_Calendar!$A$2:$A$755,"NZ_GDP",Release_Calendar!$B$2:$B$755,$A4961)&gt;0,1,0))</f>
        <v>0</v>
      </c>
      <c r="O4961" s="16">
        <f>IF($A4961&lt;Notes!$B$5,"",IF(COUNTIFS(Release_Calendar!$A$2:$A$755,"NZ_LABOUR",Release_Calendar!$B$2:$B$755,$A4961)&gt;0,1,0))</f>
        <v>0</v>
      </c>
      <c r="P4961" s="16">
        <f t="shared" si="4"/>
        <v>1</v>
      </c>
    </row>
    <row r="4962" ht="15.75" customHeight="1">
      <c r="A4962" s="14">
        <v>43472.0</v>
      </c>
      <c r="B4962" s="15">
        <v>2.53</v>
      </c>
      <c r="C4962" s="15">
        <v>1.95</v>
      </c>
      <c r="D4962" s="15"/>
      <c r="E4962" s="15">
        <v>1.69</v>
      </c>
      <c r="F4962" s="15">
        <f t="shared" si="1"/>
        <v>-0.58</v>
      </c>
      <c r="G4962" s="15">
        <f t="shared" si="2"/>
        <v>1.95</v>
      </c>
      <c r="H4962" s="16">
        <v>0.0</v>
      </c>
      <c r="I4962" s="15">
        <f t="shared" si="3"/>
        <v>-0.58</v>
      </c>
      <c r="J4962" s="15">
        <v>21.4</v>
      </c>
      <c r="K4962" s="16">
        <f>IF(COUNTIFS(Release_Calendar!$A$2:$A$755,"US_CPI",Release_Calendar!$B$2:$B$755,$A4962)&gt;0,1,0)</f>
        <v>0</v>
      </c>
      <c r="L4962" s="16">
        <f>IF(COUNTIFS(Release_Calendar!$A$2:$A$755,"US_NFP",Release_Calendar!$B$2:$B$755,$A4962)&gt;0,1,0)</f>
        <v>0</v>
      </c>
      <c r="M4962" s="16">
        <f>IF($A4962&lt;Notes!$B$5,"",IF(COUNTIFS(Release_Calendar!$A$2:$A$755,"NZ_CPI",Release_Calendar!$B$2:$B$755,$A4962)&gt;0,1,0))</f>
        <v>0</v>
      </c>
      <c r="N4962" s="16">
        <f>IF($A4962&lt;Notes!$B$5,"",IF(COUNTIFS(Release_Calendar!$A$2:$A$755,"NZ_GDP",Release_Calendar!$B$2:$B$755,$A4962)&gt;0,1,0))</f>
        <v>0</v>
      </c>
      <c r="O4962" s="16">
        <f>IF($A4962&lt;Notes!$B$5,"",IF(COUNTIFS(Release_Calendar!$A$2:$A$755,"NZ_LABOUR",Release_Calendar!$B$2:$B$755,$A4962)&gt;0,1,0))</f>
        <v>0</v>
      </c>
      <c r="P4962" s="16">
        <f t="shared" si="4"/>
        <v>0</v>
      </c>
    </row>
    <row r="4963" ht="15.75" customHeight="1">
      <c r="A4963" s="14">
        <v>43473.0</v>
      </c>
      <c r="B4963" s="15">
        <v>2.58</v>
      </c>
      <c r="C4963" s="15">
        <v>1.95</v>
      </c>
      <c r="D4963" s="15"/>
      <c r="E4963" s="15">
        <v>1.7</v>
      </c>
      <c r="F4963" s="15">
        <f t="shared" si="1"/>
        <v>-0.63</v>
      </c>
      <c r="G4963" s="15">
        <f t="shared" si="2"/>
        <v>1.95</v>
      </c>
      <c r="H4963" s="16">
        <v>0.0</v>
      </c>
      <c r="I4963" s="15">
        <f t="shared" si="3"/>
        <v>-0.63</v>
      </c>
      <c r="J4963" s="15">
        <v>20.47</v>
      </c>
      <c r="K4963" s="16">
        <f>IF(COUNTIFS(Release_Calendar!$A$2:$A$755,"US_CPI",Release_Calendar!$B$2:$B$755,$A4963)&gt;0,1,0)</f>
        <v>0</v>
      </c>
      <c r="L4963" s="16">
        <f>IF(COUNTIFS(Release_Calendar!$A$2:$A$755,"US_NFP",Release_Calendar!$B$2:$B$755,$A4963)&gt;0,1,0)</f>
        <v>0</v>
      </c>
      <c r="M4963" s="16">
        <f>IF($A4963&lt;Notes!$B$5,"",IF(COUNTIFS(Release_Calendar!$A$2:$A$755,"NZ_CPI",Release_Calendar!$B$2:$B$755,$A4963)&gt;0,1,0))</f>
        <v>0</v>
      </c>
      <c r="N4963" s="16">
        <f>IF($A4963&lt;Notes!$B$5,"",IF(COUNTIFS(Release_Calendar!$A$2:$A$755,"NZ_GDP",Release_Calendar!$B$2:$B$755,$A4963)&gt;0,1,0))</f>
        <v>0</v>
      </c>
      <c r="O4963" s="16">
        <f>IF($A4963&lt;Notes!$B$5,"",IF(COUNTIFS(Release_Calendar!$A$2:$A$755,"NZ_LABOUR",Release_Calendar!$B$2:$B$755,$A4963)&gt;0,1,0))</f>
        <v>0</v>
      </c>
      <c r="P4963" s="16">
        <f t="shared" si="4"/>
        <v>0</v>
      </c>
    </row>
    <row r="4964" ht="15.75" customHeight="1">
      <c r="A4964" s="14">
        <v>43474.0</v>
      </c>
      <c r="B4964" s="15">
        <v>2.56</v>
      </c>
      <c r="C4964" s="15">
        <v>1.95</v>
      </c>
      <c r="D4964" s="15"/>
      <c r="E4964" s="15">
        <v>1.7</v>
      </c>
      <c r="F4964" s="15">
        <f t="shared" si="1"/>
        <v>-0.61</v>
      </c>
      <c r="G4964" s="15">
        <f t="shared" si="2"/>
        <v>1.95</v>
      </c>
      <c r="H4964" s="16">
        <v>0.0</v>
      </c>
      <c r="I4964" s="15">
        <f t="shared" si="3"/>
        <v>-0.61</v>
      </c>
      <c r="J4964" s="15">
        <v>19.98</v>
      </c>
      <c r="K4964" s="16">
        <f>IF(COUNTIFS(Release_Calendar!$A$2:$A$755,"US_CPI",Release_Calendar!$B$2:$B$755,$A4964)&gt;0,1,0)</f>
        <v>0</v>
      </c>
      <c r="L4964" s="16">
        <f>IF(COUNTIFS(Release_Calendar!$A$2:$A$755,"US_NFP",Release_Calendar!$B$2:$B$755,$A4964)&gt;0,1,0)</f>
        <v>0</v>
      </c>
      <c r="M4964" s="16">
        <f>IF($A4964&lt;Notes!$B$5,"",IF(COUNTIFS(Release_Calendar!$A$2:$A$755,"NZ_CPI",Release_Calendar!$B$2:$B$755,$A4964)&gt;0,1,0))</f>
        <v>0</v>
      </c>
      <c r="N4964" s="16">
        <f>IF($A4964&lt;Notes!$B$5,"",IF(COUNTIFS(Release_Calendar!$A$2:$A$755,"NZ_GDP",Release_Calendar!$B$2:$B$755,$A4964)&gt;0,1,0))</f>
        <v>0</v>
      </c>
      <c r="O4964" s="16">
        <f>IF($A4964&lt;Notes!$B$5,"",IF(COUNTIFS(Release_Calendar!$A$2:$A$755,"NZ_LABOUR",Release_Calendar!$B$2:$B$755,$A4964)&gt;0,1,0))</f>
        <v>0</v>
      </c>
      <c r="P4964" s="16">
        <f t="shared" si="4"/>
        <v>0</v>
      </c>
    </row>
    <row r="4965" ht="15.75" customHeight="1">
      <c r="A4965" s="14">
        <v>43475.0</v>
      </c>
      <c r="B4965" s="15">
        <v>2.56</v>
      </c>
      <c r="C4965" s="15">
        <v>1.92</v>
      </c>
      <c r="D4965" s="15"/>
      <c r="E4965" s="15">
        <v>1.67</v>
      </c>
      <c r="F4965" s="15">
        <f t="shared" si="1"/>
        <v>-0.64</v>
      </c>
      <c r="G4965" s="15">
        <f t="shared" si="2"/>
        <v>1.92</v>
      </c>
      <c r="H4965" s="16">
        <v>0.0</v>
      </c>
      <c r="I4965" s="15">
        <f t="shared" si="3"/>
        <v>-0.64</v>
      </c>
      <c r="J4965" s="15">
        <v>19.5</v>
      </c>
      <c r="K4965" s="16">
        <f>IF(COUNTIFS(Release_Calendar!$A$2:$A$755,"US_CPI",Release_Calendar!$B$2:$B$755,$A4965)&gt;0,1,0)</f>
        <v>0</v>
      </c>
      <c r="L4965" s="16">
        <f>IF(COUNTIFS(Release_Calendar!$A$2:$A$755,"US_NFP",Release_Calendar!$B$2:$B$755,$A4965)&gt;0,1,0)</f>
        <v>0</v>
      </c>
      <c r="M4965" s="16">
        <f>IF($A4965&lt;Notes!$B$5,"",IF(COUNTIFS(Release_Calendar!$A$2:$A$755,"NZ_CPI",Release_Calendar!$B$2:$B$755,$A4965)&gt;0,1,0))</f>
        <v>0</v>
      </c>
      <c r="N4965" s="16">
        <f>IF($A4965&lt;Notes!$B$5,"",IF(COUNTIFS(Release_Calendar!$A$2:$A$755,"NZ_GDP",Release_Calendar!$B$2:$B$755,$A4965)&gt;0,1,0))</f>
        <v>0</v>
      </c>
      <c r="O4965" s="16">
        <f>IF($A4965&lt;Notes!$B$5,"",IF(COUNTIFS(Release_Calendar!$A$2:$A$755,"NZ_LABOUR",Release_Calendar!$B$2:$B$755,$A4965)&gt;0,1,0))</f>
        <v>0</v>
      </c>
      <c r="P4965" s="16">
        <f t="shared" si="4"/>
        <v>0</v>
      </c>
    </row>
    <row r="4966" ht="15.75" customHeight="1">
      <c r="A4966" s="14">
        <v>43476.0</v>
      </c>
      <c r="B4966" s="15">
        <v>2.55</v>
      </c>
      <c r="C4966" s="15">
        <v>1.93</v>
      </c>
      <c r="D4966" s="15"/>
      <c r="E4966" s="15">
        <v>1.68</v>
      </c>
      <c r="F4966" s="15">
        <f t="shared" si="1"/>
        <v>-0.62</v>
      </c>
      <c r="G4966" s="15">
        <f t="shared" si="2"/>
        <v>1.93</v>
      </c>
      <c r="H4966" s="16">
        <v>0.0</v>
      </c>
      <c r="I4966" s="15">
        <f t="shared" si="3"/>
        <v>-0.62</v>
      </c>
      <c r="J4966" s="15">
        <v>18.19</v>
      </c>
      <c r="K4966" s="16">
        <f>IF(COUNTIFS(Release_Calendar!$A$2:$A$755,"US_CPI",Release_Calendar!$B$2:$B$755,$A4966)&gt;0,1,0)</f>
        <v>1</v>
      </c>
      <c r="L4966" s="16">
        <f>IF(COUNTIFS(Release_Calendar!$A$2:$A$755,"US_NFP",Release_Calendar!$B$2:$B$755,$A4966)&gt;0,1,0)</f>
        <v>0</v>
      </c>
      <c r="M4966" s="16">
        <f>IF($A4966&lt;Notes!$B$5,"",IF(COUNTIFS(Release_Calendar!$A$2:$A$755,"NZ_CPI",Release_Calendar!$B$2:$B$755,$A4966)&gt;0,1,0))</f>
        <v>0</v>
      </c>
      <c r="N4966" s="16">
        <f>IF($A4966&lt;Notes!$B$5,"",IF(COUNTIFS(Release_Calendar!$A$2:$A$755,"NZ_GDP",Release_Calendar!$B$2:$B$755,$A4966)&gt;0,1,0))</f>
        <v>0</v>
      </c>
      <c r="O4966" s="16">
        <f>IF($A4966&lt;Notes!$B$5,"",IF(COUNTIFS(Release_Calendar!$A$2:$A$755,"NZ_LABOUR",Release_Calendar!$B$2:$B$755,$A4966)&gt;0,1,0))</f>
        <v>0</v>
      </c>
      <c r="P4966" s="16">
        <f t="shared" si="4"/>
        <v>1</v>
      </c>
    </row>
    <row r="4967" ht="15.75" customHeight="1">
      <c r="A4967" s="14">
        <v>43479.0</v>
      </c>
      <c r="B4967" s="15">
        <v>2.53</v>
      </c>
      <c r="C4967" s="15">
        <v>1.9</v>
      </c>
      <c r="D4967" s="15"/>
      <c r="E4967" s="15">
        <v>1.66</v>
      </c>
      <c r="F4967" s="15">
        <f t="shared" si="1"/>
        <v>-0.63</v>
      </c>
      <c r="G4967" s="15">
        <f t="shared" si="2"/>
        <v>1.9</v>
      </c>
      <c r="H4967" s="16">
        <v>0.0</v>
      </c>
      <c r="I4967" s="15">
        <f t="shared" si="3"/>
        <v>-0.63</v>
      </c>
      <c r="J4967" s="15">
        <v>19.07</v>
      </c>
      <c r="K4967" s="16">
        <f>IF(COUNTIFS(Release_Calendar!$A$2:$A$755,"US_CPI",Release_Calendar!$B$2:$B$755,$A4967)&gt;0,1,0)</f>
        <v>0</v>
      </c>
      <c r="L4967" s="16">
        <f>IF(COUNTIFS(Release_Calendar!$A$2:$A$755,"US_NFP",Release_Calendar!$B$2:$B$755,$A4967)&gt;0,1,0)</f>
        <v>0</v>
      </c>
      <c r="M4967" s="16">
        <f>IF($A4967&lt;Notes!$B$5,"",IF(COUNTIFS(Release_Calendar!$A$2:$A$755,"NZ_CPI",Release_Calendar!$B$2:$B$755,$A4967)&gt;0,1,0))</f>
        <v>0</v>
      </c>
      <c r="N4967" s="16">
        <f>IF($A4967&lt;Notes!$B$5,"",IF(COUNTIFS(Release_Calendar!$A$2:$A$755,"NZ_GDP",Release_Calendar!$B$2:$B$755,$A4967)&gt;0,1,0))</f>
        <v>0</v>
      </c>
      <c r="O4967" s="16">
        <f>IF($A4967&lt;Notes!$B$5,"",IF(COUNTIFS(Release_Calendar!$A$2:$A$755,"NZ_LABOUR",Release_Calendar!$B$2:$B$755,$A4967)&gt;0,1,0))</f>
        <v>0</v>
      </c>
      <c r="P4967" s="16">
        <f t="shared" si="4"/>
        <v>0</v>
      </c>
    </row>
    <row r="4968" ht="15.75" customHeight="1">
      <c r="A4968" s="14">
        <v>43480.0</v>
      </c>
      <c r="B4968" s="15">
        <v>2.53</v>
      </c>
      <c r="C4968" s="15">
        <v>1.89</v>
      </c>
      <c r="D4968" s="15"/>
      <c r="E4968" s="15">
        <v>1.67</v>
      </c>
      <c r="F4968" s="15">
        <f t="shared" si="1"/>
        <v>-0.64</v>
      </c>
      <c r="G4968" s="15">
        <f t="shared" si="2"/>
        <v>1.89</v>
      </c>
      <c r="H4968" s="16">
        <v>0.0</v>
      </c>
      <c r="I4968" s="15">
        <f t="shared" si="3"/>
        <v>-0.64</v>
      </c>
      <c r="J4968" s="15">
        <v>18.6</v>
      </c>
      <c r="K4968" s="16">
        <f>IF(COUNTIFS(Release_Calendar!$A$2:$A$755,"US_CPI",Release_Calendar!$B$2:$B$755,$A4968)&gt;0,1,0)</f>
        <v>0</v>
      </c>
      <c r="L4968" s="16">
        <f>IF(COUNTIFS(Release_Calendar!$A$2:$A$755,"US_NFP",Release_Calendar!$B$2:$B$755,$A4968)&gt;0,1,0)</f>
        <v>0</v>
      </c>
      <c r="M4968" s="16">
        <f>IF($A4968&lt;Notes!$B$5,"",IF(COUNTIFS(Release_Calendar!$A$2:$A$755,"NZ_CPI",Release_Calendar!$B$2:$B$755,$A4968)&gt;0,1,0))</f>
        <v>0</v>
      </c>
      <c r="N4968" s="16">
        <f>IF($A4968&lt;Notes!$B$5,"",IF(COUNTIFS(Release_Calendar!$A$2:$A$755,"NZ_GDP",Release_Calendar!$B$2:$B$755,$A4968)&gt;0,1,0))</f>
        <v>0</v>
      </c>
      <c r="O4968" s="16">
        <f>IF($A4968&lt;Notes!$B$5,"",IF(COUNTIFS(Release_Calendar!$A$2:$A$755,"NZ_LABOUR",Release_Calendar!$B$2:$B$755,$A4968)&gt;0,1,0))</f>
        <v>0</v>
      </c>
      <c r="P4968" s="16">
        <f t="shared" si="4"/>
        <v>0</v>
      </c>
    </row>
    <row r="4969" ht="15.75" customHeight="1">
      <c r="A4969" s="14">
        <v>43481.0</v>
      </c>
      <c r="B4969" s="15">
        <v>2.55</v>
      </c>
      <c r="C4969" s="15">
        <v>1.86</v>
      </c>
      <c r="D4969" s="15"/>
      <c r="E4969" s="15">
        <v>1.66</v>
      </c>
      <c r="F4969" s="15">
        <f t="shared" si="1"/>
        <v>-0.69</v>
      </c>
      <c r="G4969" s="15">
        <f t="shared" si="2"/>
        <v>1.86</v>
      </c>
      <c r="H4969" s="16">
        <v>0.0</v>
      </c>
      <c r="I4969" s="15">
        <f t="shared" si="3"/>
        <v>-0.69</v>
      </c>
      <c r="J4969" s="15">
        <v>19.04</v>
      </c>
      <c r="K4969" s="16">
        <f>IF(COUNTIFS(Release_Calendar!$A$2:$A$755,"US_CPI",Release_Calendar!$B$2:$B$755,$A4969)&gt;0,1,0)</f>
        <v>0</v>
      </c>
      <c r="L4969" s="16">
        <f>IF(COUNTIFS(Release_Calendar!$A$2:$A$755,"US_NFP",Release_Calendar!$B$2:$B$755,$A4969)&gt;0,1,0)</f>
        <v>0</v>
      </c>
      <c r="M4969" s="16">
        <f>IF($A4969&lt;Notes!$B$5,"",IF(COUNTIFS(Release_Calendar!$A$2:$A$755,"NZ_CPI",Release_Calendar!$B$2:$B$755,$A4969)&gt;0,1,0))</f>
        <v>0</v>
      </c>
      <c r="N4969" s="16">
        <f>IF($A4969&lt;Notes!$B$5,"",IF(COUNTIFS(Release_Calendar!$A$2:$A$755,"NZ_GDP",Release_Calendar!$B$2:$B$755,$A4969)&gt;0,1,0))</f>
        <v>0</v>
      </c>
      <c r="O4969" s="16">
        <f>IF($A4969&lt;Notes!$B$5,"",IF(COUNTIFS(Release_Calendar!$A$2:$A$755,"NZ_LABOUR",Release_Calendar!$B$2:$B$755,$A4969)&gt;0,1,0))</f>
        <v>0</v>
      </c>
      <c r="P4969" s="16">
        <f t="shared" si="4"/>
        <v>0</v>
      </c>
    </row>
    <row r="4970" ht="15.75" customHeight="1">
      <c r="A4970" s="14">
        <v>43482.0</v>
      </c>
      <c r="B4970" s="15">
        <v>2.56</v>
      </c>
      <c r="C4970" s="15">
        <v>1.88</v>
      </c>
      <c r="D4970" s="15"/>
      <c r="E4970" s="15">
        <v>1.66</v>
      </c>
      <c r="F4970" s="15">
        <f t="shared" si="1"/>
        <v>-0.68</v>
      </c>
      <c r="G4970" s="15">
        <f t="shared" si="2"/>
        <v>1.88</v>
      </c>
      <c r="H4970" s="16">
        <v>0.0</v>
      </c>
      <c r="I4970" s="15">
        <f t="shared" si="3"/>
        <v>-0.68</v>
      </c>
      <c r="J4970" s="15">
        <v>18.06</v>
      </c>
      <c r="K4970" s="16">
        <f>IF(COUNTIFS(Release_Calendar!$A$2:$A$755,"US_CPI",Release_Calendar!$B$2:$B$755,$A4970)&gt;0,1,0)</f>
        <v>0</v>
      </c>
      <c r="L4970" s="16">
        <f>IF(COUNTIFS(Release_Calendar!$A$2:$A$755,"US_NFP",Release_Calendar!$B$2:$B$755,$A4970)&gt;0,1,0)</f>
        <v>0</v>
      </c>
      <c r="M4970" s="16">
        <f>IF($A4970&lt;Notes!$B$5,"",IF(COUNTIFS(Release_Calendar!$A$2:$A$755,"NZ_CPI",Release_Calendar!$B$2:$B$755,$A4970)&gt;0,1,0))</f>
        <v>0</v>
      </c>
      <c r="N4970" s="16">
        <f>IF($A4970&lt;Notes!$B$5,"",IF(COUNTIFS(Release_Calendar!$A$2:$A$755,"NZ_GDP",Release_Calendar!$B$2:$B$755,$A4970)&gt;0,1,0))</f>
        <v>0</v>
      </c>
      <c r="O4970" s="16">
        <f>IF($A4970&lt;Notes!$B$5,"",IF(COUNTIFS(Release_Calendar!$A$2:$A$755,"NZ_LABOUR",Release_Calendar!$B$2:$B$755,$A4970)&gt;0,1,0))</f>
        <v>0</v>
      </c>
      <c r="P4970" s="16">
        <f t="shared" si="4"/>
        <v>0</v>
      </c>
    </row>
    <row r="4971" ht="15.75" customHeight="1">
      <c r="A4971" s="14">
        <v>43483.0</v>
      </c>
      <c r="B4971" s="15">
        <v>2.62</v>
      </c>
      <c r="C4971" s="15">
        <v>1.91</v>
      </c>
      <c r="D4971" s="15"/>
      <c r="E4971" s="15">
        <v>1.69</v>
      </c>
      <c r="F4971" s="15">
        <f t="shared" si="1"/>
        <v>-0.71</v>
      </c>
      <c r="G4971" s="15">
        <f t="shared" si="2"/>
        <v>1.91</v>
      </c>
      <c r="H4971" s="16">
        <v>0.0</v>
      </c>
      <c r="I4971" s="15">
        <f t="shared" si="3"/>
        <v>-0.71</v>
      </c>
      <c r="J4971" s="15">
        <v>17.8</v>
      </c>
      <c r="K4971" s="16">
        <f>IF(COUNTIFS(Release_Calendar!$A$2:$A$755,"US_CPI",Release_Calendar!$B$2:$B$755,$A4971)&gt;0,1,0)</f>
        <v>0</v>
      </c>
      <c r="L4971" s="16">
        <f>IF(COUNTIFS(Release_Calendar!$A$2:$A$755,"US_NFP",Release_Calendar!$B$2:$B$755,$A4971)&gt;0,1,0)</f>
        <v>0</v>
      </c>
      <c r="M4971" s="16">
        <f>IF($A4971&lt;Notes!$B$5,"",IF(COUNTIFS(Release_Calendar!$A$2:$A$755,"NZ_CPI",Release_Calendar!$B$2:$B$755,$A4971)&gt;0,1,0))</f>
        <v>0</v>
      </c>
      <c r="N4971" s="16">
        <f>IF($A4971&lt;Notes!$B$5,"",IF(COUNTIFS(Release_Calendar!$A$2:$A$755,"NZ_GDP",Release_Calendar!$B$2:$B$755,$A4971)&gt;0,1,0))</f>
        <v>0</v>
      </c>
      <c r="O4971" s="16">
        <f>IF($A4971&lt;Notes!$B$5,"",IF(COUNTIFS(Release_Calendar!$A$2:$A$755,"NZ_LABOUR",Release_Calendar!$B$2:$B$755,$A4971)&gt;0,1,0))</f>
        <v>0</v>
      </c>
      <c r="P4971" s="16">
        <f t="shared" si="4"/>
        <v>0</v>
      </c>
    </row>
    <row r="4972" ht="15.75" customHeight="1">
      <c r="A4972" s="14">
        <v>43486.0</v>
      </c>
      <c r="B4972" s="15"/>
      <c r="C4972" s="15">
        <v>1.91</v>
      </c>
      <c r="D4972" s="15"/>
      <c r="E4972" s="15">
        <v>1.69</v>
      </c>
      <c r="F4972" s="15" t="str">
        <f t="shared" si="1"/>
        <v/>
      </c>
      <c r="G4972" s="15">
        <f t="shared" si="2"/>
        <v>1.91</v>
      </c>
      <c r="H4972" s="16">
        <v>0.0</v>
      </c>
      <c r="I4972" s="15" t="str">
        <f t="shared" si="3"/>
        <v/>
      </c>
      <c r="J4972" s="15"/>
      <c r="K4972" s="16">
        <f>IF(COUNTIFS(Release_Calendar!$A$2:$A$755,"US_CPI",Release_Calendar!$B$2:$B$755,$A4972)&gt;0,1,0)</f>
        <v>0</v>
      </c>
      <c r="L4972" s="16">
        <f>IF(COUNTIFS(Release_Calendar!$A$2:$A$755,"US_NFP",Release_Calendar!$B$2:$B$755,$A4972)&gt;0,1,0)</f>
        <v>0</v>
      </c>
      <c r="M4972" s="16">
        <f>IF($A4972&lt;Notes!$B$5,"",IF(COUNTIFS(Release_Calendar!$A$2:$A$755,"NZ_CPI",Release_Calendar!$B$2:$B$755,$A4972)&gt;0,1,0))</f>
        <v>0</v>
      </c>
      <c r="N4972" s="16">
        <f>IF($A4972&lt;Notes!$B$5,"",IF(COUNTIFS(Release_Calendar!$A$2:$A$755,"NZ_GDP",Release_Calendar!$B$2:$B$755,$A4972)&gt;0,1,0))</f>
        <v>0</v>
      </c>
      <c r="O4972" s="16">
        <f>IF($A4972&lt;Notes!$B$5,"",IF(COUNTIFS(Release_Calendar!$A$2:$A$755,"NZ_LABOUR",Release_Calendar!$B$2:$B$755,$A4972)&gt;0,1,0))</f>
        <v>0</v>
      </c>
      <c r="P4972" s="16">
        <f t="shared" si="4"/>
        <v>0</v>
      </c>
    </row>
    <row r="4973" ht="15.75" customHeight="1">
      <c r="A4973" s="14">
        <v>43487.0</v>
      </c>
      <c r="B4973" s="15">
        <v>2.58</v>
      </c>
      <c r="C4973" s="15">
        <v>1.91</v>
      </c>
      <c r="D4973" s="15"/>
      <c r="E4973" s="15">
        <v>1.69</v>
      </c>
      <c r="F4973" s="15">
        <f t="shared" si="1"/>
        <v>-0.67</v>
      </c>
      <c r="G4973" s="15">
        <f t="shared" si="2"/>
        <v>1.91</v>
      </c>
      <c r="H4973" s="16">
        <v>0.0</v>
      </c>
      <c r="I4973" s="15">
        <f t="shared" si="3"/>
        <v>-0.67</v>
      </c>
      <c r="J4973" s="15">
        <v>20.8</v>
      </c>
      <c r="K4973" s="16">
        <f>IF(COUNTIFS(Release_Calendar!$A$2:$A$755,"US_CPI",Release_Calendar!$B$2:$B$755,$A4973)&gt;0,1,0)</f>
        <v>0</v>
      </c>
      <c r="L4973" s="16">
        <f>IF(COUNTIFS(Release_Calendar!$A$2:$A$755,"US_NFP",Release_Calendar!$B$2:$B$755,$A4973)&gt;0,1,0)</f>
        <v>0</v>
      </c>
      <c r="M4973" s="16">
        <f>IF($A4973&lt;Notes!$B$5,"",IF(COUNTIFS(Release_Calendar!$A$2:$A$755,"NZ_CPI",Release_Calendar!$B$2:$B$755,$A4973)&gt;0,1,0))</f>
        <v>0</v>
      </c>
      <c r="N4973" s="16">
        <f>IF($A4973&lt;Notes!$B$5,"",IF(COUNTIFS(Release_Calendar!$A$2:$A$755,"NZ_GDP",Release_Calendar!$B$2:$B$755,$A4973)&gt;0,1,0))</f>
        <v>0</v>
      </c>
      <c r="O4973" s="16">
        <f>IF($A4973&lt;Notes!$B$5,"",IF(COUNTIFS(Release_Calendar!$A$2:$A$755,"NZ_LABOUR",Release_Calendar!$B$2:$B$755,$A4973)&gt;0,1,0))</f>
        <v>0</v>
      </c>
      <c r="P4973" s="16">
        <f t="shared" si="4"/>
        <v>0</v>
      </c>
    </row>
    <row r="4974" ht="15.75" customHeight="1">
      <c r="A4974" s="14">
        <v>43488.0</v>
      </c>
      <c r="B4974" s="15">
        <v>2.58</v>
      </c>
      <c r="C4974" s="15">
        <v>1.93</v>
      </c>
      <c r="D4974" s="15"/>
      <c r="E4974" s="15">
        <v>1.71</v>
      </c>
      <c r="F4974" s="15">
        <f t="shared" si="1"/>
        <v>-0.65</v>
      </c>
      <c r="G4974" s="15">
        <f t="shared" si="2"/>
        <v>1.93</v>
      </c>
      <c r="H4974" s="16">
        <v>0.0</v>
      </c>
      <c r="I4974" s="15">
        <f t="shared" si="3"/>
        <v>-0.65</v>
      </c>
      <c r="J4974" s="15">
        <v>19.52</v>
      </c>
      <c r="K4974" s="16">
        <f>IF(COUNTIFS(Release_Calendar!$A$2:$A$755,"US_CPI",Release_Calendar!$B$2:$B$755,$A4974)&gt;0,1,0)</f>
        <v>0</v>
      </c>
      <c r="L4974" s="16">
        <f>IF(COUNTIFS(Release_Calendar!$A$2:$A$755,"US_NFP",Release_Calendar!$B$2:$B$755,$A4974)&gt;0,1,0)</f>
        <v>0</v>
      </c>
      <c r="M4974" s="16">
        <f>IF($A4974&lt;Notes!$B$5,"",IF(COUNTIFS(Release_Calendar!$A$2:$A$755,"NZ_CPI",Release_Calendar!$B$2:$B$755,$A4974)&gt;0,1,0))</f>
        <v>1</v>
      </c>
      <c r="N4974" s="16">
        <f>IF($A4974&lt;Notes!$B$5,"",IF(COUNTIFS(Release_Calendar!$A$2:$A$755,"NZ_GDP",Release_Calendar!$B$2:$B$755,$A4974)&gt;0,1,0))</f>
        <v>0</v>
      </c>
      <c r="O4974" s="16">
        <f>IF($A4974&lt;Notes!$B$5,"",IF(COUNTIFS(Release_Calendar!$A$2:$A$755,"NZ_LABOUR",Release_Calendar!$B$2:$B$755,$A4974)&gt;0,1,0))</f>
        <v>0</v>
      </c>
      <c r="P4974" s="16">
        <f t="shared" si="4"/>
        <v>1</v>
      </c>
    </row>
    <row r="4975" ht="15.75" customHeight="1">
      <c r="A4975" s="14">
        <v>43489.0</v>
      </c>
      <c r="B4975" s="15">
        <v>2.56</v>
      </c>
      <c r="C4975" s="15">
        <v>1.92</v>
      </c>
      <c r="D4975" s="15"/>
      <c r="E4975" s="15">
        <v>1.71</v>
      </c>
      <c r="F4975" s="15">
        <f t="shared" si="1"/>
        <v>-0.64</v>
      </c>
      <c r="G4975" s="15">
        <f t="shared" si="2"/>
        <v>1.92</v>
      </c>
      <c r="H4975" s="16">
        <v>0.0</v>
      </c>
      <c r="I4975" s="15">
        <f t="shared" si="3"/>
        <v>-0.64</v>
      </c>
      <c r="J4975" s="15">
        <v>18.89</v>
      </c>
      <c r="K4975" s="16">
        <f>IF(COUNTIFS(Release_Calendar!$A$2:$A$755,"US_CPI",Release_Calendar!$B$2:$B$755,$A4975)&gt;0,1,0)</f>
        <v>0</v>
      </c>
      <c r="L4975" s="16">
        <f>IF(COUNTIFS(Release_Calendar!$A$2:$A$755,"US_NFP",Release_Calendar!$B$2:$B$755,$A4975)&gt;0,1,0)</f>
        <v>0</v>
      </c>
      <c r="M4975" s="16">
        <f>IF($A4975&lt;Notes!$B$5,"",IF(COUNTIFS(Release_Calendar!$A$2:$A$755,"NZ_CPI",Release_Calendar!$B$2:$B$755,$A4975)&gt;0,1,0))</f>
        <v>0</v>
      </c>
      <c r="N4975" s="16">
        <f>IF($A4975&lt;Notes!$B$5,"",IF(COUNTIFS(Release_Calendar!$A$2:$A$755,"NZ_GDP",Release_Calendar!$B$2:$B$755,$A4975)&gt;0,1,0))</f>
        <v>0</v>
      </c>
      <c r="O4975" s="16">
        <f>IF($A4975&lt;Notes!$B$5,"",IF(COUNTIFS(Release_Calendar!$A$2:$A$755,"NZ_LABOUR",Release_Calendar!$B$2:$B$755,$A4975)&gt;0,1,0))</f>
        <v>0</v>
      </c>
      <c r="P4975" s="16">
        <f t="shared" si="4"/>
        <v>0</v>
      </c>
    </row>
    <row r="4976" ht="15.75" customHeight="1">
      <c r="A4976" s="14">
        <v>43490.0</v>
      </c>
      <c r="B4976" s="15">
        <v>2.6</v>
      </c>
      <c r="C4976" s="15">
        <v>1.9</v>
      </c>
      <c r="D4976" s="15"/>
      <c r="E4976" s="15">
        <v>1.7</v>
      </c>
      <c r="F4976" s="15">
        <f t="shared" si="1"/>
        <v>-0.7</v>
      </c>
      <c r="G4976" s="15">
        <f t="shared" si="2"/>
        <v>1.9</v>
      </c>
      <c r="H4976" s="16">
        <v>0.0</v>
      </c>
      <c r="I4976" s="15">
        <f t="shared" si="3"/>
        <v>-0.7</v>
      </c>
      <c r="J4976" s="15">
        <v>17.42</v>
      </c>
      <c r="K4976" s="16">
        <f>IF(COUNTIFS(Release_Calendar!$A$2:$A$755,"US_CPI",Release_Calendar!$B$2:$B$755,$A4976)&gt;0,1,0)</f>
        <v>0</v>
      </c>
      <c r="L4976" s="16">
        <f>IF(COUNTIFS(Release_Calendar!$A$2:$A$755,"US_NFP",Release_Calendar!$B$2:$B$755,$A4976)&gt;0,1,0)</f>
        <v>0</v>
      </c>
      <c r="M4976" s="16">
        <f>IF($A4976&lt;Notes!$B$5,"",IF(COUNTIFS(Release_Calendar!$A$2:$A$755,"NZ_CPI",Release_Calendar!$B$2:$B$755,$A4976)&gt;0,1,0))</f>
        <v>0</v>
      </c>
      <c r="N4976" s="16">
        <f>IF($A4976&lt;Notes!$B$5,"",IF(COUNTIFS(Release_Calendar!$A$2:$A$755,"NZ_GDP",Release_Calendar!$B$2:$B$755,$A4976)&gt;0,1,0))</f>
        <v>0</v>
      </c>
      <c r="O4976" s="16">
        <f>IF($A4976&lt;Notes!$B$5,"",IF(COUNTIFS(Release_Calendar!$A$2:$A$755,"NZ_LABOUR",Release_Calendar!$B$2:$B$755,$A4976)&gt;0,1,0))</f>
        <v>0</v>
      </c>
      <c r="P4976" s="16">
        <f t="shared" si="4"/>
        <v>0</v>
      </c>
    </row>
    <row r="4977" ht="15.75" customHeight="1">
      <c r="A4977" s="14">
        <v>43493.0</v>
      </c>
      <c r="B4977" s="15">
        <v>2.6</v>
      </c>
      <c r="C4977" s="15">
        <v>1.9</v>
      </c>
      <c r="D4977" s="15"/>
      <c r="E4977" s="15">
        <v>1.7</v>
      </c>
      <c r="F4977" s="15">
        <f t="shared" si="1"/>
        <v>-0.7</v>
      </c>
      <c r="G4977" s="15">
        <f t="shared" si="2"/>
        <v>1.9</v>
      </c>
      <c r="H4977" s="16">
        <v>0.0</v>
      </c>
      <c r="I4977" s="15">
        <f t="shared" si="3"/>
        <v>-0.7</v>
      </c>
      <c r="J4977" s="15">
        <v>18.87</v>
      </c>
      <c r="K4977" s="16">
        <f>IF(COUNTIFS(Release_Calendar!$A$2:$A$755,"US_CPI",Release_Calendar!$B$2:$B$755,$A4977)&gt;0,1,0)</f>
        <v>0</v>
      </c>
      <c r="L4977" s="16">
        <f>IF(COUNTIFS(Release_Calendar!$A$2:$A$755,"US_NFP",Release_Calendar!$B$2:$B$755,$A4977)&gt;0,1,0)</f>
        <v>0</v>
      </c>
      <c r="M4977" s="16">
        <f>IF($A4977&lt;Notes!$B$5,"",IF(COUNTIFS(Release_Calendar!$A$2:$A$755,"NZ_CPI",Release_Calendar!$B$2:$B$755,$A4977)&gt;0,1,0))</f>
        <v>0</v>
      </c>
      <c r="N4977" s="16">
        <f>IF($A4977&lt;Notes!$B$5,"",IF(COUNTIFS(Release_Calendar!$A$2:$A$755,"NZ_GDP",Release_Calendar!$B$2:$B$755,$A4977)&gt;0,1,0))</f>
        <v>0</v>
      </c>
      <c r="O4977" s="16">
        <f>IF($A4977&lt;Notes!$B$5,"",IF(COUNTIFS(Release_Calendar!$A$2:$A$755,"NZ_LABOUR",Release_Calendar!$B$2:$B$755,$A4977)&gt;0,1,0))</f>
        <v>0</v>
      </c>
      <c r="P4977" s="16">
        <f t="shared" si="4"/>
        <v>0</v>
      </c>
    </row>
    <row r="4978" ht="15.75" customHeight="1">
      <c r="A4978" s="14">
        <v>43494.0</v>
      </c>
      <c r="B4978" s="15">
        <v>2.56</v>
      </c>
      <c r="C4978" s="15">
        <v>1.9</v>
      </c>
      <c r="D4978" s="15"/>
      <c r="E4978" s="15">
        <v>1.72</v>
      </c>
      <c r="F4978" s="15">
        <f t="shared" si="1"/>
        <v>-0.66</v>
      </c>
      <c r="G4978" s="15">
        <f t="shared" si="2"/>
        <v>1.9</v>
      </c>
      <c r="H4978" s="16">
        <v>0.0</v>
      </c>
      <c r="I4978" s="15">
        <f t="shared" si="3"/>
        <v>-0.66</v>
      </c>
      <c r="J4978" s="15">
        <v>19.13</v>
      </c>
      <c r="K4978" s="16">
        <f>IF(COUNTIFS(Release_Calendar!$A$2:$A$755,"US_CPI",Release_Calendar!$B$2:$B$755,$A4978)&gt;0,1,0)</f>
        <v>0</v>
      </c>
      <c r="L4978" s="16">
        <f>IF(COUNTIFS(Release_Calendar!$A$2:$A$755,"US_NFP",Release_Calendar!$B$2:$B$755,$A4978)&gt;0,1,0)</f>
        <v>0</v>
      </c>
      <c r="M4978" s="16">
        <f>IF($A4978&lt;Notes!$B$5,"",IF(COUNTIFS(Release_Calendar!$A$2:$A$755,"NZ_CPI",Release_Calendar!$B$2:$B$755,$A4978)&gt;0,1,0))</f>
        <v>0</v>
      </c>
      <c r="N4978" s="16">
        <f>IF($A4978&lt;Notes!$B$5,"",IF(COUNTIFS(Release_Calendar!$A$2:$A$755,"NZ_GDP",Release_Calendar!$B$2:$B$755,$A4978)&gt;0,1,0))</f>
        <v>0</v>
      </c>
      <c r="O4978" s="16">
        <f>IF($A4978&lt;Notes!$B$5,"",IF(COUNTIFS(Release_Calendar!$A$2:$A$755,"NZ_LABOUR",Release_Calendar!$B$2:$B$755,$A4978)&gt;0,1,0))</f>
        <v>0</v>
      </c>
      <c r="P4978" s="16">
        <f t="shared" si="4"/>
        <v>0</v>
      </c>
    </row>
    <row r="4979" ht="15.75" customHeight="1">
      <c r="A4979" s="14">
        <v>43495.0</v>
      </c>
      <c r="B4979" s="15">
        <v>2.52</v>
      </c>
      <c r="C4979" s="15">
        <v>1.92</v>
      </c>
      <c r="D4979" s="15"/>
      <c r="E4979" s="15">
        <v>1.72</v>
      </c>
      <c r="F4979" s="15">
        <f t="shared" si="1"/>
        <v>-0.6</v>
      </c>
      <c r="G4979" s="15">
        <f t="shared" si="2"/>
        <v>1.92</v>
      </c>
      <c r="H4979" s="16">
        <v>0.0</v>
      </c>
      <c r="I4979" s="15">
        <f t="shared" si="3"/>
        <v>-0.6</v>
      </c>
      <c r="J4979" s="15">
        <v>17.66</v>
      </c>
      <c r="K4979" s="16">
        <f>IF(COUNTIFS(Release_Calendar!$A$2:$A$755,"US_CPI",Release_Calendar!$B$2:$B$755,$A4979)&gt;0,1,0)</f>
        <v>0</v>
      </c>
      <c r="L4979" s="16">
        <f>IF(COUNTIFS(Release_Calendar!$A$2:$A$755,"US_NFP",Release_Calendar!$B$2:$B$755,$A4979)&gt;0,1,0)</f>
        <v>0</v>
      </c>
      <c r="M4979" s="16">
        <f>IF($A4979&lt;Notes!$B$5,"",IF(COUNTIFS(Release_Calendar!$A$2:$A$755,"NZ_CPI",Release_Calendar!$B$2:$B$755,$A4979)&gt;0,1,0))</f>
        <v>0</v>
      </c>
      <c r="N4979" s="16">
        <f>IF($A4979&lt;Notes!$B$5,"",IF(COUNTIFS(Release_Calendar!$A$2:$A$755,"NZ_GDP",Release_Calendar!$B$2:$B$755,$A4979)&gt;0,1,0))</f>
        <v>0</v>
      </c>
      <c r="O4979" s="16">
        <f>IF($A4979&lt;Notes!$B$5,"",IF(COUNTIFS(Release_Calendar!$A$2:$A$755,"NZ_LABOUR",Release_Calendar!$B$2:$B$755,$A4979)&gt;0,1,0))</f>
        <v>0</v>
      </c>
      <c r="P4979" s="16">
        <f t="shared" si="4"/>
        <v>0</v>
      </c>
    </row>
    <row r="4980" ht="15.75" customHeight="1">
      <c r="A4980" s="14">
        <v>43496.0</v>
      </c>
      <c r="B4980" s="15">
        <v>2.45</v>
      </c>
      <c r="C4980" s="15">
        <v>1.91</v>
      </c>
      <c r="D4980" s="15"/>
      <c r="E4980" s="15">
        <v>1.7</v>
      </c>
      <c r="F4980" s="15">
        <f t="shared" si="1"/>
        <v>-0.54</v>
      </c>
      <c r="G4980" s="15">
        <f t="shared" si="2"/>
        <v>1.91</v>
      </c>
      <c r="H4980" s="16">
        <v>0.0</v>
      </c>
      <c r="I4980" s="15">
        <f t="shared" si="3"/>
        <v>-0.54</v>
      </c>
      <c r="J4980" s="15">
        <v>16.57</v>
      </c>
      <c r="K4980" s="16">
        <f>IF(COUNTIFS(Release_Calendar!$A$2:$A$755,"US_CPI",Release_Calendar!$B$2:$B$755,$A4980)&gt;0,1,0)</f>
        <v>0</v>
      </c>
      <c r="L4980" s="16">
        <f>IF(COUNTIFS(Release_Calendar!$A$2:$A$755,"US_NFP",Release_Calendar!$B$2:$B$755,$A4980)&gt;0,1,0)</f>
        <v>0</v>
      </c>
      <c r="M4980" s="16">
        <f>IF($A4980&lt;Notes!$B$5,"",IF(COUNTIFS(Release_Calendar!$A$2:$A$755,"NZ_CPI",Release_Calendar!$B$2:$B$755,$A4980)&gt;0,1,0))</f>
        <v>0</v>
      </c>
      <c r="N4980" s="16">
        <f>IF($A4980&lt;Notes!$B$5,"",IF(COUNTIFS(Release_Calendar!$A$2:$A$755,"NZ_GDP",Release_Calendar!$B$2:$B$755,$A4980)&gt;0,1,0))</f>
        <v>0</v>
      </c>
      <c r="O4980" s="16">
        <f>IF($A4980&lt;Notes!$B$5,"",IF(COUNTIFS(Release_Calendar!$A$2:$A$755,"NZ_LABOUR",Release_Calendar!$B$2:$B$755,$A4980)&gt;0,1,0))</f>
        <v>0</v>
      </c>
      <c r="P4980" s="16">
        <f t="shared" si="4"/>
        <v>0</v>
      </c>
    </row>
    <row r="4981" ht="15.75" customHeight="1">
      <c r="A4981" s="14">
        <v>43497.0</v>
      </c>
      <c r="B4981" s="15">
        <v>2.52</v>
      </c>
      <c r="C4981" s="15">
        <v>1.91</v>
      </c>
      <c r="D4981" s="15"/>
      <c r="E4981" s="15">
        <v>1.69</v>
      </c>
      <c r="F4981" s="15">
        <f t="shared" si="1"/>
        <v>-0.61</v>
      </c>
      <c r="G4981" s="15">
        <f t="shared" si="2"/>
        <v>1.91</v>
      </c>
      <c r="H4981" s="16">
        <v>0.0</v>
      </c>
      <c r="I4981" s="15">
        <f t="shared" si="3"/>
        <v>-0.61</v>
      </c>
      <c r="J4981" s="15">
        <v>16.14</v>
      </c>
      <c r="K4981" s="16">
        <f>IF(COUNTIFS(Release_Calendar!$A$2:$A$755,"US_CPI",Release_Calendar!$B$2:$B$755,$A4981)&gt;0,1,0)</f>
        <v>0</v>
      </c>
      <c r="L4981" s="16">
        <f>IF(COUNTIFS(Release_Calendar!$A$2:$A$755,"US_NFP",Release_Calendar!$B$2:$B$755,$A4981)&gt;0,1,0)</f>
        <v>1</v>
      </c>
      <c r="M4981" s="16">
        <f>IF($A4981&lt;Notes!$B$5,"",IF(COUNTIFS(Release_Calendar!$A$2:$A$755,"NZ_CPI",Release_Calendar!$B$2:$B$755,$A4981)&gt;0,1,0))</f>
        <v>0</v>
      </c>
      <c r="N4981" s="16">
        <f>IF($A4981&lt;Notes!$B$5,"",IF(COUNTIFS(Release_Calendar!$A$2:$A$755,"NZ_GDP",Release_Calendar!$B$2:$B$755,$A4981)&gt;0,1,0))</f>
        <v>0</v>
      </c>
      <c r="O4981" s="16">
        <f>IF($A4981&lt;Notes!$B$5,"",IF(COUNTIFS(Release_Calendar!$A$2:$A$755,"NZ_LABOUR",Release_Calendar!$B$2:$B$755,$A4981)&gt;0,1,0))</f>
        <v>0</v>
      </c>
      <c r="P4981" s="16">
        <f t="shared" si="4"/>
        <v>1</v>
      </c>
    </row>
    <row r="4982" ht="15.75" customHeight="1">
      <c r="A4982" s="14">
        <v>43500.0</v>
      </c>
      <c r="B4982" s="15">
        <v>2.53</v>
      </c>
      <c r="C4982" s="15">
        <v>1.93</v>
      </c>
      <c r="D4982" s="15"/>
      <c r="E4982" s="15">
        <v>1.7</v>
      </c>
      <c r="F4982" s="15">
        <f t="shared" si="1"/>
        <v>-0.6</v>
      </c>
      <c r="G4982" s="15">
        <f t="shared" si="2"/>
        <v>1.93</v>
      </c>
      <c r="H4982" s="16">
        <v>0.0</v>
      </c>
      <c r="I4982" s="15">
        <f t="shared" si="3"/>
        <v>-0.6</v>
      </c>
      <c r="J4982" s="15">
        <v>15.73</v>
      </c>
      <c r="K4982" s="16">
        <f>IF(COUNTIFS(Release_Calendar!$A$2:$A$755,"US_CPI",Release_Calendar!$B$2:$B$755,$A4982)&gt;0,1,0)</f>
        <v>0</v>
      </c>
      <c r="L4982" s="16">
        <f>IF(COUNTIFS(Release_Calendar!$A$2:$A$755,"US_NFP",Release_Calendar!$B$2:$B$755,$A4982)&gt;0,1,0)</f>
        <v>0</v>
      </c>
      <c r="M4982" s="16">
        <f>IF($A4982&lt;Notes!$B$5,"",IF(COUNTIFS(Release_Calendar!$A$2:$A$755,"NZ_CPI",Release_Calendar!$B$2:$B$755,$A4982)&gt;0,1,0))</f>
        <v>0</v>
      </c>
      <c r="N4982" s="16">
        <f>IF($A4982&lt;Notes!$B$5,"",IF(COUNTIFS(Release_Calendar!$A$2:$A$755,"NZ_GDP",Release_Calendar!$B$2:$B$755,$A4982)&gt;0,1,0))</f>
        <v>0</v>
      </c>
      <c r="O4982" s="16">
        <f>IF($A4982&lt;Notes!$B$5,"",IF(COUNTIFS(Release_Calendar!$A$2:$A$755,"NZ_LABOUR",Release_Calendar!$B$2:$B$755,$A4982)&gt;0,1,0))</f>
        <v>0</v>
      </c>
      <c r="P4982" s="16">
        <f t="shared" si="4"/>
        <v>0</v>
      </c>
    </row>
    <row r="4983" ht="15.75" customHeight="1">
      <c r="A4983" s="14">
        <v>43501.0</v>
      </c>
      <c r="B4983" s="15">
        <v>2.53</v>
      </c>
      <c r="C4983" s="15">
        <v>1.91</v>
      </c>
      <c r="D4983" s="15"/>
      <c r="E4983" s="15">
        <v>1.72</v>
      </c>
      <c r="F4983" s="15">
        <f t="shared" si="1"/>
        <v>-0.62</v>
      </c>
      <c r="G4983" s="15">
        <f t="shared" si="2"/>
        <v>1.91</v>
      </c>
      <c r="H4983" s="16">
        <v>0.0</v>
      </c>
      <c r="I4983" s="15">
        <f t="shared" si="3"/>
        <v>-0.62</v>
      </c>
      <c r="J4983" s="15">
        <v>15.57</v>
      </c>
      <c r="K4983" s="16">
        <f>IF(COUNTIFS(Release_Calendar!$A$2:$A$755,"US_CPI",Release_Calendar!$B$2:$B$755,$A4983)&gt;0,1,0)</f>
        <v>0</v>
      </c>
      <c r="L4983" s="16">
        <f>IF(COUNTIFS(Release_Calendar!$A$2:$A$755,"US_NFP",Release_Calendar!$B$2:$B$755,$A4983)&gt;0,1,0)</f>
        <v>0</v>
      </c>
      <c r="M4983" s="16">
        <f>IF($A4983&lt;Notes!$B$5,"",IF(COUNTIFS(Release_Calendar!$A$2:$A$755,"NZ_CPI",Release_Calendar!$B$2:$B$755,$A4983)&gt;0,1,0))</f>
        <v>0</v>
      </c>
      <c r="N4983" s="16">
        <f>IF($A4983&lt;Notes!$B$5,"",IF(COUNTIFS(Release_Calendar!$A$2:$A$755,"NZ_GDP",Release_Calendar!$B$2:$B$755,$A4983)&gt;0,1,0))</f>
        <v>0</v>
      </c>
      <c r="O4983" s="16">
        <f>IF($A4983&lt;Notes!$B$5,"",IF(COUNTIFS(Release_Calendar!$A$2:$A$755,"NZ_LABOUR",Release_Calendar!$B$2:$B$755,$A4983)&gt;0,1,0))</f>
        <v>0</v>
      </c>
      <c r="P4983" s="16">
        <f t="shared" si="4"/>
        <v>0</v>
      </c>
    </row>
    <row r="4984" ht="15.75" customHeight="1">
      <c r="A4984" s="14">
        <v>43502.0</v>
      </c>
      <c r="B4984" s="15">
        <v>2.52</v>
      </c>
      <c r="C4984" s="15"/>
      <c r="D4984" s="15"/>
      <c r="E4984" s="15"/>
      <c r="F4984" s="15" t="str">
        <f t="shared" si="1"/>
        <v/>
      </c>
      <c r="G4984" s="15" t="str">
        <f t="shared" si="2"/>
        <v/>
      </c>
      <c r="H4984" s="16">
        <v>0.0</v>
      </c>
      <c r="I4984" s="15" t="str">
        <f t="shared" si="3"/>
        <v/>
      </c>
      <c r="J4984" s="15">
        <v>15.38</v>
      </c>
      <c r="K4984" s="16">
        <f>IF(COUNTIFS(Release_Calendar!$A$2:$A$755,"US_CPI",Release_Calendar!$B$2:$B$755,$A4984)&gt;0,1,0)</f>
        <v>0</v>
      </c>
      <c r="L4984" s="16">
        <f>IF(COUNTIFS(Release_Calendar!$A$2:$A$755,"US_NFP",Release_Calendar!$B$2:$B$755,$A4984)&gt;0,1,0)</f>
        <v>0</v>
      </c>
      <c r="M4984" s="16">
        <f>IF($A4984&lt;Notes!$B$5,"",IF(COUNTIFS(Release_Calendar!$A$2:$A$755,"NZ_CPI",Release_Calendar!$B$2:$B$755,$A4984)&gt;0,1,0))</f>
        <v>0</v>
      </c>
      <c r="N4984" s="16">
        <f>IF($A4984&lt;Notes!$B$5,"",IF(COUNTIFS(Release_Calendar!$A$2:$A$755,"NZ_GDP",Release_Calendar!$B$2:$B$755,$A4984)&gt;0,1,0))</f>
        <v>0</v>
      </c>
      <c r="O4984" s="16">
        <f>IF($A4984&lt;Notes!$B$5,"",IF(COUNTIFS(Release_Calendar!$A$2:$A$755,"NZ_LABOUR",Release_Calendar!$B$2:$B$755,$A4984)&gt;0,1,0))</f>
        <v>0</v>
      </c>
      <c r="P4984" s="16">
        <f t="shared" si="4"/>
        <v>0</v>
      </c>
    </row>
    <row r="4985" ht="15.75" customHeight="1">
      <c r="A4985" s="14">
        <v>43503.0</v>
      </c>
      <c r="B4985" s="15">
        <v>2.48</v>
      </c>
      <c r="C4985" s="15">
        <v>1.82</v>
      </c>
      <c r="D4985" s="15"/>
      <c r="E4985" s="15">
        <v>1.65</v>
      </c>
      <c r="F4985" s="15">
        <f t="shared" si="1"/>
        <v>-0.66</v>
      </c>
      <c r="G4985" s="15">
        <f t="shared" si="2"/>
        <v>1.82</v>
      </c>
      <c r="H4985" s="16">
        <v>0.0</v>
      </c>
      <c r="I4985" s="15">
        <f t="shared" si="3"/>
        <v>-0.66</v>
      </c>
      <c r="J4985" s="15">
        <v>16.37</v>
      </c>
      <c r="K4985" s="16">
        <f>IF(COUNTIFS(Release_Calendar!$A$2:$A$755,"US_CPI",Release_Calendar!$B$2:$B$755,$A4985)&gt;0,1,0)</f>
        <v>0</v>
      </c>
      <c r="L4985" s="16">
        <f>IF(COUNTIFS(Release_Calendar!$A$2:$A$755,"US_NFP",Release_Calendar!$B$2:$B$755,$A4985)&gt;0,1,0)</f>
        <v>0</v>
      </c>
      <c r="M4985" s="16">
        <f>IF($A4985&lt;Notes!$B$5,"",IF(COUNTIFS(Release_Calendar!$A$2:$A$755,"NZ_CPI",Release_Calendar!$B$2:$B$755,$A4985)&gt;0,1,0))</f>
        <v>0</v>
      </c>
      <c r="N4985" s="16">
        <f>IF($A4985&lt;Notes!$B$5,"",IF(COUNTIFS(Release_Calendar!$A$2:$A$755,"NZ_GDP",Release_Calendar!$B$2:$B$755,$A4985)&gt;0,1,0))</f>
        <v>0</v>
      </c>
      <c r="O4985" s="16">
        <f>IF($A4985&lt;Notes!$B$5,"",IF(COUNTIFS(Release_Calendar!$A$2:$A$755,"NZ_LABOUR",Release_Calendar!$B$2:$B$755,$A4985)&gt;0,1,0))</f>
        <v>1</v>
      </c>
      <c r="P4985" s="16">
        <f t="shared" si="4"/>
        <v>1</v>
      </c>
    </row>
    <row r="4986" ht="15.75" customHeight="1">
      <c r="A4986" s="14">
        <v>43504.0</v>
      </c>
      <c r="B4986" s="15">
        <v>2.45</v>
      </c>
      <c r="C4986" s="15">
        <v>1.79</v>
      </c>
      <c r="D4986" s="15"/>
      <c r="E4986" s="15">
        <v>1.6</v>
      </c>
      <c r="F4986" s="15">
        <f t="shared" si="1"/>
        <v>-0.66</v>
      </c>
      <c r="G4986" s="15">
        <f t="shared" si="2"/>
        <v>1.79</v>
      </c>
      <c r="H4986" s="16">
        <v>0.0</v>
      </c>
      <c r="I4986" s="15">
        <f t="shared" si="3"/>
        <v>-0.66</v>
      </c>
      <c r="J4986" s="15">
        <v>15.72</v>
      </c>
      <c r="K4986" s="16">
        <f>IF(COUNTIFS(Release_Calendar!$A$2:$A$755,"US_CPI",Release_Calendar!$B$2:$B$755,$A4986)&gt;0,1,0)</f>
        <v>0</v>
      </c>
      <c r="L4986" s="16">
        <f>IF(COUNTIFS(Release_Calendar!$A$2:$A$755,"US_NFP",Release_Calendar!$B$2:$B$755,$A4986)&gt;0,1,0)</f>
        <v>0</v>
      </c>
      <c r="M4986" s="16">
        <f>IF($A4986&lt;Notes!$B$5,"",IF(COUNTIFS(Release_Calendar!$A$2:$A$755,"NZ_CPI",Release_Calendar!$B$2:$B$755,$A4986)&gt;0,1,0))</f>
        <v>0</v>
      </c>
      <c r="N4986" s="16">
        <f>IF($A4986&lt;Notes!$B$5,"",IF(COUNTIFS(Release_Calendar!$A$2:$A$755,"NZ_GDP",Release_Calendar!$B$2:$B$755,$A4986)&gt;0,1,0))</f>
        <v>0</v>
      </c>
      <c r="O4986" s="16">
        <f>IF($A4986&lt;Notes!$B$5,"",IF(COUNTIFS(Release_Calendar!$A$2:$A$755,"NZ_LABOUR",Release_Calendar!$B$2:$B$755,$A4986)&gt;0,1,0))</f>
        <v>0</v>
      </c>
      <c r="P4986" s="16">
        <f t="shared" si="4"/>
        <v>0</v>
      </c>
    </row>
    <row r="4987" ht="15.75" customHeight="1">
      <c r="A4987" s="14">
        <v>43507.0</v>
      </c>
      <c r="B4987" s="15">
        <v>2.48</v>
      </c>
      <c r="C4987" s="15">
        <v>1.82</v>
      </c>
      <c r="D4987" s="15"/>
      <c r="E4987" s="15">
        <v>1.62</v>
      </c>
      <c r="F4987" s="15">
        <f t="shared" si="1"/>
        <v>-0.66</v>
      </c>
      <c r="G4987" s="15">
        <f t="shared" si="2"/>
        <v>1.82</v>
      </c>
      <c r="H4987" s="16">
        <v>0.0</v>
      </c>
      <c r="I4987" s="15">
        <f t="shared" si="3"/>
        <v>-0.66</v>
      </c>
      <c r="J4987" s="15">
        <v>15.97</v>
      </c>
      <c r="K4987" s="16">
        <f>IF(COUNTIFS(Release_Calendar!$A$2:$A$755,"US_CPI",Release_Calendar!$B$2:$B$755,$A4987)&gt;0,1,0)</f>
        <v>0</v>
      </c>
      <c r="L4987" s="16">
        <f>IF(COUNTIFS(Release_Calendar!$A$2:$A$755,"US_NFP",Release_Calendar!$B$2:$B$755,$A4987)&gt;0,1,0)</f>
        <v>0</v>
      </c>
      <c r="M4987" s="16">
        <f>IF($A4987&lt;Notes!$B$5,"",IF(COUNTIFS(Release_Calendar!$A$2:$A$755,"NZ_CPI",Release_Calendar!$B$2:$B$755,$A4987)&gt;0,1,0))</f>
        <v>0</v>
      </c>
      <c r="N4987" s="16">
        <f>IF($A4987&lt;Notes!$B$5,"",IF(COUNTIFS(Release_Calendar!$A$2:$A$755,"NZ_GDP",Release_Calendar!$B$2:$B$755,$A4987)&gt;0,1,0))</f>
        <v>0</v>
      </c>
      <c r="O4987" s="16">
        <f>IF($A4987&lt;Notes!$B$5,"",IF(COUNTIFS(Release_Calendar!$A$2:$A$755,"NZ_LABOUR",Release_Calendar!$B$2:$B$755,$A4987)&gt;0,1,0))</f>
        <v>0</v>
      </c>
      <c r="P4987" s="16">
        <f t="shared" si="4"/>
        <v>0</v>
      </c>
    </row>
    <row r="4988" ht="15.75" customHeight="1">
      <c r="A4988" s="14">
        <v>43508.0</v>
      </c>
      <c r="B4988" s="15">
        <v>2.5</v>
      </c>
      <c r="C4988" s="15">
        <v>1.81</v>
      </c>
      <c r="D4988" s="15"/>
      <c r="E4988" s="15">
        <v>1.6</v>
      </c>
      <c r="F4988" s="15">
        <f t="shared" si="1"/>
        <v>-0.69</v>
      </c>
      <c r="G4988" s="15">
        <f t="shared" si="2"/>
        <v>1.81</v>
      </c>
      <c r="H4988" s="16">
        <v>0.0</v>
      </c>
      <c r="I4988" s="15">
        <f t="shared" si="3"/>
        <v>-0.69</v>
      </c>
      <c r="J4988" s="15">
        <v>15.43</v>
      </c>
      <c r="K4988" s="16">
        <f>IF(COUNTIFS(Release_Calendar!$A$2:$A$755,"US_CPI",Release_Calendar!$B$2:$B$755,$A4988)&gt;0,1,0)</f>
        <v>0</v>
      </c>
      <c r="L4988" s="16">
        <f>IF(COUNTIFS(Release_Calendar!$A$2:$A$755,"US_NFP",Release_Calendar!$B$2:$B$755,$A4988)&gt;0,1,0)</f>
        <v>0</v>
      </c>
      <c r="M4988" s="16">
        <f>IF($A4988&lt;Notes!$B$5,"",IF(COUNTIFS(Release_Calendar!$A$2:$A$755,"NZ_CPI",Release_Calendar!$B$2:$B$755,$A4988)&gt;0,1,0))</f>
        <v>0</v>
      </c>
      <c r="N4988" s="16">
        <f>IF($A4988&lt;Notes!$B$5,"",IF(COUNTIFS(Release_Calendar!$A$2:$A$755,"NZ_GDP",Release_Calendar!$B$2:$B$755,$A4988)&gt;0,1,0))</f>
        <v>0</v>
      </c>
      <c r="O4988" s="16">
        <f>IF($A4988&lt;Notes!$B$5,"",IF(COUNTIFS(Release_Calendar!$A$2:$A$755,"NZ_LABOUR",Release_Calendar!$B$2:$B$755,$A4988)&gt;0,1,0))</f>
        <v>0</v>
      </c>
      <c r="P4988" s="16">
        <f t="shared" si="4"/>
        <v>0</v>
      </c>
    </row>
    <row r="4989" ht="15.75" customHeight="1">
      <c r="A4989" s="14">
        <v>43509.0</v>
      </c>
      <c r="B4989" s="15">
        <v>2.53</v>
      </c>
      <c r="C4989" s="15">
        <v>1.9</v>
      </c>
      <c r="D4989" s="15"/>
      <c r="E4989" s="15">
        <v>1.68</v>
      </c>
      <c r="F4989" s="15">
        <f t="shared" si="1"/>
        <v>-0.63</v>
      </c>
      <c r="G4989" s="15">
        <f t="shared" si="2"/>
        <v>1.9</v>
      </c>
      <c r="H4989" s="16">
        <v>0.0</v>
      </c>
      <c r="I4989" s="15">
        <f t="shared" si="3"/>
        <v>-0.63</v>
      </c>
      <c r="J4989" s="15">
        <v>15.65</v>
      </c>
      <c r="K4989" s="16">
        <f>IF(COUNTIFS(Release_Calendar!$A$2:$A$755,"US_CPI",Release_Calendar!$B$2:$B$755,$A4989)&gt;0,1,0)</f>
        <v>1</v>
      </c>
      <c r="L4989" s="16">
        <f>IF(COUNTIFS(Release_Calendar!$A$2:$A$755,"US_NFP",Release_Calendar!$B$2:$B$755,$A4989)&gt;0,1,0)</f>
        <v>0</v>
      </c>
      <c r="M4989" s="16">
        <f>IF($A4989&lt;Notes!$B$5,"",IF(COUNTIFS(Release_Calendar!$A$2:$A$755,"NZ_CPI",Release_Calendar!$B$2:$B$755,$A4989)&gt;0,1,0))</f>
        <v>0</v>
      </c>
      <c r="N4989" s="16">
        <f>IF($A4989&lt;Notes!$B$5,"",IF(COUNTIFS(Release_Calendar!$A$2:$A$755,"NZ_GDP",Release_Calendar!$B$2:$B$755,$A4989)&gt;0,1,0))</f>
        <v>0</v>
      </c>
      <c r="O4989" s="16">
        <f>IF($A4989&lt;Notes!$B$5,"",IF(COUNTIFS(Release_Calendar!$A$2:$A$755,"NZ_LABOUR",Release_Calendar!$B$2:$B$755,$A4989)&gt;0,1,0))</f>
        <v>0</v>
      </c>
      <c r="P4989" s="16">
        <f t="shared" si="4"/>
        <v>1</v>
      </c>
    </row>
    <row r="4990" ht="15.75" customHeight="1">
      <c r="A4990" s="14">
        <v>43510.0</v>
      </c>
      <c r="B4990" s="15">
        <v>2.5</v>
      </c>
      <c r="C4990" s="15">
        <v>1.92</v>
      </c>
      <c r="D4990" s="15"/>
      <c r="E4990" s="15">
        <v>1.71</v>
      </c>
      <c r="F4990" s="15">
        <f t="shared" si="1"/>
        <v>-0.58</v>
      </c>
      <c r="G4990" s="15">
        <f t="shared" si="2"/>
        <v>1.92</v>
      </c>
      <c r="H4990" s="16">
        <v>0.0</v>
      </c>
      <c r="I4990" s="15">
        <f t="shared" si="3"/>
        <v>-0.58</v>
      </c>
      <c r="J4990" s="15">
        <v>16.22</v>
      </c>
      <c r="K4990" s="16">
        <f>IF(COUNTIFS(Release_Calendar!$A$2:$A$755,"US_CPI",Release_Calendar!$B$2:$B$755,$A4990)&gt;0,1,0)</f>
        <v>0</v>
      </c>
      <c r="L4990" s="16">
        <f>IF(COUNTIFS(Release_Calendar!$A$2:$A$755,"US_NFP",Release_Calendar!$B$2:$B$755,$A4990)&gt;0,1,0)</f>
        <v>0</v>
      </c>
      <c r="M4990" s="16">
        <f>IF($A4990&lt;Notes!$B$5,"",IF(COUNTIFS(Release_Calendar!$A$2:$A$755,"NZ_CPI",Release_Calendar!$B$2:$B$755,$A4990)&gt;0,1,0))</f>
        <v>0</v>
      </c>
      <c r="N4990" s="16">
        <f>IF($A4990&lt;Notes!$B$5,"",IF(COUNTIFS(Release_Calendar!$A$2:$A$755,"NZ_GDP",Release_Calendar!$B$2:$B$755,$A4990)&gt;0,1,0))</f>
        <v>0</v>
      </c>
      <c r="O4990" s="16">
        <f>IF($A4990&lt;Notes!$B$5,"",IF(COUNTIFS(Release_Calendar!$A$2:$A$755,"NZ_LABOUR",Release_Calendar!$B$2:$B$755,$A4990)&gt;0,1,0))</f>
        <v>0</v>
      </c>
      <c r="P4990" s="16">
        <f t="shared" si="4"/>
        <v>0</v>
      </c>
    </row>
    <row r="4991" ht="15.75" customHeight="1">
      <c r="A4991" s="14">
        <v>43511.0</v>
      </c>
      <c r="B4991" s="15">
        <v>2.52</v>
      </c>
      <c r="C4991" s="15">
        <v>1.9</v>
      </c>
      <c r="D4991" s="15"/>
      <c r="E4991" s="15">
        <v>1.71</v>
      </c>
      <c r="F4991" s="15">
        <f t="shared" si="1"/>
        <v>-0.62</v>
      </c>
      <c r="G4991" s="15">
        <f t="shared" si="2"/>
        <v>1.9</v>
      </c>
      <c r="H4991" s="16">
        <v>0.0</v>
      </c>
      <c r="I4991" s="15">
        <f t="shared" si="3"/>
        <v>-0.62</v>
      </c>
      <c r="J4991" s="15">
        <v>14.91</v>
      </c>
      <c r="K4991" s="16">
        <f>IF(COUNTIFS(Release_Calendar!$A$2:$A$755,"US_CPI",Release_Calendar!$B$2:$B$755,$A4991)&gt;0,1,0)</f>
        <v>0</v>
      </c>
      <c r="L4991" s="16">
        <f>IF(COUNTIFS(Release_Calendar!$A$2:$A$755,"US_NFP",Release_Calendar!$B$2:$B$755,$A4991)&gt;0,1,0)</f>
        <v>0</v>
      </c>
      <c r="M4991" s="16">
        <f>IF($A4991&lt;Notes!$B$5,"",IF(COUNTIFS(Release_Calendar!$A$2:$A$755,"NZ_CPI",Release_Calendar!$B$2:$B$755,$A4991)&gt;0,1,0))</f>
        <v>0</v>
      </c>
      <c r="N4991" s="16">
        <f>IF($A4991&lt;Notes!$B$5,"",IF(COUNTIFS(Release_Calendar!$A$2:$A$755,"NZ_GDP",Release_Calendar!$B$2:$B$755,$A4991)&gt;0,1,0))</f>
        <v>0</v>
      </c>
      <c r="O4991" s="16">
        <f>IF($A4991&lt;Notes!$B$5,"",IF(COUNTIFS(Release_Calendar!$A$2:$A$755,"NZ_LABOUR",Release_Calendar!$B$2:$B$755,$A4991)&gt;0,1,0))</f>
        <v>0</v>
      </c>
      <c r="P4991" s="16">
        <f t="shared" si="4"/>
        <v>0</v>
      </c>
    </row>
    <row r="4992" ht="15.75" customHeight="1">
      <c r="A4992" s="14">
        <v>43514.0</v>
      </c>
      <c r="B4992" s="15"/>
      <c r="C4992" s="15">
        <v>1.92</v>
      </c>
      <c r="D4992" s="15"/>
      <c r="E4992" s="15">
        <v>1.72</v>
      </c>
      <c r="F4992" s="15" t="str">
        <f t="shared" si="1"/>
        <v/>
      </c>
      <c r="G4992" s="15">
        <f t="shared" si="2"/>
        <v>1.92</v>
      </c>
      <c r="H4992" s="16">
        <v>0.0</v>
      </c>
      <c r="I4992" s="15" t="str">
        <f t="shared" si="3"/>
        <v/>
      </c>
      <c r="J4992" s="15"/>
      <c r="K4992" s="16">
        <f>IF(COUNTIFS(Release_Calendar!$A$2:$A$755,"US_CPI",Release_Calendar!$B$2:$B$755,$A4992)&gt;0,1,0)</f>
        <v>0</v>
      </c>
      <c r="L4992" s="16">
        <f>IF(COUNTIFS(Release_Calendar!$A$2:$A$755,"US_NFP",Release_Calendar!$B$2:$B$755,$A4992)&gt;0,1,0)</f>
        <v>0</v>
      </c>
      <c r="M4992" s="16">
        <f>IF($A4992&lt;Notes!$B$5,"",IF(COUNTIFS(Release_Calendar!$A$2:$A$755,"NZ_CPI",Release_Calendar!$B$2:$B$755,$A4992)&gt;0,1,0))</f>
        <v>0</v>
      </c>
      <c r="N4992" s="16">
        <f>IF($A4992&lt;Notes!$B$5,"",IF(COUNTIFS(Release_Calendar!$A$2:$A$755,"NZ_GDP",Release_Calendar!$B$2:$B$755,$A4992)&gt;0,1,0))</f>
        <v>0</v>
      </c>
      <c r="O4992" s="16">
        <f>IF($A4992&lt;Notes!$B$5,"",IF(COUNTIFS(Release_Calendar!$A$2:$A$755,"NZ_LABOUR",Release_Calendar!$B$2:$B$755,$A4992)&gt;0,1,0))</f>
        <v>0</v>
      </c>
      <c r="P4992" s="16">
        <f t="shared" si="4"/>
        <v>0</v>
      </c>
    </row>
    <row r="4993" ht="15.75" customHeight="1">
      <c r="A4993" s="14">
        <v>43515.0</v>
      </c>
      <c r="B4993" s="15">
        <v>2.5</v>
      </c>
      <c r="C4993" s="15">
        <v>1.92</v>
      </c>
      <c r="D4993" s="15"/>
      <c r="E4993" s="15">
        <v>1.73</v>
      </c>
      <c r="F4993" s="15">
        <f t="shared" si="1"/>
        <v>-0.58</v>
      </c>
      <c r="G4993" s="15">
        <f t="shared" si="2"/>
        <v>1.92</v>
      </c>
      <c r="H4993" s="16">
        <v>0.0</v>
      </c>
      <c r="I4993" s="15">
        <f t="shared" si="3"/>
        <v>-0.58</v>
      </c>
      <c r="J4993" s="15">
        <v>14.88</v>
      </c>
      <c r="K4993" s="16">
        <f>IF(COUNTIFS(Release_Calendar!$A$2:$A$755,"US_CPI",Release_Calendar!$B$2:$B$755,$A4993)&gt;0,1,0)</f>
        <v>0</v>
      </c>
      <c r="L4993" s="16">
        <f>IF(COUNTIFS(Release_Calendar!$A$2:$A$755,"US_NFP",Release_Calendar!$B$2:$B$755,$A4993)&gt;0,1,0)</f>
        <v>0</v>
      </c>
      <c r="M4993" s="16">
        <f>IF($A4993&lt;Notes!$B$5,"",IF(COUNTIFS(Release_Calendar!$A$2:$A$755,"NZ_CPI",Release_Calendar!$B$2:$B$755,$A4993)&gt;0,1,0))</f>
        <v>0</v>
      </c>
      <c r="N4993" s="16">
        <f>IF($A4993&lt;Notes!$B$5,"",IF(COUNTIFS(Release_Calendar!$A$2:$A$755,"NZ_GDP",Release_Calendar!$B$2:$B$755,$A4993)&gt;0,1,0))</f>
        <v>0</v>
      </c>
      <c r="O4993" s="16">
        <f>IF($A4993&lt;Notes!$B$5,"",IF(COUNTIFS(Release_Calendar!$A$2:$A$755,"NZ_LABOUR",Release_Calendar!$B$2:$B$755,$A4993)&gt;0,1,0))</f>
        <v>0</v>
      </c>
      <c r="P4993" s="16">
        <f t="shared" si="4"/>
        <v>0</v>
      </c>
    </row>
    <row r="4994" ht="15.75" customHeight="1">
      <c r="A4994" s="14">
        <v>43516.0</v>
      </c>
      <c r="B4994" s="15">
        <v>2.5</v>
      </c>
      <c r="C4994" s="15">
        <v>1.9</v>
      </c>
      <c r="D4994" s="15"/>
      <c r="E4994" s="15">
        <v>1.72</v>
      </c>
      <c r="F4994" s="15">
        <f t="shared" si="1"/>
        <v>-0.6</v>
      </c>
      <c r="G4994" s="15">
        <f t="shared" si="2"/>
        <v>1.9</v>
      </c>
      <c r="H4994" s="16">
        <v>0.0</v>
      </c>
      <c r="I4994" s="15">
        <f t="shared" si="3"/>
        <v>-0.6</v>
      </c>
      <c r="J4994" s="15">
        <v>14.02</v>
      </c>
      <c r="K4994" s="16">
        <f>IF(COUNTIFS(Release_Calendar!$A$2:$A$755,"US_CPI",Release_Calendar!$B$2:$B$755,$A4994)&gt;0,1,0)</f>
        <v>0</v>
      </c>
      <c r="L4994" s="16">
        <f>IF(COUNTIFS(Release_Calendar!$A$2:$A$755,"US_NFP",Release_Calendar!$B$2:$B$755,$A4994)&gt;0,1,0)</f>
        <v>0</v>
      </c>
      <c r="M4994" s="16">
        <f>IF($A4994&lt;Notes!$B$5,"",IF(COUNTIFS(Release_Calendar!$A$2:$A$755,"NZ_CPI",Release_Calendar!$B$2:$B$755,$A4994)&gt;0,1,0))</f>
        <v>0</v>
      </c>
      <c r="N4994" s="16">
        <f>IF($A4994&lt;Notes!$B$5,"",IF(COUNTIFS(Release_Calendar!$A$2:$A$755,"NZ_GDP",Release_Calendar!$B$2:$B$755,$A4994)&gt;0,1,0))</f>
        <v>0</v>
      </c>
      <c r="O4994" s="16">
        <f>IF($A4994&lt;Notes!$B$5,"",IF(COUNTIFS(Release_Calendar!$A$2:$A$755,"NZ_LABOUR",Release_Calendar!$B$2:$B$755,$A4994)&gt;0,1,0))</f>
        <v>0</v>
      </c>
      <c r="P4994" s="16">
        <f t="shared" si="4"/>
        <v>0</v>
      </c>
    </row>
    <row r="4995" ht="15.75" customHeight="1">
      <c r="A4995" s="14">
        <v>43517.0</v>
      </c>
      <c r="B4995" s="15">
        <v>2.53</v>
      </c>
      <c r="C4995" s="15">
        <v>1.89</v>
      </c>
      <c r="D4995" s="15"/>
      <c r="E4995" s="15">
        <v>1.71</v>
      </c>
      <c r="F4995" s="15">
        <f t="shared" si="1"/>
        <v>-0.64</v>
      </c>
      <c r="G4995" s="15">
        <f t="shared" si="2"/>
        <v>1.89</v>
      </c>
      <c r="H4995" s="16">
        <v>0.0</v>
      </c>
      <c r="I4995" s="15">
        <f t="shared" si="3"/>
        <v>-0.64</v>
      </c>
      <c r="J4995" s="15">
        <v>14.46</v>
      </c>
      <c r="K4995" s="16">
        <f>IF(COUNTIFS(Release_Calendar!$A$2:$A$755,"US_CPI",Release_Calendar!$B$2:$B$755,$A4995)&gt;0,1,0)</f>
        <v>0</v>
      </c>
      <c r="L4995" s="16">
        <f>IF(COUNTIFS(Release_Calendar!$A$2:$A$755,"US_NFP",Release_Calendar!$B$2:$B$755,$A4995)&gt;0,1,0)</f>
        <v>0</v>
      </c>
      <c r="M4995" s="16">
        <f>IF($A4995&lt;Notes!$B$5,"",IF(COUNTIFS(Release_Calendar!$A$2:$A$755,"NZ_CPI",Release_Calendar!$B$2:$B$755,$A4995)&gt;0,1,0))</f>
        <v>0</v>
      </c>
      <c r="N4995" s="16">
        <f>IF($A4995&lt;Notes!$B$5,"",IF(COUNTIFS(Release_Calendar!$A$2:$A$755,"NZ_GDP",Release_Calendar!$B$2:$B$755,$A4995)&gt;0,1,0))</f>
        <v>0</v>
      </c>
      <c r="O4995" s="16">
        <f>IF($A4995&lt;Notes!$B$5,"",IF(COUNTIFS(Release_Calendar!$A$2:$A$755,"NZ_LABOUR",Release_Calendar!$B$2:$B$755,$A4995)&gt;0,1,0))</f>
        <v>0</v>
      </c>
      <c r="P4995" s="16">
        <f t="shared" si="4"/>
        <v>0</v>
      </c>
    </row>
    <row r="4996" ht="15.75" customHeight="1">
      <c r="A4996" s="14">
        <v>43518.0</v>
      </c>
      <c r="B4996" s="15">
        <v>2.48</v>
      </c>
      <c r="C4996" s="15">
        <v>1.87</v>
      </c>
      <c r="D4996" s="15"/>
      <c r="E4996" s="15">
        <v>1.69</v>
      </c>
      <c r="F4996" s="15">
        <f t="shared" si="1"/>
        <v>-0.61</v>
      </c>
      <c r="G4996" s="15">
        <f t="shared" si="2"/>
        <v>1.87</v>
      </c>
      <c r="H4996" s="16">
        <v>0.0</v>
      </c>
      <c r="I4996" s="15">
        <f t="shared" si="3"/>
        <v>-0.61</v>
      </c>
      <c r="J4996" s="15">
        <v>13.51</v>
      </c>
      <c r="K4996" s="16">
        <f>IF(COUNTIFS(Release_Calendar!$A$2:$A$755,"US_CPI",Release_Calendar!$B$2:$B$755,$A4996)&gt;0,1,0)</f>
        <v>0</v>
      </c>
      <c r="L4996" s="16">
        <f>IF(COUNTIFS(Release_Calendar!$A$2:$A$755,"US_NFP",Release_Calendar!$B$2:$B$755,$A4996)&gt;0,1,0)</f>
        <v>0</v>
      </c>
      <c r="M4996" s="16">
        <f>IF($A4996&lt;Notes!$B$5,"",IF(COUNTIFS(Release_Calendar!$A$2:$A$755,"NZ_CPI",Release_Calendar!$B$2:$B$755,$A4996)&gt;0,1,0))</f>
        <v>0</v>
      </c>
      <c r="N4996" s="16">
        <f>IF($A4996&lt;Notes!$B$5,"",IF(COUNTIFS(Release_Calendar!$A$2:$A$755,"NZ_GDP",Release_Calendar!$B$2:$B$755,$A4996)&gt;0,1,0))</f>
        <v>0</v>
      </c>
      <c r="O4996" s="16">
        <f>IF($A4996&lt;Notes!$B$5,"",IF(COUNTIFS(Release_Calendar!$A$2:$A$755,"NZ_LABOUR",Release_Calendar!$B$2:$B$755,$A4996)&gt;0,1,0))</f>
        <v>0</v>
      </c>
      <c r="P4996" s="16">
        <f t="shared" si="4"/>
        <v>0</v>
      </c>
    </row>
    <row r="4997" ht="15.75" customHeight="1">
      <c r="A4997" s="14">
        <v>43521.0</v>
      </c>
      <c r="B4997" s="15">
        <v>2.51</v>
      </c>
      <c r="C4997" s="15">
        <v>1.86</v>
      </c>
      <c r="D4997" s="15"/>
      <c r="E4997" s="15">
        <v>1.67</v>
      </c>
      <c r="F4997" s="15">
        <f t="shared" si="1"/>
        <v>-0.65</v>
      </c>
      <c r="G4997" s="15">
        <f t="shared" si="2"/>
        <v>1.86</v>
      </c>
      <c r="H4997" s="16">
        <v>0.0</v>
      </c>
      <c r="I4997" s="15">
        <f t="shared" si="3"/>
        <v>-0.65</v>
      </c>
      <c r="J4997" s="15">
        <v>14.85</v>
      </c>
      <c r="K4997" s="16">
        <f>IF(COUNTIFS(Release_Calendar!$A$2:$A$755,"US_CPI",Release_Calendar!$B$2:$B$755,$A4997)&gt;0,1,0)</f>
        <v>0</v>
      </c>
      <c r="L4997" s="16">
        <f>IF(COUNTIFS(Release_Calendar!$A$2:$A$755,"US_NFP",Release_Calendar!$B$2:$B$755,$A4997)&gt;0,1,0)</f>
        <v>0</v>
      </c>
      <c r="M4997" s="16">
        <f>IF($A4997&lt;Notes!$B$5,"",IF(COUNTIFS(Release_Calendar!$A$2:$A$755,"NZ_CPI",Release_Calendar!$B$2:$B$755,$A4997)&gt;0,1,0))</f>
        <v>0</v>
      </c>
      <c r="N4997" s="16">
        <f>IF($A4997&lt;Notes!$B$5,"",IF(COUNTIFS(Release_Calendar!$A$2:$A$755,"NZ_GDP",Release_Calendar!$B$2:$B$755,$A4997)&gt;0,1,0))</f>
        <v>0</v>
      </c>
      <c r="O4997" s="16">
        <f>IF($A4997&lt;Notes!$B$5,"",IF(COUNTIFS(Release_Calendar!$A$2:$A$755,"NZ_LABOUR",Release_Calendar!$B$2:$B$755,$A4997)&gt;0,1,0))</f>
        <v>0</v>
      </c>
      <c r="P4997" s="16">
        <f t="shared" si="4"/>
        <v>0</v>
      </c>
    </row>
    <row r="4998" ht="15.75" customHeight="1">
      <c r="A4998" s="14">
        <v>43522.0</v>
      </c>
      <c r="B4998" s="15">
        <v>2.48</v>
      </c>
      <c r="C4998" s="15">
        <v>1.85</v>
      </c>
      <c r="D4998" s="15"/>
      <c r="E4998" s="15">
        <v>1.67</v>
      </c>
      <c r="F4998" s="15">
        <f t="shared" si="1"/>
        <v>-0.63</v>
      </c>
      <c r="G4998" s="15">
        <f t="shared" si="2"/>
        <v>1.85</v>
      </c>
      <c r="H4998" s="16">
        <v>0.0</v>
      </c>
      <c r="I4998" s="15">
        <f t="shared" si="3"/>
        <v>-0.63</v>
      </c>
      <c r="J4998" s="15">
        <v>15.17</v>
      </c>
      <c r="K4998" s="16">
        <f>IF(COUNTIFS(Release_Calendar!$A$2:$A$755,"US_CPI",Release_Calendar!$B$2:$B$755,$A4998)&gt;0,1,0)</f>
        <v>0</v>
      </c>
      <c r="L4998" s="16">
        <f>IF(COUNTIFS(Release_Calendar!$A$2:$A$755,"US_NFP",Release_Calendar!$B$2:$B$755,$A4998)&gt;0,1,0)</f>
        <v>0</v>
      </c>
      <c r="M4998" s="16">
        <f>IF($A4998&lt;Notes!$B$5,"",IF(COUNTIFS(Release_Calendar!$A$2:$A$755,"NZ_CPI",Release_Calendar!$B$2:$B$755,$A4998)&gt;0,1,0))</f>
        <v>0</v>
      </c>
      <c r="N4998" s="16">
        <f>IF($A4998&lt;Notes!$B$5,"",IF(COUNTIFS(Release_Calendar!$A$2:$A$755,"NZ_GDP",Release_Calendar!$B$2:$B$755,$A4998)&gt;0,1,0))</f>
        <v>0</v>
      </c>
      <c r="O4998" s="16">
        <f>IF($A4998&lt;Notes!$B$5,"",IF(COUNTIFS(Release_Calendar!$A$2:$A$755,"NZ_LABOUR",Release_Calendar!$B$2:$B$755,$A4998)&gt;0,1,0))</f>
        <v>0</v>
      </c>
      <c r="P4998" s="16">
        <f t="shared" si="4"/>
        <v>0</v>
      </c>
    </row>
    <row r="4999" ht="15.75" customHeight="1">
      <c r="A4999" s="14">
        <v>43523.0</v>
      </c>
      <c r="B4999" s="15">
        <v>2.5</v>
      </c>
      <c r="C4999" s="15">
        <v>1.84</v>
      </c>
      <c r="D4999" s="15"/>
      <c r="E4999" s="15">
        <v>1.66</v>
      </c>
      <c r="F4999" s="15">
        <f t="shared" si="1"/>
        <v>-0.66</v>
      </c>
      <c r="G4999" s="15">
        <f t="shared" si="2"/>
        <v>1.84</v>
      </c>
      <c r="H4999" s="16">
        <v>0.0</v>
      </c>
      <c r="I4999" s="15">
        <f t="shared" si="3"/>
        <v>-0.66</v>
      </c>
      <c r="J4999" s="15">
        <v>14.7</v>
      </c>
      <c r="K4999" s="16">
        <f>IF(COUNTIFS(Release_Calendar!$A$2:$A$755,"US_CPI",Release_Calendar!$B$2:$B$755,$A4999)&gt;0,1,0)</f>
        <v>0</v>
      </c>
      <c r="L4999" s="16">
        <f>IF(COUNTIFS(Release_Calendar!$A$2:$A$755,"US_NFP",Release_Calendar!$B$2:$B$755,$A4999)&gt;0,1,0)</f>
        <v>0</v>
      </c>
      <c r="M4999" s="16">
        <f>IF($A4999&lt;Notes!$B$5,"",IF(COUNTIFS(Release_Calendar!$A$2:$A$755,"NZ_CPI",Release_Calendar!$B$2:$B$755,$A4999)&gt;0,1,0))</f>
        <v>0</v>
      </c>
      <c r="N4999" s="16">
        <f>IF($A4999&lt;Notes!$B$5,"",IF(COUNTIFS(Release_Calendar!$A$2:$A$755,"NZ_GDP",Release_Calendar!$B$2:$B$755,$A4999)&gt;0,1,0))</f>
        <v>0</v>
      </c>
      <c r="O4999" s="16">
        <f>IF($A4999&lt;Notes!$B$5,"",IF(COUNTIFS(Release_Calendar!$A$2:$A$755,"NZ_LABOUR",Release_Calendar!$B$2:$B$755,$A4999)&gt;0,1,0))</f>
        <v>0</v>
      </c>
      <c r="P4999" s="16">
        <f t="shared" si="4"/>
        <v>0</v>
      </c>
    </row>
    <row r="5000" ht="15.75" customHeight="1">
      <c r="A5000" s="14">
        <v>43524.0</v>
      </c>
      <c r="B5000" s="15">
        <v>2.52</v>
      </c>
      <c r="C5000" s="15">
        <v>1.85</v>
      </c>
      <c r="D5000" s="15"/>
      <c r="E5000" s="15">
        <v>1.66</v>
      </c>
      <c r="F5000" s="15">
        <f t="shared" si="1"/>
        <v>-0.67</v>
      </c>
      <c r="G5000" s="15">
        <f t="shared" si="2"/>
        <v>1.85</v>
      </c>
      <c r="H5000" s="16">
        <v>0.0</v>
      </c>
      <c r="I5000" s="15">
        <f t="shared" si="3"/>
        <v>-0.67</v>
      </c>
      <c r="J5000" s="15">
        <v>14.78</v>
      </c>
      <c r="K5000" s="16">
        <f>IF(COUNTIFS(Release_Calendar!$A$2:$A$755,"US_CPI",Release_Calendar!$B$2:$B$755,$A5000)&gt;0,1,0)</f>
        <v>0</v>
      </c>
      <c r="L5000" s="16">
        <f>IF(COUNTIFS(Release_Calendar!$A$2:$A$755,"US_NFP",Release_Calendar!$B$2:$B$755,$A5000)&gt;0,1,0)</f>
        <v>0</v>
      </c>
      <c r="M5000" s="16">
        <f>IF($A5000&lt;Notes!$B$5,"",IF(COUNTIFS(Release_Calendar!$A$2:$A$755,"NZ_CPI",Release_Calendar!$B$2:$B$755,$A5000)&gt;0,1,0))</f>
        <v>0</v>
      </c>
      <c r="N5000" s="16">
        <f>IF($A5000&lt;Notes!$B$5,"",IF(COUNTIFS(Release_Calendar!$A$2:$A$755,"NZ_GDP",Release_Calendar!$B$2:$B$755,$A5000)&gt;0,1,0))</f>
        <v>0</v>
      </c>
      <c r="O5000" s="16">
        <f>IF($A5000&lt;Notes!$B$5,"",IF(COUNTIFS(Release_Calendar!$A$2:$A$755,"NZ_LABOUR",Release_Calendar!$B$2:$B$755,$A5000)&gt;0,1,0))</f>
        <v>0</v>
      </c>
      <c r="P5000" s="16">
        <f t="shared" si="4"/>
        <v>0</v>
      </c>
    </row>
    <row r="5001" ht="15.75" customHeight="1">
      <c r="A5001" s="14">
        <v>43525.0</v>
      </c>
      <c r="B5001" s="15">
        <v>2.55</v>
      </c>
      <c r="C5001" s="15">
        <v>1.86</v>
      </c>
      <c r="D5001" s="15"/>
      <c r="E5001" s="15">
        <v>1.66</v>
      </c>
      <c r="F5001" s="15">
        <f t="shared" si="1"/>
        <v>-0.69</v>
      </c>
      <c r="G5001" s="15">
        <f t="shared" si="2"/>
        <v>1.86</v>
      </c>
      <c r="H5001" s="16">
        <v>0.0</v>
      </c>
      <c r="I5001" s="15">
        <f t="shared" si="3"/>
        <v>-0.69</v>
      </c>
      <c r="J5001" s="15">
        <v>13.57</v>
      </c>
      <c r="K5001" s="16">
        <f>IF(COUNTIFS(Release_Calendar!$A$2:$A$755,"US_CPI",Release_Calendar!$B$2:$B$755,$A5001)&gt;0,1,0)</f>
        <v>0</v>
      </c>
      <c r="L5001" s="16">
        <f>IF(COUNTIFS(Release_Calendar!$A$2:$A$755,"US_NFP",Release_Calendar!$B$2:$B$755,$A5001)&gt;0,1,0)</f>
        <v>0</v>
      </c>
      <c r="M5001" s="16">
        <f>IF($A5001&lt;Notes!$B$5,"",IF(COUNTIFS(Release_Calendar!$A$2:$A$755,"NZ_CPI",Release_Calendar!$B$2:$B$755,$A5001)&gt;0,1,0))</f>
        <v>0</v>
      </c>
      <c r="N5001" s="16">
        <f>IF($A5001&lt;Notes!$B$5,"",IF(COUNTIFS(Release_Calendar!$A$2:$A$755,"NZ_GDP",Release_Calendar!$B$2:$B$755,$A5001)&gt;0,1,0))</f>
        <v>0</v>
      </c>
      <c r="O5001" s="16">
        <f>IF($A5001&lt;Notes!$B$5,"",IF(COUNTIFS(Release_Calendar!$A$2:$A$755,"NZ_LABOUR",Release_Calendar!$B$2:$B$755,$A5001)&gt;0,1,0))</f>
        <v>0</v>
      </c>
      <c r="P5001" s="16">
        <f t="shared" si="4"/>
        <v>0</v>
      </c>
    </row>
    <row r="5002" ht="15.75" customHeight="1">
      <c r="A5002" s="14">
        <v>43528.0</v>
      </c>
      <c r="B5002" s="15">
        <v>2.55</v>
      </c>
      <c r="C5002" s="15">
        <v>1.86</v>
      </c>
      <c r="D5002" s="15"/>
      <c r="E5002" s="15">
        <v>1.68</v>
      </c>
      <c r="F5002" s="15">
        <f t="shared" si="1"/>
        <v>-0.69</v>
      </c>
      <c r="G5002" s="15">
        <f t="shared" si="2"/>
        <v>1.86</v>
      </c>
      <c r="H5002" s="16">
        <v>0.0</v>
      </c>
      <c r="I5002" s="15">
        <f t="shared" si="3"/>
        <v>-0.69</v>
      </c>
      <c r="J5002" s="15">
        <v>14.63</v>
      </c>
      <c r="K5002" s="16">
        <f>IF(COUNTIFS(Release_Calendar!$A$2:$A$755,"US_CPI",Release_Calendar!$B$2:$B$755,$A5002)&gt;0,1,0)</f>
        <v>0</v>
      </c>
      <c r="L5002" s="16">
        <f>IF(COUNTIFS(Release_Calendar!$A$2:$A$755,"US_NFP",Release_Calendar!$B$2:$B$755,$A5002)&gt;0,1,0)</f>
        <v>0</v>
      </c>
      <c r="M5002" s="16">
        <f>IF($A5002&lt;Notes!$B$5,"",IF(COUNTIFS(Release_Calendar!$A$2:$A$755,"NZ_CPI",Release_Calendar!$B$2:$B$755,$A5002)&gt;0,1,0))</f>
        <v>0</v>
      </c>
      <c r="N5002" s="16">
        <f>IF($A5002&lt;Notes!$B$5,"",IF(COUNTIFS(Release_Calendar!$A$2:$A$755,"NZ_GDP",Release_Calendar!$B$2:$B$755,$A5002)&gt;0,1,0))</f>
        <v>0</v>
      </c>
      <c r="O5002" s="16">
        <f>IF($A5002&lt;Notes!$B$5,"",IF(COUNTIFS(Release_Calendar!$A$2:$A$755,"NZ_LABOUR",Release_Calendar!$B$2:$B$755,$A5002)&gt;0,1,0))</f>
        <v>0</v>
      </c>
      <c r="P5002" s="16">
        <f t="shared" si="4"/>
        <v>0</v>
      </c>
    </row>
    <row r="5003" ht="15.75" customHeight="1">
      <c r="A5003" s="14">
        <v>43529.0</v>
      </c>
      <c r="B5003" s="15">
        <v>2.55</v>
      </c>
      <c r="C5003" s="15">
        <v>1.86</v>
      </c>
      <c r="D5003" s="15"/>
      <c r="E5003" s="15">
        <v>1.67</v>
      </c>
      <c r="F5003" s="15">
        <f t="shared" si="1"/>
        <v>-0.69</v>
      </c>
      <c r="G5003" s="15">
        <f t="shared" si="2"/>
        <v>1.86</v>
      </c>
      <c r="H5003" s="16">
        <v>0.0</v>
      </c>
      <c r="I5003" s="15">
        <f t="shared" si="3"/>
        <v>-0.69</v>
      </c>
      <c r="J5003" s="15">
        <v>14.74</v>
      </c>
      <c r="K5003" s="16">
        <f>IF(COUNTIFS(Release_Calendar!$A$2:$A$755,"US_CPI",Release_Calendar!$B$2:$B$755,$A5003)&gt;0,1,0)</f>
        <v>0</v>
      </c>
      <c r="L5003" s="16">
        <f>IF(COUNTIFS(Release_Calendar!$A$2:$A$755,"US_NFP",Release_Calendar!$B$2:$B$755,$A5003)&gt;0,1,0)</f>
        <v>0</v>
      </c>
      <c r="M5003" s="16">
        <f>IF($A5003&lt;Notes!$B$5,"",IF(COUNTIFS(Release_Calendar!$A$2:$A$755,"NZ_CPI",Release_Calendar!$B$2:$B$755,$A5003)&gt;0,1,0))</f>
        <v>0</v>
      </c>
      <c r="N5003" s="16">
        <f>IF($A5003&lt;Notes!$B$5,"",IF(COUNTIFS(Release_Calendar!$A$2:$A$755,"NZ_GDP",Release_Calendar!$B$2:$B$755,$A5003)&gt;0,1,0))</f>
        <v>0</v>
      </c>
      <c r="O5003" s="16">
        <f>IF($A5003&lt;Notes!$B$5,"",IF(COUNTIFS(Release_Calendar!$A$2:$A$755,"NZ_LABOUR",Release_Calendar!$B$2:$B$755,$A5003)&gt;0,1,0))</f>
        <v>0</v>
      </c>
      <c r="P5003" s="16">
        <f t="shared" si="4"/>
        <v>0</v>
      </c>
    </row>
    <row r="5004" ht="15.75" customHeight="1">
      <c r="A5004" s="14">
        <v>43530.0</v>
      </c>
      <c r="B5004" s="15">
        <v>2.52</v>
      </c>
      <c r="C5004" s="15">
        <v>1.84</v>
      </c>
      <c r="D5004" s="15"/>
      <c r="E5004" s="15">
        <v>1.65</v>
      </c>
      <c r="F5004" s="15">
        <f t="shared" si="1"/>
        <v>-0.68</v>
      </c>
      <c r="G5004" s="15">
        <f t="shared" si="2"/>
        <v>1.84</v>
      </c>
      <c r="H5004" s="16">
        <v>0.0</v>
      </c>
      <c r="I5004" s="15">
        <f t="shared" si="3"/>
        <v>-0.68</v>
      </c>
      <c r="J5004" s="15">
        <v>15.74</v>
      </c>
      <c r="K5004" s="16">
        <f>IF(COUNTIFS(Release_Calendar!$A$2:$A$755,"US_CPI",Release_Calendar!$B$2:$B$755,$A5004)&gt;0,1,0)</f>
        <v>0</v>
      </c>
      <c r="L5004" s="16">
        <f>IF(COUNTIFS(Release_Calendar!$A$2:$A$755,"US_NFP",Release_Calendar!$B$2:$B$755,$A5004)&gt;0,1,0)</f>
        <v>0</v>
      </c>
      <c r="M5004" s="16">
        <f>IF($A5004&lt;Notes!$B$5,"",IF(COUNTIFS(Release_Calendar!$A$2:$A$755,"NZ_CPI",Release_Calendar!$B$2:$B$755,$A5004)&gt;0,1,0))</f>
        <v>0</v>
      </c>
      <c r="N5004" s="16">
        <f>IF($A5004&lt;Notes!$B$5,"",IF(COUNTIFS(Release_Calendar!$A$2:$A$755,"NZ_GDP",Release_Calendar!$B$2:$B$755,$A5004)&gt;0,1,0))</f>
        <v>0</v>
      </c>
      <c r="O5004" s="16">
        <f>IF($A5004&lt;Notes!$B$5,"",IF(COUNTIFS(Release_Calendar!$A$2:$A$755,"NZ_LABOUR",Release_Calendar!$B$2:$B$755,$A5004)&gt;0,1,0))</f>
        <v>0</v>
      </c>
      <c r="P5004" s="16">
        <f t="shared" si="4"/>
        <v>0</v>
      </c>
    </row>
    <row r="5005" ht="15.75" customHeight="1">
      <c r="A5005" s="14">
        <v>43531.0</v>
      </c>
      <c r="B5005" s="15">
        <v>2.47</v>
      </c>
      <c r="C5005" s="15">
        <v>1.84</v>
      </c>
      <c r="D5005" s="15"/>
      <c r="E5005" s="15">
        <v>1.63</v>
      </c>
      <c r="F5005" s="15">
        <f t="shared" si="1"/>
        <v>-0.63</v>
      </c>
      <c r="G5005" s="15">
        <f t="shared" si="2"/>
        <v>1.84</v>
      </c>
      <c r="H5005" s="16">
        <v>0.0</v>
      </c>
      <c r="I5005" s="15">
        <f t="shared" si="3"/>
        <v>-0.63</v>
      </c>
      <c r="J5005" s="15">
        <v>16.59</v>
      </c>
      <c r="K5005" s="16">
        <f>IF(COUNTIFS(Release_Calendar!$A$2:$A$755,"US_CPI",Release_Calendar!$B$2:$B$755,$A5005)&gt;0,1,0)</f>
        <v>0</v>
      </c>
      <c r="L5005" s="16">
        <f>IF(COUNTIFS(Release_Calendar!$A$2:$A$755,"US_NFP",Release_Calendar!$B$2:$B$755,$A5005)&gt;0,1,0)</f>
        <v>0</v>
      </c>
      <c r="M5005" s="16">
        <f>IF($A5005&lt;Notes!$B$5,"",IF(COUNTIFS(Release_Calendar!$A$2:$A$755,"NZ_CPI",Release_Calendar!$B$2:$B$755,$A5005)&gt;0,1,0))</f>
        <v>0</v>
      </c>
      <c r="N5005" s="16">
        <f>IF($A5005&lt;Notes!$B$5,"",IF(COUNTIFS(Release_Calendar!$A$2:$A$755,"NZ_GDP",Release_Calendar!$B$2:$B$755,$A5005)&gt;0,1,0))</f>
        <v>0</v>
      </c>
      <c r="O5005" s="16">
        <f>IF($A5005&lt;Notes!$B$5,"",IF(COUNTIFS(Release_Calendar!$A$2:$A$755,"NZ_LABOUR",Release_Calendar!$B$2:$B$755,$A5005)&gt;0,1,0))</f>
        <v>0</v>
      </c>
      <c r="P5005" s="16">
        <f t="shared" si="4"/>
        <v>0</v>
      </c>
    </row>
    <row r="5006" ht="15.75" customHeight="1">
      <c r="A5006" s="14">
        <v>43532.0</v>
      </c>
      <c r="B5006" s="15">
        <v>2.45</v>
      </c>
      <c r="C5006" s="15">
        <v>1.83</v>
      </c>
      <c r="D5006" s="15"/>
      <c r="E5006" s="15">
        <v>1.62</v>
      </c>
      <c r="F5006" s="15">
        <f t="shared" si="1"/>
        <v>-0.62</v>
      </c>
      <c r="G5006" s="15">
        <f t="shared" si="2"/>
        <v>1.83</v>
      </c>
      <c r="H5006" s="16">
        <v>0.0</v>
      </c>
      <c r="I5006" s="15">
        <f t="shared" si="3"/>
        <v>-0.62</v>
      </c>
      <c r="J5006" s="15">
        <v>16.05</v>
      </c>
      <c r="K5006" s="16">
        <f>IF(COUNTIFS(Release_Calendar!$A$2:$A$755,"US_CPI",Release_Calendar!$B$2:$B$755,$A5006)&gt;0,1,0)</f>
        <v>0</v>
      </c>
      <c r="L5006" s="16">
        <f>IF(COUNTIFS(Release_Calendar!$A$2:$A$755,"US_NFP",Release_Calendar!$B$2:$B$755,$A5006)&gt;0,1,0)</f>
        <v>1</v>
      </c>
      <c r="M5006" s="16">
        <f>IF($A5006&lt;Notes!$B$5,"",IF(COUNTIFS(Release_Calendar!$A$2:$A$755,"NZ_CPI",Release_Calendar!$B$2:$B$755,$A5006)&gt;0,1,0))</f>
        <v>0</v>
      </c>
      <c r="N5006" s="16">
        <f>IF($A5006&lt;Notes!$B$5,"",IF(COUNTIFS(Release_Calendar!$A$2:$A$755,"NZ_GDP",Release_Calendar!$B$2:$B$755,$A5006)&gt;0,1,0))</f>
        <v>0</v>
      </c>
      <c r="O5006" s="16">
        <f>IF($A5006&lt;Notes!$B$5,"",IF(COUNTIFS(Release_Calendar!$A$2:$A$755,"NZ_LABOUR",Release_Calendar!$B$2:$B$755,$A5006)&gt;0,1,0))</f>
        <v>0</v>
      </c>
      <c r="P5006" s="16">
        <f t="shared" si="4"/>
        <v>1</v>
      </c>
    </row>
    <row r="5007" ht="15.75" customHeight="1">
      <c r="A5007" s="14">
        <v>43535.0</v>
      </c>
      <c r="B5007" s="15">
        <v>2.47</v>
      </c>
      <c r="C5007" s="15">
        <v>1.84</v>
      </c>
      <c r="D5007" s="15"/>
      <c r="E5007" s="15">
        <v>1.63</v>
      </c>
      <c r="F5007" s="15">
        <f t="shared" si="1"/>
        <v>-0.63</v>
      </c>
      <c r="G5007" s="15">
        <f t="shared" si="2"/>
        <v>1.84</v>
      </c>
      <c r="H5007" s="16">
        <v>0.0</v>
      </c>
      <c r="I5007" s="15">
        <f t="shared" si="3"/>
        <v>-0.63</v>
      </c>
      <c r="J5007" s="15">
        <v>14.33</v>
      </c>
      <c r="K5007" s="16">
        <f>IF(COUNTIFS(Release_Calendar!$A$2:$A$755,"US_CPI",Release_Calendar!$B$2:$B$755,$A5007)&gt;0,1,0)</f>
        <v>0</v>
      </c>
      <c r="L5007" s="16">
        <f>IF(COUNTIFS(Release_Calendar!$A$2:$A$755,"US_NFP",Release_Calendar!$B$2:$B$755,$A5007)&gt;0,1,0)</f>
        <v>0</v>
      </c>
      <c r="M5007" s="16">
        <f>IF($A5007&lt;Notes!$B$5,"",IF(COUNTIFS(Release_Calendar!$A$2:$A$755,"NZ_CPI",Release_Calendar!$B$2:$B$755,$A5007)&gt;0,1,0))</f>
        <v>0</v>
      </c>
      <c r="N5007" s="16">
        <f>IF($A5007&lt;Notes!$B$5,"",IF(COUNTIFS(Release_Calendar!$A$2:$A$755,"NZ_GDP",Release_Calendar!$B$2:$B$755,$A5007)&gt;0,1,0))</f>
        <v>0</v>
      </c>
      <c r="O5007" s="16">
        <f>IF($A5007&lt;Notes!$B$5,"",IF(COUNTIFS(Release_Calendar!$A$2:$A$755,"NZ_LABOUR",Release_Calendar!$B$2:$B$755,$A5007)&gt;0,1,0))</f>
        <v>0</v>
      </c>
      <c r="P5007" s="16">
        <f t="shared" si="4"/>
        <v>0</v>
      </c>
    </row>
    <row r="5008" ht="15.75" customHeight="1">
      <c r="A5008" s="14">
        <v>43536.0</v>
      </c>
      <c r="B5008" s="15">
        <v>2.45</v>
      </c>
      <c r="C5008" s="15">
        <v>1.84</v>
      </c>
      <c r="D5008" s="15"/>
      <c r="E5008" s="15">
        <v>1.64</v>
      </c>
      <c r="F5008" s="15">
        <f t="shared" si="1"/>
        <v>-0.61</v>
      </c>
      <c r="G5008" s="15">
        <f t="shared" si="2"/>
        <v>1.84</v>
      </c>
      <c r="H5008" s="16">
        <v>0.0</v>
      </c>
      <c r="I5008" s="15">
        <f t="shared" si="3"/>
        <v>-0.61</v>
      </c>
      <c r="J5008" s="15">
        <v>13.77</v>
      </c>
      <c r="K5008" s="16">
        <f>IF(COUNTIFS(Release_Calendar!$A$2:$A$755,"US_CPI",Release_Calendar!$B$2:$B$755,$A5008)&gt;0,1,0)</f>
        <v>1</v>
      </c>
      <c r="L5008" s="16">
        <f>IF(COUNTIFS(Release_Calendar!$A$2:$A$755,"US_NFP",Release_Calendar!$B$2:$B$755,$A5008)&gt;0,1,0)</f>
        <v>0</v>
      </c>
      <c r="M5008" s="16">
        <f>IF($A5008&lt;Notes!$B$5,"",IF(COUNTIFS(Release_Calendar!$A$2:$A$755,"NZ_CPI",Release_Calendar!$B$2:$B$755,$A5008)&gt;0,1,0))</f>
        <v>0</v>
      </c>
      <c r="N5008" s="16">
        <f>IF($A5008&lt;Notes!$B$5,"",IF(COUNTIFS(Release_Calendar!$A$2:$A$755,"NZ_GDP",Release_Calendar!$B$2:$B$755,$A5008)&gt;0,1,0))</f>
        <v>0</v>
      </c>
      <c r="O5008" s="16">
        <f>IF($A5008&lt;Notes!$B$5,"",IF(COUNTIFS(Release_Calendar!$A$2:$A$755,"NZ_LABOUR",Release_Calendar!$B$2:$B$755,$A5008)&gt;0,1,0))</f>
        <v>0</v>
      </c>
      <c r="P5008" s="16">
        <f t="shared" si="4"/>
        <v>1</v>
      </c>
    </row>
    <row r="5009" ht="15.75" customHeight="1">
      <c r="A5009" s="14">
        <v>43537.0</v>
      </c>
      <c r="B5009" s="15">
        <v>2.45</v>
      </c>
      <c r="C5009" s="15">
        <v>1.82</v>
      </c>
      <c r="D5009" s="15"/>
      <c r="E5009" s="15">
        <v>1.61</v>
      </c>
      <c r="F5009" s="15">
        <f t="shared" si="1"/>
        <v>-0.63</v>
      </c>
      <c r="G5009" s="15">
        <f t="shared" si="2"/>
        <v>1.82</v>
      </c>
      <c r="H5009" s="16">
        <v>0.0</v>
      </c>
      <c r="I5009" s="15">
        <f t="shared" si="3"/>
        <v>-0.63</v>
      </c>
      <c r="J5009" s="15">
        <v>13.41</v>
      </c>
      <c r="K5009" s="16">
        <f>IF(COUNTIFS(Release_Calendar!$A$2:$A$755,"US_CPI",Release_Calendar!$B$2:$B$755,$A5009)&gt;0,1,0)</f>
        <v>0</v>
      </c>
      <c r="L5009" s="16">
        <f>IF(COUNTIFS(Release_Calendar!$A$2:$A$755,"US_NFP",Release_Calendar!$B$2:$B$755,$A5009)&gt;0,1,0)</f>
        <v>0</v>
      </c>
      <c r="M5009" s="16">
        <f>IF($A5009&lt;Notes!$B$5,"",IF(COUNTIFS(Release_Calendar!$A$2:$A$755,"NZ_CPI",Release_Calendar!$B$2:$B$755,$A5009)&gt;0,1,0))</f>
        <v>0</v>
      </c>
      <c r="N5009" s="16">
        <f>IF($A5009&lt;Notes!$B$5,"",IF(COUNTIFS(Release_Calendar!$A$2:$A$755,"NZ_GDP",Release_Calendar!$B$2:$B$755,$A5009)&gt;0,1,0))</f>
        <v>0</v>
      </c>
      <c r="O5009" s="16">
        <f>IF($A5009&lt;Notes!$B$5,"",IF(COUNTIFS(Release_Calendar!$A$2:$A$755,"NZ_LABOUR",Release_Calendar!$B$2:$B$755,$A5009)&gt;0,1,0))</f>
        <v>0</v>
      </c>
      <c r="P5009" s="16">
        <f t="shared" si="4"/>
        <v>0</v>
      </c>
    </row>
    <row r="5010" ht="15.75" customHeight="1">
      <c r="A5010" s="14">
        <v>43538.0</v>
      </c>
      <c r="B5010" s="15">
        <v>2.46</v>
      </c>
      <c r="C5010" s="15">
        <v>1.83</v>
      </c>
      <c r="D5010" s="15"/>
      <c r="E5010" s="15">
        <v>1.63</v>
      </c>
      <c r="F5010" s="15">
        <f t="shared" si="1"/>
        <v>-0.63</v>
      </c>
      <c r="G5010" s="15">
        <f t="shared" si="2"/>
        <v>1.83</v>
      </c>
      <c r="H5010" s="16">
        <v>0.0</v>
      </c>
      <c r="I5010" s="15">
        <f t="shared" si="3"/>
        <v>-0.63</v>
      </c>
      <c r="J5010" s="15">
        <v>13.5</v>
      </c>
      <c r="K5010" s="16">
        <f>IF(COUNTIFS(Release_Calendar!$A$2:$A$755,"US_CPI",Release_Calendar!$B$2:$B$755,$A5010)&gt;0,1,0)</f>
        <v>0</v>
      </c>
      <c r="L5010" s="16">
        <f>IF(COUNTIFS(Release_Calendar!$A$2:$A$755,"US_NFP",Release_Calendar!$B$2:$B$755,$A5010)&gt;0,1,0)</f>
        <v>0</v>
      </c>
      <c r="M5010" s="16">
        <f>IF($A5010&lt;Notes!$B$5,"",IF(COUNTIFS(Release_Calendar!$A$2:$A$755,"NZ_CPI",Release_Calendar!$B$2:$B$755,$A5010)&gt;0,1,0))</f>
        <v>0</v>
      </c>
      <c r="N5010" s="16">
        <f>IF($A5010&lt;Notes!$B$5,"",IF(COUNTIFS(Release_Calendar!$A$2:$A$755,"NZ_GDP",Release_Calendar!$B$2:$B$755,$A5010)&gt;0,1,0))</f>
        <v>0</v>
      </c>
      <c r="O5010" s="16">
        <f>IF($A5010&lt;Notes!$B$5,"",IF(COUNTIFS(Release_Calendar!$A$2:$A$755,"NZ_LABOUR",Release_Calendar!$B$2:$B$755,$A5010)&gt;0,1,0))</f>
        <v>0</v>
      </c>
      <c r="P5010" s="16">
        <f t="shared" si="4"/>
        <v>0</v>
      </c>
    </row>
    <row r="5011" ht="15.75" customHeight="1">
      <c r="A5011" s="14">
        <v>43539.0</v>
      </c>
      <c r="B5011" s="15">
        <v>2.43</v>
      </c>
      <c r="C5011" s="15">
        <v>1.84</v>
      </c>
      <c r="D5011" s="15"/>
      <c r="E5011" s="15">
        <v>1.63</v>
      </c>
      <c r="F5011" s="15">
        <f t="shared" si="1"/>
        <v>-0.59</v>
      </c>
      <c r="G5011" s="15">
        <f t="shared" si="2"/>
        <v>1.84</v>
      </c>
      <c r="H5011" s="16">
        <v>0.0</v>
      </c>
      <c r="I5011" s="15">
        <f t="shared" si="3"/>
        <v>-0.59</v>
      </c>
      <c r="J5011" s="15">
        <v>12.88</v>
      </c>
      <c r="K5011" s="16">
        <f>IF(COUNTIFS(Release_Calendar!$A$2:$A$755,"US_CPI",Release_Calendar!$B$2:$B$755,$A5011)&gt;0,1,0)</f>
        <v>0</v>
      </c>
      <c r="L5011" s="16">
        <f>IF(COUNTIFS(Release_Calendar!$A$2:$A$755,"US_NFP",Release_Calendar!$B$2:$B$755,$A5011)&gt;0,1,0)</f>
        <v>0</v>
      </c>
      <c r="M5011" s="16">
        <f>IF($A5011&lt;Notes!$B$5,"",IF(COUNTIFS(Release_Calendar!$A$2:$A$755,"NZ_CPI",Release_Calendar!$B$2:$B$755,$A5011)&gt;0,1,0))</f>
        <v>0</v>
      </c>
      <c r="N5011" s="16">
        <f>IF($A5011&lt;Notes!$B$5,"",IF(COUNTIFS(Release_Calendar!$A$2:$A$755,"NZ_GDP",Release_Calendar!$B$2:$B$755,$A5011)&gt;0,1,0))</f>
        <v>0</v>
      </c>
      <c r="O5011" s="16">
        <f>IF($A5011&lt;Notes!$B$5,"",IF(COUNTIFS(Release_Calendar!$A$2:$A$755,"NZ_LABOUR",Release_Calendar!$B$2:$B$755,$A5011)&gt;0,1,0))</f>
        <v>0</v>
      </c>
      <c r="P5011" s="16">
        <f t="shared" si="4"/>
        <v>0</v>
      </c>
    </row>
    <row r="5012" ht="15.75" customHeight="1">
      <c r="A5012" s="14">
        <v>43542.0</v>
      </c>
      <c r="B5012" s="15">
        <v>2.45</v>
      </c>
      <c r="C5012" s="15">
        <v>1.83</v>
      </c>
      <c r="D5012" s="15"/>
      <c r="E5012" s="15">
        <v>1.62</v>
      </c>
      <c r="F5012" s="15">
        <f t="shared" si="1"/>
        <v>-0.62</v>
      </c>
      <c r="G5012" s="15">
        <f t="shared" si="2"/>
        <v>1.83</v>
      </c>
      <c r="H5012" s="16">
        <v>0.0</v>
      </c>
      <c r="I5012" s="15">
        <f t="shared" si="3"/>
        <v>-0.62</v>
      </c>
      <c r="J5012" s="15">
        <v>13.1</v>
      </c>
      <c r="K5012" s="16">
        <f>IF(COUNTIFS(Release_Calendar!$A$2:$A$755,"US_CPI",Release_Calendar!$B$2:$B$755,$A5012)&gt;0,1,0)</f>
        <v>0</v>
      </c>
      <c r="L5012" s="16">
        <f>IF(COUNTIFS(Release_Calendar!$A$2:$A$755,"US_NFP",Release_Calendar!$B$2:$B$755,$A5012)&gt;0,1,0)</f>
        <v>0</v>
      </c>
      <c r="M5012" s="16">
        <f>IF($A5012&lt;Notes!$B$5,"",IF(COUNTIFS(Release_Calendar!$A$2:$A$755,"NZ_CPI",Release_Calendar!$B$2:$B$755,$A5012)&gt;0,1,0))</f>
        <v>0</v>
      </c>
      <c r="N5012" s="16">
        <f>IF($A5012&lt;Notes!$B$5,"",IF(COUNTIFS(Release_Calendar!$A$2:$A$755,"NZ_GDP",Release_Calendar!$B$2:$B$755,$A5012)&gt;0,1,0))</f>
        <v>0</v>
      </c>
      <c r="O5012" s="16">
        <f>IF($A5012&lt;Notes!$B$5,"",IF(COUNTIFS(Release_Calendar!$A$2:$A$755,"NZ_LABOUR",Release_Calendar!$B$2:$B$755,$A5012)&gt;0,1,0))</f>
        <v>0</v>
      </c>
      <c r="P5012" s="16">
        <f t="shared" si="4"/>
        <v>0</v>
      </c>
    </row>
    <row r="5013" ht="15.75" customHeight="1">
      <c r="A5013" s="14">
        <v>43543.0</v>
      </c>
      <c r="B5013" s="15">
        <v>2.46</v>
      </c>
      <c r="C5013" s="15">
        <v>1.82</v>
      </c>
      <c r="D5013" s="15"/>
      <c r="E5013" s="15">
        <v>1.61</v>
      </c>
      <c r="F5013" s="15">
        <f t="shared" si="1"/>
        <v>-0.64</v>
      </c>
      <c r="G5013" s="15">
        <f t="shared" si="2"/>
        <v>1.82</v>
      </c>
      <c r="H5013" s="16">
        <v>0.0</v>
      </c>
      <c r="I5013" s="15">
        <f t="shared" si="3"/>
        <v>-0.64</v>
      </c>
      <c r="J5013" s="15">
        <v>13.56</v>
      </c>
      <c r="K5013" s="16">
        <f>IF(COUNTIFS(Release_Calendar!$A$2:$A$755,"US_CPI",Release_Calendar!$B$2:$B$755,$A5013)&gt;0,1,0)</f>
        <v>0</v>
      </c>
      <c r="L5013" s="16">
        <f>IF(COUNTIFS(Release_Calendar!$A$2:$A$755,"US_NFP",Release_Calendar!$B$2:$B$755,$A5013)&gt;0,1,0)</f>
        <v>0</v>
      </c>
      <c r="M5013" s="16">
        <f>IF($A5013&lt;Notes!$B$5,"",IF(COUNTIFS(Release_Calendar!$A$2:$A$755,"NZ_CPI",Release_Calendar!$B$2:$B$755,$A5013)&gt;0,1,0))</f>
        <v>0</v>
      </c>
      <c r="N5013" s="16">
        <f>IF($A5013&lt;Notes!$B$5,"",IF(COUNTIFS(Release_Calendar!$A$2:$A$755,"NZ_GDP",Release_Calendar!$B$2:$B$755,$A5013)&gt;0,1,0))</f>
        <v>0</v>
      </c>
      <c r="O5013" s="16">
        <f>IF($A5013&lt;Notes!$B$5,"",IF(COUNTIFS(Release_Calendar!$A$2:$A$755,"NZ_LABOUR",Release_Calendar!$B$2:$B$755,$A5013)&gt;0,1,0))</f>
        <v>0</v>
      </c>
      <c r="P5013" s="16">
        <f t="shared" si="4"/>
        <v>0</v>
      </c>
    </row>
    <row r="5014" ht="15.75" customHeight="1">
      <c r="A5014" s="14">
        <v>43544.0</v>
      </c>
      <c r="B5014" s="15">
        <v>2.4</v>
      </c>
      <c r="C5014" s="15">
        <v>1.81</v>
      </c>
      <c r="D5014" s="15"/>
      <c r="E5014" s="15">
        <v>1.6</v>
      </c>
      <c r="F5014" s="15">
        <f t="shared" si="1"/>
        <v>-0.59</v>
      </c>
      <c r="G5014" s="15">
        <f t="shared" si="2"/>
        <v>1.81</v>
      </c>
      <c r="H5014" s="16">
        <v>0.0</v>
      </c>
      <c r="I5014" s="15">
        <f t="shared" si="3"/>
        <v>-0.59</v>
      </c>
      <c r="J5014" s="15">
        <v>13.91</v>
      </c>
      <c r="K5014" s="16">
        <f>IF(COUNTIFS(Release_Calendar!$A$2:$A$755,"US_CPI",Release_Calendar!$B$2:$B$755,$A5014)&gt;0,1,0)</f>
        <v>0</v>
      </c>
      <c r="L5014" s="16">
        <f>IF(COUNTIFS(Release_Calendar!$A$2:$A$755,"US_NFP",Release_Calendar!$B$2:$B$755,$A5014)&gt;0,1,0)</f>
        <v>0</v>
      </c>
      <c r="M5014" s="16">
        <f>IF($A5014&lt;Notes!$B$5,"",IF(COUNTIFS(Release_Calendar!$A$2:$A$755,"NZ_CPI",Release_Calendar!$B$2:$B$755,$A5014)&gt;0,1,0))</f>
        <v>0</v>
      </c>
      <c r="N5014" s="16">
        <f>IF($A5014&lt;Notes!$B$5,"",IF(COUNTIFS(Release_Calendar!$A$2:$A$755,"NZ_GDP",Release_Calendar!$B$2:$B$755,$A5014)&gt;0,1,0))</f>
        <v>0</v>
      </c>
      <c r="O5014" s="16">
        <f>IF($A5014&lt;Notes!$B$5,"",IF(COUNTIFS(Release_Calendar!$A$2:$A$755,"NZ_LABOUR",Release_Calendar!$B$2:$B$755,$A5014)&gt;0,1,0))</f>
        <v>0</v>
      </c>
      <c r="P5014" s="16">
        <f t="shared" si="4"/>
        <v>0</v>
      </c>
    </row>
    <row r="5015" ht="15.75" customHeight="1">
      <c r="A5015" s="14">
        <v>43545.0</v>
      </c>
      <c r="B5015" s="15">
        <v>2.41</v>
      </c>
      <c r="C5015" s="15">
        <v>1.81</v>
      </c>
      <c r="D5015" s="15"/>
      <c r="E5015" s="15">
        <v>1.56</v>
      </c>
      <c r="F5015" s="15">
        <f t="shared" si="1"/>
        <v>-0.6</v>
      </c>
      <c r="G5015" s="15">
        <f t="shared" si="2"/>
        <v>1.81</v>
      </c>
      <c r="H5015" s="16">
        <v>0.0</v>
      </c>
      <c r="I5015" s="15">
        <f t="shared" si="3"/>
        <v>-0.6</v>
      </c>
      <c r="J5015" s="15">
        <v>13.63</v>
      </c>
      <c r="K5015" s="16">
        <f>IF(COUNTIFS(Release_Calendar!$A$2:$A$755,"US_CPI",Release_Calendar!$B$2:$B$755,$A5015)&gt;0,1,0)</f>
        <v>0</v>
      </c>
      <c r="L5015" s="16">
        <f>IF(COUNTIFS(Release_Calendar!$A$2:$A$755,"US_NFP",Release_Calendar!$B$2:$B$755,$A5015)&gt;0,1,0)</f>
        <v>0</v>
      </c>
      <c r="M5015" s="16">
        <f>IF($A5015&lt;Notes!$B$5,"",IF(COUNTIFS(Release_Calendar!$A$2:$A$755,"NZ_CPI",Release_Calendar!$B$2:$B$755,$A5015)&gt;0,1,0))</f>
        <v>0</v>
      </c>
      <c r="N5015" s="16">
        <f>IF($A5015&lt;Notes!$B$5,"",IF(COUNTIFS(Release_Calendar!$A$2:$A$755,"NZ_GDP",Release_Calendar!$B$2:$B$755,$A5015)&gt;0,1,0))</f>
        <v>1</v>
      </c>
      <c r="O5015" s="16">
        <f>IF($A5015&lt;Notes!$B$5,"",IF(COUNTIFS(Release_Calendar!$A$2:$A$755,"NZ_LABOUR",Release_Calendar!$B$2:$B$755,$A5015)&gt;0,1,0))</f>
        <v>0</v>
      </c>
      <c r="P5015" s="16">
        <f t="shared" si="4"/>
        <v>1</v>
      </c>
    </row>
    <row r="5016" ht="15.75" customHeight="1">
      <c r="A5016" s="14">
        <v>43546.0</v>
      </c>
      <c r="B5016" s="15">
        <v>2.31</v>
      </c>
      <c r="C5016" s="15">
        <v>1.82</v>
      </c>
      <c r="D5016" s="15"/>
      <c r="E5016" s="15">
        <v>1.56</v>
      </c>
      <c r="F5016" s="15">
        <f t="shared" si="1"/>
        <v>-0.49</v>
      </c>
      <c r="G5016" s="15">
        <f t="shared" si="2"/>
        <v>1.82</v>
      </c>
      <c r="H5016" s="16">
        <v>0.0</v>
      </c>
      <c r="I5016" s="15">
        <f t="shared" si="3"/>
        <v>-0.49</v>
      </c>
      <c r="J5016" s="15">
        <v>16.48</v>
      </c>
      <c r="K5016" s="16">
        <f>IF(COUNTIFS(Release_Calendar!$A$2:$A$755,"US_CPI",Release_Calendar!$B$2:$B$755,$A5016)&gt;0,1,0)</f>
        <v>0</v>
      </c>
      <c r="L5016" s="16">
        <f>IF(COUNTIFS(Release_Calendar!$A$2:$A$755,"US_NFP",Release_Calendar!$B$2:$B$755,$A5016)&gt;0,1,0)</f>
        <v>0</v>
      </c>
      <c r="M5016" s="16">
        <f>IF($A5016&lt;Notes!$B$5,"",IF(COUNTIFS(Release_Calendar!$A$2:$A$755,"NZ_CPI",Release_Calendar!$B$2:$B$755,$A5016)&gt;0,1,0))</f>
        <v>0</v>
      </c>
      <c r="N5016" s="16">
        <f>IF($A5016&lt;Notes!$B$5,"",IF(COUNTIFS(Release_Calendar!$A$2:$A$755,"NZ_GDP",Release_Calendar!$B$2:$B$755,$A5016)&gt;0,1,0))</f>
        <v>0</v>
      </c>
      <c r="O5016" s="16">
        <f>IF($A5016&lt;Notes!$B$5,"",IF(COUNTIFS(Release_Calendar!$A$2:$A$755,"NZ_LABOUR",Release_Calendar!$B$2:$B$755,$A5016)&gt;0,1,0))</f>
        <v>0</v>
      </c>
      <c r="P5016" s="16">
        <f t="shared" si="4"/>
        <v>0</v>
      </c>
    </row>
    <row r="5017" ht="15.75" customHeight="1">
      <c r="A5017" s="14">
        <v>43549.0</v>
      </c>
      <c r="B5017" s="15">
        <v>2.26</v>
      </c>
      <c r="C5017" s="15">
        <v>1.78</v>
      </c>
      <c r="D5017" s="15"/>
      <c r="E5017" s="15">
        <v>1.51</v>
      </c>
      <c r="F5017" s="15">
        <f t="shared" si="1"/>
        <v>-0.48</v>
      </c>
      <c r="G5017" s="15">
        <f t="shared" si="2"/>
        <v>1.78</v>
      </c>
      <c r="H5017" s="16">
        <v>0.0</v>
      </c>
      <c r="I5017" s="15">
        <f t="shared" si="3"/>
        <v>-0.48</v>
      </c>
      <c r="J5017" s="15">
        <v>16.33</v>
      </c>
      <c r="K5017" s="16">
        <f>IF(COUNTIFS(Release_Calendar!$A$2:$A$755,"US_CPI",Release_Calendar!$B$2:$B$755,$A5017)&gt;0,1,0)</f>
        <v>0</v>
      </c>
      <c r="L5017" s="16">
        <f>IF(COUNTIFS(Release_Calendar!$A$2:$A$755,"US_NFP",Release_Calendar!$B$2:$B$755,$A5017)&gt;0,1,0)</f>
        <v>0</v>
      </c>
      <c r="M5017" s="16">
        <f>IF($A5017&lt;Notes!$B$5,"",IF(COUNTIFS(Release_Calendar!$A$2:$A$755,"NZ_CPI",Release_Calendar!$B$2:$B$755,$A5017)&gt;0,1,0))</f>
        <v>0</v>
      </c>
      <c r="N5017" s="16">
        <f>IF($A5017&lt;Notes!$B$5,"",IF(COUNTIFS(Release_Calendar!$A$2:$A$755,"NZ_GDP",Release_Calendar!$B$2:$B$755,$A5017)&gt;0,1,0))</f>
        <v>0</v>
      </c>
      <c r="O5017" s="16">
        <f>IF($A5017&lt;Notes!$B$5,"",IF(COUNTIFS(Release_Calendar!$A$2:$A$755,"NZ_LABOUR",Release_Calendar!$B$2:$B$755,$A5017)&gt;0,1,0))</f>
        <v>0</v>
      </c>
      <c r="P5017" s="16">
        <f t="shared" si="4"/>
        <v>0</v>
      </c>
    </row>
    <row r="5018" ht="15.75" customHeight="1">
      <c r="A5018" s="14">
        <v>43550.0</v>
      </c>
      <c r="B5018" s="15">
        <v>2.24</v>
      </c>
      <c r="C5018" s="15">
        <v>1.79</v>
      </c>
      <c r="D5018" s="15"/>
      <c r="E5018" s="15">
        <v>1.53</v>
      </c>
      <c r="F5018" s="15">
        <f t="shared" si="1"/>
        <v>-0.45</v>
      </c>
      <c r="G5018" s="15">
        <f t="shared" si="2"/>
        <v>1.79</v>
      </c>
      <c r="H5018" s="16">
        <v>0.0</v>
      </c>
      <c r="I5018" s="15">
        <f t="shared" si="3"/>
        <v>-0.45</v>
      </c>
      <c r="J5018" s="15">
        <v>14.68</v>
      </c>
      <c r="K5018" s="16">
        <f>IF(COUNTIFS(Release_Calendar!$A$2:$A$755,"US_CPI",Release_Calendar!$B$2:$B$755,$A5018)&gt;0,1,0)</f>
        <v>0</v>
      </c>
      <c r="L5018" s="16">
        <f>IF(COUNTIFS(Release_Calendar!$A$2:$A$755,"US_NFP",Release_Calendar!$B$2:$B$755,$A5018)&gt;0,1,0)</f>
        <v>0</v>
      </c>
      <c r="M5018" s="16">
        <f>IF($A5018&lt;Notes!$B$5,"",IF(COUNTIFS(Release_Calendar!$A$2:$A$755,"NZ_CPI",Release_Calendar!$B$2:$B$755,$A5018)&gt;0,1,0))</f>
        <v>0</v>
      </c>
      <c r="N5018" s="16">
        <f>IF($A5018&lt;Notes!$B$5,"",IF(COUNTIFS(Release_Calendar!$A$2:$A$755,"NZ_GDP",Release_Calendar!$B$2:$B$755,$A5018)&gt;0,1,0))</f>
        <v>0</v>
      </c>
      <c r="O5018" s="16">
        <f>IF($A5018&lt;Notes!$B$5,"",IF(COUNTIFS(Release_Calendar!$A$2:$A$755,"NZ_LABOUR",Release_Calendar!$B$2:$B$755,$A5018)&gt;0,1,0))</f>
        <v>0</v>
      </c>
      <c r="P5018" s="16">
        <f t="shared" si="4"/>
        <v>0</v>
      </c>
    </row>
    <row r="5019" ht="15.75" customHeight="1">
      <c r="A5019" s="14">
        <v>43551.0</v>
      </c>
      <c r="B5019" s="15">
        <v>2.22</v>
      </c>
      <c r="C5019" s="15">
        <v>1.63</v>
      </c>
      <c r="D5019" s="15"/>
      <c r="E5019" s="15">
        <v>1.41</v>
      </c>
      <c r="F5019" s="15">
        <f t="shared" si="1"/>
        <v>-0.59</v>
      </c>
      <c r="G5019" s="15">
        <f t="shared" si="2"/>
        <v>1.63</v>
      </c>
      <c r="H5019" s="16">
        <v>0.0</v>
      </c>
      <c r="I5019" s="15">
        <f t="shared" si="3"/>
        <v>-0.59</v>
      </c>
      <c r="J5019" s="15">
        <v>15.15</v>
      </c>
      <c r="K5019" s="16">
        <f>IF(COUNTIFS(Release_Calendar!$A$2:$A$755,"US_CPI",Release_Calendar!$B$2:$B$755,$A5019)&gt;0,1,0)</f>
        <v>0</v>
      </c>
      <c r="L5019" s="16">
        <f>IF(COUNTIFS(Release_Calendar!$A$2:$A$755,"US_NFP",Release_Calendar!$B$2:$B$755,$A5019)&gt;0,1,0)</f>
        <v>0</v>
      </c>
      <c r="M5019" s="16">
        <f>IF($A5019&lt;Notes!$B$5,"",IF(COUNTIFS(Release_Calendar!$A$2:$A$755,"NZ_CPI",Release_Calendar!$B$2:$B$755,$A5019)&gt;0,1,0))</f>
        <v>0</v>
      </c>
      <c r="N5019" s="16">
        <f>IF($A5019&lt;Notes!$B$5,"",IF(COUNTIFS(Release_Calendar!$A$2:$A$755,"NZ_GDP",Release_Calendar!$B$2:$B$755,$A5019)&gt;0,1,0))</f>
        <v>0</v>
      </c>
      <c r="O5019" s="16">
        <f>IF($A5019&lt;Notes!$B$5,"",IF(COUNTIFS(Release_Calendar!$A$2:$A$755,"NZ_LABOUR",Release_Calendar!$B$2:$B$755,$A5019)&gt;0,1,0))</f>
        <v>0</v>
      </c>
      <c r="P5019" s="16">
        <f t="shared" si="4"/>
        <v>0</v>
      </c>
    </row>
    <row r="5020" ht="15.75" customHeight="1">
      <c r="A5020" s="14">
        <v>43552.0</v>
      </c>
      <c r="B5020" s="15">
        <v>2.23</v>
      </c>
      <c r="C5020" s="15">
        <v>1.62</v>
      </c>
      <c r="D5020" s="15"/>
      <c r="E5020" s="15">
        <v>1.4</v>
      </c>
      <c r="F5020" s="15">
        <f t="shared" si="1"/>
        <v>-0.61</v>
      </c>
      <c r="G5020" s="15">
        <f t="shared" si="2"/>
        <v>1.62</v>
      </c>
      <c r="H5020" s="16">
        <v>0.0</v>
      </c>
      <c r="I5020" s="15">
        <f t="shared" si="3"/>
        <v>-0.61</v>
      </c>
      <c r="J5020" s="15">
        <v>14.43</v>
      </c>
      <c r="K5020" s="16">
        <f>IF(COUNTIFS(Release_Calendar!$A$2:$A$755,"US_CPI",Release_Calendar!$B$2:$B$755,$A5020)&gt;0,1,0)</f>
        <v>0</v>
      </c>
      <c r="L5020" s="16">
        <f>IF(COUNTIFS(Release_Calendar!$A$2:$A$755,"US_NFP",Release_Calendar!$B$2:$B$755,$A5020)&gt;0,1,0)</f>
        <v>0</v>
      </c>
      <c r="M5020" s="16">
        <f>IF($A5020&lt;Notes!$B$5,"",IF(COUNTIFS(Release_Calendar!$A$2:$A$755,"NZ_CPI",Release_Calendar!$B$2:$B$755,$A5020)&gt;0,1,0))</f>
        <v>0</v>
      </c>
      <c r="N5020" s="16">
        <f>IF($A5020&lt;Notes!$B$5,"",IF(COUNTIFS(Release_Calendar!$A$2:$A$755,"NZ_GDP",Release_Calendar!$B$2:$B$755,$A5020)&gt;0,1,0))</f>
        <v>0</v>
      </c>
      <c r="O5020" s="16">
        <f>IF($A5020&lt;Notes!$B$5,"",IF(COUNTIFS(Release_Calendar!$A$2:$A$755,"NZ_LABOUR",Release_Calendar!$B$2:$B$755,$A5020)&gt;0,1,0))</f>
        <v>0</v>
      </c>
      <c r="P5020" s="16">
        <f t="shared" si="4"/>
        <v>0</v>
      </c>
    </row>
    <row r="5021" ht="15.75" customHeight="1">
      <c r="A5021" s="14">
        <v>43553.0</v>
      </c>
      <c r="B5021" s="15">
        <v>2.27</v>
      </c>
      <c r="C5021" s="15">
        <v>1.62</v>
      </c>
      <c r="D5021" s="15"/>
      <c r="E5021" s="15">
        <v>1.42</v>
      </c>
      <c r="F5021" s="15">
        <f t="shared" si="1"/>
        <v>-0.65</v>
      </c>
      <c r="G5021" s="15">
        <f t="shared" si="2"/>
        <v>1.62</v>
      </c>
      <c r="H5021" s="16">
        <v>0.0</v>
      </c>
      <c r="I5021" s="15">
        <f t="shared" si="3"/>
        <v>-0.65</v>
      </c>
      <c r="J5021" s="15">
        <v>13.71</v>
      </c>
      <c r="K5021" s="16">
        <f>IF(COUNTIFS(Release_Calendar!$A$2:$A$755,"US_CPI",Release_Calendar!$B$2:$B$755,$A5021)&gt;0,1,0)</f>
        <v>0</v>
      </c>
      <c r="L5021" s="16">
        <f>IF(COUNTIFS(Release_Calendar!$A$2:$A$755,"US_NFP",Release_Calendar!$B$2:$B$755,$A5021)&gt;0,1,0)</f>
        <v>0</v>
      </c>
      <c r="M5021" s="16">
        <f>IF($A5021&lt;Notes!$B$5,"",IF(COUNTIFS(Release_Calendar!$A$2:$A$755,"NZ_CPI",Release_Calendar!$B$2:$B$755,$A5021)&gt;0,1,0))</f>
        <v>0</v>
      </c>
      <c r="N5021" s="16">
        <f>IF($A5021&lt;Notes!$B$5,"",IF(COUNTIFS(Release_Calendar!$A$2:$A$755,"NZ_GDP",Release_Calendar!$B$2:$B$755,$A5021)&gt;0,1,0))</f>
        <v>0</v>
      </c>
      <c r="O5021" s="16">
        <f>IF($A5021&lt;Notes!$B$5,"",IF(COUNTIFS(Release_Calendar!$A$2:$A$755,"NZ_LABOUR",Release_Calendar!$B$2:$B$755,$A5021)&gt;0,1,0))</f>
        <v>0</v>
      </c>
      <c r="P5021" s="16">
        <f t="shared" si="4"/>
        <v>0</v>
      </c>
    </row>
    <row r="5022" ht="15.75" customHeight="1">
      <c r="A5022" s="14">
        <v>43556.0</v>
      </c>
      <c r="B5022" s="15">
        <v>2.33</v>
      </c>
      <c r="C5022" s="15">
        <v>1.64</v>
      </c>
      <c r="D5022" s="15"/>
      <c r="E5022" s="15">
        <v>1.45</v>
      </c>
      <c r="F5022" s="15">
        <f t="shared" si="1"/>
        <v>-0.69</v>
      </c>
      <c r="G5022" s="15">
        <f t="shared" si="2"/>
        <v>1.64</v>
      </c>
      <c r="H5022" s="16">
        <v>0.0</v>
      </c>
      <c r="I5022" s="15">
        <f t="shared" si="3"/>
        <v>-0.69</v>
      </c>
      <c r="J5022" s="15">
        <v>13.4</v>
      </c>
      <c r="K5022" s="16">
        <f>IF(COUNTIFS(Release_Calendar!$A$2:$A$755,"US_CPI",Release_Calendar!$B$2:$B$755,$A5022)&gt;0,1,0)</f>
        <v>0</v>
      </c>
      <c r="L5022" s="16">
        <f>IF(COUNTIFS(Release_Calendar!$A$2:$A$755,"US_NFP",Release_Calendar!$B$2:$B$755,$A5022)&gt;0,1,0)</f>
        <v>0</v>
      </c>
      <c r="M5022" s="16">
        <f>IF($A5022&lt;Notes!$B$5,"",IF(COUNTIFS(Release_Calendar!$A$2:$A$755,"NZ_CPI",Release_Calendar!$B$2:$B$755,$A5022)&gt;0,1,0))</f>
        <v>0</v>
      </c>
      <c r="N5022" s="16">
        <f>IF($A5022&lt;Notes!$B$5,"",IF(COUNTIFS(Release_Calendar!$A$2:$A$755,"NZ_GDP",Release_Calendar!$B$2:$B$755,$A5022)&gt;0,1,0))</f>
        <v>0</v>
      </c>
      <c r="O5022" s="16">
        <f>IF($A5022&lt;Notes!$B$5,"",IF(COUNTIFS(Release_Calendar!$A$2:$A$755,"NZ_LABOUR",Release_Calendar!$B$2:$B$755,$A5022)&gt;0,1,0))</f>
        <v>0</v>
      </c>
      <c r="P5022" s="16">
        <f t="shared" si="4"/>
        <v>0</v>
      </c>
    </row>
    <row r="5023" ht="15.75" customHeight="1">
      <c r="A5023" s="14">
        <v>43557.0</v>
      </c>
      <c r="B5023" s="15">
        <v>2.3</v>
      </c>
      <c r="C5023" s="15">
        <v>1.61</v>
      </c>
      <c r="D5023" s="15"/>
      <c r="E5023" s="15">
        <v>1.44</v>
      </c>
      <c r="F5023" s="15">
        <f t="shared" si="1"/>
        <v>-0.69</v>
      </c>
      <c r="G5023" s="15">
        <f t="shared" si="2"/>
        <v>1.61</v>
      </c>
      <c r="H5023" s="16">
        <v>0.0</v>
      </c>
      <c r="I5023" s="15">
        <f t="shared" si="3"/>
        <v>-0.69</v>
      </c>
      <c r="J5023" s="15">
        <v>13.36</v>
      </c>
      <c r="K5023" s="16">
        <f>IF(COUNTIFS(Release_Calendar!$A$2:$A$755,"US_CPI",Release_Calendar!$B$2:$B$755,$A5023)&gt;0,1,0)</f>
        <v>0</v>
      </c>
      <c r="L5023" s="16">
        <f>IF(COUNTIFS(Release_Calendar!$A$2:$A$755,"US_NFP",Release_Calendar!$B$2:$B$755,$A5023)&gt;0,1,0)</f>
        <v>0</v>
      </c>
      <c r="M5023" s="16">
        <f>IF($A5023&lt;Notes!$B$5,"",IF(COUNTIFS(Release_Calendar!$A$2:$A$755,"NZ_CPI",Release_Calendar!$B$2:$B$755,$A5023)&gt;0,1,0))</f>
        <v>0</v>
      </c>
      <c r="N5023" s="16">
        <f>IF($A5023&lt;Notes!$B$5,"",IF(COUNTIFS(Release_Calendar!$A$2:$A$755,"NZ_GDP",Release_Calendar!$B$2:$B$755,$A5023)&gt;0,1,0))</f>
        <v>0</v>
      </c>
      <c r="O5023" s="16">
        <f>IF($A5023&lt;Notes!$B$5,"",IF(COUNTIFS(Release_Calendar!$A$2:$A$755,"NZ_LABOUR",Release_Calendar!$B$2:$B$755,$A5023)&gt;0,1,0))</f>
        <v>0</v>
      </c>
      <c r="P5023" s="16">
        <f t="shared" si="4"/>
        <v>0</v>
      </c>
    </row>
    <row r="5024" ht="15.75" customHeight="1">
      <c r="A5024" s="14">
        <v>43558.0</v>
      </c>
      <c r="B5024" s="15">
        <v>2.33</v>
      </c>
      <c r="C5024" s="15">
        <v>1.61</v>
      </c>
      <c r="D5024" s="15"/>
      <c r="E5024" s="15">
        <v>1.46</v>
      </c>
      <c r="F5024" s="15">
        <f t="shared" si="1"/>
        <v>-0.72</v>
      </c>
      <c r="G5024" s="15">
        <f t="shared" si="2"/>
        <v>1.61</v>
      </c>
      <c r="H5024" s="16">
        <v>0.0</v>
      </c>
      <c r="I5024" s="15">
        <f t="shared" si="3"/>
        <v>-0.72</v>
      </c>
      <c r="J5024" s="15">
        <v>13.74</v>
      </c>
      <c r="K5024" s="16">
        <f>IF(COUNTIFS(Release_Calendar!$A$2:$A$755,"US_CPI",Release_Calendar!$B$2:$B$755,$A5024)&gt;0,1,0)</f>
        <v>0</v>
      </c>
      <c r="L5024" s="16">
        <f>IF(COUNTIFS(Release_Calendar!$A$2:$A$755,"US_NFP",Release_Calendar!$B$2:$B$755,$A5024)&gt;0,1,0)</f>
        <v>0</v>
      </c>
      <c r="M5024" s="16">
        <f>IF($A5024&lt;Notes!$B$5,"",IF(COUNTIFS(Release_Calendar!$A$2:$A$755,"NZ_CPI",Release_Calendar!$B$2:$B$755,$A5024)&gt;0,1,0))</f>
        <v>0</v>
      </c>
      <c r="N5024" s="16">
        <f>IF($A5024&lt;Notes!$B$5,"",IF(COUNTIFS(Release_Calendar!$A$2:$A$755,"NZ_GDP",Release_Calendar!$B$2:$B$755,$A5024)&gt;0,1,0))</f>
        <v>0</v>
      </c>
      <c r="O5024" s="16">
        <f>IF($A5024&lt;Notes!$B$5,"",IF(COUNTIFS(Release_Calendar!$A$2:$A$755,"NZ_LABOUR",Release_Calendar!$B$2:$B$755,$A5024)&gt;0,1,0))</f>
        <v>0</v>
      </c>
      <c r="P5024" s="16">
        <f t="shared" si="4"/>
        <v>0</v>
      </c>
    </row>
    <row r="5025" ht="15.75" customHeight="1">
      <c r="A5025" s="14">
        <v>43559.0</v>
      </c>
      <c r="B5025" s="15">
        <v>2.33</v>
      </c>
      <c r="C5025" s="15">
        <v>1.63</v>
      </c>
      <c r="D5025" s="15"/>
      <c r="E5025" s="15">
        <v>1.5</v>
      </c>
      <c r="F5025" s="15">
        <f t="shared" si="1"/>
        <v>-0.7</v>
      </c>
      <c r="G5025" s="15">
        <f t="shared" si="2"/>
        <v>1.63</v>
      </c>
      <c r="H5025" s="16">
        <v>0.0</v>
      </c>
      <c r="I5025" s="15">
        <f t="shared" si="3"/>
        <v>-0.7</v>
      </c>
      <c r="J5025" s="15">
        <v>13.58</v>
      </c>
      <c r="K5025" s="16">
        <f>IF(COUNTIFS(Release_Calendar!$A$2:$A$755,"US_CPI",Release_Calendar!$B$2:$B$755,$A5025)&gt;0,1,0)</f>
        <v>0</v>
      </c>
      <c r="L5025" s="16">
        <f>IF(COUNTIFS(Release_Calendar!$A$2:$A$755,"US_NFP",Release_Calendar!$B$2:$B$755,$A5025)&gt;0,1,0)</f>
        <v>0</v>
      </c>
      <c r="M5025" s="16">
        <f>IF($A5025&lt;Notes!$B$5,"",IF(COUNTIFS(Release_Calendar!$A$2:$A$755,"NZ_CPI",Release_Calendar!$B$2:$B$755,$A5025)&gt;0,1,0))</f>
        <v>0</v>
      </c>
      <c r="N5025" s="16">
        <f>IF($A5025&lt;Notes!$B$5,"",IF(COUNTIFS(Release_Calendar!$A$2:$A$755,"NZ_GDP",Release_Calendar!$B$2:$B$755,$A5025)&gt;0,1,0))</f>
        <v>0</v>
      </c>
      <c r="O5025" s="16">
        <f>IF($A5025&lt;Notes!$B$5,"",IF(COUNTIFS(Release_Calendar!$A$2:$A$755,"NZ_LABOUR",Release_Calendar!$B$2:$B$755,$A5025)&gt;0,1,0))</f>
        <v>0</v>
      </c>
      <c r="P5025" s="16">
        <f t="shared" si="4"/>
        <v>0</v>
      </c>
    </row>
    <row r="5026" ht="15.75" customHeight="1">
      <c r="A5026" s="14">
        <v>43560.0</v>
      </c>
      <c r="B5026" s="15">
        <v>2.35</v>
      </c>
      <c r="C5026" s="15">
        <v>1.64</v>
      </c>
      <c r="D5026" s="15"/>
      <c r="E5026" s="15">
        <v>1.49</v>
      </c>
      <c r="F5026" s="15">
        <f t="shared" si="1"/>
        <v>-0.71</v>
      </c>
      <c r="G5026" s="15">
        <f t="shared" si="2"/>
        <v>1.64</v>
      </c>
      <c r="H5026" s="16">
        <v>0.0</v>
      </c>
      <c r="I5026" s="15">
        <f t="shared" si="3"/>
        <v>-0.71</v>
      </c>
      <c r="J5026" s="15">
        <v>12.82</v>
      </c>
      <c r="K5026" s="16">
        <f>IF(COUNTIFS(Release_Calendar!$A$2:$A$755,"US_CPI",Release_Calendar!$B$2:$B$755,$A5026)&gt;0,1,0)</f>
        <v>0</v>
      </c>
      <c r="L5026" s="16">
        <f>IF(COUNTIFS(Release_Calendar!$A$2:$A$755,"US_NFP",Release_Calendar!$B$2:$B$755,$A5026)&gt;0,1,0)</f>
        <v>1</v>
      </c>
      <c r="M5026" s="16">
        <f>IF($A5026&lt;Notes!$B$5,"",IF(COUNTIFS(Release_Calendar!$A$2:$A$755,"NZ_CPI",Release_Calendar!$B$2:$B$755,$A5026)&gt;0,1,0))</f>
        <v>0</v>
      </c>
      <c r="N5026" s="16">
        <f>IF($A5026&lt;Notes!$B$5,"",IF(COUNTIFS(Release_Calendar!$A$2:$A$755,"NZ_GDP",Release_Calendar!$B$2:$B$755,$A5026)&gt;0,1,0))</f>
        <v>0</v>
      </c>
      <c r="O5026" s="16">
        <f>IF($A5026&lt;Notes!$B$5,"",IF(COUNTIFS(Release_Calendar!$A$2:$A$755,"NZ_LABOUR",Release_Calendar!$B$2:$B$755,$A5026)&gt;0,1,0))</f>
        <v>0</v>
      </c>
      <c r="P5026" s="16">
        <f t="shared" si="4"/>
        <v>1</v>
      </c>
    </row>
    <row r="5027" ht="15.75" customHeight="1">
      <c r="A5027" s="14">
        <v>43563.0</v>
      </c>
      <c r="B5027" s="15">
        <v>2.36</v>
      </c>
      <c r="C5027" s="15">
        <v>1.63</v>
      </c>
      <c r="D5027" s="15"/>
      <c r="E5027" s="15">
        <v>1.46</v>
      </c>
      <c r="F5027" s="15">
        <f t="shared" si="1"/>
        <v>-0.73</v>
      </c>
      <c r="G5027" s="15">
        <f t="shared" si="2"/>
        <v>1.63</v>
      </c>
      <c r="H5027" s="16">
        <v>0.0</v>
      </c>
      <c r="I5027" s="15">
        <f t="shared" si="3"/>
        <v>-0.73</v>
      </c>
      <c r="J5027" s="15">
        <v>13.18</v>
      </c>
      <c r="K5027" s="16">
        <f>IF(COUNTIFS(Release_Calendar!$A$2:$A$755,"US_CPI",Release_Calendar!$B$2:$B$755,$A5027)&gt;0,1,0)</f>
        <v>0</v>
      </c>
      <c r="L5027" s="16">
        <f>IF(COUNTIFS(Release_Calendar!$A$2:$A$755,"US_NFP",Release_Calendar!$B$2:$B$755,$A5027)&gt;0,1,0)</f>
        <v>0</v>
      </c>
      <c r="M5027" s="16">
        <f>IF($A5027&lt;Notes!$B$5,"",IF(COUNTIFS(Release_Calendar!$A$2:$A$755,"NZ_CPI",Release_Calendar!$B$2:$B$755,$A5027)&gt;0,1,0))</f>
        <v>0</v>
      </c>
      <c r="N5027" s="16">
        <f>IF($A5027&lt;Notes!$B$5,"",IF(COUNTIFS(Release_Calendar!$A$2:$A$755,"NZ_GDP",Release_Calendar!$B$2:$B$755,$A5027)&gt;0,1,0))</f>
        <v>0</v>
      </c>
      <c r="O5027" s="16">
        <f>IF($A5027&lt;Notes!$B$5,"",IF(COUNTIFS(Release_Calendar!$A$2:$A$755,"NZ_LABOUR",Release_Calendar!$B$2:$B$755,$A5027)&gt;0,1,0))</f>
        <v>0</v>
      </c>
      <c r="P5027" s="16">
        <f t="shared" si="4"/>
        <v>0</v>
      </c>
    </row>
    <row r="5028" ht="15.75" customHeight="1">
      <c r="A5028" s="14">
        <v>43564.0</v>
      </c>
      <c r="B5028" s="15">
        <v>2.35</v>
      </c>
      <c r="C5028" s="15">
        <v>1.66</v>
      </c>
      <c r="D5028" s="15"/>
      <c r="E5028" s="15">
        <v>1.48</v>
      </c>
      <c r="F5028" s="15">
        <f t="shared" si="1"/>
        <v>-0.69</v>
      </c>
      <c r="G5028" s="15">
        <f t="shared" si="2"/>
        <v>1.66</v>
      </c>
      <c r="H5028" s="16">
        <v>0.0</v>
      </c>
      <c r="I5028" s="15">
        <f t="shared" si="3"/>
        <v>-0.69</v>
      </c>
      <c r="J5028" s="15">
        <v>14.28</v>
      </c>
      <c r="K5028" s="16">
        <f>IF(COUNTIFS(Release_Calendar!$A$2:$A$755,"US_CPI",Release_Calendar!$B$2:$B$755,$A5028)&gt;0,1,0)</f>
        <v>0</v>
      </c>
      <c r="L5028" s="16">
        <f>IF(COUNTIFS(Release_Calendar!$A$2:$A$755,"US_NFP",Release_Calendar!$B$2:$B$755,$A5028)&gt;0,1,0)</f>
        <v>0</v>
      </c>
      <c r="M5028" s="16">
        <f>IF($A5028&lt;Notes!$B$5,"",IF(COUNTIFS(Release_Calendar!$A$2:$A$755,"NZ_CPI",Release_Calendar!$B$2:$B$755,$A5028)&gt;0,1,0))</f>
        <v>0</v>
      </c>
      <c r="N5028" s="16">
        <f>IF($A5028&lt;Notes!$B$5,"",IF(COUNTIFS(Release_Calendar!$A$2:$A$755,"NZ_GDP",Release_Calendar!$B$2:$B$755,$A5028)&gt;0,1,0))</f>
        <v>0</v>
      </c>
      <c r="O5028" s="16">
        <f>IF($A5028&lt;Notes!$B$5,"",IF(COUNTIFS(Release_Calendar!$A$2:$A$755,"NZ_LABOUR",Release_Calendar!$B$2:$B$755,$A5028)&gt;0,1,0))</f>
        <v>0</v>
      </c>
      <c r="P5028" s="16">
        <f t="shared" si="4"/>
        <v>0</v>
      </c>
    </row>
    <row r="5029" ht="15.75" customHeight="1">
      <c r="A5029" s="14">
        <v>43565.0</v>
      </c>
      <c r="B5029" s="15">
        <v>2.31</v>
      </c>
      <c r="C5029" s="15">
        <v>1.67</v>
      </c>
      <c r="D5029" s="15"/>
      <c r="E5029" s="15">
        <v>1.51</v>
      </c>
      <c r="F5029" s="15">
        <f t="shared" si="1"/>
        <v>-0.64</v>
      </c>
      <c r="G5029" s="15">
        <f t="shared" si="2"/>
        <v>1.67</v>
      </c>
      <c r="H5029" s="16">
        <v>0.0</v>
      </c>
      <c r="I5029" s="15">
        <f t="shared" si="3"/>
        <v>-0.64</v>
      </c>
      <c r="J5029" s="15">
        <v>13.3</v>
      </c>
      <c r="K5029" s="16">
        <f>IF(COUNTIFS(Release_Calendar!$A$2:$A$755,"US_CPI",Release_Calendar!$B$2:$B$755,$A5029)&gt;0,1,0)</f>
        <v>1</v>
      </c>
      <c r="L5029" s="16">
        <f>IF(COUNTIFS(Release_Calendar!$A$2:$A$755,"US_NFP",Release_Calendar!$B$2:$B$755,$A5029)&gt;0,1,0)</f>
        <v>0</v>
      </c>
      <c r="M5029" s="16">
        <f>IF($A5029&lt;Notes!$B$5,"",IF(COUNTIFS(Release_Calendar!$A$2:$A$755,"NZ_CPI",Release_Calendar!$B$2:$B$755,$A5029)&gt;0,1,0))</f>
        <v>0</v>
      </c>
      <c r="N5029" s="16">
        <f>IF($A5029&lt;Notes!$B$5,"",IF(COUNTIFS(Release_Calendar!$A$2:$A$755,"NZ_GDP",Release_Calendar!$B$2:$B$755,$A5029)&gt;0,1,0))</f>
        <v>0</v>
      </c>
      <c r="O5029" s="16">
        <f>IF($A5029&lt;Notes!$B$5,"",IF(COUNTIFS(Release_Calendar!$A$2:$A$755,"NZ_LABOUR",Release_Calendar!$B$2:$B$755,$A5029)&gt;0,1,0))</f>
        <v>0</v>
      </c>
      <c r="P5029" s="16">
        <f t="shared" si="4"/>
        <v>1</v>
      </c>
    </row>
    <row r="5030" ht="15.75" customHeight="1">
      <c r="A5030" s="14">
        <v>43566.0</v>
      </c>
      <c r="B5030" s="15">
        <v>2.35</v>
      </c>
      <c r="C5030" s="15">
        <v>1.68</v>
      </c>
      <c r="D5030" s="15"/>
      <c r="E5030" s="15">
        <v>1.52</v>
      </c>
      <c r="F5030" s="15">
        <f t="shared" si="1"/>
        <v>-0.67</v>
      </c>
      <c r="G5030" s="15">
        <f t="shared" si="2"/>
        <v>1.68</v>
      </c>
      <c r="H5030" s="16">
        <v>0.0</v>
      </c>
      <c r="I5030" s="15">
        <f t="shared" si="3"/>
        <v>-0.67</v>
      </c>
      <c r="J5030" s="15">
        <v>13.02</v>
      </c>
      <c r="K5030" s="16">
        <f>IF(COUNTIFS(Release_Calendar!$A$2:$A$755,"US_CPI",Release_Calendar!$B$2:$B$755,$A5030)&gt;0,1,0)</f>
        <v>0</v>
      </c>
      <c r="L5030" s="16">
        <f>IF(COUNTIFS(Release_Calendar!$A$2:$A$755,"US_NFP",Release_Calendar!$B$2:$B$755,$A5030)&gt;0,1,0)</f>
        <v>0</v>
      </c>
      <c r="M5030" s="16">
        <f>IF($A5030&lt;Notes!$B$5,"",IF(COUNTIFS(Release_Calendar!$A$2:$A$755,"NZ_CPI",Release_Calendar!$B$2:$B$755,$A5030)&gt;0,1,0))</f>
        <v>0</v>
      </c>
      <c r="N5030" s="16">
        <f>IF($A5030&lt;Notes!$B$5,"",IF(COUNTIFS(Release_Calendar!$A$2:$A$755,"NZ_GDP",Release_Calendar!$B$2:$B$755,$A5030)&gt;0,1,0))</f>
        <v>0</v>
      </c>
      <c r="O5030" s="16">
        <f>IF($A5030&lt;Notes!$B$5,"",IF(COUNTIFS(Release_Calendar!$A$2:$A$755,"NZ_LABOUR",Release_Calendar!$B$2:$B$755,$A5030)&gt;0,1,0))</f>
        <v>0</v>
      </c>
      <c r="P5030" s="16">
        <f t="shared" si="4"/>
        <v>0</v>
      </c>
    </row>
    <row r="5031" ht="15.75" customHeight="1">
      <c r="A5031" s="14">
        <v>43567.0</v>
      </c>
      <c r="B5031" s="15">
        <v>2.4</v>
      </c>
      <c r="C5031" s="15">
        <v>1.68</v>
      </c>
      <c r="D5031" s="15"/>
      <c r="E5031" s="15">
        <v>1.52</v>
      </c>
      <c r="F5031" s="15">
        <f t="shared" si="1"/>
        <v>-0.72</v>
      </c>
      <c r="G5031" s="15">
        <f t="shared" si="2"/>
        <v>1.68</v>
      </c>
      <c r="H5031" s="16">
        <v>0.0</v>
      </c>
      <c r="I5031" s="15">
        <f t="shared" si="3"/>
        <v>-0.72</v>
      </c>
      <c r="J5031" s="15">
        <v>12.01</v>
      </c>
      <c r="K5031" s="16">
        <f>IF(COUNTIFS(Release_Calendar!$A$2:$A$755,"US_CPI",Release_Calendar!$B$2:$B$755,$A5031)&gt;0,1,0)</f>
        <v>0</v>
      </c>
      <c r="L5031" s="16">
        <f>IF(COUNTIFS(Release_Calendar!$A$2:$A$755,"US_NFP",Release_Calendar!$B$2:$B$755,$A5031)&gt;0,1,0)</f>
        <v>0</v>
      </c>
      <c r="M5031" s="16">
        <f>IF($A5031&lt;Notes!$B$5,"",IF(COUNTIFS(Release_Calendar!$A$2:$A$755,"NZ_CPI",Release_Calendar!$B$2:$B$755,$A5031)&gt;0,1,0))</f>
        <v>0</v>
      </c>
      <c r="N5031" s="16">
        <f>IF($A5031&lt;Notes!$B$5,"",IF(COUNTIFS(Release_Calendar!$A$2:$A$755,"NZ_GDP",Release_Calendar!$B$2:$B$755,$A5031)&gt;0,1,0))</f>
        <v>0</v>
      </c>
      <c r="O5031" s="16">
        <f>IF($A5031&lt;Notes!$B$5,"",IF(COUNTIFS(Release_Calendar!$A$2:$A$755,"NZ_LABOUR",Release_Calendar!$B$2:$B$755,$A5031)&gt;0,1,0))</f>
        <v>0</v>
      </c>
      <c r="P5031" s="16">
        <f t="shared" si="4"/>
        <v>0</v>
      </c>
    </row>
    <row r="5032" ht="15.75" customHeight="1">
      <c r="A5032" s="14">
        <v>43570.0</v>
      </c>
      <c r="B5032" s="15">
        <v>2.4</v>
      </c>
      <c r="C5032" s="15">
        <v>1.71</v>
      </c>
      <c r="D5032" s="15"/>
      <c r="E5032" s="15">
        <v>1.54</v>
      </c>
      <c r="F5032" s="15">
        <f t="shared" si="1"/>
        <v>-0.69</v>
      </c>
      <c r="G5032" s="15">
        <f t="shared" si="2"/>
        <v>1.71</v>
      </c>
      <c r="H5032" s="16">
        <v>0.0</v>
      </c>
      <c r="I5032" s="15">
        <f t="shared" si="3"/>
        <v>-0.69</v>
      </c>
      <c r="J5032" s="15">
        <v>12.32</v>
      </c>
      <c r="K5032" s="16">
        <f>IF(COUNTIFS(Release_Calendar!$A$2:$A$755,"US_CPI",Release_Calendar!$B$2:$B$755,$A5032)&gt;0,1,0)</f>
        <v>0</v>
      </c>
      <c r="L5032" s="16">
        <f>IF(COUNTIFS(Release_Calendar!$A$2:$A$755,"US_NFP",Release_Calendar!$B$2:$B$755,$A5032)&gt;0,1,0)</f>
        <v>0</v>
      </c>
      <c r="M5032" s="16">
        <f>IF($A5032&lt;Notes!$B$5,"",IF(COUNTIFS(Release_Calendar!$A$2:$A$755,"NZ_CPI",Release_Calendar!$B$2:$B$755,$A5032)&gt;0,1,0))</f>
        <v>0</v>
      </c>
      <c r="N5032" s="16">
        <f>IF($A5032&lt;Notes!$B$5,"",IF(COUNTIFS(Release_Calendar!$A$2:$A$755,"NZ_GDP",Release_Calendar!$B$2:$B$755,$A5032)&gt;0,1,0))</f>
        <v>0</v>
      </c>
      <c r="O5032" s="16">
        <f>IF($A5032&lt;Notes!$B$5,"",IF(COUNTIFS(Release_Calendar!$A$2:$A$755,"NZ_LABOUR",Release_Calendar!$B$2:$B$755,$A5032)&gt;0,1,0))</f>
        <v>0</v>
      </c>
      <c r="P5032" s="16">
        <f t="shared" si="4"/>
        <v>0</v>
      </c>
    </row>
    <row r="5033" ht="15.75" customHeight="1">
      <c r="A5033" s="14">
        <v>43571.0</v>
      </c>
      <c r="B5033" s="15">
        <v>2.41</v>
      </c>
      <c r="C5033" s="15">
        <v>1.71</v>
      </c>
      <c r="D5033" s="15"/>
      <c r="E5033" s="15">
        <v>1.53</v>
      </c>
      <c r="F5033" s="15">
        <f t="shared" si="1"/>
        <v>-0.7</v>
      </c>
      <c r="G5033" s="15">
        <f t="shared" si="2"/>
        <v>1.71</v>
      </c>
      <c r="H5033" s="16">
        <v>0.0</v>
      </c>
      <c r="I5033" s="15">
        <f t="shared" si="3"/>
        <v>-0.7</v>
      </c>
      <c r="J5033" s="15">
        <v>12.18</v>
      </c>
      <c r="K5033" s="16">
        <f>IF(COUNTIFS(Release_Calendar!$A$2:$A$755,"US_CPI",Release_Calendar!$B$2:$B$755,$A5033)&gt;0,1,0)</f>
        <v>0</v>
      </c>
      <c r="L5033" s="16">
        <f>IF(COUNTIFS(Release_Calendar!$A$2:$A$755,"US_NFP",Release_Calendar!$B$2:$B$755,$A5033)&gt;0,1,0)</f>
        <v>0</v>
      </c>
      <c r="M5033" s="16">
        <f>IF($A5033&lt;Notes!$B$5,"",IF(COUNTIFS(Release_Calendar!$A$2:$A$755,"NZ_CPI",Release_Calendar!$B$2:$B$755,$A5033)&gt;0,1,0))</f>
        <v>0</v>
      </c>
      <c r="N5033" s="16">
        <f>IF($A5033&lt;Notes!$B$5,"",IF(COUNTIFS(Release_Calendar!$A$2:$A$755,"NZ_GDP",Release_Calendar!$B$2:$B$755,$A5033)&gt;0,1,0))</f>
        <v>0</v>
      </c>
      <c r="O5033" s="16">
        <f>IF($A5033&lt;Notes!$B$5,"",IF(COUNTIFS(Release_Calendar!$A$2:$A$755,"NZ_LABOUR",Release_Calendar!$B$2:$B$755,$A5033)&gt;0,1,0))</f>
        <v>0</v>
      </c>
      <c r="P5033" s="16">
        <f t="shared" si="4"/>
        <v>0</v>
      </c>
    </row>
    <row r="5034" ht="15.75" customHeight="1">
      <c r="A5034" s="14">
        <v>43572.0</v>
      </c>
      <c r="B5034" s="15">
        <v>2.4</v>
      </c>
      <c r="C5034" s="15">
        <v>1.65</v>
      </c>
      <c r="D5034" s="15"/>
      <c r="E5034" s="15">
        <v>1.46</v>
      </c>
      <c r="F5034" s="15">
        <f t="shared" si="1"/>
        <v>-0.75</v>
      </c>
      <c r="G5034" s="15">
        <f t="shared" si="2"/>
        <v>1.65</v>
      </c>
      <c r="H5034" s="16">
        <v>0.0</v>
      </c>
      <c r="I5034" s="15">
        <f t="shared" si="3"/>
        <v>-0.75</v>
      </c>
      <c r="J5034" s="15">
        <v>12.6</v>
      </c>
      <c r="K5034" s="16">
        <f>IF(COUNTIFS(Release_Calendar!$A$2:$A$755,"US_CPI",Release_Calendar!$B$2:$B$755,$A5034)&gt;0,1,0)</f>
        <v>0</v>
      </c>
      <c r="L5034" s="16">
        <f>IF(COUNTIFS(Release_Calendar!$A$2:$A$755,"US_NFP",Release_Calendar!$B$2:$B$755,$A5034)&gt;0,1,0)</f>
        <v>0</v>
      </c>
      <c r="M5034" s="16">
        <f>IF($A5034&lt;Notes!$B$5,"",IF(COUNTIFS(Release_Calendar!$A$2:$A$755,"NZ_CPI",Release_Calendar!$B$2:$B$755,$A5034)&gt;0,1,0))</f>
        <v>1</v>
      </c>
      <c r="N5034" s="16">
        <f>IF($A5034&lt;Notes!$B$5,"",IF(COUNTIFS(Release_Calendar!$A$2:$A$755,"NZ_GDP",Release_Calendar!$B$2:$B$755,$A5034)&gt;0,1,0))</f>
        <v>0</v>
      </c>
      <c r="O5034" s="16">
        <f>IF($A5034&lt;Notes!$B$5,"",IF(COUNTIFS(Release_Calendar!$A$2:$A$755,"NZ_LABOUR",Release_Calendar!$B$2:$B$755,$A5034)&gt;0,1,0))</f>
        <v>0</v>
      </c>
      <c r="P5034" s="16">
        <f t="shared" si="4"/>
        <v>1</v>
      </c>
    </row>
    <row r="5035" ht="15.75" customHeight="1">
      <c r="A5035" s="14">
        <v>43573.0</v>
      </c>
      <c r="B5035" s="15">
        <v>2.38</v>
      </c>
      <c r="C5035" s="15">
        <v>1.65</v>
      </c>
      <c r="D5035" s="15"/>
      <c r="E5035" s="15">
        <v>1.46</v>
      </c>
      <c r="F5035" s="15">
        <f t="shared" si="1"/>
        <v>-0.73</v>
      </c>
      <c r="G5035" s="15">
        <f t="shared" si="2"/>
        <v>1.65</v>
      </c>
      <c r="H5035" s="16">
        <v>0.0</v>
      </c>
      <c r="I5035" s="15">
        <f t="shared" si="3"/>
        <v>-0.73</v>
      </c>
      <c r="J5035" s="15">
        <v>12.09</v>
      </c>
      <c r="K5035" s="16">
        <f>IF(COUNTIFS(Release_Calendar!$A$2:$A$755,"US_CPI",Release_Calendar!$B$2:$B$755,$A5035)&gt;0,1,0)</f>
        <v>0</v>
      </c>
      <c r="L5035" s="16">
        <f>IF(COUNTIFS(Release_Calendar!$A$2:$A$755,"US_NFP",Release_Calendar!$B$2:$B$755,$A5035)&gt;0,1,0)</f>
        <v>0</v>
      </c>
      <c r="M5035" s="16">
        <f>IF($A5035&lt;Notes!$B$5,"",IF(COUNTIFS(Release_Calendar!$A$2:$A$755,"NZ_CPI",Release_Calendar!$B$2:$B$755,$A5035)&gt;0,1,0))</f>
        <v>0</v>
      </c>
      <c r="N5035" s="16">
        <f>IF($A5035&lt;Notes!$B$5,"",IF(COUNTIFS(Release_Calendar!$A$2:$A$755,"NZ_GDP",Release_Calendar!$B$2:$B$755,$A5035)&gt;0,1,0))</f>
        <v>0</v>
      </c>
      <c r="O5035" s="16">
        <f>IF($A5035&lt;Notes!$B$5,"",IF(COUNTIFS(Release_Calendar!$A$2:$A$755,"NZ_LABOUR",Release_Calendar!$B$2:$B$755,$A5035)&gt;0,1,0))</f>
        <v>0</v>
      </c>
      <c r="P5035" s="16">
        <f t="shared" si="4"/>
        <v>0</v>
      </c>
    </row>
    <row r="5036" ht="15.75" customHeight="1">
      <c r="A5036" s="14">
        <v>43574.0</v>
      </c>
      <c r="B5036" s="15"/>
      <c r="C5036" s="15"/>
      <c r="D5036" s="15"/>
      <c r="E5036" s="15"/>
      <c r="F5036" s="15" t="str">
        <f t="shared" si="1"/>
        <v/>
      </c>
      <c r="G5036" s="15" t="str">
        <f t="shared" si="2"/>
        <v/>
      </c>
      <c r="H5036" s="16">
        <v>0.0</v>
      </c>
      <c r="I5036" s="15" t="str">
        <f t="shared" si="3"/>
        <v/>
      </c>
      <c r="J5036" s="15"/>
      <c r="K5036" s="16">
        <f>IF(COUNTIFS(Release_Calendar!$A$2:$A$755,"US_CPI",Release_Calendar!$B$2:$B$755,$A5036)&gt;0,1,0)</f>
        <v>0</v>
      </c>
      <c r="L5036" s="16">
        <f>IF(COUNTIFS(Release_Calendar!$A$2:$A$755,"US_NFP",Release_Calendar!$B$2:$B$755,$A5036)&gt;0,1,0)</f>
        <v>0</v>
      </c>
      <c r="M5036" s="16">
        <f>IF($A5036&lt;Notes!$B$5,"",IF(COUNTIFS(Release_Calendar!$A$2:$A$755,"NZ_CPI",Release_Calendar!$B$2:$B$755,$A5036)&gt;0,1,0))</f>
        <v>0</v>
      </c>
      <c r="N5036" s="16">
        <f>IF($A5036&lt;Notes!$B$5,"",IF(COUNTIFS(Release_Calendar!$A$2:$A$755,"NZ_GDP",Release_Calendar!$B$2:$B$755,$A5036)&gt;0,1,0))</f>
        <v>0</v>
      </c>
      <c r="O5036" s="16">
        <f>IF($A5036&lt;Notes!$B$5,"",IF(COUNTIFS(Release_Calendar!$A$2:$A$755,"NZ_LABOUR",Release_Calendar!$B$2:$B$755,$A5036)&gt;0,1,0))</f>
        <v>0</v>
      </c>
      <c r="P5036" s="16">
        <f t="shared" si="4"/>
        <v>0</v>
      </c>
    </row>
    <row r="5037" ht="15.75" customHeight="1">
      <c r="A5037" s="14">
        <v>43577.0</v>
      </c>
      <c r="B5037" s="15">
        <v>2.38</v>
      </c>
      <c r="C5037" s="15"/>
      <c r="D5037" s="15"/>
      <c r="E5037" s="15"/>
      <c r="F5037" s="15" t="str">
        <f t="shared" si="1"/>
        <v/>
      </c>
      <c r="G5037" s="15" t="str">
        <f t="shared" si="2"/>
        <v/>
      </c>
      <c r="H5037" s="16">
        <v>0.0</v>
      </c>
      <c r="I5037" s="15" t="str">
        <f t="shared" si="3"/>
        <v/>
      </c>
      <c r="J5037" s="15">
        <v>12.42</v>
      </c>
      <c r="K5037" s="16">
        <f>IF(COUNTIFS(Release_Calendar!$A$2:$A$755,"US_CPI",Release_Calendar!$B$2:$B$755,$A5037)&gt;0,1,0)</f>
        <v>0</v>
      </c>
      <c r="L5037" s="16">
        <f>IF(COUNTIFS(Release_Calendar!$A$2:$A$755,"US_NFP",Release_Calendar!$B$2:$B$755,$A5037)&gt;0,1,0)</f>
        <v>0</v>
      </c>
      <c r="M5037" s="16">
        <f>IF($A5037&lt;Notes!$B$5,"",IF(COUNTIFS(Release_Calendar!$A$2:$A$755,"NZ_CPI",Release_Calendar!$B$2:$B$755,$A5037)&gt;0,1,0))</f>
        <v>0</v>
      </c>
      <c r="N5037" s="16">
        <f>IF($A5037&lt;Notes!$B$5,"",IF(COUNTIFS(Release_Calendar!$A$2:$A$755,"NZ_GDP",Release_Calendar!$B$2:$B$755,$A5037)&gt;0,1,0))</f>
        <v>0</v>
      </c>
      <c r="O5037" s="16">
        <f>IF($A5037&lt;Notes!$B$5,"",IF(COUNTIFS(Release_Calendar!$A$2:$A$755,"NZ_LABOUR",Release_Calendar!$B$2:$B$755,$A5037)&gt;0,1,0))</f>
        <v>0</v>
      </c>
      <c r="P5037" s="16">
        <f t="shared" si="4"/>
        <v>0</v>
      </c>
    </row>
    <row r="5038" ht="15.75" customHeight="1">
      <c r="A5038" s="14">
        <v>43578.0</v>
      </c>
      <c r="B5038" s="15">
        <v>2.36</v>
      </c>
      <c r="C5038" s="15">
        <v>1.65</v>
      </c>
      <c r="D5038" s="15"/>
      <c r="E5038" s="15">
        <v>1.46</v>
      </c>
      <c r="F5038" s="15">
        <f t="shared" si="1"/>
        <v>-0.71</v>
      </c>
      <c r="G5038" s="15">
        <f t="shared" si="2"/>
        <v>1.65</v>
      </c>
      <c r="H5038" s="16">
        <v>0.0</v>
      </c>
      <c r="I5038" s="15">
        <f t="shared" si="3"/>
        <v>-0.71</v>
      </c>
      <c r="J5038" s="15">
        <v>12.28</v>
      </c>
      <c r="K5038" s="16">
        <f>IF(COUNTIFS(Release_Calendar!$A$2:$A$755,"US_CPI",Release_Calendar!$B$2:$B$755,$A5038)&gt;0,1,0)</f>
        <v>0</v>
      </c>
      <c r="L5038" s="16">
        <f>IF(COUNTIFS(Release_Calendar!$A$2:$A$755,"US_NFP",Release_Calendar!$B$2:$B$755,$A5038)&gt;0,1,0)</f>
        <v>0</v>
      </c>
      <c r="M5038" s="16">
        <f>IF($A5038&lt;Notes!$B$5,"",IF(COUNTIFS(Release_Calendar!$A$2:$A$755,"NZ_CPI",Release_Calendar!$B$2:$B$755,$A5038)&gt;0,1,0))</f>
        <v>0</v>
      </c>
      <c r="N5038" s="16">
        <f>IF($A5038&lt;Notes!$B$5,"",IF(COUNTIFS(Release_Calendar!$A$2:$A$755,"NZ_GDP",Release_Calendar!$B$2:$B$755,$A5038)&gt;0,1,0))</f>
        <v>0</v>
      </c>
      <c r="O5038" s="16">
        <f>IF($A5038&lt;Notes!$B$5,"",IF(COUNTIFS(Release_Calendar!$A$2:$A$755,"NZ_LABOUR",Release_Calendar!$B$2:$B$755,$A5038)&gt;0,1,0))</f>
        <v>0</v>
      </c>
      <c r="P5038" s="16">
        <f t="shared" si="4"/>
        <v>0</v>
      </c>
    </row>
    <row r="5039" ht="15.75" customHeight="1">
      <c r="A5039" s="14">
        <v>43579.0</v>
      </c>
      <c r="B5039" s="15">
        <v>2.32</v>
      </c>
      <c r="C5039" s="15">
        <v>1.61</v>
      </c>
      <c r="D5039" s="15"/>
      <c r="E5039" s="15">
        <v>1.4</v>
      </c>
      <c r="F5039" s="15">
        <f t="shared" si="1"/>
        <v>-0.71</v>
      </c>
      <c r="G5039" s="15">
        <f t="shared" si="2"/>
        <v>1.61</v>
      </c>
      <c r="H5039" s="16">
        <v>0.0</v>
      </c>
      <c r="I5039" s="15">
        <f t="shared" si="3"/>
        <v>-0.71</v>
      </c>
      <c r="J5039" s="15">
        <v>13.14</v>
      </c>
      <c r="K5039" s="16">
        <f>IF(COUNTIFS(Release_Calendar!$A$2:$A$755,"US_CPI",Release_Calendar!$B$2:$B$755,$A5039)&gt;0,1,0)</f>
        <v>0</v>
      </c>
      <c r="L5039" s="16">
        <f>IF(COUNTIFS(Release_Calendar!$A$2:$A$755,"US_NFP",Release_Calendar!$B$2:$B$755,$A5039)&gt;0,1,0)</f>
        <v>0</v>
      </c>
      <c r="M5039" s="16">
        <f>IF($A5039&lt;Notes!$B$5,"",IF(COUNTIFS(Release_Calendar!$A$2:$A$755,"NZ_CPI",Release_Calendar!$B$2:$B$755,$A5039)&gt;0,1,0))</f>
        <v>0</v>
      </c>
      <c r="N5039" s="16">
        <f>IF($A5039&lt;Notes!$B$5,"",IF(COUNTIFS(Release_Calendar!$A$2:$A$755,"NZ_GDP",Release_Calendar!$B$2:$B$755,$A5039)&gt;0,1,0))</f>
        <v>0</v>
      </c>
      <c r="O5039" s="16">
        <f>IF($A5039&lt;Notes!$B$5,"",IF(COUNTIFS(Release_Calendar!$A$2:$A$755,"NZ_LABOUR",Release_Calendar!$B$2:$B$755,$A5039)&gt;0,1,0))</f>
        <v>0</v>
      </c>
      <c r="P5039" s="16">
        <f t="shared" si="4"/>
        <v>0</v>
      </c>
    </row>
    <row r="5040" ht="15.75" customHeight="1">
      <c r="A5040" s="14">
        <v>43580.0</v>
      </c>
      <c r="B5040" s="15">
        <v>2.33</v>
      </c>
      <c r="C5040" s="15"/>
      <c r="D5040" s="15"/>
      <c r="E5040" s="15"/>
      <c r="F5040" s="15" t="str">
        <f t="shared" si="1"/>
        <v/>
      </c>
      <c r="G5040" s="15" t="str">
        <f t="shared" si="2"/>
        <v/>
      </c>
      <c r="H5040" s="16">
        <v>0.0</v>
      </c>
      <c r="I5040" s="15" t="str">
        <f t="shared" si="3"/>
        <v/>
      </c>
      <c r="J5040" s="15">
        <v>13.25</v>
      </c>
      <c r="K5040" s="16">
        <f>IF(COUNTIFS(Release_Calendar!$A$2:$A$755,"US_CPI",Release_Calendar!$B$2:$B$755,$A5040)&gt;0,1,0)</f>
        <v>0</v>
      </c>
      <c r="L5040" s="16">
        <f>IF(COUNTIFS(Release_Calendar!$A$2:$A$755,"US_NFP",Release_Calendar!$B$2:$B$755,$A5040)&gt;0,1,0)</f>
        <v>0</v>
      </c>
      <c r="M5040" s="16">
        <f>IF($A5040&lt;Notes!$B$5,"",IF(COUNTIFS(Release_Calendar!$A$2:$A$755,"NZ_CPI",Release_Calendar!$B$2:$B$755,$A5040)&gt;0,1,0))</f>
        <v>0</v>
      </c>
      <c r="N5040" s="16">
        <f>IF($A5040&lt;Notes!$B$5,"",IF(COUNTIFS(Release_Calendar!$A$2:$A$755,"NZ_GDP",Release_Calendar!$B$2:$B$755,$A5040)&gt;0,1,0))</f>
        <v>0</v>
      </c>
      <c r="O5040" s="16">
        <f>IF($A5040&lt;Notes!$B$5,"",IF(COUNTIFS(Release_Calendar!$A$2:$A$755,"NZ_LABOUR",Release_Calendar!$B$2:$B$755,$A5040)&gt;0,1,0))</f>
        <v>0</v>
      </c>
      <c r="P5040" s="16">
        <f t="shared" si="4"/>
        <v>0</v>
      </c>
    </row>
    <row r="5041" ht="15.75" customHeight="1">
      <c r="A5041" s="14">
        <v>43581.0</v>
      </c>
      <c r="B5041" s="15">
        <v>2.28</v>
      </c>
      <c r="C5041" s="15">
        <v>1.64</v>
      </c>
      <c r="D5041" s="15"/>
      <c r="E5041" s="15">
        <v>1.41</v>
      </c>
      <c r="F5041" s="15">
        <f t="shared" si="1"/>
        <v>-0.64</v>
      </c>
      <c r="G5041" s="15">
        <f t="shared" si="2"/>
        <v>1.64</v>
      </c>
      <c r="H5041" s="16">
        <v>0.0</v>
      </c>
      <c r="I5041" s="15">
        <f t="shared" si="3"/>
        <v>-0.64</v>
      </c>
      <c r="J5041" s="15">
        <v>12.73</v>
      </c>
      <c r="K5041" s="16">
        <f>IF(COUNTIFS(Release_Calendar!$A$2:$A$755,"US_CPI",Release_Calendar!$B$2:$B$755,$A5041)&gt;0,1,0)</f>
        <v>0</v>
      </c>
      <c r="L5041" s="16">
        <f>IF(COUNTIFS(Release_Calendar!$A$2:$A$755,"US_NFP",Release_Calendar!$B$2:$B$755,$A5041)&gt;0,1,0)</f>
        <v>0</v>
      </c>
      <c r="M5041" s="16">
        <f>IF($A5041&lt;Notes!$B$5,"",IF(COUNTIFS(Release_Calendar!$A$2:$A$755,"NZ_CPI",Release_Calendar!$B$2:$B$755,$A5041)&gt;0,1,0))</f>
        <v>0</v>
      </c>
      <c r="N5041" s="16">
        <f>IF($A5041&lt;Notes!$B$5,"",IF(COUNTIFS(Release_Calendar!$A$2:$A$755,"NZ_GDP",Release_Calendar!$B$2:$B$755,$A5041)&gt;0,1,0))</f>
        <v>0</v>
      </c>
      <c r="O5041" s="16">
        <f>IF($A5041&lt;Notes!$B$5,"",IF(COUNTIFS(Release_Calendar!$A$2:$A$755,"NZ_LABOUR",Release_Calendar!$B$2:$B$755,$A5041)&gt;0,1,0))</f>
        <v>0</v>
      </c>
      <c r="P5041" s="16">
        <f t="shared" si="4"/>
        <v>0</v>
      </c>
    </row>
    <row r="5042" ht="15.75" customHeight="1">
      <c r="A5042" s="14">
        <v>43584.0</v>
      </c>
      <c r="B5042" s="15">
        <v>2.3</v>
      </c>
      <c r="C5042" s="15">
        <v>1.66</v>
      </c>
      <c r="D5042" s="15"/>
      <c r="E5042" s="15">
        <v>1.42</v>
      </c>
      <c r="F5042" s="15">
        <f t="shared" si="1"/>
        <v>-0.64</v>
      </c>
      <c r="G5042" s="15">
        <f t="shared" si="2"/>
        <v>1.66</v>
      </c>
      <c r="H5042" s="16">
        <v>0.0</v>
      </c>
      <c r="I5042" s="15">
        <f t="shared" si="3"/>
        <v>-0.64</v>
      </c>
      <c r="J5042" s="15">
        <v>13.11</v>
      </c>
      <c r="K5042" s="16">
        <f>IF(COUNTIFS(Release_Calendar!$A$2:$A$755,"US_CPI",Release_Calendar!$B$2:$B$755,$A5042)&gt;0,1,0)</f>
        <v>0</v>
      </c>
      <c r="L5042" s="16">
        <f>IF(COUNTIFS(Release_Calendar!$A$2:$A$755,"US_NFP",Release_Calendar!$B$2:$B$755,$A5042)&gt;0,1,0)</f>
        <v>0</v>
      </c>
      <c r="M5042" s="16">
        <f>IF($A5042&lt;Notes!$B$5,"",IF(COUNTIFS(Release_Calendar!$A$2:$A$755,"NZ_CPI",Release_Calendar!$B$2:$B$755,$A5042)&gt;0,1,0))</f>
        <v>0</v>
      </c>
      <c r="N5042" s="16">
        <f>IF($A5042&lt;Notes!$B$5,"",IF(COUNTIFS(Release_Calendar!$A$2:$A$755,"NZ_GDP",Release_Calendar!$B$2:$B$755,$A5042)&gt;0,1,0))</f>
        <v>0</v>
      </c>
      <c r="O5042" s="16">
        <f>IF($A5042&lt;Notes!$B$5,"",IF(COUNTIFS(Release_Calendar!$A$2:$A$755,"NZ_LABOUR",Release_Calendar!$B$2:$B$755,$A5042)&gt;0,1,0))</f>
        <v>0</v>
      </c>
      <c r="P5042" s="16">
        <f t="shared" si="4"/>
        <v>0</v>
      </c>
    </row>
    <row r="5043" ht="15.75" customHeight="1">
      <c r="A5043" s="14">
        <v>43585.0</v>
      </c>
      <c r="B5043" s="15">
        <v>2.27</v>
      </c>
      <c r="C5043" s="15">
        <v>1.68</v>
      </c>
      <c r="D5043" s="15"/>
      <c r="E5043" s="15">
        <v>1.44</v>
      </c>
      <c r="F5043" s="15">
        <f t="shared" si="1"/>
        <v>-0.59</v>
      </c>
      <c r="G5043" s="15">
        <f t="shared" si="2"/>
        <v>1.68</v>
      </c>
      <c r="H5043" s="16">
        <v>0.0</v>
      </c>
      <c r="I5043" s="15">
        <f t="shared" si="3"/>
        <v>-0.59</v>
      </c>
      <c r="J5043" s="15">
        <v>13.12</v>
      </c>
      <c r="K5043" s="16">
        <f>IF(COUNTIFS(Release_Calendar!$A$2:$A$755,"US_CPI",Release_Calendar!$B$2:$B$755,$A5043)&gt;0,1,0)</f>
        <v>0</v>
      </c>
      <c r="L5043" s="16">
        <f>IF(COUNTIFS(Release_Calendar!$A$2:$A$755,"US_NFP",Release_Calendar!$B$2:$B$755,$A5043)&gt;0,1,0)</f>
        <v>0</v>
      </c>
      <c r="M5043" s="16">
        <f>IF($A5043&lt;Notes!$B$5,"",IF(COUNTIFS(Release_Calendar!$A$2:$A$755,"NZ_CPI",Release_Calendar!$B$2:$B$755,$A5043)&gt;0,1,0))</f>
        <v>0</v>
      </c>
      <c r="N5043" s="16">
        <f>IF($A5043&lt;Notes!$B$5,"",IF(COUNTIFS(Release_Calendar!$A$2:$A$755,"NZ_GDP",Release_Calendar!$B$2:$B$755,$A5043)&gt;0,1,0))</f>
        <v>0</v>
      </c>
      <c r="O5043" s="16">
        <f>IF($A5043&lt;Notes!$B$5,"",IF(COUNTIFS(Release_Calendar!$A$2:$A$755,"NZ_LABOUR",Release_Calendar!$B$2:$B$755,$A5043)&gt;0,1,0))</f>
        <v>0</v>
      </c>
      <c r="P5043" s="16">
        <f t="shared" si="4"/>
        <v>0</v>
      </c>
    </row>
    <row r="5044" ht="15.75" customHeight="1">
      <c r="A5044" s="14">
        <v>43586.0</v>
      </c>
      <c r="B5044" s="15">
        <v>2.31</v>
      </c>
      <c r="C5044" s="15">
        <v>1.61</v>
      </c>
      <c r="D5044" s="15"/>
      <c r="E5044" s="15">
        <v>1.4</v>
      </c>
      <c r="F5044" s="15">
        <f t="shared" si="1"/>
        <v>-0.7</v>
      </c>
      <c r="G5044" s="15">
        <f t="shared" si="2"/>
        <v>1.61</v>
      </c>
      <c r="H5044" s="16">
        <v>0.0</v>
      </c>
      <c r="I5044" s="15">
        <f t="shared" si="3"/>
        <v>-0.7</v>
      </c>
      <c r="J5044" s="15">
        <v>14.8</v>
      </c>
      <c r="K5044" s="16">
        <f>IF(COUNTIFS(Release_Calendar!$A$2:$A$755,"US_CPI",Release_Calendar!$B$2:$B$755,$A5044)&gt;0,1,0)</f>
        <v>0</v>
      </c>
      <c r="L5044" s="16">
        <f>IF(COUNTIFS(Release_Calendar!$A$2:$A$755,"US_NFP",Release_Calendar!$B$2:$B$755,$A5044)&gt;0,1,0)</f>
        <v>0</v>
      </c>
      <c r="M5044" s="16">
        <f>IF($A5044&lt;Notes!$B$5,"",IF(COUNTIFS(Release_Calendar!$A$2:$A$755,"NZ_CPI",Release_Calendar!$B$2:$B$755,$A5044)&gt;0,1,0))</f>
        <v>0</v>
      </c>
      <c r="N5044" s="16">
        <f>IF($A5044&lt;Notes!$B$5,"",IF(COUNTIFS(Release_Calendar!$A$2:$A$755,"NZ_GDP",Release_Calendar!$B$2:$B$755,$A5044)&gt;0,1,0))</f>
        <v>0</v>
      </c>
      <c r="O5044" s="16">
        <f>IF($A5044&lt;Notes!$B$5,"",IF(COUNTIFS(Release_Calendar!$A$2:$A$755,"NZ_LABOUR",Release_Calendar!$B$2:$B$755,$A5044)&gt;0,1,0))</f>
        <v>1</v>
      </c>
      <c r="P5044" s="16">
        <f t="shared" si="4"/>
        <v>1</v>
      </c>
    </row>
    <row r="5045" ht="15.75" customHeight="1">
      <c r="A5045" s="14">
        <v>43587.0</v>
      </c>
      <c r="B5045" s="15">
        <v>2.35</v>
      </c>
      <c r="C5045" s="15">
        <v>1.63</v>
      </c>
      <c r="D5045" s="15"/>
      <c r="E5045" s="15">
        <v>1.42</v>
      </c>
      <c r="F5045" s="15">
        <f t="shared" si="1"/>
        <v>-0.72</v>
      </c>
      <c r="G5045" s="15">
        <f t="shared" si="2"/>
        <v>1.63</v>
      </c>
      <c r="H5045" s="16">
        <v>0.0</v>
      </c>
      <c r="I5045" s="15">
        <f t="shared" si="3"/>
        <v>-0.72</v>
      </c>
      <c r="J5045" s="15">
        <v>14.42</v>
      </c>
      <c r="K5045" s="16">
        <f>IF(COUNTIFS(Release_Calendar!$A$2:$A$755,"US_CPI",Release_Calendar!$B$2:$B$755,$A5045)&gt;0,1,0)</f>
        <v>0</v>
      </c>
      <c r="L5045" s="16">
        <f>IF(COUNTIFS(Release_Calendar!$A$2:$A$755,"US_NFP",Release_Calendar!$B$2:$B$755,$A5045)&gt;0,1,0)</f>
        <v>0</v>
      </c>
      <c r="M5045" s="16">
        <f>IF($A5045&lt;Notes!$B$5,"",IF(COUNTIFS(Release_Calendar!$A$2:$A$755,"NZ_CPI",Release_Calendar!$B$2:$B$755,$A5045)&gt;0,1,0))</f>
        <v>0</v>
      </c>
      <c r="N5045" s="16">
        <f>IF($A5045&lt;Notes!$B$5,"",IF(COUNTIFS(Release_Calendar!$A$2:$A$755,"NZ_GDP",Release_Calendar!$B$2:$B$755,$A5045)&gt;0,1,0))</f>
        <v>0</v>
      </c>
      <c r="O5045" s="16">
        <f>IF($A5045&lt;Notes!$B$5,"",IF(COUNTIFS(Release_Calendar!$A$2:$A$755,"NZ_LABOUR",Release_Calendar!$B$2:$B$755,$A5045)&gt;0,1,0))</f>
        <v>0</v>
      </c>
      <c r="P5045" s="16">
        <f t="shared" si="4"/>
        <v>0</v>
      </c>
    </row>
    <row r="5046" ht="15.75" customHeight="1">
      <c r="A5046" s="14">
        <v>43588.0</v>
      </c>
      <c r="B5046" s="15">
        <v>2.33</v>
      </c>
      <c r="C5046" s="15">
        <v>1.63</v>
      </c>
      <c r="D5046" s="15"/>
      <c r="E5046" s="15">
        <v>1.43</v>
      </c>
      <c r="F5046" s="15">
        <f t="shared" si="1"/>
        <v>-0.7</v>
      </c>
      <c r="G5046" s="15">
        <f t="shared" si="2"/>
        <v>1.63</v>
      </c>
      <c r="H5046" s="16">
        <v>0.0</v>
      </c>
      <c r="I5046" s="15">
        <f t="shared" si="3"/>
        <v>-0.7</v>
      </c>
      <c r="J5046" s="15">
        <v>12.87</v>
      </c>
      <c r="K5046" s="16">
        <f>IF(COUNTIFS(Release_Calendar!$A$2:$A$755,"US_CPI",Release_Calendar!$B$2:$B$755,$A5046)&gt;0,1,0)</f>
        <v>0</v>
      </c>
      <c r="L5046" s="16">
        <f>IF(COUNTIFS(Release_Calendar!$A$2:$A$755,"US_NFP",Release_Calendar!$B$2:$B$755,$A5046)&gt;0,1,0)</f>
        <v>1</v>
      </c>
      <c r="M5046" s="16">
        <f>IF($A5046&lt;Notes!$B$5,"",IF(COUNTIFS(Release_Calendar!$A$2:$A$755,"NZ_CPI",Release_Calendar!$B$2:$B$755,$A5046)&gt;0,1,0))</f>
        <v>0</v>
      </c>
      <c r="N5046" s="16">
        <f>IF($A5046&lt;Notes!$B$5,"",IF(COUNTIFS(Release_Calendar!$A$2:$A$755,"NZ_GDP",Release_Calendar!$B$2:$B$755,$A5046)&gt;0,1,0))</f>
        <v>0</v>
      </c>
      <c r="O5046" s="16">
        <f>IF($A5046&lt;Notes!$B$5,"",IF(COUNTIFS(Release_Calendar!$A$2:$A$755,"NZ_LABOUR",Release_Calendar!$B$2:$B$755,$A5046)&gt;0,1,0))</f>
        <v>0</v>
      </c>
      <c r="P5046" s="16">
        <f t="shared" si="4"/>
        <v>1</v>
      </c>
    </row>
    <row r="5047" ht="15.75" customHeight="1">
      <c r="A5047" s="14">
        <v>43591.0</v>
      </c>
      <c r="B5047" s="15">
        <v>2.31</v>
      </c>
      <c r="C5047" s="15">
        <v>1.61</v>
      </c>
      <c r="D5047" s="15"/>
      <c r="E5047" s="15">
        <v>1.41</v>
      </c>
      <c r="F5047" s="15">
        <f t="shared" si="1"/>
        <v>-0.7</v>
      </c>
      <c r="G5047" s="15">
        <f t="shared" si="2"/>
        <v>1.61</v>
      </c>
      <c r="H5047" s="16">
        <v>0.0</v>
      </c>
      <c r="I5047" s="15">
        <f t="shared" si="3"/>
        <v>-0.7</v>
      </c>
      <c r="J5047" s="15">
        <v>15.44</v>
      </c>
      <c r="K5047" s="16">
        <f>IF(COUNTIFS(Release_Calendar!$A$2:$A$755,"US_CPI",Release_Calendar!$B$2:$B$755,$A5047)&gt;0,1,0)</f>
        <v>0</v>
      </c>
      <c r="L5047" s="16">
        <f>IF(COUNTIFS(Release_Calendar!$A$2:$A$755,"US_NFP",Release_Calendar!$B$2:$B$755,$A5047)&gt;0,1,0)</f>
        <v>0</v>
      </c>
      <c r="M5047" s="16">
        <f>IF($A5047&lt;Notes!$B$5,"",IF(COUNTIFS(Release_Calendar!$A$2:$A$755,"NZ_CPI",Release_Calendar!$B$2:$B$755,$A5047)&gt;0,1,0))</f>
        <v>0</v>
      </c>
      <c r="N5047" s="16">
        <f>IF($A5047&lt;Notes!$B$5,"",IF(COUNTIFS(Release_Calendar!$A$2:$A$755,"NZ_GDP",Release_Calendar!$B$2:$B$755,$A5047)&gt;0,1,0))</f>
        <v>0</v>
      </c>
      <c r="O5047" s="16">
        <f>IF($A5047&lt;Notes!$B$5,"",IF(COUNTIFS(Release_Calendar!$A$2:$A$755,"NZ_LABOUR",Release_Calendar!$B$2:$B$755,$A5047)&gt;0,1,0))</f>
        <v>0</v>
      </c>
      <c r="P5047" s="16">
        <f t="shared" si="4"/>
        <v>0</v>
      </c>
    </row>
    <row r="5048" ht="15.75" customHeight="1">
      <c r="A5048" s="14">
        <v>43592.0</v>
      </c>
      <c r="B5048" s="15">
        <v>2.28</v>
      </c>
      <c r="C5048" s="15">
        <v>1.62</v>
      </c>
      <c r="D5048" s="15"/>
      <c r="E5048" s="15">
        <v>1.42</v>
      </c>
      <c r="F5048" s="15">
        <f t="shared" si="1"/>
        <v>-0.66</v>
      </c>
      <c r="G5048" s="15">
        <f t="shared" si="2"/>
        <v>1.62</v>
      </c>
      <c r="H5048" s="16">
        <v>0.0</v>
      </c>
      <c r="I5048" s="15">
        <f t="shared" si="3"/>
        <v>-0.66</v>
      </c>
      <c r="J5048" s="15">
        <v>19.32</v>
      </c>
      <c r="K5048" s="16">
        <f>IF(COUNTIFS(Release_Calendar!$A$2:$A$755,"US_CPI",Release_Calendar!$B$2:$B$755,$A5048)&gt;0,1,0)</f>
        <v>0</v>
      </c>
      <c r="L5048" s="16">
        <f>IF(COUNTIFS(Release_Calendar!$A$2:$A$755,"US_NFP",Release_Calendar!$B$2:$B$755,$A5048)&gt;0,1,0)</f>
        <v>0</v>
      </c>
      <c r="M5048" s="16">
        <f>IF($A5048&lt;Notes!$B$5,"",IF(COUNTIFS(Release_Calendar!$A$2:$A$755,"NZ_CPI",Release_Calendar!$B$2:$B$755,$A5048)&gt;0,1,0))</f>
        <v>0</v>
      </c>
      <c r="N5048" s="16">
        <f>IF($A5048&lt;Notes!$B$5,"",IF(COUNTIFS(Release_Calendar!$A$2:$A$755,"NZ_GDP",Release_Calendar!$B$2:$B$755,$A5048)&gt;0,1,0))</f>
        <v>0</v>
      </c>
      <c r="O5048" s="16">
        <f>IF($A5048&lt;Notes!$B$5,"",IF(COUNTIFS(Release_Calendar!$A$2:$A$755,"NZ_LABOUR",Release_Calendar!$B$2:$B$755,$A5048)&gt;0,1,0))</f>
        <v>0</v>
      </c>
      <c r="P5048" s="16">
        <f t="shared" si="4"/>
        <v>0</v>
      </c>
    </row>
    <row r="5049" ht="15.75" customHeight="1">
      <c r="A5049" s="14">
        <v>43593.0</v>
      </c>
      <c r="B5049" s="15">
        <v>2.3</v>
      </c>
      <c r="C5049" s="15">
        <v>1.59</v>
      </c>
      <c r="D5049" s="15"/>
      <c r="E5049" s="15">
        <v>1.39</v>
      </c>
      <c r="F5049" s="15">
        <f t="shared" si="1"/>
        <v>-0.71</v>
      </c>
      <c r="G5049" s="15">
        <f t="shared" si="2"/>
        <v>1.59</v>
      </c>
      <c r="H5049" s="16">
        <v>0.0</v>
      </c>
      <c r="I5049" s="15">
        <f t="shared" si="3"/>
        <v>-0.71</v>
      </c>
      <c r="J5049" s="15">
        <v>19.4</v>
      </c>
      <c r="K5049" s="16">
        <f>IF(COUNTIFS(Release_Calendar!$A$2:$A$755,"US_CPI",Release_Calendar!$B$2:$B$755,$A5049)&gt;0,1,0)</f>
        <v>0</v>
      </c>
      <c r="L5049" s="16">
        <f>IF(COUNTIFS(Release_Calendar!$A$2:$A$755,"US_NFP",Release_Calendar!$B$2:$B$755,$A5049)&gt;0,1,0)</f>
        <v>0</v>
      </c>
      <c r="M5049" s="16">
        <f>IF($A5049&lt;Notes!$B$5,"",IF(COUNTIFS(Release_Calendar!$A$2:$A$755,"NZ_CPI",Release_Calendar!$B$2:$B$755,$A5049)&gt;0,1,0))</f>
        <v>0</v>
      </c>
      <c r="N5049" s="16">
        <f>IF($A5049&lt;Notes!$B$5,"",IF(COUNTIFS(Release_Calendar!$A$2:$A$755,"NZ_GDP",Release_Calendar!$B$2:$B$755,$A5049)&gt;0,1,0))</f>
        <v>0</v>
      </c>
      <c r="O5049" s="16">
        <f>IF($A5049&lt;Notes!$B$5,"",IF(COUNTIFS(Release_Calendar!$A$2:$A$755,"NZ_LABOUR",Release_Calendar!$B$2:$B$755,$A5049)&gt;0,1,0))</f>
        <v>0</v>
      </c>
      <c r="P5049" s="16">
        <f t="shared" si="4"/>
        <v>0</v>
      </c>
    </row>
    <row r="5050" ht="15.75" customHeight="1">
      <c r="A5050" s="14">
        <v>43594.0</v>
      </c>
      <c r="B5050" s="15">
        <v>2.26</v>
      </c>
      <c r="C5050" s="15">
        <v>1.62</v>
      </c>
      <c r="D5050" s="15"/>
      <c r="E5050" s="15">
        <v>1.42</v>
      </c>
      <c r="F5050" s="15">
        <f t="shared" si="1"/>
        <v>-0.64</v>
      </c>
      <c r="G5050" s="15">
        <f t="shared" si="2"/>
        <v>1.62</v>
      </c>
      <c r="H5050" s="16">
        <v>0.0</v>
      </c>
      <c r="I5050" s="15">
        <f t="shared" si="3"/>
        <v>-0.64</v>
      </c>
      <c r="J5050" s="15">
        <v>19.1</v>
      </c>
      <c r="K5050" s="16">
        <f>IF(COUNTIFS(Release_Calendar!$A$2:$A$755,"US_CPI",Release_Calendar!$B$2:$B$755,$A5050)&gt;0,1,0)</f>
        <v>0</v>
      </c>
      <c r="L5050" s="16">
        <f>IF(COUNTIFS(Release_Calendar!$A$2:$A$755,"US_NFP",Release_Calendar!$B$2:$B$755,$A5050)&gt;0,1,0)</f>
        <v>0</v>
      </c>
      <c r="M5050" s="16">
        <f>IF($A5050&lt;Notes!$B$5,"",IF(COUNTIFS(Release_Calendar!$A$2:$A$755,"NZ_CPI",Release_Calendar!$B$2:$B$755,$A5050)&gt;0,1,0))</f>
        <v>0</v>
      </c>
      <c r="N5050" s="16">
        <f>IF($A5050&lt;Notes!$B$5,"",IF(COUNTIFS(Release_Calendar!$A$2:$A$755,"NZ_GDP",Release_Calendar!$B$2:$B$755,$A5050)&gt;0,1,0))</f>
        <v>0</v>
      </c>
      <c r="O5050" s="16">
        <f>IF($A5050&lt;Notes!$B$5,"",IF(COUNTIFS(Release_Calendar!$A$2:$A$755,"NZ_LABOUR",Release_Calendar!$B$2:$B$755,$A5050)&gt;0,1,0))</f>
        <v>0</v>
      </c>
      <c r="P5050" s="16">
        <f t="shared" si="4"/>
        <v>0</v>
      </c>
    </row>
    <row r="5051" ht="15.75" customHeight="1">
      <c r="A5051" s="14">
        <v>43595.0</v>
      </c>
      <c r="B5051" s="15">
        <v>2.26</v>
      </c>
      <c r="C5051" s="15">
        <v>1.61</v>
      </c>
      <c r="D5051" s="15"/>
      <c r="E5051" s="15">
        <v>1.42</v>
      </c>
      <c r="F5051" s="15">
        <f t="shared" si="1"/>
        <v>-0.65</v>
      </c>
      <c r="G5051" s="15">
        <f t="shared" si="2"/>
        <v>1.61</v>
      </c>
      <c r="H5051" s="16">
        <v>0.0</v>
      </c>
      <c r="I5051" s="15">
        <f t="shared" si="3"/>
        <v>-0.65</v>
      </c>
      <c r="J5051" s="15">
        <v>16.04</v>
      </c>
      <c r="K5051" s="16">
        <f>IF(COUNTIFS(Release_Calendar!$A$2:$A$755,"US_CPI",Release_Calendar!$B$2:$B$755,$A5051)&gt;0,1,0)</f>
        <v>1</v>
      </c>
      <c r="L5051" s="16">
        <f>IF(COUNTIFS(Release_Calendar!$A$2:$A$755,"US_NFP",Release_Calendar!$B$2:$B$755,$A5051)&gt;0,1,0)</f>
        <v>0</v>
      </c>
      <c r="M5051" s="16">
        <f>IF($A5051&lt;Notes!$B$5,"",IF(COUNTIFS(Release_Calendar!$A$2:$A$755,"NZ_CPI",Release_Calendar!$B$2:$B$755,$A5051)&gt;0,1,0))</f>
        <v>0</v>
      </c>
      <c r="N5051" s="16">
        <f>IF($A5051&lt;Notes!$B$5,"",IF(COUNTIFS(Release_Calendar!$A$2:$A$755,"NZ_GDP",Release_Calendar!$B$2:$B$755,$A5051)&gt;0,1,0))</f>
        <v>0</v>
      </c>
      <c r="O5051" s="16">
        <f>IF($A5051&lt;Notes!$B$5,"",IF(COUNTIFS(Release_Calendar!$A$2:$A$755,"NZ_LABOUR",Release_Calendar!$B$2:$B$755,$A5051)&gt;0,1,0))</f>
        <v>0</v>
      </c>
      <c r="P5051" s="16">
        <f t="shared" si="4"/>
        <v>1</v>
      </c>
    </row>
    <row r="5052" ht="15.75" customHeight="1">
      <c r="A5052" s="14">
        <v>43598.0</v>
      </c>
      <c r="B5052" s="15">
        <v>2.18</v>
      </c>
      <c r="C5052" s="15">
        <v>1.6</v>
      </c>
      <c r="D5052" s="15"/>
      <c r="E5052" s="15">
        <v>1.41</v>
      </c>
      <c r="F5052" s="15">
        <f t="shared" si="1"/>
        <v>-0.58</v>
      </c>
      <c r="G5052" s="15">
        <f t="shared" si="2"/>
        <v>1.6</v>
      </c>
      <c r="H5052" s="16">
        <v>0.0</v>
      </c>
      <c r="I5052" s="15">
        <f t="shared" si="3"/>
        <v>-0.58</v>
      </c>
      <c r="J5052" s="15">
        <v>20.55</v>
      </c>
      <c r="K5052" s="16">
        <f>IF(COUNTIFS(Release_Calendar!$A$2:$A$755,"US_CPI",Release_Calendar!$B$2:$B$755,$A5052)&gt;0,1,0)</f>
        <v>0</v>
      </c>
      <c r="L5052" s="16">
        <f>IF(COUNTIFS(Release_Calendar!$A$2:$A$755,"US_NFP",Release_Calendar!$B$2:$B$755,$A5052)&gt;0,1,0)</f>
        <v>0</v>
      </c>
      <c r="M5052" s="16">
        <f>IF($A5052&lt;Notes!$B$5,"",IF(COUNTIFS(Release_Calendar!$A$2:$A$755,"NZ_CPI",Release_Calendar!$B$2:$B$755,$A5052)&gt;0,1,0))</f>
        <v>0</v>
      </c>
      <c r="N5052" s="16">
        <f>IF($A5052&lt;Notes!$B$5,"",IF(COUNTIFS(Release_Calendar!$A$2:$A$755,"NZ_GDP",Release_Calendar!$B$2:$B$755,$A5052)&gt;0,1,0))</f>
        <v>0</v>
      </c>
      <c r="O5052" s="16">
        <f>IF($A5052&lt;Notes!$B$5,"",IF(COUNTIFS(Release_Calendar!$A$2:$A$755,"NZ_LABOUR",Release_Calendar!$B$2:$B$755,$A5052)&gt;0,1,0))</f>
        <v>0</v>
      </c>
      <c r="P5052" s="16">
        <f t="shared" si="4"/>
        <v>0</v>
      </c>
    </row>
    <row r="5053" ht="15.75" customHeight="1">
      <c r="A5053" s="14">
        <v>43599.0</v>
      </c>
      <c r="B5053" s="15">
        <v>2.2</v>
      </c>
      <c r="C5053" s="15">
        <v>1.59</v>
      </c>
      <c r="D5053" s="15"/>
      <c r="E5053" s="15">
        <v>1.41</v>
      </c>
      <c r="F5053" s="15">
        <f t="shared" si="1"/>
        <v>-0.61</v>
      </c>
      <c r="G5053" s="15">
        <f t="shared" si="2"/>
        <v>1.59</v>
      </c>
      <c r="H5053" s="16">
        <v>0.0</v>
      </c>
      <c r="I5053" s="15">
        <f t="shared" si="3"/>
        <v>-0.61</v>
      </c>
      <c r="J5053" s="15">
        <v>18.06</v>
      </c>
      <c r="K5053" s="16">
        <f>IF(COUNTIFS(Release_Calendar!$A$2:$A$755,"US_CPI",Release_Calendar!$B$2:$B$755,$A5053)&gt;0,1,0)</f>
        <v>0</v>
      </c>
      <c r="L5053" s="16">
        <f>IF(COUNTIFS(Release_Calendar!$A$2:$A$755,"US_NFP",Release_Calendar!$B$2:$B$755,$A5053)&gt;0,1,0)</f>
        <v>0</v>
      </c>
      <c r="M5053" s="16">
        <f>IF($A5053&lt;Notes!$B$5,"",IF(COUNTIFS(Release_Calendar!$A$2:$A$755,"NZ_CPI",Release_Calendar!$B$2:$B$755,$A5053)&gt;0,1,0))</f>
        <v>0</v>
      </c>
      <c r="N5053" s="16">
        <f>IF($A5053&lt;Notes!$B$5,"",IF(COUNTIFS(Release_Calendar!$A$2:$A$755,"NZ_GDP",Release_Calendar!$B$2:$B$755,$A5053)&gt;0,1,0))</f>
        <v>0</v>
      </c>
      <c r="O5053" s="16">
        <f>IF($A5053&lt;Notes!$B$5,"",IF(COUNTIFS(Release_Calendar!$A$2:$A$755,"NZ_LABOUR",Release_Calendar!$B$2:$B$755,$A5053)&gt;0,1,0))</f>
        <v>0</v>
      </c>
      <c r="P5053" s="16">
        <f t="shared" si="4"/>
        <v>0</v>
      </c>
    </row>
    <row r="5054" ht="15.75" customHeight="1">
      <c r="A5054" s="14">
        <v>43600.0</v>
      </c>
      <c r="B5054" s="15">
        <v>2.16</v>
      </c>
      <c r="C5054" s="15">
        <v>1.57</v>
      </c>
      <c r="D5054" s="15"/>
      <c r="E5054" s="15">
        <v>1.4</v>
      </c>
      <c r="F5054" s="15">
        <f t="shared" si="1"/>
        <v>-0.59</v>
      </c>
      <c r="G5054" s="15">
        <f t="shared" si="2"/>
        <v>1.57</v>
      </c>
      <c r="H5054" s="16">
        <v>0.0</v>
      </c>
      <c r="I5054" s="15">
        <f t="shared" si="3"/>
        <v>-0.59</v>
      </c>
      <c r="J5054" s="15">
        <v>16.44</v>
      </c>
      <c r="K5054" s="16">
        <f>IF(COUNTIFS(Release_Calendar!$A$2:$A$755,"US_CPI",Release_Calendar!$B$2:$B$755,$A5054)&gt;0,1,0)</f>
        <v>0</v>
      </c>
      <c r="L5054" s="16">
        <f>IF(COUNTIFS(Release_Calendar!$A$2:$A$755,"US_NFP",Release_Calendar!$B$2:$B$755,$A5054)&gt;0,1,0)</f>
        <v>0</v>
      </c>
      <c r="M5054" s="16">
        <f>IF($A5054&lt;Notes!$B$5,"",IF(COUNTIFS(Release_Calendar!$A$2:$A$755,"NZ_CPI",Release_Calendar!$B$2:$B$755,$A5054)&gt;0,1,0))</f>
        <v>0</v>
      </c>
      <c r="N5054" s="16">
        <f>IF($A5054&lt;Notes!$B$5,"",IF(COUNTIFS(Release_Calendar!$A$2:$A$755,"NZ_GDP",Release_Calendar!$B$2:$B$755,$A5054)&gt;0,1,0))</f>
        <v>0</v>
      </c>
      <c r="O5054" s="16">
        <f>IF($A5054&lt;Notes!$B$5,"",IF(COUNTIFS(Release_Calendar!$A$2:$A$755,"NZ_LABOUR",Release_Calendar!$B$2:$B$755,$A5054)&gt;0,1,0))</f>
        <v>0</v>
      </c>
      <c r="P5054" s="16">
        <f t="shared" si="4"/>
        <v>0</v>
      </c>
    </row>
    <row r="5055" ht="15.75" customHeight="1">
      <c r="A5055" s="14">
        <v>43601.0</v>
      </c>
      <c r="B5055" s="15">
        <v>2.2</v>
      </c>
      <c r="C5055" s="15">
        <v>1.55</v>
      </c>
      <c r="D5055" s="15"/>
      <c r="E5055" s="15">
        <v>1.37</v>
      </c>
      <c r="F5055" s="15">
        <f t="shared" si="1"/>
        <v>-0.65</v>
      </c>
      <c r="G5055" s="15">
        <f t="shared" si="2"/>
        <v>1.55</v>
      </c>
      <c r="H5055" s="16">
        <v>0.0</v>
      </c>
      <c r="I5055" s="15">
        <f t="shared" si="3"/>
        <v>-0.65</v>
      </c>
      <c r="J5055" s="15">
        <v>15.29</v>
      </c>
      <c r="K5055" s="16">
        <f>IF(COUNTIFS(Release_Calendar!$A$2:$A$755,"US_CPI",Release_Calendar!$B$2:$B$755,$A5055)&gt;0,1,0)</f>
        <v>0</v>
      </c>
      <c r="L5055" s="16">
        <f>IF(COUNTIFS(Release_Calendar!$A$2:$A$755,"US_NFP",Release_Calendar!$B$2:$B$755,$A5055)&gt;0,1,0)</f>
        <v>0</v>
      </c>
      <c r="M5055" s="16">
        <f>IF($A5055&lt;Notes!$B$5,"",IF(COUNTIFS(Release_Calendar!$A$2:$A$755,"NZ_CPI",Release_Calendar!$B$2:$B$755,$A5055)&gt;0,1,0))</f>
        <v>0</v>
      </c>
      <c r="N5055" s="16">
        <f>IF($A5055&lt;Notes!$B$5,"",IF(COUNTIFS(Release_Calendar!$A$2:$A$755,"NZ_GDP",Release_Calendar!$B$2:$B$755,$A5055)&gt;0,1,0))</f>
        <v>0</v>
      </c>
      <c r="O5055" s="16">
        <f>IF($A5055&lt;Notes!$B$5,"",IF(COUNTIFS(Release_Calendar!$A$2:$A$755,"NZ_LABOUR",Release_Calendar!$B$2:$B$755,$A5055)&gt;0,1,0))</f>
        <v>0</v>
      </c>
      <c r="P5055" s="16">
        <f t="shared" si="4"/>
        <v>0</v>
      </c>
    </row>
    <row r="5056" ht="15.75" customHeight="1">
      <c r="A5056" s="14">
        <v>43602.0</v>
      </c>
      <c r="B5056" s="15">
        <v>2.2</v>
      </c>
      <c r="C5056" s="15">
        <v>1.54</v>
      </c>
      <c r="D5056" s="15"/>
      <c r="E5056" s="15">
        <v>1.37</v>
      </c>
      <c r="F5056" s="15">
        <f t="shared" si="1"/>
        <v>-0.66</v>
      </c>
      <c r="G5056" s="15">
        <f t="shared" si="2"/>
        <v>1.54</v>
      </c>
      <c r="H5056" s="16">
        <v>0.0</v>
      </c>
      <c r="I5056" s="15">
        <f t="shared" si="3"/>
        <v>-0.66</v>
      </c>
      <c r="J5056" s="15">
        <v>15.96</v>
      </c>
      <c r="K5056" s="16">
        <f>IF(COUNTIFS(Release_Calendar!$A$2:$A$755,"US_CPI",Release_Calendar!$B$2:$B$755,$A5056)&gt;0,1,0)</f>
        <v>0</v>
      </c>
      <c r="L5056" s="16">
        <f>IF(COUNTIFS(Release_Calendar!$A$2:$A$755,"US_NFP",Release_Calendar!$B$2:$B$755,$A5056)&gt;0,1,0)</f>
        <v>0</v>
      </c>
      <c r="M5056" s="16">
        <f>IF($A5056&lt;Notes!$B$5,"",IF(COUNTIFS(Release_Calendar!$A$2:$A$755,"NZ_CPI",Release_Calendar!$B$2:$B$755,$A5056)&gt;0,1,0))</f>
        <v>0</v>
      </c>
      <c r="N5056" s="16">
        <f>IF($A5056&lt;Notes!$B$5,"",IF(COUNTIFS(Release_Calendar!$A$2:$A$755,"NZ_GDP",Release_Calendar!$B$2:$B$755,$A5056)&gt;0,1,0))</f>
        <v>0</v>
      </c>
      <c r="O5056" s="16">
        <f>IF($A5056&lt;Notes!$B$5,"",IF(COUNTIFS(Release_Calendar!$A$2:$A$755,"NZ_LABOUR",Release_Calendar!$B$2:$B$755,$A5056)&gt;0,1,0))</f>
        <v>0</v>
      </c>
      <c r="P5056" s="16">
        <f t="shared" si="4"/>
        <v>0</v>
      </c>
    </row>
    <row r="5057" ht="15.75" customHeight="1">
      <c r="A5057" s="14">
        <v>43605.0</v>
      </c>
      <c r="B5057" s="15">
        <v>2.21</v>
      </c>
      <c r="C5057" s="15">
        <v>1.55</v>
      </c>
      <c r="D5057" s="15"/>
      <c r="E5057" s="15">
        <v>1.38</v>
      </c>
      <c r="F5057" s="15">
        <f t="shared" si="1"/>
        <v>-0.66</v>
      </c>
      <c r="G5057" s="15">
        <f t="shared" si="2"/>
        <v>1.55</v>
      </c>
      <c r="H5057" s="16">
        <v>0.0</v>
      </c>
      <c r="I5057" s="15">
        <f t="shared" si="3"/>
        <v>-0.66</v>
      </c>
      <c r="J5057" s="15">
        <v>16.31</v>
      </c>
      <c r="K5057" s="16">
        <f>IF(COUNTIFS(Release_Calendar!$A$2:$A$755,"US_CPI",Release_Calendar!$B$2:$B$755,$A5057)&gt;0,1,0)</f>
        <v>0</v>
      </c>
      <c r="L5057" s="16">
        <f>IF(COUNTIFS(Release_Calendar!$A$2:$A$755,"US_NFP",Release_Calendar!$B$2:$B$755,$A5057)&gt;0,1,0)</f>
        <v>0</v>
      </c>
      <c r="M5057" s="16">
        <f>IF($A5057&lt;Notes!$B$5,"",IF(COUNTIFS(Release_Calendar!$A$2:$A$755,"NZ_CPI",Release_Calendar!$B$2:$B$755,$A5057)&gt;0,1,0))</f>
        <v>0</v>
      </c>
      <c r="N5057" s="16">
        <f>IF($A5057&lt;Notes!$B$5,"",IF(COUNTIFS(Release_Calendar!$A$2:$A$755,"NZ_GDP",Release_Calendar!$B$2:$B$755,$A5057)&gt;0,1,0))</f>
        <v>0</v>
      </c>
      <c r="O5057" s="16">
        <f>IF($A5057&lt;Notes!$B$5,"",IF(COUNTIFS(Release_Calendar!$A$2:$A$755,"NZ_LABOUR",Release_Calendar!$B$2:$B$755,$A5057)&gt;0,1,0))</f>
        <v>0</v>
      </c>
      <c r="P5057" s="16">
        <f t="shared" si="4"/>
        <v>0</v>
      </c>
    </row>
    <row r="5058" ht="15.75" customHeight="1">
      <c r="A5058" s="14">
        <v>43606.0</v>
      </c>
      <c r="B5058" s="15">
        <v>2.26</v>
      </c>
      <c r="C5058" s="15">
        <v>1.54</v>
      </c>
      <c r="D5058" s="15"/>
      <c r="E5058" s="15">
        <v>1.37</v>
      </c>
      <c r="F5058" s="15">
        <f t="shared" si="1"/>
        <v>-0.72</v>
      </c>
      <c r="G5058" s="15">
        <f t="shared" si="2"/>
        <v>1.54</v>
      </c>
      <c r="H5058" s="16">
        <v>0.0</v>
      </c>
      <c r="I5058" s="15">
        <f t="shared" si="3"/>
        <v>-0.72</v>
      </c>
      <c r="J5058" s="15">
        <v>14.95</v>
      </c>
      <c r="K5058" s="16">
        <f>IF(COUNTIFS(Release_Calendar!$A$2:$A$755,"US_CPI",Release_Calendar!$B$2:$B$755,$A5058)&gt;0,1,0)</f>
        <v>0</v>
      </c>
      <c r="L5058" s="16">
        <f>IF(COUNTIFS(Release_Calendar!$A$2:$A$755,"US_NFP",Release_Calendar!$B$2:$B$755,$A5058)&gt;0,1,0)</f>
        <v>0</v>
      </c>
      <c r="M5058" s="16">
        <f>IF($A5058&lt;Notes!$B$5,"",IF(COUNTIFS(Release_Calendar!$A$2:$A$755,"NZ_CPI",Release_Calendar!$B$2:$B$755,$A5058)&gt;0,1,0))</f>
        <v>0</v>
      </c>
      <c r="N5058" s="16">
        <f>IF($A5058&lt;Notes!$B$5,"",IF(COUNTIFS(Release_Calendar!$A$2:$A$755,"NZ_GDP",Release_Calendar!$B$2:$B$755,$A5058)&gt;0,1,0))</f>
        <v>0</v>
      </c>
      <c r="O5058" s="16">
        <f>IF($A5058&lt;Notes!$B$5,"",IF(COUNTIFS(Release_Calendar!$A$2:$A$755,"NZ_LABOUR",Release_Calendar!$B$2:$B$755,$A5058)&gt;0,1,0))</f>
        <v>0</v>
      </c>
      <c r="P5058" s="16">
        <f t="shared" si="4"/>
        <v>0</v>
      </c>
    </row>
    <row r="5059" ht="15.75" customHeight="1">
      <c r="A5059" s="14">
        <v>43607.0</v>
      </c>
      <c r="B5059" s="15">
        <v>2.23</v>
      </c>
      <c r="C5059" s="15">
        <v>1.53</v>
      </c>
      <c r="D5059" s="15"/>
      <c r="E5059" s="15">
        <v>1.36</v>
      </c>
      <c r="F5059" s="15">
        <f t="shared" si="1"/>
        <v>-0.7</v>
      </c>
      <c r="G5059" s="15">
        <f t="shared" si="2"/>
        <v>1.53</v>
      </c>
      <c r="H5059" s="16">
        <v>0.0</v>
      </c>
      <c r="I5059" s="15">
        <f t="shared" si="3"/>
        <v>-0.7</v>
      </c>
      <c r="J5059" s="15">
        <v>14.75</v>
      </c>
      <c r="K5059" s="16">
        <f>IF(COUNTIFS(Release_Calendar!$A$2:$A$755,"US_CPI",Release_Calendar!$B$2:$B$755,$A5059)&gt;0,1,0)</f>
        <v>0</v>
      </c>
      <c r="L5059" s="16">
        <f>IF(COUNTIFS(Release_Calendar!$A$2:$A$755,"US_NFP",Release_Calendar!$B$2:$B$755,$A5059)&gt;0,1,0)</f>
        <v>0</v>
      </c>
      <c r="M5059" s="16">
        <f>IF($A5059&lt;Notes!$B$5,"",IF(COUNTIFS(Release_Calendar!$A$2:$A$755,"NZ_CPI",Release_Calendar!$B$2:$B$755,$A5059)&gt;0,1,0))</f>
        <v>0</v>
      </c>
      <c r="N5059" s="16">
        <f>IF($A5059&lt;Notes!$B$5,"",IF(COUNTIFS(Release_Calendar!$A$2:$A$755,"NZ_GDP",Release_Calendar!$B$2:$B$755,$A5059)&gt;0,1,0))</f>
        <v>0</v>
      </c>
      <c r="O5059" s="16">
        <f>IF($A5059&lt;Notes!$B$5,"",IF(COUNTIFS(Release_Calendar!$A$2:$A$755,"NZ_LABOUR",Release_Calendar!$B$2:$B$755,$A5059)&gt;0,1,0))</f>
        <v>0</v>
      </c>
      <c r="P5059" s="16">
        <f t="shared" si="4"/>
        <v>0</v>
      </c>
    </row>
    <row r="5060" ht="15.75" customHeight="1">
      <c r="A5060" s="14">
        <v>43608.0</v>
      </c>
      <c r="B5060" s="15">
        <v>2.12</v>
      </c>
      <c r="C5060" s="15">
        <v>1.51</v>
      </c>
      <c r="D5060" s="15"/>
      <c r="E5060" s="15">
        <v>1.34</v>
      </c>
      <c r="F5060" s="15">
        <f t="shared" si="1"/>
        <v>-0.61</v>
      </c>
      <c r="G5060" s="15">
        <f t="shared" si="2"/>
        <v>1.51</v>
      </c>
      <c r="H5060" s="16">
        <v>0.0</v>
      </c>
      <c r="I5060" s="15">
        <f t="shared" si="3"/>
        <v>-0.61</v>
      </c>
      <c r="J5060" s="15">
        <v>16.92</v>
      </c>
      <c r="K5060" s="16">
        <f>IF(COUNTIFS(Release_Calendar!$A$2:$A$755,"US_CPI",Release_Calendar!$B$2:$B$755,$A5060)&gt;0,1,0)</f>
        <v>0</v>
      </c>
      <c r="L5060" s="16">
        <f>IF(COUNTIFS(Release_Calendar!$A$2:$A$755,"US_NFP",Release_Calendar!$B$2:$B$755,$A5060)&gt;0,1,0)</f>
        <v>0</v>
      </c>
      <c r="M5060" s="16">
        <f>IF($A5060&lt;Notes!$B$5,"",IF(COUNTIFS(Release_Calendar!$A$2:$A$755,"NZ_CPI",Release_Calendar!$B$2:$B$755,$A5060)&gt;0,1,0))</f>
        <v>0</v>
      </c>
      <c r="N5060" s="16">
        <f>IF($A5060&lt;Notes!$B$5,"",IF(COUNTIFS(Release_Calendar!$A$2:$A$755,"NZ_GDP",Release_Calendar!$B$2:$B$755,$A5060)&gt;0,1,0))</f>
        <v>0</v>
      </c>
      <c r="O5060" s="16">
        <f>IF($A5060&lt;Notes!$B$5,"",IF(COUNTIFS(Release_Calendar!$A$2:$A$755,"NZ_LABOUR",Release_Calendar!$B$2:$B$755,$A5060)&gt;0,1,0))</f>
        <v>0</v>
      </c>
      <c r="P5060" s="16">
        <f t="shared" si="4"/>
        <v>0</v>
      </c>
    </row>
    <row r="5061" ht="15.75" customHeight="1">
      <c r="A5061" s="14">
        <v>43609.0</v>
      </c>
      <c r="B5061" s="15">
        <v>2.16</v>
      </c>
      <c r="C5061" s="15">
        <v>1.48</v>
      </c>
      <c r="D5061" s="15"/>
      <c r="E5061" s="15">
        <v>1.3</v>
      </c>
      <c r="F5061" s="15">
        <f t="shared" si="1"/>
        <v>-0.68</v>
      </c>
      <c r="G5061" s="15">
        <f t="shared" si="2"/>
        <v>1.48</v>
      </c>
      <c r="H5061" s="16">
        <v>0.0</v>
      </c>
      <c r="I5061" s="15">
        <f t="shared" si="3"/>
        <v>-0.68</v>
      </c>
      <c r="J5061" s="15">
        <v>15.85</v>
      </c>
      <c r="K5061" s="16">
        <f>IF(COUNTIFS(Release_Calendar!$A$2:$A$755,"US_CPI",Release_Calendar!$B$2:$B$755,$A5061)&gt;0,1,0)</f>
        <v>0</v>
      </c>
      <c r="L5061" s="16">
        <f>IF(COUNTIFS(Release_Calendar!$A$2:$A$755,"US_NFP",Release_Calendar!$B$2:$B$755,$A5061)&gt;0,1,0)</f>
        <v>0</v>
      </c>
      <c r="M5061" s="16">
        <f>IF($A5061&lt;Notes!$B$5,"",IF(COUNTIFS(Release_Calendar!$A$2:$A$755,"NZ_CPI",Release_Calendar!$B$2:$B$755,$A5061)&gt;0,1,0))</f>
        <v>0</v>
      </c>
      <c r="N5061" s="16">
        <f>IF($A5061&lt;Notes!$B$5,"",IF(COUNTIFS(Release_Calendar!$A$2:$A$755,"NZ_GDP",Release_Calendar!$B$2:$B$755,$A5061)&gt;0,1,0))</f>
        <v>0</v>
      </c>
      <c r="O5061" s="16">
        <f>IF($A5061&lt;Notes!$B$5,"",IF(COUNTIFS(Release_Calendar!$A$2:$A$755,"NZ_LABOUR",Release_Calendar!$B$2:$B$755,$A5061)&gt;0,1,0))</f>
        <v>0</v>
      </c>
      <c r="P5061" s="16">
        <f t="shared" si="4"/>
        <v>0</v>
      </c>
    </row>
    <row r="5062" ht="15.75" customHeight="1">
      <c r="A5062" s="14">
        <v>43612.0</v>
      </c>
      <c r="B5062" s="15"/>
      <c r="C5062" s="15">
        <v>1.49</v>
      </c>
      <c r="D5062" s="15"/>
      <c r="E5062" s="15">
        <v>1.31</v>
      </c>
      <c r="F5062" s="15" t="str">
        <f t="shared" si="1"/>
        <v/>
      </c>
      <c r="G5062" s="15">
        <f t="shared" si="2"/>
        <v>1.49</v>
      </c>
      <c r="H5062" s="16">
        <v>0.0</v>
      </c>
      <c r="I5062" s="15" t="str">
        <f t="shared" si="3"/>
        <v/>
      </c>
      <c r="J5062" s="15"/>
      <c r="K5062" s="16">
        <f>IF(COUNTIFS(Release_Calendar!$A$2:$A$755,"US_CPI",Release_Calendar!$B$2:$B$755,$A5062)&gt;0,1,0)</f>
        <v>0</v>
      </c>
      <c r="L5062" s="16">
        <f>IF(COUNTIFS(Release_Calendar!$A$2:$A$755,"US_NFP",Release_Calendar!$B$2:$B$755,$A5062)&gt;0,1,0)</f>
        <v>0</v>
      </c>
      <c r="M5062" s="16">
        <f>IF($A5062&lt;Notes!$B$5,"",IF(COUNTIFS(Release_Calendar!$A$2:$A$755,"NZ_CPI",Release_Calendar!$B$2:$B$755,$A5062)&gt;0,1,0))</f>
        <v>0</v>
      </c>
      <c r="N5062" s="16">
        <f>IF($A5062&lt;Notes!$B$5,"",IF(COUNTIFS(Release_Calendar!$A$2:$A$755,"NZ_GDP",Release_Calendar!$B$2:$B$755,$A5062)&gt;0,1,0))</f>
        <v>0</v>
      </c>
      <c r="O5062" s="16">
        <f>IF($A5062&lt;Notes!$B$5,"",IF(COUNTIFS(Release_Calendar!$A$2:$A$755,"NZ_LABOUR",Release_Calendar!$B$2:$B$755,$A5062)&gt;0,1,0))</f>
        <v>0</v>
      </c>
      <c r="P5062" s="16">
        <f t="shared" si="4"/>
        <v>0</v>
      </c>
    </row>
    <row r="5063" ht="15.75" customHeight="1">
      <c r="A5063" s="14">
        <v>43613.0</v>
      </c>
      <c r="B5063" s="15">
        <v>2.12</v>
      </c>
      <c r="C5063" s="15">
        <v>1.49</v>
      </c>
      <c r="D5063" s="15"/>
      <c r="E5063" s="15">
        <v>1.31</v>
      </c>
      <c r="F5063" s="15">
        <f t="shared" si="1"/>
        <v>-0.63</v>
      </c>
      <c r="G5063" s="15">
        <f t="shared" si="2"/>
        <v>1.49</v>
      </c>
      <c r="H5063" s="16">
        <v>0.0</v>
      </c>
      <c r="I5063" s="15">
        <f t="shared" si="3"/>
        <v>-0.63</v>
      </c>
      <c r="J5063" s="15">
        <v>17.5</v>
      </c>
      <c r="K5063" s="16">
        <f>IF(COUNTIFS(Release_Calendar!$A$2:$A$755,"US_CPI",Release_Calendar!$B$2:$B$755,$A5063)&gt;0,1,0)</f>
        <v>0</v>
      </c>
      <c r="L5063" s="16">
        <f>IF(COUNTIFS(Release_Calendar!$A$2:$A$755,"US_NFP",Release_Calendar!$B$2:$B$755,$A5063)&gt;0,1,0)</f>
        <v>0</v>
      </c>
      <c r="M5063" s="16">
        <f>IF($A5063&lt;Notes!$B$5,"",IF(COUNTIFS(Release_Calendar!$A$2:$A$755,"NZ_CPI",Release_Calendar!$B$2:$B$755,$A5063)&gt;0,1,0))</f>
        <v>0</v>
      </c>
      <c r="N5063" s="16">
        <f>IF($A5063&lt;Notes!$B$5,"",IF(COUNTIFS(Release_Calendar!$A$2:$A$755,"NZ_GDP",Release_Calendar!$B$2:$B$755,$A5063)&gt;0,1,0))</f>
        <v>0</v>
      </c>
      <c r="O5063" s="16">
        <f>IF($A5063&lt;Notes!$B$5,"",IF(COUNTIFS(Release_Calendar!$A$2:$A$755,"NZ_LABOUR",Release_Calendar!$B$2:$B$755,$A5063)&gt;0,1,0))</f>
        <v>0</v>
      </c>
      <c r="P5063" s="16">
        <f t="shared" si="4"/>
        <v>0</v>
      </c>
    </row>
    <row r="5064" ht="15.75" customHeight="1">
      <c r="A5064" s="14">
        <v>43614.0</v>
      </c>
      <c r="B5064" s="15">
        <v>2.09</v>
      </c>
      <c r="C5064" s="15">
        <v>1.46</v>
      </c>
      <c r="D5064" s="15"/>
      <c r="E5064" s="15">
        <v>1.26</v>
      </c>
      <c r="F5064" s="15">
        <f t="shared" si="1"/>
        <v>-0.63</v>
      </c>
      <c r="G5064" s="15">
        <f t="shared" si="2"/>
        <v>1.46</v>
      </c>
      <c r="H5064" s="16">
        <v>0.0</v>
      </c>
      <c r="I5064" s="15">
        <f t="shared" si="3"/>
        <v>-0.63</v>
      </c>
      <c r="J5064" s="15">
        <v>17.9</v>
      </c>
      <c r="K5064" s="16">
        <f>IF(COUNTIFS(Release_Calendar!$A$2:$A$755,"US_CPI",Release_Calendar!$B$2:$B$755,$A5064)&gt;0,1,0)</f>
        <v>0</v>
      </c>
      <c r="L5064" s="16">
        <f>IF(COUNTIFS(Release_Calendar!$A$2:$A$755,"US_NFP",Release_Calendar!$B$2:$B$755,$A5064)&gt;0,1,0)</f>
        <v>0</v>
      </c>
      <c r="M5064" s="16">
        <f>IF($A5064&lt;Notes!$B$5,"",IF(COUNTIFS(Release_Calendar!$A$2:$A$755,"NZ_CPI",Release_Calendar!$B$2:$B$755,$A5064)&gt;0,1,0))</f>
        <v>0</v>
      </c>
      <c r="N5064" s="16">
        <f>IF($A5064&lt;Notes!$B$5,"",IF(COUNTIFS(Release_Calendar!$A$2:$A$755,"NZ_GDP",Release_Calendar!$B$2:$B$755,$A5064)&gt;0,1,0))</f>
        <v>0</v>
      </c>
      <c r="O5064" s="16">
        <f>IF($A5064&lt;Notes!$B$5,"",IF(COUNTIFS(Release_Calendar!$A$2:$A$755,"NZ_LABOUR",Release_Calendar!$B$2:$B$755,$A5064)&gt;0,1,0))</f>
        <v>0</v>
      </c>
      <c r="P5064" s="16">
        <f t="shared" si="4"/>
        <v>0</v>
      </c>
    </row>
    <row r="5065" ht="15.75" customHeight="1">
      <c r="A5065" s="14">
        <v>43615.0</v>
      </c>
      <c r="B5065" s="15">
        <v>2.06</v>
      </c>
      <c r="C5065" s="15">
        <v>1.47</v>
      </c>
      <c r="D5065" s="15"/>
      <c r="E5065" s="15">
        <v>1.28</v>
      </c>
      <c r="F5065" s="15">
        <f t="shared" si="1"/>
        <v>-0.59</v>
      </c>
      <c r="G5065" s="15">
        <f t="shared" si="2"/>
        <v>1.47</v>
      </c>
      <c r="H5065" s="16">
        <v>0.0</v>
      </c>
      <c r="I5065" s="15">
        <f t="shared" si="3"/>
        <v>-0.59</v>
      </c>
      <c r="J5065" s="15">
        <v>17.3</v>
      </c>
      <c r="K5065" s="16">
        <f>IF(COUNTIFS(Release_Calendar!$A$2:$A$755,"US_CPI",Release_Calendar!$B$2:$B$755,$A5065)&gt;0,1,0)</f>
        <v>0</v>
      </c>
      <c r="L5065" s="16">
        <f>IF(COUNTIFS(Release_Calendar!$A$2:$A$755,"US_NFP",Release_Calendar!$B$2:$B$755,$A5065)&gt;0,1,0)</f>
        <v>0</v>
      </c>
      <c r="M5065" s="16">
        <f>IF($A5065&lt;Notes!$B$5,"",IF(COUNTIFS(Release_Calendar!$A$2:$A$755,"NZ_CPI",Release_Calendar!$B$2:$B$755,$A5065)&gt;0,1,0))</f>
        <v>0</v>
      </c>
      <c r="N5065" s="16">
        <f>IF($A5065&lt;Notes!$B$5,"",IF(COUNTIFS(Release_Calendar!$A$2:$A$755,"NZ_GDP",Release_Calendar!$B$2:$B$755,$A5065)&gt;0,1,0))</f>
        <v>0</v>
      </c>
      <c r="O5065" s="16">
        <f>IF($A5065&lt;Notes!$B$5,"",IF(COUNTIFS(Release_Calendar!$A$2:$A$755,"NZ_LABOUR",Release_Calendar!$B$2:$B$755,$A5065)&gt;0,1,0))</f>
        <v>0</v>
      </c>
      <c r="P5065" s="16">
        <f t="shared" si="4"/>
        <v>0</v>
      </c>
    </row>
    <row r="5066" ht="15.75" customHeight="1">
      <c r="A5066" s="14">
        <v>43616.0</v>
      </c>
      <c r="B5066" s="15">
        <v>1.95</v>
      </c>
      <c r="C5066" s="15">
        <v>1.44</v>
      </c>
      <c r="D5066" s="15"/>
      <c r="E5066" s="15">
        <v>1.25</v>
      </c>
      <c r="F5066" s="15">
        <f t="shared" si="1"/>
        <v>-0.51</v>
      </c>
      <c r="G5066" s="15">
        <f t="shared" si="2"/>
        <v>1.44</v>
      </c>
      <c r="H5066" s="16">
        <v>0.0</v>
      </c>
      <c r="I5066" s="15">
        <f t="shared" si="3"/>
        <v>-0.51</v>
      </c>
      <c r="J5066" s="15">
        <v>18.71</v>
      </c>
      <c r="K5066" s="16">
        <f>IF(COUNTIFS(Release_Calendar!$A$2:$A$755,"US_CPI",Release_Calendar!$B$2:$B$755,$A5066)&gt;0,1,0)</f>
        <v>0</v>
      </c>
      <c r="L5066" s="16">
        <f>IF(COUNTIFS(Release_Calendar!$A$2:$A$755,"US_NFP",Release_Calendar!$B$2:$B$755,$A5066)&gt;0,1,0)</f>
        <v>0</v>
      </c>
      <c r="M5066" s="16">
        <f>IF($A5066&lt;Notes!$B$5,"",IF(COUNTIFS(Release_Calendar!$A$2:$A$755,"NZ_CPI",Release_Calendar!$B$2:$B$755,$A5066)&gt;0,1,0))</f>
        <v>0</v>
      </c>
      <c r="N5066" s="16">
        <f>IF($A5066&lt;Notes!$B$5,"",IF(COUNTIFS(Release_Calendar!$A$2:$A$755,"NZ_GDP",Release_Calendar!$B$2:$B$755,$A5066)&gt;0,1,0))</f>
        <v>0</v>
      </c>
      <c r="O5066" s="16">
        <f>IF($A5066&lt;Notes!$B$5,"",IF(COUNTIFS(Release_Calendar!$A$2:$A$755,"NZ_LABOUR",Release_Calendar!$B$2:$B$755,$A5066)&gt;0,1,0))</f>
        <v>0</v>
      </c>
      <c r="P5066" s="16">
        <f t="shared" si="4"/>
        <v>0</v>
      </c>
    </row>
    <row r="5067" ht="15.75" customHeight="1">
      <c r="A5067" s="14">
        <v>43619.0</v>
      </c>
      <c r="B5067" s="15">
        <v>1.82</v>
      </c>
      <c r="C5067" s="15"/>
      <c r="D5067" s="15"/>
      <c r="E5067" s="15"/>
      <c r="F5067" s="15" t="str">
        <f t="shared" si="1"/>
        <v/>
      </c>
      <c r="G5067" s="15" t="str">
        <f t="shared" si="2"/>
        <v/>
      </c>
      <c r="H5067" s="16">
        <v>0.0</v>
      </c>
      <c r="I5067" s="15" t="str">
        <f t="shared" si="3"/>
        <v/>
      </c>
      <c r="J5067" s="15">
        <v>18.86</v>
      </c>
      <c r="K5067" s="16">
        <f>IF(COUNTIFS(Release_Calendar!$A$2:$A$755,"US_CPI",Release_Calendar!$B$2:$B$755,$A5067)&gt;0,1,0)</f>
        <v>0</v>
      </c>
      <c r="L5067" s="16">
        <f>IF(COUNTIFS(Release_Calendar!$A$2:$A$755,"US_NFP",Release_Calendar!$B$2:$B$755,$A5067)&gt;0,1,0)</f>
        <v>0</v>
      </c>
      <c r="M5067" s="16">
        <f>IF($A5067&lt;Notes!$B$5,"",IF(COUNTIFS(Release_Calendar!$A$2:$A$755,"NZ_CPI",Release_Calendar!$B$2:$B$755,$A5067)&gt;0,1,0))</f>
        <v>0</v>
      </c>
      <c r="N5067" s="16">
        <f>IF($A5067&lt;Notes!$B$5,"",IF(COUNTIFS(Release_Calendar!$A$2:$A$755,"NZ_GDP",Release_Calendar!$B$2:$B$755,$A5067)&gt;0,1,0))</f>
        <v>0</v>
      </c>
      <c r="O5067" s="16">
        <f>IF($A5067&lt;Notes!$B$5,"",IF(COUNTIFS(Release_Calendar!$A$2:$A$755,"NZ_LABOUR",Release_Calendar!$B$2:$B$755,$A5067)&gt;0,1,0))</f>
        <v>0</v>
      </c>
      <c r="P5067" s="16">
        <f t="shared" si="4"/>
        <v>0</v>
      </c>
    </row>
    <row r="5068" ht="15.75" customHeight="1">
      <c r="A5068" s="14">
        <v>43620.0</v>
      </c>
      <c r="B5068" s="15">
        <v>1.88</v>
      </c>
      <c r="C5068" s="15">
        <v>1.42</v>
      </c>
      <c r="D5068" s="15"/>
      <c r="E5068" s="15">
        <v>1.24</v>
      </c>
      <c r="F5068" s="15">
        <f t="shared" si="1"/>
        <v>-0.46</v>
      </c>
      <c r="G5068" s="15">
        <f t="shared" si="2"/>
        <v>1.42</v>
      </c>
      <c r="H5068" s="16">
        <v>0.0</v>
      </c>
      <c r="I5068" s="15">
        <f t="shared" si="3"/>
        <v>-0.46</v>
      </c>
      <c r="J5068" s="15">
        <v>16.97</v>
      </c>
      <c r="K5068" s="16">
        <f>IF(COUNTIFS(Release_Calendar!$A$2:$A$755,"US_CPI",Release_Calendar!$B$2:$B$755,$A5068)&gt;0,1,0)</f>
        <v>0</v>
      </c>
      <c r="L5068" s="16">
        <f>IF(COUNTIFS(Release_Calendar!$A$2:$A$755,"US_NFP",Release_Calendar!$B$2:$B$755,$A5068)&gt;0,1,0)</f>
        <v>0</v>
      </c>
      <c r="M5068" s="16">
        <f>IF($A5068&lt;Notes!$B$5,"",IF(COUNTIFS(Release_Calendar!$A$2:$A$755,"NZ_CPI",Release_Calendar!$B$2:$B$755,$A5068)&gt;0,1,0))</f>
        <v>0</v>
      </c>
      <c r="N5068" s="16">
        <f>IF($A5068&lt;Notes!$B$5,"",IF(COUNTIFS(Release_Calendar!$A$2:$A$755,"NZ_GDP",Release_Calendar!$B$2:$B$755,$A5068)&gt;0,1,0))</f>
        <v>0</v>
      </c>
      <c r="O5068" s="16">
        <f>IF($A5068&lt;Notes!$B$5,"",IF(COUNTIFS(Release_Calendar!$A$2:$A$755,"NZ_LABOUR",Release_Calendar!$B$2:$B$755,$A5068)&gt;0,1,0))</f>
        <v>0</v>
      </c>
      <c r="P5068" s="16">
        <f t="shared" si="4"/>
        <v>0</v>
      </c>
    </row>
    <row r="5069" ht="15.75" customHeight="1">
      <c r="A5069" s="14">
        <v>43621.0</v>
      </c>
      <c r="B5069" s="15">
        <v>1.83</v>
      </c>
      <c r="C5069" s="15">
        <v>1.4</v>
      </c>
      <c r="D5069" s="15"/>
      <c r="E5069" s="15">
        <v>1.22</v>
      </c>
      <c r="F5069" s="15">
        <f t="shared" si="1"/>
        <v>-0.43</v>
      </c>
      <c r="G5069" s="15">
        <f t="shared" si="2"/>
        <v>1.4</v>
      </c>
      <c r="H5069" s="16">
        <v>0.0</v>
      </c>
      <c r="I5069" s="15">
        <f t="shared" si="3"/>
        <v>-0.43</v>
      </c>
      <c r="J5069" s="15">
        <v>16.09</v>
      </c>
      <c r="K5069" s="16">
        <f>IF(COUNTIFS(Release_Calendar!$A$2:$A$755,"US_CPI",Release_Calendar!$B$2:$B$755,$A5069)&gt;0,1,0)</f>
        <v>0</v>
      </c>
      <c r="L5069" s="16">
        <f>IF(COUNTIFS(Release_Calendar!$A$2:$A$755,"US_NFP",Release_Calendar!$B$2:$B$755,$A5069)&gt;0,1,0)</f>
        <v>0</v>
      </c>
      <c r="M5069" s="16">
        <f>IF($A5069&lt;Notes!$B$5,"",IF(COUNTIFS(Release_Calendar!$A$2:$A$755,"NZ_CPI",Release_Calendar!$B$2:$B$755,$A5069)&gt;0,1,0))</f>
        <v>0</v>
      </c>
      <c r="N5069" s="16">
        <f>IF($A5069&lt;Notes!$B$5,"",IF(COUNTIFS(Release_Calendar!$A$2:$A$755,"NZ_GDP",Release_Calendar!$B$2:$B$755,$A5069)&gt;0,1,0))</f>
        <v>0</v>
      </c>
      <c r="O5069" s="16">
        <f>IF($A5069&lt;Notes!$B$5,"",IF(COUNTIFS(Release_Calendar!$A$2:$A$755,"NZ_LABOUR",Release_Calendar!$B$2:$B$755,$A5069)&gt;0,1,0))</f>
        <v>0</v>
      </c>
      <c r="P5069" s="16">
        <f t="shared" si="4"/>
        <v>0</v>
      </c>
    </row>
    <row r="5070" ht="15.75" customHeight="1">
      <c r="A5070" s="14">
        <v>43622.0</v>
      </c>
      <c r="B5070" s="15">
        <v>1.88</v>
      </c>
      <c r="C5070" s="15">
        <v>1.41</v>
      </c>
      <c r="D5070" s="15"/>
      <c r="E5070" s="15">
        <v>1.21</v>
      </c>
      <c r="F5070" s="15">
        <f t="shared" si="1"/>
        <v>-0.47</v>
      </c>
      <c r="G5070" s="15">
        <f t="shared" si="2"/>
        <v>1.41</v>
      </c>
      <c r="H5070" s="16">
        <v>0.0</v>
      </c>
      <c r="I5070" s="15">
        <f t="shared" si="3"/>
        <v>-0.47</v>
      </c>
      <c r="J5070" s="15">
        <v>15.93</v>
      </c>
      <c r="K5070" s="16">
        <f>IF(COUNTIFS(Release_Calendar!$A$2:$A$755,"US_CPI",Release_Calendar!$B$2:$B$755,$A5070)&gt;0,1,0)</f>
        <v>0</v>
      </c>
      <c r="L5070" s="16">
        <f>IF(COUNTIFS(Release_Calendar!$A$2:$A$755,"US_NFP",Release_Calendar!$B$2:$B$755,$A5070)&gt;0,1,0)</f>
        <v>0</v>
      </c>
      <c r="M5070" s="16">
        <f>IF($A5070&lt;Notes!$B$5,"",IF(COUNTIFS(Release_Calendar!$A$2:$A$755,"NZ_CPI",Release_Calendar!$B$2:$B$755,$A5070)&gt;0,1,0))</f>
        <v>0</v>
      </c>
      <c r="N5070" s="16">
        <f>IF($A5070&lt;Notes!$B$5,"",IF(COUNTIFS(Release_Calendar!$A$2:$A$755,"NZ_GDP",Release_Calendar!$B$2:$B$755,$A5070)&gt;0,1,0))</f>
        <v>0</v>
      </c>
      <c r="O5070" s="16">
        <f>IF($A5070&lt;Notes!$B$5,"",IF(COUNTIFS(Release_Calendar!$A$2:$A$755,"NZ_LABOUR",Release_Calendar!$B$2:$B$755,$A5070)&gt;0,1,0))</f>
        <v>0</v>
      </c>
      <c r="P5070" s="16">
        <f t="shared" si="4"/>
        <v>0</v>
      </c>
    </row>
    <row r="5071" ht="15.75" customHeight="1">
      <c r="A5071" s="14">
        <v>43623.0</v>
      </c>
      <c r="B5071" s="15">
        <v>1.85</v>
      </c>
      <c r="C5071" s="15">
        <v>1.42</v>
      </c>
      <c r="D5071" s="15"/>
      <c r="E5071" s="15">
        <v>1.24</v>
      </c>
      <c r="F5071" s="15">
        <f t="shared" si="1"/>
        <v>-0.43</v>
      </c>
      <c r="G5071" s="15">
        <f t="shared" si="2"/>
        <v>1.42</v>
      </c>
      <c r="H5071" s="16">
        <v>0.0</v>
      </c>
      <c r="I5071" s="15">
        <f t="shared" si="3"/>
        <v>-0.43</v>
      </c>
      <c r="J5071" s="15">
        <v>16.3</v>
      </c>
      <c r="K5071" s="16">
        <f>IF(COUNTIFS(Release_Calendar!$A$2:$A$755,"US_CPI",Release_Calendar!$B$2:$B$755,$A5071)&gt;0,1,0)</f>
        <v>0</v>
      </c>
      <c r="L5071" s="16">
        <f>IF(COUNTIFS(Release_Calendar!$A$2:$A$755,"US_NFP",Release_Calendar!$B$2:$B$755,$A5071)&gt;0,1,0)</f>
        <v>1</v>
      </c>
      <c r="M5071" s="16">
        <f>IF($A5071&lt;Notes!$B$5,"",IF(COUNTIFS(Release_Calendar!$A$2:$A$755,"NZ_CPI",Release_Calendar!$B$2:$B$755,$A5071)&gt;0,1,0))</f>
        <v>0</v>
      </c>
      <c r="N5071" s="16">
        <f>IF($A5071&lt;Notes!$B$5,"",IF(COUNTIFS(Release_Calendar!$A$2:$A$755,"NZ_GDP",Release_Calendar!$B$2:$B$755,$A5071)&gt;0,1,0))</f>
        <v>0</v>
      </c>
      <c r="O5071" s="16">
        <f>IF($A5071&lt;Notes!$B$5,"",IF(COUNTIFS(Release_Calendar!$A$2:$A$755,"NZ_LABOUR",Release_Calendar!$B$2:$B$755,$A5071)&gt;0,1,0))</f>
        <v>0</v>
      </c>
      <c r="P5071" s="16">
        <f t="shared" si="4"/>
        <v>1</v>
      </c>
    </row>
    <row r="5072" ht="15.75" customHeight="1">
      <c r="A5072" s="14">
        <v>43626.0</v>
      </c>
      <c r="B5072" s="15">
        <v>1.9</v>
      </c>
      <c r="C5072" s="15">
        <v>1.42</v>
      </c>
      <c r="D5072" s="15"/>
      <c r="E5072" s="15">
        <v>1.25</v>
      </c>
      <c r="F5072" s="15">
        <f t="shared" si="1"/>
        <v>-0.48</v>
      </c>
      <c r="G5072" s="15">
        <f t="shared" si="2"/>
        <v>1.42</v>
      </c>
      <c r="H5072" s="16">
        <v>0.0</v>
      </c>
      <c r="I5072" s="15">
        <f t="shared" si="3"/>
        <v>-0.48</v>
      </c>
      <c r="J5072" s="15">
        <v>15.94</v>
      </c>
      <c r="K5072" s="16">
        <f>IF(COUNTIFS(Release_Calendar!$A$2:$A$755,"US_CPI",Release_Calendar!$B$2:$B$755,$A5072)&gt;0,1,0)</f>
        <v>0</v>
      </c>
      <c r="L5072" s="16">
        <f>IF(COUNTIFS(Release_Calendar!$A$2:$A$755,"US_NFP",Release_Calendar!$B$2:$B$755,$A5072)&gt;0,1,0)</f>
        <v>0</v>
      </c>
      <c r="M5072" s="16">
        <f>IF($A5072&lt;Notes!$B$5,"",IF(COUNTIFS(Release_Calendar!$A$2:$A$755,"NZ_CPI",Release_Calendar!$B$2:$B$755,$A5072)&gt;0,1,0))</f>
        <v>0</v>
      </c>
      <c r="N5072" s="16">
        <f>IF($A5072&lt;Notes!$B$5,"",IF(COUNTIFS(Release_Calendar!$A$2:$A$755,"NZ_GDP",Release_Calendar!$B$2:$B$755,$A5072)&gt;0,1,0))</f>
        <v>0</v>
      </c>
      <c r="O5072" s="16">
        <f>IF($A5072&lt;Notes!$B$5,"",IF(COUNTIFS(Release_Calendar!$A$2:$A$755,"NZ_LABOUR",Release_Calendar!$B$2:$B$755,$A5072)&gt;0,1,0))</f>
        <v>0</v>
      </c>
      <c r="P5072" s="16">
        <f t="shared" si="4"/>
        <v>0</v>
      </c>
    </row>
    <row r="5073" ht="15.75" customHeight="1">
      <c r="A5073" s="14">
        <v>43627.0</v>
      </c>
      <c r="B5073" s="15">
        <v>1.93</v>
      </c>
      <c r="C5073" s="15">
        <v>1.42</v>
      </c>
      <c r="D5073" s="15"/>
      <c r="E5073" s="15">
        <v>1.25</v>
      </c>
      <c r="F5073" s="15">
        <f t="shared" si="1"/>
        <v>-0.51</v>
      </c>
      <c r="G5073" s="15">
        <f t="shared" si="2"/>
        <v>1.42</v>
      </c>
      <c r="H5073" s="16">
        <v>0.0</v>
      </c>
      <c r="I5073" s="15">
        <f t="shared" si="3"/>
        <v>-0.51</v>
      </c>
      <c r="J5073" s="15">
        <v>15.99</v>
      </c>
      <c r="K5073" s="16">
        <f>IF(COUNTIFS(Release_Calendar!$A$2:$A$755,"US_CPI",Release_Calendar!$B$2:$B$755,$A5073)&gt;0,1,0)</f>
        <v>0</v>
      </c>
      <c r="L5073" s="16">
        <f>IF(COUNTIFS(Release_Calendar!$A$2:$A$755,"US_NFP",Release_Calendar!$B$2:$B$755,$A5073)&gt;0,1,0)</f>
        <v>0</v>
      </c>
      <c r="M5073" s="16">
        <f>IF($A5073&lt;Notes!$B$5,"",IF(COUNTIFS(Release_Calendar!$A$2:$A$755,"NZ_CPI",Release_Calendar!$B$2:$B$755,$A5073)&gt;0,1,0))</f>
        <v>0</v>
      </c>
      <c r="N5073" s="16">
        <f>IF($A5073&lt;Notes!$B$5,"",IF(COUNTIFS(Release_Calendar!$A$2:$A$755,"NZ_GDP",Release_Calendar!$B$2:$B$755,$A5073)&gt;0,1,0))</f>
        <v>0</v>
      </c>
      <c r="O5073" s="16">
        <f>IF($A5073&lt;Notes!$B$5,"",IF(COUNTIFS(Release_Calendar!$A$2:$A$755,"NZ_LABOUR",Release_Calendar!$B$2:$B$755,$A5073)&gt;0,1,0))</f>
        <v>0</v>
      </c>
      <c r="P5073" s="16">
        <f t="shared" si="4"/>
        <v>0</v>
      </c>
    </row>
    <row r="5074" ht="15.75" customHeight="1">
      <c r="A5074" s="14">
        <v>43628.0</v>
      </c>
      <c r="B5074" s="15">
        <v>1.88</v>
      </c>
      <c r="C5074" s="15">
        <v>1.41</v>
      </c>
      <c r="D5074" s="15"/>
      <c r="E5074" s="15">
        <v>1.24</v>
      </c>
      <c r="F5074" s="15">
        <f t="shared" si="1"/>
        <v>-0.47</v>
      </c>
      <c r="G5074" s="15">
        <f t="shared" si="2"/>
        <v>1.41</v>
      </c>
      <c r="H5074" s="16">
        <v>0.0</v>
      </c>
      <c r="I5074" s="15">
        <f t="shared" si="3"/>
        <v>-0.47</v>
      </c>
      <c r="J5074" s="15">
        <v>15.91</v>
      </c>
      <c r="K5074" s="16">
        <f>IF(COUNTIFS(Release_Calendar!$A$2:$A$755,"US_CPI",Release_Calendar!$B$2:$B$755,$A5074)&gt;0,1,0)</f>
        <v>1</v>
      </c>
      <c r="L5074" s="16">
        <f>IF(COUNTIFS(Release_Calendar!$A$2:$A$755,"US_NFP",Release_Calendar!$B$2:$B$755,$A5074)&gt;0,1,0)</f>
        <v>0</v>
      </c>
      <c r="M5074" s="16">
        <f>IF($A5074&lt;Notes!$B$5,"",IF(COUNTIFS(Release_Calendar!$A$2:$A$755,"NZ_CPI",Release_Calendar!$B$2:$B$755,$A5074)&gt;0,1,0))</f>
        <v>0</v>
      </c>
      <c r="N5074" s="16">
        <f>IF($A5074&lt;Notes!$B$5,"",IF(COUNTIFS(Release_Calendar!$A$2:$A$755,"NZ_GDP",Release_Calendar!$B$2:$B$755,$A5074)&gt;0,1,0))</f>
        <v>0</v>
      </c>
      <c r="O5074" s="16">
        <f>IF($A5074&lt;Notes!$B$5,"",IF(COUNTIFS(Release_Calendar!$A$2:$A$755,"NZ_LABOUR",Release_Calendar!$B$2:$B$755,$A5074)&gt;0,1,0))</f>
        <v>0</v>
      </c>
      <c r="P5074" s="16">
        <f t="shared" si="4"/>
        <v>1</v>
      </c>
    </row>
    <row r="5075" ht="15.75" customHeight="1">
      <c r="A5075" s="14">
        <v>43629.0</v>
      </c>
      <c r="B5075" s="15">
        <v>1.83</v>
      </c>
      <c r="C5075" s="15">
        <v>1.39</v>
      </c>
      <c r="D5075" s="15"/>
      <c r="E5075" s="15">
        <v>1.21</v>
      </c>
      <c r="F5075" s="15">
        <f t="shared" si="1"/>
        <v>-0.44</v>
      </c>
      <c r="G5075" s="15">
        <f t="shared" si="2"/>
        <v>1.39</v>
      </c>
      <c r="H5075" s="16">
        <v>0.0</v>
      </c>
      <c r="I5075" s="15">
        <f t="shared" si="3"/>
        <v>-0.44</v>
      </c>
      <c r="J5075" s="15">
        <v>15.82</v>
      </c>
      <c r="K5075" s="16">
        <f>IF(COUNTIFS(Release_Calendar!$A$2:$A$755,"US_CPI",Release_Calendar!$B$2:$B$755,$A5075)&gt;0,1,0)</f>
        <v>0</v>
      </c>
      <c r="L5075" s="16">
        <f>IF(COUNTIFS(Release_Calendar!$A$2:$A$755,"US_NFP",Release_Calendar!$B$2:$B$755,$A5075)&gt;0,1,0)</f>
        <v>0</v>
      </c>
      <c r="M5075" s="16">
        <f>IF($A5075&lt;Notes!$B$5,"",IF(COUNTIFS(Release_Calendar!$A$2:$A$755,"NZ_CPI",Release_Calendar!$B$2:$B$755,$A5075)&gt;0,1,0))</f>
        <v>0</v>
      </c>
      <c r="N5075" s="16">
        <f>IF($A5075&lt;Notes!$B$5,"",IF(COUNTIFS(Release_Calendar!$A$2:$A$755,"NZ_GDP",Release_Calendar!$B$2:$B$755,$A5075)&gt;0,1,0))</f>
        <v>0</v>
      </c>
      <c r="O5075" s="16">
        <f>IF($A5075&lt;Notes!$B$5,"",IF(COUNTIFS(Release_Calendar!$A$2:$A$755,"NZ_LABOUR",Release_Calendar!$B$2:$B$755,$A5075)&gt;0,1,0))</f>
        <v>0</v>
      </c>
      <c r="P5075" s="16">
        <f t="shared" si="4"/>
        <v>0</v>
      </c>
    </row>
    <row r="5076" ht="15.75" customHeight="1">
      <c r="A5076" s="14">
        <v>43630.0</v>
      </c>
      <c r="B5076" s="15">
        <v>1.84</v>
      </c>
      <c r="C5076" s="15">
        <v>1.37</v>
      </c>
      <c r="D5076" s="15"/>
      <c r="E5076" s="15">
        <v>1.18</v>
      </c>
      <c r="F5076" s="15">
        <f t="shared" si="1"/>
        <v>-0.47</v>
      </c>
      <c r="G5076" s="15">
        <f t="shared" si="2"/>
        <v>1.37</v>
      </c>
      <c r="H5076" s="16">
        <v>0.0</v>
      </c>
      <c r="I5076" s="15">
        <f t="shared" si="3"/>
        <v>-0.47</v>
      </c>
      <c r="J5076" s="15">
        <v>15.28</v>
      </c>
      <c r="K5076" s="16">
        <f>IF(COUNTIFS(Release_Calendar!$A$2:$A$755,"US_CPI",Release_Calendar!$B$2:$B$755,$A5076)&gt;0,1,0)</f>
        <v>0</v>
      </c>
      <c r="L5076" s="16">
        <f>IF(COUNTIFS(Release_Calendar!$A$2:$A$755,"US_NFP",Release_Calendar!$B$2:$B$755,$A5076)&gt;0,1,0)</f>
        <v>0</v>
      </c>
      <c r="M5076" s="16">
        <f>IF($A5076&lt;Notes!$B$5,"",IF(COUNTIFS(Release_Calendar!$A$2:$A$755,"NZ_CPI",Release_Calendar!$B$2:$B$755,$A5076)&gt;0,1,0))</f>
        <v>0</v>
      </c>
      <c r="N5076" s="16">
        <f>IF($A5076&lt;Notes!$B$5,"",IF(COUNTIFS(Release_Calendar!$A$2:$A$755,"NZ_GDP",Release_Calendar!$B$2:$B$755,$A5076)&gt;0,1,0))</f>
        <v>0</v>
      </c>
      <c r="O5076" s="16">
        <f>IF($A5076&lt;Notes!$B$5,"",IF(COUNTIFS(Release_Calendar!$A$2:$A$755,"NZ_LABOUR",Release_Calendar!$B$2:$B$755,$A5076)&gt;0,1,0))</f>
        <v>0</v>
      </c>
      <c r="P5076" s="16">
        <f t="shared" si="4"/>
        <v>0</v>
      </c>
    </row>
    <row r="5077" ht="15.75" customHeight="1">
      <c r="A5077" s="14">
        <v>43633.0</v>
      </c>
      <c r="B5077" s="15">
        <v>1.86</v>
      </c>
      <c r="C5077" s="15">
        <v>1.38</v>
      </c>
      <c r="D5077" s="15"/>
      <c r="E5077" s="15">
        <v>1.18</v>
      </c>
      <c r="F5077" s="15">
        <f t="shared" si="1"/>
        <v>-0.48</v>
      </c>
      <c r="G5077" s="15">
        <f t="shared" si="2"/>
        <v>1.38</v>
      </c>
      <c r="H5077" s="16">
        <v>0.0</v>
      </c>
      <c r="I5077" s="15">
        <f t="shared" si="3"/>
        <v>-0.48</v>
      </c>
      <c r="J5077" s="15">
        <v>15.35</v>
      </c>
      <c r="K5077" s="16">
        <f>IF(COUNTIFS(Release_Calendar!$A$2:$A$755,"US_CPI",Release_Calendar!$B$2:$B$755,$A5077)&gt;0,1,0)</f>
        <v>0</v>
      </c>
      <c r="L5077" s="16">
        <f>IF(COUNTIFS(Release_Calendar!$A$2:$A$755,"US_NFP",Release_Calendar!$B$2:$B$755,$A5077)&gt;0,1,0)</f>
        <v>0</v>
      </c>
      <c r="M5077" s="16">
        <f>IF($A5077&lt;Notes!$B$5,"",IF(COUNTIFS(Release_Calendar!$A$2:$A$755,"NZ_CPI",Release_Calendar!$B$2:$B$755,$A5077)&gt;0,1,0))</f>
        <v>0</v>
      </c>
      <c r="N5077" s="16">
        <f>IF($A5077&lt;Notes!$B$5,"",IF(COUNTIFS(Release_Calendar!$A$2:$A$755,"NZ_GDP",Release_Calendar!$B$2:$B$755,$A5077)&gt;0,1,0))</f>
        <v>0</v>
      </c>
      <c r="O5077" s="16">
        <f>IF($A5077&lt;Notes!$B$5,"",IF(COUNTIFS(Release_Calendar!$A$2:$A$755,"NZ_LABOUR",Release_Calendar!$B$2:$B$755,$A5077)&gt;0,1,0))</f>
        <v>0</v>
      </c>
      <c r="P5077" s="16">
        <f t="shared" si="4"/>
        <v>0</v>
      </c>
    </row>
    <row r="5078" ht="15.75" customHeight="1">
      <c r="A5078" s="14">
        <v>43634.0</v>
      </c>
      <c r="B5078" s="15">
        <v>1.86</v>
      </c>
      <c r="C5078" s="15">
        <v>1.37</v>
      </c>
      <c r="D5078" s="15"/>
      <c r="E5078" s="15">
        <v>1.18</v>
      </c>
      <c r="F5078" s="15">
        <f t="shared" si="1"/>
        <v>-0.49</v>
      </c>
      <c r="G5078" s="15">
        <f t="shared" si="2"/>
        <v>1.37</v>
      </c>
      <c r="H5078" s="16">
        <v>0.0</v>
      </c>
      <c r="I5078" s="15">
        <f t="shared" si="3"/>
        <v>-0.49</v>
      </c>
      <c r="J5078" s="15">
        <v>15.15</v>
      </c>
      <c r="K5078" s="16">
        <f>IF(COUNTIFS(Release_Calendar!$A$2:$A$755,"US_CPI",Release_Calendar!$B$2:$B$755,$A5078)&gt;0,1,0)</f>
        <v>0</v>
      </c>
      <c r="L5078" s="16">
        <f>IF(COUNTIFS(Release_Calendar!$A$2:$A$755,"US_NFP",Release_Calendar!$B$2:$B$755,$A5078)&gt;0,1,0)</f>
        <v>0</v>
      </c>
      <c r="M5078" s="16">
        <f>IF($A5078&lt;Notes!$B$5,"",IF(COUNTIFS(Release_Calendar!$A$2:$A$755,"NZ_CPI",Release_Calendar!$B$2:$B$755,$A5078)&gt;0,1,0))</f>
        <v>0</v>
      </c>
      <c r="N5078" s="16">
        <f>IF($A5078&lt;Notes!$B$5,"",IF(COUNTIFS(Release_Calendar!$A$2:$A$755,"NZ_GDP",Release_Calendar!$B$2:$B$755,$A5078)&gt;0,1,0))</f>
        <v>0</v>
      </c>
      <c r="O5078" s="16">
        <f>IF($A5078&lt;Notes!$B$5,"",IF(COUNTIFS(Release_Calendar!$A$2:$A$755,"NZ_LABOUR",Release_Calendar!$B$2:$B$755,$A5078)&gt;0,1,0))</f>
        <v>0</v>
      </c>
      <c r="P5078" s="16">
        <f t="shared" si="4"/>
        <v>0</v>
      </c>
    </row>
    <row r="5079" ht="15.75" customHeight="1">
      <c r="A5079" s="14">
        <v>43635.0</v>
      </c>
      <c r="B5079" s="15">
        <v>1.74</v>
      </c>
      <c r="C5079" s="15">
        <v>1.36</v>
      </c>
      <c r="D5079" s="15"/>
      <c r="E5079" s="15">
        <v>1.17</v>
      </c>
      <c r="F5079" s="15">
        <f t="shared" si="1"/>
        <v>-0.38</v>
      </c>
      <c r="G5079" s="15">
        <f t="shared" si="2"/>
        <v>1.36</v>
      </c>
      <c r="H5079" s="16">
        <v>0.0</v>
      </c>
      <c r="I5079" s="15">
        <f t="shared" si="3"/>
        <v>-0.38</v>
      </c>
      <c r="J5079" s="15">
        <v>14.33</v>
      </c>
      <c r="K5079" s="16">
        <f>IF(COUNTIFS(Release_Calendar!$A$2:$A$755,"US_CPI",Release_Calendar!$B$2:$B$755,$A5079)&gt;0,1,0)</f>
        <v>0</v>
      </c>
      <c r="L5079" s="16">
        <f>IF(COUNTIFS(Release_Calendar!$A$2:$A$755,"US_NFP",Release_Calendar!$B$2:$B$755,$A5079)&gt;0,1,0)</f>
        <v>0</v>
      </c>
      <c r="M5079" s="16">
        <f>IF($A5079&lt;Notes!$B$5,"",IF(COUNTIFS(Release_Calendar!$A$2:$A$755,"NZ_CPI",Release_Calendar!$B$2:$B$755,$A5079)&gt;0,1,0))</f>
        <v>0</v>
      </c>
      <c r="N5079" s="16">
        <f>IF($A5079&lt;Notes!$B$5,"",IF(COUNTIFS(Release_Calendar!$A$2:$A$755,"NZ_GDP",Release_Calendar!$B$2:$B$755,$A5079)&gt;0,1,0))</f>
        <v>0</v>
      </c>
      <c r="O5079" s="16">
        <f>IF($A5079&lt;Notes!$B$5,"",IF(COUNTIFS(Release_Calendar!$A$2:$A$755,"NZ_LABOUR",Release_Calendar!$B$2:$B$755,$A5079)&gt;0,1,0))</f>
        <v>0</v>
      </c>
      <c r="P5079" s="16">
        <f t="shared" si="4"/>
        <v>0</v>
      </c>
    </row>
    <row r="5080" ht="15.75" customHeight="1">
      <c r="A5080" s="14">
        <v>43636.0</v>
      </c>
      <c r="B5080" s="15">
        <v>1.72</v>
      </c>
      <c r="C5080" s="15">
        <v>1.29</v>
      </c>
      <c r="D5080" s="15"/>
      <c r="E5080" s="15">
        <v>1.1</v>
      </c>
      <c r="F5080" s="15">
        <f t="shared" si="1"/>
        <v>-0.43</v>
      </c>
      <c r="G5080" s="15">
        <f t="shared" si="2"/>
        <v>1.29</v>
      </c>
      <c r="H5080" s="16">
        <v>0.0</v>
      </c>
      <c r="I5080" s="15">
        <f t="shared" si="3"/>
        <v>-0.43</v>
      </c>
      <c r="J5080" s="15">
        <v>14.75</v>
      </c>
      <c r="K5080" s="16">
        <f>IF(COUNTIFS(Release_Calendar!$A$2:$A$755,"US_CPI",Release_Calendar!$B$2:$B$755,$A5080)&gt;0,1,0)</f>
        <v>0</v>
      </c>
      <c r="L5080" s="16">
        <f>IF(COUNTIFS(Release_Calendar!$A$2:$A$755,"US_NFP",Release_Calendar!$B$2:$B$755,$A5080)&gt;0,1,0)</f>
        <v>0</v>
      </c>
      <c r="M5080" s="16">
        <f>IF($A5080&lt;Notes!$B$5,"",IF(COUNTIFS(Release_Calendar!$A$2:$A$755,"NZ_CPI",Release_Calendar!$B$2:$B$755,$A5080)&gt;0,1,0))</f>
        <v>0</v>
      </c>
      <c r="N5080" s="16">
        <f>IF($A5080&lt;Notes!$B$5,"",IF(COUNTIFS(Release_Calendar!$A$2:$A$755,"NZ_GDP",Release_Calendar!$B$2:$B$755,$A5080)&gt;0,1,0))</f>
        <v>1</v>
      </c>
      <c r="O5080" s="16">
        <f>IF($A5080&lt;Notes!$B$5,"",IF(COUNTIFS(Release_Calendar!$A$2:$A$755,"NZ_LABOUR",Release_Calendar!$B$2:$B$755,$A5080)&gt;0,1,0))</f>
        <v>0</v>
      </c>
      <c r="P5080" s="16">
        <f t="shared" si="4"/>
        <v>1</v>
      </c>
    </row>
    <row r="5081" ht="15.75" customHeight="1">
      <c r="A5081" s="14">
        <v>43637.0</v>
      </c>
      <c r="B5081" s="15">
        <v>1.77</v>
      </c>
      <c r="C5081" s="15">
        <v>1.28</v>
      </c>
      <c r="D5081" s="15"/>
      <c r="E5081" s="15">
        <v>1.11</v>
      </c>
      <c r="F5081" s="15">
        <f t="shared" si="1"/>
        <v>-0.49</v>
      </c>
      <c r="G5081" s="15">
        <f t="shared" si="2"/>
        <v>1.28</v>
      </c>
      <c r="H5081" s="16">
        <v>0.0</v>
      </c>
      <c r="I5081" s="15">
        <f t="shared" si="3"/>
        <v>-0.49</v>
      </c>
      <c r="J5081" s="15">
        <v>15.4</v>
      </c>
      <c r="K5081" s="16">
        <f>IF(COUNTIFS(Release_Calendar!$A$2:$A$755,"US_CPI",Release_Calendar!$B$2:$B$755,$A5081)&gt;0,1,0)</f>
        <v>0</v>
      </c>
      <c r="L5081" s="16">
        <f>IF(COUNTIFS(Release_Calendar!$A$2:$A$755,"US_NFP",Release_Calendar!$B$2:$B$755,$A5081)&gt;0,1,0)</f>
        <v>0</v>
      </c>
      <c r="M5081" s="16">
        <f>IF($A5081&lt;Notes!$B$5,"",IF(COUNTIFS(Release_Calendar!$A$2:$A$755,"NZ_CPI",Release_Calendar!$B$2:$B$755,$A5081)&gt;0,1,0))</f>
        <v>0</v>
      </c>
      <c r="N5081" s="16">
        <f>IF($A5081&lt;Notes!$B$5,"",IF(COUNTIFS(Release_Calendar!$A$2:$A$755,"NZ_GDP",Release_Calendar!$B$2:$B$755,$A5081)&gt;0,1,0))</f>
        <v>0</v>
      </c>
      <c r="O5081" s="16">
        <f>IF($A5081&lt;Notes!$B$5,"",IF(COUNTIFS(Release_Calendar!$A$2:$A$755,"NZ_LABOUR",Release_Calendar!$B$2:$B$755,$A5081)&gt;0,1,0))</f>
        <v>0</v>
      </c>
      <c r="P5081" s="16">
        <f t="shared" si="4"/>
        <v>0</v>
      </c>
    </row>
    <row r="5082" ht="15.75" customHeight="1">
      <c r="A5082" s="14">
        <v>43640.0</v>
      </c>
      <c r="B5082" s="15">
        <v>1.72</v>
      </c>
      <c r="C5082" s="15">
        <v>1.3</v>
      </c>
      <c r="D5082" s="15"/>
      <c r="E5082" s="15">
        <v>1.13</v>
      </c>
      <c r="F5082" s="15">
        <f t="shared" si="1"/>
        <v>-0.42</v>
      </c>
      <c r="G5082" s="15">
        <f t="shared" si="2"/>
        <v>1.3</v>
      </c>
      <c r="H5082" s="16">
        <v>0.0</v>
      </c>
      <c r="I5082" s="15">
        <f t="shared" si="3"/>
        <v>-0.42</v>
      </c>
      <c r="J5082" s="15">
        <v>15.26</v>
      </c>
      <c r="K5082" s="16">
        <f>IF(COUNTIFS(Release_Calendar!$A$2:$A$755,"US_CPI",Release_Calendar!$B$2:$B$755,$A5082)&gt;0,1,0)</f>
        <v>0</v>
      </c>
      <c r="L5082" s="16">
        <f>IF(COUNTIFS(Release_Calendar!$A$2:$A$755,"US_NFP",Release_Calendar!$B$2:$B$755,$A5082)&gt;0,1,0)</f>
        <v>0</v>
      </c>
      <c r="M5082" s="16">
        <f>IF($A5082&lt;Notes!$B$5,"",IF(COUNTIFS(Release_Calendar!$A$2:$A$755,"NZ_CPI",Release_Calendar!$B$2:$B$755,$A5082)&gt;0,1,0))</f>
        <v>0</v>
      </c>
      <c r="N5082" s="16">
        <f>IF($A5082&lt;Notes!$B$5,"",IF(COUNTIFS(Release_Calendar!$A$2:$A$755,"NZ_GDP",Release_Calendar!$B$2:$B$755,$A5082)&gt;0,1,0))</f>
        <v>0</v>
      </c>
      <c r="O5082" s="16">
        <f>IF($A5082&lt;Notes!$B$5,"",IF(COUNTIFS(Release_Calendar!$A$2:$A$755,"NZ_LABOUR",Release_Calendar!$B$2:$B$755,$A5082)&gt;0,1,0))</f>
        <v>0</v>
      </c>
      <c r="P5082" s="16">
        <f t="shared" si="4"/>
        <v>0</v>
      </c>
    </row>
    <row r="5083" ht="15.75" customHeight="1">
      <c r="A5083" s="14">
        <v>43641.0</v>
      </c>
      <c r="B5083" s="15">
        <v>1.71</v>
      </c>
      <c r="C5083" s="15">
        <v>1.3</v>
      </c>
      <c r="D5083" s="15"/>
      <c r="E5083" s="15">
        <v>1.12</v>
      </c>
      <c r="F5083" s="15">
        <f t="shared" si="1"/>
        <v>-0.41</v>
      </c>
      <c r="G5083" s="15">
        <f t="shared" si="2"/>
        <v>1.3</v>
      </c>
      <c r="H5083" s="16">
        <v>0.0</v>
      </c>
      <c r="I5083" s="15">
        <f t="shared" si="3"/>
        <v>-0.41</v>
      </c>
      <c r="J5083" s="15">
        <v>16.28</v>
      </c>
      <c r="K5083" s="16">
        <f>IF(COUNTIFS(Release_Calendar!$A$2:$A$755,"US_CPI",Release_Calendar!$B$2:$B$755,$A5083)&gt;0,1,0)</f>
        <v>0</v>
      </c>
      <c r="L5083" s="16">
        <f>IF(COUNTIFS(Release_Calendar!$A$2:$A$755,"US_NFP",Release_Calendar!$B$2:$B$755,$A5083)&gt;0,1,0)</f>
        <v>0</v>
      </c>
      <c r="M5083" s="16">
        <f>IF($A5083&lt;Notes!$B$5,"",IF(COUNTIFS(Release_Calendar!$A$2:$A$755,"NZ_CPI",Release_Calendar!$B$2:$B$755,$A5083)&gt;0,1,0))</f>
        <v>0</v>
      </c>
      <c r="N5083" s="16">
        <f>IF($A5083&lt;Notes!$B$5,"",IF(COUNTIFS(Release_Calendar!$A$2:$A$755,"NZ_GDP",Release_Calendar!$B$2:$B$755,$A5083)&gt;0,1,0))</f>
        <v>0</v>
      </c>
      <c r="O5083" s="16">
        <f>IF($A5083&lt;Notes!$B$5,"",IF(COUNTIFS(Release_Calendar!$A$2:$A$755,"NZ_LABOUR",Release_Calendar!$B$2:$B$755,$A5083)&gt;0,1,0))</f>
        <v>0</v>
      </c>
      <c r="P5083" s="16">
        <f t="shared" si="4"/>
        <v>0</v>
      </c>
    </row>
    <row r="5084" ht="15.75" customHeight="1">
      <c r="A5084" s="14">
        <v>43642.0</v>
      </c>
      <c r="B5084" s="15">
        <v>1.77</v>
      </c>
      <c r="C5084" s="15">
        <v>1.32</v>
      </c>
      <c r="D5084" s="15"/>
      <c r="E5084" s="15">
        <v>1.14</v>
      </c>
      <c r="F5084" s="15">
        <f t="shared" si="1"/>
        <v>-0.45</v>
      </c>
      <c r="G5084" s="15">
        <f t="shared" si="2"/>
        <v>1.32</v>
      </c>
      <c r="H5084" s="16">
        <v>0.0</v>
      </c>
      <c r="I5084" s="15">
        <f t="shared" si="3"/>
        <v>-0.45</v>
      </c>
      <c r="J5084" s="15">
        <v>16.21</v>
      </c>
      <c r="K5084" s="16">
        <f>IF(COUNTIFS(Release_Calendar!$A$2:$A$755,"US_CPI",Release_Calendar!$B$2:$B$755,$A5084)&gt;0,1,0)</f>
        <v>0</v>
      </c>
      <c r="L5084" s="16">
        <f>IF(COUNTIFS(Release_Calendar!$A$2:$A$755,"US_NFP",Release_Calendar!$B$2:$B$755,$A5084)&gt;0,1,0)</f>
        <v>0</v>
      </c>
      <c r="M5084" s="16">
        <f>IF($A5084&lt;Notes!$B$5,"",IF(COUNTIFS(Release_Calendar!$A$2:$A$755,"NZ_CPI",Release_Calendar!$B$2:$B$755,$A5084)&gt;0,1,0))</f>
        <v>0</v>
      </c>
      <c r="N5084" s="16">
        <f>IF($A5084&lt;Notes!$B$5,"",IF(COUNTIFS(Release_Calendar!$A$2:$A$755,"NZ_GDP",Release_Calendar!$B$2:$B$755,$A5084)&gt;0,1,0))</f>
        <v>0</v>
      </c>
      <c r="O5084" s="16">
        <f>IF($A5084&lt;Notes!$B$5,"",IF(COUNTIFS(Release_Calendar!$A$2:$A$755,"NZ_LABOUR",Release_Calendar!$B$2:$B$755,$A5084)&gt;0,1,0))</f>
        <v>0</v>
      </c>
      <c r="P5084" s="16">
        <f t="shared" si="4"/>
        <v>0</v>
      </c>
    </row>
    <row r="5085" ht="15.75" customHeight="1">
      <c r="A5085" s="14">
        <v>43643.0</v>
      </c>
      <c r="B5085" s="15">
        <v>1.74</v>
      </c>
      <c r="C5085" s="15">
        <v>1.35</v>
      </c>
      <c r="D5085" s="15"/>
      <c r="E5085" s="15">
        <v>1.18</v>
      </c>
      <c r="F5085" s="15">
        <f t="shared" si="1"/>
        <v>-0.39</v>
      </c>
      <c r="G5085" s="15">
        <f t="shared" si="2"/>
        <v>1.35</v>
      </c>
      <c r="H5085" s="16">
        <v>0.0</v>
      </c>
      <c r="I5085" s="15">
        <f t="shared" si="3"/>
        <v>-0.39</v>
      </c>
      <c r="J5085" s="15">
        <v>15.82</v>
      </c>
      <c r="K5085" s="16">
        <f>IF(COUNTIFS(Release_Calendar!$A$2:$A$755,"US_CPI",Release_Calendar!$B$2:$B$755,$A5085)&gt;0,1,0)</f>
        <v>0</v>
      </c>
      <c r="L5085" s="16">
        <f>IF(COUNTIFS(Release_Calendar!$A$2:$A$755,"US_NFP",Release_Calendar!$B$2:$B$755,$A5085)&gt;0,1,0)</f>
        <v>0</v>
      </c>
      <c r="M5085" s="16">
        <f>IF($A5085&lt;Notes!$B$5,"",IF(COUNTIFS(Release_Calendar!$A$2:$A$755,"NZ_CPI",Release_Calendar!$B$2:$B$755,$A5085)&gt;0,1,0))</f>
        <v>0</v>
      </c>
      <c r="N5085" s="16">
        <f>IF($A5085&lt;Notes!$B$5,"",IF(COUNTIFS(Release_Calendar!$A$2:$A$755,"NZ_GDP",Release_Calendar!$B$2:$B$755,$A5085)&gt;0,1,0))</f>
        <v>0</v>
      </c>
      <c r="O5085" s="16">
        <f>IF($A5085&lt;Notes!$B$5,"",IF(COUNTIFS(Release_Calendar!$A$2:$A$755,"NZ_LABOUR",Release_Calendar!$B$2:$B$755,$A5085)&gt;0,1,0))</f>
        <v>0</v>
      </c>
      <c r="P5085" s="16">
        <f t="shared" si="4"/>
        <v>0</v>
      </c>
    </row>
    <row r="5086" ht="15.75" customHeight="1">
      <c r="A5086" s="14">
        <v>43644.0</v>
      </c>
      <c r="B5086" s="15">
        <v>1.75</v>
      </c>
      <c r="C5086" s="15">
        <v>1.35</v>
      </c>
      <c r="D5086" s="15"/>
      <c r="E5086" s="15">
        <v>1.15</v>
      </c>
      <c r="F5086" s="15">
        <f t="shared" si="1"/>
        <v>-0.4</v>
      </c>
      <c r="G5086" s="15">
        <f t="shared" si="2"/>
        <v>1.35</v>
      </c>
      <c r="H5086" s="16">
        <v>0.0</v>
      </c>
      <c r="I5086" s="15">
        <f t="shared" si="3"/>
        <v>-0.4</v>
      </c>
      <c r="J5086" s="15">
        <v>15.08</v>
      </c>
      <c r="K5086" s="16">
        <f>IF(COUNTIFS(Release_Calendar!$A$2:$A$755,"US_CPI",Release_Calendar!$B$2:$B$755,$A5086)&gt;0,1,0)</f>
        <v>0</v>
      </c>
      <c r="L5086" s="16">
        <f>IF(COUNTIFS(Release_Calendar!$A$2:$A$755,"US_NFP",Release_Calendar!$B$2:$B$755,$A5086)&gt;0,1,0)</f>
        <v>0</v>
      </c>
      <c r="M5086" s="16">
        <f>IF($A5086&lt;Notes!$B$5,"",IF(COUNTIFS(Release_Calendar!$A$2:$A$755,"NZ_CPI",Release_Calendar!$B$2:$B$755,$A5086)&gt;0,1,0))</f>
        <v>0</v>
      </c>
      <c r="N5086" s="16">
        <f>IF($A5086&lt;Notes!$B$5,"",IF(COUNTIFS(Release_Calendar!$A$2:$A$755,"NZ_GDP",Release_Calendar!$B$2:$B$755,$A5086)&gt;0,1,0))</f>
        <v>0</v>
      </c>
      <c r="O5086" s="16">
        <f>IF($A5086&lt;Notes!$B$5,"",IF(COUNTIFS(Release_Calendar!$A$2:$A$755,"NZ_LABOUR",Release_Calendar!$B$2:$B$755,$A5086)&gt;0,1,0))</f>
        <v>0</v>
      </c>
      <c r="P5086" s="16">
        <f t="shared" si="4"/>
        <v>0</v>
      </c>
    </row>
    <row r="5087" ht="15.75" customHeight="1">
      <c r="A5087" s="14">
        <v>43647.0</v>
      </c>
      <c r="B5087" s="15">
        <v>1.78</v>
      </c>
      <c r="C5087" s="15">
        <v>1.35</v>
      </c>
      <c r="D5087" s="15"/>
      <c r="E5087" s="15">
        <v>1.16</v>
      </c>
      <c r="F5087" s="15">
        <f t="shared" si="1"/>
        <v>-0.43</v>
      </c>
      <c r="G5087" s="15">
        <f t="shared" si="2"/>
        <v>1.35</v>
      </c>
      <c r="H5087" s="16">
        <v>0.0</v>
      </c>
      <c r="I5087" s="15">
        <f t="shared" si="3"/>
        <v>-0.43</v>
      </c>
      <c r="J5087" s="15">
        <v>14.06</v>
      </c>
      <c r="K5087" s="16">
        <f>IF(COUNTIFS(Release_Calendar!$A$2:$A$755,"US_CPI",Release_Calendar!$B$2:$B$755,$A5087)&gt;0,1,0)</f>
        <v>0</v>
      </c>
      <c r="L5087" s="16">
        <f>IF(COUNTIFS(Release_Calendar!$A$2:$A$755,"US_NFP",Release_Calendar!$B$2:$B$755,$A5087)&gt;0,1,0)</f>
        <v>0</v>
      </c>
      <c r="M5087" s="16">
        <f>IF($A5087&lt;Notes!$B$5,"",IF(COUNTIFS(Release_Calendar!$A$2:$A$755,"NZ_CPI",Release_Calendar!$B$2:$B$755,$A5087)&gt;0,1,0))</f>
        <v>0</v>
      </c>
      <c r="N5087" s="16">
        <f>IF($A5087&lt;Notes!$B$5,"",IF(COUNTIFS(Release_Calendar!$A$2:$A$755,"NZ_GDP",Release_Calendar!$B$2:$B$755,$A5087)&gt;0,1,0))</f>
        <v>0</v>
      </c>
      <c r="O5087" s="16">
        <f>IF($A5087&lt;Notes!$B$5,"",IF(COUNTIFS(Release_Calendar!$A$2:$A$755,"NZ_LABOUR",Release_Calendar!$B$2:$B$755,$A5087)&gt;0,1,0))</f>
        <v>0</v>
      </c>
      <c r="P5087" s="16">
        <f t="shared" si="4"/>
        <v>0</v>
      </c>
    </row>
    <row r="5088" ht="15.75" customHeight="1">
      <c r="A5088" s="14">
        <v>43648.0</v>
      </c>
      <c r="B5088" s="15">
        <v>1.77</v>
      </c>
      <c r="C5088" s="15">
        <v>1.35</v>
      </c>
      <c r="D5088" s="15"/>
      <c r="E5088" s="15">
        <v>1.15</v>
      </c>
      <c r="F5088" s="15">
        <f t="shared" si="1"/>
        <v>-0.42</v>
      </c>
      <c r="G5088" s="15">
        <f t="shared" si="2"/>
        <v>1.35</v>
      </c>
      <c r="H5088" s="16">
        <v>0.0</v>
      </c>
      <c r="I5088" s="15">
        <f t="shared" si="3"/>
        <v>-0.42</v>
      </c>
      <c r="J5088" s="15">
        <v>12.93</v>
      </c>
      <c r="K5088" s="16">
        <f>IF(COUNTIFS(Release_Calendar!$A$2:$A$755,"US_CPI",Release_Calendar!$B$2:$B$755,$A5088)&gt;0,1,0)</f>
        <v>0</v>
      </c>
      <c r="L5088" s="16">
        <f>IF(COUNTIFS(Release_Calendar!$A$2:$A$755,"US_NFP",Release_Calendar!$B$2:$B$755,$A5088)&gt;0,1,0)</f>
        <v>0</v>
      </c>
      <c r="M5088" s="16">
        <f>IF($A5088&lt;Notes!$B$5,"",IF(COUNTIFS(Release_Calendar!$A$2:$A$755,"NZ_CPI",Release_Calendar!$B$2:$B$755,$A5088)&gt;0,1,0))</f>
        <v>0</v>
      </c>
      <c r="N5088" s="16">
        <f>IF($A5088&lt;Notes!$B$5,"",IF(COUNTIFS(Release_Calendar!$A$2:$A$755,"NZ_GDP",Release_Calendar!$B$2:$B$755,$A5088)&gt;0,1,0))</f>
        <v>0</v>
      </c>
      <c r="O5088" s="16">
        <f>IF($A5088&lt;Notes!$B$5,"",IF(COUNTIFS(Release_Calendar!$A$2:$A$755,"NZ_LABOUR",Release_Calendar!$B$2:$B$755,$A5088)&gt;0,1,0))</f>
        <v>0</v>
      </c>
      <c r="P5088" s="16">
        <f t="shared" si="4"/>
        <v>0</v>
      </c>
    </row>
    <row r="5089" ht="15.75" customHeight="1">
      <c r="A5089" s="14">
        <v>43649.0</v>
      </c>
      <c r="B5089" s="15">
        <v>1.77</v>
      </c>
      <c r="C5089" s="15">
        <v>1.3</v>
      </c>
      <c r="D5089" s="15"/>
      <c r="E5089" s="15">
        <v>1.13</v>
      </c>
      <c r="F5089" s="15">
        <f t="shared" si="1"/>
        <v>-0.47</v>
      </c>
      <c r="G5089" s="15">
        <f t="shared" si="2"/>
        <v>1.3</v>
      </c>
      <c r="H5089" s="16">
        <v>0.0</v>
      </c>
      <c r="I5089" s="15">
        <f t="shared" si="3"/>
        <v>-0.47</v>
      </c>
      <c r="J5089" s="15">
        <v>12.57</v>
      </c>
      <c r="K5089" s="16">
        <f>IF(COUNTIFS(Release_Calendar!$A$2:$A$755,"US_CPI",Release_Calendar!$B$2:$B$755,$A5089)&gt;0,1,0)</f>
        <v>0</v>
      </c>
      <c r="L5089" s="16">
        <f>IF(COUNTIFS(Release_Calendar!$A$2:$A$755,"US_NFP",Release_Calendar!$B$2:$B$755,$A5089)&gt;0,1,0)</f>
        <v>0</v>
      </c>
      <c r="M5089" s="16">
        <f>IF($A5089&lt;Notes!$B$5,"",IF(COUNTIFS(Release_Calendar!$A$2:$A$755,"NZ_CPI",Release_Calendar!$B$2:$B$755,$A5089)&gt;0,1,0))</f>
        <v>0</v>
      </c>
      <c r="N5089" s="16">
        <f>IF($A5089&lt;Notes!$B$5,"",IF(COUNTIFS(Release_Calendar!$A$2:$A$755,"NZ_GDP",Release_Calendar!$B$2:$B$755,$A5089)&gt;0,1,0))</f>
        <v>0</v>
      </c>
      <c r="O5089" s="16">
        <f>IF($A5089&lt;Notes!$B$5,"",IF(COUNTIFS(Release_Calendar!$A$2:$A$755,"NZ_LABOUR",Release_Calendar!$B$2:$B$755,$A5089)&gt;0,1,0))</f>
        <v>0</v>
      </c>
      <c r="P5089" s="16">
        <f t="shared" si="4"/>
        <v>0</v>
      </c>
    </row>
    <row r="5090" ht="15.75" customHeight="1">
      <c r="A5090" s="14">
        <v>43650.0</v>
      </c>
      <c r="B5090" s="15"/>
      <c r="C5090" s="15">
        <v>1.31</v>
      </c>
      <c r="D5090" s="15"/>
      <c r="E5090" s="15">
        <v>1.12</v>
      </c>
      <c r="F5090" s="15" t="str">
        <f t="shared" si="1"/>
        <v/>
      </c>
      <c r="G5090" s="15">
        <f t="shared" si="2"/>
        <v>1.31</v>
      </c>
      <c r="H5090" s="16">
        <v>0.0</v>
      </c>
      <c r="I5090" s="15" t="str">
        <f t="shared" si="3"/>
        <v/>
      </c>
      <c r="J5090" s="15"/>
      <c r="K5090" s="16">
        <f>IF(COUNTIFS(Release_Calendar!$A$2:$A$755,"US_CPI",Release_Calendar!$B$2:$B$755,$A5090)&gt;0,1,0)</f>
        <v>0</v>
      </c>
      <c r="L5090" s="16">
        <f>IF(COUNTIFS(Release_Calendar!$A$2:$A$755,"US_NFP",Release_Calendar!$B$2:$B$755,$A5090)&gt;0,1,0)</f>
        <v>0</v>
      </c>
      <c r="M5090" s="16">
        <f>IF($A5090&lt;Notes!$B$5,"",IF(COUNTIFS(Release_Calendar!$A$2:$A$755,"NZ_CPI",Release_Calendar!$B$2:$B$755,$A5090)&gt;0,1,0))</f>
        <v>0</v>
      </c>
      <c r="N5090" s="16">
        <f>IF($A5090&lt;Notes!$B$5,"",IF(COUNTIFS(Release_Calendar!$A$2:$A$755,"NZ_GDP",Release_Calendar!$B$2:$B$755,$A5090)&gt;0,1,0))</f>
        <v>0</v>
      </c>
      <c r="O5090" s="16">
        <f>IF($A5090&lt;Notes!$B$5,"",IF(COUNTIFS(Release_Calendar!$A$2:$A$755,"NZ_LABOUR",Release_Calendar!$B$2:$B$755,$A5090)&gt;0,1,0))</f>
        <v>0</v>
      </c>
      <c r="P5090" s="16">
        <f t="shared" si="4"/>
        <v>0</v>
      </c>
    </row>
    <row r="5091" ht="15.75" customHeight="1">
      <c r="A5091" s="14">
        <v>43651.0</v>
      </c>
      <c r="B5091" s="15">
        <v>1.87</v>
      </c>
      <c r="C5091" s="15">
        <v>1.31</v>
      </c>
      <c r="D5091" s="15"/>
      <c r="E5091" s="15">
        <v>1.12</v>
      </c>
      <c r="F5091" s="15">
        <f t="shared" si="1"/>
        <v>-0.56</v>
      </c>
      <c r="G5091" s="15">
        <f t="shared" si="2"/>
        <v>1.31</v>
      </c>
      <c r="H5091" s="16">
        <v>0.0</v>
      </c>
      <c r="I5091" s="15">
        <f t="shared" si="3"/>
        <v>-0.56</v>
      </c>
      <c r="J5091" s="15">
        <v>13.28</v>
      </c>
      <c r="K5091" s="16">
        <f>IF(COUNTIFS(Release_Calendar!$A$2:$A$755,"US_CPI",Release_Calendar!$B$2:$B$755,$A5091)&gt;0,1,0)</f>
        <v>0</v>
      </c>
      <c r="L5091" s="16">
        <f>IF(COUNTIFS(Release_Calendar!$A$2:$A$755,"US_NFP",Release_Calendar!$B$2:$B$755,$A5091)&gt;0,1,0)</f>
        <v>1</v>
      </c>
      <c r="M5091" s="16">
        <f>IF($A5091&lt;Notes!$B$5,"",IF(COUNTIFS(Release_Calendar!$A$2:$A$755,"NZ_CPI",Release_Calendar!$B$2:$B$755,$A5091)&gt;0,1,0))</f>
        <v>0</v>
      </c>
      <c r="N5091" s="16">
        <f>IF($A5091&lt;Notes!$B$5,"",IF(COUNTIFS(Release_Calendar!$A$2:$A$755,"NZ_GDP",Release_Calendar!$B$2:$B$755,$A5091)&gt;0,1,0))</f>
        <v>0</v>
      </c>
      <c r="O5091" s="16">
        <f>IF($A5091&lt;Notes!$B$5,"",IF(COUNTIFS(Release_Calendar!$A$2:$A$755,"NZ_LABOUR",Release_Calendar!$B$2:$B$755,$A5091)&gt;0,1,0))</f>
        <v>0</v>
      </c>
      <c r="P5091" s="16">
        <f t="shared" si="4"/>
        <v>1</v>
      </c>
    </row>
    <row r="5092" ht="15.75" customHeight="1">
      <c r="A5092" s="14">
        <v>43654.0</v>
      </c>
      <c r="B5092" s="15">
        <v>1.88</v>
      </c>
      <c r="C5092" s="15">
        <v>1.31</v>
      </c>
      <c r="D5092" s="15"/>
      <c r="E5092" s="15">
        <v>1.13</v>
      </c>
      <c r="F5092" s="15">
        <f t="shared" si="1"/>
        <v>-0.57</v>
      </c>
      <c r="G5092" s="15">
        <f t="shared" si="2"/>
        <v>1.31</v>
      </c>
      <c r="H5092" s="16">
        <v>0.0</v>
      </c>
      <c r="I5092" s="15">
        <f t="shared" si="3"/>
        <v>-0.57</v>
      </c>
      <c r="J5092" s="15">
        <v>13.96</v>
      </c>
      <c r="K5092" s="16">
        <f>IF(COUNTIFS(Release_Calendar!$A$2:$A$755,"US_CPI",Release_Calendar!$B$2:$B$755,$A5092)&gt;0,1,0)</f>
        <v>0</v>
      </c>
      <c r="L5092" s="16">
        <f>IF(COUNTIFS(Release_Calendar!$A$2:$A$755,"US_NFP",Release_Calendar!$B$2:$B$755,$A5092)&gt;0,1,0)</f>
        <v>0</v>
      </c>
      <c r="M5092" s="16">
        <f>IF($A5092&lt;Notes!$B$5,"",IF(COUNTIFS(Release_Calendar!$A$2:$A$755,"NZ_CPI",Release_Calendar!$B$2:$B$755,$A5092)&gt;0,1,0))</f>
        <v>0</v>
      </c>
      <c r="N5092" s="16">
        <f>IF($A5092&lt;Notes!$B$5,"",IF(COUNTIFS(Release_Calendar!$A$2:$A$755,"NZ_GDP",Release_Calendar!$B$2:$B$755,$A5092)&gt;0,1,0))</f>
        <v>0</v>
      </c>
      <c r="O5092" s="16">
        <f>IF($A5092&lt;Notes!$B$5,"",IF(COUNTIFS(Release_Calendar!$A$2:$A$755,"NZ_LABOUR",Release_Calendar!$B$2:$B$755,$A5092)&gt;0,1,0))</f>
        <v>0</v>
      </c>
      <c r="P5092" s="16">
        <f t="shared" si="4"/>
        <v>0</v>
      </c>
    </row>
    <row r="5093" ht="15.75" customHeight="1">
      <c r="A5093" s="14">
        <v>43655.0</v>
      </c>
      <c r="B5093" s="15">
        <v>1.92</v>
      </c>
      <c r="C5093" s="15">
        <v>1.32</v>
      </c>
      <c r="D5093" s="15"/>
      <c r="E5093" s="15">
        <v>1.13</v>
      </c>
      <c r="F5093" s="15">
        <f t="shared" si="1"/>
        <v>-0.6</v>
      </c>
      <c r="G5093" s="15">
        <f t="shared" si="2"/>
        <v>1.32</v>
      </c>
      <c r="H5093" s="16">
        <v>0.0</v>
      </c>
      <c r="I5093" s="15">
        <f t="shared" si="3"/>
        <v>-0.6</v>
      </c>
      <c r="J5093" s="15">
        <v>14.09</v>
      </c>
      <c r="K5093" s="16">
        <f>IF(COUNTIFS(Release_Calendar!$A$2:$A$755,"US_CPI",Release_Calendar!$B$2:$B$755,$A5093)&gt;0,1,0)</f>
        <v>0</v>
      </c>
      <c r="L5093" s="16">
        <f>IF(COUNTIFS(Release_Calendar!$A$2:$A$755,"US_NFP",Release_Calendar!$B$2:$B$755,$A5093)&gt;0,1,0)</f>
        <v>0</v>
      </c>
      <c r="M5093" s="16">
        <f>IF($A5093&lt;Notes!$B$5,"",IF(COUNTIFS(Release_Calendar!$A$2:$A$755,"NZ_CPI",Release_Calendar!$B$2:$B$755,$A5093)&gt;0,1,0))</f>
        <v>0</v>
      </c>
      <c r="N5093" s="16">
        <f>IF($A5093&lt;Notes!$B$5,"",IF(COUNTIFS(Release_Calendar!$A$2:$A$755,"NZ_GDP",Release_Calendar!$B$2:$B$755,$A5093)&gt;0,1,0))</f>
        <v>0</v>
      </c>
      <c r="O5093" s="16">
        <f>IF($A5093&lt;Notes!$B$5,"",IF(COUNTIFS(Release_Calendar!$A$2:$A$755,"NZ_LABOUR",Release_Calendar!$B$2:$B$755,$A5093)&gt;0,1,0))</f>
        <v>0</v>
      </c>
      <c r="P5093" s="16">
        <f t="shared" si="4"/>
        <v>0</v>
      </c>
    </row>
    <row r="5094" ht="15.75" customHeight="1">
      <c r="A5094" s="14">
        <v>43656.0</v>
      </c>
      <c r="B5094" s="15">
        <v>1.82</v>
      </c>
      <c r="C5094" s="15">
        <v>1.33</v>
      </c>
      <c r="D5094" s="15"/>
      <c r="E5094" s="15">
        <v>1.14</v>
      </c>
      <c r="F5094" s="15">
        <f t="shared" si="1"/>
        <v>-0.49</v>
      </c>
      <c r="G5094" s="15">
        <f t="shared" si="2"/>
        <v>1.33</v>
      </c>
      <c r="H5094" s="16">
        <v>0.0</v>
      </c>
      <c r="I5094" s="15">
        <f t="shared" si="3"/>
        <v>-0.49</v>
      </c>
      <c r="J5094" s="15">
        <v>13.03</v>
      </c>
      <c r="K5094" s="16">
        <f>IF(COUNTIFS(Release_Calendar!$A$2:$A$755,"US_CPI",Release_Calendar!$B$2:$B$755,$A5094)&gt;0,1,0)</f>
        <v>0</v>
      </c>
      <c r="L5094" s="16">
        <f>IF(COUNTIFS(Release_Calendar!$A$2:$A$755,"US_NFP",Release_Calendar!$B$2:$B$755,$A5094)&gt;0,1,0)</f>
        <v>0</v>
      </c>
      <c r="M5094" s="16">
        <f>IF($A5094&lt;Notes!$B$5,"",IF(COUNTIFS(Release_Calendar!$A$2:$A$755,"NZ_CPI",Release_Calendar!$B$2:$B$755,$A5094)&gt;0,1,0))</f>
        <v>0</v>
      </c>
      <c r="N5094" s="16">
        <f>IF($A5094&lt;Notes!$B$5,"",IF(COUNTIFS(Release_Calendar!$A$2:$A$755,"NZ_GDP",Release_Calendar!$B$2:$B$755,$A5094)&gt;0,1,0))</f>
        <v>0</v>
      </c>
      <c r="O5094" s="16">
        <f>IF($A5094&lt;Notes!$B$5,"",IF(COUNTIFS(Release_Calendar!$A$2:$A$755,"NZ_LABOUR",Release_Calendar!$B$2:$B$755,$A5094)&gt;0,1,0))</f>
        <v>0</v>
      </c>
      <c r="P5094" s="16">
        <f t="shared" si="4"/>
        <v>0</v>
      </c>
    </row>
    <row r="5095" ht="15.75" customHeight="1">
      <c r="A5095" s="14">
        <v>43657.0</v>
      </c>
      <c r="B5095" s="15">
        <v>1.85</v>
      </c>
      <c r="C5095" s="15">
        <v>1.32</v>
      </c>
      <c r="D5095" s="15"/>
      <c r="E5095" s="15">
        <v>1.13</v>
      </c>
      <c r="F5095" s="15">
        <f t="shared" si="1"/>
        <v>-0.53</v>
      </c>
      <c r="G5095" s="15">
        <f t="shared" si="2"/>
        <v>1.32</v>
      </c>
      <c r="H5095" s="16">
        <v>0.0</v>
      </c>
      <c r="I5095" s="15">
        <f t="shared" si="3"/>
        <v>-0.53</v>
      </c>
      <c r="J5095" s="15">
        <v>12.93</v>
      </c>
      <c r="K5095" s="16">
        <f>IF(COUNTIFS(Release_Calendar!$A$2:$A$755,"US_CPI",Release_Calendar!$B$2:$B$755,$A5095)&gt;0,1,0)</f>
        <v>1</v>
      </c>
      <c r="L5095" s="16">
        <f>IF(COUNTIFS(Release_Calendar!$A$2:$A$755,"US_NFP",Release_Calendar!$B$2:$B$755,$A5095)&gt;0,1,0)</f>
        <v>0</v>
      </c>
      <c r="M5095" s="16">
        <f>IF($A5095&lt;Notes!$B$5,"",IF(COUNTIFS(Release_Calendar!$A$2:$A$755,"NZ_CPI",Release_Calendar!$B$2:$B$755,$A5095)&gt;0,1,0))</f>
        <v>0</v>
      </c>
      <c r="N5095" s="16">
        <f>IF($A5095&lt;Notes!$B$5,"",IF(COUNTIFS(Release_Calendar!$A$2:$A$755,"NZ_GDP",Release_Calendar!$B$2:$B$755,$A5095)&gt;0,1,0))</f>
        <v>0</v>
      </c>
      <c r="O5095" s="16">
        <f>IF($A5095&lt;Notes!$B$5,"",IF(COUNTIFS(Release_Calendar!$A$2:$A$755,"NZ_LABOUR",Release_Calendar!$B$2:$B$755,$A5095)&gt;0,1,0))</f>
        <v>0</v>
      </c>
      <c r="P5095" s="16">
        <f t="shared" si="4"/>
        <v>1</v>
      </c>
    </row>
    <row r="5096" ht="15.75" customHeight="1">
      <c r="A5096" s="14">
        <v>43658.0</v>
      </c>
      <c r="B5096" s="15">
        <v>1.84</v>
      </c>
      <c r="C5096" s="15">
        <v>1.35</v>
      </c>
      <c r="D5096" s="15"/>
      <c r="E5096" s="15">
        <v>1.16</v>
      </c>
      <c r="F5096" s="15">
        <f t="shared" si="1"/>
        <v>-0.49</v>
      </c>
      <c r="G5096" s="15">
        <f t="shared" si="2"/>
        <v>1.35</v>
      </c>
      <c r="H5096" s="16">
        <v>0.0</v>
      </c>
      <c r="I5096" s="15">
        <f t="shared" si="3"/>
        <v>-0.49</v>
      </c>
      <c r="J5096" s="15">
        <v>12.39</v>
      </c>
      <c r="K5096" s="16">
        <f>IF(COUNTIFS(Release_Calendar!$A$2:$A$755,"US_CPI",Release_Calendar!$B$2:$B$755,$A5096)&gt;0,1,0)</f>
        <v>0</v>
      </c>
      <c r="L5096" s="16">
        <f>IF(COUNTIFS(Release_Calendar!$A$2:$A$755,"US_NFP",Release_Calendar!$B$2:$B$755,$A5096)&gt;0,1,0)</f>
        <v>0</v>
      </c>
      <c r="M5096" s="16">
        <f>IF($A5096&lt;Notes!$B$5,"",IF(COUNTIFS(Release_Calendar!$A$2:$A$755,"NZ_CPI",Release_Calendar!$B$2:$B$755,$A5096)&gt;0,1,0))</f>
        <v>0</v>
      </c>
      <c r="N5096" s="16">
        <f>IF($A5096&lt;Notes!$B$5,"",IF(COUNTIFS(Release_Calendar!$A$2:$A$755,"NZ_GDP",Release_Calendar!$B$2:$B$755,$A5096)&gt;0,1,0))</f>
        <v>0</v>
      </c>
      <c r="O5096" s="16">
        <f>IF($A5096&lt;Notes!$B$5,"",IF(COUNTIFS(Release_Calendar!$A$2:$A$755,"NZ_LABOUR",Release_Calendar!$B$2:$B$755,$A5096)&gt;0,1,0))</f>
        <v>0</v>
      </c>
      <c r="P5096" s="16">
        <f t="shared" si="4"/>
        <v>0</v>
      </c>
    </row>
    <row r="5097" ht="15.75" customHeight="1">
      <c r="A5097" s="14">
        <v>43661.0</v>
      </c>
      <c r="B5097" s="15">
        <v>1.83</v>
      </c>
      <c r="C5097" s="15">
        <v>1.37</v>
      </c>
      <c r="D5097" s="15"/>
      <c r="E5097" s="15">
        <v>1.18</v>
      </c>
      <c r="F5097" s="15">
        <f t="shared" si="1"/>
        <v>-0.46</v>
      </c>
      <c r="G5097" s="15">
        <f t="shared" si="2"/>
        <v>1.37</v>
      </c>
      <c r="H5097" s="16">
        <v>0.0</v>
      </c>
      <c r="I5097" s="15">
        <f t="shared" si="3"/>
        <v>-0.46</v>
      </c>
      <c r="J5097" s="15">
        <v>12.68</v>
      </c>
      <c r="K5097" s="16">
        <f>IF(COUNTIFS(Release_Calendar!$A$2:$A$755,"US_CPI",Release_Calendar!$B$2:$B$755,$A5097)&gt;0,1,0)</f>
        <v>0</v>
      </c>
      <c r="L5097" s="16">
        <f>IF(COUNTIFS(Release_Calendar!$A$2:$A$755,"US_NFP",Release_Calendar!$B$2:$B$755,$A5097)&gt;0,1,0)</f>
        <v>0</v>
      </c>
      <c r="M5097" s="16">
        <f>IF($A5097&lt;Notes!$B$5,"",IF(COUNTIFS(Release_Calendar!$A$2:$A$755,"NZ_CPI",Release_Calendar!$B$2:$B$755,$A5097)&gt;0,1,0))</f>
        <v>0</v>
      </c>
      <c r="N5097" s="16">
        <f>IF($A5097&lt;Notes!$B$5,"",IF(COUNTIFS(Release_Calendar!$A$2:$A$755,"NZ_GDP",Release_Calendar!$B$2:$B$755,$A5097)&gt;0,1,0))</f>
        <v>0</v>
      </c>
      <c r="O5097" s="16">
        <f>IF($A5097&lt;Notes!$B$5,"",IF(COUNTIFS(Release_Calendar!$A$2:$A$755,"NZ_LABOUR",Release_Calendar!$B$2:$B$755,$A5097)&gt;0,1,0))</f>
        <v>0</v>
      </c>
      <c r="P5097" s="16">
        <f t="shared" si="4"/>
        <v>0</v>
      </c>
    </row>
    <row r="5098" ht="15.75" customHeight="1">
      <c r="A5098" s="14">
        <v>43662.0</v>
      </c>
      <c r="B5098" s="15">
        <v>1.87</v>
      </c>
      <c r="C5098" s="15">
        <v>1.34</v>
      </c>
      <c r="D5098" s="15"/>
      <c r="E5098" s="15">
        <v>1.15</v>
      </c>
      <c r="F5098" s="15">
        <f t="shared" si="1"/>
        <v>-0.53</v>
      </c>
      <c r="G5098" s="15">
        <f t="shared" si="2"/>
        <v>1.34</v>
      </c>
      <c r="H5098" s="16">
        <v>0.0</v>
      </c>
      <c r="I5098" s="15">
        <f t="shared" si="3"/>
        <v>-0.53</v>
      </c>
      <c r="J5098" s="15">
        <v>12.86</v>
      </c>
      <c r="K5098" s="16">
        <f>IF(COUNTIFS(Release_Calendar!$A$2:$A$755,"US_CPI",Release_Calendar!$B$2:$B$755,$A5098)&gt;0,1,0)</f>
        <v>0</v>
      </c>
      <c r="L5098" s="16">
        <f>IF(COUNTIFS(Release_Calendar!$A$2:$A$755,"US_NFP",Release_Calendar!$B$2:$B$755,$A5098)&gt;0,1,0)</f>
        <v>0</v>
      </c>
      <c r="M5098" s="16">
        <f>IF($A5098&lt;Notes!$B$5,"",IF(COUNTIFS(Release_Calendar!$A$2:$A$755,"NZ_CPI",Release_Calendar!$B$2:$B$755,$A5098)&gt;0,1,0))</f>
        <v>1</v>
      </c>
      <c r="N5098" s="16">
        <f>IF($A5098&lt;Notes!$B$5,"",IF(COUNTIFS(Release_Calendar!$A$2:$A$755,"NZ_GDP",Release_Calendar!$B$2:$B$755,$A5098)&gt;0,1,0))</f>
        <v>0</v>
      </c>
      <c r="O5098" s="16">
        <f>IF($A5098&lt;Notes!$B$5,"",IF(COUNTIFS(Release_Calendar!$A$2:$A$755,"NZ_LABOUR",Release_Calendar!$B$2:$B$755,$A5098)&gt;0,1,0))</f>
        <v>0</v>
      </c>
      <c r="P5098" s="16">
        <f t="shared" si="4"/>
        <v>1</v>
      </c>
    </row>
    <row r="5099" ht="15.75" customHeight="1">
      <c r="A5099" s="14">
        <v>43663.0</v>
      </c>
      <c r="B5099" s="15">
        <v>1.83</v>
      </c>
      <c r="C5099" s="15">
        <v>1.34</v>
      </c>
      <c r="D5099" s="15"/>
      <c r="E5099" s="15">
        <v>1.15</v>
      </c>
      <c r="F5099" s="15">
        <f t="shared" si="1"/>
        <v>-0.49</v>
      </c>
      <c r="G5099" s="15">
        <f t="shared" si="2"/>
        <v>1.34</v>
      </c>
      <c r="H5099" s="16">
        <v>0.0</v>
      </c>
      <c r="I5099" s="15">
        <f t="shared" si="3"/>
        <v>-0.49</v>
      </c>
      <c r="J5099" s="15">
        <v>13.97</v>
      </c>
      <c r="K5099" s="16">
        <f>IF(COUNTIFS(Release_Calendar!$A$2:$A$755,"US_CPI",Release_Calendar!$B$2:$B$755,$A5099)&gt;0,1,0)</f>
        <v>0</v>
      </c>
      <c r="L5099" s="16">
        <f>IF(COUNTIFS(Release_Calendar!$A$2:$A$755,"US_NFP",Release_Calendar!$B$2:$B$755,$A5099)&gt;0,1,0)</f>
        <v>0</v>
      </c>
      <c r="M5099" s="16">
        <f>IF($A5099&lt;Notes!$B$5,"",IF(COUNTIFS(Release_Calendar!$A$2:$A$755,"NZ_CPI",Release_Calendar!$B$2:$B$755,$A5099)&gt;0,1,0))</f>
        <v>0</v>
      </c>
      <c r="N5099" s="16">
        <f>IF($A5099&lt;Notes!$B$5,"",IF(COUNTIFS(Release_Calendar!$A$2:$A$755,"NZ_GDP",Release_Calendar!$B$2:$B$755,$A5099)&gt;0,1,0))</f>
        <v>0</v>
      </c>
      <c r="O5099" s="16">
        <f>IF($A5099&lt;Notes!$B$5,"",IF(COUNTIFS(Release_Calendar!$A$2:$A$755,"NZ_LABOUR",Release_Calendar!$B$2:$B$755,$A5099)&gt;0,1,0))</f>
        <v>0</v>
      </c>
      <c r="P5099" s="16">
        <f t="shared" si="4"/>
        <v>0</v>
      </c>
    </row>
    <row r="5100" ht="15.75" customHeight="1">
      <c r="A5100" s="14">
        <v>43664.0</v>
      </c>
      <c r="B5100" s="15">
        <v>1.77</v>
      </c>
      <c r="C5100" s="15">
        <v>1.33</v>
      </c>
      <c r="D5100" s="15"/>
      <c r="E5100" s="15">
        <v>1.13</v>
      </c>
      <c r="F5100" s="15">
        <f t="shared" si="1"/>
        <v>-0.44</v>
      </c>
      <c r="G5100" s="15">
        <f t="shared" si="2"/>
        <v>1.33</v>
      </c>
      <c r="H5100" s="16">
        <v>0.0</v>
      </c>
      <c r="I5100" s="15">
        <f t="shared" si="3"/>
        <v>-0.44</v>
      </c>
      <c r="J5100" s="15">
        <v>13.53</v>
      </c>
      <c r="K5100" s="16">
        <f>IF(COUNTIFS(Release_Calendar!$A$2:$A$755,"US_CPI",Release_Calendar!$B$2:$B$755,$A5100)&gt;0,1,0)</f>
        <v>0</v>
      </c>
      <c r="L5100" s="16">
        <f>IF(COUNTIFS(Release_Calendar!$A$2:$A$755,"US_NFP",Release_Calendar!$B$2:$B$755,$A5100)&gt;0,1,0)</f>
        <v>0</v>
      </c>
      <c r="M5100" s="16">
        <f>IF($A5100&lt;Notes!$B$5,"",IF(COUNTIFS(Release_Calendar!$A$2:$A$755,"NZ_CPI",Release_Calendar!$B$2:$B$755,$A5100)&gt;0,1,0))</f>
        <v>0</v>
      </c>
      <c r="N5100" s="16">
        <f>IF($A5100&lt;Notes!$B$5,"",IF(COUNTIFS(Release_Calendar!$A$2:$A$755,"NZ_GDP",Release_Calendar!$B$2:$B$755,$A5100)&gt;0,1,0))</f>
        <v>0</v>
      </c>
      <c r="O5100" s="16">
        <f>IF($A5100&lt;Notes!$B$5,"",IF(COUNTIFS(Release_Calendar!$A$2:$A$755,"NZ_LABOUR",Release_Calendar!$B$2:$B$755,$A5100)&gt;0,1,0))</f>
        <v>0</v>
      </c>
      <c r="P5100" s="16">
        <f t="shared" si="4"/>
        <v>0</v>
      </c>
    </row>
    <row r="5101" ht="15.75" customHeight="1">
      <c r="A5101" s="14">
        <v>43665.0</v>
      </c>
      <c r="B5101" s="15">
        <v>1.8</v>
      </c>
      <c r="C5101" s="15">
        <v>1.33</v>
      </c>
      <c r="D5101" s="15"/>
      <c r="E5101" s="15">
        <v>1.13</v>
      </c>
      <c r="F5101" s="15">
        <f t="shared" si="1"/>
        <v>-0.47</v>
      </c>
      <c r="G5101" s="15">
        <f t="shared" si="2"/>
        <v>1.33</v>
      </c>
      <c r="H5101" s="16">
        <v>0.0</v>
      </c>
      <c r="I5101" s="15">
        <f t="shared" si="3"/>
        <v>-0.47</v>
      </c>
      <c r="J5101" s="15">
        <v>14.45</v>
      </c>
      <c r="K5101" s="16">
        <f>IF(COUNTIFS(Release_Calendar!$A$2:$A$755,"US_CPI",Release_Calendar!$B$2:$B$755,$A5101)&gt;0,1,0)</f>
        <v>0</v>
      </c>
      <c r="L5101" s="16">
        <f>IF(COUNTIFS(Release_Calendar!$A$2:$A$755,"US_NFP",Release_Calendar!$B$2:$B$755,$A5101)&gt;0,1,0)</f>
        <v>0</v>
      </c>
      <c r="M5101" s="16">
        <f>IF($A5101&lt;Notes!$B$5,"",IF(COUNTIFS(Release_Calendar!$A$2:$A$755,"NZ_CPI",Release_Calendar!$B$2:$B$755,$A5101)&gt;0,1,0))</f>
        <v>0</v>
      </c>
      <c r="N5101" s="16">
        <f>IF($A5101&lt;Notes!$B$5,"",IF(COUNTIFS(Release_Calendar!$A$2:$A$755,"NZ_GDP",Release_Calendar!$B$2:$B$755,$A5101)&gt;0,1,0))</f>
        <v>0</v>
      </c>
      <c r="O5101" s="16">
        <f>IF($A5101&lt;Notes!$B$5,"",IF(COUNTIFS(Release_Calendar!$A$2:$A$755,"NZ_LABOUR",Release_Calendar!$B$2:$B$755,$A5101)&gt;0,1,0))</f>
        <v>0</v>
      </c>
      <c r="P5101" s="16">
        <f t="shared" si="4"/>
        <v>0</v>
      </c>
    </row>
    <row r="5102" ht="15.75" customHeight="1">
      <c r="A5102" s="14">
        <v>43668.0</v>
      </c>
      <c r="B5102" s="15">
        <v>1.8</v>
      </c>
      <c r="C5102" s="15">
        <v>1.32</v>
      </c>
      <c r="D5102" s="15"/>
      <c r="E5102" s="15">
        <v>1.13</v>
      </c>
      <c r="F5102" s="15">
        <f t="shared" si="1"/>
        <v>-0.48</v>
      </c>
      <c r="G5102" s="15">
        <f t="shared" si="2"/>
        <v>1.32</v>
      </c>
      <c r="H5102" s="16">
        <v>0.0</v>
      </c>
      <c r="I5102" s="15">
        <f t="shared" si="3"/>
        <v>-0.48</v>
      </c>
      <c r="J5102" s="15">
        <v>13.53</v>
      </c>
      <c r="K5102" s="16">
        <f>IF(COUNTIFS(Release_Calendar!$A$2:$A$755,"US_CPI",Release_Calendar!$B$2:$B$755,$A5102)&gt;0,1,0)</f>
        <v>0</v>
      </c>
      <c r="L5102" s="16">
        <f>IF(COUNTIFS(Release_Calendar!$A$2:$A$755,"US_NFP",Release_Calendar!$B$2:$B$755,$A5102)&gt;0,1,0)</f>
        <v>0</v>
      </c>
      <c r="M5102" s="16">
        <f>IF($A5102&lt;Notes!$B$5,"",IF(COUNTIFS(Release_Calendar!$A$2:$A$755,"NZ_CPI",Release_Calendar!$B$2:$B$755,$A5102)&gt;0,1,0))</f>
        <v>0</v>
      </c>
      <c r="N5102" s="16">
        <f>IF($A5102&lt;Notes!$B$5,"",IF(COUNTIFS(Release_Calendar!$A$2:$A$755,"NZ_GDP",Release_Calendar!$B$2:$B$755,$A5102)&gt;0,1,0))</f>
        <v>0</v>
      </c>
      <c r="O5102" s="16">
        <f>IF($A5102&lt;Notes!$B$5,"",IF(COUNTIFS(Release_Calendar!$A$2:$A$755,"NZ_LABOUR",Release_Calendar!$B$2:$B$755,$A5102)&gt;0,1,0))</f>
        <v>0</v>
      </c>
      <c r="P5102" s="16">
        <f t="shared" si="4"/>
        <v>0</v>
      </c>
    </row>
    <row r="5103" ht="15.75" customHeight="1">
      <c r="A5103" s="14">
        <v>43669.0</v>
      </c>
      <c r="B5103" s="15">
        <v>1.83</v>
      </c>
      <c r="C5103" s="15">
        <v>1.31</v>
      </c>
      <c r="D5103" s="15"/>
      <c r="E5103" s="15">
        <v>1.11</v>
      </c>
      <c r="F5103" s="15">
        <f t="shared" si="1"/>
        <v>-0.52</v>
      </c>
      <c r="G5103" s="15">
        <f t="shared" si="2"/>
        <v>1.31</v>
      </c>
      <c r="H5103" s="16">
        <v>0.0</v>
      </c>
      <c r="I5103" s="15">
        <f t="shared" si="3"/>
        <v>-0.52</v>
      </c>
      <c r="J5103" s="15">
        <v>12.61</v>
      </c>
      <c r="K5103" s="16">
        <f>IF(COUNTIFS(Release_Calendar!$A$2:$A$755,"US_CPI",Release_Calendar!$B$2:$B$755,$A5103)&gt;0,1,0)</f>
        <v>0</v>
      </c>
      <c r="L5103" s="16">
        <f>IF(COUNTIFS(Release_Calendar!$A$2:$A$755,"US_NFP",Release_Calendar!$B$2:$B$755,$A5103)&gt;0,1,0)</f>
        <v>0</v>
      </c>
      <c r="M5103" s="16">
        <f>IF($A5103&lt;Notes!$B$5,"",IF(COUNTIFS(Release_Calendar!$A$2:$A$755,"NZ_CPI",Release_Calendar!$B$2:$B$755,$A5103)&gt;0,1,0))</f>
        <v>0</v>
      </c>
      <c r="N5103" s="16">
        <f>IF($A5103&lt;Notes!$B$5,"",IF(COUNTIFS(Release_Calendar!$A$2:$A$755,"NZ_GDP",Release_Calendar!$B$2:$B$755,$A5103)&gt;0,1,0))</f>
        <v>0</v>
      </c>
      <c r="O5103" s="16">
        <f>IF($A5103&lt;Notes!$B$5,"",IF(COUNTIFS(Release_Calendar!$A$2:$A$755,"NZ_LABOUR",Release_Calendar!$B$2:$B$755,$A5103)&gt;0,1,0))</f>
        <v>0</v>
      </c>
      <c r="P5103" s="16">
        <f t="shared" si="4"/>
        <v>0</v>
      </c>
    </row>
    <row r="5104" ht="15.75" customHeight="1">
      <c r="A5104" s="14">
        <v>43670.0</v>
      </c>
      <c r="B5104" s="15">
        <v>1.83</v>
      </c>
      <c r="C5104" s="15">
        <v>1.3</v>
      </c>
      <c r="D5104" s="15"/>
      <c r="E5104" s="15">
        <v>1.11</v>
      </c>
      <c r="F5104" s="15">
        <f t="shared" si="1"/>
        <v>-0.53</v>
      </c>
      <c r="G5104" s="15">
        <f t="shared" si="2"/>
        <v>1.3</v>
      </c>
      <c r="H5104" s="16">
        <v>0.0</v>
      </c>
      <c r="I5104" s="15">
        <f t="shared" si="3"/>
        <v>-0.53</v>
      </c>
      <c r="J5104" s="15">
        <v>12.07</v>
      </c>
      <c r="K5104" s="16">
        <f>IF(COUNTIFS(Release_Calendar!$A$2:$A$755,"US_CPI",Release_Calendar!$B$2:$B$755,$A5104)&gt;0,1,0)</f>
        <v>0</v>
      </c>
      <c r="L5104" s="16">
        <f>IF(COUNTIFS(Release_Calendar!$A$2:$A$755,"US_NFP",Release_Calendar!$B$2:$B$755,$A5104)&gt;0,1,0)</f>
        <v>0</v>
      </c>
      <c r="M5104" s="16">
        <f>IF($A5104&lt;Notes!$B$5,"",IF(COUNTIFS(Release_Calendar!$A$2:$A$755,"NZ_CPI",Release_Calendar!$B$2:$B$755,$A5104)&gt;0,1,0))</f>
        <v>0</v>
      </c>
      <c r="N5104" s="16">
        <f>IF($A5104&lt;Notes!$B$5,"",IF(COUNTIFS(Release_Calendar!$A$2:$A$755,"NZ_GDP",Release_Calendar!$B$2:$B$755,$A5104)&gt;0,1,0))</f>
        <v>0</v>
      </c>
      <c r="O5104" s="16">
        <f>IF($A5104&lt;Notes!$B$5,"",IF(COUNTIFS(Release_Calendar!$A$2:$A$755,"NZ_LABOUR",Release_Calendar!$B$2:$B$755,$A5104)&gt;0,1,0))</f>
        <v>0</v>
      </c>
      <c r="P5104" s="16">
        <f t="shared" si="4"/>
        <v>0</v>
      </c>
    </row>
    <row r="5105" ht="15.75" customHeight="1">
      <c r="A5105" s="14">
        <v>43671.0</v>
      </c>
      <c r="B5105" s="15">
        <v>1.86</v>
      </c>
      <c r="C5105" s="15">
        <v>1.27</v>
      </c>
      <c r="D5105" s="15"/>
      <c r="E5105" s="15">
        <v>1.08</v>
      </c>
      <c r="F5105" s="15">
        <f t="shared" si="1"/>
        <v>-0.59</v>
      </c>
      <c r="G5105" s="15">
        <f t="shared" si="2"/>
        <v>1.27</v>
      </c>
      <c r="H5105" s="16">
        <v>0.0</v>
      </c>
      <c r="I5105" s="15">
        <f t="shared" si="3"/>
        <v>-0.59</v>
      </c>
      <c r="J5105" s="15">
        <v>12.74</v>
      </c>
      <c r="K5105" s="16">
        <f>IF(COUNTIFS(Release_Calendar!$A$2:$A$755,"US_CPI",Release_Calendar!$B$2:$B$755,$A5105)&gt;0,1,0)</f>
        <v>0</v>
      </c>
      <c r="L5105" s="16">
        <f>IF(COUNTIFS(Release_Calendar!$A$2:$A$755,"US_NFP",Release_Calendar!$B$2:$B$755,$A5105)&gt;0,1,0)</f>
        <v>0</v>
      </c>
      <c r="M5105" s="16">
        <f>IF($A5105&lt;Notes!$B$5,"",IF(COUNTIFS(Release_Calendar!$A$2:$A$755,"NZ_CPI",Release_Calendar!$B$2:$B$755,$A5105)&gt;0,1,0))</f>
        <v>0</v>
      </c>
      <c r="N5105" s="16">
        <f>IF($A5105&lt;Notes!$B$5,"",IF(COUNTIFS(Release_Calendar!$A$2:$A$755,"NZ_GDP",Release_Calendar!$B$2:$B$755,$A5105)&gt;0,1,0))</f>
        <v>0</v>
      </c>
      <c r="O5105" s="16">
        <f>IF($A5105&lt;Notes!$B$5,"",IF(COUNTIFS(Release_Calendar!$A$2:$A$755,"NZ_LABOUR",Release_Calendar!$B$2:$B$755,$A5105)&gt;0,1,0))</f>
        <v>0</v>
      </c>
      <c r="P5105" s="16">
        <f t="shared" si="4"/>
        <v>0</v>
      </c>
    </row>
    <row r="5106" ht="15.75" customHeight="1">
      <c r="A5106" s="14">
        <v>43672.0</v>
      </c>
      <c r="B5106" s="15">
        <v>1.86</v>
      </c>
      <c r="C5106" s="15">
        <v>1.26</v>
      </c>
      <c r="D5106" s="15"/>
      <c r="E5106" s="15">
        <v>1.06</v>
      </c>
      <c r="F5106" s="15">
        <f t="shared" si="1"/>
        <v>-0.6</v>
      </c>
      <c r="G5106" s="15">
        <f t="shared" si="2"/>
        <v>1.26</v>
      </c>
      <c r="H5106" s="16">
        <v>0.0</v>
      </c>
      <c r="I5106" s="15">
        <f t="shared" si="3"/>
        <v>-0.6</v>
      </c>
      <c r="J5106" s="15">
        <v>12.16</v>
      </c>
      <c r="K5106" s="16">
        <f>IF(COUNTIFS(Release_Calendar!$A$2:$A$755,"US_CPI",Release_Calendar!$B$2:$B$755,$A5106)&gt;0,1,0)</f>
        <v>0</v>
      </c>
      <c r="L5106" s="16">
        <f>IF(COUNTIFS(Release_Calendar!$A$2:$A$755,"US_NFP",Release_Calendar!$B$2:$B$755,$A5106)&gt;0,1,0)</f>
        <v>0</v>
      </c>
      <c r="M5106" s="16">
        <f>IF($A5106&lt;Notes!$B$5,"",IF(COUNTIFS(Release_Calendar!$A$2:$A$755,"NZ_CPI",Release_Calendar!$B$2:$B$755,$A5106)&gt;0,1,0))</f>
        <v>0</v>
      </c>
      <c r="N5106" s="16">
        <f>IF($A5106&lt;Notes!$B$5,"",IF(COUNTIFS(Release_Calendar!$A$2:$A$755,"NZ_GDP",Release_Calendar!$B$2:$B$755,$A5106)&gt;0,1,0))</f>
        <v>0</v>
      </c>
      <c r="O5106" s="16">
        <f>IF($A5106&lt;Notes!$B$5,"",IF(COUNTIFS(Release_Calendar!$A$2:$A$755,"NZ_LABOUR",Release_Calendar!$B$2:$B$755,$A5106)&gt;0,1,0))</f>
        <v>0</v>
      </c>
      <c r="P5106" s="16">
        <f t="shared" si="4"/>
        <v>0</v>
      </c>
    </row>
    <row r="5107" ht="15.75" customHeight="1">
      <c r="A5107" s="14">
        <v>43675.0</v>
      </c>
      <c r="B5107" s="15">
        <v>1.85</v>
      </c>
      <c r="C5107" s="15">
        <v>1.24</v>
      </c>
      <c r="D5107" s="15"/>
      <c r="E5107" s="15">
        <v>1.04</v>
      </c>
      <c r="F5107" s="15">
        <f t="shared" si="1"/>
        <v>-0.61</v>
      </c>
      <c r="G5107" s="15">
        <f t="shared" si="2"/>
        <v>1.24</v>
      </c>
      <c r="H5107" s="16">
        <v>0.0</v>
      </c>
      <c r="I5107" s="15">
        <f t="shared" si="3"/>
        <v>-0.61</v>
      </c>
      <c r="J5107" s="15">
        <v>12.83</v>
      </c>
      <c r="K5107" s="16">
        <f>IF(COUNTIFS(Release_Calendar!$A$2:$A$755,"US_CPI",Release_Calendar!$B$2:$B$755,$A5107)&gt;0,1,0)</f>
        <v>0</v>
      </c>
      <c r="L5107" s="16">
        <f>IF(COUNTIFS(Release_Calendar!$A$2:$A$755,"US_NFP",Release_Calendar!$B$2:$B$755,$A5107)&gt;0,1,0)</f>
        <v>0</v>
      </c>
      <c r="M5107" s="16">
        <f>IF($A5107&lt;Notes!$B$5,"",IF(COUNTIFS(Release_Calendar!$A$2:$A$755,"NZ_CPI",Release_Calendar!$B$2:$B$755,$A5107)&gt;0,1,0))</f>
        <v>0</v>
      </c>
      <c r="N5107" s="16">
        <f>IF($A5107&lt;Notes!$B$5,"",IF(COUNTIFS(Release_Calendar!$A$2:$A$755,"NZ_GDP",Release_Calendar!$B$2:$B$755,$A5107)&gt;0,1,0))</f>
        <v>0</v>
      </c>
      <c r="O5107" s="16">
        <f>IF($A5107&lt;Notes!$B$5,"",IF(COUNTIFS(Release_Calendar!$A$2:$A$755,"NZ_LABOUR",Release_Calendar!$B$2:$B$755,$A5107)&gt;0,1,0))</f>
        <v>0</v>
      </c>
      <c r="P5107" s="16">
        <f t="shared" si="4"/>
        <v>0</v>
      </c>
    </row>
    <row r="5108" ht="15.75" customHeight="1">
      <c r="A5108" s="14">
        <v>43676.0</v>
      </c>
      <c r="B5108" s="15">
        <v>1.85</v>
      </c>
      <c r="C5108" s="15">
        <v>1.24</v>
      </c>
      <c r="D5108" s="15"/>
      <c r="E5108" s="15">
        <v>1.04</v>
      </c>
      <c r="F5108" s="15">
        <f t="shared" si="1"/>
        <v>-0.61</v>
      </c>
      <c r="G5108" s="15">
        <f t="shared" si="2"/>
        <v>1.24</v>
      </c>
      <c r="H5108" s="16">
        <v>0.0</v>
      </c>
      <c r="I5108" s="15">
        <f t="shared" si="3"/>
        <v>-0.61</v>
      </c>
      <c r="J5108" s="15">
        <v>13.94</v>
      </c>
      <c r="K5108" s="16">
        <f>IF(COUNTIFS(Release_Calendar!$A$2:$A$755,"US_CPI",Release_Calendar!$B$2:$B$755,$A5108)&gt;0,1,0)</f>
        <v>0</v>
      </c>
      <c r="L5108" s="16">
        <f>IF(COUNTIFS(Release_Calendar!$A$2:$A$755,"US_NFP",Release_Calendar!$B$2:$B$755,$A5108)&gt;0,1,0)</f>
        <v>0</v>
      </c>
      <c r="M5108" s="16">
        <f>IF($A5108&lt;Notes!$B$5,"",IF(COUNTIFS(Release_Calendar!$A$2:$A$755,"NZ_CPI",Release_Calendar!$B$2:$B$755,$A5108)&gt;0,1,0))</f>
        <v>0</v>
      </c>
      <c r="N5108" s="16">
        <f>IF($A5108&lt;Notes!$B$5,"",IF(COUNTIFS(Release_Calendar!$A$2:$A$755,"NZ_GDP",Release_Calendar!$B$2:$B$755,$A5108)&gt;0,1,0))</f>
        <v>0</v>
      </c>
      <c r="O5108" s="16">
        <f>IF($A5108&lt;Notes!$B$5,"",IF(COUNTIFS(Release_Calendar!$A$2:$A$755,"NZ_LABOUR",Release_Calendar!$B$2:$B$755,$A5108)&gt;0,1,0))</f>
        <v>0</v>
      </c>
      <c r="P5108" s="16">
        <f t="shared" si="4"/>
        <v>0</v>
      </c>
    </row>
    <row r="5109" ht="15.75" customHeight="1">
      <c r="A5109" s="14">
        <v>43677.0</v>
      </c>
      <c r="B5109" s="15">
        <v>1.89</v>
      </c>
      <c r="C5109" s="15">
        <v>1.23</v>
      </c>
      <c r="D5109" s="15"/>
      <c r="E5109" s="15">
        <v>1.02</v>
      </c>
      <c r="F5109" s="15">
        <f t="shared" si="1"/>
        <v>-0.66</v>
      </c>
      <c r="G5109" s="15">
        <f t="shared" si="2"/>
        <v>1.23</v>
      </c>
      <c r="H5109" s="16">
        <v>0.0</v>
      </c>
      <c r="I5109" s="15">
        <f t="shared" si="3"/>
        <v>-0.66</v>
      </c>
      <c r="J5109" s="15">
        <v>16.12</v>
      </c>
      <c r="K5109" s="16">
        <f>IF(COUNTIFS(Release_Calendar!$A$2:$A$755,"US_CPI",Release_Calendar!$B$2:$B$755,$A5109)&gt;0,1,0)</f>
        <v>0</v>
      </c>
      <c r="L5109" s="16">
        <f>IF(COUNTIFS(Release_Calendar!$A$2:$A$755,"US_NFP",Release_Calendar!$B$2:$B$755,$A5109)&gt;0,1,0)</f>
        <v>0</v>
      </c>
      <c r="M5109" s="16">
        <f>IF($A5109&lt;Notes!$B$5,"",IF(COUNTIFS(Release_Calendar!$A$2:$A$755,"NZ_CPI",Release_Calendar!$B$2:$B$755,$A5109)&gt;0,1,0))</f>
        <v>0</v>
      </c>
      <c r="N5109" s="16">
        <f>IF($A5109&lt;Notes!$B$5,"",IF(COUNTIFS(Release_Calendar!$A$2:$A$755,"NZ_GDP",Release_Calendar!$B$2:$B$755,$A5109)&gt;0,1,0))</f>
        <v>0</v>
      </c>
      <c r="O5109" s="16">
        <f>IF($A5109&lt;Notes!$B$5,"",IF(COUNTIFS(Release_Calendar!$A$2:$A$755,"NZ_LABOUR",Release_Calendar!$B$2:$B$755,$A5109)&gt;0,1,0))</f>
        <v>0</v>
      </c>
      <c r="P5109" s="16">
        <f t="shared" si="4"/>
        <v>0</v>
      </c>
    </row>
    <row r="5110" ht="15.75" customHeight="1">
      <c r="A5110" s="14">
        <v>43678.0</v>
      </c>
      <c r="B5110" s="15">
        <v>1.73</v>
      </c>
      <c r="C5110" s="15">
        <v>1.25</v>
      </c>
      <c r="D5110" s="15"/>
      <c r="E5110" s="15">
        <v>1.03</v>
      </c>
      <c r="F5110" s="15">
        <f t="shared" si="1"/>
        <v>-0.48</v>
      </c>
      <c r="G5110" s="15">
        <f t="shared" si="2"/>
        <v>1.25</v>
      </c>
      <c r="H5110" s="16">
        <v>0.0</v>
      </c>
      <c r="I5110" s="15">
        <f t="shared" si="3"/>
        <v>-0.48</v>
      </c>
      <c r="J5110" s="15">
        <v>17.87</v>
      </c>
      <c r="K5110" s="16">
        <f>IF(COUNTIFS(Release_Calendar!$A$2:$A$755,"US_CPI",Release_Calendar!$B$2:$B$755,$A5110)&gt;0,1,0)</f>
        <v>0</v>
      </c>
      <c r="L5110" s="16">
        <f>IF(COUNTIFS(Release_Calendar!$A$2:$A$755,"US_NFP",Release_Calendar!$B$2:$B$755,$A5110)&gt;0,1,0)</f>
        <v>0</v>
      </c>
      <c r="M5110" s="16">
        <f>IF($A5110&lt;Notes!$B$5,"",IF(COUNTIFS(Release_Calendar!$A$2:$A$755,"NZ_CPI",Release_Calendar!$B$2:$B$755,$A5110)&gt;0,1,0))</f>
        <v>0</v>
      </c>
      <c r="N5110" s="16">
        <f>IF($A5110&lt;Notes!$B$5,"",IF(COUNTIFS(Release_Calendar!$A$2:$A$755,"NZ_GDP",Release_Calendar!$B$2:$B$755,$A5110)&gt;0,1,0))</f>
        <v>0</v>
      </c>
      <c r="O5110" s="16">
        <f>IF($A5110&lt;Notes!$B$5,"",IF(COUNTIFS(Release_Calendar!$A$2:$A$755,"NZ_LABOUR",Release_Calendar!$B$2:$B$755,$A5110)&gt;0,1,0))</f>
        <v>0</v>
      </c>
      <c r="P5110" s="16">
        <f t="shared" si="4"/>
        <v>0</v>
      </c>
    </row>
    <row r="5111" ht="15.75" customHeight="1">
      <c r="A5111" s="14">
        <v>43679.0</v>
      </c>
      <c r="B5111" s="15">
        <v>1.72</v>
      </c>
      <c r="C5111" s="15">
        <v>1.2</v>
      </c>
      <c r="D5111" s="15"/>
      <c r="E5111" s="15">
        <v>0.99</v>
      </c>
      <c r="F5111" s="15">
        <f t="shared" si="1"/>
        <v>-0.52</v>
      </c>
      <c r="G5111" s="15">
        <f t="shared" si="2"/>
        <v>1.2</v>
      </c>
      <c r="H5111" s="16">
        <v>0.0</v>
      </c>
      <c r="I5111" s="15">
        <f t="shared" si="3"/>
        <v>-0.52</v>
      </c>
      <c r="J5111" s="15">
        <v>17.61</v>
      </c>
      <c r="K5111" s="16">
        <f>IF(COUNTIFS(Release_Calendar!$A$2:$A$755,"US_CPI",Release_Calendar!$B$2:$B$755,$A5111)&gt;0,1,0)</f>
        <v>0</v>
      </c>
      <c r="L5111" s="16">
        <f>IF(COUNTIFS(Release_Calendar!$A$2:$A$755,"US_NFP",Release_Calendar!$B$2:$B$755,$A5111)&gt;0,1,0)</f>
        <v>1</v>
      </c>
      <c r="M5111" s="16">
        <f>IF($A5111&lt;Notes!$B$5,"",IF(COUNTIFS(Release_Calendar!$A$2:$A$755,"NZ_CPI",Release_Calendar!$B$2:$B$755,$A5111)&gt;0,1,0))</f>
        <v>0</v>
      </c>
      <c r="N5111" s="16">
        <f>IF($A5111&lt;Notes!$B$5,"",IF(COUNTIFS(Release_Calendar!$A$2:$A$755,"NZ_GDP",Release_Calendar!$B$2:$B$755,$A5111)&gt;0,1,0))</f>
        <v>0</v>
      </c>
      <c r="O5111" s="16">
        <f>IF($A5111&lt;Notes!$B$5,"",IF(COUNTIFS(Release_Calendar!$A$2:$A$755,"NZ_LABOUR",Release_Calendar!$B$2:$B$755,$A5111)&gt;0,1,0))</f>
        <v>0</v>
      </c>
      <c r="P5111" s="16">
        <f t="shared" si="4"/>
        <v>1</v>
      </c>
    </row>
    <row r="5112" ht="15.75" customHeight="1">
      <c r="A5112" s="14">
        <v>43682.0</v>
      </c>
      <c r="B5112" s="15">
        <v>1.59</v>
      </c>
      <c r="C5112" s="15">
        <v>1.17</v>
      </c>
      <c r="D5112" s="15"/>
      <c r="E5112" s="15">
        <v>0.94</v>
      </c>
      <c r="F5112" s="15">
        <f t="shared" si="1"/>
        <v>-0.42</v>
      </c>
      <c r="G5112" s="15">
        <f t="shared" si="2"/>
        <v>1.17</v>
      </c>
      <c r="H5112" s="16">
        <v>0.0</v>
      </c>
      <c r="I5112" s="15">
        <f t="shared" si="3"/>
        <v>-0.42</v>
      </c>
      <c r="J5112" s="15">
        <v>24.59</v>
      </c>
      <c r="K5112" s="16">
        <f>IF(COUNTIFS(Release_Calendar!$A$2:$A$755,"US_CPI",Release_Calendar!$B$2:$B$755,$A5112)&gt;0,1,0)</f>
        <v>0</v>
      </c>
      <c r="L5112" s="16">
        <f>IF(COUNTIFS(Release_Calendar!$A$2:$A$755,"US_NFP",Release_Calendar!$B$2:$B$755,$A5112)&gt;0,1,0)</f>
        <v>0</v>
      </c>
      <c r="M5112" s="16">
        <f>IF($A5112&lt;Notes!$B$5,"",IF(COUNTIFS(Release_Calendar!$A$2:$A$755,"NZ_CPI",Release_Calendar!$B$2:$B$755,$A5112)&gt;0,1,0))</f>
        <v>0</v>
      </c>
      <c r="N5112" s="16">
        <f>IF($A5112&lt;Notes!$B$5,"",IF(COUNTIFS(Release_Calendar!$A$2:$A$755,"NZ_GDP",Release_Calendar!$B$2:$B$755,$A5112)&gt;0,1,0))</f>
        <v>0</v>
      </c>
      <c r="O5112" s="16">
        <f>IF($A5112&lt;Notes!$B$5,"",IF(COUNTIFS(Release_Calendar!$A$2:$A$755,"NZ_LABOUR",Release_Calendar!$B$2:$B$755,$A5112)&gt;0,1,0))</f>
        <v>0</v>
      </c>
      <c r="P5112" s="16">
        <f t="shared" si="4"/>
        <v>0</v>
      </c>
    </row>
    <row r="5113" ht="15.75" customHeight="1">
      <c r="A5113" s="14">
        <v>43683.0</v>
      </c>
      <c r="B5113" s="15">
        <v>1.6</v>
      </c>
      <c r="C5113" s="15">
        <v>1.18</v>
      </c>
      <c r="D5113" s="15"/>
      <c r="E5113" s="15">
        <v>0.97</v>
      </c>
      <c r="F5113" s="15">
        <f t="shared" si="1"/>
        <v>-0.42</v>
      </c>
      <c r="G5113" s="15">
        <f t="shared" si="2"/>
        <v>1.18</v>
      </c>
      <c r="H5113" s="16">
        <v>0.0</v>
      </c>
      <c r="I5113" s="15">
        <f t="shared" si="3"/>
        <v>-0.42</v>
      </c>
      <c r="J5113" s="15">
        <v>20.17</v>
      </c>
      <c r="K5113" s="16">
        <f>IF(COUNTIFS(Release_Calendar!$A$2:$A$755,"US_CPI",Release_Calendar!$B$2:$B$755,$A5113)&gt;0,1,0)</f>
        <v>0</v>
      </c>
      <c r="L5113" s="16">
        <f>IF(COUNTIFS(Release_Calendar!$A$2:$A$755,"US_NFP",Release_Calendar!$B$2:$B$755,$A5113)&gt;0,1,0)</f>
        <v>0</v>
      </c>
      <c r="M5113" s="16">
        <f>IF($A5113&lt;Notes!$B$5,"",IF(COUNTIFS(Release_Calendar!$A$2:$A$755,"NZ_CPI",Release_Calendar!$B$2:$B$755,$A5113)&gt;0,1,0))</f>
        <v>0</v>
      </c>
      <c r="N5113" s="16">
        <f>IF($A5113&lt;Notes!$B$5,"",IF(COUNTIFS(Release_Calendar!$A$2:$A$755,"NZ_GDP",Release_Calendar!$B$2:$B$755,$A5113)&gt;0,1,0))</f>
        <v>0</v>
      </c>
      <c r="O5113" s="16">
        <f>IF($A5113&lt;Notes!$B$5,"",IF(COUNTIFS(Release_Calendar!$A$2:$A$755,"NZ_LABOUR",Release_Calendar!$B$2:$B$755,$A5113)&gt;0,1,0))</f>
        <v>1</v>
      </c>
      <c r="P5113" s="16">
        <f t="shared" si="4"/>
        <v>1</v>
      </c>
    </row>
    <row r="5114" ht="15.75" customHeight="1">
      <c r="A5114" s="14">
        <v>43684.0</v>
      </c>
      <c r="B5114" s="15">
        <v>1.59</v>
      </c>
      <c r="C5114" s="15">
        <v>1.0</v>
      </c>
      <c r="D5114" s="15"/>
      <c r="E5114" s="15">
        <v>0.8</v>
      </c>
      <c r="F5114" s="15">
        <f t="shared" si="1"/>
        <v>-0.59</v>
      </c>
      <c r="G5114" s="15">
        <f t="shared" si="2"/>
        <v>1</v>
      </c>
      <c r="H5114" s="16">
        <v>0.0</v>
      </c>
      <c r="I5114" s="15">
        <f t="shared" si="3"/>
        <v>-0.59</v>
      </c>
      <c r="J5114" s="15">
        <v>19.49</v>
      </c>
      <c r="K5114" s="16">
        <f>IF(COUNTIFS(Release_Calendar!$A$2:$A$755,"US_CPI",Release_Calendar!$B$2:$B$755,$A5114)&gt;0,1,0)</f>
        <v>0</v>
      </c>
      <c r="L5114" s="16">
        <f>IF(COUNTIFS(Release_Calendar!$A$2:$A$755,"US_NFP",Release_Calendar!$B$2:$B$755,$A5114)&gt;0,1,0)</f>
        <v>0</v>
      </c>
      <c r="M5114" s="16">
        <f>IF($A5114&lt;Notes!$B$5,"",IF(COUNTIFS(Release_Calendar!$A$2:$A$755,"NZ_CPI",Release_Calendar!$B$2:$B$755,$A5114)&gt;0,1,0))</f>
        <v>0</v>
      </c>
      <c r="N5114" s="16">
        <f>IF($A5114&lt;Notes!$B$5,"",IF(COUNTIFS(Release_Calendar!$A$2:$A$755,"NZ_GDP",Release_Calendar!$B$2:$B$755,$A5114)&gt;0,1,0))</f>
        <v>0</v>
      </c>
      <c r="O5114" s="16">
        <f>IF($A5114&lt;Notes!$B$5,"",IF(COUNTIFS(Release_Calendar!$A$2:$A$755,"NZ_LABOUR",Release_Calendar!$B$2:$B$755,$A5114)&gt;0,1,0))</f>
        <v>0</v>
      </c>
      <c r="P5114" s="16">
        <f t="shared" si="4"/>
        <v>0</v>
      </c>
    </row>
    <row r="5115" ht="15.75" customHeight="1">
      <c r="A5115" s="14">
        <v>43685.0</v>
      </c>
      <c r="B5115" s="15">
        <v>1.62</v>
      </c>
      <c r="C5115" s="15">
        <v>0.97</v>
      </c>
      <c r="D5115" s="15"/>
      <c r="E5115" s="15">
        <v>0.76</v>
      </c>
      <c r="F5115" s="15">
        <f t="shared" si="1"/>
        <v>-0.65</v>
      </c>
      <c r="G5115" s="15">
        <f t="shared" si="2"/>
        <v>0.97</v>
      </c>
      <c r="H5115" s="16">
        <v>0.0</v>
      </c>
      <c r="I5115" s="15">
        <f t="shared" si="3"/>
        <v>-0.65</v>
      </c>
      <c r="J5115" s="15">
        <v>16.91</v>
      </c>
      <c r="K5115" s="16">
        <f>IF(COUNTIFS(Release_Calendar!$A$2:$A$755,"US_CPI",Release_Calendar!$B$2:$B$755,$A5115)&gt;0,1,0)</f>
        <v>0</v>
      </c>
      <c r="L5115" s="16">
        <f>IF(COUNTIFS(Release_Calendar!$A$2:$A$755,"US_NFP",Release_Calendar!$B$2:$B$755,$A5115)&gt;0,1,0)</f>
        <v>0</v>
      </c>
      <c r="M5115" s="16">
        <f>IF($A5115&lt;Notes!$B$5,"",IF(COUNTIFS(Release_Calendar!$A$2:$A$755,"NZ_CPI",Release_Calendar!$B$2:$B$755,$A5115)&gt;0,1,0))</f>
        <v>0</v>
      </c>
      <c r="N5115" s="16">
        <f>IF($A5115&lt;Notes!$B$5,"",IF(COUNTIFS(Release_Calendar!$A$2:$A$755,"NZ_GDP",Release_Calendar!$B$2:$B$755,$A5115)&gt;0,1,0))</f>
        <v>0</v>
      </c>
      <c r="O5115" s="16">
        <f>IF($A5115&lt;Notes!$B$5,"",IF(COUNTIFS(Release_Calendar!$A$2:$A$755,"NZ_LABOUR",Release_Calendar!$B$2:$B$755,$A5115)&gt;0,1,0))</f>
        <v>0</v>
      </c>
      <c r="P5115" s="16">
        <f t="shared" si="4"/>
        <v>0</v>
      </c>
    </row>
    <row r="5116" ht="15.75" customHeight="1">
      <c r="A5116" s="14">
        <v>43686.0</v>
      </c>
      <c r="B5116" s="15">
        <v>1.63</v>
      </c>
      <c r="C5116" s="15">
        <v>0.98</v>
      </c>
      <c r="D5116" s="15"/>
      <c r="E5116" s="15">
        <v>0.78</v>
      </c>
      <c r="F5116" s="15">
        <f t="shared" si="1"/>
        <v>-0.65</v>
      </c>
      <c r="G5116" s="15">
        <f t="shared" si="2"/>
        <v>0.98</v>
      </c>
      <c r="H5116" s="16">
        <v>0.0</v>
      </c>
      <c r="I5116" s="15">
        <f t="shared" si="3"/>
        <v>-0.65</v>
      </c>
      <c r="J5116" s="15">
        <v>17.97</v>
      </c>
      <c r="K5116" s="16">
        <f>IF(COUNTIFS(Release_Calendar!$A$2:$A$755,"US_CPI",Release_Calendar!$B$2:$B$755,$A5116)&gt;0,1,0)</f>
        <v>0</v>
      </c>
      <c r="L5116" s="16">
        <f>IF(COUNTIFS(Release_Calendar!$A$2:$A$755,"US_NFP",Release_Calendar!$B$2:$B$755,$A5116)&gt;0,1,0)</f>
        <v>0</v>
      </c>
      <c r="M5116" s="16">
        <f>IF($A5116&lt;Notes!$B$5,"",IF(COUNTIFS(Release_Calendar!$A$2:$A$755,"NZ_CPI",Release_Calendar!$B$2:$B$755,$A5116)&gt;0,1,0))</f>
        <v>0</v>
      </c>
      <c r="N5116" s="16">
        <f>IF($A5116&lt;Notes!$B$5,"",IF(COUNTIFS(Release_Calendar!$A$2:$A$755,"NZ_GDP",Release_Calendar!$B$2:$B$755,$A5116)&gt;0,1,0))</f>
        <v>0</v>
      </c>
      <c r="O5116" s="16">
        <f>IF($A5116&lt;Notes!$B$5,"",IF(COUNTIFS(Release_Calendar!$A$2:$A$755,"NZ_LABOUR",Release_Calendar!$B$2:$B$755,$A5116)&gt;0,1,0))</f>
        <v>0</v>
      </c>
      <c r="P5116" s="16">
        <f t="shared" si="4"/>
        <v>0</v>
      </c>
    </row>
    <row r="5117" ht="15.75" customHeight="1">
      <c r="A5117" s="14">
        <v>43689.0</v>
      </c>
      <c r="B5117" s="15">
        <v>1.58</v>
      </c>
      <c r="C5117" s="15">
        <v>0.97</v>
      </c>
      <c r="D5117" s="15"/>
      <c r="E5117" s="15">
        <v>0.79</v>
      </c>
      <c r="F5117" s="15">
        <f t="shared" si="1"/>
        <v>-0.61</v>
      </c>
      <c r="G5117" s="15">
        <f t="shared" si="2"/>
        <v>0.97</v>
      </c>
      <c r="H5117" s="16">
        <v>0.0</v>
      </c>
      <c r="I5117" s="15">
        <f t="shared" si="3"/>
        <v>-0.61</v>
      </c>
      <c r="J5117" s="15">
        <v>21.09</v>
      </c>
      <c r="K5117" s="16">
        <f>IF(COUNTIFS(Release_Calendar!$A$2:$A$755,"US_CPI",Release_Calendar!$B$2:$B$755,$A5117)&gt;0,1,0)</f>
        <v>0</v>
      </c>
      <c r="L5117" s="16">
        <f>IF(COUNTIFS(Release_Calendar!$A$2:$A$755,"US_NFP",Release_Calendar!$B$2:$B$755,$A5117)&gt;0,1,0)</f>
        <v>0</v>
      </c>
      <c r="M5117" s="16">
        <f>IF($A5117&lt;Notes!$B$5,"",IF(COUNTIFS(Release_Calendar!$A$2:$A$755,"NZ_CPI",Release_Calendar!$B$2:$B$755,$A5117)&gt;0,1,0))</f>
        <v>0</v>
      </c>
      <c r="N5117" s="16">
        <f>IF($A5117&lt;Notes!$B$5,"",IF(COUNTIFS(Release_Calendar!$A$2:$A$755,"NZ_GDP",Release_Calendar!$B$2:$B$755,$A5117)&gt;0,1,0))</f>
        <v>0</v>
      </c>
      <c r="O5117" s="16">
        <f>IF($A5117&lt;Notes!$B$5,"",IF(COUNTIFS(Release_Calendar!$A$2:$A$755,"NZ_LABOUR",Release_Calendar!$B$2:$B$755,$A5117)&gt;0,1,0))</f>
        <v>0</v>
      </c>
      <c r="P5117" s="16">
        <f t="shared" si="4"/>
        <v>0</v>
      </c>
    </row>
    <row r="5118" ht="15.75" customHeight="1">
      <c r="A5118" s="14">
        <v>43690.0</v>
      </c>
      <c r="B5118" s="15">
        <v>1.66</v>
      </c>
      <c r="C5118" s="15">
        <v>0.97</v>
      </c>
      <c r="D5118" s="15"/>
      <c r="E5118" s="15">
        <v>0.78</v>
      </c>
      <c r="F5118" s="15">
        <f t="shared" si="1"/>
        <v>-0.69</v>
      </c>
      <c r="G5118" s="15">
        <f t="shared" si="2"/>
        <v>0.97</v>
      </c>
      <c r="H5118" s="16">
        <v>0.0</v>
      </c>
      <c r="I5118" s="15">
        <f t="shared" si="3"/>
        <v>-0.69</v>
      </c>
      <c r="J5118" s="15">
        <v>17.52</v>
      </c>
      <c r="K5118" s="16">
        <f>IF(COUNTIFS(Release_Calendar!$A$2:$A$755,"US_CPI",Release_Calendar!$B$2:$B$755,$A5118)&gt;0,1,0)</f>
        <v>1</v>
      </c>
      <c r="L5118" s="16">
        <f>IF(COUNTIFS(Release_Calendar!$A$2:$A$755,"US_NFP",Release_Calendar!$B$2:$B$755,$A5118)&gt;0,1,0)</f>
        <v>0</v>
      </c>
      <c r="M5118" s="16">
        <f>IF($A5118&lt;Notes!$B$5,"",IF(COUNTIFS(Release_Calendar!$A$2:$A$755,"NZ_CPI",Release_Calendar!$B$2:$B$755,$A5118)&gt;0,1,0))</f>
        <v>0</v>
      </c>
      <c r="N5118" s="16">
        <f>IF($A5118&lt;Notes!$B$5,"",IF(COUNTIFS(Release_Calendar!$A$2:$A$755,"NZ_GDP",Release_Calendar!$B$2:$B$755,$A5118)&gt;0,1,0))</f>
        <v>0</v>
      </c>
      <c r="O5118" s="16">
        <f>IF($A5118&lt;Notes!$B$5,"",IF(COUNTIFS(Release_Calendar!$A$2:$A$755,"NZ_LABOUR",Release_Calendar!$B$2:$B$755,$A5118)&gt;0,1,0))</f>
        <v>0</v>
      </c>
      <c r="P5118" s="16">
        <f t="shared" si="4"/>
        <v>1</v>
      </c>
    </row>
    <row r="5119" ht="15.75" customHeight="1">
      <c r="A5119" s="14">
        <v>43691.0</v>
      </c>
      <c r="B5119" s="15">
        <v>1.58</v>
      </c>
      <c r="C5119" s="15">
        <v>0.97</v>
      </c>
      <c r="D5119" s="15"/>
      <c r="E5119" s="15">
        <v>0.8</v>
      </c>
      <c r="F5119" s="15">
        <f t="shared" si="1"/>
        <v>-0.61</v>
      </c>
      <c r="G5119" s="15">
        <f t="shared" si="2"/>
        <v>0.97</v>
      </c>
      <c r="H5119" s="16">
        <v>0.0</v>
      </c>
      <c r="I5119" s="15">
        <f t="shared" si="3"/>
        <v>-0.61</v>
      </c>
      <c r="J5119" s="15">
        <v>22.1</v>
      </c>
      <c r="K5119" s="16">
        <f>IF(COUNTIFS(Release_Calendar!$A$2:$A$755,"US_CPI",Release_Calendar!$B$2:$B$755,$A5119)&gt;0,1,0)</f>
        <v>0</v>
      </c>
      <c r="L5119" s="16">
        <f>IF(COUNTIFS(Release_Calendar!$A$2:$A$755,"US_NFP",Release_Calendar!$B$2:$B$755,$A5119)&gt;0,1,0)</f>
        <v>0</v>
      </c>
      <c r="M5119" s="16">
        <f>IF($A5119&lt;Notes!$B$5,"",IF(COUNTIFS(Release_Calendar!$A$2:$A$755,"NZ_CPI",Release_Calendar!$B$2:$B$755,$A5119)&gt;0,1,0))</f>
        <v>0</v>
      </c>
      <c r="N5119" s="16">
        <f>IF($A5119&lt;Notes!$B$5,"",IF(COUNTIFS(Release_Calendar!$A$2:$A$755,"NZ_GDP",Release_Calendar!$B$2:$B$755,$A5119)&gt;0,1,0))</f>
        <v>0</v>
      </c>
      <c r="O5119" s="16">
        <f>IF($A5119&lt;Notes!$B$5,"",IF(COUNTIFS(Release_Calendar!$A$2:$A$755,"NZ_LABOUR",Release_Calendar!$B$2:$B$755,$A5119)&gt;0,1,0))</f>
        <v>0</v>
      </c>
      <c r="P5119" s="16">
        <f t="shared" si="4"/>
        <v>0</v>
      </c>
    </row>
    <row r="5120" ht="15.75" customHeight="1">
      <c r="A5120" s="14">
        <v>43692.0</v>
      </c>
      <c r="B5120" s="15">
        <v>1.48</v>
      </c>
      <c r="C5120" s="15">
        <v>0.94</v>
      </c>
      <c r="D5120" s="15"/>
      <c r="E5120" s="15">
        <v>0.75</v>
      </c>
      <c r="F5120" s="15">
        <f t="shared" si="1"/>
        <v>-0.54</v>
      </c>
      <c r="G5120" s="15">
        <f t="shared" si="2"/>
        <v>0.94</v>
      </c>
      <c r="H5120" s="16">
        <v>0.0</v>
      </c>
      <c r="I5120" s="15">
        <f t="shared" si="3"/>
        <v>-0.54</v>
      </c>
      <c r="J5120" s="15">
        <v>21.18</v>
      </c>
      <c r="K5120" s="16">
        <f>IF(COUNTIFS(Release_Calendar!$A$2:$A$755,"US_CPI",Release_Calendar!$B$2:$B$755,$A5120)&gt;0,1,0)</f>
        <v>0</v>
      </c>
      <c r="L5120" s="16">
        <f>IF(COUNTIFS(Release_Calendar!$A$2:$A$755,"US_NFP",Release_Calendar!$B$2:$B$755,$A5120)&gt;0,1,0)</f>
        <v>0</v>
      </c>
      <c r="M5120" s="16">
        <f>IF($A5120&lt;Notes!$B$5,"",IF(COUNTIFS(Release_Calendar!$A$2:$A$755,"NZ_CPI",Release_Calendar!$B$2:$B$755,$A5120)&gt;0,1,0))</f>
        <v>0</v>
      </c>
      <c r="N5120" s="16">
        <f>IF($A5120&lt;Notes!$B$5,"",IF(COUNTIFS(Release_Calendar!$A$2:$A$755,"NZ_GDP",Release_Calendar!$B$2:$B$755,$A5120)&gt;0,1,0))</f>
        <v>0</v>
      </c>
      <c r="O5120" s="16">
        <f>IF($A5120&lt;Notes!$B$5,"",IF(COUNTIFS(Release_Calendar!$A$2:$A$755,"NZ_LABOUR",Release_Calendar!$B$2:$B$755,$A5120)&gt;0,1,0))</f>
        <v>0</v>
      </c>
      <c r="P5120" s="16">
        <f t="shared" si="4"/>
        <v>0</v>
      </c>
    </row>
    <row r="5121" ht="15.75" customHeight="1">
      <c r="A5121" s="14">
        <v>43693.0</v>
      </c>
      <c r="B5121" s="15">
        <v>1.48</v>
      </c>
      <c r="C5121" s="15">
        <v>0.92</v>
      </c>
      <c r="D5121" s="15"/>
      <c r="E5121" s="15">
        <v>0.76</v>
      </c>
      <c r="F5121" s="15">
        <f t="shared" si="1"/>
        <v>-0.56</v>
      </c>
      <c r="G5121" s="15">
        <f t="shared" si="2"/>
        <v>0.92</v>
      </c>
      <c r="H5121" s="16">
        <v>0.0</v>
      </c>
      <c r="I5121" s="15">
        <f t="shared" si="3"/>
        <v>-0.56</v>
      </c>
      <c r="J5121" s="15">
        <v>18.47</v>
      </c>
      <c r="K5121" s="16">
        <f>IF(COUNTIFS(Release_Calendar!$A$2:$A$755,"US_CPI",Release_Calendar!$B$2:$B$755,$A5121)&gt;0,1,0)</f>
        <v>0</v>
      </c>
      <c r="L5121" s="16">
        <f>IF(COUNTIFS(Release_Calendar!$A$2:$A$755,"US_NFP",Release_Calendar!$B$2:$B$755,$A5121)&gt;0,1,0)</f>
        <v>0</v>
      </c>
      <c r="M5121" s="16">
        <f>IF($A5121&lt;Notes!$B$5,"",IF(COUNTIFS(Release_Calendar!$A$2:$A$755,"NZ_CPI",Release_Calendar!$B$2:$B$755,$A5121)&gt;0,1,0))</f>
        <v>0</v>
      </c>
      <c r="N5121" s="16">
        <f>IF($A5121&lt;Notes!$B$5,"",IF(COUNTIFS(Release_Calendar!$A$2:$A$755,"NZ_GDP",Release_Calendar!$B$2:$B$755,$A5121)&gt;0,1,0))</f>
        <v>0</v>
      </c>
      <c r="O5121" s="16">
        <f>IF($A5121&lt;Notes!$B$5,"",IF(COUNTIFS(Release_Calendar!$A$2:$A$755,"NZ_LABOUR",Release_Calendar!$B$2:$B$755,$A5121)&gt;0,1,0))</f>
        <v>0</v>
      </c>
      <c r="P5121" s="16">
        <f t="shared" si="4"/>
        <v>0</v>
      </c>
    </row>
    <row r="5122" ht="15.75" customHeight="1">
      <c r="A5122" s="14">
        <v>43696.0</v>
      </c>
      <c r="B5122" s="15">
        <v>1.53</v>
      </c>
      <c r="C5122" s="15">
        <v>0.94</v>
      </c>
      <c r="D5122" s="15"/>
      <c r="E5122" s="15">
        <v>0.78</v>
      </c>
      <c r="F5122" s="15">
        <f t="shared" si="1"/>
        <v>-0.59</v>
      </c>
      <c r="G5122" s="15">
        <f t="shared" si="2"/>
        <v>0.94</v>
      </c>
      <c r="H5122" s="16">
        <v>0.0</v>
      </c>
      <c r="I5122" s="15">
        <f t="shared" si="3"/>
        <v>-0.59</v>
      </c>
      <c r="J5122" s="15">
        <v>16.88</v>
      </c>
      <c r="K5122" s="16">
        <f>IF(COUNTIFS(Release_Calendar!$A$2:$A$755,"US_CPI",Release_Calendar!$B$2:$B$755,$A5122)&gt;0,1,0)</f>
        <v>0</v>
      </c>
      <c r="L5122" s="16">
        <f>IF(COUNTIFS(Release_Calendar!$A$2:$A$755,"US_NFP",Release_Calendar!$B$2:$B$755,$A5122)&gt;0,1,0)</f>
        <v>0</v>
      </c>
      <c r="M5122" s="16">
        <f>IF($A5122&lt;Notes!$B$5,"",IF(COUNTIFS(Release_Calendar!$A$2:$A$755,"NZ_CPI",Release_Calendar!$B$2:$B$755,$A5122)&gt;0,1,0))</f>
        <v>0</v>
      </c>
      <c r="N5122" s="16">
        <f>IF($A5122&lt;Notes!$B$5,"",IF(COUNTIFS(Release_Calendar!$A$2:$A$755,"NZ_GDP",Release_Calendar!$B$2:$B$755,$A5122)&gt;0,1,0))</f>
        <v>0</v>
      </c>
      <c r="O5122" s="16">
        <f>IF($A5122&lt;Notes!$B$5,"",IF(COUNTIFS(Release_Calendar!$A$2:$A$755,"NZ_LABOUR",Release_Calendar!$B$2:$B$755,$A5122)&gt;0,1,0))</f>
        <v>0</v>
      </c>
      <c r="P5122" s="16">
        <f t="shared" si="4"/>
        <v>0</v>
      </c>
    </row>
    <row r="5123" ht="15.75" customHeight="1">
      <c r="A5123" s="14">
        <v>43697.0</v>
      </c>
      <c r="B5123" s="15">
        <v>1.5</v>
      </c>
      <c r="C5123" s="15">
        <v>0.95</v>
      </c>
      <c r="D5123" s="15"/>
      <c r="E5123" s="15">
        <v>0.79</v>
      </c>
      <c r="F5123" s="15">
        <f t="shared" si="1"/>
        <v>-0.55</v>
      </c>
      <c r="G5123" s="15">
        <f t="shared" si="2"/>
        <v>0.95</v>
      </c>
      <c r="H5123" s="16">
        <v>0.0</v>
      </c>
      <c r="I5123" s="15">
        <f t="shared" si="3"/>
        <v>-0.55</v>
      </c>
      <c r="J5123" s="15">
        <v>17.5</v>
      </c>
      <c r="K5123" s="16">
        <f>IF(COUNTIFS(Release_Calendar!$A$2:$A$755,"US_CPI",Release_Calendar!$B$2:$B$755,$A5123)&gt;0,1,0)</f>
        <v>0</v>
      </c>
      <c r="L5123" s="16">
        <f>IF(COUNTIFS(Release_Calendar!$A$2:$A$755,"US_NFP",Release_Calendar!$B$2:$B$755,$A5123)&gt;0,1,0)</f>
        <v>0</v>
      </c>
      <c r="M5123" s="16">
        <f>IF($A5123&lt;Notes!$B$5,"",IF(COUNTIFS(Release_Calendar!$A$2:$A$755,"NZ_CPI",Release_Calendar!$B$2:$B$755,$A5123)&gt;0,1,0))</f>
        <v>0</v>
      </c>
      <c r="N5123" s="16">
        <f>IF($A5123&lt;Notes!$B$5,"",IF(COUNTIFS(Release_Calendar!$A$2:$A$755,"NZ_GDP",Release_Calendar!$B$2:$B$755,$A5123)&gt;0,1,0))</f>
        <v>0</v>
      </c>
      <c r="O5123" s="16">
        <f>IF($A5123&lt;Notes!$B$5,"",IF(COUNTIFS(Release_Calendar!$A$2:$A$755,"NZ_LABOUR",Release_Calendar!$B$2:$B$755,$A5123)&gt;0,1,0))</f>
        <v>0</v>
      </c>
      <c r="P5123" s="16">
        <f t="shared" si="4"/>
        <v>0</v>
      </c>
    </row>
    <row r="5124" ht="15.75" customHeight="1">
      <c r="A5124" s="14">
        <v>43698.0</v>
      </c>
      <c r="B5124" s="15">
        <v>1.56</v>
      </c>
      <c r="C5124" s="15">
        <v>0.93</v>
      </c>
      <c r="D5124" s="15"/>
      <c r="E5124" s="15">
        <v>0.77</v>
      </c>
      <c r="F5124" s="15">
        <f t="shared" si="1"/>
        <v>-0.63</v>
      </c>
      <c r="G5124" s="15">
        <f t="shared" si="2"/>
        <v>0.93</v>
      </c>
      <c r="H5124" s="16">
        <v>0.0</v>
      </c>
      <c r="I5124" s="15">
        <f t="shared" si="3"/>
        <v>-0.63</v>
      </c>
      <c r="J5124" s="15">
        <v>15.8</v>
      </c>
      <c r="K5124" s="16">
        <f>IF(COUNTIFS(Release_Calendar!$A$2:$A$755,"US_CPI",Release_Calendar!$B$2:$B$755,$A5124)&gt;0,1,0)</f>
        <v>0</v>
      </c>
      <c r="L5124" s="16">
        <f>IF(COUNTIFS(Release_Calendar!$A$2:$A$755,"US_NFP",Release_Calendar!$B$2:$B$755,$A5124)&gt;0,1,0)</f>
        <v>0</v>
      </c>
      <c r="M5124" s="16">
        <f>IF($A5124&lt;Notes!$B$5,"",IF(COUNTIFS(Release_Calendar!$A$2:$A$755,"NZ_CPI",Release_Calendar!$B$2:$B$755,$A5124)&gt;0,1,0))</f>
        <v>0</v>
      </c>
      <c r="N5124" s="16">
        <f>IF($A5124&lt;Notes!$B$5,"",IF(COUNTIFS(Release_Calendar!$A$2:$A$755,"NZ_GDP",Release_Calendar!$B$2:$B$755,$A5124)&gt;0,1,0))</f>
        <v>0</v>
      </c>
      <c r="O5124" s="16">
        <f>IF($A5124&lt;Notes!$B$5,"",IF(COUNTIFS(Release_Calendar!$A$2:$A$755,"NZ_LABOUR",Release_Calendar!$B$2:$B$755,$A5124)&gt;0,1,0))</f>
        <v>0</v>
      </c>
      <c r="P5124" s="16">
        <f t="shared" si="4"/>
        <v>0</v>
      </c>
    </row>
    <row r="5125" ht="15.75" customHeight="1">
      <c r="A5125" s="14">
        <v>43699.0</v>
      </c>
      <c r="B5125" s="15">
        <v>1.61</v>
      </c>
      <c r="C5125" s="15">
        <v>0.94</v>
      </c>
      <c r="D5125" s="15"/>
      <c r="E5125" s="15">
        <v>0.78</v>
      </c>
      <c r="F5125" s="15">
        <f t="shared" si="1"/>
        <v>-0.67</v>
      </c>
      <c r="G5125" s="15">
        <f t="shared" si="2"/>
        <v>0.94</v>
      </c>
      <c r="H5125" s="16">
        <v>0.0</v>
      </c>
      <c r="I5125" s="15">
        <f t="shared" si="3"/>
        <v>-0.67</v>
      </c>
      <c r="J5125" s="15">
        <v>16.68</v>
      </c>
      <c r="K5125" s="16">
        <f>IF(COUNTIFS(Release_Calendar!$A$2:$A$755,"US_CPI",Release_Calendar!$B$2:$B$755,$A5125)&gt;0,1,0)</f>
        <v>0</v>
      </c>
      <c r="L5125" s="16">
        <f>IF(COUNTIFS(Release_Calendar!$A$2:$A$755,"US_NFP",Release_Calendar!$B$2:$B$755,$A5125)&gt;0,1,0)</f>
        <v>0</v>
      </c>
      <c r="M5125" s="16">
        <f>IF($A5125&lt;Notes!$B$5,"",IF(COUNTIFS(Release_Calendar!$A$2:$A$755,"NZ_CPI",Release_Calendar!$B$2:$B$755,$A5125)&gt;0,1,0))</f>
        <v>0</v>
      </c>
      <c r="N5125" s="16">
        <f>IF($A5125&lt;Notes!$B$5,"",IF(COUNTIFS(Release_Calendar!$A$2:$A$755,"NZ_GDP",Release_Calendar!$B$2:$B$755,$A5125)&gt;0,1,0))</f>
        <v>0</v>
      </c>
      <c r="O5125" s="16">
        <f>IF($A5125&lt;Notes!$B$5,"",IF(COUNTIFS(Release_Calendar!$A$2:$A$755,"NZ_LABOUR",Release_Calendar!$B$2:$B$755,$A5125)&gt;0,1,0))</f>
        <v>0</v>
      </c>
      <c r="P5125" s="16">
        <f t="shared" si="4"/>
        <v>0</v>
      </c>
    </row>
    <row r="5126" ht="15.75" customHeight="1">
      <c r="A5126" s="14">
        <v>43700.0</v>
      </c>
      <c r="B5126" s="15">
        <v>1.51</v>
      </c>
      <c r="C5126" s="15">
        <v>0.97</v>
      </c>
      <c r="D5126" s="15"/>
      <c r="E5126" s="15">
        <v>0.82</v>
      </c>
      <c r="F5126" s="15">
        <f t="shared" si="1"/>
        <v>-0.54</v>
      </c>
      <c r="G5126" s="15">
        <f t="shared" si="2"/>
        <v>0.97</v>
      </c>
      <c r="H5126" s="16">
        <v>0.0</v>
      </c>
      <c r="I5126" s="15">
        <f t="shared" si="3"/>
        <v>-0.54</v>
      </c>
      <c r="J5126" s="15">
        <v>19.87</v>
      </c>
      <c r="K5126" s="16">
        <f>IF(COUNTIFS(Release_Calendar!$A$2:$A$755,"US_CPI",Release_Calendar!$B$2:$B$755,$A5126)&gt;0,1,0)</f>
        <v>0</v>
      </c>
      <c r="L5126" s="16">
        <f>IF(COUNTIFS(Release_Calendar!$A$2:$A$755,"US_NFP",Release_Calendar!$B$2:$B$755,$A5126)&gt;0,1,0)</f>
        <v>0</v>
      </c>
      <c r="M5126" s="16">
        <f>IF($A5126&lt;Notes!$B$5,"",IF(COUNTIFS(Release_Calendar!$A$2:$A$755,"NZ_CPI",Release_Calendar!$B$2:$B$755,$A5126)&gt;0,1,0))</f>
        <v>0</v>
      </c>
      <c r="N5126" s="16">
        <f>IF($A5126&lt;Notes!$B$5,"",IF(COUNTIFS(Release_Calendar!$A$2:$A$755,"NZ_GDP",Release_Calendar!$B$2:$B$755,$A5126)&gt;0,1,0))</f>
        <v>0</v>
      </c>
      <c r="O5126" s="16">
        <f>IF($A5126&lt;Notes!$B$5,"",IF(COUNTIFS(Release_Calendar!$A$2:$A$755,"NZ_LABOUR",Release_Calendar!$B$2:$B$755,$A5126)&gt;0,1,0))</f>
        <v>0</v>
      </c>
      <c r="P5126" s="16">
        <f t="shared" si="4"/>
        <v>0</v>
      </c>
    </row>
    <row r="5127" ht="15.75" customHeight="1">
      <c r="A5127" s="14">
        <v>43703.0</v>
      </c>
      <c r="B5127" s="15">
        <v>1.54</v>
      </c>
      <c r="C5127" s="15">
        <v>0.94</v>
      </c>
      <c r="D5127" s="15"/>
      <c r="E5127" s="15">
        <v>0.77</v>
      </c>
      <c r="F5127" s="15">
        <f t="shared" si="1"/>
        <v>-0.6</v>
      </c>
      <c r="G5127" s="15">
        <f t="shared" si="2"/>
        <v>0.94</v>
      </c>
      <c r="H5127" s="16">
        <v>0.0</v>
      </c>
      <c r="I5127" s="15">
        <f t="shared" si="3"/>
        <v>-0.6</v>
      </c>
      <c r="J5127" s="15">
        <v>19.32</v>
      </c>
      <c r="K5127" s="16">
        <f>IF(COUNTIFS(Release_Calendar!$A$2:$A$755,"US_CPI",Release_Calendar!$B$2:$B$755,$A5127)&gt;0,1,0)</f>
        <v>0</v>
      </c>
      <c r="L5127" s="16">
        <f>IF(COUNTIFS(Release_Calendar!$A$2:$A$755,"US_NFP",Release_Calendar!$B$2:$B$755,$A5127)&gt;0,1,0)</f>
        <v>0</v>
      </c>
      <c r="M5127" s="16">
        <f>IF($A5127&lt;Notes!$B$5,"",IF(COUNTIFS(Release_Calendar!$A$2:$A$755,"NZ_CPI",Release_Calendar!$B$2:$B$755,$A5127)&gt;0,1,0))</f>
        <v>0</v>
      </c>
      <c r="N5127" s="16">
        <f>IF($A5127&lt;Notes!$B$5,"",IF(COUNTIFS(Release_Calendar!$A$2:$A$755,"NZ_GDP",Release_Calendar!$B$2:$B$755,$A5127)&gt;0,1,0))</f>
        <v>0</v>
      </c>
      <c r="O5127" s="16">
        <f>IF($A5127&lt;Notes!$B$5,"",IF(COUNTIFS(Release_Calendar!$A$2:$A$755,"NZ_LABOUR",Release_Calendar!$B$2:$B$755,$A5127)&gt;0,1,0))</f>
        <v>0</v>
      </c>
      <c r="P5127" s="16">
        <f t="shared" si="4"/>
        <v>0</v>
      </c>
    </row>
    <row r="5128" ht="15.75" customHeight="1">
      <c r="A5128" s="14">
        <v>43704.0</v>
      </c>
      <c r="B5128" s="15">
        <v>1.53</v>
      </c>
      <c r="C5128" s="15">
        <v>0.95</v>
      </c>
      <c r="D5128" s="15"/>
      <c r="E5128" s="15">
        <v>0.81</v>
      </c>
      <c r="F5128" s="15">
        <f t="shared" si="1"/>
        <v>-0.58</v>
      </c>
      <c r="G5128" s="15">
        <f t="shared" si="2"/>
        <v>0.95</v>
      </c>
      <c r="H5128" s="16">
        <v>0.0</v>
      </c>
      <c r="I5128" s="15">
        <f t="shared" si="3"/>
        <v>-0.58</v>
      </c>
      <c r="J5128" s="15">
        <v>20.31</v>
      </c>
      <c r="K5128" s="16">
        <f>IF(COUNTIFS(Release_Calendar!$A$2:$A$755,"US_CPI",Release_Calendar!$B$2:$B$755,$A5128)&gt;0,1,0)</f>
        <v>0</v>
      </c>
      <c r="L5128" s="16">
        <f>IF(COUNTIFS(Release_Calendar!$A$2:$A$755,"US_NFP",Release_Calendar!$B$2:$B$755,$A5128)&gt;0,1,0)</f>
        <v>0</v>
      </c>
      <c r="M5128" s="16">
        <f>IF($A5128&lt;Notes!$B$5,"",IF(COUNTIFS(Release_Calendar!$A$2:$A$755,"NZ_CPI",Release_Calendar!$B$2:$B$755,$A5128)&gt;0,1,0))</f>
        <v>0</v>
      </c>
      <c r="N5128" s="16">
        <f>IF($A5128&lt;Notes!$B$5,"",IF(COUNTIFS(Release_Calendar!$A$2:$A$755,"NZ_GDP",Release_Calendar!$B$2:$B$755,$A5128)&gt;0,1,0))</f>
        <v>0</v>
      </c>
      <c r="O5128" s="16">
        <f>IF($A5128&lt;Notes!$B$5,"",IF(COUNTIFS(Release_Calendar!$A$2:$A$755,"NZ_LABOUR",Release_Calendar!$B$2:$B$755,$A5128)&gt;0,1,0))</f>
        <v>0</v>
      </c>
      <c r="P5128" s="16">
        <f t="shared" si="4"/>
        <v>0</v>
      </c>
    </row>
    <row r="5129" ht="15.75" customHeight="1">
      <c r="A5129" s="14">
        <v>43705.0</v>
      </c>
      <c r="B5129" s="15">
        <v>1.5</v>
      </c>
      <c r="C5129" s="15">
        <v>0.94</v>
      </c>
      <c r="D5129" s="15"/>
      <c r="E5129" s="15">
        <v>0.8</v>
      </c>
      <c r="F5129" s="15">
        <f t="shared" si="1"/>
        <v>-0.56</v>
      </c>
      <c r="G5129" s="15">
        <f t="shared" si="2"/>
        <v>0.94</v>
      </c>
      <c r="H5129" s="16">
        <v>0.0</v>
      </c>
      <c r="I5129" s="15">
        <f t="shared" si="3"/>
        <v>-0.56</v>
      </c>
      <c r="J5129" s="15">
        <v>19.35</v>
      </c>
      <c r="K5129" s="16">
        <f>IF(COUNTIFS(Release_Calendar!$A$2:$A$755,"US_CPI",Release_Calendar!$B$2:$B$755,$A5129)&gt;0,1,0)</f>
        <v>0</v>
      </c>
      <c r="L5129" s="16">
        <f>IF(COUNTIFS(Release_Calendar!$A$2:$A$755,"US_NFP",Release_Calendar!$B$2:$B$755,$A5129)&gt;0,1,0)</f>
        <v>0</v>
      </c>
      <c r="M5129" s="16">
        <f>IF($A5129&lt;Notes!$B$5,"",IF(COUNTIFS(Release_Calendar!$A$2:$A$755,"NZ_CPI",Release_Calendar!$B$2:$B$755,$A5129)&gt;0,1,0))</f>
        <v>0</v>
      </c>
      <c r="N5129" s="16">
        <f>IF($A5129&lt;Notes!$B$5,"",IF(COUNTIFS(Release_Calendar!$A$2:$A$755,"NZ_GDP",Release_Calendar!$B$2:$B$755,$A5129)&gt;0,1,0))</f>
        <v>0</v>
      </c>
      <c r="O5129" s="16">
        <f>IF($A5129&lt;Notes!$B$5,"",IF(COUNTIFS(Release_Calendar!$A$2:$A$755,"NZ_LABOUR",Release_Calendar!$B$2:$B$755,$A5129)&gt;0,1,0))</f>
        <v>0</v>
      </c>
      <c r="P5129" s="16">
        <f t="shared" si="4"/>
        <v>0</v>
      </c>
    </row>
    <row r="5130" ht="15.75" customHeight="1">
      <c r="A5130" s="14">
        <v>43706.0</v>
      </c>
      <c r="B5130" s="15">
        <v>1.53</v>
      </c>
      <c r="C5130" s="15">
        <v>0.92</v>
      </c>
      <c r="D5130" s="15"/>
      <c r="E5130" s="15">
        <v>0.79</v>
      </c>
      <c r="F5130" s="15">
        <f t="shared" si="1"/>
        <v>-0.61</v>
      </c>
      <c r="G5130" s="15">
        <f t="shared" si="2"/>
        <v>0.92</v>
      </c>
      <c r="H5130" s="16">
        <v>0.0</v>
      </c>
      <c r="I5130" s="15">
        <f t="shared" si="3"/>
        <v>-0.61</v>
      </c>
      <c r="J5130" s="15">
        <v>17.88</v>
      </c>
      <c r="K5130" s="16">
        <f>IF(COUNTIFS(Release_Calendar!$A$2:$A$755,"US_CPI",Release_Calendar!$B$2:$B$755,$A5130)&gt;0,1,0)</f>
        <v>0</v>
      </c>
      <c r="L5130" s="16">
        <f>IF(COUNTIFS(Release_Calendar!$A$2:$A$755,"US_NFP",Release_Calendar!$B$2:$B$755,$A5130)&gt;0,1,0)</f>
        <v>0</v>
      </c>
      <c r="M5130" s="16">
        <f>IF($A5130&lt;Notes!$B$5,"",IF(COUNTIFS(Release_Calendar!$A$2:$A$755,"NZ_CPI",Release_Calendar!$B$2:$B$755,$A5130)&gt;0,1,0))</f>
        <v>0</v>
      </c>
      <c r="N5130" s="16">
        <f>IF($A5130&lt;Notes!$B$5,"",IF(COUNTIFS(Release_Calendar!$A$2:$A$755,"NZ_GDP",Release_Calendar!$B$2:$B$755,$A5130)&gt;0,1,0))</f>
        <v>0</v>
      </c>
      <c r="O5130" s="16">
        <f>IF($A5130&lt;Notes!$B$5,"",IF(COUNTIFS(Release_Calendar!$A$2:$A$755,"NZ_LABOUR",Release_Calendar!$B$2:$B$755,$A5130)&gt;0,1,0))</f>
        <v>0</v>
      </c>
      <c r="P5130" s="16">
        <f t="shared" si="4"/>
        <v>0</v>
      </c>
    </row>
    <row r="5131" ht="15.75" customHeight="1">
      <c r="A5131" s="14">
        <v>43707.0</v>
      </c>
      <c r="B5131" s="15">
        <v>1.5</v>
      </c>
      <c r="C5131" s="15">
        <v>0.91</v>
      </c>
      <c r="D5131" s="15"/>
      <c r="E5131" s="15">
        <v>0.79</v>
      </c>
      <c r="F5131" s="15">
        <f t="shared" si="1"/>
        <v>-0.59</v>
      </c>
      <c r="G5131" s="15">
        <f t="shared" si="2"/>
        <v>0.91</v>
      </c>
      <c r="H5131" s="16">
        <v>0.0</v>
      </c>
      <c r="I5131" s="15">
        <f t="shared" si="3"/>
        <v>-0.59</v>
      </c>
      <c r="J5131" s="15">
        <v>18.98</v>
      </c>
      <c r="K5131" s="16">
        <f>IF(COUNTIFS(Release_Calendar!$A$2:$A$755,"US_CPI",Release_Calendar!$B$2:$B$755,$A5131)&gt;0,1,0)</f>
        <v>0</v>
      </c>
      <c r="L5131" s="16">
        <f>IF(COUNTIFS(Release_Calendar!$A$2:$A$755,"US_NFP",Release_Calendar!$B$2:$B$755,$A5131)&gt;0,1,0)</f>
        <v>0</v>
      </c>
      <c r="M5131" s="16">
        <f>IF($A5131&lt;Notes!$B$5,"",IF(COUNTIFS(Release_Calendar!$A$2:$A$755,"NZ_CPI",Release_Calendar!$B$2:$B$755,$A5131)&gt;0,1,0))</f>
        <v>0</v>
      </c>
      <c r="N5131" s="16">
        <f>IF($A5131&lt;Notes!$B$5,"",IF(COUNTIFS(Release_Calendar!$A$2:$A$755,"NZ_GDP",Release_Calendar!$B$2:$B$755,$A5131)&gt;0,1,0))</f>
        <v>0</v>
      </c>
      <c r="O5131" s="16">
        <f>IF($A5131&lt;Notes!$B$5,"",IF(COUNTIFS(Release_Calendar!$A$2:$A$755,"NZ_LABOUR",Release_Calendar!$B$2:$B$755,$A5131)&gt;0,1,0))</f>
        <v>0</v>
      </c>
      <c r="P5131" s="16">
        <f t="shared" si="4"/>
        <v>0</v>
      </c>
    </row>
    <row r="5132" ht="15.75" customHeight="1">
      <c r="A5132" s="14">
        <v>43710.0</v>
      </c>
      <c r="B5132" s="15"/>
      <c r="C5132" s="15">
        <v>0.91</v>
      </c>
      <c r="D5132" s="15"/>
      <c r="E5132" s="15">
        <v>0.78</v>
      </c>
      <c r="F5132" s="15" t="str">
        <f t="shared" si="1"/>
        <v/>
      </c>
      <c r="G5132" s="15">
        <f t="shared" si="2"/>
        <v>0.91</v>
      </c>
      <c r="H5132" s="16">
        <v>0.0</v>
      </c>
      <c r="I5132" s="15" t="str">
        <f t="shared" si="3"/>
        <v/>
      </c>
      <c r="J5132" s="15"/>
      <c r="K5132" s="16">
        <f>IF(COUNTIFS(Release_Calendar!$A$2:$A$755,"US_CPI",Release_Calendar!$B$2:$B$755,$A5132)&gt;0,1,0)</f>
        <v>0</v>
      </c>
      <c r="L5132" s="16">
        <f>IF(COUNTIFS(Release_Calendar!$A$2:$A$755,"US_NFP",Release_Calendar!$B$2:$B$755,$A5132)&gt;0,1,0)</f>
        <v>0</v>
      </c>
      <c r="M5132" s="16">
        <f>IF($A5132&lt;Notes!$B$5,"",IF(COUNTIFS(Release_Calendar!$A$2:$A$755,"NZ_CPI",Release_Calendar!$B$2:$B$755,$A5132)&gt;0,1,0))</f>
        <v>0</v>
      </c>
      <c r="N5132" s="16">
        <f>IF($A5132&lt;Notes!$B$5,"",IF(COUNTIFS(Release_Calendar!$A$2:$A$755,"NZ_GDP",Release_Calendar!$B$2:$B$755,$A5132)&gt;0,1,0))</f>
        <v>0</v>
      </c>
      <c r="O5132" s="16">
        <f>IF($A5132&lt;Notes!$B$5,"",IF(COUNTIFS(Release_Calendar!$A$2:$A$755,"NZ_LABOUR",Release_Calendar!$B$2:$B$755,$A5132)&gt;0,1,0))</f>
        <v>0</v>
      </c>
      <c r="P5132" s="16">
        <f t="shared" si="4"/>
        <v>0</v>
      </c>
    </row>
    <row r="5133" ht="15.75" customHeight="1">
      <c r="A5133" s="14">
        <v>43711.0</v>
      </c>
      <c r="B5133" s="15">
        <v>1.47</v>
      </c>
      <c r="C5133" s="15">
        <v>0.9</v>
      </c>
      <c r="D5133" s="15"/>
      <c r="E5133" s="15">
        <v>0.77</v>
      </c>
      <c r="F5133" s="15">
        <f t="shared" si="1"/>
        <v>-0.57</v>
      </c>
      <c r="G5133" s="15">
        <f t="shared" si="2"/>
        <v>0.9</v>
      </c>
      <c r="H5133" s="16">
        <v>0.0</v>
      </c>
      <c r="I5133" s="15">
        <f t="shared" si="3"/>
        <v>-0.57</v>
      </c>
      <c r="J5133" s="15">
        <v>19.66</v>
      </c>
      <c r="K5133" s="16">
        <f>IF(COUNTIFS(Release_Calendar!$A$2:$A$755,"US_CPI",Release_Calendar!$B$2:$B$755,$A5133)&gt;0,1,0)</f>
        <v>0</v>
      </c>
      <c r="L5133" s="16">
        <f>IF(COUNTIFS(Release_Calendar!$A$2:$A$755,"US_NFP",Release_Calendar!$B$2:$B$755,$A5133)&gt;0,1,0)</f>
        <v>0</v>
      </c>
      <c r="M5133" s="16">
        <f>IF($A5133&lt;Notes!$B$5,"",IF(COUNTIFS(Release_Calendar!$A$2:$A$755,"NZ_CPI",Release_Calendar!$B$2:$B$755,$A5133)&gt;0,1,0))</f>
        <v>0</v>
      </c>
      <c r="N5133" s="16">
        <f>IF($A5133&lt;Notes!$B$5,"",IF(COUNTIFS(Release_Calendar!$A$2:$A$755,"NZ_GDP",Release_Calendar!$B$2:$B$755,$A5133)&gt;0,1,0))</f>
        <v>0</v>
      </c>
      <c r="O5133" s="16">
        <f>IF($A5133&lt;Notes!$B$5,"",IF(COUNTIFS(Release_Calendar!$A$2:$A$755,"NZ_LABOUR",Release_Calendar!$B$2:$B$755,$A5133)&gt;0,1,0))</f>
        <v>0</v>
      </c>
      <c r="P5133" s="16">
        <f t="shared" si="4"/>
        <v>0</v>
      </c>
    </row>
    <row r="5134" ht="15.75" customHeight="1">
      <c r="A5134" s="14">
        <v>43712.0</v>
      </c>
      <c r="B5134" s="15">
        <v>1.43</v>
      </c>
      <c r="C5134" s="15">
        <v>0.89</v>
      </c>
      <c r="D5134" s="15"/>
      <c r="E5134" s="15">
        <v>0.77</v>
      </c>
      <c r="F5134" s="15">
        <f t="shared" si="1"/>
        <v>-0.54</v>
      </c>
      <c r="G5134" s="15">
        <f t="shared" si="2"/>
        <v>0.89</v>
      </c>
      <c r="H5134" s="16">
        <v>0.0</v>
      </c>
      <c r="I5134" s="15">
        <f t="shared" si="3"/>
        <v>-0.54</v>
      </c>
      <c r="J5134" s="15">
        <v>17.33</v>
      </c>
      <c r="K5134" s="16">
        <f>IF(COUNTIFS(Release_Calendar!$A$2:$A$755,"US_CPI",Release_Calendar!$B$2:$B$755,$A5134)&gt;0,1,0)</f>
        <v>0</v>
      </c>
      <c r="L5134" s="16">
        <f>IF(COUNTIFS(Release_Calendar!$A$2:$A$755,"US_NFP",Release_Calendar!$B$2:$B$755,$A5134)&gt;0,1,0)</f>
        <v>0</v>
      </c>
      <c r="M5134" s="16">
        <f>IF($A5134&lt;Notes!$B$5,"",IF(COUNTIFS(Release_Calendar!$A$2:$A$755,"NZ_CPI",Release_Calendar!$B$2:$B$755,$A5134)&gt;0,1,0))</f>
        <v>0</v>
      </c>
      <c r="N5134" s="16">
        <f>IF($A5134&lt;Notes!$B$5,"",IF(COUNTIFS(Release_Calendar!$A$2:$A$755,"NZ_GDP",Release_Calendar!$B$2:$B$755,$A5134)&gt;0,1,0))</f>
        <v>0</v>
      </c>
      <c r="O5134" s="16">
        <f>IF($A5134&lt;Notes!$B$5,"",IF(COUNTIFS(Release_Calendar!$A$2:$A$755,"NZ_LABOUR",Release_Calendar!$B$2:$B$755,$A5134)&gt;0,1,0))</f>
        <v>0</v>
      </c>
      <c r="P5134" s="16">
        <f t="shared" si="4"/>
        <v>0</v>
      </c>
    </row>
    <row r="5135" ht="15.75" customHeight="1">
      <c r="A5135" s="14">
        <v>43713.0</v>
      </c>
      <c r="B5135" s="15">
        <v>1.55</v>
      </c>
      <c r="C5135" s="15">
        <v>0.92</v>
      </c>
      <c r="D5135" s="15"/>
      <c r="E5135" s="15">
        <v>0.78</v>
      </c>
      <c r="F5135" s="15">
        <f t="shared" si="1"/>
        <v>-0.63</v>
      </c>
      <c r="G5135" s="15">
        <f t="shared" si="2"/>
        <v>0.92</v>
      </c>
      <c r="H5135" s="16">
        <v>0.0</v>
      </c>
      <c r="I5135" s="15">
        <f t="shared" si="3"/>
        <v>-0.63</v>
      </c>
      <c r="J5135" s="15">
        <v>16.27</v>
      </c>
      <c r="K5135" s="16">
        <f>IF(COUNTIFS(Release_Calendar!$A$2:$A$755,"US_CPI",Release_Calendar!$B$2:$B$755,$A5135)&gt;0,1,0)</f>
        <v>0</v>
      </c>
      <c r="L5135" s="16">
        <f>IF(COUNTIFS(Release_Calendar!$A$2:$A$755,"US_NFP",Release_Calendar!$B$2:$B$755,$A5135)&gt;0,1,0)</f>
        <v>0</v>
      </c>
      <c r="M5135" s="16">
        <f>IF($A5135&lt;Notes!$B$5,"",IF(COUNTIFS(Release_Calendar!$A$2:$A$755,"NZ_CPI",Release_Calendar!$B$2:$B$755,$A5135)&gt;0,1,0))</f>
        <v>0</v>
      </c>
      <c r="N5135" s="16">
        <f>IF($A5135&lt;Notes!$B$5,"",IF(COUNTIFS(Release_Calendar!$A$2:$A$755,"NZ_GDP",Release_Calendar!$B$2:$B$755,$A5135)&gt;0,1,0))</f>
        <v>0</v>
      </c>
      <c r="O5135" s="16">
        <f>IF($A5135&lt;Notes!$B$5,"",IF(COUNTIFS(Release_Calendar!$A$2:$A$755,"NZ_LABOUR",Release_Calendar!$B$2:$B$755,$A5135)&gt;0,1,0))</f>
        <v>0</v>
      </c>
      <c r="P5135" s="16">
        <f t="shared" si="4"/>
        <v>0</v>
      </c>
    </row>
    <row r="5136" ht="15.75" customHeight="1">
      <c r="A5136" s="14">
        <v>43714.0</v>
      </c>
      <c r="B5136" s="15">
        <v>1.53</v>
      </c>
      <c r="C5136" s="15">
        <v>0.96</v>
      </c>
      <c r="D5136" s="15"/>
      <c r="E5136" s="15">
        <v>0.83</v>
      </c>
      <c r="F5136" s="15">
        <f t="shared" si="1"/>
        <v>-0.57</v>
      </c>
      <c r="G5136" s="15">
        <f t="shared" si="2"/>
        <v>0.96</v>
      </c>
      <c r="H5136" s="16">
        <v>0.0</v>
      </c>
      <c r="I5136" s="15">
        <f t="shared" si="3"/>
        <v>-0.57</v>
      </c>
      <c r="J5136" s="15">
        <v>15.0</v>
      </c>
      <c r="K5136" s="16">
        <f>IF(COUNTIFS(Release_Calendar!$A$2:$A$755,"US_CPI",Release_Calendar!$B$2:$B$755,$A5136)&gt;0,1,0)</f>
        <v>0</v>
      </c>
      <c r="L5136" s="16">
        <f>IF(COUNTIFS(Release_Calendar!$A$2:$A$755,"US_NFP",Release_Calendar!$B$2:$B$755,$A5136)&gt;0,1,0)</f>
        <v>1</v>
      </c>
      <c r="M5136" s="16">
        <f>IF($A5136&lt;Notes!$B$5,"",IF(COUNTIFS(Release_Calendar!$A$2:$A$755,"NZ_CPI",Release_Calendar!$B$2:$B$755,$A5136)&gt;0,1,0))</f>
        <v>0</v>
      </c>
      <c r="N5136" s="16">
        <f>IF($A5136&lt;Notes!$B$5,"",IF(COUNTIFS(Release_Calendar!$A$2:$A$755,"NZ_GDP",Release_Calendar!$B$2:$B$755,$A5136)&gt;0,1,0))</f>
        <v>0</v>
      </c>
      <c r="O5136" s="16">
        <f>IF($A5136&lt;Notes!$B$5,"",IF(COUNTIFS(Release_Calendar!$A$2:$A$755,"NZ_LABOUR",Release_Calendar!$B$2:$B$755,$A5136)&gt;0,1,0))</f>
        <v>0</v>
      </c>
      <c r="P5136" s="16">
        <f t="shared" si="4"/>
        <v>1</v>
      </c>
    </row>
    <row r="5137" ht="15.75" customHeight="1">
      <c r="A5137" s="14">
        <v>43717.0</v>
      </c>
      <c r="B5137" s="15">
        <v>1.58</v>
      </c>
      <c r="C5137" s="15">
        <v>0.95</v>
      </c>
      <c r="D5137" s="15"/>
      <c r="E5137" s="15">
        <v>0.82</v>
      </c>
      <c r="F5137" s="15">
        <f t="shared" si="1"/>
        <v>-0.63</v>
      </c>
      <c r="G5137" s="15">
        <f t="shared" si="2"/>
        <v>0.95</v>
      </c>
      <c r="H5137" s="16">
        <v>0.0</v>
      </c>
      <c r="I5137" s="15">
        <f t="shared" si="3"/>
        <v>-0.63</v>
      </c>
      <c r="J5137" s="15">
        <v>15.27</v>
      </c>
      <c r="K5137" s="16">
        <f>IF(COUNTIFS(Release_Calendar!$A$2:$A$755,"US_CPI",Release_Calendar!$B$2:$B$755,$A5137)&gt;0,1,0)</f>
        <v>0</v>
      </c>
      <c r="L5137" s="16">
        <f>IF(COUNTIFS(Release_Calendar!$A$2:$A$755,"US_NFP",Release_Calendar!$B$2:$B$755,$A5137)&gt;0,1,0)</f>
        <v>0</v>
      </c>
      <c r="M5137" s="16">
        <f>IF($A5137&lt;Notes!$B$5,"",IF(COUNTIFS(Release_Calendar!$A$2:$A$755,"NZ_CPI",Release_Calendar!$B$2:$B$755,$A5137)&gt;0,1,0))</f>
        <v>0</v>
      </c>
      <c r="N5137" s="16">
        <f>IF($A5137&lt;Notes!$B$5,"",IF(COUNTIFS(Release_Calendar!$A$2:$A$755,"NZ_GDP",Release_Calendar!$B$2:$B$755,$A5137)&gt;0,1,0))</f>
        <v>0</v>
      </c>
      <c r="O5137" s="16">
        <f>IF($A5137&lt;Notes!$B$5,"",IF(COUNTIFS(Release_Calendar!$A$2:$A$755,"NZ_LABOUR",Release_Calendar!$B$2:$B$755,$A5137)&gt;0,1,0))</f>
        <v>0</v>
      </c>
      <c r="P5137" s="16">
        <f t="shared" si="4"/>
        <v>0</v>
      </c>
    </row>
    <row r="5138" ht="15.75" customHeight="1">
      <c r="A5138" s="14">
        <v>43718.0</v>
      </c>
      <c r="B5138" s="15">
        <v>1.67</v>
      </c>
      <c r="C5138" s="15">
        <v>0.99</v>
      </c>
      <c r="D5138" s="15"/>
      <c r="E5138" s="15">
        <v>0.84</v>
      </c>
      <c r="F5138" s="15">
        <f t="shared" si="1"/>
        <v>-0.68</v>
      </c>
      <c r="G5138" s="15">
        <f t="shared" si="2"/>
        <v>0.99</v>
      </c>
      <c r="H5138" s="16">
        <v>0.0</v>
      </c>
      <c r="I5138" s="15">
        <f t="shared" si="3"/>
        <v>-0.68</v>
      </c>
      <c r="J5138" s="15">
        <v>15.2</v>
      </c>
      <c r="K5138" s="16">
        <f>IF(COUNTIFS(Release_Calendar!$A$2:$A$755,"US_CPI",Release_Calendar!$B$2:$B$755,$A5138)&gt;0,1,0)</f>
        <v>0</v>
      </c>
      <c r="L5138" s="16">
        <f>IF(COUNTIFS(Release_Calendar!$A$2:$A$755,"US_NFP",Release_Calendar!$B$2:$B$755,$A5138)&gt;0,1,0)</f>
        <v>0</v>
      </c>
      <c r="M5138" s="16">
        <f>IF($A5138&lt;Notes!$B$5,"",IF(COUNTIFS(Release_Calendar!$A$2:$A$755,"NZ_CPI",Release_Calendar!$B$2:$B$755,$A5138)&gt;0,1,0))</f>
        <v>0</v>
      </c>
      <c r="N5138" s="16">
        <f>IF($A5138&lt;Notes!$B$5,"",IF(COUNTIFS(Release_Calendar!$A$2:$A$755,"NZ_GDP",Release_Calendar!$B$2:$B$755,$A5138)&gt;0,1,0))</f>
        <v>0</v>
      </c>
      <c r="O5138" s="16">
        <f>IF($A5138&lt;Notes!$B$5,"",IF(COUNTIFS(Release_Calendar!$A$2:$A$755,"NZ_LABOUR",Release_Calendar!$B$2:$B$755,$A5138)&gt;0,1,0))</f>
        <v>0</v>
      </c>
      <c r="P5138" s="16">
        <f t="shared" si="4"/>
        <v>0</v>
      </c>
    </row>
    <row r="5139" ht="15.75" customHeight="1">
      <c r="A5139" s="14">
        <v>43719.0</v>
      </c>
      <c r="B5139" s="15">
        <v>1.68</v>
      </c>
      <c r="C5139" s="15">
        <v>1.0</v>
      </c>
      <c r="D5139" s="15"/>
      <c r="E5139" s="15">
        <v>0.88</v>
      </c>
      <c r="F5139" s="15">
        <f t="shared" si="1"/>
        <v>-0.68</v>
      </c>
      <c r="G5139" s="15">
        <f t="shared" si="2"/>
        <v>1</v>
      </c>
      <c r="H5139" s="16">
        <v>0.0</v>
      </c>
      <c r="I5139" s="15">
        <f t="shared" si="3"/>
        <v>-0.68</v>
      </c>
      <c r="J5139" s="15">
        <v>14.61</v>
      </c>
      <c r="K5139" s="16">
        <f>IF(COUNTIFS(Release_Calendar!$A$2:$A$755,"US_CPI",Release_Calendar!$B$2:$B$755,$A5139)&gt;0,1,0)</f>
        <v>0</v>
      </c>
      <c r="L5139" s="16">
        <f>IF(COUNTIFS(Release_Calendar!$A$2:$A$755,"US_NFP",Release_Calendar!$B$2:$B$755,$A5139)&gt;0,1,0)</f>
        <v>0</v>
      </c>
      <c r="M5139" s="16">
        <f>IF($A5139&lt;Notes!$B$5,"",IF(COUNTIFS(Release_Calendar!$A$2:$A$755,"NZ_CPI",Release_Calendar!$B$2:$B$755,$A5139)&gt;0,1,0))</f>
        <v>0</v>
      </c>
      <c r="N5139" s="16">
        <f>IF($A5139&lt;Notes!$B$5,"",IF(COUNTIFS(Release_Calendar!$A$2:$A$755,"NZ_GDP",Release_Calendar!$B$2:$B$755,$A5139)&gt;0,1,0))</f>
        <v>0</v>
      </c>
      <c r="O5139" s="16">
        <f>IF($A5139&lt;Notes!$B$5,"",IF(COUNTIFS(Release_Calendar!$A$2:$A$755,"NZ_LABOUR",Release_Calendar!$B$2:$B$755,$A5139)&gt;0,1,0))</f>
        <v>0</v>
      </c>
      <c r="P5139" s="16">
        <f t="shared" si="4"/>
        <v>0</v>
      </c>
    </row>
    <row r="5140" ht="15.75" customHeight="1">
      <c r="A5140" s="14">
        <v>43720.0</v>
      </c>
      <c r="B5140" s="15">
        <v>1.72</v>
      </c>
      <c r="C5140" s="15">
        <v>1.02</v>
      </c>
      <c r="D5140" s="15"/>
      <c r="E5140" s="15">
        <v>0.91</v>
      </c>
      <c r="F5140" s="15">
        <f t="shared" si="1"/>
        <v>-0.7</v>
      </c>
      <c r="G5140" s="15">
        <f t="shared" si="2"/>
        <v>1.02</v>
      </c>
      <c r="H5140" s="16">
        <v>0.0</v>
      </c>
      <c r="I5140" s="15">
        <f t="shared" si="3"/>
        <v>-0.7</v>
      </c>
      <c r="J5140" s="15">
        <v>14.22</v>
      </c>
      <c r="K5140" s="16">
        <f>IF(COUNTIFS(Release_Calendar!$A$2:$A$755,"US_CPI",Release_Calendar!$B$2:$B$755,$A5140)&gt;0,1,0)</f>
        <v>1</v>
      </c>
      <c r="L5140" s="16">
        <f>IF(COUNTIFS(Release_Calendar!$A$2:$A$755,"US_NFP",Release_Calendar!$B$2:$B$755,$A5140)&gt;0,1,0)</f>
        <v>0</v>
      </c>
      <c r="M5140" s="16">
        <f>IF($A5140&lt;Notes!$B$5,"",IF(COUNTIFS(Release_Calendar!$A$2:$A$755,"NZ_CPI",Release_Calendar!$B$2:$B$755,$A5140)&gt;0,1,0))</f>
        <v>0</v>
      </c>
      <c r="N5140" s="16">
        <f>IF($A5140&lt;Notes!$B$5,"",IF(COUNTIFS(Release_Calendar!$A$2:$A$755,"NZ_GDP",Release_Calendar!$B$2:$B$755,$A5140)&gt;0,1,0))</f>
        <v>0</v>
      </c>
      <c r="O5140" s="16">
        <f>IF($A5140&lt;Notes!$B$5,"",IF(COUNTIFS(Release_Calendar!$A$2:$A$755,"NZ_LABOUR",Release_Calendar!$B$2:$B$755,$A5140)&gt;0,1,0))</f>
        <v>0</v>
      </c>
      <c r="P5140" s="16">
        <f t="shared" si="4"/>
        <v>1</v>
      </c>
    </row>
    <row r="5141" ht="15.75" customHeight="1">
      <c r="A5141" s="14">
        <v>43721.0</v>
      </c>
      <c r="B5141" s="15">
        <v>1.79</v>
      </c>
      <c r="C5141" s="15">
        <v>1.01</v>
      </c>
      <c r="D5141" s="15"/>
      <c r="E5141" s="15">
        <v>0.9</v>
      </c>
      <c r="F5141" s="15">
        <f t="shared" si="1"/>
        <v>-0.78</v>
      </c>
      <c r="G5141" s="15">
        <f t="shared" si="2"/>
        <v>1.01</v>
      </c>
      <c r="H5141" s="16">
        <v>0.0</v>
      </c>
      <c r="I5141" s="15">
        <f t="shared" si="3"/>
        <v>-0.78</v>
      </c>
      <c r="J5141" s="15">
        <v>13.74</v>
      </c>
      <c r="K5141" s="16">
        <f>IF(COUNTIFS(Release_Calendar!$A$2:$A$755,"US_CPI",Release_Calendar!$B$2:$B$755,$A5141)&gt;0,1,0)</f>
        <v>0</v>
      </c>
      <c r="L5141" s="16">
        <f>IF(COUNTIFS(Release_Calendar!$A$2:$A$755,"US_NFP",Release_Calendar!$B$2:$B$755,$A5141)&gt;0,1,0)</f>
        <v>0</v>
      </c>
      <c r="M5141" s="16">
        <f>IF($A5141&lt;Notes!$B$5,"",IF(COUNTIFS(Release_Calendar!$A$2:$A$755,"NZ_CPI",Release_Calendar!$B$2:$B$755,$A5141)&gt;0,1,0))</f>
        <v>0</v>
      </c>
      <c r="N5141" s="16">
        <f>IF($A5141&lt;Notes!$B$5,"",IF(COUNTIFS(Release_Calendar!$A$2:$A$755,"NZ_GDP",Release_Calendar!$B$2:$B$755,$A5141)&gt;0,1,0))</f>
        <v>0</v>
      </c>
      <c r="O5141" s="16">
        <f>IF($A5141&lt;Notes!$B$5,"",IF(COUNTIFS(Release_Calendar!$A$2:$A$755,"NZ_LABOUR",Release_Calendar!$B$2:$B$755,$A5141)&gt;0,1,0))</f>
        <v>0</v>
      </c>
      <c r="P5141" s="16">
        <f t="shared" si="4"/>
        <v>0</v>
      </c>
    </row>
    <row r="5142" ht="15.75" customHeight="1">
      <c r="A5142" s="14">
        <v>43724.0</v>
      </c>
      <c r="B5142" s="15">
        <v>1.74</v>
      </c>
      <c r="C5142" s="15">
        <v>1.02</v>
      </c>
      <c r="D5142" s="15"/>
      <c r="E5142" s="15">
        <v>0.9</v>
      </c>
      <c r="F5142" s="15">
        <f t="shared" si="1"/>
        <v>-0.72</v>
      </c>
      <c r="G5142" s="15">
        <f t="shared" si="2"/>
        <v>1.02</v>
      </c>
      <c r="H5142" s="16">
        <v>0.0</v>
      </c>
      <c r="I5142" s="15">
        <f t="shared" si="3"/>
        <v>-0.72</v>
      </c>
      <c r="J5142" s="15">
        <v>14.67</v>
      </c>
      <c r="K5142" s="16">
        <f>IF(COUNTIFS(Release_Calendar!$A$2:$A$755,"US_CPI",Release_Calendar!$B$2:$B$755,$A5142)&gt;0,1,0)</f>
        <v>0</v>
      </c>
      <c r="L5142" s="16">
        <f>IF(COUNTIFS(Release_Calendar!$A$2:$A$755,"US_NFP",Release_Calendar!$B$2:$B$755,$A5142)&gt;0,1,0)</f>
        <v>0</v>
      </c>
      <c r="M5142" s="16">
        <f>IF($A5142&lt;Notes!$B$5,"",IF(COUNTIFS(Release_Calendar!$A$2:$A$755,"NZ_CPI",Release_Calendar!$B$2:$B$755,$A5142)&gt;0,1,0))</f>
        <v>0</v>
      </c>
      <c r="N5142" s="16">
        <f>IF($A5142&lt;Notes!$B$5,"",IF(COUNTIFS(Release_Calendar!$A$2:$A$755,"NZ_GDP",Release_Calendar!$B$2:$B$755,$A5142)&gt;0,1,0))</f>
        <v>0</v>
      </c>
      <c r="O5142" s="16">
        <f>IF($A5142&lt;Notes!$B$5,"",IF(COUNTIFS(Release_Calendar!$A$2:$A$755,"NZ_LABOUR",Release_Calendar!$B$2:$B$755,$A5142)&gt;0,1,0))</f>
        <v>0</v>
      </c>
      <c r="P5142" s="16">
        <f t="shared" si="4"/>
        <v>0</v>
      </c>
    </row>
    <row r="5143" ht="15.75" customHeight="1">
      <c r="A5143" s="14">
        <v>43725.0</v>
      </c>
      <c r="B5143" s="15">
        <v>1.72</v>
      </c>
      <c r="C5143" s="15">
        <v>0.99</v>
      </c>
      <c r="D5143" s="15"/>
      <c r="E5143" s="15">
        <v>0.85</v>
      </c>
      <c r="F5143" s="15">
        <f t="shared" si="1"/>
        <v>-0.73</v>
      </c>
      <c r="G5143" s="15">
        <f t="shared" si="2"/>
        <v>0.99</v>
      </c>
      <c r="H5143" s="16">
        <v>0.0</v>
      </c>
      <c r="I5143" s="15">
        <f t="shared" si="3"/>
        <v>-0.73</v>
      </c>
      <c r="J5143" s="15">
        <v>14.44</v>
      </c>
      <c r="K5143" s="16">
        <f>IF(COUNTIFS(Release_Calendar!$A$2:$A$755,"US_CPI",Release_Calendar!$B$2:$B$755,$A5143)&gt;0,1,0)</f>
        <v>0</v>
      </c>
      <c r="L5143" s="16">
        <f>IF(COUNTIFS(Release_Calendar!$A$2:$A$755,"US_NFP",Release_Calendar!$B$2:$B$755,$A5143)&gt;0,1,0)</f>
        <v>0</v>
      </c>
      <c r="M5143" s="16">
        <f>IF($A5143&lt;Notes!$B$5,"",IF(COUNTIFS(Release_Calendar!$A$2:$A$755,"NZ_CPI",Release_Calendar!$B$2:$B$755,$A5143)&gt;0,1,0))</f>
        <v>0</v>
      </c>
      <c r="N5143" s="16">
        <f>IF($A5143&lt;Notes!$B$5,"",IF(COUNTIFS(Release_Calendar!$A$2:$A$755,"NZ_GDP",Release_Calendar!$B$2:$B$755,$A5143)&gt;0,1,0))</f>
        <v>0</v>
      </c>
      <c r="O5143" s="16">
        <f>IF($A5143&lt;Notes!$B$5,"",IF(COUNTIFS(Release_Calendar!$A$2:$A$755,"NZ_LABOUR",Release_Calendar!$B$2:$B$755,$A5143)&gt;0,1,0))</f>
        <v>0</v>
      </c>
      <c r="P5143" s="16">
        <f t="shared" si="4"/>
        <v>0</v>
      </c>
    </row>
    <row r="5144" ht="15.75" customHeight="1">
      <c r="A5144" s="14">
        <v>43726.0</v>
      </c>
      <c r="B5144" s="15">
        <v>1.77</v>
      </c>
      <c r="C5144" s="15">
        <v>0.99</v>
      </c>
      <c r="D5144" s="15"/>
      <c r="E5144" s="15">
        <v>0.85</v>
      </c>
      <c r="F5144" s="15">
        <f t="shared" si="1"/>
        <v>-0.78</v>
      </c>
      <c r="G5144" s="15">
        <f t="shared" si="2"/>
        <v>0.99</v>
      </c>
      <c r="H5144" s="16">
        <v>0.0</v>
      </c>
      <c r="I5144" s="15">
        <f t="shared" si="3"/>
        <v>-0.78</v>
      </c>
      <c r="J5144" s="15">
        <v>13.95</v>
      </c>
      <c r="K5144" s="16">
        <f>IF(COUNTIFS(Release_Calendar!$A$2:$A$755,"US_CPI",Release_Calendar!$B$2:$B$755,$A5144)&gt;0,1,0)</f>
        <v>0</v>
      </c>
      <c r="L5144" s="16">
        <f>IF(COUNTIFS(Release_Calendar!$A$2:$A$755,"US_NFP",Release_Calendar!$B$2:$B$755,$A5144)&gt;0,1,0)</f>
        <v>0</v>
      </c>
      <c r="M5144" s="16">
        <f>IF($A5144&lt;Notes!$B$5,"",IF(COUNTIFS(Release_Calendar!$A$2:$A$755,"NZ_CPI",Release_Calendar!$B$2:$B$755,$A5144)&gt;0,1,0))</f>
        <v>0</v>
      </c>
      <c r="N5144" s="16">
        <f>IF($A5144&lt;Notes!$B$5,"",IF(COUNTIFS(Release_Calendar!$A$2:$A$755,"NZ_GDP",Release_Calendar!$B$2:$B$755,$A5144)&gt;0,1,0))</f>
        <v>0</v>
      </c>
      <c r="O5144" s="16">
        <f>IF($A5144&lt;Notes!$B$5,"",IF(COUNTIFS(Release_Calendar!$A$2:$A$755,"NZ_LABOUR",Release_Calendar!$B$2:$B$755,$A5144)&gt;0,1,0))</f>
        <v>0</v>
      </c>
      <c r="P5144" s="16">
        <f t="shared" si="4"/>
        <v>0</v>
      </c>
    </row>
    <row r="5145" ht="15.75" customHeight="1">
      <c r="A5145" s="14">
        <v>43727.0</v>
      </c>
      <c r="B5145" s="15">
        <v>1.74</v>
      </c>
      <c r="C5145" s="15">
        <v>0.96</v>
      </c>
      <c r="D5145" s="15"/>
      <c r="E5145" s="15">
        <v>0.84</v>
      </c>
      <c r="F5145" s="15">
        <f t="shared" si="1"/>
        <v>-0.78</v>
      </c>
      <c r="G5145" s="15">
        <f t="shared" si="2"/>
        <v>0.96</v>
      </c>
      <c r="H5145" s="16">
        <v>0.0</v>
      </c>
      <c r="I5145" s="15">
        <f t="shared" si="3"/>
        <v>-0.78</v>
      </c>
      <c r="J5145" s="15">
        <v>14.05</v>
      </c>
      <c r="K5145" s="16">
        <f>IF(COUNTIFS(Release_Calendar!$A$2:$A$755,"US_CPI",Release_Calendar!$B$2:$B$755,$A5145)&gt;0,1,0)</f>
        <v>0</v>
      </c>
      <c r="L5145" s="16">
        <f>IF(COUNTIFS(Release_Calendar!$A$2:$A$755,"US_NFP",Release_Calendar!$B$2:$B$755,$A5145)&gt;0,1,0)</f>
        <v>0</v>
      </c>
      <c r="M5145" s="16">
        <f>IF($A5145&lt;Notes!$B$5,"",IF(COUNTIFS(Release_Calendar!$A$2:$A$755,"NZ_CPI",Release_Calendar!$B$2:$B$755,$A5145)&gt;0,1,0))</f>
        <v>0</v>
      </c>
      <c r="N5145" s="16">
        <f>IF($A5145&lt;Notes!$B$5,"",IF(COUNTIFS(Release_Calendar!$A$2:$A$755,"NZ_GDP",Release_Calendar!$B$2:$B$755,$A5145)&gt;0,1,0))</f>
        <v>1</v>
      </c>
      <c r="O5145" s="16">
        <f>IF($A5145&lt;Notes!$B$5,"",IF(COUNTIFS(Release_Calendar!$A$2:$A$755,"NZ_LABOUR",Release_Calendar!$B$2:$B$755,$A5145)&gt;0,1,0))</f>
        <v>0</v>
      </c>
      <c r="P5145" s="16">
        <f t="shared" si="4"/>
        <v>1</v>
      </c>
    </row>
    <row r="5146" ht="15.75" customHeight="1">
      <c r="A5146" s="14">
        <v>43728.0</v>
      </c>
      <c r="B5146" s="15">
        <v>1.69</v>
      </c>
      <c r="C5146" s="15">
        <v>0.94</v>
      </c>
      <c r="D5146" s="15"/>
      <c r="E5146" s="15">
        <v>0.83</v>
      </c>
      <c r="F5146" s="15">
        <f t="shared" si="1"/>
        <v>-0.75</v>
      </c>
      <c r="G5146" s="15">
        <f t="shared" si="2"/>
        <v>0.94</v>
      </c>
      <c r="H5146" s="16">
        <v>0.0</v>
      </c>
      <c r="I5146" s="15">
        <f t="shared" si="3"/>
        <v>-0.75</v>
      </c>
      <c r="J5146" s="15">
        <v>15.32</v>
      </c>
      <c r="K5146" s="16">
        <f>IF(COUNTIFS(Release_Calendar!$A$2:$A$755,"US_CPI",Release_Calendar!$B$2:$B$755,$A5146)&gt;0,1,0)</f>
        <v>0</v>
      </c>
      <c r="L5146" s="16">
        <f>IF(COUNTIFS(Release_Calendar!$A$2:$A$755,"US_NFP",Release_Calendar!$B$2:$B$755,$A5146)&gt;0,1,0)</f>
        <v>0</v>
      </c>
      <c r="M5146" s="16">
        <f>IF($A5146&lt;Notes!$B$5,"",IF(COUNTIFS(Release_Calendar!$A$2:$A$755,"NZ_CPI",Release_Calendar!$B$2:$B$755,$A5146)&gt;0,1,0))</f>
        <v>0</v>
      </c>
      <c r="N5146" s="16">
        <f>IF($A5146&lt;Notes!$B$5,"",IF(COUNTIFS(Release_Calendar!$A$2:$A$755,"NZ_GDP",Release_Calendar!$B$2:$B$755,$A5146)&gt;0,1,0))</f>
        <v>0</v>
      </c>
      <c r="O5146" s="16">
        <f>IF($A5146&lt;Notes!$B$5,"",IF(COUNTIFS(Release_Calendar!$A$2:$A$755,"NZ_LABOUR",Release_Calendar!$B$2:$B$755,$A5146)&gt;0,1,0))</f>
        <v>0</v>
      </c>
      <c r="P5146" s="16">
        <f t="shared" si="4"/>
        <v>0</v>
      </c>
    </row>
    <row r="5147" ht="15.75" customHeight="1">
      <c r="A5147" s="14">
        <v>43731.0</v>
      </c>
      <c r="B5147" s="15">
        <v>1.68</v>
      </c>
      <c r="C5147" s="15">
        <v>0.93</v>
      </c>
      <c r="D5147" s="15"/>
      <c r="E5147" s="15">
        <v>0.81</v>
      </c>
      <c r="F5147" s="15">
        <f t="shared" si="1"/>
        <v>-0.75</v>
      </c>
      <c r="G5147" s="15">
        <f t="shared" si="2"/>
        <v>0.93</v>
      </c>
      <c r="H5147" s="16">
        <v>0.0</v>
      </c>
      <c r="I5147" s="15">
        <f t="shared" si="3"/>
        <v>-0.75</v>
      </c>
      <c r="J5147" s="15">
        <v>14.91</v>
      </c>
      <c r="K5147" s="16">
        <f>IF(COUNTIFS(Release_Calendar!$A$2:$A$755,"US_CPI",Release_Calendar!$B$2:$B$755,$A5147)&gt;0,1,0)</f>
        <v>0</v>
      </c>
      <c r="L5147" s="16">
        <f>IF(COUNTIFS(Release_Calendar!$A$2:$A$755,"US_NFP",Release_Calendar!$B$2:$B$755,$A5147)&gt;0,1,0)</f>
        <v>0</v>
      </c>
      <c r="M5147" s="16">
        <f>IF($A5147&lt;Notes!$B$5,"",IF(COUNTIFS(Release_Calendar!$A$2:$A$755,"NZ_CPI",Release_Calendar!$B$2:$B$755,$A5147)&gt;0,1,0))</f>
        <v>0</v>
      </c>
      <c r="N5147" s="16">
        <f>IF($A5147&lt;Notes!$B$5,"",IF(COUNTIFS(Release_Calendar!$A$2:$A$755,"NZ_GDP",Release_Calendar!$B$2:$B$755,$A5147)&gt;0,1,0))</f>
        <v>0</v>
      </c>
      <c r="O5147" s="16">
        <f>IF($A5147&lt;Notes!$B$5,"",IF(COUNTIFS(Release_Calendar!$A$2:$A$755,"NZ_LABOUR",Release_Calendar!$B$2:$B$755,$A5147)&gt;0,1,0))</f>
        <v>0</v>
      </c>
      <c r="P5147" s="16">
        <f t="shared" si="4"/>
        <v>0</v>
      </c>
    </row>
    <row r="5148" ht="15.75" customHeight="1">
      <c r="A5148" s="14">
        <v>43732.0</v>
      </c>
      <c r="B5148" s="15">
        <v>1.6</v>
      </c>
      <c r="C5148" s="15">
        <v>0.93</v>
      </c>
      <c r="D5148" s="15"/>
      <c r="E5148" s="15">
        <v>0.82</v>
      </c>
      <c r="F5148" s="15">
        <f t="shared" si="1"/>
        <v>-0.67</v>
      </c>
      <c r="G5148" s="15">
        <f t="shared" si="2"/>
        <v>0.93</v>
      </c>
      <c r="H5148" s="16">
        <v>0.0</v>
      </c>
      <c r="I5148" s="15">
        <f t="shared" si="3"/>
        <v>-0.67</v>
      </c>
      <c r="J5148" s="15">
        <v>17.05</v>
      </c>
      <c r="K5148" s="16">
        <f>IF(COUNTIFS(Release_Calendar!$A$2:$A$755,"US_CPI",Release_Calendar!$B$2:$B$755,$A5148)&gt;0,1,0)</f>
        <v>0</v>
      </c>
      <c r="L5148" s="16">
        <f>IF(COUNTIFS(Release_Calendar!$A$2:$A$755,"US_NFP",Release_Calendar!$B$2:$B$755,$A5148)&gt;0,1,0)</f>
        <v>0</v>
      </c>
      <c r="M5148" s="16">
        <f>IF($A5148&lt;Notes!$B$5,"",IF(COUNTIFS(Release_Calendar!$A$2:$A$755,"NZ_CPI",Release_Calendar!$B$2:$B$755,$A5148)&gt;0,1,0))</f>
        <v>0</v>
      </c>
      <c r="N5148" s="16">
        <f>IF($A5148&lt;Notes!$B$5,"",IF(COUNTIFS(Release_Calendar!$A$2:$A$755,"NZ_GDP",Release_Calendar!$B$2:$B$755,$A5148)&gt;0,1,0))</f>
        <v>0</v>
      </c>
      <c r="O5148" s="16">
        <f>IF($A5148&lt;Notes!$B$5,"",IF(COUNTIFS(Release_Calendar!$A$2:$A$755,"NZ_LABOUR",Release_Calendar!$B$2:$B$755,$A5148)&gt;0,1,0))</f>
        <v>0</v>
      </c>
      <c r="P5148" s="16">
        <f t="shared" si="4"/>
        <v>0</v>
      </c>
    </row>
    <row r="5149" ht="15.75" customHeight="1">
      <c r="A5149" s="14">
        <v>43733.0</v>
      </c>
      <c r="B5149" s="15">
        <v>1.68</v>
      </c>
      <c r="C5149" s="15">
        <v>0.95</v>
      </c>
      <c r="D5149" s="15"/>
      <c r="E5149" s="15">
        <v>0.82</v>
      </c>
      <c r="F5149" s="15">
        <f t="shared" si="1"/>
        <v>-0.73</v>
      </c>
      <c r="G5149" s="15">
        <f t="shared" si="2"/>
        <v>0.95</v>
      </c>
      <c r="H5149" s="16">
        <v>0.0</v>
      </c>
      <c r="I5149" s="15">
        <f t="shared" si="3"/>
        <v>-0.73</v>
      </c>
      <c r="J5149" s="15">
        <v>15.96</v>
      </c>
      <c r="K5149" s="16">
        <f>IF(COUNTIFS(Release_Calendar!$A$2:$A$755,"US_CPI",Release_Calendar!$B$2:$B$755,$A5149)&gt;0,1,0)</f>
        <v>0</v>
      </c>
      <c r="L5149" s="16">
        <f>IF(COUNTIFS(Release_Calendar!$A$2:$A$755,"US_NFP",Release_Calendar!$B$2:$B$755,$A5149)&gt;0,1,0)</f>
        <v>0</v>
      </c>
      <c r="M5149" s="16">
        <f>IF($A5149&lt;Notes!$B$5,"",IF(COUNTIFS(Release_Calendar!$A$2:$A$755,"NZ_CPI",Release_Calendar!$B$2:$B$755,$A5149)&gt;0,1,0))</f>
        <v>0</v>
      </c>
      <c r="N5149" s="16">
        <f>IF($A5149&lt;Notes!$B$5,"",IF(COUNTIFS(Release_Calendar!$A$2:$A$755,"NZ_GDP",Release_Calendar!$B$2:$B$755,$A5149)&gt;0,1,0))</f>
        <v>0</v>
      </c>
      <c r="O5149" s="16">
        <f>IF($A5149&lt;Notes!$B$5,"",IF(COUNTIFS(Release_Calendar!$A$2:$A$755,"NZ_LABOUR",Release_Calendar!$B$2:$B$755,$A5149)&gt;0,1,0))</f>
        <v>0</v>
      </c>
      <c r="P5149" s="16">
        <f t="shared" si="4"/>
        <v>0</v>
      </c>
    </row>
    <row r="5150" ht="15.75" customHeight="1">
      <c r="A5150" s="14">
        <v>43734.0</v>
      </c>
      <c r="B5150" s="15">
        <v>1.66</v>
      </c>
      <c r="C5150" s="15">
        <v>0.96</v>
      </c>
      <c r="D5150" s="15"/>
      <c r="E5150" s="15">
        <v>0.82</v>
      </c>
      <c r="F5150" s="15">
        <f t="shared" si="1"/>
        <v>-0.7</v>
      </c>
      <c r="G5150" s="15">
        <f t="shared" si="2"/>
        <v>0.96</v>
      </c>
      <c r="H5150" s="16">
        <v>0.0</v>
      </c>
      <c r="I5150" s="15">
        <f t="shared" si="3"/>
        <v>-0.7</v>
      </c>
      <c r="J5150" s="15">
        <v>16.07</v>
      </c>
      <c r="K5150" s="16">
        <f>IF(COUNTIFS(Release_Calendar!$A$2:$A$755,"US_CPI",Release_Calendar!$B$2:$B$755,$A5150)&gt;0,1,0)</f>
        <v>0</v>
      </c>
      <c r="L5150" s="16">
        <f>IF(COUNTIFS(Release_Calendar!$A$2:$A$755,"US_NFP",Release_Calendar!$B$2:$B$755,$A5150)&gt;0,1,0)</f>
        <v>0</v>
      </c>
      <c r="M5150" s="16">
        <f>IF($A5150&lt;Notes!$B$5,"",IF(COUNTIFS(Release_Calendar!$A$2:$A$755,"NZ_CPI",Release_Calendar!$B$2:$B$755,$A5150)&gt;0,1,0))</f>
        <v>0</v>
      </c>
      <c r="N5150" s="16">
        <f>IF($A5150&lt;Notes!$B$5,"",IF(COUNTIFS(Release_Calendar!$A$2:$A$755,"NZ_GDP",Release_Calendar!$B$2:$B$755,$A5150)&gt;0,1,0))</f>
        <v>0</v>
      </c>
      <c r="O5150" s="16">
        <f>IF($A5150&lt;Notes!$B$5,"",IF(COUNTIFS(Release_Calendar!$A$2:$A$755,"NZ_LABOUR",Release_Calendar!$B$2:$B$755,$A5150)&gt;0,1,0))</f>
        <v>0</v>
      </c>
      <c r="P5150" s="16">
        <f t="shared" si="4"/>
        <v>0</v>
      </c>
    </row>
    <row r="5151" ht="15.75" customHeight="1">
      <c r="A5151" s="14">
        <v>43735.0</v>
      </c>
      <c r="B5151" s="15">
        <v>1.63</v>
      </c>
      <c r="C5151" s="15">
        <v>0.95</v>
      </c>
      <c r="D5151" s="15"/>
      <c r="E5151" s="15">
        <v>0.81</v>
      </c>
      <c r="F5151" s="15">
        <f t="shared" si="1"/>
        <v>-0.68</v>
      </c>
      <c r="G5151" s="15">
        <f t="shared" si="2"/>
        <v>0.95</v>
      </c>
      <c r="H5151" s="16">
        <v>0.0</v>
      </c>
      <c r="I5151" s="15">
        <f t="shared" si="3"/>
        <v>-0.68</v>
      </c>
      <c r="J5151" s="15">
        <v>17.22</v>
      </c>
      <c r="K5151" s="16">
        <f>IF(COUNTIFS(Release_Calendar!$A$2:$A$755,"US_CPI",Release_Calendar!$B$2:$B$755,$A5151)&gt;0,1,0)</f>
        <v>0</v>
      </c>
      <c r="L5151" s="16">
        <f>IF(COUNTIFS(Release_Calendar!$A$2:$A$755,"US_NFP",Release_Calendar!$B$2:$B$755,$A5151)&gt;0,1,0)</f>
        <v>0</v>
      </c>
      <c r="M5151" s="16">
        <f>IF($A5151&lt;Notes!$B$5,"",IF(COUNTIFS(Release_Calendar!$A$2:$A$755,"NZ_CPI",Release_Calendar!$B$2:$B$755,$A5151)&gt;0,1,0))</f>
        <v>0</v>
      </c>
      <c r="N5151" s="16">
        <f>IF($A5151&lt;Notes!$B$5,"",IF(COUNTIFS(Release_Calendar!$A$2:$A$755,"NZ_GDP",Release_Calendar!$B$2:$B$755,$A5151)&gt;0,1,0))</f>
        <v>0</v>
      </c>
      <c r="O5151" s="16">
        <f>IF($A5151&lt;Notes!$B$5,"",IF(COUNTIFS(Release_Calendar!$A$2:$A$755,"NZ_LABOUR",Release_Calendar!$B$2:$B$755,$A5151)&gt;0,1,0))</f>
        <v>0</v>
      </c>
      <c r="P5151" s="16">
        <f t="shared" si="4"/>
        <v>0</v>
      </c>
    </row>
    <row r="5152" ht="15.75" customHeight="1">
      <c r="A5152" s="14">
        <v>43738.0</v>
      </c>
      <c r="B5152" s="15">
        <v>1.63</v>
      </c>
      <c r="C5152" s="15">
        <v>0.93</v>
      </c>
      <c r="D5152" s="15"/>
      <c r="E5152" s="15">
        <v>0.8</v>
      </c>
      <c r="F5152" s="15">
        <f t="shared" si="1"/>
        <v>-0.7</v>
      </c>
      <c r="G5152" s="15">
        <f t="shared" si="2"/>
        <v>0.93</v>
      </c>
      <c r="H5152" s="16">
        <v>0.0</v>
      </c>
      <c r="I5152" s="15">
        <f t="shared" si="3"/>
        <v>-0.7</v>
      </c>
      <c r="J5152" s="15">
        <v>16.24</v>
      </c>
      <c r="K5152" s="16">
        <f>IF(COUNTIFS(Release_Calendar!$A$2:$A$755,"US_CPI",Release_Calendar!$B$2:$B$755,$A5152)&gt;0,1,0)</f>
        <v>0</v>
      </c>
      <c r="L5152" s="16">
        <f>IF(COUNTIFS(Release_Calendar!$A$2:$A$755,"US_NFP",Release_Calendar!$B$2:$B$755,$A5152)&gt;0,1,0)</f>
        <v>0</v>
      </c>
      <c r="M5152" s="16">
        <f>IF($A5152&lt;Notes!$B$5,"",IF(COUNTIFS(Release_Calendar!$A$2:$A$755,"NZ_CPI",Release_Calendar!$B$2:$B$755,$A5152)&gt;0,1,0))</f>
        <v>0</v>
      </c>
      <c r="N5152" s="16">
        <f>IF($A5152&lt;Notes!$B$5,"",IF(COUNTIFS(Release_Calendar!$A$2:$A$755,"NZ_GDP",Release_Calendar!$B$2:$B$755,$A5152)&gt;0,1,0))</f>
        <v>0</v>
      </c>
      <c r="O5152" s="16">
        <f>IF($A5152&lt;Notes!$B$5,"",IF(COUNTIFS(Release_Calendar!$A$2:$A$755,"NZ_LABOUR",Release_Calendar!$B$2:$B$755,$A5152)&gt;0,1,0))</f>
        <v>0</v>
      </c>
      <c r="P5152" s="16">
        <f t="shared" si="4"/>
        <v>0</v>
      </c>
    </row>
    <row r="5153" ht="15.75" customHeight="1">
      <c r="A5153" s="14">
        <v>43739.0</v>
      </c>
      <c r="B5153" s="15">
        <v>1.56</v>
      </c>
      <c r="C5153" s="15">
        <v>0.91</v>
      </c>
      <c r="D5153" s="15"/>
      <c r="E5153" s="15">
        <v>0.79</v>
      </c>
      <c r="F5153" s="15">
        <f t="shared" si="1"/>
        <v>-0.65</v>
      </c>
      <c r="G5153" s="15">
        <f t="shared" si="2"/>
        <v>0.91</v>
      </c>
      <c r="H5153" s="16">
        <v>0.0</v>
      </c>
      <c r="I5153" s="15">
        <f t="shared" si="3"/>
        <v>-0.65</v>
      </c>
      <c r="J5153" s="15">
        <v>18.56</v>
      </c>
      <c r="K5153" s="16">
        <f>IF(COUNTIFS(Release_Calendar!$A$2:$A$755,"US_CPI",Release_Calendar!$B$2:$B$755,$A5153)&gt;0,1,0)</f>
        <v>0</v>
      </c>
      <c r="L5153" s="16">
        <f>IF(COUNTIFS(Release_Calendar!$A$2:$A$755,"US_NFP",Release_Calendar!$B$2:$B$755,$A5153)&gt;0,1,0)</f>
        <v>0</v>
      </c>
      <c r="M5153" s="16">
        <f>IF($A5153&lt;Notes!$B$5,"",IF(COUNTIFS(Release_Calendar!$A$2:$A$755,"NZ_CPI",Release_Calendar!$B$2:$B$755,$A5153)&gt;0,1,0))</f>
        <v>0</v>
      </c>
      <c r="N5153" s="16">
        <f>IF($A5153&lt;Notes!$B$5,"",IF(COUNTIFS(Release_Calendar!$A$2:$A$755,"NZ_GDP",Release_Calendar!$B$2:$B$755,$A5153)&gt;0,1,0))</f>
        <v>0</v>
      </c>
      <c r="O5153" s="16">
        <f>IF($A5153&lt;Notes!$B$5,"",IF(COUNTIFS(Release_Calendar!$A$2:$A$755,"NZ_LABOUR",Release_Calendar!$B$2:$B$755,$A5153)&gt;0,1,0))</f>
        <v>0</v>
      </c>
      <c r="P5153" s="16">
        <f t="shared" si="4"/>
        <v>0</v>
      </c>
    </row>
    <row r="5154" ht="15.75" customHeight="1">
      <c r="A5154" s="14">
        <v>43740.0</v>
      </c>
      <c r="B5154" s="15">
        <v>1.48</v>
      </c>
      <c r="C5154" s="15">
        <v>0.85</v>
      </c>
      <c r="D5154" s="15"/>
      <c r="E5154" s="15">
        <v>0.73</v>
      </c>
      <c r="F5154" s="15">
        <f t="shared" si="1"/>
        <v>-0.63</v>
      </c>
      <c r="G5154" s="15">
        <f t="shared" si="2"/>
        <v>0.85</v>
      </c>
      <c r="H5154" s="16">
        <v>0.0</v>
      </c>
      <c r="I5154" s="15">
        <f t="shared" si="3"/>
        <v>-0.63</v>
      </c>
      <c r="J5154" s="15">
        <v>20.56</v>
      </c>
      <c r="K5154" s="16">
        <f>IF(COUNTIFS(Release_Calendar!$A$2:$A$755,"US_CPI",Release_Calendar!$B$2:$B$755,$A5154)&gt;0,1,0)</f>
        <v>0</v>
      </c>
      <c r="L5154" s="16">
        <f>IF(COUNTIFS(Release_Calendar!$A$2:$A$755,"US_NFP",Release_Calendar!$B$2:$B$755,$A5154)&gt;0,1,0)</f>
        <v>0</v>
      </c>
      <c r="M5154" s="16">
        <f>IF($A5154&lt;Notes!$B$5,"",IF(COUNTIFS(Release_Calendar!$A$2:$A$755,"NZ_CPI",Release_Calendar!$B$2:$B$755,$A5154)&gt;0,1,0))</f>
        <v>0</v>
      </c>
      <c r="N5154" s="16">
        <f>IF($A5154&lt;Notes!$B$5,"",IF(COUNTIFS(Release_Calendar!$A$2:$A$755,"NZ_GDP",Release_Calendar!$B$2:$B$755,$A5154)&gt;0,1,0))</f>
        <v>0</v>
      </c>
      <c r="O5154" s="16">
        <f>IF($A5154&lt;Notes!$B$5,"",IF(COUNTIFS(Release_Calendar!$A$2:$A$755,"NZ_LABOUR",Release_Calendar!$B$2:$B$755,$A5154)&gt;0,1,0))</f>
        <v>0</v>
      </c>
      <c r="P5154" s="16">
        <f t="shared" si="4"/>
        <v>0</v>
      </c>
    </row>
    <row r="5155" ht="15.75" customHeight="1">
      <c r="A5155" s="14">
        <v>43741.0</v>
      </c>
      <c r="B5155" s="15">
        <v>1.39</v>
      </c>
      <c r="C5155" s="15">
        <v>0.82</v>
      </c>
      <c r="D5155" s="15"/>
      <c r="E5155" s="15">
        <v>0.71</v>
      </c>
      <c r="F5155" s="15">
        <f t="shared" si="1"/>
        <v>-0.57</v>
      </c>
      <c r="G5155" s="15">
        <f t="shared" si="2"/>
        <v>0.82</v>
      </c>
      <c r="H5155" s="16">
        <v>0.0</v>
      </c>
      <c r="I5155" s="15">
        <f t="shared" si="3"/>
        <v>-0.57</v>
      </c>
      <c r="J5155" s="15">
        <v>19.12</v>
      </c>
      <c r="K5155" s="16">
        <f>IF(COUNTIFS(Release_Calendar!$A$2:$A$755,"US_CPI",Release_Calendar!$B$2:$B$755,$A5155)&gt;0,1,0)</f>
        <v>0</v>
      </c>
      <c r="L5155" s="16">
        <f>IF(COUNTIFS(Release_Calendar!$A$2:$A$755,"US_NFP",Release_Calendar!$B$2:$B$755,$A5155)&gt;0,1,0)</f>
        <v>0</v>
      </c>
      <c r="M5155" s="16">
        <f>IF($A5155&lt;Notes!$B$5,"",IF(COUNTIFS(Release_Calendar!$A$2:$A$755,"NZ_CPI",Release_Calendar!$B$2:$B$755,$A5155)&gt;0,1,0))</f>
        <v>0</v>
      </c>
      <c r="N5155" s="16">
        <f>IF($A5155&lt;Notes!$B$5,"",IF(COUNTIFS(Release_Calendar!$A$2:$A$755,"NZ_GDP",Release_Calendar!$B$2:$B$755,$A5155)&gt;0,1,0))</f>
        <v>0</v>
      </c>
      <c r="O5155" s="16">
        <f>IF($A5155&lt;Notes!$B$5,"",IF(COUNTIFS(Release_Calendar!$A$2:$A$755,"NZ_LABOUR",Release_Calendar!$B$2:$B$755,$A5155)&gt;0,1,0))</f>
        <v>0</v>
      </c>
      <c r="P5155" s="16">
        <f t="shared" si="4"/>
        <v>0</v>
      </c>
    </row>
    <row r="5156" ht="15.75" customHeight="1">
      <c r="A5156" s="14">
        <v>43742.0</v>
      </c>
      <c r="B5156" s="15">
        <v>1.4</v>
      </c>
      <c r="C5156" s="15">
        <v>0.82</v>
      </c>
      <c r="D5156" s="15"/>
      <c r="E5156" s="15">
        <v>0.69</v>
      </c>
      <c r="F5156" s="15">
        <f t="shared" si="1"/>
        <v>-0.58</v>
      </c>
      <c r="G5156" s="15">
        <f t="shared" si="2"/>
        <v>0.82</v>
      </c>
      <c r="H5156" s="16">
        <v>0.0</v>
      </c>
      <c r="I5156" s="15">
        <f t="shared" si="3"/>
        <v>-0.58</v>
      </c>
      <c r="J5156" s="15">
        <v>17.04</v>
      </c>
      <c r="K5156" s="16">
        <f>IF(COUNTIFS(Release_Calendar!$A$2:$A$755,"US_CPI",Release_Calendar!$B$2:$B$755,$A5156)&gt;0,1,0)</f>
        <v>0</v>
      </c>
      <c r="L5156" s="16">
        <f>IF(COUNTIFS(Release_Calendar!$A$2:$A$755,"US_NFP",Release_Calendar!$B$2:$B$755,$A5156)&gt;0,1,0)</f>
        <v>1</v>
      </c>
      <c r="M5156" s="16">
        <f>IF($A5156&lt;Notes!$B$5,"",IF(COUNTIFS(Release_Calendar!$A$2:$A$755,"NZ_CPI",Release_Calendar!$B$2:$B$755,$A5156)&gt;0,1,0))</f>
        <v>0</v>
      </c>
      <c r="N5156" s="16">
        <f>IF($A5156&lt;Notes!$B$5,"",IF(COUNTIFS(Release_Calendar!$A$2:$A$755,"NZ_GDP",Release_Calendar!$B$2:$B$755,$A5156)&gt;0,1,0))</f>
        <v>0</v>
      </c>
      <c r="O5156" s="16">
        <f>IF($A5156&lt;Notes!$B$5,"",IF(COUNTIFS(Release_Calendar!$A$2:$A$755,"NZ_LABOUR",Release_Calendar!$B$2:$B$755,$A5156)&gt;0,1,0))</f>
        <v>0</v>
      </c>
      <c r="P5156" s="16">
        <f t="shared" si="4"/>
        <v>1</v>
      </c>
    </row>
    <row r="5157" ht="15.75" customHeight="1">
      <c r="A5157" s="14">
        <v>43745.0</v>
      </c>
      <c r="B5157" s="15">
        <v>1.46</v>
      </c>
      <c r="C5157" s="15">
        <v>0.82</v>
      </c>
      <c r="D5157" s="15"/>
      <c r="E5157" s="15">
        <v>0.69</v>
      </c>
      <c r="F5157" s="15">
        <f t="shared" si="1"/>
        <v>-0.64</v>
      </c>
      <c r="G5157" s="15">
        <f t="shared" si="2"/>
        <v>0.82</v>
      </c>
      <c r="H5157" s="16">
        <v>0.0</v>
      </c>
      <c r="I5157" s="15">
        <f t="shared" si="3"/>
        <v>-0.64</v>
      </c>
      <c r="J5157" s="15">
        <v>17.86</v>
      </c>
      <c r="K5157" s="16">
        <f>IF(COUNTIFS(Release_Calendar!$A$2:$A$755,"US_CPI",Release_Calendar!$B$2:$B$755,$A5157)&gt;0,1,0)</f>
        <v>0</v>
      </c>
      <c r="L5157" s="16">
        <f>IF(COUNTIFS(Release_Calendar!$A$2:$A$755,"US_NFP",Release_Calendar!$B$2:$B$755,$A5157)&gt;0,1,0)</f>
        <v>0</v>
      </c>
      <c r="M5157" s="16">
        <f>IF($A5157&lt;Notes!$B$5,"",IF(COUNTIFS(Release_Calendar!$A$2:$A$755,"NZ_CPI",Release_Calendar!$B$2:$B$755,$A5157)&gt;0,1,0))</f>
        <v>0</v>
      </c>
      <c r="N5157" s="16">
        <f>IF($A5157&lt;Notes!$B$5,"",IF(COUNTIFS(Release_Calendar!$A$2:$A$755,"NZ_GDP",Release_Calendar!$B$2:$B$755,$A5157)&gt;0,1,0))</f>
        <v>0</v>
      </c>
      <c r="O5157" s="16">
        <f>IF($A5157&lt;Notes!$B$5,"",IF(COUNTIFS(Release_Calendar!$A$2:$A$755,"NZ_LABOUR",Release_Calendar!$B$2:$B$755,$A5157)&gt;0,1,0))</f>
        <v>0</v>
      </c>
      <c r="P5157" s="16">
        <f t="shared" si="4"/>
        <v>0</v>
      </c>
    </row>
    <row r="5158" ht="15.75" customHeight="1">
      <c r="A5158" s="14">
        <v>43746.0</v>
      </c>
      <c r="B5158" s="15">
        <v>1.42</v>
      </c>
      <c r="C5158" s="15">
        <v>0.82</v>
      </c>
      <c r="D5158" s="15"/>
      <c r="E5158" s="15">
        <v>0.7</v>
      </c>
      <c r="F5158" s="15">
        <f t="shared" si="1"/>
        <v>-0.6</v>
      </c>
      <c r="G5158" s="15">
        <f t="shared" si="2"/>
        <v>0.82</v>
      </c>
      <c r="H5158" s="16">
        <v>0.0</v>
      </c>
      <c r="I5158" s="15">
        <f t="shared" si="3"/>
        <v>-0.6</v>
      </c>
      <c r="J5158" s="15">
        <v>20.28</v>
      </c>
      <c r="K5158" s="16">
        <f>IF(COUNTIFS(Release_Calendar!$A$2:$A$755,"US_CPI",Release_Calendar!$B$2:$B$755,$A5158)&gt;0,1,0)</f>
        <v>0</v>
      </c>
      <c r="L5158" s="16">
        <f>IF(COUNTIFS(Release_Calendar!$A$2:$A$755,"US_NFP",Release_Calendar!$B$2:$B$755,$A5158)&gt;0,1,0)</f>
        <v>0</v>
      </c>
      <c r="M5158" s="16">
        <f>IF($A5158&lt;Notes!$B$5,"",IF(COUNTIFS(Release_Calendar!$A$2:$A$755,"NZ_CPI",Release_Calendar!$B$2:$B$755,$A5158)&gt;0,1,0))</f>
        <v>0</v>
      </c>
      <c r="N5158" s="16">
        <f>IF($A5158&lt;Notes!$B$5,"",IF(COUNTIFS(Release_Calendar!$A$2:$A$755,"NZ_GDP",Release_Calendar!$B$2:$B$755,$A5158)&gt;0,1,0))</f>
        <v>0</v>
      </c>
      <c r="O5158" s="16">
        <f>IF($A5158&lt;Notes!$B$5,"",IF(COUNTIFS(Release_Calendar!$A$2:$A$755,"NZ_LABOUR",Release_Calendar!$B$2:$B$755,$A5158)&gt;0,1,0))</f>
        <v>0</v>
      </c>
      <c r="P5158" s="16">
        <f t="shared" si="4"/>
        <v>0</v>
      </c>
    </row>
    <row r="5159" ht="15.75" customHeight="1">
      <c r="A5159" s="14">
        <v>43747.0</v>
      </c>
      <c r="B5159" s="15">
        <v>1.47</v>
      </c>
      <c r="C5159" s="15">
        <v>0.83</v>
      </c>
      <c r="D5159" s="15"/>
      <c r="E5159" s="15">
        <v>0.72</v>
      </c>
      <c r="F5159" s="15">
        <f t="shared" si="1"/>
        <v>-0.64</v>
      </c>
      <c r="G5159" s="15">
        <f t="shared" si="2"/>
        <v>0.83</v>
      </c>
      <c r="H5159" s="16">
        <v>0.0</v>
      </c>
      <c r="I5159" s="15">
        <f t="shared" si="3"/>
        <v>-0.64</v>
      </c>
      <c r="J5159" s="15">
        <v>18.64</v>
      </c>
      <c r="K5159" s="16">
        <f>IF(COUNTIFS(Release_Calendar!$A$2:$A$755,"US_CPI",Release_Calendar!$B$2:$B$755,$A5159)&gt;0,1,0)</f>
        <v>0</v>
      </c>
      <c r="L5159" s="16">
        <f>IF(COUNTIFS(Release_Calendar!$A$2:$A$755,"US_NFP",Release_Calendar!$B$2:$B$755,$A5159)&gt;0,1,0)</f>
        <v>0</v>
      </c>
      <c r="M5159" s="16">
        <f>IF($A5159&lt;Notes!$B$5,"",IF(COUNTIFS(Release_Calendar!$A$2:$A$755,"NZ_CPI",Release_Calendar!$B$2:$B$755,$A5159)&gt;0,1,0))</f>
        <v>0</v>
      </c>
      <c r="N5159" s="16">
        <f>IF($A5159&lt;Notes!$B$5,"",IF(COUNTIFS(Release_Calendar!$A$2:$A$755,"NZ_GDP",Release_Calendar!$B$2:$B$755,$A5159)&gt;0,1,0))</f>
        <v>0</v>
      </c>
      <c r="O5159" s="16">
        <f>IF($A5159&lt;Notes!$B$5,"",IF(COUNTIFS(Release_Calendar!$A$2:$A$755,"NZ_LABOUR",Release_Calendar!$B$2:$B$755,$A5159)&gt;0,1,0))</f>
        <v>0</v>
      </c>
      <c r="P5159" s="16">
        <f t="shared" si="4"/>
        <v>0</v>
      </c>
    </row>
    <row r="5160" ht="15.75" customHeight="1">
      <c r="A5160" s="14">
        <v>43748.0</v>
      </c>
      <c r="B5160" s="15">
        <v>1.53</v>
      </c>
      <c r="C5160" s="15">
        <v>0.85</v>
      </c>
      <c r="D5160" s="15"/>
      <c r="E5160" s="15">
        <v>0.74</v>
      </c>
      <c r="F5160" s="15">
        <f t="shared" si="1"/>
        <v>-0.68</v>
      </c>
      <c r="G5160" s="15">
        <f t="shared" si="2"/>
        <v>0.85</v>
      </c>
      <c r="H5160" s="16">
        <v>0.0</v>
      </c>
      <c r="I5160" s="15">
        <f t="shared" si="3"/>
        <v>-0.68</v>
      </c>
      <c r="J5160" s="15">
        <v>17.57</v>
      </c>
      <c r="K5160" s="16">
        <f>IF(COUNTIFS(Release_Calendar!$A$2:$A$755,"US_CPI",Release_Calendar!$B$2:$B$755,$A5160)&gt;0,1,0)</f>
        <v>1</v>
      </c>
      <c r="L5160" s="16">
        <f>IF(COUNTIFS(Release_Calendar!$A$2:$A$755,"US_NFP",Release_Calendar!$B$2:$B$755,$A5160)&gt;0,1,0)</f>
        <v>0</v>
      </c>
      <c r="M5160" s="16">
        <f>IF($A5160&lt;Notes!$B$5,"",IF(COUNTIFS(Release_Calendar!$A$2:$A$755,"NZ_CPI",Release_Calendar!$B$2:$B$755,$A5160)&gt;0,1,0))</f>
        <v>0</v>
      </c>
      <c r="N5160" s="16">
        <f>IF($A5160&lt;Notes!$B$5,"",IF(COUNTIFS(Release_Calendar!$A$2:$A$755,"NZ_GDP",Release_Calendar!$B$2:$B$755,$A5160)&gt;0,1,0))</f>
        <v>0</v>
      </c>
      <c r="O5160" s="16">
        <f>IF($A5160&lt;Notes!$B$5,"",IF(COUNTIFS(Release_Calendar!$A$2:$A$755,"NZ_LABOUR",Release_Calendar!$B$2:$B$755,$A5160)&gt;0,1,0))</f>
        <v>0</v>
      </c>
      <c r="P5160" s="16">
        <f t="shared" si="4"/>
        <v>1</v>
      </c>
    </row>
    <row r="5161" ht="15.75" customHeight="1">
      <c r="A5161" s="14">
        <v>43749.0</v>
      </c>
      <c r="B5161" s="15">
        <v>1.63</v>
      </c>
      <c r="C5161" s="15">
        <v>0.88</v>
      </c>
      <c r="D5161" s="15"/>
      <c r="E5161" s="15">
        <v>0.8</v>
      </c>
      <c r="F5161" s="15">
        <f t="shared" si="1"/>
        <v>-0.75</v>
      </c>
      <c r="G5161" s="15">
        <f t="shared" si="2"/>
        <v>0.88</v>
      </c>
      <c r="H5161" s="16">
        <v>0.0</v>
      </c>
      <c r="I5161" s="15">
        <f t="shared" si="3"/>
        <v>-0.75</v>
      </c>
      <c r="J5161" s="15">
        <v>15.58</v>
      </c>
      <c r="K5161" s="16">
        <f>IF(COUNTIFS(Release_Calendar!$A$2:$A$755,"US_CPI",Release_Calendar!$B$2:$B$755,$A5161)&gt;0,1,0)</f>
        <v>0</v>
      </c>
      <c r="L5161" s="16">
        <f>IF(COUNTIFS(Release_Calendar!$A$2:$A$755,"US_NFP",Release_Calendar!$B$2:$B$755,$A5161)&gt;0,1,0)</f>
        <v>0</v>
      </c>
      <c r="M5161" s="16">
        <f>IF($A5161&lt;Notes!$B$5,"",IF(COUNTIFS(Release_Calendar!$A$2:$A$755,"NZ_CPI",Release_Calendar!$B$2:$B$755,$A5161)&gt;0,1,0))</f>
        <v>0</v>
      </c>
      <c r="N5161" s="16">
        <f>IF($A5161&lt;Notes!$B$5,"",IF(COUNTIFS(Release_Calendar!$A$2:$A$755,"NZ_GDP",Release_Calendar!$B$2:$B$755,$A5161)&gt;0,1,0))</f>
        <v>0</v>
      </c>
      <c r="O5161" s="16">
        <f>IF($A5161&lt;Notes!$B$5,"",IF(COUNTIFS(Release_Calendar!$A$2:$A$755,"NZ_LABOUR",Release_Calendar!$B$2:$B$755,$A5161)&gt;0,1,0))</f>
        <v>0</v>
      </c>
      <c r="P5161" s="16">
        <f t="shared" si="4"/>
        <v>0</v>
      </c>
    </row>
    <row r="5162" ht="15.75" customHeight="1">
      <c r="A5162" s="14">
        <v>43752.0</v>
      </c>
      <c r="B5162" s="15"/>
      <c r="C5162" s="15">
        <v>0.89</v>
      </c>
      <c r="D5162" s="15"/>
      <c r="E5162" s="15">
        <v>0.8</v>
      </c>
      <c r="F5162" s="15" t="str">
        <f t="shared" si="1"/>
        <v/>
      </c>
      <c r="G5162" s="15">
        <f t="shared" si="2"/>
        <v>0.89</v>
      </c>
      <c r="H5162" s="16">
        <v>0.0</v>
      </c>
      <c r="I5162" s="15" t="str">
        <f t="shared" si="3"/>
        <v/>
      </c>
      <c r="J5162" s="15">
        <v>14.57</v>
      </c>
      <c r="K5162" s="16">
        <f>IF(COUNTIFS(Release_Calendar!$A$2:$A$755,"US_CPI",Release_Calendar!$B$2:$B$755,$A5162)&gt;0,1,0)</f>
        <v>0</v>
      </c>
      <c r="L5162" s="16">
        <f>IF(COUNTIFS(Release_Calendar!$A$2:$A$755,"US_NFP",Release_Calendar!$B$2:$B$755,$A5162)&gt;0,1,0)</f>
        <v>0</v>
      </c>
      <c r="M5162" s="16">
        <f>IF($A5162&lt;Notes!$B$5,"",IF(COUNTIFS(Release_Calendar!$A$2:$A$755,"NZ_CPI",Release_Calendar!$B$2:$B$755,$A5162)&gt;0,1,0))</f>
        <v>0</v>
      </c>
      <c r="N5162" s="16">
        <f>IF($A5162&lt;Notes!$B$5,"",IF(COUNTIFS(Release_Calendar!$A$2:$A$755,"NZ_GDP",Release_Calendar!$B$2:$B$755,$A5162)&gt;0,1,0))</f>
        <v>0</v>
      </c>
      <c r="O5162" s="16">
        <f>IF($A5162&lt;Notes!$B$5,"",IF(COUNTIFS(Release_Calendar!$A$2:$A$755,"NZ_LABOUR",Release_Calendar!$B$2:$B$755,$A5162)&gt;0,1,0))</f>
        <v>0</v>
      </c>
      <c r="P5162" s="16">
        <f t="shared" si="4"/>
        <v>0</v>
      </c>
    </row>
    <row r="5163" ht="15.75" customHeight="1">
      <c r="A5163" s="14">
        <v>43753.0</v>
      </c>
      <c r="B5163" s="15">
        <v>1.61</v>
      </c>
      <c r="C5163" s="15">
        <v>0.88</v>
      </c>
      <c r="D5163" s="15"/>
      <c r="E5163" s="15">
        <v>0.78</v>
      </c>
      <c r="F5163" s="15">
        <f t="shared" si="1"/>
        <v>-0.73</v>
      </c>
      <c r="G5163" s="15">
        <f t="shared" si="2"/>
        <v>0.88</v>
      </c>
      <c r="H5163" s="16">
        <v>0.0</v>
      </c>
      <c r="I5163" s="15">
        <f t="shared" si="3"/>
        <v>-0.73</v>
      </c>
      <c r="J5163" s="15">
        <v>13.54</v>
      </c>
      <c r="K5163" s="16">
        <f>IF(COUNTIFS(Release_Calendar!$A$2:$A$755,"US_CPI",Release_Calendar!$B$2:$B$755,$A5163)&gt;0,1,0)</f>
        <v>0</v>
      </c>
      <c r="L5163" s="16">
        <f>IF(COUNTIFS(Release_Calendar!$A$2:$A$755,"US_NFP",Release_Calendar!$B$2:$B$755,$A5163)&gt;0,1,0)</f>
        <v>0</v>
      </c>
      <c r="M5163" s="16">
        <f>IF($A5163&lt;Notes!$B$5,"",IF(COUNTIFS(Release_Calendar!$A$2:$A$755,"NZ_CPI",Release_Calendar!$B$2:$B$755,$A5163)&gt;0,1,0))</f>
        <v>0</v>
      </c>
      <c r="N5163" s="16">
        <f>IF($A5163&lt;Notes!$B$5,"",IF(COUNTIFS(Release_Calendar!$A$2:$A$755,"NZ_GDP",Release_Calendar!$B$2:$B$755,$A5163)&gt;0,1,0))</f>
        <v>0</v>
      </c>
      <c r="O5163" s="16">
        <f>IF($A5163&lt;Notes!$B$5,"",IF(COUNTIFS(Release_Calendar!$A$2:$A$755,"NZ_LABOUR",Release_Calendar!$B$2:$B$755,$A5163)&gt;0,1,0))</f>
        <v>0</v>
      </c>
      <c r="P5163" s="16">
        <f t="shared" si="4"/>
        <v>0</v>
      </c>
    </row>
    <row r="5164" ht="15.75" customHeight="1">
      <c r="A5164" s="14">
        <v>43754.0</v>
      </c>
      <c r="B5164" s="15">
        <v>1.58</v>
      </c>
      <c r="C5164" s="15">
        <v>0.89</v>
      </c>
      <c r="D5164" s="15"/>
      <c r="E5164" s="15">
        <v>0.79</v>
      </c>
      <c r="F5164" s="15">
        <f t="shared" si="1"/>
        <v>-0.69</v>
      </c>
      <c r="G5164" s="15">
        <f t="shared" si="2"/>
        <v>0.89</v>
      </c>
      <c r="H5164" s="16">
        <v>0.0</v>
      </c>
      <c r="I5164" s="15">
        <f t="shared" si="3"/>
        <v>-0.69</v>
      </c>
      <c r="J5164" s="15">
        <v>13.68</v>
      </c>
      <c r="K5164" s="16">
        <f>IF(COUNTIFS(Release_Calendar!$A$2:$A$755,"US_CPI",Release_Calendar!$B$2:$B$755,$A5164)&gt;0,1,0)</f>
        <v>0</v>
      </c>
      <c r="L5164" s="16">
        <f>IF(COUNTIFS(Release_Calendar!$A$2:$A$755,"US_NFP",Release_Calendar!$B$2:$B$755,$A5164)&gt;0,1,0)</f>
        <v>0</v>
      </c>
      <c r="M5164" s="16">
        <f>IF($A5164&lt;Notes!$B$5,"",IF(COUNTIFS(Release_Calendar!$A$2:$A$755,"NZ_CPI",Release_Calendar!$B$2:$B$755,$A5164)&gt;0,1,0))</f>
        <v>1</v>
      </c>
      <c r="N5164" s="16">
        <f>IF($A5164&lt;Notes!$B$5,"",IF(COUNTIFS(Release_Calendar!$A$2:$A$755,"NZ_GDP",Release_Calendar!$B$2:$B$755,$A5164)&gt;0,1,0))</f>
        <v>0</v>
      </c>
      <c r="O5164" s="16">
        <f>IF($A5164&lt;Notes!$B$5,"",IF(COUNTIFS(Release_Calendar!$A$2:$A$755,"NZ_LABOUR",Release_Calendar!$B$2:$B$755,$A5164)&gt;0,1,0))</f>
        <v>0</v>
      </c>
      <c r="P5164" s="16">
        <f t="shared" si="4"/>
        <v>1</v>
      </c>
    </row>
    <row r="5165" ht="15.75" customHeight="1">
      <c r="A5165" s="14">
        <v>43755.0</v>
      </c>
      <c r="B5165" s="15">
        <v>1.6</v>
      </c>
      <c r="C5165" s="15">
        <v>0.91</v>
      </c>
      <c r="D5165" s="15"/>
      <c r="E5165" s="15">
        <v>0.79</v>
      </c>
      <c r="F5165" s="15">
        <f t="shared" si="1"/>
        <v>-0.69</v>
      </c>
      <c r="G5165" s="15">
        <f t="shared" si="2"/>
        <v>0.91</v>
      </c>
      <c r="H5165" s="16">
        <v>0.0</v>
      </c>
      <c r="I5165" s="15">
        <f t="shared" si="3"/>
        <v>-0.69</v>
      </c>
      <c r="J5165" s="15">
        <v>13.79</v>
      </c>
      <c r="K5165" s="16">
        <f>IF(COUNTIFS(Release_Calendar!$A$2:$A$755,"US_CPI",Release_Calendar!$B$2:$B$755,$A5165)&gt;0,1,0)</f>
        <v>0</v>
      </c>
      <c r="L5165" s="16">
        <f>IF(COUNTIFS(Release_Calendar!$A$2:$A$755,"US_NFP",Release_Calendar!$B$2:$B$755,$A5165)&gt;0,1,0)</f>
        <v>0</v>
      </c>
      <c r="M5165" s="16">
        <f>IF($A5165&lt;Notes!$B$5,"",IF(COUNTIFS(Release_Calendar!$A$2:$A$755,"NZ_CPI",Release_Calendar!$B$2:$B$755,$A5165)&gt;0,1,0))</f>
        <v>0</v>
      </c>
      <c r="N5165" s="16">
        <f>IF($A5165&lt;Notes!$B$5,"",IF(COUNTIFS(Release_Calendar!$A$2:$A$755,"NZ_GDP",Release_Calendar!$B$2:$B$755,$A5165)&gt;0,1,0))</f>
        <v>0</v>
      </c>
      <c r="O5165" s="16">
        <f>IF($A5165&lt;Notes!$B$5,"",IF(COUNTIFS(Release_Calendar!$A$2:$A$755,"NZ_LABOUR",Release_Calendar!$B$2:$B$755,$A5165)&gt;0,1,0))</f>
        <v>0</v>
      </c>
      <c r="P5165" s="16">
        <f t="shared" si="4"/>
        <v>0</v>
      </c>
    </row>
    <row r="5166" ht="15.75" customHeight="1">
      <c r="A5166" s="14">
        <v>43756.0</v>
      </c>
      <c r="B5166" s="15">
        <v>1.58</v>
      </c>
      <c r="C5166" s="15">
        <v>0.94</v>
      </c>
      <c r="D5166" s="15"/>
      <c r="E5166" s="15">
        <v>0.81</v>
      </c>
      <c r="F5166" s="15">
        <f t="shared" si="1"/>
        <v>-0.64</v>
      </c>
      <c r="G5166" s="15">
        <f t="shared" si="2"/>
        <v>0.94</v>
      </c>
      <c r="H5166" s="16">
        <v>0.0</v>
      </c>
      <c r="I5166" s="15">
        <f t="shared" si="3"/>
        <v>-0.64</v>
      </c>
      <c r="J5166" s="15">
        <v>14.25</v>
      </c>
      <c r="K5166" s="16">
        <f>IF(COUNTIFS(Release_Calendar!$A$2:$A$755,"US_CPI",Release_Calendar!$B$2:$B$755,$A5166)&gt;0,1,0)</f>
        <v>0</v>
      </c>
      <c r="L5166" s="16">
        <f>IF(COUNTIFS(Release_Calendar!$A$2:$A$755,"US_NFP",Release_Calendar!$B$2:$B$755,$A5166)&gt;0,1,0)</f>
        <v>0</v>
      </c>
      <c r="M5166" s="16">
        <f>IF($A5166&lt;Notes!$B$5,"",IF(COUNTIFS(Release_Calendar!$A$2:$A$755,"NZ_CPI",Release_Calendar!$B$2:$B$755,$A5166)&gt;0,1,0))</f>
        <v>0</v>
      </c>
      <c r="N5166" s="16">
        <f>IF($A5166&lt;Notes!$B$5,"",IF(COUNTIFS(Release_Calendar!$A$2:$A$755,"NZ_GDP",Release_Calendar!$B$2:$B$755,$A5166)&gt;0,1,0))</f>
        <v>0</v>
      </c>
      <c r="O5166" s="16">
        <f>IF($A5166&lt;Notes!$B$5,"",IF(COUNTIFS(Release_Calendar!$A$2:$A$755,"NZ_LABOUR",Release_Calendar!$B$2:$B$755,$A5166)&gt;0,1,0))</f>
        <v>0</v>
      </c>
      <c r="P5166" s="16">
        <f t="shared" si="4"/>
        <v>0</v>
      </c>
    </row>
    <row r="5167" ht="15.75" customHeight="1">
      <c r="A5167" s="14">
        <v>43759.0</v>
      </c>
      <c r="B5167" s="15">
        <v>1.62</v>
      </c>
      <c r="C5167" s="15">
        <v>0.96</v>
      </c>
      <c r="D5167" s="15"/>
      <c r="E5167" s="15">
        <v>0.82</v>
      </c>
      <c r="F5167" s="15">
        <f t="shared" si="1"/>
        <v>-0.66</v>
      </c>
      <c r="G5167" s="15">
        <f t="shared" si="2"/>
        <v>0.96</v>
      </c>
      <c r="H5167" s="16">
        <v>0.0</v>
      </c>
      <c r="I5167" s="15">
        <f t="shared" si="3"/>
        <v>-0.66</v>
      </c>
      <c r="J5167" s="15">
        <v>14.0</v>
      </c>
      <c r="K5167" s="16">
        <f>IF(COUNTIFS(Release_Calendar!$A$2:$A$755,"US_CPI",Release_Calendar!$B$2:$B$755,$A5167)&gt;0,1,0)</f>
        <v>0</v>
      </c>
      <c r="L5167" s="16">
        <f>IF(COUNTIFS(Release_Calendar!$A$2:$A$755,"US_NFP",Release_Calendar!$B$2:$B$755,$A5167)&gt;0,1,0)</f>
        <v>0</v>
      </c>
      <c r="M5167" s="16">
        <f>IF($A5167&lt;Notes!$B$5,"",IF(COUNTIFS(Release_Calendar!$A$2:$A$755,"NZ_CPI",Release_Calendar!$B$2:$B$755,$A5167)&gt;0,1,0))</f>
        <v>0</v>
      </c>
      <c r="N5167" s="16">
        <f>IF($A5167&lt;Notes!$B$5,"",IF(COUNTIFS(Release_Calendar!$A$2:$A$755,"NZ_GDP",Release_Calendar!$B$2:$B$755,$A5167)&gt;0,1,0))</f>
        <v>0</v>
      </c>
      <c r="O5167" s="16">
        <f>IF($A5167&lt;Notes!$B$5,"",IF(COUNTIFS(Release_Calendar!$A$2:$A$755,"NZ_LABOUR",Release_Calendar!$B$2:$B$755,$A5167)&gt;0,1,0))</f>
        <v>0</v>
      </c>
      <c r="P5167" s="16">
        <f t="shared" si="4"/>
        <v>0</v>
      </c>
    </row>
    <row r="5168" ht="15.75" customHeight="1">
      <c r="A5168" s="14">
        <v>43760.0</v>
      </c>
      <c r="B5168" s="15">
        <v>1.6</v>
      </c>
      <c r="C5168" s="15">
        <v>1.0</v>
      </c>
      <c r="D5168" s="15"/>
      <c r="E5168" s="15">
        <v>0.86</v>
      </c>
      <c r="F5168" s="15">
        <f t="shared" si="1"/>
        <v>-0.6</v>
      </c>
      <c r="G5168" s="15">
        <f t="shared" si="2"/>
        <v>1</v>
      </c>
      <c r="H5168" s="16">
        <v>0.0</v>
      </c>
      <c r="I5168" s="15">
        <f t="shared" si="3"/>
        <v>-0.6</v>
      </c>
      <c r="J5168" s="15">
        <v>14.46</v>
      </c>
      <c r="K5168" s="16">
        <f>IF(COUNTIFS(Release_Calendar!$A$2:$A$755,"US_CPI",Release_Calendar!$B$2:$B$755,$A5168)&gt;0,1,0)</f>
        <v>0</v>
      </c>
      <c r="L5168" s="16">
        <f>IF(COUNTIFS(Release_Calendar!$A$2:$A$755,"US_NFP",Release_Calendar!$B$2:$B$755,$A5168)&gt;0,1,0)</f>
        <v>0</v>
      </c>
      <c r="M5168" s="16">
        <f>IF($A5168&lt;Notes!$B$5,"",IF(COUNTIFS(Release_Calendar!$A$2:$A$755,"NZ_CPI",Release_Calendar!$B$2:$B$755,$A5168)&gt;0,1,0))</f>
        <v>0</v>
      </c>
      <c r="N5168" s="16">
        <f>IF($A5168&lt;Notes!$B$5,"",IF(COUNTIFS(Release_Calendar!$A$2:$A$755,"NZ_GDP",Release_Calendar!$B$2:$B$755,$A5168)&gt;0,1,0))</f>
        <v>0</v>
      </c>
      <c r="O5168" s="16">
        <f>IF($A5168&lt;Notes!$B$5,"",IF(COUNTIFS(Release_Calendar!$A$2:$A$755,"NZ_LABOUR",Release_Calendar!$B$2:$B$755,$A5168)&gt;0,1,0))</f>
        <v>0</v>
      </c>
      <c r="P5168" s="16">
        <f t="shared" si="4"/>
        <v>0</v>
      </c>
    </row>
    <row r="5169" ht="15.75" customHeight="1">
      <c r="A5169" s="14">
        <v>43761.0</v>
      </c>
      <c r="B5169" s="15">
        <v>1.58</v>
      </c>
      <c r="C5169" s="15">
        <v>0.97</v>
      </c>
      <c r="D5169" s="15"/>
      <c r="E5169" s="15">
        <v>0.83</v>
      </c>
      <c r="F5169" s="15">
        <f t="shared" si="1"/>
        <v>-0.61</v>
      </c>
      <c r="G5169" s="15">
        <f t="shared" si="2"/>
        <v>0.97</v>
      </c>
      <c r="H5169" s="16">
        <v>0.0</v>
      </c>
      <c r="I5169" s="15">
        <f t="shared" si="3"/>
        <v>-0.61</v>
      </c>
      <c r="J5169" s="15">
        <v>14.01</v>
      </c>
      <c r="K5169" s="16">
        <f>IF(COUNTIFS(Release_Calendar!$A$2:$A$755,"US_CPI",Release_Calendar!$B$2:$B$755,$A5169)&gt;0,1,0)</f>
        <v>0</v>
      </c>
      <c r="L5169" s="16">
        <f>IF(COUNTIFS(Release_Calendar!$A$2:$A$755,"US_NFP",Release_Calendar!$B$2:$B$755,$A5169)&gt;0,1,0)</f>
        <v>0</v>
      </c>
      <c r="M5169" s="16">
        <f>IF($A5169&lt;Notes!$B$5,"",IF(COUNTIFS(Release_Calendar!$A$2:$A$755,"NZ_CPI",Release_Calendar!$B$2:$B$755,$A5169)&gt;0,1,0))</f>
        <v>0</v>
      </c>
      <c r="N5169" s="16">
        <f>IF($A5169&lt;Notes!$B$5,"",IF(COUNTIFS(Release_Calendar!$A$2:$A$755,"NZ_GDP",Release_Calendar!$B$2:$B$755,$A5169)&gt;0,1,0))</f>
        <v>0</v>
      </c>
      <c r="O5169" s="16">
        <f>IF($A5169&lt;Notes!$B$5,"",IF(COUNTIFS(Release_Calendar!$A$2:$A$755,"NZ_LABOUR",Release_Calendar!$B$2:$B$755,$A5169)&gt;0,1,0))</f>
        <v>0</v>
      </c>
      <c r="P5169" s="16">
        <f t="shared" si="4"/>
        <v>0</v>
      </c>
    </row>
    <row r="5170" ht="15.75" customHeight="1">
      <c r="A5170" s="14">
        <v>43762.0</v>
      </c>
      <c r="B5170" s="15">
        <v>1.58</v>
      </c>
      <c r="C5170" s="15">
        <v>0.94</v>
      </c>
      <c r="D5170" s="15"/>
      <c r="E5170" s="15">
        <v>0.81</v>
      </c>
      <c r="F5170" s="15">
        <f t="shared" si="1"/>
        <v>-0.64</v>
      </c>
      <c r="G5170" s="15">
        <f t="shared" si="2"/>
        <v>0.94</v>
      </c>
      <c r="H5170" s="16">
        <v>0.0</v>
      </c>
      <c r="I5170" s="15">
        <f t="shared" si="3"/>
        <v>-0.64</v>
      </c>
      <c r="J5170" s="15">
        <v>13.71</v>
      </c>
      <c r="K5170" s="16">
        <f>IF(COUNTIFS(Release_Calendar!$A$2:$A$755,"US_CPI",Release_Calendar!$B$2:$B$755,$A5170)&gt;0,1,0)</f>
        <v>0</v>
      </c>
      <c r="L5170" s="16">
        <f>IF(COUNTIFS(Release_Calendar!$A$2:$A$755,"US_NFP",Release_Calendar!$B$2:$B$755,$A5170)&gt;0,1,0)</f>
        <v>0</v>
      </c>
      <c r="M5170" s="16">
        <f>IF($A5170&lt;Notes!$B$5,"",IF(COUNTIFS(Release_Calendar!$A$2:$A$755,"NZ_CPI",Release_Calendar!$B$2:$B$755,$A5170)&gt;0,1,0))</f>
        <v>0</v>
      </c>
      <c r="N5170" s="16">
        <f>IF($A5170&lt;Notes!$B$5,"",IF(COUNTIFS(Release_Calendar!$A$2:$A$755,"NZ_GDP",Release_Calendar!$B$2:$B$755,$A5170)&gt;0,1,0))</f>
        <v>0</v>
      </c>
      <c r="O5170" s="16">
        <f>IF($A5170&lt;Notes!$B$5,"",IF(COUNTIFS(Release_Calendar!$A$2:$A$755,"NZ_LABOUR",Release_Calendar!$B$2:$B$755,$A5170)&gt;0,1,0))</f>
        <v>0</v>
      </c>
      <c r="P5170" s="16">
        <f t="shared" si="4"/>
        <v>0</v>
      </c>
    </row>
    <row r="5171" ht="15.75" customHeight="1">
      <c r="A5171" s="14">
        <v>43763.0</v>
      </c>
      <c r="B5171" s="15">
        <v>1.63</v>
      </c>
      <c r="C5171" s="15">
        <v>0.93</v>
      </c>
      <c r="D5171" s="15"/>
      <c r="E5171" s="15">
        <v>0.79</v>
      </c>
      <c r="F5171" s="15">
        <f t="shared" si="1"/>
        <v>-0.7</v>
      </c>
      <c r="G5171" s="15">
        <f t="shared" si="2"/>
        <v>0.93</v>
      </c>
      <c r="H5171" s="16">
        <v>0.0</v>
      </c>
      <c r="I5171" s="15">
        <f t="shared" si="3"/>
        <v>-0.7</v>
      </c>
      <c r="J5171" s="15">
        <v>12.65</v>
      </c>
      <c r="K5171" s="16">
        <f>IF(COUNTIFS(Release_Calendar!$A$2:$A$755,"US_CPI",Release_Calendar!$B$2:$B$755,$A5171)&gt;0,1,0)</f>
        <v>0</v>
      </c>
      <c r="L5171" s="16">
        <f>IF(COUNTIFS(Release_Calendar!$A$2:$A$755,"US_NFP",Release_Calendar!$B$2:$B$755,$A5171)&gt;0,1,0)</f>
        <v>0</v>
      </c>
      <c r="M5171" s="16">
        <f>IF($A5171&lt;Notes!$B$5,"",IF(COUNTIFS(Release_Calendar!$A$2:$A$755,"NZ_CPI",Release_Calendar!$B$2:$B$755,$A5171)&gt;0,1,0))</f>
        <v>0</v>
      </c>
      <c r="N5171" s="16">
        <f>IF($A5171&lt;Notes!$B$5,"",IF(COUNTIFS(Release_Calendar!$A$2:$A$755,"NZ_GDP",Release_Calendar!$B$2:$B$755,$A5171)&gt;0,1,0))</f>
        <v>0</v>
      </c>
      <c r="O5171" s="16">
        <f>IF($A5171&lt;Notes!$B$5,"",IF(COUNTIFS(Release_Calendar!$A$2:$A$755,"NZ_LABOUR",Release_Calendar!$B$2:$B$755,$A5171)&gt;0,1,0))</f>
        <v>0</v>
      </c>
      <c r="P5171" s="16">
        <f t="shared" si="4"/>
        <v>0</v>
      </c>
    </row>
    <row r="5172" ht="15.75" customHeight="1">
      <c r="A5172" s="14">
        <v>43766.0</v>
      </c>
      <c r="B5172" s="15">
        <v>1.64</v>
      </c>
      <c r="C5172" s="15"/>
      <c r="D5172" s="15"/>
      <c r="E5172" s="15"/>
      <c r="F5172" s="15" t="str">
        <f t="shared" si="1"/>
        <v/>
      </c>
      <c r="G5172" s="15" t="str">
        <f t="shared" si="2"/>
        <v/>
      </c>
      <c r="H5172" s="16">
        <v>0.0</v>
      </c>
      <c r="I5172" s="15" t="str">
        <f t="shared" si="3"/>
        <v/>
      </c>
      <c r="J5172" s="15">
        <v>13.11</v>
      </c>
      <c r="K5172" s="16">
        <f>IF(COUNTIFS(Release_Calendar!$A$2:$A$755,"US_CPI",Release_Calendar!$B$2:$B$755,$A5172)&gt;0,1,0)</f>
        <v>0</v>
      </c>
      <c r="L5172" s="16">
        <f>IF(COUNTIFS(Release_Calendar!$A$2:$A$755,"US_NFP",Release_Calendar!$B$2:$B$755,$A5172)&gt;0,1,0)</f>
        <v>0</v>
      </c>
      <c r="M5172" s="16">
        <f>IF($A5172&lt;Notes!$B$5,"",IF(COUNTIFS(Release_Calendar!$A$2:$A$755,"NZ_CPI",Release_Calendar!$B$2:$B$755,$A5172)&gt;0,1,0))</f>
        <v>0</v>
      </c>
      <c r="N5172" s="16">
        <f>IF($A5172&lt;Notes!$B$5,"",IF(COUNTIFS(Release_Calendar!$A$2:$A$755,"NZ_GDP",Release_Calendar!$B$2:$B$755,$A5172)&gt;0,1,0))</f>
        <v>0</v>
      </c>
      <c r="O5172" s="16">
        <f>IF($A5172&lt;Notes!$B$5,"",IF(COUNTIFS(Release_Calendar!$A$2:$A$755,"NZ_LABOUR",Release_Calendar!$B$2:$B$755,$A5172)&gt;0,1,0))</f>
        <v>0</v>
      </c>
      <c r="P5172" s="16">
        <f t="shared" si="4"/>
        <v>0</v>
      </c>
    </row>
    <row r="5173" ht="15.75" customHeight="1">
      <c r="A5173" s="14">
        <v>43767.0</v>
      </c>
      <c r="B5173" s="15">
        <v>1.64</v>
      </c>
      <c r="C5173" s="15">
        <v>0.98</v>
      </c>
      <c r="D5173" s="15"/>
      <c r="E5173" s="15">
        <v>0.85</v>
      </c>
      <c r="F5173" s="15">
        <f t="shared" si="1"/>
        <v>-0.66</v>
      </c>
      <c r="G5173" s="15">
        <f t="shared" si="2"/>
        <v>0.98</v>
      </c>
      <c r="H5173" s="16">
        <v>0.0</v>
      </c>
      <c r="I5173" s="15">
        <f t="shared" si="3"/>
        <v>-0.66</v>
      </c>
      <c r="J5173" s="15">
        <v>13.2</v>
      </c>
      <c r="K5173" s="16">
        <f>IF(COUNTIFS(Release_Calendar!$A$2:$A$755,"US_CPI",Release_Calendar!$B$2:$B$755,$A5173)&gt;0,1,0)</f>
        <v>0</v>
      </c>
      <c r="L5173" s="16">
        <f>IF(COUNTIFS(Release_Calendar!$A$2:$A$755,"US_NFP",Release_Calendar!$B$2:$B$755,$A5173)&gt;0,1,0)</f>
        <v>0</v>
      </c>
      <c r="M5173" s="16">
        <f>IF($A5173&lt;Notes!$B$5,"",IF(COUNTIFS(Release_Calendar!$A$2:$A$755,"NZ_CPI",Release_Calendar!$B$2:$B$755,$A5173)&gt;0,1,0))</f>
        <v>0</v>
      </c>
      <c r="N5173" s="16">
        <f>IF($A5173&lt;Notes!$B$5,"",IF(COUNTIFS(Release_Calendar!$A$2:$A$755,"NZ_GDP",Release_Calendar!$B$2:$B$755,$A5173)&gt;0,1,0))</f>
        <v>0</v>
      </c>
      <c r="O5173" s="16">
        <f>IF($A5173&lt;Notes!$B$5,"",IF(COUNTIFS(Release_Calendar!$A$2:$A$755,"NZ_LABOUR",Release_Calendar!$B$2:$B$755,$A5173)&gt;0,1,0))</f>
        <v>0</v>
      </c>
      <c r="P5173" s="16">
        <f t="shared" si="4"/>
        <v>0</v>
      </c>
    </row>
    <row r="5174" ht="15.75" customHeight="1">
      <c r="A5174" s="14">
        <v>43768.0</v>
      </c>
      <c r="B5174" s="15">
        <v>1.61</v>
      </c>
      <c r="C5174" s="15">
        <v>0.99</v>
      </c>
      <c r="D5174" s="15"/>
      <c r="E5174" s="15">
        <v>0.84</v>
      </c>
      <c r="F5174" s="15">
        <f t="shared" si="1"/>
        <v>-0.62</v>
      </c>
      <c r="G5174" s="15">
        <f t="shared" si="2"/>
        <v>0.99</v>
      </c>
      <c r="H5174" s="16">
        <v>0.0</v>
      </c>
      <c r="I5174" s="15">
        <f t="shared" si="3"/>
        <v>-0.62</v>
      </c>
      <c r="J5174" s="15">
        <v>12.33</v>
      </c>
      <c r="K5174" s="16">
        <f>IF(COUNTIFS(Release_Calendar!$A$2:$A$755,"US_CPI",Release_Calendar!$B$2:$B$755,$A5174)&gt;0,1,0)</f>
        <v>0</v>
      </c>
      <c r="L5174" s="16">
        <f>IF(COUNTIFS(Release_Calendar!$A$2:$A$755,"US_NFP",Release_Calendar!$B$2:$B$755,$A5174)&gt;0,1,0)</f>
        <v>0</v>
      </c>
      <c r="M5174" s="16">
        <f>IF($A5174&lt;Notes!$B$5,"",IF(COUNTIFS(Release_Calendar!$A$2:$A$755,"NZ_CPI",Release_Calendar!$B$2:$B$755,$A5174)&gt;0,1,0))</f>
        <v>0</v>
      </c>
      <c r="N5174" s="16">
        <f>IF($A5174&lt;Notes!$B$5,"",IF(COUNTIFS(Release_Calendar!$A$2:$A$755,"NZ_GDP",Release_Calendar!$B$2:$B$755,$A5174)&gt;0,1,0))</f>
        <v>0</v>
      </c>
      <c r="O5174" s="16">
        <f>IF($A5174&lt;Notes!$B$5,"",IF(COUNTIFS(Release_Calendar!$A$2:$A$755,"NZ_LABOUR",Release_Calendar!$B$2:$B$755,$A5174)&gt;0,1,0))</f>
        <v>0</v>
      </c>
      <c r="P5174" s="16">
        <f t="shared" si="4"/>
        <v>0</v>
      </c>
    </row>
    <row r="5175" ht="15.75" customHeight="1">
      <c r="A5175" s="14">
        <v>43769.0</v>
      </c>
      <c r="B5175" s="15">
        <v>1.52</v>
      </c>
      <c r="C5175" s="15">
        <v>1.03</v>
      </c>
      <c r="D5175" s="15"/>
      <c r="E5175" s="15">
        <v>0.87</v>
      </c>
      <c r="F5175" s="15">
        <f t="shared" si="1"/>
        <v>-0.49</v>
      </c>
      <c r="G5175" s="15">
        <f t="shared" si="2"/>
        <v>1.03</v>
      </c>
      <c r="H5175" s="16">
        <v>0.0</v>
      </c>
      <c r="I5175" s="15">
        <f t="shared" si="3"/>
        <v>-0.49</v>
      </c>
      <c r="J5175" s="15">
        <v>13.22</v>
      </c>
      <c r="K5175" s="16">
        <f>IF(COUNTIFS(Release_Calendar!$A$2:$A$755,"US_CPI",Release_Calendar!$B$2:$B$755,$A5175)&gt;0,1,0)</f>
        <v>0</v>
      </c>
      <c r="L5175" s="16">
        <f>IF(COUNTIFS(Release_Calendar!$A$2:$A$755,"US_NFP",Release_Calendar!$B$2:$B$755,$A5175)&gt;0,1,0)</f>
        <v>0</v>
      </c>
      <c r="M5175" s="16">
        <f>IF($A5175&lt;Notes!$B$5,"",IF(COUNTIFS(Release_Calendar!$A$2:$A$755,"NZ_CPI",Release_Calendar!$B$2:$B$755,$A5175)&gt;0,1,0))</f>
        <v>0</v>
      </c>
      <c r="N5175" s="16">
        <f>IF($A5175&lt;Notes!$B$5,"",IF(COUNTIFS(Release_Calendar!$A$2:$A$755,"NZ_GDP",Release_Calendar!$B$2:$B$755,$A5175)&gt;0,1,0))</f>
        <v>0</v>
      </c>
      <c r="O5175" s="16">
        <f>IF($A5175&lt;Notes!$B$5,"",IF(COUNTIFS(Release_Calendar!$A$2:$A$755,"NZ_LABOUR",Release_Calendar!$B$2:$B$755,$A5175)&gt;0,1,0))</f>
        <v>0</v>
      </c>
      <c r="P5175" s="16">
        <f t="shared" si="4"/>
        <v>0</v>
      </c>
    </row>
    <row r="5176" ht="15.75" customHeight="1">
      <c r="A5176" s="14">
        <v>43770.0</v>
      </c>
      <c r="B5176" s="15">
        <v>1.56</v>
      </c>
      <c r="C5176" s="15">
        <v>1.02</v>
      </c>
      <c r="D5176" s="15"/>
      <c r="E5176" s="15">
        <v>0.84</v>
      </c>
      <c r="F5176" s="15">
        <f t="shared" si="1"/>
        <v>-0.54</v>
      </c>
      <c r="G5176" s="15">
        <f t="shared" si="2"/>
        <v>1.02</v>
      </c>
      <c r="H5176" s="16">
        <v>0.0</v>
      </c>
      <c r="I5176" s="15">
        <f t="shared" si="3"/>
        <v>-0.54</v>
      </c>
      <c r="J5176" s="15">
        <v>12.3</v>
      </c>
      <c r="K5176" s="16">
        <f>IF(COUNTIFS(Release_Calendar!$A$2:$A$755,"US_CPI",Release_Calendar!$B$2:$B$755,$A5176)&gt;0,1,0)</f>
        <v>0</v>
      </c>
      <c r="L5176" s="16">
        <f>IF(COUNTIFS(Release_Calendar!$A$2:$A$755,"US_NFP",Release_Calendar!$B$2:$B$755,$A5176)&gt;0,1,0)</f>
        <v>1</v>
      </c>
      <c r="M5176" s="16">
        <f>IF($A5176&lt;Notes!$B$5,"",IF(COUNTIFS(Release_Calendar!$A$2:$A$755,"NZ_CPI",Release_Calendar!$B$2:$B$755,$A5176)&gt;0,1,0))</f>
        <v>0</v>
      </c>
      <c r="N5176" s="16">
        <f>IF($A5176&lt;Notes!$B$5,"",IF(COUNTIFS(Release_Calendar!$A$2:$A$755,"NZ_GDP",Release_Calendar!$B$2:$B$755,$A5176)&gt;0,1,0))</f>
        <v>0</v>
      </c>
      <c r="O5176" s="16">
        <f>IF($A5176&lt;Notes!$B$5,"",IF(COUNTIFS(Release_Calendar!$A$2:$A$755,"NZ_LABOUR",Release_Calendar!$B$2:$B$755,$A5176)&gt;0,1,0))</f>
        <v>0</v>
      </c>
      <c r="P5176" s="16">
        <f t="shared" si="4"/>
        <v>1</v>
      </c>
    </row>
    <row r="5177" ht="15.75" customHeight="1">
      <c r="A5177" s="14">
        <v>43773.0</v>
      </c>
      <c r="B5177" s="15">
        <v>1.6</v>
      </c>
      <c r="C5177" s="15">
        <v>1.06</v>
      </c>
      <c r="D5177" s="15"/>
      <c r="E5177" s="15">
        <v>0.89</v>
      </c>
      <c r="F5177" s="15">
        <f t="shared" si="1"/>
        <v>-0.54</v>
      </c>
      <c r="G5177" s="15">
        <f t="shared" si="2"/>
        <v>1.06</v>
      </c>
      <c r="H5177" s="16">
        <v>0.0</v>
      </c>
      <c r="I5177" s="15">
        <f t="shared" si="3"/>
        <v>-0.54</v>
      </c>
      <c r="J5177" s="15">
        <v>12.83</v>
      </c>
      <c r="K5177" s="16">
        <f>IF(COUNTIFS(Release_Calendar!$A$2:$A$755,"US_CPI",Release_Calendar!$B$2:$B$755,$A5177)&gt;0,1,0)</f>
        <v>0</v>
      </c>
      <c r="L5177" s="16">
        <f>IF(COUNTIFS(Release_Calendar!$A$2:$A$755,"US_NFP",Release_Calendar!$B$2:$B$755,$A5177)&gt;0,1,0)</f>
        <v>0</v>
      </c>
      <c r="M5177" s="16">
        <f>IF($A5177&lt;Notes!$B$5,"",IF(COUNTIFS(Release_Calendar!$A$2:$A$755,"NZ_CPI",Release_Calendar!$B$2:$B$755,$A5177)&gt;0,1,0))</f>
        <v>0</v>
      </c>
      <c r="N5177" s="16">
        <f>IF($A5177&lt;Notes!$B$5,"",IF(COUNTIFS(Release_Calendar!$A$2:$A$755,"NZ_GDP",Release_Calendar!$B$2:$B$755,$A5177)&gt;0,1,0))</f>
        <v>0</v>
      </c>
      <c r="O5177" s="16">
        <f>IF($A5177&lt;Notes!$B$5,"",IF(COUNTIFS(Release_Calendar!$A$2:$A$755,"NZ_LABOUR",Release_Calendar!$B$2:$B$755,$A5177)&gt;0,1,0))</f>
        <v>0</v>
      </c>
      <c r="P5177" s="16">
        <f t="shared" si="4"/>
        <v>0</v>
      </c>
    </row>
    <row r="5178" ht="15.75" customHeight="1">
      <c r="A5178" s="14">
        <v>43774.0</v>
      </c>
      <c r="B5178" s="15">
        <v>1.63</v>
      </c>
      <c r="C5178" s="15">
        <v>1.07</v>
      </c>
      <c r="D5178" s="15"/>
      <c r="E5178" s="15">
        <v>0.89</v>
      </c>
      <c r="F5178" s="15">
        <f t="shared" si="1"/>
        <v>-0.56</v>
      </c>
      <c r="G5178" s="15">
        <f t="shared" si="2"/>
        <v>1.07</v>
      </c>
      <c r="H5178" s="16">
        <v>0.0</v>
      </c>
      <c r="I5178" s="15">
        <f t="shared" si="3"/>
        <v>-0.56</v>
      </c>
      <c r="J5178" s="15">
        <v>13.1</v>
      </c>
      <c r="K5178" s="16">
        <f>IF(COUNTIFS(Release_Calendar!$A$2:$A$755,"US_CPI",Release_Calendar!$B$2:$B$755,$A5178)&gt;0,1,0)</f>
        <v>0</v>
      </c>
      <c r="L5178" s="16">
        <f>IF(COUNTIFS(Release_Calendar!$A$2:$A$755,"US_NFP",Release_Calendar!$B$2:$B$755,$A5178)&gt;0,1,0)</f>
        <v>0</v>
      </c>
      <c r="M5178" s="16">
        <f>IF($A5178&lt;Notes!$B$5,"",IF(COUNTIFS(Release_Calendar!$A$2:$A$755,"NZ_CPI",Release_Calendar!$B$2:$B$755,$A5178)&gt;0,1,0))</f>
        <v>0</v>
      </c>
      <c r="N5178" s="16">
        <f>IF($A5178&lt;Notes!$B$5,"",IF(COUNTIFS(Release_Calendar!$A$2:$A$755,"NZ_GDP",Release_Calendar!$B$2:$B$755,$A5178)&gt;0,1,0))</f>
        <v>0</v>
      </c>
      <c r="O5178" s="16">
        <f>IF($A5178&lt;Notes!$B$5,"",IF(COUNTIFS(Release_Calendar!$A$2:$A$755,"NZ_LABOUR",Release_Calendar!$B$2:$B$755,$A5178)&gt;0,1,0))</f>
        <v>0</v>
      </c>
      <c r="P5178" s="16">
        <f t="shared" si="4"/>
        <v>0</v>
      </c>
    </row>
    <row r="5179" ht="15.75" customHeight="1">
      <c r="A5179" s="14">
        <v>43775.0</v>
      </c>
      <c r="B5179" s="15">
        <v>1.61</v>
      </c>
      <c r="C5179" s="15">
        <v>1.05</v>
      </c>
      <c r="D5179" s="15"/>
      <c r="E5179" s="15">
        <v>0.88</v>
      </c>
      <c r="F5179" s="15">
        <f t="shared" si="1"/>
        <v>-0.56</v>
      </c>
      <c r="G5179" s="15">
        <f t="shared" si="2"/>
        <v>1.05</v>
      </c>
      <c r="H5179" s="16">
        <v>0.0</v>
      </c>
      <c r="I5179" s="15">
        <f t="shared" si="3"/>
        <v>-0.56</v>
      </c>
      <c r="J5179" s="15">
        <v>12.62</v>
      </c>
      <c r="K5179" s="16">
        <f>IF(COUNTIFS(Release_Calendar!$A$2:$A$755,"US_CPI",Release_Calendar!$B$2:$B$755,$A5179)&gt;0,1,0)</f>
        <v>0</v>
      </c>
      <c r="L5179" s="16">
        <f>IF(COUNTIFS(Release_Calendar!$A$2:$A$755,"US_NFP",Release_Calendar!$B$2:$B$755,$A5179)&gt;0,1,0)</f>
        <v>0</v>
      </c>
      <c r="M5179" s="16">
        <f>IF($A5179&lt;Notes!$B$5,"",IF(COUNTIFS(Release_Calendar!$A$2:$A$755,"NZ_CPI",Release_Calendar!$B$2:$B$755,$A5179)&gt;0,1,0))</f>
        <v>0</v>
      </c>
      <c r="N5179" s="16">
        <f>IF($A5179&lt;Notes!$B$5,"",IF(COUNTIFS(Release_Calendar!$A$2:$A$755,"NZ_GDP",Release_Calendar!$B$2:$B$755,$A5179)&gt;0,1,0))</f>
        <v>0</v>
      </c>
      <c r="O5179" s="16">
        <f>IF($A5179&lt;Notes!$B$5,"",IF(COUNTIFS(Release_Calendar!$A$2:$A$755,"NZ_LABOUR",Release_Calendar!$B$2:$B$755,$A5179)&gt;0,1,0))</f>
        <v>1</v>
      </c>
      <c r="P5179" s="16">
        <f t="shared" si="4"/>
        <v>1</v>
      </c>
    </row>
    <row r="5180" ht="15.75" customHeight="1">
      <c r="A5180" s="14">
        <v>43776.0</v>
      </c>
      <c r="B5180" s="15">
        <v>1.68</v>
      </c>
      <c r="C5180" s="15">
        <v>1.02</v>
      </c>
      <c r="D5180" s="15"/>
      <c r="E5180" s="15">
        <v>0.85</v>
      </c>
      <c r="F5180" s="15">
        <f t="shared" si="1"/>
        <v>-0.66</v>
      </c>
      <c r="G5180" s="15">
        <f t="shared" si="2"/>
        <v>1.02</v>
      </c>
      <c r="H5180" s="16">
        <v>0.0</v>
      </c>
      <c r="I5180" s="15">
        <f t="shared" si="3"/>
        <v>-0.66</v>
      </c>
      <c r="J5180" s="15">
        <v>12.73</v>
      </c>
      <c r="K5180" s="16">
        <f>IF(COUNTIFS(Release_Calendar!$A$2:$A$755,"US_CPI",Release_Calendar!$B$2:$B$755,$A5180)&gt;0,1,0)</f>
        <v>0</v>
      </c>
      <c r="L5180" s="16">
        <f>IF(COUNTIFS(Release_Calendar!$A$2:$A$755,"US_NFP",Release_Calendar!$B$2:$B$755,$A5180)&gt;0,1,0)</f>
        <v>0</v>
      </c>
      <c r="M5180" s="16">
        <f>IF($A5180&lt;Notes!$B$5,"",IF(COUNTIFS(Release_Calendar!$A$2:$A$755,"NZ_CPI",Release_Calendar!$B$2:$B$755,$A5180)&gt;0,1,0))</f>
        <v>0</v>
      </c>
      <c r="N5180" s="16">
        <f>IF($A5180&lt;Notes!$B$5,"",IF(COUNTIFS(Release_Calendar!$A$2:$A$755,"NZ_GDP",Release_Calendar!$B$2:$B$755,$A5180)&gt;0,1,0))</f>
        <v>0</v>
      </c>
      <c r="O5180" s="16">
        <f>IF($A5180&lt;Notes!$B$5,"",IF(COUNTIFS(Release_Calendar!$A$2:$A$755,"NZ_LABOUR",Release_Calendar!$B$2:$B$755,$A5180)&gt;0,1,0))</f>
        <v>0</v>
      </c>
      <c r="P5180" s="16">
        <f t="shared" si="4"/>
        <v>0</v>
      </c>
    </row>
    <row r="5181" ht="15.75" customHeight="1">
      <c r="A5181" s="14">
        <v>43777.0</v>
      </c>
      <c r="B5181" s="15">
        <v>1.68</v>
      </c>
      <c r="C5181" s="15">
        <v>1.05</v>
      </c>
      <c r="D5181" s="15"/>
      <c r="E5181" s="15">
        <v>0.88</v>
      </c>
      <c r="F5181" s="15">
        <f t="shared" si="1"/>
        <v>-0.63</v>
      </c>
      <c r="G5181" s="15">
        <f t="shared" si="2"/>
        <v>1.05</v>
      </c>
      <c r="H5181" s="16">
        <v>0.0</v>
      </c>
      <c r="I5181" s="15">
        <f t="shared" si="3"/>
        <v>-0.63</v>
      </c>
      <c r="J5181" s="15">
        <v>12.07</v>
      </c>
      <c r="K5181" s="16">
        <f>IF(COUNTIFS(Release_Calendar!$A$2:$A$755,"US_CPI",Release_Calendar!$B$2:$B$755,$A5181)&gt;0,1,0)</f>
        <v>0</v>
      </c>
      <c r="L5181" s="16">
        <f>IF(COUNTIFS(Release_Calendar!$A$2:$A$755,"US_NFP",Release_Calendar!$B$2:$B$755,$A5181)&gt;0,1,0)</f>
        <v>0</v>
      </c>
      <c r="M5181" s="16">
        <f>IF($A5181&lt;Notes!$B$5,"",IF(COUNTIFS(Release_Calendar!$A$2:$A$755,"NZ_CPI",Release_Calendar!$B$2:$B$755,$A5181)&gt;0,1,0))</f>
        <v>0</v>
      </c>
      <c r="N5181" s="16">
        <f>IF($A5181&lt;Notes!$B$5,"",IF(COUNTIFS(Release_Calendar!$A$2:$A$755,"NZ_GDP",Release_Calendar!$B$2:$B$755,$A5181)&gt;0,1,0))</f>
        <v>0</v>
      </c>
      <c r="O5181" s="16">
        <f>IF($A5181&lt;Notes!$B$5,"",IF(COUNTIFS(Release_Calendar!$A$2:$A$755,"NZ_LABOUR",Release_Calendar!$B$2:$B$755,$A5181)&gt;0,1,0))</f>
        <v>0</v>
      </c>
      <c r="P5181" s="16">
        <f t="shared" si="4"/>
        <v>0</v>
      </c>
    </row>
    <row r="5182" ht="15.75" customHeight="1">
      <c r="A5182" s="14">
        <v>43780.0</v>
      </c>
      <c r="B5182" s="15"/>
      <c r="C5182" s="15">
        <v>1.06</v>
      </c>
      <c r="D5182" s="15"/>
      <c r="E5182" s="15">
        <v>0.89</v>
      </c>
      <c r="F5182" s="15" t="str">
        <f t="shared" si="1"/>
        <v/>
      </c>
      <c r="G5182" s="15">
        <f t="shared" si="2"/>
        <v>1.06</v>
      </c>
      <c r="H5182" s="16">
        <v>0.0</v>
      </c>
      <c r="I5182" s="15" t="str">
        <f t="shared" si="3"/>
        <v/>
      </c>
      <c r="J5182" s="15">
        <v>12.69</v>
      </c>
      <c r="K5182" s="16">
        <f>IF(COUNTIFS(Release_Calendar!$A$2:$A$755,"US_CPI",Release_Calendar!$B$2:$B$755,$A5182)&gt;0,1,0)</f>
        <v>0</v>
      </c>
      <c r="L5182" s="16">
        <f>IF(COUNTIFS(Release_Calendar!$A$2:$A$755,"US_NFP",Release_Calendar!$B$2:$B$755,$A5182)&gt;0,1,0)</f>
        <v>0</v>
      </c>
      <c r="M5182" s="16">
        <f>IF($A5182&lt;Notes!$B$5,"",IF(COUNTIFS(Release_Calendar!$A$2:$A$755,"NZ_CPI",Release_Calendar!$B$2:$B$755,$A5182)&gt;0,1,0))</f>
        <v>0</v>
      </c>
      <c r="N5182" s="16">
        <f>IF($A5182&lt;Notes!$B$5,"",IF(COUNTIFS(Release_Calendar!$A$2:$A$755,"NZ_GDP",Release_Calendar!$B$2:$B$755,$A5182)&gt;0,1,0))</f>
        <v>0</v>
      </c>
      <c r="O5182" s="16">
        <f>IF($A5182&lt;Notes!$B$5,"",IF(COUNTIFS(Release_Calendar!$A$2:$A$755,"NZ_LABOUR",Release_Calendar!$B$2:$B$755,$A5182)&gt;0,1,0))</f>
        <v>0</v>
      </c>
      <c r="P5182" s="16">
        <f t="shared" si="4"/>
        <v>0</v>
      </c>
    </row>
    <row r="5183" ht="15.75" customHeight="1">
      <c r="A5183" s="14">
        <v>43781.0</v>
      </c>
      <c r="B5183" s="15">
        <v>1.66</v>
      </c>
      <c r="C5183" s="15">
        <v>1.04</v>
      </c>
      <c r="D5183" s="15"/>
      <c r="E5183" s="15">
        <v>0.87</v>
      </c>
      <c r="F5183" s="15">
        <f t="shared" si="1"/>
        <v>-0.62</v>
      </c>
      <c r="G5183" s="15">
        <f t="shared" si="2"/>
        <v>1.04</v>
      </c>
      <c r="H5183" s="16">
        <v>0.0</v>
      </c>
      <c r="I5183" s="15">
        <f t="shared" si="3"/>
        <v>-0.62</v>
      </c>
      <c r="J5183" s="15">
        <v>12.68</v>
      </c>
      <c r="K5183" s="16">
        <f>IF(COUNTIFS(Release_Calendar!$A$2:$A$755,"US_CPI",Release_Calendar!$B$2:$B$755,$A5183)&gt;0,1,0)</f>
        <v>0</v>
      </c>
      <c r="L5183" s="16">
        <f>IF(COUNTIFS(Release_Calendar!$A$2:$A$755,"US_NFP",Release_Calendar!$B$2:$B$755,$A5183)&gt;0,1,0)</f>
        <v>0</v>
      </c>
      <c r="M5183" s="16">
        <f>IF($A5183&lt;Notes!$B$5,"",IF(COUNTIFS(Release_Calendar!$A$2:$A$755,"NZ_CPI",Release_Calendar!$B$2:$B$755,$A5183)&gt;0,1,0))</f>
        <v>0</v>
      </c>
      <c r="N5183" s="16">
        <f>IF($A5183&lt;Notes!$B$5,"",IF(COUNTIFS(Release_Calendar!$A$2:$A$755,"NZ_GDP",Release_Calendar!$B$2:$B$755,$A5183)&gt;0,1,0))</f>
        <v>0</v>
      </c>
      <c r="O5183" s="16">
        <f>IF($A5183&lt;Notes!$B$5,"",IF(COUNTIFS(Release_Calendar!$A$2:$A$755,"NZ_LABOUR",Release_Calendar!$B$2:$B$755,$A5183)&gt;0,1,0))</f>
        <v>0</v>
      </c>
      <c r="P5183" s="16">
        <f t="shared" si="4"/>
        <v>0</v>
      </c>
    </row>
    <row r="5184" ht="15.75" customHeight="1">
      <c r="A5184" s="14">
        <v>43782.0</v>
      </c>
      <c r="B5184" s="15">
        <v>1.63</v>
      </c>
      <c r="C5184" s="15">
        <v>1.2</v>
      </c>
      <c r="D5184" s="15"/>
      <c r="E5184" s="15">
        <v>1.04</v>
      </c>
      <c r="F5184" s="15">
        <f t="shared" si="1"/>
        <v>-0.43</v>
      </c>
      <c r="G5184" s="15">
        <f t="shared" si="2"/>
        <v>1.2</v>
      </c>
      <c r="H5184" s="16">
        <v>0.0</v>
      </c>
      <c r="I5184" s="15">
        <f t="shared" si="3"/>
        <v>-0.43</v>
      </c>
      <c r="J5184" s="15">
        <v>13.0</v>
      </c>
      <c r="K5184" s="16">
        <f>IF(COUNTIFS(Release_Calendar!$A$2:$A$755,"US_CPI",Release_Calendar!$B$2:$B$755,$A5184)&gt;0,1,0)</f>
        <v>1</v>
      </c>
      <c r="L5184" s="16">
        <f>IF(COUNTIFS(Release_Calendar!$A$2:$A$755,"US_NFP",Release_Calendar!$B$2:$B$755,$A5184)&gt;0,1,0)</f>
        <v>0</v>
      </c>
      <c r="M5184" s="16">
        <f>IF($A5184&lt;Notes!$B$5,"",IF(COUNTIFS(Release_Calendar!$A$2:$A$755,"NZ_CPI",Release_Calendar!$B$2:$B$755,$A5184)&gt;0,1,0))</f>
        <v>0</v>
      </c>
      <c r="N5184" s="16">
        <f>IF($A5184&lt;Notes!$B$5,"",IF(COUNTIFS(Release_Calendar!$A$2:$A$755,"NZ_GDP",Release_Calendar!$B$2:$B$755,$A5184)&gt;0,1,0))</f>
        <v>0</v>
      </c>
      <c r="O5184" s="16">
        <f>IF($A5184&lt;Notes!$B$5,"",IF(COUNTIFS(Release_Calendar!$A$2:$A$755,"NZ_LABOUR",Release_Calendar!$B$2:$B$755,$A5184)&gt;0,1,0))</f>
        <v>0</v>
      </c>
      <c r="P5184" s="16">
        <f t="shared" si="4"/>
        <v>1</v>
      </c>
    </row>
    <row r="5185" ht="15.75" customHeight="1">
      <c r="A5185" s="14">
        <v>43783.0</v>
      </c>
      <c r="B5185" s="15">
        <v>1.58</v>
      </c>
      <c r="C5185" s="15">
        <v>1.17</v>
      </c>
      <c r="D5185" s="15"/>
      <c r="E5185" s="15">
        <v>1.0</v>
      </c>
      <c r="F5185" s="15">
        <f t="shared" si="1"/>
        <v>-0.41</v>
      </c>
      <c r="G5185" s="15">
        <f t="shared" si="2"/>
        <v>1.17</v>
      </c>
      <c r="H5185" s="16">
        <v>0.0</v>
      </c>
      <c r="I5185" s="15">
        <f t="shared" si="3"/>
        <v>-0.41</v>
      </c>
      <c r="J5185" s="15">
        <v>13.05</v>
      </c>
      <c r="K5185" s="16">
        <f>IF(COUNTIFS(Release_Calendar!$A$2:$A$755,"US_CPI",Release_Calendar!$B$2:$B$755,$A5185)&gt;0,1,0)</f>
        <v>0</v>
      </c>
      <c r="L5185" s="16">
        <f>IF(COUNTIFS(Release_Calendar!$A$2:$A$755,"US_NFP",Release_Calendar!$B$2:$B$755,$A5185)&gt;0,1,0)</f>
        <v>0</v>
      </c>
      <c r="M5185" s="16">
        <f>IF($A5185&lt;Notes!$B$5,"",IF(COUNTIFS(Release_Calendar!$A$2:$A$755,"NZ_CPI",Release_Calendar!$B$2:$B$755,$A5185)&gt;0,1,0))</f>
        <v>0</v>
      </c>
      <c r="N5185" s="16">
        <f>IF($A5185&lt;Notes!$B$5,"",IF(COUNTIFS(Release_Calendar!$A$2:$A$755,"NZ_GDP",Release_Calendar!$B$2:$B$755,$A5185)&gt;0,1,0))</f>
        <v>0</v>
      </c>
      <c r="O5185" s="16">
        <f>IF($A5185&lt;Notes!$B$5,"",IF(COUNTIFS(Release_Calendar!$A$2:$A$755,"NZ_LABOUR",Release_Calendar!$B$2:$B$755,$A5185)&gt;0,1,0))</f>
        <v>0</v>
      </c>
      <c r="P5185" s="16">
        <f t="shared" si="4"/>
        <v>0</v>
      </c>
    </row>
    <row r="5186" ht="15.75" customHeight="1">
      <c r="A5186" s="14">
        <v>43784.0</v>
      </c>
      <c r="B5186" s="15">
        <v>1.61</v>
      </c>
      <c r="C5186" s="15">
        <v>1.18</v>
      </c>
      <c r="D5186" s="15"/>
      <c r="E5186" s="15"/>
      <c r="F5186" s="15">
        <f t="shared" si="1"/>
        <v>-0.43</v>
      </c>
      <c r="G5186" s="15">
        <f t="shared" si="2"/>
        <v>1.18</v>
      </c>
      <c r="H5186" s="16">
        <v>0.0</v>
      </c>
      <c r="I5186" s="15">
        <f t="shared" si="3"/>
        <v>-0.43</v>
      </c>
      <c r="J5186" s="15">
        <v>12.05</v>
      </c>
      <c r="K5186" s="16">
        <f>IF(COUNTIFS(Release_Calendar!$A$2:$A$755,"US_CPI",Release_Calendar!$B$2:$B$755,$A5186)&gt;0,1,0)</f>
        <v>0</v>
      </c>
      <c r="L5186" s="16">
        <f>IF(COUNTIFS(Release_Calendar!$A$2:$A$755,"US_NFP",Release_Calendar!$B$2:$B$755,$A5186)&gt;0,1,0)</f>
        <v>0</v>
      </c>
      <c r="M5186" s="16">
        <f>IF($A5186&lt;Notes!$B$5,"",IF(COUNTIFS(Release_Calendar!$A$2:$A$755,"NZ_CPI",Release_Calendar!$B$2:$B$755,$A5186)&gt;0,1,0))</f>
        <v>0</v>
      </c>
      <c r="N5186" s="16">
        <f>IF($A5186&lt;Notes!$B$5,"",IF(COUNTIFS(Release_Calendar!$A$2:$A$755,"NZ_GDP",Release_Calendar!$B$2:$B$755,$A5186)&gt;0,1,0))</f>
        <v>0</v>
      </c>
      <c r="O5186" s="16">
        <f>IF($A5186&lt;Notes!$B$5,"",IF(COUNTIFS(Release_Calendar!$A$2:$A$755,"NZ_LABOUR",Release_Calendar!$B$2:$B$755,$A5186)&gt;0,1,0))</f>
        <v>0</v>
      </c>
      <c r="P5186" s="16">
        <f t="shared" si="4"/>
        <v>0</v>
      </c>
    </row>
    <row r="5187" ht="15.75" customHeight="1">
      <c r="A5187" s="14">
        <v>43787.0</v>
      </c>
      <c r="B5187" s="15">
        <v>1.6</v>
      </c>
      <c r="C5187" s="15">
        <v>1.17</v>
      </c>
      <c r="D5187" s="15"/>
      <c r="E5187" s="15"/>
      <c r="F5187" s="15">
        <f t="shared" si="1"/>
        <v>-0.43</v>
      </c>
      <c r="G5187" s="15">
        <f t="shared" si="2"/>
        <v>1.17</v>
      </c>
      <c r="H5187" s="16">
        <v>0.0</v>
      </c>
      <c r="I5187" s="15">
        <f t="shared" si="3"/>
        <v>-0.43</v>
      </c>
      <c r="J5187" s="15">
        <v>12.46</v>
      </c>
      <c r="K5187" s="16">
        <f>IF(COUNTIFS(Release_Calendar!$A$2:$A$755,"US_CPI",Release_Calendar!$B$2:$B$755,$A5187)&gt;0,1,0)</f>
        <v>0</v>
      </c>
      <c r="L5187" s="16">
        <f>IF(COUNTIFS(Release_Calendar!$A$2:$A$755,"US_NFP",Release_Calendar!$B$2:$B$755,$A5187)&gt;0,1,0)</f>
        <v>0</v>
      </c>
      <c r="M5187" s="16">
        <f>IF($A5187&lt;Notes!$B$5,"",IF(COUNTIFS(Release_Calendar!$A$2:$A$755,"NZ_CPI",Release_Calendar!$B$2:$B$755,$A5187)&gt;0,1,0))</f>
        <v>0</v>
      </c>
      <c r="N5187" s="16">
        <f>IF($A5187&lt;Notes!$B$5,"",IF(COUNTIFS(Release_Calendar!$A$2:$A$755,"NZ_GDP",Release_Calendar!$B$2:$B$755,$A5187)&gt;0,1,0))</f>
        <v>0</v>
      </c>
      <c r="O5187" s="16">
        <f>IF($A5187&lt;Notes!$B$5,"",IF(COUNTIFS(Release_Calendar!$A$2:$A$755,"NZ_LABOUR",Release_Calendar!$B$2:$B$755,$A5187)&gt;0,1,0))</f>
        <v>0</v>
      </c>
      <c r="P5187" s="16">
        <f t="shared" si="4"/>
        <v>0</v>
      </c>
    </row>
    <row r="5188" ht="15.75" customHeight="1">
      <c r="A5188" s="14">
        <v>43788.0</v>
      </c>
      <c r="B5188" s="15">
        <v>1.6</v>
      </c>
      <c r="C5188" s="15">
        <v>1.15</v>
      </c>
      <c r="D5188" s="15"/>
      <c r="E5188" s="15"/>
      <c r="F5188" s="15">
        <f t="shared" si="1"/>
        <v>-0.45</v>
      </c>
      <c r="G5188" s="15">
        <f t="shared" si="2"/>
        <v>1.15</v>
      </c>
      <c r="H5188" s="16">
        <v>0.0</v>
      </c>
      <c r="I5188" s="15">
        <f t="shared" si="3"/>
        <v>-0.45</v>
      </c>
      <c r="J5188" s="15">
        <v>12.86</v>
      </c>
      <c r="K5188" s="16">
        <f>IF(COUNTIFS(Release_Calendar!$A$2:$A$755,"US_CPI",Release_Calendar!$B$2:$B$755,$A5188)&gt;0,1,0)</f>
        <v>0</v>
      </c>
      <c r="L5188" s="16">
        <f>IF(COUNTIFS(Release_Calendar!$A$2:$A$755,"US_NFP",Release_Calendar!$B$2:$B$755,$A5188)&gt;0,1,0)</f>
        <v>0</v>
      </c>
      <c r="M5188" s="16">
        <f>IF($A5188&lt;Notes!$B$5,"",IF(COUNTIFS(Release_Calendar!$A$2:$A$755,"NZ_CPI",Release_Calendar!$B$2:$B$755,$A5188)&gt;0,1,0))</f>
        <v>0</v>
      </c>
      <c r="N5188" s="16">
        <f>IF($A5188&lt;Notes!$B$5,"",IF(COUNTIFS(Release_Calendar!$A$2:$A$755,"NZ_GDP",Release_Calendar!$B$2:$B$755,$A5188)&gt;0,1,0))</f>
        <v>0</v>
      </c>
      <c r="O5188" s="16">
        <f>IF($A5188&lt;Notes!$B$5,"",IF(COUNTIFS(Release_Calendar!$A$2:$A$755,"NZ_LABOUR",Release_Calendar!$B$2:$B$755,$A5188)&gt;0,1,0))</f>
        <v>0</v>
      </c>
      <c r="P5188" s="16">
        <f t="shared" si="4"/>
        <v>0</v>
      </c>
    </row>
    <row r="5189" ht="15.75" customHeight="1">
      <c r="A5189" s="14">
        <v>43789.0</v>
      </c>
      <c r="B5189" s="15">
        <v>1.56</v>
      </c>
      <c r="C5189" s="15">
        <v>1.14</v>
      </c>
      <c r="D5189" s="15"/>
      <c r="E5189" s="15"/>
      <c r="F5189" s="15">
        <f t="shared" si="1"/>
        <v>-0.42</v>
      </c>
      <c r="G5189" s="15">
        <f t="shared" si="2"/>
        <v>1.14</v>
      </c>
      <c r="H5189" s="16">
        <v>0.0</v>
      </c>
      <c r="I5189" s="15">
        <f t="shared" si="3"/>
        <v>-0.42</v>
      </c>
      <c r="J5189" s="15">
        <v>12.78</v>
      </c>
      <c r="K5189" s="16">
        <f>IF(COUNTIFS(Release_Calendar!$A$2:$A$755,"US_CPI",Release_Calendar!$B$2:$B$755,$A5189)&gt;0,1,0)</f>
        <v>0</v>
      </c>
      <c r="L5189" s="16">
        <f>IF(COUNTIFS(Release_Calendar!$A$2:$A$755,"US_NFP",Release_Calendar!$B$2:$B$755,$A5189)&gt;0,1,0)</f>
        <v>0</v>
      </c>
      <c r="M5189" s="16">
        <f>IF($A5189&lt;Notes!$B$5,"",IF(COUNTIFS(Release_Calendar!$A$2:$A$755,"NZ_CPI",Release_Calendar!$B$2:$B$755,$A5189)&gt;0,1,0))</f>
        <v>0</v>
      </c>
      <c r="N5189" s="16">
        <f>IF($A5189&lt;Notes!$B$5,"",IF(COUNTIFS(Release_Calendar!$A$2:$A$755,"NZ_GDP",Release_Calendar!$B$2:$B$755,$A5189)&gt;0,1,0))</f>
        <v>0</v>
      </c>
      <c r="O5189" s="16">
        <f>IF($A5189&lt;Notes!$B$5,"",IF(COUNTIFS(Release_Calendar!$A$2:$A$755,"NZ_LABOUR",Release_Calendar!$B$2:$B$755,$A5189)&gt;0,1,0))</f>
        <v>0</v>
      </c>
      <c r="P5189" s="16">
        <f t="shared" si="4"/>
        <v>0</v>
      </c>
    </row>
    <row r="5190" ht="15.75" customHeight="1">
      <c r="A5190" s="14">
        <v>43790.0</v>
      </c>
      <c r="B5190" s="15">
        <v>1.6</v>
      </c>
      <c r="C5190" s="15">
        <v>1.13</v>
      </c>
      <c r="D5190" s="15"/>
      <c r="E5190" s="15"/>
      <c r="F5190" s="15">
        <f t="shared" si="1"/>
        <v>-0.47</v>
      </c>
      <c r="G5190" s="15">
        <f t="shared" si="2"/>
        <v>1.13</v>
      </c>
      <c r="H5190" s="16">
        <v>0.0</v>
      </c>
      <c r="I5190" s="15">
        <f t="shared" si="3"/>
        <v>-0.47</v>
      </c>
      <c r="J5190" s="15">
        <v>13.13</v>
      </c>
      <c r="K5190" s="16">
        <f>IF(COUNTIFS(Release_Calendar!$A$2:$A$755,"US_CPI",Release_Calendar!$B$2:$B$755,$A5190)&gt;0,1,0)</f>
        <v>0</v>
      </c>
      <c r="L5190" s="16">
        <f>IF(COUNTIFS(Release_Calendar!$A$2:$A$755,"US_NFP",Release_Calendar!$B$2:$B$755,$A5190)&gt;0,1,0)</f>
        <v>0</v>
      </c>
      <c r="M5190" s="16">
        <f>IF($A5190&lt;Notes!$B$5,"",IF(COUNTIFS(Release_Calendar!$A$2:$A$755,"NZ_CPI",Release_Calendar!$B$2:$B$755,$A5190)&gt;0,1,0))</f>
        <v>0</v>
      </c>
      <c r="N5190" s="16">
        <f>IF($A5190&lt;Notes!$B$5,"",IF(COUNTIFS(Release_Calendar!$A$2:$A$755,"NZ_GDP",Release_Calendar!$B$2:$B$755,$A5190)&gt;0,1,0))</f>
        <v>0</v>
      </c>
      <c r="O5190" s="16">
        <f>IF($A5190&lt;Notes!$B$5,"",IF(COUNTIFS(Release_Calendar!$A$2:$A$755,"NZ_LABOUR",Release_Calendar!$B$2:$B$755,$A5190)&gt;0,1,0))</f>
        <v>0</v>
      </c>
      <c r="P5190" s="16">
        <f t="shared" si="4"/>
        <v>0</v>
      </c>
    </row>
    <row r="5191" ht="15.75" customHeight="1">
      <c r="A5191" s="14">
        <v>43791.0</v>
      </c>
      <c r="B5191" s="15">
        <v>1.61</v>
      </c>
      <c r="C5191" s="15">
        <v>1.14</v>
      </c>
      <c r="D5191" s="15"/>
      <c r="E5191" s="15"/>
      <c r="F5191" s="15">
        <f t="shared" si="1"/>
        <v>-0.47</v>
      </c>
      <c r="G5191" s="15">
        <f t="shared" si="2"/>
        <v>1.14</v>
      </c>
      <c r="H5191" s="16">
        <v>0.0</v>
      </c>
      <c r="I5191" s="15">
        <f t="shared" si="3"/>
        <v>-0.47</v>
      </c>
      <c r="J5191" s="15">
        <v>12.34</v>
      </c>
      <c r="K5191" s="16">
        <f>IF(COUNTIFS(Release_Calendar!$A$2:$A$755,"US_CPI",Release_Calendar!$B$2:$B$755,$A5191)&gt;0,1,0)</f>
        <v>0</v>
      </c>
      <c r="L5191" s="16">
        <f>IF(COUNTIFS(Release_Calendar!$A$2:$A$755,"US_NFP",Release_Calendar!$B$2:$B$755,$A5191)&gt;0,1,0)</f>
        <v>0</v>
      </c>
      <c r="M5191" s="16">
        <f>IF($A5191&lt;Notes!$B$5,"",IF(COUNTIFS(Release_Calendar!$A$2:$A$755,"NZ_CPI",Release_Calendar!$B$2:$B$755,$A5191)&gt;0,1,0))</f>
        <v>0</v>
      </c>
      <c r="N5191" s="16">
        <f>IF($A5191&lt;Notes!$B$5,"",IF(COUNTIFS(Release_Calendar!$A$2:$A$755,"NZ_GDP",Release_Calendar!$B$2:$B$755,$A5191)&gt;0,1,0))</f>
        <v>0</v>
      </c>
      <c r="O5191" s="16">
        <f>IF($A5191&lt;Notes!$B$5,"",IF(COUNTIFS(Release_Calendar!$A$2:$A$755,"NZ_LABOUR",Release_Calendar!$B$2:$B$755,$A5191)&gt;0,1,0))</f>
        <v>0</v>
      </c>
      <c r="P5191" s="16">
        <f t="shared" si="4"/>
        <v>0</v>
      </c>
    </row>
    <row r="5192" ht="15.75" customHeight="1">
      <c r="A5192" s="14">
        <v>43794.0</v>
      </c>
      <c r="B5192" s="15">
        <v>1.61</v>
      </c>
      <c r="C5192" s="15">
        <v>1.13</v>
      </c>
      <c r="D5192" s="15"/>
      <c r="E5192" s="15"/>
      <c r="F5192" s="15">
        <f t="shared" si="1"/>
        <v>-0.48</v>
      </c>
      <c r="G5192" s="15">
        <f t="shared" si="2"/>
        <v>1.13</v>
      </c>
      <c r="H5192" s="16">
        <v>0.0</v>
      </c>
      <c r="I5192" s="15">
        <f t="shared" si="3"/>
        <v>-0.48</v>
      </c>
      <c r="J5192" s="15">
        <v>11.87</v>
      </c>
      <c r="K5192" s="16">
        <f>IF(COUNTIFS(Release_Calendar!$A$2:$A$755,"US_CPI",Release_Calendar!$B$2:$B$755,$A5192)&gt;0,1,0)</f>
        <v>0</v>
      </c>
      <c r="L5192" s="16">
        <f>IF(COUNTIFS(Release_Calendar!$A$2:$A$755,"US_NFP",Release_Calendar!$B$2:$B$755,$A5192)&gt;0,1,0)</f>
        <v>0</v>
      </c>
      <c r="M5192" s="16">
        <f>IF($A5192&lt;Notes!$B$5,"",IF(COUNTIFS(Release_Calendar!$A$2:$A$755,"NZ_CPI",Release_Calendar!$B$2:$B$755,$A5192)&gt;0,1,0))</f>
        <v>0</v>
      </c>
      <c r="N5192" s="16">
        <f>IF($A5192&lt;Notes!$B$5,"",IF(COUNTIFS(Release_Calendar!$A$2:$A$755,"NZ_GDP",Release_Calendar!$B$2:$B$755,$A5192)&gt;0,1,0))</f>
        <v>0</v>
      </c>
      <c r="O5192" s="16">
        <f>IF($A5192&lt;Notes!$B$5,"",IF(COUNTIFS(Release_Calendar!$A$2:$A$755,"NZ_LABOUR",Release_Calendar!$B$2:$B$755,$A5192)&gt;0,1,0))</f>
        <v>0</v>
      </c>
      <c r="P5192" s="16">
        <f t="shared" si="4"/>
        <v>0</v>
      </c>
    </row>
    <row r="5193" ht="15.75" customHeight="1">
      <c r="A5193" s="14">
        <v>43795.0</v>
      </c>
      <c r="B5193" s="15">
        <v>1.58</v>
      </c>
      <c r="C5193" s="15">
        <v>1.14</v>
      </c>
      <c r="D5193" s="15"/>
      <c r="E5193" s="15"/>
      <c r="F5193" s="15">
        <f t="shared" si="1"/>
        <v>-0.44</v>
      </c>
      <c r="G5193" s="15">
        <f t="shared" si="2"/>
        <v>1.14</v>
      </c>
      <c r="H5193" s="16">
        <v>0.0</v>
      </c>
      <c r="I5193" s="15">
        <f t="shared" si="3"/>
        <v>-0.44</v>
      </c>
      <c r="J5193" s="15">
        <v>11.54</v>
      </c>
      <c r="K5193" s="16">
        <f>IF(COUNTIFS(Release_Calendar!$A$2:$A$755,"US_CPI",Release_Calendar!$B$2:$B$755,$A5193)&gt;0,1,0)</f>
        <v>0</v>
      </c>
      <c r="L5193" s="16">
        <f>IF(COUNTIFS(Release_Calendar!$A$2:$A$755,"US_NFP",Release_Calendar!$B$2:$B$755,$A5193)&gt;0,1,0)</f>
        <v>0</v>
      </c>
      <c r="M5193" s="16">
        <f>IF($A5193&lt;Notes!$B$5,"",IF(COUNTIFS(Release_Calendar!$A$2:$A$755,"NZ_CPI",Release_Calendar!$B$2:$B$755,$A5193)&gt;0,1,0))</f>
        <v>0</v>
      </c>
      <c r="N5193" s="16">
        <f>IF($A5193&lt;Notes!$B$5,"",IF(COUNTIFS(Release_Calendar!$A$2:$A$755,"NZ_GDP",Release_Calendar!$B$2:$B$755,$A5193)&gt;0,1,0))</f>
        <v>0</v>
      </c>
      <c r="O5193" s="16">
        <f>IF($A5193&lt;Notes!$B$5,"",IF(COUNTIFS(Release_Calendar!$A$2:$A$755,"NZ_LABOUR",Release_Calendar!$B$2:$B$755,$A5193)&gt;0,1,0))</f>
        <v>0</v>
      </c>
      <c r="P5193" s="16">
        <f t="shared" si="4"/>
        <v>0</v>
      </c>
    </row>
    <row r="5194" ht="15.75" customHeight="1">
      <c r="A5194" s="14">
        <v>43796.0</v>
      </c>
      <c r="B5194" s="15">
        <v>1.63</v>
      </c>
      <c r="C5194" s="15">
        <v>1.12</v>
      </c>
      <c r="D5194" s="15"/>
      <c r="E5194" s="15"/>
      <c r="F5194" s="15">
        <f t="shared" si="1"/>
        <v>-0.51</v>
      </c>
      <c r="G5194" s="15">
        <f t="shared" si="2"/>
        <v>1.12</v>
      </c>
      <c r="H5194" s="16">
        <v>0.0</v>
      </c>
      <c r="I5194" s="15">
        <f t="shared" si="3"/>
        <v>-0.51</v>
      </c>
      <c r="J5194" s="15">
        <v>11.75</v>
      </c>
      <c r="K5194" s="16">
        <f>IF(COUNTIFS(Release_Calendar!$A$2:$A$755,"US_CPI",Release_Calendar!$B$2:$B$755,$A5194)&gt;0,1,0)</f>
        <v>0</v>
      </c>
      <c r="L5194" s="16">
        <f>IF(COUNTIFS(Release_Calendar!$A$2:$A$755,"US_NFP",Release_Calendar!$B$2:$B$755,$A5194)&gt;0,1,0)</f>
        <v>0</v>
      </c>
      <c r="M5194" s="16">
        <f>IF($A5194&lt;Notes!$B$5,"",IF(COUNTIFS(Release_Calendar!$A$2:$A$755,"NZ_CPI",Release_Calendar!$B$2:$B$755,$A5194)&gt;0,1,0))</f>
        <v>0</v>
      </c>
      <c r="N5194" s="16">
        <f>IF($A5194&lt;Notes!$B$5,"",IF(COUNTIFS(Release_Calendar!$A$2:$A$755,"NZ_GDP",Release_Calendar!$B$2:$B$755,$A5194)&gt;0,1,0))</f>
        <v>0</v>
      </c>
      <c r="O5194" s="16">
        <f>IF($A5194&lt;Notes!$B$5,"",IF(COUNTIFS(Release_Calendar!$A$2:$A$755,"NZ_LABOUR",Release_Calendar!$B$2:$B$755,$A5194)&gt;0,1,0))</f>
        <v>0</v>
      </c>
      <c r="P5194" s="16">
        <f t="shared" si="4"/>
        <v>0</v>
      </c>
    </row>
    <row r="5195" ht="15.75" customHeight="1">
      <c r="A5195" s="14">
        <v>43797.0</v>
      </c>
      <c r="B5195" s="15"/>
      <c r="C5195" s="15">
        <v>1.12</v>
      </c>
      <c r="D5195" s="15"/>
      <c r="E5195" s="15"/>
      <c r="F5195" s="15" t="str">
        <f t="shared" si="1"/>
        <v/>
      </c>
      <c r="G5195" s="15">
        <f t="shared" si="2"/>
        <v>1.12</v>
      </c>
      <c r="H5195" s="16">
        <v>0.0</v>
      </c>
      <c r="I5195" s="15" t="str">
        <f t="shared" si="3"/>
        <v/>
      </c>
      <c r="J5195" s="15"/>
      <c r="K5195" s="16">
        <f>IF(COUNTIFS(Release_Calendar!$A$2:$A$755,"US_CPI",Release_Calendar!$B$2:$B$755,$A5195)&gt;0,1,0)</f>
        <v>0</v>
      </c>
      <c r="L5195" s="16">
        <f>IF(COUNTIFS(Release_Calendar!$A$2:$A$755,"US_NFP",Release_Calendar!$B$2:$B$755,$A5195)&gt;0,1,0)</f>
        <v>0</v>
      </c>
      <c r="M5195" s="16">
        <f>IF($A5195&lt;Notes!$B$5,"",IF(COUNTIFS(Release_Calendar!$A$2:$A$755,"NZ_CPI",Release_Calendar!$B$2:$B$755,$A5195)&gt;0,1,0))</f>
        <v>0</v>
      </c>
      <c r="N5195" s="16">
        <f>IF($A5195&lt;Notes!$B$5,"",IF(COUNTIFS(Release_Calendar!$A$2:$A$755,"NZ_GDP",Release_Calendar!$B$2:$B$755,$A5195)&gt;0,1,0))</f>
        <v>0</v>
      </c>
      <c r="O5195" s="16">
        <f>IF($A5195&lt;Notes!$B$5,"",IF(COUNTIFS(Release_Calendar!$A$2:$A$755,"NZ_LABOUR",Release_Calendar!$B$2:$B$755,$A5195)&gt;0,1,0))</f>
        <v>0</v>
      </c>
      <c r="P5195" s="16">
        <f t="shared" si="4"/>
        <v>0</v>
      </c>
    </row>
    <row r="5196" ht="15.75" customHeight="1">
      <c r="A5196" s="14">
        <v>43798.0</v>
      </c>
      <c r="B5196" s="15">
        <v>1.61</v>
      </c>
      <c r="C5196" s="15">
        <v>1.13</v>
      </c>
      <c r="D5196" s="15"/>
      <c r="E5196" s="15"/>
      <c r="F5196" s="15">
        <f t="shared" si="1"/>
        <v>-0.48</v>
      </c>
      <c r="G5196" s="15">
        <f t="shared" si="2"/>
        <v>1.13</v>
      </c>
      <c r="H5196" s="16">
        <v>0.0</v>
      </c>
      <c r="I5196" s="15">
        <f t="shared" si="3"/>
        <v>-0.48</v>
      </c>
      <c r="J5196" s="15">
        <v>12.62</v>
      </c>
      <c r="K5196" s="16">
        <f>IF(COUNTIFS(Release_Calendar!$A$2:$A$755,"US_CPI",Release_Calendar!$B$2:$B$755,$A5196)&gt;0,1,0)</f>
        <v>0</v>
      </c>
      <c r="L5196" s="16">
        <f>IF(COUNTIFS(Release_Calendar!$A$2:$A$755,"US_NFP",Release_Calendar!$B$2:$B$755,$A5196)&gt;0,1,0)</f>
        <v>0</v>
      </c>
      <c r="M5196" s="16">
        <f>IF($A5196&lt;Notes!$B$5,"",IF(COUNTIFS(Release_Calendar!$A$2:$A$755,"NZ_CPI",Release_Calendar!$B$2:$B$755,$A5196)&gt;0,1,0))</f>
        <v>0</v>
      </c>
      <c r="N5196" s="16">
        <f>IF($A5196&lt;Notes!$B$5,"",IF(COUNTIFS(Release_Calendar!$A$2:$A$755,"NZ_GDP",Release_Calendar!$B$2:$B$755,$A5196)&gt;0,1,0))</f>
        <v>0</v>
      </c>
      <c r="O5196" s="16">
        <f>IF($A5196&lt;Notes!$B$5,"",IF(COUNTIFS(Release_Calendar!$A$2:$A$755,"NZ_LABOUR",Release_Calendar!$B$2:$B$755,$A5196)&gt;0,1,0))</f>
        <v>0</v>
      </c>
      <c r="P5196" s="16">
        <f t="shared" si="4"/>
        <v>0</v>
      </c>
    </row>
    <row r="5197" ht="15.75" customHeight="1">
      <c r="A5197" s="14">
        <v>43801.0</v>
      </c>
      <c r="B5197" s="15">
        <v>1.61</v>
      </c>
      <c r="C5197" s="15">
        <v>1.18</v>
      </c>
      <c r="D5197" s="15"/>
      <c r="E5197" s="15"/>
      <c r="F5197" s="15">
        <f t="shared" si="1"/>
        <v>-0.43</v>
      </c>
      <c r="G5197" s="15">
        <f t="shared" si="2"/>
        <v>1.18</v>
      </c>
      <c r="H5197" s="16">
        <v>0.0</v>
      </c>
      <c r="I5197" s="15">
        <f t="shared" si="3"/>
        <v>-0.43</v>
      </c>
      <c r="J5197" s="15">
        <v>14.91</v>
      </c>
      <c r="K5197" s="16">
        <f>IF(COUNTIFS(Release_Calendar!$A$2:$A$755,"US_CPI",Release_Calendar!$B$2:$B$755,$A5197)&gt;0,1,0)</f>
        <v>0</v>
      </c>
      <c r="L5197" s="16">
        <f>IF(COUNTIFS(Release_Calendar!$A$2:$A$755,"US_NFP",Release_Calendar!$B$2:$B$755,$A5197)&gt;0,1,0)</f>
        <v>0</v>
      </c>
      <c r="M5197" s="16">
        <f>IF($A5197&lt;Notes!$B$5,"",IF(COUNTIFS(Release_Calendar!$A$2:$A$755,"NZ_CPI",Release_Calendar!$B$2:$B$755,$A5197)&gt;0,1,0))</f>
        <v>0</v>
      </c>
      <c r="N5197" s="16">
        <f>IF($A5197&lt;Notes!$B$5,"",IF(COUNTIFS(Release_Calendar!$A$2:$A$755,"NZ_GDP",Release_Calendar!$B$2:$B$755,$A5197)&gt;0,1,0))</f>
        <v>0</v>
      </c>
      <c r="O5197" s="16">
        <f>IF($A5197&lt;Notes!$B$5,"",IF(COUNTIFS(Release_Calendar!$A$2:$A$755,"NZ_LABOUR",Release_Calendar!$B$2:$B$755,$A5197)&gt;0,1,0))</f>
        <v>0</v>
      </c>
      <c r="P5197" s="16">
        <f t="shared" si="4"/>
        <v>0</v>
      </c>
    </row>
    <row r="5198" ht="15.75" customHeight="1">
      <c r="A5198" s="14">
        <v>43802.0</v>
      </c>
      <c r="B5198" s="15">
        <v>1.53</v>
      </c>
      <c r="C5198" s="15">
        <v>1.2</v>
      </c>
      <c r="D5198" s="15"/>
      <c r="E5198" s="15"/>
      <c r="F5198" s="15">
        <f t="shared" si="1"/>
        <v>-0.33</v>
      </c>
      <c r="G5198" s="15">
        <f t="shared" si="2"/>
        <v>1.2</v>
      </c>
      <c r="H5198" s="16">
        <v>0.0</v>
      </c>
      <c r="I5198" s="15">
        <f t="shared" si="3"/>
        <v>-0.33</v>
      </c>
      <c r="J5198" s="15">
        <v>15.96</v>
      </c>
      <c r="K5198" s="16">
        <f>IF(COUNTIFS(Release_Calendar!$A$2:$A$755,"US_CPI",Release_Calendar!$B$2:$B$755,$A5198)&gt;0,1,0)</f>
        <v>0</v>
      </c>
      <c r="L5198" s="16">
        <f>IF(COUNTIFS(Release_Calendar!$A$2:$A$755,"US_NFP",Release_Calendar!$B$2:$B$755,$A5198)&gt;0,1,0)</f>
        <v>0</v>
      </c>
      <c r="M5198" s="16">
        <f>IF($A5198&lt;Notes!$B$5,"",IF(COUNTIFS(Release_Calendar!$A$2:$A$755,"NZ_CPI",Release_Calendar!$B$2:$B$755,$A5198)&gt;0,1,0))</f>
        <v>0</v>
      </c>
      <c r="N5198" s="16">
        <f>IF($A5198&lt;Notes!$B$5,"",IF(COUNTIFS(Release_Calendar!$A$2:$A$755,"NZ_GDP",Release_Calendar!$B$2:$B$755,$A5198)&gt;0,1,0))</f>
        <v>0</v>
      </c>
      <c r="O5198" s="16">
        <f>IF($A5198&lt;Notes!$B$5,"",IF(COUNTIFS(Release_Calendar!$A$2:$A$755,"NZ_LABOUR",Release_Calendar!$B$2:$B$755,$A5198)&gt;0,1,0))</f>
        <v>0</v>
      </c>
      <c r="P5198" s="16">
        <f t="shared" si="4"/>
        <v>0</v>
      </c>
    </row>
    <row r="5199" ht="15.75" customHeight="1">
      <c r="A5199" s="14">
        <v>43803.0</v>
      </c>
      <c r="B5199" s="15">
        <v>1.58</v>
      </c>
      <c r="C5199" s="15">
        <v>1.17</v>
      </c>
      <c r="D5199" s="15"/>
      <c r="E5199" s="15"/>
      <c r="F5199" s="15">
        <f t="shared" si="1"/>
        <v>-0.41</v>
      </c>
      <c r="G5199" s="15">
        <f t="shared" si="2"/>
        <v>1.17</v>
      </c>
      <c r="H5199" s="16">
        <v>0.0</v>
      </c>
      <c r="I5199" s="15">
        <f t="shared" si="3"/>
        <v>-0.41</v>
      </c>
      <c r="J5199" s="15">
        <v>14.8</v>
      </c>
      <c r="K5199" s="16">
        <f>IF(COUNTIFS(Release_Calendar!$A$2:$A$755,"US_CPI",Release_Calendar!$B$2:$B$755,$A5199)&gt;0,1,0)</f>
        <v>0</v>
      </c>
      <c r="L5199" s="16">
        <f>IF(COUNTIFS(Release_Calendar!$A$2:$A$755,"US_NFP",Release_Calendar!$B$2:$B$755,$A5199)&gt;0,1,0)</f>
        <v>0</v>
      </c>
      <c r="M5199" s="16">
        <f>IF($A5199&lt;Notes!$B$5,"",IF(COUNTIFS(Release_Calendar!$A$2:$A$755,"NZ_CPI",Release_Calendar!$B$2:$B$755,$A5199)&gt;0,1,0))</f>
        <v>0</v>
      </c>
      <c r="N5199" s="16">
        <f>IF($A5199&lt;Notes!$B$5,"",IF(COUNTIFS(Release_Calendar!$A$2:$A$755,"NZ_GDP",Release_Calendar!$B$2:$B$755,$A5199)&gt;0,1,0))</f>
        <v>0</v>
      </c>
      <c r="O5199" s="16">
        <f>IF($A5199&lt;Notes!$B$5,"",IF(COUNTIFS(Release_Calendar!$A$2:$A$755,"NZ_LABOUR",Release_Calendar!$B$2:$B$755,$A5199)&gt;0,1,0))</f>
        <v>0</v>
      </c>
      <c r="P5199" s="16">
        <f t="shared" si="4"/>
        <v>0</v>
      </c>
    </row>
    <row r="5200" ht="15.75" customHeight="1">
      <c r="A5200" s="14">
        <v>43804.0</v>
      </c>
      <c r="B5200" s="15">
        <v>1.58</v>
      </c>
      <c r="C5200" s="15">
        <v>1.2</v>
      </c>
      <c r="D5200" s="15"/>
      <c r="E5200" s="15"/>
      <c r="F5200" s="15">
        <f t="shared" si="1"/>
        <v>-0.38</v>
      </c>
      <c r="G5200" s="15">
        <f t="shared" si="2"/>
        <v>1.2</v>
      </c>
      <c r="H5200" s="16">
        <v>0.0</v>
      </c>
      <c r="I5200" s="15">
        <f t="shared" si="3"/>
        <v>-0.38</v>
      </c>
      <c r="J5200" s="15">
        <v>14.52</v>
      </c>
      <c r="K5200" s="16">
        <f>IF(COUNTIFS(Release_Calendar!$A$2:$A$755,"US_CPI",Release_Calendar!$B$2:$B$755,$A5200)&gt;0,1,0)</f>
        <v>0</v>
      </c>
      <c r="L5200" s="16">
        <f>IF(COUNTIFS(Release_Calendar!$A$2:$A$755,"US_NFP",Release_Calendar!$B$2:$B$755,$A5200)&gt;0,1,0)</f>
        <v>0</v>
      </c>
      <c r="M5200" s="16">
        <f>IF($A5200&lt;Notes!$B$5,"",IF(COUNTIFS(Release_Calendar!$A$2:$A$755,"NZ_CPI",Release_Calendar!$B$2:$B$755,$A5200)&gt;0,1,0))</f>
        <v>0</v>
      </c>
      <c r="N5200" s="16">
        <f>IF($A5200&lt;Notes!$B$5,"",IF(COUNTIFS(Release_Calendar!$A$2:$A$755,"NZ_GDP",Release_Calendar!$B$2:$B$755,$A5200)&gt;0,1,0))</f>
        <v>0</v>
      </c>
      <c r="O5200" s="16">
        <f>IF($A5200&lt;Notes!$B$5,"",IF(COUNTIFS(Release_Calendar!$A$2:$A$755,"NZ_LABOUR",Release_Calendar!$B$2:$B$755,$A5200)&gt;0,1,0))</f>
        <v>0</v>
      </c>
      <c r="P5200" s="16">
        <f t="shared" si="4"/>
        <v>0</v>
      </c>
    </row>
    <row r="5201" ht="15.75" customHeight="1">
      <c r="A5201" s="14">
        <v>43805.0</v>
      </c>
      <c r="B5201" s="15">
        <v>1.61</v>
      </c>
      <c r="C5201" s="15">
        <v>1.24</v>
      </c>
      <c r="D5201" s="15"/>
      <c r="E5201" s="15"/>
      <c r="F5201" s="15">
        <f t="shared" si="1"/>
        <v>-0.37</v>
      </c>
      <c r="G5201" s="15">
        <f t="shared" si="2"/>
        <v>1.24</v>
      </c>
      <c r="H5201" s="16">
        <v>0.0</v>
      </c>
      <c r="I5201" s="15">
        <f t="shared" si="3"/>
        <v>-0.37</v>
      </c>
      <c r="J5201" s="15">
        <v>13.62</v>
      </c>
      <c r="K5201" s="16">
        <f>IF(COUNTIFS(Release_Calendar!$A$2:$A$755,"US_CPI",Release_Calendar!$B$2:$B$755,$A5201)&gt;0,1,0)</f>
        <v>0</v>
      </c>
      <c r="L5201" s="16">
        <f>IF(COUNTIFS(Release_Calendar!$A$2:$A$755,"US_NFP",Release_Calendar!$B$2:$B$755,$A5201)&gt;0,1,0)</f>
        <v>1</v>
      </c>
      <c r="M5201" s="16">
        <f>IF($A5201&lt;Notes!$B$5,"",IF(COUNTIFS(Release_Calendar!$A$2:$A$755,"NZ_CPI",Release_Calendar!$B$2:$B$755,$A5201)&gt;0,1,0))</f>
        <v>0</v>
      </c>
      <c r="N5201" s="16">
        <f>IF($A5201&lt;Notes!$B$5,"",IF(COUNTIFS(Release_Calendar!$A$2:$A$755,"NZ_GDP",Release_Calendar!$B$2:$B$755,$A5201)&gt;0,1,0))</f>
        <v>0</v>
      </c>
      <c r="O5201" s="16">
        <f>IF($A5201&lt;Notes!$B$5,"",IF(COUNTIFS(Release_Calendar!$A$2:$A$755,"NZ_LABOUR",Release_Calendar!$B$2:$B$755,$A5201)&gt;0,1,0))</f>
        <v>0</v>
      </c>
      <c r="P5201" s="16">
        <f t="shared" si="4"/>
        <v>1</v>
      </c>
    </row>
    <row r="5202" ht="15.75" customHeight="1">
      <c r="A5202" s="14">
        <v>43808.0</v>
      </c>
      <c r="B5202" s="15">
        <v>1.63</v>
      </c>
      <c r="C5202" s="15">
        <v>1.24</v>
      </c>
      <c r="D5202" s="15"/>
      <c r="E5202" s="15"/>
      <c r="F5202" s="15">
        <f t="shared" si="1"/>
        <v>-0.39</v>
      </c>
      <c r="G5202" s="15">
        <f t="shared" si="2"/>
        <v>1.24</v>
      </c>
      <c r="H5202" s="16">
        <v>0.0</v>
      </c>
      <c r="I5202" s="15">
        <f t="shared" si="3"/>
        <v>-0.39</v>
      </c>
      <c r="J5202" s="15">
        <v>15.86</v>
      </c>
      <c r="K5202" s="16">
        <f>IF(COUNTIFS(Release_Calendar!$A$2:$A$755,"US_CPI",Release_Calendar!$B$2:$B$755,$A5202)&gt;0,1,0)</f>
        <v>0</v>
      </c>
      <c r="L5202" s="16">
        <f>IF(COUNTIFS(Release_Calendar!$A$2:$A$755,"US_NFP",Release_Calendar!$B$2:$B$755,$A5202)&gt;0,1,0)</f>
        <v>0</v>
      </c>
      <c r="M5202" s="16">
        <f>IF($A5202&lt;Notes!$B$5,"",IF(COUNTIFS(Release_Calendar!$A$2:$A$755,"NZ_CPI",Release_Calendar!$B$2:$B$755,$A5202)&gt;0,1,0))</f>
        <v>0</v>
      </c>
      <c r="N5202" s="16">
        <f>IF($A5202&lt;Notes!$B$5,"",IF(COUNTIFS(Release_Calendar!$A$2:$A$755,"NZ_GDP",Release_Calendar!$B$2:$B$755,$A5202)&gt;0,1,0))</f>
        <v>0</v>
      </c>
      <c r="O5202" s="16">
        <f>IF($A5202&lt;Notes!$B$5,"",IF(COUNTIFS(Release_Calendar!$A$2:$A$755,"NZ_LABOUR",Release_Calendar!$B$2:$B$755,$A5202)&gt;0,1,0))</f>
        <v>0</v>
      </c>
      <c r="P5202" s="16">
        <f t="shared" si="4"/>
        <v>0</v>
      </c>
    </row>
    <row r="5203" ht="15.75" customHeight="1">
      <c r="A5203" s="14">
        <v>43809.0</v>
      </c>
      <c r="B5203" s="15">
        <v>1.65</v>
      </c>
      <c r="C5203" s="15">
        <v>1.22</v>
      </c>
      <c r="D5203" s="15"/>
      <c r="E5203" s="15"/>
      <c r="F5203" s="15">
        <f t="shared" si="1"/>
        <v>-0.43</v>
      </c>
      <c r="G5203" s="15">
        <f t="shared" si="2"/>
        <v>1.22</v>
      </c>
      <c r="H5203" s="16">
        <v>0.0</v>
      </c>
      <c r="I5203" s="15">
        <f t="shared" si="3"/>
        <v>-0.43</v>
      </c>
      <c r="J5203" s="15">
        <v>15.68</v>
      </c>
      <c r="K5203" s="16">
        <f>IF(COUNTIFS(Release_Calendar!$A$2:$A$755,"US_CPI",Release_Calendar!$B$2:$B$755,$A5203)&gt;0,1,0)</f>
        <v>0</v>
      </c>
      <c r="L5203" s="16">
        <f>IF(COUNTIFS(Release_Calendar!$A$2:$A$755,"US_NFP",Release_Calendar!$B$2:$B$755,$A5203)&gt;0,1,0)</f>
        <v>0</v>
      </c>
      <c r="M5203" s="16">
        <f>IF($A5203&lt;Notes!$B$5,"",IF(COUNTIFS(Release_Calendar!$A$2:$A$755,"NZ_CPI",Release_Calendar!$B$2:$B$755,$A5203)&gt;0,1,0))</f>
        <v>0</v>
      </c>
      <c r="N5203" s="16">
        <f>IF($A5203&lt;Notes!$B$5,"",IF(COUNTIFS(Release_Calendar!$A$2:$A$755,"NZ_GDP",Release_Calendar!$B$2:$B$755,$A5203)&gt;0,1,0))</f>
        <v>0</v>
      </c>
      <c r="O5203" s="16">
        <f>IF($A5203&lt;Notes!$B$5,"",IF(COUNTIFS(Release_Calendar!$A$2:$A$755,"NZ_LABOUR",Release_Calendar!$B$2:$B$755,$A5203)&gt;0,1,0))</f>
        <v>0</v>
      </c>
      <c r="P5203" s="16">
        <f t="shared" si="4"/>
        <v>0</v>
      </c>
    </row>
    <row r="5204" ht="15.75" customHeight="1">
      <c r="A5204" s="14">
        <v>43810.0</v>
      </c>
      <c r="B5204" s="15">
        <v>1.61</v>
      </c>
      <c r="C5204" s="15">
        <v>1.21</v>
      </c>
      <c r="D5204" s="15"/>
      <c r="E5204" s="15"/>
      <c r="F5204" s="15">
        <f t="shared" si="1"/>
        <v>-0.4</v>
      </c>
      <c r="G5204" s="15">
        <f t="shared" si="2"/>
        <v>1.21</v>
      </c>
      <c r="H5204" s="16">
        <v>0.0</v>
      </c>
      <c r="I5204" s="15">
        <f t="shared" si="3"/>
        <v>-0.4</v>
      </c>
      <c r="J5204" s="15">
        <v>14.99</v>
      </c>
      <c r="K5204" s="16">
        <f>IF(COUNTIFS(Release_Calendar!$A$2:$A$755,"US_CPI",Release_Calendar!$B$2:$B$755,$A5204)&gt;0,1,0)</f>
        <v>1</v>
      </c>
      <c r="L5204" s="16">
        <f>IF(COUNTIFS(Release_Calendar!$A$2:$A$755,"US_NFP",Release_Calendar!$B$2:$B$755,$A5204)&gt;0,1,0)</f>
        <v>0</v>
      </c>
      <c r="M5204" s="16">
        <f>IF($A5204&lt;Notes!$B$5,"",IF(COUNTIFS(Release_Calendar!$A$2:$A$755,"NZ_CPI",Release_Calendar!$B$2:$B$755,$A5204)&gt;0,1,0))</f>
        <v>0</v>
      </c>
      <c r="N5204" s="16">
        <f>IF($A5204&lt;Notes!$B$5,"",IF(COUNTIFS(Release_Calendar!$A$2:$A$755,"NZ_GDP",Release_Calendar!$B$2:$B$755,$A5204)&gt;0,1,0))</f>
        <v>0</v>
      </c>
      <c r="O5204" s="16">
        <f>IF($A5204&lt;Notes!$B$5,"",IF(COUNTIFS(Release_Calendar!$A$2:$A$755,"NZ_LABOUR",Release_Calendar!$B$2:$B$755,$A5204)&gt;0,1,0))</f>
        <v>0</v>
      </c>
      <c r="P5204" s="16">
        <f t="shared" si="4"/>
        <v>1</v>
      </c>
    </row>
    <row r="5205" ht="15.75" customHeight="1">
      <c r="A5205" s="14">
        <v>43811.0</v>
      </c>
      <c r="B5205" s="15">
        <v>1.66</v>
      </c>
      <c r="C5205" s="15">
        <v>1.2</v>
      </c>
      <c r="D5205" s="15"/>
      <c r="E5205" s="15"/>
      <c r="F5205" s="15">
        <f t="shared" si="1"/>
        <v>-0.46</v>
      </c>
      <c r="G5205" s="15">
        <f t="shared" si="2"/>
        <v>1.2</v>
      </c>
      <c r="H5205" s="16">
        <v>0.0</v>
      </c>
      <c r="I5205" s="15">
        <f t="shared" si="3"/>
        <v>-0.46</v>
      </c>
      <c r="J5205" s="15">
        <v>13.94</v>
      </c>
      <c r="K5205" s="16">
        <f>IF(COUNTIFS(Release_Calendar!$A$2:$A$755,"US_CPI",Release_Calendar!$B$2:$B$755,$A5205)&gt;0,1,0)</f>
        <v>0</v>
      </c>
      <c r="L5205" s="16">
        <f>IF(COUNTIFS(Release_Calendar!$A$2:$A$755,"US_NFP",Release_Calendar!$B$2:$B$755,$A5205)&gt;0,1,0)</f>
        <v>0</v>
      </c>
      <c r="M5205" s="16">
        <f>IF($A5205&lt;Notes!$B$5,"",IF(COUNTIFS(Release_Calendar!$A$2:$A$755,"NZ_CPI",Release_Calendar!$B$2:$B$755,$A5205)&gt;0,1,0))</f>
        <v>0</v>
      </c>
      <c r="N5205" s="16">
        <f>IF($A5205&lt;Notes!$B$5,"",IF(COUNTIFS(Release_Calendar!$A$2:$A$755,"NZ_GDP",Release_Calendar!$B$2:$B$755,$A5205)&gt;0,1,0))</f>
        <v>0</v>
      </c>
      <c r="O5205" s="16">
        <f>IF($A5205&lt;Notes!$B$5,"",IF(COUNTIFS(Release_Calendar!$A$2:$A$755,"NZ_LABOUR",Release_Calendar!$B$2:$B$755,$A5205)&gt;0,1,0))</f>
        <v>0</v>
      </c>
      <c r="P5205" s="16">
        <f t="shared" si="4"/>
        <v>0</v>
      </c>
    </row>
    <row r="5206" ht="15.75" customHeight="1">
      <c r="A5206" s="14">
        <v>43812.0</v>
      </c>
      <c r="B5206" s="15">
        <v>1.61</v>
      </c>
      <c r="C5206" s="15">
        <v>1.24</v>
      </c>
      <c r="D5206" s="15"/>
      <c r="E5206" s="15"/>
      <c r="F5206" s="15">
        <f t="shared" si="1"/>
        <v>-0.37</v>
      </c>
      <c r="G5206" s="15">
        <f t="shared" si="2"/>
        <v>1.24</v>
      </c>
      <c r="H5206" s="16">
        <v>0.0</v>
      </c>
      <c r="I5206" s="15">
        <f t="shared" si="3"/>
        <v>-0.37</v>
      </c>
      <c r="J5206" s="15">
        <v>12.63</v>
      </c>
      <c r="K5206" s="16">
        <f>IF(COUNTIFS(Release_Calendar!$A$2:$A$755,"US_CPI",Release_Calendar!$B$2:$B$755,$A5206)&gt;0,1,0)</f>
        <v>0</v>
      </c>
      <c r="L5206" s="16">
        <f>IF(COUNTIFS(Release_Calendar!$A$2:$A$755,"US_NFP",Release_Calendar!$B$2:$B$755,$A5206)&gt;0,1,0)</f>
        <v>0</v>
      </c>
      <c r="M5206" s="16">
        <f>IF($A5206&lt;Notes!$B$5,"",IF(COUNTIFS(Release_Calendar!$A$2:$A$755,"NZ_CPI",Release_Calendar!$B$2:$B$755,$A5206)&gt;0,1,0))</f>
        <v>0</v>
      </c>
      <c r="N5206" s="16">
        <f>IF($A5206&lt;Notes!$B$5,"",IF(COUNTIFS(Release_Calendar!$A$2:$A$755,"NZ_GDP",Release_Calendar!$B$2:$B$755,$A5206)&gt;0,1,0))</f>
        <v>0</v>
      </c>
      <c r="O5206" s="16">
        <f>IF($A5206&lt;Notes!$B$5,"",IF(COUNTIFS(Release_Calendar!$A$2:$A$755,"NZ_LABOUR",Release_Calendar!$B$2:$B$755,$A5206)&gt;0,1,0))</f>
        <v>0</v>
      </c>
      <c r="P5206" s="16">
        <f t="shared" si="4"/>
        <v>0</v>
      </c>
    </row>
    <row r="5207" ht="15.75" customHeight="1">
      <c r="A5207" s="14">
        <v>43815.0</v>
      </c>
      <c r="B5207" s="15">
        <v>1.65</v>
      </c>
      <c r="C5207" s="15">
        <v>1.22</v>
      </c>
      <c r="D5207" s="15"/>
      <c r="E5207" s="15"/>
      <c r="F5207" s="15">
        <f t="shared" si="1"/>
        <v>-0.43</v>
      </c>
      <c r="G5207" s="15">
        <f t="shared" si="2"/>
        <v>1.22</v>
      </c>
      <c r="H5207" s="16">
        <v>0.0</v>
      </c>
      <c r="I5207" s="15">
        <f t="shared" si="3"/>
        <v>-0.43</v>
      </c>
      <c r="J5207" s="15">
        <v>12.14</v>
      </c>
      <c r="K5207" s="16">
        <f>IF(COUNTIFS(Release_Calendar!$A$2:$A$755,"US_CPI",Release_Calendar!$B$2:$B$755,$A5207)&gt;0,1,0)</f>
        <v>0</v>
      </c>
      <c r="L5207" s="16">
        <f>IF(COUNTIFS(Release_Calendar!$A$2:$A$755,"US_NFP",Release_Calendar!$B$2:$B$755,$A5207)&gt;0,1,0)</f>
        <v>0</v>
      </c>
      <c r="M5207" s="16">
        <f>IF($A5207&lt;Notes!$B$5,"",IF(COUNTIFS(Release_Calendar!$A$2:$A$755,"NZ_CPI",Release_Calendar!$B$2:$B$755,$A5207)&gt;0,1,0))</f>
        <v>0</v>
      </c>
      <c r="N5207" s="16">
        <f>IF($A5207&lt;Notes!$B$5,"",IF(COUNTIFS(Release_Calendar!$A$2:$A$755,"NZ_GDP",Release_Calendar!$B$2:$B$755,$A5207)&gt;0,1,0))</f>
        <v>0</v>
      </c>
      <c r="O5207" s="16">
        <f>IF($A5207&lt;Notes!$B$5,"",IF(COUNTIFS(Release_Calendar!$A$2:$A$755,"NZ_LABOUR",Release_Calendar!$B$2:$B$755,$A5207)&gt;0,1,0))</f>
        <v>0</v>
      </c>
      <c r="P5207" s="16">
        <f t="shared" si="4"/>
        <v>0</v>
      </c>
    </row>
    <row r="5208" ht="15.75" customHeight="1">
      <c r="A5208" s="14">
        <v>43816.0</v>
      </c>
      <c r="B5208" s="15">
        <v>1.63</v>
      </c>
      <c r="C5208" s="15">
        <v>1.22</v>
      </c>
      <c r="D5208" s="15"/>
      <c r="E5208" s="15"/>
      <c r="F5208" s="15">
        <f t="shared" si="1"/>
        <v>-0.41</v>
      </c>
      <c r="G5208" s="15">
        <f t="shared" si="2"/>
        <v>1.22</v>
      </c>
      <c r="H5208" s="16">
        <v>0.0</v>
      </c>
      <c r="I5208" s="15">
        <f t="shared" si="3"/>
        <v>-0.41</v>
      </c>
      <c r="J5208" s="15">
        <v>12.29</v>
      </c>
      <c r="K5208" s="16">
        <f>IF(COUNTIFS(Release_Calendar!$A$2:$A$755,"US_CPI",Release_Calendar!$B$2:$B$755,$A5208)&gt;0,1,0)</f>
        <v>0</v>
      </c>
      <c r="L5208" s="16">
        <f>IF(COUNTIFS(Release_Calendar!$A$2:$A$755,"US_NFP",Release_Calendar!$B$2:$B$755,$A5208)&gt;0,1,0)</f>
        <v>0</v>
      </c>
      <c r="M5208" s="16">
        <f>IF($A5208&lt;Notes!$B$5,"",IF(COUNTIFS(Release_Calendar!$A$2:$A$755,"NZ_CPI",Release_Calendar!$B$2:$B$755,$A5208)&gt;0,1,0))</f>
        <v>0</v>
      </c>
      <c r="N5208" s="16">
        <f>IF($A5208&lt;Notes!$B$5,"",IF(COUNTIFS(Release_Calendar!$A$2:$A$755,"NZ_GDP",Release_Calendar!$B$2:$B$755,$A5208)&gt;0,1,0))</f>
        <v>0</v>
      </c>
      <c r="O5208" s="16">
        <f>IF($A5208&lt;Notes!$B$5,"",IF(COUNTIFS(Release_Calendar!$A$2:$A$755,"NZ_LABOUR",Release_Calendar!$B$2:$B$755,$A5208)&gt;0,1,0))</f>
        <v>0</v>
      </c>
      <c r="P5208" s="16">
        <f t="shared" si="4"/>
        <v>0</v>
      </c>
    </row>
    <row r="5209" ht="15.75" customHeight="1">
      <c r="A5209" s="14">
        <v>43817.0</v>
      </c>
      <c r="B5209" s="15">
        <v>1.63</v>
      </c>
      <c r="C5209" s="15">
        <v>1.24</v>
      </c>
      <c r="D5209" s="15"/>
      <c r="E5209" s="15"/>
      <c r="F5209" s="15">
        <f t="shared" si="1"/>
        <v>-0.39</v>
      </c>
      <c r="G5209" s="15">
        <f t="shared" si="2"/>
        <v>1.24</v>
      </c>
      <c r="H5209" s="16">
        <v>0.0</v>
      </c>
      <c r="I5209" s="15">
        <f t="shared" si="3"/>
        <v>-0.39</v>
      </c>
      <c r="J5209" s="15">
        <v>12.58</v>
      </c>
      <c r="K5209" s="16">
        <f>IF(COUNTIFS(Release_Calendar!$A$2:$A$755,"US_CPI",Release_Calendar!$B$2:$B$755,$A5209)&gt;0,1,0)</f>
        <v>0</v>
      </c>
      <c r="L5209" s="16">
        <f>IF(COUNTIFS(Release_Calendar!$A$2:$A$755,"US_NFP",Release_Calendar!$B$2:$B$755,$A5209)&gt;0,1,0)</f>
        <v>0</v>
      </c>
      <c r="M5209" s="16">
        <f>IF($A5209&lt;Notes!$B$5,"",IF(COUNTIFS(Release_Calendar!$A$2:$A$755,"NZ_CPI",Release_Calendar!$B$2:$B$755,$A5209)&gt;0,1,0))</f>
        <v>0</v>
      </c>
      <c r="N5209" s="16">
        <f>IF($A5209&lt;Notes!$B$5,"",IF(COUNTIFS(Release_Calendar!$A$2:$A$755,"NZ_GDP",Release_Calendar!$B$2:$B$755,$A5209)&gt;0,1,0))</f>
        <v>0</v>
      </c>
      <c r="O5209" s="16">
        <f>IF($A5209&lt;Notes!$B$5,"",IF(COUNTIFS(Release_Calendar!$A$2:$A$755,"NZ_LABOUR",Release_Calendar!$B$2:$B$755,$A5209)&gt;0,1,0))</f>
        <v>0</v>
      </c>
      <c r="P5209" s="16">
        <f t="shared" si="4"/>
        <v>0</v>
      </c>
    </row>
    <row r="5210" ht="15.75" customHeight="1">
      <c r="A5210" s="14">
        <v>43818.0</v>
      </c>
      <c r="B5210" s="15">
        <v>1.62</v>
      </c>
      <c r="C5210" s="15">
        <v>1.25</v>
      </c>
      <c r="D5210" s="15"/>
      <c r="E5210" s="15"/>
      <c r="F5210" s="15">
        <f t="shared" si="1"/>
        <v>-0.37</v>
      </c>
      <c r="G5210" s="15">
        <f t="shared" si="2"/>
        <v>1.25</v>
      </c>
      <c r="H5210" s="16">
        <v>0.0</v>
      </c>
      <c r="I5210" s="15">
        <f t="shared" si="3"/>
        <v>-0.37</v>
      </c>
      <c r="J5210" s="15">
        <v>12.5</v>
      </c>
      <c r="K5210" s="16">
        <f>IF(COUNTIFS(Release_Calendar!$A$2:$A$755,"US_CPI",Release_Calendar!$B$2:$B$755,$A5210)&gt;0,1,0)</f>
        <v>0</v>
      </c>
      <c r="L5210" s="16">
        <f>IF(COUNTIFS(Release_Calendar!$A$2:$A$755,"US_NFP",Release_Calendar!$B$2:$B$755,$A5210)&gt;0,1,0)</f>
        <v>0</v>
      </c>
      <c r="M5210" s="16">
        <f>IF($A5210&lt;Notes!$B$5,"",IF(COUNTIFS(Release_Calendar!$A$2:$A$755,"NZ_CPI",Release_Calendar!$B$2:$B$755,$A5210)&gt;0,1,0))</f>
        <v>0</v>
      </c>
      <c r="N5210" s="16">
        <f>IF($A5210&lt;Notes!$B$5,"",IF(COUNTIFS(Release_Calendar!$A$2:$A$755,"NZ_GDP",Release_Calendar!$B$2:$B$755,$A5210)&gt;0,1,0))</f>
        <v>1</v>
      </c>
      <c r="O5210" s="16">
        <f>IF($A5210&lt;Notes!$B$5,"",IF(COUNTIFS(Release_Calendar!$A$2:$A$755,"NZ_LABOUR",Release_Calendar!$B$2:$B$755,$A5210)&gt;0,1,0))</f>
        <v>0</v>
      </c>
      <c r="P5210" s="16">
        <f t="shared" si="4"/>
        <v>1</v>
      </c>
    </row>
    <row r="5211" ht="15.75" customHeight="1">
      <c r="A5211" s="14">
        <v>43819.0</v>
      </c>
      <c r="B5211" s="15">
        <v>1.63</v>
      </c>
      <c r="C5211" s="15">
        <v>1.26</v>
      </c>
      <c r="D5211" s="15"/>
      <c r="E5211" s="15"/>
      <c r="F5211" s="15">
        <f t="shared" si="1"/>
        <v>-0.37</v>
      </c>
      <c r="G5211" s="15">
        <f t="shared" si="2"/>
        <v>1.26</v>
      </c>
      <c r="H5211" s="16">
        <v>0.0</v>
      </c>
      <c r="I5211" s="15">
        <f t="shared" si="3"/>
        <v>-0.37</v>
      </c>
      <c r="J5211" s="15">
        <v>12.51</v>
      </c>
      <c r="K5211" s="16">
        <f>IF(COUNTIFS(Release_Calendar!$A$2:$A$755,"US_CPI",Release_Calendar!$B$2:$B$755,$A5211)&gt;0,1,0)</f>
        <v>0</v>
      </c>
      <c r="L5211" s="16">
        <f>IF(COUNTIFS(Release_Calendar!$A$2:$A$755,"US_NFP",Release_Calendar!$B$2:$B$755,$A5211)&gt;0,1,0)</f>
        <v>0</v>
      </c>
      <c r="M5211" s="16">
        <f>IF($A5211&lt;Notes!$B$5,"",IF(COUNTIFS(Release_Calendar!$A$2:$A$755,"NZ_CPI",Release_Calendar!$B$2:$B$755,$A5211)&gt;0,1,0))</f>
        <v>0</v>
      </c>
      <c r="N5211" s="16">
        <f>IF($A5211&lt;Notes!$B$5,"",IF(COUNTIFS(Release_Calendar!$A$2:$A$755,"NZ_GDP",Release_Calendar!$B$2:$B$755,$A5211)&gt;0,1,0))</f>
        <v>0</v>
      </c>
      <c r="O5211" s="16">
        <f>IF($A5211&lt;Notes!$B$5,"",IF(COUNTIFS(Release_Calendar!$A$2:$A$755,"NZ_LABOUR",Release_Calendar!$B$2:$B$755,$A5211)&gt;0,1,0))</f>
        <v>0</v>
      </c>
      <c r="P5211" s="16">
        <f t="shared" si="4"/>
        <v>0</v>
      </c>
    </row>
    <row r="5212" ht="15.75" customHeight="1">
      <c r="A5212" s="14">
        <v>43822.0</v>
      </c>
      <c r="B5212" s="15">
        <v>1.64</v>
      </c>
      <c r="C5212" s="15">
        <v>1.25</v>
      </c>
      <c r="D5212" s="15"/>
      <c r="E5212" s="15"/>
      <c r="F5212" s="15">
        <f t="shared" si="1"/>
        <v>-0.39</v>
      </c>
      <c r="G5212" s="15">
        <f t="shared" si="2"/>
        <v>1.25</v>
      </c>
      <c r="H5212" s="16">
        <v>0.0</v>
      </c>
      <c r="I5212" s="15">
        <f t="shared" si="3"/>
        <v>-0.39</v>
      </c>
      <c r="J5212" s="15">
        <v>12.61</v>
      </c>
      <c r="K5212" s="16">
        <f>IF(COUNTIFS(Release_Calendar!$A$2:$A$755,"US_CPI",Release_Calendar!$B$2:$B$755,$A5212)&gt;0,1,0)</f>
        <v>0</v>
      </c>
      <c r="L5212" s="16">
        <f>IF(COUNTIFS(Release_Calendar!$A$2:$A$755,"US_NFP",Release_Calendar!$B$2:$B$755,$A5212)&gt;0,1,0)</f>
        <v>0</v>
      </c>
      <c r="M5212" s="16">
        <f>IF($A5212&lt;Notes!$B$5,"",IF(COUNTIFS(Release_Calendar!$A$2:$A$755,"NZ_CPI",Release_Calendar!$B$2:$B$755,$A5212)&gt;0,1,0))</f>
        <v>0</v>
      </c>
      <c r="N5212" s="16">
        <f>IF($A5212&lt;Notes!$B$5,"",IF(COUNTIFS(Release_Calendar!$A$2:$A$755,"NZ_GDP",Release_Calendar!$B$2:$B$755,$A5212)&gt;0,1,0))</f>
        <v>0</v>
      </c>
      <c r="O5212" s="16">
        <f>IF($A5212&lt;Notes!$B$5,"",IF(COUNTIFS(Release_Calendar!$A$2:$A$755,"NZ_LABOUR",Release_Calendar!$B$2:$B$755,$A5212)&gt;0,1,0))</f>
        <v>0</v>
      </c>
      <c r="P5212" s="16">
        <f t="shared" si="4"/>
        <v>0</v>
      </c>
    </row>
    <row r="5213" ht="15.75" customHeight="1">
      <c r="A5213" s="14">
        <v>43823.0</v>
      </c>
      <c r="B5213" s="15">
        <v>1.62</v>
      </c>
      <c r="C5213" s="15">
        <v>1.26</v>
      </c>
      <c r="D5213" s="15"/>
      <c r="E5213" s="15"/>
      <c r="F5213" s="15">
        <f t="shared" si="1"/>
        <v>-0.36</v>
      </c>
      <c r="G5213" s="15">
        <f t="shared" si="2"/>
        <v>1.26</v>
      </c>
      <c r="H5213" s="16">
        <v>0.0</v>
      </c>
      <c r="I5213" s="15">
        <f t="shared" si="3"/>
        <v>-0.36</v>
      </c>
      <c r="J5213" s="15">
        <v>12.67</v>
      </c>
      <c r="K5213" s="16">
        <f>IF(COUNTIFS(Release_Calendar!$A$2:$A$755,"US_CPI",Release_Calendar!$B$2:$B$755,$A5213)&gt;0,1,0)</f>
        <v>0</v>
      </c>
      <c r="L5213" s="16">
        <f>IF(COUNTIFS(Release_Calendar!$A$2:$A$755,"US_NFP",Release_Calendar!$B$2:$B$755,$A5213)&gt;0,1,0)</f>
        <v>0</v>
      </c>
      <c r="M5213" s="16">
        <f>IF($A5213&lt;Notes!$B$5,"",IF(COUNTIFS(Release_Calendar!$A$2:$A$755,"NZ_CPI",Release_Calendar!$B$2:$B$755,$A5213)&gt;0,1,0))</f>
        <v>0</v>
      </c>
      <c r="N5213" s="16">
        <f>IF($A5213&lt;Notes!$B$5,"",IF(COUNTIFS(Release_Calendar!$A$2:$A$755,"NZ_GDP",Release_Calendar!$B$2:$B$755,$A5213)&gt;0,1,0))</f>
        <v>0</v>
      </c>
      <c r="O5213" s="16">
        <f>IF($A5213&lt;Notes!$B$5,"",IF(COUNTIFS(Release_Calendar!$A$2:$A$755,"NZ_LABOUR",Release_Calendar!$B$2:$B$755,$A5213)&gt;0,1,0))</f>
        <v>0</v>
      </c>
      <c r="P5213" s="16">
        <f t="shared" si="4"/>
        <v>0</v>
      </c>
    </row>
    <row r="5214" ht="15.75" customHeight="1">
      <c r="A5214" s="14">
        <v>43824.0</v>
      </c>
      <c r="B5214" s="15"/>
      <c r="C5214" s="15"/>
      <c r="D5214" s="15"/>
      <c r="E5214" s="15"/>
      <c r="F5214" s="15" t="str">
        <f t="shared" si="1"/>
        <v/>
      </c>
      <c r="G5214" s="15" t="str">
        <f t="shared" si="2"/>
        <v/>
      </c>
      <c r="H5214" s="16">
        <v>0.0</v>
      </c>
      <c r="I5214" s="15" t="str">
        <f t="shared" si="3"/>
        <v/>
      </c>
      <c r="J5214" s="15"/>
      <c r="K5214" s="16">
        <f>IF(COUNTIFS(Release_Calendar!$A$2:$A$755,"US_CPI",Release_Calendar!$B$2:$B$755,$A5214)&gt;0,1,0)</f>
        <v>0</v>
      </c>
      <c r="L5214" s="16">
        <f>IF(COUNTIFS(Release_Calendar!$A$2:$A$755,"US_NFP",Release_Calendar!$B$2:$B$755,$A5214)&gt;0,1,0)</f>
        <v>0</v>
      </c>
      <c r="M5214" s="16">
        <f>IF($A5214&lt;Notes!$B$5,"",IF(COUNTIFS(Release_Calendar!$A$2:$A$755,"NZ_CPI",Release_Calendar!$B$2:$B$755,$A5214)&gt;0,1,0))</f>
        <v>0</v>
      </c>
      <c r="N5214" s="16">
        <f>IF($A5214&lt;Notes!$B$5,"",IF(COUNTIFS(Release_Calendar!$A$2:$A$755,"NZ_GDP",Release_Calendar!$B$2:$B$755,$A5214)&gt;0,1,0))</f>
        <v>0</v>
      </c>
      <c r="O5214" s="16">
        <f>IF($A5214&lt;Notes!$B$5,"",IF(COUNTIFS(Release_Calendar!$A$2:$A$755,"NZ_LABOUR",Release_Calendar!$B$2:$B$755,$A5214)&gt;0,1,0))</f>
        <v>0</v>
      </c>
      <c r="P5214" s="16">
        <f t="shared" si="4"/>
        <v>0</v>
      </c>
    </row>
    <row r="5215" ht="15.75" customHeight="1">
      <c r="A5215" s="14">
        <v>43825.0</v>
      </c>
      <c r="B5215" s="15">
        <v>1.64</v>
      </c>
      <c r="C5215" s="15"/>
      <c r="D5215" s="15"/>
      <c r="E5215" s="15"/>
      <c r="F5215" s="15" t="str">
        <f t="shared" si="1"/>
        <v/>
      </c>
      <c r="G5215" s="15" t="str">
        <f t="shared" si="2"/>
        <v/>
      </c>
      <c r="H5215" s="16">
        <v>0.0</v>
      </c>
      <c r="I5215" s="15" t="str">
        <f t="shared" si="3"/>
        <v/>
      </c>
      <c r="J5215" s="15">
        <v>12.65</v>
      </c>
      <c r="K5215" s="16">
        <f>IF(COUNTIFS(Release_Calendar!$A$2:$A$755,"US_CPI",Release_Calendar!$B$2:$B$755,$A5215)&gt;0,1,0)</f>
        <v>0</v>
      </c>
      <c r="L5215" s="16">
        <f>IF(COUNTIFS(Release_Calendar!$A$2:$A$755,"US_NFP",Release_Calendar!$B$2:$B$755,$A5215)&gt;0,1,0)</f>
        <v>0</v>
      </c>
      <c r="M5215" s="16">
        <f>IF($A5215&lt;Notes!$B$5,"",IF(COUNTIFS(Release_Calendar!$A$2:$A$755,"NZ_CPI",Release_Calendar!$B$2:$B$755,$A5215)&gt;0,1,0))</f>
        <v>0</v>
      </c>
      <c r="N5215" s="16">
        <f>IF($A5215&lt;Notes!$B$5,"",IF(COUNTIFS(Release_Calendar!$A$2:$A$755,"NZ_GDP",Release_Calendar!$B$2:$B$755,$A5215)&gt;0,1,0))</f>
        <v>0</v>
      </c>
      <c r="O5215" s="16">
        <f>IF($A5215&lt;Notes!$B$5,"",IF(COUNTIFS(Release_Calendar!$A$2:$A$755,"NZ_LABOUR",Release_Calendar!$B$2:$B$755,$A5215)&gt;0,1,0))</f>
        <v>0</v>
      </c>
      <c r="P5215" s="16">
        <f t="shared" si="4"/>
        <v>0</v>
      </c>
    </row>
    <row r="5216" ht="15.75" customHeight="1">
      <c r="A5216" s="14">
        <v>43826.0</v>
      </c>
      <c r="B5216" s="15">
        <v>1.59</v>
      </c>
      <c r="C5216" s="15">
        <v>1.26</v>
      </c>
      <c r="D5216" s="15"/>
      <c r="E5216" s="15"/>
      <c r="F5216" s="15">
        <f t="shared" si="1"/>
        <v>-0.33</v>
      </c>
      <c r="G5216" s="15">
        <f t="shared" si="2"/>
        <v>1.26</v>
      </c>
      <c r="H5216" s="16">
        <v>0.0</v>
      </c>
      <c r="I5216" s="15">
        <f t="shared" si="3"/>
        <v>-0.33</v>
      </c>
      <c r="J5216" s="15">
        <v>13.43</v>
      </c>
      <c r="K5216" s="16">
        <f>IF(COUNTIFS(Release_Calendar!$A$2:$A$755,"US_CPI",Release_Calendar!$B$2:$B$755,$A5216)&gt;0,1,0)</f>
        <v>0</v>
      </c>
      <c r="L5216" s="16">
        <f>IF(COUNTIFS(Release_Calendar!$A$2:$A$755,"US_NFP",Release_Calendar!$B$2:$B$755,$A5216)&gt;0,1,0)</f>
        <v>0</v>
      </c>
      <c r="M5216" s="16">
        <f>IF($A5216&lt;Notes!$B$5,"",IF(COUNTIFS(Release_Calendar!$A$2:$A$755,"NZ_CPI",Release_Calendar!$B$2:$B$755,$A5216)&gt;0,1,0))</f>
        <v>0</v>
      </c>
      <c r="N5216" s="16">
        <f>IF($A5216&lt;Notes!$B$5,"",IF(COUNTIFS(Release_Calendar!$A$2:$A$755,"NZ_GDP",Release_Calendar!$B$2:$B$755,$A5216)&gt;0,1,0))</f>
        <v>0</v>
      </c>
      <c r="O5216" s="16">
        <f>IF($A5216&lt;Notes!$B$5,"",IF(COUNTIFS(Release_Calendar!$A$2:$A$755,"NZ_LABOUR",Release_Calendar!$B$2:$B$755,$A5216)&gt;0,1,0))</f>
        <v>0</v>
      </c>
      <c r="P5216" s="16">
        <f t="shared" si="4"/>
        <v>0</v>
      </c>
    </row>
    <row r="5217" ht="15.75" customHeight="1">
      <c r="A5217" s="14">
        <v>43829.0</v>
      </c>
      <c r="B5217" s="15">
        <v>1.58</v>
      </c>
      <c r="C5217" s="15">
        <v>1.26</v>
      </c>
      <c r="D5217" s="15"/>
      <c r="E5217" s="15"/>
      <c r="F5217" s="15">
        <f t="shared" si="1"/>
        <v>-0.32</v>
      </c>
      <c r="G5217" s="15">
        <f t="shared" si="2"/>
        <v>1.26</v>
      </c>
      <c r="H5217" s="16">
        <v>0.0</v>
      </c>
      <c r="I5217" s="15">
        <f t="shared" si="3"/>
        <v>-0.32</v>
      </c>
      <c r="J5217" s="15">
        <v>14.82</v>
      </c>
      <c r="K5217" s="16">
        <f>IF(COUNTIFS(Release_Calendar!$A$2:$A$755,"US_CPI",Release_Calendar!$B$2:$B$755,$A5217)&gt;0,1,0)</f>
        <v>0</v>
      </c>
      <c r="L5217" s="16">
        <f>IF(COUNTIFS(Release_Calendar!$A$2:$A$755,"US_NFP",Release_Calendar!$B$2:$B$755,$A5217)&gt;0,1,0)</f>
        <v>0</v>
      </c>
      <c r="M5217" s="16">
        <f>IF($A5217&lt;Notes!$B$5,"",IF(COUNTIFS(Release_Calendar!$A$2:$A$755,"NZ_CPI",Release_Calendar!$B$2:$B$755,$A5217)&gt;0,1,0))</f>
        <v>0</v>
      </c>
      <c r="N5217" s="16">
        <f>IF($A5217&lt;Notes!$B$5,"",IF(COUNTIFS(Release_Calendar!$A$2:$A$755,"NZ_GDP",Release_Calendar!$B$2:$B$755,$A5217)&gt;0,1,0))</f>
        <v>0</v>
      </c>
      <c r="O5217" s="16">
        <f>IF($A5217&lt;Notes!$B$5,"",IF(COUNTIFS(Release_Calendar!$A$2:$A$755,"NZ_LABOUR",Release_Calendar!$B$2:$B$755,$A5217)&gt;0,1,0))</f>
        <v>0</v>
      </c>
      <c r="P5217" s="16">
        <f t="shared" si="4"/>
        <v>0</v>
      </c>
    </row>
    <row r="5218" ht="15.75" customHeight="1">
      <c r="A5218" s="14">
        <v>43830.0</v>
      </c>
      <c r="B5218" s="15">
        <v>1.58</v>
      </c>
      <c r="C5218" s="15">
        <v>1.26</v>
      </c>
      <c r="D5218" s="15"/>
      <c r="E5218" s="15"/>
      <c r="F5218" s="15">
        <f t="shared" si="1"/>
        <v>-0.32</v>
      </c>
      <c r="G5218" s="15">
        <f t="shared" si="2"/>
        <v>1.26</v>
      </c>
      <c r="H5218" s="16">
        <v>0.0</v>
      </c>
      <c r="I5218" s="15">
        <f t="shared" si="3"/>
        <v>-0.32</v>
      </c>
      <c r="J5218" s="15">
        <v>13.78</v>
      </c>
      <c r="K5218" s="16">
        <f>IF(COUNTIFS(Release_Calendar!$A$2:$A$755,"US_CPI",Release_Calendar!$B$2:$B$755,$A5218)&gt;0,1,0)</f>
        <v>0</v>
      </c>
      <c r="L5218" s="16">
        <f>IF(COUNTIFS(Release_Calendar!$A$2:$A$755,"US_NFP",Release_Calendar!$B$2:$B$755,$A5218)&gt;0,1,0)</f>
        <v>0</v>
      </c>
      <c r="M5218" s="16">
        <f>IF($A5218&lt;Notes!$B$5,"",IF(COUNTIFS(Release_Calendar!$A$2:$A$755,"NZ_CPI",Release_Calendar!$B$2:$B$755,$A5218)&gt;0,1,0))</f>
        <v>0</v>
      </c>
      <c r="N5218" s="16">
        <f>IF($A5218&lt;Notes!$B$5,"",IF(COUNTIFS(Release_Calendar!$A$2:$A$755,"NZ_GDP",Release_Calendar!$B$2:$B$755,$A5218)&gt;0,1,0))</f>
        <v>0</v>
      </c>
      <c r="O5218" s="16">
        <f>IF($A5218&lt;Notes!$B$5,"",IF(COUNTIFS(Release_Calendar!$A$2:$A$755,"NZ_LABOUR",Release_Calendar!$B$2:$B$755,$A5218)&gt;0,1,0))</f>
        <v>0</v>
      </c>
      <c r="P5218" s="16">
        <f t="shared" si="4"/>
        <v>0</v>
      </c>
    </row>
    <row r="5219" ht="15.75" customHeight="1">
      <c r="A5219" s="14">
        <v>43831.0</v>
      </c>
      <c r="B5219" s="15"/>
      <c r="C5219" s="15"/>
      <c r="D5219" s="15"/>
      <c r="E5219" s="15"/>
      <c r="F5219" s="15" t="str">
        <f t="shared" si="1"/>
        <v/>
      </c>
      <c r="G5219" s="15" t="str">
        <f t="shared" si="2"/>
        <v/>
      </c>
      <c r="H5219" s="16">
        <v>0.0</v>
      </c>
      <c r="I5219" s="15" t="str">
        <f t="shared" si="3"/>
        <v/>
      </c>
      <c r="J5219" s="15"/>
      <c r="K5219" s="16">
        <f>IF(COUNTIFS(Release_Calendar!$A$2:$A$755,"US_CPI",Release_Calendar!$B$2:$B$755,$A5219)&gt;0,1,0)</f>
        <v>0</v>
      </c>
      <c r="L5219" s="16">
        <f>IF(COUNTIFS(Release_Calendar!$A$2:$A$755,"US_NFP",Release_Calendar!$B$2:$B$755,$A5219)&gt;0,1,0)</f>
        <v>0</v>
      </c>
      <c r="M5219" s="16">
        <f>IF($A5219&lt;Notes!$B$5,"",IF(COUNTIFS(Release_Calendar!$A$2:$A$755,"NZ_CPI",Release_Calendar!$B$2:$B$755,$A5219)&gt;0,1,0))</f>
        <v>0</v>
      </c>
      <c r="N5219" s="16">
        <f>IF($A5219&lt;Notes!$B$5,"",IF(COUNTIFS(Release_Calendar!$A$2:$A$755,"NZ_GDP",Release_Calendar!$B$2:$B$755,$A5219)&gt;0,1,0))</f>
        <v>0</v>
      </c>
      <c r="O5219" s="16">
        <f>IF($A5219&lt;Notes!$B$5,"",IF(COUNTIFS(Release_Calendar!$A$2:$A$755,"NZ_LABOUR",Release_Calendar!$B$2:$B$755,$A5219)&gt;0,1,0))</f>
        <v>0</v>
      </c>
      <c r="P5219" s="16">
        <f t="shared" si="4"/>
        <v>0</v>
      </c>
    </row>
    <row r="5220" ht="15.75" customHeight="1">
      <c r="A5220" s="14">
        <v>43832.0</v>
      </c>
      <c r="B5220" s="15">
        <v>1.58</v>
      </c>
      <c r="C5220" s="15"/>
      <c r="D5220" s="15"/>
      <c r="E5220" s="15"/>
      <c r="F5220" s="15" t="str">
        <f t="shared" si="1"/>
        <v/>
      </c>
      <c r="G5220" s="15" t="str">
        <f t="shared" si="2"/>
        <v/>
      </c>
      <c r="H5220" s="16">
        <v>0.0</v>
      </c>
      <c r="I5220" s="15" t="str">
        <f t="shared" si="3"/>
        <v/>
      </c>
      <c r="J5220" s="15">
        <v>12.47</v>
      </c>
      <c r="K5220" s="16">
        <f>IF(COUNTIFS(Release_Calendar!$A$2:$A$755,"US_CPI",Release_Calendar!$B$2:$B$755,$A5220)&gt;0,1,0)</f>
        <v>0</v>
      </c>
      <c r="L5220" s="16">
        <f>IF(COUNTIFS(Release_Calendar!$A$2:$A$755,"US_NFP",Release_Calendar!$B$2:$B$755,$A5220)&gt;0,1,0)</f>
        <v>0</v>
      </c>
      <c r="M5220" s="16">
        <f>IF($A5220&lt;Notes!$B$5,"",IF(COUNTIFS(Release_Calendar!$A$2:$A$755,"NZ_CPI",Release_Calendar!$B$2:$B$755,$A5220)&gt;0,1,0))</f>
        <v>0</v>
      </c>
      <c r="N5220" s="16">
        <f>IF($A5220&lt;Notes!$B$5,"",IF(COUNTIFS(Release_Calendar!$A$2:$A$755,"NZ_GDP",Release_Calendar!$B$2:$B$755,$A5220)&gt;0,1,0))</f>
        <v>0</v>
      </c>
      <c r="O5220" s="16">
        <f>IF($A5220&lt;Notes!$B$5,"",IF(COUNTIFS(Release_Calendar!$A$2:$A$755,"NZ_LABOUR",Release_Calendar!$B$2:$B$755,$A5220)&gt;0,1,0))</f>
        <v>0</v>
      </c>
      <c r="P5220" s="16">
        <f t="shared" si="4"/>
        <v>0</v>
      </c>
    </row>
    <row r="5221" ht="15.75" customHeight="1">
      <c r="A5221" s="14">
        <v>43833.0</v>
      </c>
      <c r="B5221" s="15">
        <v>1.53</v>
      </c>
      <c r="C5221" s="15">
        <v>1.22</v>
      </c>
      <c r="D5221" s="15"/>
      <c r="E5221" s="15"/>
      <c r="F5221" s="15">
        <f t="shared" si="1"/>
        <v>-0.31</v>
      </c>
      <c r="G5221" s="15">
        <f t="shared" si="2"/>
        <v>1.22</v>
      </c>
      <c r="H5221" s="16">
        <v>0.0</v>
      </c>
      <c r="I5221" s="15">
        <f t="shared" si="3"/>
        <v>-0.31</v>
      </c>
      <c r="J5221" s="15">
        <v>14.02</v>
      </c>
      <c r="K5221" s="16">
        <f>IF(COUNTIFS(Release_Calendar!$A$2:$A$755,"US_CPI",Release_Calendar!$B$2:$B$755,$A5221)&gt;0,1,0)</f>
        <v>0</v>
      </c>
      <c r="L5221" s="16">
        <f>IF(COUNTIFS(Release_Calendar!$A$2:$A$755,"US_NFP",Release_Calendar!$B$2:$B$755,$A5221)&gt;0,1,0)</f>
        <v>0</v>
      </c>
      <c r="M5221" s="16">
        <f>IF($A5221&lt;Notes!$B$5,"",IF(COUNTIFS(Release_Calendar!$A$2:$A$755,"NZ_CPI",Release_Calendar!$B$2:$B$755,$A5221)&gt;0,1,0))</f>
        <v>0</v>
      </c>
      <c r="N5221" s="16">
        <f>IF($A5221&lt;Notes!$B$5,"",IF(COUNTIFS(Release_Calendar!$A$2:$A$755,"NZ_GDP",Release_Calendar!$B$2:$B$755,$A5221)&gt;0,1,0))</f>
        <v>0</v>
      </c>
      <c r="O5221" s="16">
        <f>IF($A5221&lt;Notes!$B$5,"",IF(COUNTIFS(Release_Calendar!$A$2:$A$755,"NZ_LABOUR",Release_Calendar!$B$2:$B$755,$A5221)&gt;0,1,0))</f>
        <v>0</v>
      </c>
      <c r="P5221" s="16">
        <f t="shared" si="4"/>
        <v>0</v>
      </c>
    </row>
    <row r="5222" ht="15.75" customHeight="1">
      <c r="A5222" s="14">
        <v>43836.0</v>
      </c>
      <c r="B5222" s="15">
        <v>1.54</v>
      </c>
      <c r="C5222" s="15">
        <v>1.2</v>
      </c>
      <c r="D5222" s="15"/>
      <c r="E5222" s="15"/>
      <c r="F5222" s="15">
        <f t="shared" si="1"/>
        <v>-0.34</v>
      </c>
      <c r="G5222" s="15">
        <f t="shared" si="2"/>
        <v>1.2</v>
      </c>
      <c r="H5222" s="16">
        <v>0.0</v>
      </c>
      <c r="I5222" s="15">
        <f t="shared" si="3"/>
        <v>-0.34</v>
      </c>
      <c r="J5222" s="15">
        <v>13.85</v>
      </c>
      <c r="K5222" s="16">
        <f>IF(COUNTIFS(Release_Calendar!$A$2:$A$755,"US_CPI",Release_Calendar!$B$2:$B$755,$A5222)&gt;0,1,0)</f>
        <v>0</v>
      </c>
      <c r="L5222" s="16">
        <f>IF(COUNTIFS(Release_Calendar!$A$2:$A$755,"US_NFP",Release_Calendar!$B$2:$B$755,$A5222)&gt;0,1,0)</f>
        <v>0</v>
      </c>
      <c r="M5222" s="16">
        <f>IF($A5222&lt;Notes!$B$5,"",IF(COUNTIFS(Release_Calendar!$A$2:$A$755,"NZ_CPI",Release_Calendar!$B$2:$B$755,$A5222)&gt;0,1,0))</f>
        <v>0</v>
      </c>
      <c r="N5222" s="16">
        <f>IF($A5222&lt;Notes!$B$5,"",IF(COUNTIFS(Release_Calendar!$A$2:$A$755,"NZ_GDP",Release_Calendar!$B$2:$B$755,$A5222)&gt;0,1,0))</f>
        <v>0</v>
      </c>
      <c r="O5222" s="16">
        <f>IF($A5222&lt;Notes!$B$5,"",IF(COUNTIFS(Release_Calendar!$A$2:$A$755,"NZ_LABOUR",Release_Calendar!$B$2:$B$755,$A5222)&gt;0,1,0))</f>
        <v>0</v>
      </c>
      <c r="P5222" s="16">
        <f t="shared" si="4"/>
        <v>0</v>
      </c>
    </row>
    <row r="5223" ht="15.75" customHeight="1">
      <c r="A5223" s="14">
        <v>43837.0</v>
      </c>
      <c r="B5223" s="15">
        <v>1.54</v>
      </c>
      <c r="C5223" s="15">
        <v>1.18</v>
      </c>
      <c r="D5223" s="15"/>
      <c r="E5223" s="15"/>
      <c r="F5223" s="15">
        <f t="shared" si="1"/>
        <v>-0.36</v>
      </c>
      <c r="G5223" s="15">
        <f t="shared" si="2"/>
        <v>1.18</v>
      </c>
      <c r="H5223" s="16">
        <v>0.0</v>
      </c>
      <c r="I5223" s="15">
        <f t="shared" si="3"/>
        <v>-0.36</v>
      </c>
      <c r="J5223" s="15">
        <v>13.79</v>
      </c>
      <c r="K5223" s="16">
        <f>IF(COUNTIFS(Release_Calendar!$A$2:$A$755,"US_CPI",Release_Calendar!$B$2:$B$755,$A5223)&gt;0,1,0)</f>
        <v>0</v>
      </c>
      <c r="L5223" s="16">
        <f>IF(COUNTIFS(Release_Calendar!$A$2:$A$755,"US_NFP",Release_Calendar!$B$2:$B$755,$A5223)&gt;0,1,0)</f>
        <v>0</v>
      </c>
      <c r="M5223" s="16">
        <f>IF($A5223&lt;Notes!$B$5,"",IF(COUNTIFS(Release_Calendar!$A$2:$A$755,"NZ_CPI",Release_Calendar!$B$2:$B$755,$A5223)&gt;0,1,0))</f>
        <v>0</v>
      </c>
      <c r="N5223" s="16">
        <f>IF($A5223&lt;Notes!$B$5,"",IF(COUNTIFS(Release_Calendar!$A$2:$A$755,"NZ_GDP",Release_Calendar!$B$2:$B$755,$A5223)&gt;0,1,0))</f>
        <v>0</v>
      </c>
      <c r="O5223" s="16">
        <f>IF($A5223&lt;Notes!$B$5,"",IF(COUNTIFS(Release_Calendar!$A$2:$A$755,"NZ_LABOUR",Release_Calendar!$B$2:$B$755,$A5223)&gt;0,1,0))</f>
        <v>0</v>
      </c>
      <c r="P5223" s="16">
        <f t="shared" si="4"/>
        <v>0</v>
      </c>
    </row>
    <row r="5224" ht="15.75" customHeight="1">
      <c r="A5224" s="14">
        <v>43838.0</v>
      </c>
      <c r="B5224" s="15">
        <v>1.58</v>
      </c>
      <c r="C5224" s="15">
        <v>1.17</v>
      </c>
      <c r="D5224" s="15"/>
      <c r="E5224" s="15"/>
      <c r="F5224" s="15">
        <f t="shared" si="1"/>
        <v>-0.41</v>
      </c>
      <c r="G5224" s="15">
        <f t="shared" si="2"/>
        <v>1.17</v>
      </c>
      <c r="H5224" s="16">
        <v>0.0</v>
      </c>
      <c r="I5224" s="15">
        <f t="shared" si="3"/>
        <v>-0.41</v>
      </c>
      <c r="J5224" s="15">
        <v>13.45</v>
      </c>
      <c r="K5224" s="16">
        <f>IF(COUNTIFS(Release_Calendar!$A$2:$A$755,"US_CPI",Release_Calendar!$B$2:$B$755,$A5224)&gt;0,1,0)</f>
        <v>0</v>
      </c>
      <c r="L5224" s="16">
        <f>IF(COUNTIFS(Release_Calendar!$A$2:$A$755,"US_NFP",Release_Calendar!$B$2:$B$755,$A5224)&gt;0,1,0)</f>
        <v>0</v>
      </c>
      <c r="M5224" s="16">
        <f>IF($A5224&lt;Notes!$B$5,"",IF(COUNTIFS(Release_Calendar!$A$2:$A$755,"NZ_CPI",Release_Calendar!$B$2:$B$755,$A5224)&gt;0,1,0))</f>
        <v>0</v>
      </c>
      <c r="N5224" s="16">
        <f>IF($A5224&lt;Notes!$B$5,"",IF(COUNTIFS(Release_Calendar!$A$2:$A$755,"NZ_GDP",Release_Calendar!$B$2:$B$755,$A5224)&gt;0,1,0))</f>
        <v>0</v>
      </c>
      <c r="O5224" s="16">
        <f>IF($A5224&lt;Notes!$B$5,"",IF(COUNTIFS(Release_Calendar!$A$2:$A$755,"NZ_LABOUR",Release_Calendar!$B$2:$B$755,$A5224)&gt;0,1,0))</f>
        <v>0</v>
      </c>
      <c r="P5224" s="16">
        <f t="shared" si="4"/>
        <v>0</v>
      </c>
    </row>
    <row r="5225" ht="15.75" customHeight="1">
      <c r="A5225" s="14">
        <v>43839.0</v>
      </c>
      <c r="B5225" s="15">
        <v>1.58</v>
      </c>
      <c r="C5225" s="15">
        <v>1.17</v>
      </c>
      <c r="D5225" s="15"/>
      <c r="E5225" s="15"/>
      <c r="F5225" s="15">
        <f t="shared" si="1"/>
        <v>-0.41</v>
      </c>
      <c r="G5225" s="15">
        <f t="shared" si="2"/>
        <v>1.17</v>
      </c>
      <c r="H5225" s="16">
        <v>0.0</v>
      </c>
      <c r="I5225" s="15">
        <f t="shared" si="3"/>
        <v>-0.41</v>
      </c>
      <c r="J5225" s="15">
        <v>12.54</v>
      </c>
      <c r="K5225" s="16">
        <f>IF(COUNTIFS(Release_Calendar!$A$2:$A$755,"US_CPI",Release_Calendar!$B$2:$B$755,$A5225)&gt;0,1,0)</f>
        <v>0</v>
      </c>
      <c r="L5225" s="16">
        <f>IF(COUNTIFS(Release_Calendar!$A$2:$A$755,"US_NFP",Release_Calendar!$B$2:$B$755,$A5225)&gt;0,1,0)</f>
        <v>0</v>
      </c>
      <c r="M5225" s="16">
        <f>IF($A5225&lt;Notes!$B$5,"",IF(COUNTIFS(Release_Calendar!$A$2:$A$755,"NZ_CPI",Release_Calendar!$B$2:$B$755,$A5225)&gt;0,1,0))</f>
        <v>0</v>
      </c>
      <c r="N5225" s="16">
        <f>IF($A5225&lt;Notes!$B$5,"",IF(COUNTIFS(Release_Calendar!$A$2:$A$755,"NZ_GDP",Release_Calendar!$B$2:$B$755,$A5225)&gt;0,1,0))</f>
        <v>0</v>
      </c>
      <c r="O5225" s="16">
        <f>IF($A5225&lt;Notes!$B$5,"",IF(COUNTIFS(Release_Calendar!$A$2:$A$755,"NZ_LABOUR",Release_Calendar!$B$2:$B$755,$A5225)&gt;0,1,0))</f>
        <v>0</v>
      </c>
      <c r="P5225" s="16">
        <f t="shared" si="4"/>
        <v>0</v>
      </c>
    </row>
    <row r="5226" ht="15.75" customHeight="1">
      <c r="A5226" s="14">
        <v>43840.0</v>
      </c>
      <c r="B5226" s="15">
        <v>1.56</v>
      </c>
      <c r="C5226" s="15">
        <v>1.18</v>
      </c>
      <c r="D5226" s="15"/>
      <c r="E5226" s="15"/>
      <c r="F5226" s="15">
        <f t="shared" si="1"/>
        <v>-0.38</v>
      </c>
      <c r="G5226" s="15">
        <f t="shared" si="2"/>
        <v>1.18</v>
      </c>
      <c r="H5226" s="16">
        <v>0.0</v>
      </c>
      <c r="I5226" s="15">
        <f t="shared" si="3"/>
        <v>-0.38</v>
      </c>
      <c r="J5226" s="15">
        <v>12.56</v>
      </c>
      <c r="K5226" s="16">
        <f>IF(COUNTIFS(Release_Calendar!$A$2:$A$755,"US_CPI",Release_Calendar!$B$2:$B$755,$A5226)&gt;0,1,0)</f>
        <v>0</v>
      </c>
      <c r="L5226" s="16">
        <f>IF(COUNTIFS(Release_Calendar!$A$2:$A$755,"US_NFP",Release_Calendar!$B$2:$B$755,$A5226)&gt;0,1,0)</f>
        <v>1</v>
      </c>
      <c r="M5226" s="16">
        <f>IF($A5226&lt;Notes!$B$5,"",IF(COUNTIFS(Release_Calendar!$A$2:$A$755,"NZ_CPI",Release_Calendar!$B$2:$B$755,$A5226)&gt;0,1,0))</f>
        <v>0</v>
      </c>
      <c r="N5226" s="16">
        <f>IF($A5226&lt;Notes!$B$5,"",IF(COUNTIFS(Release_Calendar!$A$2:$A$755,"NZ_GDP",Release_Calendar!$B$2:$B$755,$A5226)&gt;0,1,0))</f>
        <v>0</v>
      </c>
      <c r="O5226" s="16">
        <f>IF($A5226&lt;Notes!$B$5,"",IF(COUNTIFS(Release_Calendar!$A$2:$A$755,"NZ_LABOUR",Release_Calendar!$B$2:$B$755,$A5226)&gt;0,1,0))</f>
        <v>0</v>
      </c>
      <c r="P5226" s="16">
        <f t="shared" si="4"/>
        <v>1</v>
      </c>
    </row>
    <row r="5227" ht="15.75" customHeight="1">
      <c r="A5227" s="14">
        <v>43843.0</v>
      </c>
      <c r="B5227" s="15">
        <v>1.58</v>
      </c>
      <c r="C5227" s="15">
        <v>1.17</v>
      </c>
      <c r="D5227" s="15"/>
      <c r="E5227" s="15"/>
      <c r="F5227" s="15">
        <f t="shared" si="1"/>
        <v>-0.41</v>
      </c>
      <c r="G5227" s="15">
        <f t="shared" si="2"/>
        <v>1.17</v>
      </c>
      <c r="H5227" s="16">
        <v>0.0</v>
      </c>
      <c r="I5227" s="15">
        <f t="shared" si="3"/>
        <v>-0.41</v>
      </c>
      <c r="J5227" s="15">
        <v>12.32</v>
      </c>
      <c r="K5227" s="16">
        <f>IF(COUNTIFS(Release_Calendar!$A$2:$A$755,"US_CPI",Release_Calendar!$B$2:$B$755,$A5227)&gt;0,1,0)</f>
        <v>0</v>
      </c>
      <c r="L5227" s="16">
        <f>IF(COUNTIFS(Release_Calendar!$A$2:$A$755,"US_NFP",Release_Calendar!$B$2:$B$755,$A5227)&gt;0,1,0)</f>
        <v>0</v>
      </c>
      <c r="M5227" s="16">
        <f>IF($A5227&lt;Notes!$B$5,"",IF(COUNTIFS(Release_Calendar!$A$2:$A$755,"NZ_CPI",Release_Calendar!$B$2:$B$755,$A5227)&gt;0,1,0))</f>
        <v>0</v>
      </c>
      <c r="N5227" s="16">
        <f>IF($A5227&lt;Notes!$B$5,"",IF(COUNTIFS(Release_Calendar!$A$2:$A$755,"NZ_GDP",Release_Calendar!$B$2:$B$755,$A5227)&gt;0,1,0))</f>
        <v>0</v>
      </c>
      <c r="O5227" s="16">
        <f>IF($A5227&lt;Notes!$B$5,"",IF(COUNTIFS(Release_Calendar!$A$2:$A$755,"NZ_LABOUR",Release_Calendar!$B$2:$B$755,$A5227)&gt;0,1,0))</f>
        <v>0</v>
      </c>
      <c r="P5227" s="16">
        <f t="shared" si="4"/>
        <v>0</v>
      </c>
    </row>
    <row r="5228" ht="15.75" customHeight="1">
      <c r="A5228" s="14">
        <v>43844.0</v>
      </c>
      <c r="B5228" s="15">
        <v>1.58</v>
      </c>
      <c r="C5228" s="15">
        <v>1.19</v>
      </c>
      <c r="D5228" s="15"/>
      <c r="E5228" s="15"/>
      <c r="F5228" s="15">
        <f t="shared" si="1"/>
        <v>-0.39</v>
      </c>
      <c r="G5228" s="15">
        <f t="shared" si="2"/>
        <v>1.19</v>
      </c>
      <c r="H5228" s="16">
        <v>0.0</v>
      </c>
      <c r="I5228" s="15">
        <f t="shared" si="3"/>
        <v>-0.39</v>
      </c>
      <c r="J5228" s="15">
        <v>12.39</v>
      </c>
      <c r="K5228" s="16">
        <f>IF(COUNTIFS(Release_Calendar!$A$2:$A$755,"US_CPI",Release_Calendar!$B$2:$B$755,$A5228)&gt;0,1,0)</f>
        <v>1</v>
      </c>
      <c r="L5228" s="16">
        <f>IF(COUNTIFS(Release_Calendar!$A$2:$A$755,"US_NFP",Release_Calendar!$B$2:$B$755,$A5228)&gt;0,1,0)</f>
        <v>0</v>
      </c>
      <c r="M5228" s="16">
        <f>IF($A5228&lt;Notes!$B$5,"",IF(COUNTIFS(Release_Calendar!$A$2:$A$755,"NZ_CPI",Release_Calendar!$B$2:$B$755,$A5228)&gt;0,1,0))</f>
        <v>0</v>
      </c>
      <c r="N5228" s="16">
        <f>IF($A5228&lt;Notes!$B$5,"",IF(COUNTIFS(Release_Calendar!$A$2:$A$755,"NZ_GDP",Release_Calendar!$B$2:$B$755,$A5228)&gt;0,1,0))</f>
        <v>0</v>
      </c>
      <c r="O5228" s="16">
        <f>IF($A5228&lt;Notes!$B$5,"",IF(COUNTIFS(Release_Calendar!$A$2:$A$755,"NZ_LABOUR",Release_Calendar!$B$2:$B$755,$A5228)&gt;0,1,0))</f>
        <v>0</v>
      </c>
      <c r="P5228" s="16">
        <f t="shared" si="4"/>
        <v>1</v>
      </c>
    </row>
    <row r="5229" ht="15.75" customHeight="1">
      <c r="A5229" s="14">
        <v>43845.0</v>
      </c>
      <c r="B5229" s="15">
        <v>1.56</v>
      </c>
      <c r="C5229" s="15">
        <v>1.19</v>
      </c>
      <c r="D5229" s="15"/>
      <c r="E5229" s="15"/>
      <c r="F5229" s="15">
        <f t="shared" si="1"/>
        <v>-0.37</v>
      </c>
      <c r="G5229" s="15">
        <f t="shared" si="2"/>
        <v>1.19</v>
      </c>
      <c r="H5229" s="16">
        <v>0.0</v>
      </c>
      <c r="I5229" s="15">
        <f t="shared" si="3"/>
        <v>-0.37</v>
      </c>
      <c r="J5229" s="15">
        <v>12.42</v>
      </c>
      <c r="K5229" s="16">
        <f>IF(COUNTIFS(Release_Calendar!$A$2:$A$755,"US_CPI",Release_Calendar!$B$2:$B$755,$A5229)&gt;0,1,0)</f>
        <v>0</v>
      </c>
      <c r="L5229" s="16">
        <f>IF(COUNTIFS(Release_Calendar!$A$2:$A$755,"US_NFP",Release_Calendar!$B$2:$B$755,$A5229)&gt;0,1,0)</f>
        <v>0</v>
      </c>
      <c r="M5229" s="16">
        <f>IF($A5229&lt;Notes!$B$5,"",IF(COUNTIFS(Release_Calendar!$A$2:$A$755,"NZ_CPI",Release_Calendar!$B$2:$B$755,$A5229)&gt;0,1,0))</f>
        <v>0</v>
      </c>
      <c r="N5229" s="16">
        <f>IF($A5229&lt;Notes!$B$5,"",IF(COUNTIFS(Release_Calendar!$A$2:$A$755,"NZ_GDP",Release_Calendar!$B$2:$B$755,$A5229)&gt;0,1,0))</f>
        <v>0</v>
      </c>
      <c r="O5229" s="16">
        <f>IF($A5229&lt;Notes!$B$5,"",IF(COUNTIFS(Release_Calendar!$A$2:$A$755,"NZ_LABOUR",Release_Calendar!$B$2:$B$755,$A5229)&gt;0,1,0))</f>
        <v>0</v>
      </c>
      <c r="P5229" s="16">
        <f t="shared" si="4"/>
        <v>0</v>
      </c>
    </row>
    <row r="5230" ht="15.75" customHeight="1">
      <c r="A5230" s="14">
        <v>43846.0</v>
      </c>
      <c r="B5230" s="15">
        <v>1.58</v>
      </c>
      <c r="C5230" s="15">
        <v>1.2</v>
      </c>
      <c r="D5230" s="15"/>
      <c r="E5230" s="15"/>
      <c r="F5230" s="15">
        <f t="shared" si="1"/>
        <v>-0.38</v>
      </c>
      <c r="G5230" s="15">
        <f t="shared" si="2"/>
        <v>1.2</v>
      </c>
      <c r="H5230" s="16">
        <v>0.0</v>
      </c>
      <c r="I5230" s="15">
        <f t="shared" si="3"/>
        <v>-0.38</v>
      </c>
      <c r="J5230" s="15">
        <v>12.32</v>
      </c>
      <c r="K5230" s="16">
        <f>IF(COUNTIFS(Release_Calendar!$A$2:$A$755,"US_CPI",Release_Calendar!$B$2:$B$755,$A5230)&gt;0,1,0)</f>
        <v>0</v>
      </c>
      <c r="L5230" s="16">
        <f>IF(COUNTIFS(Release_Calendar!$A$2:$A$755,"US_NFP",Release_Calendar!$B$2:$B$755,$A5230)&gt;0,1,0)</f>
        <v>0</v>
      </c>
      <c r="M5230" s="16">
        <f>IF($A5230&lt;Notes!$B$5,"",IF(COUNTIFS(Release_Calendar!$A$2:$A$755,"NZ_CPI",Release_Calendar!$B$2:$B$755,$A5230)&gt;0,1,0))</f>
        <v>0</v>
      </c>
      <c r="N5230" s="16">
        <f>IF($A5230&lt;Notes!$B$5,"",IF(COUNTIFS(Release_Calendar!$A$2:$A$755,"NZ_GDP",Release_Calendar!$B$2:$B$755,$A5230)&gt;0,1,0))</f>
        <v>0</v>
      </c>
      <c r="O5230" s="16">
        <f>IF($A5230&lt;Notes!$B$5,"",IF(COUNTIFS(Release_Calendar!$A$2:$A$755,"NZ_LABOUR",Release_Calendar!$B$2:$B$755,$A5230)&gt;0,1,0))</f>
        <v>0</v>
      </c>
      <c r="P5230" s="16">
        <f t="shared" si="4"/>
        <v>0</v>
      </c>
    </row>
    <row r="5231" ht="15.75" customHeight="1">
      <c r="A5231" s="14">
        <v>43847.0</v>
      </c>
      <c r="B5231" s="15">
        <v>1.58</v>
      </c>
      <c r="C5231" s="15">
        <v>1.21</v>
      </c>
      <c r="D5231" s="15"/>
      <c r="E5231" s="15"/>
      <c r="F5231" s="15">
        <f t="shared" si="1"/>
        <v>-0.37</v>
      </c>
      <c r="G5231" s="15">
        <f t="shared" si="2"/>
        <v>1.21</v>
      </c>
      <c r="H5231" s="16">
        <v>0.0</v>
      </c>
      <c r="I5231" s="15">
        <f t="shared" si="3"/>
        <v>-0.37</v>
      </c>
      <c r="J5231" s="15">
        <v>12.1</v>
      </c>
      <c r="K5231" s="16">
        <f>IF(COUNTIFS(Release_Calendar!$A$2:$A$755,"US_CPI",Release_Calendar!$B$2:$B$755,$A5231)&gt;0,1,0)</f>
        <v>0</v>
      </c>
      <c r="L5231" s="16">
        <f>IF(COUNTIFS(Release_Calendar!$A$2:$A$755,"US_NFP",Release_Calendar!$B$2:$B$755,$A5231)&gt;0,1,0)</f>
        <v>0</v>
      </c>
      <c r="M5231" s="16">
        <f>IF($A5231&lt;Notes!$B$5,"",IF(COUNTIFS(Release_Calendar!$A$2:$A$755,"NZ_CPI",Release_Calendar!$B$2:$B$755,$A5231)&gt;0,1,0))</f>
        <v>0</v>
      </c>
      <c r="N5231" s="16">
        <f>IF($A5231&lt;Notes!$B$5,"",IF(COUNTIFS(Release_Calendar!$A$2:$A$755,"NZ_GDP",Release_Calendar!$B$2:$B$755,$A5231)&gt;0,1,0))</f>
        <v>0</v>
      </c>
      <c r="O5231" s="16">
        <f>IF($A5231&lt;Notes!$B$5,"",IF(COUNTIFS(Release_Calendar!$A$2:$A$755,"NZ_LABOUR",Release_Calendar!$B$2:$B$755,$A5231)&gt;0,1,0))</f>
        <v>0</v>
      </c>
      <c r="P5231" s="16">
        <f t="shared" si="4"/>
        <v>0</v>
      </c>
    </row>
    <row r="5232" ht="15.75" customHeight="1">
      <c r="A5232" s="14">
        <v>43850.0</v>
      </c>
      <c r="B5232" s="15"/>
      <c r="C5232" s="15">
        <v>1.21</v>
      </c>
      <c r="D5232" s="15"/>
      <c r="E5232" s="15"/>
      <c r="F5232" s="15" t="str">
        <f t="shared" si="1"/>
        <v/>
      </c>
      <c r="G5232" s="15">
        <f t="shared" si="2"/>
        <v>1.21</v>
      </c>
      <c r="H5232" s="16">
        <v>0.0</v>
      </c>
      <c r="I5232" s="15" t="str">
        <f t="shared" si="3"/>
        <v/>
      </c>
      <c r="J5232" s="15"/>
      <c r="K5232" s="16">
        <f>IF(COUNTIFS(Release_Calendar!$A$2:$A$755,"US_CPI",Release_Calendar!$B$2:$B$755,$A5232)&gt;0,1,0)</f>
        <v>0</v>
      </c>
      <c r="L5232" s="16">
        <f>IF(COUNTIFS(Release_Calendar!$A$2:$A$755,"US_NFP",Release_Calendar!$B$2:$B$755,$A5232)&gt;0,1,0)</f>
        <v>0</v>
      </c>
      <c r="M5232" s="16">
        <f>IF($A5232&lt;Notes!$B$5,"",IF(COUNTIFS(Release_Calendar!$A$2:$A$755,"NZ_CPI",Release_Calendar!$B$2:$B$755,$A5232)&gt;0,1,0))</f>
        <v>0</v>
      </c>
      <c r="N5232" s="16">
        <f>IF($A5232&lt;Notes!$B$5,"",IF(COUNTIFS(Release_Calendar!$A$2:$A$755,"NZ_GDP",Release_Calendar!$B$2:$B$755,$A5232)&gt;0,1,0))</f>
        <v>0</v>
      </c>
      <c r="O5232" s="16">
        <f>IF($A5232&lt;Notes!$B$5,"",IF(COUNTIFS(Release_Calendar!$A$2:$A$755,"NZ_LABOUR",Release_Calendar!$B$2:$B$755,$A5232)&gt;0,1,0))</f>
        <v>0</v>
      </c>
      <c r="P5232" s="16">
        <f t="shared" si="4"/>
        <v>0</v>
      </c>
    </row>
    <row r="5233" ht="15.75" customHeight="1">
      <c r="A5233" s="14">
        <v>43851.0</v>
      </c>
      <c r="B5233" s="15">
        <v>1.53</v>
      </c>
      <c r="C5233" s="15">
        <v>1.22</v>
      </c>
      <c r="D5233" s="15"/>
      <c r="E5233" s="15"/>
      <c r="F5233" s="15">
        <f t="shared" si="1"/>
        <v>-0.31</v>
      </c>
      <c r="G5233" s="15">
        <f t="shared" si="2"/>
        <v>1.22</v>
      </c>
      <c r="H5233" s="16">
        <v>0.0</v>
      </c>
      <c r="I5233" s="15">
        <f t="shared" si="3"/>
        <v>-0.31</v>
      </c>
      <c r="J5233" s="15">
        <v>12.85</v>
      </c>
      <c r="K5233" s="16">
        <f>IF(COUNTIFS(Release_Calendar!$A$2:$A$755,"US_CPI",Release_Calendar!$B$2:$B$755,$A5233)&gt;0,1,0)</f>
        <v>0</v>
      </c>
      <c r="L5233" s="16">
        <f>IF(COUNTIFS(Release_Calendar!$A$2:$A$755,"US_NFP",Release_Calendar!$B$2:$B$755,$A5233)&gt;0,1,0)</f>
        <v>0</v>
      </c>
      <c r="M5233" s="16">
        <f>IF($A5233&lt;Notes!$B$5,"",IF(COUNTIFS(Release_Calendar!$A$2:$A$755,"NZ_CPI",Release_Calendar!$B$2:$B$755,$A5233)&gt;0,1,0))</f>
        <v>0</v>
      </c>
      <c r="N5233" s="16">
        <f>IF($A5233&lt;Notes!$B$5,"",IF(COUNTIFS(Release_Calendar!$A$2:$A$755,"NZ_GDP",Release_Calendar!$B$2:$B$755,$A5233)&gt;0,1,0))</f>
        <v>0</v>
      </c>
      <c r="O5233" s="16">
        <f>IF($A5233&lt;Notes!$B$5,"",IF(COUNTIFS(Release_Calendar!$A$2:$A$755,"NZ_LABOUR",Release_Calendar!$B$2:$B$755,$A5233)&gt;0,1,0))</f>
        <v>0</v>
      </c>
      <c r="P5233" s="16">
        <f t="shared" si="4"/>
        <v>0</v>
      </c>
    </row>
    <row r="5234" ht="15.75" customHeight="1">
      <c r="A5234" s="14">
        <v>43852.0</v>
      </c>
      <c r="B5234" s="15">
        <v>1.53</v>
      </c>
      <c r="C5234" s="15">
        <v>1.2</v>
      </c>
      <c r="D5234" s="15"/>
      <c r="E5234" s="15"/>
      <c r="F5234" s="15">
        <f t="shared" si="1"/>
        <v>-0.33</v>
      </c>
      <c r="G5234" s="15">
        <f t="shared" si="2"/>
        <v>1.2</v>
      </c>
      <c r="H5234" s="16">
        <v>0.0</v>
      </c>
      <c r="I5234" s="15">
        <f t="shared" si="3"/>
        <v>-0.33</v>
      </c>
      <c r="J5234" s="15">
        <v>12.91</v>
      </c>
      <c r="K5234" s="16">
        <f>IF(COUNTIFS(Release_Calendar!$A$2:$A$755,"US_CPI",Release_Calendar!$B$2:$B$755,$A5234)&gt;0,1,0)</f>
        <v>0</v>
      </c>
      <c r="L5234" s="16">
        <f>IF(COUNTIFS(Release_Calendar!$A$2:$A$755,"US_NFP",Release_Calendar!$B$2:$B$755,$A5234)&gt;0,1,0)</f>
        <v>0</v>
      </c>
      <c r="M5234" s="16">
        <f>IF($A5234&lt;Notes!$B$5,"",IF(COUNTIFS(Release_Calendar!$A$2:$A$755,"NZ_CPI",Release_Calendar!$B$2:$B$755,$A5234)&gt;0,1,0))</f>
        <v>0</v>
      </c>
      <c r="N5234" s="16">
        <f>IF($A5234&lt;Notes!$B$5,"",IF(COUNTIFS(Release_Calendar!$A$2:$A$755,"NZ_GDP",Release_Calendar!$B$2:$B$755,$A5234)&gt;0,1,0))</f>
        <v>0</v>
      </c>
      <c r="O5234" s="16">
        <f>IF($A5234&lt;Notes!$B$5,"",IF(COUNTIFS(Release_Calendar!$A$2:$A$755,"NZ_LABOUR",Release_Calendar!$B$2:$B$755,$A5234)&gt;0,1,0))</f>
        <v>0</v>
      </c>
      <c r="P5234" s="16">
        <f t="shared" si="4"/>
        <v>0</v>
      </c>
    </row>
    <row r="5235" ht="15.75" customHeight="1">
      <c r="A5235" s="14">
        <v>43853.0</v>
      </c>
      <c r="B5235" s="15">
        <v>1.51</v>
      </c>
      <c r="C5235" s="15">
        <v>1.21</v>
      </c>
      <c r="D5235" s="15"/>
      <c r="E5235" s="15"/>
      <c r="F5235" s="15">
        <f t="shared" si="1"/>
        <v>-0.3</v>
      </c>
      <c r="G5235" s="15">
        <f t="shared" si="2"/>
        <v>1.21</v>
      </c>
      <c r="H5235" s="16">
        <v>0.0</v>
      </c>
      <c r="I5235" s="15">
        <f t="shared" si="3"/>
        <v>-0.3</v>
      </c>
      <c r="J5235" s="15">
        <v>12.98</v>
      </c>
      <c r="K5235" s="16">
        <f>IF(COUNTIFS(Release_Calendar!$A$2:$A$755,"US_CPI",Release_Calendar!$B$2:$B$755,$A5235)&gt;0,1,0)</f>
        <v>0</v>
      </c>
      <c r="L5235" s="16">
        <f>IF(COUNTIFS(Release_Calendar!$A$2:$A$755,"US_NFP",Release_Calendar!$B$2:$B$755,$A5235)&gt;0,1,0)</f>
        <v>0</v>
      </c>
      <c r="M5235" s="16">
        <f>IF($A5235&lt;Notes!$B$5,"",IF(COUNTIFS(Release_Calendar!$A$2:$A$755,"NZ_CPI",Release_Calendar!$B$2:$B$755,$A5235)&gt;0,1,0))</f>
        <v>0</v>
      </c>
      <c r="N5235" s="16">
        <f>IF($A5235&lt;Notes!$B$5,"",IF(COUNTIFS(Release_Calendar!$A$2:$A$755,"NZ_GDP",Release_Calendar!$B$2:$B$755,$A5235)&gt;0,1,0))</f>
        <v>0</v>
      </c>
      <c r="O5235" s="16">
        <f>IF($A5235&lt;Notes!$B$5,"",IF(COUNTIFS(Release_Calendar!$A$2:$A$755,"NZ_LABOUR",Release_Calendar!$B$2:$B$755,$A5235)&gt;0,1,0))</f>
        <v>0</v>
      </c>
      <c r="P5235" s="16">
        <f t="shared" si="4"/>
        <v>0</v>
      </c>
    </row>
    <row r="5236" ht="15.75" customHeight="1">
      <c r="A5236" s="14">
        <v>43854.0</v>
      </c>
      <c r="B5236" s="15">
        <v>1.49</v>
      </c>
      <c r="C5236" s="15">
        <v>1.23</v>
      </c>
      <c r="D5236" s="15"/>
      <c r="E5236" s="15"/>
      <c r="F5236" s="15">
        <f t="shared" si="1"/>
        <v>-0.26</v>
      </c>
      <c r="G5236" s="15">
        <f t="shared" si="2"/>
        <v>1.23</v>
      </c>
      <c r="H5236" s="16">
        <v>0.0</v>
      </c>
      <c r="I5236" s="15">
        <f t="shared" si="3"/>
        <v>-0.26</v>
      </c>
      <c r="J5236" s="15">
        <v>14.56</v>
      </c>
      <c r="K5236" s="16">
        <f>IF(COUNTIFS(Release_Calendar!$A$2:$A$755,"US_CPI",Release_Calendar!$B$2:$B$755,$A5236)&gt;0,1,0)</f>
        <v>0</v>
      </c>
      <c r="L5236" s="16">
        <f>IF(COUNTIFS(Release_Calendar!$A$2:$A$755,"US_NFP",Release_Calendar!$B$2:$B$755,$A5236)&gt;0,1,0)</f>
        <v>0</v>
      </c>
      <c r="M5236" s="16">
        <f>IF($A5236&lt;Notes!$B$5,"",IF(COUNTIFS(Release_Calendar!$A$2:$A$755,"NZ_CPI",Release_Calendar!$B$2:$B$755,$A5236)&gt;0,1,0))</f>
        <v>1</v>
      </c>
      <c r="N5236" s="16">
        <f>IF($A5236&lt;Notes!$B$5,"",IF(COUNTIFS(Release_Calendar!$A$2:$A$755,"NZ_GDP",Release_Calendar!$B$2:$B$755,$A5236)&gt;0,1,0))</f>
        <v>0</v>
      </c>
      <c r="O5236" s="16">
        <f>IF($A5236&lt;Notes!$B$5,"",IF(COUNTIFS(Release_Calendar!$A$2:$A$755,"NZ_LABOUR",Release_Calendar!$B$2:$B$755,$A5236)&gt;0,1,0))</f>
        <v>0</v>
      </c>
      <c r="P5236" s="16">
        <f t="shared" si="4"/>
        <v>1</v>
      </c>
    </row>
    <row r="5237" ht="15.75" customHeight="1">
      <c r="A5237" s="14">
        <v>43857.0</v>
      </c>
      <c r="B5237" s="15">
        <v>1.44</v>
      </c>
      <c r="C5237" s="15">
        <v>1.23</v>
      </c>
      <c r="D5237" s="15"/>
      <c r="E5237" s="15"/>
      <c r="F5237" s="15">
        <f t="shared" si="1"/>
        <v>-0.21</v>
      </c>
      <c r="G5237" s="15">
        <f t="shared" si="2"/>
        <v>1.23</v>
      </c>
      <c r="H5237" s="16">
        <v>0.0</v>
      </c>
      <c r="I5237" s="15">
        <f t="shared" si="3"/>
        <v>-0.21</v>
      </c>
      <c r="J5237" s="15">
        <v>18.23</v>
      </c>
      <c r="K5237" s="16">
        <f>IF(COUNTIFS(Release_Calendar!$A$2:$A$755,"US_CPI",Release_Calendar!$B$2:$B$755,$A5237)&gt;0,1,0)</f>
        <v>0</v>
      </c>
      <c r="L5237" s="16">
        <f>IF(COUNTIFS(Release_Calendar!$A$2:$A$755,"US_NFP",Release_Calendar!$B$2:$B$755,$A5237)&gt;0,1,0)</f>
        <v>0</v>
      </c>
      <c r="M5237" s="16">
        <f>IF($A5237&lt;Notes!$B$5,"",IF(COUNTIFS(Release_Calendar!$A$2:$A$755,"NZ_CPI",Release_Calendar!$B$2:$B$755,$A5237)&gt;0,1,0))</f>
        <v>0</v>
      </c>
      <c r="N5237" s="16">
        <f>IF($A5237&lt;Notes!$B$5,"",IF(COUNTIFS(Release_Calendar!$A$2:$A$755,"NZ_GDP",Release_Calendar!$B$2:$B$755,$A5237)&gt;0,1,0))</f>
        <v>0</v>
      </c>
      <c r="O5237" s="16">
        <f>IF($A5237&lt;Notes!$B$5,"",IF(COUNTIFS(Release_Calendar!$A$2:$A$755,"NZ_LABOUR",Release_Calendar!$B$2:$B$755,$A5237)&gt;0,1,0))</f>
        <v>0</v>
      </c>
      <c r="P5237" s="16">
        <f t="shared" si="4"/>
        <v>0</v>
      </c>
    </row>
    <row r="5238" ht="15.75" customHeight="1">
      <c r="A5238" s="14">
        <v>43858.0</v>
      </c>
      <c r="B5238" s="15">
        <v>1.45</v>
      </c>
      <c r="C5238" s="15">
        <v>1.14</v>
      </c>
      <c r="D5238" s="15"/>
      <c r="E5238" s="15"/>
      <c r="F5238" s="15">
        <f t="shared" si="1"/>
        <v>-0.31</v>
      </c>
      <c r="G5238" s="15">
        <f t="shared" si="2"/>
        <v>1.14</v>
      </c>
      <c r="H5238" s="16">
        <v>0.0</v>
      </c>
      <c r="I5238" s="15">
        <f t="shared" si="3"/>
        <v>-0.31</v>
      </c>
      <c r="J5238" s="15">
        <v>16.28</v>
      </c>
      <c r="K5238" s="16">
        <f>IF(COUNTIFS(Release_Calendar!$A$2:$A$755,"US_CPI",Release_Calendar!$B$2:$B$755,$A5238)&gt;0,1,0)</f>
        <v>0</v>
      </c>
      <c r="L5238" s="16">
        <f>IF(COUNTIFS(Release_Calendar!$A$2:$A$755,"US_NFP",Release_Calendar!$B$2:$B$755,$A5238)&gt;0,1,0)</f>
        <v>0</v>
      </c>
      <c r="M5238" s="16">
        <f>IF($A5238&lt;Notes!$B$5,"",IF(COUNTIFS(Release_Calendar!$A$2:$A$755,"NZ_CPI",Release_Calendar!$B$2:$B$755,$A5238)&gt;0,1,0))</f>
        <v>0</v>
      </c>
      <c r="N5238" s="16">
        <f>IF($A5238&lt;Notes!$B$5,"",IF(COUNTIFS(Release_Calendar!$A$2:$A$755,"NZ_GDP",Release_Calendar!$B$2:$B$755,$A5238)&gt;0,1,0))</f>
        <v>0</v>
      </c>
      <c r="O5238" s="16">
        <f>IF($A5238&lt;Notes!$B$5,"",IF(COUNTIFS(Release_Calendar!$A$2:$A$755,"NZ_LABOUR",Release_Calendar!$B$2:$B$755,$A5238)&gt;0,1,0))</f>
        <v>0</v>
      </c>
      <c r="P5238" s="16">
        <f t="shared" si="4"/>
        <v>0</v>
      </c>
    </row>
    <row r="5239" ht="15.75" customHeight="1">
      <c r="A5239" s="14">
        <v>43859.0</v>
      </c>
      <c r="B5239" s="15">
        <v>1.42</v>
      </c>
      <c r="C5239" s="15">
        <v>1.14</v>
      </c>
      <c r="D5239" s="15"/>
      <c r="E5239" s="15"/>
      <c r="F5239" s="15">
        <f t="shared" si="1"/>
        <v>-0.28</v>
      </c>
      <c r="G5239" s="15">
        <f t="shared" si="2"/>
        <v>1.14</v>
      </c>
      <c r="H5239" s="16">
        <v>0.0</v>
      </c>
      <c r="I5239" s="15">
        <f t="shared" si="3"/>
        <v>-0.28</v>
      </c>
      <c r="J5239" s="15">
        <v>16.39</v>
      </c>
      <c r="K5239" s="16">
        <f>IF(COUNTIFS(Release_Calendar!$A$2:$A$755,"US_CPI",Release_Calendar!$B$2:$B$755,$A5239)&gt;0,1,0)</f>
        <v>0</v>
      </c>
      <c r="L5239" s="16">
        <f>IF(COUNTIFS(Release_Calendar!$A$2:$A$755,"US_NFP",Release_Calendar!$B$2:$B$755,$A5239)&gt;0,1,0)</f>
        <v>0</v>
      </c>
      <c r="M5239" s="16">
        <f>IF($A5239&lt;Notes!$B$5,"",IF(COUNTIFS(Release_Calendar!$A$2:$A$755,"NZ_CPI",Release_Calendar!$B$2:$B$755,$A5239)&gt;0,1,0))</f>
        <v>0</v>
      </c>
      <c r="N5239" s="16">
        <f>IF($A5239&lt;Notes!$B$5,"",IF(COUNTIFS(Release_Calendar!$A$2:$A$755,"NZ_GDP",Release_Calendar!$B$2:$B$755,$A5239)&gt;0,1,0))</f>
        <v>0</v>
      </c>
      <c r="O5239" s="16">
        <f>IF($A5239&lt;Notes!$B$5,"",IF(COUNTIFS(Release_Calendar!$A$2:$A$755,"NZ_LABOUR",Release_Calendar!$B$2:$B$755,$A5239)&gt;0,1,0))</f>
        <v>0</v>
      </c>
      <c r="P5239" s="16">
        <f t="shared" si="4"/>
        <v>0</v>
      </c>
    </row>
    <row r="5240" ht="15.75" customHeight="1">
      <c r="A5240" s="14">
        <v>43860.0</v>
      </c>
      <c r="B5240" s="15">
        <v>1.41</v>
      </c>
      <c r="C5240" s="15">
        <v>1.13</v>
      </c>
      <c r="D5240" s="15"/>
      <c r="E5240" s="15"/>
      <c r="F5240" s="15">
        <f t="shared" si="1"/>
        <v>-0.28</v>
      </c>
      <c r="G5240" s="15">
        <f t="shared" si="2"/>
        <v>1.13</v>
      </c>
      <c r="H5240" s="16">
        <v>0.0</v>
      </c>
      <c r="I5240" s="15">
        <f t="shared" si="3"/>
        <v>-0.28</v>
      </c>
      <c r="J5240" s="15">
        <v>15.49</v>
      </c>
      <c r="K5240" s="16">
        <f>IF(COUNTIFS(Release_Calendar!$A$2:$A$755,"US_CPI",Release_Calendar!$B$2:$B$755,$A5240)&gt;0,1,0)</f>
        <v>0</v>
      </c>
      <c r="L5240" s="16">
        <f>IF(COUNTIFS(Release_Calendar!$A$2:$A$755,"US_NFP",Release_Calendar!$B$2:$B$755,$A5240)&gt;0,1,0)</f>
        <v>0</v>
      </c>
      <c r="M5240" s="16">
        <f>IF($A5240&lt;Notes!$B$5,"",IF(COUNTIFS(Release_Calendar!$A$2:$A$755,"NZ_CPI",Release_Calendar!$B$2:$B$755,$A5240)&gt;0,1,0))</f>
        <v>0</v>
      </c>
      <c r="N5240" s="16">
        <f>IF($A5240&lt;Notes!$B$5,"",IF(COUNTIFS(Release_Calendar!$A$2:$A$755,"NZ_GDP",Release_Calendar!$B$2:$B$755,$A5240)&gt;0,1,0))</f>
        <v>0</v>
      </c>
      <c r="O5240" s="16">
        <f>IF($A5240&lt;Notes!$B$5,"",IF(COUNTIFS(Release_Calendar!$A$2:$A$755,"NZ_LABOUR",Release_Calendar!$B$2:$B$755,$A5240)&gt;0,1,0))</f>
        <v>0</v>
      </c>
      <c r="P5240" s="16">
        <f t="shared" si="4"/>
        <v>0</v>
      </c>
    </row>
    <row r="5241" ht="15.75" customHeight="1">
      <c r="A5241" s="14">
        <v>43861.0</v>
      </c>
      <c r="B5241" s="15">
        <v>1.33</v>
      </c>
      <c r="C5241" s="15">
        <v>1.12</v>
      </c>
      <c r="D5241" s="15"/>
      <c r="E5241" s="15"/>
      <c r="F5241" s="15">
        <f t="shared" si="1"/>
        <v>-0.21</v>
      </c>
      <c r="G5241" s="15">
        <f t="shared" si="2"/>
        <v>1.12</v>
      </c>
      <c r="H5241" s="16">
        <v>0.0</v>
      </c>
      <c r="I5241" s="15">
        <f t="shared" si="3"/>
        <v>-0.21</v>
      </c>
      <c r="J5241" s="15">
        <v>18.84</v>
      </c>
      <c r="K5241" s="16">
        <f>IF(COUNTIFS(Release_Calendar!$A$2:$A$755,"US_CPI",Release_Calendar!$B$2:$B$755,$A5241)&gt;0,1,0)</f>
        <v>0</v>
      </c>
      <c r="L5241" s="16">
        <f>IF(COUNTIFS(Release_Calendar!$A$2:$A$755,"US_NFP",Release_Calendar!$B$2:$B$755,$A5241)&gt;0,1,0)</f>
        <v>0</v>
      </c>
      <c r="M5241" s="16">
        <f>IF($A5241&lt;Notes!$B$5,"",IF(COUNTIFS(Release_Calendar!$A$2:$A$755,"NZ_CPI",Release_Calendar!$B$2:$B$755,$A5241)&gt;0,1,0))</f>
        <v>0</v>
      </c>
      <c r="N5241" s="16">
        <f>IF($A5241&lt;Notes!$B$5,"",IF(COUNTIFS(Release_Calendar!$A$2:$A$755,"NZ_GDP",Release_Calendar!$B$2:$B$755,$A5241)&gt;0,1,0))</f>
        <v>0</v>
      </c>
      <c r="O5241" s="16">
        <f>IF($A5241&lt;Notes!$B$5,"",IF(COUNTIFS(Release_Calendar!$A$2:$A$755,"NZ_LABOUR",Release_Calendar!$B$2:$B$755,$A5241)&gt;0,1,0))</f>
        <v>0</v>
      </c>
      <c r="P5241" s="16">
        <f t="shared" si="4"/>
        <v>0</v>
      </c>
    </row>
    <row r="5242" ht="15.75" customHeight="1">
      <c r="A5242" s="14">
        <v>43864.0</v>
      </c>
      <c r="B5242" s="15">
        <v>1.36</v>
      </c>
      <c r="C5242" s="15">
        <v>1.07</v>
      </c>
      <c r="D5242" s="15"/>
      <c r="E5242" s="15"/>
      <c r="F5242" s="15">
        <f t="shared" si="1"/>
        <v>-0.29</v>
      </c>
      <c r="G5242" s="15">
        <f t="shared" si="2"/>
        <v>1.07</v>
      </c>
      <c r="H5242" s="16">
        <v>0.0</v>
      </c>
      <c r="I5242" s="15">
        <f t="shared" si="3"/>
        <v>-0.29</v>
      </c>
      <c r="J5242" s="15">
        <v>17.97</v>
      </c>
      <c r="K5242" s="16">
        <f>IF(COUNTIFS(Release_Calendar!$A$2:$A$755,"US_CPI",Release_Calendar!$B$2:$B$755,$A5242)&gt;0,1,0)</f>
        <v>0</v>
      </c>
      <c r="L5242" s="16">
        <f>IF(COUNTIFS(Release_Calendar!$A$2:$A$755,"US_NFP",Release_Calendar!$B$2:$B$755,$A5242)&gt;0,1,0)</f>
        <v>0</v>
      </c>
      <c r="M5242" s="16">
        <f>IF($A5242&lt;Notes!$B$5,"",IF(COUNTIFS(Release_Calendar!$A$2:$A$755,"NZ_CPI",Release_Calendar!$B$2:$B$755,$A5242)&gt;0,1,0))</f>
        <v>0</v>
      </c>
      <c r="N5242" s="16">
        <f>IF($A5242&lt;Notes!$B$5,"",IF(COUNTIFS(Release_Calendar!$A$2:$A$755,"NZ_GDP",Release_Calendar!$B$2:$B$755,$A5242)&gt;0,1,0))</f>
        <v>0</v>
      </c>
      <c r="O5242" s="16">
        <f>IF($A5242&lt;Notes!$B$5,"",IF(COUNTIFS(Release_Calendar!$A$2:$A$755,"NZ_LABOUR",Release_Calendar!$B$2:$B$755,$A5242)&gt;0,1,0))</f>
        <v>0</v>
      </c>
      <c r="P5242" s="16">
        <f t="shared" si="4"/>
        <v>0</v>
      </c>
    </row>
    <row r="5243" ht="15.75" customHeight="1">
      <c r="A5243" s="14">
        <v>43865.0</v>
      </c>
      <c r="B5243" s="15">
        <v>1.41</v>
      </c>
      <c r="C5243" s="15">
        <v>1.05</v>
      </c>
      <c r="D5243" s="15"/>
      <c r="E5243" s="15"/>
      <c r="F5243" s="15">
        <f t="shared" si="1"/>
        <v>-0.36</v>
      </c>
      <c r="G5243" s="15">
        <f t="shared" si="2"/>
        <v>1.05</v>
      </c>
      <c r="H5243" s="16">
        <v>0.0</v>
      </c>
      <c r="I5243" s="15">
        <f t="shared" si="3"/>
        <v>-0.36</v>
      </c>
      <c r="J5243" s="15">
        <v>16.05</v>
      </c>
      <c r="K5243" s="16">
        <f>IF(COUNTIFS(Release_Calendar!$A$2:$A$755,"US_CPI",Release_Calendar!$B$2:$B$755,$A5243)&gt;0,1,0)</f>
        <v>0</v>
      </c>
      <c r="L5243" s="16">
        <f>IF(COUNTIFS(Release_Calendar!$A$2:$A$755,"US_NFP",Release_Calendar!$B$2:$B$755,$A5243)&gt;0,1,0)</f>
        <v>0</v>
      </c>
      <c r="M5243" s="16">
        <f>IF($A5243&lt;Notes!$B$5,"",IF(COUNTIFS(Release_Calendar!$A$2:$A$755,"NZ_CPI",Release_Calendar!$B$2:$B$755,$A5243)&gt;0,1,0))</f>
        <v>0</v>
      </c>
      <c r="N5243" s="16">
        <f>IF($A5243&lt;Notes!$B$5,"",IF(COUNTIFS(Release_Calendar!$A$2:$A$755,"NZ_GDP",Release_Calendar!$B$2:$B$755,$A5243)&gt;0,1,0))</f>
        <v>0</v>
      </c>
      <c r="O5243" s="16">
        <f>IF($A5243&lt;Notes!$B$5,"",IF(COUNTIFS(Release_Calendar!$A$2:$A$755,"NZ_LABOUR",Release_Calendar!$B$2:$B$755,$A5243)&gt;0,1,0))</f>
        <v>0</v>
      </c>
      <c r="P5243" s="16">
        <f t="shared" si="4"/>
        <v>0</v>
      </c>
    </row>
    <row r="5244" ht="15.75" customHeight="1">
      <c r="A5244" s="14">
        <v>43866.0</v>
      </c>
      <c r="B5244" s="15">
        <v>1.44</v>
      </c>
      <c r="C5244" s="15">
        <v>1.14</v>
      </c>
      <c r="D5244" s="15"/>
      <c r="E5244" s="15"/>
      <c r="F5244" s="15">
        <f t="shared" si="1"/>
        <v>-0.3</v>
      </c>
      <c r="G5244" s="15">
        <f t="shared" si="2"/>
        <v>1.14</v>
      </c>
      <c r="H5244" s="16">
        <v>0.0</v>
      </c>
      <c r="I5244" s="15">
        <f t="shared" si="3"/>
        <v>-0.3</v>
      </c>
      <c r="J5244" s="15">
        <v>15.15</v>
      </c>
      <c r="K5244" s="16">
        <f>IF(COUNTIFS(Release_Calendar!$A$2:$A$755,"US_CPI",Release_Calendar!$B$2:$B$755,$A5244)&gt;0,1,0)</f>
        <v>0</v>
      </c>
      <c r="L5244" s="16">
        <f>IF(COUNTIFS(Release_Calendar!$A$2:$A$755,"US_NFP",Release_Calendar!$B$2:$B$755,$A5244)&gt;0,1,0)</f>
        <v>0</v>
      </c>
      <c r="M5244" s="16">
        <f>IF($A5244&lt;Notes!$B$5,"",IF(COUNTIFS(Release_Calendar!$A$2:$A$755,"NZ_CPI",Release_Calendar!$B$2:$B$755,$A5244)&gt;0,1,0))</f>
        <v>0</v>
      </c>
      <c r="N5244" s="16">
        <f>IF($A5244&lt;Notes!$B$5,"",IF(COUNTIFS(Release_Calendar!$A$2:$A$755,"NZ_GDP",Release_Calendar!$B$2:$B$755,$A5244)&gt;0,1,0))</f>
        <v>0</v>
      </c>
      <c r="O5244" s="16">
        <f>IF($A5244&lt;Notes!$B$5,"",IF(COUNTIFS(Release_Calendar!$A$2:$A$755,"NZ_LABOUR",Release_Calendar!$B$2:$B$755,$A5244)&gt;0,1,0))</f>
        <v>1</v>
      </c>
      <c r="P5244" s="16">
        <f t="shared" si="4"/>
        <v>1</v>
      </c>
    </row>
    <row r="5245" ht="15.75" customHeight="1">
      <c r="A5245" s="14">
        <v>43867.0</v>
      </c>
      <c r="B5245" s="15">
        <v>1.44</v>
      </c>
      <c r="C5245" s="15"/>
      <c r="D5245" s="15"/>
      <c r="E5245" s="15"/>
      <c r="F5245" s="15" t="str">
        <f t="shared" si="1"/>
        <v/>
      </c>
      <c r="G5245" s="15" t="str">
        <f t="shared" si="2"/>
        <v/>
      </c>
      <c r="H5245" s="16">
        <v>0.0</v>
      </c>
      <c r="I5245" s="15" t="str">
        <f t="shared" si="3"/>
        <v/>
      </c>
      <c r="J5245" s="15">
        <v>14.96</v>
      </c>
      <c r="K5245" s="16">
        <f>IF(COUNTIFS(Release_Calendar!$A$2:$A$755,"US_CPI",Release_Calendar!$B$2:$B$755,$A5245)&gt;0,1,0)</f>
        <v>0</v>
      </c>
      <c r="L5245" s="16">
        <f>IF(COUNTIFS(Release_Calendar!$A$2:$A$755,"US_NFP",Release_Calendar!$B$2:$B$755,$A5245)&gt;0,1,0)</f>
        <v>0</v>
      </c>
      <c r="M5245" s="16">
        <f>IF($A5245&lt;Notes!$B$5,"",IF(COUNTIFS(Release_Calendar!$A$2:$A$755,"NZ_CPI",Release_Calendar!$B$2:$B$755,$A5245)&gt;0,1,0))</f>
        <v>0</v>
      </c>
      <c r="N5245" s="16">
        <f>IF($A5245&lt;Notes!$B$5,"",IF(COUNTIFS(Release_Calendar!$A$2:$A$755,"NZ_GDP",Release_Calendar!$B$2:$B$755,$A5245)&gt;0,1,0))</f>
        <v>0</v>
      </c>
      <c r="O5245" s="16">
        <f>IF($A5245&lt;Notes!$B$5,"",IF(COUNTIFS(Release_Calendar!$A$2:$A$755,"NZ_LABOUR",Release_Calendar!$B$2:$B$755,$A5245)&gt;0,1,0))</f>
        <v>0</v>
      </c>
      <c r="P5245" s="16">
        <f t="shared" si="4"/>
        <v>0</v>
      </c>
    </row>
    <row r="5246" ht="15.75" customHeight="1">
      <c r="A5246" s="14">
        <v>43868.0</v>
      </c>
      <c r="B5246" s="15">
        <v>1.41</v>
      </c>
      <c r="C5246" s="15">
        <v>1.14</v>
      </c>
      <c r="D5246" s="15"/>
      <c r="E5246" s="15"/>
      <c r="F5246" s="15">
        <f t="shared" si="1"/>
        <v>-0.27</v>
      </c>
      <c r="G5246" s="15">
        <f t="shared" si="2"/>
        <v>1.14</v>
      </c>
      <c r="H5246" s="16">
        <v>0.0</v>
      </c>
      <c r="I5246" s="15">
        <f t="shared" si="3"/>
        <v>-0.27</v>
      </c>
      <c r="J5246" s="15">
        <v>15.47</v>
      </c>
      <c r="K5246" s="16">
        <f>IF(COUNTIFS(Release_Calendar!$A$2:$A$755,"US_CPI",Release_Calendar!$B$2:$B$755,$A5246)&gt;0,1,0)</f>
        <v>0</v>
      </c>
      <c r="L5246" s="16">
        <f>IF(COUNTIFS(Release_Calendar!$A$2:$A$755,"US_NFP",Release_Calendar!$B$2:$B$755,$A5246)&gt;0,1,0)</f>
        <v>1</v>
      </c>
      <c r="M5246" s="16">
        <f>IF($A5246&lt;Notes!$B$5,"",IF(COUNTIFS(Release_Calendar!$A$2:$A$755,"NZ_CPI",Release_Calendar!$B$2:$B$755,$A5246)&gt;0,1,0))</f>
        <v>0</v>
      </c>
      <c r="N5246" s="16">
        <f>IF($A5246&lt;Notes!$B$5,"",IF(COUNTIFS(Release_Calendar!$A$2:$A$755,"NZ_GDP",Release_Calendar!$B$2:$B$755,$A5246)&gt;0,1,0))</f>
        <v>0</v>
      </c>
      <c r="O5246" s="16">
        <f>IF($A5246&lt;Notes!$B$5,"",IF(COUNTIFS(Release_Calendar!$A$2:$A$755,"NZ_LABOUR",Release_Calendar!$B$2:$B$755,$A5246)&gt;0,1,0))</f>
        <v>0</v>
      </c>
      <c r="P5246" s="16">
        <f t="shared" si="4"/>
        <v>1</v>
      </c>
    </row>
    <row r="5247" ht="15.75" customHeight="1">
      <c r="A5247" s="14">
        <v>43871.0</v>
      </c>
      <c r="B5247" s="15">
        <v>1.37</v>
      </c>
      <c r="C5247" s="15">
        <v>1.1</v>
      </c>
      <c r="D5247" s="15"/>
      <c r="E5247" s="15"/>
      <c r="F5247" s="15">
        <f t="shared" si="1"/>
        <v>-0.27</v>
      </c>
      <c r="G5247" s="15">
        <f t="shared" si="2"/>
        <v>1.1</v>
      </c>
      <c r="H5247" s="16">
        <v>0.0</v>
      </c>
      <c r="I5247" s="15">
        <f t="shared" si="3"/>
        <v>-0.27</v>
      </c>
      <c r="J5247" s="15">
        <v>15.04</v>
      </c>
      <c r="K5247" s="16">
        <f>IF(COUNTIFS(Release_Calendar!$A$2:$A$755,"US_CPI",Release_Calendar!$B$2:$B$755,$A5247)&gt;0,1,0)</f>
        <v>0</v>
      </c>
      <c r="L5247" s="16">
        <f>IF(COUNTIFS(Release_Calendar!$A$2:$A$755,"US_NFP",Release_Calendar!$B$2:$B$755,$A5247)&gt;0,1,0)</f>
        <v>0</v>
      </c>
      <c r="M5247" s="16">
        <f>IF($A5247&lt;Notes!$B$5,"",IF(COUNTIFS(Release_Calendar!$A$2:$A$755,"NZ_CPI",Release_Calendar!$B$2:$B$755,$A5247)&gt;0,1,0))</f>
        <v>0</v>
      </c>
      <c r="N5247" s="16">
        <f>IF($A5247&lt;Notes!$B$5,"",IF(COUNTIFS(Release_Calendar!$A$2:$A$755,"NZ_GDP",Release_Calendar!$B$2:$B$755,$A5247)&gt;0,1,0))</f>
        <v>0</v>
      </c>
      <c r="O5247" s="16">
        <f>IF($A5247&lt;Notes!$B$5,"",IF(COUNTIFS(Release_Calendar!$A$2:$A$755,"NZ_LABOUR",Release_Calendar!$B$2:$B$755,$A5247)&gt;0,1,0))</f>
        <v>0</v>
      </c>
      <c r="P5247" s="16">
        <f t="shared" si="4"/>
        <v>0</v>
      </c>
    </row>
    <row r="5248" ht="15.75" customHeight="1">
      <c r="A5248" s="14">
        <v>43872.0</v>
      </c>
      <c r="B5248" s="15">
        <v>1.41</v>
      </c>
      <c r="C5248" s="15">
        <v>1.08</v>
      </c>
      <c r="D5248" s="15"/>
      <c r="E5248" s="15"/>
      <c r="F5248" s="15">
        <f t="shared" si="1"/>
        <v>-0.33</v>
      </c>
      <c r="G5248" s="15">
        <f t="shared" si="2"/>
        <v>1.08</v>
      </c>
      <c r="H5248" s="16">
        <v>0.0</v>
      </c>
      <c r="I5248" s="15">
        <f t="shared" si="3"/>
        <v>-0.33</v>
      </c>
      <c r="J5248" s="15">
        <v>15.18</v>
      </c>
      <c r="K5248" s="16">
        <f>IF(COUNTIFS(Release_Calendar!$A$2:$A$755,"US_CPI",Release_Calendar!$B$2:$B$755,$A5248)&gt;0,1,0)</f>
        <v>0</v>
      </c>
      <c r="L5248" s="16">
        <f>IF(COUNTIFS(Release_Calendar!$A$2:$A$755,"US_NFP",Release_Calendar!$B$2:$B$755,$A5248)&gt;0,1,0)</f>
        <v>0</v>
      </c>
      <c r="M5248" s="16">
        <f>IF($A5248&lt;Notes!$B$5,"",IF(COUNTIFS(Release_Calendar!$A$2:$A$755,"NZ_CPI",Release_Calendar!$B$2:$B$755,$A5248)&gt;0,1,0))</f>
        <v>0</v>
      </c>
      <c r="N5248" s="16">
        <f>IF($A5248&lt;Notes!$B$5,"",IF(COUNTIFS(Release_Calendar!$A$2:$A$755,"NZ_GDP",Release_Calendar!$B$2:$B$755,$A5248)&gt;0,1,0))</f>
        <v>0</v>
      </c>
      <c r="O5248" s="16">
        <f>IF($A5248&lt;Notes!$B$5,"",IF(COUNTIFS(Release_Calendar!$A$2:$A$755,"NZ_LABOUR",Release_Calendar!$B$2:$B$755,$A5248)&gt;0,1,0))</f>
        <v>0</v>
      </c>
      <c r="P5248" s="16">
        <f t="shared" si="4"/>
        <v>0</v>
      </c>
    </row>
    <row r="5249" ht="15.75" customHeight="1">
      <c r="A5249" s="14">
        <v>43873.0</v>
      </c>
      <c r="B5249" s="15">
        <v>1.44</v>
      </c>
      <c r="C5249" s="15">
        <v>1.17</v>
      </c>
      <c r="D5249" s="15"/>
      <c r="E5249" s="15"/>
      <c r="F5249" s="15">
        <f t="shared" si="1"/>
        <v>-0.27</v>
      </c>
      <c r="G5249" s="15">
        <f t="shared" si="2"/>
        <v>1.17</v>
      </c>
      <c r="H5249" s="16">
        <v>0.0</v>
      </c>
      <c r="I5249" s="15">
        <f t="shared" si="3"/>
        <v>-0.27</v>
      </c>
      <c r="J5249" s="15">
        <v>13.74</v>
      </c>
      <c r="K5249" s="16">
        <f>IF(COUNTIFS(Release_Calendar!$A$2:$A$755,"US_CPI",Release_Calendar!$B$2:$B$755,$A5249)&gt;0,1,0)</f>
        <v>0</v>
      </c>
      <c r="L5249" s="16">
        <f>IF(COUNTIFS(Release_Calendar!$A$2:$A$755,"US_NFP",Release_Calendar!$B$2:$B$755,$A5249)&gt;0,1,0)</f>
        <v>0</v>
      </c>
      <c r="M5249" s="16">
        <f>IF($A5249&lt;Notes!$B$5,"",IF(COUNTIFS(Release_Calendar!$A$2:$A$755,"NZ_CPI",Release_Calendar!$B$2:$B$755,$A5249)&gt;0,1,0))</f>
        <v>0</v>
      </c>
      <c r="N5249" s="16">
        <f>IF($A5249&lt;Notes!$B$5,"",IF(COUNTIFS(Release_Calendar!$A$2:$A$755,"NZ_GDP",Release_Calendar!$B$2:$B$755,$A5249)&gt;0,1,0))</f>
        <v>0</v>
      </c>
      <c r="O5249" s="16">
        <f>IF($A5249&lt;Notes!$B$5,"",IF(COUNTIFS(Release_Calendar!$A$2:$A$755,"NZ_LABOUR",Release_Calendar!$B$2:$B$755,$A5249)&gt;0,1,0))</f>
        <v>0</v>
      </c>
      <c r="P5249" s="16">
        <f t="shared" si="4"/>
        <v>0</v>
      </c>
    </row>
    <row r="5250" ht="15.75" customHeight="1">
      <c r="A5250" s="14">
        <v>43874.0</v>
      </c>
      <c r="B5250" s="15">
        <v>1.44</v>
      </c>
      <c r="C5250" s="15">
        <v>1.17</v>
      </c>
      <c r="D5250" s="15"/>
      <c r="E5250" s="15"/>
      <c r="F5250" s="15">
        <f t="shared" si="1"/>
        <v>-0.27</v>
      </c>
      <c r="G5250" s="15">
        <f t="shared" si="2"/>
        <v>1.17</v>
      </c>
      <c r="H5250" s="16">
        <v>0.0</v>
      </c>
      <c r="I5250" s="15">
        <f t="shared" si="3"/>
        <v>-0.27</v>
      </c>
      <c r="J5250" s="15">
        <v>14.15</v>
      </c>
      <c r="K5250" s="16">
        <f>IF(COUNTIFS(Release_Calendar!$A$2:$A$755,"US_CPI",Release_Calendar!$B$2:$B$755,$A5250)&gt;0,1,0)</f>
        <v>1</v>
      </c>
      <c r="L5250" s="16">
        <f>IF(COUNTIFS(Release_Calendar!$A$2:$A$755,"US_NFP",Release_Calendar!$B$2:$B$755,$A5250)&gt;0,1,0)</f>
        <v>0</v>
      </c>
      <c r="M5250" s="16">
        <f>IF($A5250&lt;Notes!$B$5,"",IF(COUNTIFS(Release_Calendar!$A$2:$A$755,"NZ_CPI",Release_Calendar!$B$2:$B$755,$A5250)&gt;0,1,0))</f>
        <v>0</v>
      </c>
      <c r="N5250" s="16">
        <f>IF($A5250&lt;Notes!$B$5,"",IF(COUNTIFS(Release_Calendar!$A$2:$A$755,"NZ_GDP",Release_Calendar!$B$2:$B$755,$A5250)&gt;0,1,0))</f>
        <v>0</v>
      </c>
      <c r="O5250" s="16">
        <f>IF($A5250&lt;Notes!$B$5,"",IF(COUNTIFS(Release_Calendar!$A$2:$A$755,"NZ_LABOUR",Release_Calendar!$B$2:$B$755,$A5250)&gt;0,1,0))</f>
        <v>0</v>
      </c>
      <c r="P5250" s="16">
        <f t="shared" si="4"/>
        <v>1</v>
      </c>
    </row>
    <row r="5251" ht="15.75" customHeight="1">
      <c r="A5251" s="14">
        <v>43875.0</v>
      </c>
      <c r="B5251" s="15">
        <v>1.42</v>
      </c>
      <c r="C5251" s="15">
        <v>1.13</v>
      </c>
      <c r="D5251" s="15"/>
      <c r="E5251" s="15"/>
      <c r="F5251" s="15">
        <f t="shared" si="1"/>
        <v>-0.29</v>
      </c>
      <c r="G5251" s="15">
        <f t="shared" si="2"/>
        <v>1.13</v>
      </c>
      <c r="H5251" s="16">
        <v>0.0</v>
      </c>
      <c r="I5251" s="15">
        <f t="shared" si="3"/>
        <v>-0.29</v>
      </c>
      <c r="J5251" s="15">
        <v>13.68</v>
      </c>
      <c r="K5251" s="16">
        <f>IF(COUNTIFS(Release_Calendar!$A$2:$A$755,"US_CPI",Release_Calendar!$B$2:$B$755,$A5251)&gt;0,1,0)</f>
        <v>0</v>
      </c>
      <c r="L5251" s="16">
        <f>IF(COUNTIFS(Release_Calendar!$A$2:$A$755,"US_NFP",Release_Calendar!$B$2:$B$755,$A5251)&gt;0,1,0)</f>
        <v>0</v>
      </c>
      <c r="M5251" s="16">
        <f>IF($A5251&lt;Notes!$B$5,"",IF(COUNTIFS(Release_Calendar!$A$2:$A$755,"NZ_CPI",Release_Calendar!$B$2:$B$755,$A5251)&gt;0,1,0))</f>
        <v>0</v>
      </c>
      <c r="N5251" s="16">
        <f>IF($A5251&lt;Notes!$B$5,"",IF(COUNTIFS(Release_Calendar!$A$2:$A$755,"NZ_GDP",Release_Calendar!$B$2:$B$755,$A5251)&gt;0,1,0))</f>
        <v>0</v>
      </c>
      <c r="O5251" s="16">
        <f>IF($A5251&lt;Notes!$B$5,"",IF(COUNTIFS(Release_Calendar!$A$2:$A$755,"NZ_LABOUR",Release_Calendar!$B$2:$B$755,$A5251)&gt;0,1,0))</f>
        <v>0</v>
      </c>
      <c r="P5251" s="16">
        <f t="shared" si="4"/>
        <v>0</v>
      </c>
    </row>
    <row r="5252" ht="15.75" customHeight="1">
      <c r="A5252" s="14">
        <v>43878.0</v>
      </c>
      <c r="B5252" s="15"/>
      <c r="C5252" s="15">
        <v>1.12</v>
      </c>
      <c r="D5252" s="15"/>
      <c r="E5252" s="15"/>
      <c r="F5252" s="15" t="str">
        <f t="shared" si="1"/>
        <v/>
      </c>
      <c r="G5252" s="15">
        <f t="shared" si="2"/>
        <v>1.12</v>
      </c>
      <c r="H5252" s="16">
        <v>0.0</v>
      </c>
      <c r="I5252" s="15" t="str">
        <f t="shared" si="3"/>
        <v/>
      </c>
      <c r="J5252" s="15"/>
      <c r="K5252" s="16">
        <f>IF(COUNTIFS(Release_Calendar!$A$2:$A$755,"US_CPI",Release_Calendar!$B$2:$B$755,$A5252)&gt;0,1,0)</f>
        <v>0</v>
      </c>
      <c r="L5252" s="16">
        <f>IF(COUNTIFS(Release_Calendar!$A$2:$A$755,"US_NFP",Release_Calendar!$B$2:$B$755,$A5252)&gt;0,1,0)</f>
        <v>0</v>
      </c>
      <c r="M5252" s="16">
        <f>IF($A5252&lt;Notes!$B$5,"",IF(COUNTIFS(Release_Calendar!$A$2:$A$755,"NZ_CPI",Release_Calendar!$B$2:$B$755,$A5252)&gt;0,1,0))</f>
        <v>0</v>
      </c>
      <c r="N5252" s="16">
        <f>IF($A5252&lt;Notes!$B$5,"",IF(COUNTIFS(Release_Calendar!$A$2:$A$755,"NZ_GDP",Release_Calendar!$B$2:$B$755,$A5252)&gt;0,1,0))</f>
        <v>0</v>
      </c>
      <c r="O5252" s="16">
        <f>IF($A5252&lt;Notes!$B$5,"",IF(COUNTIFS(Release_Calendar!$A$2:$A$755,"NZ_LABOUR",Release_Calendar!$B$2:$B$755,$A5252)&gt;0,1,0))</f>
        <v>0</v>
      </c>
      <c r="P5252" s="16">
        <f t="shared" si="4"/>
        <v>0</v>
      </c>
    </row>
    <row r="5253" ht="15.75" customHeight="1">
      <c r="A5253" s="14">
        <v>43879.0</v>
      </c>
      <c r="B5253" s="15">
        <v>1.41</v>
      </c>
      <c r="C5253" s="15">
        <v>1.1</v>
      </c>
      <c r="D5253" s="15"/>
      <c r="E5253" s="15"/>
      <c r="F5253" s="15">
        <f t="shared" si="1"/>
        <v>-0.31</v>
      </c>
      <c r="G5253" s="15">
        <f t="shared" si="2"/>
        <v>1.1</v>
      </c>
      <c r="H5253" s="16">
        <v>0.0</v>
      </c>
      <c r="I5253" s="15">
        <f t="shared" si="3"/>
        <v>-0.31</v>
      </c>
      <c r="J5253" s="15">
        <v>14.83</v>
      </c>
      <c r="K5253" s="16">
        <f>IF(COUNTIFS(Release_Calendar!$A$2:$A$755,"US_CPI",Release_Calendar!$B$2:$B$755,$A5253)&gt;0,1,0)</f>
        <v>0</v>
      </c>
      <c r="L5253" s="16">
        <f>IF(COUNTIFS(Release_Calendar!$A$2:$A$755,"US_NFP",Release_Calendar!$B$2:$B$755,$A5253)&gt;0,1,0)</f>
        <v>0</v>
      </c>
      <c r="M5253" s="16">
        <f>IF($A5253&lt;Notes!$B$5,"",IF(COUNTIFS(Release_Calendar!$A$2:$A$755,"NZ_CPI",Release_Calendar!$B$2:$B$755,$A5253)&gt;0,1,0))</f>
        <v>0</v>
      </c>
      <c r="N5253" s="16">
        <f>IF($A5253&lt;Notes!$B$5,"",IF(COUNTIFS(Release_Calendar!$A$2:$A$755,"NZ_GDP",Release_Calendar!$B$2:$B$755,$A5253)&gt;0,1,0))</f>
        <v>0</v>
      </c>
      <c r="O5253" s="16">
        <f>IF($A5253&lt;Notes!$B$5,"",IF(COUNTIFS(Release_Calendar!$A$2:$A$755,"NZ_LABOUR",Release_Calendar!$B$2:$B$755,$A5253)&gt;0,1,0))</f>
        <v>0</v>
      </c>
      <c r="P5253" s="16">
        <f t="shared" si="4"/>
        <v>0</v>
      </c>
    </row>
    <row r="5254" ht="15.75" customHeight="1">
      <c r="A5254" s="14">
        <v>43880.0</v>
      </c>
      <c r="B5254" s="15">
        <v>1.42</v>
      </c>
      <c r="C5254" s="15">
        <v>1.1</v>
      </c>
      <c r="D5254" s="15"/>
      <c r="E5254" s="15"/>
      <c r="F5254" s="15">
        <f t="shared" si="1"/>
        <v>-0.32</v>
      </c>
      <c r="G5254" s="15">
        <f t="shared" si="2"/>
        <v>1.1</v>
      </c>
      <c r="H5254" s="16">
        <v>0.0</v>
      </c>
      <c r="I5254" s="15">
        <f t="shared" si="3"/>
        <v>-0.32</v>
      </c>
      <c r="J5254" s="15">
        <v>14.38</v>
      </c>
      <c r="K5254" s="16">
        <f>IF(COUNTIFS(Release_Calendar!$A$2:$A$755,"US_CPI",Release_Calendar!$B$2:$B$755,$A5254)&gt;0,1,0)</f>
        <v>0</v>
      </c>
      <c r="L5254" s="16">
        <f>IF(COUNTIFS(Release_Calendar!$A$2:$A$755,"US_NFP",Release_Calendar!$B$2:$B$755,$A5254)&gt;0,1,0)</f>
        <v>0</v>
      </c>
      <c r="M5254" s="16">
        <f>IF($A5254&lt;Notes!$B$5,"",IF(COUNTIFS(Release_Calendar!$A$2:$A$755,"NZ_CPI",Release_Calendar!$B$2:$B$755,$A5254)&gt;0,1,0))</f>
        <v>0</v>
      </c>
      <c r="N5254" s="16">
        <f>IF($A5254&lt;Notes!$B$5,"",IF(COUNTIFS(Release_Calendar!$A$2:$A$755,"NZ_GDP",Release_Calendar!$B$2:$B$755,$A5254)&gt;0,1,0))</f>
        <v>0</v>
      </c>
      <c r="O5254" s="16">
        <f>IF($A5254&lt;Notes!$B$5,"",IF(COUNTIFS(Release_Calendar!$A$2:$A$755,"NZ_LABOUR",Release_Calendar!$B$2:$B$755,$A5254)&gt;0,1,0))</f>
        <v>0</v>
      </c>
      <c r="P5254" s="16">
        <f t="shared" si="4"/>
        <v>0</v>
      </c>
    </row>
    <row r="5255" ht="15.75" customHeight="1">
      <c r="A5255" s="14">
        <v>43881.0</v>
      </c>
      <c r="B5255" s="15">
        <v>1.39</v>
      </c>
      <c r="C5255" s="15">
        <v>1.08</v>
      </c>
      <c r="D5255" s="15"/>
      <c r="E5255" s="15"/>
      <c r="F5255" s="15">
        <f t="shared" si="1"/>
        <v>-0.31</v>
      </c>
      <c r="G5255" s="15">
        <f t="shared" si="2"/>
        <v>1.08</v>
      </c>
      <c r="H5255" s="16">
        <v>0.0</v>
      </c>
      <c r="I5255" s="15">
        <f t="shared" si="3"/>
        <v>-0.31</v>
      </c>
      <c r="J5255" s="15">
        <v>15.56</v>
      </c>
      <c r="K5255" s="16">
        <f>IF(COUNTIFS(Release_Calendar!$A$2:$A$755,"US_CPI",Release_Calendar!$B$2:$B$755,$A5255)&gt;0,1,0)</f>
        <v>0</v>
      </c>
      <c r="L5255" s="16">
        <f>IF(COUNTIFS(Release_Calendar!$A$2:$A$755,"US_NFP",Release_Calendar!$B$2:$B$755,$A5255)&gt;0,1,0)</f>
        <v>0</v>
      </c>
      <c r="M5255" s="16">
        <f>IF($A5255&lt;Notes!$B$5,"",IF(COUNTIFS(Release_Calendar!$A$2:$A$755,"NZ_CPI",Release_Calendar!$B$2:$B$755,$A5255)&gt;0,1,0))</f>
        <v>0</v>
      </c>
      <c r="N5255" s="16">
        <f>IF($A5255&lt;Notes!$B$5,"",IF(COUNTIFS(Release_Calendar!$A$2:$A$755,"NZ_GDP",Release_Calendar!$B$2:$B$755,$A5255)&gt;0,1,0))</f>
        <v>0</v>
      </c>
      <c r="O5255" s="16">
        <f>IF($A5255&lt;Notes!$B$5,"",IF(COUNTIFS(Release_Calendar!$A$2:$A$755,"NZ_LABOUR",Release_Calendar!$B$2:$B$755,$A5255)&gt;0,1,0))</f>
        <v>0</v>
      </c>
      <c r="P5255" s="16">
        <f t="shared" si="4"/>
        <v>0</v>
      </c>
    </row>
    <row r="5256" ht="15.75" customHeight="1">
      <c r="A5256" s="14">
        <v>43882.0</v>
      </c>
      <c r="B5256" s="15">
        <v>1.34</v>
      </c>
      <c r="C5256" s="15">
        <v>1.04</v>
      </c>
      <c r="D5256" s="15"/>
      <c r="E5256" s="15"/>
      <c r="F5256" s="15">
        <f t="shared" si="1"/>
        <v>-0.3</v>
      </c>
      <c r="G5256" s="15">
        <f t="shared" si="2"/>
        <v>1.04</v>
      </c>
      <c r="H5256" s="16">
        <v>0.0</v>
      </c>
      <c r="I5256" s="15">
        <f t="shared" si="3"/>
        <v>-0.3</v>
      </c>
      <c r="J5256" s="15">
        <v>17.08</v>
      </c>
      <c r="K5256" s="16">
        <f>IF(COUNTIFS(Release_Calendar!$A$2:$A$755,"US_CPI",Release_Calendar!$B$2:$B$755,$A5256)&gt;0,1,0)</f>
        <v>0</v>
      </c>
      <c r="L5256" s="16">
        <f>IF(COUNTIFS(Release_Calendar!$A$2:$A$755,"US_NFP",Release_Calendar!$B$2:$B$755,$A5256)&gt;0,1,0)</f>
        <v>0</v>
      </c>
      <c r="M5256" s="16">
        <f>IF($A5256&lt;Notes!$B$5,"",IF(COUNTIFS(Release_Calendar!$A$2:$A$755,"NZ_CPI",Release_Calendar!$B$2:$B$755,$A5256)&gt;0,1,0))</f>
        <v>0</v>
      </c>
      <c r="N5256" s="16">
        <f>IF($A5256&lt;Notes!$B$5,"",IF(COUNTIFS(Release_Calendar!$A$2:$A$755,"NZ_GDP",Release_Calendar!$B$2:$B$755,$A5256)&gt;0,1,0))</f>
        <v>0</v>
      </c>
      <c r="O5256" s="16">
        <f>IF($A5256&lt;Notes!$B$5,"",IF(COUNTIFS(Release_Calendar!$A$2:$A$755,"NZ_LABOUR",Release_Calendar!$B$2:$B$755,$A5256)&gt;0,1,0))</f>
        <v>0</v>
      </c>
      <c r="P5256" s="16">
        <f t="shared" si="4"/>
        <v>0</v>
      </c>
    </row>
    <row r="5257" ht="15.75" customHeight="1">
      <c r="A5257" s="14">
        <v>43885.0</v>
      </c>
      <c r="B5257" s="15">
        <v>1.26</v>
      </c>
      <c r="C5257" s="15">
        <v>1.0</v>
      </c>
      <c r="D5257" s="15"/>
      <c r="E5257" s="15"/>
      <c r="F5257" s="15">
        <f t="shared" si="1"/>
        <v>-0.26</v>
      </c>
      <c r="G5257" s="15">
        <f t="shared" si="2"/>
        <v>1</v>
      </c>
      <c r="H5257" s="16">
        <v>0.0</v>
      </c>
      <c r="I5257" s="15">
        <f t="shared" si="3"/>
        <v>-0.26</v>
      </c>
      <c r="J5257" s="15">
        <v>25.03</v>
      </c>
      <c r="K5257" s="16">
        <f>IF(COUNTIFS(Release_Calendar!$A$2:$A$755,"US_CPI",Release_Calendar!$B$2:$B$755,$A5257)&gt;0,1,0)</f>
        <v>0</v>
      </c>
      <c r="L5257" s="16">
        <f>IF(COUNTIFS(Release_Calendar!$A$2:$A$755,"US_NFP",Release_Calendar!$B$2:$B$755,$A5257)&gt;0,1,0)</f>
        <v>0</v>
      </c>
      <c r="M5257" s="16">
        <f>IF($A5257&lt;Notes!$B$5,"",IF(COUNTIFS(Release_Calendar!$A$2:$A$755,"NZ_CPI",Release_Calendar!$B$2:$B$755,$A5257)&gt;0,1,0))</f>
        <v>0</v>
      </c>
      <c r="N5257" s="16">
        <f>IF($A5257&lt;Notes!$B$5,"",IF(COUNTIFS(Release_Calendar!$A$2:$A$755,"NZ_GDP",Release_Calendar!$B$2:$B$755,$A5257)&gt;0,1,0))</f>
        <v>0</v>
      </c>
      <c r="O5257" s="16">
        <f>IF($A5257&lt;Notes!$B$5,"",IF(COUNTIFS(Release_Calendar!$A$2:$A$755,"NZ_LABOUR",Release_Calendar!$B$2:$B$755,$A5257)&gt;0,1,0))</f>
        <v>0</v>
      </c>
      <c r="P5257" s="16">
        <f t="shared" si="4"/>
        <v>0</v>
      </c>
    </row>
    <row r="5258" ht="15.75" customHeight="1">
      <c r="A5258" s="14">
        <v>43886.0</v>
      </c>
      <c r="B5258" s="15">
        <v>1.2</v>
      </c>
      <c r="C5258" s="15">
        <v>1.0</v>
      </c>
      <c r="D5258" s="15"/>
      <c r="E5258" s="15"/>
      <c r="F5258" s="15">
        <f t="shared" si="1"/>
        <v>-0.2</v>
      </c>
      <c r="G5258" s="15">
        <f t="shared" si="2"/>
        <v>1</v>
      </c>
      <c r="H5258" s="16">
        <v>0.0</v>
      </c>
      <c r="I5258" s="15">
        <f t="shared" si="3"/>
        <v>-0.2</v>
      </c>
      <c r="J5258" s="15">
        <v>27.85</v>
      </c>
      <c r="K5258" s="16">
        <f>IF(COUNTIFS(Release_Calendar!$A$2:$A$755,"US_CPI",Release_Calendar!$B$2:$B$755,$A5258)&gt;0,1,0)</f>
        <v>0</v>
      </c>
      <c r="L5258" s="16">
        <f>IF(COUNTIFS(Release_Calendar!$A$2:$A$755,"US_NFP",Release_Calendar!$B$2:$B$755,$A5258)&gt;0,1,0)</f>
        <v>0</v>
      </c>
      <c r="M5258" s="16">
        <f>IF($A5258&lt;Notes!$B$5,"",IF(COUNTIFS(Release_Calendar!$A$2:$A$755,"NZ_CPI",Release_Calendar!$B$2:$B$755,$A5258)&gt;0,1,0))</f>
        <v>0</v>
      </c>
      <c r="N5258" s="16">
        <f>IF($A5258&lt;Notes!$B$5,"",IF(COUNTIFS(Release_Calendar!$A$2:$A$755,"NZ_GDP",Release_Calendar!$B$2:$B$755,$A5258)&gt;0,1,0))</f>
        <v>0</v>
      </c>
      <c r="O5258" s="16">
        <f>IF($A5258&lt;Notes!$B$5,"",IF(COUNTIFS(Release_Calendar!$A$2:$A$755,"NZ_LABOUR",Release_Calendar!$B$2:$B$755,$A5258)&gt;0,1,0))</f>
        <v>0</v>
      </c>
      <c r="P5258" s="16">
        <f t="shared" si="4"/>
        <v>0</v>
      </c>
    </row>
    <row r="5259" ht="15.75" customHeight="1">
      <c r="A5259" s="14">
        <v>43887.0</v>
      </c>
      <c r="B5259" s="15">
        <v>1.16</v>
      </c>
      <c r="C5259" s="15">
        <v>0.99</v>
      </c>
      <c r="D5259" s="15"/>
      <c r="E5259" s="15"/>
      <c r="F5259" s="15">
        <f t="shared" si="1"/>
        <v>-0.17</v>
      </c>
      <c r="G5259" s="15">
        <f t="shared" si="2"/>
        <v>0.99</v>
      </c>
      <c r="H5259" s="16">
        <v>0.0</v>
      </c>
      <c r="I5259" s="15">
        <f t="shared" si="3"/>
        <v>-0.17</v>
      </c>
      <c r="J5259" s="15">
        <v>27.56</v>
      </c>
      <c r="K5259" s="16">
        <f>IF(COUNTIFS(Release_Calendar!$A$2:$A$755,"US_CPI",Release_Calendar!$B$2:$B$755,$A5259)&gt;0,1,0)</f>
        <v>0</v>
      </c>
      <c r="L5259" s="16">
        <f>IF(COUNTIFS(Release_Calendar!$A$2:$A$755,"US_NFP",Release_Calendar!$B$2:$B$755,$A5259)&gt;0,1,0)</f>
        <v>0</v>
      </c>
      <c r="M5259" s="16">
        <f>IF($A5259&lt;Notes!$B$5,"",IF(COUNTIFS(Release_Calendar!$A$2:$A$755,"NZ_CPI",Release_Calendar!$B$2:$B$755,$A5259)&gt;0,1,0))</f>
        <v>0</v>
      </c>
      <c r="N5259" s="16">
        <f>IF($A5259&lt;Notes!$B$5,"",IF(COUNTIFS(Release_Calendar!$A$2:$A$755,"NZ_GDP",Release_Calendar!$B$2:$B$755,$A5259)&gt;0,1,0))</f>
        <v>0</v>
      </c>
      <c r="O5259" s="16">
        <f>IF($A5259&lt;Notes!$B$5,"",IF(COUNTIFS(Release_Calendar!$A$2:$A$755,"NZ_LABOUR",Release_Calendar!$B$2:$B$755,$A5259)&gt;0,1,0))</f>
        <v>0</v>
      </c>
      <c r="P5259" s="16">
        <f t="shared" si="4"/>
        <v>0</v>
      </c>
    </row>
    <row r="5260" ht="15.75" customHeight="1">
      <c r="A5260" s="14">
        <v>43888.0</v>
      </c>
      <c r="B5260" s="15">
        <v>1.11</v>
      </c>
      <c r="C5260" s="15">
        <v>0.95</v>
      </c>
      <c r="D5260" s="15"/>
      <c r="E5260" s="15"/>
      <c r="F5260" s="15">
        <f t="shared" si="1"/>
        <v>-0.16</v>
      </c>
      <c r="G5260" s="15">
        <f t="shared" si="2"/>
        <v>0.95</v>
      </c>
      <c r="H5260" s="16">
        <v>0.0</v>
      </c>
      <c r="I5260" s="15">
        <f t="shared" si="3"/>
        <v>-0.16</v>
      </c>
      <c r="J5260" s="15">
        <v>39.16</v>
      </c>
      <c r="K5260" s="16">
        <f>IF(COUNTIFS(Release_Calendar!$A$2:$A$755,"US_CPI",Release_Calendar!$B$2:$B$755,$A5260)&gt;0,1,0)</f>
        <v>0</v>
      </c>
      <c r="L5260" s="16">
        <f>IF(COUNTIFS(Release_Calendar!$A$2:$A$755,"US_NFP",Release_Calendar!$B$2:$B$755,$A5260)&gt;0,1,0)</f>
        <v>0</v>
      </c>
      <c r="M5260" s="16">
        <f>IF($A5260&lt;Notes!$B$5,"",IF(COUNTIFS(Release_Calendar!$A$2:$A$755,"NZ_CPI",Release_Calendar!$B$2:$B$755,$A5260)&gt;0,1,0))</f>
        <v>0</v>
      </c>
      <c r="N5260" s="16">
        <f>IF($A5260&lt;Notes!$B$5,"",IF(COUNTIFS(Release_Calendar!$A$2:$A$755,"NZ_GDP",Release_Calendar!$B$2:$B$755,$A5260)&gt;0,1,0))</f>
        <v>0</v>
      </c>
      <c r="O5260" s="16">
        <f>IF($A5260&lt;Notes!$B$5,"",IF(COUNTIFS(Release_Calendar!$A$2:$A$755,"NZ_LABOUR",Release_Calendar!$B$2:$B$755,$A5260)&gt;0,1,0))</f>
        <v>0</v>
      </c>
      <c r="P5260" s="16">
        <f t="shared" si="4"/>
        <v>0</v>
      </c>
    </row>
    <row r="5261" ht="15.75" customHeight="1">
      <c r="A5261" s="14">
        <v>43889.0</v>
      </c>
      <c r="B5261" s="15">
        <v>0.86</v>
      </c>
      <c r="C5261" s="15">
        <v>0.86</v>
      </c>
      <c r="D5261" s="15"/>
      <c r="E5261" s="15"/>
      <c r="F5261" s="15">
        <f t="shared" si="1"/>
        <v>0</v>
      </c>
      <c r="G5261" s="15">
        <f t="shared" si="2"/>
        <v>0.86</v>
      </c>
      <c r="H5261" s="16">
        <v>0.0</v>
      </c>
      <c r="I5261" s="15">
        <f t="shared" si="3"/>
        <v>0</v>
      </c>
      <c r="J5261" s="15">
        <v>40.11</v>
      </c>
      <c r="K5261" s="16">
        <f>IF(COUNTIFS(Release_Calendar!$A$2:$A$755,"US_CPI",Release_Calendar!$B$2:$B$755,$A5261)&gt;0,1,0)</f>
        <v>0</v>
      </c>
      <c r="L5261" s="16">
        <f>IF(COUNTIFS(Release_Calendar!$A$2:$A$755,"US_NFP",Release_Calendar!$B$2:$B$755,$A5261)&gt;0,1,0)</f>
        <v>0</v>
      </c>
      <c r="M5261" s="16">
        <f>IF($A5261&lt;Notes!$B$5,"",IF(COUNTIFS(Release_Calendar!$A$2:$A$755,"NZ_CPI",Release_Calendar!$B$2:$B$755,$A5261)&gt;0,1,0))</f>
        <v>0</v>
      </c>
      <c r="N5261" s="16">
        <f>IF($A5261&lt;Notes!$B$5,"",IF(COUNTIFS(Release_Calendar!$A$2:$A$755,"NZ_GDP",Release_Calendar!$B$2:$B$755,$A5261)&gt;0,1,0))</f>
        <v>0</v>
      </c>
      <c r="O5261" s="16">
        <f>IF($A5261&lt;Notes!$B$5,"",IF(COUNTIFS(Release_Calendar!$A$2:$A$755,"NZ_LABOUR",Release_Calendar!$B$2:$B$755,$A5261)&gt;0,1,0))</f>
        <v>0</v>
      </c>
      <c r="P5261" s="16">
        <f t="shared" si="4"/>
        <v>0</v>
      </c>
    </row>
    <row r="5262" ht="15.75" customHeight="1">
      <c r="A5262" s="14">
        <v>43892.0</v>
      </c>
      <c r="B5262" s="15">
        <v>0.84</v>
      </c>
      <c r="C5262" s="15">
        <v>0.71</v>
      </c>
      <c r="D5262" s="15"/>
      <c r="E5262" s="15"/>
      <c r="F5262" s="15">
        <f t="shared" si="1"/>
        <v>-0.13</v>
      </c>
      <c r="G5262" s="15">
        <f t="shared" si="2"/>
        <v>0.71</v>
      </c>
      <c r="H5262" s="16">
        <v>0.0</v>
      </c>
      <c r="I5262" s="15">
        <f t="shared" si="3"/>
        <v>-0.13</v>
      </c>
      <c r="J5262" s="15">
        <v>33.42</v>
      </c>
      <c r="K5262" s="16">
        <f>IF(COUNTIFS(Release_Calendar!$A$2:$A$755,"US_CPI",Release_Calendar!$B$2:$B$755,$A5262)&gt;0,1,0)</f>
        <v>0</v>
      </c>
      <c r="L5262" s="16">
        <f>IF(COUNTIFS(Release_Calendar!$A$2:$A$755,"US_NFP",Release_Calendar!$B$2:$B$755,$A5262)&gt;0,1,0)</f>
        <v>0</v>
      </c>
      <c r="M5262" s="16">
        <f>IF($A5262&lt;Notes!$B$5,"",IF(COUNTIFS(Release_Calendar!$A$2:$A$755,"NZ_CPI",Release_Calendar!$B$2:$B$755,$A5262)&gt;0,1,0))</f>
        <v>0</v>
      </c>
      <c r="N5262" s="16">
        <f>IF($A5262&lt;Notes!$B$5,"",IF(COUNTIFS(Release_Calendar!$A$2:$A$755,"NZ_GDP",Release_Calendar!$B$2:$B$755,$A5262)&gt;0,1,0))</f>
        <v>0</v>
      </c>
      <c r="O5262" s="16">
        <f>IF($A5262&lt;Notes!$B$5,"",IF(COUNTIFS(Release_Calendar!$A$2:$A$755,"NZ_LABOUR",Release_Calendar!$B$2:$B$755,$A5262)&gt;0,1,0))</f>
        <v>0</v>
      </c>
      <c r="P5262" s="16">
        <f t="shared" si="4"/>
        <v>0</v>
      </c>
    </row>
    <row r="5263" ht="15.75" customHeight="1">
      <c r="A5263" s="14">
        <v>43893.0</v>
      </c>
      <c r="B5263" s="15">
        <v>0.71</v>
      </c>
      <c r="C5263" s="15">
        <v>0.74</v>
      </c>
      <c r="D5263" s="15"/>
      <c r="E5263" s="15"/>
      <c r="F5263" s="15">
        <f t="shared" si="1"/>
        <v>0.03</v>
      </c>
      <c r="G5263" s="15">
        <f t="shared" si="2"/>
        <v>0.74</v>
      </c>
      <c r="H5263" s="16">
        <v>0.0</v>
      </c>
      <c r="I5263" s="15">
        <f t="shared" si="3"/>
        <v>0.03</v>
      </c>
      <c r="J5263" s="15">
        <v>36.82</v>
      </c>
      <c r="K5263" s="16">
        <f>IF(COUNTIFS(Release_Calendar!$A$2:$A$755,"US_CPI",Release_Calendar!$B$2:$B$755,$A5263)&gt;0,1,0)</f>
        <v>0</v>
      </c>
      <c r="L5263" s="16">
        <f>IF(COUNTIFS(Release_Calendar!$A$2:$A$755,"US_NFP",Release_Calendar!$B$2:$B$755,$A5263)&gt;0,1,0)</f>
        <v>0</v>
      </c>
      <c r="M5263" s="16">
        <f>IF($A5263&lt;Notes!$B$5,"",IF(COUNTIFS(Release_Calendar!$A$2:$A$755,"NZ_CPI",Release_Calendar!$B$2:$B$755,$A5263)&gt;0,1,0))</f>
        <v>0</v>
      </c>
      <c r="N5263" s="16">
        <f>IF($A5263&lt;Notes!$B$5,"",IF(COUNTIFS(Release_Calendar!$A$2:$A$755,"NZ_GDP",Release_Calendar!$B$2:$B$755,$A5263)&gt;0,1,0))</f>
        <v>0</v>
      </c>
      <c r="O5263" s="16">
        <f>IF($A5263&lt;Notes!$B$5,"",IF(COUNTIFS(Release_Calendar!$A$2:$A$755,"NZ_LABOUR",Release_Calendar!$B$2:$B$755,$A5263)&gt;0,1,0))</f>
        <v>0</v>
      </c>
      <c r="P5263" s="16">
        <f t="shared" si="4"/>
        <v>0</v>
      </c>
    </row>
    <row r="5264" ht="15.75" customHeight="1">
      <c r="A5264" s="14">
        <v>43894.0</v>
      </c>
      <c r="B5264" s="15">
        <v>0.67</v>
      </c>
      <c r="C5264" s="15">
        <v>0.64</v>
      </c>
      <c r="D5264" s="15"/>
      <c r="E5264" s="15"/>
      <c r="F5264" s="15">
        <f t="shared" si="1"/>
        <v>-0.03</v>
      </c>
      <c r="G5264" s="15">
        <f t="shared" si="2"/>
        <v>0.64</v>
      </c>
      <c r="H5264" s="16">
        <v>0.0</v>
      </c>
      <c r="I5264" s="15">
        <f t="shared" si="3"/>
        <v>-0.03</v>
      </c>
      <c r="J5264" s="15">
        <v>31.99</v>
      </c>
      <c r="K5264" s="16">
        <f>IF(COUNTIFS(Release_Calendar!$A$2:$A$755,"US_CPI",Release_Calendar!$B$2:$B$755,$A5264)&gt;0,1,0)</f>
        <v>0</v>
      </c>
      <c r="L5264" s="16">
        <f>IF(COUNTIFS(Release_Calendar!$A$2:$A$755,"US_NFP",Release_Calendar!$B$2:$B$755,$A5264)&gt;0,1,0)</f>
        <v>0</v>
      </c>
      <c r="M5264" s="16">
        <f>IF($A5264&lt;Notes!$B$5,"",IF(COUNTIFS(Release_Calendar!$A$2:$A$755,"NZ_CPI",Release_Calendar!$B$2:$B$755,$A5264)&gt;0,1,0))</f>
        <v>0</v>
      </c>
      <c r="N5264" s="16">
        <f>IF($A5264&lt;Notes!$B$5,"",IF(COUNTIFS(Release_Calendar!$A$2:$A$755,"NZ_GDP",Release_Calendar!$B$2:$B$755,$A5264)&gt;0,1,0))</f>
        <v>0</v>
      </c>
      <c r="O5264" s="16">
        <f>IF($A5264&lt;Notes!$B$5,"",IF(COUNTIFS(Release_Calendar!$A$2:$A$755,"NZ_LABOUR",Release_Calendar!$B$2:$B$755,$A5264)&gt;0,1,0))</f>
        <v>0</v>
      </c>
      <c r="P5264" s="16">
        <f t="shared" si="4"/>
        <v>0</v>
      </c>
    </row>
    <row r="5265" ht="15.75" customHeight="1">
      <c r="A5265" s="14">
        <v>43895.0</v>
      </c>
      <c r="B5265" s="15">
        <v>0.59</v>
      </c>
      <c r="C5265" s="15">
        <v>0.7</v>
      </c>
      <c r="D5265" s="15"/>
      <c r="E5265" s="15"/>
      <c r="F5265" s="15">
        <f t="shared" si="1"/>
        <v>0.11</v>
      </c>
      <c r="G5265" s="15">
        <f t="shared" si="2"/>
        <v>0.7</v>
      </c>
      <c r="H5265" s="16">
        <v>0.0</v>
      </c>
      <c r="I5265" s="15">
        <f t="shared" si="3"/>
        <v>0.11</v>
      </c>
      <c r="J5265" s="15">
        <v>39.62</v>
      </c>
      <c r="K5265" s="16">
        <f>IF(COUNTIFS(Release_Calendar!$A$2:$A$755,"US_CPI",Release_Calendar!$B$2:$B$755,$A5265)&gt;0,1,0)</f>
        <v>0</v>
      </c>
      <c r="L5265" s="16">
        <f>IF(COUNTIFS(Release_Calendar!$A$2:$A$755,"US_NFP",Release_Calendar!$B$2:$B$755,$A5265)&gt;0,1,0)</f>
        <v>0</v>
      </c>
      <c r="M5265" s="16">
        <f>IF($A5265&lt;Notes!$B$5,"",IF(COUNTIFS(Release_Calendar!$A$2:$A$755,"NZ_CPI",Release_Calendar!$B$2:$B$755,$A5265)&gt;0,1,0))</f>
        <v>0</v>
      </c>
      <c r="N5265" s="16">
        <f>IF($A5265&lt;Notes!$B$5,"",IF(COUNTIFS(Release_Calendar!$A$2:$A$755,"NZ_GDP",Release_Calendar!$B$2:$B$755,$A5265)&gt;0,1,0))</f>
        <v>0</v>
      </c>
      <c r="O5265" s="16">
        <f>IF($A5265&lt;Notes!$B$5,"",IF(COUNTIFS(Release_Calendar!$A$2:$A$755,"NZ_LABOUR",Release_Calendar!$B$2:$B$755,$A5265)&gt;0,1,0))</f>
        <v>0</v>
      </c>
      <c r="P5265" s="16">
        <f t="shared" si="4"/>
        <v>0</v>
      </c>
    </row>
    <row r="5266" ht="15.75" customHeight="1">
      <c r="A5266" s="14">
        <v>43896.0</v>
      </c>
      <c r="B5266" s="15">
        <v>0.49</v>
      </c>
      <c r="C5266" s="15">
        <v>0.7</v>
      </c>
      <c r="D5266" s="15"/>
      <c r="E5266" s="15"/>
      <c r="F5266" s="15">
        <f t="shared" si="1"/>
        <v>0.21</v>
      </c>
      <c r="G5266" s="15">
        <f t="shared" si="2"/>
        <v>0.7</v>
      </c>
      <c r="H5266" s="16">
        <v>0.0</v>
      </c>
      <c r="I5266" s="15">
        <f t="shared" si="3"/>
        <v>0.21</v>
      </c>
      <c r="J5266" s="15">
        <v>41.94</v>
      </c>
      <c r="K5266" s="16">
        <f>IF(COUNTIFS(Release_Calendar!$A$2:$A$755,"US_CPI",Release_Calendar!$B$2:$B$755,$A5266)&gt;0,1,0)</f>
        <v>0</v>
      </c>
      <c r="L5266" s="16">
        <f>IF(COUNTIFS(Release_Calendar!$A$2:$A$755,"US_NFP",Release_Calendar!$B$2:$B$755,$A5266)&gt;0,1,0)</f>
        <v>1</v>
      </c>
      <c r="M5266" s="16">
        <f>IF($A5266&lt;Notes!$B$5,"",IF(COUNTIFS(Release_Calendar!$A$2:$A$755,"NZ_CPI",Release_Calendar!$B$2:$B$755,$A5266)&gt;0,1,0))</f>
        <v>0</v>
      </c>
      <c r="N5266" s="16">
        <f>IF($A5266&lt;Notes!$B$5,"",IF(COUNTIFS(Release_Calendar!$A$2:$A$755,"NZ_GDP",Release_Calendar!$B$2:$B$755,$A5266)&gt;0,1,0))</f>
        <v>0</v>
      </c>
      <c r="O5266" s="16">
        <f>IF($A5266&lt;Notes!$B$5,"",IF(COUNTIFS(Release_Calendar!$A$2:$A$755,"NZ_LABOUR",Release_Calendar!$B$2:$B$755,$A5266)&gt;0,1,0))</f>
        <v>0</v>
      </c>
      <c r="P5266" s="16">
        <f t="shared" si="4"/>
        <v>1</v>
      </c>
    </row>
    <row r="5267" ht="15.75" customHeight="1">
      <c r="A5267" s="14">
        <v>43899.0</v>
      </c>
      <c r="B5267" s="15">
        <v>0.38</v>
      </c>
      <c r="C5267" s="15">
        <v>0.72</v>
      </c>
      <c r="D5267" s="15"/>
      <c r="E5267" s="15"/>
      <c r="F5267" s="15">
        <f t="shared" si="1"/>
        <v>0.34</v>
      </c>
      <c r="G5267" s="15">
        <f t="shared" si="2"/>
        <v>0.72</v>
      </c>
      <c r="H5267" s="16">
        <v>0.0</v>
      </c>
      <c r="I5267" s="15">
        <f t="shared" si="3"/>
        <v>0.34</v>
      </c>
      <c r="J5267" s="15">
        <v>54.46</v>
      </c>
      <c r="K5267" s="16">
        <f>IF(COUNTIFS(Release_Calendar!$A$2:$A$755,"US_CPI",Release_Calendar!$B$2:$B$755,$A5267)&gt;0,1,0)</f>
        <v>0</v>
      </c>
      <c r="L5267" s="16">
        <f>IF(COUNTIFS(Release_Calendar!$A$2:$A$755,"US_NFP",Release_Calendar!$B$2:$B$755,$A5267)&gt;0,1,0)</f>
        <v>0</v>
      </c>
      <c r="M5267" s="16">
        <f>IF($A5267&lt;Notes!$B$5,"",IF(COUNTIFS(Release_Calendar!$A$2:$A$755,"NZ_CPI",Release_Calendar!$B$2:$B$755,$A5267)&gt;0,1,0))</f>
        <v>0</v>
      </c>
      <c r="N5267" s="16">
        <f>IF($A5267&lt;Notes!$B$5,"",IF(COUNTIFS(Release_Calendar!$A$2:$A$755,"NZ_GDP",Release_Calendar!$B$2:$B$755,$A5267)&gt;0,1,0))</f>
        <v>0</v>
      </c>
      <c r="O5267" s="16">
        <f>IF($A5267&lt;Notes!$B$5,"",IF(COUNTIFS(Release_Calendar!$A$2:$A$755,"NZ_LABOUR",Release_Calendar!$B$2:$B$755,$A5267)&gt;0,1,0))</f>
        <v>0</v>
      </c>
      <c r="P5267" s="16">
        <f t="shared" si="4"/>
        <v>0</v>
      </c>
    </row>
    <row r="5268" ht="15.75" customHeight="1">
      <c r="A5268" s="14">
        <v>43900.0</v>
      </c>
      <c r="B5268" s="15">
        <v>0.5</v>
      </c>
      <c r="C5268" s="15">
        <v>0.76</v>
      </c>
      <c r="D5268" s="15"/>
      <c r="E5268" s="15"/>
      <c r="F5268" s="15">
        <f t="shared" si="1"/>
        <v>0.26</v>
      </c>
      <c r="G5268" s="15">
        <f t="shared" si="2"/>
        <v>0.76</v>
      </c>
      <c r="H5268" s="16">
        <v>0.0</v>
      </c>
      <c r="I5268" s="15">
        <f t="shared" si="3"/>
        <v>0.26</v>
      </c>
      <c r="J5268" s="15">
        <v>47.3</v>
      </c>
      <c r="K5268" s="16">
        <f>IF(COUNTIFS(Release_Calendar!$A$2:$A$755,"US_CPI",Release_Calendar!$B$2:$B$755,$A5268)&gt;0,1,0)</f>
        <v>0</v>
      </c>
      <c r="L5268" s="16">
        <f>IF(COUNTIFS(Release_Calendar!$A$2:$A$755,"US_NFP",Release_Calendar!$B$2:$B$755,$A5268)&gt;0,1,0)</f>
        <v>0</v>
      </c>
      <c r="M5268" s="16">
        <f>IF($A5268&lt;Notes!$B$5,"",IF(COUNTIFS(Release_Calendar!$A$2:$A$755,"NZ_CPI",Release_Calendar!$B$2:$B$755,$A5268)&gt;0,1,0))</f>
        <v>0</v>
      </c>
      <c r="N5268" s="16">
        <f>IF($A5268&lt;Notes!$B$5,"",IF(COUNTIFS(Release_Calendar!$A$2:$A$755,"NZ_GDP",Release_Calendar!$B$2:$B$755,$A5268)&gt;0,1,0))</f>
        <v>0</v>
      </c>
      <c r="O5268" s="16">
        <f>IF($A5268&lt;Notes!$B$5,"",IF(COUNTIFS(Release_Calendar!$A$2:$A$755,"NZ_LABOUR",Release_Calendar!$B$2:$B$755,$A5268)&gt;0,1,0))</f>
        <v>0</v>
      </c>
      <c r="P5268" s="16">
        <f t="shared" si="4"/>
        <v>0</v>
      </c>
    </row>
    <row r="5269" ht="15.75" customHeight="1">
      <c r="A5269" s="14">
        <v>43901.0</v>
      </c>
      <c r="B5269" s="15">
        <v>0.5</v>
      </c>
      <c r="C5269" s="15">
        <v>0.77</v>
      </c>
      <c r="D5269" s="15"/>
      <c r="E5269" s="15"/>
      <c r="F5269" s="15">
        <f t="shared" si="1"/>
        <v>0.27</v>
      </c>
      <c r="G5269" s="15">
        <f t="shared" si="2"/>
        <v>0.77</v>
      </c>
      <c r="H5269" s="16">
        <v>0.0</v>
      </c>
      <c r="I5269" s="15">
        <f t="shared" si="3"/>
        <v>0.27</v>
      </c>
      <c r="J5269" s="15">
        <v>53.9</v>
      </c>
      <c r="K5269" s="16">
        <f>IF(COUNTIFS(Release_Calendar!$A$2:$A$755,"US_CPI",Release_Calendar!$B$2:$B$755,$A5269)&gt;0,1,0)</f>
        <v>1</v>
      </c>
      <c r="L5269" s="16">
        <f>IF(COUNTIFS(Release_Calendar!$A$2:$A$755,"US_NFP",Release_Calendar!$B$2:$B$755,$A5269)&gt;0,1,0)</f>
        <v>0</v>
      </c>
      <c r="M5269" s="16">
        <f>IF($A5269&lt;Notes!$B$5,"",IF(COUNTIFS(Release_Calendar!$A$2:$A$755,"NZ_CPI",Release_Calendar!$B$2:$B$755,$A5269)&gt;0,1,0))</f>
        <v>0</v>
      </c>
      <c r="N5269" s="16">
        <f>IF($A5269&lt;Notes!$B$5,"",IF(COUNTIFS(Release_Calendar!$A$2:$A$755,"NZ_GDP",Release_Calendar!$B$2:$B$755,$A5269)&gt;0,1,0))</f>
        <v>0</v>
      </c>
      <c r="O5269" s="16">
        <f>IF($A5269&lt;Notes!$B$5,"",IF(COUNTIFS(Release_Calendar!$A$2:$A$755,"NZ_LABOUR",Release_Calendar!$B$2:$B$755,$A5269)&gt;0,1,0))</f>
        <v>0</v>
      </c>
      <c r="P5269" s="16">
        <f t="shared" si="4"/>
        <v>1</v>
      </c>
    </row>
    <row r="5270" ht="15.75" customHeight="1">
      <c r="A5270" s="14">
        <v>43902.0</v>
      </c>
      <c r="B5270" s="15">
        <v>0.5</v>
      </c>
      <c r="C5270" s="15">
        <v>0.73</v>
      </c>
      <c r="D5270" s="15"/>
      <c r="E5270" s="15"/>
      <c r="F5270" s="15">
        <f t="shared" si="1"/>
        <v>0.23</v>
      </c>
      <c r="G5270" s="15">
        <f t="shared" si="2"/>
        <v>0.73</v>
      </c>
      <c r="H5270" s="16">
        <v>0.0</v>
      </c>
      <c r="I5270" s="15">
        <f t="shared" si="3"/>
        <v>0.23</v>
      </c>
      <c r="J5270" s="15">
        <v>75.47</v>
      </c>
      <c r="K5270" s="16">
        <f>IF(COUNTIFS(Release_Calendar!$A$2:$A$755,"US_CPI",Release_Calendar!$B$2:$B$755,$A5270)&gt;0,1,0)</f>
        <v>0</v>
      </c>
      <c r="L5270" s="16">
        <f>IF(COUNTIFS(Release_Calendar!$A$2:$A$755,"US_NFP",Release_Calendar!$B$2:$B$755,$A5270)&gt;0,1,0)</f>
        <v>0</v>
      </c>
      <c r="M5270" s="16">
        <f>IF($A5270&lt;Notes!$B$5,"",IF(COUNTIFS(Release_Calendar!$A$2:$A$755,"NZ_CPI",Release_Calendar!$B$2:$B$755,$A5270)&gt;0,1,0))</f>
        <v>0</v>
      </c>
      <c r="N5270" s="16">
        <f>IF($A5270&lt;Notes!$B$5,"",IF(COUNTIFS(Release_Calendar!$A$2:$A$755,"NZ_GDP",Release_Calendar!$B$2:$B$755,$A5270)&gt;0,1,0))</f>
        <v>0</v>
      </c>
      <c r="O5270" s="16">
        <f>IF($A5270&lt;Notes!$B$5,"",IF(COUNTIFS(Release_Calendar!$A$2:$A$755,"NZ_LABOUR",Release_Calendar!$B$2:$B$755,$A5270)&gt;0,1,0))</f>
        <v>0</v>
      </c>
      <c r="P5270" s="16">
        <f t="shared" si="4"/>
        <v>0</v>
      </c>
    </row>
    <row r="5271" ht="15.75" customHeight="1">
      <c r="A5271" s="14">
        <v>43903.0</v>
      </c>
      <c r="B5271" s="15">
        <v>0.49</v>
      </c>
      <c r="C5271" s="15">
        <v>0.79</v>
      </c>
      <c r="D5271" s="15"/>
      <c r="E5271" s="15"/>
      <c r="F5271" s="15">
        <f t="shared" si="1"/>
        <v>0.3</v>
      </c>
      <c r="G5271" s="15">
        <f t="shared" si="2"/>
        <v>0.79</v>
      </c>
      <c r="H5271" s="16">
        <v>0.0</v>
      </c>
      <c r="I5271" s="15">
        <f t="shared" si="3"/>
        <v>0.3</v>
      </c>
      <c r="J5271" s="15">
        <v>57.83</v>
      </c>
      <c r="K5271" s="16">
        <f>IF(COUNTIFS(Release_Calendar!$A$2:$A$755,"US_CPI",Release_Calendar!$B$2:$B$755,$A5271)&gt;0,1,0)</f>
        <v>0</v>
      </c>
      <c r="L5271" s="16">
        <f>IF(COUNTIFS(Release_Calendar!$A$2:$A$755,"US_NFP",Release_Calendar!$B$2:$B$755,$A5271)&gt;0,1,0)</f>
        <v>0</v>
      </c>
      <c r="M5271" s="16">
        <f>IF($A5271&lt;Notes!$B$5,"",IF(COUNTIFS(Release_Calendar!$A$2:$A$755,"NZ_CPI",Release_Calendar!$B$2:$B$755,$A5271)&gt;0,1,0))</f>
        <v>0</v>
      </c>
      <c r="N5271" s="16">
        <f>IF($A5271&lt;Notes!$B$5,"",IF(COUNTIFS(Release_Calendar!$A$2:$A$755,"NZ_GDP",Release_Calendar!$B$2:$B$755,$A5271)&gt;0,1,0))</f>
        <v>0</v>
      </c>
      <c r="O5271" s="16">
        <f>IF($A5271&lt;Notes!$B$5,"",IF(COUNTIFS(Release_Calendar!$A$2:$A$755,"NZ_LABOUR",Release_Calendar!$B$2:$B$755,$A5271)&gt;0,1,0))</f>
        <v>0</v>
      </c>
      <c r="P5271" s="16">
        <f t="shared" si="4"/>
        <v>0</v>
      </c>
    </row>
    <row r="5272" ht="15.75" customHeight="1">
      <c r="A5272" s="14">
        <v>43906.0</v>
      </c>
      <c r="B5272" s="15">
        <v>0.36</v>
      </c>
      <c r="C5272" s="15">
        <v>0.62</v>
      </c>
      <c r="D5272" s="15"/>
      <c r="E5272" s="15"/>
      <c r="F5272" s="15">
        <f t="shared" si="1"/>
        <v>0.26</v>
      </c>
      <c r="G5272" s="15">
        <f t="shared" si="2"/>
        <v>0.62</v>
      </c>
      <c r="H5272" s="16">
        <v>0.0</v>
      </c>
      <c r="I5272" s="15">
        <f t="shared" si="3"/>
        <v>0.26</v>
      </c>
      <c r="J5272" s="15">
        <v>82.69</v>
      </c>
      <c r="K5272" s="16">
        <f>IF(COUNTIFS(Release_Calendar!$A$2:$A$755,"US_CPI",Release_Calendar!$B$2:$B$755,$A5272)&gt;0,1,0)</f>
        <v>0</v>
      </c>
      <c r="L5272" s="16">
        <f>IF(COUNTIFS(Release_Calendar!$A$2:$A$755,"US_NFP",Release_Calendar!$B$2:$B$755,$A5272)&gt;0,1,0)</f>
        <v>0</v>
      </c>
      <c r="M5272" s="16">
        <f>IF($A5272&lt;Notes!$B$5,"",IF(COUNTIFS(Release_Calendar!$A$2:$A$755,"NZ_CPI",Release_Calendar!$B$2:$B$755,$A5272)&gt;0,1,0))</f>
        <v>0</v>
      </c>
      <c r="N5272" s="16">
        <f>IF($A5272&lt;Notes!$B$5,"",IF(COUNTIFS(Release_Calendar!$A$2:$A$755,"NZ_GDP",Release_Calendar!$B$2:$B$755,$A5272)&gt;0,1,0))</f>
        <v>0</v>
      </c>
      <c r="O5272" s="16">
        <f>IF($A5272&lt;Notes!$B$5,"",IF(COUNTIFS(Release_Calendar!$A$2:$A$755,"NZ_LABOUR",Release_Calendar!$B$2:$B$755,$A5272)&gt;0,1,0))</f>
        <v>0</v>
      </c>
      <c r="P5272" s="16">
        <f t="shared" si="4"/>
        <v>0</v>
      </c>
    </row>
    <row r="5273" ht="15.75" customHeight="1">
      <c r="A5273" s="14">
        <v>43907.0</v>
      </c>
      <c r="B5273" s="15">
        <v>0.47</v>
      </c>
      <c r="C5273" s="15">
        <v>0.7</v>
      </c>
      <c r="D5273" s="15"/>
      <c r="E5273" s="15"/>
      <c r="F5273" s="15">
        <f t="shared" si="1"/>
        <v>0.23</v>
      </c>
      <c r="G5273" s="15">
        <f t="shared" si="2"/>
        <v>0.7</v>
      </c>
      <c r="H5273" s="16">
        <v>0.0</v>
      </c>
      <c r="I5273" s="15">
        <f t="shared" si="3"/>
        <v>0.23</v>
      </c>
      <c r="J5273" s="15">
        <v>75.91</v>
      </c>
      <c r="K5273" s="16">
        <f>IF(COUNTIFS(Release_Calendar!$A$2:$A$755,"US_CPI",Release_Calendar!$B$2:$B$755,$A5273)&gt;0,1,0)</f>
        <v>0</v>
      </c>
      <c r="L5273" s="16">
        <f>IF(COUNTIFS(Release_Calendar!$A$2:$A$755,"US_NFP",Release_Calendar!$B$2:$B$755,$A5273)&gt;0,1,0)</f>
        <v>0</v>
      </c>
      <c r="M5273" s="16">
        <f>IF($A5273&lt;Notes!$B$5,"",IF(COUNTIFS(Release_Calendar!$A$2:$A$755,"NZ_CPI",Release_Calendar!$B$2:$B$755,$A5273)&gt;0,1,0))</f>
        <v>0</v>
      </c>
      <c r="N5273" s="16">
        <f>IF($A5273&lt;Notes!$B$5,"",IF(COUNTIFS(Release_Calendar!$A$2:$A$755,"NZ_GDP",Release_Calendar!$B$2:$B$755,$A5273)&gt;0,1,0))</f>
        <v>0</v>
      </c>
      <c r="O5273" s="16">
        <f>IF($A5273&lt;Notes!$B$5,"",IF(COUNTIFS(Release_Calendar!$A$2:$A$755,"NZ_LABOUR",Release_Calendar!$B$2:$B$755,$A5273)&gt;0,1,0))</f>
        <v>0</v>
      </c>
      <c r="P5273" s="16">
        <f t="shared" si="4"/>
        <v>0</v>
      </c>
    </row>
    <row r="5274" ht="15.75" customHeight="1">
      <c r="A5274" s="14">
        <v>43908.0</v>
      </c>
      <c r="B5274" s="15">
        <v>0.54</v>
      </c>
      <c r="C5274" s="15">
        <v>0.72</v>
      </c>
      <c r="D5274" s="15"/>
      <c r="E5274" s="15"/>
      <c r="F5274" s="15">
        <f t="shared" si="1"/>
        <v>0.18</v>
      </c>
      <c r="G5274" s="15">
        <f t="shared" si="2"/>
        <v>0.72</v>
      </c>
      <c r="H5274" s="16">
        <v>0.0</v>
      </c>
      <c r="I5274" s="15">
        <f t="shared" si="3"/>
        <v>0.18</v>
      </c>
      <c r="J5274" s="15">
        <v>76.45</v>
      </c>
      <c r="K5274" s="16">
        <f>IF(COUNTIFS(Release_Calendar!$A$2:$A$755,"US_CPI",Release_Calendar!$B$2:$B$755,$A5274)&gt;0,1,0)</f>
        <v>0</v>
      </c>
      <c r="L5274" s="16">
        <f>IF(COUNTIFS(Release_Calendar!$A$2:$A$755,"US_NFP",Release_Calendar!$B$2:$B$755,$A5274)&gt;0,1,0)</f>
        <v>0</v>
      </c>
      <c r="M5274" s="16">
        <f>IF($A5274&lt;Notes!$B$5,"",IF(COUNTIFS(Release_Calendar!$A$2:$A$755,"NZ_CPI",Release_Calendar!$B$2:$B$755,$A5274)&gt;0,1,0))</f>
        <v>0</v>
      </c>
      <c r="N5274" s="16">
        <f>IF($A5274&lt;Notes!$B$5,"",IF(COUNTIFS(Release_Calendar!$A$2:$A$755,"NZ_GDP",Release_Calendar!$B$2:$B$755,$A5274)&gt;0,1,0))</f>
        <v>0</v>
      </c>
      <c r="O5274" s="16">
        <f>IF($A5274&lt;Notes!$B$5,"",IF(COUNTIFS(Release_Calendar!$A$2:$A$755,"NZ_LABOUR",Release_Calendar!$B$2:$B$755,$A5274)&gt;0,1,0))</f>
        <v>0</v>
      </c>
      <c r="P5274" s="16">
        <f t="shared" si="4"/>
        <v>0</v>
      </c>
    </row>
    <row r="5275" ht="15.75" customHeight="1">
      <c r="A5275" s="14">
        <v>43909.0</v>
      </c>
      <c r="B5275" s="15">
        <v>0.44</v>
      </c>
      <c r="C5275" s="15">
        <v>0.8</v>
      </c>
      <c r="D5275" s="15"/>
      <c r="E5275" s="15"/>
      <c r="F5275" s="15">
        <f t="shared" si="1"/>
        <v>0.36</v>
      </c>
      <c r="G5275" s="15">
        <f t="shared" si="2"/>
        <v>0.8</v>
      </c>
      <c r="H5275" s="16">
        <v>0.0</v>
      </c>
      <c r="I5275" s="15">
        <f t="shared" si="3"/>
        <v>0.36</v>
      </c>
      <c r="J5275" s="15">
        <v>72.0</v>
      </c>
      <c r="K5275" s="16">
        <f>IF(COUNTIFS(Release_Calendar!$A$2:$A$755,"US_CPI",Release_Calendar!$B$2:$B$755,$A5275)&gt;0,1,0)</f>
        <v>0</v>
      </c>
      <c r="L5275" s="16">
        <f>IF(COUNTIFS(Release_Calendar!$A$2:$A$755,"US_NFP",Release_Calendar!$B$2:$B$755,$A5275)&gt;0,1,0)</f>
        <v>0</v>
      </c>
      <c r="M5275" s="16">
        <f>IF($A5275&lt;Notes!$B$5,"",IF(COUNTIFS(Release_Calendar!$A$2:$A$755,"NZ_CPI",Release_Calendar!$B$2:$B$755,$A5275)&gt;0,1,0))</f>
        <v>0</v>
      </c>
      <c r="N5275" s="16">
        <f>IF($A5275&lt;Notes!$B$5,"",IF(COUNTIFS(Release_Calendar!$A$2:$A$755,"NZ_GDP",Release_Calendar!$B$2:$B$755,$A5275)&gt;0,1,0))</f>
        <v>1</v>
      </c>
      <c r="O5275" s="16">
        <f>IF($A5275&lt;Notes!$B$5,"",IF(COUNTIFS(Release_Calendar!$A$2:$A$755,"NZ_LABOUR",Release_Calendar!$B$2:$B$755,$A5275)&gt;0,1,0))</f>
        <v>0</v>
      </c>
      <c r="P5275" s="16">
        <f t="shared" si="4"/>
        <v>1</v>
      </c>
    </row>
    <row r="5276" ht="15.75" customHeight="1">
      <c r="A5276" s="14">
        <v>43910.0</v>
      </c>
      <c r="B5276" s="15">
        <v>0.37</v>
      </c>
      <c r="C5276" s="15">
        <v>0.68</v>
      </c>
      <c r="D5276" s="15"/>
      <c r="E5276" s="15"/>
      <c r="F5276" s="15">
        <f t="shared" si="1"/>
        <v>0.31</v>
      </c>
      <c r="G5276" s="15">
        <f t="shared" si="2"/>
        <v>0.68</v>
      </c>
      <c r="H5276" s="16">
        <v>0.0</v>
      </c>
      <c r="I5276" s="15">
        <f t="shared" si="3"/>
        <v>0.31</v>
      </c>
      <c r="J5276" s="15">
        <v>66.04</v>
      </c>
      <c r="K5276" s="16">
        <f>IF(COUNTIFS(Release_Calendar!$A$2:$A$755,"US_CPI",Release_Calendar!$B$2:$B$755,$A5276)&gt;0,1,0)</f>
        <v>0</v>
      </c>
      <c r="L5276" s="16">
        <f>IF(COUNTIFS(Release_Calendar!$A$2:$A$755,"US_NFP",Release_Calendar!$B$2:$B$755,$A5276)&gt;0,1,0)</f>
        <v>0</v>
      </c>
      <c r="M5276" s="16">
        <f>IF($A5276&lt;Notes!$B$5,"",IF(COUNTIFS(Release_Calendar!$A$2:$A$755,"NZ_CPI",Release_Calendar!$B$2:$B$755,$A5276)&gt;0,1,0))</f>
        <v>0</v>
      </c>
      <c r="N5276" s="16">
        <f>IF($A5276&lt;Notes!$B$5,"",IF(COUNTIFS(Release_Calendar!$A$2:$A$755,"NZ_GDP",Release_Calendar!$B$2:$B$755,$A5276)&gt;0,1,0))</f>
        <v>0</v>
      </c>
      <c r="O5276" s="16">
        <f>IF($A5276&lt;Notes!$B$5,"",IF(COUNTIFS(Release_Calendar!$A$2:$A$755,"NZ_LABOUR",Release_Calendar!$B$2:$B$755,$A5276)&gt;0,1,0))</f>
        <v>0</v>
      </c>
      <c r="P5276" s="16">
        <f t="shared" si="4"/>
        <v>0</v>
      </c>
    </row>
    <row r="5277" ht="15.75" customHeight="1">
      <c r="A5277" s="14">
        <v>43913.0</v>
      </c>
      <c r="B5277" s="15">
        <v>0.28</v>
      </c>
      <c r="C5277" s="15">
        <v>0.54</v>
      </c>
      <c r="D5277" s="15"/>
      <c r="E5277" s="15"/>
      <c r="F5277" s="15">
        <f t="shared" si="1"/>
        <v>0.26</v>
      </c>
      <c r="G5277" s="15">
        <f t="shared" si="2"/>
        <v>0.54</v>
      </c>
      <c r="H5277" s="16">
        <v>0.0</v>
      </c>
      <c r="I5277" s="15">
        <f t="shared" si="3"/>
        <v>0.26</v>
      </c>
      <c r="J5277" s="15">
        <v>61.59</v>
      </c>
      <c r="K5277" s="16">
        <f>IF(COUNTIFS(Release_Calendar!$A$2:$A$755,"US_CPI",Release_Calendar!$B$2:$B$755,$A5277)&gt;0,1,0)</f>
        <v>0</v>
      </c>
      <c r="L5277" s="16">
        <f>IF(COUNTIFS(Release_Calendar!$A$2:$A$755,"US_NFP",Release_Calendar!$B$2:$B$755,$A5277)&gt;0,1,0)</f>
        <v>0</v>
      </c>
      <c r="M5277" s="16">
        <f>IF($A5277&lt;Notes!$B$5,"",IF(COUNTIFS(Release_Calendar!$A$2:$A$755,"NZ_CPI",Release_Calendar!$B$2:$B$755,$A5277)&gt;0,1,0))</f>
        <v>0</v>
      </c>
      <c r="N5277" s="16">
        <f>IF($A5277&lt;Notes!$B$5,"",IF(COUNTIFS(Release_Calendar!$A$2:$A$755,"NZ_GDP",Release_Calendar!$B$2:$B$755,$A5277)&gt;0,1,0))</f>
        <v>0</v>
      </c>
      <c r="O5277" s="16">
        <f>IF($A5277&lt;Notes!$B$5,"",IF(COUNTIFS(Release_Calendar!$A$2:$A$755,"NZ_LABOUR",Release_Calendar!$B$2:$B$755,$A5277)&gt;0,1,0))</f>
        <v>0</v>
      </c>
      <c r="P5277" s="16">
        <f t="shared" si="4"/>
        <v>0</v>
      </c>
    </row>
    <row r="5278" ht="15.75" customHeight="1">
      <c r="A5278" s="14">
        <v>43914.0</v>
      </c>
      <c r="B5278" s="15">
        <v>0.38</v>
      </c>
      <c r="C5278" s="15">
        <v>0.59</v>
      </c>
      <c r="D5278" s="15"/>
      <c r="E5278" s="15"/>
      <c r="F5278" s="15">
        <f t="shared" si="1"/>
        <v>0.21</v>
      </c>
      <c r="G5278" s="15">
        <f t="shared" si="2"/>
        <v>0.59</v>
      </c>
      <c r="H5278" s="16">
        <v>0.0</v>
      </c>
      <c r="I5278" s="15">
        <f t="shared" si="3"/>
        <v>0.21</v>
      </c>
      <c r="J5278" s="15">
        <v>61.67</v>
      </c>
      <c r="K5278" s="16">
        <f>IF(COUNTIFS(Release_Calendar!$A$2:$A$755,"US_CPI",Release_Calendar!$B$2:$B$755,$A5278)&gt;0,1,0)</f>
        <v>0</v>
      </c>
      <c r="L5278" s="16">
        <f>IF(COUNTIFS(Release_Calendar!$A$2:$A$755,"US_NFP",Release_Calendar!$B$2:$B$755,$A5278)&gt;0,1,0)</f>
        <v>0</v>
      </c>
      <c r="M5278" s="16">
        <f>IF($A5278&lt;Notes!$B$5,"",IF(COUNTIFS(Release_Calendar!$A$2:$A$755,"NZ_CPI",Release_Calendar!$B$2:$B$755,$A5278)&gt;0,1,0))</f>
        <v>0</v>
      </c>
      <c r="N5278" s="16">
        <f>IF($A5278&lt;Notes!$B$5,"",IF(COUNTIFS(Release_Calendar!$A$2:$A$755,"NZ_GDP",Release_Calendar!$B$2:$B$755,$A5278)&gt;0,1,0))</f>
        <v>0</v>
      </c>
      <c r="O5278" s="16">
        <f>IF($A5278&lt;Notes!$B$5,"",IF(COUNTIFS(Release_Calendar!$A$2:$A$755,"NZ_LABOUR",Release_Calendar!$B$2:$B$755,$A5278)&gt;0,1,0))</f>
        <v>0</v>
      </c>
      <c r="P5278" s="16">
        <f t="shared" si="4"/>
        <v>0</v>
      </c>
    </row>
    <row r="5279" ht="15.75" customHeight="1">
      <c r="A5279" s="14">
        <v>43915.0</v>
      </c>
      <c r="B5279" s="15">
        <v>0.34</v>
      </c>
      <c r="C5279" s="15">
        <v>0.59</v>
      </c>
      <c r="D5279" s="15"/>
      <c r="E5279" s="15"/>
      <c r="F5279" s="15">
        <f t="shared" si="1"/>
        <v>0.25</v>
      </c>
      <c r="G5279" s="15">
        <f t="shared" si="2"/>
        <v>0.59</v>
      </c>
      <c r="H5279" s="16">
        <v>0.0</v>
      </c>
      <c r="I5279" s="15">
        <f t="shared" si="3"/>
        <v>0.25</v>
      </c>
      <c r="J5279" s="15">
        <v>63.95</v>
      </c>
      <c r="K5279" s="16">
        <f>IF(COUNTIFS(Release_Calendar!$A$2:$A$755,"US_CPI",Release_Calendar!$B$2:$B$755,$A5279)&gt;0,1,0)</f>
        <v>0</v>
      </c>
      <c r="L5279" s="16">
        <f>IF(COUNTIFS(Release_Calendar!$A$2:$A$755,"US_NFP",Release_Calendar!$B$2:$B$755,$A5279)&gt;0,1,0)</f>
        <v>0</v>
      </c>
      <c r="M5279" s="16">
        <f>IF($A5279&lt;Notes!$B$5,"",IF(COUNTIFS(Release_Calendar!$A$2:$A$755,"NZ_CPI",Release_Calendar!$B$2:$B$755,$A5279)&gt;0,1,0))</f>
        <v>0</v>
      </c>
      <c r="N5279" s="16">
        <f>IF($A5279&lt;Notes!$B$5,"",IF(COUNTIFS(Release_Calendar!$A$2:$A$755,"NZ_GDP",Release_Calendar!$B$2:$B$755,$A5279)&gt;0,1,0))</f>
        <v>0</v>
      </c>
      <c r="O5279" s="16">
        <f>IF($A5279&lt;Notes!$B$5,"",IF(COUNTIFS(Release_Calendar!$A$2:$A$755,"NZ_LABOUR",Release_Calendar!$B$2:$B$755,$A5279)&gt;0,1,0))</f>
        <v>0</v>
      </c>
      <c r="P5279" s="16">
        <f t="shared" si="4"/>
        <v>0</v>
      </c>
    </row>
    <row r="5280" ht="15.75" customHeight="1">
      <c r="A5280" s="14">
        <v>43916.0</v>
      </c>
      <c r="B5280" s="15">
        <v>0.3</v>
      </c>
      <c r="C5280" s="15">
        <v>0.55</v>
      </c>
      <c r="D5280" s="15"/>
      <c r="E5280" s="15"/>
      <c r="F5280" s="15">
        <f t="shared" si="1"/>
        <v>0.25</v>
      </c>
      <c r="G5280" s="15">
        <f t="shared" si="2"/>
        <v>0.55</v>
      </c>
      <c r="H5280" s="16">
        <v>0.0</v>
      </c>
      <c r="I5280" s="15">
        <f t="shared" si="3"/>
        <v>0.25</v>
      </c>
      <c r="J5280" s="15">
        <v>61.0</v>
      </c>
      <c r="K5280" s="16">
        <f>IF(COUNTIFS(Release_Calendar!$A$2:$A$755,"US_CPI",Release_Calendar!$B$2:$B$755,$A5280)&gt;0,1,0)</f>
        <v>0</v>
      </c>
      <c r="L5280" s="16">
        <f>IF(COUNTIFS(Release_Calendar!$A$2:$A$755,"US_NFP",Release_Calendar!$B$2:$B$755,$A5280)&gt;0,1,0)</f>
        <v>0</v>
      </c>
      <c r="M5280" s="16">
        <f>IF($A5280&lt;Notes!$B$5,"",IF(COUNTIFS(Release_Calendar!$A$2:$A$755,"NZ_CPI",Release_Calendar!$B$2:$B$755,$A5280)&gt;0,1,0))</f>
        <v>0</v>
      </c>
      <c r="N5280" s="16">
        <f>IF($A5280&lt;Notes!$B$5,"",IF(COUNTIFS(Release_Calendar!$A$2:$A$755,"NZ_GDP",Release_Calendar!$B$2:$B$755,$A5280)&gt;0,1,0))</f>
        <v>0</v>
      </c>
      <c r="O5280" s="16">
        <f>IF($A5280&lt;Notes!$B$5,"",IF(COUNTIFS(Release_Calendar!$A$2:$A$755,"NZ_LABOUR",Release_Calendar!$B$2:$B$755,$A5280)&gt;0,1,0))</f>
        <v>0</v>
      </c>
      <c r="P5280" s="16">
        <f t="shared" si="4"/>
        <v>0</v>
      </c>
    </row>
    <row r="5281" ht="15.75" customHeight="1">
      <c r="A5281" s="14">
        <v>43917.0</v>
      </c>
      <c r="B5281" s="15">
        <v>0.25</v>
      </c>
      <c r="C5281" s="15">
        <v>0.54</v>
      </c>
      <c r="D5281" s="15"/>
      <c r="E5281" s="15"/>
      <c r="F5281" s="15">
        <f t="shared" si="1"/>
        <v>0.29</v>
      </c>
      <c r="G5281" s="15">
        <f t="shared" si="2"/>
        <v>0.54</v>
      </c>
      <c r="H5281" s="16">
        <v>0.0</v>
      </c>
      <c r="I5281" s="15">
        <f t="shared" si="3"/>
        <v>0.29</v>
      </c>
      <c r="J5281" s="15">
        <v>65.54</v>
      </c>
      <c r="K5281" s="16">
        <f>IF(COUNTIFS(Release_Calendar!$A$2:$A$755,"US_CPI",Release_Calendar!$B$2:$B$755,$A5281)&gt;0,1,0)</f>
        <v>0</v>
      </c>
      <c r="L5281" s="16">
        <f>IF(COUNTIFS(Release_Calendar!$A$2:$A$755,"US_NFP",Release_Calendar!$B$2:$B$755,$A5281)&gt;0,1,0)</f>
        <v>0</v>
      </c>
      <c r="M5281" s="16">
        <f>IF($A5281&lt;Notes!$B$5,"",IF(COUNTIFS(Release_Calendar!$A$2:$A$755,"NZ_CPI",Release_Calendar!$B$2:$B$755,$A5281)&gt;0,1,0))</f>
        <v>0</v>
      </c>
      <c r="N5281" s="16">
        <f>IF($A5281&lt;Notes!$B$5,"",IF(COUNTIFS(Release_Calendar!$A$2:$A$755,"NZ_GDP",Release_Calendar!$B$2:$B$755,$A5281)&gt;0,1,0))</f>
        <v>0</v>
      </c>
      <c r="O5281" s="16">
        <f>IF($A5281&lt;Notes!$B$5,"",IF(COUNTIFS(Release_Calendar!$A$2:$A$755,"NZ_LABOUR",Release_Calendar!$B$2:$B$755,$A5281)&gt;0,1,0))</f>
        <v>0</v>
      </c>
      <c r="P5281" s="16">
        <f t="shared" si="4"/>
        <v>0</v>
      </c>
    </row>
    <row r="5282" ht="15.75" customHeight="1">
      <c r="A5282" s="14">
        <v>43920.0</v>
      </c>
      <c r="B5282" s="15">
        <v>0.23</v>
      </c>
      <c r="C5282" s="15">
        <v>0.51</v>
      </c>
      <c r="D5282" s="15"/>
      <c r="E5282" s="15"/>
      <c r="F5282" s="15">
        <f t="shared" si="1"/>
        <v>0.28</v>
      </c>
      <c r="G5282" s="15">
        <f t="shared" si="2"/>
        <v>0.51</v>
      </c>
      <c r="H5282" s="16">
        <v>0.0</v>
      </c>
      <c r="I5282" s="15">
        <f t="shared" si="3"/>
        <v>0.28</v>
      </c>
      <c r="J5282" s="15">
        <v>57.08</v>
      </c>
      <c r="K5282" s="16">
        <f>IF(COUNTIFS(Release_Calendar!$A$2:$A$755,"US_CPI",Release_Calendar!$B$2:$B$755,$A5282)&gt;0,1,0)</f>
        <v>0</v>
      </c>
      <c r="L5282" s="16">
        <f>IF(COUNTIFS(Release_Calendar!$A$2:$A$755,"US_NFP",Release_Calendar!$B$2:$B$755,$A5282)&gt;0,1,0)</f>
        <v>0</v>
      </c>
      <c r="M5282" s="16">
        <f>IF($A5282&lt;Notes!$B$5,"",IF(COUNTIFS(Release_Calendar!$A$2:$A$755,"NZ_CPI",Release_Calendar!$B$2:$B$755,$A5282)&gt;0,1,0))</f>
        <v>0</v>
      </c>
      <c r="N5282" s="16">
        <f>IF($A5282&lt;Notes!$B$5,"",IF(COUNTIFS(Release_Calendar!$A$2:$A$755,"NZ_GDP",Release_Calendar!$B$2:$B$755,$A5282)&gt;0,1,0))</f>
        <v>0</v>
      </c>
      <c r="O5282" s="16">
        <f>IF($A5282&lt;Notes!$B$5,"",IF(COUNTIFS(Release_Calendar!$A$2:$A$755,"NZ_LABOUR",Release_Calendar!$B$2:$B$755,$A5282)&gt;0,1,0))</f>
        <v>0</v>
      </c>
      <c r="P5282" s="16">
        <f t="shared" si="4"/>
        <v>0</v>
      </c>
    </row>
    <row r="5283" ht="15.75" customHeight="1">
      <c r="A5283" s="14">
        <v>43921.0</v>
      </c>
      <c r="B5283" s="15">
        <v>0.23</v>
      </c>
      <c r="C5283" s="15">
        <v>0.52</v>
      </c>
      <c r="D5283" s="15"/>
      <c r="E5283" s="15"/>
      <c r="F5283" s="15">
        <f t="shared" si="1"/>
        <v>0.29</v>
      </c>
      <c r="G5283" s="15">
        <f t="shared" si="2"/>
        <v>0.52</v>
      </c>
      <c r="H5283" s="16">
        <v>0.0</v>
      </c>
      <c r="I5283" s="15">
        <f t="shared" si="3"/>
        <v>0.29</v>
      </c>
      <c r="J5283" s="15">
        <v>53.54</v>
      </c>
      <c r="K5283" s="16">
        <f>IF(COUNTIFS(Release_Calendar!$A$2:$A$755,"US_CPI",Release_Calendar!$B$2:$B$755,$A5283)&gt;0,1,0)</f>
        <v>0</v>
      </c>
      <c r="L5283" s="16">
        <f>IF(COUNTIFS(Release_Calendar!$A$2:$A$755,"US_NFP",Release_Calendar!$B$2:$B$755,$A5283)&gt;0,1,0)</f>
        <v>0</v>
      </c>
      <c r="M5283" s="16">
        <f>IF($A5283&lt;Notes!$B$5,"",IF(COUNTIFS(Release_Calendar!$A$2:$A$755,"NZ_CPI",Release_Calendar!$B$2:$B$755,$A5283)&gt;0,1,0))</f>
        <v>0</v>
      </c>
      <c r="N5283" s="16">
        <f>IF($A5283&lt;Notes!$B$5,"",IF(COUNTIFS(Release_Calendar!$A$2:$A$755,"NZ_GDP",Release_Calendar!$B$2:$B$755,$A5283)&gt;0,1,0))</f>
        <v>0</v>
      </c>
      <c r="O5283" s="16">
        <f>IF($A5283&lt;Notes!$B$5,"",IF(COUNTIFS(Release_Calendar!$A$2:$A$755,"NZ_LABOUR",Release_Calendar!$B$2:$B$755,$A5283)&gt;0,1,0))</f>
        <v>0</v>
      </c>
      <c r="P5283" s="16">
        <f t="shared" si="4"/>
        <v>0</v>
      </c>
    </row>
    <row r="5284" ht="15.75" customHeight="1">
      <c r="A5284" s="14">
        <v>43922.0</v>
      </c>
      <c r="B5284" s="15">
        <v>0.23</v>
      </c>
      <c r="C5284" s="15">
        <v>0.52</v>
      </c>
      <c r="D5284" s="15"/>
      <c r="E5284" s="15"/>
      <c r="F5284" s="15">
        <f t="shared" si="1"/>
        <v>0.29</v>
      </c>
      <c r="G5284" s="15">
        <f t="shared" si="2"/>
        <v>0.52</v>
      </c>
      <c r="H5284" s="16">
        <v>0.0</v>
      </c>
      <c r="I5284" s="15">
        <f t="shared" si="3"/>
        <v>0.29</v>
      </c>
      <c r="J5284" s="15">
        <v>57.06</v>
      </c>
      <c r="K5284" s="16">
        <f>IF(COUNTIFS(Release_Calendar!$A$2:$A$755,"US_CPI",Release_Calendar!$B$2:$B$755,$A5284)&gt;0,1,0)</f>
        <v>0</v>
      </c>
      <c r="L5284" s="16">
        <f>IF(COUNTIFS(Release_Calendar!$A$2:$A$755,"US_NFP",Release_Calendar!$B$2:$B$755,$A5284)&gt;0,1,0)</f>
        <v>0</v>
      </c>
      <c r="M5284" s="16">
        <f>IF($A5284&lt;Notes!$B$5,"",IF(COUNTIFS(Release_Calendar!$A$2:$A$755,"NZ_CPI",Release_Calendar!$B$2:$B$755,$A5284)&gt;0,1,0))</f>
        <v>0</v>
      </c>
      <c r="N5284" s="16">
        <f>IF($A5284&lt;Notes!$B$5,"",IF(COUNTIFS(Release_Calendar!$A$2:$A$755,"NZ_GDP",Release_Calendar!$B$2:$B$755,$A5284)&gt;0,1,0))</f>
        <v>0</v>
      </c>
      <c r="O5284" s="16">
        <f>IF($A5284&lt;Notes!$B$5,"",IF(COUNTIFS(Release_Calendar!$A$2:$A$755,"NZ_LABOUR",Release_Calendar!$B$2:$B$755,$A5284)&gt;0,1,0))</f>
        <v>0</v>
      </c>
      <c r="P5284" s="16">
        <f t="shared" si="4"/>
        <v>0</v>
      </c>
    </row>
    <row r="5285" ht="15.75" customHeight="1">
      <c r="A5285" s="14">
        <v>43923.0</v>
      </c>
      <c r="B5285" s="15">
        <v>0.23</v>
      </c>
      <c r="C5285" s="15">
        <v>0.51</v>
      </c>
      <c r="D5285" s="15"/>
      <c r="E5285" s="15"/>
      <c r="F5285" s="15">
        <f t="shared" si="1"/>
        <v>0.28</v>
      </c>
      <c r="G5285" s="15">
        <f t="shared" si="2"/>
        <v>0.51</v>
      </c>
      <c r="H5285" s="16">
        <v>0.0</v>
      </c>
      <c r="I5285" s="15">
        <f t="shared" si="3"/>
        <v>0.28</v>
      </c>
      <c r="J5285" s="15">
        <v>50.91</v>
      </c>
      <c r="K5285" s="16">
        <f>IF(COUNTIFS(Release_Calendar!$A$2:$A$755,"US_CPI",Release_Calendar!$B$2:$B$755,$A5285)&gt;0,1,0)</f>
        <v>0</v>
      </c>
      <c r="L5285" s="16">
        <f>IF(COUNTIFS(Release_Calendar!$A$2:$A$755,"US_NFP",Release_Calendar!$B$2:$B$755,$A5285)&gt;0,1,0)</f>
        <v>0</v>
      </c>
      <c r="M5285" s="16">
        <f>IF($A5285&lt;Notes!$B$5,"",IF(COUNTIFS(Release_Calendar!$A$2:$A$755,"NZ_CPI",Release_Calendar!$B$2:$B$755,$A5285)&gt;0,1,0))</f>
        <v>0</v>
      </c>
      <c r="N5285" s="16">
        <f>IF($A5285&lt;Notes!$B$5,"",IF(COUNTIFS(Release_Calendar!$A$2:$A$755,"NZ_GDP",Release_Calendar!$B$2:$B$755,$A5285)&gt;0,1,0))</f>
        <v>0</v>
      </c>
      <c r="O5285" s="16">
        <f>IF($A5285&lt;Notes!$B$5,"",IF(COUNTIFS(Release_Calendar!$A$2:$A$755,"NZ_LABOUR",Release_Calendar!$B$2:$B$755,$A5285)&gt;0,1,0))</f>
        <v>0</v>
      </c>
      <c r="P5285" s="16">
        <f t="shared" si="4"/>
        <v>0</v>
      </c>
    </row>
    <row r="5286" ht="15.75" customHeight="1">
      <c r="A5286" s="14">
        <v>43924.0</v>
      </c>
      <c r="B5286" s="15">
        <v>0.23</v>
      </c>
      <c r="C5286" s="15">
        <v>0.49</v>
      </c>
      <c r="D5286" s="15"/>
      <c r="E5286" s="15"/>
      <c r="F5286" s="15">
        <f t="shared" si="1"/>
        <v>0.26</v>
      </c>
      <c r="G5286" s="15">
        <f t="shared" si="2"/>
        <v>0.49</v>
      </c>
      <c r="H5286" s="16">
        <v>0.0</v>
      </c>
      <c r="I5286" s="15">
        <f t="shared" si="3"/>
        <v>0.26</v>
      </c>
      <c r="J5286" s="15">
        <v>46.8</v>
      </c>
      <c r="K5286" s="16">
        <f>IF(COUNTIFS(Release_Calendar!$A$2:$A$755,"US_CPI",Release_Calendar!$B$2:$B$755,$A5286)&gt;0,1,0)</f>
        <v>0</v>
      </c>
      <c r="L5286" s="16">
        <f>IF(COUNTIFS(Release_Calendar!$A$2:$A$755,"US_NFP",Release_Calendar!$B$2:$B$755,$A5286)&gt;0,1,0)</f>
        <v>1</v>
      </c>
      <c r="M5286" s="16">
        <f>IF($A5286&lt;Notes!$B$5,"",IF(COUNTIFS(Release_Calendar!$A$2:$A$755,"NZ_CPI",Release_Calendar!$B$2:$B$755,$A5286)&gt;0,1,0))</f>
        <v>0</v>
      </c>
      <c r="N5286" s="16">
        <f>IF($A5286&lt;Notes!$B$5,"",IF(COUNTIFS(Release_Calendar!$A$2:$A$755,"NZ_GDP",Release_Calendar!$B$2:$B$755,$A5286)&gt;0,1,0))</f>
        <v>0</v>
      </c>
      <c r="O5286" s="16">
        <f>IF($A5286&lt;Notes!$B$5,"",IF(COUNTIFS(Release_Calendar!$A$2:$A$755,"NZ_LABOUR",Release_Calendar!$B$2:$B$755,$A5286)&gt;0,1,0))</f>
        <v>0</v>
      </c>
      <c r="P5286" s="16">
        <f t="shared" si="4"/>
        <v>1</v>
      </c>
    </row>
    <row r="5287" ht="15.75" customHeight="1">
      <c r="A5287" s="14">
        <v>43927.0</v>
      </c>
      <c r="B5287" s="15">
        <v>0.27</v>
      </c>
      <c r="C5287" s="15">
        <v>0.47</v>
      </c>
      <c r="D5287" s="15"/>
      <c r="E5287" s="15"/>
      <c r="F5287" s="15">
        <f t="shared" si="1"/>
        <v>0.2</v>
      </c>
      <c r="G5287" s="15">
        <f t="shared" si="2"/>
        <v>0.47</v>
      </c>
      <c r="H5287" s="16">
        <v>0.0</v>
      </c>
      <c r="I5287" s="15">
        <f t="shared" si="3"/>
        <v>0.2</v>
      </c>
      <c r="J5287" s="15">
        <v>45.24</v>
      </c>
      <c r="K5287" s="16">
        <f>IF(COUNTIFS(Release_Calendar!$A$2:$A$755,"US_CPI",Release_Calendar!$B$2:$B$755,$A5287)&gt;0,1,0)</f>
        <v>0</v>
      </c>
      <c r="L5287" s="16">
        <f>IF(COUNTIFS(Release_Calendar!$A$2:$A$755,"US_NFP",Release_Calendar!$B$2:$B$755,$A5287)&gt;0,1,0)</f>
        <v>0</v>
      </c>
      <c r="M5287" s="16">
        <f>IF($A5287&lt;Notes!$B$5,"",IF(COUNTIFS(Release_Calendar!$A$2:$A$755,"NZ_CPI",Release_Calendar!$B$2:$B$755,$A5287)&gt;0,1,0))</f>
        <v>0</v>
      </c>
      <c r="N5287" s="16">
        <f>IF($A5287&lt;Notes!$B$5,"",IF(COUNTIFS(Release_Calendar!$A$2:$A$755,"NZ_GDP",Release_Calendar!$B$2:$B$755,$A5287)&gt;0,1,0))</f>
        <v>0</v>
      </c>
      <c r="O5287" s="16">
        <f>IF($A5287&lt;Notes!$B$5,"",IF(COUNTIFS(Release_Calendar!$A$2:$A$755,"NZ_LABOUR",Release_Calendar!$B$2:$B$755,$A5287)&gt;0,1,0))</f>
        <v>0</v>
      </c>
      <c r="P5287" s="16">
        <f t="shared" si="4"/>
        <v>0</v>
      </c>
    </row>
    <row r="5288" ht="15.75" customHeight="1">
      <c r="A5288" s="14">
        <v>43928.0</v>
      </c>
      <c r="B5288" s="15">
        <v>0.28</v>
      </c>
      <c r="C5288" s="15">
        <v>0.48</v>
      </c>
      <c r="D5288" s="15"/>
      <c r="E5288" s="15"/>
      <c r="F5288" s="15">
        <f t="shared" si="1"/>
        <v>0.2</v>
      </c>
      <c r="G5288" s="15">
        <f t="shared" si="2"/>
        <v>0.48</v>
      </c>
      <c r="H5288" s="16">
        <v>0.0</v>
      </c>
      <c r="I5288" s="15">
        <f t="shared" si="3"/>
        <v>0.2</v>
      </c>
      <c r="J5288" s="15">
        <v>46.7</v>
      </c>
      <c r="K5288" s="16">
        <f>IF(COUNTIFS(Release_Calendar!$A$2:$A$755,"US_CPI",Release_Calendar!$B$2:$B$755,$A5288)&gt;0,1,0)</f>
        <v>0</v>
      </c>
      <c r="L5288" s="16">
        <f>IF(COUNTIFS(Release_Calendar!$A$2:$A$755,"US_NFP",Release_Calendar!$B$2:$B$755,$A5288)&gt;0,1,0)</f>
        <v>0</v>
      </c>
      <c r="M5288" s="16">
        <f>IF($A5288&lt;Notes!$B$5,"",IF(COUNTIFS(Release_Calendar!$A$2:$A$755,"NZ_CPI",Release_Calendar!$B$2:$B$755,$A5288)&gt;0,1,0))</f>
        <v>0</v>
      </c>
      <c r="N5288" s="16">
        <f>IF($A5288&lt;Notes!$B$5,"",IF(COUNTIFS(Release_Calendar!$A$2:$A$755,"NZ_GDP",Release_Calendar!$B$2:$B$755,$A5288)&gt;0,1,0))</f>
        <v>0</v>
      </c>
      <c r="O5288" s="16">
        <f>IF($A5288&lt;Notes!$B$5,"",IF(COUNTIFS(Release_Calendar!$A$2:$A$755,"NZ_LABOUR",Release_Calendar!$B$2:$B$755,$A5288)&gt;0,1,0))</f>
        <v>0</v>
      </c>
      <c r="P5288" s="16">
        <f t="shared" si="4"/>
        <v>0</v>
      </c>
    </row>
    <row r="5289" ht="15.75" customHeight="1">
      <c r="A5289" s="14">
        <v>43929.0</v>
      </c>
      <c r="B5289" s="15">
        <v>0.27</v>
      </c>
      <c r="C5289" s="15">
        <v>0.49</v>
      </c>
      <c r="D5289" s="15"/>
      <c r="E5289" s="15"/>
      <c r="F5289" s="15">
        <f t="shared" si="1"/>
        <v>0.22</v>
      </c>
      <c r="G5289" s="15">
        <f t="shared" si="2"/>
        <v>0.49</v>
      </c>
      <c r="H5289" s="16">
        <v>0.0</v>
      </c>
      <c r="I5289" s="15">
        <f t="shared" si="3"/>
        <v>0.22</v>
      </c>
      <c r="J5289" s="15">
        <v>43.35</v>
      </c>
      <c r="K5289" s="16">
        <f>IF(COUNTIFS(Release_Calendar!$A$2:$A$755,"US_CPI",Release_Calendar!$B$2:$B$755,$A5289)&gt;0,1,0)</f>
        <v>0</v>
      </c>
      <c r="L5289" s="16">
        <f>IF(COUNTIFS(Release_Calendar!$A$2:$A$755,"US_NFP",Release_Calendar!$B$2:$B$755,$A5289)&gt;0,1,0)</f>
        <v>0</v>
      </c>
      <c r="M5289" s="16">
        <f>IF($A5289&lt;Notes!$B$5,"",IF(COUNTIFS(Release_Calendar!$A$2:$A$755,"NZ_CPI",Release_Calendar!$B$2:$B$755,$A5289)&gt;0,1,0))</f>
        <v>0</v>
      </c>
      <c r="N5289" s="16">
        <f>IF($A5289&lt;Notes!$B$5,"",IF(COUNTIFS(Release_Calendar!$A$2:$A$755,"NZ_GDP",Release_Calendar!$B$2:$B$755,$A5289)&gt;0,1,0))</f>
        <v>0</v>
      </c>
      <c r="O5289" s="16">
        <f>IF($A5289&lt;Notes!$B$5,"",IF(COUNTIFS(Release_Calendar!$A$2:$A$755,"NZ_LABOUR",Release_Calendar!$B$2:$B$755,$A5289)&gt;0,1,0))</f>
        <v>0</v>
      </c>
      <c r="P5289" s="16">
        <f t="shared" si="4"/>
        <v>0</v>
      </c>
    </row>
    <row r="5290" ht="15.75" customHeight="1">
      <c r="A5290" s="14">
        <v>43930.0</v>
      </c>
      <c r="B5290" s="15">
        <v>0.23</v>
      </c>
      <c r="C5290" s="15">
        <v>0.45</v>
      </c>
      <c r="D5290" s="15"/>
      <c r="E5290" s="15"/>
      <c r="F5290" s="15">
        <f t="shared" si="1"/>
        <v>0.22</v>
      </c>
      <c r="G5290" s="15">
        <f t="shared" si="2"/>
        <v>0.45</v>
      </c>
      <c r="H5290" s="16">
        <v>0.0</v>
      </c>
      <c r="I5290" s="15">
        <f t="shared" si="3"/>
        <v>0.22</v>
      </c>
      <c r="J5290" s="15">
        <v>41.67</v>
      </c>
      <c r="K5290" s="16">
        <f>IF(COUNTIFS(Release_Calendar!$A$2:$A$755,"US_CPI",Release_Calendar!$B$2:$B$755,$A5290)&gt;0,1,0)</f>
        <v>0</v>
      </c>
      <c r="L5290" s="16">
        <f>IF(COUNTIFS(Release_Calendar!$A$2:$A$755,"US_NFP",Release_Calendar!$B$2:$B$755,$A5290)&gt;0,1,0)</f>
        <v>0</v>
      </c>
      <c r="M5290" s="16">
        <f>IF($A5290&lt;Notes!$B$5,"",IF(COUNTIFS(Release_Calendar!$A$2:$A$755,"NZ_CPI",Release_Calendar!$B$2:$B$755,$A5290)&gt;0,1,0))</f>
        <v>0</v>
      </c>
      <c r="N5290" s="16">
        <f>IF($A5290&lt;Notes!$B$5,"",IF(COUNTIFS(Release_Calendar!$A$2:$A$755,"NZ_GDP",Release_Calendar!$B$2:$B$755,$A5290)&gt;0,1,0))</f>
        <v>0</v>
      </c>
      <c r="O5290" s="16">
        <f>IF($A5290&lt;Notes!$B$5,"",IF(COUNTIFS(Release_Calendar!$A$2:$A$755,"NZ_LABOUR",Release_Calendar!$B$2:$B$755,$A5290)&gt;0,1,0))</f>
        <v>0</v>
      </c>
      <c r="P5290" s="16">
        <f t="shared" si="4"/>
        <v>0</v>
      </c>
    </row>
    <row r="5291" ht="15.75" customHeight="1">
      <c r="A5291" s="14">
        <v>43931.0</v>
      </c>
      <c r="B5291" s="15"/>
      <c r="C5291" s="15"/>
      <c r="D5291" s="15"/>
      <c r="E5291" s="15"/>
      <c r="F5291" s="15" t="str">
        <f t="shared" si="1"/>
        <v/>
      </c>
      <c r="G5291" s="15" t="str">
        <f t="shared" si="2"/>
        <v/>
      </c>
      <c r="H5291" s="16">
        <v>0.0</v>
      </c>
      <c r="I5291" s="15" t="str">
        <f t="shared" si="3"/>
        <v/>
      </c>
      <c r="J5291" s="15"/>
      <c r="K5291" s="16">
        <f>IF(COUNTIFS(Release_Calendar!$A$2:$A$755,"US_CPI",Release_Calendar!$B$2:$B$755,$A5291)&gt;0,1,0)</f>
        <v>1</v>
      </c>
      <c r="L5291" s="16">
        <f>IF(COUNTIFS(Release_Calendar!$A$2:$A$755,"US_NFP",Release_Calendar!$B$2:$B$755,$A5291)&gt;0,1,0)</f>
        <v>0</v>
      </c>
      <c r="M5291" s="16">
        <f>IF($A5291&lt;Notes!$B$5,"",IF(COUNTIFS(Release_Calendar!$A$2:$A$755,"NZ_CPI",Release_Calendar!$B$2:$B$755,$A5291)&gt;0,1,0))</f>
        <v>0</v>
      </c>
      <c r="N5291" s="16">
        <f>IF($A5291&lt;Notes!$B$5,"",IF(COUNTIFS(Release_Calendar!$A$2:$A$755,"NZ_GDP",Release_Calendar!$B$2:$B$755,$A5291)&gt;0,1,0))</f>
        <v>0</v>
      </c>
      <c r="O5291" s="16">
        <f>IF($A5291&lt;Notes!$B$5,"",IF(COUNTIFS(Release_Calendar!$A$2:$A$755,"NZ_LABOUR",Release_Calendar!$B$2:$B$755,$A5291)&gt;0,1,0))</f>
        <v>0</v>
      </c>
      <c r="P5291" s="16">
        <f t="shared" si="4"/>
        <v>1</v>
      </c>
    </row>
    <row r="5292" ht="15.75" customHeight="1">
      <c r="A5292" s="14">
        <v>43934.0</v>
      </c>
      <c r="B5292" s="15">
        <v>0.25</v>
      </c>
      <c r="C5292" s="15"/>
      <c r="D5292" s="15"/>
      <c r="E5292" s="15"/>
      <c r="F5292" s="15" t="str">
        <f t="shared" si="1"/>
        <v/>
      </c>
      <c r="G5292" s="15" t="str">
        <f t="shared" si="2"/>
        <v/>
      </c>
      <c r="H5292" s="16">
        <v>0.0</v>
      </c>
      <c r="I5292" s="15" t="str">
        <f t="shared" si="3"/>
        <v/>
      </c>
      <c r="J5292" s="15">
        <v>41.17</v>
      </c>
      <c r="K5292" s="16">
        <f>IF(COUNTIFS(Release_Calendar!$A$2:$A$755,"US_CPI",Release_Calendar!$B$2:$B$755,$A5292)&gt;0,1,0)</f>
        <v>0</v>
      </c>
      <c r="L5292" s="16">
        <f>IF(COUNTIFS(Release_Calendar!$A$2:$A$755,"US_NFP",Release_Calendar!$B$2:$B$755,$A5292)&gt;0,1,0)</f>
        <v>0</v>
      </c>
      <c r="M5292" s="16">
        <f>IF($A5292&lt;Notes!$B$5,"",IF(COUNTIFS(Release_Calendar!$A$2:$A$755,"NZ_CPI",Release_Calendar!$B$2:$B$755,$A5292)&gt;0,1,0))</f>
        <v>0</v>
      </c>
      <c r="N5292" s="16">
        <f>IF($A5292&lt;Notes!$B$5,"",IF(COUNTIFS(Release_Calendar!$A$2:$A$755,"NZ_GDP",Release_Calendar!$B$2:$B$755,$A5292)&gt;0,1,0))</f>
        <v>0</v>
      </c>
      <c r="O5292" s="16">
        <f>IF($A5292&lt;Notes!$B$5,"",IF(COUNTIFS(Release_Calendar!$A$2:$A$755,"NZ_LABOUR",Release_Calendar!$B$2:$B$755,$A5292)&gt;0,1,0))</f>
        <v>0</v>
      </c>
      <c r="P5292" s="16">
        <f t="shared" si="4"/>
        <v>0</v>
      </c>
    </row>
    <row r="5293" ht="15.75" customHeight="1">
      <c r="A5293" s="14">
        <v>43935.0</v>
      </c>
      <c r="B5293" s="15">
        <v>0.23</v>
      </c>
      <c r="C5293" s="15">
        <v>0.44</v>
      </c>
      <c r="D5293" s="15"/>
      <c r="E5293" s="15"/>
      <c r="F5293" s="15">
        <f t="shared" si="1"/>
        <v>0.21</v>
      </c>
      <c r="G5293" s="15">
        <f t="shared" si="2"/>
        <v>0.44</v>
      </c>
      <c r="H5293" s="16">
        <v>0.0</v>
      </c>
      <c r="I5293" s="15">
        <f t="shared" si="3"/>
        <v>0.21</v>
      </c>
      <c r="J5293" s="15">
        <v>37.76</v>
      </c>
      <c r="K5293" s="16">
        <f>IF(COUNTIFS(Release_Calendar!$A$2:$A$755,"US_CPI",Release_Calendar!$B$2:$B$755,$A5293)&gt;0,1,0)</f>
        <v>0</v>
      </c>
      <c r="L5293" s="16">
        <f>IF(COUNTIFS(Release_Calendar!$A$2:$A$755,"US_NFP",Release_Calendar!$B$2:$B$755,$A5293)&gt;0,1,0)</f>
        <v>0</v>
      </c>
      <c r="M5293" s="16">
        <f>IF($A5293&lt;Notes!$B$5,"",IF(COUNTIFS(Release_Calendar!$A$2:$A$755,"NZ_CPI",Release_Calendar!$B$2:$B$755,$A5293)&gt;0,1,0))</f>
        <v>0</v>
      </c>
      <c r="N5293" s="16">
        <f>IF($A5293&lt;Notes!$B$5,"",IF(COUNTIFS(Release_Calendar!$A$2:$A$755,"NZ_GDP",Release_Calendar!$B$2:$B$755,$A5293)&gt;0,1,0))</f>
        <v>0</v>
      </c>
      <c r="O5293" s="16">
        <f>IF($A5293&lt;Notes!$B$5,"",IF(COUNTIFS(Release_Calendar!$A$2:$A$755,"NZ_LABOUR",Release_Calendar!$B$2:$B$755,$A5293)&gt;0,1,0))</f>
        <v>0</v>
      </c>
      <c r="P5293" s="16">
        <f t="shared" si="4"/>
        <v>0</v>
      </c>
    </row>
    <row r="5294" ht="15.75" customHeight="1">
      <c r="A5294" s="14">
        <v>43936.0</v>
      </c>
      <c r="B5294" s="15">
        <v>0.2</v>
      </c>
      <c r="C5294" s="15">
        <v>0.41</v>
      </c>
      <c r="D5294" s="15"/>
      <c r="E5294" s="15"/>
      <c r="F5294" s="15">
        <f t="shared" si="1"/>
        <v>0.21</v>
      </c>
      <c r="G5294" s="15">
        <f t="shared" si="2"/>
        <v>0.41</v>
      </c>
      <c r="H5294" s="16">
        <v>0.0</v>
      </c>
      <c r="I5294" s="15">
        <f t="shared" si="3"/>
        <v>0.21</v>
      </c>
      <c r="J5294" s="15">
        <v>40.84</v>
      </c>
      <c r="K5294" s="16">
        <f>IF(COUNTIFS(Release_Calendar!$A$2:$A$755,"US_CPI",Release_Calendar!$B$2:$B$755,$A5294)&gt;0,1,0)</f>
        <v>0</v>
      </c>
      <c r="L5294" s="16">
        <f>IF(COUNTIFS(Release_Calendar!$A$2:$A$755,"US_NFP",Release_Calendar!$B$2:$B$755,$A5294)&gt;0,1,0)</f>
        <v>0</v>
      </c>
      <c r="M5294" s="16">
        <f>IF($A5294&lt;Notes!$B$5,"",IF(COUNTIFS(Release_Calendar!$A$2:$A$755,"NZ_CPI",Release_Calendar!$B$2:$B$755,$A5294)&gt;0,1,0))</f>
        <v>0</v>
      </c>
      <c r="N5294" s="16">
        <f>IF($A5294&lt;Notes!$B$5,"",IF(COUNTIFS(Release_Calendar!$A$2:$A$755,"NZ_GDP",Release_Calendar!$B$2:$B$755,$A5294)&gt;0,1,0))</f>
        <v>0</v>
      </c>
      <c r="O5294" s="16">
        <f>IF($A5294&lt;Notes!$B$5,"",IF(COUNTIFS(Release_Calendar!$A$2:$A$755,"NZ_LABOUR",Release_Calendar!$B$2:$B$755,$A5294)&gt;0,1,0))</f>
        <v>0</v>
      </c>
      <c r="P5294" s="16">
        <f t="shared" si="4"/>
        <v>0</v>
      </c>
    </row>
    <row r="5295" ht="15.75" customHeight="1">
      <c r="A5295" s="14">
        <v>43937.0</v>
      </c>
      <c r="B5295" s="15">
        <v>0.2</v>
      </c>
      <c r="C5295" s="15">
        <v>0.38</v>
      </c>
      <c r="D5295" s="15"/>
      <c r="E5295" s="15"/>
      <c r="F5295" s="15">
        <f t="shared" si="1"/>
        <v>0.18</v>
      </c>
      <c r="G5295" s="15">
        <f t="shared" si="2"/>
        <v>0.38</v>
      </c>
      <c r="H5295" s="16">
        <v>0.0</v>
      </c>
      <c r="I5295" s="15">
        <f t="shared" si="3"/>
        <v>0.18</v>
      </c>
      <c r="J5295" s="15">
        <v>40.11</v>
      </c>
      <c r="K5295" s="16">
        <f>IF(COUNTIFS(Release_Calendar!$A$2:$A$755,"US_CPI",Release_Calendar!$B$2:$B$755,$A5295)&gt;0,1,0)</f>
        <v>0</v>
      </c>
      <c r="L5295" s="16">
        <f>IF(COUNTIFS(Release_Calendar!$A$2:$A$755,"US_NFP",Release_Calendar!$B$2:$B$755,$A5295)&gt;0,1,0)</f>
        <v>0</v>
      </c>
      <c r="M5295" s="16">
        <f>IF($A5295&lt;Notes!$B$5,"",IF(COUNTIFS(Release_Calendar!$A$2:$A$755,"NZ_CPI",Release_Calendar!$B$2:$B$755,$A5295)&gt;0,1,0))</f>
        <v>0</v>
      </c>
      <c r="N5295" s="16">
        <f>IF($A5295&lt;Notes!$B$5,"",IF(COUNTIFS(Release_Calendar!$A$2:$A$755,"NZ_GDP",Release_Calendar!$B$2:$B$755,$A5295)&gt;0,1,0))</f>
        <v>0</v>
      </c>
      <c r="O5295" s="16">
        <f>IF($A5295&lt;Notes!$B$5,"",IF(COUNTIFS(Release_Calendar!$A$2:$A$755,"NZ_LABOUR",Release_Calendar!$B$2:$B$755,$A5295)&gt;0,1,0))</f>
        <v>0</v>
      </c>
      <c r="P5295" s="16">
        <f t="shared" si="4"/>
        <v>0</v>
      </c>
    </row>
    <row r="5296" ht="15.75" customHeight="1">
      <c r="A5296" s="14">
        <v>43938.0</v>
      </c>
      <c r="B5296" s="15">
        <v>0.2</v>
      </c>
      <c r="C5296" s="15">
        <v>0.34</v>
      </c>
      <c r="D5296" s="15"/>
      <c r="E5296" s="15"/>
      <c r="F5296" s="15">
        <f t="shared" si="1"/>
        <v>0.14</v>
      </c>
      <c r="G5296" s="15">
        <f t="shared" si="2"/>
        <v>0.34</v>
      </c>
      <c r="H5296" s="16">
        <v>0.0</v>
      </c>
      <c r="I5296" s="15">
        <f t="shared" si="3"/>
        <v>0.14</v>
      </c>
      <c r="J5296" s="15">
        <v>38.15</v>
      </c>
      <c r="K5296" s="16">
        <f>IF(COUNTIFS(Release_Calendar!$A$2:$A$755,"US_CPI",Release_Calendar!$B$2:$B$755,$A5296)&gt;0,1,0)</f>
        <v>0</v>
      </c>
      <c r="L5296" s="16">
        <f>IF(COUNTIFS(Release_Calendar!$A$2:$A$755,"US_NFP",Release_Calendar!$B$2:$B$755,$A5296)&gt;0,1,0)</f>
        <v>0</v>
      </c>
      <c r="M5296" s="16">
        <f>IF($A5296&lt;Notes!$B$5,"",IF(COUNTIFS(Release_Calendar!$A$2:$A$755,"NZ_CPI",Release_Calendar!$B$2:$B$755,$A5296)&gt;0,1,0))</f>
        <v>0</v>
      </c>
      <c r="N5296" s="16">
        <f>IF($A5296&lt;Notes!$B$5,"",IF(COUNTIFS(Release_Calendar!$A$2:$A$755,"NZ_GDP",Release_Calendar!$B$2:$B$755,$A5296)&gt;0,1,0))</f>
        <v>0</v>
      </c>
      <c r="O5296" s="16">
        <f>IF($A5296&lt;Notes!$B$5,"",IF(COUNTIFS(Release_Calendar!$A$2:$A$755,"NZ_LABOUR",Release_Calendar!$B$2:$B$755,$A5296)&gt;0,1,0))</f>
        <v>0</v>
      </c>
      <c r="P5296" s="16">
        <f t="shared" si="4"/>
        <v>0</v>
      </c>
    </row>
    <row r="5297" ht="15.75" customHeight="1">
      <c r="A5297" s="14">
        <v>43941.0</v>
      </c>
      <c r="B5297" s="15">
        <v>0.2</v>
      </c>
      <c r="C5297" s="15">
        <v>0.33</v>
      </c>
      <c r="D5297" s="15"/>
      <c r="E5297" s="15"/>
      <c r="F5297" s="15">
        <f t="shared" si="1"/>
        <v>0.13</v>
      </c>
      <c r="G5297" s="15">
        <f t="shared" si="2"/>
        <v>0.33</v>
      </c>
      <c r="H5297" s="16">
        <v>0.0</v>
      </c>
      <c r="I5297" s="15">
        <f t="shared" si="3"/>
        <v>0.13</v>
      </c>
      <c r="J5297" s="15">
        <v>43.83</v>
      </c>
      <c r="K5297" s="16">
        <f>IF(COUNTIFS(Release_Calendar!$A$2:$A$755,"US_CPI",Release_Calendar!$B$2:$B$755,$A5297)&gt;0,1,0)</f>
        <v>0</v>
      </c>
      <c r="L5297" s="16">
        <f>IF(COUNTIFS(Release_Calendar!$A$2:$A$755,"US_NFP",Release_Calendar!$B$2:$B$755,$A5297)&gt;0,1,0)</f>
        <v>0</v>
      </c>
      <c r="M5297" s="16">
        <f>IF($A5297&lt;Notes!$B$5,"",IF(COUNTIFS(Release_Calendar!$A$2:$A$755,"NZ_CPI",Release_Calendar!$B$2:$B$755,$A5297)&gt;0,1,0))</f>
        <v>1</v>
      </c>
      <c r="N5297" s="16">
        <f>IF($A5297&lt;Notes!$B$5,"",IF(COUNTIFS(Release_Calendar!$A$2:$A$755,"NZ_GDP",Release_Calendar!$B$2:$B$755,$A5297)&gt;0,1,0))</f>
        <v>0</v>
      </c>
      <c r="O5297" s="16">
        <f>IF($A5297&lt;Notes!$B$5,"",IF(COUNTIFS(Release_Calendar!$A$2:$A$755,"NZ_LABOUR",Release_Calendar!$B$2:$B$755,$A5297)&gt;0,1,0))</f>
        <v>0</v>
      </c>
      <c r="P5297" s="16">
        <f t="shared" si="4"/>
        <v>1</v>
      </c>
    </row>
    <row r="5298" ht="15.75" customHeight="1">
      <c r="A5298" s="14">
        <v>43942.0</v>
      </c>
      <c r="B5298" s="15">
        <v>0.2</v>
      </c>
      <c r="C5298" s="15">
        <v>0.34</v>
      </c>
      <c r="D5298" s="15"/>
      <c r="E5298" s="15"/>
      <c r="F5298" s="15">
        <f t="shared" si="1"/>
        <v>0.14</v>
      </c>
      <c r="G5298" s="15">
        <f t="shared" si="2"/>
        <v>0.34</v>
      </c>
      <c r="H5298" s="16">
        <v>0.0</v>
      </c>
      <c r="I5298" s="15">
        <f t="shared" si="3"/>
        <v>0.14</v>
      </c>
      <c r="J5298" s="15">
        <v>45.41</v>
      </c>
      <c r="K5298" s="16">
        <f>IF(COUNTIFS(Release_Calendar!$A$2:$A$755,"US_CPI",Release_Calendar!$B$2:$B$755,$A5298)&gt;0,1,0)</f>
        <v>0</v>
      </c>
      <c r="L5298" s="16">
        <f>IF(COUNTIFS(Release_Calendar!$A$2:$A$755,"US_NFP",Release_Calendar!$B$2:$B$755,$A5298)&gt;0,1,0)</f>
        <v>0</v>
      </c>
      <c r="M5298" s="16">
        <f>IF($A5298&lt;Notes!$B$5,"",IF(COUNTIFS(Release_Calendar!$A$2:$A$755,"NZ_CPI",Release_Calendar!$B$2:$B$755,$A5298)&gt;0,1,0))</f>
        <v>0</v>
      </c>
      <c r="N5298" s="16">
        <f>IF($A5298&lt;Notes!$B$5,"",IF(COUNTIFS(Release_Calendar!$A$2:$A$755,"NZ_GDP",Release_Calendar!$B$2:$B$755,$A5298)&gt;0,1,0))</f>
        <v>0</v>
      </c>
      <c r="O5298" s="16">
        <f>IF($A5298&lt;Notes!$B$5,"",IF(COUNTIFS(Release_Calendar!$A$2:$A$755,"NZ_LABOUR",Release_Calendar!$B$2:$B$755,$A5298)&gt;0,1,0))</f>
        <v>0</v>
      </c>
      <c r="P5298" s="16">
        <f t="shared" si="4"/>
        <v>0</v>
      </c>
    </row>
    <row r="5299" ht="15.75" customHeight="1">
      <c r="A5299" s="14">
        <v>43943.0</v>
      </c>
      <c r="B5299" s="15">
        <v>0.22</v>
      </c>
      <c r="C5299" s="15">
        <v>0.34</v>
      </c>
      <c r="D5299" s="15"/>
      <c r="E5299" s="15"/>
      <c r="F5299" s="15">
        <f t="shared" si="1"/>
        <v>0.12</v>
      </c>
      <c r="G5299" s="15">
        <f t="shared" si="2"/>
        <v>0.34</v>
      </c>
      <c r="H5299" s="16">
        <v>0.0</v>
      </c>
      <c r="I5299" s="15">
        <f t="shared" si="3"/>
        <v>0.12</v>
      </c>
      <c r="J5299" s="15">
        <v>41.98</v>
      </c>
      <c r="K5299" s="16">
        <f>IF(COUNTIFS(Release_Calendar!$A$2:$A$755,"US_CPI",Release_Calendar!$B$2:$B$755,$A5299)&gt;0,1,0)</f>
        <v>0</v>
      </c>
      <c r="L5299" s="16">
        <f>IF(COUNTIFS(Release_Calendar!$A$2:$A$755,"US_NFP",Release_Calendar!$B$2:$B$755,$A5299)&gt;0,1,0)</f>
        <v>0</v>
      </c>
      <c r="M5299" s="16">
        <f>IF($A5299&lt;Notes!$B$5,"",IF(COUNTIFS(Release_Calendar!$A$2:$A$755,"NZ_CPI",Release_Calendar!$B$2:$B$755,$A5299)&gt;0,1,0))</f>
        <v>0</v>
      </c>
      <c r="N5299" s="16">
        <f>IF($A5299&lt;Notes!$B$5,"",IF(COUNTIFS(Release_Calendar!$A$2:$A$755,"NZ_GDP",Release_Calendar!$B$2:$B$755,$A5299)&gt;0,1,0))</f>
        <v>0</v>
      </c>
      <c r="O5299" s="16">
        <f>IF($A5299&lt;Notes!$B$5,"",IF(COUNTIFS(Release_Calendar!$A$2:$A$755,"NZ_LABOUR",Release_Calendar!$B$2:$B$755,$A5299)&gt;0,1,0))</f>
        <v>0</v>
      </c>
      <c r="P5299" s="16">
        <f t="shared" si="4"/>
        <v>0</v>
      </c>
    </row>
    <row r="5300" ht="15.75" customHeight="1">
      <c r="A5300" s="14">
        <v>43944.0</v>
      </c>
      <c r="B5300" s="15">
        <v>0.22</v>
      </c>
      <c r="C5300" s="15">
        <v>0.33</v>
      </c>
      <c r="D5300" s="15"/>
      <c r="E5300" s="15"/>
      <c r="F5300" s="15">
        <f t="shared" si="1"/>
        <v>0.11</v>
      </c>
      <c r="G5300" s="15">
        <f t="shared" si="2"/>
        <v>0.33</v>
      </c>
      <c r="H5300" s="16">
        <v>0.0</v>
      </c>
      <c r="I5300" s="15">
        <f t="shared" si="3"/>
        <v>0.11</v>
      </c>
      <c r="J5300" s="15">
        <v>41.38</v>
      </c>
      <c r="K5300" s="16">
        <f>IF(COUNTIFS(Release_Calendar!$A$2:$A$755,"US_CPI",Release_Calendar!$B$2:$B$755,$A5300)&gt;0,1,0)</f>
        <v>0</v>
      </c>
      <c r="L5300" s="16">
        <f>IF(COUNTIFS(Release_Calendar!$A$2:$A$755,"US_NFP",Release_Calendar!$B$2:$B$755,$A5300)&gt;0,1,0)</f>
        <v>0</v>
      </c>
      <c r="M5300" s="16">
        <f>IF($A5300&lt;Notes!$B$5,"",IF(COUNTIFS(Release_Calendar!$A$2:$A$755,"NZ_CPI",Release_Calendar!$B$2:$B$755,$A5300)&gt;0,1,0))</f>
        <v>0</v>
      </c>
      <c r="N5300" s="16">
        <f>IF($A5300&lt;Notes!$B$5,"",IF(COUNTIFS(Release_Calendar!$A$2:$A$755,"NZ_GDP",Release_Calendar!$B$2:$B$755,$A5300)&gt;0,1,0))</f>
        <v>0</v>
      </c>
      <c r="O5300" s="16">
        <f>IF($A5300&lt;Notes!$B$5,"",IF(COUNTIFS(Release_Calendar!$A$2:$A$755,"NZ_LABOUR",Release_Calendar!$B$2:$B$755,$A5300)&gt;0,1,0))</f>
        <v>0</v>
      </c>
      <c r="P5300" s="16">
        <f t="shared" si="4"/>
        <v>0</v>
      </c>
    </row>
    <row r="5301" ht="15.75" customHeight="1">
      <c r="A5301" s="14">
        <v>43945.0</v>
      </c>
      <c r="B5301" s="15">
        <v>0.22</v>
      </c>
      <c r="C5301" s="15">
        <v>0.29</v>
      </c>
      <c r="D5301" s="15"/>
      <c r="E5301" s="15"/>
      <c r="F5301" s="15">
        <f t="shared" si="1"/>
        <v>0.07</v>
      </c>
      <c r="G5301" s="15">
        <f t="shared" si="2"/>
        <v>0.29</v>
      </c>
      <c r="H5301" s="16">
        <v>0.0</v>
      </c>
      <c r="I5301" s="15">
        <f t="shared" si="3"/>
        <v>0.07</v>
      </c>
      <c r="J5301" s="15">
        <v>35.93</v>
      </c>
      <c r="K5301" s="16">
        <f>IF(COUNTIFS(Release_Calendar!$A$2:$A$755,"US_CPI",Release_Calendar!$B$2:$B$755,$A5301)&gt;0,1,0)</f>
        <v>0</v>
      </c>
      <c r="L5301" s="16">
        <f>IF(COUNTIFS(Release_Calendar!$A$2:$A$755,"US_NFP",Release_Calendar!$B$2:$B$755,$A5301)&gt;0,1,0)</f>
        <v>0</v>
      </c>
      <c r="M5301" s="16">
        <f>IF($A5301&lt;Notes!$B$5,"",IF(COUNTIFS(Release_Calendar!$A$2:$A$755,"NZ_CPI",Release_Calendar!$B$2:$B$755,$A5301)&gt;0,1,0))</f>
        <v>0</v>
      </c>
      <c r="N5301" s="16">
        <f>IF($A5301&lt;Notes!$B$5,"",IF(COUNTIFS(Release_Calendar!$A$2:$A$755,"NZ_GDP",Release_Calendar!$B$2:$B$755,$A5301)&gt;0,1,0))</f>
        <v>0</v>
      </c>
      <c r="O5301" s="16">
        <f>IF($A5301&lt;Notes!$B$5,"",IF(COUNTIFS(Release_Calendar!$A$2:$A$755,"NZ_LABOUR",Release_Calendar!$B$2:$B$755,$A5301)&gt;0,1,0))</f>
        <v>0</v>
      </c>
      <c r="P5301" s="16">
        <f t="shared" si="4"/>
        <v>0</v>
      </c>
    </row>
    <row r="5302" ht="15.75" customHeight="1">
      <c r="A5302" s="14">
        <v>43948.0</v>
      </c>
      <c r="B5302" s="15">
        <v>0.24</v>
      </c>
      <c r="C5302" s="15"/>
      <c r="D5302" s="15"/>
      <c r="E5302" s="15"/>
      <c r="F5302" s="15" t="str">
        <f t="shared" si="1"/>
        <v/>
      </c>
      <c r="G5302" s="15" t="str">
        <f t="shared" si="2"/>
        <v/>
      </c>
      <c r="H5302" s="16">
        <v>0.0</v>
      </c>
      <c r="I5302" s="15" t="str">
        <f t="shared" si="3"/>
        <v/>
      </c>
      <c r="J5302" s="15">
        <v>33.29</v>
      </c>
      <c r="K5302" s="16">
        <f>IF(COUNTIFS(Release_Calendar!$A$2:$A$755,"US_CPI",Release_Calendar!$B$2:$B$755,$A5302)&gt;0,1,0)</f>
        <v>0</v>
      </c>
      <c r="L5302" s="16">
        <f>IF(COUNTIFS(Release_Calendar!$A$2:$A$755,"US_NFP",Release_Calendar!$B$2:$B$755,$A5302)&gt;0,1,0)</f>
        <v>0</v>
      </c>
      <c r="M5302" s="16">
        <f>IF($A5302&lt;Notes!$B$5,"",IF(COUNTIFS(Release_Calendar!$A$2:$A$755,"NZ_CPI",Release_Calendar!$B$2:$B$755,$A5302)&gt;0,1,0))</f>
        <v>0</v>
      </c>
      <c r="N5302" s="16">
        <f>IF($A5302&lt;Notes!$B$5,"",IF(COUNTIFS(Release_Calendar!$A$2:$A$755,"NZ_GDP",Release_Calendar!$B$2:$B$755,$A5302)&gt;0,1,0))</f>
        <v>0</v>
      </c>
      <c r="O5302" s="16">
        <f>IF($A5302&lt;Notes!$B$5,"",IF(COUNTIFS(Release_Calendar!$A$2:$A$755,"NZ_LABOUR",Release_Calendar!$B$2:$B$755,$A5302)&gt;0,1,0))</f>
        <v>0</v>
      </c>
      <c r="P5302" s="16">
        <f t="shared" si="4"/>
        <v>0</v>
      </c>
    </row>
    <row r="5303" ht="15.75" customHeight="1">
      <c r="A5303" s="14">
        <v>43949.0</v>
      </c>
      <c r="B5303" s="15">
        <v>0.2</v>
      </c>
      <c r="C5303" s="15">
        <v>0.18</v>
      </c>
      <c r="D5303" s="15"/>
      <c r="E5303" s="15"/>
      <c r="F5303" s="15">
        <f t="shared" si="1"/>
        <v>-0.02</v>
      </c>
      <c r="G5303" s="15">
        <f t="shared" si="2"/>
        <v>0.18</v>
      </c>
      <c r="H5303" s="16">
        <v>0.0</v>
      </c>
      <c r="I5303" s="15">
        <f t="shared" si="3"/>
        <v>-0.02</v>
      </c>
      <c r="J5303" s="15">
        <v>33.57</v>
      </c>
      <c r="K5303" s="16">
        <f>IF(COUNTIFS(Release_Calendar!$A$2:$A$755,"US_CPI",Release_Calendar!$B$2:$B$755,$A5303)&gt;0,1,0)</f>
        <v>0</v>
      </c>
      <c r="L5303" s="16">
        <f>IF(COUNTIFS(Release_Calendar!$A$2:$A$755,"US_NFP",Release_Calendar!$B$2:$B$755,$A5303)&gt;0,1,0)</f>
        <v>0</v>
      </c>
      <c r="M5303" s="16">
        <f>IF($A5303&lt;Notes!$B$5,"",IF(COUNTIFS(Release_Calendar!$A$2:$A$755,"NZ_CPI",Release_Calendar!$B$2:$B$755,$A5303)&gt;0,1,0))</f>
        <v>0</v>
      </c>
      <c r="N5303" s="16">
        <f>IF($A5303&lt;Notes!$B$5,"",IF(COUNTIFS(Release_Calendar!$A$2:$A$755,"NZ_GDP",Release_Calendar!$B$2:$B$755,$A5303)&gt;0,1,0))</f>
        <v>0</v>
      </c>
      <c r="O5303" s="16">
        <f>IF($A5303&lt;Notes!$B$5,"",IF(COUNTIFS(Release_Calendar!$A$2:$A$755,"NZ_LABOUR",Release_Calendar!$B$2:$B$755,$A5303)&gt;0,1,0))</f>
        <v>0</v>
      </c>
      <c r="P5303" s="16">
        <f t="shared" si="4"/>
        <v>0</v>
      </c>
    </row>
    <row r="5304" ht="15.75" customHeight="1">
      <c r="A5304" s="14">
        <v>43950.0</v>
      </c>
      <c r="B5304" s="15">
        <v>0.2</v>
      </c>
      <c r="C5304" s="15">
        <v>0.21</v>
      </c>
      <c r="D5304" s="15"/>
      <c r="E5304" s="15"/>
      <c r="F5304" s="15">
        <f t="shared" si="1"/>
        <v>0.01</v>
      </c>
      <c r="G5304" s="15">
        <f t="shared" si="2"/>
        <v>0.21</v>
      </c>
      <c r="H5304" s="16">
        <v>0.0</v>
      </c>
      <c r="I5304" s="15">
        <f t="shared" si="3"/>
        <v>0.01</v>
      </c>
      <c r="J5304" s="15">
        <v>31.23</v>
      </c>
      <c r="K5304" s="16">
        <f>IF(COUNTIFS(Release_Calendar!$A$2:$A$755,"US_CPI",Release_Calendar!$B$2:$B$755,$A5304)&gt;0,1,0)</f>
        <v>0</v>
      </c>
      <c r="L5304" s="16">
        <f>IF(COUNTIFS(Release_Calendar!$A$2:$A$755,"US_NFP",Release_Calendar!$B$2:$B$755,$A5304)&gt;0,1,0)</f>
        <v>0</v>
      </c>
      <c r="M5304" s="16">
        <f>IF($A5304&lt;Notes!$B$5,"",IF(COUNTIFS(Release_Calendar!$A$2:$A$755,"NZ_CPI",Release_Calendar!$B$2:$B$755,$A5304)&gt;0,1,0))</f>
        <v>0</v>
      </c>
      <c r="N5304" s="16">
        <f>IF($A5304&lt;Notes!$B$5,"",IF(COUNTIFS(Release_Calendar!$A$2:$A$755,"NZ_GDP",Release_Calendar!$B$2:$B$755,$A5304)&gt;0,1,0))</f>
        <v>0</v>
      </c>
      <c r="O5304" s="16">
        <f>IF($A5304&lt;Notes!$B$5,"",IF(COUNTIFS(Release_Calendar!$A$2:$A$755,"NZ_LABOUR",Release_Calendar!$B$2:$B$755,$A5304)&gt;0,1,0))</f>
        <v>0</v>
      </c>
      <c r="P5304" s="16">
        <f t="shared" si="4"/>
        <v>0</v>
      </c>
    </row>
    <row r="5305" ht="15.75" customHeight="1">
      <c r="A5305" s="14">
        <v>43951.0</v>
      </c>
      <c r="B5305" s="15">
        <v>0.2</v>
      </c>
      <c r="C5305" s="15">
        <v>0.19</v>
      </c>
      <c r="D5305" s="15"/>
      <c r="E5305" s="15"/>
      <c r="F5305" s="15">
        <f t="shared" si="1"/>
        <v>-0.01</v>
      </c>
      <c r="G5305" s="15">
        <f t="shared" si="2"/>
        <v>0.19</v>
      </c>
      <c r="H5305" s="16">
        <v>0.0</v>
      </c>
      <c r="I5305" s="15">
        <f t="shared" si="3"/>
        <v>-0.01</v>
      </c>
      <c r="J5305" s="15">
        <v>34.15</v>
      </c>
      <c r="K5305" s="16">
        <f>IF(COUNTIFS(Release_Calendar!$A$2:$A$755,"US_CPI",Release_Calendar!$B$2:$B$755,$A5305)&gt;0,1,0)</f>
        <v>0</v>
      </c>
      <c r="L5305" s="16">
        <f>IF(COUNTIFS(Release_Calendar!$A$2:$A$755,"US_NFP",Release_Calendar!$B$2:$B$755,$A5305)&gt;0,1,0)</f>
        <v>0</v>
      </c>
      <c r="M5305" s="16">
        <f>IF($A5305&lt;Notes!$B$5,"",IF(COUNTIFS(Release_Calendar!$A$2:$A$755,"NZ_CPI",Release_Calendar!$B$2:$B$755,$A5305)&gt;0,1,0))</f>
        <v>0</v>
      </c>
      <c r="N5305" s="16">
        <f>IF($A5305&lt;Notes!$B$5,"",IF(COUNTIFS(Release_Calendar!$A$2:$A$755,"NZ_GDP",Release_Calendar!$B$2:$B$755,$A5305)&gt;0,1,0))</f>
        <v>0</v>
      </c>
      <c r="O5305" s="16">
        <f>IF($A5305&lt;Notes!$B$5,"",IF(COUNTIFS(Release_Calendar!$A$2:$A$755,"NZ_LABOUR",Release_Calendar!$B$2:$B$755,$A5305)&gt;0,1,0))</f>
        <v>0</v>
      </c>
      <c r="P5305" s="16">
        <f t="shared" si="4"/>
        <v>0</v>
      </c>
    </row>
    <row r="5306" ht="15.75" customHeight="1">
      <c r="A5306" s="14">
        <v>43952.0</v>
      </c>
      <c r="B5306" s="15">
        <v>0.2</v>
      </c>
      <c r="C5306" s="15">
        <v>0.18</v>
      </c>
      <c r="D5306" s="15"/>
      <c r="E5306" s="15"/>
      <c r="F5306" s="15">
        <f t="shared" si="1"/>
        <v>-0.02</v>
      </c>
      <c r="G5306" s="15">
        <f t="shared" si="2"/>
        <v>0.18</v>
      </c>
      <c r="H5306" s="16">
        <v>0.0</v>
      </c>
      <c r="I5306" s="15">
        <f t="shared" si="3"/>
        <v>-0.02</v>
      </c>
      <c r="J5306" s="15">
        <v>37.19</v>
      </c>
      <c r="K5306" s="16">
        <f>IF(COUNTIFS(Release_Calendar!$A$2:$A$755,"US_CPI",Release_Calendar!$B$2:$B$755,$A5306)&gt;0,1,0)</f>
        <v>0</v>
      </c>
      <c r="L5306" s="16">
        <f>IF(COUNTIFS(Release_Calendar!$A$2:$A$755,"US_NFP",Release_Calendar!$B$2:$B$755,$A5306)&gt;0,1,0)</f>
        <v>0</v>
      </c>
      <c r="M5306" s="16">
        <f>IF($A5306&lt;Notes!$B$5,"",IF(COUNTIFS(Release_Calendar!$A$2:$A$755,"NZ_CPI",Release_Calendar!$B$2:$B$755,$A5306)&gt;0,1,0))</f>
        <v>0</v>
      </c>
      <c r="N5306" s="16">
        <f>IF($A5306&lt;Notes!$B$5,"",IF(COUNTIFS(Release_Calendar!$A$2:$A$755,"NZ_GDP",Release_Calendar!$B$2:$B$755,$A5306)&gt;0,1,0))</f>
        <v>0</v>
      </c>
      <c r="O5306" s="16">
        <f>IF($A5306&lt;Notes!$B$5,"",IF(COUNTIFS(Release_Calendar!$A$2:$A$755,"NZ_LABOUR",Release_Calendar!$B$2:$B$755,$A5306)&gt;0,1,0))</f>
        <v>0</v>
      </c>
      <c r="P5306" s="16">
        <f t="shared" si="4"/>
        <v>0</v>
      </c>
    </row>
    <row r="5307" ht="15.75" customHeight="1">
      <c r="A5307" s="14">
        <v>43955.0</v>
      </c>
      <c r="B5307" s="15">
        <v>0.19</v>
      </c>
      <c r="C5307" s="15">
        <v>0.18</v>
      </c>
      <c r="D5307" s="15"/>
      <c r="E5307" s="15"/>
      <c r="F5307" s="15">
        <f t="shared" si="1"/>
        <v>-0.01</v>
      </c>
      <c r="G5307" s="15">
        <f t="shared" si="2"/>
        <v>0.18</v>
      </c>
      <c r="H5307" s="16">
        <v>0.0</v>
      </c>
      <c r="I5307" s="15">
        <f t="shared" si="3"/>
        <v>-0.01</v>
      </c>
      <c r="J5307" s="15">
        <v>35.97</v>
      </c>
      <c r="K5307" s="16">
        <f>IF(COUNTIFS(Release_Calendar!$A$2:$A$755,"US_CPI",Release_Calendar!$B$2:$B$755,$A5307)&gt;0,1,0)</f>
        <v>0</v>
      </c>
      <c r="L5307" s="16">
        <f>IF(COUNTIFS(Release_Calendar!$A$2:$A$755,"US_NFP",Release_Calendar!$B$2:$B$755,$A5307)&gt;0,1,0)</f>
        <v>0</v>
      </c>
      <c r="M5307" s="16">
        <f>IF($A5307&lt;Notes!$B$5,"",IF(COUNTIFS(Release_Calendar!$A$2:$A$755,"NZ_CPI",Release_Calendar!$B$2:$B$755,$A5307)&gt;0,1,0))</f>
        <v>0</v>
      </c>
      <c r="N5307" s="16">
        <f>IF($A5307&lt;Notes!$B$5,"",IF(COUNTIFS(Release_Calendar!$A$2:$A$755,"NZ_GDP",Release_Calendar!$B$2:$B$755,$A5307)&gt;0,1,0))</f>
        <v>0</v>
      </c>
      <c r="O5307" s="16">
        <f>IF($A5307&lt;Notes!$B$5,"",IF(COUNTIFS(Release_Calendar!$A$2:$A$755,"NZ_LABOUR",Release_Calendar!$B$2:$B$755,$A5307)&gt;0,1,0))</f>
        <v>0</v>
      </c>
      <c r="P5307" s="16">
        <f t="shared" si="4"/>
        <v>0</v>
      </c>
    </row>
    <row r="5308" ht="15.75" customHeight="1">
      <c r="A5308" s="14">
        <v>43956.0</v>
      </c>
      <c r="B5308" s="15">
        <v>0.19</v>
      </c>
      <c r="C5308" s="15">
        <v>0.19</v>
      </c>
      <c r="D5308" s="15"/>
      <c r="E5308" s="15"/>
      <c r="F5308" s="15">
        <f t="shared" si="1"/>
        <v>0</v>
      </c>
      <c r="G5308" s="15">
        <f t="shared" si="2"/>
        <v>0.19</v>
      </c>
      <c r="H5308" s="16">
        <v>0.0</v>
      </c>
      <c r="I5308" s="15">
        <f t="shared" si="3"/>
        <v>0</v>
      </c>
      <c r="J5308" s="15">
        <v>33.61</v>
      </c>
      <c r="K5308" s="16">
        <f>IF(COUNTIFS(Release_Calendar!$A$2:$A$755,"US_CPI",Release_Calendar!$B$2:$B$755,$A5308)&gt;0,1,0)</f>
        <v>0</v>
      </c>
      <c r="L5308" s="16">
        <f>IF(COUNTIFS(Release_Calendar!$A$2:$A$755,"US_NFP",Release_Calendar!$B$2:$B$755,$A5308)&gt;0,1,0)</f>
        <v>0</v>
      </c>
      <c r="M5308" s="16">
        <f>IF($A5308&lt;Notes!$B$5,"",IF(COUNTIFS(Release_Calendar!$A$2:$A$755,"NZ_CPI",Release_Calendar!$B$2:$B$755,$A5308)&gt;0,1,0))</f>
        <v>0</v>
      </c>
      <c r="N5308" s="16">
        <f>IF($A5308&lt;Notes!$B$5,"",IF(COUNTIFS(Release_Calendar!$A$2:$A$755,"NZ_GDP",Release_Calendar!$B$2:$B$755,$A5308)&gt;0,1,0))</f>
        <v>0</v>
      </c>
      <c r="O5308" s="16">
        <f>IF($A5308&lt;Notes!$B$5,"",IF(COUNTIFS(Release_Calendar!$A$2:$A$755,"NZ_LABOUR",Release_Calendar!$B$2:$B$755,$A5308)&gt;0,1,0))</f>
        <v>0</v>
      </c>
      <c r="P5308" s="16">
        <f t="shared" si="4"/>
        <v>0</v>
      </c>
    </row>
    <row r="5309" ht="15.75" customHeight="1">
      <c r="A5309" s="14">
        <v>43957.0</v>
      </c>
      <c r="B5309" s="15">
        <v>0.17</v>
      </c>
      <c r="C5309" s="15">
        <v>0.21</v>
      </c>
      <c r="D5309" s="15"/>
      <c r="E5309" s="15"/>
      <c r="F5309" s="15">
        <f t="shared" si="1"/>
        <v>0.04</v>
      </c>
      <c r="G5309" s="15">
        <f t="shared" si="2"/>
        <v>0.21</v>
      </c>
      <c r="H5309" s="16">
        <v>0.0</v>
      </c>
      <c r="I5309" s="15">
        <f t="shared" si="3"/>
        <v>0.04</v>
      </c>
      <c r="J5309" s="15">
        <v>34.12</v>
      </c>
      <c r="K5309" s="16">
        <f>IF(COUNTIFS(Release_Calendar!$A$2:$A$755,"US_CPI",Release_Calendar!$B$2:$B$755,$A5309)&gt;0,1,0)</f>
        <v>0</v>
      </c>
      <c r="L5309" s="16">
        <f>IF(COUNTIFS(Release_Calendar!$A$2:$A$755,"US_NFP",Release_Calendar!$B$2:$B$755,$A5309)&gt;0,1,0)</f>
        <v>0</v>
      </c>
      <c r="M5309" s="16">
        <f>IF($A5309&lt;Notes!$B$5,"",IF(COUNTIFS(Release_Calendar!$A$2:$A$755,"NZ_CPI",Release_Calendar!$B$2:$B$755,$A5309)&gt;0,1,0))</f>
        <v>0</v>
      </c>
      <c r="N5309" s="16">
        <f>IF($A5309&lt;Notes!$B$5,"",IF(COUNTIFS(Release_Calendar!$A$2:$A$755,"NZ_GDP",Release_Calendar!$B$2:$B$755,$A5309)&gt;0,1,0))</f>
        <v>0</v>
      </c>
      <c r="O5309" s="16">
        <f>IF($A5309&lt;Notes!$B$5,"",IF(COUNTIFS(Release_Calendar!$A$2:$A$755,"NZ_LABOUR",Release_Calendar!$B$2:$B$755,$A5309)&gt;0,1,0))</f>
        <v>1</v>
      </c>
      <c r="P5309" s="16">
        <f t="shared" si="4"/>
        <v>1</v>
      </c>
    </row>
    <row r="5310" ht="15.75" customHeight="1">
      <c r="A5310" s="14">
        <v>43958.0</v>
      </c>
      <c r="B5310" s="15">
        <v>0.13</v>
      </c>
      <c r="C5310" s="15">
        <v>0.19</v>
      </c>
      <c r="D5310" s="15"/>
      <c r="E5310" s="15"/>
      <c r="F5310" s="15">
        <f t="shared" si="1"/>
        <v>0.06</v>
      </c>
      <c r="G5310" s="15">
        <f t="shared" si="2"/>
        <v>0.19</v>
      </c>
      <c r="H5310" s="16">
        <v>0.0</v>
      </c>
      <c r="I5310" s="15">
        <f t="shared" si="3"/>
        <v>0.06</v>
      </c>
      <c r="J5310" s="15">
        <v>31.44</v>
      </c>
      <c r="K5310" s="16">
        <f>IF(COUNTIFS(Release_Calendar!$A$2:$A$755,"US_CPI",Release_Calendar!$B$2:$B$755,$A5310)&gt;0,1,0)</f>
        <v>0</v>
      </c>
      <c r="L5310" s="16">
        <f>IF(COUNTIFS(Release_Calendar!$A$2:$A$755,"US_NFP",Release_Calendar!$B$2:$B$755,$A5310)&gt;0,1,0)</f>
        <v>0</v>
      </c>
      <c r="M5310" s="16">
        <f>IF($A5310&lt;Notes!$B$5,"",IF(COUNTIFS(Release_Calendar!$A$2:$A$755,"NZ_CPI",Release_Calendar!$B$2:$B$755,$A5310)&gt;0,1,0))</f>
        <v>0</v>
      </c>
      <c r="N5310" s="16">
        <f>IF($A5310&lt;Notes!$B$5,"",IF(COUNTIFS(Release_Calendar!$A$2:$A$755,"NZ_GDP",Release_Calendar!$B$2:$B$755,$A5310)&gt;0,1,0))</f>
        <v>0</v>
      </c>
      <c r="O5310" s="16">
        <f>IF($A5310&lt;Notes!$B$5,"",IF(COUNTIFS(Release_Calendar!$A$2:$A$755,"NZ_LABOUR",Release_Calendar!$B$2:$B$755,$A5310)&gt;0,1,0))</f>
        <v>0</v>
      </c>
      <c r="P5310" s="16">
        <f t="shared" si="4"/>
        <v>0</v>
      </c>
    </row>
    <row r="5311" ht="15.75" customHeight="1">
      <c r="A5311" s="14">
        <v>43959.0</v>
      </c>
      <c r="B5311" s="15">
        <v>0.16</v>
      </c>
      <c r="C5311" s="15">
        <v>0.17</v>
      </c>
      <c r="D5311" s="15"/>
      <c r="E5311" s="15"/>
      <c r="F5311" s="15">
        <f t="shared" si="1"/>
        <v>0.01</v>
      </c>
      <c r="G5311" s="15">
        <f t="shared" si="2"/>
        <v>0.17</v>
      </c>
      <c r="H5311" s="16">
        <v>0.0</v>
      </c>
      <c r="I5311" s="15">
        <f t="shared" si="3"/>
        <v>0.01</v>
      </c>
      <c r="J5311" s="15">
        <v>27.98</v>
      </c>
      <c r="K5311" s="16">
        <f>IF(COUNTIFS(Release_Calendar!$A$2:$A$755,"US_CPI",Release_Calendar!$B$2:$B$755,$A5311)&gt;0,1,0)</f>
        <v>0</v>
      </c>
      <c r="L5311" s="16">
        <f>IF(COUNTIFS(Release_Calendar!$A$2:$A$755,"US_NFP",Release_Calendar!$B$2:$B$755,$A5311)&gt;0,1,0)</f>
        <v>1</v>
      </c>
      <c r="M5311" s="16">
        <f>IF($A5311&lt;Notes!$B$5,"",IF(COUNTIFS(Release_Calendar!$A$2:$A$755,"NZ_CPI",Release_Calendar!$B$2:$B$755,$A5311)&gt;0,1,0))</f>
        <v>0</v>
      </c>
      <c r="N5311" s="16">
        <f>IF($A5311&lt;Notes!$B$5,"",IF(COUNTIFS(Release_Calendar!$A$2:$A$755,"NZ_GDP",Release_Calendar!$B$2:$B$755,$A5311)&gt;0,1,0))</f>
        <v>0</v>
      </c>
      <c r="O5311" s="16">
        <f>IF($A5311&lt;Notes!$B$5,"",IF(COUNTIFS(Release_Calendar!$A$2:$A$755,"NZ_LABOUR",Release_Calendar!$B$2:$B$755,$A5311)&gt;0,1,0))</f>
        <v>0</v>
      </c>
      <c r="P5311" s="16">
        <f t="shared" si="4"/>
        <v>1</v>
      </c>
    </row>
    <row r="5312" ht="15.75" customHeight="1">
      <c r="A5312" s="14">
        <v>43962.0</v>
      </c>
      <c r="B5312" s="15">
        <v>0.17</v>
      </c>
      <c r="C5312" s="15">
        <v>0.16</v>
      </c>
      <c r="D5312" s="15"/>
      <c r="E5312" s="15"/>
      <c r="F5312" s="15">
        <f t="shared" si="1"/>
        <v>-0.01</v>
      </c>
      <c r="G5312" s="15">
        <f t="shared" si="2"/>
        <v>0.16</v>
      </c>
      <c r="H5312" s="16">
        <v>0.0</v>
      </c>
      <c r="I5312" s="15">
        <f t="shared" si="3"/>
        <v>-0.01</v>
      </c>
      <c r="J5312" s="15">
        <v>27.57</v>
      </c>
      <c r="K5312" s="16">
        <f>IF(COUNTIFS(Release_Calendar!$A$2:$A$755,"US_CPI",Release_Calendar!$B$2:$B$755,$A5312)&gt;0,1,0)</f>
        <v>0</v>
      </c>
      <c r="L5312" s="16">
        <f>IF(COUNTIFS(Release_Calendar!$A$2:$A$755,"US_NFP",Release_Calendar!$B$2:$B$755,$A5312)&gt;0,1,0)</f>
        <v>0</v>
      </c>
      <c r="M5312" s="16">
        <f>IF($A5312&lt;Notes!$B$5,"",IF(COUNTIFS(Release_Calendar!$A$2:$A$755,"NZ_CPI",Release_Calendar!$B$2:$B$755,$A5312)&gt;0,1,0))</f>
        <v>0</v>
      </c>
      <c r="N5312" s="16">
        <f>IF($A5312&lt;Notes!$B$5,"",IF(COUNTIFS(Release_Calendar!$A$2:$A$755,"NZ_GDP",Release_Calendar!$B$2:$B$755,$A5312)&gt;0,1,0))</f>
        <v>0</v>
      </c>
      <c r="O5312" s="16">
        <f>IF($A5312&lt;Notes!$B$5,"",IF(COUNTIFS(Release_Calendar!$A$2:$A$755,"NZ_LABOUR",Release_Calendar!$B$2:$B$755,$A5312)&gt;0,1,0))</f>
        <v>0</v>
      </c>
      <c r="P5312" s="16">
        <f t="shared" si="4"/>
        <v>0</v>
      </c>
    </row>
    <row r="5313" ht="15.75" customHeight="1">
      <c r="A5313" s="14">
        <v>43963.0</v>
      </c>
      <c r="B5313" s="15">
        <v>0.17</v>
      </c>
      <c r="C5313" s="15">
        <v>0.17</v>
      </c>
      <c r="D5313" s="15"/>
      <c r="E5313" s="15"/>
      <c r="F5313" s="15">
        <f t="shared" si="1"/>
        <v>0</v>
      </c>
      <c r="G5313" s="15">
        <f t="shared" si="2"/>
        <v>0.17</v>
      </c>
      <c r="H5313" s="16">
        <v>0.0</v>
      </c>
      <c r="I5313" s="15">
        <f t="shared" si="3"/>
        <v>0</v>
      </c>
      <c r="J5313" s="15">
        <v>33.04</v>
      </c>
      <c r="K5313" s="16">
        <f>IF(COUNTIFS(Release_Calendar!$A$2:$A$755,"US_CPI",Release_Calendar!$B$2:$B$755,$A5313)&gt;0,1,0)</f>
        <v>1</v>
      </c>
      <c r="L5313" s="16">
        <f>IF(COUNTIFS(Release_Calendar!$A$2:$A$755,"US_NFP",Release_Calendar!$B$2:$B$755,$A5313)&gt;0,1,0)</f>
        <v>0</v>
      </c>
      <c r="M5313" s="16">
        <f>IF($A5313&lt;Notes!$B$5,"",IF(COUNTIFS(Release_Calendar!$A$2:$A$755,"NZ_CPI",Release_Calendar!$B$2:$B$755,$A5313)&gt;0,1,0))</f>
        <v>0</v>
      </c>
      <c r="N5313" s="16">
        <f>IF($A5313&lt;Notes!$B$5,"",IF(COUNTIFS(Release_Calendar!$A$2:$A$755,"NZ_GDP",Release_Calendar!$B$2:$B$755,$A5313)&gt;0,1,0))</f>
        <v>0</v>
      </c>
      <c r="O5313" s="16">
        <f>IF($A5313&lt;Notes!$B$5,"",IF(COUNTIFS(Release_Calendar!$A$2:$A$755,"NZ_LABOUR",Release_Calendar!$B$2:$B$755,$A5313)&gt;0,1,0))</f>
        <v>0</v>
      </c>
      <c r="P5313" s="16">
        <f t="shared" si="4"/>
        <v>1</v>
      </c>
    </row>
    <row r="5314" ht="15.75" customHeight="1">
      <c r="A5314" s="14">
        <v>43964.0</v>
      </c>
      <c r="B5314" s="15">
        <v>0.16</v>
      </c>
      <c r="C5314" s="15">
        <v>0.1</v>
      </c>
      <c r="D5314" s="15"/>
      <c r="E5314" s="15"/>
      <c r="F5314" s="15">
        <f t="shared" si="1"/>
        <v>-0.06</v>
      </c>
      <c r="G5314" s="15">
        <f t="shared" si="2"/>
        <v>0.1</v>
      </c>
      <c r="H5314" s="16">
        <v>0.0</v>
      </c>
      <c r="I5314" s="15">
        <f t="shared" si="3"/>
        <v>-0.06</v>
      </c>
      <c r="J5314" s="15">
        <v>35.28</v>
      </c>
      <c r="K5314" s="16">
        <f>IF(COUNTIFS(Release_Calendar!$A$2:$A$755,"US_CPI",Release_Calendar!$B$2:$B$755,$A5314)&gt;0,1,0)</f>
        <v>0</v>
      </c>
      <c r="L5314" s="16">
        <f>IF(COUNTIFS(Release_Calendar!$A$2:$A$755,"US_NFP",Release_Calendar!$B$2:$B$755,$A5314)&gt;0,1,0)</f>
        <v>0</v>
      </c>
      <c r="M5314" s="16">
        <f>IF($A5314&lt;Notes!$B$5,"",IF(COUNTIFS(Release_Calendar!$A$2:$A$755,"NZ_CPI",Release_Calendar!$B$2:$B$755,$A5314)&gt;0,1,0))</f>
        <v>0</v>
      </c>
      <c r="N5314" s="16">
        <f>IF($A5314&lt;Notes!$B$5,"",IF(COUNTIFS(Release_Calendar!$A$2:$A$755,"NZ_GDP",Release_Calendar!$B$2:$B$755,$A5314)&gt;0,1,0))</f>
        <v>0</v>
      </c>
      <c r="O5314" s="16">
        <f>IF($A5314&lt;Notes!$B$5,"",IF(COUNTIFS(Release_Calendar!$A$2:$A$755,"NZ_LABOUR",Release_Calendar!$B$2:$B$755,$A5314)&gt;0,1,0))</f>
        <v>0</v>
      </c>
      <c r="P5314" s="16">
        <f t="shared" si="4"/>
        <v>0</v>
      </c>
    </row>
    <row r="5315" ht="15.75" customHeight="1">
      <c r="A5315" s="14">
        <v>43965.0</v>
      </c>
      <c r="B5315" s="15">
        <v>0.16</v>
      </c>
      <c r="C5315" s="15">
        <v>0.12</v>
      </c>
      <c r="D5315" s="15"/>
      <c r="E5315" s="15"/>
      <c r="F5315" s="15">
        <f t="shared" si="1"/>
        <v>-0.04</v>
      </c>
      <c r="G5315" s="15">
        <f t="shared" si="2"/>
        <v>0.12</v>
      </c>
      <c r="H5315" s="16">
        <v>0.0</v>
      </c>
      <c r="I5315" s="15">
        <f t="shared" si="3"/>
        <v>-0.04</v>
      </c>
      <c r="J5315" s="15">
        <v>32.61</v>
      </c>
      <c r="K5315" s="16">
        <f>IF(COUNTIFS(Release_Calendar!$A$2:$A$755,"US_CPI",Release_Calendar!$B$2:$B$755,$A5315)&gt;0,1,0)</f>
        <v>0</v>
      </c>
      <c r="L5315" s="16">
        <f>IF(COUNTIFS(Release_Calendar!$A$2:$A$755,"US_NFP",Release_Calendar!$B$2:$B$755,$A5315)&gt;0,1,0)</f>
        <v>0</v>
      </c>
      <c r="M5315" s="16">
        <f>IF($A5315&lt;Notes!$B$5,"",IF(COUNTIFS(Release_Calendar!$A$2:$A$755,"NZ_CPI",Release_Calendar!$B$2:$B$755,$A5315)&gt;0,1,0))</f>
        <v>0</v>
      </c>
      <c r="N5315" s="16">
        <f>IF($A5315&lt;Notes!$B$5,"",IF(COUNTIFS(Release_Calendar!$A$2:$A$755,"NZ_GDP",Release_Calendar!$B$2:$B$755,$A5315)&gt;0,1,0))</f>
        <v>0</v>
      </c>
      <c r="O5315" s="16">
        <f>IF($A5315&lt;Notes!$B$5,"",IF(COUNTIFS(Release_Calendar!$A$2:$A$755,"NZ_LABOUR",Release_Calendar!$B$2:$B$755,$A5315)&gt;0,1,0))</f>
        <v>0</v>
      </c>
      <c r="P5315" s="16">
        <f t="shared" si="4"/>
        <v>0</v>
      </c>
    </row>
    <row r="5316" ht="15.75" customHeight="1">
      <c r="A5316" s="14">
        <v>43966.0</v>
      </c>
      <c r="B5316" s="15">
        <v>0.16</v>
      </c>
      <c r="C5316" s="15">
        <v>0.12</v>
      </c>
      <c r="D5316" s="15"/>
      <c r="E5316" s="15"/>
      <c r="F5316" s="15">
        <f t="shared" si="1"/>
        <v>-0.04</v>
      </c>
      <c r="G5316" s="15">
        <f t="shared" si="2"/>
        <v>0.12</v>
      </c>
      <c r="H5316" s="16">
        <v>0.0</v>
      </c>
      <c r="I5316" s="15">
        <f t="shared" si="3"/>
        <v>-0.04</v>
      </c>
      <c r="J5316" s="15">
        <v>31.89</v>
      </c>
      <c r="K5316" s="16">
        <f>IF(COUNTIFS(Release_Calendar!$A$2:$A$755,"US_CPI",Release_Calendar!$B$2:$B$755,$A5316)&gt;0,1,0)</f>
        <v>0</v>
      </c>
      <c r="L5316" s="16">
        <f>IF(COUNTIFS(Release_Calendar!$A$2:$A$755,"US_NFP",Release_Calendar!$B$2:$B$755,$A5316)&gt;0,1,0)</f>
        <v>0</v>
      </c>
      <c r="M5316" s="16">
        <f>IF($A5316&lt;Notes!$B$5,"",IF(COUNTIFS(Release_Calendar!$A$2:$A$755,"NZ_CPI",Release_Calendar!$B$2:$B$755,$A5316)&gt;0,1,0))</f>
        <v>0</v>
      </c>
      <c r="N5316" s="16">
        <f>IF($A5316&lt;Notes!$B$5,"",IF(COUNTIFS(Release_Calendar!$A$2:$A$755,"NZ_GDP",Release_Calendar!$B$2:$B$755,$A5316)&gt;0,1,0))</f>
        <v>0</v>
      </c>
      <c r="O5316" s="16">
        <f>IF($A5316&lt;Notes!$B$5,"",IF(COUNTIFS(Release_Calendar!$A$2:$A$755,"NZ_LABOUR",Release_Calendar!$B$2:$B$755,$A5316)&gt;0,1,0))</f>
        <v>0</v>
      </c>
      <c r="P5316" s="16">
        <f t="shared" si="4"/>
        <v>0</v>
      </c>
    </row>
    <row r="5317" ht="15.75" customHeight="1">
      <c r="A5317" s="14">
        <v>43969.0</v>
      </c>
      <c r="B5317" s="15">
        <v>0.18</v>
      </c>
      <c r="C5317" s="15">
        <v>0.11</v>
      </c>
      <c r="D5317" s="15"/>
      <c r="E5317" s="15"/>
      <c r="F5317" s="15">
        <f t="shared" si="1"/>
        <v>-0.07</v>
      </c>
      <c r="G5317" s="15">
        <f t="shared" si="2"/>
        <v>0.11</v>
      </c>
      <c r="H5317" s="16">
        <v>0.0</v>
      </c>
      <c r="I5317" s="15">
        <f t="shared" si="3"/>
        <v>-0.07</v>
      </c>
      <c r="J5317" s="15">
        <v>29.3</v>
      </c>
      <c r="K5317" s="16">
        <f>IF(COUNTIFS(Release_Calendar!$A$2:$A$755,"US_CPI",Release_Calendar!$B$2:$B$755,$A5317)&gt;0,1,0)</f>
        <v>0</v>
      </c>
      <c r="L5317" s="16">
        <f>IF(COUNTIFS(Release_Calendar!$A$2:$A$755,"US_NFP",Release_Calendar!$B$2:$B$755,$A5317)&gt;0,1,0)</f>
        <v>0</v>
      </c>
      <c r="M5317" s="16">
        <f>IF($A5317&lt;Notes!$B$5,"",IF(COUNTIFS(Release_Calendar!$A$2:$A$755,"NZ_CPI",Release_Calendar!$B$2:$B$755,$A5317)&gt;0,1,0))</f>
        <v>0</v>
      </c>
      <c r="N5317" s="16">
        <f>IF($A5317&lt;Notes!$B$5,"",IF(COUNTIFS(Release_Calendar!$A$2:$A$755,"NZ_GDP",Release_Calendar!$B$2:$B$755,$A5317)&gt;0,1,0))</f>
        <v>0</v>
      </c>
      <c r="O5317" s="16">
        <f>IF($A5317&lt;Notes!$B$5,"",IF(COUNTIFS(Release_Calendar!$A$2:$A$755,"NZ_LABOUR",Release_Calendar!$B$2:$B$755,$A5317)&gt;0,1,0))</f>
        <v>0</v>
      </c>
      <c r="P5317" s="16">
        <f t="shared" si="4"/>
        <v>0</v>
      </c>
    </row>
    <row r="5318" ht="15.75" customHeight="1">
      <c r="A5318" s="14">
        <v>43970.0</v>
      </c>
      <c r="B5318" s="15">
        <v>0.17</v>
      </c>
      <c r="C5318" s="15">
        <v>0.13</v>
      </c>
      <c r="D5318" s="15"/>
      <c r="E5318" s="15"/>
      <c r="F5318" s="15">
        <f t="shared" si="1"/>
        <v>-0.04</v>
      </c>
      <c r="G5318" s="15">
        <f t="shared" si="2"/>
        <v>0.13</v>
      </c>
      <c r="H5318" s="16">
        <v>0.0</v>
      </c>
      <c r="I5318" s="15">
        <f t="shared" si="3"/>
        <v>-0.04</v>
      </c>
      <c r="J5318" s="15">
        <v>30.53</v>
      </c>
      <c r="K5318" s="16">
        <f>IF(COUNTIFS(Release_Calendar!$A$2:$A$755,"US_CPI",Release_Calendar!$B$2:$B$755,$A5318)&gt;0,1,0)</f>
        <v>0</v>
      </c>
      <c r="L5318" s="16">
        <f>IF(COUNTIFS(Release_Calendar!$A$2:$A$755,"US_NFP",Release_Calendar!$B$2:$B$755,$A5318)&gt;0,1,0)</f>
        <v>0</v>
      </c>
      <c r="M5318" s="16">
        <f>IF($A5318&lt;Notes!$B$5,"",IF(COUNTIFS(Release_Calendar!$A$2:$A$755,"NZ_CPI",Release_Calendar!$B$2:$B$755,$A5318)&gt;0,1,0))</f>
        <v>0</v>
      </c>
      <c r="N5318" s="16">
        <f>IF($A5318&lt;Notes!$B$5,"",IF(COUNTIFS(Release_Calendar!$A$2:$A$755,"NZ_GDP",Release_Calendar!$B$2:$B$755,$A5318)&gt;0,1,0))</f>
        <v>0</v>
      </c>
      <c r="O5318" s="16">
        <f>IF($A5318&lt;Notes!$B$5,"",IF(COUNTIFS(Release_Calendar!$A$2:$A$755,"NZ_LABOUR",Release_Calendar!$B$2:$B$755,$A5318)&gt;0,1,0))</f>
        <v>0</v>
      </c>
      <c r="P5318" s="16">
        <f t="shared" si="4"/>
        <v>0</v>
      </c>
    </row>
    <row r="5319" ht="15.75" customHeight="1">
      <c r="A5319" s="14">
        <v>43971.0</v>
      </c>
      <c r="B5319" s="15">
        <v>0.16</v>
      </c>
      <c r="C5319" s="15">
        <v>0.14</v>
      </c>
      <c r="D5319" s="15"/>
      <c r="E5319" s="15"/>
      <c r="F5319" s="15">
        <f t="shared" si="1"/>
        <v>-0.02</v>
      </c>
      <c r="G5319" s="15">
        <f t="shared" si="2"/>
        <v>0.14</v>
      </c>
      <c r="H5319" s="16">
        <v>0.0</v>
      </c>
      <c r="I5319" s="15">
        <f t="shared" si="3"/>
        <v>-0.02</v>
      </c>
      <c r="J5319" s="15">
        <v>27.99</v>
      </c>
      <c r="K5319" s="16">
        <f>IF(COUNTIFS(Release_Calendar!$A$2:$A$755,"US_CPI",Release_Calendar!$B$2:$B$755,$A5319)&gt;0,1,0)</f>
        <v>0</v>
      </c>
      <c r="L5319" s="16">
        <f>IF(COUNTIFS(Release_Calendar!$A$2:$A$755,"US_NFP",Release_Calendar!$B$2:$B$755,$A5319)&gt;0,1,0)</f>
        <v>0</v>
      </c>
      <c r="M5319" s="16">
        <f>IF($A5319&lt;Notes!$B$5,"",IF(COUNTIFS(Release_Calendar!$A$2:$A$755,"NZ_CPI",Release_Calendar!$B$2:$B$755,$A5319)&gt;0,1,0))</f>
        <v>0</v>
      </c>
      <c r="N5319" s="16">
        <f>IF($A5319&lt;Notes!$B$5,"",IF(COUNTIFS(Release_Calendar!$A$2:$A$755,"NZ_GDP",Release_Calendar!$B$2:$B$755,$A5319)&gt;0,1,0))</f>
        <v>0</v>
      </c>
      <c r="O5319" s="16">
        <f>IF($A5319&lt;Notes!$B$5,"",IF(COUNTIFS(Release_Calendar!$A$2:$A$755,"NZ_LABOUR",Release_Calendar!$B$2:$B$755,$A5319)&gt;0,1,0))</f>
        <v>0</v>
      </c>
      <c r="P5319" s="16">
        <f t="shared" si="4"/>
        <v>0</v>
      </c>
    </row>
    <row r="5320" ht="15.75" customHeight="1">
      <c r="A5320" s="14">
        <v>43972.0</v>
      </c>
      <c r="B5320" s="15">
        <v>0.17</v>
      </c>
      <c r="C5320" s="15">
        <v>0.14</v>
      </c>
      <c r="D5320" s="15"/>
      <c r="E5320" s="15"/>
      <c r="F5320" s="15">
        <f t="shared" si="1"/>
        <v>-0.03</v>
      </c>
      <c r="G5320" s="15">
        <f t="shared" si="2"/>
        <v>0.14</v>
      </c>
      <c r="H5320" s="16">
        <v>0.0</v>
      </c>
      <c r="I5320" s="15">
        <f t="shared" si="3"/>
        <v>-0.03</v>
      </c>
      <c r="J5320" s="15">
        <v>29.53</v>
      </c>
      <c r="K5320" s="16">
        <f>IF(COUNTIFS(Release_Calendar!$A$2:$A$755,"US_CPI",Release_Calendar!$B$2:$B$755,$A5320)&gt;0,1,0)</f>
        <v>0</v>
      </c>
      <c r="L5320" s="16">
        <f>IF(COUNTIFS(Release_Calendar!$A$2:$A$755,"US_NFP",Release_Calendar!$B$2:$B$755,$A5320)&gt;0,1,0)</f>
        <v>0</v>
      </c>
      <c r="M5320" s="16">
        <f>IF($A5320&lt;Notes!$B$5,"",IF(COUNTIFS(Release_Calendar!$A$2:$A$755,"NZ_CPI",Release_Calendar!$B$2:$B$755,$A5320)&gt;0,1,0))</f>
        <v>0</v>
      </c>
      <c r="N5320" s="16">
        <f>IF($A5320&lt;Notes!$B$5,"",IF(COUNTIFS(Release_Calendar!$A$2:$A$755,"NZ_GDP",Release_Calendar!$B$2:$B$755,$A5320)&gt;0,1,0))</f>
        <v>0</v>
      </c>
      <c r="O5320" s="16">
        <f>IF($A5320&lt;Notes!$B$5,"",IF(COUNTIFS(Release_Calendar!$A$2:$A$755,"NZ_LABOUR",Release_Calendar!$B$2:$B$755,$A5320)&gt;0,1,0))</f>
        <v>0</v>
      </c>
      <c r="P5320" s="16">
        <f t="shared" si="4"/>
        <v>0</v>
      </c>
    </row>
    <row r="5321" ht="15.75" customHeight="1">
      <c r="A5321" s="14">
        <v>43973.0</v>
      </c>
      <c r="B5321" s="15">
        <v>0.17</v>
      </c>
      <c r="C5321" s="15">
        <v>0.16</v>
      </c>
      <c r="D5321" s="15"/>
      <c r="E5321" s="15"/>
      <c r="F5321" s="15">
        <f t="shared" si="1"/>
        <v>-0.01</v>
      </c>
      <c r="G5321" s="15">
        <f t="shared" si="2"/>
        <v>0.16</v>
      </c>
      <c r="H5321" s="16">
        <v>0.0</v>
      </c>
      <c r="I5321" s="15">
        <f t="shared" si="3"/>
        <v>-0.01</v>
      </c>
      <c r="J5321" s="15">
        <v>28.16</v>
      </c>
      <c r="K5321" s="16">
        <f>IF(COUNTIFS(Release_Calendar!$A$2:$A$755,"US_CPI",Release_Calendar!$B$2:$B$755,$A5321)&gt;0,1,0)</f>
        <v>0</v>
      </c>
      <c r="L5321" s="16">
        <f>IF(COUNTIFS(Release_Calendar!$A$2:$A$755,"US_NFP",Release_Calendar!$B$2:$B$755,$A5321)&gt;0,1,0)</f>
        <v>0</v>
      </c>
      <c r="M5321" s="16">
        <f>IF($A5321&lt;Notes!$B$5,"",IF(COUNTIFS(Release_Calendar!$A$2:$A$755,"NZ_CPI",Release_Calendar!$B$2:$B$755,$A5321)&gt;0,1,0))</f>
        <v>0</v>
      </c>
      <c r="N5321" s="16">
        <f>IF($A5321&lt;Notes!$B$5,"",IF(COUNTIFS(Release_Calendar!$A$2:$A$755,"NZ_GDP",Release_Calendar!$B$2:$B$755,$A5321)&gt;0,1,0))</f>
        <v>0</v>
      </c>
      <c r="O5321" s="16">
        <f>IF($A5321&lt;Notes!$B$5,"",IF(COUNTIFS(Release_Calendar!$A$2:$A$755,"NZ_LABOUR",Release_Calendar!$B$2:$B$755,$A5321)&gt;0,1,0))</f>
        <v>0</v>
      </c>
      <c r="P5321" s="16">
        <f t="shared" si="4"/>
        <v>0</v>
      </c>
    </row>
    <row r="5322" ht="15.75" customHeight="1">
      <c r="A5322" s="14">
        <v>43976.0</v>
      </c>
      <c r="B5322" s="15"/>
      <c r="C5322" s="15">
        <v>0.18</v>
      </c>
      <c r="D5322" s="15"/>
      <c r="E5322" s="15"/>
      <c r="F5322" s="15" t="str">
        <f t="shared" si="1"/>
        <v/>
      </c>
      <c r="G5322" s="15">
        <f t="shared" si="2"/>
        <v>0.18</v>
      </c>
      <c r="H5322" s="16">
        <v>0.0</v>
      </c>
      <c r="I5322" s="15" t="str">
        <f t="shared" si="3"/>
        <v/>
      </c>
      <c r="J5322" s="15"/>
      <c r="K5322" s="16">
        <f>IF(COUNTIFS(Release_Calendar!$A$2:$A$755,"US_CPI",Release_Calendar!$B$2:$B$755,$A5322)&gt;0,1,0)</f>
        <v>0</v>
      </c>
      <c r="L5322" s="16">
        <f>IF(COUNTIFS(Release_Calendar!$A$2:$A$755,"US_NFP",Release_Calendar!$B$2:$B$755,$A5322)&gt;0,1,0)</f>
        <v>0</v>
      </c>
      <c r="M5322" s="16">
        <f>IF($A5322&lt;Notes!$B$5,"",IF(COUNTIFS(Release_Calendar!$A$2:$A$755,"NZ_CPI",Release_Calendar!$B$2:$B$755,$A5322)&gt;0,1,0))</f>
        <v>0</v>
      </c>
      <c r="N5322" s="16">
        <f>IF($A5322&lt;Notes!$B$5,"",IF(COUNTIFS(Release_Calendar!$A$2:$A$755,"NZ_GDP",Release_Calendar!$B$2:$B$755,$A5322)&gt;0,1,0))</f>
        <v>0</v>
      </c>
      <c r="O5322" s="16">
        <f>IF($A5322&lt;Notes!$B$5,"",IF(COUNTIFS(Release_Calendar!$A$2:$A$755,"NZ_LABOUR",Release_Calendar!$B$2:$B$755,$A5322)&gt;0,1,0))</f>
        <v>0</v>
      </c>
      <c r="P5322" s="16">
        <f t="shared" si="4"/>
        <v>0</v>
      </c>
    </row>
    <row r="5323" ht="15.75" customHeight="1">
      <c r="A5323" s="14">
        <v>43977.0</v>
      </c>
      <c r="B5323" s="15">
        <v>0.18</v>
      </c>
      <c r="C5323" s="15">
        <v>0.2</v>
      </c>
      <c r="D5323" s="15"/>
      <c r="E5323" s="15"/>
      <c r="F5323" s="15">
        <f t="shared" si="1"/>
        <v>0.02</v>
      </c>
      <c r="G5323" s="15">
        <f t="shared" si="2"/>
        <v>0.2</v>
      </c>
      <c r="H5323" s="16">
        <v>0.0</v>
      </c>
      <c r="I5323" s="15">
        <f t="shared" si="3"/>
        <v>0.02</v>
      </c>
      <c r="J5323" s="15">
        <v>28.01</v>
      </c>
      <c r="K5323" s="16">
        <f>IF(COUNTIFS(Release_Calendar!$A$2:$A$755,"US_CPI",Release_Calendar!$B$2:$B$755,$A5323)&gt;0,1,0)</f>
        <v>0</v>
      </c>
      <c r="L5323" s="16">
        <f>IF(COUNTIFS(Release_Calendar!$A$2:$A$755,"US_NFP",Release_Calendar!$B$2:$B$755,$A5323)&gt;0,1,0)</f>
        <v>0</v>
      </c>
      <c r="M5323" s="16">
        <f>IF($A5323&lt;Notes!$B$5,"",IF(COUNTIFS(Release_Calendar!$A$2:$A$755,"NZ_CPI",Release_Calendar!$B$2:$B$755,$A5323)&gt;0,1,0))</f>
        <v>0</v>
      </c>
      <c r="N5323" s="16">
        <f>IF($A5323&lt;Notes!$B$5,"",IF(COUNTIFS(Release_Calendar!$A$2:$A$755,"NZ_GDP",Release_Calendar!$B$2:$B$755,$A5323)&gt;0,1,0))</f>
        <v>0</v>
      </c>
      <c r="O5323" s="16">
        <f>IF($A5323&lt;Notes!$B$5,"",IF(COUNTIFS(Release_Calendar!$A$2:$A$755,"NZ_LABOUR",Release_Calendar!$B$2:$B$755,$A5323)&gt;0,1,0))</f>
        <v>0</v>
      </c>
      <c r="P5323" s="16">
        <f t="shared" si="4"/>
        <v>0</v>
      </c>
    </row>
    <row r="5324" ht="15.75" customHeight="1">
      <c r="A5324" s="14">
        <v>43978.0</v>
      </c>
      <c r="B5324" s="15">
        <v>0.19</v>
      </c>
      <c r="C5324" s="15">
        <v>0.22</v>
      </c>
      <c r="D5324" s="15"/>
      <c r="E5324" s="15"/>
      <c r="F5324" s="15">
        <f t="shared" si="1"/>
        <v>0.03</v>
      </c>
      <c r="G5324" s="15">
        <f t="shared" si="2"/>
        <v>0.22</v>
      </c>
      <c r="H5324" s="16">
        <v>0.0</v>
      </c>
      <c r="I5324" s="15">
        <f t="shared" si="3"/>
        <v>0.03</v>
      </c>
      <c r="J5324" s="15">
        <v>27.62</v>
      </c>
      <c r="K5324" s="16">
        <f>IF(COUNTIFS(Release_Calendar!$A$2:$A$755,"US_CPI",Release_Calendar!$B$2:$B$755,$A5324)&gt;0,1,0)</f>
        <v>0</v>
      </c>
      <c r="L5324" s="16">
        <f>IF(COUNTIFS(Release_Calendar!$A$2:$A$755,"US_NFP",Release_Calendar!$B$2:$B$755,$A5324)&gt;0,1,0)</f>
        <v>0</v>
      </c>
      <c r="M5324" s="16">
        <f>IF($A5324&lt;Notes!$B$5,"",IF(COUNTIFS(Release_Calendar!$A$2:$A$755,"NZ_CPI",Release_Calendar!$B$2:$B$755,$A5324)&gt;0,1,0))</f>
        <v>0</v>
      </c>
      <c r="N5324" s="16">
        <f>IF($A5324&lt;Notes!$B$5,"",IF(COUNTIFS(Release_Calendar!$A$2:$A$755,"NZ_GDP",Release_Calendar!$B$2:$B$755,$A5324)&gt;0,1,0))</f>
        <v>0</v>
      </c>
      <c r="O5324" s="16">
        <f>IF($A5324&lt;Notes!$B$5,"",IF(COUNTIFS(Release_Calendar!$A$2:$A$755,"NZ_LABOUR",Release_Calendar!$B$2:$B$755,$A5324)&gt;0,1,0))</f>
        <v>0</v>
      </c>
      <c r="P5324" s="16">
        <f t="shared" si="4"/>
        <v>0</v>
      </c>
    </row>
    <row r="5325" ht="15.75" customHeight="1">
      <c r="A5325" s="14">
        <v>43979.0</v>
      </c>
      <c r="B5325" s="15">
        <v>0.17</v>
      </c>
      <c r="C5325" s="15">
        <v>0.21</v>
      </c>
      <c r="D5325" s="15"/>
      <c r="E5325" s="15"/>
      <c r="F5325" s="15">
        <f t="shared" si="1"/>
        <v>0.04</v>
      </c>
      <c r="G5325" s="15">
        <f t="shared" si="2"/>
        <v>0.21</v>
      </c>
      <c r="H5325" s="16">
        <v>0.0</v>
      </c>
      <c r="I5325" s="15">
        <f t="shared" si="3"/>
        <v>0.04</v>
      </c>
      <c r="J5325" s="15">
        <v>28.59</v>
      </c>
      <c r="K5325" s="16">
        <f>IF(COUNTIFS(Release_Calendar!$A$2:$A$755,"US_CPI",Release_Calendar!$B$2:$B$755,$A5325)&gt;0,1,0)</f>
        <v>0</v>
      </c>
      <c r="L5325" s="16">
        <f>IF(COUNTIFS(Release_Calendar!$A$2:$A$755,"US_NFP",Release_Calendar!$B$2:$B$755,$A5325)&gt;0,1,0)</f>
        <v>0</v>
      </c>
      <c r="M5325" s="16">
        <f>IF($A5325&lt;Notes!$B$5,"",IF(COUNTIFS(Release_Calendar!$A$2:$A$755,"NZ_CPI",Release_Calendar!$B$2:$B$755,$A5325)&gt;0,1,0))</f>
        <v>0</v>
      </c>
      <c r="N5325" s="16">
        <f>IF($A5325&lt;Notes!$B$5,"",IF(COUNTIFS(Release_Calendar!$A$2:$A$755,"NZ_GDP",Release_Calendar!$B$2:$B$755,$A5325)&gt;0,1,0))</f>
        <v>0</v>
      </c>
      <c r="O5325" s="16">
        <f>IF($A5325&lt;Notes!$B$5,"",IF(COUNTIFS(Release_Calendar!$A$2:$A$755,"NZ_LABOUR",Release_Calendar!$B$2:$B$755,$A5325)&gt;0,1,0))</f>
        <v>0</v>
      </c>
      <c r="P5325" s="16">
        <f t="shared" si="4"/>
        <v>0</v>
      </c>
    </row>
    <row r="5326" ht="15.75" customHeight="1">
      <c r="A5326" s="14">
        <v>43980.0</v>
      </c>
      <c r="B5326" s="15">
        <v>0.16</v>
      </c>
      <c r="C5326" s="15">
        <v>0.22</v>
      </c>
      <c r="D5326" s="15"/>
      <c r="E5326" s="15"/>
      <c r="F5326" s="15">
        <f t="shared" si="1"/>
        <v>0.06</v>
      </c>
      <c r="G5326" s="15">
        <f t="shared" si="2"/>
        <v>0.22</v>
      </c>
      <c r="H5326" s="16">
        <v>0.0</v>
      </c>
      <c r="I5326" s="15">
        <f t="shared" si="3"/>
        <v>0.06</v>
      </c>
      <c r="J5326" s="15">
        <v>27.51</v>
      </c>
      <c r="K5326" s="16">
        <f>IF(COUNTIFS(Release_Calendar!$A$2:$A$755,"US_CPI",Release_Calendar!$B$2:$B$755,$A5326)&gt;0,1,0)</f>
        <v>0</v>
      </c>
      <c r="L5326" s="16">
        <f>IF(COUNTIFS(Release_Calendar!$A$2:$A$755,"US_NFP",Release_Calendar!$B$2:$B$755,$A5326)&gt;0,1,0)</f>
        <v>0</v>
      </c>
      <c r="M5326" s="16">
        <f>IF($A5326&lt;Notes!$B$5,"",IF(COUNTIFS(Release_Calendar!$A$2:$A$755,"NZ_CPI",Release_Calendar!$B$2:$B$755,$A5326)&gt;0,1,0))</f>
        <v>0</v>
      </c>
      <c r="N5326" s="16">
        <f>IF($A5326&lt;Notes!$B$5,"",IF(COUNTIFS(Release_Calendar!$A$2:$A$755,"NZ_GDP",Release_Calendar!$B$2:$B$755,$A5326)&gt;0,1,0))</f>
        <v>0</v>
      </c>
      <c r="O5326" s="16">
        <f>IF($A5326&lt;Notes!$B$5,"",IF(COUNTIFS(Release_Calendar!$A$2:$A$755,"NZ_LABOUR",Release_Calendar!$B$2:$B$755,$A5326)&gt;0,1,0))</f>
        <v>0</v>
      </c>
      <c r="P5326" s="16">
        <f t="shared" si="4"/>
        <v>0</v>
      </c>
    </row>
    <row r="5327" ht="15.75" customHeight="1">
      <c r="A5327" s="14">
        <v>43983.0</v>
      </c>
      <c r="B5327" s="15">
        <v>0.14</v>
      </c>
      <c r="C5327" s="15"/>
      <c r="D5327" s="15"/>
      <c r="E5327" s="15"/>
      <c r="F5327" s="15" t="str">
        <f t="shared" si="1"/>
        <v/>
      </c>
      <c r="G5327" s="15" t="str">
        <f t="shared" si="2"/>
        <v/>
      </c>
      <c r="H5327" s="16">
        <v>0.0</v>
      </c>
      <c r="I5327" s="15" t="str">
        <f t="shared" si="3"/>
        <v/>
      </c>
      <c r="J5327" s="15">
        <v>28.23</v>
      </c>
      <c r="K5327" s="16">
        <f>IF(COUNTIFS(Release_Calendar!$A$2:$A$755,"US_CPI",Release_Calendar!$B$2:$B$755,$A5327)&gt;0,1,0)</f>
        <v>0</v>
      </c>
      <c r="L5327" s="16">
        <f>IF(COUNTIFS(Release_Calendar!$A$2:$A$755,"US_NFP",Release_Calendar!$B$2:$B$755,$A5327)&gt;0,1,0)</f>
        <v>0</v>
      </c>
      <c r="M5327" s="16">
        <f>IF($A5327&lt;Notes!$B$5,"",IF(COUNTIFS(Release_Calendar!$A$2:$A$755,"NZ_CPI",Release_Calendar!$B$2:$B$755,$A5327)&gt;0,1,0))</f>
        <v>0</v>
      </c>
      <c r="N5327" s="16">
        <f>IF($A5327&lt;Notes!$B$5,"",IF(COUNTIFS(Release_Calendar!$A$2:$A$755,"NZ_GDP",Release_Calendar!$B$2:$B$755,$A5327)&gt;0,1,0))</f>
        <v>0</v>
      </c>
      <c r="O5327" s="16">
        <f>IF($A5327&lt;Notes!$B$5,"",IF(COUNTIFS(Release_Calendar!$A$2:$A$755,"NZ_LABOUR",Release_Calendar!$B$2:$B$755,$A5327)&gt;0,1,0))</f>
        <v>0</v>
      </c>
      <c r="P5327" s="16">
        <f t="shared" si="4"/>
        <v>0</v>
      </c>
    </row>
    <row r="5328" ht="15.75" customHeight="1">
      <c r="A5328" s="14">
        <v>43984.0</v>
      </c>
      <c r="B5328" s="15">
        <v>0.17</v>
      </c>
      <c r="C5328" s="15">
        <v>0.22</v>
      </c>
      <c r="D5328" s="15"/>
      <c r="E5328" s="15"/>
      <c r="F5328" s="15">
        <f t="shared" si="1"/>
        <v>0.05</v>
      </c>
      <c r="G5328" s="15">
        <f t="shared" si="2"/>
        <v>0.22</v>
      </c>
      <c r="H5328" s="16">
        <v>0.0</v>
      </c>
      <c r="I5328" s="15">
        <f t="shared" si="3"/>
        <v>0.05</v>
      </c>
      <c r="J5328" s="15">
        <v>26.84</v>
      </c>
      <c r="K5328" s="16">
        <f>IF(COUNTIFS(Release_Calendar!$A$2:$A$755,"US_CPI",Release_Calendar!$B$2:$B$755,$A5328)&gt;0,1,0)</f>
        <v>0</v>
      </c>
      <c r="L5328" s="16">
        <f>IF(COUNTIFS(Release_Calendar!$A$2:$A$755,"US_NFP",Release_Calendar!$B$2:$B$755,$A5328)&gt;0,1,0)</f>
        <v>0</v>
      </c>
      <c r="M5328" s="16">
        <f>IF($A5328&lt;Notes!$B$5,"",IF(COUNTIFS(Release_Calendar!$A$2:$A$755,"NZ_CPI",Release_Calendar!$B$2:$B$755,$A5328)&gt;0,1,0))</f>
        <v>0</v>
      </c>
      <c r="N5328" s="16">
        <f>IF($A5328&lt;Notes!$B$5,"",IF(COUNTIFS(Release_Calendar!$A$2:$A$755,"NZ_GDP",Release_Calendar!$B$2:$B$755,$A5328)&gt;0,1,0))</f>
        <v>0</v>
      </c>
      <c r="O5328" s="16">
        <f>IF($A5328&lt;Notes!$B$5,"",IF(COUNTIFS(Release_Calendar!$A$2:$A$755,"NZ_LABOUR",Release_Calendar!$B$2:$B$755,$A5328)&gt;0,1,0))</f>
        <v>0</v>
      </c>
      <c r="P5328" s="16">
        <f t="shared" si="4"/>
        <v>0</v>
      </c>
    </row>
    <row r="5329" ht="15.75" customHeight="1">
      <c r="A5329" s="14">
        <v>43985.0</v>
      </c>
      <c r="B5329" s="15">
        <v>0.19</v>
      </c>
      <c r="C5329" s="15">
        <v>0.22</v>
      </c>
      <c r="D5329" s="15"/>
      <c r="E5329" s="15"/>
      <c r="F5329" s="15">
        <f t="shared" si="1"/>
        <v>0.03</v>
      </c>
      <c r="G5329" s="15">
        <f t="shared" si="2"/>
        <v>0.22</v>
      </c>
      <c r="H5329" s="16">
        <v>0.0</v>
      </c>
      <c r="I5329" s="15">
        <f t="shared" si="3"/>
        <v>0.03</v>
      </c>
      <c r="J5329" s="15">
        <v>25.66</v>
      </c>
      <c r="K5329" s="16">
        <f>IF(COUNTIFS(Release_Calendar!$A$2:$A$755,"US_CPI",Release_Calendar!$B$2:$B$755,$A5329)&gt;0,1,0)</f>
        <v>0</v>
      </c>
      <c r="L5329" s="16">
        <f>IF(COUNTIFS(Release_Calendar!$A$2:$A$755,"US_NFP",Release_Calendar!$B$2:$B$755,$A5329)&gt;0,1,0)</f>
        <v>0</v>
      </c>
      <c r="M5329" s="16">
        <f>IF($A5329&lt;Notes!$B$5,"",IF(COUNTIFS(Release_Calendar!$A$2:$A$755,"NZ_CPI",Release_Calendar!$B$2:$B$755,$A5329)&gt;0,1,0))</f>
        <v>0</v>
      </c>
      <c r="N5329" s="16">
        <f>IF($A5329&lt;Notes!$B$5,"",IF(COUNTIFS(Release_Calendar!$A$2:$A$755,"NZ_GDP",Release_Calendar!$B$2:$B$755,$A5329)&gt;0,1,0))</f>
        <v>0</v>
      </c>
      <c r="O5329" s="16">
        <f>IF($A5329&lt;Notes!$B$5,"",IF(COUNTIFS(Release_Calendar!$A$2:$A$755,"NZ_LABOUR",Release_Calendar!$B$2:$B$755,$A5329)&gt;0,1,0))</f>
        <v>0</v>
      </c>
      <c r="P5329" s="16">
        <f t="shared" si="4"/>
        <v>0</v>
      </c>
    </row>
    <row r="5330" ht="15.75" customHeight="1">
      <c r="A5330" s="14">
        <v>43986.0</v>
      </c>
      <c r="B5330" s="15">
        <v>0.19</v>
      </c>
      <c r="C5330" s="15">
        <v>0.22</v>
      </c>
      <c r="D5330" s="15"/>
      <c r="E5330" s="15"/>
      <c r="F5330" s="15">
        <f t="shared" si="1"/>
        <v>0.03</v>
      </c>
      <c r="G5330" s="15">
        <f t="shared" si="2"/>
        <v>0.22</v>
      </c>
      <c r="H5330" s="16">
        <v>0.0</v>
      </c>
      <c r="I5330" s="15">
        <f t="shared" si="3"/>
        <v>0.03</v>
      </c>
      <c r="J5330" s="15">
        <v>25.81</v>
      </c>
      <c r="K5330" s="16">
        <f>IF(COUNTIFS(Release_Calendar!$A$2:$A$755,"US_CPI",Release_Calendar!$B$2:$B$755,$A5330)&gt;0,1,0)</f>
        <v>0</v>
      </c>
      <c r="L5330" s="16">
        <f>IF(COUNTIFS(Release_Calendar!$A$2:$A$755,"US_NFP",Release_Calendar!$B$2:$B$755,$A5330)&gt;0,1,0)</f>
        <v>0</v>
      </c>
      <c r="M5330" s="16">
        <f>IF($A5330&lt;Notes!$B$5,"",IF(COUNTIFS(Release_Calendar!$A$2:$A$755,"NZ_CPI",Release_Calendar!$B$2:$B$755,$A5330)&gt;0,1,0))</f>
        <v>0</v>
      </c>
      <c r="N5330" s="16">
        <f>IF($A5330&lt;Notes!$B$5,"",IF(COUNTIFS(Release_Calendar!$A$2:$A$755,"NZ_GDP",Release_Calendar!$B$2:$B$755,$A5330)&gt;0,1,0))</f>
        <v>0</v>
      </c>
      <c r="O5330" s="16">
        <f>IF($A5330&lt;Notes!$B$5,"",IF(COUNTIFS(Release_Calendar!$A$2:$A$755,"NZ_LABOUR",Release_Calendar!$B$2:$B$755,$A5330)&gt;0,1,0))</f>
        <v>0</v>
      </c>
      <c r="P5330" s="16">
        <f t="shared" si="4"/>
        <v>0</v>
      </c>
    </row>
    <row r="5331" ht="15.75" customHeight="1">
      <c r="A5331" s="14">
        <v>43987.0</v>
      </c>
      <c r="B5331" s="15">
        <v>0.22</v>
      </c>
      <c r="C5331" s="15">
        <v>0.24</v>
      </c>
      <c r="D5331" s="15"/>
      <c r="E5331" s="15"/>
      <c r="F5331" s="15">
        <f t="shared" si="1"/>
        <v>0.02</v>
      </c>
      <c r="G5331" s="15">
        <f t="shared" si="2"/>
        <v>0.24</v>
      </c>
      <c r="H5331" s="16">
        <v>0.0</v>
      </c>
      <c r="I5331" s="15">
        <f t="shared" si="3"/>
        <v>0.02</v>
      </c>
      <c r="J5331" s="15">
        <v>24.52</v>
      </c>
      <c r="K5331" s="16">
        <f>IF(COUNTIFS(Release_Calendar!$A$2:$A$755,"US_CPI",Release_Calendar!$B$2:$B$755,$A5331)&gt;0,1,0)</f>
        <v>0</v>
      </c>
      <c r="L5331" s="16">
        <f>IF(COUNTIFS(Release_Calendar!$A$2:$A$755,"US_NFP",Release_Calendar!$B$2:$B$755,$A5331)&gt;0,1,0)</f>
        <v>1</v>
      </c>
      <c r="M5331" s="16">
        <f>IF($A5331&lt;Notes!$B$5,"",IF(COUNTIFS(Release_Calendar!$A$2:$A$755,"NZ_CPI",Release_Calendar!$B$2:$B$755,$A5331)&gt;0,1,0))</f>
        <v>0</v>
      </c>
      <c r="N5331" s="16">
        <f>IF($A5331&lt;Notes!$B$5,"",IF(COUNTIFS(Release_Calendar!$A$2:$A$755,"NZ_GDP",Release_Calendar!$B$2:$B$755,$A5331)&gt;0,1,0))</f>
        <v>0</v>
      </c>
      <c r="O5331" s="16">
        <f>IF($A5331&lt;Notes!$B$5,"",IF(COUNTIFS(Release_Calendar!$A$2:$A$755,"NZ_LABOUR",Release_Calendar!$B$2:$B$755,$A5331)&gt;0,1,0))</f>
        <v>0</v>
      </c>
      <c r="P5331" s="16">
        <f t="shared" si="4"/>
        <v>1</v>
      </c>
    </row>
    <row r="5332" ht="15.75" customHeight="1">
      <c r="A5332" s="14">
        <v>43990.0</v>
      </c>
      <c r="B5332" s="15">
        <v>0.22</v>
      </c>
      <c r="C5332" s="15">
        <v>0.26</v>
      </c>
      <c r="D5332" s="15"/>
      <c r="E5332" s="15"/>
      <c r="F5332" s="15">
        <f t="shared" si="1"/>
        <v>0.04</v>
      </c>
      <c r="G5332" s="15">
        <f t="shared" si="2"/>
        <v>0.26</v>
      </c>
      <c r="H5332" s="16">
        <v>0.0</v>
      </c>
      <c r="I5332" s="15">
        <f t="shared" si="3"/>
        <v>0.04</v>
      </c>
      <c r="J5332" s="15">
        <v>25.81</v>
      </c>
      <c r="K5332" s="16">
        <f>IF(COUNTIFS(Release_Calendar!$A$2:$A$755,"US_CPI",Release_Calendar!$B$2:$B$755,$A5332)&gt;0,1,0)</f>
        <v>0</v>
      </c>
      <c r="L5332" s="16">
        <f>IF(COUNTIFS(Release_Calendar!$A$2:$A$755,"US_NFP",Release_Calendar!$B$2:$B$755,$A5332)&gt;0,1,0)</f>
        <v>0</v>
      </c>
      <c r="M5332" s="16">
        <f>IF($A5332&lt;Notes!$B$5,"",IF(COUNTIFS(Release_Calendar!$A$2:$A$755,"NZ_CPI",Release_Calendar!$B$2:$B$755,$A5332)&gt;0,1,0))</f>
        <v>0</v>
      </c>
      <c r="N5332" s="16">
        <f>IF($A5332&lt;Notes!$B$5,"",IF(COUNTIFS(Release_Calendar!$A$2:$A$755,"NZ_GDP",Release_Calendar!$B$2:$B$755,$A5332)&gt;0,1,0))</f>
        <v>0</v>
      </c>
      <c r="O5332" s="16">
        <f>IF($A5332&lt;Notes!$B$5,"",IF(COUNTIFS(Release_Calendar!$A$2:$A$755,"NZ_LABOUR",Release_Calendar!$B$2:$B$755,$A5332)&gt;0,1,0))</f>
        <v>0</v>
      </c>
      <c r="P5332" s="16">
        <f t="shared" si="4"/>
        <v>0</v>
      </c>
    </row>
    <row r="5333" ht="15.75" customHeight="1">
      <c r="A5333" s="14">
        <v>43991.0</v>
      </c>
      <c r="B5333" s="15">
        <v>0.2</v>
      </c>
      <c r="C5333" s="15">
        <v>0.24</v>
      </c>
      <c r="D5333" s="15"/>
      <c r="E5333" s="15"/>
      <c r="F5333" s="15">
        <f t="shared" si="1"/>
        <v>0.04</v>
      </c>
      <c r="G5333" s="15">
        <f t="shared" si="2"/>
        <v>0.24</v>
      </c>
      <c r="H5333" s="16">
        <v>0.0</v>
      </c>
      <c r="I5333" s="15">
        <f t="shared" si="3"/>
        <v>0.04</v>
      </c>
      <c r="J5333" s="15">
        <v>27.57</v>
      </c>
      <c r="K5333" s="16">
        <f>IF(COUNTIFS(Release_Calendar!$A$2:$A$755,"US_CPI",Release_Calendar!$B$2:$B$755,$A5333)&gt;0,1,0)</f>
        <v>0</v>
      </c>
      <c r="L5333" s="16">
        <f>IF(COUNTIFS(Release_Calendar!$A$2:$A$755,"US_NFP",Release_Calendar!$B$2:$B$755,$A5333)&gt;0,1,0)</f>
        <v>0</v>
      </c>
      <c r="M5333" s="16">
        <f>IF($A5333&lt;Notes!$B$5,"",IF(COUNTIFS(Release_Calendar!$A$2:$A$755,"NZ_CPI",Release_Calendar!$B$2:$B$755,$A5333)&gt;0,1,0))</f>
        <v>0</v>
      </c>
      <c r="N5333" s="16">
        <f>IF($A5333&lt;Notes!$B$5,"",IF(COUNTIFS(Release_Calendar!$A$2:$A$755,"NZ_GDP",Release_Calendar!$B$2:$B$755,$A5333)&gt;0,1,0))</f>
        <v>0</v>
      </c>
      <c r="O5333" s="16">
        <f>IF($A5333&lt;Notes!$B$5,"",IF(COUNTIFS(Release_Calendar!$A$2:$A$755,"NZ_LABOUR",Release_Calendar!$B$2:$B$755,$A5333)&gt;0,1,0))</f>
        <v>0</v>
      </c>
      <c r="P5333" s="16">
        <f t="shared" si="4"/>
        <v>0</v>
      </c>
    </row>
    <row r="5334" ht="15.75" customHeight="1">
      <c r="A5334" s="14">
        <v>43992.0</v>
      </c>
      <c r="B5334" s="15">
        <v>0.17</v>
      </c>
      <c r="C5334" s="15">
        <v>0.25</v>
      </c>
      <c r="D5334" s="15"/>
      <c r="E5334" s="15"/>
      <c r="F5334" s="15">
        <f t="shared" si="1"/>
        <v>0.08</v>
      </c>
      <c r="G5334" s="15">
        <f t="shared" si="2"/>
        <v>0.25</v>
      </c>
      <c r="H5334" s="16">
        <v>0.0</v>
      </c>
      <c r="I5334" s="15">
        <f t="shared" si="3"/>
        <v>0.08</v>
      </c>
      <c r="J5334" s="15">
        <v>27.57</v>
      </c>
      <c r="K5334" s="16">
        <f>IF(COUNTIFS(Release_Calendar!$A$2:$A$755,"US_CPI",Release_Calendar!$B$2:$B$755,$A5334)&gt;0,1,0)</f>
        <v>1</v>
      </c>
      <c r="L5334" s="16">
        <f>IF(COUNTIFS(Release_Calendar!$A$2:$A$755,"US_NFP",Release_Calendar!$B$2:$B$755,$A5334)&gt;0,1,0)</f>
        <v>0</v>
      </c>
      <c r="M5334" s="16">
        <f>IF($A5334&lt;Notes!$B$5,"",IF(COUNTIFS(Release_Calendar!$A$2:$A$755,"NZ_CPI",Release_Calendar!$B$2:$B$755,$A5334)&gt;0,1,0))</f>
        <v>0</v>
      </c>
      <c r="N5334" s="16">
        <f>IF($A5334&lt;Notes!$B$5,"",IF(COUNTIFS(Release_Calendar!$A$2:$A$755,"NZ_GDP",Release_Calendar!$B$2:$B$755,$A5334)&gt;0,1,0))</f>
        <v>0</v>
      </c>
      <c r="O5334" s="16">
        <f>IF($A5334&lt;Notes!$B$5,"",IF(COUNTIFS(Release_Calendar!$A$2:$A$755,"NZ_LABOUR",Release_Calendar!$B$2:$B$755,$A5334)&gt;0,1,0))</f>
        <v>0</v>
      </c>
      <c r="P5334" s="16">
        <f t="shared" si="4"/>
        <v>1</v>
      </c>
    </row>
    <row r="5335" ht="15.75" customHeight="1">
      <c r="A5335" s="14">
        <v>43993.0</v>
      </c>
      <c r="B5335" s="15">
        <v>0.19</v>
      </c>
      <c r="C5335" s="15">
        <v>0.25</v>
      </c>
      <c r="D5335" s="15"/>
      <c r="E5335" s="15"/>
      <c r="F5335" s="15">
        <f t="shared" si="1"/>
        <v>0.06</v>
      </c>
      <c r="G5335" s="15">
        <f t="shared" si="2"/>
        <v>0.25</v>
      </c>
      <c r="H5335" s="16">
        <v>0.0</v>
      </c>
      <c r="I5335" s="15">
        <f t="shared" si="3"/>
        <v>0.06</v>
      </c>
      <c r="J5335" s="15">
        <v>40.79</v>
      </c>
      <c r="K5335" s="16">
        <f>IF(COUNTIFS(Release_Calendar!$A$2:$A$755,"US_CPI",Release_Calendar!$B$2:$B$755,$A5335)&gt;0,1,0)</f>
        <v>0</v>
      </c>
      <c r="L5335" s="16">
        <f>IF(COUNTIFS(Release_Calendar!$A$2:$A$755,"US_NFP",Release_Calendar!$B$2:$B$755,$A5335)&gt;0,1,0)</f>
        <v>0</v>
      </c>
      <c r="M5335" s="16">
        <f>IF($A5335&lt;Notes!$B$5,"",IF(COUNTIFS(Release_Calendar!$A$2:$A$755,"NZ_CPI",Release_Calendar!$B$2:$B$755,$A5335)&gt;0,1,0))</f>
        <v>0</v>
      </c>
      <c r="N5335" s="16">
        <f>IF($A5335&lt;Notes!$B$5,"",IF(COUNTIFS(Release_Calendar!$A$2:$A$755,"NZ_GDP",Release_Calendar!$B$2:$B$755,$A5335)&gt;0,1,0))</f>
        <v>0</v>
      </c>
      <c r="O5335" s="16">
        <f>IF($A5335&lt;Notes!$B$5,"",IF(COUNTIFS(Release_Calendar!$A$2:$A$755,"NZ_LABOUR",Release_Calendar!$B$2:$B$755,$A5335)&gt;0,1,0))</f>
        <v>0</v>
      </c>
      <c r="P5335" s="16">
        <f t="shared" si="4"/>
        <v>0</v>
      </c>
    </row>
    <row r="5336" ht="15.75" customHeight="1">
      <c r="A5336" s="14">
        <v>43994.0</v>
      </c>
      <c r="B5336" s="15">
        <v>0.19</v>
      </c>
      <c r="C5336" s="15">
        <v>0.24</v>
      </c>
      <c r="D5336" s="15"/>
      <c r="E5336" s="15"/>
      <c r="F5336" s="15">
        <f t="shared" si="1"/>
        <v>0.05</v>
      </c>
      <c r="G5336" s="15">
        <f t="shared" si="2"/>
        <v>0.24</v>
      </c>
      <c r="H5336" s="16">
        <v>0.0</v>
      </c>
      <c r="I5336" s="15">
        <f t="shared" si="3"/>
        <v>0.05</v>
      </c>
      <c r="J5336" s="15">
        <v>36.09</v>
      </c>
      <c r="K5336" s="16">
        <f>IF(COUNTIFS(Release_Calendar!$A$2:$A$755,"US_CPI",Release_Calendar!$B$2:$B$755,$A5336)&gt;0,1,0)</f>
        <v>0</v>
      </c>
      <c r="L5336" s="16">
        <f>IF(COUNTIFS(Release_Calendar!$A$2:$A$755,"US_NFP",Release_Calendar!$B$2:$B$755,$A5336)&gt;0,1,0)</f>
        <v>0</v>
      </c>
      <c r="M5336" s="16">
        <f>IF($A5336&lt;Notes!$B$5,"",IF(COUNTIFS(Release_Calendar!$A$2:$A$755,"NZ_CPI",Release_Calendar!$B$2:$B$755,$A5336)&gt;0,1,0))</f>
        <v>0</v>
      </c>
      <c r="N5336" s="16">
        <f>IF($A5336&lt;Notes!$B$5,"",IF(COUNTIFS(Release_Calendar!$A$2:$A$755,"NZ_GDP",Release_Calendar!$B$2:$B$755,$A5336)&gt;0,1,0))</f>
        <v>0</v>
      </c>
      <c r="O5336" s="16">
        <f>IF($A5336&lt;Notes!$B$5,"",IF(COUNTIFS(Release_Calendar!$A$2:$A$755,"NZ_LABOUR",Release_Calendar!$B$2:$B$755,$A5336)&gt;0,1,0))</f>
        <v>0</v>
      </c>
      <c r="P5336" s="16">
        <f t="shared" si="4"/>
        <v>0</v>
      </c>
    </row>
    <row r="5337" ht="15.75" customHeight="1">
      <c r="A5337" s="14">
        <v>43997.0</v>
      </c>
      <c r="B5337" s="15">
        <v>0.19</v>
      </c>
      <c r="C5337" s="15">
        <v>0.25</v>
      </c>
      <c r="D5337" s="15"/>
      <c r="E5337" s="15"/>
      <c r="F5337" s="15">
        <f t="shared" si="1"/>
        <v>0.06</v>
      </c>
      <c r="G5337" s="15">
        <f t="shared" si="2"/>
        <v>0.25</v>
      </c>
      <c r="H5337" s="16">
        <v>0.0</v>
      </c>
      <c r="I5337" s="15">
        <f t="shared" si="3"/>
        <v>0.06</v>
      </c>
      <c r="J5337" s="15">
        <v>34.4</v>
      </c>
      <c r="K5337" s="16">
        <f>IF(COUNTIFS(Release_Calendar!$A$2:$A$755,"US_CPI",Release_Calendar!$B$2:$B$755,$A5337)&gt;0,1,0)</f>
        <v>0</v>
      </c>
      <c r="L5337" s="16">
        <f>IF(COUNTIFS(Release_Calendar!$A$2:$A$755,"US_NFP",Release_Calendar!$B$2:$B$755,$A5337)&gt;0,1,0)</f>
        <v>0</v>
      </c>
      <c r="M5337" s="16">
        <f>IF($A5337&lt;Notes!$B$5,"",IF(COUNTIFS(Release_Calendar!$A$2:$A$755,"NZ_CPI",Release_Calendar!$B$2:$B$755,$A5337)&gt;0,1,0))</f>
        <v>0</v>
      </c>
      <c r="N5337" s="16">
        <f>IF($A5337&lt;Notes!$B$5,"",IF(COUNTIFS(Release_Calendar!$A$2:$A$755,"NZ_GDP",Release_Calendar!$B$2:$B$755,$A5337)&gt;0,1,0))</f>
        <v>0</v>
      </c>
      <c r="O5337" s="16">
        <f>IF($A5337&lt;Notes!$B$5,"",IF(COUNTIFS(Release_Calendar!$A$2:$A$755,"NZ_LABOUR",Release_Calendar!$B$2:$B$755,$A5337)&gt;0,1,0))</f>
        <v>0</v>
      </c>
      <c r="P5337" s="16">
        <f t="shared" si="4"/>
        <v>0</v>
      </c>
    </row>
    <row r="5338" ht="15.75" customHeight="1">
      <c r="A5338" s="14">
        <v>43998.0</v>
      </c>
      <c r="B5338" s="15">
        <v>0.21</v>
      </c>
      <c r="C5338" s="15">
        <v>0.25</v>
      </c>
      <c r="D5338" s="15"/>
      <c r="E5338" s="15"/>
      <c r="F5338" s="15">
        <f t="shared" si="1"/>
        <v>0.04</v>
      </c>
      <c r="G5338" s="15">
        <f t="shared" si="2"/>
        <v>0.25</v>
      </c>
      <c r="H5338" s="16">
        <v>0.0</v>
      </c>
      <c r="I5338" s="15">
        <f t="shared" si="3"/>
        <v>0.04</v>
      </c>
      <c r="J5338" s="15">
        <v>33.67</v>
      </c>
      <c r="K5338" s="16">
        <f>IF(COUNTIFS(Release_Calendar!$A$2:$A$755,"US_CPI",Release_Calendar!$B$2:$B$755,$A5338)&gt;0,1,0)</f>
        <v>0</v>
      </c>
      <c r="L5338" s="16">
        <f>IF(COUNTIFS(Release_Calendar!$A$2:$A$755,"US_NFP",Release_Calendar!$B$2:$B$755,$A5338)&gt;0,1,0)</f>
        <v>0</v>
      </c>
      <c r="M5338" s="16">
        <f>IF($A5338&lt;Notes!$B$5,"",IF(COUNTIFS(Release_Calendar!$A$2:$A$755,"NZ_CPI",Release_Calendar!$B$2:$B$755,$A5338)&gt;0,1,0))</f>
        <v>0</v>
      </c>
      <c r="N5338" s="16">
        <f>IF($A5338&lt;Notes!$B$5,"",IF(COUNTIFS(Release_Calendar!$A$2:$A$755,"NZ_GDP",Release_Calendar!$B$2:$B$755,$A5338)&gt;0,1,0))</f>
        <v>0</v>
      </c>
      <c r="O5338" s="16">
        <f>IF($A5338&lt;Notes!$B$5,"",IF(COUNTIFS(Release_Calendar!$A$2:$A$755,"NZ_LABOUR",Release_Calendar!$B$2:$B$755,$A5338)&gt;0,1,0))</f>
        <v>0</v>
      </c>
      <c r="P5338" s="16">
        <f t="shared" si="4"/>
        <v>0</v>
      </c>
    </row>
    <row r="5339" ht="15.75" customHeight="1">
      <c r="A5339" s="14">
        <v>43999.0</v>
      </c>
      <c r="B5339" s="15">
        <v>0.19</v>
      </c>
      <c r="C5339" s="15">
        <v>0.24</v>
      </c>
      <c r="D5339" s="15"/>
      <c r="E5339" s="15"/>
      <c r="F5339" s="15">
        <f t="shared" si="1"/>
        <v>0.05</v>
      </c>
      <c r="G5339" s="15">
        <f t="shared" si="2"/>
        <v>0.24</v>
      </c>
      <c r="H5339" s="16">
        <v>0.0</v>
      </c>
      <c r="I5339" s="15">
        <f t="shared" si="3"/>
        <v>0.05</v>
      </c>
      <c r="J5339" s="15">
        <v>33.47</v>
      </c>
      <c r="K5339" s="16">
        <f>IF(COUNTIFS(Release_Calendar!$A$2:$A$755,"US_CPI",Release_Calendar!$B$2:$B$755,$A5339)&gt;0,1,0)</f>
        <v>0</v>
      </c>
      <c r="L5339" s="16">
        <f>IF(COUNTIFS(Release_Calendar!$A$2:$A$755,"US_NFP",Release_Calendar!$B$2:$B$755,$A5339)&gt;0,1,0)</f>
        <v>0</v>
      </c>
      <c r="M5339" s="16">
        <f>IF($A5339&lt;Notes!$B$5,"",IF(COUNTIFS(Release_Calendar!$A$2:$A$755,"NZ_CPI",Release_Calendar!$B$2:$B$755,$A5339)&gt;0,1,0))</f>
        <v>0</v>
      </c>
      <c r="N5339" s="16">
        <f>IF($A5339&lt;Notes!$B$5,"",IF(COUNTIFS(Release_Calendar!$A$2:$A$755,"NZ_GDP",Release_Calendar!$B$2:$B$755,$A5339)&gt;0,1,0))</f>
        <v>0</v>
      </c>
      <c r="O5339" s="16">
        <f>IF($A5339&lt;Notes!$B$5,"",IF(COUNTIFS(Release_Calendar!$A$2:$A$755,"NZ_LABOUR",Release_Calendar!$B$2:$B$755,$A5339)&gt;0,1,0))</f>
        <v>0</v>
      </c>
      <c r="P5339" s="16">
        <f t="shared" si="4"/>
        <v>0</v>
      </c>
    </row>
    <row r="5340" ht="15.75" customHeight="1">
      <c r="A5340" s="14">
        <v>44000.0</v>
      </c>
      <c r="B5340" s="15">
        <v>0.19</v>
      </c>
      <c r="C5340" s="15">
        <v>0.22</v>
      </c>
      <c r="D5340" s="15"/>
      <c r="E5340" s="15"/>
      <c r="F5340" s="15">
        <f t="shared" si="1"/>
        <v>0.03</v>
      </c>
      <c r="G5340" s="15">
        <f t="shared" si="2"/>
        <v>0.22</v>
      </c>
      <c r="H5340" s="16">
        <v>0.0</v>
      </c>
      <c r="I5340" s="15">
        <f t="shared" si="3"/>
        <v>0.03</v>
      </c>
      <c r="J5340" s="15">
        <v>32.94</v>
      </c>
      <c r="K5340" s="16">
        <f>IF(COUNTIFS(Release_Calendar!$A$2:$A$755,"US_CPI",Release_Calendar!$B$2:$B$755,$A5340)&gt;0,1,0)</f>
        <v>0</v>
      </c>
      <c r="L5340" s="16">
        <f>IF(COUNTIFS(Release_Calendar!$A$2:$A$755,"US_NFP",Release_Calendar!$B$2:$B$755,$A5340)&gt;0,1,0)</f>
        <v>0</v>
      </c>
      <c r="M5340" s="16">
        <f>IF($A5340&lt;Notes!$B$5,"",IF(COUNTIFS(Release_Calendar!$A$2:$A$755,"NZ_CPI",Release_Calendar!$B$2:$B$755,$A5340)&gt;0,1,0))</f>
        <v>0</v>
      </c>
      <c r="N5340" s="16">
        <f>IF($A5340&lt;Notes!$B$5,"",IF(COUNTIFS(Release_Calendar!$A$2:$A$755,"NZ_GDP",Release_Calendar!$B$2:$B$755,$A5340)&gt;0,1,0))</f>
        <v>1</v>
      </c>
      <c r="O5340" s="16">
        <f>IF($A5340&lt;Notes!$B$5,"",IF(COUNTIFS(Release_Calendar!$A$2:$A$755,"NZ_LABOUR",Release_Calendar!$B$2:$B$755,$A5340)&gt;0,1,0))</f>
        <v>0</v>
      </c>
      <c r="P5340" s="16">
        <f t="shared" si="4"/>
        <v>1</v>
      </c>
    </row>
    <row r="5341" ht="15.75" customHeight="1">
      <c r="A5341" s="14">
        <v>44001.0</v>
      </c>
      <c r="B5341" s="15">
        <v>0.19</v>
      </c>
      <c r="C5341" s="15">
        <v>0.23</v>
      </c>
      <c r="D5341" s="15"/>
      <c r="E5341" s="15"/>
      <c r="F5341" s="15">
        <f t="shared" si="1"/>
        <v>0.04</v>
      </c>
      <c r="G5341" s="15">
        <f t="shared" si="2"/>
        <v>0.23</v>
      </c>
      <c r="H5341" s="16">
        <v>0.0</v>
      </c>
      <c r="I5341" s="15">
        <f t="shared" si="3"/>
        <v>0.04</v>
      </c>
      <c r="J5341" s="15">
        <v>35.12</v>
      </c>
      <c r="K5341" s="16">
        <f>IF(COUNTIFS(Release_Calendar!$A$2:$A$755,"US_CPI",Release_Calendar!$B$2:$B$755,$A5341)&gt;0,1,0)</f>
        <v>0</v>
      </c>
      <c r="L5341" s="16">
        <f>IF(COUNTIFS(Release_Calendar!$A$2:$A$755,"US_NFP",Release_Calendar!$B$2:$B$755,$A5341)&gt;0,1,0)</f>
        <v>0</v>
      </c>
      <c r="M5341" s="16">
        <f>IF($A5341&lt;Notes!$B$5,"",IF(COUNTIFS(Release_Calendar!$A$2:$A$755,"NZ_CPI",Release_Calendar!$B$2:$B$755,$A5341)&gt;0,1,0))</f>
        <v>0</v>
      </c>
      <c r="N5341" s="16">
        <f>IF($A5341&lt;Notes!$B$5,"",IF(COUNTIFS(Release_Calendar!$A$2:$A$755,"NZ_GDP",Release_Calendar!$B$2:$B$755,$A5341)&gt;0,1,0))</f>
        <v>0</v>
      </c>
      <c r="O5341" s="16">
        <f>IF($A5341&lt;Notes!$B$5,"",IF(COUNTIFS(Release_Calendar!$A$2:$A$755,"NZ_LABOUR",Release_Calendar!$B$2:$B$755,$A5341)&gt;0,1,0))</f>
        <v>0</v>
      </c>
      <c r="P5341" s="16">
        <f t="shared" si="4"/>
        <v>0</v>
      </c>
    </row>
    <row r="5342" ht="15.75" customHeight="1">
      <c r="A5342" s="14">
        <v>44004.0</v>
      </c>
      <c r="B5342" s="15">
        <v>0.19</v>
      </c>
      <c r="C5342" s="15">
        <v>0.23</v>
      </c>
      <c r="D5342" s="15"/>
      <c r="E5342" s="15"/>
      <c r="F5342" s="15">
        <f t="shared" si="1"/>
        <v>0.04</v>
      </c>
      <c r="G5342" s="15">
        <f t="shared" si="2"/>
        <v>0.23</v>
      </c>
      <c r="H5342" s="16">
        <v>0.0</v>
      </c>
      <c r="I5342" s="15">
        <f t="shared" si="3"/>
        <v>0.04</v>
      </c>
      <c r="J5342" s="15">
        <v>31.77</v>
      </c>
      <c r="K5342" s="16">
        <f>IF(COUNTIFS(Release_Calendar!$A$2:$A$755,"US_CPI",Release_Calendar!$B$2:$B$755,$A5342)&gt;0,1,0)</f>
        <v>0</v>
      </c>
      <c r="L5342" s="16">
        <f>IF(COUNTIFS(Release_Calendar!$A$2:$A$755,"US_NFP",Release_Calendar!$B$2:$B$755,$A5342)&gt;0,1,0)</f>
        <v>0</v>
      </c>
      <c r="M5342" s="16">
        <f>IF($A5342&lt;Notes!$B$5,"",IF(COUNTIFS(Release_Calendar!$A$2:$A$755,"NZ_CPI",Release_Calendar!$B$2:$B$755,$A5342)&gt;0,1,0))</f>
        <v>0</v>
      </c>
      <c r="N5342" s="16">
        <f>IF($A5342&lt;Notes!$B$5,"",IF(COUNTIFS(Release_Calendar!$A$2:$A$755,"NZ_GDP",Release_Calendar!$B$2:$B$755,$A5342)&gt;0,1,0))</f>
        <v>0</v>
      </c>
      <c r="O5342" s="16">
        <f>IF($A5342&lt;Notes!$B$5,"",IF(COUNTIFS(Release_Calendar!$A$2:$A$755,"NZ_LABOUR",Release_Calendar!$B$2:$B$755,$A5342)&gt;0,1,0))</f>
        <v>0</v>
      </c>
      <c r="P5342" s="16">
        <f t="shared" si="4"/>
        <v>0</v>
      </c>
    </row>
    <row r="5343" ht="15.75" customHeight="1">
      <c r="A5343" s="14">
        <v>44005.0</v>
      </c>
      <c r="B5343" s="15">
        <v>0.18</v>
      </c>
      <c r="C5343" s="15">
        <v>0.23</v>
      </c>
      <c r="D5343" s="15"/>
      <c r="E5343" s="15"/>
      <c r="F5343" s="15">
        <f t="shared" si="1"/>
        <v>0.05</v>
      </c>
      <c r="G5343" s="15">
        <f t="shared" si="2"/>
        <v>0.23</v>
      </c>
      <c r="H5343" s="16">
        <v>0.0</v>
      </c>
      <c r="I5343" s="15">
        <f t="shared" si="3"/>
        <v>0.05</v>
      </c>
      <c r="J5343" s="15">
        <v>31.37</v>
      </c>
      <c r="K5343" s="16">
        <f>IF(COUNTIFS(Release_Calendar!$A$2:$A$755,"US_CPI",Release_Calendar!$B$2:$B$755,$A5343)&gt;0,1,0)</f>
        <v>0</v>
      </c>
      <c r="L5343" s="16">
        <f>IF(COUNTIFS(Release_Calendar!$A$2:$A$755,"US_NFP",Release_Calendar!$B$2:$B$755,$A5343)&gt;0,1,0)</f>
        <v>0</v>
      </c>
      <c r="M5343" s="16">
        <f>IF($A5343&lt;Notes!$B$5,"",IF(COUNTIFS(Release_Calendar!$A$2:$A$755,"NZ_CPI",Release_Calendar!$B$2:$B$755,$A5343)&gt;0,1,0))</f>
        <v>0</v>
      </c>
      <c r="N5343" s="16">
        <f>IF($A5343&lt;Notes!$B$5,"",IF(COUNTIFS(Release_Calendar!$A$2:$A$755,"NZ_GDP",Release_Calendar!$B$2:$B$755,$A5343)&gt;0,1,0))</f>
        <v>0</v>
      </c>
      <c r="O5343" s="16">
        <f>IF($A5343&lt;Notes!$B$5,"",IF(COUNTIFS(Release_Calendar!$A$2:$A$755,"NZ_LABOUR",Release_Calendar!$B$2:$B$755,$A5343)&gt;0,1,0))</f>
        <v>0</v>
      </c>
      <c r="P5343" s="16">
        <f t="shared" si="4"/>
        <v>0</v>
      </c>
    </row>
    <row r="5344" ht="15.75" customHeight="1">
      <c r="A5344" s="14">
        <v>44006.0</v>
      </c>
      <c r="B5344" s="15">
        <v>0.19</v>
      </c>
      <c r="C5344" s="15">
        <v>0.21</v>
      </c>
      <c r="D5344" s="15"/>
      <c r="E5344" s="15"/>
      <c r="F5344" s="15">
        <f t="shared" si="1"/>
        <v>0.02</v>
      </c>
      <c r="G5344" s="15">
        <f t="shared" si="2"/>
        <v>0.21</v>
      </c>
      <c r="H5344" s="16">
        <v>0.0</v>
      </c>
      <c r="I5344" s="15">
        <f t="shared" si="3"/>
        <v>0.02</v>
      </c>
      <c r="J5344" s="15">
        <v>33.84</v>
      </c>
      <c r="K5344" s="16">
        <f>IF(COUNTIFS(Release_Calendar!$A$2:$A$755,"US_CPI",Release_Calendar!$B$2:$B$755,$A5344)&gt;0,1,0)</f>
        <v>0</v>
      </c>
      <c r="L5344" s="16">
        <f>IF(COUNTIFS(Release_Calendar!$A$2:$A$755,"US_NFP",Release_Calendar!$B$2:$B$755,$A5344)&gt;0,1,0)</f>
        <v>0</v>
      </c>
      <c r="M5344" s="16">
        <f>IF($A5344&lt;Notes!$B$5,"",IF(COUNTIFS(Release_Calendar!$A$2:$A$755,"NZ_CPI",Release_Calendar!$B$2:$B$755,$A5344)&gt;0,1,0))</f>
        <v>0</v>
      </c>
      <c r="N5344" s="16">
        <f>IF($A5344&lt;Notes!$B$5,"",IF(COUNTIFS(Release_Calendar!$A$2:$A$755,"NZ_GDP",Release_Calendar!$B$2:$B$755,$A5344)&gt;0,1,0))</f>
        <v>0</v>
      </c>
      <c r="O5344" s="16">
        <f>IF($A5344&lt;Notes!$B$5,"",IF(COUNTIFS(Release_Calendar!$A$2:$A$755,"NZ_LABOUR",Release_Calendar!$B$2:$B$755,$A5344)&gt;0,1,0))</f>
        <v>0</v>
      </c>
      <c r="P5344" s="16">
        <f t="shared" si="4"/>
        <v>0</v>
      </c>
    </row>
    <row r="5345" ht="15.75" customHeight="1">
      <c r="A5345" s="14">
        <v>44007.0</v>
      </c>
      <c r="B5345" s="15">
        <v>0.17</v>
      </c>
      <c r="C5345" s="15">
        <v>0.2</v>
      </c>
      <c r="D5345" s="15"/>
      <c r="E5345" s="15"/>
      <c r="F5345" s="15">
        <f t="shared" si="1"/>
        <v>0.03</v>
      </c>
      <c r="G5345" s="15">
        <f t="shared" si="2"/>
        <v>0.2</v>
      </c>
      <c r="H5345" s="16">
        <v>0.0</v>
      </c>
      <c r="I5345" s="15">
        <f t="shared" si="3"/>
        <v>0.03</v>
      </c>
      <c r="J5345" s="15">
        <v>32.22</v>
      </c>
      <c r="K5345" s="16">
        <f>IF(COUNTIFS(Release_Calendar!$A$2:$A$755,"US_CPI",Release_Calendar!$B$2:$B$755,$A5345)&gt;0,1,0)</f>
        <v>0</v>
      </c>
      <c r="L5345" s="16">
        <f>IF(COUNTIFS(Release_Calendar!$A$2:$A$755,"US_NFP",Release_Calendar!$B$2:$B$755,$A5345)&gt;0,1,0)</f>
        <v>0</v>
      </c>
      <c r="M5345" s="16">
        <f>IF($A5345&lt;Notes!$B$5,"",IF(COUNTIFS(Release_Calendar!$A$2:$A$755,"NZ_CPI",Release_Calendar!$B$2:$B$755,$A5345)&gt;0,1,0))</f>
        <v>0</v>
      </c>
      <c r="N5345" s="16">
        <f>IF($A5345&lt;Notes!$B$5,"",IF(COUNTIFS(Release_Calendar!$A$2:$A$755,"NZ_GDP",Release_Calendar!$B$2:$B$755,$A5345)&gt;0,1,0))</f>
        <v>0</v>
      </c>
      <c r="O5345" s="16">
        <f>IF($A5345&lt;Notes!$B$5,"",IF(COUNTIFS(Release_Calendar!$A$2:$A$755,"NZ_LABOUR",Release_Calendar!$B$2:$B$755,$A5345)&gt;0,1,0))</f>
        <v>0</v>
      </c>
      <c r="P5345" s="16">
        <f t="shared" si="4"/>
        <v>0</v>
      </c>
    </row>
    <row r="5346" ht="15.75" customHeight="1">
      <c r="A5346" s="14">
        <v>44008.0</v>
      </c>
      <c r="B5346" s="15">
        <v>0.17</v>
      </c>
      <c r="C5346" s="15">
        <v>0.21</v>
      </c>
      <c r="D5346" s="15"/>
      <c r="E5346" s="15"/>
      <c r="F5346" s="15">
        <f t="shared" si="1"/>
        <v>0.04</v>
      </c>
      <c r="G5346" s="15">
        <f t="shared" si="2"/>
        <v>0.21</v>
      </c>
      <c r="H5346" s="16">
        <v>0.0</v>
      </c>
      <c r="I5346" s="15">
        <f t="shared" si="3"/>
        <v>0.04</v>
      </c>
      <c r="J5346" s="15">
        <v>34.73</v>
      </c>
      <c r="K5346" s="16">
        <f>IF(COUNTIFS(Release_Calendar!$A$2:$A$755,"US_CPI",Release_Calendar!$B$2:$B$755,$A5346)&gt;0,1,0)</f>
        <v>0</v>
      </c>
      <c r="L5346" s="16">
        <f>IF(COUNTIFS(Release_Calendar!$A$2:$A$755,"US_NFP",Release_Calendar!$B$2:$B$755,$A5346)&gt;0,1,0)</f>
        <v>0</v>
      </c>
      <c r="M5346" s="16">
        <f>IF($A5346&lt;Notes!$B$5,"",IF(COUNTIFS(Release_Calendar!$A$2:$A$755,"NZ_CPI",Release_Calendar!$B$2:$B$755,$A5346)&gt;0,1,0))</f>
        <v>0</v>
      </c>
      <c r="N5346" s="16">
        <f>IF($A5346&lt;Notes!$B$5,"",IF(COUNTIFS(Release_Calendar!$A$2:$A$755,"NZ_GDP",Release_Calendar!$B$2:$B$755,$A5346)&gt;0,1,0))</f>
        <v>0</v>
      </c>
      <c r="O5346" s="16">
        <f>IF($A5346&lt;Notes!$B$5,"",IF(COUNTIFS(Release_Calendar!$A$2:$A$755,"NZ_LABOUR",Release_Calendar!$B$2:$B$755,$A5346)&gt;0,1,0))</f>
        <v>0</v>
      </c>
      <c r="P5346" s="16">
        <f t="shared" si="4"/>
        <v>0</v>
      </c>
    </row>
    <row r="5347" ht="15.75" customHeight="1">
      <c r="A5347" s="14">
        <v>44011.0</v>
      </c>
      <c r="B5347" s="15">
        <v>0.16</v>
      </c>
      <c r="C5347" s="15">
        <v>0.2</v>
      </c>
      <c r="D5347" s="15"/>
      <c r="E5347" s="15"/>
      <c r="F5347" s="15">
        <f t="shared" si="1"/>
        <v>0.04</v>
      </c>
      <c r="G5347" s="15">
        <f t="shared" si="2"/>
        <v>0.2</v>
      </c>
      <c r="H5347" s="16">
        <v>0.0</v>
      </c>
      <c r="I5347" s="15">
        <f t="shared" si="3"/>
        <v>0.04</v>
      </c>
      <c r="J5347" s="15">
        <v>31.78</v>
      </c>
      <c r="K5347" s="16">
        <f>IF(COUNTIFS(Release_Calendar!$A$2:$A$755,"US_CPI",Release_Calendar!$B$2:$B$755,$A5347)&gt;0,1,0)</f>
        <v>0</v>
      </c>
      <c r="L5347" s="16">
        <f>IF(COUNTIFS(Release_Calendar!$A$2:$A$755,"US_NFP",Release_Calendar!$B$2:$B$755,$A5347)&gt;0,1,0)</f>
        <v>0</v>
      </c>
      <c r="M5347" s="16">
        <f>IF($A5347&lt;Notes!$B$5,"",IF(COUNTIFS(Release_Calendar!$A$2:$A$755,"NZ_CPI",Release_Calendar!$B$2:$B$755,$A5347)&gt;0,1,0))</f>
        <v>0</v>
      </c>
      <c r="N5347" s="16">
        <f>IF($A5347&lt;Notes!$B$5,"",IF(COUNTIFS(Release_Calendar!$A$2:$A$755,"NZ_GDP",Release_Calendar!$B$2:$B$755,$A5347)&gt;0,1,0))</f>
        <v>0</v>
      </c>
      <c r="O5347" s="16">
        <f>IF($A5347&lt;Notes!$B$5,"",IF(COUNTIFS(Release_Calendar!$A$2:$A$755,"NZ_LABOUR",Release_Calendar!$B$2:$B$755,$A5347)&gt;0,1,0))</f>
        <v>0</v>
      </c>
      <c r="P5347" s="16">
        <f t="shared" si="4"/>
        <v>0</v>
      </c>
    </row>
    <row r="5348" ht="15.75" customHeight="1">
      <c r="A5348" s="14">
        <v>44012.0</v>
      </c>
      <c r="B5348" s="15">
        <v>0.16</v>
      </c>
      <c r="C5348" s="15">
        <v>0.21</v>
      </c>
      <c r="D5348" s="15"/>
      <c r="E5348" s="15"/>
      <c r="F5348" s="15">
        <f t="shared" si="1"/>
        <v>0.05</v>
      </c>
      <c r="G5348" s="15">
        <f t="shared" si="2"/>
        <v>0.21</v>
      </c>
      <c r="H5348" s="16">
        <v>0.0</v>
      </c>
      <c r="I5348" s="15">
        <f t="shared" si="3"/>
        <v>0.05</v>
      </c>
      <c r="J5348" s="15">
        <v>30.43</v>
      </c>
      <c r="K5348" s="16">
        <f>IF(COUNTIFS(Release_Calendar!$A$2:$A$755,"US_CPI",Release_Calendar!$B$2:$B$755,$A5348)&gt;0,1,0)</f>
        <v>0</v>
      </c>
      <c r="L5348" s="16">
        <f>IF(COUNTIFS(Release_Calendar!$A$2:$A$755,"US_NFP",Release_Calendar!$B$2:$B$755,$A5348)&gt;0,1,0)</f>
        <v>0</v>
      </c>
      <c r="M5348" s="16">
        <f>IF($A5348&lt;Notes!$B$5,"",IF(COUNTIFS(Release_Calendar!$A$2:$A$755,"NZ_CPI",Release_Calendar!$B$2:$B$755,$A5348)&gt;0,1,0))</f>
        <v>0</v>
      </c>
      <c r="N5348" s="16">
        <f>IF($A5348&lt;Notes!$B$5,"",IF(COUNTIFS(Release_Calendar!$A$2:$A$755,"NZ_GDP",Release_Calendar!$B$2:$B$755,$A5348)&gt;0,1,0))</f>
        <v>0</v>
      </c>
      <c r="O5348" s="16">
        <f>IF($A5348&lt;Notes!$B$5,"",IF(COUNTIFS(Release_Calendar!$A$2:$A$755,"NZ_LABOUR",Release_Calendar!$B$2:$B$755,$A5348)&gt;0,1,0))</f>
        <v>0</v>
      </c>
      <c r="P5348" s="16">
        <f t="shared" si="4"/>
        <v>0</v>
      </c>
    </row>
    <row r="5349" ht="15.75" customHeight="1">
      <c r="A5349" s="14">
        <v>44013.0</v>
      </c>
      <c r="B5349" s="15">
        <v>0.17</v>
      </c>
      <c r="C5349" s="15">
        <v>0.21</v>
      </c>
      <c r="D5349" s="15"/>
      <c r="E5349" s="15"/>
      <c r="F5349" s="15">
        <f t="shared" si="1"/>
        <v>0.04</v>
      </c>
      <c r="G5349" s="15">
        <f t="shared" si="2"/>
        <v>0.21</v>
      </c>
      <c r="H5349" s="16">
        <v>0.0</v>
      </c>
      <c r="I5349" s="15">
        <f t="shared" si="3"/>
        <v>0.04</v>
      </c>
      <c r="J5349" s="15">
        <v>28.62</v>
      </c>
      <c r="K5349" s="16">
        <f>IF(COUNTIFS(Release_Calendar!$A$2:$A$755,"US_CPI",Release_Calendar!$B$2:$B$755,$A5349)&gt;0,1,0)</f>
        <v>0</v>
      </c>
      <c r="L5349" s="16">
        <f>IF(COUNTIFS(Release_Calendar!$A$2:$A$755,"US_NFP",Release_Calendar!$B$2:$B$755,$A5349)&gt;0,1,0)</f>
        <v>0</v>
      </c>
      <c r="M5349" s="16">
        <f>IF($A5349&lt;Notes!$B$5,"",IF(COUNTIFS(Release_Calendar!$A$2:$A$755,"NZ_CPI",Release_Calendar!$B$2:$B$755,$A5349)&gt;0,1,0))</f>
        <v>0</v>
      </c>
      <c r="N5349" s="16">
        <f>IF($A5349&lt;Notes!$B$5,"",IF(COUNTIFS(Release_Calendar!$A$2:$A$755,"NZ_GDP",Release_Calendar!$B$2:$B$755,$A5349)&gt;0,1,0))</f>
        <v>0</v>
      </c>
      <c r="O5349" s="16">
        <f>IF($A5349&lt;Notes!$B$5,"",IF(COUNTIFS(Release_Calendar!$A$2:$A$755,"NZ_LABOUR",Release_Calendar!$B$2:$B$755,$A5349)&gt;0,1,0))</f>
        <v>0</v>
      </c>
      <c r="P5349" s="16">
        <f t="shared" si="4"/>
        <v>0</v>
      </c>
    </row>
    <row r="5350" ht="15.75" customHeight="1">
      <c r="A5350" s="14">
        <v>44014.0</v>
      </c>
      <c r="B5350" s="15">
        <v>0.16</v>
      </c>
      <c r="C5350" s="15">
        <v>0.22</v>
      </c>
      <c r="D5350" s="15"/>
      <c r="E5350" s="15"/>
      <c r="F5350" s="15">
        <f t="shared" si="1"/>
        <v>0.06</v>
      </c>
      <c r="G5350" s="15">
        <f t="shared" si="2"/>
        <v>0.22</v>
      </c>
      <c r="H5350" s="16">
        <v>0.0</v>
      </c>
      <c r="I5350" s="15">
        <f t="shared" si="3"/>
        <v>0.06</v>
      </c>
      <c r="J5350" s="15">
        <v>27.68</v>
      </c>
      <c r="K5350" s="16">
        <f>IF(COUNTIFS(Release_Calendar!$A$2:$A$755,"US_CPI",Release_Calendar!$B$2:$B$755,$A5350)&gt;0,1,0)</f>
        <v>0</v>
      </c>
      <c r="L5350" s="16">
        <f>IF(COUNTIFS(Release_Calendar!$A$2:$A$755,"US_NFP",Release_Calendar!$B$2:$B$755,$A5350)&gt;0,1,0)</f>
        <v>1</v>
      </c>
      <c r="M5350" s="16">
        <f>IF($A5350&lt;Notes!$B$5,"",IF(COUNTIFS(Release_Calendar!$A$2:$A$755,"NZ_CPI",Release_Calendar!$B$2:$B$755,$A5350)&gt;0,1,0))</f>
        <v>0</v>
      </c>
      <c r="N5350" s="16">
        <f>IF($A5350&lt;Notes!$B$5,"",IF(COUNTIFS(Release_Calendar!$A$2:$A$755,"NZ_GDP",Release_Calendar!$B$2:$B$755,$A5350)&gt;0,1,0))</f>
        <v>0</v>
      </c>
      <c r="O5350" s="16">
        <f>IF($A5350&lt;Notes!$B$5,"",IF(COUNTIFS(Release_Calendar!$A$2:$A$755,"NZ_LABOUR",Release_Calendar!$B$2:$B$755,$A5350)&gt;0,1,0))</f>
        <v>0</v>
      </c>
      <c r="P5350" s="16">
        <f t="shared" si="4"/>
        <v>1</v>
      </c>
    </row>
    <row r="5351" ht="15.75" customHeight="1">
      <c r="A5351" s="14">
        <v>44015.0</v>
      </c>
      <c r="B5351" s="15"/>
      <c r="C5351" s="15">
        <v>0.21</v>
      </c>
      <c r="D5351" s="15"/>
      <c r="E5351" s="15"/>
      <c r="F5351" s="15" t="str">
        <f t="shared" si="1"/>
        <v/>
      </c>
      <c r="G5351" s="15">
        <f t="shared" si="2"/>
        <v>0.21</v>
      </c>
      <c r="H5351" s="16">
        <v>0.0</v>
      </c>
      <c r="I5351" s="15" t="str">
        <f t="shared" si="3"/>
        <v/>
      </c>
      <c r="J5351" s="15"/>
      <c r="K5351" s="16">
        <f>IF(COUNTIFS(Release_Calendar!$A$2:$A$755,"US_CPI",Release_Calendar!$B$2:$B$755,$A5351)&gt;0,1,0)</f>
        <v>0</v>
      </c>
      <c r="L5351" s="16">
        <f>IF(COUNTIFS(Release_Calendar!$A$2:$A$755,"US_NFP",Release_Calendar!$B$2:$B$755,$A5351)&gt;0,1,0)</f>
        <v>0</v>
      </c>
      <c r="M5351" s="16">
        <f>IF($A5351&lt;Notes!$B$5,"",IF(COUNTIFS(Release_Calendar!$A$2:$A$755,"NZ_CPI",Release_Calendar!$B$2:$B$755,$A5351)&gt;0,1,0))</f>
        <v>0</v>
      </c>
      <c r="N5351" s="16">
        <f>IF($A5351&lt;Notes!$B$5,"",IF(COUNTIFS(Release_Calendar!$A$2:$A$755,"NZ_GDP",Release_Calendar!$B$2:$B$755,$A5351)&gt;0,1,0))</f>
        <v>0</v>
      </c>
      <c r="O5351" s="16">
        <f>IF($A5351&lt;Notes!$B$5,"",IF(COUNTIFS(Release_Calendar!$A$2:$A$755,"NZ_LABOUR",Release_Calendar!$B$2:$B$755,$A5351)&gt;0,1,0))</f>
        <v>0</v>
      </c>
      <c r="P5351" s="16">
        <f t="shared" si="4"/>
        <v>0</v>
      </c>
    </row>
    <row r="5352" ht="15.75" customHeight="1">
      <c r="A5352" s="14">
        <v>44018.0</v>
      </c>
      <c r="B5352" s="15">
        <v>0.16</v>
      </c>
      <c r="C5352" s="15">
        <v>0.22</v>
      </c>
      <c r="D5352" s="15"/>
      <c r="E5352" s="15"/>
      <c r="F5352" s="15">
        <f t="shared" si="1"/>
        <v>0.06</v>
      </c>
      <c r="G5352" s="15">
        <f t="shared" si="2"/>
        <v>0.22</v>
      </c>
      <c r="H5352" s="16">
        <v>0.0</v>
      </c>
      <c r="I5352" s="15">
        <f t="shared" si="3"/>
        <v>0.06</v>
      </c>
      <c r="J5352" s="15">
        <v>27.94</v>
      </c>
      <c r="K5352" s="16">
        <f>IF(COUNTIFS(Release_Calendar!$A$2:$A$755,"US_CPI",Release_Calendar!$B$2:$B$755,$A5352)&gt;0,1,0)</f>
        <v>0</v>
      </c>
      <c r="L5352" s="16">
        <f>IF(COUNTIFS(Release_Calendar!$A$2:$A$755,"US_NFP",Release_Calendar!$B$2:$B$755,$A5352)&gt;0,1,0)</f>
        <v>0</v>
      </c>
      <c r="M5352" s="16">
        <f>IF($A5352&lt;Notes!$B$5,"",IF(COUNTIFS(Release_Calendar!$A$2:$A$755,"NZ_CPI",Release_Calendar!$B$2:$B$755,$A5352)&gt;0,1,0))</f>
        <v>0</v>
      </c>
      <c r="N5352" s="16">
        <f>IF($A5352&lt;Notes!$B$5,"",IF(COUNTIFS(Release_Calendar!$A$2:$A$755,"NZ_GDP",Release_Calendar!$B$2:$B$755,$A5352)&gt;0,1,0))</f>
        <v>0</v>
      </c>
      <c r="O5352" s="16">
        <f>IF($A5352&lt;Notes!$B$5,"",IF(COUNTIFS(Release_Calendar!$A$2:$A$755,"NZ_LABOUR",Release_Calendar!$B$2:$B$755,$A5352)&gt;0,1,0))</f>
        <v>0</v>
      </c>
      <c r="P5352" s="16">
        <f t="shared" si="4"/>
        <v>0</v>
      </c>
    </row>
    <row r="5353" ht="15.75" customHeight="1">
      <c r="A5353" s="14">
        <v>44019.0</v>
      </c>
      <c r="B5353" s="15">
        <v>0.16</v>
      </c>
      <c r="C5353" s="15">
        <v>0.22</v>
      </c>
      <c r="D5353" s="15"/>
      <c r="E5353" s="15"/>
      <c r="F5353" s="15">
        <f t="shared" si="1"/>
        <v>0.06</v>
      </c>
      <c r="G5353" s="15">
        <f t="shared" si="2"/>
        <v>0.22</v>
      </c>
      <c r="H5353" s="16">
        <v>0.0</v>
      </c>
      <c r="I5353" s="15">
        <f t="shared" si="3"/>
        <v>0.06</v>
      </c>
      <c r="J5353" s="15">
        <v>29.43</v>
      </c>
      <c r="K5353" s="16">
        <f>IF(COUNTIFS(Release_Calendar!$A$2:$A$755,"US_CPI",Release_Calendar!$B$2:$B$755,$A5353)&gt;0,1,0)</f>
        <v>0</v>
      </c>
      <c r="L5353" s="16">
        <f>IF(COUNTIFS(Release_Calendar!$A$2:$A$755,"US_NFP",Release_Calendar!$B$2:$B$755,$A5353)&gt;0,1,0)</f>
        <v>0</v>
      </c>
      <c r="M5353" s="16">
        <f>IF($A5353&lt;Notes!$B$5,"",IF(COUNTIFS(Release_Calendar!$A$2:$A$755,"NZ_CPI",Release_Calendar!$B$2:$B$755,$A5353)&gt;0,1,0))</f>
        <v>0</v>
      </c>
      <c r="N5353" s="16">
        <f>IF($A5353&lt;Notes!$B$5,"",IF(COUNTIFS(Release_Calendar!$A$2:$A$755,"NZ_GDP",Release_Calendar!$B$2:$B$755,$A5353)&gt;0,1,0))</f>
        <v>0</v>
      </c>
      <c r="O5353" s="16">
        <f>IF($A5353&lt;Notes!$B$5,"",IF(COUNTIFS(Release_Calendar!$A$2:$A$755,"NZ_LABOUR",Release_Calendar!$B$2:$B$755,$A5353)&gt;0,1,0))</f>
        <v>0</v>
      </c>
      <c r="P5353" s="16">
        <f t="shared" si="4"/>
        <v>0</v>
      </c>
    </row>
    <row r="5354" ht="15.75" customHeight="1">
      <c r="A5354" s="14">
        <v>44020.0</v>
      </c>
      <c r="B5354" s="15">
        <v>0.16</v>
      </c>
      <c r="C5354" s="15">
        <v>0.22</v>
      </c>
      <c r="D5354" s="15"/>
      <c r="E5354" s="15"/>
      <c r="F5354" s="15">
        <f t="shared" si="1"/>
        <v>0.06</v>
      </c>
      <c r="G5354" s="15">
        <f t="shared" si="2"/>
        <v>0.22</v>
      </c>
      <c r="H5354" s="16">
        <v>0.0</v>
      </c>
      <c r="I5354" s="15">
        <f t="shared" si="3"/>
        <v>0.06</v>
      </c>
      <c r="J5354" s="15">
        <v>28.08</v>
      </c>
      <c r="K5354" s="16">
        <f>IF(COUNTIFS(Release_Calendar!$A$2:$A$755,"US_CPI",Release_Calendar!$B$2:$B$755,$A5354)&gt;0,1,0)</f>
        <v>0</v>
      </c>
      <c r="L5354" s="16">
        <f>IF(COUNTIFS(Release_Calendar!$A$2:$A$755,"US_NFP",Release_Calendar!$B$2:$B$755,$A5354)&gt;0,1,0)</f>
        <v>0</v>
      </c>
      <c r="M5354" s="16">
        <f>IF($A5354&lt;Notes!$B$5,"",IF(COUNTIFS(Release_Calendar!$A$2:$A$755,"NZ_CPI",Release_Calendar!$B$2:$B$755,$A5354)&gt;0,1,0))</f>
        <v>0</v>
      </c>
      <c r="N5354" s="16">
        <f>IF($A5354&lt;Notes!$B$5,"",IF(COUNTIFS(Release_Calendar!$A$2:$A$755,"NZ_GDP",Release_Calendar!$B$2:$B$755,$A5354)&gt;0,1,0))</f>
        <v>0</v>
      </c>
      <c r="O5354" s="16">
        <f>IF($A5354&lt;Notes!$B$5,"",IF(COUNTIFS(Release_Calendar!$A$2:$A$755,"NZ_LABOUR",Release_Calendar!$B$2:$B$755,$A5354)&gt;0,1,0))</f>
        <v>0</v>
      </c>
      <c r="P5354" s="16">
        <f t="shared" si="4"/>
        <v>0</v>
      </c>
    </row>
    <row r="5355" ht="15.75" customHeight="1">
      <c r="A5355" s="14">
        <v>44021.0</v>
      </c>
      <c r="B5355" s="15">
        <v>0.16</v>
      </c>
      <c r="C5355" s="15">
        <v>0.22</v>
      </c>
      <c r="D5355" s="15"/>
      <c r="E5355" s="15"/>
      <c r="F5355" s="15">
        <f t="shared" si="1"/>
        <v>0.06</v>
      </c>
      <c r="G5355" s="15">
        <f t="shared" si="2"/>
        <v>0.22</v>
      </c>
      <c r="H5355" s="16">
        <v>0.0</v>
      </c>
      <c r="I5355" s="15">
        <f t="shared" si="3"/>
        <v>0.06</v>
      </c>
      <c r="J5355" s="15">
        <v>29.26</v>
      </c>
      <c r="K5355" s="16">
        <f>IF(COUNTIFS(Release_Calendar!$A$2:$A$755,"US_CPI",Release_Calendar!$B$2:$B$755,$A5355)&gt;0,1,0)</f>
        <v>0</v>
      </c>
      <c r="L5355" s="16">
        <f>IF(COUNTIFS(Release_Calendar!$A$2:$A$755,"US_NFP",Release_Calendar!$B$2:$B$755,$A5355)&gt;0,1,0)</f>
        <v>0</v>
      </c>
      <c r="M5355" s="16">
        <f>IF($A5355&lt;Notes!$B$5,"",IF(COUNTIFS(Release_Calendar!$A$2:$A$755,"NZ_CPI",Release_Calendar!$B$2:$B$755,$A5355)&gt;0,1,0))</f>
        <v>0</v>
      </c>
      <c r="N5355" s="16">
        <f>IF($A5355&lt;Notes!$B$5,"",IF(COUNTIFS(Release_Calendar!$A$2:$A$755,"NZ_GDP",Release_Calendar!$B$2:$B$755,$A5355)&gt;0,1,0))</f>
        <v>0</v>
      </c>
      <c r="O5355" s="16">
        <f>IF($A5355&lt;Notes!$B$5,"",IF(COUNTIFS(Release_Calendar!$A$2:$A$755,"NZ_LABOUR",Release_Calendar!$B$2:$B$755,$A5355)&gt;0,1,0))</f>
        <v>0</v>
      </c>
      <c r="P5355" s="16">
        <f t="shared" si="4"/>
        <v>0</v>
      </c>
    </row>
    <row r="5356" ht="15.75" customHeight="1">
      <c r="A5356" s="14">
        <v>44022.0</v>
      </c>
      <c r="B5356" s="15">
        <v>0.16</v>
      </c>
      <c r="C5356" s="15">
        <v>0.21</v>
      </c>
      <c r="D5356" s="15"/>
      <c r="E5356" s="15"/>
      <c r="F5356" s="15">
        <f t="shared" si="1"/>
        <v>0.05</v>
      </c>
      <c r="G5356" s="15">
        <f t="shared" si="2"/>
        <v>0.21</v>
      </c>
      <c r="H5356" s="16">
        <v>0.0</v>
      </c>
      <c r="I5356" s="15">
        <f t="shared" si="3"/>
        <v>0.05</v>
      </c>
      <c r="J5356" s="15">
        <v>27.29</v>
      </c>
      <c r="K5356" s="16">
        <f>IF(COUNTIFS(Release_Calendar!$A$2:$A$755,"US_CPI",Release_Calendar!$B$2:$B$755,$A5356)&gt;0,1,0)</f>
        <v>0</v>
      </c>
      <c r="L5356" s="16">
        <f>IF(COUNTIFS(Release_Calendar!$A$2:$A$755,"US_NFP",Release_Calendar!$B$2:$B$755,$A5356)&gt;0,1,0)</f>
        <v>0</v>
      </c>
      <c r="M5356" s="16">
        <f>IF($A5356&lt;Notes!$B$5,"",IF(COUNTIFS(Release_Calendar!$A$2:$A$755,"NZ_CPI",Release_Calendar!$B$2:$B$755,$A5356)&gt;0,1,0))</f>
        <v>0</v>
      </c>
      <c r="N5356" s="16">
        <f>IF($A5356&lt;Notes!$B$5,"",IF(COUNTIFS(Release_Calendar!$A$2:$A$755,"NZ_GDP",Release_Calendar!$B$2:$B$755,$A5356)&gt;0,1,0))</f>
        <v>0</v>
      </c>
      <c r="O5356" s="16">
        <f>IF($A5356&lt;Notes!$B$5,"",IF(COUNTIFS(Release_Calendar!$A$2:$A$755,"NZ_LABOUR",Release_Calendar!$B$2:$B$755,$A5356)&gt;0,1,0))</f>
        <v>0</v>
      </c>
      <c r="P5356" s="16">
        <f t="shared" si="4"/>
        <v>0</v>
      </c>
    </row>
    <row r="5357" ht="15.75" customHeight="1">
      <c r="A5357" s="14">
        <v>44025.0</v>
      </c>
      <c r="B5357" s="15">
        <v>0.16</v>
      </c>
      <c r="C5357" s="15">
        <v>0.22</v>
      </c>
      <c r="D5357" s="15"/>
      <c r="E5357" s="15"/>
      <c r="F5357" s="15">
        <f t="shared" si="1"/>
        <v>0.06</v>
      </c>
      <c r="G5357" s="15">
        <f t="shared" si="2"/>
        <v>0.22</v>
      </c>
      <c r="H5357" s="16">
        <v>0.0</v>
      </c>
      <c r="I5357" s="15">
        <f t="shared" si="3"/>
        <v>0.06</v>
      </c>
      <c r="J5357" s="15">
        <v>32.19</v>
      </c>
      <c r="K5357" s="16">
        <f>IF(COUNTIFS(Release_Calendar!$A$2:$A$755,"US_CPI",Release_Calendar!$B$2:$B$755,$A5357)&gt;0,1,0)</f>
        <v>0</v>
      </c>
      <c r="L5357" s="16">
        <f>IF(COUNTIFS(Release_Calendar!$A$2:$A$755,"US_NFP",Release_Calendar!$B$2:$B$755,$A5357)&gt;0,1,0)</f>
        <v>0</v>
      </c>
      <c r="M5357" s="16">
        <f>IF($A5357&lt;Notes!$B$5,"",IF(COUNTIFS(Release_Calendar!$A$2:$A$755,"NZ_CPI",Release_Calendar!$B$2:$B$755,$A5357)&gt;0,1,0))</f>
        <v>0</v>
      </c>
      <c r="N5357" s="16">
        <f>IF($A5357&lt;Notes!$B$5,"",IF(COUNTIFS(Release_Calendar!$A$2:$A$755,"NZ_GDP",Release_Calendar!$B$2:$B$755,$A5357)&gt;0,1,0))</f>
        <v>0</v>
      </c>
      <c r="O5357" s="16">
        <f>IF($A5357&lt;Notes!$B$5,"",IF(COUNTIFS(Release_Calendar!$A$2:$A$755,"NZ_LABOUR",Release_Calendar!$B$2:$B$755,$A5357)&gt;0,1,0))</f>
        <v>0</v>
      </c>
      <c r="P5357" s="16">
        <f t="shared" si="4"/>
        <v>0</v>
      </c>
    </row>
    <row r="5358" ht="15.75" customHeight="1">
      <c r="A5358" s="14">
        <v>44026.0</v>
      </c>
      <c r="B5358" s="15">
        <v>0.14</v>
      </c>
      <c r="C5358" s="15">
        <v>0.21</v>
      </c>
      <c r="D5358" s="15"/>
      <c r="E5358" s="15"/>
      <c r="F5358" s="15">
        <f t="shared" si="1"/>
        <v>0.07</v>
      </c>
      <c r="G5358" s="15">
        <f t="shared" si="2"/>
        <v>0.21</v>
      </c>
      <c r="H5358" s="16">
        <v>0.0</v>
      </c>
      <c r="I5358" s="15">
        <f t="shared" si="3"/>
        <v>0.07</v>
      </c>
      <c r="J5358" s="15">
        <v>29.52</v>
      </c>
      <c r="K5358" s="16">
        <f>IF(COUNTIFS(Release_Calendar!$A$2:$A$755,"US_CPI",Release_Calendar!$B$2:$B$755,$A5358)&gt;0,1,0)</f>
        <v>1</v>
      </c>
      <c r="L5358" s="16">
        <f>IF(COUNTIFS(Release_Calendar!$A$2:$A$755,"US_NFP",Release_Calendar!$B$2:$B$755,$A5358)&gt;0,1,0)</f>
        <v>0</v>
      </c>
      <c r="M5358" s="16">
        <f>IF($A5358&lt;Notes!$B$5,"",IF(COUNTIFS(Release_Calendar!$A$2:$A$755,"NZ_CPI",Release_Calendar!$B$2:$B$755,$A5358)&gt;0,1,0))</f>
        <v>0</v>
      </c>
      <c r="N5358" s="16">
        <f>IF($A5358&lt;Notes!$B$5,"",IF(COUNTIFS(Release_Calendar!$A$2:$A$755,"NZ_GDP",Release_Calendar!$B$2:$B$755,$A5358)&gt;0,1,0))</f>
        <v>0</v>
      </c>
      <c r="O5358" s="16">
        <f>IF($A5358&lt;Notes!$B$5,"",IF(COUNTIFS(Release_Calendar!$A$2:$A$755,"NZ_LABOUR",Release_Calendar!$B$2:$B$755,$A5358)&gt;0,1,0))</f>
        <v>0</v>
      </c>
      <c r="P5358" s="16">
        <f t="shared" si="4"/>
        <v>1</v>
      </c>
    </row>
    <row r="5359" ht="15.75" customHeight="1">
      <c r="A5359" s="14">
        <v>44027.0</v>
      </c>
      <c r="B5359" s="15">
        <v>0.16</v>
      </c>
      <c r="C5359" s="15">
        <v>0.21</v>
      </c>
      <c r="D5359" s="15"/>
      <c r="E5359" s="15"/>
      <c r="F5359" s="15">
        <f t="shared" si="1"/>
        <v>0.05</v>
      </c>
      <c r="G5359" s="15">
        <f t="shared" si="2"/>
        <v>0.21</v>
      </c>
      <c r="H5359" s="16">
        <v>0.0</v>
      </c>
      <c r="I5359" s="15">
        <f t="shared" si="3"/>
        <v>0.05</v>
      </c>
      <c r="J5359" s="15">
        <v>27.76</v>
      </c>
      <c r="K5359" s="16">
        <f>IF(COUNTIFS(Release_Calendar!$A$2:$A$755,"US_CPI",Release_Calendar!$B$2:$B$755,$A5359)&gt;0,1,0)</f>
        <v>0</v>
      </c>
      <c r="L5359" s="16">
        <f>IF(COUNTIFS(Release_Calendar!$A$2:$A$755,"US_NFP",Release_Calendar!$B$2:$B$755,$A5359)&gt;0,1,0)</f>
        <v>0</v>
      </c>
      <c r="M5359" s="16">
        <f>IF($A5359&lt;Notes!$B$5,"",IF(COUNTIFS(Release_Calendar!$A$2:$A$755,"NZ_CPI",Release_Calendar!$B$2:$B$755,$A5359)&gt;0,1,0))</f>
        <v>0</v>
      </c>
      <c r="N5359" s="16">
        <f>IF($A5359&lt;Notes!$B$5,"",IF(COUNTIFS(Release_Calendar!$A$2:$A$755,"NZ_GDP",Release_Calendar!$B$2:$B$755,$A5359)&gt;0,1,0))</f>
        <v>0</v>
      </c>
      <c r="O5359" s="16">
        <f>IF($A5359&lt;Notes!$B$5,"",IF(COUNTIFS(Release_Calendar!$A$2:$A$755,"NZ_LABOUR",Release_Calendar!$B$2:$B$755,$A5359)&gt;0,1,0))</f>
        <v>0</v>
      </c>
      <c r="P5359" s="16">
        <f t="shared" si="4"/>
        <v>0</v>
      </c>
    </row>
    <row r="5360" ht="15.75" customHeight="1">
      <c r="A5360" s="14">
        <v>44028.0</v>
      </c>
      <c r="B5360" s="15">
        <v>0.16</v>
      </c>
      <c r="C5360" s="15">
        <v>0.21</v>
      </c>
      <c r="D5360" s="15"/>
      <c r="E5360" s="15"/>
      <c r="F5360" s="15">
        <f t="shared" si="1"/>
        <v>0.05</v>
      </c>
      <c r="G5360" s="15">
        <f t="shared" si="2"/>
        <v>0.21</v>
      </c>
      <c r="H5360" s="16">
        <v>0.0</v>
      </c>
      <c r="I5360" s="15">
        <f t="shared" si="3"/>
        <v>0.05</v>
      </c>
      <c r="J5360" s="15">
        <v>28.0</v>
      </c>
      <c r="K5360" s="16">
        <f>IF(COUNTIFS(Release_Calendar!$A$2:$A$755,"US_CPI",Release_Calendar!$B$2:$B$755,$A5360)&gt;0,1,0)</f>
        <v>0</v>
      </c>
      <c r="L5360" s="16">
        <f>IF(COUNTIFS(Release_Calendar!$A$2:$A$755,"US_NFP",Release_Calendar!$B$2:$B$755,$A5360)&gt;0,1,0)</f>
        <v>0</v>
      </c>
      <c r="M5360" s="16">
        <f>IF($A5360&lt;Notes!$B$5,"",IF(COUNTIFS(Release_Calendar!$A$2:$A$755,"NZ_CPI",Release_Calendar!$B$2:$B$755,$A5360)&gt;0,1,0))</f>
        <v>1</v>
      </c>
      <c r="N5360" s="16">
        <f>IF($A5360&lt;Notes!$B$5,"",IF(COUNTIFS(Release_Calendar!$A$2:$A$755,"NZ_GDP",Release_Calendar!$B$2:$B$755,$A5360)&gt;0,1,0))</f>
        <v>0</v>
      </c>
      <c r="O5360" s="16">
        <f>IF($A5360&lt;Notes!$B$5,"",IF(COUNTIFS(Release_Calendar!$A$2:$A$755,"NZ_LABOUR",Release_Calendar!$B$2:$B$755,$A5360)&gt;0,1,0))</f>
        <v>0</v>
      </c>
      <c r="P5360" s="16">
        <f t="shared" si="4"/>
        <v>1</v>
      </c>
    </row>
    <row r="5361" ht="15.75" customHeight="1">
      <c r="A5361" s="14">
        <v>44029.0</v>
      </c>
      <c r="B5361" s="15">
        <v>0.14</v>
      </c>
      <c r="C5361" s="15">
        <v>0.21</v>
      </c>
      <c r="D5361" s="15"/>
      <c r="E5361" s="15"/>
      <c r="F5361" s="15">
        <f t="shared" si="1"/>
        <v>0.07</v>
      </c>
      <c r="G5361" s="15">
        <f t="shared" si="2"/>
        <v>0.21</v>
      </c>
      <c r="H5361" s="16">
        <v>0.0</v>
      </c>
      <c r="I5361" s="15">
        <f t="shared" si="3"/>
        <v>0.07</v>
      </c>
      <c r="J5361" s="15">
        <v>25.68</v>
      </c>
      <c r="K5361" s="16">
        <f>IF(COUNTIFS(Release_Calendar!$A$2:$A$755,"US_CPI",Release_Calendar!$B$2:$B$755,$A5361)&gt;0,1,0)</f>
        <v>0</v>
      </c>
      <c r="L5361" s="16">
        <f>IF(COUNTIFS(Release_Calendar!$A$2:$A$755,"US_NFP",Release_Calendar!$B$2:$B$755,$A5361)&gt;0,1,0)</f>
        <v>0</v>
      </c>
      <c r="M5361" s="16">
        <f>IF($A5361&lt;Notes!$B$5,"",IF(COUNTIFS(Release_Calendar!$A$2:$A$755,"NZ_CPI",Release_Calendar!$B$2:$B$755,$A5361)&gt;0,1,0))</f>
        <v>0</v>
      </c>
      <c r="N5361" s="16">
        <f>IF($A5361&lt;Notes!$B$5,"",IF(COUNTIFS(Release_Calendar!$A$2:$A$755,"NZ_GDP",Release_Calendar!$B$2:$B$755,$A5361)&gt;0,1,0))</f>
        <v>0</v>
      </c>
      <c r="O5361" s="16">
        <f>IF($A5361&lt;Notes!$B$5,"",IF(COUNTIFS(Release_Calendar!$A$2:$A$755,"NZ_LABOUR",Release_Calendar!$B$2:$B$755,$A5361)&gt;0,1,0))</f>
        <v>0</v>
      </c>
      <c r="P5361" s="16">
        <f t="shared" si="4"/>
        <v>0</v>
      </c>
    </row>
    <row r="5362" ht="15.75" customHeight="1">
      <c r="A5362" s="14">
        <v>44032.0</v>
      </c>
      <c r="B5362" s="15">
        <v>0.16</v>
      </c>
      <c r="C5362" s="15">
        <v>0.21</v>
      </c>
      <c r="D5362" s="15"/>
      <c r="E5362" s="15"/>
      <c r="F5362" s="15">
        <f t="shared" si="1"/>
        <v>0.05</v>
      </c>
      <c r="G5362" s="15">
        <f t="shared" si="2"/>
        <v>0.21</v>
      </c>
      <c r="H5362" s="16">
        <v>0.0</v>
      </c>
      <c r="I5362" s="15">
        <f t="shared" si="3"/>
        <v>0.05</v>
      </c>
      <c r="J5362" s="15">
        <v>24.46</v>
      </c>
      <c r="K5362" s="16">
        <f>IF(COUNTIFS(Release_Calendar!$A$2:$A$755,"US_CPI",Release_Calendar!$B$2:$B$755,$A5362)&gt;0,1,0)</f>
        <v>0</v>
      </c>
      <c r="L5362" s="16">
        <f>IF(COUNTIFS(Release_Calendar!$A$2:$A$755,"US_NFP",Release_Calendar!$B$2:$B$755,$A5362)&gt;0,1,0)</f>
        <v>0</v>
      </c>
      <c r="M5362" s="16">
        <f>IF($A5362&lt;Notes!$B$5,"",IF(COUNTIFS(Release_Calendar!$A$2:$A$755,"NZ_CPI",Release_Calendar!$B$2:$B$755,$A5362)&gt;0,1,0))</f>
        <v>0</v>
      </c>
      <c r="N5362" s="16">
        <f>IF($A5362&lt;Notes!$B$5,"",IF(COUNTIFS(Release_Calendar!$A$2:$A$755,"NZ_GDP",Release_Calendar!$B$2:$B$755,$A5362)&gt;0,1,0))</f>
        <v>0</v>
      </c>
      <c r="O5362" s="16">
        <f>IF($A5362&lt;Notes!$B$5,"",IF(COUNTIFS(Release_Calendar!$A$2:$A$755,"NZ_LABOUR",Release_Calendar!$B$2:$B$755,$A5362)&gt;0,1,0))</f>
        <v>0</v>
      </c>
      <c r="P5362" s="16">
        <f t="shared" si="4"/>
        <v>0</v>
      </c>
    </row>
    <row r="5363" ht="15.75" customHeight="1">
      <c r="A5363" s="14">
        <v>44033.0</v>
      </c>
      <c r="B5363" s="15">
        <v>0.14</v>
      </c>
      <c r="C5363" s="15">
        <v>0.21</v>
      </c>
      <c r="D5363" s="15"/>
      <c r="E5363" s="15"/>
      <c r="F5363" s="15">
        <f t="shared" si="1"/>
        <v>0.07</v>
      </c>
      <c r="G5363" s="15">
        <f t="shared" si="2"/>
        <v>0.21</v>
      </c>
      <c r="H5363" s="16">
        <v>0.0</v>
      </c>
      <c r="I5363" s="15">
        <f t="shared" si="3"/>
        <v>0.07</v>
      </c>
      <c r="J5363" s="15">
        <v>24.84</v>
      </c>
      <c r="K5363" s="16">
        <f>IF(COUNTIFS(Release_Calendar!$A$2:$A$755,"US_CPI",Release_Calendar!$B$2:$B$755,$A5363)&gt;0,1,0)</f>
        <v>0</v>
      </c>
      <c r="L5363" s="16">
        <f>IF(COUNTIFS(Release_Calendar!$A$2:$A$755,"US_NFP",Release_Calendar!$B$2:$B$755,$A5363)&gt;0,1,0)</f>
        <v>0</v>
      </c>
      <c r="M5363" s="16">
        <f>IF($A5363&lt;Notes!$B$5,"",IF(COUNTIFS(Release_Calendar!$A$2:$A$755,"NZ_CPI",Release_Calendar!$B$2:$B$755,$A5363)&gt;0,1,0))</f>
        <v>0</v>
      </c>
      <c r="N5363" s="16">
        <f>IF($A5363&lt;Notes!$B$5,"",IF(COUNTIFS(Release_Calendar!$A$2:$A$755,"NZ_GDP",Release_Calendar!$B$2:$B$755,$A5363)&gt;0,1,0))</f>
        <v>0</v>
      </c>
      <c r="O5363" s="16">
        <f>IF($A5363&lt;Notes!$B$5,"",IF(COUNTIFS(Release_Calendar!$A$2:$A$755,"NZ_LABOUR",Release_Calendar!$B$2:$B$755,$A5363)&gt;0,1,0))</f>
        <v>0</v>
      </c>
      <c r="P5363" s="16">
        <f t="shared" si="4"/>
        <v>0</v>
      </c>
    </row>
    <row r="5364" ht="15.75" customHeight="1">
      <c r="A5364" s="14">
        <v>44034.0</v>
      </c>
      <c r="B5364" s="15">
        <v>0.14</v>
      </c>
      <c r="C5364" s="15">
        <v>0.21</v>
      </c>
      <c r="D5364" s="15"/>
      <c r="E5364" s="15"/>
      <c r="F5364" s="15">
        <f t="shared" si="1"/>
        <v>0.07</v>
      </c>
      <c r="G5364" s="15">
        <f t="shared" si="2"/>
        <v>0.21</v>
      </c>
      <c r="H5364" s="16">
        <v>0.0</v>
      </c>
      <c r="I5364" s="15">
        <f t="shared" si="3"/>
        <v>0.07</v>
      </c>
      <c r="J5364" s="15">
        <v>24.32</v>
      </c>
      <c r="K5364" s="16">
        <f>IF(COUNTIFS(Release_Calendar!$A$2:$A$755,"US_CPI",Release_Calendar!$B$2:$B$755,$A5364)&gt;0,1,0)</f>
        <v>0</v>
      </c>
      <c r="L5364" s="16">
        <f>IF(COUNTIFS(Release_Calendar!$A$2:$A$755,"US_NFP",Release_Calendar!$B$2:$B$755,$A5364)&gt;0,1,0)</f>
        <v>0</v>
      </c>
      <c r="M5364" s="16">
        <f>IF($A5364&lt;Notes!$B$5,"",IF(COUNTIFS(Release_Calendar!$A$2:$A$755,"NZ_CPI",Release_Calendar!$B$2:$B$755,$A5364)&gt;0,1,0))</f>
        <v>0</v>
      </c>
      <c r="N5364" s="16">
        <f>IF($A5364&lt;Notes!$B$5,"",IF(COUNTIFS(Release_Calendar!$A$2:$A$755,"NZ_GDP",Release_Calendar!$B$2:$B$755,$A5364)&gt;0,1,0))</f>
        <v>0</v>
      </c>
      <c r="O5364" s="16">
        <f>IF($A5364&lt;Notes!$B$5,"",IF(COUNTIFS(Release_Calendar!$A$2:$A$755,"NZ_LABOUR",Release_Calendar!$B$2:$B$755,$A5364)&gt;0,1,0))</f>
        <v>0</v>
      </c>
      <c r="P5364" s="16">
        <f t="shared" si="4"/>
        <v>0</v>
      </c>
    </row>
    <row r="5365" ht="15.75" customHeight="1">
      <c r="A5365" s="14">
        <v>44035.0</v>
      </c>
      <c r="B5365" s="15">
        <v>0.16</v>
      </c>
      <c r="C5365" s="15">
        <v>0.22</v>
      </c>
      <c r="D5365" s="15"/>
      <c r="E5365" s="15"/>
      <c r="F5365" s="15">
        <f t="shared" si="1"/>
        <v>0.06</v>
      </c>
      <c r="G5365" s="15">
        <f t="shared" si="2"/>
        <v>0.22</v>
      </c>
      <c r="H5365" s="16">
        <v>0.0</v>
      </c>
      <c r="I5365" s="15">
        <f t="shared" si="3"/>
        <v>0.06</v>
      </c>
      <c r="J5365" s="15">
        <v>26.08</v>
      </c>
      <c r="K5365" s="16">
        <f>IF(COUNTIFS(Release_Calendar!$A$2:$A$755,"US_CPI",Release_Calendar!$B$2:$B$755,$A5365)&gt;0,1,0)</f>
        <v>0</v>
      </c>
      <c r="L5365" s="16">
        <f>IF(COUNTIFS(Release_Calendar!$A$2:$A$755,"US_NFP",Release_Calendar!$B$2:$B$755,$A5365)&gt;0,1,0)</f>
        <v>0</v>
      </c>
      <c r="M5365" s="16">
        <f>IF($A5365&lt;Notes!$B$5,"",IF(COUNTIFS(Release_Calendar!$A$2:$A$755,"NZ_CPI",Release_Calendar!$B$2:$B$755,$A5365)&gt;0,1,0))</f>
        <v>0</v>
      </c>
      <c r="N5365" s="16">
        <f>IF($A5365&lt;Notes!$B$5,"",IF(COUNTIFS(Release_Calendar!$A$2:$A$755,"NZ_GDP",Release_Calendar!$B$2:$B$755,$A5365)&gt;0,1,0))</f>
        <v>0</v>
      </c>
      <c r="O5365" s="16">
        <f>IF($A5365&lt;Notes!$B$5,"",IF(COUNTIFS(Release_Calendar!$A$2:$A$755,"NZ_LABOUR",Release_Calendar!$B$2:$B$755,$A5365)&gt;0,1,0))</f>
        <v>0</v>
      </c>
      <c r="P5365" s="16">
        <f t="shared" si="4"/>
        <v>0</v>
      </c>
    </row>
    <row r="5366" ht="15.75" customHeight="1">
      <c r="A5366" s="14">
        <v>44036.0</v>
      </c>
      <c r="B5366" s="15">
        <v>0.14</v>
      </c>
      <c r="C5366" s="15">
        <v>0.22</v>
      </c>
      <c r="D5366" s="15"/>
      <c r="E5366" s="15"/>
      <c r="F5366" s="15">
        <f t="shared" si="1"/>
        <v>0.08</v>
      </c>
      <c r="G5366" s="15">
        <f t="shared" si="2"/>
        <v>0.22</v>
      </c>
      <c r="H5366" s="16">
        <v>0.0</v>
      </c>
      <c r="I5366" s="15">
        <f t="shared" si="3"/>
        <v>0.08</v>
      </c>
      <c r="J5366" s="15">
        <v>25.84</v>
      </c>
      <c r="K5366" s="16">
        <f>IF(COUNTIFS(Release_Calendar!$A$2:$A$755,"US_CPI",Release_Calendar!$B$2:$B$755,$A5366)&gt;0,1,0)</f>
        <v>0</v>
      </c>
      <c r="L5366" s="16">
        <f>IF(COUNTIFS(Release_Calendar!$A$2:$A$755,"US_NFP",Release_Calendar!$B$2:$B$755,$A5366)&gt;0,1,0)</f>
        <v>0</v>
      </c>
      <c r="M5366" s="16">
        <f>IF($A5366&lt;Notes!$B$5,"",IF(COUNTIFS(Release_Calendar!$A$2:$A$755,"NZ_CPI",Release_Calendar!$B$2:$B$755,$A5366)&gt;0,1,0))</f>
        <v>0</v>
      </c>
      <c r="N5366" s="16">
        <f>IF($A5366&lt;Notes!$B$5,"",IF(COUNTIFS(Release_Calendar!$A$2:$A$755,"NZ_GDP",Release_Calendar!$B$2:$B$755,$A5366)&gt;0,1,0))</f>
        <v>0</v>
      </c>
      <c r="O5366" s="16">
        <f>IF($A5366&lt;Notes!$B$5,"",IF(COUNTIFS(Release_Calendar!$A$2:$A$755,"NZ_LABOUR",Release_Calendar!$B$2:$B$755,$A5366)&gt;0,1,0))</f>
        <v>0</v>
      </c>
      <c r="P5366" s="16">
        <f t="shared" si="4"/>
        <v>0</v>
      </c>
    </row>
    <row r="5367" ht="15.75" customHeight="1">
      <c r="A5367" s="14">
        <v>44039.0</v>
      </c>
      <c r="B5367" s="15">
        <v>0.15</v>
      </c>
      <c r="C5367" s="15">
        <v>0.21</v>
      </c>
      <c r="D5367" s="15"/>
      <c r="E5367" s="15"/>
      <c r="F5367" s="15">
        <f t="shared" si="1"/>
        <v>0.06</v>
      </c>
      <c r="G5367" s="15">
        <f t="shared" si="2"/>
        <v>0.21</v>
      </c>
      <c r="H5367" s="16">
        <v>0.0</v>
      </c>
      <c r="I5367" s="15">
        <f t="shared" si="3"/>
        <v>0.06</v>
      </c>
      <c r="J5367" s="15">
        <v>24.74</v>
      </c>
      <c r="K5367" s="16">
        <f>IF(COUNTIFS(Release_Calendar!$A$2:$A$755,"US_CPI",Release_Calendar!$B$2:$B$755,$A5367)&gt;0,1,0)</f>
        <v>0</v>
      </c>
      <c r="L5367" s="16">
        <f>IF(COUNTIFS(Release_Calendar!$A$2:$A$755,"US_NFP",Release_Calendar!$B$2:$B$755,$A5367)&gt;0,1,0)</f>
        <v>0</v>
      </c>
      <c r="M5367" s="16">
        <f>IF($A5367&lt;Notes!$B$5,"",IF(COUNTIFS(Release_Calendar!$A$2:$A$755,"NZ_CPI",Release_Calendar!$B$2:$B$755,$A5367)&gt;0,1,0))</f>
        <v>0</v>
      </c>
      <c r="N5367" s="16">
        <f>IF($A5367&lt;Notes!$B$5,"",IF(COUNTIFS(Release_Calendar!$A$2:$A$755,"NZ_GDP",Release_Calendar!$B$2:$B$755,$A5367)&gt;0,1,0))</f>
        <v>0</v>
      </c>
      <c r="O5367" s="16">
        <f>IF($A5367&lt;Notes!$B$5,"",IF(COUNTIFS(Release_Calendar!$A$2:$A$755,"NZ_LABOUR",Release_Calendar!$B$2:$B$755,$A5367)&gt;0,1,0))</f>
        <v>0</v>
      </c>
      <c r="P5367" s="16">
        <f t="shared" si="4"/>
        <v>0</v>
      </c>
    </row>
    <row r="5368" ht="15.75" customHeight="1">
      <c r="A5368" s="14">
        <v>44040.0</v>
      </c>
      <c r="B5368" s="15">
        <v>0.14</v>
      </c>
      <c r="C5368" s="15">
        <v>0.21</v>
      </c>
      <c r="D5368" s="15"/>
      <c r="E5368" s="15"/>
      <c r="F5368" s="15">
        <f t="shared" si="1"/>
        <v>0.07</v>
      </c>
      <c r="G5368" s="15">
        <f t="shared" si="2"/>
        <v>0.21</v>
      </c>
      <c r="H5368" s="16">
        <v>0.0</v>
      </c>
      <c r="I5368" s="15">
        <f t="shared" si="3"/>
        <v>0.07</v>
      </c>
      <c r="J5368" s="15">
        <v>25.44</v>
      </c>
      <c r="K5368" s="16">
        <f>IF(COUNTIFS(Release_Calendar!$A$2:$A$755,"US_CPI",Release_Calendar!$B$2:$B$755,$A5368)&gt;0,1,0)</f>
        <v>0</v>
      </c>
      <c r="L5368" s="16">
        <f>IF(COUNTIFS(Release_Calendar!$A$2:$A$755,"US_NFP",Release_Calendar!$B$2:$B$755,$A5368)&gt;0,1,0)</f>
        <v>0</v>
      </c>
      <c r="M5368" s="16">
        <f>IF($A5368&lt;Notes!$B$5,"",IF(COUNTIFS(Release_Calendar!$A$2:$A$755,"NZ_CPI",Release_Calendar!$B$2:$B$755,$A5368)&gt;0,1,0))</f>
        <v>0</v>
      </c>
      <c r="N5368" s="16">
        <f>IF($A5368&lt;Notes!$B$5,"",IF(COUNTIFS(Release_Calendar!$A$2:$A$755,"NZ_GDP",Release_Calendar!$B$2:$B$755,$A5368)&gt;0,1,0))</f>
        <v>0</v>
      </c>
      <c r="O5368" s="16">
        <f>IF($A5368&lt;Notes!$B$5,"",IF(COUNTIFS(Release_Calendar!$A$2:$A$755,"NZ_LABOUR",Release_Calendar!$B$2:$B$755,$A5368)&gt;0,1,0))</f>
        <v>0</v>
      </c>
      <c r="P5368" s="16">
        <f t="shared" si="4"/>
        <v>0</v>
      </c>
    </row>
    <row r="5369" ht="15.75" customHeight="1">
      <c r="A5369" s="14">
        <v>44041.0</v>
      </c>
      <c r="B5369" s="15">
        <v>0.12</v>
      </c>
      <c r="C5369" s="15">
        <v>0.2</v>
      </c>
      <c r="D5369" s="15"/>
      <c r="E5369" s="15"/>
      <c r="F5369" s="15">
        <f t="shared" si="1"/>
        <v>0.08</v>
      </c>
      <c r="G5369" s="15">
        <f t="shared" si="2"/>
        <v>0.2</v>
      </c>
      <c r="H5369" s="16">
        <v>0.0</v>
      </c>
      <c r="I5369" s="15">
        <f t="shared" si="3"/>
        <v>0.08</v>
      </c>
      <c r="J5369" s="15">
        <v>24.1</v>
      </c>
      <c r="K5369" s="16">
        <f>IF(COUNTIFS(Release_Calendar!$A$2:$A$755,"US_CPI",Release_Calendar!$B$2:$B$755,$A5369)&gt;0,1,0)</f>
        <v>0</v>
      </c>
      <c r="L5369" s="16">
        <f>IF(COUNTIFS(Release_Calendar!$A$2:$A$755,"US_NFP",Release_Calendar!$B$2:$B$755,$A5369)&gt;0,1,0)</f>
        <v>0</v>
      </c>
      <c r="M5369" s="16">
        <f>IF($A5369&lt;Notes!$B$5,"",IF(COUNTIFS(Release_Calendar!$A$2:$A$755,"NZ_CPI",Release_Calendar!$B$2:$B$755,$A5369)&gt;0,1,0))</f>
        <v>0</v>
      </c>
      <c r="N5369" s="16">
        <f>IF($A5369&lt;Notes!$B$5,"",IF(COUNTIFS(Release_Calendar!$A$2:$A$755,"NZ_GDP",Release_Calendar!$B$2:$B$755,$A5369)&gt;0,1,0))</f>
        <v>0</v>
      </c>
      <c r="O5369" s="16">
        <f>IF($A5369&lt;Notes!$B$5,"",IF(COUNTIFS(Release_Calendar!$A$2:$A$755,"NZ_LABOUR",Release_Calendar!$B$2:$B$755,$A5369)&gt;0,1,0))</f>
        <v>0</v>
      </c>
      <c r="P5369" s="16">
        <f t="shared" si="4"/>
        <v>0</v>
      </c>
    </row>
    <row r="5370" ht="15.75" customHeight="1">
      <c r="A5370" s="14">
        <v>44042.0</v>
      </c>
      <c r="B5370" s="15">
        <v>0.11</v>
      </c>
      <c r="C5370" s="15">
        <v>0.2</v>
      </c>
      <c r="D5370" s="15"/>
      <c r="E5370" s="15"/>
      <c r="F5370" s="15">
        <f t="shared" si="1"/>
        <v>0.09</v>
      </c>
      <c r="G5370" s="15">
        <f t="shared" si="2"/>
        <v>0.2</v>
      </c>
      <c r="H5370" s="16">
        <v>0.0</v>
      </c>
      <c r="I5370" s="15">
        <f t="shared" si="3"/>
        <v>0.09</v>
      </c>
      <c r="J5370" s="15">
        <v>24.76</v>
      </c>
      <c r="K5370" s="16">
        <f>IF(COUNTIFS(Release_Calendar!$A$2:$A$755,"US_CPI",Release_Calendar!$B$2:$B$755,$A5370)&gt;0,1,0)</f>
        <v>0</v>
      </c>
      <c r="L5370" s="16">
        <f>IF(COUNTIFS(Release_Calendar!$A$2:$A$755,"US_NFP",Release_Calendar!$B$2:$B$755,$A5370)&gt;0,1,0)</f>
        <v>0</v>
      </c>
      <c r="M5370" s="16">
        <f>IF($A5370&lt;Notes!$B$5,"",IF(COUNTIFS(Release_Calendar!$A$2:$A$755,"NZ_CPI",Release_Calendar!$B$2:$B$755,$A5370)&gt;0,1,0))</f>
        <v>0</v>
      </c>
      <c r="N5370" s="16">
        <f>IF($A5370&lt;Notes!$B$5,"",IF(COUNTIFS(Release_Calendar!$A$2:$A$755,"NZ_GDP",Release_Calendar!$B$2:$B$755,$A5370)&gt;0,1,0))</f>
        <v>0</v>
      </c>
      <c r="O5370" s="16">
        <f>IF($A5370&lt;Notes!$B$5,"",IF(COUNTIFS(Release_Calendar!$A$2:$A$755,"NZ_LABOUR",Release_Calendar!$B$2:$B$755,$A5370)&gt;0,1,0))</f>
        <v>0</v>
      </c>
      <c r="P5370" s="16">
        <f t="shared" si="4"/>
        <v>0</v>
      </c>
    </row>
    <row r="5371" ht="15.75" customHeight="1">
      <c r="A5371" s="14">
        <v>44043.0</v>
      </c>
      <c r="B5371" s="15">
        <v>0.11</v>
      </c>
      <c r="C5371" s="15">
        <v>0.19</v>
      </c>
      <c r="D5371" s="15"/>
      <c r="E5371" s="15"/>
      <c r="F5371" s="15">
        <f t="shared" si="1"/>
        <v>0.08</v>
      </c>
      <c r="G5371" s="15">
        <f t="shared" si="2"/>
        <v>0.19</v>
      </c>
      <c r="H5371" s="16">
        <v>0.0</v>
      </c>
      <c r="I5371" s="15">
        <f t="shared" si="3"/>
        <v>0.08</v>
      </c>
      <c r="J5371" s="15">
        <v>24.46</v>
      </c>
      <c r="K5371" s="16">
        <f>IF(COUNTIFS(Release_Calendar!$A$2:$A$755,"US_CPI",Release_Calendar!$B$2:$B$755,$A5371)&gt;0,1,0)</f>
        <v>0</v>
      </c>
      <c r="L5371" s="16">
        <f>IF(COUNTIFS(Release_Calendar!$A$2:$A$755,"US_NFP",Release_Calendar!$B$2:$B$755,$A5371)&gt;0,1,0)</f>
        <v>0</v>
      </c>
      <c r="M5371" s="16">
        <f>IF($A5371&lt;Notes!$B$5,"",IF(COUNTIFS(Release_Calendar!$A$2:$A$755,"NZ_CPI",Release_Calendar!$B$2:$B$755,$A5371)&gt;0,1,0))</f>
        <v>0</v>
      </c>
      <c r="N5371" s="16">
        <f>IF($A5371&lt;Notes!$B$5,"",IF(COUNTIFS(Release_Calendar!$A$2:$A$755,"NZ_GDP",Release_Calendar!$B$2:$B$755,$A5371)&gt;0,1,0))</f>
        <v>0</v>
      </c>
      <c r="O5371" s="16">
        <f>IF($A5371&lt;Notes!$B$5,"",IF(COUNTIFS(Release_Calendar!$A$2:$A$755,"NZ_LABOUR",Release_Calendar!$B$2:$B$755,$A5371)&gt;0,1,0))</f>
        <v>0</v>
      </c>
      <c r="P5371" s="16">
        <f t="shared" si="4"/>
        <v>0</v>
      </c>
    </row>
    <row r="5372" ht="15.75" customHeight="1">
      <c r="A5372" s="14">
        <v>44046.0</v>
      </c>
      <c r="B5372" s="15">
        <v>0.11</v>
      </c>
      <c r="C5372" s="15">
        <v>0.2</v>
      </c>
      <c r="D5372" s="15"/>
      <c r="E5372" s="15"/>
      <c r="F5372" s="15">
        <f t="shared" si="1"/>
        <v>0.09</v>
      </c>
      <c r="G5372" s="15">
        <f t="shared" si="2"/>
        <v>0.2</v>
      </c>
      <c r="H5372" s="16">
        <v>0.0</v>
      </c>
      <c r="I5372" s="15">
        <f t="shared" si="3"/>
        <v>0.09</v>
      </c>
      <c r="J5372" s="15">
        <v>24.28</v>
      </c>
      <c r="K5372" s="16">
        <f>IF(COUNTIFS(Release_Calendar!$A$2:$A$755,"US_CPI",Release_Calendar!$B$2:$B$755,$A5372)&gt;0,1,0)</f>
        <v>0</v>
      </c>
      <c r="L5372" s="16">
        <f>IF(COUNTIFS(Release_Calendar!$A$2:$A$755,"US_NFP",Release_Calendar!$B$2:$B$755,$A5372)&gt;0,1,0)</f>
        <v>0</v>
      </c>
      <c r="M5372" s="16">
        <f>IF($A5372&lt;Notes!$B$5,"",IF(COUNTIFS(Release_Calendar!$A$2:$A$755,"NZ_CPI",Release_Calendar!$B$2:$B$755,$A5372)&gt;0,1,0))</f>
        <v>0</v>
      </c>
      <c r="N5372" s="16">
        <f>IF($A5372&lt;Notes!$B$5,"",IF(COUNTIFS(Release_Calendar!$A$2:$A$755,"NZ_GDP",Release_Calendar!$B$2:$B$755,$A5372)&gt;0,1,0))</f>
        <v>0</v>
      </c>
      <c r="O5372" s="16">
        <f>IF($A5372&lt;Notes!$B$5,"",IF(COUNTIFS(Release_Calendar!$A$2:$A$755,"NZ_LABOUR",Release_Calendar!$B$2:$B$755,$A5372)&gt;0,1,0))</f>
        <v>0</v>
      </c>
      <c r="P5372" s="16">
        <f t="shared" si="4"/>
        <v>0</v>
      </c>
    </row>
    <row r="5373" ht="15.75" customHeight="1">
      <c r="A5373" s="14">
        <v>44047.0</v>
      </c>
      <c r="B5373" s="15">
        <v>0.11</v>
      </c>
      <c r="C5373" s="15">
        <v>0.2</v>
      </c>
      <c r="D5373" s="15"/>
      <c r="E5373" s="15"/>
      <c r="F5373" s="15">
        <f t="shared" si="1"/>
        <v>0.09</v>
      </c>
      <c r="G5373" s="15">
        <f t="shared" si="2"/>
        <v>0.2</v>
      </c>
      <c r="H5373" s="16">
        <v>0.0</v>
      </c>
      <c r="I5373" s="15">
        <f t="shared" si="3"/>
        <v>0.09</v>
      </c>
      <c r="J5373" s="15">
        <v>23.76</v>
      </c>
      <c r="K5373" s="16">
        <f>IF(COUNTIFS(Release_Calendar!$A$2:$A$755,"US_CPI",Release_Calendar!$B$2:$B$755,$A5373)&gt;0,1,0)</f>
        <v>0</v>
      </c>
      <c r="L5373" s="16">
        <f>IF(COUNTIFS(Release_Calendar!$A$2:$A$755,"US_NFP",Release_Calendar!$B$2:$B$755,$A5373)&gt;0,1,0)</f>
        <v>0</v>
      </c>
      <c r="M5373" s="16">
        <f>IF($A5373&lt;Notes!$B$5,"",IF(COUNTIFS(Release_Calendar!$A$2:$A$755,"NZ_CPI",Release_Calendar!$B$2:$B$755,$A5373)&gt;0,1,0))</f>
        <v>0</v>
      </c>
      <c r="N5373" s="16">
        <f>IF($A5373&lt;Notes!$B$5,"",IF(COUNTIFS(Release_Calendar!$A$2:$A$755,"NZ_GDP",Release_Calendar!$B$2:$B$755,$A5373)&gt;0,1,0))</f>
        <v>0</v>
      </c>
      <c r="O5373" s="16">
        <f>IF($A5373&lt;Notes!$B$5,"",IF(COUNTIFS(Release_Calendar!$A$2:$A$755,"NZ_LABOUR",Release_Calendar!$B$2:$B$755,$A5373)&gt;0,1,0))</f>
        <v>0</v>
      </c>
      <c r="P5373" s="16">
        <f t="shared" si="4"/>
        <v>0</v>
      </c>
    </row>
    <row r="5374" ht="15.75" customHeight="1">
      <c r="A5374" s="14">
        <v>44048.0</v>
      </c>
      <c r="B5374" s="15">
        <v>0.11</v>
      </c>
      <c r="C5374" s="15">
        <v>0.2</v>
      </c>
      <c r="D5374" s="15"/>
      <c r="E5374" s="15"/>
      <c r="F5374" s="15">
        <f t="shared" si="1"/>
        <v>0.09</v>
      </c>
      <c r="G5374" s="15">
        <f t="shared" si="2"/>
        <v>0.2</v>
      </c>
      <c r="H5374" s="16">
        <v>0.0</v>
      </c>
      <c r="I5374" s="15">
        <f t="shared" si="3"/>
        <v>0.09</v>
      </c>
      <c r="J5374" s="15">
        <v>22.99</v>
      </c>
      <c r="K5374" s="16">
        <f>IF(COUNTIFS(Release_Calendar!$A$2:$A$755,"US_CPI",Release_Calendar!$B$2:$B$755,$A5374)&gt;0,1,0)</f>
        <v>0</v>
      </c>
      <c r="L5374" s="16">
        <f>IF(COUNTIFS(Release_Calendar!$A$2:$A$755,"US_NFP",Release_Calendar!$B$2:$B$755,$A5374)&gt;0,1,0)</f>
        <v>0</v>
      </c>
      <c r="M5374" s="16">
        <f>IF($A5374&lt;Notes!$B$5,"",IF(COUNTIFS(Release_Calendar!$A$2:$A$755,"NZ_CPI",Release_Calendar!$B$2:$B$755,$A5374)&gt;0,1,0))</f>
        <v>0</v>
      </c>
      <c r="N5374" s="16">
        <f>IF($A5374&lt;Notes!$B$5,"",IF(COUNTIFS(Release_Calendar!$A$2:$A$755,"NZ_GDP",Release_Calendar!$B$2:$B$755,$A5374)&gt;0,1,0))</f>
        <v>0</v>
      </c>
      <c r="O5374" s="16">
        <f>IF($A5374&lt;Notes!$B$5,"",IF(COUNTIFS(Release_Calendar!$A$2:$A$755,"NZ_LABOUR",Release_Calendar!$B$2:$B$755,$A5374)&gt;0,1,0))</f>
        <v>1</v>
      </c>
      <c r="P5374" s="16">
        <f t="shared" si="4"/>
        <v>1</v>
      </c>
    </row>
    <row r="5375" ht="15.75" customHeight="1">
      <c r="A5375" s="14">
        <v>44049.0</v>
      </c>
      <c r="B5375" s="15">
        <v>0.11</v>
      </c>
      <c r="C5375" s="15">
        <v>0.19</v>
      </c>
      <c r="D5375" s="15"/>
      <c r="E5375" s="15"/>
      <c r="F5375" s="15">
        <f t="shared" si="1"/>
        <v>0.08</v>
      </c>
      <c r="G5375" s="15">
        <f t="shared" si="2"/>
        <v>0.19</v>
      </c>
      <c r="H5375" s="16">
        <v>0.0</v>
      </c>
      <c r="I5375" s="15">
        <f t="shared" si="3"/>
        <v>0.08</v>
      </c>
      <c r="J5375" s="15">
        <v>22.65</v>
      </c>
      <c r="K5375" s="16">
        <f>IF(COUNTIFS(Release_Calendar!$A$2:$A$755,"US_CPI",Release_Calendar!$B$2:$B$755,$A5375)&gt;0,1,0)</f>
        <v>0</v>
      </c>
      <c r="L5375" s="16">
        <f>IF(COUNTIFS(Release_Calendar!$A$2:$A$755,"US_NFP",Release_Calendar!$B$2:$B$755,$A5375)&gt;0,1,0)</f>
        <v>0</v>
      </c>
      <c r="M5375" s="16">
        <f>IF($A5375&lt;Notes!$B$5,"",IF(COUNTIFS(Release_Calendar!$A$2:$A$755,"NZ_CPI",Release_Calendar!$B$2:$B$755,$A5375)&gt;0,1,0))</f>
        <v>0</v>
      </c>
      <c r="N5375" s="16">
        <f>IF($A5375&lt;Notes!$B$5,"",IF(COUNTIFS(Release_Calendar!$A$2:$A$755,"NZ_GDP",Release_Calendar!$B$2:$B$755,$A5375)&gt;0,1,0))</f>
        <v>0</v>
      </c>
      <c r="O5375" s="16">
        <f>IF($A5375&lt;Notes!$B$5,"",IF(COUNTIFS(Release_Calendar!$A$2:$A$755,"NZ_LABOUR",Release_Calendar!$B$2:$B$755,$A5375)&gt;0,1,0))</f>
        <v>0</v>
      </c>
      <c r="P5375" s="16">
        <f t="shared" si="4"/>
        <v>0</v>
      </c>
    </row>
    <row r="5376" ht="15.75" customHeight="1">
      <c r="A5376" s="14">
        <v>44050.0</v>
      </c>
      <c r="B5376" s="15">
        <v>0.13</v>
      </c>
      <c r="C5376" s="15">
        <v>0.2</v>
      </c>
      <c r="D5376" s="15"/>
      <c r="E5376" s="15"/>
      <c r="F5376" s="15">
        <f t="shared" si="1"/>
        <v>0.07</v>
      </c>
      <c r="G5376" s="15">
        <f t="shared" si="2"/>
        <v>0.2</v>
      </c>
      <c r="H5376" s="16">
        <v>0.0</v>
      </c>
      <c r="I5376" s="15">
        <f t="shared" si="3"/>
        <v>0.07</v>
      </c>
      <c r="J5376" s="15">
        <v>22.21</v>
      </c>
      <c r="K5376" s="16">
        <f>IF(COUNTIFS(Release_Calendar!$A$2:$A$755,"US_CPI",Release_Calendar!$B$2:$B$755,$A5376)&gt;0,1,0)</f>
        <v>0</v>
      </c>
      <c r="L5376" s="16">
        <f>IF(COUNTIFS(Release_Calendar!$A$2:$A$755,"US_NFP",Release_Calendar!$B$2:$B$755,$A5376)&gt;0,1,0)</f>
        <v>1</v>
      </c>
      <c r="M5376" s="16">
        <f>IF($A5376&lt;Notes!$B$5,"",IF(COUNTIFS(Release_Calendar!$A$2:$A$755,"NZ_CPI",Release_Calendar!$B$2:$B$755,$A5376)&gt;0,1,0))</f>
        <v>0</v>
      </c>
      <c r="N5376" s="16">
        <f>IF($A5376&lt;Notes!$B$5,"",IF(COUNTIFS(Release_Calendar!$A$2:$A$755,"NZ_GDP",Release_Calendar!$B$2:$B$755,$A5376)&gt;0,1,0))</f>
        <v>0</v>
      </c>
      <c r="O5376" s="16">
        <f>IF($A5376&lt;Notes!$B$5,"",IF(COUNTIFS(Release_Calendar!$A$2:$A$755,"NZ_LABOUR",Release_Calendar!$B$2:$B$755,$A5376)&gt;0,1,0))</f>
        <v>0</v>
      </c>
      <c r="P5376" s="16">
        <f t="shared" si="4"/>
        <v>1</v>
      </c>
    </row>
    <row r="5377" ht="15.75" customHeight="1">
      <c r="A5377" s="14">
        <v>44053.0</v>
      </c>
      <c r="B5377" s="15">
        <v>0.14</v>
      </c>
      <c r="C5377" s="15">
        <v>0.2</v>
      </c>
      <c r="D5377" s="15"/>
      <c r="E5377" s="15"/>
      <c r="F5377" s="15">
        <f t="shared" si="1"/>
        <v>0.06</v>
      </c>
      <c r="G5377" s="15">
        <f t="shared" si="2"/>
        <v>0.2</v>
      </c>
      <c r="H5377" s="16">
        <v>0.0</v>
      </c>
      <c r="I5377" s="15">
        <f t="shared" si="3"/>
        <v>0.06</v>
      </c>
      <c r="J5377" s="15">
        <v>22.13</v>
      </c>
      <c r="K5377" s="16">
        <f>IF(COUNTIFS(Release_Calendar!$A$2:$A$755,"US_CPI",Release_Calendar!$B$2:$B$755,$A5377)&gt;0,1,0)</f>
        <v>0</v>
      </c>
      <c r="L5377" s="16">
        <f>IF(COUNTIFS(Release_Calendar!$A$2:$A$755,"US_NFP",Release_Calendar!$B$2:$B$755,$A5377)&gt;0,1,0)</f>
        <v>0</v>
      </c>
      <c r="M5377" s="16">
        <f>IF($A5377&lt;Notes!$B$5,"",IF(COUNTIFS(Release_Calendar!$A$2:$A$755,"NZ_CPI",Release_Calendar!$B$2:$B$755,$A5377)&gt;0,1,0))</f>
        <v>0</v>
      </c>
      <c r="N5377" s="16">
        <f>IF($A5377&lt;Notes!$B$5,"",IF(COUNTIFS(Release_Calendar!$A$2:$A$755,"NZ_GDP",Release_Calendar!$B$2:$B$755,$A5377)&gt;0,1,0))</f>
        <v>0</v>
      </c>
      <c r="O5377" s="16">
        <f>IF($A5377&lt;Notes!$B$5,"",IF(COUNTIFS(Release_Calendar!$A$2:$A$755,"NZ_LABOUR",Release_Calendar!$B$2:$B$755,$A5377)&gt;0,1,0))</f>
        <v>0</v>
      </c>
      <c r="P5377" s="16">
        <f t="shared" si="4"/>
        <v>0</v>
      </c>
    </row>
    <row r="5378" ht="15.75" customHeight="1">
      <c r="A5378" s="14">
        <v>44054.0</v>
      </c>
      <c r="B5378" s="15">
        <v>0.16</v>
      </c>
      <c r="C5378" s="15">
        <v>0.21</v>
      </c>
      <c r="D5378" s="15"/>
      <c r="E5378" s="15"/>
      <c r="F5378" s="15">
        <f t="shared" si="1"/>
        <v>0.05</v>
      </c>
      <c r="G5378" s="15">
        <f t="shared" si="2"/>
        <v>0.21</v>
      </c>
      <c r="H5378" s="16">
        <v>0.0</v>
      </c>
      <c r="I5378" s="15">
        <f t="shared" si="3"/>
        <v>0.05</v>
      </c>
      <c r="J5378" s="15">
        <v>24.03</v>
      </c>
      <c r="K5378" s="16">
        <f>IF(COUNTIFS(Release_Calendar!$A$2:$A$755,"US_CPI",Release_Calendar!$B$2:$B$755,$A5378)&gt;0,1,0)</f>
        <v>0</v>
      </c>
      <c r="L5378" s="16">
        <f>IF(COUNTIFS(Release_Calendar!$A$2:$A$755,"US_NFP",Release_Calendar!$B$2:$B$755,$A5378)&gt;0,1,0)</f>
        <v>0</v>
      </c>
      <c r="M5378" s="16">
        <f>IF($A5378&lt;Notes!$B$5,"",IF(COUNTIFS(Release_Calendar!$A$2:$A$755,"NZ_CPI",Release_Calendar!$B$2:$B$755,$A5378)&gt;0,1,0))</f>
        <v>0</v>
      </c>
      <c r="N5378" s="16">
        <f>IF($A5378&lt;Notes!$B$5,"",IF(COUNTIFS(Release_Calendar!$A$2:$A$755,"NZ_GDP",Release_Calendar!$B$2:$B$755,$A5378)&gt;0,1,0))</f>
        <v>0</v>
      </c>
      <c r="O5378" s="16">
        <f>IF($A5378&lt;Notes!$B$5,"",IF(COUNTIFS(Release_Calendar!$A$2:$A$755,"NZ_LABOUR",Release_Calendar!$B$2:$B$755,$A5378)&gt;0,1,0))</f>
        <v>0</v>
      </c>
      <c r="P5378" s="16">
        <f t="shared" si="4"/>
        <v>0</v>
      </c>
    </row>
    <row r="5379" ht="15.75" customHeight="1">
      <c r="A5379" s="14">
        <v>44055.0</v>
      </c>
      <c r="B5379" s="15">
        <v>0.16</v>
      </c>
      <c r="C5379" s="15">
        <v>0.15</v>
      </c>
      <c r="D5379" s="15"/>
      <c r="E5379" s="15"/>
      <c r="F5379" s="15">
        <f t="shared" si="1"/>
        <v>-0.01</v>
      </c>
      <c r="G5379" s="15">
        <f t="shared" si="2"/>
        <v>0.15</v>
      </c>
      <c r="H5379" s="16">
        <v>0.0</v>
      </c>
      <c r="I5379" s="15">
        <f t="shared" si="3"/>
        <v>-0.01</v>
      </c>
      <c r="J5379" s="15">
        <v>22.28</v>
      </c>
      <c r="K5379" s="16">
        <f>IF(COUNTIFS(Release_Calendar!$A$2:$A$755,"US_CPI",Release_Calendar!$B$2:$B$755,$A5379)&gt;0,1,0)</f>
        <v>1</v>
      </c>
      <c r="L5379" s="16">
        <f>IF(COUNTIFS(Release_Calendar!$A$2:$A$755,"US_NFP",Release_Calendar!$B$2:$B$755,$A5379)&gt;0,1,0)</f>
        <v>0</v>
      </c>
      <c r="M5379" s="16">
        <f>IF($A5379&lt;Notes!$B$5,"",IF(COUNTIFS(Release_Calendar!$A$2:$A$755,"NZ_CPI",Release_Calendar!$B$2:$B$755,$A5379)&gt;0,1,0))</f>
        <v>0</v>
      </c>
      <c r="N5379" s="16">
        <f>IF($A5379&lt;Notes!$B$5,"",IF(COUNTIFS(Release_Calendar!$A$2:$A$755,"NZ_GDP",Release_Calendar!$B$2:$B$755,$A5379)&gt;0,1,0))</f>
        <v>0</v>
      </c>
      <c r="O5379" s="16">
        <f>IF($A5379&lt;Notes!$B$5,"",IF(COUNTIFS(Release_Calendar!$A$2:$A$755,"NZ_LABOUR",Release_Calendar!$B$2:$B$755,$A5379)&gt;0,1,0))</f>
        <v>0</v>
      </c>
      <c r="P5379" s="16">
        <f t="shared" si="4"/>
        <v>1</v>
      </c>
    </row>
    <row r="5380" ht="15.75" customHeight="1">
      <c r="A5380" s="14">
        <v>44056.0</v>
      </c>
      <c r="B5380" s="15">
        <v>0.16</v>
      </c>
      <c r="C5380" s="15">
        <v>0.11</v>
      </c>
      <c r="D5380" s="15"/>
      <c r="E5380" s="15"/>
      <c r="F5380" s="15">
        <f t="shared" si="1"/>
        <v>-0.05</v>
      </c>
      <c r="G5380" s="15">
        <f t="shared" si="2"/>
        <v>0.11</v>
      </c>
      <c r="H5380" s="16">
        <v>0.0</v>
      </c>
      <c r="I5380" s="15">
        <f t="shared" si="3"/>
        <v>-0.05</v>
      </c>
      <c r="J5380" s="15">
        <v>22.13</v>
      </c>
      <c r="K5380" s="16">
        <f>IF(COUNTIFS(Release_Calendar!$A$2:$A$755,"US_CPI",Release_Calendar!$B$2:$B$755,$A5380)&gt;0,1,0)</f>
        <v>0</v>
      </c>
      <c r="L5380" s="16">
        <f>IF(COUNTIFS(Release_Calendar!$A$2:$A$755,"US_NFP",Release_Calendar!$B$2:$B$755,$A5380)&gt;0,1,0)</f>
        <v>0</v>
      </c>
      <c r="M5380" s="16">
        <f>IF($A5380&lt;Notes!$B$5,"",IF(COUNTIFS(Release_Calendar!$A$2:$A$755,"NZ_CPI",Release_Calendar!$B$2:$B$755,$A5380)&gt;0,1,0))</f>
        <v>0</v>
      </c>
      <c r="N5380" s="16">
        <f>IF($A5380&lt;Notes!$B$5,"",IF(COUNTIFS(Release_Calendar!$A$2:$A$755,"NZ_GDP",Release_Calendar!$B$2:$B$755,$A5380)&gt;0,1,0))</f>
        <v>0</v>
      </c>
      <c r="O5380" s="16">
        <f>IF($A5380&lt;Notes!$B$5,"",IF(COUNTIFS(Release_Calendar!$A$2:$A$755,"NZ_LABOUR",Release_Calendar!$B$2:$B$755,$A5380)&gt;0,1,0))</f>
        <v>0</v>
      </c>
      <c r="P5380" s="16">
        <f t="shared" si="4"/>
        <v>0</v>
      </c>
    </row>
    <row r="5381" ht="15.75" customHeight="1">
      <c r="A5381" s="14">
        <v>44057.0</v>
      </c>
      <c r="B5381" s="15">
        <v>0.14</v>
      </c>
      <c r="C5381" s="15">
        <v>0.13</v>
      </c>
      <c r="D5381" s="15"/>
      <c r="E5381" s="15"/>
      <c r="F5381" s="15">
        <f t="shared" si="1"/>
        <v>-0.01</v>
      </c>
      <c r="G5381" s="15">
        <f t="shared" si="2"/>
        <v>0.13</v>
      </c>
      <c r="H5381" s="16">
        <v>0.0</v>
      </c>
      <c r="I5381" s="15">
        <f t="shared" si="3"/>
        <v>-0.01</v>
      </c>
      <c r="J5381" s="15">
        <v>22.05</v>
      </c>
      <c r="K5381" s="16">
        <f>IF(COUNTIFS(Release_Calendar!$A$2:$A$755,"US_CPI",Release_Calendar!$B$2:$B$755,$A5381)&gt;0,1,0)</f>
        <v>0</v>
      </c>
      <c r="L5381" s="16">
        <f>IF(COUNTIFS(Release_Calendar!$A$2:$A$755,"US_NFP",Release_Calendar!$B$2:$B$755,$A5381)&gt;0,1,0)</f>
        <v>0</v>
      </c>
      <c r="M5381" s="16">
        <f>IF($A5381&lt;Notes!$B$5,"",IF(COUNTIFS(Release_Calendar!$A$2:$A$755,"NZ_CPI",Release_Calendar!$B$2:$B$755,$A5381)&gt;0,1,0))</f>
        <v>0</v>
      </c>
      <c r="N5381" s="16">
        <f>IF($A5381&lt;Notes!$B$5,"",IF(COUNTIFS(Release_Calendar!$A$2:$A$755,"NZ_GDP",Release_Calendar!$B$2:$B$755,$A5381)&gt;0,1,0))</f>
        <v>0</v>
      </c>
      <c r="O5381" s="16">
        <f>IF($A5381&lt;Notes!$B$5,"",IF(COUNTIFS(Release_Calendar!$A$2:$A$755,"NZ_LABOUR",Release_Calendar!$B$2:$B$755,$A5381)&gt;0,1,0))</f>
        <v>0</v>
      </c>
      <c r="P5381" s="16">
        <f t="shared" si="4"/>
        <v>0</v>
      </c>
    </row>
    <row r="5382" ht="15.75" customHeight="1">
      <c r="A5382" s="14">
        <v>44060.0</v>
      </c>
      <c r="B5382" s="15">
        <v>0.14</v>
      </c>
      <c r="C5382" s="15">
        <v>0.12</v>
      </c>
      <c r="D5382" s="15"/>
      <c r="E5382" s="15"/>
      <c r="F5382" s="15">
        <f t="shared" si="1"/>
        <v>-0.02</v>
      </c>
      <c r="G5382" s="15">
        <f t="shared" si="2"/>
        <v>0.12</v>
      </c>
      <c r="H5382" s="16">
        <v>0.0</v>
      </c>
      <c r="I5382" s="15">
        <f t="shared" si="3"/>
        <v>-0.02</v>
      </c>
      <c r="J5382" s="15">
        <v>21.35</v>
      </c>
      <c r="K5382" s="16">
        <f>IF(COUNTIFS(Release_Calendar!$A$2:$A$755,"US_CPI",Release_Calendar!$B$2:$B$755,$A5382)&gt;0,1,0)</f>
        <v>0</v>
      </c>
      <c r="L5382" s="16">
        <f>IF(COUNTIFS(Release_Calendar!$A$2:$A$755,"US_NFP",Release_Calendar!$B$2:$B$755,$A5382)&gt;0,1,0)</f>
        <v>0</v>
      </c>
      <c r="M5382" s="16">
        <f>IF($A5382&lt;Notes!$B$5,"",IF(COUNTIFS(Release_Calendar!$A$2:$A$755,"NZ_CPI",Release_Calendar!$B$2:$B$755,$A5382)&gt;0,1,0))</f>
        <v>0</v>
      </c>
      <c r="N5382" s="16">
        <f>IF($A5382&lt;Notes!$B$5,"",IF(COUNTIFS(Release_Calendar!$A$2:$A$755,"NZ_GDP",Release_Calendar!$B$2:$B$755,$A5382)&gt;0,1,0))</f>
        <v>0</v>
      </c>
      <c r="O5382" s="16">
        <f>IF($A5382&lt;Notes!$B$5,"",IF(COUNTIFS(Release_Calendar!$A$2:$A$755,"NZ_LABOUR",Release_Calendar!$B$2:$B$755,$A5382)&gt;0,1,0))</f>
        <v>0</v>
      </c>
      <c r="P5382" s="16">
        <f t="shared" si="4"/>
        <v>0</v>
      </c>
    </row>
    <row r="5383" ht="15.75" customHeight="1">
      <c r="A5383" s="14">
        <v>44061.0</v>
      </c>
      <c r="B5383" s="15">
        <v>0.14</v>
      </c>
      <c r="C5383" s="15">
        <v>0.08</v>
      </c>
      <c r="D5383" s="15"/>
      <c r="E5383" s="15"/>
      <c r="F5383" s="15">
        <f t="shared" si="1"/>
        <v>-0.06</v>
      </c>
      <c r="G5383" s="15">
        <f t="shared" si="2"/>
        <v>0.08</v>
      </c>
      <c r="H5383" s="16">
        <v>0.0</v>
      </c>
      <c r="I5383" s="15">
        <f t="shared" si="3"/>
        <v>-0.06</v>
      </c>
      <c r="J5383" s="15">
        <v>21.51</v>
      </c>
      <c r="K5383" s="16">
        <f>IF(COUNTIFS(Release_Calendar!$A$2:$A$755,"US_CPI",Release_Calendar!$B$2:$B$755,$A5383)&gt;0,1,0)</f>
        <v>0</v>
      </c>
      <c r="L5383" s="16">
        <f>IF(COUNTIFS(Release_Calendar!$A$2:$A$755,"US_NFP",Release_Calendar!$B$2:$B$755,$A5383)&gt;0,1,0)</f>
        <v>0</v>
      </c>
      <c r="M5383" s="16">
        <f>IF($A5383&lt;Notes!$B$5,"",IF(COUNTIFS(Release_Calendar!$A$2:$A$755,"NZ_CPI",Release_Calendar!$B$2:$B$755,$A5383)&gt;0,1,0))</f>
        <v>0</v>
      </c>
      <c r="N5383" s="16">
        <f>IF($A5383&lt;Notes!$B$5,"",IF(COUNTIFS(Release_Calendar!$A$2:$A$755,"NZ_GDP",Release_Calendar!$B$2:$B$755,$A5383)&gt;0,1,0))</f>
        <v>0</v>
      </c>
      <c r="O5383" s="16">
        <f>IF($A5383&lt;Notes!$B$5,"",IF(COUNTIFS(Release_Calendar!$A$2:$A$755,"NZ_LABOUR",Release_Calendar!$B$2:$B$755,$A5383)&gt;0,1,0))</f>
        <v>0</v>
      </c>
      <c r="P5383" s="16">
        <f t="shared" si="4"/>
        <v>0</v>
      </c>
    </row>
    <row r="5384" ht="15.75" customHeight="1">
      <c r="A5384" s="14">
        <v>44062.0</v>
      </c>
      <c r="B5384" s="15">
        <v>0.14</v>
      </c>
      <c r="C5384" s="15">
        <v>0.09</v>
      </c>
      <c r="D5384" s="15"/>
      <c r="E5384" s="15"/>
      <c r="F5384" s="15">
        <f t="shared" si="1"/>
        <v>-0.05</v>
      </c>
      <c r="G5384" s="15">
        <f t="shared" si="2"/>
        <v>0.09</v>
      </c>
      <c r="H5384" s="16">
        <v>0.0</v>
      </c>
      <c r="I5384" s="15">
        <f t="shared" si="3"/>
        <v>-0.05</v>
      </c>
      <c r="J5384" s="15">
        <v>22.54</v>
      </c>
      <c r="K5384" s="16">
        <f>IF(COUNTIFS(Release_Calendar!$A$2:$A$755,"US_CPI",Release_Calendar!$B$2:$B$755,$A5384)&gt;0,1,0)</f>
        <v>0</v>
      </c>
      <c r="L5384" s="16">
        <f>IF(COUNTIFS(Release_Calendar!$A$2:$A$755,"US_NFP",Release_Calendar!$B$2:$B$755,$A5384)&gt;0,1,0)</f>
        <v>0</v>
      </c>
      <c r="M5384" s="16">
        <f>IF($A5384&lt;Notes!$B$5,"",IF(COUNTIFS(Release_Calendar!$A$2:$A$755,"NZ_CPI",Release_Calendar!$B$2:$B$755,$A5384)&gt;0,1,0))</f>
        <v>0</v>
      </c>
      <c r="N5384" s="16">
        <f>IF($A5384&lt;Notes!$B$5,"",IF(COUNTIFS(Release_Calendar!$A$2:$A$755,"NZ_GDP",Release_Calendar!$B$2:$B$755,$A5384)&gt;0,1,0))</f>
        <v>0</v>
      </c>
      <c r="O5384" s="16">
        <f>IF($A5384&lt;Notes!$B$5,"",IF(COUNTIFS(Release_Calendar!$A$2:$A$755,"NZ_LABOUR",Release_Calendar!$B$2:$B$755,$A5384)&gt;0,1,0))</f>
        <v>0</v>
      </c>
      <c r="P5384" s="16">
        <f t="shared" si="4"/>
        <v>0</v>
      </c>
    </row>
    <row r="5385" ht="15.75" customHeight="1">
      <c r="A5385" s="14">
        <v>44063.0</v>
      </c>
      <c r="B5385" s="15">
        <v>0.13</v>
      </c>
      <c r="C5385" s="15">
        <v>0.07</v>
      </c>
      <c r="D5385" s="15"/>
      <c r="E5385" s="15"/>
      <c r="F5385" s="15">
        <f t="shared" si="1"/>
        <v>-0.06</v>
      </c>
      <c r="G5385" s="15">
        <f t="shared" si="2"/>
        <v>0.07</v>
      </c>
      <c r="H5385" s="16">
        <v>0.0</v>
      </c>
      <c r="I5385" s="15">
        <f t="shared" si="3"/>
        <v>-0.06</v>
      </c>
      <c r="J5385" s="15">
        <v>22.72</v>
      </c>
      <c r="K5385" s="16">
        <f>IF(COUNTIFS(Release_Calendar!$A$2:$A$755,"US_CPI",Release_Calendar!$B$2:$B$755,$A5385)&gt;0,1,0)</f>
        <v>0</v>
      </c>
      <c r="L5385" s="16">
        <f>IF(COUNTIFS(Release_Calendar!$A$2:$A$755,"US_NFP",Release_Calendar!$B$2:$B$755,$A5385)&gt;0,1,0)</f>
        <v>0</v>
      </c>
      <c r="M5385" s="16">
        <f>IF($A5385&lt;Notes!$B$5,"",IF(COUNTIFS(Release_Calendar!$A$2:$A$755,"NZ_CPI",Release_Calendar!$B$2:$B$755,$A5385)&gt;0,1,0))</f>
        <v>0</v>
      </c>
      <c r="N5385" s="16">
        <f>IF($A5385&lt;Notes!$B$5,"",IF(COUNTIFS(Release_Calendar!$A$2:$A$755,"NZ_GDP",Release_Calendar!$B$2:$B$755,$A5385)&gt;0,1,0))</f>
        <v>0</v>
      </c>
      <c r="O5385" s="16">
        <f>IF($A5385&lt;Notes!$B$5,"",IF(COUNTIFS(Release_Calendar!$A$2:$A$755,"NZ_LABOUR",Release_Calendar!$B$2:$B$755,$A5385)&gt;0,1,0))</f>
        <v>0</v>
      </c>
      <c r="P5385" s="16">
        <f t="shared" si="4"/>
        <v>0</v>
      </c>
    </row>
    <row r="5386" ht="15.75" customHeight="1">
      <c r="A5386" s="14">
        <v>44064.0</v>
      </c>
      <c r="B5386" s="15">
        <v>0.16</v>
      </c>
      <c r="C5386" s="15">
        <v>0.08</v>
      </c>
      <c r="D5386" s="15"/>
      <c r="E5386" s="15"/>
      <c r="F5386" s="15">
        <f t="shared" si="1"/>
        <v>-0.08</v>
      </c>
      <c r="G5386" s="15">
        <f t="shared" si="2"/>
        <v>0.08</v>
      </c>
      <c r="H5386" s="16">
        <v>0.0</v>
      </c>
      <c r="I5386" s="15">
        <f t="shared" si="3"/>
        <v>-0.08</v>
      </c>
      <c r="J5386" s="15">
        <v>22.54</v>
      </c>
      <c r="K5386" s="16">
        <f>IF(COUNTIFS(Release_Calendar!$A$2:$A$755,"US_CPI",Release_Calendar!$B$2:$B$755,$A5386)&gt;0,1,0)</f>
        <v>0</v>
      </c>
      <c r="L5386" s="16">
        <f>IF(COUNTIFS(Release_Calendar!$A$2:$A$755,"US_NFP",Release_Calendar!$B$2:$B$755,$A5386)&gt;0,1,0)</f>
        <v>0</v>
      </c>
      <c r="M5386" s="16">
        <f>IF($A5386&lt;Notes!$B$5,"",IF(COUNTIFS(Release_Calendar!$A$2:$A$755,"NZ_CPI",Release_Calendar!$B$2:$B$755,$A5386)&gt;0,1,0))</f>
        <v>0</v>
      </c>
      <c r="N5386" s="16">
        <f>IF($A5386&lt;Notes!$B$5,"",IF(COUNTIFS(Release_Calendar!$A$2:$A$755,"NZ_GDP",Release_Calendar!$B$2:$B$755,$A5386)&gt;0,1,0))</f>
        <v>0</v>
      </c>
      <c r="O5386" s="16">
        <f>IF($A5386&lt;Notes!$B$5,"",IF(COUNTIFS(Release_Calendar!$A$2:$A$755,"NZ_LABOUR",Release_Calendar!$B$2:$B$755,$A5386)&gt;0,1,0))</f>
        <v>0</v>
      </c>
      <c r="P5386" s="16">
        <f t="shared" si="4"/>
        <v>0</v>
      </c>
    </row>
    <row r="5387" ht="15.75" customHeight="1">
      <c r="A5387" s="14">
        <v>44067.0</v>
      </c>
      <c r="B5387" s="15">
        <v>0.14</v>
      </c>
      <c r="C5387" s="15">
        <v>0.09</v>
      </c>
      <c r="D5387" s="15"/>
      <c r="E5387" s="15"/>
      <c r="F5387" s="15">
        <f t="shared" si="1"/>
        <v>-0.05</v>
      </c>
      <c r="G5387" s="15">
        <f t="shared" si="2"/>
        <v>0.09</v>
      </c>
      <c r="H5387" s="16">
        <v>0.0</v>
      </c>
      <c r="I5387" s="15">
        <f t="shared" si="3"/>
        <v>-0.05</v>
      </c>
      <c r="J5387" s="15">
        <v>22.37</v>
      </c>
      <c r="K5387" s="16">
        <f>IF(COUNTIFS(Release_Calendar!$A$2:$A$755,"US_CPI",Release_Calendar!$B$2:$B$755,$A5387)&gt;0,1,0)</f>
        <v>0</v>
      </c>
      <c r="L5387" s="16">
        <f>IF(COUNTIFS(Release_Calendar!$A$2:$A$755,"US_NFP",Release_Calendar!$B$2:$B$755,$A5387)&gt;0,1,0)</f>
        <v>0</v>
      </c>
      <c r="M5387" s="16">
        <f>IF($A5387&lt;Notes!$B$5,"",IF(COUNTIFS(Release_Calendar!$A$2:$A$755,"NZ_CPI",Release_Calendar!$B$2:$B$755,$A5387)&gt;0,1,0))</f>
        <v>0</v>
      </c>
      <c r="N5387" s="16">
        <f>IF($A5387&lt;Notes!$B$5,"",IF(COUNTIFS(Release_Calendar!$A$2:$A$755,"NZ_GDP",Release_Calendar!$B$2:$B$755,$A5387)&gt;0,1,0))</f>
        <v>0</v>
      </c>
      <c r="O5387" s="16">
        <f>IF($A5387&lt;Notes!$B$5,"",IF(COUNTIFS(Release_Calendar!$A$2:$A$755,"NZ_LABOUR",Release_Calendar!$B$2:$B$755,$A5387)&gt;0,1,0))</f>
        <v>0</v>
      </c>
      <c r="P5387" s="16">
        <f t="shared" si="4"/>
        <v>0</v>
      </c>
    </row>
    <row r="5388" ht="15.75" customHeight="1">
      <c r="A5388" s="14">
        <v>44068.0</v>
      </c>
      <c r="B5388" s="15">
        <v>0.15</v>
      </c>
      <c r="C5388" s="15">
        <v>0.08</v>
      </c>
      <c r="D5388" s="15"/>
      <c r="E5388" s="15"/>
      <c r="F5388" s="15">
        <f t="shared" si="1"/>
        <v>-0.07</v>
      </c>
      <c r="G5388" s="15">
        <f t="shared" si="2"/>
        <v>0.08</v>
      </c>
      <c r="H5388" s="16">
        <v>0.0</v>
      </c>
      <c r="I5388" s="15">
        <f t="shared" si="3"/>
        <v>-0.07</v>
      </c>
      <c r="J5388" s="15">
        <v>22.03</v>
      </c>
      <c r="K5388" s="16">
        <f>IF(COUNTIFS(Release_Calendar!$A$2:$A$755,"US_CPI",Release_Calendar!$B$2:$B$755,$A5388)&gt;0,1,0)</f>
        <v>0</v>
      </c>
      <c r="L5388" s="16">
        <f>IF(COUNTIFS(Release_Calendar!$A$2:$A$755,"US_NFP",Release_Calendar!$B$2:$B$755,$A5388)&gt;0,1,0)</f>
        <v>0</v>
      </c>
      <c r="M5388" s="16">
        <f>IF($A5388&lt;Notes!$B$5,"",IF(COUNTIFS(Release_Calendar!$A$2:$A$755,"NZ_CPI",Release_Calendar!$B$2:$B$755,$A5388)&gt;0,1,0))</f>
        <v>0</v>
      </c>
      <c r="N5388" s="16">
        <f>IF($A5388&lt;Notes!$B$5,"",IF(COUNTIFS(Release_Calendar!$A$2:$A$755,"NZ_GDP",Release_Calendar!$B$2:$B$755,$A5388)&gt;0,1,0))</f>
        <v>0</v>
      </c>
      <c r="O5388" s="16">
        <f>IF($A5388&lt;Notes!$B$5,"",IF(COUNTIFS(Release_Calendar!$A$2:$A$755,"NZ_LABOUR",Release_Calendar!$B$2:$B$755,$A5388)&gt;0,1,0))</f>
        <v>0</v>
      </c>
      <c r="P5388" s="16">
        <f t="shared" si="4"/>
        <v>0</v>
      </c>
    </row>
    <row r="5389" ht="15.75" customHeight="1">
      <c r="A5389" s="14">
        <v>44069.0</v>
      </c>
      <c r="B5389" s="15">
        <v>0.16</v>
      </c>
      <c r="C5389" s="15">
        <v>0.09</v>
      </c>
      <c r="D5389" s="15"/>
      <c r="E5389" s="15"/>
      <c r="F5389" s="15">
        <f t="shared" si="1"/>
        <v>-0.07</v>
      </c>
      <c r="G5389" s="15">
        <f t="shared" si="2"/>
        <v>0.09</v>
      </c>
      <c r="H5389" s="16">
        <v>0.0</v>
      </c>
      <c r="I5389" s="15">
        <f t="shared" si="3"/>
        <v>-0.07</v>
      </c>
      <c r="J5389" s="15">
        <v>23.27</v>
      </c>
      <c r="K5389" s="16">
        <f>IF(COUNTIFS(Release_Calendar!$A$2:$A$755,"US_CPI",Release_Calendar!$B$2:$B$755,$A5389)&gt;0,1,0)</f>
        <v>0</v>
      </c>
      <c r="L5389" s="16">
        <f>IF(COUNTIFS(Release_Calendar!$A$2:$A$755,"US_NFP",Release_Calendar!$B$2:$B$755,$A5389)&gt;0,1,0)</f>
        <v>0</v>
      </c>
      <c r="M5389" s="16">
        <f>IF($A5389&lt;Notes!$B$5,"",IF(COUNTIFS(Release_Calendar!$A$2:$A$755,"NZ_CPI",Release_Calendar!$B$2:$B$755,$A5389)&gt;0,1,0))</f>
        <v>0</v>
      </c>
      <c r="N5389" s="16">
        <f>IF($A5389&lt;Notes!$B$5,"",IF(COUNTIFS(Release_Calendar!$A$2:$A$755,"NZ_GDP",Release_Calendar!$B$2:$B$755,$A5389)&gt;0,1,0))</f>
        <v>0</v>
      </c>
      <c r="O5389" s="16">
        <f>IF($A5389&lt;Notes!$B$5,"",IF(COUNTIFS(Release_Calendar!$A$2:$A$755,"NZ_LABOUR",Release_Calendar!$B$2:$B$755,$A5389)&gt;0,1,0))</f>
        <v>0</v>
      </c>
      <c r="P5389" s="16">
        <f t="shared" si="4"/>
        <v>0</v>
      </c>
    </row>
    <row r="5390" ht="15.75" customHeight="1">
      <c r="A5390" s="14">
        <v>44070.0</v>
      </c>
      <c r="B5390" s="15">
        <v>0.16</v>
      </c>
      <c r="C5390" s="15">
        <v>0.08</v>
      </c>
      <c r="D5390" s="15"/>
      <c r="E5390" s="15"/>
      <c r="F5390" s="15">
        <f t="shared" si="1"/>
        <v>-0.08</v>
      </c>
      <c r="G5390" s="15">
        <f t="shared" si="2"/>
        <v>0.08</v>
      </c>
      <c r="H5390" s="16">
        <v>0.0</v>
      </c>
      <c r="I5390" s="15">
        <f t="shared" si="3"/>
        <v>-0.08</v>
      </c>
      <c r="J5390" s="15">
        <v>24.47</v>
      </c>
      <c r="K5390" s="16">
        <f>IF(COUNTIFS(Release_Calendar!$A$2:$A$755,"US_CPI",Release_Calendar!$B$2:$B$755,$A5390)&gt;0,1,0)</f>
        <v>0</v>
      </c>
      <c r="L5390" s="16">
        <f>IF(COUNTIFS(Release_Calendar!$A$2:$A$755,"US_NFP",Release_Calendar!$B$2:$B$755,$A5390)&gt;0,1,0)</f>
        <v>0</v>
      </c>
      <c r="M5390" s="16">
        <f>IF($A5390&lt;Notes!$B$5,"",IF(COUNTIFS(Release_Calendar!$A$2:$A$755,"NZ_CPI",Release_Calendar!$B$2:$B$755,$A5390)&gt;0,1,0))</f>
        <v>0</v>
      </c>
      <c r="N5390" s="16">
        <f>IF($A5390&lt;Notes!$B$5,"",IF(COUNTIFS(Release_Calendar!$A$2:$A$755,"NZ_GDP",Release_Calendar!$B$2:$B$755,$A5390)&gt;0,1,0))</f>
        <v>0</v>
      </c>
      <c r="O5390" s="16">
        <f>IF($A5390&lt;Notes!$B$5,"",IF(COUNTIFS(Release_Calendar!$A$2:$A$755,"NZ_LABOUR",Release_Calendar!$B$2:$B$755,$A5390)&gt;0,1,0))</f>
        <v>0</v>
      </c>
      <c r="P5390" s="16">
        <f t="shared" si="4"/>
        <v>0</v>
      </c>
    </row>
    <row r="5391" ht="15.75" customHeight="1">
      <c r="A5391" s="14">
        <v>44071.0</v>
      </c>
      <c r="B5391" s="15">
        <v>0.14</v>
      </c>
      <c r="C5391" s="15">
        <v>0.08</v>
      </c>
      <c r="D5391" s="15"/>
      <c r="E5391" s="15"/>
      <c r="F5391" s="15">
        <f t="shared" si="1"/>
        <v>-0.06</v>
      </c>
      <c r="G5391" s="15">
        <f t="shared" si="2"/>
        <v>0.08</v>
      </c>
      <c r="H5391" s="16">
        <v>0.0</v>
      </c>
      <c r="I5391" s="15">
        <f t="shared" si="3"/>
        <v>-0.06</v>
      </c>
      <c r="J5391" s="15">
        <v>22.96</v>
      </c>
      <c r="K5391" s="16">
        <f>IF(COUNTIFS(Release_Calendar!$A$2:$A$755,"US_CPI",Release_Calendar!$B$2:$B$755,$A5391)&gt;0,1,0)</f>
        <v>0</v>
      </c>
      <c r="L5391" s="16">
        <f>IF(COUNTIFS(Release_Calendar!$A$2:$A$755,"US_NFP",Release_Calendar!$B$2:$B$755,$A5391)&gt;0,1,0)</f>
        <v>0</v>
      </c>
      <c r="M5391" s="16">
        <f>IF($A5391&lt;Notes!$B$5,"",IF(COUNTIFS(Release_Calendar!$A$2:$A$755,"NZ_CPI",Release_Calendar!$B$2:$B$755,$A5391)&gt;0,1,0))</f>
        <v>0</v>
      </c>
      <c r="N5391" s="16">
        <f>IF($A5391&lt;Notes!$B$5,"",IF(COUNTIFS(Release_Calendar!$A$2:$A$755,"NZ_GDP",Release_Calendar!$B$2:$B$755,$A5391)&gt;0,1,0))</f>
        <v>0</v>
      </c>
      <c r="O5391" s="16">
        <f>IF($A5391&lt;Notes!$B$5,"",IF(COUNTIFS(Release_Calendar!$A$2:$A$755,"NZ_LABOUR",Release_Calendar!$B$2:$B$755,$A5391)&gt;0,1,0))</f>
        <v>0</v>
      </c>
      <c r="P5391" s="16">
        <f t="shared" si="4"/>
        <v>0</v>
      </c>
    </row>
    <row r="5392" ht="15.75" customHeight="1">
      <c r="A5392" s="14">
        <v>44074.0</v>
      </c>
      <c r="B5392" s="15">
        <v>0.14</v>
      </c>
      <c r="C5392" s="15">
        <v>0.07</v>
      </c>
      <c r="D5392" s="15"/>
      <c r="E5392" s="15"/>
      <c r="F5392" s="15">
        <f t="shared" si="1"/>
        <v>-0.07</v>
      </c>
      <c r="G5392" s="15">
        <f t="shared" si="2"/>
        <v>0.07</v>
      </c>
      <c r="H5392" s="16">
        <v>0.0</v>
      </c>
      <c r="I5392" s="15">
        <f t="shared" si="3"/>
        <v>-0.07</v>
      </c>
      <c r="J5392" s="15">
        <v>26.41</v>
      </c>
      <c r="K5392" s="16">
        <f>IF(COUNTIFS(Release_Calendar!$A$2:$A$755,"US_CPI",Release_Calendar!$B$2:$B$755,$A5392)&gt;0,1,0)</f>
        <v>0</v>
      </c>
      <c r="L5392" s="16">
        <f>IF(COUNTIFS(Release_Calendar!$A$2:$A$755,"US_NFP",Release_Calendar!$B$2:$B$755,$A5392)&gt;0,1,0)</f>
        <v>0</v>
      </c>
      <c r="M5392" s="16">
        <f>IF($A5392&lt;Notes!$B$5,"",IF(COUNTIFS(Release_Calendar!$A$2:$A$755,"NZ_CPI",Release_Calendar!$B$2:$B$755,$A5392)&gt;0,1,0))</f>
        <v>0</v>
      </c>
      <c r="N5392" s="16">
        <f>IF($A5392&lt;Notes!$B$5,"",IF(COUNTIFS(Release_Calendar!$A$2:$A$755,"NZ_GDP",Release_Calendar!$B$2:$B$755,$A5392)&gt;0,1,0))</f>
        <v>0</v>
      </c>
      <c r="O5392" s="16">
        <f>IF($A5392&lt;Notes!$B$5,"",IF(COUNTIFS(Release_Calendar!$A$2:$A$755,"NZ_LABOUR",Release_Calendar!$B$2:$B$755,$A5392)&gt;0,1,0))</f>
        <v>0</v>
      </c>
      <c r="P5392" s="16">
        <f t="shared" si="4"/>
        <v>0</v>
      </c>
    </row>
    <row r="5393" ht="15.75" customHeight="1">
      <c r="A5393" s="14">
        <v>44075.0</v>
      </c>
      <c r="B5393" s="15">
        <v>0.13</v>
      </c>
      <c r="C5393" s="15">
        <v>0.04</v>
      </c>
      <c r="D5393" s="15"/>
      <c r="E5393" s="15"/>
      <c r="F5393" s="15">
        <f t="shared" si="1"/>
        <v>-0.09</v>
      </c>
      <c r="G5393" s="15">
        <f t="shared" si="2"/>
        <v>0.04</v>
      </c>
      <c r="H5393" s="16">
        <v>0.0</v>
      </c>
      <c r="I5393" s="15">
        <f t="shared" si="3"/>
        <v>-0.09</v>
      </c>
      <c r="J5393" s="15">
        <v>26.12</v>
      </c>
      <c r="K5393" s="16">
        <f>IF(COUNTIFS(Release_Calendar!$A$2:$A$755,"US_CPI",Release_Calendar!$B$2:$B$755,$A5393)&gt;0,1,0)</f>
        <v>0</v>
      </c>
      <c r="L5393" s="16">
        <f>IF(COUNTIFS(Release_Calendar!$A$2:$A$755,"US_NFP",Release_Calendar!$B$2:$B$755,$A5393)&gt;0,1,0)</f>
        <v>0</v>
      </c>
      <c r="M5393" s="16">
        <f>IF($A5393&lt;Notes!$B$5,"",IF(COUNTIFS(Release_Calendar!$A$2:$A$755,"NZ_CPI",Release_Calendar!$B$2:$B$755,$A5393)&gt;0,1,0))</f>
        <v>0</v>
      </c>
      <c r="N5393" s="16">
        <f>IF($A5393&lt;Notes!$B$5,"",IF(COUNTIFS(Release_Calendar!$A$2:$A$755,"NZ_GDP",Release_Calendar!$B$2:$B$755,$A5393)&gt;0,1,0))</f>
        <v>0</v>
      </c>
      <c r="O5393" s="16">
        <f>IF($A5393&lt;Notes!$B$5,"",IF(COUNTIFS(Release_Calendar!$A$2:$A$755,"NZ_LABOUR",Release_Calendar!$B$2:$B$755,$A5393)&gt;0,1,0))</f>
        <v>0</v>
      </c>
      <c r="P5393" s="16">
        <f t="shared" si="4"/>
        <v>0</v>
      </c>
    </row>
    <row r="5394" ht="15.75" customHeight="1">
      <c r="A5394" s="14">
        <v>44076.0</v>
      </c>
      <c r="B5394" s="15">
        <v>0.14</v>
      </c>
      <c r="C5394" s="15">
        <v>0.07</v>
      </c>
      <c r="D5394" s="15"/>
      <c r="E5394" s="15"/>
      <c r="F5394" s="15">
        <f t="shared" si="1"/>
        <v>-0.07</v>
      </c>
      <c r="G5394" s="15">
        <f t="shared" si="2"/>
        <v>0.07</v>
      </c>
      <c r="H5394" s="16">
        <v>0.0</v>
      </c>
      <c r="I5394" s="15">
        <f t="shared" si="3"/>
        <v>-0.07</v>
      </c>
      <c r="J5394" s="15">
        <v>26.57</v>
      </c>
      <c r="K5394" s="16">
        <f>IF(COUNTIFS(Release_Calendar!$A$2:$A$755,"US_CPI",Release_Calendar!$B$2:$B$755,$A5394)&gt;0,1,0)</f>
        <v>0</v>
      </c>
      <c r="L5394" s="16">
        <f>IF(COUNTIFS(Release_Calendar!$A$2:$A$755,"US_NFP",Release_Calendar!$B$2:$B$755,$A5394)&gt;0,1,0)</f>
        <v>0</v>
      </c>
      <c r="M5394" s="16">
        <f>IF($A5394&lt;Notes!$B$5,"",IF(COUNTIFS(Release_Calendar!$A$2:$A$755,"NZ_CPI",Release_Calendar!$B$2:$B$755,$A5394)&gt;0,1,0))</f>
        <v>0</v>
      </c>
      <c r="N5394" s="16">
        <f>IF($A5394&lt;Notes!$B$5,"",IF(COUNTIFS(Release_Calendar!$A$2:$A$755,"NZ_GDP",Release_Calendar!$B$2:$B$755,$A5394)&gt;0,1,0))</f>
        <v>0</v>
      </c>
      <c r="O5394" s="16">
        <f>IF($A5394&lt;Notes!$B$5,"",IF(COUNTIFS(Release_Calendar!$A$2:$A$755,"NZ_LABOUR",Release_Calendar!$B$2:$B$755,$A5394)&gt;0,1,0))</f>
        <v>0</v>
      </c>
      <c r="P5394" s="16">
        <f t="shared" si="4"/>
        <v>0</v>
      </c>
    </row>
    <row r="5395" ht="15.75" customHeight="1">
      <c r="A5395" s="14">
        <v>44077.0</v>
      </c>
      <c r="B5395" s="15">
        <v>0.13</v>
      </c>
      <c r="C5395" s="15">
        <v>0.06</v>
      </c>
      <c r="D5395" s="15"/>
      <c r="E5395" s="15"/>
      <c r="F5395" s="15">
        <f t="shared" si="1"/>
        <v>-0.07</v>
      </c>
      <c r="G5395" s="15">
        <f t="shared" si="2"/>
        <v>0.06</v>
      </c>
      <c r="H5395" s="16">
        <v>0.0</v>
      </c>
      <c r="I5395" s="15">
        <f t="shared" si="3"/>
        <v>-0.07</v>
      </c>
      <c r="J5395" s="15">
        <v>33.6</v>
      </c>
      <c r="K5395" s="16">
        <f>IF(COUNTIFS(Release_Calendar!$A$2:$A$755,"US_CPI",Release_Calendar!$B$2:$B$755,$A5395)&gt;0,1,0)</f>
        <v>0</v>
      </c>
      <c r="L5395" s="16">
        <f>IF(COUNTIFS(Release_Calendar!$A$2:$A$755,"US_NFP",Release_Calendar!$B$2:$B$755,$A5395)&gt;0,1,0)</f>
        <v>0</v>
      </c>
      <c r="M5395" s="16">
        <f>IF($A5395&lt;Notes!$B$5,"",IF(COUNTIFS(Release_Calendar!$A$2:$A$755,"NZ_CPI",Release_Calendar!$B$2:$B$755,$A5395)&gt;0,1,0))</f>
        <v>0</v>
      </c>
      <c r="N5395" s="16">
        <f>IF($A5395&lt;Notes!$B$5,"",IF(COUNTIFS(Release_Calendar!$A$2:$A$755,"NZ_GDP",Release_Calendar!$B$2:$B$755,$A5395)&gt;0,1,0))</f>
        <v>0</v>
      </c>
      <c r="O5395" s="16">
        <f>IF($A5395&lt;Notes!$B$5,"",IF(COUNTIFS(Release_Calendar!$A$2:$A$755,"NZ_LABOUR",Release_Calendar!$B$2:$B$755,$A5395)&gt;0,1,0))</f>
        <v>0</v>
      </c>
      <c r="P5395" s="16">
        <f t="shared" si="4"/>
        <v>0</v>
      </c>
    </row>
    <row r="5396" ht="15.75" customHeight="1">
      <c r="A5396" s="14">
        <v>44078.0</v>
      </c>
      <c r="B5396" s="15">
        <v>0.14</v>
      </c>
      <c r="C5396" s="15">
        <v>0.05</v>
      </c>
      <c r="D5396" s="15"/>
      <c r="E5396" s="15"/>
      <c r="F5396" s="15">
        <f t="shared" si="1"/>
        <v>-0.09</v>
      </c>
      <c r="G5396" s="15">
        <f t="shared" si="2"/>
        <v>0.05</v>
      </c>
      <c r="H5396" s="16">
        <v>0.0</v>
      </c>
      <c r="I5396" s="15">
        <f t="shared" si="3"/>
        <v>-0.09</v>
      </c>
      <c r="J5396" s="15">
        <v>30.75</v>
      </c>
      <c r="K5396" s="16">
        <f>IF(COUNTIFS(Release_Calendar!$A$2:$A$755,"US_CPI",Release_Calendar!$B$2:$B$755,$A5396)&gt;0,1,0)</f>
        <v>0</v>
      </c>
      <c r="L5396" s="16">
        <f>IF(COUNTIFS(Release_Calendar!$A$2:$A$755,"US_NFP",Release_Calendar!$B$2:$B$755,$A5396)&gt;0,1,0)</f>
        <v>1</v>
      </c>
      <c r="M5396" s="16">
        <f>IF($A5396&lt;Notes!$B$5,"",IF(COUNTIFS(Release_Calendar!$A$2:$A$755,"NZ_CPI",Release_Calendar!$B$2:$B$755,$A5396)&gt;0,1,0))</f>
        <v>0</v>
      </c>
      <c r="N5396" s="16">
        <f>IF($A5396&lt;Notes!$B$5,"",IF(COUNTIFS(Release_Calendar!$A$2:$A$755,"NZ_GDP",Release_Calendar!$B$2:$B$755,$A5396)&gt;0,1,0))</f>
        <v>0</v>
      </c>
      <c r="O5396" s="16">
        <f>IF($A5396&lt;Notes!$B$5,"",IF(COUNTIFS(Release_Calendar!$A$2:$A$755,"NZ_LABOUR",Release_Calendar!$B$2:$B$755,$A5396)&gt;0,1,0))</f>
        <v>0</v>
      </c>
      <c r="P5396" s="16">
        <f t="shared" si="4"/>
        <v>1</v>
      </c>
    </row>
    <row r="5397" ht="15.75" customHeight="1">
      <c r="A5397" s="14">
        <v>44081.0</v>
      </c>
      <c r="B5397" s="15"/>
      <c r="C5397" s="15">
        <v>0.05</v>
      </c>
      <c r="D5397" s="15"/>
      <c r="E5397" s="15"/>
      <c r="F5397" s="15" t="str">
        <f t="shared" si="1"/>
        <v/>
      </c>
      <c r="G5397" s="15">
        <f t="shared" si="2"/>
        <v>0.05</v>
      </c>
      <c r="H5397" s="16">
        <v>0.0</v>
      </c>
      <c r="I5397" s="15" t="str">
        <f t="shared" si="3"/>
        <v/>
      </c>
      <c r="J5397" s="15"/>
      <c r="K5397" s="16">
        <f>IF(COUNTIFS(Release_Calendar!$A$2:$A$755,"US_CPI",Release_Calendar!$B$2:$B$755,$A5397)&gt;0,1,0)</f>
        <v>0</v>
      </c>
      <c r="L5397" s="16">
        <f>IF(COUNTIFS(Release_Calendar!$A$2:$A$755,"US_NFP",Release_Calendar!$B$2:$B$755,$A5397)&gt;0,1,0)</f>
        <v>0</v>
      </c>
      <c r="M5397" s="16">
        <f>IF($A5397&lt;Notes!$B$5,"",IF(COUNTIFS(Release_Calendar!$A$2:$A$755,"NZ_CPI",Release_Calendar!$B$2:$B$755,$A5397)&gt;0,1,0))</f>
        <v>0</v>
      </c>
      <c r="N5397" s="16">
        <f>IF($A5397&lt;Notes!$B$5,"",IF(COUNTIFS(Release_Calendar!$A$2:$A$755,"NZ_GDP",Release_Calendar!$B$2:$B$755,$A5397)&gt;0,1,0))</f>
        <v>0</v>
      </c>
      <c r="O5397" s="16">
        <f>IF($A5397&lt;Notes!$B$5,"",IF(COUNTIFS(Release_Calendar!$A$2:$A$755,"NZ_LABOUR",Release_Calendar!$B$2:$B$755,$A5397)&gt;0,1,0))</f>
        <v>0</v>
      </c>
      <c r="P5397" s="16">
        <f t="shared" si="4"/>
        <v>0</v>
      </c>
    </row>
    <row r="5398" ht="15.75" customHeight="1">
      <c r="A5398" s="14">
        <v>44082.0</v>
      </c>
      <c r="B5398" s="15">
        <v>0.14</v>
      </c>
      <c r="C5398" s="15">
        <v>0.02</v>
      </c>
      <c r="D5398" s="15"/>
      <c r="E5398" s="15"/>
      <c r="F5398" s="15">
        <f t="shared" si="1"/>
        <v>-0.12</v>
      </c>
      <c r="G5398" s="15">
        <f t="shared" si="2"/>
        <v>0.02</v>
      </c>
      <c r="H5398" s="16">
        <v>0.0</v>
      </c>
      <c r="I5398" s="15">
        <f t="shared" si="3"/>
        <v>-0.12</v>
      </c>
      <c r="J5398" s="15">
        <v>31.46</v>
      </c>
      <c r="K5398" s="16">
        <f>IF(COUNTIFS(Release_Calendar!$A$2:$A$755,"US_CPI",Release_Calendar!$B$2:$B$755,$A5398)&gt;0,1,0)</f>
        <v>0</v>
      </c>
      <c r="L5398" s="16">
        <f>IF(COUNTIFS(Release_Calendar!$A$2:$A$755,"US_NFP",Release_Calendar!$B$2:$B$755,$A5398)&gt;0,1,0)</f>
        <v>0</v>
      </c>
      <c r="M5398" s="16">
        <f>IF($A5398&lt;Notes!$B$5,"",IF(COUNTIFS(Release_Calendar!$A$2:$A$755,"NZ_CPI",Release_Calendar!$B$2:$B$755,$A5398)&gt;0,1,0))</f>
        <v>0</v>
      </c>
      <c r="N5398" s="16">
        <f>IF($A5398&lt;Notes!$B$5,"",IF(COUNTIFS(Release_Calendar!$A$2:$A$755,"NZ_GDP",Release_Calendar!$B$2:$B$755,$A5398)&gt;0,1,0))</f>
        <v>0</v>
      </c>
      <c r="O5398" s="16">
        <f>IF($A5398&lt;Notes!$B$5,"",IF(COUNTIFS(Release_Calendar!$A$2:$A$755,"NZ_LABOUR",Release_Calendar!$B$2:$B$755,$A5398)&gt;0,1,0))</f>
        <v>0</v>
      </c>
      <c r="P5398" s="16">
        <f t="shared" si="4"/>
        <v>0</v>
      </c>
    </row>
    <row r="5399" ht="15.75" customHeight="1">
      <c r="A5399" s="14">
        <v>44083.0</v>
      </c>
      <c r="B5399" s="15">
        <v>0.14</v>
      </c>
      <c r="C5399" s="15">
        <v>0.0</v>
      </c>
      <c r="D5399" s="15"/>
      <c r="E5399" s="15"/>
      <c r="F5399" s="15">
        <f t="shared" si="1"/>
        <v>-0.14</v>
      </c>
      <c r="G5399" s="15">
        <f t="shared" si="2"/>
        <v>0</v>
      </c>
      <c r="H5399" s="16">
        <v>0.0</v>
      </c>
      <c r="I5399" s="15">
        <f t="shared" si="3"/>
        <v>-0.14</v>
      </c>
      <c r="J5399" s="15">
        <v>28.81</v>
      </c>
      <c r="K5399" s="16">
        <f>IF(COUNTIFS(Release_Calendar!$A$2:$A$755,"US_CPI",Release_Calendar!$B$2:$B$755,$A5399)&gt;0,1,0)</f>
        <v>0</v>
      </c>
      <c r="L5399" s="16">
        <f>IF(COUNTIFS(Release_Calendar!$A$2:$A$755,"US_NFP",Release_Calendar!$B$2:$B$755,$A5399)&gt;0,1,0)</f>
        <v>0</v>
      </c>
      <c r="M5399" s="16">
        <f>IF($A5399&lt;Notes!$B$5,"",IF(COUNTIFS(Release_Calendar!$A$2:$A$755,"NZ_CPI",Release_Calendar!$B$2:$B$755,$A5399)&gt;0,1,0))</f>
        <v>0</v>
      </c>
      <c r="N5399" s="16">
        <f>IF($A5399&lt;Notes!$B$5,"",IF(COUNTIFS(Release_Calendar!$A$2:$A$755,"NZ_GDP",Release_Calendar!$B$2:$B$755,$A5399)&gt;0,1,0))</f>
        <v>0</v>
      </c>
      <c r="O5399" s="16">
        <f>IF($A5399&lt;Notes!$B$5,"",IF(COUNTIFS(Release_Calendar!$A$2:$A$755,"NZ_LABOUR",Release_Calendar!$B$2:$B$755,$A5399)&gt;0,1,0))</f>
        <v>0</v>
      </c>
      <c r="P5399" s="16">
        <f t="shared" si="4"/>
        <v>0</v>
      </c>
    </row>
    <row r="5400" ht="15.75" customHeight="1">
      <c r="A5400" s="14">
        <v>44084.0</v>
      </c>
      <c r="B5400" s="15">
        <v>0.14</v>
      </c>
      <c r="C5400" s="15">
        <v>0.02</v>
      </c>
      <c r="D5400" s="15"/>
      <c r="E5400" s="15"/>
      <c r="F5400" s="15">
        <f t="shared" si="1"/>
        <v>-0.12</v>
      </c>
      <c r="G5400" s="15">
        <f t="shared" si="2"/>
        <v>0.02</v>
      </c>
      <c r="H5400" s="16">
        <v>0.0</v>
      </c>
      <c r="I5400" s="15">
        <f t="shared" si="3"/>
        <v>-0.12</v>
      </c>
      <c r="J5400" s="15">
        <v>29.71</v>
      </c>
      <c r="K5400" s="16">
        <f>IF(COUNTIFS(Release_Calendar!$A$2:$A$755,"US_CPI",Release_Calendar!$B$2:$B$755,$A5400)&gt;0,1,0)</f>
        <v>0</v>
      </c>
      <c r="L5400" s="16">
        <f>IF(COUNTIFS(Release_Calendar!$A$2:$A$755,"US_NFP",Release_Calendar!$B$2:$B$755,$A5400)&gt;0,1,0)</f>
        <v>0</v>
      </c>
      <c r="M5400" s="16">
        <f>IF($A5400&lt;Notes!$B$5,"",IF(COUNTIFS(Release_Calendar!$A$2:$A$755,"NZ_CPI",Release_Calendar!$B$2:$B$755,$A5400)&gt;0,1,0))</f>
        <v>0</v>
      </c>
      <c r="N5400" s="16">
        <f>IF($A5400&lt;Notes!$B$5,"",IF(COUNTIFS(Release_Calendar!$A$2:$A$755,"NZ_GDP",Release_Calendar!$B$2:$B$755,$A5400)&gt;0,1,0))</f>
        <v>0</v>
      </c>
      <c r="O5400" s="16">
        <f>IF($A5400&lt;Notes!$B$5,"",IF(COUNTIFS(Release_Calendar!$A$2:$A$755,"NZ_LABOUR",Release_Calendar!$B$2:$B$755,$A5400)&gt;0,1,0))</f>
        <v>0</v>
      </c>
      <c r="P5400" s="16">
        <f t="shared" si="4"/>
        <v>0</v>
      </c>
    </row>
    <row r="5401" ht="15.75" customHeight="1">
      <c r="A5401" s="14">
        <v>44085.0</v>
      </c>
      <c r="B5401" s="15">
        <v>0.13</v>
      </c>
      <c r="C5401" s="15">
        <v>0.05</v>
      </c>
      <c r="D5401" s="15"/>
      <c r="E5401" s="15"/>
      <c r="F5401" s="15">
        <f t="shared" si="1"/>
        <v>-0.08</v>
      </c>
      <c r="G5401" s="15">
        <f t="shared" si="2"/>
        <v>0.05</v>
      </c>
      <c r="H5401" s="16">
        <v>0.0</v>
      </c>
      <c r="I5401" s="15">
        <f t="shared" si="3"/>
        <v>-0.08</v>
      </c>
      <c r="J5401" s="15">
        <v>26.87</v>
      </c>
      <c r="K5401" s="16">
        <f>IF(COUNTIFS(Release_Calendar!$A$2:$A$755,"US_CPI",Release_Calendar!$B$2:$B$755,$A5401)&gt;0,1,0)</f>
        <v>1</v>
      </c>
      <c r="L5401" s="16">
        <f>IF(COUNTIFS(Release_Calendar!$A$2:$A$755,"US_NFP",Release_Calendar!$B$2:$B$755,$A5401)&gt;0,1,0)</f>
        <v>0</v>
      </c>
      <c r="M5401" s="16">
        <f>IF($A5401&lt;Notes!$B$5,"",IF(COUNTIFS(Release_Calendar!$A$2:$A$755,"NZ_CPI",Release_Calendar!$B$2:$B$755,$A5401)&gt;0,1,0))</f>
        <v>0</v>
      </c>
      <c r="N5401" s="16">
        <f>IF($A5401&lt;Notes!$B$5,"",IF(COUNTIFS(Release_Calendar!$A$2:$A$755,"NZ_GDP",Release_Calendar!$B$2:$B$755,$A5401)&gt;0,1,0))</f>
        <v>0</v>
      </c>
      <c r="O5401" s="16">
        <f>IF($A5401&lt;Notes!$B$5,"",IF(COUNTIFS(Release_Calendar!$A$2:$A$755,"NZ_LABOUR",Release_Calendar!$B$2:$B$755,$A5401)&gt;0,1,0))</f>
        <v>0</v>
      </c>
      <c r="P5401" s="16">
        <f t="shared" si="4"/>
        <v>1</v>
      </c>
    </row>
    <row r="5402" ht="15.75" customHeight="1">
      <c r="A5402" s="14">
        <v>44088.0</v>
      </c>
      <c r="B5402" s="15">
        <v>0.14</v>
      </c>
      <c r="C5402" s="15">
        <v>0.04</v>
      </c>
      <c r="D5402" s="15"/>
      <c r="E5402" s="15"/>
      <c r="F5402" s="15">
        <f t="shared" si="1"/>
        <v>-0.1</v>
      </c>
      <c r="G5402" s="15">
        <f t="shared" si="2"/>
        <v>0.04</v>
      </c>
      <c r="H5402" s="16">
        <v>0.0</v>
      </c>
      <c r="I5402" s="15">
        <f t="shared" si="3"/>
        <v>-0.1</v>
      </c>
      <c r="J5402" s="15">
        <v>25.85</v>
      </c>
      <c r="K5402" s="16">
        <f>IF(COUNTIFS(Release_Calendar!$A$2:$A$755,"US_CPI",Release_Calendar!$B$2:$B$755,$A5402)&gt;0,1,0)</f>
        <v>0</v>
      </c>
      <c r="L5402" s="16">
        <f>IF(COUNTIFS(Release_Calendar!$A$2:$A$755,"US_NFP",Release_Calendar!$B$2:$B$755,$A5402)&gt;0,1,0)</f>
        <v>0</v>
      </c>
      <c r="M5402" s="16">
        <f>IF($A5402&lt;Notes!$B$5,"",IF(COUNTIFS(Release_Calendar!$A$2:$A$755,"NZ_CPI",Release_Calendar!$B$2:$B$755,$A5402)&gt;0,1,0))</f>
        <v>0</v>
      </c>
      <c r="N5402" s="16">
        <f>IF($A5402&lt;Notes!$B$5,"",IF(COUNTIFS(Release_Calendar!$A$2:$A$755,"NZ_GDP",Release_Calendar!$B$2:$B$755,$A5402)&gt;0,1,0))</f>
        <v>0</v>
      </c>
      <c r="O5402" s="16">
        <f>IF($A5402&lt;Notes!$B$5,"",IF(COUNTIFS(Release_Calendar!$A$2:$A$755,"NZ_LABOUR",Release_Calendar!$B$2:$B$755,$A5402)&gt;0,1,0))</f>
        <v>0</v>
      </c>
      <c r="P5402" s="16">
        <f t="shared" si="4"/>
        <v>0</v>
      </c>
    </row>
    <row r="5403" ht="15.75" customHeight="1">
      <c r="A5403" s="14">
        <v>44089.0</v>
      </c>
      <c r="B5403" s="15">
        <v>0.14</v>
      </c>
      <c r="C5403" s="15">
        <v>0.04</v>
      </c>
      <c r="D5403" s="15"/>
      <c r="E5403" s="15"/>
      <c r="F5403" s="15">
        <f t="shared" si="1"/>
        <v>-0.1</v>
      </c>
      <c r="G5403" s="15">
        <f t="shared" si="2"/>
        <v>0.04</v>
      </c>
      <c r="H5403" s="16">
        <v>0.0</v>
      </c>
      <c r="I5403" s="15">
        <f t="shared" si="3"/>
        <v>-0.1</v>
      </c>
      <c r="J5403" s="15">
        <v>25.59</v>
      </c>
      <c r="K5403" s="16">
        <f>IF(COUNTIFS(Release_Calendar!$A$2:$A$755,"US_CPI",Release_Calendar!$B$2:$B$755,$A5403)&gt;0,1,0)</f>
        <v>0</v>
      </c>
      <c r="L5403" s="16">
        <f>IF(COUNTIFS(Release_Calendar!$A$2:$A$755,"US_NFP",Release_Calendar!$B$2:$B$755,$A5403)&gt;0,1,0)</f>
        <v>0</v>
      </c>
      <c r="M5403" s="16">
        <f>IF($A5403&lt;Notes!$B$5,"",IF(COUNTIFS(Release_Calendar!$A$2:$A$755,"NZ_CPI",Release_Calendar!$B$2:$B$755,$A5403)&gt;0,1,0))</f>
        <v>0</v>
      </c>
      <c r="N5403" s="16">
        <f>IF($A5403&lt;Notes!$B$5,"",IF(COUNTIFS(Release_Calendar!$A$2:$A$755,"NZ_GDP",Release_Calendar!$B$2:$B$755,$A5403)&gt;0,1,0))</f>
        <v>0</v>
      </c>
      <c r="O5403" s="16">
        <f>IF($A5403&lt;Notes!$B$5,"",IF(COUNTIFS(Release_Calendar!$A$2:$A$755,"NZ_LABOUR",Release_Calendar!$B$2:$B$755,$A5403)&gt;0,1,0))</f>
        <v>0</v>
      </c>
      <c r="P5403" s="16">
        <f t="shared" si="4"/>
        <v>0</v>
      </c>
    </row>
    <row r="5404" ht="15.75" customHeight="1">
      <c r="A5404" s="14">
        <v>44090.0</v>
      </c>
      <c r="B5404" s="15">
        <v>0.14</v>
      </c>
      <c r="C5404" s="15">
        <v>0.04</v>
      </c>
      <c r="D5404" s="15"/>
      <c r="E5404" s="15"/>
      <c r="F5404" s="15">
        <f t="shared" si="1"/>
        <v>-0.1</v>
      </c>
      <c r="G5404" s="15">
        <f t="shared" si="2"/>
        <v>0.04</v>
      </c>
      <c r="H5404" s="16">
        <v>0.0</v>
      </c>
      <c r="I5404" s="15">
        <f t="shared" si="3"/>
        <v>-0.1</v>
      </c>
      <c r="J5404" s="15">
        <v>26.04</v>
      </c>
      <c r="K5404" s="16">
        <f>IF(COUNTIFS(Release_Calendar!$A$2:$A$755,"US_CPI",Release_Calendar!$B$2:$B$755,$A5404)&gt;0,1,0)</f>
        <v>0</v>
      </c>
      <c r="L5404" s="16">
        <f>IF(COUNTIFS(Release_Calendar!$A$2:$A$755,"US_NFP",Release_Calendar!$B$2:$B$755,$A5404)&gt;0,1,0)</f>
        <v>0</v>
      </c>
      <c r="M5404" s="16">
        <f>IF($A5404&lt;Notes!$B$5,"",IF(COUNTIFS(Release_Calendar!$A$2:$A$755,"NZ_CPI",Release_Calendar!$B$2:$B$755,$A5404)&gt;0,1,0))</f>
        <v>0</v>
      </c>
      <c r="N5404" s="16">
        <f>IF($A5404&lt;Notes!$B$5,"",IF(COUNTIFS(Release_Calendar!$A$2:$A$755,"NZ_GDP",Release_Calendar!$B$2:$B$755,$A5404)&gt;0,1,0))</f>
        <v>0</v>
      </c>
      <c r="O5404" s="16">
        <f>IF($A5404&lt;Notes!$B$5,"",IF(COUNTIFS(Release_Calendar!$A$2:$A$755,"NZ_LABOUR",Release_Calendar!$B$2:$B$755,$A5404)&gt;0,1,0))</f>
        <v>0</v>
      </c>
      <c r="P5404" s="16">
        <f t="shared" si="4"/>
        <v>0</v>
      </c>
    </row>
    <row r="5405" ht="15.75" customHeight="1">
      <c r="A5405" s="14">
        <v>44091.0</v>
      </c>
      <c r="B5405" s="15">
        <v>0.13</v>
      </c>
      <c r="C5405" s="15">
        <v>0.03</v>
      </c>
      <c r="D5405" s="15"/>
      <c r="E5405" s="15"/>
      <c r="F5405" s="15">
        <f t="shared" si="1"/>
        <v>-0.1</v>
      </c>
      <c r="G5405" s="15">
        <f t="shared" si="2"/>
        <v>0.03</v>
      </c>
      <c r="H5405" s="16">
        <v>0.0</v>
      </c>
      <c r="I5405" s="15">
        <f t="shared" si="3"/>
        <v>-0.1</v>
      </c>
      <c r="J5405" s="15">
        <v>26.46</v>
      </c>
      <c r="K5405" s="16">
        <f>IF(COUNTIFS(Release_Calendar!$A$2:$A$755,"US_CPI",Release_Calendar!$B$2:$B$755,$A5405)&gt;0,1,0)</f>
        <v>0</v>
      </c>
      <c r="L5405" s="16">
        <f>IF(COUNTIFS(Release_Calendar!$A$2:$A$755,"US_NFP",Release_Calendar!$B$2:$B$755,$A5405)&gt;0,1,0)</f>
        <v>0</v>
      </c>
      <c r="M5405" s="16">
        <f>IF($A5405&lt;Notes!$B$5,"",IF(COUNTIFS(Release_Calendar!$A$2:$A$755,"NZ_CPI",Release_Calendar!$B$2:$B$755,$A5405)&gt;0,1,0))</f>
        <v>0</v>
      </c>
      <c r="N5405" s="16">
        <f>IF($A5405&lt;Notes!$B$5,"",IF(COUNTIFS(Release_Calendar!$A$2:$A$755,"NZ_GDP",Release_Calendar!$B$2:$B$755,$A5405)&gt;0,1,0))</f>
        <v>1</v>
      </c>
      <c r="O5405" s="16">
        <f>IF($A5405&lt;Notes!$B$5,"",IF(COUNTIFS(Release_Calendar!$A$2:$A$755,"NZ_LABOUR",Release_Calendar!$B$2:$B$755,$A5405)&gt;0,1,0))</f>
        <v>0</v>
      </c>
      <c r="P5405" s="16">
        <f t="shared" si="4"/>
        <v>1</v>
      </c>
    </row>
    <row r="5406" ht="15.75" customHeight="1">
      <c r="A5406" s="14">
        <v>44092.0</v>
      </c>
      <c r="B5406" s="15">
        <v>0.14</v>
      </c>
      <c r="C5406" s="15">
        <v>0.05</v>
      </c>
      <c r="D5406" s="15"/>
      <c r="E5406" s="15"/>
      <c r="F5406" s="15">
        <f t="shared" si="1"/>
        <v>-0.09</v>
      </c>
      <c r="G5406" s="15">
        <f t="shared" si="2"/>
        <v>0.05</v>
      </c>
      <c r="H5406" s="16">
        <v>0.0</v>
      </c>
      <c r="I5406" s="15">
        <f t="shared" si="3"/>
        <v>-0.09</v>
      </c>
      <c r="J5406" s="15">
        <v>25.83</v>
      </c>
      <c r="K5406" s="16">
        <f>IF(COUNTIFS(Release_Calendar!$A$2:$A$755,"US_CPI",Release_Calendar!$B$2:$B$755,$A5406)&gt;0,1,0)</f>
        <v>0</v>
      </c>
      <c r="L5406" s="16">
        <f>IF(COUNTIFS(Release_Calendar!$A$2:$A$755,"US_NFP",Release_Calendar!$B$2:$B$755,$A5406)&gt;0,1,0)</f>
        <v>0</v>
      </c>
      <c r="M5406" s="16">
        <f>IF($A5406&lt;Notes!$B$5,"",IF(COUNTIFS(Release_Calendar!$A$2:$A$755,"NZ_CPI",Release_Calendar!$B$2:$B$755,$A5406)&gt;0,1,0))</f>
        <v>0</v>
      </c>
      <c r="N5406" s="16">
        <f>IF($A5406&lt;Notes!$B$5,"",IF(COUNTIFS(Release_Calendar!$A$2:$A$755,"NZ_GDP",Release_Calendar!$B$2:$B$755,$A5406)&gt;0,1,0))</f>
        <v>0</v>
      </c>
      <c r="O5406" s="16">
        <f>IF($A5406&lt;Notes!$B$5,"",IF(COUNTIFS(Release_Calendar!$A$2:$A$755,"NZ_LABOUR",Release_Calendar!$B$2:$B$755,$A5406)&gt;0,1,0))</f>
        <v>0</v>
      </c>
      <c r="P5406" s="16">
        <f t="shared" si="4"/>
        <v>0</v>
      </c>
    </row>
    <row r="5407" ht="15.75" customHeight="1">
      <c r="A5407" s="14">
        <v>44095.0</v>
      </c>
      <c r="B5407" s="15">
        <v>0.14</v>
      </c>
      <c r="C5407" s="15">
        <v>0.04</v>
      </c>
      <c r="D5407" s="15"/>
      <c r="E5407" s="15"/>
      <c r="F5407" s="15">
        <f t="shared" si="1"/>
        <v>-0.1</v>
      </c>
      <c r="G5407" s="15">
        <f t="shared" si="2"/>
        <v>0.04</v>
      </c>
      <c r="H5407" s="16">
        <v>0.0</v>
      </c>
      <c r="I5407" s="15">
        <f t="shared" si="3"/>
        <v>-0.1</v>
      </c>
      <c r="J5407" s="15">
        <v>27.78</v>
      </c>
      <c r="K5407" s="16">
        <f>IF(COUNTIFS(Release_Calendar!$A$2:$A$755,"US_CPI",Release_Calendar!$B$2:$B$755,$A5407)&gt;0,1,0)</f>
        <v>0</v>
      </c>
      <c r="L5407" s="16">
        <f>IF(COUNTIFS(Release_Calendar!$A$2:$A$755,"US_NFP",Release_Calendar!$B$2:$B$755,$A5407)&gt;0,1,0)</f>
        <v>0</v>
      </c>
      <c r="M5407" s="16">
        <f>IF($A5407&lt;Notes!$B$5,"",IF(COUNTIFS(Release_Calendar!$A$2:$A$755,"NZ_CPI",Release_Calendar!$B$2:$B$755,$A5407)&gt;0,1,0))</f>
        <v>0</v>
      </c>
      <c r="N5407" s="16">
        <f>IF($A5407&lt;Notes!$B$5,"",IF(COUNTIFS(Release_Calendar!$A$2:$A$755,"NZ_GDP",Release_Calendar!$B$2:$B$755,$A5407)&gt;0,1,0))</f>
        <v>0</v>
      </c>
      <c r="O5407" s="16">
        <f>IF($A5407&lt;Notes!$B$5,"",IF(COUNTIFS(Release_Calendar!$A$2:$A$755,"NZ_LABOUR",Release_Calendar!$B$2:$B$755,$A5407)&gt;0,1,0))</f>
        <v>0</v>
      </c>
      <c r="P5407" s="16">
        <f t="shared" si="4"/>
        <v>0</v>
      </c>
    </row>
    <row r="5408" ht="15.75" customHeight="1">
      <c r="A5408" s="14">
        <v>44096.0</v>
      </c>
      <c r="B5408" s="15">
        <v>0.13</v>
      </c>
      <c r="C5408" s="15">
        <v>0.05</v>
      </c>
      <c r="D5408" s="15"/>
      <c r="E5408" s="15"/>
      <c r="F5408" s="15">
        <f t="shared" si="1"/>
        <v>-0.08</v>
      </c>
      <c r="G5408" s="15">
        <f t="shared" si="2"/>
        <v>0.05</v>
      </c>
      <c r="H5408" s="16">
        <v>0.0</v>
      </c>
      <c r="I5408" s="15">
        <f t="shared" si="3"/>
        <v>-0.08</v>
      </c>
      <c r="J5408" s="15">
        <v>26.86</v>
      </c>
      <c r="K5408" s="16">
        <f>IF(COUNTIFS(Release_Calendar!$A$2:$A$755,"US_CPI",Release_Calendar!$B$2:$B$755,$A5408)&gt;0,1,0)</f>
        <v>0</v>
      </c>
      <c r="L5408" s="16">
        <f>IF(COUNTIFS(Release_Calendar!$A$2:$A$755,"US_NFP",Release_Calendar!$B$2:$B$755,$A5408)&gt;0,1,0)</f>
        <v>0</v>
      </c>
      <c r="M5408" s="16">
        <f>IF($A5408&lt;Notes!$B$5,"",IF(COUNTIFS(Release_Calendar!$A$2:$A$755,"NZ_CPI",Release_Calendar!$B$2:$B$755,$A5408)&gt;0,1,0))</f>
        <v>0</v>
      </c>
      <c r="N5408" s="16">
        <f>IF($A5408&lt;Notes!$B$5,"",IF(COUNTIFS(Release_Calendar!$A$2:$A$755,"NZ_GDP",Release_Calendar!$B$2:$B$755,$A5408)&gt;0,1,0))</f>
        <v>0</v>
      </c>
      <c r="O5408" s="16">
        <f>IF($A5408&lt;Notes!$B$5,"",IF(COUNTIFS(Release_Calendar!$A$2:$A$755,"NZ_LABOUR",Release_Calendar!$B$2:$B$755,$A5408)&gt;0,1,0))</f>
        <v>0</v>
      </c>
      <c r="P5408" s="16">
        <f t="shared" si="4"/>
        <v>0</v>
      </c>
    </row>
    <row r="5409" ht="15.75" customHeight="1">
      <c r="A5409" s="14">
        <v>44097.0</v>
      </c>
      <c r="B5409" s="15">
        <v>0.14</v>
      </c>
      <c r="C5409" s="15">
        <v>0.02</v>
      </c>
      <c r="D5409" s="15"/>
      <c r="E5409" s="15"/>
      <c r="F5409" s="15">
        <f t="shared" si="1"/>
        <v>-0.12</v>
      </c>
      <c r="G5409" s="15">
        <f t="shared" si="2"/>
        <v>0.02</v>
      </c>
      <c r="H5409" s="16">
        <v>0.0</v>
      </c>
      <c r="I5409" s="15">
        <f t="shared" si="3"/>
        <v>-0.12</v>
      </c>
      <c r="J5409" s="15">
        <v>28.58</v>
      </c>
      <c r="K5409" s="16">
        <f>IF(COUNTIFS(Release_Calendar!$A$2:$A$755,"US_CPI",Release_Calendar!$B$2:$B$755,$A5409)&gt;0,1,0)</f>
        <v>0</v>
      </c>
      <c r="L5409" s="16">
        <f>IF(COUNTIFS(Release_Calendar!$A$2:$A$755,"US_NFP",Release_Calendar!$B$2:$B$755,$A5409)&gt;0,1,0)</f>
        <v>0</v>
      </c>
      <c r="M5409" s="16">
        <f>IF($A5409&lt;Notes!$B$5,"",IF(COUNTIFS(Release_Calendar!$A$2:$A$755,"NZ_CPI",Release_Calendar!$B$2:$B$755,$A5409)&gt;0,1,0))</f>
        <v>0</v>
      </c>
      <c r="N5409" s="16">
        <f>IF($A5409&lt;Notes!$B$5,"",IF(COUNTIFS(Release_Calendar!$A$2:$A$755,"NZ_GDP",Release_Calendar!$B$2:$B$755,$A5409)&gt;0,1,0))</f>
        <v>0</v>
      </c>
      <c r="O5409" s="16">
        <f>IF($A5409&lt;Notes!$B$5,"",IF(COUNTIFS(Release_Calendar!$A$2:$A$755,"NZ_LABOUR",Release_Calendar!$B$2:$B$755,$A5409)&gt;0,1,0))</f>
        <v>0</v>
      </c>
      <c r="P5409" s="16">
        <f t="shared" si="4"/>
        <v>0</v>
      </c>
    </row>
    <row r="5410" ht="15.75" customHeight="1">
      <c r="A5410" s="14">
        <v>44098.0</v>
      </c>
      <c r="B5410" s="15">
        <v>0.14</v>
      </c>
      <c r="C5410" s="15">
        <v>0.03</v>
      </c>
      <c r="D5410" s="15"/>
      <c r="E5410" s="15"/>
      <c r="F5410" s="15">
        <f t="shared" si="1"/>
        <v>-0.11</v>
      </c>
      <c r="G5410" s="15">
        <f t="shared" si="2"/>
        <v>0.03</v>
      </c>
      <c r="H5410" s="16">
        <v>0.0</v>
      </c>
      <c r="I5410" s="15">
        <f t="shared" si="3"/>
        <v>-0.11</v>
      </c>
      <c r="J5410" s="15">
        <v>28.51</v>
      </c>
      <c r="K5410" s="16">
        <f>IF(COUNTIFS(Release_Calendar!$A$2:$A$755,"US_CPI",Release_Calendar!$B$2:$B$755,$A5410)&gt;0,1,0)</f>
        <v>0</v>
      </c>
      <c r="L5410" s="16">
        <f>IF(COUNTIFS(Release_Calendar!$A$2:$A$755,"US_NFP",Release_Calendar!$B$2:$B$755,$A5410)&gt;0,1,0)</f>
        <v>0</v>
      </c>
      <c r="M5410" s="16">
        <f>IF($A5410&lt;Notes!$B$5,"",IF(COUNTIFS(Release_Calendar!$A$2:$A$755,"NZ_CPI",Release_Calendar!$B$2:$B$755,$A5410)&gt;0,1,0))</f>
        <v>0</v>
      </c>
      <c r="N5410" s="16">
        <f>IF($A5410&lt;Notes!$B$5,"",IF(COUNTIFS(Release_Calendar!$A$2:$A$755,"NZ_GDP",Release_Calendar!$B$2:$B$755,$A5410)&gt;0,1,0))</f>
        <v>0</v>
      </c>
      <c r="O5410" s="16">
        <f>IF($A5410&lt;Notes!$B$5,"",IF(COUNTIFS(Release_Calendar!$A$2:$A$755,"NZ_LABOUR",Release_Calendar!$B$2:$B$755,$A5410)&gt;0,1,0))</f>
        <v>0</v>
      </c>
      <c r="P5410" s="16">
        <f t="shared" si="4"/>
        <v>0</v>
      </c>
    </row>
    <row r="5411" ht="15.75" customHeight="1">
      <c r="A5411" s="14">
        <v>44099.0</v>
      </c>
      <c r="B5411" s="15">
        <v>0.12</v>
      </c>
      <c r="C5411" s="15">
        <v>0.03</v>
      </c>
      <c r="D5411" s="15"/>
      <c r="E5411" s="15"/>
      <c r="F5411" s="15">
        <f t="shared" si="1"/>
        <v>-0.09</v>
      </c>
      <c r="G5411" s="15">
        <f t="shared" si="2"/>
        <v>0.03</v>
      </c>
      <c r="H5411" s="16">
        <v>0.0</v>
      </c>
      <c r="I5411" s="15">
        <f t="shared" si="3"/>
        <v>-0.09</v>
      </c>
      <c r="J5411" s="15">
        <v>26.38</v>
      </c>
      <c r="K5411" s="16">
        <f>IF(COUNTIFS(Release_Calendar!$A$2:$A$755,"US_CPI",Release_Calendar!$B$2:$B$755,$A5411)&gt;0,1,0)</f>
        <v>0</v>
      </c>
      <c r="L5411" s="16">
        <f>IF(COUNTIFS(Release_Calendar!$A$2:$A$755,"US_NFP",Release_Calendar!$B$2:$B$755,$A5411)&gt;0,1,0)</f>
        <v>0</v>
      </c>
      <c r="M5411" s="16">
        <f>IF($A5411&lt;Notes!$B$5,"",IF(COUNTIFS(Release_Calendar!$A$2:$A$755,"NZ_CPI",Release_Calendar!$B$2:$B$755,$A5411)&gt;0,1,0))</f>
        <v>0</v>
      </c>
      <c r="N5411" s="16">
        <f>IF($A5411&lt;Notes!$B$5,"",IF(COUNTIFS(Release_Calendar!$A$2:$A$755,"NZ_GDP",Release_Calendar!$B$2:$B$755,$A5411)&gt;0,1,0))</f>
        <v>0</v>
      </c>
      <c r="O5411" s="16">
        <f>IF($A5411&lt;Notes!$B$5,"",IF(COUNTIFS(Release_Calendar!$A$2:$A$755,"NZ_LABOUR",Release_Calendar!$B$2:$B$755,$A5411)&gt;0,1,0))</f>
        <v>0</v>
      </c>
      <c r="P5411" s="16">
        <f t="shared" si="4"/>
        <v>0</v>
      </c>
    </row>
    <row r="5412" ht="15.75" customHeight="1">
      <c r="A5412" s="14">
        <v>44102.0</v>
      </c>
      <c r="B5412" s="15">
        <v>0.14</v>
      </c>
      <c r="C5412" s="15">
        <v>0.03</v>
      </c>
      <c r="D5412" s="15"/>
      <c r="E5412" s="15"/>
      <c r="F5412" s="15">
        <f t="shared" si="1"/>
        <v>-0.11</v>
      </c>
      <c r="G5412" s="15">
        <f t="shared" si="2"/>
        <v>0.03</v>
      </c>
      <c r="H5412" s="16">
        <v>0.0</v>
      </c>
      <c r="I5412" s="15">
        <f t="shared" si="3"/>
        <v>-0.11</v>
      </c>
      <c r="J5412" s="15">
        <v>26.19</v>
      </c>
      <c r="K5412" s="16">
        <f>IF(COUNTIFS(Release_Calendar!$A$2:$A$755,"US_CPI",Release_Calendar!$B$2:$B$755,$A5412)&gt;0,1,0)</f>
        <v>0</v>
      </c>
      <c r="L5412" s="16">
        <f>IF(COUNTIFS(Release_Calendar!$A$2:$A$755,"US_NFP",Release_Calendar!$B$2:$B$755,$A5412)&gt;0,1,0)</f>
        <v>0</v>
      </c>
      <c r="M5412" s="16">
        <f>IF($A5412&lt;Notes!$B$5,"",IF(COUNTIFS(Release_Calendar!$A$2:$A$755,"NZ_CPI",Release_Calendar!$B$2:$B$755,$A5412)&gt;0,1,0))</f>
        <v>0</v>
      </c>
      <c r="N5412" s="16">
        <f>IF($A5412&lt;Notes!$B$5,"",IF(COUNTIFS(Release_Calendar!$A$2:$A$755,"NZ_GDP",Release_Calendar!$B$2:$B$755,$A5412)&gt;0,1,0))</f>
        <v>0</v>
      </c>
      <c r="O5412" s="16">
        <f>IF($A5412&lt;Notes!$B$5,"",IF(COUNTIFS(Release_Calendar!$A$2:$A$755,"NZ_LABOUR",Release_Calendar!$B$2:$B$755,$A5412)&gt;0,1,0))</f>
        <v>0</v>
      </c>
      <c r="P5412" s="16">
        <f t="shared" si="4"/>
        <v>0</v>
      </c>
    </row>
    <row r="5413" ht="15.75" customHeight="1">
      <c r="A5413" s="14">
        <v>44103.0</v>
      </c>
      <c r="B5413" s="15">
        <v>0.11</v>
      </c>
      <c r="C5413" s="15">
        <v>0.04</v>
      </c>
      <c r="D5413" s="15"/>
      <c r="E5413" s="15"/>
      <c r="F5413" s="15">
        <f t="shared" si="1"/>
        <v>-0.07</v>
      </c>
      <c r="G5413" s="15">
        <f t="shared" si="2"/>
        <v>0.04</v>
      </c>
      <c r="H5413" s="16">
        <v>0.0</v>
      </c>
      <c r="I5413" s="15">
        <f t="shared" si="3"/>
        <v>-0.07</v>
      </c>
      <c r="J5413" s="15">
        <v>26.27</v>
      </c>
      <c r="K5413" s="16">
        <f>IF(COUNTIFS(Release_Calendar!$A$2:$A$755,"US_CPI",Release_Calendar!$B$2:$B$755,$A5413)&gt;0,1,0)</f>
        <v>0</v>
      </c>
      <c r="L5413" s="16">
        <f>IF(COUNTIFS(Release_Calendar!$A$2:$A$755,"US_NFP",Release_Calendar!$B$2:$B$755,$A5413)&gt;0,1,0)</f>
        <v>0</v>
      </c>
      <c r="M5413" s="16">
        <f>IF($A5413&lt;Notes!$B$5,"",IF(COUNTIFS(Release_Calendar!$A$2:$A$755,"NZ_CPI",Release_Calendar!$B$2:$B$755,$A5413)&gt;0,1,0))</f>
        <v>0</v>
      </c>
      <c r="N5413" s="16">
        <f>IF($A5413&lt;Notes!$B$5,"",IF(COUNTIFS(Release_Calendar!$A$2:$A$755,"NZ_GDP",Release_Calendar!$B$2:$B$755,$A5413)&gt;0,1,0))</f>
        <v>0</v>
      </c>
      <c r="O5413" s="16">
        <f>IF($A5413&lt;Notes!$B$5,"",IF(COUNTIFS(Release_Calendar!$A$2:$A$755,"NZ_LABOUR",Release_Calendar!$B$2:$B$755,$A5413)&gt;0,1,0))</f>
        <v>0</v>
      </c>
      <c r="P5413" s="16">
        <f t="shared" si="4"/>
        <v>0</v>
      </c>
    </row>
    <row r="5414" ht="15.75" customHeight="1">
      <c r="A5414" s="14">
        <v>44104.0</v>
      </c>
      <c r="B5414" s="15">
        <v>0.13</v>
      </c>
      <c r="C5414" s="15">
        <v>0.05</v>
      </c>
      <c r="D5414" s="15"/>
      <c r="E5414" s="15"/>
      <c r="F5414" s="15">
        <f t="shared" si="1"/>
        <v>-0.08</v>
      </c>
      <c r="G5414" s="15">
        <f t="shared" si="2"/>
        <v>0.05</v>
      </c>
      <c r="H5414" s="16">
        <v>0.0</v>
      </c>
      <c r="I5414" s="15">
        <f t="shared" si="3"/>
        <v>-0.08</v>
      </c>
      <c r="J5414" s="15">
        <v>26.37</v>
      </c>
      <c r="K5414" s="16">
        <f>IF(COUNTIFS(Release_Calendar!$A$2:$A$755,"US_CPI",Release_Calendar!$B$2:$B$755,$A5414)&gt;0,1,0)</f>
        <v>0</v>
      </c>
      <c r="L5414" s="16">
        <f>IF(COUNTIFS(Release_Calendar!$A$2:$A$755,"US_NFP",Release_Calendar!$B$2:$B$755,$A5414)&gt;0,1,0)</f>
        <v>0</v>
      </c>
      <c r="M5414" s="16">
        <f>IF($A5414&lt;Notes!$B$5,"",IF(COUNTIFS(Release_Calendar!$A$2:$A$755,"NZ_CPI",Release_Calendar!$B$2:$B$755,$A5414)&gt;0,1,0))</f>
        <v>0</v>
      </c>
      <c r="N5414" s="16">
        <f>IF($A5414&lt;Notes!$B$5,"",IF(COUNTIFS(Release_Calendar!$A$2:$A$755,"NZ_GDP",Release_Calendar!$B$2:$B$755,$A5414)&gt;0,1,0))</f>
        <v>0</v>
      </c>
      <c r="O5414" s="16">
        <f>IF($A5414&lt;Notes!$B$5,"",IF(COUNTIFS(Release_Calendar!$A$2:$A$755,"NZ_LABOUR",Release_Calendar!$B$2:$B$755,$A5414)&gt;0,1,0))</f>
        <v>0</v>
      </c>
      <c r="P5414" s="16">
        <f t="shared" si="4"/>
        <v>0</v>
      </c>
    </row>
    <row r="5415" ht="15.75" customHeight="1">
      <c r="A5415" s="14">
        <v>44105.0</v>
      </c>
      <c r="B5415" s="15">
        <v>0.14</v>
      </c>
      <c r="C5415" s="15">
        <v>0.06</v>
      </c>
      <c r="D5415" s="15"/>
      <c r="E5415" s="15"/>
      <c r="F5415" s="15">
        <f t="shared" si="1"/>
        <v>-0.08</v>
      </c>
      <c r="G5415" s="15">
        <f t="shared" si="2"/>
        <v>0.06</v>
      </c>
      <c r="H5415" s="16">
        <v>0.0</v>
      </c>
      <c r="I5415" s="15">
        <f t="shared" si="3"/>
        <v>-0.08</v>
      </c>
      <c r="J5415" s="15">
        <v>26.7</v>
      </c>
      <c r="K5415" s="16">
        <f>IF(COUNTIFS(Release_Calendar!$A$2:$A$755,"US_CPI",Release_Calendar!$B$2:$B$755,$A5415)&gt;0,1,0)</f>
        <v>0</v>
      </c>
      <c r="L5415" s="16">
        <f>IF(COUNTIFS(Release_Calendar!$A$2:$A$755,"US_NFP",Release_Calendar!$B$2:$B$755,$A5415)&gt;0,1,0)</f>
        <v>0</v>
      </c>
      <c r="M5415" s="16">
        <f>IF($A5415&lt;Notes!$B$5,"",IF(COUNTIFS(Release_Calendar!$A$2:$A$755,"NZ_CPI",Release_Calendar!$B$2:$B$755,$A5415)&gt;0,1,0))</f>
        <v>0</v>
      </c>
      <c r="N5415" s="16">
        <f>IF($A5415&lt;Notes!$B$5,"",IF(COUNTIFS(Release_Calendar!$A$2:$A$755,"NZ_GDP",Release_Calendar!$B$2:$B$755,$A5415)&gt;0,1,0))</f>
        <v>0</v>
      </c>
      <c r="O5415" s="16">
        <f>IF($A5415&lt;Notes!$B$5,"",IF(COUNTIFS(Release_Calendar!$A$2:$A$755,"NZ_LABOUR",Release_Calendar!$B$2:$B$755,$A5415)&gt;0,1,0))</f>
        <v>0</v>
      </c>
      <c r="P5415" s="16">
        <f t="shared" si="4"/>
        <v>0</v>
      </c>
    </row>
    <row r="5416" ht="15.75" customHeight="1">
      <c r="A5416" s="14">
        <v>44106.0</v>
      </c>
      <c r="B5416" s="15">
        <v>0.13</v>
      </c>
      <c r="C5416" s="15">
        <v>0.06</v>
      </c>
      <c r="D5416" s="15"/>
      <c r="E5416" s="15"/>
      <c r="F5416" s="15">
        <f t="shared" si="1"/>
        <v>-0.07</v>
      </c>
      <c r="G5416" s="15">
        <f t="shared" si="2"/>
        <v>0.06</v>
      </c>
      <c r="H5416" s="16">
        <v>0.0</v>
      </c>
      <c r="I5416" s="15">
        <f t="shared" si="3"/>
        <v>-0.07</v>
      </c>
      <c r="J5416" s="15">
        <v>27.63</v>
      </c>
      <c r="K5416" s="16">
        <f>IF(COUNTIFS(Release_Calendar!$A$2:$A$755,"US_CPI",Release_Calendar!$B$2:$B$755,$A5416)&gt;0,1,0)</f>
        <v>0</v>
      </c>
      <c r="L5416" s="16">
        <f>IF(COUNTIFS(Release_Calendar!$A$2:$A$755,"US_NFP",Release_Calendar!$B$2:$B$755,$A5416)&gt;0,1,0)</f>
        <v>1</v>
      </c>
      <c r="M5416" s="16">
        <f>IF($A5416&lt;Notes!$B$5,"",IF(COUNTIFS(Release_Calendar!$A$2:$A$755,"NZ_CPI",Release_Calendar!$B$2:$B$755,$A5416)&gt;0,1,0))</f>
        <v>0</v>
      </c>
      <c r="N5416" s="16">
        <f>IF($A5416&lt;Notes!$B$5,"",IF(COUNTIFS(Release_Calendar!$A$2:$A$755,"NZ_GDP",Release_Calendar!$B$2:$B$755,$A5416)&gt;0,1,0))</f>
        <v>0</v>
      </c>
      <c r="O5416" s="16">
        <f>IF($A5416&lt;Notes!$B$5,"",IF(COUNTIFS(Release_Calendar!$A$2:$A$755,"NZ_LABOUR",Release_Calendar!$B$2:$B$755,$A5416)&gt;0,1,0))</f>
        <v>0</v>
      </c>
      <c r="P5416" s="16">
        <f t="shared" si="4"/>
        <v>1</v>
      </c>
    </row>
    <row r="5417" ht="15.75" customHeight="1">
      <c r="A5417" s="14">
        <v>44109.0</v>
      </c>
      <c r="B5417" s="15">
        <v>0.14</v>
      </c>
      <c r="C5417" s="15">
        <v>0.06</v>
      </c>
      <c r="D5417" s="15"/>
      <c r="E5417" s="15"/>
      <c r="F5417" s="15">
        <f t="shared" si="1"/>
        <v>-0.08</v>
      </c>
      <c r="G5417" s="15">
        <f t="shared" si="2"/>
        <v>0.06</v>
      </c>
      <c r="H5417" s="16">
        <v>0.0</v>
      </c>
      <c r="I5417" s="15">
        <f t="shared" si="3"/>
        <v>-0.08</v>
      </c>
      <c r="J5417" s="15">
        <v>27.96</v>
      </c>
      <c r="K5417" s="16">
        <f>IF(COUNTIFS(Release_Calendar!$A$2:$A$755,"US_CPI",Release_Calendar!$B$2:$B$755,$A5417)&gt;0,1,0)</f>
        <v>0</v>
      </c>
      <c r="L5417" s="16">
        <f>IF(COUNTIFS(Release_Calendar!$A$2:$A$755,"US_NFP",Release_Calendar!$B$2:$B$755,$A5417)&gt;0,1,0)</f>
        <v>0</v>
      </c>
      <c r="M5417" s="16">
        <f>IF($A5417&lt;Notes!$B$5,"",IF(COUNTIFS(Release_Calendar!$A$2:$A$755,"NZ_CPI",Release_Calendar!$B$2:$B$755,$A5417)&gt;0,1,0))</f>
        <v>0</v>
      </c>
      <c r="N5417" s="16">
        <f>IF($A5417&lt;Notes!$B$5,"",IF(COUNTIFS(Release_Calendar!$A$2:$A$755,"NZ_GDP",Release_Calendar!$B$2:$B$755,$A5417)&gt;0,1,0))</f>
        <v>0</v>
      </c>
      <c r="O5417" s="16">
        <f>IF($A5417&lt;Notes!$B$5,"",IF(COUNTIFS(Release_Calendar!$A$2:$A$755,"NZ_LABOUR",Release_Calendar!$B$2:$B$755,$A5417)&gt;0,1,0))</f>
        <v>0</v>
      </c>
      <c r="P5417" s="16">
        <f t="shared" si="4"/>
        <v>0</v>
      </c>
    </row>
    <row r="5418" ht="15.75" customHeight="1">
      <c r="A5418" s="14">
        <v>44110.0</v>
      </c>
      <c r="B5418" s="15">
        <v>0.14</v>
      </c>
      <c r="C5418" s="15">
        <v>0.06</v>
      </c>
      <c r="D5418" s="15"/>
      <c r="E5418" s="15"/>
      <c r="F5418" s="15">
        <f t="shared" si="1"/>
        <v>-0.08</v>
      </c>
      <c r="G5418" s="15">
        <f t="shared" si="2"/>
        <v>0.06</v>
      </c>
      <c r="H5418" s="16">
        <v>0.0</v>
      </c>
      <c r="I5418" s="15">
        <f t="shared" si="3"/>
        <v>-0.08</v>
      </c>
      <c r="J5418" s="15">
        <v>29.48</v>
      </c>
      <c r="K5418" s="16">
        <f>IF(COUNTIFS(Release_Calendar!$A$2:$A$755,"US_CPI",Release_Calendar!$B$2:$B$755,$A5418)&gt;0,1,0)</f>
        <v>0</v>
      </c>
      <c r="L5418" s="16">
        <f>IF(COUNTIFS(Release_Calendar!$A$2:$A$755,"US_NFP",Release_Calendar!$B$2:$B$755,$A5418)&gt;0,1,0)</f>
        <v>0</v>
      </c>
      <c r="M5418" s="16">
        <f>IF($A5418&lt;Notes!$B$5,"",IF(COUNTIFS(Release_Calendar!$A$2:$A$755,"NZ_CPI",Release_Calendar!$B$2:$B$755,$A5418)&gt;0,1,0))</f>
        <v>0</v>
      </c>
      <c r="N5418" s="16">
        <f>IF($A5418&lt;Notes!$B$5,"",IF(COUNTIFS(Release_Calendar!$A$2:$A$755,"NZ_GDP",Release_Calendar!$B$2:$B$755,$A5418)&gt;0,1,0))</f>
        <v>0</v>
      </c>
      <c r="O5418" s="16">
        <f>IF($A5418&lt;Notes!$B$5,"",IF(COUNTIFS(Release_Calendar!$A$2:$A$755,"NZ_LABOUR",Release_Calendar!$B$2:$B$755,$A5418)&gt;0,1,0))</f>
        <v>0</v>
      </c>
      <c r="P5418" s="16">
        <f t="shared" si="4"/>
        <v>0</v>
      </c>
    </row>
    <row r="5419" ht="15.75" customHeight="1">
      <c r="A5419" s="14">
        <v>44111.0</v>
      </c>
      <c r="B5419" s="15">
        <v>0.16</v>
      </c>
      <c r="C5419" s="15">
        <v>0.04</v>
      </c>
      <c r="D5419" s="15"/>
      <c r="E5419" s="15"/>
      <c r="F5419" s="15">
        <f t="shared" si="1"/>
        <v>-0.12</v>
      </c>
      <c r="G5419" s="15">
        <f t="shared" si="2"/>
        <v>0.04</v>
      </c>
      <c r="H5419" s="16">
        <v>0.0</v>
      </c>
      <c r="I5419" s="15">
        <f t="shared" si="3"/>
        <v>-0.12</v>
      </c>
      <c r="J5419" s="15">
        <v>28.06</v>
      </c>
      <c r="K5419" s="16">
        <f>IF(COUNTIFS(Release_Calendar!$A$2:$A$755,"US_CPI",Release_Calendar!$B$2:$B$755,$A5419)&gt;0,1,0)</f>
        <v>0</v>
      </c>
      <c r="L5419" s="16">
        <f>IF(COUNTIFS(Release_Calendar!$A$2:$A$755,"US_NFP",Release_Calendar!$B$2:$B$755,$A5419)&gt;0,1,0)</f>
        <v>0</v>
      </c>
      <c r="M5419" s="16">
        <f>IF($A5419&lt;Notes!$B$5,"",IF(COUNTIFS(Release_Calendar!$A$2:$A$755,"NZ_CPI",Release_Calendar!$B$2:$B$755,$A5419)&gt;0,1,0))</f>
        <v>0</v>
      </c>
      <c r="N5419" s="16">
        <f>IF($A5419&lt;Notes!$B$5,"",IF(COUNTIFS(Release_Calendar!$A$2:$A$755,"NZ_GDP",Release_Calendar!$B$2:$B$755,$A5419)&gt;0,1,0))</f>
        <v>0</v>
      </c>
      <c r="O5419" s="16">
        <f>IF($A5419&lt;Notes!$B$5,"",IF(COUNTIFS(Release_Calendar!$A$2:$A$755,"NZ_LABOUR",Release_Calendar!$B$2:$B$755,$A5419)&gt;0,1,0))</f>
        <v>0</v>
      </c>
      <c r="P5419" s="16">
        <f t="shared" si="4"/>
        <v>0</v>
      </c>
    </row>
    <row r="5420" ht="15.75" customHeight="1">
      <c r="A5420" s="14">
        <v>44112.0</v>
      </c>
      <c r="B5420" s="15">
        <v>0.13</v>
      </c>
      <c r="C5420" s="15">
        <v>0.02</v>
      </c>
      <c r="D5420" s="15"/>
      <c r="E5420" s="15"/>
      <c r="F5420" s="15">
        <f t="shared" si="1"/>
        <v>-0.11</v>
      </c>
      <c r="G5420" s="15">
        <f t="shared" si="2"/>
        <v>0.02</v>
      </c>
      <c r="H5420" s="16">
        <v>0.0</v>
      </c>
      <c r="I5420" s="15">
        <f t="shared" si="3"/>
        <v>-0.11</v>
      </c>
      <c r="J5420" s="15">
        <v>26.36</v>
      </c>
      <c r="K5420" s="16">
        <f>IF(COUNTIFS(Release_Calendar!$A$2:$A$755,"US_CPI",Release_Calendar!$B$2:$B$755,$A5420)&gt;0,1,0)</f>
        <v>0</v>
      </c>
      <c r="L5420" s="16">
        <f>IF(COUNTIFS(Release_Calendar!$A$2:$A$755,"US_NFP",Release_Calendar!$B$2:$B$755,$A5420)&gt;0,1,0)</f>
        <v>0</v>
      </c>
      <c r="M5420" s="16">
        <f>IF($A5420&lt;Notes!$B$5,"",IF(COUNTIFS(Release_Calendar!$A$2:$A$755,"NZ_CPI",Release_Calendar!$B$2:$B$755,$A5420)&gt;0,1,0))</f>
        <v>0</v>
      </c>
      <c r="N5420" s="16">
        <f>IF($A5420&lt;Notes!$B$5,"",IF(COUNTIFS(Release_Calendar!$A$2:$A$755,"NZ_GDP",Release_Calendar!$B$2:$B$755,$A5420)&gt;0,1,0))</f>
        <v>0</v>
      </c>
      <c r="O5420" s="16">
        <f>IF($A5420&lt;Notes!$B$5,"",IF(COUNTIFS(Release_Calendar!$A$2:$A$755,"NZ_LABOUR",Release_Calendar!$B$2:$B$755,$A5420)&gt;0,1,0))</f>
        <v>0</v>
      </c>
      <c r="P5420" s="16">
        <f t="shared" si="4"/>
        <v>0</v>
      </c>
    </row>
    <row r="5421" ht="15.75" customHeight="1">
      <c r="A5421" s="14">
        <v>44113.0</v>
      </c>
      <c r="B5421" s="15">
        <v>0.16</v>
      </c>
      <c r="C5421" s="15">
        <v>0.02</v>
      </c>
      <c r="D5421" s="15"/>
      <c r="E5421" s="15"/>
      <c r="F5421" s="15">
        <f t="shared" si="1"/>
        <v>-0.14</v>
      </c>
      <c r="G5421" s="15">
        <f t="shared" si="2"/>
        <v>0.02</v>
      </c>
      <c r="H5421" s="16">
        <v>0.0</v>
      </c>
      <c r="I5421" s="15">
        <f t="shared" si="3"/>
        <v>-0.14</v>
      </c>
      <c r="J5421" s="15">
        <v>25.0</v>
      </c>
      <c r="K5421" s="16">
        <f>IF(COUNTIFS(Release_Calendar!$A$2:$A$755,"US_CPI",Release_Calendar!$B$2:$B$755,$A5421)&gt;0,1,0)</f>
        <v>0</v>
      </c>
      <c r="L5421" s="16">
        <f>IF(COUNTIFS(Release_Calendar!$A$2:$A$755,"US_NFP",Release_Calendar!$B$2:$B$755,$A5421)&gt;0,1,0)</f>
        <v>0</v>
      </c>
      <c r="M5421" s="16">
        <f>IF($A5421&lt;Notes!$B$5,"",IF(COUNTIFS(Release_Calendar!$A$2:$A$755,"NZ_CPI",Release_Calendar!$B$2:$B$755,$A5421)&gt;0,1,0))</f>
        <v>0</v>
      </c>
      <c r="N5421" s="16">
        <f>IF($A5421&lt;Notes!$B$5,"",IF(COUNTIFS(Release_Calendar!$A$2:$A$755,"NZ_GDP",Release_Calendar!$B$2:$B$755,$A5421)&gt;0,1,0))</f>
        <v>0</v>
      </c>
      <c r="O5421" s="16">
        <f>IF($A5421&lt;Notes!$B$5,"",IF(COUNTIFS(Release_Calendar!$A$2:$A$755,"NZ_LABOUR",Release_Calendar!$B$2:$B$755,$A5421)&gt;0,1,0))</f>
        <v>0</v>
      </c>
      <c r="P5421" s="16">
        <f t="shared" si="4"/>
        <v>0</v>
      </c>
    </row>
    <row r="5422" ht="15.75" customHeight="1">
      <c r="A5422" s="14">
        <v>44116.0</v>
      </c>
      <c r="B5422" s="15"/>
      <c r="C5422" s="15">
        <v>0.03</v>
      </c>
      <c r="D5422" s="15"/>
      <c r="E5422" s="15"/>
      <c r="F5422" s="15" t="str">
        <f t="shared" si="1"/>
        <v/>
      </c>
      <c r="G5422" s="15">
        <f t="shared" si="2"/>
        <v>0.03</v>
      </c>
      <c r="H5422" s="16">
        <v>0.0</v>
      </c>
      <c r="I5422" s="15" t="str">
        <f t="shared" si="3"/>
        <v/>
      </c>
      <c r="J5422" s="15">
        <v>25.07</v>
      </c>
      <c r="K5422" s="16">
        <f>IF(COUNTIFS(Release_Calendar!$A$2:$A$755,"US_CPI",Release_Calendar!$B$2:$B$755,$A5422)&gt;0,1,0)</f>
        <v>0</v>
      </c>
      <c r="L5422" s="16">
        <f>IF(COUNTIFS(Release_Calendar!$A$2:$A$755,"US_NFP",Release_Calendar!$B$2:$B$755,$A5422)&gt;0,1,0)</f>
        <v>0</v>
      </c>
      <c r="M5422" s="16">
        <f>IF($A5422&lt;Notes!$B$5,"",IF(COUNTIFS(Release_Calendar!$A$2:$A$755,"NZ_CPI",Release_Calendar!$B$2:$B$755,$A5422)&gt;0,1,0))</f>
        <v>0</v>
      </c>
      <c r="N5422" s="16">
        <f>IF($A5422&lt;Notes!$B$5,"",IF(COUNTIFS(Release_Calendar!$A$2:$A$755,"NZ_GDP",Release_Calendar!$B$2:$B$755,$A5422)&gt;0,1,0))</f>
        <v>0</v>
      </c>
      <c r="O5422" s="16">
        <f>IF($A5422&lt;Notes!$B$5,"",IF(COUNTIFS(Release_Calendar!$A$2:$A$755,"NZ_LABOUR",Release_Calendar!$B$2:$B$755,$A5422)&gt;0,1,0))</f>
        <v>0</v>
      </c>
      <c r="P5422" s="16">
        <f t="shared" si="4"/>
        <v>0</v>
      </c>
    </row>
    <row r="5423" ht="15.75" customHeight="1">
      <c r="A5423" s="14">
        <v>44117.0</v>
      </c>
      <c r="B5423" s="15">
        <v>0.16</v>
      </c>
      <c r="C5423" s="15">
        <v>0.04</v>
      </c>
      <c r="D5423" s="15"/>
      <c r="E5423" s="15"/>
      <c r="F5423" s="15">
        <f t="shared" si="1"/>
        <v>-0.12</v>
      </c>
      <c r="G5423" s="15">
        <f t="shared" si="2"/>
        <v>0.04</v>
      </c>
      <c r="H5423" s="16">
        <v>0.0</v>
      </c>
      <c r="I5423" s="15">
        <f t="shared" si="3"/>
        <v>-0.12</v>
      </c>
      <c r="J5423" s="15">
        <v>26.07</v>
      </c>
      <c r="K5423" s="16">
        <f>IF(COUNTIFS(Release_Calendar!$A$2:$A$755,"US_CPI",Release_Calendar!$B$2:$B$755,$A5423)&gt;0,1,0)</f>
        <v>1</v>
      </c>
      <c r="L5423" s="16">
        <f>IF(COUNTIFS(Release_Calendar!$A$2:$A$755,"US_NFP",Release_Calendar!$B$2:$B$755,$A5423)&gt;0,1,0)</f>
        <v>0</v>
      </c>
      <c r="M5423" s="16">
        <f>IF($A5423&lt;Notes!$B$5,"",IF(COUNTIFS(Release_Calendar!$A$2:$A$755,"NZ_CPI",Release_Calendar!$B$2:$B$755,$A5423)&gt;0,1,0))</f>
        <v>0</v>
      </c>
      <c r="N5423" s="16">
        <f>IF($A5423&lt;Notes!$B$5,"",IF(COUNTIFS(Release_Calendar!$A$2:$A$755,"NZ_GDP",Release_Calendar!$B$2:$B$755,$A5423)&gt;0,1,0))</f>
        <v>0</v>
      </c>
      <c r="O5423" s="16">
        <f>IF($A5423&lt;Notes!$B$5,"",IF(COUNTIFS(Release_Calendar!$A$2:$A$755,"NZ_LABOUR",Release_Calendar!$B$2:$B$755,$A5423)&gt;0,1,0))</f>
        <v>0</v>
      </c>
      <c r="P5423" s="16">
        <f t="shared" si="4"/>
        <v>1</v>
      </c>
    </row>
    <row r="5424" ht="15.75" customHeight="1">
      <c r="A5424" s="14">
        <v>44118.0</v>
      </c>
      <c r="B5424" s="15">
        <v>0.14</v>
      </c>
      <c r="C5424" s="15">
        <v>0.06</v>
      </c>
      <c r="D5424" s="15"/>
      <c r="E5424" s="15"/>
      <c r="F5424" s="15">
        <f t="shared" si="1"/>
        <v>-0.08</v>
      </c>
      <c r="G5424" s="15">
        <f t="shared" si="2"/>
        <v>0.06</v>
      </c>
      <c r="H5424" s="16">
        <v>0.0</v>
      </c>
      <c r="I5424" s="15">
        <f t="shared" si="3"/>
        <v>-0.08</v>
      </c>
      <c r="J5424" s="15">
        <v>26.4</v>
      </c>
      <c r="K5424" s="16">
        <f>IF(COUNTIFS(Release_Calendar!$A$2:$A$755,"US_CPI",Release_Calendar!$B$2:$B$755,$A5424)&gt;0,1,0)</f>
        <v>0</v>
      </c>
      <c r="L5424" s="16">
        <f>IF(COUNTIFS(Release_Calendar!$A$2:$A$755,"US_NFP",Release_Calendar!$B$2:$B$755,$A5424)&gt;0,1,0)</f>
        <v>0</v>
      </c>
      <c r="M5424" s="16">
        <f>IF($A5424&lt;Notes!$B$5,"",IF(COUNTIFS(Release_Calendar!$A$2:$A$755,"NZ_CPI",Release_Calendar!$B$2:$B$755,$A5424)&gt;0,1,0))</f>
        <v>0</v>
      </c>
      <c r="N5424" s="16">
        <f>IF($A5424&lt;Notes!$B$5,"",IF(COUNTIFS(Release_Calendar!$A$2:$A$755,"NZ_GDP",Release_Calendar!$B$2:$B$755,$A5424)&gt;0,1,0))</f>
        <v>0</v>
      </c>
      <c r="O5424" s="16">
        <f>IF($A5424&lt;Notes!$B$5,"",IF(COUNTIFS(Release_Calendar!$A$2:$A$755,"NZ_LABOUR",Release_Calendar!$B$2:$B$755,$A5424)&gt;0,1,0))</f>
        <v>0</v>
      </c>
      <c r="P5424" s="16">
        <f t="shared" si="4"/>
        <v>0</v>
      </c>
    </row>
    <row r="5425" ht="15.75" customHeight="1">
      <c r="A5425" s="14">
        <v>44119.0</v>
      </c>
      <c r="B5425" s="15">
        <v>0.14</v>
      </c>
      <c r="C5425" s="15">
        <v>0.04</v>
      </c>
      <c r="D5425" s="15"/>
      <c r="E5425" s="15"/>
      <c r="F5425" s="15">
        <f t="shared" si="1"/>
        <v>-0.1</v>
      </c>
      <c r="G5425" s="15">
        <f t="shared" si="2"/>
        <v>0.04</v>
      </c>
      <c r="H5425" s="16">
        <v>0.0</v>
      </c>
      <c r="I5425" s="15">
        <f t="shared" si="3"/>
        <v>-0.1</v>
      </c>
      <c r="J5425" s="15">
        <v>26.97</v>
      </c>
      <c r="K5425" s="16">
        <f>IF(COUNTIFS(Release_Calendar!$A$2:$A$755,"US_CPI",Release_Calendar!$B$2:$B$755,$A5425)&gt;0,1,0)</f>
        <v>0</v>
      </c>
      <c r="L5425" s="16">
        <f>IF(COUNTIFS(Release_Calendar!$A$2:$A$755,"US_NFP",Release_Calendar!$B$2:$B$755,$A5425)&gt;0,1,0)</f>
        <v>0</v>
      </c>
      <c r="M5425" s="16">
        <f>IF($A5425&lt;Notes!$B$5,"",IF(COUNTIFS(Release_Calendar!$A$2:$A$755,"NZ_CPI",Release_Calendar!$B$2:$B$755,$A5425)&gt;0,1,0))</f>
        <v>0</v>
      </c>
      <c r="N5425" s="16">
        <f>IF($A5425&lt;Notes!$B$5,"",IF(COUNTIFS(Release_Calendar!$A$2:$A$755,"NZ_GDP",Release_Calendar!$B$2:$B$755,$A5425)&gt;0,1,0))</f>
        <v>0</v>
      </c>
      <c r="O5425" s="16">
        <f>IF($A5425&lt;Notes!$B$5,"",IF(COUNTIFS(Release_Calendar!$A$2:$A$755,"NZ_LABOUR",Release_Calendar!$B$2:$B$755,$A5425)&gt;0,1,0))</f>
        <v>0</v>
      </c>
      <c r="P5425" s="16">
        <f t="shared" si="4"/>
        <v>0</v>
      </c>
    </row>
    <row r="5426" ht="15.75" customHeight="1">
      <c r="A5426" s="14">
        <v>44120.0</v>
      </c>
      <c r="B5426" s="15">
        <v>0.14</v>
      </c>
      <c r="C5426" s="15">
        <v>0.03</v>
      </c>
      <c r="D5426" s="15"/>
      <c r="E5426" s="15"/>
      <c r="F5426" s="15">
        <f t="shared" si="1"/>
        <v>-0.11</v>
      </c>
      <c r="G5426" s="15">
        <f t="shared" si="2"/>
        <v>0.03</v>
      </c>
      <c r="H5426" s="16">
        <v>0.0</v>
      </c>
      <c r="I5426" s="15">
        <f t="shared" si="3"/>
        <v>-0.11</v>
      </c>
      <c r="J5426" s="15">
        <v>27.41</v>
      </c>
      <c r="K5426" s="16">
        <f>IF(COUNTIFS(Release_Calendar!$A$2:$A$755,"US_CPI",Release_Calendar!$B$2:$B$755,$A5426)&gt;0,1,0)</f>
        <v>0</v>
      </c>
      <c r="L5426" s="16">
        <f>IF(COUNTIFS(Release_Calendar!$A$2:$A$755,"US_NFP",Release_Calendar!$B$2:$B$755,$A5426)&gt;0,1,0)</f>
        <v>0</v>
      </c>
      <c r="M5426" s="16">
        <f>IF($A5426&lt;Notes!$B$5,"",IF(COUNTIFS(Release_Calendar!$A$2:$A$755,"NZ_CPI",Release_Calendar!$B$2:$B$755,$A5426)&gt;0,1,0))</f>
        <v>0</v>
      </c>
      <c r="N5426" s="16">
        <f>IF($A5426&lt;Notes!$B$5,"",IF(COUNTIFS(Release_Calendar!$A$2:$A$755,"NZ_GDP",Release_Calendar!$B$2:$B$755,$A5426)&gt;0,1,0))</f>
        <v>0</v>
      </c>
      <c r="O5426" s="16">
        <f>IF($A5426&lt;Notes!$B$5,"",IF(COUNTIFS(Release_Calendar!$A$2:$A$755,"NZ_LABOUR",Release_Calendar!$B$2:$B$755,$A5426)&gt;0,1,0))</f>
        <v>0</v>
      </c>
      <c r="P5426" s="16">
        <f t="shared" si="4"/>
        <v>0</v>
      </c>
    </row>
    <row r="5427" ht="15.75" customHeight="1">
      <c r="A5427" s="14">
        <v>44123.0</v>
      </c>
      <c r="B5427" s="15">
        <v>0.16</v>
      </c>
      <c r="C5427" s="15">
        <v>0.03</v>
      </c>
      <c r="D5427" s="15"/>
      <c r="E5427" s="15"/>
      <c r="F5427" s="15">
        <f t="shared" si="1"/>
        <v>-0.13</v>
      </c>
      <c r="G5427" s="15">
        <f t="shared" si="2"/>
        <v>0.03</v>
      </c>
      <c r="H5427" s="16">
        <v>0.0</v>
      </c>
      <c r="I5427" s="15">
        <f t="shared" si="3"/>
        <v>-0.13</v>
      </c>
      <c r="J5427" s="15">
        <v>29.18</v>
      </c>
      <c r="K5427" s="16">
        <f>IF(COUNTIFS(Release_Calendar!$A$2:$A$755,"US_CPI",Release_Calendar!$B$2:$B$755,$A5427)&gt;0,1,0)</f>
        <v>0</v>
      </c>
      <c r="L5427" s="16">
        <f>IF(COUNTIFS(Release_Calendar!$A$2:$A$755,"US_NFP",Release_Calendar!$B$2:$B$755,$A5427)&gt;0,1,0)</f>
        <v>0</v>
      </c>
      <c r="M5427" s="16">
        <f>IF($A5427&lt;Notes!$B$5,"",IF(COUNTIFS(Release_Calendar!$A$2:$A$755,"NZ_CPI",Release_Calendar!$B$2:$B$755,$A5427)&gt;0,1,0))</f>
        <v>0</v>
      </c>
      <c r="N5427" s="16">
        <f>IF($A5427&lt;Notes!$B$5,"",IF(COUNTIFS(Release_Calendar!$A$2:$A$755,"NZ_GDP",Release_Calendar!$B$2:$B$755,$A5427)&gt;0,1,0))</f>
        <v>0</v>
      </c>
      <c r="O5427" s="16">
        <f>IF($A5427&lt;Notes!$B$5,"",IF(COUNTIFS(Release_Calendar!$A$2:$A$755,"NZ_LABOUR",Release_Calendar!$B$2:$B$755,$A5427)&gt;0,1,0))</f>
        <v>0</v>
      </c>
      <c r="P5427" s="16">
        <f t="shared" si="4"/>
        <v>0</v>
      </c>
    </row>
    <row r="5428" ht="15.75" customHeight="1">
      <c r="A5428" s="14">
        <v>44124.0</v>
      </c>
      <c r="B5428" s="15">
        <v>0.14</v>
      </c>
      <c r="C5428" s="15">
        <v>0.01</v>
      </c>
      <c r="D5428" s="15"/>
      <c r="E5428" s="15"/>
      <c r="F5428" s="15">
        <f t="shared" si="1"/>
        <v>-0.13</v>
      </c>
      <c r="G5428" s="15">
        <f t="shared" si="2"/>
        <v>0.01</v>
      </c>
      <c r="H5428" s="16">
        <v>0.0</v>
      </c>
      <c r="I5428" s="15">
        <f t="shared" si="3"/>
        <v>-0.13</v>
      </c>
      <c r="J5428" s="15">
        <v>29.35</v>
      </c>
      <c r="K5428" s="16">
        <f>IF(COUNTIFS(Release_Calendar!$A$2:$A$755,"US_CPI",Release_Calendar!$B$2:$B$755,$A5428)&gt;0,1,0)</f>
        <v>0</v>
      </c>
      <c r="L5428" s="16">
        <f>IF(COUNTIFS(Release_Calendar!$A$2:$A$755,"US_NFP",Release_Calendar!$B$2:$B$755,$A5428)&gt;0,1,0)</f>
        <v>0</v>
      </c>
      <c r="M5428" s="16">
        <f>IF($A5428&lt;Notes!$B$5,"",IF(COUNTIFS(Release_Calendar!$A$2:$A$755,"NZ_CPI",Release_Calendar!$B$2:$B$755,$A5428)&gt;0,1,0))</f>
        <v>0</v>
      </c>
      <c r="N5428" s="16">
        <f>IF($A5428&lt;Notes!$B$5,"",IF(COUNTIFS(Release_Calendar!$A$2:$A$755,"NZ_GDP",Release_Calendar!$B$2:$B$755,$A5428)&gt;0,1,0))</f>
        <v>0</v>
      </c>
      <c r="O5428" s="16">
        <f>IF($A5428&lt;Notes!$B$5,"",IF(COUNTIFS(Release_Calendar!$A$2:$A$755,"NZ_LABOUR",Release_Calendar!$B$2:$B$755,$A5428)&gt;0,1,0))</f>
        <v>0</v>
      </c>
      <c r="P5428" s="16">
        <f t="shared" si="4"/>
        <v>0</v>
      </c>
    </row>
    <row r="5429" ht="15.75" customHeight="1">
      <c r="A5429" s="14">
        <v>44125.0</v>
      </c>
      <c r="B5429" s="15">
        <v>0.14</v>
      </c>
      <c r="C5429" s="15">
        <v>0.01</v>
      </c>
      <c r="D5429" s="15"/>
      <c r="E5429" s="15"/>
      <c r="F5429" s="15">
        <f t="shared" si="1"/>
        <v>-0.13</v>
      </c>
      <c r="G5429" s="15">
        <f t="shared" si="2"/>
        <v>0.01</v>
      </c>
      <c r="H5429" s="16">
        <v>0.0</v>
      </c>
      <c r="I5429" s="15">
        <f t="shared" si="3"/>
        <v>-0.13</v>
      </c>
      <c r="J5429" s="15">
        <v>28.65</v>
      </c>
      <c r="K5429" s="16">
        <f>IF(COUNTIFS(Release_Calendar!$A$2:$A$755,"US_CPI",Release_Calendar!$B$2:$B$755,$A5429)&gt;0,1,0)</f>
        <v>0</v>
      </c>
      <c r="L5429" s="16">
        <f>IF(COUNTIFS(Release_Calendar!$A$2:$A$755,"US_NFP",Release_Calendar!$B$2:$B$755,$A5429)&gt;0,1,0)</f>
        <v>0</v>
      </c>
      <c r="M5429" s="16">
        <f>IF($A5429&lt;Notes!$B$5,"",IF(COUNTIFS(Release_Calendar!$A$2:$A$755,"NZ_CPI",Release_Calendar!$B$2:$B$755,$A5429)&gt;0,1,0))</f>
        <v>0</v>
      </c>
      <c r="N5429" s="16">
        <f>IF($A5429&lt;Notes!$B$5,"",IF(COUNTIFS(Release_Calendar!$A$2:$A$755,"NZ_GDP",Release_Calendar!$B$2:$B$755,$A5429)&gt;0,1,0))</f>
        <v>0</v>
      </c>
      <c r="O5429" s="16">
        <f>IF($A5429&lt;Notes!$B$5,"",IF(COUNTIFS(Release_Calendar!$A$2:$A$755,"NZ_LABOUR",Release_Calendar!$B$2:$B$755,$A5429)&gt;0,1,0))</f>
        <v>0</v>
      </c>
      <c r="P5429" s="16">
        <f t="shared" si="4"/>
        <v>0</v>
      </c>
    </row>
    <row r="5430" ht="15.75" customHeight="1">
      <c r="A5430" s="14">
        <v>44126.0</v>
      </c>
      <c r="B5430" s="15">
        <v>0.16</v>
      </c>
      <c r="C5430" s="15">
        <v>0.01</v>
      </c>
      <c r="D5430" s="15"/>
      <c r="E5430" s="15"/>
      <c r="F5430" s="15">
        <f t="shared" si="1"/>
        <v>-0.15</v>
      </c>
      <c r="G5430" s="15">
        <f t="shared" si="2"/>
        <v>0.01</v>
      </c>
      <c r="H5430" s="16">
        <v>0.0</v>
      </c>
      <c r="I5430" s="15">
        <f t="shared" si="3"/>
        <v>-0.15</v>
      </c>
      <c r="J5430" s="15">
        <v>28.11</v>
      </c>
      <c r="K5430" s="16">
        <f>IF(COUNTIFS(Release_Calendar!$A$2:$A$755,"US_CPI",Release_Calendar!$B$2:$B$755,$A5430)&gt;0,1,0)</f>
        <v>0</v>
      </c>
      <c r="L5430" s="16">
        <f>IF(COUNTIFS(Release_Calendar!$A$2:$A$755,"US_NFP",Release_Calendar!$B$2:$B$755,$A5430)&gt;0,1,0)</f>
        <v>0</v>
      </c>
      <c r="M5430" s="16">
        <f>IF($A5430&lt;Notes!$B$5,"",IF(COUNTIFS(Release_Calendar!$A$2:$A$755,"NZ_CPI",Release_Calendar!$B$2:$B$755,$A5430)&gt;0,1,0))</f>
        <v>0</v>
      </c>
      <c r="N5430" s="16">
        <f>IF($A5430&lt;Notes!$B$5,"",IF(COUNTIFS(Release_Calendar!$A$2:$A$755,"NZ_GDP",Release_Calendar!$B$2:$B$755,$A5430)&gt;0,1,0))</f>
        <v>0</v>
      </c>
      <c r="O5430" s="16">
        <f>IF($A5430&lt;Notes!$B$5,"",IF(COUNTIFS(Release_Calendar!$A$2:$A$755,"NZ_LABOUR",Release_Calendar!$B$2:$B$755,$A5430)&gt;0,1,0))</f>
        <v>0</v>
      </c>
      <c r="P5430" s="16">
        <f t="shared" si="4"/>
        <v>0</v>
      </c>
    </row>
    <row r="5431" ht="15.75" customHeight="1">
      <c r="A5431" s="14">
        <v>44127.0</v>
      </c>
      <c r="B5431" s="15">
        <v>0.18</v>
      </c>
      <c r="C5431" s="15">
        <v>0.01</v>
      </c>
      <c r="D5431" s="15"/>
      <c r="E5431" s="15"/>
      <c r="F5431" s="15">
        <f t="shared" si="1"/>
        <v>-0.17</v>
      </c>
      <c r="G5431" s="15">
        <f t="shared" si="2"/>
        <v>0.01</v>
      </c>
      <c r="H5431" s="16">
        <v>0.0</v>
      </c>
      <c r="I5431" s="15">
        <f t="shared" si="3"/>
        <v>-0.17</v>
      </c>
      <c r="J5431" s="15">
        <v>27.55</v>
      </c>
      <c r="K5431" s="16">
        <f>IF(COUNTIFS(Release_Calendar!$A$2:$A$755,"US_CPI",Release_Calendar!$B$2:$B$755,$A5431)&gt;0,1,0)</f>
        <v>0</v>
      </c>
      <c r="L5431" s="16">
        <f>IF(COUNTIFS(Release_Calendar!$A$2:$A$755,"US_NFP",Release_Calendar!$B$2:$B$755,$A5431)&gt;0,1,0)</f>
        <v>0</v>
      </c>
      <c r="M5431" s="16">
        <f>IF($A5431&lt;Notes!$B$5,"",IF(COUNTIFS(Release_Calendar!$A$2:$A$755,"NZ_CPI",Release_Calendar!$B$2:$B$755,$A5431)&gt;0,1,0))</f>
        <v>1</v>
      </c>
      <c r="N5431" s="16">
        <f>IF($A5431&lt;Notes!$B$5,"",IF(COUNTIFS(Release_Calendar!$A$2:$A$755,"NZ_GDP",Release_Calendar!$B$2:$B$755,$A5431)&gt;0,1,0))</f>
        <v>0</v>
      </c>
      <c r="O5431" s="16">
        <f>IF($A5431&lt;Notes!$B$5,"",IF(COUNTIFS(Release_Calendar!$A$2:$A$755,"NZ_LABOUR",Release_Calendar!$B$2:$B$755,$A5431)&gt;0,1,0))</f>
        <v>0</v>
      </c>
      <c r="P5431" s="16">
        <f t="shared" si="4"/>
        <v>1</v>
      </c>
    </row>
    <row r="5432" ht="15.75" customHeight="1">
      <c r="A5432" s="14">
        <v>44130.0</v>
      </c>
      <c r="B5432" s="15">
        <v>0.16</v>
      </c>
      <c r="C5432" s="15"/>
      <c r="D5432" s="15"/>
      <c r="E5432" s="15"/>
      <c r="F5432" s="15" t="str">
        <f t="shared" si="1"/>
        <v/>
      </c>
      <c r="G5432" s="15" t="str">
        <f t="shared" si="2"/>
        <v/>
      </c>
      <c r="H5432" s="16">
        <v>0.0</v>
      </c>
      <c r="I5432" s="15" t="str">
        <f t="shared" si="3"/>
        <v/>
      </c>
      <c r="J5432" s="15">
        <v>32.46</v>
      </c>
      <c r="K5432" s="16">
        <f>IF(COUNTIFS(Release_Calendar!$A$2:$A$755,"US_CPI",Release_Calendar!$B$2:$B$755,$A5432)&gt;0,1,0)</f>
        <v>0</v>
      </c>
      <c r="L5432" s="16">
        <f>IF(COUNTIFS(Release_Calendar!$A$2:$A$755,"US_NFP",Release_Calendar!$B$2:$B$755,$A5432)&gt;0,1,0)</f>
        <v>0</v>
      </c>
      <c r="M5432" s="16">
        <f>IF($A5432&lt;Notes!$B$5,"",IF(COUNTIFS(Release_Calendar!$A$2:$A$755,"NZ_CPI",Release_Calendar!$B$2:$B$755,$A5432)&gt;0,1,0))</f>
        <v>0</v>
      </c>
      <c r="N5432" s="16">
        <f>IF($A5432&lt;Notes!$B$5,"",IF(COUNTIFS(Release_Calendar!$A$2:$A$755,"NZ_GDP",Release_Calendar!$B$2:$B$755,$A5432)&gt;0,1,0))</f>
        <v>0</v>
      </c>
      <c r="O5432" s="16">
        <f>IF($A5432&lt;Notes!$B$5,"",IF(COUNTIFS(Release_Calendar!$A$2:$A$755,"NZ_LABOUR",Release_Calendar!$B$2:$B$755,$A5432)&gt;0,1,0))</f>
        <v>0</v>
      </c>
      <c r="P5432" s="16">
        <f t="shared" si="4"/>
        <v>0</v>
      </c>
    </row>
    <row r="5433" ht="15.75" customHeight="1">
      <c r="A5433" s="14">
        <v>44131.0</v>
      </c>
      <c r="B5433" s="15">
        <v>0.16</v>
      </c>
      <c r="C5433" s="15">
        <v>0.0</v>
      </c>
      <c r="D5433" s="15"/>
      <c r="E5433" s="15"/>
      <c r="F5433" s="15">
        <f t="shared" si="1"/>
        <v>-0.16</v>
      </c>
      <c r="G5433" s="15">
        <f t="shared" si="2"/>
        <v>0</v>
      </c>
      <c r="H5433" s="16">
        <v>0.0</v>
      </c>
      <c r="I5433" s="15">
        <f t="shared" si="3"/>
        <v>-0.16</v>
      </c>
      <c r="J5433" s="15">
        <v>33.35</v>
      </c>
      <c r="K5433" s="16">
        <f>IF(COUNTIFS(Release_Calendar!$A$2:$A$755,"US_CPI",Release_Calendar!$B$2:$B$755,$A5433)&gt;0,1,0)</f>
        <v>0</v>
      </c>
      <c r="L5433" s="16">
        <f>IF(COUNTIFS(Release_Calendar!$A$2:$A$755,"US_NFP",Release_Calendar!$B$2:$B$755,$A5433)&gt;0,1,0)</f>
        <v>0</v>
      </c>
      <c r="M5433" s="16">
        <f>IF($A5433&lt;Notes!$B$5,"",IF(COUNTIFS(Release_Calendar!$A$2:$A$755,"NZ_CPI",Release_Calendar!$B$2:$B$755,$A5433)&gt;0,1,0))</f>
        <v>0</v>
      </c>
      <c r="N5433" s="16">
        <f>IF($A5433&lt;Notes!$B$5,"",IF(COUNTIFS(Release_Calendar!$A$2:$A$755,"NZ_GDP",Release_Calendar!$B$2:$B$755,$A5433)&gt;0,1,0))</f>
        <v>0</v>
      </c>
      <c r="O5433" s="16">
        <f>IF($A5433&lt;Notes!$B$5,"",IF(COUNTIFS(Release_Calendar!$A$2:$A$755,"NZ_LABOUR",Release_Calendar!$B$2:$B$755,$A5433)&gt;0,1,0))</f>
        <v>0</v>
      </c>
      <c r="P5433" s="16">
        <f t="shared" si="4"/>
        <v>0</v>
      </c>
    </row>
    <row r="5434" ht="15.75" customHeight="1">
      <c r="A5434" s="14">
        <v>44132.0</v>
      </c>
      <c r="B5434" s="15">
        <v>0.16</v>
      </c>
      <c r="C5434" s="15">
        <v>0.0</v>
      </c>
      <c r="D5434" s="15"/>
      <c r="E5434" s="15"/>
      <c r="F5434" s="15">
        <f t="shared" si="1"/>
        <v>-0.16</v>
      </c>
      <c r="G5434" s="15">
        <f t="shared" si="2"/>
        <v>0</v>
      </c>
      <c r="H5434" s="16">
        <v>0.0</v>
      </c>
      <c r="I5434" s="15">
        <f t="shared" si="3"/>
        <v>-0.16</v>
      </c>
      <c r="J5434" s="15">
        <v>40.28</v>
      </c>
      <c r="K5434" s="16">
        <f>IF(COUNTIFS(Release_Calendar!$A$2:$A$755,"US_CPI",Release_Calendar!$B$2:$B$755,$A5434)&gt;0,1,0)</f>
        <v>0</v>
      </c>
      <c r="L5434" s="16">
        <f>IF(COUNTIFS(Release_Calendar!$A$2:$A$755,"US_NFP",Release_Calendar!$B$2:$B$755,$A5434)&gt;0,1,0)</f>
        <v>0</v>
      </c>
      <c r="M5434" s="16">
        <f>IF($A5434&lt;Notes!$B$5,"",IF(COUNTIFS(Release_Calendar!$A$2:$A$755,"NZ_CPI",Release_Calendar!$B$2:$B$755,$A5434)&gt;0,1,0))</f>
        <v>0</v>
      </c>
      <c r="N5434" s="16">
        <f>IF($A5434&lt;Notes!$B$5,"",IF(COUNTIFS(Release_Calendar!$A$2:$A$755,"NZ_GDP",Release_Calendar!$B$2:$B$755,$A5434)&gt;0,1,0))</f>
        <v>0</v>
      </c>
      <c r="O5434" s="16">
        <f>IF($A5434&lt;Notes!$B$5,"",IF(COUNTIFS(Release_Calendar!$A$2:$A$755,"NZ_LABOUR",Release_Calendar!$B$2:$B$755,$A5434)&gt;0,1,0))</f>
        <v>0</v>
      </c>
      <c r="P5434" s="16">
        <f t="shared" si="4"/>
        <v>0</v>
      </c>
    </row>
    <row r="5435" ht="15.75" customHeight="1">
      <c r="A5435" s="14">
        <v>44133.0</v>
      </c>
      <c r="B5435" s="15">
        <v>0.16</v>
      </c>
      <c r="C5435" s="15">
        <v>0.0</v>
      </c>
      <c r="D5435" s="15"/>
      <c r="E5435" s="15"/>
      <c r="F5435" s="15">
        <f t="shared" si="1"/>
        <v>-0.16</v>
      </c>
      <c r="G5435" s="15">
        <f t="shared" si="2"/>
        <v>0</v>
      </c>
      <c r="H5435" s="16">
        <v>0.0</v>
      </c>
      <c r="I5435" s="15">
        <f t="shared" si="3"/>
        <v>-0.16</v>
      </c>
      <c r="J5435" s="15">
        <v>37.59</v>
      </c>
      <c r="K5435" s="16">
        <f>IF(COUNTIFS(Release_Calendar!$A$2:$A$755,"US_CPI",Release_Calendar!$B$2:$B$755,$A5435)&gt;0,1,0)</f>
        <v>0</v>
      </c>
      <c r="L5435" s="16">
        <f>IF(COUNTIFS(Release_Calendar!$A$2:$A$755,"US_NFP",Release_Calendar!$B$2:$B$755,$A5435)&gt;0,1,0)</f>
        <v>0</v>
      </c>
      <c r="M5435" s="16">
        <f>IF($A5435&lt;Notes!$B$5,"",IF(COUNTIFS(Release_Calendar!$A$2:$A$755,"NZ_CPI",Release_Calendar!$B$2:$B$755,$A5435)&gt;0,1,0))</f>
        <v>0</v>
      </c>
      <c r="N5435" s="16">
        <f>IF($A5435&lt;Notes!$B$5,"",IF(COUNTIFS(Release_Calendar!$A$2:$A$755,"NZ_GDP",Release_Calendar!$B$2:$B$755,$A5435)&gt;0,1,0))</f>
        <v>0</v>
      </c>
      <c r="O5435" s="16">
        <f>IF($A5435&lt;Notes!$B$5,"",IF(COUNTIFS(Release_Calendar!$A$2:$A$755,"NZ_LABOUR",Release_Calendar!$B$2:$B$755,$A5435)&gt;0,1,0))</f>
        <v>0</v>
      </c>
      <c r="P5435" s="16">
        <f t="shared" si="4"/>
        <v>0</v>
      </c>
    </row>
    <row r="5436" ht="15.75" customHeight="1">
      <c r="A5436" s="14">
        <v>44134.0</v>
      </c>
      <c r="B5436" s="15">
        <v>0.14</v>
      </c>
      <c r="C5436" s="15">
        <v>0.0</v>
      </c>
      <c r="D5436" s="15"/>
      <c r="E5436" s="15"/>
      <c r="F5436" s="15">
        <f t="shared" si="1"/>
        <v>-0.14</v>
      </c>
      <c r="G5436" s="15">
        <f t="shared" si="2"/>
        <v>0</v>
      </c>
      <c r="H5436" s="16">
        <v>0.0</v>
      </c>
      <c r="I5436" s="15">
        <f t="shared" si="3"/>
        <v>-0.14</v>
      </c>
      <c r="J5436" s="15">
        <v>38.02</v>
      </c>
      <c r="K5436" s="16">
        <f>IF(COUNTIFS(Release_Calendar!$A$2:$A$755,"US_CPI",Release_Calendar!$B$2:$B$755,$A5436)&gt;0,1,0)</f>
        <v>0</v>
      </c>
      <c r="L5436" s="16">
        <f>IF(COUNTIFS(Release_Calendar!$A$2:$A$755,"US_NFP",Release_Calendar!$B$2:$B$755,$A5436)&gt;0,1,0)</f>
        <v>0</v>
      </c>
      <c r="M5436" s="16">
        <f>IF($A5436&lt;Notes!$B$5,"",IF(COUNTIFS(Release_Calendar!$A$2:$A$755,"NZ_CPI",Release_Calendar!$B$2:$B$755,$A5436)&gt;0,1,0))</f>
        <v>0</v>
      </c>
      <c r="N5436" s="16">
        <f>IF($A5436&lt;Notes!$B$5,"",IF(COUNTIFS(Release_Calendar!$A$2:$A$755,"NZ_GDP",Release_Calendar!$B$2:$B$755,$A5436)&gt;0,1,0))</f>
        <v>0</v>
      </c>
      <c r="O5436" s="16">
        <f>IF($A5436&lt;Notes!$B$5,"",IF(COUNTIFS(Release_Calendar!$A$2:$A$755,"NZ_LABOUR",Release_Calendar!$B$2:$B$755,$A5436)&gt;0,1,0))</f>
        <v>0</v>
      </c>
      <c r="P5436" s="16">
        <f t="shared" si="4"/>
        <v>0</v>
      </c>
    </row>
    <row r="5437" ht="15.75" customHeight="1">
      <c r="A5437" s="14">
        <v>44137.0</v>
      </c>
      <c r="B5437" s="15">
        <v>0.16</v>
      </c>
      <c r="C5437" s="15">
        <v>0.01</v>
      </c>
      <c r="D5437" s="15"/>
      <c r="E5437" s="15"/>
      <c r="F5437" s="15">
        <f t="shared" si="1"/>
        <v>-0.15</v>
      </c>
      <c r="G5437" s="15">
        <f t="shared" si="2"/>
        <v>0.01</v>
      </c>
      <c r="H5437" s="16">
        <v>0.0</v>
      </c>
      <c r="I5437" s="15">
        <f t="shared" si="3"/>
        <v>-0.15</v>
      </c>
      <c r="J5437" s="15">
        <v>37.13</v>
      </c>
      <c r="K5437" s="16">
        <f>IF(COUNTIFS(Release_Calendar!$A$2:$A$755,"US_CPI",Release_Calendar!$B$2:$B$755,$A5437)&gt;0,1,0)</f>
        <v>0</v>
      </c>
      <c r="L5437" s="16">
        <f>IF(COUNTIFS(Release_Calendar!$A$2:$A$755,"US_NFP",Release_Calendar!$B$2:$B$755,$A5437)&gt;0,1,0)</f>
        <v>0</v>
      </c>
      <c r="M5437" s="16">
        <f>IF($A5437&lt;Notes!$B$5,"",IF(COUNTIFS(Release_Calendar!$A$2:$A$755,"NZ_CPI",Release_Calendar!$B$2:$B$755,$A5437)&gt;0,1,0))</f>
        <v>0</v>
      </c>
      <c r="N5437" s="16">
        <f>IF($A5437&lt;Notes!$B$5,"",IF(COUNTIFS(Release_Calendar!$A$2:$A$755,"NZ_GDP",Release_Calendar!$B$2:$B$755,$A5437)&gt;0,1,0))</f>
        <v>0</v>
      </c>
      <c r="O5437" s="16">
        <f>IF($A5437&lt;Notes!$B$5,"",IF(COUNTIFS(Release_Calendar!$A$2:$A$755,"NZ_LABOUR",Release_Calendar!$B$2:$B$755,$A5437)&gt;0,1,0))</f>
        <v>0</v>
      </c>
      <c r="P5437" s="16">
        <f t="shared" si="4"/>
        <v>0</v>
      </c>
    </row>
    <row r="5438" ht="15.75" customHeight="1">
      <c r="A5438" s="14">
        <v>44138.0</v>
      </c>
      <c r="B5438" s="15">
        <v>0.17</v>
      </c>
      <c r="C5438" s="15">
        <v>0.0</v>
      </c>
      <c r="D5438" s="15"/>
      <c r="E5438" s="15"/>
      <c r="F5438" s="15">
        <f t="shared" si="1"/>
        <v>-0.17</v>
      </c>
      <c r="G5438" s="15">
        <f t="shared" si="2"/>
        <v>0</v>
      </c>
      <c r="H5438" s="16">
        <v>0.0</v>
      </c>
      <c r="I5438" s="15">
        <f t="shared" si="3"/>
        <v>-0.17</v>
      </c>
      <c r="J5438" s="15">
        <v>35.55</v>
      </c>
      <c r="K5438" s="16">
        <f>IF(COUNTIFS(Release_Calendar!$A$2:$A$755,"US_CPI",Release_Calendar!$B$2:$B$755,$A5438)&gt;0,1,0)</f>
        <v>0</v>
      </c>
      <c r="L5438" s="16">
        <f>IF(COUNTIFS(Release_Calendar!$A$2:$A$755,"US_NFP",Release_Calendar!$B$2:$B$755,$A5438)&gt;0,1,0)</f>
        <v>0</v>
      </c>
      <c r="M5438" s="16">
        <f>IF($A5438&lt;Notes!$B$5,"",IF(COUNTIFS(Release_Calendar!$A$2:$A$755,"NZ_CPI",Release_Calendar!$B$2:$B$755,$A5438)&gt;0,1,0))</f>
        <v>0</v>
      </c>
      <c r="N5438" s="16">
        <f>IF($A5438&lt;Notes!$B$5,"",IF(COUNTIFS(Release_Calendar!$A$2:$A$755,"NZ_GDP",Release_Calendar!$B$2:$B$755,$A5438)&gt;0,1,0))</f>
        <v>0</v>
      </c>
      <c r="O5438" s="16">
        <f>IF($A5438&lt;Notes!$B$5,"",IF(COUNTIFS(Release_Calendar!$A$2:$A$755,"NZ_LABOUR",Release_Calendar!$B$2:$B$755,$A5438)&gt;0,1,0))</f>
        <v>0</v>
      </c>
      <c r="P5438" s="16">
        <f t="shared" si="4"/>
        <v>0</v>
      </c>
    </row>
    <row r="5439" ht="15.75" customHeight="1">
      <c r="A5439" s="14">
        <v>44139.0</v>
      </c>
      <c r="B5439" s="15">
        <v>0.14</v>
      </c>
      <c r="C5439" s="15">
        <v>0.01</v>
      </c>
      <c r="D5439" s="15"/>
      <c r="E5439" s="15"/>
      <c r="F5439" s="15">
        <f t="shared" si="1"/>
        <v>-0.13</v>
      </c>
      <c r="G5439" s="15">
        <f t="shared" si="2"/>
        <v>0.01</v>
      </c>
      <c r="H5439" s="16">
        <v>0.0</v>
      </c>
      <c r="I5439" s="15">
        <f t="shared" si="3"/>
        <v>-0.13</v>
      </c>
      <c r="J5439" s="15">
        <v>29.57</v>
      </c>
      <c r="K5439" s="16">
        <f>IF(COUNTIFS(Release_Calendar!$A$2:$A$755,"US_CPI",Release_Calendar!$B$2:$B$755,$A5439)&gt;0,1,0)</f>
        <v>0</v>
      </c>
      <c r="L5439" s="16">
        <f>IF(COUNTIFS(Release_Calendar!$A$2:$A$755,"US_NFP",Release_Calendar!$B$2:$B$755,$A5439)&gt;0,1,0)</f>
        <v>0</v>
      </c>
      <c r="M5439" s="16">
        <f>IF($A5439&lt;Notes!$B$5,"",IF(COUNTIFS(Release_Calendar!$A$2:$A$755,"NZ_CPI",Release_Calendar!$B$2:$B$755,$A5439)&gt;0,1,0))</f>
        <v>0</v>
      </c>
      <c r="N5439" s="16">
        <f>IF($A5439&lt;Notes!$B$5,"",IF(COUNTIFS(Release_Calendar!$A$2:$A$755,"NZ_GDP",Release_Calendar!$B$2:$B$755,$A5439)&gt;0,1,0))</f>
        <v>0</v>
      </c>
      <c r="O5439" s="16">
        <f>IF($A5439&lt;Notes!$B$5,"",IF(COUNTIFS(Release_Calendar!$A$2:$A$755,"NZ_LABOUR",Release_Calendar!$B$2:$B$755,$A5439)&gt;0,1,0))</f>
        <v>1</v>
      </c>
      <c r="P5439" s="16">
        <f t="shared" si="4"/>
        <v>1</v>
      </c>
    </row>
    <row r="5440" ht="15.75" customHeight="1">
      <c r="A5440" s="14">
        <v>44140.0</v>
      </c>
      <c r="B5440" s="15">
        <v>0.14</v>
      </c>
      <c r="C5440" s="15">
        <v>0.0</v>
      </c>
      <c r="D5440" s="15"/>
      <c r="E5440" s="15"/>
      <c r="F5440" s="15">
        <f t="shared" si="1"/>
        <v>-0.14</v>
      </c>
      <c r="G5440" s="15">
        <f t="shared" si="2"/>
        <v>0</v>
      </c>
      <c r="H5440" s="16">
        <v>0.0</v>
      </c>
      <c r="I5440" s="15">
        <f t="shared" si="3"/>
        <v>-0.14</v>
      </c>
      <c r="J5440" s="15">
        <v>27.58</v>
      </c>
      <c r="K5440" s="16">
        <f>IF(COUNTIFS(Release_Calendar!$A$2:$A$755,"US_CPI",Release_Calendar!$B$2:$B$755,$A5440)&gt;0,1,0)</f>
        <v>0</v>
      </c>
      <c r="L5440" s="16">
        <f>IF(COUNTIFS(Release_Calendar!$A$2:$A$755,"US_NFP",Release_Calendar!$B$2:$B$755,$A5440)&gt;0,1,0)</f>
        <v>0</v>
      </c>
      <c r="M5440" s="16">
        <f>IF($A5440&lt;Notes!$B$5,"",IF(COUNTIFS(Release_Calendar!$A$2:$A$755,"NZ_CPI",Release_Calendar!$B$2:$B$755,$A5440)&gt;0,1,0))</f>
        <v>0</v>
      </c>
      <c r="N5440" s="16">
        <f>IF($A5440&lt;Notes!$B$5,"",IF(COUNTIFS(Release_Calendar!$A$2:$A$755,"NZ_GDP",Release_Calendar!$B$2:$B$755,$A5440)&gt;0,1,0))</f>
        <v>0</v>
      </c>
      <c r="O5440" s="16">
        <f>IF($A5440&lt;Notes!$B$5,"",IF(COUNTIFS(Release_Calendar!$A$2:$A$755,"NZ_LABOUR",Release_Calendar!$B$2:$B$755,$A5440)&gt;0,1,0))</f>
        <v>0</v>
      </c>
      <c r="P5440" s="16">
        <f t="shared" si="4"/>
        <v>0</v>
      </c>
    </row>
    <row r="5441" ht="15.75" customHeight="1">
      <c r="A5441" s="14">
        <v>44141.0</v>
      </c>
      <c r="B5441" s="15">
        <v>0.16</v>
      </c>
      <c r="C5441" s="15">
        <v>0.04</v>
      </c>
      <c r="D5441" s="15"/>
      <c r="E5441" s="15"/>
      <c r="F5441" s="15">
        <f t="shared" si="1"/>
        <v>-0.12</v>
      </c>
      <c r="G5441" s="15">
        <f t="shared" si="2"/>
        <v>0.04</v>
      </c>
      <c r="H5441" s="16">
        <v>0.0</v>
      </c>
      <c r="I5441" s="15">
        <f t="shared" si="3"/>
        <v>-0.12</v>
      </c>
      <c r="J5441" s="15">
        <v>24.86</v>
      </c>
      <c r="K5441" s="16">
        <f>IF(COUNTIFS(Release_Calendar!$A$2:$A$755,"US_CPI",Release_Calendar!$B$2:$B$755,$A5441)&gt;0,1,0)</f>
        <v>0</v>
      </c>
      <c r="L5441" s="16">
        <f>IF(COUNTIFS(Release_Calendar!$A$2:$A$755,"US_NFP",Release_Calendar!$B$2:$B$755,$A5441)&gt;0,1,0)</f>
        <v>1</v>
      </c>
      <c r="M5441" s="16">
        <f>IF($A5441&lt;Notes!$B$5,"",IF(COUNTIFS(Release_Calendar!$A$2:$A$755,"NZ_CPI",Release_Calendar!$B$2:$B$755,$A5441)&gt;0,1,0))</f>
        <v>0</v>
      </c>
      <c r="N5441" s="16">
        <f>IF($A5441&lt;Notes!$B$5,"",IF(COUNTIFS(Release_Calendar!$A$2:$A$755,"NZ_GDP",Release_Calendar!$B$2:$B$755,$A5441)&gt;0,1,0))</f>
        <v>0</v>
      </c>
      <c r="O5441" s="16">
        <f>IF($A5441&lt;Notes!$B$5,"",IF(COUNTIFS(Release_Calendar!$A$2:$A$755,"NZ_LABOUR",Release_Calendar!$B$2:$B$755,$A5441)&gt;0,1,0))</f>
        <v>0</v>
      </c>
      <c r="P5441" s="16">
        <f t="shared" si="4"/>
        <v>1</v>
      </c>
    </row>
    <row r="5442" ht="15.75" customHeight="1">
      <c r="A5442" s="14">
        <v>44144.0</v>
      </c>
      <c r="B5442" s="15">
        <v>0.17</v>
      </c>
      <c r="C5442" s="15">
        <v>0.04</v>
      </c>
      <c r="D5442" s="15"/>
      <c r="E5442" s="15"/>
      <c r="F5442" s="15">
        <f t="shared" si="1"/>
        <v>-0.13</v>
      </c>
      <c r="G5442" s="15">
        <f t="shared" si="2"/>
        <v>0.04</v>
      </c>
      <c r="H5442" s="16">
        <v>0.0</v>
      </c>
      <c r="I5442" s="15">
        <f t="shared" si="3"/>
        <v>-0.13</v>
      </c>
      <c r="J5442" s="15">
        <v>25.75</v>
      </c>
      <c r="K5442" s="16">
        <f>IF(COUNTIFS(Release_Calendar!$A$2:$A$755,"US_CPI",Release_Calendar!$B$2:$B$755,$A5442)&gt;0,1,0)</f>
        <v>0</v>
      </c>
      <c r="L5442" s="16">
        <f>IF(COUNTIFS(Release_Calendar!$A$2:$A$755,"US_NFP",Release_Calendar!$B$2:$B$755,$A5442)&gt;0,1,0)</f>
        <v>0</v>
      </c>
      <c r="M5442" s="16">
        <f>IF($A5442&lt;Notes!$B$5,"",IF(COUNTIFS(Release_Calendar!$A$2:$A$755,"NZ_CPI",Release_Calendar!$B$2:$B$755,$A5442)&gt;0,1,0))</f>
        <v>0</v>
      </c>
      <c r="N5442" s="16">
        <f>IF($A5442&lt;Notes!$B$5,"",IF(COUNTIFS(Release_Calendar!$A$2:$A$755,"NZ_GDP",Release_Calendar!$B$2:$B$755,$A5442)&gt;0,1,0))</f>
        <v>0</v>
      </c>
      <c r="O5442" s="16">
        <f>IF($A5442&lt;Notes!$B$5,"",IF(COUNTIFS(Release_Calendar!$A$2:$A$755,"NZ_LABOUR",Release_Calendar!$B$2:$B$755,$A5442)&gt;0,1,0))</f>
        <v>0</v>
      </c>
      <c r="P5442" s="16">
        <f t="shared" si="4"/>
        <v>0</v>
      </c>
    </row>
    <row r="5443" ht="15.75" customHeight="1">
      <c r="A5443" s="14">
        <v>44145.0</v>
      </c>
      <c r="B5443" s="15">
        <v>0.19</v>
      </c>
      <c r="C5443" s="15">
        <v>0.09</v>
      </c>
      <c r="D5443" s="15"/>
      <c r="E5443" s="15"/>
      <c r="F5443" s="15">
        <f t="shared" si="1"/>
        <v>-0.1</v>
      </c>
      <c r="G5443" s="15">
        <f t="shared" si="2"/>
        <v>0.09</v>
      </c>
      <c r="H5443" s="16">
        <v>0.0</v>
      </c>
      <c r="I5443" s="15">
        <f t="shared" si="3"/>
        <v>-0.1</v>
      </c>
      <c r="J5443" s="15">
        <v>24.8</v>
      </c>
      <c r="K5443" s="16">
        <f>IF(COUNTIFS(Release_Calendar!$A$2:$A$755,"US_CPI",Release_Calendar!$B$2:$B$755,$A5443)&gt;0,1,0)</f>
        <v>0</v>
      </c>
      <c r="L5443" s="16">
        <f>IF(COUNTIFS(Release_Calendar!$A$2:$A$755,"US_NFP",Release_Calendar!$B$2:$B$755,$A5443)&gt;0,1,0)</f>
        <v>0</v>
      </c>
      <c r="M5443" s="16">
        <f>IF($A5443&lt;Notes!$B$5,"",IF(COUNTIFS(Release_Calendar!$A$2:$A$755,"NZ_CPI",Release_Calendar!$B$2:$B$755,$A5443)&gt;0,1,0))</f>
        <v>0</v>
      </c>
      <c r="N5443" s="16">
        <f>IF($A5443&lt;Notes!$B$5,"",IF(COUNTIFS(Release_Calendar!$A$2:$A$755,"NZ_GDP",Release_Calendar!$B$2:$B$755,$A5443)&gt;0,1,0))</f>
        <v>0</v>
      </c>
      <c r="O5443" s="16">
        <f>IF($A5443&lt;Notes!$B$5,"",IF(COUNTIFS(Release_Calendar!$A$2:$A$755,"NZ_LABOUR",Release_Calendar!$B$2:$B$755,$A5443)&gt;0,1,0))</f>
        <v>0</v>
      </c>
      <c r="P5443" s="16">
        <f t="shared" si="4"/>
        <v>0</v>
      </c>
    </row>
    <row r="5444" ht="15.75" customHeight="1">
      <c r="A5444" s="14">
        <v>44146.0</v>
      </c>
      <c r="B5444" s="15"/>
      <c r="C5444" s="15">
        <v>0.2</v>
      </c>
      <c r="D5444" s="15"/>
      <c r="E5444" s="15"/>
      <c r="F5444" s="15" t="str">
        <f t="shared" si="1"/>
        <v/>
      </c>
      <c r="G5444" s="15">
        <f t="shared" si="2"/>
        <v>0.2</v>
      </c>
      <c r="H5444" s="16">
        <v>0.0</v>
      </c>
      <c r="I5444" s="15" t="str">
        <f t="shared" si="3"/>
        <v/>
      </c>
      <c r="J5444" s="15">
        <v>23.45</v>
      </c>
      <c r="K5444" s="16">
        <f>IF(COUNTIFS(Release_Calendar!$A$2:$A$755,"US_CPI",Release_Calendar!$B$2:$B$755,$A5444)&gt;0,1,0)</f>
        <v>0</v>
      </c>
      <c r="L5444" s="16">
        <f>IF(COUNTIFS(Release_Calendar!$A$2:$A$755,"US_NFP",Release_Calendar!$B$2:$B$755,$A5444)&gt;0,1,0)</f>
        <v>0</v>
      </c>
      <c r="M5444" s="16">
        <f>IF($A5444&lt;Notes!$B$5,"",IF(COUNTIFS(Release_Calendar!$A$2:$A$755,"NZ_CPI",Release_Calendar!$B$2:$B$755,$A5444)&gt;0,1,0))</f>
        <v>0</v>
      </c>
      <c r="N5444" s="16">
        <f>IF($A5444&lt;Notes!$B$5,"",IF(COUNTIFS(Release_Calendar!$A$2:$A$755,"NZ_GDP",Release_Calendar!$B$2:$B$755,$A5444)&gt;0,1,0))</f>
        <v>0</v>
      </c>
      <c r="O5444" s="16">
        <f>IF($A5444&lt;Notes!$B$5,"",IF(COUNTIFS(Release_Calendar!$A$2:$A$755,"NZ_LABOUR",Release_Calendar!$B$2:$B$755,$A5444)&gt;0,1,0))</f>
        <v>0</v>
      </c>
      <c r="P5444" s="16">
        <f t="shared" si="4"/>
        <v>0</v>
      </c>
    </row>
    <row r="5445" ht="15.75" customHeight="1">
      <c r="A5445" s="14">
        <v>44147.0</v>
      </c>
      <c r="B5445" s="15">
        <v>0.17</v>
      </c>
      <c r="C5445" s="15">
        <v>0.2</v>
      </c>
      <c r="D5445" s="15"/>
      <c r="E5445" s="15"/>
      <c r="F5445" s="15">
        <f t="shared" si="1"/>
        <v>0.03</v>
      </c>
      <c r="G5445" s="15">
        <f t="shared" si="2"/>
        <v>0.2</v>
      </c>
      <c r="H5445" s="16">
        <v>0.0</v>
      </c>
      <c r="I5445" s="15">
        <f t="shared" si="3"/>
        <v>0.03</v>
      </c>
      <c r="J5445" s="15">
        <v>25.35</v>
      </c>
      <c r="K5445" s="16">
        <f>IF(COUNTIFS(Release_Calendar!$A$2:$A$755,"US_CPI",Release_Calendar!$B$2:$B$755,$A5445)&gt;0,1,0)</f>
        <v>1</v>
      </c>
      <c r="L5445" s="16">
        <f>IF(COUNTIFS(Release_Calendar!$A$2:$A$755,"US_NFP",Release_Calendar!$B$2:$B$755,$A5445)&gt;0,1,0)</f>
        <v>0</v>
      </c>
      <c r="M5445" s="16">
        <f>IF($A5445&lt;Notes!$B$5,"",IF(COUNTIFS(Release_Calendar!$A$2:$A$755,"NZ_CPI",Release_Calendar!$B$2:$B$755,$A5445)&gt;0,1,0))</f>
        <v>0</v>
      </c>
      <c r="N5445" s="16">
        <f>IF($A5445&lt;Notes!$B$5,"",IF(COUNTIFS(Release_Calendar!$A$2:$A$755,"NZ_GDP",Release_Calendar!$B$2:$B$755,$A5445)&gt;0,1,0))</f>
        <v>0</v>
      </c>
      <c r="O5445" s="16">
        <f>IF($A5445&lt;Notes!$B$5,"",IF(COUNTIFS(Release_Calendar!$A$2:$A$755,"NZ_LABOUR",Release_Calendar!$B$2:$B$755,$A5445)&gt;0,1,0))</f>
        <v>0</v>
      </c>
      <c r="P5445" s="16">
        <f t="shared" si="4"/>
        <v>1</v>
      </c>
    </row>
    <row r="5446" ht="15.75" customHeight="1">
      <c r="A5446" s="14">
        <v>44148.0</v>
      </c>
      <c r="B5446" s="15">
        <v>0.17</v>
      </c>
      <c r="C5446" s="15">
        <v>0.18</v>
      </c>
      <c r="D5446" s="15"/>
      <c r="E5446" s="15"/>
      <c r="F5446" s="15">
        <f t="shared" si="1"/>
        <v>0.01</v>
      </c>
      <c r="G5446" s="15">
        <f t="shared" si="2"/>
        <v>0.18</v>
      </c>
      <c r="H5446" s="16">
        <v>0.0</v>
      </c>
      <c r="I5446" s="15">
        <f t="shared" si="3"/>
        <v>0.01</v>
      </c>
      <c r="J5446" s="15">
        <v>23.1</v>
      </c>
      <c r="K5446" s="16">
        <f>IF(COUNTIFS(Release_Calendar!$A$2:$A$755,"US_CPI",Release_Calendar!$B$2:$B$755,$A5446)&gt;0,1,0)</f>
        <v>0</v>
      </c>
      <c r="L5446" s="16">
        <f>IF(COUNTIFS(Release_Calendar!$A$2:$A$755,"US_NFP",Release_Calendar!$B$2:$B$755,$A5446)&gt;0,1,0)</f>
        <v>0</v>
      </c>
      <c r="M5446" s="16">
        <f>IF($A5446&lt;Notes!$B$5,"",IF(COUNTIFS(Release_Calendar!$A$2:$A$755,"NZ_CPI",Release_Calendar!$B$2:$B$755,$A5446)&gt;0,1,0))</f>
        <v>0</v>
      </c>
      <c r="N5446" s="16">
        <f>IF($A5446&lt;Notes!$B$5,"",IF(COUNTIFS(Release_Calendar!$A$2:$A$755,"NZ_GDP",Release_Calendar!$B$2:$B$755,$A5446)&gt;0,1,0))</f>
        <v>0</v>
      </c>
      <c r="O5446" s="16">
        <f>IF($A5446&lt;Notes!$B$5,"",IF(COUNTIFS(Release_Calendar!$A$2:$A$755,"NZ_LABOUR",Release_Calendar!$B$2:$B$755,$A5446)&gt;0,1,0))</f>
        <v>0</v>
      </c>
      <c r="P5446" s="16">
        <f t="shared" si="4"/>
        <v>0</v>
      </c>
    </row>
    <row r="5447" ht="15.75" customHeight="1">
      <c r="A5447" s="14">
        <v>44151.0</v>
      </c>
      <c r="B5447" s="15">
        <v>0.19</v>
      </c>
      <c r="C5447" s="15">
        <v>0.19</v>
      </c>
      <c r="D5447" s="15"/>
      <c r="E5447" s="15"/>
      <c r="F5447" s="15">
        <f t="shared" si="1"/>
        <v>0</v>
      </c>
      <c r="G5447" s="15">
        <f t="shared" si="2"/>
        <v>0.19</v>
      </c>
      <c r="H5447" s="16">
        <v>0.0</v>
      </c>
      <c r="I5447" s="15">
        <f t="shared" si="3"/>
        <v>0</v>
      </c>
      <c r="J5447" s="15">
        <v>22.45</v>
      </c>
      <c r="K5447" s="16">
        <f>IF(COUNTIFS(Release_Calendar!$A$2:$A$755,"US_CPI",Release_Calendar!$B$2:$B$755,$A5447)&gt;0,1,0)</f>
        <v>0</v>
      </c>
      <c r="L5447" s="16">
        <f>IF(COUNTIFS(Release_Calendar!$A$2:$A$755,"US_NFP",Release_Calendar!$B$2:$B$755,$A5447)&gt;0,1,0)</f>
        <v>0</v>
      </c>
      <c r="M5447" s="16">
        <f>IF($A5447&lt;Notes!$B$5,"",IF(COUNTIFS(Release_Calendar!$A$2:$A$755,"NZ_CPI",Release_Calendar!$B$2:$B$755,$A5447)&gt;0,1,0))</f>
        <v>0</v>
      </c>
      <c r="N5447" s="16">
        <f>IF($A5447&lt;Notes!$B$5,"",IF(COUNTIFS(Release_Calendar!$A$2:$A$755,"NZ_GDP",Release_Calendar!$B$2:$B$755,$A5447)&gt;0,1,0))</f>
        <v>0</v>
      </c>
      <c r="O5447" s="16">
        <f>IF($A5447&lt;Notes!$B$5,"",IF(COUNTIFS(Release_Calendar!$A$2:$A$755,"NZ_LABOUR",Release_Calendar!$B$2:$B$755,$A5447)&gt;0,1,0))</f>
        <v>0</v>
      </c>
      <c r="P5447" s="16">
        <f t="shared" si="4"/>
        <v>0</v>
      </c>
    </row>
    <row r="5448" ht="15.75" customHeight="1">
      <c r="A5448" s="14">
        <v>44152.0</v>
      </c>
      <c r="B5448" s="15">
        <v>0.18</v>
      </c>
      <c r="C5448" s="15">
        <v>0.23</v>
      </c>
      <c r="D5448" s="15"/>
      <c r="E5448" s="15"/>
      <c r="F5448" s="15">
        <f t="shared" si="1"/>
        <v>0.05</v>
      </c>
      <c r="G5448" s="15">
        <f t="shared" si="2"/>
        <v>0.23</v>
      </c>
      <c r="H5448" s="16">
        <v>0.0</v>
      </c>
      <c r="I5448" s="15">
        <f t="shared" si="3"/>
        <v>0.05</v>
      </c>
      <c r="J5448" s="15">
        <v>22.71</v>
      </c>
      <c r="K5448" s="16">
        <f>IF(COUNTIFS(Release_Calendar!$A$2:$A$755,"US_CPI",Release_Calendar!$B$2:$B$755,$A5448)&gt;0,1,0)</f>
        <v>0</v>
      </c>
      <c r="L5448" s="16">
        <f>IF(COUNTIFS(Release_Calendar!$A$2:$A$755,"US_NFP",Release_Calendar!$B$2:$B$755,$A5448)&gt;0,1,0)</f>
        <v>0</v>
      </c>
      <c r="M5448" s="16">
        <f>IF($A5448&lt;Notes!$B$5,"",IF(COUNTIFS(Release_Calendar!$A$2:$A$755,"NZ_CPI",Release_Calendar!$B$2:$B$755,$A5448)&gt;0,1,0))</f>
        <v>0</v>
      </c>
      <c r="N5448" s="16">
        <f>IF($A5448&lt;Notes!$B$5,"",IF(COUNTIFS(Release_Calendar!$A$2:$A$755,"NZ_GDP",Release_Calendar!$B$2:$B$755,$A5448)&gt;0,1,0))</f>
        <v>0</v>
      </c>
      <c r="O5448" s="16">
        <f>IF($A5448&lt;Notes!$B$5,"",IF(COUNTIFS(Release_Calendar!$A$2:$A$755,"NZ_LABOUR",Release_Calendar!$B$2:$B$755,$A5448)&gt;0,1,0))</f>
        <v>0</v>
      </c>
      <c r="P5448" s="16">
        <f t="shared" si="4"/>
        <v>0</v>
      </c>
    </row>
    <row r="5449" ht="15.75" customHeight="1">
      <c r="A5449" s="14">
        <v>44153.0</v>
      </c>
      <c r="B5449" s="15">
        <v>0.16</v>
      </c>
      <c r="C5449" s="15">
        <v>0.2</v>
      </c>
      <c r="D5449" s="15"/>
      <c r="E5449" s="15"/>
      <c r="F5449" s="15">
        <f t="shared" si="1"/>
        <v>0.04</v>
      </c>
      <c r="G5449" s="15">
        <f t="shared" si="2"/>
        <v>0.2</v>
      </c>
      <c r="H5449" s="16">
        <v>0.0</v>
      </c>
      <c r="I5449" s="15">
        <f t="shared" si="3"/>
        <v>0.04</v>
      </c>
      <c r="J5449" s="15">
        <v>23.84</v>
      </c>
      <c r="K5449" s="16">
        <f>IF(COUNTIFS(Release_Calendar!$A$2:$A$755,"US_CPI",Release_Calendar!$B$2:$B$755,$A5449)&gt;0,1,0)</f>
        <v>0</v>
      </c>
      <c r="L5449" s="16">
        <f>IF(COUNTIFS(Release_Calendar!$A$2:$A$755,"US_NFP",Release_Calendar!$B$2:$B$755,$A5449)&gt;0,1,0)</f>
        <v>0</v>
      </c>
      <c r="M5449" s="16">
        <f>IF($A5449&lt;Notes!$B$5,"",IF(COUNTIFS(Release_Calendar!$A$2:$A$755,"NZ_CPI",Release_Calendar!$B$2:$B$755,$A5449)&gt;0,1,0))</f>
        <v>0</v>
      </c>
      <c r="N5449" s="16">
        <f>IF($A5449&lt;Notes!$B$5,"",IF(COUNTIFS(Release_Calendar!$A$2:$A$755,"NZ_GDP",Release_Calendar!$B$2:$B$755,$A5449)&gt;0,1,0))</f>
        <v>0</v>
      </c>
      <c r="O5449" s="16">
        <f>IF($A5449&lt;Notes!$B$5,"",IF(COUNTIFS(Release_Calendar!$A$2:$A$755,"NZ_LABOUR",Release_Calendar!$B$2:$B$755,$A5449)&gt;0,1,0))</f>
        <v>0</v>
      </c>
      <c r="P5449" s="16">
        <f t="shared" si="4"/>
        <v>0</v>
      </c>
    </row>
    <row r="5450" ht="15.75" customHeight="1">
      <c r="A5450" s="14">
        <v>44154.0</v>
      </c>
      <c r="B5450" s="15">
        <v>0.18</v>
      </c>
      <c r="C5450" s="15">
        <v>0.21</v>
      </c>
      <c r="D5450" s="15"/>
      <c r="E5450" s="15"/>
      <c r="F5450" s="15">
        <f t="shared" si="1"/>
        <v>0.03</v>
      </c>
      <c r="G5450" s="15">
        <f t="shared" si="2"/>
        <v>0.21</v>
      </c>
      <c r="H5450" s="16">
        <v>0.0</v>
      </c>
      <c r="I5450" s="15">
        <f t="shared" si="3"/>
        <v>0.03</v>
      </c>
      <c r="J5450" s="15">
        <v>23.11</v>
      </c>
      <c r="K5450" s="16">
        <f>IF(COUNTIFS(Release_Calendar!$A$2:$A$755,"US_CPI",Release_Calendar!$B$2:$B$755,$A5450)&gt;0,1,0)</f>
        <v>0</v>
      </c>
      <c r="L5450" s="16">
        <f>IF(COUNTIFS(Release_Calendar!$A$2:$A$755,"US_NFP",Release_Calendar!$B$2:$B$755,$A5450)&gt;0,1,0)</f>
        <v>0</v>
      </c>
      <c r="M5450" s="16">
        <f>IF($A5450&lt;Notes!$B$5,"",IF(COUNTIFS(Release_Calendar!$A$2:$A$755,"NZ_CPI",Release_Calendar!$B$2:$B$755,$A5450)&gt;0,1,0))</f>
        <v>0</v>
      </c>
      <c r="N5450" s="16">
        <f>IF($A5450&lt;Notes!$B$5,"",IF(COUNTIFS(Release_Calendar!$A$2:$A$755,"NZ_GDP",Release_Calendar!$B$2:$B$755,$A5450)&gt;0,1,0))</f>
        <v>0</v>
      </c>
      <c r="O5450" s="16">
        <f>IF($A5450&lt;Notes!$B$5,"",IF(COUNTIFS(Release_Calendar!$A$2:$A$755,"NZ_LABOUR",Release_Calendar!$B$2:$B$755,$A5450)&gt;0,1,0))</f>
        <v>0</v>
      </c>
      <c r="P5450" s="16">
        <f t="shared" si="4"/>
        <v>0</v>
      </c>
    </row>
    <row r="5451" ht="15.75" customHeight="1">
      <c r="A5451" s="14">
        <v>44155.0</v>
      </c>
      <c r="B5451" s="15">
        <v>0.16</v>
      </c>
      <c r="C5451" s="15">
        <v>0.21</v>
      </c>
      <c r="D5451" s="15"/>
      <c r="E5451" s="15">
        <v>0.16</v>
      </c>
      <c r="F5451" s="15">
        <f t="shared" si="1"/>
        <v>0.05</v>
      </c>
      <c r="G5451" s="15">
        <f t="shared" si="2"/>
        <v>0.21</v>
      </c>
      <c r="H5451" s="16">
        <v>0.0</v>
      </c>
      <c r="I5451" s="15">
        <f t="shared" si="3"/>
        <v>0.05</v>
      </c>
      <c r="J5451" s="15">
        <v>23.7</v>
      </c>
      <c r="K5451" s="16">
        <f>IF(COUNTIFS(Release_Calendar!$A$2:$A$755,"US_CPI",Release_Calendar!$B$2:$B$755,$A5451)&gt;0,1,0)</f>
        <v>0</v>
      </c>
      <c r="L5451" s="16">
        <f>IF(COUNTIFS(Release_Calendar!$A$2:$A$755,"US_NFP",Release_Calendar!$B$2:$B$755,$A5451)&gt;0,1,0)</f>
        <v>0</v>
      </c>
      <c r="M5451" s="16">
        <f>IF($A5451&lt;Notes!$B$5,"",IF(COUNTIFS(Release_Calendar!$A$2:$A$755,"NZ_CPI",Release_Calendar!$B$2:$B$755,$A5451)&gt;0,1,0))</f>
        <v>0</v>
      </c>
      <c r="N5451" s="16">
        <f>IF($A5451&lt;Notes!$B$5,"",IF(COUNTIFS(Release_Calendar!$A$2:$A$755,"NZ_GDP",Release_Calendar!$B$2:$B$755,$A5451)&gt;0,1,0))</f>
        <v>0</v>
      </c>
      <c r="O5451" s="16">
        <f>IF($A5451&lt;Notes!$B$5,"",IF(COUNTIFS(Release_Calendar!$A$2:$A$755,"NZ_LABOUR",Release_Calendar!$B$2:$B$755,$A5451)&gt;0,1,0))</f>
        <v>0</v>
      </c>
      <c r="P5451" s="16">
        <f t="shared" si="4"/>
        <v>0</v>
      </c>
    </row>
    <row r="5452" ht="15.75" customHeight="1">
      <c r="A5452" s="14">
        <v>44158.0</v>
      </c>
      <c r="B5452" s="15">
        <v>0.16</v>
      </c>
      <c r="C5452" s="15">
        <v>0.22</v>
      </c>
      <c r="D5452" s="15"/>
      <c r="E5452" s="15">
        <v>0.18</v>
      </c>
      <c r="F5452" s="15">
        <f t="shared" si="1"/>
        <v>0.06</v>
      </c>
      <c r="G5452" s="15">
        <f t="shared" si="2"/>
        <v>0.22</v>
      </c>
      <c r="H5452" s="16">
        <v>0.0</v>
      </c>
      <c r="I5452" s="15">
        <f t="shared" si="3"/>
        <v>0.06</v>
      </c>
      <c r="J5452" s="15">
        <v>22.66</v>
      </c>
      <c r="K5452" s="16">
        <f>IF(COUNTIFS(Release_Calendar!$A$2:$A$755,"US_CPI",Release_Calendar!$B$2:$B$755,$A5452)&gt;0,1,0)</f>
        <v>0</v>
      </c>
      <c r="L5452" s="16">
        <f>IF(COUNTIFS(Release_Calendar!$A$2:$A$755,"US_NFP",Release_Calendar!$B$2:$B$755,$A5452)&gt;0,1,0)</f>
        <v>0</v>
      </c>
      <c r="M5452" s="16">
        <f>IF($A5452&lt;Notes!$B$5,"",IF(COUNTIFS(Release_Calendar!$A$2:$A$755,"NZ_CPI",Release_Calendar!$B$2:$B$755,$A5452)&gt;0,1,0))</f>
        <v>0</v>
      </c>
      <c r="N5452" s="16">
        <f>IF($A5452&lt;Notes!$B$5,"",IF(COUNTIFS(Release_Calendar!$A$2:$A$755,"NZ_GDP",Release_Calendar!$B$2:$B$755,$A5452)&gt;0,1,0))</f>
        <v>0</v>
      </c>
      <c r="O5452" s="16">
        <f>IF($A5452&lt;Notes!$B$5,"",IF(COUNTIFS(Release_Calendar!$A$2:$A$755,"NZ_LABOUR",Release_Calendar!$B$2:$B$755,$A5452)&gt;0,1,0))</f>
        <v>0</v>
      </c>
      <c r="P5452" s="16">
        <f t="shared" si="4"/>
        <v>0</v>
      </c>
    </row>
    <row r="5453" ht="15.75" customHeight="1">
      <c r="A5453" s="14">
        <v>44159.0</v>
      </c>
      <c r="B5453" s="15">
        <v>0.16</v>
      </c>
      <c r="C5453" s="15">
        <v>0.3</v>
      </c>
      <c r="D5453" s="15"/>
      <c r="E5453" s="15">
        <v>0.26</v>
      </c>
      <c r="F5453" s="15">
        <f t="shared" si="1"/>
        <v>0.14</v>
      </c>
      <c r="G5453" s="15">
        <f t="shared" si="2"/>
        <v>0.3</v>
      </c>
      <c r="H5453" s="16">
        <v>0.0</v>
      </c>
      <c r="I5453" s="15">
        <f t="shared" si="3"/>
        <v>0.14</v>
      </c>
      <c r="J5453" s="15">
        <v>21.64</v>
      </c>
      <c r="K5453" s="16">
        <f>IF(COUNTIFS(Release_Calendar!$A$2:$A$755,"US_CPI",Release_Calendar!$B$2:$B$755,$A5453)&gt;0,1,0)</f>
        <v>0</v>
      </c>
      <c r="L5453" s="16">
        <f>IF(COUNTIFS(Release_Calendar!$A$2:$A$755,"US_NFP",Release_Calendar!$B$2:$B$755,$A5453)&gt;0,1,0)</f>
        <v>0</v>
      </c>
      <c r="M5453" s="16">
        <f>IF($A5453&lt;Notes!$B$5,"",IF(COUNTIFS(Release_Calendar!$A$2:$A$755,"NZ_CPI",Release_Calendar!$B$2:$B$755,$A5453)&gt;0,1,0))</f>
        <v>0</v>
      </c>
      <c r="N5453" s="16">
        <f>IF($A5453&lt;Notes!$B$5,"",IF(COUNTIFS(Release_Calendar!$A$2:$A$755,"NZ_GDP",Release_Calendar!$B$2:$B$755,$A5453)&gt;0,1,0))</f>
        <v>0</v>
      </c>
      <c r="O5453" s="16">
        <f>IF($A5453&lt;Notes!$B$5,"",IF(COUNTIFS(Release_Calendar!$A$2:$A$755,"NZ_LABOUR",Release_Calendar!$B$2:$B$755,$A5453)&gt;0,1,0))</f>
        <v>0</v>
      </c>
      <c r="P5453" s="16">
        <f t="shared" si="4"/>
        <v>0</v>
      </c>
    </row>
    <row r="5454" ht="15.75" customHeight="1">
      <c r="A5454" s="14">
        <v>44160.0</v>
      </c>
      <c r="B5454" s="15">
        <v>0.17</v>
      </c>
      <c r="C5454" s="15">
        <v>0.28</v>
      </c>
      <c r="D5454" s="15"/>
      <c r="E5454" s="15">
        <v>0.27</v>
      </c>
      <c r="F5454" s="15">
        <f t="shared" si="1"/>
        <v>0.11</v>
      </c>
      <c r="G5454" s="15">
        <f t="shared" si="2"/>
        <v>0.28</v>
      </c>
      <c r="H5454" s="16">
        <v>0.0</v>
      </c>
      <c r="I5454" s="15">
        <f t="shared" si="3"/>
        <v>0.11</v>
      </c>
      <c r="J5454" s="15">
        <v>21.25</v>
      </c>
      <c r="K5454" s="16">
        <f>IF(COUNTIFS(Release_Calendar!$A$2:$A$755,"US_CPI",Release_Calendar!$B$2:$B$755,$A5454)&gt;0,1,0)</f>
        <v>0</v>
      </c>
      <c r="L5454" s="16">
        <f>IF(COUNTIFS(Release_Calendar!$A$2:$A$755,"US_NFP",Release_Calendar!$B$2:$B$755,$A5454)&gt;0,1,0)</f>
        <v>0</v>
      </c>
      <c r="M5454" s="16">
        <f>IF($A5454&lt;Notes!$B$5,"",IF(COUNTIFS(Release_Calendar!$A$2:$A$755,"NZ_CPI",Release_Calendar!$B$2:$B$755,$A5454)&gt;0,1,0))</f>
        <v>0</v>
      </c>
      <c r="N5454" s="16">
        <f>IF($A5454&lt;Notes!$B$5,"",IF(COUNTIFS(Release_Calendar!$A$2:$A$755,"NZ_GDP",Release_Calendar!$B$2:$B$755,$A5454)&gt;0,1,0))</f>
        <v>0</v>
      </c>
      <c r="O5454" s="16">
        <f>IF($A5454&lt;Notes!$B$5,"",IF(COUNTIFS(Release_Calendar!$A$2:$A$755,"NZ_LABOUR",Release_Calendar!$B$2:$B$755,$A5454)&gt;0,1,0))</f>
        <v>0</v>
      </c>
      <c r="P5454" s="16">
        <f t="shared" si="4"/>
        <v>0</v>
      </c>
    </row>
    <row r="5455" ht="15.75" customHeight="1">
      <c r="A5455" s="14">
        <v>44161.0</v>
      </c>
      <c r="B5455" s="15"/>
      <c r="C5455" s="15">
        <v>0.26</v>
      </c>
      <c r="D5455" s="15"/>
      <c r="E5455" s="15">
        <v>0.23</v>
      </c>
      <c r="F5455" s="15" t="str">
        <f t="shared" si="1"/>
        <v/>
      </c>
      <c r="G5455" s="15">
        <f t="shared" si="2"/>
        <v>0.26</v>
      </c>
      <c r="H5455" s="16">
        <v>0.0</v>
      </c>
      <c r="I5455" s="15" t="str">
        <f t="shared" si="3"/>
        <v/>
      </c>
      <c r="J5455" s="15"/>
      <c r="K5455" s="16">
        <f>IF(COUNTIFS(Release_Calendar!$A$2:$A$755,"US_CPI",Release_Calendar!$B$2:$B$755,$A5455)&gt;0,1,0)</f>
        <v>0</v>
      </c>
      <c r="L5455" s="16">
        <f>IF(COUNTIFS(Release_Calendar!$A$2:$A$755,"US_NFP",Release_Calendar!$B$2:$B$755,$A5455)&gt;0,1,0)</f>
        <v>0</v>
      </c>
      <c r="M5455" s="16">
        <f>IF($A5455&lt;Notes!$B$5,"",IF(COUNTIFS(Release_Calendar!$A$2:$A$755,"NZ_CPI",Release_Calendar!$B$2:$B$755,$A5455)&gt;0,1,0))</f>
        <v>0</v>
      </c>
      <c r="N5455" s="16">
        <f>IF($A5455&lt;Notes!$B$5,"",IF(COUNTIFS(Release_Calendar!$A$2:$A$755,"NZ_GDP",Release_Calendar!$B$2:$B$755,$A5455)&gt;0,1,0))</f>
        <v>0</v>
      </c>
      <c r="O5455" s="16">
        <f>IF($A5455&lt;Notes!$B$5,"",IF(COUNTIFS(Release_Calendar!$A$2:$A$755,"NZ_LABOUR",Release_Calendar!$B$2:$B$755,$A5455)&gt;0,1,0))</f>
        <v>0</v>
      </c>
      <c r="P5455" s="16">
        <f t="shared" si="4"/>
        <v>0</v>
      </c>
    </row>
    <row r="5456" ht="15.75" customHeight="1">
      <c r="A5456" s="14">
        <v>44162.0</v>
      </c>
      <c r="B5456" s="15">
        <v>0.16</v>
      </c>
      <c r="C5456" s="15">
        <v>0.26</v>
      </c>
      <c r="D5456" s="15"/>
      <c r="E5456" s="15">
        <v>0.23</v>
      </c>
      <c r="F5456" s="15">
        <f t="shared" si="1"/>
        <v>0.1</v>
      </c>
      <c r="G5456" s="15">
        <f t="shared" si="2"/>
        <v>0.26</v>
      </c>
      <c r="H5456" s="16">
        <v>0.0</v>
      </c>
      <c r="I5456" s="15">
        <f t="shared" si="3"/>
        <v>0.1</v>
      </c>
      <c r="J5456" s="15">
        <v>20.84</v>
      </c>
      <c r="K5456" s="16">
        <f>IF(COUNTIFS(Release_Calendar!$A$2:$A$755,"US_CPI",Release_Calendar!$B$2:$B$755,$A5456)&gt;0,1,0)</f>
        <v>0</v>
      </c>
      <c r="L5456" s="16">
        <f>IF(COUNTIFS(Release_Calendar!$A$2:$A$755,"US_NFP",Release_Calendar!$B$2:$B$755,$A5456)&gt;0,1,0)</f>
        <v>0</v>
      </c>
      <c r="M5456" s="16">
        <f>IF($A5456&lt;Notes!$B$5,"",IF(COUNTIFS(Release_Calendar!$A$2:$A$755,"NZ_CPI",Release_Calendar!$B$2:$B$755,$A5456)&gt;0,1,0))</f>
        <v>0</v>
      </c>
      <c r="N5456" s="16">
        <f>IF($A5456&lt;Notes!$B$5,"",IF(COUNTIFS(Release_Calendar!$A$2:$A$755,"NZ_GDP",Release_Calendar!$B$2:$B$755,$A5456)&gt;0,1,0))</f>
        <v>0</v>
      </c>
      <c r="O5456" s="16">
        <f>IF($A5456&lt;Notes!$B$5,"",IF(COUNTIFS(Release_Calendar!$A$2:$A$755,"NZ_LABOUR",Release_Calendar!$B$2:$B$755,$A5456)&gt;0,1,0))</f>
        <v>0</v>
      </c>
      <c r="P5456" s="16">
        <f t="shared" si="4"/>
        <v>0</v>
      </c>
    </row>
    <row r="5457" ht="15.75" customHeight="1">
      <c r="A5457" s="14">
        <v>44165.0</v>
      </c>
      <c r="B5457" s="15">
        <v>0.16</v>
      </c>
      <c r="C5457" s="15">
        <v>0.24</v>
      </c>
      <c r="D5457" s="15"/>
      <c r="E5457" s="15">
        <v>0.2</v>
      </c>
      <c r="F5457" s="15">
        <f t="shared" si="1"/>
        <v>0.08</v>
      </c>
      <c r="G5457" s="15">
        <f t="shared" si="2"/>
        <v>0.24</v>
      </c>
      <c r="H5457" s="16">
        <v>0.0</v>
      </c>
      <c r="I5457" s="15">
        <f t="shared" si="3"/>
        <v>0.08</v>
      </c>
      <c r="J5457" s="15">
        <v>20.57</v>
      </c>
      <c r="K5457" s="16">
        <f>IF(COUNTIFS(Release_Calendar!$A$2:$A$755,"US_CPI",Release_Calendar!$B$2:$B$755,$A5457)&gt;0,1,0)</f>
        <v>0</v>
      </c>
      <c r="L5457" s="16">
        <f>IF(COUNTIFS(Release_Calendar!$A$2:$A$755,"US_NFP",Release_Calendar!$B$2:$B$755,$A5457)&gt;0,1,0)</f>
        <v>0</v>
      </c>
      <c r="M5457" s="16">
        <f>IF($A5457&lt;Notes!$B$5,"",IF(COUNTIFS(Release_Calendar!$A$2:$A$755,"NZ_CPI",Release_Calendar!$B$2:$B$755,$A5457)&gt;0,1,0))</f>
        <v>0</v>
      </c>
      <c r="N5457" s="16">
        <f>IF($A5457&lt;Notes!$B$5,"",IF(COUNTIFS(Release_Calendar!$A$2:$A$755,"NZ_GDP",Release_Calendar!$B$2:$B$755,$A5457)&gt;0,1,0))</f>
        <v>0</v>
      </c>
      <c r="O5457" s="16">
        <f>IF($A5457&lt;Notes!$B$5,"",IF(COUNTIFS(Release_Calendar!$A$2:$A$755,"NZ_LABOUR",Release_Calendar!$B$2:$B$755,$A5457)&gt;0,1,0))</f>
        <v>0</v>
      </c>
      <c r="P5457" s="16">
        <f t="shared" si="4"/>
        <v>0</v>
      </c>
    </row>
    <row r="5458" ht="15.75" customHeight="1">
      <c r="A5458" s="14">
        <v>44166.0</v>
      </c>
      <c r="B5458" s="15">
        <v>0.17</v>
      </c>
      <c r="C5458" s="15">
        <v>0.24</v>
      </c>
      <c r="D5458" s="15"/>
      <c r="E5458" s="15">
        <v>0.21</v>
      </c>
      <c r="F5458" s="15">
        <f t="shared" si="1"/>
        <v>0.07</v>
      </c>
      <c r="G5458" s="15">
        <f t="shared" si="2"/>
        <v>0.24</v>
      </c>
      <c r="H5458" s="16">
        <v>0.0</v>
      </c>
      <c r="I5458" s="15">
        <f t="shared" si="3"/>
        <v>0.07</v>
      </c>
      <c r="J5458" s="15">
        <v>20.77</v>
      </c>
      <c r="K5458" s="16">
        <f>IF(COUNTIFS(Release_Calendar!$A$2:$A$755,"US_CPI",Release_Calendar!$B$2:$B$755,$A5458)&gt;0,1,0)</f>
        <v>0</v>
      </c>
      <c r="L5458" s="16">
        <f>IF(COUNTIFS(Release_Calendar!$A$2:$A$755,"US_NFP",Release_Calendar!$B$2:$B$755,$A5458)&gt;0,1,0)</f>
        <v>0</v>
      </c>
      <c r="M5458" s="16">
        <f>IF($A5458&lt;Notes!$B$5,"",IF(COUNTIFS(Release_Calendar!$A$2:$A$755,"NZ_CPI",Release_Calendar!$B$2:$B$755,$A5458)&gt;0,1,0))</f>
        <v>0</v>
      </c>
      <c r="N5458" s="16">
        <f>IF($A5458&lt;Notes!$B$5,"",IF(COUNTIFS(Release_Calendar!$A$2:$A$755,"NZ_GDP",Release_Calendar!$B$2:$B$755,$A5458)&gt;0,1,0))</f>
        <v>0</v>
      </c>
      <c r="O5458" s="16">
        <f>IF($A5458&lt;Notes!$B$5,"",IF(COUNTIFS(Release_Calendar!$A$2:$A$755,"NZ_LABOUR",Release_Calendar!$B$2:$B$755,$A5458)&gt;0,1,0))</f>
        <v>0</v>
      </c>
      <c r="P5458" s="16">
        <f t="shared" si="4"/>
        <v>0</v>
      </c>
    </row>
    <row r="5459" ht="15.75" customHeight="1">
      <c r="A5459" s="14">
        <v>44167.0</v>
      </c>
      <c r="B5459" s="15">
        <v>0.16</v>
      </c>
      <c r="C5459" s="15">
        <v>0.25</v>
      </c>
      <c r="D5459" s="15"/>
      <c r="E5459" s="15">
        <v>0.23</v>
      </c>
      <c r="F5459" s="15">
        <f t="shared" si="1"/>
        <v>0.09</v>
      </c>
      <c r="G5459" s="15">
        <f t="shared" si="2"/>
        <v>0.25</v>
      </c>
      <c r="H5459" s="16">
        <v>0.0</v>
      </c>
      <c r="I5459" s="15">
        <f t="shared" si="3"/>
        <v>0.09</v>
      </c>
      <c r="J5459" s="15">
        <v>21.17</v>
      </c>
      <c r="K5459" s="16">
        <f>IF(COUNTIFS(Release_Calendar!$A$2:$A$755,"US_CPI",Release_Calendar!$B$2:$B$755,$A5459)&gt;0,1,0)</f>
        <v>0</v>
      </c>
      <c r="L5459" s="16">
        <f>IF(COUNTIFS(Release_Calendar!$A$2:$A$755,"US_NFP",Release_Calendar!$B$2:$B$755,$A5459)&gt;0,1,0)</f>
        <v>0</v>
      </c>
      <c r="M5459" s="16">
        <f>IF($A5459&lt;Notes!$B$5,"",IF(COUNTIFS(Release_Calendar!$A$2:$A$755,"NZ_CPI",Release_Calendar!$B$2:$B$755,$A5459)&gt;0,1,0))</f>
        <v>0</v>
      </c>
      <c r="N5459" s="16">
        <f>IF($A5459&lt;Notes!$B$5,"",IF(COUNTIFS(Release_Calendar!$A$2:$A$755,"NZ_GDP",Release_Calendar!$B$2:$B$755,$A5459)&gt;0,1,0))</f>
        <v>0</v>
      </c>
      <c r="O5459" s="16">
        <f>IF($A5459&lt;Notes!$B$5,"",IF(COUNTIFS(Release_Calendar!$A$2:$A$755,"NZ_LABOUR",Release_Calendar!$B$2:$B$755,$A5459)&gt;0,1,0))</f>
        <v>0</v>
      </c>
      <c r="P5459" s="16">
        <f t="shared" si="4"/>
        <v>0</v>
      </c>
    </row>
    <row r="5460" ht="15.75" customHeight="1">
      <c r="A5460" s="14">
        <v>44168.0</v>
      </c>
      <c r="B5460" s="15">
        <v>0.16</v>
      </c>
      <c r="C5460" s="15">
        <v>0.26</v>
      </c>
      <c r="D5460" s="15"/>
      <c r="E5460" s="15">
        <v>0.23</v>
      </c>
      <c r="F5460" s="15">
        <f t="shared" si="1"/>
        <v>0.1</v>
      </c>
      <c r="G5460" s="15">
        <f t="shared" si="2"/>
        <v>0.26</v>
      </c>
      <c r="H5460" s="16">
        <v>0.0</v>
      </c>
      <c r="I5460" s="15">
        <f t="shared" si="3"/>
        <v>0.1</v>
      </c>
      <c r="J5460" s="15">
        <v>21.28</v>
      </c>
      <c r="K5460" s="16">
        <f>IF(COUNTIFS(Release_Calendar!$A$2:$A$755,"US_CPI",Release_Calendar!$B$2:$B$755,$A5460)&gt;0,1,0)</f>
        <v>0</v>
      </c>
      <c r="L5460" s="16">
        <f>IF(COUNTIFS(Release_Calendar!$A$2:$A$755,"US_NFP",Release_Calendar!$B$2:$B$755,$A5460)&gt;0,1,0)</f>
        <v>0</v>
      </c>
      <c r="M5460" s="16">
        <f>IF($A5460&lt;Notes!$B$5,"",IF(COUNTIFS(Release_Calendar!$A$2:$A$755,"NZ_CPI",Release_Calendar!$B$2:$B$755,$A5460)&gt;0,1,0))</f>
        <v>0</v>
      </c>
      <c r="N5460" s="16">
        <f>IF($A5460&lt;Notes!$B$5,"",IF(COUNTIFS(Release_Calendar!$A$2:$A$755,"NZ_GDP",Release_Calendar!$B$2:$B$755,$A5460)&gt;0,1,0))</f>
        <v>0</v>
      </c>
      <c r="O5460" s="16">
        <f>IF($A5460&lt;Notes!$B$5,"",IF(COUNTIFS(Release_Calendar!$A$2:$A$755,"NZ_LABOUR",Release_Calendar!$B$2:$B$755,$A5460)&gt;0,1,0))</f>
        <v>0</v>
      </c>
      <c r="P5460" s="16">
        <f t="shared" si="4"/>
        <v>0</v>
      </c>
    </row>
    <row r="5461" ht="15.75" customHeight="1">
      <c r="A5461" s="14">
        <v>44169.0</v>
      </c>
      <c r="B5461" s="15">
        <v>0.16</v>
      </c>
      <c r="C5461" s="15">
        <v>0.26</v>
      </c>
      <c r="D5461" s="15"/>
      <c r="E5461" s="15">
        <v>0.23</v>
      </c>
      <c r="F5461" s="15">
        <f t="shared" si="1"/>
        <v>0.1</v>
      </c>
      <c r="G5461" s="15">
        <f t="shared" si="2"/>
        <v>0.26</v>
      </c>
      <c r="H5461" s="16">
        <v>0.0</v>
      </c>
      <c r="I5461" s="15">
        <f t="shared" si="3"/>
        <v>0.1</v>
      </c>
      <c r="J5461" s="15">
        <v>20.79</v>
      </c>
      <c r="K5461" s="16">
        <f>IF(COUNTIFS(Release_Calendar!$A$2:$A$755,"US_CPI",Release_Calendar!$B$2:$B$755,$A5461)&gt;0,1,0)</f>
        <v>0</v>
      </c>
      <c r="L5461" s="16">
        <f>IF(COUNTIFS(Release_Calendar!$A$2:$A$755,"US_NFP",Release_Calendar!$B$2:$B$755,$A5461)&gt;0,1,0)</f>
        <v>1</v>
      </c>
      <c r="M5461" s="16">
        <f>IF($A5461&lt;Notes!$B$5,"",IF(COUNTIFS(Release_Calendar!$A$2:$A$755,"NZ_CPI",Release_Calendar!$B$2:$B$755,$A5461)&gt;0,1,0))</f>
        <v>0</v>
      </c>
      <c r="N5461" s="16">
        <f>IF($A5461&lt;Notes!$B$5,"",IF(COUNTIFS(Release_Calendar!$A$2:$A$755,"NZ_GDP",Release_Calendar!$B$2:$B$755,$A5461)&gt;0,1,0))</f>
        <v>0</v>
      </c>
      <c r="O5461" s="16">
        <f>IF($A5461&lt;Notes!$B$5,"",IF(COUNTIFS(Release_Calendar!$A$2:$A$755,"NZ_LABOUR",Release_Calendar!$B$2:$B$755,$A5461)&gt;0,1,0))</f>
        <v>0</v>
      </c>
      <c r="P5461" s="16">
        <f t="shared" si="4"/>
        <v>1</v>
      </c>
    </row>
    <row r="5462" ht="15.75" customHeight="1">
      <c r="A5462" s="14">
        <v>44172.0</v>
      </c>
      <c r="B5462" s="15">
        <v>0.14</v>
      </c>
      <c r="C5462" s="15">
        <v>0.26</v>
      </c>
      <c r="D5462" s="15"/>
      <c r="E5462" s="15">
        <v>0.24</v>
      </c>
      <c r="F5462" s="15">
        <f t="shared" si="1"/>
        <v>0.12</v>
      </c>
      <c r="G5462" s="15">
        <f t="shared" si="2"/>
        <v>0.26</v>
      </c>
      <c r="H5462" s="16">
        <v>0.0</v>
      </c>
      <c r="I5462" s="15">
        <f t="shared" si="3"/>
        <v>0.12</v>
      </c>
      <c r="J5462" s="15">
        <v>21.3</v>
      </c>
      <c r="K5462" s="16">
        <f>IF(COUNTIFS(Release_Calendar!$A$2:$A$755,"US_CPI",Release_Calendar!$B$2:$B$755,$A5462)&gt;0,1,0)</f>
        <v>0</v>
      </c>
      <c r="L5462" s="16">
        <f>IF(COUNTIFS(Release_Calendar!$A$2:$A$755,"US_NFP",Release_Calendar!$B$2:$B$755,$A5462)&gt;0,1,0)</f>
        <v>0</v>
      </c>
      <c r="M5462" s="16">
        <f>IF($A5462&lt;Notes!$B$5,"",IF(COUNTIFS(Release_Calendar!$A$2:$A$755,"NZ_CPI",Release_Calendar!$B$2:$B$755,$A5462)&gt;0,1,0))</f>
        <v>0</v>
      </c>
      <c r="N5462" s="16">
        <f>IF($A5462&lt;Notes!$B$5,"",IF(COUNTIFS(Release_Calendar!$A$2:$A$755,"NZ_GDP",Release_Calendar!$B$2:$B$755,$A5462)&gt;0,1,0))</f>
        <v>0</v>
      </c>
      <c r="O5462" s="16">
        <f>IF($A5462&lt;Notes!$B$5,"",IF(COUNTIFS(Release_Calendar!$A$2:$A$755,"NZ_LABOUR",Release_Calendar!$B$2:$B$755,$A5462)&gt;0,1,0))</f>
        <v>0</v>
      </c>
      <c r="P5462" s="16">
        <f t="shared" si="4"/>
        <v>0</v>
      </c>
    </row>
    <row r="5463" ht="15.75" customHeight="1">
      <c r="A5463" s="14">
        <v>44173.0</v>
      </c>
      <c r="B5463" s="15">
        <v>0.14</v>
      </c>
      <c r="C5463" s="15">
        <v>0.26</v>
      </c>
      <c r="D5463" s="15"/>
      <c r="E5463" s="15">
        <v>0.24</v>
      </c>
      <c r="F5463" s="15">
        <f t="shared" si="1"/>
        <v>0.12</v>
      </c>
      <c r="G5463" s="15">
        <f t="shared" si="2"/>
        <v>0.26</v>
      </c>
      <c r="H5463" s="16">
        <v>0.0</v>
      </c>
      <c r="I5463" s="15">
        <f t="shared" si="3"/>
        <v>0.12</v>
      </c>
      <c r="J5463" s="15">
        <v>20.68</v>
      </c>
      <c r="K5463" s="16">
        <f>IF(COUNTIFS(Release_Calendar!$A$2:$A$755,"US_CPI",Release_Calendar!$B$2:$B$755,$A5463)&gt;0,1,0)</f>
        <v>0</v>
      </c>
      <c r="L5463" s="16">
        <f>IF(COUNTIFS(Release_Calendar!$A$2:$A$755,"US_NFP",Release_Calendar!$B$2:$B$755,$A5463)&gt;0,1,0)</f>
        <v>0</v>
      </c>
      <c r="M5463" s="16">
        <f>IF($A5463&lt;Notes!$B$5,"",IF(COUNTIFS(Release_Calendar!$A$2:$A$755,"NZ_CPI",Release_Calendar!$B$2:$B$755,$A5463)&gt;0,1,0))</f>
        <v>0</v>
      </c>
      <c r="N5463" s="16">
        <f>IF($A5463&lt;Notes!$B$5,"",IF(COUNTIFS(Release_Calendar!$A$2:$A$755,"NZ_GDP",Release_Calendar!$B$2:$B$755,$A5463)&gt;0,1,0))</f>
        <v>0</v>
      </c>
      <c r="O5463" s="16">
        <f>IF($A5463&lt;Notes!$B$5,"",IF(COUNTIFS(Release_Calendar!$A$2:$A$755,"NZ_LABOUR",Release_Calendar!$B$2:$B$755,$A5463)&gt;0,1,0))</f>
        <v>0</v>
      </c>
      <c r="P5463" s="16">
        <f t="shared" si="4"/>
        <v>0</v>
      </c>
    </row>
    <row r="5464" ht="15.75" customHeight="1">
      <c r="A5464" s="14">
        <v>44174.0</v>
      </c>
      <c r="B5464" s="15">
        <v>0.16</v>
      </c>
      <c r="C5464" s="15">
        <v>0.26</v>
      </c>
      <c r="D5464" s="15"/>
      <c r="E5464" s="15">
        <v>0.25</v>
      </c>
      <c r="F5464" s="15">
        <f t="shared" si="1"/>
        <v>0.1</v>
      </c>
      <c r="G5464" s="15">
        <f t="shared" si="2"/>
        <v>0.26</v>
      </c>
      <c r="H5464" s="16">
        <v>0.0</v>
      </c>
      <c r="I5464" s="15">
        <f t="shared" si="3"/>
        <v>0.1</v>
      </c>
      <c r="J5464" s="15">
        <v>22.27</v>
      </c>
      <c r="K5464" s="16">
        <f>IF(COUNTIFS(Release_Calendar!$A$2:$A$755,"US_CPI",Release_Calendar!$B$2:$B$755,$A5464)&gt;0,1,0)</f>
        <v>0</v>
      </c>
      <c r="L5464" s="16">
        <f>IF(COUNTIFS(Release_Calendar!$A$2:$A$755,"US_NFP",Release_Calendar!$B$2:$B$755,$A5464)&gt;0,1,0)</f>
        <v>0</v>
      </c>
      <c r="M5464" s="16">
        <f>IF($A5464&lt;Notes!$B$5,"",IF(COUNTIFS(Release_Calendar!$A$2:$A$755,"NZ_CPI",Release_Calendar!$B$2:$B$755,$A5464)&gt;0,1,0))</f>
        <v>0</v>
      </c>
      <c r="N5464" s="16">
        <f>IF($A5464&lt;Notes!$B$5,"",IF(COUNTIFS(Release_Calendar!$A$2:$A$755,"NZ_GDP",Release_Calendar!$B$2:$B$755,$A5464)&gt;0,1,0))</f>
        <v>0</v>
      </c>
      <c r="O5464" s="16">
        <f>IF($A5464&lt;Notes!$B$5,"",IF(COUNTIFS(Release_Calendar!$A$2:$A$755,"NZ_LABOUR",Release_Calendar!$B$2:$B$755,$A5464)&gt;0,1,0))</f>
        <v>0</v>
      </c>
      <c r="P5464" s="16">
        <f t="shared" si="4"/>
        <v>0</v>
      </c>
    </row>
    <row r="5465" ht="15.75" customHeight="1">
      <c r="A5465" s="14">
        <v>44175.0</v>
      </c>
      <c r="B5465" s="15">
        <v>0.14</v>
      </c>
      <c r="C5465" s="15">
        <v>0.26</v>
      </c>
      <c r="D5465" s="15"/>
      <c r="E5465" s="15">
        <v>0.22</v>
      </c>
      <c r="F5465" s="15">
        <f t="shared" si="1"/>
        <v>0.12</v>
      </c>
      <c r="G5465" s="15">
        <f t="shared" si="2"/>
        <v>0.26</v>
      </c>
      <c r="H5465" s="16">
        <v>0.0</v>
      </c>
      <c r="I5465" s="15">
        <f t="shared" si="3"/>
        <v>0.12</v>
      </c>
      <c r="J5465" s="15">
        <v>22.52</v>
      </c>
      <c r="K5465" s="16">
        <f>IF(COUNTIFS(Release_Calendar!$A$2:$A$755,"US_CPI",Release_Calendar!$B$2:$B$755,$A5465)&gt;0,1,0)</f>
        <v>1</v>
      </c>
      <c r="L5465" s="16">
        <f>IF(COUNTIFS(Release_Calendar!$A$2:$A$755,"US_NFP",Release_Calendar!$B$2:$B$755,$A5465)&gt;0,1,0)</f>
        <v>0</v>
      </c>
      <c r="M5465" s="16">
        <f>IF($A5465&lt;Notes!$B$5,"",IF(COUNTIFS(Release_Calendar!$A$2:$A$755,"NZ_CPI",Release_Calendar!$B$2:$B$755,$A5465)&gt;0,1,0))</f>
        <v>0</v>
      </c>
      <c r="N5465" s="16">
        <f>IF($A5465&lt;Notes!$B$5,"",IF(COUNTIFS(Release_Calendar!$A$2:$A$755,"NZ_GDP",Release_Calendar!$B$2:$B$755,$A5465)&gt;0,1,0))</f>
        <v>0</v>
      </c>
      <c r="O5465" s="16">
        <f>IF($A5465&lt;Notes!$B$5,"",IF(COUNTIFS(Release_Calendar!$A$2:$A$755,"NZ_LABOUR",Release_Calendar!$B$2:$B$755,$A5465)&gt;0,1,0))</f>
        <v>0</v>
      </c>
      <c r="P5465" s="16">
        <f t="shared" si="4"/>
        <v>1</v>
      </c>
    </row>
    <row r="5466" ht="15.75" customHeight="1">
      <c r="A5466" s="14">
        <v>44176.0</v>
      </c>
      <c r="B5466" s="15">
        <v>0.11</v>
      </c>
      <c r="C5466" s="15">
        <v>0.26</v>
      </c>
      <c r="D5466" s="15"/>
      <c r="E5466" s="15">
        <v>0.21</v>
      </c>
      <c r="F5466" s="15">
        <f t="shared" si="1"/>
        <v>0.15</v>
      </c>
      <c r="G5466" s="15">
        <f t="shared" si="2"/>
        <v>0.26</v>
      </c>
      <c r="H5466" s="16">
        <v>0.0</v>
      </c>
      <c r="I5466" s="15">
        <f t="shared" si="3"/>
        <v>0.15</v>
      </c>
      <c r="J5466" s="15">
        <v>23.31</v>
      </c>
      <c r="K5466" s="16">
        <f>IF(COUNTIFS(Release_Calendar!$A$2:$A$755,"US_CPI",Release_Calendar!$B$2:$B$755,$A5466)&gt;0,1,0)</f>
        <v>0</v>
      </c>
      <c r="L5466" s="16">
        <f>IF(COUNTIFS(Release_Calendar!$A$2:$A$755,"US_NFP",Release_Calendar!$B$2:$B$755,$A5466)&gt;0,1,0)</f>
        <v>0</v>
      </c>
      <c r="M5466" s="16">
        <f>IF($A5466&lt;Notes!$B$5,"",IF(COUNTIFS(Release_Calendar!$A$2:$A$755,"NZ_CPI",Release_Calendar!$B$2:$B$755,$A5466)&gt;0,1,0))</f>
        <v>0</v>
      </c>
      <c r="N5466" s="16">
        <f>IF($A5466&lt;Notes!$B$5,"",IF(COUNTIFS(Release_Calendar!$A$2:$A$755,"NZ_GDP",Release_Calendar!$B$2:$B$755,$A5466)&gt;0,1,0))</f>
        <v>0</v>
      </c>
      <c r="O5466" s="16">
        <f>IF($A5466&lt;Notes!$B$5,"",IF(COUNTIFS(Release_Calendar!$A$2:$A$755,"NZ_LABOUR",Release_Calendar!$B$2:$B$755,$A5466)&gt;0,1,0))</f>
        <v>0</v>
      </c>
      <c r="P5466" s="16">
        <f t="shared" si="4"/>
        <v>0</v>
      </c>
    </row>
    <row r="5467" ht="15.75" customHeight="1">
      <c r="A5467" s="14">
        <v>44179.0</v>
      </c>
      <c r="B5467" s="15">
        <v>0.13</v>
      </c>
      <c r="C5467" s="15">
        <v>0.26</v>
      </c>
      <c r="D5467" s="15"/>
      <c r="E5467" s="15">
        <v>0.21</v>
      </c>
      <c r="F5467" s="15">
        <f t="shared" si="1"/>
        <v>0.13</v>
      </c>
      <c r="G5467" s="15">
        <f t="shared" si="2"/>
        <v>0.26</v>
      </c>
      <c r="H5467" s="16">
        <v>0.0</v>
      </c>
      <c r="I5467" s="15">
        <f t="shared" si="3"/>
        <v>0.13</v>
      </c>
      <c r="J5467" s="15">
        <v>24.72</v>
      </c>
      <c r="K5467" s="16">
        <f>IF(COUNTIFS(Release_Calendar!$A$2:$A$755,"US_CPI",Release_Calendar!$B$2:$B$755,$A5467)&gt;0,1,0)</f>
        <v>0</v>
      </c>
      <c r="L5467" s="16">
        <f>IF(COUNTIFS(Release_Calendar!$A$2:$A$755,"US_NFP",Release_Calendar!$B$2:$B$755,$A5467)&gt;0,1,0)</f>
        <v>0</v>
      </c>
      <c r="M5467" s="16">
        <f>IF($A5467&lt;Notes!$B$5,"",IF(COUNTIFS(Release_Calendar!$A$2:$A$755,"NZ_CPI",Release_Calendar!$B$2:$B$755,$A5467)&gt;0,1,0))</f>
        <v>0</v>
      </c>
      <c r="N5467" s="16">
        <f>IF($A5467&lt;Notes!$B$5,"",IF(COUNTIFS(Release_Calendar!$A$2:$A$755,"NZ_GDP",Release_Calendar!$B$2:$B$755,$A5467)&gt;0,1,0))</f>
        <v>0</v>
      </c>
      <c r="O5467" s="16">
        <f>IF($A5467&lt;Notes!$B$5,"",IF(COUNTIFS(Release_Calendar!$A$2:$A$755,"NZ_LABOUR",Release_Calendar!$B$2:$B$755,$A5467)&gt;0,1,0))</f>
        <v>0</v>
      </c>
      <c r="P5467" s="16">
        <f t="shared" si="4"/>
        <v>0</v>
      </c>
    </row>
    <row r="5468" ht="15.75" customHeight="1">
      <c r="A5468" s="14">
        <v>44180.0</v>
      </c>
      <c r="B5468" s="15">
        <v>0.11</v>
      </c>
      <c r="C5468" s="15">
        <v>0.26</v>
      </c>
      <c r="D5468" s="15"/>
      <c r="E5468" s="15">
        <v>0.23</v>
      </c>
      <c r="F5468" s="15">
        <f t="shared" si="1"/>
        <v>0.15</v>
      </c>
      <c r="G5468" s="15">
        <f t="shared" si="2"/>
        <v>0.26</v>
      </c>
      <c r="H5468" s="16">
        <v>0.0</v>
      </c>
      <c r="I5468" s="15">
        <f t="shared" si="3"/>
        <v>0.15</v>
      </c>
      <c r="J5468" s="15">
        <v>22.89</v>
      </c>
      <c r="K5468" s="16">
        <f>IF(COUNTIFS(Release_Calendar!$A$2:$A$755,"US_CPI",Release_Calendar!$B$2:$B$755,$A5468)&gt;0,1,0)</f>
        <v>0</v>
      </c>
      <c r="L5468" s="16">
        <f>IF(COUNTIFS(Release_Calendar!$A$2:$A$755,"US_NFP",Release_Calendar!$B$2:$B$755,$A5468)&gt;0,1,0)</f>
        <v>0</v>
      </c>
      <c r="M5468" s="16">
        <f>IF($A5468&lt;Notes!$B$5,"",IF(COUNTIFS(Release_Calendar!$A$2:$A$755,"NZ_CPI",Release_Calendar!$B$2:$B$755,$A5468)&gt;0,1,0))</f>
        <v>0</v>
      </c>
      <c r="N5468" s="16">
        <f>IF($A5468&lt;Notes!$B$5,"",IF(COUNTIFS(Release_Calendar!$A$2:$A$755,"NZ_GDP",Release_Calendar!$B$2:$B$755,$A5468)&gt;0,1,0))</f>
        <v>0</v>
      </c>
      <c r="O5468" s="16">
        <f>IF($A5468&lt;Notes!$B$5,"",IF(COUNTIFS(Release_Calendar!$A$2:$A$755,"NZ_LABOUR",Release_Calendar!$B$2:$B$755,$A5468)&gt;0,1,0))</f>
        <v>0</v>
      </c>
      <c r="P5468" s="16">
        <f t="shared" si="4"/>
        <v>0</v>
      </c>
    </row>
    <row r="5469" ht="15.75" customHeight="1">
      <c r="A5469" s="14">
        <v>44181.0</v>
      </c>
      <c r="B5469" s="15">
        <v>0.13</v>
      </c>
      <c r="C5469" s="15">
        <v>0.27</v>
      </c>
      <c r="D5469" s="15"/>
      <c r="E5469" s="15">
        <v>0.23</v>
      </c>
      <c r="F5469" s="15">
        <f t="shared" si="1"/>
        <v>0.14</v>
      </c>
      <c r="G5469" s="15">
        <f t="shared" si="2"/>
        <v>0.27</v>
      </c>
      <c r="H5469" s="16">
        <v>0.0</v>
      </c>
      <c r="I5469" s="15">
        <f t="shared" si="3"/>
        <v>0.14</v>
      </c>
      <c r="J5469" s="15">
        <v>22.5</v>
      </c>
      <c r="K5469" s="16">
        <f>IF(COUNTIFS(Release_Calendar!$A$2:$A$755,"US_CPI",Release_Calendar!$B$2:$B$755,$A5469)&gt;0,1,0)</f>
        <v>0</v>
      </c>
      <c r="L5469" s="16">
        <f>IF(COUNTIFS(Release_Calendar!$A$2:$A$755,"US_NFP",Release_Calendar!$B$2:$B$755,$A5469)&gt;0,1,0)</f>
        <v>0</v>
      </c>
      <c r="M5469" s="16">
        <f>IF($A5469&lt;Notes!$B$5,"",IF(COUNTIFS(Release_Calendar!$A$2:$A$755,"NZ_CPI",Release_Calendar!$B$2:$B$755,$A5469)&gt;0,1,0))</f>
        <v>0</v>
      </c>
      <c r="N5469" s="16">
        <f>IF($A5469&lt;Notes!$B$5,"",IF(COUNTIFS(Release_Calendar!$A$2:$A$755,"NZ_GDP",Release_Calendar!$B$2:$B$755,$A5469)&gt;0,1,0))</f>
        <v>0</v>
      </c>
      <c r="O5469" s="16">
        <f>IF($A5469&lt;Notes!$B$5,"",IF(COUNTIFS(Release_Calendar!$A$2:$A$755,"NZ_LABOUR",Release_Calendar!$B$2:$B$755,$A5469)&gt;0,1,0))</f>
        <v>0</v>
      </c>
      <c r="P5469" s="16">
        <f t="shared" si="4"/>
        <v>0</v>
      </c>
    </row>
    <row r="5470" ht="15.75" customHeight="1">
      <c r="A5470" s="14">
        <v>44182.0</v>
      </c>
      <c r="B5470" s="15">
        <v>0.13</v>
      </c>
      <c r="C5470" s="15">
        <v>0.3</v>
      </c>
      <c r="D5470" s="15"/>
      <c r="E5470" s="15">
        <v>0.26</v>
      </c>
      <c r="F5470" s="15">
        <f t="shared" si="1"/>
        <v>0.17</v>
      </c>
      <c r="G5470" s="15">
        <f t="shared" si="2"/>
        <v>0.3</v>
      </c>
      <c r="H5470" s="16">
        <v>0.0</v>
      </c>
      <c r="I5470" s="15">
        <f t="shared" si="3"/>
        <v>0.17</v>
      </c>
      <c r="J5470" s="15">
        <v>21.93</v>
      </c>
      <c r="K5470" s="16">
        <f>IF(COUNTIFS(Release_Calendar!$A$2:$A$755,"US_CPI",Release_Calendar!$B$2:$B$755,$A5470)&gt;0,1,0)</f>
        <v>0</v>
      </c>
      <c r="L5470" s="16">
        <f>IF(COUNTIFS(Release_Calendar!$A$2:$A$755,"US_NFP",Release_Calendar!$B$2:$B$755,$A5470)&gt;0,1,0)</f>
        <v>0</v>
      </c>
      <c r="M5470" s="16">
        <f>IF($A5470&lt;Notes!$B$5,"",IF(COUNTIFS(Release_Calendar!$A$2:$A$755,"NZ_CPI",Release_Calendar!$B$2:$B$755,$A5470)&gt;0,1,0))</f>
        <v>0</v>
      </c>
      <c r="N5470" s="16">
        <f>IF($A5470&lt;Notes!$B$5,"",IF(COUNTIFS(Release_Calendar!$A$2:$A$755,"NZ_GDP",Release_Calendar!$B$2:$B$755,$A5470)&gt;0,1,0))</f>
        <v>1</v>
      </c>
      <c r="O5470" s="16">
        <f>IF($A5470&lt;Notes!$B$5,"",IF(COUNTIFS(Release_Calendar!$A$2:$A$755,"NZ_LABOUR",Release_Calendar!$B$2:$B$755,$A5470)&gt;0,1,0))</f>
        <v>0</v>
      </c>
      <c r="P5470" s="16">
        <f t="shared" si="4"/>
        <v>1</v>
      </c>
    </row>
    <row r="5471" ht="15.75" customHeight="1">
      <c r="A5471" s="14">
        <v>44183.0</v>
      </c>
      <c r="B5471" s="15">
        <v>0.13</v>
      </c>
      <c r="C5471" s="15">
        <v>0.32</v>
      </c>
      <c r="D5471" s="15"/>
      <c r="E5471" s="15">
        <v>0.26</v>
      </c>
      <c r="F5471" s="15">
        <f t="shared" si="1"/>
        <v>0.19</v>
      </c>
      <c r="G5471" s="15">
        <f t="shared" si="2"/>
        <v>0.32</v>
      </c>
      <c r="H5471" s="16">
        <v>0.0</v>
      </c>
      <c r="I5471" s="15">
        <f t="shared" si="3"/>
        <v>0.19</v>
      </c>
      <c r="J5471" s="15">
        <v>21.57</v>
      </c>
      <c r="K5471" s="16">
        <f>IF(COUNTIFS(Release_Calendar!$A$2:$A$755,"US_CPI",Release_Calendar!$B$2:$B$755,$A5471)&gt;0,1,0)</f>
        <v>0</v>
      </c>
      <c r="L5471" s="16">
        <f>IF(COUNTIFS(Release_Calendar!$A$2:$A$755,"US_NFP",Release_Calendar!$B$2:$B$755,$A5471)&gt;0,1,0)</f>
        <v>0</v>
      </c>
      <c r="M5471" s="16">
        <f>IF($A5471&lt;Notes!$B$5,"",IF(COUNTIFS(Release_Calendar!$A$2:$A$755,"NZ_CPI",Release_Calendar!$B$2:$B$755,$A5471)&gt;0,1,0))</f>
        <v>0</v>
      </c>
      <c r="N5471" s="16">
        <f>IF($A5471&lt;Notes!$B$5,"",IF(COUNTIFS(Release_Calendar!$A$2:$A$755,"NZ_GDP",Release_Calendar!$B$2:$B$755,$A5471)&gt;0,1,0))</f>
        <v>0</v>
      </c>
      <c r="O5471" s="16">
        <f>IF($A5471&lt;Notes!$B$5,"",IF(COUNTIFS(Release_Calendar!$A$2:$A$755,"NZ_LABOUR",Release_Calendar!$B$2:$B$755,$A5471)&gt;0,1,0))</f>
        <v>0</v>
      </c>
      <c r="P5471" s="16">
        <f t="shared" si="4"/>
        <v>0</v>
      </c>
    </row>
    <row r="5472" ht="15.75" customHeight="1">
      <c r="A5472" s="14">
        <v>44186.0</v>
      </c>
      <c r="B5472" s="15">
        <v>0.13</v>
      </c>
      <c r="C5472" s="15">
        <v>0.3</v>
      </c>
      <c r="D5472" s="15"/>
      <c r="E5472" s="15">
        <v>0.25</v>
      </c>
      <c r="F5472" s="15">
        <f t="shared" si="1"/>
        <v>0.17</v>
      </c>
      <c r="G5472" s="15">
        <f t="shared" si="2"/>
        <v>0.3</v>
      </c>
      <c r="H5472" s="16">
        <v>0.0</v>
      </c>
      <c r="I5472" s="15">
        <f t="shared" si="3"/>
        <v>0.17</v>
      </c>
      <c r="J5472" s="15">
        <v>25.16</v>
      </c>
      <c r="K5472" s="16">
        <f>IF(COUNTIFS(Release_Calendar!$A$2:$A$755,"US_CPI",Release_Calendar!$B$2:$B$755,$A5472)&gt;0,1,0)</f>
        <v>0</v>
      </c>
      <c r="L5472" s="16">
        <f>IF(COUNTIFS(Release_Calendar!$A$2:$A$755,"US_NFP",Release_Calendar!$B$2:$B$755,$A5472)&gt;0,1,0)</f>
        <v>0</v>
      </c>
      <c r="M5472" s="16">
        <f>IF($A5472&lt;Notes!$B$5,"",IF(COUNTIFS(Release_Calendar!$A$2:$A$755,"NZ_CPI",Release_Calendar!$B$2:$B$755,$A5472)&gt;0,1,0))</f>
        <v>0</v>
      </c>
      <c r="N5472" s="16">
        <f>IF($A5472&lt;Notes!$B$5,"",IF(COUNTIFS(Release_Calendar!$A$2:$A$755,"NZ_GDP",Release_Calendar!$B$2:$B$755,$A5472)&gt;0,1,0))</f>
        <v>0</v>
      </c>
      <c r="O5472" s="16">
        <f>IF($A5472&lt;Notes!$B$5,"",IF(COUNTIFS(Release_Calendar!$A$2:$A$755,"NZ_LABOUR",Release_Calendar!$B$2:$B$755,$A5472)&gt;0,1,0))</f>
        <v>0</v>
      </c>
      <c r="P5472" s="16">
        <f t="shared" si="4"/>
        <v>0</v>
      </c>
    </row>
    <row r="5473" ht="15.75" customHeight="1">
      <c r="A5473" s="14">
        <v>44187.0</v>
      </c>
      <c r="B5473" s="15">
        <v>0.13</v>
      </c>
      <c r="C5473" s="15">
        <v>0.3</v>
      </c>
      <c r="D5473" s="15"/>
      <c r="E5473" s="15">
        <v>0.25</v>
      </c>
      <c r="F5473" s="15">
        <f t="shared" si="1"/>
        <v>0.17</v>
      </c>
      <c r="G5473" s="15">
        <f t="shared" si="2"/>
        <v>0.3</v>
      </c>
      <c r="H5473" s="16">
        <v>0.0</v>
      </c>
      <c r="I5473" s="15">
        <f t="shared" si="3"/>
        <v>0.17</v>
      </c>
      <c r="J5473" s="15">
        <v>24.23</v>
      </c>
      <c r="K5473" s="16">
        <f>IF(COUNTIFS(Release_Calendar!$A$2:$A$755,"US_CPI",Release_Calendar!$B$2:$B$755,$A5473)&gt;0,1,0)</f>
        <v>0</v>
      </c>
      <c r="L5473" s="16">
        <f>IF(COUNTIFS(Release_Calendar!$A$2:$A$755,"US_NFP",Release_Calendar!$B$2:$B$755,$A5473)&gt;0,1,0)</f>
        <v>0</v>
      </c>
      <c r="M5473" s="16">
        <f>IF($A5473&lt;Notes!$B$5,"",IF(COUNTIFS(Release_Calendar!$A$2:$A$755,"NZ_CPI",Release_Calendar!$B$2:$B$755,$A5473)&gt;0,1,0))</f>
        <v>0</v>
      </c>
      <c r="N5473" s="16">
        <f>IF($A5473&lt;Notes!$B$5,"",IF(COUNTIFS(Release_Calendar!$A$2:$A$755,"NZ_GDP",Release_Calendar!$B$2:$B$755,$A5473)&gt;0,1,0))</f>
        <v>0</v>
      </c>
      <c r="O5473" s="16">
        <f>IF($A5473&lt;Notes!$B$5,"",IF(COUNTIFS(Release_Calendar!$A$2:$A$755,"NZ_LABOUR",Release_Calendar!$B$2:$B$755,$A5473)&gt;0,1,0))</f>
        <v>0</v>
      </c>
      <c r="P5473" s="16">
        <f t="shared" si="4"/>
        <v>0</v>
      </c>
    </row>
    <row r="5474" ht="15.75" customHeight="1">
      <c r="A5474" s="14">
        <v>44188.0</v>
      </c>
      <c r="B5474" s="15">
        <v>0.13</v>
      </c>
      <c r="C5474" s="15">
        <v>0.28</v>
      </c>
      <c r="D5474" s="15"/>
      <c r="E5474" s="15">
        <v>0.24</v>
      </c>
      <c r="F5474" s="15">
        <f t="shared" si="1"/>
        <v>0.15</v>
      </c>
      <c r="G5474" s="15">
        <f t="shared" si="2"/>
        <v>0.28</v>
      </c>
      <c r="H5474" s="16">
        <v>0.0</v>
      </c>
      <c r="I5474" s="15">
        <f t="shared" si="3"/>
        <v>0.15</v>
      </c>
      <c r="J5474" s="15">
        <v>23.31</v>
      </c>
      <c r="K5474" s="16">
        <f>IF(COUNTIFS(Release_Calendar!$A$2:$A$755,"US_CPI",Release_Calendar!$B$2:$B$755,$A5474)&gt;0,1,0)</f>
        <v>0</v>
      </c>
      <c r="L5474" s="16">
        <f>IF(COUNTIFS(Release_Calendar!$A$2:$A$755,"US_NFP",Release_Calendar!$B$2:$B$755,$A5474)&gt;0,1,0)</f>
        <v>0</v>
      </c>
      <c r="M5474" s="16">
        <f>IF($A5474&lt;Notes!$B$5,"",IF(COUNTIFS(Release_Calendar!$A$2:$A$755,"NZ_CPI",Release_Calendar!$B$2:$B$755,$A5474)&gt;0,1,0))</f>
        <v>0</v>
      </c>
      <c r="N5474" s="16">
        <f>IF($A5474&lt;Notes!$B$5,"",IF(COUNTIFS(Release_Calendar!$A$2:$A$755,"NZ_GDP",Release_Calendar!$B$2:$B$755,$A5474)&gt;0,1,0))</f>
        <v>0</v>
      </c>
      <c r="O5474" s="16">
        <f>IF($A5474&lt;Notes!$B$5,"",IF(COUNTIFS(Release_Calendar!$A$2:$A$755,"NZ_LABOUR",Release_Calendar!$B$2:$B$755,$A5474)&gt;0,1,0))</f>
        <v>0</v>
      </c>
      <c r="P5474" s="16">
        <f t="shared" si="4"/>
        <v>0</v>
      </c>
    </row>
    <row r="5475" ht="15.75" customHeight="1">
      <c r="A5475" s="14">
        <v>44189.0</v>
      </c>
      <c r="B5475" s="15">
        <v>0.13</v>
      </c>
      <c r="C5475" s="15">
        <v>0.29</v>
      </c>
      <c r="D5475" s="15"/>
      <c r="E5475" s="15">
        <v>0.26</v>
      </c>
      <c r="F5475" s="15">
        <f t="shared" si="1"/>
        <v>0.16</v>
      </c>
      <c r="G5475" s="15">
        <f t="shared" si="2"/>
        <v>0.29</v>
      </c>
      <c r="H5475" s="16">
        <v>0.0</v>
      </c>
      <c r="I5475" s="15">
        <f t="shared" si="3"/>
        <v>0.16</v>
      </c>
      <c r="J5475" s="15">
        <v>21.53</v>
      </c>
      <c r="K5475" s="16">
        <f>IF(COUNTIFS(Release_Calendar!$A$2:$A$755,"US_CPI",Release_Calendar!$B$2:$B$755,$A5475)&gt;0,1,0)</f>
        <v>0</v>
      </c>
      <c r="L5475" s="16">
        <f>IF(COUNTIFS(Release_Calendar!$A$2:$A$755,"US_NFP",Release_Calendar!$B$2:$B$755,$A5475)&gt;0,1,0)</f>
        <v>0</v>
      </c>
      <c r="M5475" s="16">
        <f>IF($A5475&lt;Notes!$B$5,"",IF(COUNTIFS(Release_Calendar!$A$2:$A$755,"NZ_CPI",Release_Calendar!$B$2:$B$755,$A5475)&gt;0,1,0))</f>
        <v>0</v>
      </c>
      <c r="N5475" s="16">
        <f>IF($A5475&lt;Notes!$B$5,"",IF(COUNTIFS(Release_Calendar!$A$2:$A$755,"NZ_GDP",Release_Calendar!$B$2:$B$755,$A5475)&gt;0,1,0))</f>
        <v>0</v>
      </c>
      <c r="O5475" s="16">
        <f>IF($A5475&lt;Notes!$B$5,"",IF(COUNTIFS(Release_Calendar!$A$2:$A$755,"NZ_LABOUR",Release_Calendar!$B$2:$B$755,$A5475)&gt;0,1,0))</f>
        <v>0</v>
      </c>
      <c r="P5475" s="16">
        <f t="shared" si="4"/>
        <v>0</v>
      </c>
    </row>
    <row r="5476" ht="15.75" customHeight="1">
      <c r="A5476" s="14">
        <v>44190.0</v>
      </c>
      <c r="B5476" s="15"/>
      <c r="C5476" s="15"/>
      <c r="D5476" s="15"/>
      <c r="E5476" s="15"/>
      <c r="F5476" s="15" t="str">
        <f t="shared" si="1"/>
        <v/>
      </c>
      <c r="G5476" s="15" t="str">
        <f t="shared" si="2"/>
        <v/>
      </c>
      <c r="H5476" s="16">
        <v>0.0</v>
      </c>
      <c r="I5476" s="15" t="str">
        <f t="shared" si="3"/>
        <v/>
      </c>
      <c r="J5476" s="15"/>
      <c r="K5476" s="16">
        <f>IF(COUNTIFS(Release_Calendar!$A$2:$A$755,"US_CPI",Release_Calendar!$B$2:$B$755,$A5476)&gt;0,1,0)</f>
        <v>0</v>
      </c>
      <c r="L5476" s="16">
        <f>IF(COUNTIFS(Release_Calendar!$A$2:$A$755,"US_NFP",Release_Calendar!$B$2:$B$755,$A5476)&gt;0,1,0)</f>
        <v>0</v>
      </c>
      <c r="M5476" s="16">
        <f>IF($A5476&lt;Notes!$B$5,"",IF(COUNTIFS(Release_Calendar!$A$2:$A$755,"NZ_CPI",Release_Calendar!$B$2:$B$755,$A5476)&gt;0,1,0))</f>
        <v>0</v>
      </c>
      <c r="N5476" s="16">
        <f>IF($A5476&lt;Notes!$B$5,"",IF(COUNTIFS(Release_Calendar!$A$2:$A$755,"NZ_GDP",Release_Calendar!$B$2:$B$755,$A5476)&gt;0,1,0))</f>
        <v>0</v>
      </c>
      <c r="O5476" s="16">
        <f>IF($A5476&lt;Notes!$B$5,"",IF(COUNTIFS(Release_Calendar!$A$2:$A$755,"NZ_LABOUR",Release_Calendar!$B$2:$B$755,$A5476)&gt;0,1,0))</f>
        <v>0</v>
      </c>
      <c r="P5476" s="16">
        <f t="shared" si="4"/>
        <v>0</v>
      </c>
    </row>
    <row r="5477" ht="15.75" customHeight="1">
      <c r="A5477" s="14">
        <v>44193.0</v>
      </c>
      <c r="B5477" s="15">
        <v>0.13</v>
      </c>
      <c r="C5477" s="15"/>
      <c r="D5477" s="15"/>
      <c r="E5477" s="15"/>
      <c r="F5477" s="15" t="str">
        <f t="shared" si="1"/>
        <v/>
      </c>
      <c r="G5477" s="15" t="str">
        <f t="shared" si="2"/>
        <v/>
      </c>
      <c r="H5477" s="16">
        <v>0.0</v>
      </c>
      <c r="I5477" s="15" t="str">
        <f t="shared" si="3"/>
        <v/>
      </c>
      <c r="J5477" s="15">
        <v>21.7</v>
      </c>
      <c r="K5477" s="16">
        <f>IF(COUNTIFS(Release_Calendar!$A$2:$A$755,"US_CPI",Release_Calendar!$B$2:$B$755,$A5477)&gt;0,1,0)</f>
        <v>0</v>
      </c>
      <c r="L5477" s="16">
        <f>IF(COUNTIFS(Release_Calendar!$A$2:$A$755,"US_NFP",Release_Calendar!$B$2:$B$755,$A5477)&gt;0,1,0)</f>
        <v>0</v>
      </c>
      <c r="M5477" s="16">
        <f>IF($A5477&lt;Notes!$B$5,"",IF(COUNTIFS(Release_Calendar!$A$2:$A$755,"NZ_CPI",Release_Calendar!$B$2:$B$755,$A5477)&gt;0,1,0))</f>
        <v>0</v>
      </c>
      <c r="N5477" s="16">
        <f>IF($A5477&lt;Notes!$B$5,"",IF(COUNTIFS(Release_Calendar!$A$2:$A$755,"NZ_GDP",Release_Calendar!$B$2:$B$755,$A5477)&gt;0,1,0))</f>
        <v>0</v>
      </c>
      <c r="O5477" s="16">
        <f>IF($A5477&lt;Notes!$B$5,"",IF(COUNTIFS(Release_Calendar!$A$2:$A$755,"NZ_LABOUR",Release_Calendar!$B$2:$B$755,$A5477)&gt;0,1,0))</f>
        <v>0</v>
      </c>
      <c r="P5477" s="16">
        <f t="shared" si="4"/>
        <v>0</v>
      </c>
    </row>
    <row r="5478" ht="15.75" customHeight="1">
      <c r="A5478" s="14">
        <v>44194.0</v>
      </c>
      <c r="B5478" s="15">
        <v>0.12</v>
      </c>
      <c r="C5478" s="15">
        <v>0.28</v>
      </c>
      <c r="D5478" s="15"/>
      <c r="E5478" s="15">
        <v>0.26</v>
      </c>
      <c r="F5478" s="15">
        <f t="shared" si="1"/>
        <v>0.16</v>
      </c>
      <c r="G5478" s="15">
        <f t="shared" si="2"/>
        <v>0.28</v>
      </c>
      <c r="H5478" s="16">
        <v>0.0</v>
      </c>
      <c r="I5478" s="15">
        <f t="shared" si="3"/>
        <v>0.16</v>
      </c>
      <c r="J5478" s="15">
        <v>23.08</v>
      </c>
      <c r="K5478" s="16">
        <f>IF(COUNTIFS(Release_Calendar!$A$2:$A$755,"US_CPI",Release_Calendar!$B$2:$B$755,$A5478)&gt;0,1,0)</f>
        <v>0</v>
      </c>
      <c r="L5478" s="16">
        <f>IF(COUNTIFS(Release_Calendar!$A$2:$A$755,"US_NFP",Release_Calendar!$B$2:$B$755,$A5478)&gt;0,1,0)</f>
        <v>0</v>
      </c>
      <c r="M5478" s="16">
        <f>IF($A5478&lt;Notes!$B$5,"",IF(COUNTIFS(Release_Calendar!$A$2:$A$755,"NZ_CPI",Release_Calendar!$B$2:$B$755,$A5478)&gt;0,1,0))</f>
        <v>0</v>
      </c>
      <c r="N5478" s="16">
        <f>IF($A5478&lt;Notes!$B$5,"",IF(COUNTIFS(Release_Calendar!$A$2:$A$755,"NZ_GDP",Release_Calendar!$B$2:$B$755,$A5478)&gt;0,1,0))</f>
        <v>0</v>
      </c>
      <c r="O5478" s="16">
        <f>IF($A5478&lt;Notes!$B$5,"",IF(COUNTIFS(Release_Calendar!$A$2:$A$755,"NZ_LABOUR",Release_Calendar!$B$2:$B$755,$A5478)&gt;0,1,0))</f>
        <v>0</v>
      </c>
      <c r="P5478" s="16">
        <f t="shared" si="4"/>
        <v>0</v>
      </c>
    </row>
    <row r="5479" ht="15.75" customHeight="1">
      <c r="A5479" s="14">
        <v>44195.0</v>
      </c>
      <c r="B5479" s="15">
        <v>0.12</v>
      </c>
      <c r="C5479" s="15">
        <v>0.28</v>
      </c>
      <c r="D5479" s="15"/>
      <c r="E5479" s="15">
        <v>0.26</v>
      </c>
      <c r="F5479" s="15">
        <f t="shared" si="1"/>
        <v>0.16</v>
      </c>
      <c r="G5479" s="15">
        <f t="shared" si="2"/>
        <v>0.28</v>
      </c>
      <c r="H5479" s="16">
        <v>0.0</v>
      </c>
      <c r="I5479" s="15">
        <f t="shared" si="3"/>
        <v>0.16</v>
      </c>
      <c r="J5479" s="15">
        <v>22.77</v>
      </c>
      <c r="K5479" s="16">
        <f>IF(COUNTIFS(Release_Calendar!$A$2:$A$755,"US_CPI",Release_Calendar!$B$2:$B$755,$A5479)&gt;0,1,0)</f>
        <v>0</v>
      </c>
      <c r="L5479" s="16">
        <f>IF(COUNTIFS(Release_Calendar!$A$2:$A$755,"US_NFP",Release_Calendar!$B$2:$B$755,$A5479)&gt;0,1,0)</f>
        <v>0</v>
      </c>
      <c r="M5479" s="16">
        <f>IF($A5479&lt;Notes!$B$5,"",IF(COUNTIFS(Release_Calendar!$A$2:$A$755,"NZ_CPI",Release_Calendar!$B$2:$B$755,$A5479)&gt;0,1,0))</f>
        <v>0</v>
      </c>
      <c r="N5479" s="16">
        <f>IF($A5479&lt;Notes!$B$5,"",IF(COUNTIFS(Release_Calendar!$A$2:$A$755,"NZ_GDP",Release_Calendar!$B$2:$B$755,$A5479)&gt;0,1,0))</f>
        <v>0</v>
      </c>
      <c r="O5479" s="16">
        <f>IF($A5479&lt;Notes!$B$5,"",IF(COUNTIFS(Release_Calendar!$A$2:$A$755,"NZ_LABOUR",Release_Calendar!$B$2:$B$755,$A5479)&gt;0,1,0))</f>
        <v>0</v>
      </c>
      <c r="P5479" s="16">
        <f t="shared" si="4"/>
        <v>0</v>
      </c>
    </row>
    <row r="5480" ht="15.75" customHeight="1">
      <c r="A5480" s="14">
        <v>44196.0</v>
      </c>
      <c r="B5480" s="15">
        <v>0.13</v>
      </c>
      <c r="C5480" s="15">
        <v>0.28</v>
      </c>
      <c r="D5480" s="15"/>
      <c r="E5480" s="15">
        <v>0.26</v>
      </c>
      <c r="F5480" s="15">
        <f t="shared" si="1"/>
        <v>0.15</v>
      </c>
      <c r="G5480" s="15">
        <f t="shared" si="2"/>
        <v>0.28</v>
      </c>
      <c r="H5480" s="16">
        <v>0.0</v>
      </c>
      <c r="I5480" s="15">
        <f t="shared" si="3"/>
        <v>0.15</v>
      </c>
      <c r="J5480" s="15">
        <v>22.75</v>
      </c>
      <c r="K5480" s="16">
        <f>IF(COUNTIFS(Release_Calendar!$A$2:$A$755,"US_CPI",Release_Calendar!$B$2:$B$755,$A5480)&gt;0,1,0)</f>
        <v>0</v>
      </c>
      <c r="L5480" s="16">
        <f>IF(COUNTIFS(Release_Calendar!$A$2:$A$755,"US_NFP",Release_Calendar!$B$2:$B$755,$A5480)&gt;0,1,0)</f>
        <v>0</v>
      </c>
      <c r="M5480" s="16">
        <f>IF($A5480&lt;Notes!$B$5,"",IF(COUNTIFS(Release_Calendar!$A$2:$A$755,"NZ_CPI",Release_Calendar!$B$2:$B$755,$A5480)&gt;0,1,0))</f>
        <v>0</v>
      </c>
      <c r="N5480" s="16">
        <f>IF($A5480&lt;Notes!$B$5,"",IF(COUNTIFS(Release_Calendar!$A$2:$A$755,"NZ_GDP",Release_Calendar!$B$2:$B$755,$A5480)&gt;0,1,0))</f>
        <v>0</v>
      </c>
      <c r="O5480" s="16">
        <f>IF($A5480&lt;Notes!$B$5,"",IF(COUNTIFS(Release_Calendar!$A$2:$A$755,"NZ_LABOUR",Release_Calendar!$B$2:$B$755,$A5480)&gt;0,1,0))</f>
        <v>0</v>
      </c>
      <c r="P5480" s="16">
        <f t="shared" si="4"/>
        <v>0</v>
      </c>
    </row>
    <row r="5481" ht="15.75" customHeight="1">
      <c r="A5481" s="14">
        <v>44197.0</v>
      </c>
      <c r="B5481" s="15"/>
      <c r="C5481" s="15"/>
      <c r="D5481" s="15"/>
      <c r="E5481" s="15"/>
      <c r="F5481" s="15" t="str">
        <f t="shared" si="1"/>
        <v/>
      </c>
      <c r="G5481" s="15" t="str">
        <f t="shared" si="2"/>
        <v/>
      </c>
      <c r="H5481" s="16">
        <v>0.0</v>
      </c>
      <c r="I5481" s="15" t="str">
        <f t="shared" si="3"/>
        <v/>
      </c>
      <c r="J5481" s="15"/>
      <c r="K5481" s="16">
        <f>IF(COUNTIFS(Release_Calendar!$A$2:$A$755,"US_CPI",Release_Calendar!$B$2:$B$755,$A5481)&gt;0,1,0)</f>
        <v>0</v>
      </c>
      <c r="L5481" s="16">
        <f>IF(COUNTIFS(Release_Calendar!$A$2:$A$755,"US_NFP",Release_Calendar!$B$2:$B$755,$A5481)&gt;0,1,0)</f>
        <v>0</v>
      </c>
      <c r="M5481" s="16">
        <f>IF($A5481&lt;Notes!$B$5,"",IF(COUNTIFS(Release_Calendar!$A$2:$A$755,"NZ_CPI",Release_Calendar!$B$2:$B$755,$A5481)&gt;0,1,0))</f>
        <v>0</v>
      </c>
      <c r="N5481" s="16">
        <f>IF($A5481&lt;Notes!$B$5,"",IF(COUNTIFS(Release_Calendar!$A$2:$A$755,"NZ_GDP",Release_Calendar!$B$2:$B$755,$A5481)&gt;0,1,0))</f>
        <v>0</v>
      </c>
      <c r="O5481" s="16">
        <f>IF($A5481&lt;Notes!$B$5,"",IF(COUNTIFS(Release_Calendar!$A$2:$A$755,"NZ_LABOUR",Release_Calendar!$B$2:$B$755,$A5481)&gt;0,1,0))</f>
        <v>0</v>
      </c>
      <c r="P5481" s="16">
        <f t="shared" si="4"/>
        <v>0</v>
      </c>
    </row>
    <row r="5482" ht="15.75" customHeight="1">
      <c r="A5482" s="14">
        <v>44200.0</v>
      </c>
      <c r="B5482" s="15">
        <v>0.11</v>
      </c>
      <c r="C5482" s="15"/>
      <c r="D5482" s="15"/>
      <c r="E5482" s="15"/>
      <c r="F5482" s="15" t="str">
        <f t="shared" si="1"/>
        <v/>
      </c>
      <c r="G5482" s="15" t="str">
        <f t="shared" si="2"/>
        <v/>
      </c>
      <c r="H5482" s="16">
        <v>0.0</v>
      </c>
      <c r="I5482" s="15" t="str">
        <f t="shared" si="3"/>
        <v/>
      </c>
      <c r="J5482" s="15">
        <v>26.97</v>
      </c>
      <c r="K5482" s="16">
        <f>IF(COUNTIFS(Release_Calendar!$A$2:$A$755,"US_CPI",Release_Calendar!$B$2:$B$755,$A5482)&gt;0,1,0)</f>
        <v>0</v>
      </c>
      <c r="L5482" s="16">
        <f>IF(COUNTIFS(Release_Calendar!$A$2:$A$755,"US_NFP",Release_Calendar!$B$2:$B$755,$A5482)&gt;0,1,0)</f>
        <v>0</v>
      </c>
      <c r="M5482" s="16">
        <f>IF($A5482&lt;Notes!$B$5,"",IF(COUNTIFS(Release_Calendar!$A$2:$A$755,"NZ_CPI",Release_Calendar!$B$2:$B$755,$A5482)&gt;0,1,0))</f>
        <v>0</v>
      </c>
      <c r="N5482" s="16">
        <f>IF($A5482&lt;Notes!$B$5,"",IF(COUNTIFS(Release_Calendar!$A$2:$A$755,"NZ_GDP",Release_Calendar!$B$2:$B$755,$A5482)&gt;0,1,0))</f>
        <v>0</v>
      </c>
      <c r="O5482" s="16">
        <f>IF($A5482&lt;Notes!$B$5,"",IF(COUNTIFS(Release_Calendar!$A$2:$A$755,"NZ_LABOUR",Release_Calendar!$B$2:$B$755,$A5482)&gt;0,1,0))</f>
        <v>0</v>
      </c>
      <c r="P5482" s="16">
        <f t="shared" si="4"/>
        <v>0</v>
      </c>
    </row>
    <row r="5483" ht="15.75" customHeight="1">
      <c r="A5483" s="14">
        <v>44201.0</v>
      </c>
      <c r="B5483" s="15">
        <v>0.13</v>
      </c>
      <c r="C5483" s="15">
        <v>0.27</v>
      </c>
      <c r="D5483" s="15"/>
      <c r="E5483" s="15">
        <v>0.24</v>
      </c>
      <c r="F5483" s="15">
        <f t="shared" si="1"/>
        <v>0.14</v>
      </c>
      <c r="G5483" s="15">
        <f t="shared" si="2"/>
        <v>0.27</v>
      </c>
      <c r="H5483" s="16">
        <v>0.0</v>
      </c>
      <c r="I5483" s="15">
        <f t="shared" si="3"/>
        <v>0.14</v>
      </c>
      <c r="J5483" s="15">
        <v>25.34</v>
      </c>
      <c r="K5483" s="16">
        <f>IF(COUNTIFS(Release_Calendar!$A$2:$A$755,"US_CPI",Release_Calendar!$B$2:$B$755,$A5483)&gt;0,1,0)</f>
        <v>0</v>
      </c>
      <c r="L5483" s="16">
        <f>IF(COUNTIFS(Release_Calendar!$A$2:$A$755,"US_NFP",Release_Calendar!$B$2:$B$755,$A5483)&gt;0,1,0)</f>
        <v>0</v>
      </c>
      <c r="M5483" s="16">
        <f>IF($A5483&lt;Notes!$B$5,"",IF(COUNTIFS(Release_Calendar!$A$2:$A$755,"NZ_CPI",Release_Calendar!$B$2:$B$755,$A5483)&gt;0,1,0))</f>
        <v>0</v>
      </c>
      <c r="N5483" s="16">
        <f>IF($A5483&lt;Notes!$B$5,"",IF(COUNTIFS(Release_Calendar!$A$2:$A$755,"NZ_GDP",Release_Calendar!$B$2:$B$755,$A5483)&gt;0,1,0))</f>
        <v>0</v>
      </c>
      <c r="O5483" s="16">
        <f>IF($A5483&lt;Notes!$B$5,"",IF(COUNTIFS(Release_Calendar!$A$2:$A$755,"NZ_LABOUR",Release_Calendar!$B$2:$B$755,$A5483)&gt;0,1,0))</f>
        <v>0</v>
      </c>
      <c r="P5483" s="16">
        <f t="shared" si="4"/>
        <v>0</v>
      </c>
    </row>
    <row r="5484" ht="15.75" customHeight="1">
      <c r="A5484" s="14">
        <v>44202.0</v>
      </c>
      <c r="B5484" s="15">
        <v>0.14</v>
      </c>
      <c r="C5484" s="15">
        <v>0.29</v>
      </c>
      <c r="D5484" s="15"/>
      <c r="E5484" s="15">
        <v>0.25</v>
      </c>
      <c r="F5484" s="15">
        <f t="shared" si="1"/>
        <v>0.15</v>
      </c>
      <c r="G5484" s="15">
        <f t="shared" si="2"/>
        <v>0.29</v>
      </c>
      <c r="H5484" s="16">
        <v>0.0</v>
      </c>
      <c r="I5484" s="15">
        <f t="shared" si="3"/>
        <v>0.15</v>
      </c>
      <c r="J5484" s="15">
        <v>25.07</v>
      </c>
      <c r="K5484" s="16">
        <f>IF(COUNTIFS(Release_Calendar!$A$2:$A$755,"US_CPI",Release_Calendar!$B$2:$B$755,$A5484)&gt;0,1,0)</f>
        <v>0</v>
      </c>
      <c r="L5484" s="16">
        <f>IF(COUNTIFS(Release_Calendar!$A$2:$A$755,"US_NFP",Release_Calendar!$B$2:$B$755,$A5484)&gt;0,1,0)</f>
        <v>0</v>
      </c>
      <c r="M5484" s="16">
        <f>IF($A5484&lt;Notes!$B$5,"",IF(COUNTIFS(Release_Calendar!$A$2:$A$755,"NZ_CPI",Release_Calendar!$B$2:$B$755,$A5484)&gt;0,1,0))</f>
        <v>0</v>
      </c>
      <c r="N5484" s="16">
        <f>IF($A5484&lt;Notes!$B$5,"",IF(COUNTIFS(Release_Calendar!$A$2:$A$755,"NZ_GDP",Release_Calendar!$B$2:$B$755,$A5484)&gt;0,1,0))</f>
        <v>0</v>
      </c>
      <c r="O5484" s="16">
        <f>IF($A5484&lt;Notes!$B$5,"",IF(COUNTIFS(Release_Calendar!$A$2:$A$755,"NZ_LABOUR",Release_Calendar!$B$2:$B$755,$A5484)&gt;0,1,0))</f>
        <v>0</v>
      </c>
      <c r="P5484" s="16">
        <f t="shared" si="4"/>
        <v>0</v>
      </c>
    </row>
    <row r="5485" ht="15.75" customHeight="1">
      <c r="A5485" s="14">
        <v>44203.0</v>
      </c>
      <c r="B5485" s="15">
        <v>0.14</v>
      </c>
      <c r="C5485" s="15">
        <v>0.28</v>
      </c>
      <c r="D5485" s="15"/>
      <c r="E5485" s="15">
        <v>0.26</v>
      </c>
      <c r="F5485" s="15">
        <f t="shared" si="1"/>
        <v>0.14</v>
      </c>
      <c r="G5485" s="15">
        <f t="shared" si="2"/>
        <v>0.28</v>
      </c>
      <c r="H5485" s="16">
        <v>0.0</v>
      </c>
      <c r="I5485" s="15">
        <f t="shared" si="3"/>
        <v>0.14</v>
      </c>
      <c r="J5485" s="15">
        <v>22.37</v>
      </c>
      <c r="K5485" s="16">
        <f>IF(COUNTIFS(Release_Calendar!$A$2:$A$755,"US_CPI",Release_Calendar!$B$2:$B$755,$A5485)&gt;0,1,0)</f>
        <v>0</v>
      </c>
      <c r="L5485" s="16">
        <f>IF(COUNTIFS(Release_Calendar!$A$2:$A$755,"US_NFP",Release_Calendar!$B$2:$B$755,$A5485)&gt;0,1,0)</f>
        <v>0</v>
      </c>
      <c r="M5485" s="16">
        <f>IF($A5485&lt;Notes!$B$5,"",IF(COUNTIFS(Release_Calendar!$A$2:$A$755,"NZ_CPI",Release_Calendar!$B$2:$B$755,$A5485)&gt;0,1,0))</f>
        <v>0</v>
      </c>
      <c r="N5485" s="16">
        <f>IF($A5485&lt;Notes!$B$5,"",IF(COUNTIFS(Release_Calendar!$A$2:$A$755,"NZ_GDP",Release_Calendar!$B$2:$B$755,$A5485)&gt;0,1,0))</f>
        <v>0</v>
      </c>
      <c r="O5485" s="16">
        <f>IF($A5485&lt;Notes!$B$5,"",IF(COUNTIFS(Release_Calendar!$A$2:$A$755,"NZ_LABOUR",Release_Calendar!$B$2:$B$755,$A5485)&gt;0,1,0))</f>
        <v>0</v>
      </c>
      <c r="P5485" s="16">
        <f t="shared" si="4"/>
        <v>0</v>
      </c>
    </row>
    <row r="5486" ht="15.75" customHeight="1">
      <c r="A5486" s="14">
        <v>44204.0</v>
      </c>
      <c r="B5486" s="15">
        <v>0.14</v>
      </c>
      <c r="C5486" s="15">
        <v>0.29</v>
      </c>
      <c r="D5486" s="15"/>
      <c r="E5486" s="15">
        <v>0.27</v>
      </c>
      <c r="F5486" s="15">
        <f t="shared" si="1"/>
        <v>0.15</v>
      </c>
      <c r="G5486" s="15">
        <f t="shared" si="2"/>
        <v>0.29</v>
      </c>
      <c r="H5486" s="16">
        <v>0.0</v>
      </c>
      <c r="I5486" s="15">
        <f t="shared" si="3"/>
        <v>0.15</v>
      </c>
      <c r="J5486" s="15">
        <v>21.56</v>
      </c>
      <c r="K5486" s="16">
        <f>IF(COUNTIFS(Release_Calendar!$A$2:$A$755,"US_CPI",Release_Calendar!$B$2:$B$755,$A5486)&gt;0,1,0)</f>
        <v>0</v>
      </c>
      <c r="L5486" s="16">
        <f>IF(COUNTIFS(Release_Calendar!$A$2:$A$755,"US_NFP",Release_Calendar!$B$2:$B$755,$A5486)&gt;0,1,0)</f>
        <v>1</v>
      </c>
      <c r="M5486" s="16">
        <f>IF($A5486&lt;Notes!$B$5,"",IF(COUNTIFS(Release_Calendar!$A$2:$A$755,"NZ_CPI",Release_Calendar!$B$2:$B$755,$A5486)&gt;0,1,0))</f>
        <v>0</v>
      </c>
      <c r="N5486" s="16">
        <f>IF($A5486&lt;Notes!$B$5,"",IF(COUNTIFS(Release_Calendar!$A$2:$A$755,"NZ_GDP",Release_Calendar!$B$2:$B$755,$A5486)&gt;0,1,0))</f>
        <v>0</v>
      </c>
      <c r="O5486" s="16">
        <f>IF($A5486&lt;Notes!$B$5,"",IF(COUNTIFS(Release_Calendar!$A$2:$A$755,"NZ_LABOUR",Release_Calendar!$B$2:$B$755,$A5486)&gt;0,1,0))</f>
        <v>0</v>
      </c>
      <c r="P5486" s="16">
        <f t="shared" si="4"/>
        <v>1</v>
      </c>
    </row>
    <row r="5487" ht="15.75" customHeight="1">
      <c r="A5487" s="14">
        <v>44207.0</v>
      </c>
      <c r="B5487" s="15">
        <v>0.14</v>
      </c>
      <c r="C5487" s="15">
        <v>0.27</v>
      </c>
      <c r="D5487" s="15"/>
      <c r="E5487" s="15">
        <v>0.26</v>
      </c>
      <c r="F5487" s="15">
        <f t="shared" si="1"/>
        <v>0.13</v>
      </c>
      <c r="G5487" s="15">
        <f t="shared" si="2"/>
        <v>0.27</v>
      </c>
      <c r="H5487" s="16">
        <v>0.0</v>
      </c>
      <c r="I5487" s="15">
        <f t="shared" si="3"/>
        <v>0.13</v>
      </c>
      <c r="J5487" s="15">
        <v>24.08</v>
      </c>
      <c r="K5487" s="16">
        <f>IF(COUNTIFS(Release_Calendar!$A$2:$A$755,"US_CPI",Release_Calendar!$B$2:$B$755,$A5487)&gt;0,1,0)</f>
        <v>0</v>
      </c>
      <c r="L5487" s="16">
        <f>IF(COUNTIFS(Release_Calendar!$A$2:$A$755,"US_NFP",Release_Calendar!$B$2:$B$755,$A5487)&gt;0,1,0)</f>
        <v>0</v>
      </c>
      <c r="M5487" s="16">
        <f>IF($A5487&lt;Notes!$B$5,"",IF(COUNTIFS(Release_Calendar!$A$2:$A$755,"NZ_CPI",Release_Calendar!$B$2:$B$755,$A5487)&gt;0,1,0))</f>
        <v>0</v>
      </c>
      <c r="N5487" s="16">
        <f>IF($A5487&lt;Notes!$B$5,"",IF(COUNTIFS(Release_Calendar!$A$2:$A$755,"NZ_GDP",Release_Calendar!$B$2:$B$755,$A5487)&gt;0,1,0))</f>
        <v>0</v>
      </c>
      <c r="O5487" s="16">
        <f>IF($A5487&lt;Notes!$B$5,"",IF(COUNTIFS(Release_Calendar!$A$2:$A$755,"NZ_LABOUR",Release_Calendar!$B$2:$B$755,$A5487)&gt;0,1,0))</f>
        <v>0</v>
      </c>
      <c r="P5487" s="16">
        <f t="shared" si="4"/>
        <v>0</v>
      </c>
    </row>
    <row r="5488" ht="15.75" customHeight="1">
      <c r="A5488" s="14">
        <v>44208.0</v>
      </c>
      <c r="B5488" s="15">
        <v>0.14</v>
      </c>
      <c r="C5488" s="15">
        <v>0.28</v>
      </c>
      <c r="D5488" s="15"/>
      <c r="E5488" s="15">
        <v>0.26</v>
      </c>
      <c r="F5488" s="15">
        <f t="shared" si="1"/>
        <v>0.14</v>
      </c>
      <c r="G5488" s="15">
        <f t="shared" si="2"/>
        <v>0.28</v>
      </c>
      <c r="H5488" s="16">
        <v>0.0</v>
      </c>
      <c r="I5488" s="15">
        <f t="shared" si="3"/>
        <v>0.14</v>
      </c>
      <c r="J5488" s="15">
        <v>23.33</v>
      </c>
      <c r="K5488" s="16">
        <f>IF(COUNTIFS(Release_Calendar!$A$2:$A$755,"US_CPI",Release_Calendar!$B$2:$B$755,$A5488)&gt;0,1,0)</f>
        <v>0</v>
      </c>
      <c r="L5488" s="16">
        <f>IF(COUNTIFS(Release_Calendar!$A$2:$A$755,"US_NFP",Release_Calendar!$B$2:$B$755,$A5488)&gt;0,1,0)</f>
        <v>0</v>
      </c>
      <c r="M5488" s="16">
        <f>IF($A5488&lt;Notes!$B$5,"",IF(COUNTIFS(Release_Calendar!$A$2:$A$755,"NZ_CPI",Release_Calendar!$B$2:$B$755,$A5488)&gt;0,1,0))</f>
        <v>0</v>
      </c>
      <c r="N5488" s="16">
        <f>IF($A5488&lt;Notes!$B$5,"",IF(COUNTIFS(Release_Calendar!$A$2:$A$755,"NZ_GDP",Release_Calendar!$B$2:$B$755,$A5488)&gt;0,1,0))</f>
        <v>0</v>
      </c>
      <c r="O5488" s="16">
        <f>IF($A5488&lt;Notes!$B$5,"",IF(COUNTIFS(Release_Calendar!$A$2:$A$755,"NZ_LABOUR",Release_Calendar!$B$2:$B$755,$A5488)&gt;0,1,0))</f>
        <v>0</v>
      </c>
      <c r="P5488" s="16">
        <f t="shared" si="4"/>
        <v>0</v>
      </c>
    </row>
    <row r="5489" ht="15.75" customHeight="1">
      <c r="A5489" s="14">
        <v>44209.0</v>
      </c>
      <c r="B5489" s="15">
        <v>0.14</v>
      </c>
      <c r="C5489" s="15">
        <v>0.27</v>
      </c>
      <c r="D5489" s="15"/>
      <c r="E5489" s="15">
        <v>0.24</v>
      </c>
      <c r="F5489" s="15">
        <f t="shared" si="1"/>
        <v>0.13</v>
      </c>
      <c r="G5489" s="15">
        <f t="shared" si="2"/>
        <v>0.27</v>
      </c>
      <c r="H5489" s="16">
        <v>0.0</v>
      </c>
      <c r="I5489" s="15">
        <f t="shared" si="3"/>
        <v>0.13</v>
      </c>
      <c r="J5489" s="15">
        <v>22.21</v>
      </c>
      <c r="K5489" s="16">
        <f>IF(COUNTIFS(Release_Calendar!$A$2:$A$755,"US_CPI",Release_Calendar!$B$2:$B$755,$A5489)&gt;0,1,0)</f>
        <v>1</v>
      </c>
      <c r="L5489" s="16">
        <f>IF(COUNTIFS(Release_Calendar!$A$2:$A$755,"US_NFP",Release_Calendar!$B$2:$B$755,$A5489)&gt;0,1,0)</f>
        <v>0</v>
      </c>
      <c r="M5489" s="16">
        <f>IF($A5489&lt;Notes!$B$5,"",IF(COUNTIFS(Release_Calendar!$A$2:$A$755,"NZ_CPI",Release_Calendar!$B$2:$B$755,$A5489)&gt;0,1,0))</f>
        <v>0</v>
      </c>
      <c r="N5489" s="16">
        <f>IF($A5489&lt;Notes!$B$5,"",IF(COUNTIFS(Release_Calendar!$A$2:$A$755,"NZ_GDP",Release_Calendar!$B$2:$B$755,$A5489)&gt;0,1,0))</f>
        <v>0</v>
      </c>
      <c r="O5489" s="16">
        <f>IF($A5489&lt;Notes!$B$5,"",IF(COUNTIFS(Release_Calendar!$A$2:$A$755,"NZ_LABOUR",Release_Calendar!$B$2:$B$755,$A5489)&gt;0,1,0))</f>
        <v>0</v>
      </c>
      <c r="P5489" s="16">
        <f t="shared" si="4"/>
        <v>1</v>
      </c>
    </row>
    <row r="5490" ht="15.75" customHeight="1">
      <c r="A5490" s="14">
        <v>44210.0</v>
      </c>
      <c r="B5490" s="15">
        <v>0.16</v>
      </c>
      <c r="C5490" s="15">
        <v>0.28</v>
      </c>
      <c r="D5490" s="15"/>
      <c r="E5490" s="15">
        <v>0.23</v>
      </c>
      <c r="F5490" s="15">
        <f t="shared" si="1"/>
        <v>0.12</v>
      </c>
      <c r="G5490" s="15">
        <f t="shared" si="2"/>
        <v>0.28</v>
      </c>
      <c r="H5490" s="16">
        <v>0.0</v>
      </c>
      <c r="I5490" s="15">
        <f t="shared" si="3"/>
        <v>0.12</v>
      </c>
      <c r="J5490" s="15">
        <v>23.25</v>
      </c>
      <c r="K5490" s="16">
        <f>IF(COUNTIFS(Release_Calendar!$A$2:$A$755,"US_CPI",Release_Calendar!$B$2:$B$755,$A5490)&gt;0,1,0)</f>
        <v>0</v>
      </c>
      <c r="L5490" s="16">
        <f>IF(COUNTIFS(Release_Calendar!$A$2:$A$755,"US_NFP",Release_Calendar!$B$2:$B$755,$A5490)&gt;0,1,0)</f>
        <v>0</v>
      </c>
      <c r="M5490" s="16">
        <f>IF($A5490&lt;Notes!$B$5,"",IF(COUNTIFS(Release_Calendar!$A$2:$A$755,"NZ_CPI",Release_Calendar!$B$2:$B$755,$A5490)&gt;0,1,0))</f>
        <v>0</v>
      </c>
      <c r="N5490" s="16">
        <f>IF($A5490&lt;Notes!$B$5,"",IF(COUNTIFS(Release_Calendar!$A$2:$A$755,"NZ_GDP",Release_Calendar!$B$2:$B$755,$A5490)&gt;0,1,0))</f>
        <v>0</v>
      </c>
      <c r="O5490" s="16">
        <f>IF($A5490&lt;Notes!$B$5,"",IF(COUNTIFS(Release_Calendar!$A$2:$A$755,"NZ_LABOUR",Release_Calendar!$B$2:$B$755,$A5490)&gt;0,1,0))</f>
        <v>0</v>
      </c>
      <c r="P5490" s="16">
        <f t="shared" si="4"/>
        <v>0</v>
      </c>
    </row>
    <row r="5491" ht="15.75" customHeight="1">
      <c r="A5491" s="14">
        <v>44211.0</v>
      </c>
      <c r="B5491" s="15">
        <v>0.13</v>
      </c>
      <c r="C5491" s="15">
        <v>0.27</v>
      </c>
      <c r="D5491" s="15"/>
      <c r="E5491" s="15">
        <v>0.2</v>
      </c>
      <c r="F5491" s="15">
        <f t="shared" si="1"/>
        <v>0.14</v>
      </c>
      <c r="G5491" s="15">
        <f t="shared" si="2"/>
        <v>0.27</v>
      </c>
      <c r="H5491" s="16">
        <v>0.0</v>
      </c>
      <c r="I5491" s="15">
        <f t="shared" si="3"/>
        <v>0.14</v>
      </c>
      <c r="J5491" s="15">
        <v>24.34</v>
      </c>
      <c r="K5491" s="16">
        <f>IF(COUNTIFS(Release_Calendar!$A$2:$A$755,"US_CPI",Release_Calendar!$B$2:$B$755,$A5491)&gt;0,1,0)</f>
        <v>0</v>
      </c>
      <c r="L5491" s="16">
        <f>IF(COUNTIFS(Release_Calendar!$A$2:$A$755,"US_NFP",Release_Calendar!$B$2:$B$755,$A5491)&gt;0,1,0)</f>
        <v>0</v>
      </c>
      <c r="M5491" s="16">
        <f>IF($A5491&lt;Notes!$B$5,"",IF(COUNTIFS(Release_Calendar!$A$2:$A$755,"NZ_CPI",Release_Calendar!$B$2:$B$755,$A5491)&gt;0,1,0))</f>
        <v>0</v>
      </c>
      <c r="N5491" s="16">
        <f>IF($A5491&lt;Notes!$B$5,"",IF(COUNTIFS(Release_Calendar!$A$2:$A$755,"NZ_GDP",Release_Calendar!$B$2:$B$755,$A5491)&gt;0,1,0))</f>
        <v>0</v>
      </c>
      <c r="O5491" s="16">
        <f>IF($A5491&lt;Notes!$B$5,"",IF(COUNTIFS(Release_Calendar!$A$2:$A$755,"NZ_LABOUR",Release_Calendar!$B$2:$B$755,$A5491)&gt;0,1,0))</f>
        <v>0</v>
      </c>
      <c r="P5491" s="16">
        <f t="shared" si="4"/>
        <v>0</v>
      </c>
    </row>
    <row r="5492" ht="15.75" customHeight="1">
      <c r="A5492" s="14">
        <v>44214.0</v>
      </c>
      <c r="B5492" s="15"/>
      <c r="C5492" s="15">
        <v>0.27</v>
      </c>
      <c r="D5492" s="15"/>
      <c r="E5492" s="15">
        <v>0.2</v>
      </c>
      <c r="F5492" s="15" t="str">
        <f t="shared" si="1"/>
        <v/>
      </c>
      <c r="G5492" s="15">
        <f t="shared" si="2"/>
        <v>0.27</v>
      </c>
      <c r="H5492" s="16">
        <v>0.0</v>
      </c>
      <c r="I5492" s="15" t="str">
        <f t="shared" si="3"/>
        <v/>
      </c>
      <c r="J5492" s="15"/>
      <c r="K5492" s="16">
        <f>IF(COUNTIFS(Release_Calendar!$A$2:$A$755,"US_CPI",Release_Calendar!$B$2:$B$755,$A5492)&gt;0,1,0)</f>
        <v>0</v>
      </c>
      <c r="L5492" s="16">
        <f>IF(COUNTIFS(Release_Calendar!$A$2:$A$755,"US_NFP",Release_Calendar!$B$2:$B$755,$A5492)&gt;0,1,0)</f>
        <v>0</v>
      </c>
      <c r="M5492" s="16">
        <f>IF($A5492&lt;Notes!$B$5,"",IF(COUNTIFS(Release_Calendar!$A$2:$A$755,"NZ_CPI",Release_Calendar!$B$2:$B$755,$A5492)&gt;0,1,0))</f>
        <v>0</v>
      </c>
      <c r="N5492" s="16">
        <f>IF($A5492&lt;Notes!$B$5,"",IF(COUNTIFS(Release_Calendar!$A$2:$A$755,"NZ_GDP",Release_Calendar!$B$2:$B$755,$A5492)&gt;0,1,0))</f>
        <v>0</v>
      </c>
      <c r="O5492" s="16">
        <f>IF($A5492&lt;Notes!$B$5,"",IF(COUNTIFS(Release_Calendar!$A$2:$A$755,"NZ_LABOUR",Release_Calendar!$B$2:$B$755,$A5492)&gt;0,1,0))</f>
        <v>0</v>
      </c>
      <c r="P5492" s="16">
        <f t="shared" si="4"/>
        <v>0</v>
      </c>
    </row>
    <row r="5493" ht="15.75" customHeight="1">
      <c r="A5493" s="14">
        <v>44215.0</v>
      </c>
      <c r="B5493" s="15">
        <v>0.14</v>
      </c>
      <c r="C5493" s="15">
        <v>0.27</v>
      </c>
      <c r="D5493" s="15"/>
      <c r="E5493" s="15">
        <v>0.2</v>
      </c>
      <c r="F5493" s="15">
        <f t="shared" si="1"/>
        <v>0.13</v>
      </c>
      <c r="G5493" s="15">
        <f t="shared" si="2"/>
        <v>0.27</v>
      </c>
      <c r="H5493" s="16">
        <v>0.0</v>
      </c>
      <c r="I5493" s="15">
        <f t="shared" si="3"/>
        <v>0.13</v>
      </c>
      <c r="J5493" s="15">
        <v>23.24</v>
      </c>
      <c r="K5493" s="16">
        <f>IF(COUNTIFS(Release_Calendar!$A$2:$A$755,"US_CPI",Release_Calendar!$B$2:$B$755,$A5493)&gt;0,1,0)</f>
        <v>0</v>
      </c>
      <c r="L5493" s="16">
        <f>IF(COUNTIFS(Release_Calendar!$A$2:$A$755,"US_NFP",Release_Calendar!$B$2:$B$755,$A5493)&gt;0,1,0)</f>
        <v>0</v>
      </c>
      <c r="M5493" s="16">
        <f>IF($A5493&lt;Notes!$B$5,"",IF(COUNTIFS(Release_Calendar!$A$2:$A$755,"NZ_CPI",Release_Calendar!$B$2:$B$755,$A5493)&gt;0,1,0))</f>
        <v>0</v>
      </c>
      <c r="N5493" s="16">
        <f>IF($A5493&lt;Notes!$B$5,"",IF(COUNTIFS(Release_Calendar!$A$2:$A$755,"NZ_GDP",Release_Calendar!$B$2:$B$755,$A5493)&gt;0,1,0))</f>
        <v>0</v>
      </c>
      <c r="O5493" s="16">
        <f>IF($A5493&lt;Notes!$B$5,"",IF(COUNTIFS(Release_Calendar!$A$2:$A$755,"NZ_LABOUR",Release_Calendar!$B$2:$B$755,$A5493)&gt;0,1,0))</f>
        <v>0</v>
      </c>
      <c r="P5493" s="16">
        <f t="shared" si="4"/>
        <v>0</v>
      </c>
    </row>
    <row r="5494" ht="15.75" customHeight="1">
      <c r="A5494" s="14">
        <v>44216.0</v>
      </c>
      <c r="B5494" s="15">
        <v>0.13</v>
      </c>
      <c r="C5494" s="15">
        <v>0.28</v>
      </c>
      <c r="D5494" s="15"/>
      <c r="E5494" s="15">
        <v>0.21</v>
      </c>
      <c r="F5494" s="15">
        <f t="shared" si="1"/>
        <v>0.15</v>
      </c>
      <c r="G5494" s="15">
        <f t="shared" si="2"/>
        <v>0.28</v>
      </c>
      <c r="H5494" s="16">
        <v>0.0</v>
      </c>
      <c r="I5494" s="15">
        <f t="shared" si="3"/>
        <v>0.15</v>
      </c>
      <c r="J5494" s="15">
        <v>21.58</v>
      </c>
      <c r="K5494" s="16">
        <f>IF(COUNTIFS(Release_Calendar!$A$2:$A$755,"US_CPI",Release_Calendar!$B$2:$B$755,$A5494)&gt;0,1,0)</f>
        <v>0</v>
      </c>
      <c r="L5494" s="16">
        <f>IF(COUNTIFS(Release_Calendar!$A$2:$A$755,"US_NFP",Release_Calendar!$B$2:$B$755,$A5494)&gt;0,1,0)</f>
        <v>0</v>
      </c>
      <c r="M5494" s="16">
        <f>IF($A5494&lt;Notes!$B$5,"",IF(COUNTIFS(Release_Calendar!$A$2:$A$755,"NZ_CPI",Release_Calendar!$B$2:$B$755,$A5494)&gt;0,1,0))</f>
        <v>0</v>
      </c>
      <c r="N5494" s="16">
        <f>IF($A5494&lt;Notes!$B$5,"",IF(COUNTIFS(Release_Calendar!$A$2:$A$755,"NZ_GDP",Release_Calendar!$B$2:$B$755,$A5494)&gt;0,1,0))</f>
        <v>0</v>
      </c>
      <c r="O5494" s="16">
        <f>IF($A5494&lt;Notes!$B$5,"",IF(COUNTIFS(Release_Calendar!$A$2:$A$755,"NZ_LABOUR",Release_Calendar!$B$2:$B$755,$A5494)&gt;0,1,0))</f>
        <v>0</v>
      </c>
      <c r="P5494" s="16">
        <f t="shared" si="4"/>
        <v>0</v>
      </c>
    </row>
    <row r="5495" ht="15.75" customHeight="1">
      <c r="A5495" s="14">
        <v>44217.0</v>
      </c>
      <c r="B5495" s="15">
        <v>0.13</v>
      </c>
      <c r="C5495" s="15">
        <v>0.27</v>
      </c>
      <c r="D5495" s="15"/>
      <c r="E5495" s="15">
        <v>0.19</v>
      </c>
      <c r="F5495" s="15">
        <f t="shared" si="1"/>
        <v>0.14</v>
      </c>
      <c r="G5495" s="15">
        <f t="shared" si="2"/>
        <v>0.27</v>
      </c>
      <c r="H5495" s="16">
        <v>0.0</v>
      </c>
      <c r="I5495" s="15">
        <f t="shared" si="3"/>
        <v>0.14</v>
      </c>
      <c r="J5495" s="15">
        <v>21.32</v>
      </c>
      <c r="K5495" s="16">
        <f>IF(COUNTIFS(Release_Calendar!$A$2:$A$755,"US_CPI",Release_Calendar!$B$2:$B$755,$A5495)&gt;0,1,0)</f>
        <v>0</v>
      </c>
      <c r="L5495" s="16">
        <f>IF(COUNTIFS(Release_Calendar!$A$2:$A$755,"US_NFP",Release_Calendar!$B$2:$B$755,$A5495)&gt;0,1,0)</f>
        <v>0</v>
      </c>
      <c r="M5495" s="16">
        <f>IF($A5495&lt;Notes!$B$5,"",IF(COUNTIFS(Release_Calendar!$A$2:$A$755,"NZ_CPI",Release_Calendar!$B$2:$B$755,$A5495)&gt;0,1,0))</f>
        <v>0</v>
      </c>
      <c r="N5495" s="16">
        <f>IF($A5495&lt;Notes!$B$5,"",IF(COUNTIFS(Release_Calendar!$A$2:$A$755,"NZ_GDP",Release_Calendar!$B$2:$B$755,$A5495)&gt;0,1,0))</f>
        <v>0</v>
      </c>
      <c r="O5495" s="16">
        <f>IF($A5495&lt;Notes!$B$5,"",IF(COUNTIFS(Release_Calendar!$A$2:$A$755,"NZ_LABOUR",Release_Calendar!$B$2:$B$755,$A5495)&gt;0,1,0))</f>
        <v>0</v>
      </c>
      <c r="P5495" s="16">
        <f t="shared" si="4"/>
        <v>0</v>
      </c>
    </row>
    <row r="5496" ht="15.75" customHeight="1">
      <c r="A5496" s="14">
        <v>44218.0</v>
      </c>
      <c r="B5496" s="15">
        <v>0.13</v>
      </c>
      <c r="C5496" s="15">
        <v>0.31</v>
      </c>
      <c r="D5496" s="15"/>
      <c r="E5496" s="15">
        <v>0.2</v>
      </c>
      <c r="F5496" s="15">
        <f t="shared" si="1"/>
        <v>0.18</v>
      </c>
      <c r="G5496" s="15">
        <f t="shared" si="2"/>
        <v>0.31</v>
      </c>
      <c r="H5496" s="16">
        <v>0.0</v>
      </c>
      <c r="I5496" s="15">
        <f t="shared" si="3"/>
        <v>0.18</v>
      </c>
      <c r="J5496" s="15">
        <v>21.91</v>
      </c>
      <c r="K5496" s="16">
        <f>IF(COUNTIFS(Release_Calendar!$A$2:$A$755,"US_CPI",Release_Calendar!$B$2:$B$755,$A5496)&gt;0,1,0)</f>
        <v>0</v>
      </c>
      <c r="L5496" s="16">
        <f>IF(COUNTIFS(Release_Calendar!$A$2:$A$755,"US_NFP",Release_Calendar!$B$2:$B$755,$A5496)&gt;0,1,0)</f>
        <v>0</v>
      </c>
      <c r="M5496" s="16">
        <f>IF($A5496&lt;Notes!$B$5,"",IF(COUNTIFS(Release_Calendar!$A$2:$A$755,"NZ_CPI",Release_Calendar!$B$2:$B$755,$A5496)&gt;0,1,0))</f>
        <v>1</v>
      </c>
      <c r="N5496" s="16">
        <f>IF($A5496&lt;Notes!$B$5,"",IF(COUNTIFS(Release_Calendar!$A$2:$A$755,"NZ_GDP",Release_Calendar!$B$2:$B$755,$A5496)&gt;0,1,0))</f>
        <v>0</v>
      </c>
      <c r="O5496" s="16">
        <f>IF($A5496&lt;Notes!$B$5,"",IF(COUNTIFS(Release_Calendar!$A$2:$A$755,"NZ_LABOUR",Release_Calendar!$B$2:$B$755,$A5496)&gt;0,1,0))</f>
        <v>0</v>
      </c>
      <c r="P5496" s="16">
        <f t="shared" si="4"/>
        <v>1</v>
      </c>
    </row>
    <row r="5497" ht="15.75" customHeight="1">
      <c r="A5497" s="14">
        <v>44221.0</v>
      </c>
      <c r="B5497" s="15">
        <v>0.13</v>
      </c>
      <c r="C5497" s="15">
        <v>0.31</v>
      </c>
      <c r="D5497" s="15"/>
      <c r="E5497" s="15">
        <v>0.2</v>
      </c>
      <c r="F5497" s="15">
        <f t="shared" si="1"/>
        <v>0.18</v>
      </c>
      <c r="G5497" s="15">
        <f t="shared" si="2"/>
        <v>0.31</v>
      </c>
      <c r="H5497" s="16">
        <v>0.0</v>
      </c>
      <c r="I5497" s="15">
        <f t="shared" si="3"/>
        <v>0.18</v>
      </c>
      <c r="J5497" s="15">
        <v>23.19</v>
      </c>
      <c r="K5497" s="16">
        <f>IF(COUNTIFS(Release_Calendar!$A$2:$A$755,"US_CPI",Release_Calendar!$B$2:$B$755,$A5497)&gt;0,1,0)</f>
        <v>0</v>
      </c>
      <c r="L5497" s="16">
        <f>IF(COUNTIFS(Release_Calendar!$A$2:$A$755,"US_NFP",Release_Calendar!$B$2:$B$755,$A5497)&gt;0,1,0)</f>
        <v>0</v>
      </c>
      <c r="M5497" s="16">
        <f>IF($A5497&lt;Notes!$B$5,"",IF(COUNTIFS(Release_Calendar!$A$2:$A$755,"NZ_CPI",Release_Calendar!$B$2:$B$755,$A5497)&gt;0,1,0))</f>
        <v>0</v>
      </c>
      <c r="N5497" s="16">
        <f>IF($A5497&lt;Notes!$B$5,"",IF(COUNTIFS(Release_Calendar!$A$2:$A$755,"NZ_GDP",Release_Calendar!$B$2:$B$755,$A5497)&gt;0,1,0))</f>
        <v>0</v>
      </c>
      <c r="O5497" s="16">
        <f>IF($A5497&lt;Notes!$B$5,"",IF(COUNTIFS(Release_Calendar!$A$2:$A$755,"NZ_LABOUR",Release_Calendar!$B$2:$B$755,$A5497)&gt;0,1,0))</f>
        <v>0</v>
      </c>
      <c r="P5497" s="16">
        <f t="shared" si="4"/>
        <v>0</v>
      </c>
    </row>
    <row r="5498" ht="15.75" customHeight="1">
      <c r="A5498" s="14">
        <v>44222.0</v>
      </c>
      <c r="B5498" s="15">
        <v>0.11</v>
      </c>
      <c r="C5498" s="15">
        <v>0.3</v>
      </c>
      <c r="D5498" s="15"/>
      <c r="E5498" s="15">
        <v>0.18</v>
      </c>
      <c r="F5498" s="15">
        <f t="shared" si="1"/>
        <v>0.19</v>
      </c>
      <c r="G5498" s="15">
        <f t="shared" si="2"/>
        <v>0.3</v>
      </c>
      <c r="H5498" s="16">
        <v>0.0</v>
      </c>
      <c r="I5498" s="15">
        <f t="shared" si="3"/>
        <v>0.19</v>
      </c>
      <c r="J5498" s="15">
        <v>23.02</v>
      </c>
      <c r="K5498" s="16">
        <f>IF(COUNTIFS(Release_Calendar!$A$2:$A$755,"US_CPI",Release_Calendar!$B$2:$B$755,$A5498)&gt;0,1,0)</f>
        <v>0</v>
      </c>
      <c r="L5498" s="16">
        <f>IF(COUNTIFS(Release_Calendar!$A$2:$A$755,"US_NFP",Release_Calendar!$B$2:$B$755,$A5498)&gt;0,1,0)</f>
        <v>0</v>
      </c>
      <c r="M5498" s="16">
        <f>IF($A5498&lt;Notes!$B$5,"",IF(COUNTIFS(Release_Calendar!$A$2:$A$755,"NZ_CPI",Release_Calendar!$B$2:$B$755,$A5498)&gt;0,1,0))</f>
        <v>0</v>
      </c>
      <c r="N5498" s="16">
        <f>IF($A5498&lt;Notes!$B$5,"",IF(COUNTIFS(Release_Calendar!$A$2:$A$755,"NZ_GDP",Release_Calendar!$B$2:$B$755,$A5498)&gt;0,1,0))</f>
        <v>0</v>
      </c>
      <c r="O5498" s="16">
        <f>IF($A5498&lt;Notes!$B$5,"",IF(COUNTIFS(Release_Calendar!$A$2:$A$755,"NZ_LABOUR",Release_Calendar!$B$2:$B$755,$A5498)&gt;0,1,0))</f>
        <v>0</v>
      </c>
      <c r="P5498" s="16">
        <f t="shared" si="4"/>
        <v>0</v>
      </c>
    </row>
    <row r="5499" ht="15.75" customHeight="1">
      <c r="A5499" s="14">
        <v>44223.0</v>
      </c>
      <c r="B5499" s="15">
        <v>0.12</v>
      </c>
      <c r="C5499" s="15">
        <v>0.31</v>
      </c>
      <c r="D5499" s="15"/>
      <c r="E5499" s="15">
        <v>0.19</v>
      </c>
      <c r="F5499" s="15">
        <f t="shared" si="1"/>
        <v>0.19</v>
      </c>
      <c r="G5499" s="15">
        <f t="shared" si="2"/>
        <v>0.31</v>
      </c>
      <c r="H5499" s="16">
        <v>0.0</v>
      </c>
      <c r="I5499" s="15">
        <f t="shared" si="3"/>
        <v>0.19</v>
      </c>
      <c r="J5499" s="15">
        <v>37.21</v>
      </c>
      <c r="K5499" s="16">
        <f>IF(COUNTIFS(Release_Calendar!$A$2:$A$755,"US_CPI",Release_Calendar!$B$2:$B$755,$A5499)&gt;0,1,0)</f>
        <v>0</v>
      </c>
      <c r="L5499" s="16">
        <f>IF(COUNTIFS(Release_Calendar!$A$2:$A$755,"US_NFP",Release_Calendar!$B$2:$B$755,$A5499)&gt;0,1,0)</f>
        <v>0</v>
      </c>
      <c r="M5499" s="16">
        <f>IF($A5499&lt;Notes!$B$5,"",IF(COUNTIFS(Release_Calendar!$A$2:$A$755,"NZ_CPI",Release_Calendar!$B$2:$B$755,$A5499)&gt;0,1,0))</f>
        <v>0</v>
      </c>
      <c r="N5499" s="16">
        <f>IF($A5499&lt;Notes!$B$5,"",IF(COUNTIFS(Release_Calendar!$A$2:$A$755,"NZ_GDP",Release_Calendar!$B$2:$B$755,$A5499)&gt;0,1,0))</f>
        <v>0</v>
      </c>
      <c r="O5499" s="16">
        <f>IF($A5499&lt;Notes!$B$5,"",IF(COUNTIFS(Release_Calendar!$A$2:$A$755,"NZ_LABOUR",Release_Calendar!$B$2:$B$755,$A5499)&gt;0,1,0))</f>
        <v>0</v>
      </c>
      <c r="P5499" s="16">
        <f t="shared" si="4"/>
        <v>0</v>
      </c>
    </row>
    <row r="5500" ht="15.75" customHeight="1">
      <c r="A5500" s="14">
        <v>44224.0</v>
      </c>
      <c r="B5500" s="15">
        <v>0.12</v>
      </c>
      <c r="C5500" s="15">
        <v>0.31</v>
      </c>
      <c r="D5500" s="15"/>
      <c r="E5500" s="15">
        <v>0.2</v>
      </c>
      <c r="F5500" s="15">
        <f t="shared" si="1"/>
        <v>0.19</v>
      </c>
      <c r="G5500" s="15">
        <f t="shared" si="2"/>
        <v>0.31</v>
      </c>
      <c r="H5500" s="16">
        <v>0.0</v>
      </c>
      <c r="I5500" s="15">
        <f t="shared" si="3"/>
        <v>0.19</v>
      </c>
      <c r="J5500" s="15">
        <v>30.21</v>
      </c>
      <c r="K5500" s="16">
        <f>IF(COUNTIFS(Release_Calendar!$A$2:$A$755,"US_CPI",Release_Calendar!$B$2:$B$755,$A5500)&gt;0,1,0)</f>
        <v>0</v>
      </c>
      <c r="L5500" s="16">
        <f>IF(COUNTIFS(Release_Calendar!$A$2:$A$755,"US_NFP",Release_Calendar!$B$2:$B$755,$A5500)&gt;0,1,0)</f>
        <v>0</v>
      </c>
      <c r="M5500" s="16">
        <f>IF($A5500&lt;Notes!$B$5,"",IF(COUNTIFS(Release_Calendar!$A$2:$A$755,"NZ_CPI",Release_Calendar!$B$2:$B$755,$A5500)&gt;0,1,0))</f>
        <v>0</v>
      </c>
      <c r="N5500" s="16">
        <f>IF($A5500&lt;Notes!$B$5,"",IF(COUNTIFS(Release_Calendar!$A$2:$A$755,"NZ_GDP",Release_Calendar!$B$2:$B$755,$A5500)&gt;0,1,0))</f>
        <v>0</v>
      </c>
      <c r="O5500" s="16">
        <f>IF($A5500&lt;Notes!$B$5,"",IF(COUNTIFS(Release_Calendar!$A$2:$A$755,"NZ_LABOUR",Release_Calendar!$B$2:$B$755,$A5500)&gt;0,1,0))</f>
        <v>0</v>
      </c>
      <c r="P5500" s="16">
        <f t="shared" si="4"/>
        <v>0</v>
      </c>
    </row>
    <row r="5501" ht="15.75" customHeight="1">
      <c r="A5501" s="14">
        <v>44225.0</v>
      </c>
      <c r="B5501" s="15">
        <v>0.11</v>
      </c>
      <c r="C5501" s="15">
        <v>0.31</v>
      </c>
      <c r="D5501" s="15"/>
      <c r="E5501" s="15">
        <v>0.2</v>
      </c>
      <c r="F5501" s="15">
        <f t="shared" si="1"/>
        <v>0.2</v>
      </c>
      <c r="G5501" s="15">
        <f t="shared" si="2"/>
        <v>0.31</v>
      </c>
      <c r="H5501" s="16">
        <v>0.0</v>
      </c>
      <c r="I5501" s="15">
        <f t="shared" si="3"/>
        <v>0.2</v>
      </c>
      <c r="J5501" s="15">
        <v>33.09</v>
      </c>
      <c r="K5501" s="16">
        <f>IF(COUNTIFS(Release_Calendar!$A$2:$A$755,"US_CPI",Release_Calendar!$B$2:$B$755,$A5501)&gt;0,1,0)</f>
        <v>0</v>
      </c>
      <c r="L5501" s="16">
        <f>IF(COUNTIFS(Release_Calendar!$A$2:$A$755,"US_NFP",Release_Calendar!$B$2:$B$755,$A5501)&gt;0,1,0)</f>
        <v>0</v>
      </c>
      <c r="M5501" s="16">
        <f>IF($A5501&lt;Notes!$B$5,"",IF(COUNTIFS(Release_Calendar!$A$2:$A$755,"NZ_CPI",Release_Calendar!$B$2:$B$755,$A5501)&gt;0,1,0))</f>
        <v>0</v>
      </c>
      <c r="N5501" s="16">
        <f>IF($A5501&lt;Notes!$B$5,"",IF(COUNTIFS(Release_Calendar!$A$2:$A$755,"NZ_GDP",Release_Calendar!$B$2:$B$755,$A5501)&gt;0,1,0))</f>
        <v>0</v>
      </c>
      <c r="O5501" s="16">
        <f>IF($A5501&lt;Notes!$B$5,"",IF(COUNTIFS(Release_Calendar!$A$2:$A$755,"NZ_LABOUR",Release_Calendar!$B$2:$B$755,$A5501)&gt;0,1,0))</f>
        <v>0</v>
      </c>
      <c r="P5501" s="16">
        <f t="shared" si="4"/>
        <v>0</v>
      </c>
    </row>
    <row r="5502" ht="15.75" customHeight="1">
      <c r="A5502" s="14">
        <v>44228.0</v>
      </c>
      <c r="B5502" s="15">
        <v>0.11</v>
      </c>
      <c r="C5502" s="15">
        <v>0.31</v>
      </c>
      <c r="D5502" s="15"/>
      <c r="E5502" s="15">
        <v>0.2</v>
      </c>
      <c r="F5502" s="15">
        <f t="shared" si="1"/>
        <v>0.2</v>
      </c>
      <c r="G5502" s="15">
        <f t="shared" si="2"/>
        <v>0.31</v>
      </c>
      <c r="H5502" s="16">
        <v>0.0</v>
      </c>
      <c r="I5502" s="15">
        <f t="shared" si="3"/>
        <v>0.2</v>
      </c>
      <c r="J5502" s="15">
        <v>30.24</v>
      </c>
      <c r="K5502" s="16">
        <f>IF(COUNTIFS(Release_Calendar!$A$2:$A$755,"US_CPI",Release_Calendar!$B$2:$B$755,$A5502)&gt;0,1,0)</f>
        <v>0</v>
      </c>
      <c r="L5502" s="16">
        <f>IF(COUNTIFS(Release_Calendar!$A$2:$A$755,"US_NFP",Release_Calendar!$B$2:$B$755,$A5502)&gt;0,1,0)</f>
        <v>0</v>
      </c>
      <c r="M5502" s="16">
        <f>IF($A5502&lt;Notes!$B$5,"",IF(COUNTIFS(Release_Calendar!$A$2:$A$755,"NZ_CPI",Release_Calendar!$B$2:$B$755,$A5502)&gt;0,1,0))</f>
        <v>0</v>
      </c>
      <c r="N5502" s="16">
        <f>IF($A5502&lt;Notes!$B$5,"",IF(COUNTIFS(Release_Calendar!$A$2:$A$755,"NZ_GDP",Release_Calendar!$B$2:$B$755,$A5502)&gt;0,1,0))</f>
        <v>0</v>
      </c>
      <c r="O5502" s="16">
        <f>IF($A5502&lt;Notes!$B$5,"",IF(COUNTIFS(Release_Calendar!$A$2:$A$755,"NZ_LABOUR",Release_Calendar!$B$2:$B$755,$A5502)&gt;0,1,0))</f>
        <v>0</v>
      </c>
      <c r="P5502" s="16">
        <f t="shared" si="4"/>
        <v>0</v>
      </c>
    </row>
    <row r="5503" ht="15.75" customHeight="1">
      <c r="A5503" s="14">
        <v>44229.0</v>
      </c>
      <c r="B5503" s="15">
        <v>0.11</v>
      </c>
      <c r="C5503" s="15">
        <v>0.32</v>
      </c>
      <c r="D5503" s="15"/>
      <c r="E5503" s="15">
        <v>0.23</v>
      </c>
      <c r="F5503" s="15">
        <f t="shared" si="1"/>
        <v>0.21</v>
      </c>
      <c r="G5503" s="15">
        <f t="shared" si="2"/>
        <v>0.32</v>
      </c>
      <c r="H5503" s="16">
        <v>0.0</v>
      </c>
      <c r="I5503" s="15">
        <f t="shared" si="3"/>
        <v>0.21</v>
      </c>
      <c r="J5503" s="15">
        <v>25.56</v>
      </c>
      <c r="K5503" s="16">
        <f>IF(COUNTIFS(Release_Calendar!$A$2:$A$755,"US_CPI",Release_Calendar!$B$2:$B$755,$A5503)&gt;0,1,0)</f>
        <v>0</v>
      </c>
      <c r="L5503" s="16">
        <f>IF(COUNTIFS(Release_Calendar!$A$2:$A$755,"US_NFP",Release_Calendar!$B$2:$B$755,$A5503)&gt;0,1,0)</f>
        <v>0</v>
      </c>
      <c r="M5503" s="16">
        <f>IF($A5503&lt;Notes!$B$5,"",IF(COUNTIFS(Release_Calendar!$A$2:$A$755,"NZ_CPI",Release_Calendar!$B$2:$B$755,$A5503)&gt;0,1,0))</f>
        <v>0</v>
      </c>
      <c r="N5503" s="16">
        <f>IF($A5503&lt;Notes!$B$5,"",IF(COUNTIFS(Release_Calendar!$A$2:$A$755,"NZ_GDP",Release_Calendar!$B$2:$B$755,$A5503)&gt;0,1,0))</f>
        <v>0</v>
      </c>
      <c r="O5503" s="16">
        <f>IF($A5503&lt;Notes!$B$5,"",IF(COUNTIFS(Release_Calendar!$A$2:$A$755,"NZ_LABOUR",Release_Calendar!$B$2:$B$755,$A5503)&gt;0,1,0))</f>
        <v>0</v>
      </c>
      <c r="P5503" s="16">
        <f t="shared" si="4"/>
        <v>0</v>
      </c>
    </row>
    <row r="5504" ht="15.75" customHeight="1">
      <c r="A5504" s="14">
        <v>44230.0</v>
      </c>
      <c r="B5504" s="15">
        <v>0.11</v>
      </c>
      <c r="C5504" s="15">
        <v>0.36</v>
      </c>
      <c r="D5504" s="15"/>
      <c r="E5504" s="15">
        <v>0.27</v>
      </c>
      <c r="F5504" s="15">
        <f t="shared" si="1"/>
        <v>0.25</v>
      </c>
      <c r="G5504" s="15">
        <f t="shared" si="2"/>
        <v>0.36</v>
      </c>
      <c r="H5504" s="16">
        <v>0.0</v>
      </c>
      <c r="I5504" s="15">
        <f t="shared" si="3"/>
        <v>0.25</v>
      </c>
      <c r="J5504" s="15">
        <v>22.91</v>
      </c>
      <c r="K5504" s="16">
        <f>IF(COUNTIFS(Release_Calendar!$A$2:$A$755,"US_CPI",Release_Calendar!$B$2:$B$755,$A5504)&gt;0,1,0)</f>
        <v>0</v>
      </c>
      <c r="L5504" s="16">
        <f>IF(COUNTIFS(Release_Calendar!$A$2:$A$755,"US_NFP",Release_Calendar!$B$2:$B$755,$A5504)&gt;0,1,0)</f>
        <v>0</v>
      </c>
      <c r="M5504" s="16">
        <f>IF($A5504&lt;Notes!$B$5,"",IF(COUNTIFS(Release_Calendar!$A$2:$A$755,"NZ_CPI",Release_Calendar!$B$2:$B$755,$A5504)&gt;0,1,0))</f>
        <v>0</v>
      </c>
      <c r="N5504" s="16">
        <f>IF($A5504&lt;Notes!$B$5,"",IF(COUNTIFS(Release_Calendar!$A$2:$A$755,"NZ_GDP",Release_Calendar!$B$2:$B$755,$A5504)&gt;0,1,0))</f>
        <v>0</v>
      </c>
      <c r="O5504" s="16">
        <f>IF($A5504&lt;Notes!$B$5,"",IF(COUNTIFS(Release_Calendar!$A$2:$A$755,"NZ_LABOUR",Release_Calendar!$B$2:$B$755,$A5504)&gt;0,1,0))</f>
        <v>1</v>
      </c>
      <c r="P5504" s="16">
        <f t="shared" si="4"/>
        <v>1</v>
      </c>
    </row>
    <row r="5505" ht="15.75" customHeight="1">
      <c r="A5505" s="14">
        <v>44231.0</v>
      </c>
      <c r="B5505" s="15">
        <v>0.11</v>
      </c>
      <c r="C5505" s="15">
        <v>0.37</v>
      </c>
      <c r="D5505" s="15"/>
      <c r="E5505" s="15">
        <v>0.26</v>
      </c>
      <c r="F5505" s="15">
        <f t="shared" si="1"/>
        <v>0.26</v>
      </c>
      <c r="G5505" s="15">
        <f t="shared" si="2"/>
        <v>0.37</v>
      </c>
      <c r="H5505" s="16">
        <v>0.0</v>
      </c>
      <c r="I5505" s="15">
        <f t="shared" si="3"/>
        <v>0.26</v>
      </c>
      <c r="J5505" s="15">
        <v>21.77</v>
      </c>
      <c r="K5505" s="16">
        <f>IF(COUNTIFS(Release_Calendar!$A$2:$A$755,"US_CPI",Release_Calendar!$B$2:$B$755,$A5505)&gt;0,1,0)</f>
        <v>0</v>
      </c>
      <c r="L5505" s="16">
        <f>IF(COUNTIFS(Release_Calendar!$A$2:$A$755,"US_NFP",Release_Calendar!$B$2:$B$755,$A5505)&gt;0,1,0)</f>
        <v>0</v>
      </c>
      <c r="M5505" s="16">
        <f>IF($A5505&lt;Notes!$B$5,"",IF(COUNTIFS(Release_Calendar!$A$2:$A$755,"NZ_CPI",Release_Calendar!$B$2:$B$755,$A5505)&gt;0,1,0))</f>
        <v>0</v>
      </c>
      <c r="N5505" s="16">
        <f>IF($A5505&lt;Notes!$B$5,"",IF(COUNTIFS(Release_Calendar!$A$2:$A$755,"NZ_GDP",Release_Calendar!$B$2:$B$755,$A5505)&gt;0,1,0))</f>
        <v>0</v>
      </c>
      <c r="O5505" s="16">
        <f>IF($A5505&lt;Notes!$B$5,"",IF(COUNTIFS(Release_Calendar!$A$2:$A$755,"NZ_LABOUR",Release_Calendar!$B$2:$B$755,$A5505)&gt;0,1,0))</f>
        <v>0</v>
      </c>
      <c r="P5505" s="16">
        <f t="shared" si="4"/>
        <v>0</v>
      </c>
    </row>
    <row r="5506" ht="15.75" customHeight="1">
      <c r="A5506" s="14">
        <v>44232.0</v>
      </c>
      <c r="B5506" s="15">
        <v>0.09</v>
      </c>
      <c r="C5506" s="15">
        <v>0.37</v>
      </c>
      <c r="D5506" s="15"/>
      <c r="E5506" s="15">
        <v>0.26</v>
      </c>
      <c r="F5506" s="15">
        <f t="shared" si="1"/>
        <v>0.28</v>
      </c>
      <c r="G5506" s="15">
        <f t="shared" si="2"/>
        <v>0.37</v>
      </c>
      <c r="H5506" s="16">
        <v>0.0</v>
      </c>
      <c r="I5506" s="15">
        <f t="shared" si="3"/>
        <v>0.28</v>
      </c>
      <c r="J5506" s="15">
        <v>20.87</v>
      </c>
      <c r="K5506" s="16">
        <f>IF(COUNTIFS(Release_Calendar!$A$2:$A$755,"US_CPI",Release_Calendar!$B$2:$B$755,$A5506)&gt;0,1,0)</f>
        <v>0</v>
      </c>
      <c r="L5506" s="16">
        <f>IF(COUNTIFS(Release_Calendar!$A$2:$A$755,"US_NFP",Release_Calendar!$B$2:$B$755,$A5506)&gt;0,1,0)</f>
        <v>1</v>
      </c>
      <c r="M5506" s="16">
        <f>IF($A5506&lt;Notes!$B$5,"",IF(COUNTIFS(Release_Calendar!$A$2:$A$755,"NZ_CPI",Release_Calendar!$B$2:$B$755,$A5506)&gt;0,1,0))</f>
        <v>0</v>
      </c>
      <c r="N5506" s="16">
        <f>IF($A5506&lt;Notes!$B$5,"",IF(COUNTIFS(Release_Calendar!$A$2:$A$755,"NZ_GDP",Release_Calendar!$B$2:$B$755,$A5506)&gt;0,1,0))</f>
        <v>0</v>
      </c>
      <c r="O5506" s="16">
        <f>IF($A5506&lt;Notes!$B$5,"",IF(COUNTIFS(Release_Calendar!$A$2:$A$755,"NZ_LABOUR",Release_Calendar!$B$2:$B$755,$A5506)&gt;0,1,0))</f>
        <v>0</v>
      </c>
      <c r="P5506" s="16">
        <f t="shared" si="4"/>
        <v>1</v>
      </c>
    </row>
    <row r="5507" ht="15.75" customHeight="1">
      <c r="A5507" s="14">
        <v>44235.0</v>
      </c>
      <c r="B5507" s="15">
        <v>0.11</v>
      </c>
      <c r="C5507" s="15"/>
      <c r="D5507" s="15"/>
      <c r="E5507" s="15"/>
      <c r="F5507" s="15" t="str">
        <f t="shared" si="1"/>
        <v/>
      </c>
      <c r="G5507" s="15" t="str">
        <f t="shared" si="2"/>
        <v/>
      </c>
      <c r="H5507" s="16">
        <v>0.0</v>
      </c>
      <c r="I5507" s="15" t="str">
        <f t="shared" si="3"/>
        <v/>
      </c>
      <c r="J5507" s="15">
        <v>21.24</v>
      </c>
      <c r="K5507" s="16">
        <f>IF(COUNTIFS(Release_Calendar!$A$2:$A$755,"US_CPI",Release_Calendar!$B$2:$B$755,$A5507)&gt;0,1,0)</f>
        <v>0</v>
      </c>
      <c r="L5507" s="16">
        <f>IF(COUNTIFS(Release_Calendar!$A$2:$A$755,"US_NFP",Release_Calendar!$B$2:$B$755,$A5507)&gt;0,1,0)</f>
        <v>0</v>
      </c>
      <c r="M5507" s="16">
        <f>IF($A5507&lt;Notes!$B$5,"",IF(COUNTIFS(Release_Calendar!$A$2:$A$755,"NZ_CPI",Release_Calendar!$B$2:$B$755,$A5507)&gt;0,1,0))</f>
        <v>0</v>
      </c>
      <c r="N5507" s="16">
        <f>IF($A5507&lt;Notes!$B$5,"",IF(COUNTIFS(Release_Calendar!$A$2:$A$755,"NZ_GDP",Release_Calendar!$B$2:$B$755,$A5507)&gt;0,1,0))</f>
        <v>0</v>
      </c>
      <c r="O5507" s="16">
        <f>IF($A5507&lt;Notes!$B$5,"",IF(COUNTIFS(Release_Calendar!$A$2:$A$755,"NZ_LABOUR",Release_Calendar!$B$2:$B$755,$A5507)&gt;0,1,0))</f>
        <v>0</v>
      </c>
      <c r="P5507" s="16">
        <f t="shared" si="4"/>
        <v>0</v>
      </c>
    </row>
    <row r="5508" ht="15.75" customHeight="1">
      <c r="A5508" s="14">
        <v>44236.0</v>
      </c>
      <c r="B5508" s="15">
        <v>0.11</v>
      </c>
      <c r="C5508" s="15">
        <v>0.37</v>
      </c>
      <c r="D5508" s="15"/>
      <c r="E5508" s="15">
        <v>0.28</v>
      </c>
      <c r="F5508" s="15">
        <f t="shared" si="1"/>
        <v>0.26</v>
      </c>
      <c r="G5508" s="15">
        <f t="shared" si="2"/>
        <v>0.37</v>
      </c>
      <c r="H5508" s="16">
        <v>0.0</v>
      </c>
      <c r="I5508" s="15">
        <f t="shared" si="3"/>
        <v>0.26</v>
      </c>
      <c r="J5508" s="15">
        <v>21.63</v>
      </c>
      <c r="K5508" s="16">
        <f>IF(COUNTIFS(Release_Calendar!$A$2:$A$755,"US_CPI",Release_Calendar!$B$2:$B$755,$A5508)&gt;0,1,0)</f>
        <v>0</v>
      </c>
      <c r="L5508" s="16">
        <f>IF(COUNTIFS(Release_Calendar!$A$2:$A$755,"US_NFP",Release_Calendar!$B$2:$B$755,$A5508)&gt;0,1,0)</f>
        <v>0</v>
      </c>
      <c r="M5508" s="16">
        <f>IF($A5508&lt;Notes!$B$5,"",IF(COUNTIFS(Release_Calendar!$A$2:$A$755,"NZ_CPI",Release_Calendar!$B$2:$B$755,$A5508)&gt;0,1,0))</f>
        <v>0</v>
      </c>
      <c r="N5508" s="16">
        <f>IF($A5508&lt;Notes!$B$5,"",IF(COUNTIFS(Release_Calendar!$A$2:$A$755,"NZ_GDP",Release_Calendar!$B$2:$B$755,$A5508)&gt;0,1,0))</f>
        <v>0</v>
      </c>
      <c r="O5508" s="16">
        <f>IF($A5508&lt;Notes!$B$5,"",IF(COUNTIFS(Release_Calendar!$A$2:$A$755,"NZ_LABOUR",Release_Calendar!$B$2:$B$755,$A5508)&gt;0,1,0))</f>
        <v>0</v>
      </c>
      <c r="P5508" s="16">
        <f t="shared" si="4"/>
        <v>0</v>
      </c>
    </row>
    <row r="5509" ht="15.75" customHeight="1">
      <c r="A5509" s="14">
        <v>44237.0</v>
      </c>
      <c r="B5509" s="15">
        <v>0.11</v>
      </c>
      <c r="C5509" s="15">
        <v>0.35</v>
      </c>
      <c r="D5509" s="15"/>
      <c r="E5509" s="15">
        <v>0.26</v>
      </c>
      <c r="F5509" s="15">
        <f t="shared" si="1"/>
        <v>0.24</v>
      </c>
      <c r="G5509" s="15">
        <f t="shared" si="2"/>
        <v>0.35</v>
      </c>
      <c r="H5509" s="16">
        <v>0.0</v>
      </c>
      <c r="I5509" s="15">
        <f t="shared" si="3"/>
        <v>0.24</v>
      </c>
      <c r="J5509" s="15">
        <v>21.99</v>
      </c>
      <c r="K5509" s="16">
        <f>IF(COUNTIFS(Release_Calendar!$A$2:$A$755,"US_CPI",Release_Calendar!$B$2:$B$755,$A5509)&gt;0,1,0)</f>
        <v>1</v>
      </c>
      <c r="L5509" s="16">
        <f>IF(COUNTIFS(Release_Calendar!$A$2:$A$755,"US_NFP",Release_Calendar!$B$2:$B$755,$A5509)&gt;0,1,0)</f>
        <v>0</v>
      </c>
      <c r="M5509" s="16">
        <f>IF($A5509&lt;Notes!$B$5,"",IF(COUNTIFS(Release_Calendar!$A$2:$A$755,"NZ_CPI",Release_Calendar!$B$2:$B$755,$A5509)&gt;0,1,0))</f>
        <v>0</v>
      </c>
      <c r="N5509" s="16">
        <f>IF($A5509&lt;Notes!$B$5,"",IF(COUNTIFS(Release_Calendar!$A$2:$A$755,"NZ_GDP",Release_Calendar!$B$2:$B$755,$A5509)&gt;0,1,0))</f>
        <v>0</v>
      </c>
      <c r="O5509" s="16">
        <f>IF($A5509&lt;Notes!$B$5,"",IF(COUNTIFS(Release_Calendar!$A$2:$A$755,"NZ_LABOUR",Release_Calendar!$B$2:$B$755,$A5509)&gt;0,1,0))</f>
        <v>0</v>
      </c>
      <c r="P5509" s="16">
        <f t="shared" si="4"/>
        <v>1</v>
      </c>
    </row>
    <row r="5510" ht="15.75" customHeight="1">
      <c r="A5510" s="14">
        <v>44238.0</v>
      </c>
      <c r="B5510" s="15">
        <v>0.11</v>
      </c>
      <c r="C5510" s="15">
        <v>0.35</v>
      </c>
      <c r="D5510" s="15"/>
      <c r="E5510" s="15">
        <v>0.23</v>
      </c>
      <c r="F5510" s="15">
        <f t="shared" si="1"/>
        <v>0.24</v>
      </c>
      <c r="G5510" s="15">
        <f t="shared" si="2"/>
        <v>0.35</v>
      </c>
      <c r="H5510" s="16">
        <v>0.0</v>
      </c>
      <c r="I5510" s="15">
        <f t="shared" si="3"/>
        <v>0.24</v>
      </c>
      <c r="J5510" s="15">
        <v>21.25</v>
      </c>
      <c r="K5510" s="16">
        <f>IF(COUNTIFS(Release_Calendar!$A$2:$A$755,"US_CPI",Release_Calendar!$B$2:$B$755,$A5510)&gt;0,1,0)</f>
        <v>0</v>
      </c>
      <c r="L5510" s="16">
        <f>IF(COUNTIFS(Release_Calendar!$A$2:$A$755,"US_NFP",Release_Calendar!$B$2:$B$755,$A5510)&gt;0,1,0)</f>
        <v>0</v>
      </c>
      <c r="M5510" s="16">
        <f>IF($A5510&lt;Notes!$B$5,"",IF(COUNTIFS(Release_Calendar!$A$2:$A$755,"NZ_CPI",Release_Calendar!$B$2:$B$755,$A5510)&gt;0,1,0))</f>
        <v>0</v>
      </c>
      <c r="N5510" s="16">
        <f>IF($A5510&lt;Notes!$B$5,"",IF(COUNTIFS(Release_Calendar!$A$2:$A$755,"NZ_GDP",Release_Calendar!$B$2:$B$755,$A5510)&gt;0,1,0))</f>
        <v>0</v>
      </c>
      <c r="O5510" s="16">
        <f>IF($A5510&lt;Notes!$B$5,"",IF(COUNTIFS(Release_Calendar!$A$2:$A$755,"NZ_LABOUR",Release_Calendar!$B$2:$B$755,$A5510)&gt;0,1,0))</f>
        <v>0</v>
      </c>
      <c r="P5510" s="16">
        <f t="shared" si="4"/>
        <v>0</v>
      </c>
    </row>
    <row r="5511" ht="15.75" customHeight="1">
      <c r="A5511" s="14">
        <v>44239.0</v>
      </c>
      <c r="B5511" s="15">
        <v>0.11</v>
      </c>
      <c r="C5511" s="15">
        <v>0.35</v>
      </c>
      <c r="D5511" s="15"/>
      <c r="E5511" s="15">
        <v>0.22</v>
      </c>
      <c r="F5511" s="15">
        <f t="shared" si="1"/>
        <v>0.24</v>
      </c>
      <c r="G5511" s="15">
        <f t="shared" si="2"/>
        <v>0.35</v>
      </c>
      <c r="H5511" s="16">
        <v>0.0</v>
      </c>
      <c r="I5511" s="15">
        <f t="shared" si="3"/>
        <v>0.24</v>
      </c>
      <c r="J5511" s="15">
        <v>19.97</v>
      </c>
      <c r="K5511" s="16">
        <f>IF(COUNTIFS(Release_Calendar!$A$2:$A$755,"US_CPI",Release_Calendar!$B$2:$B$755,$A5511)&gt;0,1,0)</f>
        <v>0</v>
      </c>
      <c r="L5511" s="16">
        <f>IF(COUNTIFS(Release_Calendar!$A$2:$A$755,"US_NFP",Release_Calendar!$B$2:$B$755,$A5511)&gt;0,1,0)</f>
        <v>0</v>
      </c>
      <c r="M5511" s="16">
        <f>IF($A5511&lt;Notes!$B$5,"",IF(COUNTIFS(Release_Calendar!$A$2:$A$755,"NZ_CPI",Release_Calendar!$B$2:$B$755,$A5511)&gt;0,1,0))</f>
        <v>0</v>
      </c>
      <c r="N5511" s="16">
        <f>IF($A5511&lt;Notes!$B$5,"",IF(COUNTIFS(Release_Calendar!$A$2:$A$755,"NZ_GDP",Release_Calendar!$B$2:$B$755,$A5511)&gt;0,1,0))</f>
        <v>0</v>
      </c>
      <c r="O5511" s="16">
        <f>IF($A5511&lt;Notes!$B$5,"",IF(COUNTIFS(Release_Calendar!$A$2:$A$755,"NZ_LABOUR",Release_Calendar!$B$2:$B$755,$A5511)&gt;0,1,0))</f>
        <v>0</v>
      </c>
      <c r="P5511" s="16">
        <f t="shared" si="4"/>
        <v>0</v>
      </c>
    </row>
    <row r="5512" ht="15.75" customHeight="1">
      <c r="A5512" s="14">
        <v>44242.0</v>
      </c>
      <c r="B5512" s="15"/>
      <c r="C5512" s="15">
        <v>0.37</v>
      </c>
      <c r="D5512" s="15"/>
      <c r="E5512" s="15">
        <v>0.22</v>
      </c>
      <c r="F5512" s="15" t="str">
        <f t="shared" si="1"/>
        <v/>
      </c>
      <c r="G5512" s="15">
        <f t="shared" si="2"/>
        <v>0.37</v>
      </c>
      <c r="H5512" s="16">
        <v>0.0</v>
      </c>
      <c r="I5512" s="15" t="str">
        <f t="shared" si="3"/>
        <v/>
      </c>
      <c r="J5512" s="15"/>
      <c r="K5512" s="16">
        <f>IF(COUNTIFS(Release_Calendar!$A$2:$A$755,"US_CPI",Release_Calendar!$B$2:$B$755,$A5512)&gt;0,1,0)</f>
        <v>0</v>
      </c>
      <c r="L5512" s="16">
        <f>IF(COUNTIFS(Release_Calendar!$A$2:$A$755,"US_NFP",Release_Calendar!$B$2:$B$755,$A5512)&gt;0,1,0)</f>
        <v>0</v>
      </c>
      <c r="M5512" s="16">
        <f>IF($A5512&lt;Notes!$B$5,"",IF(COUNTIFS(Release_Calendar!$A$2:$A$755,"NZ_CPI",Release_Calendar!$B$2:$B$755,$A5512)&gt;0,1,0))</f>
        <v>0</v>
      </c>
      <c r="N5512" s="16">
        <f>IF($A5512&lt;Notes!$B$5,"",IF(COUNTIFS(Release_Calendar!$A$2:$A$755,"NZ_GDP",Release_Calendar!$B$2:$B$755,$A5512)&gt;0,1,0))</f>
        <v>0</v>
      </c>
      <c r="O5512" s="16">
        <f>IF($A5512&lt;Notes!$B$5,"",IF(COUNTIFS(Release_Calendar!$A$2:$A$755,"NZ_LABOUR",Release_Calendar!$B$2:$B$755,$A5512)&gt;0,1,0))</f>
        <v>0</v>
      </c>
      <c r="P5512" s="16">
        <f t="shared" si="4"/>
        <v>0</v>
      </c>
    </row>
    <row r="5513" ht="15.75" customHeight="1">
      <c r="A5513" s="14">
        <v>44243.0</v>
      </c>
      <c r="B5513" s="15">
        <v>0.13</v>
      </c>
      <c r="C5513" s="15">
        <v>0.36</v>
      </c>
      <c r="D5513" s="15"/>
      <c r="E5513" s="15">
        <v>0.24</v>
      </c>
      <c r="F5513" s="15">
        <f t="shared" si="1"/>
        <v>0.23</v>
      </c>
      <c r="G5513" s="15">
        <f t="shared" si="2"/>
        <v>0.36</v>
      </c>
      <c r="H5513" s="16">
        <v>0.0</v>
      </c>
      <c r="I5513" s="15">
        <f t="shared" si="3"/>
        <v>0.23</v>
      </c>
      <c r="J5513" s="15">
        <v>21.46</v>
      </c>
      <c r="K5513" s="16">
        <f>IF(COUNTIFS(Release_Calendar!$A$2:$A$755,"US_CPI",Release_Calendar!$B$2:$B$755,$A5513)&gt;0,1,0)</f>
        <v>0</v>
      </c>
      <c r="L5513" s="16">
        <f>IF(COUNTIFS(Release_Calendar!$A$2:$A$755,"US_NFP",Release_Calendar!$B$2:$B$755,$A5513)&gt;0,1,0)</f>
        <v>0</v>
      </c>
      <c r="M5513" s="16">
        <f>IF($A5513&lt;Notes!$B$5,"",IF(COUNTIFS(Release_Calendar!$A$2:$A$755,"NZ_CPI",Release_Calendar!$B$2:$B$755,$A5513)&gt;0,1,0))</f>
        <v>0</v>
      </c>
      <c r="N5513" s="16">
        <f>IF($A5513&lt;Notes!$B$5,"",IF(COUNTIFS(Release_Calendar!$A$2:$A$755,"NZ_GDP",Release_Calendar!$B$2:$B$755,$A5513)&gt;0,1,0))</f>
        <v>0</v>
      </c>
      <c r="O5513" s="16">
        <f>IF($A5513&lt;Notes!$B$5,"",IF(COUNTIFS(Release_Calendar!$A$2:$A$755,"NZ_LABOUR",Release_Calendar!$B$2:$B$755,$A5513)&gt;0,1,0))</f>
        <v>0</v>
      </c>
      <c r="P5513" s="16">
        <f t="shared" si="4"/>
        <v>0</v>
      </c>
    </row>
    <row r="5514" ht="15.75" customHeight="1">
      <c r="A5514" s="14">
        <v>44244.0</v>
      </c>
      <c r="B5514" s="15">
        <v>0.11</v>
      </c>
      <c r="C5514" s="15">
        <v>0.37</v>
      </c>
      <c r="D5514" s="15"/>
      <c r="E5514" s="15">
        <v>0.24</v>
      </c>
      <c r="F5514" s="15">
        <f t="shared" si="1"/>
        <v>0.26</v>
      </c>
      <c r="G5514" s="15">
        <f t="shared" si="2"/>
        <v>0.37</v>
      </c>
      <c r="H5514" s="16">
        <v>0.0</v>
      </c>
      <c r="I5514" s="15">
        <f t="shared" si="3"/>
        <v>0.26</v>
      </c>
      <c r="J5514" s="15">
        <v>21.5</v>
      </c>
      <c r="K5514" s="16">
        <f>IF(COUNTIFS(Release_Calendar!$A$2:$A$755,"US_CPI",Release_Calendar!$B$2:$B$755,$A5514)&gt;0,1,0)</f>
        <v>0</v>
      </c>
      <c r="L5514" s="16">
        <f>IF(COUNTIFS(Release_Calendar!$A$2:$A$755,"US_NFP",Release_Calendar!$B$2:$B$755,$A5514)&gt;0,1,0)</f>
        <v>0</v>
      </c>
      <c r="M5514" s="16">
        <f>IF($A5514&lt;Notes!$B$5,"",IF(COUNTIFS(Release_Calendar!$A$2:$A$755,"NZ_CPI",Release_Calendar!$B$2:$B$755,$A5514)&gt;0,1,0))</f>
        <v>0</v>
      </c>
      <c r="N5514" s="16">
        <f>IF($A5514&lt;Notes!$B$5,"",IF(COUNTIFS(Release_Calendar!$A$2:$A$755,"NZ_GDP",Release_Calendar!$B$2:$B$755,$A5514)&gt;0,1,0))</f>
        <v>0</v>
      </c>
      <c r="O5514" s="16">
        <f>IF($A5514&lt;Notes!$B$5,"",IF(COUNTIFS(Release_Calendar!$A$2:$A$755,"NZ_LABOUR",Release_Calendar!$B$2:$B$755,$A5514)&gt;0,1,0))</f>
        <v>0</v>
      </c>
      <c r="P5514" s="16">
        <f t="shared" si="4"/>
        <v>0</v>
      </c>
    </row>
    <row r="5515" ht="15.75" customHeight="1">
      <c r="A5515" s="14">
        <v>44245.0</v>
      </c>
      <c r="B5515" s="15">
        <v>0.11</v>
      </c>
      <c r="C5515" s="15">
        <v>0.35</v>
      </c>
      <c r="D5515" s="15"/>
      <c r="E5515" s="15">
        <v>0.23</v>
      </c>
      <c r="F5515" s="15">
        <f t="shared" si="1"/>
        <v>0.24</v>
      </c>
      <c r="G5515" s="15">
        <f t="shared" si="2"/>
        <v>0.35</v>
      </c>
      <c r="H5515" s="16">
        <v>0.0</v>
      </c>
      <c r="I5515" s="15">
        <f t="shared" si="3"/>
        <v>0.24</v>
      </c>
      <c r="J5515" s="15">
        <v>22.49</v>
      </c>
      <c r="K5515" s="16">
        <f>IF(COUNTIFS(Release_Calendar!$A$2:$A$755,"US_CPI",Release_Calendar!$B$2:$B$755,$A5515)&gt;0,1,0)</f>
        <v>0</v>
      </c>
      <c r="L5515" s="16">
        <f>IF(COUNTIFS(Release_Calendar!$A$2:$A$755,"US_NFP",Release_Calendar!$B$2:$B$755,$A5515)&gt;0,1,0)</f>
        <v>0</v>
      </c>
      <c r="M5515" s="16">
        <f>IF($A5515&lt;Notes!$B$5,"",IF(COUNTIFS(Release_Calendar!$A$2:$A$755,"NZ_CPI",Release_Calendar!$B$2:$B$755,$A5515)&gt;0,1,0))</f>
        <v>0</v>
      </c>
      <c r="N5515" s="16">
        <f>IF($A5515&lt;Notes!$B$5,"",IF(COUNTIFS(Release_Calendar!$A$2:$A$755,"NZ_GDP",Release_Calendar!$B$2:$B$755,$A5515)&gt;0,1,0))</f>
        <v>0</v>
      </c>
      <c r="O5515" s="16">
        <f>IF($A5515&lt;Notes!$B$5,"",IF(COUNTIFS(Release_Calendar!$A$2:$A$755,"NZ_LABOUR",Release_Calendar!$B$2:$B$755,$A5515)&gt;0,1,0))</f>
        <v>0</v>
      </c>
      <c r="P5515" s="16">
        <f t="shared" si="4"/>
        <v>0</v>
      </c>
    </row>
    <row r="5516" ht="15.75" customHeight="1">
      <c r="A5516" s="14">
        <v>44246.0</v>
      </c>
      <c r="B5516" s="15">
        <v>0.11</v>
      </c>
      <c r="C5516" s="15">
        <v>0.36</v>
      </c>
      <c r="D5516" s="15"/>
      <c r="E5516" s="15">
        <v>0.23</v>
      </c>
      <c r="F5516" s="15">
        <f t="shared" si="1"/>
        <v>0.25</v>
      </c>
      <c r="G5516" s="15">
        <f t="shared" si="2"/>
        <v>0.36</v>
      </c>
      <c r="H5516" s="16">
        <v>0.0</v>
      </c>
      <c r="I5516" s="15">
        <f t="shared" si="3"/>
        <v>0.25</v>
      </c>
      <c r="J5516" s="15">
        <v>22.05</v>
      </c>
      <c r="K5516" s="16">
        <f>IF(COUNTIFS(Release_Calendar!$A$2:$A$755,"US_CPI",Release_Calendar!$B$2:$B$755,$A5516)&gt;0,1,0)</f>
        <v>0</v>
      </c>
      <c r="L5516" s="16">
        <f>IF(COUNTIFS(Release_Calendar!$A$2:$A$755,"US_NFP",Release_Calendar!$B$2:$B$755,$A5516)&gt;0,1,0)</f>
        <v>0</v>
      </c>
      <c r="M5516" s="16">
        <f>IF($A5516&lt;Notes!$B$5,"",IF(COUNTIFS(Release_Calendar!$A$2:$A$755,"NZ_CPI",Release_Calendar!$B$2:$B$755,$A5516)&gt;0,1,0))</f>
        <v>0</v>
      </c>
      <c r="N5516" s="16">
        <f>IF($A5516&lt;Notes!$B$5,"",IF(COUNTIFS(Release_Calendar!$A$2:$A$755,"NZ_GDP",Release_Calendar!$B$2:$B$755,$A5516)&gt;0,1,0))</f>
        <v>0</v>
      </c>
      <c r="O5516" s="16">
        <f>IF($A5516&lt;Notes!$B$5,"",IF(COUNTIFS(Release_Calendar!$A$2:$A$755,"NZ_LABOUR",Release_Calendar!$B$2:$B$755,$A5516)&gt;0,1,0))</f>
        <v>0</v>
      </c>
      <c r="P5516" s="16">
        <f t="shared" si="4"/>
        <v>0</v>
      </c>
    </row>
    <row r="5517" ht="15.75" customHeight="1">
      <c r="A5517" s="14">
        <v>44249.0</v>
      </c>
      <c r="B5517" s="15">
        <v>0.11</v>
      </c>
      <c r="C5517" s="15">
        <v>0.39</v>
      </c>
      <c r="D5517" s="15"/>
      <c r="E5517" s="15">
        <v>0.27</v>
      </c>
      <c r="F5517" s="15">
        <f t="shared" si="1"/>
        <v>0.28</v>
      </c>
      <c r="G5517" s="15">
        <f t="shared" si="2"/>
        <v>0.39</v>
      </c>
      <c r="H5517" s="16">
        <v>0.0</v>
      </c>
      <c r="I5517" s="15">
        <f t="shared" si="3"/>
        <v>0.28</v>
      </c>
      <c r="J5517" s="15">
        <v>23.45</v>
      </c>
      <c r="K5517" s="16">
        <f>IF(COUNTIFS(Release_Calendar!$A$2:$A$755,"US_CPI",Release_Calendar!$B$2:$B$755,$A5517)&gt;0,1,0)</f>
        <v>0</v>
      </c>
      <c r="L5517" s="16">
        <f>IF(COUNTIFS(Release_Calendar!$A$2:$A$755,"US_NFP",Release_Calendar!$B$2:$B$755,$A5517)&gt;0,1,0)</f>
        <v>0</v>
      </c>
      <c r="M5517" s="16">
        <f>IF($A5517&lt;Notes!$B$5,"",IF(COUNTIFS(Release_Calendar!$A$2:$A$755,"NZ_CPI",Release_Calendar!$B$2:$B$755,$A5517)&gt;0,1,0))</f>
        <v>0</v>
      </c>
      <c r="N5517" s="16">
        <f>IF($A5517&lt;Notes!$B$5,"",IF(COUNTIFS(Release_Calendar!$A$2:$A$755,"NZ_GDP",Release_Calendar!$B$2:$B$755,$A5517)&gt;0,1,0))</f>
        <v>0</v>
      </c>
      <c r="O5517" s="16">
        <f>IF($A5517&lt;Notes!$B$5,"",IF(COUNTIFS(Release_Calendar!$A$2:$A$755,"NZ_LABOUR",Release_Calendar!$B$2:$B$755,$A5517)&gt;0,1,0))</f>
        <v>0</v>
      </c>
      <c r="P5517" s="16">
        <f t="shared" si="4"/>
        <v>0</v>
      </c>
    </row>
    <row r="5518" ht="15.75" customHeight="1">
      <c r="A5518" s="14">
        <v>44250.0</v>
      </c>
      <c r="B5518" s="15">
        <v>0.11</v>
      </c>
      <c r="C5518" s="15">
        <v>0.39</v>
      </c>
      <c r="D5518" s="15"/>
      <c r="E5518" s="15">
        <v>0.27</v>
      </c>
      <c r="F5518" s="15">
        <f t="shared" si="1"/>
        <v>0.28</v>
      </c>
      <c r="G5518" s="15">
        <f t="shared" si="2"/>
        <v>0.39</v>
      </c>
      <c r="H5518" s="16">
        <v>0.0</v>
      </c>
      <c r="I5518" s="15">
        <f t="shared" si="3"/>
        <v>0.28</v>
      </c>
      <c r="J5518" s="15">
        <v>23.11</v>
      </c>
      <c r="K5518" s="16">
        <f>IF(COUNTIFS(Release_Calendar!$A$2:$A$755,"US_CPI",Release_Calendar!$B$2:$B$755,$A5518)&gt;0,1,0)</f>
        <v>0</v>
      </c>
      <c r="L5518" s="16">
        <f>IF(COUNTIFS(Release_Calendar!$A$2:$A$755,"US_NFP",Release_Calendar!$B$2:$B$755,$A5518)&gt;0,1,0)</f>
        <v>0</v>
      </c>
      <c r="M5518" s="16">
        <f>IF($A5518&lt;Notes!$B$5,"",IF(COUNTIFS(Release_Calendar!$A$2:$A$755,"NZ_CPI",Release_Calendar!$B$2:$B$755,$A5518)&gt;0,1,0))</f>
        <v>0</v>
      </c>
      <c r="N5518" s="16">
        <f>IF($A5518&lt;Notes!$B$5,"",IF(COUNTIFS(Release_Calendar!$A$2:$A$755,"NZ_GDP",Release_Calendar!$B$2:$B$755,$A5518)&gt;0,1,0))</f>
        <v>0</v>
      </c>
      <c r="O5518" s="16">
        <f>IF($A5518&lt;Notes!$B$5,"",IF(COUNTIFS(Release_Calendar!$A$2:$A$755,"NZ_LABOUR",Release_Calendar!$B$2:$B$755,$A5518)&gt;0,1,0))</f>
        <v>0</v>
      </c>
      <c r="P5518" s="16">
        <f t="shared" si="4"/>
        <v>0</v>
      </c>
    </row>
    <row r="5519" ht="15.75" customHeight="1">
      <c r="A5519" s="14">
        <v>44251.0</v>
      </c>
      <c r="B5519" s="15">
        <v>0.12</v>
      </c>
      <c r="C5519" s="15">
        <v>0.41</v>
      </c>
      <c r="D5519" s="15"/>
      <c r="E5519" s="15">
        <v>0.31</v>
      </c>
      <c r="F5519" s="15">
        <f t="shared" si="1"/>
        <v>0.29</v>
      </c>
      <c r="G5519" s="15">
        <f t="shared" si="2"/>
        <v>0.41</v>
      </c>
      <c r="H5519" s="16">
        <v>0.0</v>
      </c>
      <c r="I5519" s="15">
        <f t="shared" si="3"/>
        <v>0.29</v>
      </c>
      <c r="J5519" s="15">
        <v>21.34</v>
      </c>
      <c r="K5519" s="16">
        <f>IF(COUNTIFS(Release_Calendar!$A$2:$A$755,"US_CPI",Release_Calendar!$B$2:$B$755,$A5519)&gt;0,1,0)</f>
        <v>0</v>
      </c>
      <c r="L5519" s="16">
        <f>IF(COUNTIFS(Release_Calendar!$A$2:$A$755,"US_NFP",Release_Calendar!$B$2:$B$755,$A5519)&gt;0,1,0)</f>
        <v>0</v>
      </c>
      <c r="M5519" s="16">
        <f>IF($A5519&lt;Notes!$B$5,"",IF(COUNTIFS(Release_Calendar!$A$2:$A$755,"NZ_CPI",Release_Calendar!$B$2:$B$755,$A5519)&gt;0,1,0))</f>
        <v>0</v>
      </c>
      <c r="N5519" s="16">
        <f>IF($A5519&lt;Notes!$B$5,"",IF(COUNTIFS(Release_Calendar!$A$2:$A$755,"NZ_GDP",Release_Calendar!$B$2:$B$755,$A5519)&gt;0,1,0))</f>
        <v>0</v>
      </c>
      <c r="O5519" s="16">
        <f>IF($A5519&lt;Notes!$B$5,"",IF(COUNTIFS(Release_Calendar!$A$2:$A$755,"NZ_LABOUR",Release_Calendar!$B$2:$B$755,$A5519)&gt;0,1,0))</f>
        <v>0</v>
      </c>
      <c r="P5519" s="16">
        <f t="shared" si="4"/>
        <v>0</v>
      </c>
    </row>
    <row r="5520" ht="15.75" customHeight="1">
      <c r="A5520" s="14">
        <v>44252.0</v>
      </c>
      <c r="B5520" s="15">
        <v>0.17</v>
      </c>
      <c r="C5520" s="15">
        <v>0.51</v>
      </c>
      <c r="D5520" s="15"/>
      <c r="E5520" s="15">
        <v>0.41</v>
      </c>
      <c r="F5520" s="15">
        <f t="shared" si="1"/>
        <v>0.34</v>
      </c>
      <c r="G5520" s="15">
        <f t="shared" si="2"/>
        <v>0.51</v>
      </c>
      <c r="H5520" s="16">
        <v>0.0</v>
      </c>
      <c r="I5520" s="15">
        <f t="shared" si="3"/>
        <v>0.34</v>
      </c>
      <c r="J5520" s="15">
        <v>28.89</v>
      </c>
      <c r="K5520" s="16">
        <f>IF(COUNTIFS(Release_Calendar!$A$2:$A$755,"US_CPI",Release_Calendar!$B$2:$B$755,$A5520)&gt;0,1,0)</f>
        <v>0</v>
      </c>
      <c r="L5520" s="16">
        <f>IF(COUNTIFS(Release_Calendar!$A$2:$A$755,"US_NFP",Release_Calendar!$B$2:$B$755,$A5520)&gt;0,1,0)</f>
        <v>0</v>
      </c>
      <c r="M5520" s="16">
        <f>IF($A5520&lt;Notes!$B$5,"",IF(COUNTIFS(Release_Calendar!$A$2:$A$755,"NZ_CPI",Release_Calendar!$B$2:$B$755,$A5520)&gt;0,1,0))</f>
        <v>0</v>
      </c>
      <c r="N5520" s="16">
        <f>IF($A5520&lt;Notes!$B$5,"",IF(COUNTIFS(Release_Calendar!$A$2:$A$755,"NZ_GDP",Release_Calendar!$B$2:$B$755,$A5520)&gt;0,1,0))</f>
        <v>0</v>
      </c>
      <c r="O5520" s="16">
        <f>IF($A5520&lt;Notes!$B$5,"",IF(COUNTIFS(Release_Calendar!$A$2:$A$755,"NZ_LABOUR",Release_Calendar!$B$2:$B$755,$A5520)&gt;0,1,0))</f>
        <v>0</v>
      </c>
      <c r="P5520" s="16">
        <f t="shared" si="4"/>
        <v>0</v>
      </c>
    </row>
    <row r="5521" ht="15.75" customHeight="1">
      <c r="A5521" s="14">
        <v>44253.0</v>
      </c>
      <c r="B5521" s="15">
        <v>0.14</v>
      </c>
      <c r="C5521" s="15">
        <v>0.47</v>
      </c>
      <c r="D5521" s="15"/>
      <c r="E5521" s="15">
        <v>0.37</v>
      </c>
      <c r="F5521" s="15">
        <f t="shared" si="1"/>
        <v>0.33</v>
      </c>
      <c r="G5521" s="15">
        <f t="shared" si="2"/>
        <v>0.47</v>
      </c>
      <c r="H5521" s="16">
        <v>0.0</v>
      </c>
      <c r="I5521" s="15">
        <f t="shared" si="3"/>
        <v>0.33</v>
      </c>
      <c r="J5521" s="15">
        <v>27.95</v>
      </c>
      <c r="K5521" s="16">
        <f>IF(COUNTIFS(Release_Calendar!$A$2:$A$755,"US_CPI",Release_Calendar!$B$2:$B$755,$A5521)&gt;0,1,0)</f>
        <v>0</v>
      </c>
      <c r="L5521" s="16">
        <f>IF(COUNTIFS(Release_Calendar!$A$2:$A$755,"US_NFP",Release_Calendar!$B$2:$B$755,$A5521)&gt;0,1,0)</f>
        <v>0</v>
      </c>
      <c r="M5521" s="16">
        <f>IF($A5521&lt;Notes!$B$5,"",IF(COUNTIFS(Release_Calendar!$A$2:$A$755,"NZ_CPI",Release_Calendar!$B$2:$B$755,$A5521)&gt;0,1,0))</f>
        <v>0</v>
      </c>
      <c r="N5521" s="16">
        <f>IF($A5521&lt;Notes!$B$5,"",IF(COUNTIFS(Release_Calendar!$A$2:$A$755,"NZ_GDP",Release_Calendar!$B$2:$B$755,$A5521)&gt;0,1,0))</f>
        <v>0</v>
      </c>
      <c r="O5521" s="16">
        <f>IF($A5521&lt;Notes!$B$5,"",IF(COUNTIFS(Release_Calendar!$A$2:$A$755,"NZ_LABOUR",Release_Calendar!$B$2:$B$755,$A5521)&gt;0,1,0))</f>
        <v>0</v>
      </c>
      <c r="P5521" s="16">
        <f t="shared" si="4"/>
        <v>0</v>
      </c>
    </row>
    <row r="5522" ht="15.75" customHeight="1">
      <c r="A5522" s="14">
        <v>44256.0</v>
      </c>
      <c r="B5522" s="15">
        <v>0.13</v>
      </c>
      <c r="C5522" s="15">
        <v>0.47</v>
      </c>
      <c r="D5522" s="15"/>
      <c r="E5522" s="15">
        <v>0.36</v>
      </c>
      <c r="F5522" s="15">
        <f t="shared" si="1"/>
        <v>0.34</v>
      </c>
      <c r="G5522" s="15">
        <f t="shared" si="2"/>
        <v>0.47</v>
      </c>
      <c r="H5522" s="16">
        <v>0.0</v>
      </c>
      <c r="I5522" s="15">
        <f t="shared" si="3"/>
        <v>0.34</v>
      </c>
      <c r="J5522" s="15">
        <v>23.35</v>
      </c>
      <c r="K5522" s="16">
        <f>IF(COUNTIFS(Release_Calendar!$A$2:$A$755,"US_CPI",Release_Calendar!$B$2:$B$755,$A5522)&gt;0,1,0)</f>
        <v>0</v>
      </c>
      <c r="L5522" s="16">
        <f>IF(COUNTIFS(Release_Calendar!$A$2:$A$755,"US_NFP",Release_Calendar!$B$2:$B$755,$A5522)&gt;0,1,0)</f>
        <v>0</v>
      </c>
      <c r="M5522" s="16">
        <f>IF($A5522&lt;Notes!$B$5,"",IF(COUNTIFS(Release_Calendar!$A$2:$A$755,"NZ_CPI",Release_Calendar!$B$2:$B$755,$A5522)&gt;0,1,0))</f>
        <v>0</v>
      </c>
      <c r="N5522" s="16">
        <f>IF($A5522&lt;Notes!$B$5,"",IF(COUNTIFS(Release_Calendar!$A$2:$A$755,"NZ_GDP",Release_Calendar!$B$2:$B$755,$A5522)&gt;0,1,0))</f>
        <v>0</v>
      </c>
      <c r="O5522" s="16">
        <f>IF($A5522&lt;Notes!$B$5,"",IF(COUNTIFS(Release_Calendar!$A$2:$A$755,"NZ_LABOUR",Release_Calendar!$B$2:$B$755,$A5522)&gt;0,1,0))</f>
        <v>0</v>
      </c>
      <c r="P5522" s="16">
        <f t="shared" si="4"/>
        <v>0</v>
      </c>
    </row>
    <row r="5523" ht="15.75" customHeight="1">
      <c r="A5523" s="14">
        <v>44257.0</v>
      </c>
      <c r="B5523" s="15">
        <v>0.13</v>
      </c>
      <c r="C5523" s="15">
        <v>0.47</v>
      </c>
      <c r="D5523" s="15"/>
      <c r="E5523" s="15">
        <v>0.36</v>
      </c>
      <c r="F5523" s="15">
        <f t="shared" si="1"/>
        <v>0.34</v>
      </c>
      <c r="G5523" s="15">
        <f t="shared" si="2"/>
        <v>0.47</v>
      </c>
      <c r="H5523" s="16">
        <v>0.0</v>
      </c>
      <c r="I5523" s="15">
        <f t="shared" si="3"/>
        <v>0.34</v>
      </c>
      <c r="J5523" s="15">
        <v>24.1</v>
      </c>
      <c r="K5523" s="16">
        <f>IF(COUNTIFS(Release_Calendar!$A$2:$A$755,"US_CPI",Release_Calendar!$B$2:$B$755,$A5523)&gt;0,1,0)</f>
        <v>0</v>
      </c>
      <c r="L5523" s="16">
        <f>IF(COUNTIFS(Release_Calendar!$A$2:$A$755,"US_NFP",Release_Calendar!$B$2:$B$755,$A5523)&gt;0,1,0)</f>
        <v>0</v>
      </c>
      <c r="M5523" s="16">
        <f>IF($A5523&lt;Notes!$B$5,"",IF(COUNTIFS(Release_Calendar!$A$2:$A$755,"NZ_CPI",Release_Calendar!$B$2:$B$755,$A5523)&gt;0,1,0))</f>
        <v>0</v>
      </c>
      <c r="N5523" s="16">
        <f>IF($A5523&lt;Notes!$B$5,"",IF(COUNTIFS(Release_Calendar!$A$2:$A$755,"NZ_GDP",Release_Calendar!$B$2:$B$755,$A5523)&gt;0,1,0))</f>
        <v>0</v>
      </c>
      <c r="O5523" s="16">
        <f>IF($A5523&lt;Notes!$B$5,"",IF(COUNTIFS(Release_Calendar!$A$2:$A$755,"NZ_LABOUR",Release_Calendar!$B$2:$B$755,$A5523)&gt;0,1,0))</f>
        <v>0</v>
      </c>
      <c r="P5523" s="16">
        <f t="shared" si="4"/>
        <v>0</v>
      </c>
    </row>
    <row r="5524" ht="15.75" customHeight="1">
      <c r="A5524" s="14">
        <v>44258.0</v>
      </c>
      <c r="B5524" s="15">
        <v>0.14</v>
      </c>
      <c r="C5524" s="15">
        <v>0.49</v>
      </c>
      <c r="D5524" s="15"/>
      <c r="E5524" s="15">
        <v>0.36</v>
      </c>
      <c r="F5524" s="15">
        <f t="shared" si="1"/>
        <v>0.35</v>
      </c>
      <c r="G5524" s="15">
        <f t="shared" si="2"/>
        <v>0.49</v>
      </c>
      <c r="H5524" s="16">
        <v>0.0</v>
      </c>
      <c r="I5524" s="15">
        <f t="shared" si="3"/>
        <v>0.35</v>
      </c>
      <c r="J5524" s="15">
        <v>26.67</v>
      </c>
      <c r="K5524" s="16">
        <f>IF(COUNTIFS(Release_Calendar!$A$2:$A$755,"US_CPI",Release_Calendar!$B$2:$B$755,$A5524)&gt;0,1,0)</f>
        <v>0</v>
      </c>
      <c r="L5524" s="16">
        <f>IF(COUNTIFS(Release_Calendar!$A$2:$A$755,"US_NFP",Release_Calendar!$B$2:$B$755,$A5524)&gt;0,1,0)</f>
        <v>0</v>
      </c>
      <c r="M5524" s="16">
        <f>IF($A5524&lt;Notes!$B$5,"",IF(COUNTIFS(Release_Calendar!$A$2:$A$755,"NZ_CPI",Release_Calendar!$B$2:$B$755,$A5524)&gt;0,1,0))</f>
        <v>0</v>
      </c>
      <c r="N5524" s="16">
        <f>IF($A5524&lt;Notes!$B$5,"",IF(COUNTIFS(Release_Calendar!$A$2:$A$755,"NZ_GDP",Release_Calendar!$B$2:$B$755,$A5524)&gt;0,1,0))</f>
        <v>0</v>
      </c>
      <c r="O5524" s="16">
        <f>IF($A5524&lt;Notes!$B$5,"",IF(COUNTIFS(Release_Calendar!$A$2:$A$755,"NZ_LABOUR",Release_Calendar!$B$2:$B$755,$A5524)&gt;0,1,0))</f>
        <v>0</v>
      </c>
      <c r="P5524" s="16">
        <f t="shared" si="4"/>
        <v>0</v>
      </c>
    </row>
    <row r="5525" ht="15.75" customHeight="1">
      <c r="A5525" s="14">
        <v>44259.0</v>
      </c>
      <c r="B5525" s="15">
        <v>0.14</v>
      </c>
      <c r="C5525" s="15">
        <v>0.53</v>
      </c>
      <c r="D5525" s="15"/>
      <c r="E5525" s="15">
        <v>0.38</v>
      </c>
      <c r="F5525" s="15">
        <f t="shared" si="1"/>
        <v>0.39</v>
      </c>
      <c r="G5525" s="15">
        <f t="shared" si="2"/>
        <v>0.53</v>
      </c>
      <c r="H5525" s="16">
        <v>0.0</v>
      </c>
      <c r="I5525" s="15">
        <f t="shared" si="3"/>
        <v>0.39</v>
      </c>
      <c r="J5525" s="15">
        <v>28.57</v>
      </c>
      <c r="K5525" s="16">
        <f>IF(COUNTIFS(Release_Calendar!$A$2:$A$755,"US_CPI",Release_Calendar!$B$2:$B$755,$A5525)&gt;0,1,0)</f>
        <v>0</v>
      </c>
      <c r="L5525" s="16">
        <f>IF(COUNTIFS(Release_Calendar!$A$2:$A$755,"US_NFP",Release_Calendar!$B$2:$B$755,$A5525)&gt;0,1,0)</f>
        <v>0</v>
      </c>
      <c r="M5525" s="16">
        <f>IF($A5525&lt;Notes!$B$5,"",IF(COUNTIFS(Release_Calendar!$A$2:$A$755,"NZ_CPI",Release_Calendar!$B$2:$B$755,$A5525)&gt;0,1,0))</f>
        <v>0</v>
      </c>
      <c r="N5525" s="16">
        <f>IF($A5525&lt;Notes!$B$5,"",IF(COUNTIFS(Release_Calendar!$A$2:$A$755,"NZ_GDP",Release_Calendar!$B$2:$B$755,$A5525)&gt;0,1,0))</f>
        <v>0</v>
      </c>
      <c r="O5525" s="16">
        <f>IF($A5525&lt;Notes!$B$5,"",IF(COUNTIFS(Release_Calendar!$A$2:$A$755,"NZ_LABOUR",Release_Calendar!$B$2:$B$755,$A5525)&gt;0,1,0))</f>
        <v>0</v>
      </c>
      <c r="P5525" s="16">
        <f t="shared" si="4"/>
        <v>0</v>
      </c>
    </row>
    <row r="5526" ht="15.75" customHeight="1">
      <c r="A5526" s="14">
        <v>44260.0</v>
      </c>
      <c r="B5526" s="15">
        <v>0.14</v>
      </c>
      <c r="C5526" s="15">
        <v>0.55</v>
      </c>
      <c r="D5526" s="15"/>
      <c r="E5526" s="15">
        <v>0.4</v>
      </c>
      <c r="F5526" s="15">
        <f t="shared" si="1"/>
        <v>0.41</v>
      </c>
      <c r="G5526" s="15">
        <f t="shared" si="2"/>
        <v>0.55</v>
      </c>
      <c r="H5526" s="16">
        <v>0.0</v>
      </c>
      <c r="I5526" s="15">
        <f t="shared" si="3"/>
        <v>0.41</v>
      </c>
      <c r="J5526" s="15">
        <v>24.66</v>
      </c>
      <c r="K5526" s="16">
        <f>IF(COUNTIFS(Release_Calendar!$A$2:$A$755,"US_CPI",Release_Calendar!$B$2:$B$755,$A5526)&gt;0,1,0)</f>
        <v>0</v>
      </c>
      <c r="L5526" s="16">
        <f>IF(COUNTIFS(Release_Calendar!$A$2:$A$755,"US_NFP",Release_Calendar!$B$2:$B$755,$A5526)&gt;0,1,0)</f>
        <v>1</v>
      </c>
      <c r="M5526" s="16">
        <f>IF($A5526&lt;Notes!$B$5,"",IF(COUNTIFS(Release_Calendar!$A$2:$A$755,"NZ_CPI",Release_Calendar!$B$2:$B$755,$A5526)&gt;0,1,0))</f>
        <v>0</v>
      </c>
      <c r="N5526" s="16">
        <f>IF($A5526&lt;Notes!$B$5,"",IF(COUNTIFS(Release_Calendar!$A$2:$A$755,"NZ_GDP",Release_Calendar!$B$2:$B$755,$A5526)&gt;0,1,0))</f>
        <v>0</v>
      </c>
      <c r="O5526" s="16">
        <f>IF($A5526&lt;Notes!$B$5,"",IF(COUNTIFS(Release_Calendar!$A$2:$A$755,"NZ_LABOUR",Release_Calendar!$B$2:$B$755,$A5526)&gt;0,1,0))</f>
        <v>0</v>
      </c>
      <c r="P5526" s="16">
        <f t="shared" si="4"/>
        <v>1</v>
      </c>
    </row>
    <row r="5527" ht="15.75" customHeight="1">
      <c r="A5527" s="14">
        <v>44263.0</v>
      </c>
      <c r="B5527" s="15">
        <v>0.17</v>
      </c>
      <c r="C5527" s="15">
        <v>0.55</v>
      </c>
      <c r="D5527" s="15"/>
      <c r="E5527" s="15">
        <v>0.39</v>
      </c>
      <c r="F5527" s="15">
        <f t="shared" si="1"/>
        <v>0.38</v>
      </c>
      <c r="G5527" s="15">
        <f t="shared" si="2"/>
        <v>0.55</v>
      </c>
      <c r="H5527" s="16">
        <v>0.0</v>
      </c>
      <c r="I5527" s="15">
        <f t="shared" si="3"/>
        <v>0.38</v>
      </c>
      <c r="J5527" s="15">
        <v>25.47</v>
      </c>
      <c r="K5527" s="16">
        <f>IF(COUNTIFS(Release_Calendar!$A$2:$A$755,"US_CPI",Release_Calendar!$B$2:$B$755,$A5527)&gt;0,1,0)</f>
        <v>0</v>
      </c>
      <c r="L5527" s="16">
        <f>IF(COUNTIFS(Release_Calendar!$A$2:$A$755,"US_NFP",Release_Calendar!$B$2:$B$755,$A5527)&gt;0,1,0)</f>
        <v>0</v>
      </c>
      <c r="M5527" s="16">
        <f>IF($A5527&lt;Notes!$B$5,"",IF(COUNTIFS(Release_Calendar!$A$2:$A$755,"NZ_CPI",Release_Calendar!$B$2:$B$755,$A5527)&gt;0,1,0))</f>
        <v>0</v>
      </c>
      <c r="N5527" s="16">
        <f>IF($A5527&lt;Notes!$B$5,"",IF(COUNTIFS(Release_Calendar!$A$2:$A$755,"NZ_GDP",Release_Calendar!$B$2:$B$755,$A5527)&gt;0,1,0))</f>
        <v>0</v>
      </c>
      <c r="O5527" s="16">
        <f>IF($A5527&lt;Notes!$B$5,"",IF(COUNTIFS(Release_Calendar!$A$2:$A$755,"NZ_LABOUR",Release_Calendar!$B$2:$B$755,$A5527)&gt;0,1,0))</f>
        <v>0</v>
      </c>
      <c r="P5527" s="16">
        <f t="shared" si="4"/>
        <v>0</v>
      </c>
    </row>
    <row r="5528" ht="15.75" customHeight="1">
      <c r="A5528" s="14">
        <v>44264.0</v>
      </c>
      <c r="B5528" s="15">
        <v>0.17</v>
      </c>
      <c r="C5528" s="15">
        <v>0.55</v>
      </c>
      <c r="D5528" s="15"/>
      <c r="E5528" s="15">
        <v>0.38</v>
      </c>
      <c r="F5528" s="15">
        <f t="shared" si="1"/>
        <v>0.38</v>
      </c>
      <c r="G5528" s="15">
        <f t="shared" si="2"/>
        <v>0.55</v>
      </c>
      <c r="H5528" s="16">
        <v>0.0</v>
      </c>
      <c r="I5528" s="15">
        <f t="shared" si="3"/>
        <v>0.38</v>
      </c>
      <c r="J5528" s="15">
        <v>24.03</v>
      </c>
      <c r="K5528" s="16">
        <f>IF(COUNTIFS(Release_Calendar!$A$2:$A$755,"US_CPI",Release_Calendar!$B$2:$B$755,$A5528)&gt;0,1,0)</f>
        <v>0</v>
      </c>
      <c r="L5528" s="16">
        <f>IF(COUNTIFS(Release_Calendar!$A$2:$A$755,"US_NFP",Release_Calendar!$B$2:$B$755,$A5528)&gt;0,1,0)</f>
        <v>0</v>
      </c>
      <c r="M5528" s="16">
        <f>IF($A5528&lt;Notes!$B$5,"",IF(COUNTIFS(Release_Calendar!$A$2:$A$755,"NZ_CPI",Release_Calendar!$B$2:$B$755,$A5528)&gt;0,1,0))</f>
        <v>0</v>
      </c>
      <c r="N5528" s="16">
        <f>IF($A5528&lt;Notes!$B$5,"",IF(COUNTIFS(Release_Calendar!$A$2:$A$755,"NZ_GDP",Release_Calendar!$B$2:$B$755,$A5528)&gt;0,1,0))</f>
        <v>0</v>
      </c>
      <c r="O5528" s="16">
        <f>IF($A5528&lt;Notes!$B$5,"",IF(COUNTIFS(Release_Calendar!$A$2:$A$755,"NZ_LABOUR",Release_Calendar!$B$2:$B$755,$A5528)&gt;0,1,0))</f>
        <v>0</v>
      </c>
      <c r="P5528" s="16">
        <f t="shared" si="4"/>
        <v>0</v>
      </c>
    </row>
    <row r="5529" ht="15.75" customHeight="1">
      <c r="A5529" s="14">
        <v>44265.0</v>
      </c>
      <c r="B5529" s="15">
        <v>0.16</v>
      </c>
      <c r="C5529" s="15">
        <v>0.53</v>
      </c>
      <c r="D5529" s="15"/>
      <c r="E5529" s="15">
        <v>0.38</v>
      </c>
      <c r="F5529" s="15">
        <f t="shared" si="1"/>
        <v>0.37</v>
      </c>
      <c r="G5529" s="15">
        <f t="shared" si="2"/>
        <v>0.53</v>
      </c>
      <c r="H5529" s="16">
        <v>0.0</v>
      </c>
      <c r="I5529" s="15">
        <f t="shared" si="3"/>
        <v>0.37</v>
      </c>
      <c r="J5529" s="15">
        <v>22.56</v>
      </c>
      <c r="K5529" s="16">
        <f>IF(COUNTIFS(Release_Calendar!$A$2:$A$755,"US_CPI",Release_Calendar!$B$2:$B$755,$A5529)&gt;0,1,0)</f>
        <v>1</v>
      </c>
      <c r="L5529" s="16">
        <f>IF(COUNTIFS(Release_Calendar!$A$2:$A$755,"US_NFP",Release_Calendar!$B$2:$B$755,$A5529)&gt;0,1,0)</f>
        <v>0</v>
      </c>
      <c r="M5529" s="16">
        <f>IF($A5529&lt;Notes!$B$5,"",IF(COUNTIFS(Release_Calendar!$A$2:$A$755,"NZ_CPI",Release_Calendar!$B$2:$B$755,$A5529)&gt;0,1,0))</f>
        <v>0</v>
      </c>
      <c r="N5529" s="16">
        <f>IF($A5529&lt;Notes!$B$5,"",IF(COUNTIFS(Release_Calendar!$A$2:$A$755,"NZ_GDP",Release_Calendar!$B$2:$B$755,$A5529)&gt;0,1,0))</f>
        <v>0</v>
      </c>
      <c r="O5529" s="16">
        <f>IF($A5529&lt;Notes!$B$5,"",IF(COUNTIFS(Release_Calendar!$A$2:$A$755,"NZ_LABOUR",Release_Calendar!$B$2:$B$755,$A5529)&gt;0,1,0))</f>
        <v>0</v>
      </c>
      <c r="P5529" s="16">
        <f t="shared" si="4"/>
        <v>1</v>
      </c>
    </row>
    <row r="5530" ht="15.75" customHeight="1">
      <c r="A5530" s="14">
        <v>44266.0</v>
      </c>
      <c r="B5530" s="15">
        <v>0.14</v>
      </c>
      <c r="C5530" s="15">
        <v>0.51</v>
      </c>
      <c r="D5530" s="15"/>
      <c r="E5530" s="15">
        <v>0.34</v>
      </c>
      <c r="F5530" s="15">
        <f t="shared" si="1"/>
        <v>0.37</v>
      </c>
      <c r="G5530" s="15">
        <f t="shared" si="2"/>
        <v>0.51</v>
      </c>
      <c r="H5530" s="16">
        <v>0.0</v>
      </c>
      <c r="I5530" s="15">
        <f t="shared" si="3"/>
        <v>0.37</v>
      </c>
      <c r="J5530" s="15">
        <v>21.91</v>
      </c>
      <c r="K5530" s="16">
        <f>IF(COUNTIFS(Release_Calendar!$A$2:$A$755,"US_CPI",Release_Calendar!$B$2:$B$755,$A5530)&gt;0,1,0)</f>
        <v>0</v>
      </c>
      <c r="L5530" s="16">
        <f>IF(COUNTIFS(Release_Calendar!$A$2:$A$755,"US_NFP",Release_Calendar!$B$2:$B$755,$A5530)&gt;0,1,0)</f>
        <v>0</v>
      </c>
      <c r="M5530" s="16">
        <f>IF($A5530&lt;Notes!$B$5,"",IF(COUNTIFS(Release_Calendar!$A$2:$A$755,"NZ_CPI",Release_Calendar!$B$2:$B$755,$A5530)&gt;0,1,0))</f>
        <v>0</v>
      </c>
      <c r="N5530" s="16">
        <f>IF($A5530&lt;Notes!$B$5,"",IF(COUNTIFS(Release_Calendar!$A$2:$A$755,"NZ_GDP",Release_Calendar!$B$2:$B$755,$A5530)&gt;0,1,0))</f>
        <v>0</v>
      </c>
      <c r="O5530" s="16">
        <f>IF($A5530&lt;Notes!$B$5,"",IF(COUNTIFS(Release_Calendar!$A$2:$A$755,"NZ_LABOUR",Release_Calendar!$B$2:$B$755,$A5530)&gt;0,1,0))</f>
        <v>0</v>
      </c>
      <c r="P5530" s="16">
        <f t="shared" si="4"/>
        <v>0</v>
      </c>
    </row>
    <row r="5531" ht="15.75" customHeight="1">
      <c r="A5531" s="14">
        <v>44267.0</v>
      </c>
      <c r="B5531" s="15">
        <v>0.14</v>
      </c>
      <c r="C5531" s="15">
        <v>0.52</v>
      </c>
      <c r="D5531" s="15"/>
      <c r="E5531" s="15">
        <v>0.34</v>
      </c>
      <c r="F5531" s="15">
        <f t="shared" si="1"/>
        <v>0.38</v>
      </c>
      <c r="G5531" s="15">
        <f t="shared" si="2"/>
        <v>0.52</v>
      </c>
      <c r="H5531" s="16">
        <v>0.0</v>
      </c>
      <c r="I5531" s="15">
        <f t="shared" si="3"/>
        <v>0.38</v>
      </c>
      <c r="J5531" s="15">
        <v>20.69</v>
      </c>
      <c r="K5531" s="16">
        <f>IF(COUNTIFS(Release_Calendar!$A$2:$A$755,"US_CPI",Release_Calendar!$B$2:$B$755,$A5531)&gt;0,1,0)</f>
        <v>0</v>
      </c>
      <c r="L5531" s="16">
        <f>IF(COUNTIFS(Release_Calendar!$A$2:$A$755,"US_NFP",Release_Calendar!$B$2:$B$755,$A5531)&gt;0,1,0)</f>
        <v>0</v>
      </c>
      <c r="M5531" s="16">
        <f>IF($A5531&lt;Notes!$B$5,"",IF(COUNTIFS(Release_Calendar!$A$2:$A$755,"NZ_CPI",Release_Calendar!$B$2:$B$755,$A5531)&gt;0,1,0))</f>
        <v>0</v>
      </c>
      <c r="N5531" s="16">
        <f>IF($A5531&lt;Notes!$B$5,"",IF(COUNTIFS(Release_Calendar!$A$2:$A$755,"NZ_GDP",Release_Calendar!$B$2:$B$755,$A5531)&gt;0,1,0))</f>
        <v>0</v>
      </c>
      <c r="O5531" s="16">
        <f>IF($A5531&lt;Notes!$B$5,"",IF(COUNTIFS(Release_Calendar!$A$2:$A$755,"NZ_LABOUR",Release_Calendar!$B$2:$B$755,$A5531)&gt;0,1,0))</f>
        <v>0</v>
      </c>
      <c r="P5531" s="16">
        <f t="shared" si="4"/>
        <v>0</v>
      </c>
    </row>
    <row r="5532" ht="15.75" customHeight="1">
      <c r="A5532" s="14">
        <v>44270.0</v>
      </c>
      <c r="B5532" s="15">
        <v>0.14</v>
      </c>
      <c r="C5532" s="15">
        <v>0.54</v>
      </c>
      <c r="D5532" s="15"/>
      <c r="E5532" s="15">
        <v>0.36</v>
      </c>
      <c r="F5532" s="15">
        <f t="shared" si="1"/>
        <v>0.4</v>
      </c>
      <c r="G5532" s="15">
        <f t="shared" si="2"/>
        <v>0.54</v>
      </c>
      <c r="H5532" s="16">
        <v>0.0</v>
      </c>
      <c r="I5532" s="15">
        <f t="shared" si="3"/>
        <v>0.4</v>
      </c>
      <c r="J5532" s="15">
        <v>20.03</v>
      </c>
      <c r="K5532" s="16">
        <f>IF(COUNTIFS(Release_Calendar!$A$2:$A$755,"US_CPI",Release_Calendar!$B$2:$B$755,$A5532)&gt;0,1,0)</f>
        <v>0</v>
      </c>
      <c r="L5532" s="16">
        <f>IF(COUNTIFS(Release_Calendar!$A$2:$A$755,"US_NFP",Release_Calendar!$B$2:$B$755,$A5532)&gt;0,1,0)</f>
        <v>0</v>
      </c>
      <c r="M5532" s="16">
        <f>IF($A5532&lt;Notes!$B$5,"",IF(COUNTIFS(Release_Calendar!$A$2:$A$755,"NZ_CPI",Release_Calendar!$B$2:$B$755,$A5532)&gt;0,1,0))</f>
        <v>0</v>
      </c>
      <c r="N5532" s="16">
        <f>IF($A5532&lt;Notes!$B$5,"",IF(COUNTIFS(Release_Calendar!$A$2:$A$755,"NZ_GDP",Release_Calendar!$B$2:$B$755,$A5532)&gt;0,1,0))</f>
        <v>0</v>
      </c>
      <c r="O5532" s="16">
        <f>IF($A5532&lt;Notes!$B$5,"",IF(COUNTIFS(Release_Calendar!$A$2:$A$755,"NZ_LABOUR",Release_Calendar!$B$2:$B$755,$A5532)&gt;0,1,0))</f>
        <v>0</v>
      </c>
      <c r="P5532" s="16">
        <f t="shared" si="4"/>
        <v>0</v>
      </c>
    </row>
    <row r="5533" ht="15.75" customHeight="1">
      <c r="A5533" s="14">
        <v>44271.0</v>
      </c>
      <c r="B5533" s="15">
        <v>0.15</v>
      </c>
      <c r="C5533" s="15">
        <v>0.53</v>
      </c>
      <c r="D5533" s="15"/>
      <c r="E5533" s="15">
        <v>0.35</v>
      </c>
      <c r="F5533" s="15">
        <f t="shared" si="1"/>
        <v>0.38</v>
      </c>
      <c r="G5533" s="15">
        <f t="shared" si="2"/>
        <v>0.53</v>
      </c>
      <c r="H5533" s="16">
        <v>0.0</v>
      </c>
      <c r="I5533" s="15">
        <f t="shared" si="3"/>
        <v>0.38</v>
      </c>
      <c r="J5533" s="15">
        <v>19.79</v>
      </c>
      <c r="K5533" s="16">
        <f>IF(COUNTIFS(Release_Calendar!$A$2:$A$755,"US_CPI",Release_Calendar!$B$2:$B$755,$A5533)&gt;0,1,0)</f>
        <v>0</v>
      </c>
      <c r="L5533" s="16">
        <f>IF(COUNTIFS(Release_Calendar!$A$2:$A$755,"US_NFP",Release_Calendar!$B$2:$B$755,$A5533)&gt;0,1,0)</f>
        <v>0</v>
      </c>
      <c r="M5533" s="16">
        <f>IF($A5533&lt;Notes!$B$5,"",IF(COUNTIFS(Release_Calendar!$A$2:$A$755,"NZ_CPI",Release_Calendar!$B$2:$B$755,$A5533)&gt;0,1,0))</f>
        <v>0</v>
      </c>
      <c r="N5533" s="16">
        <f>IF($A5533&lt;Notes!$B$5,"",IF(COUNTIFS(Release_Calendar!$A$2:$A$755,"NZ_GDP",Release_Calendar!$B$2:$B$755,$A5533)&gt;0,1,0))</f>
        <v>0</v>
      </c>
      <c r="O5533" s="16">
        <f>IF($A5533&lt;Notes!$B$5,"",IF(COUNTIFS(Release_Calendar!$A$2:$A$755,"NZ_LABOUR",Release_Calendar!$B$2:$B$755,$A5533)&gt;0,1,0))</f>
        <v>0</v>
      </c>
      <c r="P5533" s="16">
        <f t="shared" si="4"/>
        <v>0</v>
      </c>
    </row>
    <row r="5534" ht="15.75" customHeight="1">
      <c r="A5534" s="14">
        <v>44272.0</v>
      </c>
      <c r="B5534" s="15">
        <v>0.13</v>
      </c>
      <c r="C5534" s="15">
        <v>0.54</v>
      </c>
      <c r="D5534" s="15"/>
      <c r="E5534" s="15">
        <v>0.37</v>
      </c>
      <c r="F5534" s="15">
        <f t="shared" si="1"/>
        <v>0.41</v>
      </c>
      <c r="G5534" s="15">
        <f t="shared" si="2"/>
        <v>0.54</v>
      </c>
      <c r="H5534" s="16">
        <v>0.0</v>
      </c>
      <c r="I5534" s="15">
        <f t="shared" si="3"/>
        <v>0.41</v>
      </c>
      <c r="J5534" s="15">
        <v>19.23</v>
      </c>
      <c r="K5534" s="16">
        <f>IF(COUNTIFS(Release_Calendar!$A$2:$A$755,"US_CPI",Release_Calendar!$B$2:$B$755,$A5534)&gt;0,1,0)</f>
        <v>0</v>
      </c>
      <c r="L5534" s="16">
        <f>IF(COUNTIFS(Release_Calendar!$A$2:$A$755,"US_NFP",Release_Calendar!$B$2:$B$755,$A5534)&gt;0,1,0)</f>
        <v>0</v>
      </c>
      <c r="M5534" s="16">
        <f>IF($A5534&lt;Notes!$B$5,"",IF(COUNTIFS(Release_Calendar!$A$2:$A$755,"NZ_CPI",Release_Calendar!$B$2:$B$755,$A5534)&gt;0,1,0))</f>
        <v>0</v>
      </c>
      <c r="N5534" s="16">
        <f>IF($A5534&lt;Notes!$B$5,"",IF(COUNTIFS(Release_Calendar!$A$2:$A$755,"NZ_GDP",Release_Calendar!$B$2:$B$755,$A5534)&gt;0,1,0))</f>
        <v>0</v>
      </c>
      <c r="O5534" s="16">
        <f>IF($A5534&lt;Notes!$B$5,"",IF(COUNTIFS(Release_Calendar!$A$2:$A$755,"NZ_LABOUR",Release_Calendar!$B$2:$B$755,$A5534)&gt;0,1,0))</f>
        <v>0</v>
      </c>
      <c r="P5534" s="16">
        <f t="shared" si="4"/>
        <v>0</v>
      </c>
    </row>
    <row r="5535" ht="15.75" customHeight="1">
      <c r="A5535" s="14">
        <v>44273.0</v>
      </c>
      <c r="B5535" s="15">
        <v>0.16</v>
      </c>
      <c r="C5535" s="15">
        <v>0.52</v>
      </c>
      <c r="D5535" s="15"/>
      <c r="E5535" s="15">
        <v>0.33</v>
      </c>
      <c r="F5535" s="15">
        <f t="shared" si="1"/>
        <v>0.36</v>
      </c>
      <c r="G5535" s="15">
        <f t="shared" si="2"/>
        <v>0.52</v>
      </c>
      <c r="H5535" s="16">
        <v>0.0</v>
      </c>
      <c r="I5535" s="15">
        <f t="shared" si="3"/>
        <v>0.36</v>
      </c>
      <c r="J5535" s="15">
        <v>21.58</v>
      </c>
      <c r="K5535" s="16">
        <f>IF(COUNTIFS(Release_Calendar!$A$2:$A$755,"US_CPI",Release_Calendar!$B$2:$B$755,$A5535)&gt;0,1,0)</f>
        <v>0</v>
      </c>
      <c r="L5535" s="16">
        <f>IF(COUNTIFS(Release_Calendar!$A$2:$A$755,"US_NFP",Release_Calendar!$B$2:$B$755,$A5535)&gt;0,1,0)</f>
        <v>0</v>
      </c>
      <c r="M5535" s="16">
        <f>IF($A5535&lt;Notes!$B$5,"",IF(COUNTIFS(Release_Calendar!$A$2:$A$755,"NZ_CPI",Release_Calendar!$B$2:$B$755,$A5535)&gt;0,1,0))</f>
        <v>0</v>
      </c>
      <c r="N5535" s="16">
        <f>IF($A5535&lt;Notes!$B$5,"",IF(COUNTIFS(Release_Calendar!$A$2:$A$755,"NZ_GDP",Release_Calendar!$B$2:$B$755,$A5535)&gt;0,1,0))</f>
        <v>1</v>
      </c>
      <c r="O5535" s="16">
        <f>IF($A5535&lt;Notes!$B$5,"",IF(COUNTIFS(Release_Calendar!$A$2:$A$755,"NZ_LABOUR",Release_Calendar!$B$2:$B$755,$A5535)&gt;0,1,0))</f>
        <v>0</v>
      </c>
      <c r="P5535" s="16">
        <f t="shared" si="4"/>
        <v>1</v>
      </c>
    </row>
    <row r="5536" ht="15.75" customHeight="1">
      <c r="A5536" s="14">
        <v>44274.0</v>
      </c>
      <c r="B5536" s="15">
        <v>0.16</v>
      </c>
      <c r="C5536" s="15">
        <v>0.51</v>
      </c>
      <c r="D5536" s="15"/>
      <c r="E5536" s="15">
        <v>0.32</v>
      </c>
      <c r="F5536" s="15">
        <f t="shared" si="1"/>
        <v>0.35</v>
      </c>
      <c r="G5536" s="15">
        <f t="shared" si="2"/>
        <v>0.51</v>
      </c>
      <c r="H5536" s="16">
        <v>0.0</v>
      </c>
      <c r="I5536" s="15">
        <f t="shared" si="3"/>
        <v>0.35</v>
      </c>
      <c r="J5536" s="15">
        <v>20.95</v>
      </c>
      <c r="K5536" s="16">
        <f>IF(COUNTIFS(Release_Calendar!$A$2:$A$755,"US_CPI",Release_Calendar!$B$2:$B$755,$A5536)&gt;0,1,0)</f>
        <v>0</v>
      </c>
      <c r="L5536" s="16">
        <f>IF(COUNTIFS(Release_Calendar!$A$2:$A$755,"US_NFP",Release_Calendar!$B$2:$B$755,$A5536)&gt;0,1,0)</f>
        <v>0</v>
      </c>
      <c r="M5536" s="16">
        <f>IF($A5536&lt;Notes!$B$5,"",IF(COUNTIFS(Release_Calendar!$A$2:$A$755,"NZ_CPI",Release_Calendar!$B$2:$B$755,$A5536)&gt;0,1,0))</f>
        <v>0</v>
      </c>
      <c r="N5536" s="16">
        <f>IF($A5536&lt;Notes!$B$5,"",IF(COUNTIFS(Release_Calendar!$A$2:$A$755,"NZ_GDP",Release_Calendar!$B$2:$B$755,$A5536)&gt;0,1,0))</f>
        <v>0</v>
      </c>
      <c r="O5536" s="16">
        <f>IF($A5536&lt;Notes!$B$5,"",IF(COUNTIFS(Release_Calendar!$A$2:$A$755,"NZ_LABOUR",Release_Calendar!$B$2:$B$755,$A5536)&gt;0,1,0))</f>
        <v>0</v>
      </c>
      <c r="P5536" s="16">
        <f t="shared" si="4"/>
        <v>0</v>
      </c>
    </row>
    <row r="5537" ht="15.75" customHeight="1">
      <c r="A5537" s="14">
        <v>44277.0</v>
      </c>
      <c r="B5537" s="15">
        <v>0.15</v>
      </c>
      <c r="C5537" s="15">
        <v>0.49</v>
      </c>
      <c r="D5537" s="15"/>
      <c r="E5537" s="15">
        <v>0.3</v>
      </c>
      <c r="F5537" s="15">
        <f t="shared" si="1"/>
        <v>0.34</v>
      </c>
      <c r="G5537" s="15">
        <f t="shared" si="2"/>
        <v>0.49</v>
      </c>
      <c r="H5537" s="16">
        <v>0.0</v>
      </c>
      <c r="I5537" s="15">
        <f t="shared" si="3"/>
        <v>0.34</v>
      </c>
      <c r="J5537" s="15">
        <v>18.88</v>
      </c>
      <c r="K5537" s="16">
        <f>IF(COUNTIFS(Release_Calendar!$A$2:$A$755,"US_CPI",Release_Calendar!$B$2:$B$755,$A5537)&gt;0,1,0)</f>
        <v>0</v>
      </c>
      <c r="L5537" s="16">
        <f>IF(COUNTIFS(Release_Calendar!$A$2:$A$755,"US_NFP",Release_Calendar!$B$2:$B$755,$A5537)&gt;0,1,0)</f>
        <v>0</v>
      </c>
      <c r="M5537" s="16">
        <f>IF($A5537&lt;Notes!$B$5,"",IF(COUNTIFS(Release_Calendar!$A$2:$A$755,"NZ_CPI",Release_Calendar!$B$2:$B$755,$A5537)&gt;0,1,0))</f>
        <v>0</v>
      </c>
      <c r="N5537" s="16">
        <f>IF($A5537&lt;Notes!$B$5,"",IF(COUNTIFS(Release_Calendar!$A$2:$A$755,"NZ_GDP",Release_Calendar!$B$2:$B$755,$A5537)&gt;0,1,0))</f>
        <v>0</v>
      </c>
      <c r="O5537" s="16">
        <f>IF($A5537&lt;Notes!$B$5,"",IF(COUNTIFS(Release_Calendar!$A$2:$A$755,"NZ_LABOUR",Release_Calendar!$B$2:$B$755,$A5537)&gt;0,1,0))</f>
        <v>0</v>
      </c>
      <c r="P5537" s="16">
        <f t="shared" si="4"/>
        <v>0</v>
      </c>
    </row>
    <row r="5538" ht="15.75" customHeight="1">
      <c r="A5538" s="14">
        <v>44278.0</v>
      </c>
      <c r="B5538" s="15">
        <v>0.15</v>
      </c>
      <c r="C5538" s="15">
        <v>0.41</v>
      </c>
      <c r="D5538" s="15"/>
      <c r="E5538" s="15">
        <v>0.24</v>
      </c>
      <c r="F5538" s="15">
        <f t="shared" si="1"/>
        <v>0.26</v>
      </c>
      <c r="G5538" s="15">
        <f t="shared" si="2"/>
        <v>0.41</v>
      </c>
      <c r="H5538" s="16">
        <v>0.0</v>
      </c>
      <c r="I5538" s="15">
        <f t="shared" si="3"/>
        <v>0.26</v>
      </c>
      <c r="J5538" s="15">
        <v>20.3</v>
      </c>
      <c r="K5538" s="16">
        <f>IF(COUNTIFS(Release_Calendar!$A$2:$A$755,"US_CPI",Release_Calendar!$B$2:$B$755,$A5538)&gt;0,1,0)</f>
        <v>0</v>
      </c>
      <c r="L5538" s="16">
        <f>IF(COUNTIFS(Release_Calendar!$A$2:$A$755,"US_NFP",Release_Calendar!$B$2:$B$755,$A5538)&gt;0,1,0)</f>
        <v>0</v>
      </c>
      <c r="M5538" s="16">
        <f>IF($A5538&lt;Notes!$B$5,"",IF(COUNTIFS(Release_Calendar!$A$2:$A$755,"NZ_CPI",Release_Calendar!$B$2:$B$755,$A5538)&gt;0,1,0))</f>
        <v>0</v>
      </c>
      <c r="N5538" s="16">
        <f>IF($A5538&lt;Notes!$B$5,"",IF(COUNTIFS(Release_Calendar!$A$2:$A$755,"NZ_GDP",Release_Calendar!$B$2:$B$755,$A5538)&gt;0,1,0))</f>
        <v>0</v>
      </c>
      <c r="O5538" s="16">
        <f>IF($A5538&lt;Notes!$B$5,"",IF(COUNTIFS(Release_Calendar!$A$2:$A$755,"NZ_LABOUR",Release_Calendar!$B$2:$B$755,$A5538)&gt;0,1,0))</f>
        <v>0</v>
      </c>
      <c r="P5538" s="16">
        <f t="shared" si="4"/>
        <v>0</v>
      </c>
    </row>
    <row r="5539" ht="15.75" customHeight="1">
      <c r="A5539" s="14">
        <v>44279.0</v>
      </c>
      <c r="B5539" s="15">
        <v>0.14</v>
      </c>
      <c r="C5539" s="15">
        <v>0.39</v>
      </c>
      <c r="D5539" s="15"/>
      <c r="E5539" s="15">
        <v>0.19</v>
      </c>
      <c r="F5539" s="15">
        <f t="shared" si="1"/>
        <v>0.25</v>
      </c>
      <c r="G5539" s="15">
        <f t="shared" si="2"/>
        <v>0.39</v>
      </c>
      <c r="H5539" s="16">
        <v>0.0</v>
      </c>
      <c r="I5539" s="15">
        <f t="shared" si="3"/>
        <v>0.25</v>
      </c>
      <c r="J5539" s="15">
        <v>21.2</v>
      </c>
      <c r="K5539" s="16">
        <f>IF(COUNTIFS(Release_Calendar!$A$2:$A$755,"US_CPI",Release_Calendar!$B$2:$B$755,$A5539)&gt;0,1,0)</f>
        <v>0</v>
      </c>
      <c r="L5539" s="16">
        <f>IF(COUNTIFS(Release_Calendar!$A$2:$A$755,"US_NFP",Release_Calendar!$B$2:$B$755,$A5539)&gt;0,1,0)</f>
        <v>0</v>
      </c>
      <c r="M5539" s="16">
        <f>IF($A5539&lt;Notes!$B$5,"",IF(COUNTIFS(Release_Calendar!$A$2:$A$755,"NZ_CPI",Release_Calendar!$B$2:$B$755,$A5539)&gt;0,1,0))</f>
        <v>0</v>
      </c>
      <c r="N5539" s="16">
        <f>IF($A5539&lt;Notes!$B$5,"",IF(COUNTIFS(Release_Calendar!$A$2:$A$755,"NZ_GDP",Release_Calendar!$B$2:$B$755,$A5539)&gt;0,1,0))</f>
        <v>0</v>
      </c>
      <c r="O5539" s="16">
        <f>IF($A5539&lt;Notes!$B$5,"",IF(COUNTIFS(Release_Calendar!$A$2:$A$755,"NZ_LABOUR",Release_Calendar!$B$2:$B$755,$A5539)&gt;0,1,0))</f>
        <v>0</v>
      </c>
      <c r="P5539" s="16">
        <f t="shared" si="4"/>
        <v>0</v>
      </c>
    </row>
    <row r="5540" ht="15.75" customHeight="1">
      <c r="A5540" s="14">
        <v>44280.0</v>
      </c>
      <c r="B5540" s="15">
        <v>0.14</v>
      </c>
      <c r="C5540" s="15">
        <v>0.43</v>
      </c>
      <c r="D5540" s="15"/>
      <c r="E5540" s="15">
        <v>0.23</v>
      </c>
      <c r="F5540" s="15">
        <f t="shared" si="1"/>
        <v>0.29</v>
      </c>
      <c r="G5540" s="15">
        <f t="shared" si="2"/>
        <v>0.43</v>
      </c>
      <c r="H5540" s="16">
        <v>0.0</v>
      </c>
      <c r="I5540" s="15">
        <f t="shared" si="3"/>
        <v>0.29</v>
      </c>
      <c r="J5540" s="15">
        <v>19.81</v>
      </c>
      <c r="K5540" s="16">
        <f>IF(COUNTIFS(Release_Calendar!$A$2:$A$755,"US_CPI",Release_Calendar!$B$2:$B$755,$A5540)&gt;0,1,0)</f>
        <v>0</v>
      </c>
      <c r="L5540" s="16">
        <f>IF(COUNTIFS(Release_Calendar!$A$2:$A$755,"US_NFP",Release_Calendar!$B$2:$B$755,$A5540)&gt;0,1,0)</f>
        <v>0</v>
      </c>
      <c r="M5540" s="16">
        <f>IF($A5540&lt;Notes!$B$5,"",IF(COUNTIFS(Release_Calendar!$A$2:$A$755,"NZ_CPI",Release_Calendar!$B$2:$B$755,$A5540)&gt;0,1,0))</f>
        <v>0</v>
      </c>
      <c r="N5540" s="16">
        <f>IF($A5540&lt;Notes!$B$5,"",IF(COUNTIFS(Release_Calendar!$A$2:$A$755,"NZ_GDP",Release_Calendar!$B$2:$B$755,$A5540)&gt;0,1,0))</f>
        <v>0</v>
      </c>
      <c r="O5540" s="16">
        <f>IF($A5540&lt;Notes!$B$5,"",IF(COUNTIFS(Release_Calendar!$A$2:$A$755,"NZ_LABOUR",Release_Calendar!$B$2:$B$755,$A5540)&gt;0,1,0))</f>
        <v>0</v>
      </c>
      <c r="P5540" s="16">
        <f t="shared" si="4"/>
        <v>0</v>
      </c>
    </row>
    <row r="5541" ht="15.75" customHeight="1">
      <c r="A5541" s="14">
        <v>44281.0</v>
      </c>
      <c r="B5541" s="15">
        <v>0.14</v>
      </c>
      <c r="C5541" s="15">
        <v>0.42</v>
      </c>
      <c r="D5541" s="15"/>
      <c r="E5541" s="15">
        <v>0.23</v>
      </c>
      <c r="F5541" s="15">
        <f t="shared" si="1"/>
        <v>0.28</v>
      </c>
      <c r="G5541" s="15">
        <f t="shared" si="2"/>
        <v>0.42</v>
      </c>
      <c r="H5541" s="16">
        <v>0.0</v>
      </c>
      <c r="I5541" s="15">
        <f t="shared" si="3"/>
        <v>0.28</v>
      </c>
      <c r="J5541" s="15">
        <v>18.86</v>
      </c>
      <c r="K5541" s="16">
        <f>IF(COUNTIFS(Release_Calendar!$A$2:$A$755,"US_CPI",Release_Calendar!$B$2:$B$755,$A5541)&gt;0,1,0)</f>
        <v>0</v>
      </c>
      <c r="L5541" s="16">
        <f>IF(COUNTIFS(Release_Calendar!$A$2:$A$755,"US_NFP",Release_Calendar!$B$2:$B$755,$A5541)&gt;0,1,0)</f>
        <v>0</v>
      </c>
      <c r="M5541" s="16">
        <f>IF($A5541&lt;Notes!$B$5,"",IF(COUNTIFS(Release_Calendar!$A$2:$A$755,"NZ_CPI",Release_Calendar!$B$2:$B$755,$A5541)&gt;0,1,0))</f>
        <v>0</v>
      </c>
      <c r="N5541" s="16">
        <f>IF($A5541&lt;Notes!$B$5,"",IF(COUNTIFS(Release_Calendar!$A$2:$A$755,"NZ_GDP",Release_Calendar!$B$2:$B$755,$A5541)&gt;0,1,0))</f>
        <v>0</v>
      </c>
      <c r="O5541" s="16">
        <f>IF($A5541&lt;Notes!$B$5,"",IF(COUNTIFS(Release_Calendar!$A$2:$A$755,"NZ_LABOUR",Release_Calendar!$B$2:$B$755,$A5541)&gt;0,1,0))</f>
        <v>0</v>
      </c>
      <c r="P5541" s="16">
        <f t="shared" si="4"/>
        <v>0</v>
      </c>
    </row>
    <row r="5542" ht="15.75" customHeight="1">
      <c r="A5542" s="14">
        <v>44284.0</v>
      </c>
      <c r="B5542" s="15">
        <v>0.14</v>
      </c>
      <c r="C5542" s="15">
        <v>0.43</v>
      </c>
      <c r="D5542" s="15"/>
      <c r="E5542" s="15">
        <v>0.25</v>
      </c>
      <c r="F5542" s="15">
        <f t="shared" si="1"/>
        <v>0.29</v>
      </c>
      <c r="G5542" s="15">
        <f t="shared" si="2"/>
        <v>0.43</v>
      </c>
      <c r="H5542" s="16">
        <v>0.0</v>
      </c>
      <c r="I5542" s="15">
        <f t="shared" si="3"/>
        <v>0.29</v>
      </c>
      <c r="J5542" s="15">
        <v>20.74</v>
      </c>
      <c r="K5542" s="16">
        <f>IF(COUNTIFS(Release_Calendar!$A$2:$A$755,"US_CPI",Release_Calendar!$B$2:$B$755,$A5542)&gt;0,1,0)</f>
        <v>0</v>
      </c>
      <c r="L5542" s="16">
        <f>IF(COUNTIFS(Release_Calendar!$A$2:$A$755,"US_NFP",Release_Calendar!$B$2:$B$755,$A5542)&gt;0,1,0)</f>
        <v>0</v>
      </c>
      <c r="M5542" s="16">
        <f>IF($A5542&lt;Notes!$B$5,"",IF(COUNTIFS(Release_Calendar!$A$2:$A$755,"NZ_CPI",Release_Calendar!$B$2:$B$755,$A5542)&gt;0,1,0))</f>
        <v>0</v>
      </c>
      <c r="N5542" s="16">
        <f>IF($A5542&lt;Notes!$B$5,"",IF(COUNTIFS(Release_Calendar!$A$2:$A$755,"NZ_GDP",Release_Calendar!$B$2:$B$755,$A5542)&gt;0,1,0))</f>
        <v>0</v>
      </c>
      <c r="O5542" s="16">
        <f>IF($A5542&lt;Notes!$B$5,"",IF(COUNTIFS(Release_Calendar!$A$2:$A$755,"NZ_LABOUR",Release_Calendar!$B$2:$B$755,$A5542)&gt;0,1,0))</f>
        <v>0</v>
      </c>
      <c r="P5542" s="16">
        <f t="shared" si="4"/>
        <v>0</v>
      </c>
    </row>
    <row r="5543" ht="15.75" customHeight="1">
      <c r="A5543" s="14">
        <v>44285.0</v>
      </c>
      <c r="B5543" s="15">
        <v>0.16</v>
      </c>
      <c r="C5543" s="15">
        <v>0.46</v>
      </c>
      <c r="D5543" s="15"/>
      <c r="E5543" s="15">
        <v>0.27</v>
      </c>
      <c r="F5543" s="15">
        <f t="shared" si="1"/>
        <v>0.3</v>
      </c>
      <c r="G5543" s="15">
        <f t="shared" si="2"/>
        <v>0.46</v>
      </c>
      <c r="H5543" s="16">
        <v>0.0</v>
      </c>
      <c r="I5543" s="15">
        <f t="shared" si="3"/>
        <v>0.3</v>
      </c>
      <c r="J5543" s="15">
        <v>19.61</v>
      </c>
      <c r="K5543" s="16">
        <f>IF(COUNTIFS(Release_Calendar!$A$2:$A$755,"US_CPI",Release_Calendar!$B$2:$B$755,$A5543)&gt;0,1,0)</f>
        <v>0</v>
      </c>
      <c r="L5543" s="16">
        <f>IF(COUNTIFS(Release_Calendar!$A$2:$A$755,"US_NFP",Release_Calendar!$B$2:$B$755,$A5543)&gt;0,1,0)</f>
        <v>0</v>
      </c>
      <c r="M5543" s="16">
        <f>IF($A5543&lt;Notes!$B$5,"",IF(COUNTIFS(Release_Calendar!$A$2:$A$755,"NZ_CPI",Release_Calendar!$B$2:$B$755,$A5543)&gt;0,1,0))</f>
        <v>0</v>
      </c>
      <c r="N5543" s="16">
        <f>IF($A5543&lt;Notes!$B$5,"",IF(COUNTIFS(Release_Calendar!$A$2:$A$755,"NZ_GDP",Release_Calendar!$B$2:$B$755,$A5543)&gt;0,1,0))</f>
        <v>0</v>
      </c>
      <c r="O5543" s="16">
        <f>IF($A5543&lt;Notes!$B$5,"",IF(COUNTIFS(Release_Calendar!$A$2:$A$755,"NZ_LABOUR",Release_Calendar!$B$2:$B$755,$A5543)&gt;0,1,0))</f>
        <v>0</v>
      </c>
      <c r="P5543" s="16">
        <f t="shared" si="4"/>
        <v>0</v>
      </c>
    </row>
    <row r="5544" ht="15.75" customHeight="1">
      <c r="A5544" s="14">
        <v>44286.0</v>
      </c>
      <c r="B5544" s="15">
        <v>0.16</v>
      </c>
      <c r="C5544" s="15">
        <v>0.47</v>
      </c>
      <c r="D5544" s="15"/>
      <c r="E5544" s="15">
        <v>0.28</v>
      </c>
      <c r="F5544" s="15">
        <f t="shared" si="1"/>
        <v>0.31</v>
      </c>
      <c r="G5544" s="15">
        <f t="shared" si="2"/>
        <v>0.47</v>
      </c>
      <c r="H5544" s="16">
        <v>0.0</v>
      </c>
      <c r="I5544" s="15">
        <f t="shared" si="3"/>
        <v>0.31</v>
      </c>
      <c r="J5544" s="15">
        <v>19.4</v>
      </c>
      <c r="K5544" s="16">
        <f>IF(COUNTIFS(Release_Calendar!$A$2:$A$755,"US_CPI",Release_Calendar!$B$2:$B$755,$A5544)&gt;0,1,0)</f>
        <v>0</v>
      </c>
      <c r="L5544" s="16">
        <f>IF(COUNTIFS(Release_Calendar!$A$2:$A$755,"US_NFP",Release_Calendar!$B$2:$B$755,$A5544)&gt;0,1,0)</f>
        <v>0</v>
      </c>
      <c r="M5544" s="16">
        <f>IF($A5544&lt;Notes!$B$5,"",IF(COUNTIFS(Release_Calendar!$A$2:$A$755,"NZ_CPI",Release_Calendar!$B$2:$B$755,$A5544)&gt;0,1,0))</f>
        <v>0</v>
      </c>
      <c r="N5544" s="16">
        <f>IF($A5544&lt;Notes!$B$5,"",IF(COUNTIFS(Release_Calendar!$A$2:$A$755,"NZ_GDP",Release_Calendar!$B$2:$B$755,$A5544)&gt;0,1,0))</f>
        <v>0</v>
      </c>
      <c r="O5544" s="16">
        <f>IF($A5544&lt;Notes!$B$5,"",IF(COUNTIFS(Release_Calendar!$A$2:$A$755,"NZ_LABOUR",Release_Calendar!$B$2:$B$755,$A5544)&gt;0,1,0))</f>
        <v>0</v>
      </c>
      <c r="P5544" s="16">
        <f t="shared" si="4"/>
        <v>0</v>
      </c>
    </row>
    <row r="5545" ht="15.75" customHeight="1">
      <c r="A5545" s="14">
        <v>44287.0</v>
      </c>
      <c r="B5545" s="15">
        <v>0.17</v>
      </c>
      <c r="C5545" s="15">
        <v>0.45</v>
      </c>
      <c r="D5545" s="15"/>
      <c r="E5545" s="15">
        <v>0.28</v>
      </c>
      <c r="F5545" s="15">
        <f t="shared" si="1"/>
        <v>0.28</v>
      </c>
      <c r="G5545" s="15">
        <f t="shared" si="2"/>
        <v>0.45</v>
      </c>
      <c r="H5545" s="16">
        <v>0.0</v>
      </c>
      <c r="I5545" s="15">
        <f t="shared" si="3"/>
        <v>0.28</v>
      </c>
      <c r="J5545" s="15">
        <v>17.33</v>
      </c>
      <c r="K5545" s="16">
        <f>IF(COUNTIFS(Release_Calendar!$A$2:$A$755,"US_CPI",Release_Calendar!$B$2:$B$755,$A5545)&gt;0,1,0)</f>
        <v>0</v>
      </c>
      <c r="L5545" s="16">
        <f>IF(COUNTIFS(Release_Calendar!$A$2:$A$755,"US_NFP",Release_Calendar!$B$2:$B$755,$A5545)&gt;0,1,0)</f>
        <v>0</v>
      </c>
      <c r="M5545" s="16">
        <f>IF($A5545&lt;Notes!$B$5,"",IF(COUNTIFS(Release_Calendar!$A$2:$A$755,"NZ_CPI",Release_Calendar!$B$2:$B$755,$A5545)&gt;0,1,0))</f>
        <v>0</v>
      </c>
      <c r="N5545" s="16">
        <f>IF($A5545&lt;Notes!$B$5,"",IF(COUNTIFS(Release_Calendar!$A$2:$A$755,"NZ_GDP",Release_Calendar!$B$2:$B$755,$A5545)&gt;0,1,0))</f>
        <v>0</v>
      </c>
      <c r="O5545" s="16">
        <f>IF($A5545&lt;Notes!$B$5,"",IF(COUNTIFS(Release_Calendar!$A$2:$A$755,"NZ_LABOUR",Release_Calendar!$B$2:$B$755,$A5545)&gt;0,1,0))</f>
        <v>0</v>
      </c>
      <c r="P5545" s="16">
        <f t="shared" si="4"/>
        <v>0</v>
      </c>
    </row>
    <row r="5546" ht="15.75" customHeight="1">
      <c r="A5546" s="14">
        <v>44288.0</v>
      </c>
      <c r="B5546" s="15">
        <v>0.19</v>
      </c>
      <c r="C5546" s="15"/>
      <c r="D5546" s="15"/>
      <c r="E5546" s="15"/>
      <c r="F5546" s="15" t="str">
        <f t="shared" si="1"/>
        <v/>
      </c>
      <c r="G5546" s="15" t="str">
        <f t="shared" si="2"/>
        <v/>
      </c>
      <c r="H5546" s="16">
        <v>0.0</v>
      </c>
      <c r="I5546" s="15" t="str">
        <f t="shared" si="3"/>
        <v/>
      </c>
      <c r="J5546" s="15"/>
      <c r="K5546" s="16">
        <f>IF(COUNTIFS(Release_Calendar!$A$2:$A$755,"US_CPI",Release_Calendar!$B$2:$B$755,$A5546)&gt;0,1,0)</f>
        <v>0</v>
      </c>
      <c r="L5546" s="16">
        <f>IF(COUNTIFS(Release_Calendar!$A$2:$A$755,"US_NFP",Release_Calendar!$B$2:$B$755,$A5546)&gt;0,1,0)</f>
        <v>1</v>
      </c>
      <c r="M5546" s="16">
        <f>IF($A5546&lt;Notes!$B$5,"",IF(COUNTIFS(Release_Calendar!$A$2:$A$755,"NZ_CPI",Release_Calendar!$B$2:$B$755,$A5546)&gt;0,1,0))</f>
        <v>0</v>
      </c>
      <c r="N5546" s="16">
        <f>IF($A5546&lt;Notes!$B$5,"",IF(COUNTIFS(Release_Calendar!$A$2:$A$755,"NZ_GDP",Release_Calendar!$B$2:$B$755,$A5546)&gt;0,1,0))</f>
        <v>0</v>
      </c>
      <c r="O5546" s="16">
        <f>IF($A5546&lt;Notes!$B$5,"",IF(COUNTIFS(Release_Calendar!$A$2:$A$755,"NZ_LABOUR",Release_Calendar!$B$2:$B$755,$A5546)&gt;0,1,0))</f>
        <v>0</v>
      </c>
      <c r="P5546" s="16">
        <f t="shared" si="4"/>
        <v>1</v>
      </c>
    </row>
    <row r="5547" ht="15.75" customHeight="1">
      <c r="A5547" s="14">
        <v>44291.0</v>
      </c>
      <c r="B5547" s="15">
        <v>0.17</v>
      </c>
      <c r="C5547" s="15"/>
      <c r="D5547" s="15"/>
      <c r="E5547" s="15"/>
      <c r="F5547" s="15" t="str">
        <f t="shared" si="1"/>
        <v/>
      </c>
      <c r="G5547" s="15" t="str">
        <f t="shared" si="2"/>
        <v/>
      </c>
      <c r="H5547" s="16">
        <v>0.0</v>
      </c>
      <c r="I5547" s="15" t="str">
        <f t="shared" si="3"/>
        <v/>
      </c>
      <c r="J5547" s="15">
        <v>17.91</v>
      </c>
      <c r="K5547" s="16">
        <f>IF(COUNTIFS(Release_Calendar!$A$2:$A$755,"US_CPI",Release_Calendar!$B$2:$B$755,$A5547)&gt;0,1,0)</f>
        <v>0</v>
      </c>
      <c r="L5547" s="16">
        <f>IF(COUNTIFS(Release_Calendar!$A$2:$A$755,"US_NFP",Release_Calendar!$B$2:$B$755,$A5547)&gt;0,1,0)</f>
        <v>0</v>
      </c>
      <c r="M5547" s="16">
        <f>IF($A5547&lt;Notes!$B$5,"",IF(COUNTIFS(Release_Calendar!$A$2:$A$755,"NZ_CPI",Release_Calendar!$B$2:$B$755,$A5547)&gt;0,1,0))</f>
        <v>0</v>
      </c>
      <c r="N5547" s="16">
        <f>IF($A5547&lt;Notes!$B$5,"",IF(COUNTIFS(Release_Calendar!$A$2:$A$755,"NZ_GDP",Release_Calendar!$B$2:$B$755,$A5547)&gt;0,1,0))</f>
        <v>0</v>
      </c>
      <c r="O5547" s="16">
        <f>IF($A5547&lt;Notes!$B$5,"",IF(COUNTIFS(Release_Calendar!$A$2:$A$755,"NZ_LABOUR",Release_Calendar!$B$2:$B$755,$A5547)&gt;0,1,0))</f>
        <v>0</v>
      </c>
      <c r="P5547" s="16">
        <f t="shared" si="4"/>
        <v>0</v>
      </c>
    </row>
    <row r="5548" ht="15.75" customHeight="1">
      <c r="A5548" s="14">
        <v>44292.0</v>
      </c>
      <c r="B5548" s="15">
        <v>0.16</v>
      </c>
      <c r="C5548" s="15">
        <v>0.45</v>
      </c>
      <c r="D5548" s="15"/>
      <c r="E5548" s="15">
        <v>0.25</v>
      </c>
      <c r="F5548" s="15">
        <f t="shared" si="1"/>
        <v>0.29</v>
      </c>
      <c r="G5548" s="15">
        <f t="shared" si="2"/>
        <v>0.45</v>
      </c>
      <c r="H5548" s="16">
        <v>0.0</v>
      </c>
      <c r="I5548" s="15">
        <f t="shared" si="3"/>
        <v>0.29</v>
      </c>
      <c r="J5548" s="15">
        <v>18.12</v>
      </c>
      <c r="K5548" s="16">
        <f>IF(COUNTIFS(Release_Calendar!$A$2:$A$755,"US_CPI",Release_Calendar!$B$2:$B$755,$A5548)&gt;0,1,0)</f>
        <v>0</v>
      </c>
      <c r="L5548" s="16">
        <f>IF(COUNTIFS(Release_Calendar!$A$2:$A$755,"US_NFP",Release_Calendar!$B$2:$B$755,$A5548)&gt;0,1,0)</f>
        <v>0</v>
      </c>
      <c r="M5548" s="16">
        <f>IF($A5548&lt;Notes!$B$5,"",IF(COUNTIFS(Release_Calendar!$A$2:$A$755,"NZ_CPI",Release_Calendar!$B$2:$B$755,$A5548)&gt;0,1,0))</f>
        <v>0</v>
      </c>
      <c r="N5548" s="16">
        <f>IF($A5548&lt;Notes!$B$5,"",IF(COUNTIFS(Release_Calendar!$A$2:$A$755,"NZ_GDP",Release_Calendar!$B$2:$B$755,$A5548)&gt;0,1,0))</f>
        <v>0</v>
      </c>
      <c r="O5548" s="16">
        <f>IF($A5548&lt;Notes!$B$5,"",IF(COUNTIFS(Release_Calendar!$A$2:$A$755,"NZ_LABOUR",Release_Calendar!$B$2:$B$755,$A5548)&gt;0,1,0))</f>
        <v>0</v>
      </c>
      <c r="P5548" s="16">
        <f t="shared" si="4"/>
        <v>0</v>
      </c>
    </row>
    <row r="5549" ht="15.75" customHeight="1">
      <c r="A5549" s="14">
        <v>44293.0</v>
      </c>
      <c r="B5549" s="15">
        <v>0.16</v>
      </c>
      <c r="C5549" s="15">
        <v>0.45</v>
      </c>
      <c r="D5549" s="15"/>
      <c r="E5549" s="15">
        <v>0.26</v>
      </c>
      <c r="F5549" s="15">
        <f t="shared" si="1"/>
        <v>0.29</v>
      </c>
      <c r="G5549" s="15">
        <f t="shared" si="2"/>
        <v>0.45</v>
      </c>
      <c r="H5549" s="16">
        <v>0.0</v>
      </c>
      <c r="I5549" s="15">
        <f t="shared" si="3"/>
        <v>0.29</v>
      </c>
      <c r="J5549" s="15">
        <v>17.16</v>
      </c>
      <c r="K5549" s="16">
        <f>IF(COUNTIFS(Release_Calendar!$A$2:$A$755,"US_CPI",Release_Calendar!$B$2:$B$755,$A5549)&gt;0,1,0)</f>
        <v>0</v>
      </c>
      <c r="L5549" s="16">
        <f>IF(COUNTIFS(Release_Calendar!$A$2:$A$755,"US_NFP",Release_Calendar!$B$2:$B$755,$A5549)&gt;0,1,0)</f>
        <v>0</v>
      </c>
      <c r="M5549" s="16">
        <f>IF($A5549&lt;Notes!$B$5,"",IF(COUNTIFS(Release_Calendar!$A$2:$A$755,"NZ_CPI",Release_Calendar!$B$2:$B$755,$A5549)&gt;0,1,0))</f>
        <v>0</v>
      </c>
      <c r="N5549" s="16">
        <f>IF($A5549&lt;Notes!$B$5,"",IF(COUNTIFS(Release_Calendar!$A$2:$A$755,"NZ_GDP",Release_Calendar!$B$2:$B$755,$A5549)&gt;0,1,0))</f>
        <v>0</v>
      </c>
      <c r="O5549" s="16">
        <f>IF($A5549&lt;Notes!$B$5,"",IF(COUNTIFS(Release_Calendar!$A$2:$A$755,"NZ_LABOUR",Release_Calendar!$B$2:$B$755,$A5549)&gt;0,1,0))</f>
        <v>0</v>
      </c>
      <c r="P5549" s="16">
        <f t="shared" si="4"/>
        <v>0</v>
      </c>
    </row>
    <row r="5550" ht="15.75" customHeight="1">
      <c r="A5550" s="14">
        <v>44294.0</v>
      </c>
      <c r="B5550" s="15">
        <v>0.14</v>
      </c>
      <c r="C5550" s="15">
        <v>0.44</v>
      </c>
      <c r="D5550" s="15"/>
      <c r="E5550" s="15">
        <v>0.25</v>
      </c>
      <c r="F5550" s="15">
        <f t="shared" si="1"/>
        <v>0.3</v>
      </c>
      <c r="G5550" s="15">
        <f t="shared" si="2"/>
        <v>0.44</v>
      </c>
      <c r="H5550" s="16">
        <v>0.0</v>
      </c>
      <c r="I5550" s="15">
        <f t="shared" si="3"/>
        <v>0.3</v>
      </c>
      <c r="J5550" s="15">
        <v>16.95</v>
      </c>
      <c r="K5550" s="16">
        <f>IF(COUNTIFS(Release_Calendar!$A$2:$A$755,"US_CPI",Release_Calendar!$B$2:$B$755,$A5550)&gt;0,1,0)</f>
        <v>0</v>
      </c>
      <c r="L5550" s="16">
        <f>IF(COUNTIFS(Release_Calendar!$A$2:$A$755,"US_NFP",Release_Calendar!$B$2:$B$755,$A5550)&gt;0,1,0)</f>
        <v>0</v>
      </c>
      <c r="M5550" s="16">
        <f>IF($A5550&lt;Notes!$B$5,"",IF(COUNTIFS(Release_Calendar!$A$2:$A$755,"NZ_CPI",Release_Calendar!$B$2:$B$755,$A5550)&gt;0,1,0))</f>
        <v>0</v>
      </c>
      <c r="N5550" s="16">
        <f>IF($A5550&lt;Notes!$B$5,"",IF(COUNTIFS(Release_Calendar!$A$2:$A$755,"NZ_GDP",Release_Calendar!$B$2:$B$755,$A5550)&gt;0,1,0))</f>
        <v>0</v>
      </c>
      <c r="O5550" s="16">
        <f>IF($A5550&lt;Notes!$B$5,"",IF(COUNTIFS(Release_Calendar!$A$2:$A$755,"NZ_LABOUR",Release_Calendar!$B$2:$B$755,$A5550)&gt;0,1,0))</f>
        <v>0</v>
      </c>
      <c r="P5550" s="16">
        <f t="shared" si="4"/>
        <v>0</v>
      </c>
    </row>
    <row r="5551" ht="15.75" customHeight="1">
      <c r="A5551" s="14">
        <v>44295.0</v>
      </c>
      <c r="B5551" s="15">
        <v>0.16</v>
      </c>
      <c r="C5551" s="15">
        <v>0.45</v>
      </c>
      <c r="D5551" s="15"/>
      <c r="E5551" s="15">
        <v>0.25</v>
      </c>
      <c r="F5551" s="15">
        <f t="shared" si="1"/>
        <v>0.29</v>
      </c>
      <c r="G5551" s="15">
        <f t="shared" si="2"/>
        <v>0.45</v>
      </c>
      <c r="H5551" s="16">
        <v>0.0</v>
      </c>
      <c r="I5551" s="15">
        <f t="shared" si="3"/>
        <v>0.29</v>
      </c>
      <c r="J5551" s="15">
        <v>16.69</v>
      </c>
      <c r="K5551" s="16">
        <f>IF(COUNTIFS(Release_Calendar!$A$2:$A$755,"US_CPI",Release_Calendar!$B$2:$B$755,$A5551)&gt;0,1,0)</f>
        <v>0</v>
      </c>
      <c r="L5551" s="16">
        <f>IF(COUNTIFS(Release_Calendar!$A$2:$A$755,"US_NFP",Release_Calendar!$B$2:$B$755,$A5551)&gt;0,1,0)</f>
        <v>0</v>
      </c>
      <c r="M5551" s="16">
        <f>IF($A5551&lt;Notes!$B$5,"",IF(COUNTIFS(Release_Calendar!$A$2:$A$755,"NZ_CPI",Release_Calendar!$B$2:$B$755,$A5551)&gt;0,1,0))</f>
        <v>0</v>
      </c>
      <c r="N5551" s="16">
        <f>IF($A5551&lt;Notes!$B$5,"",IF(COUNTIFS(Release_Calendar!$A$2:$A$755,"NZ_GDP",Release_Calendar!$B$2:$B$755,$A5551)&gt;0,1,0))</f>
        <v>0</v>
      </c>
      <c r="O5551" s="16">
        <f>IF($A5551&lt;Notes!$B$5,"",IF(COUNTIFS(Release_Calendar!$A$2:$A$755,"NZ_LABOUR",Release_Calendar!$B$2:$B$755,$A5551)&gt;0,1,0))</f>
        <v>0</v>
      </c>
      <c r="P5551" s="16">
        <f t="shared" si="4"/>
        <v>0</v>
      </c>
    </row>
    <row r="5552" ht="15.75" customHeight="1">
      <c r="A5552" s="14">
        <v>44298.0</v>
      </c>
      <c r="B5552" s="15">
        <v>0.18</v>
      </c>
      <c r="C5552" s="15">
        <v>0.45</v>
      </c>
      <c r="D5552" s="15"/>
      <c r="E5552" s="15">
        <v>0.24</v>
      </c>
      <c r="F5552" s="15">
        <f t="shared" si="1"/>
        <v>0.27</v>
      </c>
      <c r="G5552" s="15">
        <f t="shared" si="2"/>
        <v>0.45</v>
      </c>
      <c r="H5552" s="16">
        <v>0.0</v>
      </c>
      <c r="I5552" s="15">
        <f t="shared" si="3"/>
        <v>0.27</v>
      </c>
      <c r="J5552" s="15">
        <v>16.91</v>
      </c>
      <c r="K5552" s="16">
        <f>IF(COUNTIFS(Release_Calendar!$A$2:$A$755,"US_CPI",Release_Calendar!$B$2:$B$755,$A5552)&gt;0,1,0)</f>
        <v>0</v>
      </c>
      <c r="L5552" s="16">
        <f>IF(COUNTIFS(Release_Calendar!$A$2:$A$755,"US_NFP",Release_Calendar!$B$2:$B$755,$A5552)&gt;0,1,0)</f>
        <v>0</v>
      </c>
      <c r="M5552" s="16">
        <f>IF($A5552&lt;Notes!$B$5,"",IF(COUNTIFS(Release_Calendar!$A$2:$A$755,"NZ_CPI",Release_Calendar!$B$2:$B$755,$A5552)&gt;0,1,0))</f>
        <v>0</v>
      </c>
      <c r="N5552" s="16">
        <f>IF($A5552&lt;Notes!$B$5,"",IF(COUNTIFS(Release_Calendar!$A$2:$A$755,"NZ_GDP",Release_Calendar!$B$2:$B$755,$A5552)&gt;0,1,0))</f>
        <v>0</v>
      </c>
      <c r="O5552" s="16">
        <f>IF($A5552&lt;Notes!$B$5,"",IF(COUNTIFS(Release_Calendar!$A$2:$A$755,"NZ_LABOUR",Release_Calendar!$B$2:$B$755,$A5552)&gt;0,1,0))</f>
        <v>0</v>
      </c>
      <c r="P5552" s="16">
        <f t="shared" si="4"/>
        <v>0</v>
      </c>
    </row>
    <row r="5553" ht="15.75" customHeight="1">
      <c r="A5553" s="14">
        <v>44299.0</v>
      </c>
      <c r="B5553" s="15">
        <v>0.16</v>
      </c>
      <c r="C5553" s="15">
        <v>0.46</v>
      </c>
      <c r="D5553" s="15"/>
      <c r="E5553" s="15">
        <v>0.25</v>
      </c>
      <c r="F5553" s="15">
        <f t="shared" si="1"/>
        <v>0.3</v>
      </c>
      <c r="G5553" s="15">
        <f t="shared" si="2"/>
        <v>0.46</v>
      </c>
      <c r="H5553" s="16">
        <v>0.0</v>
      </c>
      <c r="I5553" s="15">
        <f t="shared" si="3"/>
        <v>0.3</v>
      </c>
      <c r="J5553" s="15">
        <v>16.65</v>
      </c>
      <c r="K5553" s="16">
        <f>IF(COUNTIFS(Release_Calendar!$A$2:$A$755,"US_CPI",Release_Calendar!$B$2:$B$755,$A5553)&gt;0,1,0)</f>
        <v>1</v>
      </c>
      <c r="L5553" s="16">
        <f>IF(COUNTIFS(Release_Calendar!$A$2:$A$755,"US_NFP",Release_Calendar!$B$2:$B$755,$A5553)&gt;0,1,0)</f>
        <v>0</v>
      </c>
      <c r="M5553" s="16">
        <f>IF($A5553&lt;Notes!$B$5,"",IF(COUNTIFS(Release_Calendar!$A$2:$A$755,"NZ_CPI",Release_Calendar!$B$2:$B$755,$A5553)&gt;0,1,0))</f>
        <v>0</v>
      </c>
      <c r="N5553" s="16">
        <f>IF($A5553&lt;Notes!$B$5,"",IF(COUNTIFS(Release_Calendar!$A$2:$A$755,"NZ_GDP",Release_Calendar!$B$2:$B$755,$A5553)&gt;0,1,0))</f>
        <v>0</v>
      </c>
      <c r="O5553" s="16">
        <f>IF($A5553&lt;Notes!$B$5,"",IF(COUNTIFS(Release_Calendar!$A$2:$A$755,"NZ_LABOUR",Release_Calendar!$B$2:$B$755,$A5553)&gt;0,1,0))</f>
        <v>0</v>
      </c>
      <c r="P5553" s="16">
        <f t="shared" si="4"/>
        <v>1</v>
      </c>
    </row>
    <row r="5554" ht="15.75" customHeight="1">
      <c r="A5554" s="14">
        <v>44300.0</v>
      </c>
      <c r="B5554" s="15">
        <v>0.16</v>
      </c>
      <c r="C5554" s="15">
        <v>0.44</v>
      </c>
      <c r="D5554" s="15"/>
      <c r="E5554" s="15">
        <v>0.24</v>
      </c>
      <c r="F5554" s="15">
        <f t="shared" si="1"/>
        <v>0.28</v>
      </c>
      <c r="G5554" s="15">
        <f t="shared" si="2"/>
        <v>0.44</v>
      </c>
      <c r="H5554" s="16">
        <v>0.0</v>
      </c>
      <c r="I5554" s="15">
        <f t="shared" si="3"/>
        <v>0.28</v>
      </c>
      <c r="J5554" s="15">
        <v>16.99</v>
      </c>
      <c r="K5554" s="16">
        <f>IF(COUNTIFS(Release_Calendar!$A$2:$A$755,"US_CPI",Release_Calendar!$B$2:$B$755,$A5554)&gt;0,1,0)</f>
        <v>0</v>
      </c>
      <c r="L5554" s="16">
        <f>IF(COUNTIFS(Release_Calendar!$A$2:$A$755,"US_NFP",Release_Calendar!$B$2:$B$755,$A5554)&gt;0,1,0)</f>
        <v>0</v>
      </c>
      <c r="M5554" s="16">
        <f>IF($A5554&lt;Notes!$B$5,"",IF(COUNTIFS(Release_Calendar!$A$2:$A$755,"NZ_CPI",Release_Calendar!$B$2:$B$755,$A5554)&gt;0,1,0))</f>
        <v>0</v>
      </c>
      <c r="N5554" s="16">
        <f>IF($A5554&lt;Notes!$B$5,"",IF(COUNTIFS(Release_Calendar!$A$2:$A$755,"NZ_GDP",Release_Calendar!$B$2:$B$755,$A5554)&gt;0,1,0))</f>
        <v>0</v>
      </c>
      <c r="O5554" s="16">
        <f>IF($A5554&lt;Notes!$B$5,"",IF(COUNTIFS(Release_Calendar!$A$2:$A$755,"NZ_LABOUR",Release_Calendar!$B$2:$B$755,$A5554)&gt;0,1,0))</f>
        <v>0</v>
      </c>
      <c r="P5554" s="16">
        <f t="shared" si="4"/>
        <v>0</v>
      </c>
    </row>
    <row r="5555" ht="15.75" customHeight="1">
      <c r="A5555" s="14">
        <v>44301.0</v>
      </c>
      <c r="B5555" s="15">
        <v>0.16</v>
      </c>
      <c r="C5555" s="15">
        <v>0.45</v>
      </c>
      <c r="D5555" s="15"/>
      <c r="E5555" s="15">
        <v>0.24</v>
      </c>
      <c r="F5555" s="15">
        <f t="shared" si="1"/>
        <v>0.29</v>
      </c>
      <c r="G5555" s="15">
        <f t="shared" si="2"/>
        <v>0.45</v>
      </c>
      <c r="H5555" s="16">
        <v>0.0</v>
      </c>
      <c r="I5555" s="15">
        <f t="shared" si="3"/>
        <v>0.29</v>
      </c>
      <c r="J5555" s="15">
        <v>16.57</v>
      </c>
      <c r="K5555" s="16">
        <f>IF(COUNTIFS(Release_Calendar!$A$2:$A$755,"US_CPI",Release_Calendar!$B$2:$B$755,$A5555)&gt;0,1,0)</f>
        <v>0</v>
      </c>
      <c r="L5555" s="16">
        <f>IF(COUNTIFS(Release_Calendar!$A$2:$A$755,"US_NFP",Release_Calendar!$B$2:$B$755,$A5555)&gt;0,1,0)</f>
        <v>0</v>
      </c>
      <c r="M5555" s="16">
        <f>IF($A5555&lt;Notes!$B$5,"",IF(COUNTIFS(Release_Calendar!$A$2:$A$755,"NZ_CPI",Release_Calendar!$B$2:$B$755,$A5555)&gt;0,1,0))</f>
        <v>0</v>
      </c>
      <c r="N5555" s="16">
        <f>IF($A5555&lt;Notes!$B$5,"",IF(COUNTIFS(Release_Calendar!$A$2:$A$755,"NZ_GDP",Release_Calendar!$B$2:$B$755,$A5555)&gt;0,1,0))</f>
        <v>0</v>
      </c>
      <c r="O5555" s="16">
        <f>IF($A5555&lt;Notes!$B$5,"",IF(COUNTIFS(Release_Calendar!$A$2:$A$755,"NZ_LABOUR",Release_Calendar!$B$2:$B$755,$A5555)&gt;0,1,0))</f>
        <v>0</v>
      </c>
      <c r="P5555" s="16">
        <f t="shared" si="4"/>
        <v>0</v>
      </c>
    </row>
    <row r="5556" ht="15.75" customHeight="1">
      <c r="A5556" s="14">
        <v>44302.0</v>
      </c>
      <c r="B5556" s="15">
        <v>0.16</v>
      </c>
      <c r="C5556" s="15">
        <v>0.44</v>
      </c>
      <c r="D5556" s="15"/>
      <c r="E5556" s="15">
        <v>0.25</v>
      </c>
      <c r="F5556" s="15">
        <f t="shared" si="1"/>
        <v>0.28</v>
      </c>
      <c r="G5556" s="15">
        <f t="shared" si="2"/>
        <v>0.44</v>
      </c>
      <c r="H5556" s="16">
        <v>0.0</v>
      </c>
      <c r="I5556" s="15">
        <f t="shared" si="3"/>
        <v>0.28</v>
      </c>
      <c r="J5556" s="15">
        <v>16.25</v>
      </c>
      <c r="K5556" s="16">
        <f>IF(COUNTIFS(Release_Calendar!$A$2:$A$755,"US_CPI",Release_Calendar!$B$2:$B$755,$A5556)&gt;0,1,0)</f>
        <v>0</v>
      </c>
      <c r="L5556" s="16">
        <f>IF(COUNTIFS(Release_Calendar!$A$2:$A$755,"US_NFP",Release_Calendar!$B$2:$B$755,$A5556)&gt;0,1,0)</f>
        <v>0</v>
      </c>
      <c r="M5556" s="16">
        <f>IF($A5556&lt;Notes!$B$5,"",IF(COUNTIFS(Release_Calendar!$A$2:$A$755,"NZ_CPI",Release_Calendar!$B$2:$B$755,$A5556)&gt;0,1,0))</f>
        <v>0</v>
      </c>
      <c r="N5556" s="16">
        <f>IF($A5556&lt;Notes!$B$5,"",IF(COUNTIFS(Release_Calendar!$A$2:$A$755,"NZ_GDP",Release_Calendar!$B$2:$B$755,$A5556)&gt;0,1,0))</f>
        <v>0</v>
      </c>
      <c r="O5556" s="16">
        <f>IF($A5556&lt;Notes!$B$5,"",IF(COUNTIFS(Release_Calendar!$A$2:$A$755,"NZ_LABOUR",Release_Calendar!$B$2:$B$755,$A5556)&gt;0,1,0))</f>
        <v>0</v>
      </c>
      <c r="P5556" s="16">
        <f t="shared" si="4"/>
        <v>0</v>
      </c>
    </row>
    <row r="5557" ht="15.75" customHeight="1">
      <c r="A5557" s="14">
        <v>44305.0</v>
      </c>
      <c r="B5557" s="15">
        <v>0.16</v>
      </c>
      <c r="C5557" s="15">
        <v>0.44</v>
      </c>
      <c r="D5557" s="15"/>
      <c r="E5557" s="15">
        <v>0.25</v>
      </c>
      <c r="F5557" s="15">
        <f t="shared" si="1"/>
        <v>0.28</v>
      </c>
      <c r="G5557" s="15">
        <f t="shared" si="2"/>
        <v>0.44</v>
      </c>
      <c r="H5557" s="16">
        <v>0.0</v>
      </c>
      <c r="I5557" s="15">
        <f t="shared" si="3"/>
        <v>0.28</v>
      </c>
      <c r="J5557" s="15">
        <v>17.29</v>
      </c>
      <c r="K5557" s="16">
        <f>IF(COUNTIFS(Release_Calendar!$A$2:$A$755,"US_CPI",Release_Calendar!$B$2:$B$755,$A5557)&gt;0,1,0)</f>
        <v>0</v>
      </c>
      <c r="L5557" s="16">
        <f>IF(COUNTIFS(Release_Calendar!$A$2:$A$755,"US_NFP",Release_Calendar!$B$2:$B$755,$A5557)&gt;0,1,0)</f>
        <v>0</v>
      </c>
      <c r="M5557" s="16">
        <f>IF($A5557&lt;Notes!$B$5,"",IF(COUNTIFS(Release_Calendar!$A$2:$A$755,"NZ_CPI",Release_Calendar!$B$2:$B$755,$A5557)&gt;0,1,0))</f>
        <v>0</v>
      </c>
      <c r="N5557" s="16">
        <f>IF($A5557&lt;Notes!$B$5,"",IF(COUNTIFS(Release_Calendar!$A$2:$A$755,"NZ_GDP",Release_Calendar!$B$2:$B$755,$A5557)&gt;0,1,0))</f>
        <v>0</v>
      </c>
      <c r="O5557" s="16">
        <f>IF($A5557&lt;Notes!$B$5,"",IF(COUNTIFS(Release_Calendar!$A$2:$A$755,"NZ_LABOUR",Release_Calendar!$B$2:$B$755,$A5557)&gt;0,1,0))</f>
        <v>0</v>
      </c>
      <c r="P5557" s="16">
        <f t="shared" si="4"/>
        <v>0</v>
      </c>
    </row>
    <row r="5558" ht="15.75" customHeight="1">
      <c r="A5558" s="14">
        <v>44306.0</v>
      </c>
      <c r="B5558" s="15">
        <v>0.15</v>
      </c>
      <c r="C5558" s="15">
        <v>0.46</v>
      </c>
      <c r="D5558" s="15"/>
      <c r="E5558" s="15">
        <v>0.26</v>
      </c>
      <c r="F5558" s="15">
        <f t="shared" si="1"/>
        <v>0.31</v>
      </c>
      <c r="G5558" s="15">
        <f t="shared" si="2"/>
        <v>0.46</v>
      </c>
      <c r="H5558" s="16">
        <v>0.0</v>
      </c>
      <c r="I5558" s="15">
        <f t="shared" si="3"/>
        <v>0.31</v>
      </c>
      <c r="J5558" s="15">
        <v>18.68</v>
      </c>
      <c r="K5558" s="16">
        <f>IF(COUNTIFS(Release_Calendar!$A$2:$A$755,"US_CPI",Release_Calendar!$B$2:$B$755,$A5558)&gt;0,1,0)</f>
        <v>0</v>
      </c>
      <c r="L5558" s="16">
        <f>IF(COUNTIFS(Release_Calendar!$A$2:$A$755,"US_NFP",Release_Calendar!$B$2:$B$755,$A5558)&gt;0,1,0)</f>
        <v>0</v>
      </c>
      <c r="M5558" s="16">
        <f>IF($A5558&lt;Notes!$B$5,"",IF(COUNTIFS(Release_Calendar!$A$2:$A$755,"NZ_CPI",Release_Calendar!$B$2:$B$755,$A5558)&gt;0,1,0))</f>
        <v>0</v>
      </c>
      <c r="N5558" s="16">
        <f>IF($A5558&lt;Notes!$B$5,"",IF(COUNTIFS(Release_Calendar!$A$2:$A$755,"NZ_GDP",Release_Calendar!$B$2:$B$755,$A5558)&gt;0,1,0))</f>
        <v>0</v>
      </c>
      <c r="O5558" s="16">
        <f>IF($A5558&lt;Notes!$B$5,"",IF(COUNTIFS(Release_Calendar!$A$2:$A$755,"NZ_LABOUR",Release_Calendar!$B$2:$B$755,$A5558)&gt;0,1,0))</f>
        <v>0</v>
      </c>
      <c r="P5558" s="16">
        <f t="shared" si="4"/>
        <v>0</v>
      </c>
    </row>
    <row r="5559" ht="15.75" customHeight="1">
      <c r="A5559" s="14">
        <v>44307.0</v>
      </c>
      <c r="B5559" s="15">
        <v>0.15</v>
      </c>
      <c r="C5559" s="15">
        <v>0.45</v>
      </c>
      <c r="D5559" s="15"/>
      <c r="E5559" s="15">
        <v>0.26</v>
      </c>
      <c r="F5559" s="15">
        <f t="shared" si="1"/>
        <v>0.3</v>
      </c>
      <c r="G5559" s="15">
        <f t="shared" si="2"/>
        <v>0.45</v>
      </c>
      <c r="H5559" s="16">
        <v>0.0</v>
      </c>
      <c r="I5559" s="15">
        <f t="shared" si="3"/>
        <v>0.3</v>
      </c>
      <c r="J5559" s="15">
        <v>17.5</v>
      </c>
      <c r="K5559" s="16">
        <f>IF(COUNTIFS(Release_Calendar!$A$2:$A$755,"US_CPI",Release_Calendar!$B$2:$B$755,$A5559)&gt;0,1,0)</f>
        <v>0</v>
      </c>
      <c r="L5559" s="16">
        <f>IF(COUNTIFS(Release_Calendar!$A$2:$A$755,"US_NFP",Release_Calendar!$B$2:$B$755,$A5559)&gt;0,1,0)</f>
        <v>0</v>
      </c>
      <c r="M5559" s="16">
        <f>IF($A5559&lt;Notes!$B$5,"",IF(COUNTIFS(Release_Calendar!$A$2:$A$755,"NZ_CPI",Release_Calendar!$B$2:$B$755,$A5559)&gt;0,1,0))</f>
        <v>1</v>
      </c>
      <c r="N5559" s="16">
        <f>IF($A5559&lt;Notes!$B$5,"",IF(COUNTIFS(Release_Calendar!$A$2:$A$755,"NZ_GDP",Release_Calendar!$B$2:$B$755,$A5559)&gt;0,1,0))</f>
        <v>0</v>
      </c>
      <c r="O5559" s="16">
        <f>IF($A5559&lt;Notes!$B$5,"",IF(COUNTIFS(Release_Calendar!$A$2:$A$755,"NZ_LABOUR",Release_Calendar!$B$2:$B$755,$A5559)&gt;0,1,0))</f>
        <v>0</v>
      </c>
      <c r="P5559" s="16">
        <f t="shared" si="4"/>
        <v>1</v>
      </c>
    </row>
    <row r="5560" ht="15.75" customHeight="1">
      <c r="A5560" s="14">
        <v>44308.0</v>
      </c>
      <c r="B5560" s="15">
        <v>0.16</v>
      </c>
      <c r="C5560" s="15">
        <v>0.46</v>
      </c>
      <c r="D5560" s="15"/>
      <c r="E5560" s="15">
        <v>0.25</v>
      </c>
      <c r="F5560" s="15">
        <f t="shared" si="1"/>
        <v>0.3</v>
      </c>
      <c r="G5560" s="15">
        <f t="shared" si="2"/>
        <v>0.46</v>
      </c>
      <c r="H5560" s="16">
        <v>0.0</v>
      </c>
      <c r="I5560" s="15">
        <f t="shared" si="3"/>
        <v>0.3</v>
      </c>
      <c r="J5560" s="15">
        <v>18.71</v>
      </c>
      <c r="K5560" s="16">
        <f>IF(COUNTIFS(Release_Calendar!$A$2:$A$755,"US_CPI",Release_Calendar!$B$2:$B$755,$A5560)&gt;0,1,0)</f>
        <v>0</v>
      </c>
      <c r="L5560" s="16">
        <f>IF(COUNTIFS(Release_Calendar!$A$2:$A$755,"US_NFP",Release_Calendar!$B$2:$B$755,$A5560)&gt;0,1,0)</f>
        <v>0</v>
      </c>
      <c r="M5560" s="16">
        <f>IF($A5560&lt;Notes!$B$5,"",IF(COUNTIFS(Release_Calendar!$A$2:$A$755,"NZ_CPI",Release_Calendar!$B$2:$B$755,$A5560)&gt;0,1,0))</f>
        <v>0</v>
      </c>
      <c r="N5560" s="16">
        <f>IF($A5560&lt;Notes!$B$5,"",IF(COUNTIFS(Release_Calendar!$A$2:$A$755,"NZ_GDP",Release_Calendar!$B$2:$B$755,$A5560)&gt;0,1,0))</f>
        <v>0</v>
      </c>
      <c r="O5560" s="16">
        <f>IF($A5560&lt;Notes!$B$5,"",IF(COUNTIFS(Release_Calendar!$A$2:$A$755,"NZ_LABOUR",Release_Calendar!$B$2:$B$755,$A5560)&gt;0,1,0))</f>
        <v>0</v>
      </c>
      <c r="P5560" s="16">
        <f t="shared" si="4"/>
        <v>0</v>
      </c>
    </row>
    <row r="5561" ht="15.75" customHeight="1">
      <c r="A5561" s="14">
        <v>44309.0</v>
      </c>
      <c r="B5561" s="15">
        <v>0.16</v>
      </c>
      <c r="C5561" s="15">
        <v>0.46</v>
      </c>
      <c r="D5561" s="15"/>
      <c r="E5561" s="15">
        <v>0.26</v>
      </c>
      <c r="F5561" s="15">
        <f t="shared" si="1"/>
        <v>0.3</v>
      </c>
      <c r="G5561" s="15">
        <f t="shared" si="2"/>
        <v>0.46</v>
      </c>
      <c r="H5561" s="16">
        <v>0.0</v>
      </c>
      <c r="I5561" s="15">
        <f t="shared" si="3"/>
        <v>0.3</v>
      </c>
      <c r="J5561" s="15">
        <v>17.33</v>
      </c>
      <c r="K5561" s="16">
        <f>IF(COUNTIFS(Release_Calendar!$A$2:$A$755,"US_CPI",Release_Calendar!$B$2:$B$755,$A5561)&gt;0,1,0)</f>
        <v>0</v>
      </c>
      <c r="L5561" s="16">
        <f>IF(COUNTIFS(Release_Calendar!$A$2:$A$755,"US_NFP",Release_Calendar!$B$2:$B$755,$A5561)&gt;0,1,0)</f>
        <v>0</v>
      </c>
      <c r="M5561" s="16">
        <f>IF($A5561&lt;Notes!$B$5,"",IF(COUNTIFS(Release_Calendar!$A$2:$A$755,"NZ_CPI",Release_Calendar!$B$2:$B$755,$A5561)&gt;0,1,0))</f>
        <v>0</v>
      </c>
      <c r="N5561" s="16">
        <f>IF($A5561&lt;Notes!$B$5,"",IF(COUNTIFS(Release_Calendar!$A$2:$A$755,"NZ_GDP",Release_Calendar!$B$2:$B$755,$A5561)&gt;0,1,0))</f>
        <v>0</v>
      </c>
      <c r="O5561" s="16">
        <f>IF($A5561&lt;Notes!$B$5,"",IF(COUNTIFS(Release_Calendar!$A$2:$A$755,"NZ_LABOUR",Release_Calendar!$B$2:$B$755,$A5561)&gt;0,1,0))</f>
        <v>0</v>
      </c>
      <c r="P5561" s="16">
        <f t="shared" si="4"/>
        <v>0</v>
      </c>
    </row>
    <row r="5562" ht="15.75" customHeight="1">
      <c r="A5562" s="14">
        <v>44312.0</v>
      </c>
      <c r="B5562" s="15">
        <v>0.18</v>
      </c>
      <c r="C5562" s="15"/>
      <c r="D5562" s="15"/>
      <c r="E5562" s="15"/>
      <c r="F5562" s="15" t="str">
        <f t="shared" si="1"/>
        <v/>
      </c>
      <c r="G5562" s="15" t="str">
        <f t="shared" si="2"/>
        <v/>
      </c>
      <c r="H5562" s="16">
        <v>0.0</v>
      </c>
      <c r="I5562" s="15" t="str">
        <f t="shared" si="3"/>
        <v/>
      </c>
      <c r="J5562" s="15">
        <v>17.64</v>
      </c>
      <c r="K5562" s="16">
        <f>IF(COUNTIFS(Release_Calendar!$A$2:$A$755,"US_CPI",Release_Calendar!$B$2:$B$755,$A5562)&gt;0,1,0)</f>
        <v>0</v>
      </c>
      <c r="L5562" s="16">
        <f>IF(COUNTIFS(Release_Calendar!$A$2:$A$755,"US_NFP",Release_Calendar!$B$2:$B$755,$A5562)&gt;0,1,0)</f>
        <v>0</v>
      </c>
      <c r="M5562" s="16">
        <f>IF($A5562&lt;Notes!$B$5,"",IF(COUNTIFS(Release_Calendar!$A$2:$A$755,"NZ_CPI",Release_Calendar!$B$2:$B$755,$A5562)&gt;0,1,0))</f>
        <v>0</v>
      </c>
      <c r="N5562" s="16">
        <f>IF($A5562&lt;Notes!$B$5,"",IF(COUNTIFS(Release_Calendar!$A$2:$A$755,"NZ_GDP",Release_Calendar!$B$2:$B$755,$A5562)&gt;0,1,0))</f>
        <v>0</v>
      </c>
      <c r="O5562" s="16">
        <f>IF($A5562&lt;Notes!$B$5,"",IF(COUNTIFS(Release_Calendar!$A$2:$A$755,"NZ_LABOUR",Release_Calendar!$B$2:$B$755,$A5562)&gt;0,1,0))</f>
        <v>0</v>
      </c>
      <c r="P5562" s="16">
        <f t="shared" si="4"/>
        <v>0</v>
      </c>
    </row>
    <row r="5563" ht="15.75" customHeight="1">
      <c r="A5563" s="14">
        <v>44313.0</v>
      </c>
      <c r="B5563" s="15">
        <v>0.17</v>
      </c>
      <c r="C5563" s="15">
        <v>0.46</v>
      </c>
      <c r="D5563" s="15"/>
      <c r="E5563" s="15">
        <v>0.27</v>
      </c>
      <c r="F5563" s="15">
        <f t="shared" si="1"/>
        <v>0.29</v>
      </c>
      <c r="G5563" s="15">
        <f t="shared" si="2"/>
        <v>0.46</v>
      </c>
      <c r="H5563" s="16">
        <v>0.0</v>
      </c>
      <c r="I5563" s="15">
        <f t="shared" si="3"/>
        <v>0.29</v>
      </c>
      <c r="J5563" s="15">
        <v>17.56</v>
      </c>
      <c r="K5563" s="16">
        <f>IF(COUNTIFS(Release_Calendar!$A$2:$A$755,"US_CPI",Release_Calendar!$B$2:$B$755,$A5563)&gt;0,1,0)</f>
        <v>0</v>
      </c>
      <c r="L5563" s="16">
        <f>IF(COUNTIFS(Release_Calendar!$A$2:$A$755,"US_NFP",Release_Calendar!$B$2:$B$755,$A5563)&gt;0,1,0)</f>
        <v>0</v>
      </c>
      <c r="M5563" s="16">
        <f>IF($A5563&lt;Notes!$B$5,"",IF(COUNTIFS(Release_Calendar!$A$2:$A$755,"NZ_CPI",Release_Calendar!$B$2:$B$755,$A5563)&gt;0,1,0))</f>
        <v>0</v>
      </c>
      <c r="N5563" s="16">
        <f>IF($A5563&lt;Notes!$B$5,"",IF(COUNTIFS(Release_Calendar!$A$2:$A$755,"NZ_GDP",Release_Calendar!$B$2:$B$755,$A5563)&gt;0,1,0))</f>
        <v>0</v>
      </c>
      <c r="O5563" s="16">
        <f>IF($A5563&lt;Notes!$B$5,"",IF(COUNTIFS(Release_Calendar!$A$2:$A$755,"NZ_LABOUR",Release_Calendar!$B$2:$B$755,$A5563)&gt;0,1,0))</f>
        <v>0</v>
      </c>
      <c r="P5563" s="16">
        <f t="shared" si="4"/>
        <v>0</v>
      </c>
    </row>
    <row r="5564" ht="15.75" customHeight="1">
      <c r="A5564" s="14">
        <v>44314.0</v>
      </c>
      <c r="B5564" s="15">
        <v>0.17</v>
      </c>
      <c r="C5564" s="15">
        <v>0.47</v>
      </c>
      <c r="D5564" s="15"/>
      <c r="E5564" s="15">
        <v>0.26</v>
      </c>
      <c r="F5564" s="15">
        <f t="shared" si="1"/>
        <v>0.3</v>
      </c>
      <c r="G5564" s="15">
        <f t="shared" si="2"/>
        <v>0.47</v>
      </c>
      <c r="H5564" s="16">
        <v>0.0</v>
      </c>
      <c r="I5564" s="15">
        <f t="shared" si="3"/>
        <v>0.3</v>
      </c>
      <c r="J5564" s="15">
        <v>17.28</v>
      </c>
      <c r="K5564" s="16">
        <f>IF(COUNTIFS(Release_Calendar!$A$2:$A$755,"US_CPI",Release_Calendar!$B$2:$B$755,$A5564)&gt;0,1,0)</f>
        <v>0</v>
      </c>
      <c r="L5564" s="16">
        <f>IF(COUNTIFS(Release_Calendar!$A$2:$A$755,"US_NFP",Release_Calendar!$B$2:$B$755,$A5564)&gt;0,1,0)</f>
        <v>0</v>
      </c>
      <c r="M5564" s="16">
        <f>IF($A5564&lt;Notes!$B$5,"",IF(COUNTIFS(Release_Calendar!$A$2:$A$755,"NZ_CPI",Release_Calendar!$B$2:$B$755,$A5564)&gt;0,1,0))</f>
        <v>0</v>
      </c>
      <c r="N5564" s="16">
        <f>IF($A5564&lt;Notes!$B$5,"",IF(COUNTIFS(Release_Calendar!$A$2:$A$755,"NZ_GDP",Release_Calendar!$B$2:$B$755,$A5564)&gt;0,1,0))</f>
        <v>0</v>
      </c>
      <c r="O5564" s="16">
        <f>IF($A5564&lt;Notes!$B$5,"",IF(COUNTIFS(Release_Calendar!$A$2:$A$755,"NZ_LABOUR",Release_Calendar!$B$2:$B$755,$A5564)&gt;0,1,0))</f>
        <v>0</v>
      </c>
      <c r="P5564" s="16">
        <f t="shared" si="4"/>
        <v>0</v>
      </c>
    </row>
    <row r="5565" ht="15.75" customHeight="1">
      <c r="A5565" s="14">
        <v>44315.0</v>
      </c>
      <c r="B5565" s="15">
        <v>0.16</v>
      </c>
      <c r="C5565" s="15">
        <v>0.46</v>
      </c>
      <c r="D5565" s="15"/>
      <c r="E5565" s="15">
        <v>0.25</v>
      </c>
      <c r="F5565" s="15">
        <f t="shared" si="1"/>
        <v>0.3</v>
      </c>
      <c r="G5565" s="15">
        <f t="shared" si="2"/>
        <v>0.46</v>
      </c>
      <c r="H5565" s="16">
        <v>0.0</v>
      </c>
      <c r="I5565" s="15">
        <f t="shared" si="3"/>
        <v>0.3</v>
      </c>
      <c r="J5565" s="15">
        <v>17.61</v>
      </c>
      <c r="K5565" s="16">
        <f>IF(COUNTIFS(Release_Calendar!$A$2:$A$755,"US_CPI",Release_Calendar!$B$2:$B$755,$A5565)&gt;0,1,0)</f>
        <v>0</v>
      </c>
      <c r="L5565" s="16">
        <f>IF(COUNTIFS(Release_Calendar!$A$2:$A$755,"US_NFP",Release_Calendar!$B$2:$B$755,$A5565)&gt;0,1,0)</f>
        <v>0</v>
      </c>
      <c r="M5565" s="16">
        <f>IF($A5565&lt;Notes!$B$5,"",IF(COUNTIFS(Release_Calendar!$A$2:$A$755,"NZ_CPI",Release_Calendar!$B$2:$B$755,$A5565)&gt;0,1,0))</f>
        <v>0</v>
      </c>
      <c r="N5565" s="16">
        <f>IF($A5565&lt;Notes!$B$5,"",IF(COUNTIFS(Release_Calendar!$A$2:$A$755,"NZ_GDP",Release_Calendar!$B$2:$B$755,$A5565)&gt;0,1,0))</f>
        <v>0</v>
      </c>
      <c r="O5565" s="16">
        <f>IF($A5565&lt;Notes!$B$5,"",IF(COUNTIFS(Release_Calendar!$A$2:$A$755,"NZ_LABOUR",Release_Calendar!$B$2:$B$755,$A5565)&gt;0,1,0))</f>
        <v>0</v>
      </c>
      <c r="P5565" s="16">
        <f t="shared" si="4"/>
        <v>0</v>
      </c>
    </row>
    <row r="5566" ht="15.75" customHeight="1">
      <c r="A5566" s="14">
        <v>44316.0</v>
      </c>
      <c r="B5566" s="15">
        <v>0.16</v>
      </c>
      <c r="C5566" s="15">
        <v>0.47</v>
      </c>
      <c r="D5566" s="15"/>
      <c r="E5566" s="15">
        <v>0.25</v>
      </c>
      <c r="F5566" s="15">
        <f t="shared" si="1"/>
        <v>0.31</v>
      </c>
      <c r="G5566" s="15">
        <f t="shared" si="2"/>
        <v>0.47</v>
      </c>
      <c r="H5566" s="16">
        <v>0.0</v>
      </c>
      <c r="I5566" s="15">
        <f t="shared" si="3"/>
        <v>0.31</v>
      </c>
      <c r="J5566" s="15">
        <v>18.61</v>
      </c>
      <c r="K5566" s="16">
        <f>IF(COUNTIFS(Release_Calendar!$A$2:$A$755,"US_CPI",Release_Calendar!$B$2:$B$755,$A5566)&gt;0,1,0)</f>
        <v>0</v>
      </c>
      <c r="L5566" s="16">
        <f>IF(COUNTIFS(Release_Calendar!$A$2:$A$755,"US_NFP",Release_Calendar!$B$2:$B$755,$A5566)&gt;0,1,0)</f>
        <v>0</v>
      </c>
      <c r="M5566" s="16">
        <f>IF($A5566&lt;Notes!$B$5,"",IF(COUNTIFS(Release_Calendar!$A$2:$A$755,"NZ_CPI",Release_Calendar!$B$2:$B$755,$A5566)&gt;0,1,0))</f>
        <v>0</v>
      </c>
      <c r="N5566" s="16">
        <f>IF($A5566&lt;Notes!$B$5,"",IF(COUNTIFS(Release_Calendar!$A$2:$A$755,"NZ_GDP",Release_Calendar!$B$2:$B$755,$A5566)&gt;0,1,0))</f>
        <v>0</v>
      </c>
      <c r="O5566" s="16">
        <f>IF($A5566&lt;Notes!$B$5,"",IF(COUNTIFS(Release_Calendar!$A$2:$A$755,"NZ_LABOUR",Release_Calendar!$B$2:$B$755,$A5566)&gt;0,1,0))</f>
        <v>0</v>
      </c>
      <c r="P5566" s="16">
        <f t="shared" si="4"/>
        <v>0</v>
      </c>
    </row>
    <row r="5567" ht="15.75" customHeight="1">
      <c r="A5567" s="14">
        <v>44319.0</v>
      </c>
      <c r="B5567" s="15">
        <v>0.16</v>
      </c>
      <c r="C5567" s="15">
        <v>0.46</v>
      </c>
      <c r="D5567" s="15"/>
      <c r="E5567" s="15">
        <v>0.26</v>
      </c>
      <c r="F5567" s="15">
        <f t="shared" si="1"/>
        <v>0.3</v>
      </c>
      <c r="G5567" s="15">
        <f t="shared" si="2"/>
        <v>0.46</v>
      </c>
      <c r="H5567" s="16">
        <v>0.0</v>
      </c>
      <c r="I5567" s="15">
        <f t="shared" si="3"/>
        <v>0.3</v>
      </c>
      <c r="J5567" s="15">
        <v>18.31</v>
      </c>
      <c r="K5567" s="16">
        <f>IF(COUNTIFS(Release_Calendar!$A$2:$A$755,"US_CPI",Release_Calendar!$B$2:$B$755,$A5567)&gt;0,1,0)</f>
        <v>0</v>
      </c>
      <c r="L5567" s="16">
        <f>IF(COUNTIFS(Release_Calendar!$A$2:$A$755,"US_NFP",Release_Calendar!$B$2:$B$755,$A5567)&gt;0,1,0)</f>
        <v>0</v>
      </c>
      <c r="M5567" s="16">
        <f>IF($A5567&lt;Notes!$B$5,"",IF(COUNTIFS(Release_Calendar!$A$2:$A$755,"NZ_CPI",Release_Calendar!$B$2:$B$755,$A5567)&gt;0,1,0))</f>
        <v>0</v>
      </c>
      <c r="N5567" s="16">
        <f>IF($A5567&lt;Notes!$B$5,"",IF(COUNTIFS(Release_Calendar!$A$2:$A$755,"NZ_GDP",Release_Calendar!$B$2:$B$755,$A5567)&gt;0,1,0))</f>
        <v>0</v>
      </c>
      <c r="O5567" s="16">
        <f>IF($A5567&lt;Notes!$B$5,"",IF(COUNTIFS(Release_Calendar!$A$2:$A$755,"NZ_LABOUR",Release_Calendar!$B$2:$B$755,$A5567)&gt;0,1,0))</f>
        <v>0</v>
      </c>
      <c r="P5567" s="16">
        <f t="shared" si="4"/>
        <v>0</v>
      </c>
    </row>
    <row r="5568" ht="15.75" customHeight="1">
      <c r="A5568" s="14">
        <v>44320.0</v>
      </c>
      <c r="B5568" s="15">
        <v>0.16</v>
      </c>
      <c r="C5568" s="15">
        <v>0.47</v>
      </c>
      <c r="D5568" s="15"/>
      <c r="E5568" s="15">
        <v>0.27</v>
      </c>
      <c r="F5568" s="15">
        <f t="shared" si="1"/>
        <v>0.31</v>
      </c>
      <c r="G5568" s="15">
        <f t="shared" si="2"/>
        <v>0.47</v>
      </c>
      <c r="H5568" s="16">
        <v>0.0</v>
      </c>
      <c r="I5568" s="15">
        <f t="shared" si="3"/>
        <v>0.31</v>
      </c>
      <c r="J5568" s="15">
        <v>19.48</v>
      </c>
      <c r="K5568" s="16">
        <f>IF(COUNTIFS(Release_Calendar!$A$2:$A$755,"US_CPI",Release_Calendar!$B$2:$B$755,$A5568)&gt;0,1,0)</f>
        <v>0</v>
      </c>
      <c r="L5568" s="16">
        <f>IF(COUNTIFS(Release_Calendar!$A$2:$A$755,"US_NFP",Release_Calendar!$B$2:$B$755,$A5568)&gt;0,1,0)</f>
        <v>0</v>
      </c>
      <c r="M5568" s="16">
        <f>IF($A5568&lt;Notes!$B$5,"",IF(COUNTIFS(Release_Calendar!$A$2:$A$755,"NZ_CPI",Release_Calendar!$B$2:$B$755,$A5568)&gt;0,1,0))</f>
        <v>0</v>
      </c>
      <c r="N5568" s="16">
        <f>IF($A5568&lt;Notes!$B$5,"",IF(COUNTIFS(Release_Calendar!$A$2:$A$755,"NZ_GDP",Release_Calendar!$B$2:$B$755,$A5568)&gt;0,1,0))</f>
        <v>0</v>
      </c>
      <c r="O5568" s="16">
        <f>IF($A5568&lt;Notes!$B$5,"",IF(COUNTIFS(Release_Calendar!$A$2:$A$755,"NZ_LABOUR",Release_Calendar!$B$2:$B$755,$A5568)&gt;0,1,0))</f>
        <v>0</v>
      </c>
      <c r="P5568" s="16">
        <f t="shared" si="4"/>
        <v>0</v>
      </c>
    </row>
    <row r="5569" ht="15.75" customHeight="1">
      <c r="A5569" s="14">
        <v>44321.0</v>
      </c>
      <c r="B5569" s="15">
        <v>0.16</v>
      </c>
      <c r="C5569" s="15">
        <v>0.5</v>
      </c>
      <c r="D5569" s="15"/>
      <c r="E5569" s="15">
        <v>0.31</v>
      </c>
      <c r="F5569" s="15">
        <f t="shared" si="1"/>
        <v>0.34</v>
      </c>
      <c r="G5569" s="15">
        <f t="shared" si="2"/>
        <v>0.5</v>
      </c>
      <c r="H5569" s="16">
        <v>0.0</v>
      </c>
      <c r="I5569" s="15">
        <f t="shared" si="3"/>
        <v>0.34</v>
      </c>
      <c r="J5569" s="15">
        <v>19.15</v>
      </c>
      <c r="K5569" s="16">
        <f>IF(COUNTIFS(Release_Calendar!$A$2:$A$755,"US_CPI",Release_Calendar!$B$2:$B$755,$A5569)&gt;0,1,0)</f>
        <v>0</v>
      </c>
      <c r="L5569" s="16">
        <f>IF(COUNTIFS(Release_Calendar!$A$2:$A$755,"US_NFP",Release_Calendar!$B$2:$B$755,$A5569)&gt;0,1,0)</f>
        <v>0</v>
      </c>
      <c r="M5569" s="16">
        <f>IF($A5569&lt;Notes!$B$5,"",IF(COUNTIFS(Release_Calendar!$A$2:$A$755,"NZ_CPI",Release_Calendar!$B$2:$B$755,$A5569)&gt;0,1,0))</f>
        <v>0</v>
      </c>
      <c r="N5569" s="16">
        <f>IF($A5569&lt;Notes!$B$5,"",IF(COUNTIFS(Release_Calendar!$A$2:$A$755,"NZ_GDP",Release_Calendar!$B$2:$B$755,$A5569)&gt;0,1,0))</f>
        <v>0</v>
      </c>
      <c r="O5569" s="16">
        <f>IF($A5569&lt;Notes!$B$5,"",IF(COUNTIFS(Release_Calendar!$A$2:$A$755,"NZ_LABOUR",Release_Calendar!$B$2:$B$755,$A5569)&gt;0,1,0))</f>
        <v>1</v>
      </c>
      <c r="P5569" s="16">
        <f t="shared" si="4"/>
        <v>1</v>
      </c>
    </row>
    <row r="5570" ht="15.75" customHeight="1">
      <c r="A5570" s="14">
        <v>44322.0</v>
      </c>
      <c r="B5570" s="15">
        <v>0.16</v>
      </c>
      <c r="C5570" s="15">
        <v>0.5</v>
      </c>
      <c r="D5570" s="15"/>
      <c r="E5570" s="15">
        <v>0.3</v>
      </c>
      <c r="F5570" s="15">
        <f t="shared" si="1"/>
        <v>0.34</v>
      </c>
      <c r="G5570" s="15">
        <f t="shared" si="2"/>
        <v>0.5</v>
      </c>
      <c r="H5570" s="16">
        <v>0.0</v>
      </c>
      <c r="I5570" s="15">
        <f t="shared" si="3"/>
        <v>0.34</v>
      </c>
      <c r="J5570" s="15">
        <v>18.39</v>
      </c>
      <c r="K5570" s="16">
        <f>IF(COUNTIFS(Release_Calendar!$A$2:$A$755,"US_CPI",Release_Calendar!$B$2:$B$755,$A5570)&gt;0,1,0)</f>
        <v>0</v>
      </c>
      <c r="L5570" s="16">
        <f>IF(COUNTIFS(Release_Calendar!$A$2:$A$755,"US_NFP",Release_Calendar!$B$2:$B$755,$A5570)&gt;0,1,0)</f>
        <v>0</v>
      </c>
      <c r="M5570" s="16">
        <f>IF($A5570&lt;Notes!$B$5,"",IF(COUNTIFS(Release_Calendar!$A$2:$A$755,"NZ_CPI",Release_Calendar!$B$2:$B$755,$A5570)&gt;0,1,0))</f>
        <v>0</v>
      </c>
      <c r="N5570" s="16">
        <f>IF($A5570&lt;Notes!$B$5,"",IF(COUNTIFS(Release_Calendar!$A$2:$A$755,"NZ_GDP",Release_Calendar!$B$2:$B$755,$A5570)&gt;0,1,0))</f>
        <v>0</v>
      </c>
      <c r="O5570" s="16">
        <f>IF($A5570&lt;Notes!$B$5,"",IF(COUNTIFS(Release_Calendar!$A$2:$A$755,"NZ_LABOUR",Release_Calendar!$B$2:$B$755,$A5570)&gt;0,1,0))</f>
        <v>0</v>
      </c>
      <c r="P5570" s="16">
        <f t="shared" si="4"/>
        <v>0</v>
      </c>
    </row>
    <row r="5571" ht="15.75" customHeight="1">
      <c r="A5571" s="14">
        <v>44323.0</v>
      </c>
      <c r="B5571" s="15">
        <v>0.14</v>
      </c>
      <c r="C5571" s="15">
        <v>0.52</v>
      </c>
      <c r="D5571" s="15"/>
      <c r="E5571" s="15">
        <v>0.33</v>
      </c>
      <c r="F5571" s="15">
        <f t="shared" si="1"/>
        <v>0.38</v>
      </c>
      <c r="G5571" s="15">
        <f t="shared" si="2"/>
        <v>0.52</v>
      </c>
      <c r="H5571" s="16">
        <v>0.0</v>
      </c>
      <c r="I5571" s="15">
        <f t="shared" si="3"/>
        <v>0.38</v>
      </c>
      <c r="J5571" s="15">
        <v>16.69</v>
      </c>
      <c r="K5571" s="16">
        <f>IF(COUNTIFS(Release_Calendar!$A$2:$A$755,"US_CPI",Release_Calendar!$B$2:$B$755,$A5571)&gt;0,1,0)</f>
        <v>0</v>
      </c>
      <c r="L5571" s="16">
        <f>IF(COUNTIFS(Release_Calendar!$A$2:$A$755,"US_NFP",Release_Calendar!$B$2:$B$755,$A5571)&gt;0,1,0)</f>
        <v>1</v>
      </c>
      <c r="M5571" s="16">
        <f>IF($A5571&lt;Notes!$B$5,"",IF(COUNTIFS(Release_Calendar!$A$2:$A$755,"NZ_CPI",Release_Calendar!$B$2:$B$755,$A5571)&gt;0,1,0))</f>
        <v>0</v>
      </c>
      <c r="N5571" s="16">
        <f>IF($A5571&lt;Notes!$B$5,"",IF(COUNTIFS(Release_Calendar!$A$2:$A$755,"NZ_GDP",Release_Calendar!$B$2:$B$755,$A5571)&gt;0,1,0))</f>
        <v>0</v>
      </c>
      <c r="O5571" s="16">
        <f>IF($A5571&lt;Notes!$B$5,"",IF(COUNTIFS(Release_Calendar!$A$2:$A$755,"NZ_LABOUR",Release_Calendar!$B$2:$B$755,$A5571)&gt;0,1,0))</f>
        <v>0</v>
      </c>
      <c r="P5571" s="16">
        <f t="shared" si="4"/>
        <v>1</v>
      </c>
    </row>
    <row r="5572" ht="15.75" customHeight="1">
      <c r="A5572" s="14">
        <v>44326.0</v>
      </c>
      <c r="B5572" s="15">
        <v>0.16</v>
      </c>
      <c r="C5572" s="15">
        <v>0.53</v>
      </c>
      <c r="D5572" s="15"/>
      <c r="E5572" s="15">
        <v>0.32</v>
      </c>
      <c r="F5572" s="15">
        <f t="shared" si="1"/>
        <v>0.37</v>
      </c>
      <c r="G5572" s="15">
        <f t="shared" si="2"/>
        <v>0.53</v>
      </c>
      <c r="H5572" s="16">
        <v>0.0</v>
      </c>
      <c r="I5572" s="15">
        <f t="shared" si="3"/>
        <v>0.37</v>
      </c>
      <c r="J5572" s="15">
        <v>19.66</v>
      </c>
      <c r="K5572" s="16">
        <f>IF(COUNTIFS(Release_Calendar!$A$2:$A$755,"US_CPI",Release_Calendar!$B$2:$B$755,$A5572)&gt;0,1,0)</f>
        <v>0</v>
      </c>
      <c r="L5572" s="16">
        <f>IF(COUNTIFS(Release_Calendar!$A$2:$A$755,"US_NFP",Release_Calendar!$B$2:$B$755,$A5572)&gt;0,1,0)</f>
        <v>0</v>
      </c>
      <c r="M5572" s="16">
        <f>IF($A5572&lt;Notes!$B$5,"",IF(COUNTIFS(Release_Calendar!$A$2:$A$755,"NZ_CPI",Release_Calendar!$B$2:$B$755,$A5572)&gt;0,1,0))</f>
        <v>0</v>
      </c>
      <c r="N5572" s="16">
        <f>IF($A5572&lt;Notes!$B$5,"",IF(COUNTIFS(Release_Calendar!$A$2:$A$755,"NZ_GDP",Release_Calendar!$B$2:$B$755,$A5572)&gt;0,1,0))</f>
        <v>0</v>
      </c>
      <c r="O5572" s="16">
        <f>IF($A5572&lt;Notes!$B$5,"",IF(COUNTIFS(Release_Calendar!$A$2:$A$755,"NZ_LABOUR",Release_Calendar!$B$2:$B$755,$A5572)&gt;0,1,0))</f>
        <v>0</v>
      </c>
      <c r="P5572" s="16">
        <f t="shared" si="4"/>
        <v>0</v>
      </c>
    </row>
    <row r="5573" ht="15.75" customHeight="1">
      <c r="A5573" s="14">
        <v>44327.0</v>
      </c>
      <c r="B5573" s="15">
        <v>0.16</v>
      </c>
      <c r="C5573" s="15">
        <v>0.53</v>
      </c>
      <c r="D5573" s="15"/>
      <c r="E5573" s="15">
        <v>0.31</v>
      </c>
      <c r="F5573" s="15">
        <f t="shared" si="1"/>
        <v>0.37</v>
      </c>
      <c r="G5573" s="15">
        <f t="shared" si="2"/>
        <v>0.53</v>
      </c>
      <c r="H5573" s="16">
        <v>0.0</v>
      </c>
      <c r="I5573" s="15">
        <f t="shared" si="3"/>
        <v>0.37</v>
      </c>
      <c r="J5573" s="15">
        <v>21.84</v>
      </c>
      <c r="K5573" s="16">
        <f>IF(COUNTIFS(Release_Calendar!$A$2:$A$755,"US_CPI",Release_Calendar!$B$2:$B$755,$A5573)&gt;0,1,0)</f>
        <v>0</v>
      </c>
      <c r="L5573" s="16">
        <f>IF(COUNTIFS(Release_Calendar!$A$2:$A$755,"US_NFP",Release_Calendar!$B$2:$B$755,$A5573)&gt;0,1,0)</f>
        <v>0</v>
      </c>
      <c r="M5573" s="16">
        <f>IF($A5573&lt;Notes!$B$5,"",IF(COUNTIFS(Release_Calendar!$A$2:$A$755,"NZ_CPI",Release_Calendar!$B$2:$B$755,$A5573)&gt;0,1,0))</f>
        <v>0</v>
      </c>
      <c r="N5573" s="16">
        <f>IF($A5573&lt;Notes!$B$5,"",IF(COUNTIFS(Release_Calendar!$A$2:$A$755,"NZ_GDP",Release_Calendar!$B$2:$B$755,$A5573)&gt;0,1,0))</f>
        <v>0</v>
      </c>
      <c r="O5573" s="16">
        <f>IF($A5573&lt;Notes!$B$5,"",IF(COUNTIFS(Release_Calendar!$A$2:$A$755,"NZ_LABOUR",Release_Calendar!$B$2:$B$755,$A5573)&gt;0,1,0))</f>
        <v>0</v>
      </c>
      <c r="P5573" s="16">
        <f t="shared" si="4"/>
        <v>0</v>
      </c>
    </row>
    <row r="5574" ht="15.75" customHeight="1">
      <c r="A5574" s="14">
        <v>44328.0</v>
      </c>
      <c r="B5574" s="15">
        <v>0.16</v>
      </c>
      <c r="C5574" s="15">
        <v>0.54</v>
      </c>
      <c r="D5574" s="15"/>
      <c r="E5574" s="15">
        <v>0.32</v>
      </c>
      <c r="F5574" s="15">
        <f t="shared" si="1"/>
        <v>0.38</v>
      </c>
      <c r="G5574" s="15">
        <f t="shared" si="2"/>
        <v>0.54</v>
      </c>
      <c r="H5574" s="16">
        <v>0.0</v>
      </c>
      <c r="I5574" s="15">
        <f t="shared" si="3"/>
        <v>0.38</v>
      </c>
      <c r="J5574" s="15">
        <v>27.59</v>
      </c>
      <c r="K5574" s="16">
        <f>IF(COUNTIFS(Release_Calendar!$A$2:$A$755,"US_CPI",Release_Calendar!$B$2:$B$755,$A5574)&gt;0,1,0)</f>
        <v>1</v>
      </c>
      <c r="L5574" s="16">
        <f>IF(COUNTIFS(Release_Calendar!$A$2:$A$755,"US_NFP",Release_Calendar!$B$2:$B$755,$A5574)&gt;0,1,0)</f>
        <v>0</v>
      </c>
      <c r="M5574" s="16">
        <f>IF($A5574&lt;Notes!$B$5,"",IF(COUNTIFS(Release_Calendar!$A$2:$A$755,"NZ_CPI",Release_Calendar!$B$2:$B$755,$A5574)&gt;0,1,0))</f>
        <v>0</v>
      </c>
      <c r="N5574" s="16">
        <f>IF($A5574&lt;Notes!$B$5,"",IF(COUNTIFS(Release_Calendar!$A$2:$A$755,"NZ_GDP",Release_Calendar!$B$2:$B$755,$A5574)&gt;0,1,0))</f>
        <v>0</v>
      </c>
      <c r="O5574" s="16">
        <f>IF($A5574&lt;Notes!$B$5,"",IF(COUNTIFS(Release_Calendar!$A$2:$A$755,"NZ_LABOUR",Release_Calendar!$B$2:$B$755,$A5574)&gt;0,1,0))</f>
        <v>0</v>
      </c>
      <c r="P5574" s="16">
        <f t="shared" si="4"/>
        <v>1</v>
      </c>
    </row>
    <row r="5575" ht="15.75" customHeight="1">
      <c r="A5575" s="14">
        <v>44329.0</v>
      </c>
      <c r="B5575" s="15">
        <v>0.16</v>
      </c>
      <c r="C5575" s="15">
        <v>0.55</v>
      </c>
      <c r="D5575" s="15"/>
      <c r="E5575" s="15">
        <v>0.32</v>
      </c>
      <c r="F5575" s="15">
        <f t="shared" si="1"/>
        <v>0.39</v>
      </c>
      <c r="G5575" s="15">
        <f t="shared" si="2"/>
        <v>0.55</v>
      </c>
      <c r="H5575" s="16">
        <v>0.0</v>
      </c>
      <c r="I5575" s="15">
        <f t="shared" si="3"/>
        <v>0.39</v>
      </c>
      <c r="J5575" s="15">
        <v>23.13</v>
      </c>
      <c r="K5575" s="16">
        <f>IF(COUNTIFS(Release_Calendar!$A$2:$A$755,"US_CPI",Release_Calendar!$B$2:$B$755,$A5575)&gt;0,1,0)</f>
        <v>0</v>
      </c>
      <c r="L5575" s="16">
        <f>IF(COUNTIFS(Release_Calendar!$A$2:$A$755,"US_NFP",Release_Calendar!$B$2:$B$755,$A5575)&gt;0,1,0)</f>
        <v>0</v>
      </c>
      <c r="M5575" s="16">
        <f>IF($A5575&lt;Notes!$B$5,"",IF(COUNTIFS(Release_Calendar!$A$2:$A$755,"NZ_CPI",Release_Calendar!$B$2:$B$755,$A5575)&gt;0,1,0))</f>
        <v>0</v>
      </c>
      <c r="N5575" s="16">
        <f>IF($A5575&lt;Notes!$B$5,"",IF(COUNTIFS(Release_Calendar!$A$2:$A$755,"NZ_GDP",Release_Calendar!$B$2:$B$755,$A5575)&gt;0,1,0))</f>
        <v>0</v>
      </c>
      <c r="O5575" s="16">
        <f>IF($A5575&lt;Notes!$B$5,"",IF(COUNTIFS(Release_Calendar!$A$2:$A$755,"NZ_LABOUR",Release_Calendar!$B$2:$B$755,$A5575)&gt;0,1,0))</f>
        <v>0</v>
      </c>
      <c r="P5575" s="16">
        <f t="shared" si="4"/>
        <v>0</v>
      </c>
    </row>
    <row r="5576" ht="15.75" customHeight="1">
      <c r="A5576" s="14">
        <v>44330.0</v>
      </c>
      <c r="B5576" s="15">
        <v>0.16</v>
      </c>
      <c r="C5576" s="15">
        <v>0.54</v>
      </c>
      <c r="D5576" s="15"/>
      <c r="E5576" s="15">
        <v>0.31</v>
      </c>
      <c r="F5576" s="15">
        <f t="shared" si="1"/>
        <v>0.38</v>
      </c>
      <c r="G5576" s="15">
        <f t="shared" si="2"/>
        <v>0.54</v>
      </c>
      <c r="H5576" s="16">
        <v>0.0</v>
      </c>
      <c r="I5576" s="15">
        <f t="shared" si="3"/>
        <v>0.38</v>
      </c>
      <c r="J5576" s="15">
        <v>18.81</v>
      </c>
      <c r="K5576" s="16">
        <f>IF(COUNTIFS(Release_Calendar!$A$2:$A$755,"US_CPI",Release_Calendar!$B$2:$B$755,$A5576)&gt;0,1,0)</f>
        <v>0</v>
      </c>
      <c r="L5576" s="16">
        <f>IF(COUNTIFS(Release_Calendar!$A$2:$A$755,"US_NFP",Release_Calendar!$B$2:$B$755,$A5576)&gt;0,1,0)</f>
        <v>0</v>
      </c>
      <c r="M5576" s="16">
        <f>IF($A5576&lt;Notes!$B$5,"",IF(COUNTIFS(Release_Calendar!$A$2:$A$755,"NZ_CPI",Release_Calendar!$B$2:$B$755,$A5576)&gt;0,1,0))</f>
        <v>0</v>
      </c>
      <c r="N5576" s="16">
        <f>IF($A5576&lt;Notes!$B$5,"",IF(COUNTIFS(Release_Calendar!$A$2:$A$755,"NZ_GDP",Release_Calendar!$B$2:$B$755,$A5576)&gt;0,1,0))</f>
        <v>0</v>
      </c>
      <c r="O5576" s="16">
        <f>IF($A5576&lt;Notes!$B$5,"",IF(COUNTIFS(Release_Calendar!$A$2:$A$755,"NZ_LABOUR",Release_Calendar!$B$2:$B$755,$A5576)&gt;0,1,0))</f>
        <v>0</v>
      </c>
      <c r="P5576" s="16">
        <f t="shared" si="4"/>
        <v>0</v>
      </c>
    </row>
    <row r="5577" ht="15.75" customHeight="1">
      <c r="A5577" s="14">
        <v>44333.0</v>
      </c>
      <c r="B5577" s="15">
        <v>0.16</v>
      </c>
      <c r="C5577" s="15">
        <v>0.55</v>
      </c>
      <c r="D5577" s="15"/>
      <c r="E5577" s="15">
        <v>0.31</v>
      </c>
      <c r="F5577" s="15">
        <f t="shared" si="1"/>
        <v>0.39</v>
      </c>
      <c r="G5577" s="15">
        <f t="shared" si="2"/>
        <v>0.55</v>
      </c>
      <c r="H5577" s="16">
        <v>0.0</v>
      </c>
      <c r="I5577" s="15">
        <f t="shared" si="3"/>
        <v>0.39</v>
      </c>
      <c r="J5577" s="15">
        <v>19.72</v>
      </c>
      <c r="K5577" s="16">
        <f>IF(COUNTIFS(Release_Calendar!$A$2:$A$755,"US_CPI",Release_Calendar!$B$2:$B$755,$A5577)&gt;0,1,0)</f>
        <v>0</v>
      </c>
      <c r="L5577" s="16">
        <f>IF(COUNTIFS(Release_Calendar!$A$2:$A$755,"US_NFP",Release_Calendar!$B$2:$B$755,$A5577)&gt;0,1,0)</f>
        <v>0</v>
      </c>
      <c r="M5577" s="16">
        <f>IF($A5577&lt;Notes!$B$5,"",IF(COUNTIFS(Release_Calendar!$A$2:$A$755,"NZ_CPI",Release_Calendar!$B$2:$B$755,$A5577)&gt;0,1,0))</f>
        <v>0</v>
      </c>
      <c r="N5577" s="16">
        <f>IF($A5577&lt;Notes!$B$5,"",IF(COUNTIFS(Release_Calendar!$A$2:$A$755,"NZ_GDP",Release_Calendar!$B$2:$B$755,$A5577)&gt;0,1,0))</f>
        <v>0</v>
      </c>
      <c r="O5577" s="16">
        <f>IF($A5577&lt;Notes!$B$5,"",IF(COUNTIFS(Release_Calendar!$A$2:$A$755,"NZ_LABOUR",Release_Calendar!$B$2:$B$755,$A5577)&gt;0,1,0))</f>
        <v>0</v>
      </c>
      <c r="P5577" s="16">
        <f t="shared" si="4"/>
        <v>0</v>
      </c>
    </row>
    <row r="5578" ht="15.75" customHeight="1">
      <c r="A5578" s="14">
        <v>44334.0</v>
      </c>
      <c r="B5578" s="15">
        <v>0.16</v>
      </c>
      <c r="C5578" s="15">
        <v>0.56</v>
      </c>
      <c r="D5578" s="15"/>
      <c r="E5578" s="15">
        <v>0.33</v>
      </c>
      <c r="F5578" s="15">
        <f t="shared" si="1"/>
        <v>0.4</v>
      </c>
      <c r="G5578" s="15">
        <f t="shared" si="2"/>
        <v>0.56</v>
      </c>
      <c r="H5578" s="16">
        <v>0.0</v>
      </c>
      <c r="I5578" s="15">
        <f t="shared" si="3"/>
        <v>0.4</v>
      </c>
      <c r="J5578" s="15">
        <v>21.34</v>
      </c>
      <c r="K5578" s="16">
        <f>IF(COUNTIFS(Release_Calendar!$A$2:$A$755,"US_CPI",Release_Calendar!$B$2:$B$755,$A5578)&gt;0,1,0)</f>
        <v>0</v>
      </c>
      <c r="L5578" s="16">
        <f>IF(COUNTIFS(Release_Calendar!$A$2:$A$755,"US_NFP",Release_Calendar!$B$2:$B$755,$A5578)&gt;0,1,0)</f>
        <v>0</v>
      </c>
      <c r="M5578" s="16">
        <f>IF($A5578&lt;Notes!$B$5,"",IF(COUNTIFS(Release_Calendar!$A$2:$A$755,"NZ_CPI",Release_Calendar!$B$2:$B$755,$A5578)&gt;0,1,0))</f>
        <v>0</v>
      </c>
      <c r="N5578" s="16">
        <f>IF($A5578&lt;Notes!$B$5,"",IF(COUNTIFS(Release_Calendar!$A$2:$A$755,"NZ_GDP",Release_Calendar!$B$2:$B$755,$A5578)&gt;0,1,0))</f>
        <v>0</v>
      </c>
      <c r="O5578" s="16">
        <f>IF($A5578&lt;Notes!$B$5,"",IF(COUNTIFS(Release_Calendar!$A$2:$A$755,"NZ_LABOUR",Release_Calendar!$B$2:$B$755,$A5578)&gt;0,1,0))</f>
        <v>0</v>
      </c>
      <c r="P5578" s="16">
        <f t="shared" si="4"/>
        <v>0</v>
      </c>
    </row>
    <row r="5579" ht="15.75" customHeight="1">
      <c r="A5579" s="14">
        <v>44335.0</v>
      </c>
      <c r="B5579" s="15">
        <v>0.16</v>
      </c>
      <c r="C5579" s="15">
        <v>0.55</v>
      </c>
      <c r="D5579" s="15"/>
      <c r="E5579" s="15">
        <v>0.33</v>
      </c>
      <c r="F5579" s="15">
        <f t="shared" si="1"/>
        <v>0.39</v>
      </c>
      <c r="G5579" s="15">
        <f t="shared" si="2"/>
        <v>0.55</v>
      </c>
      <c r="H5579" s="16">
        <v>0.0</v>
      </c>
      <c r="I5579" s="15">
        <f t="shared" si="3"/>
        <v>0.39</v>
      </c>
      <c r="J5579" s="15">
        <v>22.18</v>
      </c>
      <c r="K5579" s="16">
        <f>IF(COUNTIFS(Release_Calendar!$A$2:$A$755,"US_CPI",Release_Calendar!$B$2:$B$755,$A5579)&gt;0,1,0)</f>
        <v>0</v>
      </c>
      <c r="L5579" s="16">
        <f>IF(COUNTIFS(Release_Calendar!$A$2:$A$755,"US_NFP",Release_Calendar!$B$2:$B$755,$A5579)&gt;0,1,0)</f>
        <v>0</v>
      </c>
      <c r="M5579" s="16">
        <f>IF($A5579&lt;Notes!$B$5,"",IF(COUNTIFS(Release_Calendar!$A$2:$A$755,"NZ_CPI",Release_Calendar!$B$2:$B$755,$A5579)&gt;0,1,0))</f>
        <v>0</v>
      </c>
      <c r="N5579" s="16">
        <f>IF($A5579&lt;Notes!$B$5,"",IF(COUNTIFS(Release_Calendar!$A$2:$A$755,"NZ_GDP",Release_Calendar!$B$2:$B$755,$A5579)&gt;0,1,0))</f>
        <v>0</v>
      </c>
      <c r="O5579" s="16">
        <f>IF($A5579&lt;Notes!$B$5,"",IF(COUNTIFS(Release_Calendar!$A$2:$A$755,"NZ_LABOUR",Release_Calendar!$B$2:$B$755,$A5579)&gt;0,1,0))</f>
        <v>0</v>
      </c>
      <c r="P5579" s="16">
        <f t="shared" si="4"/>
        <v>0</v>
      </c>
    </row>
    <row r="5580" ht="15.75" customHeight="1">
      <c r="A5580" s="14">
        <v>44336.0</v>
      </c>
      <c r="B5580" s="15">
        <v>0.15</v>
      </c>
      <c r="C5580" s="15">
        <v>0.55</v>
      </c>
      <c r="D5580" s="15"/>
      <c r="E5580" s="15">
        <v>0.3</v>
      </c>
      <c r="F5580" s="15">
        <f t="shared" si="1"/>
        <v>0.4</v>
      </c>
      <c r="G5580" s="15">
        <f t="shared" si="2"/>
        <v>0.55</v>
      </c>
      <c r="H5580" s="16">
        <v>0.0</v>
      </c>
      <c r="I5580" s="15">
        <f t="shared" si="3"/>
        <v>0.4</v>
      </c>
      <c r="J5580" s="15">
        <v>20.67</v>
      </c>
      <c r="K5580" s="16">
        <f>IF(COUNTIFS(Release_Calendar!$A$2:$A$755,"US_CPI",Release_Calendar!$B$2:$B$755,$A5580)&gt;0,1,0)</f>
        <v>0</v>
      </c>
      <c r="L5580" s="16">
        <f>IF(COUNTIFS(Release_Calendar!$A$2:$A$755,"US_NFP",Release_Calendar!$B$2:$B$755,$A5580)&gt;0,1,0)</f>
        <v>0</v>
      </c>
      <c r="M5580" s="16">
        <f>IF($A5580&lt;Notes!$B$5,"",IF(COUNTIFS(Release_Calendar!$A$2:$A$755,"NZ_CPI",Release_Calendar!$B$2:$B$755,$A5580)&gt;0,1,0))</f>
        <v>0</v>
      </c>
      <c r="N5580" s="16">
        <f>IF($A5580&lt;Notes!$B$5,"",IF(COUNTIFS(Release_Calendar!$A$2:$A$755,"NZ_GDP",Release_Calendar!$B$2:$B$755,$A5580)&gt;0,1,0))</f>
        <v>0</v>
      </c>
      <c r="O5580" s="16">
        <f>IF($A5580&lt;Notes!$B$5,"",IF(COUNTIFS(Release_Calendar!$A$2:$A$755,"NZ_LABOUR",Release_Calendar!$B$2:$B$755,$A5580)&gt;0,1,0))</f>
        <v>0</v>
      </c>
      <c r="P5580" s="16">
        <f t="shared" si="4"/>
        <v>0</v>
      </c>
    </row>
    <row r="5581" ht="15.75" customHeight="1">
      <c r="A5581" s="14">
        <v>44337.0</v>
      </c>
      <c r="B5581" s="15">
        <v>0.17</v>
      </c>
      <c r="C5581" s="15">
        <v>0.52</v>
      </c>
      <c r="D5581" s="15"/>
      <c r="E5581" s="15">
        <v>0.28</v>
      </c>
      <c r="F5581" s="15">
        <f t="shared" si="1"/>
        <v>0.35</v>
      </c>
      <c r="G5581" s="15">
        <f t="shared" si="2"/>
        <v>0.52</v>
      </c>
      <c r="H5581" s="16">
        <v>0.0</v>
      </c>
      <c r="I5581" s="15">
        <f t="shared" si="3"/>
        <v>0.35</v>
      </c>
      <c r="J5581" s="15">
        <v>20.15</v>
      </c>
      <c r="K5581" s="16">
        <f>IF(COUNTIFS(Release_Calendar!$A$2:$A$755,"US_CPI",Release_Calendar!$B$2:$B$755,$A5581)&gt;0,1,0)</f>
        <v>0</v>
      </c>
      <c r="L5581" s="16">
        <f>IF(COUNTIFS(Release_Calendar!$A$2:$A$755,"US_NFP",Release_Calendar!$B$2:$B$755,$A5581)&gt;0,1,0)</f>
        <v>0</v>
      </c>
      <c r="M5581" s="16">
        <f>IF($A5581&lt;Notes!$B$5,"",IF(COUNTIFS(Release_Calendar!$A$2:$A$755,"NZ_CPI",Release_Calendar!$B$2:$B$755,$A5581)&gt;0,1,0))</f>
        <v>0</v>
      </c>
      <c r="N5581" s="16">
        <f>IF($A5581&lt;Notes!$B$5,"",IF(COUNTIFS(Release_Calendar!$A$2:$A$755,"NZ_GDP",Release_Calendar!$B$2:$B$755,$A5581)&gt;0,1,0))</f>
        <v>0</v>
      </c>
      <c r="O5581" s="16">
        <f>IF($A5581&lt;Notes!$B$5,"",IF(COUNTIFS(Release_Calendar!$A$2:$A$755,"NZ_LABOUR",Release_Calendar!$B$2:$B$755,$A5581)&gt;0,1,0))</f>
        <v>0</v>
      </c>
      <c r="P5581" s="16">
        <f t="shared" si="4"/>
        <v>0</v>
      </c>
    </row>
    <row r="5582" ht="15.75" customHeight="1">
      <c r="A5582" s="14">
        <v>44340.0</v>
      </c>
      <c r="B5582" s="15">
        <v>0.15</v>
      </c>
      <c r="C5582" s="15">
        <v>0.53</v>
      </c>
      <c r="D5582" s="15"/>
      <c r="E5582" s="15">
        <v>0.27</v>
      </c>
      <c r="F5582" s="15">
        <f t="shared" si="1"/>
        <v>0.38</v>
      </c>
      <c r="G5582" s="15">
        <f t="shared" si="2"/>
        <v>0.53</v>
      </c>
      <c r="H5582" s="16">
        <v>0.0</v>
      </c>
      <c r="I5582" s="15">
        <f t="shared" si="3"/>
        <v>0.38</v>
      </c>
      <c r="J5582" s="15">
        <v>18.4</v>
      </c>
      <c r="K5582" s="16">
        <f>IF(COUNTIFS(Release_Calendar!$A$2:$A$755,"US_CPI",Release_Calendar!$B$2:$B$755,$A5582)&gt;0,1,0)</f>
        <v>0</v>
      </c>
      <c r="L5582" s="16">
        <f>IF(COUNTIFS(Release_Calendar!$A$2:$A$755,"US_NFP",Release_Calendar!$B$2:$B$755,$A5582)&gt;0,1,0)</f>
        <v>0</v>
      </c>
      <c r="M5582" s="16">
        <f>IF($A5582&lt;Notes!$B$5,"",IF(COUNTIFS(Release_Calendar!$A$2:$A$755,"NZ_CPI",Release_Calendar!$B$2:$B$755,$A5582)&gt;0,1,0))</f>
        <v>0</v>
      </c>
      <c r="N5582" s="16">
        <f>IF($A5582&lt;Notes!$B$5,"",IF(COUNTIFS(Release_Calendar!$A$2:$A$755,"NZ_GDP",Release_Calendar!$B$2:$B$755,$A5582)&gt;0,1,0))</f>
        <v>0</v>
      </c>
      <c r="O5582" s="16">
        <f>IF($A5582&lt;Notes!$B$5,"",IF(COUNTIFS(Release_Calendar!$A$2:$A$755,"NZ_LABOUR",Release_Calendar!$B$2:$B$755,$A5582)&gt;0,1,0))</f>
        <v>0</v>
      </c>
      <c r="P5582" s="16">
        <f t="shared" si="4"/>
        <v>0</v>
      </c>
    </row>
    <row r="5583" ht="15.75" customHeight="1">
      <c r="A5583" s="14">
        <v>44341.0</v>
      </c>
      <c r="B5583" s="15">
        <v>0.15</v>
      </c>
      <c r="C5583" s="15">
        <v>0.53</v>
      </c>
      <c r="D5583" s="15"/>
      <c r="E5583" s="15">
        <v>0.26</v>
      </c>
      <c r="F5583" s="15">
        <f t="shared" si="1"/>
        <v>0.38</v>
      </c>
      <c r="G5583" s="15">
        <f t="shared" si="2"/>
        <v>0.53</v>
      </c>
      <c r="H5583" s="16">
        <v>0.0</v>
      </c>
      <c r="I5583" s="15">
        <f t="shared" si="3"/>
        <v>0.38</v>
      </c>
      <c r="J5583" s="15">
        <v>18.84</v>
      </c>
      <c r="K5583" s="16">
        <f>IF(COUNTIFS(Release_Calendar!$A$2:$A$755,"US_CPI",Release_Calendar!$B$2:$B$755,$A5583)&gt;0,1,0)</f>
        <v>0</v>
      </c>
      <c r="L5583" s="16">
        <f>IF(COUNTIFS(Release_Calendar!$A$2:$A$755,"US_NFP",Release_Calendar!$B$2:$B$755,$A5583)&gt;0,1,0)</f>
        <v>0</v>
      </c>
      <c r="M5583" s="16">
        <f>IF($A5583&lt;Notes!$B$5,"",IF(COUNTIFS(Release_Calendar!$A$2:$A$755,"NZ_CPI",Release_Calendar!$B$2:$B$755,$A5583)&gt;0,1,0))</f>
        <v>0</v>
      </c>
      <c r="N5583" s="16">
        <f>IF($A5583&lt;Notes!$B$5,"",IF(COUNTIFS(Release_Calendar!$A$2:$A$755,"NZ_GDP",Release_Calendar!$B$2:$B$755,$A5583)&gt;0,1,0))</f>
        <v>0</v>
      </c>
      <c r="O5583" s="16">
        <f>IF($A5583&lt;Notes!$B$5,"",IF(COUNTIFS(Release_Calendar!$A$2:$A$755,"NZ_LABOUR",Release_Calendar!$B$2:$B$755,$A5583)&gt;0,1,0))</f>
        <v>0</v>
      </c>
      <c r="P5583" s="16">
        <f t="shared" si="4"/>
        <v>0</v>
      </c>
    </row>
    <row r="5584" ht="15.75" customHeight="1">
      <c r="A5584" s="14">
        <v>44342.0</v>
      </c>
      <c r="B5584" s="15">
        <v>0.14</v>
      </c>
      <c r="C5584" s="15">
        <v>0.61</v>
      </c>
      <c r="D5584" s="15"/>
      <c r="E5584" s="15">
        <v>0.33</v>
      </c>
      <c r="F5584" s="15">
        <f t="shared" si="1"/>
        <v>0.47</v>
      </c>
      <c r="G5584" s="15">
        <f t="shared" si="2"/>
        <v>0.61</v>
      </c>
      <c r="H5584" s="16">
        <v>0.0</v>
      </c>
      <c r="I5584" s="15">
        <f t="shared" si="3"/>
        <v>0.47</v>
      </c>
      <c r="J5584" s="15">
        <v>17.36</v>
      </c>
      <c r="K5584" s="16">
        <f>IF(COUNTIFS(Release_Calendar!$A$2:$A$755,"US_CPI",Release_Calendar!$B$2:$B$755,$A5584)&gt;0,1,0)</f>
        <v>0</v>
      </c>
      <c r="L5584" s="16">
        <f>IF(COUNTIFS(Release_Calendar!$A$2:$A$755,"US_NFP",Release_Calendar!$B$2:$B$755,$A5584)&gt;0,1,0)</f>
        <v>0</v>
      </c>
      <c r="M5584" s="16">
        <f>IF($A5584&lt;Notes!$B$5,"",IF(COUNTIFS(Release_Calendar!$A$2:$A$755,"NZ_CPI",Release_Calendar!$B$2:$B$755,$A5584)&gt;0,1,0))</f>
        <v>0</v>
      </c>
      <c r="N5584" s="16">
        <f>IF($A5584&lt;Notes!$B$5,"",IF(COUNTIFS(Release_Calendar!$A$2:$A$755,"NZ_GDP",Release_Calendar!$B$2:$B$755,$A5584)&gt;0,1,0))</f>
        <v>0</v>
      </c>
      <c r="O5584" s="16">
        <f>IF($A5584&lt;Notes!$B$5,"",IF(COUNTIFS(Release_Calendar!$A$2:$A$755,"NZ_LABOUR",Release_Calendar!$B$2:$B$755,$A5584)&gt;0,1,0))</f>
        <v>0</v>
      </c>
      <c r="P5584" s="16">
        <f t="shared" si="4"/>
        <v>0</v>
      </c>
    </row>
    <row r="5585" ht="15.75" customHeight="1">
      <c r="A5585" s="14">
        <v>44343.0</v>
      </c>
      <c r="B5585" s="15">
        <v>0.14</v>
      </c>
      <c r="C5585" s="15">
        <v>0.62</v>
      </c>
      <c r="D5585" s="15"/>
      <c r="E5585" s="15">
        <v>0.33</v>
      </c>
      <c r="F5585" s="15">
        <f t="shared" si="1"/>
        <v>0.48</v>
      </c>
      <c r="G5585" s="15">
        <f t="shared" si="2"/>
        <v>0.62</v>
      </c>
      <c r="H5585" s="16">
        <v>0.0</v>
      </c>
      <c r="I5585" s="15">
        <f t="shared" si="3"/>
        <v>0.48</v>
      </c>
      <c r="J5585" s="15">
        <v>16.74</v>
      </c>
      <c r="K5585" s="16">
        <f>IF(COUNTIFS(Release_Calendar!$A$2:$A$755,"US_CPI",Release_Calendar!$B$2:$B$755,$A5585)&gt;0,1,0)</f>
        <v>0</v>
      </c>
      <c r="L5585" s="16">
        <f>IF(COUNTIFS(Release_Calendar!$A$2:$A$755,"US_NFP",Release_Calendar!$B$2:$B$755,$A5585)&gt;0,1,0)</f>
        <v>0</v>
      </c>
      <c r="M5585" s="16">
        <f>IF($A5585&lt;Notes!$B$5,"",IF(COUNTIFS(Release_Calendar!$A$2:$A$755,"NZ_CPI",Release_Calendar!$B$2:$B$755,$A5585)&gt;0,1,0))</f>
        <v>0</v>
      </c>
      <c r="N5585" s="16">
        <f>IF($A5585&lt;Notes!$B$5,"",IF(COUNTIFS(Release_Calendar!$A$2:$A$755,"NZ_GDP",Release_Calendar!$B$2:$B$755,$A5585)&gt;0,1,0))</f>
        <v>0</v>
      </c>
      <c r="O5585" s="16">
        <f>IF($A5585&lt;Notes!$B$5,"",IF(COUNTIFS(Release_Calendar!$A$2:$A$755,"NZ_LABOUR",Release_Calendar!$B$2:$B$755,$A5585)&gt;0,1,0))</f>
        <v>0</v>
      </c>
      <c r="P5585" s="16">
        <f t="shared" si="4"/>
        <v>0</v>
      </c>
    </row>
    <row r="5586" ht="15.75" customHeight="1">
      <c r="A5586" s="14">
        <v>44344.0</v>
      </c>
      <c r="B5586" s="15">
        <v>0.14</v>
      </c>
      <c r="C5586" s="15">
        <v>0.6</v>
      </c>
      <c r="D5586" s="15"/>
      <c r="E5586" s="15">
        <v>0.32</v>
      </c>
      <c r="F5586" s="15">
        <f t="shared" si="1"/>
        <v>0.46</v>
      </c>
      <c r="G5586" s="15">
        <f t="shared" si="2"/>
        <v>0.6</v>
      </c>
      <c r="H5586" s="16">
        <v>0.0</v>
      </c>
      <c r="I5586" s="15">
        <f t="shared" si="3"/>
        <v>0.46</v>
      </c>
      <c r="J5586" s="15">
        <v>16.76</v>
      </c>
      <c r="K5586" s="16">
        <f>IF(COUNTIFS(Release_Calendar!$A$2:$A$755,"US_CPI",Release_Calendar!$B$2:$B$755,$A5586)&gt;0,1,0)</f>
        <v>0</v>
      </c>
      <c r="L5586" s="16">
        <f>IF(COUNTIFS(Release_Calendar!$A$2:$A$755,"US_NFP",Release_Calendar!$B$2:$B$755,$A5586)&gt;0,1,0)</f>
        <v>0</v>
      </c>
      <c r="M5586" s="16">
        <f>IF($A5586&lt;Notes!$B$5,"",IF(COUNTIFS(Release_Calendar!$A$2:$A$755,"NZ_CPI",Release_Calendar!$B$2:$B$755,$A5586)&gt;0,1,0))</f>
        <v>0</v>
      </c>
      <c r="N5586" s="16">
        <f>IF($A5586&lt;Notes!$B$5,"",IF(COUNTIFS(Release_Calendar!$A$2:$A$755,"NZ_GDP",Release_Calendar!$B$2:$B$755,$A5586)&gt;0,1,0))</f>
        <v>0</v>
      </c>
      <c r="O5586" s="16">
        <f>IF($A5586&lt;Notes!$B$5,"",IF(COUNTIFS(Release_Calendar!$A$2:$A$755,"NZ_LABOUR",Release_Calendar!$B$2:$B$755,$A5586)&gt;0,1,0))</f>
        <v>0</v>
      </c>
      <c r="P5586" s="16">
        <f t="shared" si="4"/>
        <v>0</v>
      </c>
    </row>
    <row r="5587" ht="15.75" customHeight="1">
      <c r="A5587" s="14">
        <v>44347.0</v>
      </c>
      <c r="B5587" s="15"/>
      <c r="C5587" s="15">
        <v>0.58</v>
      </c>
      <c r="D5587" s="15"/>
      <c r="E5587" s="15">
        <v>0.28</v>
      </c>
      <c r="F5587" s="15" t="str">
        <f t="shared" si="1"/>
        <v/>
      </c>
      <c r="G5587" s="15">
        <f t="shared" si="2"/>
        <v>0.58</v>
      </c>
      <c r="H5587" s="16">
        <v>0.0</v>
      </c>
      <c r="I5587" s="15" t="str">
        <f t="shared" si="3"/>
        <v/>
      </c>
      <c r="J5587" s="15"/>
      <c r="K5587" s="16">
        <f>IF(COUNTIFS(Release_Calendar!$A$2:$A$755,"US_CPI",Release_Calendar!$B$2:$B$755,$A5587)&gt;0,1,0)</f>
        <v>0</v>
      </c>
      <c r="L5587" s="16">
        <f>IF(COUNTIFS(Release_Calendar!$A$2:$A$755,"US_NFP",Release_Calendar!$B$2:$B$755,$A5587)&gt;0,1,0)</f>
        <v>0</v>
      </c>
      <c r="M5587" s="16">
        <f>IF($A5587&lt;Notes!$B$5,"",IF(COUNTIFS(Release_Calendar!$A$2:$A$755,"NZ_CPI",Release_Calendar!$B$2:$B$755,$A5587)&gt;0,1,0))</f>
        <v>0</v>
      </c>
      <c r="N5587" s="16">
        <f>IF($A5587&lt;Notes!$B$5,"",IF(COUNTIFS(Release_Calendar!$A$2:$A$755,"NZ_GDP",Release_Calendar!$B$2:$B$755,$A5587)&gt;0,1,0))</f>
        <v>0</v>
      </c>
      <c r="O5587" s="16">
        <f>IF($A5587&lt;Notes!$B$5,"",IF(COUNTIFS(Release_Calendar!$A$2:$A$755,"NZ_LABOUR",Release_Calendar!$B$2:$B$755,$A5587)&gt;0,1,0))</f>
        <v>0</v>
      </c>
      <c r="P5587" s="16">
        <f t="shared" si="4"/>
        <v>0</v>
      </c>
    </row>
    <row r="5588" ht="15.75" customHeight="1">
      <c r="A5588" s="14">
        <v>44348.0</v>
      </c>
      <c r="B5588" s="15">
        <v>0.16</v>
      </c>
      <c r="C5588" s="15">
        <v>0.56</v>
      </c>
      <c r="D5588" s="15"/>
      <c r="E5588" s="15">
        <v>0.27</v>
      </c>
      <c r="F5588" s="15">
        <f t="shared" si="1"/>
        <v>0.4</v>
      </c>
      <c r="G5588" s="15">
        <f t="shared" si="2"/>
        <v>0.56</v>
      </c>
      <c r="H5588" s="16">
        <v>0.0</v>
      </c>
      <c r="I5588" s="15">
        <f t="shared" si="3"/>
        <v>0.4</v>
      </c>
      <c r="J5588" s="15">
        <v>17.9</v>
      </c>
      <c r="K5588" s="16">
        <f>IF(COUNTIFS(Release_Calendar!$A$2:$A$755,"US_CPI",Release_Calendar!$B$2:$B$755,$A5588)&gt;0,1,0)</f>
        <v>0</v>
      </c>
      <c r="L5588" s="16">
        <f>IF(COUNTIFS(Release_Calendar!$A$2:$A$755,"US_NFP",Release_Calendar!$B$2:$B$755,$A5588)&gt;0,1,0)</f>
        <v>0</v>
      </c>
      <c r="M5588" s="16">
        <f>IF($A5588&lt;Notes!$B$5,"",IF(COUNTIFS(Release_Calendar!$A$2:$A$755,"NZ_CPI",Release_Calendar!$B$2:$B$755,$A5588)&gt;0,1,0))</f>
        <v>0</v>
      </c>
      <c r="N5588" s="16">
        <f>IF($A5588&lt;Notes!$B$5,"",IF(COUNTIFS(Release_Calendar!$A$2:$A$755,"NZ_GDP",Release_Calendar!$B$2:$B$755,$A5588)&gt;0,1,0))</f>
        <v>0</v>
      </c>
      <c r="O5588" s="16">
        <f>IF($A5588&lt;Notes!$B$5,"",IF(COUNTIFS(Release_Calendar!$A$2:$A$755,"NZ_LABOUR",Release_Calendar!$B$2:$B$755,$A5588)&gt;0,1,0))</f>
        <v>0</v>
      </c>
      <c r="P5588" s="16">
        <f t="shared" si="4"/>
        <v>0</v>
      </c>
    </row>
    <row r="5589" ht="15.75" customHeight="1">
      <c r="A5589" s="14">
        <v>44349.0</v>
      </c>
      <c r="B5589" s="15">
        <v>0.13</v>
      </c>
      <c r="C5589" s="15">
        <v>0.57</v>
      </c>
      <c r="D5589" s="15"/>
      <c r="E5589" s="15">
        <v>0.28</v>
      </c>
      <c r="F5589" s="15">
        <f t="shared" si="1"/>
        <v>0.44</v>
      </c>
      <c r="G5589" s="15">
        <f t="shared" si="2"/>
        <v>0.57</v>
      </c>
      <c r="H5589" s="16">
        <v>0.0</v>
      </c>
      <c r="I5589" s="15">
        <f t="shared" si="3"/>
        <v>0.44</v>
      </c>
      <c r="J5589" s="15">
        <v>17.48</v>
      </c>
      <c r="K5589" s="16">
        <f>IF(COUNTIFS(Release_Calendar!$A$2:$A$755,"US_CPI",Release_Calendar!$B$2:$B$755,$A5589)&gt;0,1,0)</f>
        <v>0</v>
      </c>
      <c r="L5589" s="16">
        <f>IF(COUNTIFS(Release_Calendar!$A$2:$A$755,"US_NFP",Release_Calendar!$B$2:$B$755,$A5589)&gt;0,1,0)</f>
        <v>0</v>
      </c>
      <c r="M5589" s="16">
        <f>IF($A5589&lt;Notes!$B$5,"",IF(COUNTIFS(Release_Calendar!$A$2:$A$755,"NZ_CPI",Release_Calendar!$B$2:$B$755,$A5589)&gt;0,1,0))</f>
        <v>0</v>
      </c>
      <c r="N5589" s="16">
        <f>IF($A5589&lt;Notes!$B$5,"",IF(COUNTIFS(Release_Calendar!$A$2:$A$755,"NZ_GDP",Release_Calendar!$B$2:$B$755,$A5589)&gt;0,1,0))</f>
        <v>0</v>
      </c>
      <c r="O5589" s="16">
        <f>IF($A5589&lt;Notes!$B$5,"",IF(COUNTIFS(Release_Calendar!$A$2:$A$755,"NZ_LABOUR",Release_Calendar!$B$2:$B$755,$A5589)&gt;0,1,0))</f>
        <v>0</v>
      </c>
      <c r="P5589" s="16">
        <f t="shared" si="4"/>
        <v>0</v>
      </c>
    </row>
    <row r="5590" ht="15.75" customHeight="1">
      <c r="A5590" s="14">
        <v>44350.0</v>
      </c>
      <c r="B5590" s="15">
        <v>0.16</v>
      </c>
      <c r="C5590" s="15">
        <v>0.56</v>
      </c>
      <c r="D5590" s="15"/>
      <c r="E5590" s="15">
        <v>0.27</v>
      </c>
      <c r="F5590" s="15">
        <f t="shared" si="1"/>
        <v>0.4</v>
      </c>
      <c r="G5590" s="15">
        <f t="shared" si="2"/>
        <v>0.56</v>
      </c>
      <c r="H5590" s="16">
        <v>0.0</v>
      </c>
      <c r="I5590" s="15">
        <f t="shared" si="3"/>
        <v>0.4</v>
      </c>
      <c r="J5590" s="15">
        <v>18.04</v>
      </c>
      <c r="K5590" s="16">
        <f>IF(COUNTIFS(Release_Calendar!$A$2:$A$755,"US_CPI",Release_Calendar!$B$2:$B$755,$A5590)&gt;0,1,0)</f>
        <v>0</v>
      </c>
      <c r="L5590" s="16">
        <f>IF(COUNTIFS(Release_Calendar!$A$2:$A$755,"US_NFP",Release_Calendar!$B$2:$B$755,$A5590)&gt;0,1,0)</f>
        <v>0</v>
      </c>
      <c r="M5590" s="16">
        <f>IF($A5590&lt;Notes!$B$5,"",IF(COUNTIFS(Release_Calendar!$A$2:$A$755,"NZ_CPI",Release_Calendar!$B$2:$B$755,$A5590)&gt;0,1,0))</f>
        <v>0</v>
      </c>
      <c r="N5590" s="16">
        <f>IF($A5590&lt;Notes!$B$5,"",IF(COUNTIFS(Release_Calendar!$A$2:$A$755,"NZ_GDP",Release_Calendar!$B$2:$B$755,$A5590)&gt;0,1,0))</f>
        <v>0</v>
      </c>
      <c r="O5590" s="16">
        <f>IF($A5590&lt;Notes!$B$5,"",IF(COUNTIFS(Release_Calendar!$A$2:$A$755,"NZ_LABOUR",Release_Calendar!$B$2:$B$755,$A5590)&gt;0,1,0))</f>
        <v>0</v>
      </c>
      <c r="P5590" s="16">
        <f t="shared" si="4"/>
        <v>0</v>
      </c>
    </row>
    <row r="5591" ht="15.75" customHeight="1">
      <c r="A5591" s="14">
        <v>44351.0</v>
      </c>
      <c r="B5591" s="15">
        <v>0.14</v>
      </c>
      <c r="C5591" s="15">
        <v>0.57</v>
      </c>
      <c r="D5591" s="15"/>
      <c r="E5591" s="15">
        <v>0.28</v>
      </c>
      <c r="F5591" s="15">
        <f t="shared" si="1"/>
        <v>0.43</v>
      </c>
      <c r="G5591" s="15">
        <f t="shared" si="2"/>
        <v>0.57</v>
      </c>
      <c r="H5591" s="16">
        <v>0.0</v>
      </c>
      <c r="I5591" s="15">
        <f t="shared" si="3"/>
        <v>0.43</v>
      </c>
      <c r="J5591" s="15">
        <v>16.42</v>
      </c>
      <c r="K5591" s="16">
        <f>IF(COUNTIFS(Release_Calendar!$A$2:$A$755,"US_CPI",Release_Calendar!$B$2:$B$755,$A5591)&gt;0,1,0)</f>
        <v>0</v>
      </c>
      <c r="L5591" s="16">
        <f>IF(COUNTIFS(Release_Calendar!$A$2:$A$755,"US_NFP",Release_Calendar!$B$2:$B$755,$A5591)&gt;0,1,0)</f>
        <v>1</v>
      </c>
      <c r="M5591" s="16">
        <f>IF($A5591&lt;Notes!$B$5,"",IF(COUNTIFS(Release_Calendar!$A$2:$A$755,"NZ_CPI",Release_Calendar!$B$2:$B$755,$A5591)&gt;0,1,0))</f>
        <v>0</v>
      </c>
      <c r="N5591" s="16">
        <f>IF($A5591&lt;Notes!$B$5,"",IF(COUNTIFS(Release_Calendar!$A$2:$A$755,"NZ_GDP",Release_Calendar!$B$2:$B$755,$A5591)&gt;0,1,0))</f>
        <v>0</v>
      </c>
      <c r="O5591" s="16">
        <f>IF($A5591&lt;Notes!$B$5,"",IF(COUNTIFS(Release_Calendar!$A$2:$A$755,"NZ_LABOUR",Release_Calendar!$B$2:$B$755,$A5591)&gt;0,1,0))</f>
        <v>0</v>
      </c>
      <c r="P5591" s="16">
        <f t="shared" si="4"/>
        <v>1</v>
      </c>
    </row>
    <row r="5592" ht="15.75" customHeight="1">
      <c r="A5592" s="14">
        <v>44354.0</v>
      </c>
      <c r="B5592" s="15">
        <v>0.16</v>
      </c>
      <c r="C5592" s="15"/>
      <c r="D5592" s="15"/>
      <c r="E5592" s="15"/>
      <c r="F5592" s="15" t="str">
        <f t="shared" si="1"/>
        <v/>
      </c>
      <c r="G5592" s="15" t="str">
        <f t="shared" si="2"/>
        <v/>
      </c>
      <c r="H5592" s="16">
        <v>0.0</v>
      </c>
      <c r="I5592" s="15" t="str">
        <f t="shared" si="3"/>
        <v/>
      </c>
      <c r="J5592" s="15">
        <v>16.42</v>
      </c>
      <c r="K5592" s="16">
        <f>IF(COUNTIFS(Release_Calendar!$A$2:$A$755,"US_CPI",Release_Calendar!$B$2:$B$755,$A5592)&gt;0,1,0)</f>
        <v>0</v>
      </c>
      <c r="L5592" s="16">
        <f>IF(COUNTIFS(Release_Calendar!$A$2:$A$755,"US_NFP",Release_Calendar!$B$2:$B$755,$A5592)&gt;0,1,0)</f>
        <v>0</v>
      </c>
      <c r="M5592" s="16">
        <f>IF($A5592&lt;Notes!$B$5,"",IF(COUNTIFS(Release_Calendar!$A$2:$A$755,"NZ_CPI",Release_Calendar!$B$2:$B$755,$A5592)&gt;0,1,0))</f>
        <v>0</v>
      </c>
      <c r="N5592" s="16">
        <f>IF($A5592&lt;Notes!$B$5,"",IF(COUNTIFS(Release_Calendar!$A$2:$A$755,"NZ_GDP",Release_Calendar!$B$2:$B$755,$A5592)&gt;0,1,0))</f>
        <v>0</v>
      </c>
      <c r="O5592" s="16">
        <f>IF($A5592&lt;Notes!$B$5,"",IF(COUNTIFS(Release_Calendar!$A$2:$A$755,"NZ_LABOUR",Release_Calendar!$B$2:$B$755,$A5592)&gt;0,1,0))</f>
        <v>0</v>
      </c>
      <c r="P5592" s="16">
        <f t="shared" si="4"/>
        <v>0</v>
      </c>
    </row>
    <row r="5593" ht="15.75" customHeight="1">
      <c r="A5593" s="14">
        <v>44355.0</v>
      </c>
      <c r="B5593" s="15">
        <v>0.14</v>
      </c>
      <c r="C5593" s="15">
        <v>0.56</v>
      </c>
      <c r="D5593" s="15"/>
      <c r="E5593" s="15">
        <v>0.28</v>
      </c>
      <c r="F5593" s="15">
        <f t="shared" si="1"/>
        <v>0.42</v>
      </c>
      <c r="G5593" s="15">
        <f t="shared" si="2"/>
        <v>0.56</v>
      </c>
      <c r="H5593" s="16">
        <v>0.0</v>
      </c>
      <c r="I5593" s="15">
        <f t="shared" si="3"/>
        <v>0.42</v>
      </c>
      <c r="J5593" s="15">
        <v>17.07</v>
      </c>
      <c r="K5593" s="16">
        <f>IF(COUNTIFS(Release_Calendar!$A$2:$A$755,"US_CPI",Release_Calendar!$B$2:$B$755,$A5593)&gt;0,1,0)</f>
        <v>0</v>
      </c>
      <c r="L5593" s="16">
        <f>IF(COUNTIFS(Release_Calendar!$A$2:$A$755,"US_NFP",Release_Calendar!$B$2:$B$755,$A5593)&gt;0,1,0)</f>
        <v>0</v>
      </c>
      <c r="M5593" s="16">
        <f>IF($A5593&lt;Notes!$B$5,"",IF(COUNTIFS(Release_Calendar!$A$2:$A$755,"NZ_CPI",Release_Calendar!$B$2:$B$755,$A5593)&gt;0,1,0))</f>
        <v>0</v>
      </c>
      <c r="N5593" s="16">
        <f>IF($A5593&lt;Notes!$B$5,"",IF(COUNTIFS(Release_Calendar!$A$2:$A$755,"NZ_GDP",Release_Calendar!$B$2:$B$755,$A5593)&gt;0,1,0))</f>
        <v>0</v>
      </c>
      <c r="O5593" s="16">
        <f>IF($A5593&lt;Notes!$B$5,"",IF(COUNTIFS(Release_Calendar!$A$2:$A$755,"NZ_LABOUR",Release_Calendar!$B$2:$B$755,$A5593)&gt;0,1,0))</f>
        <v>0</v>
      </c>
      <c r="P5593" s="16">
        <f t="shared" si="4"/>
        <v>0</v>
      </c>
    </row>
    <row r="5594" ht="15.75" customHeight="1">
      <c r="A5594" s="14">
        <v>44356.0</v>
      </c>
      <c r="B5594" s="15">
        <v>0.16</v>
      </c>
      <c r="C5594" s="15">
        <v>0.55</v>
      </c>
      <c r="D5594" s="15"/>
      <c r="E5594" s="15">
        <v>0.26</v>
      </c>
      <c r="F5594" s="15">
        <f t="shared" si="1"/>
        <v>0.39</v>
      </c>
      <c r="G5594" s="15">
        <f t="shared" si="2"/>
        <v>0.55</v>
      </c>
      <c r="H5594" s="16">
        <v>0.0</v>
      </c>
      <c r="I5594" s="15">
        <f t="shared" si="3"/>
        <v>0.39</v>
      </c>
      <c r="J5594" s="15">
        <v>17.89</v>
      </c>
      <c r="K5594" s="16">
        <f>IF(COUNTIFS(Release_Calendar!$A$2:$A$755,"US_CPI",Release_Calendar!$B$2:$B$755,$A5594)&gt;0,1,0)</f>
        <v>0</v>
      </c>
      <c r="L5594" s="16">
        <f>IF(COUNTIFS(Release_Calendar!$A$2:$A$755,"US_NFP",Release_Calendar!$B$2:$B$755,$A5594)&gt;0,1,0)</f>
        <v>0</v>
      </c>
      <c r="M5594" s="16">
        <f>IF($A5594&lt;Notes!$B$5,"",IF(COUNTIFS(Release_Calendar!$A$2:$A$755,"NZ_CPI",Release_Calendar!$B$2:$B$755,$A5594)&gt;0,1,0))</f>
        <v>0</v>
      </c>
      <c r="N5594" s="16">
        <f>IF($A5594&lt;Notes!$B$5,"",IF(COUNTIFS(Release_Calendar!$A$2:$A$755,"NZ_GDP",Release_Calendar!$B$2:$B$755,$A5594)&gt;0,1,0))</f>
        <v>0</v>
      </c>
      <c r="O5594" s="16">
        <f>IF($A5594&lt;Notes!$B$5,"",IF(COUNTIFS(Release_Calendar!$A$2:$A$755,"NZ_LABOUR",Release_Calendar!$B$2:$B$755,$A5594)&gt;0,1,0))</f>
        <v>0</v>
      </c>
      <c r="P5594" s="16">
        <f t="shared" si="4"/>
        <v>0</v>
      </c>
    </row>
    <row r="5595" ht="15.75" customHeight="1">
      <c r="A5595" s="14">
        <v>44357.0</v>
      </c>
      <c r="B5595" s="15">
        <v>0.14</v>
      </c>
      <c r="C5595" s="15">
        <v>0.53</v>
      </c>
      <c r="D5595" s="15"/>
      <c r="E5595" s="15">
        <v>0.25</v>
      </c>
      <c r="F5595" s="15">
        <f t="shared" si="1"/>
        <v>0.39</v>
      </c>
      <c r="G5595" s="15">
        <f t="shared" si="2"/>
        <v>0.53</v>
      </c>
      <c r="H5595" s="16">
        <v>0.0</v>
      </c>
      <c r="I5595" s="15">
        <f t="shared" si="3"/>
        <v>0.39</v>
      </c>
      <c r="J5595" s="15">
        <v>16.1</v>
      </c>
      <c r="K5595" s="16">
        <f>IF(COUNTIFS(Release_Calendar!$A$2:$A$755,"US_CPI",Release_Calendar!$B$2:$B$755,$A5595)&gt;0,1,0)</f>
        <v>1</v>
      </c>
      <c r="L5595" s="16">
        <f>IF(COUNTIFS(Release_Calendar!$A$2:$A$755,"US_NFP",Release_Calendar!$B$2:$B$755,$A5595)&gt;0,1,0)</f>
        <v>0</v>
      </c>
      <c r="M5595" s="16">
        <f>IF($A5595&lt;Notes!$B$5,"",IF(COUNTIFS(Release_Calendar!$A$2:$A$755,"NZ_CPI",Release_Calendar!$B$2:$B$755,$A5595)&gt;0,1,0))</f>
        <v>0</v>
      </c>
      <c r="N5595" s="16">
        <f>IF($A5595&lt;Notes!$B$5,"",IF(COUNTIFS(Release_Calendar!$A$2:$A$755,"NZ_GDP",Release_Calendar!$B$2:$B$755,$A5595)&gt;0,1,0))</f>
        <v>0</v>
      </c>
      <c r="O5595" s="16">
        <f>IF($A5595&lt;Notes!$B$5,"",IF(COUNTIFS(Release_Calendar!$A$2:$A$755,"NZ_LABOUR",Release_Calendar!$B$2:$B$755,$A5595)&gt;0,1,0))</f>
        <v>0</v>
      </c>
      <c r="P5595" s="16">
        <f t="shared" si="4"/>
        <v>1</v>
      </c>
    </row>
    <row r="5596" ht="15.75" customHeight="1">
      <c r="A5596" s="14">
        <v>44358.0</v>
      </c>
      <c r="B5596" s="15">
        <v>0.16</v>
      </c>
      <c r="C5596" s="15">
        <v>0.52</v>
      </c>
      <c r="D5596" s="15"/>
      <c r="E5596" s="15">
        <v>0.24</v>
      </c>
      <c r="F5596" s="15">
        <f t="shared" si="1"/>
        <v>0.36</v>
      </c>
      <c r="G5596" s="15">
        <f t="shared" si="2"/>
        <v>0.52</v>
      </c>
      <c r="H5596" s="16">
        <v>0.0</v>
      </c>
      <c r="I5596" s="15">
        <f t="shared" si="3"/>
        <v>0.36</v>
      </c>
      <c r="J5596" s="15">
        <v>15.65</v>
      </c>
      <c r="K5596" s="16">
        <f>IF(COUNTIFS(Release_Calendar!$A$2:$A$755,"US_CPI",Release_Calendar!$B$2:$B$755,$A5596)&gt;0,1,0)</f>
        <v>0</v>
      </c>
      <c r="L5596" s="16">
        <f>IF(COUNTIFS(Release_Calendar!$A$2:$A$755,"US_NFP",Release_Calendar!$B$2:$B$755,$A5596)&gt;0,1,0)</f>
        <v>0</v>
      </c>
      <c r="M5596" s="16">
        <f>IF($A5596&lt;Notes!$B$5,"",IF(COUNTIFS(Release_Calendar!$A$2:$A$755,"NZ_CPI",Release_Calendar!$B$2:$B$755,$A5596)&gt;0,1,0))</f>
        <v>0</v>
      </c>
      <c r="N5596" s="16">
        <f>IF($A5596&lt;Notes!$B$5,"",IF(COUNTIFS(Release_Calendar!$A$2:$A$755,"NZ_GDP",Release_Calendar!$B$2:$B$755,$A5596)&gt;0,1,0))</f>
        <v>0</v>
      </c>
      <c r="O5596" s="16">
        <f>IF($A5596&lt;Notes!$B$5,"",IF(COUNTIFS(Release_Calendar!$A$2:$A$755,"NZ_LABOUR",Release_Calendar!$B$2:$B$755,$A5596)&gt;0,1,0))</f>
        <v>0</v>
      </c>
      <c r="P5596" s="16">
        <f t="shared" si="4"/>
        <v>0</v>
      </c>
    </row>
    <row r="5597" ht="15.75" customHeight="1">
      <c r="A5597" s="14">
        <v>44361.0</v>
      </c>
      <c r="B5597" s="15">
        <v>0.16</v>
      </c>
      <c r="C5597" s="15">
        <v>0.52</v>
      </c>
      <c r="D5597" s="15"/>
      <c r="E5597" s="15">
        <v>0.24</v>
      </c>
      <c r="F5597" s="15">
        <f t="shared" si="1"/>
        <v>0.36</v>
      </c>
      <c r="G5597" s="15">
        <f t="shared" si="2"/>
        <v>0.52</v>
      </c>
      <c r="H5597" s="16">
        <v>0.0</v>
      </c>
      <c r="I5597" s="15">
        <f t="shared" si="3"/>
        <v>0.36</v>
      </c>
      <c r="J5597" s="15">
        <v>16.39</v>
      </c>
      <c r="K5597" s="16">
        <f>IF(COUNTIFS(Release_Calendar!$A$2:$A$755,"US_CPI",Release_Calendar!$B$2:$B$755,$A5597)&gt;0,1,0)</f>
        <v>0</v>
      </c>
      <c r="L5597" s="16">
        <f>IF(COUNTIFS(Release_Calendar!$A$2:$A$755,"US_NFP",Release_Calendar!$B$2:$B$755,$A5597)&gt;0,1,0)</f>
        <v>0</v>
      </c>
      <c r="M5597" s="16">
        <f>IF($A5597&lt;Notes!$B$5,"",IF(COUNTIFS(Release_Calendar!$A$2:$A$755,"NZ_CPI",Release_Calendar!$B$2:$B$755,$A5597)&gt;0,1,0))</f>
        <v>0</v>
      </c>
      <c r="N5597" s="16">
        <f>IF($A5597&lt;Notes!$B$5,"",IF(COUNTIFS(Release_Calendar!$A$2:$A$755,"NZ_GDP",Release_Calendar!$B$2:$B$755,$A5597)&gt;0,1,0))</f>
        <v>0</v>
      </c>
      <c r="O5597" s="16">
        <f>IF($A5597&lt;Notes!$B$5,"",IF(COUNTIFS(Release_Calendar!$A$2:$A$755,"NZ_LABOUR",Release_Calendar!$B$2:$B$755,$A5597)&gt;0,1,0))</f>
        <v>0</v>
      </c>
      <c r="P5597" s="16">
        <f t="shared" si="4"/>
        <v>0</v>
      </c>
    </row>
    <row r="5598" ht="15.75" customHeight="1">
      <c r="A5598" s="14">
        <v>44362.0</v>
      </c>
      <c r="B5598" s="15">
        <v>0.16</v>
      </c>
      <c r="C5598" s="15">
        <v>0.52</v>
      </c>
      <c r="D5598" s="15"/>
      <c r="E5598" s="15">
        <v>0.24</v>
      </c>
      <c r="F5598" s="15">
        <f t="shared" si="1"/>
        <v>0.36</v>
      </c>
      <c r="G5598" s="15">
        <f t="shared" si="2"/>
        <v>0.52</v>
      </c>
      <c r="H5598" s="16">
        <v>0.0</v>
      </c>
      <c r="I5598" s="15">
        <f t="shared" si="3"/>
        <v>0.36</v>
      </c>
      <c r="J5598" s="15">
        <v>17.02</v>
      </c>
      <c r="K5598" s="16">
        <f>IF(COUNTIFS(Release_Calendar!$A$2:$A$755,"US_CPI",Release_Calendar!$B$2:$B$755,$A5598)&gt;0,1,0)</f>
        <v>0</v>
      </c>
      <c r="L5598" s="16">
        <f>IF(COUNTIFS(Release_Calendar!$A$2:$A$755,"US_NFP",Release_Calendar!$B$2:$B$755,$A5598)&gt;0,1,0)</f>
        <v>0</v>
      </c>
      <c r="M5598" s="16">
        <f>IF($A5598&lt;Notes!$B$5,"",IF(COUNTIFS(Release_Calendar!$A$2:$A$755,"NZ_CPI",Release_Calendar!$B$2:$B$755,$A5598)&gt;0,1,0))</f>
        <v>0</v>
      </c>
      <c r="N5598" s="16">
        <f>IF($A5598&lt;Notes!$B$5,"",IF(COUNTIFS(Release_Calendar!$A$2:$A$755,"NZ_GDP",Release_Calendar!$B$2:$B$755,$A5598)&gt;0,1,0))</f>
        <v>0</v>
      </c>
      <c r="O5598" s="16">
        <f>IF($A5598&lt;Notes!$B$5,"",IF(COUNTIFS(Release_Calendar!$A$2:$A$755,"NZ_LABOUR",Release_Calendar!$B$2:$B$755,$A5598)&gt;0,1,0))</f>
        <v>0</v>
      </c>
      <c r="P5598" s="16">
        <f t="shared" si="4"/>
        <v>0</v>
      </c>
    </row>
    <row r="5599" ht="15.75" customHeight="1">
      <c r="A5599" s="14">
        <v>44363.0</v>
      </c>
      <c r="B5599" s="15">
        <v>0.21</v>
      </c>
      <c r="C5599" s="15">
        <v>0.53</v>
      </c>
      <c r="D5599" s="15"/>
      <c r="E5599" s="15">
        <v>0.25</v>
      </c>
      <c r="F5599" s="15">
        <f t="shared" si="1"/>
        <v>0.32</v>
      </c>
      <c r="G5599" s="15">
        <f t="shared" si="2"/>
        <v>0.53</v>
      </c>
      <c r="H5599" s="16">
        <v>0.0</v>
      </c>
      <c r="I5599" s="15">
        <f t="shared" si="3"/>
        <v>0.32</v>
      </c>
      <c r="J5599" s="15">
        <v>18.15</v>
      </c>
      <c r="K5599" s="16">
        <f>IF(COUNTIFS(Release_Calendar!$A$2:$A$755,"US_CPI",Release_Calendar!$B$2:$B$755,$A5599)&gt;0,1,0)</f>
        <v>0</v>
      </c>
      <c r="L5599" s="16">
        <f>IF(COUNTIFS(Release_Calendar!$A$2:$A$755,"US_NFP",Release_Calendar!$B$2:$B$755,$A5599)&gt;0,1,0)</f>
        <v>0</v>
      </c>
      <c r="M5599" s="16">
        <f>IF($A5599&lt;Notes!$B$5,"",IF(COUNTIFS(Release_Calendar!$A$2:$A$755,"NZ_CPI",Release_Calendar!$B$2:$B$755,$A5599)&gt;0,1,0))</f>
        <v>0</v>
      </c>
      <c r="N5599" s="16">
        <f>IF($A5599&lt;Notes!$B$5,"",IF(COUNTIFS(Release_Calendar!$A$2:$A$755,"NZ_GDP",Release_Calendar!$B$2:$B$755,$A5599)&gt;0,1,0))</f>
        <v>0</v>
      </c>
      <c r="O5599" s="16">
        <f>IF($A5599&lt;Notes!$B$5,"",IF(COUNTIFS(Release_Calendar!$A$2:$A$755,"NZ_LABOUR",Release_Calendar!$B$2:$B$755,$A5599)&gt;0,1,0))</f>
        <v>0</v>
      </c>
      <c r="P5599" s="16">
        <f t="shared" si="4"/>
        <v>0</v>
      </c>
    </row>
    <row r="5600" ht="15.75" customHeight="1">
      <c r="A5600" s="14">
        <v>44364.0</v>
      </c>
      <c r="B5600" s="15">
        <v>0.23</v>
      </c>
      <c r="C5600" s="15">
        <v>0.63</v>
      </c>
      <c r="D5600" s="15"/>
      <c r="E5600" s="15">
        <v>0.36</v>
      </c>
      <c r="F5600" s="15">
        <f t="shared" si="1"/>
        <v>0.4</v>
      </c>
      <c r="G5600" s="15">
        <f t="shared" si="2"/>
        <v>0.63</v>
      </c>
      <c r="H5600" s="16">
        <v>0.0</v>
      </c>
      <c r="I5600" s="15">
        <f t="shared" si="3"/>
        <v>0.4</v>
      </c>
      <c r="J5600" s="15">
        <v>17.75</v>
      </c>
      <c r="K5600" s="16">
        <f>IF(COUNTIFS(Release_Calendar!$A$2:$A$755,"US_CPI",Release_Calendar!$B$2:$B$755,$A5600)&gt;0,1,0)</f>
        <v>0</v>
      </c>
      <c r="L5600" s="16">
        <f>IF(COUNTIFS(Release_Calendar!$A$2:$A$755,"US_NFP",Release_Calendar!$B$2:$B$755,$A5600)&gt;0,1,0)</f>
        <v>0</v>
      </c>
      <c r="M5600" s="16">
        <f>IF($A5600&lt;Notes!$B$5,"",IF(COUNTIFS(Release_Calendar!$A$2:$A$755,"NZ_CPI",Release_Calendar!$B$2:$B$755,$A5600)&gt;0,1,0))</f>
        <v>0</v>
      </c>
      <c r="N5600" s="16">
        <f>IF($A5600&lt;Notes!$B$5,"",IF(COUNTIFS(Release_Calendar!$A$2:$A$755,"NZ_GDP",Release_Calendar!$B$2:$B$755,$A5600)&gt;0,1,0))</f>
        <v>1</v>
      </c>
      <c r="O5600" s="16">
        <f>IF($A5600&lt;Notes!$B$5,"",IF(COUNTIFS(Release_Calendar!$A$2:$A$755,"NZ_LABOUR",Release_Calendar!$B$2:$B$755,$A5600)&gt;0,1,0))</f>
        <v>0</v>
      </c>
      <c r="P5600" s="16">
        <f t="shared" si="4"/>
        <v>1</v>
      </c>
    </row>
    <row r="5601" ht="15.75" customHeight="1">
      <c r="A5601" s="14">
        <v>44365.0</v>
      </c>
      <c r="B5601" s="15">
        <v>0.26</v>
      </c>
      <c r="C5601" s="15">
        <v>0.68</v>
      </c>
      <c r="D5601" s="15"/>
      <c r="E5601" s="15">
        <v>0.39</v>
      </c>
      <c r="F5601" s="15">
        <f t="shared" si="1"/>
        <v>0.42</v>
      </c>
      <c r="G5601" s="15">
        <f t="shared" si="2"/>
        <v>0.68</v>
      </c>
      <c r="H5601" s="16">
        <v>0.0</v>
      </c>
      <c r="I5601" s="15">
        <f t="shared" si="3"/>
        <v>0.42</v>
      </c>
      <c r="J5601" s="15">
        <v>20.7</v>
      </c>
      <c r="K5601" s="16">
        <f>IF(COUNTIFS(Release_Calendar!$A$2:$A$755,"US_CPI",Release_Calendar!$B$2:$B$755,$A5601)&gt;0,1,0)</f>
        <v>0</v>
      </c>
      <c r="L5601" s="16">
        <f>IF(COUNTIFS(Release_Calendar!$A$2:$A$755,"US_NFP",Release_Calendar!$B$2:$B$755,$A5601)&gt;0,1,0)</f>
        <v>0</v>
      </c>
      <c r="M5601" s="16">
        <f>IF($A5601&lt;Notes!$B$5,"",IF(COUNTIFS(Release_Calendar!$A$2:$A$755,"NZ_CPI",Release_Calendar!$B$2:$B$755,$A5601)&gt;0,1,0))</f>
        <v>0</v>
      </c>
      <c r="N5601" s="16">
        <f>IF($A5601&lt;Notes!$B$5,"",IF(COUNTIFS(Release_Calendar!$A$2:$A$755,"NZ_GDP",Release_Calendar!$B$2:$B$755,$A5601)&gt;0,1,0))</f>
        <v>0</v>
      </c>
      <c r="O5601" s="16">
        <f>IF($A5601&lt;Notes!$B$5,"",IF(COUNTIFS(Release_Calendar!$A$2:$A$755,"NZ_LABOUR",Release_Calendar!$B$2:$B$755,$A5601)&gt;0,1,0))</f>
        <v>0</v>
      </c>
      <c r="P5601" s="16">
        <f t="shared" si="4"/>
        <v>0</v>
      </c>
    </row>
    <row r="5602" ht="15.75" customHeight="1">
      <c r="A5602" s="14">
        <v>44368.0</v>
      </c>
      <c r="B5602" s="15">
        <v>0.27</v>
      </c>
      <c r="C5602" s="15">
        <v>0.72</v>
      </c>
      <c r="D5602" s="15"/>
      <c r="E5602" s="15">
        <v>0.44</v>
      </c>
      <c r="F5602" s="15">
        <f t="shared" si="1"/>
        <v>0.45</v>
      </c>
      <c r="G5602" s="15">
        <f t="shared" si="2"/>
        <v>0.72</v>
      </c>
      <c r="H5602" s="16">
        <v>0.0</v>
      </c>
      <c r="I5602" s="15">
        <f t="shared" si="3"/>
        <v>0.45</v>
      </c>
      <c r="J5602" s="15">
        <v>17.89</v>
      </c>
      <c r="K5602" s="16">
        <f>IF(COUNTIFS(Release_Calendar!$A$2:$A$755,"US_CPI",Release_Calendar!$B$2:$B$755,$A5602)&gt;0,1,0)</f>
        <v>0</v>
      </c>
      <c r="L5602" s="16">
        <f>IF(COUNTIFS(Release_Calendar!$A$2:$A$755,"US_NFP",Release_Calendar!$B$2:$B$755,$A5602)&gt;0,1,0)</f>
        <v>0</v>
      </c>
      <c r="M5602" s="16">
        <f>IF($A5602&lt;Notes!$B$5,"",IF(COUNTIFS(Release_Calendar!$A$2:$A$755,"NZ_CPI",Release_Calendar!$B$2:$B$755,$A5602)&gt;0,1,0))</f>
        <v>0</v>
      </c>
      <c r="N5602" s="16">
        <f>IF($A5602&lt;Notes!$B$5,"",IF(COUNTIFS(Release_Calendar!$A$2:$A$755,"NZ_GDP",Release_Calendar!$B$2:$B$755,$A5602)&gt;0,1,0))</f>
        <v>0</v>
      </c>
      <c r="O5602" s="16">
        <f>IF($A5602&lt;Notes!$B$5,"",IF(COUNTIFS(Release_Calendar!$A$2:$A$755,"NZ_LABOUR",Release_Calendar!$B$2:$B$755,$A5602)&gt;0,1,0))</f>
        <v>0</v>
      </c>
      <c r="P5602" s="16">
        <f t="shared" si="4"/>
        <v>0</v>
      </c>
    </row>
    <row r="5603" ht="15.75" customHeight="1">
      <c r="A5603" s="14">
        <v>44369.0</v>
      </c>
      <c r="B5603" s="15">
        <v>0.25</v>
      </c>
      <c r="C5603" s="15">
        <v>0.74</v>
      </c>
      <c r="D5603" s="15"/>
      <c r="E5603" s="15">
        <v>0.47</v>
      </c>
      <c r="F5603" s="15">
        <f t="shared" si="1"/>
        <v>0.49</v>
      </c>
      <c r="G5603" s="15">
        <f t="shared" si="2"/>
        <v>0.74</v>
      </c>
      <c r="H5603" s="16">
        <v>0.0</v>
      </c>
      <c r="I5603" s="15">
        <f t="shared" si="3"/>
        <v>0.49</v>
      </c>
      <c r="J5603" s="15">
        <v>16.66</v>
      </c>
      <c r="K5603" s="16">
        <f>IF(COUNTIFS(Release_Calendar!$A$2:$A$755,"US_CPI",Release_Calendar!$B$2:$B$755,$A5603)&gt;0,1,0)</f>
        <v>0</v>
      </c>
      <c r="L5603" s="16">
        <f>IF(COUNTIFS(Release_Calendar!$A$2:$A$755,"US_NFP",Release_Calendar!$B$2:$B$755,$A5603)&gt;0,1,0)</f>
        <v>0</v>
      </c>
      <c r="M5603" s="16">
        <f>IF($A5603&lt;Notes!$B$5,"",IF(COUNTIFS(Release_Calendar!$A$2:$A$755,"NZ_CPI",Release_Calendar!$B$2:$B$755,$A5603)&gt;0,1,0))</f>
        <v>0</v>
      </c>
      <c r="N5603" s="16">
        <f>IF($A5603&lt;Notes!$B$5,"",IF(COUNTIFS(Release_Calendar!$A$2:$A$755,"NZ_GDP",Release_Calendar!$B$2:$B$755,$A5603)&gt;0,1,0))</f>
        <v>0</v>
      </c>
      <c r="O5603" s="16">
        <f>IF($A5603&lt;Notes!$B$5,"",IF(COUNTIFS(Release_Calendar!$A$2:$A$755,"NZ_LABOUR",Release_Calendar!$B$2:$B$755,$A5603)&gt;0,1,0))</f>
        <v>0</v>
      </c>
      <c r="P5603" s="16">
        <f t="shared" si="4"/>
        <v>0</v>
      </c>
    </row>
    <row r="5604" ht="15.75" customHeight="1">
      <c r="A5604" s="14">
        <v>44370.0</v>
      </c>
      <c r="B5604" s="15">
        <v>0.26</v>
      </c>
      <c r="C5604" s="15">
        <v>0.71</v>
      </c>
      <c r="D5604" s="15"/>
      <c r="E5604" s="15">
        <v>0.46</v>
      </c>
      <c r="F5604" s="15">
        <f t="shared" si="1"/>
        <v>0.45</v>
      </c>
      <c r="G5604" s="15">
        <f t="shared" si="2"/>
        <v>0.71</v>
      </c>
      <c r="H5604" s="16">
        <v>0.0</v>
      </c>
      <c r="I5604" s="15">
        <f t="shared" si="3"/>
        <v>0.45</v>
      </c>
      <c r="J5604" s="15">
        <v>16.32</v>
      </c>
      <c r="K5604" s="16">
        <f>IF(COUNTIFS(Release_Calendar!$A$2:$A$755,"US_CPI",Release_Calendar!$B$2:$B$755,$A5604)&gt;0,1,0)</f>
        <v>0</v>
      </c>
      <c r="L5604" s="16">
        <f>IF(COUNTIFS(Release_Calendar!$A$2:$A$755,"US_NFP",Release_Calendar!$B$2:$B$755,$A5604)&gt;0,1,0)</f>
        <v>0</v>
      </c>
      <c r="M5604" s="16">
        <f>IF($A5604&lt;Notes!$B$5,"",IF(COUNTIFS(Release_Calendar!$A$2:$A$755,"NZ_CPI",Release_Calendar!$B$2:$B$755,$A5604)&gt;0,1,0))</f>
        <v>0</v>
      </c>
      <c r="N5604" s="16">
        <f>IF($A5604&lt;Notes!$B$5,"",IF(COUNTIFS(Release_Calendar!$A$2:$A$755,"NZ_GDP",Release_Calendar!$B$2:$B$755,$A5604)&gt;0,1,0))</f>
        <v>0</v>
      </c>
      <c r="O5604" s="16">
        <f>IF($A5604&lt;Notes!$B$5,"",IF(COUNTIFS(Release_Calendar!$A$2:$A$755,"NZ_LABOUR",Release_Calendar!$B$2:$B$755,$A5604)&gt;0,1,0))</f>
        <v>0</v>
      </c>
      <c r="P5604" s="16">
        <f t="shared" si="4"/>
        <v>0</v>
      </c>
    </row>
    <row r="5605" ht="15.75" customHeight="1">
      <c r="A5605" s="14">
        <v>44371.0</v>
      </c>
      <c r="B5605" s="15">
        <v>0.26</v>
      </c>
      <c r="C5605" s="15">
        <v>0.72</v>
      </c>
      <c r="D5605" s="15"/>
      <c r="E5605" s="15">
        <v>0.46</v>
      </c>
      <c r="F5605" s="15">
        <f t="shared" si="1"/>
        <v>0.46</v>
      </c>
      <c r="G5605" s="15">
        <f t="shared" si="2"/>
        <v>0.72</v>
      </c>
      <c r="H5605" s="16">
        <v>0.0</v>
      </c>
      <c r="I5605" s="15">
        <f t="shared" si="3"/>
        <v>0.46</v>
      </c>
      <c r="J5605" s="15">
        <v>15.97</v>
      </c>
      <c r="K5605" s="16">
        <f>IF(COUNTIFS(Release_Calendar!$A$2:$A$755,"US_CPI",Release_Calendar!$B$2:$B$755,$A5605)&gt;0,1,0)</f>
        <v>0</v>
      </c>
      <c r="L5605" s="16">
        <f>IF(COUNTIFS(Release_Calendar!$A$2:$A$755,"US_NFP",Release_Calendar!$B$2:$B$755,$A5605)&gt;0,1,0)</f>
        <v>0</v>
      </c>
      <c r="M5605" s="16">
        <f>IF($A5605&lt;Notes!$B$5,"",IF(COUNTIFS(Release_Calendar!$A$2:$A$755,"NZ_CPI",Release_Calendar!$B$2:$B$755,$A5605)&gt;0,1,0))</f>
        <v>0</v>
      </c>
      <c r="N5605" s="16">
        <f>IF($A5605&lt;Notes!$B$5,"",IF(COUNTIFS(Release_Calendar!$A$2:$A$755,"NZ_GDP",Release_Calendar!$B$2:$B$755,$A5605)&gt;0,1,0))</f>
        <v>0</v>
      </c>
      <c r="O5605" s="16">
        <f>IF($A5605&lt;Notes!$B$5,"",IF(COUNTIFS(Release_Calendar!$A$2:$A$755,"NZ_LABOUR",Release_Calendar!$B$2:$B$755,$A5605)&gt;0,1,0))</f>
        <v>0</v>
      </c>
      <c r="P5605" s="16">
        <f t="shared" si="4"/>
        <v>0</v>
      </c>
    </row>
    <row r="5606" ht="15.75" customHeight="1">
      <c r="A5606" s="14">
        <v>44372.0</v>
      </c>
      <c r="B5606" s="15">
        <v>0.28</v>
      </c>
      <c r="C5606" s="15">
        <v>0.76</v>
      </c>
      <c r="D5606" s="15"/>
      <c r="E5606" s="15">
        <v>0.49</v>
      </c>
      <c r="F5606" s="15">
        <f t="shared" si="1"/>
        <v>0.48</v>
      </c>
      <c r="G5606" s="15">
        <f t="shared" si="2"/>
        <v>0.76</v>
      </c>
      <c r="H5606" s="16">
        <v>0.0</v>
      </c>
      <c r="I5606" s="15">
        <f t="shared" si="3"/>
        <v>0.48</v>
      </c>
      <c r="J5606" s="15">
        <v>15.62</v>
      </c>
      <c r="K5606" s="16">
        <f>IF(COUNTIFS(Release_Calendar!$A$2:$A$755,"US_CPI",Release_Calendar!$B$2:$B$755,$A5606)&gt;0,1,0)</f>
        <v>0</v>
      </c>
      <c r="L5606" s="16">
        <f>IF(COUNTIFS(Release_Calendar!$A$2:$A$755,"US_NFP",Release_Calendar!$B$2:$B$755,$A5606)&gt;0,1,0)</f>
        <v>0</v>
      </c>
      <c r="M5606" s="16">
        <f>IF($A5606&lt;Notes!$B$5,"",IF(COUNTIFS(Release_Calendar!$A$2:$A$755,"NZ_CPI",Release_Calendar!$B$2:$B$755,$A5606)&gt;0,1,0))</f>
        <v>0</v>
      </c>
      <c r="N5606" s="16">
        <f>IF($A5606&lt;Notes!$B$5,"",IF(COUNTIFS(Release_Calendar!$A$2:$A$755,"NZ_GDP",Release_Calendar!$B$2:$B$755,$A5606)&gt;0,1,0))</f>
        <v>0</v>
      </c>
      <c r="O5606" s="16">
        <f>IF($A5606&lt;Notes!$B$5,"",IF(COUNTIFS(Release_Calendar!$A$2:$A$755,"NZ_LABOUR",Release_Calendar!$B$2:$B$755,$A5606)&gt;0,1,0))</f>
        <v>0</v>
      </c>
      <c r="P5606" s="16">
        <f t="shared" si="4"/>
        <v>0</v>
      </c>
    </row>
    <row r="5607" ht="15.75" customHeight="1">
      <c r="A5607" s="14">
        <v>44375.0</v>
      </c>
      <c r="B5607" s="15">
        <v>0.25</v>
      </c>
      <c r="C5607" s="15">
        <v>0.79</v>
      </c>
      <c r="D5607" s="15"/>
      <c r="E5607" s="15">
        <v>0.52</v>
      </c>
      <c r="F5607" s="15">
        <f t="shared" si="1"/>
        <v>0.54</v>
      </c>
      <c r="G5607" s="15">
        <f t="shared" si="2"/>
        <v>0.79</v>
      </c>
      <c r="H5607" s="16">
        <v>0.0</v>
      </c>
      <c r="I5607" s="15">
        <f t="shared" si="3"/>
        <v>0.54</v>
      </c>
      <c r="J5607" s="15">
        <v>15.76</v>
      </c>
      <c r="K5607" s="16">
        <f>IF(COUNTIFS(Release_Calendar!$A$2:$A$755,"US_CPI",Release_Calendar!$B$2:$B$755,$A5607)&gt;0,1,0)</f>
        <v>0</v>
      </c>
      <c r="L5607" s="16">
        <f>IF(COUNTIFS(Release_Calendar!$A$2:$A$755,"US_NFP",Release_Calendar!$B$2:$B$755,$A5607)&gt;0,1,0)</f>
        <v>0</v>
      </c>
      <c r="M5607" s="16">
        <f>IF($A5607&lt;Notes!$B$5,"",IF(COUNTIFS(Release_Calendar!$A$2:$A$755,"NZ_CPI",Release_Calendar!$B$2:$B$755,$A5607)&gt;0,1,0))</f>
        <v>0</v>
      </c>
      <c r="N5607" s="16">
        <f>IF($A5607&lt;Notes!$B$5,"",IF(COUNTIFS(Release_Calendar!$A$2:$A$755,"NZ_GDP",Release_Calendar!$B$2:$B$755,$A5607)&gt;0,1,0))</f>
        <v>0</v>
      </c>
      <c r="O5607" s="16">
        <f>IF($A5607&lt;Notes!$B$5,"",IF(COUNTIFS(Release_Calendar!$A$2:$A$755,"NZ_LABOUR",Release_Calendar!$B$2:$B$755,$A5607)&gt;0,1,0))</f>
        <v>0</v>
      </c>
      <c r="P5607" s="16">
        <f t="shared" si="4"/>
        <v>0</v>
      </c>
    </row>
    <row r="5608" ht="15.75" customHeight="1">
      <c r="A5608" s="14">
        <v>44376.0</v>
      </c>
      <c r="B5608" s="15">
        <v>0.27</v>
      </c>
      <c r="C5608" s="15">
        <v>0.79</v>
      </c>
      <c r="D5608" s="15"/>
      <c r="E5608" s="15">
        <v>0.51</v>
      </c>
      <c r="F5608" s="15">
        <f t="shared" si="1"/>
        <v>0.52</v>
      </c>
      <c r="G5608" s="15">
        <f t="shared" si="2"/>
        <v>0.79</v>
      </c>
      <c r="H5608" s="16">
        <v>0.0</v>
      </c>
      <c r="I5608" s="15">
        <f t="shared" si="3"/>
        <v>0.52</v>
      </c>
      <c r="J5608" s="15">
        <v>16.02</v>
      </c>
      <c r="K5608" s="16">
        <f>IF(COUNTIFS(Release_Calendar!$A$2:$A$755,"US_CPI",Release_Calendar!$B$2:$B$755,$A5608)&gt;0,1,0)</f>
        <v>0</v>
      </c>
      <c r="L5608" s="16">
        <f>IF(COUNTIFS(Release_Calendar!$A$2:$A$755,"US_NFP",Release_Calendar!$B$2:$B$755,$A5608)&gt;0,1,0)</f>
        <v>0</v>
      </c>
      <c r="M5608" s="16">
        <f>IF($A5608&lt;Notes!$B$5,"",IF(COUNTIFS(Release_Calendar!$A$2:$A$755,"NZ_CPI",Release_Calendar!$B$2:$B$755,$A5608)&gt;0,1,0))</f>
        <v>0</v>
      </c>
      <c r="N5608" s="16">
        <f>IF($A5608&lt;Notes!$B$5,"",IF(COUNTIFS(Release_Calendar!$A$2:$A$755,"NZ_GDP",Release_Calendar!$B$2:$B$755,$A5608)&gt;0,1,0))</f>
        <v>0</v>
      </c>
      <c r="O5608" s="16">
        <f>IF($A5608&lt;Notes!$B$5,"",IF(COUNTIFS(Release_Calendar!$A$2:$A$755,"NZ_LABOUR",Release_Calendar!$B$2:$B$755,$A5608)&gt;0,1,0))</f>
        <v>0</v>
      </c>
      <c r="P5608" s="16">
        <f t="shared" si="4"/>
        <v>0</v>
      </c>
    </row>
    <row r="5609" ht="15.75" customHeight="1">
      <c r="A5609" s="14">
        <v>44377.0</v>
      </c>
      <c r="B5609" s="15">
        <v>0.25</v>
      </c>
      <c r="C5609" s="15">
        <v>0.78</v>
      </c>
      <c r="D5609" s="15"/>
      <c r="E5609" s="15">
        <v>0.5</v>
      </c>
      <c r="F5609" s="15">
        <f t="shared" si="1"/>
        <v>0.53</v>
      </c>
      <c r="G5609" s="15">
        <f t="shared" si="2"/>
        <v>0.78</v>
      </c>
      <c r="H5609" s="16">
        <v>0.0</v>
      </c>
      <c r="I5609" s="15">
        <f t="shared" si="3"/>
        <v>0.53</v>
      </c>
      <c r="J5609" s="15">
        <v>15.83</v>
      </c>
      <c r="K5609" s="16">
        <f>IF(COUNTIFS(Release_Calendar!$A$2:$A$755,"US_CPI",Release_Calendar!$B$2:$B$755,$A5609)&gt;0,1,0)</f>
        <v>0</v>
      </c>
      <c r="L5609" s="16">
        <f>IF(COUNTIFS(Release_Calendar!$A$2:$A$755,"US_NFP",Release_Calendar!$B$2:$B$755,$A5609)&gt;0,1,0)</f>
        <v>0</v>
      </c>
      <c r="M5609" s="16">
        <f>IF($A5609&lt;Notes!$B$5,"",IF(COUNTIFS(Release_Calendar!$A$2:$A$755,"NZ_CPI",Release_Calendar!$B$2:$B$755,$A5609)&gt;0,1,0))</f>
        <v>0</v>
      </c>
      <c r="N5609" s="16">
        <f>IF($A5609&lt;Notes!$B$5,"",IF(COUNTIFS(Release_Calendar!$A$2:$A$755,"NZ_GDP",Release_Calendar!$B$2:$B$755,$A5609)&gt;0,1,0))</f>
        <v>0</v>
      </c>
      <c r="O5609" s="16">
        <f>IF($A5609&lt;Notes!$B$5,"",IF(COUNTIFS(Release_Calendar!$A$2:$A$755,"NZ_LABOUR",Release_Calendar!$B$2:$B$755,$A5609)&gt;0,1,0))</f>
        <v>0</v>
      </c>
      <c r="P5609" s="16">
        <f t="shared" si="4"/>
        <v>0</v>
      </c>
    </row>
    <row r="5610" ht="15.75" customHeight="1">
      <c r="A5610" s="14">
        <v>44378.0</v>
      </c>
      <c r="B5610" s="15">
        <v>0.25</v>
      </c>
      <c r="C5610" s="15">
        <v>0.79</v>
      </c>
      <c r="D5610" s="15"/>
      <c r="E5610" s="15">
        <v>0.51</v>
      </c>
      <c r="F5610" s="15">
        <f t="shared" si="1"/>
        <v>0.54</v>
      </c>
      <c r="G5610" s="15">
        <f t="shared" si="2"/>
        <v>0.79</v>
      </c>
      <c r="H5610" s="16">
        <v>0.0</v>
      </c>
      <c r="I5610" s="15">
        <f t="shared" si="3"/>
        <v>0.54</v>
      </c>
      <c r="J5610" s="15">
        <v>15.48</v>
      </c>
      <c r="K5610" s="16">
        <f>IF(COUNTIFS(Release_Calendar!$A$2:$A$755,"US_CPI",Release_Calendar!$B$2:$B$755,$A5610)&gt;0,1,0)</f>
        <v>0</v>
      </c>
      <c r="L5610" s="16">
        <f>IF(COUNTIFS(Release_Calendar!$A$2:$A$755,"US_NFP",Release_Calendar!$B$2:$B$755,$A5610)&gt;0,1,0)</f>
        <v>0</v>
      </c>
      <c r="M5610" s="16">
        <f>IF($A5610&lt;Notes!$B$5,"",IF(COUNTIFS(Release_Calendar!$A$2:$A$755,"NZ_CPI",Release_Calendar!$B$2:$B$755,$A5610)&gt;0,1,0))</f>
        <v>0</v>
      </c>
      <c r="N5610" s="16">
        <f>IF($A5610&lt;Notes!$B$5,"",IF(COUNTIFS(Release_Calendar!$A$2:$A$755,"NZ_GDP",Release_Calendar!$B$2:$B$755,$A5610)&gt;0,1,0))</f>
        <v>0</v>
      </c>
      <c r="O5610" s="16">
        <f>IF($A5610&lt;Notes!$B$5,"",IF(COUNTIFS(Release_Calendar!$A$2:$A$755,"NZ_LABOUR",Release_Calendar!$B$2:$B$755,$A5610)&gt;0,1,0))</f>
        <v>0</v>
      </c>
      <c r="P5610" s="16">
        <f t="shared" si="4"/>
        <v>0</v>
      </c>
    </row>
    <row r="5611" ht="15.75" customHeight="1">
      <c r="A5611" s="14">
        <v>44379.0</v>
      </c>
      <c r="B5611" s="15">
        <v>0.24</v>
      </c>
      <c r="C5611" s="15">
        <v>0.8</v>
      </c>
      <c r="D5611" s="15"/>
      <c r="E5611" s="15">
        <v>0.5</v>
      </c>
      <c r="F5611" s="15">
        <f t="shared" si="1"/>
        <v>0.56</v>
      </c>
      <c r="G5611" s="15">
        <f t="shared" si="2"/>
        <v>0.8</v>
      </c>
      <c r="H5611" s="16">
        <v>0.0</v>
      </c>
      <c r="I5611" s="15">
        <f t="shared" si="3"/>
        <v>0.56</v>
      </c>
      <c r="J5611" s="15">
        <v>15.07</v>
      </c>
      <c r="K5611" s="16">
        <f>IF(COUNTIFS(Release_Calendar!$A$2:$A$755,"US_CPI",Release_Calendar!$B$2:$B$755,$A5611)&gt;0,1,0)</f>
        <v>0</v>
      </c>
      <c r="L5611" s="16">
        <f>IF(COUNTIFS(Release_Calendar!$A$2:$A$755,"US_NFP",Release_Calendar!$B$2:$B$755,$A5611)&gt;0,1,0)</f>
        <v>1</v>
      </c>
      <c r="M5611" s="16">
        <f>IF($A5611&lt;Notes!$B$5,"",IF(COUNTIFS(Release_Calendar!$A$2:$A$755,"NZ_CPI",Release_Calendar!$B$2:$B$755,$A5611)&gt;0,1,0))</f>
        <v>0</v>
      </c>
      <c r="N5611" s="16">
        <f>IF($A5611&lt;Notes!$B$5,"",IF(COUNTIFS(Release_Calendar!$A$2:$A$755,"NZ_GDP",Release_Calendar!$B$2:$B$755,$A5611)&gt;0,1,0))</f>
        <v>0</v>
      </c>
      <c r="O5611" s="16">
        <f>IF($A5611&lt;Notes!$B$5,"",IF(COUNTIFS(Release_Calendar!$A$2:$A$755,"NZ_LABOUR",Release_Calendar!$B$2:$B$755,$A5611)&gt;0,1,0))</f>
        <v>0</v>
      </c>
      <c r="P5611" s="16">
        <f t="shared" si="4"/>
        <v>1</v>
      </c>
    </row>
    <row r="5612" ht="15.75" customHeight="1">
      <c r="A5612" s="14">
        <v>44382.0</v>
      </c>
      <c r="B5612" s="15"/>
      <c r="C5612" s="15">
        <v>0.81</v>
      </c>
      <c r="D5612" s="15"/>
      <c r="E5612" s="15">
        <v>0.51</v>
      </c>
      <c r="F5612" s="15" t="str">
        <f t="shared" si="1"/>
        <v/>
      </c>
      <c r="G5612" s="15">
        <f t="shared" si="2"/>
        <v>0.81</v>
      </c>
      <c r="H5612" s="16">
        <v>0.0</v>
      </c>
      <c r="I5612" s="15" t="str">
        <f t="shared" si="3"/>
        <v/>
      </c>
      <c r="J5612" s="15"/>
      <c r="K5612" s="16">
        <f>IF(COUNTIFS(Release_Calendar!$A$2:$A$755,"US_CPI",Release_Calendar!$B$2:$B$755,$A5612)&gt;0,1,0)</f>
        <v>0</v>
      </c>
      <c r="L5612" s="16">
        <f>IF(COUNTIFS(Release_Calendar!$A$2:$A$755,"US_NFP",Release_Calendar!$B$2:$B$755,$A5612)&gt;0,1,0)</f>
        <v>0</v>
      </c>
      <c r="M5612" s="16">
        <f>IF($A5612&lt;Notes!$B$5,"",IF(COUNTIFS(Release_Calendar!$A$2:$A$755,"NZ_CPI",Release_Calendar!$B$2:$B$755,$A5612)&gt;0,1,0))</f>
        <v>0</v>
      </c>
      <c r="N5612" s="16">
        <f>IF($A5612&lt;Notes!$B$5,"",IF(COUNTIFS(Release_Calendar!$A$2:$A$755,"NZ_GDP",Release_Calendar!$B$2:$B$755,$A5612)&gt;0,1,0))</f>
        <v>0</v>
      </c>
      <c r="O5612" s="16">
        <f>IF($A5612&lt;Notes!$B$5,"",IF(COUNTIFS(Release_Calendar!$A$2:$A$755,"NZ_LABOUR",Release_Calendar!$B$2:$B$755,$A5612)&gt;0,1,0))</f>
        <v>0</v>
      </c>
      <c r="P5612" s="16">
        <f t="shared" si="4"/>
        <v>0</v>
      </c>
    </row>
    <row r="5613" ht="15.75" customHeight="1">
      <c r="A5613" s="14">
        <v>44383.0</v>
      </c>
      <c r="B5613" s="15">
        <v>0.22</v>
      </c>
      <c r="C5613" s="15">
        <v>0.88</v>
      </c>
      <c r="D5613" s="15"/>
      <c r="E5613" s="15">
        <v>0.61</v>
      </c>
      <c r="F5613" s="15">
        <f t="shared" si="1"/>
        <v>0.66</v>
      </c>
      <c r="G5613" s="15">
        <f t="shared" si="2"/>
        <v>0.88</v>
      </c>
      <c r="H5613" s="16">
        <v>0.0</v>
      </c>
      <c r="I5613" s="15">
        <f t="shared" si="3"/>
        <v>0.66</v>
      </c>
      <c r="J5613" s="15">
        <v>16.44</v>
      </c>
      <c r="K5613" s="16">
        <f>IF(COUNTIFS(Release_Calendar!$A$2:$A$755,"US_CPI",Release_Calendar!$B$2:$B$755,$A5613)&gt;0,1,0)</f>
        <v>0</v>
      </c>
      <c r="L5613" s="16">
        <f>IF(COUNTIFS(Release_Calendar!$A$2:$A$755,"US_NFP",Release_Calendar!$B$2:$B$755,$A5613)&gt;0,1,0)</f>
        <v>0</v>
      </c>
      <c r="M5613" s="16">
        <f>IF($A5613&lt;Notes!$B$5,"",IF(COUNTIFS(Release_Calendar!$A$2:$A$755,"NZ_CPI",Release_Calendar!$B$2:$B$755,$A5613)&gt;0,1,0))</f>
        <v>0</v>
      </c>
      <c r="N5613" s="16">
        <f>IF($A5613&lt;Notes!$B$5,"",IF(COUNTIFS(Release_Calendar!$A$2:$A$755,"NZ_GDP",Release_Calendar!$B$2:$B$755,$A5613)&gt;0,1,0))</f>
        <v>0</v>
      </c>
      <c r="O5613" s="16">
        <f>IF($A5613&lt;Notes!$B$5,"",IF(COUNTIFS(Release_Calendar!$A$2:$A$755,"NZ_LABOUR",Release_Calendar!$B$2:$B$755,$A5613)&gt;0,1,0))</f>
        <v>0</v>
      </c>
      <c r="P5613" s="16">
        <f t="shared" si="4"/>
        <v>0</v>
      </c>
    </row>
    <row r="5614" ht="15.75" customHeight="1">
      <c r="A5614" s="14">
        <v>44384.0</v>
      </c>
      <c r="B5614" s="15">
        <v>0.22</v>
      </c>
      <c r="C5614" s="15">
        <v>0.89</v>
      </c>
      <c r="D5614" s="15"/>
      <c r="E5614" s="15">
        <v>0.61</v>
      </c>
      <c r="F5614" s="15">
        <f t="shared" si="1"/>
        <v>0.67</v>
      </c>
      <c r="G5614" s="15">
        <f t="shared" si="2"/>
        <v>0.89</v>
      </c>
      <c r="H5614" s="16">
        <v>0.0</v>
      </c>
      <c r="I5614" s="15">
        <f t="shared" si="3"/>
        <v>0.67</v>
      </c>
      <c r="J5614" s="15">
        <v>16.2</v>
      </c>
      <c r="K5614" s="16">
        <f>IF(COUNTIFS(Release_Calendar!$A$2:$A$755,"US_CPI",Release_Calendar!$B$2:$B$755,$A5614)&gt;0,1,0)</f>
        <v>0</v>
      </c>
      <c r="L5614" s="16">
        <f>IF(COUNTIFS(Release_Calendar!$A$2:$A$755,"US_NFP",Release_Calendar!$B$2:$B$755,$A5614)&gt;0,1,0)</f>
        <v>0</v>
      </c>
      <c r="M5614" s="16">
        <f>IF($A5614&lt;Notes!$B$5,"",IF(COUNTIFS(Release_Calendar!$A$2:$A$755,"NZ_CPI",Release_Calendar!$B$2:$B$755,$A5614)&gt;0,1,0))</f>
        <v>0</v>
      </c>
      <c r="N5614" s="16">
        <f>IF($A5614&lt;Notes!$B$5,"",IF(COUNTIFS(Release_Calendar!$A$2:$A$755,"NZ_GDP",Release_Calendar!$B$2:$B$755,$A5614)&gt;0,1,0))</f>
        <v>0</v>
      </c>
      <c r="O5614" s="16">
        <f>IF($A5614&lt;Notes!$B$5,"",IF(COUNTIFS(Release_Calendar!$A$2:$A$755,"NZ_LABOUR",Release_Calendar!$B$2:$B$755,$A5614)&gt;0,1,0))</f>
        <v>0</v>
      </c>
      <c r="P5614" s="16">
        <f t="shared" si="4"/>
        <v>0</v>
      </c>
    </row>
    <row r="5615" ht="15.75" customHeight="1">
      <c r="A5615" s="14">
        <v>44385.0</v>
      </c>
      <c r="B5615" s="15">
        <v>0.19</v>
      </c>
      <c r="C5615" s="15">
        <v>0.86</v>
      </c>
      <c r="D5615" s="15"/>
      <c r="E5615" s="15">
        <v>0.58</v>
      </c>
      <c r="F5615" s="15">
        <f t="shared" si="1"/>
        <v>0.67</v>
      </c>
      <c r="G5615" s="15">
        <f t="shared" si="2"/>
        <v>0.86</v>
      </c>
      <c r="H5615" s="16">
        <v>0.0</v>
      </c>
      <c r="I5615" s="15">
        <f t="shared" si="3"/>
        <v>0.67</v>
      </c>
      <c r="J5615" s="15">
        <v>19.0</v>
      </c>
      <c r="K5615" s="16">
        <f>IF(COUNTIFS(Release_Calendar!$A$2:$A$755,"US_CPI",Release_Calendar!$B$2:$B$755,$A5615)&gt;0,1,0)</f>
        <v>0</v>
      </c>
      <c r="L5615" s="16">
        <f>IF(COUNTIFS(Release_Calendar!$A$2:$A$755,"US_NFP",Release_Calendar!$B$2:$B$755,$A5615)&gt;0,1,0)</f>
        <v>0</v>
      </c>
      <c r="M5615" s="16">
        <f>IF($A5615&lt;Notes!$B$5,"",IF(COUNTIFS(Release_Calendar!$A$2:$A$755,"NZ_CPI",Release_Calendar!$B$2:$B$755,$A5615)&gt;0,1,0))</f>
        <v>0</v>
      </c>
      <c r="N5615" s="16">
        <f>IF($A5615&lt;Notes!$B$5,"",IF(COUNTIFS(Release_Calendar!$A$2:$A$755,"NZ_GDP",Release_Calendar!$B$2:$B$755,$A5615)&gt;0,1,0))</f>
        <v>0</v>
      </c>
      <c r="O5615" s="16">
        <f>IF($A5615&lt;Notes!$B$5,"",IF(COUNTIFS(Release_Calendar!$A$2:$A$755,"NZ_LABOUR",Release_Calendar!$B$2:$B$755,$A5615)&gt;0,1,0))</f>
        <v>0</v>
      </c>
      <c r="P5615" s="16">
        <f t="shared" si="4"/>
        <v>0</v>
      </c>
    </row>
    <row r="5616" ht="15.75" customHeight="1">
      <c r="A5616" s="14">
        <v>44386.0</v>
      </c>
      <c r="B5616" s="15">
        <v>0.23</v>
      </c>
      <c r="C5616" s="15">
        <v>0.85</v>
      </c>
      <c r="D5616" s="15"/>
      <c r="E5616" s="15">
        <v>0.57</v>
      </c>
      <c r="F5616" s="15">
        <f t="shared" si="1"/>
        <v>0.62</v>
      </c>
      <c r="G5616" s="15">
        <f t="shared" si="2"/>
        <v>0.85</v>
      </c>
      <c r="H5616" s="16">
        <v>0.0</v>
      </c>
      <c r="I5616" s="15">
        <f t="shared" si="3"/>
        <v>0.62</v>
      </c>
      <c r="J5616" s="15">
        <v>16.18</v>
      </c>
      <c r="K5616" s="16">
        <f>IF(COUNTIFS(Release_Calendar!$A$2:$A$755,"US_CPI",Release_Calendar!$B$2:$B$755,$A5616)&gt;0,1,0)</f>
        <v>0</v>
      </c>
      <c r="L5616" s="16">
        <f>IF(COUNTIFS(Release_Calendar!$A$2:$A$755,"US_NFP",Release_Calendar!$B$2:$B$755,$A5616)&gt;0,1,0)</f>
        <v>0</v>
      </c>
      <c r="M5616" s="16">
        <f>IF($A5616&lt;Notes!$B$5,"",IF(COUNTIFS(Release_Calendar!$A$2:$A$755,"NZ_CPI",Release_Calendar!$B$2:$B$755,$A5616)&gt;0,1,0))</f>
        <v>0</v>
      </c>
      <c r="N5616" s="16">
        <f>IF($A5616&lt;Notes!$B$5,"",IF(COUNTIFS(Release_Calendar!$A$2:$A$755,"NZ_GDP",Release_Calendar!$B$2:$B$755,$A5616)&gt;0,1,0))</f>
        <v>0</v>
      </c>
      <c r="O5616" s="16">
        <f>IF($A5616&lt;Notes!$B$5,"",IF(COUNTIFS(Release_Calendar!$A$2:$A$755,"NZ_LABOUR",Release_Calendar!$B$2:$B$755,$A5616)&gt;0,1,0))</f>
        <v>0</v>
      </c>
      <c r="P5616" s="16">
        <f t="shared" si="4"/>
        <v>0</v>
      </c>
    </row>
    <row r="5617" ht="15.75" customHeight="1">
      <c r="A5617" s="14">
        <v>44389.0</v>
      </c>
      <c r="B5617" s="15">
        <v>0.23</v>
      </c>
      <c r="C5617" s="15">
        <v>0.84</v>
      </c>
      <c r="D5617" s="15"/>
      <c r="E5617" s="15">
        <v>0.55</v>
      </c>
      <c r="F5617" s="15">
        <f t="shared" si="1"/>
        <v>0.61</v>
      </c>
      <c r="G5617" s="15">
        <f t="shared" si="2"/>
        <v>0.84</v>
      </c>
      <c r="H5617" s="16">
        <v>0.0</v>
      </c>
      <c r="I5617" s="15">
        <f t="shared" si="3"/>
        <v>0.61</v>
      </c>
      <c r="J5617" s="15">
        <v>16.17</v>
      </c>
      <c r="K5617" s="16">
        <f>IF(COUNTIFS(Release_Calendar!$A$2:$A$755,"US_CPI",Release_Calendar!$B$2:$B$755,$A5617)&gt;0,1,0)</f>
        <v>0</v>
      </c>
      <c r="L5617" s="16">
        <f>IF(COUNTIFS(Release_Calendar!$A$2:$A$755,"US_NFP",Release_Calendar!$B$2:$B$755,$A5617)&gt;0,1,0)</f>
        <v>0</v>
      </c>
      <c r="M5617" s="16">
        <f>IF($A5617&lt;Notes!$B$5,"",IF(COUNTIFS(Release_Calendar!$A$2:$A$755,"NZ_CPI",Release_Calendar!$B$2:$B$755,$A5617)&gt;0,1,0))</f>
        <v>0</v>
      </c>
      <c r="N5617" s="16">
        <f>IF($A5617&lt;Notes!$B$5,"",IF(COUNTIFS(Release_Calendar!$A$2:$A$755,"NZ_GDP",Release_Calendar!$B$2:$B$755,$A5617)&gt;0,1,0))</f>
        <v>0</v>
      </c>
      <c r="O5617" s="16">
        <f>IF($A5617&lt;Notes!$B$5,"",IF(COUNTIFS(Release_Calendar!$A$2:$A$755,"NZ_LABOUR",Release_Calendar!$B$2:$B$755,$A5617)&gt;0,1,0))</f>
        <v>0</v>
      </c>
      <c r="P5617" s="16">
        <f t="shared" si="4"/>
        <v>0</v>
      </c>
    </row>
    <row r="5618" ht="15.75" customHeight="1">
      <c r="A5618" s="14">
        <v>44390.0</v>
      </c>
      <c r="B5618" s="15">
        <v>0.26</v>
      </c>
      <c r="C5618" s="15">
        <v>0.85</v>
      </c>
      <c r="D5618" s="15"/>
      <c r="E5618" s="15">
        <v>0.55</v>
      </c>
      <c r="F5618" s="15">
        <f t="shared" si="1"/>
        <v>0.59</v>
      </c>
      <c r="G5618" s="15">
        <f t="shared" si="2"/>
        <v>0.85</v>
      </c>
      <c r="H5618" s="16">
        <v>0.0</v>
      </c>
      <c r="I5618" s="15">
        <f t="shared" si="3"/>
        <v>0.59</v>
      </c>
      <c r="J5618" s="15">
        <v>17.12</v>
      </c>
      <c r="K5618" s="16">
        <f>IF(COUNTIFS(Release_Calendar!$A$2:$A$755,"US_CPI",Release_Calendar!$B$2:$B$755,$A5618)&gt;0,1,0)</f>
        <v>1</v>
      </c>
      <c r="L5618" s="16">
        <f>IF(COUNTIFS(Release_Calendar!$A$2:$A$755,"US_NFP",Release_Calendar!$B$2:$B$755,$A5618)&gt;0,1,0)</f>
        <v>0</v>
      </c>
      <c r="M5618" s="16">
        <f>IF($A5618&lt;Notes!$B$5,"",IF(COUNTIFS(Release_Calendar!$A$2:$A$755,"NZ_CPI",Release_Calendar!$B$2:$B$755,$A5618)&gt;0,1,0))</f>
        <v>0</v>
      </c>
      <c r="N5618" s="16">
        <f>IF($A5618&lt;Notes!$B$5,"",IF(COUNTIFS(Release_Calendar!$A$2:$A$755,"NZ_GDP",Release_Calendar!$B$2:$B$755,$A5618)&gt;0,1,0))</f>
        <v>0</v>
      </c>
      <c r="O5618" s="16">
        <f>IF($A5618&lt;Notes!$B$5,"",IF(COUNTIFS(Release_Calendar!$A$2:$A$755,"NZ_LABOUR",Release_Calendar!$B$2:$B$755,$A5618)&gt;0,1,0))</f>
        <v>0</v>
      </c>
      <c r="P5618" s="16">
        <f t="shared" si="4"/>
        <v>1</v>
      </c>
    </row>
    <row r="5619" ht="15.75" customHeight="1">
      <c r="A5619" s="14">
        <v>44391.0</v>
      </c>
      <c r="B5619" s="15">
        <v>0.23</v>
      </c>
      <c r="C5619" s="15">
        <v>0.97</v>
      </c>
      <c r="D5619" s="15"/>
      <c r="E5619" s="15">
        <v>0.67</v>
      </c>
      <c r="F5619" s="15">
        <f t="shared" si="1"/>
        <v>0.74</v>
      </c>
      <c r="G5619" s="15">
        <f t="shared" si="2"/>
        <v>0.97</v>
      </c>
      <c r="H5619" s="16">
        <v>0.0</v>
      </c>
      <c r="I5619" s="15">
        <f t="shared" si="3"/>
        <v>0.74</v>
      </c>
      <c r="J5619" s="15">
        <v>16.33</v>
      </c>
      <c r="K5619" s="16">
        <f>IF(COUNTIFS(Release_Calendar!$A$2:$A$755,"US_CPI",Release_Calendar!$B$2:$B$755,$A5619)&gt;0,1,0)</f>
        <v>0</v>
      </c>
      <c r="L5619" s="16">
        <f>IF(COUNTIFS(Release_Calendar!$A$2:$A$755,"US_NFP",Release_Calendar!$B$2:$B$755,$A5619)&gt;0,1,0)</f>
        <v>0</v>
      </c>
      <c r="M5619" s="16">
        <f>IF($A5619&lt;Notes!$B$5,"",IF(COUNTIFS(Release_Calendar!$A$2:$A$755,"NZ_CPI",Release_Calendar!$B$2:$B$755,$A5619)&gt;0,1,0))</f>
        <v>0</v>
      </c>
      <c r="N5619" s="16">
        <f>IF($A5619&lt;Notes!$B$5,"",IF(COUNTIFS(Release_Calendar!$A$2:$A$755,"NZ_GDP",Release_Calendar!$B$2:$B$755,$A5619)&gt;0,1,0))</f>
        <v>0</v>
      </c>
      <c r="O5619" s="16">
        <f>IF($A5619&lt;Notes!$B$5,"",IF(COUNTIFS(Release_Calendar!$A$2:$A$755,"NZ_LABOUR",Release_Calendar!$B$2:$B$755,$A5619)&gt;0,1,0))</f>
        <v>0</v>
      </c>
      <c r="P5619" s="16">
        <f t="shared" si="4"/>
        <v>0</v>
      </c>
    </row>
    <row r="5620" ht="15.75" customHeight="1">
      <c r="A5620" s="14">
        <v>44392.0</v>
      </c>
      <c r="B5620" s="15">
        <v>0.23</v>
      </c>
      <c r="C5620" s="15">
        <v>1.04</v>
      </c>
      <c r="D5620" s="15"/>
      <c r="E5620" s="15">
        <v>0.74</v>
      </c>
      <c r="F5620" s="15">
        <f t="shared" si="1"/>
        <v>0.81</v>
      </c>
      <c r="G5620" s="15">
        <f t="shared" si="2"/>
        <v>1.04</v>
      </c>
      <c r="H5620" s="16">
        <v>0.0</v>
      </c>
      <c r="I5620" s="15">
        <f t="shared" si="3"/>
        <v>0.81</v>
      </c>
      <c r="J5620" s="15">
        <v>17.01</v>
      </c>
      <c r="K5620" s="16">
        <f>IF(COUNTIFS(Release_Calendar!$A$2:$A$755,"US_CPI",Release_Calendar!$B$2:$B$755,$A5620)&gt;0,1,0)</f>
        <v>0</v>
      </c>
      <c r="L5620" s="16">
        <f>IF(COUNTIFS(Release_Calendar!$A$2:$A$755,"US_NFP",Release_Calendar!$B$2:$B$755,$A5620)&gt;0,1,0)</f>
        <v>0</v>
      </c>
      <c r="M5620" s="16">
        <f>IF($A5620&lt;Notes!$B$5,"",IF(COUNTIFS(Release_Calendar!$A$2:$A$755,"NZ_CPI",Release_Calendar!$B$2:$B$755,$A5620)&gt;0,1,0))</f>
        <v>0</v>
      </c>
      <c r="N5620" s="16">
        <f>IF($A5620&lt;Notes!$B$5,"",IF(COUNTIFS(Release_Calendar!$A$2:$A$755,"NZ_GDP",Release_Calendar!$B$2:$B$755,$A5620)&gt;0,1,0))</f>
        <v>0</v>
      </c>
      <c r="O5620" s="16">
        <f>IF($A5620&lt;Notes!$B$5,"",IF(COUNTIFS(Release_Calendar!$A$2:$A$755,"NZ_LABOUR",Release_Calendar!$B$2:$B$755,$A5620)&gt;0,1,0))</f>
        <v>0</v>
      </c>
      <c r="P5620" s="16">
        <f t="shared" si="4"/>
        <v>0</v>
      </c>
    </row>
    <row r="5621" ht="15.75" customHeight="1">
      <c r="A5621" s="14">
        <v>44393.0</v>
      </c>
      <c r="B5621" s="15">
        <v>0.25</v>
      </c>
      <c r="C5621" s="15">
        <v>1.09</v>
      </c>
      <c r="D5621" s="15"/>
      <c r="E5621" s="15">
        <v>0.79</v>
      </c>
      <c r="F5621" s="15">
        <f t="shared" si="1"/>
        <v>0.84</v>
      </c>
      <c r="G5621" s="15">
        <f t="shared" si="2"/>
        <v>1.09</v>
      </c>
      <c r="H5621" s="16">
        <v>0.0</v>
      </c>
      <c r="I5621" s="15">
        <f t="shared" si="3"/>
        <v>0.84</v>
      </c>
      <c r="J5621" s="15">
        <v>18.45</v>
      </c>
      <c r="K5621" s="16">
        <f>IF(COUNTIFS(Release_Calendar!$A$2:$A$755,"US_CPI",Release_Calendar!$B$2:$B$755,$A5621)&gt;0,1,0)</f>
        <v>0</v>
      </c>
      <c r="L5621" s="16">
        <f>IF(COUNTIFS(Release_Calendar!$A$2:$A$755,"US_NFP",Release_Calendar!$B$2:$B$755,$A5621)&gt;0,1,0)</f>
        <v>0</v>
      </c>
      <c r="M5621" s="16">
        <f>IF($A5621&lt;Notes!$B$5,"",IF(COUNTIFS(Release_Calendar!$A$2:$A$755,"NZ_CPI",Release_Calendar!$B$2:$B$755,$A5621)&gt;0,1,0))</f>
        <v>1</v>
      </c>
      <c r="N5621" s="16">
        <f>IF($A5621&lt;Notes!$B$5,"",IF(COUNTIFS(Release_Calendar!$A$2:$A$755,"NZ_GDP",Release_Calendar!$B$2:$B$755,$A5621)&gt;0,1,0))</f>
        <v>0</v>
      </c>
      <c r="O5621" s="16">
        <f>IF($A5621&lt;Notes!$B$5,"",IF(COUNTIFS(Release_Calendar!$A$2:$A$755,"NZ_LABOUR",Release_Calendar!$B$2:$B$755,$A5621)&gt;0,1,0))</f>
        <v>0</v>
      </c>
      <c r="P5621" s="16">
        <f t="shared" si="4"/>
        <v>1</v>
      </c>
    </row>
    <row r="5622" ht="15.75" customHeight="1">
      <c r="A5622" s="14">
        <v>44396.0</v>
      </c>
      <c r="B5622" s="15">
        <v>0.21</v>
      </c>
      <c r="C5622" s="15">
        <v>1.06</v>
      </c>
      <c r="D5622" s="15"/>
      <c r="E5622" s="15">
        <v>0.79</v>
      </c>
      <c r="F5622" s="15">
        <f t="shared" si="1"/>
        <v>0.85</v>
      </c>
      <c r="G5622" s="15">
        <f t="shared" si="2"/>
        <v>1.06</v>
      </c>
      <c r="H5622" s="16">
        <v>0.0</v>
      </c>
      <c r="I5622" s="15">
        <f t="shared" si="3"/>
        <v>0.85</v>
      </c>
      <c r="J5622" s="15">
        <v>22.5</v>
      </c>
      <c r="K5622" s="16">
        <f>IF(COUNTIFS(Release_Calendar!$A$2:$A$755,"US_CPI",Release_Calendar!$B$2:$B$755,$A5622)&gt;0,1,0)</f>
        <v>0</v>
      </c>
      <c r="L5622" s="16">
        <f>IF(COUNTIFS(Release_Calendar!$A$2:$A$755,"US_NFP",Release_Calendar!$B$2:$B$755,$A5622)&gt;0,1,0)</f>
        <v>0</v>
      </c>
      <c r="M5622" s="16">
        <f>IF($A5622&lt;Notes!$B$5,"",IF(COUNTIFS(Release_Calendar!$A$2:$A$755,"NZ_CPI",Release_Calendar!$B$2:$B$755,$A5622)&gt;0,1,0))</f>
        <v>0</v>
      </c>
      <c r="N5622" s="16">
        <f>IF($A5622&lt;Notes!$B$5,"",IF(COUNTIFS(Release_Calendar!$A$2:$A$755,"NZ_GDP",Release_Calendar!$B$2:$B$755,$A5622)&gt;0,1,0))</f>
        <v>0</v>
      </c>
      <c r="O5622" s="16">
        <f>IF($A5622&lt;Notes!$B$5,"",IF(COUNTIFS(Release_Calendar!$A$2:$A$755,"NZ_LABOUR",Release_Calendar!$B$2:$B$755,$A5622)&gt;0,1,0))</f>
        <v>0</v>
      </c>
      <c r="P5622" s="16">
        <f t="shared" si="4"/>
        <v>0</v>
      </c>
    </row>
    <row r="5623" ht="15.75" customHeight="1">
      <c r="A5623" s="14">
        <v>44397.0</v>
      </c>
      <c r="B5623" s="15">
        <v>0.2</v>
      </c>
      <c r="C5623" s="15">
        <v>1.0</v>
      </c>
      <c r="D5623" s="15"/>
      <c r="E5623" s="15">
        <v>0.74</v>
      </c>
      <c r="F5623" s="15">
        <f t="shared" si="1"/>
        <v>0.8</v>
      </c>
      <c r="G5623" s="15">
        <f t="shared" si="2"/>
        <v>1</v>
      </c>
      <c r="H5623" s="16">
        <v>0.0</v>
      </c>
      <c r="I5623" s="15">
        <f t="shared" si="3"/>
        <v>0.8</v>
      </c>
      <c r="J5623" s="15">
        <v>19.73</v>
      </c>
      <c r="K5623" s="16">
        <f>IF(COUNTIFS(Release_Calendar!$A$2:$A$755,"US_CPI",Release_Calendar!$B$2:$B$755,$A5623)&gt;0,1,0)</f>
        <v>0</v>
      </c>
      <c r="L5623" s="16">
        <f>IF(COUNTIFS(Release_Calendar!$A$2:$A$755,"US_NFP",Release_Calendar!$B$2:$B$755,$A5623)&gt;0,1,0)</f>
        <v>0</v>
      </c>
      <c r="M5623" s="16">
        <f>IF($A5623&lt;Notes!$B$5,"",IF(COUNTIFS(Release_Calendar!$A$2:$A$755,"NZ_CPI",Release_Calendar!$B$2:$B$755,$A5623)&gt;0,1,0))</f>
        <v>0</v>
      </c>
      <c r="N5623" s="16">
        <f>IF($A5623&lt;Notes!$B$5,"",IF(COUNTIFS(Release_Calendar!$A$2:$A$755,"NZ_GDP",Release_Calendar!$B$2:$B$755,$A5623)&gt;0,1,0))</f>
        <v>0</v>
      </c>
      <c r="O5623" s="16">
        <f>IF($A5623&lt;Notes!$B$5,"",IF(COUNTIFS(Release_Calendar!$A$2:$A$755,"NZ_LABOUR",Release_Calendar!$B$2:$B$755,$A5623)&gt;0,1,0))</f>
        <v>0</v>
      </c>
      <c r="P5623" s="16">
        <f t="shared" si="4"/>
        <v>0</v>
      </c>
    </row>
    <row r="5624" ht="15.75" customHeight="1">
      <c r="A5624" s="14">
        <v>44398.0</v>
      </c>
      <c r="B5624" s="15">
        <v>0.22</v>
      </c>
      <c r="C5624" s="15">
        <v>1.01</v>
      </c>
      <c r="D5624" s="15"/>
      <c r="E5624" s="15">
        <v>0.75</v>
      </c>
      <c r="F5624" s="15">
        <f t="shared" si="1"/>
        <v>0.79</v>
      </c>
      <c r="G5624" s="15">
        <f t="shared" si="2"/>
        <v>1.01</v>
      </c>
      <c r="H5624" s="16">
        <v>0.0</v>
      </c>
      <c r="I5624" s="15">
        <f t="shared" si="3"/>
        <v>0.79</v>
      </c>
      <c r="J5624" s="15">
        <v>17.91</v>
      </c>
      <c r="K5624" s="16">
        <f>IF(COUNTIFS(Release_Calendar!$A$2:$A$755,"US_CPI",Release_Calendar!$B$2:$B$755,$A5624)&gt;0,1,0)</f>
        <v>0</v>
      </c>
      <c r="L5624" s="16">
        <f>IF(COUNTIFS(Release_Calendar!$A$2:$A$755,"US_NFP",Release_Calendar!$B$2:$B$755,$A5624)&gt;0,1,0)</f>
        <v>0</v>
      </c>
      <c r="M5624" s="16">
        <f>IF($A5624&lt;Notes!$B$5,"",IF(COUNTIFS(Release_Calendar!$A$2:$A$755,"NZ_CPI",Release_Calendar!$B$2:$B$755,$A5624)&gt;0,1,0))</f>
        <v>0</v>
      </c>
      <c r="N5624" s="16">
        <f>IF($A5624&lt;Notes!$B$5,"",IF(COUNTIFS(Release_Calendar!$A$2:$A$755,"NZ_GDP",Release_Calendar!$B$2:$B$755,$A5624)&gt;0,1,0))</f>
        <v>0</v>
      </c>
      <c r="O5624" s="16">
        <f>IF($A5624&lt;Notes!$B$5,"",IF(COUNTIFS(Release_Calendar!$A$2:$A$755,"NZ_LABOUR",Release_Calendar!$B$2:$B$755,$A5624)&gt;0,1,0))</f>
        <v>0</v>
      </c>
      <c r="P5624" s="16">
        <f t="shared" si="4"/>
        <v>0</v>
      </c>
    </row>
    <row r="5625" ht="15.75" customHeight="1">
      <c r="A5625" s="14">
        <v>44399.0</v>
      </c>
      <c r="B5625" s="15">
        <v>0.2</v>
      </c>
      <c r="C5625" s="15">
        <v>1.03</v>
      </c>
      <c r="D5625" s="15"/>
      <c r="E5625" s="15">
        <v>0.74</v>
      </c>
      <c r="F5625" s="15">
        <f t="shared" si="1"/>
        <v>0.83</v>
      </c>
      <c r="G5625" s="15">
        <f t="shared" si="2"/>
        <v>1.03</v>
      </c>
      <c r="H5625" s="16">
        <v>0.0</v>
      </c>
      <c r="I5625" s="15">
        <f t="shared" si="3"/>
        <v>0.83</v>
      </c>
      <c r="J5625" s="15">
        <v>17.69</v>
      </c>
      <c r="K5625" s="16">
        <f>IF(COUNTIFS(Release_Calendar!$A$2:$A$755,"US_CPI",Release_Calendar!$B$2:$B$755,$A5625)&gt;0,1,0)</f>
        <v>0</v>
      </c>
      <c r="L5625" s="16">
        <f>IF(COUNTIFS(Release_Calendar!$A$2:$A$755,"US_NFP",Release_Calendar!$B$2:$B$755,$A5625)&gt;0,1,0)</f>
        <v>0</v>
      </c>
      <c r="M5625" s="16">
        <f>IF($A5625&lt;Notes!$B$5,"",IF(COUNTIFS(Release_Calendar!$A$2:$A$755,"NZ_CPI",Release_Calendar!$B$2:$B$755,$A5625)&gt;0,1,0))</f>
        <v>0</v>
      </c>
      <c r="N5625" s="16">
        <f>IF($A5625&lt;Notes!$B$5,"",IF(COUNTIFS(Release_Calendar!$A$2:$A$755,"NZ_GDP",Release_Calendar!$B$2:$B$755,$A5625)&gt;0,1,0))</f>
        <v>0</v>
      </c>
      <c r="O5625" s="16">
        <f>IF($A5625&lt;Notes!$B$5,"",IF(COUNTIFS(Release_Calendar!$A$2:$A$755,"NZ_LABOUR",Release_Calendar!$B$2:$B$755,$A5625)&gt;0,1,0))</f>
        <v>0</v>
      </c>
      <c r="P5625" s="16">
        <f t="shared" si="4"/>
        <v>0</v>
      </c>
    </row>
    <row r="5626" ht="15.75" customHeight="1">
      <c r="A5626" s="14">
        <v>44400.0</v>
      </c>
      <c r="B5626" s="15">
        <v>0.22</v>
      </c>
      <c r="C5626" s="15">
        <v>1.04</v>
      </c>
      <c r="D5626" s="15"/>
      <c r="E5626" s="15">
        <v>0.74</v>
      </c>
      <c r="F5626" s="15">
        <f t="shared" si="1"/>
        <v>0.82</v>
      </c>
      <c r="G5626" s="15">
        <f t="shared" si="2"/>
        <v>1.04</v>
      </c>
      <c r="H5626" s="16">
        <v>0.0</v>
      </c>
      <c r="I5626" s="15">
        <f t="shared" si="3"/>
        <v>0.82</v>
      </c>
      <c r="J5626" s="15">
        <v>17.2</v>
      </c>
      <c r="K5626" s="16">
        <f>IF(COUNTIFS(Release_Calendar!$A$2:$A$755,"US_CPI",Release_Calendar!$B$2:$B$755,$A5626)&gt;0,1,0)</f>
        <v>0</v>
      </c>
      <c r="L5626" s="16">
        <f>IF(COUNTIFS(Release_Calendar!$A$2:$A$755,"US_NFP",Release_Calendar!$B$2:$B$755,$A5626)&gt;0,1,0)</f>
        <v>0</v>
      </c>
      <c r="M5626" s="16">
        <f>IF($A5626&lt;Notes!$B$5,"",IF(COUNTIFS(Release_Calendar!$A$2:$A$755,"NZ_CPI",Release_Calendar!$B$2:$B$755,$A5626)&gt;0,1,0))</f>
        <v>0</v>
      </c>
      <c r="N5626" s="16">
        <f>IF($A5626&lt;Notes!$B$5,"",IF(COUNTIFS(Release_Calendar!$A$2:$A$755,"NZ_GDP",Release_Calendar!$B$2:$B$755,$A5626)&gt;0,1,0))</f>
        <v>0</v>
      </c>
      <c r="O5626" s="16">
        <f>IF($A5626&lt;Notes!$B$5,"",IF(COUNTIFS(Release_Calendar!$A$2:$A$755,"NZ_LABOUR",Release_Calendar!$B$2:$B$755,$A5626)&gt;0,1,0))</f>
        <v>0</v>
      </c>
      <c r="P5626" s="16">
        <f t="shared" si="4"/>
        <v>0</v>
      </c>
    </row>
    <row r="5627" ht="15.75" customHeight="1">
      <c r="A5627" s="14">
        <v>44403.0</v>
      </c>
      <c r="B5627" s="15">
        <v>0.22</v>
      </c>
      <c r="C5627" s="15">
        <v>1.06</v>
      </c>
      <c r="D5627" s="15"/>
      <c r="E5627" s="15">
        <v>0.73</v>
      </c>
      <c r="F5627" s="15">
        <f t="shared" si="1"/>
        <v>0.84</v>
      </c>
      <c r="G5627" s="15">
        <f t="shared" si="2"/>
        <v>1.06</v>
      </c>
      <c r="H5627" s="16">
        <v>0.0</v>
      </c>
      <c r="I5627" s="15">
        <f t="shared" si="3"/>
        <v>0.84</v>
      </c>
      <c r="J5627" s="15">
        <v>17.58</v>
      </c>
      <c r="K5627" s="16">
        <f>IF(COUNTIFS(Release_Calendar!$A$2:$A$755,"US_CPI",Release_Calendar!$B$2:$B$755,$A5627)&gt;0,1,0)</f>
        <v>0</v>
      </c>
      <c r="L5627" s="16">
        <f>IF(COUNTIFS(Release_Calendar!$A$2:$A$755,"US_NFP",Release_Calendar!$B$2:$B$755,$A5627)&gt;0,1,0)</f>
        <v>0</v>
      </c>
      <c r="M5627" s="16">
        <f>IF($A5627&lt;Notes!$B$5,"",IF(COUNTIFS(Release_Calendar!$A$2:$A$755,"NZ_CPI",Release_Calendar!$B$2:$B$755,$A5627)&gt;0,1,0))</f>
        <v>0</v>
      </c>
      <c r="N5627" s="16">
        <f>IF($A5627&lt;Notes!$B$5,"",IF(COUNTIFS(Release_Calendar!$A$2:$A$755,"NZ_GDP",Release_Calendar!$B$2:$B$755,$A5627)&gt;0,1,0))</f>
        <v>0</v>
      </c>
      <c r="O5627" s="16">
        <f>IF($A5627&lt;Notes!$B$5,"",IF(COUNTIFS(Release_Calendar!$A$2:$A$755,"NZ_LABOUR",Release_Calendar!$B$2:$B$755,$A5627)&gt;0,1,0))</f>
        <v>0</v>
      </c>
      <c r="P5627" s="16">
        <f t="shared" si="4"/>
        <v>0</v>
      </c>
    </row>
    <row r="5628" ht="15.75" customHeight="1">
      <c r="A5628" s="14">
        <v>44404.0</v>
      </c>
      <c r="B5628" s="15">
        <v>0.2</v>
      </c>
      <c r="C5628" s="15">
        <v>1.05</v>
      </c>
      <c r="D5628" s="15"/>
      <c r="E5628" s="15">
        <v>0.74</v>
      </c>
      <c r="F5628" s="15">
        <f t="shared" si="1"/>
        <v>0.85</v>
      </c>
      <c r="G5628" s="15">
        <f t="shared" si="2"/>
        <v>1.05</v>
      </c>
      <c r="H5628" s="16">
        <v>0.0</v>
      </c>
      <c r="I5628" s="15">
        <f t="shared" si="3"/>
        <v>0.85</v>
      </c>
      <c r="J5628" s="15">
        <v>19.36</v>
      </c>
      <c r="K5628" s="16">
        <f>IF(COUNTIFS(Release_Calendar!$A$2:$A$755,"US_CPI",Release_Calendar!$B$2:$B$755,$A5628)&gt;0,1,0)</f>
        <v>0</v>
      </c>
      <c r="L5628" s="16">
        <f>IF(COUNTIFS(Release_Calendar!$A$2:$A$755,"US_NFP",Release_Calendar!$B$2:$B$755,$A5628)&gt;0,1,0)</f>
        <v>0</v>
      </c>
      <c r="M5628" s="16">
        <f>IF($A5628&lt;Notes!$B$5,"",IF(COUNTIFS(Release_Calendar!$A$2:$A$755,"NZ_CPI",Release_Calendar!$B$2:$B$755,$A5628)&gt;0,1,0))</f>
        <v>0</v>
      </c>
      <c r="N5628" s="16">
        <f>IF($A5628&lt;Notes!$B$5,"",IF(COUNTIFS(Release_Calendar!$A$2:$A$755,"NZ_GDP",Release_Calendar!$B$2:$B$755,$A5628)&gt;0,1,0))</f>
        <v>0</v>
      </c>
      <c r="O5628" s="16">
        <f>IF($A5628&lt;Notes!$B$5,"",IF(COUNTIFS(Release_Calendar!$A$2:$A$755,"NZ_LABOUR",Release_Calendar!$B$2:$B$755,$A5628)&gt;0,1,0))</f>
        <v>0</v>
      </c>
      <c r="P5628" s="16">
        <f t="shared" si="4"/>
        <v>0</v>
      </c>
    </row>
    <row r="5629" ht="15.75" customHeight="1">
      <c r="A5629" s="14">
        <v>44405.0</v>
      </c>
      <c r="B5629" s="15">
        <v>0.2</v>
      </c>
      <c r="C5629" s="15">
        <v>1.04</v>
      </c>
      <c r="D5629" s="15"/>
      <c r="E5629" s="15">
        <v>0.72</v>
      </c>
      <c r="F5629" s="15">
        <f t="shared" si="1"/>
        <v>0.84</v>
      </c>
      <c r="G5629" s="15">
        <f t="shared" si="2"/>
        <v>1.04</v>
      </c>
      <c r="H5629" s="16">
        <v>0.0</v>
      </c>
      <c r="I5629" s="15">
        <f t="shared" si="3"/>
        <v>0.84</v>
      </c>
      <c r="J5629" s="15">
        <v>18.31</v>
      </c>
      <c r="K5629" s="16">
        <f>IF(COUNTIFS(Release_Calendar!$A$2:$A$755,"US_CPI",Release_Calendar!$B$2:$B$755,$A5629)&gt;0,1,0)</f>
        <v>0</v>
      </c>
      <c r="L5629" s="16">
        <f>IF(COUNTIFS(Release_Calendar!$A$2:$A$755,"US_NFP",Release_Calendar!$B$2:$B$755,$A5629)&gt;0,1,0)</f>
        <v>0</v>
      </c>
      <c r="M5629" s="16">
        <f>IF($A5629&lt;Notes!$B$5,"",IF(COUNTIFS(Release_Calendar!$A$2:$A$755,"NZ_CPI",Release_Calendar!$B$2:$B$755,$A5629)&gt;0,1,0))</f>
        <v>0</v>
      </c>
      <c r="N5629" s="16">
        <f>IF($A5629&lt;Notes!$B$5,"",IF(COUNTIFS(Release_Calendar!$A$2:$A$755,"NZ_GDP",Release_Calendar!$B$2:$B$755,$A5629)&gt;0,1,0))</f>
        <v>0</v>
      </c>
      <c r="O5629" s="16">
        <f>IF($A5629&lt;Notes!$B$5,"",IF(COUNTIFS(Release_Calendar!$A$2:$A$755,"NZ_LABOUR",Release_Calendar!$B$2:$B$755,$A5629)&gt;0,1,0))</f>
        <v>0</v>
      </c>
      <c r="P5629" s="16">
        <f t="shared" si="4"/>
        <v>0</v>
      </c>
    </row>
    <row r="5630" ht="15.75" customHeight="1">
      <c r="A5630" s="14">
        <v>44406.0</v>
      </c>
      <c r="B5630" s="15">
        <v>0.2</v>
      </c>
      <c r="C5630" s="15">
        <v>1.03</v>
      </c>
      <c r="D5630" s="15"/>
      <c r="E5630" s="15">
        <v>0.69</v>
      </c>
      <c r="F5630" s="15">
        <f t="shared" si="1"/>
        <v>0.83</v>
      </c>
      <c r="G5630" s="15">
        <f t="shared" si="2"/>
        <v>1.03</v>
      </c>
      <c r="H5630" s="16">
        <v>0.0</v>
      </c>
      <c r="I5630" s="15">
        <f t="shared" si="3"/>
        <v>0.83</v>
      </c>
      <c r="J5630" s="15">
        <v>17.7</v>
      </c>
      <c r="K5630" s="16">
        <f>IF(COUNTIFS(Release_Calendar!$A$2:$A$755,"US_CPI",Release_Calendar!$B$2:$B$755,$A5630)&gt;0,1,0)</f>
        <v>0</v>
      </c>
      <c r="L5630" s="16">
        <f>IF(COUNTIFS(Release_Calendar!$A$2:$A$755,"US_NFP",Release_Calendar!$B$2:$B$755,$A5630)&gt;0,1,0)</f>
        <v>0</v>
      </c>
      <c r="M5630" s="16">
        <f>IF($A5630&lt;Notes!$B$5,"",IF(COUNTIFS(Release_Calendar!$A$2:$A$755,"NZ_CPI",Release_Calendar!$B$2:$B$755,$A5630)&gt;0,1,0))</f>
        <v>0</v>
      </c>
      <c r="N5630" s="16">
        <f>IF($A5630&lt;Notes!$B$5,"",IF(COUNTIFS(Release_Calendar!$A$2:$A$755,"NZ_GDP",Release_Calendar!$B$2:$B$755,$A5630)&gt;0,1,0))</f>
        <v>0</v>
      </c>
      <c r="O5630" s="16">
        <f>IF($A5630&lt;Notes!$B$5,"",IF(COUNTIFS(Release_Calendar!$A$2:$A$755,"NZ_LABOUR",Release_Calendar!$B$2:$B$755,$A5630)&gt;0,1,0))</f>
        <v>0</v>
      </c>
      <c r="P5630" s="16">
        <f t="shared" si="4"/>
        <v>0</v>
      </c>
    </row>
    <row r="5631" ht="15.75" customHeight="1">
      <c r="A5631" s="14">
        <v>44407.0</v>
      </c>
      <c r="B5631" s="15">
        <v>0.19</v>
      </c>
      <c r="C5631" s="15">
        <v>1.05</v>
      </c>
      <c r="D5631" s="15"/>
      <c r="E5631" s="15">
        <v>0.71</v>
      </c>
      <c r="F5631" s="15">
        <f t="shared" si="1"/>
        <v>0.86</v>
      </c>
      <c r="G5631" s="15">
        <f t="shared" si="2"/>
        <v>1.05</v>
      </c>
      <c r="H5631" s="16">
        <v>0.0</v>
      </c>
      <c r="I5631" s="15">
        <f t="shared" si="3"/>
        <v>0.86</v>
      </c>
      <c r="J5631" s="15">
        <v>18.24</v>
      </c>
      <c r="K5631" s="16">
        <f>IF(COUNTIFS(Release_Calendar!$A$2:$A$755,"US_CPI",Release_Calendar!$B$2:$B$755,$A5631)&gt;0,1,0)</f>
        <v>0</v>
      </c>
      <c r="L5631" s="16">
        <f>IF(COUNTIFS(Release_Calendar!$A$2:$A$755,"US_NFP",Release_Calendar!$B$2:$B$755,$A5631)&gt;0,1,0)</f>
        <v>0</v>
      </c>
      <c r="M5631" s="16">
        <f>IF($A5631&lt;Notes!$B$5,"",IF(COUNTIFS(Release_Calendar!$A$2:$A$755,"NZ_CPI",Release_Calendar!$B$2:$B$755,$A5631)&gt;0,1,0))</f>
        <v>0</v>
      </c>
      <c r="N5631" s="16">
        <f>IF($A5631&lt;Notes!$B$5,"",IF(COUNTIFS(Release_Calendar!$A$2:$A$755,"NZ_GDP",Release_Calendar!$B$2:$B$755,$A5631)&gt;0,1,0))</f>
        <v>0</v>
      </c>
      <c r="O5631" s="16">
        <f>IF($A5631&lt;Notes!$B$5,"",IF(COUNTIFS(Release_Calendar!$A$2:$A$755,"NZ_LABOUR",Release_Calendar!$B$2:$B$755,$A5631)&gt;0,1,0))</f>
        <v>0</v>
      </c>
      <c r="P5631" s="16">
        <f t="shared" si="4"/>
        <v>0</v>
      </c>
    </row>
    <row r="5632" ht="15.75" customHeight="1">
      <c r="A5632" s="14">
        <v>44410.0</v>
      </c>
      <c r="B5632" s="15">
        <v>0.17</v>
      </c>
      <c r="C5632" s="15">
        <v>1.05</v>
      </c>
      <c r="D5632" s="15"/>
      <c r="E5632" s="15">
        <v>0.72</v>
      </c>
      <c r="F5632" s="15">
        <f t="shared" si="1"/>
        <v>0.88</v>
      </c>
      <c r="G5632" s="15">
        <f t="shared" si="2"/>
        <v>1.05</v>
      </c>
      <c r="H5632" s="16">
        <v>0.0</v>
      </c>
      <c r="I5632" s="15">
        <f t="shared" si="3"/>
        <v>0.88</v>
      </c>
      <c r="J5632" s="15">
        <v>19.46</v>
      </c>
      <c r="K5632" s="16">
        <f>IF(COUNTIFS(Release_Calendar!$A$2:$A$755,"US_CPI",Release_Calendar!$B$2:$B$755,$A5632)&gt;0,1,0)</f>
        <v>0</v>
      </c>
      <c r="L5632" s="16">
        <f>IF(COUNTIFS(Release_Calendar!$A$2:$A$755,"US_NFP",Release_Calendar!$B$2:$B$755,$A5632)&gt;0,1,0)</f>
        <v>0</v>
      </c>
      <c r="M5632" s="16">
        <f>IF($A5632&lt;Notes!$B$5,"",IF(COUNTIFS(Release_Calendar!$A$2:$A$755,"NZ_CPI",Release_Calendar!$B$2:$B$755,$A5632)&gt;0,1,0))</f>
        <v>0</v>
      </c>
      <c r="N5632" s="16">
        <f>IF($A5632&lt;Notes!$B$5,"",IF(COUNTIFS(Release_Calendar!$A$2:$A$755,"NZ_GDP",Release_Calendar!$B$2:$B$755,$A5632)&gt;0,1,0))</f>
        <v>0</v>
      </c>
      <c r="O5632" s="16">
        <f>IF($A5632&lt;Notes!$B$5,"",IF(COUNTIFS(Release_Calendar!$A$2:$A$755,"NZ_LABOUR",Release_Calendar!$B$2:$B$755,$A5632)&gt;0,1,0))</f>
        <v>0</v>
      </c>
      <c r="P5632" s="16">
        <f t="shared" si="4"/>
        <v>0</v>
      </c>
    </row>
    <row r="5633" ht="15.75" customHeight="1">
      <c r="A5633" s="14">
        <v>44411.0</v>
      </c>
      <c r="B5633" s="15">
        <v>0.17</v>
      </c>
      <c r="C5633" s="15">
        <v>1.12</v>
      </c>
      <c r="D5633" s="15"/>
      <c r="E5633" s="15">
        <v>0.77</v>
      </c>
      <c r="F5633" s="15">
        <f t="shared" si="1"/>
        <v>0.95</v>
      </c>
      <c r="G5633" s="15">
        <f t="shared" si="2"/>
        <v>1.12</v>
      </c>
      <c r="H5633" s="16">
        <v>0.0</v>
      </c>
      <c r="I5633" s="15">
        <f t="shared" si="3"/>
        <v>0.95</v>
      </c>
      <c r="J5633" s="15">
        <v>18.04</v>
      </c>
      <c r="K5633" s="16">
        <f>IF(COUNTIFS(Release_Calendar!$A$2:$A$755,"US_CPI",Release_Calendar!$B$2:$B$755,$A5633)&gt;0,1,0)</f>
        <v>0</v>
      </c>
      <c r="L5633" s="16">
        <f>IF(COUNTIFS(Release_Calendar!$A$2:$A$755,"US_NFP",Release_Calendar!$B$2:$B$755,$A5633)&gt;0,1,0)</f>
        <v>0</v>
      </c>
      <c r="M5633" s="16">
        <f>IF($A5633&lt;Notes!$B$5,"",IF(COUNTIFS(Release_Calendar!$A$2:$A$755,"NZ_CPI",Release_Calendar!$B$2:$B$755,$A5633)&gt;0,1,0))</f>
        <v>0</v>
      </c>
      <c r="N5633" s="16">
        <f>IF($A5633&lt;Notes!$B$5,"",IF(COUNTIFS(Release_Calendar!$A$2:$A$755,"NZ_GDP",Release_Calendar!$B$2:$B$755,$A5633)&gt;0,1,0))</f>
        <v>0</v>
      </c>
      <c r="O5633" s="16">
        <f>IF($A5633&lt;Notes!$B$5,"",IF(COUNTIFS(Release_Calendar!$A$2:$A$755,"NZ_LABOUR",Release_Calendar!$B$2:$B$755,$A5633)&gt;0,1,0))</f>
        <v>0</v>
      </c>
      <c r="P5633" s="16">
        <f t="shared" si="4"/>
        <v>0</v>
      </c>
    </row>
    <row r="5634" ht="15.75" customHeight="1">
      <c r="A5634" s="14">
        <v>44412.0</v>
      </c>
      <c r="B5634" s="15">
        <v>0.17</v>
      </c>
      <c r="C5634" s="15">
        <v>1.23</v>
      </c>
      <c r="D5634" s="15"/>
      <c r="E5634" s="15">
        <v>0.9</v>
      </c>
      <c r="F5634" s="15">
        <f t="shared" si="1"/>
        <v>1.06</v>
      </c>
      <c r="G5634" s="15">
        <f t="shared" si="2"/>
        <v>1.23</v>
      </c>
      <c r="H5634" s="16">
        <v>0.0</v>
      </c>
      <c r="I5634" s="15">
        <f t="shared" si="3"/>
        <v>1.06</v>
      </c>
      <c r="J5634" s="15">
        <v>17.97</v>
      </c>
      <c r="K5634" s="16">
        <f>IF(COUNTIFS(Release_Calendar!$A$2:$A$755,"US_CPI",Release_Calendar!$B$2:$B$755,$A5634)&gt;0,1,0)</f>
        <v>0</v>
      </c>
      <c r="L5634" s="16">
        <f>IF(COUNTIFS(Release_Calendar!$A$2:$A$755,"US_NFP",Release_Calendar!$B$2:$B$755,$A5634)&gt;0,1,0)</f>
        <v>0</v>
      </c>
      <c r="M5634" s="16">
        <f>IF($A5634&lt;Notes!$B$5,"",IF(COUNTIFS(Release_Calendar!$A$2:$A$755,"NZ_CPI",Release_Calendar!$B$2:$B$755,$A5634)&gt;0,1,0))</f>
        <v>0</v>
      </c>
      <c r="N5634" s="16">
        <f>IF($A5634&lt;Notes!$B$5,"",IF(COUNTIFS(Release_Calendar!$A$2:$A$755,"NZ_GDP",Release_Calendar!$B$2:$B$755,$A5634)&gt;0,1,0))</f>
        <v>0</v>
      </c>
      <c r="O5634" s="16">
        <f>IF($A5634&lt;Notes!$B$5,"",IF(COUNTIFS(Release_Calendar!$A$2:$A$755,"NZ_LABOUR",Release_Calendar!$B$2:$B$755,$A5634)&gt;0,1,0))</f>
        <v>1</v>
      </c>
      <c r="P5634" s="16">
        <f t="shared" si="4"/>
        <v>1</v>
      </c>
    </row>
    <row r="5635" ht="15.75" customHeight="1">
      <c r="A5635" s="14">
        <v>44413.0</v>
      </c>
      <c r="B5635" s="15">
        <v>0.21</v>
      </c>
      <c r="C5635" s="15">
        <v>1.23</v>
      </c>
      <c r="D5635" s="15"/>
      <c r="E5635" s="15">
        <v>0.91</v>
      </c>
      <c r="F5635" s="15">
        <f t="shared" si="1"/>
        <v>1.02</v>
      </c>
      <c r="G5635" s="15">
        <f t="shared" si="2"/>
        <v>1.23</v>
      </c>
      <c r="H5635" s="16">
        <v>0.0</v>
      </c>
      <c r="I5635" s="15">
        <f t="shared" si="3"/>
        <v>1.02</v>
      </c>
      <c r="J5635" s="15">
        <v>17.28</v>
      </c>
      <c r="K5635" s="16">
        <f>IF(COUNTIFS(Release_Calendar!$A$2:$A$755,"US_CPI",Release_Calendar!$B$2:$B$755,$A5635)&gt;0,1,0)</f>
        <v>0</v>
      </c>
      <c r="L5635" s="16">
        <f>IF(COUNTIFS(Release_Calendar!$A$2:$A$755,"US_NFP",Release_Calendar!$B$2:$B$755,$A5635)&gt;0,1,0)</f>
        <v>0</v>
      </c>
      <c r="M5635" s="16">
        <f>IF($A5635&lt;Notes!$B$5,"",IF(COUNTIFS(Release_Calendar!$A$2:$A$755,"NZ_CPI",Release_Calendar!$B$2:$B$755,$A5635)&gt;0,1,0))</f>
        <v>0</v>
      </c>
      <c r="N5635" s="16">
        <f>IF($A5635&lt;Notes!$B$5,"",IF(COUNTIFS(Release_Calendar!$A$2:$A$755,"NZ_GDP",Release_Calendar!$B$2:$B$755,$A5635)&gt;0,1,0))</f>
        <v>0</v>
      </c>
      <c r="O5635" s="16">
        <f>IF($A5635&lt;Notes!$B$5,"",IF(COUNTIFS(Release_Calendar!$A$2:$A$755,"NZ_LABOUR",Release_Calendar!$B$2:$B$755,$A5635)&gt;0,1,0))</f>
        <v>0</v>
      </c>
      <c r="P5635" s="16">
        <f t="shared" si="4"/>
        <v>0</v>
      </c>
    </row>
    <row r="5636" ht="15.75" customHeight="1">
      <c r="A5636" s="14">
        <v>44414.0</v>
      </c>
      <c r="B5636" s="15">
        <v>0.21</v>
      </c>
      <c r="C5636" s="15">
        <v>1.23</v>
      </c>
      <c r="D5636" s="15"/>
      <c r="E5636" s="15">
        <v>0.91</v>
      </c>
      <c r="F5636" s="15">
        <f t="shared" si="1"/>
        <v>1.02</v>
      </c>
      <c r="G5636" s="15">
        <f t="shared" si="2"/>
        <v>1.23</v>
      </c>
      <c r="H5636" s="16">
        <v>0.0</v>
      </c>
      <c r="I5636" s="15">
        <f t="shared" si="3"/>
        <v>1.02</v>
      </c>
      <c r="J5636" s="15">
        <v>16.15</v>
      </c>
      <c r="K5636" s="16">
        <f>IF(COUNTIFS(Release_Calendar!$A$2:$A$755,"US_CPI",Release_Calendar!$B$2:$B$755,$A5636)&gt;0,1,0)</f>
        <v>0</v>
      </c>
      <c r="L5636" s="16">
        <f>IF(COUNTIFS(Release_Calendar!$A$2:$A$755,"US_NFP",Release_Calendar!$B$2:$B$755,$A5636)&gt;0,1,0)</f>
        <v>1</v>
      </c>
      <c r="M5636" s="16">
        <f>IF($A5636&lt;Notes!$B$5,"",IF(COUNTIFS(Release_Calendar!$A$2:$A$755,"NZ_CPI",Release_Calendar!$B$2:$B$755,$A5636)&gt;0,1,0))</f>
        <v>0</v>
      </c>
      <c r="N5636" s="16">
        <f>IF($A5636&lt;Notes!$B$5,"",IF(COUNTIFS(Release_Calendar!$A$2:$A$755,"NZ_GDP",Release_Calendar!$B$2:$B$755,$A5636)&gt;0,1,0))</f>
        <v>0</v>
      </c>
      <c r="O5636" s="16">
        <f>IF($A5636&lt;Notes!$B$5,"",IF(COUNTIFS(Release_Calendar!$A$2:$A$755,"NZ_LABOUR",Release_Calendar!$B$2:$B$755,$A5636)&gt;0,1,0))</f>
        <v>0</v>
      </c>
      <c r="P5636" s="16">
        <f t="shared" si="4"/>
        <v>1</v>
      </c>
    </row>
    <row r="5637" ht="15.75" customHeight="1">
      <c r="A5637" s="14">
        <v>44417.0</v>
      </c>
      <c r="B5637" s="15">
        <v>0.23</v>
      </c>
      <c r="C5637" s="15">
        <v>1.27</v>
      </c>
      <c r="D5637" s="15"/>
      <c r="E5637" s="15">
        <v>0.93</v>
      </c>
      <c r="F5637" s="15">
        <f t="shared" si="1"/>
        <v>1.04</v>
      </c>
      <c r="G5637" s="15">
        <f t="shared" si="2"/>
        <v>1.27</v>
      </c>
      <c r="H5637" s="16">
        <v>0.0</v>
      </c>
      <c r="I5637" s="15">
        <f t="shared" si="3"/>
        <v>1.04</v>
      </c>
      <c r="J5637" s="15">
        <v>16.72</v>
      </c>
      <c r="K5637" s="16">
        <f>IF(COUNTIFS(Release_Calendar!$A$2:$A$755,"US_CPI",Release_Calendar!$B$2:$B$755,$A5637)&gt;0,1,0)</f>
        <v>0</v>
      </c>
      <c r="L5637" s="16">
        <f>IF(COUNTIFS(Release_Calendar!$A$2:$A$755,"US_NFP",Release_Calendar!$B$2:$B$755,$A5637)&gt;0,1,0)</f>
        <v>0</v>
      </c>
      <c r="M5637" s="16">
        <f>IF($A5637&lt;Notes!$B$5,"",IF(COUNTIFS(Release_Calendar!$A$2:$A$755,"NZ_CPI",Release_Calendar!$B$2:$B$755,$A5637)&gt;0,1,0))</f>
        <v>0</v>
      </c>
      <c r="N5637" s="16">
        <f>IF($A5637&lt;Notes!$B$5,"",IF(COUNTIFS(Release_Calendar!$A$2:$A$755,"NZ_GDP",Release_Calendar!$B$2:$B$755,$A5637)&gt;0,1,0))</f>
        <v>0</v>
      </c>
      <c r="O5637" s="16">
        <f>IF($A5637&lt;Notes!$B$5,"",IF(COUNTIFS(Release_Calendar!$A$2:$A$755,"NZ_LABOUR",Release_Calendar!$B$2:$B$755,$A5637)&gt;0,1,0))</f>
        <v>0</v>
      </c>
      <c r="P5637" s="16">
        <f t="shared" si="4"/>
        <v>0</v>
      </c>
    </row>
    <row r="5638" ht="15.75" customHeight="1">
      <c r="A5638" s="14">
        <v>44418.0</v>
      </c>
      <c r="B5638" s="15">
        <v>0.24</v>
      </c>
      <c r="C5638" s="15">
        <v>1.28</v>
      </c>
      <c r="D5638" s="15"/>
      <c r="E5638" s="15">
        <v>0.96</v>
      </c>
      <c r="F5638" s="15">
        <f t="shared" si="1"/>
        <v>1.04</v>
      </c>
      <c r="G5638" s="15">
        <f t="shared" si="2"/>
        <v>1.28</v>
      </c>
      <c r="H5638" s="16">
        <v>0.0</v>
      </c>
      <c r="I5638" s="15">
        <f t="shared" si="3"/>
        <v>1.04</v>
      </c>
      <c r="J5638" s="15">
        <v>16.79</v>
      </c>
      <c r="K5638" s="16">
        <f>IF(COUNTIFS(Release_Calendar!$A$2:$A$755,"US_CPI",Release_Calendar!$B$2:$B$755,$A5638)&gt;0,1,0)</f>
        <v>0</v>
      </c>
      <c r="L5638" s="16">
        <f>IF(COUNTIFS(Release_Calendar!$A$2:$A$755,"US_NFP",Release_Calendar!$B$2:$B$755,$A5638)&gt;0,1,0)</f>
        <v>0</v>
      </c>
      <c r="M5638" s="16">
        <f>IF($A5638&lt;Notes!$B$5,"",IF(COUNTIFS(Release_Calendar!$A$2:$A$755,"NZ_CPI",Release_Calendar!$B$2:$B$755,$A5638)&gt;0,1,0))</f>
        <v>0</v>
      </c>
      <c r="N5638" s="16">
        <f>IF($A5638&lt;Notes!$B$5,"",IF(COUNTIFS(Release_Calendar!$A$2:$A$755,"NZ_GDP",Release_Calendar!$B$2:$B$755,$A5638)&gt;0,1,0))</f>
        <v>0</v>
      </c>
      <c r="O5638" s="16">
        <f>IF($A5638&lt;Notes!$B$5,"",IF(COUNTIFS(Release_Calendar!$A$2:$A$755,"NZ_LABOUR",Release_Calendar!$B$2:$B$755,$A5638)&gt;0,1,0))</f>
        <v>0</v>
      </c>
      <c r="P5638" s="16">
        <f t="shared" si="4"/>
        <v>0</v>
      </c>
    </row>
    <row r="5639" ht="15.75" customHeight="1">
      <c r="A5639" s="14">
        <v>44419.0</v>
      </c>
      <c r="B5639" s="15">
        <v>0.23</v>
      </c>
      <c r="C5639" s="15">
        <v>1.31</v>
      </c>
      <c r="D5639" s="15"/>
      <c r="E5639" s="15">
        <v>0.98</v>
      </c>
      <c r="F5639" s="15">
        <f t="shared" si="1"/>
        <v>1.08</v>
      </c>
      <c r="G5639" s="15">
        <f t="shared" si="2"/>
        <v>1.31</v>
      </c>
      <c r="H5639" s="16">
        <v>0.0</v>
      </c>
      <c r="I5639" s="15">
        <f t="shared" si="3"/>
        <v>1.08</v>
      </c>
      <c r="J5639" s="15">
        <v>16.06</v>
      </c>
      <c r="K5639" s="16">
        <f>IF(COUNTIFS(Release_Calendar!$A$2:$A$755,"US_CPI",Release_Calendar!$B$2:$B$755,$A5639)&gt;0,1,0)</f>
        <v>1</v>
      </c>
      <c r="L5639" s="16">
        <f>IF(COUNTIFS(Release_Calendar!$A$2:$A$755,"US_NFP",Release_Calendar!$B$2:$B$755,$A5639)&gt;0,1,0)</f>
        <v>0</v>
      </c>
      <c r="M5639" s="16">
        <f>IF($A5639&lt;Notes!$B$5,"",IF(COUNTIFS(Release_Calendar!$A$2:$A$755,"NZ_CPI",Release_Calendar!$B$2:$B$755,$A5639)&gt;0,1,0))</f>
        <v>0</v>
      </c>
      <c r="N5639" s="16">
        <f>IF($A5639&lt;Notes!$B$5,"",IF(COUNTIFS(Release_Calendar!$A$2:$A$755,"NZ_GDP",Release_Calendar!$B$2:$B$755,$A5639)&gt;0,1,0))</f>
        <v>0</v>
      </c>
      <c r="O5639" s="16">
        <f>IF($A5639&lt;Notes!$B$5,"",IF(COUNTIFS(Release_Calendar!$A$2:$A$755,"NZ_LABOUR",Release_Calendar!$B$2:$B$755,$A5639)&gt;0,1,0))</f>
        <v>0</v>
      </c>
      <c r="P5639" s="16">
        <f t="shared" si="4"/>
        <v>1</v>
      </c>
    </row>
    <row r="5640" ht="15.75" customHeight="1">
      <c r="A5640" s="14">
        <v>44420.0</v>
      </c>
      <c r="B5640" s="15">
        <v>0.23</v>
      </c>
      <c r="C5640" s="15">
        <v>1.31</v>
      </c>
      <c r="D5640" s="15"/>
      <c r="E5640" s="15">
        <v>0.98</v>
      </c>
      <c r="F5640" s="15">
        <f t="shared" si="1"/>
        <v>1.08</v>
      </c>
      <c r="G5640" s="15">
        <f t="shared" si="2"/>
        <v>1.31</v>
      </c>
      <c r="H5640" s="16">
        <v>0.0</v>
      </c>
      <c r="I5640" s="15">
        <f t="shared" si="3"/>
        <v>1.08</v>
      </c>
      <c r="J5640" s="15">
        <v>15.59</v>
      </c>
      <c r="K5640" s="16">
        <f>IF(COUNTIFS(Release_Calendar!$A$2:$A$755,"US_CPI",Release_Calendar!$B$2:$B$755,$A5640)&gt;0,1,0)</f>
        <v>0</v>
      </c>
      <c r="L5640" s="16">
        <f>IF(COUNTIFS(Release_Calendar!$A$2:$A$755,"US_NFP",Release_Calendar!$B$2:$B$755,$A5640)&gt;0,1,0)</f>
        <v>0</v>
      </c>
      <c r="M5640" s="16">
        <f>IF($A5640&lt;Notes!$B$5,"",IF(COUNTIFS(Release_Calendar!$A$2:$A$755,"NZ_CPI",Release_Calendar!$B$2:$B$755,$A5640)&gt;0,1,0))</f>
        <v>0</v>
      </c>
      <c r="N5640" s="16">
        <f>IF($A5640&lt;Notes!$B$5,"",IF(COUNTIFS(Release_Calendar!$A$2:$A$755,"NZ_GDP",Release_Calendar!$B$2:$B$755,$A5640)&gt;0,1,0))</f>
        <v>0</v>
      </c>
      <c r="O5640" s="16">
        <f>IF($A5640&lt;Notes!$B$5,"",IF(COUNTIFS(Release_Calendar!$A$2:$A$755,"NZ_LABOUR",Release_Calendar!$B$2:$B$755,$A5640)&gt;0,1,0))</f>
        <v>0</v>
      </c>
      <c r="P5640" s="16">
        <f t="shared" si="4"/>
        <v>0</v>
      </c>
    </row>
    <row r="5641" ht="15.75" customHeight="1">
      <c r="A5641" s="14">
        <v>44421.0</v>
      </c>
      <c r="B5641" s="15">
        <v>0.23</v>
      </c>
      <c r="C5641" s="15">
        <v>1.33</v>
      </c>
      <c r="D5641" s="15"/>
      <c r="E5641" s="15">
        <v>1.0</v>
      </c>
      <c r="F5641" s="15">
        <f t="shared" si="1"/>
        <v>1.1</v>
      </c>
      <c r="G5641" s="15">
        <f t="shared" si="2"/>
        <v>1.33</v>
      </c>
      <c r="H5641" s="16">
        <v>0.0</v>
      </c>
      <c r="I5641" s="15">
        <f t="shared" si="3"/>
        <v>1.1</v>
      </c>
      <c r="J5641" s="15">
        <v>15.45</v>
      </c>
      <c r="K5641" s="16">
        <f>IF(COUNTIFS(Release_Calendar!$A$2:$A$755,"US_CPI",Release_Calendar!$B$2:$B$755,$A5641)&gt;0,1,0)</f>
        <v>0</v>
      </c>
      <c r="L5641" s="16">
        <f>IF(COUNTIFS(Release_Calendar!$A$2:$A$755,"US_NFP",Release_Calendar!$B$2:$B$755,$A5641)&gt;0,1,0)</f>
        <v>0</v>
      </c>
      <c r="M5641" s="16">
        <f>IF($A5641&lt;Notes!$B$5,"",IF(COUNTIFS(Release_Calendar!$A$2:$A$755,"NZ_CPI",Release_Calendar!$B$2:$B$755,$A5641)&gt;0,1,0))</f>
        <v>0</v>
      </c>
      <c r="N5641" s="16">
        <f>IF($A5641&lt;Notes!$B$5,"",IF(COUNTIFS(Release_Calendar!$A$2:$A$755,"NZ_GDP",Release_Calendar!$B$2:$B$755,$A5641)&gt;0,1,0))</f>
        <v>0</v>
      </c>
      <c r="O5641" s="16">
        <f>IF($A5641&lt;Notes!$B$5,"",IF(COUNTIFS(Release_Calendar!$A$2:$A$755,"NZ_LABOUR",Release_Calendar!$B$2:$B$755,$A5641)&gt;0,1,0))</f>
        <v>0</v>
      </c>
      <c r="P5641" s="16">
        <f t="shared" si="4"/>
        <v>0</v>
      </c>
    </row>
    <row r="5642" ht="15.75" customHeight="1">
      <c r="A5642" s="14">
        <v>44424.0</v>
      </c>
      <c r="B5642" s="15">
        <v>0.21</v>
      </c>
      <c r="C5642" s="15">
        <v>1.36</v>
      </c>
      <c r="D5642" s="15"/>
      <c r="E5642" s="15">
        <v>1.02</v>
      </c>
      <c r="F5642" s="15">
        <f t="shared" si="1"/>
        <v>1.15</v>
      </c>
      <c r="G5642" s="15">
        <f t="shared" si="2"/>
        <v>1.36</v>
      </c>
      <c r="H5642" s="16">
        <v>0.0</v>
      </c>
      <c r="I5642" s="15">
        <f t="shared" si="3"/>
        <v>1.15</v>
      </c>
      <c r="J5642" s="15">
        <v>16.12</v>
      </c>
      <c r="K5642" s="16">
        <f>IF(COUNTIFS(Release_Calendar!$A$2:$A$755,"US_CPI",Release_Calendar!$B$2:$B$755,$A5642)&gt;0,1,0)</f>
        <v>0</v>
      </c>
      <c r="L5642" s="16">
        <f>IF(COUNTIFS(Release_Calendar!$A$2:$A$755,"US_NFP",Release_Calendar!$B$2:$B$755,$A5642)&gt;0,1,0)</f>
        <v>0</v>
      </c>
      <c r="M5642" s="16">
        <f>IF($A5642&lt;Notes!$B$5,"",IF(COUNTIFS(Release_Calendar!$A$2:$A$755,"NZ_CPI",Release_Calendar!$B$2:$B$755,$A5642)&gt;0,1,0))</f>
        <v>0</v>
      </c>
      <c r="N5642" s="16">
        <f>IF($A5642&lt;Notes!$B$5,"",IF(COUNTIFS(Release_Calendar!$A$2:$A$755,"NZ_GDP",Release_Calendar!$B$2:$B$755,$A5642)&gt;0,1,0))</f>
        <v>0</v>
      </c>
      <c r="O5642" s="16">
        <f>IF($A5642&lt;Notes!$B$5,"",IF(COUNTIFS(Release_Calendar!$A$2:$A$755,"NZ_LABOUR",Release_Calendar!$B$2:$B$755,$A5642)&gt;0,1,0))</f>
        <v>0</v>
      </c>
      <c r="P5642" s="16">
        <f t="shared" si="4"/>
        <v>0</v>
      </c>
    </row>
    <row r="5643" ht="15.75" customHeight="1">
      <c r="A5643" s="14">
        <v>44425.0</v>
      </c>
      <c r="B5643" s="15">
        <v>0.23</v>
      </c>
      <c r="C5643" s="15">
        <v>1.25</v>
      </c>
      <c r="D5643" s="15"/>
      <c r="E5643" s="15">
        <v>0.92</v>
      </c>
      <c r="F5643" s="15">
        <f t="shared" si="1"/>
        <v>1.02</v>
      </c>
      <c r="G5643" s="15">
        <f t="shared" si="2"/>
        <v>1.25</v>
      </c>
      <c r="H5643" s="16">
        <v>0.0</v>
      </c>
      <c r="I5643" s="15">
        <f t="shared" si="3"/>
        <v>1.02</v>
      </c>
      <c r="J5643" s="15">
        <v>17.91</v>
      </c>
      <c r="K5643" s="16">
        <f>IF(COUNTIFS(Release_Calendar!$A$2:$A$755,"US_CPI",Release_Calendar!$B$2:$B$755,$A5643)&gt;0,1,0)</f>
        <v>0</v>
      </c>
      <c r="L5643" s="16">
        <f>IF(COUNTIFS(Release_Calendar!$A$2:$A$755,"US_NFP",Release_Calendar!$B$2:$B$755,$A5643)&gt;0,1,0)</f>
        <v>0</v>
      </c>
      <c r="M5643" s="16">
        <f>IF($A5643&lt;Notes!$B$5,"",IF(COUNTIFS(Release_Calendar!$A$2:$A$755,"NZ_CPI",Release_Calendar!$B$2:$B$755,$A5643)&gt;0,1,0))</f>
        <v>0</v>
      </c>
      <c r="N5643" s="16">
        <f>IF($A5643&lt;Notes!$B$5,"",IF(COUNTIFS(Release_Calendar!$A$2:$A$755,"NZ_GDP",Release_Calendar!$B$2:$B$755,$A5643)&gt;0,1,0))</f>
        <v>0</v>
      </c>
      <c r="O5643" s="16">
        <f>IF($A5643&lt;Notes!$B$5,"",IF(COUNTIFS(Release_Calendar!$A$2:$A$755,"NZ_LABOUR",Release_Calendar!$B$2:$B$755,$A5643)&gt;0,1,0))</f>
        <v>0</v>
      </c>
      <c r="P5643" s="16">
        <f t="shared" si="4"/>
        <v>0</v>
      </c>
    </row>
    <row r="5644" ht="15.75" customHeight="1">
      <c r="A5644" s="14">
        <v>44426.0</v>
      </c>
      <c r="B5644" s="15">
        <v>0.23</v>
      </c>
      <c r="C5644" s="15">
        <v>1.25</v>
      </c>
      <c r="D5644" s="15"/>
      <c r="E5644" s="15">
        <v>0.93</v>
      </c>
      <c r="F5644" s="15">
        <f t="shared" si="1"/>
        <v>1.02</v>
      </c>
      <c r="G5644" s="15">
        <f t="shared" si="2"/>
        <v>1.25</v>
      </c>
      <c r="H5644" s="16">
        <v>0.0</v>
      </c>
      <c r="I5644" s="15">
        <f t="shared" si="3"/>
        <v>1.02</v>
      </c>
      <c r="J5644" s="15">
        <v>21.57</v>
      </c>
      <c r="K5644" s="16">
        <f>IF(COUNTIFS(Release_Calendar!$A$2:$A$755,"US_CPI",Release_Calendar!$B$2:$B$755,$A5644)&gt;0,1,0)</f>
        <v>0</v>
      </c>
      <c r="L5644" s="16">
        <f>IF(COUNTIFS(Release_Calendar!$A$2:$A$755,"US_NFP",Release_Calendar!$B$2:$B$755,$A5644)&gt;0,1,0)</f>
        <v>0</v>
      </c>
      <c r="M5644" s="16">
        <f>IF($A5644&lt;Notes!$B$5,"",IF(COUNTIFS(Release_Calendar!$A$2:$A$755,"NZ_CPI",Release_Calendar!$B$2:$B$755,$A5644)&gt;0,1,0))</f>
        <v>0</v>
      </c>
      <c r="N5644" s="16">
        <f>IF($A5644&lt;Notes!$B$5,"",IF(COUNTIFS(Release_Calendar!$A$2:$A$755,"NZ_GDP",Release_Calendar!$B$2:$B$755,$A5644)&gt;0,1,0))</f>
        <v>0</v>
      </c>
      <c r="O5644" s="16">
        <f>IF($A5644&lt;Notes!$B$5,"",IF(COUNTIFS(Release_Calendar!$A$2:$A$755,"NZ_LABOUR",Release_Calendar!$B$2:$B$755,$A5644)&gt;0,1,0))</f>
        <v>0</v>
      </c>
      <c r="P5644" s="16">
        <f t="shared" si="4"/>
        <v>0</v>
      </c>
    </row>
    <row r="5645" ht="15.75" customHeight="1">
      <c r="A5645" s="14">
        <v>44427.0</v>
      </c>
      <c r="B5645" s="15">
        <v>0.22</v>
      </c>
      <c r="C5645" s="15">
        <v>1.21</v>
      </c>
      <c r="D5645" s="15"/>
      <c r="E5645" s="15">
        <v>0.88</v>
      </c>
      <c r="F5645" s="15">
        <f t="shared" si="1"/>
        <v>0.99</v>
      </c>
      <c r="G5645" s="15">
        <f t="shared" si="2"/>
        <v>1.21</v>
      </c>
      <c r="H5645" s="16">
        <v>0.0</v>
      </c>
      <c r="I5645" s="15">
        <f t="shared" si="3"/>
        <v>0.99</v>
      </c>
      <c r="J5645" s="15">
        <v>21.67</v>
      </c>
      <c r="K5645" s="16">
        <f>IF(COUNTIFS(Release_Calendar!$A$2:$A$755,"US_CPI",Release_Calendar!$B$2:$B$755,$A5645)&gt;0,1,0)</f>
        <v>0</v>
      </c>
      <c r="L5645" s="16">
        <f>IF(COUNTIFS(Release_Calendar!$A$2:$A$755,"US_NFP",Release_Calendar!$B$2:$B$755,$A5645)&gt;0,1,0)</f>
        <v>0</v>
      </c>
      <c r="M5645" s="16">
        <f>IF($A5645&lt;Notes!$B$5,"",IF(COUNTIFS(Release_Calendar!$A$2:$A$755,"NZ_CPI",Release_Calendar!$B$2:$B$755,$A5645)&gt;0,1,0))</f>
        <v>0</v>
      </c>
      <c r="N5645" s="16">
        <f>IF($A5645&lt;Notes!$B$5,"",IF(COUNTIFS(Release_Calendar!$A$2:$A$755,"NZ_GDP",Release_Calendar!$B$2:$B$755,$A5645)&gt;0,1,0))</f>
        <v>0</v>
      </c>
      <c r="O5645" s="16">
        <f>IF($A5645&lt;Notes!$B$5,"",IF(COUNTIFS(Release_Calendar!$A$2:$A$755,"NZ_LABOUR",Release_Calendar!$B$2:$B$755,$A5645)&gt;0,1,0))</f>
        <v>0</v>
      </c>
      <c r="P5645" s="16">
        <f t="shared" si="4"/>
        <v>0</v>
      </c>
    </row>
    <row r="5646" ht="15.75" customHeight="1">
      <c r="A5646" s="14">
        <v>44428.0</v>
      </c>
      <c r="B5646" s="15">
        <v>0.23</v>
      </c>
      <c r="C5646" s="15">
        <v>1.16</v>
      </c>
      <c r="D5646" s="15"/>
      <c r="E5646" s="15">
        <v>0.83</v>
      </c>
      <c r="F5646" s="15">
        <f t="shared" si="1"/>
        <v>0.93</v>
      </c>
      <c r="G5646" s="15">
        <f t="shared" si="2"/>
        <v>1.16</v>
      </c>
      <c r="H5646" s="16">
        <v>0.0</v>
      </c>
      <c r="I5646" s="15">
        <f t="shared" si="3"/>
        <v>0.93</v>
      </c>
      <c r="J5646" s="15">
        <v>18.56</v>
      </c>
      <c r="K5646" s="16">
        <f>IF(COUNTIFS(Release_Calendar!$A$2:$A$755,"US_CPI",Release_Calendar!$B$2:$B$755,$A5646)&gt;0,1,0)</f>
        <v>0</v>
      </c>
      <c r="L5646" s="16">
        <f>IF(COUNTIFS(Release_Calendar!$A$2:$A$755,"US_NFP",Release_Calendar!$B$2:$B$755,$A5646)&gt;0,1,0)</f>
        <v>0</v>
      </c>
      <c r="M5646" s="16">
        <f>IF($A5646&lt;Notes!$B$5,"",IF(COUNTIFS(Release_Calendar!$A$2:$A$755,"NZ_CPI",Release_Calendar!$B$2:$B$755,$A5646)&gt;0,1,0))</f>
        <v>0</v>
      </c>
      <c r="N5646" s="16">
        <f>IF($A5646&lt;Notes!$B$5,"",IF(COUNTIFS(Release_Calendar!$A$2:$A$755,"NZ_GDP",Release_Calendar!$B$2:$B$755,$A5646)&gt;0,1,0))</f>
        <v>0</v>
      </c>
      <c r="O5646" s="16">
        <f>IF($A5646&lt;Notes!$B$5,"",IF(COUNTIFS(Release_Calendar!$A$2:$A$755,"NZ_LABOUR",Release_Calendar!$B$2:$B$755,$A5646)&gt;0,1,0))</f>
        <v>0</v>
      </c>
      <c r="P5646" s="16">
        <f t="shared" si="4"/>
        <v>0</v>
      </c>
    </row>
    <row r="5647" ht="15.75" customHeight="1">
      <c r="A5647" s="14">
        <v>44431.0</v>
      </c>
      <c r="B5647" s="15">
        <v>0.23</v>
      </c>
      <c r="C5647" s="15">
        <v>1.17</v>
      </c>
      <c r="D5647" s="15"/>
      <c r="E5647" s="15">
        <v>0.83</v>
      </c>
      <c r="F5647" s="15">
        <f t="shared" si="1"/>
        <v>0.94</v>
      </c>
      <c r="G5647" s="15">
        <f t="shared" si="2"/>
        <v>1.17</v>
      </c>
      <c r="H5647" s="16">
        <v>0.0</v>
      </c>
      <c r="I5647" s="15">
        <f t="shared" si="3"/>
        <v>0.94</v>
      </c>
      <c r="J5647" s="15">
        <v>17.15</v>
      </c>
      <c r="K5647" s="16">
        <f>IF(COUNTIFS(Release_Calendar!$A$2:$A$755,"US_CPI",Release_Calendar!$B$2:$B$755,$A5647)&gt;0,1,0)</f>
        <v>0</v>
      </c>
      <c r="L5647" s="16">
        <f>IF(COUNTIFS(Release_Calendar!$A$2:$A$755,"US_NFP",Release_Calendar!$B$2:$B$755,$A5647)&gt;0,1,0)</f>
        <v>0</v>
      </c>
      <c r="M5647" s="16">
        <f>IF($A5647&lt;Notes!$B$5,"",IF(COUNTIFS(Release_Calendar!$A$2:$A$755,"NZ_CPI",Release_Calendar!$B$2:$B$755,$A5647)&gt;0,1,0))</f>
        <v>0</v>
      </c>
      <c r="N5647" s="16">
        <f>IF($A5647&lt;Notes!$B$5,"",IF(COUNTIFS(Release_Calendar!$A$2:$A$755,"NZ_GDP",Release_Calendar!$B$2:$B$755,$A5647)&gt;0,1,0))</f>
        <v>0</v>
      </c>
      <c r="O5647" s="16">
        <f>IF($A5647&lt;Notes!$B$5,"",IF(COUNTIFS(Release_Calendar!$A$2:$A$755,"NZ_LABOUR",Release_Calendar!$B$2:$B$755,$A5647)&gt;0,1,0))</f>
        <v>0</v>
      </c>
      <c r="P5647" s="16">
        <f t="shared" si="4"/>
        <v>0</v>
      </c>
    </row>
    <row r="5648" ht="15.75" customHeight="1">
      <c r="A5648" s="14">
        <v>44432.0</v>
      </c>
      <c r="B5648" s="15">
        <v>0.24</v>
      </c>
      <c r="C5648" s="15">
        <v>1.21</v>
      </c>
      <c r="D5648" s="15"/>
      <c r="E5648" s="15">
        <v>0.86</v>
      </c>
      <c r="F5648" s="15">
        <f t="shared" si="1"/>
        <v>0.97</v>
      </c>
      <c r="G5648" s="15">
        <f t="shared" si="2"/>
        <v>1.21</v>
      </c>
      <c r="H5648" s="16">
        <v>0.0</v>
      </c>
      <c r="I5648" s="15">
        <f t="shared" si="3"/>
        <v>0.97</v>
      </c>
      <c r="J5648" s="15">
        <v>17.22</v>
      </c>
      <c r="K5648" s="16">
        <f>IF(COUNTIFS(Release_Calendar!$A$2:$A$755,"US_CPI",Release_Calendar!$B$2:$B$755,$A5648)&gt;0,1,0)</f>
        <v>0</v>
      </c>
      <c r="L5648" s="16">
        <f>IF(COUNTIFS(Release_Calendar!$A$2:$A$755,"US_NFP",Release_Calendar!$B$2:$B$755,$A5648)&gt;0,1,0)</f>
        <v>0</v>
      </c>
      <c r="M5648" s="16">
        <f>IF($A5648&lt;Notes!$B$5,"",IF(COUNTIFS(Release_Calendar!$A$2:$A$755,"NZ_CPI",Release_Calendar!$B$2:$B$755,$A5648)&gt;0,1,0))</f>
        <v>0</v>
      </c>
      <c r="N5648" s="16">
        <f>IF($A5648&lt;Notes!$B$5,"",IF(COUNTIFS(Release_Calendar!$A$2:$A$755,"NZ_GDP",Release_Calendar!$B$2:$B$755,$A5648)&gt;0,1,0))</f>
        <v>0</v>
      </c>
      <c r="O5648" s="16">
        <f>IF($A5648&lt;Notes!$B$5,"",IF(COUNTIFS(Release_Calendar!$A$2:$A$755,"NZ_LABOUR",Release_Calendar!$B$2:$B$755,$A5648)&gt;0,1,0))</f>
        <v>0</v>
      </c>
      <c r="P5648" s="16">
        <f t="shared" si="4"/>
        <v>0</v>
      </c>
    </row>
    <row r="5649" ht="15.75" customHeight="1">
      <c r="A5649" s="14">
        <v>44433.0</v>
      </c>
      <c r="B5649" s="15">
        <v>0.23</v>
      </c>
      <c r="C5649" s="15">
        <v>1.26</v>
      </c>
      <c r="D5649" s="15"/>
      <c r="E5649" s="15">
        <v>0.91</v>
      </c>
      <c r="F5649" s="15">
        <f t="shared" si="1"/>
        <v>1.03</v>
      </c>
      <c r="G5649" s="15">
        <f t="shared" si="2"/>
        <v>1.26</v>
      </c>
      <c r="H5649" s="16">
        <v>0.0</v>
      </c>
      <c r="I5649" s="15">
        <f t="shared" si="3"/>
        <v>1.03</v>
      </c>
      <c r="J5649" s="15">
        <v>16.79</v>
      </c>
      <c r="K5649" s="16">
        <f>IF(COUNTIFS(Release_Calendar!$A$2:$A$755,"US_CPI",Release_Calendar!$B$2:$B$755,$A5649)&gt;0,1,0)</f>
        <v>0</v>
      </c>
      <c r="L5649" s="16">
        <f>IF(COUNTIFS(Release_Calendar!$A$2:$A$755,"US_NFP",Release_Calendar!$B$2:$B$755,$A5649)&gt;0,1,0)</f>
        <v>0</v>
      </c>
      <c r="M5649" s="16">
        <f>IF($A5649&lt;Notes!$B$5,"",IF(COUNTIFS(Release_Calendar!$A$2:$A$755,"NZ_CPI",Release_Calendar!$B$2:$B$755,$A5649)&gt;0,1,0))</f>
        <v>0</v>
      </c>
      <c r="N5649" s="16">
        <f>IF($A5649&lt;Notes!$B$5,"",IF(COUNTIFS(Release_Calendar!$A$2:$A$755,"NZ_GDP",Release_Calendar!$B$2:$B$755,$A5649)&gt;0,1,0))</f>
        <v>0</v>
      </c>
      <c r="O5649" s="16">
        <f>IF($A5649&lt;Notes!$B$5,"",IF(COUNTIFS(Release_Calendar!$A$2:$A$755,"NZ_LABOUR",Release_Calendar!$B$2:$B$755,$A5649)&gt;0,1,0))</f>
        <v>0</v>
      </c>
      <c r="P5649" s="16">
        <f t="shared" si="4"/>
        <v>0</v>
      </c>
    </row>
    <row r="5650" ht="15.75" customHeight="1">
      <c r="A5650" s="14">
        <v>44434.0</v>
      </c>
      <c r="B5650" s="15">
        <v>0.25</v>
      </c>
      <c r="C5650" s="15">
        <v>1.27</v>
      </c>
      <c r="D5650" s="15"/>
      <c r="E5650" s="15">
        <v>0.91</v>
      </c>
      <c r="F5650" s="15">
        <f t="shared" si="1"/>
        <v>1.02</v>
      </c>
      <c r="G5650" s="15">
        <f t="shared" si="2"/>
        <v>1.27</v>
      </c>
      <c r="H5650" s="16">
        <v>0.0</v>
      </c>
      <c r="I5650" s="15">
        <f t="shared" si="3"/>
        <v>1.02</v>
      </c>
      <c r="J5650" s="15">
        <v>18.84</v>
      </c>
      <c r="K5650" s="16">
        <f>IF(COUNTIFS(Release_Calendar!$A$2:$A$755,"US_CPI",Release_Calendar!$B$2:$B$755,$A5650)&gt;0,1,0)</f>
        <v>0</v>
      </c>
      <c r="L5650" s="16">
        <f>IF(COUNTIFS(Release_Calendar!$A$2:$A$755,"US_NFP",Release_Calendar!$B$2:$B$755,$A5650)&gt;0,1,0)</f>
        <v>0</v>
      </c>
      <c r="M5650" s="16">
        <f>IF($A5650&lt;Notes!$B$5,"",IF(COUNTIFS(Release_Calendar!$A$2:$A$755,"NZ_CPI",Release_Calendar!$B$2:$B$755,$A5650)&gt;0,1,0))</f>
        <v>0</v>
      </c>
      <c r="N5650" s="16">
        <f>IF($A5650&lt;Notes!$B$5,"",IF(COUNTIFS(Release_Calendar!$A$2:$A$755,"NZ_GDP",Release_Calendar!$B$2:$B$755,$A5650)&gt;0,1,0))</f>
        <v>0</v>
      </c>
      <c r="O5650" s="16">
        <f>IF($A5650&lt;Notes!$B$5,"",IF(COUNTIFS(Release_Calendar!$A$2:$A$755,"NZ_LABOUR",Release_Calendar!$B$2:$B$755,$A5650)&gt;0,1,0))</f>
        <v>0</v>
      </c>
      <c r="P5650" s="16">
        <f t="shared" si="4"/>
        <v>0</v>
      </c>
    </row>
    <row r="5651" ht="15.75" customHeight="1">
      <c r="A5651" s="14">
        <v>44435.0</v>
      </c>
      <c r="B5651" s="15">
        <v>0.22</v>
      </c>
      <c r="C5651" s="15">
        <v>1.29</v>
      </c>
      <c r="D5651" s="15"/>
      <c r="E5651" s="15">
        <v>0.91</v>
      </c>
      <c r="F5651" s="15">
        <f t="shared" si="1"/>
        <v>1.07</v>
      </c>
      <c r="G5651" s="15">
        <f t="shared" si="2"/>
        <v>1.29</v>
      </c>
      <c r="H5651" s="16">
        <v>0.0</v>
      </c>
      <c r="I5651" s="15">
        <f t="shared" si="3"/>
        <v>1.07</v>
      </c>
      <c r="J5651" s="15">
        <v>16.39</v>
      </c>
      <c r="K5651" s="16">
        <f>IF(COUNTIFS(Release_Calendar!$A$2:$A$755,"US_CPI",Release_Calendar!$B$2:$B$755,$A5651)&gt;0,1,0)</f>
        <v>0</v>
      </c>
      <c r="L5651" s="16">
        <f>IF(COUNTIFS(Release_Calendar!$A$2:$A$755,"US_NFP",Release_Calendar!$B$2:$B$755,$A5651)&gt;0,1,0)</f>
        <v>0</v>
      </c>
      <c r="M5651" s="16">
        <f>IF($A5651&lt;Notes!$B$5,"",IF(COUNTIFS(Release_Calendar!$A$2:$A$755,"NZ_CPI",Release_Calendar!$B$2:$B$755,$A5651)&gt;0,1,0))</f>
        <v>0</v>
      </c>
      <c r="N5651" s="16">
        <f>IF($A5651&lt;Notes!$B$5,"",IF(COUNTIFS(Release_Calendar!$A$2:$A$755,"NZ_GDP",Release_Calendar!$B$2:$B$755,$A5651)&gt;0,1,0))</f>
        <v>0</v>
      </c>
      <c r="O5651" s="16">
        <f>IF($A5651&lt;Notes!$B$5,"",IF(COUNTIFS(Release_Calendar!$A$2:$A$755,"NZ_LABOUR",Release_Calendar!$B$2:$B$755,$A5651)&gt;0,1,0))</f>
        <v>0</v>
      </c>
      <c r="P5651" s="16">
        <f t="shared" si="4"/>
        <v>0</v>
      </c>
    </row>
    <row r="5652" ht="15.75" customHeight="1">
      <c r="A5652" s="14">
        <v>44438.0</v>
      </c>
      <c r="B5652" s="15">
        <v>0.2</v>
      </c>
      <c r="C5652" s="15">
        <v>1.29</v>
      </c>
      <c r="D5652" s="15"/>
      <c r="E5652" s="15">
        <v>0.91</v>
      </c>
      <c r="F5652" s="15">
        <f t="shared" si="1"/>
        <v>1.09</v>
      </c>
      <c r="G5652" s="15">
        <f t="shared" si="2"/>
        <v>1.29</v>
      </c>
      <c r="H5652" s="16">
        <v>0.0</v>
      </c>
      <c r="I5652" s="15">
        <f t="shared" si="3"/>
        <v>1.09</v>
      </c>
      <c r="J5652" s="15">
        <v>16.19</v>
      </c>
      <c r="K5652" s="16">
        <f>IF(COUNTIFS(Release_Calendar!$A$2:$A$755,"US_CPI",Release_Calendar!$B$2:$B$755,$A5652)&gt;0,1,0)</f>
        <v>0</v>
      </c>
      <c r="L5652" s="16">
        <f>IF(COUNTIFS(Release_Calendar!$A$2:$A$755,"US_NFP",Release_Calendar!$B$2:$B$755,$A5652)&gt;0,1,0)</f>
        <v>0</v>
      </c>
      <c r="M5652" s="16">
        <f>IF($A5652&lt;Notes!$B$5,"",IF(COUNTIFS(Release_Calendar!$A$2:$A$755,"NZ_CPI",Release_Calendar!$B$2:$B$755,$A5652)&gt;0,1,0))</f>
        <v>0</v>
      </c>
      <c r="N5652" s="16">
        <f>IF($A5652&lt;Notes!$B$5,"",IF(COUNTIFS(Release_Calendar!$A$2:$A$755,"NZ_GDP",Release_Calendar!$B$2:$B$755,$A5652)&gt;0,1,0))</f>
        <v>0</v>
      </c>
      <c r="O5652" s="16">
        <f>IF($A5652&lt;Notes!$B$5,"",IF(COUNTIFS(Release_Calendar!$A$2:$A$755,"NZ_LABOUR",Release_Calendar!$B$2:$B$755,$A5652)&gt;0,1,0))</f>
        <v>0</v>
      </c>
      <c r="P5652" s="16">
        <f t="shared" si="4"/>
        <v>0</v>
      </c>
    </row>
    <row r="5653" ht="15.75" customHeight="1">
      <c r="A5653" s="14">
        <v>44439.0</v>
      </c>
      <c r="B5653" s="15">
        <v>0.2</v>
      </c>
      <c r="C5653" s="15">
        <v>1.28</v>
      </c>
      <c r="D5653" s="15"/>
      <c r="E5653" s="15">
        <v>0.91</v>
      </c>
      <c r="F5653" s="15">
        <f t="shared" si="1"/>
        <v>1.08</v>
      </c>
      <c r="G5653" s="15">
        <f t="shared" si="2"/>
        <v>1.28</v>
      </c>
      <c r="H5653" s="16">
        <v>0.0</v>
      </c>
      <c r="I5653" s="15">
        <f t="shared" si="3"/>
        <v>1.08</v>
      </c>
      <c r="J5653" s="15">
        <v>16.48</v>
      </c>
      <c r="K5653" s="16">
        <f>IF(COUNTIFS(Release_Calendar!$A$2:$A$755,"US_CPI",Release_Calendar!$B$2:$B$755,$A5653)&gt;0,1,0)</f>
        <v>0</v>
      </c>
      <c r="L5653" s="16">
        <f>IF(COUNTIFS(Release_Calendar!$A$2:$A$755,"US_NFP",Release_Calendar!$B$2:$B$755,$A5653)&gt;0,1,0)</f>
        <v>0</v>
      </c>
      <c r="M5653" s="16">
        <f>IF($A5653&lt;Notes!$B$5,"",IF(COUNTIFS(Release_Calendar!$A$2:$A$755,"NZ_CPI",Release_Calendar!$B$2:$B$755,$A5653)&gt;0,1,0))</f>
        <v>0</v>
      </c>
      <c r="N5653" s="16">
        <f>IF($A5653&lt;Notes!$B$5,"",IF(COUNTIFS(Release_Calendar!$A$2:$A$755,"NZ_GDP",Release_Calendar!$B$2:$B$755,$A5653)&gt;0,1,0))</f>
        <v>0</v>
      </c>
      <c r="O5653" s="16">
        <f>IF($A5653&lt;Notes!$B$5,"",IF(COUNTIFS(Release_Calendar!$A$2:$A$755,"NZ_LABOUR",Release_Calendar!$B$2:$B$755,$A5653)&gt;0,1,0))</f>
        <v>0</v>
      </c>
      <c r="P5653" s="16">
        <f t="shared" si="4"/>
        <v>0</v>
      </c>
    </row>
    <row r="5654" ht="15.75" customHeight="1">
      <c r="A5654" s="14">
        <v>44440.0</v>
      </c>
      <c r="B5654" s="15">
        <v>0.2</v>
      </c>
      <c r="C5654" s="15">
        <v>1.31</v>
      </c>
      <c r="D5654" s="15"/>
      <c r="E5654" s="15">
        <v>0.93</v>
      </c>
      <c r="F5654" s="15">
        <f t="shared" si="1"/>
        <v>1.11</v>
      </c>
      <c r="G5654" s="15">
        <f t="shared" si="2"/>
        <v>1.31</v>
      </c>
      <c r="H5654" s="16">
        <v>0.0</v>
      </c>
      <c r="I5654" s="15">
        <f t="shared" si="3"/>
        <v>1.11</v>
      </c>
      <c r="J5654" s="15">
        <v>16.11</v>
      </c>
      <c r="K5654" s="16">
        <f>IF(COUNTIFS(Release_Calendar!$A$2:$A$755,"US_CPI",Release_Calendar!$B$2:$B$755,$A5654)&gt;0,1,0)</f>
        <v>0</v>
      </c>
      <c r="L5654" s="16">
        <f>IF(COUNTIFS(Release_Calendar!$A$2:$A$755,"US_NFP",Release_Calendar!$B$2:$B$755,$A5654)&gt;0,1,0)</f>
        <v>0</v>
      </c>
      <c r="M5654" s="16">
        <f>IF($A5654&lt;Notes!$B$5,"",IF(COUNTIFS(Release_Calendar!$A$2:$A$755,"NZ_CPI",Release_Calendar!$B$2:$B$755,$A5654)&gt;0,1,0))</f>
        <v>0</v>
      </c>
      <c r="N5654" s="16">
        <f>IF($A5654&lt;Notes!$B$5,"",IF(COUNTIFS(Release_Calendar!$A$2:$A$755,"NZ_GDP",Release_Calendar!$B$2:$B$755,$A5654)&gt;0,1,0))</f>
        <v>0</v>
      </c>
      <c r="O5654" s="16">
        <f>IF($A5654&lt;Notes!$B$5,"",IF(COUNTIFS(Release_Calendar!$A$2:$A$755,"NZ_LABOUR",Release_Calendar!$B$2:$B$755,$A5654)&gt;0,1,0))</f>
        <v>0</v>
      </c>
      <c r="P5654" s="16">
        <f t="shared" si="4"/>
        <v>0</v>
      </c>
    </row>
    <row r="5655" ht="15.75" customHeight="1">
      <c r="A5655" s="14">
        <v>44441.0</v>
      </c>
      <c r="B5655" s="15">
        <v>0.2</v>
      </c>
      <c r="C5655" s="15">
        <v>1.32</v>
      </c>
      <c r="D5655" s="15"/>
      <c r="E5655" s="15">
        <v>0.95</v>
      </c>
      <c r="F5655" s="15">
        <f t="shared" si="1"/>
        <v>1.12</v>
      </c>
      <c r="G5655" s="15">
        <f t="shared" si="2"/>
        <v>1.32</v>
      </c>
      <c r="H5655" s="16">
        <v>0.0</v>
      </c>
      <c r="I5655" s="15">
        <f t="shared" si="3"/>
        <v>1.12</v>
      </c>
      <c r="J5655" s="15">
        <v>16.41</v>
      </c>
      <c r="K5655" s="16">
        <f>IF(COUNTIFS(Release_Calendar!$A$2:$A$755,"US_CPI",Release_Calendar!$B$2:$B$755,$A5655)&gt;0,1,0)</f>
        <v>0</v>
      </c>
      <c r="L5655" s="16">
        <f>IF(COUNTIFS(Release_Calendar!$A$2:$A$755,"US_NFP",Release_Calendar!$B$2:$B$755,$A5655)&gt;0,1,0)</f>
        <v>0</v>
      </c>
      <c r="M5655" s="16">
        <f>IF($A5655&lt;Notes!$B$5,"",IF(COUNTIFS(Release_Calendar!$A$2:$A$755,"NZ_CPI",Release_Calendar!$B$2:$B$755,$A5655)&gt;0,1,0))</f>
        <v>0</v>
      </c>
      <c r="N5655" s="16">
        <f>IF($A5655&lt;Notes!$B$5,"",IF(COUNTIFS(Release_Calendar!$A$2:$A$755,"NZ_GDP",Release_Calendar!$B$2:$B$755,$A5655)&gt;0,1,0))</f>
        <v>0</v>
      </c>
      <c r="O5655" s="16">
        <f>IF($A5655&lt;Notes!$B$5,"",IF(COUNTIFS(Release_Calendar!$A$2:$A$755,"NZ_LABOUR",Release_Calendar!$B$2:$B$755,$A5655)&gt;0,1,0))</f>
        <v>0</v>
      </c>
      <c r="P5655" s="16">
        <f t="shared" si="4"/>
        <v>0</v>
      </c>
    </row>
    <row r="5656" ht="15.75" customHeight="1">
      <c r="A5656" s="14">
        <v>44442.0</v>
      </c>
      <c r="B5656" s="15">
        <v>0.21</v>
      </c>
      <c r="C5656" s="15">
        <v>1.35</v>
      </c>
      <c r="D5656" s="15"/>
      <c r="E5656" s="15">
        <v>0.97</v>
      </c>
      <c r="F5656" s="15">
        <f t="shared" si="1"/>
        <v>1.14</v>
      </c>
      <c r="G5656" s="15">
        <f t="shared" si="2"/>
        <v>1.35</v>
      </c>
      <c r="H5656" s="16">
        <v>0.0</v>
      </c>
      <c r="I5656" s="15">
        <f t="shared" si="3"/>
        <v>1.14</v>
      </c>
      <c r="J5656" s="15">
        <v>16.41</v>
      </c>
      <c r="K5656" s="16">
        <f>IF(COUNTIFS(Release_Calendar!$A$2:$A$755,"US_CPI",Release_Calendar!$B$2:$B$755,$A5656)&gt;0,1,0)</f>
        <v>0</v>
      </c>
      <c r="L5656" s="16">
        <f>IF(COUNTIFS(Release_Calendar!$A$2:$A$755,"US_NFP",Release_Calendar!$B$2:$B$755,$A5656)&gt;0,1,0)</f>
        <v>1</v>
      </c>
      <c r="M5656" s="16">
        <f>IF($A5656&lt;Notes!$B$5,"",IF(COUNTIFS(Release_Calendar!$A$2:$A$755,"NZ_CPI",Release_Calendar!$B$2:$B$755,$A5656)&gt;0,1,0))</f>
        <v>0</v>
      </c>
      <c r="N5656" s="16">
        <f>IF($A5656&lt;Notes!$B$5,"",IF(COUNTIFS(Release_Calendar!$A$2:$A$755,"NZ_GDP",Release_Calendar!$B$2:$B$755,$A5656)&gt;0,1,0))</f>
        <v>0</v>
      </c>
      <c r="O5656" s="16">
        <f>IF($A5656&lt;Notes!$B$5,"",IF(COUNTIFS(Release_Calendar!$A$2:$A$755,"NZ_LABOUR",Release_Calendar!$B$2:$B$755,$A5656)&gt;0,1,0))</f>
        <v>0</v>
      </c>
      <c r="P5656" s="16">
        <f t="shared" si="4"/>
        <v>1</v>
      </c>
    </row>
    <row r="5657" ht="15.75" customHeight="1">
      <c r="A5657" s="14">
        <v>44445.0</v>
      </c>
      <c r="B5657" s="15"/>
      <c r="C5657" s="15">
        <v>1.37</v>
      </c>
      <c r="D5657" s="15"/>
      <c r="E5657" s="15">
        <v>1.0</v>
      </c>
      <c r="F5657" s="15" t="str">
        <f t="shared" si="1"/>
        <v/>
      </c>
      <c r="G5657" s="15">
        <f t="shared" si="2"/>
        <v>1.37</v>
      </c>
      <c r="H5657" s="16">
        <v>0.0</v>
      </c>
      <c r="I5657" s="15" t="str">
        <f t="shared" si="3"/>
        <v/>
      </c>
      <c r="J5657" s="15"/>
      <c r="K5657" s="16">
        <f>IF(COUNTIFS(Release_Calendar!$A$2:$A$755,"US_CPI",Release_Calendar!$B$2:$B$755,$A5657)&gt;0,1,0)</f>
        <v>0</v>
      </c>
      <c r="L5657" s="16">
        <f>IF(COUNTIFS(Release_Calendar!$A$2:$A$755,"US_NFP",Release_Calendar!$B$2:$B$755,$A5657)&gt;0,1,0)</f>
        <v>0</v>
      </c>
      <c r="M5657" s="16">
        <f>IF($A5657&lt;Notes!$B$5,"",IF(COUNTIFS(Release_Calendar!$A$2:$A$755,"NZ_CPI",Release_Calendar!$B$2:$B$755,$A5657)&gt;0,1,0))</f>
        <v>0</v>
      </c>
      <c r="N5657" s="16">
        <f>IF($A5657&lt;Notes!$B$5,"",IF(COUNTIFS(Release_Calendar!$A$2:$A$755,"NZ_GDP",Release_Calendar!$B$2:$B$755,$A5657)&gt;0,1,0))</f>
        <v>0</v>
      </c>
      <c r="O5657" s="16">
        <f>IF($A5657&lt;Notes!$B$5,"",IF(COUNTIFS(Release_Calendar!$A$2:$A$755,"NZ_LABOUR",Release_Calendar!$B$2:$B$755,$A5657)&gt;0,1,0))</f>
        <v>0</v>
      </c>
      <c r="P5657" s="16">
        <f t="shared" si="4"/>
        <v>0</v>
      </c>
    </row>
    <row r="5658" ht="15.75" customHeight="1">
      <c r="A5658" s="14">
        <v>44446.0</v>
      </c>
      <c r="B5658" s="15">
        <v>0.22</v>
      </c>
      <c r="C5658" s="15">
        <v>1.38</v>
      </c>
      <c r="D5658" s="15"/>
      <c r="E5658" s="15">
        <v>1.02</v>
      </c>
      <c r="F5658" s="15">
        <f t="shared" si="1"/>
        <v>1.16</v>
      </c>
      <c r="G5658" s="15">
        <f t="shared" si="2"/>
        <v>1.38</v>
      </c>
      <c r="H5658" s="16">
        <v>0.0</v>
      </c>
      <c r="I5658" s="15">
        <f t="shared" si="3"/>
        <v>1.16</v>
      </c>
      <c r="J5658" s="15">
        <v>18.14</v>
      </c>
      <c r="K5658" s="16">
        <f>IF(COUNTIFS(Release_Calendar!$A$2:$A$755,"US_CPI",Release_Calendar!$B$2:$B$755,$A5658)&gt;0,1,0)</f>
        <v>0</v>
      </c>
      <c r="L5658" s="16">
        <f>IF(COUNTIFS(Release_Calendar!$A$2:$A$755,"US_NFP",Release_Calendar!$B$2:$B$755,$A5658)&gt;0,1,0)</f>
        <v>0</v>
      </c>
      <c r="M5658" s="16">
        <f>IF($A5658&lt;Notes!$B$5,"",IF(COUNTIFS(Release_Calendar!$A$2:$A$755,"NZ_CPI",Release_Calendar!$B$2:$B$755,$A5658)&gt;0,1,0))</f>
        <v>0</v>
      </c>
      <c r="N5658" s="16">
        <f>IF($A5658&lt;Notes!$B$5,"",IF(COUNTIFS(Release_Calendar!$A$2:$A$755,"NZ_GDP",Release_Calendar!$B$2:$B$755,$A5658)&gt;0,1,0))</f>
        <v>0</v>
      </c>
      <c r="O5658" s="16">
        <f>IF($A5658&lt;Notes!$B$5,"",IF(COUNTIFS(Release_Calendar!$A$2:$A$755,"NZ_LABOUR",Release_Calendar!$B$2:$B$755,$A5658)&gt;0,1,0))</f>
        <v>0</v>
      </c>
      <c r="P5658" s="16">
        <f t="shared" si="4"/>
        <v>0</v>
      </c>
    </row>
    <row r="5659" ht="15.75" customHeight="1">
      <c r="A5659" s="14">
        <v>44447.0</v>
      </c>
      <c r="B5659" s="15">
        <v>0.22</v>
      </c>
      <c r="C5659" s="15">
        <v>1.37</v>
      </c>
      <c r="D5659" s="15"/>
      <c r="E5659" s="15">
        <v>1.04</v>
      </c>
      <c r="F5659" s="15">
        <f t="shared" si="1"/>
        <v>1.15</v>
      </c>
      <c r="G5659" s="15">
        <f t="shared" si="2"/>
        <v>1.37</v>
      </c>
      <c r="H5659" s="16">
        <v>0.0</v>
      </c>
      <c r="I5659" s="15">
        <f t="shared" si="3"/>
        <v>1.15</v>
      </c>
      <c r="J5659" s="15">
        <v>17.96</v>
      </c>
      <c r="K5659" s="16">
        <f>IF(COUNTIFS(Release_Calendar!$A$2:$A$755,"US_CPI",Release_Calendar!$B$2:$B$755,$A5659)&gt;0,1,0)</f>
        <v>0</v>
      </c>
      <c r="L5659" s="16">
        <f>IF(COUNTIFS(Release_Calendar!$A$2:$A$755,"US_NFP",Release_Calendar!$B$2:$B$755,$A5659)&gt;0,1,0)</f>
        <v>0</v>
      </c>
      <c r="M5659" s="16">
        <f>IF($A5659&lt;Notes!$B$5,"",IF(COUNTIFS(Release_Calendar!$A$2:$A$755,"NZ_CPI",Release_Calendar!$B$2:$B$755,$A5659)&gt;0,1,0))</f>
        <v>0</v>
      </c>
      <c r="N5659" s="16">
        <f>IF($A5659&lt;Notes!$B$5,"",IF(COUNTIFS(Release_Calendar!$A$2:$A$755,"NZ_GDP",Release_Calendar!$B$2:$B$755,$A5659)&gt;0,1,0))</f>
        <v>0</v>
      </c>
      <c r="O5659" s="16">
        <f>IF($A5659&lt;Notes!$B$5,"",IF(COUNTIFS(Release_Calendar!$A$2:$A$755,"NZ_LABOUR",Release_Calendar!$B$2:$B$755,$A5659)&gt;0,1,0))</f>
        <v>0</v>
      </c>
      <c r="P5659" s="16">
        <f t="shared" si="4"/>
        <v>0</v>
      </c>
    </row>
    <row r="5660" ht="15.75" customHeight="1">
      <c r="A5660" s="14">
        <v>44448.0</v>
      </c>
      <c r="B5660" s="15">
        <v>0.23</v>
      </c>
      <c r="C5660" s="15">
        <v>1.37</v>
      </c>
      <c r="D5660" s="15"/>
      <c r="E5660" s="15">
        <v>1.04</v>
      </c>
      <c r="F5660" s="15">
        <f t="shared" si="1"/>
        <v>1.14</v>
      </c>
      <c r="G5660" s="15">
        <f t="shared" si="2"/>
        <v>1.37</v>
      </c>
      <c r="H5660" s="16">
        <v>0.0</v>
      </c>
      <c r="I5660" s="15">
        <f t="shared" si="3"/>
        <v>1.14</v>
      </c>
      <c r="J5660" s="15">
        <v>18.8</v>
      </c>
      <c r="K5660" s="16">
        <f>IF(COUNTIFS(Release_Calendar!$A$2:$A$755,"US_CPI",Release_Calendar!$B$2:$B$755,$A5660)&gt;0,1,0)</f>
        <v>0</v>
      </c>
      <c r="L5660" s="16">
        <f>IF(COUNTIFS(Release_Calendar!$A$2:$A$755,"US_NFP",Release_Calendar!$B$2:$B$755,$A5660)&gt;0,1,0)</f>
        <v>0</v>
      </c>
      <c r="M5660" s="16">
        <f>IF($A5660&lt;Notes!$B$5,"",IF(COUNTIFS(Release_Calendar!$A$2:$A$755,"NZ_CPI",Release_Calendar!$B$2:$B$755,$A5660)&gt;0,1,0))</f>
        <v>0</v>
      </c>
      <c r="N5660" s="16">
        <f>IF($A5660&lt;Notes!$B$5,"",IF(COUNTIFS(Release_Calendar!$A$2:$A$755,"NZ_GDP",Release_Calendar!$B$2:$B$755,$A5660)&gt;0,1,0))</f>
        <v>0</v>
      </c>
      <c r="O5660" s="16">
        <f>IF($A5660&lt;Notes!$B$5,"",IF(COUNTIFS(Release_Calendar!$A$2:$A$755,"NZ_LABOUR",Release_Calendar!$B$2:$B$755,$A5660)&gt;0,1,0))</f>
        <v>0</v>
      </c>
      <c r="P5660" s="16">
        <f t="shared" si="4"/>
        <v>0</v>
      </c>
    </row>
    <row r="5661" ht="15.75" customHeight="1">
      <c r="A5661" s="14">
        <v>44449.0</v>
      </c>
      <c r="B5661" s="15">
        <v>0.23</v>
      </c>
      <c r="C5661" s="15">
        <v>1.37</v>
      </c>
      <c r="D5661" s="15"/>
      <c r="E5661" s="15">
        <v>1.03</v>
      </c>
      <c r="F5661" s="15">
        <f t="shared" si="1"/>
        <v>1.14</v>
      </c>
      <c r="G5661" s="15">
        <f t="shared" si="2"/>
        <v>1.37</v>
      </c>
      <c r="H5661" s="16">
        <v>0.0</v>
      </c>
      <c r="I5661" s="15">
        <f t="shared" si="3"/>
        <v>1.14</v>
      </c>
      <c r="J5661" s="15">
        <v>20.95</v>
      </c>
      <c r="K5661" s="16">
        <f>IF(COUNTIFS(Release_Calendar!$A$2:$A$755,"US_CPI",Release_Calendar!$B$2:$B$755,$A5661)&gt;0,1,0)</f>
        <v>0</v>
      </c>
      <c r="L5661" s="16">
        <f>IF(COUNTIFS(Release_Calendar!$A$2:$A$755,"US_NFP",Release_Calendar!$B$2:$B$755,$A5661)&gt;0,1,0)</f>
        <v>0</v>
      </c>
      <c r="M5661" s="16">
        <f>IF($A5661&lt;Notes!$B$5,"",IF(COUNTIFS(Release_Calendar!$A$2:$A$755,"NZ_CPI",Release_Calendar!$B$2:$B$755,$A5661)&gt;0,1,0))</f>
        <v>0</v>
      </c>
      <c r="N5661" s="16">
        <f>IF($A5661&lt;Notes!$B$5,"",IF(COUNTIFS(Release_Calendar!$A$2:$A$755,"NZ_GDP",Release_Calendar!$B$2:$B$755,$A5661)&gt;0,1,0))</f>
        <v>0</v>
      </c>
      <c r="O5661" s="16">
        <f>IF($A5661&lt;Notes!$B$5,"",IF(COUNTIFS(Release_Calendar!$A$2:$A$755,"NZ_LABOUR",Release_Calendar!$B$2:$B$755,$A5661)&gt;0,1,0))</f>
        <v>0</v>
      </c>
      <c r="P5661" s="16">
        <f t="shared" si="4"/>
        <v>0</v>
      </c>
    </row>
    <row r="5662" ht="15.75" customHeight="1">
      <c r="A5662" s="14">
        <v>44452.0</v>
      </c>
      <c r="B5662" s="15">
        <v>0.21</v>
      </c>
      <c r="C5662" s="15">
        <v>1.38</v>
      </c>
      <c r="D5662" s="15"/>
      <c r="E5662" s="15">
        <v>1.03</v>
      </c>
      <c r="F5662" s="15">
        <f t="shared" si="1"/>
        <v>1.17</v>
      </c>
      <c r="G5662" s="15">
        <f t="shared" si="2"/>
        <v>1.38</v>
      </c>
      <c r="H5662" s="16">
        <v>0.0</v>
      </c>
      <c r="I5662" s="15">
        <f t="shared" si="3"/>
        <v>1.17</v>
      </c>
      <c r="J5662" s="15">
        <v>19.37</v>
      </c>
      <c r="K5662" s="16">
        <f>IF(COUNTIFS(Release_Calendar!$A$2:$A$755,"US_CPI",Release_Calendar!$B$2:$B$755,$A5662)&gt;0,1,0)</f>
        <v>0</v>
      </c>
      <c r="L5662" s="16">
        <f>IF(COUNTIFS(Release_Calendar!$A$2:$A$755,"US_NFP",Release_Calendar!$B$2:$B$755,$A5662)&gt;0,1,0)</f>
        <v>0</v>
      </c>
      <c r="M5662" s="16">
        <f>IF($A5662&lt;Notes!$B$5,"",IF(COUNTIFS(Release_Calendar!$A$2:$A$755,"NZ_CPI",Release_Calendar!$B$2:$B$755,$A5662)&gt;0,1,0))</f>
        <v>0</v>
      </c>
      <c r="N5662" s="16">
        <f>IF($A5662&lt;Notes!$B$5,"",IF(COUNTIFS(Release_Calendar!$A$2:$A$755,"NZ_GDP",Release_Calendar!$B$2:$B$755,$A5662)&gt;0,1,0))</f>
        <v>0</v>
      </c>
      <c r="O5662" s="16">
        <f>IF($A5662&lt;Notes!$B$5,"",IF(COUNTIFS(Release_Calendar!$A$2:$A$755,"NZ_LABOUR",Release_Calendar!$B$2:$B$755,$A5662)&gt;0,1,0))</f>
        <v>0</v>
      </c>
      <c r="P5662" s="16">
        <f t="shared" si="4"/>
        <v>0</v>
      </c>
    </row>
    <row r="5663" ht="15.75" customHeight="1">
      <c r="A5663" s="14">
        <v>44453.0</v>
      </c>
      <c r="B5663" s="15">
        <v>0.21</v>
      </c>
      <c r="C5663" s="15">
        <v>1.39</v>
      </c>
      <c r="D5663" s="15"/>
      <c r="E5663" s="15">
        <v>1.03</v>
      </c>
      <c r="F5663" s="15">
        <f t="shared" si="1"/>
        <v>1.18</v>
      </c>
      <c r="G5663" s="15">
        <f t="shared" si="2"/>
        <v>1.39</v>
      </c>
      <c r="H5663" s="16">
        <v>0.0</v>
      </c>
      <c r="I5663" s="15">
        <f t="shared" si="3"/>
        <v>1.18</v>
      </c>
      <c r="J5663" s="15">
        <v>19.46</v>
      </c>
      <c r="K5663" s="16">
        <f>IF(COUNTIFS(Release_Calendar!$A$2:$A$755,"US_CPI",Release_Calendar!$B$2:$B$755,$A5663)&gt;0,1,0)</f>
        <v>1</v>
      </c>
      <c r="L5663" s="16">
        <f>IF(COUNTIFS(Release_Calendar!$A$2:$A$755,"US_NFP",Release_Calendar!$B$2:$B$755,$A5663)&gt;0,1,0)</f>
        <v>0</v>
      </c>
      <c r="M5663" s="16">
        <f>IF($A5663&lt;Notes!$B$5,"",IF(COUNTIFS(Release_Calendar!$A$2:$A$755,"NZ_CPI",Release_Calendar!$B$2:$B$755,$A5663)&gt;0,1,0))</f>
        <v>0</v>
      </c>
      <c r="N5663" s="16">
        <f>IF($A5663&lt;Notes!$B$5,"",IF(COUNTIFS(Release_Calendar!$A$2:$A$755,"NZ_GDP",Release_Calendar!$B$2:$B$755,$A5663)&gt;0,1,0))</f>
        <v>0</v>
      </c>
      <c r="O5663" s="16">
        <f>IF($A5663&lt;Notes!$B$5,"",IF(COUNTIFS(Release_Calendar!$A$2:$A$755,"NZ_LABOUR",Release_Calendar!$B$2:$B$755,$A5663)&gt;0,1,0))</f>
        <v>0</v>
      </c>
      <c r="P5663" s="16">
        <f t="shared" si="4"/>
        <v>1</v>
      </c>
    </row>
    <row r="5664" ht="15.75" customHeight="1">
      <c r="A5664" s="14">
        <v>44454.0</v>
      </c>
      <c r="B5664" s="15">
        <v>0.21</v>
      </c>
      <c r="C5664" s="15">
        <v>1.4</v>
      </c>
      <c r="D5664" s="15"/>
      <c r="E5664" s="15">
        <v>1.03</v>
      </c>
      <c r="F5664" s="15">
        <f t="shared" si="1"/>
        <v>1.19</v>
      </c>
      <c r="G5664" s="15">
        <f t="shared" si="2"/>
        <v>1.4</v>
      </c>
      <c r="H5664" s="16">
        <v>0.0</v>
      </c>
      <c r="I5664" s="15">
        <f t="shared" si="3"/>
        <v>1.19</v>
      </c>
      <c r="J5664" s="15">
        <v>18.18</v>
      </c>
      <c r="K5664" s="16">
        <f>IF(COUNTIFS(Release_Calendar!$A$2:$A$755,"US_CPI",Release_Calendar!$B$2:$B$755,$A5664)&gt;0,1,0)</f>
        <v>0</v>
      </c>
      <c r="L5664" s="16">
        <f>IF(COUNTIFS(Release_Calendar!$A$2:$A$755,"US_NFP",Release_Calendar!$B$2:$B$755,$A5664)&gt;0,1,0)</f>
        <v>0</v>
      </c>
      <c r="M5664" s="16">
        <f>IF($A5664&lt;Notes!$B$5,"",IF(COUNTIFS(Release_Calendar!$A$2:$A$755,"NZ_CPI",Release_Calendar!$B$2:$B$755,$A5664)&gt;0,1,0))</f>
        <v>0</v>
      </c>
      <c r="N5664" s="16">
        <f>IF($A5664&lt;Notes!$B$5,"",IF(COUNTIFS(Release_Calendar!$A$2:$A$755,"NZ_GDP",Release_Calendar!$B$2:$B$755,$A5664)&gt;0,1,0))</f>
        <v>0</v>
      </c>
      <c r="O5664" s="16">
        <f>IF($A5664&lt;Notes!$B$5,"",IF(COUNTIFS(Release_Calendar!$A$2:$A$755,"NZ_LABOUR",Release_Calendar!$B$2:$B$755,$A5664)&gt;0,1,0))</f>
        <v>0</v>
      </c>
      <c r="P5664" s="16">
        <f t="shared" si="4"/>
        <v>0</v>
      </c>
    </row>
    <row r="5665" ht="15.75" customHeight="1">
      <c r="A5665" s="14">
        <v>44455.0</v>
      </c>
      <c r="B5665" s="15">
        <v>0.23</v>
      </c>
      <c r="C5665" s="15">
        <v>1.48</v>
      </c>
      <c r="D5665" s="15"/>
      <c r="E5665" s="15">
        <v>1.11</v>
      </c>
      <c r="F5665" s="15">
        <f t="shared" si="1"/>
        <v>1.25</v>
      </c>
      <c r="G5665" s="15">
        <f t="shared" si="2"/>
        <v>1.48</v>
      </c>
      <c r="H5665" s="16">
        <v>0.0</v>
      </c>
      <c r="I5665" s="15">
        <f t="shared" si="3"/>
        <v>1.25</v>
      </c>
      <c r="J5665" s="15">
        <v>18.69</v>
      </c>
      <c r="K5665" s="16">
        <f>IF(COUNTIFS(Release_Calendar!$A$2:$A$755,"US_CPI",Release_Calendar!$B$2:$B$755,$A5665)&gt;0,1,0)</f>
        <v>0</v>
      </c>
      <c r="L5665" s="16">
        <f>IF(COUNTIFS(Release_Calendar!$A$2:$A$755,"US_NFP",Release_Calendar!$B$2:$B$755,$A5665)&gt;0,1,0)</f>
        <v>0</v>
      </c>
      <c r="M5665" s="16">
        <f>IF($A5665&lt;Notes!$B$5,"",IF(COUNTIFS(Release_Calendar!$A$2:$A$755,"NZ_CPI",Release_Calendar!$B$2:$B$755,$A5665)&gt;0,1,0))</f>
        <v>0</v>
      </c>
      <c r="N5665" s="16">
        <f>IF($A5665&lt;Notes!$B$5,"",IF(COUNTIFS(Release_Calendar!$A$2:$A$755,"NZ_GDP",Release_Calendar!$B$2:$B$755,$A5665)&gt;0,1,0))</f>
        <v>1</v>
      </c>
      <c r="O5665" s="16">
        <f>IF($A5665&lt;Notes!$B$5,"",IF(COUNTIFS(Release_Calendar!$A$2:$A$755,"NZ_LABOUR",Release_Calendar!$B$2:$B$755,$A5665)&gt;0,1,0))</f>
        <v>0</v>
      </c>
      <c r="P5665" s="16">
        <f t="shared" si="4"/>
        <v>1</v>
      </c>
    </row>
    <row r="5666" ht="15.75" customHeight="1">
      <c r="A5666" s="14">
        <v>44456.0</v>
      </c>
      <c r="B5666" s="15">
        <v>0.23</v>
      </c>
      <c r="C5666" s="15">
        <v>1.5</v>
      </c>
      <c r="D5666" s="15"/>
      <c r="E5666" s="15">
        <v>1.11</v>
      </c>
      <c r="F5666" s="15">
        <f t="shared" si="1"/>
        <v>1.27</v>
      </c>
      <c r="G5666" s="15">
        <f t="shared" si="2"/>
        <v>1.5</v>
      </c>
      <c r="H5666" s="16">
        <v>0.0</v>
      </c>
      <c r="I5666" s="15">
        <f t="shared" si="3"/>
        <v>1.27</v>
      </c>
      <c r="J5666" s="15">
        <v>20.81</v>
      </c>
      <c r="K5666" s="16">
        <f>IF(COUNTIFS(Release_Calendar!$A$2:$A$755,"US_CPI",Release_Calendar!$B$2:$B$755,$A5666)&gt;0,1,0)</f>
        <v>0</v>
      </c>
      <c r="L5666" s="16">
        <f>IF(COUNTIFS(Release_Calendar!$A$2:$A$755,"US_NFP",Release_Calendar!$B$2:$B$755,$A5666)&gt;0,1,0)</f>
        <v>0</v>
      </c>
      <c r="M5666" s="16">
        <f>IF($A5666&lt;Notes!$B$5,"",IF(COUNTIFS(Release_Calendar!$A$2:$A$755,"NZ_CPI",Release_Calendar!$B$2:$B$755,$A5666)&gt;0,1,0))</f>
        <v>0</v>
      </c>
      <c r="N5666" s="16">
        <f>IF($A5666&lt;Notes!$B$5,"",IF(COUNTIFS(Release_Calendar!$A$2:$A$755,"NZ_GDP",Release_Calendar!$B$2:$B$755,$A5666)&gt;0,1,0))</f>
        <v>0</v>
      </c>
      <c r="O5666" s="16">
        <f>IF($A5666&lt;Notes!$B$5,"",IF(COUNTIFS(Release_Calendar!$A$2:$A$755,"NZ_LABOUR",Release_Calendar!$B$2:$B$755,$A5666)&gt;0,1,0))</f>
        <v>0</v>
      </c>
      <c r="P5666" s="16">
        <f t="shared" si="4"/>
        <v>0</v>
      </c>
    </row>
    <row r="5667" ht="15.75" customHeight="1">
      <c r="A5667" s="14">
        <v>44459.0</v>
      </c>
      <c r="B5667" s="15">
        <v>0.23</v>
      </c>
      <c r="C5667" s="15">
        <v>1.49</v>
      </c>
      <c r="D5667" s="15"/>
      <c r="E5667" s="15">
        <v>1.11</v>
      </c>
      <c r="F5667" s="15">
        <f t="shared" si="1"/>
        <v>1.26</v>
      </c>
      <c r="G5667" s="15">
        <f t="shared" si="2"/>
        <v>1.49</v>
      </c>
      <c r="H5667" s="16">
        <v>0.0</v>
      </c>
      <c r="I5667" s="15">
        <f t="shared" si="3"/>
        <v>1.26</v>
      </c>
      <c r="J5667" s="15">
        <v>25.71</v>
      </c>
      <c r="K5667" s="16">
        <f>IF(COUNTIFS(Release_Calendar!$A$2:$A$755,"US_CPI",Release_Calendar!$B$2:$B$755,$A5667)&gt;0,1,0)</f>
        <v>0</v>
      </c>
      <c r="L5667" s="16">
        <f>IF(COUNTIFS(Release_Calendar!$A$2:$A$755,"US_NFP",Release_Calendar!$B$2:$B$755,$A5667)&gt;0,1,0)</f>
        <v>0</v>
      </c>
      <c r="M5667" s="16">
        <f>IF($A5667&lt;Notes!$B$5,"",IF(COUNTIFS(Release_Calendar!$A$2:$A$755,"NZ_CPI",Release_Calendar!$B$2:$B$755,$A5667)&gt;0,1,0))</f>
        <v>0</v>
      </c>
      <c r="N5667" s="16">
        <f>IF($A5667&lt;Notes!$B$5,"",IF(COUNTIFS(Release_Calendar!$A$2:$A$755,"NZ_GDP",Release_Calendar!$B$2:$B$755,$A5667)&gt;0,1,0))</f>
        <v>0</v>
      </c>
      <c r="O5667" s="16">
        <f>IF($A5667&lt;Notes!$B$5,"",IF(COUNTIFS(Release_Calendar!$A$2:$A$755,"NZ_LABOUR",Release_Calendar!$B$2:$B$755,$A5667)&gt;0,1,0))</f>
        <v>0</v>
      </c>
      <c r="P5667" s="16">
        <f t="shared" si="4"/>
        <v>0</v>
      </c>
    </row>
    <row r="5668" ht="15.75" customHeight="1">
      <c r="A5668" s="14">
        <v>44460.0</v>
      </c>
      <c r="B5668" s="15">
        <v>0.22</v>
      </c>
      <c r="C5668" s="15">
        <v>1.43</v>
      </c>
      <c r="D5668" s="15"/>
      <c r="E5668" s="15">
        <v>1.04</v>
      </c>
      <c r="F5668" s="15">
        <f t="shared" si="1"/>
        <v>1.21</v>
      </c>
      <c r="G5668" s="15">
        <f t="shared" si="2"/>
        <v>1.43</v>
      </c>
      <c r="H5668" s="16">
        <v>0.0</v>
      </c>
      <c r="I5668" s="15">
        <f t="shared" si="3"/>
        <v>1.21</v>
      </c>
      <c r="J5668" s="15">
        <v>24.36</v>
      </c>
      <c r="K5668" s="16">
        <f>IF(COUNTIFS(Release_Calendar!$A$2:$A$755,"US_CPI",Release_Calendar!$B$2:$B$755,$A5668)&gt;0,1,0)</f>
        <v>0</v>
      </c>
      <c r="L5668" s="16">
        <f>IF(COUNTIFS(Release_Calendar!$A$2:$A$755,"US_NFP",Release_Calendar!$B$2:$B$755,$A5668)&gt;0,1,0)</f>
        <v>0</v>
      </c>
      <c r="M5668" s="16">
        <f>IF($A5668&lt;Notes!$B$5,"",IF(COUNTIFS(Release_Calendar!$A$2:$A$755,"NZ_CPI",Release_Calendar!$B$2:$B$755,$A5668)&gt;0,1,0))</f>
        <v>0</v>
      </c>
      <c r="N5668" s="16">
        <f>IF($A5668&lt;Notes!$B$5,"",IF(COUNTIFS(Release_Calendar!$A$2:$A$755,"NZ_GDP",Release_Calendar!$B$2:$B$755,$A5668)&gt;0,1,0))</f>
        <v>0</v>
      </c>
      <c r="O5668" s="16">
        <f>IF($A5668&lt;Notes!$B$5,"",IF(COUNTIFS(Release_Calendar!$A$2:$A$755,"NZ_LABOUR",Release_Calendar!$B$2:$B$755,$A5668)&gt;0,1,0))</f>
        <v>0</v>
      </c>
      <c r="P5668" s="16">
        <f t="shared" si="4"/>
        <v>0</v>
      </c>
    </row>
    <row r="5669" ht="15.75" customHeight="1">
      <c r="A5669" s="14">
        <v>44461.0</v>
      </c>
      <c r="B5669" s="15">
        <v>0.25</v>
      </c>
      <c r="C5669" s="15">
        <v>1.42</v>
      </c>
      <c r="D5669" s="15"/>
      <c r="E5669" s="15">
        <v>1.04</v>
      </c>
      <c r="F5669" s="15">
        <f t="shared" si="1"/>
        <v>1.17</v>
      </c>
      <c r="G5669" s="15">
        <f t="shared" si="2"/>
        <v>1.42</v>
      </c>
      <c r="H5669" s="16">
        <v>0.0</v>
      </c>
      <c r="I5669" s="15">
        <f t="shared" si="3"/>
        <v>1.17</v>
      </c>
      <c r="J5669" s="15">
        <v>20.87</v>
      </c>
      <c r="K5669" s="16">
        <f>IF(COUNTIFS(Release_Calendar!$A$2:$A$755,"US_CPI",Release_Calendar!$B$2:$B$755,$A5669)&gt;0,1,0)</f>
        <v>0</v>
      </c>
      <c r="L5669" s="16">
        <f>IF(COUNTIFS(Release_Calendar!$A$2:$A$755,"US_NFP",Release_Calendar!$B$2:$B$755,$A5669)&gt;0,1,0)</f>
        <v>0</v>
      </c>
      <c r="M5669" s="16">
        <f>IF($A5669&lt;Notes!$B$5,"",IF(COUNTIFS(Release_Calendar!$A$2:$A$755,"NZ_CPI",Release_Calendar!$B$2:$B$755,$A5669)&gt;0,1,0))</f>
        <v>0</v>
      </c>
      <c r="N5669" s="16">
        <f>IF($A5669&lt;Notes!$B$5,"",IF(COUNTIFS(Release_Calendar!$A$2:$A$755,"NZ_GDP",Release_Calendar!$B$2:$B$755,$A5669)&gt;0,1,0))</f>
        <v>0</v>
      </c>
      <c r="O5669" s="16">
        <f>IF($A5669&lt;Notes!$B$5,"",IF(COUNTIFS(Release_Calendar!$A$2:$A$755,"NZ_LABOUR",Release_Calendar!$B$2:$B$755,$A5669)&gt;0,1,0))</f>
        <v>0</v>
      </c>
      <c r="P5669" s="16">
        <f t="shared" si="4"/>
        <v>0</v>
      </c>
    </row>
    <row r="5670" ht="15.75" customHeight="1">
      <c r="A5670" s="14">
        <v>44462.0</v>
      </c>
      <c r="B5670" s="15">
        <v>0.27</v>
      </c>
      <c r="C5670" s="15">
        <v>1.42</v>
      </c>
      <c r="D5670" s="15"/>
      <c r="E5670" s="15">
        <v>1.01</v>
      </c>
      <c r="F5670" s="15">
        <f t="shared" si="1"/>
        <v>1.15</v>
      </c>
      <c r="G5670" s="15">
        <f t="shared" si="2"/>
        <v>1.42</v>
      </c>
      <c r="H5670" s="16">
        <v>0.0</v>
      </c>
      <c r="I5670" s="15">
        <f t="shared" si="3"/>
        <v>1.15</v>
      </c>
      <c r="J5670" s="15">
        <v>18.63</v>
      </c>
      <c r="K5670" s="16">
        <f>IF(COUNTIFS(Release_Calendar!$A$2:$A$755,"US_CPI",Release_Calendar!$B$2:$B$755,$A5670)&gt;0,1,0)</f>
        <v>0</v>
      </c>
      <c r="L5670" s="16">
        <f>IF(COUNTIFS(Release_Calendar!$A$2:$A$755,"US_NFP",Release_Calendar!$B$2:$B$755,$A5670)&gt;0,1,0)</f>
        <v>0</v>
      </c>
      <c r="M5670" s="16">
        <f>IF($A5670&lt;Notes!$B$5,"",IF(COUNTIFS(Release_Calendar!$A$2:$A$755,"NZ_CPI",Release_Calendar!$B$2:$B$755,$A5670)&gt;0,1,0))</f>
        <v>0</v>
      </c>
      <c r="N5670" s="16">
        <f>IF($A5670&lt;Notes!$B$5,"",IF(COUNTIFS(Release_Calendar!$A$2:$A$755,"NZ_GDP",Release_Calendar!$B$2:$B$755,$A5670)&gt;0,1,0))</f>
        <v>0</v>
      </c>
      <c r="O5670" s="16">
        <f>IF($A5670&lt;Notes!$B$5,"",IF(COUNTIFS(Release_Calendar!$A$2:$A$755,"NZ_LABOUR",Release_Calendar!$B$2:$B$755,$A5670)&gt;0,1,0))</f>
        <v>0</v>
      </c>
      <c r="P5670" s="16">
        <f t="shared" si="4"/>
        <v>0</v>
      </c>
    </row>
    <row r="5671" ht="15.75" customHeight="1">
      <c r="A5671" s="14">
        <v>44463.0</v>
      </c>
      <c r="B5671" s="15">
        <v>0.29</v>
      </c>
      <c r="C5671" s="15">
        <v>1.45</v>
      </c>
      <c r="D5671" s="15"/>
      <c r="E5671" s="15">
        <v>1.01</v>
      </c>
      <c r="F5671" s="15">
        <f t="shared" si="1"/>
        <v>1.16</v>
      </c>
      <c r="G5671" s="15">
        <f t="shared" si="2"/>
        <v>1.45</v>
      </c>
      <c r="H5671" s="16">
        <v>0.0</v>
      </c>
      <c r="I5671" s="15">
        <f t="shared" si="3"/>
        <v>1.16</v>
      </c>
      <c r="J5671" s="15">
        <v>17.75</v>
      </c>
      <c r="K5671" s="16">
        <f>IF(COUNTIFS(Release_Calendar!$A$2:$A$755,"US_CPI",Release_Calendar!$B$2:$B$755,$A5671)&gt;0,1,0)</f>
        <v>0</v>
      </c>
      <c r="L5671" s="16">
        <f>IF(COUNTIFS(Release_Calendar!$A$2:$A$755,"US_NFP",Release_Calendar!$B$2:$B$755,$A5671)&gt;0,1,0)</f>
        <v>0</v>
      </c>
      <c r="M5671" s="16">
        <f>IF($A5671&lt;Notes!$B$5,"",IF(COUNTIFS(Release_Calendar!$A$2:$A$755,"NZ_CPI",Release_Calendar!$B$2:$B$755,$A5671)&gt;0,1,0))</f>
        <v>0</v>
      </c>
      <c r="N5671" s="16">
        <f>IF($A5671&lt;Notes!$B$5,"",IF(COUNTIFS(Release_Calendar!$A$2:$A$755,"NZ_GDP",Release_Calendar!$B$2:$B$755,$A5671)&gt;0,1,0))</f>
        <v>0</v>
      </c>
      <c r="O5671" s="16">
        <f>IF($A5671&lt;Notes!$B$5,"",IF(COUNTIFS(Release_Calendar!$A$2:$A$755,"NZ_LABOUR",Release_Calendar!$B$2:$B$755,$A5671)&gt;0,1,0))</f>
        <v>0</v>
      </c>
      <c r="P5671" s="16">
        <f t="shared" si="4"/>
        <v>0</v>
      </c>
    </row>
    <row r="5672" ht="15.75" customHeight="1">
      <c r="A5672" s="14">
        <v>44466.0</v>
      </c>
      <c r="B5672" s="15">
        <v>0.31</v>
      </c>
      <c r="C5672" s="15">
        <v>1.46</v>
      </c>
      <c r="D5672" s="15"/>
      <c r="E5672" s="15">
        <v>1.01</v>
      </c>
      <c r="F5672" s="15">
        <f t="shared" si="1"/>
        <v>1.15</v>
      </c>
      <c r="G5672" s="15">
        <f t="shared" si="2"/>
        <v>1.46</v>
      </c>
      <c r="H5672" s="16">
        <v>0.0</v>
      </c>
      <c r="I5672" s="15">
        <f t="shared" si="3"/>
        <v>1.15</v>
      </c>
      <c r="J5672" s="15">
        <v>18.76</v>
      </c>
      <c r="K5672" s="16">
        <f>IF(COUNTIFS(Release_Calendar!$A$2:$A$755,"US_CPI",Release_Calendar!$B$2:$B$755,$A5672)&gt;0,1,0)</f>
        <v>0</v>
      </c>
      <c r="L5672" s="16">
        <f>IF(COUNTIFS(Release_Calendar!$A$2:$A$755,"US_NFP",Release_Calendar!$B$2:$B$755,$A5672)&gt;0,1,0)</f>
        <v>0</v>
      </c>
      <c r="M5672" s="16">
        <f>IF($A5672&lt;Notes!$B$5,"",IF(COUNTIFS(Release_Calendar!$A$2:$A$755,"NZ_CPI",Release_Calendar!$B$2:$B$755,$A5672)&gt;0,1,0))</f>
        <v>0</v>
      </c>
      <c r="N5672" s="16">
        <f>IF($A5672&lt;Notes!$B$5,"",IF(COUNTIFS(Release_Calendar!$A$2:$A$755,"NZ_GDP",Release_Calendar!$B$2:$B$755,$A5672)&gt;0,1,0))</f>
        <v>0</v>
      </c>
      <c r="O5672" s="16">
        <f>IF($A5672&lt;Notes!$B$5,"",IF(COUNTIFS(Release_Calendar!$A$2:$A$755,"NZ_LABOUR",Release_Calendar!$B$2:$B$755,$A5672)&gt;0,1,0))</f>
        <v>0</v>
      </c>
      <c r="P5672" s="16">
        <f t="shared" si="4"/>
        <v>0</v>
      </c>
    </row>
    <row r="5673" ht="15.75" customHeight="1">
      <c r="A5673" s="14">
        <v>44467.0</v>
      </c>
      <c r="B5673" s="15">
        <v>0.31</v>
      </c>
      <c r="C5673" s="15">
        <v>1.45</v>
      </c>
      <c r="D5673" s="15"/>
      <c r="E5673" s="15">
        <v>1.01</v>
      </c>
      <c r="F5673" s="15">
        <f t="shared" si="1"/>
        <v>1.14</v>
      </c>
      <c r="G5673" s="15">
        <f t="shared" si="2"/>
        <v>1.45</v>
      </c>
      <c r="H5673" s="16">
        <v>0.0</v>
      </c>
      <c r="I5673" s="15">
        <f t="shared" si="3"/>
        <v>1.14</v>
      </c>
      <c r="J5673" s="15">
        <v>23.25</v>
      </c>
      <c r="K5673" s="16">
        <f>IF(COUNTIFS(Release_Calendar!$A$2:$A$755,"US_CPI",Release_Calendar!$B$2:$B$755,$A5673)&gt;0,1,0)</f>
        <v>0</v>
      </c>
      <c r="L5673" s="16">
        <f>IF(COUNTIFS(Release_Calendar!$A$2:$A$755,"US_NFP",Release_Calendar!$B$2:$B$755,$A5673)&gt;0,1,0)</f>
        <v>0</v>
      </c>
      <c r="M5673" s="16">
        <f>IF($A5673&lt;Notes!$B$5,"",IF(COUNTIFS(Release_Calendar!$A$2:$A$755,"NZ_CPI",Release_Calendar!$B$2:$B$755,$A5673)&gt;0,1,0))</f>
        <v>0</v>
      </c>
      <c r="N5673" s="16">
        <f>IF($A5673&lt;Notes!$B$5,"",IF(COUNTIFS(Release_Calendar!$A$2:$A$755,"NZ_GDP",Release_Calendar!$B$2:$B$755,$A5673)&gt;0,1,0))</f>
        <v>0</v>
      </c>
      <c r="O5673" s="16">
        <f>IF($A5673&lt;Notes!$B$5,"",IF(COUNTIFS(Release_Calendar!$A$2:$A$755,"NZ_LABOUR",Release_Calendar!$B$2:$B$755,$A5673)&gt;0,1,0))</f>
        <v>0</v>
      </c>
      <c r="P5673" s="16">
        <f t="shared" si="4"/>
        <v>0</v>
      </c>
    </row>
    <row r="5674" ht="15.75" customHeight="1">
      <c r="A5674" s="14">
        <v>44468.0</v>
      </c>
      <c r="B5674" s="15">
        <v>0.3</v>
      </c>
      <c r="C5674" s="15">
        <v>1.43</v>
      </c>
      <c r="D5674" s="15"/>
      <c r="E5674" s="15">
        <v>1.0</v>
      </c>
      <c r="F5674" s="15">
        <f t="shared" si="1"/>
        <v>1.13</v>
      </c>
      <c r="G5674" s="15">
        <f t="shared" si="2"/>
        <v>1.43</v>
      </c>
      <c r="H5674" s="16">
        <v>0.0</v>
      </c>
      <c r="I5674" s="15">
        <f t="shared" si="3"/>
        <v>1.13</v>
      </c>
      <c r="J5674" s="15">
        <v>22.56</v>
      </c>
      <c r="K5674" s="16">
        <f>IF(COUNTIFS(Release_Calendar!$A$2:$A$755,"US_CPI",Release_Calendar!$B$2:$B$755,$A5674)&gt;0,1,0)</f>
        <v>0</v>
      </c>
      <c r="L5674" s="16">
        <f>IF(COUNTIFS(Release_Calendar!$A$2:$A$755,"US_NFP",Release_Calendar!$B$2:$B$755,$A5674)&gt;0,1,0)</f>
        <v>0</v>
      </c>
      <c r="M5674" s="16">
        <f>IF($A5674&lt;Notes!$B$5,"",IF(COUNTIFS(Release_Calendar!$A$2:$A$755,"NZ_CPI",Release_Calendar!$B$2:$B$755,$A5674)&gt;0,1,0))</f>
        <v>0</v>
      </c>
      <c r="N5674" s="16">
        <f>IF($A5674&lt;Notes!$B$5,"",IF(COUNTIFS(Release_Calendar!$A$2:$A$755,"NZ_GDP",Release_Calendar!$B$2:$B$755,$A5674)&gt;0,1,0))</f>
        <v>0</v>
      </c>
      <c r="O5674" s="16">
        <f>IF($A5674&lt;Notes!$B$5,"",IF(COUNTIFS(Release_Calendar!$A$2:$A$755,"NZ_LABOUR",Release_Calendar!$B$2:$B$755,$A5674)&gt;0,1,0))</f>
        <v>0</v>
      </c>
      <c r="P5674" s="16">
        <f t="shared" si="4"/>
        <v>0</v>
      </c>
    </row>
    <row r="5675" ht="15.75" customHeight="1">
      <c r="A5675" s="14">
        <v>44469.0</v>
      </c>
      <c r="B5675" s="15">
        <v>0.28</v>
      </c>
      <c r="C5675" s="15">
        <v>1.42</v>
      </c>
      <c r="D5675" s="15"/>
      <c r="E5675" s="15">
        <v>1.0</v>
      </c>
      <c r="F5675" s="15">
        <f t="shared" si="1"/>
        <v>1.14</v>
      </c>
      <c r="G5675" s="15">
        <f t="shared" si="2"/>
        <v>1.42</v>
      </c>
      <c r="H5675" s="16">
        <v>0.0</v>
      </c>
      <c r="I5675" s="15">
        <f t="shared" si="3"/>
        <v>1.14</v>
      </c>
      <c r="J5675" s="15">
        <v>23.14</v>
      </c>
      <c r="K5675" s="16">
        <f>IF(COUNTIFS(Release_Calendar!$A$2:$A$755,"US_CPI",Release_Calendar!$B$2:$B$755,$A5675)&gt;0,1,0)</f>
        <v>0</v>
      </c>
      <c r="L5675" s="16">
        <f>IF(COUNTIFS(Release_Calendar!$A$2:$A$755,"US_NFP",Release_Calendar!$B$2:$B$755,$A5675)&gt;0,1,0)</f>
        <v>0</v>
      </c>
      <c r="M5675" s="16">
        <f>IF($A5675&lt;Notes!$B$5,"",IF(COUNTIFS(Release_Calendar!$A$2:$A$755,"NZ_CPI",Release_Calendar!$B$2:$B$755,$A5675)&gt;0,1,0))</f>
        <v>0</v>
      </c>
      <c r="N5675" s="16">
        <f>IF($A5675&lt;Notes!$B$5,"",IF(COUNTIFS(Release_Calendar!$A$2:$A$755,"NZ_GDP",Release_Calendar!$B$2:$B$755,$A5675)&gt;0,1,0))</f>
        <v>0</v>
      </c>
      <c r="O5675" s="16">
        <f>IF($A5675&lt;Notes!$B$5,"",IF(COUNTIFS(Release_Calendar!$A$2:$A$755,"NZ_LABOUR",Release_Calendar!$B$2:$B$755,$A5675)&gt;0,1,0))</f>
        <v>0</v>
      </c>
      <c r="P5675" s="16">
        <f t="shared" si="4"/>
        <v>0</v>
      </c>
    </row>
    <row r="5676" ht="15.75" customHeight="1">
      <c r="A5676" s="14">
        <v>44470.0</v>
      </c>
      <c r="B5676" s="15">
        <v>0.27</v>
      </c>
      <c r="C5676" s="15">
        <v>1.41</v>
      </c>
      <c r="D5676" s="15"/>
      <c r="E5676" s="15">
        <v>1.0</v>
      </c>
      <c r="F5676" s="15">
        <f t="shared" si="1"/>
        <v>1.14</v>
      </c>
      <c r="G5676" s="15">
        <f t="shared" si="2"/>
        <v>1.41</v>
      </c>
      <c r="H5676" s="16">
        <v>0.0</v>
      </c>
      <c r="I5676" s="15">
        <f t="shared" si="3"/>
        <v>1.14</v>
      </c>
      <c r="J5676" s="15">
        <v>21.15</v>
      </c>
      <c r="K5676" s="16">
        <f>IF(COUNTIFS(Release_Calendar!$A$2:$A$755,"US_CPI",Release_Calendar!$B$2:$B$755,$A5676)&gt;0,1,0)</f>
        <v>0</v>
      </c>
      <c r="L5676" s="16">
        <f>IF(COUNTIFS(Release_Calendar!$A$2:$A$755,"US_NFP",Release_Calendar!$B$2:$B$755,$A5676)&gt;0,1,0)</f>
        <v>0</v>
      </c>
      <c r="M5676" s="16">
        <f>IF($A5676&lt;Notes!$B$5,"",IF(COUNTIFS(Release_Calendar!$A$2:$A$755,"NZ_CPI",Release_Calendar!$B$2:$B$755,$A5676)&gt;0,1,0))</f>
        <v>0</v>
      </c>
      <c r="N5676" s="16">
        <f>IF($A5676&lt;Notes!$B$5,"",IF(COUNTIFS(Release_Calendar!$A$2:$A$755,"NZ_GDP",Release_Calendar!$B$2:$B$755,$A5676)&gt;0,1,0))</f>
        <v>0</v>
      </c>
      <c r="O5676" s="16">
        <f>IF($A5676&lt;Notes!$B$5,"",IF(COUNTIFS(Release_Calendar!$A$2:$A$755,"NZ_LABOUR",Release_Calendar!$B$2:$B$755,$A5676)&gt;0,1,0))</f>
        <v>0</v>
      </c>
      <c r="P5676" s="16">
        <f t="shared" si="4"/>
        <v>0</v>
      </c>
    </row>
    <row r="5677" ht="15.75" customHeight="1">
      <c r="A5677" s="14">
        <v>44473.0</v>
      </c>
      <c r="B5677" s="15">
        <v>0.27</v>
      </c>
      <c r="C5677" s="15">
        <v>1.38</v>
      </c>
      <c r="D5677" s="15"/>
      <c r="E5677" s="15">
        <v>0.98</v>
      </c>
      <c r="F5677" s="15">
        <f t="shared" si="1"/>
        <v>1.11</v>
      </c>
      <c r="G5677" s="15">
        <f t="shared" si="2"/>
        <v>1.38</v>
      </c>
      <c r="H5677" s="16">
        <v>0.0</v>
      </c>
      <c r="I5677" s="15">
        <f t="shared" si="3"/>
        <v>1.11</v>
      </c>
      <c r="J5677" s="15">
        <v>22.96</v>
      </c>
      <c r="K5677" s="16">
        <f>IF(COUNTIFS(Release_Calendar!$A$2:$A$755,"US_CPI",Release_Calendar!$B$2:$B$755,$A5677)&gt;0,1,0)</f>
        <v>0</v>
      </c>
      <c r="L5677" s="16">
        <f>IF(COUNTIFS(Release_Calendar!$A$2:$A$755,"US_NFP",Release_Calendar!$B$2:$B$755,$A5677)&gt;0,1,0)</f>
        <v>0</v>
      </c>
      <c r="M5677" s="16">
        <f>IF($A5677&lt;Notes!$B$5,"",IF(COUNTIFS(Release_Calendar!$A$2:$A$755,"NZ_CPI",Release_Calendar!$B$2:$B$755,$A5677)&gt;0,1,0))</f>
        <v>0</v>
      </c>
      <c r="N5677" s="16">
        <f>IF($A5677&lt;Notes!$B$5,"",IF(COUNTIFS(Release_Calendar!$A$2:$A$755,"NZ_GDP",Release_Calendar!$B$2:$B$755,$A5677)&gt;0,1,0))</f>
        <v>0</v>
      </c>
      <c r="O5677" s="16">
        <f>IF($A5677&lt;Notes!$B$5,"",IF(COUNTIFS(Release_Calendar!$A$2:$A$755,"NZ_LABOUR",Release_Calendar!$B$2:$B$755,$A5677)&gt;0,1,0))</f>
        <v>0</v>
      </c>
      <c r="P5677" s="16">
        <f t="shared" si="4"/>
        <v>0</v>
      </c>
    </row>
    <row r="5678" ht="15.75" customHeight="1">
      <c r="A5678" s="14">
        <v>44474.0</v>
      </c>
      <c r="B5678" s="15">
        <v>0.28</v>
      </c>
      <c r="C5678" s="15">
        <v>1.4</v>
      </c>
      <c r="D5678" s="15"/>
      <c r="E5678" s="15">
        <v>0.97</v>
      </c>
      <c r="F5678" s="15">
        <f t="shared" si="1"/>
        <v>1.12</v>
      </c>
      <c r="G5678" s="15">
        <f t="shared" si="2"/>
        <v>1.4</v>
      </c>
      <c r="H5678" s="16">
        <v>0.0</v>
      </c>
      <c r="I5678" s="15">
        <f t="shared" si="3"/>
        <v>1.12</v>
      </c>
      <c r="J5678" s="15">
        <v>21.3</v>
      </c>
      <c r="K5678" s="16">
        <f>IF(COUNTIFS(Release_Calendar!$A$2:$A$755,"US_CPI",Release_Calendar!$B$2:$B$755,$A5678)&gt;0,1,0)</f>
        <v>0</v>
      </c>
      <c r="L5678" s="16">
        <f>IF(COUNTIFS(Release_Calendar!$A$2:$A$755,"US_NFP",Release_Calendar!$B$2:$B$755,$A5678)&gt;0,1,0)</f>
        <v>0</v>
      </c>
      <c r="M5678" s="16">
        <f>IF($A5678&lt;Notes!$B$5,"",IF(COUNTIFS(Release_Calendar!$A$2:$A$755,"NZ_CPI",Release_Calendar!$B$2:$B$755,$A5678)&gt;0,1,0))</f>
        <v>0</v>
      </c>
      <c r="N5678" s="16">
        <f>IF($A5678&lt;Notes!$B$5,"",IF(COUNTIFS(Release_Calendar!$A$2:$A$755,"NZ_GDP",Release_Calendar!$B$2:$B$755,$A5678)&gt;0,1,0))</f>
        <v>0</v>
      </c>
      <c r="O5678" s="16">
        <f>IF($A5678&lt;Notes!$B$5,"",IF(COUNTIFS(Release_Calendar!$A$2:$A$755,"NZ_LABOUR",Release_Calendar!$B$2:$B$755,$A5678)&gt;0,1,0))</f>
        <v>0</v>
      </c>
      <c r="P5678" s="16">
        <f t="shared" si="4"/>
        <v>0</v>
      </c>
    </row>
    <row r="5679" ht="15.75" customHeight="1">
      <c r="A5679" s="14">
        <v>44475.0</v>
      </c>
      <c r="B5679" s="15">
        <v>0.3</v>
      </c>
      <c r="C5679" s="15">
        <v>1.41</v>
      </c>
      <c r="D5679" s="15"/>
      <c r="E5679" s="15">
        <v>0.98</v>
      </c>
      <c r="F5679" s="15">
        <f t="shared" si="1"/>
        <v>1.11</v>
      </c>
      <c r="G5679" s="15">
        <f t="shared" si="2"/>
        <v>1.41</v>
      </c>
      <c r="H5679" s="16">
        <v>0.0</v>
      </c>
      <c r="I5679" s="15">
        <f t="shared" si="3"/>
        <v>1.11</v>
      </c>
      <c r="J5679" s="15">
        <v>21.0</v>
      </c>
      <c r="K5679" s="16">
        <f>IF(COUNTIFS(Release_Calendar!$A$2:$A$755,"US_CPI",Release_Calendar!$B$2:$B$755,$A5679)&gt;0,1,0)</f>
        <v>0</v>
      </c>
      <c r="L5679" s="16">
        <f>IF(COUNTIFS(Release_Calendar!$A$2:$A$755,"US_NFP",Release_Calendar!$B$2:$B$755,$A5679)&gt;0,1,0)</f>
        <v>0</v>
      </c>
      <c r="M5679" s="16">
        <f>IF($A5679&lt;Notes!$B$5,"",IF(COUNTIFS(Release_Calendar!$A$2:$A$755,"NZ_CPI",Release_Calendar!$B$2:$B$755,$A5679)&gt;0,1,0))</f>
        <v>0</v>
      </c>
      <c r="N5679" s="16">
        <f>IF($A5679&lt;Notes!$B$5,"",IF(COUNTIFS(Release_Calendar!$A$2:$A$755,"NZ_GDP",Release_Calendar!$B$2:$B$755,$A5679)&gt;0,1,0))</f>
        <v>0</v>
      </c>
      <c r="O5679" s="16">
        <f>IF($A5679&lt;Notes!$B$5,"",IF(COUNTIFS(Release_Calendar!$A$2:$A$755,"NZ_LABOUR",Release_Calendar!$B$2:$B$755,$A5679)&gt;0,1,0))</f>
        <v>0</v>
      </c>
      <c r="P5679" s="16">
        <f t="shared" si="4"/>
        <v>0</v>
      </c>
    </row>
    <row r="5680" ht="15.75" customHeight="1">
      <c r="A5680" s="14">
        <v>44476.0</v>
      </c>
      <c r="B5680" s="15">
        <v>0.32</v>
      </c>
      <c r="C5680" s="15">
        <v>1.42</v>
      </c>
      <c r="D5680" s="15"/>
      <c r="E5680" s="15">
        <v>0.98</v>
      </c>
      <c r="F5680" s="15">
        <f t="shared" si="1"/>
        <v>1.1</v>
      </c>
      <c r="G5680" s="15">
        <f t="shared" si="2"/>
        <v>1.42</v>
      </c>
      <c r="H5680" s="16">
        <v>0.0</v>
      </c>
      <c r="I5680" s="15">
        <f t="shared" si="3"/>
        <v>1.1</v>
      </c>
      <c r="J5680" s="15">
        <v>19.54</v>
      </c>
      <c r="K5680" s="16">
        <f>IF(COUNTIFS(Release_Calendar!$A$2:$A$755,"US_CPI",Release_Calendar!$B$2:$B$755,$A5680)&gt;0,1,0)</f>
        <v>0</v>
      </c>
      <c r="L5680" s="16">
        <f>IF(COUNTIFS(Release_Calendar!$A$2:$A$755,"US_NFP",Release_Calendar!$B$2:$B$755,$A5680)&gt;0,1,0)</f>
        <v>0</v>
      </c>
      <c r="M5680" s="16">
        <f>IF($A5680&lt;Notes!$B$5,"",IF(COUNTIFS(Release_Calendar!$A$2:$A$755,"NZ_CPI",Release_Calendar!$B$2:$B$755,$A5680)&gt;0,1,0))</f>
        <v>0</v>
      </c>
      <c r="N5680" s="16">
        <f>IF($A5680&lt;Notes!$B$5,"",IF(COUNTIFS(Release_Calendar!$A$2:$A$755,"NZ_GDP",Release_Calendar!$B$2:$B$755,$A5680)&gt;0,1,0))</f>
        <v>0</v>
      </c>
      <c r="O5680" s="16">
        <f>IF($A5680&lt;Notes!$B$5,"",IF(COUNTIFS(Release_Calendar!$A$2:$A$755,"NZ_LABOUR",Release_Calendar!$B$2:$B$755,$A5680)&gt;0,1,0))</f>
        <v>0</v>
      </c>
      <c r="P5680" s="16">
        <f t="shared" si="4"/>
        <v>0</v>
      </c>
    </row>
    <row r="5681" ht="15.75" customHeight="1">
      <c r="A5681" s="14">
        <v>44477.0</v>
      </c>
      <c r="B5681" s="15">
        <v>0.32</v>
      </c>
      <c r="C5681" s="15">
        <v>1.45</v>
      </c>
      <c r="D5681" s="15"/>
      <c r="E5681" s="15">
        <v>1.0</v>
      </c>
      <c r="F5681" s="15">
        <f t="shared" si="1"/>
        <v>1.13</v>
      </c>
      <c r="G5681" s="15">
        <f t="shared" si="2"/>
        <v>1.45</v>
      </c>
      <c r="H5681" s="16">
        <v>0.0</v>
      </c>
      <c r="I5681" s="15">
        <f t="shared" si="3"/>
        <v>1.13</v>
      </c>
      <c r="J5681" s="15">
        <v>18.77</v>
      </c>
      <c r="K5681" s="16">
        <f>IF(COUNTIFS(Release_Calendar!$A$2:$A$755,"US_CPI",Release_Calendar!$B$2:$B$755,$A5681)&gt;0,1,0)</f>
        <v>0</v>
      </c>
      <c r="L5681" s="16">
        <f>IF(COUNTIFS(Release_Calendar!$A$2:$A$755,"US_NFP",Release_Calendar!$B$2:$B$755,$A5681)&gt;0,1,0)</f>
        <v>1</v>
      </c>
      <c r="M5681" s="16">
        <f>IF($A5681&lt;Notes!$B$5,"",IF(COUNTIFS(Release_Calendar!$A$2:$A$755,"NZ_CPI",Release_Calendar!$B$2:$B$755,$A5681)&gt;0,1,0))</f>
        <v>0</v>
      </c>
      <c r="N5681" s="16">
        <f>IF($A5681&lt;Notes!$B$5,"",IF(COUNTIFS(Release_Calendar!$A$2:$A$755,"NZ_GDP",Release_Calendar!$B$2:$B$755,$A5681)&gt;0,1,0))</f>
        <v>0</v>
      </c>
      <c r="O5681" s="16">
        <f>IF($A5681&lt;Notes!$B$5,"",IF(COUNTIFS(Release_Calendar!$A$2:$A$755,"NZ_LABOUR",Release_Calendar!$B$2:$B$755,$A5681)&gt;0,1,0))</f>
        <v>0</v>
      </c>
      <c r="P5681" s="16">
        <f t="shared" si="4"/>
        <v>1</v>
      </c>
    </row>
    <row r="5682" ht="15.75" customHeight="1">
      <c r="A5682" s="14">
        <v>44480.0</v>
      </c>
      <c r="B5682" s="15"/>
      <c r="C5682" s="15">
        <v>1.48</v>
      </c>
      <c r="D5682" s="15"/>
      <c r="E5682" s="15">
        <v>1.03</v>
      </c>
      <c r="F5682" s="15" t="str">
        <f t="shared" si="1"/>
        <v/>
      </c>
      <c r="G5682" s="15">
        <f t="shared" si="2"/>
        <v>1.48</v>
      </c>
      <c r="H5682" s="16">
        <v>0.0</v>
      </c>
      <c r="I5682" s="15" t="str">
        <f t="shared" si="3"/>
        <v/>
      </c>
      <c r="J5682" s="15">
        <v>20.0</v>
      </c>
      <c r="K5682" s="16">
        <f>IF(COUNTIFS(Release_Calendar!$A$2:$A$755,"US_CPI",Release_Calendar!$B$2:$B$755,$A5682)&gt;0,1,0)</f>
        <v>0</v>
      </c>
      <c r="L5682" s="16">
        <f>IF(COUNTIFS(Release_Calendar!$A$2:$A$755,"US_NFP",Release_Calendar!$B$2:$B$755,$A5682)&gt;0,1,0)</f>
        <v>0</v>
      </c>
      <c r="M5682" s="16">
        <f>IF($A5682&lt;Notes!$B$5,"",IF(COUNTIFS(Release_Calendar!$A$2:$A$755,"NZ_CPI",Release_Calendar!$B$2:$B$755,$A5682)&gt;0,1,0))</f>
        <v>0</v>
      </c>
      <c r="N5682" s="16">
        <f>IF($A5682&lt;Notes!$B$5,"",IF(COUNTIFS(Release_Calendar!$A$2:$A$755,"NZ_GDP",Release_Calendar!$B$2:$B$755,$A5682)&gt;0,1,0))</f>
        <v>0</v>
      </c>
      <c r="O5682" s="16">
        <f>IF($A5682&lt;Notes!$B$5,"",IF(COUNTIFS(Release_Calendar!$A$2:$A$755,"NZ_LABOUR",Release_Calendar!$B$2:$B$755,$A5682)&gt;0,1,0))</f>
        <v>0</v>
      </c>
      <c r="P5682" s="16">
        <f t="shared" si="4"/>
        <v>0</v>
      </c>
    </row>
    <row r="5683" ht="15.75" customHeight="1">
      <c r="A5683" s="14">
        <v>44481.0</v>
      </c>
      <c r="B5683" s="15">
        <v>0.35</v>
      </c>
      <c r="C5683" s="15">
        <v>1.52</v>
      </c>
      <c r="D5683" s="15"/>
      <c r="E5683" s="15">
        <v>1.05</v>
      </c>
      <c r="F5683" s="15">
        <f t="shared" si="1"/>
        <v>1.17</v>
      </c>
      <c r="G5683" s="15">
        <f t="shared" si="2"/>
        <v>1.52</v>
      </c>
      <c r="H5683" s="16">
        <v>0.0</v>
      </c>
      <c r="I5683" s="15">
        <f t="shared" si="3"/>
        <v>1.17</v>
      </c>
      <c r="J5683" s="15">
        <v>19.85</v>
      </c>
      <c r="K5683" s="16">
        <f>IF(COUNTIFS(Release_Calendar!$A$2:$A$755,"US_CPI",Release_Calendar!$B$2:$B$755,$A5683)&gt;0,1,0)</f>
        <v>0</v>
      </c>
      <c r="L5683" s="16">
        <f>IF(COUNTIFS(Release_Calendar!$A$2:$A$755,"US_NFP",Release_Calendar!$B$2:$B$755,$A5683)&gt;0,1,0)</f>
        <v>0</v>
      </c>
      <c r="M5683" s="16">
        <f>IF($A5683&lt;Notes!$B$5,"",IF(COUNTIFS(Release_Calendar!$A$2:$A$755,"NZ_CPI",Release_Calendar!$B$2:$B$755,$A5683)&gt;0,1,0))</f>
        <v>0</v>
      </c>
      <c r="N5683" s="16">
        <f>IF($A5683&lt;Notes!$B$5,"",IF(COUNTIFS(Release_Calendar!$A$2:$A$755,"NZ_GDP",Release_Calendar!$B$2:$B$755,$A5683)&gt;0,1,0))</f>
        <v>0</v>
      </c>
      <c r="O5683" s="16">
        <f>IF($A5683&lt;Notes!$B$5,"",IF(COUNTIFS(Release_Calendar!$A$2:$A$755,"NZ_LABOUR",Release_Calendar!$B$2:$B$755,$A5683)&gt;0,1,0))</f>
        <v>0</v>
      </c>
      <c r="P5683" s="16">
        <f t="shared" si="4"/>
        <v>0</v>
      </c>
    </row>
    <row r="5684" ht="15.75" customHeight="1">
      <c r="A5684" s="14">
        <v>44482.0</v>
      </c>
      <c r="B5684" s="15">
        <v>0.37</v>
      </c>
      <c r="C5684" s="15">
        <v>1.56</v>
      </c>
      <c r="D5684" s="15"/>
      <c r="E5684" s="15">
        <v>1.05</v>
      </c>
      <c r="F5684" s="15">
        <f t="shared" si="1"/>
        <v>1.19</v>
      </c>
      <c r="G5684" s="15">
        <f t="shared" si="2"/>
        <v>1.56</v>
      </c>
      <c r="H5684" s="16">
        <v>0.0</v>
      </c>
      <c r="I5684" s="15">
        <f t="shared" si="3"/>
        <v>1.19</v>
      </c>
      <c r="J5684" s="15">
        <v>18.64</v>
      </c>
      <c r="K5684" s="16">
        <f>IF(COUNTIFS(Release_Calendar!$A$2:$A$755,"US_CPI",Release_Calendar!$B$2:$B$755,$A5684)&gt;0,1,0)</f>
        <v>1</v>
      </c>
      <c r="L5684" s="16">
        <f>IF(COUNTIFS(Release_Calendar!$A$2:$A$755,"US_NFP",Release_Calendar!$B$2:$B$755,$A5684)&gt;0,1,0)</f>
        <v>0</v>
      </c>
      <c r="M5684" s="16">
        <f>IF($A5684&lt;Notes!$B$5,"",IF(COUNTIFS(Release_Calendar!$A$2:$A$755,"NZ_CPI",Release_Calendar!$B$2:$B$755,$A5684)&gt;0,1,0))</f>
        <v>0</v>
      </c>
      <c r="N5684" s="16">
        <f>IF($A5684&lt;Notes!$B$5,"",IF(COUNTIFS(Release_Calendar!$A$2:$A$755,"NZ_GDP",Release_Calendar!$B$2:$B$755,$A5684)&gt;0,1,0))</f>
        <v>0</v>
      </c>
      <c r="O5684" s="16">
        <f>IF($A5684&lt;Notes!$B$5,"",IF(COUNTIFS(Release_Calendar!$A$2:$A$755,"NZ_LABOUR",Release_Calendar!$B$2:$B$755,$A5684)&gt;0,1,0))</f>
        <v>0</v>
      </c>
      <c r="P5684" s="16">
        <f t="shared" si="4"/>
        <v>1</v>
      </c>
    </row>
    <row r="5685" ht="15.75" customHeight="1">
      <c r="A5685" s="14">
        <v>44483.0</v>
      </c>
      <c r="B5685" s="15">
        <v>0.36</v>
      </c>
      <c r="C5685" s="15">
        <v>1.6</v>
      </c>
      <c r="D5685" s="15"/>
      <c r="E5685" s="15"/>
      <c r="F5685" s="15">
        <f t="shared" si="1"/>
        <v>1.24</v>
      </c>
      <c r="G5685" s="15">
        <f t="shared" si="2"/>
        <v>1.6</v>
      </c>
      <c r="H5685" s="16">
        <v>0.0</v>
      </c>
      <c r="I5685" s="15">
        <f t="shared" si="3"/>
        <v>1.24</v>
      </c>
      <c r="J5685" s="15">
        <v>16.86</v>
      </c>
      <c r="K5685" s="16">
        <f>IF(COUNTIFS(Release_Calendar!$A$2:$A$755,"US_CPI",Release_Calendar!$B$2:$B$755,$A5685)&gt;0,1,0)</f>
        <v>0</v>
      </c>
      <c r="L5685" s="16">
        <f>IF(COUNTIFS(Release_Calendar!$A$2:$A$755,"US_NFP",Release_Calendar!$B$2:$B$755,$A5685)&gt;0,1,0)</f>
        <v>0</v>
      </c>
      <c r="M5685" s="16">
        <f>IF($A5685&lt;Notes!$B$5,"",IF(COUNTIFS(Release_Calendar!$A$2:$A$755,"NZ_CPI",Release_Calendar!$B$2:$B$755,$A5685)&gt;0,1,0))</f>
        <v>0</v>
      </c>
      <c r="N5685" s="16">
        <f>IF($A5685&lt;Notes!$B$5,"",IF(COUNTIFS(Release_Calendar!$A$2:$A$755,"NZ_GDP",Release_Calendar!$B$2:$B$755,$A5685)&gt;0,1,0))</f>
        <v>0</v>
      </c>
      <c r="O5685" s="16">
        <f>IF($A5685&lt;Notes!$B$5,"",IF(COUNTIFS(Release_Calendar!$A$2:$A$755,"NZ_LABOUR",Release_Calendar!$B$2:$B$755,$A5685)&gt;0,1,0))</f>
        <v>0</v>
      </c>
      <c r="P5685" s="16">
        <f t="shared" si="4"/>
        <v>0</v>
      </c>
    </row>
    <row r="5686" ht="15.75" customHeight="1">
      <c r="A5686" s="14">
        <v>44484.0</v>
      </c>
      <c r="B5686" s="15">
        <v>0.41</v>
      </c>
      <c r="C5686" s="15">
        <v>1.64</v>
      </c>
      <c r="D5686" s="15"/>
      <c r="E5686" s="15"/>
      <c r="F5686" s="15">
        <f t="shared" si="1"/>
        <v>1.23</v>
      </c>
      <c r="G5686" s="15">
        <f t="shared" si="2"/>
        <v>1.64</v>
      </c>
      <c r="H5686" s="16">
        <v>0.0</v>
      </c>
      <c r="I5686" s="15">
        <f t="shared" si="3"/>
        <v>1.23</v>
      </c>
      <c r="J5686" s="15">
        <v>16.3</v>
      </c>
      <c r="K5686" s="16">
        <f>IF(COUNTIFS(Release_Calendar!$A$2:$A$755,"US_CPI",Release_Calendar!$B$2:$B$755,$A5686)&gt;0,1,0)</f>
        <v>0</v>
      </c>
      <c r="L5686" s="16">
        <f>IF(COUNTIFS(Release_Calendar!$A$2:$A$755,"US_NFP",Release_Calendar!$B$2:$B$755,$A5686)&gt;0,1,0)</f>
        <v>0</v>
      </c>
      <c r="M5686" s="16">
        <f>IF($A5686&lt;Notes!$B$5,"",IF(COUNTIFS(Release_Calendar!$A$2:$A$755,"NZ_CPI",Release_Calendar!$B$2:$B$755,$A5686)&gt;0,1,0))</f>
        <v>0</v>
      </c>
      <c r="N5686" s="16">
        <f>IF($A5686&lt;Notes!$B$5,"",IF(COUNTIFS(Release_Calendar!$A$2:$A$755,"NZ_GDP",Release_Calendar!$B$2:$B$755,$A5686)&gt;0,1,0))</f>
        <v>0</v>
      </c>
      <c r="O5686" s="16">
        <f>IF($A5686&lt;Notes!$B$5,"",IF(COUNTIFS(Release_Calendar!$A$2:$A$755,"NZ_LABOUR",Release_Calendar!$B$2:$B$755,$A5686)&gt;0,1,0))</f>
        <v>0</v>
      </c>
      <c r="P5686" s="16">
        <f t="shared" si="4"/>
        <v>0</v>
      </c>
    </row>
    <row r="5687" ht="15.75" customHeight="1">
      <c r="A5687" s="14">
        <v>44487.0</v>
      </c>
      <c r="B5687" s="15">
        <v>0.44</v>
      </c>
      <c r="C5687" s="15">
        <v>1.92</v>
      </c>
      <c r="D5687" s="15"/>
      <c r="E5687" s="15"/>
      <c r="F5687" s="15">
        <f t="shared" si="1"/>
        <v>1.48</v>
      </c>
      <c r="G5687" s="15">
        <f t="shared" si="2"/>
        <v>1.92</v>
      </c>
      <c r="H5687" s="16">
        <v>0.0</v>
      </c>
      <c r="I5687" s="15">
        <f t="shared" si="3"/>
        <v>1.48</v>
      </c>
      <c r="J5687" s="15">
        <v>16.31</v>
      </c>
      <c r="K5687" s="16">
        <f>IF(COUNTIFS(Release_Calendar!$A$2:$A$755,"US_CPI",Release_Calendar!$B$2:$B$755,$A5687)&gt;0,1,0)</f>
        <v>0</v>
      </c>
      <c r="L5687" s="16">
        <f>IF(COUNTIFS(Release_Calendar!$A$2:$A$755,"US_NFP",Release_Calendar!$B$2:$B$755,$A5687)&gt;0,1,0)</f>
        <v>0</v>
      </c>
      <c r="M5687" s="16">
        <f>IF($A5687&lt;Notes!$B$5,"",IF(COUNTIFS(Release_Calendar!$A$2:$A$755,"NZ_CPI",Release_Calendar!$B$2:$B$755,$A5687)&gt;0,1,0))</f>
        <v>1</v>
      </c>
      <c r="N5687" s="16">
        <f>IF($A5687&lt;Notes!$B$5,"",IF(COUNTIFS(Release_Calendar!$A$2:$A$755,"NZ_GDP",Release_Calendar!$B$2:$B$755,$A5687)&gt;0,1,0))</f>
        <v>0</v>
      </c>
      <c r="O5687" s="16">
        <f>IF($A5687&lt;Notes!$B$5,"",IF(COUNTIFS(Release_Calendar!$A$2:$A$755,"NZ_LABOUR",Release_Calendar!$B$2:$B$755,$A5687)&gt;0,1,0))</f>
        <v>0</v>
      </c>
      <c r="P5687" s="16">
        <f t="shared" si="4"/>
        <v>1</v>
      </c>
    </row>
    <row r="5688" ht="15.75" customHeight="1">
      <c r="A5688" s="14">
        <v>44488.0</v>
      </c>
      <c r="B5688" s="15">
        <v>0.41</v>
      </c>
      <c r="C5688" s="15">
        <v>1.95</v>
      </c>
      <c r="D5688" s="15"/>
      <c r="E5688" s="15"/>
      <c r="F5688" s="15">
        <f t="shared" si="1"/>
        <v>1.54</v>
      </c>
      <c r="G5688" s="15">
        <f t="shared" si="2"/>
        <v>1.95</v>
      </c>
      <c r="H5688" s="16">
        <v>0.0</v>
      </c>
      <c r="I5688" s="15">
        <f t="shared" si="3"/>
        <v>1.54</v>
      </c>
      <c r="J5688" s="15">
        <v>15.7</v>
      </c>
      <c r="K5688" s="16">
        <f>IF(COUNTIFS(Release_Calendar!$A$2:$A$755,"US_CPI",Release_Calendar!$B$2:$B$755,$A5688)&gt;0,1,0)</f>
        <v>0</v>
      </c>
      <c r="L5688" s="16">
        <f>IF(COUNTIFS(Release_Calendar!$A$2:$A$755,"US_NFP",Release_Calendar!$B$2:$B$755,$A5688)&gt;0,1,0)</f>
        <v>0</v>
      </c>
      <c r="M5688" s="16">
        <f>IF($A5688&lt;Notes!$B$5,"",IF(COUNTIFS(Release_Calendar!$A$2:$A$755,"NZ_CPI",Release_Calendar!$B$2:$B$755,$A5688)&gt;0,1,0))</f>
        <v>0</v>
      </c>
      <c r="N5688" s="16">
        <f>IF($A5688&lt;Notes!$B$5,"",IF(COUNTIFS(Release_Calendar!$A$2:$A$755,"NZ_GDP",Release_Calendar!$B$2:$B$755,$A5688)&gt;0,1,0))</f>
        <v>0</v>
      </c>
      <c r="O5688" s="16">
        <f>IF($A5688&lt;Notes!$B$5,"",IF(COUNTIFS(Release_Calendar!$A$2:$A$755,"NZ_LABOUR",Release_Calendar!$B$2:$B$755,$A5688)&gt;0,1,0))</f>
        <v>0</v>
      </c>
      <c r="P5688" s="16">
        <f t="shared" si="4"/>
        <v>0</v>
      </c>
    </row>
    <row r="5689" ht="15.75" customHeight="1">
      <c r="A5689" s="14">
        <v>44489.0</v>
      </c>
      <c r="B5689" s="15">
        <v>0.4</v>
      </c>
      <c r="C5689" s="15">
        <v>1.94</v>
      </c>
      <c r="D5689" s="15"/>
      <c r="E5689" s="15"/>
      <c r="F5689" s="15">
        <f t="shared" si="1"/>
        <v>1.54</v>
      </c>
      <c r="G5689" s="15">
        <f t="shared" si="2"/>
        <v>1.94</v>
      </c>
      <c r="H5689" s="16">
        <v>0.0</v>
      </c>
      <c r="I5689" s="15">
        <f t="shared" si="3"/>
        <v>1.54</v>
      </c>
      <c r="J5689" s="15">
        <v>15.49</v>
      </c>
      <c r="K5689" s="16">
        <f>IF(COUNTIFS(Release_Calendar!$A$2:$A$755,"US_CPI",Release_Calendar!$B$2:$B$755,$A5689)&gt;0,1,0)</f>
        <v>0</v>
      </c>
      <c r="L5689" s="16">
        <f>IF(COUNTIFS(Release_Calendar!$A$2:$A$755,"US_NFP",Release_Calendar!$B$2:$B$755,$A5689)&gt;0,1,0)</f>
        <v>0</v>
      </c>
      <c r="M5689" s="16">
        <f>IF($A5689&lt;Notes!$B$5,"",IF(COUNTIFS(Release_Calendar!$A$2:$A$755,"NZ_CPI",Release_Calendar!$B$2:$B$755,$A5689)&gt;0,1,0))</f>
        <v>0</v>
      </c>
      <c r="N5689" s="16">
        <f>IF($A5689&lt;Notes!$B$5,"",IF(COUNTIFS(Release_Calendar!$A$2:$A$755,"NZ_GDP",Release_Calendar!$B$2:$B$755,$A5689)&gt;0,1,0))</f>
        <v>0</v>
      </c>
      <c r="O5689" s="16">
        <f>IF($A5689&lt;Notes!$B$5,"",IF(COUNTIFS(Release_Calendar!$A$2:$A$755,"NZ_LABOUR",Release_Calendar!$B$2:$B$755,$A5689)&gt;0,1,0))</f>
        <v>0</v>
      </c>
      <c r="P5689" s="16">
        <f t="shared" si="4"/>
        <v>0</v>
      </c>
    </row>
    <row r="5690" ht="15.75" customHeight="1">
      <c r="A5690" s="14">
        <v>44490.0</v>
      </c>
      <c r="B5690" s="15">
        <v>0.45</v>
      </c>
      <c r="C5690" s="15">
        <v>1.95</v>
      </c>
      <c r="D5690" s="15"/>
      <c r="E5690" s="15"/>
      <c r="F5690" s="15">
        <f t="shared" si="1"/>
        <v>1.5</v>
      </c>
      <c r="G5690" s="15">
        <f t="shared" si="2"/>
        <v>1.95</v>
      </c>
      <c r="H5690" s="16">
        <v>0.0</v>
      </c>
      <c r="I5690" s="15">
        <f t="shared" si="3"/>
        <v>1.5</v>
      </c>
      <c r="J5690" s="15">
        <v>15.01</v>
      </c>
      <c r="K5690" s="16">
        <f>IF(COUNTIFS(Release_Calendar!$A$2:$A$755,"US_CPI",Release_Calendar!$B$2:$B$755,$A5690)&gt;0,1,0)</f>
        <v>0</v>
      </c>
      <c r="L5690" s="16">
        <f>IF(COUNTIFS(Release_Calendar!$A$2:$A$755,"US_NFP",Release_Calendar!$B$2:$B$755,$A5690)&gt;0,1,0)</f>
        <v>0</v>
      </c>
      <c r="M5690" s="16">
        <f>IF($A5690&lt;Notes!$B$5,"",IF(COUNTIFS(Release_Calendar!$A$2:$A$755,"NZ_CPI",Release_Calendar!$B$2:$B$755,$A5690)&gt;0,1,0))</f>
        <v>0</v>
      </c>
      <c r="N5690" s="16">
        <f>IF($A5690&lt;Notes!$B$5,"",IF(COUNTIFS(Release_Calendar!$A$2:$A$755,"NZ_GDP",Release_Calendar!$B$2:$B$755,$A5690)&gt;0,1,0))</f>
        <v>0</v>
      </c>
      <c r="O5690" s="16">
        <f>IF($A5690&lt;Notes!$B$5,"",IF(COUNTIFS(Release_Calendar!$A$2:$A$755,"NZ_LABOUR",Release_Calendar!$B$2:$B$755,$A5690)&gt;0,1,0))</f>
        <v>0</v>
      </c>
      <c r="P5690" s="16">
        <f t="shared" si="4"/>
        <v>0</v>
      </c>
    </row>
    <row r="5691" ht="15.75" customHeight="1">
      <c r="A5691" s="14">
        <v>44491.0</v>
      </c>
      <c r="B5691" s="15">
        <v>0.48</v>
      </c>
      <c r="C5691" s="15">
        <v>1.98</v>
      </c>
      <c r="D5691" s="15"/>
      <c r="E5691" s="15"/>
      <c r="F5691" s="15">
        <f t="shared" si="1"/>
        <v>1.5</v>
      </c>
      <c r="G5691" s="15">
        <f t="shared" si="2"/>
        <v>1.98</v>
      </c>
      <c r="H5691" s="16">
        <v>0.0</v>
      </c>
      <c r="I5691" s="15">
        <f t="shared" si="3"/>
        <v>1.5</v>
      </c>
      <c r="J5691" s="15">
        <v>15.43</v>
      </c>
      <c r="K5691" s="16">
        <f>IF(COUNTIFS(Release_Calendar!$A$2:$A$755,"US_CPI",Release_Calendar!$B$2:$B$755,$A5691)&gt;0,1,0)</f>
        <v>0</v>
      </c>
      <c r="L5691" s="16">
        <f>IF(COUNTIFS(Release_Calendar!$A$2:$A$755,"US_NFP",Release_Calendar!$B$2:$B$755,$A5691)&gt;0,1,0)</f>
        <v>0</v>
      </c>
      <c r="M5691" s="16">
        <f>IF($A5691&lt;Notes!$B$5,"",IF(COUNTIFS(Release_Calendar!$A$2:$A$755,"NZ_CPI",Release_Calendar!$B$2:$B$755,$A5691)&gt;0,1,0))</f>
        <v>0</v>
      </c>
      <c r="N5691" s="16">
        <f>IF($A5691&lt;Notes!$B$5,"",IF(COUNTIFS(Release_Calendar!$A$2:$A$755,"NZ_GDP",Release_Calendar!$B$2:$B$755,$A5691)&gt;0,1,0))</f>
        <v>0</v>
      </c>
      <c r="O5691" s="16">
        <f>IF($A5691&lt;Notes!$B$5,"",IF(COUNTIFS(Release_Calendar!$A$2:$A$755,"NZ_LABOUR",Release_Calendar!$B$2:$B$755,$A5691)&gt;0,1,0))</f>
        <v>0</v>
      </c>
      <c r="P5691" s="16">
        <f t="shared" si="4"/>
        <v>0</v>
      </c>
    </row>
    <row r="5692" ht="15.75" customHeight="1">
      <c r="A5692" s="14">
        <v>44494.0</v>
      </c>
      <c r="B5692" s="15">
        <v>0.47</v>
      </c>
      <c r="C5692" s="15"/>
      <c r="D5692" s="15"/>
      <c r="E5692" s="15"/>
      <c r="F5692" s="15" t="str">
        <f t="shared" si="1"/>
        <v/>
      </c>
      <c r="G5692" s="15" t="str">
        <f t="shared" si="2"/>
        <v/>
      </c>
      <c r="H5692" s="16">
        <v>0.0</v>
      </c>
      <c r="I5692" s="15" t="str">
        <f t="shared" si="3"/>
        <v/>
      </c>
      <c r="J5692" s="15">
        <v>15.24</v>
      </c>
      <c r="K5692" s="16">
        <f>IF(COUNTIFS(Release_Calendar!$A$2:$A$755,"US_CPI",Release_Calendar!$B$2:$B$755,$A5692)&gt;0,1,0)</f>
        <v>0</v>
      </c>
      <c r="L5692" s="16">
        <f>IF(COUNTIFS(Release_Calendar!$A$2:$A$755,"US_NFP",Release_Calendar!$B$2:$B$755,$A5692)&gt;0,1,0)</f>
        <v>0</v>
      </c>
      <c r="M5692" s="16">
        <f>IF($A5692&lt;Notes!$B$5,"",IF(COUNTIFS(Release_Calendar!$A$2:$A$755,"NZ_CPI",Release_Calendar!$B$2:$B$755,$A5692)&gt;0,1,0))</f>
        <v>0</v>
      </c>
      <c r="N5692" s="16">
        <f>IF($A5692&lt;Notes!$B$5,"",IF(COUNTIFS(Release_Calendar!$A$2:$A$755,"NZ_GDP",Release_Calendar!$B$2:$B$755,$A5692)&gt;0,1,0))</f>
        <v>0</v>
      </c>
      <c r="O5692" s="16">
        <f>IF($A5692&lt;Notes!$B$5,"",IF(COUNTIFS(Release_Calendar!$A$2:$A$755,"NZ_LABOUR",Release_Calendar!$B$2:$B$755,$A5692)&gt;0,1,0))</f>
        <v>0</v>
      </c>
      <c r="P5692" s="16">
        <f t="shared" si="4"/>
        <v>0</v>
      </c>
    </row>
    <row r="5693" ht="15.75" customHeight="1">
      <c r="A5693" s="14">
        <v>44495.0</v>
      </c>
      <c r="B5693" s="15">
        <v>0.47</v>
      </c>
      <c r="C5693" s="15">
        <v>2.03</v>
      </c>
      <c r="D5693" s="15"/>
      <c r="E5693" s="15"/>
      <c r="F5693" s="15">
        <f t="shared" si="1"/>
        <v>1.56</v>
      </c>
      <c r="G5693" s="15">
        <f t="shared" si="2"/>
        <v>2.03</v>
      </c>
      <c r="H5693" s="16">
        <v>0.0</v>
      </c>
      <c r="I5693" s="15">
        <f t="shared" si="3"/>
        <v>1.56</v>
      </c>
      <c r="J5693" s="15">
        <v>15.98</v>
      </c>
      <c r="K5693" s="16">
        <f>IF(COUNTIFS(Release_Calendar!$A$2:$A$755,"US_CPI",Release_Calendar!$B$2:$B$755,$A5693)&gt;0,1,0)</f>
        <v>0</v>
      </c>
      <c r="L5693" s="16">
        <f>IF(COUNTIFS(Release_Calendar!$A$2:$A$755,"US_NFP",Release_Calendar!$B$2:$B$755,$A5693)&gt;0,1,0)</f>
        <v>0</v>
      </c>
      <c r="M5693" s="16">
        <f>IF($A5693&lt;Notes!$B$5,"",IF(COUNTIFS(Release_Calendar!$A$2:$A$755,"NZ_CPI",Release_Calendar!$B$2:$B$755,$A5693)&gt;0,1,0))</f>
        <v>0</v>
      </c>
      <c r="N5693" s="16">
        <f>IF($A5693&lt;Notes!$B$5,"",IF(COUNTIFS(Release_Calendar!$A$2:$A$755,"NZ_GDP",Release_Calendar!$B$2:$B$755,$A5693)&gt;0,1,0))</f>
        <v>0</v>
      </c>
      <c r="O5693" s="16">
        <f>IF($A5693&lt;Notes!$B$5,"",IF(COUNTIFS(Release_Calendar!$A$2:$A$755,"NZ_LABOUR",Release_Calendar!$B$2:$B$755,$A5693)&gt;0,1,0))</f>
        <v>0</v>
      </c>
      <c r="P5693" s="16">
        <f t="shared" si="4"/>
        <v>0</v>
      </c>
    </row>
    <row r="5694" ht="15.75" customHeight="1">
      <c r="A5694" s="14">
        <v>44496.0</v>
      </c>
      <c r="B5694" s="15">
        <v>0.5</v>
      </c>
      <c r="C5694" s="15">
        <v>2.17</v>
      </c>
      <c r="D5694" s="15"/>
      <c r="E5694" s="15"/>
      <c r="F5694" s="15">
        <f t="shared" si="1"/>
        <v>1.67</v>
      </c>
      <c r="G5694" s="15">
        <f t="shared" si="2"/>
        <v>2.17</v>
      </c>
      <c r="H5694" s="16">
        <v>0.0</v>
      </c>
      <c r="I5694" s="15">
        <f t="shared" si="3"/>
        <v>1.67</v>
      </c>
      <c r="J5694" s="15">
        <v>16.98</v>
      </c>
      <c r="K5694" s="16">
        <f>IF(COUNTIFS(Release_Calendar!$A$2:$A$755,"US_CPI",Release_Calendar!$B$2:$B$755,$A5694)&gt;0,1,0)</f>
        <v>0</v>
      </c>
      <c r="L5694" s="16">
        <f>IF(COUNTIFS(Release_Calendar!$A$2:$A$755,"US_NFP",Release_Calendar!$B$2:$B$755,$A5694)&gt;0,1,0)</f>
        <v>0</v>
      </c>
      <c r="M5694" s="16">
        <f>IF($A5694&lt;Notes!$B$5,"",IF(COUNTIFS(Release_Calendar!$A$2:$A$755,"NZ_CPI",Release_Calendar!$B$2:$B$755,$A5694)&gt;0,1,0))</f>
        <v>0</v>
      </c>
      <c r="N5694" s="16">
        <f>IF($A5694&lt;Notes!$B$5,"",IF(COUNTIFS(Release_Calendar!$A$2:$A$755,"NZ_GDP",Release_Calendar!$B$2:$B$755,$A5694)&gt;0,1,0))</f>
        <v>0</v>
      </c>
      <c r="O5694" s="16">
        <f>IF($A5694&lt;Notes!$B$5,"",IF(COUNTIFS(Release_Calendar!$A$2:$A$755,"NZ_LABOUR",Release_Calendar!$B$2:$B$755,$A5694)&gt;0,1,0))</f>
        <v>0</v>
      </c>
      <c r="P5694" s="16">
        <f t="shared" si="4"/>
        <v>0</v>
      </c>
    </row>
    <row r="5695" ht="15.75" customHeight="1">
      <c r="A5695" s="14">
        <v>44497.0</v>
      </c>
      <c r="B5695" s="15">
        <v>0.5</v>
      </c>
      <c r="C5695" s="15">
        <v>2.35</v>
      </c>
      <c r="D5695" s="15"/>
      <c r="E5695" s="15"/>
      <c r="F5695" s="15">
        <f t="shared" si="1"/>
        <v>1.85</v>
      </c>
      <c r="G5695" s="15">
        <f t="shared" si="2"/>
        <v>2.35</v>
      </c>
      <c r="H5695" s="16">
        <v>0.0</v>
      </c>
      <c r="I5695" s="15">
        <f t="shared" si="3"/>
        <v>1.85</v>
      </c>
      <c r="J5695" s="15">
        <v>16.53</v>
      </c>
      <c r="K5695" s="16">
        <f>IF(COUNTIFS(Release_Calendar!$A$2:$A$755,"US_CPI",Release_Calendar!$B$2:$B$755,$A5695)&gt;0,1,0)</f>
        <v>0</v>
      </c>
      <c r="L5695" s="16">
        <f>IF(COUNTIFS(Release_Calendar!$A$2:$A$755,"US_NFP",Release_Calendar!$B$2:$B$755,$A5695)&gt;0,1,0)</f>
        <v>0</v>
      </c>
      <c r="M5695" s="16">
        <f>IF($A5695&lt;Notes!$B$5,"",IF(COUNTIFS(Release_Calendar!$A$2:$A$755,"NZ_CPI",Release_Calendar!$B$2:$B$755,$A5695)&gt;0,1,0))</f>
        <v>0</v>
      </c>
      <c r="N5695" s="16">
        <f>IF($A5695&lt;Notes!$B$5,"",IF(COUNTIFS(Release_Calendar!$A$2:$A$755,"NZ_GDP",Release_Calendar!$B$2:$B$755,$A5695)&gt;0,1,0))</f>
        <v>0</v>
      </c>
      <c r="O5695" s="16">
        <f>IF($A5695&lt;Notes!$B$5,"",IF(COUNTIFS(Release_Calendar!$A$2:$A$755,"NZ_LABOUR",Release_Calendar!$B$2:$B$755,$A5695)&gt;0,1,0))</f>
        <v>0</v>
      </c>
      <c r="P5695" s="16">
        <f t="shared" si="4"/>
        <v>0</v>
      </c>
    </row>
    <row r="5696" ht="15.75" customHeight="1">
      <c r="A5696" s="14">
        <v>44498.0</v>
      </c>
      <c r="B5696" s="15">
        <v>0.48</v>
      </c>
      <c r="C5696" s="15">
        <v>2.26</v>
      </c>
      <c r="D5696" s="15"/>
      <c r="E5696" s="15">
        <v>2.05</v>
      </c>
      <c r="F5696" s="15">
        <f t="shared" si="1"/>
        <v>1.78</v>
      </c>
      <c r="G5696" s="15">
        <f t="shared" si="2"/>
        <v>2.26</v>
      </c>
      <c r="H5696" s="16">
        <v>0.0</v>
      </c>
      <c r="I5696" s="15">
        <f t="shared" si="3"/>
        <v>1.78</v>
      </c>
      <c r="J5696" s="15">
        <v>16.26</v>
      </c>
      <c r="K5696" s="16">
        <f>IF(COUNTIFS(Release_Calendar!$A$2:$A$755,"US_CPI",Release_Calendar!$B$2:$B$755,$A5696)&gt;0,1,0)</f>
        <v>0</v>
      </c>
      <c r="L5696" s="16">
        <f>IF(COUNTIFS(Release_Calendar!$A$2:$A$755,"US_NFP",Release_Calendar!$B$2:$B$755,$A5696)&gt;0,1,0)</f>
        <v>0</v>
      </c>
      <c r="M5696" s="16">
        <f>IF($A5696&lt;Notes!$B$5,"",IF(COUNTIFS(Release_Calendar!$A$2:$A$755,"NZ_CPI",Release_Calendar!$B$2:$B$755,$A5696)&gt;0,1,0))</f>
        <v>0</v>
      </c>
      <c r="N5696" s="16">
        <f>IF($A5696&lt;Notes!$B$5,"",IF(COUNTIFS(Release_Calendar!$A$2:$A$755,"NZ_GDP",Release_Calendar!$B$2:$B$755,$A5696)&gt;0,1,0))</f>
        <v>0</v>
      </c>
      <c r="O5696" s="16">
        <f>IF($A5696&lt;Notes!$B$5,"",IF(COUNTIFS(Release_Calendar!$A$2:$A$755,"NZ_LABOUR",Release_Calendar!$B$2:$B$755,$A5696)&gt;0,1,0))</f>
        <v>0</v>
      </c>
      <c r="P5696" s="16">
        <f t="shared" si="4"/>
        <v>0</v>
      </c>
    </row>
    <row r="5697" ht="15.75" customHeight="1">
      <c r="A5697" s="14">
        <v>44501.0</v>
      </c>
      <c r="B5697" s="15">
        <v>0.5</v>
      </c>
      <c r="C5697" s="15">
        <v>2.22</v>
      </c>
      <c r="D5697" s="15"/>
      <c r="E5697" s="15">
        <v>2.01</v>
      </c>
      <c r="F5697" s="15">
        <f t="shared" si="1"/>
        <v>1.72</v>
      </c>
      <c r="G5697" s="15">
        <f t="shared" si="2"/>
        <v>2.22</v>
      </c>
      <c r="H5697" s="16">
        <v>0.0</v>
      </c>
      <c r="I5697" s="15">
        <f t="shared" si="3"/>
        <v>1.72</v>
      </c>
      <c r="J5697" s="15">
        <v>16.41</v>
      </c>
      <c r="K5697" s="16">
        <f>IF(COUNTIFS(Release_Calendar!$A$2:$A$755,"US_CPI",Release_Calendar!$B$2:$B$755,$A5697)&gt;0,1,0)</f>
        <v>0</v>
      </c>
      <c r="L5697" s="16">
        <f>IF(COUNTIFS(Release_Calendar!$A$2:$A$755,"US_NFP",Release_Calendar!$B$2:$B$755,$A5697)&gt;0,1,0)</f>
        <v>0</v>
      </c>
      <c r="M5697" s="16">
        <f>IF($A5697&lt;Notes!$B$5,"",IF(COUNTIFS(Release_Calendar!$A$2:$A$755,"NZ_CPI",Release_Calendar!$B$2:$B$755,$A5697)&gt;0,1,0))</f>
        <v>0</v>
      </c>
      <c r="N5697" s="16">
        <f>IF($A5697&lt;Notes!$B$5,"",IF(COUNTIFS(Release_Calendar!$A$2:$A$755,"NZ_GDP",Release_Calendar!$B$2:$B$755,$A5697)&gt;0,1,0))</f>
        <v>0</v>
      </c>
      <c r="O5697" s="16">
        <f>IF($A5697&lt;Notes!$B$5,"",IF(COUNTIFS(Release_Calendar!$A$2:$A$755,"NZ_LABOUR",Release_Calendar!$B$2:$B$755,$A5697)&gt;0,1,0))</f>
        <v>0</v>
      </c>
      <c r="P5697" s="16">
        <f t="shared" si="4"/>
        <v>0</v>
      </c>
    </row>
    <row r="5698" ht="15.75" customHeight="1">
      <c r="A5698" s="14">
        <v>44502.0</v>
      </c>
      <c r="B5698" s="15">
        <v>0.46</v>
      </c>
      <c r="C5698" s="15">
        <v>2.26</v>
      </c>
      <c r="D5698" s="15"/>
      <c r="E5698" s="15">
        <v>2.04</v>
      </c>
      <c r="F5698" s="15">
        <f t="shared" si="1"/>
        <v>1.8</v>
      </c>
      <c r="G5698" s="15">
        <f t="shared" si="2"/>
        <v>2.26</v>
      </c>
      <c r="H5698" s="16">
        <v>0.0</v>
      </c>
      <c r="I5698" s="15">
        <f t="shared" si="3"/>
        <v>1.8</v>
      </c>
      <c r="J5698" s="15">
        <v>16.03</v>
      </c>
      <c r="K5698" s="16">
        <f>IF(COUNTIFS(Release_Calendar!$A$2:$A$755,"US_CPI",Release_Calendar!$B$2:$B$755,$A5698)&gt;0,1,0)</f>
        <v>0</v>
      </c>
      <c r="L5698" s="16">
        <f>IF(COUNTIFS(Release_Calendar!$A$2:$A$755,"US_NFP",Release_Calendar!$B$2:$B$755,$A5698)&gt;0,1,0)</f>
        <v>0</v>
      </c>
      <c r="M5698" s="16">
        <f>IF($A5698&lt;Notes!$B$5,"",IF(COUNTIFS(Release_Calendar!$A$2:$A$755,"NZ_CPI",Release_Calendar!$B$2:$B$755,$A5698)&gt;0,1,0))</f>
        <v>0</v>
      </c>
      <c r="N5698" s="16">
        <f>IF($A5698&lt;Notes!$B$5,"",IF(COUNTIFS(Release_Calendar!$A$2:$A$755,"NZ_GDP",Release_Calendar!$B$2:$B$755,$A5698)&gt;0,1,0))</f>
        <v>0</v>
      </c>
      <c r="O5698" s="16">
        <f>IF($A5698&lt;Notes!$B$5,"",IF(COUNTIFS(Release_Calendar!$A$2:$A$755,"NZ_LABOUR",Release_Calendar!$B$2:$B$755,$A5698)&gt;0,1,0))</f>
        <v>0</v>
      </c>
      <c r="P5698" s="16">
        <f t="shared" si="4"/>
        <v>0</v>
      </c>
    </row>
    <row r="5699" ht="15.75" customHeight="1">
      <c r="A5699" s="14">
        <v>44503.0</v>
      </c>
      <c r="B5699" s="15">
        <v>0.47</v>
      </c>
      <c r="C5699" s="15">
        <v>2.26</v>
      </c>
      <c r="D5699" s="15"/>
      <c r="E5699" s="15">
        <v>2.05</v>
      </c>
      <c r="F5699" s="15">
        <f t="shared" si="1"/>
        <v>1.79</v>
      </c>
      <c r="G5699" s="15">
        <f t="shared" si="2"/>
        <v>2.26</v>
      </c>
      <c r="H5699" s="16">
        <v>0.0</v>
      </c>
      <c r="I5699" s="15">
        <f t="shared" si="3"/>
        <v>1.79</v>
      </c>
      <c r="J5699" s="15">
        <v>15.1</v>
      </c>
      <c r="K5699" s="16">
        <f>IF(COUNTIFS(Release_Calendar!$A$2:$A$755,"US_CPI",Release_Calendar!$B$2:$B$755,$A5699)&gt;0,1,0)</f>
        <v>0</v>
      </c>
      <c r="L5699" s="16">
        <f>IF(COUNTIFS(Release_Calendar!$A$2:$A$755,"US_NFP",Release_Calendar!$B$2:$B$755,$A5699)&gt;0,1,0)</f>
        <v>0</v>
      </c>
      <c r="M5699" s="16">
        <f>IF($A5699&lt;Notes!$B$5,"",IF(COUNTIFS(Release_Calendar!$A$2:$A$755,"NZ_CPI",Release_Calendar!$B$2:$B$755,$A5699)&gt;0,1,0))</f>
        <v>0</v>
      </c>
      <c r="N5699" s="16">
        <f>IF($A5699&lt;Notes!$B$5,"",IF(COUNTIFS(Release_Calendar!$A$2:$A$755,"NZ_GDP",Release_Calendar!$B$2:$B$755,$A5699)&gt;0,1,0))</f>
        <v>0</v>
      </c>
      <c r="O5699" s="16">
        <f>IF($A5699&lt;Notes!$B$5,"",IF(COUNTIFS(Release_Calendar!$A$2:$A$755,"NZ_LABOUR",Release_Calendar!$B$2:$B$755,$A5699)&gt;0,1,0))</f>
        <v>1</v>
      </c>
      <c r="P5699" s="16">
        <f t="shared" si="4"/>
        <v>1</v>
      </c>
    </row>
    <row r="5700" ht="15.75" customHeight="1">
      <c r="A5700" s="14">
        <v>44504.0</v>
      </c>
      <c r="B5700" s="15">
        <v>0.41</v>
      </c>
      <c r="C5700" s="15">
        <v>2.26</v>
      </c>
      <c r="D5700" s="15"/>
      <c r="E5700" s="15">
        <v>2.05</v>
      </c>
      <c r="F5700" s="15">
        <f t="shared" si="1"/>
        <v>1.85</v>
      </c>
      <c r="G5700" s="15">
        <f t="shared" si="2"/>
        <v>2.26</v>
      </c>
      <c r="H5700" s="16">
        <v>0.0</v>
      </c>
      <c r="I5700" s="15">
        <f t="shared" si="3"/>
        <v>1.85</v>
      </c>
      <c r="J5700" s="15">
        <v>15.44</v>
      </c>
      <c r="K5700" s="16">
        <f>IF(COUNTIFS(Release_Calendar!$A$2:$A$755,"US_CPI",Release_Calendar!$B$2:$B$755,$A5700)&gt;0,1,0)</f>
        <v>0</v>
      </c>
      <c r="L5700" s="16">
        <f>IF(COUNTIFS(Release_Calendar!$A$2:$A$755,"US_NFP",Release_Calendar!$B$2:$B$755,$A5700)&gt;0,1,0)</f>
        <v>0</v>
      </c>
      <c r="M5700" s="16">
        <f>IF($A5700&lt;Notes!$B$5,"",IF(COUNTIFS(Release_Calendar!$A$2:$A$755,"NZ_CPI",Release_Calendar!$B$2:$B$755,$A5700)&gt;0,1,0))</f>
        <v>0</v>
      </c>
      <c r="N5700" s="16">
        <f>IF($A5700&lt;Notes!$B$5,"",IF(COUNTIFS(Release_Calendar!$A$2:$A$755,"NZ_GDP",Release_Calendar!$B$2:$B$755,$A5700)&gt;0,1,0))</f>
        <v>0</v>
      </c>
      <c r="O5700" s="16">
        <f>IF($A5700&lt;Notes!$B$5,"",IF(COUNTIFS(Release_Calendar!$A$2:$A$755,"NZ_LABOUR",Release_Calendar!$B$2:$B$755,$A5700)&gt;0,1,0))</f>
        <v>0</v>
      </c>
      <c r="P5700" s="16">
        <f t="shared" si="4"/>
        <v>0</v>
      </c>
    </row>
    <row r="5701" ht="15.75" customHeight="1">
      <c r="A5701" s="14">
        <v>44505.0</v>
      </c>
      <c r="B5701" s="15">
        <v>0.39</v>
      </c>
      <c r="C5701" s="15">
        <v>2.2</v>
      </c>
      <c r="D5701" s="15"/>
      <c r="E5701" s="15">
        <v>2.0</v>
      </c>
      <c r="F5701" s="15">
        <f t="shared" si="1"/>
        <v>1.81</v>
      </c>
      <c r="G5701" s="15">
        <f t="shared" si="2"/>
        <v>2.2</v>
      </c>
      <c r="H5701" s="16">
        <v>0.0</v>
      </c>
      <c r="I5701" s="15">
        <f t="shared" si="3"/>
        <v>1.81</v>
      </c>
      <c r="J5701" s="15">
        <v>16.48</v>
      </c>
      <c r="K5701" s="16">
        <f>IF(COUNTIFS(Release_Calendar!$A$2:$A$755,"US_CPI",Release_Calendar!$B$2:$B$755,$A5701)&gt;0,1,0)</f>
        <v>0</v>
      </c>
      <c r="L5701" s="16">
        <f>IF(COUNTIFS(Release_Calendar!$A$2:$A$755,"US_NFP",Release_Calendar!$B$2:$B$755,$A5701)&gt;0,1,0)</f>
        <v>1</v>
      </c>
      <c r="M5701" s="16">
        <f>IF($A5701&lt;Notes!$B$5,"",IF(COUNTIFS(Release_Calendar!$A$2:$A$755,"NZ_CPI",Release_Calendar!$B$2:$B$755,$A5701)&gt;0,1,0))</f>
        <v>0</v>
      </c>
      <c r="N5701" s="16">
        <f>IF($A5701&lt;Notes!$B$5,"",IF(COUNTIFS(Release_Calendar!$A$2:$A$755,"NZ_GDP",Release_Calendar!$B$2:$B$755,$A5701)&gt;0,1,0))</f>
        <v>0</v>
      </c>
      <c r="O5701" s="16">
        <f>IF($A5701&lt;Notes!$B$5,"",IF(COUNTIFS(Release_Calendar!$A$2:$A$755,"NZ_LABOUR",Release_Calendar!$B$2:$B$755,$A5701)&gt;0,1,0))</f>
        <v>0</v>
      </c>
      <c r="P5701" s="16">
        <f t="shared" si="4"/>
        <v>1</v>
      </c>
    </row>
    <row r="5702" ht="15.75" customHeight="1">
      <c r="A5702" s="14">
        <v>44508.0</v>
      </c>
      <c r="B5702" s="15">
        <v>0.45</v>
      </c>
      <c r="C5702" s="15">
        <v>2.18</v>
      </c>
      <c r="D5702" s="15"/>
      <c r="E5702" s="15">
        <v>2.0</v>
      </c>
      <c r="F5702" s="15">
        <f t="shared" si="1"/>
        <v>1.73</v>
      </c>
      <c r="G5702" s="15">
        <f t="shared" si="2"/>
        <v>2.18</v>
      </c>
      <c r="H5702" s="16">
        <v>0.0</v>
      </c>
      <c r="I5702" s="15">
        <f t="shared" si="3"/>
        <v>1.73</v>
      </c>
      <c r="J5702" s="15">
        <v>17.22</v>
      </c>
      <c r="K5702" s="16">
        <f>IF(COUNTIFS(Release_Calendar!$A$2:$A$755,"US_CPI",Release_Calendar!$B$2:$B$755,$A5702)&gt;0,1,0)</f>
        <v>0</v>
      </c>
      <c r="L5702" s="16">
        <f>IF(COUNTIFS(Release_Calendar!$A$2:$A$755,"US_NFP",Release_Calendar!$B$2:$B$755,$A5702)&gt;0,1,0)</f>
        <v>0</v>
      </c>
      <c r="M5702" s="16">
        <f>IF($A5702&lt;Notes!$B$5,"",IF(COUNTIFS(Release_Calendar!$A$2:$A$755,"NZ_CPI",Release_Calendar!$B$2:$B$755,$A5702)&gt;0,1,0))</f>
        <v>0</v>
      </c>
      <c r="N5702" s="16">
        <f>IF($A5702&lt;Notes!$B$5,"",IF(COUNTIFS(Release_Calendar!$A$2:$A$755,"NZ_GDP",Release_Calendar!$B$2:$B$755,$A5702)&gt;0,1,0))</f>
        <v>0</v>
      </c>
      <c r="O5702" s="16">
        <f>IF($A5702&lt;Notes!$B$5,"",IF(COUNTIFS(Release_Calendar!$A$2:$A$755,"NZ_LABOUR",Release_Calendar!$B$2:$B$755,$A5702)&gt;0,1,0))</f>
        <v>0</v>
      </c>
      <c r="P5702" s="16">
        <f t="shared" si="4"/>
        <v>0</v>
      </c>
    </row>
    <row r="5703" ht="15.75" customHeight="1">
      <c r="A5703" s="14">
        <v>44509.0</v>
      </c>
      <c r="B5703" s="15">
        <v>0.41</v>
      </c>
      <c r="C5703" s="15">
        <v>2.19</v>
      </c>
      <c r="D5703" s="15"/>
      <c r="E5703" s="15">
        <v>2.01</v>
      </c>
      <c r="F5703" s="15">
        <f t="shared" si="1"/>
        <v>1.78</v>
      </c>
      <c r="G5703" s="15">
        <f t="shared" si="2"/>
        <v>2.19</v>
      </c>
      <c r="H5703" s="16">
        <v>0.0</v>
      </c>
      <c r="I5703" s="15">
        <f t="shared" si="3"/>
        <v>1.78</v>
      </c>
      <c r="J5703" s="15">
        <v>17.78</v>
      </c>
      <c r="K5703" s="16">
        <f>IF(COUNTIFS(Release_Calendar!$A$2:$A$755,"US_CPI",Release_Calendar!$B$2:$B$755,$A5703)&gt;0,1,0)</f>
        <v>0</v>
      </c>
      <c r="L5703" s="16">
        <f>IF(COUNTIFS(Release_Calendar!$A$2:$A$755,"US_NFP",Release_Calendar!$B$2:$B$755,$A5703)&gt;0,1,0)</f>
        <v>0</v>
      </c>
      <c r="M5703" s="16">
        <f>IF($A5703&lt;Notes!$B$5,"",IF(COUNTIFS(Release_Calendar!$A$2:$A$755,"NZ_CPI",Release_Calendar!$B$2:$B$755,$A5703)&gt;0,1,0))</f>
        <v>0</v>
      </c>
      <c r="N5703" s="16">
        <f>IF($A5703&lt;Notes!$B$5,"",IF(COUNTIFS(Release_Calendar!$A$2:$A$755,"NZ_GDP",Release_Calendar!$B$2:$B$755,$A5703)&gt;0,1,0))</f>
        <v>0</v>
      </c>
      <c r="O5703" s="16">
        <f>IF($A5703&lt;Notes!$B$5,"",IF(COUNTIFS(Release_Calendar!$A$2:$A$755,"NZ_LABOUR",Release_Calendar!$B$2:$B$755,$A5703)&gt;0,1,0))</f>
        <v>0</v>
      </c>
      <c r="P5703" s="16">
        <f t="shared" si="4"/>
        <v>0</v>
      </c>
    </row>
    <row r="5704" ht="15.75" customHeight="1">
      <c r="A5704" s="14">
        <v>44510.0</v>
      </c>
      <c r="B5704" s="15">
        <v>0.51</v>
      </c>
      <c r="C5704" s="15">
        <v>2.2</v>
      </c>
      <c r="D5704" s="15"/>
      <c r="E5704" s="15">
        <v>1.99</v>
      </c>
      <c r="F5704" s="15">
        <f t="shared" si="1"/>
        <v>1.69</v>
      </c>
      <c r="G5704" s="15">
        <f t="shared" si="2"/>
        <v>2.2</v>
      </c>
      <c r="H5704" s="16">
        <v>0.0</v>
      </c>
      <c r="I5704" s="15">
        <f t="shared" si="3"/>
        <v>1.69</v>
      </c>
      <c r="J5704" s="15">
        <v>18.73</v>
      </c>
      <c r="K5704" s="16">
        <f>IF(COUNTIFS(Release_Calendar!$A$2:$A$755,"US_CPI",Release_Calendar!$B$2:$B$755,$A5704)&gt;0,1,0)</f>
        <v>1</v>
      </c>
      <c r="L5704" s="16">
        <f>IF(COUNTIFS(Release_Calendar!$A$2:$A$755,"US_NFP",Release_Calendar!$B$2:$B$755,$A5704)&gt;0,1,0)</f>
        <v>0</v>
      </c>
      <c r="M5704" s="16">
        <f>IF($A5704&lt;Notes!$B$5,"",IF(COUNTIFS(Release_Calendar!$A$2:$A$755,"NZ_CPI",Release_Calendar!$B$2:$B$755,$A5704)&gt;0,1,0))</f>
        <v>0</v>
      </c>
      <c r="N5704" s="16">
        <f>IF($A5704&lt;Notes!$B$5,"",IF(COUNTIFS(Release_Calendar!$A$2:$A$755,"NZ_GDP",Release_Calendar!$B$2:$B$755,$A5704)&gt;0,1,0))</f>
        <v>0</v>
      </c>
      <c r="O5704" s="16">
        <f>IF($A5704&lt;Notes!$B$5,"",IF(COUNTIFS(Release_Calendar!$A$2:$A$755,"NZ_LABOUR",Release_Calendar!$B$2:$B$755,$A5704)&gt;0,1,0))</f>
        <v>0</v>
      </c>
      <c r="P5704" s="16">
        <f t="shared" si="4"/>
        <v>1</v>
      </c>
    </row>
    <row r="5705" ht="15.75" customHeight="1">
      <c r="A5705" s="14">
        <v>44511.0</v>
      </c>
      <c r="B5705" s="15"/>
      <c r="C5705" s="15">
        <v>2.29</v>
      </c>
      <c r="D5705" s="15"/>
      <c r="E5705" s="15">
        <v>2.05</v>
      </c>
      <c r="F5705" s="15" t="str">
        <f t="shared" si="1"/>
        <v/>
      </c>
      <c r="G5705" s="15">
        <f t="shared" si="2"/>
        <v>2.29</v>
      </c>
      <c r="H5705" s="16">
        <v>0.0</v>
      </c>
      <c r="I5705" s="15" t="str">
        <f t="shared" si="3"/>
        <v/>
      </c>
      <c r="J5705" s="15">
        <v>17.66</v>
      </c>
      <c r="K5705" s="16">
        <f>IF(COUNTIFS(Release_Calendar!$A$2:$A$755,"US_CPI",Release_Calendar!$B$2:$B$755,$A5705)&gt;0,1,0)</f>
        <v>0</v>
      </c>
      <c r="L5705" s="16">
        <f>IF(COUNTIFS(Release_Calendar!$A$2:$A$755,"US_NFP",Release_Calendar!$B$2:$B$755,$A5705)&gt;0,1,0)</f>
        <v>0</v>
      </c>
      <c r="M5705" s="16">
        <f>IF($A5705&lt;Notes!$B$5,"",IF(COUNTIFS(Release_Calendar!$A$2:$A$755,"NZ_CPI",Release_Calendar!$B$2:$B$755,$A5705)&gt;0,1,0))</f>
        <v>0</v>
      </c>
      <c r="N5705" s="16">
        <f>IF($A5705&lt;Notes!$B$5,"",IF(COUNTIFS(Release_Calendar!$A$2:$A$755,"NZ_GDP",Release_Calendar!$B$2:$B$755,$A5705)&gt;0,1,0))</f>
        <v>0</v>
      </c>
      <c r="O5705" s="16">
        <f>IF($A5705&lt;Notes!$B$5,"",IF(COUNTIFS(Release_Calendar!$A$2:$A$755,"NZ_LABOUR",Release_Calendar!$B$2:$B$755,$A5705)&gt;0,1,0))</f>
        <v>0</v>
      </c>
      <c r="P5705" s="16">
        <f t="shared" si="4"/>
        <v>0</v>
      </c>
    </row>
    <row r="5706" ht="15.75" customHeight="1">
      <c r="A5706" s="14">
        <v>44512.0</v>
      </c>
      <c r="B5706" s="15">
        <v>0.53</v>
      </c>
      <c r="C5706" s="15">
        <v>2.3</v>
      </c>
      <c r="D5706" s="15"/>
      <c r="E5706" s="15">
        <v>2.06</v>
      </c>
      <c r="F5706" s="15">
        <f t="shared" si="1"/>
        <v>1.77</v>
      </c>
      <c r="G5706" s="15">
        <f t="shared" si="2"/>
        <v>2.3</v>
      </c>
      <c r="H5706" s="16">
        <v>0.0</v>
      </c>
      <c r="I5706" s="15">
        <f t="shared" si="3"/>
        <v>1.77</v>
      </c>
      <c r="J5706" s="15">
        <v>16.29</v>
      </c>
      <c r="K5706" s="16">
        <f>IF(COUNTIFS(Release_Calendar!$A$2:$A$755,"US_CPI",Release_Calendar!$B$2:$B$755,$A5706)&gt;0,1,0)</f>
        <v>0</v>
      </c>
      <c r="L5706" s="16">
        <f>IF(COUNTIFS(Release_Calendar!$A$2:$A$755,"US_NFP",Release_Calendar!$B$2:$B$755,$A5706)&gt;0,1,0)</f>
        <v>0</v>
      </c>
      <c r="M5706" s="16">
        <f>IF($A5706&lt;Notes!$B$5,"",IF(COUNTIFS(Release_Calendar!$A$2:$A$755,"NZ_CPI",Release_Calendar!$B$2:$B$755,$A5706)&gt;0,1,0))</f>
        <v>0</v>
      </c>
      <c r="N5706" s="16">
        <f>IF($A5706&lt;Notes!$B$5,"",IF(COUNTIFS(Release_Calendar!$A$2:$A$755,"NZ_GDP",Release_Calendar!$B$2:$B$755,$A5706)&gt;0,1,0))</f>
        <v>0</v>
      </c>
      <c r="O5706" s="16">
        <f>IF($A5706&lt;Notes!$B$5,"",IF(COUNTIFS(Release_Calendar!$A$2:$A$755,"NZ_LABOUR",Release_Calendar!$B$2:$B$755,$A5706)&gt;0,1,0))</f>
        <v>0</v>
      </c>
      <c r="P5706" s="16">
        <f t="shared" si="4"/>
        <v>0</v>
      </c>
    </row>
    <row r="5707" ht="15.75" customHeight="1">
      <c r="A5707" s="14">
        <v>44515.0</v>
      </c>
      <c r="B5707" s="15">
        <v>0.53</v>
      </c>
      <c r="C5707" s="15">
        <v>2.28</v>
      </c>
      <c r="D5707" s="15"/>
      <c r="E5707" s="15">
        <v>2.04</v>
      </c>
      <c r="F5707" s="15">
        <f t="shared" si="1"/>
        <v>1.75</v>
      </c>
      <c r="G5707" s="15">
        <f t="shared" si="2"/>
        <v>2.28</v>
      </c>
      <c r="H5707" s="16">
        <v>0.0</v>
      </c>
      <c r="I5707" s="15">
        <f t="shared" si="3"/>
        <v>1.75</v>
      </c>
      <c r="J5707" s="15">
        <v>16.49</v>
      </c>
      <c r="K5707" s="16">
        <f>IF(COUNTIFS(Release_Calendar!$A$2:$A$755,"US_CPI",Release_Calendar!$B$2:$B$755,$A5707)&gt;0,1,0)</f>
        <v>0</v>
      </c>
      <c r="L5707" s="16">
        <f>IF(COUNTIFS(Release_Calendar!$A$2:$A$755,"US_NFP",Release_Calendar!$B$2:$B$755,$A5707)&gt;0,1,0)</f>
        <v>0</v>
      </c>
      <c r="M5707" s="16">
        <f>IF($A5707&lt;Notes!$B$5,"",IF(COUNTIFS(Release_Calendar!$A$2:$A$755,"NZ_CPI",Release_Calendar!$B$2:$B$755,$A5707)&gt;0,1,0))</f>
        <v>0</v>
      </c>
      <c r="N5707" s="16">
        <f>IF($A5707&lt;Notes!$B$5,"",IF(COUNTIFS(Release_Calendar!$A$2:$A$755,"NZ_GDP",Release_Calendar!$B$2:$B$755,$A5707)&gt;0,1,0))</f>
        <v>0</v>
      </c>
      <c r="O5707" s="16">
        <f>IF($A5707&lt;Notes!$B$5,"",IF(COUNTIFS(Release_Calendar!$A$2:$A$755,"NZ_LABOUR",Release_Calendar!$B$2:$B$755,$A5707)&gt;0,1,0))</f>
        <v>0</v>
      </c>
      <c r="P5707" s="16">
        <f t="shared" si="4"/>
        <v>0</v>
      </c>
    </row>
    <row r="5708" ht="15.75" customHeight="1">
      <c r="A5708" s="14">
        <v>44516.0</v>
      </c>
      <c r="B5708" s="15">
        <v>0.54</v>
      </c>
      <c r="C5708" s="15">
        <v>2.31</v>
      </c>
      <c r="D5708" s="15"/>
      <c r="E5708" s="15">
        <v>2.06</v>
      </c>
      <c r="F5708" s="15">
        <f t="shared" si="1"/>
        <v>1.77</v>
      </c>
      <c r="G5708" s="15">
        <f t="shared" si="2"/>
        <v>2.31</v>
      </c>
      <c r="H5708" s="16">
        <v>0.0</v>
      </c>
      <c r="I5708" s="15">
        <f t="shared" si="3"/>
        <v>1.77</v>
      </c>
      <c r="J5708" s="15">
        <v>16.37</v>
      </c>
      <c r="K5708" s="16">
        <f>IF(COUNTIFS(Release_Calendar!$A$2:$A$755,"US_CPI",Release_Calendar!$B$2:$B$755,$A5708)&gt;0,1,0)</f>
        <v>0</v>
      </c>
      <c r="L5708" s="16">
        <f>IF(COUNTIFS(Release_Calendar!$A$2:$A$755,"US_NFP",Release_Calendar!$B$2:$B$755,$A5708)&gt;0,1,0)</f>
        <v>0</v>
      </c>
      <c r="M5708" s="16">
        <f>IF($A5708&lt;Notes!$B$5,"",IF(COUNTIFS(Release_Calendar!$A$2:$A$755,"NZ_CPI",Release_Calendar!$B$2:$B$755,$A5708)&gt;0,1,0))</f>
        <v>0</v>
      </c>
      <c r="N5708" s="16">
        <f>IF($A5708&lt;Notes!$B$5,"",IF(COUNTIFS(Release_Calendar!$A$2:$A$755,"NZ_GDP",Release_Calendar!$B$2:$B$755,$A5708)&gt;0,1,0))</f>
        <v>0</v>
      </c>
      <c r="O5708" s="16">
        <f>IF($A5708&lt;Notes!$B$5,"",IF(COUNTIFS(Release_Calendar!$A$2:$A$755,"NZ_LABOUR",Release_Calendar!$B$2:$B$755,$A5708)&gt;0,1,0))</f>
        <v>0</v>
      </c>
      <c r="P5708" s="16">
        <f t="shared" si="4"/>
        <v>0</v>
      </c>
    </row>
    <row r="5709" ht="15.75" customHeight="1">
      <c r="A5709" s="14">
        <v>44517.0</v>
      </c>
      <c r="B5709" s="15">
        <v>0.52</v>
      </c>
      <c r="C5709" s="15">
        <v>2.34</v>
      </c>
      <c r="D5709" s="15"/>
      <c r="E5709" s="15">
        <v>2.07</v>
      </c>
      <c r="F5709" s="15">
        <f t="shared" si="1"/>
        <v>1.82</v>
      </c>
      <c r="G5709" s="15">
        <f t="shared" si="2"/>
        <v>2.34</v>
      </c>
      <c r="H5709" s="16">
        <v>0.0</v>
      </c>
      <c r="I5709" s="15">
        <f t="shared" si="3"/>
        <v>1.82</v>
      </c>
      <c r="J5709" s="15">
        <v>17.11</v>
      </c>
      <c r="K5709" s="16">
        <f>IF(COUNTIFS(Release_Calendar!$A$2:$A$755,"US_CPI",Release_Calendar!$B$2:$B$755,$A5709)&gt;0,1,0)</f>
        <v>0</v>
      </c>
      <c r="L5709" s="16">
        <f>IF(COUNTIFS(Release_Calendar!$A$2:$A$755,"US_NFP",Release_Calendar!$B$2:$B$755,$A5709)&gt;0,1,0)</f>
        <v>0</v>
      </c>
      <c r="M5709" s="16">
        <f>IF($A5709&lt;Notes!$B$5,"",IF(COUNTIFS(Release_Calendar!$A$2:$A$755,"NZ_CPI",Release_Calendar!$B$2:$B$755,$A5709)&gt;0,1,0))</f>
        <v>0</v>
      </c>
      <c r="N5709" s="16">
        <f>IF($A5709&lt;Notes!$B$5,"",IF(COUNTIFS(Release_Calendar!$A$2:$A$755,"NZ_GDP",Release_Calendar!$B$2:$B$755,$A5709)&gt;0,1,0))</f>
        <v>0</v>
      </c>
      <c r="O5709" s="16">
        <f>IF($A5709&lt;Notes!$B$5,"",IF(COUNTIFS(Release_Calendar!$A$2:$A$755,"NZ_LABOUR",Release_Calendar!$B$2:$B$755,$A5709)&gt;0,1,0))</f>
        <v>0</v>
      </c>
      <c r="P5709" s="16">
        <f t="shared" si="4"/>
        <v>0</v>
      </c>
    </row>
    <row r="5710" ht="15.75" customHeight="1">
      <c r="A5710" s="14">
        <v>44518.0</v>
      </c>
      <c r="B5710" s="15">
        <v>0.52</v>
      </c>
      <c r="C5710" s="15">
        <v>2.42</v>
      </c>
      <c r="D5710" s="15"/>
      <c r="E5710" s="15">
        <v>2.1</v>
      </c>
      <c r="F5710" s="15">
        <f t="shared" si="1"/>
        <v>1.9</v>
      </c>
      <c r="G5710" s="15">
        <f t="shared" si="2"/>
        <v>2.42</v>
      </c>
      <c r="H5710" s="16">
        <v>0.0</v>
      </c>
      <c r="I5710" s="15">
        <f t="shared" si="3"/>
        <v>1.9</v>
      </c>
      <c r="J5710" s="15">
        <v>17.59</v>
      </c>
      <c r="K5710" s="16">
        <f>IF(COUNTIFS(Release_Calendar!$A$2:$A$755,"US_CPI",Release_Calendar!$B$2:$B$755,$A5710)&gt;0,1,0)</f>
        <v>0</v>
      </c>
      <c r="L5710" s="16">
        <f>IF(COUNTIFS(Release_Calendar!$A$2:$A$755,"US_NFP",Release_Calendar!$B$2:$B$755,$A5710)&gt;0,1,0)</f>
        <v>0</v>
      </c>
      <c r="M5710" s="16">
        <f>IF($A5710&lt;Notes!$B$5,"",IF(COUNTIFS(Release_Calendar!$A$2:$A$755,"NZ_CPI",Release_Calendar!$B$2:$B$755,$A5710)&gt;0,1,0))</f>
        <v>0</v>
      </c>
      <c r="N5710" s="16">
        <f>IF($A5710&lt;Notes!$B$5,"",IF(COUNTIFS(Release_Calendar!$A$2:$A$755,"NZ_GDP",Release_Calendar!$B$2:$B$755,$A5710)&gt;0,1,0))</f>
        <v>0</v>
      </c>
      <c r="O5710" s="16">
        <f>IF($A5710&lt;Notes!$B$5,"",IF(COUNTIFS(Release_Calendar!$A$2:$A$755,"NZ_LABOUR",Release_Calendar!$B$2:$B$755,$A5710)&gt;0,1,0))</f>
        <v>0</v>
      </c>
      <c r="P5710" s="16">
        <f t="shared" si="4"/>
        <v>0</v>
      </c>
    </row>
    <row r="5711" ht="15.75" customHeight="1">
      <c r="A5711" s="14">
        <v>44519.0</v>
      </c>
      <c r="B5711" s="15">
        <v>0.52</v>
      </c>
      <c r="C5711" s="15">
        <v>2.44</v>
      </c>
      <c r="D5711" s="15"/>
      <c r="E5711" s="15">
        <v>2.12</v>
      </c>
      <c r="F5711" s="15">
        <f t="shared" si="1"/>
        <v>1.92</v>
      </c>
      <c r="G5711" s="15">
        <f t="shared" si="2"/>
        <v>2.44</v>
      </c>
      <c r="H5711" s="16">
        <v>0.0</v>
      </c>
      <c r="I5711" s="15">
        <f t="shared" si="3"/>
        <v>1.92</v>
      </c>
      <c r="J5711" s="15">
        <v>17.91</v>
      </c>
      <c r="K5711" s="16">
        <f>IF(COUNTIFS(Release_Calendar!$A$2:$A$755,"US_CPI",Release_Calendar!$B$2:$B$755,$A5711)&gt;0,1,0)</f>
        <v>0</v>
      </c>
      <c r="L5711" s="16">
        <f>IF(COUNTIFS(Release_Calendar!$A$2:$A$755,"US_NFP",Release_Calendar!$B$2:$B$755,$A5711)&gt;0,1,0)</f>
        <v>0</v>
      </c>
      <c r="M5711" s="16">
        <f>IF($A5711&lt;Notes!$B$5,"",IF(COUNTIFS(Release_Calendar!$A$2:$A$755,"NZ_CPI",Release_Calendar!$B$2:$B$755,$A5711)&gt;0,1,0))</f>
        <v>0</v>
      </c>
      <c r="N5711" s="16">
        <f>IF($A5711&lt;Notes!$B$5,"",IF(COUNTIFS(Release_Calendar!$A$2:$A$755,"NZ_GDP",Release_Calendar!$B$2:$B$755,$A5711)&gt;0,1,0))</f>
        <v>0</v>
      </c>
      <c r="O5711" s="16">
        <f>IF($A5711&lt;Notes!$B$5,"",IF(COUNTIFS(Release_Calendar!$A$2:$A$755,"NZ_LABOUR",Release_Calendar!$B$2:$B$755,$A5711)&gt;0,1,0))</f>
        <v>0</v>
      </c>
      <c r="P5711" s="16">
        <f t="shared" si="4"/>
        <v>0</v>
      </c>
    </row>
    <row r="5712" ht="15.75" customHeight="1">
      <c r="A5712" s="14">
        <v>44522.0</v>
      </c>
      <c r="B5712" s="15">
        <v>0.63</v>
      </c>
      <c r="C5712" s="15">
        <v>2.43</v>
      </c>
      <c r="D5712" s="15"/>
      <c r="E5712" s="15">
        <v>2.1</v>
      </c>
      <c r="F5712" s="15">
        <f t="shared" si="1"/>
        <v>1.8</v>
      </c>
      <c r="G5712" s="15">
        <f t="shared" si="2"/>
        <v>2.43</v>
      </c>
      <c r="H5712" s="16">
        <v>0.0</v>
      </c>
      <c r="I5712" s="15">
        <f t="shared" si="3"/>
        <v>1.8</v>
      </c>
      <c r="J5712" s="15">
        <v>19.17</v>
      </c>
      <c r="K5712" s="16">
        <f>IF(COUNTIFS(Release_Calendar!$A$2:$A$755,"US_CPI",Release_Calendar!$B$2:$B$755,$A5712)&gt;0,1,0)</f>
        <v>0</v>
      </c>
      <c r="L5712" s="16">
        <f>IF(COUNTIFS(Release_Calendar!$A$2:$A$755,"US_NFP",Release_Calendar!$B$2:$B$755,$A5712)&gt;0,1,0)</f>
        <v>0</v>
      </c>
      <c r="M5712" s="16">
        <f>IF($A5712&lt;Notes!$B$5,"",IF(COUNTIFS(Release_Calendar!$A$2:$A$755,"NZ_CPI",Release_Calendar!$B$2:$B$755,$A5712)&gt;0,1,0))</f>
        <v>0</v>
      </c>
      <c r="N5712" s="16">
        <f>IF($A5712&lt;Notes!$B$5,"",IF(COUNTIFS(Release_Calendar!$A$2:$A$755,"NZ_GDP",Release_Calendar!$B$2:$B$755,$A5712)&gt;0,1,0))</f>
        <v>0</v>
      </c>
      <c r="O5712" s="16">
        <f>IF($A5712&lt;Notes!$B$5,"",IF(COUNTIFS(Release_Calendar!$A$2:$A$755,"NZ_LABOUR",Release_Calendar!$B$2:$B$755,$A5712)&gt;0,1,0))</f>
        <v>0</v>
      </c>
      <c r="P5712" s="16">
        <f t="shared" si="4"/>
        <v>0</v>
      </c>
    </row>
    <row r="5713" ht="15.75" customHeight="1">
      <c r="A5713" s="14">
        <v>44523.0</v>
      </c>
      <c r="B5713" s="15">
        <v>0.6</v>
      </c>
      <c r="C5713" s="15">
        <v>2.4</v>
      </c>
      <c r="D5713" s="15"/>
      <c r="E5713" s="15">
        <v>2.1</v>
      </c>
      <c r="F5713" s="15">
        <f t="shared" si="1"/>
        <v>1.8</v>
      </c>
      <c r="G5713" s="15">
        <f t="shared" si="2"/>
        <v>2.4</v>
      </c>
      <c r="H5713" s="16">
        <v>0.0</v>
      </c>
      <c r="I5713" s="15">
        <f t="shared" si="3"/>
        <v>1.8</v>
      </c>
      <c r="J5713" s="15">
        <v>19.38</v>
      </c>
      <c r="K5713" s="16">
        <f>IF(COUNTIFS(Release_Calendar!$A$2:$A$755,"US_CPI",Release_Calendar!$B$2:$B$755,$A5713)&gt;0,1,0)</f>
        <v>0</v>
      </c>
      <c r="L5713" s="16">
        <f>IF(COUNTIFS(Release_Calendar!$A$2:$A$755,"US_NFP",Release_Calendar!$B$2:$B$755,$A5713)&gt;0,1,0)</f>
        <v>0</v>
      </c>
      <c r="M5713" s="16">
        <f>IF($A5713&lt;Notes!$B$5,"",IF(COUNTIFS(Release_Calendar!$A$2:$A$755,"NZ_CPI",Release_Calendar!$B$2:$B$755,$A5713)&gt;0,1,0))</f>
        <v>0</v>
      </c>
      <c r="N5713" s="16">
        <f>IF($A5713&lt;Notes!$B$5,"",IF(COUNTIFS(Release_Calendar!$A$2:$A$755,"NZ_GDP",Release_Calendar!$B$2:$B$755,$A5713)&gt;0,1,0))</f>
        <v>0</v>
      </c>
      <c r="O5713" s="16">
        <f>IF($A5713&lt;Notes!$B$5,"",IF(COUNTIFS(Release_Calendar!$A$2:$A$755,"NZ_LABOUR",Release_Calendar!$B$2:$B$755,$A5713)&gt;0,1,0))</f>
        <v>0</v>
      </c>
      <c r="P5713" s="16">
        <f t="shared" si="4"/>
        <v>0</v>
      </c>
    </row>
    <row r="5714" ht="15.75" customHeight="1">
      <c r="A5714" s="14">
        <v>44524.0</v>
      </c>
      <c r="B5714" s="15">
        <v>0.64</v>
      </c>
      <c r="C5714" s="15">
        <v>2.24</v>
      </c>
      <c r="D5714" s="15"/>
      <c r="E5714" s="15">
        <v>1.96</v>
      </c>
      <c r="F5714" s="15">
        <f t="shared" si="1"/>
        <v>1.6</v>
      </c>
      <c r="G5714" s="15">
        <f t="shared" si="2"/>
        <v>2.24</v>
      </c>
      <c r="H5714" s="16">
        <v>0.0</v>
      </c>
      <c r="I5714" s="15">
        <f t="shared" si="3"/>
        <v>1.6</v>
      </c>
      <c r="J5714" s="15">
        <v>18.58</v>
      </c>
      <c r="K5714" s="16">
        <f>IF(COUNTIFS(Release_Calendar!$A$2:$A$755,"US_CPI",Release_Calendar!$B$2:$B$755,$A5714)&gt;0,1,0)</f>
        <v>0</v>
      </c>
      <c r="L5714" s="16">
        <f>IF(COUNTIFS(Release_Calendar!$A$2:$A$755,"US_NFP",Release_Calendar!$B$2:$B$755,$A5714)&gt;0,1,0)</f>
        <v>0</v>
      </c>
      <c r="M5714" s="16">
        <f>IF($A5714&lt;Notes!$B$5,"",IF(COUNTIFS(Release_Calendar!$A$2:$A$755,"NZ_CPI",Release_Calendar!$B$2:$B$755,$A5714)&gt;0,1,0))</f>
        <v>0</v>
      </c>
      <c r="N5714" s="16">
        <f>IF($A5714&lt;Notes!$B$5,"",IF(COUNTIFS(Release_Calendar!$A$2:$A$755,"NZ_GDP",Release_Calendar!$B$2:$B$755,$A5714)&gt;0,1,0))</f>
        <v>0</v>
      </c>
      <c r="O5714" s="16">
        <f>IF($A5714&lt;Notes!$B$5,"",IF(COUNTIFS(Release_Calendar!$A$2:$A$755,"NZ_LABOUR",Release_Calendar!$B$2:$B$755,$A5714)&gt;0,1,0))</f>
        <v>0</v>
      </c>
      <c r="P5714" s="16">
        <f t="shared" si="4"/>
        <v>0</v>
      </c>
    </row>
    <row r="5715" ht="15.75" customHeight="1">
      <c r="A5715" s="14">
        <v>44525.0</v>
      </c>
      <c r="B5715" s="15"/>
      <c r="C5715" s="15">
        <v>2.22</v>
      </c>
      <c r="D5715" s="15"/>
      <c r="E5715" s="15">
        <v>1.95</v>
      </c>
      <c r="F5715" s="15" t="str">
        <f t="shared" si="1"/>
        <v/>
      </c>
      <c r="G5715" s="15">
        <f t="shared" si="2"/>
        <v>2.22</v>
      </c>
      <c r="H5715" s="16">
        <v>0.0</v>
      </c>
      <c r="I5715" s="15" t="str">
        <f t="shared" si="3"/>
        <v/>
      </c>
      <c r="J5715" s="15"/>
      <c r="K5715" s="16">
        <f>IF(COUNTIFS(Release_Calendar!$A$2:$A$755,"US_CPI",Release_Calendar!$B$2:$B$755,$A5715)&gt;0,1,0)</f>
        <v>0</v>
      </c>
      <c r="L5715" s="16">
        <f>IF(COUNTIFS(Release_Calendar!$A$2:$A$755,"US_NFP",Release_Calendar!$B$2:$B$755,$A5715)&gt;0,1,0)</f>
        <v>0</v>
      </c>
      <c r="M5715" s="16">
        <f>IF($A5715&lt;Notes!$B$5,"",IF(COUNTIFS(Release_Calendar!$A$2:$A$755,"NZ_CPI",Release_Calendar!$B$2:$B$755,$A5715)&gt;0,1,0))</f>
        <v>0</v>
      </c>
      <c r="N5715" s="16">
        <f>IF($A5715&lt;Notes!$B$5,"",IF(COUNTIFS(Release_Calendar!$A$2:$A$755,"NZ_GDP",Release_Calendar!$B$2:$B$755,$A5715)&gt;0,1,0))</f>
        <v>0</v>
      </c>
      <c r="O5715" s="16">
        <f>IF($A5715&lt;Notes!$B$5,"",IF(COUNTIFS(Release_Calendar!$A$2:$A$755,"NZ_LABOUR",Release_Calendar!$B$2:$B$755,$A5715)&gt;0,1,0))</f>
        <v>0</v>
      </c>
      <c r="P5715" s="16">
        <f t="shared" si="4"/>
        <v>0</v>
      </c>
    </row>
    <row r="5716" ht="15.75" customHeight="1">
      <c r="A5716" s="14">
        <v>44526.0</v>
      </c>
      <c r="B5716" s="15">
        <v>0.5</v>
      </c>
      <c r="C5716" s="15">
        <v>2.14</v>
      </c>
      <c r="D5716" s="15"/>
      <c r="E5716" s="15">
        <v>1.87</v>
      </c>
      <c r="F5716" s="15">
        <f t="shared" si="1"/>
        <v>1.64</v>
      </c>
      <c r="G5716" s="15">
        <f t="shared" si="2"/>
        <v>2.14</v>
      </c>
      <c r="H5716" s="16">
        <v>0.0</v>
      </c>
      <c r="I5716" s="15">
        <f t="shared" si="3"/>
        <v>1.64</v>
      </c>
      <c r="J5716" s="15">
        <v>28.62</v>
      </c>
      <c r="K5716" s="16">
        <f>IF(COUNTIFS(Release_Calendar!$A$2:$A$755,"US_CPI",Release_Calendar!$B$2:$B$755,$A5716)&gt;0,1,0)</f>
        <v>0</v>
      </c>
      <c r="L5716" s="16">
        <f>IF(COUNTIFS(Release_Calendar!$A$2:$A$755,"US_NFP",Release_Calendar!$B$2:$B$755,$A5716)&gt;0,1,0)</f>
        <v>0</v>
      </c>
      <c r="M5716" s="16">
        <f>IF($A5716&lt;Notes!$B$5,"",IF(COUNTIFS(Release_Calendar!$A$2:$A$755,"NZ_CPI",Release_Calendar!$B$2:$B$755,$A5716)&gt;0,1,0))</f>
        <v>0</v>
      </c>
      <c r="N5716" s="16">
        <f>IF($A5716&lt;Notes!$B$5,"",IF(COUNTIFS(Release_Calendar!$A$2:$A$755,"NZ_GDP",Release_Calendar!$B$2:$B$755,$A5716)&gt;0,1,0))</f>
        <v>0</v>
      </c>
      <c r="O5716" s="16">
        <f>IF($A5716&lt;Notes!$B$5,"",IF(COUNTIFS(Release_Calendar!$A$2:$A$755,"NZ_LABOUR",Release_Calendar!$B$2:$B$755,$A5716)&gt;0,1,0))</f>
        <v>0</v>
      </c>
      <c r="P5716" s="16">
        <f t="shared" si="4"/>
        <v>0</v>
      </c>
    </row>
    <row r="5717" ht="15.75" customHeight="1">
      <c r="A5717" s="14">
        <v>44529.0</v>
      </c>
      <c r="B5717" s="15">
        <v>0.51</v>
      </c>
      <c r="C5717" s="15">
        <v>2.14</v>
      </c>
      <c r="D5717" s="15"/>
      <c r="E5717" s="15">
        <v>1.86</v>
      </c>
      <c r="F5717" s="15">
        <f t="shared" si="1"/>
        <v>1.63</v>
      </c>
      <c r="G5717" s="15">
        <f t="shared" si="2"/>
        <v>2.14</v>
      </c>
      <c r="H5717" s="16">
        <v>0.0</v>
      </c>
      <c r="I5717" s="15">
        <f t="shared" si="3"/>
        <v>1.63</v>
      </c>
      <c r="J5717" s="15">
        <v>22.96</v>
      </c>
      <c r="K5717" s="16">
        <f>IF(COUNTIFS(Release_Calendar!$A$2:$A$755,"US_CPI",Release_Calendar!$B$2:$B$755,$A5717)&gt;0,1,0)</f>
        <v>0</v>
      </c>
      <c r="L5717" s="16">
        <f>IF(COUNTIFS(Release_Calendar!$A$2:$A$755,"US_NFP",Release_Calendar!$B$2:$B$755,$A5717)&gt;0,1,0)</f>
        <v>0</v>
      </c>
      <c r="M5717" s="16">
        <f>IF($A5717&lt;Notes!$B$5,"",IF(COUNTIFS(Release_Calendar!$A$2:$A$755,"NZ_CPI",Release_Calendar!$B$2:$B$755,$A5717)&gt;0,1,0))</f>
        <v>0</v>
      </c>
      <c r="N5717" s="16">
        <f>IF($A5717&lt;Notes!$B$5,"",IF(COUNTIFS(Release_Calendar!$A$2:$A$755,"NZ_GDP",Release_Calendar!$B$2:$B$755,$A5717)&gt;0,1,0))</f>
        <v>0</v>
      </c>
      <c r="O5717" s="16">
        <f>IF($A5717&lt;Notes!$B$5,"",IF(COUNTIFS(Release_Calendar!$A$2:$A$755,"NZ_LABOUR",Release_Calendar!$B$2:$B$755,$A5717)&gt;0,1,0))</f>
        <v>0</v>
      </c>
      <c r="P5717" s="16">
        <f t="shared" si="4"/>
        <v>0</v>
      </c>
    </row>
    <row r="5718" ht="15.75" customHeight="1">
      <c r="A5718" s="14">
        <v>44530.0</v>
      </c>
      <c r="B5718" s="15">
        <v>0.52</v>
      </c>
      <c r="C5718" s="15">
        <v>2.14</v>
      </c>
      <c r="D5718" s="15"/>
      <c r="E5718" s="15">
        <v>1.84</v>
      </c>
      <c r="F5718" s="15">
        <f t="shared" si="1"/>
        <v>1.62</v>
      </c>
      <c r="G5718" s="15">
        <f t="shared" si="2"/>
        <v>2.14</v>
      </c>
      <c r="H5718" s="16">
        <v>0.0</v>
      </c>
      <c r="I5718" s="15">
        <f t="shared" si="3"/>
        <v>1.62</v>
      </c>
      <c r="J5718" s="15">
        <v>27.19</v>
      </c>
      <c r="K5718" s="16">
        <f>IF(COUNTIFS(Release_Calendar!$A$2:$A$755,"US_CPI",Release_Calendar!$B$2:$B$755,$A5718)&gt;0,1,0)</f>
        <v>0</v>
      </c>
      <c r="L5718" s="16">
        <f>IF(COUNTIFS(Release_Calendar!$A$2:$A$755,"US_NFP",Release_Calendar!$B$2:$B$755,$A5718)&gt;0,1,0)</f>
        <v>0</v>
      </c>
      <c r="M5718" s="16">
        <f>IF($A5718&lt;Notes!$B$5,"",IF(COUNTIFS(Release_Calendar!$A$2:$A$755,"NZ_CPI",Release_Calendar!$B$2:$B$755,$A5718)&gt;0,1,0))</f>
        <v>0</v>
      </c>
      <c r="N5718" s="16">
        <f>IF($A5718&lt;Notes!$B$5,"",IF(COUNTIFS(Release_Calendar!$A$2:$A$755,"NZ_GDP",Release_Calendar!$B$2:$B$755,$A5718)&gt;0,1,0))</f>
        <v>0</v>
      </c>
      <c r="O5718" s="16">
        <f>IF($A5718&lt;Notes!$B$5,"",IF(COUNTIFS(Release_Calendar!$A$2:$A$755,"NZ_LABOUR",Release_Calendar!$B$2:$B$755,$A5718)&gt;0,1,0))</f>
        <v>0</v>
      </c>
      <c r="P5718" s="16">
        <f t="shared" si="4"/>
        <v>0</v>
      </c>
    </row>
    <row r="5719" ht="15.75" customHeight="1">
      <c r="A5719" s="14">
        <v>44531.0</v>
      </c>
      <c r="B5719" s="15">
        <v>0.56</v>
      </c>
      <c r="C5719" s="15">
        <v>2.19</v>
      </c>
      <c r="D5719" s="15"/>
      <c r="E5719" s="15">
        <v>1.86</v>
      </c>
      <c r="F5719" s="15">
        <f t="shared" si="1"/>
        <v>1.63</v>
      </c>
      <c r="G5719" s="15">
        <f t="shared" si="2"/>
        <v>2.19</v>
      </c>
      <c r="H5719" s="16">
        <v>0.0</v>
      </c>
      <c r="I5719" s="15">
        <f t="shared" si="3"/>
        <v>1.63</v>
      </c>
      <c r="J5719" s="15">
        <v>31.12</v>
      </c>
      <c r="K5719" s="16">
        <f>IF(COUNTIFS(Release_Calendar!$A$2:$A$755,"US_CPI",Release_Calendar!$B$2:$B$755,$A5719)&gt;0,1,0)</f>
        <v>0</v>
      </c>
      <c r="L5719" s="16">
        <f>IF(COUNTIFS(Release_Calendar!$A$2:$A$755,"US_NFP",Release_Calendar!$B$2:$B$755,$A5719)&gt;0,1,0)</f>
        <v>0</v>
      </c>
      <c r="M5719" s="16">
        <f>IF($A5719&lt;Notes!$B$5,"",IF(COUNTIFS(Release_Calendar!$A$2:$A$755,"NZ_CPI",Release_Calendar!$B$2:$B$755,$A5719)&gt;0,1,0))</f>
        <v>0</v>
      </c>
      <c r="N5719" s="16">
        <f>IF($A5719&lt;Notes!$B$5,"",IF(COUNTIFS(Release_Calendar!$A$2:$A$755,"NZ_GDP",Release_Calendar!$B$2:$B$755,$A5719)&gt;0,1,0))</f>
        <v>0</v>
      </c>
      <c r="O5719" s="16">
        <f>IF($A5719&lt;Notes!$B$5,"",IF(COUNTIFS(Release_Calendar!$A$2:$A$755,"NZ_LABOUR",Release_Calendar!$B$2:$B$755,$A5719)&gt;0,1,0))</f>
        <v>0</v>
      </c>
      <c r="P5719" s="16">
        <f t="shared" si="4"/>
        <v>0</v>
      </c>
    </row>
    <row r="5720" ht="15.75" customHeight="1">
      <c r="A5720" s="14">
        <v>44532.0</v>
      </c>
      <c r="B5720" s="15">
        <v>0.63</v>
      </c>
      <c r="C5720" s="15">
        <v>2.26</v>
      </c>
      <c r="D5720" s="15"/>
      <c r="E5720" s="15">
        <v>1.94</v>
      </c>
      <c r="F5720" s="15">
        <f t="shared" si="1"/>
        <v>1.63</v>
      </c>
      <c r="G5720" s="15">
        <f t="shared" si="2"/>
        <v>2.26</v>
      </c>
      <c r="H5720" s="16">
        <v>0.0</v>
      </c>
      <c r="I5720" s="15">
        <f t="shared" si="3"/>
        <v>1.63</v>
      </c>
      <c r="J5720" s="15">
        <v>27.95</v>
      </c>
      <c r="K5720" s="16">
        <f>IF(COUNTIFS(Release_Calendar!$A$2:$A$755,"US_CPI",Release_Calendar!$B$2:$B$755,$A5720)&gt;0,1,0)</f>
        <v>0</v>
      </c>
      <c r="L5720" s="16">
        <f>IF(COUNTIFS(Release_Calendar!$A$2:$A$755,"US_NFP",Release_Calendar!$B$2:$B$755,$A5720)&gt;0,1,0)</f>
        <v>0</v>
      </c>
      <c r="M5720" s="16">
        <f>IF($A5720&lt;Notes!$B$5,"",IF(COUNTIFS(Release_Calendar!$A$2:$A$755,"NZ_CPI",Release_Calendar!$B$2:$B$755,$A5720)&gt;0,1,0))</f>
        <v>0</v>
      </c>
      <c r="N5720" s="16">
        <f>IF($A5720&lt;Notes!$B$5,"",IF(COUNTIFS(Release_Calendar!$A$2:$A$755,"NZ_GDP",Release_Calendar!$B$2:$B$755,$A5720)&gt;0,1,0))</f>
        <v>0</v>
      </c>
      <c r="O5720" s="16">
        <f>IF($A5720&lt;Notes!$B$5,"",IF(COUNTIFS(Release_Calendar!$A$2:$A$755,"NZ_LABOUR",Release_Calendar!$B$2:$B$755,$A5720)&gt;0,1,0))</f>
        <v>0</v>
      </c>
      <c r="P5720" s="16">
        <f t="shared" si="4"/>
        <v>0</v>
      </c>
    </row>
    <row r="5721" ht="15.75" customHeight="1">
      <c r="A5721" s="14">
        <v>44533.0</v>
      </c>
      <c r="B5721" s="15">
        <v>0.6</v>
      </c>
      <c r="C5721" s="15">
        <v>2.25</v>
      </c>
      <c r="D5721" s="15"/>
      <c r="E5721" s="15">
        <v>1.94</v>
      </c>
      <c r="F5721" s="15">
        <f t="shared" si="1"/>
        <v>1.65</v>
      </c>
      <c r="G5721" s="15">
        <f t="shared" si="2"/>
        <v>2.25</v>
      </c>
      <c r="H5721" s="16">
        <v>0.0</v>
      </c>
      <c r="I5721" s="15">
        <f t="shared" si="3"/>
        <v>1.65</v>
      </c>
      <c r="J5721" s="15">
        <v>30.67</v>
      </c>
      <c r="K5721" s="16">
        <f>IF(COUNTIFS(Release_Calendar!$A$2:$A$755,"US_CPI",Release_Calendar!$B$2:$B$755,$A5721)&gt;0,1,0)</f>
        <v>0</v>
      </c>
      <c r="L5721" s="16">
        <f>IF(COUNTIFS(Release_Calendar!$A$2:$A$755,"US_NFP",Release_Calendar!$B$2:$B$755,$A5721)&gt;0,1,0)</f>
        <v>1</v>
      </c>
      <c r="M5721" s="16">
        <f>IF($A5721&lt;Notes!$B$5,"",IF(COUNTIFS(Release_Calendar!$A$2:$A$755,"NZ_CPI",Release_Calendar!$B$2:$B$755,$A5721)&gt;0,1,0))</f>
        <v>0</v>
      </c>
      <c r="N5721" s="16">
        <f>IF($A5721&lt;Notes!$B$5,"",IF(COUNTIFS(Release_Calendar!$A$2:$A$755,"NZ_GDP",Release_Calendar!$B$2:$B$755,$A5721)&gt;0,1,0))</f>
        <v>0</v>
      </c>
      <c r="O5721" s="16">
        <f>IF($A5721&lt;Notes!$B$5,"",IF(COUNTIFS(Release_Calendar!$A$2:$A$755,"NZ_LABOUR",Release_Calendar!$B$2:$B$755,$A5721)&gt;0,1,0))</f>
        <v>0</v>
      </c>
      <c r="P5721" s="16">
        <f t="shared" si="4"/>
        <v>1</v>
      </c>
    </row>
    <row r="5722" ht="15.75" customHeight="1">
      <c r="A5722" s="14">
        <v>44536.0</v>
      </c>
      <c r="B5722" s="15">
        <v>0.65</v>
      </c>
      <c r="C5722" s="15">
        <v>2.22</v>
      </c>
      <c r="D5722" s="15"/>
      <c r="E5722" s="15">
        <v>1.91</v>
      </c>
      <c r="F5722" s="15">
        <f t="shared" si="1"/>
        <v>1.57</v>
      </c>
      <c r="G5722" s="15">
        <f t="shared" si="2"/>
        <v>2.22</v>
      </c>
      <c r="H5722" s="16">
        <v>0.0</v>
      </c>
      <c r="I5722" s="15">
        <f t="shared" si="3"/>
        <v>1.57</v>
      </c>
      <c r="J5722" s="15">
        <v>27.18</v>
      </c>
      <c r="K5722" s="16">
        <f>IF(COUNTIFS(Release_Calendar!$A$2:$A$755,"US_CPI",Release_Calendar!$B$2:$B$755,$A5722)&gt;0,1,0)</f>
        <v>0</v>
      </c>
      <c r="L5722" s="16">
        <f>IF(COUNTIFS(Release_Calendar!$A$2:$A$755,"US_NFP",Release_Calendar!$B$2:$B$755,$A5722)&gt;0,1,0)</f>
        <v>0</v>
      </c>
      <c r="M5722" s="16">
        <f>IF($A5722&lt;Notes!$B$5,"",IF(COUNTIFS(Release_Calendar!$A$2:$A$755,"NZ_CPI",Release_Calendar!$B$2:$B$755,$A5722)&gt;0,1,0))</f>
        <v>0</v>
      </c>
      <c r="N5722" s="16">
        <f>IF($A5722&lt;Notes!$B$5,"",IF(COUNTIFS(Release_Calendar!$A$2:$A$755,"NZ_GDP",Release_Calendar!$B$2:$B$755,$A5722)&gt;0,1,0))</f>
        <v>0</v>
      </c>
      <c r="O5722" s="16">
        <f>IF($A5722&lt;Notes!$B$5,"",IF(COUNTIFS(Release_Calendar!$A$2:$A$755,"NZ_LABOUR",Release_Calendar!$B$2:$B$755,$A5722)&gt;0,1,0))</f>
        <v>0</v>
      </c>
      <c r="P5722" s="16">
        <f t="shared" si="4"/>
        <v>0</v>
      </c>
    </row>
    <row r="5723" ht="15.75" customHeight="1">
      <c r="A5723" s="14">
        <v>44537.0</v>
      </c>
      <c r="B5723" s="15">
        <v>0.7</v>
      </c>
      <c r="C5723" s="15">
        <v>2.25</v>
      </c>
      <c r="D5723" s="15"/>
      <c r="E5723" s="15">
        <v>2.02</v>
      </c>
      <c r="F5723" s="15">
        <f t="shared" si="1"/>
        <v>1.55</v>
      </c>
      <c r="G5723" s="15">
        <f t="shared" si="2"/>
        <v>2.25</v>
      </c>
      <c r="H5723" s="16">
        <v>0.0</v>
      </c>
      <c r="I5723" s="15">
        <f t="shared" si="3"/>
        <v>1.55</v>
      </c>
      <c r="J5723" s="15">
        <v>21.89</v>
      </c>
      <c r="K5723" s="16">
        <f>IF(COUNTIFS(Release_Calendar!$A$2:$A$755,"US_CPI",Release_Calendar!$B$2:$B$755,$A5723)&gt;0,1,0)</f>
        <v>0</v>
      </c>
      <c r="L5723" s="16">
        <f>IF(COUNTIFS(Release_Calendar!$A$2:$A$755,"US_NFP",Release_Calendar!$B$2:$B$755,$A5723)&gt;0,1,0)</f>
        <v>0</v>
      </c>
      <c r="M5723" s="16">
        <f>IF($A5723&lt;Notes!$B$5,"",IF(COUNTIFS(Release_Calendar!$A$2:$A$755,"NZ_CPI",Release_Calendar!$B$2:$B$755,$A5723)&gt;0,1,0))</f>
        <v>0</v>
      </c>
      <c r="N5723" s="16">
        <f>IF($A5723&lt;Notes!$B$5,"",IF(COUNTIFS(Release_Calendar!$A$2:$A$755,"NZ_GDP",Release_Calendar!$B$2:$B$755,$A5723)&gt;0,1,0))</f>
        <v>0</v>
      </c>
      <c r="O5723" s="16">
        <f>IF($A5723&lt;Notes!$B$5,"",IF(COUNTIFS(Release_Calendar!$A$2:$A$755,"NZ_LABOUR",Release_Calendar!$B$2:$B$755,$A5723)&gt;0,1,0))</f>
        <v>0</v>
      </c>
      <c r="P5723" s="16">
        <f t="shared" si="4"/>
        <v>0</v>
      </c>
    </row>
    <row r="5724" ht="15.75" customHeight="1">
      <c r="A5724" s="14">
        <v>44538.0</v>
      </c>
      <c r="B5724" s="15">
        <v>0.68</v>
      </c>
      <c r="C5724" s="15">
        <v>2.26</v>
      </c>
      <c r="D5724" s="15"/>
      <c r="E5724" s="15">
        <v>2.06</v>
      </c>
      <c r="F5724" s="15">
        <f t="shared" si="1"/>
        <v>1.58</v>
      </c>
      <c r="G5724" s="15">
        <f t="shared" si="2"/>
        <v>2.26</v>
      </c>
      <c r="H5724" s="16">
        <v>0.0</v>
      </c>
      <c r="I5724" s="15">
        <f t="shared" si="3"/>
        <v>1.58</v>
      </c>
      <c r="J5724" s="15">
        <v>19.9</v>
      </c>
      <c r="K5724" s="16">
        <f>IF(COUNTIFS(Release_Calendar!$A$2:$A$755,"US_CPI",Release_Calendar!$B$2:$B$755,$A5724)&gt;0,1,0)</f>
        <v>0</v>
      </c>
      <c r="L5724" s="16">
        <f>IF(COUNTIFS(Release_Calendar!$A$2:$A$755,"US_NFP",Release_Calendar!$B$2:$B$755,$A5724)&gt;0,1,0)</f>
        <v>0</v>
      </c>
      <c r="M5724" s="16">
        <f>IF($A5724&lt;Notes!$B$5,"",IF(COUNTIFS(Release_Calendar!$A$2:$A$755,"NZ_CPI",Release_Calendar!$B$2:$B$755,$A5724)&gt;0,1,0))</f>
        <v>0</v>
      </c>
      <c r="N5724" s="16">
        <f>IF($A5724&lt;Notes!$B$5,"",IF(COUNTIFS(Release_Calendar!$A$2:$A$755,"NZ_GDP",Release_Calendar!$B$2:$B$755,$A5724)&gt;0,1,0))</f>
        <v>0</v>
      </c>
      <c r="O5724" s="16">
        <f>IF($A5724&lt;Notes!$B$5,"",IF(COUNTIFS(Release_Calendar!$A$2:$A$755,"NZ_LABOUR",Release_Calendar!$B$2:$B$755,$A5724)&gt;0,1,0))</f>
        <v>0</v>
      </c>
      <c r="P5724" s="16">
        <f t="shared" si="4"/>
        <v>0</v>
      </c>
    </row>
    <row r="5725" ht="15.75" customHeight="1">
      <c r="A5725" s="14">
        <v>44539.0</v>
      </c>
      <c r="B5725" s="15">
        <v>0.7</v>
      </c>
      <c r="C5725" s="15">
        <v>2.25</v>
      </c>
      <c r="D5725" s="15"/>
      <c r="E5725" s="15">
        <v>2.08</v>
      </c>
      <c r="F5725" s="15">
        <f t="shared" si="1"/>
        <v>1.55</v>
      </c>
      <c r="G5725" s="15">
        <f t="shared" si="2"/>
        <v>2.25</v>
      </c>
      <c r="H5725" s="16">
        <v>0.0</v>
      </c>
      <c r="I5725" s="15">
        <f t="shared" si="3"/>
        <v>1.55</v>
      </c>
      <c r="J5725" s="15">
        <v>21.58</v>
      </c>
      <c r="K5725" s="16">
        <f>IF(COUNTIFS(Release_Calendar!$A$2:$A$755,"US_CPI",Release_Calendar!$B$2:$B$755,$A5725)&gt;0,1,0)</f>
        <v>0</v>
      </c>
      <c r="L5725" s="16">
        <f>IF(COUNTIFS(Release_Calendar!$A$2:$A$755,"US_NFP",Release_Calendar!$B$2:$B$755,$A5725)&gt;0,1,0)</f>
        <v>0</v>
      </c>
      <c r="M5725" s="16">
        <f>IF($A5725&lt;Notes!$B$5,"",IF(COUNTIFS(Release_Calendar!$A$2:$A$755,"NZ_CPI",Release_Calendar!$B$2:$B$755,$A5725)&gt;0,1,0))</f>
        <v>0</v>
      </c>
      <c r="N5725" s="16">
        <f>IF($A5725&lt;Notes!$B$5,"",IF(COUNTIFS(Release_Calendar!$A$2:$A$755,"NZ_GDP",Release_Calendar!$B$2:$B$755,$A5725)&gt;0,1,0))</f>
        <v>0</v>
      </c>
      <c r="O5725" s="16">
        <f>IF($A5725&lt;Notes!$B$5,"",IF(COUNTIFS(Release_Calendar!$A$2:$A$755,"NZ_LABOUR",Release_Calendar!$B$2:$B$755,$A5725)&gt;0,1,0))</f>
        <v>0</v>
      </c>
      <c r="P5725" s="16">
        <f t="shared" si="4"/>
        <v>0</v>
      </c>
    </row>
    <row r="5726" ht="15.75" customHeight="1">
      <c r="A5726" s="14">
        <v>44540.0</v>
      </c>
      <c r="B5726" s="15">
        <v>0.67</v>
      </c>
      <c r="C5726" s="15">
        <v>2.22</v>
      </c>
      <c r="D5726" s="15"/>
      <c r="E5726" s="15">
        <v>2.04</v>
      </c>
      <c r="F5726" s="15">
        <f t="shared" si="1"/>
        <v>1.55</v>
      </c>
      <c r="G5726" s="15">
        <f t="shared" si="2"/>
        <v>2.22</v>
      </c>
      <c r="H5726" s="16">
        <v>0.0</v>
      </c>
      <c r="I5726" s="15">
        <f t="shared" si="3"/>
        <v>1.55</v>
      </c>
      <c r="J5726" s="15">
        <v>18.69</v>
      </c>
      <c r="K5726" s="16">
        <f>IF(COUNTIFS(Release_Calendar!$A$2:$A$755,"US_CPI",Release_Calendar!$B$2:$B$755,$A5726)&gt;0,1,0)</f>
        <v>1</v>
      </c>
      <c r="L5726" s="16">
        <f>IF(COUNTIFS(Release_Calendar!$A$2:$A$755,"US_NFP",Release_Calendar!$B$2:$B$755,$A5726)&gt;0,1,0)</f>
        <v>0</v>
      </c>
      <c r="M5726" s="16">
        <f>IF($A5726&lt;Notes!$B$5,"",IF(COUNTIFS(Release_Calendar!$A$2:$A$755,"NZ_CPI",Release_Calendar!$B$2:$B$755,$A5726)&gt;0,1,0))</f>
        <v>0</v>
      </c>
      <c r="N5726" s="16">
        <f>IF($A5726&lt;Notes!$B$5,"",IF(COUNTIFS(Release_Calendar!$A$2:$A$755,"NZ_GDP",Release_Calendar!$B$2:$B$755,$A5726)&gt;0,1,0))</f>
        <v>0</v>
      </c>
      <c r="O5726" s="16">
        <f>IF($A5726&lt;Notes!$B$5,"",IF(COUNTIFS(Release_Calendar!$A$2:$A$755,"NZ_LABOUR",Release_Calendar!$B$2:$B$755,$A5726)&gt;0,1,0))</f>
        <v>0</v>
      </c>
      <c r="P5726" s="16">
        <f t="shared" si="4"/>
        <v>1</v>
      </c>
    </row>
    <row r="5727" ht="15.75" customHeight="1">
      <c r="A5727" s="14">
        <v>44543.0</v>
      </c>
      <c r="B5727" s="15">
        <v>0.66</v>
      </c>
      <c r="C5727" s="15">
        <v>2.21</v>
      </c>
      <c r="D5727" s="15"/>
      <c r="E5727" s="15">
        <v>2.0</v>
      </c>
      <c r="F5727" s="15">
        <f t="shared" si="1"/>
        <v>1.55</v>
      </c>
      <c r="G5727" s="15">
        <f t="shared" si="2"/>
        <v>2.21</v>
      </c>
      <c r="H5727" s="16">
        <v>0.0</v>
      </c>
      <c r="I5727" s="15">
        <f t="shared" si="3"/>
        <v>1.55</v>
      </c>
      <c r="J5727" s="15">
        <v>20.31</v>
      </c>
      <c r="K5727" s="16">
        <f>IF(COUNTIFS(Release_Calendar!$A$2:$A$755,"US_CPI",Release_Calendar!$B$2:$B$755,$A5727)&gt;0,1,0)</f>
        <v>0</v>
      </c>
      <c r="L5727" s="16">
        <f>IF(COUNTIFS(Release_Calendar!$A$2:$A$755,"US_NFP",Release_Calendar!$B$2:$B$755,$A5727)&gt;0,1,0)</f>
        <v>0</v>
      </c>
      <c r="M5727" s="16">
        <f>IF($A5727&lt;Notes!$B$5,"",IF(COUNTIFS(Release_Calendar!$A$2:$A$755,"NZ_CPI",Release_Calendar!$B$2:$B$755,$A5727)&gt;0,1,0))</f>
        <v>0</v>
      </c>
      <c r="N5727" s="16">
        <f>IF($A5727&lt;Notes!$B$5,"",IF(COUNTIFS(Release_Calendar!$A$2:$A$755,"NZ_GDP",Release_Calendar!$B$2:$B$755,$A5727)&gt;0,1,0))</f>
        <v>0</v>
      </c>
      <c r="O5727" s="16">
        <f>IF($A5727&lt;Notes!$B$5,"",IF(COUNTIFS(Release_Calendar!$A$2:$A$755,"NZ_LABOUR",Release_Calendar!$B$2:$B$755,$A5727)&gt;0,1,0))</f>
        <v>0</v>
      </c>
      <c r="P5727" s="16">
        <f t="shared" si="4"/>
        <v>0</v>
      </c>
    </row>
    <row r="5728" ht="15.75" customHeight="1">
      <c r="A5728" s="14">
        <v>44544.0</v>
      </c>
      <c r="B5728" s="15">
        <v>0.67</v>
      </c>
      <c r="C5728" s="15">
        <v>2.19</v>
      </c>
      <c r="D5728" s="15"/>
      <c r="E5728" s="15">
        <v>1.97</v>
      </c>
      <c r="F5728" s="15">
        <f t="shared" si="1"/>
        <v>1.52</v>
      </c>
      <c r="G5728" s="15">
        <f t="shared" si="2"/>
        <v>2.19</v>
      </c>
      <c r="H5728" s="16">
        <v>0.0</v>
      </c>
      <c r="I5728" s="15">
        <f t="shared" si="3"/>
        <v>1.52</v>
      </c>
      <c r="J5728" s="15">
        <v>21.89</v>
      </c>
      <c r="K5728" s="16">
        <f>IF(COUNTIFS(Release_Calendar!$A$2:$A$755,"US_CPI",Release_Calendar!$B$2:$B$755,$A5728)&gt;0,1,0)</f>
        <v>0</v>
      </c>
      <c r="L5728" s="16">
        <f>IF(COUNTIFS(Release_Calendar!$A$2:$A$755,"US_NFP",Release_Calendar!$B$2:$B$755,$A5728)&gt;0,1,0)</f>
        <v>0</v>
      </c>
      <c r="M5728" s="16">
        <f>IF($A5728&lt;Notes!$B$5,"",IF(COUNTIFS(Release_Calendar!$A$2:$A$755,"NZ_CPI",Release_Calendar!$B$2:$B$755,$A5728)&gt;0,1,0))</f>
        <v>0</v>
      </c>
      <c r="N5728" s="16">
        <f>IF($A5728&lt;Notes!$B$5,"",IF(COUNTIFS(Release_Calendar!$A$2:$A$755,"NZ_GDP",Release_Calendar!$B$2:$B$755,$A5728)&gt;0,1,0))</f>
        <v>0</v>
      </c>
      <c r="O5728" s="16">
        <f>IF($A5728&lt;Notes!$B$5,"",IF(COUNTIFS(Release_Calendar!$A$2:$A$755,"NZ_LABOUR",Release_Calendar!$B$2:$B$755,$A5728)&gt;0,1,0))</f>
        <v>0</v>
      </c>
      <c r="P5728" s="16">
        <f t="shared" si="4"/>
        <v>0</v>
      </c>
    </row>
    <row r="5729" ht="15.75" customHeight="1">
      <c r="A5729" s="14">
        <v>44545.0</v>
      </c>
      <c r="B5729" s="15">
        <v>0.69</v>
      </c>
      <c r="C5729" s="15">
        <v>2.22</v>
      </c>
      <c r="D5729" s="15"/>
      <c r="E5729" s="15">
        <v>2.0</v>
      </c>
      <c r="F5729" s="15">
        <f t="shared" si="1"/>
        <v>1.53</v>
      </c>
      <c r="G5729" s="15">
        <f t="shared" si="2"/>
        <v>2.22</v>
      </c>
      <c r="H5729" s="16">
        <v>0.0</v>
      </c>
      <c r="I5729" s="15">
        <f t="shared" si="3"/>
        <v>1.53</v>
      </c>
      <c r="J5729" s="15">
        <v>19.29</v>
      </c>
      <c r="K5729" s="16">
        <f>IF(COUNTIFS(Release_Calendar!$A$2:$A$755,"US_CPI",Release_Calendar!$B$2:$B$755,$A5729)&gt;0,1,0)</f>
        <v>0</v>
      </c>
      <c r="L5729" s="16">
        <f>IF(COUNTIFS(Release_Calendar!$A$2:$A$755,"US_NFP",Release_Calendar!$B$2:$B$755,$A5729)&gt;0,1,0)</f>
        <v>0</v>
      </c>
      <c r="M5729" s="16">
        <f>IF($A5729&lt;Notes!$B$5,"",IF(COUNTIFS(Release_Calendar!$A$2:$A$755,"NZ_CPI",Release_Calendar!$B$2:$B$755,$A5729)&gt;0,1,0))</f>
        <v>0</v>
      </c>
      <c r="N5729" s="16">
        <f>IF($A5729&lt;Notes!$B$5,"",IF(COUNTIFS(Release_Calendar!$A$2:$A$755,"NZ_GDP",Release_Calendar!$B$2:$B$755,$A5729)&gt;0,1,0))</f>
        <v>0</v>
      </c>
      <c r="O5729" s="16">
        <f>IF($A5729&lt;Notes!$B$5,"",IF(COUNTIFS(Release_Calendar!$A$2:$A$755,"NZ_LABOUR",Release_Calendar!$B$2:$B$755,$A5729)&gt;0,1,0))</f>
        <v>0</v>
      </c>
      <c r="P5729" s="16">
        <f t="shared" si="4"/>
        <v>0</v>
      </c>
    </row>
    <row r="5730" ht="15.75" customHeight="1">
      <c r="A5730" s="14">
        <v>44546.0</v>
      </c>
      <c r="B5730" s="15">
        <v>0.64</v>
      </c>
      <c r="C5730" s="15">
        <v>2.27</v>
      </c>
      <c r="D5730" s="15"/>
      <c r="E5730" s="15">
        <v>2.02</v>
      </c>
      <c r="F5730" s="15">
        <f t="shared" si="1"/>
        <v>1.63</v>
      </c>
      <c r="G5730" s="15">
        <f t="shared" si="2"/>
        <v>2.27</v>
      </c>
      <c r="H5730" s="16">
        <v>0.0</v>
      </c>
      <c r="I5730" s="15">
        <f t="shared" si="3"/>
        <v>1.63</v>
      </c>
      <c r="J5730" s="15">
        <v>20.57</v>
      </c>
      <c r="K5730" s="16">
        <f>IF(COUNTIFS(Release_Calendar!$A$2:$A$755,"US_CPI",Release_Calendar!$B$2:$B$755,$A5730)&gt;0,1,0)</f>
        <v>0</v>
      </c>
      <c r="L5730" s="16">
        <f>IF(COUNTIFS(Release_Calendar!$A$2:$A$755,"US_NFP",Release_Calendar!$B$2:$B$755,$A5730)&gt;0,1,0)</f>
        <v>0</v>
      </c>
      <c r="M5730" s="16">
        <f>IF($A5730&lt;Notes!$B$5,"",IF(COUNTIFS(Release_Calendar!$A$2:$A$755,"NZ_CPI",Release_Calendar!$B$2:$B$755,$A5730)&gt;0,1,0))</f>
        <v>0</v>
      </c>
      <c r="N5730" s="16">
        <f>IF($A5730&lt;Notes!$B$5,"",IF(COUNTIFS(Release_Calendar!$A$2:$A$755,"NZ_GDP",Release_Calendar!$B$2:$B$755,$A5730)&gt;0,1,0))</f>
        <v>1</v>
      </c>
      <c r="O5730" s="16">
        <f>IF($A5730&lt;Notes!$B$5,"",IF(COUNTIFS(Release_Calendar!$A$2:$A$755,"NZ_LABOUR",Release_Calendar!$B$2:$B$755,$A5730)&gt;0,1,0))</f>
        <v>0</v>
      </c>
      <c r="P5730" s="16">
        <f t="shared" si="4"/>
        <v>1</v>
      </c>
    </row>
    <row r="5731" ht="15.75" customHeight="1">
      <c r="A5731" s="14">
        <v>44547.0</v>
      </c>
      <c r="B5731" s="15">
        <v>0.66</v>
      </c>
      <c r="C5731" s="15">
        <v>2.25</v>
      </c>
      <c r="D5731" s="15"/>
      <c r="E5731" s="15">
        <v>2.01</v>
      </c>
      <c r="F5731" s="15">
        <f t="shared" si="1"/>
        <v>1.59</v>
      </c>
      <c r="G5731" s="15">
        <f t="shared" si="2"/>
        <v>2.25</v>
      </c>
      <c r="H5731" s="16">
        <v>0.0</v>
      </c>
      <c r="I5731" s="15">
        <f t="shared" si="3"/>
        <v>1.59</v>
      </c>
      <c r="J5731" s="15">
        <v>21.57</v>
      </c>
      <c r="K5731" s="16">
        <f>IF(COUNTIFS(Release_Calendar!$A$2:$A$755,"US_CPI",Release_Calendar!$B$2:$B$755,$A5731)&gt;0,1,0)</f>
        <v>0</v>
      </c>
      <c r="L5731" s="16">
        <f>IF(COUNTIFS(Release_Calendar!$A$2:$A$755,"US_NFP",Release_Calendar!$B$2:$B$755,$A5731)&gt;0,1,0)</f>
        <v>0</v>
      </c>
      <c r="M5731" s="16">
        <f>IF($A5731&lt;Notes!$B$5,"",IF(COUNTIFS(Release_Calendar!$A$2:$A$755,"NZ_CPI",Release_Calendar!$B$2:$B$755,$A5731)&gt;0,1,0))</f>
        <v>0</v>
      </c>
      <c r="N5731" s="16">
        <f>IF($A5731&lt;Notes!$B$5,"",IF(COUNTIFS(Release_Calendar!$A$2:$A$755,"NZ_GDP",Release_Calendar!$B$2:$B$755,$A5731)&gt;0,1,0))</f>
        <v>0</v>
      </c>
      <c r="O5731" s="16">
        <f>IF($A5731&lt;Notes!$B$5,"",IF(COUNTIFS(Release_Calendar!$A$2:$A$755,"NZ_LABOUR",Release_Calendar!$B$2:$B$755,$A5731)&gt;0,1,0))</f>
        <v>0</v>
      </c>
      <c r="P5731" s="16">
        <f t="shared" si="4"/>
        <v>0</v>
      </c>
    </row>
    <row r="5732" ht="15.75" customHeight="1">
      <c r="A5732" s="14">
        <v>44550.0</v>
      </c>
      <c r="B5732" s="15">
        <v>0.65</v>
      </c>
      <c r="C5732" s="15">
        <v>2.2</v>
      </c>
      <c r="D5732" s="15"/>
      <c r="E5732" s="15">
        <v>1.97</v>
      </c>
      <c r="F5732" s="15">
        <f t="shared" si="1"/>
        <v>1.55</v>
      </c>
      <c r="G5732" s="15">
        <f t="shared" si="2"/>
        <v>2.2</v>
      </c>
      <c r="H5732" s="16">
        <v>0.0</v>
      </c>
      <c r="I5732" s="15">
        <f t="shared" si="3"/>
        <v>1.55</v>
      </c>
      <c r="J5732" s="15">
        <v>22.87</v>
      </c>
      <c r="K5732" s="16">
        <f>IF(COUNTIFS(Release_Calendar!$A$2:$A$755,"US_CPI",Release_Calendar!$B$2:$B$755,$A5732)&gt;0,1,0)</f>
        <v>0</v>
      </c>
      <c r="L5732" s="16">
        <f>IF(COUNTIFS(Release_Calendar!$A$2:$A$755,"US_NFP",Release_Calendar!$B$2:$B$755,$A5732)&gt;0,1,0)</f>
        <v>0</v>
      </c>
      <c r="M5732" s="16">
        <f>IF($A5732&lt;Notes!$B$5,"",IF(COUNTIFS(Release_Calendar!$A$2:$A$755,"NZ_CPI",Release_Calendar!$B$2:$B$755,$A5732)&gt;0,1,0))</f>
        <v>0</v>
      </c>
      <c r="N5732" s="16">
        <f>IF($A5732&lt;Notes!$B$5,"",IF(COUNTIFS(Release_Calendar!$A$2:$A$755,"NZ_GDP",Release_Calendar!$B$2:$B$755,$A5732)&gt;0,1,0))</f>
        <v>0</v>
      </c>
      <c r="O5732" s="16">
        <f>IF($A5732&lt;Notes!$B$5,"",IF(COUNTIFS(Release_Calendar!$A$2:$A$755,"NZ_LABOUR",Release_Calendar!$B$2:$B$755,$A5732)&gt;0,1,0))</f>
        <v>0</v>
      </c>
      <c r="P5732" s="16">
        <f t="shared" si="4"/>
        <v>0</v>
      </c>
    </row>
    <row r="5733" ht="15.75" customHeight="1">
      <c r="A5733" s="14">
        <v>44551.0</v>
      </c>
      <c r="B5733" s="15">
        <v>0.7</v>
      </c>
      <c r="C5733" s="15">
        <v>2.21</v>
      </c>
      <c r="D5733" s="15"/>
      <c r="E5733" s="15">
        <v>1.96</v>
      </c>
      <c r="F5733" s="15">
        <f t="shared" si="1"/>
        <v>1.51</v>
      </c>
      <c r="G5733" s="15">
        <f t="shared" si="2"/>
        <v>2.21</v>
      </c>
      <c r="H5733" s="16">
        <v>0.0</v>
      </c>
      <c r="I5733" s="15">
        <f t="shared" si="3"/>
        <v>1.51</v>
      </c>
      <c r="J5733" s="15">
        <v>21.01</v>
      </c>
      <c r="K5733" s="16">
        <f>IF(COUNTIFS(Release_Calendar!$A$2:$A$755,"US_CPI",Release_Calendar!$B$2:$B$755,$A5733)&gt;0,1,0)</f>
        <v>0</v>
      </c>
      <c r="L5733" s="16">
        <f>IF(COUNTIFS(Release_Calendar!$A$2:$A$755,"US_NFP",Release_Calendar!$B$2:$B$755,$A5733)&gt;0,1,0)</f>
        <v>0</v>
      </c>
      <c r="M5733" s="16">
        <f>IF($A5733&lt;Notes!$B$5,"",IF(COUNTIFS(Release_Calendar!$A$2:$A$755,"NZ_CPI",Release_Calendar!$B$2:$B$755,$A5733)&gt;0,1,0))</f>
        <v>0</v>
      </c>
      <c r="N5733" s="16">
        <f>IF($A5733&lt;Notes!$B$5,"",IF(COUNTIFS(Release_Calendar!$A$2:$A$755,"NZ_GDP",Release_Calendar!$B$2:$B$755,$A5733)&gt;0,1,0))</f>
        <v>0</v>
      </c>
      <c r="O5733" s="16">
        <f>IF($A5733&lt;Notes!$B$5,"",IF(COUNTIFS(Release_Calendar!$A$2:$A$755,"NZ_LABOUR",Release_Calendar!$B$2:$B$755,$A5733)&gt;0,1,0))</f>
        <v>0</v>
      </c>
      <c r="P5733" s="16">
        <f t="shared" si="4"/>
        <v>0</v>
      </c>
    </row>
    <row r="5734" ht="15.75" customHeight="1">
      <c r="A5734" s="14">
        <v>44552.0</v>
      </c>
      <c r="B5734" s="15">
        <v>0.68</v>
      </c>
      <c r="C5734" s="15">
        <v>2.21</v>
      </c>
      <c r="D5734" s="15"/>
      <c r="E5734" s="15">
        <v>1.96</v>
      </c>
      <c r="F5734" s="15">
        <f t="shared" si="1"/>
        <v>1.53</v>
      </c>
      <c r="G5734" s="15">
        <f t="shared" si="2"/>
        <v>2.21</v>
      </c>
      <c r="H5734" s="16">
        <v>0.0</v>
      </c>
      <c r="I5734" s="15">
        <f t="shared" si="3"/>
        <v>1.53</v>
      </c>
      <c r="J5734" s="15">
        <v>18.63</v>
      </c>
      <c r="K5734" s="16">
        <f>IF(COUNTIFS(Release_Calendar!$A$2:$A$755,"US_CPI",Release_Calendar!$B$2:$B$755,$A5734)&gt;0,1,0)</f>
        <v>0</v>
      </c>
      <c r="L5734" s="16">
        <f>IF(COUNTIFS(Release_Calendar!$A$2:$A$755,"US_NFP",Release_Calendar!$B$2:$B$755,$A5734)&gt;0,1,0)</f>
        <v>0</v>
      </c>
      <c r="M5734" s="16">
        <f>IF($A5734&lt;Notes!$B$5,"",IF(COUNTIFS(Release_Calendar!$A$2:$A$755,"NZ_CPI",Release_Calendar!$B$2:$B$755,$A5734)&gt;0,1,0))</f>
        <v>0</v>
      </c>
      <c r="N5734" s="16">
        <f>IF($A5734&lt;Notes!$B$5,"",IF(COUNTIFS(Release_Calendar!$A$2:$A$755,"NZ_GDP",Release_Calendar!$B$2:$B$755,$A5734)&gt;0,1,0))</f>
        <v>0</v>
      </c>
      <c r="O5734" s="16">
        <f>IF($A5734&lt;Notes!$B$5,"",IF(COUNTIFS(Release_Calendar!$A$2:$A$755,"NZ_LABOUR",Release_Calendar!$B$2:$B$755,$A5734)&gt;0,1,0))</f>
        <v>0</v>
      </c>
      <c r="P5734" s="16">
        <f t="shared" si="4"/>
        <v>0</v>
      </c>
    </row>
    <row r="5735" ht="15.75" customHeight="1">
      <c r="A5735" s="14">
        <v>44553.0</v>
      </c>
      <c r="B5735" s="15">
        <v>0.71</v>
      </c>
      <c r="C5735" s="15">
        <v>2.2</v>
      </c>
      <c r="D5735" s="15"/>
      <c r="E5735" s="15">
        <v>1.94</v>
      </c>
      <c r="F5735" s="15">
        <f t="shared" si="1"/>
        <v>1.49</v>
      </c>
      <c r="G5735" s="15">
        <f t="shared" si="2"/>
        <v>2.2</v>
      </c>
      <c r="H5735" s="16">
        <v>0.0</v>
      </c>
      <c r="I5735" s="15">
        <f t="shared" si="3"/>
        <v>1.49</v>
      </c>
      <c r="J5735" s="15">
        <v>17.96</v>
      </c>
      <c r="K5735" s="16">
        <f>IF(COUNTIFS(Release_Calendar!$A$2:$A$755,"US_CPI",Release_Calendar!$B$2:$B$755,$A5735)&gt;0,1,0)</f>
        <v>0</v>
      </c>
      <c r="L5735" s="16">
        <f>IF(COUNTIFS(Release_Calendar!$A$2:$A$755,"US_NFP",Release_Calendar!$B$2:$B$755,$A5735)&gt;0,1,0)</f>
        <v>0</v>
      </c>
      <c r="M5735" s="16">
        <f>IF($A5735&lt;Notes!$B$5,"",IF(COUNTIFS(Release_Calendar!$A$2:$A$755,"NZ_CPI",Release_Calendar!$B$2:$B$755,$A5735)&gt;0,1,0))</f>
        <v>0</v>
      </c>
      <c r="N5735" s="16">
        <f>IF($A5735&lt;Notes!$B$5,"",IF(COUNTIFS(Release_Calendar!$A$2:$A$755,"NZ_GDP",Release_Calendar!$B$2:$B$755,$A5735)&gt;0,1,0))</f>
        <v>0</v>
      </c>
      <c r="O5735" s="16">
        <f>IF($A5735&lt;Notes!$B$5,"",IF(COUNTIFS(Release_Calendar!$A$2:$A$755,"NZ_LABOUR",Release_Calendar!$B$2:$B$755,$A5735)&gt;0,1,0))</f>
        <v>0</v>
      </c>
      <c r="P5735" s="16">
        <f t="shared" si="4"/>
        <v>0</v>
      </c>
    </row>
    <row r="5736" ht="15.75" customHeight="1">
      <c r="A5736" s="14">
        <v>44554.0</v>
      </c>
      <c r="B5736" s="15"/>
      <c r="C5736" s="15">
        <v>2.19</v>
      </c>
      <c r="D5736" s="15"/>
      <c r="E5736" s="15">
        <v>1.94</v>
      </c>
      <c r="F5736" s="15" t="str">
        <f t="shared" si="1"/>
        <v/>
      </c>
      <c r="G5736" s="15">
        <f t="shared" si="2"/>
        <v>2.19</v>
      </c>
      <c r="H5736" s="16">
        <v>0.0</v>
      </c>
      <c r="I5736" s="15" t="str">
        <f t="shared" si="3"/>
        <v/>
      </c>
      <c r="J5736" s="15"/>
      <c r="K5736" s="16">
        <f>IF(COUNTIFS(Release_Calendar!$A$2:$A$755,"US_CPI",Release_Calendar!$B$2:$B$755,$A5736)&gt;0,1,0)</f>
        <v>0</v>
      </c>
      <c r="L5736" s="16">
        <f>IF(COUNTIFS(Release_Calendar!$A$2:$A$755,"US_NFP",Release_Calendar!$B$2:$B$755,$A5736)&gt;0,1,0)</f>
        <v>0</v>
      </c>
      <c r="M5736" s="16">
        <f>IF($A5736&lt;Notes!$B$5,"",IF(COUNTIFS(Release_Calendar!$A$2:$A$755,"NZ_CPI",Release_Calendar!$B$2:$B$755,$A5736)&gt;0,1,0))</f>
        <v>0</v>
      </c>
      <c r="N5736" s="16">
        <f>IF($A5736&lt;Notes!$B$5,"",IF(COUNTIFS(Release_Calendar!$A$2:$A$755,"NZ_GDP",Release_Calendar!$B$2:$B$755,$A5736)&gt;0,1,0))</f>
        <v>0</v>
      </c>
      <c r="O5736" s="16">
        <f>IF($A5736&lt;Notes!$B$5,"",IF(COUNTIFS(Release_Calendar!$A$2:$A$755,"NZ_LABOUR",Release_Calendar!$B$2:$B$755,$A5736)&gt;0,1,0))</f>
        <v>0</v>
      </c>
      <c r="P5736" s="16">
        <f t="shared" si="4"/>
        <v>0</v>
      </c>
    </row>
    <row r="5737" ht="15.75" customHeight="1">
      <c r="A5737" s="14">
        <v>44557.0</v>
      </c>
      <c r="B5737" s="15">
        <v>0.76</v>
      </c>
      <c r="C5737" s="15"/>
      <c r="D5737" s="15"/>
      <c r="E5737" s="15"/>
      <c r="F5737" s="15" t="str">
        <f t="shared" si="1"/>
        <v/>
      </c>
      <c r="G5737" s="15" t="str">
        <f t="shared" si="2"/>
        <v/>
      </c>
      <c r="H5737" s="16">
        <v>0.0</v>
      </c>
      <c r="I5737" s="15" t="str">
        <f t="shared" si="3"/>
        <v/>
      </c>
      <c r="J5737" s="15">
        <v>17.68</v>
      </c>
      <c r="K5737" s="16">
        <f>IF(COUNTIFS(Release_Calendar!$A$2:$A$755,"US_CPI",Release_Calendar!$B$2:$B$755,$A5737)&gt;0,1,0)</f>
        <v>0</v>
      </c>
      <c r="L5737" s="16">
        <f>IF(COUNTIFS(Release_Calendar!$A$2:$A$755,"US_NFP",Release_Calendar!$B$2:$B$755,$A5737)&gt;0,1,0)</f>
        <v>0</v>
      </c>
      <c r="M5737" s="16">
        <f>IF($A5737&lt;Notes!$B$5,"",IF(COUNTIFS(Release_Calendar!$A$2:$A$755,"NZ_CPI",Release_Calendar!$B$2:$B$755,$A5737)&gt;0,1,0))</f>
        <v>0</v>
      </c>
      <c r="N5737" s="16">
        <f>IF($A5737&lt;Notes!$B$5,"",IF(COUNTIFS(Release_Calendar!$A$2:$A$755,"NZ_GDP",Release_Calendar!$B$2:$B$755,$A5737)&gt;0,1,0))</f>
        <v>0</v>
      </c>
      <c r="O5737" s="16">
        <f>IF($A5737&lt;Notes!$B$5,"",IF(COUNTIFS(Release_Calendar!$A$2:$A$755,"NZ_LABOUR",Release_Calendar!$B$2:$B$755,$A5737)&gt;0,1,0))</f>
        <v>0</v>
      </c>
      <c r="P5737" s="16">
        <f t="shared" si="4"/>
        <v>0</v>
      </c>
    </row>
    <row r="5738" ht="15.75" customHeight="1">
      <c r="A5738" s="14">
        <v>44558.0</v>
      </c>
      <c r="B5738" s="15">
        <v>0.74</v>
      </c>
      <c r="C5738" s="15"/>
      <c r="D5738" s="15"/>
      <c r="E5738" s="15"/>
      <c r="F5738" s="15" t="str">
        <f t="shared" si="1"/>
        <v/>
      </c>
      <c r="G5738" s="15" t="str">
        <f t="shared" si="2"/>
        <v/>
      </c>
      <c r="H5738" s="16">
        <v>0.0</v>
      </c>
      <c r="I5738" s="15" t="str">
        <f t="shared" si="3"/>
        <v/>
      </c>
      <c r="J5738" s="15">
        <v>17.54</v>
      </c>
      <c r="K5738" s="16">
        <f>IF(COUNTIFS(Release_Calendar!$A$2:$A$755,"US_CPI",Release_Calendar!$B$2:$B$755,$A5738)&gt;0,1,0)</f>
        <v>0</v>
      </c>
      <c r="L5738" s="16">
        <f>IF(COUNTIFS(Release_Calendar!$A$2:$A$755,"US_NFP",Release_Calendar!$B$2:$B$755,$A5738)&gt;0,1,0)</f>
        <v>0</v>
      </c>
      <c r="M5738" s="16">
        <f>IF($A5738&lt;Notes!$B$5,"",IF(COUNTIFS(Release_Calendar!$A$2:$A$755,"NZ_CPI",Release_Calendar!$B$2:$B$755,$A5738)&gt;0,1,0))</f>
        <v>0</v>
      </c>
      <c r="N5738" s="16">
        <f>IF($A5738&lt;Notes!$B$5,"",IF(COUNTIFS(Release_Calendar!$A$2:$A$755,"NZ_GDP",Release_Calendar!$B$2:$B$755,$A5738)&gt;0,1,0))</f>
        <v>0</v>
      </c>
      <c r="O5738" s="16">
        <f>IF($A5738&lt;Notes!$B$5,"",IF(COUNTIFS(Release_Calendar!$A$2:$A$755,"NZ_LABOUR",Release_Calendar!$B$2:$B$755,$A5738)&gt;0,1,0))</f>
        <v>0</v>
      </c>
      <c r="P5738" s="16">
        <f t="shared" si="4"/>
        <v>0</v>
      </c>
    </row>
    <row r="5739" ht="15.75" customHeight="1">
      <c r="A5739" s="14">
        <v>44559.0</v>
      </c>
      <c r="B5739" s="15">
        <v>0.75</v>
      </c>
      <c r="C5739" s="15">
        <v>2.16</v>
      </c>
      <c r="D5739" s="15"/>
      <c r="E5739" s="15">
        <v>1.91</v>
      </c>
      <c r="F5739" s="15">
        <f t="shared" si="1"/>
        <v>1.41</v>
      </c>
      <c r="G5739" s="15">
        <f t="shared" si="2"/>
        <v>2.16</v>
      </c>
      <c r="H5739" s="16">
        <v>0.0</v>
      </c>
      <c r="I5739" s="15">
        <f t="shared" si="3"/>
        <v>1.41</v>
      </c>
      <c r="J5739" s="15">
        <v>16.95</v>
      </c>
      <c r="K5739" s="16">
        <f>IF(COUNTIFS(Release_Calendar!$A$2:$A$755,"US_CPI",Release_Calendar!$B$2:$B$755,$A5739)&gt;0,1,0)</f>
        <v>0</v>
      </c>
      <c r="L5739" s="16">
        <f>IF(COUNTIFS(Release_Calendar!$A$2:$A$755,"US_NFP",Release_Calendar!$B$2:$B$755,$A5739)&gt;0,1,0)</f>
        <v>0</v>
      </c>
      <c r="M5739" s="16">
        <f>IF($A5739&lt;Notes!$B$5,"",IF(COUNTIFS(Release_Calendar!$A$2:$A$755,"NZ_CPI",Release_Calendar!$B$2:$B$755,$A5739)&gt;0,1,0))</f>
        <v>0</v>
      </c>
      <c r="N5739" s="16">
        <f>IF($A5739&lt;Notes!$B$5,"",IF(COUNTIFS(Release_Calendar!$A$2:$A$755,"NZ_GDP",Release_Calendar!$B$2:$B$755,$A5739)&gt;0,1,0))</f>
        <v>0</v>
      </c>
      <c r="O5739" s="16">
        <f>IF($A5739&lt;Notes!$B$5,"",IF(COUNTIFS(Release_Calendar!$A$2:$A$755,"NZ_LABOUR",Release_Calendar!$B$2:$B$755,$A5739)&gt;0,1,0))</f>
        <v>0</v>
      </c>
      <c r="P5739" s="16">
        <f t="shared" si="4"/>
        <v>0</v>
      </c>
    </row>
    <row r="5740" ht="15.75" customHeight="1">
      <c r="A5740" s="14">
        <v>44560.0</v>
      </c>
      <c r="B5740" s="15">
        <v>0.73</v>
      </c>
      <c r="C5740" s="15">
        <v>2.18</v>
      </c>
      <c r="D5740" s="15"/>
      <c r="E5740" s="15">
        <v>1.91</v>
      </c>
      <c r="F5740" s="15">
        <f t="shared" si="1"/>
        <v>1.45</v>
      </c>
      <c r="G5740" s="15">
        <f t="shared" si="2"/>
        <v>2.18</v>
      </c>
      <c r="H5740" s="16">
        <v>0.0</v>
      </c>
      <c r="I5740" s="15">
        <f t="shared" si="3"/>
        <v>1.45</v>
      </c>
      <c r="J5740" s="15">
        <v>17.33</v>
      </c>
      <c r="K5740" s="16">
        <f>IF(COUNTIFS(Release_Calendar!$A$2:$A$755,"US_CPI",Release_Calendar!$B$2:$B$755,$A5740)&gt;0,1,0)</f>
        <v>0</v>
      </c>
      <c r="L5740" s="16">
        <f>IF(COUNTIFS(Release_Calendar!$A$2:$A$755,"US_NFP",Release_Calendar!$B$2:$B$755,$A5740)&gt;0,1,0)</f>
        <v>0</v>
      </c>
      <c r="M5740" s="16">
        <f>IF($A5740&lt;Notes!$B$5,"",IF(COUNTIFS(Release_Calendar!$A$2:$A$755,"NZ_CPI",Release_Calendar!$B$2:$B$755,$A5740)&gt;0,1,0))</f>
        <v>0</v>
      </c>
      <c r="N5740" s="16">
        <f>IF($A5740&lt;Notes!$B$5,"",IF(COUNTIFS(Release_Calendar!$A$2:$A$755,"NZ_GDP",Release_Calendar!$B$2:$B$755,$A5740)&gt;0,1,0))</f>
        <v>0</v>
      </c>
      <c r="O5740" s="16">
        <f>IF($A5740&lt;Notes!$B$5,"",IF(COUNTIFS(Release_Calendar!$A$2:$A$755,"NZ_LABOUR",Release_Calendar!$B$2:$B$755,$A5740)&gt;0,1,0))</f>
        <v>0</v>
      </c>
      <c r="P5740" s="16">
        <f t="shared" si="4"/>
        <v>0</v>
      </c>
    </row>
    <row r="5741" ht="15.75" customHeight="1">
      <c r="A5741" s="14">
        <v>44561.0</v>
      </c>
      <c r="B5741" s="15">
        <v>0.73</v>
      </c>
      <c r="C5741" s="15">
        <v>2.17</v>
      </c>
      <c r="D5741" s="15"/>
      <c r="E5741" s="15">
        <v>1.95</v>
      </c>
      <c r="F5741" s="15">
        <f t="shared" si="1"/>
        <v>1.44</v>
      </c>
      <c r="G5741" s="15">
        <f t="shared" si="2"/>
        <v>2.17</v>
      </c>
      <c r="H5741" s="16">
        <v>0.0</v>
      </c>
      <c r="I5741" s="15">
        <f t="shared" si="3"/>
        <v>1.44</v>
      </c>
      <c r="J5741" s="15">
        <v>17.22</v>
      </c>
      <c r="K5741" s="16">
        <f>IF(COUNTIFS(Release_Calendar!$A$2:$A$755,"US_CPI",Release_Calendar!$B$2:$B$755,$A5741)&gt;0,1,0)</f>
        <v>0</v>
      </c>
      <c r="L5741" s="16">
        <f>IF(COUNTIFS(Release_Calendar!$A$2:$A$755,"US_NFP",Release_Calendar!$B$2:$B$755,$A5741)&gt;0,1,0)</f>
        <v>0</v>
      </c>
      <c r="M5741" s="16">
        <f>IF($A5741&lt;Notes!$B$5,"",IF(COUNTIFS(Release_Calendar!$A$2:$A$755,"NZ_CPI",Release_Calendar!$B$2:$B$755,$A5741)&gt;0,1,0))</f>
        <v>0</v>
      </c>
      <c r="N5741" s="16">
        <f>IF($A5741&lt;Notes!$B$5,"",IF(COUNTIFS(Release_Calendar!$A$2:$A$755,"NZ_GDP",Release_Calendar!$B$2:$B$755,$A5741)&gt;0,1,0))</f>
        <v>0</v>
      </c>
      <c r="O5741" s="16">
        <f>IF($A5741&lt;Notes!$B$5,"",IF(COUNTIFS(Release_Calendar!$A$2:$A$755,"NZ_LABOUR",Release_Calendar!$B$2:$B$755,$A5741)&gt;0,1,0))</f>
        <v>0</v>
      </c>
      <c r="P5741" s="16">
        <f t="shared" si="4"/>
        <v>0</v>
      </c>
    </row>
    <row r="5742" ht="15.75" customHeight="1">
      <c r="A5742" s="14">
        <v>44564.0</v>
      </c>
      <c r="B5742" s="15">
        <v>0.78</v>
      </c>
      <c r="C5742" s="15"/>
      <c r="D5742" s="15"/>
      <c r="E5742" s="15"/>
      <c r="F5742" s="15" t="str">
        <f t="shared" si="1"/>
        <v/>
      </c>
      <c r="G5742" s="15" t="str">
        <f t="shared" si="2"/>
        <v/>
      </c>
      <c r="H5742" s="16">
        <v>0.0</v>
      </c>
      <c r="I5742" s="15" t="str">
        <f t="shared" si="3"/>
        <v/>
      </c>
      <c r="J5742" s="15">
        <v>16.6</v>
      </c>
      <c r="K5742" s="16">
        <f>IF(COUNTIFS(Release_Calendar!$A$2:$A$755,"US_CPI",Release_Calendar!$B$2:$B$755,$A5742)&gt;0,1,0)</f>
        <v>0</v>
      </c>
      <c r="L5742" s="16">
        <f>IF(COUNTIFS(Release_Calendar!$A$2:$A$755,"US_NFP",Release_Calendar!$B$2:$B$755,$A5742)&gt;0,1,0)</f>
        <v>0</v>
      </c>
      <c r="M5742" s="16">
        <f>IF($A5742&lt;Notes!$B$5,"",IF(COUNTIFS(Release_Calendar!$A$2:$A$755,"NZ_CPI",Release_Calendar!$B$2:$B$755,$A5742)&gt;0,1,0))</f>
        <v>0</v>
      </c>
      <c r="N5742" s="16">
        <f>IF($A5742&lt;Notes!$B$5,"",IF(COUNTIFS(Release_Calendar!$A$2:$A$755,"NZ_GDP",Release_Calendar!$B$2:$B$755,$A5742)&gt;0,1,0))</f>
        <v>0</v>
      </c>
      <c r="O5742" s="16">
        <f>IF($A5742&lt;Notes!$B$5,"",IF(COUNTIFS(Release_Calendar!$A$2:$A$755,"NZ_LABOUR",Release_Calendar!$B$2:$B$755,$A5742)&gt;0,1,0))</f>
        <v>0</v>
      </c>
      <c r="P5742" s="16">
        <f t="shared" si="4"/>
        <v>0</v>
      </c>
    </row>
    <row r="5743" ht="15.75" customHeight="1">
      <c r="A5743" s="14">
        <v>44565.0</v>
      </c>
      <c r="B5743" s="15">
        <v>0.77</v>
      </c>
      <c r="C5743" s="15"/>
      <c r="D5743" s="15"/>
      <c r="E5743" s="15"/>
      <c r="F5743" s="15" t="str">
        <f t="shared" si="1"/>
        <v/>
      </c>
      <c r="G5743" s="15" t="str">
        <f t="shared" si="2"/>
        <v/>
      </c>
      <c r="H5743" s="16">
        <v>0.0</v>
      </c>
      <c r="I5743" s="15" t="str">
        <f t="shared" si="3"/>
        <v/>
      </c>
      <c r="J5743" s="15">
        <v>16.91</v>
      </c>
      <c r="K5743" s="16">
        <f>IF(COUNTIFS(Release_Calendar!$A$2:$A$755,"US_CPI",Release_Calendar!$B$2:$B$755,$A5743)&gt;0,1,0)</f>
        <v>0</v>
      </c>
      <c r="L5743" s="16">
        <f>IF(COUNTIFS(Release_Calendar!$A$2:$A$755,"US_NFP",Release_Calendar!$B$2:$B$755,$A5743)&gt;0,1,0)</f>
        <v>0</v>
      </c>
      <c r="M5743" s="16">
        <f>IF($A5743&lt;Notes!$B$5,"",IF(COUNTIFS(Release_Calendar!$A$2:$A$755,"NZ_CPI",Release_Calendar!$B$2:$B$755,$A5743)&gt;0,1,0))</f>
        <v>0</v>
      </c>
      <c r="N5743" s="16">
        <f>IF($A5743&lt;Notes!$B$5,"",IF(COUNTIFS(Release_Calendar!$A$2:$A$755,"NZ_GDP",Release_Calendar!$B$2:$B$755,$A5743)&gt;0,1,0))</f>
        <v>0</v>
      </c>
      <c r="O5743" s="16">
        <f>IF($A5743&lt;Notes!$B$5,"",IF(COUNTIFS(Release_Calendar!$A$2:$A$755,"NZ_LABOUR",Release_Calendar!$B$2:$B$755,$A5743)&gt;0,1,0))</f>
        <v>0</v>
      </c>
      <c r="P5743" s="16">
        <f t="shared" si="4"/>
        <v>0</v>
      </c>
    </row>
    <row r="5744" ht="15.75" customHeight="1">
      <c r="A5744" s="14">
        <v>44566.0</v>
      </c>
      <c r="B5744" s="15">
        <v>0.83</v>
      </c>
      <c r="C5744" s="15">
        <v>2.18</v>
      </c>
      <c r="D5744" s="15"/>
      <c r="E5744" s="15">
        <v>1.98</v>
      </c>
      <c r="F5744" s="15">
        <f t="shared" si="1"/>
        <v>1.35</v>
      </c>
      <c r="G5744" s="15">
        <f t="shared" si="2"/>
        <v>2.18</v>
      </c>
      <c r="H5744" s="16">
        <v>0.0</v>
      </c>
      <c r="I5744" s="15">
        <f t="shared" si="3"/>
        <v>1.35</v>
      </c>
      <c r="J5744" s="15">
        <v>19.73</v>
      </c>
      <c r="K5744" s="16">
        <f>IF(COUNTIFS(Release_Calendar!$A$2:$A$755,"US_CPI",Release_Calendar!$B$2:$B$755,$A5744)&gt;0,1,0)</f>
        <v>0</v>
      </c>
      <c r="L5744" s="16">
        <f>IF(COUNTIFS(Release_Calendar!$A$2:$A$755,"US_NFP",Release_Calendar!$B$2:$B$755,$A5744)&gt;0,1,0)</f>
        <v>0</v>
      </c>
      <c r="M5744" s="16">
        <f>IF($A5744&lt;Notes!$B$5,"",IF(COUNTIFS(Release_Calendar!$A$2:$A$755,"NZ_CPI",Release_Calendar!$B$2:$B$755,$A5744)&gt;0,1,0))</f>
        <v>0</v>
      </c>
      <c r="N5744" s="16">
        <f>IF($A5744&lt;Notes!$B$5,"",IF(COUNTIFS(Release_Calendar!$A$2:$A$755,"NZ_GDP",Release_Calendar!$B$2:$B$755,$A5744)&gt;0,1,0))</f>
        <v>0</v>
      </c>
      <c r="O5744" s="16">
        <f>IF($A5744&lt;Notes!$B$5,"",IF(COUNTIFS(Release_Calendar!$A$2:$A$755,"NZ_LABOUR",Release_Calendar!$B$2:$B$755,$A5744)&gt;0,1,0))</f>
        <v>0</v>
      </c>
      <c r="P5744" s="16">
        <f t="shared" si="4"/>
        <v>0</v>
      </c>
    </row>
    <row r="5745" ht="15.75" customHeight="1">
      <c r="A5745" s="14">
        <v>44567.0</v>
      </c>
      <c r="B5745" s="15">
        <v>0.88</v>
      </c>
      <c r="C5745" s="15">
        <v>2.2</v>
      </c>
      <c r="D5745" s="15"/>
      <c r="E5745" s="15">
        <v>2.0</v>
      </c>
      <c r="F5745" s="15">
        <f t="shared" si="1"/>
        <v>1.32</v>
      </c>
      <c r="G5745" s="15">
        <f t="shared" si="2"/>
        <v>2.2</v>
      </c>
      <c r="H5745" s="16">
        <v>0.0</v>
      </c>
      <c r="I5745" s="15">
        <f t="shared" si="3"/>
        <v>1.32</v>
      </c>
      <c r="J5745" s="15">
        <v>19.61</v>
      </c>
      <c r="K5745" s="16">
        <f>IF(COUNTIFS(Release_Calendar!$A$2:$A$755,"US_CPI",Release_Calendar!$B$2:$B$755,$A5745)&gt;0,1,0)</f>
        <v>0</v>
      </c>
      <c r="L5745" s="16">
        <f>IF(COUNTIFS(Release_Calendar!$A$2:$A$755,"US_NFP",Release_Calendar!$B$2:$B$755,$A5745)&gt;0,1,0)</f>
        <v>0</v>
      </c>
      <c r="M5745" s="16">
        <f>IF($A5745&lt;Notes!$B$5,"",IF(COUNTIFS(Release_Calendar!$A$2:$A$755,"NZ_CPI",Release_Calendar!$B$2:$B$755,$A5745)&gt;0,1,0))</f>
        <v>0</v>
      </c>
      <c r="N5745" s="16">
        <f>IF($A5745&lt;Notes!$B$5,"",IF(COUNTIFS(Release_Calendar!$A$2:$A$755,"NZ_GDP",Release_Calendar!$B$2:$B$755,$A5745)&gt;0,1,0))</f>
        <v>0</v>
      </c>
      <c r="O5745" s="16">
        <f>IF($A5745&lt;Notes!$B$5,"",IF(COUNTIFS(Release_Calendar!$A$2:$A$755,"NZ_LABOUR",Release_Calendar!$B$2:$B$755,$A5745)&gt;0,1,0))</f>
        <v>0</v>
      </c>
      <c r="P5745" s="16">
        <f t="shared" si="4"/>
        <v>0</v>
      </c>
    </row>
    <row r="5746" ht="15.75" customHeight="1">
      <c r="A5746" s="14">
        <v>44568.0</v>
      </c>
      <c r="B5746" s="15">
        <v>0.87</v>
      </c>
      <c r="C5746" s="15">
        <v>2.22</v>
      </c>
      <c r="D5746" s="15"/>
      <c r="E5746" s="15">
        <v>1.99</v>
      </c>
      <c r="F5746" s="15">
        <f t="shared" si="1"/>
        <v>1.35</v>
      </c>
      <c r="G5746" s="15">
        <f t="shared" si="2"/>
        <v>2.22</v>
      </c>
      <c r="H5746" s="16">
        <v>0.0</v>
      </c>
      <c r="I5746" s="15">
        <f t="shared" si="3"/>
        <v>1.35</v>
      </c>
      <c r="J5746" s="15">
        <v>18.76</v>
      </c>
      <c r="K5746" s="16">
        <f>IF(COUNTIFS(Release_Calendar!$A$2:$A$755,"US_CPI",Release_Calendar!$B$2:$B$755,$A5746)&gt;0,1,0)</f>
        <v>0</v>
      </c>
      <c r="L5746" s="16">
        <f>IF(COUNTIFS(Release_Calendar!$A$2:$A$755,"US_NFP",Release_Calendar!$B$2:$B$755,$A5746)&gt;0,1,0)</f>
        <v>1</v>
      </c>
      <c r="M5746" s="16">
        <f>IF($A5746&lt;Notes!$B$5,"",IF(COUNTIFS(Release_Calendar!$A$2:$A$755,"NZ_CPI",Release_Calendar!$B$2:$B$755,$A5746)&gt;0,1,0))</f>
        <v>0</v>
      </c>
      <c r="N5746" s="16">
        <f>IF($A5746&lt;Notes!$B$5,"",IF(COUNTIFS(Release_Calendar!$A$2:$A$755,"NZ_GDP",Release_Calendar!$B$2:$B$755,$A5746)&gt;0,1,0))</f>
        <v>0</v>
      </c>
      <c r="O5746" s="16">
        <f>IF($A5746&lt;Notes!$B$5,"",IF(COUNTIFS(Release_Calendar!$A$2:$A$755,"NZ_LABOUR",Release_Calendar!$B$2:$B$755,$A5746)&gt;0,1,0))</f>
        <v>0</v>
      </c>
      <c r="P5746" s="16">
        <f t="shared" si="4"/>
        <v>1</v>
      </c>
    </row>
    <row r="5747" ht="15.75" customHeight="1">
      <c r="A5747" s="14">
        <v>44571.0</v>
      </c>
      <c r="B5747" s="15">
        <v>0.92</v>
      </c>
      <c r="C5747" s="15">
        <v>2.25</v>
      </c>
      <c r="D5747" s="15"/>
      <c r="E5747" s="15">
        <v>2.02</v>
      </c>
      <c r="F5747" s="15">
        <f t="shared" si="1"/>
        <v>1.33</v>
      </c>
      <c r="G5747" s="15">
        <f t="shared" si="2"/>
        <v>2.25</v>
      </c>
      <c r="H5747" s="16">
        <v>0.0</v>
      </c>
      <c r="I5747" s="15">
        <f t="shared" si="3"/>
        <v>1.33</v>
      </c>
      <c r="J5747" s="15">
        <v>19.4</v>
      </c>
      <c r="K5747" s="16">
        <f>IF(COUNTIFS(Release_Calendar!$A$2:$A$755,"US_CPI",Release_Calendar!$B$2:$B$755,$A5747)&gt;0,1,0)</f>
        <v>0</v>
      </c>
      <c r="L5747" s="16">
        <f>IF(COUNTIFS(Release_Calendar!$A$2:$A$755,"US_NFP",Release_Calendar!$B$2:$B$755,$A5747)&gt;0,1,0)</f>
        <v>0</v>
      </c>
      <c r="M5747" s="16">
        <f>IF($A5747&lt;Notes!$B$5,"",IF(COUNTIFS(Release_Calendar!$A$2:$A$755,"NZ_CPI",Release_Calendar!$B$2:$B$755,$A5747)&gt;0,1,0))</f>
        <v>0</v>
      </c>
      <c r="N5747" s="16">
        <f>IF($A5747&lt;Notes!$B$5,"",IF(COUNTIFS(Release_Calendar!$A$2:$A$755,"NZ_GDP",Release_Calendar!$B$2:$B$755,$A5747)&gt;0,1,0))</f>
        <v>0</v>
      </c>
      <c r="O5747" s="16">
        <f>IF($A5747&lt;Notes!$B$5,"",IF(COUNTIFS(Release_Calendar!$A$2:$A$755,"NZ_LABOUR",Release_Calendar!$B$2:$B$755,$A5747)&gt;0,1,0))</f>
        <v>0</v>
      </c>
      <c r="P5747" s="16">
        <f t="shared" si="4"/>
        <v>0</v>
      </c>
    </row>
    <row r="5748" ht="15.75" customHeight="1">
      <c r="A5748" s="14">
        <v>44572.0</v>
      </c>
      <c r="B5748" s="15">
        <v>0.9</v>
      </c>
      <c r="C5748" s="15">
        <v>2.24</v>
      </c>
      <c r="D5748" s="15"/>
      <c r="E5748" s="15">
        <v>2.02</v>
      </c>
      <c r="F5748" s="15">
        <f t="shared" si="1"/>
        <v>1.34</v>
      </c>
      <c r="G5748" s="15">
        <f t="shared" si="2"/>
        <v>2.24</v>
      </c>
      <c r="H5748" s="16">
        <v>0.0</v>
      </c>
      <c r="I5748" s="15">
        <f t="shared" si="3"/>
        <v>1.34</v>
      </c>
      <c r="J5748" s="15">
        <v>18.41</v>
      </c>
      <c r="K5748" s="16">
        <f>IF(COUNTIFS(Release_Calendar!$A$2:$A$755,"US_CPI",Release_Calendar!$B$2:$B$755,$A5748)&gt;0,1,0)</f>
        <v>0</v>
      </c>
      <c r="L5748" s="16">
        <f>IF(COUNTIFS(Release_Calendar!$A$2:$A$755,"US_NFP",Release_Calendar!$B$2:$B$755,$A5748)&gt;0,1,0)</f>
        <v>0</v>
      </c>
      <c r="M5748" s="16">
        <f>IF($A5748&lt;Notes!$B$5,"",IF(COUNTIFS(Release_Calendar!$A$2:$A$755,"NZ_CPI",Release_Calendar!$B$2:$B$755,$A5748)&gt;0,1,0))</f>
        <v>0</v>
      </c>
      <c r="N5748" s="16">
        <f>IF($A5748&lt;Notes!$B$5,"",IF(COUNTIFS(Release_Calendar!$A$2:$A$755,"NZ_GDP",Release_Calendar!$B$2:$B$755,$A5748)&gt;0,1,0))</f>
        <v>0</v>
      </c>
      <c r="O5748" s="16">
        <f>IF($A5748&lt;Notes!$B$5,"",IF(COUNTIFS(Release_Calendar!$A$2:$A$755,"NZ_LABOUR",Release_Calendar!$B$2:$B$755,$A5748)&gt;0,1,0))</f>
        <v>0</v>
      </c>
      <c r="P5748" s="16">
        <f t="shared" si="4"/>
        <v>0</v>
      </c>
    </row>
    <row r="5749" ht="15.75" customHeight="1">
      <c r="A5749" s="14">
        <v>44573.0</v>
      </c>
      <c r="B5749" s="15">
        <v>0.92</v>
      </c>
      <c r="C5749" s="15">
        <v>2.23</v>
      </c>
      <c r="D5749" s="15"/>
      <c r="E5749" s="15">
        <v>1.99</v>
      </c>
      <c r="F5749" s="15">
        <f t="shared" si="1"/>
        <v>1.31</v>
      </c>
      <c r="G5749" s="15">
        <f t="shared" si="2"/>
        <v>2.23</v>
      </c>
      <c r="H5749" s="16">
        <v>0.0</v>
      </c>
      <c r="I5749" s="15">
        <f t="shared" si="3"/>
        <v>1.31</v>
      </c>
      <c r="J5749" s="15">
        <v>17.62</v>
      </c>
      <c r="K5749" s="16">
        <f>IF(COUNTIFS(Release_Calendar!$A$2:$A$755,"US_CPI",Release_Calendar!$B$2:$B$755,$A5749)&gt;0,1,0)</f>
        <v>1</v>
      </c>
      <c r="L5749" s="16">
        <f>IF(COUNTIFS(Release_Calendar!$A$2:$A$755,"US_NFP",Release_Calendar!$B$2:$B$755,$A5749)&gt;0,1,0)</f>
        <v>0</v>
      </c>
      <c r="M5749" s="16">
        <f>IF($A5749&lt;Notes!$B$5,"",IF(COUNTIFS(Release_Calendar!$A$2:$A$755,"NZ_CPI",Release_Calendar!$B$2:$B$755,$A5749)&gt;0,1,0))</f>
        <v>0</v>
      </c>
      <c r="N5749" s="16">
        <f>IF($A5749&lt;Notes!$B$5,"",IF(COUNTIFS(Release_Calendar!$A$2:$A$755,"NZ_GDP",Release_Calendar!$B$2:$B$755,$A5749)&gt;0,1,0))</f>
        <v>0</v>
      </c>
      <c r="O5749" s="16">
        <f>IF($A5749&lt;Notes!$B$5,"",IF(COUNTIFS(Release_Calendar!$A$2:$A$755,"NZ_LABOUR",Release_Calendar!$B$2:$B$755,$A5749)&gt;0,1,0))</f>
        <v>0</v>
      </c>
      <c r="P5749" s="16">
        <f t="shared" si="4"/>
        <v>1</v>
      </c>
    </row>
    <row r="5750" ht="15.75" customHeight="1">
      <c r="A5750" s="14">
        <v>44574.0</v>
      </c>
      <c r="B5750" s="15">
        <v>0.91</v>
      </c>
      <c r="C5750" s="15">
        <v>2.22</v>
      </c>
      <c r="D5750" s="15"/>
      <c r="E5750" s="15">
        <v>1.97</v>
      </c>
      <c r="F5750" s="15">
        <f t="shared" si="1"/>
        <v>1.31</v>
      </c>
      <c r="G5750" s="15">
        <f t="shared" si="2"/>
        <v>2.22</v>
      </c>
      <c r="H5750" s="16">
        <v>0.0</v>
      </c>
      <c r="I5750" s="15">
        <f t="shared" si="3"/>
        <v>1.31</v>
      </c>
      <c r="J5750" s="15">
        <v>20.31</v>
      </c>
      <c r="K5750" s="16">
        <f>IF(COUNTIFS(Release_Calendar!$A$2:$A$755,"US_CPI",Release_Calendar!$B$2:$B$755,$A5750)&gt;0,1,0)</f>
        <v>0</v>
      </c>
      <c r="L5750" s="16">
        <f>IF(COUNTIFS(Release_Calendar!$A$2:$A$755,"US_NFP",Release_Calendar!$B$2:$B$755,$A5750)&gt;0,1,0)</f>
        <v>0</v>
      </c>
      <c r="M5750" s="16">
        <f>IF($A5750&lt;Notes!$B$5,"",IF(COUNTIFS(Release_Calendar!$A$2:$A$755,"NZ_CPI",Release_Calendar!$B$2:$B$755,$A5750)&gt;0,1,0))</f>
        <v>0</v>
      </c>
      <c r="N5750" s="16">
        <f>IF($A5750&lt;Notes!$B$5,"",IF(COUNTIFS(Release_Calendar!$A$2:$A$755,"NZ_GDP",Release_Calendar!$B$2:$B$755,$A5750)&gt;0,1,0))</f>
        <v>0</v>
      </c>
      <c r="O5750" s="16">
        <f>IF($A5750&lt;Notes!$B$5,"",IF(COUNTIFS(Release_Calendar!$A$2:$A$755,"NZ_LABOUR",Release_Calendar!$B$2:$B$755,$A5750)&gt;0,1,0))</f>
        <v>0</v>
      </c>
      <c r="P5750" s="16">
        <f t="shared" si="4"/>
        <v>0</v>
      </c>
    </row>
    <row r="5751" ht="15.75" customHeight="1">
      <c r="A5751" s="14">
        <v>44575.0</v>
      </c>
      <c r="B5751" s="15">
        <v>0.99</v>
      </c>
      <c r="C5751" s="15">
        <v>2.21</v>
      </c>
      <c r="D5751" s="15"/>
      <c r="E5751" s="15">
        <v>1.95</v>
      </c>
      <c r="F5751" s="15">
        <f t="shared" si="1"/>
        <v>1.22</v>
      </c>
      <c r="G5751" s="15">
        <f t="shared" si="2"/>
        <v>2.21</v>
      </c>
      <c r="H5751" s="16">
        <v>0.0</v>
      </c>
      <c r="I5751" s="15">
        <f t="shared" si="3"/>
        <v>1.22</v>
      </c>
      <c r="J5751" s="15">
        <v>19.19</v>
      </c>
      <c r="K5751" s="16">
        <f>IF(COUNTIFS(Release_Calendar!$A$2:$A$755,"US_CPI",Release_Calendar!$B$2:$B$755,$A5751)&gt;0,1,0)</f>
        <v>0</v>
      </c>
      <c r="L5751" s="16">
        <f>IF(COUNTIFS(Release_Calendar!$A$2:$A$755,"US_NFP",Release_Calendar!$B$2:$B$755,$A5751)&gt;0,1,0)</f>
        <v>0</v>
      </c>
      <c r="M5751" s="16">
        <f>IF($A5751&lt;Notes!$B$5,"",IF(COUNTIFS(Release_Calendar!$A$2:$A$755,"NZ_CPI",Release_Calendar!$B$2:$B$755,$A5751)&gt;0,1,0))</f>
        <v>0</v>
      </c>
      <c r="N5751" s="16">
        <f>IF($A5751&lt;Notes!$B$5,"",IF(COUNTIFS(Release_Calendar!$A$2:$A$755,"NZ_GDP",Release_Calendar!$B$2:$B$755,$A5751)&gt;0,1,0))</f>
        <v>0</v>
      </c>
      <c r="O5751" s="16">
        <f>IF($A5751&lt;Notes!$B$5,"",IF(COUNTIFS(Release_Calendar!$A$2:$A$755,"NZ_LABOUR",Release_Calendar!$B$2:$B$755,$A5751)&gt;0,1,0))</f>
        <v>0</v>
      </c>
      <c r="P5751" s="16">
        <f t="shared" si="4"/>
        <v>0</v>
      </c>
    </row>
    <row r="5752" ht="15.75" customHeight="1">
      <c r="A5752" s="14">
        <v>44578.0</v>
      </c>
      <c r="B5752" s="15"/>
      <c r="C5752" s="15">
        <v>2.24</v>
      </c>
      <c r="D5752" s="15"/>
      <c r="E5752" s="15">
        <v>2.0</v>
      </c>
      <c r="F5752" s="15" t="str">
        <f t="shared" si="1"/>
        <v/>
      </c>
      <c r="G5752" s="15">
        <f t="shared" si="2"/>
        <v>2.24</v>
      </c>
      <c r="H5752" s="16">
        <v>0.0</v>
      </c>
      <c r="I5752" s="15" t="str">
        <f t="shared" si="3"/>
        <v/>
      </c>
      <c r="J5752" s="15"/>
      <c r="K5752" s="16">
        <f>IF(COUNTIFS(Release_Calendar!$A$2:$A$755,"US_CPI",Release_Calendar!$B$2:$B$755,$A5752)&gt;0,1,0)</f>
        <v>0</v>
      </c>
      <c r="L5752" s="16">
        <f>IF(COUNTIFS(Release_Calendar!$A$2:$A$755,"US_NFP",Release_Calendar!$B$2:$B$755,$A5752)&gt;0,1,0)</f>
        <v>0</v>
      </c>
      <c r="M5752" s="16">
        <f>IF($A5752&lt;Notes!$B$5,"",IF(COUNTIFS(Release_Calendar!$A$2:$A$755,"NZ_CPI",Release_Calendar!$B$2:$B$755,$A5752)&gt;0,1,0))</f>
        <v>0</v>
      </c>
      <c r="N5752" s="16">
        <f>IF($A5752&lt;Notes!$B$5,"",IF(COUNTIFS(Release_Calendar!$A$2:$A$755,"NZ_GDP",Release_Calendar!$B$2:$B$755,$A5752)&gt;0,1,0))</f>
        <v>0</v>
      </c>
      <c r="O5752" s="16">
        <f>IF($A5752&lt;Notes!$B$5,"",IF(COUNTIFS(Release_Calendar!$A$2:$A$755,"NZ_LABOUR",Release_Calendar!$B$2:$B$755,$A5752)&gt;0,1,0))</f>
        <v>0</v>
      </c>
      <c r="P5752" s="16">
        <f t="shared" si="4"/>
        <v>0</v>
      </c>
    </row>
    <row r="5753" ht="15.75" customHeight="1">
      <c r="A5753" s="14">
        <v>44579.0</v>
      </c>
      <c r="B5753" s="15">
        <v>1.06</v>
      </c>
      <c r="C5753" s="15">
        <v>2.25</v>
      </c>
      <c r="D5753" s="15"/>
      <c r="E5753" s="15">
        <v>1.99</v>
      </c>
      <c r="F5753" s="15">
        <f t="shared" si="1"/>
        <v>1.19</v>
      </c>
      <c r="G5753" s="15">
        <f t="shared" si="2"/>
        <v>2.25</v>
      </c>
      <c r="H5753" s="16">
        <v>0.0</v>
      </c>
      <c r="I5753" s="15">
        <f t="shared" si="3"/>
        <v>1.19</v>
      </c>
      <c r="J5753" s="15">
        <v>22.79</v>
      </c>
      <c r="K5753" s="16">
        <f>IF(COUNTIFS(Release_Calendar!$A$2:$A$755,"US_CPI",Release_Calendar!$B$2:$B$755,$A5753)&gt;0,1,0)</f>
        <v>0</v>
      </c>
      <c r="L5753" s="16">
        <f>IF(COUNTIFS(Release_Calendar!$A$2:$A$755,"US_NFP",Release_Calendar!$B$2:$B$755,$A5753)&gt;0,1,0)</f>
        <v>0</v>
      </c>
      <c r="M5753" s="16">
        <f>IF($A5753&lt;Notes!$B$5,"",IF(COUNTIFS(Release_Calendar!$A$2:$A$755,"NZ_CPI",Release_Calendar!$B$2:$B$755,$A5753)&gt;0,1,0))</f>
        <v>0</v>
      </c>
      <c r="N5753" s="16">
        <f>IF($A5753&lt;Notes!$B$5,"",IF(COUNTIFS(Release_Calendar!$A$2:$A$755,"NZ_GDP",Release_Calendar!$B$2:$B$755,$A5753)&gt;0,1,0))</f>
        <v>0</v>
      </c>
      <c r="O5753" s="16">
        <f>IF($A5753&lt;Notes!$B$5,"",IF(COUNTIFS(Release_Calendar!$A$2:$A$755,"NZ_LABOUR",Release_Calendar!$B$2:$B$755,$A5753)&gt;0,1,0))</f>
        <v>0</v>
      </c>
      <c r="P5753" s="16">
        <f t="shared" si="4"/>
        <v>0</v>
      </c>
    </row>
    <row r="5754" ht="15.75" customHeight="1">
      <c r="A5754" s="14">
        <v>44580.0</v>
      </c>
      <c r="B5754" s="15">
        <v>1.04</v>
      </c>
      <c r="C5754" s="15">
        <v>2.42</v>
      </c>
      <c r="D5754" s="15"/>
      <c r="E5754" s="15">
        <v>2.13</v>
      </c>
      <c r="F5754" s="15">
        <f t="shared" si="1"/>
        <v>1.38</v>
      </c>
      <c r="G5754" s="15">
        <f t="shared" si="2"/>
        <v>2.42</v>
      </c>
      <c r="H5754" s="16">
        <v>0.0</v>
      </c>
      <c r="I5754" s="15">
        <f t="shared" si="3"/>
        <v>1.38</v>
      </c>
      <c r="J5754" s="15">
        <v>23.85</v>
      </c>
      <c r="K5754" s="16">
        <f>IF(COUNTIFS(Release_Calendar!$A$2:$A$755,"US_CPI",Release_Calendar!$B$2:$B$755,$A5754)&gt;0,1,0)</f>
        <v>0</v>
      </c>
      <c r="L5754" s="16">
        <f>IF(COUNTIFS(Release_Calendar!$A$2:$A$755,"US_NFP",Release_Calendar!$B$2:$B$755,$A5754)&gt;0,1,0)</f>
        <v>0</v>
      </c>
      <c r="M5754" s="16">
        <f>IF($A5754&lt;Notes!$B$5,"",IF(COUNTIFS(Release_Calendar!$A$2:$A$755,"NZ_CPI",Release_Calendar!$B$2:$B$755,$A5754)&gt;0,1,0))</f>
        <v>0</v>
      </c>
      <c r="N5754" s="16">
        <f>IF($A5754&lt;Notes!$B$5,"",IF(COUNTIFS(Release_Calendar!$A$2:$A$755,"NZ_GDP",Release_Calendar!$B$2:$B$755,$A5754)&gt;0,1,0))</f>
        <v>0</v>
      </c>
      <c r="O5754" s="16">
        <f>IF($A5754&lt;Notes!$B$5,"",IF(COUNTIFS(Release_Calendar!$A$2:$A$755,"NZ_LABOUR",Release_Calendar!$B$2:$B$755,$A5754)&gt;0,1,0))</f>
        <v>0</v>
      </c>
      <c r="P5754" s="16">
        <f t="shared" si="4"/>
        <v>0</v>
      </c>
    </row>
    <row r="5755" ht="15.75" customHeight="1">
      <c r="A5755" s="14">
        <v>44581.0</v>
      </c>
      <c r="B5755" s="15">
        <v>1.08</v>
      </c>
      <c r="C5755" s="15">
        <v>2.41</v>
      </c>
      <c r="D5755" s="15"/>
      <c r="E5755" s="15">
        <v>2.12</v>
      </c>
      <c r="F5755" s="15">
        <f t="shared" si="1"/>
        <v>1.33</v>
      </c>
      <c r="G5755" s="15">
        <f t="shared" si="2"/>
        <v>2.41</v>
      </c>
      <c r="H5755" s="16">
        <v>0.0</v>
      </c>
      <c r="I5755" s="15">
        <f t="shared" si="3"/>
        <v>1.33</v>
      </c>
      <c r="J5755" s="15">
        <v>25.59</v>
      </c>
      <c r="K5755" s="16">
        <f>IF(COUNTIFS(Release_Calendar!$A$2:$A$755,"US_CPI",Release_Calendar!$B$2:$B$755,$A5755)&gt;0,1,0)</f>
        <v>0</v>
      </c>
      <c r="L5755" s="16">
        <f>IF(COUNTIFS(Release_Calendar!$A$2:$A$755,"US_NFP",Release_Calendar!$B$2:$B$755,$A5755)&gt;0,1,0)</f>
        <v>0</v>
      </c>
      <c r="M5755" s="16">
        <f>IF($A5755&lt;Notes!$B$5,"",IF(COUNTIFS(Release_Calendar!$A$2:$A$755,"NZ_CPI",Release_Calendar!$B$2:$B$755,$A5755)&gt;0,1,0))</f>
        <v>0</v>
      </c>
      <c r="N5755" s="16">
        <f>IF($A5755&lt;Notes!$B$5,"",IF(COUNTIFS(Release_Calendar!$A$2:$A$755,"NZ_GDP",Release_Calendar!$B$2:$B$755,$A5755)&gt;0,1,0))</f>
        <v>0</v>
      </c>
      <c r="O5755" s="16">
        <f>IF($A5755&lt;Notes!$B$5,"",IF(COUNTIFS(Release_Calendar!$A$2:$A$755,"NZ_LABOUR",Release_Calendar!$B$2:$B$755,$A5755)&gt;0,1,0))</f>
        <v>0</v>
      </c>
      <c r="P5755" s="16">
        <f t="shared" si="4"/>
        <v>0</v>
      </c>
    </row>
    <row r="5756" ht="15.75" customHeight="1">
      <c r="A5756" s="14">
        <v>44582.0</v>
      </c>
      <c r="B5756" s="15">
        <v>1.01</v>
      </c>
      <c r="C5756" s="15">
        <v>2.34</v>
      </c>
      <c r="D5756" s="15"/>
      <c r="E5756" s="15">
        <v>2.07</v>
      </c>
      <c r="F5756" s="15">
        <f t="shared" si="1"/>
        <v>1.33</v>
      </c>
      <c r="G5756" s="15">
        <f t="shared" si="2"/>
        <v>2.34</v>
      </c>
      <c r="H5756" s="16">
        <v>0.0</v>
      </c>
      <c r="I5756" s="15">
        <f t="shared" si="3"/>
        <v>1.33</v>
      </c>
      <c r="J5756" s="15">
        <v>28.85</v>
      </c>
      <c r="K5756" s="16">
        <f>IF(COUNTIFS(Release_Calendar!$A$2:$A$755,"US_CPI",Release_Calendar!$B$2:$B$755,$A5756)&gt;0,1,0)</f>
        <v>0</v>
      </c>
      <c r="L5756" s="16">
        <f>IF(COUNTIFS(Release_Calendar!$A$2:$A$755,"US_NFP",Release_Calendar!$B$2:$B$755,$A5756)&gt;0,1,0)</f>
        <v>0</v>
      </c>
      <c r="M5756" s="16">
        <f>IF($A5756&lt;Notes!$B$5,"",IF(COUNTIFS(Release_Calendar!$A$2:$A$755,"NZ_CPI",Release_Calendar!$B$2:$B$755,$A5756)&gt;0,1,0))</f>
        <v>0</v>
      </c>
      <c r="N5756" s="16">
        <f>IF($A5756&lt;Notes!$B$5,"",IF(COUNTIFS(Release_Calendar!$A$2:$A$755,"NZ_GDP",Release_Calendar!$B$2:$B$755,$A5756)&gt;0,1,0))</f>
        <v>0</v>
      </c>
      <c r="O5756" s="16">
        <f>IF($A5756&lt;Notes!$B$5,"",IF(COUNTIFS(Release_Calendar!$A$2:$A$755,"NZ_LABOUR",Release_Calendar!$B$2:$B$755,$A5756)&gt;0,1,0))</f>
        <v>0</v>
      </c>
      <c r="P5756" s="16">
        <f t="shared" si="4"/>
        <v>0</v>
      </c>
    </row>
    <row r="5757" ht="15.75" customHeight="1">
      <c r="A5757" s="14">
        <v>44585.0</v>
      </c>
      <c r="B5757" s="15">
        <v>0.99</v>
      </c>
      <c r="C5757" s="15">
        <v>2.34</v>
      </c>
      <c r="D5757" s="15"/>
      <c r="E5757" s="15">
        <v>2.07</v>
      </c>
      <c r="F5757" s="15">
        <f t="shared" si="1"/>
        <v>1.35</v>
      </c>
      <c r="G5757" s="15">
        <f t="shared" si="2"/>
        <v>2.34</v>
      </c>
      <c r="H5757" s="16">
        <v>0.0</v>
      </c>
      <c r="I5757" s="15">
        <f t="shared" si="3"/>
        <v>1.35</v>
      </c>
      <c r="J5757" s="15">
        <v>29.9</v>
      </c>
      <c r="K5757" s="16">
        <f>IF(COUNTIFS(Release_Calendar!$A$2:$A$755,"US_CPI",Release_Calendar!$B$2:$B$755,$A5757)&gt;0,1,0)</f>
        <v>0</v>
      </c>
      <c r="L5757" s="16">
        <f>IF(COUNTIFS(Release_Calendar!$A$2:$A$755,"US_NFP",Release_Calendar!$B$2:$B$755,$A5757)&gt;0,1,0)</f>
        <v>0</v>
      </c>
      <c r="M5757" s="16">
        <f>IF($A5757&lt;Notes!$B$5,"",IF(COUNTIFS(Release_Calendar!$A$2:$A$755,"NZ_CPI",Release_Calendar!$B$2:$B$755,$A5757)&gt;0,1,0))</f>
        <v>0</v>
      </c>
      <c r="N5757" s="16">
        <f>IF($A5757&lt;Notes!$B$5,"",IF(COUNTIFS(Release_Calendar!$A$2:$A$755,"NZ_GDP",Release_Calendar!$B$2:$B$755,$A5757)&gt;0,1,0))</f>
        <v>0</v>
      </c>
      <c r="O5757" s="16">
        <f>IF($A5757&lt;Notes!$B$5,"",IF(COUNTIFS(Release_Calendar!$A$2:$A$755,"NZ_LABOUR",Release_Calendar!$B$2:$B$755,$A5757)&gt;0,1,0))</f>
        <v>0</v>
      </c>
      <c r="P5757" s="16">
        <f t="shared" si="4"/>
        <v>0</v>
      </c>
    </row>
    <row r="5758" ht="15.75" customHeight="1">
      <c r="A5758" s="14">
        <v>44586.0</v>
      </c>
      <c r="B5758" s="15">
        <v>1.02</v>
      </c>
      <c r="C5758" s="15">
        <v>2.4</v>
      </c>
      <c r="D5758" s="15"/>
      <c r="E5758" s="15">
        <v>2.12</v>
      </c>
      <c r="F5758" s="15">
        <f t="shared" si="1"/>
        <v>1.38</v>
      </c>
      <c r="G5758" s="15">
        <f t="shared" si="2"/>
        <v>2.4</v>
      </c>
      <c r="H5758" s="16">
        <v>0.0</v>
      </c>
      <c r="I5758" s="15">
        <f t="shared" si="3"/>
        <v>1.38</v>
      </c>
      <c r="J5758" s="15">
        <v>31.16</v>
      </c>
      <c r="K5758" s="16">
        <f>IF(COUNTIFS(Release_Calendar!$A$2:$A$755,"US_CPI",Release_Calendar!$B$2:$B$755,$A5758)&gt;0,1,0)</f>
        <v>0</v>
      </c>
      <c r="L5758" s="16">
        <f>IF(COUNTIFS(Release_Calendar!$A$2:$A$755,"US_NFP",Release_Calendar!$B$2:$B$755,$A5758)&gt;0,1,0)</f>
        <v>0</v>
      </c>
      <c r="M5758" s="16">
        <f>IF($A5758&lt;Notes!$B$5,"",IF(COUNTIFS(Release_Calendar!$A$2:$A$755,"NZ_CPI",Release_Calendar!$B$2:$B$755,$A5758)&gt;0,1,0))</f>
        <v>0</v>
      </c>
      <c r="N5758" s="16">
        <f>IF($A5758&lt;Notes!$B$5,"",IF(COUNTIFS(Release_Calendar!$A$2:$A$755,"NZ_GDP",Release_Calendar!$B$2:$B$755,$A5758)&gt;0,1,0))</f>
        <v>0</v>
      </c>
      <c r="O5758" s="16">
        <f>IF($A5758&lt;Notes!$B$5,"",IF(COUNTIFS(Release_Calendar!$A$2:$A$755,"NZ_LABOUR",Release_Calendar!$B$2:$B$755,$A5758)&gt;0,1,0))</f>
        <v>0</v>
      </c>
      <c r="P5758" s="16">
        <f t="shared" si="4"/>
        <v>0</v>
      </c>
    </row>
    <row r="5759" ht="15.75" customHeight="1">
      <c r="A5759" s="14">
        <v>44587.0</v>
      </c>
      <c r="B5759" s="15">
        <v>1.13</v>
      </c>
      <c r="C5759" s="15">
        <v>2.43</v>
      </c>
      <c r="D5759" s="15"/>
      <c r="E5759" s="15">
        <v>2.12</v>
      </c>
      <c r="F5759" s="15">
        <f t="shared" si="1"/>
        <v>1.3</v>
      </c>
      <c r="G5759" s="15">
        <f t="shared" si="2"/>
        <v>2.43</v>
      </c>
      <c r="H5759" s="16">
        <v>0.0</v>
      </c>
      <c r="I5759" s="15">
        <f t="shared" si="3"/>
        <v>1.3</v>
      </c>
      <c r="J5759" s="15">
        <v>31.96</v>
      </c>
      <c r="K5759" s="16">
        <f>IF(COUNTIFS(Release_Calendar!$A$2:$A$755,"US_CPI",Release_Calendar!$B$2:$B$755,$A5759)&gt;0,1,0)</f>
        <v>0</v>
      </c>
      <c r="L5759" s="16">
        <f>IF(COUNTIFS(Release_Calendar!$A$2:$A$755,"US_NFP",Release_Calendar!$B$2:$B$755,$A5759)&gt;0,1,0)</f>
        <v>0</v>
      </c>
      <c r="M5759" s="16">
        <f>IF($A5759&lt;Notes!$B$5,"",IF(COUNTIFS(Release_Calendar!$A$2:$A$755,"NZ_CPI",Release_Calendar!$B$2:$B$755,$A5759)&gt;0,1,0))</f>
        <v>0</v>
      </c>
      <c r="N5759" s="16">
        <f>IF($A5759&lt;Notes!$B$5,"",IF(COUNTIFS(Release_Calendar!$A$2:$A$755,"NZ_GDP",Release_Calendar!$B$2:$B$755,$A5759)&gt;0,1,0))</f>
        <v>0</v>
      </c>
      <c r="O5759" s="16">
        <f>IF($A5759&lt;Notes!$B$5,"",IF(COUNTIFS(Release_Calendar!$A$2:$A$755,"NZ_LABOUR",Release_Calendar!$B$2:$B$755,$A5759)&gt;0,1,0))</f>
        <v>0</v>
      </c>
      <c r="P5759" s="16">
        <f t="shared" si="4"/>
        <v>0</v>
      </c>
    </row>
    <row r="5760" ht="15.75" customHeight="1">
      <c r="A5760" s="14">
        <v>44588.0</v>
      </c>
      <c r="B5760" s="15">
        <v>1.18</v>
      </c>
      <c r="C5760" s="15">
        <v>2.48</v>
      </c>
      <c r="D5760" s="15"/>
      <c r="E5760" s="15">
        <v>2.15</v>
      </c>
      <c r="F5760" s="15">
        <f t="shared" si="1"/>
        <v>1.3</v>
      </c>
      <c r="G5760" s="15">
        <f t="shared" si="2"/>
        <v>2.48</v>
      </c>
      <c r="H5760" s="16">
        <v>0.0</v>
      </c>
      <c r="I5760" s="15">
        <f t="shared" si="3"/>
        <v>1.3</v>
      </c>
      <c r="J5760" s="15">
        <v>30.49</v>
      </c>
      <c r="K5760" s="16">
        <f>IF(COUNTIFS(Release_Calendar!$A$2:$A$755,"US_CPI",Release_Calendar!$B$2:$B$755,$A5760)&gt;0,1,0)</f>
        <v>0</v>
      </c>
      <c r="L5760" s="16">
        <f>IF(COUNTIFS(Release_Calendar!$A$2:$A$755,"US_NFP",Release_Calendar!$B$2:$B$755,$A5760)&gt;0,1,0)</f>
        <v>0</v>
      </c>
      <c r="M5760" s="16">
        <f>IF($A5760&lt;Notes!$B$5,"",IF(COUNTIFS(Release_Calendar!$A$2:$A$755,"NZ_CPI",Release_Calendar!$B$2:$B$755,$A5760)&gt;0,1,0))</f>
        <v>1</v>
      </c>
      <c r="N5760" s="16">
        <f>IF($A5760&lt;Notes!$B$5,"",IF(COUNTIFS(Release_Calendar!$A$2:$A$755,"NZ_GDP",Release_Calendar!$B$2:$B$755,$A5760)&gt;0,1,0))</f>
        <v>0</v>
      </c>
      <c r="O5760" s="16">
        <f>IF($A5760&lt;Notes!$B$5,"",IF(COUNTIFS(Release_Calendar!$A$2:$A$755,"NZ_LABOUR",Release_Calendar!$B$2:$B$755,$A5760)&gt;0,1,0))</f>
        <v>0</v>
      </c>
      <c r="P5760" s="16">
        <f t="shared" si="4"/>
        <v>1</v>
      </c>
    </row>
    <row r="5761" ht="15.75" customHeight="1">
      <c r="A5761" s="14">
        <v>44589.0</v>
      </c>
      <c r="B5761" s="15">
        <v>1.15</v>
      </c>
      <c r="C5761" s="15">
        <v>2.47</v>
      </c>
      <c r="D5761" s="15"/>
      <c r="E5761" s="15">
        <v>2.13</v>
      </c>
      <c r="F5761" s="15">
        <f t="shared" si="1"/>
        <v>1.32</v>
      </c>
      <c r="G5761" s="15">
        <f t="shared" si="2"/>
        <v>2.47</v>
      </c>
      <c r="H5761" s="16">
        <v>0.0</v>
      </c>
      <c r="I5761" s="15">
        <f t="shared" si="3"/>
        <v>1.32</v>
      </c>
      <c r="J5761" s="15">
        <v>27.66</v>
      </c>
      <c r="K5761" s="16">
        <f>IF(COUNTIFS(Release_Calendar!$A$2:$A$755,"US_CPI",Release_Calendar!$B$2:$B$755,$A5761)&gt;0,1,0)</f>
        <v>0</v>
      </c>
      <c r="L5761" s="16">
        <f>IF(COUNTIFS(Release_Calendar!$A$2:$A$755,"US_NFP",Release_Calendar!$B$2:$B$755,$A5761)&gt;0,1,0)</f>
        <v>0</v>
      </c>
      <c r="M5761" s="16">
        <f>IF($A5761&lt;Notes!$B$5,"",IF(COUNTIFS(Release_Calendar!$A$2:$A$755,"NZ_CPI",Release_Calendar!$B$2:$B$755,$A5761)&gt;0,1,0))</f>
        <v>0</v>
      </c>
      <c r="N5761" s="16">
        <f>IF($A5761&lt;Notes!$B$5,"",IF(COUNTIFS(Release_Calendar!$A$2:$A$755,"NZ_GDP",Release_Calendar!$B$2:$B$755,$A5761)&gt;0,1,0))</f>
        <v>0</v>
      </c>
      <c r="O5761" s="16">
        <f>IF($A5761&lt;Notes!$B$5,"",IF(COUNTIFS(Release_Calendar!$A$2:$A$755,"NZ_LABOUR",Release_Calendar!$B$2:$B$755,$A5761)&gt;0,1,0))</f>
        <v>0</v>
      </c>
      <c r="P5761" s="16">
        <f t="shared" si="4"/>
        <v>0</v>
      </c>
    </row>
    <row r="5762" ht="15.75" customHeight="1">
      <c r="A5762" s="14">
        <v>44592.0</v>
      </c>
      <c r="B5762" s="15">
        <v>1.18</v>
      </c>
      <c r="C5762" s="15">
        <v>2.47</v>
      </c>
      <c r="D5762" s="15"/>
      <c r="E5762" s="15">
        <v>2.13</v>
      </c>
      <c r="F5762" s="15">
        <f t="shared" si="1"/>
        <v>1.29</v>
      </c>
      <c r="G5762" s="15">
        <f t="shared" si="2"/>
        <v>2.47</v>
      </c>
      <c r="H5762" s="16">
        <v>0.0</v>
      </c>
      <c r="I5762" s="15">
        <f t="shared" si="3"/>
        <v>1.29</v>
      </c>
      <c r="J5762" s="15">
        <v>24.83</v>
      </c>
      <c r="K5762" s="16">
        <f>IF(COUNTIFS(Release_Calendar!$A$2:$A$755,"US_CPI",Release_Calendar!$B$2:$B$755,$A5762)&gt;0,1,0)</f>
        <v>0</v>
      </c>
      <c r="L5762" s="16">
        <f>IF(COUNTIFS(Release_Calendar!$A$2:$A$755,"US_NFP",Release_Calendar!$B$2:$B$755,$A5762)&gt;0,1,0)</f>
        <v>0</v>
      </c>
      <c r="M5762" s="16">
        <f>IF($A5762&lt;Notes!$B$5,"",IF(COUNTIFS(Release_Calendar!$A$2:$A$755,"NZ_CPI",Release_Calendar!$B$2:$B$755,$A5762)&gt;0,1,0))</f>
        <v>0</v>
      </c>
      <c r="N5762" s="16">
        <f>IF($A5762&lt;Notes!$B$5,"",IF(COUNTIFS(Release_Calendar!$A$2:$A$755,"NZ_GDP",Release_Calendar!$B$2:$B$755,$A5762)&gt;0,1,0))</f>
        <v>0</v>
      </c>
      <c r="O5762" s="16">
        <f>IF($A5762&lt;Notes!$B$5,"",IF(COUNTIFS(Release_Calendar!$A$2:$A$755,"NZ_LABOUR",Release_Calendar!$B$2:$B$755,$A5762)&gt;0,1,0))</f>
        <v>0</v>
      </c>
      <c r="P5762" s="16">
        <f t="shared" si="4"/>
        <v>0</v>
      </c>
    </row>
    <row r="5763" ht="15.75" customHeight="1">
      <c r="A5763" s="14">
        <v>44593.0</v>
      </c>
      <c r="B5763" s="15">
        <v>1.18</v>
      </c>
      <c r="C5763" s="15">
        <v>2.46</v>
      </c>
      <c r="D5763" s="15"/>
      <c r="E5763" s="15">
        <v>2.15</v>
      </c>
      <c r="F5763" s="15">
        <f t="shared" si="1"/>
        <v>1.28</v>
      </c>
      <c r="G5763" s="15">
        <f t="shared" si="2"/>
        <v>2.46</v>
      </c>
      <c r="H5763" s="16">
        <v>0.0</v>
      </c>
      <c r="I5763" s="15">
        <f t="shared" si="3"/>
        <v>1.28</v>
      </c>
      <c r="J5763" s="15">
        <v>21.96</v>
      </c>
      <c r="K5763" s="16">
        <f>IF(COUNTIFS(Release_Calendar!$A$2:$A$755,"US_CPI",Release_Calendar!$B$2:$B$755,$A5763)&gt;0,1,0)</f>
        <v>0</v>
      </c>
      <c r="L5763" s="16">
        <f>IF(COUNTIFS(Release_Calendar!$A$2:$A$755,"US_NFP",Release_Calendar!$B$2:$B$755,$A5763)&gt;0,1,0)</f>
        <v>0</v>
      </c>
      <c r="M5763" s="16">
        <f>IF($A5763&lt;Notes!$B$5,"",IF(COUNTIFS(Release_Calendar!$A$2:$A$755,"NZ_CPI",Release_Calendar!$B$2:$B$755,$A5763)&gt;0,1,0))</f>
        <v>0</v>
      </c>
      <c r="N5763" s="16">
        <f>IF($A5763&lt;Notes!$B$5,"",IF(COUNTIFS(Release_Calendar!$A$2:$A$755,"NZ_GDP",Release_Calendar!$B$2:$B$755,$A5763)&gt;0,1,0))</f>
        <v>0</v>
      </c>
      <c r="O5763" s="16">
        <f>IF($A5763&lt;Notes!$B$5,"",IF(COUNTIFS(Release_Calendar!$A$2:$A$755,"NZ_LABOUR",Release_Calendar!$B$2:$B$755,$A5763)&gt;0,1,0))</f>
        <v>0</v>
      </c>
      <c r="P5763" s="16">
        <f t="shared" si="4"/>
        <v>0</v>
      </c>
    </row>
    <row r="5764" ht="15.75" customHeight="1">
      <c r="A5764" s="14">
        <v>44594.0</v>
      </c>
      <c r="B5764" s="15">
        <v>1.16</v>
      </c>
      <c r="C5764" s="15">
        <v>2.42</v>
      </c>
      <c r="D5764" s="15"/>
      <c r="E5764" s="15">
        <v>2.13</v>
      </c>
      <c r="F5764" s="15">
        <f t="shared" si="1"/>
        <v>1.26</v>
      </c>
      <c r="G5764" s="15">
        <f t="shared" si="2"/>
        <v>2.42</v>
      </c>
      <c r="H5764" s="16">
        <v>0.0</v>
      </c>
      <c r="I5764" s="15">
        <f t="shared" si="3"/>
        <v>1.26</v>
      </c>
      <c r="J5764" s="15">
        <v>22.09</v>
      </c>
      <c r="K5764" s="16">
        <f>IF(COUNTIFS(Release_Calendar!$A$2:$A$755,"US_CPI",Release_Calendar!$B$2:$B$755,$A5764)&gt;0,1,0)</f>
        <v>0</v>
      </c>
      <c r="L5764" s="16">
        <f>IF(COUNTIFS(Release_Calendar!$A$2:$A$755,"US_NFP",Release_Calendar!$B$2:$B$755,$A5764)&gt;0,1,0)</f>
        <v>0</v>
      </c>
      <c r="M5764" s="16">
        <f>IF($A5764&lt;Notes!$B$5,"",IF(COUNTIFS(Release_Calendar!$A$2:$A$755,"NZ_CPI",Release_Calendar!$B$2:$B$755,$A5764)&gt;0,1,0))</f>
        <v>0</v>
      </c>
      <c r="N5764" s="16">
        <f>IF($A5764&lt;Notes!$B$5,"",IF(COUNTIFS(Release_Calendar!$A$2:$A$755,"NZ_GDP",Release_Calendar!$B$2:$B$755,$A5764)&gt;0,1,0))</f>
        <v>0</v>
      </c>
      <c r="O5764" s="16">
        <f>IF($A5764&lt;Notes!$B$5,"",IF(COUNTIFS(Release_Calendar!$A$2:$A$755,"NZ_LABOUR",Release_Calendar!$B$2:$B$755,$A5764)&gt;0,1,0))</f>
        <v>1</v>
      </c>
      <c r="P5764" s="16">
        <f t="shared" si="4"/>
        <v>1</v>
      </c>
    </row>
    <row r="5765" ht="15.75" customHeight="1">
      <c r="A5765" s="14">
        <v>44595.0</v>
      </c>
      <c r="B5765" s="15">
        <v>1.19</v>
      </c>
      <c r="C5765" s="15">
        <v>2.4</v>
      </c>
      <c r="D5765" s="15"/>
      <c r="E5765" s="15">
        <v>2.08</v>
      </c>
      <c r="F5765" s="15">
        <f t="shared" si="1"/>
        <v>1.21</v>
      </c>
      <c r="G5765" s="15">
        <f t="shared" si="2"/>
        <v>2.4</v>
      </c>
      <c r="H5765" s="16">
        <v>0.0</v>
      </c>
      <c r="I5765" s="15">
        <f t="shared" si="3"/>
        <v>1.21</v>
      </c>
      <c r="J5765" s="15">
        <v>24.35</v>
      </c>
      <c r="K5765" s="16">
        <f>IF(COUNTIFS(Release_Calendar!$A$2:$A$755,"US_CPI",Release_Calendar!$B$2:$B$755,$A5765)&gt;0,1,0)</f>
        <v>0</v>
      </c>
      <c r="L5765" s="16">
        <f>IF(COUNTIFS(Release_Calendar!$A$2:$A$755,"US_NFP",Release_Calendar!$B$2:$B$755,$A5765)&gt;0,1,0)</f>
        <v>0</v>
      </c>
      <c r="M5765" s="16">
        <f>IF($A5765&lt;Notes!$B$5,"",IF(COUNTIFS(Release_Calendar!$A$2:$A$755,"NZ_CPI",Release_Calendar!$B$2:$B$755,$A5765)&gt;0,1,0))</f>
        <v>0</v>
      </c>
      <c r="N5765" s="16">
        <f>IF($A5765&lt;Notes!$B$5,"",IF(COUNTIFS(Release_Calendar!$A$2:$A$755,"NZ_GDP",Release_Calendar!$B$2:$B$755,$A5765)&gt;0,1,0))</f>
        <v>0</v>
      </c>
      <c r="O5765" s="16">
        <f>IF($A5765&lt;Notes!$B$5,"",IF(COUNTIFS(Release_Calendar!$A$2:$A$755,"NZ_LABOUR",Release_Calendar!$B$2:$B$755,$A5765)&gt;0,1,0))</f>
        <v>0</v>
      </c>
      <c r="P5765" s="16">
        <f t="shared" si="4"/>
        <v>0</v>
      </c>
    </row>
    <row r="5766" ht="15.75" customHeight="1">
      <c r="A5766" s="14">
        <v>44596.0</v>
      </c>
      <c r="B5766" s="15">
        <v>1.31</v>
      </c>
      <c r="C5766" s="15">
        <v>2.44</v>
      </c>
      <c r="D5766" s="15"/>
      <c r="E5766" s="15">
        <v>2.14</v>
      </c>
      <c r="F5766" s="15">
        <f t="shared" si="1"/>
        <v>1.13</v>
      </c>
      <c r="G5766" s="15">
        <f t="shared" si="2"/>
        <v>2.44</v>
      </c>
      <c r="H5766" s="16">
        <v>0.0</v>
      </c>
      <c r="I5766" s="15">
        <f t="shared" si="3"/>
        <v>1.13</v>
      </c>
      <c r="J5766" s="15">
        <v>23.22</v>
      </c>
      <c r="K5766" s="16">
        <f>IF(COUNTIFS(Release_Calendar!$A$2:$A$755,"US_CPI",Release_Calendar!$B$2:$B$755,$A5766)&gt;0,1,0)</f>
        <v>0</v>
      </c>
      <c r="L5766" s="16">
        <f>IF(COUNTIFS(Release_Calendar!$A$2:$A$755,"US_NFP",Release_Calendar!$B$2:$B$755,$A5766)&gt;0,1,0)</f>
        <v>1</v>
      </c>
      <c r="M5766" s="16">
        <f>IF($A5766&lt;Notes!$B$5,"",IF(COUNTIFS(Release_Calendar!$A$2:$A$755,"NZ_CPI",Release_Calendar!$B$2:$B$755,$A5766)&gt;0,1,0))</f>
        <v>0</v>
      </c>
      <c r="N5766" s="16">
        <f>IF($A5766&lt;Notes!$B$5,"",IF(COUNTIFS(Release_Calendar!$A$2:$A$755,"NZ_GDP",Release_Calendar!$B$2:$B$755,$A5766)&gt;0,1,0))</f>
        <v>0</v>
      </c>
      <c r="O5766" s="16">
        <f>IF($A5766&lt;Notes!$B$5,"",IF(COUNTIFS(Release_Calendar!$A$2:$A$755,"NZ_LABOUR",Release_Calendar!$B$2:$B$755,$A5766)&gt;0,1,0))</f>
        <v>0</v>
      </c>
      <c r="P5766" s="16">
        <f t="shared" si="4"/>
        <v>1</v>
      </c>
    </row>
    <row r="5767" ht="15.75" customHeight="1">
      <c r="A5767" s="14">
        <v>44599.0</v>
      </c>
      <c r="B5767" s="15">
        <v>1.3</v>
      </c>
      <c r="C5767" s="15"/>
      <c r="D5767" s="15"/>
      <c r="E5767" s="15"/>
      <c r="F5767" s="15" t="str">
        <f t="shared" si="1"/>
        <v/>
      </c>
      <c r="G5767" s="15" t="str">
        <f t="shared" si="2"/>
        <v/>
      </c>
      <c r="H5767" s="16">
        <v>0.0</v>
      </c>
      <c r="I5767" s="15" t="str">
        <f t="shared" si="3"/>
        <v/>
      </c>
      <c r="J5767" s="15">
        <v>22.86</v>
      </c>
      <c r="K5767" s="16">
        <f>IF(COUNTIFS(Release_Calendar!$A$2:$A$755,"US_CPI",Release_Calendar!$B$2:$B$755,$A5767)&gt;0,1,0)</f>
        <v>0</v>
      </c>
      <c r="L5767" s="16">
        <f>IF(COUNTIFS(Release_Calendar!$A$2:$A$755,"US_NFP",Release_Calendar!$B$2:$B$755,$A5767)&gt;0,1,0)</f>
        <v>0</v>
      </c>
      <c r="M5767" s="16">
        <f>IF($A5767&lt;Notes!$B$5,"",IF(COUNTIFS(Release_Calendar!$A$2:$A$755,"NZ_CPI",Release_Calendar!$B$2:$B$755,$A5767)&gt;0,1,0))</f>
        <v>0</v>
      </c>
      <c r="N5767" s="16">
        <f>IF($A5767&lt;Notes!$B$5,"",IF(COUNTIFS(Release_Calendar!$A$2:$A$755,"NZ_GDP",Release_Calendar!$B$2:$B$755,$A5767)&gt;0,1,0))</f>
        <v>0</v>
      </c>
      <c r="O5767" s="16">
        <f>IF($A5767&lt;Notes!$B$5,"",IF(COUNTIFS(Release_Calendar!$A$2:$A$755,"NZ_LABOUR",Release_Calendar!$B$2:$B$755,$A5767)&gt;0,1,0))</f>
        <v>0</v>
      </c>
      <c r="P5767" s="16">
        <f t="shared" si="4"/>
        <v>0</v>
      </c>
    </row>
    <row r="5768" ht="15.75" customHeight="1">
      <c r="A5768" s="14">
        <v>44600.0</v>
      </c>
      <c r="B5768" s="15">
        <v>1.35</v>
      </c>
      <c r="C5768" s="15">
        <v>2.5</v>
      </c>
      <c r="D5768" s="15"/>
      <c r="E5768" s="15">
        <v>2.21</v>
      </c>
      <c r="F5768" s="15">
        <f t="shared" si="1"/>
        <v>1.15</v>
      </c>
      <c r="G5768" s="15">
        <f t="shared" si="2"/>
        <v>2.5</v>
      </c>
      <c r="H5768" s="16">
        <v>0.0</v>
      </c>
      <c r="I5768" s="15">
        <f t="shared" si="3"/>
        <v>1.15</v>
      </c>
      <c r="J5768" s="15">
        <v>21.44</v>
      </c>
      <c r="K5768" s="16">
        <f>IF(COUNTIFS(Release_Calendar!$A$2:$A$755,"US_CPI",Release_Calendar!$B$2:$B$755,$A5768)&gt;0,1,0)</f>
        <v>0</v>
      </c>
      <c r="L5768" s="16">
        <f>IF(COUNTIFS(Release_Calendar!$A$2:$A$755,"US_NFP",Release_Calendar!$B$2:$B$755,$A5768)&gt;0,1,0)</f>
        <v>0</v>
      </c>
      <c r="M5768" s="16">
        <f>IF($A5768&lt;Notes!$B$5,"",IF(COUNTIFS(Release_Calendar!$A$2:$A$755,"NZ_CPI",Release_Calendar!$B$2:$B$755,$A5768)&gt;0,1,0))</f>
        <v>0</v>
      </c>
      <c r="N5768" s="16">
        <f>IF($A5768&lt;Notes!$B$5,"",IF(COUNTIFS(Release_Calendar!$A$2:$A$755,"NZ_GDP",Release_Calendar!$B$2:$B$755,$A5768)&gt;0,1,0))</f>
        <v>0</v>
      </c>
      <c r="O5768" s="16">
        <f>IF($A5768&lt;Notes!$B$5,"",IF(COUNTIFS(Release_Calendar!$A$2:$A$755,"NZ_LABOUR",Release_Calendar!$B$2:$B$755,$A5768)&gt;0,1,0))</f>
        <v>0</v>
      </c>
      <c r="P5768" s="16">
        <f t="shared" si="4"/>
        <v>0</v>
      </c>
    </row>
    <row r="5769" ht="15.75" customHeight="1">
      <c r="A5769" s="14">
        <v>44601.0</v>
      </c>
      <c r="B5769" s="15">
        <v>1.36</v>
      </c>
      <c r="C5769" s="15">
        <v>2.48</v>
      </c>
      <c r="D5769" s="15"/>
      <c r="E5769" s="15">
        <v>2.21</v>
      </c>
      <c r="F5769" s="15">
        <f t="shared" si="1"/>
        <v>1.12</v>
      </c>
      <c r="G5769" s="15">
        <f t="shared" si="2"/>
        <v>2.48</v>
      </c>
      <c r="H5769" s="16">
        <v>0.0</v>
      </c>
      <c r="I5769" s="15">
        <f t="shared" si="3"/>
        <v>1.12</v>
      </c>
      <c r="J5769" s="15">
        <v>19.96</v>
      </c>
      <c r="K5769" s="16">
        <f>IF(COUNTIFS(Release_Calendar!$A$2:$A$755,"US_CPI",Release_Calendar!$B$2:$B$755,$A5769)&gt;0,1,0)</f>
        <v>0</v>
      </c>
      <c r="L5769" s="16">
        <f>IF(COUNTIFS(Release_Calendar!$A$2:$A$755,"US_NFP",Release_Calendar!$B$2:$B$755,$A5769)&gt;0,1,0)</f>
        <v>0</v>
      </c>
      <c r="M5769" s="16">
        <f>IF($A5769&lt;Notes!$B$5,"",IF(COUNTIFS(Release_Calendar!$A$2:$A$755,"NZ_CPI",Release_Calendar!$B$2:$B$755,$A5769)&gt;0,1,0))</f>
        <v>0</v>
      </c>
      <c r="N5769" s="16">
        <f>IF($A5769&lt;Notes!$B$5,"",IF(COUNTIFS(Release_Calendar!$A$2:$A$755,"NZ_GDP",Release_Calendar!$B$2:$B$755,$A5769)&gt;0,1,0))</f>
        <v>0</v>
      </c>
      <c r="O5769" s="16">
        <f>IF($A5769&lt;Notes!$B$5,"",IF(COUNTIFS(Release_Calendar!$A$2:$A$755,"NZ_LABOUR",Release_Calendar!$B$2:$B$755,$A5769)&gt;0,1,0))</f>
        <v>0</v>
      </c>
      <c r="P5769" s="16">
        <f t="shared" si="4"/>
        <v>0</v>
      </c>
    </row>
    <row r="5770" ht="15.75" customHeight="1">
      <c r="A5770" s="14">
        <v>44602.0</v>
      </c>
      <c r="B5770" s="15">
        <v>1.61</v>
      </c>
      <c r="C5770" s="15">
        <v>2.47</v>
      </c>
      <c r="D5770" s="15"/>
      <c r="E5770" s="15">
        <v>2.19</v>
      </c>
      <c r="F5770" s="15">
        <f t="shared" si="1"/>
        <v>0.86</v>
      </c>
      <c r="G5770" s="15">
        <f t="shared" si="2"/>
        <v>2.47</v>
      </c>
      <c r="H5770" s="16">
        <v>0.0</v>
      </c>
      <c r="I5770" s="15">
        <f t="shared" si="3"/>
        <v>0.86</v>
      </c>
      <c r="J5770" s="15">
        <v>23.91</v>
      </c>
      <c r="K5770" s="16">
        <f>IF(COUNTIFS(Release_Calendar!$A$2:$A$755,"US_CPI",Release_Calendar!$B$2:$B$755,$A5770)&gt;0,1,0)</f>
        <v>1</v>
      </c>
      <c r="L5770" s="16">
        <f>IF(COUNTIFS(Release_Calendar!$A$2:$A$755,"US_NFP",Release_Calendar!$B$2:$B$755,$A5770)&gt;0,1,0)</f>
        <v>0</v>
      </c>
      <c r="M5770" s="16">
        <f>IF($A5770&lt;Notes!$B$5,"",IF(COUNTIFS(Release_Calendar!$A$2:$A$755,"NZ_CPI",Release_Calendar!$B$2:$B$755,$A5770)&gt;0,1,0))</f>
        <v>0</v>
      </c>
      <c r="N5770" s="16">
        <f>IF($A5770&lt;Notes!$B$5,"",IF(COUNTIFS(Release_Calendar!$A$2:$A$755,"NZ_GDP",Release_Calendar!$B$2:$B$755,$A5770)&gt;0,1,0))</f>
        <v>0</v>
      </c>
      <c r="O5770" s="16">
        <f>IF($A5770&lt;Notes!$B$5,"",IF(COUNTIFS(Release_Calendar!$A$2:$A$755,"NZ_LABOUR",Release_Calendar!$B$2:$B$755,$A5770)&gt;0,1,0))</f>
        <v>0</v>
      </c>
      <c r="P5770" s="16">
        <f t="shared" si="4"/>
        <v>1</v>
      </c>
    </row>
    <row r="5771" ht="15.75" customHeight="1">
      <c r="A5771" s="14">
        <v>44603.0</v>
      </c>
      <c r="B5771" s="15">
        <v>1.5</v>
      </c>
      <c r="C5771" s="15">
        <v>2.55</v>
      </c>
      <c r="D5771" s="15"/>
      <c r="E5771" s="15">
        <v>2.3</v>
      </c>
      <c r="F5771" s="15">
        <f t="shared" si="1"/>
        <v>1.05</v>
      </c>
      <c r="G5771" s="15">
        <f t="shared" si="2"/>
        <v>2.55</v>
      </c>
      <c r="H5771" s="16">
        <v>0.0</v>
      </c>
      <c r="I5771" s="15">
        <f t="shared" si="3"/>
        <v>1.05</v>
      </c>
      <c r="J5771" s="15">
        <v>27.36</v>
      </c>
      <c r="K5771" s="16">
        <f>IF(COUNTIFS(Release_Calendar!$A$2:$A$755,"US_CPI",Release_Calendar!$B$2:$B$755,$A5771)&gt;0,1,0)</f>
        <v>0</v>
      </c>
      <c r="L5771" s="16">
        <f>IF(COUNTIFS(Release_Calendar!$A$2:$A$755,"US_NFP",Release_Calendar!$B$2:$B$755,$A5771)&gt;0,1,0)</f>
        <v>0</v>
      </c>
      <c r="M5771" s="16">
        <f>IF($A5771&lt;Notes!$B$5,"",IF(COUNTIFS(Release_Calendar!$A$2:$A$755,"NZ_CPI",Release_Calendar!$B$2:$B$755,$A5771)&gt;0,1,0))</f>
        <v>0</v>
      </c>
      <c r="N5771" s="16">
        <f>IF($A5771&lt;Notes!$B$5,"",IF(COUNTIFS(Release_Calendar!$A$2:$A$755,"NZ_GDP",Release_Calendar!$B$2:$B$755,$A5771)&gt;0,1,0))</f>
        <v>0</v>
      </c>
      <c r="O5771" s="16">
        <f>IF($A5771&lt;Notes!$B$5,"",IF(COUNTIFS(Release_Calendar!$A$2:$A$755,"NZ_LABOUR",Release_Calendar!$B$2:$B$755,$A5771)&gt;0,1,0))</f>
        <v>0</v>
      </c>
      <c r="P5771" s="16">
        <f t="shared" si="4"/>
        <v>0</v>
      </c>
    </row>
    <row r="5772" ht="15.75" customHeight="1">
      <c r="A5772" s="14">
        <v>44606.0</v>
      </c>
      <c r="B5772" s="15">
        <v>1.58</v>
      </c>
      <c r="C5772" s="15">
        <v>2.55</v>
      </c>
      <c r="D5772" s="15"/>
      <c r="E5772" s="15">
        <v>2.26</v>
      </c>
      <c r="F5772" s="15">
        <f t="shared" si="1"/>
        <v>0.97</v>
      </c>
      <c r="G5772" s="15">
        <f t="shared" si="2"/>
        <v>2.55</v>
      </c>
      <c r="H5772" s="16">
        <v>0.0</v>
      </c>
      <c r="I5772" s="15">
        <f t="shared" si="3"/>
        <v>0.97</v>
      </c>
      <c r="J5772" s="15">
        <v>28.33</v>
      </c>
      <c r="K5772" s="16">
        <f>IF(COUNTIFS(Release_Calendar!$A$2:$A$755,"US_CPI",Release_Calendar!$B$2:$B$755,$A5772)&gt;0,1,0)</f>
        <v>0</v>
      </c>
      <c r="L5772" s="16">
        <f>IF(COUNTIFS(Release_Calendar!$A$2:$A$755,"US_NFP",Release_Calendar!$B$2:$B$755,$A5772)&gt;0,1,0)</f>
        <v>0</v>
      </c>
      <c r="M5772" s="16">
        <f>IF($A5772&lt;Notes!$B$5,"",IF(COUNTIFS(Release_Calendar!$A$2:$A$755,"NZ_CPI",Release_Calendar!$B$2:$B$755,$A5772)&gt;0,1,0))</f>
        <v>0</v>
      </c>
      <c r="N5772" s="16">
        <f>IF($A5772&lt;Notes!$B$5,"",IF(COUNTIFS(Release_Calendar!$A$2:$A$755,"NZ_GDP",Release_Calendar!$B$2:$B$755,$A5772)&gt;0,1,0))</f>
        <v>0</v>
      </c>
      <c r="O5772" s="16">
        <f>IF($A5772&lt;Notes!$B$5,"",IF(COUNTIFS(Release_Calendar!$A$2:$A$755,"NZ_LABOUR",Release_Calendar!$B$2:$B$755,$A5772)&gt;0,1,0))</f>
        <v>0</v>
      </c>
      <c r="P5772" s="16">
        <f t="shared" si="4"/>
        <v>0</v>
      </c>
    </row>
    <row r="5773" ht="15.75" customHeight="1">
      <c r="A5773" s="14">
        <v>44607.0</v>
      </c>
      <c r="B5773" s="15">
        <v>1.58</v>
      </c>
      <c r="C5773" s="15">
        <v>2.56</v>
      </c>
      <c r="D5773" s="15"/>
      <c r="E5773" s="15">
        <v>2.29</v>
      </c>
      <c r="F5773" s="15">
        <f t="shared" si="1"/>
        <v>0.98</v>
      </c>
      <c r="G5773" s="15">
        <f t="shared" si="2"/>
        <v>2.56</v>
      </c>
      <c r="H5773" s="16">
        <v>0.0</v>
      </c>
      <c r="I5773" s="15">
        <f t="shared" si="3"/>
        <v>0.98</v>
      </c>
      <c r="J5773" s="15">
        <v>25.7</v>
      </c>
      <c r="K5773" s="16">
        <f>IF(COUNTIFS(Release_Calendar!$A$2:$A$755,"US_CPI",Release_Calendar!$B$2:$B$755,$A5773)&gt;0,1,0)</f>
        <v>0</v>
      </c>
      <c r="L5773" s="16">
        <f>IF(COUNTIFS(Release_Calendar!$A$2:$A$755,"US_NFP",Release_Calendar!$B$2:$B$755,$A5773)&gt;0,1,0)</f>
        <v>0</v>
      </c>
      <c r="M5773" s="16">
        <f>IF($A5773&lt;Notes!$B$5,"",IF(COUNTIFS(Release_Calendar!$A$2:$A$755,"NZ_CPI",Release_Calendar!$B$2:$B$755,$A5773)&gt;0,1,0))</f>
        <v>0</v>
      </c>
      <c r="N5773" s="16">
        <f>IF($A5773&lt;Notes!$B$5,"",IF(COUNTIFS(Release_Calendar!$A$2:$A$755,"NZ_GDP",Release_Calendar!$B$2:$B$755,$A5773)&gt;0,1,0))</f>
        <v>0</v>
      </c>
      <c r="O5773" s="16">
        <f>IF($A5773&lt;Notes!$B$5,"",IF(COUNTIFS(Release_Calendar!$A$2:$A$755,"NZ_LABOUR",Release_Calendar!$B$2:$B$755,$A5773)&gt;0,1,0))</f>
        <v>0</v>
      </c>
      <c r="P5773" s="16">
        <f t="shared" si="4"/>
        <v>0</v>
      </c>
    </row>
    <row r="5774" ht="15.75" customHeight="1">
      <c r="A5774" s="14">
        <v>44608.0</v>
      </c>
      <c r="B5774" s="15">
        <v>1.52</v>
      </c>
      <c r="C5774" s="15">
        <v>2.57</v>
      </c>
      <c r="D5774" s="15"/>
      <c r="E5774" s="15">
        <v>2.3</v>
      </c>
      <c r="F5774" s="15">
        <f t="shared" si="1"/>
        <v>1.05</v>
      </c>
      <c r="G5774" s="15">
        <f t="shared" si="2"/>
        <v>2.57</v>
      </c>
      <c r="H5774" s="16">
        <v>0.0</v>
      </c>
      <c r="I5774" s="15">
        <f t="shared" si="3"/>
        <v>1.05</v>
      </c>
      <c r="J5774" s="15">
        <v>24.29</v>
      </c>
      <c r="K5774" s="16">
        <f>IF(COUNTIFS(Release_Calendar!$A$2:$A$755,"US_CPI",Release_Calendar!$B$2:$B$755,$A5774)&gt;0,1,0)</f>
        <v>0</v>
      </c>
      <c r="L5774" s="16">
        <f>IF(COUNTIFS(Release_Calendar!$A$2:$A$755,"US_NFP",Release_Calendar!$B$2:$B$755,$A5774)&gt;0,1,0)</f>
        <v>0</v>
      </c>
      <c r="M5774" s="16">
        <f>IF($A5774&lt;Notes!$B$5,"",IF(COUNTIFS(Release_Calendar!$A$2:$A$755,"NZ_CPI",Release_Calendar!$B$2:$B$755,$A5774)&gt;0,1,0))</f>
        <v>0</v>
      </c>
      <c r="N5774" s="16">
        <f>IF($A5774&lt;Notes!$B$5,"",IF(COUNTIFS(Release_Calendar!$A$2:$A$755,"NZ_GDP",Release_Calendar!$B$2:$B$755,$A5774)&gt;0,1,0))</f>
        <v>0</v>
      </c>
      <c r="O5774" s="16">
        <f>IF($A5774&lt;Notes!$B$5,"",IF(COUNTIFS(Release_Calendar!$A$2:$A$755,"NZ_LABOUR",Release_Calendar!$B$2:$B$755,$A5774)&gt;0,1,0))</f>
        <v>0</v>
      </c>
      <c r="P5774" s="16">
        <f t="shared" si="4"/>
        <v>0</v>
      </c>
    </row>
    <row r="5775" ht="15.75" customHeight="1">
      <c r="A5775" s="14">
        <v>44609.0</v>
      </c>
      <c r="B5775" s="15">
        <v>1.49</v>
      </c>
      <c r="C5775" s="15">
        <v>2.56</v>
      </c>
      <c r="D5775" s="15"/>
      <c r="E5775" s="15">
        <v>2.28</v>
      </c>
      <c r="F5775" s="15">
        <f t="shared" si="1"/>
        <v>1.07</v>
      </c>
      <c r="G5775" s="15">
        <f t="shared" si="2"/>
        <v>2.56</v>
      </c>
      <c r="H5775" s="16">
        <v>0.0</v>
      </c>
      <c r="I5775" s="15">
        <f t="shared" si="3"/>
        <v>1.07</v>
      </c>
      <c r="J5775" s="15">
        <v>28.11</v>
      </c>
      <c r="K5775" s="16">
        <f>IF(COUNTIFS(Release_Calendar!$A$2:$A$755,"US_CPI",Release_Calendar!$B$2:$B$755,$A5775)&gt;0,1,0)</f>
        <v>0</v>
      </c>
      <c r="L5775" s="16">
        <f>IF(COUNTIFS(Release_Calendar!$A$2:$A$755,"US_NFP",Release_Calendar!$B$2:$B$755,$A5775)&gt;0,1,0)</f>
        <v>0</v>
      </c>
      <c r="M5775" s="16">
        <f>IF($A5775&lt;Notes!$B$5,"",IF(COUNTIFS(Release_Calendar!$A$2:$A$755,"NZ_CPI",Release_Calendar!$B$2:$B$755,$A5775)&gt;0,1,0))</f>
        <v>0</v>
      </c>
      <c r="N5775" s="16">
        <f>IF($A5775&lt;Notes!$B$5,"",IF(COUNTIFS(Release_Calendar!$A$2:$A$755,"NZ_GDP",Release_Calendar!$B$2:$B$755,$A5775)&gt;0,1,0))</f>
        <v>0</v>
      </c>
      <c r="O5775" s="16">
        <f>IF($A5775&lt;Notes!$B$5,"",IF(COUNTIFS(Release_Calendar!$A$2:$A$755,"NZ_LABOUR",Release_Calendar!$B$2:$B$755,$A5775)&gt;0,1,0))</f>
        <v>0</v>
      </c>
      <c r="P5775" s="16">
        <f t="shared" si="4"/>
        <v>0</v>
      </c>
    </row>
    <row r="5776" ht="15.75" customHeight="1">
      <c r="A5776" s="14">
        <v>44610.0</v>
      </c>
      <c r="B5776" s="15">
        <v>1.47</v>
      </c>
      <c r="C5776" s="15">
        <v>2.56</v>
      </c>
      <c r="D5776" s="15"/>
      <c r="E5776" s="15">
        <v>2.29</v>
      </c>
      <c r="F5776" s="15">
        <f t="shared" si="1"/>
        <v>1.09</v>
      </c>
      <c r="G5776" s="15">
        <f t="shared" si="2"/>
        <v>2.56</v>
      </c>
      <c r="H5776" s="16">
        <v>0.0</v>
      </c>
      <c r="I5776" s="15">
        <f t="shared" si="3"/>
        <v>1.09</v>
      </c>
      <c r="J5776" s="15">
        <v>27.75</v>
      </c>
      <c r="K5776" s="16">
        <f>IF(COUNTIFS(Release_Calendar!$A$2:$A$755,"US_CPI",Release_Calendar!$B$2:$B$755,$A5776)&gt;0,1,0)</f>
        <v>0</v>
      </c>
      <c r="L5776" s="16">
        <f>IF(COUNTIFS(Release_Calendar!$A$2:$A$755,"US_NFP",Release_Calendar!$B$2:$B$755,$A5776)&gt;0,1,0)</f>
        <v>0</v>
      </c>
      <c r="M5776" s="16">
        <f>IF($A5776&lt;Notes!$B$5,"",IF(COUNTIFS(Release_Calendar!$A$2:$A$755,"NZ_CPI",Release_Calendar!$B$2:$B$755,$A5776)&gt;0,1,0))</f>
        <v>0</v>
      </c>
      <c r="N5776" s="16">
        <f>IF($A5776&lt;Notes!$B$5,"",IF(COUNTIFS(Release_Calendar!$A$2:$A$755,"NZ_GDP",Release_Calendar!$B$2:$B$755,$A5776)&gt;0,1,0))</f>
        <v>0</v>
      </c>
      <c r="O5776" s="16">
        <f>IF($A5776&lt;Notes!$B$5,"",IF(COUNTIFS(Release_Calendar!$A$2:$A$755,"NZ_LABOUR",Release_Calendar!$B$2:$B$755,$A5776)&gt;0,1,0))</f>
        <v>0</v>
      </c>
      <c r="P5776" s="16">
        <f t="shared" si="4"/>
        <v>0</v>
      </c>
    </row>
    <row r="5777" ht="15.75" customHeight="1">
      <c r="A5777" s="14">
        <v>44613.0</v>
      </c>
      <c r="B5777" s="15"/>
      <c r="C5777" s="15">
        <v>2.54</v>
      </c>
      <c r="D5777" s="15"/>
      <c r="E5777" s="15">
        <v>2.25</v>
      </c>
      <c r="F5777" s="15" t="str">
        <f t="shared" si="1"/>
        <v/>
      </c>
      <c r="G5777" s="15">
        <f t="shared" si="2"/>
        <v>2.54</v>
      </c>
      <c r="H5777" s="16">
        <v>0.0</v>
      </c>
      <c r="I5777" s="15" t="str">
        <f t="shared" si="3"/>
        <v/>
      </c>
      <c r="J5777" s="15"/>
      <c r="K5777" s="16">
        <f>IF(COUNTIFS(Release_Calendar!$A$2:$A$755,"US_CPI",Release_Calendar!$B$2:$B$755,$A5777)&gt;0,1,0)</f>
        <v>0</v>
      </c>
      <c r="L5777" s="16">
        <f>IF(COUNTIFS(Release_Calendar!$A$2:$A$755,"US_NFP",Release_Calendar!$B$2:$B$755,$A5777)&gt;0,1,0)</f>
        <v>0</v>
      </c>
      <c r="M5777" s="16">
        <f>IF($A5777&lt;Notes!$B$5,"",IF(COUNTIFS(Release_Calendar!$A$2:$A$755,"NZ_CPI",Release_Calendar!$B$2:$B$755,$A5777)&gt;0,1,0))</f>
        <v>0</v>
      </c>
      <c r="N5777" s="16">
        <f>IF($A5777&lt;Notes!$B$5,"",IF(COUNTIFS(Release_Calendar!$A$2:$A$755,"NZ_GDP",Release_Calendar!$B$2:$B$755,$A5777)&gt;0,1,0))</f>
        <v>0</v>
      </c>
      <c r="O5777" s="16">
        <f>IF($A5777&lt;Notes!$B$5,"",IF(COUNTIFS(Release_Calendar!$A$2:$A$755,"NZ_LABOUR",Release_Calendar!$B$2:$B$755,$A5777)&gt;0,1,0))</f>
        <v>0</v>
      </c>
      <c r="P5777" s="16">
        <f t="shared" si="4"/>
        <v>0</v>
      </c>
    </row>
    <row r="5778" ht="15.75" customHeight="1">
      <c r="A5778" s="14">
        <v>44614.0</v>
      </c>
      <c r="B5778" s="15">
        <v>1.56</v>
      </c>
      <c r="C5778" s="15">
        <v>2.56</v>
      </c>
      <c r="D5778" s="15"/>
      <c r="E5778" s="15">
        <v>2.23</v>
      </c>
      <c r="F5778" s="15">
        <f t="shared" si="1"/>
        <v>1</v>
      </c>
      <c r="G5778" s="15">
        <f t="shared" si="2"/>
        <v>2.56</v>
      </c>
      <c r="H5778" s="16">
        <v>0.0</v>
      </c>
      <c r="I5778" s="15">
        <f t="shared" si="3"/>
        <v>1</v>
      </c>
      <c r="J5778" s="15">
        <v>28.81</v>
      </c>
      <c r="K5778" s="16">
        <f>IF(COUNTIFS(Release_Calendar!$A$2:$A$755,"US_CPI",Release_Calendar!$B$2:$B$755,$A5778)&gt;0,1,0)</f>
        <v>0</v>
      </c>
      <c r="L5778" s="16">
        <f>IF(COUNTIFS(Release_Calendar!$A$2:$A$755,"US_NFP",Release_Calendar!$B$2:$B$755,$A5778)&gt;0,1,0)</f>
        <v>0</v>
      </c>
      <c r="M5778" s="16">
        <f>IF($A5778&lt;Notes!$B$5,"",IF(COUNTIFS(Release_Calendar!$A$2:$A$755,"NZ_CPI",Release_Calendar!$B$2:$B$755,$A5778)&gt;0,1,0))</f>
        <v>0</v>
      </c>
      <c r="N5778" s="16">
        <f>IF($A5778&lt;Notes!$B$5,"",IF(COUNTIFS(Release_Calendar!$A$2:$A$755,"NZ_GDP",Release_Calendar!$B$2:$B$755,$A5778)&gt;0,1,0))</f>
        <v>0</v>
      </c>
      <c r="O5778" s="16">
        <f>IF($A5778&lt;Notes!$B$5,"",IF(COUNTIFS(Release_Calendar!$A$2:$A$755,"NZ_LABOUR",Release_Calendar!$B$2:$B$755,$A5778)&gt;0,1,0))</f>
        <v>0</v>
      </c>
      <c r="P5778" s="16">
        <f t="shared" si="4"/>
        <v>0</v>
      </c>
    </row>
    <row r="5779" ht="15.75" customHeight="1">
      <c r="A5779" s="14">
        <v>44615.0</v>
      </c>
      <c r="B5779" s="15">
        <v>1.58</v>
      </c>
      <c r="C5779" s="15">
        <v>2.7</v>
      </c>
      <c r="D5779" s="15"/>
      <c r="E5779" s="15">
        <v>2.36</v>
      </c>
      <c r="F5779" s="15">
        <f t="shared" si="1"/>
        <v>1.12</v>
      </c>
      <c r="G5779" s="15">
        <f t="shared" si="2"/>
        <v>2.7</v>
      </c>
      <c r="H5779" s="16">
        <v>0.0</v>
      </c>
      <c r="I5779" s="15">
        <f t="shared" si="3"/>
        <v>1.12</v>
      </c>
      <c r="J5779" s="15">
        <v>31.02</v>
      </c>
      <c r="K5779" s="16">
        <f>IF(COUNTIFS(Release_Calendar!$A$2:$A$755,"US_CPI",Release_Calendar!$B$2:$B$755,$A5779)&gt;0,1,0)</f>
        <v>0</v>
      </c>
      <c r="L5779" s="16">
        <f>IF(COUNTIFS(Release_Calendar!$A$2:$A$755,"US_NFP",Release_Calendar!$B$2:$B$755,$A5779)&gt;0,1,0)</f>
        <v>0</v>
      </c>
      <c r="M5779" s="16">
        <f>IF($A5779&lt;Notes!$B$5,"",IF(COUNTIFS(Release_Calendar!$A$2:$A$755,"NZ_CPI",Release_Calendar!$B$2:$B$755,$A5779)&gt;0,1,0))</f>
        <v>0</v>
      </c>
      <c r="N5779" s="16">
        <f>IF($A5779&lt;Notes!$B$5,"",IF(COUNTIFS(Release_Calendar!$A$2:$A$755,"NZ_GDP",Release_Calendar!$B$2:$B$755,$A5779)&gt;0,1,0))</f>
        <v>0</v>
      </c>
      <c r="O5779" s="16">
        <f>IF($A5779&lt;Notes!$B$5,"",IF(COUNTIFS(Release_Calendar!$A$2:$A$755,"NZ_LABOUR",Release_Calendar!$B$2:$B$755,$A5779)&gt;0,1,0))</f>
        <v>0</v>
      </c>
      <c r="P5779" s="16">
        <f t="shared" si="4"/>
        <v>0</v>
      </c>
    </row>
    <row r="5780" ht="15.75" customHeight="1">
      <c r="A5780" s="14">
        <v>44616.0</v>
      </c>
      <c r="B5780" s="15">
        <v>1.54</v>
      </c>
      <c r="C5780" s="15">
        <v>2.73</v>
      </c>
      <c r="D5780" s="15"/>
      <c r="E5780" s="15">
        <v>2.36</v>
      </c>
      <c r="F5780" s="15">
        <f t="shared" si="1"/>
        <v>1.19</v>
      </c>
      <c r="G5780" s="15">
        <f t="shared" si="2"/>
        <v>2.73</v>
      </c>
      <c r="H5780" s="16">
        <v>0.0</v>
      </c>
      <c r="I5780" s="15">
        <f t="shared" si="3"/>
        <v>1.19</v>
      </c>
      <c r="J5780" s="15">
        <v>30.32</v>
      </c>
      <c r="K5780" s="16">
        <f>IF(COUNTIFS(Release_Calendar!$A$2:$A$755,"US_CPI",Release_Calendar!$B$2:$B$755,$A5780)&gt;0,1,0)</f>
        <v>0</v>
      </c>
      <c r="L5780" s="16">
        <f>IF(COUNTIFS(Release_Calendar!$A$2:$A$755,"US_NFP",Release_Calendar!$B$2:$B$755,$A5780)&gt;0,1,0)</f>
        <v>0</v>
      </c>
      <c r="M5780" s="16">
        <f>IF($A5780&lt;Notes!$B$5,"",IF(COUNTIFS(Release_Calendar!$A$2:$A$755,"NZ_CPI",Release_Calendar!$B$2:$B$755,$A5780)&gt;0,1,0))</f>
        <v>0</v>
      </c>
      <c r="N5780" s="16">
        <f>IF($A5780&lt;Notes!$B$5,"",IF(COUNTIFS(Release_Calendar!$A$2:$A$755,"NZ_GDP",Release_Calendar!$B$2:$B$755,$A5780)&gt;0,1,0))</f>
        <v>0</v>
      </c>
      <c r="O5780" s="16">
        <f>IF($A5780&lt;Notes!$B$5,"",IF(COUNTIFS(Release_Calendar!$A$2:$A$755,"NZ_LABOUR",Release_Calendar!$B$2:$B$755,$A5780)&gt;0,1,0))</f>
        <v>0</v>
      </c>
      <c r="P5780" s="16">
        <f t="shared" si="4"/>
        <v>0</v>
      </c>
    </row>
    <row r="5781" ht="15.75" customHeight="1">
      <c r="A5781" s="14">
        <v>44617.0</v>
      </c>
      <c r="B5781" s="15">
        <v>1.55</v>
      </c>
      <c r="C5781" s="15">
        <v>2.79</v>
      </c>
      <c r="D5781" s="15"/>
      <c r="E5781" s="15">
        <v>2.4</v>
      </c>
      <c r="F5781" s="15">
        <f t="shared" si="1"/>
        <v>1.24</v>
      </c>
      <c r="G5781" s="15">
        <f t="shared" si="2"/>
        <v>2.79</v>
      </c>
      <c r="H5781" s="16">
        <v>0.0</v>
      </c>
      <c r="I5781" s="15">
        <f t="shared" si="3"/>
        <v>1.24</v>
      </c>
      <c r="J5781" s="15">
        <v>27.59</v>
      </c>
      <c r="K5781" s="16">
        <f>IF(COUNTIFS(Release_Calendar!$A$2:$A$755,"US_CPI",Release_Calendar!$B$2:$B$755,$A5781)&gt;0,1,0)</f>
        <v>0</v>
      </c>
      <c r="L5781" s="16">
        <f>IF(COUNTIFS(Release_Calendar!$A$2:$A$755,"US_NFP",Release_Calendar!$B$2:$B$755,$A5781)&gt;0,1,0)</f>
        <v>0</v>
      </c>
      <c r="M5781" s="16">
        <f>IF($A5781&lt;Notes!$B$5,"",IF(COUNTIFS(Release_Calendar!$A$2:$A$755,"NZ_CPI",Release_Calendar!$B$2:$B$755,$A5781)&gt;0,1,0))</f>
        <v>0</v>
      </c>
      <c r="N5781" s="16">
        <f>IF($A5781&lt;Notes!$B$5,"",IF(COUNTIFS(Release_Calendar!$A$2:$A$755,"NZ_GDP",Release_Calendar!$B$2:$B$755,$A5781)&gt;0,1,0))</f>
        <v>0</v>
      </c>
      <c r="O5781" s="16">
        <f>IF($A5781&lt;Notes!$B$5,"",IF(COUNTIFS(Release_Calendar!$A$2:$A$755,"NZ_LABOUR",Release_Calendar!$B$2:$B$755,$A5781)&gt;0,1,0))</f>
        <v>0</v>
      </c>
      <c r="P5781" s="16">
        <f t="shared" si="4"/>
        <v>0</v>
      </c>
    </row>
    <row r="5782" ht="15.75" customHeight="1">
      <c r="A5782" s="14">
        <v>44620.0</v>
      </c>
      <c r="B5782" s="15">
        <v>1.44</v>
      </c>
      <c r="C5782" s="15">
        <v>2.75</v>
      </c>
      <c r="D5782" s="15"/>
      <c r="E5782" s="15">
        <v>2.37</v>
      </c>
      <c r="F5782" s="15">
        <f t="shared" si="1"/>
        <v>1.31</v>
      </c>
      <c r="G5782" s="15">
        <f t="shared" si="2"/>
        <v>2.75</v>
      </c>
      <c r="H5782" s="16">
        <v>0.0</v>
      </c>
      <c r="I5782" s="15">
        <f t="shared" si="3"/>
        <v>1.31</v>
      </c>
      <c r="J5782" s="15">
        <v>30.15</v>
      </c>
      <c r="K5782" s="16">
        <f>IF(COUNTIFS(Release_Calendar!$A$2:$A$755,"US_CPI",Release_Calendar!$B$2:$B$755,$A5782)&gt;0,1,0)</f>
        <v>0</v>
      </c>
      <c r="L5782" s="16">
        <f>IF(COUNTIFS(Release_Calendar!$A$2:$A$755,"US_NFP",Release_Calendar!$B$2:$B$755,$A5782)&gt;0,1,0)</f>
        <v>0</v>
      </c>
      <c r="M5782" s="16">
        <f>IF($A5782&lt;Notes!$B$5,"",IF(COUNTIFS(Release_Calendar!$A$2:$A$755,"NZ_CPI",Release_Calendar!$B$2:$B$755,$A5782)&gt;0,1,0))</f>
        <v>0</v>
      </c>
      <c r="N5782" s="16">
        <f>IF($A5782&lt;Notes!$B$5,"",IF(COUNTIFS(Release_Calendar!$A$2:$A$755,"NZ_GDP",Release_Calendar!$B$2:$B$755,$A5782)&gt;0,1,0))</f>
        <v>0</v>
      </c>
      <c r="O5782" s="16">
        <f>IF($A5782&lt;Notes!$B$5,"",IF(COUNTIFS(Release_Calendar!$A$2:$A$755,"NZ_LABOUR",Release_Calendar!$B$2:$B$755,$A5782)&gt;0,1,0))</f>
        <v>0</v>
      </c>
      <c r="P5782" s="16">
        <f t="shared" si="4"/>
        <v>0</v>
      </c>
    </row>
    <row r="5783" ht="15.75" customHeight="1">
      <c r="A5783" s="14">
        <v>44621.0</v>
      </c>
      <c r="B5783" s="15">
        <v>1.31</v>
      </c>
      <c r="C5783" s="15">
        <v>2.75</v>
      </c>
      <c r="D5783" s="15"/>
      <c r="E5783" s="15">
        <v>2.37</v>
      </c>
      <c r="F5783" s="15">
        <f t="shared" si="1"/>
        <v>1.44</v>
      </c>
      <c r="G5783" s="15">
        <f t="shared" si="2"/>
        <v>2.75</v>
      </c>
      <c r="H5783" s="16">
        <v>0.0</v>
      </c>
      <c r="I5783" s="15">
        <f t="shared" si="3"/>
        <v>1.44</v>
      </c>
      <c r="J5783" s="15">
        <v>33.32</v>
      </c>
      <c r="K5783" s="16">
        <f>IF(COUNTIFS(Release_Calendar!$A$2:$A$755,"US_CPI",Release_Calendar!$B$2:$B$755,$A5783)&gt;0,1,0)</f>
        <v>0</v>
      </c>
      <c r="L5783" s="16">
        <f>IF(COUNTIFS(Release_Calendar!$A$2:$A$755,"US_NFP",Release_Calendar!$B$2:$B$755,$A5783)&gt;0,1,0)</f>
        <v>0</v>
      </c>
      <c r="M5783" s="16">
        <f>IF($A5783&lt;Notes!$B$5,"",IF(COUNTIFS(Release_Calendar!$A$2:$A$755,"NZ_CPI",Release_Calendar!$B$2:$B$755,$A5783)&gt;0,1,0))</f>
        <v>0</v>
      </c>
      <c r="N5783" s="16">
        <f>IF($A5783&lt;Notes!$B$5,"",IF(COUNTIFS(Release_Calendar!$A$2:$A$755,"NZ_GDP",Release_Calendar!$B$2:$B$755,$A5783)&gt;0,1,0))</f>
        <v>0</v>
      </c>
      <c r="O5783" s="16">
        <f>IF($A5783&lt;Notes!$B$5,"",IF(COUNTIFS(Release_Calendar!$A$2:$A$755,"NZ_LABOUR",Release_Calendar!$B$2:$B$755,$A5783)&gt;0,1,0))</f>
        <v>0</v>
      </c>
      <c r="P5783" s="16">
        <f t="shared" si="4"/>
        <v>0</v>
      </c>
    </row>
    <row r="5784" ht="15.75" customHeight="1">
      <c r="A5784" s="14">
        <v>44622.0</v>
      </c>
      <c r="B5784" s="15">
        <v>1.5</v>
      </c>
      <c r="C5784" s="15">
        <v>2.72</v>
      </c>
      <c r="D5784" s="15"/>
      <c r="E5784" s="15">
        <v>2.34</v>
      </c>
      <c r="F5784" s="15">
        <f t="shared" si="1"/>
        <v>1.22</v>
      </c>
      <c r="G5784" s="15">
        <f t="shared" si="2"/>
        <v>2.72</v>
      </c>
      <c r="H5784" s="16">
        <v>0.0</v>
      </c>
      <c r="I5784" s="15">
        <f t="shared" si="3"/>
        <v>1.22</v>
      </c>
      <c r="J5784" s="15">
        <v>30.74</v>
      </c>
      <c r="K5784" s="16">
        <f>IF(COUNTIFS(Release_Calendar!$A$2:$A$755,"US_CPI",Release_Calendar!$B$2:$B$755,$A5784)&gt;0,1,0)</f>
        <v>0</v>
      </c>
      <c r="L5784" s="16">
        <f>IF(COUNTIFS(Release_Calendar!$A$2:$A$755,"US_NFP",Release_Calendar!$B$2:$B$755,$A5784)&gt;0,1,0)</f>
        <v>0</v>
      </c>
      <c r="M5784" s="16">
        <f>IF($A5784&lt;Notes!$B$5,"",IF(COUNTIFS(Release_Calendar!$A$2:$A$755,"NZ_CPI",Release_Calendar!$B$2:$B$755,$A5784)&gt;0,1,0))</f>
        <v>0</v>
      </c>
      <c r="N5784" s="16">
        <f>IF($A5784&lt;Notes!$B$5,"",IF(COUNTIFS(Release_Calendar!$A$2:$A$755,"NZ_GDP",Release_Calendar!$B$2:$B$755,$A5784)&gt;0,1,0))</f>
        <v>0</v>
      </c>
      <c r="O5784" s="16">
        <f>IF($A5784&lt;Notes!$B$5,"",IF(COUNTIFS(Release_Calendar!$A$2:$A$755,"NZ_LABOUR",Release_Calendar!$B$2:$B$755,$A5784)&gt;0,1,0))</f>
        <v>0</v>
      </c>
      <c r="P5784" s="16">
        <f t="shared" si="4"/>
        <v>0</v>
      </c>
    </row>
    <row r="5785" ht="15.75" customHeight="1">
      <c r="A5785" s="14">
        <v>44623.0</v>
      </c>
      <c r="B5785" s="15">
        <v>1.53</v>
      </c>
      <c r="C5785" s="15">
        <v>2.77</v>
      </c>
      <c r="D5785" s="15"/>
      <c r="E5785" s="15">
        <v>2.37</v>
      </c>
      <c r="F5785" s="15">
        <f t="shared" si="1"/>
        <v>1.24</v>
      </c>
      <c r="G5785" s="15">
        <f t="shared" si="2"/>
        <v>2.77</v>
      </c>
      <c r="H5785" s="16">
        <v>0.0</v>
      </c>
      <c r="I5785" s="15">
        <f t="shared" si="3"/>
        <v>1.24</v>
      </c>
      <c r="J5785" s="15">
        <v>30.48</v>
      </c>
      <c r="K5785" s="16">
        <f>IF(COUNTIFS(Release_Calendar!$A$2:$A$755,"US_CPI",Release_Calendar!$B$2:$B$755,$A5785)&gt;0,1,0)</f>
        <v>0</v>
      </c>
      <c r="L5785" s="16">
        <f>IF(COUNTIFS(Release_Calendar!$A$2:$A$755,"US_NFP",Release_Calendar!$B$2:$B$755,$A5785)&gt;0,1,0)</f>
        <v>0</v>
      </c>
      <c r="M5785" s="16">
        <f>IF($A5785&lt;Notes!$B$5,"",IF(COUNTIFS(Release_Calendar!$A$2:$A$755,"NZ_CPI",Release_Calendar!$B$2:$B$755,$A5785)&gt;0,1,0))</f>
        <v>0</v>
      </c>
      <c r="N5785" s="16">
        <f>IF($A5785&lt;Notes!$B$5,"",IF(COUNTIFS(Release_Calendar!$A$2:$A$755,"NZ_GDP",Release_Calendar!$B$2:$B$755,$A5785)&gt;0,1,0))</f>
        <v>0</v>
      </c>
      <c r="O5785" s="16">
        <f>IF($A5785&lt;Notes!$B$5,"",IF(COUNTIFS(Release_Calendar!$A$2:$A$755,"NZ_LABOUR",Release_Calendar!$B$2:$B$755,$A5785)&gt;0,1,0))</f>
        <v>0</v>
      </c>
      <c r="P5785" s="16">
        <f t="shared" si="4"/>
        <v>0</v>
      </c>
    </row>
    <row r="5786" ht="15.75" customHeight="1">
      <c r="A5786" s="14">
        <v>44624.0</v>
      </c>
      <c r="B5786" s="15">
        <v>1.5</v>
      </c>
      <c r="C5786" s="15">
        <v>2.81</v>
      </c>
      <c r="D5786" s="15"/>
      <c r="E5786" s="15">
        <v>2.37</v>
      </c>
      <c r="F5786" s="15">
        <f t="shared" si="1"/>
        <v>1.31</v>
      </c>
      <c r="G5786" s="15">
        <f t="shared" si="2"/>
        <v>2.81</v>
      </c>
      <c r="H5786" s="16">
        <v>0.0</v>
      </c>
      <c r="I5786" s="15">
        <f t="shared" si="3"/>
        <v>1.31</v>
      </c>
      <c r="J5786" s="15">
        <v>31.98</v>
      </c>
      <c r="K5786" s="16">
        <f>IF(COUNTIFS(Release_Calendar!$A$2:$A$755,"US_CPI",Release_Calendar!$B$2:$B$755,$A5786)&gt;0,1,0)</f>
        <v>0</v>
      </c>
      <c r="L5786" s="16">
        <f>IF(COUNTIFS(Release_Calendar!$A$2:$A$755,"US_NFP",Release_Calendar!$B$2:$B$755,$A5786)&gt;0,1,0)</f>
        <v>1</v>
      </c>
      <c r="M5786" s="16">
        <f>IF($A5786&lt;Notes!$B$5,"",IF(COUNTIFS(Release_Calendar!$A$2:$A$755,"NZ_CPI",Release_Calendar!$B$2:$B$755,$A5786)&gt;0,1,0))</f>
        <v>0</v>
      </c>
      <c r="N5786" s="16">
        <f>IF($A5786&lt;Notes!$B$5,"",IF(COUNTIFS(Release_Calendar!$A$2:$A$755,"NZ_GDP",Release_Calendar!$B$2:$B$755,$A5786)&gt;0,1,0))</f>
        <v>0</v>
      </c>
      <c r="O5786" s="16">
        <f>IF($A5786&lt;Notes!$B$5,"",IF(COUNTIFS(Release_Calendar!$A$2:$A$755,"NZ_LABOUR",Release_Calendar!$B$2:$B$755,$A5786)&gt;0,1,0))</f>
        <v>0</v>
      </c>
      <c r="P5786" s="16">
        <f t="shared" si="4"/>
        <v>1</v>
      </c>
    </row>
    <row r="5787" ht="15.75" customHeight="1">
      <c r="A5787" s="14">
        <v>44627.0</v>
      </c>
      <c r="B5787" s="15">
        <v>1.55</v>
      </c>
      <c r="C5787" s="15">
        <v>2.78</v>
      </c>
      <c r="D5787" s="15"/>
      <c r="E5787" s="15">
        <v>2.34</v>
      </c>
      <c r="F5787" s="15">
        <f t="shared" si="1"/>
        <v>1.23</v>
      </c>
      <c r="G5787" s="15">
        <f t="shared" si="2"/>
        <v>2.78</v>
      </c>
      <c r="H5787" s="16">
        <v>0.0</v>
      </c>
      <c r="I5787" s="15">
        <f t="shared" si="3"/>
        <v>1.23</v>
      </c>
      <c r="J5787" s="15">
        <v>36.45</v>
      </c>
      <c r="K5787" s="16">
        <f>IF(COUNTIFS(Release_Calendar!$A$2:$A$755,"US_CPI",Release_Calendar!$B$2:$B$755,$A5787)&gt;0,1,0)</f>
        <v>0</v>
      </c>
      <c r="L5787" s="16">
        <f>IF(COUNTIFS(Release_Calendar!$A$2:$A$755,"US_NFP",Release_Calendar!$B$2:$B$755,$A5787)&gt;0,1,0)</f>
        <v>0</v>
      </c>
      <c r="M5787" s="16">
        <f>IF($A5787&lt;Notes!$B$5,"",IF(COUNTIFS(Release_Calendar!$A$2:$A$755,"NZ_CPI",Release_Calendar!$B$2:$B$755,$A5787)&gt;0,1,0))</f>
        <v>0</v>
      </c>
      <c r="N5787" s="16">
        <f>IF($A5787&lt;Notes!$B$5,"",IF(COUNTIFS(Release_Calendar!$A$2:$A$755,"NZ_GDP",Release_Calendar!$B$2:$B$755,$A5787)&gt;0,1,0))</f>
        <v>0</v>
      </c>
      <c r="O5787" s="16">
        <f>IF($A5787&lt;Notes!$B$5,"",IF(COUNTIFS(Release_Calendar!$A$2:$A$755,"NZ_LABOUR",Release_Calendar!$B$2:$B$755,$A5787)&gt;0,1,0))</f>
        <v>0</v>
      </c>
      <c r="P5787" s="16">
        <f t="shared" si="4"/>
        <v>0</v>
      </c>
    </row>
    <row r="5788" ht="15.75" customHeight="1">
      <c r="A5788" s="14">
        <v>44628.0</v>
      </c>
      <c r="B5788" s="15">
        <v>1.63</v>
      </c>
      <c r="C5788" s="15">
        <v>2.9</v>
      </c>
      <c r="D5788" s="15"/>
      <c r="E5788" s="15">
        <v>2.46</v>
      </c>
      <c r="F5788" s="15">
        <f t="shared" si="1"/>
        <v>1.27</v>
      </c>
      <c r="G5788" s="15">
        <f t="shared" si="2"/>
        <v>2.9</v>
      </c>
      <c r="H5788" s="16">
        <v>0.0</v>
      </c>
      <c r="I5788" s="15">
        <f t="shared" si="3"/>
        <v>1.27</v>
      </c>
      <c r="J5788" s="15">
        <v>35.13</v>
      </c>
      <c r="K5788" s="16">
        <f>IF(COUNTIFS(Release_Calendar!$A$2:$A$755,"US_CPI",Release_Calendar!$B$2:$B$755,$A5788)&gt;0,1,0)</f>
        <v>0</v>
      </c>
      <c r="L5788" s="16">
        <f>IF(COUNTIFS(Release_Calendar!$A$2:$A$755,"US_NFP",Release_Calendar!$B$2:$B$755,$A5788)&gt;0,1,0)</f>
        <v>0</v>
      </c>
      <c r="M5788" s="16">
        <f>IF($A5788&lt;Notes!$B$5,"",IF(COUNTIFS(Release_Calendar!$A$2:$A$755,"NZ_CPI",Release_Calendar!$B$2:$B$755,$A5788)&gt;0,1,0))</f>
        <v>0</v>
      </c>
      <c r="N5788" s="16">
        <f>IF($A5788&lt;Notes!$B$5,"",IF(COUNTIFS(Release_Calendar!$A$2:$A$755,"NZ_GDP",Release_Calendar!$B$2:$B$755,$A5788)&gt;0,1,0))</f>
        <v>0</v>
      </c>
      <c r="O5788" s="16">
        <f>IF($A5788&lt;Notes!$B$5,"",IF(COUNTIFS(Release_Calendar!$A$2:$A$755,"NZ_LABOUR",Release_Calendar!$B$2:$B$755,$A5788)&gt;0,1,0))</f>
        <v>0</v>
      </c>
      <c r="P5788" s="16">
        <f t="shared" si="4"/>
        <v>0</v>
      </c>
    </row>
    <row r="5789" ht="15.75" customHeight="1">
      <c r="A5789" s="14">
        <v>44629.0</v>
      </c>
      <c r="B5789" s="15">
        <v>1.68</v>
      </c>
      <c r="C5789" s="15">
        <v>2.94</v>
      </c>
      <c r="D5789" s="15"/>
      <c r="E5789" s="15">
        <v>2.52</v>
      </c>
      <c r="F5789" s="15">
        <f t="shared" si="1"/>
        <v>1.26</v>
      </c>
      <c r="G5789" s="15">
        <f t="shared" si="2"/>
        <v>2.94</v>
      </c>
      <c r="H5789" s="16">
        <v>0.0</v>
      </c>
      <c r="I5789" s="15">
        <f t="shared" si="3"/>
        <v>1.26</v>
      </c>
      <c r="J5789" s="15">
        <v>32.45</v>
      </c>
      <c r="K5789" s="16">
        <f>IF(COUNTIFS(Release_Calendar!$A$2:$A$755,"US_CPI",Release_Calendar!$B$2:$B$755,$A5789)&gt;0,1,0)</f>
        <v>0</v>
      </c>
      <c r="L5789" s="16">
        <f>IF(COUNTIFS(Release_Calendar!$A$2:$A$755,"US_NFP",Release_Calendar!$B$2:$B$755,$A5789)&gt;0,1,0)</f>
        <v>0</v>
      </c>
      <c r="M5789" s="16">
        <f>IF($A5789&lt;Notes!$B$5,"",IF(COUNTIFS(Release_Calendar!$A$2:$A$755,"NZ_CPI",Release_Calendar!$B$2:$B$755,$A5789)&gt;0,1,0))</f>
        <v>0</v>
      </c>
      <c r="N5789" s="16">
        <f>IF($A5789&lt;Notes!$B$5,"",IF(COUNTIFS(Release_Calendar!$A$2:$A$755,"NZ_GDP",Release_Calendar!$B$2:$B$755,$A5789)&gt;0,1,0))</f>
        <v>0</v>
      </c>
      <c r="O5789" s="16">
        <f>IF($A5789&lt;Notes!$B$5,"",IF(COUNTIFS(Release_Calendar!$A$2:$A$755,"NZ_LABOUR",Release_Calendar!$B$2:$B$755,$A5789)&gt;0,1,0))</f>
        <v>0</v>
      </c>
      <c r="P5789" s="16">
        <f t="shared" si="4"/>
        <v>0</v>
      </c>
    </row>
    <row r="5790" ht="15.75" customHeight="1">
      <c r="A5790" s="14">
        <v>44630.0</v>
      </c>
      <c r="B5790" s="15">
        <v>1.72</v>
      </c>
      <c r="C5790" s="15">
        <v>2.96</v>
      </c>
      <c r="D5790" s="15"/>
      <c r="E5790" s="15">
        <v>2.56</v>
      </c>
      <c r="F5790" s="15">
        <f t="shared" si="1"/>
        <v>1.24</v>
      </c>
      <c r="G5790" s="15">
        <f t="shared" si="2"/>
        <v>2.96</v>
      </c>
      <c r="H5790" s="16">
        <v>0.0</v>
      </c>
      <c r="I5790" s="15">
        <f t="shared" si="3"/>
        <v>1.24</v>
      </c>
      <c r="J5790" s="15">
        <v>30.23</v>
      </c>
      <c r="K5790" s="16">
        <f>IF(COUNTIFS(Release_Calendar!$A$2:$A$755,"US_CPI",Release_Calendar!$B$2:$B$755,$A5790)&gt;0,1,0)</f>
        <v>1</v>
      </c>
      <c r="L5790" s="16">
        <f>IF(COUNTIFS(Release_Calendar!$A$2:$A$755,"US_NFP",Release_Calendar!$B$2:$B$755,$A5790)&gt;0,1,0)</f>
        <v>0</v>
      </c>
      <c r="M5790" s="16">
        <f>IF($A5790&lt;Notes!$B$5,"",IF(COUNTIFS(Release_Calendar!$A$2:$A$755,"NZ_CPI",Release_Calendar!$B$2:$B$755,$A5790)&gt;0,1,0))</f>
        <v>0</v>
      </c>
      <c r="N5790" s="16">
        <f>IF($A5790&lt;Notes!$B$5,"",IF(COUNTIFS(Release_Calendar!$A$2:$A$755,"NZ_GDP",Release_Calendar!$B$2:$B$755,$A5790)&gt;0,1,0))</f>
        <v>0</v>
      </c>
      <c r="O5790" s="16">
        <f>IF($A5790&lt;Notes!$B$5,"",IF(COUNTIFS(Release_Calendar!$A$2:$A$755,"NZ_LABOUR",Release_Calendar!$B$2:$B$755,$A5790)&gt;0,1,0))</f>
        <v>0</v>
      </c>
      <c r="P5790" s="16">
        <f t="shared" si="4"/>
        <v>1</v>
      </c>
    </row>
    <row r="5791" ht="15.75" customHeight="1">
      <c r="A5791" s="14">
        <v>44631.0</v>
      </c>
      <c r="B5791" s="15">
        <v>1.75</v>
      </c>
      <c r="C5791" s="15">
        <v>2.98</v>
      </c>
      <c r="D5791" s="15"/>
      <c r="E5791" s="15">
        <v>2.59</v>
      </c>
      <c r="F5791" s="15">
        <f t="shared" si="1"/>
        <v>1.23</v>
      </c>
      <c r="G5791" s="15">
        <f t="shared" si="2"/>
        <v>2.98</v>
      </c>
      <c r="H5791" s="16">
        <v>0.0</v>
      </c>
      <c r="I5791" s="15">
        <f t="shared" si="3"/>
        <v>1.23</v>
      </c>
      <c r="J5791" s="15">
        <v>30.75</v>
      </c>
      <c r="K5791" s="16">
        <f>IF(COUNTIFS(Release_Calendar!$A$2:$A$755,"US_CPI",Release_Calendar!$B$2:$B$755,$A5791)&gt;0,1,0)</f>
        <v>0</v>
      </c>
      <c r="L5791" s="16">
        <f>IF(COUNTIFS(Release_Calendar!$A$2:$A$755,"US_NFP",Release_Calendar!$B$2:$B$755,$A5791)&gt;0,1,0)</f>
        <v>0</v>
      </c>
      <c r="M5791" s="16">
        <f>IF($A5791&lt;Notes!$B$5,"",IF(COUNTIFS(Release_Calendar!$A$2:$A$755,"NZ_CPI",Release_Calendar!$B$2:$B$755,$A5791)&gt;0,1,0))</f>
        <v>0</v>
      </c>
      <c r="N5791" s="16">
        <f>IF($A5791&lt;Notes!$B$5,"",IF(COUNTIFS(Release_Calendar!$A$2:$A$755,"NZ_GDP",Release_Calendar!$B$2:$B$755,$A5791)&gt;0,1,0))</f>
        <v>0</v>
      </c>
      <c r="O5791" s="16">
        <f>IF($A5791&lt;Notes!$B$5,"",IF(COUNTIFS(Release_Calendar!$A$2:$A$755,"NZ_LABOUR",Release_Calendar!$B$2:$B$755,$A5791)&gt;0,1,0))</f>
        <v>0</v>
      </c>
      <c r="P5791" s="16">
        <f t="shared" si="4"/>
        <v>0</v>
      </c>
    </row>
    <row r="5792" ht="15.75" customHeight="1">
      <c r="A5792" s="14">
        <v>44634.0</v>
      </c>
      <c r="B5792" s="15">
        <v>1.87</v>
      </c>
      <c r="C5792" s="15">
        <v>3.0</v>
      </c>
      <c r="D5792" s="15"/>
      <c r="E5792" s="15">
        <v>2.63</v>
      </c>
      <c r="F5792" s="15">
        <f t="shared" si="1"/>
        <v>1.13</v>
      </c>
      <c r="G5792" s="15">
        <f t="shared" si="2"/>
        <v>3</v>
      </c>
      <c r="H5792" s="16">
        <v>0.0</v>
      </c>
      <c r="I5792" s="15">
        <f t="shared" si="3"/>
        <v>1.13</v>
      </c>
      <c r="J5792" s="15">
        <v>31.77</v>
      </c>
      <c r="K5792" s="16">
        <f>IF(COUNTIFS(Release_Calendar!$A$2:$A$755,"US_CPI",Release_Calendar!$B$2:$B$755,$A5792)&gt;0,1,0)</f>
        <v>0</v>
      </c>
      <c r="L5792" s="16">
        <f>IF(COUNTIFS(Release_Calendar!$A$2:$A$755,"US_NFP",Release_Calendar!$B$2:$B$755,$A5792)&gt;0,1,0)</f>
        <v>0</v>
      </c>
      <c r="M5792" s="16">
        <f>IF($A5792&lt;Notes!$B$5,"",IF(COUNTIFS(Release_Calendar!$A$2:$A$755,"NZ_CPI",Release_Calendar!$B$2:$B$755,$A5792)&gt;0,1,0))</f>
        <v>0</v>
      </c>
      <c r="N5792" s="16">
        <f>IF($A5792&lt;Notes!$B$5,"",IF(COUNTIFS(Release_Calendar!$A$2:$A$755,"NZ_GDP",Release_Calendar!$B$2:$B$755,$A5792)&gt;0,1,0))</f>
        <v>0</v>
      </c>
      <c r="O5792" s="16">
        <f>IF($A5792&lt;Notes!$B$5,"",IF(COUNTIFS(Release_Calendar!$A$2:$A$755,"NZ_LABOUR",Release_Calendar!$B$2:$B$755,$A5792)&gt;0,1,0))</f>
        <v>0</v>
      </c>
      <c r="P5792" s="16">
        <f t="shared" si="4"/>
        <v>0</v>
      </c>
    </row>
    <row r="5793" ht="15.75" customHeight="1">
      <c r="A5793" s="14">
        <v>44635.0</v>
      </c>
      <c r="B5793" s="15">
        <v>1.85</v>
      </c>
      <c r="C5793" s="15">
        <v>3.07</v>
      </c>
      <c r="D5793" s="15"/>
      <c r="E5793" s="15">
        <v>2.71</v>
      </c>
      <c r="F5793" s="15">
        <f t="shared" si="1"/>
        <v>1.22</v>
      </c>
      <c r="G5793" s="15">
        <f t="shared" si="2"/>
        <v>3.07</v>
      </c>
      <c r="H5793" s="16">
        <v>0.0</v>
      </c>
      <c r="I5793" s="15">
        <f t="shared" si="3"/>
        <v>1.22</v>
      </c>
      <c r="J5793" s="15">
        <v>29.83</v>
      </c>
      <c r="K5793" s="16">
        <f>IF(COUNTIFS(Release_Calendar!$A$2:$A$755,"US_CPI",Release_Calendar!$B$2:$B$755,$A5793)&gt;0,1,0)</f>
        <v>0</v>
      </c>
      <c r="L5793" s="16">
        <f>IF(COUNTIFS(Release_Calendar!$A$2:$A$755,"US_NFP",Release_Calendar!$B$2:$B$755,$A5793)&gt;0,1,0)</f>
        <v>0</v>
      </c>
      <c r="M5793" s="16">
        <f>IF($A5793&lt;Notes!$B$5,"",IF(COUNTIFS(Release_Calendar!$A$2:$A$755,"NZ_CPI",Release_Calendar!$B$2:$B$755,$A5793)&gt;0,1,0))</f>
        <v>0</v>
      </c>
      <c r="N5793" s="16">
        <f>IF($A5793&lt;Notes!$B$5,"",IF(COUNTIFS(Release_Calendar!$A$2:$A$755,"NZ_GDP",Release_Calendar!$B$2:$B$755,$A5793)&gt;0,1,0))</f>
        <v>0</v>
      </c>
      <c r="O5793" s="16">
        <f>IF($A5793&lt;Notes!$B$5,"",IF(COUNTIFS(Release_Calendar!$A$2:$A$755,"NZ_LABOUR",Release_Calendar!$B$2:$B$755,$A5793)&gt;0,1,0))</f>
        <v>0</v>
      </c>
      <c r="P5793" s="16">
        <f t="shared" si="4"/>
        <v>0</v>
      </c>
    </row>
    <row r="5794" ht="15.75" customHeight="1">
      <c r="A5794" s="14">
        <v>44636.0</v>
      </c>
      <c r="B5794" s="15">
        <v>1.95</v>
      </c>
      <c r="C5794" s="15">
        <v>3.04</v>
      </c>
      <c r="D5794" s="15"/>
      <c r="E5794" s="15">
        <v>2.71</v>
      </c>
      <c r="F5794" s="15">
        <f t="shared" si="1"/>
        <v>1.09</v>
      </c>
      <c r="G5794" s="15">
        <f t="shared" si="2"/>
        <v>3.04</v>
      </c>
      <c r="H5794" s="16">
        <v>0.0</v>
      </c>
      <c r="I5794" s="15">
        <f t="shared" si="3"/>
        <v>1.09</v>
      </c>
      <c r="J5794" s="15">
        <v>26.67</v>
      </c>
      <c r="K5794" s="16">
        <f>IF(COUNTIFS(Release_Calendar!$A$2:$A$755,"US_CPI",Release_Calendar!$B$2:$B$755,$A5794)&gt;0,1,0)</f>
        <v>0</v>
      </c>
      <c r="L5794" s="16">
        <f>IF(COUNTIFS(Release_Calendar!$A$2:$A$755,"US_NFP",Release_Calendar!$B$2:$B$755,$A5794)&gt;0,1,0)</f>
        <v>0</v>
      </c>
      <c r="M5794" s="16">
        <f>IF($A5794&lt;Notes!$B$5,"",IF(COUNTIFS(Release_Calendar!$A$2:$A$755,"NZ_CPI",Release_Calendar!$B$2:$B$755,$A5794)&gt;0,1,0))</f>
        <v>0</v>
      </c>
      <c r="N5794" s="16">
        <f>IF($A5794&lt;Notes!$B$5,"",IF(COUNTIFS(Release_Calendar!$A$2:$A$755,"NZ_GDP",Release_Calendar!$B$2:$B$755,$A5794)&gt;0,1,0))</f>
        <v>0</v>
      </c>
      <c r="O5794" s="16">
        <f>IF($A5794&lt;Notes!$B$5,"",IF(COUNTIFS(Release_Calendar!$A$2:$A$755,"NZ_LABOUR",Release_Calendar!$B$2:$B$755,$A5794)&gt;0,1,0))</f>
        <v>0</v>
      </c>
      <c r="P5794" s="16">
        <f t="shared" si="4"/>
        <v>0</v>
      </c>
    </row>
    <row r="5795" ht="15.75" customHeight="1">
      <c r="A5795" s="14">
        <v>44637.0</v>
      </c>
      <c r="B5795" s="15">
        <v>1.94</v>
      </c>
      <c r="C5795" s="15">
        <v>3.0</v>
      </c>
      <c r="D5795" s="15"/>
      <c r="E5795" s="15">
        <v>2.67</v>
      </c>
      <c r="F5795" s="15">
        <f t="shared" si="1"/>
        <v>1.06</v>
      </c>
      <c r="G5795" s="15">
        <f t="shared" si="2"/>
        <v>3</v>
      </c>
      <c r="H5795" s="16">
        <v>0.0</v>
      </c>
      <c r="I5795" s="15">
        <f t="shared" si="3"/>
        <v>1.06</v>
      </c>
      <c r="J5795" s="15">
        <v>25.67</v>
      </c>
      <c r="K5795" s="16">
        <f>IF(COUNTIFS(Release_Calendar!$A$2:$A$755,"US_CPI",Release_Calendar!$B$2:$B$755,$A5795)&gt;0,1,0)</f>
        <v>0</v>
      </c>
      <c r="L5795" s="16">
        <f>IF(COUNTIFS(Release_Calendar!$A$2:$A$755,"US_NFP",Release_Calendar!$B$2:$B$755,$A5795)&gt;0,1,0)</f>
        <v>0</v>
      </c>
      <c r="M5795" s="16">
        <f>IF($A5795&lt;Notes!$B$5,"",IF(COUNTIFS(Release_Calendar!$A$2:$A$755,"NZ_CPI",Release_Calendar!$B$2:$B$755,$A5795)&gt;0,1,0))</f>
        <v>0</v>
      </c>
      <c r="N5795" s="16">
        <f>IF($A5795&lt;Notes!$B$5,"",IF(COUNTIFS(Release_Calendar!$A$2:$A$755,"NZ_GDP",Release_Calendar!$B$2:$B$755,$A5795)&gt;0,1,0))</f>
        <v>1</v>
      </c>
      <c r="O5795" s="16">
        <f>IF($A5795&lt;Notes!$B$5,"",IF(COUNTIFS(Release_Calendar!$A$2:$A$755,"NZ_LABOUR",Release_Calendar!$B$2:$B$755,$A5795)&gt;0,1,0))</f>
        <v>0</v>
      </c>
      <c r="P5795" s="16">
        <f t="shared" si="4"/>
        <v>1</v>
      </c>
    </row>
    <row r="5796" ht="15.75" customHeight="1">
      <c r="A5796" s="14">
        <v>44638.0</v>
      </c>
      <c r="B5796" s="15">
        <v>1.97</v>
      </c>
      <c r="C5796" s="15">
        <v>3.0</v>
      </c>
      <c r="D5796" s="15"/>
      <c r="E5796" s="15">
        <v>2.67</v>
      </c>
      <c r="F5796" s="15">
        <f t="shared" si="1"/>
        <v>1.03</v>
      </c>
      <c r="G5796" s="15">
        <f t="shared" si="2"/>
        <v>3</v>
      </c>
      <c r="H5796" s="16">
        <v>0.0</v>
      </c>
      <c r="I5796" s="15">
        <f t="shared" si="3"/>
        <v>1.03</v>
      </c>
      <c r="J5796" s="15">
        <v>23.87</v>
      </c>
      <c r="K5796" s="16">
        <f>IF(COUNTIFS(Release_Calendar!$A$2:$A$755,"US_CPI",Release_Calendar!$B$2:$B$755,$A5796)&gt;0,1,0)</f>
        <v>0</v>
      </c>
      <c r="L5796" s="16">
        <f>IF(COUNTIFS(Release_Calendar!$A$2:$A$755,"US_NFP",Release_Calendar!$B$2:$B$755,$A5796)&gt;0,1,0)</f>
        <v>0</v>
      </c>
      <c r="M5796" s="16">
        <f>IF($A5796&lt;Notes!$B$5,"",IF(COUNTIFS(Release_Calendar!$A$2:$A$755,"NZ_CPI",Release_Calendar!$B$2:$B$755,$A5796)&gt;0,1,0))</f>
        <v>0</v>
      </c>
      <c r="N5796" s="16">
        <f>IF($A5796&lt;Notes!$B$5,"",IF(COUNTIFS(Release_Calendar!$A$2:$A$755,"NZ_GDP",Release_Calendar!$B$2:$B$755,$A5796)&gt;0,1,0))</f>
        <v>0</v>
      </c>
      <c r="O5796" s="16">
        <f>IF($A5796&lt;Notes!$B$5,"",IF(COUNTIFS(Release_Calendar!$A$2:$A$755,"NZ_LABOUR",Release_Calendar!$B$2:$B$755,$A5796)&gt;0,1,0))</f>
        <v>0</v>
      </c>
      <c r="P5796" s="16">
        <f t="shared" si="4"/>
        <v>0</v>
      </c>
    </row>
    <row r="5797" ht="15.75" customHeight="1">
      <c r="A5797" s="14">
        <v>44641.0</v>
      </c>
      <c r="B5797" s="15">
        <v>2.14</v>
      </c>
      <c r="C5797" s="15">
        <v>3.0</v>
      </c>
      <c r="D5797" s="15"/>
      <c r="E5797" s="15">
        <v>2.67</v>
      </c>
      <c r="F5797" s="15">
        <f t="shared" si="1"/>
        <v>0.86</v>
      </c>
      <c r="G5797" s="15">
        <f t="shared" si="2"/>
        <v>3</v>
      </c>
      <c r="H5797" s="16">
        <v>0.0</v>
      </c>
      <c r="I5797" s="15">
        <f t="shared" si="3"/>
        <v>0.86</v>
      </c>
      <c r="J5797" s="15">
        <v>23.53</v>
      </c>
      <c r="K5797" s="16">
        <f>IF(COUNTIFS(Release_Calendar!$A$2:$A$755,"US_CPI",Release_Calendar!$B$2:$B$755,$A5797)&gt;0,1,0)</f>
        <v>0</v>
      </c>
      <c r="L5797" s="16">
        <f>IF(COUNTIFS(Release_Calendar!$A$2:$A$755,"US_NFP",Release_Calendar!$B$2:$B$755,$A5797)&gt;0,1,0)</f>
        <v>0</v>
      </c>
      <c r="M5797" s="16">
        <f>IF($A5797&lt;Notes!$B$5,"",IF(COUNTIFS(Release_Calendar!$A$2:$A$755,"NZ_CPI",Release_Calendar!$B$2:$B$755,$A5797)&gt;0,1,0))</f>
        <v>0</v>
      </c>
      <c r="N5797" s="16">
        <f>IF($A5797&lt;Notes!$B$5,"",IF(COUNTIFS(Release_Calendar!$A$2:$A$755,"NZ_GDP",Release_Calendar!$B$2:$B$755,$A5797)&gt;0,1,0))</f>
        <v>0</v>
      </c>
      <c r="O5797" s="16">
        <f>IF($A5797&lt;Notes!$B$5,"",IF(COUNTIFS(Release_Calendar!$A$2:$A$755,"NZ_LABOUR",Release_Calendar!$B$2:$B$755,$A5797)&gt;0,1,0))</f>
        <v>0</v>
      </c>
      <c r="P5797" s="16">
        <f t="shared" si="4"/>
        <v>0</v>
      </c>
    </row>
    <row r="5798" ht="15.75" customHeight="1">
      <c r="A5798" s="14">
        <v>44642.0</v>
      </c>
      <c r="B5798" s="15">
        <v>2.18</v>
      </c>
      <c r="C5798" s="15">
        <v>3.13</v>
      </c>
      <c r="D5798" s="15"/>
      <c r="E5798" s="15">
        <v>2.81</v>
      </c>
      <c r="F5798" s="15">
        <f t="shared" si="1"/>
        <v>0.95</v>
      </c>
      <c r="G5798" s="15">
        <f t="shared" si="2"/>
        <v>3.13</v>
      </c>
      <c r="H5798" s="16">
        <v>0.0</v>
      </c>
      <c r="I5798" s="15">
        <f t="shared" si="3"/>
        <v>0.95</v>
      </c>
      <c r="J5798" s="15">
        <v>22.94</v>
      </c>
      <c r="K5798" s="16">
        <f>IF(COUNTIFS(Release_Calendar!$A$2:$A$755,"US_CPI",Release_Calendar!$B$2:$B$755,$A5798)&gt;0,1,0)</f>
        <v>0</v>
      </c>
      <c r="L5798" s="16">
        <f>IF(COUNTIFS(Release_Calendar!$A$2:$A$755,"US_NFP",Release_Calendar!$B$2:$B$755,$A5798)&gt;0,1,0)</f>
        <v>0</v>
      </c>
      <c r="M5798" s="16">
        <f>IF($A5798&lt;Notes!$B$5,"",IF(COUNTIFS(Release_Calendar!$A$2:$A$755,"NZ_CPI",Release_Calendar!$B$2:$B$755,$A5798)&gt;0,1,0))</f>
        <v>0</v>
      </c>
      <c r="N5798" s="16">
        <f>IF($A5798&lt;Notes!$B$5,"",IF(COUNTIFS(Release_Calendar!$A$2:$A$755,"NZ_GDP",Release_Calendar!$B$2:$B$755,$A5798)&gt;0,1,0))</f>
        <v>0</v>
      </c>
      <c r="O5798" s="16">
        <f>IF($A5798&lt;Notes!$B$5,"",IF(COUNTIFS(Release_Calendar!$A$2:$A$755,"NZ_LABOUR",Release_Calendar!$B$2:$B$755,$A5798)&gt;0,1,0))</f>
        <v>0</v>
      </c>
      <c r="P5798" s="16">
        <f t="shared" si="4"/>
        <v>0</v>
      </c>
    </row>
    <row r="5799" ht="15.75" customHeight="1">
      <c r="A5799" s="14">
        <v>44643.0</v>
      </c>
      <c r="B5799" s="15">
        <v>2.13</v>
      </c>
      <c r="C5799" s="15">
        <v>3.16</v>
      </c>
      <c r="D5799" s="15"/>
      <c r="E5799" s="15">
        <v>2.85</v>
      </c>
      <c r="F5799" s="15">
        <f t="shared" si="1"/>
        <v>1.03</v>
      </c>
      <c r="G5799" s="15">
        <f t="shared" si="2"/>
        <v>3.16</v>
      </c>
      <c r="H5799" s="16">
        <v>0.0</v>
      </c>
      <c r="I5799" s="15">
        <f t="shared" si="3"/>
        <v>1.03</v>
      </c>
      <c r="J5799" s="15">
        <v>23.57</v>
      </c>
      <c r="K5799" s="16">
        <f>IF(COUNTIFS(Release_Calendar!$A$2:$A$755,"US_CPI",Release_Calendar!$B$2:$B$755,$A5799)&gt;0,1,0)</f>
        <v>0</v>
      </c>
      <c r="L5799" s="16">
        <f>IF(COUNTIFS(Release_Calendar!$A$2:$A$755,"US_NFP",Release_Calendar!$B$2:$B$755,$A5799)&gt;0,1,0)</f>
        <v>0</v>
      </c>
      <c r="M5799" s="16">
        <f>IF($A5799&lt;Notes!$B$5,"",IF(COUNTIFS(Release_Calendar!$A$2:$A$755,"NZ_CPI",Release_Calendar!$B$2:$B$755,$A5799)&gt;0,1,0))</f>
        <v>0</v>
      </c>
      <c r="N5799" s="16">
        <f>IF($A5799&lt;Notes!$B$5,"",IF(COUNTIFS(Release_Calendar!$A$2:$A$755,"NZ_GDP",Release_Calendar!$B$2:$B$755,$A5799)&gt;0,1,0))</f>
        <v>0</v>
      </c>
      <c r="O5799" s="16">
        <f>IF($A5799&lt;Notes!$B$5,"",IF(COUNTIFS(Release_Calendar!$A$2:$A$755,"NZ_LABOUR",Release_Calendar!$B$2:$B$755,$A5799)&gt;0,1,0))</f>
        <v>0</v>
      </c>
      <c r="P5799" s="16">
        <f t="shared" si="4"/>
        <v>0</v>
      </c>
    </row>
    <row r="5800" ht="15.75" customHeight="1">
      <c r="A5800" s="14">
        <v>44644.0</v>
      </c>
      <c r="B5800" s="15">
        <v>2.13</v>
      </c>
      <c r="C5800" s="15">
        <v>3.15</v>
      </c>
      <c r="D5800" s="15"/>
      <c r="E5800" s="15">
        <v>2.81</v>
      </c>
      <c r="F5800" s="15">
        <f t="shared" si="1"/>
        <v>1.02</v>
      </c>
      <c r="G5800" s="15">
        <f t="shared" si="2"/>
        <v>3.15</v>
      </c>
      <c r="H5800" s="16">
        <v>0.0</v>
      </c>
      <c r="I5800" s="15">
        <f t="shared" si="3"/>
        <v>1.02</v>
      </c>
      <c r="J5800" s="15">
        <v>21.67</v>
      </c>
      <c r="K5800" s="16">
        <f>IF(COUNTIFS(Release_Calendar!$A$2:$A$755,"US_CPI",Release_Calendar!$B$2:$B$755,$A5800)&gt;0,1,0)</f>
        <v>0</v>
      </c>
      <c r="L5800" s="16">
        <f>IF(COUNTIFS(Release_Calendar!$A$2:$A$755,"US_NFP",Release_Calendar!$B$2:$B$755,$A5800)&gt;0,1,0)</f>
        <v>0</v>
      </c>
      <c r="M5800" s="16">
        <f>IF($A5800&lt;Notes!$B$5,"",IF(COUNTIFS(Release_Calendar!$A$2:$A$755,"NZ_CPI",Release_Calendar!$B$2:$B$755,$A5800)&gt;0,1,0))</f>
        <v>0</v>
      </c>
      <c r="N5800" s="16">
        <f>IF($A5800&lt;Notes!$B$5,"",IF(COUNTIFS(Release_Calendar!$A$2:$A$755,"NZ_GDP",Release_Calendar!$B$2:$B$755,$A5800)&gt;0,1,0))</f>
        <v>0</v>
      </c>
      <c r="O5800" s="16">
        <f>IF($A5800&lt;Notes!$B$5,"",IF(COUNTIFS(Release_Calendar!$A$2:$A$755,"NZ_LABOUR",Release_Calendar!$B$2:$B$755,$A5800)&gt;0,1,0))</f>
        <v>0</v>
      </c>
      <c r="P5800" s="16">
        <f t="shared" si="4"/>
        <v>0</v>
      </c>
    </row>
    <row r="5801" ht="15.75" customHeight="1">
      <c r="A5801" s="14">
        <v>44645.0</v>
      </c>
      <c r="B5801" s="15">
        <v>2.3</v>
      </c>
      <c r="C5801" s="15">
        <v>3.16</v>
      </c>
      <c r="D5801" s="15"/>
      <c r="E5801" s="15">
        <v>2.82</v>
      </c>
      <c r="F5801" s="15">
        <f t="shared" si="1"/>
        <v>0.86</v>
      </c>
      <c r="G5801" s="15">
        <f t="shared" si="2"/>
        <v>3.16</v>
      </c>
      <c r="H5801" s="16">
        <v>0.0</v>
      </c>
      <c r="I5801" s="15">
        <f t="shared" si="3"/>
        <v>0.86</v>
      </c>
      <c r="J5801" s="15">
        <v>20.81</v>
      </c>
      <c r="K5801" s="16">
        <f>IF(COUNTIFS(Release_Calendar!$A$2:$A$755,"US_CPI",Release_Calendar!$B$2:$B$755,$A5801)&gt;0,1,0)</f>
        <v>0</v>
      </c>
      <c r="L5801" s="16">
        <f>IF(COUNTIFS(Release_Calendar!$A$2:$A$755,"US_NFP",Release_Calendar!$B$2:$B$755,$A5801)&gt;0,1,0)</f>
        <v>0</v>
      </c>
      <c r="M5801" s="16">
        <f>IF($A5801&lt;Notes!$B$5,"",IF(COUNTIFS(Release_Calendar!$A$2:$A$755,"NZ_CPI",Release_Calendar!$B$2:$B$755,$A5801)&gt;0,1,0))</f>
        <v>0</v>
      </c>
      <c r="N5801" s="16">
        <f>IF($A5801&lt;Notes!$B$5,"",IF(COUNTIFS(Release_Calendar!$A$2:$A$755,"NZ_GDP",Release_Calendar!$B$2:$B$755,$A5801)&gt;0,1,0))</f>
        <v>0</v>
      </c>
      <c r="O5801" s="16">
        <f>IF($A5801&lt;Notes!$B$5,"",IF(COUNTIFS(Release_Calendar!$A$2:$A$755,"NZ_LABOUR",Release_Calendar!$B$2:$B$755,$A5801)&gt;0,1,0))</f>
        <v>0</v>
      </c>
      <c r="P5801" s="16">
        <f t="shared" si="4"/>
        <v>0</v>
      </c>
    </row>
    <row r="5802" ht="15.75" customHeight="1">
      <c r="A5802" s="14">
        <v>44648.0</v>
      </c>
      <c r="B5802" s="15">
        <v>2.35</v>
      </c>
      <c r="C5802" s="15">
        <v>3.24</v>
      </c>
      <c r="D5802" s="15"/>
      <c r="E5802" s="15">
        <v>2.86</v>
      </c>
      <c r="F5802" s="15">
        <f t="shared" si="1"/>
        <v>0.89</v>
      </c>
      <c r="G5802" s="15">
        <f t="shared" si="2"/>
        <v>3.24</v>
      </c>
      <c r="H5802" s="16">
        <v>0.0</v>
      </c>
      <c r="I5802" s="15">
        <f t="shared" si="3"/>
        <v>0.89</v>
      </c>
      <c r="J5802" s="15">
        <v>19.63</v>
      </c>
      <c r="K5802" s="16">
        <f>IF(COUNTIFS(Release_Calendar!$A$2:$A$755,"US_CPI",Release_Calendar!$B$2:$B$755,$A5802)&gt;0,1,0)</f>
        <v>0</v>
      </c>
      <c r="L5802" s="16">
        <f>IF(COUNTIFS(Release_Calendar!$A$2:$A$755,"US_NFP",Release_Calendar!$B$2:$B$755,$A5802)&gt;0,1,0)</f>
        <v>0</v>
      </c>
      <c r="M5802" s="16">
        <f>IF($A5802&lt;Notes!$B$5,"",IF(COUNTIFS(Release_Calendar!$A$2:$A$755,"NZ_CPI",Release_Calendar!$B$2:$B$755,$A5802)&gt;0,1,0))</f>
        <v>0</v>
      </c>
      <c r="N5802" s="16">
        <f>IF($A5802&lt;Notes!$B$5,"",IF(COUNTIFS(Release_Calendar!$A$2:$A$755,"NZ_GDP",Release_Calendar!$B$2:$B$755,$A5802)&gt;0,1,0))</f>
        <v>0</v>
      </c>
      <c r="O5802" s="16">
        <f>IF($A5802&lt;Notes!$B$5,"",IF(COUNTIFS(Release_Calendar!$A$2:$A$755,"NZ_LABOUR",Release_Calendar!$B$2:$B$755,$A5802)&gt;0,1,0))</f>
        <v>0</v>
      </c>
      <c r="P5802" s="16">
        <f t="shared" si="4"/>
        <v>0</v>
      </c>
    </row>
    <row r="5803" ht="15.75" customHeight="1">
      <c r="A5803" s="14">
        <v>44649.0</v>
      </c>
      <c r="B5803" s="15">
        <v>2.35</v>
      </c>
      <c r="C5803" s="15">
        <v>3.28</v>
      </c>
      <c r="D5803" s="15"/>
      <c r="E5803" s="15">
        <v>2.89</v>
      </c>
      <c r="F5803" s="15">
        <f t="shared" si="1"/>
        <v>0.93</v>
      </c>
      <c r="G5803" s="15">
        <f t="shared" si="2"/>
        <v>3.28</v>
      </c>
      <c r="H5803" s="16">
        <v>0.0</v>
      </c>
      <c r="I5803" s="15">
        <f t="shared" si="3"/>
        <v>0.93</v>
      </c>
      <c r="J5803" s="15">
        <v>18.9</v>
      </c>
      <c r="K5803" s="16">
        <f>IF(COUNTIFS(Release_Calendar!$A$2:$A$755,"US_CPI",Release_Calendar!$B$2:$B$755,$A5803)&gt;0,1,0)</f>
        <v>0</v>
      </c>
      <c r="L5803" s="16">
        <f>IF(COUNTIFS(Release_Calendar!$A$2:$A$755,"US_NFP",Release_Calendar!$B$2:$B$755,$A5803)&gt;0,1,0)</f>
        <v>0</v>
      </c>
      <c r="M5803" s="16">
        <f>IF($A5803&lt;Notes!$B$5,"",IF(COUNTIFS(Release_Calendar!$A$2:$A$755,"NZ_CPI",Release_Calendar!$B$2:$B$755,$A5803)&gt;0,1,0))</f>
        <v>0</v>
      </c>
      <c r="N5803" s="16">
        <f>IF($A5803&lt;Notes!$B$5,"",IF(COUNTIFS(Release_Calendar!$A$2:$A$755,"NZ_GDP",Release_Calendar!$B$2:$B$755,$A5803)&gt;0,1,0))</f>
        <v>0</v>
      </c>
      <c r="O5803" s="16">
        <f>IF($A5803&lt;Notes!$B$5,"",IF(COUNTIFS(Release_Calendar!$A$2:$A$755,"NZ_LABOUR",Release_Calendar!$B$2:$B$755,$A5803)&gt;0,1,0))</f>
        <v>0</v>
      </c>
      <c r="P5803" s="16">
        <f t="shared" si="4"/>
        <v>0</v>
      </c>
    </row>
    <row r="5804" ht="15.75" customHeight="1">
      <c r="A5804" s="14">
        <v>44650.0</v>
      </c>
      <c r="B5804" s="15">
        <v>2.31</v>
      </c>
      <c r="C5804" s="15">
        <v>3.29</v>
      </c>
      <c r="D5804" s="15"/>
      <c r="E5804" s="15">
        <v>2.91</v>
      </c>
      <c r="F5804" s="15">
        <f t="shared" si="1"/>
        <v>0.98</v>
      </c>
      <c r="G5804" s="15">
        <f t="shared" si="2"/>
        <v>3.29</v>
      </c>
      <c r="H5804" s="16">
        <v>0.0</v>
      </c>
      <c r="I5804" s="15">
        <f t="shared" si="3"/>
        <v>0.98</v>
      </c>
      <c r="J5804" s="15">
        <v>19.33</v>
      </c>
      <c r="K5804" s="16">
        <f>IF(COUNTIFS(Release_Calendar!$A$2:$A$755,"US_CPI",Release_Calendar!$B$2:$B$755,$A5804)&gt;0,1,0)</f>
        <v>0</v>
      </c>
      <c r="L5804" s="16">
        <f>IF(COUNTIFS(Release_Calendar!$A$2:$A$755,"US_NFP",Release_Calendar!$B$2:$B$755,$A5804)&gt;0,1,0)</f>
        <v>0</v>
      </c>
      <c r="M5804" s="16">
        <f>IF($A5804&lt;Notes!$B$5,"",IF(COUNTIFS(Release_Calendar!$A$2:$A$755,"NZ_CPI",Release_Calendar!$B$2:$B$755,$A5804)&gt;0,1,0))</f>
        <v>0</v>
      </c>
      <c r="N5804" s="16">
        <f>IF($A5804&lt;Notes!$B$5,"",IF(COUNTIFS(Release_Calendar!$A$2:$A$755,"NZ_GDP",Release_Calendar!$B$2:$B$755,$A5804)&gt;0,1,0))</f>
        <v>0</v>
      </c>
      <c r="O5804" s="16">
        <f>IF($A5804&lt;Notes!$B$5,"",IF(COUNTIFS(Release_Calendar!$A$2:$A$755,"NZ_LABOUR",Release_Calendar!$B$2:$B$755,$A5804)&gt;0,1,0))</f>
        <v>0</v>
      </c>
      <c r="P5804" s="16">
        <f t="shared" si="4"/>
        <v>0</v>
      </c>
    </row>
    <row r="5805" ht="15.75" customHeight="1">
      <c r="A5805" s="14">
        <v>44651.0</v>
      </c>
      <c r="B5805" s="15">
        <v>2.28</v>
      </c>
      <c r="C5805" s="15">
        <v>3.28</v>
      </c>
      <c r="D5805" s="15"/>
      <c r="E5805" s="15">
        <v>2.89</v>
      </c>
      <c r="F5805" s="15">
        <f t="shared" si="1"/>
        <v>1</v>
      </c>
      <c r="G5805" s="15">
        <f t="shared" si="2"/>
        <v>3.28</v>
      </c>
      <c r="H5805" s="16">
        <v>0.0</v>
      </c>
      <c r="I5805" s="15">
        <f t="shared" si="3"/>
        <v>1</v>
      </c>
      <c r="J5805" s="15">
        <v>20.56</v>
      </c>
      <c r="K5805" s="16">
        <f>IF(COUNTIFS(Release_Calendar!$A$2:$A$755,"US_CPI",Release_Calendar!$B$2:$B$755,$A5805)&gt;0,1,0)</f>
        <v>0</v>
      </c>
      <c r="L5805" s="16">
        <f>IF(COUNTIFS(Release_Calendar!$A$2:$A$755,"US_NFP",Release_Calendar!$B$2:$B$755,$A5805)&gt;0,1,0)</f>
        <v>0</v>
      </c>
      <c r="M5805" s="16">
        <f>IF($A5805&lt;Notes!$B$5,"",IF(COUNTIFS(Release_Calendar!$A$2:$A$755,"NZ_CPI",Release_Calendar!$B$2:$B$755,$A5805)&gt;0,1,0))</f>
        <v>0</v>
      </c>
      <c r="N5805" s="16">
        <f>IF($A5805&lt;Notes!$B$5,"",IF(COUNTIFS(Release_Calendar!$A$2:$A$755,"NZ_GDP",Release_Calendar!$B$2:$B$755,$A5805)&gt;0,1,0))</f>
        <v>0</v>
      </c>
      <c r="O5805" s="16">
        <f>IF($A5805&lt;Notes!$B$5,"",IF(COUNTIFS(Release_Calendar!$A$2:$A$755,"NZ_LABOUR",Release_Calendar!$B$2:$B$755,$A5805)&gt;0,1,0))</f>
        <v>0</v>
      </c>
      <c r="P5805" s="16">
        <f t="shared" si="4"/>
        <v>0</v>
      </c>
    </row>
    <row r="5806" ht="15.75" customHeight="1">
      <c r="A5806" s="14">
        <v>44652.0</v>
      </c>
      <c r="B5806" s="15">
        <v>2.44</v>
      </c>
      <c r="C5806" s="15">
        <v>3.37</v>
      </c>
      <c r="D5806" s="15"/>
      <c r="E5806" s="15">
        <v>2.97</v>
      </c>
      <c r="F5806" s="15">
        <f t="shared" si="1"/>
        <v>0.93</v>
      </c>
      <c r="G5806" s="15">
        <f t="shared" si="2"/>
        <v>3.37</v>
      </c>
      <c r="H5806" s="16">
        <v>0.0</v>
      </c>
      <c r="I5806" s="15">
        <f t="shared" si="3"/>
        <v>0.93</v>
      </c>
      <c r="J5806" s="15">
        <v>19.63</v>
      </c>
      <c r="K5806" s="16">
        <f>IF(COUNTIFS(Release_Calendar!$A$2:$A$755,"US_CPI",Release_Calendar!$B$2:$B$755,$A5806)&gt;0,1,0)</f>
        <v>0</v>
      </c>
      <c r="L5806" s="16">
        <f>IF(COUNTIFS(Release_Calendar!$A$2:$A$755,"US_NFP",Release_Calendar!$B$2:$B$755,$A5806)&gt;0,1,0)</f>
        <v>1</v>
      </c>
      <c r="M5806" s="16">
        <f>IF($A5806&lt;Notes!$B$5,"",IF(COUNTIFS(Release_Calendar!$A$2:$A$755,"NZ_CPI",Release_Calendar!$B$2:$B$755,$A5806)&gt;0,1,0))</f>
        <v>0</v>
      </c>
      <c r="N5806" s="16">
        <f>IF($A5806&lt;Notes!$B$5,"",IF(COUNTIFS(Release_Calendar!$A$2:$A$755,"NZ_GDP",Release_Calendar!$B$2:$B$755,$A5806)&gt;0,1,0))</f>
        <v>0</v>
      </c>
      <c r="O5806" s="16">
        <f>IF($A5806&lt;Notes!$B$5,"",IF(COUNTIFS(Release_Calendar!$A$2:$A$755,"NZ_LABOUR",Release_Calendar!$B$2:$B$755,$A5806)&gt;0,1,0))</f>
        <v>0</v>
      </c>
      <c r="P5806" s="16">
        <f t="shared" si="4"/>
        <v>1</v>
      </c>
    </row>
    <row r="5807" ht="15.75" customHeight="1">
      <c r="A5807" s="14">
        <v>44655.0</v>
      </c>
      <c r="B5807" s="15">
        <v>2.43</v>
      </c>
      <c r="C5807" s="15">
        <v>3.4</v>
      </c>
      <c r="D5807" s="15"/>
      <c r="E5807" s="15">
        <v>3.0</v>
      </c>
      <c r="F5807" s="15">
        <f t="shared" si="1"/>
        <v>0.97</v>
      </c>
      <c r="G5807" s="15">
        <f t="shared" si="2"/>
        <v>3.4</v>
      </c>
      <c r="H5807" s="16">
        <v>0.0</v>
      </c>
      <c r="I5807" s="15">
        <f t="shared" si="3"/>
        <v>0.97</v>
      </c>
      <c r="J5807" s="15">
        <v>18.57</v>
      </c>
      <c r="K5807" s="16">
        <f>IF(COUNTIFS(Release_Calendar!$A$2:$A$755,"US_CPI",Release_Calendar!$B$2:$B$755,$A5807)&gt;0,1,0)</f>
        <v>0</v>
      </c>
      <c r="L5807" s="16">
        <f>IF(COUNTIFS(Release_Calendar!$A$2:$A$755,"US_NFP",Release_Calendar!$B$2:$B$755,$A5807)&gt;0,1,0)</f>
        <v>0</v>
      </c>
      <c r="M5807" s="16">
        <f>IF($A5807&lt;Notes!$B$5,"",IF(COUNTIFS(Release_Calendar!$A$2:$A$755,"NZ_CPI",Release_Calendar!$B$2:$B$755,$A5807)&gt;0,1,0))</f>
        <v>0</v>
      </c>
      <c r="N5807" s="16">
        <f>IF($A5807&lt;Notes!$B$5,"",IF(COUNTIFS(Release_Calendar!$A$2:$A$755,"NZ_GDP",Release_Calendar!$B$2:$B$755,$A5807)&gt;0,1,0))</f>
        <v>0</v>
      </c>
      <c r="O5807" s="16">
        <f>IF($A5807&lt;Notes!$B$5,"",IF(COUNTIFS(Release_Calendar!$A$2:$A$755,"NZ_LABOUR",Release_Calendar!$B$2:$B$755,$A5807)&gt;0,1,0))</f>
        <v>0</v>
      </c>
      <c r="P5807" s="16">
        <f t="shared" si="4"/>
        <v>0</v>
      </c>
    </row>
    <row r="5808" ht="15.75" customHeight="1">
      <c r="A5808" s="14">
        <v>44656.0</v>
      </c>
      <c r="B5808" s="15">
        <v>2.51</v>
      </c>
      <c r="C5808" s="15">
        <v>3.41</v>
      </c>
      <c r="D5808" s="15"/>
      <c r="E5808" s="15">
        <v>2.98</v>
      </c>
      <c r="F5808" s="15">
        <f t="shared" si="1"/>
        <v>0.9</v>
      </c>
      <c r="G5808" s="15">
        <f t="shared" si="2"/>
        <v>3.41</v>
      </c>
      <c r="H5808" s="16">
        <v>0.0</v>
      </c>
      <c r="I5808" s="15">
        <f t="shared" si="3"/>
        <v>0.9</v>
      </c>
      <c r="J5808" s="15">
        <v>21.03</v>
      </c>
      <c r="K5808" s="16">
        <f>IF(COUNTIFS(Release_Calendar!$A$2:$A$755,"US_CPI",Release_Calendar!$B$2:$B$755,$A5808)&gt;0,1,0)</f>
        <v>0</v>
      </c>
      <c r="L5808" s="16">
        <f>IF(COUNTIFS(Release_Calendar!$A$2:$A$755,"US_NFP",Release_Calendar!$B$2:$B$755,$A5808)&gt;0,1,0)</f>
        <v>0</v>
      </c>
      <c r="M5808" s="16">
        <f>IF($A5808&lt;Notes!$B$5,"",IF(COUNTIFS(Release_Calendar!$A$2:$A$755,"NZ_CPI",Release_Calendar!$B$2:$B$755,$A5808)&gt;0,1,0))</f>
        <v>0</v>
      </c>
      <c r="N5808" s="16">
        <f>IF($A5808&lt;Notes!$B$5,"",IF(COUNTIFS(Release_Calendar!$A$2:$A$755,"NZ_GDP",Release_Calendar!$B$2:$B$755,$A5808)&gt;0,1,0))</f>
        <v>0</v>
      </c>
      <c r="O5808" s="16">
        <f>IF($A5808&lt;Notes!$B$5,"",IF(COUNTIFS(Release_Calendar!$A$2:$A$755,"NZ_LABOUR",Release_Calendar!$B$2:$B$755,$A5808)&gt;0,1,0))</f>
        <v>0</v>
      </c>
      <c r="P5808" s="16">
        <f t="shared" si="4"/>
        <v>0</v>
      </c>
    </row>
    <row r="5809" ht="15.75" customHeight="1">
      <c r="A5809" s="14">
        <v>44657.0</v>
      </c>
      <c r="B5809" s="15">
        <v>2.5</v>
      </c>
      <c r="C5809" s="15">
        <v>3.56</v>
      </c>
      <c r="D5809" s="15"/>
      <c r="E5809" s="15">
        <v>3.17</v>
      </c>
      <c r="F5809" s="15">
        <f t="shared" si="1"/>
        <v>1.06</v>
      </c>
      <c r="G5809" s="15">
        <f t="shared" si="2"/>
        <v>3.56</v>
      </c>
      <c r="H5809" s="16">
        <v>0.0</v>
      </c>
      <c r="I5809" s="15">
        <f t="shared" si="3"/>
        <v>1.06</v>
      </c>
      <c r="J5809" s="15">
        <v>22.1</v>
      </c>
      <c r="K5809" s="16">
        <f>IF(COUNTIFS(Release_Calendar!$A$2:$A$755,"US_CPI",Release_Calendar!$B$2:$B$755,$A5809)&gt;0,1,0)</f>
        <v>0</v>
      </c>
      <c r="L5809" s="16">
        <f>IF(COUNTIFS(Release_Calendar!$A$2:$A$755,"US_NFP",Release_Calendar!$B$2:$B$755,$A5809)&gt;0,1,0)</f>
        <v>0</v>
      </c>
      <c r="M5809" s="16">
        <f>IF($A5809&lt;Notes!$B$5,"",IF(COUNTIFS(Release_Calendar!$A$2:$A$755,"NZ_CPI",Release_Calendar!$B$2:$B$755,$A5809)&gt;0,1,0))</f>
        <v>0</v>
      </c>
      <c r="N5809" s="16">
        <f>IF($A5809&lt;Notes!$B$5,"",IF(COUNTIFS(Release_Calendar!$A$2:$A$755,"NZ_GDP",Release_Calendar!$B$2:$B$755,$A5809)&gt;0,1,0))</f>
        <v>0</v>
      </c>
      <c r="O5809" s="16">
        <f>IF($A5809&lt;Notes!$B$5,"",IF(COUNTIFS(Release_Calendar!$A$2:$A$755,"NZ_LABOUR",Release_Calendar!$B$2:$B$755,$A5809)&gt;0,1,0))</f>
        <v>0</v>
      </c>
      <c r="P5809" s="16">
        <f t="shared" si="4"/>
        <v>0</v>
      </c>
    </row>
    <row r="5810" ht="15.75" customHeight="1">
      <c r="A5810" s="14">
        <v>44658.0</v>
      </c>
      <c r="B5810" s="15">
        <v>2.47</v>
      </c>
      <c r="C5810" s="15">
        <v>3.58</v>
      </c>
      <c r="D5810" s="15"/>
      <c r="E5810" s="15">
        <v>3.18</v>
      </c>
      <c r="F5810" s="15">
        <f t="shared" si="1"/>
        <v>1.11</v>
      </c>
      <c r="G5810" s="15">
        <f t="shared" si="2"/>
        <v>3.58</v>
      </c>
      <c r="H5810" s="16">
        <v>0.0</v>
      </c>
      <c r="I5810" s="15">
        <f t="shared" si="3"/>
        <v>1.11</v>
      </c>
      <c r="J5810" s="15">
        <v>21.55</v>
      </c>
      <c r="K5810" s="16">
        <f>IF(COUNTIFS(Release_Calendar!$A$2:$A$755,"US_CPI",Release_Calendar!$B$2:$B$755,$A5810)&gt;0,1,0)</f>
        <v>0</v>
      </c>
      <c r="L5810" s="16">
        <f>IF(COUNTIFS(Release_Calendar!$A$2:$A$755,"US_NFP",Release_Calendar!$B$2:$B$755,$A5810)&gt;0,1,0)</f>
        <v>0</v>
      </c>
      <c r="M5810" s="16">
        <f>IF($A5810&lt;Notes!$B$5,"",IF(COUNTIFS(Release_Calendar!$A$2:$A$755,"NZ_CPI",Release_Calendar!$B$2:$B$755,$A5810)&gt;0,1,0))</f>
        <v>0</v>
      </c>
      <c r="N5810" s="16">
        <f>IF($A5810&lt;Notes!$B$5,"",IF(COUNTIFS(Release_Calendar!$A$2:$A$755,"NZ_GDP",Release_Calendar!$B$2:$B$755,$A5810)&gt;0,1,0))</f>
        <v>0</v>
      </c>
      <c r="O5810" s="16">
        <f>IF($A5810&lt;Notes!$B$5,"",IF(COUNTIFS(Release_Calendar!$A$2:$A$755,"NZ_LABOUR",Release_Calendar!$B$2:$B$755,$A5810)&gt;0,1,0))</f>
        <v>0</v>
      </c>
      <c r="P5810" s="16">
        <f t="shared" si="4"/>
        <v>0</v>
      </c>
    </row>
    <row r="5811" ht="15.75" customHeight="1">
      <c r="A5811" s="14">
        <v>44659.0</v>
      </c>
      <c r="B5811" s="15">
        <v>2.53</v>
      </c>
      <c r="C5811" s="15">
        <v>3.58</v>
      </c>
      <c r="D5811" s="15"/>
      <c r="E5811" s="15">
        <v>3.17</v>
      </c>
      <c r="F5811" s="15">
        <f t="shared" si="1"/>
        <v>1.05</v>
      </c>
      <c r="G5811" s="15">
        <f t="shared" si="2"/>
        <v>3.58</v>
      </c>
      <c r="H5811" s="16">
        <v>0.0</v>
      </c>
      <c r="I5811" s="15">
        <f t="shared" si="3"/>
        <v>1.05</v>
      </c>
      <c r="J5811" s="15">
        <v>21.16</v>
      </c>
      <c r="K5811" s="16">
        <f>IF(COUNTIFS(Release_Calendar!$A$2:$A$755,"US_CPI",Release_Calendar!$B$2:$B$755,$A5811)&gt;0,1,0)</f>
        <v>0</v>
      </c>
      <c r="L5811" s="16">
        <f>IF(COUNTIFS(Release_Calendar!$A$2:$A$755,"US_NFP",Release_Calendar!$B$2:$B$755,$A5811)&gt;0,1,0)</f>
        <v>0</v>
      </c>
      <c r="M5811" s="16">
        <f>IF($A5811&lt;Notes!$B$5,"",IF(COUNTIFS(Release_Calendar!$A$2:$A$755,"NZ_CPI",Release_Calendar!$B$2:$B$755,$A5811)&gt;0,1,0))</f>
        <v>0</v>
      </c>
      <c r="N5811" s="16">
        <f>IF($A5811&lt;Notes!$B$5,"",IF(COUNTIFS(Release_Calendar!$A$2:$A$755,"NZ_GDP",Release_Calendar!$B$2:$B$755,$A5811)&gt;0,1,0))</f>
        <v>0</v>
      </c>
      <c r="O5811" s="16">
        <f>IF($A5811&lt;Notes!$B$5,"",IF(COUNTIFS(Release_Calendar!$A$2:$A$755,"NZ_LABOUR",Release_Calendar!$B$2:$B$755,$A5811)&gt;0,1,0))</f>
        <v>0</v>
      </c>
      <c r="P5811" s="16">
        <f t="shared" si="4"/>
        <v>0</v>
      </c>
    </row>
    <row r="5812" ht="15.75" customHeight="1">
      <c r="A5812" s="14">
        <v>44662.0</v>
      </c>
      <c r="B5812" s="15">
        <v>2.5</v>
      </c>
      <c r="C5812" s="15">
        <v>3.62</v>
      </c>
      <c r="D5812" s="15"/>
      <c r="E5812" s="15">
        <v>3.23</v>
      </c>
      <c r="F5812" s="15">
        <f t="shared" si="1"/>
        <v>1.12</v>
      </c>
      <c r="G5812" s="15">
        <f t="shared" si="2"/>
        <v>3.62</v>
      </c>
      <c r="H5812" s="16">
        <v>0.0</v>
      </c>
      <c r="I5812" s="15">
        <f t="shared" si="3"/>
        <v>1.12</v>
      </c>
      <c r="J5812" s="15">
        <v>24.37</v>
      </c>
      <c r="K5812" s="16">
        <f>IF(COUNTIFS(Release_Calendar!$A$2:$A$755,"US_CPI",Release_Calendar!$B$2:$B$755,$A5812)&gt;0,1,0)</f>
        <v>0</v>
      </c>
      <c r="L5812" s="16">
        <f>IF(COUNTIFS(Release_Calendar!$A$2:$A$755,"US_NFP",Release_Calendar!$B$2:$B$755,$A5812)&gt;0,1,0)</f>
        <v>0</v>
      </c>
      <c r="M5812" s="16">
        <f>IF($A5812&lt;Notes!$B$5,"",IF(COUNTIFS(Release_Calendar!$A$2:$A$755,"NZ_CPI",Release_Calendar!$B$2:$B$755,$A5812)&gt;0,1,0))</f>
        <v>0</v>
      </c>
      <c r="N5812" s="16">
        <f>IF($A5812&lt;Notes!$B$5,"",IF(COUNTIFS(Release_Calendar!$A$2:$A$755,"NZ_GDP",Release_Calendar!$B$2:$B$755,$A5812)&gt;0,1,0))</f>
        <v>0</v>
      </c>
      <c r="O5812" s="16">
        <f>IF($A5812&lt;Notes!$B$5,"",IF(COUNTIFS(Release_Calendar!$A$2:$A$755,"NZ_LABOUR",Release_Calendar!$B$2:$B$755,$A5812)&gt;0,1,0))</f>
        <v>0</v>
      </c>
      <c r="P5812" s="16">
        <f t="shared" si="4"/>
        <v>0</v>
      </c>
    </row>
    <row r="5813" ht="15.75" customHeight="1">
      <c r="A5813" s="14">
        <v>44663.0</v>
      </c>
      <c r="B5813" s="15">
        <v>2.39</v>
      </c>
      <c r="C5813" s="15">
        <v>3.63</v>
      </c>
      <c r="D5813" s="15"/>
      <c r="E5813" s="15">
        <v>3.25</v>
      </c>
      <c r="F5813" s="15">
        <f t="shared" si="1"/>
        <v>1.24</v>
      </c>
      <c r="G5813" s="15">
        <f t="shared" si="2"/>
        <v>3.63</v>
      </c>
      <c r="H5813" s="16">
        <v>0.0</v>
      </c>
      <c r="I5813" s="15">
        <f t="shared" si="3"/>
        <v>1.24</v>
      </c>
      <c r="J5813" s="15">
        <v>24.26</v>
      </c>
      <c r="K5813" s="16">
        <f>IF(COUNTIFS(Release_Calendar!$A$2:$A$755,"US_CPI",Release_Calendar!$B$2:$B$755,$A5813)&gt;0,1,0)</f>
        <v>1</v>
      </c>
      <c r="L5813" s="16">
        <f>IF(COUNTIFS(Release_Calendar!$A$2:$A$755,"US_NFP",Release_Calendar!$B$2:$B$755,$A5813)&gt;0,1,0)</f>
        <v>0</v>
      </c>
      <c r="M5813" s="16">
        <f>IF($A5813&lt;Notes!$B$5,"",IF(COUNTIFS(Release_Calendar!$A$2:$A$755,"NZ_CPI",Release_Calendar!$B$2:$B$755,$A5813)&gt;0,1,0))</f>
        <v>0</v>
      </c>
      <c r="N5813" s="16">
        <f>IF($A5813&lt;Notes!$B$5,"",IF(COUNTIFS(Release_Calendar!$A$2:$A$755,"NZ_GDP",Release_Calendar!$B$2:$B$755,$A5813)&gt;0,1,0))</f>
        <v>0</v>
      </c>
      <c r="O5813" s="16">
        <f>IF($A5813&lt;Notes!$B$5,"",IF(COUNTIFS(Release_Calendar!$A$2:$A$755,"NZ_LABOUR",Release_Calendar!$B$2:$B$755,$A5813)&gt;0,1,0))</f>
        <v>0</v>
      </c>
      <c r="P5813" s="16">
        <f t="shared" si="4"/>
        <v>1</v>
      </c>
    </row>
    <row r="5814" ht="15.75" customHeight="1">
      <c r="A5814" s="14">
        <v>44664.0</v>
      </c>
      <c r="B5814" s="15">
        <v>2.37</v>
      </c>
      <c r="C5814" s="15">
        <v>3.49</v>
      </c>
      <c r="D5814" s="15"/>
      <c r="E5814" s="15">
        <v>3.11</v>
      </c>
      <c r="F5814" s="15">
        <f t="shared" si="1"/>
        <v>1.12</v>
      </c>
      <c r="G5814" s="15">
        <f t="shared" si="2"/>
        <v>3.49</v>
      </c>
      <c r="H5814" s="16">
        <v>0.0</v>
      </c>
      <c r="I5814" s="15">
        <f t="shared" si="3"/>
        <v>1.12</v>
      </c>
      <c r="J5814" s="15">
        <v>21.82</v>
      </c>
      <c r="K5814" s="16">
        <f>IF(COUNTIFS(Release_Calendar!$A$2:$A$755,"US_CPI",Release_Calendar!$B$2:$B$755,$A5814)&gt;0,1,0)</f>
        <v>0</v>
      </c>
      <c r="L5814" s="16">
        <f>IF(COUNTIFS(Release_Calendar!$A$2:$A$755,"US_NFP",Release_Calendar!$B$2:$B$755,$A5814)&gt;0,1,0)</f>
        <v>0</v>
      </c>
      <c r="M5814" s="16">
        <f>IF($A5814&lt;Notes!$B$5,"",IF(COUNTIFS(Release_Calendar!$A$2:$A$755,"NZ_CPI",Release_Calendar!$B$2:$B$755,$A5814)&gt;0,1,0))</f>
        <v>0</v>
      </c>
      <c r="N5814" s="16">
        <f>IF($A5814&lt;Notes!$B$5,"",IF(COUNTIFS(Release_Calendar!$A$2:$A$755,"NZ_GDP",Release_Calendar!$B$2:$B$755,$A5814)&gt;0,1,0))</f>
        <v>0</v>
      </c>
      <c r="O5814" s="16">
        <f>IF($A5814&lt;Notes!$B$5,"",IF(COUNTIFS(Release_Calendar!$A$2:$A$755,"NZ_LABOUR",Release_Calendar!$B$2:$B$755,$A5814)&gt;0,1,0))</f>
        <v>0</v>
      </c>
      <c r="P5814" s="16">
        <f t="shared" si="4"/>
        <v>0</v>
      </c>
    </row>
    <row r="5815" ht="15.75" customHeight="1">
      <c r="A5815" s="14">
        <v>44665.0</v>
      </c>
      <c r="B5815" s="15">
        <v>2.47</v>
      </c>
      <c r="C5815" s="15">
        <v>3.5</v>
      </c>
      <c r="D5815" s="15"/>
      <c r="E5815" s="15">
        <v>3.08</v>
      </c>
      <c r="F5815" s="15">
        <f t="shared" si="1"/>
        <v>1.03</v>
      </c>
      <c r="G5815" s="15">
        <f t="shared" si="2"/>
        <v>3.5</v>
      </c>
      <c r="H5815" s="16">
        <v>0.0</v>
      </c>
      <c r="I5815" s="15">
        <f t="shared" si="3"/>
        <v>1.03</v>
      </c>
      <c r="J5815" s="15">
        <v>22.7</v>
      </c>
      <c r="K5815" s="16">
        <f>IF(COUNTIFS(Release_Calendar!$A$2:$A$755,"US_CPI",Release_Calendar!$B$2:$B$755,$A5815)&gt;0,1,0)</f>
        <v>0</v>
      </c>
      <c r="L5815" s="16">
        <f>IF(COUNTIFS(Release_Calendar!$A$2:$A$755,"US_NFP",Release_Calendar!$B$2:$B$755,$A5815)&gt;0,1,0)</f>
        <v>0</v>
      </c>
      <c r="M5815" s="16">
        <f>IF($A5815&lt;Notes!$B$5,"",IF(COUNTIFS(Release_Calendar!$A$2:$A$755,"NZ_CPI",Release_Calendar!$B$2:$B$755,$A5815)&gt;0,1,0))</f>
        <v>0</v>
      </c>
      <c r="N5815" s="16">
        <f>IF($A5815&lt;Notes!$B$5,"",IF(COUNTIFS(Release_Calendar!$A$2:$A$755,"NZ_GDP",Release_Calendar!$B$2:$B$755,$A5815)&gt;0,1,0))</f>
        <v>0</v>
      </c>
      <c r="O5815" s="16">
        <f>IF($A5815&lt;Notes!$B$5,"",IF(COUNTIFS(Release_Calendar!$A$2:$A$755,"NZ_LABOUR",Release_Calendar!$B$2:$B$755,$A5815)&gt;0,1,0))</f>
        <v>0</v>
      </c>
      <c r="P5815" s="16">
        <f t="shared" si="4"/>
        <v>0</v>
      </c>
    </row>
    <row r="5816" ht="15.75" customHeight="1">
      <c r="A5816" s="14">
        <v>44666.0</v>
      </c>
      <c r="B5816" s="15"/>
      <c r="C5816" s="15"/>
      <c r="D5816" s="15"/>
      <c r="E5816" s="15"/>
      <c r="F5816" s="15" t="str">
        <f t="shared" si="1"/>
        <v/>
      </c>
      <c r="G5816" s="15" t="str">
        <f t="shared" si="2"/>
        <v/>
      </c>
      <c r="H5816" s="16">
        <v>0.0</v>
      </c>
      <c r="I5816" s="15" t="str">
        <f t="shared" si="3"/>
        <v/>
      </c>
      <c r="J5816" s="15"/>
      <c r="K5816" s="16">
        <f>IF(COUNTIFS(Release_Calendar!$A$2:$A$755,"US_CPI",Release_Calendar!$B$2:$B$755,$A5816)&gt;0,1,0)</f>
        <v>0</v>
      </c>
      <c r="L5816" s="16">
        <f>IF(COUNTIFS(Release_Calendar!$A$2:$A$755,"US_NFP",Release_Calendar!$B$2:$B$755,$A5816)&gt;0,1,0)</f>
        <v>0</v>
      </c>
      <c r="M5816" s="16">
        <f>IF($A5816&lt;Notes!$B$5,"",IF(COUNTIFS(Release_Calendar!$A$2:$A$755,"NZ_CPI",Release_Calendar!$B$2:$B$755,$A5816)&gt;0,1,0))</f>
        <v>0</v>
      </c>
      <c r="N5816" s="16">
        <f>IF($A5816&lt;Notes!$B$5,"",IF(COUNTIFS(Release_Calendar!$A$2:$A$755,"NZ_GDP",Release_Calendar!$B$2:$B$755,$A5816)&gt;0,1,0))</f>
        <v>0</v>
      </c>
      <c r="O5816" s="16">
        <f>IF($A5816&lt;Notes!$B$5,"",IF(COUNTIFS(Release_Calendar!$A$2:$A$755,"NZ_LABOUR",Release_Calendar!$B$2:$B$755,$A5816)&gt;0,1,0))</f>
        <v>0</v>
      </c>
      <c r="P5816" s="16">
        <f t="shared" si="4"/>
        <v>0</v>
      </c>
    </row>
    <row r="5817" ht="15.75" customHeight="1">
      <c r="A5817" s="14">
        <v>44669.0</v>
      </c>
      <c r="B5817" s="15">
        <v>2.46</v>
      </c>
      <c r="C5817" s="15"/>
      <c r="D5817" s="15"/>
      <c r="E5817" s="15"/>
      <c r="F5817" s="15" t="str">
        <f t="shared" si="1"/>
        <v/>
      </c>
      <c r="G5817" s="15" t="str">
        <f t="shared" si="2"/>
        <v/>
      </c>
      <c r="H5817" s="16">
        <v>0.0</v>
      </c>
      <c r="I5817" s="15" t="str">
        <f t="shared" si="3"/>
        <v/>
      </c>
      <c r="J5817" s="15">
        <v>22.17</v>
      </c>
      <c r="K5817" s="16">
        <f>IF(COUNTIFS(Release_Calendar!$A$2:$A$755,"US_CPI",Release_Calendar!$B$2:$B$755,$A5817)&gt;0,1,0)</f>
        <v>0</v>
      </c>
      <c r="L5817" s="16">
        <f>IF(COUNTIFS(Release_Calendar!$A$2:$A$755,"US_NFP",Release_Calendar!$B$2:$B$755,$A5817)&gt;0,1,0)</f>
        <v>0</v>
      </c>
      <c r="M5817" s="16">
        <f>IF($A5817&lt;Notes!$B$5,"",IF(COUNTIFS(Release_Calendar!$A$2:$A$755,"NZ_CPI",Release_Calendar!$B$2:$B$755,$A5817)&gt;0,1,0))</f>
        <v>0</v>
      </c>
      <c r="N5817" s="16">
        <f>IF($A5817&lt;Notes!$B$5,"",IF(COUNTIFS(Release_Calendar!$A$2:$A$755,"NZ_GDP",Release_Calendar!$B$2:$B$755,$A5817)&gt;0,1,0))</f>
        <v>0</v>
      </c>
      <c r="O5817" s="16">
        <f>IF($A5817&lt;Notes!$B$5,"",IF(COUNTIFS(Release_Calendar!$A$2:$A$755,"NZ_LABOUR",Release_Calendar!$B$2:$B$755,$A5817)&gt;0,1,0))</f>
        <v>0</v>
      </c>
      <c r="P5817" s="16">
        <f t="shared" si="4"/>
        <v>0</v>
      </c>
    </row>
    <row r="5818" ht="15.75" customHeight="1">
      <c r="A5818" s="14">
        <v>44670.0</v>
      </c>
      <c r="B5818" s="15">
        <v>2.61</v>
      </c>
      <c r="C5818" s="15">
        <v>3.55</v>
      </c>
      <c r="D5818" s="15"/>
      <c r="E5818" s="15">
        <v>3.13</v>
      </c>
      <c r="F5818" s="15">
        <f t="shared" si="1"/>
        <v>0.94</v>
      </c>
      <c r="G5818" s="15">
        <f t="shared" si="2"/>
        <v>3.55</v>
      </c>
      <c r="H5818" s="16">
        <v>0.0</v>
      </c>
      <c r="I5818" s="15">
        <f t="shared" si="3"/>
        <v>0.94</v>
      </c>
      <c r="J5818" s="15">
        <v>21.37</v>
      </c>
      <c r="K5818" s="16">
        <f>IF(COUNTIFS(Release_Calendar!$A$2:$A$755,"US_CPI",Release_Calendar!$B$2:$B$755,$A5818)&gt;0,1,0)</f>
        <v>0</v>
      </c>
      <c r="L5818" s="16">
        <f>IF(COUNTIFS(Release_Calendar!$A$2:$A$755,"US_NFP",Release_Calendar!$B$2:$B$755,$A5818)&gt;0,1,0)</f>
        <v>0</v>
      </c>
      <c r="M5818" s="16">
        <f>IF($A5818&lt;Notes!$B$5,"",IF(COUNTIFS(Release_Calendar!$A$2:$A$755,"NZ_CPI",Release_Calendar!$B$2:$B$755,$A5818)&gt;0,1,0))</f>
        <v>0</v>
      </c>
      <c r="N5818" s="16">
        <f>IF($A5818&lt;Notes!$B$5,"",IF(COUNTIFS(Release_Calendar!$A$2:$A$755,"NZ_GDP",Release_Calendar!$B$2:$B$755,$A5818)&gt;0,1,0))</f>
        <v>0</v>
      </c>
      <c r="O5818" s="16">
        <f>IF($A5818&lt;Notes!$B$5,"",IF(COUNTIFS(Release_Calendar!$A$2:$A$755,"NZ_LABOUR",Release_Calendar!$B$2:$B$755,$A5818)&gt;0,1,0))</f>
        <v>0</v>
      </c>
      <c r="P5818" s="16">
        <f t="shared" si="4"/>
        <v>0</v>
      </c>
    </row>
    <row r="5819" ht="15.75" customHeight="1">
      <c r="A5819" s="14">
        <v>44671.0</v>
      </c>
      <c r="B5819" s="15">
        <v>2.6</v>
      </c>
      <c r="C5819" s="15">
        <v>3.6</v>
      </c>
      <c r="D5819" s="15"/>
      <c r="E5819" s="15">
        <v>3.15</v>
      </c>
      <c r="F5819" s="15">
        <f t="shared" si="1"/>
        <v>1</v>
      </c>
      <c r="G5819" s="15">
        <f t="shared" si="2"/>
        <v>3.6</v>
      </c>
      <c r="H5819" s="16">
        <v>0.0</v>
      </c>
      <c r="I5819" s="15">
        <f t="shared" si="3"/>
        <v>1</v>
      </c>
      <c r="J5819" s="15">
        <v>20.32</v>
      </c>
      <c r="K5819" s="16">
        <f>IF(COUNTIFS(Release_Calendar!$A$2:$A$755,"US_CPI",Release_Calendar!$B$2:$B$755,$A5819)&gt;0,1,0)</f>
        <v>0</v>
      </c>
      <c r="L5819" s="16">
        <f>IF(COUNTIFS(Release_Calendar!$A$2:$A$755,"US_NFP",Release_Calendar!$B$2:$B$755,$A5819)&gt;0,1,0)</f>
        <v>0</v>
      </c>
      <c r="M5819" s="16">
        <f>IF($A5819&lt;Notes!$B$5,"",IF(COUNTIFS(Release_Calendar!$A$2:$A$755,"NZ_CPI",Release_Calendar!$B$2:$B$755,$A5819)&gt;0,1,0))</f>
        <v>0</v>
      </c>
      <c r="N5819" s="16">
        <f>IF($A5819&lt;Notes!$B$5,"",IF(COUNTIFS(Release_Calendar!$A$2:$A$755,"NZ_GDP",Release_Calendar!$B$2:$B$755,$A5819)&gt;0,1,0))</f>
        <v>0</v>
      </c>
      <c r="O5819" s="16">
        <f>IF($A5819&lt;Notes!$B$5,"",IF(COUNTIFS(Release_Calendar!$A$2:$A$755,"NZ_LABOUR",Release_Calendar!$B$2:$B$755,$A5819)&gt;0,1,0))</f>
        <v>0</v>
      </c>
      <c r="P5819" s="16">
        <f t="shared" si="4"/>
        <v>0</v>
      </c>
    </row>
    <row r="5820" ht="15.75" customHeight="1">
      <c r="A5820" s="14">
        <v>44672.0</v>
      </c>
      <c r="B5820" s="15">
        <v>2.68</v>
      </c>
      <c r="C5820" s="15">
        <v>3.58</v>
      </c>
      <c r="D5820" s="15"/>
      <c r="E5820" s="15">
        <v>3.11</v>
      </c>
      <c r="F5820" s="15">
        <f t="shared" si="1"/>
        <v>0.9</v>
      </c>
      <c r="G5820" s="15">
        <f t="shared" si="2"/>
        <v>3.58</v>
      </c>
      <c r="H5820" s="16">
        <v>0.0</v>
      </c>
      <c r="I5820" s="15">
        <f t="shared" si="3"/>
        <v>0.9</v>
      </c>
      <c r="J5820" s="15">
        <v>22.68</v>
      </c>
      <c r="K5820" s="16">
        <f>IF(COUNTIFS(Release_Calendar!$A$2:$A$755,"US_CPI",Release_Calendar!$B$2:$B$755,$A5820)&gt;0,1,0)</f>
        <v>0</v>
      </c>
      <c r="L5820" s="16">
        <f>IF(COUNTIFS(Release_Calendar!$A$2:$A$755,"US_NFP",Release_Calendar!$B$2:$B$755,$A5820)&gt;0,1,0)</f>
        <v>0</v>
      </c>
      <c r="M5820" s="16">
        <f>IF($A5820&lt;Notes!$B$5,"",IF(COUNTIFS(Release_Calendar!$A$2:$A$755,"NZ_CPI",Release_Calendar!$B$2:$B$755,$A5820)&gt;0,1,0))</f>
        <v>1</v>
      </c>
      <c r="N5820" s="16">
        <f>IF($A5820&lt;Notes!$B$5,"",IF(COUNTIFS(Release_Calendar!$A$2:$A$755,"NZ_GDP",Release_Calendar!$B$2:$B$755,$A5820)&gt;0,1,0))</f>
        <v>0</v>
      </c>
      <c r="O5820" s="16">
        <f>IF($A5820&lt;Notes!$B$5,"",IF(COUNTIFS(Release_Calendar!$A$2:$A$755,"NZ_LABOUR",Release_Calendar!$B$2:$B$755,$A5820)&gt;0,1,0))</f>
        <v>0</v>
      </c>
      <c r="P5820" s="16">
        <f t="shared" si="4"/>
        <v>1</v>
      </c>
    </row>
    <row r="5821" ht="15.75" customHeight="1">
      <c r="A5821" s="14">
        <v>44673.0</v>
      </c>
      <c r="B5821" s="15">
        <v>2.72</v>
      </c>
      <c r="C5821" s="15">
        <v>3.74</v>
      </c>
      <c r="D5821" s="15"/>
      <c r="E5821" s="15">
        <v>3.23</v>
      </c>
      <c r="F5821" s="15">
        <f t="shared" si="1"/>
        <v>1.02</v>
      </c>
      <c r="G5821" s="15">
        <f t="shared" si="2"/>
        <v>3.74</v>
      </c>
      <c r="H5821" s="16">
        <v>0.0</v>
      </c>
      <c r="I5821" s="15">
        <f t="shared" si="3"/>
        <v>1.02</v>
      </c>
      <c r="J5821" s="15">
        <v>28.21</v>
      </c>
      <c r="K5821" s="16">
        <f>IF(COUNTIFS(Release_Calendar!$A$2:$A$755,"US_CPI",Release_Calendar!$B$2:$B$755,$A5821)&gt;0,1,0)</f>
        <v>0</v>
      </c>
      <c r="L5821" s="16">
        <f>IF(COUNTIFS(Release_Calendar!$A$2:$A$755,"US_NFP",Release_Calendar!$B$2:$B$755,$A5821)&gt;0,1,0)</f>
        <v>0</v>
      </c>
      <c r="M5821" s="16">
        <f>IF($A5821&lt;Notes!$B$5,"",IF(COUNTIFS(Release_Calendar!$A$2:$A$755,"NZ_CPI",Release_Calendar!$B$2:$B$755,$A5821)&gt;0,1,0))</f>
        <v>0</v>
      </c>
      <c r="N5821" s="16">
        <f>IF($A5821&lt;Notes!$B$5,"",IF(COUNTIFS(Release_Calendar!$A$2:$A$755,"NZ_GDP",Release_Calendar!$B$2:$B$755,$A5821)&gt;0,1,0))</f>
        <v>0</v>
      </c>
      <c r="O5821" s="16">
        <f>IF($A5821&lt;Notes!$B$5,"",IF(COUNTIFS(Release_Calendar!$A$2:$A$755,"NZ_LABOUR",Release_Calendar!$B$2:$B$755,$A5821)&gt;0,1,0))</f>
        <v>0</v>
      </c>
      <c r="P5821" s="16">
        <f t="shared" si="4"/>
        <v>0</v>
      </c>
    </row>
    <row r="5822" ht="15.75" customHeight="1">
      <c r="A5822" s="14">
        <v>44676.0</v>
      </c>
      <c r="B5822" s="15">
        <v>2.63</v>
      </c>
      <c r="C5822" s="15"/>
      <c r="D5822" s="15"/>
      <c r="E5822" s="15"/>
      <c r="F5822" s="15" t="str">
        <f t="shared" si="1"/>
        <v/>
      </c>
      <c r="G5822" s="15" t="str">
        <f t="shared" si="2"/>
        <v/>
      </c>
      <c r="H5822" s="16">
        <v>0.0</v>
      </c>
      <c r="I5822" s="15" t="str">
        <f t="shared" si="3"/>
        <v/>
      </c>
      <c r="J5822" s="15">
        <v>27.02</v>
      </c>
      <c r="K5822" s="16">
        <f>IF(COUNTIFS(Release_Calendar!$A$2:$A$755,"US_CPI",Release_Calendar!$B$2:$B$755,$A5822)&gt;0,1,0)</f>
        <v>0</v>
      </c>
      <c r="L5822" s="16">
        <f>IF(COUNTIFS(Release_Calendar!$A$2:$A$755,"US_NFP",Release_Calendar!$B$2:$B$755,$A5822)&gt;0,1,0)</f>
        <v>0</v>
      </c>
      <c r="M5822" s="16">
        <f>IF($A5822&lt;Notes!$B$5,"",IF(COUNTIFS(Release_Calendar!$A$2:$A$755,"NZ_CPI",Release_Calendar!$B$2:$B$755,$A5822)&gt;0,1,0))</f>
        <v>0</v>
      </c>
      <c r="N5822" s="16">
        <f>IF($A5822&lt;Notes!$B$5,"",IF(COUNTIFS(Release_Calendar!$A$2:$A$755,"NZ_GDP",Release_Calendar!$B$2:$B$755,$A5822)&gt;0,1,0))</f>
        <v>0</v>
      </c>
      <c r="O5822" s="16">
        <f>IF($A5822&lt;Notes!$B$5,"",IF(COUNTIFS(Release_Calendar!$A$2:$A$755,"NZ_LABOUR",Release_Calendar!$B$2:$B$755,$A5822)&gt;0,1,0))</f>
        <v>0</v>
      </c>
      <c r="P5822" s="16">
        <f t="shared" si="4"/>
        <v>0</v>
      </c>
    </row>
    <row r="5823" ht="15.75" customHeight="1">
      <c r="A5823" s="14">
        <v>44677.0</v>
      </c>
      <c r="B5823" s="15">
        <v>2.54</v>
      </c>
      <c r="C5823" s="15">
        <v>3.74</v>
      </c>
      <c r="D5823" s="15"/>
      <c r="E5823" s="15">
        <v>3.25</v>
      </c>
      <c r="F5823" s="15">
        <f t="shared" si="1"/>
        <v>1.2</v>
      </c>
      <c r="G5823" s="15">
        <f t="shared" si="2"/>
        <v>3.74</v>
      </c>
      <c r="H5823" s="16">
        <v>0.0</v>
      </c>
      <c r="I5823" s="15">
        <f t="shared" si="3"/>
        <v>1.2</v>
      </c>
      <c r="J5823" s="15">
        <v>33.52</v>
      </c>
      <c r="K5823" s="16">
        <f>IF(COUNTIFS(Release_Calendar!$A$2:$A$755,"US_CPI",Release_Calendar!$B$2:$B$755,$A5823)&gt;0,1,0)</f>
        <v>0</v>
      </c>
      <c r="L5823" s="16">
        <f>IF(COUNTIFS(Release_Calendar!$A$2:$A$755,"US_NFP",Release_Calendar!$B$2:$B$755,$A5823)&gt;0,1,0)</f>
        <v>0</v>
      </c>
      <c r="M5823" s="16">
        <f>IF($A5823&lt;Notes!$B$5,"",IF(COUNTIFS(Release_Calendar!$A$2:$A$755,"NZ_CPI",Release_Calendar!$B$2:$B$755,$A5823)&gt;0,1,0))</f>
        <v>0</v>
      </c>
      <c r="N5823" s="16">
        <f>IF($A5823&lt;Notes!$B$5,"",IF(COUNTIFS(Release_Calendar!$A$2:$A$755,"NZ_GDP",Release_Calendar!$B$2:$B$755,$A5823)&gt;0,1,0))</f>
        <v>0</v>
      </c>
      <c r="O5823" s="16">
        <f>IF($A5823&lt;Notes!$B$5,"",IF(COUNTIFS(Release_Calendar!$A$2:$A$755,"NZ_LABOUR",Release_Calendar!$B$2:$B$755,$A5823)&gt;0,1,0))</f>
        <v>0</v>
      </c>
      <c r="P5823" s="16">
        <f t="shared" si="4"/>
        <v>0</v>
      </c>
    </row>
    <row r="5824" ht="15.75" customHeight="1">
      <c r="A5824" s="14">
        <v>44678.0</v>
      </c>
      <c r="B5824" s="15">
        <v>2.58</v>
      </c>
      <c r="C5824" s="15">
        <v>3.8</v>
      </c>
      <c r="D5824" s="15"/>
      <c r="E5824" s="15">
        <v>3.32</v>
      </c>
      <c r="F5824" s="15">
        <f t="shared" si="1"/>
        <v>1.22</v>
      </c>
      <c r="G5824" s="15">
        <f t="shared" si="2"/>
        <v>3.8</v>
      </c>
      <c r="H5824" s="16">
        <v>0.0</v>
      </c>
      <c r="I5824" s="15">
        <f t="shared" si="3"/>
        <v>1.22</v>
      </c>
      <c r="J5824" s="15">
        <v>31.6</v>
      </c>
      <c r="K5824" s="16">
        <f>IF(COUNTIFS(Release_Calendar!$A$2:$A$755,"US_CPI",Release_Calendar!$B$2:$B$755,$A5824)&gt;0,1,0)</f>
        <v>0</v>
      </c>
      <c r="L5824" s="16">
        <f>IF(COUNTIFS(Release_Calendar!$A$2:$A$755,"US_NFP",Release_Calendar!$B$2:$B$755,$A5824)&gt;0,1,0)</f>
        <v>0</v>
      </c>
      <c r="M5824" s="16">
        <f>IF($A5824&lt;Notes!$B$5,"",IF(COUNTIFS(Release_Calendar!$A$2:$A$755,"NZ_CPI",Release_Calendar!$B$2:$B$755,$A5824)&gt;0,1,0))</f>
        <v>0</v>
      </c>
      <c r="N5824" s="16">
        <f>IF($A5824&lt;Notes!$B$5,"",IF(COUNTIFS(Release_Calendar!$A$2:$A$755,"NZ_GDP",Release_Calendar!$B$2:$B$755,$A5824)&gt;0,1,0))</f>
        <v>0</v>
      </c>
      <c r="O5824" s="16">
        <f>IF($A5824&lt;Notes!$B$5,"",IF(COUNTIFS(Release_Calendar!$A$2:$A$755,"NZ_LABOUR",Release_Calendar!$B$2:$B$755,$A5824)&gt;0,1,0))</f>
        <v>0</v>
      </c>
      <c r="P5824" s="16">
        <f t="shared" si="4"/>
        <v>0</v>
      </c>
    </row>
    <row r="5825" ht="15.75" customHeight="1">
      <c r="A5825" s="14">
        <v>44679.0</v>
      </c>
      <c r="B5825" s="15">
        <v>2.63</v>
      </c>
      <c r="C5825" s="15">
        <v>3.77</v>
      </c>
      <c r="D5825" s="15"/>
      <c r="E5825" s="15">
        <v>3.28</v>
      </c>
      <c r="F5825" s="15">
        <f t="shared" si="1"/>
        <v>1.14</v>
      </c>
      <c r="G5825" s="15">
        <f t="shared" si="2"/>
        <v>3.77</v>
      </c>
      <c r="H5825" s="16">
        <v>0.0</v>
      </c>
      <c r="I5825" s="15">
        <f t="shared" si="3"/>
        <v>1.14</v>
      </c>
      <c r="J5825" s="15">
        <v>29.99</v>
      </c>
      <c r="K5825" s="16">
        <f>IF(COUNTIFS(Release_Calendar!$A$2:$A$755,"US_CPI",Release_Calendar!$B$2:$B$755,$A5825)&gt;0,1,0)</f>
        <v>0</v>
      </c>
      <c r="L5825" s="16">
        <f>IF(COUNTIFS(Release_Calendar!$A$2:$A$755,"US_NFP",Release_Calendar!$B$2:$B$755,$A5825)&gt;0,1,0)</f>
        <v>0</v>
      </c>
      <c r="M5825" s="16">
        <f>IF($A5825&lt;Notes!$B$5,"",IF(COUNTIFS(Release_Calendar!$A$2:$A$755,"NZ_CPI",Release_Calendar!$B$2:$B$755,$A5825)&gt;0,1,0))</f>
        <v>0</v>
      </c>
      <c r="N5825" s="16">
        <f>IF($A5825&lt;Notes!$B$5,"",IF(COUNTIFS(Release_Calendar!$A$2:$A$755,"NZ_GDP",Release_Calendar!$B$2:$B$755,$A5825)&gt;0,1,0))</f>
        <v>0</v>
      </c>
      <c r="O5825" s="16">
        <f>IF($A5825&lt;Notes!$B$5,"",IF(COUNTIFS(Release_Calendar!$A$2:$A$755,"NZ_LABOUR",Release_Calendar!$B$2:$B$755,$A5825)&gt;0,1,0))</f>
        <v>0</v>
      </c>
      <c r="P5825" s="16">
        <f t="shared" si="4"/>
        <v>0</v>
      </c>
    </row>
    <row r="5826" ht="15.75" customHeight="1">
      <c r="A5826" s="14">
        <v>44680.0</v>
      </c>
      <c r="B5826" s="15">
        <v>2.7</v>
      </c>
      <c r="C5826" s="15">
        <v>3.81</v>
      </c>
      <c r="D5826" s="15"/>
      <c r="E5826" s="15">
        <v>3.32</v>
      </c>
      <c r="F5826" s="15">
        <f t="shared" si="1"/>
        <v>1.11</v>
      </c>
      <c r="G5826" s="15">
        <f t="shared" si="2"/>
        <v>3.81</v>
      </c>
      <c r="H5826" s="16">
        <v>0.0</v>
      </c>
      <c r="I5826" s="15">
        <f t="shared" si="3"/>
        <v>1.11</v>
      </c>
      <c r="J5826" s="15">
        <v>33.4</v>
      </c>
      <c r="K5826" s="16">
        <f>IF(COUNTIFS(Release_Calendar!$A$2:$A$755,"US_CPI",Release_Calendar!$B$2:$B$755,$A5826)&gt;0,1,0)</f>
        <v>0</v>
      </c>
      <c r="L5826" s="16">
        <f>IF(COUNTIFS(Release_Calendar!$A$2:$A$755,"US_NFP",Release_Calendar!$B$2:$B$755,$A5826)&gt;0,1,0)</f>
        <v>0</v>
      </c>
      <c r="M5826" s="16">
        <f>IF($A5826&lt;Notes!$B$5,"",IF(COUNTIFS(Release_Calendar!$A$2:$A$755,"NZ_CPI",Release_Calendar!$B$2:$B$755,$A5826)&gt;0,1,0))</f>
        <v>0</v>
      </c>
      <c r="N5826" s="16">
        <f>IF($A5826&lt;Notes!$B$5,"",IF(COUNTIFS(Release_Calendar!$A$2:$A$755,"NZ_GDP",Release_Calendar!$B$2:$B$755,$A5826)&gt;0,1,0))</f>
        <v>0</v>
      </c>
      <c r="O5826" s="16">
        <f>IF($A5826&lt;Notes!$B$5,"",IF(COUNTIFS(Release_Calendar!$A$2:$A$755,"NZ_LABOUR",Release_Calendar!$B$2:$B$755,$A5826)&gt;0,1,0))</f>
        <v>0</v>
      </c>
      <c r="P5826" s="16">
        <f t="shared" si="4"/>
        <v>0</v>
      </c>
    </row>
    <row r="5827" ht="15.75" customHeight="1">
      <c r="A5827" s="14">
        <v>44683.0</v>
      </c>
      <c r="B5827" s="15">
        <v>2.73</v>
      </c>
      <c r="C5827" s="15">
        <v>3.85</v>
      </c>
      <c r="D5827" s="15"/>
      <c r="E5827" s="15">
        <v>3.36</v>
      </c>
      <c r="F5827" s="15">
        <f t="shared" si="1"/>
        <v>1.12</v>
      </c>
      <c r="G5827" s="15">
        <f t="shared" si="2"/>
        <v>3.85</v>
      </c>
      <c r="H5827" s="16">
        <v>0.0</v>
      </c>
      <c r="I5827" s="15">
        <f t="shared" si="3"/>
        <v>1.12</v>
      </c>
      <c r="J5827" s="15">
        <v>32.34</v>
      </c>
      <c r="K5827" s="16">
        <f>IF(COUNTIFS(Release_Calendar!$A$2:$A$755,"US_CPI",Release_Calendar!$B$2:$B$755,$A5827)&gt;0,1,0)</f>
        <v>0</v>
      </c>
      <c r="L5827" s="16">
        <f>IF(COUNTIFS(Release_Calendar!$A$2:$A$755,"US_NFP",Release_Calendar!$B$2:$B$755,$A5827)&gt;0,1,0)</f>
        <v>0</v>
      </c>
      <c r="M5827" s="16">
        <f>IF($A5827&lt;Notes!$B$5,"",IF(COUNTIFS(Release_Calendar!$A$2:$A$755,"NZ_CPI",Release_Calendar!$B$2:$B$755,$A5827)&gt;0,1,0))</f>
        <v>0</v>
      </c>
      <c r="N5827" s="16">
        <f>IF($A5827&lt;Notes!$B$5,"",IF(COUNTIFS(Release_Calendar!$A$2:$A$755,"NZ_GDP",Release_Calendar!$B$2:$B$755,$A5827)&gt;0,1,0))</f>
        <v>0</v>
      </c>
      <c r="O5827" s="16">
        <f>IF($A5827&lt;Notes!$B$5,"",IF(COUNTIFS(Release_Calendar!$A$2:$A$755,"NZ_LABOUR",Release_Calendar!$B$2:$B$755,$A5827)&gt;0,1,0))</f>
        <v>0</v>
      </c>
      <c r="P5827" s="16">
        <f t="shared" si="4"/>
        <v>0</v>
      </c>
    </row>
    <row r="5828" ht="15.75" customHeight="1">
      <c r="A5828" s="14">
        <v>44684.0</v>
      </c>
      <c r="B5828" s="15">
        <v>2.78</v>
      </c>
      <c r="C5828" s="15">
        <v>3.87</v>
      </c>
      <c r="D5828" s="15"/>
      <c r="E5828" s="15">
        <v>3.37</v>
      </c>
      <c r="F5828" s="15">
        <f t="shared" si="1"/>
        <v>1.09</v>
      </c>
      <c r="G5828" s="15">
        <f t="shared" si="2"/>
        <v>3.87</v>
      </c>
      <c r="H5828" s="16">
        <v>0.0</v>
      </c>
      <c r="I5828" s="15">
        <f t="shared" si="3"/>
        <v>1.09</v>
      </c>
      <c r="J5828" s="15">
        <v>29.25</v>
      </c>
      <c r="K5828" s="16">
        <f>IF(COUNTIFS(Release_Calendar!$A$2:$A$755,"US_CPI",Release_Calendar!$B$2:$B$755,$A5828)&gt;0,1,0)</f>
        <v>0</v>
      </c>
      <c r="L5828" s="16">
        <f>IF(COUNTIFS(Release_Calendar!$A$2:$A$755,"US_NFP",Release_Calendar!$B$2:$B$755,$A5828)&gt;0,1,0)</f>
        <v>0</v>
      </c>
      <c r="M5828" s="16">
        <f>IF($A5828&lt;Notes!$B$5,"",IF(COUNTIFS(Release_Calendar!$A$2:$A$755,"NZ_CPI",Release_Calendar!$B$2:$B$755,$A5828)&gt;0,1,0))</f>
        <v>0</v>
      </c>
      <c r="N5828" s="16">
        <f>IF($A5828&lt;Notes!$B$5,"",IF(COUNTIFS(Release_Calendar!$A$2:$A$755,"NZ_GDP",Release_Calendar!$B$2:$B$755,$A5828)&gt;0,1,0))</f>
        <v>0</v>
      </c>
      <c r="O5828" s="16">
        <f>IF($A5828&lt;Notes!$B$5,"",IF(COUNTIFS(Release_Calendar!$A$2:$A$755,"NZ_LABOUR",Release_Calendar!$B$2:$B$755,$A5828)&gt;0,1,0))</f>
        <v>0</v>
      </c>
      <c r="P5828" s="16">
        <f t="shared" si="4"/>
        <v>0</v>
      </c>
    </row>
    <row r="5829" ht="15.75" customHeight="1">
      <c r="A5829" s="14">
        <v>44685.0</v>
      </c>
      <c r="B5829" s="15">
        <v>2.66</v>
      </c>
      <c r="C5829" s="15">
        <v>3.99</v>
      </c>
      <c r="D5829" s="15"/>
      <c r="E5829" s="15">
        <v>3.48</v>
      </c>
      <c r="F5829" s="15">
        <f t="shared" si="1"/>
        <v>1.33</v>
      </c>
      <c r="G5829" s="15">
        <f t="shared" si="2"/>
        <v>3.99</v>
      </c>
      <c r="H5829" s="16">
        <v>0.0</v>
      </c>
      <c r="I5829" s="15">
        <f t="shared" si="3"/>
        <v>1.33</v>
      </c>
      <c r="J5829" s="15">
        <v>25.42</v>
      </c>
      <c r="K5829" s="16">
        <f>IF(COUNTIFS(Release_Calendar!$A$2:$A$755,"US_CPI",Release_Calendar!$B$2:$B$755,$A5829)&gt;0,1,0)</f>
        <v>0</v>
      </c>
      <c r="L5829" s="16">
        <f>IF(COUNTIFS(Release_Calendar!$A$2:$A$755,"US_NFP",Release_Calendar!$B$2:$B$755,$A5829)&gt;0,1,0)</f>
        <v>0</v>
      </c>
      <c r="M5829" s="16">
        <f>IF($A5829&lt;Notes!$B$5,"",IF(COUNTIFS(Release_Calendar!$A$2:$A$755,"NZ_CPI",Release_Calendar!$B$2:$B$755,$A5829)&gt;0,1,0))</f>
        <v>0</v>
      </c>
      <c r="N5829" s="16">
        <f>IF($A5829&lt;Notes!$B$5,"",IF(COUNTIFS(Release_Calendar!$A$2:$A$755,"NZ_GDP",Release_Calendar!$B$2:$B$755,$A5829)&gt;0,1,0))</f>
        <v>0</v>
      </c>
      <c r="O5829" s="16">
        <f>IF($A5829&lt;Notes!$B$5,"",IF(COUNTIFS(Release_Calendar!$A$2:$A$755,"NZ_LABOUR",Release_Calendar!$B$2:$B$755,$A5829)&gt;0,1,0))</f>
        <v>1</v>
      </c>
      <c r="P5829" s="16">
        <f t="shared" si="4"/>
        <v>1</v>
      </c>
    </row>
    <row r="5830" ht="15.75" customHeight="1">
      <c r="A5830" s="14">
        <v>44686.0</v>
      </c>
      <c r="B5830" s="15">
        <v>2.71</v>
      </c>
      <c r="C5830" s="15">
        <v>3.88</v>
      </c>
      <c r="D5830" s="15"/>
      <c r="E5830" s="15">
        <v>3.39</v>
      </c>
      <c r="F5830" s="15">
        <f t="shared" si="1"/>
        <v>1.17</v>
      </c>
      <c r="G5830" s="15">
        <f t="shared" si="2"/>
        <v>3.88</v>
      </c>
      <c r="H5830" s="16">
        <v>0.0</v>
      </c>
      <c r="I5830" s="15">
        <f t="shared" si="3"/>
        <v>1.17</v>
      </c>
      <c r="J5830" s="15">
        <v>31.2</v>
      </c>
      <c r="K5830" s="16">
        <f>IF(COUNTIFS(Release_Calendar!$A$2:$A$755,"US_CPI",Release_Calendar!$B$2:$B$755,$A5830)&gt;0,1,0)</f>
        <v>0</v>
      </c>
      <c r="L5830" s="16">
        <f>IF(COUNTIFS(Release_Calendar!$A$2:$A$755,"US_NFP",Release_Calendar!$B$2:$B$755,$A5830)&gt;0,1,0)</f>
        <v>0</v>
      </c>
      <c r="M5830" s="16">
        <f>IF($A5830&lt;Notes!$B$5,"",IF(COUNTIFS(Release_Calendar!$A$2:$A$755,"NZ_CPI",Release_Calendar!$B$2:$B$755,$A5830)&gt;0,1,0))</f>
        <v>0</v>
      </c>
      <c r="N5830" s="16">
        <f>IF($A5830&lt;Notes!$B$5,"",IF(COUNTIFS(Release_Calendar!$A$2:$A$755,"NZ_GDP",Release_Calendar!$B$2:$B$755,$A5830)&gt;0,1,0))</f>
        <v>0</v>
      </c>
      <c r="O5830" s="16">
        <f>IF($A5830&lt;Notes!$B$5,"",IF(COUNTIFS(Release_Calendar!$A$2:$A$755,"NZ_LABOUR",Release_Calendar!$B$2:$B$755,$A5830)&gt;0,1,0))</f>
        <v>0</v>
      </c>
      <c r="P5830" s="16">
        <f t="shared" si="4"/>
        <v>0</v>
      </c>
    </row>
    <row r="5831" ht="15.75" customHeight="1">
      <c r="A5831" s="14">
        <v>44687.0</v>
      </c>
      <c r="B5831" s="15">
        <v>2.72</v>
      </c>
      <c r="C5831" s="15">
        <v>3.89</v>
      </c>
      <c r="D5831" s="15"/>
      <c r="E5831" s="15">
        <v>3.42</v>
      </c>
      <c r="F5831" s="15">
        <f t="shared" si="1"/>
        <v>1.17</v>
      </c>
      <c r="G5831" s="15">
        <f t="shared" si="2"/>
        <v>3.89</v>
      </c>
      <c r="H5831" s="16">
        <v>0.0</v>
      </c>
      <c r="I5831" s="15">
        <f t="shared" si="3"/>
        <v>1.17</v>
      </c>
      <c r="J5831" s="15">
        <v>30.19</v>
      </c>
      <c r="K5831" s="16">
        <f>IF(COUNTIFS(Release_Calendar!$A$2:$A$755,"US_CPI",Release_Calendar!$B$2:$B$755,$A5831)&gt;0,1,0)</f>
        <v>0</v>
      </c>
      <c r="L5831" s="16">
        <f>IF(COUNTIFS(Release_Calendar!$A$2:$A$755,"US_NFP",Release_Calendar!$B$2:$B$755,$A5831)&gt;0,1,0)</f>
        <v>1</v>
      </c>
      <c r="M5831" s="16">
        <f>IF($A5831&lt;Notes!$B$5,"",IF(COUNTIFS(Release_Calendar!$A$2:$A$755,"NZ_CPI",Release_Calendar!$B$2:$B$755,$A5831)&gt;0,1,0))</f>
        <v>0</v>
      </c>
      <c r="N5831" s="16">
        <f>IF($A5831&lt;Notes!$B$5,"",IF(COUNTIFS(Release_Calendar!$A$2:$A$755,"NZ_GDP",Release_Calendar!$B$2:$B$755,$A5831)&gt;0,1,0))</f>
        <v>0</v>
      </c>
      <c r="O5831" s="16">
        <f>IF($A5831&lt;Notes!$B$5,"",IF(COUNTIFS(Release_Calendar!$A$2:$A$755,"NZ_LABOUR",Release_Calendar!$B$2:$B$755,$A5831)&gt;0,1,0))</f>
        <v>0</v>
      </c>
      <c r="P5831" s="16">
        <f t="shared" si="4"/>
        <v>1</v>
      </c>
    </row>
    <row r="5832" ht="15.75" customHeight="1">
      <c r="A5832" s="14">
        <v>44690.0</v>
      </c>
      <c r="B5832" s="15">
        <v>2.61</v>
      </c>
      <c r="C5832" s="15">
        <v>3.88</v>
      </c>
      <c r="D5832" s="15"/>
      <c r="E5832" s="15">
        <v>3.42</v>
      </c>
      <c r="F5832" s="15">
        <f t="shared" si="1"/>
        <v>1.27</v>
      </c>
      <c r="G5832" s="15">
        <f t="shared" si="2"/>
        <v>3.88</v>
      </c>
      <c r="H5832" s="16">
        <v>0.0</v>
      </c>
      <c r="I5832" s="15">
        <f t="shared" si="3"/>
        <v>1.27</v>
      </c>
      <c r="J5832" s="15">
        <v>34.75</v>
      </c>
      <c r="K5832" s="16">
        <f>IF(COUNTIFS(Release_Calendar!$A$2:$A$755,"US_CPI",Release_Calendar!$B$2:$B$755,$A5832)&gt;0,1,0)</f>
        <v>0</v>
      </c>
      <c r="L5832" s="16">
        <f>IF(COUNTIFS(Release_Calendar!$A$2:$A$755,"US_NFP",Release_Calendar!$B$2:$B$755,$A5832)&gt;0,1,0)</f>
        <v>0</v>
      </c>
      <c r="M5832" s="16">
        <f>IF($A5832&lt;Notes!$B$5,"",IF(COUNTIFS(Release_Calendar!$A$2:$A$755,"NZ_CPI",Release_Calendar!$B$2:$B$755,$A5832)&gt;0,1,0))</f>
        <v>0</v>
      </c>
      <c r="N5832" s="16">
        <f>IF($A5832&lt;Notes!$B$5,"",IF(COUNTIFS(Release_Calendar!$A$2:$A$755,"NZ_GDP",Release_Calendar!$B$2:$B$755,$A5832)&gt;0,1,0))</f>
        <v>0</v>
      </c>
      <c r="O5832" s="16">
        <f>IF($A5832&lt;Notes!$B$5,"",IF(COUNTIFS(Release_Calendar!$A$2:$A$755,"NZ_LABOUR",Release_Calendar!$B$2:$B$755,$A5832)&gt;0,1,0))</f>
        <v>0</v>
      </c>
      <c r="P5832" s="16">
        <f t="shared" si="4"/>
        <v>0</v>
      </c>
    </row>
    <row r="5833" ht="15.75" customHeight="1">
      <c r="A5833" s="14">
        <v>44691.0</v>
      </c>
      <c r="B5833" s="15">
        <v>2.62</v>
      </c>
      <c r="C5833" s="15">
        <v>3.83</v>
      </c>
      <c r="D5833" s="15"/>
      <c r="E5833" s="15">
        <v>3.38</v>
      </c>
      <c r="F5833" s="15">
        <f t="shared" si="1"/>
        <v>1.21</v>
      </c>
      <c r="G5833" s="15">
        <f t="shared" si="2"/>
        <v>3.83</v>
      </c>
      <c r="H5833" s="16">
        <v>0.0</v>
      </c>
      <c r="I5833" s="15">
        <f t="shared" si="3"/>
        <v>1.21</v>
      </c>
      <c r="J5833" s="15">
        <v>32.99</v>
      </c>
      <c r="K5833" s="16">
        <f>IF(COUNTIFS(Release_Calendar!$A$2:$A$755,"US_CPI",Release_Calendar!$B$2:$B$755,$A5833)&gt;0,1,0)</f>
        <v>0</v>
      </c>
      <c r="L5833" s="16">
        <f>IF(COUNTIFS(Release_Calendar!$A$2:$A$755,"US_NFP",Release_Calendar!$B$2:$B$755,$A5833)&gt;0,1,0)</f>
        <v>0</v>
      </c>
      <c r="M5833" s="16">
        <f>IF($A5833&lt;Notes!$B$5,"",IF(COUNTIFS(Release_Calendar!$A$2:$A$755,"NZ_CPI",Release_Calendar!$B$2:$B$755,$A5833)&gt;0,1,0))</f>
        <v>0</v>
      </c>
      <c r="N5833" s="16">
        <f>IF($A5833&lt;Notes!$B$5,"",IF(COUNTIFS(Release_Calendar!$A$2:$A$755,"NZ_GDP",Release_Calendar!$B$2:$B$755,$A5833)&gt;0,1,0))</f>
        <v>0</v>
      </c>
      <c r="O5833" s="16">
        <f>IF($A5833&lt;Notes!$B$5,"",IF(COUNTIFS(Release_Calendar!$A$2:$A$755,"NZ_LABOUR",Release_Calendar!$B$2:$B$755,$A5833)&gt;0,1,0))</f>
        <v>0</v>
      </c>
      <c r="P5833" s="16">
        <f t="shared" si="4"/>
        <v>0</v>
      </c>
    </row>
    <row r="5834" ht="15.75" customHeight="1">
      <c r="A5834" s="14">
        <v>44692.0</v>
      </c>
      <c r="B5834" s="15">
        <v>2.66</v>
      </c>
      <c r="C5834" s="15">
        <v>3.74</v>
      </c>
      <c r="D5834" s="15"/>
      <c r="E5834" s="15">
        <v>3.33</v>
      </c>
      <c r="F5834" s="15">
        <f t="shared" si="1"/>
        <v>1.08</v>
      </c>
      <c r="G5834" s="15">
        <f t="shared" si="2"/>
        <v>3.74</v>
      </c>
      <c r="H5834" s="16">
        <v>0.0</v>
      </c>
      <c r="I5834" s="15">
        <f t="shared" si="3"/>
        <v>1.08</v>
      </c>
      <c r="J5834" s="15">
        <v>32.56</v>
      </c>
      <c r="K5834" s="16">
        <f>IF(COUNTIFS(Release_Calendar!$A$2:$A$755,"US_CPI",Release_Calendar!$B$2:$B$755,$A5834)&gt;0,1,0)</f>
        <v>1</v>
      </c>
      <c r="L5834" s="16">
        <f>IF(COUNTIFS(Release_Calendar!$A$2:$A$755,"US_NFP",Release_Calendar!$B$2:$B$755,$A5834)&gt;0,1,0)</f>
        <v>0</v>
      </c>
      <c r="M5834" s="16">
        <f>IF($A5834&lt;Notes!$B$5,"",IF(COUNTIFS(Release_Calendar!$A$2:$A$755,"NZ_CPI",Release_Calendar!$B$2:$B$755,$A5834)&gt;0,1,0))</f>
        <v>0</v>
      </c>
      <c r="N5834" s="16">
        <f>IF($A5834&lt;Notes!$B$5,"",IF(COUNTIFS(Release_Calendar!$A$2:$A$755,"NZ_GDP",Release_Calendar!$B$2:$B$755,$A5834)&gt;0,1,0))</f>
        <v>0</v>
      </c>
      <c r="O5834" s="16">
        <f>IF($A5834&lt;Notes!$B$5,"",IF(COUNTIFS(Release_Calendar!$A$2:$A$755,"NZ_LABOUR",Release_Calendar!$B$2:$B$755,$A5834)&gt;0,1,0))</f>
        <v>0</v>
      </c>
      <c r="P5834" s="16">
        <f t="shared" si="4"/>
        <v>1</v>
      </c>
    </row>
    <row r="5835" ht="15.75" customHeight="1">
      <c r="A5835" s="14">
        <v>44693.0</v>
      </c>
      <c r="B5835" s="15">
        <v>2.56</v>
      </c>
      <c r="C5835" s="15">
        <v>3.64</v>
      </c>
      <c r="D5835" s="15"/>
      <c r="E5835" s="15">
        <v>3.25</v>
      </c>
      <c r="F5835" s="15">
        <f t="shared" si="1"/>
        <v>1.08</v>
      </c>
      <c r="G5835" s="15">
        <f t="shared" si="2"/>
        <v>3.64</v>
      </c>
      <c r="H5835" s="16">
        <v>0.0</v>
      </c>
      <c r="I5835" s="15">
        <f t="shared" si="3"/>
        <v>1.08</v>
      </c>
      <c r="J5835" s="15">
        <v>31.77</v>
      </c>
      <c r="K5835" s="16">
        <f>IF(COUNTIFS(Release_Calendar!$A$2:$A$755,"US_CPI",Release_Calendar!$B$2:$B$755,$A5835)&gt;0,1,0)</f>
        <v>0</v>
      </c>
      <c r="L5835" s="16">
        <f>IF(COUNTIFS(Release_Calendar!$A$2:$A$755,"US_NFP",Release_Calendar!$B$2:$B$755,$A5835)&gt;0,1,0)</f>
        <v>0</v>
      </c>
      <c r="M5835" s="16">
        <f>IF($A5835&lt;Notes!$B$5,"",IF(COUNTIFS(Release_Calendar!$A$2:$A$755,"NZ_CPI",Release_Calendar!$B$2:$B$755,$A5835)&gt;0,1,0))</f>
        <v>0</v>
      </c>
      <c r="N5835" s="16">
        <f>IF($A5835&lt;Notes!$B$5,"",IF(COUNTIFS(Release_Calendar!$A$2:$A$755,"NZ_GDP",Release_Calendar!$B$2:$B$755,$A5835)&gt;0,1,0))</f>
        <v>0</v>
      </c>
      <c r="O5835" s="16">
        <f>IF($A5835&lt;Notes!$B$5,"",IF(COUNTIFS(Release_Calendar!$A$2:$A$755,"NZ_LABOUR",Release_Calendar!$B$2:$B$755,$A5835)&gt;0,1,0))</f>
        <v>0</v>
      </c>
      <c r="P5835" s="16">
        <f t="shared" si="4"/>
        <v>0</v>
      </c>
    </row>
    <row r="5836" ht="15.75" customHeight="1">
      <c r="A5836" s="14">
        <v>44694.0</v>
      </c>
      <c r="B5836" s="15">
        <v>2.61</v>
      </c>
      <c r="C5836" s="15">
        <v>3.55</v>
      </c>
      <c r="D5836" s="15"/>
      <c r="E5836" s="15">
        <v>3.15</v>
      </c>
      <c r="F5836" s="15">
        <f t="shared" si="1"/>
        <v>0.94</v>
      </c>
      <c r="G5836" s="15">
        <f t="shared" si="2"/>
        <v>3.55</v>
      </c>
      <c r="H5836" s="16">
        <v>0.0</v>
      </c>
      <c r="I5836" s="15">
        <f t="shared" si="3"/>
        <v>0.94</v>
      </c>
      <c r="J5836" s="15">
        <v>28.87</v>
      </c>
      <c r="K5836" s="16">
        <f>IF(COUNTIFS(Release_Calendar!$A$2:$A$755,"US_CPI",Release_Calendar!$B$2:$B$755,$A5836)&gt;0,1,0)</f>
        <v>0</v>
      </c>
      <c r="L5836" s="16">
        <f>IF(COUNTIFS(Release_Calendar!$A$2:$A$755,"US_NFP",Release_Calendar!$B$2:$B$755,$A5836)&gt;0,1,0)</f>
        <v>0</v>
      </c>
      <c r="M5836" s="16">
        <f>IF($A5836&lt;Notes!$B$5,"",IF(COUNTIFS(Release_Calendar!$A$2:$A$755,"NZ_CPI",Release_Calendar!$B$2:$B$755,$A5836)&gt;0,1,0))</f>
        <v>0</v>
      </c>
      <c r="N5836" s="16">
        <f>IF($A5836&lt;Notes!$B$5,"",IF(COUNTIFS(Release_Calendar!$A$2:$A$755,"NZ_GDP",Release_Calendar!$B$2:$B$755,$A5836)&gt;0,1,0))</f>
        <v>0</v>
      </c>
      <c r="O5836" s="16">
        <f>IF($A5836&lt;Notes!$B$5,"",IF(COUNTIFS(Release_Calendar!$A$2:$A$755,"NZ_LABOUR",Release_Calendar!$B$2:$B$755,$A5836)&gt;0,1,0))</f>
        <v>0</v>
      </c>
      <c r="P5836" s="16">
        <f t="shared" si="4"/>
        <v>0</v>
      </c>
    </row>
    <row r="5837" ht="15.75" customHeight="1">
      <c r="A5837" s="14">
        <v>44697.0</v>
      </c>
      <c r="B5837" s="15">
        <v>2.58</v>
      </c>
      <c r="C5837" s="15">
        <v>3.51</v>
      </c>
      <c r="D5837" s="15"/>
      <c r="E5837" s="15">
        <v>3.11</v>
      </c>
      <c r="F5837" s="15">
        <f t="shared" si="1"/>
        <v>0.93</v>
      </c>
      <c r="G5837" s="15">
        <f t="shared" si="2"/>
        <v>3.51</v>
      </c>
      <c r="H5837" s="16">
        <v>0.0</v>
      </c>
      <c r="I5837" s="15">
        <f t="shared" si="3"/>
        <v>0.93</v>
      </c>
      <c r="J5837" s="15">
        <v>27.47</v>
      </c>
      <c r="K5837" s="16">
        <f>IF(COUNTIFS(Release_Calendar!$A$2:$A$755,"US_CPI",Release_Calendar!$B$2:$B$755,$A5837)&gt;0,1,0)</f>
        <v>0</v>
      </c>
      <c r="L5837" s="16">
        <f>IF(COUNTIFS(Release_Calendar!$A$2:$A$755,"US_NFP",Release_Calendar!$B$2:$B$755,$A5837)&gt;0,1,0)</f>
        <v>0</v>
      </c>
      <c r="M5837" s="16">
        <f>IF($A5837&lt;Notes!$B$5,"",IF(COUNTIFS(Release_Calendar!$A$2:$A$755,"NZ_CPI",Release_Calendar!$B$2:$B$755,$A5837)&gt;0,1,0))</f>
        <v>0</v>
      </c>
      <c r="N5837" s="16">
        <f>IF($A5837&lt;Notes!$B$5,"",IF(COUNTIFS(Release_Calendar!$A$2:$A$755,"NZ_GDP",Release_Calendar!$B$2:$B$755,$A5837)&gt;0,1,0))</f>
        <v>0</v>
      </c>
      <c r="O5837" s="16">
        <f>IF($A5837&lt;Notes!$B$5,"",IF(COUNTIFS(Release_Calendar!$A$2:$A$755,"NZ_LABOUR",Release_Calendar!$B$2:$B$755,$A5837)&gt;0,1,0))</f>
        <v>0</v>
      </c>
      <c r="P5837" s="16">
        <f t="shared" si="4"/>
        <v>0</v>
      </c>
    </row>
    <row r="5838" ht="15.75" customHeight="1">
      <c r="A5838" s="14">
        <v>44698.0</v>
      </c>
      <c r="B5838" s="15">
        <v>2.71</v>
      </c>
      <c r="C5838" s="15">
        <v>3.58</v>
      </c>
      <c r="D5838" s="15"/>
      <c r="E5838" s="15">
        <v>3.17</v>
      </c>
      <c r="F5838" s="15">
        <f t="shared" si="1"/>
        <v>0.87</v>
      </c>
      <c r="G5838" s="15">
        <f t="shared" si="2"/>
        <v>3.58</v>
      </c>
      <c r="H5838" s="16">
        <v>0.0</v>
      </c>
      <c r="I5838" s="15">
        <f t="shared" si="3"/>
        <v>0.87</v>
      </c>
      <c r="J5838" s="15">
        <v>26.1</v>
      </c>
      <c r="K5838" s="16">
        <f>IF(COUNTIFS(Release_Calendar!$A$2:$A$755,"US_CPI",Release_Calendar!$B$2:$B$755,$A5838)&gt;0,1,0)</f>
        <v>0</v>
      </c>
      <c r="L5838" s="16">
        <f>IF(COUNTIFS(Release_Calendar!$A$2:$A$755,"US_NFP",Release_Calendar!$B$2:$B$755,$A5838)&gt;0,1,0)</f>
        <v>0</v>
      </c>
      <c r="M5838" s="16">
        <f>IF($A5838&lt;Notes!$B$5,"",IF(COUNTIFS(Release_Calendar!$A$2:$A$755,"NZ_CPI",Release_Calendar!$B$2:$B$755,$A5838)&gt;0,1,0))</f>
        <v>0</v>
      </c>
      <c r="N5838" s="16">
        <f>IF($A5838&lt;Notes!$B$5,"",IF(COUNTIFS(Release_Calendar!$A$2:$A$755,"NZ_GDP",Release_Calendar!$B$2:$B$755,$A5838)&gt;0,1,0))</f>
        <v>0</v>
      </c>
      <c r="O5838" s="16">
        <f>IF($A5838&lt;Notes!$B$5,"",IF(COUNTIFS(Release_Calendar!$A$2:$A$755,"NZ_LABOUR",Release_Calendar!$B$2:$B$755,$A5838)&gt;0,1,0))</f>
        <v>0</v>
      </c>
      <c r="P5838" s="16">
        <f t="shared" si="4"/>
        <v>0</v>
      </c>
    </row>
    <row r="5839" ht="15.75" customHeight="1">
      <c r="A5839" s="14">
        <v>44699.0</v>
      </c>
      <c r="B5839" s="15">
        <v>2.68</v>
      </c>
      <c r="C5839" s="15">
        <v>3.58</v>
      </c>
      <c r="D5839" s="15"/>
      <c r="E5839" s="15">
        <v>3.16</v>
      </c>
      <c r="F5839" s="15">
        <f t="shared" si="1"/>
        <v>0.9</v>
      </c>
      <c r="G5839" s="15">
        <f t="shared" si="2"/>
        <v>3.58</v>
      </c>
      <c r="H5839" s="16">
        <v>0.0</v>
      </c>
      <c r="I5839" s="15">
        <f t="shared" si="3"/>
        <v>0.9</v>
      </c>
      <c r="J5839" s="15">
        <v>30.96</v>
      </c>
      <c r="K5839" s="16">
        <f>IF(COUNTIFS(Release_Calendar!$A$2:$A$755,"US_CPI",Release_Calendar!$B$2:$B$755,$A5839)&gt;0,1,0)</f>
        <v>0</v>
      </c>
      <c r="L5839" s="16">
        <f>IF(COUNTIFS(Release_Calendar!$A$2:$A$755,"US_NFP",Release_Calendar!$B$2:$B$755,$A5839)&gt;0,1,0)</f>
        <v>0</v>
      </c>
      <c r="M5839" s="16">
        <f>IF($A5839&lt;Notes!$B$5,"",IF(COUNTIFS(Release_Calendar!$A$2:$A$755,"NZ_CPI",Release_Calendar!$B$2:$B$755,$A5839)&gt;0,1,0))</f>
        <v>0</v>
      </c>
      <c r="N5839" s="16">
        <f>IF($A5839&lt;Notes!$B$5,"",IF(COUNTIFS(Release_Calendar!$A$2:$A$755,"NZ_GDP",Release_Calendar!$B$2:$B$755,$A5839)&gt;0,1,0))</f>
        <v>0</v>
      </c>
      <c r="O5839" s="16">
        <f>IF($A5839&lt;Notes!$B$5,"",IF(COUNTIFS(Release_Calendar!$A$2:$A$755,"NZ_LABOUR",Release_Calendar!$B$2:$B$755,$A5839)&gt;0,1,0))</f>
        <v>0</v>
      </c>
      <c r="P5839" s="16">
        <f t="shared" si="4"/>
        <v>0</v>
      </c>
    </row>
    <row r="5840" ht="15.75" customHeight="1">
      <c r="A5840" s="14">
        <v>44700.0</v>
      </c>
      <c r="B5840" s="15">
        <v>2.63</v>
      </c>
      <c r="C5840" s="15">
        <v>3.55</v>
      </c>
      <c r="D5840" s="15"/>
      <c r="E5840" s="15">
        <v>3.17</v>
      </c>
      <c r="F5840" s="15">
        <f t="shared" si="1"/>
        <v>0.92</v>
      </c>
      <c r="G5840" s="15">
        <f t="shared" si="2"/>
        <v>3.55</v>
      </c>
      <c r="H5840" s="16">
        <v>0.0</v>
      </c>
      <c r="I5840" s="15">
        <f t="shared" si="3"/>
        <v>0.92</v>
      </c>
      <c r="J5840" s="15">
        <v>29.35</v>
      </c>
      <c r="K5840" s="16">
        <f>IF(COUNTIFS(Release_Calendar!$A$2:$A$755,"US_CPI",Release_Calendar!$B$2:$B$755,$A5840)&gt;0,1,0)</f>
        <v>0</v>
      </c>
      <c r="L5840" s="16">
        <f>IF(COUNTIFS(Release_Calendar!$A$2:$A$755,"US_NFP",Release_Calendar!$B$2:$B$755,$A5840)&gt;0,1,0)</f>
        <v>0</v>
      </c>
      <c r="M5840" s="16">
        <f>IF($A5840&lt;Notes!$B$5,"",IF(COUNTIFS(Release_Calendar!$A$2:$A$755,"NZ_CPI",Release_Calendar!$B$2:$B$755,$A5840)&gt;0,1,0))</f>
        <v>0</v>
      </c>
      <c r="N5840" s="16">
        <f>IF($A5840&lt;Notes!$B$5,"",IF(COUNTIFS(Release_Calendar!$A$2:$A$755,"NZ_GDP",Release_Calendar!$B$2:$B$755,$A5840)&gt;0,1,0))</f>
        <v>0</v>
      </c>
      <c r="O5840" s="16">
        <f>IF($A5840&lt;Notes!$B$5,"",IF(COUNTIFS(Release_Calendar!$A$2:$A$755,"NZ_LABOUR",Release_Calendar!$B$2:$B$755,$A5840)&gt;0,1,0))</f>
        <v>0</v>
      </c>
      <c r="P5840" s="16">
        <f t="shared" si="4"/>
        <v>0</v>
      </c>
    </row>
    <row r="5841" ht="15.75" customHeight="1">
      <c r="A5841" s="14">
        <v>44701.0</v>
      </c>
      <c r="B5841" s="15">
        <v>2.6</v>
      </c>
      <c r="C5841" s="15">
        <v>3.51</v>
      </c>
      <c r="D5841" s="15"/>
      <c r="E5841" s="15">
        <v>3.1</v>
      </c>
      <c r="F5841" s="15">
        <f t="shared" si="1"/>
        <v>0.91</v>
      </c>
      <c r="G5841" s="15">
        <f t="shared" si="2"/>
        <v>3.51</v>
      </c>
      <c r="H5841" s="16">
        <v>0.0</v>
      </c>
      <c r="I5841" s="15">
        <f t="shared" si="3"/>
        <v>0.91</v>
      </c>
      <c r="J5841" s="15">
        <v>29.43</v>
      </c>
      <c r="K5841" s="16">
        <f>IF(COUNTIFS(Release_Calendar!$A$2:$A$755,"US_CPI",Release_Calendar!$B$2:$B$755,$A5841)&gt;0,1,0)</f>
        <v>0</v>
      </c>
      <c r="L5841" s="16">
        <f>IF(COUNTIFS(Release_Calendar!$A$2:$A$755,"US_NFP",Release_Calendar!$B$2:$B$755,$A5841)&gt;0,1,0)</f>
        <v>0</v>
      </c>
      <c r="M5841" s="16">
        <f>IF($A5841&lt;Notes!$B$5,"",IF(COUNTIFS(Release_Calendar!$A$2:$A$755,"NZ_CPI",Release_Calendar!$B$2:$B$755,$A5841)&gt;0,1,0))</f>
        <v>0</v>
      </c>
      <c r="N5841" s="16">
        <f>IF($A5841&lt;Notes!$B$5,"",IF(COUNTIFS(Release_Calendar!$A$2:$A$755,"NZ_GDP",Release_Calendar!$B$2:$B$755,$A5841)&gt;0,1,0))</f>
        <v>0</v>
      </c>
      <c r="O5841" s="16">
        <f>IF($A5841&lt;Notes!$B$5,"",IF(COUNTIFS(Release_Calendar!$A$2:$A$755,"NZ_LABOUR",Release_Calendar!$B$2:$B$755,$A5841)&gt;0,1,0))</f>
        <v>0</v>
      </c>
      <c r="P5841" s="16">
        <f t="shared" si="4"/>
        <v>0</v>
      </c>
    </row>
    <row r="5842" ht="15.75" customHeight="1">
      <c r="A5842" s="14">
        <v>44704.0</v>
      </c>
      <c r="B5842" s="15">
        <v>2.65</v>
      </c>
      <c r="C5842" s="15">
        <v>3.57</v>
      </c>
      <c r="D5842" s="15"/>
      <c r="E5842" s="15">
        <v>3.14</v>
      </c>
      <c r="F5842" s="15">
        <f t="shared" si="1"/>
        <v>0.92</v>
      </c>
      <c r="G5842" s="15">
        <f t="shared" si="2"/>
        <v>3.57</v>
      </c>
      <c r="H5842" s="16">
        <v>0.0</v>
      </c>
      <c r="I5842" s="15">
        <f t="shared" si="3"/>
        <v>0.92</v>
      </c>
      <c r="J5842" s="15">
        <v>28.48</v>
      </c>
      <c r="K5842" s="16">
        <f>IF(COUNTIFS(Release_Calendar!$A$2:$A$755,"US_CPI",Release_Calendar!$B$2:$B$755,$A5842)&gt;0,1,0)</f>
        <v>0</v>
      </c>
      <c r="L5842" s="16">
        <f>IF(COUNTIFS(Release_Calendar!$A$2:$A$755,"US_NFP",Release_Calendar!$B$2:$B$755,$A5842)&gt;0,1,0)</f>
        <v>0</v>
      </c>
      <c r="M5842" s="16">
        <f>IF($A5842&lt;Notes!$B$5,"",IF(COUNTIFS(Release_Calendar!$A$2:$A$755,"NZ_CPI",Release_Calendar!$B$2:$B$755,$A5842)&gt;0,1,0))</f>
        <v>0</v>
      </c>
      <c r="N5842" s="16">
        <f>IF($A5842&lt;Notes!$B$5,"",IF(COUNTIFS(Release_Calendar!$A$2:$A$755,"NZ_GDP",Release_Calendar!$B$2:$B$755,$A5842)&gt;0,1,0))</f>
        <v>0</v>
      </c>
      <c r="O5842" s="16">
        <f>IF($A5842&lt;Notes!$B$5,"",IF(COUNTIFS(Release_Calendar!$A$2:$A$755,"NZ_LABOUR",Release_Calendar!$B$2:$B$755,$A5842)&gt;0,1,0))</f>
        <v>0</v>
      </c>
      <c r="P5842" s="16">
        <f t="shared" si="4"/>
        <v>0</v>
      </c>
    </row>
    <row r="5843" ht="15.75" customHeight="1">
      <c r="A5843" s="14">
        <v>44705.0</v>
      </c>
      <c r="B5843" s="15">
        <v>2.5</v>
      </c>
      <c r="C5843" s="15">
        <v>3.55</v>
      </c>
      <c r="D5843" s="15"/>
      <c r="E5843" s="15">
        <v>3.11</v>
      </c>
      <c r="F5843" s="15">
        <f t="shared" si="1"/>
        <v>1.05</v>
      </c>
      <c r="G5843" s="15">
        <f t="shared" si="2"/>
        <v>3.55</v>
      </c>
      <c r="H5843" s="16">
        <v>0.0</v>
      </c>
      <c r="I5843" s="15">
        <f t="shared" si="3"/>
        <v>1.05</v>
      </c>
      <c r="J5843" s="15">
        <v>29.45</v>
      </c>
      <c r="K5843" s="16">
        <f>IF(COUNTIFS(Release_Calendar!$A$2:$A$755,"US_CPI",Release_Calendar!$B$2:$B$755,$A5843)&gt;0,1,0)</f>
        <v>0</v>
      </c>
      <c r="L5843" s="16">
        <f>IF(COUNTIFS(Release_Calendar!$A$2:$A$755,"US_NFP",Release_Calendar!$B$2:$B$755,$A5843)&gt;0,1,0)</f>
        <v>0</v>
      </c>
      <c r="M5843" s="16">
        <f>IF($A5843&lt;Notes!$B$5,"",IF(COUNTIFS(Release_Calendar!$A$2:$A$755,"NZ_CPI",Release_Calendar!$B$2:$B$755,$A5843)&gt;0,1,0))</f>
        <v>0</v>
      </c>
      <c r="N5843" s="16">
        <f>IF($A5843&lt;Notes!$B$5,"",IF(COUNTIFS(Release_Calendar!$A$2:$A$755,"NZ_GDP",Release_Calendar!$B$2:$B$755,$A5843)&gt;0,1,0))</f>
        <v>0</v>
      </c>
      <c r="O5843" s="16">
        <f>IF($A5843&lt;Notes!$B$5,"",IF(COUNTIFS(Release_Calendar!$A$2:$A$755,"NZ_LABOUR",Release_Calendar!$B$2:$B$755,$A5843)&gt;0,1,0))</f>
        <v>0</v>
      </c>
      <c r="P5843" s="16">
        <f t="shared" si="4"/>
        <v>0</v>
      </c>
    </row>
    <row r="5844" ht="15.75" customHeight="1">
      <c r="A5844" s="14">
        <v>44706.0</v>
      </c>
      <c r="B5844" s="15">
        <v>2.48</v>
      </c>
      <c r="C5844" s="15">
        <v>3.73</v>
      </c>
      <c r="D5844" s="15"/>
      <c r="E5844" s="15">
        <v>3.27</v>
      </c>
      <c r="F5844" s="15">
        <f t="shared" si="1"/>
        <v>1.25</v>
      </c>
      <c r="G5844" s="15">
        <f t="shared" si="2"/>
        <v>3.73</v>
      </c>
      <c r="H5844" s="16">
        <v>0.0</v>
      </c>
      <c r="I5844" s="15">
        <f t="shared" si="3"/>
        <v>1.25</v>
      </c>
      <c r="J5844" s="15">
        <v>28.37</v>
      </c>
      <c r="K5844" s="16">
        <f>IF(COUNTIFS(Release_Calendar!$A$2:$A$755,"US_CPI",Release_Calendar!$B$2:$B$755,$A5844)&gt;0,1,0)</f>
        <v>0</v>
      </c>
      <c r="L5844" s="16">
        <f>IF(COUNTIFS(Release_Calendar!$A$2:$A$755,"US_NFP",Release_Calendar!$B$2:$B$755,$A5844)&gt;0,1,0)</f>
        <v>0</v>
      </c>
      <c r="M5844" s="16">
        <f>IF($A5844&lt;Notes!$B$5,"",IF(COUNTIFS(Release_Calendar!$A$2:$A$755,"NZ_CPI",Release_Calendar!$B$2:$B$755,$A5844)&gt;0,1,0))</f>
        <v>0</v>
      </c>
      <c r="N5844" s="16">
        <f>IF($A5844&lt;Notes!$B$5,"",IF(COUNTIFS(Release_Calendar!$A$2:$A$755,"NZ_GDP",Release_Calendar!$B$2:$B$755,$A5844)&gt;0,1,0))</f>
        <v>0</v>
      </c>
      <c r="O5844" s="16">
        <f>IF($A5844&lt;Notes!$B$5,"",IF(COUNTIFS(Release_Calendar!$A$2:$A$755,"NZ_LABOUR",Release_Calendar!$B$2:$B$755,$A5844)&gt;0,1,0))</f>
        <v>0</v>
      </c>
      <c r="P5844" s="16">
        <f t="shared" si="4"/>
        <v>0</v>
      </c>
    </row>
    <row r="5845" ht="15.75" customHeight="1">
      <c r="A5845" s="14">
        <v>44707.0</v>
      </c>
      <c r="B5845" s="15">
        <v>2.46</v>
      </c>
      <c r="C5845" s="15">
        <v>3.76</v>
      </c>
      <c r="D5845" s="15"/>
      <c r="E5845" s="15">
        <v>3.28</v>
      </c>
      <c r="F5845" s="15">
        <f t="shared" si="1"/>
        <v>1.3</v>
      </c>
      <c r="G5845" s="15">
        <f t="shared" si="2"/>
        <v>3.76</v>
      </c>
      <c r="H5845" s="16">
        <v>0.0</v>
      </c>
      <c r="I5845" s="15">
        <f t="shared" si="3"/>
        <v>1.3</v>
      </c>
      <c r="J5845" s="15">
        <v>27.5</v>
      </c>
      <c r="K5845" s="16">
        <f>IF(COUNTIFS(Release_Calendar!$A$2:$A$755,"US_CPI",Release_Calendar!$B$2:$B$755,$A5845)&gt;0,1,0)</f>
        <v>0</v>
      </c>
      <c r="L5845" s="16">
        <f>IF(COUNTIFS(Release_Calendar!$A$2:$A$755,"US_NFP",Release_Calendar!$B$2:$B$755,$A5845)&gt;0,1,0)</f>
        <v>0</v>
      </c>
      <c r="M5845" s="16">
        <f>IF($A5845&lt;Notes!$B$5,"",IF(COUNTIFS(Release_Calendar!$A$2:$A$755,"NZ_CPI",Release_Calendar!$B$2:$B$755,$A5845)&gt;0,1,0))</f>
        <v>0</v>
      </c>
      <c r="N5845" s="16">
        <f>IF($A5845&lt;Notes!$B$5,"",IF(COUNTIFS(Release_Calendar!$A$2:$A$755,"NZ_GDP",Release_Calendar!$B$2:$B$755,$A5845)&gt;0,1,0))</f>
        <v>0</v>
      </c>
      <c r="O5845" s="16">
        <f>IF($A5845&lt;Notes!$B$5,"",IF(COUNTIFS(Release_Calendar!$A$2:$A$755,"NZ_LABOUR",Release_Calendar!$B$2:$B$755,$A5845)&gt;0,1,0))</f>
        <v>0</v>
      </c>
      <c r="P5845" s="16">
        <f t="shared" si="4"/>
        <v>0</v>
      </c>
    </row>
    <row r="5846" ht="15.75" customHeight="1">
      <c r="A5846" s="14">
        <v>44708.0</v>
      </c>
      <c r="B5846" s="15">
        <v>2.47</v>
      </c>
      <c r="C5846" s="15">
        <v>3.79</v>
      </c>
      <c r="D5846" s="15"/>
      <c r="E5846" s="15">
        <v>3.31</v>
      </c>
      <c r="F5846" s="15">
        <f t="shared" si="1"/>
        <v>1.32</v>
      </c>
      <c r="G5846" s="15">
        <f t="shared" si="2"/>
        <v>3.79</v>
      </c>
      <c r="H5846" s="16">
        <v>0.0</v>
      </c>
      <c r="I5846" s="15">
        <f t="shared" si="3"/>
        <v>1.32</v>
      </c>
      <c r="J5846" s="15">
        <v>25.72</v>
      </c>
      <c r="K5846" s="16">
        <f>IF(COUNTIFS(Release_Calendar!$A$2:$A$755,"US_CPI",Release_Calendar!$B$2:$B$755,$A5846)&gt;0,1,0)</f>
        <v>0</v>
      </c>
      <c r="L5846" s="16">
        <f>IF(COUNTIFS(Release_Calendar!$A$2:$A$755,"US_NFP",Release_Calendar!$B$2:$B$755,$A5846)&gt;0,1,0)</f>
        <v>0</v>
      </c>
      <c r="M5846" s="16">
        <f>IF($A5846&lt;Notes!$B$5,"",IF(COUNTIFS(Release_Calendar!$A$2:$A$755,"NZ_CPI",Release_Calendar!$B$2:$B$755,$A5846)&gt;0,1,0))</f>
        <v>0</v>
      </c>
      <c r="N5846" s="16">
        <f>IF($A5846&lt;Notes!$B$5,"",IF(COUNTIFS(Release_Calendar!$A$2:$A$755,"NZ_GDP",Release_Calendar!$B$2:$B$755,$A5846)&gt;0,1,0))</f>
        <v>0</v>
      </c>
      <c r="O5846" s="16">
        <f>IF($A5846&lt;Notes!$B$5,"",IF(COUNTIFS(Release_Calendar!$A$2:$A$755,"NZ_LABOUR",Release_Calendar!$B$2:$B$755,$A5846)&gt;0,1,0))</f>
        <v>0</v>
      </c>
      <c r="P5846" s="16">
        <f t="shared" si="4"/>
        <v>0</v>
      </c>
    </row>
    <row r="5847" ht="15.75" customHeight="1">
      <c r="A5847" s="14">
        <v>44711.0</v>
      </c>
      <c r="B5847" s="15"/>
      <c r="C5847" s="15">
        <v>3.79</v>
      </c>
      <c r="D5847" s="15"/>
      <c r="E5847" s="15">
        <v>3.31</v>
      </c>
      <c r="F5847" s="15" t="str">
        <f t="shared" si="1"/>
        <v/>
      </c>
      <c r="G5847" s="15">
        <f t="shared" si="2"/>
        <v>3.79</v>
      </c>
      <c r="H5847" s="16">
        <v>0.0</v>
      </c>
      <c r="I5847" s="15" t="str">
        <f t="shared" si="3"/>
        <v/>
      </c>
      <c r="J5847" s="15">
        <v>26.54</v>
      </c>
      <c r="K5847" s="16">
        <f>IF(COUNTIFS(Release_Calendar!$A$2:$A$755,"US_CPI",Release_Calendar!$B$2:$B$755,$A5847)&gt;0,1,0)</f>
        <v>0</v>
      </c>
      <c r="L5847" s="16">
        <f>IF(COUNTIFS(Release_Calendar!$A$2:$A$755,"US_NFP",Release_Calendar!$B$2:$B$755,$A5847)&gt;0,1,0)</f>
        <v>0</v>
      </c>
      <c r="M5847" s="16">
        <f>IF($A5847&lt;Notes!$B$5,"",IF(COUNTIFS(Release_Calendar!$A$2:$A$755,"NZ_CPI",Release_Calendar!$B$2:$B$755,$A5847)&gt;0,1,0))</f>
        <v>0</v>
      </c>
      <c r="N5847" s="16">
        <f>IF($A5847&lt;Notes!$B$5,"",IF(COUNTIFS(Release_Calendar!$A$2:$A$755,"NZ_GDP",Release_Calendar!$B$2:$B$755,$A5847)&gt;0,1,0))</f>
        <v>0</v>
      </c>
      <c r="O5847" s="16">
        <f>IF($A5847&lt;Notes!$B$5,"",IF(COUNTIFS(Release_Calendar!$A$2:$A$755,"NZ_LABOUR",Release_Calendar!$B$2:$B$755,$A5847)&gt;0,1,0))</f>
        <v>0</v>
      </c>
      <c r="P5847" s="16">
        <f t="shared" si="4"/>
        <v>0</v>
      </c>
    </row>
    <row r="5848" ht="15.75" customHeight="1">
      <c r="A5848" s="14">
        <v>44712.0</v>
      </c>
      <c r="B5848" s="15">
        <v>2.53</v>
      </c>
      <c r="C5848" s="15">
        <v>3.91</v>
      </c>
      <c r="D5848" s="15"/>
      <c r="E5848" s="15">
        <v>3.36</v>
      </c>
      <c r="F5848" s="15">
        <f t="shared" si="1"/>
        <v>1.38</v>
      </c>
      <c r="G5848" s="15">
        <f t="shared" si="2"/>
        <v>3.91</v>
      </c>
      <c r="H5848" s="16">
        <v>0.0</v>
      </c>
      <c r="I5848" s="15">
        <f t="shared" si="3"/>
        <v>1.38</v>
      </c>
      <c r="J5848" s="15">
        <v>26.19</v>
      </c>
      <c r="K5848" s="16">
        <f>IF(COUNTIFS(Release_Calendar!$A$2:$A$755,"US_CPI",Release_Calendar!$B$2:$B$755,$A5848)&gt;0,1,0)</f>
        <v>0</v>
      </c>
      <c r="L5848" s="16">
        <f>IF(COUNTIFS(Release_Calendar!$A$2:$A$755,"US_NFP",Release_Calendar!$B$2:$B$755,$A5848)&gt;0,1,0)</f>
        <v>0</v>
      </c>
      <c r="M5848" s="16">
        <f>IF($A5848&lt;Notes!$B$5,"",IF(COUNTIFS(Release_Calendar!$A$2:$A$755,"NZ_CPI",Release_Calendar!$B$2:$B$755,$A5848)&gt;0,1,0))</f>
        <v>0</v>
      </c>
      <c r="N5848" s="16">
        <f>IF($A5848&lt;Notes!$B$5,"",IF(COUNTIFS(Release_Calendar!$A$2:$A$755,"NZ_GDP",Release_Calendar!$B$2:$B$755,$A5848)&gt;0,1,0))</f>
        <v>0</v>
      </c>
      <c r="O5848" s="16">
        <f>IF($A5848&lt;Notes!$B$5,"",IF(COUNTIFS(Release_Calendar!$A$2:$A$755,"NZ_LABOUR",Release_Calendar!$B$2:$B$755,$A5848)&gt;0,1,0))</f>
        <v>0</v>
      </c>
      <c r="P5848" s="16">
        <f t="shared" si="4"/>
        <v>0</v>
      </c>
    </row>
    <row r="5849" ht="15.75" customHeight="1">
      <c r="A5849" s="14">
        <v>44713.0</v>
      </c>
      <c r="B5849" s="15">
        <v>2.66</v>
      </c>
      <c r="C5849" s="15">
        <v>3.87</v>
      </c>
      <c r="D5849" s="15"/>
      <c r="E5849" s="15">
        <v>3.34</v>
      </c>
      <c r="F5849" s="15">
        <f t="shared" si="1"/>
        <v>1.21</v>
      </c>
      <c r="G5849" s="15">
        <f t="shared" si="2"/>
        <v>3.87</v>
      </c>
      <c r="H5849" s="16">
        <v>0.0</v>
      </c>
      <c r="I5849" s="15">
        <f t="shared" si="3"/>
        <v>1.21</v>
      </c>
      <c r="J5849" s="15">
        <v>25.69</v>
      </c>
      <c r="K5849" s="16">
        <f>IF(COUNTIFS(Release_Calendar!$A$2:$A$755,"US_CPI",Release_Calendar!$B$2:$B$755,$A5849)&gt;0,1,0)</f>
        <v>0</v>
      </c>
      <c r="L5849" s="16">
        <f>IF(COUNTIFS(Release_Calendar!$A$2:$A$755,"US_NFP",Release_Calendar!$B$2:$B$755,$A5849)&gt;0,1,0)</f>
        <v>0</v>
      </c>
      <c r="M5849" s="16">
        <f>IF($A5849&lt;Notes!$B$5,"",IF(COUNTIFS(Release_Calendar!$A$2:$A$755,"NZ_CPI",Release_Calendar!$B$2:$B$755,$A5849)&gt;0,1,0))</f>
        <v>0</v>
      </c>
      <c r="N5849" s="16">
        <f>IF($A5849&lt;Notes!$B$5,"",IF(COUNTIFS(Release_Calendar!$A$2:$A$755,"NZ_GDP",Release_Calendar!$B$2:$B$755,$A5849)&gt;0,1,0))</f>
        <v>0</v>
      </c>
      <c r="O5849" s="16">
        <f>IF($A5849&lt;Notes!$B$5,"",IF(COUNTIFS(Release_Calendar!$A$2:$A$755,"NZ_LABOUR",Release_Calendar!$B$2:$B$755,$A5849)&gt;0,1,0))</f>
        <v>0</v>
      </c>
      <c r="P5849" s="16">
        <f t="shared" si="4"/>
        <v>0</v>
      </c>
    </row>
    <row r="5850" ht="15.75" customHeight="1">
      <c r="A5850" s="14">
        <v>44714.0</v>
      </c>
      <c r="B5850" s="15">
        <v>2.65</v>
      </c>
      <c r="C5850" s="15">
        <v>3.88</v>
      </c>
      <c r="D5850" s="15"/>
      <c r="E5850" s="15">
        <v>3.33</v>
      </c>
      <c r="F5850" s="15">
        <f t="shared" si="1"/>
        <v>1.23</v>
      </c>
      <c r="G5850" s="15">
        <f t="shared" si="2"/>
        <v>3.88</v>
      </c>
      <c r="H5850" s="16">
        <v>0.0</v>
      </c>
      <c r="I5850" s="15">
        <f t="shared" si="3"/>
        <v>1.23</v>
      </c>
      <c r="J5850" s="15">
        <v>24.72</v>
      </c>
      <c r="K5850" s="16">
        <f>IF(COUNTIFS(Release_Calendar!$A$2:$A$755,"US_CPI",Release_Calendar!$B$2:$B$755,$A5850)&gt;0,1,0)</f>
        <v>0</v>
      </c>
      <c r="L5850" s="16">
        <f>IF(COUNTIFS(Release_Calendar!$A$2:$A$755,"US_NFP",Release_Calendar!$B$2:$B$755,$A5850)&gt;0,1,0)</f>
        <v>0</v>
      </c>
      <c r="M5850" s="16">
        <f>IF($A5850&lt;Notes!$B$5,"",IF(COUNTIFS(Release_Calendar!$A$2:$A$755,"NZ_CPI",Release_Calendar!$B$2:$B$755,$A5850)&gt;0,1,0))</f>
        <v>0</v>
      </c>
      <c r="N5850" s="16">
        <f>IF($A5850&lt;Notes!$B$5,"",IF(COUNTIFS(Release_Calendar!$A$2:$A$755,"NZ_GDP",Release_Calendar!$B$2:$B$755,$A5850)&gt;0,1,0))</f>
        <v>0</v>
      </c>
      <c r="O5850" s="16">
        <f>IF($A5850&lt;Notes!$B$5,"",IF(COUNTIFS(Release_Calendar!$A$2:$A$755,"NZ_LABOUR",Release_Calendar!$B$2:$B$755,$A5850)&gt;0,1,0))</f>
        <v>0</v>
      </c>
      <c r="P5850" s="16">
        <f t="shared" si="4"/>
        <v>0</v>
      </c>
    </row>
    <row r="5851" ht="15.75" customHeight="1">
      <c r="A5851" s="14">
        <v>44715.0</v>
      </c>
      <c r="B5851" s="15">
        <v>2.66</v>
      </c>
      <c r="C5851" s="15">
        <v>3.88</v>
      </c>
      <c r="D5851" s="15"/>
      <c r="E5851" s="15">
        <v>3.34</v>
      </c>
      <c r="F5851" s="15">
        <f t="shared" si="1"/>
        <v>1.22</v>
      </c>
      <c r="G5851" s="15">
        <f t="shared" si="2"/>
        <v>3.88</v>
      </c>
      <c r="H5851" s="16">
        <v>0.0</v>
      </c>
      <c r="I5851" s="15">
        <f t="shared" si="3"/>
        <v>1.22</v>
      </c>
      <c r="J5851" s="15">
        <v>24.79</v>
      </c>
      <c r="K5851" s="16">
        <f>IF(COUNTIFS(Release_Calendar!$A$2:$A$755,"US_CPI",Release_Calendar!$B$2:$B$755,$A5851)&gt;0,1,0)</f>
        <v>0</v>
      </c>
      <c r="L5851" s="16">
        <f>IF(COUNTIFS(Release_Calendar!$A$2:$A$755,"US_NFP",Release_Calendar!$B$2:$B$755,$A5851)&gt;0,1,0)</f>
        <v>1</v>
      </c>
      <c r="M5851" s="16">
        <f>IF($A5851&lt;Notes!$B$5,"",IF(COUNTIFS(Release_Calendar!$A$2:$A$755,"NZ_CPI",Release_Calendar!$B$2:$B$755,$A5851)&gt;0,1,0))</f>
        <v>0</v>
      </c>
      <c r="N5851" s="16">
        <f>IF($A5851&lt;Notes!$B$5,"",IF(COUNTIFS(Release_Calendar!$A$2:$A$755,"NZ_GDP",Release_Calendar!$B$2:$B$755,$A5851)&gt;0,1,0))</f>
        <v>0</v>
      </c>
      <c r="O5851" s="16">
        <f>IF($A5851&lt;Notes!$B$5,"",IF(COUNTIFS(Release_Calendar!$A$2:$A$755,"NZ_LABOUR",Release_Calendar!$B$2:$B$755,$A5851)&gt;0,1,0))</f>
        <v>0</v>
      </c>
      <c r="P5851" s="16">
        <f t="shared" si="4"/>
        <v>1</v>
      </c>
    </row>
    <row r="5852" ht="15.75" customHeight="1">
      <c r="A5852" s="14">
        <v>44718.0</v>
      </c>
      <c r="B5852" s="15">
        <v>2.73</v>
      </c>
      <c r="C5852" s="15"/>
      <c r="D5852" s="15"/>
      <c r="E5852" s="15"/>
      <c r="F5852" s="15" t="str">
        <f t="shared" si="1"/>
        <v/>
      </c>
      <c r="G5852" s="15" t="str">
        <f t="shared" si="2"/>
        <v/>
      </c>
      <c r="H5852" s="16">
        <v>0.0</v>
      </c>
      <c r="I5852" s="15" t="str">
        <f t="shared" si="3"/>
        <v/>
      </c>
      <c r="J5852" s="15">
        <v>25.07</v>
      </c>
      <c r="K5852" s="16">
        <f>IF(COUNTIFS(Release_Calendar!$A$2:$A$755,"US_CPI",Release_Calendar!$B$2:$B$755,$A5852)&gt;0,1,0)</f>
        <v>0</v>
      </c>
      <c r="L5852" s="16">
        <f>IF(COUNTIFS(Release_Calendar!$A$2:$A$755,"US_NFP",Release_Calendar!$B$2:$B$755,$A5852)&gt;0,1,0)</f>
        <v>0</v>
      </c>
      <c r="M5852" s="16">
        <f>IF($A5852&lt;Notes!$B$5,"",IF(COUNTIFS(Release_Calendar!$A$2:$A$755,"NZ_CPI",Release_Calendar!$B$2:$B$755,$A5852)&gt;0,1,0))</f>
        <v>0</v>
      </c>
      <c r="N5852" s="16">
        <f>IF($A5852&lt;Notes!$B$5,"",IF(COUNTIFS(Release_Calendar!$A$2:$A$755,"NZ_GDP",Release_Calendar!$B$2:$B$755,$A5852)&gt;0,1,0))</f>
        <v>0</v>
      </c>
      <c r="O5852" s="16">
        <f>IF($A5852&lt;Notes!$B$5,"",IF(COUNTIFS(Release_Calendar!$A$2:$A$755,"NZ_LABOUR",Release_Calendar!$B$2:$B$755,$A5852)&gt;0,1,0))</f>
        <v>0</v>
      </c>
      <c r="P5852" s="16">
        <f t="shared" si="4"/>
        <v>0</v>
      </c>
    </row>
    <row r="5853" ht="15.75" customHeight="1">
      <c r="A5853" s="14">
        <v>44719.0</v>
      </c>
      <c r="B5853" s="15">
        <v>2.75</v>
      </c>
      <c r="C5853" s="15">
        <v>3.9</v>
      </c>
      <c r="D5853" s="15"/>
      <c r="E5853" s="15">
        <v>3.38</v>
      </c>
      <c r="F5853" s="15">
        <f t="shared" si="1"/>
        <v>1.15</v>
      </c>
      <c r="G5853" s="15">
        <f t="shared" si="2"/>
        <v>3.9</v>
      </c>
      <c r="H5853" s="16">
        <v>0.0</v>
      </c>
      <c r="I5853" s="15">
        <f t="shared" si="3"/>
        <v>1.15</v>
      </c>
      <c r="J5853" s="15">
        <v>24.02</v>
      </c>
      <c r="K5853" s="16">
        <f>IF(COUNTIFS(Release_Calendar!$A$2:$A$755,"US_CPI",Release_Calendar!$B$2:$B$755,$A5853)&gt;0,1,0)</f>
        <v>0</v>
      </c>
      <c r="L5853" s="16">
        <f>IF(COUNTIFS(Release_Calendar!$A$2:$A$755,"US_NFP",Release_Calendar!$B$2:$B$755,$A5853)&gt;0,1,0)</f>
        <v>0</v>
      </c>
      <c r="M5853" s="16">
        <f>IF($A5853&lt;Notes!$B$5,"",IF(COUNTIFS(Release_Calendar!$A$2:$A$755,"NZ_CPI",Release_Calendar!$B$2:$B$755,$A5853)&gt;0,1,0))</f>
        <v>0</v>
      </c>
      <c r="N5853" s="16">
        <f>IF($A5853&lt;Notes!$B$5,"",IF(COUNTIFS(Release_Calendar!$A$2:$A$755,"NZ_GDP",Release_Calendar!$B$2:$B$755,$A5853)&gt;0,1,0))</f>
        <v>0</v>
      </c>
      <c r="O5853" s="16">
        <f>IF($A5853&lt;Notes!$B$5,"",IF(COUNTIFS(Release_Calendar!$A$2:$A$755,"NZ_LABOUR",Release_Calendar!$B$2:$B$755,$A5853)&gt;0,1,0))</f>
        <v>0</v>
      </c>
      <c r="P5853" s="16">
        <f t="shared" si="4"/>
        <v>0</v>
      </c>
    </row>
    <row r="5854" ht="15.75" customHeight="1">
      <c r="A5854" s="14">
        <v>44720.0</v>
      </c>
      <c r="B5854" s="15">
        <v>2.78</v>
      </c>
      <c r="C5854" s="15">
        <v>3.95</v>
      </c>
      <c r="D5854" s="15"/>
      <c r="E5854" s="15">
        <v>3.45</v>
      </c>
      <c r="F5854" s="15">
        <f t="shared" si="1"/>
        <v>1.17</v>
      </c>
      <c r="G5854" s="15">
        <f t="shared" si="2"/>
        <v>3.95</v>
      </c>
      <c r="H5854" s="16">
        <v>0.0</v>
      </c>
      <c r="I5854" s="15">
        <f t="shared" si="3"/>
        <v>1.17</v>
      </c>
      <c r="J5854" s="15">
        <v>23.96</v>
      </c>
      <c r="K5854" s="16">
        <f>IF(COUNTIFS(Release_Calendar!$A$2:$A$755,"US_CPI",Release_Calendar!$B$2:$B$755,$A5854)&gt;0,1,0)</f>
        <v>0</v>
      </c>
      <c r="L5854" s="16">
        <f>IF(COUNTIFS(Release_Calendar!$A$2:$A$755,"US_NFP",Release_Calendar!$B$2:$B$755,$A5854)&gt;0,1,0)</f>
        <v>0</v>
      </c>
      <c r="M5854" s="16">
        <f>IF($A5854&lt;Notes!$B$5,"",IF(COUNTIFS(Release_Calendar!$A$2:$A$755,"NZ_CPI",Release_Calendar!$B$2:$B$755,$A5854)&gt;0,1,0))</f>
        <v>0</v>
      </c>
      <c r="N5854" s="16">
        <f>IF($A5854&lt;Notes!$B$5,"",IF(COUNTIFS(Release_Calendar!$A$2:$A$755,"NZ_GDP",Release_Calendar!$B$2:$B$755,$A5854)&gt;0,1,0))</f>
        <v>0</v>
      </c>
      <c r="O5854" s="16">
        <f>IF($A5854&lt;Notes!$B$5,"",IF(COUNTIFS(Release_Calendar!$A$2:$A$755,"NZ_LABOUR",Release_Calendar!$B$2:$B$755,$A5854)&gt;0,1,0))</f>
        <v>0</v>
      </c>
      <c r="P5854" s="16">
        <f t="shared" si="4"/>
        <v>0</v>
      </c>
    </row>
    <row r="5855" ht="15.75" customHeight="1">
      <c r="A5855" s="14">
        <v>44721.0</v>
      </c>
      <c r="B5855" s="15">
        <v>2.83</v>
      </c>
      <c r="C5855" s="15">
        <v>3.97</v>
      </c>
      <c r="D5855" s="15"/>
      <c r="E5855" s="15">
        <v>3.47</v>
      </c>
      <c r="F5855" s="15">
        <f t="shared" si="1"/>
        <v>1.14</v>
      </c>
      <c r="G5855" s="15">
        <f t="shared" si="2"/>
        <v>3.97</v>
      </c>
      <c r="H5855" s="16">
        <v>0.0</v>
      </c>
      <c r="I5855" s="15">
        <f t="shared" si="3"/>
        <v>1.14</v>
      </c>
      <c r="J5855" s="15">
        <v>26.09</v>
      </c>
      <c r="K5855" s="16">
        <f>IF(COUNTIFS(Release_Calendar!$A$2:$A$755,"US_CPI",Release_Calendar!$B$2:$B$755,$A5855)&gt;0,1,0)</f>
        <v>0</v>
      </c>
      <c r="L5855" s="16">
        <f>IF(COUNTIFS(Release_Calendar!$A$2:$A$755,"US_NFP",Release_Calendar!$B$2:$B$755,$A5855)&gt;0,1,0)</f>
        <v>0</v>
      </c>
      <c r="M5855" s="16">
        <f>IF($A5855&lt;Notes!$B$5,"",IF(COUNTIFS(Release_Calendar!$A$2:$A$755,"NZ_CPI",Release_Calendar!$B$2:$B$755,$A5855)&gt;0,1,0))</f>
        <v>0</v>
      </c>
      <c r="N5855" s="16">
        <f>IF($A5855&lt;Notes!$B$5,"",IF(COUNTIFS(Release_Calendar!$A$2:$A$755,"NZ_GDP",Release_Calendar!$B$2:$B$755,$A5855)&gt;0,1,0))</f>
        <v>0</v>
      </c>
      <c r="O5855" s="16">
        <f>IF($A5855&lt;Notes!$B$5,"",IF(COUNTIFS(Release_Calendar!$A$2:$A$755,"NZ_LABOUR",Release_Calendar!$B$2:$B$755,$A5855)&gt;0,1,0))</f>
        <v>0</v>
      </c>
      <c r="P5855" s="16">
        <f t="shared" si="4"/>
        <v>0</v>
      </c>
    </row>
    <row r="5856" ht="15.75" customHeight="1">
      <c r="A5856" s="14">
        <v>44722.0</v>
      </c>
      <c r="B5856" s="15">
        <v>3.06</v>
      </c>
      <c r="C5856" s="15">
        <v>4.01</v>
      </c>
      <c r="D5856" s="15"/>
      <c r="E5856" s="15">
        <v>3.47</v>
      </c>
      <c r="F5856" s="15">
        <f t="shared" si="1"/>
        <v>0.95</v>
      </c>
      <c r="G5856" s="15">
        <f t="shared" si="2"/>
        <v>4.01</v>
      </c>
      <c r="H5856" s="16">
        <v>0.0</v>
      </c>
      <c r="I5856" s="15">
        <f t="shared" si="3"/>
        <v>0.95</v>
      </c>
      <c r="J5856" s="15">
        <v>27.75</v>
      </c>
      <c r="K5856" s="16">
        <f>IF(COUNTIFS(Release_Calendar!$A$2:$A$755,"US_CPI",Release_Calendar!$B$2:$B$755,$A5856)&gt;0,1,0)</f>
        <v>1</v>
      </c>
      <c r="L5856" s="16">
        <f>IF(COUNTIFS(Release_Calendar!$A$2:$A$755,"US_NFP",Release_Calendar!$B$2:$B$755,$A5856)&gt;0,1,0)</f>
        <v>0</v>
      </c>
      <c r="M5856" s="16">
        <f>IF($A5856&lt;Notes!$B$5,"",IF(COUNTIFS(Release_Calendar!$A$2:$A$755,"NZ_CPI",Release_Calendar!$B$2:$B$755,$A5856)&gt;0,1,0))</f>
        <v>0</v>
      </c>
      <c r="N5856" s="16">
        <f>IF($A5856&lt;Notes!$B$5,"",IF(COUNTIFS(Release_Calendar!$A$2:$A$755,"NZ_GDP",Release_Calendar!$B$2:$B$755,$A5856)&gt;0,1,0))</f>
        <v>0</v>
      </c>
      <c r="O5856" s="16">
        <f>IF($A5856&lt;Notes!$B$5,"",IF(COUNTIFS(Release_Calendar!$A$2:$A$755,"NZ_LABOUR",Release_Calendar!$B$2:$B$755,$A5856)&gt;0,1,0))</f>
        <v>0</v>
      </c>
      <c r="P5856" s="16">
        <f t="shared" si="4"/>
        <v>1</v>
      </c>
    </row>
    <row r="5857" ht="15.75" customHeight="1">
      <c r="A5857" s="14">
        <v>44725.0</v>
      </c>
      <c r="B5857" s="15">
        <v>3.4</v>
      </c>
      <c r="C5857" s="15">
        <v>4.13</v>
      </c>
      <c r="D5857" s="15"/>
      <c r="E5857" s="15">
        <v>3.6</v>
      </c>
      <c r="F5857" s="15">
        <f t="shared" si="1"/>
        <v>0.73</v>
      </c>
      <c r="G5857" s="15">
        <f t="shared" si="2"/>
        <v>4.13</v>
      </c>
      <c r="H5857" s="16">
        <v>0.0</v>
      </c>
      <c r="I5857" s="15">
        <f t="shared" si="3"/>
        <v>0.73</v>
      </c>
      <c r="J5857" s="15">
        <v>34.02</v>
      </c>
      <c r="K5857" s="16">
        <f>IF(COUNTIFS(Release_Calendar!$A$2:$A$755,"US_CPI",Release_Calendar!$B$2:$B$755,$A5857)&gt;0,1,0)</f>
        <v>0</v>
      </c>
      <c r="L5857" s="16">
        <f>IF(COUNTIFS(Release_Calendar!$A$2:$A$755,"US_NFP",Release_Calendar!$B$2:$B$755,$A5857)&gt;0,1,0)</f>
        <v>0</v>
      </c>
      <c r="M5857" s="16">
        <f>IF($A5857&lt;Notes!$B$5,"",IF(COUNTIFS(Release_Calendar!$A$2:$A$755,"NZ_CPI",Release_Calendar!$B$2:$B$755,$A5857)&gt;0,1,0))</f>
        <v>0</v>
      </c>
      <c r="N5857" s="16">
        <f>IF($A5857&lt;Notes!$B$5,"",IF(COUNTIFS(Release_Calendar!$A$2:$A$755,"NZ_GDP",Release_Calendar!$B$2:$B$755,$A5857)&gt;0,1,0))</f>
        <v>0</v>
      </c>
      <c r="O5857" s="16">
        <f>IF($A5857&lt;Notes!$B$5,"",IF(COUNTIFS(Release_Calendar!$A$2:$A$755,"NZ_LABOUR",Release_Calendar!$B$2:$B$755,$A5857)&gt;0,1,0))</f>
        <v>0</v>
      </c>
      <c r="P5857" s="16">
        <f t="shared" si="4"/>
        <v>0</v>
      </c>
    </row>
    <row r="5858" ht="15.75" customHeight="1">
      <c r="A5858" s="14">
        <v>44726.0</v>
      </c>
      <c r="B5858" s="15">
        <v>3.45</v>
      </c>
      <c r="C5858" s="15">
        <v>4.39</v>
      </c>
      <c r="D5858" s="15"/>
      <c r="E5858" s="15">
        <v>3.82</v>
      </c>
      <c r="F5858" s="15">
        <f t="shared" si="1"/>
        <v>0.94</v>
      </c>
      <c r="G5858" s="15">
        <f t="shared" si="2"/>
        <v>4.39</v>
      </c>
      <c r="H5858" s="16">
        <v>0.0</v>
      </c>
      <c r="I5858" s="15">
        <f t="shared" si="3"/>
        <v>0.94</v>
      </c>
      <c r="J5858" s="15">
        <v>32.69</v>
      </c>
      <c r="K5858" s="16">
        <f>IF(COUNTIFS(Release_Calendar!$A$2:$A$755,"US_CPI",Release_Calendar!$B$2:$B$755,$A5858)&gt;0,1,0)</f>
        <v>0</v>
      </c>
      <c r="L5858" s="16">
        <f>IF(COUNTIFS(Release_Calendar!$A$2:$A$755,"US_NFP",Release_Calendar!$B$2:$B$755,$A5858)&gt;0,1,0)</f>
        <v>0</v>
      </c>
      <c r="M5858" s="16">
        <f>IF($A5858&lt;Notes!$B$5,"",IF(COUNTIFS(Release_Calendar!$A$2:$A$755,"NZ_CPI",Release_Calendar!$B$2:$B$755,$A5858)&gt;0,1,0))</f>
        <v>0</v>
      </c>
      <c r="N5858" s="16">
        <f>IF($A5858&lt;Notes!$B$5,"",IF(COUNTIFS(Release_Calendar!$A$2:$A$755,"NZ_GDP",Release_Calendar!$B$2:$B$755,$A5858)&gt;0,1,0))</f>
        <v>0</v>
      </c>
      <c r="O5858" s="16">
        <f>IF($A5858&lt;Notes!$B$5,"",IF(COUNTIFS(Release_Calendar!$A$2:$A$755,"NZ_LABOUR",Release_Calendar!$B$2:$B$755,$A5858)&gt;0,1,0))</f>
        <v>0</v>
      </c>
      <c r="P5858" s="16">
        <f t="shared" si="4"/>
        <v>0</v>
      </c>
    </row>
    <row r="5859" ht="15.75" customHeight="1">
      <c r="A5859" s="14">
        <v>44727.0</v>
      </c>
      <c r="B5859" s="15">
        <v>3.2</v>
      </c>
      <c r="C5859" s="15">
        <v>4.55</v>
      </c>
      <c r="D5859" s="15"/>
      <c r="E5859" s="15">
        <v>3.92</v>
      </c>
      <c r="F5859" s="15">
        <f t="shared" si="1"/>
        <v>1.35</v>
      </c>
      <c r="G5859" s="15">
        <f t="shared" si="2"/>
        <v>4.55</v>
      </c>
      <c r="H5859" s="16">
        <v>0.0</v>
      </c>
      <c r="I5859" s="15">
        <f t="shared" si="3"/>
        <v>1.35</v>
      </c>
      <c r="J5859" s="15">
        <v>29.62</v>
      </c>
      <c r="K5859" s="16">
        <f>IF(COUNTIFS(Release_Calendar!$A$2:$A$755,"US_CPI",Release_Calendar!$B$2:$B$755,$A5859)&gt;0,1,0)</f>
        <v>0</v>
      </c>
      <c r="L5859" s="16">
        <f>IF(COUNTIFS(Release_Calendar!$A$2:$A$755,"US_NFP",Release_Calendar!$B$2:$B$755,$A5859)&gt;0,1,0)</f>
        <v>0</v>
      </c>
      <c r="M5859" s="16">
        <f>IF($A5859&lt;Notes!$B$5,"",IF(COUNTIFS(Release_Calendar!$A$2:$A$755,"NZ_CPI",Release_Calendar!$B$2:$B$755,$A5859)&gt;0,1,0))</f>
        <v>0</v>
      </c>
      <c r="N5859" s="16">
        <f>IF($A5859&lt;Notes!$B$5,"",IF(COUNTIFS(Release_Calendar!$A$2:$A$755,"NZ_GDP",Release_Calendar!$B$2:$B$755,$A5859)&gt;0,1,0))</f>
        <v>0</v>
      </c>
      <c r="O5859" s="16">
        <f>IF($A5859&lt;Notes!$B$5,"",IF(COUNTIFS(Release_Calendar!$A$2:$A$755,"NZ_LABOUR",Release_Calendar!$B$2:$B$755,$A5859)&gt;0,1,0))</f>
        <v>0</v>
      </c>
      <c r="P5859" s="16">
        <f t="shared" si="4"/>
        <v>0</v>
      </c>
    </row>
    <row r="5860" ht="15.75" customHeight="1">
      <c r="A5860" s="14">
        <v>44728.0</v>
      </c>
      <c r="B5860" s="15">
        <v>3.14</v>
      </c>
      <c r="C5860" s="15">
        <v>4.48</v>
      </c>
      <c r="D5860" s="15"/>
      <c r="E5860" s="15">
        <v>3.85</v>
      </c>
      <c r="F5860" s="15">
        <f t="shared" si="1"/>
        <v>1.34</v>
      </c>
      <c r="G5860" s="15">
        <f t="shared" si="2"/>
        <v>4.48</v>
      </c>
      <c r="H5860" s="16">
        <v>0.0</v>
      </c>
      <c r="I5860" s="15">
        <f t="shared" si="3"/>
        <v>1.34</v>
      </c>
      <c r="J5860" s="15">
        <v>32.95</v>
      </c>
      <c r="K5860" s="16">
        <f>IF(COUNTIFS(Release_Calendar!$A$2:$A$755,"US_CPI",Release_Calendar!$B$2:$B$755,$A5860)&gt;0,1,0)</f>
        <v>0</v>
      </c>
      <c r="L5860" s="16">
        <f>IF(COUNTIFS(Release_Calendar!$A$2:$A$755,"US_NFP",Release_Calendar!$B$2:$B$755,$A5860)&gt;0,1,0)</f>
        <v>0</v>
      </c>
      <c r="M5860" s="16">
        <f>IF($A5860&lt;Notes!$B$5,"",IF(COUNTIFS(Release_Calendar!$A$2:$A$755,"NZ_CPI",Release_Calendar!$B$2:$B$755,$A5860)&gt;0,1,0))</f>
        <v>0</v>
      </c>
      <c r="N5860" s="16">
        <f>IF($A5860&lt;Notes!$B$5,"",IF(COUNTIFS(Release_Calendar!$A$2:$A$755,"NZ_GDP",Release_Calendar!$B$2:$B$755,$A5860)&gt;0,1,0))</f>
        <v>1</v>
      </c>
      <c r="O5860" s="16">
        <f>IF($A5860&lt;Notes!$B$5,"",IF(COUNTIFS(Release_Calendar!$A$2:$A$755,"NZ_LABOUR",Release_Calendar!$B$2:$B$755,$A5860)&gt;0,1,0))</f>
        <v>0</v>
      </c>
      <c r="P5860" s="16">
        <f t="shared" si="4"/>
        <v>1</v>
      </c>
    </row>
    <row r="5861" ht="15.75" customHeight="1">
      <c r="A5861" s="14">
        <v>44729.0</v>
      </c>
      <c r="B5861" s="15">
        <v>3.17</v>
      </c>
      <c r="C5861" s="15">
        <v>4.52</v>
      </c>
      <c r="D5861" s="15"/>
      <c r="E5861" s="15">
        <v>3.86</v>
      </c>
      <c r="F5861" s="15">
        <f t="shared" si="1"/>
        <v>1.35</v>
      </c>
      <c r="G5861" s="15">
        <f t="shared" si="2"/>
        <v>4.52</v>
      </c>
      <c r="H5861" s="16">
        <v>0.0</v>
      </c>
      <c r="I5861" s="15">
        <f t="shared" si="3"/>
        <v>1.35</v>
      </c>
      <c r="J5861" s="15">
        <v>31.13</v>
      </c>
      <c r="K5861" s="16">
        <f>IF(COUNTIFS(Release_Calendar!$A$2:$A$755,"US_CPI",Release_Calendar!$B$2:$B$755,$A5861)&gt;0,1,0)</f>
        <v>0</v>
      </c>
      <c r="L5861" s="16">
        <f>IF(COUNTIFS(Release_Calendar!$A$2:$A$755,"US_NFP",Release_Calendar!$B$2:$B$755,$A5861)&gt;0,1,0)</f>
        <v>0</v>
      </c>
      <c r="M5861" s="16">
        <f>IF($A5861&lt;Notes!$B$5,"",IF(COUNTIFS(Release_Calendar!$A$2:$A$755,"NZ_CPI",Release_Calendar!$B$2:$B$755,$A5861)&gt;0,1,0))</f>
        <v>0</v>
      </c>
      <c r="N5861" s="16">
        <f>IF($A5861&lt;Notes!$B$5,"",IF(COUNTIFS(Release_Calendar!$A$2:$A$755,"NZ_GDP",Release_Calendar!$B$2:$B$755,$A5861)&gt;0,1,0))</f>
        <v>0</v>
      </c>
      <c r="O5861" s="16">
        <f>IF($A5861&lt;Notes!$B$5,"",IF(COUNTIFS(Release_Calendar!$A$2:$A$755,"NZ_LABOUR",Release_Calendar!$B$2:$B$755,$A5861)&gt;0,1,0))</f>
        <v>0</v>
      </c>
      <c r="P5861" s="16">
        <f t="shared" si="4"/>
        <v>0</v>
      </c>
    </row>
    <row r="5862" ht="15.75" customHeight="1">
      <c r="A5862" s="14">
        <v>44732.0</v>
      </c>
      <c r="B5862" s="15"/>
      <c r="C5862" s="15">
        <v>4.47</v>
      </c>
      <c r="D5862" s="15"/>
      <c r="E5862" s="15">
        <v>3.82</v>
      </c>
      <c r="F5862" s="15" t="str">
        <f t="shared" si="1"/>
        <v/>
      </c>
      <c r="G5862" s="15">
        <f t="shared" si="2"/>
        <v>4.47</v>
      </c>
      <c r="H5862" s="16">
        <v>0.0</v>
      </c>
      <c r="I5862" s="15" t="str">
        <f t="shared" si="3"/>
        <v/>
      </c>
      <c r="J5862" s="15">
        <v>31.03</v>
      </c>
      <c r="K5862" s="16">
        <f>IF(COUNTIFS(Release_Calendar!$A$2:$A$755,"US_CPI",Release_Calendar!$B$2:$B$755,$A5862)&gt;0,1,0)</f>
        <v>0</v>
      </c>
      <c r="L5862" s="16">
        <f>IF(COUNTIFS(Release_Calendar!$A$2:$A$755,"US_NFP",Release_Calendar!$B$2:$B$755,$A5862)&gt;0,1,0)</f>
        <v>0</v>
      </c>
      <c r="M5862" s="16">
        <f>IF($A5862&lt;Notes!$B$5,"",IF(COUNTIFS(Release_Calendar!$A$2:$A$755,"NZ_CPI",Release_Calendar!$B$2:$B$755,$A5862)&gt;0,1,0))</f>
        <v>0</v>
      </c>
      <c r="N5862" s="16">
        <f>IF($A5862&lt;Notes!$B$5,"",IF(COUNTIFS(Release_Calendar!$A$2:$A$755,"NZ_GDP",Release_Calendar!$B$2:$B$755,$A5862)&gt;0,1,0))</f>
        <v>0</v>
      </c>
      <c r="O5862" s="16">
        <f>IF($A5862&lt;Notes!$B$5,"",IF(COUNTIFS(Release_Calendar!$A$2:$A$755,"NZ_LABOUR",Release_Calendar!$B$2:$B$755,$A5862)&gt;0,1,0))</f>
        <v>0</v>
      </c>
      <c r="P5862" s="16">
        <f t="shared" si="4"/>
        <v>0</v>
      </c>
    </row>
    <row r="5863" ht="15.75" customHeight="1">
      <c r="A5863" s="14">
        <v>44733.0</v>
      </c>
      <c r="B5863" s="15">
        <v>3.21</v>
      </c>
      <c r="C5863" s="15">
        <v>4.44</v>
      </c>
      <c r="D5863" s="15"/>
      <c r="E5863" s="15">
        <v>3.79</v>
      </c>
      <c r="F5863" s="15">
        <f t="shared" si="1"/>
        <v>1.23</v>
      </c>
      <c r="G5863" s="15">
        <f t="shared" si="2"/>
        <v>4.44</v>
      </c>
      <c r="H5863" s="16">
        <v>0.0</v>
      </c>
      <c r="I5863" s="15">
        <f t="shared" si="3"/>
        <v>1.23</v>
      </c>
      <c r="J5863" s="15">
        <v>30.19</v>
      </c>
      <c r="K5863" s="16">
        <f>IF(COUNTIFS(Release_Calendar!$A$2:$A$755,"US_CPI",Release_Calendar!$B$2:$B$755,$A5863)&gt;0,1,0)</f>
        <v>0</v>
      </c>
      <c r="L5863" s="16">
        <f>IF(COUNTIFS(Release_Calendar!$A$2:$A$755,"US_NFP",Release_Calendar!$B$2:$B$755,$A5863)&gt;0,1,0)</f>
        <v>0</v>
      </c>
      <c r="M5863" s="16">
        <f>IF($A5863&lt;Notes!$B$5,"",IF(COUNTIFS(Release_Calendar!$A$2:$A$755,"NZ_CPI",Release_Calendar!$B$2:$B$755,$A5863)&gt;0,1,0))</f>
        <v>0</v>
      </c>
      <c r="N5863" s="16">
        <f>IF($A5863&lt;Notes!$B$5,"",IF(COUNTIFS(Release_Calendar!$A$2:$A$755,"NZ_GDP",Release_Calendar!$B$2:$B$755,$A5863)&gt;0,1,0))</f>
        <v>0</v>
      </c>
      <c r="O5863" s="16">
        <f>IF($A5863&lt;Notes!$B$5,"",IF(COUNTIFS(Release_Calendar!$A$2:$A$755,"NZ_LABOUR",Release_Calendar!$B$2:$B$755,$A5863)&gt;0,1,0))</f>
        <v>0</v>
      </c>
      <c r="P5863" s="16">
        <f t="shared" si="4"/>
        <v>0</v>
      </c>
    </row>
    <row r="5864" ht="15.75" customHeight="1">
      <c r="A5864" s="14">
        <v>44734.0</v>
      </c>
      <c r="B5864" s="15">
        <v>3.06</v>
      </c>
      <c r="C5864" s="15">
        <v>4.35</v>
      </c>
      <c r="D5864" s="15"/>
      <c r="E5864" s="15">
        <v>3.69</v>
      </c>
      <c r="F5864" s="15">
        <f t="shared" si="1"/>
        <v>1.29</v>
      </c>
      <c r="G5864" s="15">
        <f t="shared" si="2"/>
        <v>4.35</v>
      </c>
      <c r="H5864" s="16">
        <v>0.0</v>
      </c>
      <c r="I5864" s="15">
        <f t="shared" si="3"/>
        <v>1.29</v>
      </c>
      <c r="J5864" s="15">
        <v>28.95</v>
      </c>
      <c r="K5864" s="16">
        <f>IF(COUNTIFS(Release_Calendar!$A$2:$A$755,"US_CPI",Release_Calendar!$B$2:$B$755,$A5864)&gt;0,1,0)</f>
        <v>0</v>
      </c>
      <c r="L5864" s="16">
        <f>IF(COUNTIFS(Release_Calendar!$A$2:$A$755,"US_NFP",Release_Calendar!$B$2:$B$755,$A5864)&gt;0,1,0)</f>
        <v>0</v>
      </c>
      <c r="M5864" s="16">
        <f>IF($A5864&lt;Notes!$B$5,"",IF(COUNTIFS(Release_Calendar!$A$2:$A$755,"NZ_CPI",Release_Calendar!$B$2:$B$755,$A5864)&gt;0,1,0))</f>
        <v>0</v>
      </c>
      <c r="N5864" s="16">
        <f>IF($A5864&lt;Notes!$B$5,"",IF(COUNTIFS(Release_Calendar!$A$2:$A$755,"NZ_GDP",Release_Calendar!$B$2:$B$755,$A5864)&gt;0,1,0))</f>
        <v>0</v>
      </c>
      <c r="O5864" s="16">
        <f>IF($A5864&lt;Notes!$B$5,"",IF(COUNTIFS(Release_Calendar!$A$2:$A$755,"NZ_LABOUR",Release_Calendar!$B$2:$B$755,$A5864)&gt;0,1,0))</f>
        <v>0</v>
      </c>
      <c r="P5864" s="16">
        <f t="shared" si="4"/>
        <v>0</v>
      </c>
    </row>
    <row r="5865" ht="15.75" customHeight="1">
      <c r="A5865" s="14">
        <v>44735.0</v>
      </c>
      <c r="B5865" s="15">
        <v>3.01</v>
      </c>
      <c r="C5865" s="15">
        <v>4.24</v>
      </c>
      <c r="D5865" s="15"/>
      <c r="E5865" s="15">
        <v>3.61</v>
      </c>
      <c r="F5865" s="15">
        <f t="shared" si="1"/>
        <v>1.23</v>
      </c>
      <c r="G5865" s="15">
        <f t="shared" si="2"/>
        <v>4.24</v>
      </c>
      <c r="H5865" s="16">
        <v>0.0</v>
      </c>
      <c r="I5865" s="15">
        <f t="shared" si="3"/>
        <v>1.23</v>
      </c>
      <c r="J5865" s="15">
        <v>29.05</v>
      </c>
      <c r="K5865" s="16">
        <f>IF(COUNTIFS(Release_Calendar!$A$2:$A$755,"US_CPI",Release_Calendar!$B$2:$B$755,$A5865)&gt;0,1,0)</f>
        <v>0</v>
      </c>
      <c r="L5865" s="16">
        <f>IF(COUNTIFS(Release_Calendar!$A$2:$A$755,"US_NFP",Release_Calendar!$B$2:$B$755,$A5865)&gt;0,1,0)</f>
        <v>0</v>
      </c>
      <c r="M5865" s="16">
        <f>IF($A5865&lt;Notes!$B$5,"",IF(COUNTIFS(Release_Calendar!$A$2:$A$755,"NZ_CPI",Release_Calendar!$B$2:$B$755,$A5865)&gt;0,1,0))</f>
        <v>0</v>
      </c>
      <c r="N5865" s="16">
        <f>IF($A5865&lt;Notes!$B$5,"",IF(COUNTIFS(Release_Calendar!$A$2:$A$755,"NZ_GDP",Release_Calendar!$B$2:$B$755,$A5865)&gt;0,1,0))</f>
        <v>0</v>
      </c>
      <c r="O5865" s="16">
        <f>IF($A5865&lt;Notes!$B$5,"",IF(COUNTIFS(Release_Calendar!$A$2:$A$755,"NZ_LABOUR",Release_Calendar!$B$2:$B$755,$A5865)&gt;0,1,0))</f>
        <v>0</v>
      </c>
      <c r="P5865" s="16">
        <f t="shared" si="4"/>
        <v>0</v>
      </c>
    </row>
    <row r="5866" ht="15.75" customHeight="1">
      <c r="A5866" s="14">
        <v>44736.0</v>
      </c>
      <c r="B5866" s="15">
        <v>3.04</v>
      </c>
      <c r="C5866" s="15"/>
      <c r="D5866" s="15"/>
      <c r="E5866" s="15"/>
      <c r="F5866" s="15" t="str">
        <f t="shared" si="1"/>
        <v/>
      </c>
      <c r="G5866" s="15" t="str">
        <f t="shared" si="2"/>
        <v/>
      </c>
      <c r="H5866" s="16">
        <v>0.0</v>
      </c>
      <c r="I5866" s="15" t="str">
        <f t="shared" si="3"/>
        <v/>
      </c>
      <c r="J5866" s="15">
        <v>27.23</v>
      </c>
      <c r="K5866" s="16">
        <f>IF(COUNTIFS(Release_Calendar!$A$2:$A$755,"US_CPI",Release_Calendar!$B$2:$B$755,$A5866)&gt;0,1,0)</f>
        <v>0</v>
      </c>
      <c r="L5866" s="16">
        <f>IF(COUNTIFS(Release_Calendar!$A$2:$A$755,"US_NFP",Release_Calendar!$B$2:$B$755,$A5866)&gt;0,1,0)</f>
        <v>0</v>
      </c>
      <c r="M5866" s="16">
        <f>IF($A5866&lt;Notes!$B$5,"",IF(COUNTIFS(Release_Calendar!$A$2:$A$755,"NZ_CPI",Release_Calendar!$B$2:$B$755,$A5866)&gt;0,1,0))</f>
        <v>0</v>
      </c>
      <c r="N5866" s="16">
        <f>IF($A5866&lt;Notes!$B$5,"",IF(COUNTIFS(Release_Calendar!$A$2:$A$755,"NZ_GDP",Release_Calendar!$B$2:$B$755,$A5866)&gt;0,1,0))</f>
        <v>0</v>
      </c>
      <c r="O5866" s="16">
        <f>IF($A5866&lt;Notes!$B$5,"",IF(COUNTIFS(Release_Calendar!$A$2:$A$755,"NZ_LABOUR",Release_Calendar!$B$2:$B$755,$A5866)&gt;0,1,0))</f>
        <v>0</v>
      </c>
      <c r="P5866" s="16">
        <f t="shared" si="4"/>
        <v>0</v>
      </c>
    </row>
    <row r="5867" ht="15.75" customHeight="1">
      <c r="A5867" s="14">
        <v>44739.0</v>
      </c>
      <c r="B5867" s="15">
        <v>3.08</v>
      </c>
      <c r="C5867" s="15">
        <v>4.14</v>
      </c>
      <c r="D5867" s="15"/>
      <c r="E5867" s="15">
        <v>3.52</v>
      </c>
      <c r="F5867" s="15">
        <f t="shared" si="1"/>
        <v>1.06</v>
      </c>
      <c r="G5867" s="15">
        <f t="shared" si="2"/>
        <v>4.14</v>
      </c>
      <c r="H5867" s="16">
        <v>0.0</v>
      </c>
      <c r="I5867" s="15">
        <f t="shared" si="3"/>
        <v>1.06</v>
      </c>
      <c r="J5867" s="15">
        <v>26.95</v>
      </c>
      <c r="K5867" s="16">
        <f>IF(COUNTIFS(Release_Calendar!$A$2:$A$755,"US_CPI",Release_Calendar!$B$2:$B$755,$A5867)&gt;0,1,0)</f>
        <v>0</v>
      </c>
      <c r="L5867" s="16">
        <f>IF(COUNTIFS(Release_Calendar!$A$2:$A$755,"US_NFP",Release_Calendar!$B$2:$B$755,$A5867)&gt;0,1,0)</f>
        <v>0</v>
      </c>
      <c r="M5867" s="16">
        <f>IF($A5867&lt;Notes!$B$5,"",IF(COUNTIFS(Release_Calendar!$A$2:$A$755,"NZ_CPI",Release_Calendar!$B$2:$B$755,$A5867)&gt;0,1,0))</f>
        <v>0</v>
      </c>
      <c r="N5867" s="16">
        <f>IF($A5867&lt;Notes!$B$5,"",IF(COUNTIFS(Release_Calendar!$A$2:$A$755,"NZ_GDP",Release_Calendar!$B$2:$B$755,$A5867)&gt;0,1,0))</f>
        <v>0</v>
      </c>
      <c r="O5867" s="16">
        <f>IF($A5867&lt;Notes!$B$5,"",IF(COUNTIFS(Release_Calendar!$A$2:$A$755,"NZ_LABOUR",Release_Calendar!$B$2:$B$755,$A5867)&gt;0,1,0))</f>
        <v>0</v>
      </c>
      <c r="P5867" s="16">
        <f t="shared" si="4"/>
        <v>0</v>
      </c>
    </row>
    <row r="5868" ht="15.75" customHeight="1">
      <c r="A5868" s="14">
        <v>44740.0</v>
      </c>
      <c r="B5868" s="15">
        <v>3.1</v>
      </c>
      <c r="C5868" s="15">
        <v>4.16</v>
      </c>
      <c r="D5868" s="15"/>
      <c r="E5868" s="15">
        <v>3.53</v>
      </c>
      <c r="F5868" s="15">
        <f t="shared" si="1"/>
        <v>1.06</v>
      </c>
      <c r="G5868" s="15">
        <f t="shared" si="2"/>
        <v>4.16</v>
      </c>
      <c r="H5868" s="16">
        <v>0.0</v>
      </c>
      <c r="I5868" s="15">
        <f t="shared" si="3"/>
        <v>1.06</v>
      </c>
      <c r="J5868" s="15">
        <v>28.36</v>
      </c>
      <c r="K5868" s="16">
        <f>IF(COUNTIFS(Release_Calendar!$A$2:$A$755,"US_CPI",Release_Calendar!$B$2:$B$755,$A5868)&gt;0,1,0)</f>
        <v>0</v>
      </c>
      <c r="L5868" s="16">
        <f>IF(COUNTIFS(Release_Calendar!$A$2:$A$755,"US_NFP",Release_Calendar!$B$2:$B$755,$A5868)&gt;0,1,0)</f>
        <v>0</v>
      </c>
      <c r="M5868" s="16">
        <f>IF($A5868&lt;Notes!$B$5,"",IF(COUNTIFS(Release_Calendar!$A$2:$A$755,"NZ_CPI",Release_Calendar!$B$2:$B$755,$A5868)&gt;0,1,0))</f>
        <v>0</v>
      </c>
      <c r="N5868" s="16">
        <f>IF($A5868&lt;Notes!$B$5,"",IF(COUNTIFS(Release_Calendar!$A$2:$A$755,"NZ_GDP",Release_Calendar!$B$2:$B$755,$A5868)&gt;0,1,0))</f>
        <v>0</v>
      </c>
      <c r="O5868" s="16">
        <f>IF($A5868&lt;Notes!$B$5,"",IF(COUNTIFS(Release_Calendar!$A$2:$A$755,"NZ_LABOUR",Release_Calendar!$B$2:$B$755,$A5868)&gt;0,1,0))</f>
        <v>0</v>
      </c>
      <c r="P5868" s="16">
        <f t="shared" si="4"/>
        <v>0</v>
      </c>
    </row>
    <row r="5869" ht="15.75" customHeight="1">
      <c r="A5869" s="14">
        <v>44741.0</v>
      </c>
      <c r="B5869" s="15">
        <v>3.06</v>
      </c>
      <c r="C5869" s="15">
        <v>4.14</v>
      </c>
      <c r="D5869" s="15"/>
      <c r="E5869" s="15">
        <v>3.53</v>
      </c>
      <c r="F5869" s="15">
        <f t="shared" si="1"/>
        <v>1.08</v>
      </c>
      <c r="G5869" s="15">
        <f t="shared" si="2"/>
        <v>4.14</v>
      </c>
      <c r="H5869" s="16">
        <v>0.0</v>
      </c>
      <c r="I5869" s="15">
        <f t="shared" si="3"/>
        <v>1.08</v>
      </c>
      <c r="J5869" s="15">
        <v>28.16</v>
      </c>
      <c r="K5869" s="16">
        <f>IF(COUNTIFS(Release_Calendar!$A$2:$A$755,"US_CPI",Release_Calendar!$B$2:$B$755,$A5869)&gt;0,1,0)</f>
        <v>0</v>
      </c>
      <c r="L5869" s="16">
        <f>IF(COUNTIFS(Release_Calendar!$A$2:$A$755,"US_NFP",Release_Calendar!$B$2:$B$755,$A5869)&gt;0,1,0)</f>
        <v>0</v>
      </c>
      <c r="M5869" s="16">
        <f>IF($A5869&lt;Notes!$B$5,"",IF(COUNTIFS(Release_Calendar!$A$2:$A$755,"NZ_CPI",Release_Calendar!$B$2:$B$755,$A5869)&gt;0,1,0))</f>
        <v>0</v>
      </c>
      <c r="N5869" s="16">
        <f>IF($A5869&lt;Notes!$B$5,"",IF(COUNTIFS(Release_Calendar!$A$2:$A$755,"NZ_GDP",Release_Calendar!$B$2:$B$755,$A5869)&gt;0,1,0))</f>
        <v>0</v>
      </c>
      <c r="O5869" s="16">
        <f>IF($A5869&lt;Notes!$B$5,"",IF(COUNTIFS(Release_Calendar!$A$2:$A$755,"NZ_LABOUR",Release_Calendar!$B$2:$B$755,$A5869)&gt;0,1,0))</f>
        <v>0</v>
      </c>
      <c r="P5869" s="16">
        <f t="shared" si="4"/>
        <v>0</v>
      </c>
    </row>
    <row r="5870" ht="15.75" customHeight="1">
      <c r="A5870" s="14">
        <v>44742.0</v>
      </c>
      <c r="B5870" s="15">
        <v>2.92</v>
      </c>
      <c r="C5870" s="15">
        <v>4.06</v>
      </c>
      <c r="D5870" s="15"/>
      <c r="E5870" s="15">
        <v>3.48</v>
      </c>
      <c r="F5870" s="15">
        <f t="shared" si="1"/>
        <v>1.14</v>
      </c>
      <c r="G5870" s="15">
        <f t="shared" si="2"/>
        <v>4.06</v>
      </c>
      <c r="H5870" s="16">
        <v>0.0</v>
      </c>
      <c r="I5870" s="15">
        <f t="shared" si="3"/>
        <v>1.14</v>
      </c>
      <c r="J5870" s="15">
        <v>28.71</v>
      </c>
      <c r="K5870" s="16">
        <f>IF(COUNTIFS(Release_Calendar!$A$2:$A$755,"US_CPI",Release_Calendar!$B$2:$B$755,$A5870)&gt;0,1,0)</f>
        <v>0</v>
      </c>
      <c r="L5870" s="16">
        <f>IF(COUNTIFS(Release_Calendar!$A$2:$A$755,"US_NFP",Release_Calendar!$B$2:$B$755,$A5870)&gt;0,1,0)</f>
        <v>0</v>
      </c>
      <c r="M5870" s="16">
        <f>IF($A5870&lt;Notes!$B$5,"",IF(COUNTIFS(Release_Calendar!$A$2:$A$755,"NZ_CPI",Release_Calendar!$B$2:$B$755,$A5870)&gt;0,1,0))</f>
        <v>0</v>
      </c>
      <c r="N5870" s="16">
        <f>IF($A5870&lt;Notes!$B$5,"",IF(COUNTIFS(Release_Calendar!$A$2:$A$755,"NZ_GDP",Release_Calendar!$B$2:$B$755,$A5870)&gt;0,1,0))</f>
        <v>0</v>
      </c>
      <c r="O5870" s="16">
        <f>IF($A5870&lt;Notes!$B$5,"",IF(COUNTIFS(Release_Calendar!$A$2:$A$755,"NZ_LABOUR",Release_Calendar!$B$2:$B$755,$A5870)&gt;0,1,0))</f>
        <v>0</v>
      </c>
      <c r="P5870" s="16">
        <f t="shared" si="4"/>
        <v>0</v>
      </c>
    </row>
    <row r="5871" ht="15.75" customHeight="1">
      <c r="A5871" s="14">
        <v>44743.0</v>
      </c>
      <c r="B5871" s="15">
        <v>2.84</v>
      </c>
      <c r="C5871" s="15">
        <v>3.89</v>
      </c>
      <c r="D5871" s="15"/>
      <c r="E5871" s="15">
        <v>3.33</v>
      </c>
      <c r="F5871" s="15">
        <f t="shared" si="1"/>
        <v>1.05</v>
      </c>
      <c r="G5871" s="15">
        <f t="shared" si="2"/>
        <v>3.89</v>
      </c>
      <c r="H5871" s="16">
        <v>0.0</v>
      </c>
      <c r="I5871" s="15">
        <f t="shared" si="3"/>
        <v>1.05</v>
      </c>
      <c r="J5871" s="15">
        <v>26.7</v>
      </c>
      <c r="K5871" s="16">
        <f>IF(COUNTIFS(Release_Calendar!$A$2:$A$755,"US_CPI",Release_Calendar!$B$2:$B$755,$A5871)&gt;0,1,0)</f>
        <v>0</v>
      </c>
      <c r="L5871" s="16">
        <f>IF(COUNTIFS(Release_Calendar!$A$2:$A$755,"US_NFP",Release_Calendar!$B$2:$B$755,$A5871)&gt;0,1,0)</f>
        <v>0</v>
      </c>
      <c r="M5871" s="16">
        <f>IF($A5871&lt;Notes!$B$5,"",IF(COUNTIFS(Release_Calendar!$A$2:$A$755,"NZ_CPI",Release_Calendar!$B$2:$B$755,$A5871)&gt;0,1,0))</f>
        <v>0</v>
      </c>
      <c r="N5871" s="16">
        <f>IF($A5871&lt;Notes!$B$5,"",IF(COUNTIFS(Release_Calendar!$A$2:$A$755,"NZ_GDP",Release_Calendar!$B$2:$B$755,$A5871)&gt;0,1,0))</f>
        <v>0</v>
      </c>
      <c r="O5871" s="16">
        <f>IF($A5871&lt;Notes!$B$5,"",IF(COUNTIFS(Release_Calendar!$A$2:$A$755,"NZ_LABOUR",Release_Calendar!$B$2:$B$755,$A5871)&gt;0,1,0))</f>
        <v>0</v>
      </c>
      <c r="P5871" s="16">
        <f t="shared" si="4"/>
        <v>0</v>
      </c>
    </row>
    <row r="5872" ht="15.75" customHeight="1">
      <c r="A5872" s="14">
        <v>44746.0</v>
      </c>
      <c r="B5872" s="15"/>
      <c r="C5872" s="15">
        <v>3.8</v>
      </c>
      <c r="D5872" s="15"/>
      <c r="E5872" s="15">
        <v>3.24</v>
      </c>
      <c r="F5872" s="15" t="str">
        <f t="shared" si="1"/>
        <v/>
      </c>
      <c r="G5872" s="15">
        <f t="shared" si="2"/>
        <v>3.8</v>
      </c>
      <c r="H5872" s="16">
        <v>0.0</v>
      </c>
      <c r="I5872" s="15" t="str">
        <f t="shared" si="3"/>
        <v/>
      </c>
      <c r="J5872" s="15">
        <v>27.53</v>
      </c>
      <c r="K5872" s="16">
        <f>IF(COUNTIFS(Release_Calendar!$A$2:$A$755,"US_CPI",Release_Calendar!$B$2:$B$755,$A5872)&gt;0,1,0)</f>
        <v>0</v>
      </c>
      <c r="L5872" s="16">
        <f>IF(COUNTIFS(Release_Calendar!$A$2:$A$755,"US_NFP",Release_Calendar!$B$2:$B$755,$A5872)&gt;0,1,0)</f>
        <v>0</v>
      </c>
      <c r="M5872" s="16">
        <f>IF($A5872&lt;Notes!$B$5,"",IF(COUNTIFS(Release_Calendar!$A$2:$A$755,"NZ_CPI",Release_Calendar!$B$2:$B$755,$A5872)&gt;0,1,0))</f>
        <v>0</v>
      </c>
      <c r="N5872" s="16">
        <f>IF($A5872&lt;Notes!$B$5,"",IF(COUNTIFS(Release_Calendar!$A$2:$A$755,"NZ_GDP",Release_Calendar!$B$2:$B$755,$A5872)&gt;0,1,0))</f>
        <v>0</v>
      </c>
      <c r="O5872" s="16">
        <f>IF($A5872&lt;Notes!$B$5,"",IF(COUNTIFS(Release_Calendar!$A$2:$A$755,"NZ_LABOUR",Release_Calendar!$B$2:$B$755,$A5872)&gt;0,1,0))</f>
        <v>0</v>
      </c>
      <c r="P5872" s="16">
        <f t="shared" si="4"/>
        <v>0</v>
      </c>
    </row>
    <row r="5873" ht="15.75" customHeight="1">
      <c r="A5873" s="14">
        <v>44747.0</v>
      </c>
      <c r="B5873" s="15">
        <v>2.82</v>
      </c>
      <c r="C5873" s="15">
        <v>3.89</v>
      </c>
      <c r="D5873" s="15"/>
      <c r="E5873" s="15">
        <v>3.34</v>
      </c>
      <c r="F5873" s="15">
        <f t="shared" si="1"/>
        <v>1.07</v>
      </c>
      <c r="G5873" s="15">
        <f t="shared" si="2"/>
        <v>3.89</v>
      </c>
      <c r="H5873" s="16">
        <v>0.0</v>
      </c>
      <c r="I5873" s="15">
        <f t="shared" si="3"/>
        <v>1.07</v>
      </c>
      <c r="J5873" s="15">
        <v>27.54</v>
      </c>
      <c r="K5873" s="16">
        <f>IF(COUNTIFS(Release_Calendar!$A$2:$A$755,"US_CPI",Release_Calendar!$B$2:$B$755,$A5873)&gt;0,1,0)</f>
        <v>0</v>
      </c>
      <c r="L5873" s="16">
        <f>IF(COUNTIFS(Release_Calendar!$A$2:$A$755,"US_NFP",Release_Calendar!$B$2:$B$755,$A5873)&gt;0,1,0)</f>
        <v>0</v>
      </c>
      <c r="M5873" s="16">
        <f>IF($A5873&lt;Notes!$B$5,"",IF(COUNTIFS(Release_Calendar!$A$2:$A$755,"NZ_CPI",Release_Calendar!$B$2:$B$755,$A5873)&gt;0,1,0))</f>
        <v>0</v>
      </c>
      <c r="N5873" s="16">
        <f>IF($A5873&lt;Notes!$B$5,"",IF(COUNTIFS(Release_Calendar!$A$2:$A$755,"NZ_GDP",Release_Calendar!$B$2:$B$755,$A5873)&gt;0,1,0))</f>
        <v>0</v>
      </c>
      <c r="O5873" s="16">
        <f>IF($A5873&lt;Notes!$B$5,"",IF(COUNTIFS(Release_Calendar!$A$2:$A$755,"NZ_LABOUR",Release_Calendar!$B$2:$B$755,$A5873)&gt;0,1,0))</f>
        <v>0</v>
      </c>
      <c r="P5873" s="16">
        <f t="shared" si="4"/>
        <v>0</v>
      </c>
    </row>
    <row r="5874" ht="15.75" customHeight="1">
      <c r="A5874" s="14">
        <v>44748.0</v>
      </c>
      <c r="B5874" s="15">
        <v>2.97</v>
      </c>
      <c r="C5874" s="15">
        <v>3.76</v>
      </c>
      <c r="D5874" s="15"/>
      <c r="E5874" s="15">
        <v>3.28</v>
      </c>
      <c r="F5874" s="15">
        <f t="shared" si="1"/>
        <v>0.79</v>
      </c>
      <c r="G5874" s="15">
        <f t="shared" si="2"/>
        <v>3.76</v>
      </c>
      <c r="H5874" s="16">
        <v>0.0</v>
      </c>
      <c r="I5874" s="15">
        <f t="shared" si="3"/>
        <v>0.79</v>
      </c>
      <c r="J5874" s="15">
        <v>26.73</v>
      </c>
      <c r="K5874" s="16">
        <f>IF(COUNTIFS(Release_Calendar!$A$2:$A$755,"US_CPI",Release_Calendar!$B$2:$B$755,$A5874)&gt;0,1,0)</f>
        <v>0</v>
      </c>
      <c r="L5874" s="16">
        <f>IF(COUNTIFS(Release_Calendar!$A$2:$A$755,"US_NFP",Release_Calendar!$B$2:$B$755,$A5874)&gt;0,1,0)</f>
        <v>0</v>
      </c>
      <c r="M5874" s="16">
        <f>IF($A5874&lt;Notes!$B$5,"",IF(COUNTIFS(Release_Calendar!$A$2:$A$755,"NZ_CPI",Release_Calendar!$B$2:$B$755,$A5874)&gt;0,1,0))</f>
        <v>0</v>
      </c>
      <c r="N5874" s="16">
        <f>IF($A5874&lt;Notes!$B$5,"",IF(COUNTIFS(Release_Calendar!$A$2:$A$755,"NZ_GDP",Release_Calendar!$B$2:$B$755,$A5874)&gt;0,1,0))</f>
        <v>0</v>
      </c>
      <c r="O5874" s="16">
        <f>IF($A5874&lt;Notes!$B$5,"",IF(COUNTIFS(Release_Calendar!$A$2:$A$755,"NZ_LABOUR",Release_Calendar!$B$2:$B$755,$A5874)&gt;0,1,0))</f>
        <v>0</v>
      </c>
      <c r="P5874" s="16">
        <f t="shared" si="4"/>
        <v>0</v>
      </c>
    </row>
    <row r="5875" ht="15.75" customHeight="1">
      <c r="A5875" s="14">
        <v>44749.0</v>
      </c>
      <c r="B5875" s="15">
        <v>3.03</v>
      </c>
      <c r="C5875" s="15">
        <v>3.8</v>
      </c>
      <c r="D5875" s="15"/>
      <c r="E5875" s="15">
        <v>3.32</v>
      </c>
      <c r="F5875" s="15">
        <f t="shared" si="1"/>
        <v>0.77</v>
      </c>
      <c r="G5875" s="15">
        <f t="shared" si="2"/>
        <v>3.8</v>
      </c>
      <c r="H5875" s="16">
        <v>0.0</v>
      </c>
      <c r="I5875" s="15">
        <f t="shared" si="3"/>
        <v>0.77</v>
      </c>
      <c r="J5875" s="15">
        <v>26.08</v>
      </c>
      <c r="K5875" s="16">
        <f>IF(COUNTIFS(Release_Calendar!$A$2:$A$755,"US_CPI",Release_Calendar!$B$2:$B$755,$A5875)&gt;0,1,0)</f>
        <v>0</v>
      </c>
      <c r="L5875" s="16">
        <f>IF(COUNTIFS(Release_Calendar!$A$2:$A$755,"US_NFP",Release_Calendar!$B$2:$B$755,$A5875)&gt;0,1,0)</f>
        <v>0</v>
      </c>
      <c r="M5875" s="16">
        <f>IF($A5875&lt;Notes!$B$5,"",IF(COUNTIFS(Release_Calendar!$A$2:$A$755,"NZ_CPI",Release_Calendar!$B$2:$B$755,$A5875)&gt;0,1,0))</f>
        <v>0</v>
      </c>
      <c r="N5875" s="16">
        <f>IF($A5875&lt;Notes!$B$5,"",IF(COUNTIFS(Release_Calendar!$A$2:$A$755,"NZ_GDP",Release_Calendar!$B$2:$B$755,$A5875)&gt;0,1,0))</f>
        <v>0</v>
      </c>
      <c r="O5875" s="16">
        <f>IF($A5875&lt;Notes!$B$5,"",IF(COUNTIFS(Release_Calendar!$A$2:$A$755,"NZ_LABOUR",Release_Calendar!$B$2:$B$755,$A5875)&gt;0,1,0))</f>
        <v>0</v>
      </c>
      <c r="P5875" s="16">
        <f t="shared" si="4"/>
        <v>0</v>
      </c>
    </row>
    <row r="5876" ht="15.75" customHeight="1">
      <c r="A5876" s="14">
        <v>44750.0</v>
      </c>
      <c r="B5876" s="15">
        <v>3.12</v>
      </c>
      <c r="C5876" s="15">
        <v>3.84</v>
      </c>
      <c r="D5876" s="15"/>
      <c r="E5876" s="15">
        <v>3.35</v>
      </c>
      <c r="F5876" s="15">
        <f t="shared" si="1"/>
        <v>0.72</v>
      </c>
      <c r="G5876" s="15">
        <f t="shared" si="2"/>
        <v>3.84</v>
      </c>
      <c r="H5876" s="16">
        <v>0.0</v>
      </c>
      <c r="I5876" s="15">
        <f t="shared" si="3"/>
        <v>0.72</v>
      </c>
      <c r="J5876" s="15">
        <v>24.64</v>
      </c>
      <c r="K5876" s="16">
        <f>IF(COUNTIFS(Release_Calendar!$A$2:$A$755,"US_CPI",Release_Calendar!$B$2:$B$755,$A5876)&gt;0,1,0)</f>
        <v>0</v>
      </c>
      <c r="L5876" s="16">
        <f>IF(COUNTIFS(Release_Calendar!$A$2:$A$755,"US_NFP",Release_Calendar!$B$2:$B$755,$A5876)&gt;0,1,0)</f>
        <v>1</v>
      </c>
      <c r="M5876" s="16">
        <f>IF($A5876&lt;Notes!$B$5,"",IF(COUNTIFS(Release_Calendar!$A$2:$A$755,"NZ_CPI",Release_Calendar!$B$2:$B$755,$A5876)&gt;0,1,0))</f>
        <v>0</v>
      </c>
      <c r="N5876" s="16">
        <f>IF($A5876&lt;Notes!$B$5,"",IF(COUNTIFS(Release_Calendar!$A$2:$A$755,"NZ_GDP",Release_Calendar!$B$2:$B$755,$A5876)&gt;0,1,0))</f>
        <v>0</v>
      </c>
      <c r="O5876" s="16">
        <f>IF($A5876&lt;Notes!$B$5,"",IF(COUNTIFS(Release_Calendar!$A$2:$A$755,"NZ_LABOUR",Release_Calendar!$B$2:$B$755,$A5876)&gt;0,1,0))</f>
        <v>0</v>
      </c>
      <c r="P5876" s="16">
        <f t="shared" si="4"/>
        <v>1</v>
      </c>
    </row>
    <row r="5877" ht="15.75" customHeight="1">
      <c r="A5877" s="14">
        <v>44753.0</v>
      </c>
      <c r="B5877" s="15">
        <v>3.07</v>
      </c>
      <c r="C5877" s="15">
        <v>3.9</v>
      </c>
      <c r="D5877" s="15"/>
      <c r="E5877" s="15">
        <v>3.42</v>
      </c>
      <c r="F5877" s="15">
        <f t="shared" si="1"/>
        <v>0.83</v>
      </c>
      <c r="G5877" s="15">
        <f t="shared" si="2"/>
        <v>3.9</v>
      </c>
      <c r="H5877" s="16">
        <v>0.0</v>
      </c>
      <c r="I5877" s="15">
        <f t="shared" si="3"/>
        <v>0.83</v>
      </c>
      <c r="J5877" s="15">
        <v>26.17</v>
      </c>
      <c r="K5877" s="16">
        <f>IF(COUNTIFS(Release_Calendar!$A$2:$A$755,"US_CPI",Release_Calendar!$B$2:$B$755,$A5877)&gt;0,1,0)</f>
        <v>0</v>
      </c>
      <c r="L5877" s="16">
        <f>IF(COUNTIFS(Release_Calendar!$A$2:$A$755,"US_NFP",Release_Calendar!$B$2:$B$755,$A5877)&gt;0,1,0)</f>
        <v>0</v>
      </c>
      <c r="M5877" s="16">
        <f>IF($A5877&lt;Notes!$B$5,"",IF(COUNTIFS(Release_Calendar!$A$2:$A$755,"NZ_CPI",Release_Calendar!$B$2:$B$755,$A5877)&gt;0,1,0))</f>
        <v>0</v>
      </c>
      <c r="N5877" s="16">
        <f>IF($A5877&lt;Notes!$B$5,"",IF(COUNTIFS(Release_Calendar!$A$2:$A$755,"NZ_GDP",Release_Calendar!$B$2:$B$755,$A5877)&gt;0,1,0))</f>
        <v>0</v>
      </c>
      <c r="O5877" s="16">
        <f>IF($A5877&lt;Notes!$B$5,"",IF(COUNTIFS(Release_Calendar!$A$2:$A$755,"NZ_LABOUR",Release_Calendar!$B$2:$B$755,$A5877)&gt;0,1,0))</f>
        <v>0</v>
      </c>
      <c r="P5877" s="16">
        <f t="shared" si="4"/>
        <v>0</v>
      </c>
    </row>
    <row r="5878" ht="15.75" customHeight="1">
      <c r="A5878" s="14">
        <v>44754.0</v>
      </c>
      <c r="B5878" s="15">
        <v>3.03</v>
      </c>
      <c r="C5878" s="15">
        <v>3.92</v>
      </c>
      <c r="D5878" s="15"/>
      <c r="E5878" s="15">
        <v>3.42</v>
      </c>
      <c r="F5878" s="15">
        <f t="shared" si="1"/>
        <v>0.89</v>
      </c>
      <c r="G5878" s="15">
        <f t="shared" si="2"/>
        <v>3.92</v>
      </c>
      <c r="H5878" s="16">
        <v>0.0</v>
      </c>
      <c r="I5878" s="15">
        <f t="shared" si="3"/>
        <v>0.89</v>
      </c>
      <c r="J5878" s="15">
        <v>27.29</v>
      </c>
      <c r="K5878" s="16">
        <f>IF(COUNTIFS(Release_Calendar!$A$2:$A$755,"US_CPI",Release_Calendar!$B$2:$B$755,$A5878)&gt;0,1,0)</f>
        <v>0</v>
      </c>
      <c r="L5878" s="16">
        <f>IF(COUNTIFS(Release_Calendar!$A$2:$A$755,"US_NFP",Release_Calendar!$B$2:$B$755,$A5878)&gt;0,1,0)</f>
        <v>0</v>
      </c>
      <c r="M5878" s="16">
        <f>IF($A5878&lt;Notes!$B$5,"",IF(COUNTIFS(Release_Calendar!$A$2:$A$755,"NZ_CPI",Release_Calendar!$B$2:$B$755,$A5878)&gt;0,1,0))</f>
        <v>0</v>
      </c>
      <c r="N5878" s="16">
        <f>IF($A5878&lt;Notes!$B$5,"",IF(COUNTIFS(Release_Calendar!$A$2:$A$755,"NZ_GDP",Release_Calendar!$B$2:$B$755,$A5878)&gt;0,1,0))</f>
        <v>0</v>
      </c>
      <c r="O5878" s="16">
        <f>IF($A5878&lt;Notes!$B$5,"",IF(COUNTIFS(Release_Calendar!$A$2:$A$755,"NZ_LABOUR",Release_Calendar!$B$2:$B$755,$A5878)&gt;0,1,0))</f>
        <v>0</v>
      </c>
      <c r="P5878" s="16">
        <f t="shared" si="4"/>
        <v>0</v>
      </c>
    </row>
    <row r="5879" ht="15.75" customHeight="1">
      <c r="A5879" s="14">
        <v>44755.0</v>
      </c>
      <c r="B5879" s="15">
        <v>3.13</v>
      </c>
      <c r="C5879" s="15">
        <v>3.88</v>
      </c>
      <c r="D5879" s="15"/>
      <c r="E5879" s="15">
        <v>3.37</v>
      </c>
      <c r="F5879" s="15">
        <f t="shared" si="1"/>
        <v>0.75</v>
      </c>
      <c r="G5879" s="15">
        <f t="shared" si="2"/>
        <v>3.88</v>
      </c>
      <c r="H5879" s="16">
        <v>0.0</v>
      </c>
      <c r="I5879" s="15">
        <f t="shared" si="3"/>
        <v>0.75</v>
      </c>
      <c r="J5879" s="15">
        <v>26.82</v>
      </c>
      <c r="K5879" s="16">
        <f>IF(COUNTIFS(Release_Calendar!$A$2:$A$755,"US_CPI",Release_Calendar!$B$2:$B$755,$A5879)&gt;0,1,0)</f>
        <v>1</v>
      </c>
      <c r="L5879" s="16">
        <f>IF(COUNTIFS(Release_Calendar!$A$2:$A$755,"US_NFP",Release_Calendar!$B$2:$B$755,$A5879)&gt;0,1,0)</f>
        <v>0</v>
      </c>
      <c r="M5879" s="16">
        <f>IF($A5879&lt;Notes!$B$5,"",IF(COUNTIFS(Release_Calendar!$A$2:$A$755,"NZ_CPI",Release_Calendar!$B$2:$B$755,$A5879)&gt;0,1,0))</f>
        <v>0</v>
      </c>
      <c r="N5879" s="16">
        <f>IF($A5879&lt;Notes!$B$5,"",IF(COUNTIFS(Release_Calendar!$A$2:$A$755,"NZ_GDP",Release_Calendar!$B$2:$B$755,$A5879)&gt;0,1,0))</f>
        <v>0</v>
      </c>
      <c r="O5879" s="16">
        <f>IF($A5879&lt;Notes!$B$5,"",IF(COUNTIFS(Release_Calendar!$A$2:$A$755,"NZ_LABOUR",Release_Calendar!$B$2:$B$755,$A5879)&gt;0,1,0))</f>
        <v>0</v>
      </c>
      <c r="P5879" s="16">
        <f t="shared" si="4"/>
        <v>1</v>
      </c>
    </row>
    <row r="5880" ht="15.75" customHeight="1">
      <c r="A5880" s="14">
        <v>44756.0</v>
      </c>
      <c r="B5880" s="15">
        <v>3.15</v>
      </c>
      <c r="C5880" s="15">
        <v>4.06</v>
      </c>
      <c r="D5880" s="15"/>
      <c r="E5880" s="15">
        <v>3.55</v>
      </c>
      <c r="F5880" s="15">
        <f t="shared" si="1"/>
        <v>0.91</v>
      </c>
      <c r="G5880" s="15">
        <f t="shared" si="2"/>
        <v>4.06</v>
      </c>
      <c r="H5880" s="16">
        <v>0.0</v>
      </c>
      <c r="I5880" s="15">
        <f t="shared" si="3"/>
        <v>0.91</v>
      </c>
      <c r="J5880" s="15">
        <v>26.4</v>
      </c>
      <c r="K5880" s="16">
        <f>IF(COUNTIFS(Release_Calendar!$A$2:$A$755,"US_CPI",Release_Calendar!$B$2:$B$755,$A5880)&gt;0,1,0)</f>
        <v>0</v>
      </c>
      <c r="L5880" s="16">
        <f>IF(COUNTIFS(Release_Calendar!$A$2:$A$755,"US_NFP",Release_Calendar!$B$2:$B$755,$A5880)&gt;0,1,0)</f>
        <v>0</v>
      </c>
      <c r="M5880" s="16">
        <f>IF($A5880&lt;Notes!$B$5,"",IF(COUNTIFS(Release_Calendar!$A$2:$A$755,"NZ_CPI",Release_Calendar!$B$2:$B$755,$A5880)&gt;0,1,0))</f>
        <v>0</v>
      </c>
      <c r="N5880" s="16">
        <f>IF($A5880&lt;Notes!$B$5,"",IF(COUNTIFS(Release_Calendar!$A$2:$A$755,"NZ_GDP",Release_Calendar!$B$2:$B$755,$A5880)&gt;0,1,0))</f>
        <v>0</v>
      </c>
      <c r="O5880" s="16">
        <f>IF($A5880&lt;Notes!$B$5,"",IF(COUNTIFS(Release_Calendar!$A$2:$A$755,"NZ_LABOUR",Release_Calendar!$B$2:$B$755,$A5880)&gt;0,1,0))</f>
        <v>0</v>
      </c>
      <c r="P5880" s="16">
        <f t="shared" si="4"/>
        <v>0</v>
      </c>
    </row>
    <row r="5881" ht="15.75" customHeight="1">
      <c r="A5881" s="14">
        <v>44757.0</v>
      </c>
      <c r="B5881" s="15">
        <v>3.13</v>
      </c>
      <c r="C5881" s="15">
        <v>4.05</v>
      </c>
      <c r="D5881" s="15"/>
      <c r="E5881" s="15">
        <v>3.57</v>
      </c>
      <c r="F5881" s="15">
        <f t="shared" si="1"/>
        <v>0.92</v>
      </c>
      <c r="G5881" s="15">
        <f t="shared" si="2"/>
        <v>4.05</v>
      </c>
      <c r="H5881" s="16">
        <v>0.0</v>
      </c>
      <c r="I5881" s="15">
        <f t="shared" si="3"/>
        <v>0.92</v>
      </c>
      <c r="J5881" s="15">
        <v>24.23</v>
      </c>
      <c r="K5881" s="16">
        <f>IF(COUNTIFS(Release_Calendar!$A$2:$A$755,"US_CPI",Release_Calendar!$B$2:$B$755,$A5881)&gt;0,1,0)</f>
        <v>0</v>
      </c>
      <c r="L5881" s="16">
        <f>IF(COUNTIFS(Release_Calendar!$A$2:$A$755,"US_NFP",Release_Calendar!$B$2:$B$755,$A5881)&gt;0,1,0)</f>
        <v>0</v>
      </c>
      <c r="M5881" s="16">
        <f>IF($A5881&lt;Notes!$B$5,"",IF(COUNTIFS(Release_Calendar!$A$2:$A$755,"NZ_CPI",Release_Calendar!$B$2:$B$755,$A5881)&gt;0,1,0))</f>
        <v>0</v>
      </c>
      <c r="N5881" s="16">
        <f>IF($A5881&lt;Notes!$B$5,"",IF(COUNTIFS(Release_Calendar!$A$2:$A$755,"NZ_GDP",Release_Calendar!$B$2:$B$755,$A5881)&gt;0,1,0))</f>
        <v>0</v>
      </c>
      <c r="O5881" s="16">
        <f>IF($A5881&lt;Notes!$B$5,"",IF(COUNTIFS(Release_Calendar!$A$2:$A$755,"NZ_LABOUR",Release_Calendar!$B$2:$B$755,$A5881)&gt;0,1,0))</f>
        <v>0</v>
      </c>
      <c r="P5881" s="16">
        <f t="shared" si="4"/>
        <v>0</v>
      </c>
    </row>
    <row r="5882" ht="15.75" customHeight="1">
      <c r="A5882" s="14">
        <v>44760.0</v>
      </c>
      <c r="B5882" s="15">
        <v>3.15</v>
      </c>
      <c r="C5882" s="15">
        <v>4.11</v>
      </c>
      <c r="D5882" s="15"/>
      <c r="E5882" s="15">
        <v>3.64</v>
      </c>
      <c r="F5882" s="15">
        <f t="shared" si="1"/>
        <v>0.96</v>
      </c>
      <c r="G5882" s="15">
        <f t="shared" si="2"/>
        <v>4.11</v>
      </c>
      <c r="H5882" s="16">
        <v>0.0</v>
      </c>
      <c r="I5882" s="15">
        <f t="shared" si="3"/>
        <v>0.96</v>
      </c>
      <c r="J5882" s="15">
        <v>25.3</v>
      </c>
      <c r="K5882" s="16">
        <f>IF(COUNTIFS(Release_Calendar!$A$2:$A$755,"US_CPI",Release_Calendar!$B$2:$B$755,$A5882)&gt;0,1,0)</f>
        <v>0</v>
      </c>
      <c r="L5882" s="16">
        <f>IF(COUNTIFS(Release_Calendar!$A$2:$A$755,"US_NFP",Release_Calendar!$B$2:$B$755,$A5882)&gt;0,1,0)</f>
        <v>0</v>
      </c>
      <c r="M5882" s="16">
        <f>IF($A5882&lt;Notes!$B$5,"",IF(COUNTIFS(Release_Calendar!$A$2:$A$755,"NZ_CPI",Release_Calendar!$B$2:$B$755,$A5882)&gt;0,1,0))</f>
        <v>1</v>
      </c>
      <c r="N5882" s="16">
        <f>IF($A5882&lt;Notes!$B$5,"",IF(COUNTIFS(Release_Calendar!$A$2:$A$755,"NZ_GDP",Release_Calendar!$B$2:$B$755,$A5882)&gt;0,1,0))</f>
        <v>0</v>
      </c>
      <c r="O5882" s="16">
        <f>IF($A5882&lt;Notes!$B$5,"",IF(COUNTIFS(Release_Calendar!$A$2:$A$755,"NZ_LABOUR",Release_Calendar!$B$2:$B$755,$A5882)&gt;0,1,0))</f>
        <v>0</v>
      </c>
      <c r="P5882" s="16">
        <f t="shared" si="4"/>
        <v>1</v>
      </c>
    </row>
    <row r="5883" ht="15.75" customHeight="1">
      <c r="A5883" s="14">
        <v>44761.0</v>
      </c>
      <c r="B5883" s="15">
        <v>3.23</v>
      </c>
      <c r="C5883" s="15">
        <v>4.12</v>
      </c>
      <c r="D5883" s="15"/>
      <c r="E5883" s="15">
        <v>3.67</v>
      </c>
      <c r="F5883" s="15">
        <f t="shared" si="1"/>
        <v>0.89</v>
      </c>
      <c r="G5883" s="15">
        <f t="shared" si="2"/>
        <v>4.12</v>
      </c>
      <c r="H5883" s="16">
        <v>0.0</v>
      </c>
      <c r="I5883" s="15">
        <f t="shared" si="3"/>
        <v>0.89</v>
      </c>
      <c r="J5883" s="15">
        <v>24.5</v>
      </c>
      <c r="K5883" s="16">
        <f>IF(COUNTIFS(Release_Calendar!$A$2:$A$755,"US_CPI",Release_Calendar!$B$2:$B$755,$A5883)&gt;0,1,0)</f>
        <v>0</v>
      </c>
      <c r="L5883" s="16">
        <f>IF(COUNTIFS(Release_Calendar!$A$2:$A$755,"US_NFP",Release_Calendar!$B$2:$B$755,$A5883)&gt;0,1,0)</f>
        <v>0</v>
      </c>
      <c r="M5883" s="16">
        <f>IF($A5883&lt;Notes!$B$5,"",IF(COUNTIFS(Release_Calendar!$A$2:$A$755,"NZ_CPI",Release_Calendar!$B$2:$B$755,$A5883)&gt;0,1,0))</f>
        <v>0</v>
      </c>
      <c r="N5883" s="16">
        <f>IF($A5883&lt;Notes!$B$5,"",IF(COUNTIFS(Release_Calendar!$A$2:$A$755,"NZ_GDP",Release_Calendar!$B$2:$B$755,$A5883)&gt;0,1,0))</f>
        <v>0</v>
      </c>
      <c r="O5883" s="16">
        <f>IF($A5883&lt;Notes!$B$5,"",IF(COUNTIFS(Release_Calendar!$A$2:$A$755,"NZ_LABOUR",Release_Calendar!$B$2:$B$755,$A5883)&gt;0,1,0))</f>
        <v>0</v>
      </c>
      <c r="P5883" s="16">
        <f t="shared" si="4"/>
        <v>0</v>
      </c>
    </row>
    <row r="5884" ht="15.75" customHeight="1">
      <c r="A5884" s="14">
        <v>44762.0</v>
      </c>
      <c r="B5884" s="15">
        <v>3.25</v>
      </c>
      <c r="C5884" s="15">
        <v>4.16</v>
      </c>
      <c r="D5884" s="15"/>
      <c r="E5884" s="15">
        <v>3.73</v>
      </c>
      <c r="F5884" s="15">
        <f t="shared" si="1"/>
        <v>0.91</v>
      </c>
      <c r="G5884" s="15">
        <f t="shared" si="2"/>
        <v>4.16</v>
      </c>
      <c r="H5884" s="16">
        <v>0.0</v>
      </c>
      <c r="I5884" s="15">
        <f t="shared" si="3"/>
        <v>0.91</v>
      </c>
      <c r="J5884" s="15">
        <v>23.88</v>
      </c>
      <c r="K5884" s="16">
        <f>IF(COUNTIFS(Release_Calendar!$A$2:$A$755,"US_CPI",Release_Calendar!$B$2:$B$755,$A5884)&gt;0,1,0)</f>
        <v>0</v>
      </c>
      <c r="L5884" s="16">
        <f>IF(COUNTIFS(Release_Calendar!$A$2:$A$755,"US_NFP",Release_Calendar!$B$2:$B$755,$A5884)&gt;0,1,0)</f>
        <v>0</v>
      </c>
      <c r="M5884" s="16">
        <f>IF($A5884&lt;Notes!$B$5,"",IF(COUNTIFS(Release_Calendar!$A$2:$A$755,"NZ_CPI",Release_Calendar!$B$2:$B$755,$A5884)&gt;0,1,0))</f>
        <v>0</v>
      </c>
      <c r="N5884" s="16">
        <f>IF($A5884&lt;Notes!$B$5,"",IF(COUNTIFS(Release_Calendar!$A$2:$A$755,"NZ_GDP",Release_Calendar!$B$2:$B$755,$A5884)&gt;0,1,0))</f>
        <v>0</v>
      </c>
      <c r="O5884" s="16">
        <f>IF($A5884&lt;Notes!$B$5,"",IF(COUNTIFS(Release_Calendar!$A$2:$A$755,"NZ_LABOUR",Release_Calendar!$B$2:$B$755,$A5884)&gt;0,1,0))</f>
        <v>0</v>
      </c>
      <c r="P5884" s="16">
        <f t="shared" si="4"/>
        <v>0</v>
      </c>
    </row>
    <row r="5885" ht="15.75" customHeight="1">
      <c r="A5885" s="14">
        <v>44763.0</v>
      </c>
      <c r="B5885" s="15">
        <v>3.1</v>
      </c>
      <c r="C5885" s="15">
        <v>4.14</v>
      </c>
      <c r="D5885" s="15"/>
      <c r="E5885" s="15">
        <v>3.7</v>
      </c>
      <c r="F5885" s="15">
        <f t="shared" si="1"/>
        <v>1.04</v>
      </c>
      <c r="G5885" s="15">
        <f t="shared" si="2"/>
        <v>4.14</v>
      </c>
      <c r="H5885" s="16">
        <v>0.0</v>
      </c>
      <c r="I5885" s="15">
        <f t="shared" si="3"/>
        <v>1.04</v>
      </c>
      <c r="J5885" s="15">
        <v>23.11</v>
      </c>
      <c r="K5885" s="16">
        <f>IF(COUNTIFS(Release_Calendar!$A$2:$A$755,"US_CPI",Release_Calendar!$B$2:$B$755,$A5885)&gt;0,1,0)</f>
        <v>0</v>
      </c>
      <c r="L5885" s="16">
        <f>IF(COUNTIFS(Release_Calendar!$A$2:$A$755,"US_NFP",Release_Calendar!$B$2:$B$755,$A5885)&gt;0,1,0)</f>
        <v>0</v>
      </c>
      <c r="M5885" s="16">
        <f>IF($A5885&lt;Notes!$B$5,"",IF(COUNTIFS(Release_Calendar!$A$2:$A$755,"NZ_CPI",Release_Calendar!$B$2:$B$755,$A5885)&gt;0,1,0))</f>
        <v>0</v>
      </c>
      <c r="N5885" s="16">
        <f>IF($A5885&lt;Notes!$B$5,"",IF(COUNTIFS(Release_Calendar!$A$2:$A$755,"NZ_GDP",Release_Calendar!$B$2:$B$755,$A5885)&gt;0,1,0))</f>
        <v>0</v>
      </c>
      <c r="O5885" s="16">
        <f>IF($A5885&lt;Notes!$B$5,"",IF(COUNTIFS(Release_Calendar!$A$2:$A$755,"NZ_LABOUR",Release_Calendar!$B$2:$B$755,$A5885)&gt;0,1,0))</f>
        <v>0</v>
      </c>
      <c r="P5885" s="16">
        <f t="shared" si="4"/>
        <v>0</v>
      </c>
    </row>
    <row r="5886" ht="15.75" customHeight="1">
      <c r="A5886" s="14">
        <v>44764.0</v>
      </c>
      <c r="B5886" s="15">
        <v>2.98</v>
      </c>
      <c r="C5886" s="15">
        <v>4.08</v>
      </c>
      <c r="D5886" s="15"/>
      <c r="E5886" s="15">
        <v>3.62</v>
      </c>
      <c r="F5886" s="15">
        <f t="shared" si="1"/>
        <v>1.1</v>
      </c>
      <c r="G5886" s="15">
        <f t="shared" si="2"/>
        <v>4.08</v>
      </c>
      <c r="H5886" s="16">
        <v>0.0</v>
      </c>
      <c r="I5886" s="15">
        <f t="shared" si="3"/>
        <v>1.1</v>
      </c>
      <c r="J5886" s="15">
        <v>23.03</v>
      </c>
      <c r="K5886" s="16">
        <f>IF(COUNTIFS(Release_Calendar!$A$2:$A$755,"US_CPI",Release_Calendar!$B$2:$B$755,$A5886)&gt;0,1,0)</f>
        <v>0</v>
      </c>
      <c r="L5886" s="16">
        <f>IF(COUNTIFS(Release_Calendar!$A$2:$A$755,"US_NFP",Release_Calendar!$B$2:$B$755,$A5886)&gt;0,1,0)</f>
        <v>0</v>
      </c>
      <c r="M5886" s="16">
        <f>IF($A5886&lt;Notes!$B$5,"",IF(COUNTIFS(Release_Calendar!$A$2:$A$755,"NZ_CPI",Release_Calendar!$B$2:$B$755,$A5886)&gt;0,1,0))</f>
        <v>0</v>
      </c>
      <c r="N5886" s="16">
        <f>IF($A5886&lt;Notes!$B$5,"",IF(COUNTIFS(Release_Calendar!$A$2:$A$755,"NZ_GDP",Release_Calendar!$B$2:$B$755,$A5886)&gt;0,1,0))</f>
        <v>0</v>
      </c>
      <c r="O5886" s="16">
        <f>IF($A5886&lt;Notes!$B$5,"",IF(COUNTIFS(Release_Calendar!$A$2:$A$755,"NZ_LABOUR",Release_Calendar!$B$2:$B$755,$A5886)&gt;0,1,0))</f>
        <v>0</v>
      </c>
      <c r="P5886" s="16">
        <f t="shared" si="4"/>
        <v>0</v>
      </c>
    </row>
    <row r="5887" ht="15.75" customHeight="1">
      <c r="A5887" s="14">
        <v>44767.0</v>
      </c>
      <c r="B5887" s="15">
        <v>3.0</v>
      </c>
      <c r="C5887" s="15">
        <v>4.0</v>
      </c>
      <c r="D5887" s="15"/>
      <c r="E5887" s="15">
        <v>3.53</v>
      </c>
      <c r="F5887" s="15">
        <f t="shared" si="1"/>
        <v>1</v>
      </c>
      <c r="G5887" s="15">
        <f t="shared" si="2"/>
        <v>4</v>
      </c>
      <c r="H5887" s="16">
        <v>0.0</v>
      </c>
      <c r="I5887" s="15">
        <f t="shared" si="3"/>
        <v>1</v>
      </c>
      <c r="J5887" s="15">
        <v>23.36</v>
      </c>
      <c r="K5887" s="16">
        <f>IF(COUNTIFS(Release_Calendar!$A$2:$A$755,"US_CPI",Release_Calendar!$B$2:$B$755,$A5887)&gt;0,1,0)</f>
        <v>0</v>
      </c>
      <c r="L5887" s="16">
        <f>IF(COUNTIFS(Release_Calendar!$A$2:$A$755,"US_NFP",Release_Calendar!$B$2:$B$755,$A5887)&gt;0,1,0)</f>
        <v>0</v>
      </c>
      <c r="M5887" s="16">
        <f>IF($A5887&lt;Notes!$B$5,"",IF(COUNTIFS(Release_Calendar!$A$2:$A$755,"NZ_CPI",Release_Calendar!$B$2:$B$755,$A5887)&gt;0,1,0))</f>
        <v>0</v>
      </c>
      <c r="N5887" s="16">
        <f>IF($A5887&lt;Notes!$B$5,"",IF(COUNTIFS(Release_Calendar!$A$2:$A$755,"NZ_GDP",Release_Calendar!$B$2:$B$755,$A5887)&gt;0,1,0))</f>
        <v>0</v>
      </c>
      <c r="O5887" s="16">
        <f>IF($A5887&lt;Notes!$B$5,"",IF(COUNTIFS(Release_Calendar!$A$2:$A$755,"NZ_LABOUR",Release_Calendar!$B$2:$B$755,$A5887)&gt;0,1,0))</f>
        <v>0</v>
      </c>
      <c r="P5887" s="16">
        <f t="shared" si="4"/>
        <v>0</v>
      </c>
    </row>
    <row r="5888" ht="15.75" customHeight="1">
      <c r="A5888" s="14">
        <v>44768.0</v>
      </c>
      <c r="B5888" s="15">
        <v>3.02</v>
      </c>
      <c r="C5888" s="15">
        <v>3.99</v>
      </c>
      <c r="D5888" s="15"/>
      <c r="E5888" s="15">
        <v>3.53</v>
      </c>
      <c r="F5888" s="15">
        <f t="shared" si="1"/>
        <v>0.97</v>
      </c>
      <c r="G5888" s="15">
        <f t="shared" si="2"/>
        <v>3.99</v>
      </c>
      <c r="H5888" s="16">
        <v>0.0</v>
      </c>
      <c r="I5888" s="15">
        <f t="shared" si="3"/>
        <v>0.97</v>
      </c>
      <c r="J5888" s="15">
        <v>24.69</v>
      </c>
      <c r="K5888" s="16">
        <f>IF(COUNTIFS(Release_Calendar!$A$2:$A$755,"US_CPI",Release_Calendar!$B$2:$B$755,$A5888)&gt;0,1,0)</f>
        <v>0</v>
      </c>
      <c r="L5888" s="16">
        <f>IF(COUNTIFS(Release_Calendar!$A$2:$A$755,"US_NFP",Release_Calendar!$B$2:$B$755,$A5888)&gt;0,1,0)</f>
        <v>0</v>
      </c>
      <c r="M5888" s="16">
        <f>IF($A5888&lt;Notes!$B$5,"",IF(COUNTIFS(Release_Calendar!$A$2:$A$755,"NZ_CPI",Release_Calendar!$B$2:$B$755,$A5888)&gt;0,1,0))</f>
        <v>0</v>
      </c>
      <c r="N5888" s="16">
        <f>IF($A5888&lt;Notes!$B$5,"",IF(COUNTIFS(Release_Calendar!$A$2:$A$755,"NZ_GDP",Release_Calendar!$B$2:$B$755,$A5888)&gt;0,1,0))</f>
        <v>0</v>
      </c>
      <c r="O5888" s="16">
        <f>IF($A5888&lt;Notes!$B$5,"",IF(COUNTIFS(Release_Calendar!$A$2:$A$755,"NZ_LABOUR",Release_Calendar!$B$2:$B$755,$A5888)&gt;0,1,0))</f>
        <v>0</v>
      </c>
      <c r="P5888" s="16">
        <f t="shared" si="4"/>
        <v>0</v>
      </c>
    </row>
    <row r="5889" ht="15.75" customHeight="1">
      <c r="A5889" s="14">
        <v>44769.0</v>
      </c>
      <c r="B5889" s="15">
        <v>2.96</v>
      </c>
      <c r="C5889" s="15">
        <v>3.94</v>
      </c>
      <c r="D5889" s="15"/>
      <c r="E5889" s="15">
        <v>3.46</v>
      </c>
      <c r="F5889" s="15">
        <f t="shared" si="1"/>
        <v>0.98</v>
      </c>
      <c r="G5889" s="15">
        <f t="shared" si="2"/>
        <v>3.94</v>
      </c>
      <c r="H5889" s="16">
        <v>0.0</v>
      </c>
      <c r="I5889" s="15">
        <f t="shared" si="3"/>
        <v>0.98</v>
      </c>
      <c r="J5889" s="15">
        <v>23.24</v>
      </c>
      <c r="K5889" s="16">
        <f>IF(COUNTIFS(Release_Calendar!$A$2:$A$755,"US_CPI",Release_Calendar!$B$2:$B$755,$A5889)&gt;0,1,0)</f>
        <v>0</v>
      </c>
      <c r="L5889" s="16">
        <f>IF(COUNTIFS(Release_Calendar!$A$2:$A$755,"US_NFP",Release_Calendar!$B$2:$B$755,$A5889)&gt;0,1,0)</f>
        <v>0</v>
      </c>
      <c r="M5889" s="16">
        <f>IF($A5889&lt;Notes!$B$5,"",IF(COUNTIFS(Release_Calendar!$A$2:$A$755,"NZ_CPI",Release_Calendar!$B$2:$B$755,$A5889)&gt;0,1,0))</f>
        <v>0</v>
      </c>
      <c r="N5889" s="16">
        <f>IF($A5889&lt;Notes!$B$5,"",IF(COUNTIFS(Release_Calendar!$A$2:$A$755,"NZ_GDP",Release_Calendar!$B$2:$B$755,$A5889)&gt;0,1,0))</f>
        <v>0</v>
      </c>
      <c r="O5889" s="16">
        <f>IF($A5889&lt;Notes!$B$5,"",IF(COUNTIFS(Release_Calendar!$A$2:$A$755,"NZ_LABOUR",Release_Calendar!$B$2:$B$755,$A5889)&gt;0,1,0))</f>
        <v>0</v>
      </c>
      <c r="P5889" s="16">
        <f t="shared" si="4"/>
        <v>0</v>
      </c>
    </row>
    <row r="5890" ht="15.75" customHeight="1">
      <c r="A5890" s="14">
        <v>44770.0</v>
      </c>
      <c r="B5890" s="15">
        <v>2.85</v>
      </c>
      <c r="C5890" s="15">
        <v>3.87</v>
      </c>
      <c r="D5890" s="15"/>
      <c r="E5890" s="15">
        <v>3.4</v>
      </c>
      <c r="F5890" s="15">
        <f t="shared" si="1"/>
        <v>1.02</v>
      </c>
      <c r="G5890" s="15">
        <f t="shared" si="2"/>
        <v>3.87</v>
      </c>
      <c r="H5890" s="16">
        <v>0.0</v>
      </c>
      <c r="I5890" s="15">
        <f t="shared" si="3"/>
        <v>1.02</v>
      </c>
      <c r="J5890" s="15">
        <v>22.33</v>
      </c>
      <c r="K5890" s="16">
        <f>IF(COUNTIFS(Release_Calendar!$A$2:$A$755,"US_CPI",Release_Calendar!$B$2:$B$755,$A5890)&gt;0,1,0)</f>
        <v>0</v>
      </c>
      <c r="L5890" s="16">
        <f>IF(COUNTIFS(Release_Calendar!$A$2:$A$755,"US_NFP",Release_Calendar!$B$2:$B$755,$A5890)&gt;0,1,0)</f>
        <v>0</v>
      </c>
      <c r="M5890" s="16">
        <f>IF($A5890&lt;Notes!$B$5,"",IF(COUNTIFS(Release_Calendar!$A$2:$A$755,"NZ_CPI",Release_Calendar!$B$2:$B$755,$A5890)&gt;0,1,0))</f>
        <v>0</v>
      </c>
      <c r="N5890" s="16">
        <f>IF($A5890&lt;Notes!$B$5,"",IF(COUNTIFS(Release_Calendar!$A$2:$A$755,"NZ_GDP",Release_Calendar!$B$2:$B$755,$A5890)&gt;0,1,0))</f>
        <v>0</v>
      </c>
      <c r="O5890" s="16">
        <f>IF($A5890&lt;Notes!$B$5,"",IF(COUNTIFS(Release_Calendar!$A$2:$A$755,"NZ_LABOUR",Release_Calendar!$B$2:$B$755,$A5890)&gt;0,1,0))</f>
        <v>0</v>
      </c>
      <c r="P5890" s="16">
        <f t="shared" si="4"/>
        <v>0</v>
      </c>
    </row>
    <row r="5891" ht="15.75" customHeight="1">
      <c r="A5891" s="14">
        <v>44771.0</v>
      </c>
      <c r="B5891" s="15">
        <v>2.89</v>
      </c>
      <c r="C5891" s="15">
        <v>3.74</v>
      </c>
      <c r="D5891" s="15"/>
      <c r="E5891" s="15">
        <v>3.26</v>
      </c>
      <c r="F5891" s="15">
        <f t="shared" si="1"/>
        <v>0.85</v>
      </c>
      <c r="G5891" s="15">
        <f t="shared" si="2"/>
        <v>3.74</v>
      </c>
      <c r="H5891" s="16">
        <v>0.0</v>
      </c>
      <c r="I5891" s="15">
        <f t="shared" si="3"/>
        <v>0.85</v>
      </c>
      <c r="J5891" s="15">
        <v>21.33</v>
      </c>
      <c r="K5891" s="16">
        <f>IF(COUNTIFS(Release_Calendar!$A$2:$A$755,"US_CPI",Release_Calendar!$B$2:$B$755,$A5891)&gt;0,1,0)</f>
        <v>0</v>
      </c>
      <c r="L5891" s="16">
        <f>IF(COUNTIFS(Release_Calendar!$A$2:$A$755,"US_NFP",Release_Calendar!$B$2:$B$755,$A5891)&gt;0,1,0)</f>
        <v>0</v>
      </c>
      <c r="M5891" s="16">
        <f>IF($A5891&lt;Notes!$B$5,"",IF(COUNTIFS(Release_Calendar!$A$2:$A$755,"NZ_CPI",Release_Calendar!$B$2:$B$755,$A5891)&gt;0,1,0))</f>
        <v>0</v>
      </c>
      <c r="N5891" s="16">
        <f>IF($A5891&lt;Notes!$B$5,"",IF(COUNTIFS(Release_Calendar!$A$2:$A$755,"NZ_GDP",Release_Calendar!$B$2:$B$755,$A5891)&gt;0,1,0))</f>
        <v>0</v>
      </c>
      <c r="O5891" s="16">
        <f>IF($A5891&lt;Notes!$B$5,"",IF(COUNTIFS(Release_Calendar!$A$2:$A$755,"NZ_LABOUR",Release_Calendar!$B$2:$B$755,$A5891)&gt;0,1,0))</f>
        <v>0</v>
      </c>
      <c r="P5891" s="16">
        <f t="shared" si="4"/>
        <v>0</v>
      </c>
    </row>
    <row r="5892" ht="15.75" customHeight="1">
      <c r="A5892" s="14">
        <v>44774.0</v>
      </c>
      <c r="B5892" s="15">
        <v>2.9</v>
      </c>
      <c r="C5892" s="15">
        <v>3.75</v>
      </c>
      <c r="D5892" s="15"/>
      <c r="E5892" s="15">
        <v>3.27</v>
      </c>
      <c r="F5892" s="15">
        <f t="shared" si="1"/>
        <v>0.85</v>
      </c>
      <c r="G5892" s="15">
        <f t="shared" si="2"/>
        <v>3.75</v>
      </c>
      <c r="H5892" s="16">
        <v>0.0</v>
      </c>
      <c r="I5892" s="15">
        <f t="shared" si="3"/>
        <v>0.85</v>
      </c>
      <c r="J5892" s="15">
        <v>22.84</v>
      </c>
      <c r="K5892" s="16">
        <f>IF(COUNTIFS(Release_Calendar!$A$2:$A$755,"US_CPI",Release_Calendar!$B$2:$B$755,$A5892)&gt;0,1,0)</f>
        <v>0</v>
      </c>
      <c r="L5892" s="16">
        <f>IF(COUNTIFS(Release_Calendar!$A$2:$A$755,"US_NFP",Release_Calendar!$B$2:$B$755,$A5892)&gt;0,1,0)</f>
        <v>0</v>
      </c>
      <c r="M5892" s="16">
        <f>IF($A5892&lt;Notes!$B$5,"",IF(COUNTIFS(Release_Calendar!$A$2:$A$755,"NZ_CPI",Release_Calendar!$B$2:$B$755,$A5892)&gt;0,1,0))</f>
        <v>0</v>
      </c>
      <c r="N5892" s="16">
        <f>IF($A5892&lt;Notes!$B$5,"",IF(COUNTIFS(Release_Calendar!$A$2:$A$755,"NZ_GDP",Release_Calendar!$B$2:$B$755,$A5892)&gt;0,1,0))</f>
        <v>0</v>
      </c>
      <c r="O5892" s="16">
        <f>IF($A5892&lt;Notes!$B$5,"",IF(COUNTIFS(Release_Calendar!$A$2:$A$755,"NZ_LABOUR",Release_Calendar!$B$2:$B$755,$A5892)&gt;0,1,0))</f>
        <v>0</v>
      </c>
      <c r="P5892" s="16">
        <f t="shared" si="4"/>
        <v>0</v>
      </c>
    </row>
    <row r="5893" ht="15.75" customHeight="1">
      <c r="A5893" s="14">
        <v>44775.0</v>
      </c>
      <c r="B5893" s="15">
        <v>3.06</v>
      </c>
      <c r="C5893" s="15">
        <v>3.71</v>
      </c>
      <c r="D5893" s="15"/>
      <c r="E5893" s="15">
        <v>3.23</v>
      </c>
      <c r="F5893" s="15">
        <f t="shared" si="1"/>
        <v>0.65</v>
      </c>
      <c r="G5893" s="15">
        <f t="shared" si="2"/>
        <v>3.71</v>
      </c>
      <c r="H5893" s="16">
        <v>0.0</v>
      </c>
      <c r="I5893" s="15">
        <f t="shared" si="3"/>
        <v>0.65</v>
      </c>
      <c r="J5893" s="15">
        <v>23.93</v>
      </c>
      <c r="K5893" s="16">
        <f>IF(COUNTIFS(Release_Calendar!$A$2:$A$755,"US_CPI",Release_Calendar!$B$2:$B$755,$A5893)&gt;0,1,0)</f>
        <v>0</v>
      </c>
      <c r="L5893" s="16">
        <f>IF(COUNTIFS(Release_Calendar!$A$2:$A$755,"US_NFP",Release_Calendar!$B$2:$B$755,$A5893)&gt;0,1,0)</f>
        <v>0</v>
      </c>
      <c r="M5893" s="16">
        <f>IF($A5893&lt;Notes!$B$5,"",IF(COUNTIFS(Release_Calendar!$A$2:$A$755,"NZ_CPI",Release_Calendar!$B$2:$B$755,$A5893)&gt;0,1,0))</f>
        <v>0</v>
      </c>
      <c r="N5893" s="16">
        <f>IF($A5893&lt;Notes!$B$5,"",IF(COUNTIFS(Release_Calendar!$A$2:$A$755,"NZ_GDP",Release_Calendar!$B$2:$B$755,$A5893)&gt;0,1,0))</f>
        <v>0</v>
      </c>
      <c r="O5893" s="16">
        <f>IF($A5893&lt;Notes!$B$5,"",IF(COUNTIFS(Release_Calendar!$A$2:$A$755,"NZ_LABOUR",Release_Calendar!$B$2:$B$755,$A5893)&gt;0,1,0))</f>
        <v>0</v>
      </c>
      <c r="P5893" s="16">
        <f t="shared" si="4"/>
        <v>0</v>
      </c>
    </row>
    <row r="5894" ht="15.75" customHeight="1">
      <c r="A5894" s="14">
        <v>44776.0</v>
      </c>
      <c r="B5894" s="15">
        <v>3.1</v>
      </c>
      <c r="C5894" s="15">
        <v>3.68</v>
      </c>
      <c r="D5894" s="15"/>
      <c r="E5894" s="15">
        <v>3.22</v>
      </c>
      <c r="F5894" s="15">
        <f t="shared" si="1"/>
        <v>0.58</v>
      </c>
      <c r="G5894" s="15">
        <f t="shared" si="2"/>
        <v>3.68</v>
      </c>
      <c r="H5894" s="16">
        <v>0.0</v>
      </c>
      <c r="I5894" s="15">
        <f t="shared" si="3"/>
        <v>0.58</v>
      </c>
      <c r="J5894" s="15">
        <v>21.95</v>
      </c>
      <c r="K5894" s="16">
        <f>IF(COUNTIFS(Release_Calendar!$A$2:$A$755,"US_CPI",Release_Calendar!$B$2:$B$755,$A5894)&gt;0,1,0)</f>
        <v>0</v>
      </c>
      <c r="L5894" s="16">
        <f>IF(COUNTIFS(Release_Calendar!$A$2:$A$755,"US_NFP",Release_Calendar!$B$2:$B$755,$A5894)&gt;0,1,0)</f>
        <v>0</v>
      </c>
      <c r="M5894" s="16">
        <f>IF($A5894&lt;Notes!$B$5,"",IF(COUNTIFS(Release_Calendar!$A$2:$A$755,"NZ_CPI",Release_Calendar!$B$2:$B$755,$A5894)&gt;0,1,0))</f>
        <v>0</v>
      </c>
      <c r="N5894" s="16">
        <f>IF($A5894&lt;Notes!$B$5,"",IF(COUNTIFS(Release_Calendar!$A$2:$A$755,"NZ_GDP",Release_Calendar!$B$2:$B$755,$A5894)&gt;0,1,0))</f>
        <v>0</v>
      </c>
      <c r="O5894" s="16">
        <f>IF($A5894&lt;Notes!$B$5,"",IF(COUNTIFS(Release_Calendar!$A$2:$A$755,"NZ_LABOUR",Release_Calendar!$B$2:$B$755,$A5894)&gt;0,1,0))</f>
        <v>1</v>
      </c>
      <c r="P5894" s="16">
        <f t="shared" si="4"/>
        <v>1</v>
      </c>
    </row>
    <row r="5895" ht="15.75" customHeight="1">
      <c r="A5895" s="14">
        <v>44777.0</v>
      </c>
      <c r="B5895" s="15">
        <v>3.03</v>
      </c>
      <c r="C5895" s="15">
        <v>3.76</v>
      </c>
      <c r="D5895" s="15"/>
      <c r="E5895" s="15">
        <v>3.3</v>
      </c>
      <c r="F5895" s="15">
        <f t="shared" si="1"/>
        <v>0.73</v>
      </c>
      <c r="G5895" s="15">
        <f t="shared" si="2"/>
        <v>3.76</v>
      </c>
      <c r="H5895" s="16">
        <v>0.0</v>
      </c>
      <c r="I5895" s="15">
        <f t="shared" si="3"/>
        <v>0.73</v>
      </c>
      <c r="J5895" s="15">
        <v>21.44</v>
      </c>
      <c r="K5895" s="16">
        <f>IF(COUNTIFS(Release_Calendar!$A$2:$A$755,"US_CPI",Release_Calendar!$B$2:$B$755,$A5895)&gt;0,1,0)</f>
        <v>0</v>
      </c>
      <c r="L5895" s="16">
        <f>IF(COUNTIFS(Release_Calendar!$A$2:$A$755,"US_NFP",Release_Calendar!$B$2:$B$755,$A5895)&gt;0,1,0)</f>
        <v>0</v>
      </c>
      <c r="M5895" s="16">
        <f>IF($A5895&lt;Notes!$B$5,"",IF(COUNTIFS(Release_Calendar!$A$2:$A$755,"NZ_CPI",Release_Calendar!$B$2:$B$755,$A5895)&gt;0,1,0))</f>
        <v>0</v>
      </c>
      <c r="N5895" s="16">
        <f>IF($A5895&lt;Notes!$B$5,"",IF(COUNTIFS(Release_Calendar!$A$2:$A$755,"NZ_GDP",Release_Calendar!$B$2:$B$755,$A5895)&gt;0,1,0))</f>
        <v>0</v>
      </c>
      <c r="O5895" s="16">
        <f>IF($A5895&lt;Notes!$B$5,"",IF(COUNTIFS(Release_Calendar!$A$2:$A$755,"NZ_LABOUR",Release_Calendar!$B$2:$B$755,$A5895)&gt;0,1,0))</f>
        <v>0</v>
      </c>
      <c r="P5895" s="16">
        <f t="shared" si="4"/>
        <v>0</v>
      </c>
    </row>
    <row r="5896" ht="15.75" customHeight="1">
      <c r="A5896" s="14">
        <v>44778.0</v>
      </c>
      <c r="B5896" s="15">
        <v>3.24</v>
      </c>
      <c r="C5896" s="15">
        <v>3.78</v>
      </c>
      <c r="D5896" s="15"/>
      <c r="E5896" s="15">
        <v>3.31</v>
      </c>
      <c r="F5896" s="15">
        <f t="shared" si="1"/>
        <v>0.54</v>
      </c>
      <c r="G5896" s="15">
        <f t="shared" si="2"/>
        <v>3.78</v>
      </c>
      <c r="H5896" s="16">
        <v>0.0</v>
      </c>
      <c r="I5896" s="15">
        <f t="shared" si="3"/>
        <v>0.54</v>
      </c>
      <c r="J5896" s="15">
        <v>21.15</v>
      </c>
      <c r="K5896" s="16">
        <f>IF(COUNTIFS(Release_Calendar!$A$2:$A$755,"US_CPI",Release_Calendar!$B$2:$B$755,$A5896)&gt;0,1,0)</f>
        <v>0</v>
      </c>
      <c r="L5896" s="16">
        <f>IF(COUNTIFS(Release_Calendar!$A$2:$A$755,"US_NFP",Release_Calendar!$B$2:$B$755,$A5896)&gt;0,1,0)</f>
        <v>1</v>
      </c>
      <c r="M5896" s="16">
        <f>IF($A5896&lt;Notes!$B$5,"",IF(COUNTIFS(Release_Calendar!$A$2:$A$755,"NZ_CPI",Release_Calendar!$B$2:$B$755,$A5896)&gt;0,1,0))</f>
        <v>0</v>
      </c>
      <c r="N5896" s="16">
        <f>IF($A5896&lt;Notes!$B$5,"",IF(COUNTIFS(Release_Calendar!$A$2:$A$755,"NZ_GDP",Release_Calendar!$B$2:$B$755,$A5896)&gt;0,1,0))</f>
        <v>0</v>
      </c>
      <c r="O5896" s="16">
        <f>IF($A5896&lt;Notes!$B$5,"",IF(COUNTIFS(Release_Calendar!$A$2:$A$755,"NZ_LABOUR",Release_Calendar!$B$2:$B$755,$A5896)&gt;0,1,0))</f>
        <v>0</v>
      </c>
      <c r="P5896" s="16">
        <f t="shared" si="4"/>
        <v>1</v>
      </c>
    </row>
    <row r="5897" ht="15.75" customHeight="1">
      <c r="A5897" s="14">
        <v>44781.0</v>
      </c>
      <c r="B5897" s="15">
        <v>3.21</v>
      </c>
      <c r="C5897" s="15">
        <v>3.82</v>
      </c>
      <c r="D5897" s="15"/>
      <c r="E5897" s="15">
        <v>3.36</v>
      </c>
      <c r="F5897" s="15">
        <f t="shared" si="1"/>
        <v>0.61</v>
      </c>
      <c r="G5897" s="15">
        <f t="shared" si="2"/>
        <v>3.82</v>
      </c>
      <c r="H5897" s="16">
        <v>0.0</v>
      </c>
      <c r="I5897" s="15">
        <f t="shared" si="3"/>
        <v>0.61</v>
      </c>
      <c r="J5897" s="15">
        <v>21.29</v>
      </c>
      <c r="K5897" s="16">
        <f>IF(COUNTIFS(Release_Calendar!$A$2:$A$755,"US_CPI",Release_Calendar!$B$2:$B$755,$A5897)&gt;0,1,0)</f>
        <v>0</v>
      </c>
      <c r="L5897" s="16">
        <f>IF(COUNTIFS(Release_Calendar!$A$2:$A$755,"US_NFP",Release_Calendar!$B$2:$B$755,$A5897)&gt;0,1,0)</f>
        <v>0</v>
      </c>
      <c r="M5897" s="16">
        <f>IF($A5897&lt;Notes!$B$5,"",IF(COUNTIFS(Release_Calendar!$A$2:$A$755,"NZ_CPI",Release_Calendar!$B$2:$B$755,$A5897)&gt;0,1,0))</f>
        <v>0</v>
      </c>
      <c r="N5897" s="16">
        <f>IF($A5897&lt;Notes!$B$5,"",IF(COUNTIFS(Release_Calendar!$A$2:$A$755,"NZ_GDP",Release_Calendar!$B$2:$B$755,$A5897)&gt;0,1,0))</f>
        <v>0</v>
      </c>
      <c r="O5897" s="16">
        <f>IF($A5897&lt;Notes!$B$5,"",IF(COUNTIFS(Release_Calendar!$A$2:$A$755,"NZ_LABOUR",Release_Calendar!$B$2:$B$755,$A5897)&gt;0,1,0))</f>
        <v>0</v>
      </c>
      <c r="P5897" s="16">
        <f t="shared" si="4"/>
        <v>0</v>
      </c>
    </row>
    <row r="5898" ht="15.75" customHeight="1">
      <c r="A5898" s="14">
        <v>44782.0</v>
      </c>
      <c r="B5898" s="15">
        <v>3.28</v>
      </c>
      <c r="C5898" s="15">
        <v>3.78</v>
      </c>
      <c r="D5898" s="15"/>
      <c r="E5898" s="15">
        <v>3.29</v>
      </c>
      <c r="F5898" s="15">
        <f t="shared" si="1"/>
        <v>0.5</v>
      </c>
      <c r="G5898" s="15">
        <f t="shared" si="2"/>
        <v>3.78</v>
      </c>
      <c r="H5898" s="16">
        <v>0.0</v>
      </c>
      <c r="I5898" s="15">
        <f t="shared" si="3"/>
        <v>0.5</v>
      </c>
      <c r="J5898" s="15">
        <v>21.77</v>
      </c>
      <c r="K5898" s="16">
        <f>IF(COUNTIFS(Release_Calendar!$A$2:$A$755,"US_CPI",Release_Calendar!$B$2:$B$755,$A5898)&gt;0,1,0)</f>
        <v>0</v>
      </c>
      <c r="L5898" s="16">
        <f>IF(COUNTIFS(Release_Calendar!$A$2:$A$755,"US_NFP",Release_Calendar!$B$2:$B$755,$A5898)&gt;0,1,0)</f>
        <v>0</v>
      </c>
      <c r="M5898" s="16">
        <f>IF($A5898&lt;Notes!$B$5,"",IF(COUNTIFS(Release_Calendar!$A$2:$A$755,"NZ_CPI",Release_Calendar!$B$2:$B$755,$A5898)&gt;0,1,0))</f>
        <v>0</v>
      </c>
      <c r="N5898" s="16">
        <f>IF($A5898&lt;Notes!$B$5,"",IF(COUNTIFS(Release_Calendar!$A$2:$A$755,"NZ_GDP",Release_Calendar!$B$2:$B$755,$A5898)&gt;0,1,0))</f>
        <v>0</v>
      </c>
      <c r="O5898" s="16">
        <f>IF($A5898&lt;Notes!$B$5,"",IF(COUNTIFS(Release_Calendar!$A$2:$A$755,"NZ_LABOUR",Release_Calendar!$B$2:$B$755,$A5898)&gt;0,1,0))</f>
        <v>0</v>
      </c>
      <c r="P5898" s="16">
        <f t="shared" si="4"/>
        <v>0</v>
      </c>
    </row>
    <row r="5899" ht="15.75" customHeight="1">
      <c r="A5899" s="14">
        <v>44783.0</v>
      </c>
      <c r="B5899" s="15">
        <v>3.23</v>
      </c>
      <c r="C5899" s="15">
        <v>3.83</v>
      </c>
      <c r="D5899" s="15"/>
      <c r="E5899" s="15">
        <v>3.36</v>
      </c>
      <c r="F5899" s="15">
        <f t="shared" si="1"/>
        <v>0.6</v>
      </c>
      <c r="G5899" s="15">
        <f t="shared" si="2"/>
        <v>3.83</v>
      </c>
      <c r="H5899" s="16">
        <v>0.0</v>
      </c>
      <c r="I5899" s="15">
        <f t="shared" si="3"/>
        <v>0.6</v>
      </c>
      <c r="J5899" s="15">
        <v>19.74</v>
      </c>
      <c r="K5899" s="16">
        <f>IF(COUNTIFS(Release_Calendar!$A$2:$A$755,"US_CPI",Release_Calendar!$B$2:$B$755,$A5899)&gt;0,1,0)</f>
        <v>1</v>
      </c>
      <c r="L5899" s="16">
        <f>IF(COUNTIFS(Release_Calendar!$A$2:$A$755,"US_NFP",Release_Calendar!$B$2:$B$755,$A5899)&gt;0,1,0)</f>
        <v>0</v>
      </c>
      <c r="M5899" s="16">
        <f>IF($A5899&lt;Notes!$B$5,"",IF(COUNTIFS(Release_Calendar!$A$2:$A$755,"NZ_CPI",Release_Calendar!$B$2:$B$755,$A5899)&gt;0,1,0))</f>
        <v>0</v>
      </c>
      <c r="N5899" s="16">
        <f>IF($A5899&lt;Notes!$B$5,"",IF(COUNTIFS(Release_Calendar!$A$2:$A$755,"NZ_GDP",Release_Calendar!$B$2:$B$755,$A5899)&gt;0,1,0))</f>
        <v>0</v>
      </c>
      <c r="O5899" s="16">
        <f>IF($A5899&lt;Notes!$B$5,"",IF(COUNTIFS(Release_Calendar!$A$2:$A$755,"NZ_LABOUR",Release_Calendar!$B$2:$B$755,$A5899)&gt;0,1,0))</f>
        <v>0</v>
      </c>
      <c r="P5899" s="16">
        <f t="shared" si="4"/>
        <v>1</v>
      </c>
    </row>
    <row r="5900" ht="15.75" customHeight="1">
      <c r="A5900" s="14">
        <v>44784.0</v>
      </c>
      <c r="B5900" s="15">
        <v>3.23</v>
      </c>
      <c r="C5900" s="15">
        <v>3.86</v>
      </c>
      <c r="D5900" s="15"/>
      <c r="E5900" s="15">
        <v>3.41</v>
      </c>
      <c r="F5900" s="15">
        <f t="shared" si="1"/>
        <v>0.63</v>
      </c>
      <c r="G5900" s="15">
        <f t="shared" si="2"/>
        <v>3.86</v>
      </c>
      <c r="H5900" s="16">
        <v>0.0</v>
      </c>
      <c r="I5900" s="15">
        <f t="shared" si="3"/>
        <v>0.63</v>
      </c>
      <c r="J5900" s="15">
        <v>20.2</v>
      </c>
      <c r="K5900" s="16">
        <f>IF(COUNTIFS(Release_Calendar!$A$2:$A$755,"US_CPI",Release_Calendar!$B$2:$B$755,$A5900)&gt;0,1,0)</f>
        <v>0</v>
      </c>
      <c r="L5900" s="16">
        <f>IF(COUNTIFS(Release_Calendar!$A$2:$A$755,"US_NFP",Release_Calendar!$B$2:$B$755,$A5900)&gt;0,1,0)</f>
        <v>0</v>
      </c>
      <c r="M5900" s="16">
        <f>IF($A5900&lt;Notes!$B$5,"",IF(COUNTIFS(Release_Calendar!$A$2:$A$755,"NZ_CPI",Release_Calendar!$B$2:$B$755,$A5900)&gt;0,1,0))</f>
        <v>0</v>
      </c>
      <c r="N5900" s="16">
        <f>IF($A5900&lt;Notes!$B$5,"",IF(COUNTIFS(Release_Calendar!$A$2:$A$755,"NZ_GDP",Release_Calendar!$B$2:$B$755,$A5900)&gt;0,1,0))</f>
        <v>0</v>
      </c>
      <c r="O5900" s="16">
        <f>IF($A5900&lt;Notes!$B$5,"",IF(COUNTIFS(Release_Calendar!$A$2:$A$755,"NZ_LABOUR",Release_Calendar!$B$2:$B$755,$A5900)&gt;0,1,0))</f>
        <v>0</v>
      </c>
      <c r="P5900" s="16">
        <f t="shared" si="4"/>
        <v>0</v>
      </c>
    </row>
    <row r="5901" ht="15.75" customHeight="1">
      <c r="A5901" s="14">
        <v>44785.0</v>
      </c>
      <c r="B5901" s="15">
        <v>3.25</v>
      </c>
      <c r="C5901" s="15">
        <v>3.96</v>
      </c>
      <c r="D5901" s="15"/>
      <c r="E5901" s="15">
        <v>3.49</v>
      </c>
      <c r="F5901" s="15">
        <f t="shared" si="1"/>
        <v>0.71</v>
      </c>
      <c r="G5901" s="15">
        <f t="shared" si="2"/>
        <v>3.96</v>
      </c>
      <c r="H5901" s="16">
        <v>0.0</v>
      </c>
      <c r="I5901" s="15">
        <f t="shared" si="3"/>
        <v>0.71</v>
      </c>
      <c r="J5901" s="15">
        <v>19.53</v>
      </c>
      <c r="K5901" s="16">
        <f>IF(COUNTIFS(Release_Calendar!$A$2:$A$755,"US_CPI",Release_Calendar!$B$2:$B$755,$A5901)&gt;0,1,0)</f>
        <v>0</v>
      </c>
      <c r="L5901" s="16">
        <f>IF(COUNTIFS(Release_Calendar!$A$2:$A$755,"US_NFP",Release_Calendar!$B$2:$B$755,$A5901)&gt;0,1,0)</f>
        <v>0</v>
      </c>
      <c r="M5901" s="16">
        <f>IF($A5901&lt;Notes!$B$5,"",IF(COUNTIFS(Release_Calendar!$A$2:$A$755,"NZ_CPI",Release_Calendar!$B$2:$B$755,$A5901)&gt;0,1,0))</f>
        <v>0</v>
      </c>
      <c r="N5901" s="16">
        <f>IF($A5901&lt;Notes!$B$5,"",IF(COUNTIFS(Release_Calendar!$A$2:$A$755,"NZ_GDP",Release_Calendar!$B$2:$B$755,$A5901)&gt;0,1,0))</f>
        <v>0</v>
      </c>
      <c r="O5901" s="16">
        <f>IF($A5901&lt;Notes!$B$5,"",IF(COUNTIFS(Release_Calendar!$A$2:$A$755,"NZ_LABOUR",Release_Calendar!$B$2:$B$755,$A5901)&gt;0,1,0))</f>
        <v>0</v>
      </c>
      <c r="P5901" s="16">
        <f t="shared" si="4"/>
        <v>0</v>
      </c>
    </row>
    <row r="5902" ht="15.75" customHeight="1">
      <c r="A5902" s="14">
        <v>44788.0</v>
      </c>
      <c r="B5902" s="15">
        <v>3.2</v>
      </c>
      <c r="C5902" s="15">
        <v>3.96</v>
      </c>
      <c r="D5902" s="15"/>
      <c r="E5902" s="15">
        <v>3.48</v>
      </c>
      <c r="F5902" s="15">
        <f t="shared" si="1"/>
        <v>0.76</v>
      </c>
      <c r="G5902" s="15">
        <f t="shared" si="2"/>
        <v>3.96</v>
      </c>
      <c r="H5902" s="16">
        <v>0.0</v>
      </c>
      <c r="I5902" s="15">
        <f t="shared" si="3"/>
        <v>0.76</v>
      </c>
      <c r="J5902" s="15">
        <v>19.95</v>
      </c>
      <c r="K5902" s="16">
        <f>IF(COUNTIFS(Release_Calendar!$A$2:$A$755,"US_CPI",Release_Calendar!$B$2:$B$755,$A5902)&gt;0,1,0)</f>
        <v>0</v>
      </c>
      <c r="L5902" s="16">
        <f>IF(COUNTIFS(Release_Calendar!$A$2:$A$755,"US_NFP",Release_Calendar!$B$2:$B$755,$A5902)&gt;0,1,0)</f>
        <v>0</v>
      </c>
      <c r="M5902" s="16">
        <f>IF($A5902&lt;Notes!$B$5,"",IF(COUNTIFS(Release_Calendar!$A$2:$A$755,"NZ_CPI",Release_Calendar!$B$2:$B$755,$A5902)&gt;0,1,0))</f>
        <v>0</v>
      </c>
      <c r="N5902" s="16">
        <f>IF($A5902&lt;Notes!$B$5,"",IF(COUNTIFS(Release_Calendar!$A$2:$A$755,"NZ_GDP",Release_Calendar!$B$2:$B$755,$A5902)&gt;0,1,0))</f>
        <v>0</v>
      </c>
      <c r="O5902" s="16">
        <f>IF($A5902&lt;Notes!$B$5,"",IF(COUNTIFS(Release_Calendar!$A$2:$A$755,"NZ_LABOUR",Release_Calendar!$B$2:$B$755,$A5902)&gt;0,1,0))</f>
        <v>0</v>
      </c>
      <c r="P5902" s="16">
        <f t="shared" si="4"/>
        <v>0</v>
      </c>
    </row>
    <row r="5903" ht="15.75" customHeight="1">
      <c r="A5903" s="14">
        <v>44789.0</v>
      </c>
      <c r="B5903" s="15">
        <v>3.25</v>
      </c>
      <c r="C5903" s="15">
        <v>3.92</v>
      </c>
      <c r="D5903" s="15"/>
      <c r="E5903" s="15">
        <v>3.44</v>
      </c>
      <c r="F5903" s="15">
        <f t="shared" si="1"/>
        <v>0.67</v>
      </c>
      <c r="G5903" s="15">
        <f t="shared" si="2"/>
        <v>3.92</v>
      </c>
      <c r="H5903" s="16">
        <v>0.0</v>
      </c>
      <c r="I5903" s="15">
        <f t="shared" si="3"/>
        <v>0.67</v>
      </c>
      <c r="J5903" s="15">
        <v>19.69</v>
      </c>
      <c r="K5903" s="16">
        <f>IF(COUNTIFS(Release_Calendar!$A$2:$A$755,"US_CPI",Release_Calendar!$B$2:$B$755,$A5903)&gt;0,1,0)</f>
        <v>0</v>
      </c>
      <c r="L5903" s="16">
        <f>IF(COUNTIFS(Release_Calendar!$A$2:$A$755,"US_NFP",Release_Calendar!$B$2:$B$755,$A5903)&gt;0,1,0)</f>
        <v>0</v>
      </c>
      <c r="M5903" s="16">
        <f>IF($A5903&lt;Notes!$B$5,"",IF(COUNTIFS(Release_Calendar!$A$2:$A$755,"NZ_CPI",Release_Calendar!$B$2:$B$755,$A5903)&gt;0,1,0))</f>
        <v>0</v>
      </c>
      <c r="N5903" s="16">
        <f>IF($A5903&lt;Notes!$B$5,"",IF(COUNTIFS(Release_Calendar!$A$2:$A$755,"NZ_GDP",Release_Calendar!$B$2:$B$755,$A5903)&gt;0,1,0))</f>
        <v>0</v>
      </c>
      <c r="O5903" s="16">
        <f>IF($A5903&lt;Notes!$B$5,"",IF(COUNTIFS(Release_Calendar!$A$2:$A$755,"NZ_LABOUR",Release_Calendar!$B$2:$B$755,$A5903)&gt;0,1,0))</f>
        <v>0</v>
      </c>
      <c r="P5903" s="16">
        <f t="shared" si="4"/>
        <v>0</v>
      </c>
    </row>
    <row r="5904" ht="15.75" customHeight="1">
      <c r="A5904" s="14">
        <v>44790.0</v>
      </c>
      <c r="B5904" s="15">
        <v>3.28</v>
      </c>
      <c r="C5904" s="15">
        <v>3.93</v>
      </c>
      <c r="D5904" s="15"/>
      <c r="E5904" s="15">
        <v>3.46</v>
      </c>
      <c r="F5904" s="15">
        <f t="shared" si="1"/>
        <v>0.65</v>
      </c>
      <c r="G5904" s="15">
        <f t="shared" si="2"/>
        <v>3.93</v>
      </c>
      <c r="H5904" s="16">
        <v>0.0</v>
      </c>
      <c r="I5904" s="15">
        <f t="shared" si="3"/>
        <v>0.65</v>
      </c>
      <c r="J5904" s="15">
        <v>19.9</v>
      </c>
      <c r="K5904" s="16">
        <f>IF(COUNTIFS(Release_Calendar!$A$2:$A$755,"US_CPI",Release_Calendar!$B$2:$B$755,$A5904)&gt;0,1,0)</f>
        <v>0</v>
      </c>
      <c r="L5904" s="16">
        <f>IF(COUNTIFS(Release_Calendar!$A$2:$A$755,"US_NFP",Release_Calendar!$B$2:$B$755,$A5904)&gt;0,1,0)</f>
        <v>0</v>
      </c>
      <c r="M5904" s="16">
        <f>IF($A5904&lt;Notes!$B$5,"",IF(COUNTIFS(Release_Calendar!$A$2:$A$755,"NZ_CPI",Release_Calendar!$B$2:$B$755,$A5904)&gt;0,1,0))</f>
        <v>0</v>
      </c>
      <c r="N5904" s="16">
        <f>IF($A5904&lt;Notes!$B$5,"",IF(COUNTIFS(Release_Calendar!$A$2:$A$755,"NZ_GDP",Release_Calendar!$B$2:$B$755,$A5904)&gt;0,1,0))</f>
        <v>0</v>
      </c>
      <c r="O5904" s="16">
        <f>IF($A5904&lt;Notes!$B$5,"",IF(COUNTIFS(Release_Calendar!$A$2:$A$755,"NZ_LABOUR",Release_Calendar!$B$2:$B$755,$A5904)&gt;0,1,0))</f>
        <v>0</v>
      </c>
      <c r="P5904" s="16">
        <f t="shared" si="4"/>
        <v>0</v>
      </c>
    </row>
    <row r="5905" ht="15.75" customHeight="1">
      <c r="A5905" s="14">
        <v>44791.0</v>
      </c>
      <c r="B5905" s="15">
        <v>3.22</v>
      </c>
      <c r="C5905" s="15">
        <v>3.96</v>
      </c>
      <c r="D5905" s="15"/>
      <c r="E5905" s="15">
        <v>3.51</v>
      </c>
      <c r="F5905" s="15">
        <f t="shared" si="1"/>
        <v>0.74</v>
      </c>
      <c r="G5905" s="15">
        <f t="shared" si="2"/>
        <v>3.96</v>
      </c>
      <c r="H5905" s="16">
        <v>0.0</v>
      </c>
      <c r="I5905" s="15">
        <f t="shared" si="3"/>
        <v>0.74</v>
      </c>
      <c r="J5905" s="15">
        <v>19.56</v>
      </c>
      <c r="K5905" s="16">
        <f>IF(COUNTIFS(Release_Calendar!$A$2:$A$755,"US_CPI",Release_Calendar!$B$2:$B$755,$A5905)&gt;0,1,0)</f>
        <v>0</v>
      </c>
      <c r="L5905" s="16">
        <f>IF(COUNTIFS(Release_Calendar!$A$2:$A$755,"US_NFP",Release_Calendar!$B$2:$B$755,$A5905)&gt;0,1,0)</f>
        <v>0</v>
      </c>
      <c r="M5905" s="16">
        <f>IF($A5905&lt;Notes!$B$5,"",IF(COUNTIFS(Release_Calendar!$A$2:$A$755,"NZ_CPI",Release_Calendar!$B$2:$B$755,$A5905)&gt;0,1,0))</f>
        <v>0</v>
      </c>
      <c r="N5905" s="16">
        <f>IF($A5905&lt;Notes!$B$5,"",IF(COUNTIFS(Release_Calendar!$A$2:$A$755,"NZ_GDP",Release_Calendar!$B$2:$B$755,$A5905)&gt;0,1,0))</f>
        <v>0</v>
      </c>
      <c r="O5905" s="16">
        <f>IF($A5905&lt;Notes!$B$5,"",IF(COUNTIFS(Release_Calendar!$A$2:$A$755,"NZ_LABOUR",Release_Calendar!$B$2:$B$755,$A5905)&gt;0,1,0))</f>
        <v>0</v>
      </c>
      <c r="P5905" s="16">
        <f t="shared" si="4"/>
        <v>0</v>
      </c>
    </row>
    <row r="5906" ht="15.75" customHeight="1">
      <c r="A5906" s="14">
        <v>44792.0</v>
      </c>
      <c r="B5906" s="15">
        <v>3.25</v>
      </c>
      <c r="C5906" s="15">
        <v>3.99</v>
      </c>
      <c r="D5906" s="15"/>
      <c r="E5906" s="15">
        <v>3.53</v>
      </c>
      <c r="F5906" s="15">
        <f t="shared" si="1"/>
        <v>0.74</v>
      </c>
      <c r="G5906" s="15">
        <f t="shared" si="2"/>
        <v>3.99</v>
      </c>
      <c r="H5906" s="16">
        <v>0.0</v>
      </c>
      <c r="I5906" s="15">
        <f t="shared" si="3"/>
        <v>0.74</v>
      </c>
      <c r="J5906" s="15">
        <v>20.6</v>
      </c>
      <c r="K5906" s="16">
        <f>IF(COUNTIFS(Release_Calendar!$A$2:$A$755,"US_CPI",Release_Calendar!$B$2:$B$755,$A5906)&gt;0,1,0)</f>
        <v>0</v>
      </c>
      <c r="L5906" s="16">
        <f>IF(COUNTIFS(Release_Calendar!$A$2:$A$755,"US_NFP",Release_Calendar!$B$2:$B$755,$A5906)&gt;0,1,0)</f>
        <v>0</v>
      </c>
      <c r="M5906" s="16">
        <f>IF($A5906&lt;Notes!$B$5,"",IF(COUNTIFS(Release_Calendar!$A$2:$A$755,"NZ_CPI",Release_Calendar!$B$2:$B$755,$A5906)&gt;0,1,0))</f>
        <v>0</v>
      </c>
      <c r="N5906" s="16">
        <f>IF($A5906&lt;Notes!$B$5,"",IF(COUNTIFS(Release_Calendar!$A$2:$A$755,"NZ_GDP",Release_Calendar!$B$2:$B$755,$A5906)&gt;0,1,0))</f>
        <v>0</v>
      </c>
      <c r="O5906" s="16">
        <f>IF($A5906&lt;Notes!$B$5,"",IF(COUNTIFS(Release_Calendar!$A$2:$A$755,"NZ_LABOUR",Release_Calendar!$B$2:$B$755,$A5906)&gt;0,1,0))</f>
        <v>0</v>
      </c>
      <c r="P5906" s="16">
        <f t="shared" si="4"/>
        <v>0</v>
      </c>
    </row>
    <row r="5907" ht="15.75" customHeight="1">
      <c r="A5907" s="14">
        <v>44795.0</v>
      </c>
      <c r="B5907" s="15">
        <v>3.32</v>
      </c>
      <c r="C5907" s="15">
        <v>4.08</v>
      </c>
      <c r="D5907" s="15"/>
      <c r="E5907" s="15">
        <v>3.65</v>
      </c>
      <c r="F5907" s="15">
        <f t="shared" si="1"/>
        <v>0.76</v>
      </c>
      <c r="G5907" s="15">
        <f t="shared" si="2"/>
        <v>4.08</v>
      </c>
      <c r="H5907" s="16">
        <v>0.0</v>
      </c>
      <c r="I5907" s="15">
        <f t="shared" si="3"/>
        <v>0.76</v>
      </c>
      <c r="J5907" s="15">
        <v>23.8</v>
      </c>
      <c r="K5907" s="16">
        <f>IF(COUNTIFS(Release_Calendar!$A$2:$A$755,"US_CPI",Release_Calendar!$B$2:$B$755,$A5907)&gt;0,1,0)</f>
        <v>0</v>
      </c>
      <c r="L5907" s="16">
        <f>IF(COUNTIFS(Release_Calendar!$A$2:$A$755,"US_NFP",Release_Calendar!$B$2:$B$755,$A5907)&gt;0,1,0)</f>
        <v>0</v>
      </c>
      <c r="M5907" s="16">
        <f>IF($A5907&lt;Notes!$B$5,"",IF(COUNTIFS(Release_Calendar!$A$2:$A$755,"NZ_CPI",Release_Calendar!$B$2:$B$755,$A5907)&gt;0,1,0))</f>
        <v>0</v>
      </c>
      <c r="N5907" s="16">
        <f>IF($A5907&lt;Notes!$B$5,"",IF(COUNTIFS(Release_Calendar!$A$2:$A$755,"NZ_GDP",Release_Calendar!$B$2:$B$755,$A5907)&gt;0,1,0))</f>
        <v>0</v>
      </c>
      <c r="O5907" s="16">
        <f>IF($A5907&lt;Notes!$B$5,"",IF(COUNTIFS(Release_Calendar!$A$2:$A$755,"NZ_LABOUR",Release_Calendar!$B$2:$B$755,$A5907)&gt;0,1,0))</f>
        <v>0</v>
      </c>
      <c r="P5907" s="16">
        <f t="shared" si="4"/>
        <v>0</v>
      </c>
    </row>
    <row r="5908" ht="15.75" customHeight="1">
      <c r="A5908" s="14">
        <v>44796.0</v>
      </c>
      <c r="B5908" s="15">
        <v>3.29</v>
      </c>
      <c r="C5908" s="15">
        <v>4.18</v>
      </c>
      <c r="D5908" s="15"/>
      <c r="E5908" s="15">
        <v>3.73</v>
      </c>
      <c r="F5908" s="15">
        <f t="shared" si="1"/>
        <v>0.89</v>
      </c>
      <c r="G5908" s="15">
        <f t="shared" si="2"/>
        <v>4.18</v>
      </c>
      <c r="H5908" s="16">
        <v>0.0</v>
      </c>
      <c r="I5908" s="15">
        <f t="shared" si="3"/>
        <v>0.89</v>
      </c>
      <c r="J5908" s="15">
        <v>24.11</v>
      </c>
      <c r="K5908" s="16">
        <f>IF(COUNTIFS(Release_Calendar!$A$2:$A$755,"US_CPI",Release_Calendar!$B$2:$B$755,$A5908)&gt;0,1,0)</f>
        <v>0</v>
      </c>
      <c r="L5908" s="16">
        <f>IF(COUNTIFS(Release_Calendar!$A$2:$A$755,"US_NFP",Release_Calendar!$B$2:$B$755,$A5908)&gt;0,1,0)</f>
        <v>0</v>
      </c>
      <c r="M5908" s="16">
        <f>IF($A5908&lt;Notes!$B$5,"",IF(COUNTIFS(Release_Calendar!$A$2:$A$755,"NZ_CPI",Release_Calendar!$B$2:$B$755,$A5908)&gt;0,1,0))</f>
        <v>0</v>
      </c>
      <c r="N5908" s="16">
        <f>IF($A5908&lt;Notes!$B$5,"",IF(COUNTIFS(Release_Calendar!$A$2:$A$755,"NZ_GDP",Release_Calendar!$B$2:$B$755,$A5908)&gt;0,1,0))</f>
        <v>0</v>
      </c>
      <c r="O5908" s="16">
        <f>IF($A5908&lt;Notes!$B$5,"",IF(COUNTIFS(Release_Calendar!$A$2:$A$755,"NZ_LABOUR",Release_Calendar!$B$2:$B$755,$A5908)&gt;0,1,0))</f>
        <v>0</v>
      </c>
      <c r="P5908" s="16">
        <f t="shared" si="4"/>
        <v>0</v>
      </c>
    </row>
    <row r="5909" ht="15.75" customHeight="1">
      <c r="A5909" s="14">
        <v>44797.0</v>
      </c>
      <c r="B5909" s="15">
        <v>3.36</v>
      </c>
      <c r="C5909" s="15">
        <v>4.17</v>
      </c>
      <c r="D5909" s="15"/>
      <c r="E5909" s="15">
        <v>3.7</v>
      </c>
      <c r="F5909" s="15">
        <f t="shared" si="1"/>
        <v>0.81</v>
      </c>
      <c r="G5909" s="15">
        <f t="shared" si="2"/>
        <v>4.17</v>
      </c>
      <c r="H5909" s="16">
        <v>0.0</v>
      </c>
      <c r="I5909" s="15">
        <f t="shared" si="3"/>
        <v>0.81</v>
      </c>
      <c r="J5909" s="15">
        <v>22.82</v>
      </c>
      <c r="K5909" s="16">
        <f>IF(COUNTIFS(Release_Calendar!$A$2:$A$755,"US_CPI",Release_Calendar!$B$2:$B$755,$A5909)&gt;0,1,0)</f>
        <v>0</v>
      </c>
      <c r="L5909" s="16">
        <f>IF(COUNTIFS(Release_Calendar!$A$2:$A$755,"US_NFP",Release_Calendar!$B$2:$B$755,$A5909)&gt;0,1,0)</f>
        <v>0</v>
      </c>
      <c r="M5909" s="16">
        <f>IF($A5909&lt;Notes!$B$5,"",IF(COUNTIFS(Release_Calendar!$A$2:$A$755,"NZ_CPI",Release_Calendar!$B$2:$B$755,$A5909)&gt;0,1,0))</f>
        <v>0</v>
      </c>
      <c r="N5909" s="16">
        <f>IF($A5909&lt;Notes!$B$5,"",IF(COUNTIFS(Release_Calendar!$A$2:$A$755,"NZ_GDP",Release_Calendar!$B$2:$B$755,$A5909)&gt;0,1,0))</f>
        <v>0</v>
      </c>
      <c r="O5909" s="16">
        <f>IF($A5909&lt;Notes!$B$5,"",IF(COUNTIFS(Release_Calendar!$A$2:$A$755,"NZ_LABOUR",Release_Calendar!$B$2:$B$755,$A5909)&gt;0,1,0))</f>
        <v>0</v>
      </c>
      <c r="P5909" s="16">
        <f t="shared" si="4"/>
        <v>0</v>
      </c>
    </row>
    <row r="5910" ht="15.75" customHeight="1">
      <c r="A5910" s="14">
        <v>44798.0</v>
      </c>
      <c r="B5910" s="15">
        <v>3.35</v>
      </c>
      <c r="C5910" s="15">
        <v>4.18</v>
      </c>
      <c r="D5910" s="15"/>
      <c r="E5910" s="15">
        <v>3.73</v>
      </c>
      <c r="F5910" s="15">
        <f t="shared" si="1"/>
        <v>0.83</v>
      </c>
      <c r="G5910" s="15">
        <f t="shared" si="2"/>
        <v>4.18</v>
      </c>
      <c r="H5910" s="16">
        <v>0.0</v>
      </c>
      <c r="I5910" s="15">
        <f t="shared" si="3"/>
        <v>0.83</v>
      </c>
      <c r="J5910" s="15">
        <v>21.78</v>
      </c>
      <c r="K5910" s="16">
        <f>IF(COUNTIFS(Release_Calendar!$A$2:$A$755,"US_CPI",Release_Calendar!$B$2:$B$755,$A5910)&gt;0,1,0)</f>
        <v>0</v>
      </c>
      <c r="L5910" s="16">
        <f>IF(COUNTIFS(Release_Calendar!$A$2:$A$755,"US_NFP",Release_Calendar!$B$2:$B$755,$A5910)&gt;0,1,0)</f>
        <v>0</v>
      </c>
      <c r="M5910" s="16">
        <f>IF($A5910&lt;Notes!$B$5,"",IF(COUNTIFS(Release_Calendar!$A$2:$A$755,"NZ_CPI",Release_Calendar!$B$2:$B$755,$A5910)&gt;0,1,0))</f>
        <v>0</v>
      </c>
      <c r="N5910" s="16">
        <f>IF($A5910&lt;Notes!$B$5,"",IF(COUNTIFS(Release_Calendar!$A$2:$A$755,"NZ_GDP",Release_Calendar!$B$2:$B$755,$A5910)&gt;0,1,0))</f>
        <v>0</v>
      </c>
      <c r="O5910" s="16">
        <f>IF($A5910&lt;Notes!$B$5,"",IF(COUNTIFS(Release_Calendar!$A$2:$A$755,"NZ_LABOUR",Release_Calendar!$B$2:$B$755,$A5910)&gt;0,1,0))</f>
        <v>0</v>
      </c>
      <c r="P5910" s="16">
        <f t="shared" si="4"/>
        <v>0</v>
      </c>
    </row>
    <row r="5911" ht="15.75" customHeight="1">
      <c r="A5911" s="14">
        <v>44799.0</v>
      </c>
      <c r="B5911" s="15">
        <v>3.37</v>
      </c>
      <c r="C5911" s="15">
        <v>4.2</v>
      </c>
      <c r="D5911" s="15"/>
      <c r="E5911" s="15">
        <v>3.7</v>
      </c>
      <c r="F5911" s="15">
        <f t="shared" si="1"/>
        <v>0.83</v>
      </c>
      <c r="G5911" s="15">
        <f t="shared" si="2"/>
        <v>4.2</v>
      </c>
      <c r="H5911" s="16">
        <v>0.0</v>
      </c>
      <c r="I5911" s="15">
        <f t="shared" si="3"/>
        <v>0.83</v>
      </c>
      <c r="J5911" s="15">
        <v>25.56</v>
      </c>
      <c r="K5911" s="16">
        <f>IF(COUNTIFS(Release_Calendar!$A$2:$A$755,"US_CPI",Release_Calendar!$B$2:$B$755,$A5911)&gt;0,1,0)</f>
        <v>0</v>
      </c>
      <c r="L5911" s="16">
        <f>IF(COUNTIFS(Release_Calendar!$A$2:$A$755,"US_NFP",Release_Calendar!$B$2:$B$755,$A5911)&gt;0,1,0)</f>
        <v>0</v>
      </c>
      <c r="M5911" s="16">
        <f>IF($A5911&lt;Notes!$B$5,"",IF(COUNTIFS(Release_Calendar!$A$2:$A$755,"NZ_CPI",Release_Calendar!$B$2:$B$755,$A5911)&gt;0,1,0))</f>
        <v>0</v>
      </c>
      <c r="N5911" s="16">
        <f>IF($A5911&lt;Notes!$B$5,"",IF(COUNTIFS(Release_Calendar!$A$2:$A$755,"NZ_GDP",Release_Calendar!$B$2:$B$755,$A5911)&gt;0,1,0))</f>
        <v>0</v>
      </c>
      <c r="O5911" s="16">
        <f>IF($A5911&lt;Notes!$B$5,"",IF(COUNTIFS(Release_Calendar!$A$2:$A$755,"NZ_LABOUR",Release_Calendar!$B$2:$B$755,$A5911)&gt;0,1,0))</f>
        <v>0</v>
      </c>
      <c r="P5911" s="16">
        <f t="shared" si="4"/>
        <v>0</v>
      </c>
    </row>
    <row r="5912" ht="15.75" customHeight="1">
      <c r="A5912" s="14">
        <v>44802.0</v>
      </c>
      <c r="B5912" s="15">
        <v>3.42</v>
      </c>
      <c r="C5912" s="15">
        <v>4.33</v>
      </c>
      <c r="D5912" s="15"/>
      <c r="E5912" s="15">
        <v>3.82</v>
      </c>
      <c r="F5912" s="15">
        <f t="shared" si="1"/>
        <v>0.91</v>
      </c>
      <c r="G5912" s="15">
        <f t="shared" si="2"/>
        <v>4.33</v>
      </c>
      <c r="H5912" s="16">
        <v>0.0</v>
      </c>
      <c r="I5912" s="15">
        <f t="shared" si="3"/>
        <v>0.91</v>
      </c>
      <c r="J5912" s="15">
        <v>26.21</v>
      </c>
      <c r="K5912" s="16">
        <f>IF(COUNTIFS(Release_Calendar!$A$2:$A$755,"US_CPI",Release_Calendar!$B$2:$B$755,$A5912)&gt;0,1,0)</f>
        <v>0</v>
      </c>
      <c r="L5912" s="16">
        <f>IF(COUNTIFS(Release_Calendar!$A$2:$A$755,"US_NFP",Release_Calendar!$B$2:$B$755,$A5912)&gt;0,1,0)</f>
        <v>0</v>
      </c>
      <c r="M5912" s="16">
        <f>IF($A5912&lt;Notes!$B$5,"",IF(COUNTIFS(Release_Calendar!$A$2:$A$755,"NZ_CPI",Release_Calendar!$B$2:$B$755,$A5912)&gt;0,1,0))</f>
        <v>0</v>
      </c>
      <c r="N5912" s="16">
        <f>IF($A5912&lt;Notes!$B$5,"",IF(COUNTIFS(Release_Calendar!$A$2:$A$755,"NZ_GDP",Release_Calendar!$B$2:$B$755,$A5912)&gt;0,1,0))</f>
        <v>0</v>
      </c>
      <c r="O5912" s="16">
        <f>IF($A5912&lt;Notes!$B$5,"",IF(COUNTIFS(Release_Calendar!$A$2:$A$755,"NZ_LABOUR",Release_Calendar!$B$2:$B$755,$A5912)&gt;0,1,0))</f>
        <v>0</v>
      </c>
      <c r="P5912" s="16">
        <f t="shared" si="4"/>
        <v>0</v>
      </c>
    </row>
    <row r="5913" ht="15.75" customHeight="1">
      <c r="A5913" s="14">
        <v>44803.0</v>
      </c>
      <c r="B5913" s="15">
        <v>3.46</v>
      </c>
      <c r="C5913" s="15">
        <v>4.32</v>
      </c>
      <c r="D5913" s="15"/>
      <c r="E5913" s="15">
        <v>3.82</v>
      </c>
      <c r="F5913" s="15">
        <f t="shared" si="1"/>
        <v>0.86</v>
      </c>
      <c r="G5913" s="15">
        <f t="shared" si="2"/>
        <v>4.32</v>
      </c>
      <c r="H5913" s="16">
        <v>0.0</v>
      </c>
      <c r="I5913" s="15">
        <f t="shared" si="3"/>
        <v>0.86</v>
      </c>
      <c r="J5913" s="15">
        <v>26.21</v>
      </c>
      <c r="K5913" s="16">
        <f>IF(COUNTIFS(Release_Calendar!$A$2:$A$755,"US_CPI",Release_Calendar!$B$2:$B$755,$A5913)&gt;0,1,0)</f>
        <v>0</v>
      </c>
      <c r="L5913" s="16">
        <f>IF(COUNTIFS(Release_Calendar!$A$2:$A$755,"US_NFP",Release_Calendar!$B$2:$B$755,$A5913)&gt;0,1,0)</f>
        <v>0</v>
      </c>
      <c r="M5913" s="16">
        <f>IF($A5913&lt;Notes!$B$5,"",IF(COUNTIFS(Release_Calendar!$A$2:$A$755,"NZ_CPI",Release_Calendar!$B$2:$B$755,$A5913)&gt;0,1,0))</f>
        <v>0</v>
      </c>
      <c r="N5913" s="16">
        <f>IF($A5913&lt;Notes!$B$5,"",IF(COUNTIFS(Release_Calendar!$A$2:$A$755,"NZ_GDP",Release_Calendar!$B$2:$B$755,$A5913)&gt;0,1,0))</f>
        <v>0</v>
      </c>
      <c r="O5913" s="16">
        <f>IF($A5913&lt;Notes!$B$5,"",IF(COUNTIFS(Release_Calendar!$A$2:$A$755,"NZ_LABOUR",Release_Calendar!$B$2:$B$755,$A5913)&gt;0,1,0))</f>
        <v>0</v>
      </c>
      <c r="P5913" s="16">
        <f t="shared" si="4"/>
        <v>0</v>
      </c>
    </row>
    <row r="5914" ht="15.75" customHeight="1">
      <c r="A5914" s="14">
        <v>44804.0</v>
      </c>
      <c r="B5914" s="15">
        <v>3.45</v>
      </c>
      <c r="C5914" s="15">
        <v>4.31</v>
      </c>
      <c r="D5914" s="15"/>
      <c r="E5914" s="15">
        <v>3.82</v>
      </c>
      <c r="F5914" s="15">
        <f t="shared" si="1"/>
        <v>0.86</v>
      </c>
      <c r="G5914" s="15">
        <f t="shared" si="2"/>
        <v>4.31</v>
      </c>
      <c r="H5914" s="16">
        <v>0.0</v>
      </c>
      <c r="I5914" s="15">
        <f t="shared" si="3"/>
        <v>0.86</v>
      </c>
      <c r="J5914" s="15">
        <v>25.87</v>
      </c>
      <c r="K5914" s="16">
        <f>IF(COUNTIFS(Release_Calendar!$A$2:$A$755,"US_CPI",Release_Calendar!$B$2:$B$755,$A5914)&gt;0,1,0)</f>
        <v>0</v>
      </c>
      <c r="L5914" s="16">
        <f>IF(COUNTIFS(Release_Calendar!$A$2:$A$755,"US_NFP",Release_Calendar!$B$2:$B$755,$A5914)&gt;0,1,0)</f>
        <v>0</v>
      </c>
      <c r="M5914" s="16">
        <f>IF($A5914&lt;Notes!$B$5,"",IF(COUNTIFS(Release_Calendar!$A$2:$A$755,"NZ_CPI",Release_Calendar!$B$2:$B$755,$A5914)&gt;0,1,0))</f>
        <v>0</v>
      </c>
      <c r="N5914" s="16">
        <f>IF($A5914&lt;Notes!$B$5,"",IF(COUNTIFS(Release_Calendar!$A$2:$A$755,"NZ_GDP",Release_Calendar!$B$2:$B$755,$A5914)&gt;0,1,0))</f>
        <v>0</v>
      </c>
      <c r="O5914" s="16">
        <f>IF($A5914&lt;Notes!$B$5,"",IF(COUNTIFS(Release_Calendar!$A$2:$A$755,"NZ_LABOUR",Release_Calendar!$B$2:$B$755,$A5914)&gt;0,1,0))</f>
        <v>0</v>
      </c>
      <c r="P5914" s="16">
        <f t="shared" si="4"/>
        <v>0</v>
      </c>
    </row>
    <row r="5915" ht="15.75" customHeight="1">
      <c r="A5915" s="14">
        <v>44805.0</v>
      </c>
      <c r="B5915" s="15">
        <v>3.51</v>
      </c>
      <c r="C5915" s="15">
        <v>4.38</v>
      </c>
      <c r="D5915" s="15"/>
      <c r="E5915" s="15">
        <v>3.9</v>
      </c>
      <c r="F5915" s="15">
        <f t="shared" si="1"/>
        <v>0.87</v>
      </c>
      <c r="G5915" s="15">
        <f t="shared" si="2"/>
        <v>4.38</v>
      </c>
      <c r="H5915" s="16">
        <v>0.0</v>
      </c>
      <c r="I5915" s="15">
        <f t="shared" si="3"/>
        <v>0.87</v>
      </c>
      <c r="J5915" s="15">
        <v>25.56</v>
      </c>
      <c r="K5915" s="16">
        <f>IF(COUNTIFS(Release_Calendar!$A$2:$A$755,"US_CPI",Release_Calendar!$B$2:$B$755,$A5915)&gt;0,1,0)</f>
        <v>0</v>
      </c>
      <c r="L5915" s="16">
        <f>IF(COUNTIFS(Release_Calendar!$A$2:$A$755,"US_NFP",Release_Calendar!$B$2:$B$755,$A5915)&gt;0,1,0)</f>
        <v>0</v>
      </c>
      <c r="M5915" s="16">
        <f>IF($A5915&lt;Notes!$B$5,"",IF(COUNTIFS(Release_Calendar!$A$2:$A$755,"NZ_CPI",Release_Calendar!$B$2:$B$755,$A5915)&gt;0,1,0))</f>
        <v>0</v>
      </c>
      <c r="N5915" s="16">
        <f>IF($A5915&lt;Notes!$B$5,"",IF(COUNTIFS(Release_Calendar!$A$2:$A$755,"NZ_GDP",Release_Calendar!$B$2:$B$755,$A5915)&gt;0,1,0))</f>
        <v>0</v>
      </c>
      <c r="O5915" s="16">
        <f>IF($A5915&lt;Notes!$B$5,"",IF(COUNTIFS(Release_Calendar!$A$2:$A$755,"NZ_LABOUR",Release_Calendar!$B$2:$B$755,$A5915)&gt;0,1,0))</f>
        <v>0</v>
      </c>
      <c r="P5915" s="16">
        <f t="shared" si="4"/>
        <v>0</v>
      </c>
    </row>
    <row r="5916" ht="15.75" customHeight="1">
      <c r="A5916" s="14">
        <v>44806.0</v>
      </c>
      <c r="B5916" s="15">
        <v>3.4</v>
      </c>
      <c r="C5916" s="15">
        <v>4.31</v>
      </c>
      <c r="D5916" s="15"/>
      <c r="E5916" s="15">
        <v>3.86</v>
      </c>
      <c r="F5916" s="15">
        <f t="shared" si="1"/>
        <v>0.91</v>
      </c>
      <c r="G5916" s="15">
        <f t="shared" si="2"/>
        <v>4.31</v>
      </c>
      <c r="H5916" s="16">
        <v>0.0</v>
      </c>
      <c r="I5916" s="15">
        <f t="shared" si="3"/>
        <v>0.91</v>
      </c>
      <c r="J5916" s="15">
        <v>25.47</v>
      </c>
      <c r="K5916" s="16">
        <f>IF(COUNTIFS(Release_Calendar!$A$2:$A$755,"US_CPI",Release_Calendar!$B$2:$B$755,$A5916)&gt;0,1,0)</f>
        <v>0</v>
      </c>
      <c r="L5916" s="16">
        <f>IF(COUNTIFS(Release_Calendar!$A$2:$A$755,"US_NFP",Release_Calendar!$B$2:$B$755,$A5916)&gt;0,1,0)</f>
        <v>1</v>
      </c>
      <c r="M5916" s="16">
        <f>IF($A5916&lt;Notes!$B$5,"",IF(COUNTIFS(Release_Calendar!$A$2:$A$755,"NZ_CPI",Release_Calendar!$B$2:$B$755,$A5916)&gt;0,1,0))</f>
        <v>0</v>
      </c>
      <c r="N5916" s="16">
        <f>IF($A5916&lt;Notes!$B$5,"",IF(COUNTIFS(Release_Calendar!$A$2:$A$755,"NZ_GDP",Release_Calendar!$B$2:$B$755,$A5916)&gt;0,1,0))</f>
        <v>0</v>
      </c>
      <c r="O5916" s="16">
        <f>IF($A5916&lt;Notes!$B$5,"",IF(COUNTIFS(Release_Calendar!$A$2:$A$755,"NZ_LABOUR",Release_Calendar!$B$2:$B$755,$A5916)&gt;0,1,0))</f>
        <v>0</v>
      </c>
      <c r="P5916" s="16">
        <f t="shared" si="4"/>
        <v>1</v>
      </c>
    </row>
    <row r="5917" ht="15.75" customHeight="1">
      <c r="A5917" s="14">
        <v>44809.0</v>
      </c>
      <c r="B5917" s="15"/>
      <c r="C5917" s="15">
        <v>4.31</v>
      </c>
      <c r="D5917" s="15"/>
      <c r="E5917" s="15">
        <v>3.87</v>
      </c>
      <c r="F5917" s="15" t="str">
        <f t="shared" si="1"/>
        <v/>
      </c>
      <c r="G5917" s="15">
        <f t="shared" si="2"/>
        <v>4.31</v>
      </c>
      <c r="H5917" s="16">
        <v>0.0</v>
      </c>
      <c r="I5917" s="15" t="str">
        <f t="shared" si="3"/>
        <v/>
      </c>
      <c r="J5917" s="15">
        <v>25.99</v>
      </c>
      <c r="K5917" s="16">
        <f>IF(COUNTIFS(Release_Calendar!$A$2:$A$755,"US_CPI",Release_Calendar!$B$2:$B$755,$A5917)&gt;0,1,0)</f>
        <v>0</v>
      </c>
      <c r="L5917" s="16">
        <f>IF(COUNTIFS(Release_Calendar!$A$2:$A$755,"US_NFP",Release_Calendar!$B$2:$B$755,$A5917)&gt;0,1,0)</f>
        <v>0</v>
      </c>
      <c r="M5917" s="16">
        <f>IF($A5917&lt;Notes!$B$5,"",IF(COUNTIFS(Release_Calendar!$A$2:$A$755,"NZ_CPI",Release_Calendar!$B$2:$B$755,$A5917)&gt;0,1,0))</f>
        <v>0</v>
      </c>
      <c r="N5917" s="16">
        <f>IF($A5917&lt;Notes!$B$5,"",IF(COUNTIFS(Release_Calendar!$A$2:$A$755,"NZ_GDP",Release_Calendar!$B$2:$B$755,$A5917)&gt;0,1,0))</f>
        <v>0</v>
      </c>
      <c r="O5917" s="16">
        <f>IF($A5917&lt;Notes!$B$5,"",IF(COUNTIFS(Release_Calendar!$A$2:$A$755,"NZ_LABOUR",Release_Calendar!$B$2:$B$755,$A5917)&gt;0,1,0))</f>
        <v>0</v>
      </c>
      <c r="P5917" s="16">
        <f t="shared" si="4"/>
        <v>0</v>
      </c>
    </row>
    <row r="5918" ht="15.75" customHeight="1">
      <c r="A5918" s="14">
        <v>44810.0</v>
      </c>
      <c r="B5918" s="15">
        <v>3.5</v>
      </c>
      <c r="C5918" s="15">
        <v>4.3</v>
      </c>
      <c r="D5918" s="15"/>
      <c r="E5918" s="15">
        <v>3.87</v>
      </c>
      <c r="F5918" s="15">
        <f t="shared" si="1"/>
        <v>0.8</v>
      </c>
      <c r="G5918" s="15">
        <f t="shared" si="2"/>
        <v>4.3</v>
      </c>
      <c r="H5918" s="16">
        <v>0.0</v>
      </c>
      <c r="I5918" s="15">
        <f t="shared" si="3"/>
        <v>0.8</v>
      </c>
      <c r="J5918" s="15">
        <v>26.91</v>
      </c>
      <c r="K5918" s="16">
        <f>IF(COUNTIFS(Release_Calendar!$A$2:$A$755,"US_CPI",Release_Calendar!$B$2:$B$755,$A5918)&gt;0,1,0)</f>
        <v>0</v>
      </c>
      <c r="L5918" s="16">
        <f>IF(COUNTIFS(Release_Calendar!$A$2:$A$755,"US_NFP",Release_Calendar!$B$2:$B$755,$A5918)&gt;0,1,0)</f>
        <v>0</v>
      </c>
      <c r="M5918" s="16">
        <f>IF($A5918&lt;Notes!$B$5,"",IF(COUNTIFS(Release_Calendar!$A$2:$A$755,"NZ_CPI",Release_Calendar!$B$2:$B$755,$A5918)&gt;0,1,0))</f>
        <v>0</v>
      </c>
      <c r="N5918" s="16">
        <f>IF($A5918&lt;Notes!$B$5,"",IF(COUNTIFS(Release_Calendar!$A$2:$A$755,"NZ_GDP",Release_Calendar!$B$2:$B$755,$A5918)&gt;0,1,0))</f>
        <v>0</v>
      </c>
      <c r="O5918" s="16">
        <f>IF($A5918&lt;Notes!$B$5,"",IF(COUNTIFS(Release_Calendar!$A$2:$A$755,"NZ_LABOUR",Release_Calendar!$B$2:$B$755,$A5918)&gt;0,1,0))</f>
        <v>0</v>
      </c>
      <c r="P5918" s="16">
        <f t="shared" si="4"/>
        <v>0</v>
      </c>
    </row>
    <row r="5919" ht="15.75" customHeight="1">
      <c r="A5919" s="14">
        <v>44811.0</v>
      </c>
      <c r="B5919" s="15">
        <v>3.45</v>
      </c>
      <c r="C5919" s="15">
        <v>4.33</v>
      </c>
      <c r="D5919" s="15"/>
      <c r="E5919" s="15">
        <v>3.91</v>
      </c>
      <c r="F5919" s="15">
        <f t="shared" si="1"/>
        <v>0.88</v>
      </c>
      <c r="G5919" s="15">
        <f t="shared" si="2"/>
        <v>4.33</v>
      </c>
      <c r="H5919" s="16">
        <v>0.0</v>
      </c>
      <c r="I5919" s="15">
        <f t="shared" si="3"/>
        <v>0.88</v>
      </c>
      <c r="J5919" s="15">
        <v>24.64</v>
      </c>
      <c r="K5919" s="16">
        <f>IF(COUNTIFS(Release_Calendar!$A$2:$A$755,"US_CPI",Release_Calendar!$B$2:$B$755,$A5919)&gt;0,1,0)</f>
        <v>0</v>
      </c>
      <c r="L5919" s="16">
        <f>IF(COUNTIFS(Release_Calendar!$A$2:$A$755,"US_NFP",Release_Calendar!$B$2:$B$755,$A5919)&gt;0,1,0)</f>
        <v>0</v>
      </c>
      <c r="M5919" s="16">
        <f>IF($A5919&lt;Notes!$B$5,"",IF(COUNTIFS(Release_Calendar!$A$2:$A$755,"NZ_CPI",Release_Calendar!$B$2:$B$755,$A5919)&gt;0,1,0))</f>
        <v>0</v>
      </c>
      <c r="N5919" s="16">
        <f>IF($A5919&lt;Notes!$B$5,"",IF(COUNTIFS(Release_Calendar!$A$2:$A$755,"NZ_GDP",Release_Calendar!$B$2:$B$755,$A5919)&gt;0,1,0))</f>
        <v>0</v>
      </c>
      <c r="O5919" s="16">
        <f>IF($A5919&lt;Notes!$B$5,"",IF(COUNTIFS(Release_Calendar!$A$2:$A$755,"NZ_LABOUR",Release_Calendar!$B$2:$B$755,$A5919)&gt;0,1,0))</f>
        <v>0</v>
      </c>
      <c r="P5919" s="16">
        <f t="shared" si="4"/>
        <v>0</v>
      </c>
    </row>
    <row r="5920" ht="15.75" customHeight="1">
      <c r="A5920" s="14">
        <v>44812.0</v>
      </c>
      <c r="B5920" s="15">
        <v>3.48</v>
      </c>
      <c r="C5920" s="15">
        <v>4.22</v>
      </c>
      <c r="D5920" s="15"/>
      <c r="E5920" s="15">
        <v>3.79</v>
      </c>
      <c r="F5920" s="15">
        <f t="shared" si="1"/>
        <v>0.74</v>
      </c>
      <c r="G5920" s="15">
        <f t="shared" si="2"/>
        <v>4.22</v>
      </c>
      <c r="H5920" s="16">
        <v>0.0</v>
      </c>
      <c r="I5920" s="15">
        <f t="shared" si="3"/>
        <v>0.74</v>
      </c>
      <c r="J5920" s="15">
        <v>23.61</v>
      </c>
      <c r="K5920" s="16">
        <f>IF(COUNTIFS(Release_Calendar!$A$2:$A$755,"US_CPI",Release_Calendar!$B$2:$B$755,$A5920)&gt;0,1,0)</f>
        <v>0</v>
      </c>
      <c r="L5920" s="16">
        <f>IF(COUNTIFS(Release_Calendar!$A$2:$A$755,"US_NFP",Release_Calendar!$B$2:$B$755,$A5920)&gt;0,1,0)</f>
        <v>0</v>
      </c>
      <c r="M5920" s="16">
        <f>IF($A5920&lt;Notes!$B$5,"",IF(COUNTIFS(Release_Calendar!$A$2:$A$755,"NZ_CPI",Release_Calendar!$B$2:$B$755,$A5920)&gt;0,1,0))</f>
        <v>0</v>
      </c>
      <c r="N5920" s="16">
        <f>IF($A5920&lt;Notes!$B$5,"",IF(COUNTIFS(Release_Calendar!$A$2:$A$755,"NZ_GDP",Release_Calendar!$B$2:$B$755,$A5920)&gt;0,1,0))</f>
        <v>0</v>
      </c>
      <c r="O5920" s="16">
        <f>IF($A5920&lt;Notes!$B$5,"",IF(COUNTIFS(Release_Calendar!$A$2:$A$755,"NZ_LABOUR",Release_Calendar!$B$2:$B$755,$A5920)&gt;0,1,0))</f>
        <v>0</v>
      </c>
      <c r="P5920" s="16">
        <f t="shared" si="4"/>
        <v>0</v>
      </c>
    </row>
    <row r="5921" ht="15.75" customHeight="1">
      <c r="A5921" s="14">
        <v>44813.0</v>
      </c>
      <c r="B5921" s="15">
        <v>3.56</v>
      </c>
      <c r="C5921" s="15">
        <v>4.18</v>
      </c>
      <c r="D5921" s="15"/>
      <c r="E5921" s="15">
        <v>3.77</v>
      </c>
      <c r="F5921" s="15">
        <f t="shared" si="1"/>
        <v>0.62</v>
      </c>
      <c r="G5921" s="15">
        <f t="shared" si="2"/>
        <v>4.18</v>
      </c>
      <c r="H5921" s="16">
        <v>0.0</v>
      </c>
      <c r="I5921" s="15">
        <f t="shared" si="3"/>
        <v>0.62</v>
      </c>
      <c r="J5921" s="15">
        <v>22.79</v>
      </c>
      <c r="K5921" s="16">
        <f>IF(COUNTIFS(Release_Calendar!$A$2:$A$755,"US_CPI",Release_Calendar!$B$2:$B$755,$A5921)&gt;0,1,0)</f>
        <v>0</v>
      </c>
      <c r="L5921" s="16">
        <f>IF(COUNTIFS(Release_Calendar!$A$2:$A$755,"US_NFP",Release_Calendar!$B$2:$B$755,$A5921)&gt;0,1,0)</f>
        <v>0</v>
      </c>
      <c r="M5921" s="16">
        <f>IF($A5921&lt;Notes!$B$5,"",IF(COUNTIFS(Release_Calendar!$A$2:$A$755,"NZ_CPI",Release_Calendar!$B$2:$B$755,$A5921)&gt;0,1,0))</f>
        <v>0</v>
      </c>
      <c r="N5921" s="16">
        <f>IF($A5921&lt;Notes!$B$5,"",IF(COUNTIFS(Release_Calendar!$A$2:$A$755,"NZ_GDP",Release_Calendar!$B$2:$B$755,$A5921)&gt;0,1,0))</f>
        <v>0</v>
      </c>
      <c r="O5921" s="16">
        <f>IF($A5921&lt;Notes!$B$5,"",IF(COUNTIFS(Release_Calendar!$A$2:$A$755,"NZ_LABOUR",Release_Calendar!$B$2:$B$755,$A5921)&gt;0,1,0))</f>
        <v>0</v>
      </c>
      <c r="P5921" s="16">
        <f t="shared" si="4"/>
        <v>0</v>
      </c>
    </row>
    <row r="5922" ht="15.75" customHeight="1">
      <c r="A5922" s="14">
        <v>44816.0</v>
      </c>
      <c r="B5922" s="15">
        <v>3.58</v>
      </c>
      <c r="C5922" s="15">
        <v>4.18</v>
      </c>
      <c r="D5922" s="15"/>
      <c r="E5922" s="15">
        <v>3.78</v>
      </c>
      <c r="F5922" s="15">
        <f t="shared" si="1"/>
        <v>0.6</v>
      </c>
      <c r="G5922" s="15">
        <f t="shared" si="2"/>
        <v>4.18</v>
      </c>
      <c r="H5922" s="16">
        <v>0.0</v>
      </c>
      <c r="I5922" s="15">
        <f t="shared" si="3"/>
        <v>0.6</v>
      </c>
      <c r="J5922" s="15">
        <v>23.87</v>
      </c>
      <c r="K5922" s="16">
        <f>IF(COUNTIFS(Release_Calendar!$A$2:$A$755,"US_CPI",Release_Calendar!$B$2:$B$755,$A5922)&gt;0,1,0)</f>
        <v>0</v>
      </c>
      <c r="L5922" s="16">
        <f>IF(COUNTIFS(Release_Calendar!$A$2:$A$755,"US_NFP",Release_Calendar!$B$2:$B$755,$A5922)&gt;0,1,0)</f>
        <v>0</v>
      </c>
      <c r="M5922" s="16">
        <f>IF($A5922&lt;Notes!$B$5,"",IF(COUNTIFS(Release_Calendar!$A$2:$A$755,"NZ_CPI",Release_Calendar!$B$2:$B$755,$A5922)&gt;0,1,0))</f>
        <v>0</v>
      </c>
      <c r="N5922" s="16">
        <f>IF($A5922&lt;Notes!$B$5,"",IF(COUNTIFS(Release_Calendar!$A$2:$A$755,"NZ_GDP",Release_Calendar!$B$2:$B$755,$A5922)&gt;0,1,0))</f>
        <v>0</v>
      </c>
      <c r="O5922" s="16">
        <f>IF($A5922&lt;Notes!$B$5,"",IF(COUNTIFS(Release_Calendar!$A$2:$A$755,"NZ_LABOUR",Release_Calendar!$B$2:$B$755,$A5922)&gt;0,1,0))</f>
        <v>0</v>
      </c>
      <c r="P5922" s="16">
        <f t="shared" si="4"/>
        <v>0</v>
      </c>
    </row>
    <row r="5923" ht="15.75" customHeight="1">
      <c r="A5923" s="14">
        <v>44817.0</v>
      </c>
      <c r="B5923" s="15">
        <v>3.75</v>
      </c>
      <c r="C5923" s="15">
        <v>4.15</v>
      </c>
      <c r="D5923" s="15"/>
      <c r="E5923" s="15">
        <v>3.73</v>
      </c>
      <c r="F5923" s="15">
        <f t="shared" si="1"/>
        <v>0.4</v>
      </c>
      <c r="G5923" s="15">
        <f t="shared" si="2"/>
        <v>4.15</v>
      </c>
      <c r="H5923" s="16">
        <v>0.0</v>
      </c>
      <c r="I5923" s="15">
        <f t="shared" si="3"/>
        <v>0.4</v>
      </c>
      <c r="J5923" s="15">
        <v>27.27</v>
      </c>
      <c r="K5923" s="16">
        <f>IF(COUNTIFS(Release_Calendar!$A$2:$A$755,"US_CPI",Release_Calendar!$B$2:$B$755,$A5923)&gt;0,1,0)</f>
        <v>1</v>
      </c>
      <c r="L5923" s="16">
        <f>IF(COUNTIFS(Release_Calendar!$A$2:$A$755,"US_NFP",Release_Calendar!$B$2:$B$755,$A5923)&gt;0,1,0)</f>
        <v>0</v>
      </c>
      <c r="M5923" s="16">
        <f>IF($A5923&lt;Notes!$B$5,"",IF(COUNTIFS(Release_Calendar!$A$2:$A$755,"NZ_CPI",Release_Calendar!$B$2:$B$755,$A5923)&gt;0,1,0))</f>
        <v>0</v>
      </c>
      <c r="N5923" s="16">
        <f>IF($A5923&lt;Notes!$B$5,"",IF(COUNTIFS(Release_Calendar!$A$2:$A$755,"NZ_GDP",Release_Calendar!$B$2:$B$755,$A5923)&gt;0,1,0))</f>
        <v>0</v>
      </c>
      <c r="O5923" s="16">
        <f>IF($A5923&lt;Notes!$B$5,"",IF(COUNTIFS(Release_Calendar!$A$2:$A$755,"NZ_LABOUR",Release_Calendar!$B$2:$B$755,$A5923)&gt;0,1,0))</f>
        <v>0</v>
      </c>
      <c r="P5923" s="16">
        <f t="shared" si="4"/>
        <v>1</v>
      </c>
    </row>
    <row r="5924" ht="15.75" customHeight="1">
      <c r="A5924" s="14">
        <v>44818.0</v>
      </c>
      <c r="B5924" s="15">
        <v>3.78</v>
      </c>
      <c r="C5924" s="15">
        <v>4.29</v>
      </c>
      <c r="D5924" s="15"/>
      <c r="E5924" s="15">
        <v>3.86</v>
      </c>
      <c r="F5924" s="15">
        <f t="shared" si="1"/>
        <v>0.51</v>
      </c>
      <c r="G5924" s="15">
        <f t="shared" si="2"/>
        <v>4.29</v>
      </c>
      <c r="H5924" s="16">
        <v>0.0</v>
      </c>
      <c r="I5924" s="15">
        <f t="shared" si="3"/>
        <v>0.51</v>
      </c>
      <c r="J5924" s="15">
        <v>26.16</v>
      </c>
      <c r="K5924" s="16">
        <f>IF(COUNTIFS(Release_Calendar!$A$2:$A$755,"US_CPI",Release_Calendar!$B$2:$B$755,$A5924)&gt;0,1,0)</f>
        <v>0</v>
      </c>
      <c r="L5924" s="16">
        <f>IF(COUNTIFS(Release_Calendar!$A$2:$A$755,"US_NFP",Release_Calendar!$B$2:$B$755,$A5924)&gt;0,1,0)</f>
        <v>0</v>
      </c>
      <c r="M5924" s="16">
        <f>IF($A5924&lt;Notes!$B$5,"",IF(COUNTIFS(Release_Calendar!$A$2:$A$755,"NZ_CPI",Release_Calendar!$B$2:$B$755,$A5924)&gt;0,1,0))</f>
        <v>0</v>
      </c>
      <c r="N5924" s="16">
        <f>IF($A5924&lt;Notes!$B$5,"",IF(COUNTIFS(Release_Calendar!$A$2:$A$755,"NZ_GDP",Release_Calendar!$B$2:$B$755,$A5924)&gt;0,1,0))</f>
        <v>0</v>
      </c>
      <c r="O5924" s="16">
        <f>IF($A5924&lt;Notes!$B$5,"",IF(COUNTIFS(Release_Calendar!$A$2:$A$755,"NZ_LABOUR",Release_Calendar!$B$2:$B$755,$A5924)&gt;0,1,0))</f>
        <v>0</v>
      </c>
      <c r="P5924" s="16">
        <f t="shared" si="4"/>
        <v>0</v>
      </c>
    </row>
    <row r="5925" ht="15.75" customHeight="1">
      <c r="A5925" s="14">
        <v>44819.0</v>
      </c>
      <c r="B5925" s="15">
        <v>3.87</v>
      </c>
      <c r="C5925" s="15">
        <v>4.31</v>
      </c>
      <c r="D5925" s="15"/>
      <c r="E5925" s="15">
        <v>3.85</v>
      </c>
      <c r="F5925" s="15">
        <f t="shared" si="1"/>
        <v>0.44</v>
      </c>
      <c r="G5925" s="15">
        <f t="shared" si="2"/>
        <v>4.31</v>
      </c>
      <c r="H5925" s="16">
        <v>0.0</v>
      </c>
      <c r="I5925" s="15">
        <f t="shared" si="3"/>
        <v>0.44</v>
      </c>
      <c r="J5925" s="15">
        <v>26.27</v>
      </c>
      <c r="K5925" s="16">
        <f>IF(COUNTIFS(Release_Calendar!$A$2:$A$755,"US_CPI",Release_Calendar!$B$2:$B$755,$A5925)&gt;0,1,0)</f>
        <v>0</v>
      </c>
      <c r="L5925" s="16">
        <f>IF(COUNTIFS(Release_Calendar!$A$2:$A$755,"US_NFP",Release_Calendar!$B$2:$B$755,$A5925)&gt;0,1,0)</f>
        <v>0</v>
      </c>
      <c r="M5925" s="16">
        <f>IF($A5925&lt;Notes!$B$5,"",IF(COUNTIFS(Release_Calendar!$A$2:$A$755,"NZ_CPI",Release_Calendar!$B$2:$B$755,$A5925)&gt;0,1,0))</f>
        <v>0</v>
      </c>
      <c r="N5925" s="16">
        <f>IF($A5925&lt;Notes!$B$5,"",IF(COUNTIFS(Release_Calendar!$A$2:$A$755,"NZ_GDP",Release_Calendar!$B$2:$B$755,$A5925)&gt;0,1,0))</f>
        <v>1</v>
      </c>
      <c r="O5925" s="16">
        <f>IF($A5925&lt;Notes!$B$5,"",IF(COUNTIFS(Release_Calendar!$A$2:$A$755,"NZ_LABOUR",Release_Calendar!$B$2:$B$755,$A5925)&gt;0,1,0))</f>
        <v>0</v>
      </c>
      <c r="P5925" s="16">
        <f t="shared" si="4"/>
        <v>1</v>
      </c>
    </row>
    <row r="5926" ht="15.75" customHeight="1">
      <c r="A5926" s="14">
        <v>44820.0</v>
      </c>
      <c r="B5926" s="15">
        <v>3.85</v>
      </c>
      <c r="C5926" s="15">
        <v>4.49</v>
      </c>
      <c r="D5926" s="15"/>
      <c r="E5926" s="15">
        <v>4.0</v>
      </c>
      <c r="F5926" s="15">
        <f t="shared" si="1"/>
        <v>0.64</v>
      </c>
      <c r="G5926" s="15">
        <f t="shared" si="2"/>
        <v>4.49</v>
      </c>
      <c r="H5926" s="16">
        <v>0.0</v>
      </c>
      <c r="I5926" s="15">
        <f t="shared" si="3"/>
        <v>0.64</v>
      </c>
      <c r="J5926" s="15">
        <v>26.3</v>
      </c>
      <c r="K5926" s="16">
        <f>IF(COUNTIFS(Release_Calendar!$A$2:$A$755,"US_CPI",Release_Calendar!$B$2:$B$755,$A5926)&gt;0,1,0)</f>
        <v>0</v>
      </c>
      <c r="L5926" s="16">
        <f>IF(COUNTIFS(Release_Calendar!$A$2:$A$755,"US_NFP",Release_Calendar!$B$2:$B$755,$A5926)&gt;0,1,0)</f>
        <v>0</v>
      </c>
      <c r="M5926" s="16">
        <f>IF($A5926&lt;Notes!$B$5,"",IF(COUNTIFS(Release_Calendar!$A$2:$A$755,"NZ_CPI",Release_Calendar!$B$2:$B$755,$A5926)&gt;0,1,0))</f>
        <v>0</v>
      </c>
      <c r="N5926" s="16">
        <f>IF($A5926&lt;Notes!$B$5,"",IF(COUNTIFS(Release_Calendar!$A$2:$A$755,"NZ_GDP",Release_Calendar!$B$2:$B$755,$A5926)&gt;0,1,0))</f>
        <v>0</v>
      </c>
      <c r="O5926" s="16">
        <f>IF($A5926&lt;Notes!$B$5,"",IF(COUNTIFS(Release_Calendar!$A$2:$A$755,"NZ_LABOUR",Release_Calendar!$B$2:$B$755,$A5926)&gt;0,1,0))</f>
        <v>0</v>
      </c>
      <c r="P5926" s="16">
        <f t="shared" si="4"/>
        <v>0</v>
      </c>
    </row>
    <row r="5927" ht="15.75" customHeight="1">
      <c r="A5927" s="14">
        <v>44823.0</v>
      </c>
      <c r="B5927" s="15">
        <v>3.95</v>
      </c>
      <c r="C5927" s="15">
        <v>4.44</v>
      </c>
      <c r="D5927" s="15"/>
      <c r="E5927" s="15">
        <v>3.97</v>
      </c>
      <c r="F5927" s="15">
        <f t="shared" si="1"/>
        <v>0.49</v>
      </c>
      <c r="G5927" s="15">
        <f t="shared" si="2"/>
        <v>4.44</v>
      </c>
      <c r="H5927" s="16">
        <v>0.0</v>
      </c>
      <c r="I5927" s="15">
        <f t="shared" si="3"/>
        <v>0.49</v>
      </c>
      <c r="J5927" s="15">
        <v>25.76</v>
      </c>
      <c r="K5927" s="16">
        <f>IF(COUNTIFS(Release_Calendar!$A$2:$A$755,"US_CPI",Release_Calendar!$B$2:$B$755,$A5927)&gt;0,1,0)</f>
        <v>0</v>
      </c>
      <c r="L5927" s="16">
        <f>IF(COUNTIFS(Release_Calendar!$A$2:$A$755,"US_NFP",Release_Calendar!$B$2:$B$755,$A5927)&gt;0,1,0)</f>
        <v>0</v>
      </c>
      <c r="M5927" s="16">
        <f>IF($A5927&lt;Notes!$B$5,"",IF(COUNTIFS(Release_Calendar!$A$2:$A$755,"NZ_CPI",Release_Calendar!$B$2:$B$755,$A5927)&gt;0,1,0))</f>
        <v>0</v>
      </c>
      <c r="N5927" s="16">
        <f>IF($A5927&lt;Notes!$B$5,"",IF(COUNTIFS(Release_Calendar!$A$2:$A$755,"NZ_GDP",Release_Calendar!$B$2:$B$755,$A5927)&gt;0,1,0))</f>
        <v>0</v>
      </c>
      <c r="O5927" s="16">
        <f>IF($A5927&lt;Notes!$B$5,"",IF(COUNTIFS(Release_Calendar!$A$2:$A$755,"NZ_LABOUR",Release_Calendar!$B$2:$B$755,$A5927)&gt;0,1,0))</f>
        <v>0</v>
      </c>
      <c r="P5927" s="16">
        <f t="shared" si="4"/>
        <v>0</v>
      </c>
    </row>
    <row r="5928" ht="15.75" customHeight="1">
      <c r="A5928" s="14">
        <v>44824.0</v>
      </c>
      <c r="B5928" s="15">
        <v>3.96</v>
      </c>
      <c r="C5928" s="15">
        <v>4.4</v>
      </c>
      <c r="D5928" s="15"/>
      <c r="E5928" s="15">
        <v>3.93</v>
      </c>
      <c r="F5928" s="15">
        <f t="shared" si="1"/>
        <v>0.44</v>
      </c>
      <c r="G5928" s="15">
        <f t="shared" si="2"/>
        <v>4.4</v>
      </c>
      <c r="H5928" s="16">
        <v>0.0</v>
      </c>
      <c r="I5928" s="15">
        <f t="shared" si="3"/>
        <v>0.44</v>
      </c>
      <c r="J5928" s="15">
        <v>27.16</v>
      </c>
      <c r="K5928" s="16">
        <f>IF(COUNTIFS(Release_Calendar!$A$2:$A$755,"US_CPI",Release_Calendar!$B$2:$B$755,$A5928)&gt;0,1,0)</f>
        <v>0</v>
      </c>
      <c r="L5928" s="16">
        <f>IF(COUNTIFS(Release_Calendar!$A$2:$A$755,"US_NFP",Release_Calendar!$B$2:$B$755,$A5928)&gt;0,1,0)</f>
        <v>0</v>
      </c>
      <c r="M5928" s="16">
        <f>IF($A5928&lt;Notes!$B$5,"",IF(COUNTIFS(Release_Calendar!$A$2:$A$755,"NZ_CPI",Release_Calendar!$B$2:$B$755,$A5928)&gt;0,1,0))</f>
        <v>0</v>
      </c>
      <c r="N5928" s="16">
        <f>IF($A5928&lt;Notes!$B$5,"",IF(COUNTIFS(Release_Calendar!$A$2:$A$755,"NZ_GDP",Release_Calendar!$B$2:$B$755,$A5928)&gt;0,1,0))</f>
        <v>0</v>
      </c>
      <c r="O5928" s="16">
        <f>IF($A5928&lt;Notes!$B$5,"",IF(COUNTIFS(Release_Calendar!$A$2:$A$755,"NZ_LABOUR",Release_Calendar!$B$2:$B$755,$A5928)&gt;0,1,0))</f>
        <v>0</v>
      </c>
      <c r="P5928" s="16">
        <f t="shared" si="4"/>
        <v>0</v>
      </c>
    </row>
    <row r="5929" ht="15.75" customHeight="1">
      <c r="A5929" s="14">
        <v>44825.0</v>
      </c>
      <c r="B5929" s="15">
        <v>4.02</v>
      </c>
      <c r="C5929" s="15">
        <v>4.46</v>
      </c>
      <c r="D5929" s="15"/>
      <c r="E5929" s="15">
        <v>3.97</v>
      </c>
      <c r="F5929" s="15">
        <f t="shared" si="1"/>
        <v>0.44</v>
      </c>
      <c r="G5929" s="15">
        <f t="shared" si="2"/>
        <v>4.46</v>
      </c>
      <c r="H5929" s="16">
        <v>0.0</v>
      </c>
      <c r="I5929" s="15">
        <f t="shared" si="3"/>
        <v>0.44</v>
      </c>
      <c r="J5929" s="15">
        <v>27.99</v>
      </c>
      <c r="K5929" s="16">
        <f>IF(COUNTIFS(Release_Calendar!$A$2:$A$755,"US_CPI",Release_Calendar!$B$2:$B$755,$A5929)&gt;0,1,0)</f>
        <v>0</v>
      </c>
      <c r="L5929" s="16">
        <f>IF(COUNTIFS(Release_Calendar!$A$2:$A$755,"US_NFP",Release_Calendar!$B$2:$B$755,$A5929)&gt;0,1,0)</f>
        <v>0</v>
      </c>
      <c r="M5929" s="16">
        <f>IF($A5929&lt;Notes!$B$5,"",IF(COUNTIFS(Release_Calendar!$A$2:$A$755,"NZ_CPI",Release_Calendar!$B$2:$B$755,$A5929)&gt;0,1,0))</f>
        <v>0</v>
      </c>
      <c r="N5929" s="16">
        <f>IF($A5929&lt;Notes!$B$5,"",IF(COUNTIFS(Release_Calendar!$A$2:$A$755,"NZ_GDP",Release_Calendar!$B$2:$B$755,$A5929)&gt;0,1,0))</f>
        <v>0</v>
      </c>
      <c r="O5929" s="16">
        <f>IF($A5929&lt;Notes!$B$5,"",IF(COUNTIFS(Release_Calendar!$A$2:$A$755,"NZ_LABOUR",Release_Calendar!$B$2:$B$755,$A5929)&gt;0,1,0))</f>
        <v>0</v>
      </c>
      <c r="P5929" s="16">
        <f t="shared" si="4"/>
        <v>0</v>
      </c>
    </row>
    <row r="5930" ht="15.75" customHeight="1">
      <c r="A5930" s="14">
        <v>44826.0</v>
      </c>
      <c r="B5930" s="15">
        <v>4.11</v>
      </c>
      <c r="C5930" s="15">
        <v>4.53</v>
      </c>
      <c r="D5930" s="15"/>
      <c r="E5930" s="15">
        <v>4.02</v>
      </c>
      <c r="F5930" s="15">
        <f t="shared" si="1"/>
        <v>0.42</v>
      </c>
      <c r="G5930" s="15">
        <f t="shared" si="2"/>
        <v>4.53</v>
      </c>
      <c r="H5930" s="16">
        <v>0.0</v>
      </c>
      <c r="I5930" s="15">
        <f t="shared" si="3"/>
        <v>0.42</v>
      </c>
      <c r="J5930" s="15">
        <v>27.35</v>
      </c>
      <c r="K5930" s="16">
        <f>IF(COUNTIFS(Release_Calendar!$A$2:$A$755,"US_CPI",Release_Calendar!$B$2:$B$755,$A5930)&gt;0,1,0)</f>
        <v>0</v>
      </c>
      <c r="L5930" s="16">
        <f>IF(COUNTIFS(Release_Calendar!$A$2:$A$755,"US_NFP",Release_Calendar!$B$2:$B$755,$A5930)&gt;0,1,0)</f>
        <v>0</v>
      </c>
      <c r="M5930" s="16">
        <f>IF($A5930&lt;Notes!$B$5,"",IF(COUNTIFS(Release_Calendar!$A$2:$A$755,"NZ_CPI",Release_Calendar!$B$2:$B$755,$A5930)&gt;0,1,0))</f>
        <v>0</v>
      </c>
      <c r="N5930" s="16">
        <f>IF($A5930&lt;Notes!$B$5,"",IF(COUNTIFS(Release_Calendar!$A$2:$A$755,"NZ_GDP",Release_Calendar!$B$2:$B$755,$A5930)&gt;0,1,0))</f>
        <v>0</v>
      </c>
      <c r="O5930" s="16">
        <f>IF($A5930&lt;Notes!$B$5,"",IF(COUNTIFS(Release_Calendar!$A$2:$A$755,"NZ_LABOUR",Release_Calendar!$B$2:$B$755,$A5930)&gt;0,1,0))</f>
        <v>0</v>
      </c>
      <c r="P5930" s="16">
        <f t="shared" si="4"/>
        <v>0</v>
      </c>
    </row>
    <row r="5931" ht="15.75" customHeight="1">
      <c r="A5931" s="14">
        <v>44827.0</v>
      </c>
      <c r="B5931" s="15">
        <v>4.2</v>
      </c>
      <c r="C5931" s="15">
        <v>4.62</v>
      </c>
      <c r="D5931" s="15"/>
      <c r="E5931" s="15">
        <v>4.12</v>
      </c>
      <c r="F5931" s="15">
        <f t="shared" si="1"/>
        <v>0.42</v>
      </c>
      <c r="G5931" s="15">
        <f t="shared" si="2"/>
        <v>4.62</v>
      </c>
      <c r="H5931" s="16">
        <v>0.0</v>
      </c>
      <c r="I5931" s="15">
        <f t="shared" si="3"/>
        <v>0.42</v>
      </c>
      <c r="J5931" s="15">
        <v>29.92</v>
      </c>
      <c r="K5931" s="16">
        <f>IF(COUNTIFS(Release_Calendar!$A$2:$A$755,"US_CPI",Release_Calendar!$B$2:$B$755,$A5931)&gt;0,1,0)</f>
        <v>0</v>
      </c>
      <c r="L5931" s="16">
        <f>IF(COUNTIFS(Release_Calendar!$A$2:$A$755,"US_NFP",Release_Calendar!$B$2:$B$755,$A5931)&gt;0,1,0)</f>
        <v>0</v>
      </c>
      <c r="M5931" s="16">
        <f>IF($A5931&lt;Notes!$B$5,"",IF(COUNTIFS(Release_Calendar!$A$2:$A$755,"NZ_CPI",Release_Calendar!$B$2:$B$755,$A5931)&gt;0,1,0))</f>
        <v>0</v>
      </c>
      <c r="N5931" s="16">
        <f>IF($A5931&lt;Notes!$B$5,"",IF(COUNTIFS(Release_Calendar!$A$2:$A$755,"NZ_GDP",Release_Calendar!$B$2:$B$755,$A5931)&gt;0,1,0))</f>
        <v>0</v>
      </c>
      <c r="O5931" s="16">
        <f>IF($A5931&lt;Notes!$B$5,"",IF(COUNTIFS(Release_Calendar!$A$2:$A$755,"NZ_LABOUR",Release_Calendar!$B$2:$B$755,$A5931)&gt;0,1,0))</f>
        <v>0</v>
      </c>
      <c r="P5931" s="16">
        <f t="shared" si="4"/>
        <v>0</v>
      </c>
    </row>
    <row r="5932" ht="15.75" customHeight="1">
      <c r="A5932" s="14">
        <v>44830.0</v>
      </c>
      <c r="B5932" s="15">
        <v>4.27</v>
      </c>
      <c r="C5932" s="15"/>
      <c r="D5932" s="15"/>
      <c r="E5932" s="15"/>
      <c r="F5932" s="15" t="str">
        <f t="shared" si="1"/>
        <v/>
      </c>
      <c r="G5932" s="15" t="str">
        <f t="shared" si="2"/>
        <v/>
      </c>
      <c r="H5932" s="16">
        <v>0.0</v>
      </c>
      <c r="I5932" s="15" t="str">
        <f t="shared" si="3"/>
        <v/>
      </c>
      <c r="J5932" s="15">
        <v>32.26</v>
      </c>
      <c r="K5932" s="16">
        <f>IF(COUNTIFS(Release_Calendar!$A$2:$A$755,"US_CPI",Release_Calendar!$B$2:$B$755,$A5932)&gt;0,1,0)</f>
        <v>0</v>
      </c>
      <c r="L5932" s="16">
        <f>IF(COUNTIFS(Release_Calendar!$A$2:$A$755,"US_NFP",Release_Calendar!$B$2:$B$755,$A5932)&gt;0,1,0)</f>
        <v>0</v>
      </c>
      <c r="M5932" s="16">
        <f>IF($A5932&lt;Notes!$B$5,"",IF(COUNTIFS(Release_Calendar!$A$2:$A$755,"NZ_CPI",Release_Calendar!$B$2:$B$755,$A5932)&gt;0,1,0))</f>
        <v>0</v>
      </c>
      <c r="N5932" s="16">
        <f>IF($A5932&lt;Notes!$B$5,"",IF(COUNTIFS(Release_Calendar!$A$2:$A$755,"NZ_GDP",Release_Calendar!$B$2:$B$755,$A5932)&gt;0,1,0))</f>
        <v>0</v>
      </c>
      <c r="O5932" s="16">
        <f>IF($A5932&lt;Notes!$B$5,"",IF(COUNTIFS(Release_Calendar!$A$2:$A$755,"NZ_LABOUR",Release_Calendar!$B$2:$B$755,$A5932)&gt;0,1,0))</f>
        <v>0</v>
      </c>
      <c r="P5932" s="16">
        <f t="shared" si="4"/>
        <v>0</v>
      </c>
    </row>
    <row r="5933" ht="15.75" customHeight="1">
      <c r="A5933" s="14">
        <v>44831.0</v>
      </c>
      <c r="B5933" s="15">
        <v>4.3</v>
      </c>
      <c r="C5933" s="15">
        <v>4.74</v>
      </c>
      <c r="D5933" s="15"/>
      <c r="E5933" s="15">
        <v>4.24</v>
      </c>
      <c r="F5933" s="15">
        <f t="shared" si="1"/>
        <v>0.44</v>
      </c>
      <c r="G5933" s="15">
        <f t="shared" si="2"/>
        <v>4.74</v>
      </c>
      <c r="H5933" s="16">
        <v>0.0</v>
      </c>
      <c r="I5933" s="15">
        <f t="shared" si="3"/>
        <v>0.44</v>
      </c>
      <c r="J5933" s="15">
        <v>32.6</v>
      </c>
      <c r="K5933" s="16">
        <f>IF(COUNTIFS(Release_Calendar!$A$2:$A$755,"US_CPI",Release_Calendar!$B$2:$B$755,$A5933)&gt;0,1,0)</f>
        <v>0</v>
      </c>
      <c r="L5933" s="16">
        <f>IF(COUNTIFS(Release_Calendar!$A$2:$A$755,"US_NFP",Release_Calendar!$B$2:$B$755,$A5933)&gt;0,1,0)</f>
        <v>0</v>
      </c>
      <c r="M5933" s="16">
        <f>IF($A5933&lt;Notes!$B$5,"",IF(COUNTIFS(Release_Calendar!$A$2:$A$755,"NZ_CPI",Release_Calendar!$B$2:$B$755,$A5933)&gt;0,1,0))</f>
        <v>0</v>
      </c>
      <c r="N5933" s="16">
        <f>IF($A5933&lt;Notes!$B$5,"",IF(COUNTIFS(Release_Calendar!$A$2:$A$755,"NZ_GDP",Release_Calendar!$B$2:$B$755,$A5933)&gt;0,1,0))</f>
        <v>0</v>
      </c>
      <c r="O5933" s="16">
        <f>IF($A5933&lt;Notes!$B$5,"",IF(COUNTIFS(Release_Calendar!$A$2:$A$755,"NZ_LABOUR",Release_Calendar!$B$2:$B$755,$A5933)&gt;0,1,0))</f>
        <v>0</v>
      </c>
      <c r="P5933" s="16">
        <f t="shared" si="4"/>
        <v>0</v>
      </c>
    </row>
    <row r="5934" ht="15.75" customHeight="1">
      <c r="A5934" s="14">
        <v>44832.0</v>
      </c>
      <c r="B5934" s="15">
        <v>4.07</v>
      </c>
      <c r="C5934" s="15">
        <v>4.8</v>
      </c>
      <c r="D5934" s="15"/>
      <c r="E5934" s="15">
        <v>4.27</v>
      </c>
      <c r="F5934" s="15">
        <f t="shared" si="1"/>
        <v>0.73</v>
      </c>
      <c r="G5934" s="15">
        <f t="shared" si="2"/>
        <v>4.8</v>
      </c>
      <c r="H5934" s="16">
        <v>0.0</v>
      </c>
      <c r="I5934" s="15">
        <f t="shared" si="3"/>
        <v>0.73</v>
      </c>
      <c r="J5934" s="15">
        <v>30.18</v>
      </c>
      <c r="K5934" s="16">
        <f>IF(COUNTIFS(Release_Calendar!$A$2:$A$755,"US_CPI",Release_Calendar!$B$2:$B$755,$A5934)&gt;0,1,0)</f>
        <v>0</v>
      </c>
      <c r="L5934" s="16">
        <f>IF(COUNTIFS(Release_Calendar!$A$2:$A$755,"US_NFP",Release_Calendar!$B$2:$B$755,$A5934)&gt;0,1,0)</f>
        <v>0</v>
      </c>
      <c r="M5934" s="16">
        <f>IF($A5934&lt;Notes!$B$5,"",IF(COUNTIFS(Release_Calendar!$A$2:$A$755,"NZ_CPI",Release_Calendar!$B$2:$B$755,$A5934)&gt;0,1,0))</f>
        <v>0</v>
      </c>
      <c r="N5934" s="16">
        <f>IF($A5934&lt;Notes!$B$5,"",IF(COUNTIFS(Release_Calendar!$A$2:$A$755,"NZ_GDP",Release_Calendar!$B$2:$B$755,$A5934)&gt;0,1,0))</f>
        <v>0</v>
      </c>
      <c r="O5934" s="16">
        <f>IF($A5934&lt;Notes!$B$5,"",IF(COUNTIFS(Release_Calendar!$A$2:$A$755,"NZ_LABOUR",Release_Calendar!$B$2:$B$755,$A5934)&gt;0,1,0))</f>
        <v>0</v>
      </c>
      <c r="P5934" s="16">
        <f t="shared" si="4"/>
        <v>0</v>
      </c>
    </row>
    <row r="5935" ht="15.75" customHeight="1">
      <c r="A5935" s="14">
        <v>44833.0</v>
      </c>
      <c r="B5935" s="15">
        <v>4.16</v>
      </c>
      <c r="C5935" s="15">
        <v>4.71</v>
      </c>
      <c r="D5935" s="15"/>
      <c r="E5935" s="15">
        <v>4.15</v>
      </c>
      <c r="F5935" s="15">
        <f t="shared" si="1"/>
        <v>0.55</v>
      </c>
      <c r="G5935" s="15">
        <f t="shared" si="2"/>
        <v>4.71</v>
      </c>
      <c r="H5935" s="16">
        <v>0.0</v>
      </c>
      <c r="I5935" s="15">
        <f t="shared" si="3"/>
        <v>0.55</v>
      </c>
      <c r="J5935" s="15">
        <v>31.84</v>
      </c>
      <c r="K5935" s="16">
        <f>IF(COUNTIFS(Release_Calendar!$A$2:$A$755,"US_CPI",Release_Calendar!$B$2:$B$755,$A5935)&gt;0,1,0)</f>
        <v>0</v>
      </c>
      <c r="L5935" s="16">
        <f>IF(COUNTIFS(Release_Calendar!$A$2:$A$755,"US_NFP",Release_Calendar!$B$2:$B$755,$A5935)&gt;0,1,0)</f>
        <v>0</v>
      </c>
      <c r="M5935" s="16">
        <f>IF($A5935&lt;Notes!$B$5,"",IF(COUNTIFS(Release_Calendar!$A$2:$A$755,"NZ_CPI",Release_Calendar!$B$2:$B$755,$A5935)&gt;0,1,0))</f>
        <v>0</v>
      </c>
      <c r="N5935" s="16">
        <f>IF($A5935&lt;Notes!$B$5,"",IF(COUNTIFS(Release_Calendar!$A$2:$A$755,"NZ_GDP",Release_Calendar!$B$2:$B$755,$A5935)&gt;0,1,0))</f>
        <v>0</v>
      </c>
      <c r="O5935" s="16">
        <f>IF($A5935&lt;Notes!$B$5,"",IF(COUNTIFS(Release_Calendar!$A$2:$A$755,"NZ_LABOUR",Release_Calendar!$B$2:$B$755,$A5935)&gt;0,1,0))</f>
        <v>0</v>
      </c>
      <c r="P5935" s="16">
        <f t="shared" si="4"/>
        <v>0</v>
      </c>
    </row>
    <row r="5936" ht="15.75" customHeight="1">
      <c r="A5936" s="14">
        <v>44834.0</v>
      </c>
      <c r="B5936" s="15">
        <v>4.22</v>
      </c>
      <c r="C5936" s="15">
        <v>4.74</v>
      </c>
      <c r="D5936" s="15"/>
      <c r="E5936" s="15">
        <v>4.19</v>
      </c>
      <c r="F5936" s="15">
        <f t="shared" si="1"/>
        <v>0.52</v>
      </c>
      <c r="G5936" s="15">
        <f t="shared" si="2"/>
        <v>4.74</v>
      </c>
      <c r="H5936" s="16">
        <v>0.0</v>
      </c>
      <c r="I5936" s="15">
        <f t="shared" si="3"/>
        <v>0.52</v>
      </c>
      <c r="J5936" s="15">
        <v>31.62</v>
      </c>
      <c r="K5936" s="16">
        <f>IF(COUNTIFS(Release_Calendar!$A$2:$A$755,"US_CPI",Release_Calendar!$B$2:$B$755,$A5936)&gt;0,1,0)</f>
        <v>0</v>
      </c>
      <c r="L5936" s="16">
        <f>IF(COUNTIFS(Release_Calendar!$A$2:$A$755,"US_NFP",Release_Calendar!$B$2:$B$755,$A5936)&gt;0,1,0)</f>
        <v>0</v>
      </c>
      <c r="M5936" s="16">
        <f>IF($A5936&lt;Notes!$B$5,"",IF(COUNTIFS(Release_Calendar!$A$2:$A$755,"NZ_CPI",Release_Calendar!$B$2:$B$755,$A5936)&gt;0,1,0))</f>
        <v>0</v>
      </c>
      <c r="N5936" s="16">
        <f>IF($A5936&lt;Notes!$B$5,"",IF(COUNTIFS(Release_Calendar!$A$2:$A$755,"NZ_GDP",Release_Calendar!$B$2:$B$755,$A5936)&gt;0,1,0))</f>
        <v>0</v>
      </c>
      <c r="O5936" s="16">
        <f>IF($A5936&lt;Notes!$B$5,"",IF(COUNTIFS(Release_Calendar!$A$2:$A$755,"NZ_LABOUR",Release_Calendar!$B$2:$B$755,$A5936)&gt;0,1,0))</f>
        <v>0</v>
      </c>
      <c r="P5936" s="16">
        <f t="shared" si="4"/>
        <v>0</v>
      </c>
    </row>
    <row r="5937" ht="15.75" customHeight="1">
      <c r="A5937" s="14">
        <v>44837.0</v>
      </c>
      <c r="B5937" s="15">
        <v>4.12</v>
      </c>
      <c r="C5937" s="15">
        <v>4.72</v>
      </c>
      <c r="D5937" s="15"/>
      <c r="E5937" s="15">
        <v>4.17</v>
      </c>
      <c r="F5937" s="15">
        <f t="shared" si="1"/>
        <v>0.6</v>
      </c>
      <c r="G5937" s="15">
        <f t="shared" si="2"/>
        <v>4.72</v>
      </c>
      <c r="H5937" s="16">
        <v>0.0</v>
      </c>
      <c r="I5937" s="15">
        <f t="shared" si="3"/>
        <v>0.6</v>
      </c>
      <c r="J5937" s="15">
        <v>30.1</v>
      </c>
      <c r="K5937" s="16">
        <f>IF(COUNTIFS(Release_Calendar!$A$2:$A$755,"US_CPI",Release_Calendar!$B$2:$B$755,$A5937)&gt;0,1,0)</f>
        <v>0</v>
      </c>
      <c r="L5937" s="16">
        <f>IF(COUNTIFS(Release_Calendar!$A$2:$A$755,"US_NFP",Release_Calendar!$B$2:$B$755,$A5937)&gt;0,1,0)</f>
        <v>0</v>
      </c>
      <c r="M5937" s="16">
        <f>IF($A5937&lt;Notes!$B$5,"",IF(COUNTIFS(Release_Calendar!$A$2:$A$755,"NZ_CPI",Release_Calendar!$B$2:$B$755,$A5937)&gt;0,1,0))</f>
        <v>0</v>
      </c>
      <c r="N5937" s="16">
        <f>IF($A5937&lt;Notes!$B$5,"",IF(COUNTIFS(Release_Calendar!$A$2:$A$755,"NZ_GDP",Release_Calendar!$B$2:$B$755,$A5937)&gt;0,1,0))</f>
        <v>0</v>
      </c>
      <c r="O5937" s="16">
        <f>IF($A5937&lt;Notes!$B$5,"",IF(COUNTIFS(Release_Calendar!$A$2:$A$755,"NZ_LABOUR",Release_Calendar!$B$2:$B$755,$A5937)&gt;0,1,0))</f>
        <v>0</v>
      </c>
      <c r="P5937" s="16">
        <f t="shared" si="4"/>
        <v>0</v>
      </c>
    </row>
    <row r="5938" ht="15.75" customHeight="1">
      <c r="A5938" s="14">
        <v>44838.0</v>
      </c>
      <c r="B5938" s="15">
        <v>4.1</v>
      </c>
      <c r="C5938" s="15">
        <v>4.61</v>
      </c>
      <c r="D5938" s="15"/>
      <c r="E5938" s="15">
        <v>4.05</v>
      </c>
      <c r="F5938" s="15">
        <f t="shared" si="1"/>
        <v>0.51</v>
      </c>
      <c r="G5938" s="15">
        <f t="shared" si="2"/>
        <v>4.61</v>
      </c>
      <c r="H5938" s="16">
        <v>0.0</v>
      </c>
      <c r="I5938" s="15">
        <f t="shared" si="3"/>
        <v>0.51</v>
      </c>
      <c r="J5938" s="15">
        <v>29.07</v>
      </c>
      <c r="K5938" s="16">
        <f>IF(COUNTIFS(Release_Calendar!$A$2:$A$755,"US_CPI",Release_Calendar!$B$2:$B$755,$A5938)&gt;0,1,0)</f>
        <v>0</v>
      </c>
      <c r="L5938" s="16">
        <f>IF(COUNTIFS(Release_Calendar!$A$2:$A$755,"US_NFP",Release_Calendar!$B$2:$B$755,$A5938)&gt;0,1,0)</f>
        <v>0</v>
      </c>
      <c r="M5938" s="16">
        <f>IF($A5938&lt;Notes!$B$5,"",IF(COUNTIFS(Release_Calendar!$A$2:$A$755,"NZ_CPI",Release_Calendar!$B$2:$B$755,$A5938)&gt;0,1,0))</f>
        <v>0</v>
      </c>
      <c r="N5938" s="16">
        <f>IF($A5938&lt;Notes!$B$5,"",IF(COUNTIFS(Release_Calendar!$A$2:$A$755,"NZ_GDP",Release_Calendar!$B$2:$B$755,$A5938)&gt;0,1,0))</f>
        <v>0</v>
      </c>
      <c r="O5938" s="16">
        <f>IF($A5938&lt;Notes!$B$5,"",IF(COUNTIFS(Release_Calendar!$A$2:$A$755,"NZ_LABOUR",Release_Calendar!$B$2:$B$755,$A5938)&gt;0,1,0))</f>
        <v>0</v>
      </c>
      <c r="P5938" s="16">
        <f t="shared" si="4"/>
        <v>0</v>
      </c>
    </row>
    <row r="5939" ht="15.75" customHeight="1">
      <c r="A5939" s="14">
        <v>44839.0</v>
      </c>
      <c r="B5939" s="15">
        <v>4.15</v>
      </c>
      <c r="C5939" s="15">
        <v>4.46</v>
      </c>
      <c r="D5939" s="15"/>
      <c r="E5939" s="15">
        <v>3.91</v>
      </c>
      <c r="F5939" s="15">
        <f t="shared" si="1"/>
        <v>0.31</v>
      </c>
      <c r="G5939" s="15">
        <f t="shared" si="2"/>
        <v>4.46</v>
      </c>
      <c r="H5939" s="16">
        <v>0.0</v>
      </c>
      <c r="I5939" s="15">
        <f t="shared" si="3"/>
        <v>0.31</v>
      </c>
      <c r="J5939" s="15">
        <v>28.55</v>
      </c>
      <c r="K5939" s="16">
        <f>IF(COUNTIFS(Release_Calendar!$A$2:$A$755,"US_CPI",Release_Calendar!$B$2:$B$755,$A5939)&gt;0,1,0)</f>
        <v>0</v>
      </c>
      <c r="L5939" s="16">
        <f>IF(COUNTIFS(Release_Calendar!$A$2:$A$755,"US_NFP",Release_Calendar!$B$2:$B$755,$A5939)&gt;0,1,0)</f>
        <v>0</v>
      </c>
      <c r="M5939" s="16">
        <f>IF($A5939&lt;Notes!$B$5,"",IF(COUNTIFS(Release_Calendar!$A$2:$A$755,"NZ_CPI",Release_Calendar!$B$2:$B$755,$A5939)&gt;0,1,0))</f>
        <v>0</v>
      </c>
      <c r="N5939" s="16">
        <f>IF($A5939&lt;Notes!$B$5,"",IF(COUNTIFS(Release_Calendar!$A$2:$A$755,"NZ_GDP",Release_Calendar!$B$2:$B$755,$A5939)&gt;0,1,0))</f>
        <v>0</v>
      </c>
      <c r="O5939" s="16">
        <f>IF($A5939&lt;Notes!$B$5,"",IF(COUNTIFS(Release_Calendar!$A$2:$A$755,"NZ_LABOUR",Release_Calendar!$B$2:$B$755,$A5939)&gt;0,1,0))</f>
        <v>0</v>
      </c>
      <c r="P5939" s="16">
        <f t="shared" si="4"/>
        <v>0</v>
      </c>
    </row>
    <row r="5940" ht="15.75" customHeight="1">
      <c r="A5940" s="14">
        <v>44840.0</v>
      </c>
      <c r="B5940" s="15">
        <v>4.23</v>
      </c>
      <c r="C5940" s="15">
        <v>4.62</v>
      </c>
      <c r="D5940" s="15"/>
      <c r="E5940" s="15">
        <v>4.03</v>
      </c>
      <c r="F5940" s="15">
        <f t="shared" si="1"/>
        <v>0.39</v>
      </c>
      <c r="G5940" s="15">
        <f t="shared" si="2"/>
        <v>4.62</v>
      </c>
      <c r="H5940" s="16">
        <v>0.0</v>
      </c>
      <c r="I5940" s="15">
        <f t="shared" si="3"/>
        <v>0.39</v>
      </c>
      <c r="J5940" s="15">
        <v>30.52</v>
      </c>
      <c r="K5940" s="16">
        <f>IF(COUNTIFS(Release_Calendar!$A$2:$A$755,"US_CPI",Release_Calendar!$B$2:$B$755,$A5940)&gt;0,1,0)</f>
        <v>0</v>
      </c>
      <c r="L5940" s="16">
        <f>IF(COUNTIFS(Release_Calendar!$A$2:$A$755,"US_NFP",Release_Calendar!$B$2:$B$755,$A5940)&gt;0,1,0)</f>
        <v>0</v>
      </c>
      <c r="M5940" s="16">
        <f>IF($A5940&lt;Notes!$B$5,"",IF(COUNTIFS(Release_Calendar!$A$2:$A$755,"NZ_CPI",Release_Calendar!$B$2:$B$755,$A5940)&gt;0,1,0))</f>
        <v>0</v>
      </c>
      <c r="N5940" s="16">
        <f>IF($A5940&lt;Notes!$B$5,"",IF(COUNTIFS(Release_Calendar!$A$2:$A$755,"NZ_GDP",Release_Calendar!$B$2:$B$755,$A5940)&gt;0,1,0))</f>
        <v>0</v>
      </c>
      <c r="O5940" s="16">
        <f>IF($A5940&lt;Notes!$B$5,"",IF(COUNTIFS(Release_Calendar!$A$2:$A$755,"NZ_LABOUR",Release_Calendar!$B$2:$B$755,$A5940)&gt;0,1,0))</f>
        <v>0</v>
      </c>
      <c r="P5940" s="16">
        <f t="shared" si="4"/>
        <v>0</v>
      </c>
    </row>
    <row r="5941" ht="15.75" customHeight="1">
      <c r="A5941" s="14">
        <v>44841.0</v>
      </c>
      <c r="B5941" s="15">
        <v>4.3</v>
      </c>
      <c r="C5941" s="15">
        <v>4.72</v>
      </c>
      <c r="D5941" s="15"/>
      <c r="E5941" s="15">
        <v>4.15</v>
      </c>
      <c r="F5941" s="15">
        <f t="shared" si="1"/>
        <v>0.42</v>
      </c>
      <c r="G5941" s="15">
        <f t="shared" si="2"/>
        <v>4.72</v>
      </c>
      <c r="H5941" s="16">
        <v>0.0</v>
      </c>
      <c r="I5941" s="15">
        <f t="shared" si="3"/>
        <v>0.42</v>
      </c>
      <c r="J5941" s="15">
        <v>31.36</v>
      </c>
      <c r="K5941" s="16">
        <f>IF(COUNTIFS(Release_Calendar!$A$2:$A$755,"US_CPI",Release_Calendar!$B$2:$B$755,$A5941)&gt;0,1,0)</f>
        <v>0</v>
      </c>
      <c r="L5941" s="16">
        <f>IF(COUNTIFS(Release_Calendar!$A$2:$A$755,"US_NFP",Release_Calendar!$B$2:$B$755,$A5941)&gt;0,1,0)</f>
        <v>1</v>
      </c>
      <c r="M5941" s="16">
        <f>IF($A5941&lt;Notes!$B$5,"",IF(COUNTIFS(Release_Calendar!$A$2:$A$755,"NZ_CPI",Release_Calendar!$B$2:$B$755,$A5941)&gt;0,1,0))</f>
        <v>0</v>
      </c>
      <c r="N5941" s="16">
        <f>IF($A5941&lt;Notes!$B$5,"",IF(COUNTIFS(Release_Calendar!$A$2:$A$755,"NZ_GDP",Release_Calendar!$B$2:$B$755,$A5941)&gt;0,1,0))</f>
        <v>0</v>
      </c>
      <c r="O5941" s="16">
        <f>IF($A5941&lt;Notes!$B$5,"",IF(COUNTIFS(Release_Calendar!$A$2:$A$755,"NZ_LABOUR",Release_Calendar!$B$2:$B$755,$A5941)&gt;0,1,0))</f>
        <v>0</v>
      </c>
      <c r="P5941" s="16">
        <f t="shared" si="4"/>
        <v>1</v>
      </c>
    </row>
    <row r="5942" ht="15.75" customHeight="1">
      <c r="A5942" s="14">
        <v>44844.0</v>
      </c>
      <c r="B5942" s="15"/>
      <c r="C5942" s="15">
        <v>4.8</v>
      </c>
      <c r="D5942" s="15"/>
      <c r="E5942" s="15">
        <v>4.25</v>
      </c>
      <c r="F5942" s="15" t="str">
        <f t="shared" si="1"/>
        <v/>
      </c>
      <c r="G5942" s="15">
        <f t="shared" si="2"/>
        <v>4.8</v>
      </c>
      <c r="H5942" s="16">
        <v>0.0</v>
      </c>
      <c r="I5942" s="15" t="str">
        <f t="shared" si="3"/>
        <v/>
      </c>
      <c r="J5942" s="15">
        <v>32.45</v>
      </c>
      <c r="K5942" s="16">
        <f>IF(COUNTIFS(Release_Calendar!$A$2:$A$755,"US_CPI",Release_Calendar!$B$2:$B$755,$A5942)&gt;0,1,0)</f>
        <v>0</v>
      </c>
      <c r="L5942" s="16">
        <f>IF(COUNTIFS(Release_Calendar!$A$2:$A$755,"US_NFP",Release_Calendar!$B$2:$B$755,$A5942)&gt;0,1,0)</f>
        <v>0</v>
      </c>
      <c r="M5942" s="16">
        <f>IF($A5942&lt;Notes!$B$5,"",IF(COUNTIFS(Release_Calendar!$A$2:$A$755,"NZ_CPI",Release_Calendar!$B$2:$B$755,$A5942)&gt;0,1,0))</f>
        <v>0</v>
      </c>
      <c r="N5942" s="16">
        <f>IF($A5942&lt;Notes!$B$5,"",IF(COUNTIFS(Release_Calendar!$A$2:$A$755,"NZ_GDP",Release_Calendar!$B$2:$B$755,$A5942)&gt;0,1,0))</f>
        <v>0</v>
      </c>
      <c r="O5942" s="16">
        <f>IF($A5942&lt;Notes!$B$5,"",IF(COUNTIFS(Release_Calendar!$A$2:$A$755,"NZ_LABOUR",Release_Calendar!$B$2:$B$755,$A5942)&gt;0,1,0))</f>
        <v>0</v>
      </c>
      <c r="P5942" s="16">
        <f t="shared" si="4"/>
        <v>0</v>
      </c>
    </row>
    <row r="5943" ht="15.75" customHeight="1">
      <c r="A5943" s="14">
        <v>44845.0</v>
      </c>
      <c r="B5943" s="15">
        <v>4.3</v>
      </c>
      <c r="C5943" s="15">
        <v>4.87</v>
      </c>
      <c r="D5943" s="15"/>
      <c r="E5943" s="15">
        <v>4.35</v>
      </c>
      <c r="F5943" s="15">
        <f t="shared" si="1"/>
        <v>0.57</v>
      </c>
      <c r="G5943" s="15">
        <f t="shared" si="2"/>
        <v>4.87</v>
      </c>
      <c r="H5943" s="16">
        <v>0.0</v>
      </c>
      <c r="I5943" s="15">
        <f t="shared" si="3"/>
        <v>0.57</v>
      </c>
      <c r="J5943" s="15">
        <v>33.63</v>
      </c>
      <c r="K5943" s="16">
        <f>IF(COUNTIFS(Release_Calendar!$A$2:$A$755,"US_CPI",Release_Calendar!$B$2:$B$755,$A5943)&gt;0,1,0)</f>
        <v>0</v>
      </c>
      <c r="L5943" s="16">
        <f>IF(COUNTIFS(Release_Calendar!$A$2:$A$755,"US_NFP",Release_Calendar!$B$2:$B$755,$A5943)&gt;0,1,0)</f>
        <v>0</v>
      </c>
      <c r="M5943" s="16">
        <f>IF($A5943&lt;Notes!$B$5,"",IF(COUNTIFS(Release_Calendar!$A$2:$A$755,"NZ_CPI",Release_Calendar!$B$2:$B$755,$A5943)&gt;0,1,0))</f>
        <v>0</v>
      </c>
      <c r="N5943" s="16">
        <f>IF($A5943&lt;Notes!$B$5,"",IF(COUNTIFS(Release_Calendar!$A$2:$A$755,"NZ_GDP",Release_Calendar!$B$2:$B$755,$A5943)&gt;0,1,0))</f>
        <v>0</v>
      </c>
      <c r="O5943" s="16">
        <f>IF($A5943&lt;Notes!$B$5,"",IF(COUNTIFS(Release_Calendar!$A$2:$A$755,"NZ_LABOUR",Release_Calendar!$B$2:$B$755,$A5943)&gt;0,1,0))</f>
        <v>0</v>
      </c>
      <c r="P5943" s="16">
        <f t="shared" si="4"/>
        <v>0</v>
      </c>
    </row>
    <row r="5944" ht="15.75" customHeight="1">
      <c r="A5944" s="14">
        <v>44846.0</v>
      </c>
      <c r="B5944" s="15">
        <v>4.28</v>
      </c>
      <c r="C5944" s="15">
        <v>4.85</v>
      </c>
      <c r="D5944" s="15"/>
      <c r="E5944" s="15">
        <v>4.35</v>
      </c>
      <c r="F5944" s="15">
        <f t="shared" si="1"/>
        <v>0.57</v>
      </c>
      <c r="G5944" s="15">
        <f t="shared" si="2"/>
        <v>4.85</v>
      </c>
      <c r="H5944" s="16">
        <v>0.0</v>
      </c>
      <c r="I5944" s="15">
        <f t="shared" si="3"/>
        <v>0.57</v>
      </c>
      <c r="J5944" s="15">
        <v>33.57</v>
      </c>
      <c r="K5944" s="16">
        <f>IF(COUNTIFS(Release_Calendar!$A$2:$A$755,"US_CPI",Release_Calendar!$B$2:$B$755,$A5944)&gt;0,1,0)</f>
        <v>0</v>
      </c>
      <c r="L5944" s="16">
        <f>IF(COUNTIFS(Release_Calendar!$A$2:$A$755,"US_NFP",Release_Calendar!$B$2:$B$755,$A5944)&gt;0,1,0)</f>
        <v>0</v>
      </c>
      <c r="M5944" s="16">
        <f>IF($A5944&lt;Notes!$B$5,"",IF(COUNTIFS(Release_Calendar!$A$2:$A$755,"NZ_CPI",Release_Calendar!$B$2:$B$755,$A5944)&gt;0,1,0))</f>
        <v>0</v>
      </c>
      <c r="N5944" s="16">
        <f>IF($A5944&lt;Notes!$B$5,"",IF(COUNTIFS(Release_Calendar!$A$2:$A$755,"NZ_GDP",Release_Calendar!$B$2:$B$755,$A5944)&gt;0,1,0))</f>
        <v>0</v>
      </c>
      <c r="O5944" s="16">
        <f>IF($A5944&lt;Notes!$B$5,"",IF(COUNTIFS(Release_Calendar!$A$2:$A$755,"NZ_LABOUR",Release_Calendar!$B$2:$B$755,$A5944)&gt;0,1,0))</f>
        <v>0</v>
      </c>
      <c r="P5944" s="16">
        <f t="shared" si="4"/>
        <v>0</v>
      </c>
    </row>
    <row r="5945" ht="15.75" customHeight="1">
      <c r="A5945" s="14">
        <v>44847.0</v>
      </c>
      <c r="B5945" s="15">
        <v>4.47</v>
      </c>
      <c r="C5945" s="15">
        <v>4.89</v>
      </c>
      <c r="D5945" s="15"/>
      <c r="E5945" s="15">
        <v>4.37</v>
      </c>
      <c r="F5945" s="15">
        <f t="shared" si="1"/>
        <v>0.42</v>
      </c>
      <c r="G5945" s="15">
        <f t="shared" si="2"/>
        <v>4.89</v>
      </c>
      <c r="H5945" s="16">
        <v>0.0</v>
      </c>
      <c r="I5945" s="15">
        <f t="shared" si="3"/>
        <v>0.42</v>
      </c>
      <c r="J5945" s="15">
        <v>31.94</v>
      </c>
      <c r="K5945" s="16">
        <f>IF(COUNTIFS(Release_Calendar!$A$2:$A$755,"US_CPI",Release_Calendar!$B$2:$B$755,$A5945)&gt;0,1,0)</f>
        <v>1</v>
      </c>
      <c r="L5945" s="16">
        <f>IF(COUNTIFS(Release_Calendar!$A$2:$A$755,"US_NFP",Release_Calendar!$B$2:$B$755,$A5945)&gt;0,1,0)</f>
        <v>0</v>
      </c>
      <c r="M5945" s="16">
        <f>IF($A5945&lt;Notes!$B$5,"",IF(COUNTIFS(Release_Calendar!$A$2:$A$755,"NZ_CPI",Release_Calendar!$B$2:$B$755,$A5945)&gt;0,1,0))</f>
        <v>0</v>
      </c>
      <c r="N5945" s="16">
        <f>IF($A5945&lt;Notes!$B$5,"",IF(COUNTIFS(Release_Calendar!$A$2:$A$755,"NZ_GDP",Release_Calendar!$B$2:$B$755,$A5945)&gt;0,1,0))</f>
        <v>0</v>
      </c>
      <c r="O5945" s="16">
        <f>IF($A5945&lt;Notes!$B$5,"",IF(COUNTIFS(Release_Calendar!$A$2:$A$755,"NZ_LABOUR",Release_Calendar!$B$2:$B$755,$A5945)&gt;0,1,0))</f>
        <v>0</v>
      </c>
      <c r="P5945" s="16">
        <f t="shared" si="4"/>
        <v>1</v>
      </c>
    </row>
    <row r="5946" ht="15.75" customHeight="1">
      <c r="A5946" s="14">
        <v>44848.0</v>
      </c>
      <c r="B5946" s="15">
        <v>4.48</v>
      </c>
      <c r="C5946" s="15">
        <v>4.93</v>
      </c>
      <c r="D5946" s="15"/>
      <c r="E5946" s="15">
        <v>4.36</v>
      </c>
      <c r="F5946" s="15">
        <f t="shared" si="1"/>
        <v>0.45</v>
      </c>
      <c r="G5946" s="15">
        <f t="shared" si="2"/>
        <v>4.93</v>
      </c>
      <c r="H5946" s="16">
        <v>0.0</v>
      </c>
      <c r="I5946" s="15">
        <f t="shared" si="3"/>
        <v>0.45</v>
      </c>
      <c r="J5946" s="15">
        <v>32.02</v>
      </c>
      <c r="K5946" s="16">
        <f>IF(COUNTIFS(Release_Calendar!$A$2:$A$755,"US_CPI",Release_Calendar!$B$2:$B$755,$A5946)&gt;0,1,0)</f>
        <v>0</v>
      </c>
      <c r="L5946" s="16">
        <f>IF(COUNTIFS(Release_Calendar!$A$2:$A$755,"US_NFP",Release_Calendar!$B$2:$B$755,$A5946)&gt;0,1,0)</f>
        <v>0</v>
      </c>
      <c r="M5946" s="16">
        <f>IF($A5946&lt;Notes!$B$5,"",IF(COUNTIFS(Release_Calendar!$A$2:$A$755,"NZ_CPI",Release_Calendar!$B$2:$B$755,$A5946)&gt;0,1,0))</f>
        <v>0</v>
      </c>
      <c r="N5946" s="16">
        <f>IF($A5946&lt;Notes!$B$5,"",IF(COUNTIFS(Release_Calendar!$A$2:$A$755,"NZ_GDP",Release_Calendar!$B$2:$B$755,$A5946)&gt;0,1,0))</f>
        <v>0</v>
      </c>
      <c r="O5946" s="16">
        <f>IF($A5946&lt;Notes!$B$5,"",IF(COUNTIFS(Release_Calendar!$A$2:$A$755,"NZ_LABOUR",Release_Calendar!$B$2:$B$755,$A5946)&gt;0,1,0))</f>
        <v>0</v>
      </c>
      <c r="P5946" s="16">
        <f t="shared" si="4"/>
        <v>0</v>
      </c>
    </row>
    <row r="5947" ht="15.75" customHeight="1">
      <c r="A5947" s="14">
        <v>44851.0</v>
      </c>
      <c r="B5947" s="15">
        <v>4.45</v>
      </c>
      <c r="C5947" s="15">
        <v>5.0</v>
      </c>
      <c r="D5947" s="15"/>
      <c r="E5947" s="15">
        <v>4.38</v>
      </c>
      <c r="F5947" s="15">
        <f t="shared" si="1"/>
        <v>0.55</v>
      </c>
      <c r="G5947" s="15">
        <f t="shared" si="2"/>
        <v>5</v>
      </c>
      <c r="H5947" s="16">
        <v>0.0</v>
      </c>
      <c r="I5947" s="15">
        <f t="shared" si="3"/>
        <v>0.55</v>
      </c>
      <c r="J5947" s="15">
        <v>31.37</v>
      </c>
      <c r="K5947" s="16">
        <f>IF(COUNTIFS(Release_Calendar!$A$2:$A$755,"US_CPI",Release_Calendar!$B$2:$B$755,$A5947)&gt;0,1,0)</f>
        <v>0</v>
      </c>
      <c r="L5947" s="16">
        <f>IF(COUNTIFS(Release_Calendar!$A$2:$A$755,"US_NFP",Release_Calendar!$B$2:$B$755,$A5947)&gt;0,1,0)</f>
        <v>0</v>
      </c>
      <c r="M5947" s="16">
        <f>IF($A5947&lt;Notes!$B$5,"",IF(COUNTIFS(Release_Calendar!$A$2:$A$755,"NZ_CPI",Release_Calendar!$B$2:$B$755,$A5947)&gt;0,1,0))</f>
        <v>0</v>
      </c>
      <c r="N5947" s="16">
        <f>IF($A5947&lt;Notes!$B$5,"",IF(COUNTIFS(Release_Calendar!$A$2:$A$755,"NZ_GDP",Release_Calendar!$B$2:$B$755,$A5947)&gt;0,1,0))</f>
        <v>0</v>
      </c>
      <c r="O5947" s="16">
        <f>IF($A5947&lt;Notes!$B$5,"",IF(COUNTIFS(Release_Calendar!$A$2:$A$755,"NZ_LABOUR",Release_Calendar!$B$2:$B$755,$A5947)&gt;0,1,0))</f>
        <v>0</v>
      </c>
      <c r="P5947" s="16">
        <f t="shared" si="4"/>
        <v>0</v>
      </c>
    </row>
    <row r="5948" ht="15.75" customHeight="1">
      <c r="A5948" s="14">
        <v>44852.0</v>
      </c>
      <c r="B5948" s="15">
        <v>4.43</v>
      </c>
      <c r="C5948" s="15">
        <v>5.14</v>
      </c>
      <c r="D5948" s="15"/>
      <c r="E5948" s="15">
        <v>4.48</v>
      </c>
      <c r="F5948" s="15">
        <f t="shared" si="1"/>
        <v>0.71</v>
      </c>
      <c r="G5948" s="15">
        <f t="shared" si="2"/>
        <v>5.14</v>
      </c>
      <c r="H5948" s="16">
        <v>0.0</v>
      </c>
      <c r="I5948" s="15">
        <f t="shared" si="3"/>
        <v>0.71</v>
      </c>
      <c r="J5948" s="15">
        <v>30.5</v>
      </c>
      <c r="K5948" s="16">
        <f>IF(COUNTIFS(Release_Calendar!$A$2:$A$755,"US_CPI",Release_Calendar!$B$2:$B$755,$A5948)&gt;0,1,0)</f>
        <v>0</v>
      </c>
      <c r="L5948" s="16">
        <f>IF(COUNTIFS(Release_Calendar!$A$2:$A$755,"US_NFP",Release_Calendar!$B$2:$B$755,$A5948)&gt;0,1,0)</f>
        <v>0</v>
      </c>
      <c r="M5948" s="16">
        <f>IF($A5948&lt;Notes!$B$5,"",IF(COUNTIFS(Release_Calendar!$A$2:$A$755,"NZ_CPI",Release_Calendar!$B$2:$B$755,$A5948)&gt;0,1,0))</f>
        <v>1</v>
      </c>
      <c r="N5948" s="16">
        <f>IF($A5948&lt;Notes!$B$5,"",IF(COUNTIFS(Release_Calendar!$A$2:$A$755,"NZ_GDP",Release_Calendar!$B$2:$B$755,$A5948)&gt;0,1,0))</f>
        <v>0</v>
      </c>
      <c r="O5948" s="16">
        <f>IF($A5948&lt;Notes!$B$5,"",IF(COUNTIFS(Release_Calendar!$A$2:$A$755,"NZ_LABOUR",Release_Calendar!$B$2:$B$755,$A5948)&gt;0,1,0))</f>
        <v>0</v>
      </c>
      <c r="P5948" s="16">
        <f t="shared" si="4"/>
        <v>1</v>
      </c>
    </row>
    <row r="5949" ht="15.75" customHeight="1">
      <c r="A5949" s="14">
        <v>44853.0</v>
      </c>
      <c r="B5949" s="15">
        <v>4.55</v>
      </c>
      <c r="C5949" s="15">
        <v>5.3</v>
      </c>
      <c r="D5949" s="15"/>
      <c r="E5949" s="15">
        <v>4.66</v>
      </c>
      <c r="F5949" s="15">
        <f t="shared" si="1"/>
        <v>0.75</v>
      </c>
      <c r="G5949" s="15">
        <f t="shared" si="2"/>
        <v>5.3</v>
      </c>
      <c r="H5949" s="16">
        <v>0.0</v>
      </c>
      <c r="I5949" s="15">
        <f t="shared" si="3"/>
        <v>0.75</v>
      </c>
      <c r="J5949" s="15">
        <v>30.76</v>
      </c>
      <c r="K5949" s="16">
        <f>IF(COUNTIFS(Release_Calendar!$A$2:$A$755,"US_CPI",Release_Calendar!$B$2:$B$755,$A5949)&gt;0,1,0)</f>
        <v>0</v>
      </c>
      <c r="L5949" s="16">
        <f>IF(COUNTIFS(Release_Calendar!$A$2:$A$755,"US_NFP",Release_Calendar!$B$2:$B$755,$A5949)&gt;0,1,0)</f>
        <v>0</v>
      </c>
      <c r="M5949" s="16">
        <f>IF($A5949&lt;Notes!$B$5,"",IF(COUNTIFS(Release_Calendar!$A$2:$A$755,"NZ_CPI",Release_Calendar!$B$2:$B$755,$A5949)&gt;0,1,0))</f>
        <v>0</v>
      </c>
      <c r="N5949" s="16">
        <f>IF($A5949&lt;Notes!$B$5,"",IF(COUNTIFS(Release_Calendar!$A$2:$A$755,"NZ_GDP",Release_Calendar!$B$2:$B$755,$A5949)&gt;0,1,0))</f>
        <v>0</v>
      </c>
      <c r="O5949" s="16">
        <f>IF($A5949&lt;Notes!$B$5,"",IF(COUNTIFS(Release_Calendar!$A$2:$A$755,"NZ_LABOUR",Release_Calendar!$B$2:$B$755,$A5949)&gt;0,1,0))</f>
        <v>0</v>
      </c>
      <c r="P5949" s="16">
        <f t="shared" si="4"/>
        <v>0</v>
      </c>
    </row>
    <row r="5950" ht="15.75" customHeight="1">
      <c r="A5950" s="14">
        <v>44854.0</v>
      </c>
      <c r="B5950" s="15">
        <v>4.62</v>
      </c>
      <c r="C5950" s="15">
        <v>5.32</v>
      </c>
      <c r="D5950" s="15"/>
      <c r="E5950" s="15">
        <v>4.64</v>
      </c>
      <c r="F5950" s="15">
        <f t="shared" si="1"/>
        <v>0.7</v>
      </c>
      <c r="G5950" s="15">
        <f t="shared" si="2"/>
        <v>5.32</v>
      </c>
      <c r="H5950" s="16">
        <v>0.0</v>
      </c>
      <c r="I5950" s="15">
        <f t="shared" si="3"/>
        <v>0.7</v>
      </c>
      <c r="J5950" s="15">
        <v>29.98</v>
      </c>
      <c r="K5950" s="16">
        <f>IF(COUNTIFS(Release_Calendar!$A$2:$A$755,"US_CPI",Release_Calendar!$B$2:$B$755,$A5950)&gt;0,1,0)</f>
        <v>0</v>
      </c>
      <c r="L5950" s="16">
        <f>IF(COUNTIFS(Release_Calendar!$A$2:$A$755,"US_NFP",Release_Calendar!$B$2:$B$755,$A5950)&gt;0,1,0)</f>
        <v>0</v>
      </c>
      <c r="M5950" s="16">
        <f>IF($A5950&lt;Notes!$B$5,"",IF(COUNTIFS(Release_Calendar!$A$2:$A$755,"NZ_CPI",Release_Calendar!$B$2:$B$755,$A5950)&gt;0,1,0))</f>
        <v>0</v>
      </c>
      <c r="N5950" s="16">
        <f>IF($A5950&lt;Notes!$B$5,"",IF(COUNTIFS(Release_Calendar!$A$2:$A$755,"NZ_GDP",Release_Calendar!$B$2:$B$755,$A5950)&gt;0,1,0))</f>
        <v>0</v>
      </c>
      <c r="O5950" s="16">
        <f>IF($A5950&lt;Notes!$B$5,"",IF(COUNTIFS(Release_Calendar!$A$2:$A$755,"NZ_LABOUR",Release_Calendar!$B$2:$B$755,$A5950)&gt;0,1,0))</f>
        <v>0</v>
      </c>
      <c r="P5950" s="16">
        <f t="shared" si="4"/>
        <v>0</v>
      </c>
    </row>
    <row r="5951" ht="15.75" customHeight="1">
      <c r="A5951" s="14">
        <v>44855.0</v>
      </c>
      <c r="B5951" s="15">
        <v>4.49</v>
      </c>
      <c r="C5951" s="15">
        <v>5.3</v>
      </c>
      <c r="D5951" s="15"/>
      <c r="E5951" s="15">
        <v>4.64</v>
      </c>
      <c r="F5951" s="15">
        <f t="shared" si="1"/>
        <v>0.81</v>
      </c>
      <c r="G5951" s="15">
        <f t="shared" si="2"/>
        <v>5.3</v>
      </c>
      <c r="H5951" s="16">
        <v>0.0</v>
      </c>
      <c r="I5951" s="15">
        <f t="shared" si="3"/>
        <v>0.81</v>
      </c>
      <c r="J5951" s="15">
        <v>29.69</v>
      </c>
      <c r="K5951" s="16">
        <f>IF(COUNTIFS(Release_Calendar!$A$2:$A$755,"US_CPI",Release_Calendar!$B$2:$B$755,$A5951)&gt;0,1,0)</f>
        <v>0</v>
      </c>
      <c r="L5951" s="16">
        <f>IF(COUNTIFS(Release_Calendar!$A$2:$A$755,"US_NFP",Release_Calendar!$B$2:$B$755,$A5951)&gt;0,1,0)</f>
        <v>0</v>
      </c>
      <c r="M5951" s="16">
        <f>IF($A5951&lt;Notes!$B$5,"",IF(COUNTIFS(Release_Calendar!$A$2:$A$755,"NZ_CPI",Release_Calendar!$B$2:$B$755,$A5951)&gt;0,1,0))</f>
        <v>0</v>
      </c>
      <c r="N5951" s="16">
        <f>IF($A5951&lt;Notes!$B$5,"",IF(COUNTIFS(Release_Calendar!$A$2:$A$755,"NZ_GDP",Release_Calendar!$B$2:$B$755,$A5951)&gt;0,1,0))</f>
        <v>0</v>
      </c>
      <c r="O5951" s="16">
        <f>IF($A5951&lt;Notes!$B$5,"",IF(COUNTIFS(Release_Calendar!$A$2:$A$755,"NZ_LABOUR",Release_Calendar!$B$2:$B$755,$A5951)&gt;0,1,0))</f>
        <v>0</v>
      </c>
      <c r="P5951" s="16">
        <f t="shared" si="4"/>
        <v>0</v>
      </c>
    </row>
    <row r="5952" ht="15.75" customHeight="1">
      <c r="A5952" s="14">
        <v>44858.0</v>
      </c>
      <c r="B5952" s="15">
        <v>4.5</v>
      </c>
      <c r="C5952" s="15"/>
      <c r="D5952" s="15"/>
      <c r="E5952" s="15"/>
      <c r="F5952" s="15" t="str">
        <f t="shared" si="1"/>
        <v/>
      </c>
      <c r="G5952" s="15" t="str">
        <f t="shared" si="2"/>
        <v/>
      </c>
      <c r="H5952" s="16">
        <v>0.0</v>
      </c>
      <c r="I5952" s="15" t="str">
        <f t="shared" si="3"/>
        <v/>
      </c>
      <c r="J5952" s="15">
        <v>29.85</v>
      </c>
      <c r="K5952" s="16">
        <f>IF(COUNTIFS(Release_Calendar!$A$2:$A$755,"US_CPI",Release_Calendar!$B$2:$B$755,$A5952)&gt;0,1,0)</f>
        <v>0</v>
      </c>
      <c r="L5952" s="16">
        <f>IF(COUNTIFS(Release_Calendar!$A$2:$A$755,"US_NFP",Release_Calendar!$B$2:$B$755,$A5952)&gt;0,1,0)</f>
        <v>0</v>
      </c>
      <c r="M5952" s="16">
        <f>IF($A5952&lt;Notes!$B$5,"",IF(COUNTIFS(Release_Calendar!$A$2:$A$755,"NZ_CPI",Release_Calendar!$B$2:$B$755,$A5952)&gt;0,1,0))</f>
        <v>0</v>
      </c>
      <c r="N5952" s="16">
        <f>IF($A5952&lt;Notes!$B$5,"",IF(COUNTIFS(Release_Calendar!$A$2:$A$755,"NZ_GDP",Release_Calendar!$B$2:$B$755,$A5952)&gt;0,1,0))</f>
        <v>0</v>
      </c>
      <c r="O5952" s="16">
        <f>IF($A5952&lt;Notes!$B$5,"",IF(COUNTIFS(Release_Calendar!$A$2:$A$755,"NZ_LABOUR",Release_Calendar!$B$2:$B$755,$A5952)&gt;0,1,0))</f>
        <v>0</v>
      </c>
      <c r="P5952" s="16">
        <f t="shared" si="4"/>
        <v>0</v>
      </c>
    </row>
    <row r="5953" ht="15.75" customHeight="1">
      <c r="A5953" s="14">
        <v>44859.0</v>
      </c>
      <c r="B5953" s="15">
        <v>4.42</v>
      </c>
      <c r="C5953" s="15">
        <v>5.18</v>
      </c>
      <c r="D5953" s="15"/>
      <c r="E5953" s="15">
        <v>4.52</v>
      </c>
      <c r="F5953" s="15">
        <f t="shared" si="1"/>
        <v>0.76</v>
      </c>
      <c r="G5953" s="15">
        <f t="shared" si="2"/>
        <v>5.18</v>
      </c>
      <c r="H5953" s="16">
        <v>0.0</v>
      </c>
      <c r="I5953" s="15">
        <f t="shared" si="3"/>
        <v>0.76</v>
      </c>
      <c r="J5953" s="15">
        <v>28.46</v>
      </c>
      <c r="K5953" s="16">
        <f>IF(COUNTIFS(Release_Calendar!$A$2:$A$755,"US_CPI",Release_Calendar!$B$2:$B$755,$A5953)&gt;0,1,0)</f>
        <v>0</v>
      </c>
      <c r="L5953" s="16">
        <f>IF(COUNTIFS(Release_Calendar!$A$2:$A$755,"US_NFP",Release_Calendar!$B$2:$B$755,$A5953)&gt;0,1,0)</f>
        <v>0</v>
      </c>
      <c r="M5953" s="16">
        <f>IF($A5953&lt;Notes!$B$5,"",IF(COUNTIFS(Release_Calendar!$A$2:$A$755,"NZ_CPI",Release_Calendar!$B$2:$B$755,$A5953)&gt;0,1,0))</f>
        <v>0</v>
      </c>
      <c r="N5953" s="16">
        <f>IF($A5953&lt;Notes!$B$5,"",IF(COUNTIFS(Release_Calendar!$A$2:$A$755,"NZ_GDP",Release_Calendar!$B$2:$B$755,$A5953)&gt;0,1,0))</f>
        <v>0</v>
      </c>
      <c r="O5953" s="16">
        <f>IF($A5953&lt;Notes!$B$5,"",IF(COUNTIFS(Release_Calendar!$A$2:$A$755,"NZ_LABOUR",Release_Calendar!$B$2:$B$755,$A5953)&gt;0,1,0))</f>
        <v>0</v>
      </c>
      <c r="P5953" s="16">
        <f t="shared" si="4"/>
        <v>0</v>
      </c>
    </row>
    <row r="5954" ht="15.75" customHeight="1">
      <c r="A5954" s="14">
        <v>44860.0</v>
      </c>
      <c r="B5954" s="15">
        <v>4.39</v>
      </c>
      <c r="C5954" s="15">
        <v>5.16</v>
      </c>
      <c r="D5954" s="15"/>
      <c r="E5954" s="15">
        <v>4.49</v>
      </c>
      <c r="F5954" s="15">
        <f t="shared" si="1"/>
        <v>0.77</v>
      </c>
      <c r="G5954" s="15">
        <f t="shared" si="2"/>
        <v>5.16</v>
      </c>
      <c r="H5954" s="16">
        <v>0.0</v>
      </c>
      <c r="I5954" s="15">
        <f t="shared" si="3"/>
        <v>0.77</v>
      </c>
      <c r="J5954" s="15">
        <v>27.28</v>
      </c>
      <c r="K5954" s="16">
        <f>IF(COUNTIFS(Release_Calendar!$A$2:$A$755,"US_CPI",Release_Calendar!$B$2:$B$755,$A5954)&gt;0,1,0)</f>
        <v>0</v>
      </c>
      <c r="L5954" s="16">
        <f>IF(COUNTIFS(Release_Calendar!$A$2:$A$755,"US_NFP",Release_Calendar!$B$2:$B$755,$A5954)&gt;0,1,0)</f>
        <v>0</v>
      </c>
      <c r="M5954" s="16">
        <f>IF($A5954&lt;Notes!$B$5,"",IF(COUNTIFS(Release_Calendar!$A$2:$A$755,"NZ_CPI",Release_Calendar!$B$2:$B$755,$A5954)&gt;0,1,0))</f>
        <v>0</v>
      </c>
      <c r="N5954" s="16">
        <f>IF($A5954&lt;Notes!$B$5,"",IF(COUNTIFS(Release_Calendar!$A$2:$A$755,"NZ_GDP",Release_Calendar!$B$2:$B$755,$A5954)&gt;0,1,0))</f>
        <v>0</v>
      </c>
      <c r="O5954" s="16">
        <f>IF($A5954&lt;Notes!$B$5,"",IF(COUNTIFS(Release_Calendar!$A$2:$A$755,"NZ_LABOUR",Release_Calendar!$B$2:$B$755,$A5954)&gt;0,1,0))</f>
        <v>0</v>
      </c>
      <c r="P5954" s="16">
        <f t="shared" si="4"/>
        <v>0</v>
      </c>
    </row>
    <row r="5955" ht="15.75" customHeight="1">
      <c r="A5955" s="14">
        <v>44861.0</v>
      </c>
      <c r="B5955" s="15">
        <v>4.3</v>
      </c>
      <c r="C5955" s="15">
        <v>5.06</v>
      </c>
      <c r="D5955" s="15"/>
      <c r="E5955" s="15">
        <v>4.37</v>
      </c>
      <c r="F5955" s="15">
        <f t="shared" si="1"/>
        <v>0.76</v>
      </c>
      <c r="G5955" s="15">
        <f t="shared" si="2"/>
        <v>5.06</v>
      </c>
      <c r="H5955" s="16">
        <v>0.0</v>
      </c>
      <c r="I5955" s="15">
        <f t="shared" si="3"/>
        <v>0.76</v>
      </c>
      <c r="J5955" s="15">
        <v>27.39</v>
      </c>
      <c r="K5955" s="16">
        <f>IF(COUNTIFS(Release_Calendar!$A$2:$A$755,"US_CPI",Release_Calendar!$B$2:$B$755,$A5955)&gt;0,1,0)</f>
        <v>0</v>
      </c>
      <c r="L5955" s="16">
        <f>IF(COUNTIFS(Release_Calendar!$A$2:$A$755,"US_NFP",Release_Calendar!$B$2:$B$755,$A5955)&gt;0,1,0)</f>
        <v>0</v>
      </c>
      <c r="M5955" s="16">
        <f>IF($A5955&lt;Notes!$B$5,"",IF(COUNTIFS(Release_Calendar!$A$2:$A$755,"NZ_CPI",Release_Calendar!$B$2:$B$755,$A5955)&gt;0,1,0))</f>
        <v>0</v>
      </c>
      <c r="N5955" s="16">
        <f>IF($A5955&lt;Notes!$B$5,"",IF(COUNTIFS(Release_Calendar!$A$2:$A$755,"NZ_GDP",Release_Calendar!$B$2:$B$755,$A5955)&gt;0,1,0))</f>
        <v>0</v>
      </c>
      <c r="O5955" s="16">
        <f>IF($A5955&lt;Notes!$B$5,"",IF(COUNTIFS(Release_Calendar!$A$2:$A$755,"NZ_LABOUR",Release_Calendar!$B$2:$B$755,$A5955)&gt;0,1,0))</f>
        <v>0</v>
      </c>
      <c r="P5955" s="16">
        <f t="shared" si="4"/>
        <v>0</v>
      </c>
    </row>
    <row r="5956" ht="15.75" customHeight="1">
      <c r="A5956" s="14">
        <v>44862.0</v>
      </c>
      <c r="B5956" s="15">
        <v>4.41</v>
      </c>
      <c r="C5956" s="15">
        <v>4.98</v>
      </c>
      <c r="D5956" s="15"/>
      <c r="E5956" s="15">
        <v>4.34</v>
      </c>
      <c r="F5956" s="15">
        <f t="shared" si="1"/>
        <v>0.57</v>
      </c>
      <c r="G5956" s="15">
        <f t="shared" si="2"/>
        <v>4.98</v>
      </c>
      <c r="H5956" s="16">
        <v>0.0</v>
      </c>
      <c r="I5956" s="15">
        <f t="shared" si="3"/>
        <v>0.57</v>
      </c>
      <c r="J5956" s="15">
        <v>25.75</v>
      </c>
      <c r="K5956" s="16">
        <f>IF(COUNTIFS(Release_Calendar!$A$2:$A$755,"US_CPI",Release_Calendar!$B$2:$B$755,$A5956)&gt;0,1,0)</f>
        <v>0</v>
      </c>
      <c r="L5956" s="16">
        <f>IF(COUNTIFS(Release_Calendar!$A$2:$A$755,"US_NFP",Release_Calendar!$B$2:$B$755,$A5956)&gt;0,1,0)</f>
        <v>0</v>
      </c>
      <c r="M5956" s="16">
        <f>IF($A5956&lt;Notes!$B$5,"",IF(COUNTIFS(Release_Calendar!$A$2:$A$755,"NZ_CPI",Release_Calendar!$B$2:$B$755,$A5956)&gt;0,1,0))</f>
        <v>0</v>
      </c>
      <c r="N5956" s="16">
        <f>IF($A5956&lt;Notes!$B$5,"",IF(COUNTIFS(Release_Calendar!$A$2:$A$755,"NZ_GDP",Release_Calendar!$B$2:$B$755,$A5956)&gt;0,1,0))</f>
        <v>0</v>
      </c>
      <c r="O5956" s="16">
        <f>IF($A5956&lt;Notes!$B$5,"",IF(COUNTIFS(Release_Calendar!$A$2:$A$755,"NZ_LABOUR",Release_Calendar!$B$2:$B$755,$A5956)&gt;0,1,0))</f>
        <v>0</v>
      </c>
      <c r="P5956" s="16">
        <f t="shared" si="4"/>
        <v>0</v>
      </c>
    </row>
    <row r="5957" ht="15.75" customHeight="1">
      <c r="A5957" s="14">
        <v>44865.0</v>
      </c>
      <c r="B5957" s="15">
        <v>4.51</v>
      </c>
      <c r="C5957" s="15">
        <v>5.01</v>
      </c>
      <c r="D5957" s="15"/>
      <c r="E5957" s="15">
        <v>4.3</v>
      </c>
      <c r="F5957" s="15">
        <f t="shared" si="1"/>
        <v>0.5</v>
      </c>
      <c r="G5957" s="15">
        <f t="shared" si="2"/>
        <v>5.01</v>
      </c>
      <c r="H5957" s="16">
        <v>0.0</v>
      </c>
      <c r="I5957" s="15">
        <f t="shared" si="3"/>
        <v>0.5</v>
      </c>
      <c r="J5957" s="15">
        <v>25.88</v>
      </c>
      <c r="K5957" s="16">
        <f>IF(COUNTIFS(Release_Calendar!$A$2:$A$755,"US_CPI",Release_Calendar!$B$2:$B$755,$A5957)&gt;0,1,0)</f>
        <v>0</v>
      </c>
      <c r="L5957" s="16">
        <f>IF(COUNTIFS(Release_Calendar!$A$2:$A$755,"US_NFP",Release_Calendar!$B$2:$B$755,$A5957)&gt;0,1,0)</f>
        <v>0</v>
      </c>
      <c r="M5957" s="16">
        <f>IF($A5957&lt;Notes!$B$5,"",IF(COUNTIFS(Release_Calendar!$A$2:$A$755,"NZ_CPI",Release_Calendar!$B$2:$B$755,$A5957)&gt;0,1,0))</f>
        <v>0</v>
      </c>
      <c r="N5957" s="16">
        <f>IF($A5957&lt;Notes!$B$5,"",IF(COUNTIFS(Release_Calendar!$A$2:$A$755,"NZ_GDP",Release_Calendar!$B$2:$B$755,$A5957)&gt;0,1,0))</f>
        <v>0</v>
      </c>
      <c r="O5957" s="16">
        <f>IF($A5957&lt;Notes!$B$5,"",IF(COUNTIFS(Release_Calendar!$A$2:$A$755,"NZ_LABOUR",Release_Calendar!$B$2:$B$755,$A5957)&gt;0,1,0))</f>
        <v>0</v>
      </c>
      <c r="P5957" s="16">
        <f t="shared" si="4"/>
        <v>0</v>
      </c>
    </row>
    <row r="5958" ht="15.75" customHeight="1">
      <c r="A5958" s="14">
        <v>44866.0</v>
      </c>
      <c r="B5958" s="15">
        <v>4.54</v>
      </c>
      <c r="C5958" s="15">
        <v>5.13</v>
      </c>
      <c r="D5958" s="15"/>
      <c r="E5958" s="15">
        <v>4.45</v>
      </c>
      <c r="F5958" s="15">
        <f t="shared" si="1"/>
        <v>0.59</v>
      </c>
      <c r="G5958" s="15">
        <f t="shared" si="2"/>
        <v>5.13</v>
      </c>
      <c r="H5958" s="16">
        <v>0.0</v>
      </c>
      <c r="I5958" s="15">
        <f t="shared" si="3"/>
        <v>0.59</v>
      </c>
      <c r="J5958" s="15">
        <v>25.81</v>
      </c>
      <c r="K5958" s="16">
        <f>IF(COUNTIFS(Release_Calendar!$A$2:$A$755,"US_CPI",Release_Calendar!$B$2:$B$755,$A5958)&gt;0,1,0)</f>
        <v>0</v>
      </c>
      <c r="L5958" s="16">
        <f>IF(COUNTIFS(Release_Calendar!$A$2:$A$755,"US_NFP",Release_Calendar!$B$2:$B$755,$A5958)&gt;0,1,0)</f>
        <v>0</v>
      </c>
      <c r="M5958" s="16">
        <f>IF($A5958&lt;Notes!$B$5,"",IF(COUNTIFS(Release_Calendar!$A$2:$A$755,"NZ_CPI",Release_Calendar!$B$2:$B$755,$A5958)&gt;0,1,0))</f>
        <v>0</v>
      </c>
      <c r="N5958" s="16">
        <f>IF($A5958&lt;Notes!$B$5,"",IF(COUNTIFS(Release_Calendar!$A$2:$A$755,"NZ_GDP",Release_Calendar!$B$2:$B$755,$A5958)&gt;0,1,0))</f>
        <v>0</v>
      </c>
      <c r="O5958" s="16">
        <f>IF($A5958&lt;Notes!$B$5,"",IF(COUNTIFS(Release_Calendar!$A$2:$A$755,"NZ_LABOUR",Release_Calendar!$B$2:$B$755,$A5958)&gt;0,1,0))</f>
        <v>0</v>
      </c>
      <c r="P5958" s="16">
        <f t="shared" si="4"/>
        <v>0</v>
      </c>
    </row>
    <row r="5959" ht="15.75" customHeight="1">
      <c r="A5959" s="14">
        <v>44867.0</v>
      </c>
      <c r="B5959" s="15">
        <v>4.61</v>
      </c>
      <c r="C5959" s="15">
        <v>5.14</v>
      </c>
      <c r="D5959" s="15"/>
      <c r="E5959" s="15">
        <v>4.57</v>
      </c>
      <c r="F5959" s="15">
        <f t="shared" si="1"/>
        <v>0.53</v>
      </c>
      <c r="G5959" s="15">
        <f t="shared" si="2"/>
        <v>5.14</v>
      </c>
      <c r="H5959" s="16">
        <v>0.0</v>
      </c>
      <c r="I5959" s="15">
        <f t="shared" si="3"/>
        <v>0.53</v>
      </c>
      <c r="J5959" s="15">
        <v>25.86</v>
      </c>
      <c r="K5959" s="16">
        <f>IF(COUNTIFS(Release_Calendar!$A$2:$A$755,"US_CPI",Release_Calendar!$B$2:$B$755,$A5959)&gt;0,1,0)</f>
        <v>0</v>
      </c>
      <c r="L5959" s="16">
        <f>IF(COUNTIFS(Release_Calendar!$A$2:$A$755,"US_NFP",Release_Calendar!$B$2:$B$755,$A5959)&gt;0,1,0)</f>
        <v>0</v>
      </c>
      <c r="M5959" s="16">
        <f>IF($A5959&lt;Notes!$B$5,"",IF(COUNTIFS(Release_Calendar!$A$2:$A$755,"NZ_CPI",Release_Calendar!$B$2:$B$755,$A5959)&gt;0,1,0))</f>
        <v>0</v>
      </c>
      <c r="N5959" s="16">
        <f>IF($A5959&lt;Notes!$B$5,"",IF(COUNTIFS(Release_Calendar!$A$2:$A$755,"NZ_GDP",Release_Calendar!$B$2:$B$755,$A5959)&gt;0,1,0))</f>
        <v>0</v>
      </c>
      <c r="O5959" s="16">
        <f>IF($A5959&lt;Notes!$B$5,"",IF(COUNTIFS(Release_Calendar!$A$2:$A$755,"NZ_LABOUR",Release_Calendar!$B$2:$B$755,$A5959)&gt;0,1,0))</f>
        <v>1</v>
      </c>
      <c r="P5959" s="16">
        <f t="shared" si="4"/>
        <v>1</v>
      </c>
    </row>
    <row r="5960" ht="15.75" customHeight="1">
      <c r="A5960" s="14">
        <v>44868.0</v>
      </c>
      <c r="B5960" s="15">
        <v>4.71</v>
      </c>
      <c r="C5960" s="15">
        <v>5.2</v>
      </c>
      <c r="D5960" s="15"/>
      <c r="E5960" s="15">
        <v>4.64</v>
      </c>
      <c r="F5960" s="15">
        <f t="shared" si="1"/>
        <v>0.49</v>
      </c>
      <c r="G5960" s="15">
        <f t="shared" si="2"/>
        <v>5.2</v>
      </c>
      <c r="H5960" s="16">
        <v>0.0</v>
      </c>
      <c r="I5960" s="15">
        <f t="shared" si="3"/>
        <v>0.49</v>
      </c>
      <c r="J5960" s="15">
        <v>25.3</v>
      </c>
      <c r="K5960" s="16">
        <f>IF(COUNTIFS(Release_Calendar!$A$2:$A$755,"US_CPI",Release_Calendar!$B$2:$B$755,$A5960)&gt;0,1,0)</f>
        <v>0</v>
      </c>
      <c r="L5960" s="16">
        <f>IF(COUNTIFS(Release_Calendar!$A$2:$A$755,"US_NFP",Release_Calendar!$B$2:$B$755,$A5960)&gt;0,1,0)</f>
        <v>0</v>
      </c>
      <c r="M5960" s="16">
        <f>IF($A5960&lt;Notes!$B$5,"",IF(COUNTIFS(Release_Calendar!$A$2:$A$755,"NZ_CPI",Release_Calendar!$B$2:$B$755,$A5960)&gt;0,1,0))</f>
        <v>0</v>
      </c>
      <c r="N5960" s="16">
        <f>IF($A5960&lt;Notes!$B$5,"",IF(COUNTIFS(Release_Calendar!$A$2:$A$755,"NZ_GDP",Release_Calendar!$B$2:$B$755,$A5960)&gt;0,1,0))</f>
        <v>0</v>
      </c>
      <c r="O5960" s="16">
        <f>IF($A5960&lt;Notes!$B$5,"",IF(COUNTIFS(Release_Calendar!$A$2:$A$755,"NZ_LABOUR",Release_Calendar!$B$2:$B$755,$A5960)&gt;0,1,0))</f>
        <v>0</v>
      </c>
      <c r="P5960" s="16">
        <f t="shared" si="4"/>
        <v>0</v>
      </c>
    </row>
    <row r="5961" ht="15.75" customHeight="1">
      <c r="A5961" s="14">
        <v>44869.0</v>
      </c>
      <c r="B5961" s="15">
        <v>4.66</v>
      </c>
      <c r="C5961" s="15">
        <v>5.16</v>
      </c>
      <c r="D5961" s="15"/>
      <c r="E5961" s="15">
        <v>4.61</v>
      </c>
      <c r="F5961" s="15">
        <f t="shared" si="1"/>
        <v>0.5</v>
      </c>
      <c r="G5961" s="15">
        <f t="shared" si="2"/>
        <v>5.16</v>
      </c>
      <c r="H5961" s="16">
        <v>0.0</v>
      </c>
      <c r="I5961" s="15">
        <f t="shared" si="3"/>
        <v>0.5</v>
      </c>
      <c r="J5961" s="15">
        <v>24.55</v>
      </c>
      <c r="K5961" s="16">
        <f>IF(COUNTIFS(Release_Calendar!$A$2:$A$755,"US_CPI",Release_Calendar!$B$2:$B$755,$A5961)&gt;0,1,0)</f>
        <v>0</v>
      </c>
      <c r="L5961" s="16">
        <f>IF(COUNTIFS(Release_Calendar!$A$2:$A$755,"US_NFP",Release_Calendar!$B$2:$B$755,$A5961)&gt;0,1,0)</f>
        <v>1</v>
      </c>
      <c r="M5961" s="16">
        <f>IF($A5961&lt;Notes!$B$5,"",IF(COUNTIFS(Release_Calendar!$A$2:$A$755,"NZ_CPI",Release_Calendar!$B$2:$B$755,$A5961)&gt;0,1,0))</f>
        <v>0</v>
      </c>
      <c r="N5961" s="16">
        <f>IF($A5961&lt;Notes!$B$5,"",IF(COUNTIFS(Release_Calendar!$A$2:$A$755,"NZ_GDP",Release_Calendar!$B$2:$B$755,$A5961)&gt;0,1,0))</f>
        <v>0</v>
      </c>
      <c r="O5961" s="16">
        <f>IF($A5961&lt;Notes!$B$5,"",IF(COUNTIFS(Release_Calendar!$A$2:$A$755,"NZ_LABOUR",Release_Calendar!$B$2:$B$755,$A5961)&gt;0,1,0))</f>
        <v>0</v>
      </c>
      <c r="P5961" s="16">
        <f t="shared" si="4"/>
        <v>1</v>
      </c>
    </row>
    <row r="5962" ht="15.75" customHeight="1">
      <c r="A5962" s="14">
        <v>44872.0</v>
      </c>
      <c r="B5962" s="15">
        <v>4.72</v>
      </c>
      <c r="C5962" s="15">
        <v>5.2</v>
      </c>
      <c r="D5962" s="15"/>
      <c r="E5962" s="15">
        <v>4.62</v>
      </c>
      <c r="F5962" s="15">
        <f t="shared" si="1"/>
        <v>0.48</v>
      </c>
      <c r="G5962" s="15">
        <f t="shared" si="2"/>
        <v>5.2</v>
      </c>
      <c r="H5962" s="16">
        <v>0.0</v>
      </c>
      <c r="I5962" s="15">
        <f t="shared" si="3"/>
        <v>0.48</v>
      </c>
      <c r="J5962" s="15">
        <v>24.35</v>
      </c>
      <c r="K5962" s="16">
        <f>IF(COUNTIFS(Release_Calendar!$A$2:$A$755,"US_CPI",Release_Calendar!$B$2:$B$755,$A5962)&gt;0,1,0)</f>
        <v>0</v>
      </c>
      <c r="L5962" s="16">
        <f>IF(COUNTIFS(Release_Calendar!$A$2:$A$755,"US_NFP",Release_Calendar!$B$2:$B$755,$A5962)&gt;0,1,0)</f>
        <v>0</v>
      </c>
      <c r="M5962" s="16">
        <f>IF($A5962&lt;Notes!$B$5,"",IF(COUNTIFS(Release_Calendar!$A$2:$A$755,"NZ_CPI",Release_Calendar!$B$2:$B$755,$A5962)&gt;0,1,0))</f>
        <v>0</v>
      </c>
      <c r="N5962" s="16">
        <f>IF($A5962&lt;Notes!$B$5,"",IF(COUNTIFS(Release_Calendar!$A$2:$A$755,"NZ_GDP",Release_Calendar!$B$2:$B$755,$A5962)&gt;0,1,0))</f>
        <v>0</v>
      </c>
      <c r="O5962" s="16">
        <f>IF($A5962&lt;Notes!$B$5,"",IF(COUNTIFS(Release_Calendar!$A$2:$A$755,"NZ_LABOUR",Release_Calendar!$B$2:$B$755,$A5962)&gt;0,1,0))</f>
        <v>0</v>
      </c>
      <c r="P5962" s="16">
        <f t="shared" si="4"/>
        <v>0</v>
      </c>
    </row>
    <row r="5963" ht="15.75" customHeight="1">
      <c r="A5963" s="14">
        <v>44873.0</v>
      </c>
      <c r="B5963" s="15">
        <v>4.67</v>
      </c>
      <c r="C5963" s="15">
        <v>5.33</v>
      </c>
      <c r="D5963" s="15"/>
      <c r="E5963" s="15">
        <v>4.72</v>
      </c>
      <c r="F5963" s="15">
        <f t="shared" si="1"/>
        <v>0.66</v>
      </c>
      <c r="G5963" s="15">
        <f t="shared" si="2"/>
        <v>5.33</v>
      </c>
      <c r="H5963" s="16">
        <v>0.0</v>
      </c>
      <c r="I5963" s="15">
        <f t="shared" si="3"/>
        <v>0.66</v>
      </c>
      <c r="J5963" s="15">
        <v>25.54</v>
      </c>
      <c r="K5963" s="16">
        <f>IF(COUNTIFS(Release_Calendar!$A$2:$A$755,"US_CPI",Release_Calendar!$B$2:$B$755,$A5963)&gt;0,1,0)</f>
        <v>0</v>
      </c>
      <c r="L5963" s="16">
        <f>IF(COUNTIFS(Release_Calendar!$A$2:$A$755,"US_NFP",Release_Calendar!$B$2:$B$755,$A5963)&gt;0,1,0)</f>
        <v>0</v>
      </c>
      <c r="M5963" s="16">
        <f>IF($A5963&lt;Notes!$B$5,"",IF(COUNTIFS(Release_Calendar!$A$2:$A$755,"NZ_CPI",Release_Calendar!$B$2:$B$755,$A5963)&gt;0,1,0))</f>
        <v>0</v>
      </c>
      <c r="N5963" s="16">
        <f>IF($A5963&lt;Notes!$B$5,"",IF(COUNTIFS(Release_Calendar!$A$2:$A$755,"NZ_GDP",Release_Calendar!$B$2:$B$755,$A5963)&gt;0,1,0))</f>
        <v>0</v>
      </c>
      <c r="O5963" s="16">
        <f>IF($A5963&lt;Notes!$B$5,"",IF(COUNTIFS(Release_Calendar!$A$2:$A$755,"NZ_LABOUR",Release_Calendar!$B$2:$B$755,$A5963)&gt;0,1,0))</f>
        <v>0</v>
      </c>
      <c r="P5963" s="16">
        <f t="shared" si="4"/>
        <v>0</v>
      </c>
    </row>
    <row r="5964" ht="15.75" customHeight="1">
      <c r="A5964" s="14">
        <v>44874.0</v>
      </c>
      <c r="B5964" s="15">
        <v>4.61</v>
      </c>
      <c r="C5964" s="15">
        <v>5.27</v>
      </c>
      <c r="D5964" s="15"/>
      <c r="E5964" s="15">
        <v>4.63</v>
      </c>
      <c r="F5964" s="15">
        <f t="shared" si="1"/>
        <v>0.66</v>
      </c>
      <c r="G5964" s="15">
        <f t="shared" si="2"/>
        <v>5.27</v>
      </c>
      <c r="H5964" s="16">
        <v>0.0</v>
      </c>
      <c r="I5964" s="15">
        <f t="shared" si="3"/>
        <v>0.66</v>
      </c>
      <c r="J5964" s="15">
        <v>26.09</v>
      </c>
      <c r="K5964" s="16">
        <f>IF(COUNTIFS(Release_Calendar!$A$2:$A$755,"US_CPI",Release_Calendar!$B$2:$B$755,$A5964)&gt;0,1,0)</f>
        <v>0</v>
      </c>
      <c r="L5964" s="16">
        <f>IF(COUNTIFS(Release_Calendar!$A$2:$A$755,"US_NFP",Release_Calendar!$B$2:$B$755,$A5964)&gt;0,1,0)</f>
        <v>0</v>
      </c>
      <c r="M5964" s="16">
        <f>IF($A5964&lt;Notes!$B$5,"",IF(COUNTIFS(Release_Calendar!$A$2:$A$755,"NZ_CPI",Release_Calendar!$B$2:$B$755,$A5964)&gt;0,1,0))</f>
        <v>0</v>
      </c>
      <c r="N5964" s="16">
        <f>IF($A5964&lt;Notes!$B$5,"",IF(COUNTIFS(Release_Calendar!$A$2:$A$755,"NZ_GDP",Release_Calendar!$B$2:$B$755,$A5964)&gt;0,1,0))</f>
        <v>0</v>
      </c>
      <c r="O5964" s="16">
        <f>IF($A5964&lt;Notes!$B$5,"",IF(COUNTIFS(Release_Calendar!$A$2:$A$755,"NZ_LABOUR",Release_Calendar!$B$2:$B$755,$A5964)&gt;0,1,0))</f>
        <v>0</v>
      </c>
      <c r="P5964" s="16">
        <f t="shared" si="4"/>
        <v>0</v>
      </c>
    </row>
    <row r="5965" ht="15.75" customHeight="1">
      <c r="A5965" s="14">
        <v>44875.0</v>
      </c>
      <c r="B5965" s="15">
        <v>4.34</v>
      </c>
      <c r="C5965" s="15">
        <v>5.15</v>
      </c>
      <c r="D5965" s="15"/>
      <c r="E5965" s="15">
        <v>4.48</v>
      </c>
      <c r="F5965" s="15">
        <f t="shared" si="1"/>
        <v>0.81</v>
      </c>
      <c r="G5965" s="15">
        <f t="shared" si="2"/>
        <v>5.15</v>
      </c>
      <c r="H5965" s="16">
        <v>0.0</v>
      </c>
      <c r="I5965" s="15">
        <f t="shared" si="3"/>
        <v>0.81</v>
      </c>
      <c r="J5965" s="15">
        <v>23.53</v>
      </c>
      <c r="K5965" s="16">
        <f>IF(COUNTIFS(Release_Calendar!$A$2:$A$755,"US_CPI",Release_Calendar!$B$2:$B$755,$A5965)&gt;0,1,0)</f>
        <v>1</v>
      </c>
      <c r="L5965" s="16">
        <f>IF(COUNTIFS(Release_Calendar!$A$2:$A$755,"US_NFP",Release_Calendar!$B$2:$B$755,$A5965)&gt;0,1,0)</f>
        <v>0</v>
      </c>
      <c r="M5965" s="16">
        <f>IF($A5965&lt;Notes!$B$5,"",IF(COUNTIFS(Release_Calendar!$A$2:$A$755,"NZ_CPI",Release_Calendar!$B$2:$B$755,$A5965)&gt;0,1,0))</f>
        <v>0</v>
      </c>
      <c r="N5965" s="16">
        <f>IF($A5965&lt;Notes!$B$5,"",IF(COUNTIFS(Release_Calendar!$A$2:$A$755,"NZ_GDP",Release_Calendar!$B$2:$B$755,$A5965)&gt;0,1,0))</f>
        <v>0</v>
      </c>
      <c r="O5965" s="16">
        <f>IF($A5965&lt;Notes!$B$5,"",IF(COUNTIFS(Release_Calendar!$A$2:$A$755,"NZ_LABOUR",Release_Calendar!$B$2:$B$755,$A5965)&gt;0,1,0))</f>
        <v>0</v>
      </c>
      <c r="P5965" s="16">
        <f t="shared" si="4"/>
        <v>1</v>
      </c>
    </row>
    <row r="5966" ht="15.75" customHeight="1">
      <c r="A5966" s="14">
        <v>44876.0</v>
      </c>
      <c r="B5966" s="15"/>
      <c r="C5966" s="15">
        <v>4.94</v>
      </c>
      <c r="D5966" s="15"/>
      <c r="E5966" s="15">
        <v>4.28</v>
      </c>
      <c r="F5966" s="15" t="str">
        <f t="shared" si="1"/>
        <v/>
      </c>
      <c r="G5966" s="15">
        <f t="shared" si="2"/>
        <v>4.94</v>
      </c>
      <c r="H5966" s="16">
        <v>0.0</v>
      </c>
      <c r="I5966" s="15" t="str">
        <f t="shared" si="3"/>
        <v/>
      </c>
      <c r="J5966" s="15">
        <v>22.52</v>
      </c>
      <c r="K5966" s="16">
        <f>IF(COUNTIFS(Release_Calendar!$A$2:$A$755,"US_CPI",Release_Calendar!$B$2:$B$755,$A5966)&gt;0,1,0)</f>
        <v>0</v>
      </c>
      <c r="L5966" s="16">
        <f>IF(COUNTIFS(Release_Calendar!$A$2:$A$755,"US_NFP",Release_Calendar!$B$2:$B$755,$A5966)&gt;0,1,0)</f>
        <v>0</v>
      </c>
      <c r="M5966" s="16">
        <f>IF($A5966&lt;Notes!$B$5,"",IF(COUNTIFS(Release_Calendar!$A$2:$A$755,"NZ_CPI",Release_Calendar!$B$2:$B$755,$A5966)&gt;0,1,0))</f>
        <v>0</v>
      </c>
      <c r="N5966" s="16">
        <f>IF($A5966&lt;Notes!$B$5,"",IF(COUNTIFS(Release_Calendar!$A$2:$A$755,"NZ_GDP",Release_Calendar!$B$2:$B$755,$A5966)&gt;0,1,0))</f>
        <v>0</v>
      </c>
      <c r="O5966" s="16">
        <f>IF($A5966&lt;Notes!$B$5,"",IF(COUNTIFS(Release_Calendar!$A$2:$A$755,"NZ_LABOUR",Release_Calendar!$B$2:$B$755,$A5966)&gt;0,1,0))</f>
        <v>0</v>
      </c>
      <c r="P5966" s="16">
        <f t="shared" si="4"/>
        <v>0</v>
      </c>
    </row>
    <row r="5967" ht="15.75" customHeight="1">
      <c r="A5967" s="14">
        <v>44879.0</v>
      </c>
      <c r="B5967" s="15">
        <v>4.4</v>
      </c>
      <c r="C5967" s="15">
        <v>4.95</v>
      </c>
      <c r="D5967" s="15"/>
      <c r="E5967" s="15">
        <v>4.32</v>
      </c>
      <c r="F5967" s="15">
        <f t="shared" si="1"/>
        <v>0.55</v>
      </c>
      <c r="G5967" s="15">
        <f t="shared" si="2"/>
        <v>4.95</v>
      </c>
      <c r="H5967" s="16">
        <v>0.0</v>
      </c>
      <c r="I5967" s="15">
        <f t="shared" si="3"/>
        <v>0.55</v>
      </c>
      <c r="J5967" s="15">
        <v>23.73</v>
      </c>
      <c r="K5967" s="16">
        <f>IF(COUNTIFS(Release_Calendar!$A$2:$A$755,"US_CPI",Release_Calendar!$B$2:$B$755,$A5967)&gt;0,1,0)</f>
        <v>0</v>
      </c>
      <c r="L5967" s="16">
        <f>IF(COUNTIFS(Release_Calendar!$A$2:$A$755,"US_NFP",Release_Calendar!$B$2:$B$755,$A5967)&gt;0,1,0)</f>
        <v>0</v>
      </c>
      <c r="M5967" s="16">
        <f>IF($A5967&lt;Notes!$B$5,"",IF(COUNTIFS(Release_Calendar!$A$2:$A$755,"NZ_CPI",Release_Calendar!$B$2:$B$755,$A5967)&gt;0,1,0))</f>
        <v>0</v>
      </c>
      <c r="N5967" s="16">
        <f>IF($A5967&lt;Notes!$B$5,"",IF(COUNTIFS(Release_Calendar!$A$2:$A$755,"NZ_GDP",Release_Calendar!$B$2:$B$755,$A5967)&gt;0,1,0))</f>
        <v>0</v>
      </c>
      <c r="O5967" s="16">
        <f>IF($A5967&lt;Notes!$B$5,"",IF(COUNTIFS(Release_Calendar!$A$2:$A$755,"NZ_LABOUR",Release_Calendar!$B$2:$B$755,$A5967)&gt;0,1,0))</f>
        <v>0</v>
      </c>
      <c r="P5967" s="16">
        <f t="shared" si="4"/>
        <v>0</v>
      </c>
    </row>
    <row r="5968" ht="15.75" customHeight="1">
      <c r="A5968" s="14">
        <v>44880.0</v>
      </c>
      <c r="B5968" s="15">
        <v>4.37</v>
      </c>
      <c r="C5968" s="15">
        <v>4.95</v>
      </c>
      <c r="D5968" s="15"/>
      <c r="E5968" s="15">
        <v>4.3</v>
      </c>
      <c r="F5968" s="15">
        <f t="shared" si="1"/>
        <v>0.58</v>
      </c>
      <c r="G5968" s="15">
        <f t="shared" si="2"/>
        <v>4.95</v>
      </c>
      <c r="H5968" s="16">
        <v>0.0</v>
      </c>
      <c r="I5968" s="15">
        <f t="shared" si="3"/>
        <v>0.58</v>
      </c>
      <c r="J5968" s="15">
        <v>24.54</v>
      </c>
      <c r="K5968" s="16">
        <f>IF(COUNTIFS(Release_Calendar!$A$2:$A$755,"US_CPI",Release_Calendar!$B$2:$B$755,$A5968)&gt;0,1,0)</f>
        <v>0</v>
      </c>
      <c r="L5968" s="16">
        <f>IF(COUNTIFS(Release_Calendar!$A$2:$A$755,"US_NFP",Release_Calendar!$B$2:$B$755,$A5968)&gt;0,1,0)</f>
        <v>0</v>
      </c>
      <c r="M5968" s="16">
        <f>IF($A5968&lt;Notes!$B$5,"",IF(COUNTIFS(Release_Calendar!$A$2:$A$755,"NZ_CPI",Release_Calendar!$B$2:$B$755,$A5968)&gt;0,1,0))</f>
        <v>0</v>
      </c>
      <c r="N5968" s="16">
        <f>IF($A5968&lt;Notes!$B$5,"",IF(COUNTIFS(Release_Calendar!$A$2:$A$755,"NZ_GDP",Release_Calendar!$B$2:$B$755,$A5968)&gt;0,1,0))</f>
        <v>0</v>
      </c>
      <c r="O5968" s="16">
        <f>IF($A5968&lt;Notes!$B$5,"",IF(COUNTIFS(Release_Calendar!$A$2:$A$755,"NZ_LABOUR",Release_Calendar!$B$2:$B$755,$A5968)&gt;0,1,0))</f>
        <v>0</v>
      </c>
      <c r="P5968" s="16">
        <f t="shared" si="4"/>
        <v>0</v>
      </c>
    </row>
    <row r="5969" ht="15.75" customHeight="1">
      <c r="A5969" s="14">
        <v>44881.0</v>
      </c>
      <c r="B5969" s="15">
        <v>4.35</v>
      </c>
      <c r="C5969" s="15">
        <v>4.92</v>
      </c>
      <c r="D5969" s="15"/>
      <c r="E5969" s="15">
        <v>4.28</v>
      </c>
      <c r="F5969" s="15">
        <f t="shared" si="1"/>
        <v>0.57</v>
      </c>
      <c r="G5969" s="15">
        <f t="shared" si="2"/>
        <v>4.92</v>
      </c>
      <c r="H5969" s="16">
        <v>0.0</v>
      </c>
      <c r="I5969" s="15">
        <f t="shared" si="3"/>
        <v>0.57</v>
      </c>
      <c r="J5969" s="15">
        <v>24.11</v>
      </c>
      <c r="K5969" s="16">
        <f>IF(COUNTIFS(Release_Calendar!$A$2:$A$755,"US_CPI",Release_Calendar!$B$2:$B$755,$A5969)&gt;0,1,0)</f>
        <v>0</v>
      </c>
      <c r="L5969" s="16">
        <f>IF(COUNTIFS(Release_Calendar!$A$2:$A$755,"US_NFP",Release_Calendar!$B$2:$B$755,$A5969)&gt;0,1,0)</f>
        <v>0</v>
      </c>
      <c r="M5969" s="16">
        <f>IF($A5969&lt;Notes!$B$5,"",IF(COUNTIFS(Release_Calendar!$A$2:$A$755,"NZ_CPI",Release_Calendar!$B$2:$B$755,$A5969)&gt;0,1,0))</f>
        <v>0</v>
      </c>
      <c r="N5969" s="16">
        <f>IF($A5969&lt;Notes!$B$5,"",IF(COUNTIFS(Release_Calendar!$A$2:$A$755,"NZ_GDP",Release_Calendar!$B$2:$B$755,$A5969)&gt;0,1,0))</f>
        <v>0</v>
      </c>
      <c r="O5969" s="16">
        <f>IF($A5969&lt;Notes!$B$5,"",IF(COUNTIFS(Release_Calendar!$A$2:$A$755,"NZ_LABOUR",Release_Calendar!$B$2:$B$755,$A5969)&gt;0,1,0))</f>
        <v>0</v>
      </c>
      <c r="P5969" s="16">
        <f t="shared" si="4"/>
        <v>0</v>
      </c>
    </row>
    <row r="5970" ht="15.75" customHeight="1">
      <c r="A5970" s="14">
        <v>44882.0</v>
      </c>
      <c r="B5970" s="15">
        <v>4.43</v>
      </c>
      <c r="C5970" s="15">
        <v>4.88</v>
      </c>
      <c r="D5970" s="15"/>
      <c r="E5970" s="15">
        <v>4.25</v>
      </c>
      <c r="F5970" s="15">
        <f t="shared" si="1"/>
        <v>0.45</v>
      </c>
      <c r="G5970" s="15">
        <f t="shared" si="2"/>
        <v>4.88</v>
      </c>
      <c r="H5970" s="16">
        <v>0.0</v>
      </c>
      <c r="I5970" s="15">
        <f t="shared" si="3"/>
        <v>0.45</v>
      </c>
      <c r="J5970" s="15">
        <v>23.93</v>
      </c>
      <c r="K5970" s="16">
        <f>IF(COUNTIFS(Release_Calendar!$A$2:$A$755,"US_CPI",Release_Calendar!$B$2:$B$755,$A5970)&gt;0,1,0)</f>
        <v>0</v>
      </c>
      <c r="L5970" s="16">
        <f>IF(COUNTIFS(Release_Calendar!$A$2:$A$755,"US_NFP",Release_Calendar!$B$2:$B$755,$A5970)&gt;0,1,0)</f>
        <v>0</v>
      </c>
      <c r="M5970" s="16">
        <f>IF($A5970&lt;Notes!$B$5,"",IF(COUNTIFS(Release_Calendar!$A$2:$A$755,"NZ_CPI",Release_Calendar!$B$2:$B$755,$A5970)&gt;0,1,0))</f>
        <v>0</v>
      </c>
      <c r="N5970" s="16">
        <f>IF($A5970&lt;Notes!$B$5,"",IF(COUNTIFS(Release_Calendar!$A$2:$A$755,"NZ_GDP",Release_Calendar!$B$2:$B$755,$A5970)&gt;0,1,0))</f>
        <v>0</v>
      </c>
      <c r="O5970" s="16">
        <f>IF($A5970&lt;Notes!$B$5,"",IF(COUNTIFS(Release_Calendar!$A$2:$A$755,"NZ_LABOUR",Release_Calendar!$B$2:$B$755,$A5970)&gt;0,1,0))</f>
        <v>0</v>
      </c>
      <c r="P5970" s="16">
        <f t="shared" si="4"/>
        <v>0</v>
      </c>
    </row>
    <row r="5971" ht="15.75" customHeight="1">
      <c r="A5971" s="14">
        <v>44883.0</v>
      </c>
      <c r="B5971" s="15">
        <v>4.51</v>
      </c>
      <c r="C5971" s="15">
        <v>4.96</v>
      </c>
      <c r="D5971" s="15"/>
      <c r="E5971" s="15">
        <v>4.29</v>
      </c>
      <c r="F5971" s="15">
        <f t="shared" si="1"/>
        <v>0.45</v>
      </c>
      <c r="G5971" s="15">
        <f t="shared" si="2"/>
        <v>4.96</v>
      </c>
      <c r="H5971" s="16">
        <v>0.0</v>
      </c>
      <c r="I5971" s="15">
        <f t="shared" si="3"/>
        <v>0.45</v>
      </c>
      <c r="J5971" s="15">
        <v>23.12</v>
      </c>
      <c r="K5971" s="16">
        <f>IF(COUNTIFS(Release_Calendar!$A$2:$A$755,"US_CPI",Release_Calendar!$B$2:$B$755,$A5971)&gt;0,1,0)</f>
        <v>0</v>
      </c>
      <c r="L5971" s="16">
        <f>IF(COUNTIFS(Release_Calendar!$A$2:$A$755,"US_NFP",Release_Calendar!$B$2:$B$755,$A5971)&gt;0,1,0)</f>
        <v>0</v>
      </c>
      <c r="M5971" s="16">
        <f>IF($A5971&lt;Notes!$B$5,"",IF(COUNTIFS(Release_Calendar!$A$2:$A$755,"NZ_CPI",Release_Calendar!$B$2:$B$755,$A5971)&gt;0,1,0))</f>
        <v>0</v>
      </c>
      <c r="N5971" s="16">
        <f>IF($A5971&lt;Notes!$B$5,"",IF(COUNTIFS(Release_Calendar!$A$2:$A$755,"NZ_GDP",Release_Calendar!$B$2:$B$755,$A5971)&gt;0,1,0))</f>
        <v>0</v>
      </c>
      <c r="O5971" s="16">
        <f>IF($A5971&lt;Notes!$B$5,"",IF(COUNTIFS(Release_Calendar!$A$2:$A$755,"NZ_LABOUR",Release_Calendar!$B$2:$B$755,$A5971)&gt;0,1,0))</f>
        <v>0</v>
      </c>
      <c r="P5971" s="16">
        <f t="shared" si="4"/>
        <v>0</v>
      </c>
    </row>
    <row r="5972" ht="15.75" customHeight="1">
      <c r="A5972" s="14">
        <v>44886.0</v>
      </c>
      <c r="B5972" s="15">
        <v>4.48</v>
      </c>
      <c r="C5972" s="15">
        <v>5.01</v>
      </c>
      <c r="D5972" s="15"/>
      <c r="E5972" s="15">
        <v>4.33</v>
      </c>
      <c r="F5972" s="15">
        <f t="shared" si="1"/>
        <v>0.53</v>
      </c>
      <c r="G5972" s="15">
        <f t="shared" si="2"/>
        <v>5.01</v>
      </c>
      <c r="H5972" s="16">
        <v>0.0</v>
      </c>
      <c r="I5972" s="15">
        <f t="shared" si="3"/>
        <v>0.53</v>
      </c>
      <c r="J5972" s="15">
        <v>22.36</v>
      </c>
      <c r="K5972" s="16">
        <f>IF(COUNTIFS(Release_Calendar!$A$2:$A$755,"US_CPI",Release_Calendar!$B$2:$B$755,$A5972)&gt;0,1,0)</f>
        <v>0</v>
      </c>
      <c r="L5972" s="16">
        <f>IF(COUNTIFS(Release_Calendar!$A$2:$A$755,"US_NFP",Release_Calendar!$B$2:$B$755,$A5972)&gt;0,1,0)</f>
        <v>0</v>
      </c>
      <c r="M5972" s="16">
        <f>IF($A5972&lt;Notes!$B$5,"",IF(COUNTIFS(Release_Calendar!$A$2:$A$755,"NZ_CPI",Release_Calendar!$B$2:$B$755,$A5972)&gt;0,1,0))</f>
        <v>0</v>
      </c>
      <c r="N5972" s="16">
        <f>IF($A5972&lt;Notes!$B$5,"",IF(COUNTIFS(Release_Calendar!$A$2:$A$755,"NZ_GDP",Release_Calendar!$B$2:$B$755,$A5972)&gt;0,1,0))</f>
        <v>0</v>
      </c>
      <c r="O5972" s="16">
        <f>IF($A5972&lt;Notes!$B$5,"",IF(COUNTIFS(Release_Calendar!$A$2:$A$755,"NZ_LABOUR",Release_Calendar!$B$2:$B$755,$A5972)&gt;0,1,0))</f>
        <v>0</v>
      </c>
      <c r="P5972" s="16">
        <f t="shared" si="4"/>
        <v>0</v>
      </c>
    </row>
    <row r="5973" ht="15.75" customHeight="1">
      <c r="A5973" s="14">
        <v>44887.0</v>
      </c>
      <c r="B5973" s="15">
        <v>4.47</v>
      </c>
      <c r="C5973" s="15">
        <v>5.06</v>
      </c>
      <c r="D5973" s="15"/>
      <c r="E5973" s="15">
        <v>4.38</v>
      </c>
      <c r="F5973" s="15">
        <f t="shared" si="1"/>
        <v>0.59</v>
      </c>
      <c r="G5973" s="15">
        <f t="shared" si="2"/>
        <v>5.06</v>
      </c>
      <c r="H5973" s="16">
        <v>0.0</v>
      </c>
      <c r="I5973" s="15">
        <f t="shared" si="3"/>
        <v>0.59</v>
      </c>
      <c r="J5973" s="15">
        <v>21.29</v>
      </c>
      <c r="K5973" s="16">
        <f>IF(COUNTIFS(Release_Calendar!$A$2:$A$755,"US_CPI",Release_Calendar!$B$2:$B$755,$A5973)&gt;0,1,0)</f>
        <v>0</v>
      </c>
      <c r="L5973" s="16">
        <f>IF(COUNTIFS(Release_Calendar!$A$2:$A$755,"US_NFP",Release_Calendar!$B$2:$B$755,$A5973)&gt;0,1,0)</f>
        <v>0</v>
      </c>
      <c r="M5973" s="16">
        <f>IF($A5973&lt;Notes!$B$5,"",IF(COUNTIFS(Release_Calendar!$A$2:$A$755,"NZ_CPI",Release_Calendar!$B$2:$B$755,$A5973)&gt;0,1,0))</f>
        <v>0</v>
      </c>
      <c r="N5973" s="16">
        <f>IF($A5973&lt;Notes!$B$5,"",IF(COUNTIFS(Release_Calendar!$A$2:$A$755,"NZ_GDP",Release_Calendar!$B$2:$B$755,$A5973)&gt;0,1,0))</f>
        <v>0</v>
      </c>
      <c r="O5973" s="16">
        <f>IF($A5973&lt;Notes!$B$5,"",IF(COUNTIFS(Release_Calendar!$A$2:$A$755,"NZ_LABOUR",Release_Calendar!$B$2:$B$755,$A5973)&gt;0,1,0))</f>
        <v>0</v>
      </c>
      <c r="P5973" s="16">
        <f t="shared" si="4"/>
        <v>0</v>
      </c>
    </row>
    <row r="5974" ht="15.75" customHeight="1">
      <c r="A5974" s="14">
        <v>44888.0</v>
      </c>
      <c r="B5974" s="15">
        <v>4.46</v>
      </c>
      <c r="C5974" s="15">
        <v>5.28</v>
      </c>
      <c r="D5974" s="15"/>
      <c r="E5974" s="15">
        <v>4.6</v>
      </c>
      <c r="F5974" s="15">
        <f t="shared" si="1"/>
        <v>0.82</v>
      </c>
      <c r="G5974" s="15">
        <f t="shared" si="2"/>
        <v>5.28</v>
      </c>
      <c r="H5974" s="16">
        <v>0.0</v>
      </c>
      <c r="I5974" s="15">
        <f t="shared" si="3"/>
        <v>0.82</v>
      </c>
      <c r="J5974" s="15">
        <v>20.35</v>
      </c>
      <c r="K5974" s="16">
        <f>IF(COUNTIFS(Release_Calendar!$A$2:$A$755,"US_CPI",Release_Calendar!$B$2:$B$755,$A5974)&gt;0,1,0)</f>
        <v>0</v>
      </c>
      <c r="L5974" s="16">
        <f>IF(COUNTIFS(Release_Calendar!$A$2:$A$755,"US_NFP",Release_Calendar!$B$2:$B$755,$A5974)&gt;0,1,0)</f>
        <v>0</v>
      </c>
      <c r="M5974" s="16">
        <f>IF($A5974&lt;Notes!$B$5,"",IF(COUNTIFS(Release_Calendar!$A$2:$A$755,"NZ_CPI",Release_Calendar!$B$2:$B$755,$A5974)&gt;0,1,0))</f>
        <v>0</v>
      </c>
      <c r="N5974" s="16">
        <f>IF($A5974&lt;Notes!$B$5,"",IF(COUNTIFS(Release_Calendar!$A$2:$A$755,"NZ_GDP",Release_Calendar!$B$2:$B$755,$A5974)&gt;0,1,0))</f>
        <v>0</v>
      </c>
      <c r="O5974" s="16">
        <f>IF($A5974&lt;Notes!$B$5,"",IF(COUNTIFS(Release_Calendar!$A$2:$A$755,"NZ_LABOUR",Release_Calendar!$B$2:$B$755,$A5974)&gt;0,1,0))</f>
        <v>0</v>
      </c>
      <c r="P5974" s="16">
        <f t="shared" si="4"/>
        <v>0</v>
      </c>
    </row>
    <row r="5975" ht="15.75" customHeight="1">
      <c r="A5975" s="14">
        <v>44889.0</v>
      </c>
      <c r="B5975" s="15"/>
      <c r="C5975" s="15">
        <v>5.24</v>
      </c>
      <c r="D5975" s="15"/>
      <c r="E5975" s="15">
        <v>4.6</v>
      </c>
      <c r="F5975" s="15" t="str">
        <f t="shared" si="1"/>
        <v/>
      </c>
      <c r="G5975" s="15">
        <f t="shared" si="2"/>
        <v>5.24</v>
      </c>
      <c r="H5975" s="16">
        <v>0.0</v>
      </c>
      <c r="I5975" s="15" t="str">
        <f t="shared" si="3"/>
        <v/>
      </c>
      <c r="J5975" s="15">
        <v>20.42</v>
      </c>
      <c r="K5975" s="16">
        <f>IF(COUNTIFS(Release_Calendar!$A$2:$A$755,"US_CPI",Release_Calendar!$B$2:$B$755,$A5975)&gt;0,1,0)</f>
        <v>0</v>
      </c>
      <c r="L5975" s="16">
        <f>IF(COUNTIFS(Release_Calendar!$A$2:$A$755,"US_NFP",Release_Calendar!$B$2:$B$755,$A5975)&gt;0,1,0)</f>
        <v>0</v>
      </c>
      <c r="M5975" s="16">
        <f>IF($A5975&lt;Notes!$B$5,"",IF(COUNTIFS(Release_Calendar!$A$2:$A$755,"NZ_CPI",Release_Calendar!$B$2:$B$755,$A5975)&gt;0,1,0))</f>
        <v>0</v>
      </c>
      <c r="N5975" s="16">
        <f>IF($A5975&lt;Notes!$B$5,"",IF(COUNTIFS(Release_Calendar!$A$2:$A$755,"NZ_GDP",Release_Calendar!$B$2:$B$755,$A5975)&gt;0,1,0))</f>
        <v>0</v>
      </c>
      <c r="O5975" s="16">
        <f>IF($A5975&lt;Notes!$B$5,"",IF(COUNTIFS(Release_Calendar!$A$2:$A$755,"NZ_LABOUR",Release_Calendar!$B$2:$B$755,$A5975)&gt;0,1,0))</f>
        <v>0</v>
      </c>
      <c r="P5975" s="16">
        <f t="shared" si="4"/>
        <v>0</v>
      </c>
    </row>
    <row r="5976" ht="15.75" customHeight="1">
      <c r="A5976" s="14">
        <v>44890.0</v>
      </c>
      <c r="B5976" s="15">
        <v>4.42</v>
      </c>
      <c r="C5976" s="15">
        <v>5.23</v>
      </c>
      <c r="D5976" s="15"/>
      <c r="E5976" s="15">
        <v>4.66</v>
      </c>
      <c r="F5976" s="15">
        <f t="shared" si="1"/>
        <v>0.81</v>
      </c>
      <c r="G5976" s="15">
        <f t="shared" si="2"/>
        <v>5.23</v>
      </c>
      <c r="H5976" s="16">
        <v>0.0</v>
      </c>
      <c r="I5976" s="15">
        <f t="shared" si="3"/>
        <v>0.81</v>
      </c>
      <c r="J5976" s="15">
        <v>20.5</v>
      </c>
      <c r="K5976" s="16">
        <f>IF(COUNTIFS(Release_Calendar!$A$2:$A$755,"US_CPI",Release_Calendar!$B$2:$B$755,$A5976)&gt;0,1,0)</f>
        <v>0</v>
      </c>
      <c r="L5976" s="16">
        <f>IF(COUNTIFS(Release_Calendar!$A$2:$A$755,"US_NFP",Release_Calendar!$B$2:$B$755,$A5976)&gt;0,1,0)</f>
        <v>0</v>
      </c>
      <c r="M5976" s="16">
        <f>IF($A5976&lt;Notes!$B$5,"",IF(COUNTIFS(Release_Calendar!$A$2:$A$755,"NZ_CPI",Release_Calendar!$B$2:$B$755,$A5976)&gt;0,1,0))</f>
        <v>0</v>
      </c>
      <c r="N5976" s="16">
        <f>IF($A5976&lt;Notes!$B$5,"",IF(COUNTIFS(Release_Calendar!$A$2:$A$755,"NZ_GDP",Release_Calendar!$B$2:$B$755,$A5976)&gt;0,1,0))</f>
        <v>0</v>
      </c>
      <c r="O5976" s="16">
        <f>IF($A5976&lt;Notes!$B$5,"",IF(COUNTIFS(Release_Calendar!$A$2:$A$755,"NZ_LABOUR",Release_Calendar!$B$2:$B$755,$A5976)&gt;0,1,0))</f>
        <v>0</v>
      </c>
      <c r="P5976" s="16">
        <f t="shared" si="4"/>
        <v>0</v>
      </c>
    </row>
    <row r="5977" ht="15.75" customHeight="1">
      <c r="A5977" s="14">
        <v>44893.0</v>
      </c>
      <c r="B5977" s="15">
        <v>4.46</v>
      </c>
      <c r="C5977" s="15">
        <v>5.17</v>
      </c>
      <c r="D5977" s="15"/>
      <c r="E5977" s="15">
        <v>4.6</v>
      </c>
      <c r="F5977" s="15">
        <f t="shared" si="1"/>
        <v>0.71</v>
      </c>
      <c r="G5977" s="15">
        <f t="shared" si="2"/>
        <v>5.17</v>
      </c>
      <c r="H5977" s="16">
        <v>0.0</v>
      </c>
      <c r="I5977" s="15">
        <f t="shared" si="3"/>
        <v>0.71</v>
      </c>
      <c r="J5977" s="15">
        <v>22.21</v>
      </c>
      <c r="K5977" s="16">
        <f>IF(COUNTIFS(Release_Calendar!$A$2:$A$755,"US_CPI",Release_Calendar!$B$2:$B$755,$A5977)&gt;0,1,0)</f>
        <v>0</v>
      </c>
      <c r="L5977" s="16">
        <f>IF(COUNTIFS(Release_Calendar!$A$2:$A$755,"US_NFP",Release_Calendar!$B$2:$B$755,$A5977)&gt;0,1,0)</f>
        <v>0</v>
      </c>
      <c r="M5977" s="16">
        <f>IF($A5977&lt;Notes!$B$5,"",IF(COUNTIFS(Release_Calendar!$A$2:$A$755,"NZ_CPI",Release_Calendar!$B$2:$B$755,$A5977)&gt;0,1,0))</f>
        <v>0</v>
      </c>
      <c r="N5977" s="16">
        <f>IF($A5977&lt;Notes!$B$5,"",IF(COUNTIFS(Release_Calendar!$A$2:$A$755,"NZ_GDP",Release_Calendar!$B$2:$B$755,$A5977)&gt;0,1,0))</f>
        <v>0</v>
      </c>
      <c r="O5977" s="16">
        <f>IF($A5977&lt;Notes!$B$5,"",IF(COUNTIFS(Release_Calendar!$A$2:$A$755,"NZ_LABOUR",Release_Calendar!$B$2:$B$755,$A5977)&gt;0,1,0))</f>
        <v>0</v>
      </c>
      <c r="P5977" s="16">
        <f t="shared" si="4"/>
        <v>0</v>
      </c>
    </row>
    <row r="5978" ht="15.75" customHeight="1">
      <c r="A5978" s="14">
        <v>44894.0</v>
      </c>
      <c r="B5978" s="15">
        <v>4.48</v>
      </c>
      <c r="C5978" s="15">
        <v>5.19</v>
      </c>
      <c r="D5978" s="15"/>
      <c r="E5978" s="15">
        <v>4.64</v>
      </c>
      <c r="F5978" s="15">
        <f t="shared" si="1"/>
        <v>0.71</v>
      </c>
      <c r="G5978" s="15">
        <f t="shared" si="2"/>
        <v>5.19</v>
      </c>
      <c r="H5978" s="16">
        <v>0.0</v>
      </c>
      <c r="I5978" s="15">
        <f t="shared" si="3"/>
        <v>0.71</v>
      </c>
      <c r="J5978" s="15">
        <v>21.89</v>
      </c>
      <c r="K5978" s="16">
        <f>IF(COUNTIFS(Release_Calendar!$A$2:$A$755,"US_CPI",Release_Calendar!$B$2:$B$755,$A5978)&gt;0,1,0)</f>
        <v>0</v>
      </c>
      <c r="L5978" s="16">
        <f>IF(COUNTIFS(Release_Calendar!$A$2:$A$755,"US_NFP",Release_Calendar!$B$2:$B$755,$A5978)&gt;0,1,0)</f>
        <v>0</v>
      </c>
      <c r="M5978" s="16">
        <f>IF($A5978&lt;Notes!$B$5,"",IF(COUNTIFS(Release_Calendar!$A$2:$A$755,"NZ_CPI",Release_Calendar!$B$2:$B$755,$A5978)&gt;0,1,0))</f>
        <v>0</v>
      </c>
      <c r="N5978" s="16">
        <f>IF($A5978&lt;Notes!$B$5,"",IF(COUNTIFS(Release_Calendar!$A$2:$A$755,"NZ_GDP",Release_Calendar!$B$2:$B$755,$A5978)&gt;0,1,0))</f>
        <v>0</v>
      </c>
      <c r="O5978" s="16">
        <f>IF($A5978&lt;Notes!$B$5,"",IF(COUNTIFS(Release_Calendar!$A$2:$A$755,"NZ_LABOUR",Release_Calendar!$B$2:$B$755,$A5978)&gt;0,1,0))</f>
        <v>0</v>
      </c>
      <c r="P5978" s="16">
        <f t="shared" si="4"/>
        <v>0</v>
      </c>
    </row>
    <row r="5979" ht="15.75" customHeight="1">
      <c r="A5979" s="14">
        <v>44895.0</v>
      </c>
      <c r="B5979" s="15">
        <v>4.38</v>
      </c>
      <c r="C5979" s="15">
        <v>5.14</v>
      </c>
      <c r="D5979" s="15"/>
      <c r="E5979" s="15">
        <v>4.61</v>
      </c>
      <c r="F5979" s="15">
        <f t="shared" si="1"/>
        <v>0.76</v>
      </c>
      <c r="G5979" s="15">
        <f t="shared" si="2"/>
        <v>5.14</v>
      </c>
      <c r="H5979" s="16">
        <v>0.0</v>
      </c>
      <c r="I5979" s="15">
        <f t="shared" si="3"/>
        <v>0.76</v>
      </c>
      <c r="J5979" s="15">
        <v>20.58</v>
      </c>
      <c r="K5979" s="16">
        <f>IF(COUNTIFS(Release_Calendar!$A$2:$A$755,"US_CPI",Release_Calendar!$B$2:$B$755,$A5979)&gt;0,1,0)</f>
        <v>0</v>
      </c>
      <c r="L5979" s="16">
        <f>IF(COUNTIFS(Release_Calendar!$A$2:$A$755,"US_NFP",Release_Calendar!$B$2:$B$755,$A5979)&gt;0,1,0)</f>
        <v>0</v>
      </c>
      <c r="M5979" s="16">
        <f>IF($A5979&lt;Notes!$B$5,"",IF(COUNTIFS(Release_Calendar!$A$2:$A$755,"NZ_CPI",Release_Calendar!$B$2:$B$755,$A5979)&gt;0,1,0))</f>
        <v>0</v>
      </c>
      <c r="N5979" s="16">
        <f>IF($A5979&lt;Notes!$B$5,"",IF(COUNTIFS(Release_Calendar!$A$2:$A$755,"NZ_GDP",Release_Calendar!$B$2:$B$755,$A5979)&gt;0,1,0))</f>
        <v>0</v>
      </c>
      <c r="O5979" s="16">
        <f>IF($A5979&lt;Notes!$B$5,"",IF(COUNTIFS(Release_Calendar!$A$2:$A$755,"NZ_LABOUR",Release_Calendar!$B$2:$B$755,$A5979)&gt;0,1,0))</f>
        <v>0</v>
      </c>
      <c r="P5979" s="16">
        <f t="shared" si="4"/>
        <v>0</v>
      </c>
    </row>
    <row r="5980" ht="15.75" customHeight="1">
      <c r="A5980" s="14">
        <v>44896.0</v>
      </c>
      <c r="B5980" s="15">
        <v>4.25</v>
      </c>
      <c r="C5980" s="15">
        <v>5.08</v>
      </c>
      <c r="D5980" s="15"/>
      <c r="E5980" s="15">
        <v>4.55</v>
      </c>
      <c r="F5980" s="15">
        <f t="shared" si="1"/>
        <v>0.83</v>
      </c>
      <c r="G5980" s="15">
        <f t="shared" si="2"/>
        <v>5.08</v>
      </c>
      <c r="H5980" s="16">
        <v>0.0</v>
      </c>
      <c r="I5980" s="15">
        <f t="shared" si="3"/>
        <v>0.83</v>
      </c>
      <c r="J5980" s="15">
        <v>19.84</v>
      </c>
      <c r="K5980" s="16">
        <f>IF(COUNTIFS(Release_Calendar!$A$2:$A$755,"US_CPI",Release_Calendar!$B$2:$B$755,$A5980)&gt;0,1,0)</f>
        <v>0</v>
      </c>
      <c r="L5980" s="16">
        <f>IF(COUNTIFS(Release_Calendar!$A$2:$A$755,"US_NFP",Release_Calendar!$B$2:$B$755,$A5980)&gt;0,1,0)</f>
        <v>0</v>
      </c>
      <c r="M5980" s="16">
        <f>IF($A5980&lt;Notes!$B$5,"",IF(COUNTIFS(Release_Calendar!$A$2:$A$755,"NZ_CPI",Release_Calendar!$B$2:$B$755,$A5980)&gt;0,1,0))</f>
        <v>0</v>
      </c>
      <c r="N5980" s="16">
        <f>IF($A5980&lt;Notes!$B$5,"",IF(COUNTIFS(Release_Calendar!$A$2:$A$755,"NZ_GDP",Release_Calendar!$B$2:$B$755,$A5980)&gt;0,1,0))</f>
        <v>0</v>
      </c>
      <c r="O5980" s="16">
        <f>IF($A5980&lt;Notes!$B$5,"",IF(COUNTIFS(Release_Calendar!$A$2:$A$755,"NZ_LABOUR",Release_Calendar!$B$2:$B$755,$A5980)&gt;0,1,0))</f>
        <v>0</v>
      </c>
      <c r="P5980" s="16">
        <f t="shared" si="4"/>
        <v>0</v>
      </c>
    </row>
    <row r="5981" ht="15.75" customHeight="1">
      <c r="A5981" s="14">
        <v>44897.0</v>
      </c>
      <c r="B5981" s="15">
        <v>4.28</v>
      </c>
      <c r="C5981" s="15">
        <v>5.0</v>
      </c>
      <c r="D5981" s="15"/>
      <c r="E5981" s="15">
        <v>4.45</v>
      </c>
      <c r="F5981" s="15">
        <f t="shared" si="1"/>
        <v>0.72</v>
      </c>
      <c r="G5981" s="15">
        <f t="shared" si="2"/>
        <v>5</v>
      </c>
      <c r="H5981" s="16">
        <v>0.0</v>
      </c>
      <c r="I5981" s="15">
        <f t="shared" si="3"/>
        <v>0.72</v>
      </c>
      <c r="J5981" s="15">
        <v>19.06</v>
      </c>
      <c r="K5981" s="16">
        <f>IF(COUNTIFS(Release_Calendar!$A$2:$A$755,"US_CPI",Release_Calendar!$B$2:$B$755,$A5981)&gt;0,1,0)</f>
        <v>0</v>
      </c>
      <c r="L5981" s="16">
        <f>IF(COUNTIFS(Release_Calendar!$A$2:$A$755,"US_NFP",Release_Calendar!$B$2:$B$755,$A5981)&gt;0,1,0)</f>
        <v>1</v>
      </c>
      <c r="M5981" s="16">
        <f>IF($A5981&lt;Notes!$B$5,"",IF(COUNTIFS(Release_Calendar!$A$2:$A$755,"NZ_CPI",Release_Calendar!$B$2:$B$755,$A5981)&gt;0,1,0))</f>
        <v>0</v>
      </c>
      <c r="N5981" s="16">
        <f>IF($A5981&lt;Notes!$B$5,"",IF(COUNTIFS(Release_Calendar!$A$2:$A$755,"NZ_GDP",Release_Calendar!$B$2:$B$755,$A5981)&gt;0,1,0))</f>
        <v>0</v>
      </c>
      <c r="O5981" s="16">
        <f>IF($A5981&lt;Notes!$B$5,"",IF(COUNTIFS(Release_Calendar!$A$2:$A$755,"NZ_LABOUR",Release_Calendar!$B$2:$B$755,$A5981)&gt;0,1,0))</f>
        <v>0</v>
      </c>
      <c r="P5981" s="16">
        <f t="shared" si="4"/>
        <v>1</v>
      </c>
    </row>
    <row r="5982" ht="15.75" customHeight="1">
      <c r="A5982" s="14">
        <v>44900.0</v>
      </c>
      <c r="B5982" s="15">
        <v>4.41</v>
      </c>
      <c r="C5982" s="15">
        <v>5.0</v>
      </c>
      <c r="D5982" s="15"/>
      <c r="E5982" s="15">
        <v>4.44</v>
      </c>
      <c r="F5982" s="15">
        <f t="shared" si="1"/>
        <v>0.59</v>
      </c>
      <c r="G5982" s="15">
        <f t="shared" si="2"/>
        <v>5</v>
      </c>
      <c r="H5982" s="16">
        <v>0.0</v>
      </c>
      <c r="I5982" s="15">
        <f t="shared" si="3"/>
        <v>0.59</v>
      </c>
      <c r="J5982" s="15">
        <v>20.75</v>
      </c>
      <c r="K5982" s="16">
        <f>IF(COUNTIFS(Release_Calendar!$A$2:$A$755,"US_CPI",Release_Calendar!$B$2:$B$755,$A5982)&gt;0,1,0)</f>
        <v>0</v>
      </c>
      <c r="L5982" s="16">
        <f>IF(COUNTIFS(Release_Calendar!$A$2:$A$755,"US_NFP",Release_Calendar!$B$2:$B$755,$A5982)&gt;0,1,0)</f>
        <v>0</v>
      </c>
      <c r="M5982" s="16">
        <f>IF($A5982&lt;Notes!$B$5,"",IF(COUNTIFS(Release_Calendar!$A$2:$A$755,"NZ_CPI",Release_Calendar!$B$2:$B$755,$A5982)&gt;0,1,0))</f>
        <v>0</v>
      </c>
      <c r="N5982" s="16">
        <f>IF($A5982&lt;Notes!$B$5,"",IF(COUNTIFS(Release_Calendar!$A$2:$A$755,"NZ_GDP",Release_Calendar!$B$2:$B$755,$A5982)&gt;0,1,0))</f>
        <v>0</v>
      </c>
      <c r="O5982" s="16">
        <f>IF($A5982&lt;Notes!$B$5,"",IF(COUNTIFS(Release_Calendar!$A$2:$A$755,"NZ_LABOUR",Release_Calendar!$B$2:$B$755,$A5982)&gt;0,1,0))</f>
        <v>0</v>
      </c>
      <c r="P5982" s="16">
        <f t="shared" si="4"/>
        <v>0</v>
      </c>
    </row>
    <row r="5983" ht="15.75" customHeight="1">
      <c r="A5983" s="14">
        <v>44901.0</v>
      </c>
      <c r="B5983" s="15">
        <v>4.34</v>
      </c>
      <c r="C5983" s="15">
        <v>5.07</v>
      </c>
      <c r="D5983" s="15"/>
      <c r="E5983" s="15">
        <v>4.47</v>
      </c>
      <c r="F5983" s="15">
        <f t="shared" si="1"/>
        <v>0.73</v>
      </c>
      <c r="G5983" s="15">
        <f t="shared" si="2"/>
        <v>5.07</v>
      </c>
      <c r="H5983" s="16">
        <v>0.0</v>
      </c>
      <c r="I5983" s="15">
        <f t="shared" si="3"/>
        <v>0.73</v>
      </c>
      <c r="J5983" s="15">
        <v>22.17</v>
      </c>
      <c r="K5983" s="16">
        <f>IF(COUNTIFS(Release_Calendar!$A$2:$A$755,"US_CPI",Release_Calendar!$B$2:$B$755,$A5983)&gt;0,1,0)</f>
        <v>0</v>
      </c>
      <c r="L5983" s="16">
        <f>IF(COUNTIFS(Release_Calendar!$A$2:$A$755,"US_NFP",Release_Calendar!$B$2:$B$755,$A5983)&gt;0,1,0)</f>
        <v>0</v>
      </c>
      <c r="M5983" s="16">
        <f>IF($A5983&lt;Notes!$B$5,"",IF(COUNTIFS(Release_Calendar!$A$2:$A$755,"NZ_CPI",Release_Calendar!$B$2:$B$755,$A5983)&gt;0,1,0))</f>
        <v>0</v>
      </c>
      <c r="N5983" s="16">
        <f>IF($A5983&lt;Notes!$B$5,"",IF(COUNTIFS(Release_Calendar!$A$2:$A$755,"NZ_GDP",Release_Calendar!$B$2:$B$755,$A5983)&gt;0,1,0))</f>
        <v>0</v>
      </c>
      <c r="O5983" s="16">
        <f>IF($A5983&lt;Notes!$B$5,"",IF(COUNTIFS(Release_Calendar!$A$2:$A$755,"NZ_LABOUR",Release_Calendar!$B$2:$B$755,$A5983)&gt;0,1,0))</f>
        <v>0</v>
      </c>
      <c r="P5983" s="16">
        <f t="shared" si="4"/>
        <v>0</v>
      </c>
    </row>
    <row r="5984" ht="15.75" customHeight="1">
      <c r="A5984" s="14">
        <v>44902.0</v>
      </c>
      <c r="B5984" s="15">
        <v>4.26</v>
      </c>
      <c r="C5984" s="15">
        <v>5.11</v>
      </c>
      <c r="D5984" s="15"/>
      <c r="E5984" s="15">
        <v>4.54</v>
      </c>
      <c r="F5984" s="15">
        <f t="shared" si="1"/>
        <v>0.85</v>
      </c>
      <c r="G5984" s="15">
        <f t="shared" si="2"/>
        <v>5.11</v>
      </c>
      <c r="H5984" s="16">
        <v>0.0</v>
      </c>
      <c r="I5984" s="15">
        <f t="shared" si="3"/>
        <v>0.85</v>
      </c>
      <c r="J5984" s="15">
        <v>22.68</v>
      </c>
      <c r="K5984" s="16">
        <f>IF(COUNTIFS(Release_Calendar!$A$2:$A$755,"US_CPI",Release_Calendar!$B$2:$B$755,$A5984)&gt;0,1,0)</f>
        <v>0</v>
      </c>
      <c r="L5984" s="16">
        <f>IF(COUNTIFS(Release_Calendar!$A$2:$A$755,"US_NFP",Release_Calendar!$B$2:$B$755,$A5984)&gt;0,1,0)</f>
        <v>0</v>
      </c>
      <c r="M5984" s="16">
        <f>IF($A5984&lt;Notes!$B$5,"",IF(COUNTIFS(Release_Calendar!$A$2:$A$755,"NZ_CPI",Release_Calendar!$B$2:$B$755,$A5984)&gt;0,1,0))</f>
        <v>0</v>
      </c>
      <c r="N5984" s="16">
        <f>IF($A5984&lt;Notes!$B$5,"",IF(COUNTIFS(Release_Calendar!$A$2:$A$755,"NZ_GDP",Release_Calendar!$B$2:$B$755,$A5984)&gt;0,1,0))</f>
        <v>0</v>
      </c>
      <c r="O5984" s="16">
        <f>IF($A5984&lt;Notes!$B$5,"",IF(COUNTIFS(Release_Calendar!$A$2:$A$755,"NZ_LABOUR",Release_Calendar!$B$2:$B$755,$A5984)&gt;0,1,0))</f>
        <v>0</v>
      </c>
      <c r="P5984" s="16">
        <f t="shared" si="4"/>
        <v>0</v>
      </c>
    </row>
    <row r="5985" ht="15.75" customHeight="1">
      <c r="A5985" s="14">
        <v>44903.0</v>
      </c>
      <c r="B5985" s="15">
        <v>4.31</v>
      </c>
      <c r="C5985" s="15">
        <v>5.11</v>
      </c>
      <c r="D5985" s="15"/>
      <c r="E5985" s="15">
        <v>4.55</v>
      </c>
      <c r="F5985" s="15">
        <f t="shared" si="1"/>
        <v>0.8</v>
      </c>
      <c r="G5985" s="15">
        <f t="shared" si="2"/>
        <v>5.11</v>
      </c>
      <c r="H5985" s="16">
        <v>0.0</v>
      </c>
      <c r="I5985" s="15">
        <f t="shared" si="3"/>
        <v>0.8</v>
      </c>
      <c r="J5985" s="15">
        <v>22.29</v>
      </c>
      <c r="K5985" s="16">
        <f>IF(COUNTIFS(Release_Calendar!$A$2:$A$755,"US_CPI",Release_Calendar!$B$2:$B$755,$A5985)&gt;0,1,0)</f>
        <v>0</v>
      </c>
      <c r="L5985" s="16">
        <f>IF(COUNTIFS(Release_Calendar!$A$2:$A$755,"US_NFP",Release_Calendar!$B$2:$B$755,$A5985)&gt;0,1,0)</f>
        <v>0</v>
      </c>
      <c r="M5985" s="16">
        <f>IF($A5985&lt;Notes!$B$5,"",IF(COUNTIFS(Release_Calendar!$A$2:$A$755,"NZ_CPI",Release_Calendar!$B$2:$B$755,$A5985)&gt;0,1,0))</f>
        <v>0</v>
      </c>
      <c r="N5985" s="16">
        <f>IF($A5985&lt;Notes!$B$5,"",IF(COUNTIFS(Release_Calendar!$A$2:$A$755,"NZ_GDP",Release_Calendar!$B$2:$B$755,$A5985)&gt;0,1,0))</f>
        <v>0</v>
      </c>
      <c r="O5985" s="16">
        <f>IF($A5985&lt;Notes!$B$5,"",IF(COUNTIFS(Release_Calendar!$A$2:$A$755,"NZ_LABOUR",Release_Calendar!$B$2:$B$755,$A5985)&gt;0,1,0))</f>
        <v>0</v>
      </c>
      <c r="P5985" s="16">
        <f t="shared" si="4"/>
        <v>0</v>
      </c>
    </row>
    <row r="5986" ht="15.75" customHeight="1">
      <c r="A5986" s="14">
        <v>44904.0</v>
      </c>
      <c r="B5986" s="15">
        <v>4.33</v>
      </c>
      <c r="C5986" s="15">
        <v>5.14</v>
      </c>
      <c r="D5986" s="15"/>
      <c r="E5986" s="15">
        <v>4.59</v>
      </c>
      <c r="F5986" s="15">
        <f t="shared" si="1"/>
        <v>0.81</v>
      </c>
      <c r="G5986" s="15">
        <f t="shared" si="2"/>
        <v>5.14</v>
      </c>
      <c r="H5986" s="16">
        <v>0.0</v>
      </c>
      <c r="I5986" s="15">
        <f t="shared" si="3"/>
        <v>0.81</v>
      </c>
      <c r="J5986" s="15">
        <v>22.83</v>
      </c>
      <c r="K5986" s="16">
        <f>IF(COUNTIFS(Release_Calendar!$A$2:$A$755,"US_CPI",Release_Calendar!$B$2:$B$755,$A5986)&gt;0,1,0)</f>
        <v>0</v>
      </c>
      <c r="L5986" s="16">
        <f>IF(COUNTIFS(Release_Calendar!$A$2:$A$755,"US_NFP",Release_Calendar!$B$2:$B$755,$A5986)&gt;0,1,0)</f>
        <v>0</v>
      </c>
      <c r="M5986" s="16">
        <f>IF($A5986&lt;Notes!$B$5,"",IF(COUNTIFS(Release_Calendar!$A$2:$A$755,"NZ_CPI",Release_Calendar!$B$2:$B$755,$A5986)&gt;0,1,0))</f>
        <v>0</v>
      </c>
      <c r="N5986" s="16">
        <f>IF($A5986&lt;Notes!$B$5,"",IF(COUNTIFS(Release_Calendar!$A$2:$A$755,"NZ_GDP",Release_Calendar!$B$2:$B$755,$A5986)&gt;0,1,0))</f>
        <v>0</v>
      </c>
      <c r="O5986" s="16">
        <f>IF($A5986&lt;Notes!$B$5,"",IF(COUNTIFS(Release_Calendar!$A$2:$A$755,"NZ_LABOUR",Release_Calendar!$B$2:$B$755,$A5986)&gt;0,1,0))</f>
        <v>0</v>
      </c>
      <c r="P5986" s="16">
        <f t="shared" si="4"/>
        <v>0</v>
      </c>
    </row>
    <row r="5987" ht="15.75" customHeight="1">
      <c r="A5987" s="14">
        <v>44907.0</v>
      </c>
      <c r="B5987" s="15">
        <v>4.39</v>
      </c>
      <c r="C5987" s="15">
        <v>5.18</v>
      </c>
      <c r="D5987" s="15"/>
      <c r="E5987" s="15">
        <v>4.62</v>
      </c>
      <c r="F5987" s="15">
        <f t="shared" si="1"/>
        <v>0.79</v>
      </c>
      <c r="G5987" s="15">
        <f t="shared" si="2"/>
        <v>5.18</v>
      </c>
      <c r="H5987" s="16">
        <v>0.0</v>
      </c>
      <c r="I5987" s="15">
        <f t="shared" si="3"/>
        <v>0.79</v>
      </c>
      <c r="J5987" s="15">
        <v>25.0</v>
      </c>
      <c r="K5987" s="16">
        <f>IF(COUNTIFS(Release_Calendar!$A$2:$A$755,"US_CPI",Release_Calendar!$B$2:$B$755,$A5987)&gt;0,1,0)</f>
        <v>0</v>
      </c>
      <c r="L5987" s="16">
        <f>IF(COUNTIFS(Release_Calendar!$A$2:$A$755,"US_NFP",Release_Calendar!$B$2:$B$755,$A5987)&gt;0,1,0)</f>
        <v>0</v>
      </c>
      <c r="M5987" s="16">
        <f>IF($A5987&lt;Notes!$B$5,"",IF(COUNTIFS(Release_Calendar!$A$2:$A$755,"NZ_CPI",Release_Calendar!$B$2:$B$755,$A5987)&gt;0,1,0))</f>
        <v>0</v>
      </c>
      <c r="N5987" s="16">
        <f>IF($A5987&lt;Notes!$B$5,"",IF(COUNTIFS(Release_Calendar!$A$2:$A$755,"NZ_GDP",Release_Calendar!$B$2:$B$755,$A5987)&gt;0,1,0))</f>
        <v>0</v>
      </c>
      <c r="O5987" s="16">
        <f>IF($A5987&lt;Notes!$B$5,"",IF(COUNTIFS(Release_Calendar!$A$2:$A$755,"NZ_LABOUR",Release_Calendar!$B$2:$B$755,$A5987)&gt;0,1,0))</f>
        <v>0</v>
      </c>
      <c r="P5987" s="16">
        <f t="shared" si="4"/>
        <v>0</v>
      </c>
    </row>
    <row r="5988" ht="15.75" customHeight="1">
      <c r="A5988" s="14">
        <v>44908.0</v>
      </c>
      <c r="B5988" s="15">
        <v>4.22</v>
      </c>
      <c r="C5988" s="15">
        <v>5.22</v>
      </c>
      <c r="D5988" s="15"/>
      <c r="E5988" s="15">
        <v>4.69</v>
      </c>
      <c r="F5988" s="15">
        <f t="shared" si="1"/>
        <v>1</v>
      </c>
      <c r="G5988" s="15">
        <f t="shared" si="2"/>
        <v>5.22</v>
      </c>
      <c r="H5988" s="16">
        <v>0.0</v>
      </c>
      <c r="I5988" s="15">
        <f t="shared" si="3"/>
        <v>1</v>
      </c>
      <c r="J5988" s="15">
        <v>22.55</v>
      </c>
      <c r="K5988" s="16">
        <f>IF(COUNTIFS(Release_Calendar!$A$2:$A$755,"US_CPI",Release_Calendar!$B$2:$B$755,$A5988)&gt;0,1,0)</f>
        <v>1</v>
      </c>
      <c r="L5988" s="16">
        <f>IF(COUNTIFS(Release_Calendar!$A$2:$A$755,"US_NFP",Release_Calendar!$B$2:$B$755,$A5988)&gt;0,1,0)</f>
        <v>0</v>
      </c>
      <c r="M5988" s="16">
        <f>IF($A5988&lt;Notes!$B$5,"",IF(COUNTIFS(Release_Calendar!$A$2:$A$755,"NZ_CPI",Release_Calendar!$B$2:$B$755,$A5988)&gt;0,1,0))</f>
        <v>0</v>
      </c>
      <c r="N5988" s="16">
        <f>IF($A5988&lt;Notes!$B$5,"",IF(COUNTIFS(Release_Calendar!$A$2:$A$755,"NZ_GDP",Release_Calendar!$B$2:$B$755,$A5988)&gt;0,1,0))</f>
        <v>0</v>
      </c>
      <c r="O5988" s="16">
        <f>IF($A5988&lt;Notes!$B$5,"",IF(COUNTIFS(Release_Calendar!$A$2:$A$755,"NZ_LABOUR",Release_Calendar!$B$2:$B$755,$A5988)&gt;0,1,0))</f>
        <v>0</v>
      </c>
      <c r="P5988" s="16">
        <f t="shared" si="4"/>
        <v>1</v>
      </c>
    </row>
    <row r="5989" ht="15.75" customHeight="1">
      <c r="A5989" s="14">
        <v>44909.0</v>
      </c>
      <c r="B5989" s="15">
        <v>4.23</v>
      </c>
      <c r="C5989" s="15">
        <v>5.16</v>
      </c>
      <c r="D5989" s="15"/>
      <c r="E5989" s="15">
        <v>4.68</v>
      </c>
      <c r="F5989" s="15">
        <f t="shared" si="1"/>
        <v>0.93</v>
      </c>
      <c r="G5989" s="15">
        <f t="shared" si="2"/>
        <v>5.16</v>
      </c>
      <c r="H5989" s="16">
        <v>0.0</v>
      </c>
      <c r="I5989" s="15">
        <f t="shared" si="3"/>
        <v>0.93</v>
      </c>
      <c r="J5989" s="15">
        <v>21.14</v>
      </c>
      <c r="K5989" s="16">
        <f>IF(COUNTIFS(Release_Calendar!$A$2:$A$755,"US_CPI",Release_Calendar!$B$2:$B$755,$A5989)&gt;0,1,0)</f>
        <v>0</v>
      </c>
      <c r="L5989" s="16">
        <f>IF(COUNTIFS(Release_Calendar!$A$2:$A$755,"US_NFP",Release_Calendar!$B$2:$B$755,$A5989)&gt;0,1,0)</f>
        <v>0</v>
      </c>
      <c r="M5989" s="16">
        <f>IF($A5989&lt;Notes!$B$5,"",IF(COUNTIFS(Release_Calendar!$A$2:$A$755,"NZ_CPI",Release_Calendar!$B$2:$B$755,$A5989)&gt;0,1,0))</f>
        <v>0</v>
      </c>
      <c r="N5989" s="16">
        <f>IF($A5989&lt;Notes!$B$5,"",IF(COUNTIFS(Release_Calendar!$A$2:$A$755,"NZ_GDP",Release_Calendar!$B$2:$B$755,$A5989)&gt;0,1,0))</f>
        <v>0</v>
      </c>
      <c r="O5989" s="16">
        <f>IF($A5989&lt;Notes!$B$5,"",IF(COUNTIFS(Release_Calendar!$A$2:$A$755,"NZ_LABOUR",Release_Calendar!$B$2:$B$755,$A5989)&gt;0,1,0))</f>
        <v>0</v>
      </c>
      <c r="P5989" s="16">
        <f t="shared" si="4"/>
        <v>0</v>
      </c>
    </row>
    <row r="5990" ht="15.75" customHeight="1">
      <c r="A5990" s="14">
        <v>44910.0</v>
      </c>
      <c r="B5990" s="15">
        <v>4.23</v>
      </c>
      <c r="C5990" s="15">
        <v>5.32</v>
      </c>
      <c r="D5990" s="15"/>
      <c r="E5990" s="15">
        <v>4.86</v>
      </c>
      <c r="F5990" s="15">
        <f t="shared" si="1"/>
        <v>1.09</v>
      </c>
      <c r="G5990" s="15">
        <f t="shared" si="2"/>
        <v>5.32</v>
      </c>
      <c r="H5990" s="16">
        <v>0.0</v>
      </c>
      <c r="I5990" s="15">
        <f t="shared" si="3"/>
        <v>1.09</v>
      </c>
      <c r="J5990" s="15">
        <v>22.83</v>
      </c>
      <c r="K5990" s="16">
        <f>IF(COUNTIFS(Release_Calendar!$A$2:$A$755,"US_CPI",Release_Calendar!$B$2:$B$755,$A5990)&gt;0,1,0)</f>
        <v>0</v>
      </c>
      <c r="L5990" s="16">
        <f>IF(COUNTIFS(Release_Calendar!$A$2:$A$755,"US_NFP",Release_Calendar!$B$2:$B$755,$A5990)&gt;0,1,0)</f>
        <v>0</v>
      </c>
      <c r="M5990" s="16">
        <f>IF($A5990&lt;Notes!$B$5,"",IF(COUNTIFS(Release_Calendar!$A$2:$A$755,"NZ_CPI",Release_Calendar!$B$2:$B$755,$A5990)&gt;0,1,0))</f>
        <v>0</v>
      </c>
      <c r="N5990" s="16">
        <f>IF($A5990&lt;Notes!$B$5,"",IF(COUNTIFS(Release_Calendar!$A$2:$A$755,"NZ_GDP",Release_Calendar!$B$2:$B$755,$A5990)&gt;0,1,0))</f>
        <v>1</v>
      </c>
      <c r="O5990" s="16">
        <f>IF($A5990&lt;Notes!$B$5,"",IF(COUNTIFS(Release_Calendar!$A$2:$A$755,"NZ_LABOUR",Release_Calendar!$B$2:$B$755,$A5990)&gt;0,1,0))</f>
        <v>0</v>
      </c>
      <c r="P5990" s="16">
        <f t="shared" si="4"/>
        <v>1</v>
      </c>
    </row>
    <row r="5991" ht="15.75" customHeight="1">
      <c r="A5991" s="14">
        <v>44911.0</v>
      </c>
      <c r="B5991" s="15">
        <v>4.17</v>
      </c>
      <c r="C5991" s="15">
        <v>5.27</v>
      </c>
      <c r="D5991" s="15"/>
      <c r="E5991" s="15">
        <v>4.84</v>
      </c>
      <c r="F5991" s="15">
        <f t="shared" si="1"/>
        <v>1.1</v>
      </c>
      <c r="G5991" s="15">
        <f t="shared" si="2"/>
        <v>5.27</v>
      </c>
      <c r="H5991" s="16">
        <v>0.0</v>
      </c>
      <c r="I5991" s="15">
        <f t="shared" si="3"/>
        <v>1.1</v>
      </c>
      <c r="J5991" s="15">
        <v>22.62</v>
      </c>
      <c r="K5991" s="16">
        <f>IF(COUNTIFS(Release_Calendar!$A$2:$A$755,"US_CPI",Release_Calendar!$B$2:$B$755,$A5991)&gt;0,1,0)</f>
        <v>0</v>
      </c>
      <c r="L5991" s="16">
        <f>IF(COUNTIFS(Release_Calendar!$A$2:$A$755,"US_NFP",Release_Calendar!$B$2:$B$755,$A5991)&gt;0,1,0)</f>
        <v>0</v>
      </c>
      <c r="M5991" s="16">
        <f>IF($A5991&lt;Notes!$B$5,"",IF(COUNTIFS(Release_Calendar!$A$2:$A$755,"NZ_CPI",Release_Calendar!$B$2:$B$755,$A5991)&gt;0,1,0))</f>
        <v>0</v>
      </c>
      <c r="N5991" s="16">
        <f>IF($A5991&lt;Notes!$B$5,"",IF(COUNTIFS(Release_Calendar!$A$2:$A$755,"NZ_GDP",Release_Calendar!$B$2:$B$755,$A5991)&gt;0,1,0))</f>
        <v>0</v>
      </c>
      <c r="O5991" s="16">
        <f>IF($A5991&lt;Notes!$B$5,"",IF(COUNTIFS(Release_Calendar!$A$2:$A$755,"NZ_LABOUR",Release_Calendar!$B$2:$B$755,$A5991)&gt;0,1,0))</f>
        <v>0</v>
      </c>
      <c r="P5991" s="16">
        <f t="shared" si="4"/>
        <v>0</v>
      </c>
    </row>
    <row r="5992" ht="15.75" customHeight="1">
      <c r="A5992" s="14">
        <v>44914.0</v>
      </c>
      <c r="B5992" s="15">
        <v>4.25</v>
      </c>
      <c r="C5992" s="15">
        <v>5.23</v>
      </c>
      <c r="D5992" s="15"/>
      <c r="E5992" s="15">
        <v>4.8</v>
      </c>
      <c r="F5992" s="15">
        <f t="shared" si="1"/>
        <v>0.98</v>
      </c>
      <c r="G5992" s="15">
        <f t="shared" si="2"/>
        <v>5.23</v>
      </c>
      <c r="H5992" s="16">
        <v>0.0</v>
      </c>
      <c r="I5992" s="15">
        <f t="shared" si="3"/>
        <v>0.98</v>
      </c>
      <c r="J5992" s="15">
        <v>22.42</v>
      </c>
      <c r="K5992" s="16">
        <f>IF(COUNTIFS(Release_Calendar!$A$2:$A$755,"US_CPI",Release_Calendar!$B$2:$B$755,$A5992)&gt;0,1,0)</f>
        <v>0</v>
      </c>
      <c r="L5992" s="16">
        <f>IF(COUNTIFS(Release_Calendar!$A$2:$A$755,"US_NFP",Release_Calendar!$B$2:$B$755,$A5992)&gt;0,1,0)</f>
        <v>0</v>
      </c>
      <c r="M5992" s="16">
        <f>IF($A5992&lt;Notes!$B$5,"",IF(COUNTIFS(Release_Calendar!$A$2:$A$755,"NZ_CPI",Release_Calendar!$B$2:$B$755,$A5992)&gt;0,1,0))</f>
        <v>0</v>
      </c>
      <c r="N5992" s="16">
        <f>IF($A5992&lt;Notes!$B$5,"",IF(COUNTIFS(Release_Calendar!$A$2:$A$755,"NZ_GDP",Release_Calendar!$B$2:$B$755,$A5992)&gt;0,1,0))</f>
        <v>0</v>
      </c>
      <c r="O5992" s="16">
        <f>IF($A5992&lt;Notes!$B$5,"",IF(COUNTIFS(Release_Calendar!$A$2:$A$755,"NZ_LABOUR",Release_Calendar!$B$2:$B$755,$A5992)&gt;0,1,0))</f>
        <v>0</v>
      </c>
      <c r="P5992" s="16">
        <f t="shared" si="4"/>
        <v>0</v>
      </c>
    </row>
    <row r="5993" ht="15.75" customHeight="1">
      <c r="A5993" s="14">
        <v>44915.0</v>
      </c>
      <c r="B5993" s="15">
        <v>4.25</v>
      </c>
      <c r="C5993" s="15">
        <v>5.26</v>
      </c>
      <c r="D5993" s="15"/>
      <c r="E5993" s="15">
        <v>4.86</v>
      </c>
      <c r="F5993" s="15">
        <f t="shared" si="1"/>
        <v>1.01</v>
      </c>
      <c r="G5993" s="15">
        <f t="shared" si="2"/>
        <v>5.26</v>
      </c>
      <c r="H5993" s="16">
        <v>0.0</v>
      </c>
      <c r="I5993" s="15">
        <f t="shared" si="3"/>
        <v>1.01</v>
      </c>
      <c r="J5993" s="15">
        <v>21.48</v>
      </c>
      <c r="K5993" s="16">
        <f>IF(COUNTIFS(Release_Calendar!$A$2:$A$755,"US_CPI",Release_Calendar!$B$2:$B$755,$A5993)&gt;0,1,0)</f>
        <v>0</v>
      </c>
      <c r="L5993" s="16">
        <f>IF(COUNTIFS(Release_Calendar!$A$2:$A$755,"US_NFP",Release_Calendar!$B$2:$B$755,$A5993)&gt;0,1,0)</f>
        <v>0</v>
      </c>
      <c r="M5993" s="16">
        <f>IF($A5993&lt;Notes!$B$5,"",IF(COUNTIFS(Release_Calendar!$A$2:$A$755,"NZ_CPI",Release_Calendar!$B$2:$B$755,$A5993)&gt;0,1,0))</f>
        <v>0</v>
      </c>
      <c r="N5993" s="16">
        <f>IF($A5993&lt;Notes!$B$5,"",IF(COUNTIFS(Release_Calendar!$A$2:$A$755,"NZ_GDP",Release_Calendar!$B$2:$B$755,$A5993)&gt;0,1,0))</f>
        <v>0</v>
      </c>
      <c r="O5993" s="16">
        <f>IF($A5993&lt;Notes!$B$5,"",IF(COUNTIFS(Release_Calendar!$A$2:$A$755,"NZ_LABOUR",Release_Calendar!$B$2:$B$755,$A5993)&gt;0,1,0))</f>
        <v>0</v>
      </c>
      <c r="P5993" s="16">
        <f t="shared" si="4"/>
        <v>0</v>
      </c>
    </row>
    <row r="5994" ht="15.75" customHeight="1">
      <c r="A5994" s="14">
        <v>44916.0</v>
      </c>
      <c r="B5994" s="15">
        <v>4.21</v>
      </c>
      <c r="C5994" s="15">
        <v>5.23</v>
      </c>
      <c r="D5994" s="15"/>
      <c r="E5994" s="15">
        <v>4.82</v>
      </c>
      <c r="F5994" s="15">
        <f t="shared" si="1"/>
        <v>1.02</v>
      </c>
      <c r="G5994" s="15">
        <f t="shared" si="2"/>
        <v>5.23</v>
      </c>
      <c r="H5994" s="16">
        <v>0.0</v>
      </c>
      <c r="I5994" s="15">
        <f t="shared" si="3"/>
        <v>1.02</v>
      </c>
      <c r="J5994" s="15">
        <v>20.07</v>
      </c>
      <c r="K5994" s="16">
        <f>IF(COUNTIFS(Release_Calendar!$A$2:$A$755,"US_CPI",Release_Calendar!$B$2:$B$755,$A5994)&gt;0,1,0)</f>
        <v>0</v>
      </c>
      <c r="L5994" s="16">
        <f>IF(COUNTIFS(Release_Calendar!$A$2:$A$755,"US_NFP",Release_Calendar!$B$2:$B$755,$A5994)&gt;0,1,0)</f>
        <v>0</v>
      </c>
      <c r="M5994" s="16">
        <f>IF($A5994&lt;Notes!$B$5,"",IF(COUNTIFS(Release_Calendar!$A$2:$A$755,"NZ_CPI",Release_Calendar!$B$2:$B$755,$A5994)&gt;0,1,0))</f>
        <v>0</v>
      </c>
      <c r="N5994" s="16">
        <f>IF($A5994&lt;Notes!$B$5,"",IF(COUNTIFS(Release_Calendar!$A$2:$A$755,"NZ_GDP",Release_Calendar!$B$2:$B$755,$A5994)&gt;0,1,0))</f>
        <v>0</v>
      </c>
      <c r="O5994" s="16">
        <f>IF($A5994&lt;Notes!$B$5,"",IF(COUNTIFS(Release_Calendar!$A$2:$A$755,"NZ_LABOUR",Release_Calendar!$B$2:$B$755,$A5994)&gt;0,1,0))</f>
        <v>0</v>
      </c>
      <c r="P5994" s="16">
        <f t="shared" si="4"/>
        <v>0</v>
      </c>
    </row>
    <row r="5995" ht="15.75" customHeight="1">
      <c r="A5995" s="14">
        <v>44917.0</v>
      </c>
      <c r="B5995" s="15">
        <v>4.24</v>
      </c>
      <c r="C5995" s="15">
        <v>5.24</v>
      </c>
      <c r="D5995" s="15"/>
      <c r="E5995" s="15">
        <v>4.81</v>
      </c>
      <c r="F5995" s="15">
        <f t="shared" si="1"/>
        <v>1</v>
      </c>
      <c r="G5995" s="15">
        <f t="shared" si="2"/>
        <v>5.24</v>
      </c>
      <c r="H5995" s="16">
        <v>0.0</v>
      </c>
      <c r="I5995" s="15">
        <f t="shared" si="3"/>
        <v>1</v>
      </c>
      <c r="J5995" s="15">
        <v>21.97</v>
      </c>
      <c r="K5995" s="16">
        <f>IF(COUNTIFS(Release_Calendar!$A$2:$A$755,"US_CPI",Release_Calendar!$B$2:$B$755,$A5995)&gt;0,1,0)</f>
        <v>0</v>
      </c>
      <c r="L5995" s="16">
        <f>IF(COUNTIFS(Release_Calendar!$A$2:$A$755,"US_NFP",Release_Calendar!$B$2:$B$755,$A5995)&gt;0,1,0)</f>
        <v>0</v>
      </c>
      <c r="M5995" s="16">
        <f>IF($A5995&lt;Notes!$B$5,"",IF(COUNTIFS(Release_Calendar!$A$2:$A$755,"NZ_CPI",Release_Calendar!$B$2:$B$755,$A5995)&gt;0,1,0))</f>
        <v>0</v>
      </c>
      <c r="N5995" s="16">
        <f>IF($A5995&lt;Notes!$B$5,"",IF(COUNTIFS(Release_Calendar!$A$2:$A$755,"NZ_GDP",Release_Calendar!$B$2:$B$755,$A5995)&gt;0,1,0))</f>
        <v>0</v>
      </c>
      <c r="O5995" s="16">
        <f>IF($A5995&lt;Notes!$B$5,"",IF(COUNTIFS(Release_Calendar!$A$2:$A$755,"NZ_LABOUR",Release_Calendar!$B$2:$B$755,$A5995)&gt;0,1,0))</f>
        <v>0</v>
      </c>
      <c r="P5995" s="16">
        <f t="shared" si="4"/>
        <v>0</v>
      </c>
    </row>
    <row r="5996" ht="15.75" customHeight="1">
      <c r="A5996" s="14">
        <v>44918.0</v>
      </c>
      <c r="B5996" s="15">
        <v>4.31</v>
      </c>
      <c r="C5996" s="15">
        <v>5.26</v>
      </c>
      <c r="D5996" s="15"/>
      <c r="E5996" s="15">
        <v>4.82</v>
      </c>
      <c r="F5996" s="15">
        <f t="shared" si="1"/>
        <v>0.95</v>
      </c>
      <c r="G5996" s="15">
        <f t="shared" si="2"/>
        <v>5.26</v>
      </c>
      <c r="H5996" s="16">
        <v>0.0</v>
      </c>
      <c r="I5996" s="15">
        <f t="shared" si="3"/>
        <v>0.95</v>
      </c>
      <c r="J5996" s="15">
        <v>20.87</v>
      </c>
      <c r="K5996" s="16">
        <f>IF(COUNTIFS(Release_Calendar!$A$2:$A$755,"US_CPI",Release_Calendar!$B$2:$B$755,$A5996)&gt;0,1,0)</f>
        <v>0</v>
      </c>
      <c r="L5996" s="16">
        <f>IF(COUNTIFS(Release_Calendar!$A$2:$A$755,"US_NFP",Release_Calendar!$B$2:$B$755,$A5996)&gt;0,1,0)</f>
        <v>0</v>
      </c>
      <c r="M5996" s="16">
        <f>IF($A5996&lt;Notes!$B$5,"",IF(COUNTIFS(Release_Calendar!$A$2:$A$755,"NZ_CPI",Release_Calendar!$B$2:$B$755,$A5996)&gt;0,1,0))</f>
        <v>0</v>
      </c>
      <c r="N5996" s="16">
        <f>IF($A5996&lt;Notes!$B$5,"",IF(COUNTIFS(Release_Calendar!$A$2:$A$755,"NZ_GDP",Release_Calendar!$B$2:$B$755,$A5996)&gt;0,1,0))</f>
        <v>0</v>
      </c>
      <c r="O5996" s="16">
        <f>IF($A5996&lt;Notes!$B$5,"",IF(COUNTIFS(Release_Calendar!$A$2:$A$755,"NZ_LABOUR",Release_Calendar!$B$2:$B$755,$A5996)&gt;0,1,0))</f>
        <v>0</v>
      </c>
      <c r="P5996" s="16">
        <f t="shared" si="4"/>
        <v>0</v>
      </c>
    </row>
    <row r="5997" ht="15.75" customHeight="1">
      <c r="A5997" s="14">
        <v>44921.0</v>
      </c>
      <c r="B5997" s="15"/>
      <c r="C5997" s="15"/>
      <c r="D5997" s="15"/>
      <c r="E5997" s="15"/>
      <c r="F5997" s="15" t="str">
        <f t="shared" si="1"/>
        <v/>
      </c>
      <c r="G5997" s="15" t="str">
        <f t="shared" si="2"/>
        <v/>
      </c>
      <c r="H5997" s="16">
        <v>0.0</v>
      </c>
      <c r="I5997" s="15" t="str">
        <f t="shared" si="3"/>
        <v/>
      </c>
      <c r="J5997" s="15"/>
      <c r="K5997" s="16">
        <f>IF(COUNTIFS(Release_Calendar!$A$2:$A$755,"US_CPI",Release_Calendar!$B$2:$B$755,$A5997)&gt;0,1,0)</f>
        <v>0</v>
      </c>
      <c r="L5997" s="16">
        <f>IF(COUNTIFS(Release_Calendar!$A$2:$A$755,"US_NFP",Release_Calendar!$B$2:$B$755,$A5997)&gt;0,1,0)</f>
        <v>0</v>
      </c>
      <c r="M5997" s="16">
        <f>IF($A5997&lt;Notes!$B$5,"",IF(COUNTIFS(Release_Calendar!$A$2:$A$755,"NZ_CPI",Release_Calendar!$B$2:$B$755,$A5997)&gt;0,1,0))</f>
        <v>0</v>
      </c>
      <c r="N5997" s="16">
        <f>IF($A5997&lt;Notes!$B$5,"",IF(COUNTIFS(Release_Calendar!$A$2:$A$755,"NZ_GDP",Release_Calendar!$B$2:$B$755,$A5997)&gt;0,1,0))</f>
        <v>0</v>
      </c>
      <c r="O5997" s="16">
        <f>IF($A5997&lt;Notes!$B$5,"",IF(COUNTIFS(Release_Calendar!$A$2:$A$755,"NZ_LABOUR",Release_Calendar!$B$2:$B$755,$A5997)&gt;0,1,0))</f>
        <v>0</v>
      </c>
      <c r="P5997" s="16">
        <f t="shared" si="4"/>
        <v>0</v>
      </c>
    </row>
    <row r="5998" ht="15.75" customHeight="1">
      <c r="A5998" s="14">
        <v>44922.0</v>
      </c>
      <c r="B5998" s="15">
        <v>4.32</v>
      </c>
      <c r="C5998" s="15"/>
      <c r="D5998" s="15"/>
      <c r="E5998" s="15"/>
      <c r="F5998" s="15" t="str">
        <f t="shared" si="1"/>
        <v/>
      </c>
      <c r="G5998" s="15" t="str">
        <f t="shared" si="2"/>
        <v/>
      </c>
      <c r="H5998" s="16">
        <v>0.0</v>
      </c>
      <c r="I5998" s="15" t="str">
        <f t="shared" si="3"/>
        <v/>
      </c>
      <c r="J5998" s="15">
        <v>21.65</v>
      </c>
      <c r="K5998" s="16">
        <f>IF(COUNTIFS(Release_Calendar!$A$2:$A$755,"US_CPI",Release_Calendar!$B$2:$B$755,$A5998)&gt;0,1,0)</f>
        <v>0</v>
      </c>
      <c r="L5998" s="16">
        <f>IF(COUNTIFS(Release_Calendar!$A$2:$A$755,"US_NFP",Release_Calendar!$B$2:$B$755,$A5998)&gt;0,1,0)</f>
        <v>0</v>
      </c>
      <c r="M5998" s="16">
        <f>IF($A5998&lt;Notes!$B$5,"",IF(COUNTIFS(Release_Calendar!$A$2:$A$755,"NZ_CPI",Release_Calendar!$B$2:$B$755,$A5998)&gt;0,1,0))</f>
        <v>0</v>
      </c>
      <c r="N5998" s="16">
        <f>IF($A5998&lt;Notes!$B$5,"",IF(COUNTIFS(Release_Calendar!$A$2:$A$755,"NZ_GDP",Release_Calendar!$B$2:$B$755,$A5998)&gt;0,1,0))</f>
        <v>0</v>
      </c>
      <c r="O5998" s="16">
        <f>IF($A5998&lt;Notes!$B$5,"",IF(COUNTIFS(Release_Calendar!$A$2:$A$755,"NZ_LABOUR",Release_Calendar!$B$2:$B$755,$A5998)&gt;0,1,0))</f>
        <v>0</v>
      </c>
      <c r="P5998" s="16">
        <f t="shared" si="4"/>
        <v>0</v>
      </c>
    </row>
    <row r="5999" ht="15.75" customHeight="1">
      <c r="A5999" s="14">
        <v>44923.0</v>
      </c>
      <c r="B5999" s="15">
        <v>4.31</v>
      </c>
      <c r="C5999" s="15">
        <v>5.41</v>
      </c>
      <c r="D5999" s="15"/>
      <c r="E5999" s="15">
        <v>4.95</v>
      </c>
      <c r="F5999" s="15">
        <f t="shared" si="1"/>
        <v>1.1</v>
      </c>
      <c r="G5999" s="15">
        <f t="shared" si="2"/>
        <v>5.41</v>
      </c>
      <c r="H5999" s="16">
        <v>0.0</v>
      </c>
      <c r="I5999" s="15">
        <f t="shared" si="3"/>
        <v>1.1</v>
      </c>
      <c r="J5999" s="15">
        <v>22.14</v>
      </c>
      <c r="K5999" s="16">
        <f>IF(COUNTIFS(Release_Calendar!$A$2:$A$755,"US_CPI",Release_Calendar!$B$2:$B$755,$A5999)&gt;0,1,0)</f>
        <v>0</v>
      </c>
      <c r="L5999" s="16">
        <f>IF(COUNTIFS(Release_Calendar!$A$2:$A$755,"US_NFP",Release_Calendar!$B$2:$B$755,$A5999)&gt;0,1,0)</f>
        <v>0</v>
      </c>
      <c r="M5999" s="16">
        <f>IF($A5999&lt;Notes!$B$5,"",IF(COUNTIFS(Release_Calendar!$A$2:$A$755,"NZ_CPI",Release_Calendar!$B$2:$B$755,$A5999)&gt;0,1,0))</f>
        <v>0</v>
      </c>
      <c r="N5999" s="16">
        <f>IF($A5999&lt;Notes!$B$5,"",IF(COUNTIFS(Release_Calendar!$A$2:$A$755,"NZ_GDP",Release_Calendar!$B$2:$B$755,$A5999)&gt;0,1,0))</f>
        <v>0</v>
      </c>
      <c r="O5999" s="16">
        <f>IF($A5999&lt;Notes!$B$5,"",IF(COUNTIFS(Release_Calendar!$A$2:$A$755,"NZ_LABOUR",Release_Calendar!$B$2:$B$755,$A5999)&gt;0,1,0))</f>
        <v>0</v>
      </c>
      <c r="P5999" s="16">
        <f t="shared" si="4"/>
        <v>0</v>
      </c>
    </row>
    <row r="6000" ht="15.75" customHeight="1">
      <c r="A6000" s="14">
        <v>44924.0</v>
      </c>
      <c r="B6000" s="15">
        <v>4.34</v>
      </c>
      <c r="C6000" s="15">
        <v>5.41</v>
      </c>
      <c r="D6000" s="15"/>
      <c r="E6000" s="15">
        <v>4.93</v>
      </c>
      <c r="F6000" s="15">
        <f t="shared" si="1"/>
        <v>1.07</v>
      </c>
      <c r="G6000" s="15">
        <f t="shared" si="2"/>
        <v>5.41</v>
      </c>
      <c r="H6000" s="16">
        <v>0.0</v>
      </c>
      <c r="I6000" s="15">
        <f t="shared" si="3"/>
        <v>1.07</v>
      </c>
      <c r="J6000" s="15">
        <v>21.44</v>
      </c>
      <c r="K6000" s="16">
        <f>IF(COUNTIFS(Release_Calendar!$A$2:$A$755,"US_CPI",Release_Calendar!$B$2:$B$755,$A6000)&gt;0,1,0)</f>
        <v>0</v>
      </c>
      <c r="L6000" s="16">
        <f>IF(COUNTIFS(Release_Calendar!$A$2:$A$755,"US_NFP",Release_Calendar!$B$2:$B$755,$A6000)&gt;0,1,0)</f>
        <v>0</v>
      </c>
      <c r="M6000" s="16">
        <f>IF($A6000&lt;Notes!$B$5,"",IF(COUNTIFS(Release_Calendar!$A$2:$A$755,"NZ_CPI",Release_Calendar!$B$2:$B$755,$A6000)&gt;0,1,0))</f>
        <v>0</v>
      </c>
      <c r="N6000" s="16">
        <f>IF($A6000&lt;Notes!$B$5,"",IF(COUNTIFS(Release_Calendar!$A$2:$A$755,"NZ_GDP",Release_Calendar!$B$2:$B$755,$A6000)&gt;0,1,0))</f>
        <v>0</v>
      </c>
      <c r="O6000" s="16">
        <f>IF($A6000&lt;Notes!$B$5,"",IF(COUNTIFS(Release_Calendar!$A$2:$A$755,"NZ_LABOUR",Release_Calendar!$B$2:$B$755,$A6000)&gt;0,1,0))</f>
        <v>0</v>
      </c>
      <c r="P6000" s="16">
        <f t="shared" si="4"/>
        <v>0</v>
      </c>
    </row>
    <row r="6001" ht="15.75" customHeight="1">
      <c r="A6001" s="14">
        <v>44925.0</v>
      </c>
      <c r="B6001" s="15">
        <v>4.41</v>
      </c>
      <c r="C6001" s="15">
        <v>5.37</v>
      </c>
      <c r="D6001" s="15"/>
      <c r="E6001" s="15">
        <v>4.88</v>
      </c>
      <c r="F6001" s="15">
        <f t="shared" si="1"/>
        <v>0.96</v>
      </c>
      <c r="G6001" s="15">
        <f t="shared" si="2"/>
        <v>5.37</v>
      </c>
      <c r="H6001" s="16">
        <v>0.0</v>
      </c>
      <c r="I6001" s="15">
        <f t="shared" si="3"/>
        <v>0.96</v>
      </c>
      <c r="J6001" s="15">
        <v>21.67</v>
      </c>
      <c r="K6001" s="16">
        <f>IF(COUNTIFS(Release_Calendar!$A$2:$A$755,"US_CPI",Release_Calendar!$B$2:$B$755,$A6001)&gt;0,1,0)</f>
        <v>0</v>
      </c>
      <c r="L6001" s="16">
        <f>IF(COUNTIFS(Release_Calendar!$A$2:$A$755,"US_NFP",Release_Calendar!$B$2:$B$755,$A6001)&gt;0,1,0)</f>
        <v>0</v>
      </c>
      <c r="M6001" s="16">
        <f>IF($A6001&lt;Notes!$B$5,"",IF(COUNTIFS(Release_Calendar!$A$2:$A$755,"NZ_CPI",Release_Calendar!$B$2:$B$755,$A6001)&gt;0,1,0))</f>
        <v>0</v>
      </c>
      <c r="N6001" s="16">
        <f>IF($A6001&lt;Notes!$B$5,"",IF(COUNTIFS(Release_Calendar!$A$2:$A$755,"NZ_GDP",Release_Calendar!$B$2:$B$755,$A6001)&gt;0,1,0))</f>
        <v>0</v>
      </c>
      <c r="O6001" s="16">
        <f>IF($A6001&lt;Notes!$B$5,"",IF(COUNTIFS(Release_Calendar!$A$2:$A$755,"NZ_LABOUR",Release_Calendar!$B$2:$B$755,$A6001)&gt;0,1,0))</f>
        <v>0</v>
      </c>
      <c r="P6001" s="16">
        <f t="shared" si="4"/>
        <v>0</v>
      </c>
    </row>
    <row r="6002" ht="15.75" customHeight="1">
      <c r="A6002" s="14">
        <v>44928.0</v>
      </c>
      <c r="B6002" s="15"/>
      <c r="C6002" s="15"/>
      <c r="D6002" s="15"/>
      <c r="E6002" s="15"/>
      <c r="F6002" s="15" t="str">
        <f t="shared" si="1"/>
        <v/>
      </c>
      <c r="G6002" s="15" t="str">
        <f t="shared" si="2"/>
        <v/>
      </c>
      <c r="H6002" s="16">
        <v>0.0</v>
      </c>
      <c r="I6002" s="15" t="str">
        <f t="shared" si="3"/>
        <v/>
      </c>
      <c r="J6002" s="15"/>
      <c r="K6002" s="16">
        <f>IF(COUNTIFS(Release_Calendar!$A$2:$A$755,"US_CPI",Release_Calendar!$B$2:$B$755,$A6002)&gt;0,1,0)</f>
        <v>0</v>
      </c>
      <c r="L6002" s="16">
        <f>IF(COUNTIFS(Release_Calendar!$A$2:$A$755,"US_NFP",Release_Calendar!$B$2:$B$755,$A6002)&gt;0,1,0)</f>
        <v>0</v>
      </c>
      <c r="M6002" s="16">
        <f>IF($A6002&lt;Notes!$B$5,"",IF(COUNTIFS(Release_Calendar!$A$2:$A$755,"NZ_CPI",Release_Calendar!$B$2:$B$755,$A6002)&gt;0,1,0))</f>
        <v>0</v>
      </c>
      <c r="N6002" s="16">
        <f>IF($A6002&lt;Notes!$B$5,"",IF(COUNTIFS(Release_Calendar!$A$2:$A$755,"NZ_GDP",Release_Calendar!$B$2:$B$755,$A6002)&gt;0,1,0))</f>
        <v>0</v>
      </c>
      <c r="O6002" s="16">
        <f>IF($A6002&lt;Notes!$B$5,"",IF(COUNTIFS(Release_Calendar!$A$2:$A$755,"NZ_LABOUR",Release_Calendar!$B$2:$B$755,$A6002)&gt;0,1,0))</f>
        <v>0</v>
      </c>
      <c r="P6002" s="16">
        <f t="shared" si="4"/>
        <v>0</v>
      </c>
    </row>
    <row r="6003" ht="15.75" customHeight="1">
      <c r="A6003" s="14">
        <v>44929.0</v>
      </c>
      <c r="B6003" s="15">
        <v>4.4</v>
      </c>
      <c r="C6003" s="15"/>
      <c r="D6003" s="15"/>
      <c r="E6003" s="15"/>
      <c r="F6003" s="15" t="str">
        <f t="shared" si="1"/>
        <v/>
      </c>
      <c r="G6003" s="15" t="str">
        <f t="shared" si="2"/>
        <v/>
      </c>
      <c r="H6003" s="16">
        <v>0.0</v>
      </c>
      <c r="I6003" s="15" t="str">
        <f t="shared" si="3"/>
        <v/>
      </c>
      <c r="J6003" s="15">
        <v>22.9</v>
      </c>
      <c r="K6003" s="16">
        <f>IF(COUNTIFS(Release_Calendar!$A$2:$A$755,"US_CPI",Release_Calendar!$B$2:$B$755,$A6003)&gt;0,1,0)</f>
        <v>0</v>
      </c>
      <c r="L6003" s="16">
        <f>IF(COUNTIFS(Release_Calendar!$A$2:$A$755,"US_NFP",Release_Calendar!$B$2:$B$755,$A6003)&gt;0,1,0)</f>
        <v>0</v>
      </c>
      <c r="M6003" s="16">
        <f>IF($A6003&lt;Notes!$B$5,"",IF(COUNTIFS(Release_Calendar!$A$2:$A$755,"NZ_CPI",Release_Calendar!$B$2:$B$755,$A6003)&gt;0,1,0))</f>
        <v>0</v>
      </c>
      <c r="N6003" s="16">
        <f>IF($A6003&lt;Notes!$B$5,"",IF(COUNTIFS(Release_Calendar!$A$2:$A$755,"NZ_GDP",Release_Calendar!$B$2:$B$755,$A6003)&gt;0,1,0))</f>
        <v>0</v>
      </c>
      <c r="O6003" s="16">
        <f>IF($A6003&lt;Notes!$B$5,"",IF(COUNTIFS(Release_Calendar!$A$2:$A$755,"NZ_LABOUR",Release_Calendar!$B$2:$B$755,$A6003)&gt;0,1,0))</f>
        <v>0</v>
      </c>
      <c r="P6003" s="16">
        <f t="shared" si="4"/>
        <v>0</v>
      </c>
    </row>
    <row r="6004" ht="15.75" customHeight="1">
      <c r="A6004" s="14">
        <v>44930.0</v>
      </c>
      <c r="B6004" s="15">
        <v>4.36</v>
      </c>
      <c r="C6004" s="15">
        <v>5.28</v>
      </c>
      <c r="D6004" s="15"/>
      <c r="E6004" s="15">
        <v>4.8</v>
      </c>
      <c r="F6004" s="15">
        <f t="shared" si="1"/>
        <v>0.92</v>
      </c>
      <c r="G6004" s="15">
        <f t="shared" si="2"/>
        <v>5.28</v>
      </c>
      <c r="H6004" s="16">
        <v>0.0</v>
      </c>
      <c r="I6004" s="15">
        <f t="shared" si="3"/>
        <v>0.92</v>
      </c>
      <c r="J6004" s="15">
        <v>22.01</v>
      </c>
      <c r="K6004" s="16">
        <f>IF(COUNTIFS(Release_Calendar!$A$2:$A$755,"US_CPI",Release_Calendar!$B$2:$B$755,$A6004)&gt;0,1,0)</f>
        <v>0</v>
      </c>
      <c r="L6004" s="16">
        <f>IF(COUNTIFS(Release_Calendar!$A$2:$A$755,"US_NFP",Release_Calendar!$B$2:$B$755,$A6004)&gt;0,1,0)</f>
        <v>0</v>
      </c>
      <c r="M6004" s="16">
        <f>IF($A6004&lt;Notes!$B$5,"",IF(COUNTIFS(Release_Calendar!$A$2:$A$755,"NZ_CPI",Release_Calendar!$B$2:$B$755,$A6004)&gt;0,1,0))</f>
        <v>0</v>
      </c>
      <c r="N6004" s="16">
        <f>IF($A6004&lt;Notes!$B$5,"",IF(COUNTIFS(Release_Calendar!$A$2:$A$755,"NZ_GDP",Release_Calendar!$B$2:$B$755,$A6004)&gt;0,1,0))</f>
        <v>0</v>
      </c>
      <c r="O6004" s="16">
        <f>IF($A6004&lt;Notes!$B$5,"",IF(COUNTIFS(Release_Calendar!$A$2:$A$755,"NZ_LABOUR",Release_Calendar!$B$2:$B$755,$A6004)&gt;0,1,0))</f>
        <v>0</v>
      </c>
      <c r="P6004" s="16">
        <f t="shared" si="4"/>
        <v>0</v>
      </c>
    </row>
    <row r="6005" ht="15.75" customHeight="1">
      <c r="A6005" s="14">
        <v>44931.0</v>
      </c>
      <c r="B6005" s="15">
        <v>4.45</v>
      </c>
      <c r="C6005" s="15">
        <v>5.24</v>
      </c>
      <c r="D6005" s="15"/>
      <c r="E6005" s="15">
        <v>4.76</v>
      </c>
      <c r="F6005" s="15">
        <f t="shared" si="1"/>
        <v>0.79</v>
      </c>
      <c r="G6005" s="15">
        <f t="shared" si="2"/>
        <v>5.24</v>
      </c>
      <c r="H6005" s="16">
        <v>0.0</v>
      </c>
      <c r="I6005" s="15">
        <f t="shared" si="3"/>
        <v>0.79</v>
      </c>
      <c r="J6005" s="15">
        <v>22.46</v>
      </c>
      <c r="K6005" s="16">
        <f>IF(COUNTIFS(Release_Calendar!$A$2:$A$755,"US_CPI",Release_Calendar!$B$2:$B$755,$A6005)&gt;0,1,0)</f>
        <v>0</v>
      </c>
      <c r="L6005" s="16">
        <f>IF(COUNTIFS(Release_Calendar!$A$2:$A$755,"US_NFP",Release_Calendar!$B$2:$B$755,$A6005)&gt;0,1,0)</f>
        <v>0</v>
      </c>
      <c r="M6005" s="16">
        <f>IF($A6005&lt;Notes!$B$5,"",IF(COUNTIFS(Release_Calendar!$A$2:$A$755,"NZ_CPI",Release_Calendar!$B$2:$B$755,$A6005)&gt;0,1,0))</f>
        <v>0</v>
      </c>
      <c r="N6005" s="16">
        <f>IF($A6005&lt;Notes!$B$5,"",IF(COUNTIFS(Release_Calendar!$A$2:$A$755,"NZ_GDP",Release_Calendar!$B$2:$B$755,$A6005)&gt;0,1,0))</f>
        <v>0</v>
      </c>
      <c r="O6005" s="16">
        <f>IF($A6005&lt;Notes!$B$5,"",IF(COUNTIFS(Release_Calendar!$A$2:$A$755,"NZ_LABOUR",Release_Calendar!$B$2:$B$755,$A6005)&gt;0,1,0))</f>
        <v>0</v>
      </c>
      <c r="P6005" s="16">
        <f t="shared" si="4"/>
        <v>0</v>
      </c>
    </row>
    <row r="6006" ht="15.75" customHeight="1">
      <c r="A6006" s="14">
        <v>44932.0</v>
      </c>
      <c r="B6006" s="15">
        <v>4.24</v>
      </c>
      <c r="C6006" s="15">
        <v>5.23</v>
      </c>
      <c r="D6006" s="15"/>
      <c r="E6006" s="15">
        <v>4.77</v>
      </c>
      <c r="F6006" s="15">
        <f t="shared" si="1"/>
        <v>0.99</v>
      </c>
      <c r="G6006" s="15">
        <f t="shared" si="2"/>
        <v>5.23</v>
      </c>
      <c r="H6006" s="16">
        <v>0.0</v>
      </c>
      <c r="I6006" s="15">
        <f t="shared" si="3"/>
        <v>0.99</v>
      </c>
      <c r="J6006" s="15">
        <v>21.13</v>
      </c>
      <c r="K6006" s="16">
        <f>IF(COUNTIFS(Release_Calendar!$A$2:$A$755,"US_CPI",Release_Calendar!$B$2:$B$755,$A6006)&gt;0,1,0)</f>
        <v>0</v>
      </c>
      <c r="L6006" s="16">
        <f>IF(COUNTIFS(Release_Calendar!$A$2:$A$755,"US_NFP",Release_Calendar!$B$2:$B$755,$A6006)&gt;0,1,0)</f>
        <v>1</v>
      </c>
      <c r="M6006" s="16">
        <f>IF($A6006&lt;Notes!$B$5,"",IF(COUNTIFS(Release_Calendar!$A$2:$A$755,"NZ_CPI",Release_Calendar!$B$2:$B$755,$A6006)&gt;0,1,0))</f>
        <v>0</v>
      </c>
      <c r="N6006" s="16">
        <f>IF($A6006&lt;Notes!$B$5,"",IF(COUNTIFS(Release_Calendar!$A$2:$A$755,"NZ_GDP",Release_Calendar!$B$2:$B$755,$A6006)&gt;0,1,0))</f>
        <v>0</v>
      </c>
      <c r="O6006" s="16">
        <f>IF($A6006&lt;Notes!$B$5,"",IF(COUNTIFS(Release_Calendar!$A$2:$A$755,"NZ_LABOUR",Release_Calendar!$B$2:$B$755,$A6006)&gt;0,1,0))</f>
        <v>0</v>
      </c>
      <c r="P6006" s="16">
        <f t="shared" si="4"/>
        <v>1</v>
      </c>
    </row>
    <row r="6007" ht="15.75" customHeight="1">
      <c r="A6007" s="14">
        <v>44935.0</v>
      </c>
      <c r="B6007" s="15">
        <v>4.19</v>
      </c>
      <c r="C6007" s="15">
        <v>5.18</v>
      </c>
      <c r="D6007" s="15"/>
      <c r="E6007" s="15">
        <v>4.7</v>
      </c>
      <c r="F6007" s="15">
        <f t="shared" si="1"/>
        <v>0.99</v>
      </c>
      <c r="G6007" s="15">
        <f t="shared" si="2"/>
        <v>5.18</v>
      </c>
      <c r="H6007" s="16">
        <v>0.0</v>
      </c>
      <c r="I6007" s="15">
        <f t="shared" si="3"/>
        <v>0.99</v>
      </c>
      <c r="J6007" s="15">
        <v>21.97</v>
      </c>
      <c r="K6007" s="16">
        <f>IF(COUNTIFS(Release_Calendar!$A$2:$A$755,"US_CPI",Release_Calendar!$B$2:$B$755,$A6007)&gt;0,1,0)</f>
        <v>0</v>
      </c>
      <c r="L6007" s="16">
        <f>IF(COUNTIFS(Release_Calendar!$A$2:$A$755,"US_NFP",Release_Calendar!$B$2:$B$755,$A6007)&gt;0,1,0)</f>
        <v>0</v>
      </c>
      <c r="M6007" s="16">
        <f>IF($A6007&lt;Notes!$B$5,"",IF(COUNTIFS(Release_Calendar!$A$2:$A$755,"NZ_CPI",Release_Calendar!$B$2:$B$755,$A6007)&gt;0,1,0))</f>
        <v>0</v>
      </c>
      <c r="N6007" s="16">
        <f>IF($A6007&lt;Notes!$B$5,"",IF(COUNTIFS(Release_Calendar!$A$2:$A$755,"NZ_GDP",Release_Calendar!$B$2:$B$755,$A6007)&gt;0,1,0))</f>
        <v>0</v>
      </c>
      <c r="O6007" s="16">
        <f>IF($A6007&lt;Notes!$B$5,"",IF(COUNTIFS(Release_Calendar!$A$2:$A$755,"NZ_LABOUR",Release_Calendar!$B$2:$B$755,$A6007)&gt;0,1,0))</f>
        <v>0</v>
      </c>
      <c r="P6007" s="16">
        <f t="shared" si="4"/>
        <v>0</v>
      </c>
    </row>
    <row r="6008" ht="15.75" customHeight="1">
      <c r="A6008" s="14">
        <v>44936.0</v>
      </c>
      <c r="B6008" s="15">
        <v>4.24</v>
      </c>
      <c r="C6008" s="15">
        <v>5.18</v>
      </c>
      <c r="D6008" s="15"/>
      <c r="E6008" s="15">
        <v>4.66</v>
      </c>
      <c r="F6008" s="15">
        <f t="shared" si="1"/>
        <v>0.94</v>
      </c>
      <c r="G6008" s="15">
        <f t="shared" si="2"/>
        <v>5.18</v>
      </c>
      <c r="H6008" s="16">
        <v>0.0</v>
      </c>
      <c r="I6008" s="15">
        <f t="shared" si="3"/>
        <v>0.94</v>
      </c>
      <c r="J6008" s="15">
        <v>20.58</v>
      </c>
      <c r="K6008" s="16">
        <f>IF(COUNTIFS(Release_Calendar!$A$2:$A$755,"US_CPI",Release_Calendar!$B$2:$B$755,$A6008)&gt;0,1,0)</f>
        <v>0</v>
      </c>
      <c r="L6008" s="16">
        <f>IF(COUNTIFS(Release_Calendar!$A$2:$A$755,"US_NFP",Release_Calendar!$B$2:$B$755,$A6008)&gt;0,1,0)</f>
        <v>0</v>
      </c>
      <c r="M6008" s="16">
        <f>IF($A6008&lt;Notes!$B$5,"",IF(COUNTIFS(Release_Calendar!$A$2:$A$755,"NZ_CPI",Release_Calendar!$B$2:$B$755,$A6008)&gt;0,1,0))</f>
        <v>0</v>
      </c>
      <c r="N6008" s="16">
        <f>IF($A6008&lt;Notes!$B$5,"",IF(COUNTIFS(Release_Calendar!$A$2:$A$755,"NZ_GDP",Release_Calendar!$B$2:$B$755,$A6008)&gt;0,1,0))</f>
        <v>0</v>
      </c>
      <c r="O6008" s="16">
        <f>IF($A6008&lt;Notes!$B$5,"",IF(COUNTIFS(Release_Calendar!$A$2:$A$755,"NZ_LABOUR",Release_Calendar!$B$2:$B$755,$A6008)&gt;0,1,0))</f>
        <v>0</v>
      </c>
      <c r="P6008" s="16">
        <f t="shared" si="4"/>
        <v>0</v>
      </c>
    </row>
    <row r="6009" ht="15.75" customHeight="1">
      <c r="A6009" s="14">
        <v>44937.0</v>
      </c>
      <c r="B6009" s="15">
        <v>4.2</v>
      </c>
      <c r="C6009" s="15">
        <v>5.17</v>
      </c>
      <c r="D6009" s="15"/>
      <c r="E6009" s="15">
        <v>4.64</v>
      </c>
      <c r="F6009" s="15">
        <f t="shared" si="1"/>
        <v>0.97</v>
      </c>
      <c r="G6009" s="15">
        <f t="shared" si="2"/>
        <v>5.17</v>
      </c>
      <c r="H6009" s="16">
        <v>0.0</v>
      </c>
      <c r="I6009" s="15">
        <f t="shared" si="3"/>
        <v>0.97</v>
      </c>
      <c r="J6009" s="15">
        <v>21.09</v>
      </c>
      <c r="K6009" s="16">
        <f>IF(COUNTIFS(Release_Calendar!$A$2:$A$755,"US_CPI",Release_Calendar!$B$2:$B$755,$A6009)&gt;0,1,0)</f>
        <v>0</v>
      </c>
      <c r="L6009" s="16">
        <f>IF(COUNTIFS(Release_Calendar!$A$2:$A$755,"US_NFP",Release_Calendar!$B$2:$B$755,$A6009)&gt;0,1,0)</f>
        <v>0</v>
      </c>
      <c r="M6009" s="16">
        <f>IF($A6009&lt;Notes!$B$5,"",IF(COUNTIFS(Release_Calendar!$A$2:$A$755,"NZ_CPI",Release_Calendar!$B$2:$B$755,$A6009)&gt;0,1,0))</f>
        <v>0</v>
      </c>
      <c r="N6009" s="16">
        <f>IF($A6009&lt;Notes!$B$5,"",IF(COUNTIFS(Release_Calendar!$A$2:$A$755,"NZ_GDP",Release_Calendar!$B$2:$B$755,$A6009)&gt;0,1,0))</f>
        <v>0</v>
      </c>
      <c r="O6009" s="16">
        <f>IF($A6009&lt;Notes!$B$5,"",IF(COUNTIFS(Release_Calendar!$A$2:$A$755,"NZ_LABOUR",Release_Calendar!$B$2:$B$755,$A6009)&gt;0,1,0))</f>
        <v>0</v>
      </c>
      <c r="P6009" s="16">
        <f t="shared" si="4"/>
        <v>0</v>
      </c>
    </row>
    <row r="6010" ht="15.75" customHeight="1">
      <c r="A6010" s="14">
        <v>44938.0</v>
      </c>
      <c r="B6010" s="15">
        <v>4.12</v>
      </c>
      <c r="C6010" s="15">
        <v>5.08</v>
      </c>
      <c r="D6010" s="15"/>
      <c r="E6010" s="15">
        <v>4.5</v>
      </c>
      <c r="F6010" s="15">
        <f t="shared" si="1"/>
        <v>0.96</v>
      </c>
      <c r="G6010" s="15">
        <f t="shared" si="2"/>
        <v>5.08</v>
      </c>
      <c r="H6010" s="16">
        <v>0.0</v>
      </c>
      <c r="I6010" s="15">
        <f t="shared" si="3"/>
        <v>0.96</v>
      </c>
      <c r="J6010" s="15">
        <v>18.83</v>
      </c>
      <c r="K6010" s="16">
        <f>IF(COUNTIFS(Release_Calendar!$A$2:$A$755,"US_CPI",Release_Calendar!$B$2:$B$755,$A6010)&gt;0,1,0)</f>
        <v>1</v>
      </c>
      <c r="L6010" s="16">
        <f>IF(COUNTIFS(Release_Calendar!$A$2:$A$755,"US_NFP",Release_Calendar!$B$2:$B$755,$A6010)&gt;0,1,0)</f>
        <v>0</v>
      </c>
      <c r="M6010" s="16">
        <f>IF($A6010&lt;Notes!$B$5,"",IF(COUNTIFS(Release_Calendar!$A$2:$A$755,"NZ_CPI",Release_Calendar!$B$2:$B$755,$A6010)&gt;0,1,0))</f>
        <v>0</v>
      </c>
      <c r="N6010" s="16">
        <f>IF($A6010&lt;Notes!$B$5,"",IF(COUNTIFS(Release_Calendar!$A$2:$A$755,"NZ_GDP",Release_Calendar!$B$2:$B$755,$A6010)&gt;0,1,0))</f>
        <v>0</v>
      </c>
      <c r="O6010" s="16">
        <f>IF($A6010&lt;Notes!$B$5,"",IF(COUNTIFS(Release_Calendar!$A$2:$A$755,"NZ_LABOUR",Release_Calendar!$B$2:$B$755,$A6010)&gt;0,1,0))</f>
        <v>0</v>
      </c>
      <c r="P6010" s="16">
        <f t="shared" si="4"/>
        <v>1</v>
      </c>
    </row>
    <row r="6011" ht="15.75" customHeight="1">
      <c r="A6011" s="14">
        <v>44939.0</v>
      </c>
      <c r="B6011" s="15">
        <v>4.22</v>
      </c>
      <c r="C6011" s="15">
        <v>5.0</v>
      </c>
      <c r="D6011" s="15"/>
      <c r="E6011" s="15">
        <v>4.48</v>
      </c>
      <c r="F6011" s="15">
        <f t="shared" si="1"/>
        <v>0.78</v>
      </c>
      <c r="G6011" s="15">
        <f t="shared" si="2"/>
        <v>5</v>
      </c>
      <c r="H6011" s="16">
        <v>0.0</v>
      </c>
      <c r="I6011" s="15">
        <f t="shared" si="3"/>
        <v>0.78</v>
      </c>
      <c r="J6011" s="15">
        <v>18.35</v>
      </c>
      <c r="K6011" s="16">
        <f>IF(COUNTIFS(Release_Calendar!$A$2:$A$755,"US_CPI",Release_Calendar!$B$2:$B$755,$A6011)&gt;0,1,0)</f>
        <v>0</v>
      </c>
      <c r="L6011" s="16">
        <f>IF(COUNTIFS(Release_Calendar!$A$2:$A$755,"US_NFP",Release_Calendar!$B$2:$B$755,$A6011)&gt;0,1,0)</f>
        <v>0</v>
      </c>
      <c r="M6011" s="16">
        <f>IF($A6011&lt;Notes!$B$5,"",IF(COUNTIFS(Release_Calendar!$A$2:$A$755,"NZ_CPI",Release_Calendar!$B$2:$B$755,$A6011)&gt;0,1,0))</f>
        <v>0</v>
      </c>
      <c r="N6011" s="16">
        <f>IF($A6011&lt;Notes!$B$5,"",IF(COUNTIFS(Release_Calendar!$A$2:$A$755,"NZ_GDP",Release_Calendar!$B$2:$B$755,$A6011)&gt;0,1,0))</f>
        <v>0</v>
      </c>
      <c r="O6011" s="16">
        <f>IF($A6011&lt;Notes!$B$5,"",IF(COUNTIFS(Release_Calendar!$A$2:$A$755,"NZ_LABOUR",Release_Calendar!$B$2:$B$755,$A6011)&gt;0,1,0))</f>
        <v>0</v>
      </c>
      <c r="P6011" s="16">
        <f t="shared" si="4"/>
        <v>0</v>
      </c>
    </row>
    <row r="6012" ht="15.75" customHeight="1">
      <c r="A6012" s="14">
        <v>44942.0</v>
      </c>
      <c r="B6012" s="15"/>
      <c r="C6012" s="15">
        <v>5.02</v>
      </c>
      <c r="D6012" s="15"/>
      <c r="E6012" s="15">
        <v>4.49</v>
      </c>
      <c r="F6012" s="15" t="str">
        <f t="shared" si="1"/>
        <v/>
      </c>
      <c r="G6012" s="15">
        <f t="shared" si="2"/>
        <v>5.02</v>
      </c>
      <c r="H6012" s="16">
        <v>0.0</v>
      </c>
      <c r="I6012" s="15" t="str">
        <f t="shared" si="3"/>
        <v/>
      </c>
      <c r="J6012" s="15">
        <v>19.49</v>
      </c>
      <c r="K6012" s="16">
        <f>IF(COUNTIFS(Release_Calendar!$A$2:$A$755,"US_CPI",Release_Calendar!$B$2:$B$755,$A6012)&gt;0,1,0)</f>
        <v>0</v>
      </c>
      <c r="L6012" s="16">
        <f>IF(COUNTIFS(Release_Calendar!$A$2:$A$755,"US_NFP",Release_Calendar!$B$2:$B$755,$A6012)&gt;0,1,0)</f>
        <v>0</v>
      </c>
      <c r="M6012" s="16">
        <f>IF($A6012&lt;Notes!$B$5,"",IF(COUNTIFS(Release_Calendar!$A$2:$A$755,"NZ_CPI",Release_Calendar!$B$2:$B$755,$A6012)&gt;0,1,0))</f>
        <v>0</v>
      </c>
      <c r="N6012" s="16">
        <f>IF($A6012&lt;Notes!$B$5,"",IF(COUNTIFS(Release_Calendar!$A$2:$A$755,"NZ_GDP",Release_Calendar!$B$2:$B$755,$A6012)&gt;0,1,0))</f>
        <v>0</v>
      </c>
      <c r="O6012" s="16">
        <f>IF($A6012&lt;Notes!$B$5,"",IF(COUNTIFS(Release_Calendar!$A$2:$A$755,"NZ_LABOUR",Release_Calendar!$B$2:$B$755,$A6012)&gt;0,1,0))</f>
        <v>0</v>
      </c>
      <c r="P6012" s="16">
        <f t="shared" si="4"/>
        <v>0</v>
      </c>
    </row>
    <row r="6013" ht="15.75" customHeight="1">
      <c r="A6013" s="14">
        <v>44943.0</v>
      </c>
      <c r="B6013" s="15">
        <v>4.18</v>
      </c>
      <c r="C6013" s="15">
        <v>4.98</v>
      </c>
      <c r="D6013" s="15"/>
      <c r="E6013" s="15">
        <v>4.49</v>
      </c>
      <c r="F6013" s="15">
        <f t="shared" si="1"/>
        <v>0.8</v>
      </c>
      <c r="G6013" s="15">
        <f t="shared" si="2"/>
        <v>4.98</v>
      </c>
      <c r="H6013" s="16">
        <v>0.0</v>
      </c>
      <c r="I6013" s="15">
        <f t="shared" si="3"/>
        <v>0.8</v>
      </c>
      <c r="J6013" s="15">
        <v>19.36</v>
      </c>
      <c r="K6013" s="16">
        <f>IF(COUNTIFS(Release_Calendar!$A$2:$A$755,"US_CPI",Release_Calendar!$B$2:$B$755,$A6013)&gt;0,1,0)</f>
        <v>0</v>
      </c>
      <c r="L6013" s="16">
        <f>IF(COUNTIFS(Release_Calendar!$A$2:$A$755,"US_NFP",Release_Calendar!$B$2:$B$755,$A6013)&gt;0,1,0)</f>
        <v>0</v>
      </c>
      <c r="M6013" s="16">
        <f>IF($A6013&lt;Notes!$B$5,"",IF(COUNTIFS(Release_Calendar!$A$2:$A$755,"NZ_CPI",Release_Calendar!$B$2:$B$755,$A6013)&gt;0,1,0))</f>
        <v>0</v>
      </c>
      <c r="N6013" s="16">
        <f>IF($A6013&lt;Notes!$B$5,"",IF(COUNTIFS(Release_Calendar!$A$2:$A$755,"NZ_GDP",Release_Calendar!$B$2:$B$755,$A6013)&gt;0,1,0))</f>
        <v>0</v>
      </c>
      <c r="O6013" s="16">
        <f>IF($A6013&lt;Notes!$B$5,"",IF(COUNTIFS(Release_Calendar!$A$2:$A$755,"NZ_LABOUR",Release_Calendar!$B$2:$B$755,$A6013)&gt;0,1,0))</f>
        <v>0</v>
      </c>
      <c r="P6013" s="16">
        <f t="shared" si="4"/>
        <v>0</v>
      </c>
    </row>
    <row r="6014" ht="15.75" customHeight="1">
      <c r="A6014" s="14">
        <v>44944.0</v>
      </c>
      <c r="B6014" s="15">
        <v>4.06</v>
      </c>
      <c r="C6014" s="15">
        <v>4.98</v>
      </c>
      <c r="D6014" s="15"/>
      <c r="E6014" s="15">
        <v>4.48</v>
      </c>
      <c r="F6014" s="15">
        <f t="shared" si="1"/>
        <v>0.92</v>
      </c>
      <c r="G6014" s="15">
        <f t="shared" si="2"/>
        <v>4.98</v>
      </c>
      <c r="H6014" s="16">
        <v>0.0</v>
      </c>
      <c r="I6014" s="15">
        <f t="shared" si="3"/>
        <v>0.92</v>
      </c>
      <c r="J6014" s="15">
        <v>20.34</v>
      </c>
      <c r="K6014" s="16">
        <f>IF(COUNTIFS(Release_Calendar!$A$2:$A$755,"US_CPI",Release_Calendar!$B$2:$B$755,$A6014)&gt;0,1,0)</f>
        <v>0</v>
      </c>
      <c r="L6014" s="16">
        <f>IF(COUNTIFS(Release_Calendar!$A$2:$A$755,"US_NFP",Release_Calendar!$B$2:$B$755,$A6014)&gt;0,1,0)</f>
        <v>0</v>
      </c>
      <c r="M6014" s="16">
        <f>IF($A6014&lt;Notes!$B$5,"",IF(COUNTIFS(Release_Calendar!$A$2:$A$755,"NZ_CPI",Release_Calendar!$B$2:$B$755,$A6014)&gt;0,1,0))</f>
        <v>0</v>
      </c>
      <c r="N6014" s="16">
        <f>IF($A6014&lt;Notes!$B$5,"",IF(COUNTIFS(Release_Calendar!$A$2:$A$755,"NZ_GDP",Release_Calendar!$B$2:$B$755,$A6014)&gt;0,1,0))</f>
        <v>0</v>
      </c>
      <c r="O6014" s="16">
        <f>IF($A6014&lt;Notes!$B$5,"",IF(COUNTIFS(Release_Calendar!$A$2:$A$755,"NZ_LABOUR",Release_Calendar!$B$2:$B$755,$A6014)&gt;0,1,0))</f>
        <v>0</v>
      </c>
      <c r="P6014" s="16">
        <f t="shared" si="4"/>
        <v>0</v>
      </c>
    </row>
    <row r="6015" ht="15.75" customHeight="1">
      <c r="A6015" s="14">
        <v>44945.0</v>
      </c>
      <c r="B6015" s="15">
        <v>4.09</v>
      </c>
      <c r="C6015" s="15">
        <v>4.87</v>
      </c>
      <c r="D6015" s="15"/>
      <c r="E6015" s="15">
        <v>4.36</v>
      </c>
      <c r="F6015" s="15">
        <f t="shared" si="1"/>
        <v>0.78</v>
      </c>
      <c r="G6015" s="15">
        <f t="shared" si="2"/>
        <v>4.87</v>
      </c>
      <c r="H6015" s="16">
        <v>0.0</v>
      </c>
      <c r="I6015" s="15">
        <f t="shared" si="3"/>
        <v>0.78</v>
      </c>
      <c r="J6015" s="15">
        <v>20.52</v>
      </c>
      <c r="K6015" s="16">
        <f>IF(COUNTIFS(Release_Calendar!$A$2:$A$755,"US_CPI",Release_Calendar!$B$2:$B$755,$A6015)&gt;0,1,0)</f>
        <v>0</v>
      </c>
      <c r="L6015" s="16">
        <f>IF(COUNTIFS(Release_Calendar!$A$2:$A$755,"US_NFP",Release_Calendar!$B$2:$B$755,$A6015)&gt;0,1,0)</f>
        <v>0</v>
      </c>
      <c r="M6015" s="16">
        <f>IF($A6015&lt;Notes!$B$5,"",IF(COUNTIFS(Release_Calendar!$A$2:$A$755,"NZ_CPI",Release_Calendar!$B$2:$B$755,$A6015)&gt;0,1,0))</f>
        <v>0</v>
      </c>
      <c r="N6015" s="16">
        <f>IF($A6015&lt;Notes!$B$5,"",IF(COUNTIFS(Release_Calendar!$A$2:$A$755,"NZ_GDP",Release_Calendar!$B$2:$B$755,$A6015)&gt;0,1,0))</f>
        <v>0</v>
      </c>
      <c r="O6015" s="16">
        <f>IF($A6015&lt;Notes!$B$5,"",IF(COUNTIFS(Release_Calendar!$A$2:$A$755,"NZ_LABOUR",Release_Calendar!$B$2:$B$755,$A6015)&gt;0,1,0))</f>
        <v>0</v>
      </c>
      <c r="P6015" s="16">
        <f t="shared" si="4"/>
        <v>0</v>
      </c>
    </row>
    <row r="6016" ht="15.75" customHeight="1">
      <c r="A6016" s="14">
        <v>44946.0</v>
      </c>
      <c r="B6016" s="15">
        <v>4.14</v>
      </c>
      <c r="C6016" s="15">
        <v>4.93</v>
      </c>
      <c r="D6016" s="15"/>
      <c r="E6016" s="15">
        <v>4.44</v>
      </c>
      <c r="F6016" s="15">
        <f t="shared" si="1"/>
        <v>0.79</v>
      </c>
      <c r="G6016" s="15">
        <f t="shared" si="2"/>
        <v>4.93</v>
      </c>
      <c r="H6016" s="16">
        <v>0.0</v>
      </c>
      <c r="I6016" s="15">
        <f t="shared" si="3"/>
        <v>0.79</v>
      </c>
      <c r="J6016" s="15">
        <v>19.85</v>
      </c>
      <c r="K6016" s="16">
        <f>IF(COUNTIFS(Release_Calendar!$A$2:$A$755,"US_CPI",Release_Calendar!$B$2:$B$755,$A6016)&gt;0,1,0)</f>
        <v>0</v>
      </c>
      <c r="L6016" s="16">
        <f>IF(COUNTIFS(Release_Calendar!$A$2:$A$755,"US_NFP",Release_Calendar!$B$2:$B$755,$A6016)&gt;0,1,0)</f>
        <v>0</v>
      </c>
      <c r="M6016" s="16">
        <f>IF($A6016&lt;Notes!$B$5,"",IF(COUNTIFS(Release_Calendar!$A$2:$A$755,"NZ_CPI",Release_Calendar!$B$2:$B$755,$A6016)&gt;0,1,0))</f>
        <v>0</v>
      </c>
      <c r="N6016" s="16">
        <f>IF($A6016&lt;Notes!$B$5,"",IF(COUNTIFS(Release_Calendar!$A$2:$A$755,"NZ_GDP",Release_Calendar!$B$2:$B$755,$A6016)&gt;0,1,0))</f>
        <v>0</v>
      </c>
      <c r="O6016" s="16">
        <f>IF($A6016&lt;Notes!$B$5,"",IF(COUNTIFS(Release_Calendar!$A$2:$A$755,"NZ_LABOUR",Release_Calendar!$B$2:$B$755,$A6016)&gt;0,1,0))</f>
        <v>0</v>
      </c>
      <c r="P6016" s="16">
        <f t="shared" si="4"/>
        <v>0</v>
      </c>
    </row>
    <row r="6017" ht="15.75" customHeight="1">
      <c r="A6017" s="14">
        <v>44949.0</v>
      </c>
      <c r="B6017" s="15">
        <v>4.21</v>
      </c>
      <c r="C6017" s="15">
        <v>4.93</v>
      </c>
      <c r="D6017" s="15"/>
      <c r="E6017" s="15">
        <v>4.44</v>
      </c>
      <c r="F6017" s="15">
        <f t="shared" si="1"/>
        <v>0.72</v>
      </c>
      <c r="G6017" s="15">
        <f t="shared" si="2"/>
        <v>4.93</v>
      </c>
      <c r="H6017" s="16">
        <v>0.0</v>
      </c>
      <c r="I6017" s="15">
        <f t="shared" si="3"/>
        <v>0.72</v>
      </c>
      <c r="J6017" s="15">
        <v>19.81</v>
      </c>
      <c r="K6017" s="16">
        <f>IF(COUNTIFS(Release_Calendar!$A$2:$A$755,"US_CPI",Release_Calendar!$B$2:$B$755,$A6017)&gt;0,1,0)</f>
        <v>0</v>
      </c>
      <c r="L6017" s="16">
        <f>IF(COUNTIFS(Release_Calendar!$A$2:$A$755,"US_NFP",Release_Calendar!$B$2:$B$755,$A6017)&gt;0,1,0)</f>
        <v>0</v>
      </c>
      <c r="M6017" s="16">
        <f>IF($A6017&lt;Notes!$B$5,"",IF(COUNTIFS(Release_Calendar!$A$2:$A$755,"NZ_CPI",Release_Calendar!$B$2:$B$755,$A6017)&gt;0,1,0))</f>
        <v>0</v>
      </c>
      <c r="N6017" s="16">
        <f>IF($A6017&lt;Notes!$B$5,"",IF(COUNTIFS(Release_Calendar!$A$2:$A$755,"NZ_GDP",Release_Calendar!$B$2:$B$755,$A6017)&gt;0,1,0))</f>
        <v>0</v>
      </c>
      <c r="O6017" s="16">
        <f>IF($A6017&lt;Notes!$B$5,"",IF(COUNTIFS(Release_Calendar!$A$2:$A$755,"NZ_LABOUR",Release_Calendar!$B$2:$B$755,$A6017)&gt;0,1,0))</f>
        <v>0</v>
      </c>
      <c r="P6017" s="16">
        <f t="shared" si="4"/>
        <v>0</v>
      </c>
    </row>
    <row r="6018" ht="15.75" customHeight="1">
      <c r="A6018" s="14">
        <v>44950.0</v>
      </c>
      <c r="B6018" s="15">
        <v>4.12</v>
      </c>
      <c r="C6018" s="15">
        <v>5.01</v>
      </c>
      <c r="D6018" s="15"/>
      <c r="E6018" s="15">
        <v>4.52</v>
      </c>
      <c r="F6018" s="15">
        <f t="shared" si="1"/>
        <v>0.89</v>
      </c>
      <c r="G6018" s="15">
        <f t="shared" si="2"/>
        <v>5.01</v>
      </c>
      <c r="H6018" s="16">
        <v>0.0</v>
      </c>
      <c r="I6018" s="15">
        <f t="shared" si="3"/>
        <v>0.89</v>
      </c>
      <c r="J6018" s="15">
        <v>19.2</v>
      </c>
      <c r="K6018" s="16">
        <f>IF(COUNTIFS(Release_Calendar!$A$2:$A$755,"US_CPI",Release_Calendar!$B$2:$B$755,$A6018)&gt;0,1,0)</f>
        <v>0</v>
      </c>
      <c r="L6018" s="16">
        <f>IF(COUNTIFS(Release_Calendar!$A$2:$A$755,"US_NFP",Release_Calendar!$B$2:$B$755,$A6018)&gt;0,1,0)</f>
        <v>0</v>
      </c>
      <c r="M6018" s="16">
        <f>IF($A6018&lt;Notes!$B$5,"",IF(COUNTIFS(Release_Calendar!$A$2:$A$755,"NZ_CPI",Release_Calendar!$B$2:$B$755,$A6018)&gt;0,1,0))</f>
        <v>0</v>
      </c>
      <c r="N6018" s="16">
        <f>IF($A6018&lt;Notes!$B$5,"",IF(COUNTIFS(Release_Calendar!$A$2:$A$755,"NZ_GDP",Release_Calendar!$B$2:$B$755,$A6018)&gt;0,1,0))</f>
        <v>0</v>
      </c>
      <c r="O6018" s="16">
        <f>IF($A6018&lt;Notes!$B$5,"",IF(COUNTIFS(Release_Calendar!$A$2:$A$755,"NZ_LABOUR",Release_Calendar!$B$2:$B$755,$A6018)&gt;0,1,0))</f>
        <v>0</v>
      </c>
      <c r="P6018" s="16">
        <f t="shared" si="4"/>
        <v>0</v>
      </c>
    </row>
    <row r="6019" ht="15.75" customHeight="1">
      <c r="A6019" s="14">
        <v>44951.0</v>
      </c>
      <c r="B6019" s="15">
        <v>4.11</v>
      </c>
      <c r="C6019" s="15">
        <v>4.88</v>
      </c>
      <c r="D6019" s="15"/>
      <c r="E6019" s="15">
        <v>4.45</v>
      </c>
      <c r="F6019" s="15">
        <f t="shared" si="1"/>
        <v>0.77</v>
      </c>
      <c r="G6019" s="15">
        <f t="shared" si="2"/>
        <v>4.88</v>
      </c>
      <c r="H6019" s="16">
        <v>0.0</v>
      </c>
      <c r="I6019" s="15">
        <f t="shared" si="3"/>
        <v>0.77</v>
      </c>
      <c r="J6019" s="15">
        <v>19.08</v>
      </c>
      <c r="K6019" s="16">
        <f>IF(COUNTIFS(Release_Calendar!$A$2:$A$755,"US_CPI",Release_Calendar!$B$2:$B$755,$A6019)&gt;0,1,0)</f>
        <v>0</v>
      </c>
      <c r="L6019" s="16">
        <f>IF(COUNTIFS(Release_Calendar!$A$2:$A$755,"US_NFP",Release_Calendar!$B$2:$B$755,$A6019)&gt;0,1,0)</f>
        <v>0</v>
      </c>
      <c r="M6019" s="16">
        <f>IF($A6019&lt;Notes!$B$5,"",IF(COUNTIFS(Release_Calendar!$A$2:$A$755,"NZ_CPI",Release_Calendar!$B$2:$B$755,$A6019)&gt;0,1,0))</f>
        <v>1</v>
      </c>
      <c r="N6019" s="16">
        <f>IF($A6019&lt;Notes!$B$5,"",IF(COUNTIFS(Release_Calendar!$A$2:$A$755,"NZ_GDP",Release_Calendar!$B$2:$B$755,$A6019)&gt;0,1,0))</f>
        <v>0</v>
      </c>
      <c r="O6019" s="16">
        <f>IF($A6019&lt;Notes!$B$5,"",IF(COUNTIFS(Release_Calendar!$A$2:$A$755,"NZ_LABOUR",Release_Calendar!$B$2:$B$755,$A6019)&gt;0,1,0))</f>
        <v>0</v>
      </c>
      <c r="P6019" s="16">
        <f t="shared" si="4"/>
        <v>1</v>
      </c>
    </row>
    <row r="6020" ht="15.75" customHeight="1">
      <c r="A6020" s="14">
        <v>44952.0</v>
      </c>
      <c r="B6020" s="15">
        <v>4.17</v>
      </c>
      <c r="C6020" s="15">
        <v>4.83</v>
      </c>
      <c r="D6020" s="15"/>
      <c r="E6020" s="15">
        <v>4.4</v>
      </c>
      <c r="F6020" s="15">
        <f t="shared" si="1"/>
        <v>0.66</v>
      </c>
      <c r="G6020" s="15">
        <f t="shared" si="2"/>
        <v>4.83</v>
      </c>
      <c r="H6020" s="16">
        <v>0.0</v>
      </c>
      <c r="I6020" s="15">
        <f t="shared" si="3"/>
        <v>0.66</v>
      </c>
      <c r="J6020" s="15">
        <v>18.73</v>
      </c>
      <c r="K6020" s="16">
        <f>IF(COUNTIFS(Release_Calendar!$A$2:$A$755,"US_CPI",Release_Calendar!$B$2:$B$755,$A6020)&gt;0,1,0)</f>
        <v>0</v>
      </c>
      <c r="L6020" s="16">
        <f>IF(COUNTIFS(Release_Calendar!$A$2:$A$755,"US_NFP",Release_Calendar!$B$2:$B$755,$A6020)&gt;0,1,0)</f>
        <v>0</v>
      </c>
      <c r="M6020" s="16">
        <f>IF($A6020&lt;Notes!$B$5,"",IF(COUNTIFS(Release_Calendar!$A$2:$A$755,"NZ_CPI",Release_Calendar!$B$2:$B$755,$A6020)&gt;0,1,0))</f>
        <v>0</v>
      </c>
      <c r="N6020" s="16">
        <f>IF($A6020&lt;Notes!$B$5,"",IF(COUNTIFS(Release_Calendar!$A$2:$A$755,"NZ_GDP",Release_Calendar!$B$2:$B$755,$A6020)&gt;0,1,0))</f>
        <v>0</v>
      </c>
      <c r="O6020" s="16">
        <f>IF($A6020&lt;Notes!$B$5,"",IF(COUNTIFS(Release_Calendar!$A$2:$A$755,"NZ_LABOUR",Release_Calendar!$B$2:$B$755,$A6020)&gt;0,1,0))</f>
        <v>0</v>
      </c>
      <c r="P6020" s="16">
        <f t="shared" si="4"/>
        <v>0</v>
      </c>
    </row>
    <row r="6021" ht="15.75" customHeight="1">
      <c r="A6021" s="14">
        <v>44953.0</v>
      </c>
      <c r="B6021" s="15">
        <v>4.19</v>
      </c>
      <c r="C6021" s="15">
        <v>4.9</v>
      </c>
      <c r="D6021" s="15"/>
      <c r="E6021" s="15">
        <v>4.44</v>
      </c>
      <c r="F6021" s="15">
        <f t="shared" si="1"/>
        <v>0.71</v>
      </c>
      <c r="G6021" s="15">
        <f t="shared" si="2"/>
        <v>4.9</v>
      </c>
      <c r="H6021" s="16">
        <v>0.0</v>
      </c>
      <c r="I6021" s="15">
        <f t="shared" si="3"/>
        <v>0.71</v>
      </c>
      <c r="J6021" s="15">
        <v>18.51</v>
      </c>
      <c r="K6021" s="16">
        <f>IF(COUNTIFS(Release_Calendar!$A$2:$A$755,"US_CPI",Release_Calendar!$B$2:$B$755,$A6021)&gt;0,1,0)</f>
        <v>0</v>
      </c>
      <c r="L6021" s="16">
        <f>IF(COUNTIFS(Release_Calendar!$A$2:$A$755,"US_NFP",Release_Calendar!$B$2:$B$755,$A6021)&gt;0,1,0)</f>
        <v>0</v>
      </c>
      <c r="M6021" s="16">
        <f>IF($A6021&lt;Notes!$B$5,"",IF(COUNTIFS(Release_Calendar!$A$2:$A$755,"NZ_CPI",Release_Calendar!$B$2:$B$755,$A6021)&gt;0,1,0))</f>
        <v>0</v>
      </c>
      <c r="N6021" s="16">
        <f>IF($A6021&lt;Notes!$B$5,"",IF(COUNTIFS(Release_Calendar!$A$2:$A$755,"NZ_GDP",Release_Calendar!$B$2:$B$755,$A6021)&gt;0,1,0))</f>
        <v>0</v>
      </c>
      <c r="O6021" s="16">
        <f>IF($A6021&lt;Notes!$B$5,"",IF(COUNTIFS(Release_Calendar!$A$2:$A$755,"NZ_LABOUR",Release_Calendar!$B$2:$B$755,$A6021)&gt;0,1,0))</f>
        <v>0</v>
      </c>
      <c r="P6021" s="16">
        <f t="shared" si="4"/>
        <v>0</v>
      </c>
    </row>
    <row r="6022" ht="15.75" customHeight="1">
      <c r="A6022" s="14">
        <v>44956.0</v>
      </c>
      <c r="B6022" s="15">
        <v>4.25</v>
      </c>
      <c r="C6022" s="15">
        <v>4.9</v>
      </c>
      <c r="D6022" s="15"/>
      <c r="E6022" s="15">
        <v>4.44</v>
      </c>
      <c r="F6022" s="15">
        <f t="shared" si="1"/>
        <v>0.65</v>
      </c>
      <c r="G6022" s="15">
        <f t="shared" si="2"/>
        <v>4.9</v>
      </c>
      <c r="H6022" s="16">
        <v>0.0</v>
      </c>
      <c r="I6022" s="15">
        <f t="shared" si="3"/>
        <v>0.65</v>
      </c>
      <c r="J6022" s="15">
        <v>19.94</v>
      </c>
      <c r="K6022" s="16">
        <f>IF(COUNTIFS(Release_Calendar!$A$2:$A$755,"US_CPI",Release_Calendar!$B$2:$B$755,$A6022)&gt;0,1,0)</f>
        <v>0</v>
      </c>
      <c r="L6022" s="16">
        <f>IF(COUNTIFS(Release_Calendar!$A$2:$A$755,"US_NFP",Release_Calendar!$B$2:$B$755,$A6022)&gt;0,1,0)</f>
        <v>0</v>
      </c>
      <c r="M6022" s="16">
        <f>IF($A6022&lt;Notes!$B$5,"",IF(COUNTIFS(Release_Calendar!$A$2:$A$755,"NZ_CPI",Release_Calendar!$B$2:$B$755,$A6022)&gt;0,1,0))</f>
        <v>0</v>
      </c>
      <c r="N6022" s="16">
        <f>IF($A6022&lt;Notes!$B$5,"",IF(COUNTIFS(Release_Calendar!$A$2:$A$755,"NZ_GDP",Release_Calendar!$B$2:$B$755,$A6022)&gt;0,1,0))</f>
        <v>0</v>
      </c>
      <c r="O6022" s="16">
        <f>IF($A6022&lt;Notes!$B$5,"",IF(COUNTIFS(Release_Calendar!$A$2:$A$755,"NZ_LABOUR",Release_Calendar!$B$2:$B$755,$A6022)&gt;0,1,0))</f>
        <v>0</v>
      </c>
      <c r="P6022" s="16">
        <f t="shared" si="4"/>
        <v>0</v>
      </c>
    </row>
    <row r="6023" ht="15.75" customHeight="1">
      <c r="A6023" s="14">
        <v>44957.0</v>
      </c>
      <c r="B6023" s="15">
        <v>4.21</v>
      </c>
      <c r="C6023" s="15">
        <v>4.99</v>
      </c>
      <c r="D6023" s="15"/>
      <c r="E6023" s="15">
        <v>4.5</v>
      </c>
      <c r="F6023" s="15">
        <f t="shared" si="1"/>
        <v>0.78</v>
      </c>
      <c r="G6023" s="15">
        <f t="shared" si="2"/>
        <v>4.99</v>
      </c>
      <c r="H6023" s="16">
        <v>0.0</v>
      </c>
      <c r="I6023" s="15">
        <f t="shared" si="3"/>
        <v>0.78</v>
      </c>
      <c r="J6023" s="15">
        <v>19.4</v>
      </c>
      <c r="K6023" s="16">
        <f>IF(COUNTIFS(Release_Calendar!$A$2:$A$755,"US_CPI",Release_Calendar!$B$2:$B$755,$A6023)&gt;0,1,0)</f>
        <v>0</v>
      </c>
      <c r="L6023" s="16">
        <f>IF(COUNTIFS(Release_Calendar!$A$2:$A$755,"US_NFP",Release_Calendar!$B$2:$B$755,$A6023)&gt;0,1,0)</f>
        <v>0</v>
      </c>
      <c r="M6023" s="16">
        <f>IF($A6023&lt;Notes!$B$5,"",IF(COUNTIFS(Release_Calendar!$A$2:$A$755,"NZ_CPI",Release_Calendar!$B$2:$B$755,$A6023)&gt;0,1,0))</f>
        <v>0</v>
      </c>
      <c r="N6023" s="16">
        <f>IF($A6023&lt;Notes!$B$5,"",IF(COUNTIFS(Release_Calendar!$A$2:$A$755,"NZ_GDP",Release_Calendar!$B$2:$B$755,$A6023)&gt;0,1,0))</f>
        <v>0</v>
      </c>
      <c r="O6023" s="16">
        <f>IF($A6023&lt;Notes!$B$5,"",IF(COUNTIFS(Release_Calendar!$A$2:$A$755,"NZ_LABOUR",Release_Calendar!$B$2:$B$755,$A6023)&gt;0,1,0))</f>
        <v>0</v>
      </c>
      <c r="P6023" s="16">
        <f t="shared" si="4"/>
        <v>0</v>
      </c>
    </row>
    <row r="6024" ht="15.75" customHeight="1">
      <c r="A6024" s="14">
        <v>44958.0</v>
      </c>
      <c r="B6024" s="15">
        <v>4.09</v>
      </c>
      <c r="C6024" s="15">
        <v>4.91</v>
      </c>
      <c r="D6024" s="15"/>
      <c r="E6024" s="15">
        <v>4.43</v>
      </c>
      <c r="F6024" s="15">
        <f t="shared" si="1"/>
        <v>0.82</v>
      </c>
      <c r="G6024" s="15">
        <f t="shared" si="2"/>
        <v>4.91</v>
      </c>
      <c r="H6024" s="16">
        <v>0.0</v>
      </c>
      <c r="I6024" s="15">
        <f t="shared" si="3"/>
        <v>0.82</v>
      </c>
      <c r="J6024" s="15">
        <v>17.87</v>
      </c>
      <c r="K6024" s="16">
        <f>IF(COUNTIFS(Release_Calendar!$A$2:$A$755,"US_CPI",Release_Calendar!$B$2:$B$755,$A6024)&gt;0,1,0)</f>
        <v>0</v>
      </c>
      <c r="L6024" s="16">
        <f>IF(COUNTIFS(Release_Calendar!$A$2:$A$755,"US_NFP",Release_Calendar!$B$2:$B$755,$A6024)&gt;0,1,0)</f>
        <v>0</v>
      </c>
      <c r="M6024" s="16">
        <f>IF($A6024&lt;Notes!$B$5,"",IF(COUNTIFS(Release_Calendar!$A$2:$A$755,"NZ_CPI",Release_Calendar!$B$2:$B$755,$A6024)&gt;0,1,0))</f>
        <v>0</v>
      </c>
      <c r="N6024" s="16">
        <f>IF($A6024&lt;Notes!$B$5,"",IF(COUNTIFS(Release_Calendar!$A$2:$A$755,"NZ_GDP",Release_Calendar!$B$2:$B$755,$A6024)&gt;0,1,0))</f>
        <v>0</v>
      </c>
      <c r="O6024" s="16">
        <f>IF($A6024&lt;Notes!$B$5,"",IF(COUNTIFS(Release_Calendar!$A$2:$A$755,"NZ_LABOUR",Release_Calendar!$B$2:$B$755,$A6024)&gt;0,1,0))</f>
        <v>1</v>
      </c>
      <c r="P6024" s="16">
        <f t="shared" si="4"/>
        <v>1</v>
      </c>
    </row>
    <row r="6025" ht="15.75" customHeight="1">
      <c r="A6025" s="14">
        <v>44959.0</v>
      </c>
      <c r="B6025" s="15">
        <v>4.09</v>
      </c>
      <c r="C6025" s="15">
        <v>4.76</v>
      </c>
      <c r="D6025" s="15"/>
      <c r="E6025" s="15">
        <v>4.32</v>
      </c>
      <c r="F6025" s="15">
        <f t="shared" si="1"/>
        <v>0.67</v>
      </c>
      <c r="G6025" s="15">
        <f t="shared" si="2"/>
        <v>4.76</v>
      </c>
      <c r="H6025" s="16">
        <v>0.0</v>
      </c>
      <c r="I6025" s="15">
        <f t="shared" si="3"/>
        <v>0.67</v>
      </c>
      <c r="J6025" s="15">
        <v>18.73</v>
      </c>
      <c r="K6025" s="16">
        <f>IF(COUNTIFS(Release_Calendar!$A$2:$A$755,"US_CPI",Release_Calendar!$B$2:$B$755,$A6025)&gt;0,1,0)</f>
        <v>0</v>
      </c>
      <c r="L6025" s="16">
        <f>IF(COUNTIFS(Release_Calendar!$A$2:$A$755,"US_NFP",Release_Calendar!$B$2:$B$755,$A6025)&gt;0,1,0)</f>
        <v>0</v>
      </c>
      <c r="M6025" s="16">
        <f>IF($A6025&lt;Notes!$B$5,"",IF(COUNTIFS(Release_Calendar!$A$2:$A$755,"NZ_CPI",Release_Calendar!$B$2:$B$755,$A6025)&gt;0,1,0))</f>
        <v>0</v>
      </c>
      <c r="N6025" s="16">
        <f>IF($A6025&lt;Notes!$B$5,"",IF(COUNTIFS(Release_Calendar!$A$2:$A$755,"NZ_GDP",Release_Calendar!$B$2:$B$755,$A6025)&gt;0,1,0))</f>
        <v>0</v>
      </c>
      <c r="O6025" s="16">
        <f>IF($A6025&lt;Notes!$B$5,"",IF(COUNTIFS(Release_Calendar!$A$2:$A$755,"NZ_LABOUR",Release_Calendar!$B$2:$B$755,$A6025)&gt;0,1,0))</f>
        <v>0</v>
      </c>
      <c r="P6025" s="16">
        <f t="shared" si="4"/>
        <v>0</v>
      </c>
    </row>
    <row r="6026" ht="15.75" customHeight="1">
      <c r="A6026" s="14">
        <v>44960.0</v>
      </c>
      <c r="B6026" s="15">
        <v>4.3</v>
      </c>
      <c r="C6026" s="15">
        <v>4.7</v>
      </c>
      <c r="D6026" s="15"/>
      <c r="E6026" s="15">
        <v>4.22</v>
      </c>
      <c r="F6026" s="15">
        <f t="shared" si="1"/>
        <v>0.4</v>
      </c>
      <c r="G6026" s="15">
        <f t="shared" si="2"/>
        <v>4.7</v>
      </c>
      <c r="H6026" s="16">
        <v>0.0</v>
      </c>
      <c r="I6026" s="15">
        <f t="shared" si="3"/>
        <v>0.4</v>
      </c>
      <c r="J6026" s="15">
        <v>18.33</v>
      </c>
      <c r="K6026" s="16">
        <f>IF(COUNTIFS(Release_Calendar!$A$2:$A$755,"US_CPI",Release_Calendar!$B$2:$B$755,$A6026)&gt;0,1,0)</f>
        <v>0</v>
      </c>
      <c r="L6026" s="16">
        <f>IF(COUNTIFS(Release_Calendar!$A$2:$A$755,"US_NFP",Release_Calendar!$B$2:$B$755,$A6026)&gt;0,1,0)</f>
        <v>1</v>
      </c>
      <c r="M6026" s="16">
        <f>IF($A6026&lt;Notes!$B$5,"",IF(COUNTIFS(Release_Calendar!$A$2:$A$755,"NZ_CPI",Release_Calendar!$B$2:$B$755,$A6026)&gt;0,1,0))</f>
        <v>0</v>
      </c>
      <c r="N6026" s="16">
        <f>IF($A6026&lt;Notes!$B$5,"",IF(COUNTIFS(Release_Calendar!$A$2:$A$755,"NZ_GDP",Release_Calendar!$B$2:$B$755,$A6026)&gt;0,1,0))</f>
        <v>0</v>
      </c>
      <c r="O6026" s="16">
        <f>IF($A6026&lt;Notes!$B$5,"",IF(COUNTIFS(Release_Calendar!$A$2:$A$755,"NZ_LABOUR",Release_Calendar!$B$2:$B$755,$A6026)&gt;0,1,0))</f>
        <v>0</v>
      </c>
      <c r="P6026" s="16">
        <f t="shared" si="4"/>
        <v>1</v>
      </c>
    </row>
    <row r="6027" ht="15.75" customHeight="1">
      <c r="A6027" s="14">
        <v>44963.0</v>
      </c>
      <c r="B6027" s="15">
        <v>4.44</v>
      </c>
      <c r="C6027" s="15"/>
      <c r="D6027" s="15"/>
      <c r="E6027" s="15"/>
      <c r="F6027" s="15" t="str">
        <f t="shared" si="1"/>
        <v/>
      </c>
      <c r="G6027" s="15" t="str">
        <f t="shared" si="2"/>
        <v/>
      </c>
      <c r="H6027" s="16">
        <v>0.0</v>
      </c>
      <c r="I6027" s="15" t="str">
        <f t="shared" si="3"/>
        <v/>
      </c>
      <c r="J6027" s="15">
        <v>19.43</v>
      </c>
      <c r="K6027" s="16">
        <f>IF(COUNTIFS(Release_Calendar!$A$2:$A$755,"US_CPI",Release_Calendar!$B$2:$B$755,$A6027)&gt;0,1,0)</f>
        <v>0</v>
      </c>
      <c r="L6027" s="16">
        <f>IF(COUNTIFS(Release_Calendar!$A$2:$A$755,"US_NFP",Release_Calendar!$B$2:$B$755,$A6027)&gt;0,1,0)</f>
        <v>0</v>
      </c>
      <c r="M6027" s="16">
        <f>IF($A6027&lt;Notes!$B$5,"",IF(COUNTIFS(Release_Calendar!$A$2:$A$755,"NZ_CPI",Release_Calendar!$B$2:$B$755,$A6027)&gt;0,1,0))</f>
        <v>0</v>
      </c>
      <c r="N6027" s="16">
        <f>IF($A6027&lt;Notes!$B$5,"",IF(COUNTIFS(Release_Calendar!$A$2:$A$755,"NZ_GDP",Release_Calendar!$B$2:$B$755,$A6027)&gt;0,1,0))</f>
        <v>0</v>
      </c>
      <c r="O6027" s="16">
        <f>IF($A6027&lt;Notes!$B$5,"",IF(COUNTIFS(Release_Calendar!$A$2:$A$755,"NZ_LABOUR",Release_Calendar!$B$2:$B$755,$A6027)&gt;0,1,0))</f>
        <v>0</v>
      </c>
      <c r="P6027" s="16">
        <f t="shared" si="4"/>
        <v>0</v>
      </c>
    </row>
    <row r="6028" ht="15.75" customHeight="1">
      <c r="A6028" s="14">
        <v>44964.0</v>
      </c>
      <c r="B6028" s="15">
        <v>4.47</v>
      </c>
      <c r="C6028" s="15">
        <v>4.86</v>
      </c>
      <c r="D6028" s="15"/>
      <c r="E6028" s="15">
        <v>4.39</v>
      </c>
      <c r="F6028" s="15">
        <f t="shared" si="1"/>
        <v>0.39</v>
      </c>
      <c r="G6028" s="15">
        <f t="shared" si="2"/>
        <v>4.86</v>
      </c>
      <c r="H6028" s="16">
        <v>0.0</v>
      </c>
      <c r="I6028" s="15">
        <f t="shared" si="3"/>
        <v>0.39</v>
      </c>
      <c r="J6028" s="15">
        <v>18.66</v>
      </c>
      <c r="K6028" s="16">
        <f>IF(COUNTIFS(Release_Calendar!$A$2:$A$755,"US_CPI",Release_Calendar!$B$2:$B$755,$A6028)&gt;0,1,0)</f>
        <v>0</v>
      </c>
      <c r="L6028" s="16">
        <f>IF(COUNTIFS(Release_Calendar!$A$2:$A$755,"US_NFP",Release_Calendar!$B$2:$B$755,$A6028)&gt;0,1,0)</f>
        <v>0</v>
      </c>
      <c r="M6028" s="16">
        <f>IF($A6028&lt;Notes!$B$5,"",IF(COUNTIFS(Release_Calendar!$A$2:$A$755,"NZ_CPI",Release_Calendar!$B$2:$B$755,$A6028)&gt;0,1,0))</f>
        <v>0</v>
      </c>
      <c r="N6028" s="16">
        <f>IF($A6028&lt;Notes!$B$5,"",IF(COUNTIFS(Release_Calendar!$A$2:$A$755,"NZ_GDP",Release_Calendar!$B$2:$B$755,$A6028)&gt;0,1,0))</f>
        <v>0</v>
      </c>
      <c r="O6028" s="16">
        <f>IF($A6028&lt;Notes!$B$5,"",IF(COUNTIFS(Release_Calendar!$A$2:$A$755,"NZ_LABOUR",Release_Calendar!$B$2:$B$755,$A6028)&gt;0,1,0))</f>
        <v>0</v>
      </c>
      <c r="P6028" s="16">
        <f t="shared" si="4"/>
        <v>0</v>
      </c>
    </row>
    <row r="6029" ht="15.75" customHeight="1">
      <c r="A6029" s="14">
        <v>44965.0</v>
      </c>
      <c r="B6029" s="15">
        <v>4.45</v>
      </c>
      <c r="C6029" s="15">
        <v>4.94</v>
      </c>
      <c r="D6029" s="15"/>
      <c r="E6029" s="15">
        <v>4.45</v>
      </c>
      <c r="F6029" s="15">
        <f t="shared" si="1"/>
        <v>0.49</v>
      </c>
      <c r="G6029" s="15">
        <f t="shared" si="2"/>
        <v>4.94</v>
      </c>
      <c r="H6029" s="16">
        <v>0.0</v>
      </c>
      <c r="I6029" s="15">
        <f t="shared" si="3"/>
        <v>0.49</v>
      </c>
      <c r="J6029" s="15">
        <v>19.63</v>
      </c>
      <c r="K6029" s="16">
        <f>IF(COUNTIFS(Release_Calendar!$A$2:$A$755,"US_CPI",Release_Calendar!$B$2:$B$755,$A6029)&gt;0,1,0)</f>
        <v>0</v>
      </c>
      <c r="L6029" s="16">
        <f>IF(COUNTIFS(Release_Calendar!$A$2:$A$755,"US_NFP",Release_Calendar!$B$2:$B$755,$A6029)&gt;0,1,0)</f>
        <v>0</v>
      </c>
      <c r="M6029" s="16">
        <f>IF($A6029&lt;Notes!$B$5,"",IF(COUNTIFS(Release_Calendar!$A$2:$A$755,"NZ_CPI",Release_Calendar!$B$2:$B$755,$A6029)&gt;0,1,0))</f>
        <v>0</v>
      </c>
      <c r="N6029" s="16">
        <f>IF($A6029&lt;Notes!$B$5,"",IF(COUNTIFS(Release_Calendar!$A$2:$A$755,"NZ_GDP",Release_Calendar!$B$2:$B$755,$A6029)&gt;0,1,0))</f>
        <v>0</v>
      </c>
      <c r="O6029" s="16">
        <f>IF($A6029&lt;Notes!$B$5,"",IF(COUNTIFS(Release_Calendar!$A$2:$A$755,"NZ_LABOUR",Release_Calendar!$B$2:$B$755,$A6029)&gt;0,1,0))</f>
        <v>0</v>
      </c>
      <c r="P6029" s="16">
        <f t="shared" si="4"/>
        <v>0</v>
      </c>
    </row>
    <row r="6030" ht="15.75" customHeight="1">
      <c r="A6030" s="14">
        <v>44966.0</v>
      </c>
      <c r="B6030" s="15">
        <v>4.48</v>
      </c>
      <c r="C6030" s="15">
        <v>5.02</v>
      </c>
      <c r="D6030" s="15"/>
      <c r="E6030" s="15">
        <v>4.53</v>
      </c>
      <c r="F6030" s="15">
        <f t="shared" si="1"/>
        <v>0.54</v>
      </c>
      <c r="G6030" s="15">
        <f t="shared" si="2"/>
        <v>5.02</v>
      </c>
      <c r="H6030" s="16">
        <v>0.0</v>
      </c>
      <c r="I6030" s="15">
        <f t="shared" si="3"/>
        <v>0.54</v>
      </c>
      <c r="J6030" s="15">
        <v>20.71</v>
      </c>
      <c r="K6030" s="16">
        <f>IF(COUNTIFS(Release_Calendar!$A$2:$A$755,"US_CPI",Release_Calendar!$B$2:$B$755,$A6030)&gt;0,1,0)</f>
        <v>0</v>
      </c>
      <c r="L6030" s="16">
        <f>IF(COUNTIFS(Release_Calendar!$A$2:$A$755,"US_NFP",Release_Calendar!$B$2:$B$755,$A6030)&gt;0,1,0)</f>
        <v>0</v>
      </c>
      <c r="M6030" s="16">
        <f>IF($A6030&lt;Notes!$B$5,"",IF(COUNTIFS(Release_Calendar!$A$2:$A$755,"NZ_CPI",Release_Calendar!$B$2:$B$755,$A6030)&gt;0,1,0))</f>
        <v>0</v>
      </c>
      <c r="N6030" s="16">
        <f>IF($A6030&lt;Notes!$B$5,"",IF(COUNTIFS(Release_Calendar!$A$2:$A$755,"NZ_GDP",Release_Calendar!$B$2:$B$755,$A6030)&gt;0,1,0))</f>
        <v>0</v>
      </c>
      <c r="O6030" s="16">
        <f>IF($A6030&lt;Notes!$B$5,"",IF(COUNTIFS(Release_Calendar!$A$2:$A$755,"NZ_LABOUR",Release_Calendar!$B$2:$B$755,$A6030)&gt;0,1,0))</f>
        <v>0</v>
      </c>
      <c r="P6030" s="16">
        <f t="shared" si="4"/>
        <v>0</v>
      </c>
    </row>
    <row r="6031" ht="15.75" customHeight="1">
      <c r="A6031" s="14">
        <v>44967.0</v>
      </c>
      <c r="B6031" s="15">
        <v>4.5</v>
      </c>
      <c r="C6031" s="15">
        <v>5.1</v>
      </c>
      <c r="D6031" s="15"/>
      <c r="E6031" s="15">
        <v>4.61</v>
      </c>
      <c r="F6031" s="15">
        <f t="shared" si="1"/>
        <v>0.6</v>
      </c>
      <c r="G6031" s="15">
        <f t="shared" si="2"/>
        <v>5.1</v>
      </c>
      <c r="H6031" s="16">
        <v>0.0</v>
      </c>
      <c r="I6031" s="15">
        <f t="shared" si="3"/>
        <v>0.6</v>
      </c>
      <c r="J6031" s="15">
        <v>20.53</v>
      </c>
      <c r="K6031" s="16">
        <f>IF(COUNTIFS(Release_Calendar!$A$2:$A$755,"US_CPI",Release_Calendar!$B$2:$B$755,$A6031)&gt;0,1,0)</f>
        <v>0</v>
      </c>
      <c r="L6031" s="16">
        <f>IF(COUNTIFS(Release_Calendar!$A$2:$A$755,"US_NFP",Release_Calendar!$B$2:$B$755,$A6031)&gt;0,1,0)</f>
        <v>0</v>
      </c>
      <c r="M6031" s="16">
        <f>IF($A6031&lt;Notes!$B$5,"",IF(COUNTIFS(Release_Calendar!$A$2:$A$755,"NZ_CPI",Release_Calendar!$B$2:$B$755,$A6031)&gt;0,1,0))</f>
        <v>0</v>
      </c>
      <c r="N6031" s="16">
        <f>IF($A6031&lt;Notes!$B$5,"",IF(COUNTIFS(Release_Calendar!$A$2:$A$755,"NZ_GDP",Release_Calendar!$B$2:$B$755,$A6031)&gt;0,1,0))</f>
        <v>0</v>
      </c>
      <c r="O6031" s="16">
        <f>IF($A6031&lt;Notes!$B$5,"",IF(COUNTIFS(Release_Calendar!$A$2:$A$755,"NZ_LABOUR",Release_Calendar!$B$2:$B$755,$A6031)&gt;0,1,0))</f>
        <v>0</v>
      </c>
      <c r="P6031" s="16">
        <f t="shared" si="4"/>
        <v>0</v>
      </c>
    </row>
    <row r="6032" ht="15.75" customHeight="1">
      <c r="A6032" s="14">
        <v>44970.0</v>
      </c>
      <c r="B6032" s="15">
        <v>4.52</v>
      </c>
      <c r="C6032" s="15">
        <v>5.23</v>
      </c>
      <c r="D6032" s="15"/>
      <c r="E6032" s="15">
        <v>4.73</v>
      </c>
      <c r="F6032" s="15">
        <f t="shared" si="1"/>
        <v>0.71</v>
      </c>
      <c r="G6032" s="15">
        <f t="shared" si="2"/>
        <v>5.23</v>
      </c>
      <c r="H6032" s="16">
        <v>0.0</v>
      </c>
      <c r="I6032" s="15">
        <f t="shared" si="3"/>
        <v>0.71</v>
      </c>
      <c r="J6032" s="15">
        <v>20.34</v>
      </c>
      <c r="K6032" s="16">
        <f>IF(COUNTIFS(Release_Calendar!$A$2:$A$755,"US_CPI",Release_Calendar!$B$2:$B$755,$A6032)&gt;0,1,0)</f>
        <v>0</v>
      </c>
      <c r="L6032" s="16">
        <f>IF(COUNTIFS(Release_Calendar!$A$2:$A$755,"US_NFP",Release_Calendar!$B$2:$B$755,$A6032)&gt;0,1,0)</f>
        <v>0</v>
      </c>
      <c r="M6032" s="16">
        <f>IF($A6032&lt;Notes!$B$5,"",IF(COUNTIFS(Release_Calendar!$A$2:$A$755,"NZ_CPI",Release_Calendar!$B$2:$B$755,$A6032)&gt;0,1,0))</f>
        <v>0</v>
      </c>
      <c r="N6032" s="16">
        <f>IF($A6032&lt;Notes!$B$5,"",IF(COUNTIFS(Release_Calendar!$A$2:$A$755,"NZ_GDP",Release_Calendar!$B$2:$B$755,$A6032)&gt;0,1,0))</f>
        <v>0</v>
      </c>
      <c r="O6032" s="16">
        <f>IF($A6032&lt;Notes!$B$5,"",IF(COUNTIFS(Release_Calendar!$A$2:$A$755,"NZ_LABOUR",Release_Calendar!$B$2:$B$755,$A6032)&gt;0,1,0))</f>
        <v>0</v>
      </c>
      <c r="P6032" s="16">
        <f t="shared" si="4"/>
        <v>0</v>
      </c>
    </row>
    <row r="6033" ht="15.75" customHeight="1">
      <c r="A6033" s="14">
        <v>44971.0</v>
      </c>
      <c r="B6033" s="15">
        <v>4.6</v>
      </c>
      <c r="C6033" s="15">
        <v>5.14</v>
      </c>
      <c r="D6033" s="15"/>
      <c r="E6033" s="15">
        <v>4.67</v>
      </c>
      <c r="F6033" s="15">
        <f t="shared" si="1"/>
        <v>0.54</v>
      </c>
      <c r="G6033" s="15">
        <f t="shared" si="2"/>
        <v>5.14</v>
      </c>
      <c r="H6033" s="16">
        <v>0.0</v>
      </c>
      <c r="I6033" s="15">
        <f t="shared" si="3"/>
        <v>0.54</v>
      </c>
      <c r="J6033" s="15">
        <v>18.91</v>
      </c>
      <c r="K6033" s="16">
        <f>IF(COUNTIFS(Release_Calendar!$A$2:$A$755,"US_CPI",Release_Calendar!$B$2:$B$755,$A6033)&gt;0,1,0)</f>
        <v>1</v>
      </c>
      <c r="L6033" s="16">
        <f>IF(COUNTIFS(Release_Calendar!$A$2:$A$755,"US_NFP",Release_Calendar!$B$2:$B$755,$A6033)&gt;0,1,0)</f>
        <v>0</v>
      </c>
      <c r="M6033" s="16">
        <f>IF($A6033&lt;Notes!$B$5,"",IF(COUNTIFS(Release_Calendar!$A$2:$A$755,"NZ_CPI",Release_Calendar!$B$2:$B$755,$A6033)&gt;0,1,0))</f>
        <v>0</v>
      </c>
      <c r="N6033" s="16">
        <f>IF($A6033&lt;Notes!$B$5,"",IF(COUNTIFS(Release_Calendar!$A$2:$A$755,"NZ_GDP",Release_Calendar!$B$2:$B$755,$A6033)&gt;0,1,0))</f>
        <v>0</v>
      </c>
      <c r="O6033" s="16">
        <f>IF($A6033&lt;Notes!$B$5,"",IF(COUNTIFS(Release_Calendar!$A$2:$A$755,"NZ_LABOUR",Release_Calendar!$B$2:$B$755,$A6033)&gt;0,1,0))</f>
        <v>0</v>
      </c>
      <c r="P6033" s="16">
        <f t="shared" si="4"/>
        <v>1</v>
      </c>
    </row>
    <row r="6034" ht="15.75" customHeight="1">
      <c r="A6034" s="14">
        <v>44972.0</v>
      </c>
      <c r="B6034" s="15">
        <v>4.62</v>
      </c>
      <c r="C6034" s="15">
        <v>5.19</v>
      </c>
      <c r="D6034" s="15"/>
      <c r="E6034" s="15">
        <v>4.69</v>
      </c>
      <c r="F6034" s="15">
        <f t="shared" si="1"/>
        <v>0.57</v>
      </c>
      <c r="G6034" s="15">
        <f t="shared" si="2"/>
        <v>5.19</v>
      </c>
      <c r="H6034" s="16">
        <v>0.0</v>
      </c>
      <c r="I6034" s="15">
        <f t="shared" si="3"/>
        <v>0.57</v>
      </c>
      <c r="J6034" s="15">
        <v>18.23</v>
      </c>
      <c r="K6034" s="16">
        <f>IF(COUNTIFS(Release_Calendar!$A$2:$A$755,"US_CPI",Release_Calendar!$B$2:$B$755,$A6034)&gt;0,1,0)</f>
        <v>0</v>
      </c>
      <c r="L6034" s="16">
        <f>IF(COUNTIFS(Release_Calendar!$A$2:$A$755,"US_NFP",Release_Calendar!$B$2:$B$755,$A6034)&gt;0,1,0)</f>
        <v>0</v>
      </c>
      <c r="M6034" s="16">
        <f>IF($A6034&lt;Notes!$B$5,"",IF(COUNTIFS(Release_Calendar!$A$2:$A$755,"NZ_CPI",Release_Calendar!$B$2:$B$755,$A6034)&gt;0,1,0))</f>
        <v>0</v>
      </c>
      <c r="N6034" s="16">
        <f>IF($A6034&lt;Notes!$B$5,"",IF(COUNTIFS(Release_Calendar!$A$2:$A$755,"NZ_GDP",Release_Calendar!$B$2:$B$755,$A6034)&gt;0,1,0))</f>
        <v>0</v>
      </c>
      <c r="O6034" s="16">
        <f>IF($A6034&lt;Notes!$B$5,"",IF(COUNTIFS(Release_Calendar!$A$2:$A$755,"NZ_LABOUR",Release_Calendar!$B$2:$B$755,$A6034)&gt;0,1,0))</f>
        <v>0</v>
      </c>
      <c r="P6034" s="16">
        <f t="shared" si="4"/>
        <v>0</v>
      </c>
    </row>
    <row r="6035" ht="15.75" customHeight="1">
      <c r="A6035" s="14">
        <v>44973.0</v>
      </c>
      <c r="B6035" s="15">
        <v>4.62</v>
      </c>
      <c r="C6035" s="15">
        <v>5.15</v>
      </c>
      <c r="D6035" s="15"/>
      <c r="E6035" s="15">
        <v>4.67</v>
      </c>
      <c r="F6035" s="15">
        <f t="shared" si="1"/>
        <v>0.53</v>
      </c>
      <c r="G6035" s="15">
        <f t="shared" si="2"/>
        <v>5.15</v>
      </c>
      <c r="H6035" s="16">
        <v>0.0</v>
      </c>
      <c r="I6035" s="15">
        <f t="shared" si="3"/>
        <v>0.53</v>
      </c>
      <c r="J6035" s="15">
        <v>20.17</v>
      </c>
      <c r="K6035" s="16">
        <f>IF(COUNTIFS(Release_Calendar!$A$2:$A$755,"US_CPI",Release_Calendar!$B$2:$B$755,$A6035)&gt;0,1,0)</f>
        <v>0</v>
      </c>
      <c r="L6035" s="16">
        <f>IF(COUNTIFS(Release_Calendar!$A$2:$A$755,"US_NFP",Release_Calendar!$B$2:$B$755,$A6035)&gt;0,1,0)</f>
        <v>0</v>
      </c>
      <c r="M6035" s="16">
        <f>IF($A6035&lt;Notes!$B$5,"",IF(COUNTIFS(Release_Calendar!$A$2:$A$755,"NZ_CPI",Release_Calendar!$B$2:$B$755,$A6035)&gt;0,1,0))</f>
        <v>0</v>
      </c>
      <c r="N6035" s="16">
        <f>IF($A6035&lt;Notes!$B$5,"",IF(COUNTIFS(Release_Calendar!$A$2:$A$755,"NZ_GDP",Release_Calendar!$B$2:$B$755,$A6035)&gt;0,1,0))</f>
        <v>0</v>
      </c>
      <c r="O6035" s="16">
        <f>IF($A6035&lt;Notes!$B$5,"",IF(COUNTIFS(Release_Calendar!$A$2:$A$755,"NZ_LABOUR",Release_Calendar!$B$2:$B$755,$A6035)&gt;0,1,0))</f>
        <v>0</v>
      </c>
      <c r="P6035" s="16">
        <f t="shared" si="4"/>
        <v>0</v>
      </c>
    </row>
    <row r="6036" ht="15.75" customHeight="1">
      <c r="A6036" s="14">
        <v>44974.0</v>
      </c>
      <c r="B6036" s="15">
        <v>4.6</v>
      </c>
      <c r="C6036" s="15">
        <v>5.08</v>
      </c>
      <c r="D6036" s="15"/>
      <c r="E6036" s="15">
        <v>4.63</v>
      </c>
      <c r="F6036" s="15">
        <f t="shared" si="1"/>
        <v>0.48</v>
      </c>
      <c r="G6036" s="15">
        <f t="shared" si="2"/>
        <v>5.08</v>
      </c>
      <c r="H6036" s="16">
        <v>0.0</v>
      </c>
      <c r="I6036" s="15">
        <f t="shared" si="3"/>
        <v>0.48</v>
      </c>
      <c r="J6036" s="15">
        <v>20.02</v>
      </c>
      <c r="K6036" s="16">
        <f>IF(COUNTIFS(Release_Calendar!$A$2:$A$755,"US_CPI",Release_Calendar!$B$2:$B$755,$A6036)&gt;0,1,0)</f>
        <v>0</v>
      </c>
      <c r="L6036" s="16">
        <f>IF(COUNTIFS(Release_Calendar!$A$2:$A$755,"US_NFP",Release_Calendar!$B$2:$B$755,$A6036)&gt;0,1,0)</f>
        <v>0</v>
      </c>
      <c r="M6036" s="16">
        <f>IF($A6036&lt;Notes!$B$5,"",IF(COUNTIFS(Release_Calendar!$A$2:$A$755,"NZ_CPI",Release_Calendar!$B$2:$B$755,$A6036)&gt;0,1,0))</f>
        <v>0</v>
      </c>
      <c r="N6036" s="16">
        <f>IF($A6036&lt;Notes!$B$5,"",IF(COUNTIFS(Release_Calendar!$A$2:$A$755,"NZ_GDP",Release_Calendar!$B$2:$B$755,$A6036)&gt;0,1,0))</f>
        <v>0</v>
      </c>
      <c r="O6036" s="16">
        <f>IF($A6036&lt;Notes!$B$5,"",IF(COUNTIFS(Release_Calendar!$A$2:$A$755,"NZ_LABOUR",Release_Calendar!$B$2:$B$755,$A6036)&gt;0,1,0))</f>
        <v>0</v>
      </c>
      <c r="P6036" s="16">
        <f t="shared" si="4"/>
        <v>0</v>
      </c>
    </row>
    <row r="6037" ht="15.75" customHeight="1">
      <c r="A6037" s="14">
        <v>44977.0</v>
      </c>
      <c r="B6037" s="15"/>
      <c r="C6037" s="15">
        <v>5.13</v>
      </c>
      <c r="D6037" s="15"/>
      <c r="E6037" s="15">
        <v>4.63</v>
      </c>
      <c r="F6037" s="15" t="str">
        <f t="shared" si="1"/>
        <v/>
      </c>
      <c r="G6037" s="15">
        <f t="shared" si="2"/>
        <v>5.13</v>
      </c>
      <c r="H6037" s="16">
        <v>0.0</v>
      </c>
      <c r="I6037" s="15" t="str">
        <f t="shared" si="3"/>
        <v/>
      </c>
      <c r="J6037" s="15">
        <v>21.23</v>
      </c>
      <c r="K6037" s="16">
        <f>IF(COUNTIFS(Release_Calendar!$A$2:$A$755,"US_CPI",Release_Calendar!$B$2:$B$755,$A6037)&gt;0,1,0)</f>
        <v>0</v>
      </c>
      <c r="L6037" s="16">
        <f>IF(COUNTIFS(Release_Calendar!$A$2:$A$755,"US_NFP",Release_Calendar!$B$2:$B$755,$A6037)&gt;0,1,0)</f>
        <v>0</v>
      </c>
      <c r="M6037" s="16">
        <f>IF($A6037&lt;Notes!$B$5,"",IF(COUNTIFS(Release_Calendar!$A$2:$A$755,"NZ_CPI",Release_Calendar!$B$2:$B$755,$A6037)&gt;0,1,0))</f>
        <v>0</v>
      </c>
      <c r="N6037" s="16">
        <f>IF($A6037&lt;Notes!$B$5,"",IF(COUNTIFS(Release_Calendar!$A$2:$A$755,"NZ_GDP",Release_Calendar!$B$2:$B$755,$A6037)&gt;0,1,0))</f>
        <v>0</v>
      </c>
      <c r="O6037" s="16">
        <f>IF($A6037&lt;Notes!$B$5,"",IF(COUNTIFS(Release_Calendar!$A$2:$A$755,"NZ_LABOUR",Release_Calendar!$B$2:$B$755,$A6037)&gt;0,1,0))</f>
        <v>0</v>
      </c>
      <c r="P6037" s="16">
        <f t="shared" si="4"/>
        <v>0</v>
      </c>
    </row>
    <row r="6038" ht="15.75" customHeight="1">
      <c r="A6038" s="14">
        <v>44978.0</v>
      </c>
      <c r="B6038" s="15">
        <v>4.67</v>
      </c>
      <c r="C6038" s="15">
        <v>5.2</v>
      </c>
      <c r="D6038" s="15"/>
      <c r="E6038" s="15">
        <v>4.73</v>
      </c>
      <c r="F6038" s="15">
        <f t="shared" si="1"/>
        <v>0.53</v>
      </c>
      <c r="G6038" s="15">
        <f t="shared" si="2"/>
        <v>5.2</v>
      </c>
      <c r="H6038" s="16">
        <v>0.0</v>
      </c>
      <c r="I6038" s="15">
        <f t="shared" si="3"/>
        <v>0.53</v>
      </c>
      <c r="J6038" s="15">
        <v>22.87</v>
      </c>
      <c r="K6038" s="16">
        <f>IF(COUNTIFS(Release_Calendar!$A$2:$A$755,"US_CPI",Release_Calendar!$B$2:$B$755,$A6038)&gt;0,1,0)</f>
        <v>0</v>
      </c>
      <c r="L6038" s="16">
        <f>IF(COUNTIFS(Release_Calendar!$A$2:$A$755,"US_NFP",Release_Calendar!$B$2:$B$755,$A6038)&gt;0,1,0)</f>
        <v>0</v>
      </c>
      <c r="M6038" s="16">
        <f>IF($A6038&lt;Notes!$B$5,"",IF(COUNTIFS(Release_Calendar!$A$2:$A$755,"NZ_CPI",Release_Calendar!$B$2:$B$755,$A6038)&gt;0,1,0))</f>
        <v>0</v>
      </c>
      <c r="N6038" s="16">
        <f>IF($A6038&lt;Notes!$B$5,"",IF(COUNTIFS(Release_Calendar!$A$2:$A$755,"NZ_GDP",Release_Calendar!$B$2:$B$755,$A6038)&gt;0,1,0))</f>
        <v>0</v>
      </c>
      <c r="O6038" s="16">
        <f>IF($A6038&lt;Notes!$B$5,"",IF(COUNTIFS(Release_Calendar!$A$2:$A$755,"NZ_LABOUR",Release_Calendar!$B$2:$B$755,$A6038)&gt;0,1,0))</f>
        <v>0</v>
      </c>
      <c r="P6038" s="16">
        <f t="shared" si="4"/>
        <v>0</v>
      </c>
    </row>
    <row r="6039" ht="15.75" customHeight="1">
      <c r="A6039" s="14">
        <v>44979.0</v>
      </c>
      <c r="B6039" s="15">
        <v>4.66</v>
      </c>
      <c r="C6039" s="15">
        <v>5.29</v>
      </c>
      <c r="D6039" s="15"/>
      <c r="E6039" s="15">
        <v>4.83</v>
      </c>
      <c r="F6039" s="15">
        <f t="shared" si="1"/>
        <v>0.63</v>
      </c>
      <c r="G6039" s="15">
        <f t="shared" si="2"/>
        <v>5.29</v>
      </c>
      <c r="H6039" s="16">
        <v>0.0</v>
      </c>
      <c r="I6039" s="15">
        <f t="shared" si="3"/>
        <v>0.63</v>
      </c>
      <c r="J6039" s="15">
        <v>22.29</v>
      </c>
      <c r="K6039" s="16">
        <f>IF(COUNTIFS(Release_Calendar!$A$2:$A$755,"US_CPI",Release_Calendar!$B$2:$B$755,$A6039)&gt;0,1,0)</f>
        <v>0</v>
      </c>
      <c r="L6039" s="16">
        <f>IF(COUNTIFS(Release_Calendar!$A$2:$A$755,"US_NFP",Release_Calendar!$B$2:$B$755,$A6039)&gt;0,1,0)</f>
        <v>0</v>
      </c>
      <c r="M6039" s="16">
        <f>IF($A6039&lt;Notes!$B$5,"",IF(COUNTIFS(Release_Calendar!$A$2:$A$755,"NZ_CPI",Release_Calendar!$B$2:$B$755,$A6039)&gt;0,1,0))</f>
        <v>0</v>
      </c>
      <c r="N6039" s="16">
        <f>IF($A6039&lt;Notes!$B$5,"",IF(COUNTIFS(Release_Calendar!$A$2:$A$755,"NZ_GDP",Release_Calendar!$B$2:$B$755,$A6039)&gt;0,1,0))</f>
        <v>0</v>
      </c>
      <c r="O6039" s="16">
        <f>IF($A6039&lt;Notes!$B$5,"",IF(COUNTIFS(Release_Calendar!$A$2:$A$755,"NZ_LABOUR",Release_Calendar!$B$2:$B$755,$A6039)&gt;0,1,0))</f>
        <v>0</v>
      </c>
      <c r="P6039" s="16">
        <f t="shared" si="4"/>
        <v>0</v>
      </c>
    </row>
    <row r="6040" ht="15.75" customHeight="1">
      <c r="A6040" s="14">
        <v>44980.0</v>
      </c>
      <c r="B6040" s="15">
        <v>4.66</v>
      </c>
      <c r="C6040" s="15">
        <v>5.35</v>
      </c>
      <c r="D6040" s="15"/>
      <c r="E6040" s="15">
        <v>4.96</v>
      </c>
      <c r="F6040" s="15">
        <f t="shared" si="1"/>
        <v>0.69</v>
      </c>
      <c r="G6040" s="15">
        <f t="shared" si="2"/>
        <v>5.35</v>
      </c>
      <c r="H6040" s="16">
        <v>0.0</v>
      </c>
      <c r="I6040" s="15">
        <f t="shared" si="3"/>
        <v>0.69</v>
      </c>
      <c r="J6040" s="15">
        <v>21.14</v>
      </c>
      <c r="K6040" s="16">
        <f>IF(COUNTIFS(Release_Calendar!$A$2:$A$755,"US_CPI",Release_Calendar!$B$2:$B$755,$A6040)&gt;0,1,0)</f>
        <v>0</v>
      </c>
      <c r="L6040" s="16">
        <f>IF(COUNTIFS(Release_Calendar!$A$2:$A$755,"US_NFP",Release_Calendar!$B$2:$B$755,$A6040)&gt;0,1,0)</f>
        <v>0</v>
      </c>
      <c r="M6040" s="16">
        <f>IF($A6040&lt;Notes!$B$5,"",IF(COUNTIFS(Release_Calendar!$A$2:$A$755,"NZ_CPI",Release_Calendar!$B$2:$B$755,$A6040)&gt;0,1,0))</f>
        <v>0</v>
      </c>
      <c r="N6040" s="16">
        <f>IF($A6040&lt;Notes!$B$5,"",IF(COUNTIFS(Release_Calendar!$A$2:$A$755,"NZ_GDP",Release_Calendar!$B$2:$B$755,$A6040)&gt;0,1,0))</f>
        <v>0</v>
      </c>
      <c r="O6040" s="16">
        <f>IF($A6040&lt;Notes!$B$5,"",IF(COUNTIFS(Release_Calendar!$A$2:$A$755,"NZ_LABOUR",Release_Calendar!$B$2:$B$755,$A6040)&gt;0,1,0))</f>
        <v>0</v>
      </c>
      <c r="P6040" s="16">
        <f t="shared" si="4"/>
        <v>0</v>
      </c>
    </row>
    <row r="6041" ht="15.75" customHeight="1">
      <c r="A6041" s="14">
        <v>44981.0</v>
      </c>
      <c r="B6041" s="15">
        <v>4.78</v>
      </c>
      <c r="C6041" s="15">
        <v>5.38</v>
      </c>
      <c r="D6041" s="15"/>
      <c r="E6041" s="15">
        <v>4.97</v>
      </c>
      <c r="F6041" s="15">
        <f t="shared" si="1"/>
        <v>0.6</v>
      </c>
      <c r="G6041" s="15">
        <f t="shared" si="2"/>
        <v>5.38</v>
      </c>
      <c r="H6041" s="16">
        <v>0.0</v>
      </c>
      <c r="I6041" s="15">
        <f t="shared" si="3"/>
        <v>0.6</v>
      </c>
      <c r="J6041" s="15">
        <v>21.67</v>
      </c>
      <c r="K6041" s="16">
        <f>IF(COUNTIFS(Release_Calendar!$A$2:$A$755,"US_CPI",Release_Calendar!$B$2:$B$755,$A6041)&gt;0,1,0)</f>
        <v>0</v>
      </c>
      <c r="L6041" s="16">
        <f>IF(COUNTIFS(Release_Calendar!$A$2:$A$755,"US_NFP",Release_Calendar!$B$2:$B$755,$A6041)&gt;0,1,0)</f>
        <v>0</v>
      </c>
      <c r="M6041" s="16">
        <f>IF($A6041&lt;Notes!$B$5,"",IF(COUNTIFS(Release_Calendar!$A$2:$A$755,"NZ_CPI",Release_Calendar!$B$2:$B$755,$A6041)&gt;0,1,0))</f>
        <v>0</v>
      </c>
      <c r="N6041" s="16">
        <f>IF($A6041&lt;Notes!$B$5,"",IF(COUNTIFS(Release_Calendar!$A$2:$A$755,"NZ_GDP",Release_Calendar!$B$2:$B$755,$A6041)&gt;0,1,0))</f>
        <v>0</v>
      </c>
      <c r="O6041" s="16">
        <f>IF($A6041&lt;Notes!$B$5,"",IF(COUNTIFS(Release_Calendar!$A$2:$A$755,"NZ_LABOUR",Release_Calendar!$B$2:$B$755,$A6041)&gt;0,1,0))</f>
        <v>0</v>
      </c>
      <c r="P6041" s="16">
        <f t="shared" si="4"/>
        <v>0</v>
      </c>
    </row>
    <row r="6042" ht="15.75" customHeight="1">
      <c r="A6042" s="14">
        <v>44984.0</v>
      </c>
      <c r="B6042" s="15">
        <v>4.78</v>
      </c>
      <c r="C6042" s="15">
        <v>5.43</v>
      </c>
      <c r="D6042" s="15"/>
      <c r="E6042" s="15">
        <v>5.01</v>
      </c>
      <c r="F6042" s="15">
        <f t="shared" si="1"/>
        <v>0.65</v>
      </c>
      <c r="G6042" s="15">
        <f t="shared" si="2"/>
        <v>5.43</v>
      </c>
      <c r="H6042" s="16">
        <v>0.0</v>
      </c>
      <c r="I6042" s="15">
        <f t="shared" si="3"/>
        <v>0.65</v>
      </c>
      <c r="J6042" s="15">
        <v>20.95</v>
      </c>
      <c r="K6042" s="16">
        <f>IF(COUNTIFS(Release_Calendar!$A$2:$A$755,"US_CPI",Release_Calendar!$B$2:$B$755,$A6042)&gt;0,1,0)</f>
        <v>0</v>
      </c>
      <c r="L6042" s="16">
        <f>IF(COUNTIFS(Release_Calendar!$A$2:$A$755,"US_NFP",Release_Calendar!$B$2:$B$755,$A6042)&gt;0,1,0)</f>
        <v>0</v>
      </c>
      <c r="M6042" s="16">
        <f>IF($A6042&lt;Notes!$B$5,"",IF(COUNTIFS(Release_Calendar!$A$2:$A$755,"NZ_CPI",Release_Calendar!$B$2:$B$755,$A6042)&gt;0,1,0))</f>
        <v>0</v>
      </c>
      <c r="N6042" s="16">
        <f>IF($A6042&lt;Notes!$B$5,"",IF(COUNTIFS(Release_Calendar!$A$2:$A$755,"NZ_GDP",Release_Calendar!$B$2:$B$755,$A6042)&gt;0,1,0))</f>
        <v>0</v>
      </c>
      <c r="O6042" s="16">
        <f>IF($A6042&lt;Notes!$B$5,"",IF(COUNTIFS(Release_Calendar!$A$2:$A$755,"NZ_LABOUR",Release_Calendar!$B$2:$B$755,$A6042)&gt;0,1,0))</f>
        <v>0</v>
      </c>
      <c r="P6042" s="16">
        <f t="shared" si="4"/>
        <v>0</v>
      </c>
    </row>
    <row r="6043" ht="15.75" customHeight="1">
      <c r="A6043" s="14">
        <v>44985.0</v>
      </c>
      <c r="B6043" s="15">
        <v>4.81</v>
      </c>
      <c r="C6043" s="15">
        <v>5.37</v>
      </c>
      <c r="D6043" s="15"/>
      <c r="E6043" s="15">
        <v>4.94</v>
      </c>
      <c r="F6043" s="15">
        <f t="shared" si="1"/>
        <v>0.56</v>
      </c>
      <c r="G6043" s="15">
        <f t="shared" si="2"/>
        <v>5.37</v>
      </c>
      <c r="H6043" s="16">
        <v>0.0</v>
      </c>
      <c r="I6043" s="15">
        <f t="shared" si="3"/>
        <v>0.56</v>
      </c>
      <c r="J6043" s="15">
        <v>20.7</v>
      </c>
      <c r="K6043" s="16">
        <f>IF(COUNTIFS(Release_Calendar!$A$2:$A$755,"US_CPI",Release_Calendar!$B$2:$B$755,$A6043)&gt;0,1,0)</f>
        <v>0</v>
      </c>
      <c r="L6043" s="16">
        <f>IF(COUNTIFS(Release_Calendar!$A$2:$A$755,"US_NFP",Release_Calendar!$B$2:$B$755,$A6043)&gt;0,1,0)</f>
        <v>0</v>
      </c>
      <c r="M6043" s="16">
        <f>IF($A6043&lt;Notes!$B$5,"",IF(COUNTIFS(Release_Calendar!$A$2:$A$755,"NZ_CPI",Release_Calendar!$B$2:$B$755,$A6043)&gt;0,1,0))</f>
        <v>0</v>
      </c>
      <c r="N6043" s="16">
        <f>IF($A6043&lt;Notes!$B$5,"",IF(COUNTIFS(Release_Calendar!$A$2:$A$755,"NZ_GDP",Release_Calendar!$B$2:$B$755,$A6043)&gt;0,1,0))</f>
        <v>0</v>
      </c>
      <c r="O6043" s="16">
        <f>IF($A6043&lt;Notes!$B$5,"",IF(COUNTIFS(Release_Calendar!$A$2:$A$755,"NZ_LABOUR",Release_Calendar!$B$2:$B$755,$A6043)&gt;0,1,0))</f>
        <v>0</v>
      </c>
      <c r="P6043" s="16">
        <f t="shared" si="4"/>
        <v>0</v>
      </c>
    </row>
    <row r="6044" ht="15.75" customHeight="1">
      <c r="A6044" s="14">
        <v>44986.0</v>
      </c>
      <c r="B6044" s="15">
        <v>4.89</v>
      </c>
      <c r="C6044" s="15">
        <v>5.33</v>
      </c>
      <c r="D6044" s="15"/>
      <c r="E6044" s="15">
        <v>4.89</v>
      </c>
      <c r="F6044" s="15">
        <f t="shared" si="1"/>
        <v>0.44</v>
      </c>
      <c r="G6044" s="15">
        <f t="shared" si="2"/>
        <v>5.33</v>
      </c>
      <c r="H6044" s="16">
        <v>0.0</v>
      </c>
      <c r="I6044" s="15">
        <f t="shared" si="3"/>
        <v>0.44</v>
      </c>
      <c r="J6044" s="15">
        <v>20.58</v>
      </c>
      <c r="K6044" s="16">
        <f>IF(COUNTIFS(Release_Calendar!$A$2:$A$755,"US_CPI",Release_Calendar!$B$2:$B$755,$A6044)&gt;0,1,0)</f>
        <v>0</v>
      </c>
      <c r="L6044" s="16">
        <f>IF(COUNTIFS(Release_Calendar!$A$2:$A$755,"US_NFP",Release_Calendar!$B$2:$B$755,$A6044)&gt;0,1,0)</f>
        <v>0</v>
      </c>
      <c r="M6044" s="16">
        <f>IF($A6044&lt;Notes!$B$5,"",IF(COUNTIFS(Release_Calendar!$A$2:$A$755,"NZ_CPI",Release_Calendar!$B$2:$B$755,$A6044)&gt;0,1,0))</f>
        <v>0</v>
      </c>
      <c r="N6044" s="16">
        <f>IF($A6044&lt;Notes!$B$5,"",IF(COUNTIFS(Release_Calendar!$A$2:$A$755,"NZ_GDP",Release_Calendar!$B$2:$B$755,$A6044)&gt;0,1,0))</f>
        <v>0</v>
      </c>
      <c r="O6044" s="16">
        <f>IF($A6044&lt;Notes!$B$5,"",IF(COUNTIFS(Release_Calendar!$A$2:$A$755,"NZ_LABOUR",Release_Calendar!$B$2:$B$755,$A6044)&gt;0,1,0))</f>
        <v>0</v>
      </c>
      <c r="P6044" s="16">
        <f t="shared" si="4"/>
        <v>0</v>
      </c>
    </row>
    <row r="6045" ht="15.75" customHeight="1">
      <c r="A6045" s="14">
        <v>44987.0</v>
      </c>
      <c r="B6045" s="15">
        <v>4.89</v>
      </c>
      <c r="C6045" s="15">
        <v>5.4</v>
      </c>
      <c r="D6045" s="15"/>
      <c r="E6045" s="15">
        <v>4.97</v>
      </c>
      <c r="F6045" s="15">
        <f t="shared" si="1"/>
        <v>0.51</v>
      </c>
      <c r="G6045" s="15">
        <f t="shared" si="2"/>
        <v>5.4</v>
      </c>
      <c r="H6045" s="16">
        <v>0.0</v>
      </c>
      <c r="I6045" s="15">
        <f t="shared" si="3"/>
        <v>0.51</v>
      </c>
      <c r="J6045" s="15">
        <v>19.59</v>
      </c>
      <c r="K6045" s="16">
        <f>IF(COUNTIFS(Release_Calendar!$A$2:$A$755,"US_CPI",Release_Calendar!$B$2:$B$755,$A6045)&gt;0,1,0)</f>
        <v>0</v>
      </c>
      <c r="L6045" s="16">
        <f>IF(COUNTIFS(Release_Calendar!$A$2:$A$755,"US_NFP",Release_Calendar!$B$2:$B$755,$A6045)&gt;0,1,0)</f>
        <v>0</v>
      </c>
      <c r="M6045" s="16">
        <f>IF($A6045&lt;Notes!$B$5,"",IF(COUNTIFS(Release_Calendar!$A$2:$A$755,"NZ_CPI",Release_Calendar!$B$2:$B$755,$A6045)&gt;0,1,0))</f>
        <v>0</v>
      </c>
      <c r="N6045" s="16">
        <f>IF($A6045&lt;Notes!$B$5,"",IF(COUNTIFS(Release_Calendar!$A$2:$A$755,"NZ_GDP",Release_Calendar!$B$2:$B$755,$A6045)&gt;0,1,0))</f>
        <v>0</v>
      </c>
      <c r="O6045" s="16">
        <f>IF($A6045&lt;Notes!$B$5,"",IF(COUNTIFS(Release_Calendar!$A$2:$A$755,"NZ_LABOUR",Release_Calendar!$B$2:$B$755,$A6045)&gt;0,1,0))</f>
        <v>0</v>
      </c>
      <c r="P6045" s="16">
        <f t="shared" si="4"/>
        <v>0</v>
      </c>
    </row>
    <row r="6046" ht="15.75" customHeight="1">
      <c r="A6046" s="14">
        <v>44988.0</v>
      </c>
      <c r="B6046" s="15">
        <v>4.86</v>
      </c>
      <c r="C6046" s="15">
        <v>5.43</v>
      </c>
      <c r="D6046" s="15"/>
      <c r="E6046" s="15">
        <v>5.04</v>
      </c>
      <c r="F6046" s="15">
        <f t="shared" si="1"/>
        <v>0.57</v>
      </c>
      <c r="G6046" s="15">
        <f t="shared" si="2"/>
        <v>5.43</v>
      </c>
      <c r="H6046" s="16">
        <v>0.0</v>
      </c>
      <c r="I6046" s="15">
        <f t="shared" si="3"/>
        <v>0.57</v>
      </c>
      <c r="J6046" s="15">
        <v>18.49</v>
      </c>
      <c r="K6046" s="16">
        <f>IF(COUNTIFS(Release_Calendar!$A$2:$A$755,"US_CPI",Release_Calendar!$B$2:$B$755,$A6046)&gt;0,1,0)</f>
        <v>0</v>
      </c>
      <c r="L6046" s="16">
        <f>IF(COUNTIFS(Release_Calendar!$A$2:$A$755,"US_NFP",Release_Calendar!$B$2:$B$755,$A6046)&gt;0,1,0)</f>
        <v>0</v>
      </c>
      <c r="M6046" s="16">
        <f>IF($A6046&lt;Notes!$B$5,"",IF(COUNTIFS(Release_Calendar!$A$2:$A$755,"NZ_CPI",Release_Calendar!$B$2:$B$755,$A6046)&gt;0,1,0))</f>
        <v>0</v>
      </c>
      <c r="N6046" s="16">
        <f>IF($A6046&lt;Notes!$B$5,"",IF(COUNTIFS(Release_Calendar!$A$2:$A$755,"NZ_GDP",Release_Calendar!$B$2:$B$755,$A6046)&gt;0,1,0))</f>
        <v>0</v>
      </c>
      <c r="O6046" s="16">
        <f>IF($A6046&lt;Notes!$B$5,"",IF(COUNTIFS(Release_Calendar!$A$2:$A$755,"NZ_LABOUR",Release_Calendar!$B$2:$B$755,$A6046)&gt;0,1,0))</f>
        <v>0</v>
      </c>
      <c r="P6046" s="16">
        <f t="shared" si="4"/>
        <v>0</v>
      </c>
    </row>
    <row r="6047" ht="15.75" customHeight="1">
      <c r="A6047" s="14">
        <v>44991.0</v>
      </c>
      <c r="B6047" s="15">
        <v>4.89</v>
      </c>
      <c r="C6047" s="15">
        <v>5.41</v>
      </c>
      <c r="D6047" s="15"/>
      <c r="E6047" s="15">
        <v>5.01</v>
      </c>
      <c r="F6047" s="15">
        <f t="shared" si="1"/>
        <v>0.52</v>
      </c>
      <c r="G6047" s="15">
        <f t="shared" si="2"/>
        <v>5.41</v>
      </c>
      <c r="H6047" s="16">
        <v>0.0</v>
      </c>
      <c r="I6047" s="15">
        <f t="shared" si="3"/>
        <v>0.52</v>
      </c>
      <c r="J6047" s="15">
        <v>18.61</v>
      </c>
      <c r="K6047" s="16">
        <f>IF(COUNTIFS(Release_Calendar!$A$2:$A$755,"US_CPI",Release_Calendar!$B$2:$B$755,$A6047)&gt;0,1,0)</f>
        <v>0</v>
      </c>
      <c r="L6047" s="16">
        <f>IF(COUNTIFS(Release_Calendar!$A$2:$A$755,"US_NFP",Release_Calendar!$B$2:$B$755,$A6047)&gt;0,1,0)</f>
        <v>0</v>
      </c>
      <c r="M6047" s="16">
        <f>IF($A6047&lt;Notes!$B$5,"",IF(COUNTIFS(Release_Calendar!$A$2:$A$755,"NZ_CPI",Release_Calendar!$B$2:$B$755,$A6047)&gt;0,1,0))</f>
        <v>0</v>
      </c>
      <c r="N6047" s="16">
        <f>IF($A6047&lt;Notes!$B$5,"",IF(COUNTIFS(Release_Calendar!$A$2:$A$755,"NZ_GDP",Release_Calendar!$B$2:$B$755,$A6047)&gt;0,1,0))</f>
        <v>0</v>
      </c>
      <c r="O6047" s="16">
        <f>IF($A6047&lt;Notes!$B$5,"",IF(COUNTIFS(Release_Calendar!$A$2:$A$755,"NZ_LABOUR",Release_Calendar!$B$2:$B$755,$A6047)&gt;0,1,0))</f>
        <v>0</v>
      </c>
      <c r="P6047" s="16">
        <f t="shared" si="4"/>
        <v>0</v>
      </c>
    </row>
    <row r="6048" ht="15.75" customHeight="1">
      <c r="A6048" s="14">
        <v>44992.0</v>
      </c>
      <c r="B6048" s="15">
        <v>5.0</v>
      </c>
      <c r="C6048" s="15">
        <v>5.45</v>
      </c>
      <c r="D6048" s="15"/>
      <c r="E6048" s="15">
        <v>5.02</v>
      </c>
      <c r="F6048" s="15">
        <f t="shared" si="1"/>
        <v>0.45</v>
      </c>
      <c r="G6048" s="15">
        <f t="shared" si="2"/>
        <v>5.45</v>
      </c>
      <c r="H6048" s="16">
        <v>0.0</v>
      </c>
      <c r="I6048" s="15">
        <f t="shared" si="3"/>
        <v>0.45</v>
      </c>
      <c r="J6048" s="15">
        <v>19.59</v>
      </c>
      <c r="K6048" s="16">
        <f>IF(COUNTIFS(Release_Calendar!$A$2:$A$755,"US_CPI",Release_Calendar!$B$2:$B$755,$A6048)&gt;0,1,0)</f>
        <v>0</v>
      </c>
      <c r="L6048" s="16">
        <f>IF(COUNTIFS(Release_Calendar!$A$2:$A$755,"US_NFP",Release_Calendar!$B$2:$B$755,$A6048)&gt;0,1,0)</f>
        <v>0</v>
      </c>
      <c r="M6048" s="16">
        <f>IF($A6048&lt;Notes!$B$5,"",IF(COUNTIFS(Release_Calendar!$A$2:$A$755,"NZ_CPI",Release_Calendar!$B$2:$B$755,$A6048)&gt;0,1,0))</f>
        <v>0</v>
      </c>
      <c r="N6048" s="16">
        <f>IF($A6048&lt;Notes!$B$5,"",IF(COUNTIFS(Release_Calendar!$A$2:$A$755,"NZ_GDP",Release_Calendar!$B$2:$B$755,$A6048)&gt;0,1,0))</f>
        <v>0</v>
      </c>
      <c r="O6048" s="16">
        <f>IF($A6048&lt;Notes!$B$5,"",IF(COUNTIFS(Release_Calendar!$A$2:$A$755,"NZ_LABOUR",Release_Calendar!$B$2:$B$755,$A6048)&gt;0,1,0))</f>
        <v>0</v>
      </c>
      <c r="P6048" s="16">
        <f t="shared" si="4"/>
        <v>0</v>
      </c>
    </row>
    <row r="6049" ht="15.75" customHeight="1">
      <c r="A6049" s="14">
        <v>44993.0</v>
      </c>
      <c r="B6049" s="15">
        <v>5.05</v>
      </c>
      <c r="C6049" s="15">
        <v>5.53</v>
      </c>
      <c r="D6049" s="15"/>
      <c r="E6049" s="15">
        <v>5.09</v>
      </c>
      <c r="F6049" s="15">
        <f t="shared" si="1"/>
        <v>0.48</v>
      </c>
      <c r="G6049" s="15">
        <f t="shared" si="2"/>
        <v>5.53</v>
      </c>
      <c r="H6049" s="16">
        <v>0.0</v>
      </c>
      <c r="I6049" s="15">
        <f t="shared" si="3"/>
        <v>0.48</v>
      </c>
      <c r="J6049" s="15">
        <v>19.11</v>
      </c>
      <c r="K6049" s="16">
        <f>IF(COUNTIFS(Release_Calendar!$A$2:$A$755,"US_CPI",Release_Calendar!$B$2:$B$755,$A6049)&gt;0,1,0)</f>
        <v>0</v>
      </c>
      <c r="L6049" s="16">
        <f>IF(COUNTIFS(Release_Calendar!$A$2:$A$755,"US_NFP",Release_Calendar!$B$2:$B$755,$A6049)&gt;0,1,0)</f>
        <v>0</v>
      </c>
      <c r="M6049" s="16">
        <f>IF($A6049&lt;Notes!$B$5,"",IF(COUNTIFS(Release_Calendar!$A$2:$A$755,"NZ_CPI",Release_Calendar!$B$2:$B$755,$A6049)&gt;0,1,0))</f>
        <v>0</v>
      </c>
      <c r="N6049" s="16">
        <f>IF($A6049&lt;Notes!$B$5,"",IF(COUNTIFS(Release_Calendar!$A$2:$A$755,"NZ_GDP",Release_Calendar!$B$2:$B$755,$A6049)&gt;0,1,0))</f>
        <v>0</v>
      </c>
      <c r="O6049" s="16">
        <f>IF($A6049&lt;Notes!$B$5,"",IF(COUNTIFS(Release_Calendar!$A$2:$A$755,"NZ_LABOUR",Release_Calendar!$B$2:$B$755,$A6049)&gt;0,1,0))</f>
        <v>0</v>
      </c>
      <c r="P6049" s="16">
        <f t="shared" si="4"/>
        <v>0</v>
      </c>
    </row>
    <row r="6050" ht="15.75" customHeight="1">
      <c r="A6050" s="14">
        <v>44994.0</v>
      </c>
      <c r="B6050" s="15">
        <v>4.9</v>
      </c>
      <c r="C6050" s="15">
        <v>5.5</v>
      </c>
      <c r="D6050" s="15"/>
      <c r="E6050" s="15">
        <v>5.05</v>
      </c>
      <c r="F6050" s="15">
        <f t="shared" si="1"/>
        <v>0.6</v>
      </c>
      <c r="G6050" s="15">
        <f t="shared" si="2"/>
        <v>5.5</v>
      </c>
      <c r="H6050" s="16">
        <v>0.0</v>
      </c>
      <c r="I6050" s="15">
        <f t="shared" si="3"/>
        <v>0.6</v>
      </c>
      <c r="J6050" s="15">
        <v>22.61</v>
      </c>
      <c r="K6050" s="16">
        <f>IF(COUNTIFS(Release_Calendar!$A$2:$A$755,"US_CPI",Release_Calendar!$B$2:$B$755,$A6050)&gt;0,1,0)</f>
        <v>0</v>
      </c>
      <c r="L6050" s="16">
        <f>IF(COUNTIFS(Release_Calendar!$A$2:$A$755,"US_NFP",Release_Calendar!$B$2:$B$755,$A6050)&gt;0,1,0)</f>
        <v>0</v>
      </c>
      <c r="M6050" s="16">
        <f>IF($A6050&lt;Notes!$B$5,"",IF(COUNTIFS(Release_Calendar!$A$2:$A$755,"NZ_CPI",Release_Calendar!$B$2:$B$755,$A6050)&gt;0,1,0))</f>
        <v>0</v>
      </c>
      <c r="N6050" s="16">
        <f>IF($A6050&lt;Notes!$B$5,"",IF(COUNTIFS(Release_Calendar!$A$2:$A$755,"NZ_GDP",Release_Calendar!$B$2:$B$755,$A6050)&gt;0,1,0))</f>
        <v>0</v>
      </c>
      <c r="O6050" s="16">
        <f>IF($A6050&lt;Notes!$B$5,"",IF(COUNTIFS(Release_Calendar!$A$2:$A$755,"NZ_LABOUR",Release_Calendar!$B$2:$B$755,$A6050)&gt;0,1,0))</f>
        <v>0</v>
      </c>
      <c r="P6050" s="16">
        <f t="shared" si="4"/>
        <v>0</v>
      </c>
    </row>
    <row r="6051" ht="15.75" customHeight="1">
      <c r="A6051" s="14">
        <v>44995.0</v>
      </c>
      <c r="B6051" s="15">
        <v>4.6</v>
      </c>
      <c r="C6051" s="15">
        <v>5.39</v>
      </c>
      <c r="D6051" s="15"/>
      <c r="E6051" s="15">
        <v>4.96</v>
      </c>
      <c r="F6051" s="15">
        <f t="shared" si="1"/>
        <v>0.79</v>
      </c>
      <c r="G6051" s="15">
        <f t="shared" si="2"/>
        <v>5.39</v>
      </c>
      <c r="H6051" s="16">
        <v>0.0</v>
      </c>
      <c r="I6051" s="15">
        <f t="shared" si="3"/>
        <v>0.79</v>
      </c>
      <c r="J6051" s="15">
        <v>24.8</v>
      </c>
      <c r="K6051" s="16">
        <f>IF(COUNTIFS(Release_Calendar!$A$2:$A$755,"US_CPI",Release_Calendar!$B$2:$B$755,$A6051)&gt;0,1,0)</f>
        <v>0</v>
      </c>
      <c r="L6051" s="16">
        <f>IF(COUNTIFS(Release_Calendar!$A$2:$A$755,"US_NFP",Release_Calendar!$B$2:$B$755,$A6051)&gt;0,1,0)</f>
        <v>1</v>
      </c>
      <c r="M6051" s="16">
        <f>IF($A6051&lt;Notes!$B$5,"",IF(COUNTIFS(Release_Calendar!$A$2:$A$755,"NZ_CPI",Release_Calendar!$B$2:$B$755,$A6051)&gt;0,1,0))</f>
        <v>0</v>
      </c>
      <c r="N6051" s="16">
        <f>IF($A6051&lt;Notes!$B$5,"",IF(COUNTIFS(Release_Calendar!$A$2:$A$755,"NZ_GDP",Release_Calendar!$B$2:$B$755,$A6051)&gt;0,1,0))</f>
        <v>0</v>
      </c>
      <c r="O6051" s="16">
        <f>IF($A6051&lt;Notes!$B$5,"",IF(COUNTIFS(Release_Calendar!$A$2:$A$755,"NZ_LABOUR",Release_Calendar!$B$2:$B$755,$A6051)&gt;0,1,0))</f>
        <v>0</v>
      </c>
      <c r="P6051" s="16">
        <f t="shared" si="4"/>
        <v>1</v>
      </c>
    </row>
    <row r="6052" ht="15.75" customHeight="1">
      <c r="A6052" s="14">
        <v>44998.0</v>
      </c>
      <c r="B6052" s="15">
        <v>4.03</v>
      </c>
      <c r="C6052" s="15">
        <v>5.31</v>
      </c>
      <c r="D6052" s="15"/>
      <c r="E6052" s="15">
        <v>4.86</v>
      </c>
      <c r="F6052" s="15">
        <f t="shared" si="1"/>
        <v>1.28</v>
      </c>
      <c r="G6052" s="15">
        <f t="shared" si="2"/>
        <v>5.31</v>
      </c>
      <c r="H6052" s="16">
        <v>0.0</v>
      </c>
      <c r="I6052" s="15">
        <f t="shared" si="3"/>
        <v>1.28</v>
      </c>
      <c r="J6052" s="15">
        <v>26.52</v>
      </c>
      <c r="K6052" s="16">
        <f>IF(COUNTIFS(Release_Calendar!$A$2:$A$755,"US_CPI",Release_Calendar!$B$2:$B$755,$A6052)&gt;0,1,0)</f>
        <v>0</v>
      </c>
      <c r="L6052" s="16">
        <f>IF(COUNTIFS(Release_Calendar!$A$2:$A$755,"US_NFP",Release_Calendar!$B$2:$B$755,$A6052)&gt;0,1,0)</f>
        <v>0</v>
      </c>
      <c r="M6052" s="16">
        <f>IF($A6052&lt;Notes!$B$5,"",IF(COUNTIFS(Release_Calendar!$A$2:$A$755,"NZ_CPI",Release_Calendar!$B$2:$B$755,$A6052)&gt;0,1,0))</f>
        <v>0</v>
      </c>
      <c r="N6052" s="16">
        <f>IF($A6052&lt;Notes!$B$5,"",IF(COUNTIFS(Release_Calendar!$A$2:$A$755,"NZ_GDP",Release_Calendar!$B$2:$B$755,$A6052)&gt;0,1,0))</f>
        <v>0</v>
      </c>
      <c r="O6052" s="16">
        <f>IF($A6052&lt;Notes!$B$5,"",IF(COUNTIFS(Release_Calendar!$A$2:$A$755,"NZ_LABOUR",Release_Calendar!$B$2:$B$755,$A6052)&gt;0,1,0))</f>
        <v>0</v>
      </c>
      <c r="P6052" s="16">
        <f t="shared" si="4"/>
        <v>0</v>
      </c>
    </row>
    <row r="6053" ht="15.75" customHeight="1">
      <c r="A6053" s="14">
        <v>44999.0</v>
      </c>
      <c r="B6053" s="15">
        <v>4.2</v>
      </c>
      <c r="C6053" s="15">
        <v>5.03</v>
      </c>
      <c r="D6053" s="15"/>
      <c r="E6053" s="15">
        <v>4.65</v>
      </c>
      <c r="F6053" s="15">
        <f t="shared" si="1"/>
        <v>0.83</v>
      </c>
      <c r="G6053" s="15">
        <f t="shared" si="2"/>
        <v>5.03</v>
      </c>
      <c r="H6053" s="16">
        <v>0.0</v>
      </c>
      <c r="I6053" s="15">
        <f t="shared" si="3"/>
        <v>0.83</v>
      </c>
      <c r="J6053" s="15">
        <v>23.73</v>
      </c>
      <c r="K6053" s="16">
        <f>IF(COUNTIFS(Release_Calendar!$A$2:$A$755,"US_CPI",Release_Calendar!$B$2:$B$755,$A6053)&gt;0,1,0)</f>
        <v>1</v>
      </c>
      <c r="L6053" s="16">
        <f>IF(COUNTIFS(Release_Calendar!$A$2:$A$755,"US_NFP",Release_Calendar!$B$2:$B$755,$A6053)&gt;0,1,0)</f>
        <v>0</v>
      </c>
      <c r="M6053" s="16">
        <f>IF($A6053&lt;Notes!$B$5,"",IF(COUNTIFS(Release_Calendar!$A$2:$A$755,"NZ_CPI",Release_Calendar!$B$2:$B$755,$A6053)&gt;0,1,0))</f>
        <v>0</v>
      </c>
      <c r="N6053" s="16">
        <f>IF($A6053&lt;Notes!$B$5,"",IF(COUNTIFS(Release_Calendar!$A$2:$A$755,"NZ_GDP",Release_Calendar!$B$2:$B$755,$A6053)&gt;0,1,0))</f>
        <v>0</v>
      </c>
      <c r="O6053" s="16">
        <f>IF($A6053&lt;Notes!$B$5,"",IF(COUNTIFS(Release_Calendar!$A$2:$A$755,"NZ_LABOUR",Release_Calendar!$B$2:$B$755,$A6053)&gt;0,1,0))</f>
        <v>0</v>
      </c>
      <c r="P6053" s="16">
        <f t="shared" si="4"/>
        <v>1</v>
      </c>
    </row>
    <row r="6054" ht="15.75" customHeight="1">
      <c r="A6054" s="14">
        <v>45000.0</v>
      </c>
      <c r="B6054" s="15">
        <v>3.93</v>
      </c>
      <c r="C6054" s="15">
        <v>5.21</v>
      </c>
      <c r="D6054" s="15"/>
      <c r="E6054" s="15">
        <v>4.84</v>
      </c>
      <c r="F6054" s="15">
        <f t="shared" si="1"/>
        <v>1.28</v>
      </c>
      <c r="G6054" s="15">
        <f t="shared" si="2"/>
        <v>5.21</v>
      </c>
      <c r="H6054" s="16">
        <v>0.0</v>
      </c>
      <c r="I6054" s="15">
        <f t="shared" si="3"/>
        <v>1.28</v>
      </c>
      <c r="J6054" s="15">
        <v>26.14</v>
      </c>
      <c r="K6054" s="16">
        <f>IF(COUNTIFS(Release_Calendar!$A$2:$A$755,"US_CPI",Release_Calendar!$B$2:$B$755,$A6054)&gt;0,1,0)</f>
        <v>0</v>
      </c>
      <c r="L6054" s="16">
        <f>IF(COUNTIFS(Release_Calendar!$A$2:$A$755,"US_NFP",Release_Calendar!$B$2:$B$755,$A6054)&gt;0,1,0)</f>
        <v>0</v>
      </c>
      <c r="M6054" s="16">
        <f>IF($A6054&lt;Notes!$B$5,"",IF(COUNTIFS(Release_Calendar!$A$2:$A$755,"NZ_CPI",Release_Calendar!$B$2:$B$755,$A6054)&gt;0,1,0))</f>
        <v>0</v>
      </c>
      <c r="N6054" s="16">
        <f>IF($A6054&lt;Notes!$B$5,"",IF(COUNTIFS(Release_Calendar!$A$2:$A$755,"NZ_GDP",Release_Calendar!$B$2:$B$755,$A6054)&gt;0,1,0))</f>
        <v>0</v>
      </c>
      <c r="O6054" s="16">
        <f>IF($A6054&lt;Notes!$B$5,"",IF(COUNTIFS(Release_Calendar!$A$2:$A$755,"NZ_LABOUR",Release_Calendar!$B$2:$B$755,$A6054)&gt;0,1,0))</f>
        <v>0</v>
      </c>
      <c r="P6054" s="16">
        <f t="shared" si="4"/>
        <v>0</v>
      </c>
    </row>
    <row r="6055" ht="15.75" customHeight="1">
      <c r="A6055" s="14">
        <v>45001.0</v>
      </c>
      <c r="B6055" s="15">
        <v>4.14</v>
      </c>
      <c r="C6055" s="15">
        <v>4.99</v>
      </c>
      <c r="D6055" s="15"/>
      <c r="E6055" s="15">
        <v>4.66</v>
      </c>
      <c r="F6055" s="15">
        <f t="shared" si="1"/>
        <v>0.85</v>
      </c>
      <c r="G6055" s="15">
        <f t="shared" si="2"/>
        <v>4.99</v>
      </c>
      <c r="H6055" s="16">
        <v>0.0</v>
      </c>
      <c r="I6055" s="15">
        <f t="shared" si="3"/>
        <v>0.85</v>
      </c>
      <c r="J6055" s="15">
        <v>22.99</v>
      </c>
      <c r="K6055" s="16">
        <f>IF(COUNTIFS(Release_Calendar!$A$2:$A$755,"US_CPI",Release_Calendar!$B$2:$B$755,$A6055)&gt;0,1,0)</f>
        <v>0</v>
      </c>
      <c r="L6055" s="16">
        <f>IF(COUNTIFS(Release_Calendar!$A$2:$A$755,"US_NFP",Release_Calendar!$B$2:$B$755,$A6055)&gt;0,1,0)</f>
        <v>0</v>
      </c>
      <c r="M6055" s="16">
        <f>IF($A6055&lt;Notes!$B$5,"",IF(COUNTIFS(Release_Calendar!$A$2:$A$755,"NZ_CPI",Release_Calendar!$B$2:$B$755,$A6055)&gt;0,1,0))</f>
        <v>0</v>
      </c>
      <c r="N6055" s="16">
        <f>IF($A6055&lt;Notes!$B$5,"",IF(COUNTIFS(Release_Calendar!$A$2:$A$755,"NZ_GDP",Release_Calendar!$B$2:$B$755,$A6055)&gt;0,1,0))</f>
        <v>1</v>
      </c>
      <c r="O6055" s="16">
        <f>IF($A6055&lt;Notes!$B$5,"",IF(COUNTIFS(Release_Calendar!$A$2:$A$755,"NZ_LABOUR",Release_Calendar!$B$2:$B$755,$A6055)&gt;0,1,0))</f>
        <v>0</v>
      </c>
      <c r="P6055" s="16">
        <f t="shared" si="4"/>
        <v>1</v>
      </c>
    </row>
    <row r="6056" ht="15.75" customHeight="1">
      <c r="A6056" s="14">
        <v>45002.0</v>
      </c>
      <c r="B6056" s="15">
        <v>3.81</v>
      </c>
      <c r="C6056" s="15">
        <v>5.14</v>
      </c>
      <c r="D6056" s="15"/>
      <c r="E6056" s="15">
        <v>4.75</v>
      </c>
      <c r="F6056" s="15">
        <f t="shared" si="1"/>
        <v>1.33</v>
      </c>
      <c r="G6056" s="15">
        <f t="shared" si="2"/>
        <v>5.14</v>
      </c>
      <c r="H6056" s="16">
        <v>0.0</v>
      </c>
      <c r="I6056" s="15">
        <f t="shared" si="3"/>
        <v>1.33</v>
      </c>
      <c r="J6056" s="15">
        <v>25.51</v>
      </c>
      <c r="K6056" s="16">
        <f>IF(COUNTIFS(Release_Calendar!$A$2:$A$755,"US_CPI",Release_Calendar!$B$2:$B$755,$A6056)&gt;0,1,0)</f>
        <v>0</v>
      </c>
      <c r="L6056" s="16">
        <f>IF(COUNTIFS(Release_Calendar!$A$2:$A$755,"US_NFP",Release_Calendar!$B$2:$B$755,$A6056)&gt;0,1,0)</f>
        <v>0</v>
      </c>
      <c r="M6056" s="16">
        <f>IF($A6056&lt;Notes!$B$5,"",IF(COUNTIFS(Release_Calendar!$A$2:$A$755,"NZ_CPI",Release_Calendar!$B$2:$B$755,$A6056)&gt;0,1,0))</f>
        <v>0</v>
      </c>
      <c r="N6056" s="16">
        <f>IF($A6056&lt;Notes!$B$5,"",IF(COUNTIFS(Release_Calendar!$A$2:$A$755,"NZ_GDP",Release_Calendar!$B$2:$B$755,$A6056)&gt;0,1,0))</f>
        <v>0</v>
      </c>
      <c r="O6056" s="16">
        <f>IF($A6056&lt;Notes!$B$5,"",IF(COUNTIFS(Release_Calendar!$A$2:$A$755,"NZ_LABOUR",Release_Calendar!$B$2:$B$755,$A6056)&gt;0,1,0))</f>
        <v>0</v>
      </c>
      <c r="P6056" s="16">
        <f t="shared" si="4"/>
        <v>0</v>
      </c>
    </row>
    <row r="6057" ht="15.75" customHeight="1">
      <c r="A6057" s="14">
        <v>45005.0</v>
      </c>
      <c r="B6057" s="15">
        <v>3.92</v>
      </c>
      <c r="C6057" s="15">
        <v>4.94</v>
      </c>
      <c r="D6057" s="15"/>
      <c r="E6057" s="15">
        <v>4.56</v>
      </c>
      <c r="F6057" s="15">
        <f t="shared" si="1"/>
        <v>1.02</v>
      </c>
      <c r="G6057" s="15">
        <f t="shared" si="2"/>
        <v>4.94</v>
      </c>
      <c r="H6057" s="16">
        <v>0.0</v>
      </c>
      <c r="I6057" s="15">
        <f t="shared" si="3"/>
        <v>1.02</v>
      </c>
      <c r="J6057" s="15">
        <v>24.15</v>
      </c>
      <c r="K6057" s="16">
        <f>IF(COUNTIFS(Release_Calendar!$A$2:$A$755,"US_CPI",Release_Calendar!$B$2:$B$755,$A6057)&gt;0,1,0)</f>
        <v>0</v>
      </c>
      <c r="L6057" s="16">
        <f>IF(COUNTIFS(Release_Calendar!$A$2:$A$755,"US_NFP",Release_Calendar!$B$2:$B$755,$A6057)&gt;0,1,0)</f>
        <v>0</v>
      </c>
      <c r="M6057" s="16">
        <f>IF($A6057&lt;Notes!$B$5,"",IF(COUNTIFS(Release_Calendar!$A$2:$A$755,"NZ_CPI",Release_Calendar!$B$2:$B$755,$A6057)&gt;0,1,0))</f>
        <v>0</v>
      </c>
      <c r="N6057" s="16">
        <f>IF($A6057&lt;Notes!$B$5,"",IF(COUNTIFS(Release_Calendar!$A$2:$A$755,"NZ_GDP",Release_Calendar!$B$2:$B$755,$A6057)&gt;0,1,0))</f>
        <v>0</v>
      </c>
      <c r="O6057" s="16">
        <f>IF($A6057&lt;Notes!$B$5,"",IF(COUNTIFS(Release_Calendar!$A$2:$A$755,"NZ_LABOUR",Release_Calendar!$B$2:$B$755,$A6057)&gt;0,1,0))</f>
        <v>0</v>
      </c>
      <c r="P6057" s="16">
        <f t="shared" si="4"/>
        <v>0</v>
      </c>
    </row>
    <row r="6058" ht="15.75" customHeight="1">
      <c r="A6058" s="14">
        <v>45006.0</v>
      </c>
      <c r="B6058" s="15">
        <v>4.17</v>
      </c>
      <c r="C6058" s="15">
        <v>4.9</v>
      </c>
      <c r="D6058" s="15"/>
      <c r="E6058" s="15">
        <v>4.47</v>
      </c>
      <c r="F6058" s="15">
        <f t="shared" si="1"/>
        <v>0.73</v>
      </c>
      <c r="G6058" s="15">
        <f t="shared" si="2"/>
        <v>4.9</v>
      </c>
      <c r="H6058" s="16">
        <v>0.0</v>
      </c>
      <c r="I6058" s="15">
        <f t="shared" si="3"/>
        <v>0.73</v>
      </c>
      <c r="J6058" s="15">
        <v>21.38</v>
      </c>
      <c r="K6058" s="16">
        <f>IF(COUNTIFS(Release_Calendar!$A$2:$A$755,"US_CPI",Release_Calendar!$B$2:$B$755,$A6058)&gt;0,1,0)</f>
        <v>0</v>
      </c>
      <c r="L6058" s="16">
        <f>IF(COUNTIFS(Release_Calendar!$A$2:$A$755,"US_NFP",Release_Calendar!$B$2:$B$755,$A6058)&gt;0,1,0)</f>
        <v>0</v>
      </c>
      <c r="M6058" s="16">
        <f>IF($A6058&lt;Notes!$B$5,"",IF(COUNTIFS(Release_Calendar!$A$2:$A$755,"NZ_CPI",Release_Calendar!$B$2:$B$755,$A6058)&gt;0,1,0))</f>
        <v>0</v>
      </c>
      <c r="N6058" s="16">
        <f>IF($A6058&lt;Notes!$B$5,"",IF(COUNTIFS(Release_Calendar!$A$2:$A$755,"NZ_GDP",Release_Calendar!$B$2:$B$755,$A6058)&gt;0,1,0))</f>
        <v>0</v>
      </c>
      <c r="O6058" s="16">
        <f>IF($A6058&lt;Notes!$B$5,"",IF(COUNTIFS(Release_Calendar!$A$2:$A$755,"NZ_LABOUR",Release_Calendar!$B$2:$B$755,$A6058)&gt;0,1,0))</f>
        <v>0</v>
      </c>
      <c r="P6058" s="16">
        <f t="shared" si="4"/>
        <v>0</v>
      </c>
    </row>
    <row r="6059" ht="15.75" customHeight="1">
      <c r="A6059" s="14">
        <v>45007.0</v>
      </c>
      <c r="B6059" s="15">
        <v>3.96</v>
      </c>
      <c r="C6059" s="15">
        <v>5.02</v>
      </c>
      <c r="D6059" s="15"/>
      <c r="E6059" s="15">
        <v>4.58</v>
      </c>
      <c r="F6059" s="15">
        <f t="shared" si="1"/>
        <v>1.06</v>
      </c>
      <c r="G6059" s="15">
        <f t="shared" si="2"/>
        <v>5.02</v>
      </c>
      <c r="H6059" s="16">
        <v>0.0</v>
      </c>
      <c r="I6059" s="15">
        <f t="shared" si="3"/>
        <v>1.06</v>
      </c>
      <c r="J6059" s="15">
        <v>22.26</v>
      </c>
      <c r="K6059" s="16">
        <f>IF(COUNTIFS(Release_Calendar!$A$2:$A$755,"US_CPI",Release_Calendar!$B$2:$B$755,$A6059)&gt;0,1,0)</f>
        <v>0</v>
      </c>
      <c r="L6059" s="16">
        <f>IF(COUNTIFS(Release_Calendar!$A$2:$A$755,"US_NFP",Release_Calendar!$B$2:$B$755,$A6059)&gt;0,1,0)</f>
        <v>0</v>
      </c>
      <c r="M6059" s="16">
        <f>IF($A6059&lt;Notes!$B$5,"",IF(COUNTIFS(Release_Calendar!$A$2:$A$755,"NZ_CPI",Release_Calendar!$B$2:$B$755,$A6059)&gt;0,1,0))</f>
        <v>0</v>
      </c>
      <c r="N6059" s="16">
        <f>IF($A6059&lt;Notes!$B$5,"",IF(COUNTIFS(Release_Calendar!$A$2:$A$755,"NZ_GDP",Release_Calendar!$B$2:$B$755,$A6059)&gt;0,1,0))</f>
        <v>0</v>
      </c>
      <c r="O6059" s="16">
        <f>IF($A6059&lt;Notes!$B$5,"",IF(COUNTIFS(Release_Calendar!$A$2:$A$755,"NZ_LABOUR",Release_Calendar!$B$2:$B$755,$A6059)&gt;0,1,0))</f>
        <v>0</v>
      </c>
      <c r="P6059" s="16">
        <f t="shared" si="4"/>
        <v>0</v>
      </c>
    </row>
    <row r="6060" ht="15.75" customHeight="1">
      <c r="A6060" s="14">
        <v>45008.0</v>
      </c>
      <c r="B6060" s="15">
        <v>3.76</v>
      </c>
      <c r="C6060" s="15">
        <v>4.92</v>
      </c>
      <c r="D6060" s="15"/>
      <c r="E6060" s="15">
        <v>4.48</v>
      </c>
      <c r="F6060" s="15">
        <f t="shared" si="1"/>
        <v>1.16</v>
      </c>
      <c r="G6060" s="15">
        <f t="shared" si="2"/>
        <v>4.92</v>
      </c>
      <c r="H6060" s="16">
        <v>0.0</v>
      </c>
      <c r="I6060" s="15">
        <f t="shared" si="3"/>
        <v>1.16</v>
      </c>
      <c r="J6060" s="15">
        <v>22.61</v>
      </c>
      <c r="K6060" s="16">
        <f>IF(COUNTIFS(Release_Calendar!$A$2:$A$755,"US_CPI",Release_Calendar!$B$2:$B$755,$A6060)&gt;0,1,0)</f>
        <v>0</v>
      </c>
      <c r="L6060" s="16">
        <f>IF(COUNTIFS(Release_Calendar!$A$2:$A$755,"US_NFP",Release_Calendar!$B$2:$B$755,$A6060)&gt;0,1,0)</f>
        <v>0</v>
      </c>
      <c r="M6060" s="16">
        <f>IF($A6060&lt;Notes!$B$5,"",IF(COUNTIFS(Release_Calendar!$A$2:$A$755,"NZ_CPI",Release_Calendar!$B$2:$B$755,$A6060)&gt;0,1,0))</f>
        <v>0</v>
      </c>
      <c r="N6060" s="16">
        <f>IF($A6060&lt;Notes!$B$5,"",IF(COUNTIFS(Release_Calendar!$A$2:$A$755,"NZ_GDP",Release_Calendar!$B$2:$B$755,$A6060)&gt;0,1,0))</f>
        <v>0</v>
      </c>
      <c r="O6060" s="16">
        <f>IF($A6060&lt;Notes!$B$5,"",IF(COUNTIFS(Release_Calendar!$A$2:$A$755,"NZ_LABOUR",Release_Calendar!$B$2:$B$755,$A6060)&gt;0,1,0))</f>
        <v>0</v>
      </c>
      <c r="P6060" s="16">
        <f t="shared" si="4"/>
        <v>0</v>
      </c>
    </row>
    <row r="6061" ht="15.75" customHeight="1">
      <c r="A6061" s="14">
        <v>45009.0</v>
      </c>
      <c r="B6061" s="15">
        <v>3.76</v>
      </c>
      <c r="C6061" s="15">
        <v>4.86</v>
      </c>
      <c r="D6061" s="15"/>
      <c r="E6061" s="15">
        <v>4.4</v>
      </c>
      <c r="F6061" s="15">
        <f t="shared" si="1"/>
        <v>1.1</v>
      </c>
      <c r="G6061" s="15">
        <f t="shared" si="2"/>
        <v>4.86</v>
      </c>
      <c r="H6061" s="16">
        <v>0.0</v>
      </c>
      <c r="I6061" s="15">
        <f t="shared" si="3"/>
        <v>1.1</v>
      </c>
      <c r="J6061" s="15">
        <v>21.74</v>
      </c>
      <c r="K6061" s="16">
        <f>IF(COUNTIFS(Release_Calendar!$A$2:$A$755,"US_CPI",Release_Calendar!$B$2:$B$755,$A6061)&gt;0,1,0)</f>
        <v>0</v>
      </c>
      <c r="L6061" s="16">
        <f>IF(COUNTIFS(Release_Calendar!$A$2:$A$755,"US_NFP",Release_Calendar!$B$2:$B$755,$A6061)&gt;0,1,0)</f>
        <v>0</v>
      </c>
      <c r="M6061" s="16">
        <f>IF($A6061&lt;Notes!$B$5,"",IF(COUNTIFS(Release_Calendar!$A$2:$A$755,"NZ_CPI",Release_Calendar!$B$2:$B$755,$A6061)&gt;0,1,0))</f>
        <v>0</v>
      </c>
      <c r="N6061" s="16">
        <f>IF($A6061&lt;Notes!$B$5,"",IF(COUNTIFS(Release_Calendar!$A$2:$A$755,"NZ_GDP",Release_Calendar!$B$2:$B$755,$A6061)&gt;0,1,0))</f>
        <v>0</v>
      </c>
      <c r="O6061" s="16">
        <f>IF($A6061&lt;Notes!$B$5,"",IF(COUNTIFS(Release_Calendar!$A$2:$A$755,"NZ_LABOUR",Release_Calendar!$B$2:$B$755,$A6061)&gt;0,1,0))</f>
        <v>0</v>
      </c>
      <c r="P6061" s="16">
        <f t="shared" si="4"/>
        <v>0</v>
      </c>
    </row>
    <row r="6062" ht="15.75" customHeight="1">
      <c r="A6062" s="14">
        <v>45012.0</v>
      </c>
      <c r="B6062" s="15">
        <v>3.94</v>
      </c>
      <c r="C6062" s="15">
        <v>4.81</v>
      </c>
      <c r="D6062" s="15"/>
      <c r="E6062" s="15">
        <v>4.31</v>
      </c>
      <c r="F6062" s="15">
        <f t="shared" si="1"/>
        <v>0.87</v>
      </c>
      <c r="G6062" s="15">
        <f t="shared" si="2"/>
        <v>4.81</v>
      </c>
      <c r="H6062" s="16">
        <v>0.0</v>
      </c>
      <c r="I6062" s="15">
        <f t="shared" si="3"/>
        <v>0.87</v>
      </c>
      <c r="J6062" s="15">
        <v>20.6</v>
      </c>
      <c r="K6062" s="16">
        <f>IF(COUNTIFS(Release_Calendar!$A$2:$A$755,"US_CPI",Release_Calendar!$B$2:$B$755,$A6062)&gt;0,1,0)</f>
        <v>0</v>
      </c>
      <c r="L6062" s="16">
        <f>IF(COUNTIFS(Release_Calendar!$A$2:$A$755,"US_NFP",Release_Calendar!$B$2:$B$755,$A6062)&gt;0,1,0)</f>
        <v>0</v>
      </c>
      <c r="M6062" s="16">
        <f>IF($A6062&lt;Notes!$B$5,"",IF(COUNTIFS(Release_Calendar!$A$2:$A$755,"NZ_CPI",Release_Calendar!$B$2:$B$755,$A6062)&gt;0,1,0))</f>
        <v>0</v>
      </c>
      <c r="N6062" s="16">
        <f>IF($A6062&lt;Notes!$B$5,"",IF(COUNTIFS(Release_Calendar!$A$2:$A$755,"NZ_GDP",Release_Calendar!$B$2:$B$755,$A6062)&gt;0,1,0))</f>
        <v>0</v>
      </c>
      <c r="O6062" s="16">
        <f>IF($A6062&lt;Notes!$B$5,"",IF(COUNTIFS(Release_Calendar!$A$2:$A$755,"NZ_LABOUR",Release_Calendar!$B$2:$B$755,$A6062)&gt;0,1,0))</f>
        <v>0</v>
      </c>
      <c r="P6062" s="16">
        <f t="shared" si="4"/>
        <v>0</v>
      </c>
    </row>
    <row r="6063" ht="15.75" customHeight="1">
      <c r="A6063" s="14">
        <v>45013.0</v>
      </c>
      <c r="B6063" s="15">
        <v>4.02</v>
      </c>
      <c r="C6063" s="15">
        <v>4.85</v>
      </c>
      <c r="D6063" s="15"/>
      <c r="E6063" s="15">
        <v>4.4</v>
      </c>
      <c r="F6063" s="15">
        <f t="shared" si="1"/>
        <v>0.83</v>
      </c>
      <c r="G6063" s="15">
        <f t="shared" si="2"/>
        <v>4.85</v>
      </c>
      <c r="H6063" s="16">
        <v>0.0</v>
      </c>
      <c r="I6063" s="15">
        <f t="shared" si="3"/>
        <v>0.83</v>
      </c>
      <c r="J6063" s="15">
        <v>19.97</v>
      </c>
      <c r="K6063" s="16">
        <f>IF(COUNTIFS(Release_Calendar!$A$2:$A$755,"US_CPI",Release_Calendar!$B$2:$B$755,$A6063)&gt;0,1,0)</f>
        <v>0</v>
      </c>
      <c r="L6063" s="16">
        <f>IF(COUNTIFS(Release_Calendar!$A$2:$A$755,"US_NFP",Release_Calendar!$B$2:$B$755,$A6063)&gt;0,1,0)</f>
        <v>0</v>
      </c>
      <c r="M6063" s="16">
        <f>IF($A6063&lt;Notes!$B$5,"",IF(COUNTIFS(Release_Calendar!$A$2:$A$755,"NZ_CPI",Release_Calendar!$B$2:$B$755,$A6063)&gt;0,1,0))</f>
        <v>0</v>
      </c>
      <c r="N6063" s="16">
        <f>IF($A6063&lt;Notes!$B$5,"",IF(COUNTIFS(Release_Calendar!$A$2:$A$755,"NZ_GDP",Release_Calendar!$B$2:$B$755,$A6063)&gt;0,1,0))</f>
        <v>0</v>
      </c>
      <c r="O6063" s="16">
        <f>IF($A6063&lt;Notes!$B$5,"",IF(COUNTIFS(Release_Calendar!$A$2:$A$755,"NZ_LABOUR",Release_Calendar!$B$2:$B$755,$A6063)&gt;0,1,0))</f>
        <v>0</v>
      </c>
      <c r="P6063" s="16">
        <f t="shared" si="4"/>
        <v>0</v>
      </c>
    </row>
    <row r="6064" ht="15.75" customHeight="1">
      <c r="A6064" s="14">
        <v>45014.0</v>
      </c>
      <c r="B6064" s="15">
        <v>4.08</v>
      </c>
      <c r="C6064" s="15">
        <v>4.96</v>
      </c>
      <c r="D6064" s="15"/>
      <c r="E6064" s="15">
        <v>4.51</v>
      </c>
      <c r="F6064" s="15">
        <f t="shared" si="1"/>
        <v>0.88</v>
      </c>
      <c r="G6064" s="15">
        <f t="shared" si="2"/>
        <v>4.96</v>
      </c>
      <c r="H6064" s="16">
        <v>0.0</v>
      </c>
      <c r="I6064" s="15">
        <f t="shared" si="3"/>
        <v>0.88</v>
      </c>
      <c r="J6064" s="15">
        <v>19.12</v>
      </c>
      <c r="K6064" s="16">
        <f>IF(COUNTIFS(Release_Calendar!$A$2:$A$755,"US_CPI",Release_Calendar!$B$2:$B$755,$A6064)&gt;0,1,0)</f>
        <v>0</v>
      </c>
      <c r="L6064" s="16">
        <f>IF(COUNTIFS(Release_Calendar!$A$2:$A$755,"US_NFP",Release_Calendar!$B$2:$B$755,$A6064)&gt;0,1,0)</f>
        <v>0</v>
      </c>
      <c r="M6064" s="16">
        <f>IF($A6064&lt;Notes!$B$5,"",IF(COUNTIFS(Release_Calendar!$A$2:$A$755,"NZ_CPI",Release_Calendar!$B$2:$B$755,$A6064)&gt;0,1,0))</f>
        <v>0</v>
      </c>
      <c r="N6064" s="16">
        <f>IF($A6064&lt;Notes!$B$5,"",IF(COUNTIFS(Release_Calendar!$A$2:$A$755,"NZ_GDP",Release_Calendar!$B$2:$B$755,$A6064)&gt;0,1,0))</f>
        <v>0</v>
      </c>
      <c r="O6064" s="16">
        <f>IF($A6064&lt;Notes!$B$5,"",IF(COUNTIFS(Release_Calendar!$A$2:$A$755,"NZ_LABOUR",Release_Calendar!$B$2:$B$755,$A6064)&gt;0,1,0))</f>
        <v>0</v>
      </c>
      <c r="P6064" s="16">
        <f t="shared" si="4"/>
        <v>0</v>
      </c>
    </row>
    <row r="6065" ht="15.75" customHeight="1">
      <c r="A6065" s="14">
        <v>45015.0</v>
      </c>
      <c r="B6065" s="15">
        <v>4.1</v>
      </c>
      <c r="C6065" s="15">
        <v>5.03</v>
      </c>
      <c r="D6065" s="15"/>
      <c r="E6065" s="15">
        <v>4.62</v>
      </c>
      <c r="F6065" s="15">
        <f t="shared" si="1"/>
        <v>0.93</v>
      </c>
      <c r="G6065" s="15">
        <f t="shared" si="2"/>
        <v>5.03</v>
      </c>
      <c r="H6065" s="16">
        <v>0.0</v>
      </c>
      <c r="I6065" s="15">
        <f t="shared" si="3"/>
        <v>0.93</v>
      </c>
      <c r="J6065" s="15">
        <v>19.02</v>
      </c>
      <c r="K6065" s="16">
        <f>IF(COUNTIFS(Release_Calendar!$A$2:$A$755,"US_CPI",Release_Calendar!$B$2:$B$755,$A6065)&gt;0,1,0)</f>
        <v>0</v>
      </c>
      <c r="L6065" s="16">
        <f>IF(COUNTIFS(Release_Calendar!$A$2:$A$755,"US_NFP",Release_Calendar!$B$2:$B$755,$A6065)&gt;0,1,0)</f>
        <v>0</v>
      </c>
      <c r="M6065" s="16">
        <f>IF($A6065&lt;Notes!$B$5,"",IF(COUNTIFS(Release_Calendar!$A$2:$A$755,"NZ_CPI",Release_Calendar!$B$2:$B$755,$A6065)&gt;0,1,0))</f>
        <v>0</v>
      </c>
      <c r="N6065" s="16">
        <f>IF($A6065&lt;Notes!$B$5,"",IF(COUNTIFS(Release_Calendar!$A$2:$A$755,"NZ_GDP",Release_Calendar!$B$2:$B$755,$A6065)&gt;0,1,0))</f>
        <v>0</v>
      </c>
      <c r="O6065" s="16">
        <f>IF($A6065&lt;Notes!$B$5,"",IF(COUNTIFS(Release_Calendar!$A$2:$A$755,"NZ_LABOUR",Release_Calendar!$B$2:$B$755,$A6065)&gt;0,1,0))</f>
        <v>0</v>
      </c>
      <c r="P6065" s="16">
        <f t="shared" si="4"/>
        <v>0</v>
      </c>
    </row>
    <row r="6066" ht="15.75" customHeight="1">
      <c r="A6066" s="14">
        <v>45016.0</v>
      </c>
      <c r="B6066" s="15">
        <v>4.06</v>
      </c>
      <c r="C6066" s="15">
        <v>5.02</v>
      </c>
      <c r="D6066" s="15"/>
      <c r="E6066" s="15">
        <v>4.62</v>
      </c>
      <c r="F6066" s="15">
        <f t="shared" si="1"/>
        <v>0.96</v>
      </c>
      <c r="G6066" s="15">
        <f t="shared" si="2"/>
        <v>5.02</v>
      </c>
      <c r="H6066" s="16">
        <v>0.0</v>
      </c>
      <c r="I6066" s="15">
        <f t="shared" si="3"/>
        <v>0.96</v>
      </c>
      <c r="J6066" s="15">
        <v>18.7</v>
      </c>
      <c r="K6066" s="16">
        <f>IF(COUNTIFS(Release_Calendar!$A$2:$A$755,"US_CPI",Release_Calendar!$B$2:$B$755,$A6066)&gt;0,1,0)</f>
        <v>0</v>
      </c>
      <c r="L6066" s="16">
        <f>IF(COUNTIFS(Release_Calendar!$A$2:$A$755,"US_NFP",Release_Calendar!$B$2:$B$755,$A6066)&gt;0,1,0)</f>
        <v>0</v>
      </c>
      <c r="M6066" s="16">
        <f>IF($A6066&lt;Notes!$B$5,"",IF(COUNTIFS(Release_Calendar!$A$2:$A$755,"NZ_CPI",Release_Calendar!$B$2:$B$755,$A6066)&gt;0,1,0))</f>
        <v>0</v>
      </c>
      <c r="N6066" s="16">
        <f>IF($A6066&lt;Notes!$B$5,"",IF(COUNTIFS(Release_Calendar!$A$2:$A$755,"NZ_GDP",Release_Calendar!$B$2:$B$755,$A6066)&gt;0,1,0))</f>
        <v>0</v>
      </c>
      <c r="O6066" s="16">
        <f>IF($A6066&lt;Notes!$B$5,"",IF(COUNTIFS(Release_Calendar!$A$2:$A$755,"NZ_LABOUR",Release_Calendar!$B$2:$B$755,$A6066)&gt;0,1,0))</f>
        <v>0</v>
      </c>
      <c r="P6066" s="16">
        <f t="shared" si="4"/>
        <v>0</v>
      </c>
    </row>
    <row r="6067" ht="15.75" customHeight="1">
      <c r="A6067" s="14">
        <v>45019.0</v>
      </c>
      <c r="B6067" s="15">
        <v>3.97</v>
      </c>
      <c r="C6067" s="15">
        <v>5.03</v>
      </c>
      <c r="D6067" s="15"/>
      <c r="E6067" s="15">
        <v>4.6</v>
      </c>
      <c r="F6067" s="15">
        <f t="shared" si="1"/>
        <v>1.06</v>
      </c>
      <c r="G6067" s="15">
        <f t="shared" si="2"/>
        <v>5.03</v>
      </c>
      <c r="H6067" s="16">
        <v>0.0</v>
      </c>
      <c r="I6067" s="15">
        <f t="shared" si="3"/>
        <v>1.06</v>
      </c>
      <c r="J6067" s="15">
        <v>18.55</v>
      </c>
      <c r="K6067" s="16">
        <f>IF(COUNTIFS(Release_Calendar!$A$2:$A$755,"US_CPI",Release_Calendar!$B$2:$B$755,$A6067)&gt;0,1,0)</f>
        <v>0</v>
      </c>
      <c r="L6067" s="16">
        <f>IF(COUNTIFS(Release_Calendar!$A$2:$A$755,"US_NFP",Release_Calendar!$B$2:$B$755,$A6067)&gt;0,1,0)</f>
        <v>0</v>
      </c>
      <c r="M6067" s="16">
        <f>IF($A6067&lt;Notes!$B$5,"",IF(COUNTIFS(Release_Calendar!$A$2:$A$755,"NZ_CPI",Release_Calendar!$B$2:$B$755,$A6067)&gt;0,1,0))</f>
        <v>0</v>
      </c>
      <c r="N6067" s="16">
        <f>IF($A6067&lt;Notes!$B$5,"",IF(COUNTIFS(Release_Calendar!$A$2:$A$755,"NZ_GDP",Release_Calendar!$B$2:$B$755,$A6067)&gt;0,1,0))</f>
        <v>0</v>
      </c>
      <c r="O6067" s="16">
        <f>IF($A6067&lt;Notes!$B$5,"",IF(COUNTIFS(Release_Calendar!$A$2:$A$755,"NZ_LABOUR",Release_Calendar!$B$2:$B$755,$A6067)&gt;0,1,0))</f>
        <v>0</v>
      </c>
      <c r="P6067" s="16">
        <f t="shared" si="4"/>
        <v>0</v>
      </c>
    </row>
    <row r="6068" ht="15.75" customHeight="1">
      <c r="A6068" s="14">
        <v>45020.0</v>
      </c>
      <c r="B6068" s="15">
        <v>3.84</v>
      </c>
      <c r="C6068" s="15">
        <v>5.02</v>
      </c>
      <c r="D6068" s="15"/>
      <c r="E6068" s="15">
        <v>4.58</v>
      </c>
      <c r="F6068" s="15">
        <f t="shared" si="1"/>
        <v>1.18</v>
      </c>
      <c r="G6068" s="15">
        <f t="shared" si="2"/>
        <v>5.02</v>
      </c>
      <c r="H6068" s="16">
        <v>0.0</v>
      </c>
      <c r="I6068" s="15">
        <f t="shared" si="3"/>
        <v>1.18</v>
      </c>
      <c r="J6068" s="15">
        <v>19.0</v>
      </c>
      <c r="K6068" s="16">
        <f>IF(COUNTIFS(Release_Calendar!$A$2:$A$755,"US_CPI",Release_Calendar!$B$2:$B$755,$A6068)&gt;0,1,0)</f>
        <v>0</v>
      </c>
      <c r="L6068" s="16">
        <f>IF(COUNTIFS(Release_Calendar!$A$2:$A$755,"US_NFP",Release_Calendar!$B$2:$B$755,$A6068)&gt;0,1,0)</f>
        <v>0</v>
      </c>
      <c r="M6068" s="16">
        <f>IF($A6068&lt;Notes!$B$5,"",IF(COUNTIFS(Release_Calendar!$A$2:$A$755,"NZ_CPI",Release_Calendar!$B$2:$B$755,$A6068)&gt;0,1,0))</f>
        <v>0</v>
      </c>
      <c r="N6068" s="16">
        <f>IF($A6068&lt;Notes!$B$5,"",IF(COUNTIFS(Release_Calendar!$A$2:$A$755,"NZ_GDP",Release_Calendar!$B$2:$B$755,$A6068)&gt;0,1,0))</f>
        <v>0</v>
      </c>
      <c r="O6068" s="16">
        <f>IF($A6068&lt;Notes!$B$5,"",IF(COUNTIFS(Release_Calendar!$A$2:$A$755,"NZ_LABOUR",Release_Calendar!$B$2:$B$755,$A6068)&gt;0,1,0))</f>
        <v>0</v>
      </c>
      <c r="P6068" s="16">
        <f t="shared" si="4"/>
        <v>0</v>
      </c>
    </row>
    <row r="6069" ht="15.75" customHeight="1">
      <c r="A6069" s="14">
        <v>45021.0</v>
      </c>
      <c r="B6069" s="15">
        <v>3.79</v>
      </c>
      <c r="C6069" s="15">
        <v>5.11</v>
      </c>
      <c r="D6069" s="15"/>
      <c r="E6069" s="15">
        <v>4.7</v>
      </c>
      <c r="F6069" s="15">
        <f t="shared" si="1"/>
        <v>1.32</v>
      </c>
      <c r="G6069" s="15">
        <f t="shared" si="2"/>
        <v>5.11</v>
      </c>
      <c r="H6069" s="16">
        <v>0.0</v>
      </c>
      <c r="I6069" s="15">
        <f t="shared" si="3"/>
        <v>1.32</v>
      </c>
      <c r="J6069" s="15">
        <v>19.08</v>
      </c>
      <c r="K6069" s="16">
        <f>IF(COUNTIFS(Release_Calendar!$A$2:$A$755,"US_CPI",Release_Calendar!$B$2:$B$755,$A6069)&gt;0,1,0)</f>
        <v>0</v>
      </c>
      <c r="L6069" s="16">
        <f>IF(COUNTIFS(Release_Calendar!$A$2:$A$755,"US_NFP",Release_Calendar!$B$2:$B$755,$A6069)&gt;0,1,0)</f>
        <v>0</v>
      </c>
      <c r="M6069" s="16">
        <f>IF($A6069&lt;Notes!$B$5,"",IF(COUNTIFS(Release_Calendar!$A$2:$A$755,"NZ_CPI",Release_Calendar!$B$2:$B$755,$A6069)&gt;0,1,0))</f>
        <v>0</v>
      </c>
      <c r="N6069" s="16">
        <f>IF($A6069&lt;Notes!$B$5,"",IF(COUNTIFS(Release_Calendar!$A$2:$A$755,"NZ_GDP",Release_Calendar!$B$2:$B$755,$A6069)&gt;0,1,0))</f>
        <v>0</v>
      </c>
      <c r="O6069" s="16">
        <f>IF($A6069&lt;Notes!$B$5,"",IF(COUNTIFS(Release_Calendar!$A$2:$A$755,"NZ_LABOUR",Release_Calendar!$B$2:$B$755,$A6069)&gt;0,1,0))</f>
        <v>0</v>
      </c>
      <c r="P6069" s="16">
        <f t="shared" si="4"/>
        <v>0</v>
      </c>
    </row>
    <row r="6070" ht="15.75" customHeight="1">
      <c r="A6070" s="14">
        <v>45022.0</v>
      </c>
      <c r="B6070" s="15">
        <v>3.82</v>
      </c>
      <c r="C6070" s="15">
        <v>4.99</v>
      </c>
      <c r="D6070" s="15"/>
      <c r="E6070" s="15">
        <v>4.54</v>
      </c>
      <c r="F6070" s="15">
        <f t="shared" si="1"/>
        <v>1.17</v>
      </c>
      <c r="G6070" s="15">
        <f t="shared" si="2"/>
        <v>4.99</v>
      </c>
      <c r="H6070" s="16">
        <v>0.0</v>
      </c>
      <c r="I6070" s="15">
        <f t="shared" si="3"/>
        <v>1.17</v>
      </c>
      <c r="J6070" s="15">
        <v>18.4</v>
      </c>
      <c r="K6070" s="16">
        <f>IF(COUNTIFS(Release_Calendar!$A$2:$A$755,"US_CPI",Release_Calendar!$B$2:$B$755,$A6070)&gt;0,1,0)</f>
        <v>0</v>
      </c>
      <c r="L6070" s="16">
        <f>IF(COUNTIFS(Release_Calendar!$A$2:$A$755,"US_NFP",Release_Calendar!$B$2:$B$755,$A6070)&gt;0,1,0)</f>
        <v>0</v>
      </c>
      <c r="M6070" s="16">
        <f>IF($A6070&lt;Notes!$B$5,"",IF(COUNTIFS(Release_Calendar!$A$2:$A$755,"NZ_CPI",Release_Calendar!$B$2:$B$755,$A6070)&gt;0,1,0))</f>
        <v>0</v>
      </c>
      <c r="N6070" s="16">
        <f>IF($A6070&lt;Notes!$B$5,"",IF(COUNTIFS(Release_Calendar!$A$2:$A$755,"NZ_GDP",Release_Calendar!$B$2:$B$755,$A6070)&gt;0,1,0))</f>
        <v>0</v>
      </c>
      <c r="O6070" s="16">
        <f>IF($A6070&lt;Notes!$B$5,"",IF(COUNTIFS(Release_Calendar!$A$2:$A$755,"NZ_LABOUR",Release_Calendar!$B$2:$B$755,$A6070)&gt;0,1,0))</f>
        <v>0</v>
      </c>
      <c r="P6070" s="16">
        <f t="shared" si="4"/>
        <v>0</v>
      </c>
    </row>
    <row r="6071" ht="15.75" customHeight="1">
      <c r="A6071" s="14">
        <v>45023.0</v>
      </c>
      <c r="B6071" s="15">
        <v>3.97</v>
      </c>
      <c r="C6071" s="15"/>
      <c r="D6071" s="15"/>
      <c r="E6071" s="15"/>
      <c r="F6071" s="15" t="str">
        <f t="shared" si="1"/>
        <v/>
      </c>
      <c r="G6071" s="15" t="str">
        <f t="shared" si="2"/>
        <v/>
      </c>
      <c r="H6071" s="16">
        <v>0.0</v>
      </c>
      <c r="I6071" s="15" t="str">
        <f t="shared" si="3"/>
        <v/>
      </c>
      <c r="J6071" s="15"/>
      <c r="K6071" s="16">
        <f>IF(COUNTIFS(Release_Calendar!$A$2:$A$755,"US_CPI",Release_Calendar!$B$2:$B$755,$A6071)&gt;0,1,0)</f>
        <v>0</v>
      </c>
      <c r="L6071" s="16">
        <f>IF(COUNTIFS(Release_Calendar!$A$2:$A$755,"US_NFP",Release_Calendar!$B$2:$B$755,$A6071)&gt;0,1,0)</f>
        <v>1</v>
      </c>
      <c r="M6071" s="16">
        <f>IF($A6071&lt;Notes!$B$5,"",IF(COUNTIFS(Release_Calendar!$A$2:$A$755,"NZ_CPI",Release_Calendar!$B$2:$B$755,$A6071)&gt;0,1,0))</f>
        <v>0</v>
      </c>
      <c r="N6071" s="16">
        <f>IF($A6071&lt;Notes!$B$5,"",IF(COUNTIFS(Release_Calendar!$A$2:$A$755,"NZ_GDP",Release_Calendar!$B$2:$B$755,$A6071)&gt;0,1,0))</f>
        <v>0</v>
      </c>
      <c r="O6071" s="16">
        <f>IF($A6071&lt;Notes!$B$5,"",IF(COUNTIFS(Release_Calendar!$A$2:$A$755,"NZ_LABOUR",Release_Calendar!$B$2:$B$755,$A6071)&gt;0,1,0))</f>
        <v>0</v>
      </c>
      <c r="P6071" s="16">
        <f t="shared" si="4"/>
        <v>1</v>
      </c>
    </row>
    <row r="6072" ht="15.75" customHeight="1">
      <c r="A6072" s="14">
        <v>45026.0</v>
      </c>
      <c r="B6072" s="15">
        <v>4.0</v>
      </c>
      <c r="C6072" s="15"/>
      <c r="D6072" s="15"/>
      <c r="E6072" s="15"/>
      <c r="F6072" s="15" t="str">
        <f t="shared" si="1"/>
        <v/>
      </c>
      <c r="G6072" s="15" t="str">
        <f t="shared" si="2"/>
        <v/>
      </c>
      <c r="H6072" s="16">
        <v>0.0</v>
      </c>
      <c r="I6072" s="15" t="str">
        <f t="shared" si="3"/>
        <v/>
      </c>
      <c r="J6072" s="15">
        <v>18.97</v>
      </c>
      <c r="K6072" s="16">
        <f>IF(COUNTIFS(Release_Calendar!$A$2:$A$755,"US_CPI",Release_Calendar!$B$2:$B$755,$A6072)&gt;0,1,0)</f>
        <v>0</v>
      </c>
      <c r="L6072" s="16">
        <f>IF(COUNTIFS(Release_Calendar!$A$2:$A$755,"US_NFP",Release_Calendar!$B$2:$B$755,$A6072)&gt;0,1,0)</f>
        <v>0</v>
      </c>
      <c r="M6072" s="16">
        <f>IF($A6072&lt;Notes!$B$5,"",IF(COUNTIFS(Release_Calendar!$A$2:$A$755,"NZ_CPI",Release_Calendar!$B$2:$B$755,$A6072)&gt;0,1,0))</f>
        <v>0</v>
      </c>
      <c r="N6072" s="16">
        <f>IF($A6072&lt;Notes!$B$5,"",IF(COUNTIFS(Release_Calendar!$A$2:$A$755,"NZ_GDP",Release_Calendar!$B$2:$B$755,$A6072)&gt;0,1,0))</f>
        <v>0</v>
      </c>
      <c r="O6072" s="16">
        <f>IF($A6072&lt;Notes!$B$5,"",IF(COUNTIFS(Release_Calendar!$A$2:$A$755,"NZ_LABOUR",Release_Calendar!$B$2:$B$755,$A6072)&gt;0,1,0))</f>
        <v>0</v>
      </c>
      <c r="P6072" s="16">
        <f t="shared" si="4"/>
        <v>0</v>
      </c>
    </row>
    <row r="6073" ht="15.75" customHeight="1">
      <c r="A6073" s="14">
        <v>45027.0</v>
      </c>
      <c r="B6073" s="15">
        <v>4.03</v>
      </c>
      <c r="C6073" s="15">
        <v>4.99</v>
      </c>
      <c r="D6073" s="15"/>
      <c r="E6073" s="15">
        <v>4.55</v>
      </c>
      <c r="F6073" s="15">
        <f t="shared" si="1"/>
        <v>0.96</v>
      </c>
      <c r="G6073" s="15">
        <f t="shared" si="2"/>
        <v>4.99</v>
      </c>
      <c r="H6073" s="16">
        <v>0.0</v>
      </c>
      <c r="I6073" s="15">
        <f t="shared" si="3"/>
        <v>0.96</v>
      </c>
      <c r="J6073" s="15">
        <v>19.1</v>
      </c>
      <c r="K6073" s="16">
        <f>IF(COUNTIFS(Release_Calendar!$A$2:$A$755,"US_CPI",Release_Calendar!$B$2:$B$755,$A6073)&gt;0,1,0)</f>
        <v>0</v>
      </c>
      <c r="L6073" s="16">
        <f>IF(COUNTIFS(Release_Calendar!$A$2:$A$755,"US_NFP",Release_Calendar!$B$2:$B$755,$A6073)&gt;0,1,0)</f>
        <v>0</v>
      </c>
      <c r="M6073" s="16">
        <f>IF($A6073&lt;Notes!$B$5,"",IF(COUNTIFS(Release_Calendar!$A$2:$A$755,"NZ_CPI",Release_Calendar!$B$2:$B$755,$A6073)&gt;0,1,0))</f>
        <v>0</v>
      </c>
      <c r="N6073" s="16">
        <f>IF($A6073&lt;Notes!$B$5,"",IF(COUNTIFS(Release_Calendar!$A$2:$A$755,"NZ_GDP",Release_Calendar!$B$2:$B$755,$A6073)&gt;0,1,0))</f>
        <v>0</v>
      </c>
      <c r="O6073" s="16">
        <f>IF($A6073&lt;Notes!$B$5,"",IF(COUNTIFS(Release_Calendar!$A$2:$A$755,"NZ_LABOUR",Release_Calendar!$B$2:$B$755,$A6073)&gt;0,1,0))</f>
        <v>0</v>
      </c>
      <c r="P6073" s="16">
        <f t="shared" si="4"/>
        <v>0</v>
      </c>
    </row>
    <row r="6074" ht="15.75" customHeight="1">
      <c r="A6074" s="14">
        <v>45028.0</v>
      </c>
      <c r="B6074" s="15">
        <v>3.95</v>
      </c>
      <c r="C6074" s="15">
        <v>4.97</v>
      </c>
      <c r="D6074" s="15"/>
      <c r="E6074" s="15">
        <v>4.53</v>
      </c>
      <c r="F6074" s="15">
        <f t="shared" si="1"/>
        <v>1.02</v>
      </c>
      <c r="G6074" s="15">
        <f t="shared" si="2"/>
        <v>4.97</v>
      </c>
      <c r="H6074" s="16">
        <v>0.0</v>
      </c>
      <c r="I6074" s="15">
        <f t="shared" si="3"/>
        <v>1.02</v>
      </c>
      <c r="J6074" s="15">
        <v>19.09</v>
      </c>
      <c r="K6074" s="16">
        <f>IF(COUNTIFS(Release_Calendar!$A$2:$A$755,"US_CPI",Release_Calendar!$B$2:$B$755,$A6074)&gt;0,1,0)</f>
        <v>1</v>
      </c>
      <c r="L6074" s="16">
        <f>IF(COUNTIFS(Release_Calendar!$A$2:$A$755,"US_NFP",Release_Calendar!$B$2:$B$755,$A6074)&gt;0,1,0)</f>
        <v>0</v>
      </c>
      <c r="M6074" s="16">
        <f>IF($A6074&lt;Notes!$B$5,"",IF(COUNTIFS(Release_Calendar!$A$2:$A$755,"NZ_CPI",Release_Calendar!$B$2:$B$755,$A6074)&gt;0,1,0))</f>
        <v>0</v>
      </c>
      <c r="N6074" s="16">
        <f>IF($A6074&lt;Notes!$B$5,"",IF(COUNTIFS(Release_Calendar!$A$2:$A$755,"NZ_GDP",Release_Calendar!$B$2:$B$755,$A6074)&gt;0,1,0))</f>
        <v>0</v>
      </c>
      <c r="O6074" s="16">
        <f>IF($A6074&lt;Notes!$B$5,"",IF(COUNTIFS(Release_Calendar!$A$2:$A$755,"NZ_LABOUR",Release_Calendar!$B$2:$B$755,$A6074)&gt;0,1,0))</f>
        <v>0</v>
      </c>
      <c r="P6074" s="16">
        <f t="shared" si="4"/>
        <v>1</v>
      </c>
    </row>
    <row r="6075" ht="15.75" customHeight="1">
      <c r="A6075" s="14">
        <v>45029.0</v>
      </c>
      <c r="B6075" s="15">
        <v>3.96</v>
      </c>
      <c r="C6075" s="15">
        <v>5.01</v>
      </c>
      <c r="D6075" s="15"/>
      <c r="E6075" s="15">
        <v>4.55</v>
      </c>
      <c r="F6075" s="15">
        <f t="shared" si="1"/>
        <v>1.05</v>
      </c>
      <c r="G6075" s="15">
        <f t="shared" si="2"/>
        <v>5.01</v>
      </c>
      <c r="H6075" s="16">
        <v>0.0</v>
      </c>
      <c r="I6075" s="15">
        <f t="shared" si="3"/>
        <v>1.05</v>
      </c>
      <c r="J6075" s="15">
        <v>17.8</v>
      </c>
      <c r="K6075" s="16">
        <f>IF(COUNTIFS(Release_Calendar!$A$2:$A$755,"US_CPI",Release_Calendar!$B$2:$B$755,$A6075)&gt;0,1,0)</f>
        <v>0</v>
      </c>
      <c r="L6075" s="16">
        <f>IF(COUNTIFS(Release_Calendar!$A$2:$A$755,"US_NFP",Release_Calendar!$B$2:$B$755,$A6075)&gt;0,1,0)</f>
        <v>0</v>
      </c>
      <c r="M6075" s="16">
        <f>IF($A6075&lt;Notes!$B$5,"",IF(COUNTIFS(Release_Calendar!$A$2:$A$755,"NZ_CPI",Release_Calendar!$B$2:$B$755,$A6075)&gt;0,1,0))</f>
        <v>0</v>
      </c>
      <c r="N6075" s="16">
        <f>IF($A6075&lt;Notes!$B$5,"",IF(COUNTIFS(Release_Calendar!$A$2:$A$755,"NZ_GDP",Release_Calendar!$B$2:$B$755,$A6075)&gt;0,1,0))</f>
        <v>0</v>
      </c>
      <c r="O6075" s="16">
        <f>IF($A6075&lt;Notes!$B$5,"",IF(COUNTIFS(Release_Calendar!$A$2:$A$755,"NZ_LABOUR",Release_Calendar!$B$2:$B$755,$A6075)&gt;0,1,0))</f>
        <v>0</v>
      </c>
      <c r="P6075" s="16">
        <f t="shared" si="4"/>
        <v>0</v>
      </c>
    </row>
    <row r="6076" ht="15.75" customHeight="1">
      <c r="A6076" s="14">
        <v>45030.0</v>
      </c>
      <c r="B6076" s="15">
        <v>4.08</v>
      </c>
      <c r="C6076" s="15">
        <v>5.02</v>
      </c>
      <c r="D6076" s="15"/>
      <c r="E6076" s="15">
        <v>4.58</v>
      </c>
      <c r="F6076" s="15">
        <f t="shared" si="1"/>
        <v>0.94</v>
      </c>
      <c r="G6076" s="15">
        <f t="shared" si="2"/>
        <v>5.02</v>
      </c>
      <c r="H6076" s="16">
        <v>0.0</v>
      </c>
      <c r="I6076" s="15">
        <f t="shared" si="3"/>
        <v>0.94</v>
      </c>
      <c r="J6076" s="15">
        <v>17.07</v>
      </c>
      <c r="K6076" s="16">
        <f>IF(COUNTIFS(Release_Calendar!$A$2:$A$755,"US_CPI",Release_Calendar!$B$2:$B$755,$A6076)&gt;0,1,0)</f>
        <v>0</v>
      </c>
      <c r="L6076" s="16">
        <f>IF(COUNTIFS(Release_Calendar!$A$2:$A$755,"US_NFP",Release_Calendar!$B$2:$B$755,$A6076)&gt;0,1,0)</f>
        <v>0</v>
      </c>
      <c r="M6076" s="16">
        <f>IF($A6076&lt;Notes!$B$5,"",IF(COUNTIFS(Release_Calendar!$A$2:$A$755,"NZ_CPI",Release_Calendar!$B$2:$B$755,$A6076)&gt;0,1,0))</f>
        <v>0</v>
      </c>
      <c r="N6076" s="16">
        <f>IF($A6076&lt;Notes!$B$5,"",IF(COUNTIFS(Release_Calendar!$A$2:$A$755,"NZ_GDP",Release_Calendar!$B$2:$B$755,$A6076)&gt;0,1,0))</f>
        <v>0</v>
      </c>
      <c r="O6076" s="16">
        <f>IF($A6076&lt;Notes!$B$5,"",IF(COUNTIFS(Release_Calendar!$A$2:$A$755,"NZ_LABOUR",Release_Calendar!$B$2:$B$755,$A6076)&gt;0,1,0))</f>
        <v>0</v>
      </c>
      <c r="P6076" s="16">
        <f t="shared" si="4"/>
        <v>0</v>
      </c>
    </row>
    <row r="6077" ht="15.75" customHeight="1">
      <c r="A6077" s="14">
        <v>45033.0</v>
      </c>
      <c r="B6077" s="15">
        <v>4.18</v>
      </c>
      <c r="C6077" s="15">
        <v>5.09</v>
      </c>
      <c r="D6077" s="15"/>
      <c r="E6077" s="15">
        <v>4.61</v>
      </c>
      <c r="F6077" s="15">
        <f t="shared" si="1"/>
        <v>0.91</v>
      </c>
      <c r="G6077" s="15">
        <f t="shared" si="2"/>
        <v>5.09</v>
      </c>
      <c r="H6077" s="16">
        <v>0.0</v>
      </c>
      <c r="I6077" s="15">
        <f t="shared" si="3"/>
        <v>0.91</v>
      </c>
      <c r="J6077" s="15">
        <v>16.95</v>
      </c>
      <c r="K6077" s="16">
        <f>IF(COUNTIFS(Release_Calendar!$A$2:$A$755,"US_CPI",Release_Calendar!$B$2:$B$755,$A6077)&gt;0,1,0)</f>
        <v>0</v>
      </c>
      <c r="L6077" s="16">
        <f>IF(COUNTIFS(Release_Calendar!$A$2:$A$755,"US_NFP",Release_Calendar!$B$2:$B$755,$A6077)&gt;0,1,0)</f>
        <v>0</v>
      </c>
      <c r="M6077" s="16">
        <f>IF($A6077&lt;Notes!$B$5,"",IF(COUNTIFS(Release_Calendar!$A$2:$A$755,"NZ_CPI",Release_Calendar!$B$2:$B$755,$A6077)&gt;0,1,0))</f>
        <v>0</v>
      </c>
      <c r="N6077" s="16">
        <f>IF($A6077&lt;Notes!$B$5,"",IF(COUNTIFS(Release_Calendar!$A$2:$A$755,"NZ_GDP",Release_Calendar!$B$2:$B$755,$A6077)&gt;0,1,0))</f>
        <v>0</v>
      </c>
      <c r="O6077" s="16">
        <f>IF($A6077&lt;Notes!$B$5,"",IF(COUNTIFS(Release_Calendar!$A$2:$A$755,"NZ_LABOUR",Release_Calendar!$B$2:$B$755,$A6077)&gt;0,1,0))</f>
        <v>0</v>
      </c>
      <c r="P6077" s="16">
        <f t="shared" si="4"/>
        <v>0</v>
      </c>
    </row>
    <row r="6078" ht="15.75" customHeight="1">
      <c r="A6078" s="14">
        <v>45034.0</v>
      </c>
      <c r="B6078" s="15">
        <v>4.19</v>
      </c>
      <c r="C6078" s="15">
        <v>5.19</v>
      </c>
      <c r="D6078" s="15"/>
      <c r="E6078" s="15">
        <v>4.76</v>
      </c>
      <c r="F6078" s="15">
        <f t="shared" si="1"/>
        <v>1</v>
      </c>
      <c r="G6078" s="15">
        <f t="shared" si="2"/>
        <v>5.19</v>
      </c>
      <c r="H6078" s="16">
        <v>0.0</v>
      </c>
      <c r="I6078" s="15">
        <f t="shared" si="3"/>
        <v>1</v>
      </c>
      <c r="J6078" s="15">
        <v>16.83</v>
      </c>
      <c r="K6078" s="16">
        <f>IF(COUNTIFS(Release_Calendar!$A$2:$A$755,"US_CPI",Release_Calendar!$B$2:$B$755,$A6078)&gt;0,1,0)</f>
        <v>0</v>
      </c>
      <c r="L6078" s="16">
        <f>IF(COUNTIFS(Release_Calendar!$A$2:$A$755,"US_NFP",Release_Calendar!$B$2:$B$755,$A6078)&gt;0,1,0)</f>
        <v>0</v>
      </c>
      <c r="M6078" s="16">
        <f>IF($A6078&lt;Notes!$B$5,"",IF(COUNTIFS(Release_Calendar!$A$2:$A$755,"NZ_CPI",Release_Calendar!$B$2:$B$755,$A6078)&gt;0,1,0))</f>
        <v>0</v>
      </c>
      <c r="N6078" s="16">
        <f>IF($A6078&lt;Notes!$B$5,"",IF(COUNTIFS(Release_Calendar!$A$2:$A$755,"NZ_GDP",Release_Calendar!$B$2:$B$755,$A6078)&gt;0,1,0))</f>
        <v>0</v>
      </c>
      <c r="O6078" s="16">
        <f>IF($A6078&lt;Notes!$B$5,"",IF(COUNTIFS(Release_Calendar!$A$2:$A$755,"NZ_LABOUR",Release_Calendar!$B$2:$B$755,$A6078)&gt;0,1,0))</f>
        <v>0</v>
      </c>
      <c r="P6078" s="16">
        <f t="shared" si="4"/>
        <v>0</v>
      </c>
    </row>
    <row r="6079" ht="15.75" customHeight="1">
      <c r="A6079" s="14">
        <v>45035.0</v>
      </c>
      <c r="B6079" s="15">
        <v>4.24</v>
      </c>
      <c r="C6079" s="15">
        <v>5.21</v>
      </c>
      <c r="D6079" s="15"/>
      <c r="E6079" s="15">
        <v>4.8</v>
      </c>
      <c r="F6079" s="15">
        <f t="shared" si="1"/>
        <v>0.97</v>
      </c>
      <c r="G6079" s="15">
        <f t="shared" si="2"/>
        <v>5.21</v>
      </c>
      <c r="H6079" s="16">
        <v>0.0</v>
      </c>
      <c r="I6079" s="15">
        <f t="shared" si="3"/>
        <v>0.97</v>
      </c>
      <c r="J6079" s="15">
        <v>16.46</v>
      </c>
      <c r="K6079" s="16">
        <f>IF(COUNTIFS(Release_Calendar!$A$2:$A$755,"US_CPI",Release_Calendar!$B$2:$B$755,$A6079)&gt;0,1,0)</f>
        <v>0</v>
      </c>
      <c r="L6079" s="16">
        <f>IF(COUNTIFS(Release_Calendar!$A$2:$A$755,"US_NFP",Release_Calendar!$B$2:$B$755,$A6079)&gt;0,1,0)</f>
        <v>0</v>
      </c>
      <c r="M6079" s="16">
        <f>IF($A6079&lt;Notes!$B$5,"",IF(COUNTIFS(Release_Calendar!$A$2:$A$755,"NZ_CPI",Release_Calendar!$B$2:$B$755,$A6079)&gt;0,1,0))</f>
        <v>0</v>
      </c>
      <c r="N6079" s="16">
        <f>IF($A6079&lt;Notes!$B$5,"",IF(COUNTIFS(Release_Calendar!$A$2:$A$755,"NZ_GDP",Release_Calendar!$B$2:$B$755,$A6079)&gt;0,1,0))</f>
        <v>0</v>
      </c>
      <c r="O6079" s="16">
        <f>IF($A6079&lt;Notes!$B$5,"",IF(COUNTIFS(Release_Calendar!$A$2:$A$755,"NZ_LABOUR",Release_Calendar!$B$2:$B$755,$A6079)&gt;0,1,0))</f>
        <v>0</v>
      </c>
      <c r="P6079" s="16">
        <f t="shared" si="4"/>
        <v>0</v>
      </c>
    </row>
    <row r="6080" ht="15.75" customHeight="1">
      <c r="A6080" s="14">
        <v>45036.0</v>
      </c>
      <c r="B6080" s="15">
        <v>4.14</v>
      </c>
      <c r="C6080" s="15">
        <v>5.13</v>
      </c>
      <c r="D6080" s="15"/>
      <c r="E6080" s="15">
        <v>4.72</v>
      </c>
      <c r="F6080" s="15">
        <f t="shared" si="1"/>
        <v>0.99</v>
      </c>
      <c r="G6080" s="15">
        <f t="shared" si="2"/>
        <v>5.13</v>
      </c>
      <c r="H6080" s="16">
        <v>0.0</v>
      </c>
      <c r="I6080" s="15">
        <f t="shared" si="3"/>
        <v>0.99</v>
      </c>
      <c r="J6080" s="15">
        <v>17.17</v>
      </c>
      <c r="K6080" s="16">
        <f>IF(COUNTIFS(Release_Calendar!$A$2:$A$755,"US_CPI",Release_Calendar!$B$2:$B$755,$A6080)&gt;0,1,0)</f>
        <v>0</v>
      </c>
      <c r="L6080" s="16">
        <f>IF(COUNTIFS(Release_Calendar!$A$2:$A$755,"US_NFP",Release_Calendar!$B$2:$B$755,$A6080)&gt;0,1,0)</f>
        <v>0</v>
      </c>
      <c r="M6080" s="16">
        <f>IF($A6080&lt;Notes!$B$5,"",IF(COUNTIFS(Release_Calendar!$A$2:$A$755,"NZ_CPI",Release_Calendar!$B$2:$B$755,$A6080)&gt;0,1,0))</f>
        <v>1</v>
      </c>
      <c r="N6080" s="16">
        <f>IF($A6080&lt;Notes!$B$5,"",IF(COUNTIFS(Release_Calendar!$A$2:$A$755,"NZ_GDP",Release_Calendar!$B$2:$B$755,$A6080)&gt;0,1,0))</f>
        <v>0</v>
      </c>
      <c r="O6080" s="16">
        <f>IF($A6080&lt;Notes!$B$5,"",IF(COUNTIFS(Release_Calendar!$A$2:$A$755,"NZ_LABOUR",Release_Calendar!$B$2:$B$755,$A6080)&gt;0,1,0))</f>
        <v>0</v>
      </c>
      <c r="P6080" s="16">
        <f t="shared" si="4"/>
        <v>1</v>
      </c>
    </row>
    <row r="6081" ht="15.75" customHeight="1">
      <c r="A6081" s="14">
        <v>45037.0</v>
      </c>
      <c r="B6081" s="15">
        <v>4.17</v>
      </c>
      <c r="C6081" s="15">
        <v>5.02</v>
      </c>
      <c r="D6081" s="15"/>
      <c r="E6081" s="15">
        <v>4.61</v>
      </c>
      <c r="F6081" s="15">
        <f t="shared" si="1"/>
        <v>0.85</v>
      </c>
      <c r="G6081" s="15">
        <f t="shared" si="2"/>
        <v>5.02</v>
      </c>
      <c r="H6081" s="16">
        <v>0.0</v>
      </c>
      <c r="I6081" s="15">
        <f t="shared" si="3"/>
        <v>0.85</v>
      </c>
      <c r="J6081" s="15">
        <v>16.77</v>
      </c>
      <c r="K6081" s="16">
        <f>IF(COUNTIFS(Release_Calendar!$A$2:$A$755,"US_CPI",Release_Calendar!$B$2:$B$755,$A6081)&gt;0,1,0)</f>
        <v>0</v>
      </c>
      <c r="L6081" s="16">
        <f>IF(COUNTIFS(Release_Calendar!$A$2:$A$755,"US_NFP",Release_Calendar!$B$2:$B$755,$A6081)&gt;0,1,0)</f>
        <v>0</v>
      </c>
      <c r="M6081" s="16">
        <f>IF($A6081&lt;Notes!$B$5,"",IF(COUNTIFS(Release_Calendar!$A$2:$A$755,"NZ_CPI",Release_Calendar!$B$2:$B$755,$A6081)&gt;0,1,0))</f>
        <v>0</v>
      </c>
      <c r="N6081" s="16">
        <f>IF($A6081&lt;Notes!$B$5,"",IF(COUNTIFS(Release_Calendar!$A$2:$A$755,"NZ_GDP",Release_Calendar!$B$2:$B$755,$A6081)&gt;0,1,0))</f>
        <v>0</v>
      </c>
      <c r="O6081" s="16">
        <f>IF($A6081&lt;Notes!$B$5,"",IF(COUNTIFS(Release_Calendar!$A$2:$A$755,"NZ_LABOUR",Release_Calendar!$B$2:$B$755,$A6081)&gt;0,1,0))</f>
        <v>0</v>
      </c>
      <c r="P6081" s="16">
        <f t="shared" si="4"/>
        <v>0</v>
      </c>
    </row>
    <row r="6082" ht="15.75" customHeight="1">
      <c r="A6082" s="14">
        <v>45040.0</v>
      </c>
      <c r="B6082" s="15">
        <v>4.12</v>
      </c>
      <c r="C6082" s="15">
        <v>5.04</v>
      </c>
      <c r="D6082" s="15"/>
      <c r="E6082" s="15">
        <v>4.61</v>
      </c>
      <c r="F6082" s="15">
        <f t="shared" si="1"/>
        <v>0.92</v>
      </c>
      <c r="G6082" s="15">
        <f t="shared" si="2"/>
        <v>5.04</v>
      </c>
      <c r="H6082" s="16">
        <v>0.0</v>
      </c>
      <c r="I6082" s="15">
        <f t="shared" si="3"/>
        <v>0.92</v>
      </c>
      <c r="J6082" s="15">
        <v>16.89</v>
      </c>
      <c r="K6082" s="16">
        <f>IF(COUNTIFS(Release_Calendar!$A$2:$A$755,"US_CPI",Release_Calendar!$B$2:$B$755,$A6082)&gt;0,1,0)</f>
        <v>0</v>
      </c>
      <c r="L6082" s="16">
        <f>IF(COUNTIFS(Release_Calendar!$A$2:$A$755,"US_NFP",Release_Calendar!$B$2:$B$755,$A6082)&gt;0,1,0)</f>
        <v>0</v>
      </c>
      <c r="M6082" s="16">
        <f>IF($A6082&lt;Notes!$B$5,"",IF(COUNTIFS(Release_Calendar!$A$2:$A$755,"NZ_CPI",Release_Calendar!$B$2:$B$755,$A6082)&gt;0,1,0))</f>
        <v>0</v>
      </c>
      <c r="N6082" s="16">
        <f>IF($A6082&lt;Notes!$B$5,"",IF(COUNTIFS(Release_Calendar!$A$2:$A$755,"NZ_GDP",Release_Calendar!$B$2:$B$755,$A6082)&gt;0,1,0))</f>
        <v>0</v>
      </c>
      <c r="O6082" s="16">
        <f>IF($A6082&lt;Notes!$B$5,"",IF(COUNTIFS(Release_Calendar!$A$2:$A$755,"NZ_LABOUR",Release_Calendar!$B$2:$B$755,$A6082)&gt;0,1,0))</f>
        <v>0</v>
      </c>
      <c r="P6082" s="16">
        <f t="shared" si="4"/>
        <v>0</v>
      </c>
    </row>
    <row r="6083" ht="15.75" customHeight="1">
      <c r="A6083" s="14">
        <v>45041.0</v>
      </c>
      <c r="B6083" s="15">
        <v>3.86</v>
      </c>
      <c r="C6083" s="15"/>
      <c r="D6083" s="15"/>
      <c r="E6083" s="15"/>
      <c r="F6083" s="15" t="str">
        <f t="shared" si="1"/>
        <v/>
      </c>
      <c r="G6083" s="15" t="str">
        <f t="shared" si="2"/>
        <v/>
      </c>
      <c r="H6083" s="16">
        <v>0.0</v>
      </c>
      <c r="I6083" s="15" t="str">
        <f t="shared" si="3"/>
        <v/>
      </c>
      <c r="J6083" s="15">
        <v>18.76</v>
      </c>
      <c r="K6083" s="16">
        <f>IF(COUNTIFS(Release_Calendar!$A$2:$A$755,"US_CPI",Release_Calendar!$B$2:$B$755,$A6083)&gt;0,1,0)</f>
        <v>0</v>
      </c>
      <c r="L6083" s="16">
        <f>IF(COUNTIFS(Release_Calendar!$A$2:$A$755,"US_NFP",Release_Calendar!$B$2:$B$755,$A6083)&gt;0,1,0)</f>
        <v>0</v>
      </c>
      <c r="M6083" s="16">
        <f>IF($A6083&lt;Notes!$B$5,"",IF(COUNTIFS(Release_Calendar!$A$2:$A$755,"NZ_CPI",Release_Calendar!$B$2:$B$755,$A6083)&gt;0,1,0))</f>
        <v>0</v>
      </c>
      <c r="N6083" s="16">
        <f>IF($A6083&lt;Notes!$B$5,"",IF(COUNTIFS(Release_Calendar!$A$2:$A$755,"NZ_GDP",Release_Calendar!$B$2:$B$755,$A6083)&gt;0,1,0))</f>
        <v>0</v>
      </c>
      <c r="O6083" s="16">
        <f>IF($A6083&lt;Notes!$B$5,"",IF(COUNTIFS(Release_Calendar!$A$2:$A$755,"NZ_LABOUR",Release_Calendar!$B$2:$B$755,$A6083)&gt;0,1,0))</f>
        <v>0</v>
      </c>
      <c r="P6083" s="16">
        <f t="shared" si="4"/>
        <v>0</v>
      </c>
    </row>
    <row r="6084" ht="15.75" customHeight="1">
      <c r="A6084" s="14">
        <v>45042.0</v>
      </c>
      <c r="B6084" s="15">
        <v>3.9</v>
      </c>
      <c r="C6084" s="15">
        <v>4.91</v>
      </c>
      <c r="D6084" s="15"/>
      <c r="E6084" s="15">
        <v>4.49</v>
      </c>
      <c r="F6084" s="15">
        <f t="shared" si="1"/>
        <v>1.01</v>
      </c>
      <c r="G6084" s="15">
        <f t="shared" si="2"/>
        <v>4.91</v>
      </c>
      <c r="H6084" s="16">
        <v>0.0</v>
      </c>
      <c r="I6084" s="15">
        <f t="shared" si="3"/>
        <v>1.01</v>
      </c>
      <c r="J6084" s="15">
        <v>18.84</v>
      </c>
      <c r="K6084" s="16">
        <f>IF(COUNTIFS(Release_Calendar!$A$2:$A$755,"US_CPI",Release_Calendar!$B$2:$B$755,$A6084)&gt;0,1,0)</f>
        <v>0</v>
      </c>
      <c r="L6084" s="16">
        <f>IF(COUNTIFS(Release_Calendar!$A$2:$A$755,"US_NFP",Release_Calendar!$B$2:$B$755,$A6084)&gt;0,1,0)</f>
        <v>0</v>
      </c>
      <c r="M6084" s="16">
        <f>IF($A6084&lt;Notes!$B$5,"",IF(COUNTIFS(Release_Calendar!$A$2:$A$755,"NZ_CPI",Release_Calendar!$B$2:$B$755,$A6084)&gt;0,1,0))</f>
        <v>0</v>
      </c>
      <c r="N6084" s="16">
        <f>IF($A6084&lt;Notes!$B$5,"",IF(COUNTIFS(Release_Calendar!$A$2:$A$755,"NZ_GDP",Release_Calendar!$B$2:$B$755,$A6084)&gt;0,1,0))</f>
        <v>0</v>
      </c>
      <c r="O6084" s="16">
        <f>IF($A6084&lt;Notes!$B$5,"",IF(COUNTIFS(Release_Calendar!$A$2:$A$755,"NZ_LABOUR",Release_Calendar!$B$2:$B$755,$A6084)&gt;0,1,0))</f>
        <v>0</v>
      </c>
      <c r="P6084" s="16">
        <f t="shared" si="4"/>
        <v>0</v>
      </c>
    </row>
    <row r="6085" ht="15.75" customHeight="1">
      <c r="A6085" s="14">
        <v>45043.0</v>
      </c>
      <c r="B6085" s="15">
        <v>4.07</v>
      </c>
      <c r="C6085" s="15">
        <v>4.97</v>
      </c>
      <c r="D6085" s="15"/>
      <c r="E6085" s="15">
        <v>4.5</v>
      </c>
      <c r="F6085" s="15">
        <f t="shared" si="1"/>
        <v>0.9</v>
      </c>
      <c r="G6085" s="15">
        <f t="shared" si="2"/>
        <v>4.97</v>
      </c>
      <c r="H6085" s="16">
        <v>0.0</v>
      </c>
      <c r="I6085" s="15">
        <f t="shared" si="3"/>
        <v>0.9</v>
      </c>
      <c r="J6085" s="15">
        <v>17.03</v>
      </c>
      <c r="K6085" s="16">
        <f>IF(COUNTIFS(Release_Calendar!$A$2:$A$755,"US_CPI",Release_Calendar!$B$2:$B$755,$A6085)&gt;0,1,0)</f>
        <v>0</v>
      </c>
      <c r="L6085" s="16">
        <f>IF(COUNTIFS(Release_Calendar!$A$2:$A$755,"US_NFP",Release_Calendar!$B$2:$B$755,$A6085)&gt;0,1,0)</f>
        <v>0</v>
      </c>
      <c r="M6085" s="16">
        <f>IF($A6085&lt;Notes!$B$5,"",IF(COUNTIFS(Release_Calendar!$A$2:$A$755,"NZ_CPI",Release_Calendar!$B$2:$B$755,$A6085)&gt;0,1,0))</f>
        <v>0</v>
      </c>
      <c r="N6085" s="16">
        <f>IF($A6085&lt;Notes!$B$5,"",IF(COUNTIFS(Release_Calendar!$A$2:$A$755,"NZ_GDP",Release_Calendar!$B$2:$B$755,$A6085)&gt;0,1,0))</f>
        <v>0</v>
      </c>
      <c r="O6085" s="16">
        <f>IF($A6085&lt;Notes!$B$5,"",IF(COUNTIFS(Release_Calendar!$A$2:$A$755,"NZ_LABOUR",Release_Calendar!$B$2:$B$755,$A6085)&gt;0,1,0))</f>
        <v>0</v>
      </c>
      <c r="P6085" s="16">
        <f t="shared" si="4"/>
        <v>0</v>
      </c>
    </row>
    <row r="6086" ht="15.75" customHeight="1">
      <c r="A6086" s="14">
        <v>45044.0</v>
      </c>
      <c r="B6086" s="15">
        <v>4.04</v>
      </c>
      <c r="C6086" s="15">
        <v>5.05</v>
      </c>
      <c r="D6086" s="15"/>
      <c r="E6086" s="15">
        <v>4.56</v>
      </c>
      <c r="F6086" s="15">
        <f t="shared" si="1"/>
        <v>1.01</v>
      </c>
      <c r="G6086" s="15">
        <f t="shared" si="2"/>
        <v>5.05</v>
      </c>
      <c r="H6086" s="16">
        <v>0.0</v>
      </c>
      <c r="I6086" s="15">
        <f t="shared" si="3"/>
        <v>1.01</v>
      </c>
      <c r="J6086" s="15">
        <v>15.78</v>
      </c>
      <c r="K6086" s="16">
        <f>IF(COUNTIFS(Release_Calendar!$A$2:$A$755,"US_CPI",Release_Calendar!$B$2:$B$755,$A6086)&gt;0,1,0)</f>
        <v>0</v>
      </c>
      <c r="L6086" s="16">
        <f>IF(COUNTIFS(Release_Calendar!$A$2:$A$755,"US_NFP",Release_Calendar!$B$2:$B$755,$A6086)&gt;0,1,0)</f>
        <v>0</v>
      </c>
      <c r="M6086" s="16">
        <f>IF($A6086&lt;Notes!$B$5,"",IF(COUNTIFS(Release_Calendar!$A$2:$A$755,"NZ_CPI",Release_Calendar!$B$2:$B$755,$A6086)&gt;0,1,0))</f>
        <v>0</v>
      </c>
      <c r="N6086" s="16">
        <f>IF($A6086&lt;Notes!$B$5,"",IF(COUNTIFS(Release_Calendar!$A$2:$A$755,"NZ_GDP",Release_Calendar!$B$2:$B$755,$A6086)&gt;0,1,0))</f>
        <v>0</v>
      </c>
      <c r="O6086" s="16">
        <f>IF($A6086&lt;Notes!$B$5,"",IF(COUNTIFS(Release_Calendar!$A$2:$A$755,"NZ_LABOUR",Release_Calendar!$B$2:$B$755,$A6086)&gt;0,1,0))</f>
        <v>0</v>
      </c>
      <c r="P6086" s="16">
        <f t="shared" si="4"/>
        <v>0</v>
      </c>
    </row>
    <row r="6087" ht="15.75" customHeight="1">
      <c r="A6087" s="14">
        <v>45047.0</v>
      </c>
      <c r="B6087" s="15">
        <v>4.14</v>
      </c>
      <c r="C6087" s="15">
        <v>5.05</v>
      </c>
      <c r="D6087" s="15"/>
      <c r="E6087" s="15">
        <v>4.58</v>
      </c>
      <c r="F6087" s="15">
        <f t="shared" si="1"/>
        <v>0.91</v>
      </c>
      <c r="G6087" s="15">
        <f t="shared" si="2"/>
        <v>5.05</v>
      </c>
      <c r="H6087" s="16">
        <v>0.0</v>
      </c>
      <c r="I6087" s="15">
        <f t="shared" si="3"/>
        <v>0.91</v>
      </c>
      <c r="J6087" s="15">
        <v>16.08</v>
      </c>
      <c r="K6087" s="16">
        <f>IF(COUNTIFS(Release_Calendar!$A$2:$A$755,"US_CPI",Release_Calendar!$B$2:$B$755,$A6087)&gt;0,1,0)</f>
        <v>0</v>
      </c>
      <c r="L6087" s="16">
        <f>IF(COUNTIFS(Release_Calendar!$A$2:$A$755,"US_NFP",Release_Calendar!$B$2:$B$755,$A6087)&gt;0,1,0)</f>
        <v>0</v>
      </c>
      <c r="M6087" s="16">
        <f>IF($A6087&lt;Notes!$B$5,"",IF(COUNTIFS(Release_Calendar!$A$2:$A$755,"NZ_CPI",Release_Calendar!$B$2:$B$755,$A6087)&gt;0,1,0))</f>
        <v>0</v>
      </c>
      <c r="N6087" s="16">
        <f>IF($A6087&lt;Notes!$B$5,"",IF(COUNTIFS(Release_Calendar!$A$2:$A$755,"NZ_GDP",Release_Calendar!$B$2:$B$755,$A6087)&gt;0,1,0))</f>
        <v>0</v>
      </c>
      <c r="O6087" s="16">
        <f>IF($A6087&lt;Notes!$B$5,"",IF(COUNTIFS(Release_Calendar!$A$2:$A$755,"NZ_LABOUR",Release_Calendar!$B$2:$B$755,$A6087)&gt;0,1,0))</f>
        <v>0</v>
      </c>
      <c r="P6087" s="16">
        <f t="shared" si="4"/>
        <v>0</v>
      </c>
    </row>
    <row r="6088" ht="15.75" customHeight="1">
      <c r="A6088" s="14">
        <v>45048.0</v>
      </c>
      <c r="B6088" s="15">
        <v>3.97</v>
      </c>
      <c r="C6088" s="15">
        <v>5.11</v>
      </c>
      <c r="D6088" s="15"/>
      <c r="E6088" s="15">
        <v>4.68</v>
      </c>
      <c r="F6088" s="15">
        <f t="shared" si="1"/>
        <v>1.14</v>
      </c>
      <c r="G6088" s="15">
        <f t="shared" si="2"/>
        <v>5.11</v>
      </c>
      <c r="H6088" s="16">
        <v>0.0</v>
      </c>
      <c r="I6088" s="15">
        <f t="shared" si="3"/>
        <v>1.14</v>
      </c>
      <c r="J6088" s="15">
        <v>17.78</v>
      </c>
      <c r="K6088" s="16">
        <f>IF(COUNTIFS(Release_Calendar!$A$2:$A$755,"US_CPI",Release_Calendar!$B$2:$B$755,$A6088)&gt;0,1,0)</f>
        <v>0</v>
      </c>
      <c r="L6088" s="16">
        <f>IF(COUNTIFS(Release_Calendar!$A$2:$A$755,"US_NFP",Release_Calendar!$B$2:$B$755,$A6088)&gt;0,1,0)</f>
        <v>0</v>
      </c>
      <c r="M6088" s="16">
        <f>IF($A6088&lt;Notes!$B$5,"",IF(COUNTIFS(Release_Calendar!$A$2:$A$755,"NZ_CPI",Release_Calendar!$B$2:$B$755,$A6088)&gt;0,1,0))</f>
        <v>0</v>
      </c>
      <c r="N6088" s="16">
        <f>IF($A6088&lt;Notes!$B$5,"",IF(COUNTIFS(Release_Calendar!$A$2:$A$755,"NZ_GDP",Release_Calendar!$B$2:$B$755,$A6088)&gt;0,1,0))</f>
        <v>0</v>
      </c>
      <c r="O6088" s="16">
        <f>IF($A6088&lt;Notes!$B$5,"",IF(COUNTIFS(Release_Calendar!$A$2:$A$755,"NZ_LABOUR",Release_Calendar!$B$2:$B$755,$A6088)&gt;0,1,0))</f>
        <v>0</v>
      </c>
      <c r="P6088" s="16">
        <f t="shared" si="4"/>
        <v>0</v>
      </c>
    </row>
    <row r="6089" ht="15.75" customHeight="1">
      <c r="A6089" s="14">
        <v>45049.0</v>
      </c>
      <c r="B6089" s="15">
        <v>3.89</v>
      </c>
      <c r="C6089" s="15">
        <v>5.16</v>
      </c>
      <c r="D6089" s="15"/>
      <c r="E6089" s="15">
        <v>4.75</v>
      </c>
      <c r="F6089" s="15">
        <f t="shared" si="1"/>
        <v>1.27</v>
      </c>
      <c r="G6089" s="15">
        <f t="shared" si="2"/>
        <v>5.16</v>
      </c>
      <c r="H6089" s="16">
        <v>0.0</v>
      </c>
      <c r="I6089" s="15">
        <f t="shared" si="3"/>
        <v>1.27</v>
      </c>
      <c r="J6089" s="15">
        <v>18.34</v>
      </c>
      <c r="K6089" s="16">
        <f>IF(COUNTIFS(Release_Calendar!$A$2:$A$755,"US_CPI",Release_Calendar!$B$2:$B$755,$A6089)&gt;0,1,0)</f>
        <v>0</v>
      </c>
      <c r="L6089" s="16">
        <f>IF(COUNTIFS(Release_Calendar!$A$2:$A$755,"US_NFP",Release_Calendar!$B$2:$B$755,$A6089)&gt;0,1,0)</f>
        <v>0</v>
      </c>
      <c r="M6089" s="16">
        <f>IF($A6089&lt;Notes!$B$5,"",IF(COUNTIFS(Release_Calendar!$A$2:$A$755,"NZ_CPI",Release_Calendar!$B$2:$B$755,$A6089)&gt;0,1,0))</f>
        <v>0</v>
      </c>
      <c r="N6089" s="16">
        <f>IF($A6089&lt;Notes!$B$5,"",IF(COUNTIFS(Release_Calendar!$A$2:$A$755,"NZ_GDP",Release_Calendar!$B$2:$B$755,$A6089)&gt;0,1,0))</f>
        <v>0</v>
      </c>
      <c r="O6089" s="16">
        <f>IF($A6089&lt;Notes!$B$5,"",IF(COUNTIFS(Release_Calendar!$A$2:$A$755,"NZ_LABOUR",Release_Calendar!$B$2:$B$755,$A6089)&gt;0,1,0))</f>
        <v>1</v>
      </c>
      <c r="P6089" s="16">
        <f t="shared" si="4"/>
        <v>1</v>
      </c>
    </row>
    <row r="6090" ht="15.75" customHeight="1">
      <c r="A6090" s="14">
        <v>45050.0</v>
      </c>
      <c r="B6090" s="15">
        <v>3.75</v>
      </c>
      <c r="C6090" s="15">
        <v>5.06</v>
      </c>
      <c r="D6090" s="15"/>
      <c r="E6090" s="15">
        <v>4.67</v>
      </c>
      <c r="F6090" s="15">
        <f t="shared" si="1"/>
        <v>1.31</v>
      </c>
      <c r="G6090" s="15">
        <f t="shared" si="2"/>
        <v>5.06</v>
      </c>
      <c r="H6090" s="16">
        <v>0.0</v>
      </c>
      <c r="I6090" s="15">
        <f t="shared" si="3"/>
        <v>1.31</v>
      </c>
      <c r="J6090" s="15">
        <v>20.09</v>
      </c>
      <c r="K6090" s="16">
        <f>IF(COUNTIFS(Release_Calendar!$A$2:$A$755,"US_CPI",Release_Calendar!$B$2:$B$755,$A6090)&gt;0,1,0)</f>
        <v>0</v>
      </c>
      <c r="L6090" s="16">
        <f>IF(COUNTIFS(Release_Calendar!$A$2:$A$755,"US_NFP",Release_Calendar!$B$2:$B$755,$A6090)&gt;0,1,0)</f>
        <v>0</v>
      </c>
      <c r="M6090" s="16">
        <f>IF($A6090&lt;Notes!$B$5,"",IF(COUNTIFS(Release_Calendar!$A$2:$A$755,"NZ_CPI",Release_Calendar!$B$2:$B$755,$A6090)&gt;0,1,0))</f>
        <v>0</v>
      </c>
      <c r="N6090" s="16">
        <f>IF($A6090&lt;Notes!$B$5,"",IF(COUNTIFS(Release_Calendar!$A$2:$A$755,"NZ_GDP",Release_Calendar!$B$2:$B$755,$A6090)&gt;0,1,0))</f>
        <v>0</v>
      </c>
      <c r="O6090" s="16">
        <f>IF($A6090&lt;Notes!$B$5,"",IF(COUNTIFS(Release_Calendar!$A$2:$A$755,"NZ_LABOUR",Release_Calendar!$B$2:$B$755,$A6090)&gt;0,1,0))</f>
        <v>0</v>
      </c>
      <c r="P6090" s="16">
        <f t="shared" si="4"/>
        <v>0</v>
      </c>
    </row>
    <row r="6091" ht="15.75" customHeight="1">
      <c r="A6091" s="14">
        <v>45051.0</v>
      </c>
      <c r="B6091" s="15">
        <v>3.92</v>
      </c>
      <c r="C6091" s="15">
        <v>5.01</v>
      </c>
      <c r="D6091" s="15"/>
      <c r="E6091" s="15">
        <v>4.62</v>
      </c>
      <c r="F6091" s="15">
        <f t="shared" si="1"/>
        <v>1.09</v>
      </c>
      <c r="G6091" s="15">
        <f t="shared" si="2"/>
        <v>5.01</v>
      </c>
      <c r="H6091" s="16">
        <v>0.0</v>
      </c>
      <c r="I6091" s="15">
        <f t="shared" si="3"/>
        <v>1.09</v>
      </c>
      <c r="J6091" s="15">
        <v>17.19</v>
      </c>
      <c r="K6091" s="16">
        <f>IF(COUNTIFS(Release_Calendar!$A$2:$A$755,"US_CPI",Release_Calendar!$B$2:$B$755,$A6091)&gt;0,1,0)</f>
        <v>0</v>
      </c>
      <c r="L6091" s="16">
        <f>IF(COUNTIFS(Release_Calendar!$A$2:$A$755,"US_NFP",Release_Calendar!$B$2:$B$755,$A6091)&gt;0,1,0)</f>
        <v>1</v>
      </c>
      <c r="M6091" s="16">
        <f>IF($A6091&lt;Notes!$B$5,"",IF(COUNTIFS(Release_Calendar!$A$2:$A$755,"NZ_CPI",Release_Calendar!$B$2:$B$755,$A6091)&gt;0,1,0))</f>
        <v>0</v>
      </c>
      <c r="N6091" s="16">
        <f>IF($A6091&lt;Notes!$B$5,"",IF(COUNTIFS(Release_Calendar!$A$2:$A$755,"NZ_GDP",Release_Calendar!$B$2:$B$755,$A6091)&gt;0,1,0))</f>
        <v>0</v>
      </c>
      <c r="O6091" s="16">
        <f>IF($A6091&lt;Notes!$B$5,"",IF(COUNTIFS(Release_Calendar!$A$2:$A$755,"NZ_LABOUR",Release_Calendar!$B$2:$B$755,$A6091)&gt;0,1,0))</f>
        <v>0</v>
      </c>
      <c r="P6091" s="16">
        <f t="shared" si="4"/>
        <v>1</v>
      </c>
    </row>
    <row r="6092" ht="15.75" customHeight="1">
      <c r="A6092" s="14">
        <v>45054.0</v>
      </c>
      <c r="B6092" s="15">
        <v>4.0</v>
      </c>
      <c r="C6092" s="15">
        <v>5.07</v>
      </c>
      <c r="D6092" s="15"/>
      <c r="E6092" s="15">
        <v>4.72</v>
      </c>
      <c r="F6092" s="15">
        <f t="shared" si="1"/>
        <v>1.07</v>
      </c>
      <c r="G6092" s="15">
        <f t="shared" si="2"/>
        <v>5.07</v>
      </c>
      <c r="H6092" s="16">
        <v>0.0</v>
      </c>
      <c r="I6092" s="15">
        <f t="shared" si="3"/>
        <v>1.07</v>
      </c>
      <c r="J6092" s="15">
        <v>16.98</v>
      </c>
      <c r="K6092" s="16">
        <f>IF(COUNTIFS(Release_Calendar!$A$2:$A$755,"US_CPI",Release_Calendar!$B$2:$B$755,$A6092)&gt;0,1,0)</f>
        <v>0</v>
      </c>
      <c r="L6092" s="16">
        <f>IF(COUNTIFS(Release_Calendar!$A$2:$A$755,"US_NFP",Release_Calendar!$B$2:$B$755,$A6092)&gt;0,1,0)</f>
        <v>0</v>
      </c>
      <c r="M6092" s="16">
        <f>IF($A6092&lt;Notes!$B$5,"",IF(COUNTIFS(Release_Calendar!$A$2:$A$755,"NZ_CPI",Release_Calendar!$B$2:$B$755,$A6092)&gt;0,1,0))</f>
        <v>0</v>
      </c>
      <c r="N6092" s="16">
        <f>IF($A6092&lt;Notes!$B$5,"",IF(COUNTIFS(Release_Calendar!$A$2:$A$755,"NZ_GDP",Release_Calendar!$B$2:$B$755,$A6092)&gt;0,1,0))</f>
        <v>0</v>
      </c>
      <c r="O6092" s="16">
        <f>IF($A6092&lt;Notes!$B$5,"",IF(COUNTIFS(Release_Calendar!$A$2:$A$755,"NZ_LABOUR",Release_Calendar!$B$2:$B$755,$A6092)&gt;0,1,0))</f>
        <v>0</v>
      </c>
      <c r="P6092" s="16">
        <f t="shared" si="4"/>
        <v>0</v>
      </c>
    </row>
    <row r="6093" ht="15.75" customHeight="1">
      <c r="A6093" s="14">
        <v>45055.0</v>
      </c>
      <c r="B6093" s="15">
        <v>4.01</v>
      </c>
      <c r="C6093" s="15">
        <v>5.07</v>
      </c>
      <c r="D6093" s="15"/>
      <c r="E6093" s="15">
        <v>4.7</v>
      </c>
      <c r="F6093" s="15">
        <f t="shared" si="1"/>
        <v>1.06</v>
      </c>
      <c r="G6093" s="15">
        <f t="shared" si="2"/>
        <v>5.07</v>
      </c>
      <c r="H6093" s="16">
        <v>0.0</v>
      </c>
      <c r="I6093" s="15">
        <f t="shared" si="3"/>
        <v>1.06</v>
      </c>
      <c r="J6093" s="15">
        <v>17.71</v>
      </c>
      <c r="K6093" s="16">
        <f>IF(COUNTIFS(Release_Calendar!$A$2:$A$755,"US_CPI",Release_Calendar!$B$2:$B$755,$A6093)&gt;0,1,0)</f>
        <v>0</v>
      </c>
      <c r="L6093" s="16">
        <f>IF(COUNTIFS(Release_Calendar!$A$2:$A$755,"US_NFP",Release_Calendar!$B$2:$B$755,$A6093)&gt;0,1,0)</f>
        <v>0</v>
      </c>
      <c r="M6093" s="16">
        <f>IF($A6093&lt;Notes!$B$5,"",IF(COUNTIFS(Release_Calendar!$A$2:$A$755,"NZ_CPI",Release_Calendar!$B$2:$B$755,$A6093)&gt;0,1,0))</f>
        <v>0</v>
      </c>
      <c r="N6093" s="16">
        <f>IF($A6093&lt;Notes!$B$5,"",IF(COUNTIFS(Release_Calendar!$A$2:$A$755,"NZ_GDP",Release_Calendar!$B$2:$B$755,$A6093)&gt;0,1,0))</f>
        <v>0</v>
      </c>
      <c r="O6093" s="16">
        <f>IF($A6093&lt;Notes!$B$5,"",IF(COUNTIFS(Release_Calendar!$A$2:$A$755,"NZ_LABOUR",Release_Calendar!$B$2:$B$755,$A6093)&gt;0,1,0))</f>
        <v>0</v>
      </c>
      <c r="P6093" s="16">
        <f t="shared" si="4"/>
        <v>0</v>
      </c>
    </row>
    <row r="6094" ht="15.75" customHeight="1">
      <c r="A6094" s="14">
        <v>45056.0</v>
      </c>
      <c r="B6094" s="15">
        <v>3.9</v>
      </c>
      <c r="C6094" s="15">
        <v>5.04</v>
      </c>
      <c r="D6094" s="15"/>
      <c r="E6094" s="15">
        <v>4.67</v>
      </c>
      <c r="F6094" s="15">
        <f t="shared" si="1"/>
        <v>1.14</v>
      </c>
      <c r="G6094" s="15">
        <f t="shared" si="2"/>
        <v>5.04</v>
      </c>
      <c r="H6094" s="16">
        <v>0.0</v>
      </c>
      <c r="I6094" s="15">
        <f t="shared" si="3"/>
        <v>1.14</v>
      </c>
      <c r="J6094" s="15">
        <v>16.94</v>
      </c>
      <c r="K6094" s="16">
        <f>IF(COUNTIFS(Release_Calendar!$A$2:$A$755,"US_CPI",Release_Calendar!$B$2:$B$755,$A6094)&gt;0,1,0)</f>
        <v>1</v>
      </c>
      <c r="L6094" s="16">
        <f>IF(COUNTIFS(Release_Calendar!$A$2:$A$755,"US_NFP",Release_Calendar!$B$2:$B$755,$A6094)&gt;0,1,0)</f>
        <v>0</v>
      </c>
      <c r="M6094" s="16">
        <f>IF($A6094&lt;Notes!$B$5,"",IF(COUNTIFS(Release_Calendar!$A$2:$A$755,"NZ_CPI",Release_Calendar!$B$2:$B$755,$A6094)&gt;0,1,0))</f>
        <v>0</v>
      </c>
      <c r="N6094" s="16">
        <f>IF($A6094&lt;Notes!$B$5,"",IF(COUNTIFS(Release_Calendar!$A$2:$A$755,"NZ_GDP",Release_Calendar!$B$2:$B$755,$A6094)&gt;0,1,0))</f>
        <v>0</v>
      </c>
      <c r="O6094" s="16">
        <f>IF($A6094&lt;Notes!$B$5,"",IF(COUNTIFS(Release_Calendar!$A$2:$A$755,"NZ_LABOUR",Release_Calendar!$B$2:$B$755,$A6094)&gt;0,1,0))</f>
        <v>0</v>
      </c>
      <c r="P6094" s="16">
        <f t="shared" si="4"/>
        <v>1</v>
      </c>
    </row>
    <row r="6095" ht="15.75" customHeight="1">
      <c r="A6095" s="14">
        <v>45057.0</v>
      </c>
      <c r="B6095" s="15">
        <v>3.89</v>
      </c>
      <c r="C6095" s="15">
        <v>5.04</v>
      </c>
      <c r="D6095" s="15"/>
      <c r="E6095" s="15">
        <v>4.64</v>
      </c>
      <c r="F6095" s="15">
        <f t="shared" si="1"/>
        <v>1.15</v>
      </c>
      <c r="G6095" s="15">
        <f t="shared" si="2"/>
        <v>5.04</v>
      </c>
      <c r="H6095" s="16">
        <v>0.0</v>
      </c>
      <c r="I6095" s="15">
        <f t="shared" si="3"/>
        <v>1.15</v>
      </c>
      <c r="J6095" s="15">
        <v>16.93</v>
      </c>
      <c r="K6095" s="16">
        <f>IF(COUNTIFS(Release_Calendar!$A$2:$A$755,"US_CPI",Release_Calendar!$B$2:$B$755,$A6095)&gt;0,1,0)</f>
        <v>0</v>
      </c>
      <c r="L6095" s="16">
        <f>IF(COUNTIFS(Release_Calendar!$A$2:$A$755,"US_NFP",Release_Calendar!$B$2:$B$755,$A6095)&gt;0,1,0)</f>
        <v>0</v>
      </c>
      <c r="M6095" s="16">
        <f>IF($A6095&lt;Notes!$B$5,"",IF(COUNTIFS(Release_Calendar!$A$2:$A$755,"NZ_CPI",Release_Calendar!$B$2:$B$755,$A6095)&gt;0,1,0))</f>
        <v>0</v>
      </c>
      <c r="N6095" s="16">
        <f>IF($A6095&lt;Notes!$B$5,"",IF(COUNTIFS(Release_Calendar!$A$2:$A$755,"NZ_GDP",Release_Calendar!$B$2:$B$755,$A6095)&gt;0,1,0))</f>
        <v>0</v>
      </c>
      <c r="O6095" s="16">
        <f>IF($A6095&lt;Notes!$B$5,"",IF(COUNTIFS(Release_Calendar!$A$2:$A$755,"NZ_LABOUR",Release_Calendar!$B$2:$B$755,$A6095)&gt;0,1,0))</f>
        <v>0</v>
      </c>
      <c r="P6095" s="16">
        <f t="shared" si="4"/>
        <v>0</v>
      </c>
    </row>
    <row r="6096" ht="15.75" customHeight="1">
      <c r="A6096" s="14">
        <v>45058.0</v>
      </c>
      <c r="B6096" s="15">
        <v>3.98</v>
      </c>
      <c r="C6096" s="15">
        <v>4.9</v>
      </c>
      <c r="D6096" s="15"/>
      <c r="E6096" s="15">
        <v>4.5</v>
      </c>
      <c r="F6096" s="15">
        <f t="shared" si="1"/>
        <v>0.92</v>
      </c>
      <c r="G6096" s="15">
        <f t="shared" si="2"/>
        <v>4.9</v>
      </c>
      <c r="H6096" s="16">
        <v>0.0</v>
      </c>
      <c r="I6096" s="15">
        <f t="shared" si="3"/>
        <v>0.92</v>
      </c>
      <c r="J6096" s="15">
        <v>17.03</v>
      </c>
      <c r="K6096" s="16">
        <f>IF(COUNTIFS(Release_Calendar!$A$2:$A$755,"US_CPI",Release_Calendar!$B$2:$B$755,$A6096)&gt;0,1,0)</f>
        <v>0</v>
      </c>
      <c r="L6096" s="16">
        <f>IF(COUNTIFS(Release_Calendar!$A$2:$A$755,"US_NFP",Release_Calendar!$B$2:$B$755,$A6096)&gt;0,1,0)</f>
        <v>0</v>
      </c>
      <c r="M6096" s="16">
        <f>IF($A6096&lt;Notes!$B$5,"",IF(COUNTIFS(Release_Calendar!$A$2:$A$755,"NZ_CPI",Release_Calendar!$B$2:$B$755,$A6096)&gt;0,1,0))</f>
        <v>0</v>
      </c>
      <c r="N6096" s="16">
        <f>IF($A6096&lt;Notes!$B$5,"",IF(COUNTIFS(Release_Calendar!$A$2:$A$755,"NZ_GDP",Release_Calendar!$B$2:$B$755,$A6096)&gt;0,1,0))</f>
        <v>0</v>
      </c>
      <c r="O6096" s="16">
        <f>IF($A6096&lt;Notes!$B$5,"",IF(COUNTIFS(Release_Calendar!$A$2:$A$755,"NZ_LABOUR",Release_Calendar!$B$2:$B$755,$A6096)&gt;0,1,0))</f>
        <v>0</v>
      </c>
      <c r="P6096" s="16">
        <f t="shared" si="4"/>
        <v>0</v>
      </c>
    </row>
    <row r="6097" ht="15.75" customHeight="1">
      <c r="A6097" s="14">
        <v>45061.0</v>
      </c>
      <c r="B6097" s="15">
        <v>3.99</v>
      </c>
      <c r="C6097" s="15">
        <v>4.94</v>
      </c>
      <c r="D6097" s="15"/>
      <c r="E6097" s="15">
        <v>4.54</v>
      </c>
      <c r="F6097" s="15">
        <f t="shared" si="1"/>
        <v>0.95</v>
      </c>
      <c r="G6097" s="15">
        <f t="shared" si="2"/>
        <v>4.94</v>
      </c>
      <c r="H6097" s="16">
        <v>0.0</v>
      </c>
      <c r="I6097" s="15">
        <f t="shared" si="3"/>
        <v>0.95</v>
      </c>
      <c r="J6097" s="15">
        <v>17.12</v>
      </c>
      <c r="K6097" s="16">
        <f>IF(COUNTIFS(Release_Calendar!$A$2:$A$755,"US_CPI",Release_Calendar!$B$2:$B$755,$A6097)&gt;0,1,0)</f>
        <v>0</v>
      </c>
      <c r="L6097" s="16">
        <f>IF(COUNTIFS(Release_Calendar!$A$2:$A$755,"US_NFP",Release_Calendar!$B$2:$B$755,$A6097)&gt;0,1,0)</f>
        <v>0</v>
      </c>
      <c r="M6097" s="16">
        <f>IF($A6097&lt;Notes!$B$5,"",IF(COUNTIFS(Release_Calendar!$A$2:$A$755,"NZ_CPI",Release_Calendar!$B$2:$B$755,$A6097)&gt;0,1,0))</f>
        <v>0</v>
      </c>
      <c r="N6097" s="16">
        <f>IF($A6097&lt;Notes!$B$5,"",IF(COUNTIFS(Release_Calendar!$A$2:$A$755,"NZ_GDP",Release_Calendar!$B$2:$B$755,$A6097)&gt;0,1,0))</f>
        <v>0</v>
      </c>
      <c r="O6097" s="16">
        <f>IF($A6097&lt;Notes!$B$5,"",IF(COUNTIFS(Release_Calendar!$A$2:$A$755,"NZ_LABOUR",Release_Calendar!$B$2:$B$755,$A6097)&gt;0,1,0))</f>
        <v>0</v>
      </c>
      <c r="P6097" s="16">
        <f t="shared" si="4"/>
        <v>0</v>
      </c>
    </row>
    <row r="6098" ht="15.75" customHeight="1">
      <c r="A6098" s="14">
        <v>45062.0</v>
      </c>
      <c r="B6098" s="15">
        <v>4.06</v>
      </c>
      <c r="C6098" s="15">
        <v>5.04</v>
      </c>
      <c r="D6098" s="15"/>
      <c r="E6098" s="15">
        <v>4.65</v>
      </c>
      <c r="F6098" s="15">
        <f t="shared" si="1"/>
        <v>0.98</v>
      </c>
      <c r="G6098" s="15">
        <f t="shared" si="2"/>
        <v>5.04</v>
      </c>
      <c r="H6098" s="16">
        <v>0.0</v>
      </c>
      <c r="I6098" s="15">
        <f t="shared" si="3"/>
        <v>0.98</v>
      </c>
      <c r="J6098" s="15">
        <v>17.99</v>
      </c>
      <c r="K6098" s="16">
        <f>IF(COUNTIFS(Release_Calendar!$A$2:$A$755,"US_CPI",Release_Calendar!$B$2:$B$755,$A6098)&gt;0,1,0)</f>
        <v>0</v>
      </c>
      <c r="L6098" s="16">
        <f>IF(COUNTIFS(Release_Calendar!$A$2:$A$755,"US_NFP",Release_Calendar!$B$2:$B$755,$A6098)&gt;0,1,0)</f>
        <v>0</v>
      </c>
      <c r="M6098" s="16">
        <f>IF($A6098&lt;Notes!$B$5,"",IF(COUNTIFS(Release_Calendar!$A$2:$A$755,"NZ_CPI",Release_Calendar!$B$2:$B$755,$A6098)&gt;0,1,0))</f>
        <v>0</v>
      </c>
      <c r="N6098" s="16">
        <f>IF($A6098&lt;Notes!$B$5,"",IF(COUNTIFS(Release_Calendar!$A$2:$A$755,"NZ_GDP",Release_Calendar!$B$2:$B$755,$A6098)&gt;0,1,0))</f>
        <v>0</v>
      </c>
      <c r="O6098" s="16">
        <f>IF($A6098&lt;Notes!$B$5,"",IF(COUNTIFS(Release_Calendar!$A$2:$A$755,"NZ_LABOUR",Release_Calendar!$B$2:$B$755,$A6098)&gt;0,1,0))</f>
        <v>0</v>
      </c>
      <c r="P6098" s="16">
        <f t="shared" si="4"/>
        <v>0</v>
      </c>
    </row>
    <row r="6099" ht="15.75" customHeight="1">
      <c r="A6099" s="14">
        <v>45063.0</v>
      </c>
      <c r="B6099" s="15">
        <v>4.12</v>
      </c>
      <c r="C6099" s="15">
        <v>5.12</v>
      </c>
      <c r="D6099" s="15"/>
      <c r="E6099" s="15">
        <v>4.73</v>
      </c>
      <c r="F6099" s="15">
        <f t="shared" si="1"/>
        <v>1</v>
      </c>
      <c r="G6099" s="15">
        <f t="shared" si="2"/>
        <v>5.12</v>
      </c>
      <c r="H6099" s="16">
        <v>0.0</v>
      </c>
      <c r="I6099" s="15">
        <f t="shared" si="3"/>
        <v>1</v>
      </c>
      <c r="J6099" s="15">
        <v>16.87</v>
      </c>
      <c r="K6099" s="16">
        <f>IF(COUNTIFS(Release_Calendar!$A$2:$A$755,"US_CPI",Release_Calendar!$B$2:$B$755,$A6099)&gt;0,1,0)</f>
        <v>0</v>
      </c>
      <c r="L6099" s="16">
        <f>IF(COUNTIFS(Release_Calendar!$A$2:$A$755,"US_NFP",Release_Calendar!$B$2:$B$755,$A6099)&gt;0,1,0)</f>
        <v>0</v>
      </c>
      <c r="M6099" s="16">
        <f>IF($A6099&lt;Notes!$B$5,"",IF(COUNTIFS(Release_Calendar!$A$2:$A$755,"NZ_CPI",Release_Calendar!$B$2:$B$755,$A6099)&gt;0,1,0))</f>
        <v>0</v>
      </c>
      <c r="N6099" s="16">
        <f>IF($A6099&lt;Notes!$B$5,"",IF(COUNTIFS(Release_Calendar!$A$2:$A$755,"NZ_GDP",Release_Calendar!$B$2:$B$755,$A6099)&gt;0,1,0))</f>
        <v>0</v>
      </c>
      <c r="O6099" s="16">
        <f>IF($A6099&lt;Notes!$B$5,"",IF(COUNTIFS(Release_Calendar!$A$2:$A$755,"NZ_LABOUR",Release_Calendar!$B$2:$B$755,$A6099)&gt;0,1,0))</f>
        <v>0</v>
      </c>
      <c r="P6099" s="16">
        <f t="shared" si="4"/>
        <v>0</v>
      </c>
    </row>
    <row r="6100" ht="15.75" customHeight="1">
      <c r="A6100" s="14">
        <v>45064.0</v>
      </c>
      <c r="B6100" s="15">
        <v>4.24</v>
      </c>
      <c r="C6100" s="15">
        <v>5.29</v>
      </c>
      <c r="D6100" s="15"/>
      <c r="E6100" s="15">
        <v>4.91</v>
      </c>
      <c r="F6100" s="15">
        <f t="shared" si="1"/>
        <v>1.05</v>
      </c>
      <c r="G6100" s="15">
        <f t="shared" si="2"/>
        <v>5.29</v>
      </c>
      <c r="H6100" s="16">
        <v>0.0</v>
      </c>
      <c r="I6100" s="15">
        <f t="shared" si="3"/>
        <v>1.05</v>
      </c>
      <c r="J6100" s="15">
        <v>16.05</v>
      </c>
      <c r="K6100" s="16">
        <f>IF(COUNTIFS(Release_Calendar!$A$2:$A$755,"US_CPI",Release_Calendar!$B$2:$B$755,$A6100)&gt;0,1,0)</f>
        <v>0</v>
      </c>
      <c r="L6100" s="16">
        <f>IF(COUNTIFS(Release_Calendar!$A$2:$A$755,"US_NFP",Release_Calendar!$B$2:$B$755,$A6100)&gt;0,1,0)</f>
        <v>0</v>
      </c>
      <c r="M6100" s="16">
        <f>IF($A6100&lt;Notes!$B$5,"",IF(COUNTIFS(Release_Calendar!$A$2:$A$755,"NZ_CPI",Release_Calendar!$B$2:$B$755,$A6100)&gt;0,1,0))</f>
        <v>0</v>
      </c>
      <c r="N6100" s="16">
        <f>IF($A6100&lt;Notes!$B$5,"",IF(COUNTIFS(Release_Calendar!$A$2:$A$755,"NZ_GDP",Release_Calendar!$B$2:$B$755,$A6100)&gt;0,1,0))</f>
        <v>0</v>
      </c>
      <c r="O6100" s="16">
        <f>IF($A6100&lt;Notes!$B$5,"",IF(COUNTIFS(Release_Calendar!$A$2:$A$755,"NZ_LABOUR",Release_Calendar!$B$2:$B$755,$A6100)&gt;0,1,0))</f>
        <v>0</v>
      </c>
      <c r="P6100" s="16">
        <f t="shared" si="4"/>
        <v>0</v>
      </c>
    </row>
    <row r="6101" ht="15.75" customHeight="1">
      <c r="A6101" s="14">
        <v>45065.0</v>
      </c>
      <c r="B6101" s="15">
        <v>4.28</v>
      </c>
      <c r="C6101" s="15">
        <v>5.49</v>
      </c>
      <c r="D6101" s="15"/>
      <c r="E6101" s="15">
        <v>5.07</v>
      </c>
      <c r="F6101" s="15">
        <f t="shared" si="1"/>
        <v>1.21</v>
      </c>
      <c r="G6101" s="15">
        <f t="shared" si="2"/>
        <v>5.49</v>
      </c>
      <c r="H6101" s="16">
        <v>0.0</v>
      </c>
      <c r="I6101" s="15">
        <f t="shared" si="3"/>
        <v>1.21</v>
      </c>
      <c r="J6101" s="15">
        <v>16.81</v>
      </c>
      <c r="K6101" s="16">
        <f>IF(COUNTIFS(Release_Calendar!$A$2:$A$755,"US_CPI",Release_Calendar!$B$2:$B$755,$A6101)&gt;0,1,0)</f>
        <v>0</v>
      </c>
      <c r="L6101" s="16">
        <f>IF(COUNTIFS(Release_Calendar!$A$2:$A$755,"US_NFP",Release_Calendar!$B$2:$B$755,$A6101)&gt;0,1,0)</f>
        <v>0</v>
      </c>
      <c r="M6101" s="16">
        <f>IF($A6101&lt;Notes!$B$5,"",IF(COUNTIFS(Release_Calendar!$A$2:$A$755,"NZ_CPI",Release_Calendar!$B$2:$B$755,$A6101)&gt;0,1,0))</f>
        <v>0</v>
      </c>
      <c r="N6101" s="16">
        <f>IF($A6101&lt;Notes!$B$5,"",IF(COUNTIFS(Release_Calendar!$A$2:$A$755,"NZ_GDP",Release_Calendar!$B$2:$B$755,$A6101)&gt;0,1,0))</f>
        <v>0</v>
      </c>
      <c r="O6101" s="16">
        <f>IF($A6101&lt;Notes!$B$5,"",IF(COUNTIFS(Release_Calendar!$A$2:$A$755,"NZ_LABOUR",Release_Calendar!$B$2:$B$755,$A6101)&gt;0,1,0))</f>
        <v>0</v>
      </c>
      <c r="P6101" s="16">
        <f t="shared" si="4"/>
        <v>0</v>
      </c>
    </row>
    <row r="6102" ht="15.75" customHeight="1">
      <c r="A6102" s="14">
        <v>45068.0</v>
      </c>
      <c r="B6102" s="15">
        <v>4.29</v>
      </c>
      <c r="C6102" s="15">
        <v>5.43</v>
      </c>
      <c r="D6102" s="15"/>
      <c r="E6102" s="15">
        <v>5.02</v>
      </c>
      <c r="F6102" s="15">
        <f t="shared" si="1"/>
        <v>1.14</v>
      </c>
      <c r="G6102" s="15">
        <f t="shared" si="2"/>
        <v>5.43</v>
      </c>
      <c r="H6102" s="16">
        <v>0.0</v>
      </c>
      <c r="I6102" s="15">
        <f t="shared" si="3"/>
        <v>1.14</v>
      </c>
      <c r="J6102" s="15">
        <v>17.21</v>
      </c>
      <c r="K6102" s="16">
        <f>IF(COUNTIFS(Release_Calendar!$A$2:$A$755,"US_CPI",Release_Calendar!$B$2:$B$755,$A6102)&gt;0,1,0)</f>
        <v>0</v>
      </c>
      <c r="L6102" s="16">
        <f>IF(COUNTIFS(Release_Calendar!$A$2:$A$755,"US_NFP",Release_Calendar!$B$2:$B$755,$A6102)&gt;0,1,0)</f>
        <v>0</v>
      </c>
      <c r="M6102" s="16">
        <f>IF($A6102&lt;Notes!$B$5,"",IF(COUNTIFS(Release_Calendar!$A$2:$A$755,"NZ_CPI",Release_Calendar!$B$2:$B$755,$A6102)&gt;0,1,0))</f>
        <v>0</v>
      </c>
      <c r="N6102" s="16">
        <f>IF($A6102&lt;Notes!$B$5,"",IF(COUNTIFS(Release_Calendar!$A$2:$A$755,"NZ_GDP",Release_Calendar!$B$2:$B$755,$A6102)&gt;0,1,0))</f>
        <v>0</v>
      </c>
      <c r="O6102" s="16">
        <f>IF($A6102&lt;Notes!$B$5,"",IF(COUNTIFS(Release_Calendar!$A$2:$A$755,"NZ_LABOUR",Release_Calendar!$B$2:$B$755,$A6102)&gt;0,1,0))</f>
        <v>0</v>
      </c>
      <c r="P6102" s="16">
        <f t="shared" si="4"/>
        <v>0</v>
      </c>
    </row>
    <row r="6103" ht="15.75" customHeight="1">
      <c r="A6103" s="14">
        <v>45069.0</v>
      </c>
      <c r="B6103" s="15">
        <v>4.26</v>
      </c>
      <c r="C6103" s="15">
        <v>5.55</v>
      </c>
      <c r="D6103" s="15"/>
      <c r="E6103" s="15">
        <v>5.11</v>
      </c>
      <c r="F6103" s="15">
        <f t="shared" si="1"/>
        <v>1.29</v>
      </c>
      <c r="G6103" s="15">
        <f t="shared" si="2"/>
        <v>5.55</v>
      </c>
      <c r="H6103" s="16">
        <v>0.0</v>
      </c>
      <c r="I6103" s="15">
        <f t="shared" si="3"/>
        <v>1.29</v>
      </c>
      <c r="J6103" s="15">
        <v>18.53</v>
      </c>
      <c r="K6103" s="16">
        <f>IF(COUNTIFS(Release_Calendar!$A$2:$A$755,"US_CPI",Release_Calendar!$B$2:$B$755,$A6103)&gt;0,1,0)</f>
        <v>0</v>
      </c>
      <c r="L6103" s="16">
        <f>IF(COUNTIFS(Release_Calendar!$A$2:$A$755,"US_NFP",Release_Calendar!$B$2:$B$755,$A6103)&gt;0,1,0)</f>
        <v>0</v>
      </c>
      <c r="M6103" s="16">
        <f>IF($A6103&lt;Notes!$B$5,"",IF(COUNTIFS(Release_Calendar!$A$2:$A$755,"NZ_CPI",Release_Calendar!$B$2:$B$755,$A6103)&gt;0,1,0))</f>
        <v>0</v>
      </c>
      <c r="N6103" s="16">
        <f>IF($A6103&lt;Notes!$B$5,"",IF(COUNTIFS(Release_Calendar!$A$2:$A$755,"NZ_GDP",Release_Calendar!$B$2:$B$755,$A6103)&gt;0,1,0))</f>
        <v>0</v>
      </c>
      <c r="O6103" s="16">
        <f>IF($A6103&lt;Notes!$B$5,"",IF(COUNTIFS(Release_Calendar!$A$2:$A$755,"NZ_LABOUR",Release_Calendar!$B$2:$B$755,$A6103)&gt;0,1,0))</f>
        <v>0</v>
      </c>
      <c r="P6103" s="16">
        <f t="shared" si="4"/>
        <v>0</v>
      </c>
    </row>
    <row r="6104" ht="15.75" customHeight="1">
      <c r="A6104" s="14">
        <v>45070.0</v>
      </c>
      <c r="B6104" s="15">
        <v>4.31</v>
      </c>
      <c r="C6104" s="15">
        <v>5.21</v>
      </c>
      <c r="D6104" s="15"/>
      <c r="E6104" s="15">
        <v>4.8</v>
      </c>
      <c r="F6104" s="15">
        <f t="shared" si="1"/>
        <v>0.9</v>
      </c>
      <c r="G6104" s="15">
        <f t="shared" si="2"/>
        <v>5.21</v>
      </c>
      <c r="H6104" s="16">
        <v>0.0</v>
      </c>
      <c r="I6104" s="15">
        <f t="shared" si="3"/>
        <v>0.9</v>
      </c>
      <c r="J6104" s="15">
        <v>20.03</v>
      </c>
      <c r="K6104" s="16">
        <f>IF(COUNTIFS(Release_Calendar!$A$2:$A$755,"US_CPI",Release_Calendar!$B$2:$B$755,$A6104)&gt;0,1,0)</f>
        <v>0</v>
      </c>
      <c r="L6104" s="16">
        <f>IF(COUNTIFS(Release_Calendar!$A$2:$A$755,"US_NFP",Release_Calendar!$B$2:$B$755,$A6104)&gt;0,1,0)</f>
        <v>0</v>
      </c>
      <c r="M6104" s="16">
        <f>IF($A6104&lt;Notes!$B$5,"",IF(COUNTIFS(Release_Calendar!$A$2:$A$755,"NZ_CPI",Release_Calendar!$B$2:$B$755,$A6104)&gt;0,1,0))</f>
        <v>0</v>
      </c>
      <c r="N6104" s="16">
        <f>IF($A6104&lt;Notes!$B$5,"",IF(COUNTIFS(Release_Calendar!$A$2:$A$755,"NZ_GDP",Release_Calendar!$B$2:$B$755,$A6104)&gt;0,1,0))</f>
        <v>0</v>
      </c>
      <c r="O6104" s="16">
        <f>IF($A6104&lt;Notes!$B$5,"",IF(COUNTIFS(Release_Calendar!$A$2:$A$755,"NZ_LABOUR",Release_Calendar!$B$2:$B$755,$A6104)&gt;0,1,0))</f>
        <v>0</v>
      </c>
      <c r="P6104" s="16">
        <f t="shared" si="4"/>
        <v>0</v>
      </c>
    </row>
    <row r="6105" ht="15.75" customHeight="1">
      <c r="A6105" s="14">
        <v>45071.0</v>
      </c>
      <c r="B6105" s="15">
        <v>4.5</v>
      </c>
      <c r="C6105" s="15">
        <v>5.24</v>
      </c>
      <c r="D6105" s="15"/>
      <c r="E6105" s="15">
        <v>4.84</v>
      </c>
      <c r="F6105" s="15">
        <f t="shared" si="1"/>
        <v>0.74</v>
      </c>
      <c r="G6105" s="15">
        <f t="shared" si="2"/>
        <v>5.24</v>
      </c>
      <c r="H6105" s="16">
        <v>0.0</v>
      </c>
      <c r="I6105" s="15">
        <f t="shared" si="3"/>
        <v>0.74</v>
      </c>
      <c r="J6105" s="15">
        <v>19.14</v>
      </c>
      <c r="K6105" s="16">
        <f>IF(COUNTIFS(Release_Calendar!$A$2:$A$755,"US_CPI",Release_Calendar!$B$2:$B$755,$A6105)&gt;0,1,0)</f>
        <v>0</v>
      </c>
      <c r="L6105" s="16">
        <f>IF(COUNTIFS(Release_Calendar!$A$2:$A$755,"US_NFP",Release_Calendar!$B$2:$B$755,$A6105)&gt;0,1,0)</f>
        <v>0</v>
      </c>
      <c r="M6105" s="16">
        <f>IF($A6105&lt;Notes!$B$5,"",IF(COUNTIFS(Release_Calendar!$A$2:$A$755,"NZ_CPI",Release_Calendar!$B$2:$B$755,$A6105)&gt;0,1,0))</f>
        <v>0</v>
      </c>
      <c r="N6105" s="16">
        <f>IF($A6105&lt;Notes!$B$5,"",IF(COUNTIFS(Release_Calendar!$A$2:$A$755,"NZ_GDP",Release_Calendar!$B$2:$B$755,$A6105)&gt;0,1,0))</f>
        <v>0</v>
      </c>
      <c r="O6105" s="16">
        <f>IF($A6105&lt;Notes!$B$5,"",IF(COUNTIFS(Release_Calendar!$A$2:$A$755,"NZ_LABOUR",Release_Calendar!$B$2:$B$755,$A6105)&gt;0,1,0))</f>
        <v>0</v>
      </c>
      <c r="P6105" s="16">
        <f t="shared" si="4"/>
        <v>0</v>
      </c>
    </row>
    <row r="6106" ht="15.75" customHeight="1">
      <c r="A6106" s="14">
        <v>45072.0</v>
      </c>
      <c r="B6106" s="15">
        <v>4.54</v>
      </c>
      <c r="C6106" s="15">
        <v>5.26</v>
      </c>
      <c r="D6106" s="15"/>
      <c r="E6106" s="15">
        <v>4.88</v>
      </c>
      <c r="F6106" s="15">
        <f t="shared" si="1"/>
        <v>0.72</v>
      </c>
      <c r="G6106" s="15">
        <f t="shared" si="2"/>
        <v>5.26</v>
      </c>
      <c r="H6106" s="16">
        <v>0.0</v>
      </c>
      <c r="I6106" s="15">
        <f t="shared" si="3"/>
        <v>0.72</v>
      </c>
      <c r="J6106" s="15">
        <v>17.95</v>
      </c>
      <c r="K6106" s="16">
        <f>IF(COUNTIFS(Release_Calendar!$A$2:$A$755,"US_CPI",Release_Calendar!$B$2:$B$755,$A6106)&gt;0,1,0)</f>
        <v>0</v>
      </c>
      <c r="L6106" s="16">
        <f>IF(COUNTIFS(Release_Calendar!$A$2:$A$755,"US_NFP",Release_Calendar!$B$2:$B$755,$A6106)&gt;0,1,0)</f>
        <v>0</v>
      </c>
      <c r="M6106" s="16">
        <f>IF($A6106&lt;Notes!$B$5,"",IF(COUNTIFS(Release_Calendar!$A$2:$A$755,"NZ_CPI",Release_Calendar!$B$2:$B$755,$A6106)&gt;0,1,0))</f>
        <v>0</v>
      </c>
      <c r="N6106" s="16">
        <f>IF($A6106&lt;Notes!$B$5,"",IF(COUNTIFS(Release_Calendar!$A$2:$A$755,"NZ_GDP",Release_Calendar!$B$2:$B$755,$A6106)&gt;0,1,0))</f>
        <v>0</v>
      </c>
      <c r="O6106" s="16">
        <f>IF($A6106&lt;Notes!$B$5,"",IF(COUNTIFS(Release_Calendar!$A$2:$A$755,"NZ_LABOUR",Release_Calendar!$B$2:$B$755,$A6106)&gt;0,1,0))</f>
        <v>0</v>
      </c>
      <c r="P6106" s="16">
        <f t="shared" si="4"/>
        <v>0</v>
      </c>
    </row>
    <row r="6107" ht="15.75" customHeight="1">
      <c r="A6107" s="14">
        <v>45075.0</v>
      </c>
      <c r="B6107" s="15"/>
      <c r="C6107" s="15">
        <v>5.24</v>
      </c>
      <c r="D6107" s="15"/>
      <c r="E6107" s="15">
        <v>4.86</v>
      </c>
      <c r="F6107" s="15" t="str">
        <f t="shared" si="1"/>
        <v/>
      </c>
      <c r="G6107" s="15">
        <f t="shared" si="2"/>
        <v>5.24</v>
      </c>
      <c r="H6107" s="16">
        <v>0.0</v>
      </c>
      <c r="I6107" s="15" t="str">
        <f t="shared" si="3"/>
        <v/>
      </c>
      <c r="J6107" s="15">
        <v>17.46</v>
      </c>
      <c r="K6107" s="16">
        <f>IF(COUNTIFS(Release_Calendar!$A$2:$A$755,"US_CPI",Release_Calendar!$B$2:$B$755,$A6107)&gt;0,1,0)</f>
        <v>0</v>
      </c>
      <c r="L6107" s="16">
        <f>IF(COUNTIFS(Release_Calendar!$A$2:$A$755,"US_NFP",Release_Calendar!$B$2:$B$755,$A6107)&gt;0,1,0)</f>
        <v>0</v>
      </c>
      <c r="M6107" s="16">
        <f>IF($A6107&lt;Notes!$B$5,"",IF(COUNTIFS(Release_Calendar!$A$2:$A$755,"NZ_CPI",Release_Calendar!$B$2:$B$755,$A6107)&gt;0,1,0))</f>
        <v>0</v>
      </c>
      <c r="N6107" s="16">
        <f>IF($A6107&lt;Notes!$B$5,"",IF(COUNTIFS(Release_Calendar!$A$2:$A$755,"NZ_GDP",Release_Calendar!$B$2:$B$755,$A6107)&gt;0,1,0))</f>
        <v>0</v>
      </c>
      <c r="O6107" s="16">
        <f>IF($A6107&lt;Notes!$B$5,"",IF(COUNTIFS(Release_Calendar!$A$2:$A$755,"NZ_LABOUR",Release_Calendar!$B$2:$B$755,$A6107)&gt;0,1,0))</f>
        <v>0</v>
      </c>
      <c r="P6107" s="16">
        <f t="shared" si="4"/>
        <v>0</v>
      </c>
    </row>
    <row r="6108" ht="15.75" customHeight="1">
      <c r="A6108" s="14">
        <v>45076.0</v>
      </c>
      <c r="B6108" s="15">
        <v>4.46</v>
      </c>
      <c r="C6108" s="15">
        <v>5.2</v>
      </c>
      <c r="D6108" s="15"/>
      <c r="E6108" s="15">
        <v>4.79</v>
      </c>
      <c r="F6108" s="15">
        <f t="shared" si="1"/>
        <v>0.74</v>
      </c>
      <c r="G6108" s="15">
        <f t="shared" si="2"/>
        <v>5.2</v>
      </c>
      <c r="H6108" s="16">
        <v>0.0</v>
      </c>
      <c r="I6108" s="15">
        <f t="shared" si="3"/>
        <v>0.74</v>
      </c>
      <c r="J6108" s="15">
        <v>17.46</v>
      </c>
      <c r="K6108" s="16">
        <f>IF(COUNTIFS(Release_Calendar!$A$2:$A$755,"US_CPI",Release_Calendar!$B$2:$B$755,$A6108)&gt;0,1,0)</f>
        <v>0</v>
      </c>
      <c r="L6108" s="16">
        <f>IF(COUNTIFS(Release_Calendar!$A$2:$A$755,"US_NFP",Release_Calendar!$B$2:$B$755,$A6108)&gt;0,1,0)</f>
        <v>0</v>
      </c>
      <c r="M6108" s="16">
        <f>IF($A6108&lt;Notes!$B$5,"",IF(COUNTIFS(Release_Calendar!$A$2:$A$755,"NZ_CPI",Release_Calendar!$B$2:$B$755,$A6108)&gt;0,1,0))</f>
        <v>0</v>
      </c>
      <c r="N6108" s="16">
        <f>IF($A6108&lt;Notes!$B$5,"",IF(COUNTIFS(Release_Calendar!$A$2:$A$755,"NZ_GDP",Release_Calendar!$B$2:$B$755,$A6108)&gt;0,1,0))</f>
        <v>0</v>
      </c>
      <c r="O6108" s="16">
        <f>IF($A6108&lt;Notes!$B$5,"",IF(COUNTIFS(Release_Calendar!$A$2:$A$755,"NZ_LABOUR",Release_Calendar!$B$2:$B$755,$A6108)&gt;0,1,0))</f>
        <v>0</v>
      </c>
      <c r="P6108" s="16">
        <f t="shared" si="4"/>
        <v>0</v>
      </c>
    </row>
    <row r="6109" ht="15.75" customHeight="1">
      <c r="A6109" s="14">
        <v>45077.0</v>
      </c>
      <c r="B6109" s="15">
        <v>4.4</v>
      </c>
      <c r="C6109" s="15">
        <v>5.19</v>
      </c>
      <c r="D6109" s="15"/>
      <c r="E6109" s="15">
        <v>4.79</v>
      </c>
      <c r="F6109" s="15">
        <f t="shared" si="1"/>
        <v>0.79</v>
      </c>
      <c r="G6109" s="15">
        <f t="shared" si="2"/>
        <v>5.19</v>
      </c>
      <c r="H6109" s="16">
        <v>0.0</v>
      </c>
      <c r="I6109" s="15">
        <f t="shared" si="3"/>
        <v>0.79</v>
      </c>
      <c r="J6109" s="15">
        <v>17.94</v>
      </c>
      <c r="K6109" s="16">
        <f>IF(COUNTIFS(Release_Calendar!$A$2:$A$755,"US_CPI",Release_Calendar!$B$2:$B$755,$A6109)&gt;0,1,0)</f>
        <v>0</v>
      </c>
      <c r="L6109" s="16">
        <f>IF(COUNTIFS(Release_Calendar!$A$2:$A$755,"US_NFP",Release_Calendar!$B$2:$B$755,$A6109)&gt;0,1,0)</f>
        <v>0</v>
      </c>
      <c r="M6109" s="16">
        <f>IF($A6109&lt;Notes!$B$5,"",IF(COUNTIFS(Release_Calendar!$A$2:$A$755,"NZ_CPI",Release_Calendar!$B$2:$B$755,$A6109)&gt;0,1,0))</f>
        <v>0</v>
      </c>
      <c r="N6109" s="16">
        <f>IF($A6109&lt;Notes!$B$5,"",IF(COUNTIFS(Release_Calendar!$A$2:$A$755,"NZ_GDP",Release_Calendar!$B$2:$B$755,$A6109)&gt;0,1,0))</f>
        <v>0</v>
      </c>
      <c r="O6109" s="16">
        <f>IF($A6109&lt;Notes!$B$5,"",IF(COUNTIFS(Release_Calendar!$A$2:$A$755,"NZ_LABOUR",Release_Calendar!$B$2:$B$755,$A6109)&gt;0,1,0))</f>
        <v>0</v>
      </c>
      <c r="P6109" s="16">
        <f t="shared" si="4"/>
        <v>0</v>
      </c>
    </row>
    <row r="6110" ht="15.75" customHeight="1">
      <c r="A6110" s="14">
        <v>45078.0</v>
      </c>
      <c r="B6110" s="15">
        <v>4.33</v>
      </c>
      <c r="C6110" s="15">
        <v>5.2</v>
      </c>
      <c r="D6110" s="15"/>
      <c r="E6110" s="15">
        <v>4.81</v>
      </c>
      <c r="F6110" s="15">
        <f t="shared" si="1"/>
        <v>0.87</v>
      </c>
      <c r="G6110" s="15">
        <f t="shared" si="2"/>
        <v>5.2</v>
      </c>
      <c r="H6110" s="16">
        <v>0.0</v>
      </c>
      <c r="I6110" s="15">
        <f t="shared" si="3"/>
        <v>0.87</v>
      </c>
      <c r="J6110" s="15">
        <v>15.65</v>
      </c>
      <c r="K6110" s="16">
        <f>IF(COUNTIFS(Release_Calendar!$A$2:$A$755,"US_CPI",Release_Calendar!$B$2:$B$755,$A6110)&gt;0,1,0)</f>
        <v>0</v>
      </c>
      <c r="L6110" s="16">
        <f>IF(COUNTIFS(Release_Calendar!$A$2:$A$755,"US_NFP",Release_Calendar!$B$2:$B$755,$A6110)&gt;0,1,0)</f>
        <v>0</v>
      </c>
      <c r="M6110" s="16">
        <f>IF($A6110&lt;Notes!$B$5,"",IF(COUNTIFS(Release_Calendar!$A$2:$A$755,"NZ_CPI",Release_Calendar!$B$2:$B$755,$A6110)&gt;0,1,0))</f>
        <v>0</v>
      </c>
      <c r="N6110" s="16">
        <f>IF($A6110&lt;Notes!$B$5,"",IF(COUNTIFS(Release_Calendar!$A$2:$A$755,"NZ_GDP",Release_Calendar!$B$2:$B$755,$A6110)&gt;0,1,0))</f>
        <v>0</v>
      </c>
      <c r="O6110" s="16">
        <f>IF($A6110&lt;Notes!$B$5,"",IF(COUNTIFS(Release_Calendar!$A$2:$A$755,"NZ_LABOUR",Release_Calendar!$B$2:$B$755,$A6110)&gt;0,1,0))</f>
        <v>0</v>
      </c>
      <c r="P6110" s="16">
        <f t="shared" si="4"/>
        <v>0</v>
      </c>
    </row>
    <row r="6111" ht="15.75" customHeight="1">
      <c r="A6111" s="14">
        <v>45079.0</v>
      </c>
      <c r="B6111" s="15">
        <v>4.5</v>
      </c>
      <c r="C6111" s="15">
        <v>5.21</v>
      </c>
      <c r="D6111" s="15"/>
      <c r="E6111" s="15">
        <v>4.84</v>
      </c>
      <c r="F6111" s="15">
        <f t="shared" si="1"/>
        <v>0.71</v>
      </c>
      <c r="G6111" s="15">
        <f t="shared" si="2"/>
        <v>5.21</v>
      </c>
      <c r="H6111" s="16">
        <v>0.0</v>
      </c>
      <c r="I6111" s="15">
        <f t="shared" si="3"/>
        <v>0.71</v>
      </c>
      <c r="J6111" s="15">
        <v>14.6</v>
      </c>
      <c r="K6111" s="16">
        <f>IF(COUNTIFS(Release_Calendar!$A$2:$A$755,"US_CPI",Release_Calendar!$B$2:$B$755,$A6111)&gt;0,1,0)</f>
        <v>0</v>
      </c>
      <c r="L6111" s="16">
        <f>IF(COUNTIFS(Release_Calendar!$A$2:$A$755,"US_NFP",Release_Calendar!$B$2:$B$755,$A6111)&gt;0,1,0)</f>
        <v>1</v>
      </c>
      <c r="M6111" s="16">
        <f>IF($A6111&lt;Notes!$B$5,"",IF(COUNTIFS(Release_Calendar!$A$2:$A$755,"NZ_CPI",Release_Calendar!$B$2:$B$755,$A6111)&gt;0,1,0))</f>
        <v>0</v>
      </c>
      <c r="N6111" s="16">
        <f>IF($A6111&lt;Notes!$B$5,"",IF(COUNTIFS(Release_Calendar!$A$2:$A$755,"NZ_GDP",Release_Calendar!$B$2:$B$755,$A6111)&gt;0,1,0))</f>
        <v>0</v>
      </c>
      <c r="O6111" s="16">
        <f>IF($A6111&lt;Notes!$B$5,"",IF(COUNTIFS(Release_Calendar!$A$2:$A$755,"NZ_LABOUR",Release_Calendar!$B$2:$B$755,$A6111)&gt;0,1,0))</f>
        <v>0</v>
      </c>
      <c r="P6111" s="16">
        <f t="shared" si="4"/>
        <v>1</v>
      </c>
    </row>
    <row r="6112" ht="15.75" customHeight="1">
      <c r="A6112" s="14">
        <v>45082.0</v>
      </c>
      <c r="B6112" s="15">
        <v>4.46</v>
      </c>
      <c r="C6112" s="15"/>
      <c r="D6112" s="15"/>
      <c r="E6112" s="15"/>
      <c r="F6112" s="15" t="str">
        <f t="shared" si="1"/>
        <v/>
      </c>
      <c r="G6112" s="15" t="str">
        <f t="shared" si="2"/>
        <v/>
      </c>
      <c r="H6112" s="16">
        <v>0.0</v>
      </c>
      <c r="I6112" s="15" t="str">
        <f t="shared" si="3"/>
        <v/>
      </c>
      <c r="J6112" s="15">
        <v>14.73</v>
      </c>
      <c r="K6112" s="16">
        <f>IF(COUNTIFS(Release_Calendar!$A$2:$A$755,"US_CPI",Release_Calendar!$B$2:$B$755,$A6112)&gt;0,1,0)</f>
        <v>0</v>
      </c>
      <c r="L6112" s="16">
        <f>IF(COUNTIFS(Release_Calendar!$A$2:$A$755,"US_NFP",Release_Calendar!$B$2:$B$755,$A6112)&gt;0,1,0)</f>
        <v>0</v>
      </c>
      <c r="M6112" s="16">
        <f>IF($A6112&lt;Notes!$B$5,"",IF(COUNTIFS(Release_Calendar!$A$2:$A$755,"NZ_CPI",Release_Calendar!$B$2:$B$755,$A6112)&gt;0,1,0))</f>
        <v>0</v>
      </c>
      <c r="N6112" s="16">
        <f>IF($A6112&lt;Notes!$B$5,"",IF(COUNTIFS(Release_Calendar!$A$2:$A$755,"NZ_GDP",Release_Calendar!$B$2:$B$755,$A6112)&gt;0,1,0))</f>
        <v>0</v>
      </c>
      <c r="O6112" s="16">
        <f>IF($A6112&lt;Notes!$B$5,"",IF(COUNTIFS(Release_Calendar!$A$2:$A$755,"NZ_LABOUR",Release_Calendar!$B$2:$B$755,$A6112)&gt;0,1,0))</f>
        <v>0</v>
      </c>
      <c r="P6112" s="16">
        <f t="shared" si="4"/>
        <v>0</v>
      </c>
    </row>
    <row r="6113" ht="15.75" customHeight="1">
      <c r="A6113" s="14">
        <v>45083.0</v>
      </c>
      <c r="B6113" s="15">
        <v>4.51</v>
      </c>
      <c r="C6113" s="15">
        <v>5.25</v>
      </c>
      <c r="D6113" s="15"/>
      <c r="E6113" s="15">
        <v>4.88</v>
      </c>
      <c r="F6113" s="15">
        <f t="shared" si="1"/>
        <v>0.74</v>
      </c>
      <c r="G6113" s="15">
        <f t="shared" si="2"/>
        <v>5.25</v>
      </c>
      <c r="H6113" s="16">
        <v>0.0</v>
      </c>
      <c r="I6113" s="15">
        <f t="shared" si="3"/>
        <v>0.74</v>
      </c>
      <c r="J6113" s="15">
        <v>13.96</v>
      </c>
      <c r="K6113" s="16">
        <f>IF(COUNTIFS(Release_Calendar!$A$2:$A$755,"US_CPI",Release_Calendar!$B$2:$B$755,$A6113)&gt;0,1,0)</f>
        <v>0</v>
      </c>
      <c r="L6113" s="16">
        <f>IF(COUNTIFS(Release_Calendar!$A$2:$A$755,"US_NFP",Release_Calendar!$B$2:$B$755,$A6113)&gt;0,1,0)</f>
        <v>0</v>
      </c>
      <c r="M6113" s="16">
        <f>IF($A6113&lt;Notes!$B$5,"",IF(COUNTIFS(Release_Calendar!$A$2:$A$755,"NZ_CPI",Release_Calendar!$B$2:$B$755,$A6113)&gt;0,1,0))</f>
        <v>0</v>
      </c>
      <c r="N6113" s="16">
        <f>IF($A6113&lt;Notes!$B$5,"",IF(COUNTIFS(Release_Calendar!$A$2:$A$755,"NZ_GDP",Release_Calendar!$B$2:$B$755,$A6113)&gt;0,1,0))</f>
        <v>0</v>
      </c>
      <c r="O6113" s="16">
        <f>IF($A6113&lt;Notes!$B$5,"",IF(COUNTIFS(Release_Calendar!$A$2:$A$755,"NZ_LABOUR",Release_Calendar!$B$2:$B$755,$A6113)&gt;0,1,0))</f>
        <v>0</v>
      </c>
      <c r="P6113" s="16">
        <f t="shared" si="4"/>
        <v>0</v>
      </c>
    </row>
    <row r="6114" ht="15.75" customHeight="1">
      <c r="A6114" s="14">
        <v>45084.0</v>
      </c>
      <c r="B6114" s="15">
        <v>4.56</v>
      </c>
      <c r="C6114" s="15">
        <v>5.29</v>
      </c>
      <c r="D6114" s="15"/>
      <c r="E6114" s="15">
        <v>4.93</v>
      </c>
      <c r="F6114" s="15">
        <f t="shared" si="1"/>
        <v>0.73</v>
      </c>
      <c r="G6114" s="15">
        <f t="shared" si="2"/>
        <v>5.29</v>
      </c>
      <c r="H6114" s="16">
        <v>0.0</v>
      </c>
      <c r="I6114" s="15">
        <f t="shared" si="3"/>
        <v>0.73</v>
      </c>
      <c r="J6114" s="15">
        <v>13.94</v>
      </c>
      <c r="K6114" s="16">
        <f>IF(COUNTIFS(Release_Calendar!$A$2:$A$755,"US_CPI",Release_Calendar!$B$2:$B$755,$A6114)&gt;0,1,0)</f>
        <v>0</v>
      </c>
      <c r="L6114" s="16">
        <f>IF(COUNTIFS(Release_Calendar!$A$2:$A$755,"US_NFP",Release_Calendar!$B$2:$B$755,$A6114)&gt;0,1,0)</f>
        <v>0</v>
      </c>
      <c r="M6114" s="16">
        <f>IF($A6114&lt;Notes!$B$5,"",IF(COUNTIFS(Release_Calendar!$A$2:$A$755,"NZ_CPI",Release_Calendar!$B$2:$B$755,$A6114)&gt;0,1,0))</f>
        <v>0</v>
      </c>
      <c r="N6114" s="16">
        <f>IF($A6114&lt;Notes!$B$5,"",IF(COUNTIFS(Release_Calendar!$A$2:$A$755,"NZ_GDP",Release_Calendar!$B$2:$B$755,$A6114)&gt;0,1,0))</f>
        <v>0</v>
      </c>
      <c r="O6114" s="16">
        <f>IF($A6114&lt;Notes!$B$5,"",IF(COUNTIFS(Release_Calendar!$A$2:$A$755,"NZ_LABOUR",Release_Calendar!$B$2:$B$755,$A6114)&gt;0,1,0))</f>
        <v>0</v>
      </c>
      <c r="P6114" s="16">
        <f t="shared" si="4"/>
        <v>0</v>
      </c>
    </row>
    <row r="6115" ht="15.75" customHeight="1">
      <c r="A6115" s="14">
        <v>45085.0</v>
      </c>
      <c r="B6115" s="15">
        <v>4.52</v>
      </c>
      <c r="C6115" s="15">
        <v>5.4</v>
      </c>
      <c r="D6115" s="15"/>
      <c r="E6115" s="15">
        <v>5.03</v>
      </c>
      <c r="F6115" s="15">
        <f t="shared" si="1"/>
        <v>0.88</v>
      </c>
      <c r="G6115" s="15">
        <f t="shared" si="2"/>
        <v>5.4</v>
      </c>
      <c r="H6115" s="16">
        <v>0.0</v>
      </c>
      <c r="I6115" s="15">
        <f t="shared" si="3"/>
        <v>0.88</v>
      </c>
      <c r="J6115" s="15">
        <v>13.65</v>
      </c>
      <c r="K6115" s="16">
        <f>IF(COUNTIFS(Release_Calendar!$A$2:$A$755,"US_CPI",Release_Calendar!$B$2:$B$755,$A6115)&gt;0,1,0)</f>
        <v>0</v>
      </c>
      <c r="L6115" s="16">
        <f>IF(COUNTIFS(Release_Calendar!$A$2:$A$755,"US_NFP",Release_Calendar!$B$2:$B$755,$A6115)&gt;0,1,0)</f>
        <v>0</v>
      </c>
      <c r="M6115" s="16">
        <f>IF($A6115&lt;Notes!$B$5,"",IF(COUNTIFS(Release_Calendar!$A$2:$A$755,"NZ_CPI",Release_Calendar!$B$2:$B$755,$A6115)&gt;0,1,0))</f>
        <v>0</v>
      </c>
      <c r="N6115" s="16">
        <f>IF($A6115&lt;Notes!$B$5,"",IF(COUNTIFS(Release_Calendar!$A$2:$A$755,"NZ_GDP",Release_Calendar!$B$2:$B$755,$A6115)&gt;0,1,0))</f>
        <v>0</v>
      </c>
      <c r="O6115" s="16">
        <f>IF($A6115&lt;Notes!$B$5,"",IF(COUNTIFS(Release_Calendar!$A$2:$A$755,"NZ_LABOUR",Release_Calendar!$B$2:$B$755,$A6115)&gt;0,1,0))</f>
        <v>0</v>
      </c>
      <c r="P6115" s="16">
        <f t="shared" si="4"/>
        <v>0</v>
      </c>
    </row>
    <row r="6116" ht="15.75" customHeight="1">
      <c r="A6116" s="14">
        <v>45086.0</v>
      </c>
      <c r="B6116" s="15">
        <v>4.59</v>
      </c>
      <c r="C6116" s="15">
        <v>5.35</v>
      </c>
      <c r="D6116" s="15"/>
      <c r="E6116" s="15">
        <v>5.02</v>
      </c>
      <c r="F6116" s="15">
        <f t="shared" si="1"/>
        <v>0.76</v>
      </c>
      <c r="G6116" s="15">
        <f t="shared" si="2"/>
        <v>5.35</v>
      </c>
      <c r="H6116" s="16">
        <v>0.0</v>
      </c>
      <c r="I6116" s="15">
        <f t="shared" si="3"/>
        <v>0.76</v>
      </c>
      <c r="J6116" s="15">
        <v>13.83</v>
      </c>
      <c r="K6116" s="16">
        <f>IF(COUNTIFS(Release_Calendar!$A$2:$A$755,"US_CPI",Release_Calendar!$B$2:$B$755,$A6116)&gt;0,1,0)</f>
        <v>0</v>
      </c>
      <c r="L6116" s="16">
        <f>IF(COUNTIFS(Release_Calendar!$A$2:$A$755,"US_NFP",Release_Calendar!$B$2:$B$755,$A6116)&gt;0,1,0)</f>
        <v>0</v>
      </c>
      <c r="M6116" s="16">
        <f>IF($A6116&lt;Notes!$B$5,"",IF(COUNTIFS(Release_Calendar!$A$2:$A$755,"NZ_CPI",Release_Calendar!$B$2:$B$755,$A6116)&gt;0,1,0))</f>
        <v>0</v>
      </c>
      <c r="N6116" s="16">
        <f>IF($A6116&lt;Notes!$B$5,"",IF(COUNTIFS(Release_Calendar!$A$2:$A$755,"NZ_GDP",Release_Calendar!$B$2:$B$755,$A6116)&gt;0,1,0))</f>
        <v>0</v>
      </c>
      <c r="O6116" s="16">
        <f>IF($A6116&lt;Notes!$B$5,"",IF(COUNTIFS(Release_Calendar!$A$2:$A$755,"NZ_LABOUR",Release_Calendar!$B$2:$B$755,$A6116)&gt;0,1,0))</f>
        <v>0</v>
      </c>
      <c r="P6116" s="16">
        <f t="shared" si="4"/>
        <v>0</v>
      </c>
    </row>
    <row r="6117" ht="15.75" customHeight="1">
      <c r="A6117" s="14">
        <v>45089.0</v>
      </c>
      <c r="B6117" s="15">
        <v>4.55</v>
      </c>
      <c r="C6117" s="15">
        <v>5.37</v>
      </c>
      <c r="D6117" s="15"/>
      <c r="E6117" s="15">
        <v>5.05</v>
      </c>
      <c r="F6117" s="15">
        <f t="shared" si="1"/>
        <v>0.82</v>
      </c>
      <c r="G6117" s="15">
        <f t="shared" si="2"/>
        <v>5.37</v>
      </c>
      <c r="H6117" s="16">
        <v>0.0</v>
      </c>
      <c r="I6117" s="15">
        <f t="shared" si="3"/>
        <v>0.82</v>
      </c>
      <c r="J6117" s="15">
        <v>15.01</v>
      </c>
      <c r="K6117" s="16">
        <f>IF(COUNTIFS(Release_Calendar!$A$2:$A$755,"US_CPI",Release_Calendar!$B$2:$B$755,$A6117)&gt;0,1,0)</f>
        <v>0</v>
      </c>
      <c r="L6117" s="16">
        <f>IF(COUNTIFS(Release_Calendar!$A$2:$A$755,"US_NFP",Release_Calendar!$B$2:$B$755,$A6117)&gt;0,1,0)</f>
        <v>0</v>
      </c>
      <c r="M6117" s="16">
        <f>IF($A6117&lt;Notes!$B$5,"",IF(COUNTIFS(Release_Calendar!$A$2:$A$755,"NZ_CPI",Release_Calendar!$B$2:$B$755,$A6117)&gt;0,1,0))</f>
        <v>0</v>
      </c>
      <c r="N6117" s="16">
        <f>IF($A6117&lt;Notes!$B$5,"",IF(COUNTIFS(Release_Calendar!$A$2:$A$755,"NZ_GDP",Release_Calendar!$B$2:$B$755,$A6117)&gt;0,1,0))</f>
        <v>0</v>
      </c>
      <c r="O6117" s="16">
        <f>IF($A6117&lt;Notes!$B$5,"",IF(COUNTIFS(Release_Calendar!$A$2:$A$755,"NZ_LABOUR",Release_Calendar!$B$2:$B$755,$A6117)&gt;0,1,0))</f>
        <v>0</v>
      </c>
      <c r="P6117" s="16">
        <f t="shared" si="4"/>
        <v>0</v>
      </c>
    </row>
    <row r="6118" ht="15.75" customHeight="1">
      <c r="A6118" s="14">
        <v>45090.0</v>
      </c>
      <c r="B6118" s="15">
        <v>4.67</v>
      </c>
      <c r="C6118" s="15">
        <v>5.36</v>
      </c>
      <c r="D6118" s="15"/>
      <c r="E6118" s="15">
        <v>5.04</v>
      </c>
      <c r="F6118" s="15">
        <f t="shared" si="1"/>
        <v>0.69</v>
      </c>
      <c r="G6118" s="15">
        <f t="shared" si="2"/>
        <v>5.36</v>
      </c>
      <c r="H6118" s="16">
        <v>0.0</v>
      </c>
      <c r="I6118" s="15">
        <f t="shared" si="3"/>
        <v>0.69</v>
      </c>
      <c r="J6118" s="15">
        <v>14.61</v>
      </c>
      <c r="K6118" s="16">
        <f>IF(COUNTIFS(Release_Calendar!$A$2:$A$755,"US_CPI",Release_Calendar!$B$2:$B$755,$A6118)&gt;0,1,0)</f>
        <v>1</v>
      </c>
      <c r="L6118" s="16">
        <f>IF(COUNTIFS(Release_Calendar!$A$2:$A$755,"US_NFP",Release_Calendar!$B$2:$B$755,$A6118)&gt;0,1,0)</f>
        <v>0</v>
      </c>
      <c r="M6118" s="16">
        <f>IF($A6118&lt;Notes!$B$5,"",IF(COUNTIFS(Release_Calendar!$A$2:$A$755,"NZ_CPI",Release_Calendar!$B$2:$B$755,$A6118)&gt;0,1,0))</f>
        <v>0</v>
      </c>
      <c r="N6118" s="16">
        <f>IF($A6118&lt;Notes!$B$5,"",IF(COUNTIFS(Release_Calendar!$A$2:$A$755,"NZ_GDP",Release_Calendar!$B$2:$B$755,$A6118)&gt;0,1,0))</f>
        <v>0</v>
      </c>
      <c r="O6118" s="16">
        <f>IF($A6118&lt;Notes!$B$5,"",IF(COUNTIFS(Release_Calendar!$A$2:$A$755,"NZ_LABOUR",Release_Calendar!$B$2:$B$755,$A6118)&gt;0,1,0))</f>
        <v>0</v>
      </c>
      <c r="P6118" s="16">
        <f t="shared" si="4"/>
        <v>1</v>
      </c>
    </row>
    <row r="6119" ht="15.75" customHeight="1">
      <c r="A6119" s="14">
        <v>45091.0</v>
      </c>
      <c r="B6119" s="15">
        <v>4.74</v>
      </c>
      <c r="C6119" s="15">
        <v>5.4</v>
      </c>
      <c r="D6119" s="15"/>
      <c r="E6119" s="15">
        <v>5.1</v>
      </c>
      <c r="F6119" s="15">
        <f t="shared" si="1"/>
        <v>0.66</v>
      </c>
      <c r="G6119" s="15">
        <f t="shared" si="2"/>
        <v>5.4</v>
      </c>
      <c r="H6119" s="16">
        <v>0.0</v>
      </c>
      <c r="I6119" s="15">
        <f t="shared" si="3"/>
        <v>0.66</v>
      </c>
      <c r="J6119" s="15">
        <v>13.88</v>
      </c>
      <c r="K6119" s="16">
        <f>IF(COUNTIFS(Release_Calendar!$A$2:$A$755,"US_CPI",Release_Calendar!$B$2:$B$755,$A6119)&gt;0,1,0)</f>
        <v>0</v>
      </c>
      <c r="L6119" s="16">
        <f>IF(COUNTIFS(Release_Calendar!$A$2:$A$755,"US_NFP",Release_Calendar!$B$2:$B$755,$A6119)&gt;0,1,0)</f>
        <v>0</v>
      </c>
      <c r="M6119" s="16">
        <f>IF($A6119&lt;Notes!$B$5,"",IF(COUNTIFS(Release_Calendar!$A$2:$A$755,"NZ_CPI",Release_Calendar!$B$2:$B$755,$A6119)&gt;0,1,0))</f>
        <v>0</v>
      </c>
      <c r="N6119" s="16">
        <f>IF($A6119&lt;Notes!$B$5,"",IF(COUNTIFS(Release_Calendar!$A$2:$A$755,"NZ_GDP",Release_Calendar!$B$2:$B$755,$A6119)&gt;0,1,0))</f>
        <v>0</v>
      </c>
      <c r="O6119" s="16">
        <f>IF($A6119&lt;Notes!$B$5,"",IF(COUNTIFS(Release_Calendar!$A$2:$A$755,"NZ_LABOUR",Release_Calendar!$B$2:$B$755,$A6119)&gt;0,1,0))</f>
        <v>0</v>
      </c>
      <c r="P6119" s="16">
        <f t="shared" si="4"/>
        <v>0</v>
      </c>
    </row>
    <row r="6120" ht="15.75" customHeight="1">
      <c r="A6120" s="14">
        <v>45092.0</v>
      </c>
      <c r="B6120" s="15">
        <v>4.62</v>
      </c>
      <c r="C6120" s="15">
        <v>5.39</v>
      </c>
      <c r="D6120" s="15"/>
      <c r="E6120" s="15">
        <v>5.09</v>
      </c>
      <c r="F6120" s="15">
        <f t="shared" si="1"/>
        <v>0.77</v>
      </c>
      <c r="G6120" s="15">
        <f t="shared" si="2"/>
        <v>5.39</v>
      </c>
      <c r="H6120" s="16">
        <v>0.0</v>
      </c>
      <c r="I6120" s="15">
        <f t="shared" si="3"/>
        <v>0.77</v>
      </c>
      <c r="J6120" s="15">
        <v>14.5</v>
      </c>
      <c r="K6120" s="16">
        <f>IF(COUNTIFS(Release_Calendar!$A$2:$A$755,"US_CPI",Release_Calendar!$B$2:$B$755,$A6120)&gt;0,1,0)</f>
        <v>0</v>
      </c>
      <c r="L6120" s="16">
        <f>IF(COUNTIFS(Release_Calendar!$A$2:$A$755,"US_NFP",Release_Calendar!$B$2:$B$755,$A6120)&gt;0,1,0)</f>
        <v>0</v>
      </c>
      <c r="M6120" s="16">
        <f>IF($A6120&lt;Notes!$B$5,"",IF(COUNTIFS(Release_Calendar!$A$2:$A$755,"NZ_CPI",Release_Calendar!$B$2:$B$755,$A6120)&gt;0,1,0))</f>
        <v>0</v>
      </c>
      <c r="N6120" s="16">
        <f>IF($A6120&lt;Notes!$B$5,"",IF(COUNTIFS(Release_Calendar!$A$2:$A$755,"NZ_GDP",Release_Calendar!$B$2:$B$755,$A6120)&gt;0,1,0))</f>
        <v>1</v>
      </c>
      <c r="O6120" s="16">
        <f>IF($A6120&lt;Notes!$B$5,"",IF(COUNTIFS(Release_Calendar!$A$2:$A$755,"NZ_LABOUR",Release_Calendar!$B$2:$B$755,$A6120)&gt;0,1,0))</f>
        <v>0</v>
      </c>
      <c r="P6120" s="16">
        <f t="shared" si="4"/>
        <v>1</v>
      </c>
    </row>
    <row r="6121" ht="15.75" customHeight="1">
      <c r="A6121" s="14">
        <v>45093.0</v>
      </c>
      <c r="B6121" s="15">
        <v>4.7</v>
      </c>
      <c r="C6121" s="15">
        <v>5.35</v>
      </c>
      <c r="D6121" s="15"/>
      <c r="E6121" s="15">
        <v>5.08</v>
      </c>
      <c r="F6121" s="15">
        <f t="shared" si="1"/>
        <v>0.65</v>
      </c>
      <c r="G6121" s="15">
        <f t="shared" si="2"/>
        <v>5.35</v>
      </c>
      <c r="H6121" s="16">
        <v>0.0</v>
      </c>
      <c r="I6121" s="15">
        <f t="shared" si="3"/>
        <v>0.65</v>
      </c>
      <c r="J6121" s="15">
        <v>13.54</v>
      </c>
      <c r="K6121" s="16">
        <f>IF(COUNTIFS(Release_Calendar!$A$2:$A$755,"US_CPI",Release_Calendar!$B$2:$B$755,$A6121)&gt;0,1,0)</f>
        <v>0</v>
      </c>
      <c r="L6121" s="16">
        <f>IF(COUNTIFS(Release_Calendar!$A$2:$A$755,"US_NFP",Release_Calendar!$B$2:$B$755,$A6121)&gt;0,1,0)</f>
        <v>0</v>
      </c>
      <c r="M6121" s="16">
        <f>IF($A6121&lt;Notes!$B$5,"",IF(COUNTIFS(Release_Calendar!$A$2:$A$755,"NZ_CPI",Release_Calendar!$B$2:$B$755,$A6121)&gt;0,1,0))</f>
        <v>0</v>
      </c>
      <c r="N6121" s="16">
        <f>IF($A6121&lt;Notes!$B$5,"",IF(COUNTIFS(Release_Calendar!$A$2:$A$755,"NZ_GDP",Release_Calendar!$B$2:$B$755,$A6121)&gt;0,1,0))</f>
        <v>0</v>
      </c>
      <c r="O6121" s="16">
        <f>IF($A6121&lt;Notes!$B$5,"",IF(COUNTIFS(Release_Calendar!$A$2:$A$755,"NZ_LABOUR",Release_Calendar!$B$2:$B$755,$A6121)&gt;0,1,0))</f>
        <v>0</v>
      </c>
      <c r="P6121" s="16">
        <f t="shared" si="4"/>
        <v>0</v>
      </c>
    </row>
    <row r="6122" ht="15.75" customHeight="1">
      <c r="A6122" s="14">
        <v>45096.0</v>
      </c>
      <c r="B6122" s="15"/>
      <c r="C6122" s="15">
        <v>5.34</v>
      </c>
      <c r="D6122" s="15"/>
      <c r="E6122" s="15">
        <v>5.01</v>
      </c>
      <c r="F6122" s="15" t="str">
        <f t="shared" si="1"/>
        <v/>
      </c>
      <c r="G6122" s="15">
        <f t="shared" si="2"/>
        <v>5.34</v>
      </c>
      <c r="H6122" s="16">
        <v>0.0</v>
      </c>
      <c r="I6122" s="15" t="str">
        <f t="shared" si="3"/>
        <v/>
      </c>
      <c r="J6122" s="15">
        <v>14.19</v>
      </c>
      <c r="K6122" s="16">
        <f>IF(COUNTIFS(Release_Calendar!$A$2:$A$755,"US_CPI",Release_Calendar!$B$2:$B$755,$A6122)&gt;0,1,0)</f>
        <v>0</v>
      </c>
      <c r="L6122" s="16">
        <f>IF(COUNTIFS(Release_Calendar!$A$2:$A$755,"US_NFP",Release_Calendar!$B$2:$B$755,$A6122)&gt;0,1,0)</f>
        <v>0</v>
      </c>
      <c r="M6122" s="16">
        <f>IF($A6122&lt;Notes!$B$5,"",IF(COUNTIFS(Release_Calendar!$A$2:$A$755,"NZ_CPI",Release_Calendar!$B$2:$B$755,$A6122)&gt;0,1,0))</f>
        <v>0</v>
      </c>
      <c r="N6122" s="16">
        <f>IF($A6122&lt;Notes!$B$5,"",IF(COUNTIFS(Release_Calendar!$A$2:$A$755,"NZ_GDP",Release_Calendar!$B$2:$B$755,$A6122)&gt;0,1,0))</f>
        <v>0</v>
      </c>
      <c r="O6122" s="16">
        <f>IF($A6122&lt;Notes!$B$5,"",IF(COUNTIFS(Release_Calendar!$A$2:$A$755,"NZ_LABOUR",Release_Calendar!$B$2:$B$755,$A6122)&gt;0,1,0))</f>
        <v>0</v>
      </c>
      <c r="P6122" s="16">
        <f t="shared" si="4"/>
        <v>0</v>
      </c>
    </row>
    <row r="6123" ht="15.75" customHeight="1">
      <c r="A6123" s="14">
        <v>45097.0</v>
      </c>
      <c r="B6123" s="15">
        <v>4.68</v>
      </c>
      <c r="C6123" s="15">
        <v>5.36</v>
      </c>
      <c r="D6123" s="15"/>
      <c r="E6123" s="15">
        <v>5.03</v>
      </c>
      <c r="F6123" s="15">
        <f t="shared" si="1"/>
        <v>0.68</v>
      </c>
      <c r="G6123" s="15">
        <f t="shared" si="2"/>
        <v>5.36</v>
      </c>
      <c r="H6123" s="16">
        <v>0.0</v>
      </c>
      <c r="I6123" s="15">
        <f t="shared" si="3"/>
        <v>0.68</v>
      </c>
      <c r="J6123" s="15">
        <v>13.88</v>
      </c>
      <c r="K6123" s="16">
        <f>IF(COUNTIFS(Release_Calendar!$A$2:$A$755,"US_CPI",Release_Calendar!$B$2:$B$755,$A6123)&gt;0,1,0)</f>
        <v>0</v>
      </c>
      <c r="L6123" s="16">
        <f>IF(COUNTIFS(Release_Calendar!$A$2:$A$755,"US_NFP",Release_Calendar!$B$2:$B$755,$A6123)&gt;0,1,0)</f>
        <v>0</v>
      </c>
      <c r="M6123" s="16">
        <f>IF($A6123&lt;Notes!$B$5,"",IF(COUNTIFS(Release_Calendar!$A$2:$A$755,"NZ_CPI",Release_Calendar!$B$2:$B$755,$A6123)&gt;0,1,0))</f>
        <v>0</v>
      </c>
      <c r="N6123" s="16">
        <f>IF($A6123&lt;Notes!$B$5,"",IF(COUNTIFS(Release_Calendar!$A$2:$A$755,"NZ_GDP",Release_Calendar!$B$2:$B$755,$A6123)&gt;0,1,0))</f>
        <v>0</v>
      </c>
      <c r="O6123" s="16">
        <f>IF($A6123&lt;Notes!$B$5,"",IF(COUNTIFS(Release_Calendar!$A$2:$A$755,"NZ_LABOUR",Release_Calendar!$B$2:$B$755,$A6123)&gt;0,1,0))</f>
        <v>0</v>
      </c>
      <c r="P6123" s="16">
        <f t="shared" si="4"/>
        <v>0</v>
      </c>
    </row>
    <row r="6124" ht="15.75" customHeight="1">
      <c r="A6124" s="14">
        <v>45098.0</v>
      </c>
      <c r="B6124" s="15">
        <v>4.68</v>
      </c>
      <c r="C6124" s="15">
        <v>5.39</v>
      </c>
      <c r="D6124" s="15"/>
      <c r="E6124" s="15">
        <v>5.06</v>
      </c>
      <c r="F6124" s="15">
        <f t="shared" si="1"/>
        <v>0.71</v>
      </c>
      <c r="G6124" s="15">
        <f t="shared" si="2"/>
        <v>5.39</v>
      </c>
      <c r="H6124" s="16">
        <v>0.0</v>
      </c>
      <c r="I6124" s="15">
        <f t="shared" si="3"/>
        <v>0.71</v>
      </c>
      <c r="J6124" s="15">
        <v>13.2</v>
      </c>
      <c r="K6124" s="16">
        <f>IF(COUNTIFS(Release_Calendar!$A$2:$A$755,"US_CPI",Release_Calendar!$B$2:$B$755,$A6124)&gt;0,1,0)</f>
        <v>0</v>
      </c>
      <c r="L6124" s="16">
        <f>IF(COUNTIFS(Release_Calendar!$A$2:$A$755,"US_NFP",Release_Calendar!$B$2:$B$755,$A6124)&gt;0,1,0)</f>
        <v>0</v>
      </c>
      <c r="M6124" s="16">
        <f>IF($A6124&lt;Notes!$B$5,"",IF(COUNTIFS(Release_Calendar!$A$2:$A$755,"NZ_CPI",Release_Calendar!$B$2:$B$755,$A6124)&gt;0,1,0))</f>
        <v>0</v>
      </c>
      <c r="N6124" s="16">
        <f>IF($A6124&lt;Notes!$B$5,"",IF(COUNTIFS(Release_Calendar!$A$2:$A$755,"NZ_GDP",Release_Calendar!$B$2:$B$755,$A6124)&gt;0,1,0))</f>
        <v>0</v>
      </c>
      <c r="O6124" s="16">
        <f>IF($A6124&lt;Notes!$B$5,"",IF(COUNTIFS(Release_Calendar!$A$2:$A$755,"NZ_LABOUR",Release_Calendar!$B$2:$B$755,$A6124)&gt;0,1,0))</f>
        <v>0</v>
      </c>
      <c r="P6124" s="16">
        <f t="shared" si="4"/>
        <v>0</v>
      </c>
    </row>
    <row r="6125" ht="15.75" customHeight="1">
      <c r="A6125" s="14">
        <v>45099.0</v>
      </c>
      <c r="B6125" s="15">
        <v>4.77</v>
      </c>
      <c r="C6125" s="15">
        <v>5.42</v>
      </c>
      <c r="D6125" s="15"/>
      <c r="E6125" s="15">
        <v>5.11</v>
      </c>
      <c r="F6125" s="15">
        <f t="shared" si="1"/>
        <v>0.65</v>
      </c>
      <c r="G6125" s="15">
        <f t="shared" si="2"/>
        <v>5.42</v>
      </c>
      <c r="H6125" s="16">
        <v>0.0</v>
      </c>
      <c r="I6125" s="15">
        <f t="shared" si="3"/>
        <v>0.65</v>
      </c>
      <c r="J6125" s="15">
        <v>12.91</v>
      </c>
      <c r="K6125" s="16">
        <f>IF(COUNTIFS(Release_Calendar!$A$2:$A$755,"US_CPI",Release_Calendar!$B$2:$B$755,$A6125)&gt;0,1,0)</f>
        <v>0</v>
      </c>
      <c r="L6125" s="16">
        <f>IF(COUNTIFS(Release_Calendar!$A$2:$A$755,"US_NFP",Release_Calendar!$B$2:$B$755,$A6125)&gt;0,1,0)</f>
        <v>0</v>
      </c>
      <c r="M6125" s="16">
        <f>IF($A6125&lt;Notes!$B$5,"",IF(COUNTIFS(Release_Calendar!$A$2:$A$755,"NZ_CPI",Release_Calendar!$B$2:$B$755,$A6125)&gt;0,1,0))</f>
        <v>0</v>
      </c>
      <c r="N6125" s="16">
        <f>IF($A6125&lt;Notes!$B$5,"",IF(COUNTIFS(Release_Calendar!$A$2:$A$755,"NZ_GDP",Release_Calendar!$B$2:$B$755,$A6125)&gt;0,1,0))</f>
        <v>0</v>
      </c>
      <c r="O6125" s="16">
        <f>IF($A6125&lt;Notes!$B$5,"",IF(COUNTIFS(Release_Calendar!$A$2:$A$755,"NZ_LABOUR",Release_Calendar!$B$2:$B$755,$A6125)&gt;0,1,0))</f>
        <v>0</v>
      </c>
      <c r="P6125" s="16">
        <f t="shared" si="4"/>
        <v>0</v>
      </c>
    </row>
    <row r="6126" ht="15.75" customHeight="1">
      <c r="A6126" s="14">
        <v>45100.0</v>
      </c>
      <c r="B6126" s="15">
        <v>4.71</v>
      </c>
      <c r="C6126" s="15">
        <v>5.47</v>
      </c>
      <c r="D6126" s="15"/>
      <c r="E6126" s="15">
        <v>5.15</v>
      </c>
      <c r="F6126" s="15">
        <f t="shared" si="1"/>
        <v>0.76</v>
      </c>
      <c r="G6126" s="15">
        <f t="shared" si="2"/>
        <v>5.47</v>
      </c>
      <c r="H6126" s="16">
        <v>0.0</v>
      </c>
      <c r="I6126" s="15">
        <f t="shared" si="3"/>
        <v>0.76</v>
      </c>
      <c r="J6126" s="15">
        <v>13.44</v>
      </c>
      <c r="K6126" s="16">
        <f>IF(COUNTIFS(Release_Calendar!$A$2:$A$755,"US_CPI",Release_Calendar!$B$2:$B$755,$A6126)&gt;0,1,0)</f>
        <v>0</v>
      </c>
      <c r="L6126" s="16">
        <f>IF(COUNTIFS(Release_Calendar!$A$2:$A$755,"US_NFP",Release_Calendar!$B$2:$B$755,$A6126)&gt;0,1,0)</f>
        <v>0</v>
      </c>
      <c r="M6126" s="16">
        <f>IF($A6126&lt;Notes!$B$5,"",IF(COUNTIFS(Release_Calendar!$A$2:$A$755,"NZ_CPI",Release_Calendar!$B$2:$B$755,$A6126)&gt;0,1,0))</f>
        <v>0</v>
      </c>
      <c r="N6126" s="16">
        <f>IF($A6126&lt;Notes!$B$5,"",IF(COUNTIFS(Release_Calendar!$A$2:$A$755,"NZ_GDP",Release_Calendar!$B$2:$B$755,$A6126)&gt;0,1,0))</f>
        <v>0</v>
      </c>
      <c r="O6126" s="16">
        <f>IF($A6126&lt;Notes!$B$5,"",IF(COUNTIFS(Release_Calendar!$A$2:$A$755,"NZ_LABOUR",Release_Calendar!$B$2:$B$755,$A6126)&gt;0,1,0))</f>
        <v>0</v>
      </c>
      <c r="P6126" s="16">
        <f t="shared" si="4"/>
        <v>0</v>
      </c>
    </row>
    <row r="6127" ht="15.75" customHeight="1">
      <c r="A6127" s="14">
        <v>45103.0</v>
      </c>
      <c r="B6127" s="15">
        <v>4.65</v>
      </c>
      <c r="C6127" s="15">
        <v>5.41</v>
      </c>
      <c r="D6127" s="15"/>
      <c r="E6127" s="15">
        <v>5.11</v>
      </c>
      <c r="F6127" s="15">
        <f t="shared" si="1"/>
        <v>0.76</v>
      </c>
      <c r="G6127" s="15">
        <f t="shared" si="2"/>
        <v>5.41</v>
      </c>
      <c r="H6127" s="16">
        <v>0.0</v>
      </c>
      <c r="I6127" s="15">
        <f t="shared" si="3"/>
        <v>0.76</v>
      </c>
      <c r="J6127" s="15">
        <v>14.25</v>
      </c>
      <c r="K6127" s="16">
        <f>IF(COUNTIFS(Release_Calendar!$A$2:$A$755,"US_CPI",Release_Calendar!$B$2:$B$755,$A6127)&gt;0,1,0)</f>
        <v>0</v>
      </c>
      <c r="L6127" s="16">
        <f>IF(COUNTIFS(Release_Calendar!$A$2:$A$755,"US_NFP",Release_Calendar!$B$2:$B$755,$A6127)&gt;0,1,0)</f>
        <v>0</v>
      </c>
      <c r="M6127" s="16">
        <f>IF($A6127&lt;Notes!$B$5,"",IF(COUNTIFS(Release_Calendar!$A$2:$A$755,"NZ_CPI",Release_Calendar!$B$2:$B$755,$A6127)&gt;0,1,0))</f>
        <v>0</v>
      </c>
      <c r="N6127" s="16">
        <f>IF($A6127&lt;Notes!$B$5,"",IF(COUNTIFS(Release_Calendar!$A$2:$A$755,"NZ_GDP",Release_Calendar!$B$2:$B$755,$A6127)&gt;0,1,0))</f>
        <v>0</v>
      </c>
      <c r="O6127" s="16">
        <f>IF($A6127&lt;Notes!$B$5,"",IF(COUNTIFS(Release_Calendar!$A$2:$A$755,"NZ_LABOUR",Release_Calendar!$B$2:$B$755,$A6127)&gt;0,1,0))</f>
        <v>0</v>
      </c>
      <c r="P6127" s="16">
        <f t="shared" si="4"/>
        <v>0</v>
      </c>
    </row>
    <row r="6128" ht="15.75" customHeight="1">
      <c r="A6128" s="14">
        <v>45104.0</v>
      </c>
      <c r="B6128" s="15">
        <v>4.74</v>
      </c>
      <c r="C6128" s="15">
        <v>5.4</v>
      </c>
      <c r="D6128" s="15"/>
      <c r="E6128" s="15">
        <v>5.12</v>
      </c>
      <c r="F6128" s="15">
        <f t="shared" si="1"/>
        <v>0.66</v>
      </c>
      <c r="G6128" s="15">
        <f t="shared" si="2"/>
        <v>5.4</v>
      </c>
      <c r="H6128" s="16">
        <v>0.0</v>
      </c>
      <c r="I6128" s="15">
        <f t="shared" si="3"/>
        <v>0.66</v>
      </c>
      <c r="J6128" s="15">
        <v>13.74</v>
      </c>
      <c r="K6128" s="16">
        <f>IF(COUNTIFS(Release_Calendar!$A$2:$A$755,"US_CPI",Release_Calendar!$B$2:$B$755,$A6128)&gt;0,1,0)</f>
        <v>0</v>
      </c>
      <c r="L6128" s="16">
        <f>IF(COUNTIFS(Release_Calendar!$A$2:$A$755,"US_NFP",Release_Calendar!$B$2:$B$755,$A6128)&gt;0,1,0)</f>
        <v>0</v>
      </c>
      <c r="M6128" s="16">
        <f>IF($A6128&lt;Notes!$B$5,"",IF(COUNTIFS(Release_Calendar!$A$2:$A$755,"NZ_CPI",Release_Calendar!$B$2:$B$755,$A6128)&gt;0,1,0))</f>
        <v>0</v>
      </c>
      <c r="N6128" s="16">
        <f>IF($A6128&lt;Notes!$B$5,"",IF(COUNTIFS(Release_Calendar!$A$2:$A$755,"NZ_GDP",Release_Calendar!$B$2:$B$755,$A6128)&gt;0,1,0))</f>
        <v>0</v>
      </c>
      <c r="O6128" s="16">
        <f>IF($A6128&lt;Notes!$B$5,"",IF(COUNTIFS(Release_Calendar!$A$2:$A$755,"NZ_LABOUR",Release_Calendar!$B$2:$B$755,$A6128)&gt;0,1,0))</f>
        <v>0</v>
      </c>
      <c r="P6128" s="16">
        <f t="shared" si="4"/>
        <v>0</v>
      </c>
    </row>
    <row r="6129" ht="15.75" customHeight="1">
      <c r="A6129" s="14">
        <v>45105.0</v>
      </c>
      <c r="B6129" s="15">
        <v>4.71</v>
      </c>
      <c r="C6129" s="15">
        <v>5.36</v>
      </c>
      <c r="D6129" s="15"/>
      <c r="E6129" s="15">
        <v>5.15</v>
      </c>
      <c r="F6129" s="15">
        <f t="shared" si="1"/>
        <v>0.65</v>
      </c>
      <c r="G6129" s="15">
        <f t="shared" si="2"/>
        <v>5.36</v>
      </c>
      <c r="H6129" s="16">
        <v>0.0</v>
      </c>
      <c r="I6129" s="15">
        <f t="shared" si="3"/>
        <v>0.65</v>
      </c>
      <c r="J6129" s="15">
        <v>13.43</v>
      </c>
      <c r="K6129" s="16">
        <f>IF(COUNTIFS(Release_Calendar!$A$2:$A$755,"US_CPI",Release_Calendar!$B$2:$B$755,$A6129)&gt;0,1,0)</f>
        <v>0</v>
      </c>
      <c r="L6129" s="16">
        <f>IF(COUNTIFS(Release_Calendar!$A$2:$A$755,"US_NFP",Release_Calendar!$B$2:$B$755,$A6129)&gt;0,1,0)</f>
        <v>0</v>
      </c>
      <c r="M6129" s="16">
        <f>IF($A6129&lt;Notes!$B$5,"",IF(COUNTIFS(Release_Calendar!$A$2:$A$755,"NZ_CPI",Release_Calendar!$B$2:$B$755,$A6129)&gt;0,1,0))</f>
        <v>0</v>
      </c>
      <c r="N6129" s="16">
        <f>IF($A6129&lt;Notes!$B$5,"",IF(COUNTIFS(Release_Calendar!$A$2:$A$755,"NZ_GDP",Release_Calendar!$B$2:$B$755,$A6129)&gt;0,1,0))</f>
        <v>0</v>
      </c>
      <c r="O6129" s="16">
        <f>IF($A6129&lt;Notes!$B$5,"",IF(COUNTIFS(Release_Calendar!$A$2:$A$755,"NZ_LABOUR",Release_Calendar!$B$2:$B$755,$A6129)&gt;0,1,0))</f>
        <v>0</v>
      </c>
      <c r="P6129" s="16">
        <f t="shared" si="4"/>
        <v>0</v>
      </c>
    </row>
    <row r="6130" ht="15.75" customHeight="1">
      <c r="A6130" s="14">
        <v>45106.0</v>
      </c>
      <c r="B6130" s="15">
        <v>4.87</v>
      </c>
      <c r="C6130" s="15">
        <v>5.39</v>
      </c>
      <c r="D6130" s="15"/>
      <c r="E6130" s="15">
        <v>5.18</v>
      </c>
      <c r="F6130" s="15">
        <f t="shared" si="1"/>
        <v>0.52</v>
      </c>
      <c r="G6130" s="15">
        <f t="shared" si="2"/>
        <v>5.39</v>
      </c>
      <c r="H6130" s="16">
        <v>0.0</v>
      </c>
      <c r="I6130" s="15">
        <f t="shared" si="3"/>
        <v>0.52</v>
      </c>
      <c r="J6130" s="15">
        <v>13.54</v>
      </c>
      <c r="K6130" s="16">
        <f>IF(COUNTIFS(Release_Calendar!$A$2:$A$755,"US_CPI",Release_Calendar!$B$2:$B$755,$A6130)&gt;0,1,0)</f>
        <v>0</v>
      </c>
      <c r="L6130" s="16">
        <f>IF(COUNTIFS(Release_Calendar!$A$2:$A$755,"US_NFP",Release_Calendar!$B$2:$B$755,$A6130)&gt;0,1,0)</f>
        <v>0</v>
      </c>
      <c r="M6130" s="16">
        <f>IF($A6130&lt;Notes!$B$5,"",IF(COUNTIFS(Release_Calendar!$A$2:$A$755,"NZ_CPI",Release_Calendar!$B$2:$B$755,$A6130)&gt;0,1,0))</f>
        <v>0</v>
      </c>
      <c r="N6130" s="16">
        <f>IF($A6130&lt;Notes!$B$5,"",IF(COUNTIFS(Release_Calendar!$A$2:$A$755,"NZ_GDP",Release_Calendar!$B$2:$B$755,$A6130)&gt;0,1,0))</f>
        <v>0</v>
      </c>
      <c r="O6130" s="16">
        <f>IF($A6130&lt;Notes!$B$5,"",IF(COUNTIFS(Release_Calendar!$A$2:$A$755,"NZ_LABOUR",Release_Calendar!$B$2:$B$755,$A6130)&gt;0,1,0))</f>
        <v>0</v>
      </c>
      <c r="P6130" s="16">
        <f t="shared" si="4"/>
        <v>0</v>
      </c>
    </row>
    <row r="6131" ht="15.75" customHeight="1">
      <c r="A6131" s="14">
        <v>45107.0</v>
      </c>
      <c r="B6131" s="15">
        <v>4.87</v>
      </c>
      <c r="C6131" s="15">
        <v>5.47</v>
      </c>
      <c r="D6131" s="15"/>
      <c r="E6131" s="15">
        <v>5.27</v>
      </c>
      <c r="F6131" s="15">
        <f t="shared" si="1"/>
        <v>0.6</v>
      </c>
      <c r="G6131" s="15">
        <f t="shared" si="2"/>
        <v>5.47</v>
      </c>
      <c r="H6131" s="16">
        <v>0.0</v>
      </c>
      <c r="I6131" s="15">
        <f t="shared" si="3"/>
        <v>0.6</v>
      </c>
      <c r="J6131" s="15">
        <v>13.59</v>
      </c>
      <c r="K6131" s="16">
        <f>IF(COUNTIFS(Release_Calendar!$A$2:$A$755,"US_CPI",Release_Calendar!$B$2:$B$755,$A6131)&gt;0,1,0)</f>
        <v>0</v>
      </c>
      <c r="L6131" s="16">
        <f>IF(COUNTIFS(Release_Calendar!$A$2:$A$755,"US_NFP",Release_Calendar!$B$2:$B$755,$A6131)&gt;0,1,0)</f>
        <v>0</v>
      </c>
      <c r="M6131" s="16">
        <f>IF($A6131&lt;Notes!$B$5,"",IF(COUNTIFS(Release_Calendar!$A$2:$A$755,"NZ_CPI",Release_Calendar!$B$2:$B$755,$A6131)&gt;0,1,0))</f>
        <v>0</v>
      </c>
      <c r="N6131" s="16">
        <f>IF($A6131&lt;Notes!$B$5,"",IF(COUNTIFS(Release_Calendar!$A$2:$A$755,"NZ_GDP",Release_Calendar!$B$2:$B$755,$A6131)&gt;0,1,0))</f>
        <v>0</v>
      </c>
      <c r="O6131" s="16">
        <f>IF($A6131&lt;Notes!$B$5,"",IF(COUNTIFS(Release_Calendar!$A$2:$A$755,"NZ_LABOUR",Release_Calendar!$B$2:$B$755,$A6131)&gt;0,1,0))</f>
        <v>0</v>
      </c>
      <c r="P6131" s="16">
        <f t="shared" si="4"/>
        <v>0</v>
      </c>
    </row>
    <row r="6132" ht="15.75" customHeight="1">
      <c r="A6132" s="14">
        <v>45110.0</v>
      </c>
      <c r="B6132" s="15">
        <v>4.94</v>
      </c>
      <c r="C6132" s="15">
        <v>5.46</v>
      </c>
      <c r="D6132" s="15"/>
      <c r="E6132" s="15">
        <v>5.27</v>
      </c>
      <c r="F6132" s="15">
        <f t="shared" si="1"/>
        <v>0.52</v>
      </c>
      <c r="G6132" s="15">
        <f t="shared" si="2"/>
        <v>5.46</v>
      </c>
      <c r="H6132" s="16">
        <v>0.0</v>
      </c>
      <c r="I6132" s="15">
        <f t="shared" si="3"/>
        <v>0.52</v>
      </c>
      <c r="J6132" s="15">
        <v>13.57</v>
      </c>
      <c r="K6132" s="16">
        <f>IF(COUNTIFS(Release_Calendar!$A$2:$A$755,"US_CPI",Release_Calendar!$B$2:$B$755,$A6132)&gt;0,1,0)</f>
        <v>0</v>
      </c>
      <c r="L6132" s="16">
        <f>IF(COUNTIFS(Release_Calendar!$A$2:$A$755,"US_NFP",Release_Calendar!$B$2:$B$755,$A6132)&gt;0,1,0)</f>
        <v>0</v>
      </c>
      <c r="M6132" s="16">
        <f>IF($A6132&lt;Notes!$B$5,"",IF(COUNTIFS(Release_Calendar!$A$2:$A$755,"NZ_CPI",Release_Calendar!$B$2:$B$755,$A6132)&gt;0,1,0))</f>
        <v>0</v>
      </c>
      <c r="N6132" s="16">
        <f>IF($A6132&lt;Notes!$B$5,"",IF(COUNTIFS(Release_Calendar!$A$2:$A$755,"NZ_GDP",Release_Calendar!$B$2:$B$755,$A6132)&gt;0,1,0))</f>
        <v>0</v>
      </c>
      <c r="O6132" s="16">
        <f>IF($A6132&lt;Notes!$B$5,"",IF(COUNTIFS(Release_Calendar!$A$2:$A$755,"NZ_LABOUR",Release_Calendar!$B$2:$B$755,$A6132)&gt;0,1,0))</f>
        <v>0</v>
      </c>
      <c r="P6132" s="16">
        <f t="shared" si="4"/>
        <v>0</v>
      </c>
    </row>
    <row r="6133" ht="15.75" customHeight="1">
      <c r="A6133" s="14">
        <v>45111.0</v>
      </c>
      <c r="B6133" s="15"/>
      <c r="C6133" s="15">
        <v>5.51</v>
      </c>
      <c r="D6133" s="15"/>
      <c r="E6133" s="15">
        <v>5.35</v>
      </c>
      <c r="F6133" s="15" t="str">
        <f t="shared" si="1"/>
        <v/>
      </c>
      <c r="G6133" s="15">
        <f t="shared" si="2"/>
        <v>5.51</v>
      </c>
      <c r="H6133" s="16">
        <v>0.0</v>
      </c>
      <c r="I6133" s="15" t="str">
        <f t="shared" si="3"/>
        <v/>
      </c>
      <c r="J6133" s="15">
        <v>13.7</v>
      </c>
      <c r="K6133" s="16">
        <f>IF(COUNTIFS(Release_Calendar!$A$2:$A$755,"US_CPI",Release_Calendar!$B$2:$B$755,$A6133)&gt;0,1,0)</f>
        <v>0</v>
      </c>
      <c r="L6133" s="16">
        <f>IF(COUNTIFS(Release_Calendar!$A$2:$A$755,"US_NFP",Release_Calendar!$B$2:$B$755,$A6133)&gt;0,1,0)</f>
        <v>0</v>
      </c>
      <c r="M6133" s="16">
        <f>IF($A6133&lt;Notes!$B$5,"",IF(COUNTIFS(Release_Calendar!$A$2:$A$755,"NZ_CPI",Release_Calendar!$B$2:$B$755,$A6133)&gt;0,1,0))</f>
        <v>0</v>
      </c>
      <c r="N6133" s="16">
        <f>IF($A6133&lt;Notes!$B$5,"",IF(COUNTIFS(Release_Calendar!$A$2:$A$755,"NZ_GDP",Release_Calendar!$B$2:$B$755,$A6133)&gt;0,1,0))</f>
        <v>0</v>
      </c>
      <c r="O6133" s="16">
        <f>IF($A6133&lt;Notes!$B$5,"",IF(COUNTIFS(Release_Calendar!$A$2:$A$755,"NZ_LABOUR",Release_Calendar!$B$2:$B$755,$A6133)&gt;0,1,0))</f>
        <v>0</v>
      </c>
      <c r="P6133" s="16">
        <f t="shared" si="4"/>
        <v>0</v>
      </c>
    </row>
    <row r="6134" ht="15.75" customHeight="1">
      <c r="A6134" s="14">
        <v>45112.0</v>
      </c>
      <c r="B6134" s="15">
        <v>4.94</v>
      </c>
      <c r="C6134" s="15">
        <v>5.52</v>
      </c>
      <c r="D6134" s="15"/>
      <c r="E6134" s="15">
        <v>5.37</v>
      </c>
      <c r="F6134" s="15">
        <f t="shared" si="1"/>
        <v>0.58</v>
      </c>
      <c r="G6134" s="15">
        <f t="shared" si="2"/>
        <v>5.52</v>
      </c>
      <c r="H6134" s="16">
        <v>0.0</v>
      </c>
      <c r="I6134" s="15">
        <f t="shared" si="3"/>
        <v>0.58</v>
      </c>
      <c r="J6134" s="15">
        <v>14.18</v>
      </c>
      <c r="K6134" s="16">
        <f>IF(COUNTIFS(Release_Calendar!$A$2:$A$755,"US_CPI",Release_Calendar!$B$2:$B$755,$A6134)&gt;0,1,0)</f>
        <v>0</v>
      </c>
      <c r="L6134" s="16">
        <f>IF(COUNTIFS(Release_Calendar!$A$2:$A$755,"US_NFP",Release_Calendar!$B$2:$B$755,$A6134)&gt;0,1,0)</f>
        <v>0</v>
      </c>
      <c r="M6134" s="16">
        <f>IF($A6134&lt;Notes!$B$5,"",IF(COUNTIFS(Release_Calendar!$A$2:$A$755,"NZ_CPI",Release_Calendar!$B$2:$B$755,$A6134)&gt;0,1,0))</f>
        <v>0</v>
      </c>
      <c r="N6134" s="16">
        <f>IF($A6134&lt;Notes!$B$5,"",IF(COUNTIFS(Release_Calendar!$A$2:$A$755,"NZ_GDP",Release_Calendar!$B$2:$B$755,$A6134)&gt;0,1,0))</f>
        <v>0</v>
      </c>
      <c r="O6134" s="16">
        <f>IF($A6134&lt;Notes!$B$5,"",IF(COUNTIFS(Release_Calendar!$A$2:$A$755,"NZ_LABOUR",Release_Calendar!$B$2:$B$755,$A6134)&gt;0,1,0))</f>
        <v>0</v>
      </c>
      <c r="P6134" s="16">
        <f t="shared" si="4"/>
        <v>0</v>
      </c>
    </row>
    <row r="6135" ht="15.75" customHeight="1">
      <c r="A6135" s="14">
        <v>45113.0</v>
      </c>
      <c r="B6135" s="15">
        <v>4.99</v>
      </c>
      <c r="C6135" s="15">
        <v>5.59</v>
      </c>
      <c r="D6135" s="15"/>
      <c r="E6135" s="15">
        <v>5.43</v>
      </c>
      <c r="F6135" s="15">
        <f t="shared" si="1"/>
        <v>0.6</v>
      </c>
      <c r="G6135" s="15">
        <f t="shared" si="2"/>
        <v>5.59</v>
      </c>
      <c r="H6135" s="16">
        <v>0.0</v>
      </c>
      <c r="I6135" s="15">
        <f t="shared" si="3"/>
        <v>0.6</v>
      </c>
      <c r="J6135" s="15">
        <v>15.44</v>
      </c>
      <c r="K6135" s="16">
        <f>IF(COUNTIFS(Release_Calendar!$A$2:$A$755,"US_CPI",Release_Calendar!$B$2:$B$755,$A6135)&gt;0,1,0)</f>
        <v>0</v>
      </c>
      <c r="L6135" s="16">
        <f>IF(COUNTIFS(Release_Calendar!$A$2:$A$755,"US_NFP",Release_Calendar!$B$2:$B$755,$A6135)&gt;0,1,0)</f>
        <v>0</v>
      </c>
      <c r="M6135" s="16">
        <f>IF($A6135&lt;Notes!$B$5,"",IF(COUNTIFS(Release_Calendar!$A$2:$A$755,"NZ_CPI",Release_Calendar!$B$2:$B$755,$A6135)&gt;0,1,0))</f>
        <v>0</v>
      </c>
      <c r="N6135" s="16">
        <f>IF($A6135&lt;Notes!$B$5,"",IF(COUNTIFS(Release_Calendar!$A$2:$A$755,"NZ_GDP",Release_Calendar!$B$2:$B$755,$A6135)&gt;0,1,0))</f>
        <v>0</v>
      </c>
      <c r="O6135" s="16">
        <f>IF($A6135&lt;Notes!$B$5,"",IF(COUNTIFS(Release_Calendar!$A$2:$A$755,"NZ_LABOUR",Release_Calendar!$B$2:$B$755,$A6135)&gt;0,1,0))</f>
        <v>0</v>
      </c>
      <c r="P6135" s="16">
        <f t="shared" si="4"/>
        <v>0</v>
      </c>
    </row>
    <row r="6136" ht="15.75" customHeight="1">
      <c r="A6136" s="14">
        <v>45114.0</v>
      </c>
      <c r="B6136" s="15">
        <v>4.94</v>
      </c>
      <c r="C6136" s="15">
        <v>5.74</v>
      </c>
      <c r="D6136" s="15"/>
      <c r="E6136" s="15">
        <v>5.61</v>
      </c>
      <c r="F6136" s="15">
        <f t="shared" si="1"/>
        <v>0.8</v>
      </c>
      <c r="G6136" s="15">
        <f t="shared" si="2"/>
        <v>5.74</v>
      </c>
      <c r="H6136" s="16">
        <v>0.0</v>
      </c>
      <c r="I6136" s="15">
        <f t="shared" si="3"/>
        <v>0.8</v>
      </c>
      <c r="J6136" s="15">
        <v>14.83</v>
      </c>
      <c r="K6136" s="16">
        <f>IF(COUNTIFS(Release_Calendar!$A$2:$A$755,"US_CPI",Release_Calendar!$B$2:$B$755,$A6136)&gt;0,1,0)</f>
        <v>0</v>
      </c>
      <c r="L6136" s="16">
        <f>IF(COUNTIFS(Release_Calendar!$A$2:$A$755,"US_NFP",Release_Calendar!$B$2:$B$755,$A6136)&gt;0,1,0)</f>
        <v>1</v>
      </c>
      <c r="M6136" s="16">
        <f>IF($A6136&lt;Notes!$B$5,"",IF(COUNTIFS(Release_Calendar!$A$2:$A$755,"NZ_CPI",Release_Calendar!$B$2:$B$755,$A6136)&gt;0,1,0))</f>
        <v>0</v>
      </c>
      <c r="N6136" s="16">
        <f>IF($A6136&lt;Notes!$B$5,"",IF(COUNTIFS(Release_Calendar!$A$2:$A$755,"NZ_GDP",Release_Calendar!$B$2:$B$755,$A6136)&gt;0,1,0))</f>
        <v>0</v>
      </c>
      <c r="O6136" s="16">
        <f>IF($A6136&lt;Notes!$B$5,"",IF(COUNTIFS(Release_Calendar!$A$2:$A$755,"NZ_LABOUR",Release_Calendar!$B$2:$B$755,$A6136)&gt;0,1,0))</f>
        <v>0</v>
      </c>
      <c r="P6136" s="16">
        <f t="shared" si="4"/>
        <v>1</v>
      </c>
    </row>
    <row r="6137" ht="15.75" customHeight="1">
      <c r="A6137" s="14">
        <v>45117.0</v>
      </c>
      <c r="B6137" s="15">
        <v>4.85</v>
      </c>
      <c r="C6137" s="15">
        <v>5.72</v>
      </c>
      <c r="D6137" s="15"/>
      <c r="E6137" s="15">
        <v>5.58</v>
      </c>
      <c r="F6137" s="15">
        <f t="shared" si="1"/>
        <v>0.87</v>
      </c>
      <c r="G6137" s="15">
        <f t="shared" si="2"/>
        <v>5.72</v>
      </c>
      <c r="H6137" s="16">
        <v>0.0</v>
      </c>
      <c r="I6137" s="15">
        <f t="shared" si="3"/>
        <v>0.87</v>
      </c>
      <c r="J6137" s="15">
        <v>15.07</v>
      </c>
      <c r="K6137" s="16">
        <f>IF(COUNTIFS(Release_Calendar!$A$2:$A$755,"US_CPI",Release_Calendar!$B$2:$B$755,$A6137)&gt;0,1,0)</f>
        <v>0</v>
      </c>
      <c r="L6137" s="16">
        <f>IF(COUNTIFS(Release_Calendar!$A$2:$A$755,"US_NFP",Release_Calendar!$B$2:$B$755,$A6137)&gt;0,1,0)</f>
        <v>0</v>
      </c>
      <c r="M6137" s="16">
        <f>IF($A6137&lt;Notes!$B$5,"",IF(COUNTIFS(Release_Calendar!$A$2:$A$755,"NZ_CPI",Release_Calendar!$B$2:$B$755,$A6137)&gt;0,1,0))</f>
        <v>0</v>
      </c>
      <c r="N6137" s="16">
        <f>IF($A6137&lt;Notes!$B$5,"",IF(COUNTIFS(Release_Calendar!$A$2:$A$755,"NZ_GDP",Release_Calendar!$B$2:$B$755,$A6137)&gt;0,1,0))</f>
        <v>0</v>
      </c>
      <c r="O6137" s="16">
        <f>IF($A6137&lt;Notes!$B$5,"",IF(COUNTIFS(Release_Calendar!$A$2:$A$755,"NZ_LABOUR",Release_Calendar!$B$2:$B$755,$A6137)&gt;0,1,0))</f>
        <v>0</v>
      </c>
      <c r="P6137" s="16">
        <f t="shared" si="4"/>
        <v>0</v>
      </c>
    </row>
    <row r="6138" ht="15.75" customHeight="1">
      <c r="A6138" s="14">
        <v>45118.0</v>
      </c>
      <c r="B6138" s="15">
        <v>4.88</v>
      </c>
      <c r="C6138" s="15">
        <v>5.61</v>
      </c>
      <c r="D6138" s="15"/>
      <c r="E6138" s="15">
        <v>5.44</v>
      </c>
      <c r="F6138" s="15">
        <f t="shared" si="1"/>
        <v>0.73</v>
      </c>
      <c r="G6138" s="15">
        <f t="shared" si="2"/>
        <v>5.61</v>
      </c>
      <c r="H6138" s="16">
        <v>0.0</v>
      </c>
      <c r="I6138" s="15">
        <f t="shared" si="3"/>
        <v>0.73</v>
      </c>
      <c r="J6138" s="15">
        <v>14.84</v>
      </c>
      <c r="K6138" s="16">
        <f>IF(COUNTIFS(Release_Calendar!$A$2:$A$755,"US_CPI",Release_Calendar!$B$2:$B$755,$A6138)&gt;0,1,0)</f>
        <v>0</v>
      </c>
      <c r="L6138" s="16">
        <f>IF(COUNTIFS(Release_Calendar!$A$2:$A$755,"US_NFP",Release_Calendar!$B$2:$B$755,$A6138)&gt;0,1,0)</f>
        <v>0</v>
      </c>
      <c r="M6138" s="16">
        <f>IF($A6138&lt;Notes!$B$5,"",IF(COUNTIFS(Release_Calendar!$A$2:$A$755,"NZ_CPI",Release_Calendar!$B$2:$B$755,$A6138)&gt;0,1,0))</f>
        <v>0</v>
      </c>
      <c r="N6138" s="16">
        <f>IF($A6138&lt;Notes!$B$5,"",IF(COUNTIFS(Release_Calendar!$A$2:$A$755,"NZ_GDP",Release_Calendar!$B$2:$B$755,$A6138)&gt;0,1,0))</f>
        <v>0</v>
      </c>
      <c r="O6138" s="16">
        <f>IF($A6138&lt;Notes!$B$5,"",IF(COUNTIFS(Release_Calendar!$A$2:$A$755,"NZ_LABOUR",Release_Calendar!$B$2:$B$755,$A6138)&gt;0,1,0))</f>
        <v>0</v>
      </c>
      <c r="P6138" s="16">
        <f t="shared" si="4"/>
        <v>0</v>
      </c>
    </row>
    <row r="6139" ht="15.75" customHeight="1">
      <c r="A6139" s="14">
        <v>45119.0</v>
      </c>
      <c r="B6139" s="15">
        <v>4.72</v>
      </c>
      <c r="C6139" s="15">
        <v>5.5</v>
      </c>
      <c r="D6139" s="15"/>
      <c r="E6139" s="15">
        <v>5.32</v>
      </c>
      <c r="F6139" s="15">
        <f t="shared" si="1"/>
        <v>0.78</v>
      </c>
      <c r="G6139" s="15">
        <f t="shared" si="2"/>
        <v>5.5</v>
      </c>
      <c r="H6139" s="16">
        <v>0.0</v>
      </c>
      <c r="I6139" s="15">
        <f t="shared" si="3"/>
        <v>0.78</v>
      </c>
      <c r="J6139" s="15">
        <v>13.54</v>
      </c>
      <c r="K6139" s="16">
        <f>IF(COUNTIFS(Release_Calendar!$A$2:$A$755,"US_CPI",Release_Calendar!$B$2:$B$755,$A6139)&gt;0,1,0)</f>
        <v>1</v>
      </c>
      <c r="L6139" s="16">
        <f>IF(COUNTIFS(Release_Calendar!$A$2:$A$755,"US_NFP",Release_Calendar!$B$2:$B$755,$A6139)&gt;0,1,0)</f>
        <v>0</v>
      </c>
      <c r="M6139" s="16">
        <f>IF($A6139&lt;Notes!$B$5,"",IF(COUNTIFS(Release_Calendar!$A$2:$A$755,"NZ_CPI",Release_Calendar!$B$2:$B$755,$A6139)&gt;0,1,0))</f>
        <v>0</v>
      </c>
      <c r="N6139" s="16">
        <f>IF($A6139&lt;Notes!$B$5,"",IF(COUNTIFS(Release_Calendar!$A$2:$A$755,"NZ_GDP",Release_Calendar!$B$2:$B$755,$A6139)&gt;0,1,0))</f>
        <v>0</v>
      </c>
      <c r="O6139" s="16">
        <f>IF($A6139&lt;Notes!$B$5,"",IF(COUNTIFS(Release_Calendar!$A$2:$A$755,"NZ_LABOUR",Release_Calendar!$B$2:$B$755,$A6139)&gt;0,1,0))</f>
        <v>0</v>
      </c>
      <c r="P6139" s="16">
        <f t="shared" si="4"/>
        <v>1</v>
      </c>
    </row>
    <row r="6140" ht="15.75" customHeight="1">
      <c r="A6140" s="14">
        <v>45120.0</v>
      </c>
      <c r="B6140" s="15">
        <v>4.59</v>
      </c>
      <c r="C6140" s="15">
        <v>5.43</v>
      </c>
      <c r="D6140" s="15"/>
      <c r="E6140" s="15">
        <v>5.23</v>
      </c>
      <c r="F6140" s="15">
        <f t="shared" si="1"/>
        <v>0.84</v>
      </c>
      <c r="G6140" s="15">
        <f t="shared" si="2"/>
        <v>5.43</v>
      </c>
      <c r="H6140" s="16">
        <v>0.0</v>
      </c>
      <c r="I6140" s="15">
        <f t="shared" si="3"/>
        <v>0.84</v>
      </c>
      <c r="J6140" s="15">
        <v>13.61</v>
      </c>
      <c r="K6140" s="16">
        <f>IF(COUNTIFS(Release_Calendar!$A$2:$A$755,"US_CPI",Release_Calendar!$B$2:$B$755,$A6140)&gt;0,1,0)</f>
        <v>0</v>
      </c>
      <c r="L6140" s="16">
        <f>IF(COUNTIFS(Release_Calendar!$A$2:$A$755,"US_NFP",Release_Calendar!$B$2:$B$755,$A6140)&gt;0,1,0)</f>
        <v>0</v>
      </c>
      <c r="M6140" s="16">
        <f>IF($A6140&lt;Notes!$B$5,"",IF(COUNTIFS(Release_Calendar!$A$2:$A$755,"NZ_CPI",Release_Calendar!$B$2:$B$755,$A6140)&gt;0,1,0))</f>
        <v>0</v>
      </c>
      <c r="N6140" s="16">
        <f>IF($A6140&lt;Notes!$B$5,"",IF(COUNTIFS(Release_Calendar!$A$2:$A$755,"NZ_GDP",Release_Calendar!$B$2:$B$755,$A6140)&gt;0,1,0))</f>
        <v>0</v>
      </c>
      <c r="O6140" s="16">
        <f>IF($A6140&lt;Notes!$B$5,"",IF(COUNTIFS(Release_Calendar!$A$2:$A$755,"NZ_LABOUR",Release_Calendar!$B$2:$B$755,$A6140)&gt;0,1,0))</f>
        <v>0</v>
      </c>
      <c r="P6140" s="16">
        <f t="shared" si="4"/>
        <v>0</v>
      </c>
    </row>
    <row r="6141" ht="15.75" customHeight="1">
      <c r="A6141" s="14">
        <v>45121.0</v>
      </c>
      <c r="B6141" s="15">
        <v>4.74</v>
      </c>
      <c r="C6141" s="15"/>
      <c r="D6141" s="15"/>
      <c r="E6141" s="15"/>
      <c r="F6141" s="15" t="str">
        <f t="shared" si="1"/>
        <v/>
      </c>
      <c r="G6141" s="15" t="str">
        <f t="shared" si="2"/>
        <v/>
      </c>
      <c r="H6141" s="16">
        <v>0.0</v>
      </c>
      <c r="I6141" s="15" t="str">
        <f t="shared" si="3"/>
        <v/>
      </c>
      <c r="J6141" s="15">
        <v>13.34</v>
      </c>
      <c r="K6141" s="16">
        <f>IF(COUNTIFS(Release_Calendar!$A$2:$A$755,"US_CPI",Release_Calendar!$B$2:$B$755,$A6141)&gt;0,1,0)</f>
        <v>0</v>
      </c>
      <c r="L6141" s="16">
        <f>IF(COUNTIFS(Release_Calendar!$A$2:$A$755,"US_NFP",Release_Calendar!$B$2:$B$755,$A6141)&gt;0,1,0)</f>
        <v>0</v>
      </c>
      <c r="M6141" s="16">
        <f>IF($A6141&lt;Notes!$B$5,"",IF(COUNTIFS(Release_Calendar!$A$2:$A$755,"NZ_CPI",Release_Calendar!$B$2:$B$755,$A6141)&gt;0,1,0))</f>
        <v>0</v>
      </c>
      <c r="N6141" s="16">
        <f>IF($A6141&lt;Notes!$B$5,"",IF(COUNTIFS(Release_Calendar!$A$2:$A$755,"NZ_GDP",Release_Calendar!$B$2:$B$755,$A6141)&gt;0,1,0))</f>
        <v>0</v>
      </c>
      <c r="O6141" s="16">
        <f>IF($A6141&lt;Notes!$B$5,"",IF(COUNTIFS(Release_Calendar!$A$2:$A$755,"NZ_LABOUR",Release_Calendar!$B$2:$B$755,$A6141)&gt;0,1,0))</f>
        <v>0</v>
      </c>
      <c r="P6141" s="16">
        <f t="shared" si="4"/>
        <v>0</v>
      </c>
    </row>
    <row r="6142" ht="15.75" customHeight="1">
      <c r="A6142" s="14">
        <v>45124.0</v>
      </c>
      <c r="B6142" s="15">
        <v>4.74</v>
      </c>
      <c r="C6142" s="15">
        <v>5.38</v>
      </c>
      <c r="D6142" s="15"/>
      <c r="E6142" s="15">
        <v>5.19</v>
      </c>
      <c r="F6142" s="15">
        <f t="shared" si="1"/>
        <v>0.64</v>
      </c>
      <c r="G6142" s="15">
        <f t="shared" si="2"/>
        <v>5.38</v>
      </c>
      <c r="H6142" s="16">
        <v>0.0</v>
      </c>
      <c r="I6142" s="15">
        <f t="shared" si="3"/>
        <v>0.64</v>
      </c>
      <c r="J6142" s="15">
        <v>13.48</v>
      </c>
      <c r="K6142" s="16">
        <f>IF(COUNTIFS(Release_Calendar!$A$2:$A$755,"US_CPI",Release_Calendar!$B$2:$B$755,$A6142)&gt;0,1,0)</f>
        <v>0</v>
      </c>
      <c r="L6142" s="16">
        <f>IF(COUNTIFS(Release_Calendar!$A$2:$A$755,"US_NFP",Release_Calendar!$B$2:$B$755,$A6142)&gt;0,1,0)</f>
        <v>0</v>
      </c>
      <c r="M6142" s="16">
        <f>IF($A6142&lt;Notes!$B$5,"",IF(COUNTIFS(Release_Calendar!$A$2:$A$755,"NZ_CPI",Release_Calendar!$B$2:$B$755,$A6142)&gt;0,1,0))</f>
        <v>0</v>
      </c>
      <c r="N6142" s="16">
        <f>IF($A6142&lt;Notes!$B$5,"",IF(COUNTIFS(Release_Calendar!$A$2:$A$755,"NZ_GDP",Release_Calendar!$B$2:$B$755,$A6142)&gt;0,1,0))</f>
        <v>0</v>
      </c>
      <c r="O6142" s="16">
        <f>IF($A6142&lt;Notes!$B$5,"",IF(COUNTIFS(Release_Calendar!$A$2:$A$755,"NZ_LABOUR",Release_Calendar!$B$2:$B$755,$A6142)&gt;0,1,0))</f>
        <v>0</v>
      </c>
      <c r="P6142" s="16">
        <f t="shared" si="4"/>
        <v>0</v>
      </c>
    </row>
    <row r="6143" ht="15.75" customHeight="1">
      <c r="A6143" s="14">
        <v>45125.0</v>
      </c>
      <c r="B6143" s="15">
        <v>4.74</v>
      </c>
      <c r="C6143" s="15">
        <v>5.37</v>
      </c>
      <c r="D6143" s="15"/>
      <c r="E6143" s="15">
        <v>5.19</v>
      </c>
      <c r="F6143" s="15">
        <f t="shared" si="1"/>
        <v>0.63</v>
      </c>
      <c r="G6143" s="15">
        <f t="shared" si="2"/>
        <v>5.37</v>
      </c>
      <c r="H6143" s="16">
        <v>0.0</v>
      </c>
      <c r="I6143" s="15">
        <f t="shared" si="3"/>
        <v>0.63</v>
      </c>
      <c r="J6143" s="15">
        <v>13.3</v>
      </c>
      <c r="K6143" s="16">
        <f>IF(COUNTIFS(Release_Calendar!$A$2:$A$755,"US_CPI",Release_Calendar!$B$2:$B$755,$A6143)&gt;0,1,0)</f>
        <v>0</v>
      </c>
      <c r="L6143" s="16">
        <f>IF(COUNTIFS(Release_Calendar!$A$2:$A$755,"US_NFP",Release_Calendar!$B$2:$B$755,$A6143)&gt;0,1,0)</f>
        <v>0</v>
      </c>
      <c r="M6143" s="16">
        <f>IF($A6143&lt;Notes!$B$5,"",IF(COUNTIFS(Release_Calendar!$A$2:$A$755,"NZ_CPI",Release_Calendar!$B$2:$B$755,$A6143)&gt;0,1,0))</f>
        <v>0</v>
      </c>
      <c r="N6143" s="16">
        <f>IF($A6143&lt;Notes!$B$5,"",IF(COUNTIFS(Release_Calendar!$A$2:$A$755,"NZ_GDP",Release_Calendar!$B$2:$B$755,$A6143)&gt;0,1,0))</f>
        <v>0</v>
      </c>
      <c r="O6143" s="16">
        <f>IF($A6143&lt;Notes!$B$5,"",IF(COUNTIFS(Release_Calendar!$A$2:$A$755,"NZ_LABOUR",Release_Calendar!$B$2:$B$755,$A6143)&gt;0,1,0))</f>
        <v>0</v>
      </c>
      <c r="P6143" s="16">
        <f t="shared" si="4"/>
        <v>0</v>
      </c>
    </row>
    <row r="6144" ht="15.75" customHeight="1">
      <c r="A6144" s="14">
        <v>45126.0</v>
      </c>
      <c r="B6144" s="15">
        <v>4.74</v>
      </c>
      <c r="C6144" s="15">
        <v>5.43</v>
      </c>
      <c r="D6144" s="15"/>
      <c r="E6144" s="15">
        <v>5.24</v>
      </c>
      <c r="F6144" s="15">
        <f t="shared" si="1"/>
        <v>0.69</v>
      </c>
      <c r="G6144" s="15">
        <f t="shared" si="2"/>
        <v>5.43</v>
      </c>
      <c r="H6144" s="16">
        <v>0.0</v>
      </c>
      <c r="I6144" s="15">
        <f t="shared" si="3"/>
        <v>0.69</v>
      </c>
      <c r="J6144" s="15">
        <v>13.76</v>
      </c>
      <c r="K6144" s="16">
        <f>IF(COUNTIFS(Release_Calendar!$A$2:$A$755,"US_CPI",Release_Calendar!$B$2:$B$755,$A6144)&gt;0,1,0)</f>
        <v>0</v>
      </c>
      <c r="L6144" s="16">
        <f>IF(COUNTIFS(Release_Calendar!$A$2:$A$755,"US_NFP",Release_Calendar!$B$2:$B$755,$A6144)&gt;0,1,0)</f>
        <v>0</v>
      </c>
      <c r="M6144" s="16">
        <f>IF($A6144&lt;Notes!$B$5,"",IF(COUNTIFS(Release_Calendar!$A$2:$A$755,"NZ_CPI",Release_Calendar!$B$2:$B$755,$A6144)&gt;0,1,0))</f>
        <v>1</v>
      </c>
      <c r="N6144" s="16">
        <f>IF($A6144&lt;Notes!$B$5,"",IF(COUNTIFS(Release_Calendar!$A$2:$A$755,"NZ_GDP",Release_Calendar!$B$2:$B$755,$A6144)&gt;0,1,0))</f>
        <v>0</v>
      </c>
      <c r="O6144" s="16">
        <f>IF($A6144&lt;Notes!$B$5,"",IF(COUNTIFS(Release_Calendar!$A$2:$A$755,"NZ_LABOUR",Release_Calendar!$B$2:$B$755,$A6144)&gt;0,1,0))</f>
        <v>0</v>
      </c>
      <c r="P6144" s="16">
        <f t="shared" si="4"/>
        <v>1</v>
      </c>
    </row>
    <row r="6145" ht="15.75" customHeight="1">
      <c r="A6145" s="14">
        <v>45127.0</v>
      </c>
      <c r="B6145" s="15">
        <v>4.8</v>
      </c>
      <c r="C6145" s="15">
        <v>5.5</v>
      </c>
      <c r="D6145" s="15"/>
      <c r="E6145" s="15">
        <v>5.32</v>
      </c>
      <c r="F6145" s="15">
        <f t="shared" si="1"/>
        <v>0.7</v>
      </c>
      <c r="G6145" s="15">
        <f t="shared" si="2"/>
        <v>5.5</v>
      </c>
      <c r="H6145" s="16">
        <v>0.0</v>
      </c>
      <c r="I6145" s="15">
        <f t="shared" si="3"/>
        <v>0.7</v>
      </c>
      <c r="J6145" s="15">
        <v>13.99</v>
      </c>
      <c r="K6145" s="16">
        <f>IF(COUNTIFS(Release_Calendar!$A$2:$A$755,"US_CPI",Release_Calendar!$B$2:$B$755,$A6145)&gt;0,1,0)</f>
        <v>0</v>
      </c>
      <c r="L6145" s="16">
        <f>IF(COUNTIFS(Release_Calendar!$A$2:$A$755,"US_NFP",Release_Calendar!$B$2:$B$755,$A6145)&gt;0,1,0)</f>
        <v>0</v>
      </c>
      <c r="M6145" s="16">
        <f>IF($A6145&lt;Notes!$B$5,"",IF(COUNTIFS(Release_Calendar!$A$2:$A$755,"NZ_CPI",Release_Calendar!$B$2:$B$755,$A6145)&gt;0,1,0))</f>
        <v>0</v>
      </c>
      <c r="N6145" s="16">
        <f>IF($A6145&lt;Notes!$B$5,"",IF(COUNTIFS(Release_Calendar!$A$2:$A$755,"NZ_GDP",Release_Calendar!$B$2:$B$755,$A6145)&gt;0,1,0))</f>
        <v>0</v>
      </c>
      <c r="O6145" s="16">
        <f>IF($A6145&lt;Notes!$B$5,"",IF(COUNTIFS(Release_Calendar!$A$2:$A$755,"NZ_LABOUR",Release_Calendar!$B$2:$B$755,$A6145)&gt;0,1,0))</f>
        <v>0</v>
      </c>
      <c r="P6145" s="16">
        <f t="shared" si="4"/>
        <v>0</v>
      </c>
    </row>
    <row r="6146" ht="15.75" customHeight="1">
      <c r="A6146" s="14">
        <v>45128.0</v>
      </c>
      <c r="B6146" s="15">
        <v>4.82</v>
      </c>
      <c r="C6146" s="15">
        <v>5.53</v>
      </c>
      <c r="D6146" s="15"/>
      <c r="E6146" s="15">
        <v>5.39</v>
      </c>
      <c r="F6146" s="15">
        <f t="shared" si="1"/>
        <v>0.71</v>
      </c>
      <c r="G6146" s="15">
        <f t="shared" si="2"/>
        <v>5.53</v>
      </c>
      <c r="H6146" s="16">
        <v>0.0</v>
      </c>
      <c r="I6146" s="15">
        <f t="shared" si="3"/>
        <v>0.71</v>
      </c>
      <c r="J6146" s="15">
        <v>13.6</v>
      </c>
      <c r="K6146" s="16">
        <f>IF(COUNTIFS(Release_Calendar!$A$2:$A$755,"US_CPI",Release_Calendar!$B$2:$B$755,$A6146)&gt;0,1,0)</f>
        <v>0</v>
      </c>
      <c r="L6146" s="16">
        <f>IF(COUNTIFS(Release_Calendar!$A$2:$A$755,"US_NFP",Release_Calendar!$B$2:$B$755,$A6146)&gt;0,1,0)</f>
        <v>0</v>
      </c>
      <c r="M6146" s="16">
        <f>IF($A6146&lt;Notes!$B$5,"",IF(COUNTIFS(Release_Calendar!$A$2:$A$755,"NZ_CPI",Release_Calendar!$B$2:$B$755,$A6146)&gt;0,1,0))</f>
        <v>0</v>
      </c>
      <c r="N6146" s="16">
        <f>IF($A6146&lt;Notes!$B$5,"",IF(COUNTIFS(Release_Calendar!$A$2:$A$755,"NZ_GDP",Release_Calendar!$B$2:$B$755,$A6146)&gt;0,1,0))</f>
        <v>0</v>
      </c>
      <c r="O6146" s="16">
        <f>IF($A6146&lt;Notes!$B$5,"",IF(COUNTIFS(Release_Calendar!$A$2:$A$755,"NZ_LABOUR",Release_Calendar!$B$2:$B$755,$A6146)&gt;0,1,0))</f>
        <v>0</v>
      </c>
      <c r="P6146" s="16">
        <f t="shared" si="4"/>
        <v>0</v>
      </c>
    </row>
    <row r="6147" ht="15.75" customHeight="1">
      <c r="A6147" s="14">
        <v>45131.0</v>
      </c>
      <c r="B6147" s="15">
        <v>4.81</v>
      </c>
      <c r="C6147" s="15">
        <v>5.48</v>
      </c>
      <c r="D6147" s="15"/>
      <c r="E6147" s="15">
        <v>5.36</v>
      </c>
      <c r="F6147" s="15">
        <f t="shared" si="1"/>
        <v>0.67</v>
      </c>
      <c r="G6147" s="15">
        <f t="shared" si="2"/>
        <v>5.48</v>
      </c>
      <c r="H6147" s="16">
        <v>0.0</v>
      </c>
      <c r="I6147" s="15">
        <f t="shared" si="3"/>
        <v>0.67</v>
      </c>
      <c r="J6147" s="15">
        <v>13.91</v>
      </c>
      <c r="K6147" s="16">
        <f>IF(COUNTIFS(Release_Calendar!$A$2:$A$755,"US_CPI",Release_Calendar!$B$2:$B$755,$A6147)&gt;0,1,0)</f>
        <v>0</v>
      </c>
      <c r="L6147" s="16">
        <f>IF(COUNTIFS(Release_Calendar!$A$2:$A$755,"US_NFP",Release_Calendar!$B$2:$B$755,$A6147)&gt;0,1,0)</f>
        <v>0</v>
      </c>
      <c r="M6147" s="16">
        <f>IF($A6147&lt;Notes!$B$5,"",IF(COUNTIFS(Release_Calendar!$A$2:$A$755,"NZ_CPI",Release_Calendar!$B$2:$B$755,$A6147)&gt;0,1,0))</f>
        <v>0</v>
      </c>
      <c r="N6147" s="16">
        <f>IF($A6147&lt;Notes!$B$5,"",IF(COUNTIFS(Release_Calendar!$A$2:$A$755,"NZ_GDP",Release_Calendar!$B$2:$B$755,$A6147)&gt;0,1,0))</f>
        <v>0</v>
      </c>
      <c r="O6147" s="16">
        <f>IF($A6147&lt;Notes!$B$5,"",IF(COUNTIFS(Release_Calendar!$A$2:$A$755,"NZ_LABOUR",Release_Calendar!$B$2:$B$755,$A6147)&gt;0,1,0))</f>
        <v>0</v>
      </c>
      <c r="P6147" s="16">
        <f t="shared" si="4"/>
        <v>0</v>
      </c>
    </row>
    <row r="6148" ht="15.75" customHeight="1">
      <c r="A6148" s="14">
        <v>45132.0</v>
      </c>
      <c r="B6148" s="15">
        <v>4.85</v>
      </c>
      <c r="C6148" s="15">
        <v>5.47</v>
      </c>
      <c r="D6148" s="15"/>
      <c r="E6148" s="15">
        <v>5.38</v>
      </c>
      <c r="F6148" s="15">
        <f t="shared" si="1"/>
        <v>0.62</v>
      </c>
      <c r="G6148" s="15">
        <f t="shared" si="2"/>
        <v>5.47</v>
      </c>
      <c r="H6148" s="16">
        <v>0.0</v>
      </c>
      <c r="I6148" s="15">
        <f t="shared" si="3"/>
        <v>0.62</v>
      </c>
      <c r="J6148" s="15">
        <v>13.86</v>
      </c>
      <c r="K6148" s="16">
        <f>IF(COUNTIFS(Release_Calendar!$A$2:$A$755,"US_CPI",Release_Calendar!$B$2:$B$755,$A6148)&gt;0,1,0)</f>
        <v>0</v>
      </c>
      <c r="L6148" s="16">
        <f>IF(COUNTIFS(Release_Calendar!$A$2:$A$755,"US_NFP",Release_Calendar!$B$2:$B$755,$A6148)&gt;0,1,0)</f>
        <v>0</v>
      </c>
      <c r="M6148" s="16">
        <f>IF($A6148&lt;Notes!$B$5,"",IF(COUNTIFS(Release_Calendar!$A$2:$A$755,"NZ_CPI",Release_Calendar!$B$2:$B$755,$A6148)&gt;0,1,0))</f>
        <v>0</v>
      </c>
      <c r="N6148" s="16">
        <f>IF($A6148&lt;Notes!$B$5,"",IF(COUNTIFS(Release_Calendar!$A$2:$A$755,"NZ_GDP",Release_Calendar!$B$2:$B$755,$A6148)&gt;0,1,0))</f>
        <v>0</v>
      </c>
      <c r="O6148" s="16">
        <f>IF($A6148&lt;Notes!$B$5,"",IF(COUNTIFS(Release_Calendar!$A$2:$A$755,"NZ_LABOUR",Release_Calendar!$B$2:$B$755,$A6148)&gt;0,1,0))</f>
        <v>0</v>
      </c>
      <c r="P6148" s="16">
        <f t="shared" si="4"/>
        <v>0</v>
      </c>
    </row>
    <row r="6149" ht="15.75" customHeight="1">
      <c r="A6149" s="14">
        <v>45133.0</v>
      </c>
      <c r="B6149" s="15">
        <v>4.82</v>
      </c>
      <c r="C6149" s="15">
        <v>5.46</v>
      </c>
      <c r="D6149" s="15"/>
      <c r="E6149" s="15">
        <v>5.37</v>
      </c>
      <c r="F6149" s="15">
        <f t="shared" si="1"/>
        <v>0.64</v>
      </c>
      <c r="G6149" s="15">
        <f t="shared" si="2"/>
        <v>5.46</v>
      </c>
      <c r="H6149" s="16">
        <v>0.0</v>
      </c>
      <c r="I6149" s="15">
        <f t="shared" si="3"/>
        <v>0.64</v>
      </c>
      <c r="J6149" s="15">
        <v>13.19</v>
      </c>
      <c r="K6149" s="16">
        <f>IF(COUNTIFS(Release_Calendar!$A$2:$A$755,"US_CPI",Release_Calendar!$B$2:$B$755,$A6149)&gt;0,1,0)</f>
        <v>0</v>
      </c>
      <c r="L6149" s="16">
        <f>IF(COUNTIFS(Release_Calendar!$A$2:$A$755,"US_NFP",Release_Calendar!$B$2:$B$755,$A6149)&gt;0,1,0)</f>
        <v>0</v>
      </c>
      <c r="M6149" s="16">
        <f>IF($A6149&lt;Notes!$B$5,"",IF(COUNTIFS(Release_Calendar!$A$2:$A$755,"NZ_CPI",Release_Calendar!$B$2:$B$755,$A6149)&gt;0,1,0))</f>
        <v>0</v>
      </c>
      <c r="N6149" s="16">
        <f>IF($A6149&lt;Notes!$B$5,"",IF(COUNTIFS(Release_Calendar!$A$2:$A$755,"NZ_GDP",Release_Calendar!$B$2:$B$755,$A6149)&gt;0,1,0))</f>
        <v>0</v>
      </c>
      <c r="O6149" s="16">
        <f>IF($A6149&lt;Notes!$B$5,"",IF(COUNTIFS(Release_Calendar!$A$2:$A$755,"NZ_LABOUR",Release_Calendar!$B$2:$B$755,$A6149)&gt;0,1,0))</f>
        <v>0</v>
      </c>
      <c r="P6149" s="16">
        <f t="shared" si="4"/>
        <v>0</v>
      </c>
    </row>
    <row r="6150" ht="15.75" customHeight="1">
      <c r="A6150" s="14">
        <v>45134.0</v>
      </c>
      <c r="B6150" s="15">
        <v>4.91</v>
      </c>
      <c r="C6150" s="15">
        <v>5.43</v>
      </c>
      <c r="D6150" s="15"/>
      <c r="E6150" s="15">
        <v>5.36</v>
      </c>
      <c r="F6150" s="15">
        <f t="shared" si="1"/>
        <v>0.52</v>
      </c>
      <c r="G6150" s="15">
        <f t="shared" si="2"/>
        <v>5.43</v>
      </c>
      <c r="H6150" s="16">
        <v>0.0</v>
      </c>
      <c r="I6150" s="15">
        <f t="shared" si="3"/>
        <v>0.52</v>
      </c>
      <c r="J6150" s="15">
        <v>14.41</v>
      </c>
      <c r="K6150" s="16">
        <f>IF(COUNTIFS(Release_Calendar!$A$2:$A$755,"US_CPI",Release_Calendar!$B$2:$B$755,$A6150)&gt;0,1,0)</f>
        <v>0</v>
      </c>
      <c r="L6150" s="16">
        <f>IF(COUNTIFS(Release_Calendar!$A$2:$A$755,"US_NFP",Release_Calendar!$B$2:$B$755,$A6150)&gt;0,1,0)</f>
        <v>0</v>
      </c>
      <c r="M6150" s="16">
        <f>IF($A6150&lt;Notes!$B$5,"",IF(COUNTIFS(Release_Calendar!$A$2:$A$755,"NZ_CPI",Release_Calendar!$B$2:$B$755,$A6150)&gt;0,1,0))</f>
        <v>0</v>
      </c>
      <c r="N6150" s="16">
        <f>IF($A6150&lt;Notes!$B$5,"",IF(COUNTIFS(Release_Calendar!$A$2:$A$755,"NZ_GDP",Release_Calendar!$B$2:$B$755,$A6150)&gt;0,1,0))</f>
        <v>0</v>
      </c>
      <c r="O6150" s="16">
        <f>IF($A6150&lt;Notes!$B$5,"",IF(COUNTIFS(Release_Calendar!$A$2:$A$755,"NZ_LABOUR",Release_Calendar!$B$2:$B$755,$A6150)&gt;0,1,0))</f>
        <v>0</v>
      </c>
      <c r="P6150" s="16">
        <f t="shared" si="4"/>
        <v>0</v>
      </c>
    </row>
    <row r="6151" ht="15.75" customHeight="1">
      <c r="A6151" s="14">
        <v>45135.0</v>
      </c>
      <c r="B6151" s="15">
        <v>4.87</v>
      </c>
      <c r="C6151" s="15">
        <v>5.5</v>
      </c>
      <c r="D6151" s="15"/>
      <c r="E6151" s="15">
        <v>5.4</v>
      </c>
      <c r="F6151" s="15">
        <f t="shared" si="1"/>
        <v>0.63</v>
      </c>
      <c r="G6151" s="15">
        <f t="shared" si="2"/>
        <v>5.5</v>
      </c>
      <c r="H6151" s="16">
        <v>0.0</v>
      </c>
      <c r="I6151" s="15">
        <f t="shared" si="3"/>
        <v>0.63</v>
      </c>
      <c r="J6151" s="15">
        <v>13.33</v>
      </c>
      <c r="K6151" s="16">
        <f>IF(COUNTIFS(Release_Calendar!$A$2:$A$755,"US_CPI",Release_Calendar!$B$2:$B$755,$A6151)&gt;0,1,0)</f>
        <v>0</v>
      </c>
      <c r="L6151" s="16">
        <f>IF(COUNTIFS(Release_Calendar!$A$2:$A$755,"US_NFP",Release_Calendar!$B$2:$B$755,$A6151)&gt;0,1,0)</f>
        <v>0</v>
      </c>
      <c r="M6151" s="16">
        <f>IF($A6151&lt;Notes!$B$5,"",IF(COUNTIFS(Release_Calendar!$A$2:$A$755,"NZ_CPI",Release_Calendar!$B$2:$B$755,$A6151)&gt;0,1,0))</f>
        <v>0</v>
      </c>
      <c r="N6151" s="16">
        <f>IF($A6151&lt;Notes!$B$5,"",IF(COUNTIFS(Release_Calendar!$A$2:$A$755,"NZ_GDP",Release_Calendar!$B$2:$B$755,$A6151)&gt;0,1,0))</f>
        <v>0</v>
      </c>
      <c r="O6151" s="16">
        <f>IF($A6151&lt;Notes!$B$5,"",IF(COUNTIFS(Release_Calendar!$A$2:$A$755,"NZ_LABOUR",Release_Calendar!$B$2:$B$755,$A6151)&gt;0,1,0))</f>
        <v>0</v>
      </c>
      <c r="P6151" s="16">
        <f t="shared" si="4"/>
        <v>0</v>
      </c>
    </row>
    <row r="6152" ht="15.75" customHeight="1">
      <c r="A6152" s="14">
        <v>45138.0</v>
      </c>
      <c r="B6152" s="15">
        <v>4.88</v>
      </c>
      <c r="C6152" s="15">
        <v>5.47</v>
      </c>
      <c r="D6152" s="15"/>
      <c r="E6152" s="15">
        <v>5.37</v>
      </c>
      <c r="F6152" s="15">
        <f t="shared" si="1"/>
        <v>0.59</v>
      </c>
      <c r="G6152" s="15">
        <f t="shared" si="2"/>
        <v>5.47</v>
      </c>
      <c r="H6152" s="16">
        <v>0.0</v>
      </c>
      <c r="I6152" s="15">
        <f t="shared" si="3"/>
        <v>0.59</v>
      </c>
      <c r="J6152" s="15">
        <v>13.63</v>
      </c>
      <c r="K6152" s="16">
        <f>IF(COUNTIFS(Release_Calendar!$A$2:$A$755,"US_CPI",Release_Calendar!$B$2:$B$755,$A6152)&gt;0,1,0)</f>
        <v>0</v>
      </c>
      <c r="L6152" s="16">
        <f>IF(COUNTIFS(Release_Calendar!$A$2:$A$755,"US_NFP",Release_Calendar!$B$2:$B$755,$A6152)&gt;0,1,0)</f>
        <v>0</v>
      </c>
      <c r="M6152" s="16">
        <f>IF($A6152&lt;Notes!$B$5,"",IF(COUNTIFS(Release_Calendar!$A$2:$A$755,"NZ_CPI",Release_Calendar!$B$2:$B$755,$A6152)&gt;0,1,0))</f>
        <v>0</v>
      </c>
      <c r="N6152" s="16">
        <f>IF($A6152&lt;Notes!$B$5,"",IF(COUNTIFS(Release_Calendar!$A$2:$A$755,"NZ_GDP",Release_Calendar!$B$2:$B$755,$A6152)&gt;0,1,0))</f>
        <v>0</v>
      </c>
      <c r="O6152" s="16">
        <f>IF($A6152&lt;Notes!$B$5,"",IF(COUNTIFS(Release_Calendar!$A$2:$A$755,"NZ_LABOUR",Release_Calendar!$B$2:$B$755,$A6152)&gt;0,1,0))</f>
        <v>0</v>
      </c>
      <c r="P6152" s="16">
        <f t="shared" si="4"/>
        <v>0</v>
      </c>
    </row>
    <row r="6153" ht="15.75" customHeight="1">
      <c r="A6153" s="14">
        <v>45139.0</v>
      </c>
      <c r="B6153" s="15">
        <v>4.92</v>
      </c>
      <c r="C6153" s="15">
        <v>5.5</v>
      </c>
      <c r="D6153" s="15"/>
      <c r="E6153" s="15">
        <v>5.4</v>
      </c>
      <c r="F6153" s="15">
        <f t="shared" si="1"/>
        <v>0.58</v>
      </c>
      <c r="G6153" s="15">
        <f t="shared" si="2"/>
        <v>5.5</v>
      </c>
      <c r="H6153" s="16">
        <v>0.0</v>
      </c>
      <c r="I6153" s="15">
        <f t="shared" si="3"/>
        <v>0.58</v>
      </c>
      <c r="J6153" s="15">
        <v>13.93</v>
      </c>
      <c r="K6153" s="16">
        <f>IF(COUNTIFS(Release_Calendar!$A$2:$A$755,"US_CPI",Release_Calendar!$B$2:$B$755,$A6153)&gt;0,1,0)</f>
        <v>0</v>
      </c>
      <c r="L6153" s="16">
        <f>IF(COUNTIFS(Release_Calendar!$A$2:$A$755,"US_NFP",Release_Calendar!$B$2:$B$755,$A6153)&gt;0,1,0)</f>
        <v>0</v>
      </c>
      <c r="M6153" s="16">
        <f>IF($A6153&lt;Notes!$B$5,"",IF(COUNTIFS(Release_Calendar!$A$2:$A$755,"NZ_CPI",Release_Calendar!$B$2:$B$755,$A6153)&gt;0,1,0))</f>
        <v>0</v>
      </c>
      <c r="N6153" s="16">
        <f>IF($A6153&lt;Notes!$B$5,"",IF(COUNTIFS(Release_Calendar!$A$2:$A$755,"NZ_GDP",Release_Calendar!$B$2:$B$755,$A6153)&gt;0,1,0))</f>
        <v>0</v>
      </c>
      <c r="O6153" s="16">
        <f>IF($A6153&lt;Notes!$B$5,"",IF(COUNTIFS(Release_Calendar!$A$2:$A$755,"NZ_LABOUR",Release_Calendar!$B$2:$B$755,$A6153)&gt;0,1,0))</f>
        <v>0</v>
      </c>
      <c r="P6153" s="16">
        <f t="shared" si="4"/>
        <v>0</v>
      </c>
    </row>
    <row r="6154" ht="15.75" customHeight="1">
      <c r="A6154" s="14">
        <v>45140.0</v>
      </c>
      <c r="B6154" s="15">
        <v>4.88</v>
      </c>
      <c r="C6154" s="15">
        <v>5.47</v>
      </c>
      <c r="D6154" s="15"/>
      <c r="E6154" s="15">
        <v>5.38</v>
      </c>
      <c r="F6154" s="15">
        <f t="shared" si="1"/>
        <v>0.59</v>
      </c>
      <c r="G6154" s="15">
        <f t="shared" si="2"/>
        <v>5.47</v>
      </c>
      <c r="H6154" s="16">
        <v>0.0</v>
      </c>
      <c r="I6154" s="15">
        <f t="shared" si="3"/>
        <v>0.59</v>
      </c>
      <c r="J6154" s="15">
        <v>16.09</v>
      </c>
      <c r="K6154" s="16">
        <f>IF(COUNTIFS(Release_Calendar!$A$2:$A$755,"US_CPI",Release_Calendar!$B$2:$B$755,$A6154)&gt;0,1,0)</f>
        <v>0</v>
      </c>
      <c r="L6154" s="16">
        <f>IF(COUNTIFS(Release_Calendar!$A$2:$A$755,"US_NFP",Release_Calendar!$B$2:$B$755,$A6154)&gt;0,1,0)</f>
        <v>0</v>
      </c>
      <c r="M6154" s="16">
        <f>IF($A6154&lt;Notes!$B$5,"",IF(COUNTIFS(Release_Calendar!$A$2:$A$755,"NZ_CPI",Release_Calendar!$B$2:$B$755,$A6154)&gt;0,1,0))</f>
        <v>0</v>
      </c>
      <c r="N6154" s="16">
        <f>IF($A6154&lt;Notes!$B$5,"",IF(COUNTIFS(Release_Calendar!$A$2:$A$755,"NZ_GDP",Release_Calendar!$B$2:$B$755,$A6154)&gt;0,1,0))</f>
        <v>0</v>
      </c>
      <c r="O6154" s="16">
        <f>IF($A6154&lt;Notes!$B$5,"",IF(COUNTIFS(Release_Calendar!$A$2:$A$755,"NZ_LABOUR",Release_Calendar!$B$2:$B$755,$A6154)&gt;0,1,0))</f>
        <v>1</v>
      </c>
      <c r="P6154" s="16">
        <f t="shared" si="4"/>
        <v>1</v>
      </c>
    </row>
    <row r="6155" ht="15.75" customHeight="1">
      <c r="A6155" s="14">
        <v>45141.0</v>
      </c>
      <c r="B6155" s="15">
        <v>4.9</v>
      </c>
      <c r="C6155" s="15">
        <v>5.46</v>
      </c>
      <c r="D6155" s="15"/>
      <c r="E6155" s="15">
        <v>5.38</v>
      </c>
      <c r="F6155" s="15">
        <f t="shared" si="1"/>
        <v>0.56</v>
      </c>
      <c r="G6155" s="15">
        <f t="shared" si="2"/>
        <v>5.46</v>
      </c>
      <c r="H6155" s="16">
        <v>0.0</v>
      </c>
      <c r="I6155" s="15">
        <f t="shared" si="3"/>
        <v>0.56</v>
      </c>
      <c r="J6155" s="15">
        <v>15.92</v>
      </c>
      <c r="K6155" s="16">
        <f>IF(COUNTIFS(Release_Calendar!$A$2:$A$755,"US_CPI",Release_Calendar!$B$2:$B$755,$A6155)&gt;0,1,0)</f>
        <v>0</v>
      </c>
      <c r="L6155" s="16">
        <f>IF(COUNTIFS(Release_Calendar!$A$2:$A$755,"US_NFP",Release_Calendar!$B$2:$B$755,$A6155)&gt;0,1,0)</f>
        <v>0</v>
      </c>
      <c r="M6155" s="16">
        <f>IF($A6155&lt;Notes!$B$5,"",IF(COUNTIFS(Release_Calendar!$A$2:$A$755,"NZ_CPI",Release_Calendar!$B$2:$B$755,$A6155)&gt;0,1,0))</f>
        <v>0</v>
      </c>
      <c r="N6155" s="16">
        <f>IF($A6155&lt;Notes!$B$5,"",IF(COUNTIFS(Release_Calendar!$A$2:$A$755,"NZ_GDP",Release_Calendar!$B$2:$B$755,$A6155)&gt;0,1,0))</f>
        <v>0</v>
      </c>
      <c r="O6155" s="16">
        <f>IF($A6155&lt;Notes!$B$5,"",IF(COUNTIFS(Release_Calendar!$A$2:$A$755,"NZ_LABOUR",Release_Calendar!$B$2:$B$755,$A6155)&gt;0,1,0))</f>
        <v>0</v>
      </c>
      <c r="P6155" s="16">
        <f t="shared" si="4"/>
        <v>0</v>
      </c>
    </row>
    <row r="6156" ht="15.75" customHeight="1">
      <c r="A6156" s="14">
        <v>45142.0</v>
      </c>
      <c r="B6156" s="15">
        <v>4.78</v>
      </c>
      <c r="C6156" s="15">
        <v>5.51</v>
      </c>
      <c r="D6156" s="15"/>
      <c r="E6156" s="15">
        <v>5.43</v>
      </c>
      <c r="F6156" s="15">
        <f t="shared" si="1"/>
        <v>0.73</v>
      </c>
      <c r="G6156" s="15">
        <f t="shared" si="2"/>
        <v>5.51</v>
      </c>
      <c r="H6156" s="16">
        <v>0.0</v>
      </c>
      <c r="I6156" s="15">
        <f t="shared" si="3"/>
        <v>0.73</v>
      </c>
      <c r="J6156" s="15">
        <v>17.1</v>
      </c>
      <c r="K6156" s="16">
        <f>IF(COUNTIFS(Release_Calendar!$A$2:$A$755,"US_CPI",Release_Calendar!$B$2:$B$755,$A6156)&gt;0,1,0)</f>
        <v>0</v>
      </c>
      <c r="L6156" s="16">
        <f>IF(COUNTIFS(Release_Calendar!$A$2:$A$755,"US_NFP",Release_Calendar!$B$2:$B$755,$A6156)&gt;0,1,0)</f>
        <v>1</v>
      </c>
      <c r="M6156" s="16">
        <f>IF($A6156&lt;Notes!$B$5,"",IF(COUNTIFS(Release_Calendar!$A$2:$A$755,"NZ_CPI",Release_Calendar!$B$2:$B$755,$A6156)&gt;0,1,0))</f>
        <v>0</v>
      </c>
      <c r="N6156" s="16">
        <f>IF($A6156&lt;Notes!$B$5,"",IF(COUNTIFS(Release_Calendar!$A$2:$A$755,"NZ_GDP",Release_Calendar!$B$2:$B$755,$A6156)&gt;0,1,0))</f>
        <v>0</v>
      </c>
      <c r="O6156" s="16">
        <f>IF($A6156&lt;Notes!$B$5,"",IF(COUNTIFS(Release_Calendar!$A$2:$A$755,"NZ_LABOUR",Release_Calendar!$B$2:$B$755,$A6156)&gt;0,1,0))</f>
        <v>0</v>
      </c>
      <c r="P6156" s="16">
        <f t="shared" si="4"/>
        <v>1</v>
      </c>
    </row>
    <row r="6157" ht="15.75" customHeight="1">
      <c r="A6157" s="14">
        <v>45145.0</v>
      </c>
      <c r="B6157" s="15">
        <v>4.76</v>
      </c>
      <c r="C6157" s="15">
        <v>5.47</v>
      </c>
      <c r="D6157" s="15"/>
      <c r="E6157" s="15">
        <v>5.37</v>
      </c>
      <c r="F6157" s="15">
        <f t="shared" si="1"/>
        <v>0.71</v>
      </c>
      <c r="G6157" s="15">
        <f t="shared" si="2"/>
        <v>5.47</v>
      </c>
      <c r="H6157" s="16">
        <v>0.0</v>
      </c>
      <c r="I6157" s="15">
        <f t="shared" si="3"/>
        <v>0.71</v>
      </c>
      <c r="J6157" s="15">
        <v>15.77</v>
      </c>
      <c r="K6157" s="16">
        <f>IF(COUNTIFS(Release_Calendar!$A$2:$A$755,"US_CPI",Release_Calendar!$B$2:$B$755,$A6157)&gt;0,1,0)</f>
        <v>0</v>
      </c>
      <c r="L6157" s="16">
        <f>IF(COUNTIFS(Release_Calendar!$A$2:$A$755,"US_NFP",Release_Calendar!$B$2:$B$755,$A6157)&gt;0,1,0)</f>
        <v>0</v>
      </c>
      <c r="M6157" s="16">
        <f>IF($A6157&lt;Notes!$B$5,"",IF(COUNTIFS(Release_Calendar!$A$2:$A$755,"NZ_CPI",Release_Calendar!$B$2:$B$755,$A6157)&gt;0,1,0))</f>
        <v>0</v>
      </c>
      <c r="N6157" s="16">
        <f>IF($A6157&lt;Notes!$B$5,"",IF(COUNTIFS(Release_Calendar!$A$2:$A$755,"NZ_GDP",Release_Calendar!$B$2:$B$755,$A6157)&gt;0,1,0))</f>
        <v>0</v>
      </c>
      <c r="O6157" s="16">
        <f>IF($A6157&lt;Notes!$B$5,"",IF(COUNTIFS(Release_Calendar!$A$2:$A$755,"NZ_LABOUR",Release_Calendar!$B$2:$B$755,$A6157)&gt;0,1,0))</f>
        <v>0</v>
      </c>
      <c r="P6157" s="16">
        <f t="shared" si="4"/>
        <v>0</v>
      </c>
    </row>
    <row r="6158" ht="15.75" customHeight="1">
      <c r="A6158" s="14">
        <v>45146.0</v>
      </c>
      <c r="B6158" s="15">
        <v>4.74</v>
      </c>
      <c r="C6158" s="15">
        <v>5.49</v>
      </c>
      <c r="D6158" s="15"/>
      <c r="E6158" s="15">
        <v>5.41</v>
      </c>
      <c r="F6158" s="15">
        <f t="shared" si="1"/>
        <v>0.75</v>
      </c>
      <c r="G6158" s="15">
        <f t="shared" si="2"/>
        <v>5.49</v>
      </c>
      <c r="H6158" s="16">
        <v>0.0</v>
      </c>
      <c r="I6158" s="15">
        <f t="shared" si="3"/>
        <v>0.75</v>
      </c>
      <c r="J6158" s="15">
        <v>15.99</v>
      </c>
      <c r="K6158" s="16">
        <f>IF(COUNTIFS(Release_Calendar!$A$2:$A$755,"US_CPI",Release_Calendar!$B$2:$B$755,$A6158)&gt;0,1,0)</f>
        <v>0</v>
      </c>
      <c r="L6158" s="16">
        <f>IF(COUNTIFS(Release_Calendar!$A$2:$A$755,"US_NFP",Release_Calendar!$B$2:$B$755,$A6158)&gt;0,1,0)</f>
        <v>0</v>
      </c>
      <c r="M6158" s="16">
        <f>IF($A6158&lt;Notes!$B$5,"",IF(COUNTIFS(Release_Calendar!$A$2:$A$755,"NZ_CPI",Release_Calendar!$B$2:$B$755,$A6158)&gt;0,1,0))</f>
        <v>0</v>
      </c>
      <c r="N6158" s="16">
        <f>IF($A6158&lt;Notes!$B$5,"",IF(COUNTIFS(Release_Calendar!$A$2:$A$755,"NZ_GDP",Release_Calendar!$B$2:$B$755,$A6158)&gt;0,1,0))</f>
        <v>0</v>
      </c>
      <c r="O6158" s="16">
        <f>IF($A6158&lt;Notes!$B$5,"",IF(COUNTIFS(Release_Calendar!$A$2:$A$755,"NZ_LABOUR",Release_Calendar!$B$2:$B$755,$A6158)&gt;0,1,0))</f>
        <v>0</v>
      </c>
      <c r="P6158" s="16">
        <f t="shared" si="4"/>
        <v>0</v>
      </c>
    </row>
    <row r="6159" ht="15.75" customHeight="1">
      <c r="A6159" s="14">
        <v>45147.0</v>
      </c>
      <c r="B6159" s="15">
        <v>4.79</v>
      </c>
      <c r="C6159" s="15">
        <v>5.48</v>
      </c>
      <c r="D6159" s="15"/>
      <c r="E6159" s="15">
        <v>5.41</v>
      </c>
      <c r="F6159" s="15">
        <f t="shared" si="1"/>
        <v>0.69</v>
      </c>
      <c r="G6159" s="15">
        <f t="shared" si="2"/>
        <v>5.48</v>
      </c>
      <c r="H6159" s="16">
        <v>0.0</v>
      </c>
      <c r="I6159" s="15">
        <f t="shared" si="3"/>
        <v>0.69</v>
      </c>
      <c r="J6159" s="15">
        <v>15.96</v>
      </c>
      <c r="K6159" s="16">
        <f>IF(COUNTIFS(Release_Calendar!$A$2:$A$755,"US_CPI",Release_Calendar!$B$2:$B$755,$A6159)&gt;0,1,0)</f>
        <v>0</v>
      </c>
      <c r="L6159" s="16">
        <f>IF(COUNTIFS(Release_Calendar!$A$2:$A$755,"US_NFP",Release_Calendar!$B$2:$B$755,$A6159)&gt;0,1,0)</f>
        <v>0</v>
      </c>
      <c r="M6159" s="16">
        <f>IF($A6159&lt;Notes!$B$5,"",IF(COUNTIFS(Release_Calendar!$A$2:$A$755,"NZ_CPI",Release_Calendar!$B$2:$B$755,$A6159)&gt;0,1,0))</f>
        <v>0</v>
      </c>
      <c r="N6159" s="16">
        <f>IF($A6159&lt;Notes!$B$5,"",IF(COUNTIFS(Release_Calendar!$A$2:$A$755,"NZ_GDP",Release_Calendar!$B$2:$B$755,$A6159)&gt;0,1,0))</f>
        <v>0</v>
      </c>
      <c r="O6159" s="16">
        <f>IF($A6159&lt;Notes!$B$5,"",IF(COUNTIFS(Release_Calendar!$A$2:$A$755,"NZ_LABOUR",Release_Calendar!$B$2:$B$755,$A6159)&gt;0,1,0))</f>
        <v>0</v>
      </c>
      <c r="P6159" s="16">
        <f t="shared" si="4"/>
        <v>0</v>
      </c>
    </row>
    <row r="6160" ht="15.75" customHeight="1">
      <c r="A6160" s="14">
        <v>45148.0</v>
      </c>
      <c r="B6160" s="15">
        <v>4.82</v>
      </c>
      <c r="C6160" s="15">
        <v>5.5</v>
      </c>
      <c r="D6160" s="15"/>
      <c r="E6160" s="15">
        <v>5.43</v>
      </c>
      <c r="F6160" s="15">
        <f t="shared" si="1"/>
        <v>0.68</v>
      </c>
      <c r="G6160" s="15">
        <f t="shared" si="2"/>
        <v>5.5</v>
      </c>
      <c r="H6160" s="16">
        <v>0.0</v>
      </c>
      <c r="I6160" s="15">
        <f t="shared" si="3"/>
        <v>0.68</v>
      </c>
      <c r="J6160" s="15">
        <v>15.85</v>
      </c>
      <c r="K6160" s="16">
        <f>IF(COUNTIFS(Release_Calendar!$A$2:$A$755,"US_CPI",Release_Calendar!$B$2:$B$755,$A6160)&gt;0,1,0)</f>
        <v>1</v>
      </c>
      <c r="L6160" s="16">
        <f>IF(COUNTIFS(Release_Calendar!$A$2:$A$755,"US_NFP",Release_Calendar!$B$2:$B$755,$A6160)&gt;0,1,0)</f>
        <v>0</v>
      </c>
      <c r="M6160" s="16">
        <f>IF($A6160&lt;Notes!$B$5,"",IF(COUNTIFS(Release_Calendar!$A$2:$A$755,"NZ_CPI",Release_Calendar!$B$2:$B$755,$A6160)&gt;0,1,0))</f>
        <v>0</v>
      </c>
      <c r="N6160" s="16">
        <f>IF($A6160&lt;Notes!$B$5,"",IF(COUNTIFS(Release_Calendar!$A$2:$A$755,"NZ_GDP",Release_Calendar!$B$2:$B$755,$A6160)&gt;0,1,0))</f>
        <v>0</v>
      </c>
      <c r="O6160" s="16">
        <f>IF($A6160&lt;Notes!$B$5,"",IF(COUNTIFS(Release_Calendar!$A$2:$A$755,"NZ_LABOUR",Release_Calendar!$B$2:$B$755,$A6160)&gt;0,1,0))</f>
        <v>0</v>
      </c>
      <c r="P6160" s="16">
        <f t="shared" si="4"/>
        <v>1</v>
      </c>
    </row>
    <row r="6161" ht="15.75" customHeight="1">
      <c r="A6161" s="14">
        <v>45149.0</v>
      </c>
      <c r="B6161" s="15">
        <v>4.89</v>
      </c>
      <c r="C6161" s="15">
        <v>5.49</v>
      </c>
      <c r="D6161" s="15"/>
      <c r="E6161" s="15">
        <v>5.42</v>
      </c>
      <c r="F6161" s="15">
        <f t="shared" si="1"/>
        <v>0.6</v>
      </c>
      <c r="G6161" s="15">
        <f t="shared" si="2"/>
        <v>5.49</v>
      </c>
      <c r="H6161" s="16">
        <v>0.0</v>
      </c>
      <c r="I6161" s="15">
        <f t="shared" si="3"/>
        <v>0.6</v>
      </c>
      <c r="J6161" s="15">
        <v>14.84</v>
      </c>
      <c r="K6161" s="16">
        <f>IF(COUNTIFS(Release_Calendar!$A$2:$A$755,"US_CPI",Release_Calendar!$B$2:$B$755,$A6161)&gt;0,1,0)</f>
        <v>0</v>
      </c>
      <c r="L6161" s="16">
        <f>IF(COUNTIFS(Release_Calendar!$A$2:$A$755,"US_NFP",Release_Calendar!$B$2:$B$755,$A6161)&gt;0,1,0)</f>
        <v>0</v>
      </c>
      <c r="M6161" s="16">
        <f>IF($A6161&lt;Notes!$B$5,"",IF(COUNTIFS(Release_Calendar!$A$2:$A$755,"NZ_CPI",Release_Calendar!$B$2:$B$755,$A6161)&gt;0,1,0))</f>
        <v>0</v>
      </c>
      <c r="N6161" s="16">
        <f>IF($A6161&lt;Notes!$B$5,"",IF(COUNTIFS(Release_Calendar!$A$2:$A$755,"NZ_GDP",Release_Calendar!$B$2:$B$755,$A6161)&gt;0,1,0))</f>
        <v>0</v>
      </c>
      <c r="O6161" s="16">
        <f>IF($A6161&lt;Notes!$B$5,"",IF(COUNTIFS(Release_Calendar!$A$2:$A$755,"NZ_LABOUR",Release_Calendar!$B$2:$B$755,$A6161)&gt;0,1,0))</f>
        <v>0</v>
      </c>
      <c r="P6161" s="16">
        <f t="shared" si="4"/>
        <v>0</v>
      </c>
    </row>
    <row r="6162" ht="15.75" customHeight="1">
      <c r="A6162" s="14">
        <v>45152.0</v>
      </c>
      <c r="B6162" s="15">
        <v>4.96</v>
      </c>
      <c r="C6162" s="15">
        <v>5.52</v>
      </c>
      <c r="D6162" s="15"/>
      <c r="E6162" s="15">
        <v>5.45</v>
      </c>
      <c r="F6162" s="15">
        <f t="shared" si="1"/>
        <v>0.56</v>
      </c>
      <c r="G6162" s="15">
        <f t="shared" si="2"/>
        <v>5.52</v>
      </c>
      <c r="H6162" s="16">
        <v>0.0</v>
      </c>
      <c r="I6162" s="15">
        <f t="shared" si="3"/>
        <v>0.56</v>
      </c>
      <c r="J6162" s="15">
        <v>14.82</v>
      </c>
      <c r="K6162" s="16">
        <f>IF(COUNTIFS(Release_Calendar!$A$2:$A$755,"US_CPI",Release_Calendar!$B$2:$B$755,$A6162)&gt;0,1,0)</f>
        <v>0</v>
      </c>
      <c r="L6162" s="16">
        <f>IF(COUNTIFS(Release_Calendar!$A$2:$A$755,"US_NFP",Release_Calendar!$B$2:$B$755,$A6162)&gt;0,1,0)</f>
        <v>0</v>
      </c>
      <c r="M6162" s="16">
        <f>IF($A6162&lt;Notes!$B$5,"",IF(COUNTIFS(Release_Calendar!$A$2:$A$755,"NZ_CPI",Release_Calendar!$B$2:$B$755,$A6162)&gt;0,1,0))</f>
        <v>0</v>
      </c>
      <c r="N6162" s="16">
        <f>IF($A6162&lt;Notes!$B$5,"",IF(COUNTIFS(Release_Calendar!$A$2:$A$755,"NZ_GDP",Release_Calendar!$B$2:$B$755,$A6162)&gt;0,1,0))</f>
        <v>0</v>
      </c>
      <c r="O6162" s="16">
        <f>IF($A6162&lt;Notes!$B$5,"",IF(COUNTIFS(Release_Calendar!$A$2:$A$755,"NZ_LABOUR",Release_Calendar!$B$2:$B$755,$A6162)&gt;0,1,0))</f>
        <v>0</v>
      </c>
      <c r="P6162" s="16">
        <f t="shared" si="4"/>
        <v>0</v>
      </c>
    </row>
    <row r="6163" ht="15.75" customHeight="1">
      <c r="A6163" s="14">
        <v>45153.0</v>
      </c>
      <c r="B6163" s="15">
        <v>4.92</v>
      </c>
      <c r="C6163" s="15">
        <v>5.52</v>
      </c>
      <c r="D6163" s="15"/>
      <c r="E6163" s="15">
        <v>5.48</v>
      </c>
      <c r="F6163" s="15">
        <f t="shared" si="1"/>
        <v>0.6</v>
      </c>
      <c r="G6163" s="15">
        <f t="shared" si="2"/>
        <v>5.52</v>
      </c>
      <c r="H6163" s="16">
        <v>0.0</v>
      </c>
      <c r="I6163" s="15">
        <f t="shared" si="3"/>
        <v>0.6</v>
      </c>
      <c r="J6163" s="15">
        <v>16.46</v>
      </c>
      <c r="K6163" s="16">
        <f>IF(COUNTIFS(Release_Calendar!$A$2:$A$755,"US_CPI",Release_Calendar!$B$2:$B$755,$A6163)&gt;0,1,0)</f>
        <v>0</v>
      </c>
      <c r="L6163" s="16">
        <f>IF(COUNTIFS(Release_Calendar!$A$2:$A$755,"US_NFP",Release_Calendar!$B$2:$B$755,$A6163)&gt;0,1,0)</f>
        <v>0</v>
      </c>
      <c r="M6163" s="16">
        <f>IF($A6163&lt;Notes!$B$5,"",IF(COUNTIFS(Release_Calendar!$A$2:$A$755,"NZ_CPI",Release_Calendar!$B$2:$B$755,$A6163)&gt;0,1,0))</f>
        <v>0</v>
      </c>
      <c r="N6163" s="16">
        <f>IF($A6163&lt;Notes!$B$5,"",IF(COUNTIFS(Release_Calendar!$A$2:$A$755,"NZ_GDP",Release_Calendar!$B$2:$B$755,$A6163)&gt;0,1,0))</f>
        <v>0</v>
      </c>
      <c r="O6163" s="16">
        <f>IF($A6163&lt;Notes!$B$5,"",IF(COUNTIFS(Release_Calendar!$A$2:$A$755,"NZ_LABOUR",Release_Calendar!$B$2:$B$755,$A6163)&gt;0,1,0))</f>
        <v>0</v>
      </c>
      <c r="P6163" s="16">
        <f t="shared" si="4"/>
        <v>0</v>
      </c>
    </row>
    <row r="6164" ht="15.75" customHeight="1">
      <c r="A6164" s="14">
        <v>45154.0</v>
      </c>
      <c r="B6164" s="15">
        <v>4.97</v>
      </c>
      <c r="C6164" s="15">
        <v>5.54</v>
      </c>
      <c r="D6164" s="15"/>
      <c r="E6164" s="15">
        <v>5.49</v>
      </c>
      <c r="F6164" s="15">
        <f t="shared" si="1"/>
        <v>0.57</v>
      </c>
      <c r="G6164" s="15">
        <f t="shared" si="2"/>
        <v>5.54</v>
      </c>
      <c r="H6164" s="16">
        <v>0.0</v>
      </c>
      <c r="I6164" s="15">
        <f t="shared" si="3"/>
        <v>0.57</v>
      </c>
      <c r="J6164" s="15">
        <v>16.78</v>
      </c>
      <c r="K6164" s="16">
        <f>IF(COUNTIFS(Release_Calendar!$A$2:$A$755,"US_CPI",Release_Calendar!$B$2:$B$755,$A6164)&gt;0,1,0)</f>
        <v>0</v>
      </c>
      <c r="L6164" s="16">
        <f>IF(COUNTIFS(Release_Calendar!$A$2:$A$755,"US_NFP",Release_Calendar!$B$2:$B$755,$A6164)&gt;0,1,0)</f>
        <v>0</v>
      </c>
      <c r="M6164" s="16">
        <f>IF($A6164&lt;Notes!$B$5,"",IF(COUNTIFS(Release_Calendar!$A$2:$A$755,"NZ_CPI",Release_Calendar!$B$2:$B$755,$A6164)&gt;0,1,0))</f>
        <v>0</v>
      </c>
      <c r="N6164" s="16">
        <f>IF($A6164&lt;Notes!$B$5,"",IF(COUNTIFS(Release_Calendar!$A$2:$A$755,"NZ_GDP",Release_Calendar!$B$2:$B$755,$A6164)&gt;0,1,0))</f>
        <v>0</v>
      </c>
      <c r="O6164" s="16">
        <f>IF($A6164&lt;Notes!$B$5,"",IF(COUNTIFS(Release_Calendar!$A$2:$A$755,"NZ_LABOUR",Release_Calendar!$B$2:$B$755,$A6164)&gt;0,1,0))</f>
        <v>0</v>
      </c>
      <c r="P6164" s="16">
        <f t="shared" si="4"/>
        <v>0</v>
      </c>
    </row>
    <row r="6165" ht="15.75" customHeight="1">
      <c r="A6165" s="14">
        <v>45155.0</v>
      </c>
      <c r="B6165" s="15">
        <v>4.94</v>
      </c>
      <c r="C6165" s="15">
        <v>5.64</v>
      </c>
      <c r="D6165" s="15"/>
      <c r="E6165" s="15">
        <v>5.58</v>
      </c>
      <c r="F6165" s="15">
        <f t="shared" si="1"/>
        <v>0.7</v>
      </c>
      <c r="G6165" s="15">
        <f t="shared" si="2"/>
        <v>5.64</v>
      </c>
      <c r="H6165" s="16">
        <v>0.0</v>
      </c>
      <c r="I6165" s="15">
        <f t="shared" si="3"/>
        <v>0.7</v>
      </c>
      <c r="J6165" s="15">
        <v>17.89</v>
      </c>
      <c r="K6165" s="16">
        <f>IF(COUNTIFS(Release_Calendar!$A$2:$A$755,"US_CPI",Release_Calendar!$B$2:$B$755,$A6165)&gt;0,1,0)</f>
        <v>0</v>
      </c>
      <c r="L6165" s="16">
        <f>IF(COUNTIFS(Release_Calendar!$A$2:$A$755,"US_NFP",Release_Calendar!$B$2:$B$755,$A6165)&gt;0,1,0)</f>
        <v>0</v>
      </c>
      <c r="M6165" s="16">
        <f>IF($A6165&lt;Notes!$B$5,"",IF(COUNTIFS(Release_Calendar!$A$2:$A$755,"NZ_CPI",Release_Calendar!$B$2:$B$755,$A6165)&gt;0,1,0))</f>
        <v>0</v>
      </c>
      <c r="N6165" s="16">
        <f>IF($A6165&lt;Notes!$B$5,"",IF(COUNTIFS(Release_Calendar!$A$2:$A$755,"NZ_GDP",Release_Calendar!$B$2:$B$755,$A6165)&gt;0,1,0))</f>
        <v>0</v>
      </c>
      <c r="O6165" s="16">
        <f>IF($A6165&lt;Notes!$B$5,"",IF(COUNTIFS(Release_Calendar!$A$2:$A$755,"NZ_LABOUR",Release_Calendar!$B$2:$B$755,$A6165)&gt;0,1,0))</f>
        <v>0</v>
      </c>
      <c r="P6165" s="16">
        <f t="shared" si="4"/>
        <v>0</v>
      </c>
    </row>
    <row r="6166" ht="15.75" customHeight="1">
      <c r="A6166" s="14">
        <v>45156.0</v>
      </c>
      <c r="B6166" s="15">
        <v>4.92</v>
      </c>
      <c r="C6166" s="15">
        <v>5.62</v>
      </c>
      <c r="D6166" s="15"/>
      <c r="E6166" s="15">
        <v>5.55</v>
      </c>
      <c r="F6166" s="15">
        <f t="shared" si="1"/>
        <v>0.7</v>
      </c>
      <c r="G6166" s="15">
        <f t="shared" si="2"/>
        <v>5.62</v>
      </c>
      <c r="H6166" s="16">
        <v>0.0</v>
      </c>
      <c r="I6166" s="15">
        <f t="shared" si="3"/>
        <v>0.7</v>
      </c>
      <c r="J6166" s="15">
        <v>17.3</v>
      </c>
      <c r="K6166" s="16">
        <f>IF(COUNTIFS(Release_Calendar!$A$2:$A$755,"US_CPI",Release_Calendar!$B$2:$B$755,$A6166)&gt;0,1,0)</f>
        <v>0</v>
      </c>
      <c r="L6166" s="16">
        <f>IF(COUNTIFS(Release_Calendar!$A$2:$A$755,"US_NFP",Release_Calendar!$B$2:$B$755,$A6166)&gt;0,1,0)</f>
        <v>0</v>
      </c>
      <c r="M6166" s="16">
        <f>IF($A6166&lt;Notes!$B$5,"",IF(COUNTIFS(Release_Calendar!$A$2:$A$755,"NZ_CPI",Release_Calendar!$B$2:$B$755,$A6166)&gt;0,1,0))</f>
        <v>0</v>
      </c>
      <c r="N6166" s="16">
        <f>IF($A6166&lt;Notes!$B$5,"",IF(COUNTIFS(Release_Calendar!$A$2:$A$755,"NZ_GDP",Release_Calendar!$B$2:$B$755,$A6166)&gt;0,1,0))</f>
        <v>0</v>
      </c>
      <c r="O6166" s="16">
        <f>IF($A6166&lt;Notes!$B$5,"",IF(COUNTIFS(Release_Calendar!$A$2:$A$755,"NZ_LABOUR",Release_Calendar!$B$2:$B$755,$A6166)&gt;0,1,0))</f>
        <v>0</v>
      </c>
      <c r="P6166" s="16">
        <f t="shared" si="4"/>
        <v>0</v>
      </c>
    </row>
    <row r="6167" ht="15.75" customHeight="1">
      <c r="A6167" s="14">
        <v>45159.0</v>
      </c>
      <c r="B6167" s="15">
        <v>4.97</v>
      </c>
      <c r="C6167" s="15">
        <v>5.63</v>
      </c>
      <c r="D6167" s="15"/>
      <c r="E6167" s="15">
        <v>5.57</v>
      </c>
      <c r="F6167" s="15">
        <f t="shared" si="1"/>
        <v>0.66</v>
      </c>
      <c r="G6167" s="15">
        <f t="shared" si="2"/>
        <v>5.63</v>
      </c>
      <c r="H6167" s="16">
        <v>0.0</v>
      </c>
      <c r="I6167" s="15">
        <f t="shared" si="3"/>
        <v>0.66</v>
      </c>
      <c r="J6167" s="15">
        <v>17.13</v>
      </c>
      <c r="K6167" s="16">
        <f>IF(COUNTIFS(Release_Calendar!$A$2:$A$755,"US_CPI",Release_Calendar!$B$2:$B$755,$A6167)&gt;0,1,0)</f>
        <v>0</v>
      </c>
      <c r="L6167" s="16">
        <f>IF(COUNTIFS(Release_Calendar!$A$2:$A$755,"US_NFP",Release_Calendar!$B$2:$B$755,$A6167)&gt;0,1,0)</f>
        <v>0</v>
      </c>
      <c r="M6167" s="16">
        <f>IF($A6167&lt;Notes!$B$5,"",IF(COUNTIFS(Release_Calendar!$A$2:$A$755,"NZ_CPI",Release_Calendar!$B$2:$B$755,$A6167)&gt;0,1,0))</f>
        <v>0</v>
      </c>
      <c r="N6167" s="16">
        <f>IF($A6167&lt;Notes!$B$5,"",IF(COUNTIFS(Release_Calendar!$A$2:$A$755,"NZ_GDP",Release_Calendar!$B$2:$B$755,$A6167)&gt;0,1,0))</f>
        <v>0</v>
      </c>
      <c r="O6167" s="16">
        <f>IF($A6167&lt;Notes!$B$5,"",IF(COUNTIFS(Release_Calendar!$A$2:$A$755,"NZ_LABOUR",Release_Calendar!$B$2:$B$755,$A6167)&gt;0,1,0))</f>
        <v>0</v>
      </c>
      <c r="P6167" s="16">
        <f t="shared" si="4"/>
        <v>0</v>
      </c>
    </row>
    <row r="6168" ht="15.75" customHeight="1">
      <c r="A6168" s="14">
        <v>45160.0</v>
      </c>
      <c r="B6168" s="15">
        <v>5.02</v>
      </c>
      <c r="C6168" s="15">
        <v>5.68</v>
      </c>
      <c r="D6168" s="15"/>
      <c r="E6168" s="15">
        <v>5.66</v>
      </c>
      <c r="F6168" s="15">
        <f t="shared" si="1"/>
        <v>0.66</v>
      </c>
      <c r="G6168" s="15">
        <f t="shared" si="2"/>
        <v>5.68</v>
      </c>
      <c r="H6168" s="16">
        <v>0.0</v>
      </c>
      <c r="I6168" s="15">
        <f t="shared" si="3"/>
        <v>0.66</v>
      </c>
      <c r="J6168" s="15">
        <v>16.97</v>
      </c>
      <c r="K6168" s="16">
        <f>IF(COUNTIFS(Release_Calendar!$A$2:$A$755,"US_CPI",Release_Calendar!$B$2:$B$755,$A6168)&gt;0,1,0)</f>
        <v>0</v>
      </c>
      <c r="L6168" s="16">
        <f>IF(COUNTIFS(Release_Calendar!$A$2:$A$755,"US_NFP",Release_Calendar!$B$2:$B$755,$A6168)&gt;0,1,0)</f>
        <v>0</v>
      </c>
      <c r="M6168" s="16">
        <f>IF($A6168&lt;Notes!$B$5,"",IF(COUNTIFS(Release_Calendar!$A$2:$A$755,"NZ_CPI",Release_Calendar!$B$2:$B$755,$A6168)&gt;0,1,0))</f>
        <v>0</v>
      </c>
      <c r="N6168" s="16">
        <f>IF($A6168&lt;Notes!$B$5,"",IF(COUNTIFS(Release_Calendar!$A$2:$A$755,"NZ_GDP",Release_Calendar!$B$2:$B$755,$A6168)&gt;0,1,0))</f>
        <v>0</v>
      </c>
      <c r="O6168" s="16">
        <f>IF($A6168&lt;Notes!$B$5,"",IF(COUNTIFS(Release_Calendar!$A$2:$A$755,"NZ_LABOUR",Release_Calendar!$B$2:$B$755,$A6168)&gt;0,1,0))</f>
        <v>0</v>
      </c>
      <c r="P6168" s="16">
        <f t="shared" si="4"/>
        <v>0</v>
      </c>
    </row>
    <row r="6169" ht="15.75" customHeight="1">
      <c r="A6169" s="14">
        <v>45161.0</v>
      </c>
      <c r="B6169" s="15">
        <v>4.95</v>
      </c>
      <c r="C6169" s="15">
        <v>5.57</v>
      </c>
      <c r="D6169" s="15"/>
      <c r="E6169" s="15">
        <v>5.58</v>
      </c>
      <c r="F6169" s="15">
        <f t="shared" si="1"/>
        <v>0.62</v>
      </c>
      <c r="G6169" s="15">
        <f t="shared" si="2"/>
        <v>5.57</v>
      </c>
      <c r="H6169" s="16">
        <v>0.0</v>
      </c>
      <c r="I6169" s="15">
        <f t="shared" si="3"/>
        <v>0.62</v>
      </c>
      <c r="J6169" s="15">
        <v>15.98</v>
      </c>
      <c r="K6169" s="16">
        <f>IF(COUNTIFS(Release_Calendar!$A$2:$A$755,"US_CPI",Release_Calendar!$B$2:$B$755,$A6169)&gt;0,1,0)</f>
        <v>0</v>
      </c>
      <c r="L6169" s="16">
        <f>IF(COUNTIFS(Release_Calendar!$A$2:$A$755,"US_NFP",Release_Calendar!$B$2:$B$755,$A6169)&gt;0,1,0)</f>
        <v>0</v>
      </c>
      <c r="M6169" s="16">
        <f>IF($A6169&lt;Notes!$B$5,"",IF(COUNTIFS(Release_Calendar!$A$2:$A$755,"NZ_CPI",Release_Calendar!$B$2:$B$755,$A6169)&gt;0,1,0))</f>
        <v>0</v>
      </c>
      <c r="N6169" s="16">
        <f>IF($A6169&lt;Notes!$B$5,"",IF(COUNTIFS(Release_Calendar!$A$2:$A$755,"NZ_GDP",Release_Calendar!$B$2:$B$755,$A6169)&gt;0,1,0))</f>
        <v>0</v>
      </c>
      <c r="O6169" s="16">
        <f>IF($A6169&lt;Notes!$B$5,"",IF(COUNTIFS(Release_Calendar!$A$2:$A$755,"NZ_LABOUR",Release_Calendar!$B$2:$B$755,$A6169)&gt;0,1,0))</f>
        <v>0</v>
      </c>
      <c r="P6169" s="16">
        <f t="shared" si="4"/>
        <v>0</v>
      </c>
    </row>
    <row r="6170" ht="15.75" customHeight="1">
      <c r="A6170" s="14">
        <v>45162.0</v>
      </c>
      <c r="B6170" s="15">
        <v>4.98</v>
      </c>
      <c r="C6170" s="15">
        <v>5.53</v>
      </c>
      <c r="D6170" s="15"/>
      <c r="E6170" s="15">
        <v>5.52</v>
      </c>
      <c r="F6170" s="15">
        <f t="shared" si="1"/>
        <v>0.55</v>
      </c>
      <c r="G6170" s="15">
        <f t="shared" si="2"/>
        <v>5.53</v>
      </c>
      <c r="H6170" s="16">
        <v>0.0</v>
      </c>
      <c r="I6170" s="15">
        <f t="shared" si="3"/>
        <v>0.55</v>
      </c>
      <c r="J6170" s="15">
        <v>17.2</v>
      </c>
      <c r="K6170" s="16">
        <f>IF(COUNTIFS(Release_Calendar!$A$2:$A$755,"US_CPI",Release_Calendar!$B$2:$B$755,$A6170)&gt;0,1,0)</f>
        <v>0</v>
      </c>
      <c r="L6170" s="16">
        <f>IF(COUNTIFS(Release_Calendar!$A$2:$A$755,"US_NFP",Release_Calendar!$B$2:$B$755,$A6170)&gt;0,1,0)</f>
        <v>0</v>
      </c>
      <c r="M6170" s="16">
        <f>IF($A6170&lt;Notes!$B$5,"",IF(COUNTIFS(Release_Calendar!$A$2:$A$755,"NZ_CPI",Release_Calendar!$B$2:$B$755,$A6170)&gt;0,1,0))</f>
        <v>0</v>
      </c>
      <c r="N6170" s="16">
        <f>IF($A6170&lt;Notes!$B$5,"",IF(COUNTIFS(Release_Calendar!$A$2:$A$755,"NZ_GDP",Release_Calendar!$B$2:$B$755,$A6170)&gt;0,1,0))</f>
        <v>0</v>
      </c>
      <c r="O6170" s="16">
        <f>IF($A6170&lt;Notes!$B$5,"",IF(COUNTIFS(Release_Calendar!$A$2:$A$755,"NZ_LABOUR",Release_Calendar!$B$2:$B$755,$A6170)&gt;0,1,0))</f>
        <v>0</v>
      </c>
      <c r="P6170" s="16">
        <f t="shared" si="4"/>
        <v>0</v>
      </c>
    </row>
    <row r="6171" ht="15.75" customHeight="1">
      <c r="A6171" s="14">
        <v>45163.0</v>
      </c>
      <c r="B6171" s="15">
        <v>5.03</v>
      </c>
      <c r="C6171" s="15">
        <v>5.56</v>
      </c>
      <c r="D6171" s="15"/>
      <c r="E6171" s="15">
        <v>5.55</v>
      </c>
      <c r="F6171" s="15">
        <f t="shared" si="1"/>
        <v>0.53</v>
      </c>
      <c r="G6171" s="15">
        <f t="shared" si="2"/>
        <v>5.56</v>
      </c>
      <c r="H6171" s="16">
        <v>0.0</v>
      </c>
      <c r="I6171" s="15">
        <f t="shared" si="3"/>
        <v>0.53</v>
      </c>
      <c r="J6171" s="15">
        <v>15.68</v>
      </c>
      <c r="K6171" s="16">
        <f>IF(COUNTIFS(Release_Calendar!$A$2:$A$755,"US_CPI",Release_Calendar!$B$2:$B$755,$A6171)&gt;0,1,0)</f>
        <v>0</v>
      </c>
      <c r="L6171" s="16">
        <f>IF(COUNTIFS(Release_Calendar!$A$2:$A$755,"US_NFP",Release_Calendar!$B$2:$B$755,$A6171)&gt;0,1,0)</f>
        <v>0</v>
      </c>
      <c r="M6171" s="16">
        <f>IF($A6171&lt;Notes!$B$5,"",IF(COUNTIFS(Release_Calendar!$A$2:$A$755,"NZ_CPI",Release_Calendar!$B$2:$B$755,$A6171)&gt;0,1,0))</f>
        <v>0</v>
      </c>
      <c r="N6171" s="16">
        <f>IF($A6171&lt;Notes!$B$5,"",IF(COUNTIFS(Release_Calendar!$A$2:$A$755,"NZ_GDP",Release_Calendar!$B$2:$B$755,$A6171)&gt;0,1,0))</f>
        <v>0</v>
      </c>
      <c r="O6171" s="16">
        <f>IF($A6171&lt;Notes!$B$5,"",IF(COUNTIFS(Release_Calendar!$A$2:$A$755,"NZ_LABOUR",Release_Calendar!$B$2:$B$755,$A6171)&gt;0,1,0))</f>
        <v>0</v>
      </c>
      <c r="P6171" s="16">
        <f t="shared" si="4"/>
        <v>0</v>
      </c>
    </row>
    <row r="6172" ht="15.75" customHeight="1">
      <c r="A6172" s="14">
        <v>45166.0</v>
      </c>
      <c r="B6172" s="15">
        <v>4.98</v>
      </c>
      <c r="C6172" s="15">
        <v>5.58</v>
      </c>
      <c r="D6172" s="15"/>
      <c r="E6172" s="15">
        <v>5.56</v>
      </c>
      <c r="F6172" s="15">
        <f t="shared" si="1"/>
        <v>0.6</v>
      </c>
      <c r="G6172" s="15">
        <f t="shared" si="2"/>
        <v>5.58</v>
      </c>
      <c r="H6172" s="16">
        <v>0.0</v>
      </c>
      <c r="I6172" s="15">
        <f t="shared" si="3"/>
        <v>0.6</v>
      </c>
      <c r="J6172" s="15">
        <v>15.08</v>
      </c>
      <c r="K6172" s="16">
        <f>IF(COUNTIFS(Release_Calendar!$A$2:$A$755,"US_CPI",Release_Calendar!$B$2:$B$755,$A6172)&gt;0,1,0)</f>
        <v>0</v>
      </c>
      <c r="L6172" s="16">
        <f>IF(COUNTIFS(Release_Calendar!$A$2:$A$755,"US_NFP",Release_Calendar!$B$2:$B$755,$A6172)&gt;0,1,0)</f>
        <v>0</v>
      </c>
      <c r="M6172" s="16">
        <f>IF($A6172&lt;Notes!$B$5,"",IF(COUNTIFS(Release_Calendar!$A$2:$A$755,"NZ_CPI",Release_Calendar!$B$2:$B$755,$A6172)&gt;0,1,0))</f>
        <v>0</v>
      </c>
      <c r="N6172" s="16">
        <f>IF($A6172&lt;Notes!$B$5,"",IF(COUNTIFS(Release_Calendar!$A$2:$A$755,"NZ_GDP",Release_Calendar!$B$2:$B$755,$A6172)&gt;0,1,0))</f>
        <v>0</v>
      </c>
      <c r="O6172" s="16">
        <f>IF($A6172&lt;Notes!$B$5,"",IF(COUNTIFS(Release_Calendar!$A$2:$A$755,"NZ_LABOUR",Release_Calendar!$B$2:$B$755,$A6172)&gt;0,1,0))</f>
        <v>0</v>
      </c>
      <c r="P6172" s="16">
        <f t="shared" si="4"/>
        <v>0</v>
      </c>
    </row>
    <row r="6173" ht="15.75" customHeight="1">
      <c r="A6173" s="14">
        <v>45167.0</v>
      </c>
      <c r="B6173" s="15">
        <v>4.87</v>
      </c>
      <c r="C6173" s="15">
        <v>5.53</v>
      </c>
      <c r="D6173" s="15"/>
      <c r="E6173" s="15">
        <v>5.54</v>
      </c>
      <c r="F6173" s="15">
        <f t="shared" si="1"/>
        <v>0.66</v>
      </c>
      <c r="G6173" s="15">
        <f t="shared" si="2"/>
        <v>5.53</v>
      </c>
      <c r="H6173" s="16">
        <v>0.0</v>
      </c>
      <c r="I6173" s="15">
        <f t="shared" si="3"/>
        <v>0.66</v>
      </c>
      <c r="J6173" s="15">
        <v>14.45</v>
      </c>
      <c r="K6173" s="16">
        <f>IF(COUNTIFS(Release_Calendar!$A$2:$A$755,"US_CPI",Release_Calendar!$B$2:$B$755,$A6173)&gt;0,1,0)</f>
        <v>0</v>
      </c>
      <c r="L6173" s="16">
        <f>IF(COUNTIFS(Release_Calendar!$A$2:$A$755,"US_NFP",Release_Calendar!$B$2:$B$755,$A6173)&gt;0,1,0)</f>
        <v>0</v>
      </c>
      <c r="M6173" s="16">
        <f>IF($A6173&lt;Notes!$B$5,"",IF(COUNTIFS(Release_Calendar!$A$2:$A$755,"NZ_CPI",Release_Calendar!$B$2:$B$755,$A6173)&gt;0,1,0))</f>
        <v>0</v>
      </c>
      <c r="N6173" s="16">
        <f>IF($A6173&lt;Notes!$B$5,"",IF(COUNTIFS(Release_Calendar!$A$2:$A$755,"NZ_GDP",Release_Calendar!$B$2:$B$755,$A6173)&gt;0,1,0))</f>
        <v>0</v>
      </c>
      <c r="O6173" s="16">
        <f>IF($A6173&lt;Notes!$B$5,"",IF(COUNTIFS(Release_Calendar!$A$2:$A$755,"NZ_LABOUR",Release_Calendar!$B$2:$B$755,$A6173)&gt;0,1,0))</f>
        <v>0</v>
      </c>
      <c r="P6173" s="16">
        <f t="shared" si="4"/>
        <v>0</v>
      </c>
    </row>
    <row r="6174" ht="15.75" customHeight="1">
      <c r="A6174" s="14">
        <v>45168.0</v>
      </c>
      <c r="B6174" s="15">
        <v>4.9</v>
      </c>
      <c r="C6174" s="15">
        <v>5.47</v>
      </c>
      <c r="D6174" s="15"/>
      <c r="E6174" s="15">
        <v>5.49</v>
      </c>
      <c r="F6174" s="15">
        <f t="shared" si="1"/>
        <v>0.57</v>
      </c>
      <c r="G6174" s="15">
        <f t="shared" si="2"/>
        <v>5.47</v>
      </c>
      <c r="H6174" s="16">
        <v>0.0</v>
      </c>
      <c r="I6174" s="15">
        <f t="shared" si="3"/>
        <v>0.57</v>
      </c>
      <c r="J6174" s="15">
        <v>13.88</v>
      </c>
      <c r="K6174" s="16">
        <f>IF(COUNTIFS(Release_Calendar!$A$2:$A$755,"US_CPI",Release_Calendar!$B$2:$B$755,$A6174)&gt;0,1,0)</f>
        <v>0</v>
      </c>
      <c r="L6174" s="16">
        <f>IF(COUNTIFS(Release_Calendar!$A$2:$A$755,"US_NFP",Release_Calendar!$B$2:$B$755,$A6174)&gt;0,1,0)</f>
        <v>0</v>
      </c>
      <c r="M6174" s="16">
        <f>IF($A6174&lt;Notes!$B$5,"",IF(COUNTIFS(Release_Calendar!$A$2:$A$755,"NZ_CPI",Release_Calendar!$B$2:$B$755,$A6174)&gt;0,1,0))</f>
        <v>0</v>
      </c>
      <c r="N6174" s="16">
        <f>IF($A6174&lt;Notes!$B$5,"",IF(COUNTIFS(Release_Calendar!$A$2:$A$755,"NZ_GDP",Release_Calendar!$B$2:$B$755,$A6174)&gt;0,1,0))</f>
        <v>0</v>
      </c>
      <c r="O6174" s="16">
        <f>IF($A6174&lt;Notes!$B$5,"",IF(COUNTIFS(Release_Calendar!$A$2:$A$755,"NZ_LABOUR",Release_Calendar!$B$2:$B$755,$A6174)&gt;0,1,0))</f>
        <v>0</v>
      </c>
      <c r="P6174" s="16">
        <f t="shared" si="4"/>
        <v>0</v>
      </c>
    </row>
    <row r="6175" ht="15.75" customHeight="1">
      <c r="A6175" s="14">
        <v>45169.0</v>
      </c>
      <c r="B6175" s="15">
        <v>4.85</v>
      </c>
      <c r="C6175" s="15">
        <v>5.44</v>
      </c>
      <c r="D6175" s="15"/>
      <c r="E6175" s="15">
        <v>5.45</v>
      </c>
      <c r="F6175" s="15">
        <f t="shared" si="1"/>
        <v>0.59</v>
      </c>
      <c r="G6175" s="15">
        <f t="shared" si="2"/>
        <v>5.44</v>
      </c>
      <c r="H6175" s="16">
        <v>0.0</v>
      </c>
      <c r="I6175" s="15">
        <f t="shared" si="3"/>
        <v>0.59</v>
      </c>
      <c r="J6175" s="15">
        <v>13.57</v>
      </c>
      <c r="K6175" s="16">
        <f>IF(COUNTIFS(Release_Calendar!$A$2:$A$755,"US_CPI",Release_Calendar!$B$2:$B$755,$A6175)&gt;0,1,0)</f>
        <v>0</v>
      </c>
      <c r="L6175" s="16">
        <f>IF(COUNTIFS(Release_Calendar!$A$2:$A$755,"US_NFP",Release_Calendar!$B$2:$B$755,$A6175)&gt;0,1,0)</f>
        <v>0</v>
      </c>
      <c r="M6175" s="16">
        <f>IF($A6175&lt;Notes!$B$5,"",IF(COUNTIFS(Release_Calendar!$A$2:$A$755,"NZ_CPI",Release_Calendar!$B$2:$B$755,$A6175)&gt;0,1,0))</f>
        <v>0</v>
      </c>
      <c r="N6175" s="16">
        <f>IF($A6175&lt;Notes!$B$5,"",IF(COUNTIFS(Release_Calendar!$A$2:$A$755,"NZ_GDP",Release_Calendar!$B$2:$B$755,$A6175)&gt;0,1,0))</f>
        <v>0</v>
      </c>
      <c r="O6175" s="16">
        <f>IF($A6175&lt;Notes!$B$5,"",IF(COUNTIFS(Release_Calendar!$A$2:$A$755,"NZ_LABOUR",Release_Calendar!$B$2:$B$755,$A6175)&gt;0,1,0))</f>
        <v>0</v>
      </c>
      <c r="P6175" s="16">
        <f t="shared" si="4"/>
        <v>0</v>
      </c>
    </row>
    <row r="6176" ht="15.75" customHeight="1">
      <c r="A6176" s="14">
        <v>45170.0</v>
      </c>
      <c r="B6176" s="15">
        <v>4.87</v>
      </c>
      <c r="C6176" s="15">
        <v>5.43</v>
      </c>
      <c r="D6176" s="15"/>
      <c r="E6176" s="15">
        <v>5.43</v>
      </c>
      <c r="F6176" s="15">
        <f t="shared" si="1"/>
        <v>0.56</v>
      </c>
      <c r="G6176" s="15">
        <f t="shared" si="2"/>
        <v>5.43</v>
      </c>
      <c r="H6176" s="16">
        <v>0.0</v>
      </c>
      <c r="I6176" s="15">
        <f t="shared" si="3"/>
        <v>0.56</v>
      </c>
      <c r="J6176" s="15">
        <v>13.09</v>
      </c>
      <c r="K6176" s="16">
        <f>IF(COUNTIFS(Release_Calendar!$A$2:$A$755,"US_CPI",Release_Calendar!$B$2:$B$755,$A6176)&gt;0,1,0)</f>
        <v>0</v>
      </c>
      <c r="L6176" s="16">
        <f>IF(COUNTIFS(Release_Calendar!$A$2:$A$755,"US_NFP",Release_Calendar!$B$2:$B$755,$A6176)&gt;0,1,0)</f>
        <v>1</v>
      </c>
      <c r="M6176" s="16">
        <f>IF($A6176&lt;Notes!$B$5,"",IF(COUNTIFS(Release_Calendar!$A$2:$A$755,"NZ_CPI",Release_Calendar!$B$2:$B$755,$A6176)&gt;0,1,0))</f>
        <v>0</v>
      </c>
      <c r="N6176" s="16">
        <f>IF($A6176&lt;Notes!$B$5,"",IF(COUNTIFS(Release_Calendar!$A$2:$A$755,"NZ_GDP",Release_Calendar!$B$2:$B$755,$A6176)&gt;0,1,0))</f>
        <v>0</v>
      </c>
      <c r="O6176" s="16">
        <f>IF($A6176&lt;Notes!$B$5,"",IF(COUNTIFS(Release_Calendar!$A$2:$A$755,"NZ_LABOUR",Release_Calendar!$B$2:$B$755,$A6176)&gt;0,1,0))</f>
        <v>0</v>
      </c>
      <c r="P6176" s="16">
        <f t="shared" si="4"/>
        <v>1</v>
      </c>
    </row>
    <row r="6177" ht="15.75" customHeight="1">
      <c r="A6177" s="14">
        <v>45173.0</v>
      </c>
      <c r="B6177" s="15"/>
      <c r="C6177" s="15">
        <v>5.47</v>
      </c>
      <c r="D6177" s="15"/>
      <c r="E6177" s="15">
        <v>5.47</v>
      </c>
      <c r="F6177" s="15" t="str">
        <f t="shared" si="1"/>
        <v/>
      </c>
      <c r="G6177" s="15">
        <f t="shared" si="2"/>
        <v>5.47</v>
      </c>
      <c r="H6177" s="16">
        <v>0.0</v>
      </c>
      <c r="I6177" s="15" t="str">
        <f t="shared" si="3"/>
        <v/>
      </c>
      <c r="J6177" s="15">
        <v>13.82</v>
      </c>
      <c r="K6177" s="16">
        <f>IF(COUNTIFS(Release_Calendar!$A$2:$A$755,"US_CPI",Release_Calendar!$B$2:$B$755,$A6177)&gt;0,1,0)</f>
        <v>0</v>
      </c>
      <c r="L6177" s="16">
        <f>IF(COUNTIFS(Release_Calendar!$A$2:$A$755,"US_NFP",Release_Calendar!$B$2:$B$755,$A6177)&gt;0,1,0)</f>
        <v>0</v>
      </c>
      <c r="M6177" s="16">
        <f>IF($A6177&lt;Notes!$B$5,"",IF(COUNTIFS(Release_Calendar!$A$2:$A$755,"NZ_CPI",Release_Calendar!$B$2:$B$755,$A6177)&gt;0,1,0))</f>
        <v>0</v>
      </c>
      <c r="N6177" s="16">
        <f>IF($A6177&lt;Notes!$B$5,"",IF(COUNTIFS(Release_Calendar!$A$2:$A$755,"NZ_GDP",Release_Calendar!$B$2:$B$755,$A6177)&gt;0,1,0))</f>
        <v>0</v>
      </c>
      <c r="O6177" s="16">
        <f>IF($A6177&lt;Notes!$B$5,"",IF(COUNTIFS(Release_Calendar!$A$2:$A$755,"NZ_LABOUR",Release_Calendar!$B$2:$B$755,$A6177)&gt;0,1,0))</f>
        <v>0</v>
      </c>
      <c r="P6177" s="16">
        <f t="shared" si="4"/>
        <v>0</v>
      </c>
    </row>
    <row r="6178" ht="15.75" customHeight="1">
      <c r="A6178" s="14">
        <v>45174.0</v>
      </c>
      <c r="B6178" s="15">
        <v>4.94</v>
      </c>
      <c r="C6178" s="15">
        <v>5.48</v>
      </c>
      <c r="D6178" s="15"/>
      <c r="E6178" s="15">
        <v>5.51</v>
      </c>
      <c r="F6178" s="15">
        <f t="shared" si="1"/>
        <v>0.54</v>
      </c>
      <c r="G6178" s="15">
        <f t="shared" si="2"/>
        <v>5.48</v>
      </c>
      <c r="H6178" s="16">
        <v>0.0</v>
      </c>
      <c r="I6178" s="15">
        <f t="shared" si="3"/>
        <v>0.54</v>
      </c>
      <c r="J6178" s="15">
        <v>14.01</v>
      </c>
      <c r="K6178" s="16">
        <f>IF(COUNTIFS(Release_Calendar!$A$2:$A$755,"US_CPI",Release_Calendar!$B$2:$B$755,$A6178)&gt;0,1,0)</f>
        <v>0</v>
      </c>
      <c r="L6178" s="16">
        <f>IF(COUNTIFS(Release_Calendar!$A$2:$A$755,"US_NFP",Release_Calendar!$B$2:$B$755,$A6178)&gt;0,1,0)</f>
        <v>0</v>
      </c>
      <c r="M6178" s="16">
        <f>IF($A6178&lt;Notes!$B$5,"",IF(COUNTIFS(Release_Calendar!$A$2:$A$755,"NZ_CPI",Release_Calendar!$B$2:$B$755,$A6178)&gt;0,1,0))</f>
        <v>0</v>
      </c>
      <c r="N6178" s="16">
        <f>IF($A6178&lt;Notes!$B$5,"",IF(COUNTIFS(Release_Calendar!$A$2:$A$755,"NZ_GDP",Release_Calendar!$B$2:$B$755,$A6178)&gt;0,1,0))</f>
        <v>0</v>
      </c>
      <c r="O6178" s="16">
        <f>IF($A6178&lt;Notes!$B$5,"",IF(COUNTIFS(Release_Calendar!$A$2:$A$755,"NZ_LABOUR",Release_Calendar!$B$2:$B$755,$A6178)&gt;0,1,0))</f>
        <v>0</v>
      </c>
      <c r="P6178" s="16">
        <f t="shared" si="4"/>
        <v>0</v>
      </c>
    </row>
    <row r="6179" ht="15.75" customHeight="1">
      <c r="A6179" s="14">
        <v>45175.0</v>
      </c>
      <c r="B6179" s="15">
        <v>5.01</v>
      </c>
      <c r="C6179" s="15">
        <v>5.48</v>
      </c>
      <c r="D6179" s="15"/>
      <c r="E6179" s="15">
        <v>5.52</v>
      </c>
      <c r="F6179" s="15">
        <f t="shared" si="1"/>
        <v>0.47</v>
      </c>
      <c r="G6179" s="15">
        <f t="shared" si="2"/>
        <v>5.48</v>
      </c>
      <c r="H6179" s="16">
        <v>0.0</v>
      </c>
      <c r="I6179" s="15">
        <f t="shared" si="3"/>
        <v>0.47</v>
      </c>
      <c r="J6179" s="15">
        <v>14.45</v>
      </c>
      <c r="K6179" s="16">
        <f>IF(COUNTIFS(Release_Calendar!$A$2:$A$755,"US_CPI",Release_Calendar!$B$2:$B$755,$A6179)&gt;0,1,0)</f>
        <v>0</v>
      </c>
      <c r="L6179" s="16">
        <f>IF(COUNTIFS(Release_Calendar!$A$2:$A$755,"US_NFP",Release_Calendar!$B$2:$B$755,$A6179)&gt;0,1,0)</f>
        <v>0</v>
      </c>
      <c r="M6179" s="16">
        <f>IF($A6179&lt;Notes!$B$5,"",IF(COUNTIFS(Release_Calendar!$A$2:$A$755,"NZ_CPI",Release_Calendar!$B$2:$B$755,$A6179)&gt;0,1,0))</f>
        <v>0</v>
      </c>
      <c r="N6179" s="16">
        <f>IF($A6179&lt;Notes!$B$5,"",IF(COUNTIFS(Release_Calendar!$A$2:$A$755,"NZ_GDP",Release_Calendar!$B$2:$B$755,$A6179)&gt;0,1,0))</f>
        <v>0</v>
      </c>
      <c r="O6179" s="16">
        <f>IF($A6179&lt;Notes!$B$5,"",IF(COUNTIFS(Release_Calendar!$A$2:$A$755,"NZ_LABOUR",Release_Calendar!$B$2:$B$755,$A6179)&gt;0,1,0))</f>
        <v>0</v>
      </c>
      <c r="P6179" s="16">
        <f t="shared" si="4"/>
        <v>0</v>
      </c>
    </row>
    <row r="6180" ht="15.75" customHeight="1">
      <c r="A6180" s="14">
        <v>45176.0</v>
      </c>
      <c r="B6180" s="15">
        <v>4.94</v>
      </c>
      <c r="C6180" s="15">
        <v>5.48</v>
      </c>
      <c r="D6180" s="15"/>
      <c r="E6180" s="15">
        <v>5.52</v>
      </c>
      <c r="F6180" s="15">
        <f t="shared" si="1"/>
        <v>0.54</v>
      </c>
      <c r="G6180" s="15">
        <f t="shared" si="2"/>
        <v>5.48</v>
      </c>
      <c r="H6180" s="16">
        <v>0.0</v>
      </c>
      <c r="I6180" s="15">
        <f t="shared" si="3"/>
        <v>0.54</v>
      </c>
      <c r="J6180" s="15">
        <v>14.4</v>
      </c>
      <c r="K6180" s="16">
        <f>IF(COUNTIFS(Release_Calendar!$A$2:$A$755,"US_CPI",Release_Calendar!$B$2:$B$755,$A6180)&gt;0,1,0)</f>
        <v>0</v>
      </c>
      <c r="L6180" s="16">
        <f>IF(COUNTIFS(Release_Calendar!$A$2:$A$755,"US_NFP",Release_Calendar!$B$2:$B$755,$A6180)&gt;0,1,0)</f>
        <v>0</v>
      </c>
      <c r="M6180" s="16">
        <f>IF($A6180&lt;Notes!$B$5,"",IF(COUNTIFS(Release_Calendar!$A$2:$A$755,"NZ_CPI",Release_Calendar!$B$2:$B$755,$A6180)&gt;0,1,0))</f>
        <v>0</v>
      </c>
      <c r="N6180" s="16">
        <f>IF($A6180&lt;Notes!$B$5,"",IF(COUNTIFS(Release_Calendar!$A$2:$A$755,"NZ_GDP",Release_Calendar!$B$2:$B$755,$A6180)&gt;0,1,0))</f>
        <v>0</v>
      </c>
      <c r="O6180" s="16">
        <f>IF($A6180&lt;Notes!$B$5,"",IF(COUNTIFS(Release_Calendar!$A$2:$A$755,"NZ_LABOUR",Release_Calendar!$B$2:$B$755,$A6180)&gt;0,1,0))</f>
        <v>0</v>
      </c>
      <c r="P6180" s="16">
        <f t="shared" si="4"/>
        <v>0</v>
      </c>
    </row>
    <row r="6181" ht="15.75" customHeight="1">
      <c r="A6181" s="14">
        <v>45177.0</v>
      </c>
      <c r="B6181" s="15">
        <v>4.98</v>
      </c>
      <c r="C6181" s="15">
        <v>5.46</v>
      </c>
      <c r="D6181" s="15"/>
      <c r="E6181" s="15">
        <v>5.49</v>
      </c>
      <c r="F6181" s="15">
        <f t="shared" si="1"/>
        <v>0.48</v>
      </c>
      <c r="G6181" s="15">
        <f t="shared" si="2"/>
        <v>5.46</v>
      </c>
      <c r="H6181" s="16">
        <v>0.0</v>
      </c>
      <c r="I6181" s="15">
        <f t="shared" si="3"/>
        <v>0.48</v>
      </c>
      <c r="J6181" s="15">
        <v>13.84</v>
      </c>
      <c r="K6181" s="16">
        <f>IF(COUNTIFS(Release_Calendar!$A$2:$A$755,"US_CPI",Release_Calendar!$B$2:$B$755,$A6181)&gt;0,1,0)</f>
        <v>0</v>
      </c>
      <c r="L6181" s="16">
        <f>IF(COUNTIFS(Release_Calendar!$A$2:$A$755,"US_NFP",Release_Calendar!$B$2:$B$755,$A6181)&gt;0,1,0)</f>
        <v>0</v>
      </c>
      <c r="M6181" s="16">
        <f>IF($A6181&lt;Notes!$B$5,"",IF(COUNTIFS(Release_Calendar!$A$2:$A$755,"NZ_CPI",Release_Calendar!$B$2:$B$755,$A6181)&gt;0,1,0))</f>
        <v>0</v>
      </c>
      <c r="N6181" s="16">
        <f>IF($A6181&lt;Notes!$B$5,"",IF(COUNTIFS(Release_Calendar!$A$2:$A$755,"NZ_GDP",Release_Calendar!$B$2:$B$755,$A6181)&gt;0,1,0))</f>
        <v>0</v>
      </c>
      <c r="O6181" s="16">
        <f>IF($A6181&lt;Notes!$B$5,"",IF(COUNTIFS(Release_Calendar!$A$2:$A$755,"NZ_LABOUR",Release_Calendar!$B$2:$B$755,$A6181)&gt;0,1,0))</f>
        <v>0</v>
      </c>
      <c r="P6181" s="16">
        <f t="shared" si="4"/>
        <v>0</v>
      </c>
    </row>
    <row r="6182" ht="15.75" customHeight="1">
      <c r="A6182" s="14">
        <v>45180.0</v>
      </c>
      <c r="B6182" s="15">
        <v>4.97</v>
      </c>
      <c r="C6182" s="15">
        <v>5.51</v>
      </c>
      <c r="D6182" s="15"/>
      <c r="E6182" s="15">
        <v>5.53</v>
      </c>
      <c r="F6182" s="15">
        <f t="shared" si="1"/>
        <v>0.54</v>
      </c>
      <c r="G6182" s="15">
        <f t="shared" si="2"/>
        <v>5.51</v>
      </c>
      <c r="H6182" s="16">
        <v>0.0</v>
      </c>
      <c r="I6182" s="15">
        <f t="shared" si="3"/>
        <v>0.54</v>
      </c>
      <c r="J6182" s="15">
        <v>13.8</v>
      </c>
      <c r="K6182" s="16">
        <f>IF(COUNTIFS(Release_Calendar!$A$2:$A$755,"US_CPI",Release_Calendar!$B$2:$B$755,$A6182)&gt;0,1,0)</f>
        <v>0</v>
      </c>
      <c r="L6182" s="16">
        <f>IF(COUNTIFS(Release_Calendar!$A$2:$A$755,"US_NFP",Release_Calendar!$B$2:$B$755,$A6182)&gt;0,1,0)</f>
        <v>0</v>
      </c>
      <c r="M6182" s="16">
        <f>IF($A6182&lt;Notes!$B$5,"",IF(COUNTIFS(Release_Calendar!$A$2:$A$755,"NZ_CPI",Release_Calendar!$B$2:$B$755,$A6182)&gt;0,1,0))</f>
        <v>0</v>
      </c>
      <c r="N6182" s="16">
        <f>IF($A6182&lt;Notes!$B$5,"",IF(COUNTIFS(Release_Calendar!$A$2:$A$755,"NZ_GDP",Release_Calendar!$B$2:$B$755,$A6182)&gt;0,1,0))</f>
        <v>0</v>
      </c>
      <c r="O6182" s="16">
        <f>IF($A6182&lt;Notes!$B$5,"",IF(COUNTIFS(Release_Calendar!$A$2:$A$755,"NZ_LABOUR",Release_Calendar!$B$2:$B$755,$A6182)&gt;0,1,0))</f>
        <v>0</v>
      </c>
      <c r="P6182" s="16">
        <f t="shared" si="4"/>
        <v>0</v>
      </c>
    </row>
    <row r="6183" ht="15.75" customHeight="1">
      <c r="A6183" s="14">
        <v>45181.0</v>
      </c>
      <c r="B6183" s="15">
        <v>4.98</v>
      </c>
      <c r="C6183" s="15">
        <v>5.48</v>
      </c>
      <c r="D6183" s="15"/>
      <c r="E6183" s="15">
        <v>5.5</v>
      </c>
      <c r="F6183" s="15">
        <f t="shared" si="1"/>
        <v>0.5</v>
      </c>
      <c r="G6183" s="15">
        <f t="shared" si="2"/>
        <v>5.48</v>
      </c>
      <c r="H6183" s="16">
        <v>0.0</v>
      </c>
      <c r="I6183" s="15">
        <f t="shared" si="3"/>
        <v>0.5</v>
      </c>
      <c r="J6183" s="15">
        <v>14.23</v>
      </c>
      <c r="K6183" s="16">
        <f>IF(COUNTIFS(Release_Calendar!$A$2:$A$755,"US_CPI",Release_Calendar!$B$2:$B$755,$A6183)&gt;0,1,0)</f>
        <v>0</v>
      </c>
      <c r="L6183" s="16">
        <f>IF(COUNTIFS(Release_Calendar!$A$2:$A$755,"US_NFP",Release_Calendar!$B$2:$B$755,$A6183)&gt;0,1,0)</f>
        <v>0</v>
      </c>
      <c r="M6183" s="16">
        <f>IF($A6183&lt;Notes!$B$5,"",IF(COUNTIFS(Release_Calendar!$A$2:$A$755,"NZ_CPI",Release_Calendar!$B$2:$B$755,$A6183)&gt;0,1,0))</f>
        <v>0</v>
      </c>
      <c r="N6183" s="16">
        <f>IF($A6183&lt;Notes!$B$5,"",IF(COUNTIFS(Release_Calendar!$A$2:$A$755,"NZ_GDP",Release_Calendar!$B$2:$B$755,$A6183)&gt;0,1,0))</f>
        <v>0</v>
      </c>
      <c r="O6183" s="16">
        <f>IF($A6183&lt;Notes!$B$5,"",IF(COUNTIFS(Release_Calendar!$A$2:$A$755,"NZ_LABOUR",Release_Calendar!$B$2:$B$755,$A6183)&gt;0,1,0))</f>
        <v>0</v>
      </c>
      <c r="P6183" s="16">
        <f t="shared" si="4"/>
        <v>0</v>
      </c>
    </row>
    <row r="6184" ht="15.75" customHeight="1">
      <c r="A6184" s="14">
        <v>45182.0</v>
      </c>
      <c r="B6184" s="15">
        <v>4.96</v>
      </c>
      <c r="C6184" s="15">
        <v>5.5</v>
      </c>
      <c r="D6184" s="15"/>
      <c r="E6184" s="15">
        <v>5.51</v>
      </c>
      <c r="F6184" s="15">
        <f t="shared" si="1"/>
        <v>0.54</v>
      </c>
      <c r="G6184" s="15">
        <f t="shared" si="2"/>
        <v>5.5</v>
      </c>
      <c r="H6184" s="16">
        <v>0.0</v>
      </c>
      <c r="I6184" s="15">
        <f t="shared" si="3"/>
        <v>0.54</v>
      </c>
      <c r="J6184" s="15">
        <v>13.48</v>
      </c>
      <c r="K6184" s="16">
        <f>IF(COUNTIFS(Release_Calendar!$A$2:$A$755,"US_CPI",Release_Calendar!$B$2:$B$755,$A6184)&gt;0,1,0)</f>
        <v>1</v>
      </c>
      <c r="L6184" s="16">
        <f>IF(COUNTIFS(Release_Calendar!$A$2:$A$755,"US_NFP",Release_Calendar!$B$2:$B$755,$A6184)&gt;0,1,0)</f>
        <v>0</v>
      </c>
      <c r="M6184" s="16">
        <f>IF($A6184&lt;Notes!$B$5,"",IF(COUNTIFS(Release_Calendar!$A$2:$A$755,"NZ_CPI",Release_Calendar!$B$2:$B$755,$A6184)&gt;0,1,0))</f>
        <v>0</v>
      </c>
      <c r="N6184" s="16">
        <f>IF($A6184&lt;Notes!$B$5,"",IF(COUNTIFS(Release_Calendar!$A$2:$A$755,"NZ_GDP",Release_Calendar!$B$2:$B$755,$A6184)&gt;0,1,0))</f>
        <v>0</v>
      </c>
      <c r="O6184" s="16">
        <f>IF($A6184&lt;Notes!$B$5,"",IF(COUNTIFS(Release_Calendar!$A$2:$A$755,"NZ_LABOUR",Release_Calendar!$B$2:$B$755,$A6184)&gt;0,1,0))</f>
        <v>0</v>
      </c>
      <c r="P6184" s="16">
        <f t="shared" si="4"/>
        <v>1</v>
      </c>
    </row>
    <row r="6185" ht="15.75" customHeight="1">
      <c r="A6185" s="14">
        <v>45183.0</v>
      </c>
      <c r="B6185" s="15">
        <v>5.0</v>
      </c>
      <c r="C6185" s="15">
        <v>5.48</v>
      </c>
      <c r="D6185" s="15"/>
      <c r="E6185" s="15">
        <v>5.48</v>
      </c>
      <c r="F6185" s="15">
        <f t="shared" si="1"/>
        <v>0.48</v>
      </c>
      <c r="G6185" s="15">
        <f t="shared" si="2"/>
        <v>5.48</v>
      </c>
      <c r="H6185" s="16">
        <v>0.0</v>
      </c>
      <c r="I6185" s="15">
        <f t="shared" si="3"/>
        <v>0.48</v>
      </c>
      <c r="J6185" s="15">
        <v>12.82</v>
      </c>
      <c r="K6185" s="16">
        <f>IF(COUNTIFS(Release_Calendar!$A$2:$A$755,"US_CPI",Release_Calendar!$B$2:$B$755,$A6185)&gt;0,1,0)</f>
        <v>0</v>
      </c>
      <c r="L6185" s="16">
        <f>IF(COUNTIFS(Release_Calendar!$A$2:$A$755,"US_NFP",Release_Calendar!$B$2:$B$755,$A6185)&gt;0,1,0)</f>
        <v>0</v>
      </c>
      <c r="M6185" s="16">
        <f>IF($A6185&lt;Notes!$B$5,"",IF(COUNTIFS(Release_Calendar!$A$2:$A$755,"NZ_CPI",Release_Calendar!$B$2:$B$755,$A6185)&gt;0,1,0))</f>
        <v>0</v>
      </c>
      <c r="N6185" s="16">
        <f>IF($A6185&lt;Notes!$B$5,"",IF(COUNTIFS(Release_Calendar!$A$2:$A$755,"NZ_GDP",Release_Calendar!$B$2:$B$755,$A6185)&gt;0,1,0))</f>
        <v>0</v>
      </c>
      <c r="O6185" s="16">
        <f>IF($A6185&lt;Notes!$B$5,"",IF(COUNTIFS(Release_Calendar!$A$2:$A$755,"NZ_LABOUR",Release_Calendar!$B$2:$B$755,$A6185)&gt;0,1,0))</f>
        <v>0</v>
      </c>
      <c r="P6185" s="16">
        <f t="shared" si="4"/>
        <v>0</v>
      </c>
    </row>
    <row r="6186" ht="15.75" customHeight="1">
      <c r="A6186" s="14">
        <v>45184.0</v>
      </c>
      <c r="B6186" s="15">
        <v>5.02</v>
      </c>
      <c r="C6186" s="15">
        <v>5.49</v>
      </c>
      <c r="D6186" s="15"/>
      <c r="E6186" s="15">
        <v>5.49</v>
      </c>
      <c r="F6186" s="15">
        <f t="shared" si="1"/>
        <v>0.47</v>
      </c>
      <c r="G6186" s="15">
        <f t="shared" si="2"/>
        <v>5.49</v>
      </c>
      <c r="H6186" s="16">
        <v>0.0</v>
      </c>
      <c r="I6186" s="15">
        <f t="shared" si="3"/>
        <v>0.47</v>
      </c>
      <c r="J6186" s="15">
        <v>13.79</v>
      </c>
      <c r="K6186" s="16">
        <f>IF(COUNTIFS(Release_Calendar!$A$2:$A$755,"US_CPI",Release_Calendar!$B$2:$B$755,$A6186)&gt;0,1,0)</f>
        <v>0</v>
      </c>
      <c r="L6186" s="16">
        <f>IF(COUNTIFS(Release_Calendar!$A$2:$A$755,"US_NFP",Release_Calendar!$B$2:$B$755,$A6186)&gt;0,1,0)</f>
        <v>0</v>
      </c>
      <c r="M6186" s="16">
        <f>IF($A6186&lt;Notes!$B$5,"",IF(COUNTIFS(Release_Calendar!$A$2:$A$755,"NZ_CPI",Release_Calendar!$B$2:$B$755,$A6186)&gt;0,1,0))</f>
        <v>0</v>
      </c>
      <c r="N6186" s="16">
        <f>IF($A6186&lt;Notes!$B$5,"",IF(COUNTIFS(Release_Calendar!$A$2:$A$755,"NZ_GDP",Release_Calendar!$B$2:$B$755,$A6186)&gt;0,1,0))</f>
        <v>0</v>
      </c>
      <c r="O6186" s="16">
        <f>IF($A6186&lt;Notes!$B$5,"",IF(COUNTIFS(Release_Calendar!$A$2:$A$755,"NZ_LABOUR",Release_Calendar!$B$2:$B$755,$A6186)&gt;0,1,0))</f>
        <v>0</v>
      </c>
      <c r="P6186" s="16">
        <f t="shared" si="4"/>
        <v>0</v>
      </c>
    </row>
    <row r="6187" ht="15.75" customHeight="1">
      <c r="A6187" s="14">
        <v>45187.0</v>
      </c>
      <c r="B6187" s="15">
        <v>5.05</v>
      </c>
      <c r="C6187" s="15">
        <v>5.55</v>
      </c>
      <c r="D6187" s="15"/>
      <c r="E6187" s="15">
        <v>5.55</v>
      </c>
      <c r="F6187" s="15">
        <f t="shared" si="1"/>
        <v>0.5</v>
      </c>
      <c r="G6187" s="15">
        <f t="shared" si="2"/>
        <v>5.55</v>
      </c>
      <c r="H6187" s="16">
        <v>0.0</v>
      </c>
      <c r="I6187" s="15">
        <f t="shared" si="3"/>
        <v>0.5</v>
      </c>
      <c r="J6187" s="15">
        <v>14.0</v>
      </c>
      <c r="K6187" s="16">
        <f>IF(COUNTIFS(Release_Calendar!$A$2:$A$755,"US_CPI",Release_Calendar!$B$2:$B$755,$A6187)&gt;0,1,0)</f>
        <v>0</v>
      </c>
      <c r="L6187" s="16">
        <f>IF(COUNTIFS(Release_Calendar!$A$2:$A$755,"US_NFP",Release_Calendar!$B$2:$B$755,$A6187)&gt;0,1,0)</f>
        <v>0</v>
      </c>
      <c r="M6187" s="16">
        <f>IF($A6187&lt;Notes!$B$5,"",IF(COUNTIFS(Release_Calendar!$A$2:$A$755,"NZ_CPI",Release_Calendar!$B$2:$B$755,$A6187)&gt;0,1,0))</f>
        <v>0</v>
      </c>
      <c r="N6187" s="16">
        <f>IF($A6187&lt;Notes!$B$5,"",IF(COUNTIFS(Release_Calendar!$A$2:$A$755,"NZ_GDP",Release_Calendar!$B$2:$B$755,$A6187)&gt;0,1,0))</f>
        <v>0</v>
      </c>
      <c r="O6187" s="16">
        <f>IF($A6187&lt;Notes!$B$5,"",IF(COUNTIFS(Release_Calendar!$A$2:$A$755,"NZ_LABOUR",Release_Calendar!$B$2:$B$755,$A6187)&gt;0,1,0))</f>
        <v>0</v>
      </c>
      <c r="P6187" s="16">
        <f t="shared" si="4"/>
        <v>0</v>
      </c>
    </row>
    <row r="6188" ht="15.75" customHeight="1">
      <c r="A6188" s="14">
        <v>45188.0</v>
      </c>
      <c r="B6188" s="15">
        <v>5.08</v>
      </c>
      <c r="C6188" s="15">
        <v>5.6</v>
      </c>
      <c r="D6188" s="15"/>
      <c r="E6188" s="15">
        <v>5.58</v>
      </c>
      <c r="F6188" s="15">
        <f t="shared" si="1"/>
        <v>0.52</v>
      </c>
      <c r="G6188" s="15">
        <f t="shared" si="2"/>
        <v>5.6</v>
      </c>
      <c r="H6188" s="16">
        <v>0.0</v>
      </c>
      <c r="I6188" s="15">
        <f t="shared" si="3"/>
        <v>0.52</v>
      </c>
      <c r="J6188" s="15">
        <v>14.11</v>
      </c>
      <c r="K6188" s="16">
        <f>IF(COUNTIFS(Release_Calendar!$A$2:$A$755,"US_CPI",Release_Calendar!$B$2:$B$755,$A6188)&gt;0,1,0)</f>
        <v>0</v>
      </c>
      <c r="L6188" s="16">
        <f>IF(COUNTIFS(Release_Calendar!$A$2:$A$755,"US_NFP",Release_Calendar!$B$2:$B$755,$A6188)&gt;0,1,0)</f>
        <v>0</v>
      </c>
      <c r="M6188" s="16">
        <f>IF($A6188&lt;Notes!$B$5,"",IF(COUNTIFS(Release_Calendar!$A$2:$A$755,"NZ_CPI",Release_Calendar!$B$2:$B$755,$A6188)&gt;0,1,0))</f>
        <v>0</v>
      </c>
      <c r="N6188" s="16">
        <f>IF($A6188&lt;Notes!$B$5,"",IF(COUNTIFS(Release_Calendar!$A$2:$A$755,"NZ_GDP",Release_Calendar!$B$2:$B$755,$A6188)&gt;0,1,0))</f>
        <v>0</v>
      </c>
      <c r="O6188" s="16">
        <f>IF($A6188&lt;Notes!$B$5,"",IF(COUNTIFS(Release_Calendar!$A$2:$A$755,"NZ_LABOUR",Release_Calendar!$B$2:$B$755,$A6188)&gt;0,1,0))</f>
        <v>0</v>
      </c>
      <c r="P6188" s="16">
        <f t="shared" si="4"/>
        <v>0</v>
      </c>
    </row>
    <row r="6189" ht="15.75" customHeight="1">
      <c r="A6189" s="14">
        <v>45189.0</v>
      </c>
      <c r="B6189" s="15">
        <v>5.12</v>
      </c>
      <c r="C6189" s="15">
        <v>5.64</v>
      </c>
      <c r="D6189" s="15"/>
      <c r="E6189" s="15">
        <v>5.65</v>
      </c>
      <c r="F6189" s="15">
        <f t="shared" si="1"/>
        <v>0.52</v>
      </c>
      <c r="G6189" s="15">
        <f t="shared" si="2"/>
        <v>5.64</v>
      </c>
      <c r="H6189" s="16">
        <v>0.0</v>
      </c>
      <c r="I6189" s="15">
        <f t="shared" si="3"/>
        <v>0.52</v>
      </c>
      <c r="J6189" s="15">
        <v>15.14</v>
      </c>
      <c r="K6189" s="16">
        <f>IF(COUNTIFS(Release_Calendar!$A$2:$A$755,"US_CPI",Release_Calendar!$B$2:$B$755,$A6189)&gt;0,1,0)</f>
        <v>0</v>
      </c>
      <c r="L6189" s="16">
        <f>IF(COUNTIFS(Release_Calendar!$A$2:$A$755,"US_NFP",Release_Calendar!$B$2:$B$755,$A6189)&gt;0,1,0)</f>
        <v>0</v>
      </c>
      <c r="M6189" s="16">
        <f>IF($A6189&lt;Notes!$B$5,"",IF(COUNTIFS(Release_Calendar!$A$2:$A$755,"NZ_CPI",Release_Calendar!$B$2:$B$755,$A6189)&gt;0,1,0))</f>
        <v>0</v>
      </c>
      <c r="N6189" s="16">
        <f>IF($A6189&lt;Notes!$B$5,"",IF(COUNTIFS(Release_Calendar!$A$2:$A$755,"NZ_GDP",Release_Calendar!$B$2:$B$755,$A6189)&gt;0,1,0))</f>
        <v>0</v>
      </c>
      <c r="O6189" s="16">
        <f>IF($A6189&lt;Notes!$B$5,"",IF(COUNTIFS(Release_Calendar!$A$2:$A$755,"NZ_LABOUR",Release_Calendar!$B$2:$B$755,$A6189)&gt;0,1,0))</f>
        <v>0</v>
      </c>
      <c r="P6189" s="16">
        <f t="shared" si="4"/>
        <v>0</v>
      </c>
    </row>
    <row r="6190" ht="15.75" customHeight="1">
      <c r="A6190" s="14">
        <v>45190.0</v>
      </c>
      <c r="B6190" s="15">
        <v>5.12</v>
      </c>
      <c r="C6190" s="15">
        <v>5.73</v>
      </c>
      <c r="D6190" s="15"/>
      <c r="E6190" s="15">
        <v>5.72</v>
      </c>
      <c r="F6190" s="15">
        <f t="shared" si="1"/>
        <v>0.61</v>
      </c>
      <c r="G6190" s="15">
        <f t="shared" si="2"/>
        <v>5.73</v>
      </c>
      <c r="H6190" s="16">
        <v>0.0</v>
      </c>
      <c r="I6190" s="15">
        <f t="shared" si="3"/>
        <v>0.61</v>
      </c>
      <c r="J6190" s="15">
        <v>17.54</v>
      </c>
      <c r="K6190" s="16">
        <f>IF(COUNTIFS(Release_Calendar!$A$2:$A$755,"US_CPI",Release_Calendar!$B$2:$B$755,$A6190)&gt;0,1,0)</f>
        <v>0</v>
      </c>
      <c r="L6190" s="16">
        <f>IF(COUNTIFS(Release_Calendar!$A$2:$A$755,"US_NFP",Release_Calendar!$B$2:$B$755,$A6190)&gt;0,1,0)</f>
        <v>0</v>
      </c>
      <c r="M6190" s="16">
        <f>IF($A6190&lt;Notes!$B$5,"",IF(COUNTIFS(Release_Calendar!$A$2:$A$755,"NZ_CPI",Release_Calendar!$B$2:$B$755,$A6190)&gt;0,1,0))</f>
        <v>0</v>
      </c>
      <c r="N6190" s="16">
        <f>IF($A6190&lt;Notes!$B$5,"",IF(COUNTIFS(Release_Calendar!$A$2:$A$755,"NZ_GDP",Release_Calendar!$B$2:$B$755,$A6190)&gt;0,1,0))</f>
        <v>1</v>
      </c>
      <c r="O6190" s="16">
        <f>IF($A6190&lt;Notes!$B$5,"",IF(COUNTIFS(Release_Calendar!$A$2:$A$755,"NZ_LABOUR",Release_Calendar!$B$2:$B$755,$A6190)&gt;0,1,0))</f>
        <v>0</v>
      </c>
      <c r="P6190" s="16">
        <f t="shared" si="4"/>
        <v>1</v>
      </c>
    </row>
    <row r="6191" ht="15.75" customHeight="1">
      <c r="A6191" s="14">
        <v>45191.0</v>
      </c>
      <c r="B6191" s="15">
        <v>5.1</v>
      </c>
      <c r="C6191" s="15">
        <v>5.7</v>
      </c>
      <c r="D6191" s="15"/>
      <c r="E6191" s="15">
        <v>5.7</v>
      </c>
      <c r="F6191" s="15">
        <f t="shared" si="1"/>
        <v>0.6</v>
      </c>
      <c r="G6191" s="15">
        <f t="shared" si="2"/>
        <v>5.7</v>
      </c>
      <c r="H6191" s="16">
        <v>0.0</v>
      </c>
      <c r="I6191" s="15">
        <f t="shared" si="3"/>
        <v>0.6</v>
      </c>
      <c r="J6191" s="15">
        <v>17.2</v>
      </c>
      <c r="K6191" s="16">
        <f>IF(COUNTIFS(Release_Calendar!$A$2:$A$755,"US_CPI",Release_Calendar!$B$2:$B$755,$A6191)&gt;0,1,0)</f>
        <v>0</v>
      </c>
      <c r="L6191" s="16">
        <f>IF(COUNTIFS(Release_Calendar!$A$2:$A$755,"US_NFP",Release_Calendar!$B$2:$B$755,$A6191)&gt;0,1,0)</f>
        <v>0</v>
      </c>
      <c r="M6191" s="16">
        <f>IF($A6191&lt;Notes!$B$5,"",IF(COUNTIFS(Release_Calendar!$A$2:$A$755,"NZ_CPI",Release_Calendar!$B$2:$B$755,$A6191)&gt;0,1,0))</f>
        <v>0</v>
      </c>
      <c r="N6191" s="16">
        <f>IF($A6191&lt;Notes!$B$5,"",IF(COUNTIFS(Release_Calendar!$A$2:$A$755,"NZ_GDP",Release_Calendar!$B$2:$B$755,$A6191)&gt;0,1,0))</f>
        <v>0</v>
      </c>
      <c r="O6191" s="16">
        <f>IF($A6191&lt;Notes!$B$5,"",IF(COUNTIFS(Release_Calendar!$A$2:$A$755,"NZ_LABOUR",Release_Calendar!$B$2:$B$755,$A6191)&gt;0,1,0))</f>
        <v>0</v>
      </c>
      <c r="P6191" s="16">
        <f t="shared" si="4"/>
        <v>0</v>
      </c>
    </row>
    <row r="6192" ht="15.75" customHeight="1">
      <c r="A6192" s="14">
        <v>45194.0</v>
      </c>
      <c r="B6192" s="15">
        <v>5.09</v>
      </c>
      <c r="C6192" s="15">
        <v>5.66</v>
      </c>
      <c r="D6192" s="15"/>
      <c r="E6192" s="15">
        <v>5.66</v>
      </c>
      <c r="F6192" s="15">
        <f t="shared" si="1"/>
        <v>0.57</v>
      </c>
      <c r="G6192" s="15">
        <f t="shared" si="2"/>
        <v>5.66</v>
      </c>
      <c r="H6192" s="16">
        <v>0.0</v>
      </c>
      <c r="I6192" s="15">
        <f t="shared" si="3"/>
        <v>0.57</v>
      </c>
      <c r="J6192" s="15">
        <v>16.9</v>
      </c>
      <c r="K6192" s="16">
        <f>IF(COUNTIFS(Release_Calendar!$A$2:$A$755,"US_CPI",Release_Calendar!$B$2:$B$755,$A6192)&gt;0,1,0)</f>
        <v>0</v>
      </c>
      <c r="L6192" s="16">
        <f>IF(COUNTIFS(Release_Calendar!$A$2:$A$755,"US_NFP",Release_Calendar!$B$2:$B$755,$A6192)&gt;0,1,0)</f>
        <v>0</v>
      </c>
      <c r="M6192" s="16">
        <f>IF($A6192&lt;Notes!$B$5,"",IF(COUNTIFS(Release_Calendar!$A$2:$A$755,"NZ_CPI",Release_Calendar!$B$2:$B$755,$A6192)&gt;0,1,0))</f>
        <v>0</v>
      </c>
      <c r="N6192" s="16">
        <f>IF($A6192&lt;Notes!$B$5,"",IF(COUNTIFS(Release_Calendar!$A$2:$A$755,"NZ_GDP",Release_Calendar!$B$2:$B$755,$A6192)&gt;0,1,0))</f>
        <v>0</v>
      </c>
      <c r="O6192" s="16">
        <f>IF($A6192&lt;Notes!$B$5,"",IF(COUNTIFS(Release_Calendar!$A$2:$A$755,"NZ_LABOUR",Release_Calendar!$B$2:$B$755,$A6192)&gt;0,1,0))</f>
        <v>0</v>
      </c>
      <c r="P6192" s="16">
        <f t="shared" si="4"/>
        <v>0</v>
      </c>
    </row>
    <row r="6193" ht="15.75" customHeight="1">
      <c r="A6193" s="14">
        <v>45195.0</v>
      </c>
      <c r="B6193" s="15">
        <v>5.04</v>
      </c>
      <c r="C6193" s="15">
        <v>5.7</v>
      </c>
      <c r="D6193" s="15"/>
      <c r="E6193" s="15">
        <v>5.71</v>
      </c>
      <c r="F6193" s="15">
        <f t="shared" si="1"/>
        <v>0.66</v>
      </c>
      <c r="G6193" s="15">
        <f t="shared" si="2"/>
        <v>5.7</v>
      </c>
      <c r="H6193" s="16">
        <v>0.0</v>
      </c>
      <c r="I6193" s="15">
        <f t="shared" si="3"/>
        <v>0.66</v>
      </c>
      <c r="J6193" s="15">
        <v>18.94</v>
      </c>
      <c r="K6193" s="16">
        <f>IF(COUNTIFS(Release_Calendar!$A$2:$A$755,"US_CPI",Release_Calendar!$B$2:$B$755,$A6193)&gt;0,1,0)</f>
        <v>0</v>
      </c>
      <c r="L6193" s="16">
        <f>IF(COUNTIFS(Release_Calendar!$A$2:$A$755,"US_NFP",Release_Calendar!$B$2:$B$755,$A6193)&gt;0,1,0)</f>
        <v>0</v>
      </c>
      <c r="M6193" s="16">
        <f>IF($A6193&lt;Notes!$B$5,"",IF(COUNTIFS(Release_Calendar!$A$2:$A$755,"NZ_CPI",Release_Calendar!$B$2:$B$755,$A6193)&gt;0,1,0))</f>
        <v>0</v>
      </c>
      <c r="N6193" s="16">
        <f>IF($A6193&lt;Notes!$B$5,"",IF(COUNTIFS(Release_Calendar!$A$2:$A$755,"NZ_GDP",Release_Calendar!$B$2:$B$755,$A6193)&gt;0,1,0))</f>
        <v>0</v>
      </c>
      <c r="O6193" s="16">
        <f>IF($A6193&lt;Notes!$B$5,"",IF(COUNTIFS(Release_Calendar!$A$2:$A$755,"NZ_LABOUR",Release_Calendar!$B$2:$B$755,$A6193)&gt;0,1,0))</f>
        <v>0</v>
      </c>
      <c r="P6193" s="16">
        <f t="shared" si="4"/>
        <v>0</v>
      </c>
    </row>
    <row r="6194" ht="15.75" customHeight="1">
      <c r="A6194" s="14">
        <v>45196.0</v>
      </c>
      <c r="B6194" s="15">
        <v>5.1</v>
      </c>
      <c r="C6194" s="15">
        <v>5.65</v>
      </c>
      <c r="D6194" s="15"/>
      <c r="E6194" s="15">
        <v>5.67</v>
      </c>
      <c r="F6194" s="15">
        <f t="shared" si="1"/>
        <v>0.55</v>
      </c>
      <c r="G6194" s="15">
        <f t="shared" si="2"/>
        <v>5.65</v>
      </c>
      <c r="H6194" s="16">
        <v>0.0</v>
      </c>
      <c r="I6194" s="15">
        <f t="shared" si="3"/>
        <v>0.55</v>
      </c>
      <c r="J6194" s="15">
        <v>18.22</v>
      </c>
      <c r="K6194" s="16">
        <f>IF(COUNTIFS(Release_Calendar!$A$2:$A$755,"US_CPI",Release_Calendar!$B$2:$B$755,$A6194)&gt;0,1,0)</f>
        <v>0</v>
      </c>
      <c r="L6194" s="16">
        <f>IF(COUNTIFS(Release_Calendar!$A$2:$A$755,"US_NFP",Release_Calendar!$B$2:$B$755,$A6194)&gt;0,1,0)</f>
        <v>0</v>
      </c>
      <c r="M6194" s="16">
        <f>IF($A6194&lt;Notes!$B$5,"",IF(COUNTIFS(Release_Calendar!$A$2:$A$755,"NZ_CPI",Release_Calendar!$B$2:$B$755,$A6194)&gt;0,1,0))</f>
        <v>0</v>
      </c>
      <c r="N6194" s="16">
        <f>IF($A6194&lt;Notes!$B$5,"",IF(COUNTIFS(Release_Calendar!$A$2:$A$755,"NZ_GDP",Release_Calendar!$B$2:$B$755,$A6194)&gt;0,1,0))</f>
        <v>0</v>
      </c>
      <c r="O6194" s="16">
        <f>IF($A6194&lt;Notes!$B$5,"",IF(COUNTIFS(Release_Calendar!$A$2:$A$755,"NZ_LABOUR",Release_Calendar!$B$2:$B$755,$A6194)&gt;0,1,0))</f>
        <v>0</v>
      </c>
      <c r="P6194" s="16">
        <f t="shared" si="4"/>
        <v>0</v>
      </c>
    </row>
    <row r="6195" ht="15.75" customHeight="1">
      <c r="A6195" s="14">
        <v>45197.0</v>
      </c>
      <c r="B6195" s="15">
        <v>5.04</v>
      </c>
      <c r="C6195" s="15">
        <v>5.67</v>
      </c>
      <c r="D6195" s="15"/>
      <c r="E6195" s="15">
        <v>5.69</v>
      </c>
      <c r="F6195" s="15">
        <f t="shared" si="1"/>
        <v>0.63</v>
      </c>
      <c r="G6195" s="15">
        <f t="shared" si="2"/>
        <v>5.67</v>
      </c>
      <c r="H6195" s="16">
        <v>0.0</v>
      </c>
      <c r="I6195" s="15">
        <f t="shared" si="3"/>
        <v>0.63</v>
      </c>
      <c r="J6195" s="15">
        <v>17.34</v>
      </c>
      <c r="K6195" s="16">
        <f>IF(COUNTIFS(Release_Calendar!$A$2:$A$755,"US_CPI",Release_Calendar!$B$2:$B$755,$A6195)&gt;0,1,0)</f>
        <v>0</v>
      </c>
      <c r="L6195" s="16">
        <f>IF(COUNTIFS(Release_Calendar!$A$2:$A$755,"US_NFP",Release_Calendar!$B$2:$B$755,$A6195)&gt;0,1,0)</f>
        <v>0</v>
      </c>
      <c r="M6195" s="16">
        <f>IF($A6195&lt;Notes!$B$5,"",IF(COUNTIFS(Release_Calendar!$A$2:$A$755,"NZ_CPI",Release_Calendar!$B$2:$B$755,$A6195)&gt;0,1,0))</f>
        <v>0</v>
      </c>
      <c r="N6195" s="16">
        <f>IF($A6195&lt;Notes!$B$5,"",IF(COUNTIFS(Release_Calendar!$A$2:$A$755,"NZ_GDP",Release_Calendar!$B$2:$B$755,$A6195)&gt;0,1,0))</f>
        <v>0</v>
      </c>
      <c r="O6195" s="16">
        <f>IF($A6195&lt;Notes!$B$5,"",IF(COUNTIFS(Release_Calendar!$A$2:$A$755,"NZ_LABOUR",Release_Calendar!$B$2:$B$755,$A6195)&gt;0,1,0))</f>
        <v>0</v>
      </c>
      <c r="P6195" s="16">
        <f t="shared" si="4"/>
        <v>0</v>
      </c>
    </row>
    <row r="6196" ht="15.75" customHeight="1">
      <c r="A6196" s="14">
        <v>45198.0</v>
      </c>
      <c r="B6196" s="15">
        <v>5.03</v>
      </c>
      <c r="C6196" s="15">
        <v>5.72</v>
      </c>
      <c r="D6196" s="15"/>
      <c r="E6196" s="15">
        <v>5.74</v>
      </c>
      <c r="F6196" s="15">
        <f t="shared" si="1"/>
        <v>0.69</v>
      </c>
      <c r="G6196" s="15">
        <f t="shared" si="2"/>
        <v>5.72</v>
      </c>
      <c r="H6196" s="16">
        <v>0.0</v>
      </c>
      <c r="I6196" s="15">
        <f t="shared" si="3"/>
        <v>0.69</v>
      </c>
      <c r="J6196" s="15">
        <v>17.52</v>
      </c>
      <c r="K6196" s="16">
        <f>IF(COUNTIFS(Release_Calendar!$A$2:$A$755,"US_CPI",Release_Calendar!$B$2:$B$755,$A6196)&gt;0,1,0)</f>
        <v>0</v>
      </c>
      <c r="L6196" s="16">
        <f>IF(COUNTIFS(Release_Calendar!$A$2:$A$755,"US_NFP",Release_Calendar!$B$2:$B$755,$A6196)&gt;0,1,0)</f>
        <v>0</v>
      </c>
      <c r="M6196" s="16">
        <f>IF($A6196&lt;Notes!$B$5,"",IF(COUNTIFS(Release_Calendar!$A$2:$A$755,"NZ_CPI",Release_Calendar!$B$2:$B$755,$A6196)&gt;0,1,0))</f>
        <v>0</v>
      </c>
      <c r="N6196" s="16">
        <f>IF($A6196&lt;Notes!$B$5,"",IF(COUNTIFS(Release_Calendar!$A$2:$A$755,"NZ_GDP",Release_Calendar!$B$2:$B$755,$A6196)&gt;0,1,0))</f>
        <v>0</v>
      </c>
      <c r="O6196" s="16">
        <f>IF($A6196&lt;Notes!$B$5,"",IF(COUNTIFS(Release_Calendar!$A$2:$A$755,"NZ_LABOUR",Release_Calendar!$B$2:$B$755,$A6196)&gt;0,1,0))</f>
        <v>0</v>
      </c>
      <c r="P6196" s="16">
        <f t="shared" si="4"/>
        <v>0</v>
      </c>
    </row>
    <row r="6197" ht="15.75" customHeight="1">
      <c r="A6197" s="14">
        <v>45201.0</v>
      </c>
      <c r="B6197" s="15">
        <v>5.12</v>
      </c>
      <c r="C6197" s="15">
        <v>5.76</v>
      </c>
      <c r="D6197" s="15"/>
      <c r="E6197" s="15">
        <v>5.78</v>
      </c>
      <c r="F6197" s="15">
        <f t="shared" si="1"/>
        <v>0.64</v>
      </c>
      <c r="G6197" s="15">
        <f t="shared" si="2"/>
        <v>5.76</v>
      </c>
      <c r="H6197" s="16">
        <v>0.0</v>
      </c>
      <c r="I6197" s="15">
        <f t="shared" si="3"/>
        <v>0.64</v>
      </c>
      <c r="J6197" s="15">
        <v>17.61</v>
      </c>
      <c r="K6197" s="16">
        <f>IF(COUNTIFS(Release_Calendar!$A$2:$A$755,"US_CPI",Release_Calendar!$B$2:$B$755,$A6197)&gt;0,1,0)</f>
        <v>0</v>
      </c>
      <c r="L6197" s="16">
        <f>IF(COUNTIFS(Release_Calendar!$A$2:$A$755,"US_NFP",Release_Calendar!$B$2:$B$755,$A6197)&gt;0,1,0)</f>
        <v>0</v>
      </c>
      <c r="M6197" s="16">
        <f>IF($A6197&lt;Notes!$B$5,"",IF(COUNTIFS(Release_Calendar!$A$2:$A$755,"NZ_CPI",Release_Calendar!$B$2:$B$755,$A6197)&gt;0,1,0))</f>
        <v>0</v>
      </c>
      <c r="N6197" s="16">
        <f>IF($A6197&lt;Notes!$B$5,"",IF(COUNTIFS(Release_Calendar!$A$2:$A$755,"NZ_GDP",Release_Calendar!$B$2:$B$755,$A6197)&gt;0,1,0))</f>
        <v>0</v>
      </c>
      <c r="O6197" s="16">
        <f>IF($A6197&lt;Notes!$B$5,"",IF(COUNTIFS(Release_Calendar!$A$2:$A$755,"NZ_LABOUR",Release_Calendar!$B$2:$B$755,$A6197)&gt;0,1,0))</f>
        <v>0</v>
      </c>
      <c r="P6197" s="16">
        <f t="shared" si="4"/>
        <v>0</v>
      </c>
    </row>
    <row r="6198" ht="15.75" customHeight="1">
      <c r="A6198" s="14">
        <v>45202.0</v>
      </c>
      <c r="B6198" s="15">
        <v>5.15</v>
      </c>
      <c r="C6198" s="15">
        <v>5.78</v>
      </c>
      <c r="D6198" s="15"/>
      <c r="E6198" s="15">
        <v>5.81</v>
      </c>
      <c r="F6198" s="15">
        <f t="shared" si="1"/>
        <v>0.63</v>
      </c>
      <c r="G6198" s="15">
        <f t="shared" si="2"/>
        <v>5.78</v>
      </c>
      <c r="H6198" s="16">
        <v>0.0</v>
      </c>
      <c r="I6198" s="15">
        <f t="shared" si="3"/>
        <v>0.63</v>
      </c>
      <c r="J6198" s="15">
        <v>19.78</v>
      </c>
      <c r="K6198" s="16">
        <f>IF(COUNTIFS(Release_Calendar!$A$2:$A$755,"US_CPI",Release_Calendar!$B$2:$B$755,$A6198)&gt;0,1,0)</f>
        <v>0</v>
      </c>
      <c r="L6198" s="16">
        <f>IF(COUNTIFS(Release_Calendar!$A$2:$A$755,"US_NFP",Release_Calendar!$B$2:$B$755,$A6198)&gt;0,1,0)</f>
        <v>0</v>
      </c>
      <c r="M6198" s="16">
        <f>IF($A6198&lt;Notes!$B$5,"",IF(COUNTIFS(Release_Calendar!$A$2:$A$755,"NZ_CPI",Release_Calendar!$B$2:$B$755,$A6198)&gt;0,1,0))</f>
        <v>0</v>
      </c>
      <c r="N6198" s="16">
        <f>IF($A6198&lt;Notes!$B$5,"",IF(COUNTIFS(Release_Calendar!$A$2:$A$755,"NZ_GDP",Release_Calendar!$B$2:$B$755,$A6198)&gt;0,1,0))</f>
        <v>0</v>
      </c>
      <c r="O6198" s="16">
        <f>IF($A6198&lt;Notes!$B$5,"",IF(COUNTIFS(Release_Calendar!$A$2:$A$755,"NZ_LABOUR",Release_Calendar!$B$2:$B$755,$A6198)&gt;0,1,0))</f>
        <v>0</v>
      </c>
      <c r="P6198" s="16">
        <f t="shared" si="4"/>
        <v>0</v>
      </c>
    </row>
    <row r="6199" ht="15.75" customHeight="1">
      <c r="A6199" s="14">
        <v>45203.0</v>
      </c>
      <c r="B6199" s="15">
        <v>5.05</v>
      </c>
      <c r="C6199" s="15">
        <v>5.78</v>
      </c>
      <c r="D6199" s="15"/>
      <c r="E6199" s="15">
        <v>5.79</v>
      </c>
      <c r="F6199" s="15">
        <f t="shared" si="1"/>
        <v>0.73</v>
      </c>
      <c r="G6199" s="15">
        <f t="shared" si="2"/>
        <v>5.78</v>
      </c>
      <c r="H6199" s="16">
        <v>0.0</v>
      </c>
      <c r="I6199" s="15">
        <f t="shared" si="3"/>
        <v>0.73</v>
      </c>
      <c r="J6199" s="15">
        <v>18.58</v>
      </c>
      <c r="K6199" s="16">
        <f>IF(COUNTIFS(Release_Calendar!$A$2:$A$755,"US_CPI",Release_Calendar!$B$2:$B$755,$A6199)&gt;0,1,0)</f>
        <v>0</v>
      </c>
      <c r="L6199" s="16">
        <f>IF(COUNTIFS(Release_Calendar!$A$2:$A$755,"US_NFP",Release_Calendar!$B$2:$B$755,$A6199)&gt;0,1,0)</f>
        <v>0</v>
      </c>
      <c r="M6199" s="16">
        <f>IF($A6199&lt;Notes!$B$5,"",IF(COUNTIFS(Release_Calendar!$A$2:$A$755,"NZ_CPI",Release_Calendar!$B$2:$B$755,$A6199)&gt;0,1,0))</f>
        <v>0</v>
      </c>
      <c r="N6199" s="16">
        <f>IF($A6199&lt;Notes!$B$5,"",IF(COUNTIFS(Release_Calendar!$A$2:$A$755,"NZ_GDP",Release_Calendar!$B$2:$B$755,$A6199)&gt;0,1,0))</f>
        <v>0</v>
      </c>
      <c r="O6199" s="16">
        <f>IF($A6199&lt;Notes!$B$5,"",IF(COUNTIFS(Release_Calendar!$A$2:$A$755,"NZ_LABOUR",Release_Calendar!$B$2:$B$755,$A6199)&gt;0,1,0))</f>
        <v>0</v>
      </c>
      <c r="P6199" s="16">
        <f t="shared" si="4"/>
        <v>0</v>
      </c>
    </row>
    <row r="6200" ht="15.75" customHeight="1">
      <c r="A6200" s="14">
        <v>45204.0</v>
      </c>
      <c r="B6200" s="15">
        <v>5.03</v>
      </c>
      <c r="C6200" s="15">
        <v>5.73</v>
      </c>
      <c r="D6200" s="15"/>
      <c r="E6200" s="15">
        <v>5.74</v>
      </c>
      <c r="F6200" s="15">
        <f t="shared" si="1"/>
        <v>0.7</v>
      </c>
      <c r="G6200" s="15">
        <f t="shared" si="2"/>
        <v>5.73</v>
      </c>
      <c r="H6200" s="16">
        <v>0.0</v>
      </c>
      <c r="I6200" s="15">
        <f t="shared" si="3"/>
        <v>0.7</v>
      </c>
      <c r="J6200" s="15">
        <v>18.49</v>
      </c>
      <c r="K6200" s="16">
        <f>IF(COUNTIFS(Release_Calendar!$A$2:$A$755,"US_CPI",Release_Calendar!$B$2:$B$755,$A6200)&gt;0,1,0)</f>
        <v>0</v>
      </c>
      <c r="L6200" s="16">
        <f>IF(COUNTIFS(Release_Calendar!$A$2:$A$755,"US_NFP",Release_Calendar!$B$2:$B$755,$A6200)&gt;0,1,0)</f>
        <v>0</v>
      </c>
      <c r="M6200" s="16">
        <f>IF($A6200&lt;Notes!$B$5,"",IF(COUNTIFS(Release_Calendar!$A$2:$A$755,"NZ_CPI",Release_Calendar!$B$2:$B$755,$A6200)&gt;0,1,0))</f>
        <v>0</v>
      </c>
      <c r="N6200" s="16">
        <f>IF($A6200&lt;Notes!$B$5,"",IF(COUNTIFS(Release_Calendar!$A$2:$A$755,"NZ_GDP",Release_Calendar!$B$2:$B$755,$A6200)&gt;0,1,0))</f>
        <v>0</v>
      </c>
      <c r="O6200" s="16">
        <f>IF($A6200&lt;Notes!$B$5,"",IF(COUNTIFS(Release_Calendar!$A$2:$A$755,"NZ_LABOUR",Release_Calendar!$B$2:$B$755,$A6200)&gt;0,1,0))</f>
        <v>0</v>
      </c>
      <c r="P6200" s="16">
        <f t="shared" si="4"/>
        <v>0</v>
      </c>
    </row>
    <row r="6201" ht="15.75" customHeight="1">
      <c r="A6201" s="14">
        <v>45205.0</v>
      </c>
      <c r="B6201" s="15">
        <v>5.08</v>
      </c>
      <c r="C6201" s="15">
        <v>5.71</v>
      </c>
      <c r="D6201" s="15"/>
      <c r="E6201" s="15">
        <v>5.73</v>
      </c>
      <c r="F6201" s="15">
        <f t="shared" si="1"/>
        <v>0.63</v>
      </c>
      <c r="G6201" s="15">
        <f t="shared" si="2"/>
        <v>5.71</v>
      </c>
      <c r="H6201" s="16">
        <v>0.0</v>
      </c>
      <c r="I6201" s="15">
        <f t="shared" si="3"/>
        <v>0.63</v>
      </c>
      <c r="J6201" s="15">
        <v>17.45</v>
      </c>
      <c r="K6201" s="16">
        <f>IF(COUNTIFS(Release_Calendar!$A$2:$A$755,"US_CPI",Release_Calendar!$B$2:$B$755,$A6201)&gt;0,1,0)</f>
        <v>0</v>
      </c>
      <c r="L6201" s="16">
        <f>IF(COUNTIFS(Release_Calendar!$A$2:$A$755,"US_NFP",Release_Calendar!$B$2:$B$755,$A6201)&gt;0,1,0)</f>
        <v>1</v>
      </c>
      <c r="M6201" s="16">
        <f>IF($A6201&lt;Notes!$B$5,"",IF(COUNTIFS(Release_Calendar!$A$2:$A$755,"NZ_CPI",Release_Calendar!$B$2:$B$755,$A6201)&gt;0,1,0))</f>
        <v>0</v>
      </c>
      <c r="N6201" s="16">
        <f>IF($A6201&lt;Notes!$B$5,"",IF(COUNTIFS(Release_Calendar!$A$2:$A$755,"NZ_GDP",Release_Calendar!$B$2:$B$755,$A6201)&gt;0,1,0))</f>
        <v>0</v>
      </c>
      <c r="O6201" s="16">
        <f>IF($A6201&lt;Notes!$B$5,"",IF(COUNTIFS(Release_Calendar!$A$2:$A$755,"NZ_LABOUR",Release_Calendar!$B$2:$B$755,$A6201)&gt;0,1,0))</f>
        <v>0</v>
      </c>
      <c r="P6201" s="16">
        <f t="shared" si="4"/>
        <v>1</v>
      </c>
    </row>
    <row r="6202" ht="15.75" customHeight="1">
      <c r="A6202" s="14">
        <v>45208.0</v>
      </c>
      <c r="B6202" s="15"/>
      <c r="C6202" s="15">
        <v>5.71</v>
      </c>
      <c r="D6202" s="15"/>
      <c r="E6202" s="15">
        <v>5.71</v>
      </c>
      <c r="F6202" s="15" t="str">
        <f t="shared" si="1"/>
        <v/>
      </c>
      <c r="G6202" s="15">
        <f t="shared" si="2"/>
        <v>5.71</v>
      </c>
      <c r="H6202" s="16">
        <v>0.0</v>
      </c>
      <c r="I6202" s="15" t="str">
        <f t="shared" si="3"/>
        <v/>
      </c>
      <c r="J6202" s="15">
        <v>17.7</v>
      </c>
      <c r="K6202" s="16">
        <f>IF(COUNTIFS(Release_Calendar!$A$2:$A$755,"US_CPI",Release_Calendar!$B$2:$B$755,$A6202)&gt;0,1,0)</f>
        <v>0</v>
      </c>
      <c r="L6202" s="16">
        <f>IF(COUNTIFS(Release_Calendar!$A$2:$A$755,"US_NFP",Release_Calendar!$B$2:$B$755,$A6202)&gt;0,1,0)</f>
        <v>0</v>
      </c>
      <c r="M6202" s="16">
        <f>IF($A6202&lt;Notes!$B$5,"",IF(COUNTIFS(Release_Calendar!$A$2:$A$755,"NZ_CPI",Release_Calendar!$B$2:$B$755,$A6202)&gt;0,1,0))</f>
        <v>0</v>
      </c>
      <c r="N6202" s="16">
        <f>IF($A6202&lt;Notes!$B$5,"",IF(COUNTIFS(Release_Calendar!$A$2:$A$755,"NZ_GDP",Release_Calendar!$B$2:$B$755,$A6202)&gt;0,1,0))</f>
        <v>0</v>
      </c>
      <c r="O6202" s="16">
        <f>IF($A6202&lt;Notes!$B$5,"",IF(COUNTIFS(Release_Calendar!$A$2:$A$755,"NZ_LABOUR",Release_Calendar!$B$2:$B$755,$A6202)&gt;0,1,0))</f>
        <v>0</v>
      </c>
      <c r="P6202" s="16">
        <f t="shared" si="4"/>
        <v>0</v>
      </c>
    </row>
    <row r="6203" ht="15.75" customHeight="1">
      <c r="A6203" s="14">
        <v>45209.0</v>
      </c>
      <c r="B6203" s="15">
        <v>4.96</v>
      </c>
      <c r="C6203" s="15">
        <v>5.65</v>
      </c>
      <c r="D6203" s="15"/>
      <c r="E6203" s="15">
        <v>5.65</v>
      </c>
      <c r="F6203" s="15">
        <f t="shared" si="1"/>
        <v>0.69</v>
      </c>
      <c r="G6203" s="15">
        <f t="shared" si="2"/>
        <v>5.65</v>
      </c>
      <c r="H6203" s="16">
        <v>0.0</v>
      </c>
      <c r="I6203" s="15">
        <f t="shared" si="3"/>
        <v>0.69</v>
      </c>
      <c r="J6203" s="15">
        <v>17.03</v>
      </c>
      <c r="K6203" s="16">
        <f>IF(COUNTIFS(Release_Calendar!$A$2:$A$755,"US_CPI",Release_Calendar!$B$2:$B$755,$A6203)&gt;0,1,0)</f>
        <v>0</v>
      </c>
      <c r="L6203" s="16">
        <f>IF(COUNTIFS(Release_Calendar!$A$2:$A$755,"US_NFP",Release_Calendar!$B$2:$B$755,$A6203)&gt;0,1,0)</f>
        <v>0</v>
      </c>
      <c r="M6203" s="16">
        <f>IF($A6203&lt;Notes!$B$5,"",IF(COUNTIFS(Release_Calendar!$A$2:$A$755,"NZ_CPI",Release_Calendar!$B$2:$B$755,$A6203)&gt;0,1,0))</f>
        <v>0</v>
      </c>
      <c r="N6203" s="16">
        <f>IF($A6203&lt;Notes!$B$5,"",IF(COUNTIFS(Release_Calendar!$A$2:$A$755,"NZ_GDP",Release_Calendar!$B$2:$B$755,$A6203)&gt;0,1,0))</f>
        <v>0</v>
      </c>
      <c r="O6203" s="16">
        <f>IF($A6203&lt;Notes!$B$5,"",IF(COUNTIFS(Release_Calendar!$A$2:$A$755,"NZ_LABOUR",Release_Calendar!$B$2:$B$755,$A6203)&gt;0,1,0))</f>
        <v>0</v>
      </c>
      <c r="P6203" s="16">
        <f t="shared" si="4"/>
        <v>0</v>
      </c>
    </row>
    <row r="6204" ht="15.75" customHeight="1">
      <c r="A6204" s="14">
        <v>45210.0</v>
      </c>
      <c r="B6204" s="15">
        <v>4.99</v>
      </c>
      <c r="C6204" s="15">
        <v>5.64</v>
      </c>
      <c r="D6204" s="15"/>
      <c r="E6204" s="15">
        <v>5.62</v>
      </c>
      <c r="F6204" s="15">
        <f t="shared" si="1"/>
        <v>0.65</v>
      </c>
      <c r="G6204" s="15">
        <f t="shared" si="2"/>
        <v>5.64</v>
      </c>
      <c r="H6204" s="16">
        <v>0.0</v>
      </c>
      <c r="I6204" s="15">
        <f t="shared" si="3"/>
        <v>0.65</v>
      </c>
      <c r="J6204" s="15">
        <v>16.09</v>
      </c>
      <c r="K6204" s="16">
        <f>IF(COUNTIFS(Release_Calendar!$A$2:$A$755,"US_CPI",Release_Calendar!$B$2:$B$755,$A6204)&gt;0,1,0)</f>
        <v>0</v>
      </c>
      <c r="L6204" s="16">
        <f>IF(COUNTIFS(Release_Calendar!$A$2:$A$755,"US_NFP",Release_Calendar!$B$2:$B$755,$A6204)&gt;0,1,0)</f>
        <v>0</v>
      </c>
      <c r="M6204" s="16">
        <f>IF($A6204&lt;Notes!$B$5,"",IF(COUNTIFS(Release_Calendar!$A$2:$A$755,"NZ_CPI",Release_Calendar!$B$2:$B$755,$A6204)&gt;0,1,0))</f>
        <v>0</v>
      </c>
      <c r="N6204" s="16">
        <f>IF($A6204&lt;Notes!$B$5,"",IF(COUNTIFS(Release_Calendar!$A$2:$A$755,"NZ_GDP",Release_Calendar!$B$2:$B$755,$A6204)&gt;0,1,0))</f>
        <v>0</v>
      </c>
      <c r="O6204" s="16">
        <f>IF($A6204&lt;Notes!$B$5,"",IF(COUNTIFS(Release_Calendar!$A$2:$A$755,"NZ_LABOUR",Release_Calendar!$B$2:$B$755,$A6204)&gt;0,1,0))</f>
        <v>0</v>
      </c>
      <c r="P6204" s="16">
        <f t="shared" si="4"/>
        <v>0</v>
      </c>
    </row>
    <row r="6205" ht="15.75" customHeight="1">
      <c r="A6205" s="14">
        <v>45211.0</v>
      </c>
      <c r="B6205" s="15">
        <v>5.06</v>
      </c>
      <c r="C6205" s="15">
        <v>5.63</v>
      </c>
      <c r="D6205" s="15"/>
      <c r="E6205" s="15">
        <v>5.6</v>
      </c>
      <c r="F6205" s="15">
        <f t="shared" si="1"/>
        <v>0.57</v>
      </c>
      <c r="G6205" s="15">
        <f t="shared" si="2"/>
        <v>5.63</v>
      </c>
      <c r="H6205" s="16">
        <v>0.0</v>
      </c>
      <c r="I6205" s="15">
        <f t="shared" si="3"/>
        <v>0.57</v>
      </c>
      <c r="J6205" s="15">
        <v>16.69</v>
      </c>
      <c r="K6205" s="16">
        <f>IF(COUNTIFS(Release_Calendar!$A$2:$A$755,"US_CPI",Release_Calendar!$B$2:$B$755,$A6205)&gt;0,1,0)</f>
        <v>1</v>
      </c>
      <c r="L6205" s="16">
        <f>IF(COUNTIFS(Release_Calendar!$A$2:$A$755,"US_NFP",Release_Calendar!$B$2:$B$755,$A6205)&gt;0,1,0)</f>
        <v>0</v>
      </c>
      <c r="M6205" s="16">
        <f>IF($A6205&lt;Notes!$B$5,"",IF(COUNTIFS(Release_Calendar!$A$2:$A$755,"NZ_CPI",Release_Calendar!$B$2:$B$755,$A6205)&gt;0,1,0))</f>
        <v>0</v>
      </c>
      <c r="N6205" s="16">
        <f>IF($A6205&lt;Notes!$B$5,"",IF(COUNTIFS(Release_Calendar!$A$2:$A$755,"NZ_GDP",Release_Calendar!$B$2:$B$755,$A6205)&gt;0,1,0))</f>
        <v>0</v>
      </c>
      <c r="O6205" s="16">
        <f>IF($A6205&lt;Notes!$B$5,"",IF(COUNTIFS(Release_Calendar!$A$2:$A$755,"NZ_LABOUR",Release_Calendar!$B$2:$B$755,$A6205)&gt;0,1,0))</f>
        <v>0</v>
      </c>
      <c r="P6205" s="16">
        <f t="shared" si="4"/>
        <v>1</v>
      </c>
    </row>
    <row r="6206" ht="15.75" customHeight="1">
      <c r="A6206" s="14">
        <v>45212.0</v>
      </c>
      <c r="B6206" s="15">
        <v>5.04</v>
      </c>
      <c r="C6206" s="15">
        <v>5.66</v>
      </c>
      <c r="D6206" s="15"/>
      <c r="E6206" s="15">
        <v>5.64</v>
      </c>
      <c r="F6206" s="15">
        <f t="shared" si="1"/>
        <v>0.62</v>
      </c>
      <c r="G6206" s="15">
        <f t="shared" si="2"/>
        <v>5.66</v>
      </c>
      <c r="H6206" s="16">
        <v>0.0</v>
      </c>
      <c r="I6206" s="15">
        <f t="shared" si="3"/>
        <v>0.62</v>
      </c>
      <c r="J6206" s="15">
        <v>19.32</v>
      </c>
      <c r="K6206" s="16">
        <f>IF(COUNTIFS(Release_Calendar!$A$2:$A$755,"US_CPI",Release_Calendar!$B$2:$B$755,$A6206)&gt;0,1,0)</f>
        <v>0</v>
      </c>
      <c r="L6206" s="16">
        <f>IF(COUNTIFS(Release_Calendar!$A$2:$A$755,"US_NFP",Release_Calendar!$B$2:$B$755,$A6206)&gt;0,1,0)</f>
        <v>0</v>
      </c>
      <c r="M6206" s="16">
        <f>IF($A6206&lt;Notes!$B$5,"",IF(COUNTIFS(Release_Calendar!$A$2:$A$755,"NZ_CPI",Release_Calendar!$B$2:$B$755,$A6206)&gt;0,1,0))</f>
        <v>0</v>
      </c>
      <c r="N6206" s="16">
        <f>IF($A6206&lt;Notes!$B$5,"",IF(COUNTIFS(Release_Calendar!$A$2:$A$755,"NZ_GDP",Release_Calendar!$B$2:$B$755,$A6206)&gt;0,1,0))</f>
        <v>0</v>
      </c>
      <c r="O6206" s="16">
        <f>IF($A6206&lt;Notes!$B$5,"",IF(COUNTIFS(Release_Calendar!$A$2:$A$755,"NZ_LABOUR",Release_Calendar!$B$2:$B$755,$A6206)&gt;0,1,0))</f>
        <v>0</v>
      </c>
      <c r="P6206" s="16">
        <f t="shared" si="4"/>
        <v>0</v>
      </c>
    </row>
    <row r="6207" ht="15.75" customHeight="1">
      <c r="A6207" s="14">
        <v>45215.0</v>
      </c>
      <c r="B6207" s="15">
        <v>5.09</v>
      </c>
      <c r="C6207" s="15">
        <v>5.68</v>
      </c>
      <c r="D6207" s="15"/>
      <c r="E6207" s="15">
        <v>5.64</v>
      </c>
      <c r="F6207" s="15">
        <f t="shared" si="1"/>
        <v>0.59</v>
      </c>
      <c r="G6207" s="15">
        <f t="shared" si="2"/>
        <v>5.68</v>
      </c>
      <c r="H6207" s="16">
        <v>0.0</v>
      </c>
      <c r="I6207" s="15">
        <f t="shared" si="3"/>
        <v>0.59</v>
      </c>
      <c r="J6207" s="15">
        <v>17.21</v>
      </c>
      <c r="K6207" s="16">
        <f>IF(COUNTIFS(Release_Calendar!$A$2:$A$755,"US_CPI",Release_Calendar!$B$2:$B$755,$A6207)&gt;0,1,0)</f>
        <v>0</v>
      </c>
      <c r="L6207" s="16">
        <f>IF(COUNTIFS(Release_Calendar!$A$2:$A$755,"US_NFP",Release_Calendar!$B$2:$B$755,$A6207)&gt;0,1,0)</f>
        <v>0</v>
      </c>
      <c r="M6207" s="16">
        <f>IF($A6207&lt;Notes!$B$5,"",IF(COUNTIFS(Release_Calendar!$A$2:$A$755,"NZ_CPI",Release_Calendar!$B$2:$B$755,$A6207)&gt;0,1,0))</f>
        <v>0</v>
      </c>
      <c r="N6207" s="16">
        <f>IF($A6207&lt;Notes!$B$5,"",IF(COUNTIFS(Release_Calendar!$A$2:$A$755,"NZ_GDP",Release_Calendar!$B$2:$B$755,$A6207)&gt;0,1,0))</f>
        <v>0</v>
      </c>
      <c r="O6207" s="16">
        <f>IF($A6207&lt;Notes!$B$5,"",IF(COUNTIFS(Release_Calendar!$A$2:$A$755,"NZ_LABOUR",Release_Calendar!$B$2:$B$755,$A6207)&gt;0,1,0))</f>
        <v>0</v>
      </c>
      <c r="P6207" s="16">
        <f t="shared" si="4"/>
        <v>0</v>
      </c>
    </row>
    <row r="6208" ht="15.75" customHeight="1">
      <c r="A6208" s="14">
        <v>45216.0</v>
      </c>
      <c r="B6208" s="15">
        <v>5.19</v>
      </c>
      <c r="C6208" s="15">
        <v>5.62</v>
      </c>
      <c r="D6208" s="15"/>
      <c r="E6208" s="15">
        <v>5.6</v>
      </c>
      <c r="F6208" s="15">
        <f t="shared" si="1"/>
        <v>0.43</v>
      </c>
      <c r="G6208" s="15">
        <f t="shared" si="2"/>
        <v>5.62</v>
      </c>
      <c r="H6208" s="16">
        <v>0.0</v>
      </c>
      <c r="I6208" s="15">
        <f t="shared" si="3"/>
        <v>0.43</v>
      </c>
      <c r="J6208" s="15">
        <v>17.88</v>
      </c>
      <c r="K6208" s="16">
        <f>IF(COUNTIFS(Release_Calendar!$A$2:$A$755,"US_CPI",Release_Calendar!$B$2:$B$755,$A6208)&gt;0,1,0)</f>
        <v>0</v>
      </c>
      <c r="L6208" s="16">
        <f>IF(COUNTIFS(Release_Calendar!$A$2:$A$755,"US_NFP",Release_Calendar!$B$2:$B$755,$A6208)&gt;0,1,0)</f>
        <v>0</v>
      </c>
      <c r="M6208" s="16">
        <f>IF($A6208&lt;Notes!$B$5,"",IF(COUNTIFS(Release_Calendar!$A$2:$A$755,"NZ_CPI",Release_Calendar!$B$2:$B$755,$A6208)&gt;0,1,0))</f>
        <v>1</v>
      </c>
      <c r="N6208" s="16">
        <f>IF($A6208&lt;Notes!$B$5,"",IF(COUNTIFS(Release_Calendar!$A$2:$A$755,"NZ_GDP",Release_Calendar!$B$2:$B$755,$A6208)&gt;0,1,0))</f>
        <v>0</v>
      </c>
      <c r="O6208" s="16">
        <f>IF($A6208&lt;Notes!$B$5,"",IF(COUNTIFS(Release_Calendar!$A$2:$A$755,"NZ_LABOUR",Release_Calendar!$B$2:$B$755,$A6208)&gt;0,1,0))</f>
        <v>0</v>
      </c>
      <c r="P6208" s="16">
        <f t="shared" si="4"/>
        <v>1</v>
      </c>
    </row>
    <row r="6209" ht="15.75" customHeight="1">
      <c r="A6209" s="14">
        <v>45217.0</v>
      </c>
      <c r="B6209" s="15">
        <v>5.19</v>
      </c>
      <c r="C6209" s="15">
        <v>5.63</v>
      </c>
      <c r="D6209" s="15"/>
      <c r="E6209" s="15">
        <v>5.61</v>
      </c>
      <c r="F6209" s="15">
        <f t="shared" si="1"/>
        <v>0.44</v>
      </c>
      <c r="G6209" s="15">
        <f t="shared" si="2"/>
        <v>5.63</v>
      </c>
      <c r="H6209" s="16">
        <v>0.0</v>
      </c>
      <c r="I6209" s="15">
        <f t="shared" si="3"/>
        <v>0.44</v>
      </c>
      <c r="J6209" s="15">
        <v>19.22</v>
      </c>
      <c r="K6209" s="16">
        <f>IF(COUNTIFS(Release_Calendar!$A$2:$A$755,"US_CPI",Release_Calendar!$B$2:$B$755,$A6209)&gt;0,1,0)</f>
        <v>0</v>
      </c>
      <c r="L6209" s="16">
        <f>IF(COUNTIFS(Release_Calendar!$A$2:$A$755,"US_NFP",Release_Calendar!$B$2:$B$755,$A6209)&gt;0,1,0)</f>
        <v>0</v>
      </c>
      <c r="M6209" s="16">
        <f>IF($A6209&lt;Notes!$B$5,"",IF(COUNTIFS(Release_Calendar!$A$2:$A$755,"NZ_CPI",Release_Calendar!$B$2:$B$755,$A6209)&gt;0,1,0))</f>
        <v>0</v>
      </c>
      <c r="N6209" s="16">
        <f>IF($A6209&lt;Notes!$B$5,"",IF(COUNTIFS(Release_Calendar!$A$2:$A$755,"NZ_GDP",Release_Calendar!$B$2:$B$755,$A6209)&gt;0,1,0))</f>
        <v>0</v>
      </c>
      <c r="O6209" s="16">
        <f>IF($A6209&lt;Notes!$B$5,"",IF(COUNTIFS(Release_Calendar!$A$2:$A$755,"NZ_LABOUR",Release_Calendar!$B$2:$B$755,$A6209)&gt;0,1,0))</f>
        <v>0</v>
      </c>
      <c r="P6209" s="16">
        <f t="shared" si="4"/>
        <v>0</v>
      </c>
    </row>
    <row r="6210" ht="15.75" customHeight="1">
      <c r="A6210" s="14">
        <v>45218.0</v>
      </c>
      <c r="B6210" s="15">
        <v>5.14</v>
      </c>
      <c r="C6210" s="15">
        <v>5.67</v>
      </c>
      <c r="D6210" s="15"/>
      <c r="E6210" s="15">
        <v>5.61</v>
      </c>
      <c r="F6210" s="15">
        <f t="shared" si="1"/>
        <v>0.53</v>
      </c>
      <c r="G6210" s="15">
        <f t="shared" si="2"/>
        <v>5.67</v>
      </c>
      <c r="H6210" s="16">
        <v>0.0</v>
      </c>
      <c r="I6210" s="15">
        <f t="shared" si="3"/>
        <v>0.53</v>
      </c>
      <c r="J6210" s="15">
        <v>21.4</v>
      </c>
      <c r="K6210" s="16">
        <f>IF(COUNTIFS(Release_Calendar!$A$2:$A$755,"US_CPI",Release_Calendar!$B$2:$B$755,$A6210)&gt;0,1,0)</f>
        <v>0</v>
      </c>
      <c r="L6210" s="16">
        <f>IF(COUNTIFS(Release_Calendar!$A$2:$A$755,"US_NFP",Release_Calendar!$B$2:$B$755,$A6210)&gt;0,1,0)</f>
        <v>0</v>
      </c>
      <c r="M6210" s="16">
        <f>IF($A6210&lt;Notes!$B$5,"",IF(COUNTIFS(Release_Calendar!$A$2:$A$755,"NZ_CPI",Release_Calendar!$B$2:$B$755,$A6210)&gt;0,1,0))</f>
        <v>0</v>
      </c>
      <c r="N6210" s="16">
        <f>IF($A6210&lt;Notes!$B$5,"",IF(COUNTIFS(Release_Calendar!$A$2:$A$755,"NZ_GDP",Release_Calendar!$B$2:$B$755,$A6210)&gt;0,1,0))</f>
        <v>0</v>
      </c>
      <c r="O6210" s="16">
        <f>IF($A6210&lt;Notes!$B$5,"",IF(COUNTIFS(Release_Calendar!$A$2:$A$755,"NZ_LABOUR",Release_Calendar!$B$2:$B$755,$A6210)&gt;0,1,0))</f>
        <v>0</v>
      </c>
      <c r="P6210" s="16">
        <f t="shared" si="4"/>
        <v>0</v>
      </c>
    </row>
    <row r="6211" ht="15.75" customHeight="1">
      <c r="A6211" s="14">
        <v>45219.0</v>
      </c>
      <c r="B6211" s="15">
        <v>5.07</v>
      </c>
      <c r="C6211" s="15">
        <v>5.64</v>
      </c>
      <c r="D6211" s="15"/>
      <c r="E6211" s="15">
        <v>5.6</v>
      </c>
      <c r="F6211" s="15">
        <f t="shared" si="1"/>
        <v>0.57</v>
      </c>
      <c r="G6211" s="15">
        <f t="shared" si="2"/>
        <v>5.64</v>
      </c>
      <c r="H6211" s="16">
        <v>0.0</v>
      </c>
      <c r="I6211" s="15">
        <f t="shared" si="3"/>
        <v>0.57</v>
      </c>
      <c r="J6211" s="15">
        <v>21.71</v>
      </c>
      <c r="K6211" s="16">
        <f>IF(COUNTIFS(Release_Calendar!$A$2:$A$755,"US_CPI",Release_Calendar!$B$2:$B$755,$A6211)&gt;0,1,0)</f>
        <v>0</v>
      </c>
      <c r="L6211" s="16">
        <f>IF(COUNTIFS(Release_Calendar!$A$2:$A$755,"US_NFP",Release_Calendar!$B$2:$B$755,$A6211)&gt;0,1,0)</f>
        <v>0</v>
      </c>
      <c r="M6211" s="16">
        <f>IF($A6211&lt;Notes!$B$5,"",IF(COUNTIFS(Release_Calendar!$A$2:$A$755,"NZ_CPI",Release_Calendar!$B$2:$B$755,$A6211)&gt;0,1,0))</f>
        <v>0</v>
      </c>
      <c r="N6211" s="16">
        <f>IF($A6211&lt;Notes!$B$5,"",IF(COUNTIFS(Release_Calendar!$A$2:$A$755,"NZ_GDP",Release_Calendar!$B$2:$B$755,$A6211)&gt;0,1,0))</f>
        <v>0</v>
      </c>
      <c r="O6211" s="16">
        <f>IF($A6211&lt;Notes!$B$5,"",IF(COUNTIFS(Release_Calendar!$A$2:$A$755,"NZ_LABOUR",Release_Calendar!$B$2:$B$755,$A6211)&gt;0,1,0))</f>
        <v>0</v>
      </c>
      <c r="P6211" s="16">
        <f t="shared" si="4"/>
        <v>0</v>
      </c>
    </row>
    <row r="6212" ht="15.75" customHeight="1">
      <c r="A6212" s="14">
        <v>45222.0</v>
      </c>
      <c r="B6212" s="15">
        <v>5.05</v>
      </c>
      <c r="C6212" s="15"/>
      <c r="D6212" s="15"/>
      <c r="E6212" s="15"/>
      <c r="F6212" s="15" t="str">
        <f t="shared" si="1"/>
        <v/>
      </c>
      <c r="G6212" s="15" t="str">
        <f t="shared" si="2"/>
        <v/>
      </c>
      <c r="H6212" s="16">
        <v>0.0</v>
      </c>
      <c r="I6212" s="15" t="str">
        <f t="shared" si="3"/>
        <v/>
      </c>
      <c r="J6212" s="15">
        <v>20.37</v>
      </c>
      <c r="K6212" s="16">
        <f>IF(COUNTIFS(Release_Calendar!$A$2:$A$755,"US_CPI",Release_Calendar!$B$2:$B$755,$A6212)&gt;0,1,0)</f>
        <v>0</v>
      </c>
      <c r="L6212" s="16">
        <f>IF(COUNTIFS(Release_Calendar!$A$2:$A$755,"US_NFP",Release_Calendar!$B$2:$B$755,$A6212)&gt;0,1,0)</f>
        <v>0</v>
      </c>
      <c r="M6212" s="16">
        <f>IF($A6212&lt;Notes!$B$5,"",IF(COUNTIFS(Release_Calendar!$A$2:$A$755,"NZ_CPI",Release_Calendar!$B$2:$B$755,$A6212)&gt;0,1,0))</f>
        <v>0</v>
      </c>
      <c r="N6212" s="16">
        <f>IF($A6212&lt;Notes!$B$5,"",IF(COUNTIFS(Release_Calendar!$A$2:$A$755,"NZ_GDP",Release_Calendar!$B$2:$B$755,$A6212)&gt;0,1,0))</f>
        <v>0</v>
      </c>
      <c r="O6212" s="16">
        <f>IF($A6212&lt;Notes!$B$5,"",IF(COUNTIFS(Release_Calendar!$A$2:$A$755,"NZ_LABOUR",Release_Calendar!$B$2:$B$755,$A6212)&gt;0,1,0))</f>
        <v>0</v>
      </c>
      <c r="P6212" s="16">
        <f t="shared" si="4"/>
        <v>0</v>
      </c>
    </row>
    <row r="6213" ht="15.75" customHeight="1">
      <c r="A6213" s="14">
        <v>45223.0</v>
      </c>
      <c r="B6213" s="15">
        <v>5.02</v>
      </c>
      <c r="C6213" s="15">
        <v>5.57</v>
      </c>
      <c r="D6213" s="15"/>
      <c r="E6213" s="15">
        <v>5.59</v>
      </c>
      <c r="F6213" s="15">
        <f t="shared" si="1"/>
        <v>0.55</v>
      </c>
      <c r="G6213" s="15">
        <f t="shared" si="2"/>
        <v>5.57</v>
      </c>
      <c r="H6213" s="16">
        <v>0.0</v>
      </c>
      <c r="I6213" s="15">
        <f t="shared" si="3"/>
        <v>0.55</v>
      </c>
      <c r="J6213" s="15">
        <v>18.97</v>
      </c>
      <c r="K6213" s="16">
        <f>IF(COUNTIFS(Release_Calendar!$A$2:$A$755,"US_CPI",Release_Calendar!$B$2:$B$755,$A6213)&gt;0,1,0)</f>
        <v>0</v>
      </c>
      <c r="L6213" s="16">
        <f>IF(COUNTIFS(Release_Calendar!$A$2:$A$755,"US_NFP",Release_Calendar!$B$2:$B$755,$A6213)&gt;0,1,0)</f>
        <v>0</v>
      </c>
      <c r="M6213" s="16">
        <f>IF($A6213&lt;Notes!$B$5,"",IF(COUNTIFS(Release_Calendar!$A$2:$A$755,"NZ_CPI",Release_Calendar!$B$2:$B$755,$A6213)&gt;0,1,0))</f>
        <v>0</v>
      </c>
      <c r="N6213" s="16">
        <f>IF($A6213&lt;Notes!$B$5,"",IF(COUNTIFS(Release_Calendar!$A$2:$A$755,"NZ_GDP",Release_Calendar!$B$2:$B$755,$A6213)&gt;0,1,0))</f>
        <v>0</v>
      </c>
      <c r="O6213" s="16">
        <f>IF($A6213&lt;Notes!$B$5,"",IF(COUNTIFS(Release_Calendar!$A$2:$A$755,"NZ_LABOUR",Release_Calendar!$B$2:$B$755,$A6213)&gt;0,1,0))</f>
        <v>0</v>
      </c>
      <c r="P6213" s="16">
        <f t="shared" si="4"/>
        <v>0</v>
      </c>
    </row>
    <row r="6214" ht="15.75" customHeight="1">
      <c r="A6214" s="14">
        <v>45224.0</v>
      </c>
      <c r="B6214" s="15">
        <v>5.08</v>
      </c>
      <c r="C6214" s="15">
        <v>5.55</v>
      </c>
      <c r="D6214" s="15"/>
      <c r="E6214" s="15">
        <v>5.58</v>
      </c>
      <c r="F6214" s="15">
        <f t="shared" si="1"/>
        <v>0.47</v>
      </c>
      <c r="G6214" s="15">
        <f t="shared" si="2"/>
        <v>5.55</v>
      </c>
      <c r="H6214" s="16">
        <v>0.0</v>
      </c>
      <c r="I6214" s="15">
        <f t="shared" si="3"/>
        <v>0.47</v>
      </c>
      <c r="J6214" s="15">
        <v>20.19</v>
      </c>
      <c r="K6214" s="16">
        <f>IF(COUNTIFS(Release_Calendar!$A$2:$A$755,"US_CPI",Release_Calendar!$B$2:$B$755,$A6214)&gt;0,1,0)</f>
        <v>0</v>
      </c>
      <c r="L6214" s="16">
        <f>IF(COUNTIFS(Release_Calendar!$A$2:$A$755,"US_NFP",Release_Calendar!$B$2:$B$755,$A6214)&gt;0,1,0)</f>
        <v>0</v>
      </c>
      <c r="M6214" s="16">
        <f>IF($A6214&lt;Notes!$B$5,"",IF(COUNTIFS(Release_Calendar!$A$2:$A$755,"NZ_CPI",Release_Calendar!$B$2:$B$755,$A6214)&gt;0,1,0))</f>
        <v>0</v>
      </c>
      <c r="N6214" s="16">
        <f>IF($A6214&lt;Notes!$B$5,"",IF(COUNTIFS(Release_Calendar!$A$2:$A$755,"NZ_GDP",Release_Calendar!$B$2:$B$755,$A6214)&gt;0,1,0))</f>
        <v>0</v>
      </c>
      <c r="O6214" s="16">
        <f>IF($A6214&lt;Notes!$B$5,"",IF(COUNTIFS(Release_Calendar!$A$2:$A$755,"NZ_LABOUR",Release_Calendar!$B$2:$B$755,$A6214)&gt;0,1,0))</f>
        <v>0</v>
      </c>
      <c r="P6214" s="16">
        <f t="shared" si="4"/>
        <v>0</v>
      </c>
    </row>
    <row r="6215" ht="15.75" customHeight="1">
      <c r="A6215" s="14">
        <v>45225.0</v>
      </c>
      <c r="B6215" s="15">
        <v>5.02</v>
      </c>
      <c r="C6215" s="15">
        <v>5.61</v>
      </c>
      <c r="D6215" s="15"/>
      <c r="E6215" s="15">
        <v>5.59</v>
      </c>
      <c r="F6215" s="15">
        <f t="shared" si="1"/>
        <v>0.59</v>
      </c>
      <c r="G6215" s="15">
        <f t="shared" si="2"/>
        <v>5.61</v>
      </c>
      <c r="H6215" s="16">
        <v>0.0</v>
      </c>
      <c r="I6215" s="15">
        <f t="shared" si="3"/>
        <v>0.59</v>
      </c>
      <c r="J6215" s="15">
        <v>20.68</v>
      </c>
      <c r="K6215" s="16">
        <f>IF(COUNTIFS(Release_Calendar!$A$2:$A$755,"US_CPI",Release_Calendar!$B$2:$B$755,$A6215)&gt;0,1,0)</f>
        <v>0</v>
      </c>
      <c r="L6215" s="16">
        <f>IF(COUNTIFS(Release_Calendar!$A$2:$A$755,"US_NFP",Release_Calendar!$B$2:$B$755,$A6215)&gt;0,1,0)</f>
        <v>0</v>
      </c>
      <c r="M6215" s="16">
        <f>IF($A6215&lt;Notes!$B$5,"",IF(COUNTIFS(Release_Calendar!$A$2:$A$755,"NZ_CPI",Release_Calendar!$B$2:$B$755,$A6215)&gt;0,1,0))</f>
        <v>0</v>
      </c>
      <c r="N6215" s="16">
        <f>IF($A6215&lt;Notes!$B$5,"",IF(COUNTIFS(Release_Calendar!$A$2:$A$755,"NZ_GDP",Release_Calendar!$B$2:$B$755,$A6215)&gt;0,1,0))</f>
        <v>0</v>
      </c>
      <c r="O6215" s="16">
        <f>IF($A6215&lt;Notes!$B$5,"",IF(COUNTIFS(Release_Calendar!$A$2:$A$755,"NZ_LABOUR",Release_Calendar!$B$2:$B$755,$A6215)&gt;0,1,0))</f>
        <v>0</v>
      </c>
      <c r="P6215" s="16">
        <f t="shared" si="4"/>
        <v>0</v>
      </c>
    </row>
    <row r="6216" ht="15.75" customHeight="1">
      <c r="A6216" s="14">
        <v>45226.0</v>
      </c>
      <c r="B6216" s="15">
        <v>4.99</v>
      </c>
      <c r="C6216" s="15">
        <v>5.58</v>
      </c>
      <c r="D6216" s="15"/>
      <c r="E6216" s="15">
        <v>5.6</v>
      </c>
      <c r="F6216" s="15">
        <f t="shared" si="1"/>
        <v>0.59</v>
      </c>
      <c r="G6216" s="15">
        <f t="shared" si="2"/>
        <v>5.58</v>
      </c>
      <c r="H6216" s="16">
        <v>0.0</v>
      </c>
      <c r="I6216" s="15">
        <f t="shared" si="3"/>
        <v>0.59</v>
      </c>
      <c r="J6216" s="15">
        <v>21.27</v>
      </c>
      <c r="K6216" s="16">
        <f>IF(COUNTIFS(Release_Calendar!$A$2:$A$755,"US_CPI",Release_Calendar!$B$2:$B$755,$A6216)&gt;0,1,0)</f>
        <v>0</v>
      </c>
      <c r="L6216" s="16">
        <f>IF(COUNTIFS(Release_Calendar!$A$2:$A$755,"US_NFP",Release_Calendar!$B$2:$B$755,$A6216)&gt;0,1,0)</f>
        <v>0</v>
      </c>
      <c r="M6216" s="16">
        <f>IF($A6216&lt;Notes!$B$5,"",IF(COUNTIFS(Release_Calendar!$A$2:$A$755,"NZ_CPI",Release_Calendar!$B$2:$B$755,$A6216)&gt;0,1,0))</f>
        <v>0</v>
      </c>
      <c r="N6216" s="16">
        <f>IF($A6216&lt;Notes!$B$5,"",IF(COUNTIFS(Release_Calendar!$A$2:$A$755,"NZ_GDP",Release_Calendar!$B$2:$B$755,$A6216)&gt;0,1,0))</f>
        <v>0</v>
      </c>
      <c r="O6216" s="16">
        <f>IF($A6216&lt;Notes!$B$5,"",IF(COUNTIFS(Release_Calendar!$A$2:$A$755,"NZ_LABOUR",Release_Calendar!$B$2:$B$755,$A6216)&gt;0,1,0))</f>
        <v>0</v>
      </c>
      <c r="P6216" s="16">
        <f t="shared" si="4"/>
        <v>0</v>
      </c>
    </row>
    <row r="6217" ht="15.75" customHeight="1">
      <c r="A6217" s="14">
        <v>45229.0</v>
      </c>
      <c r="B6217" s="15">
        <v>5.03</v>
      </c>
      <c r="C6217" s="15">
        <v>5.58</v>
      </c>
      <c r="D6217" s="15"/>
      <c r="E6217" s="15">
        <v>5.61</v>
      </c>
      <c r="F6217" s="15">
        <f t="shared" si="1"/>
        <v>0.55</v>
      </c>
      <c r="G6217" s="15">
        <f t="shared" si="2"/>
        <v>5.58</v>
      </c>
      <c r="H6217" s="16">
        <v>0.0</v>
      </c>
      <c r="I6217" s="15">
        <f t="shared" si="3"/>
        <v>0.55</v>
      </c>
      <c r="J6217" s="15">
        <v>19.75</v>
      </c>
      <c r="K6217" s="16">
        <f>IF(COUNTIFS(Release_Calendar!$A$2:$A$755,"US_CPI",Release_Calendar!$B$2:$B$755,$A6217)&gt;0,1,0)</f>
        <v>0</v>
      </c>
      <c r="L6217" s="16">
        <f>IF(COUNTIFS(Release_Calendar!$A$2:$A$755,"US_NFP",Release_Calendar!$B$2:$B$755,$A6217)&gt;0,1,0)</f>
        <v>0</v>
      </c>
      <c r="M6217" s="16">
        <f>IF($A6217&lt;Notes!$B$5,"",IF(COUNTIFS(Release_Calendar!$A$2:$A$755,"NZ_CPI",Release_Calendar!$B$2:$B$755,$A6217)&gt;0,1,0))</f>
        <v>0</v>
      </c>
      <c r="N6217" s="16">
        <f>IF($A6217&lt;Notes!$B$5,"",IF(COUNTIFS(Release_Calendar!$A$2:$A$755,"NZ_GDP",Release_Calendar!$B$2:$B$755,$A6217)&gt;0,1,0))</f>
        <v>0</v>
      </c>
      <c r="O6217" s="16">
        <f>IF($A6217&lt;Notes!$B$5,"",IF(COUNTIFS(Release_Calendar!$A$2:$A$755,"NZ_LABOUR",Release_Calendar!$B$2:$B$755,$A6217)&gt;0,1,0))</f>
        <v>0</v>
      </c>
      <c r="P6217" s="16">
        <f t="shared" si="4"/>
        <v>0</v>
      </c>
    </row>
    <row r="6218" ht="15.75" customHeight="1">
      <c r="A6218" s="14">
        <v>45230.0</v>
      </c>
      <c r="B6218" s="15">
        <v>5.07</v>
      </c>
      <c r="C6218" s="15">
        <v>5.58</v>
      </c>
      <c r="D6218" s="15"/>
      <c r="E6218" s="15">
        <v>5.57</v>
      </c>
      <c r="F6218" s="15">
        <f t="shared" si="1"/>
        <v>0.51</v>
      </c>
      <c r="G6218" s="15">
        <f t="shared" si="2"/>
        <v>5.58</v>
      </c>
      <c r="H6218" s="16">
        <v>0.0</v>
      </c>
      <c r="I6218" s="15">
        <f t="shared" si="3"/>
        <v>0.51</v>
      </c>
      <c r="J6218" s="15">
        <v>18.14</v>
      </c>
      <c r="K6218" s="16">
        <f>IF(COUNTIFS(Release_Calendar!$A$2:$A$755,"US_CPI",Release_Calendar!$B$2:$B$755,$A6218)&gt;0,1,0)</f>
        <v>0</v>
      </c>
      <c r="L6218" s="16">
        <f>IF(COUNTIFS(Release_Calendar!$A$2:$A$755,"US_NFP",Release_Calendar!$B$2:$B$755,$A6218)&gt;0,1,0)</f>
        <v>0</v>
      </c>
      <c r="M6218" s="16">
        <f>IF($A6218&lt;Notes!$B$5,"",IF(COUNTIFS(Release_Calendar!$A$2:$A$755,"NZ_CPI",Release_Calendar!$B$2:$B$755,$A6218)&gt;0,1,0))</f>
        <v>0</v>
      </c>
      <c r="N6218" s="16">
        <f>IF($A6218&lt;Notes!$B$5,"",IF(COUNTIFS(Release_Calendar!$A$2:$A$755,"NZ_GDP",Release_Calendar!$B$2:$B$755,$A6218)&gt;0,1,0))</f>
        <v>0</v>
      </c>
      <c r="O6218" s="16">
        <f>IF($A6218&lt;Notes!$B$5,"",IF(COUNTIFS(Release_Calendar!$A$2:$A$755,"NZ_LABOUR",Release_Calendar!$B$2:$B$755,$A6218)&gt;0,1,0))</f>
        <v>0</v>
      </c>
      <c r="P6218" s="16">
        <f t="shared" si="4"/>
        <v>0</v>
      </c>
    </row>
    <row r="6219" ht="15.75" customHeight="1">
      <c r="A6219" s="14">
        <v>45231.0</v>
      </c>
      <c r="B6219" s="15">
        <v>4.95</v>
      </c>
      <c r="C6219" s="15">
        <v>5.48</v>
      </c>
      <c r="D6219" s="15"/>
      <c r="E6219" s="15">
        <v>5.51</v>
      </c>
      <c r="F6219" s="15">
        <f t="shared" si="1"/>
        <v>0.53</v>
      </c>
      <c r="G6219" s="15">
        <f t="shared" si="2"/>
        <v>5.48</v>
      </c>
      <c r="H6219" s="16">
        <v>0.0</v>
      </c>
      <c r="I6219" s="15">
        <f t="shared" si="3"/>
        <v>0.53</v>
      </c>
      <c r="J6219" s="15">
        <v>16.87</v>
      </c>
      <c r="K6219" s="16">
        <f>IF(COUNTIFS(Release_Calendar!$A$2:$A$755,"US_CPI",Release_Calendar!$B$2:$B$755,$A6219)&gt;0,1,0)</f>
        <v>0</v>
      </c>
      <c r="L6219" s="16">
        <f>IF(COUNTIFS(Release_Calendar!$A$2:$A$755,"US_NFP",Release_Calendar!$B$2:$B$755,$A6219)&gt;0,1,0)</f>
        <v>0</v>
      </c>
      <c r="M6219" s="16">
        <f>IF($A6219&lt;Notes!$B$5,"",IF(COUNTIFS(Release_Calendar!$A$2:$A$755,"NZ_CPI",Release_Calendar!$B$2:$B$755,$A6219)&gt;0,1,0))</f>
        <v>0</v>
      </c>
      <c r="N6219" s="16">
        <f>IF($A6219&lt;Notes!$B$5,"",IF(COUNTIFS(Release_Calendar!$A$2:$A$755,"NZ_GDP",Release_Calendar!$B$2:$B$755,$A6219)&gt;0,1,0))</f>
        <v>0</v>
      </c>
      <c r="O6219" s="16">
        <f>IF($A6219&lt;Notes!$B$5,"",IF(COUNTIFS(Release_Calendar!$A$2:$A$755,"NZ_LABOUR",Release_Calendar!$B$2:$B$755,$A6219)&gt;0,1,0))</f>
        <v>1</v>
      </c>
      <c r="P6219" s="16">
        <f t="shared" si="4"/>
        <v>1</v>
      </c>
    </row>
    <row r="6220" ht="15.75" customHeight="1">
      <c r="A6220" s="14">
        <v>45232.0</v>
      </c>
      <c r="B6220" s="15">
        <v>4.98</v>
      </c>
      <c r="C6220" s="15">
        <v>5.36</v>
      </c>
      <c r="D6220" s="15"/>
      <c r="E6220" s="15">
        <v>5.41</v>
      </c>
      <c r="F6220" s="15">
        <f t="shared" si="1"/>
        <v>0.38</v>
      </c>
      <c r="G6220" s="15">
        <f t="shared" si="2"/>
        <v>5.36</v>
      </c>
      <c r="H6220" s="16">
        <v>0.0</v>
      </c>
      <c r="I6220" s="15">
        <f t="shared" si="3"/>
        <v>0.38</v>
      </c>
      <c r="J6220" s="15">
        <v>15.66</v>
      </c>
      <c r="K6220" s="16">
        <f>IF(COUNTIFS(Release_Calendar!$A$2:$A$755,"US_CPI",Release_Calendar!$B$2:$B$755,$A6220)&gt;0,1,0)</f>
        <v>0</v>
      </c>
      <c r="L6220" s="16">
        <f>IF(COUNTIFS(Release_Calendar!$A$2:$A$755,"US_NFP",Release_Calendar!$B$2:$B$755,$A6220)&gt;0,1,0)</f>
        <v>0</v>
      </c>
      <c r="M6220" s="16">
        <f>IF($A6220&lt;Notes!$B$5,"",IF(COUNTIFS(Release_Calendar!$A$2:$A$755,"NZ_CPI",Release_Calendar!$B$2:$B$755,$A6220)&gt;0,1,0))</f>
        <v>0</v>
      </c>
      <c r="N6220" s="16">
        <f>IF($A6220&lt;Notes!$B$5,"",IF(COUNTIFS(Release_Calendar!$A$2:$A$755,"NZ_GDP",Release_Calendar!$B$2:$B$755,$A6220)&gt;0,1,0))</f>
        <v>0</v>
      </c>
      <c r="O6220" s="16">
        <f>IF($A6220&lt;Notes!$B$5,"",IF(COUNTIFS(Release_Calendar!$A$2:$A$755,"NZ_LABOUR",Release_Calendar!$B$2:$B$755,$A6220)&gt;0,1,0))</f>
        <v>0</v>
      </c>
      <c r="P6220" s="16">
        <f t="shared" si="4"/>
        <v>0</v>
      </c>
    </row>
    <row r="6221" ht="15.75" customHeight="1">
      <c r="A6221" s="14">
        <v>45233.0</v>
      </c>
      <c r="B6221" s="15">
        <v>4.83</v>
      </c>
      <c r="C6221" s="15">
        <v>5.37</v>
      </c>
      <c r="D6221" s="15"/>
      <c r="E6221" s="15">
        <v>5.11</v>
      </c>
      <c r="F6221" s="15">
        <f t="shared" si="1"/>
        <v>0.54</v>
      </c>
      <c r="G6221" s="15">
        <f t="shared" si="2"/>
        <v>5.37</v>
      </c>
      <c r="H6221" s="16">
        <v>0.0</v>
      </c>
      <c r="I6221" s="15">
        <f t="shared" si="3"/>
        <v>0.54</v>
      </c>
      <c r="J6221" s="15">
        <v>14.91</v>
      </c>
      <c r="K6221" s="16">
        <f>IF(COUNTIFS(Release_Calendar!$A$2:$A$755,"US_CPI",Release_Calendar!$B$2:$B$755,$A6221)&gt;0,1,0)</f>
        <v>0</v>
      </c>
      <c r="L6221" s="16">
        <f>IF(COUNTIFS(Release_Calendar!$A$2:$A$755,"US_NFP",Release_Calendar!$B$2:$B$755,$A6221)&gt;0,1,0)</f>
        <v>1</v>
      </c>
      <c r="M6221" s="16">
        <f>IF($A6221&lt;Notes!$B$5,"",IF(COUNTIFS(Release_Calendar!$A$2:$A$755,"NZ_CPI",Release_Calendar!$B$2:$B$755,$A6221)&gt;0,1,0))</f>
        <v>0</v>
      </c>
      <c r="N6221" s="16">
        <f>IF($A6221&lt;Notes!$B$5,"",IF(COUNTIFS(Release_Calendar!$A$2:$A$755,"NZ_GDP",Release_Calendar!$B$2:$B$755,$A6221)&gt;0,1,0))</f>
        <v>0</v>
      </c>
      <c r="O6221" s="16">
        <f>IF($A6221&lt;Notes!$B$5,"",IF(COUNTIFS(Release_Calendar!$A$2:$A$755,"NZ_LABOUR",Release_Calendar!$B$2:$B$755,$A6221)&gt;0,1,0))</f>
        <v>0</v>
      </c>
      <c r="P6221" s="16">
        <f t="shared" si="4"/>
        <v>1</v>
      </c>
    </row>
    <row r="6222" ht="15.75" customHeight="1">
      <c r="A6222" s="14">
        <v>45236.0</v>
      </c>
      <c r="B6222" s="15">
        <v>4.93</v>
      </c>
      <c r="C6222" s="15">
        <v>5.3</v>
      </c>
      <c r="D6222" s="15"/>
      <c r="E6222" s="15">
        <v>5.04</v>
      </c>
      <c r="F6222" s="15">
        <f t="shared" si="1"/>
        <v>0.37</v>
      </c>
      <c r="G6222" s="15">
        <f t="shared" si="2"/>
        <v>5.3</v>
      </c>
      <c r="H6222" s="16">
        <v>0.0</v>
      </c>
      <c r="I6222" s="15">
        <f t="shared" si="3"/>
        <v>0.37</v>
      </c>
      <c r="J6222" s="15">
        <v>14.89</v>
      </c>
      <c r="K6222" s="16">
        <f>IF(COUNTIFS(Release_Calendar!$A$2:$A$755,"US_CPI",Release_Calendar!$B$2:$B$755,$A6222)&gt;0,1,0)</f>
        <v>0</v>
      </c>
      <c r="L6222" s="16">
        <f>IF(COUNTIFS(Release_Calendar!$A$2:$A$755,"US_NFP",Release_Calendar!$B$2:$B$755,$A6222)&gt;0,1,0)</f>
        <v>0</v>
      </c>
      <c r="M6222" s="16">
        <f>IF($A6222&lt;Notes!$B$5,"",IF(COUNTIFS(Release_Calendar!$A$2:$A$755,"NZ_CPI",Release_Calendar!$B$2:$B$755,$A6222)&gt;0,1,0))</f>
        <v>0</v>
      </c>
      <c r="N6222" s="16">
        <f>IF($A6222&lt;Notes!$B$5,"",IF(COUNTIFS(Release_Calendar!$A$2:$A$755,"NZ_GDP",Release_Calendar!$B$2:$B$755,$A6222)&gt;0,1,0))</f>
        <v>0</v>
      </c>
      <c r="O6222" s="16">
        <f>IF($A6222&lt;Notes!$B$5,"",IF(COUNTIFS(Release_Calendar!$A$2:$A$755,"NZ_LABOUR",Release_Calendar!$B$2:$B$755,$A6222)&gt;0,1,0))</f>
        <v>0</v>
      </c>
      <c r="P6222" s="16">
        <f t="shared" si="4"/>
        <v>0</v>
      </c>
    </row>
    <row r="6223" ht="15.75" customHeight="1">
      <c r="A6223" s="14">
        <v>45237.0</v>
      </c>
      <c r="B6223" s="15">
        <v>4.91</v>
      </c>
      <c r="C6223" s="15">
        <v>5.31</v>
      </c>
      <c r="D6223" s="15"/>
      <c r="E6223" s="15">
        <v>5.08</v>
      </c>
      <c r="F6223" s="15">
        <f t="shared" si="1"/>
        <v>0.4</v>
      </c>
      <c r="G6223" s="15">
        <f t="shared" si="2"/>
        <v>5.31</v>
      </c>
      <c r="H6223" s="16">
        <v>0.0</v>
      </c>
      <c r="I6223" s="15">
        <f t="shared" si="3"/>
        <v>0.4</v>
      </c>
      <c r="J6223" s="15">
        <v>14.81</v>
      </c>
      <c r="K6223" s="16">
        <f>IF(COUNTIFS(Release_Calendar!$A$2:$A$755,"US_CPI",Release_Calendar!$B$2:$B$755,$A6223)&gt;0,1,0)</f>
        <v>0</v>
      </c>
      <c r="L6223" s="16">
        <f>IF(COUNTIFS(Release_Calendar!$A$2:$A$755,"US_NFP",Release_Calendar!$B$2:$B$755,$A6223)&gt;0,1,0)</f>
        <v>0</v>
      </c>
      <c r="M6223" s="16">
        <f>IF($A6223&lt;Notes!$B$5,"",IF(COUNTIFS(Release_Calendar!$A$2:$A$755,"NZ_CPI",Release_Calendar!$B$2:$B$755,$A6223)&gt;0,1,0))</f>
        <v>0</v>
      </c>
      <c r="N6223" s="16">
        <f>IF($A6223&lt;Notes!$B$5,"",IF(COUNTIFS(Release_Calendar!$A$2:$A$755,"NZ_GDP",Release_Calendar!$B$2:$B$755,$A6223)&gt;0,1,0))</f>
        <v>0</v>
      </c>
      <c r="O6223" s="16">
        <f>IF($A6223&lt;Notes!$B$5,"",IF(COUNTIFS(Release_Calendar!$A$2:$A$755,"NZ_LABOUR",Release_Calendar!$B$2:$B$755,$A6223)&gt;0,1,0))</f>
        <v>0</v>
      </c>
      <c r="P6223" s="16">
        <f t="shared" si="4"/>
        <v>0</v>
      </c>
    </row>
    <row r="6224" ht="15.75" customHeight="1">
      <c r="A6224" s="14">
        <v>45238.0</v>
      </c>
      <c r="B6224" s="15">
        <v>4.93</v>
      </c>
      <c r="C6224" s="15">
        <v>5.25</v>
      </c>
      <c r="D6224" s="15"/>
      <c r="E6224" s="15">
        <v>5.03</v>
      </c>
      <c r="F6224" s="15">
        <f t="shared" si="1"/>
        <v>0.32</v>
      </c>
      <c r="G6224" s="15">
        <f t="shared" si="2"/>
        <v>5.25</v>
      </c>
      <c r="H6224" s="16">
        <v>0.0</v>
      </c>
      <c r="I6224" s="15">
        <f t="shared" si="3"/>
        <v>0.32</v>
      </c>
      <c r="J6224" s="15">
        <v>14.45</v>
      </c>
      <c r="K6224" s="16">
        <f>IF(COUNTIFS(Release_Calendar!$A$2:$A$755,"US_CPI",Release_Calendar!$B$2:$B$755,$A6224)&gt;0,1,0)</f>
        <v>0</v>
      </c>
      <c r="L6224" s="16">
        <f>IF(COUNTIFS(Release_Calendar!$A$2:$A$755,"US_NFP",Release_Calendar!$B$2:$B$755,$A6224)&gt;0,1,0)</f>
        <v>0</v>
      </c>
      <c r="M6224" s="16">
        <f>IF($A6224&lt;Notes!$B$5,"",IF(COUNTIFS(Release_Calendar!$A$2:$A$755,"NZ_CPI",Release_Calendar!$B$2:$B$755,$A6224)&gt;0,1,0))</f>
        <v>0</v>
      </c>
      <c r="N6224" s="16">
        <f>IF($A6224&lt;Notes!$B$5,"",IF(COUNTIFS(Release_Calendar!$A$2:$A$755,"NZ_GDP",Release_Calendar!$B$2:$B$755,$A6224)&gt;0,1,0))</f>
        <v>0</v>
      </c>
      <c r="O6224" s="16">
        <f>IF($A6224&lt;Notes!$B$5,"",IF(COUNTIFS(Release_Calendar!$A$2:$A$755,"NZ_LABOUR",Release_Calendar!$B$2:$B$755,$A6224)&gt;0,1,0))</f>
        <v>0</v>
      </c>
      <c r="P6224" s="16">
        <f t="shared" si="4"/>
        <v>0</v>
      </c>
    </row>
    <row r="6225" ht="15.75" customHeight="1">
      <c r="A6225" s="14">
        <v>45239.0</v>
      </c>
      <c r="B6225" s="15">
        <v>5.03</v>
      </c>
      <c r="C6225" s="15">
        <v>5.24</v>
      </c>
      <c r="D6225" s="15"/>
      <c r="E6225" s="15">
        <v>4.99</v>
      </c>
      <c r="F6225" s="15">
        <f t="shared" si="1"/>
        <v>0.21</v>
      </c>
      <c r="G6225" s="15">
        <f t="shared" si="2"/>
        <v>5.24</v>
      </c>
      <c r="H6225" s="16">
        <v>0.0</v>
      </c>
      <c r="I6225" s="15">
        <f t="shared" si="3"/>
        <v>0.21</v>
      </c>
      <c r="J6225" s="15">
        <v>15.29</v>
      </c>
      <c r="K6225" s="16">
        <f>IF(COUNTIFS(Release_Calendar!$A$2:$A$755,"US_CPI",Release_Calendar!$B$2:$B$755,$A6225)&gt;0,1,0)</f>
        <v>0</v>
      </c>
      <c r="L6225" s="16">
        <f>IF(COUNTIFS(Release_Calendar!$A$2:$A$755,"US_NFP",Release_Calendar!$B$2:$B$755,$A6225)&gt;0,1,0)</f>
        <v>0</v>
      </c>
      <c r="M6225" s="16">
        <f>IF($A6225&lt;Notes!$B$5,"",IF(COUNTIFS(Release_Calendar!$A$2:$A$755,"NZ_CPI",Release_Calendar!$B$2:$B$755,$A6225)&gt;0,1,0))</f>
        <v>0</v>
      </c>
      <c r="N6225" s="16">
        <f>IF($A6225&lt;Notes!$B$5,"",IF(COUNTIFS(Release_Calendar!$A$2:$A$755,"NZ_GDP",Release_Calendar!$B$2:$B$755,$A6225)&gt;0,1,0))</f>
        <v>0</v>
      </c>
      <c r="O6225" s="16">
        <f>IF($A6225&lt;Notes!$B$5,"",IF(COUNTIFS(Release_Calendar!$A$2:$A$755,"NZ_LABOUR",Release_Calendar!$B$2:$B$755,$A6225)&gt;0,1,0))</f>
        <v>0</v>
      </c>
      <c r="P6225" s="16">
        <f t="shared" si="4"/>
        <v>0</v>
      </c>
    </row>
    <row r="6226" ht="15.75" customHeight="1">
      <c r="A6226" s="14">
        <v>45240.0</v>
      </c>
      <c r="B6226" s="15">
        <v>5.04</v>
      </c>
      <c r="C6226" s="15">
        <v>5.31</v>
      </c>
      <c r="D6226" s="15"/>
      <c r="E6226" s="15">
        <v>5.05</v>
      </c>
      <c r="F6226" s="15">
        <f t="shared" si="1"/>
        <v>0.27</v>
      </c>
      <c r="G6226" s="15">
        <f t="shared" si="2"/>
        <v>5.31</v>
      </c>
      <c r="H6226" s="16">
        <v>0.0</v>
      </c>
      <c r="I6226" s="15">
        <f t="shared" si="3"/>
        <v>0.27</v>
      </c>
      <c r="J6226" s="15">
        <v>14.17</v>
      </c>
      <c r="K6226" s="16">
        <f>IF(COUNTIFS(Release_Calendar!$A$2:$A$755,"US_CPI",Release_Calendar!$B$2:$B$755,$A6226)&gt;0,1,0)</f>
        <v>0</v>
      </c>
      <c r="L6226" s="16">
        <f>IF(COUNTIFS(Release_Calendar!$A$2:$A$755,"US_NFP",Release_Calendar!$B$2:$B$755,$A6226)&gt;0,1,0)</f>
        <v>0</v>
      </c>
      <c r="M6226" s="16">
        <f>IF($A6226&lt;Notes!$B$5,"",IF(COUNTIFS(Release_Calendar!$A$2:$A$755,"NZ_CPI",Release_Calendar!$B$2:$B$755,$A6226)&gt;0,1,0))</f>
        <v>0</v>
      </c>
      <c r="N6226" s="16">
        <f>IF($A6226&lt;Notes!$B$5,"",IF(COUNTIFS(Release_Calendar!$A$2:$A$755,"NZ_GDP",Release_Calendar!$B$2:$B$755,$A6226)&gt;0,1,0))</f>
        <v>0</v>
      </c>
      <c r="O6226" s="16">
        <f>IF($A6226&lt;Notes!$B$5,"",IF(COUNTIFS(Release_Calendar!$A$2:$A$755,"NZ_LABOUR",Release_Calendar!$B$2:$B$755,$A6226)&gt;0,1,0))</f>
        <v>0</v>
      </c>
      <c r="P6226" s="16">
        <f t="shared" si="4"/>
        <v>0</v>
      </c>
    </row>
    <row r="6227" ht="15.75" customHeight="1">
      <c r="A6227" s="14">
        <v>45243.0</v>
      </c>
      <c r="B6227" s="15">
        <v>5.02</v>
      </c>
      <c r="C6227" s="15">
        <v>5.37</v>
      </c>
      <c r="D6227" s="15"/>
      <c r="E6227" s="15">
        <v>5.1</v>
      </c>
      <c r="F6227" s="15">
        <f t="shared" si="1"/>
        <v>0.35</v>
      </c>
      <c r="G6227" s="15">
        <f t="shared" si="2"/>
        <v>5.37</v>
      </c>
      <c r="H6227" s="16">
        <v>0.0</v>
      </c>
      <c r="I6227" s="15">
        <f t="shared" si="3"/>
        <v>0.35</v>
      </c>
      <c r="J6227" s="15">
        <v>14.76</v>
      </c>
      <c r="K6227" s="16">
        <f>IF(COUNTIFS(Release_Calendar!$A$2:$A$755,"US_CPI",Release_Calendar!$B$2:$B$755,$A6227)&gt;0,1,0)</f>
        <v>0</v>
      </c>
      <c r="L6227" s="16">
        <f>IF(COUNTIFS(Release_Calendar!$A$2:$A$755,"US_NFP",Release_Calendar!$B$2:$B$755,$A6227)&gt;0,1,0)</f>
        <v>0</v>
      </c>
      <c r="M6227" s="16">
        <f>IF($A6227&lt;Notes!$B$5,"",IF(COUNTIFS(Release_Calendar!$A$2:$A$755,"NZ_CPI",Release_Calendar!$B$2:$B$755,$A6227)&gt;0,1,0))</f>
        <v>0</v>
      </c>
      <c r="N6227" s="16">
        <f>IF($A6227&lt;Notes!$B$5,"",IF(COUNTIFS(Release_Calendar!$A$2:$A$755,"NZ_GDP",Release_Calendar!$B$2:$B$755,$A6227)&gt;0,1,0))</f>
        <v>0</v>
      </c>
      <c r="O6227" s="16">
        <f>IF($A6227&lt;Notes!$B$5,"",IF(COUNTIFS(Release_Calendar!$A$2:$A$755,"NZ_LABOUR",Release_Calendar!$B$2:$B$755,$A6227)&gt;0,1,0))</f>
        <v>0</v>
      </c>
      <c r="P6227" s="16">
        <f t="shared" si="4"/>
        <v>0</v>
      </c>
    </row>
    <row r="6228" ht="15.75" customHeight="1">
      <c r="A6228" s="14">
        <v>45244.0</v>
      </c>
      <c r="B6228" s="15">
        <v>4.8</v>
      </c>
      <c r="C6228" s="15">
        <v>5.34</v>
      </c>
      <c r="D6228" s="15"/>
      <c r="E6228" s="15">
        <v>5.09</v>
      </c>
      <c r="F6228" s="15">
        <f t="shared" si="1"/>
        <v>0.54</v>
      </c>
      <c r="G6228" s="15">
        <f t="shared" si="2"/>
        <v>5.34</v>
      </c>
      <c r="H6228" s="16">
        <v>0.0</v>
      </c>
      <c r="I6228" s="15">
        <f t="shared" si="3"/>
        <v>0.54</v>
      </c>
      <c r="J6228" s="15">
        <v>14.16</v>
      </c>
      <c r="K6228" s="16">
        <f>IF(COUNTIFS(Release_Calendar!$A$2:$A$755,"US_CPI",Release_Calendar!$B$2:$B$755,$A6228)&gt;0,1,0)</f>
        <v>1</v>
      </c>
      <c r="L6228" s="16">
        <f>IF(COUNTIFS(Release_Calendar!$A$2:$A$755,"US_NFP",Release_Calendar!$B$2:$B$755,$A6228)&gt;0,1,0)</f>
        <v>0</v>
      </c>
      <c r="M6228" s="16">
        <f>IF($A6228&lt;Notes!$B$5,"",IF(COUNTIFS(Release_Calendar!$A$2:$A$755,"NZ_CPI",Release_Calendar!$B$2:$B$755,$A6228)&gt;0,1,0))</f>
        <v>0</v>
      </c>
      <c r="N6228" s="16">
        <f>IF($A6228&lt;Notes!$B$5,"",IF(COUNTIFS(Release_Calendar!$A$2:$A$755,"NZ_GDP",Release_Calendar!$B$2:$B$755,$A6228)&gt;0,1,0))</f>
        <v>0</v>
      </c>
      <c r="O6228" s="16">
        <f>IF($A6228&lt;Notes!$B$5,"",IF(COUNTIFS(Release_Calendar!$A$2:$A$755,"NZ_LABOUR",Release_Calendar!$B$2:$B$755,$A6228)&gt;0,1,0))</f>
        <v>0</v>
      </c>
      <c r="P6228" s="16">
        <f t="shared" si="4"/>
        <v>1</v>
      </c>
    </row>
    <row r="6229" ht="15.75" customHeight="1">
      <c r="A6229" s="14">
        <v>45245.0</v>
      </c>
      <c r="B6229" s="15">
        <v>4.9</v>
      </c>
      <c r="C6229" s="15">
        <v>5.18</v>
      </c>
      <c r="D6229" s="15"/>
      <c r="E6229" s="15">
        <v>4.94</v>
      </c>
      <c r="F6229" s="15">
        <f t="shared" si="1"/>
        <v>0.28</v>
      </c>
      <c r="G6229" s="15">
        <f t="shared" si="2"/>
        <v>5.18</v>
      </c>
      <c r="H6229" s="16">
        <v>0.0</v>
      </c>
      <c r="I6229" s="15">
        <f t="shared" si="3"/>
        <v>0.28</v>
      </c>
      <c r="J6229" s="15">
        <v>14.18</v>
      </c>
      <c r="K6229" s="16">
        <f>IF(COUNTIFS(Release_Calendar!$A$2:$A$755,"US_CPI",Release_Calendar!$B$2:$B$755,$A6229)&gt;0,1,0)</f>
        <v>0</v>
      </c>
      <c r="L6229" s="16">
        <f>IF(COUNTIFS(Release_Calendar!$A$2:$A$755,"US_NFP",Release_Calendar!$B$2:$B$755,$A6229)&gt;0,1,0)</f>
        <v>0</v>
      </c>
      <c r="M6229" s="16">
        <f>IF($A6229&lt;Notes!$B$5,"",IF(COUNTIFS(Release_Calendar!$A$2:$A$755,"NZ_CPI",Release_Calendar!$B$2:$B$755,$A6229)&gt;0,1,0))</f>
        <v>0</v>
      </c>
      <c r="N6229" s="16">
        <f>IF($A6229&lt;Notes!$B$5,"",IF(COUNTIFS(Release_Calendar!$A$2:$A$755,"NZ_GDP",Release_Calendar!$B$2:$B$755,$A6229)&gt;0,1,0))</f>
        <v>0</v>
      </c>
      <c r="O6229" s="16">
        <f>IF($A6229&lt;Notes!$B$5,"",IF(COUNTIFS(Release_Calendar!$A$2:$A$755,"NZ_LABOUR",Release_Calendar!$B$2:$B$755,$A6229)&gt;0,1,0))</f>
        <v>0</v>
      </c>
      <c r="P6229" s="16">
        <f t="shared" si="4"/>
        <v>0</v>
      </c>
    </row>
    <row r="6230" ht="15.75" customHeight="1">
      <c r="A6230" s="14">
        <v>45246.0</v>
      </c>
      <c r="B6230" s="15">
        <v>4.83</v>
      </c>
      <c r="C6230" s="15">
        <v>5.15</v>
      </c>
      <c r="D6230" s="15"/>
      <c r="E6230" s="15">
        <v>4.91</v>
      </c>
      <c r="F6230" s="15">
        <f t="shared" si="1"/>
        <v>0.32</v>
      </c>
      <c r="G6230" s="15">
        <f t="shared" si="2"/>
        <v>5.15</v>
      </c>
      <c r="H6230" s="16">
        <v>0.0</v>
      </c>
      <c r="I6230" s="15">
        <f t="shared" si="3"/>
        <v>0.32</v>
      </c>
      <c r="J6230" s="15">
        <v>14.32</v>
      </c>
      <c r="K6230" s="16">
        <f>IF(COUNTIFS(Release_Calendar!$A$2:$A$755,"US_CPI",Release_Calendar!$B$2:$B$755,$A6230)&gt;0,1,0)</f>
        <v>0</v>
      </c>
      <c r="L6230" s="16">
        <f>IF(COUNTIFS(Release_Calendar!$A$2:$A$755,"US_NFP",Release_Calendar!$B$2:$B$755,$A6230)&gt;0,1,0)</f>
        <v>0</v>
      </c>
      <c r="M6230" s="16">
        <f>IF($A6230&lt;Notes!$B$5,"",IF(COUNTIFS(Release_Calendar!$A$2:$A$755,"NZ_CPI",Release_Calendar!$B$2:$B$755,$A6230)&gt;0,1,0))</f>
        <v>0</v>
      </c>
      <c r="N6230" s="16">
        <f>IF($A6230&lt;Notes!$B$5,"",IF(COUNTIFS(Release_Calendar!$A$2:$A$755,"NZ_GDP",Release_Calendar!$B$2:$B$755,$A6230)&gt;0,1,0))</f>
        <v>0</v>
      </c>
      <c r="O6230" s="16">
        <f>IF($A6230&lt;Notes!$B$5,"",IF(COUNTIFS(Release_Calendar!$A$2:$A$755,"NZ_LABOUR",Release_Calendar!$B$2:$B$755,$A6230)&gt;0,1,0))</f>
        <v>0</v>
      </c>
      <c r="P6230" s="16">
        <f t="shared" si="4"/>
        <v>0</v>
      </c>
    </row>
    <row r="6231" ht="15.75" customHeight="1">
      <c r="A6231" s="14">
        <v>45247.0</v>
      </c>
      <c r="B6231" s="15">
        <v>4.88</v>
      </c>
      <c r="C6231" s="15">
        <v>5.07</v>
      </c>
      <c r="D6231" s="15"/>
      <c r="E6231" s="15">
        <v>4.82</v>
      </c>
      <c r="F6231" s="15">
        <f t="shared" si="1"/>
        <v>0.19</v>
      </c>
      <c r="G6231" s="15">
        <f t="shared" si="2"/>
        <v>5.07</v>
      </c>
      <c r="H6231" s="16">
        <v>0.0</v>
      </c>
      <c r="I6231" s="15">
        <f t="shared" si="3"/>
        <v>0.19</v>
      </c>
      <c r="J6231" s="15">
        <v>13.8</v>
      </c>
      <c r="K6231" s="16">
        <f>IF(COUNTIFS(Release_Calendar!$A$2:$A$755,"US_CPI",Release_Calendar!$B$2:$B$755,$A6231)&gt;0,1,0)</f>
        <v>0</v>
      </c>
      <c r="L6231" s="16">
        <f>IF(COUNTIFS(Release_Calendar!$A$2:$A$755,"US_NFP",Release_Calendar!$B$2:$B$755,$A6231)&gt;0,1,0)</f>
        <v>0</v>
      </c>
      <c r="M6231" s="16">
        <f>IF($A6231&lt;Notes!$B$5,"",IF(COUNTIFS(Release_Calendar!$A$2:$A$755,"NZ_CPI",Release_Calendar!$B$2:$B$755,$A6231)&gt;0,1,0))</f>
        <v>0</v>
      </c>
      <c r="N6231" s="16">
        <f>IF($A6231&lt;Notes!$B$5,"",IF(COUNTIFS(Release_Calendar!$A$2:$A$755,"NZ_GDP",Release_Calendar!$B$2:$B$755,$A6231)&gt;0,1,0))</f>
        <v>0</v>
      </c>
      <c r="O6231" s="16">
        <f>IF($A6231&lt;Notes!$B$5,"",IF(COUNTIFS(Release_Calendar!$A$2:$A$755,"NZ_LABOUR",Release_Calendar!$B$2:$B$755,$A6231)&gt;0,1,0))</f>
        <v>0</v>
      </c>
      <c r="P6231" s="16">
        <f t="shared" si="4"/>
        <v>0</v>
      </c>
    </row>
    <row r="6232" ht="15.75" customHeight="1">
      <c r="A6232" s="14">
        <v>45250.0</v>
      </c>
      <c r="B6232" s="15">
        <v>4.89</v>
      </c>
      <c r="C6232" s="15">
        <v>5.09</v>
      </c>
      <c r="D6232" s="15"/>
      <c r="E6232" s="15">
        <v>4.86</v>
      </c>
      <c r="F6232" s="15">
        <f t="shared" si="1"/>
        <v>0.2</v>
      </c>
      <c r="G6232" s="15">
        <f t="shared" si="2"/>
        <v>5.09</v>
      </c>
      <c r="H6232" s="16">
        <v>0.0</v>
      </c>
      <c r="I6232" s="15">
        <f t="shared" si="3"/>
        <v>0.2</v>
      </c>
      <c r="J6232" s="15">
        <v>13.41</v>
      </c>
      <c r="K6232" s="16">
        <f>IF(COUNTIFS(Release_Calendar!$A$2:$A$755,"US_CPI",Release_Calendar!$B$2:$B$755,$A6232)&gt;0,1,0)</f>
        <v>0</v>
      </c>
      <c r="L6232" s="16">
        <f>IF(COUNTIFS(Release_Calendar!$A$2:$A$755,"US_NFP",Release_Calendar!$B$2:$B$755,$A6232)&gt;0,1,0)</f>
        <v>0</v>
      </c>
      <c r="M6232" s="16">
        <f>IF($A6232&lt;Notes!$B$5,"",IF(COUNTIFS(Release_Calendar!$A$2:$A$755,"NZ_CPI",Release_Calendar!$B$2:$B$755,$A6232)&gt;0,1,0))</f>
        <v>0</v>
      </c>
      <c r="N6232" s="16">
        <f>IF($A6232&lt;Notes!$B$5,"",IF(COUNTIFS(Release_Calendar!$A$2:$A$755,"NZ_GDP",Release_Calendar!$B$2:$B$755,$A6232)&gt;0,1,0))</f>
        <v>0</v>
      </c>
      <c r="O6232" s="16">
        <f>IF($A6232&lt;Notes!$B$5,"",IF(COUNTIFS(Release_Calendar!$A$2:$A$755,"NZ_LABOUR",Release_Calendar!$B$2:$B$755,$A6232)&gt;0,1,0))</f>
        <v>0</v>
      </c>
      <c r="P6232" s="16">
        <f t="shared" si="4"/>
        <v>0</v>
      </c>
    </row>
    <row r="6233" ht="15.75" customHeight="1">
      <c r="A6233" s="14">
        <v>45251.0</v>
      </c>
      <c r="B6233" s="15">
        <v>4.86</v>
      </c>
      <c r="C6233" s="15">
        <v>5.11</v>
      </c>
      <c r="D6233" s="15"/>
      <c r="E6233" s="15">
        <v>4.84</v>
      </c>
      <c r="F6233" s="15">
        <f t="shared" si="1"/>
        <v>0.25</v>
      </c>
      <c r="G6233" s="15">
        <f t="shared" si="2"/>
        <v>5.11</v>
      </c>
      <c r="H6233" s="16">
        <v>0.0</v>
      </c>
      <c r="I6233" s="15">
        <f t="shared" si="3"/>
        <v>0.25</v>
      </c>
      <c r="J6233" s="15">
        <v>13.35</v>
      </c>
      <c r="K6233" s="16">
        <f>IF(COUNTIFS(Release_Calendar!$A$2:$A$755,"US_CPI",Release_Calendar!$B$2:$B$755,$A6233)&gt;0,1,0)</f>
        <v>0</v>
      </c>
      <c r="L6233" s="16">
        <f>IF(COUNTIFS(Release_Calendar!$A$2:$A$755,"US_NFP",Release_Calendar!$B$2:$B$755,$A6233)&gt;0,1,0)</f>
        <v>0</v>
      </c>
      <c r="M6233" s="16">
        <f>IF($A6233&lt;Notes!$B$5,"",IF(COUNTIFS(Release_Calendar!$A$2:$A$755,"NZ_CPI",Release_Calendar!$B$2:$B$755,$A6233)&gt;0,1,0))</f>
        <v>0</v>
      </c>
      <c r="N6233" s="16">
        <f>IF($A6233&lt;Notes!$B$5,"",IF(COUNTIFS(Release_Calendar!$A$2:$A$755,"NZ_GDP",Release_Calendar!$B$2:$B$755,$A6233)&gt;0,1,0))</f>
        <v>0</v>
      </c>
      <c r="O6233" s="16">
        <f>IF($A6233&lt;Notes!$B$5,"",IF(COUNTIFS(Release_Calendar!$A$2:$A$755,"NZ_LABOUR",Release_Calendar!$B$2:$B$755,$A6233)&gt;0,1,0))</f>
        <v>0</v>
      </c>
      <c r="P6233" s="16">
        <f t="shared" si="4"/>
        <v>0</v>
      </c>
    </row>
    <row r="6234" ht="15.75" customHeight="1">
      <c r="A6234" s="14">
        <v>45252.0</v>
      </c>
      <c r="B6234" s="15">
        <v>4.89</v>
      </c>
      <c r="C6234" s="15">
        <v>5.14</v>
      </c>
      <c r="D6234" s="15"/>
      <c r="E6234" s="15">
        <v>4.88</v>
      </c>
      <c r="F6234" s="15">
        <f t="shared" si="1"/>
        <v>0.25</v>
      </c>
      <c r="G6234" s="15">
        <f t="shared" si="2"/>
        <v>5.14</v>
      </c>
      <c r="H6234" s="16">
        <v>0.0</v>
      </c>
      <c r="I6234" s="15">
        <f t="shared" si="3"/>
        <v>0.25</v>
      </c>
      <c r="J6234" s="15">
        <v>12.85</v>
      </c>
      <c r="K6234" s="16">
        <f>IF(COUNTIFS(Release_Calendar!$A$2:$A$755,"US_CPI",Release_Calendar!$B$2:$B$755,$A6234)&gt;0,1,0)</f>
        <v>0</v>
      </c>
      <c r="L6234" s="16">
        <f>IF(COUNTIFS(Release_Calendar!$A$2:$A$755,"US_NFP",Release_Calendar!$B$2:$B$755,$A6234)&gt;0,1,0)</f>
        <v>0</v>
      </c>
      <c r="M6234" s="16">
        <f>IF($A6234&lt;Notes!$B$5,"",IF(COUNTIFS(Release_Calendar!$A$2:$A$755,"NZ_CPI",Release_Calendar!$B$2:$B$755,$A6234)&gt;0,1,0))</f>
        <v>0</v>
      </c>
      <c r="N6234" s="16">
        <f>IF($A6234&lt;Notes!$B$5,"",IF(COUNTIFS(Release_Calendar!$A$2:$A$755,"NZ_GDP",Release_Calendar!$B$2:$B$755,$A6234)&gt;0,1,0))</f>
        <v>0</v>
      </c>
      <c r="O6234" s="16">
        <f>IF($A6234&lt;Notes!$B$5,"",IF(COUNTIFS(Release_Calendar!$A$2:$A$755,"NZ_LABOUR",Release_Calendar!$B$2:$B$755,$A6234)&gt;0,1,0))</f>
        <v>0</v>
      </c>
      <c r="P6234" s="16">
        <f t="shared" si="4"/>
        <v>0</v>
      </c>
    </row>
    <row r="6235" ht="15.75" customHeight="1">
      <c r="A6235" s="14">
        <v>45253.0</v>
      </c>
      <c r="B6235" s="15"/>
      <c r="C6235" s="15">
        <v>5.21</v>
      </c>
      <c r="D6235" s="15"/>
      <c r="E6235" s="15">
        <v>4.96</v>
      </c>
      <c r="F6235" s="15" t="str">
        <f t="shared" si="1"/>
        <v/>
      </c>
      <c r="G6235" s="15">
        <f t="shared" si="2"/>
        <v>5.21</v>
      </c>
      <c r="H6235" s="16">
        <v>0.0</v>
      </c>
      <c r="I6235" s="15" t="str">
        <f t="shared" si="3"/>
        <v/>
      </c>
      <c r="J6235" s="15">
        <v>12.8</v>
      </c>
      <c r="K6235" s="16">
        <f>IF(COUNTIFS(Release_Calendar!$A$2:$A$755,"US_CPI",Release_Calendar!$B$2:$B$755,$A6235)&gt;0,1,0)</f>
        <v>0</v>
      </c>
      <c r="L6235" s="16">
        <f>IF(COUNTIFS(Release_Calendar!$A$2:$A$755,"US_NFP",Release_Calendar!$B$2:$B$755,$A6235)&gt;0,1,0)</f>
        <v>0</v>
      </c>
      <c r="M6235" s="16">
        <f>IF($A6235&lt;Notes!$B$5,"",IF(COUNTIFS(Release_Calendar!$A$2:$A$755,"NZ_CPI",Release_Calendar!$B$2:$B$755,$A6235)&gt;0,1,0))</f>
        <v>0</v>
      </c>
      <c r="N6235" s="16">
        <f>IF($A6235&lt;Notes!$B$5,"",IF(COUNTIFS(Release_Calendar!$A$2:$A$755,"NZ_GDP",Release_Calendar!$B$2:$B$755,$A6235)&gt;0,1,0))</f>
        <v>0</v>
      </c>
      <c r="O6235" s="16">
        <f>IF($A6235&lt;Notes!$B$5,"",IF(COUNTIFS(Release_Calendar!$A$2:$A$755,"NZ_LABOUR",Release_Calendar!$B$2:$B$755,$A6235)&gt;0,1,0))</f>
        <v>0</v>
      </c>
      <c r="P6235" s="16">
        <f t="shared" si="4"/>
        <v>0</v>
      </c>
    </row>
    <row r="6236" ht="15.75" customHeight="1">
      <c r="A6236" s="14">
        <v>45254.0</v>
      </c>
      <c r="B6236" s="15">
        <v>4.92</v>
      </c>
      <c r="C6236" s="15">
        <v>5.27</v>
      </c>
      <c r="D6236" s="15"/>
      <c r="E6236" s="15">
        <v>5.03</v>
      </c>
      <c r="F6236" s="15">
        <f t="shared" si="1"/>
        <v>0.35</v>
      </c>
      <c r="G6236" s="15">
        <f t="shared" si="2"/>
        <v>5.27</v>
      </c>
      <c r="H6236" s="16">
        <v>0.0</v>
      </c>
      <c r="I6236" s="15">
        <f t="shared" si="3"/>
        <v>0.35</v>
      </c>
      <c r="J6236" s="15">
        <v>12.46</v>
      </c>
      <c r="K6236" s="16">
        <f>IF(COUNTIFS(Release_Calendar!$A$2:$A$755,"US_CPI",Release_Calendar!$B$2:$B$755,$A6236)&gt;0,1,0)</f>
        <v>0</v>
      </c>
      <c r="L6236" s="16">
        <f>IF(COUNTIFS(Release_Calendar!$A$2:$A$755,"US_NFP",Release_Calendar!$B$2:$B$755,$A6236)&gt;0,1,0)</f>
        <v>0</v>
      </c>
      <c r="M6236" s="16">
        <f>IF($A6236&lt;Notes!$B$5,"",IF(COUNTIFS(Release_Calendar!$A$2:$A$755,"NZ_CPI",Release_Calendar!$B$2:$B$755,$A6236)&gt;0,1,0))</f>
        <v>0</v>
      </c>
      <c r="N6236" s="16">
        <f>IF($A6236&lt;Notes!$B$5,"",IF(COUNTIFS(Release_Calendar!$A$2:$A$755,"NZ_GDP",Release_Calendar!$B$2:$B$755,$A6236)&gt;0,1,0))</f>
        <v>0</v>
      </c>
      <c r="O6236" s="16">
        <f>IF($A6236&lt;Notes!$B$5,"",IF(COUNTIFS(Release_Calendar!$A$2:$A$755,"NZ_LABOUR",Release_Calendar!$B$2:$B$755,$A6236)&gt;0,1,0))</f>
        <v>0</v>
      </c>
      <c r="P6236" s="16">
        <f t="shared" si="4"/>
        <v>0</v>
      </c>
    </row>
    <row r="6237" ht="15.75" customHeight="1">
      <c r="A6237" s="14">
        <v>45257.0</v>
      </c>
      <c r="B6237" s="15">
        <v>4.84</v>
      </c>
      <c r="C6237" s="15">
        <v>5.27</v>
      </c>
      <c r="D6237" s="15"/>
      <c r="E6237" s="15">
        <v>5.05</v>
      </c>
      <c r="F6237" s="15">
        <f t="shared" si="1"/>
        <v>0.43</v>
      </c>
      <c r="G6237" s="15">
        <f t="shared" si="2"/>
        <v>5.27</v>
      </c>
      <c r="H6237" s="16">
        <v>0.0</v>
      </c>
      <c r="I6237" s="15">
        <f t="shared" si="3"/>
        <v>0.43</v>
      </c>
      <c r="J6237" s="15">
        <v>12.69</v>
      </c>
      <c r="K6237" s="16">
        <f>IF(COUNTIFS(Release_Calendar!$A$2:$A$755,"US_CPI",Release_Calendar!$B$2:$B$755,$A6237)&gt;0,1,0)</f>
        <v>0</v>
      </c>
      <c r="L6237" s="16">
        <f>IF(COUNTIFS(Release_Calendar!$A$2:$A$755,"US_NFP",Release_Calendar!$B$2:$B$755,$A6237)&gt;0,1,0)</f>
        <v>0</v>
      </c>
      <c r="M6237" s="16">
        <f>IF($A6237&lt;Notes!$B$5,"",IF(COUNTIFS(Release_Calendar!$A$2:$A$755,"NZ_CPI",Release_Calendar!$B$2:$B$755,$A6237)&gt;0,1,0))</f>
        <v>0</v>
      </c>
      <c r="N6237" s="16">
        <f>IF($A6237&lt;Notes!$B$5,"",IF(COUNTIFS(Release_Calendar!$A$2:$A$755,"NZ_GDP",Release_Calendar!$B$2:$B$755,$A6237)&gt;0,1,0))</f>
        <v>0</v>
      </c>
      <c r="O6237" s="16">
        <f>IF($A6237&lt;Notes!$B$5,"",IF(COUNTIFS(Release_Calendar!$A$2:$A$755,"NZ_LABOUR",Release_Calendar!$B$2:$B$755,$A6237)&gt;0,1,0))</f>
        <v>0</v>
      </c>
      <c r="P6237" s="16">
        <f t="shared" si="4"/>
        <v>0</v>
      </c>
    </row>
    <row r="6238" ht="15.75" customHeight="1">
      <c r="A6238" s="14">
        <v>45258.0</v>
      </c>
      <c r="B6238" s="15">
        <v>4.73</v>
      </c>
      <c r="C6238" s="15">
        <v>5.16</v>
      </c>
      <c r="D6238" s="15"/>
      <c r="E6238" s="15">
        <v>4.96</v>
      </c>
      <c r="F6238" s="15">
        <f t="shared" si="1"/>
        <v>0.43</v>
      </c>
      <c r="G6238" s="15">
        <f t="shared" si="2"/>
        <v>5.16</v>
      </c>
      <c r="H6238" s="16">
        <v>0.0</v>
      </c>
      <c r="I6238" s="15">
        <f t="shared" si="3"/>
        <v>0.43</v>
      </c>
      <c r="J6238" s="15">
        <v>12.69</v>
      </c>
      <c r="K6238" s="16">
        <f>IF(COUNTIFS(Release_Calendar!$A$2:$A$755,"US_CPI",Release_Calendar!$B$2:$B$755,$A6238)&gt;0,1,0)</f>
        <v>0</v>
      </c>
      <c r="L6238" s="16">
        <f>IF(COUNTIFS(Release_Calendar!$A$2:$A$755,"US_NFP",Release_Calendar!$B$2:$B$755,$A6238)&gt;0,1,0)</f>
        <v>0</v>
      </c>
      <c r="M6238" s="16">
        <f>IF($A6238&lt;Notes!$B$5,"",IF(COUNTIFS(Release_Calendar!$A$2:$A$755,"NZ_CPI",Release_Calendar!$B$2:$B$755,$A6238)&gt;0,1,0))</f>
        <v>0</v>
      </c>
      <c r="N6238" s="16">
        <f>IF($A6238&lt;Notes!$B$5,"",IF(COUNTIFS(Release_Calendar!$A$2:$A$755,"NZ_GDP",Release_Calendar!$B$2:$B$755,$A6238)&gt;0,1,0))</f>
        <v>0</v>
      </c>
      <c r="O6238" s="16">
        <f>IF($A6238&lt;Notes!$B$5,"",IF(COUNTIFS(Release_Calendar!$A$2:$A$755,"NZ_LABOUR",Release_Calendar!$B$2:$B$755,$A6238)&gt;0,1,0))</f>
        <v>0</v>
      </c>
      <c r="P6238" s="16">
        <f t="shared" si="4"/>
        <v>0</v>
      </c>
    </row>
    <row r="6239" ht="15.75" customHeight="1">
      <c r="A6239" s="14">
        <v>45259.0</v>
      </c>
      <c r="B6239" s="15">
        <v>4.64</v>
      </c>
      <c r="C6239" s="15">
        <v>5.22</v>
      </c>
      <c r="D6239" s="15"/>
      <c r="E6239" s="15">
        <v>4.97</v>
      </c>
      <c r="F6239" s="15">
        <f t="shared" si="1"/>
        <v>0.58</v>
      </c>
      <c r="G6239" s="15">
        <f t="shared" si="2"/>
        <v>5.22</v>
      </c>
      <c r="H6239" s="16">
        <v>0.0</v>
      </c>
      <c r="I6239" s="15">
        <f t="shared" si="3"/>
        <v>0.58</v>
      </c>
      <c r="J6239" s="15">
        <v>12.98</v>
      </c>
      <c r="K6239" s="16">
        <f>IF(COUNTIFS(Release_Calendar!$A$2:$A$755,"US_CPI",Release_Calendar!$B$2:$B$755,$A6239)&gt;0,1,0)</f>
        <v>0</v>
      </c>
      <c r="L6239" s="16">
        <f>IF(COUNTIFS(Release_Calendar!$A$2:$A$755,"US_NFP",Release_Calendar!$B$2:$B$755,$A6239)&gt;0,1,0)</f>
        <v>0</v>
      </c>
      <c r="M6239" s="16">
        <f>IF($A6239&lt;Notes!$B$5,"",IF(COUNTIFS(Release_Calendar!$A$2:$A$755,"NZ_CPI",Release_Calendar!$B$2:$B$755,$A6239)&gt;0,1,0))</f>
        <v>0</v>
      </c>
      <c r="N6239" s="16">
        <f>IF($A6239&lt;Notes!$B$5,"",IF(COUNTIFS(Release_Calendar!$A$2:$A$755,"NZ_GDP",Release_Calendar!$B$2:$B$755,$A6239)&gt;0,1,0))</f>
        <v>0</v>
      </c>
      <c r="O6239" s="16">
        <f>IF($A6239&lt;Notes!$B$5,"",IF(COUNTIFS(Release_Calendar!$A$2:$A$755,"NZ_LABOUR",Release_Calendar!$B$2:$B$755,$A6239)&gt;0,1,0))</f>
        <v>0</v>
      </c>
      <c r="P6239" s="16">
        <f t="shared" si="4"/>
        <v>0</v>
      </c>
    </row>
    <row r="6240" ht="15.75" customHeight="1">
      <c r="A6240" s="14">
        <v>45260.0</v>
      </c>
      <c r="B6240" s="15">
        <v>4.73</v>
      </c>
      <c r="C6240" s="15">
        <v>5.15</v>
      </c>
      <c r="D6240" s="15"/>
      <c r="E6240" s="15">
        <v>4.9</v>
      </c>
      <c r="F6240" s="15">
        <f t="shared" si="1"/>
        <v>0.42</v>
      </c>
      <c r="G6240" s="15">
        <f t="shared" si="2"/>
        <v>5.15</v>
      </c>
      <c r="H6240" s="16">
        <v>0.0</v>
      </c>
      <c r="I6240" s="15">
        <f t="shared" si="3"/>
        <v>0.42</v>
      </c>
      <c r="J6240" s="15">
        <v>12.92</v>
      </c>
      <c r="K6240" s="16">
        <f>IF(COUNTIFS(Release_Calendar!$A$2:$A$755,"US_CPI",Release_Calendar!$B$2:$B$755,$A6240)&gt;0,1,0)</f>
        <v>0</v>
      </c>
      <c r="L6240" s="16">
        <f>IF(COUNTIFS(Release_Calendar!$A$2:$A$755,"US_NFP",Release_Calendar!$B$2:$B$755,$A6240)&gt;0,1,0)</f>
        <v>0</v>
      </c>
      <c r="M6240" s="16">
        <f>IF($A6240&lt;Notes!$B$5,"",IF(COUNTIFS(Release_Calendar!$A$2:$A$755,"NZ_CPI",Release_Calendar!$B$2:$B$755,$A6240)&gt;0,1,0))</f>
        <v>0</v>
      </c>
      <c r="N6240" s="16">
        <f>IF($A6240&lt;Notes!$B$5,"",IF(COUNTIFS(Release_Calendar!$A$2:$A$755,"NZ_GDP",Release_Calendar!$B$2:$B$755,$A6240)&gt;0,1,0))</f>
        <v>0</v>
      </c>
      <c r="O6240" s="16">
        <f>IF($A6240&lt;Notes!$B$5,"",IF(COUNTIFS(Release_Calendar!$A$2:$A$755,"NZ_LABOUR",Release_Calendar!$B$2:$B$755,$A6240)&gt;0,1,0))</f>
        <v>0</v>
      </c>
      <c r="P6240" s="16">
        <f t="shared" si="4"/>
        <v>0</v>
      </c>
    </row>
    <row r="6241" ht="15.75" customHeight="1">
      <c r="A6241" s="14">
        <v>45261.0</v>
      </c>
      <c r="B6241" s="15">
        <v>4.56</v>
      </c>
      <c r="C6241" s="15">
        <v>5.21</v>
      </c>
      <c r="D6241" s="15"/>
      <c r="E6241" s="15">
        <v>4.99</v>
      </c>
      <c r="F6241" s="15">
        <f t="shared" si="1"/>
        <v>0.65</v>
      </c>
      <c r="G6241" s="15">
        <f t="shared" si="2"/>
        <v>5.21</v>
      </c>
      <c r="H6241" s="16">
        <v>0.0</v>
      </c>
      <c r="I6241" s="15">
        <f t="shared" si="3"/>
        <v>0.65</v>
      </c>
      <c r="J6241" s="15">
        <v>12.63</v>
      </c>
      <c r="K6241" s="16">
        <f>IF(COUNTIFS(Release_Calendar!$A$2:$A$755,"US_CPI",Release_Calendar!$B$2:$B$755,$A6241)&gt;0,1,0)</f>
        <v>0</v>
      </c>
      <c r="L6241" s="16">
        <f>IF(COUNTIFS(Release_Calendar!$A$2:$A$755,"US_NFP",Release_Calendar!$B$2:$B$755,$A6241)&gt;0,1,0)</f>
        <v>0</v>
      </c>
      <c r="M6241" s="16">
        <f>IF($A6241&lt;Notes!$B$5,"",IF(COUNTIFS(Release_Calendar!$A$2:$A$755,"NZ_CPI",Release_Calendar!$B$2:$B$755,$A6241)&gt;0,1,0))</f>
        <v>0</v>
      </c>
      <c r="N6241" s="16">
        <f>IF($A6241&lt;Notes!$B$5,"",IF(COUNTIFS(Release_Calendar!$A$2:$A$755,"NZ_GDP",Release_Calendar!$B$2:$B$755,$A6241)&gt;0,1,0))</f>
        <v>0</v>
      </c>
      <c r="O6241" s="16">
        <f>IF($A6241&lt;Notes!$B$5,"",IF(COUNTIFS(Release_Calendar!$A$2:$A$755,"NZ_LABOUR",Release_Calendar!$B$2:$B$755,$A6241)&gt;0,1,0))</f>
        <v>0</v>
      </c>
      <c r="P6241" s="16">
        <f t="shared" si="4"/>
        <v>0</v>
      </c>
    </row>
    <row r="6242" ht="15.75" customHeight="1">
      <c r="A6242" s="14">
        <v>45264.0</v>
      </c>
      <c r="B6242" s="15">
        <v>4.64</v>
      </c>
      <c r="C6242" s="15">
        <v>5.17</v>
      </c>
      <c r="D6242" s="15"/>
      <c r="E6242" s="15">
        <v>4.93</v>
      </c>
      <c r="F6242" s="15">
        <f t="shared" si="1"/>
        <v>0.53</v>
      </c>
      <c r="G6242" s="15">
        <f t="shared" si="2"/>
        <v>5.17</v>
      </c>
      <c r="H6242" s="16">
        <v>0.0</v>
      </c>
      <c r="I6242" s="15">
        <f t="shared" si="3"/>
        <v>0.53</v>
      </c>
      <c r="J6242" s="15">
        <v>13.08</v>
      </c>
      <c r="K6242" s="16">
        <f>IF(COUNTIFS(Release_Calendar!$A$2:$A$755,"US_CPI",Release_Calendar!$B$2:$B$755,$A6242)&gt;0,1,0)</f>
        <v>0</v>
      </c>
      <c r="L6242" s="16">
        <f>IF(COUNTIFS(Release_Calendar!$A$2:$A$755,"US_NFP",Release_Calendar!$B$2:$B$755,$A6242)&gt;0,1,0)</f>
        <v>0</v>
      </c>
      <c r="M6242" s="16">
        <f>IF($A6242&lt;Notes!$B$5,"",IF(COUNTIFS(Release_Calendar!$A$2:$A$755,"NZ_CPI",Release_Calendar!$B$2:$B$755,$A6242)&gt;0,1,0))</f>
        <v>0</v>
      </c>
      <c r="N6242" s="16">
        <f>IF($A6242&lt;Notes!$B$5,"",IF(COUNTIFS(Release_Calendar!$A$2:$A$755,"NZ_GDP",Release_Calendar!$B$2:$B$755,$A6242)&gt;0,1,0))</f>
        <v>0</v>
      </c>
      <c r="O6242" s="16">
        <f>IF($A6242&lt;Notes!$B$5,"",IF(COUNTIFS(Release_Calendar!$A$2:$A$755,"NZ_LABOUR",Release_Calendar!$B$2:$B$755,$A6242)&gt;0,1,0))</f>
        <v>0</v>
      </c>
      <c r="P6242" s="16">
        <f t="shared" si="4"/>
        <v>0</v>
      </c>
    </row>
    <row r="6243" ht="15.75" customHeight="1">
      <c r="A6243" s="14">
        <v>45265.0</v>
      </c>
      <c r="B6243" s="15">
        <v>4.57</v>
      </c>
      <c r="C6243" s="15">
        <v>5.2</v>
      </c>
      <c r="D6243" s="15"/>
      <c r="E6243" s="15">
        <v>4.92</v>
      </c>
      <c r="F6243" s="15">
        <f t="shared" si="1"/>
        <v>0.63</v>
      </c>
      <c r="G6243" s="15">
        <f t="shared" si="2"/>
        <v>5.2</v>
      </c>
      <c r="H6243" s="16">
        <v>0.0</v>
      </c>
      <c r="I6243" s="15">
        <f t="shared" si="3"/>
        <v>0.63</v>
      </c>
      <c r="J6243" s="15">
        <v>12.85</v>
      </c>
      <c r="K6243" s="16">
        <f>IF(COUNTIFS(Release_Calendar!$A$2:$A$755,"US_CPI",Release_Calendar!$B$2:$B$755,$A6243)&gt;0,1,0)</f>
        <v>0</v>
      </c>
      <c r="L6243" s="16">
        <f>IF(COUNTIFS(Release_Calendar!$A$2:$A$755,"US_NFP",Release_Calendar!$B$2:$B$755,$A6243)&gt;0,1,0)</f>
        <v>0</v>
      </c>
      <c r="M6243" s="16">
        <f>IF($A6243&lt;Notes!$B$5,"",IF(COUNTIFS(Release_Calendar!$A$2:$A$755,"NZ_CPI",Release_Calendar!$B$2:$B$755,$A6243)&gt;0,1,0))</f>
        <v>0</v>
      </c>
      <c r="N6243" s="16">
        <f>IF($A6243&lt;Notes!$B$5,"",IF(COUNTIFS(Release_Calendar!$A$2:$A$755,"NZ_GDP",Release_Calendar!$B$2:$B$755,$A6243)&gt;0,1,0))</f>
        <v>0</v>
      </c>
      <c r="O6243" s="16">
        <f>IF($A6243&lt;Notes!$B$5,"",IF(COUNTIFS(Release_Calendar!$A$2:$A$755,"NZ_LABOUR",Release_Calendar!$B$2:$B$755,$A6243)&gt;0,1,0))</f>
        <v>0</v>
      </c>
      <c r="P6243" s="16">
        <f t="shared" si="4"/>
        <v>0</v>
      </c>
    </row>
    <row r="6244" ht="15.75" customHeight="1">
      <c r="A6244" s="14">
        <v>45266.0</v>
      </c>
      <c r="B6244" s="15">
        <v>4.6</v>
      </c>
      <c r="C6244" s="15">
        <v>5.19</v>
      </c>
      <c r="D6244" s="15"/>
      <c r="E6244" s="15">
        <v>4.9</v>
      </c>
      <c r="F6244" s="15">
        <f t="shared" si="1"/>
        <v>0.59</v>
      </c>
      <c r="G6244" s="15">
        <f t="shared" si="2"/>
        <v>5.19</v>
      </c>
      <c r="H6244" s="16">
        <v>0.0</v>
      </c>
      <c r="I6244" s="15">
        <f t="shared" si="3"/>
        <v>0.59</v>
      </c>
      <c r="J6244" s="15">
        <v>12.97</v>
      </c>
      <c r="K6244" s="16">
        <f>IF(COUNTIFS(Release_Calendar!$A$2:$A$755,"US_CPI",Release_Calendar!$B$2:$B$755,$A6244)&gt;0,1,0)</f>
        <v>0</v>
      </c>
      <c r="L6244" s="16">
        <f>IF(COUNTIFS(Release_Calendar!$A$2:$A$755,"US_NFP",Release_Calendar!$B$2:$B$755,$A6244)&gt;0,1,0)</f>
        <v>0</v>
      </c>
      <c r="M6244" s="16">
        <f>IF($A6244&lt;Notes!$B$5,"",IF(COUNTIFS(Release_Calendar!$A$2:$A$755,"NZ_CPI",Release_Calendar!$B$2:$B$755,$A6244)&gt;0,1,0))</f>
        <v>0</v>
      </c>
      <c r="N6244" s="16">
        <f>IF($A6244&lt;Notes!$B$5,"",IF(COUNTIFS(Release_Calendar!$A$2:$A$755,"NZ_GDP",Release_Calendar!$B$2:$B$755,$A6244)&gt;0,1,0))</f>
        <v>0</v>
      </c>
      <c r="O6244" s="16">
        <f>IF($A6244&lt;Notes!$B$5,"",IF(COUNTIFS(Release_Calendar!$A$2:$A$755,"NZ_LABOUR",Release_Calendar!$B$2:$B$755,$A6244)&gt;0,1,0))</f>
        <v>0</v>
      </c>
      <c r="P6244" s="16">
        <f t="shared" si="4"/>
        <v>0</v>
      </c>
    </row>
    <row r="6245" ht="15.75" customHeight="1">
      <c r="A6245" s="14">
        <v>45267.0</v>
      </c>
      <c r="B6245" s="15">
        <v>4.58</v>
      </c>
      <c r="C6245" s="15">
        <v>5.18</v>
      </c>
      <c r="D6245" s="15"/>
      <c r="E6245" s="15">
        <v>4.93</v>
      </c>
      <c r="F6245" s="15">
        <f t="shared" si="1"/>
        <v>0.6</v>
      </c>
      <c r="G6245" s="15">
        <f t="shared" si="2"/>
        <v>5.18</v>
      </c>
      <c r="H6245" s="16">
        <v>0.0</v>
      </c>
      <c r="I6245" s="15">
        <f t="shared" si="3"/>
        <v>0.6</v>
      </c>
      <c r="J6245" s="15">
        <v>13.06</v>
      </c>
      <c r="K6245" s="16">
        <f>IF(COUNTIFS(Release_Calendar!$A$2:$A$755,"US_CPI",Release_Calendar!$B$2:$B$755,$A6245)&gt;0,1,0)</f>
        <v>0</v>
      </c>
      <c r="L6245" s="16">
        <f>IF(COUNTIFS(Release_Calendar!$A$2:$A$755,"US_NFP",Release_Calendar!$B$2:$B$755,$A6245)&gt;0,1,0)</f>
        <v>0</v>
      </c>
      <c r="M6245" s="16">
        <f>IF($A6245&lt;Notes!$B$5,"",IF(COUNTIFS(Release_Calendar!$A$2:$A$755,"NZ_CPI",Release_Calendar!$B$2:$B$755,$A6245)&gt;0,1,0))</f>
        <v>0</v>
      </c>
      <c r="N6245" s="16">
        <f>IF($A6245&lt;Notes!$B$5,"",IF(COUNTIFS(Release_Calendar!$A$2:$A$755,"NZ_GDP",Release_Calendar!$B$2:$B$755,$A6245)&gt;0,1,0))</f>
        <v>0</v>
      </c>
      <c r="O6245" s="16">
        <f>IF($A6245&lt;Notes!$B$5,"",IF(COUNTIFS(Release_Calendar!$A$2:$A$755,"NZ_LABOUR",Release_Calendar!$B$2:$B$755,$A6245)&gt;0,1,0))</f>
        <v>0</v>
      </c>
      <c r="P6245" s="16">
        <f t="shared" si="4"/>
        <v>0</v>
      </c>
    </row>
    <row r="6246" ht="15.75" customHeight="1">
      <c r="A6246" s="14">
        <v>45268.0</v>
      </c>
      <c r="B6246" s="15">
        <v>4.71</v>
      </c>
      <c r="C6246" s="15">
        <v>5.2</v>
      </c>
      <c r="D6246" s="15"/>
      <c r="E6246" s="15">
        <v>4.95</v>
      </c>
      <c r="F6246" s="15">
        <f t="shared" si="1"/>
        <v>0.49</v>
      </c>
      <c r="G6246" s="15">
        <f t="shared" si="2"/>
        <v>5.2</v>
      </c>
      <c r="H6246" s="16">
        <v>0.0</v>
      </c>
      <c r="I6246" s="15">
        <f t="shared" si="3"/>
        <v>0.49</v>
      </c>
      <c r="J6246" s="15">
        <v>12.35</v>
      </c>
      <c r="K6246" s="16">
        <f>IF(COUNTIFS(Release_Calendar!$A$2:$A$755,"US_CPI",Release_Calendar!$B$2:$B$755,$A6246)&gt;0,1,0)</f>
        <v>0</v>
      </c>
      <c r="L6246" s="16">
        <f>IF(COUNTIFS(Release_Calendar!$A$2:$A$755,"US_NFP",Release_Calendar!$B$2:$B$755,$A6246)&gt;0,1,0)</f>
        <v>1</v>
      </c>
      <c r="M6246" s="16">
        <f>IF($A6246&lt;Notes!$B$5,"",IF(COUNTIFS(Release_Calendar!$A$2:$A$755,"NZ_CPI",Release_Calendar!$B$2:$B$755,$A6246)&gt;0,1,0))</f>
        <v>0</v>
      </c>
      <c r="N6246" s="16">
        <f>IF($A6246&lt;Notes!$B$5,"",IF(COUNTIFS(Release_Calendar!$A$2:$A$755,"NZ_GDP",Release_Calendar!$B$2:$B$755,$A6246)&gt;0,1,0))</f>
        <v>0</v>
      </c>
      <c r="O6246" s="16">
        <f>IF($A6246&lt;Notes!$B$5,"",IF(COUNTIFS(Release_Calendar!$A$2:$A$755,"NZ_LABOUR",Release_Calendar!$B$2:$B$755,$A6246)&gt;0,1,0))</f>
        <v>0</v>
      </c>
      <c r="P6246" s="16">
        <f t="shared" si="4"/>
        <v>1</v>
      </c>
    </row>
    <row r="6247" ht="15.75" customHeight="1">
      <c r="A6247" s="14">
        <v>45271.0</v>
      </c>
      <c r="B6247" s="15">
        <v>4.71</v>
      </c>
      <c r="C6247" s="15">
        <v>5.21</v>
      </c>
      <c r="D6247" s="15"/>
      <c r="E6247" s="15">
        <v>4.98</v>
      </c>
      <c r="F6247" s="15">
        <f t="shared" si="1"/>
        <v>0.5</v>
      </c>
      <c r="G6247" s="15">
        <f t="shared" si="2"/>
        <v>5.21</v>
      </c>
      <c r="H6247" s="16">
        <v>0.0</v>
      </c>
      <c r="I6247" s="15">
        <f t="shared" si="3"/>
        <v>0.5</v>
      </c>
      <c r="J6247" s="15">
        <v>12.63</v>
      </c>
      <c r="K6247" s="16">
        <f>IF(COUNTIFS(Release_Calendar!$A$2:$A$755,"US_CPI",Release_Calendar!$B$2:$B$755,$A6247)&gt;0,1,0)</f>
        <v>0</v>
      </c>
      <c r="L6247" s="16">
        <f>IF(COUNTIFS(Release_Calendar!$A$2:$A$755,"US_NFP",Release_Calendar!$B$2:$B$755,$A6247)&gt;0,1,0)</f>
        <v>0</v>
      </c>
      <c r="M6247" s="16">
        <f>IF($A6247&lt;Notes!$B$5,"",IF(COUNTIFS(Release_Calendar!$A$2:$A$755,"NZ_CPI",Release_Calendar!$B$2:$B$755,$A6247)&gt;0,1,0))</f>
        <v>0</v>
      </c>
      <c r="N6247" s="16">
        <f>IF($A6247&lt;Notes!$B$5,"",IF(COUNTIFS(Release_Calendar!$A$2:$A$755,"NZ_GDP",Release_Calendar!$B$2:$B$755,$A6247)&gt;0,1,0))</f>
        <v>0</v>
      </c>
      <c r="O6247" s="16">
        <f>IF($A6247&lt;Notes!$B$5,"",IF(COUNTIFS(Release_Calendar!$A$2:$A$755,"NZ_LABOUR",Release_Calendar!$B$2:$B$755,$A6247)&gt;0,1,0))</f>
        <v>0</v>
      </c>
      <c r="P6247" s="16">
        <f t="shared" si="4"/>
        <v>0</v>
      </c>
    </row>
    <row r="6248" ht="15.75" customHeight="1">
      <c r="A6248" s="14">
        <v>45272.0</v>
      </c>
      <c r="B6248" s="15">
        <v>4.73</v>
      </c>
      <c r="C6248" s="15">
        <v>5.17</v>
      </c>
      <c r="D6248" s="15"/>
      <c r="E6248" s="15">
        <v>4.97</v>
      </c>
      <c r="F6248" s="15">
        <f t="shared" si="1"/>
        <v>0.44</v>
      </c>
      <c r="G6248" s="15">
        <f t="shared" si="2"/>
        <v>5.17</v>
      </c>
      <c r="H6248" s="16">
        <v>0.0</v>
      </c>
      <c r="I6248" s="15">
        <f t="shared" si="3"/>
        <v>0.44</v>
      </c>
      <c r="J6248" s="15">
        <v>12.07</v>
      </c>
      <c r="K6248" s="16">
        <f>IF(COUNTIFS(Release_Calendar!$A$2:$A$755,"US_CPI",Release_Calendar!$B$2:$B$755,$A6248)&gt;0,1,0)</f>
        <v>1</v>
      </c>
      <c r="L6248" s="16">
        <f>IF(COUNTIFS(Release_Calendar!$A$2:$A$755,"US_NFP",Release_Calendar!$B$2:$B$755,$A6248)&gt;0,1,0)</f>
        <v>0</v>
      </c>
      <c r="M6248" s="16">
        <f>IF($A6248&lt;Notes!$B$5,"",IF(COUNTIFS(Release_Calendar!$A$2:$A$755,"NZ_CPI",Release_Calendar!$B$2:$B$755,$A6248)&gt;0,1,0))</f>
        <v>0</v>
      </c>
      <c r="N6248" s="16">
        <f>IF($A6248&lt;Notes!$B$5,"",IF(COUNTIFS(Release_Calendar!$A$2:$A$755,"NZ_GDP",Release_Calendar!$B$2:$B$755,$A6248)&gt;0,1,0))</f>
        <v>0</v>
      </c>
      <c r="O6248" s="16">
        <f>IF($A6248&lt;Notes!$B$5,"",IF(COUNTIFS(Release_Calendar!$A$2:$A$755,"NZ_LABOUR",Release_Calendar!$B$2:$B$755,$A6248)&gt;0,1,0))</f>
        <v>0</v>
      </c>
      <c r="P6248" s="16">
        <f t="shared" si="4"/>
        <v>1</v>
      </c>
    </row>
    <row r="6249" ht="15.75" customHeight="1">
      <c r="A6249" s="14">
        <v>45273.0</v>
      </c>
      <c r="B6249" s="15">
        <v>4.46</v>
      </c>
      <c r="C6249" s="15">
        <v>5.06</v>
      </c>
      <c r="D6249" s="15"/>
      <c r="E6249" s="15">
        <v>4.88</v>
      </c>
      <c r="F6249" s="15">
        <f t="shared" si="1"/>
        <v>0.6</v>
      </c>
      <c r="G6249" s="15">
        <f t="shared" si="2"/>
        <v>5.06</v>
      </c>
      <c r="H6249" s="16">
        <v>0.0</v>
      </c>
      <c r="I6249" s="15">
        <f t="shared" si="3"/>
        <v>0.6</v>
      </c>
      <c r="J6249" s="15">
        <v>12.19</v>
      </c>
      <c r="K6249" s="16">
        <f>IF(COUNTIFS(Release_Calendar!$A$2:$A$755,"US_CPI",Release_Calendar!$B$2:$B$755,$A6249)&gt;0,1,0)</f>
        <v>0</v>
      </c>
      <c r="L6249" s="16">
        <f>IF(COUNTIFS(Release_Calendar!$A$2:$A$755,"US_NFP",Release_Calendar!$B$2:$B$755,$A6249)&gt;0,1,0)</f>
        <v>0</v>
      </c>
      <c r="M6249" s="16">
        <f>IF($A6249&lt;Notes!$B$5,"",IF(COUNTIFS(Release_Calendar!$A$2:$A$755,"NZ_CPI",Release_Calendar!$B$2:$B$755,$A6249)&gt;0,1,0))</f>
        <v>0</v>
      </c>
      <c r="N6249" s="16">
        <f>IF($A6249&lt;Notes!$B$5,"",IF(COUNTIFS(Release_Calendar!$A$2:$A$755,"NZ_GDP",Release_Calendar!$B$2:$B$755,$A6249)&gt;0,1,0))</f>
        <v>0</v>
      </c>
      <c r="O6249" s="16">
        <f>IF($A6249&lt;Notes!$B$5,"",IF(COUNTIFS(Release_Calendar!$A$2:$A$755,"NZ_LABOUR",Release_Calendar!$B$2:$B$755,$A6249)&gt;0,1,0))</f>
        <v>0</v>
      </c>
      <c r="P6249" s="16">
        <f t="shared" si="4"/>
        <v>0</v>
      </c>
    </row>
    <row r="6250" ht="15.75" customHeight="1">
      <c r="A6250" s="14">
        <v>45274.0</v>
      </c>
      <c r="B6250" s="15">
        <v>4.37</v>
      </c>
      <c r="C6250" s="15">
        <v>4.77</v>
      </c>
      <c r="D6250" s="15"/>
      <c r="E6250" s="15">
        <v>4.57</v>
      </c>
      <c r="F6250" s="15">
        <f t="shared" si="1"/>
        <v>0.4</v>
      </c>
      <c r="G6250" s="15">
        <f t="shared" si="2"/>
        <v>4.77</v>
      </c>
      <c r="H6250" s="16">
        <v>0.0</v>
      </c>
      <c r="I6250" s="15">
        <f t="shared" si="3"/>
        <v>0.4</v>
      </c>
      <c r="J6250" s="15">
        <v>12.48</v>
      </c>
      <c r="K6250" s="16">
        <f>IF(COUNTIFS(Release_Calendar!$A$2:$A$755,"US_CPI",Release_Calendar!$B$2:$B$755,$A6250)&gt;0,1,0)</f>
        <v>0</v>
      </c>
      <c r="L6250" s="16">
        <f>IF(COUNTIFS(Release_Calendar!$A$2:$A$755,"US_NFP",Release_Calendar!$B$2:$B$755,$A6250)&gt;0,1,0)</f>
        <v>0</v>
      </c>
      <c r="M6250" s="16">
        <f>IF($A6250&lt;Notes!$B$5,"",IF(COUNTIFS(Release_Calendar!$A$2:$A$755,"NZ_CPI",Release_Calendar!$B$2:$B$755,$A6250)&gt;0,1,0))</f>
        <v>0</v>
      </c>
      <c r="N6250" s="16">
        <f>IF($A6250&lt;Notes!$B$5,"",IF(COUNTIFS(Release_Calendar!$A$2:$A$755,"NZ_GDP",Release_Calendar!$B$2:$B$755,$A6250)&gt;0,1,0))</f>
        <v>1</v>
      </c>
      <c r="O6250" s="16">
        <f>IF($A6250&lt;Notes!$B$5,"",IF(COUNTIFS(Release_Calendar!$A$2:$A$755,"NZ_LABOUR",Release_Calendar!$B$2:$B$755,$A6250)&gt;0,1,0))</f>
        <v>0</v>
      </c>
      <c r="P6250" s="16">
        <f t="shared" si="4"/>
        <v>1</v>
      </c>
    </row>
    <row r="6251" ht="15.75" customHeight="1">
      <c r="A6251" s="14">
        <v>45275.0</v>
      </c>
      <c r="B6251" s="15">
        <v>4.44</v>
      </c>
      <c r="C6251" s="15">
        <v>4.82</v>
      </c>
      <c r="D6251" s="15"/>
      <c r="E6251" s="15">
        <v>4.59</v>
      </c>
      <c r="F6251" s="15">
        <f t="shared" si="1"/>
        <v>0.38</v>
      </c>
      <c r="G6251" s="15">
        <f t="shared" si="2"/>
        <v>4.82</v>
      </c>
      <c r="H6251" s="16">
        <v>0.0</v>
      </c>
      <c r="I6251" s="15">
        <f t="shared" si="3"/>
        <v>0.38</v>
      </c>
      <c r="J6251" s="15">
        <v>12.28</v>
      </c>
      <c r="K6251" s="16">
        <f>IF(COUNTIFS(Release_Calendar!$A$2:$A$755,"US_CPI",Release_Calendar!$B$2:$B$755,$A6251)&gt;0,1,0)</f>
        <v>0</v>
      </c>
      <c r="L6251" s="16">
        <f>IF(COUNTIFS(Release_Calendar!$A$2:$A$755,"US_NFP",Release_Calendar!$B$2:$B$755,$A6251)&gt;0,1,0)</f>
        <v>0</v>
      </c>
      <c r="M6251" s="16">
        <f>IF($A6251&lt;Notes!$B$5,"",IF(COUNTIFS(Release_Calendar!$A$2:$A$755,"NZ_CPI",Release_Calendar!$B$2:$B$755,$A6251)&gt;0,1,0))</f>
        <v>0</v>
      </c>
      <c r="N6251" s="16">
        <f>IF($A6251&lt;Notes!$B$5,"",IF(COUNTIFS(Release_Calendar!$A$2:$A$755,"NZ_GDP",Release_Calendar!$B$2:$B$755,$A6251)&gt;0,1,0))</f>
        <v>0</v>
      </c>
      <c r="O6251" s="16">
        <f>IF($A6251&lt;Notes!$B$5,"",IF(COUNTIFS(Release_Calendar!$A$2:$A$755,"NZ_LABOUR",Release_Calendar!$B$2:$B$755,$A6251)&gt;0,1,0))</f>
        <v>0</v>
      </c>
      <c r="P6251" s="16">
        <f t="shared" si="4"/>
        <v>0</v>
      </c>
    </row>
    <row r="6252" ht="15.75" customHeight="1">
      <c r="A6252" s="14">
        <v>45278.0</v>
      </c>
      <c r="B6252" s="15">
        <v>4.43</v>
      </c>
      <c r="C6252" s="15">
        <v>4.8</v>
      </c>
      <c r="D6252" s="15"/>
      <c r="E6252" s="15">
        <v>4.57</v>
      </c>
      <c r="F6252" s="15">
        <f t="shared" si="1"/>
        <v>0.37</v>
      </c>
      <c r="G6252" s="15">
        <f t="shared" si="2"/>
        <v>4.8</v>
      </c>
      <c r="H6252" s="16">
        <v>0.0</v>
      </c>
      <c r="I6252" s="15">
        <f t="shared" si="3"/>
        <v>0.37</v>
      </c>
      <c r="J6252" s="15">
        <v>12.56</v>
      </c>
      <c r="K6252" s="16">
        <f>IF(COUNTIFS(Release_Calendar!$A$2:$A$755,"US_CPI",Release_Calendar!$B$2:$B$755,$A6252)&gt;0,1,0)</f>
        <v>0</v>
      </c>
      <c r="L6252" s="16">
        <f>IF(COUNTIFS(Release_Calendar!$A$2:$A$755,"US_NFP",Release_Calendar!$B$2:$B$755,$A6252)&gt;0,1,0)</f>
        <v>0</v>
      </c>
      <c r="M6252" s="16">
        <f>IF($A6252&lt;Notes!$B$5,"",IF(COUNTIFS(Release_Calendar!$A$2:$A$755,"NZ_CPI",Release_Calendar!$B$2:$B$755,$A6252)&gt;0,1,0))</f>
        <v>0</v>
      </c>
      <c r="N6252" s="16">
        <f>IF($A6252&lt;Notes!$B$5,"",IF(COUNTIFS(Release_Calendar!$A$2:$A$755,"NZ_GDP",Release_Calendar!$B$2:$B$755,$A6252)&gt;0,1,0))</f>
        <v>0</v>
      </c>
      <c r="O6252" s="16">
        <f>IF($A6252&lt;Notes!$B$5,"",IF(COUNTIFS(Release_Calendar!$A$2:$A$755,"NZ_LABOUR",Release_Calendar!$B$2:$B$755,$A6252)&gt;0,1,0))</f>
        <v>0</v>
      </c>
      <c r="P6252" s="16">
        <f t="shared" si="4"/>
        <v>0</v>
      </c>
    </row>
    <row r="6253" ht="15.75" customHeight="1">
      <c r="A6253" s="14">
        <v>45279.0</v>
      </c>
      <c r="B6253" s="15">
        <v>4.41</v>
      </c>
      <c r="C6253" s="15">
        <v>4.83</v>
      </c>
      <c r="D6253" s="15"/>
      <c r="E6253" s="15">
        <v>4.59</v>
      </c>
      <c r="F6253" s="15">
        <f t="shared" si="1"/>
        <v>0.42</v>
      </c>
      <c r="G6253" s="15">
        <f t="shared" si="2"/>
        <v>4.83</v>
      </c>
      <c r="H6253" s="16">
        <v>0.0</v>
      </c>
      <c r="I6253" s="15">
        <f t="shared" si="3"/>
        <v>0.42</v>
      </c>
      <c r="J6253" s="15">
        <v>12.53</v>
      </c>
      <c r="K6253" s="16">
        <f>IF(COUNTIFS(Release_Calendar!$A$2:$A$755,"US_CPI",Release_Calendar!$B$2:$B$755,$A6253)&gt;0,1,0)</f>
        <v>0</v>
      </c>
      <c r="L6253" s="16">
        <f>IF(COUNTIFS(Release_Calendar!$A$2:$A$755,"US_NFP",Release_Calendar!$B$2:$B$755,$A6253)&gt;0,1,0)</f>
        <v>0</v>
      </c>
      <c r="M6253" s="16">
        <f>IF($A6253&lt;Notes!$B$5,"",IF(COUNTIFS(Release_Calendar!$A$2:$A$755,"NZ_CPI",Release_Calendar!$B$2:$B$755,$A6253)&gt;0,1,0))</f>
        <v>0</v>
      </c>
      <c r="N6253" s="16">
        <f>IF($A6253&lt;Notes!$B$5,"",IF(COUNTIFS(Release_Calendar!$A$2:$A$755,"NZ_GDP",Release_Calendar!$B$2:$B$755,$A6253)&gt;0,1,0))</f>
        <v>0</v>
      </c>
      <c r="O6253" s="16">
        <f>IF($A6253&lt;Notes!$B$5,"",IF(COUNTIFS(Release_Calendar!$A$2:$A$755,"NZ_LABOUR",Release_Calendar!$B$2:$B$755,$A6253)&gt;0,1,0))</f>
        <v>0</v>
      </c>
      <c r="P6253" s="16">
        <f t="shared" si="4"/>
        <v>0</v>
      </c>
    </row>
    <row r="6254" ht="15.75" customHeight="1">
      <c r="A6254" s="14">
        <v>45280.0</v>
      </c>
      <c r="B6254" s="15">
        <v>4.34</v>
      </c>
      <c r="C6254" s="15">
        <v>4.79</v>
      </c>
      <c r="D6254" s="15"/>
      <c r="E6254" s="15">
        <v>4.53</v>
      </c>
      <c r="F6254" s="15">
        <f t="shared" si="1"/>
        <v>0.45</v>
      </c>
      <c r="G6254" s="15">
        <f t="shared" si="2"/>
        <v>4.79</v>
      </c>
      <c r="H6254" s="16">
        <v>0.0</v>
      </c>
      <c r="I6254" s="15">
        <f t="shared" si="3"/>
        <v>0.45</v>
      </c>
      <c r="J6254" s="15">
        <v>13.67</v>
      </c>
      <c r="K6254" s="16">
        <f>IF(COUNTIFS(Release_Calendar!$A$2:$A$755,"US_CPI",Release_Calendar!$B$2:$B$755,$A6254)&gt;0,1,0)</f>
        <v>0</v>
      </c>
      <c r="L6254" s="16">
        <f>IF(COUNTIFS(Release_Calendar!$A$2:$A$755,"US_NFP",Release_Calendar!$B$2:$B$755,$A6254)&gt;0,1,0)</f>
        <v>0</v>
      </c>
      <c r="M6254" s="16">
        <f>IF($A6254&lt;Notes!$B$5,"",IF(COUNTIFS(Release_Calendar!$A$2:$A$755,"NZ_CPI",Release_Calendar!$B$2:$B$755,$A6254)&gt;0,1,0))</f>
        <v>0</v>
      </c>
      <c r="N6254" s="16">
        <f>IF($A6254&lt;Notes!$B$5,"",IF(COUNTIFS(Release_Calendar!$A$2:$A$755,"NZ_GDP",Release_Calendar!$B$2:$B$755,$A6254)&gt;0,1,0))</f>
        <v>0</v>
      </c>
      <c r="O6254" s="16">
        <f>IF($A6254&lt;Notes!$B$5,"",IF(COUNTIFS(Release_Calendar!$A$2:$A$755,"NZ_LABOUR",Release_Calendar!$B$2:$B$755,$A6254)&gt;0,1,0))</f>
        <v>0</v>
      </c>
      <c r="P6254" s="16">
        <f t="shared" si="4"/>
        <v>0</v>
      </c>
    </row>
    <row r="6255" ht="15.75" customHeight="1">
      <c r="A6255" s="14">
        <v>45281.0</v>
      </c>
      <c r="B6255" s="15">
        <v>4.33</v>
      </c>
      <c r="C6255" s="15">
        <v>4.73</v>
      </c>
      <c r="D6255" s="15"/>
      <c r="E6255" s="15">
        <v>4.47</v>
      </c>
      <c r="F6255" s="15">
        <f t="shared" si="1"/>
        <v>0.4</v>
      </c>
      <c r="G6255" s="15">
        <f t="shared" si="2"/>
        <v>4.73</v>
      </c>
      <c r="H6255" s="16">
        <v>0.0</v>
      </c>
      <c r="I6255" s="15">
        <f t="shared" si="3"/>
        <v>0.4</v>
      </c>
      <c r="J6255" s="15">
        <v>13.65</v>
      </c>
      <c r="K6255" s="16">
        <f>IF(COUNTIFS(Release_Calendar!$A$2:$A$755,"US_CPI",Release_Calendar!$B$2:$B$755,$A6255)&gt;0,1,0)</f>
        <v>0</v>
      </c>
      <c r="L6255" s="16">
        <f>IF(COUNTIFS(Release_Calendar!$A$2:$A$755,"US_NFP",Release_Calendar!$B$2:$B$755,$A6255)&gt;0,1,0)</f>
        <v>0</v>
      </c>
      <c r="M6255" s="16">
        <f>IF($A6255&lt;Notes!$B$5,"",IF(COUNTIFS(Release_Calendar!$A$2:$A$755,"NZ_CPI",Release_Calendar!$B$2:$B$755,$A6255)&gt;0,1,0))</f>
        <v>0</v>
      </c>
      <c r="N6255" s="16">
        <f>IF($A6255&lt;Notes!$B$5,"",IF(COUNTIFS(Release_Calendar!$A$2:$A$755,"NZ_GDP",Release_Calendar!$B$2:$B$755,$A6255)&gt;0,1,0))</f>
        <v>0</v>
      </c>
      <c r="O6255" s="16">
        <f>IF($A6255&lt;Notes!$B$5,"",IF(COUNTIFS(Release_Calendar!$A$2:$A$755,"NZ_LABOUR",Release_Calendar!$B$2:$B$755,$A6255)&gt;0,1,0))</f>
        <v>0</v>
      </c>
      <c r="P6255" s="16">
        <f t="shared" si="4"/>
        <v>0</v>
      </c>
    </row>
    <row r="6256" ht="15.75" customHeight="1">
      <c r="A6256" s="14">
        <v>45282.0</v>
      </c>
      <c r="B6256" s="15">
        <v>4.31</v>
      </c>
      <c r="C6256" s="15">
        <v>4.74</v>
      </c>
      <c r="D6256" s="15"/>
      <c r="E6256" s="15">
        <v>4.49</v>
      </c>
      <c r="F6256" s="15">
        <f t="shared" si="1"/>
        <v>0.43</v>
      </c>
      <c r="G6256" s="15">
        <f t="shared" si="2"/>
        <v>4.74</v>
      </c>
      <c r="H6256" s="16">
        <v>0.0</v>
      </c>
      <c r="I6256" s="15">
        <f t="shared" si="3"/>
        <v>0.43</v>
      </c>
      <c r="J6256" s="15">
        <v>13.03</v>
      </c>
      <c r="K6256" s="16">
        <f>IF(COUNTIFS(Release_Calendar!$A$2:$A$755,"US_CPI",Release_Calendar!$B$2:$B$755,$A6256)&gt;0,1,0)</f>
        <v>0</v>
      </c>
      <c r="L6256" s="16">
        <f>IF(COUNTIFS(Release_Calendar!$A$2:$A$755,"US_NFP",Release_Calendar!$B$2:$B$755,$A6256)&gt;0,1,0)</f>
        <v>0</v>
      </c>
      <c r="M6256" s="16">
        <f>IF($A6256&lt;Notes!$B$5,"",IF(COUNTIFS(Release_Calendar!$A$2:$A$755,"NZ_CPI",Release_Calendar!$B$2:$B$755,$A6256)&gt;0,1,0))</f>
        <v>0</v>
      </c>
      <c r="N6256" s="16">
        <f>IF($A6256&lt;Notes!$B$5,"",IF(COUNTIFS(Release_Calendar!$A$2:$A$755,"NZ_GDP",Release_Calendar!$B$2:$B$755,$A6256)&gt;0,1,0))</f>
        <v>0</v>
      </c>
      <c r="O6256" s="16">
        <f>IF($A6256&lt;Notes!$B$5,"",IF(COUNTIFS(Release_Calendar!$A$2:$A$755,"NZ_LABOUR",Release_Calendar!$B$2:$B$755,$A6256)&gt;0,1,0))</f>
        <v>0</v>
      </c>
      <c r="P6256" s="16">
        <f t="shared" si="4"/>
        <v>0</v>
      </c>
    </row>
    <row r="6257" ht="15.75" customHeight="1">
      <c r="A6257" s="14">
        <v>45285.0</v>
      </c>
      <c r="B6257" s="15"/>
      <c r="C6257" s="15"/>
      <c r="D6257" s="15"/>
      <c r="E6257" s="15"/>
      <c r="F6257" s="15" t="str">
        <f t="shared" si="1"/>
        <v/>
      </c>
      <c r="G6257" s="15" t="str">
        <f t="shared" si="2"/>
        <v/>
      </c>
      <c r="H6257" s="16">
        <v>0.0</v>
      </c>
      <c r="I6257" s="15" t="str">
        <f t="shared" si="3"/>
        <v/>
      </c>
      <c r="J6257" s="15"/>
      <c r="K6257" s="16">
        <f>IF(COUNTIFS(Release_Calendar!$A$2:$A$755,"US_CPI",Release_Calendar!$B$2:$B$755,$A6257)&gt;0,1,0)</f>
        <v>0</v>
      </c>
      <c r="L6257" s="16">
        <f>IF(COUNTIFS(Release_Calendar!$A$2:$A$755,"US_NFP",Release_Calendar!$B$2:$B$755,$A6257)&gt;0,1,0)</f>
        <v>0</v>
      </c>
      <c r="M6257" s="16">
        <f>IF($A6257&lt;Notes!$B$5,"",IF(COUNTIFS(Release_Calendar!$A$2:$A$755,"NZ_CPI",Release_Calendar!$B$2:$B$755,$A6257)&gt;0,1,0))</f>
        <v>0</v>
      </c>
      <c r="N6257" s="16">
        <f>IF($A6257&lt;Notes!$B$5,"",IF(COUNTIFS(Release_Calendar!$A$2:$A$755,"NZ_GDP",Release_Calendar!$B$2:$B$755,$A6257)&gt;0,1,0))</f>
        <v>0</v>
      </c>
      <c r="O6257" s="16">
        <f>IF($A6257&lt;Notes!$B$5,"",IF(COUNTIFS(Release_Calendar!$A$2:$A$755,"NZ_LABOUR",Release_Calendar!$B$2:$B$755,$A6257)&gt;0,1,0))</f>
        <v>0</v>
      </c>
      <c r="P6257" s="16">
        <f t="shared" si="4"/>
        <v>0</v>
      </c>
    </row>
    <row r="6258" ht="15.75" customHeight="1">
      <c r="A6258" s="14">
        <v>45286.0</v>
      </c>
      <c r="B6258" s="15">
        <v>4.26</v>
      </c>
      <c r="C6258" s="15"/>
      <c r="D6258" s="15"/>
      <c r="E6258" s="15"/>
      <c r="F6258" s="15" t="str">
        <f t="shared" si="1"/>
        <v/>
      </c>
      <c r="G6258" s="15" t="str">
        <f t="shared" si="2"/>
        <v/>
      </c>
      <c r="H6258" s="16">
        <v>0.0</v>
      </c>
      <c r="I6258" s="15" t="str">
        <f t="shared" si="3"/>
        <v/>
      </c>
      <c r="J6258" s="15">
        <v>12.99</v>
      </c>
      <c r="K6258" s="16">
        <f>IF(COUNTIFS(Release_Calendar!$A$2:$A$755,"US_CPI",Release_Calendar!$B$2:$B$755,$A6258)&gt;0,1,0)</f>
        <v>0</v>
      </c>
      <c r="L6258" s="16">
        <f>IF(COUNTIFS(Release_Calendar!$A$2:$A$755,"US_NFP",Release_Calendar!$B$2:$B$755,$A6258)&gt;0,1,0)</f>
        <v>0</v>
      </c>
      <c r="M6258" s="16">
        <f>IF($A6258&lt;Notes!$B$5,"",IF(COUNTIFS(Release_Calendar!$A$2:$A$755,"NZ_CPI",Release_Calendar!$B$2:$B$755,$A6258)&gt;0,1,0))</f>
        <v>0</v>
      </c>
      <c r="N6258" s="16">
        <f>IF($A6258&lt;Notes!$B$5,"",IF(COUNTIFS(Release_Calendar!$A$2:$A$755,"NZ_GDP",Release_Calendar!$B$2:$B$755,$A6258)&gt;0,1,0))</f>
        <v>0</v>
      </c>
      <c r="O6258" s="16">
        <f>IF($A6258&lt;Notes!$B$5,"",IF(COUNTIFS(Release_Calendar!$A$2:$A$755,"NZ_LABOUR",Release_Calendar!$B$2:$B$755,$A6258)&gt;0,1,0))</f>
        <v>0</v>
      </c>
      <c r="P6258" s="16">
        <f t="shared" si="4"/>
        <v>0</v>
      </c>
    </row>
    <row r="6259" ht="15.75" customHeight="1">
      <c r="A6259" s="14">
        <v>45287.0</v>
      </c>
      <c r="B6259" s="15">
        <v>4.2</v>
      </c>
      <c r="C6259" s="15">
        <v>4.69</v>
      </c>
      <c r="D6259" s="15"/>
      <c r="E6259" s="15">
        <v>4.43</v>
      </c>
      <c r="F6259" s="15">
        <f t="shared" si="1"/>
        <v>0.49</v>
      </c>
      <c r="G6259" s="15">
        <f t="shared" si="2"/>
        <v>4.69</v>
      </c>
      <c r="H6259" s="16">
        <v>0.0</v>
      </c>
      <c r="I6259" s="15">
        <f t="shared" si="3"/>
        <v>0.49</v>
      </c>
      <c r="J6259" s="15">
        <v>12.43</v>
      </c>
      <c r="K6259" s="16">
        <f>IF(COUNTIFS(Release_Calendar!$A$2:$A$755,"US_CPI",Release_Calendar!$B$2:$B$755,$A6259)&gt;0,1,0)</f>
        <v>0</v>
      </c>
      <c r="L6259" s="16">
        <f>IF(COUNTIFS(Release_Calendar!$A$2:$A$755,"US_NFP",Release_Calendar!$B$2:$B$755,$A6259)&gt;0,1,0)</f>
        <v>0</v>
      </c>
      <c r="M6259" s="16">
        <f>IF($A6259&lt;Notes!$B$5,"",IF(COUNTIFS(Release_Calendar!$A$2:$A$755,"NZ_CPI",Release_Calendar!$B$2:$B$755,$A6259)&gt;0,1,0))</f>
        <v>0</v>
      </c>
      <c r="N6259" s="16">
        <f>IF($A6259&lt;Notes!$B$5,"",IF(COUNTIFS(Release_Calendar!$A$2:$A$755,"NZ_GDP",Release_Calendar!$B$2:$B$755,$A6259)&gt;0,1,0))</f>
        <v>0</v>
      </c>
      <c r="O6259" s="16">
        <f>IF($A6259&lt;Notes!$B$5,"",IF(COUNTIFS(Release_Calendar!$A$2:$A$755,"NZ_LABOUR",Release_Calendar!$B$2:$B$755,$A6259)&gt;0,1,0))</f>
        <v>0</v>
      </c>
      <c r="P6259" s="16">
        <f t="shared" si="4"/>
        <v>0</v>
      </c>
    </row>
    <row r="6260" ht="15.75" customHeight="1">
      <c r="A6260" s="14">
        <v>45288.0</v>
      </c>
      <c r="B6260" s="15">
        <v>4.26</v>
      </c>
      <c r="C6260" s="15">
        <v>4.62</v>
      </c>
      <c r="D6260" s="15"/>
      <c r="E6260" s="15">
        <v>4.36</v>
      </c>
      <c r="F6260" s="15">
        <f t="shared" si="1"/>
        <v>0.36</v>
      </c>
      <c r="G6260" s="15">
        <f t="shared" si="2"/>
        <v>4.62</v>
      </c>
      <c r="H6260" s="16">
        <v>0.0</v>
      </c>
      <c r="I6260" s="15">
        <f t="shared" si="3"/>
        <v>0.36</v>
      </c>
      <c r="J6260" s="15">
        <v>12.47</v>
      </c>
      <c r="K6260" s="16">
        <f>IF(COUNTIFS(Release_Calendar!$A$2:$A$755,"US_CPI",Release_Calendar!$B$2:$B$755,$A6260)&gt;0,1,0)</f>
        <v>0</v>
      </c>
      <c r="L6260" s="16">
        <f>IF(COUNTIFS(Release_Calendar!$A$2:$A$755,"US_NFP",Release_Calendar!$B$2:$B$755,$A6260)&gt;0,1,0)</f>
        <v>0</v>
      </c>
      <c r="M6260" s="16">
        <f>IF($A6260&lt;Notes!$B$5,"",IF(COUNTIFS(Release_Calendar!$A$2:$A$755,"NZ_CPI",Release_Calendar!$B$2:$B$755,$A6260)&gt;0,1,0))</f>
        <v>0</v>
      </c>
      <c r="N6260" s="16">
        <f>IF($A6260&lt;Notes!$B$5,"",IF(COUNTIFS(Release_Calendar!$A$2:$A$755,"NZ_GDP",Release_Calendar!$B$2:$B$755,$A6260)&gt;0,1,0))</f>
        <v>0</v>
      </c>
      <c r="O6260" s="16">
        <f>IF($A6260&lt;Notes!$B$5,"",IF(COUNTIFS(Release_Calendar!$A$2:$A$755,"NZ_LABOUR",Release_Calendar!$B$2:$B$755,$A6260)&gt;0,1,0))</f>
        <v>0</v>
      </c>
      <c r="P6260" s="16">
        <f t="shared" si="4"/>
        <v>0</v>
      </c>
    </row>
    <row r="6261" ht="15.75" customHeight="1">
      <c r="A6261" s="14">
        <v>45289.0</v>
      </c>
      <c r="B6261" s="15">
        <v>4.23</v>
      </c>
      <c r="C6261" s="15">
        <v>4.64</v>
      </c>
      <c r="D6261" s="15"/>
      <c r="E6261" s="15">
        <v>4.4</v>
      </c>
      <c r="F6261" s="15">
        <f t="shared" si="1"/>
        <v>0.41</v>
      </c>
      <c r="G6261" s="15">
        <f t="shared" si="2"/>
        <v>4.64</v>
      </c>
      <c r="H6261" s="16">
        <v>0.0</v>
      </c>
      <c r="I6261" s="15">
        <f t="shared" si="3"/>
        <v>0.41</v>
      </c>
      <c r="J6261" s="15">
        <v>12.45</v>
      </c>
      <c r="K6261" s="16">
        <f>IF(COUNTIFS(Release_Calendar!$A$2:$A$755,"US_CPI",Release_Calendar!$B$2:$B$755,$A6261)&gt;0,1,0)</f>
        <v>0</v>
      </c>
      <c r="L6261" s="16">
        <f>IF(COUNTIFS(Release_Calendar!$A$2:$A$755,"US_NFP",Release_Calendar!$B$2:$B$755,$A6261)&gt;0,1,0)</f>
        <v>0</v>
      </c>
      <c r="M6261" s="16">
        <f>IF($A6261&lt;Notes!$B$5,"",IF(COUNTIFS(Release_Calendar!$A$2:$A$755,"NZ_CPI",Release_Calendar!$B$2:$B$755,$A6261)&gt;0,1,0))</f>
        <v>0</v>
      </c>
      <c r="N6261" s="16">
        <f>IF($A6261&lt;Notes!$B$5,"",IF(COUNTIFS(Release_Calendar!$A$2:$A$755,"NZ_GDP",Release_Calendar!$B$2:$B$755,$A6261)&gt;0,1,0))</f>
        <v>0</v>
      </c>
      <c r="O6261" s="16">
        <f>IF($A6261&lt;Notes!$B$5,"",IF(COUNTIFS(Release_Calendar!$A$2:$A$755,"NZ_LABOUR",Release_Calendar!$B$2:$B$755,$A6261)&gt;0,1,0))</f>
        <v>0</v>
      </c>
      <c r="P6261" s="16">
        <f t="shared" si="4"/>
        <v>0</v>
      </c>
    </row>
    <row r="6262" ht="15.75" customHeight="1">
      <c r="A6262" s="14">
        <v>45292.0</v>
      </c>
      <c r="B6262" s="15"/>
      <c r="C6262" s="15"/>
      <c r="D6262" s="15"/>
      <c r="E6262" s="15"/>
      <c r="F6262" s="15" t="str">
        <f t="shared" si="1"/>
        <v/>
      </c>
      <c r="G6262" s="15" t="str">
        <f t="shared" si="2"/>
        <v/>
      </c>
      <c r="H6262" s="16">
        <v>0.0</v>
      </c>
      <c r="I6262" s="15" t="str">
        <f t="shared" si="3"/>
        <v/>
      </c>
      <c r="J6262" s="15"/>
      <c r="K6262" s="16">
        <f>IF(COUNTIFS(Release_Calendar!$A$2:$A$755,"US_CPI",Release_Calendar!$B$2:$B$755,$A6262)&gt;0,1,0)</f>
        <v>0</v>
      </c>
      <c r="L6262" s="16">
        <f>IF(COUNTIFS(Release_Calendar!$A$2:$A$755,"US_NFP",Release_Calendar!$B$2:$B$755,$A6262)&gt;0,1,0)</f>
        <v>0</v>
      </c>
      <c r="M6262" s="16">
        <f>IF($A6262&lt;Notes!$B$5,"",IF(COUNTIFS(Release_Calendar!$A$2:$A$755,"NZ_CPI",Release_Calendar!$B$2:$B$755,$A6262)&gt;0,1,0))</f>
        <v>0</v>
      </c>
      <c r="N6262" s="16">
        <f>IF($A6262&lt;Notes!$B$5,"",IF(COUNTIFS(Release_Calendar!$A$2:$A$755,"NZ_GDP",Release_Calendar!$B$2:$B$755,$A6262)&gt;0,1,0))</f>
        <v>0</v>
      </c>
      <c r="O6262" s="16">
        <f>IF($A6262&lt;Notes!$B$5,"",IF(COUNTIFS(Release_Calendar!$A$2:$A$755,"NZ_LABOUR",Release_Calendar!$B$2:$B$755,$A6262)&gt;0,1,0))</f>
        <v>0</v>
      </c>
      <c r="P6262" s="16">
        <f t="shared" si="4"/>
        <v>0</v>
      </c>
    </row>
    <row r="6263" ht="15.75" customHeight="1">
      <c r="A6263" s="14">
        <v>45293.0</v>
      </c>
      <c r="B6263" s="15">
        <v>4.33</v>
      </c>
      <c r="C6263" s="15"/>
      <c r="D6263" s="15"/>
      <c r="E6263" s="15"/>
      <c r="F6263" s="15" t="str">
        <f t="shared" si="1"/>
        <v/>
      </c>
      <c r="G6263" s="15" t="str">
        <f t="shared" si="2"/>
        <v/>
      </c>
      <c r="H6263" s="16">
        <v>0.0</v>
      </c>
      <c r="I6263" s="15" t="str">
        <f t="shared" si="3"/>
        <v/>
      </c>
      <c r="J6263" s="15">
        <v>13.2</v>
      </c>
      <c r="K6263" s="16">
        <f>IF(COUNTIFS(Release_Calendar!$A$2:$A$755,"US_CPI",Release_Calendar!$B$2:$B$755,$A6263)&gt;0,1,0)</f>
        <v>0</v>
      </c>
      <c r="L6263" s="16">
        <f>IF(COUNTIFS(Release_Calendar!$A$2:$A$755,"US_NFP",Release_Calendar!$B$2:$B$755,$A6263)&gt;0,1,0)</f>
        <v>0</v>
      </c>
      <c r="M6263" s="16">
        <f>IF($A6263&lt;Notes!$B$5,"",IF(COUNTIFS(Release_Calendar!$A$2:$A$755,"NZ_CPI",Release_Calendar!$B$2:$B$755,$A6263)&gt;0,1,0))</f>
        <v>0</v>
      </c>
      <c r="N6263" s="16">
        <f>IF($A6263&lt;Notes!$B$5,"",IF(COUNTIFS(Release_Calendar!$A$2:$A$755,"NZ_GDP",Release_Calendar!$B$2:$B$755,$A6263)&gt;0,1,0))</f>
        <v>0</v>
      </c>
      <c r="O6263" s="16">
        <f>IF($A6263&lt;Notes!$B$5,"",IF(COUNTIFS(Release_Calendar!$A$2:$A$755,"NZ_LABOUR",Release_Calendar!$B$2:$B$755,$A6263)&gt;0,1,0))</f>
        <v>0</v>
      </c>
      <c r="P6263" s="16">
        <f t="shared" si="4"/>
        <v>0</v>
      </c>
    </row>
    <row r="6264" ht="15.75" customHeight="1">
      <c r="A6264" s="14">
        <v>45294.0</v>
      </c>
      <c r="B6264" s="15">
        <v>4.33</v>
      </c>
      <c r="C6264" s="15">
        <v>4.7</v>
      </c>
      <c r="D6264" s="15"/>
      <c r="E6264" s="15">
        <v>4.5</v>
      </c>
      <c r="F6264" s="15">
        <f t="shared" si="1"/>
        <v>0.37</v>
      </c>
      <c r="G6264" s="15">
        <f t="shared" si="2"/>
        <v>4.7</v>
      </c>
      <c r="H6264" s="16">
        <v>0.0</v>
      </c>
      <c r="I6264" s="15">
        <f t="shared" si="3"/>
        <v>0.37</v>
      </c>
      <c r="J6264" s="15">
        <v>14.04</v>
      </c>
      <c r="K6264" s="16">
        <f>IF(COUNTIFS(Release_Calendar!$A$2:$A$755,"US_CPI",Release_Calendar!$B$2:$B$755,$A6264)&gt;0,1,0)</f>
        <v>0</v>
      </c>
      <c r="L6264" s="16">
        <f>IF(COUNTIFS(Release_Calendar!$A$2:$A$755,"US_NFP",Release_Calendar!$B$2:$B$755,$A6264)&gt;0,1,0)</f>
        <v>0</v>
      </c>
      <c r="M6264" s="16">
        <f>IF($A6264&lt;Notes!$B$5,"",IF(COUNTIFS(Release_Calendar!$A$2:$A$755,"NZ_CPI",Release_Calendar!$B$2:$B$755,$A6264)&gt;0,1,0))</f>
        <v>0</v>
      </c>
      <c r="N6264" s="16">
        <f>IF($A6264&lt;Notes!$B$5,"",IF(COUNTIFS(Release_Calendar!$A$2:$A$755,"NZ_GDP",Release_Calendar!$B$2:$B$755,$A6264)&gt;0,1,0))</f>
        <v>0</v>
      </c>
      <c r="O6264" s="16">
        <f>IF($A6264&lt;Notes!$B$5,"",IF(COUNTIFS(Release_Calendar!$A$2:$A$755,"NZ_LABOUR",Release_Calendar!$B$2:$B$755,$A6264)&gt;0,1,0))</f>
        <v>0</v>
      </c>
      <c r="P6264" s="16">
        <f t="shared" si="4"/>
        <v>0</v>
      </c>
    </row>
    <row r="6265" ht="15.75" customHeight="1">
      <c r="A6265" s="14">
        <v>45295.0</v>
      </c>
      <c r="B6265" s="15">
        <v>4.38</v>
      </c>
      <c r="C6265" s="15">
        <v>4.73</v>
      </c>
      <c r="D6265" s="15"/>
      <c r="E6265" s="15">
        <v>4.52</v>
      </c>
      <c r="F6265" s="15">
        <f t="shared" si="1"/>
        <v>0.35</v>
      </c>
      <c r="G6265" s="15">
        <f t="shared" si="2"/>
        <v>4.73</v>
      </c>
      <c r="H6265" s="16">
        <v>0.0</v>
      </c>
      <c r="I6265" s="15">
        <f t="shared" si="3"/>
        <v>0.35</v>
      </c>
      <c r="J6265" s="15">
        <v>14.13</v>
      </c>
      <c r="K6265" s="16">
        <f>IF(COUNTIFS(Release_Calendar!$A$2:$A$755,"US_CPI",Release_Calendar!$B$2:$B$755,$A6265)&gt;0,1,0)</f>
        <v>0</v>
      </c>
      <c r="L6265" s="16">
        <f>IF(COUNTIFS(Release_Calendar!$A$2:$A$755,"US_NFP",Release_Calendar!$B$2:$B$755,$A6265)&gt;0,1,0)</f>
        <v>0</v>
      </c>
      <c r="M6265" s="16">
        <f>IF($A6265&lt;Notes!$B$5,"",IF(COUNTIFS(Release_Calendar!$A$2:$A$755,"NZ_CPI",Release_Calendar!$B$2:$B$755,$A6265)&gt;0,1,0))</f>
        <v>0</v>
      </c>
      <c r="N6265" s="16">
        <f>IF($A6265&lt;Notes!$B$5,"",IF(COUNTIFS(Release_Calendar!$A$2:$A$755,"NZ_GDP",Release_Calendar!$B$2:$B$755,$A6265)&gt;0,1,0))</f>
        <v>0</v>
      </c>
      <c r="O6265" s="16">
        <f>IF($A6265&lt;Notes!$B$5,"",IF(COUNTIFS(Release_Calendar!$A$2:$A$755,"NZ_LABOUR",Release_Calendar!$B$2:$B$755,$A6265)&gt;0,1,0))</f>
        <v>0</v>
      </c>
      <c r="P6265" s="16">
        <f t="shared" si="4"/>
        <v>0</v>
      </c>
    </row>
    <row r="6266" ht="15.75" customHeight="1">
      <c r="A6266" s="14">
        <v>45296.0</v>
      </c>
      <c r="B6266" s="15">
        <v>4.4</v>
      </c>
      <c r="C6266" s="15">
        <v>4.78</v>
      </c>
      <c r="D6266" s="15"/>
      <c r="E6266" s="15">
        <v>4.57</v>
      </c>
      <c r="F6266" s="15">
        <f t="shared" si="1"/>
        <v>0.38</v>
      </c>
      <c r="G6266" s="15">
        <f t="shared" si="2"/>
        <v>4.78</v>
      </c>
      <c r="H6266" s="16">
        <v>0.0</v>
      </c>
      <c r="I6266" s="15">
        <f t="shared" si="3"/>
        <v>0.38</v>
      </c>
      <c r="J6266" s="15">
        <v>13.35</v>
      </c>
      <c r="K6266" s="16">
        <f>IF(COUNTIFS(Release_Calendar!$A$2:$A$755,"US_CPI",Release_Calendar!$B$2:$B$755,$A6266)&gt;0,1,0)</f>
        <v>0</v>
      </c>
      <c r="L6266" s="16">
        <f>IF(COUNTIFS(Release_Calendar!$A$2:$A$755,"US_NFP",Release_Calendar!$B$2:$B$755,$A6266)&gt;0,1,0)</f>
        <v>1</v>
      </c>
      <c r="M6266" s="16">
        <f>IF($A6266&lt;Notes!$B$5,"",IF(COUNTIFS(Release_Calendar!$A$2:$A$755,"NZ_CPI",Release_Calendar!$B$2:$B$755,$A6266)&gt;0,1,0))</f>
        <v>0</v>
      </c>
      <c r="N6266" s="16">
        <f>IF($A6266&lt;Notes!$B$5,"",IF(COUNTIFS(Release_Calendar!$A$2:$A$755,"NZ_GDP",Release_Calendar!$B$2:$B$755,$A6266)&gt;0,1,0))</f>
        <v>0</v>
      </c>
      <c r="O6266" s="16">
        <f>IF($A6266&lt;Notes!$B$5,"",IF(COUNTIFS(Release_Calendar!$A$2:$A$755,"NZ_LABOUR",Release_Calendar!$B$2:$B$755,$A6266)&gt;0,1,0))</f>
        <v>0</v>
      </c>
      <c r="P6266" s="16">
        <f t="shared" si="4"/>
        <v>1</v>
      </c>
    </row>
    <row r="6267" ht="15.75" customHeight="1">
      <c r="A6267" s="14">
        <v>45299.0</v>
      </c>
      <c r="B6267" s="15">
        <v>4.36</v>
      </c>
      <c r="C6267" s="15">
        <v>4.83</v>
      </c>
      <c r="D6267" s="15"/>
      <c r="E6267" s="15">
        <v>4.61</v>
      </c>
      <c r="F6267" s="15">
        <f t="shared" si="1"/>
        <v>0.47</v>
      </c>
      <c r="G6267" s="15">
        <f t="shared" si="2"/>
        <v>4.83</v>
      </c>
      <c r="H6267" s="16">
        <v>0.0</v>
      </c>
      <c r="I6267" s="15">
        <f t="shared" si="3"/>
        <v>0.47</v>
      </c>
      <c r="J6267" s="15">
        <v>13.08</v>
      </c>
      <c r="K6267" s="16">
        <f>IF(COUNTIFS(Release_Calendar!$A$2:$A$755,"US_CPI",Release_Calendar!$B$2:$B$755,$A6267)&gt;0,1,0)</f>
        <v>0</v>
      </c>
      <c r="L6267" s="16">
        <f>IF(COUNTIFS(Release_Calendar!$A$2:$A$755,"US_NFP",Release_Calendar!$B$2:$B$755,$A6267)&gt;0,1,0)</f>
        <v>0</v>
      </c>
      <c r="M6267" s="16">
        <f>IF($A6267&lt;Notes!$B$5,"",IF(COUNTIFS(Release_Calendar!$A$2:$A$755,"NZ_CPI",Release_Calendar!$B$2:$B$755,$A6267)&gt;0,1,0))</f>
        <v>0</v>
      </c>
      <c r="N6267" s="16">
        <f>IF($A6267&lt;Notes!$B$5,"",IF(COUNTIFS(Release_Calendar!$A$2:$A$755,"NZ_GDP",Release_Calendar!$B$2:$B$755,$A6267)&gt;0,1,0))</f>
        <v>0</v>
      </c>
      <c r="O6267" s="16">
        <f>IF($A6267&lt;Notes!$B$5,"",IF(COUNTIFS(Release_Calendar!$A$2:$A$755,"NZ_LABOUR",Release_Calendar!$B$2:$B$755,$A6267)&gt;0,1,0))</f>
        <v>0</v>
      </c>
      <c r="P6267" s="16">
        <f t="shared" si="4"/>
        <v>0</v>
      </c>
    </row>
    <row r="6268" ht="15.75" customHeight="1">
      <c r="A6268" s="14">
        <v>45300.0</v>
      </c>
      <c r="B6268" s="15">
        <v>4.36</v>
      </c>
      <c r="C6268" s="15">
        <v>4.79</v>
      </c>
      <c r="D6268" s="15"/>
      <c r="E6268" s="15">
        <v>4.56</v>
      </c>
      <c r="F6268" s="15">
        <f t="shared" si="1"/>
        <v>0.43</v>
      </c>
      <c r="G6268" s="15">
        <f t="shared" si="2"/>
        <v>4.79</v>
      </c>
      <c r="H6268" s="16">
        <v>0.0</v>
      </c>
      <c r="I6268" s="15">
        <f t="shared" si="3"/>
        <v>0.43</v>
      </c>
      <c r="J6268" s="15">
        <v>12.76</v>
      </c>
      <c r="K6268" s="16">
        <f>IF(COUNTIFS(Release_Calendar!$A$2:$A$755,"US_CPI",Release_Calendar!$B$2:$B$755,$A6268)&gt;0,1,0)</f>
        <v>0</v>
      </c>
      <c r="L6268" s="16">
        <f>IF(COUNTIFS(Release_Calendar!$A$2:$A$755,"US_NFP",Release_Calendar!$B$2:$B$755,$A6268)&gt;0,1,0)</f>
        <v>0</v>
      </c>
      <c r="M6268" s="16">
        <f>IF($A6268&lt;Notes!$B$5,"",IF(COUNTIFS(Release_Calendar!$A$2:$A$755,"NZ_CPI",Release_Calendar!$B$2:$B$755,$A6268)&gt;0,1,0))</f>
        <v>0</v>
      </c>
      <c r="N6268" s="16">
        <f>IF($A6268&lt;Notes!$B$5,"",IF(COUNTIFS(Release_Calendar!$A$2:$A$755,"NZ_GDP",Release_Calendar!$B$2:$B$755,$A6268)&gt;0,1,0))</f>
        <v>0</v>
      </c>
      <c r="O6268" s="16">
        <f>IF($A6268&lt;Notes!$B$5,"",IF(COUNTIFS(Release_Calendar!$A$2:$A$755,"NZ_LABOUR",Release_Calendar!$B$2:$B$755,$A6268)&gt;0,1,0))</f>
        <v>0</v>
      </c>
      <c r="P6268" s="16">
        <f t="shared" si="4"/>
        <v>0</v>
      </c>
    </row>
    <row r="6269" ht="15.75" customHeight="1">
      <c r="A6269" s="14">
        <v>45301.0</v>
      </c>
      <c r="B6269" s="15">
        <v>4.37</v>
      </c>
      <c r="C6269" s="15">
        <v>4.82</v>
      </c>
      <c r="D6269" s="15"/>
      <c r="E6269" s="15">
        <v>4.6</v>
      </c>
      <c r="F6269" s="15">
        <f t="shared" si="1"/>
        <v>0.45</v>
      </c>
      <c r="G6269" s="15">
        <f t="shared" si="2"/>
        <v>4.82</v>
      </c>
      <c r="H6269" s="16">
        <v>0.0</v>
      </c>
      <c r="I6269" s="15">
        <f t="shared" si="3"/>
        <v>0.45</v>
      </c>
      <c r="J6269" s="15">
        <v>12.69</v>
      </c>
      <c r="K6269" s="16">
        <f>IF(COUNTIFS(Release_Calendar!$A$2:$A$755,"US_CPI",Release_Calendar!$B$2:$B$755,$A6269)&gt;0,1,0)</f>
        <v>0</v>
      </c>
      <c r="L6269" s="16">
        <f>IF(COUNTIFS(Release_Calendar!$A$2:$A$755,"US_NFP",Release_Calendar!$B$2:$B$755,$A6269)&gt;0,1,0)</f>
        <v>0</v>
      </c>
      <c r="M6269" s="16">
        <f>IF($A6269&lt;Notes!$B$5,"",IF(COUNTIFS(Release_Calendar!$A$2:$A$755,"NZ_CPI",Release_Calendar!$B$2:$B$755,$A6269)&gt;0,1,0))</f>
        <v>0</v>
      </c>
      <c r="N6269" s="16">
        <f>IF($A6269&lt;Notes!$B$5,"",IF(COUNTIFS(Release_Calendar!$A$2:$A$755,"NZ_GDP",Release_Calendar!$B$2:$B$755,$A6269)&gt;0,1,0))</f>
        <v>0</v>
      </c>
      <c r="O6269" s="16">
        <f>IF($A6269&lt;Notes!$B$5,"",IF(COUNTIFS(Release_Calendar!$A$2:$A$755,"NZ_LABOUR",Release_Calendar!$B$2:$B$755,$A6269)&gt;0,1,0))</f>
        <v>0</v>
      </c>
      <c r="P6269" s="16">
        <f t="shared" si="4"/>
        <v>0</v>
      </c>
    </row>
    <row r="6270" ht="15.75" customHeight="1">
      <c r="A6270" s="14">
        <v>45302.0</v>
      </c>
      <c r="B6270" s="15">
        <v>4.26</v>
      </c>
      <c r="C6270" s="15">
        <v>4.85</v>
      </c>
      <c r="D6270" s="15"/>
      <c r="E6270" s="15">
        <v>4.61</v>
      </c>
      <c r="F6270" s="15">
        <f t="shared" si="1"/>
        <v>0.59</v>
      </c>
      <c r="G6270" s="15">
        <f t="shared" si="2"/>
        <v>4.85</v>
      </c>
      <c r="H6270" s="16">
        <v>0.0</v>
      </c>
      <c r="I6270" s="15">
        <f t="shared" si="3"/>
        <v>0.59</v>
      </c>
      <c r="J6270" s="15">
        <v>12.44</v>
      </c>
      <c r="K6270" s="16">
        <f>IF(COUNTIFS(Release_Calendar!$A$2:$A$755,"US_CPI",Release_Calendar!$B$2:$B$755,$A6270)&gt;0,1,0)</f>
        <v>1</v>
      </c>
      <c r="L6270" s="16">
        <f>IF(COUNTIFS(Release_Calendar!$A$2:$A$755,"US_NFP",Release_Calendar!$B$2:$B$755,$A6270)&gt;0,1,0)</f>
        <v>0</v>
      </c>
      <c r="M6270" s="16">
        <f>IF($A6270&lt;Notes!$B$5,"",IF(COUNTIFS(Release_Calendar!$A$2:$A$755,"NZ_CPI",Release_Calendar!$B$2:$B$755,$A6270)&gt;0,1,0))</f>
        <v>0</v>
      </c>
      <c r="N6270" s="16">
        <f>IF($A6270&lt;Notes!$B$5,"",IF(COUNTIFS(Release_Calendar!$A$2:$A$755,"NZ_GDP",Release_Calendar!$B$2:$B$755,$A6270)&gt;0,1,0))</f>
        <v>0</v>
      </c>
      <c r="O6270" s="16">
        <f>IF($A6270&lt;Notes!$B$5,"",IF(COUNTIFS(Release_Calendar!$A$2:$A$755,"NZ_LABOUR",Release_Calendar!$B$2:$B$755,$A6270)&gt;0,1,0))</f>
        <v>0</v>
      </c>
      <c r="P6270" s="16">
        <f t="shared" si="4"/>
        <v>1</v>
      </c>
    </row>
    <row r="6271" ht="15.75" customHeight="1">
      <c r="A6271" s="14">
        <v>45303.0</v>
      </c>
      <c r="B6271" s="15">
        <v>4.14</v>
      </c>
      <c r="C6271" s="15">
        <v>4.74</v>
      </c>
      <c r="D6271" s="15"/>
      <c r="E6271" s="15">
        <v>4.51</v>
      </c>
      <c r="F6271" s="15">
        <f t="shared" si="1"/>
        <v>0.6</v>
      </c>
      <c r="G6271" s="15">
        <f t="shared" si="2"/>
        <v>4.74</v>
      </c>
      <c r="H6271" s="16">
        <v>0.0</v>
      </c>
      <c r="I6271" s="15">
        <f t="shared" si="3"/>
        <v>0.6</v>
      </c>
      <c r="J6271" s="15">
        <v>12.7</v>
      </c>
      <c r="K6271" s="16">
        <f>IF(COUNTIFS(Release_Calendar!$A$2:$A$755,"US_CPI",Release_Calendar!$B$2:$B$755,$A6271)&gt;0,1,0)</f>
        <v>0</v>
      </c>
      <c r="L6271" s="16">
        <f>IF(COUNTIFS(Release_Calendar!$A$2:$A$755,"US_NFP",Release_Calendar!$B$2:$B$755,$A6271)&gt;0,1,0)</f>
        <v>0</v>
      </c>
      <c r="M6271" s="16">
        <f>IF($A6271&lt;Notes!$B$5,"",IF(COUNTIFS(Release_Calendar!$A$2:$A$755,"NZ_CPI",Release_Calendar!$B$2:$B$755,$A6271)&gt;0,1,0))</f>
        <v>0</v>
      </c>
      <c r="N6271" s="16">
        <f>IF($A6271&lt;Notes!$B$5,"",IF(COUNTIFS(Release_Calendar!$A$2:$A$755,"NZ_GDP",Release_Calendar!$B$2:$B$755,$A6271)&gt;0,1,0))</f>
        <v>0</v>
      </c>
      <c r="O6271" s="16">
        <f>IF($A6271&lt;Notes!$B$5,"",IF(COUNTIFS(Release_Calendar!$A$2:$A$755,"NZ_LABOUR",Release_Calendar!$B$2:$B$755,$A6271)&gt;0,1,0))</f>
        <v>0</v>
      </c>
      <c r="P6271" s="16">
        <f t="shared" si="4"/>
        <v>0</v>
      </c>
    </row>
    <row r="6272" ht="15.75" customHeight="1">
      <c r="A6272" s="14">
        <v>45306.0</v>
      </c>
      <c r="B6272" s="15"/>
      <c r="C6272" s="15">
        <v>4.68</v>
      </c>
      <c r="D6272" s="15"/>
      <c r="E6272" s="15">
        <v>4.46</v>
      </c>
      <c r="F6272" s="15" t="str">
        <f t="shared" si="1"/>
        <v/>
      </c>
      <c r="G6272" s="15">
        <f t="shared" si="2"/>
        <v>4.68</v>
      </c>
      <c r="H6272" s="16">
        <v>0.0</v>
      </c>
      <c r="I6272" s="15" t="str">
        <f t="shared" si="3"/>
        <v/>
      </c>
      <c r="J6272" s="15">
        <v>13.25</v>
      </c>
      <c r="K6272" s="16">
        <f>IF(COUNTIFS(Release_Calendar!$A$2:$A$755,"US_CPI",Release_Calendar!$B$2:$B$755,$A6272)&gt;0,1,0)</f>
        <v>0</v>
      </c>
      <c r="L6272" s="16">
        <f>IF(COUNTIFS(Release_Calendar!$A$2:$A$755,"US_NFP",Release_Calendar!$B$2:$B$755,$A6272)&gt;0,1,0)</f>
        <v>0</v>
      </c>
      <c r="M6272" s="16">
        <f>IF($A6272&lt;Notes!$B$5,"",IF(COUNTIFS(Release_Calendar!$A$2:$A$755,"NZ_CPI",Release_Calendar!$B$2:$B$755,$A6272)&gt;0,1,0))</f>
        <v>0</v>
      </c>
      <c r="N6272" s="16">
        <f>IF($A6272&lt;Notes!$B$5,"",IF(COUNTIFS(Release_Calendar!$A$2:$A$755,"NZ_GDP",Release_Calendar!$B$2:$B$755,$A6272)&gt;0,1,0))</f>
        <v>0</v>
      </c>
      <c r="O6272" s="16">
        <f>IF($A6272&lt;Notes!$B$5,"",IF(COUNTIFS(Release_Calendar!$A$2:$A$755,"NZ_LABOUR",Release_Calendar!$B$2:$B$755,$A6272)&gt;0,1,0))</f>
        <v>0</v>
      </c>
      <c r="P6272" s="16">
        <f t="shared" si="4"/>
        <v>0</v>
      </c>
    </row>
    <row r="6273" ht="15.75" customHeight="1">
      <c r="A6273" s="14">
        <v>45307.0</v>
      </c>
      <c r="B6273" s="15">
        <v>4.22</v>
      </c>
      <c r="C6273" s="15">
        <v>4.71</v>
      </c>
      <c r="D6273" s="15"/>
      <c r="E6273" s="15">
        <v>4.49</v>
      </c>
      <c r="F6273" s="15">
        <f t="shared" si="1"/>
        <v>0.49</v>
      </c>
      <c r="G6273" s="15">
        <f t="shared" si="2"/>
        <v>4.71</v>
      </c>
      <c r="H6273" s="16">
        <v>0.0</v>
      </c>
      <c r="I6273" s="15">
        <f t="shared" si="3"/>
        <v>0.49</v>
      </c>
      <c r="J6273" s="15">
        <v>13.84</v>
      </c>
      <c r="K6273" s="16">
        <f>IF(COUNTIFS(Release_Calendar!$A$2:$A$755,"US_CPI",Release_Calendar!$B$2:$B$755,$A6273)&gt;0,1,0)</f>
        <v>0</v>
      </c>
      <c r="L6273" s="16">
        <f>IF(COUNTIFS(Release_Calendar!$A$2:$A$755,"US_NFP",Release_Calendar!$B$2:$B$755,$A6273)&gt;0,1,0)</f>
        <v>0</v>
      </c>
      <c r="M6273" s="16">
        <f>IF($A6273&lt;Notes!$B$5,"",IF(COUNTIFS(Release_Calendar!$A$2:$A$755,"NZ_CPI",Release_Calendar!$B$2:$B$755,$A6273)&gt;0,1,0))</f>
        <v>0</v>
      </c>
      <c r="N6273" s="16">
        <f>IF($A6273&lt;Notes!$B$5,"",IF(COUNTIFS(Release_Calendar!$A$2:$A$755,"NZ_GDP",Release_Calendar!$B$2:$B$755,$A6273)&gt;0,1,0))</f>
        <v>0</v>
      </c>
      <c r="O6273" s="16">
        <f>IF($A6273&lt;Notes!$B$5,"",IF(COUNTIFS(Release_Calendar!$A$2:$A$755,"NZ_LABOUR",Release_Calendar!$B$2:$B$755,$A6273)&gt;0,1,0))</f>
        <v>0</v>
      </c>
      <c r="P6273" s="16">
        <f t="shared" si="4"/>
        <v>0</v>
      </c>
    </row>
    <row r="6274" ht="15.75" customHeight="1">
      <c r="A6274" s="14">
        <v>45308.0</v>
      </c>
      <c r="B6274" s="15">
        <v>4.34</v>
      </c>
      <c r="C6274" s="15">
        <v>4.7</v>
      </c>
      <c r="D6274" s="15"/>
      <c r="E6274" s="15">
        <v>4.52</v>
      </c>
      <c r="F6274" s="15">
        <f t="shared" si="1"/>
        <v>0.36</v>
      </c>
      <c r="G6274" s="15">
        <f t="shared" si="2"/>
        <v>4.7</v>
      </c>
      <c r="H6274" s="16">
        <v>0.0</v>
      </c>
      <c r="I6274" s="15">
        <f t="shared" si="3"/>
        <v>0.36</v>
      </c>
      <c r="J6274" s="15">
        <v>14.79</v>
      </c>
      <c r="K6274" s="16">
        <f>IF(COUNTIFS(Release_Calendar!$A$2:$A$755,"US_CPI",Release_Calendar!$B$2:$B$755,$A6274)&gt;0,1,0)</f>
        <v>0</v>
      </c>
      <c r="L6274" s="16">
        <f>IF(COUNTIFS(Release_Calendar!$A$2:$A$755,"US_NFP",Release_Calendar!$B$2:$B$755,$A6274)&gt;0,1,0)</f>
        <v>0</v>
      </c>
      <c r="M6274" s="16">
        <f>IF($A6274&lt;Notes!$B$5,"",IF(COUNTIFS(Release_Calendar!$A$2:$A$755,"NZ_CPI",Release_Calendar!$B$2:$B$755,$A6274)&gt;0,1,0))</f>
        <v>0</v>
      </c>
      <c r="N6274" s="16">
        <f>IF($A6274&lt;Notes!$B$5,"",IF(COUNTIFS(Release_Calendar!$A$2:$A$755,"NZ_GDP",Release_Calendar!$B$2:$B$755,$A6274)&gt;0,1,0))</f>
        <v>0</v>
      </c>
      <c r="O6274" s="16">
        <f>IF($A6274&lt;Notes!$B$5,"",IF(COUNTIFS(Release_Calendar!$A$2:$A$755,"NZ_LABOUR",Release_Calendar!$B$2:$B$755,$A6274)&gt;0,1,0))</f>
        <v>0</v>
      </c>
      <c r="P6274" s="16">
        <f t="shared" si="4"/>
        <v>0</v>
      </c>
    </row>
    <row r="6275" ht="15.75" customHeight="1">
      <c r="A6275" s="14">
        <v>45309.0</v>
      </c>
      <c r="B6275" s="15">
        <v>4.34</v>
      </c>
      <c r="C6275" s="15">
        <v>4.76</v>
      </c>
      <c r="D6275" s="15"/>
      <c r="E6275" s="15">
        <v>4.62</v>
      </c>
      <c r="F6275" s="15">
        <f t="shared" si="1"/>
        <v>0.42</v>
      </c>
      <c r="G6275" s="15">
        <f t="shared" si="2"/>
        <v>4.76</v>
      </c>
      <c r="H6275" s="16">
        <v>0.0</v>
      </c>
      <c r="I6275" s="15">
        <f t="shared" si="3"/>
        <v>0.42</v>
      </c>
      <c r="J6275" s="15">
        <v>14.13</v>
      </c>
      <c r="K6275" s="16">
        <f>IF(COUNTIFS(Release_Calendar!$A$2:$A$755,"US_CPI",Release_Calendar!$B$2:$B$755,$A6275)&gt;0,1,0)</f>
        <v>0</v>
      </c>
      <c r="L6275" s="16">
        <f>IF(COUNTIFS(Release_Calendar!$A$2:$A$755,"US_NFP",Release_Calendar!$B$2:$B$755,$A6275)&gt;0,1,0)</f>
        <v>0</v>
      </c>
      <c r="M6275" s="16">
        <f>IF($A6275&lt;Notes!$B$5,"",IF(COUNTIFS(Release_Calendar!$A$2:$A$755,"NZ_CPI",Release_Calendar!$B$2:$B$755,$A6275)&gt;0,1,0))</f>
        <v>0</v>
      </c>
      <c r="N6275" s="16">
        <f>IF($A6275&lt;Notes!$B$5,"",IF(COUNTIFS(Release_Calendar!$A$2:$A$755,"NZ_GDP",Release_Calendar!$B$2:$B$755,$A6275)&gt;0,1,0))</f>
        <v>0</v>
      </c>
      <c r="O6275" s="16">
        <f>IF($A6275&lt;Notes!$B$5,"",IF(COUNTIFS(Release_Calendar!$A$2:$A$755,"NZ_LABOUR",Release_Calendar!$B$2:$B$755,$A6275)&gt;0,1,0))</f>
        <v>0</v>
      </c>
      <c r="P6275" s="16">
        <f t="shared" si="4"/>
        <v>0</v>
      </c>
    </row>
    <row r="6276" ht="15.75" customHeight="1">
      <c r="A6276" s="14">
        <v>45310.0</v>
      </c>
      <c r="B6276" s="15">
        <v>4.39</v>
      </c>
      <c r="C6276" s="15">
        <v>4.77</v>
      </c>
      <c r="D6276" s="15"/>
      <c r="E6276" s="15">
        <v>4.64</v>
      </c>
      <c r="F6276" s="15">
        <f t="shared" si="1"/>
        <v>0.38</v>
      </c>
      <c r="G6276" s="15">
        <f t="shared" si="2"/>
        <v>4.77</v>
      </c>
      <c r="H6276" s="16">
        <v>0.0</v>
      </c>
      <c r="I6276" s="15">
        <f t="shared" si="3"/>
        <v>0.38</v>
      </c>
      <c r="J6276" s="15">
        <v>13.3</v>
      </c>
      <c r="K6276" s="16">
        <f>IF(COUNTIFS(Release_Calendar!$A$2:$A$755,"US_CPI",Release_Calendar!$B$2:$B$755,$A6276)&gt;0,1,0)</f>
        <v>0</v>
      </c>
      <c r="L6276" s="16">
        <f>IF(COUNTIFS(Release_Calendar!$A$2:$A$755,"US_NFP",Release_Calendar!$B$2:$B$755,$A6276)&gt;0,1,0)</f>
        <v>0</v>
      </c>
      <c r="M6276" s="16">
        <f>IF($A6276&lt;Notes!$B$5,"",IF(COUNTIFS(Release_Calendar!$A$2:$A$755,"NZ_CPI",Release_Calendar!$B$2:$B$755,$A6276)&gt;0,1,0))</f>
        <v>0</v>
      </c>
      <c r="N6276" s="16">
        <f>IF($A6276&lt;Notes!$B$5,"",IF(COUNTIFS(Release_Calendar!$A$2:$A$755,"NZ_GDP",Release_Calendar!$B$2:$B$755,$A6276)&gt;0,1,0))</f>
        <v>0</v>
      </c>
      <c r="O6276" s="16">
        <f>IF($A6276&lt;Notes!$B$5,"",IF(COUNTIFS(Release_Calendar!$A$2:$A$755,"NZ_LABOUR",Release_Calendar!$B$2:$B$755,$A6276)&gt;0,1,0))</f>
        <v>0</v>
      </c>
      <c r="P6276" s="16">
        <f t="shared" si="4"/>
        <v>0</v>
      </c>
    </row>
    <row r="6277" ht="15.75" customHeight="1">
      <c r="A6277" s="14">
        <v>45313.0</v>
      </c>
      <c r="B6277" s="15">
        <v>4.37</v>
      </c>
      <c r="C6277" s="15">
        <v>4.77</v>
      </c>
      <c r="D6277" s="15"/>
      <c r="E6277" s="15">
        <v>4.64</v>
      </c>
      <c r="F6277" s="15">
        <f t="shared" si="1"/>
        <v>0.4</v>
      </c>
      <c r="G6277" s="15">
        <f t="shared" si="2"/>
        <v>4.77</v>
      </c>
      <c r="H6277" s="16">
        <v>0.0</v>
      </c>
      <c r="I6277" s="15">
        <f t="shared" si="3"/>
        <v>0.4</v>
      </c>
      <c r="J6277" s="15">
        <v>13.19</v>
      </c>
      <c r="K6277" s="16">
        <f>IF(COUNTIFS(Release_Calendar!$A$2:$A$755,"US_CPI",Release_Calendar!$B$2:$B$755,$A6277)&gt;0,1,0)</f>
        <v>0</v>
      </c>
      <c r="L6277" s="16">
        <f>IF(COUNTIFS(Release_Calendar!$A$2:$A$755,"US_NFP",Release_Calendar!$B$2:$B$755,$A6277)&gt;0,1,0)</f>
        <v>0</v>
      </c>
      <c r="M6277" s="16">
        <f>IF($A6277&lt;Notes!$B$5,"",IF(COUNTIFS(Release_Calendar!$A$2:$A$755,"NZ_CPI",Release_Calendar!$B$2:$B$755,$A6277)&gt;0,1,0))</f>
        <v>0</v>
      </c>
      <c r="N6277" s="16">
        <f>IF($A6277&lt;Notes!$B$5,"",IF(COUNTIFS(Release_Calendar!$A$2:$A$755,"NZ_GDP",Release_Calendar!$B$2:$B$755,$A6277)&gt;0,1,0))</f>
        <v>0</v>
      </c>
      <c r="O6277" s="16">
        <f>IF($A6277&lt;Notes!$B$5,"",IF(COUNTIFS(Release_Calendar!$A$2:$A$755,"NZ_LABOUR",Release_Calendar!$B$2:$B$755,$A6277)&gt;0,1,0))</f>
        <v>0</v>
      </c>
      <c r="P6277" s="16">
        <f t="shared" si="4"/>
        <v>0</v>
      </c>
    </row>
    <row r="6278" ht="15.75" customHeight="1">
      <c r="A6278" s="14">
        <v>45314.0</v>
      </c>
      <c r="B6278" s="15">
        <v>4.31</v>
      </c>
      <c r="C6278" s="15">
        <v>4.74</v>
      </c>
      <c r="D6278" s="15"/>
      <c r="E6278" s="15">
        <v>4.56</v>
      </c>
      <c r="F6278" s="15">
        <f t="shared" si="1"/>
        <v>0.43</v>
      </c>
      <c r="G6278" s="15">
        <f t="shared" si="2"/>
        <v>4.74</v>
      </c>
      <c r="H6278" s="16">
        <v>0.0</v>
      </c>
      <c r="I6278" s="15">
        <f t="shared" si="3"/>
        <v>0.43</v>
      </c>
      <c r="J6278" s="15">
        <v>12.55</v>
      </c>
      <c r="K6278" s="16">
        <f>IF(COUNTIFS(Release_Calendar!$A$2:$A$755,"US_CPI",Release_Calendar!$B$2:$B$755,$A6278)&gt;0,1,0)</f>
        <v>0</v>
      </c>
      <c r="L6278" s="16">
        <f>IF(COUNTIFS(Release_Calendar!$A$2:$A$755,"US_NFP",Release_Calendar!$B$2:$B$755,$A6278)&gt;0,1,0)</f>
        <v>0</v>
      </c>
      <c r="M6278" s="16">
        <f>IF($A6278&lt;Notes!$B$5,"",IF(COUNTIFS(Release_Calendar!$A$2:$A$755,"NZ_CPI",Release_Calendar!$B$2:$B$755,$A6278)&gt;0,1,0))</f>
        <v>0</v>
      </c>
      <c r="N6278" s="16">
        <f>IF($A6278&lt;Notes!$B$5,"",IF(COUNTIFS(Release_Calendar!$A$2:$A$755,"NZ_GDP",Release_Calendar!$B$2:$B$755,$A6278)&gt;0,1,0))</f>
        <v>0</v>
      </c>
      <c r="O6278" s="16">
        <f>IF($A6278&lt;Notes!$B$5,"",IF(COUNTIFS(Release_Calendar!$A$2:$A$755,"NZ_LABOUR",Release_Calendar!$B$2:$B$755,$A6278)&gt;0,1,0))</f>
        <v>0</v>
      </c>
      <c r="P6278" s="16">
        <f t="shared" si="4"/>
        <v>0</v>
      </c>
    </row>
    <row r="6279" ht="15.75" customHeight="1">
      <c r="A6279" s="14">
        <v>45315.0</v>
      </c>
      <c r="B6279" s="15">
        <v>4.34</v>
      </c>
      <c r="C6279" s="15">
        <v>4.79</v>
      </c>
      <c r="D6279" s="15"/>
      <c r="E6279" s="15">
        <v>4.61</v>
      </c>
      <c r="F6279" s="15">
        <f t="shared" si="1"/>
        <v>0.45</v>
      </c>
      <c r="G6279" s="15">
        <f t="shared" si="2"/>
        <v>4.79</v>
      </c>
      <c r="H6279" s="16">
        <v>0.0</v>
      </c>
      <c r="I6279" s="15">
        <f t="shared" si="3"/>
        <v>0.45</v>
      </c>
      <c r="J6279" s="15">
        <v>13.14</v>
      </c>
      <c r="K6279" s="16">
        <f>IF(COUNTIFS(Release_Calendar!$A$2:$A$755,"US_CPI",Release_Calendar!$B$2:$B$755,$A6279)&gt;0,1,0)</f>
        <v>0</v>
      </c>
      <c r="L6279" s="16">
        <f>IF(COUNTIFS(Release_Calendar!$A$2:$A$755,"US_NFP",Release_Calendar!$B$2:$B$755,$A6279)&gt;0,1,0)</f>
        <v>0</v>
      </c>
      <c r="M6279" s="16">
        <f>IF($A6279&lt;Notes!$B$5,"",IF(COUNTIFS(Release_Calendar!$A$2:$A$755,"NZ_CPI",Release_Calendar!$B$2:$B$755,$A6279)&gt;0,1,0))</f>
        <v>1</v>
      </c>
      <c r="N6279" s="16">
        <f>IF($A6279&lt;Notes!$B$5,"",IF(COUNTIFS(Release_Calendar!$A$2:$A$755,"NZ_GDP",Release_Calendar!$B$2:$B$755,$A6279)&gt;0,1,0))</f>
        <v>0</v>
      </c>
      <c r="O6279" s="16">
        <f>IF($A6279&lt;Notes!$B$5,"",IF(COUNTIFS(Release_Calendar!$A$2:$A$755,"NZ_LABOUR",Release_Calendar!$B$2:$B$755,$A6279)&gt;0,1,0))</f>
        <v>0</v>
      </c>
      <c r="P6279" s="16">
        <f t="shared" si="4"/>
        <v>1</v>
      </c>
    </row>
    <row r="6280" ht="15.75" customHeight="1">
      <c r="A6280" s="14">
        <v>45316.0</v>
      </c>
      <c r="B6280" s="15">
        <v>4.28</v>
      </c>
      <c r="C6280" s="15">
        <v>4.81</v>
      </c>
      <c r="D6280" s="15"/>
      <c r="E6280" s="15">
        <v>4.63</v>
      </c>
      <c r="F6280" s="15">
        <f t="shared" si="1"/>
        <v>0.53</v>
      </c>
      <c r="G6280" s="15">
        <f t="shared" si="2"/>
        <v>4.81</v>
      </c>
      <c r="H6280" s="16">
        <v>0.0</v>
      </c>
      <c r="I6280" s="15">
        <f t="shared" si="3"/>
        <v>0.53</v>
      </c>
      <c r="J6280" s="15">
        <v>13.45</v>
      </c>
      <c r="K6280" s="16">
        <f>IF(COUNTIFS(Release_Calendar!$A$2:$A$755,"US_CPI",Release_Calendar!$B$2:$B$755,$A6280)&gt;0,1,0)</f>
        <v>0</v>
      </c>
      <c r="L6280" s="16">
        <f>IF(COUNTIFS(Release_Calendar!$A$2:$A$755,"US_NFP",Release_Calendar!$B$2:$B$755,$A6280)&gt;0,1,0)</f>
        <v>0</v>
      </c>
      <c r="M6280" s="16">
        <f>IF($A6280&lt;Notes!$B$5,"",IF(COUNTIFS(Release_Calendar!$A$2:$A$755,"NZ_CPI",Release_Calendar!$B$2:$B$755,$A6280)&gt;0,1,0))</f>
        <v>0</v>
      </c>
      <c r="N6280" s="16">
        <f>IF($A6280&lt;Notes!$B$5,"",IF(COUNTIFS(Release_Calendar!$A$2:$A$755,"NZ_GDP",Release_Calendar!$B$2:$B$755,$A6280)&gt;0,1,0))</f>
        <v>0</v>
      </c>
      <c r="O6280" s="16">
        <f>IF($A6280&lt;Notes!$B$5,"",IF(COUNTIFS(Release_Calendar!$A$2:$A$755,"NZ_LABOUR",Release_Calendar!$B$2:$B$755,$A6280)&gt;0,1,0))</f>
        <v>0</v>
      </c>
      <c r="P6280" s="16">
        <f t="shared" si="4"/>
        <v>0</v>
      </c>
    </row>
    <row r="6281" ht="15.75" customHeight="1">
      <c r="A6281" s="14">
        <v>45317.0</v>
      </c>
      <c r="B6281" s="15">
        <v>4.34</v>
      </c>
      <c r="C6281" s="15">
        <v>4.75</v>
      </c>
      <c r="D6281" s="15"/>
      <c r="E6281" s="15">
        <v>4.59</v>
      </c>
      <c r="F6281" s="15">
        <f t="shared" si="1"/>
        <v>0.41</v>
      </c>
      <c r="G6281" s="15">
        <f t="shared" si="2"/>
        <v>4.75</v>
      </c>
      <c r="H6281" s="16">
        <v>0.0</v>
      </c>
      <c r="I6281" s="15">
        <f t="shared" si="3"/>
        <v>0.41</v>
      </c>
      <c r="J6281" s="15">
        <v>13.26</v>
      </c>
      <c r="K6281" s="16">
        <f>IF(COUNTIFS(Release_Calendar!$A$2:$A$755,"US_CPI",Release_Calendar!$B$2:$B$755,$A6281)&gt;0,1,0)</f>
        <v>0</v>
      </c>
      <c r="L6281" s="16">
        <f>IF(COUNTIFS(Release_Calendar!$A$2:$A$755,"US_NFP",Release_Calendar!$B$2:$B$755,$A6281)&gt;0,1,0)</f>
        <v>0</v>
      </c>
      <c r="M6281" s="16">
        <f>IF($A6281&lt;Notes!$B$5,"",IF(COUNTIFS(Release_Calendar!$A$2:$A$755,"NZ_CPI",Release_Calendar!$B$2:$B$755,$A6281)&gt;0,1,0))</f>
        <v>0</v>
      </c>
      <c r="N6281" s="16">
        <f>IF($A6281&lt;Notes!$B$5,"",IF(COUNTIFS(Release_Calendar!$A$2:$A$755,"NZ_GDP",Release_Calendar!$B$2:$B$755,$A6281)&gt;0,1,0))</f>
        <v>0</v>
      </c>
      <c r="O6281" s="16">
        <f>IF($A6281&lt;Notes!$B$5,"",IF(COUNTIFS(Release_Calendar!$A$2:$A$755,"NZ_LABOUR",Release_Calendar!$B$2:$B$755,$A6281)&gt;0,1,0))</f>
        <v>0</v>
      </c>
      <c r="P6281" s="16">
        <f t="shared" si="4"/>
        <v>0</v>
      </c>
    </row>
    <row r="6282" ht="15.75" customHeight="1">
      <c r="A6282" s="14">
        <v>45320.0</v>
      </c>
      <c r="B6282" s="15">
        <v>4.29</v>
      </c>
      <c r="C6282" s="15">
        <v>4.75</v>
      </c>
      <c r="D6282" s="15"/>
      <c r="E6282" s="15">
        <v>4.59</v>
      </c>
      <c r="F6282" s="15">
        <f t="shared" si="1"/>
        <v>0.46</v>
      </c>
      <c r="G6282" s="15">
        <f t="shared" si="2"/>
        <v>4.75</v>
      </c>
      <c r="H6282" s="16">
        <v>0.0</v>
      </c>
      <c r="I6282" s="15">
        <f t="shared" si="3"/>
        <v>0.46</v>
      </c>
      <c r="J6282" s="15">
        <v>13.6</v>
      </c>
      <c r="K6282" s="16">
        <f>IF(COUNTIFS(Release_Calendar!$A$2:$A$755,"US_CPI",Release_Calendar!$B$2:$B$755,$A6282)&gt;0,1,0)</f>
        <v>0</v>
      </c>
      <c r="L6282" s="16">
        <f>IF(COUNTIFS(Release_Calendar!$A$2:$A$755,"US_NFP",Release_Calendar!$B$2:$B$755,$A6282)&gt;0,1,0)</f>
        <v>0</v>
      </c>
      <c r="M6282" s="16">
        <f>IF($A6282&lt;Notes!$B$5,"",IF(COUNTIFS(Release_Calendar!$A$2:$A$755,"NZ_CPI",Release_Calendar!$B$2:$B$755,$A6282)&gt;0,1,0))</f>
        <v>0</v>
      </c>
      <c r="N6282" s="16">
        <f>IF($A6282&lt;Notes!$B$5,"",IF(COUNTIFS(Release_Calendar!$A$2:$A$755,"NZ_GDP",Release_Calendar!$B$2:$B$755,$A6282)&gt;0,1,0))</f>
        <v>0</v>
      </c>
      <c r="O6282" s="16">
        <f>IF($A6282&lt;Notes!$B$5,"",IF(COUNTIFS(Release_Calendar!$A$2:$A$755,"NZ_LABOUR",Release_Calendar!$B$2:$B$755,$A6282)&gt;0,1,0))</f>
        <v>0</v>
      </c>
      <c r="P6282" s="16">
        <f t="shared" si="4"/>
        <v>0</v>
      </c>
    </row>
    <row r="6283" ht="15.75" customHeight="1">
      <c r="A6283" s="14">
        <v>45321.0</v>
      </c>
      <c r="B6283" s="15">
        <v>4.36</v>
      </c>
      <c r="C6283" s="15">
        <v>4.78</v>
      </c>
      <c r="D6283" s="15"/>
      <c r="E6283" s="15">
        <v>4.63</v>
      </c>
      <c r="F6283" s="15">
        <f t="shared" si="1"/>
        <v>0.42</v>
      </c>
      <c r="G6283" s="15">
        <f t="shared" si="2"/>
        <v>4.78</v>
      </c>
      <c r="H6283" s="16">
        <v>0.0</v>
      </c>
      <c r="I6283" s="15">
        <f t="shared" si="3"/>
        <v>0.42</v>
      </c>
      <c r="J6283" s="15">
        <v>13.31</v>
      </c>
      <c r="K6283" s="16">
        <f>IF(COUNTIFS(Release_Calendar!$A$2:$A$755,"US_CPI",Release_Calendar!$B$2:$B$755,$A6283)&gt;0,1,0)</f>
        <v>0</v>
      </c>
      <c r="L6283" s="16">
        <f>IF(COUNTIFS(Release_Calendar!$A$2:$A$755,"US_NFP",Release_Calendar!$B$2:$B$755,$A6283)&gt;0,1,0)</f>
        <v>0</v>
      </c>
      <c r="M6283" s="16">
        <f>IF($A6283&lt;Notes!$B$5,"",IF(COUNTIFS(Release_Calendar!$A$2:$A$755,"NZ_CPI",Release_Calendar!$B$2:$B$755,$A6283)&gt;0,1,0))</f>
        <v>0</v>
      </c>
      <c r="N6283" s="16">
        <f>IF($A6283&lt;Notes!$B$5,"",IF(COUNTIFS(Release_Calendar!$A$2:$A$755,"NZ_GDP",Release_Calendar!$B$2:$B$755,$A6283)&gt;0,1,0))</f>
        <v>0</v>
      </c>
      <c r="O6283" s="16">
        <f>IF($A6283&lt;Notes!$B$5,"",IF(COUNTIFS(Release_Calendar!$A$2:$A$755,"NZ_LABOUR",Release_Calendar!$B$2:$B$755,$A6283)&gt;0,1,0))</f>
        <v>0</v>
      </c>
      <c r="P6283" s="16">
        <f t="shared" si="4"/>
        <v>0</v>
      </c>
    </row>
    <row r="6284" ht="15.75" customHeight="1">
      <c r="A6284" s="14">
        <v>45322.0</v>
      </c>
      <c r="B6284" s="15">
        <v>4.27</v>
      </c>
      <c r="C6284" s="15">
        <v>4.78</v>
      </c>
      <c r="D6284" s="15"/>
      <c r="E6284" s="15">
        <v>4.61</v>
      </c>
      <c r="F6284" s="15">
        <f t="shared" si="1"/>
        <v>0.51</v>
      </c>
      <c r="G6284" s="15">
        <f t="shared" si="2"/>
        <v>4.78</v>
      </c>
      <c r="H6284" s="16">
        <v>0.0</v>
      </c>
      <c r="I6284" s="15">
        <f t="shared" si="3"/>
        <v>0.51</v>
      </c>
      <c r="J6284" s="15">
        <v>14.35</v>
      </c>
      <c r="K6284" s="16">
        <f>IF(COUNTIFS(Release_Calendar!$A$2:$A$755,"US_CPI",Release_Calendar!$B$2:$B$755,$A6284)&gt;0,1,0)</f>
        <v>0</v>
      </c>
      <c r="L6284" s="16">
        <f>IF(COUNTIFS(Release_Calendar!$A$2:$A$755,"US_NFP",Release_Calendar!$B$2:$B$755,$A6284)&gt;0,1,0)</f>
        <v>0</v>
      </c>
      <c r="M6284" s="16">
        <f>IF($A6284&lt;Notes!$B$5,"",IF(COUNTIFS(Release_Calendar!$A$2:$A$755,"NZ_CPI",Release_Calendar!$B$2:$B$755,$A6284)&gt;0,1,0))</f>
        <v>0</v>
      </c>
      <c r="N6284" s="16">
        <f>IF($A6284&lt;Notes!$B$5,"",IF(COUNTIFS(Release_Calendar!$A$2:$A$755,"NZ_GDP",Release_Calendar!$B$2:$B$755,$A6284)&gt;0,1,0))</f>
        <v>0</v>
      </c>
      <c r="O6284" s="16">
        <f>IF($A6284&lt;Notes!$B$5,"",IF(COUNTIFS(Release_Calendar!$A$2:$A$755,"NZ_LABOUR",Release_Calendar!$B$2:$B$755,$A6284)&gt;0,1,0))</f>
        <v>0</v>
      </c>
      <c r="P6284" s="16">
        <f t="shared" si="4"/>
        <v>0</v>
      </c>
    </row>
    <row r="6285" ht="15.75" customHeight="1">
      <c r="A6285" s="14">
        <v>45323.0</v>
      </c>
      <c r="B6285" s="15">
        <v>4.2</v>
      </c>
      <c r="C6285" s="15">
        <v>4.77</v>
      </c>
      <c r="D6285" s="15"/>
      <c r="E6285" s="15">
        <v>4.59</v>
      </c>
      <c r="F6285" s="15">
        <f t="shared" si="1"/>
        <v>0.57</v>
      </c>
      <c r="G6285" s="15">
        <f t="shared" si="2"/>
        <v>4.77</v>
      </c>
      <c r="H6285" s="16">
        <v>0.0</v>
      </c>
      <c r="I6285" s="15">
        <f t="shared" si="3"/>
        <v>0.57</v>
      </c>
      <c r="J6285" s="15">
        <v>13.88</v>
      </c>
      <c r="K6285" s="16">
        <f>IF(COUNTIFS(Release_Calendar!$A$2:$A$755,"US_CPI",Release_Calendar!$B$2:$B$755,$A6285)&gt;0,1,0)</f>
        <v>0</v>
      </c>
      <c r="L6285" s="16">
        <f>IF(COUNTIFS(Release_Calendar!$A$2:$A$755,"US_NFP",Release_Calendar!$B$2:$B$755,$A6285)&gt;0,1,0)</f>
        <v>0</v>
      </c>
      <c r="M6285" s="16">
        <f>IF($A6285&lt;Notes!$B$5,"",IF(COUNTIFS(Release_Calendar!$A$2:$A$755,"NZ_CPI",Release_Calendar!$B$2:$B$755,$A6285)&gt;0,1,0))</f>
        <v>0</v>
      </c>
      <c r="N6285" s="16">
        <f>IF($A6285&lt;Notes!$B$5,"",IF(COUNTIFS(Release_Calendar!$A$2:$A$755,"NZ_GDP",Release_Calendar!$B$2:$B$755,$A6285)&gt;0,1,0))</f>
        <v>0</v>
      </c>
      <c r="O6285" s="16">
        <f>IF($A6285&lt;Notes!$B$5,"",IF(COUNTIFS(Release_Calendar!$A$2:$A$755,"NZ_LABOUR",Release_Calendar!$B$2:$B$755,$A6285)&gt;0,1,0))</f>
        <v>0</v>
      </c>
      <c r="P6285" s="16">
        <f t="shared" si="4"/>
        <v>0</v>
      </c>
    </row>
    <row r="6286" ht="15.75" customHeight="1">
      <c r="A6286" s="14">
        <v>45324.0</v>
      </c>
      <c r="B6286" s="15">
        <v>4.36</v>
      </c>
      <c r="C6286" s="15">
        <v>4.74</v>
      </c>
      <c r="D6286" s="15"/>
      <c r="E6286" s="15">
        <v>4.58</v>
      </c>
      <c r="F6286" s="15">
        <f t="shared" si="1"/>
        <v>0.38</v>
      </c>
      <c r="G6286" s="15">
        <f t="shared" si="2"/>
        <v>4.74</v>
      </c>
      <c r="H6286" s="16">
        <v>0.0</v>
      </c>
      <c r="I6286" s="15">
        <f t="shared" si="3"/>
        <v>0.38</v>
      </c>
      <c r="J6286" s="15">
        <v>13.85</v>
      </c>
      <c r="K6286" s="16">
        <f>IF(COUNTIFS(Release_Calendar!$A$2:$A$755,"US_CPI",Release_Calendar!$B$2:$B$755,$A6286)&gt;0,1,0)</f>
        <v>0</v>
      </c>
      <c r="L6286" s="16">
        <f>IF(COUNTIFS(Release_Calendar!$A$2:$A$755,"US_NFP",Release_Calendar!$B$2:$B$755,$A6286)&gt;0,1,0)</f>
        <v>1</v>
      </c>
      <c r="M6286" s="16">
        <f>IF($A6286&lt;Notes!$B$5,"",IF(COUNTIFS(Release_Calendar!$A$2:$A$755,"NZ_CPI",Release_Calendar!$B$2:$B$755,$A6286)&gt;0,1,0))</f>
        <v>0</v>
      </c>
      <c r="N6286" s="16">
        <f>IF($A6286&lt;Notes!$B$5,"",IF(COUNTIFS(Release_Calendar!$A$2:$A$755,"NZ_GDP",Release_Calendar!$B$2:$B$755,$A6286)&gt;0,1,0))</f>
        <v>0</v>
      </c>
      <c r="O6286" s="16">
        <f>IF($A6286&lt;Notes!$B$5,"",IF(COUNTIFS(Release_Calendar!$A$2:$A$755,"NZ_LABOUR",Release_Calendar!$B$2:$B$755,$A6286)&gt;0,1,0))</f>
        <v>0</v>
      </c>
      <c r="P6286" s="16">
        <f t="shared" si="4"/>
        <v>1</v>
      </c>
    </row>
    <row r="6287" ht="15.75" customHeight="1">
      <c r="A6287" s="14">
        <v>45327.0</v>
      </c>
      <c r="B6287" s="15">
        <v>4.46</v>
      </c>
      <c r="C6287" s="15">
        <v>4.87</v>
      </c>
      <c r="D6287" s="15"/>
      <c r="E6287" s="15">
        <v>4.69</v>
      </c>
      <c r="F6287" s="15">
        <f t="shared" si="1"/>
        <v>0.41</v>
      </c>
      <c r="G6287" s="15">
        <f t="shared" si="2"/>
        <v>4.87</v>
      </c>
      <c r="H6287" s="16">
        <v>0.0</v>
      </c>
      <c r="I6287" s="15">
        <f t="shared" si="3"/>
        <v>0.41</v>
      </c>
      <c r="J6287" s="15">
        <v>13.67</v>
      </c>
      <c r="K6287" s="16">
        <f>IF(COUNTIFS(Release_Calendar!$A$2:$A$755,"US_CPI",Release_Calendar!$B$2:$B$755,$A6287)&gt;0,1,0)</f>
        <v>0</v>
      </c>
      <c r="L6287" s="16">
        <f>IF(COUNTIFS(Release_Calendar!$A$2:$A$755,"US_NFP",Release_Calendar!$B$2:$B$755,$A6287)&gt;0,1,0)</f>
        <v>0</v>
      </c>
      <c r="M6287" s="16">
        <f>IF($A6287&lt;Notes!$B$5,"",IF(COUNTIFS(Release_Calendar!$A$2:$A$755,"NZ_CPI",Release_Calendar!$B$2:$B$755,$A6287)&gt;0,1,0))</f>
        <v>0</v>
      </c>
      <c r="N6287" s="16">
        <f>IF($A6287&lt;Notes!$B$5,"",IF(COUNTIFS(Release_Calendar!$A$2:$A$755,"NZ_GDP",Release_Calendar!$B$2:$B$755,$A6287)&gt;0,1,0))</f>
        <v>0</v>
      </c>
      <c r="O6287" s="16">
        <f>IF($A6287&lt;Notes!$B$5,"",IF(COUNTIFS(Release_Calendar!$A$2:$A$755,"NZ_LABOUR",Release_Calendar!$B$2:$B$755,$A6287)&gt;0,1,0))</f>
        <v>0</v>
      </c>
      <c r="P6287" s="16">
        <f t="shared" si="4"/>
        <v>0</v>
      </c>
    </row>
    <row r="6288" ht="15.75" customHeight="1">
      <c r="A6288" s="14">
        <v>45328.0</v>
      </c>
      <c r="B6288" s="15">
        <v>4.39</v>
      </c>
      <c r="C6288" s="15"/>
      <c r="D6288" s="15"/>
      <c r="E6288" s="15"/>
      <c r="F6288" s="15" t="str">
        <f t="shared" si="1"/>
        <v/>
      </c>
      <c r="G6288" s="15" t="str">
        <f t="shared" si="2"/>
        <v/>
      </c>
      <c r="H6288" s="16">
        <v>0.0</v>
      </c>
      <c r="I6288" s="15" t="str">
        <f t="shared" si="3"/>
        <v/>
      </c>
      <c r="J6288" s="15">
        <v>13.06</v>
      </c>
      <c r="K6288" s="16">
        <f>IF(COUNTIFS(Release_Calendar!$A$2:$A$755,"US_CPI",Release_Calendar!$B$2:$B$755,$A6288)&gt;0,1,0)</f>
        <v>0</v>
      </c>
      <c r="L6288" s="16">
        <f>IF(COUNTIFS(Release_Calendar!$A$2:$A$755,"US_NFP",Release_Calendar!$B$2:$B$755,$A6288)&gt;0,1,0)</f>
        <v>0</v>
      </c>
      <c r="M6288" s="16">
        <f>IF($A6288&lt;Notes!$B$5,"",IF(COUNTIFS(Release_Calendar!$A$2:$A$755,"NZ_CPI",Release_Calendar!$B$2:$B$755,$A6288)&gt;0,1,0))</f>
        <v>0</v>
      </c>
      <c r="N6288" s="16">
        <f>IF($A6288&lt;Notes!$B$5,"",IF(COUNTIFS(Release_Calendar!$A$2:$A$755,"NZ_GDP",Release_Calendar!$B$2:$B$755,$A6288)&gt;0,1,0))</f>
        <v>0</v>
      </c>
      <c r="O6288" s="16">
        <f>IF($A6288&lt;Notes!$B$5,"",IF(COUNTIFS(Release_Calendar!$A$2:$A$755,"NZ_LABOUR",Release_Calendar!$B$2:$B$755,$A6288)&gt;0,1,0))</f>
        <v>0</v>
      </c>
      <c r="P6288" s="16">
        <f t="shared" si="4"/>
        <v>0</v>
      </c>
    </row>
    <row r="6289" ht="15.75" customHeight="1">
      <c r="A6289" s="14">
        <v>45329.0</v>
      </c>
      <c r="B6289" s="15">
        <v>4.41</v>
      </c>
      <c r="C6289" s="15">
        <v>4.99</v>
      </c>
      <c r="D6289" s="15"/>
      <c r="E6289" s="15">
        <v>4.82</v>
      </c>
      <c r="F6289" s="15">
        <f t="shared" si="1"/>
        <v>0.58</v>
      </c>
      <c r="G6289" s="15">
        <f t="shared" si="2"/>
        <v>4.99</v>
      </c>
      <c r="H6289" s="16">
        <v>0.0</v>
      </c>
      <c r="I6289" s="15">
        <f t="shared" si="3"/>
        <v>0.58</v>
      </c>
      <c r="J6289" s="15">
        <v>12.83</v>
      </c>
      <c r="K6289" s="16">
        <f>IF(COUNTIFS(Release_Calendar!$A$2:$A$755,"US_CPI",Release_Calendar!$B$2:$B$755,$A6289)&gt;0,1,0)</f>
        <v>0</v>
      </c>
      <c r="L6289" s="16">
        <f>IF(COUNTIFS(Release_Calendar!$A$2:$A$755,"US_NFP",Release_Calendar!$B$2:$B$755,$A6289)&gt;0,1,0)</f>
        <v>0</v>
      </c>
      <c r="M6289" s="16">
        <f>IF($A6289&lt;Notes!$B$5,"",IF(COUNTIFS(Release_Calendar!$A$2:$A$755,"NZ_CPI",Release_Calendar!$B$2:$B$755,$A6289)&gt;0,1,0))</f>
        <v>0</v>
      </c>
      <c r="N6289" s="16">
        <f>IF($A6289&lt;Notes!$B$5,"",IF(COUNTIFS(Release_Calendar!$A$2:$A$755,"NZ_GDP",Release_Calendar!$B$2:$B$755,$A6289)&gt;0,1,0))</f>
        <v>0</v>
      </c>
      <c r="O6289" s="16">
        <f>IF($A6289&lt;Notes!$B$5,"",IF(COUNTIFS(Release_Calendar!$A$2:$A$755,"NZ_LABOUR",Release_Calendar!$B$2:$B$755,$A6289)&gt;0,1,0))</f>
        <v>1</v>
      </c>
      <c r="P6289" s="16">
        <f t="shared" si="4"/>
        <v>1</v>
      </c>
    </row>
    <row r="6290" ht="15.75" customHeight="1">
      <c r="A6290" s="14">
        <v>45330.0</v>
      </c>
      <c r="B6290" s="15">
        <v>4.46</v>
      </c>
      <c r="C6290" s="15">
        <v>5.02</v>
      </c>
      <c r="D6290" s="15"/>
      <c r="E6290" s="15">
        <v>4.83</v>
      </c>
      <c r="F6290" s="15">
        <f t="shared" si="1"/>
        <v>0.56</v>
      </c>
      <c r="G6290" s="15">
        <f t="shared" si="2"/>
        <v>5.02</v>
      </c>
      <c r="H6290" s="16">
        <v>0.0</v>
      </c>
      <c r="I6290" s="15">
        <f t="shared" si="3"/>
        <v>0.56</v>
      </c>
      <c r="J6290" s="15">
        <v>12.79</v>
      </c>
      <c r="K6290" s="16">
        <f>IF(COUNTIFS(Release_Calendar!$A$2:$A$755,"US_CPI",Release_Calendar!$B$2:$B$755,$A6290)&gt;0,1,0)</f>
        <v>0</v>
      </c>
      <c r="L6290" s="16">
        <f>IF(COUNTIFS(Release_Calendar!$A$2:$A$755,"US_NFP",Release_Calendar!$B$2:$B$755,$A6290)&gt;0,1,0)</f>
        <v>0</v>
      </c>
      <c r="M6290" s="16">
        <f>IF($A6290&lt;Notes!$B$5,"",IF(COUNTIFS(Release_Calendar!$A$2:$A$755,"NZ_CPI",Release_Calendar!$B$2:$B$755,$A6290)&gt;0,1,0))</f>
        <v>0</v>
      </c>
      <c r="N6290" s="16">
        <f>IF($A6290&lt;Notes!$B$5,"",IF(COUNTIFS(Release_Calendar!$A$2:$A$755,"NZ_GDP",Release_Calendar!$B$2:$B$755,$A6290)&gt;0,1,0))</f>
        <v>0</v>
      </c>
      <c r="O6290" s="16">
        <f>IF($A6290&lt;Notes!$B$5,"",IF(COUNTIFS(Release_Calendar!$A$2:$A$755,"NZ_LABOUR",Release_Calendar!$B$2:$B$755,$A6290)&gt;0,1,0))</f>
        <v>0</v>
      </c>
      <c r="P6290" s="16">
        <f t="shared" si="4"/>
        <v>0</v>
      </c>
    </row>
    <row r="6291" ht="15.75" customHeight="1">
      <c r="A6291" s="14">
        <v>45331.0</v>
      </c>
      <c r="B6291" s="15">
        <v>4.48</v>
      </c>
      <c r="C6291" s="15">
        <v>5.19</v>
      </c>
      <c r="D6291" s="15"/>
      <c r="E6291" s="15">
        <v>4.99</v>
      </c>
      <c r="F6291" s="15">
        <f t="shared" si="1"/>
        <v>0.71</v>
      </c>
      <c r="G6291" s="15">
        <f t="shared" si="2"/>
        <v>5.19</v>
      </c>
      <c r="H6291" s="16">
        <v>0.0</v>
      </c>
      <c r="I6291" s="15">
        <f t="shared" si="3"/>
        <v>0.71</v>
      </c>
      <c r="J6291" s="15">
        <v>12.93</v>
      </c>
      <c r="K6291" s="16">
        <f>IF(COUNTIFS(Release_Calendar!$A$2:$A$755,"US_CPI",Release_Calendar!$B$2:$B$755,$A6291)&gt;0,1,0)</f>
        <v>0</v>
      </c>
      <c r="L6291" s="16">
        <f>IF(COUNTIFS(Release_Calendar!$A$2:$A$755,"US_NFP",Release_Calendar!$B$2:$B$755,$A6291)&gt;0,1,0)</f>
        <v>0</v>
      </c>
      <c r="M6291" s="16">
        <f>IF($A6291&lt;Notes!$B$5,"",IF(COUNTIFS(Release_Calendar!$A$2:$A$755,"NZ_CPI",Release_Calendar!$B$2:$B$755,$A6291)&gt;0,1,0))</f>
        <v>0</v>
      </c>
      <c r="N6291" s="16">
        <f>IF($A6291&lt;Notes!$B$5,"",IF(COUNTIFS(Release_Calendar!$A$2:$A$755,"NZ_GDP",Release_Calendar!$B$2:$B$755,$A6291)&gt;0,1,0))</f>
        <v>0</v>
      </c>
      <c r="O6291" s="16">
        <f>IF($A6291&lt;Notes!$B$5,"",IF(COUNTIFS(Release_Calendar!$A$2:$A$755,"NZ_LABOUR",Release_Calendar!$B$2:$B$755,$A6291)&gt;0,1,0))</f>
        <v>0</v>
      </c>
      <c r="P6291" s="16">
        <f t="shared" si="4"/>
        <v>0</v>
      </c>
    </row>
    <row r="6292" ht="15.75" customHeight="1">
      <c r="A6292" s="14">
        <v>45334.0</v>
      </c>
      <c r="B6292" s="15">
        <v>4.46</v>
      </c>
      <c r="C6292" s="15">
        <v>5.22</v>
      </c>
      <c r="D6292" s="15"/>
      <c r="E6292" s="15">
        <v>5.02</v>
      </c>
      <c r="F6292" s="15">
        <f t="shared" si="1"/>
        <v>0.76</v>
      </c>
      <c r="G6292" s="15">
        <f t="shared" si="2"/>
        <v>5.22</v>
      </c>
      <c r="H6292" s="16">
        <v>0.0</v>
      </c>
      <c r="I6292" s="15">
        <f t="shared" si="3"/>
        <v>0.76</v>
      </c>
      <c r="J6292" s="15">
        <v>13.93</v>
      </c>
      <c r="K6292" s="16">
        <f>IF(COUNTIFS(Release_Calendar!$A$2:$A$755,"US_CPI",Release_Calendar!$B$2:$B$755,$A6292)&gt;0,1,0)</f>
        <v>0</v>
      </c>
      <c r="L6292" s="16">
        <f>IF(COUNTIFS(Release_Calendar!$A$2:$A$755,"US_NFP",Release_Calendar!$B$2:$B$755,$A6292)&gt;0,1,0)</f>
        <v>0</v>
      </c>
      <c r="M6292" s="16">
        <f>IF($A6292&lt;Notes!$B$5,"",IF(COUNTIFS(Release_Calendar!$A$2:$A$755,"NZ_CPI",Release_Calendar!$B$2:$B$755,$A6292)&gt;0,1,0))</f>
        <v>0</v>
      </c>
      <c r="N6292" s="16">
        <f>IF($A6292&lt;Notes!$B$5,"",IF(COUNTIFS(Release_Calendar!$A$2:$A$755,"NZ_GDP",Release_Calendar!$B$2:$B$755,$A6292)&gt;0,1,0))</f>
        <v>0</v>
      </c>
      <c r="O6292" s="16">
        <f>IF($A6292&lt;Notes!$B$5,"",IF(COUNTIFS(Release_Calendar!$A$2:$A$755,"NZ_LABOUR",Release_Calendar!$B$2:$B$755,$A6292)&gt;0,1,0))</f>
        <v>0</v>
      </c>
      <c r="P6292" s="16">
        <f t="shared" si="4"/>
        <v>0</v>
      </c>
    </row>
    <row r="6293" ht="15.75" customHeight="1">
      <c r="A6293" s="14">
        <v>45335.0</v>
      </c>
      <c r="B6293" s="15">
        <v>4.64</v>
      </c>
      <c r="C6293" s="15">
        <v>5.18</v>
      </c>
      <c r="D6293" s="15"/>
      <c r="E6293" s="15">
        <v>5.0</v>
      </c>
      <c r="F6293" s="15">
        <f t="shared" si="1"/>
        <v>0.54</v>
      </c>
      <c r="G6293" s="15">
        <f t="shared" si="2"/>
        <v>5.18</v>
      </c>
      <c r="H6293" s="16">
        <v>0.0</v>
      </c>
      <c r="I6293" s="15">
        <f t="shared" si="3"/>
        <v>0.54</v>
      </c>
      <c r="J6293" s="15">
        <v>15.85</v>
      </c>
      <c r="K6293" s="16">
        <f>IF(COUNTIFS(Release_Calendar!$A$2:$A$755,"US_CPI",Release_Calendar!$B$2:$B$755,$A6293)&gt;0,1,0)</f>
        <v>1</v>
      </c>
      <c r="L6293" s="16">
        <f>IF(COUNTIFS(Release_Calendar!$A$2:$A$755,"US_NFP",Release_Calendar!$B$2:$B$755,$A6293)&gt;0,1,0)</f>
        <v>0</v>
      </c>
      <c r="M6293" s="16">
        <f>IF($A6293&lt;Notes!$B$5,"",IF(COUNTIFS(Release_Calendar!$A$2:$A$755,"NZ_CPI",Release_Calendar!$B$2:$B$755,$A6293)&gt;0,1,0))</f>
        <v>0</v>
      </c>
      <c r="N6293" s="16">
        <f>IF($A6293&lt;Notes!$B$5,"",IF(COUNTIFS(Release_Calendar!$A$2:$A$755,"NZ_GDP",Release_Calendar!$B$2:$B$755,$A6293)&gt;0,1,0))</f>
        <v>0</v>
      </c>
      <c r="O6293" s="16">
        <f>IF($A6293&lt;Notes!$B$5,"",IF(COUNTIFS(Release_Calendar!$A$2:$A$755,"NZ_LABOUR",Release_Calendar!$B$2:$B$755,$A6293)&gt;0,1,0))</f>
        <v>0</v>
      </c>
      <c r="P6293" s="16">
        <f t="shared" si="4"/>
        <v>1</v>
      </c>
    </row>
    <row r="6294" ht="15.75" customHeight="1">
      <c r="A6294" s="14">
        <v>45336.0</v>
      </c>
      <c r="B6294" s="15">
        <v>4.56</v>
      </c>
      <c r="C6294" s="15">
        <v>5.22</v>
      </c>
      <c r="D6294" s="15"/>
      <c r="E6294" s="15">
        <v>5.05</v>
      </c>
      <c r="F6294" s="15">
        <f t="shared" si="1"/>
        <v>0.66</v>
      </c>
      <c r="G6294" s="15">
        <f t="shared" si="2"/>
        <v>5.22</v>
      </c>
      <c r="H6294" s="16">
        <v>0.0</v>
      </c>
      <c r="I6294" s="15">
        <f t="shared" si="3"/>
        <v>0.66</v>
      </c>
      <c r="J6294" s="15">
        <v>14.38</v>
      </c>
      <c r="K6294" s="16">
        <f>IF(COUNTIFS(Release_Calendar!$A$2:$A$755,"US_CPI",Release_Calendar!$B$2:$B$755,$A6294)&gt;0,1,0)</f>
        <v>0</v>
      </c>
      <c r="L6294" s="16">
        <f>IF(COUNTIFS(Release_Calendar!$A$2:$A$755,"US_NFP",Release_Calendar!$B$2:$B$755,$A6294)&gt;0,1,0)</f>
        <v>0</v>
      </c>
      <c r="M6294" s="16">
        <f>IF($A6294&lt;Notes!$B$5,"",IF(COUNTIFS(Release_Calendar!$A$2:$A$755,"NZ_CPI",Release_Calendar!$B$2:$B$755,$A6294)&gt;0,1,0))</f>
        <v>0</v>
      </c>
      <c r="N6294" s="16">
        <f>IF($A6294&lt;Notes!$B$5,"",IF(COUNTIFS(Release_Calendar!$A$2:$A$755,"NZ_GDP",Release_Calendar!$B$2:$B$755,$A6294)&gt;0,1,0))</f>
        <v>0</v>
      </c>
      <c r="O6294" s="16">
        <f>IF($A6294&lt;Notes!$B$5,"",IF(COUNTIFS(Release_Calendar!$A$2:$A$755,"NZ_LABOUR",Release_Calendar!$B$2:$B$755,$A6294)&gt;0,1,0))</f>
        <v>0</v>
      </c>
      <c r="P6294" s="16">
        <f t="shared" si="4"/>
        <v>0</v>
      </c>
    </row>
    <row r="6295" ht="15.75" customHeight="1">
      <c r="A6295" s="14">
        <v>45337.0</v>
      </c>
      <c r="B6295" s="15">
        <v>4.56</v>
      </c>
      <c r="C6295" s="15">
        <v>5.14</v>
      </c>
      <c r="D6295" s="15"/>
      <c r="E6295" s="15">
        <v>4.92</v>
      </c>
      <c r="F6295" s="15">
        <f t="shared" si="1"/>
        <v>0.58</v>
      </c>
      <c r="G6295" s="15">
        <f t="shared" si="2"/>
        <v>5.14</v>
      </c>
      <c r="H6295" s="16">
        <v>0.0</v>
      </c>
      <c r="I6295" s="15">
        <f t="shared" si="3"/>
        <v>0.58</v>
      </c>
      <c r="J6295" s="15">
        <v>14.01</v>
      </c>
      <c r="K6295" s="16">
        <f>IF(COUNTIFS(Release_Calendar!$A$2:$A$755,"US_CPI",Release_Calendar!$B$2:$B$755,$A6295)&gt;0,1,0)</f>
        <v>0</v>
      </c>
      <c r="L6295" s="16">
        <f>IF(COUNTIFS(Release_Calendar!$A$2:$A$755,"US_NFP",Release_Calendar!$B$2:$B$755,$A6295)&gt;0,1,0)</f>
        <v>0</v>
      </c>
      <c r="M6295" s="16">
        <f>IF($A6295&lt;Notes!$B$5,"",IF(COUNTIFS(Release_Calendar!$A$2:$A$755,"NZ_CPI",Release_Calendar!$B$2:$B$755,$A6295)&gt;0,1,0))</f>
        <v>0</v>
      </c>
      <c r="N6295" s="16">
        <f>IF($A6295&lt;Notes!$B$5,"",IF(COUNTIFS(Release_Calendar!$A$2:$A$755,"NZ_GDP",Release_Calendar!$B$2:$B$755,$A6295)&gt;0,1,0))</f>
        <v>0</v>
      </c>
      <c r="O6295" s="16">
        <f>IF($A6295&lt;Notes!$B$5,"",IF(COUNTIFS(Release_Calendar!$A$2:$A$755,"NZ_LABOUR",Release_Calendar!$B$2:$B$755,$A6295)&gt;0,1,0))</f>
        <v>0</v>
      </c>
      <c r="P6295" s="16">
        <f t="shared" si="4"/>
        <v>0</v>
      </c>
    </row>
    <row r="6296" ht="15.75" customHeight="1">
      <c r="A6296" s="14">
        <v>45338.0</v>
      </c>
      <c r="B6296" s="15">
        <v>4.64</v>
      </c>
      <c r="C6296" s="15">
        <v>5.15</v>
      </c>
      <c r="D6296" s="15"/>
      <c r="E6296" s="15">
        <v>4.92</v>
      </c>
      <c r="F6296" s="15">
        <f t="shared" si="1"/>
        <v>0.51</v>
      </c>
      <c r="G6296" s="15">
        <f t="shared" si="2"/>
        <v>5.15</v>
      </c>
      <c r="H6296" s="16">
        <v>0.0</v>
      </c>
      <c r="I6296" s="15">
        <f t="shared" si="3"/>
        <v>0.51</v>
      </c>
      <c r="J6296" s="15">
        <v>14.24</v>
      </c>
      <c r="K6296" s="16">
        <f>IF(COUNTIFS(Release_Calendar!$A$2:$A$755,"US_CPI",Release_Calendar!$B$2:$B$755,$A6296)&gt;0,1,0)</f>
        <v>0</v>
      </c>
      <c r="L6296" s="16">
        <f>IF(COUNTIFS(Release_Calendar!$A$2:$A$755,"US_NFP",Release_Calendar!$B$2:$B$755,$A6296)&gt;0,1,0)</f>
        <v>0</v>
      </c>
      <c r="M6296" s="16">
        <f>IF($A6296&lt;Notes!$B$5,"",IF(COUNTIFS(Release_Calendar!$A$2:$A$755,"NZ_CPI",Release_Calendar!$B$2:$B$755,$A6296)&gt;0,1,0))</f>
        <v>0</v>
      </c>
      <c r="N6296" s="16">
        <f>IF($A6296&lt;Notes!$B$5,"",IF(COUNTIFS(Release_Calendar!$A$2:$A$755,"NZ_GDP",Release_Calendar!$B$2:$B$755,$A6296)&gt;0,1,0))</f>
        <v>0</v>
      </c>
      <c r="O6296" s="16">
        <f>IF($A6296&lt;Notes!$B$5,"",IF(COUNTIFS(Release_Calendar!$A$2:$A$755,"NZ_LABOUR",Release_Calendar!$B$2:$B$755,$A6296)&gt;0,1,0))</f>
        <v>0</v>
      </c>
      <c r="P6296" s="16">
        <f t="shared" si="4"/>
        <v>0</v>
      </c>
    </row>
    <row r="6297" ht="15.75" customHeight="1">
      <c r="A6297" s="14">
        <v>45341.0</v>
      </c>
      <c r="B6297" s="15"/>
      <c r="C6297" s="15">
        <v>5.19</v>
      </c>
      <c r="D6297" s="15"/>
      <c r="E6297" s="15">
        <v>4.94</v>
      </c>
      <c r="F6297" s="15" t="str">
        <f t="shared" si="1"/>
        <v/>
      </c>
      <c r="G6297" s="15">
        <f t="shared" si="2"/>
        <v>5.19</v>
      </c>
      <c r="H6297" s="16">
        <v>0.0</v>
      </c>
      <c r="I6297" s="15" t="str">
        <f t="shared" si="3"/>
        <v/>
      </c>
      <c r="J6297" s="15">
        <v>14.71</v>
      </c>
      <c r="K6297" s="16">
        <f>IF(COUNTIFS(Release_Calendar!$A$2:$A$755,"US_CPI",Release_Calendar!$B$2:$B$755,$A6297)&gt;0,1,0)</f>
        <v>0</v>
      </c>
      <c r="L6297" s="16">
        <f>IF(COUNTIFS(Release_Calendar!$A$2:$A$755,"US_NFP",Release_Calendar!$B$2:$B$755,$A6297)&gt;0,1,0)</f>
        <v>0</v>
      </c>
      <c r="M6297" s="16">
        <f>IF($A6297&lt;Notes!$B$5,"",IF(COUNTIFS(Release_Calendar!$A$2:$A$755,"NZ_CPI",Release_Calendar!$B$2:$B$755,$A6297)&gt;0,1,0))</f>
        <v>0</v>
      </c>
      <c r="N6297" s="16">
        <f>IF($A6297&lt;Notes!$B$5,"",IF(COUNTIFS(Release_Calendar!$A$2:$A$755,"NZ_GDP",Release_Calendar!$B$2:$B$755,$A6297)&gt;0,1,0))</f>
        <v>0</v>
      </c>
      <c r="O6297" s="16">
        <f>IF($A6297&lt;Notes!$B$5,"",IF(COUNTIFS(Release_Calendar!$A$2:$A$755,"NZ_LABOUR",Release_Calendar!$B$2:$B$755,$A6297)&gt;0,1,0))</f>
        <v>0</v>
      </c>
      <c r="P6297" s="16">
        <f t="shared" si="4"/>
        <v>0</v>
      </c>
    </row>
    <row r="6298" ht="15.75" customHeight="1">
      <c r="A6298" s="14">
        <v>45342.0</v>
      </c>
      <c r="B6298" s="15">
        <v>4.59</v>
      </c>
      <c r="C6298" s="15">
        <v>5.18</v>
      </c>
      <c r="D6298" s="15"/>
      <c r="E6298" s="15">
        <v>4.92</v>
      </c>
      <c r="F6298" s="15">
        <f t="shared" si="1"/>
        <v>0.59</v>
      </c>
      <c r="G6298" s="15">
        <f t="shared" si="2"/>
        <v>5.18</v>
      </c>
      <c r="H6298" s="16">
        <v>0.0</v>
      </c>
      <c r="I6298" s="15">
        <f t="shared" si="3"/>
        <v>0.59</v>
      </c>
      <c r="J6298" s="15">
        <v>15.42</v>
      </c>
      <c r="K6298" s="16">
        <f>IF(COUNTIFS(Release_Calendar!$A$2:$A$755,"US_CPI",Release_Calendar!$B$2:$B$755,$A6298)&gt;0,1,0)</f>
        <v>0</v>
      </c>
      <c r="L6298" s="16">
        <f>IF(COUNTIFS(Release_Calendar!$A$2:$A$755,"US_NFP",Release_Calendar!$B$2:$B$755,$A6298)&gt;0,1,0)</f>
        <v>0</v>
      </c>
      <c r="M6298" s="16">
        <f>IF($A6298&lt;Notes!$B$5,"",IF(COUNTIFS(Release_Calendar!$A$2:$A$755,"NZ_CPI",Release_Calendar!$B$2:$B$755,$A6298)&gt;0,1,0))</f>
        <v>0</v>
      </c>
      <c r="N6298" s="16">
        <f>IF($A6298&lt;Notes!$B$5,"",IF(COUNTIFS(Release_Calendar!$A$2:$A$755,"NZ_GDP",Release_Calendar!$B$2:$B$755,$A6298)&gt;0,1,0))</f>
        <v>0</v>
      </c>
      <c r="O6298" s="16">
        <f>IF($A6298&lt;Notes!$B$5,"",IF(COUNTIFS(Release_Calendar!$A$2:$A$755,"NZ_LABOUR",Release_Calendar!$B$2:$B$755,$A6298)&gt;0,1,0))</f>
        <v>0</v>
      </c>
      <c r="P6298" s="16">
        <f t="shared" si="4"/>
        <v>0</v>
      </c>
    </row>
    <row r="6299" ht="15.75" customHeight="1">
      <c r="A6299" s="14">
        <v>45343.0</v>
      </c>
      <c r="B6299" s="15">
        <v>4.64</v>
      </c>
      <c r="C6299" s="15">
        <v>5.19</v>
      </c>
      <c r="D6299" s="15"/>
      <c r="E6299" s="15">
        <v>4.92</v>
      </c>
      <c r="F6299" s="15">
        <f t="shared" si="1"/>
        <v>0.55</v>
      </c>
      <c r="G6299" s="15">
        <f t="shared" si="2"/>
        <v>5.19</v>
      </c>
      <c r="H6299" s="16">
        <v>0.0</v>
      </c>
      <c r="I6299" s="15">
        <f t="shared" si="3"/>
        <v>0.55</v>
      </c>
      <c r="J6299" s="15">
        <v>15.34</v>
      </c>
      <c r="K6299" s="16">
        <f>IF(COUNTIFS(Release_Calendar!$A$2:$A$755,"US_CPI",Release_Calendar!$B$2:$B$755,$A6299)&gt;0,1,0)</f>
        <v>0</v>
      </c>
      <c r="L6299" s="16">
        <f>IF(COUNTIFS(Release_Calendar!$A$2:$A$755,"US_NFP",Release_Calendar!$B$2:$B$755,$A6299)&gt;0,1,0)</f>
        <v>0</v>
      </c>
      <c r="M6299" s="16">
        <f>IF($A6299&lt;Notes!$B$5,"",IF(COUNTIFS(Release_Calendar!$A$2:$A$755,"NZ_CPI",Release_Calendar!$B$2:$B$755,$A6299)&gt;0,1,0))</f>
        <v>0</v>
      </c>
      <c r="N6299" s="16">
        <f>IF($A6299&lt;Notes!$B$5,"",IF(COUNTIFS(Release_Calendar!$A$2:$A$755,"NZ_GDP",Release_Calendar!$B$2:$B$755,$A6299)&gt;0,1,0))</f>
        <v>0</v>
      </c>
      <c r="O6299" s="16">
        <f>IF($A6299&lt;Notes!$B$5,"",IF(COUNTIFS(Release_Calendar!$A$2:$A$755,"NZ_LABOUR",Release_Calendar!$B$2:$B$755,$A6299)&gt;0,1,0))</f>
        <v>0</v>
      </c>
      <c r="P6299" s="16">
        <f t="shared" si="4"/>
        <v>0</v>
      </c>
    </row>
    <row r="6300" ht="15.75" customHeight="1">
      <c r="A6300" s="14">
        <v>45344.0</v>
      </c>
      <c r="B6300" s="15">
        <v>4.69</v>
      </c>
      <c r="C6300" s="15">
        <v>5.22</v>
      </c>
      <c r="D6300" s="15"/>
      <c r="E6300" s="15">
        <v>4.94</v>
      </c>
      <c r="F6300" s="15">
        <f t="shared" si="1"/>
        <v>0.53</v>
      </c>
      <c r="G6300" s="15">
        <f t="shared" si="2"/>
        <v>5.22</v>
      </c>
      <c r="H6300" s="16">
        <v>0.0</v>
      </c>
      <c r="I6300" s="15">
        <f t="shared" si="3"/>
        <v>0.53</v>
      </c>
      <c r="J6300" s="15">
        <v>14.54</v>
      </c>
      <c r="K6300" s="16">
        <f>IF(COUNTIFS(Release_Calendar!$A$2:$A$755,"US_CPI",Release_Calendar!$B$2:$B$755,$A6300)&gt;0,1,0)</f>
        <v>0</v>
      </c>
      <c r="L6300" s="16">
        <f>IF(COUNTIFS(Release_Calendar!$A$2:$A$755,"US_NFP",Release_Calendar!$B$2:$B$755,$A6300)&gt;0,1,0)</f>
        <v>0</v>
      </c>
      <c r="M6300" s="16">
        <f>IF($A6300&lt;Notes!$B$5,"",IF(COUNTIFS(Release_Calendar!$A$2:$A$755,"NZ_CPI",Release_Calendar!$B$2:$B$755,$A6300)&gt;0,1,0))</f>
        <v>0</v>
      </c>
      <c r="N6300" s="16">
        <f>IF($A6300&lt;Notes!$B$5,"",IF(COUNTIFS(Release_Calendar!$A$2:$A$755,"NZ_GDP",Release_Calendar!$B$2:$B$755,$A6300)&gt;0,1,0))</f>
        <v>0</v>
      </c>
      <c r="O6300" s="16">
        <f>IF($A6300&lt;Notes!$B$5,"",IF(COUNTIFS(Release_Calendar!$A$2:$A$755,"NZ_LABOUR",Release_Calendar!$B$2:$B$755,$A6300)&gt;0,1,0))</f>
        <v>0</v>
      </c>
      <c r="P6300" s="16">
        <f t="shared" si="4"/>
        <v>0</v>
      </c>
    </row>
    <row r="6301" ht="15.75" customHeight="1">
      <c r="A6301" s="14">
        <v>45345.0</v>
      </c>
      <c r="B6301" s="15">
        <v>4.67</v>
      </c>
      <c r="C6301" s="15">
        <v>5.27</v>
      </c>
      <c r="D6301" s="15"/>
      <c r="E6301" s="15">
        <v>4.97</v>
      </c>
      <c r="F6301" s="15">
        <f t="shared" si="1"/>
        <v>0.6</v>
      </c>
      <c r="G6301" s="15">
        <f t="shared" si="2"/>
        <v>5.27</v>
      </c>
      <c r="H6301" s="16">
        <v>0.0</v>
      </c>
      <c r="I6301" s="15">
        <f t="shared" si="3"/>
        <v>0.6</v>
      </c>
      <c r="J6301" s="15">
        <v>13.75</v>
      </c>
      <c r="K6301" s="16">
        <f>IF(COUNTIFS(Release_Calendar!$A$2:$A$755,"US_CPI",Release_Calendar!$B$2:$B$755,$A6301)&gt;0,1,0)</f>
        <v>0</v>
      </c>
      <c r="L6301" s="16">
        <f>IF(COUNTIFS(Release_Calendar!$A$2:$A$755,"US_NFP",Release_Calendar!$B$2:$B$755,$A6301)&gt;0,1,0)</f>
        <v>0</v>
      </c>
      <c r="M6301" s="16">
        <f>IF($A6301&lt;Notes!$B$5,"",IF(COUNTIFS(Release_Calendar!$A$2:$A$755,"NZ_CPI",Release_Calendar!$B$2:$B$755,$A6301)&gt;0,1,0))</f>
        <v>0</v>
      </c>
      <c r="N6301" s="16">
        <f>IF($A6301&lt;Notes!$B$5,"",IF(COUNTIFS(Release_Calendar!$A$2:$A$755,"NZ_GDP",Release_Calendar!$B$2:$B$755,$A6301)&gt;0,1,0))</f>
        <v>0</v>
      </c>
      <c r="O6301" s="16">
        <f>IF($A6301&lt;Notes!$B$5,"",IF(COUNTIFS(Release_Calendar!$A$2:$A$755,"NZ_LABOUR",Release_Calendar!$B$2:$B$755,$A6301)&gt;0,1,0))</f>
        <v>0</v>
      </c>
      <c r="P6301" s="16">
        <f t="shared" si="4"/>
        <v>0</v>
      </c>
    </row>
    <row r="6302" ht="15.75" customHeight="1">
      <c r="A6302" s="14">
        <v>45348.0</v>
      </c>
      <c r="B6302" s="15">
        <v>4.69</v>
      </c>
      <c r="C6302" s="15">
        <v>5.21</v>
      </c>
      <c r="D6302" s="15"/>
      <c r="E6302" s="15">
        <v>4.93</v>
      </c>
      <c r="F6302" s="15">
        <f t="shared" si="1"/>
        <v>0.52</v>
      </c>
      <c r="G6302" s="15">
        <f t="shared" si="2"/>
        <v>5.21</v>
      </c>
      <c r="H6302" s="16">
        <v>0.0</v>
      </c>
      <c r="I6302" s="15">
        <f t="shared" si="3"/>
        <v>0.52</v>
      </c>
      <c r="J6302" s="15">
        <v>13.74</v>
      </c>
      <c r="K6302" s="16">
        <f>IF(COUNTIFS(Release_Calendar!$A$2:$A$755,"US_CPI",Release_Calendar!$B$2:$B$755,$A6302)&gt;0,1,0)</f>
        <v>0</v>
      </c>
      <c r="L6302" s="16">
        <f>IF(COUNTIFS(Release_Calendar!$A$2:$A$755,"US_NFP",Release_Calendar!$B$2:$B$755,$A6302)&gt;0,1,0)</f>
        <v>0</v>
      </c>
      <c r="M6302" s="16">
        <f>IF($A6302&lt;Notes!$B$5,"",IF(COUNTIFS(Release_Calendar!$A$2:$A$755,"NZ_CPI",Release_Calendar!$B$2:$B$755,$A6302)&gt;0,1,0))</f>
        <v>0</v>
      </c>
      <c r="N6302" s="16">
        <f>IF($A6302&lt;Notes!$B$5,"",IF(COUNTIFS(Release_Calendar!$A$2:$A$755,"NZ_GDP",Release_Calendar!$B$2:$B$755,$A6302)&gt;0,1,0))</f>
        <v>0</v>
      </c>
      <c r="O6302" s="16">
        <f>IF($A6302&lt;Notes!$B$5,"",IF(COUNTIFS(Release_Calendar!$A$2:$A$755,"NZ_LABOUR",Release_Calendar!$B$2:$B$755,$A6302)&gt;0,1,0))</f>
        <v>0</v>
      </c>
      <c r="P6302" s="16">
        <f t="shared" si="4"/>
        <v>0</v>
      </c>
    </row>
    <row r="6303" ht="15.75" customHeight="1">
      <c r="A6303" s="14">
        <v>45349.0</v>
      </c>
      <c r="B6303" s="15">
        <v>4.7</v>
      </c>
      <c r="C6303" s="15">
        <v>5.17</v>
      </c>
      <c r="D6303" s="15"/>
      <c r="E6303" s="15">
        <v>4.96</v>
      </c>
      <c r="F6303" s="15">
        <f t="shared" si="1"/>
        <v>0.47</v>
      </c>
      <c r="G6303" s="15">
        <f t="shared" si="2"/>
        <v>5.17</v>
      </c>
      <c r="H6303" s="16">
        <v>0.0</v>
      </c>
      <c r="I6303" s="15">
        <f t="shared" si="3"/>
        <v>0.47</v>
      </c>
      <c r="J6303" s="15">
        <v>13.43</v>
      </c>
      <c r="K6303" s="16">
        <f>IF(COUNTIFS(Release_Calendar!$A$2:$A$755,"US_CPI",Release_Calendar!$B$2:$B$755,$A6303)&gt;0,1,0)</f>
        <v>0</v>
      </c>
      <c r="L6303" s="16">
        <f>IF(COUNTIFS(Release_Calendar!$A$2:$A$755,"US_NFP",Release_Calendar!$B$2:$B$755,$A6303)&gt;0,1,0)</f>
        <v>0</v>
      </c>
      <c r="M6303" s="16">
        <f>IF($A6303&lt;Notes!$B$5,"",IF(COUNTIFS(Release_Calendar!$A$2:$A$755,"NZ_CPI",Release_Calendar!$B$2:$B$755,$A6303)&gt;0,1,0))</f>
        <v>0</v>
      </c>
      <c r="N6303" s="16">
        <f>IF($A6303&lt;Notes!$B$5,"",IF(COUNTIFS(Release_Calendar!$A$2:$A$755,"NZ_GDP",Release_Calendar!$B$2:$B$755,$A6303)&gt;0,1,0))</f>
        <v>0</v>
      </c>
      <c r="O6303" s="16">
        <f>IF($A6303&lt;Notes!$B$5,"",IF(COUNTIFS(Release_Calendar!$A$2:$A$755,"NZ_LABOUR",Release_Calendar!$B$2:$B$755,$A6303)&gt;0,1,0))</f>
        <v>0</v>
      </c>
      <c r="P6303" s="16">
        <f t="shared" si="4"/>
        <v>0</v>
      </c>
    </row>
    <row r="6304" ht="15.75" customHeight="1">
      <c r="A6304" s="14">
        <v>45350.0</v>
      </c>
      <c r="B6304" s="15">
        <v>4.64</v>
      </c>
      <c r="C6304" s="15">
        <v>5.01</v>
      </c>
      <c r="D6304" s="15"/>
      <c r="E6304" s="15">
        <v>4.79</v>
      </c>
      <c r="F6304" s="15">
        <f t="shared" si="1"/>
        <v>0.37</v>
      </c>
      <c r="G6304" s="15">
        <f t="shared" si="2"/>
        <v>5.01</v>
      </c>
      <c r="H6304" s="16">
        <v>0.0</v>
      </c>
      <c r="I6304" s="15">
        <f t="shared" si="3"/>
        <v>0.37</v>
      </c>
      <c r="J6304" s="15">
        <v>13.84</v>
      </c>
      <c r="K6304" s="16">
        <f>IF(COUNTIFS(Release_Calendar!$A$2:$A$755,"US_CPI",Release_Calendar!$B$2:$B$755,$A6304)&gt;0,1,0)</f>
        <v>0</v>
      </c>
      <c r="L6304" s="16">
        <f>IF(COUNTIFS(Release_Calendar!$A$2:$A$755,"US_NFP",Release_Calendar!$B$2:$B$755,$A6304)&gt;0,1,0)</f>
        <v>0</v>
      </c>
      <c r="M6304" s="16">
        <f>IF($A6304&lt;Notes!$B$5,"",IF(COUNTIFS(Release_Calendar!$A$2:$A$755,"NZ_CPI",Release_Calendar!$B$2:$B$755,$A6304)&gt;0,1,0))</f>
        <v>0</v>
      </c>
      <c r="N6304" s="16">
        <f>IF($A6304&lt;Notes!$B$5,"",IF(COUNTIFS(Release_Calendar!$A$2:$A$755,"NZ_GDP",Release_Calendar!$B$2:$B$755,$A6304)&gt;0,1,0))</f>
        <v>0</v>
      </c>
      <c r="O6304" s="16">
        <f>IF($A6304&lt;Notes!$B$5,"",IF(COUNTIFS(Release_Calendar!$A$2:$A$755,"NZ_LABOUR",Release_Calendar!$B$2:$B$755,$A6304)&gt;0,1,0))</f>
        <v>0</v>
      </c>
      <c r="P6304" s="16">
        <f t="shared" si="4"/>
        <v>0</v>
      </c>
    </row>
    <row r="6305" ht="15.75" customHeight="1">
      <c r="A6305" s="14">
        <v>45351.0</v>
      </c>
      <c r="B6305" s="15">
        <v>4.64</v>
      </c>
      <c r="C6305" s="15">
        <v>4.98</v>
      </c>
      <c r="D6305" s="15"/>
      <c r="E6305" s="15">
        <v>4.78</v>
      </c>
      <c r="F6305" s="15">
        <f t="shared" si="1"/>
        <v>0.34</v>
      </c>
      <c r="G6305" s="15">
        <f t="shared" si="2"/>
        <v>4.98</v>
      </c>
      <c r="H6305" s="16">
        <v>0.0</v>
      </c>
      <c r="I6305" s="15">
        <f t="shared" si="3"/>
        <v>0.34</v>
      </c>
      <c r="J6305" s="15">
        <v>13.4</v>
      </c>
      <c r="K6305" s="16">
        <f>IF(COUNTIFS(Release_Calendar!$A$2:$A$755,"US_CPI",Release_Calendar!$B$2:$B$755,$A6305)&gt;0,1,0)</f>
        <v>0</v>
      </c>
      <c r="L6305" s="16">
        <f>IF(COUNTIFS(Release_Calendar!$A$2:$A$755,"US_NFP",Release_Calendar!$B$2:$B$755,$A6305)&gt;0,1,0)</f>
        <v>0</v>
      </c>
      <c r="M6305" s="16">
        <f>IF($A6305&lt;Notes!$B$5,"",IF(COUNTIFS(Release_Calendar!$A$2:$A$755,"NZ_CPI",Release_Calendar!$B$2:$B$755,$A6305)&gt;0,1,0))</f>
        <v>0</v>
      </c>
      <c r="N6305" s="16">
        <f>IF($A6305&lt;Notes!$B$5,"",IF(COUNTIFS(Release_Calendar!$A$2:$A$755,"NZ_GDP",Release_Calendar!$B$2:$B$755,$A6305)&gt;0,1,0))</f>
        <v>0</v>
      </c>
      <c r="O6305" s="16">
        <f>IF($A6305&lt;Notes!$B$5,"",IF(COUNTIFS(Release_Calendar!$A$2:$A$755,"NZ_LABOUR",Release_Calendar!$B$2:$B$755,$A6305)&gt;0,1,0))</f>
        <v>0</v>
      </c>
      <c r="P6305" s="16">
        <f t="shared" si="4"/>
        <v>0</v>
      </c>
    </row>
    <row r="6306" ht="15.75" customHeight="1">
      <c r="A6306" s="14">
        <v>45352.0</v>
      </c>
      <c r="B6306" s="15">
        <v>4.54</v>
      </c>
      <c r="C6306" s="15">
        <v>5.02</v>
      </c>
      <c r="D6306" s="15"/>
      <c r="E6306" s="15">
        <v>4.77</v>
      </c>
      <c r="F6306" s="15">
        <f t="shared" si="1"/>
        <v>0.48</v>
      </c>
      <c r="G6306" s="15">
        <f t="shared" si="2"/>
        <v>5.02</v>
      </c>
      <c r="H6306" s="16">
        <v>0.0</v>
      </c>
      <c r="I6306" s="15">
        <f t="shared" si="3"/>
        <v>0.48</v>
      </c>
      <c r="J6306" s="15">
        <v>13.11</v>
      </c>
      <c r="K6306" s="16">
        <f>IF(COUNTIFS(Release_Calendar!$A$2:$A$755,"US_CPI",Release_Calendar!$B$2:$B$755,$A6306)&gt;0,1,0)</f>
        <v>0</v>
      </c>
      <c r="L6306" s="16">
        <f>IF(COUNTIFS(Release_Calendar!$A$2:$A$755,"US_NFP",Release_Calendar!$B$2:$B$755,$A6306)&gt;0,1,0)</f>
        <v>0</v>
      </c>
      <c r="M6306" s="16">
        <f>IF($A6306&lt;Notes!$B$5,"",IF(COUNTIFS(Release_Calendar!$A$2:$A$755,"NZ_CPI",Release_Calendar!$B$2:$B$755,$A6306)&gt;0,1,0))</f>
        <v>0</v>
      </c>
      <c r="N6306" s="16">
        <f>IF($A6306&lt;Notes!$B$5,"",IF(COUNTIFS(Release_Calendar!$A$2:$A$755,"NZ_GDP",Release_Calendar!$B$2:$B$755,$A6306)&gt;0,1,0))</f>
        <v>0</v>
      </c>
      <c r="O6306" s="16">
        <f>IF($A6306&lt;Notes!$B$5,"",IF(COUNTIFS(Release_Calendar!$A$2:$A$755,"NZ_LABOUR",Release_Calendar!$B$2:$B$755,$A6306)&gt;0,1,0))</f>
        <v>0</v>
      </c>
      <c r="P6306" s="16">
        <f t="shared" si="4"/>
        <v>0</v>
      </c>
    </row>
    <row r="6307" ht="15.75" customHeight="1">
      <c r="A6307" s="14">
        <v>45355.0</v>
      </c>
      <c r="B6307" s="15">
        <v>4.61</v>
      </c>
      <c r="C6307" s="15">
        <v>5.03</v>
      </c>
      <c r="D6307" s="15"/>
      <c r="E6307" s="15">
        <v>4.75</v>
      </c>
      <c r="F6307" s="15">
        <f t="shared" si="1"/>
        <v>0.42</v>
      </c>
      <c r="G6307" s="15">
        <f t="shared" si="2"/>
        <v>5.03</v>
      </c>
      <c r="H6307" s="16">
        <v>0.0</v>
      </c>
      <c r="I6307" s="15">
        <f t="shared" si="3"/>
        <v>0.42</v>
      </c>
      <c r="J6307" s="15">
        <v>13.49</v>
      </c>
      <c r="K6307" s="16">
        <f>IF(COUNTIFS(Release_Calendar!$A$2:$A$755,"US_CPI",Release_Calendar!$B$2:$B$755,$A6307)&gt;0,1,0)</f>
        <v>0</v>
      </c>
      <c r="L6307" s="16">
        <f>IF(COUNTIFS(Release_Calendar!$A$2:$A$755,"US_NFP",Release_Calendar!$B$2:$B$755,$A6307)&gt;0,1,0)</f>
        <v>0</v>
      </c>
      <c r="M6307" s="16">
        <f>IF($A6307&lt;Notes!$B$5,"",IF(COUNTIFS(Release_Calendar!$A$2:$A$755,"NZ_CPI",Release_Calendar!$B$2:$B$755,$A6307)&gt;0,1,0))</f>
        <v>0</v>
      </c>
      <c r="N6307" s="16">
        <f>IF($A6307&lt;Notes!$B$5,"",IF(COUNTIFS(Release_Calendar!$A$2:$A$755,"NZ_GDP",Release_Calendar!$B$2:$B$755,$A6307)&gt;0,1,0))</f>
        <v>0</v>
      </c>
      <c r="O6307" s="16">
        <f>IF($A6307&lt;Notes!$B$5,"",IF(COUNTIFS(Release_Calendar!$A$2:$A$755,"NZ_LABOUR",Release_Calendar!$B$2:$B$755,$A6307)&gt;0,1,0))</f>
        <v>0</v>
      </c>
      <c r="P6307" s="16">
        <f t="shared" si="4"/>
        <v>0</v>
      </c>
    </row>
    <row r="6308" ht="15.75" customHeight="1">
      <c r="A6308" s="14">
        <v>45356.0</v>
      </c>
      <c r="B6308" s="15">
        <v>4.54</v>
      </c>
      <c r="C6308" s="15">
        <v>5.04</v>
      </c>
      <c r="D6308" s="15"/>
      <c r="E6308" s="15">
        <v>4.78</v>
      </c>
      <c r="F6308" s="15">
        <f t="shared" si="1"/>
        <v>0.5</v>
      </c>
      <c r="G6308" s="15">
        <f t="shared" si="2"/>
        <v>5.04</v>
      </c>
      <c r="H6308" s="16">
        <v>0.0</v>
      </c>
      <c r="I6308" s="15">
        <f t="shared" si="3"/>
        <v>0.5</v>
      </c>
      <c r="J6308" s="15">
        <v>14.46</v>
      </c>
      <c r="K6308" s="16">
        <f>IF(COUNTIFS(Release_Calendar!$A$2:$A$755,"US_CPI",Release_Calendar!$B$2:$B$755,$A6308)&gt;0,1,0)</f>
        <v>0</v>
      </c>
      <c r="L6308" s="16">
        <f>IF(COUNTIFS(Release_Calendar!$A$2:$A$755,"US_NFP",Release_Calendar!$B$2:$B$755,$A6308)&gt;0,1,0)</f>
        <v>0</v>
      </c>
      <c r="M6308" s="16">
        <f>IF($A6308&lt;Notes!$B$5,"",IF(COUNTIFS(Release_Calendar!$A$2:$A$755,"NZ_CPI",Release_Calendar!$B$2:$B$755,$A6308)&gt;0,1,0))</f>
        <v>0</v>
      </c>
      <c r="N6308" s="16">
        <f>IF($A6308&lt;Notes!$B$5,"",IF(COUNTIFS(Release_Calendar!$A$2:$A$755,"NZ_GDP",Release_Calendar!$B$2:$B$755,$A6308)&gt;0,1,0))</f>
        <v>0</v>
      </c>
      <c r="O6308" s="16">
        <f>IF($A6308&lt;Notes!$B$5,"",IF(COUNTIFS(Release_Calendar!$A$2:$A$755,"NZ_LABOUR",Release_Calendar!$B$2:$B$755,$A6308)&gt;0,1,0))</f>
        <v>0</v>
      </c>
      <c r="P6308" s="16">
        <f t="shared" si="4"/>
        <v>0</v>
      </c>
    </row>
    <row r="6309" ht="15.75" customHeight="1">
      <c r="A6309" s="14">
        <v>45357.0</v>
      </c>
      <c r="B6309" s="15">
        <v>4.55</v>
      </c>
      <c r="C6309" s="15">
        <v>5.01</v>
      </c>
      <c r="D6309" s="15"/>
      <c r="E6309" s="15">
        <v>4.75</v>
      </c>
      <c r="F6309" s="15">
        <f t="shared" si="1"/>
        <v>0.46</v>
      </c>
      <c r="G6309" s="15">
        <f t="shared" si="2"/>
        <v>5.01</v>
      </c>
      <c r="H6309" s="16">
        <v>0.0</v>
      </c>
      <c r="I6309" s="15">
        <f t="shared" si="3"/>
        <v>0.46</v>
      </c>
      <c r="J6309" s="15">
        <v>14.5</v>
      </c>
      <c r="K6309" s="16">
        <f>IF(COUNTIFS(Release_Calendar!$A$2:$A$755,"US_CPI",Release_Calendar!$B$2:$B$755,$A6309)&gt;0,1,0)</f>
        <v>0</v>
      </c>
      <c r="L6309" s="16">
        <f>IF(COUNTIFS(Release_Calendar!$A$2:$A$755,"US_NFP",Release_Calendar!$B$2:$B$755,$A6309)&gt;0,1,0)</f>
        <v>0</v>
      </c>
      <c r="M6309" s="16">
        <f>IF($A6309&lt;Notes!$B$5,"",IF(COUNTIFS(Release_Calendar!$A$2:$A$755,"NZ_CPI",Release_Calendar!$B$2:$B$755,$A6309)&gt;0,1,0))</f>
        <v>0</v>
      </c>
      <c r="N6309" s="16">
        <f>IF($A6309&lt;Notes!$B$5,"",IF(COUNTIFS(Release_Calendar!$A$2:$A$755,"NZ_GDP",Release_Calendar!$B$2:$B$755,$A6309)&gt;0,1,0))</f>
        <v>0</v>
      </c>
      <c r="O6309" s="16">
        <f>IF($A6309&lt;Notes!$B$5,"",IF(COUNTIFS(Release_Calendar!$A$2:$A$755,"NZ_LABOUR",Release_Calendar!$B$2:$B$755,$A6309)&gt;0,1,0))</f>
        <v>0</v>
      </c>
      <c r="P6309" s="16">
        <f t="shared" si="4"/>
        <v>0</v>
      </c>
    </row>
    <row r="6310" ht="15.75" customHeight="1">
      <c r="A6310" s="14">
        <v>45358.0</v>
      </c>
      <c r="B6310" s="15">
        <v>4.5</v>
      </c>
      <c r="C6310" s="15">
        <v>5.0</v>
      </c>
      <c r="D6310" s="15"/>
      <c r="E6310" s="15">
        <v>4.76</v>
      </c>
      <c r="F6310" s="15">
        <f t="shared" si="1"/>
        <v>0.5</v>
      </c>
      <c r="G6310" s="15">
        <f t="shared" si="2"/>
        <v>5</v>
      </c>
      <c r="H6310" s="16">
        <v>0.0</v>
      </c>
      <c r="I6310" s="15">
        <f t="shared" si="3"/>
        <v>0.5</v>
      </c>
      <c r="J6310" s="15">
        <v>14.44</v>
      </c>
      <c r="K6310" s="16">
        <f>IF(COUNTIFS(Release_Calendar!$A$2:$A$755,"US_CPI",Release_Calendar!$B$2:$B$755,$A6310)&gt;0,1,0)</f>
        <v>0</v>
      </c>
      <c r="L6310" s="16">
        <f>IF(COUNTIFS(Release_Calendar!$A$2:$A$755,"US_NFP",Release_Calendar!$B$2:$B$755,$A6310)&gt;0,1,0)</f>
        <v>0</v>
      </c>
      <c r="M6310" s="16">
        <f>IF($A6310&lt;Notes!$B$5,"",IF(COUNTIFS(Release_Calendar!$A$2:$A$755,"NZ_CPI",Release_Calendar!$B$2:$B$755,$A6310)&gt;0,1,0))</f>
        <v>0</v>
      </c>
      <c r="N6310" s="16">
        <f>IF($A6310&lt;Notes!$B$5,"",IF(COUNTIFS(Release_Calendar!$A$2:$A$755,"NZ_GDP",Release_Calendar!$B$2:$B$755,$A6310)&gt;0,1,0))</f>
        <v>0</v>
      </c>
      <c r="O6310" s="16">
        <f>IF($A6310&lt;Notes!$B$5,"",IF(COUNTIFS(Release_Calendar!$A$2:$A$755,"NZ_LABOUR",Release_Calendar!$B$2:$B$755,$A6310)&gt;0,1,0))</f>
        <v>0</v>
      </c>
      <c r="P6310" s="16">
        <f t="shared" si="4"/>
        <v>0</v>
      </c>
    </row>
    <row r="6311" ht="15.75" customHeight="1">
      <c r="A6311" s="14">
        <v>45359.0</v>
      </c>
      <c r="B6311" s="15">
        <v>4.48</v>
      </c>
      <c r="C6311" s="15">
        <v>4.93</v>
      </c>
      <c r="D6311" s="15"/>
      <c r="E6311" s="15">
        <v>4.71</v>
      </c>
      <c r="F6311" s="15">
        <f t="shared" si="1"/>
        <v>0.45</v>
      </c>
      <c r="G6311" s="15">
        <f t="shared" si="2"/>
        <v>4.93</v>
      </c>
      <c r="H6311" s="16">
        <v>0.0</v>
      </c>
      <c r="I6311" s="15">
        <f t="shared" si="3"/>
        <v>0.45</v>
      </c>
      <c r="J6311" s="15">
        <v>14.74</v>
      </c>
      <c r="K6311" s="16">
        <f>IF(COUNTIFS(Release_Calendar!$A$2:$A$755,"US_CPI",Release_Calendar!$B$2:$B$755,$A6311)&gt;0,1,0)</f>
        <v>0</v>
      </c>
      <c r="L6311" s="16">
        <f>IF(COUNTIFS(Release_Calendar!$A$2:$A$755,"US_NFP",Release_Calendar!$B$2:$B$755,$A6311)&gt;0,1,0)</f>
        <v>1</v>
      </c>
      <c r="M6311" s="16">
        <f>IF($A6311&lt;Notes!$B$5,"",IF(COUNTIFS(Release_Calendar!$A$2:$A$755,"NZ_CPI",Release_Calendar!$B$2:$B$755,$A6311)&gt;0,1,0))</f>
        <v>0</v>
      </c>
      <c r="N6311" s="16">
        <f>IF($A6311&lt;Notes!$B$5,"",IF(COUNTIFS(Release_Calendar!$A$2:$A$755,"NZ_GDP",Release_Calendar!$B$2:$B$755,$A6311)&gt;0,1,0))</f>
        <v>0</v>
      </c>
      <c r="O6311" s="16">
        <f>IF($A6311&lt;Notes!$B$5,"",IF(COUNTIFS(Release_Calendar!$A$2:$A$755,"NZ_LABOUR",Release_Calendar!$B$2:$B$755,$A6311)&gt;0,1,0))</f>
        <v>0</v>
      </c>
      <c r="P6311" s="16">
        <f t="shared" si="4"/>
        <v>1</v>
      </c>
    </row>
    <row r="6312" ht="15.75" customHeight="1">
      <c r="A6312" s="14">
        <v>45362.0</v>
      </c>
      <c r="B6312" s="15">
        <v>4.51</v>
      </c>
      <c r="C6312" s="15">
        <v>4.87</v>
      </c>
      <c r="D6312" s="15"/>
      <c r="E6312" s="15">
        <v>4.67</v>
      </c>
      <c r="F6312" s="15">
        <f t="shared" si="1"/>
        <v>0.36</v>
      </c>
      <c r="G6312" s="15">
        <f t="shared" si="2"/>
        <v>4.87</v>
      </c>
      <c r="H6312" s="16">
        <v>0.0</v>
      </c>
      <c r="I6312" s="15">
        <f t="shared" si="3"/>
        <v>0.36</v>
      </c>
      <c r="J6312" s="15">
        <v>15.22</v>
      </c>
      <c r="K6312" s="16">
        <f>IF(COUNTIFS(Release_Calendar!$A$2:$A$755,"US_CPI",Release_Calendar!$B$2:$B$755,$A6312)&gt;0,1,0)</f>
        <v>0</v>
      </c>
      <c r="L6312" s="16">
        <f>IF(COUNTIFS(Release_Calendar!$A$2:$A$755,"US_NFP",Release_Calendar!$B$2:$B$755,$A6312)&gt;0,1,0)</f>
        <v>0</v>
      </c>
      <c r="M6312" s="16">
        <f>IF($A6312&lt;Notes!$B$5,"",IF(COUNTIFS(Release_Calendar!$A$2:$A$755,"NZ_CPI",Release_Calendar!$B$2:$B$755,$A6312)&gt;0,1,0))</f>
        <v>0</v>
      </c>
      <c r="N6312" s="16">
        <f>IF($A6312&lt;Notes!$B$5,"",IF(COUNTIFS(Release_Calendar!$A$2:$A$755,"NZ_GDP",Release_Calendar!$B$2:$B$755,$A6312)&gt;0,1,0))</f>
        <v>0</v>
      </c>
      <c r="O6312" s="16">
        <f>IF($A6312&lt;Notes!$B$5,"",IF(COUNTIFS(Release_Calendar!$A$2:$A$755,"NZ_LABOUR",Release_Calendar!$B$2:$B$755,$A6312)&gt;0,1,0))</f>
        <v>0</v>
      </c>
      <c r="P6312" s="16">
        <f t="shared" si="4"/>
        <v>0</v>
      </c>
    </row>
    <row r="6313" ht="15.75" customHeight="1">
      <c r="A6313" s="14">
        <v>45363.0</v>
      </c>
      <c r="B6313" s="15">
        <v>4.58</v>
      </c>
      <c r="C6313" s="15">
        <v>4.87</v>
      </c>
      <c r="D6313" s="15"/>
      <c r="E6313" s="15">
        <v>4.67</v>
      </c>
      <c r="F6313" s="15">
        <f t="shared" si="1"/>
        <v>0.29</v>
      </c>
      <c r="G6313" s="15">
        <f t="shared" si="2"/>
        <v>4.87</v>
      </c>
      <c r="H6313" s="16">
        <v>0.0</v>
      </c>
      <c r="I6313" s="15">
        <f t="shared" si="3"/>
        <v>0.29</v>
      </c>
      <c r="J6313" s="15">
        <v>13.84</v>
      </c>
      <c r="K6313" s="16">
        <f>IF(COUNTIFS(Release_Calendar!$A$2:$A$755,"US_CPI",Release_Calendar!$B$2:$B$755,$A6313)&gt;0,1,0)</f>
        <v>1</v>
      </c>
      <c r="L6313" s="16">
        <f>IF(COUNTIFS(Release_Calendar!$A$2:$A$755,"US_NFP",Release_Calendar!$B$2:$B$755,$A6313)&gt;0,1,0)</f>
        <v>0</v>
      </c>
      <c r="M6313" s="16">
        <f>IF($A6313&lt;Notes!$B$5,"",IF(COUNTIFS(Release_Calendar!$A$2:$A$755,"NZ_CPI",Release_Calendar!$B$2:$B$755,$A6313)&gt;0,1,0))</f>
        <v>0</v>
      </c>
      <c r="N6313" s="16">
        <f>IF($A6313&lt;Notes!$B$5,"",IF(COUNTIFS(Release_Calendar!$A$2:$A$755,"NZ_GDP",Release_Calendar!$B$2:$B$755,$A6313)&gt;0,1,0))</f>
        <v>0</v>
      </c>
      <c r="O6313" s="16">
        <f>IF($A6313&lt;Notes!$B$5,"",IF(COUNTIFS(Release_Calendar!$A$2:$A$755,"NZ_LABOUR",Release_Calendar!$B$2:$B$755,$A6313)&gt;0,1,0))</f>
        <v>0</v>
      </c>
      <c r="P6313" s="16">
        <f t="shared" si="4"/>
        <v>1</v>
      </c>
    </row>
    <row r="6314" ht="15.75" customHeight="1">
      <c r="A6314" s="14">
        <v>45364.0</v>
      </c>
      <c r="B6314" s="15">
        <v>4.61</v>
      </c>
      <c r="C6314" s="15">
        <v>4.89</v>
      </c>
      <c r="D6314" s="15"/>
      <c r="E6314" s="15">
        <v>4.71</v>
      </c>
      <c r="F6314" s="15">
        <f t="shared" si="1"/>
        <v>0.28</v>
      </c>
      <c r="G6314" s="15">
        <f t="shared" si="2"/>
        <v>4.89</v>
      </c>
      <c r="H6314" s="16">
        <v>0.0</v>
      </c>
      <c r="I6314" s="15">
        <f t="shared" si="3"/>
        <v>0.28</v>
      </c>
      <c r="J6314" s="15">
        <v>13.75</v>
      </c>
      <c r="K6314" s="16">
        <f>IF(COUNTIFS(Release_Calendar!$A$2:$A$755,"US_CPI",Release_Calendar!$B$2:$B$755,$A6314)&gt;0,1,0)</f>
        <v>0</v>
      </c>
      <c r="L6314" s="16">
        <f>IF(COUNTIFS(Release_Calendar!$A$2:$A$755,"US_NFP",Release_Calendar!$B$2:$B$755,$A6314)&gt;0,1,0)</f>
        <v>0</v>
      </c>
      <c r="M6314" s="16">
        <f>IF($A6314&lt;Notes!$B$5,"",IF(COUNTIFS(Release_Calendar!$A$2:$A$755,"NZ_CPI",Release_Calendar!$B$2:$B$755,$A6314)&gt;0,1,0))</f>
        <v>0</v>
      </c>
      <c r="N6314" s="16">
        <f>IF($A6314&lt;Notes!$B$5,"",IF(COUNTIFS(Release_Calendar!$A$2:$A$755,"NZ_GDP",Release_Calendar!$B$2:$B$755,$A6314)&gt;0,1,0))</f>
        <v>0</v>
      </c>
      <c r="O6314" s="16">
        <f>IF($A6314&lt;Notes!$B$5,"",IF(COUNTIFS(Release_Calendar!$A$2:$A$755,"NZ_LABOUR",Release_Calendar!$B$2:$B$755,$A6314)&gt;0,1,0))</f>
        <v>0</v>
      </c>
      <c r="P6314" s="16">
        <f t="shared" si="4"/>
        <v>0</v>
      </c>
    </row>
    <row r="6315" ht="15.75" customHeight="1">
      <c r="A6315" s="14">
        <v>45365.0</v>
      </c>
      <c r="B6315" s="15">
        <v>4.68</v>
      </c>
      <c r="C6315" s="15">
        <v>4.92</v>
      </c>
      <c r="D6315" s="15"/>
      <c r="E6315" s="15">
        <v>4.71</v>
      </c>
      <c r="F6315" s="15">
        <f t="shared" si="1"/>
        <v>0.24</v>
      </c>
      <c r="G6315" s="15">
        <f t="shared" si="2"/>
        <v>4.92</v>
      </c>
      <c r="H6315" s="16">
        <v>0.0</v>
      </c>
      <c r="I6315" s="15">
        <f t="shared" si="3"/>
        <v>0.24</v>
      </c>
      <c r="J6315" s="15">
        <v>14.4</v>
      </c>
      <c r="K6315" s="16">
        <f>IF(COUNTIFS(Release_Calendar!$A$2:$A$755,"US_CPI",Release_Calendar!$B$2:$B$755,$A6315)&gt;0,1,0)</f>
        <v>0</v>
      </c>
      <c r="L6315" s="16">
        <f>IF(COUNTIFS(Release_Calendar!$A$2:$A$755,"US_NFP",Release_Calendar!$B$2:$B$755,$A6315)&gt;0,1,0)</f>
        <v>0</v>
      </c>
      <c r="M6315" s="16">
        <f>IF($A6315&lt;Notes!$B$5,"",IF(COUNTIFS(Release_Calendar!$A$2:$A$755,"NZ_CPI",Release_Calendar!$B$2:$B$755,$A6315)&gt;0,1,0))</f>
        <v>0</v>
      </c>
      <c r="N6315" s="16">
        <f>IF($A6315&lt;Notes!$B$5,"",IF(COUNTIFS(Release_Calendar!$A$2:$A$755,"NZ_GDP",Release_Calendar!$B$2:$B$755,$A6315)&gt;0,1,0))</f>
        <v>0</v>
      </c>
      <c r="O6315" s="16">
        <f>IF($A6315&lt;Notes!$B$5,"",IF(COUNTIFS(Release_Calendar!$A$2:$A$755,"NZ_LABOUR",Release_Calendar!$B$2:$B$755,$A6315)&gt;0,1,0))</f>
        <v>0</v>
      </c>
      <c r="P6315" s="16">
        <f t="shared" si="4"/>
        <v>0</v>
      </c>
    </row>
    <row r="6316" ht="15.75" customHeight="1">
      <c r="A6316" s="14">
        <v>45366.0</v>
      </c>
      <c r="B6316" s="15">
        <v>4.72</v>
      </c>
      <c r="C6316" s="15">
        <v>4.96</v>
      </c>
      <c r="D6316" s="15"/>
      <c r="E6316" s="15">
        <v>4.74</v>
      </c>
      <c r="F6316" s="15">
        <f t="shared" si="1"/>
        <v>0.24</v>
      </c>
      <c r="G6316" s="15">
        <f t="shared" si="2"/>
        <v>4.96</v>
      </c>
      <c r="H6316" s="16">
        <v>0.0</v>
      </c>
      <c r="I6316" s="15">
        <f t="shared" si="3"/>
        <v>0.24</v>
      </c>
      <c r="J6316" s="15">
        <v>14.41</v>
      </c>
      <c r="K6316" s="16">
        <f>IF(COUNTIFS(Release_Calendar!$A$2:$A$755,"US_CPI",Release_Calendar!$B$2:$B$755,$A6316)&gt;0,1,0)</f>
        <v>0</v>
      </c>
      <c r="L6316" s="16">
        <f>IF(COUNTIFS(Release_Calendar!$A$2:$A$755,"US_NFP",Release_Calendar!$B$2:$B$755,$A6316)&gt;0,1,0)</f>
        <v>0</v>
      </c>
      <c r="M6316" s="16">
        <f>IF($A6316&lt;Notes!$B$5,"",IF(COUNTIFS(Release_Calendar!$A$2:$A$755,"NZ_CPI",Release_Calendar!$B$2:$B$755,$A6316)&gt;0,1,0))</f>
        <v>0</v>
      </c>
      <c r="N6316" s="16">
        <f>IF($A6316&lt;Notes!$B$5,"",IF(COUNTIFS(Release_Calendar!$A$2:$A$755,"NZ_GDP",Release_Calendar!$B$2:$B$755,$A6316)&gt;0,1,0))</f>
        <v>0</v>
      </c>
      <c r="O6316" s="16">
        <f>IF($A6316&lt;Notes!$B$5,"",IF(COUNTIFS(Release_Calendar!$A$2:$A$755,"NZ_LABOUR",Release_Calendar!$B$2:$B$755,$A6316)&gt;0,1,0))</f>
        <v>0</v>
      </c>
      <c r="P6316" s="16">
        <f t="shared" si="4"/>
        <v>0</v>
      </c>
    </row>
    <row r="6317" ht="15.75" customHeight="1">
      <c r="A6317" s="14">
        <v>45369.0</v>
      </c>
      <c r="B6317" s="15">
        <v>4.73</v>
      </c>
      <c r="C6317" s="15">
        <v>4.96</v>
      </c>
      <c r="D6317" s="15"/>
      <c r="E6317" s="15">
        <v>4.7</v>
      </c>
      <c r="F6317" s="15">
        <f t="shared" si="1"/>
        <v>0.23</v>
      </c>
      <c r="G6317" s="15">
        <f t="shared" si="2"/>
        <v>4.96</v>
      </c>
      <c r="H6317" s="16">
        <v>0.0</v>
      </c>
      <c r="I6317" s="15">
        <f t="shared" si="3"/>
        <v>0.23</v>
      </c>
      <c r="J6317" s="15">
        <v>14.33</v>
      </c>
      <c r="K6317" s="16">
        <f>IF(COUNTIFS(Release_Calendar!$A$2:$A$755,"US_CPI",Release_Calendar!$B$2:$B$755,$A6317)&gt;0,1,0)</f>
        <v>0</v>
      </c>
      <c r="L6317" s="16">
        <f>IF(COUNTIFS(Release_Calendar!$A$2:$A$755,"US_NFP",Release_Calendar!$B$2:$B$755,$A6317)&gt;0,1,0)</f>
        <v>0</v>
      </c>
      <c r="M6317" s="16">
        <f>IF($A6317&lt;Notes!$B$5,"",IF(COUNTIFS(Release_Calendar!$A$2:$A$755,"NZ_CPI",Release_Calendar!$B$2:$B$755,$A6317)&gt;0,1,0))</f>
        <v>0</v>
      </c>
      <c r="N6317" s="16">
        <f>IF($A6317&lt;Notes!$B$5,"",IF(COUNTIFS(Release_Calendar!$A$2:$A$755,"NZ_GDP",Release_Calendar!$B$2:$B$755,$A6317)&gt;0,1,0))</f>
        <v>0</v>
      </c>
      <c r="O6317" s="16">
        <f>IF($A6317&lt;Notes!$B$5,"",IF(COUNTIFS(Release_Calendar!$A$2:$A$755,"NZ_LABOUR",Release_Calendar!$B$2:$B$755,$A6317)&gt;0,1,0))</f>
        <v>0</v>
      </c>
      <c r="P6317" s="16">
        <f t="shared" si="4"/>
        <v>0</v>
      </c>
    </row>
    <row r="6318" ht="15.75" customHeight="1">
      <c r="A6318" s="14">
        <v>45370.0</v>
      </c>
      <c r="B6318" s="15">
        <v>4.68</v>
      </c>
      <c r="C6318" s="15">
        <v>4.94</v>
      </c>
      <c r="D6318" s="15"/>
      <c r="E6318" s="15">
        <v>4.66</v>
      </c>
      <c r="F6318" s="15">
        <f t="shared" si="1"/>
        <v>0.26</v>
      </c>
      <c r="G6318" s="15">
        <f t="shared" si="2"/>
        <v>4.94</v>
      </c>
      <c r="H6318" s="16">
        <v>0.0</v>
      </c>
      <c r="I6318" s="15">
        <f t="shared" si="3"/>
        <v>0.26</v>
      </c>
      <c r="J6318" s="15">
        <v>13.82</v>
      </c>
      <c r="K6318" s="16">
        <f>IF(COUNTIFS(Release_Calendar!$A$2:$A$755,"US_CPI",Release_Calendar!$B$2:$B$755,$A6318)&gt;0,1,0)</f>
        <v>0</v>
      </c>
      <c r="L6318" s="16">
        <f>IF(COUNTIFS(Release_Calendar!$A$2:$A$755,"US_NFP",Release_Calendar!$B$2:$B$755,$A6318)&gt;0,1,0)</f>
        <v>0</v>
      </c>
      <c r="M6318" s="16">
        <f>IF($A6318&lt;Notes!$B$5,"",IF(COUNTIFS(Release_Calendar!$A$2:$A$755,"NZ_CPI",Release_Calendar!$B$2:$B$755,$A6318)&gt;0,1,0))</f>
        <v>0</v>
      </c>
      <c r="N6318" s="16">
        <f>IF($A6318&lt;Notes!$B$5,"",IF(COUNTIFS(Release_Calendar!$A$2:$A$755,"NZ_GDP",Release_Calendar!$B$2:$B$755,$A6318)&gt;0,1,0))</f>
        <v>0</v>
      </c>
      <c r="O6318" s="16">
        <f>IF($A6318&lt;Notes!$B$5,"",IF(COUNTIFS(Release_Calendar!$A$2:$A$755,"NZ_LABOUR",Release_Calendar!$B$2:$B$755,$A6318)&gt;0,1,0))</f>
        <v>0</v>
      </c>
      <c r="P6318" s="16">
        <f t="shared" si="4"/>
        <v>0</v>
      </c>
    </row>
    <row r="6319" ht="15.75" customHeight="1">
      <c r="A6319" s="14">
        <v>45371.0</v>
      </c>
      <c r="B6319" s="15">
        <v>4.59</v>
      </c>
      <c r="C6319" s="15">
        <v>4.87</v>
      </c>
      <c r="D6319" s="15"/>
      <c r="E6319" s="15">
        <v>4.6</v>
      </c>
      <c r="F6319" s="15">
        <f t="shared" si="1"/>
        <v>0.28</v>
      </c>
      <c r="G6319" s="15">
        <f t="shared" si="2"/>
        <v>4.87</v>
      </c>
      <c r="H6319" s="16">
        <v>0.0</v>
      </c>
      <c r="I6319" s="15">
        <f t="shared" si="3"/>
        <v>0.28</v>
      </c>
      <c r="J6319" s="15">
        <v>13.04</v>
      </c>
      <c r="K6319" s="16">
        <f>IF(COUNTIFS(Release_Calendar!$A$2:$A$755,"US_CPI",Release_Calendar!$B$2:$B$755,$A6319)&gt;0,1,0)</f>
        <v>0</v>
      </c>
      <c r="L6319" s="16">
        <f>IF(COUNTIFS(Release_Calendar!$A$2:$A$755,"US_NFP",Release_Calendar!$B$2:$B$755,$A6319)&gt;0,1,0)</f>
        <v>0</v>
      </c>
      <c r="M6319" s="16">
        <f>IF($A6319&lt;Notes!$B$5,"",IF(COUNTIFS(Release_Calendar!$A$2:$A$755,"NZ_CPI",Release_Calendar!$B$2:$B$755,$A6319)&gt;0,1,0))</f>
        <v>0</v>
      </c>
      <c r="N6319" s="16">
        <f>IF($A6319&lt;Notes!$B$5,"",IF(COUNTIFS(Release_Calendar!$A$2:$A$755,"NZ_GDP",Release_Calendar!$B$2:$B$755,$A6319)&gt;0,1,0))</f>
        <v>0</v>
      </c>
      <c r="O6319" s="16">
        <f>IF($A6319&lt;Notes!$B$5,"",IF(COUNTIFS(Release_Calendar!$A$2:$A$755,"NZ_LABOUR",Release_Calendar!$B$2:$B$755,$A6319)&gt;0,1,0))</f>
        <v>0</v>
      </c>
      <c r="P6319" s="16">
        <f t="shared" si="4"/>
        <v>0</v>
      </c>
    </row>
    <row r="6320" ht="15.75" customHeight="1">
      <c r="A6320" s="14">
        <v>45372.0</v>
      </c>
      <c r="B6320" s="15">
        <v>4.62</v>
      </c>
      <c r="C6320" s="15">
        <v>4.83</v>
      </c>
      <c r="D6320" s="15"/>
      <c r="E6320" s="15">
        <v>4.57</v>
      </c>
      <c r="F6320" s="15">
        <f t="shared" si="1"/>
        <v>0.21</v>
      </c>
      <c r="G6320" s="15">
        <f t="shared" si="2"/>
        <v>4.83</v>
      </c>
      <c r="H6320" s="16">
        <v>0.0</v>
      </c>
      <c r="I6320" s="15">
        <f t="shared" si="3"/>
        <v>0.21</v>
      </c>
      <c r="J6320" s="15">
        <v>12.92</v>
      </c>
      <c r="K6320" s="16">
        <f>IF(COUNTIFS(Release_Calendar!$A$2:$A$755,"US_CPI",Release_Calendar!$B$2:$B$755,$A6320)&gt;0,1,0)</f>
        <v>0</v>
      </c>
      <c r="L6320" s="16">
        <f>IF(COUNTIFS(Release_Calendar!$A$2:$A$755,"US_NFP",Release_Calendar!$B$2:$B$755,$A6320)&gt;0,1,0)</f>
        <v>0</v>
      </c>
      <c r="M6320" s="16">
        <f>IF($A6320&lt;Notes!$B$5,"",IF(COUNTIFS(Release_Calendar!$A$2:$A$755,"NZ_CPI",Release_Calendar!$B$2:$B$755,$A6320)&gt;0,1,0))</f>
        <v>0</v>
      </c>
      <c r="N6320" s="16">
        <f>IF($A6320&lt;Notes!$B$5,"",IF(COUNTIFS(Release_Calendar!$A$2:$A$755,"NZ_GDP",Release_Calendar!$B$2:$B$755,$A6320)&gt;0,1,0))</f>
        <v>1</v>
      </c>
      <c r="O6320" s="16">
        <f>IF($A6320&lt;Notes!$B$5,"",IF(COUNTIFS(Release_Calendar!$A$2:$A$755,"NZ_LABOUR",Release_Calendar!$B$2:$B$755,$A6320)&gt;0,1,0))</f>
        <v>0</v>
      </c>
      <c r="P6320" s="16">
        <f t="shared" si="4"/>
        <v>1</v>
      </c>
    </row>
    <row r="6321" ht="15.75" customHeight="1">
      <c r="A6321" s="14">
        <v>45373.0</v>
      </c>
      <c r="B6321" s="15">
        <v>4.59</v>
      </c>
      <c r="C6321" s="15">
        <v>4.85</v>
      </c>
      <c r="D6321" s="15"/>
      <c r="E6321" s="15">
        <v>4.59</v>
      </c>
      <c r="F6321" s="15">
        <f t="shared" si="1"/>
        <v>0.26</v>
      </c>
      <c r="G6321" s="15">
        <f t="shared" si="2"/>
        <v>4.85</v>
      </c>
      <c r="H6321" s="16">
        <v>0.0</v>
      </c>
      <c r="I6321" s="15">
        <f t="shared" si="3"/>
        <v>0.26</v>
      </c>
      <c r="J6321" s="15">
        <v>13.06</v>
      </c>
      <c r="K6321" s="16">
        <f>IF(COUNTIFS(Release_Calendar!$A$2:$A$755,"US_CPI",Release_Calendar!$B$2:$B$755,$A6321)&gt;0,1,0)</f>
        <v>0</v>
      </c>
      <c r="L6321" s="16">
        <f>IF(COUNTIFS(Release_Calendar!$A$2:$A$755,"US_NFP",Release_Calendar!$B$2:$B$755,$A6321)&gt;0,1,0)</f>
        <v>0</v>
      </c>
      <c r="M6321" s="16">
        <f>IF($A6321&lt;Notes!$B$5,"",IF(COUNTIFS(Release_Calendar!$A$2:$A$755,"NZ_CPI",Release_Calendar!$B$2:$B$755,$A6321)&gt;0,1,0))</f>
        <v>0</v>
      </c>
      <c r="N6321" s="16">
        <f>IF($A6321&lt;Notes!$B$5,"",IF(COUNTIFS(Release_Calendar!$A$2:$A$755,"NZ_GDP",Release_Calendar!$B$2:$B$755,$A6321)&gt;0,1,0))</f>
        <v>0</v>
      </c>
      <c r="O6321" s="16">
        <f>IF($A6321&lt;Notes!$B$5,"",IF(COUNTIFS(Release_Calendar!$A$2:$A$755,"NZ_LABOUR",Release_Calendar!$B$2:$B$755,$A6321)&gt;0,1,0))</f>
        <v>0</v>
      </c>
      <c r="P6321" s="16">
        <f t="shared" si="4"/>
        <v>0</v>
      </c>
    </row>
    <row r="6322" ht="15.75" customHeight="1">
      <c r="A6322" s="14">
        <v>45376.0</v>
      </c>
      <c r="B6322" s="15">
        <v>4.54</v>
      </c>
      <c r="C6322" s="15">
        <v>4.82</v>
      </c>
      <c r="D6322" s="15"/>
      <c r="E6322" s="15">
        <v>4.58</v>
      </c>
      <c r="F6322" s="15">
        <f t="shared" si="1"/>
        <v>0.28</v>
      </c>
      <c r="G6322" s="15">
        <f t="shared" si="2"/>
        <v>4.82</v>
      </c>
      <c r="H6322" s="16">
        <v>0.0</v>
      </c>
      <c r="I6322" s="15">
        <f t="shared" si="3"/>
        <v>0.28</v>
      </c>
      <c r="J6322" s="15">
        <v>13.19</v>
      </c>
      <c r="K6322" s="16">
        <f>IF(COUNTIFS(Release_Calendar!$A$2:$A$755,"US_CPI",Release_Calendar!$B$2:$B$755,$A6322)&gt;0,1,0)</f>
        <v>0</v>
      </c>
      <c r="L6322" s="16">
        <f>IF(COUNTIFS(Release_Calendar!$A$2:$A$755,"US_NFP",Release_Calendar!$B$2:$B$755,$A6322)&gt;0,1,0)</f>
        <v>0</v>
      </c>
      <c r="M6322" s="16">
        <f>IF($A6322&lt;Notes!$B$5,"",IF(COUNTIFS(Release_Calendar!$A$2:$A$755,"NZ_CPI",Release_Calendar!$B$2:$B$755,$A6322)&gt;0,1,0))</f>
        <v>0</v>
      </c>
      <c r="N6322" s="16">
        <f>IF($A6322&lt;Notes!$B$5,"",IF(COUNTIFS(Release_Calendar!$A$2:$A$755,"NZ_GDP",Release_Calendar!$B$2:$B$755,$A6322)&gt;0,1,0))</f>
        <v>0</v>
      </c>
      <c r="O6322" s="16">
        <f>IF($A6322&lt;Notes!$B$5,"",IF(COUNTIFS(Release_Calendar!$A$2:$A$755,"NZ_LABOUR",Release_Calendar!$B$2:$B$755,$A6322)&gt;0,1,0))</f>
        <v>0</v>
      </c>
      <c r="P6322" s="16">
        <f t="shared" si="4"/>
        <v>0</v>
      </c>
    </row>
    <row r="6323" ht="15.75" customHeight="1">
      <c r="A6323" s="14">
        <v>45377.0</v>
      </c>
      <c r="B6323" s="15">
        <v>4.56</v>
      </c>
      <c r="C6323" s="15">
        <v>4.84</v>
      </c>
      <c r="D6323" s="15"/>
      <c r="E6323" s="15">
        <v>4.61</v>
      </c>
      <c r="F6323" s="15">
        <f t="shared" si="1"/>
        <v>0.28</v>
      </c>
      <c r="G6323" s="15">
        <f t="shared" si="2"/>
        <v>4.84</v>
      </c>
      <c r="H6323" s="16">
        <v>0.0</v>
      </c>
      <c r="I6323" s="15">
        <f t="shared" si="3"/>
        <v>0.28</v>
      </c>
      <c r="J6323" s="15">
        <v>13.24</v>
      </c>
      <c r="K6323" s="16">
        <f>IF(COUNTIFS(Release_Calendar!$A$2:$A$755,"US_CPI",Release_Calendar!$B$2:$B$755,$A6323)&gt;0,1,0)</f>
        <v>0</v>
      </c>
      <c r="L6323" s="16">
        <f>IF(COUNTIFS(Release_Calendar!$A$2:$A$755,"US_NFP",Release_Calendar!$B$2:$B$755,$A6323)&gt;0,1,0)</f>
        <v>0</v>
      </c>
      <c r="M6323" s="16">
        <f>IF($A6323&lt;Notes!$B$5,"",IF(COUNTIFS(Release_Calendar!$A$2:$A$755,"NZ_CPI",Release_Calendar!$B$2:$B$755,$A6323)&gt;0,1,0))</f>
        <v>0</v>
      </c>
      <c r="N6323" s="16">
        <f>IF($A6323&lt;Notes!$B$5,"",IF(COUNTIFS(Release_Calendar!$A$2:$A$755,"NZ_GDP",Release_Calendar!$B$2:$B$755,$A6323)&gt;0,1,0))</f>
        <v>0</v>
      </c>
      <c r="O6323" s="16">
        <f>IF($A6323&lt;Notes!$B$5,"",IF(COUNTIFS(Release_Calendar!$A$2:$A$755,"NZ_LABOUR",Release_Calendar!$B$2:$B$755,$A6323)&gt;0,1,0))</f>
        <v>0</v>
      </c>
      <c r="P6323" s="16">
        <f t="shared" si="4"/>
        <v>0</v>
      </c>
    </row>
    <row r="6324" ht="15.75" customHeight="1">
      <c r="A6324" s="14">
        <v>45378.0</v>
      </c>
      <c r="B6324" s="15">
        <v>4.54</v>
      </c>
      <c r="C6324" s="15">
        <v>4.85</v>
      </c>
      <c r="D6324" s="15"/>
      <c r="E6324" s="15">
        <v>4.62</v>
      </c>
      <c r="F6324" s="15">
        <f t="shared" si="1"/>
        <v>0.31</v>
      </c>
      <c r="G6324" s="15">
        <f t="shared" si="2"/>
        <v>4.85</v>
      </c>
      <c r="H6324" s="16">
        <v>0.0</v>
      </c>
      <c r="I6324" s="15">
        <f t="shared" si="3"/>
        <v>0.31</v>
      </c>
      <c r="J6324" s="15">
        <v>12.78</v>
      </c>
      <c r="K6324" s="16">
        <f>IF(COUNTIFS(Release_Calendar!$A$2:$A$755,"US_CPI",Release_Calendar!$B$2:$B$755,$A6324)&gt;0,1,0)</f>
        <v>0</v>
      </c>
      <c r="L6324" s="16">
        <f>IF(COUNTIFS(Release_Calendar!$A$2:$A$755,"US_NFP",Release_Calendar!$B$2:$B$755,$A6324)&gt;0,1,0)</f>
        <v>0</v>
      </c>
      <c r="M6324" s="16">
        <f>IF($A6324&lt;Notes!$B$5,"",IF(COUNTIFS(Release_Calendar!$A$2:$A$755,"NZ_CPI",Release_Calendar!$B$2:$B$755,$A6324)&gt;0,1,0))</f>
        <v>0</v>
      </c>
      <c r="N6324" s="16">
        <f>IF($A6324&lt;Notes!$B$5,"",IF(COUNTIFS(Release_Calendar!$A$2:$A$755,"NZ_GDP",Release_Calendar!$B$2:$B$755,$A6324)&gt;0,1,0))</f>
        <v>0</v>
      </c>
      <c r="O6324" s="16">
        <f>IF($A6324&lt;Notes!$B$5,"",IF(COUNTIFS(Release_Calendar!$A$2:$A$755,"NZ_LABOUR",Release_Calendar!$B$2:$B$755,$A6324)&gt;0,1,0))</f>
        <v>0</v>
      </c>
      <c r="P6324" s="16">
        <f t="shared" si="4"/>
        <v>0</v>
      </c>
    </row>
    <row r="6325" ht="15.75" customHeight="1">
      <c r="A6325" s="14">
        <v>45379.0</v>
      </c>
      <c r="B6325" s="15">
        <v>4.59</v>
      </c>
      <c r="C6325" s="15">
        <v>4.79</v>
      </c>
      <c r="D6325" s="15"/>
      <c r="E6325" s="15">
        <v>4.6</v>
      </c>
      <c r="F6325" s="15">
        <f t="shared" si="1"/>
        <v>0.2</v>
      </c>
      <c r="G6325" s="15">
        <f t="shared" si="2"/>
        <v>4.79</v>
      </c>
      <c r="H6325" s="16">
        <v>0.0</v>
      </c>
      <c r="I6325" s="15">
        <f t="shared" si="3"/>
        <v>0.2</v>
      </c>
      <c r="J6325" s="15">
        <v>13.01</v>
      </c>
      <c r="K6325" s="16">
        <f>IF(COUNTIFS(Release_Calendar!$A$2:$A$755,"US_CPI",Release_Calendar!$B$2:$B$755,$A6325)&gt;0,1,0)</f>
        <v>0</v>
      </c>
      <c r="L6325" s="16">
        <f>IF(COUNTIFS(Release_Calendar!$A$2:$A$755,"US_NFP",Release_Calendar!$B$2:$B$755,$A6325)&gt;0,1,0)</f>
        <v>0</v>
      </c>
      <c r="M6325" s="16">
        <f>IF($A6325&lt;Notes!$B$5,"",IF(COUNTIFS(Release_Calendar!$A$2:$A$755,"NZ_CPI",Release_Calendar!$B$2:$B$755,$A6325)&gt;0,1,0))</f>
        <v>0</v>
      </c>
      <c r="N6325" s="16">
        <f>IF($A6325&lt;Notes!$B$5,"",IF(COUNTIFS(Release_Calendar!$A$2:$A$755,"NZ_GDP",Release_Calendar!$B$2:$B$755,$A6325)&gt;0,1,0))</f>
        <v>0</v>
      </c>
      <c r="O6325" s="16">
        <f>IF($A6325&lt;Notes!$B$5,"",IF(COUNTIFS(Release_Calendar!$A$2:$A$755,"NZ_LABOUR",Release_Calendar!$B$2:$B$755,$A6325)&gt;0,1,0))</f>
        <v>0</v>
      </c>
      <c r="P6325" s="16">
        <f t="shared" si="4"/>
        <v>0</v>
      </c>
    </row>
    <row r="6326" ht="15.75" customHeight="1">
      <c r="A6326" s="14">
        <v>45380.0</v>
      </c>
      <c r="B6326" s="15"/>
      <c r="C6326" s="15"/>
      <c r="D6326" s="15"/>
      <c r="E6326" s="15"/>
      <c r="F6326" s="15" t="str">
        <f t="shared" si="1"/>
        <v/>
      </c>
      <c r="G6326" s="15" t="str">
        <f t="shared" si="2"/>
        <v/>
      </c>
      <c r="H6326" s="16">
        <v>0.0</v>
      </c>
      <c r="I6326" s="15" t="str">
        <f t="shared" si="3"/>
        <v/>
      </c>
      <c r="J6326" s="15"/>
      <c r="K6326" s="16">
        <f>IF(COUNTIFS(Release_Calendar!$A$2:$A$755,"US_CPI",Release_Calendar!$B$2:$B$755,$A6326)&gt;0,1,0)</f>
        <v>0</v>
      </c>
      <c r="L6326" s="16">
        <f>IF(COUNTIFS(Release_Calendar!$A$2:$A$755,"US_NFP",Release_Calendar!$B$2:$B$755,$A6326)&gt;0,1,0)</f>
        <v>0</v>
      </c>
      <c r="M6326" s="16">
        <f>IF($A6326&lt;Notes!$B$5,"",IF(COUNTIFS(Release_Calendar!$A$2:$A$755,"NZ_CPI",Release_Calendar!$B$2:$B$755,$A6326)&gt;0,1,0))</f>
        <v>0</v>
      </c>
      <c r="N6326" s="16">
        <f>IF($A6326&lt;Notes!$B$5,"",IF(COUNTIFS(Release_Calendar!$A$2:$A$755,"NZ_GDP",Release_Calendar!$B$2:$B$755,$A6326)&gt;0,1,0))</f>
        <v>0</v>
      </c>
      <c r="O6326" s="16">
        <f>IF($A6326&lt;Notes!$B$5,"",IF(COUNTIFS(Release_Calendar!$A$2:$A$755,"NZ_LABOUR",Release_Calendar!$B$2:$B$755,$A6326)&gt;0,1,0))</f>
        <v>0</v>
      </c>
      <c r="P6326" s="16">
        <f t="shared" si="4"/>
        <v>0</v>
      </c>
    </row>
    <row r="6327" ht="15.75" customHeight="1">
      <c r="A6327" s="14">
        <v>45383.0</v>
      </c>
      <c r="B6327" s="15">
        <v>4.72</v>
      </c>
      <c r="C6327" s="15"/>
      <c r="D6327" s="15"/>
      <c r="E6327" s="15"/>
      <c r="F6327" s="15" t="str">
        <f t="shared" si="1"/>
        <v/>
      </c>
      <c r="G6327" s="15" t="str">
        <f t="shared" si="2"/>
        <v/>
      </c>
      <c r="H6327" s="16">
        <v>0.0</v>
      </c>
      <c r="I6327" s="15" t="str">
        <f t="shared" si="3"/>
        <v/>
      </c>
      <c r="J6327" s="15">
        <v>13.65</v>
      </c>
      <c r="K6327" s="16">
        <f>IF(COUNTIFS(Release_Calendar!$A$2:$A$755,"US_CPI",Release_Calendar!$B$2:$B$755,$A6327)&gt;0,1,0)</f>
        <v>0</v>
      </c>
      <c r="L6327" s="16">
        <f>IF(COUNTIFS(Release_Calendar!$A$2:$A$755,"US_NFP",Release_Calendar!$B$2:$B$755,$A6327)&gt;0,1,0)</f>
        <v>0</v>
      </c>
      <c r="M6327" s="16">
        <f>IF($A6327&lt;Notes!$B$5,"",IF(COUNTIFS(Release_Calendar!$A$2:$A$755,"NZ_CPI",Release_Calendar!$B$2:$B$755,$A6327)&gt;0,1,0))</f>
        <v>0</v>
      </c>
      <c r="N6327" s="16">
        <f>IF($A6327&lt;Notes!$B$5,"",IF(COUNTIFS(Release_Calendar!$A$2:$A$755,"NZ_GDP",Release_Calendar!$B$2:$B$755,$A6327)&gt;0,1,0))</f>
        <v>0</v>
      </c>
      <c r="O6327" s="16">
        <f>IF($A6327&lt;Notes!$B$5,"",IF(COUNTIFS(Release_Calendar!$A$2:$A$755,"NZ_LABOUR",Release_Calendar!$B$2:$B$755,$A6327)&gt;0,1,0))</f>
        <v>0</v>
      </c>
      <c r="P6327" s="16">
        <f t="shared" si="4"/>
        <v>0</v>
      </c>
    </row>
    <row r="6328" ht="15.75" customHeight="1">
      <c r="A6328" s="14">
        <v>45384.0</v>
      </c>
      <c r="B6328" s="15">
        <v>4.7</v>
      </c>
      <c r="C6328" s="15">
        <v>4.82</v>
      </c>
      <c r="D6328" s="15"/>
      <c r="E6328" s="15">
        <v>4.64</v>
      </c>
      <c r="F6328" s="15">
        <f t="shared" si="1"/>
        <v>0.12</v>
      </c>
      <c r="G6328" s="15">
        <f t="shared" si="2"/>
        <v>4.82</v>
      </c>
      <c r="H6328" s="16">
        <v>0.0</v>
      </c>
      <c r="I6328" s="15">
        <f t="shared" si="3"/>
        <v>0.12</v>
      </c>
      <c r="J6328" s="15">
        <v>14.61</v>
      </c>
      <c r="K6328" s="16">
        <f>IF(COUNTIFS(Release_Calendar!$A$2:$A$755,"US_CPI",Release_Calendar!$B$2:$B$755,$A6328)&gt;0,1,0)</f>
        <v>0</v>
      </c>
      <c r="L6328" s="16">
        <f>IF(COUNTIFS(Release_Calendar!$A$2:$A$755,"US_NFP",Release_Calendar!$B$2:$B$755,$A6328)&gt;0,1,0)</f>
        <v>0</v>
      </c>
      <c r="M6328" s="16">
        <f>IF($A6328&lt;Notes!$B$5,"",IF(COUNTIFS(Release_Calendar!$A$2:$A$755,"NZ_CPI",Release_Calendar!$B$2:$B$755,$A6328)&gt;0,1,0))</f>
        <v>0</v>
      </c>
      <c r="N6328" s="16">
        <f>IF($A6328&lt;Notes!$B$5,"",IF(COUNTIFS(Release_Calendar!$A$2:$A$755,"NZ_GDP",Release_Calendar!$B$2:$B$755,$A6328)&gt;0,1,0))</f>
        <v>0</v>
      </c>
      <c r="O6328" s="16">
        <f>IF($A6328&lt;Notes!$B$5,"",IF(COUNTIFS(Release_Calendar!$A$2:$A$755,"NZ_LABOUR",Release_Calendar!$B$2:$B$755,$A6328)&gt;0,1,0))</f>
        <v>0</v>
      </c>
      <c r="P6328" s="16">
        <f t="shared" si="4"/>
        <v>0</v>
      </c>
    </row>
    <row r="6329" ht="15.75" customHeight="1">
      <c r="A6329" s="14">
        <v>45385.0</v>
      </c>
      <c r="B6329" s="15">
        <v>4.68</v>
      </c>
      <c r="C6329" s="15">
        <v>4.85</v>
      </c>
      <c r="D6329" s="15"/>
      <c r="E6329" s="15">
        <v>4.62</v>
      </c>
      <c r="F6329" s="15">
        <f t="shared" si="1"/>
        <v>0.17</v>
      </c>
      <c r="G6329" s="15">
        <f t="shared" si="2"/>
        <v>4.85</v>
      </c>
      <c r="H6329" s="16">
        <v>0.0</v>
      </c>
      <c r="I6329" s="15">
        <f t="shared" si="3"/>
        <v>0.17</v>
      </c>
      <c r="J6329" s="15">
        <v>14.33</v>
      </c>
      <c r="K6329" s="16">
        <f>IF(COUNTIFS(Release_Calendar!$A$2:$A$755,"US_CPI",Release_Calendar!$B$2:$B$755,$A6329)&gt;0,1,0)</f>
        <v>0</v>
      </c>
      <c r="L6329" s="16">
        <f>IF(COUNTIFS(Release_Calendar!$A$2:$A$755,"US_NFP",Release_Calendar!$B$2:$B$755,$A6329)&gt;0,1,0)</f>
        <v>0</v>
      </c>
      <c r="M6329" s="16">
        <f>IF($A6329&lt;Notes!$B$5,"",IF(COUNTIFS(Release_Calendar!$A$2:$A$755,"NZ_CPI",Release_Calendar!$B$2:$B$755,$A6329)&gt;0,1,0))</f>
        <v>0</v>
      </c>
      <c r="N6329" s="16">
        <f>IF($A6329&lt;Notes!$B$5,"",IF(COUNTIFS(Release_Calendar!$A$2:$A$755,"NZ_GDP",Release_Calendar!$B$2:$B$755,$A6329)&gt;0,1,0))</f>
        <v>0</v>
      </c>
      <c r="O6329" s="16">
        <f>IF($A6329&lt;Notes!$B$5,"",IF(COUNTIFS(Release_Calendar!$A$2:$A$755,"NZ_LABOUR",Release_Calendar!$B$2:$B$755,$A6329)&gt;0,1,0))</f>
        <v>0</v>
      </c>
      <c r="P6329" s="16">
        <f t="shared" si="4"/>
        <v>0</v>
      </c>
    </row>
    <row r="6330" ht="15.75" customHeight="1">
      <c r="A6330" s="14">
        <v>45386.0</v>
      </c>
      <c r="B6330" s="15">
        <v>4.65</v>
      </c>
      <c r="C6330" s="15">
        <v>4.87</v>
      </c>
      <c r="D6330" s="15"/>
      <c r="E6330" s="15">
        <v>4.64</v>
      </c>
      <c r="F6330" s="15">
        <f t="shared" si="1"/>
        <v>0.22</v>
      </c>
      <c r="G6330" s="15">
        <f t="shared" si="2"/>
        <v>4.87</v>
      </c>
      <c r="H6330" s="16">
        <v>0.0</v>
      </c>
      <c r="I6330" s="15">
        <f t="shared" si="3"/>
        <v>0.22</v>
      </c>
      <c r="J6330" s="15">
        <v>16.35</v>
      </c>
      <c r="K6330" s="16">
        <f>IF(COUNTIFS(Release_Calendar!$A$2:$A$755,"US_CPI",Release_Calendar!$B$2:$B$755,$A6330)&gt;0,1,0)</f>
        <v>0</v>
      </c>
      <c r="L6330" s="16">
        <f>IF(COUNTIFS(Release_Calendar!$A$2:$A$755,"US_NFP",Release_Calendar!$B$2:$B$755,$A6330)&gt;0,1,0)</f>
        <v>0</v>
      </c>
      <c r="M6330" s="16">
        <f>IF($A6330&lt;Notes!$B$5,"",IF(COUNTIFS(Release_Calendar!$A$2:$A$755,"NZ_CPI",Release_Calendar!$B$2:$B$755,$A6330)&gt;0,1,0))</f>
        <v>0</v>
      </c>
      <c r="N6330" s="16">
        <f>IF($A6330&lt;Notes!$B$5,"",IF(COUNTIFS(Release_Calendar!$A$2:$A$755,"NZ_GDP",Release_Calendar!$B$2:$B$755,$A6330)&gt;0,1,0))</f>
        <v>0</v>
      </c>
      <c r="O6330" s="16">
        <f>IF($A6330&lt;Notes!$B$5,"",IF(COUNTIFS(Release_Calendar!$A$2:$A$755,"NZ_LABOUR",Release_Calendar!$B$2:$B$755,$A6330)&gt;0,1,0))</f>
        <v>0</v>
      </c>
      <c r="P6330" s="16">
        <f t="shared" si="4"/>
        <v>0</v>
      </c>
    </row>
    <row r="6331" ht="15.75" customHeight="1">
      <c r="A6331" s="14">
        <v>45387.0</v>
      </c>
      <c r="B6331" s="15">
        <v>4.73</v>
      </c>
      <c r="C6331" s="15">
        <v>4.87</v>
      </c>
      <c r="D6331" s="15"/>
      <c r="E6331" s="15">
        <v>4.63</v>
      </c>
      <c r="F6331" s="15">
        <f t="shared" si="1"/>
        <v>0.14</v>
      </c>
      <c r="G6331" s="15">
        <f t="shared" si="2"/>
        <v>4.87</v>
      </c>
      <c r="H6331" s="16">
        <v>0.0</v>
      </c>
      <c r="I6331" s="15">
        <f t="shared" si="3"/>
        <v>0.14</v>
      </c>
      <c r="J6331" s="15">
        <v>16.03</v>
      </c>
      <c r="K6331" s="16">
        <f>IF(COUNTIFS(Release_Calendar!$A$2:$A$755,"US_CPI",Release_Calendar!$B$2:$B$755,$A6331)&gt;0,1,0)</f>
        <v>0</v>
      </c>
      <c r="L6331" s="16">
        <f>IF(COUNTIFS(Release_Calendar!$A$2:$A$755,"US_NFP",Release_Calendar!$B$2:$B$755,$A6331)&gt;0,1,0)</f>
        <v>1</v>
      </c>
      <c r="M6331" s="16">
        <f>IF($A6331&lt;Notes!$B$5,"",IF(COUNTIFS(Release_Calendar!$A$2:$A$755,"NZ_CPI",Release_Calendar!$B$2:$B$755,$A6331)&gt;0,1,0))</f>
        <v>0</v>
      </c>
      <c r="N6331" s="16">
        <f>IF($A6331&lt;Notes!$B$5,"",IF(COUNTIFS(Release_Calendar!$A$2:$A$755,"NZ_GDP",Release_Calendar!$B$2:$B$755,$A6331)&gt;0,1,0))</f>
        <v>0</v>
      </c>
      <c r="O6331" s="16">
        <f>IF($A6331&lt;Notes!$B$5,"",IF(COUNTIFS(Release_Calendar!$A$2:$A$755,"NZ_LABOUR",Release_Calendar!$B$2:$B$755,$A6331)&gt;0,1,0))</f>
        <v>0</v>
      </c>
      <c r="P6331" s="16">
        <f t="shared" si="4"/>
        <v>1</v>
      </c>
    </row>
    <row r="6332" ht="15.75" customHeight="1">
      <c r="A6332" s="14">
        <v>45390.0</v>
      </c>
      <c r="B6332" s="15">
        <v>4.78</v>
      </c>
      <c r="C6332" s="15">
        <v>4.94</v>
      </c>
      <c r="D6332" s="15"/>
      <c r="E6332" s="15">
        <v>4.73</v>
      </c>
      <c r="F6332" s="15">
        <f t="shared" si="1"/>
        <v>0.16</v>
      </c>
      <c r="G6332" s="15">
        <f t="shared" si="2"/>
        <v>4.94</v>
      </c>
      <c r="H6332" s="16">
        <v>0.0</v>
      </c>
      <c r="I6332" s="15">
        <f t="shared" si="3"/>
        <v>0.16</v>
      </c>
      <c r="J6332" s="15">
        <v>15.19</v>
      </c>
      <c r="K6332" s="16">
        <f>IF(COUNTIFS(Release_Calendar!$A$2:$A$755,"US_CPI",Release_Calendar!$B$2:$B$755,$A6332)&gt;0,1,0)</f>
        <v>0</v>
      </c>
      <c r="L6332" s="16">
        <f>IF(COUNTIFS(Release_Calendar!$A$2:$A$755,"US_NFP",Release_Calendar!$B$2:$B$755,$A6332)&gt;0,1,0)</f>
        <v>0</v>
      </c>
      <c r="M6332" s="16">
        <f>IF($A6332&lt;Notes!$B$5,"",IF(COUNTIFS(Release_Calendar!$A$2:$A$755,"NZ_CPI",Release_Calendar!$B$2:$B$755,$A6332)&gt;0,1,0))</f>
        <v>0</v>
      </c>
      <c r="N6332" s="16">
        <f>IF($A6332&lt;Notes!$B$5,"",IF(COUNTIFS(Release_Calendar!$A$2:$A$755,"NZ_GDP",Release_Calendar!$B$2:$B$755,$A6332)&gt;0,1,0))</f>
        <v>0</v>
      </c>
      <c r="O6332" s="16">
        <f>IF($A6332&lt;Notes!$B$5,"",IF(COUNTIFS(Release_Calendar!$A$2:$A$755,"NZ_LABOUR",Release_Calendar!$B$2:$B$755,$A6332)&gt;0,1,0))</f>
        <v>0</v>
      </c>
      <c r="P6332" s="16">
        <f t="shared" si="4"/>
        <v>0</v>
      </c>
    </row>
    <row r="6333" ht="15.75" customHeight="1">
      <c r="A6333" s="14">
        <v>45391.0</v>
      </c>
      <c r="B6333" s="15">
        <v>4.74</v>
      </c>
      <c r="C6333" s="15">
        <v>4.97</v>
      </c>
      <c r="D6333" s="15"/>
      <c r="E6333" s="15">
        <v>4.76</v>
      </c>
      <c r="F6333" s="15">
        <f t="shared" si="1"/>
        <v>0.23</v>
      </c>
      <c r="G6333" s="15">
        <f t="shared" si="2"/>
        <v>4.97</v>
      </c>
      <c r="H6333" s="16">
        <v>0.0</v>
      </c>
      <c r="I6333" s="15">
        <f t="shared" si="3"/>
        <v>0.23</v>
      </c>
      <c r="J6333" s="15">
        <v>14.98</v>
      </c>
      <c r="K6333" s="16">
        <f>IF(COUNTIFS(Release_Calendar!$A$2:$A$755,"US_CPI",Release_Calendar!$B$2:$B$755,$A6333)&gt;0,1,0)</f>
        <v>0</v>
      </c>
      <c r="L6333" s="16">
        <f>IF(COUNTIFS(Release_Calendar!$A$2:$A$755,"US_NFP",Release_Calendar!$B$2:$B$755,$A6333)&gt;0,1,0)</f>
        <v>0</v>
      </c>
      <c r="M6333" s="16">
        <f>IF($A6333&lt;Notes!$B$5,"",IF(COUNTIFS(Release_Calendar!$A$2:$A$755,"NZ_CPI",Release_Calendar!$B$2:$B$755,$A6333)&gt;0,1,0))</f>
        <v>0</v>
      </c>
      <c r="N6333" s="16">
        <f>IF($A6333&lt;Notes!$B$5,"",IF(COUNTIFS(Release_Calendar!$A$2:$A$755,"NZ_GDP",Release_Calendar!$B$2:$B$755,$A6333)&gt;0,1,0))</f>
        <v>0</v>
      </c>
      <c r="O6333" s="16">
        <f>IF($A6333&lt;Notes!$B$5,"",IF(COUNTIFS(Release_Calendar!$A$2:$A$755,"NZ_LABOUR",Release_Calendar!$B$2:$B$755,$A6333)&gt;0,1,0))</f>
        <v>0</v>
      </c>
      <c r="P6333" s="16">
        <f t="shared" si="4"/>
        <v>0</v>
      </c>
    </row>
    <row r="6334" ht="15.75" customHeight="1">
      <c r="A6334" s="14">
        <v>45392.0</v>
      </c>
      <c r="B6334" s="15">
        <v>4.97</v>
      </c>
      <c r="C6334" s="15">
        <v>4.92</v>
      </c>
      <c r="D6334" s="15"/>
      <c r="E6334" s="15">
        <v>4.7</v>
      </c>
      <c r="F6334" s="15">
        <f t="shared" si="1"/>
        <v>-0.05</v>
      </c>
      <c r="G6334" s="15">
        <f t="shared" si="2"/>
        <v>4.92</v>
      </c>
      <c r="H6334" s="16">
        <v>0.0</v>
      </c>
      <c r="I6334" s="15">
        <f t="shared" si="3"/>
        <v>-0.05</v>
      </c>
      <c r="J6334" s="15">
        <v>15.8</v>
      </c>
      <c r="K6334" s="16">
        <f>IF(COUNTIFS(Release_Calendar!$A$2:$A$755,"US_CPI",Release_Calendar!$B$2:$B$755,$A6334)&gt;0,1,0)</f>
        <v>1</v>
      </c>
      <c r="L6334" s="16">
        <f>IF(COUNTIFS(Release_Calendar!$A$2:$A$755,"US_NFP",Release_Calendar!$B$2:$B$755,$A6334)&gt;0,1,0)</f>
        <v>0</v>
      </c>
      <c r="M6334" s="16">
        <f>IF($A6334&lt;Notes!$B$5,"",IF(COUNTIFS(Release_Calendar!$A$2:$A$755,"NZ_CPI",Release_Calendar!$B$2:$B$755,$A6334)&gt;0,1,0))</f>
        <v>0</v>
      </c>
      <c r="N6334" s="16">
        <f>IF($A6334&lt;Notes!$B$5,"",IF(COUNTIFS(Release_Calendar!$A$2:$A$755,"NZ_GDP",Release_Calendar!$B$2:$B$755,$A6334)&gt;0,1,0))</f>
        <v>0</v>
      </c>
      <c r="O6334" s="16">
        <f>IF($A6334&lt;Notes!$B$5,"",IF(COUNTIFS(Release_Calendar!$A$2:$A$755,"NZ_LABOUR",Release_Calendar!$B$2:$B$755,$A6334)&gt;0,1,0))</f>
        <v>0</v>
      </c>
      <c r="P6334" s="16">
        <f t="shared" si="4"/>
        <v>1</v>
      </c>
    </row>
    <row r="6335" ht="15.75" customHeight="1">
      <c r="A6335" s="14">
        <v>45393.0</v>
      </c>
      <c r="B6335" s="15">
        <v>4.93</v>
      </c>
      <c r="C6335" s="15">
        <v>5.06</v>
      </c>
      <c r="D6335" s="15"/>
      <c r="E6335" s="15">
        <v>4.85</v>
      </c>
      <c r="F6335" s="15">
        <f t="shared" si="1"/>
        <v>0.13</v>
      </c>
      <c r="G6335" s="15">
        <f t="shared" si="2"/>
        <v>5.06</v>
      </c>
      <c r="H6335" s="16">
        <v>0.0</v>
      </c>
      <c r="I6335" s="15">
        <f t="shared" si="3"/>
        <v>0.13</v>
      </c>
      <c r="J6335" s="15">
        <v>14.91</v>
      </c>
      <c r="K6335" s="16">
        <f>IF(COUNTIFS(Release_Calendar!$A$2:$A$755,"US_CPI",Release_Calendar!$B$2:$B$755,$A6335)&gt;0,1,0)</f>
        <v>0</v>
      </c>
      <c r="L6335" s="16">
        <f>IF(COUNTIFS(Release_Calendar!$A$2:$A$755,"US_NFP",Release_Calendar!$B$2:$B$755,$A6335)&gt;0,1,0)</f>
        <v>0</v>
      </c>
      <c r="M6335" s="16">
        <f>IF($A6335&lt;Notes!$B$5,"",IF(COUNTIFS(Release_Calendar!$A$2:$A$755,"NZ_CPI",Release_Calendar!$B$2:$B$755,$A6335)&gt;0,1,0))</f>
        <v>0</v>
      </c>
      <c r="N6335" s="16">
        <f>IF($A6335&lt;Notes!$B$5,"",IF(COUNTIFS(Release_Calendar!$A$2:$A$755,"NZ_GDP",Release_Calendar!$B$2:$B$755,$A6335)&gt;0,1,0))</f>
        <v>0</v>
      </c>
      <c r="O6335" s="16">
        <f>IF($A6335&lt;Notes!$B$5,"",IF(COUNTIFS(Release_Calendar!$A$2:$A$755,"NZ_LABOUR",Release_Calendar!$B$2:$B$755,$A6335)&gt;0,1,0))</f>
        <v>0</v>
      </c>
      <c r="P6335" s="16">
        <f t="shared" si="4"/>
        <v>0</v>
      </c>
    </row>
    <row r="6336" ht="15.75" customHeight="1">
      <c r="A6336" s="14">
        <v>45394.0</v>
      </c>
      <c r="B6336" s="15">
        <v>4.88</v>
      </c>
      <c r="C6336" s="15">
        <v>5.14</v>
      </c>
      <c r="D6336" s="15"/>
      <c r="E6336" s="15">
        <v>4.93</v>
      </c>
      <c r="F6336" s="15">
        <f t="shared" si="1"/>
        <v>0.26</v>
      </c>
      <c r="G6336" s="15">
        <f t="shared" si="2"/>
        <v>5.14</v>
      </c>
      <c r="H6336" s="16">
        <v>0.0</v>
      </c>
      <c r="I6336" s="15">
        <f t="shared" si="3"/>
        <v>0.26</v>
      </c>
      <c r="J6336" s="15">
        <v>17.31</v>
      </c>
      <c r="K6336" s="16">
        <f>IF(COUNTIFS(Release_Calendar!$A$2:$A$755,"US_CPI",Release_Calendar!$B$2:$B$755,$A6336)&gt;0,1,0)</f>
        <v>0</v>
      </c>
      <c r="L6336" s="16">
        <f>IF(COUNTIFS(Release_Calendar!$A$2:$A$755,"US_NFP",Release_Calendar!$B$2:$B$755,$A6336)&gt;0,1,0)</f>
        <v>0</v>
      </c>
      <c r="M6336" s="16">
        <f>IF($A6336&lt;Notes!$B$5,"",IF(COUNTIFS(Release_Calendar!$A$2:$A$755,"NZ_CPI",Release_Calendar!$B$2:$B$755,$A6336)&gt;0,1,0))</f>
        <v>0</v>
      </c>
      <c r="N6336" s="16">
        <f>IF($A6336&lt;Notes!$B$5,"",IF(COUNTIFS(Release_Calendar!$A$2:$A$755,"NZ_GDP",Release_Calendar!$B$2:$B$755,$A6336)&gt;0,1,0))</f>
        <v>0</v>
      </c>
      <c r="O6336" s="16">
        <f>IF($A6336&lt;Notes!$B$5,"",IF(COUNTIFS(Release_Calendar!$A$2:$A$755,"NZ_LABOUR",Release_Calendar!$B$2:$B$755,$A6336)&gt;0,1,0))</f>
        <v>0</v>
      </c>
      <c r="P6336" s="16">
        <f t="shared" si="4"/>
        <v>0</v>
      </c>
    </row>
    <row r="6337" ht="15.75" customHeight="1">
      <c r="A6337" s="14">
        <v>45397.0</v>
      </c>
      <c r="B6337" s="15">
        <v>4.93</v>
      </c>
      <c r="C6337" s="15">
        <v>5.07</v>
      </c>
      <c r="D6337" s="15"/>
      <c r="E6337" s="15">
        <v>4.86</v>
      </c>
      <c r="F6337" s="15">
        <f t="shared" si="1"/>
        <v>0.14</v>
      </c>
      <c r="G6337" s="15">
        <f t="shared" si="2"/>
        <v>5.07</v>
      </c>
      <c r="H6337" s="16">
        <v>0.0</v>
      </c>
      <c r="I6337" s="15">
        <f t="shared" si="3"/>
        <v>0.14</v>
      </c>
      <c r="J6337" s="15">
        <v>19.23</v>
      </c>
      <c r="K6337" s="16">
        <f>IF(COUNTIFS(Release_Calendar!$A$2:$A$755,"US_CPI",Release_Calendar!$B$2:$B$755,$A6337)&gt;0,1,0)</f>
        <v>0</v>
      </c>
      <c r="L6337" s="16">
        <f>IF(COUNTIFS(Release_Calendar!$A$2:$A$755,"US_NFP",Release_Calendar!$B$2:$B$755,$A6337)&gt;0,1,0)</f>
        <v>0</v>
      </c>
      <c r="M6337" s="16">
        <f>IF($A6337&lt;Notes!$B$5,"",IF(COUNTIFS(Release_Calendar!$A$2:$A$755,"NZ_CPI",Release_Calendar!$B$2:$B$755,$A6337)&gt;0,1,0))</f>
        <v>0</v>
      </c>
      <c r="N6337" s="16">
        <f>IF($A6337&lt;Notes!$B$5,"",IF(COUNTIFS(Release_Calendar!$A$2:$A$755,"NZ_GDP",Release_Calendar!$B$2:$B$755,$A6337)&gt;0,1,0))</f>
        <v>0</v>
      </c>
      <c r="O6337" s="16">
        <f>IF($A6337&lt;Notes!$B$5,"",IF(COUNTIFS(Release_Calendar!$A$2:$A$755,"NZ_LABOUR",Release_Calendar!$B$2:$B$755,$A6337)&gt;0,1,0))</f>
        <v>0</v>
      </c>
      <c r="P6337" s="16">
        <f t="shared" si="4"/>
        <v>0</v>
      </c>
    </row>
    <row r="6338" ht="15.75" customHeight="1">
      <c r="A6338" s="14">
        <v>45398.0</v>
      </c>
      <c r="B6338" s="15">
        <v>4.97</v>
      </c>
      <c r="C6338" s="15">
        <v>5.12</v>
      </c>
      <c r="D6338" s="15"/>
      <c r="E6338" s="15">
        <v>4.91</v>
      </c>
      <c r="F6338" s="15">
        <f t="shared" si="1"/>
        <v>0.15</v>
      </c>
      <c r="G6338" s="15">
        <f t="shared" si="2"/>
        <v>5.12</v>
      </c>
      <c r="H6338" s="16">
        <v>0.0</v>
      </c>
      <c r="I6338" s="15">
        <f t="shared" si="3"/>
        <v>0.15</v>
      </c>
      <c r="J6338" s="15">
        <v>18.4</v>
      </c>
      <c r="K6338" s="16">
        <f>IF(COUNTIFS(Release_Calendar!$A$2:$A$755,"US_CPI",Release_Calendar!$B$2:$B$755,$A6338)&gt;0,1,0)</f>
        <v>0</v>
      </c>
      <c r="L6338" s="16">
        <f>IF(COUNTIFS(Release_Calendar!$A$2:$A$755,"US_NFP",Release_Calendar!$B$2:$B$755,$A6338)&gt;0,1,0)</f>
        <v>0</v>
      </c>
      <c r="M6338" s="16">
        <f>IF($A6338&lt;Notes!$B$5,"",IF(COUNTIFS(Release_Calendar!$A$2:$A$755,"NZ_CPI",Release_Calendar!$B$2:$B$755,$A6338)&gt;0,1,0))</f>
        <v>0</v>
      </c>
      <c r="N6338" s="16">
        <f>IF($A6338&lt;Notes!$B$5,"",IF(COUNTIFS(Release_Calendar!$A$2:$A$755,"NZ_GDP",Release_Calendar!$B$2:$B$755,$A6338)&gt;0,1,0))</f>
        <v>0</v>
      </c>
      <c r="O6338" s="16">
        <f>IF($A6338&lt;Notes!$B$5,"",IF(COUNTIFS(Release_Calendar!$A$2:$A$755,"NZ_LABOUR",Release_Calendar!$B$2:$B$755,$A6338)&gt;0,1,0))</f>
        <v>0</v>
      </c>
      <c r="P6338" s="16">
        <f t="shared" si="4"/>
        <v>0</v>
      </c>
    </row>
    <row r="6339" ht="15.75" customHeight="1">
      <c r="A6339" s="14">
        <v>45399.0</v>
      </c>
      <c r="B6339" s="15">
        <v>4.93</v>
      </c>
      <c r="C6339" s="15">
        <v>5.18</v>
      </c>
      <c r="D6339" s="15"/>
      <c r="E6339" s="15">
        <v>4.97</v>
      </c>
      <c r="F6339" s="15">
        <f t="shared" si="1"/>
        <v>0.25</v>
      </c>
      <c r="G6339" s="15">
        <f t="shared" si="2"/>
        <v>5.18</v>
      </c>
      <c r="H6339" s="16">
        <v>0.0</v>
      </c>
      <c r="I6339" s="15">
        <f t="shared" si="3"/>
        <v>0.25</v>
      </c>
      <c r="J6339" s="15">
        <v>18.21</v>
      </c>
      <c r="K6339" s="16">
        <f>IF(COUNTIFS(Release_Calendar!$A$2:$A$755,"US_CPI",Release_Calendar!$B$2:$B$755,$A6339)&gt;0,1,0)</f>
        <v>0</v>
      </c>
      <c r="L6339" s="16">
        <f>IF(COUNTIFS(Release_Calendar!$A$2:$A$755,"US_NFP",Release_Calendar!$B$2:$B$755,$A6339)&gt;0,1,0)</f>
        <v>0</v>
      </c>
      <c r="M6339" s="16">
        <f>IF($A6339&lt;Notes!$B$5,"",IF(COUNTIFS(Release_Calendar!$A$2:$A$755,"NZ_CPI",Release_Calendar!$B$2:$B$755,$A6339)&gt;0,1,0))</f>
        <v>1</v>
      </c>
      <c r="N6339" s="16">
        <f>IF($A6339&lt;Notes!$B$5,"",IF(COUNTIFS(Release_Calendar!$A$2:$A$755,"NZ_GDP",Release_Calendar!$B$2:$B$755,$A6339)&gt;0,1,0))</f>
        <v>0</v>
      </c>
      <c r="O6339" s="16">
        <f>IF($A6339&lt;Notes!$B$5,"",IF(COUNTIFS(Release_Calendar!$A$2:$A$755,"NZ_LABOUR",Release_Calendar!$B$2:$B$755,$A6339)&gt;0,1,0))</f>
        <v>0</v>
      </c>
      <c r="P6339" s="16">
        <f t="shared" si="4"/>
        <v>1</v>
      </c>
    </row>
    <row r="6340" ht="15.75" customHeight="1">
      <c r="A6340" s="14">
        <v>45400.0</v>
      </c>
      <c r="B6340" s="15">
        <v>4.98</v>
      </c>
      <c r="C6340" s="15">
        <v>5.12</v>
      </c>
      <c r="D6340" s="15"/>
      <c r="E6340" s="15">
        <v>4.92</v>
      </c>
      <c r="F6340" s="15">
        <f t="shared" si="1"/>
        <v>0.14</v>
      </c>
      <c r="G6340" s="15">
        <f t="shared" si="2"/>
        <v>5.12</v>
      </c>
      <c r="H6340" s="16">
        <v>0.0</v>
      </c>
      <c r="I6340" s="15">
        <f t="shared" si="3"/>
        <v>0.14</v>
      </c>
      <c r="J6340" s="15">
        <v>18.0</v>
      </c>
      <c r="K6340" s="16">
        <f>IF(COUNTIFS(Release_Calendar!$A$2:$A$755,"US_CPI",Release_Calendar!$B$2:$B$755,$A6340)&gt;0,1,0)</f>
        <v>0</v>
      </c>
      <c r="L6340" s="16">
        <f>IF(COUNTIFS(Release_Calendar!$A$2:$A$755,"US_NFP",Release_Calendar!$B$2:$B$755,$A6340)&gt;0,1,0)</f>
        <v>0</v>
      </c>
      <c r="M6340" s="16">
        <f>IF($A6340&lt;Notes!$B$5,"",IF(COUNTIFS(Release_Calendar!$A$2:$A$755,"NZ_CPI",Release_Calendar!$B$2:$B$755,$A6340)&gt;0,1,0))</f>
        <v>0</v>
      </c>
      <c r="N6340" s="16">
        <f>IF($A6340&lt;Notes!$B$5,"",IF(COUNTIFS(Release_Calendar!$A$2:$A$755,"NZ_GDP",Release_Calendar!$B$2:$B$755,$A6340)&gt;0,1,0))</f>
        <v>0</v>
      </c>
      <c r="O6340" s="16">
        <f>IF($A6340&lt;Notes!$B$5,"",IF(COUNTIFS(Release_Calendar!$A$2:$A$755,"NZ_LABOUR",Release_Calendar!$B$2:$B$755,$A6340)&gt;0,1,0))</f>
        <v>0</v>
      </c>
      <c r="P6340" s="16">
        <f t="shared" si="4"/>
        <v>0</v>
      </c>
    </row>
    <row r="6341" ht="15.75" customHeight="1">
      <c r="A6341" s="14">
        <v>45401.0</v>
      </c>
      <c r="B6341" s="15">
        <v>4.97</v>
      </c>
      <c r="C6341" s="15">
        <v>5.08</v>
      </c>
      <c r="D6341" s="15"/>
      <c r="E6341" s="15">
        <v>4.88</v>
      </c>
      <c r="F6341" s="15">
        <f t="shared" si="1"/>
        <v>0.11</v>
      </c>
      <c r="G6341" s="15">
        <f t="shared" si="2"/>
        <v>5.08</v>
      </c>
      <c r="H6341" s="16">
        <v>0.0</v>
      </c>
      <c r="I6341" s="15">
        <f t="shared" si="3"/>
        <v>0.11</v>
      </c>
      <c r="J6341" s="15">
        <v>18.71</v>
      </c>
      <c r="K6341" s="16">
        <f>IF(COUNTIFS(Release_Calendar!$A$2:$A$755,"US_CPI",Release_Calendar!$B$2:$B$755,$A6341)&gt;0,1,0)</f>
        <v>0</v>
      </c>
      <c r="L6341" s="16">
        <f>IF(COUNTIFS(Release_Calendar!$A$2:$A$755,"US_NFP",Release_Calendar!$B$2:$B$755,$A6341)&gt;0,1,0)</f>
        <v>0</v>
      </c>
      <c r="M6341" s="16">
        <f>IF($A6341&lt;Notes!$B$5,"",IF(COUNTIFS(Release_Calendar!$A$2:$A$755,"NZ_CPI",Release_Calendar!$B$2:$B$755,$A6341)&gt;0,1,0))</f>
        <v>0</v>
      </c>
      <c r="N6341" s="16">
        <f>IF($A6341&lt;Notes!$B$5,"",IF(COUNTIFS(Release_Calendar!$A$2:$A$755,"NZ_GDP",Release_Calendar!$B$2:$B$755,$A6341)&gt;0,1,0))</f>
        <v>0</v>
      </c>
      <c r="O6341" s="16">
        <f>IF($A6341&lt;Notes!$B$5,"",IF(COUNTIFS(Release_Calendar!$A$2:$A$755,"NZ_LABOUR",Release_Calendar!$B$2:$B$755,$A6341)&gt;0,1,0))</f>
        <v>0</v>
      </c>
      <c r="P6341" s="16">
        <f t="shared" si="4"/>
        <v>0</v>
      </c>
    </row>
    <row r="6342" ht="15.75" customHeight="1">
      <c r="A6342" s="14">
        <v>45404.0</v>
      </c>
      <c r="B6342" s="15">
        <v>4.97</v>
      </c>
      <c r="C6342" s="15">
        <v>5.14</v>
      </c>
      <c r="D6342" s="15"/>
      <c r="E6342" s="15">
        <v>4.94</v>
      </c>
      <c r="F6342" s="15">
        <f t="shared" si="1"/>
        <v>0.17</v>
      </c>
      <c r="G6342" s="15">
        <f t="shared" si="2"/>
        <v>5.14</v>
      </c>
      <c r="H6342" s="16">
        <v>0.0</v>
      </c>
      <c r="I6342" s="15">
        <f t="shared" si="3"/>
        <v>0.17</v>
      </c>
      <c r="J6342" s="15">
        <v>16.94</v>
      </c>
      <c r="K6342" s="16">
        <f>IF(COUNTIFS(Release_Calendar!$A$2:$A$755,"US_CPI",Release_Calendar!$B$2:$B$755,$A6342)&gt;0,1,0)</f>
        <v>0</v>
      </c>
      <c r="L6342" s="16">
        <f>IF(COUNTIFS(Release_Calendar!$A$2:$A$755,"US_NFP",Release_Calendar!$B$2:$B$755,$A6342)&gt;0,1,0)</f>
        <v>0</v>
      </c>
      <c r="M6342" s="16">
        <f>IF($A6342&lt;Notes!$B$5,"",IF(COUNTIFS(Release_Calendar!$A$2:$A$755,"NZ_CPI",Release_Calendar!$B$2:$B$755,$A6342)&gt;0,1,0))</f>
        <v>0</v>
      </c>
      <c r="N6342" s="16">
        <f>IF($A6342&lt;Notes!$B$5,"",IF(COUNTIFS(Release_Calendar!$A$2:$A$755,"NZ_GDP",Release_Calendar!$B$2:$B$755,$A6342)&gt;0,1,0))</f>
        <v>0</v>
      </c>
      <c r="O6342" s="16">
        <f>IF($A6342&lt;Notes!$B$5,"",IF(COUNTIFS(Release_Calendar!$A$2:$A$755,"NZ_LABOUR",Release_Calendar!$B$2:$B$755,$A6342)&gt;0,1,0))</f>
        <v>0</v>
      </c>
      <c r="P6342" s="16">
        <f t="shared" si="4"/>
        <v>0</v>
      </c>
    </row>
    <row r="6343" ht="15.75" customHeight="1">
      <c r="A6343" s="14">
        <v>45405.0</v>
      </c>
      <c r="B6343" s="15">
        <v>4.86</v>
      </c>
      <c r="C6343" s="15">
        <v>5.08</v>
      </c>
      <c r="D6343" s="15"/>
      <c r="E6343" s="15">
        <v>4.9</v>
      </c>
      <c r="F6343" s="15">
        <f t="shared" si="1"/>
        <v>0.22</v>
      </c>
      <c r="G6343" s="15">
        <f t="shared" si="2"/>
        <v>5.08</v>
      </c>
      <c r="H6343" s="16">
        <v>0.0</v>
      </c>
      <c r="I6343" s="15">
        <f t="shared" si="3"/>
        <v>0.22</v>
      </c>
      <c r="J6343" s="15">
        <v>15.69</v>
      </c>
      <c r="K6343" s="16">
        <f>IF(COUNTIFS(Release_Calendar!$A$2:$A$755,"US_CPI",Release_Calendar!$B$2:$B$755,$A6343)&gt;0,1,0)</f>
        <v>0</v>
      </c>
      <c r="L6343" s="16">
        <f>IF(COUNTIFS(Release_Calendar!$A$2:$A$755,"US_NFP",Release_Calendar!$B$2:$B$755,$A6343)&gt;0,1,0)</f>
        <v>0</v>
      </c>
      <c r="M6343" s="16">
        <f>IF($A6343&lt;Notes!$B$5,"",IF(COUNTIFS(Release_Calendar!$A$2:$A$755,"NZ_CPI",Release_Calendar!$B$2:$B$755,$A6343)&gt;0,1,0))</f>
        <v>0</v>
      </c>
      <c r="N6343" s="16">
        <f>IF($A6343&lt;Notes!$B$5,"",IF(COUNTIFS(Release_Calendar!$A$2:$A$755,"NZ_GDP",Release_Calendar!$B$2:$B$755,$A6343)&gt;0,1,0))</f>
        <v>0</v>
      </c>
      <c r="O6343" s="16">
        <f>IF($A6343&lt;Notes!$B$5,"",IF(COUNTIFS(Release_Calendar!$A$2:$A$755,"NZ_LABOUR",Release_Calendar!$B$2:$B$755,$A6343)&gt;0,1,0))</f>
        <v>0</v>
      </c>
      <c r="P6343" s="16">
        <f t="shared" si="4"/>
        <v>0</v>
      </c>
    </row>
    <row r="6344" ht="15.75" customHeight="1">
      <c r="A6344" s="14">
        <v>45406.0</v>
      </c>
      <c r="B6344" s="15">
        <v>4.89</v>
      </c>
      <c r="C6344" s="15">
        <v>5.12</v>
      </c>
      <c r="D6344" s="15"/>
      <c r="E6344" s="15">
        <v>4.92</v>
      </c>
      <c r="F6344" s="15">
        <f t="shared" si="1"/>
        <v>0.23</v>
      </c>
      <c r="G6344" s="15">
        <f t="shared" si="2"/>
        <v>5.12</v>
      </c>
      <c r="H6344" s="16">
        <v>0.0</v>
      </c>
      <c r="I6344" s="15">
        <f t="shared" si="3"/>
        <v>0.23</v>
      </c>
      <c r="J6344" s="15">
        <v>15.97</v>
      </c>
      <c r="K6344" s="16">
        <f>IF(COUNTIFS(Release_Calendar!$A$2:$A$755,"US_CPI",Release_Calendar!$B$2:$B$755,$A6344)&gt;0,1,0)</f>
        <v>0</v>
      </c>
      <c r="L6344" s="16">
        <f>IF(COUNTIFS(Release_Calendar!$A$2:$A$755,"US_NFP",Release_Calendar!$B$2:$B$755,$A6344)&gt;0,1,0)</f>
        <v>0</v>
      </c>
      <c r="M6344" s="16">
        <f>IF($A6344&lt;Notes!$B$5,"",IF(COUNTIFS(Release_Calendar!$A$2:$A$755,"NZ_CPI",Release_Calendar!$B$2:$B$755,$A6344)&gt;0,1,0))</f>
        <v>0</v>
      </c>
      <c r="N6344" s="16">
        <f>IF($A6344&lt;Notes!$B$5,"",IF(COUNTIFS(Release_Calendar!$A$2:$A$755,"NZ_GDP",Release_Calendar!$B$2:$B$755,$A6344)&gt;0,1,0))</f>
        <v>0</v>
      </c>
      <c r="O6344" s="16">
        <f>IF($A6344&lt;Notes!$B$5,"",IF(COUNTIFS(Release_Calendar!$A$2:$A$755,"NZ_LABOUR",Release_Calendar!$B$2:$B$755,$A6344)&gt;0,1,0))</f>
        <v>0</v>
      </c>
      <c r="P6344" s="16">
        <f t="shared" si="4"/>
        <v>0</v>
      </c>
    </row>
    <row r="6345" ht="15.75" customHeight="1">
      <c r="A6345" s="14">
        <v>45407.0</v>
      </c>
      <c r="B6345" s="15">
        <v>4.96</v>
      </c>
      <c r="C6345" s="15"/>
      <c r="D6345" s="15"/>
      <c r="E6345" s="15"/>
      <c r="F6345" s="15" t="str">
        <f t="shared" si="1"/>
        <v/>
      </c>
      <c r="G6345" s="15" t="str">
        <f t="shared" si="2"/>
        <v/>
      </c>
      <c r="H6345" s="16">
        <v>0.0</v>
      </c>
      <c r="I6345" s="15" t="str">
        <f t="shared" si="3"/>
        <v/>
      </c>
      <c r="J6345" s="15">
        <v>15.37</v>
      </c>
      <c r="K6345" s="16">
        <f>IF(COUNTIFS(Release_Calendar!$A$2:$A$755,"US_CPI",Release_Calendar!$B$2:$B$755,$A6345)&gt;0,1,0)</f>
        <v>0</v>
      </c>
      <c r="L6345" s="16">
        <f>IF(COUNTIFS(Release_Calendar!$A$2:$A$755,"US_NFP",Release_Calendar!$B$2:$B$755,$A6345)&gt;0,1,0)</f>
        <v>0</v>
      </c>
      <c r="M6345" s="16">
        <f>IF($A6345&lt;Notes!$B$5,"",IF(COUNTIFS(Release_Calendar!$A$2:$A$755,"NZ_CPI",Release_Calendar!$B$2:$B$755,$A6345)&gt;0,1,0))</f>
        <v>0</v>
      </c>
      <c r="N6345" s="16">
        <f>IF($A6345&lt;Notes!$B$5,"",IF(COUNTIFS(Release_Calendar!$A$2:$A$755,"NZ_GDP",Release_Calendar!$B$2:$B$755,$A6345)&gt;0,1,0))</f>
        <v>0</v>
      </c>
      <c r="O6345" s="16">
        <f>IF($A6345&lt;Notes!$B$5,"",IF(COUNTIFS(Release_Calendar!$A$2:$A$755,"NZ_LABOUR",Release_Calendar!$B$2:$B$755,$A6345)&gt;0,1,0))</f>
        <v>0</v>
      </c>
      <c r="P6345" s="16">
        <f t="shared" si="4"/>
        <v>0</v>
      </c>
    </row>
    <row r="6346" ht="15.75" customHeight="1">
      <c r="A6346" s="14">
        <v>45408.0</v>
      </c>
      <c r="B6346" s="15">
        <v>4.96</v>
      </c>
      <c r="C6346" s="15">
        <v>5.2</v>
      </c>
      <c r="D6346" s="15"/>
      <c r="E6346" s="15">
        <v>4.99</v>
      </c>
      <c r="F6346" s="15">
        <f t="shared" si="1"/>
        <v>0.24</v>
      </c>
      <c r="G6346" s="15">
        <f t="shared" si="2"/>
        <v>5.2</v>
      </c>
      <c r="H6346" s="16">
        <v>0.0</v>
      </c>
      <c r="I6346" s="15">
        <f t="shared" si="3"/>
        <v>0.24</v>
      </c>
      <c r="J6346" s="15">
        <v>15.03</v>
      </c>
      <c r="K6346" s="16">
        <f>IF(COUNTIFS(Release_Calendar!$A$2:$A$755,"US_CPI",Release_Calendar!$B$2:$B$755,$A6346)&gt;0,1,0)</f>
        <v>0</v>
      </c>
      <c r="L6346" s="16">
        <f>IF(COUNTIFS(Release_Calendar!$A$2:$A$755,"US_NFP",Release_Calendar!$B$2:$B$755,$A6346)&gt;0,1,0)</f>
        <v>0</v>
      </c>
      <c r="M6346" s="16">
        <f>IF($A6346&lt;Notes!$B$5,"",IF(COUNTIFS(Release_Calendar!$A$2:$A$755,"NZ_CPI",Release_Calendar!$B$2:$B$755,$A6346)&gt;0,1,0))</f>
        <v>0</v>
      </c>
      <c r="N6346" s="16">
        <f>IF($A6346&lt;Notes!$B$5,"",IF(COUNTIFS(Release_Calendar!$A$2:$A$755,"NZ_GDP",Release_Calendar!$B$2:$B$755,$A6346)&gt;0,1,0))</f>
        <v>0</v>
      </c>
      <c r="O6346" s="16">
        <f>IF($A6346&lt;Notes!$B$5,"",IF(COUNTIFS(Release_Calendar!$A$2:$A$755,"NZ_LABOUR",Release_Calendar!$B$2:$B$755,$A6346)&gt;0,1,0))</f>
        <v>0</v>
      </c>
      <c r="P6346" s="16">
        <f t="shared" si="4"/>
        <v>0</v>
      </c>
    </row>
    <row r="6347" ht="15.75" customHeight="1">
      <c r="A6347" s="14">
        <v>45411.0</v>
      </c>
      <c r="B6347" s="15">
        <v>4.97</v>
      </c>
      <c r="C6347" s="15">
        <v>5.18</v>
      </c>
      <c r="D6347" s="15"/>
      <c r="E6347" s="15">
        <v>4.97</v>
      </c>
      <c r="F6347" s="15">
        <f t="shared" si="1"/>
        <v>0.21</v>
      </c>
      <c r="G6347" s="15">
        <f t="shared" si="2"/>
        <v>5.18</v>
      </c>
      <c r="H6347" s="16">
        <v>0.0</v>
      </c>
      <c r="I6347" s="15">
        <f t="shared" si="3"/>
        <v>0.21</v>
      </c>
      <c r="J6347" s="15">
        <v>14.67</v>
      </c>
      <c r="K6347" s="16">
        <f>IF(COUNTIFS(Release_Calendar!$A$2:$A$755,"US_CPI",Release_Calendar!$B$2:$B$755,$A6347)&gt;0,1,0)</f>
        <v>0</v>
      </c>
      <c r="L6347" s="16">
        <f>IF(COUNTIFS(Release_Calendar!$A$2:$A$755,"US_NFP",Release_Calendar!$B$2:$B$755,$A6347)&gt;0,1,0)</f>
        <v>0</v>
      </c>
      <c r="M6347" s="16">
        <f>IF($A6347&lt;Notes!$B$5,"",IF(COUNTIFS(Release_Calendar!$A$2:$A$755,"NZ_CPI",Release_Calendar!$B$2:$B$755,$A6347)&gt;0,1,0))</f>
        <v>0</v>
      </c>
      <c r="N6347" s="16">
        <f>IF($A6347&lt;Notes!$B$5,"",IF(COUNTIFS(Release_Calendar!$A$2:$A$755,"NZ_GDP",Release_Calendar!$B$2:$B$755,$A6347)&gt;0,1,0))</f>
        <v>0</v>
      </c>
      <c r="O6347" s="16">
        <f>IF($A6347&lt;Notes!$B$5,"",IF(COUNTIFS(Release_Calendar!$A$2:$A$755,"NZ_LABOUR",Release_Calendar!$B$2:$B$755,$A6347)&gt;0,1,0))</f>
        <v>0</v>
      </c>
      <c r="P6347" s="16">
        <f t="shared" si="4"/>
        <v>0</v>
      </c>
    </row>
    <row r="6348" ht="15.75" customHeight="1">
      <c r="A6348" s="14">
        <v>45412.0</v>
      </c>
      <c r="B6348" s="15">
        <v>5.04</v>
      </c>
      <c r="C6348" s="15">
        <v>5.1</v>
      </c>
      <c r="D6348" s="15"/>
      <c r="E6348" s="15">
        <v>4.92</v>
      </c>
      <c r="F6348" s="15">
        <f t="shared" si="1"/>
        <v>0.06</v>
      </c>
      <c r="G6348" s="15">
        <f t="shared" si="2"/>
        <v>5.1</v>
      </c>
      <c r="H6348" s="16">
        <v>0.0</v>
      </c>
      <c r="I6348" s="15">
        <f t="shared" si="3"/>
        <v>0.06</v>
      </c>
      <c r="J6348" s="15">
        <v>15.65</v>
      </c>
      <c r="K6348" s="16">
        <f>IF(COUNTIFS(Release_Calendar!$A$2:$A$755,"US_CPI",Release_Calendar!$B$2:$B$755,$A6348)&gt;0,1,0)</f>
        <v>0</v>
      </c>
      <c r="L6348" s="16">
        <f>IF(COUNTIFS(Release_Calendar!$A$2:$A$755,"US_NFP",Release_Calendar!$B$2:$B$755,$A6348)&gt;0,1,0)</f>
        <v>0</v>
      </c>
      <c r="M6348" s="16">
        <f>IF($A6348&lt;Notes!$B$5,"",IF(COUNTIFS(Release_Calendar!$A$2:$A$755,"NZ_CPI",Release_Calendar!$B$2:$B$755,$A6348)&gt;0,1,0))</f>
        <v>0</v>
      </c>
      <c r="N6348" s="16">
        <f>IF($A6348&lt;Notes!$B$5,"",IF(COUNTIFS(Release_Calendar!$A$2:$A$755,"NZ_GDP",Release_Calendar!$B$2:$B$755,$A6348)&gt;0,1,0))</f>
        <v>0</v>
      </c>
      <c r="O6348" s="16">
        <f>IF($A6348&lt;Notes!$B$5,"",IF(COUNTIFS(Release_Calendar!$A$2:$A$755,"NZ_LABOUR",Release_Calendar!$B$2:$B$755,$A6348)&gt;0,1,0))</f>
        <v>0</v>
      </c>
      <c r="P6348" s="16">
        <f t="shared" si="4"/>
        <v>0</v>
      </c>
    </row>
    <row r="6349" ht="15.75" customHeight="1">
      <c r="A6349" s="14">
        <v>45413.0</v>
      </c>
      <c r="B6349" s="15">
        <v>4.96</v>
      </c>
      <c r="C6349" s="15">
        <v>5.09</v>
      </c>
      <c r="D6349" s="15"/>
      <c r="E6349" s="15">
        <v>4.91</v>
      </c>
      <c r="F6349" s="15">
        <f t="shared" si="1"/>
        <v>0.13</v>
      </c>
      <c r="G6349" s="15">
        <f t="shared" si="2"/>
        <v>5.09</v>
      </c>
      <c r="H6349" s="16">
        <v>0.0</v>
      </c>
      <c r="I6349" s="15">
        <f t="shared" si="3"/>
        <v>0.13</v>
      </c>
      <c r="J6349" s="15">
        <v>15.39</v>
      </c>
      <c r="K6349" s="16">
        <f>IF(COUNTIFS(Release_Calendar!$A$2:$A$755,"US_CPI",Release_Calendar!$B$2:$B$755,$A6349)&gt;0,1,0)</f>
        <v>0</v>
      </c>
      <c r="L6349" s="16">
        <f>IF(COUNTIFS(Release_Calendar!$A$2:$A$755,"US_NFP",Release_Calendar!$B$2:$B$755,$A6349)&gt;0,1,0)</f>
        <v>0</v>
      </c>
      <c r="M6349" s="16">
        <f>IF($A6349&lt;Notes!$B$5,"",IF(COUNTIFS(Release_Calendar!$A$2:$A$755,"NZ_CPI",Release_Calendar!$B$2:$B$755,$A6349)&gt;0,1,0))</f>
        <v>0</v>
      </c>
      <c r="N6349" s="16">
        <f>IF($A6349&lt;Notes!$B$5,"",IF(COUNTIFS(Release_Calendar!$A$2:$A$755,"NZ_GDP",Release_Calendar!$B$2:$B$755,$A6349)&gt;0,1,0))</f>
        <v>0</v>
      </c>
      <c r="O6349" s="16">
        <f>IF($A6349&lt;Notes!$B$5,"",IF(COUNTIFS(Release_Calendar!$A$2:$A$755,"NZ_LABOUR",Release_Calendar!$B$2:$B$755,$A6349)&gt;0,1,0))</f>
        <v>1</v>
      </c>
      <c r="P6349" s="16">
        <f t="shared" si="4"/>
        <v>1</v>
      </c>
    </row>
    <row r="6350" ht="15.75" customHeight="1">
      <c r="A6350" s="14">
        <v>45414.0</v>
      </c>
      <c r="B6350" s="15">
        <v>4.87</v>
      </c>
      <c r="C6350" s="15">
        <v>5.04</v>
      </c>
      <c r="D6350" s="15"/>
      <c r="E6350" s="15">
        <v>4.85</v>
      </c>
      <c r="F6350" s="15">
        <f t="shared" si="1"/>
        <v>0.17</v>
      </c>
      <c r="G6350" s="15">
        <f t="shared" si="2"/>
        <v>5.04</v>
      </c>
      <c r="H6350" s="16">
        <v>0.0</v>
      </c>
      <c r="I6350" s="15">
        <f t="shared" si="3"/>
        <v>0.17</v>
      </c>
      <c r="J6350" s="15">
        <v>14.68</v>
      </c>
      <c r="K6350" s="16">
        <f>IF(COUNTIFS(Release_Calendar!$A$2:$A$755,"US_CPI",Release_Calendar!$B$2:$B$755,$A6350)&gt;0,1,0)</f>
        <v>0</v>
      </c>
      <c r="L6350" s="16">
        <f>IF(COUNTIFS(Release_Calendar!$A$2:$A$755,"US_NFP",Release_Calendar!$B$2:$B$755,$A6350)&gt;0,1,0)</f>
        <v>0</v>
      </c>
      <c r="M6350" s="16">
        <f>IF($A6350&lt;Notes!$B$5,"",IF(COUNTIFS(Release_Calendar!$A$2:$A$755,"NZ_CPI",Release_Calendar!$B$2:$B$755,$A6350)&gt;0,1,0))</f>
        <v>0</v>
      </c>
      <c r="N6350" s="16">
        <f>IF($A6350&lt;Notes!$B$5,"",IF(COUNTIFS(Release_Calendar!$A$2:$A$755,"NZ_GDP",Release_Calendar!$B$2:$B$755,$A6350)&gt;0,1,0))</f>
        <v>0</v>
      </c>
      <c r="O6350" s="16">
        <f>IF($A6350&lt;Notes!$B$5,"",IF(COUNTIFS(Release_Calendar!$A$2:$A$755,"NZ_LABOUR",Release_Calendar!$B$2:$B$755,$A6350)&gt;0,1,0))</f>
        <v>0</v>
      </c>
      <c r="P6350" s="16">
        <f t="shared" si="4"/>
        <v>0</v>
      </c>
    </row>
    <row r="6351" ht="15.75" customHeight="1">
      <c r="A6351" s="14">
        <v>45415.0</v>
      </c>
      <c r="B6351" s="15">
        <v>4.81</v>
      </c>
      <c r="C6351" s="15">
        <v>5.0</v>
      </c>
      <c r="D6351" s="15"/>
      <c r="E6351" s="15">
        <v>4.8</v>
      </c>
      <c r="F6351" s="15">
        <f t="shared" si="1"/>
        <v>0.19</v>
      </c>
      <c r="G6351" s="15">
        <f t="shared" si="2"/>
        <v>5</v>
      </c>
      <c r="H6351" s="16">
        <v>0.0</v>
      </c>
      <c r="I6351" s="15">
        <f t="shared" si="3"/>
        <v>0.19</v>
      </c>
      <c r="J6351" s="15">
        <v>13.49</v>
      </c>
      <c r="K6351" s="16">
        <f>IF(COUNTIFS(Release_Calendar!$A$2:$A$755,"US_CPI",Release_Calendar!$B$2:$B$755,$A6351)&gt;0,1,0)</f>
        <v>0</v>
      </c>
      <c r="L6351" s="16">
        <f>IF(COUNTIFS(Release_Calendar!$A$2:$A$755,"US_NFP",Release_Calendar!$B$2:$B$755,$A6351)&gt;0,1,0)</f>
        <v>1</v>
      </c>
      <c r="M6351" s="16">
        <f>IF($A6351&lt;Notes!$B$5,"",IF(COUNTIFS(Release_Calendar!$A$2:$A$755,"NZ_CPI",Release_Calendar!$B$2:$B$755,$A6351)&gt;0,1,0))</f>
        <v>0</v>
      </c>
      <c r="N6351" s="16">
        <f>IF($A6351&lt;Notes!$B$5,"",IF(COUNTIFS(Release_Calendar!$A$2:$A$755,"NZ_GDP",Release_Calendar!$B$2:$B$755,$A6351)&gt;0,1,0))</f>
        <v>0</v>
      </c>
      <c r="O6351" s="16">
        <f>IF($A6351&lt;Notes!$B$5,"",IF(COUNTIFS(Release_Calendar!$A$2:$A$755,"NZ_LABOUR",Release_Calendar!$B$2:$B$755,$A6351)&gt;0,1,0))</f>
        <v>0</v>
      </c>
      <c r="P6351" s="16">
        <f t="shared" si="4"/>
        <v>1</v>
      </c>
    </row>
    <row r="6352" ht="15.75" customHeight="1">
      <c r="A6352" s="14">
        <v>45418.0</v>
      </c>
      <c r="B6352" s="15">
        <v>4.82</v>
      </c>
      <c r="C6352" s="15">
        <v>4.99</v>
      </c>
      <c r="D6352" s="15"/>
      <c r="E6352" s="15">
        <v>4.76</v>
      </c>
      <c r="F6352" s="15">
        <f t="shared" si="1"/>
        <v>0.17</v>
      </c>
      <c r="G6352" s="15">
        <f t="shared" si="2"/>
        <v>4.99</v>
      </c>
      <c r="H6352" s="16">
        <v>0.0</v>
      </c>
      <c r="I6352" s="15">
        <f t="shared" si="3"/>
        <v>0.17</v>
      </c>
      <c r="J6352" s="15">
        <v>13.49</v>
      </c>
      <c r="K6352" s="16">
        <f>IF(COUNTIFS(Release_Calendar!$A$2:$A$755,"US_CPI",Release_Calendar!$B$2:$B$755,$A6352)&gt;0,1,0)</f>
        <v>0</v>
      </c>
      <c r="L6352" s="16">
        <f>IF(COUNTIFS(Release_Calendar!$A$2:$A$755,"US_NFP",Release_Calendar!$B$2:$B$755,$A6352)&gt;0,1,0)</f>
        <v>0</v>
      </c>
      <c r="M6352" s="16">
        <f>IF($A6352&lt;Notes!$B$5,"",IF(COUNTIFS(Release_Calendar!$A$2:$A$755,"NZ_CPI",Release_Calendar!$B$2:$B$755,$A6352)&gt;0,1,0))</f>
        <v>0</v>
      </c>
      <c r="N6352" s="16">
        <f>IF($A6352&lt;Notes!$B$5,"",IF(COUNTIFS(Release_Calendar!$A$2:$A$755,"NZ_GDP",Release_Calendar!$B$2:$B$755,$A6352)&gt;0,1,0))</f>
        <v>0</v>
      </c>
      <c r="O6352" s="16">
        <f>IF($A6352&lt;Notes!$B$5,"",IF(COUNTIFS(Release_Calendar!$A$2:$A$755,"NZ_LABOUR",Release_Calendar!$B$2:$B$755,$A6352)&gt;0,1,0))</f>
        <v>0</v>
      </c>
      <c r="P6352" s="16">
        <f t="shared" si="4"/>
        <v>0</v>
      </c>
    </row>
    <row r="6353" ht="15.75" customHeight="1">
      <c r="A6353" s="14">
        <v>45419.0</v>
      </c>
      <c r="B6353" s="15">
        <v>4.82</v>
      </c>
      <c r="C6353" s="15">
        <v>4.99</v>
      </c>
      <c r="D6353" s="15"/>
      <c r="E6353" s="15">
        <v>4.74</v>
      </c>
      <c r="F6353" s="15">
        <f t="shared" si="1"/>
        <v>0.17</v>
      </c>
      <c r="G6353" s="15">
        <f t="shared" si="2"/>
        <v>4.99</v>
      </c>
      <c r="H6353" s="16">
        <v>0.0</v>
      </c>
      <c r="I6353" s="15">
        <f t="shared" si="3"/>
        <v>0.17</v>
      </c>
      <c r="J6353" s="15">
        <v>13.23</v>
      </c>
      <c r="K6353" s="16">
        <f>IF(COUNTIFS(Release_Calendar!$A$2:$A$755,"US_CPI",Release_Calendar!$B$2:$B$755,$A6353)&gt;0,1,0)</f>
        <v>0</v>
      </c>
      <c r="L6353" s="16">
        <f>IF(COUNTIFS(Release_Calendar!$A$2:$A$755,"US_NFP",Release_Calendar!$B$2:$B$755,$A6353)&gt;0,1,0)</f>
        <v>0</v>
      </c>
      <c r="M6353" s="16">
        <f>IF($A6353&lt;Notes!$B$5,"",IF(COUNTIFS(Release_Calendar!$A$2:$A$755,"NZ_CPI",Release_Calendar!$B$2:$B$755,$A6353)&gt;0,1,0))</f>
        <v>0</v>
      </c>
      <c r="N6353" s="16">
        <f>IF($A6353&lt;Notes!$B$5,"",IF(COUNTIFS(Release_Calendar!$A$2:$A$755,"NZ_GDP",Release_Calendar!$B$2:$B$755,$A6353)&gt;0,1,0))</f>
        <v>0</v>
      </c>
      <c r="O6353" s="16">
        <f>IF($A6353&lt;Notes!$B$5,"",IF(COUNTIFS(Release_Calendar!$A$2:$A$755,"NZ_LABOUR",Release_Calendar!$B$2:$B$755,$A6353)&gt;0,1,0))</f>
        <v>0</v>
      </c>
      <c r="P6353" s="16">
        <f t="shared" si="4"/>
        <v>0</v>
      </c>
    </row>
    <row r="6354" ht="15.75" customHeight="1">
      <c r="A6354" s="14">
        <v>45420.0</v>
      </c>
      <c r="B6354" s="15">
        <v>4.84</v>
      </c>
      <c r="C6354" s="15">
        <v>4.99</v>
      </c>
      <c r="D6354" s="15"/>
      <c r="E6354" s="15">
        <v>4.75</v>
      </c>
      <c r="F6354" s="15">
        <f t="shared" si="1"/>
        <v>0.15</v>
      </c>
      <c r="G6354" s="15">
        <f t="shared" si="2"/>
        <v>4.99</v>
      </c>
      <c r="H6354" s="16">
        <v>0.0</v>
      </c>
      <c r="I6354" s="15">
        <f t="shared" si="3"/>
        <v>0.15</v>
      </c>
      <c r="J6354" s="15">
        <v>13.0</v>
      </c>
      <c r="K6354" s="16">
        <f>IF(COUNTIFS(Release_Calendar!$A$2:$A$755,"US_CPI",Release_Calendar!$B$2:$B$755,$A6354)&gt;0,1,0)</f>
        <v>0</v>
      </c>
      <c r="L6354" s="16">
        <f>IF(COUNTIFS(Release_Calendar!$A$2:$A$755,"US_NFP",Release_Calendar!$B$2:$B$755,$A6354)&gt;0,1,0)</f>
        <v>0</v>
      </c>
      <c r="M6354" s="16">
        <f>IF($A6354&lt;Notes!$B$5,"",IF(COUNTIFS(Release_Calendar!$A$2:$A$755,"NZ_CPI",Release_Calendar!$B$2:$B$755,$A6354)&gt;0,1,0))</f>
        <v>0</v>
      </c>
      <c r="N6354" s="16">
        <f>IF($A6354&lt;Notes!$B$5,"",IF(COUNTIFS(Release_Calendar!$A$2:$A$755,"NZ_GDP",Release_Calendar!$B$2:$B$755,$A6354)&gt;0,1,0))</f>
        <v>0</v>
      </c>
      <c r="O6354" s="16">
        <f>IF($A6354&lt;Notes!$B$5,"",IF(COUNTIFS(Release_Calendar!$A$2:$A$755,"NZ_LABOUR",Release_Calendar!$B$2:$B$755,$A6354)&gt;0,1,0))</f>
        <v>0</v>
      </c>
      <c r="P6354" s="16">
        <f t="shared" si="4"/>
        <v>0</v>
      </c>
    </row>
    <row r="6355" ht="15.75" customHeight="1">
      <c r="A6355" s="14">
        <v>45421.0</v>
      </c>
      <c r="B6355" s="15">
        <v>4.8</v>
      </c>
      <c r="C6355" s="15">
        <v>5.04</v>
      </c>
      <c r="D6355" s="15"/>
      <c r="E6355" s="15">
        <v>4.83</v>
      </c>
      <c r="F6355" s="15">
        <f t="shared" si="1"/>
        <v>0.24</v>
      </c>
      <c r="G6355" s="15">
        <f t="shared" si="2"/>
        <v>5.04</v>
      </c>
      <c r="H6355" s="16">
        <v>0.0</v>
      </c>
      <c r="I6355" s="15">
        <f t="shared" si="3"/>
        <v>0.24</v>
      </c>
      <c r="J6355" s="15">
        <v>12.69</v>
      </c>
      <c r="K6355" s="16">
        <f>IF(COUNTIFS(Release_Calendar!$A$2:$A$755,"US_CPI",Release_Calendar!$B$2:$B$755,$A6355)&gt;0,1,0)</f>
        <v>0</v>
      </c>
      <c r="L6355" s="16">
        <f>IF(COUNTIFS(Release_Calendar!$A$2:$A$755,"US_NFP",Release_Calendar!$B$2:$B$755,$A6355)&gt;0,1,0)</f>
        <v>0</v>
      </c>
      <c r="M6355" s="16">
        <f>IF($A6355&lt;Notes!$B$5,"",IF(COUNTIFS(Release_Calendar!$A$2:$A$755,"NZ_CPI",Release_Calendar!$B$2:$B$755,$A6355)&gt;0,1,0))</f>
        <v>0</v>
      </c>
      <c r="N6355" s="16">
        <f>IF($A6355&lt;Notes!$B$5,"",IF(COUNTIFS(Release_Calendar!$A$2:$A$755,"NZ_GDP",Release_Calendar!$B$2:$B$755,$A6355)&gt;0,1,0))</f>
        <v>0</v>
      </c>
      <c r="O6355" s="16">
        <f>IF($A6355&lt;Notes!$B$5,"",IF(COUNTIFS(Release_Calendar!$A$2:$A$755,"NZ_LABOUR",Release_Calendar!$B$2:$B$755,$A6355)&gt;0,1,0))</f>
        <v>0</v>
      </c>
      <c r="P6355" s="16">
        <f t="shared" si="4"/>
        <v>0</v>
      </c>
    </row>
    <row r="6356" ht="15.75" customHeight="1">
      <c r="A6356" s="14">
        <v>45422.0</v>
      </c>
      <c r="B6356" s="15">
        <v>4.87</v>
      </c>
      <c r="C6356" s="15">
        <v>5.0</v>
      </c>
      <c r="D6356" s="15"/>
      <c r="E6356" s="15">
        <v>4.82</v>
      </c>
      <c r="F6356" s="15">
        <f t="shared" si="1"/>
        <v>0.13</v>
      </c>
      <c r="G6356" s="15">
        <f t="shared" si="2"/>
        <v>5</v>
      </c>
      <c r="H6356" s="16">
        <v>0.0</v>
      </c>
      <c r="I6356" s="15">
        <f t="shared" si="3"/>
        <v>0.13</v>
      </c>
      <c r="J6356" s="15">
        <v>12.55</v>
      </c>
      <c r="K6356" s="16">
        <f>IF(COUNTIFS(Release_Calendar!$A$2:$A$755,"US_CPI",Release_Calendar!$B$2:$B$755,$A6356)&gt;0,1,0)</f>
        <v>0</v>
      </c>
      <c r="L6356" s="16">
        <f>IF(COUNTIFS(Release_Calendar!$A$2:$A$755,"US_NFP",Release_Calendar!$B$2:$B$755,$A6356)&gt;0,1,0)</f>
        <v>0</v>
      </c>
      <c r="M6356" s="16">
        <f>IF($A6356&lt;Notes!$B$5,"",IF(COUNTIFS(Release_Calendar!$A$2:$A$755,"NZ_CPI",Release_Calendar!$B$2:$B$755,$A6356)&gt;0,1,0))</f>
        <v>0</v>
      </c>
      <c r="N6356" s="16">
        <f>IF($A6356&lt;Notes!$B$5,"",IF(COUNTIFS(Release_Calendar!$A$2:$A$755,"NZ_GDP",Release_Calendar!$B$2:$B$755,$A6356)&gt;0,1,0))</f>
        <v>0</v>
      </c>
      <c r="O6356" s="16">
        <f>IF($A6356&lt;Notes!$B$5,"",IF(COUNTIFS(Release_Calendar!$A$2:$A$755,"NZ_LABOUR",Release_Calendar!$B$2:$B$755,$A6356)&gt;0,1,0))</f>
        <v>0</v>
      </c>
      <c r="P6356" s="16">
        <f t="shared" si="4"/>
        <v>0</v>
      </c>
    </row>
    <row r="6357" ht="15.75" customHeight="1">
      <c r="A6357" s="14">
        <v>45425.0</v>
      </c>
      <c r="B6357" s="15">
        <v>4.85</v>
      </c>
      <c r="C6357" s="15">
        <v>4.98</v>
      </c>
      <c r="D6357" s="15"/>
      <c r="E6357" s="15">
        <v>4.81</v>
      </c>
      <c r="F6357" s="15">
        <f t="shared" si="1"/>
        <v>0.13</v>
      </c>
      <c r="G6357" s="15">
        <f t="shared" si="2"/>
        <v>4.98</v>
      </c>
      <c r="H6357" s="16">
        <v>0.0</v>
      </c>
      <c r="I6357" s="15">
        <f t="shared" si="3"/>
        <v>0.13</v>
      </c>
      <c r="J6357" s="15">
        <v>13.6</v>
      </c>
      <c r="K6357" s="16">
        <f>IF(COUNTIFS(Release_Calendar!$A$2:$A$755,"US_CPI",Release_Calendar!$B$2:$B$755,$A6357)&gt;0,1,0)</f>
        <v>0</v>
      </c>
      <c r="L6357" s="16">
        <f>IF(COUNTIFS(Release_Calendar!$A$2:$A$755,"US_NFP",Release_Calendar!$B$2:$B$755,$A6357)&gt;0,1,0)</f>
        <v>0</v>
      </c>
      <c r="M6357" s="16">
        <f>IF($A6357&lt;Notes!$B$5,"",IF(COUNTIFS(Release_Calendar!$A$2:$A$755,"NZ_CPI",Release_Calendar!$B$2:$B$755,$A6357)&gt;0,1,0))</f>
        <v>0</v>
      </c>
      <c r="N6357" s="16">
        <f>IF($A6357&lt;Notes!$B$5,"",IF(COUNTIFS(Release_Calendar!$A$2:$A$755,"NZ_GDP",Release_Calendar!$B$2:$B$755,$A6357)&gt;0,1,0))</f>
        <v>0</v>
      </c>
      <c r="O6357" s="16">
        <f>IF($A6357&lt;Notes!$B$5,"",IF(COUNTIFS(Release_Calendar!$A$2:$A$755,"NZ_LABOUR",Release_Calendar!$B$2:$B$755,$A6357)&gt;0,1,0))</f>
        <v>0</v>
      </c>
      <c r="P6357" s="16">
        <f t="shared" si="4"/>
        <v>0</v>
      </c>
    </row>
    <row r="6358" ht="15.75" customHeight="1">
      <c r="A6358" s="14">
        <v>45426.0</v>
      </c>
      <c r="B6358" s="15">
        <v>4.81</v>
      </c>
      <c r="C6358" s="15">
        <v>4.96</v>
      </c>
      <c r="D6358" s="15"/>
      <c r="E6358" s="15">
        <v>4.77</v>
      </c>
      <c r="F6358" s="15">
        <f t="shared" si="1"/>
        <v>0.15</v>
      </c>
      <c r="G6358" s="15">
        <f t="shared" si="2"/>
        <v>4.96</v>
      </c>
      <c r="H6358" s="16">
        <v>0.0</v>
      </c>
      <c r="I6358" s="15">
        <f t="shared" si="3"/>
        <v>0.15</v>
      </c>
      <c r="J6358" s="15">
        <v>13.42</v>
      </c>
      <c r="K6358" s="16">
        <f>IF(COUNTIFS(Release_Calendar!$A$2:$A$755,"US_CPI",Release_Calendar!$B$2:$B$755,$A6358)&gt;0,1,0)</f>
        <v>0</v>
      </c>
      <c r="L6358" s="16">
        <f>IF(COUNTIFS(Release_Calendar!$A$2:$A$755,"US_NFP",Release_Calendar!$B$2:$B$755,$A6358)&gt;0,1,0)</f>
        <v>0</v>
      </c>
      <c r="M6358" s="16">
        <f>IF($A6358&lt;Notes!$B$5,"",IF(COUNTIFS(Release_Calendar!$A$2:$A$755,"NZ_CPI",Release_Calendar!$B$2:$B$755,$A6358)&gt;0,1,0))</f>
        <v>0</v>
      </c>
      <c r="N6358" s="16">
        <f>IF($A6358&lt;Notes!$B$5,"",IF(COUNTIFS(Release_Calendar!$A$2:$A$755,"NZ_GDP",Release_Calendar!$B$2:$B$755,$A6358)&gt;0,1,0))</f>
        <v>0</v>
      </c>
      <c r="O6358" s="16">
        <f>IF($A6358&lt;Notes!$B$5,"",IF(COUNTIFS(Release_Calendar!$A$2:$A$755,"NZ_LABOUR",Release_Calendar!$B$2:$B$755,$A6358)&gt;0,1,0))</f>
        <v>0</v>
      </c>
      <c r="P6358" s="16">
        <f t="shared" si="4"/>
        <v>0</v>
      </c>
    </row>
    <row r="6359" ht="15.75" customHeight="1">
      <c r="A6359" s="14">
        <v>45427.0</v>
      </c>
      <c r="B6359" s="15">
        <v>4.73</v>
      </c>
      <c r="C6359" s="15">
        <v>4.95</v>
      </c>
      <c r="D6359" s="15"/>
      <c r="E6359" s="15">
        <v>4.74</v>
      </c>
      <c r="F6359" s="15">
        <f t="shared" si="1"/>
        <v>0.22</v>
      </c>
      <c r="G6359" s="15">
        <f t="shared" si="2"/>
        <v>4.95</v>
      </c>
      <c r="H6359" s="16">
        <v>0.0</v>
      </c>
      <c r="I6359" s="15">
        <f t="shared" si="3"/>
        <v>0.22</v>
      </c>
      <c r="J6359" s="15">
        <v>12.45</v>
      </c>
      <c r="K6359" s="16">
        <f>IF(COUNTIFS(Release_Calendar!$A$2:$A$755,"US_CPI",Release_Calendar!$B$2:$B$755,$A6359)&gt;0,1,0)</f>
        <v>1</v>
      </c>
      <c r="L6359" s="16">
        <f>IF(COUNTIFS(Release_Calendar!$A$2:$A$755,"US_NFP",Release_Calendar!$B$2:$B$755,$A6359)&gt;0,1,0)</f>
        <v>0</v>
      </c>
      <c r="M6359" s="16">
        <f>IF($A6359&lt;Notes!$B$5,"",IF(COUNTIFS(Release_Calendar!$A$2:$A$755,"NZ_CPI",Release_Calendar!$B$2:$B$755,$A6359)&gt;0,1,0))</f>
        <v>0</v>
      </c>
      <c r="N6359" s="16">
        <f>IF($A6359&lt;Notes!$B$5,"",IF(COUNTIFS(Release_Calendar!$A$2:$A$755,"NZ_GDP",Release_Calendar!$B$2:$B$755,$A6359)&gt;0,1,0))</f>
        <v>0</v>
      </c>
      <c r="O6359" s="16">
        <f>IF($A6359&lt;Notes!$B$5,"",IF(COUNTIFS(Release_Calendar!$A$2:$A$755,"NZ_LABOUR",Release_Calendar!$B$2:$B$755,$A6359)&gt;0,1,0))</f>
        <v>0</v>
      </c>
      <c r="P6359" s="16">
        <f t="shared" si="4"/>
        <v>1</v>
      </c>
    </row>
    <row r="6360" ht="15.75" customHeight="1">
      <c r="A6360" s="14">
        <v>45428.0</v>
      </c>
      <c r="B6360" s="15">
        <v>4.78</v>
      </c>
      <c r="C6360" s="15">
        <v>4.89</v>
      </c>
      <c r="D6360" s="15"/>
      <c r="E6360" s="15">
        <v>4.66</v>
      </c>
      <c r="F6360" s="15">
        <f t="shared" si="1"/>
        <v>0.11</v>
      </c>
      <c r="G6360" s="15">
        <f t="shared" si="2"/>
        <v>4.89</v>
      </c>
      <c r="H6360" s="16">
        <v>0.0</v>
      </c>
      <c r="I6360" s="15">
        <f t="shared" si="3"/>
        <v>0.11</v>
      </c>
      <c r="J6360" s="15">
        <v>12.42</v>
      </c>
      <c r="K6360" s="16">
        <f>IF(COUNTIFS(Release_Calendar!$A$2:$A$755,"US_CPI",Release_Calendar!$B$2:$B$755,$A6360)&gt;0,1,0)</f>
        <v>0</v>
      </c>
      <c r="L6360" s="16">
        <f>IF(COUNTIFS(Release_Calendar!$A$2:$A$755,"US_NFP",Release_Calendar!$B$2:$B$755,$A6360)&gt;0,1,0)</f>
        <v>0</v>
      </c>
      <c r="M6360" s="16">
        <f>IF($A6360&lt;Notes!$B$5,"",IF(COUNTIFS(Release_Calendar!$A$2:$A$755,"NZ_CPI",Release_Calendar!$B$2:$B$755,$A6360)&gt;0,1,0))</f>
        <v>0</v>
      </c>
      <c r="N6360" s="16">
        <f>IF($A6360&lt;Notes!$B$5,"",IF(COUNTIFS(Release_Calendar!$A$2:$A$755,"NZ_GDP",Release_Calendar!$B$2:$B$755,$A6360)&gt;0,1,0))</f>
        <v>0</v>
      </c>
      <c r="O6360" s="16">
        <f>IF($A6360&lt;Notes!$B$5,"",IF(COUNTIFS(Release_Calendar!$A$2:$A$755,"NZ_LABOUR",Release_Calendar!$B$2:$B$755,$A6360)&gt;0,1,0))</f>
        <v>0</v>
      </c>
      <c r="P6360" s="16">
        <f t="shared" si="4"/>
        <v>0</v>
      </c>
    </row>
    <row r="6361" ht="15.75" customHeight="1">
      <c r="A6361" s="14">
        <v>45429.0</v>
      </c>
      <c r="B6361" s="15">
        <v>4.83</v>
      </c>
      <c r="C6361" s="15">
        <v>4.9</v>
      </c>
      <c r="D6361" s="15"/>
      <c r="E6361" s="15">
        <v>4.69</v>
      </c>
      <c r="F6361" s="15">
        <f t="shared" si="1"/>
        <v>0.07</v>
      </c>
      <c r="G6361" s="15">
        <f t="shared" si="2"/>
        <v>4.9</v>
      </c>
      <c r="H6361" s="16">
        <v>0.0</v>
      </c>
      <c r="I6361" s="15">
        <f t="shared" si="3"/>
        <v>0.07</v>
      </c>
      <c r="J6361" s="15">
        <v>11.99</v>
      </c>
      <c r="K6361" s="16">
        <f>IF(COUNTIFS(Release_Calendar!$A$2:$A$755,"US_CPI",Release_Calendar!$B$2:$B$755,$A6361)&gt;0,1,0)</f>
        <v>0</v>
      </c>
      <c r="L6361" s="16">
        <f>IF(COUNTIFS(Release_Calendar!$A$2:$A$755,"US_NFP",Release_Calendar!$B$2:$B$755,$A6361)&gt;0,1,0)</f>
        <v>0</v>
      </c>
      <c r="M6361" s="16">
        <f>IF($A6361&lt;Notes!$B$5,"",IF(COUNTIFS(Release_Calendar!$A$2:$A$755,"NZ_CPI",Release_Calendar!$B$2:$B$755,$A6361)&gt;0,1,0))</f>
        <v>0</v>
      </c>
      <c r="N6361" s="16">
        <f>IF($A6361&lt;Notes!$B$5,"",IF(COUNTIFS(Release_Calendar!$A$2:$A$755,"NZ_GDP",Release_Calendar!$B$2:$B$755,$A6361)&gt;0,1,0))</f>
        <v>0</v>
      </c>
      <c r="O6361" s="16">
        <f>IF($A6361&lt;Notes!$B$5,"",IF(COUNTIFS(Release_Calendar!$A$2:$A$755,"NZ_LABOUR",Release_Calendar!$B$2:$B$755,$A6361)&gt;0,1,0))</f>
        <v>0</v>
      </c>
      <c r="P6361" s="16">
        <f t="shared" si="4"/>
        <v>0</v>
      </c>
    </row>
    <row r="6362" ht="15.75" customHeight="1">
      <c r="A6362" s="14">
        <v>45432.0</v>
      </c>
      <c r="B6362" s="15">
        <v>4.82</v>
      </c>
      <c r="C6362" s="15">
        <v>4.9</v>
      </c>
      <c r="D6362" s="15"/>
      <c r="E6362" s="15">
        <v>4.7</v>
      </c>
      <c r="F6362" s="15">
        <f t="shared" si="1"/>
        <v>0.08</v>
      </c>
      <c r="G6362" s="15">
        <f t="shared" si="2"/>
        <v>4.9</v>
      </c>
      <c r="H6362" s="16">
        <v>0.0</v>
      </c>
      <c r="I6362" s="15">
        <f t="shared" si="3"/>
        <v>0.08</v>
      </c>
      <c r="J6362" s="15">
        <v>12.15</v>
      </c>
      <c r="K6362" s="16">
        <f>IF(COUNTIFS(Release_Calendar!$A$2:$A$755,"US_CPI",Release_Calendar!$B$2:$B$755,$A6362)&gt;0,1,0)</f>
        <v>0</v>
      </c>
      <c r="L6362" s="16">
        <f>IF(COUNTIFS(Release_Calendar!$A$2:$A$755,"US_NFP",Release_Calendar!$B$2:$B$755,$A6362)&gt;0,1,0)</f>
        <v>0</v>
      </c>
      <c r="M6362" s="16">
        <f>IF($A6362&lt;Notes!$B$5,"",IF(COUNTIFS(Release_Calendar!$A$2:$A$755,"NZ_CPI",Release_Calendar!$B$2:$B$755,$A6362)&gt;0,1,0))</f>
        <v>0</v>
      </c>
      <c r="N6362" s="16">
        <f>IF($A6362&lt;Notes!$B$5,"",IF(COUNTIFS(Release_Calendar!$A$2:$A$755,"NZ_GDP",Release_Calendar!$B$2:$B$755,$A6362)&gt;0,1,0))</f>
        <v>0</v>
      </c>
      <c r="O6362" s="16">
        <f>IF($A6362&lt;Notes!$B$5,"",IF(COUNTIFS(Release_Calendar!$A$2:$A$755,"NZ_LABOUR",Release_Calendar!$B$2:$B$755,$A6362)&gt;0,1,0))</f>
        <v>0</v>
      </c>
      <c r="P6362" s="16">
        <f t="shared" si="4"/>
        <v>0</v>
      </c>
    </row>
    <row r="6363" ht="15.75" customHeight="1">
      <c r="A6363" s="14">
        <v>45433.0</v>
      </c>
      <c r="B6363" s="15">
        <v>4.82</v>
      </c>
      <c r="C6363" s="15">
        <v>4.89</v>
      </c>
      <c r="D6363" s="15"/>
      <c r="E6363" s="15">
        <v>4.7</v>
      </c>
      <c r="F6363" s="15">
        <f t="shared" si="1"/>
        <v>0.07</v>
      </c>
      <c r="G6363" s="15">
        <f t="shared" si="2"/>
        <v>4.89</v>
      </c>
      <c r="H6363" s="16">
        <v>0.0</v>
      </c>
      <c r="I6363" s="15">
        <f t="shared" si="3"/>
        <v>0.07</v>
      </c>
      <c r="J6363" s="15">
        <v>11.86</v>
      </c>
      <c r="K6363" s="16">
        <f>IF(COUNTIFS(Release_Calendar!$A$2:$A$755,"US_CPI",Release_Calendar!$B$2:$B$755,$A6363)&gt;0,1,0)</f>
        <v>0</v>
      </c>
      <c r="L6363" s="16">
        <f>IF(COUNTIFS(Release_Calendar!$A$2:$A$755,"US_NFP",Release_Calendar!$B$2:$B$755,$A6363)&gt;0,1,0)</f>
        <v>0</v>
      </c>
      <c r="M6363" s="16">
        <f>IF($A6363&lt;Notes!$B$5,"",IF(COUNTIFS(Release_Calendar!$A$2:$A$755,"NZ_CPI",Release_Calendar!$B$2:$B$755,$A6363)&gt;0,1,0))</f>
        <v>0</v>
      </c>
      <c r="N6363" s="16">
        <f>IF($A6363&lt;Notes!$B$5,"",IF(COUNTIFS(Release_Calendar!$A$2:$A$755,"NZ_GDP",Release_Calendar!$B$2:$B$755,$A6363)&gt;0,1,0))</f>
        <v>0</v>
      </c>
      <c r="O6363" s="16">
        <f>IF($A6363&lt;Notes!$B$5,"",IF(COUNTIFS(Release_Calendar!$A$2:$A$755,"NZ_LABOUR",Release_Calendar!$B$2:$B$755,$A6363)&gt;0,1,0))</f>
        <v>0</v>
      </c>
      <c r="P6363" s="16">
        <f t="shared" si="4"/>
        <v>0</v>
      </c>
    </row>
    <row r="6364" ht="15.75" customHeight="1">
      <c r="A6364" s="14">
        <v>45434.0</v>
      </c>
      <c r="B6364" s="15">
        <v>4.86</v>
      </c>
      <c r="C6364" s="15">
        <v>4.98</v>
      </c>
      <c r="D6364" s="15"/>
      <c r="E6364" s="15">
        <v>4.77</v>
      </c>
      <c r="F6364" s="15">
        <f t="shared" si="1"/>
        <v>0.12</v>
      </c>
      <c r="G6364" s="15">
        <f t="shared" si="2"/>
        <v>4.98</v>
      </c>
      <c r="H6364" s="16">
        <v>0.0</v>
      </c>
      <c r="I6364" s="15">
        <f t="shared" si="3"/>
        <v>0.12</v>
      </c>
      <c r="J6364" s="15">
        <v>12.29</v>
      </c>
      <c r="K6364" s="16">
        <f>IF(COUNTIFS(Release_Calendar!$A$2:$A$755,"US_CPI",Release_Calendar!$B$2:$B$755,$A6364)&gt;0,1,0)</f>
        <v>0</v>
      </c>
      <c r="L6364" s="16">
        <f>IF(COUNTIFS(Release_Calendar!$A$2:$A$755,"US_NFP",Release_Calendar!$B$2:$B$755,$A6364)&gt;0,1,0)</f>
        <v>0</v>
      </c>
      <c r="M6364" s="16">
        <f>IF($A6364&lt;Notes!$B$5,"",IF(COUNTIFS(Release_Calendar!$A$2:$A$755,"NZ_CPI",Release_Calendar!$B$2:$B$755,$A6364)&gt;0,1,0))</f>
        <v>0</v>
      </c>
      <c r="N6364" s="16">
        <f>IF($A6364&lt;Notes!$B$5,"",IF(COUNTIFS(Release_Calendar!$A$2:$A$755,"NZ_GDP",Release_Calendar!$B$2:$B$755,$A6364)&gt;0,1,0))</f>
        <v>0</v>
      </c>
      <c r="O6364" s="16">
        <f>IF($A6364&lt;Notes!$B$5,"",IF(COUNTIFS(Release_Calendar!$A$2:$A$755,"NZ_LABOUR",Release_Calendar!$B$2:$B$755,$A6364)&gt;0,1,0))</f>
        <v>0</v>
      </c>
      <c r="P6364" s="16">
        <f t="shared" si="4"/>
        <v>0</v>
      </c>
    </row>
    <row r="6365" ht="15.75" customHeight="1">
      <c r="A6365" s="14">
        <v>45435.0</v>
      </c>
      <c r="B6365" s="15">
        <v>4.91</v>
      </c>
      <c r="C6365" s="15">
        <v>5.06</v>
      </c>
      <c r="D6365" s="15"/>
      <c r="E6365" s="15">
        <v>4.84</v>
      </c>
      <c r="F6365" s="15">
        <f t="shared" si="1"/>
        <v>0.15</v>
      </c>
      <c r="G6365" s="15">
        <f t="shared" si="2"/>
        <v>5.06</v>
      </c>
      <c r="H6365" s="16">
        <v>0.0</v>
      </c>
      <c r="I6365" s="15">
        <f t="shared" si="3"/>
        <v>0.15</v>
      </c>
      <c r="J6365" s="15">
        <v>12.77</v>
      </c>
      <c r="K6365" s="16">
        <f>IF(COUNTIFS(Release_Calendar!$A$2:$A$755,"US_CPI",Release_Calendar!$B$2:$B$755,$A6365)&gt;0,1,0)</f>
        <v>0</v>
      </c>
      <c r="L6365" s="16">
        <f>IF(COUNTIFS(Release_Calendar!$A$2:$A$755,"US_NFP",Release_Calendar!$B$2:$B$755,$A6365)&gt;0,1,0)</f>
        <v>0</v>
      </c>
      <c r="M6365" s="16">
        <f>IF($A6365&lt;Notes!$B$5,"",IF(COUNTIFS(Release_Calendar!$A$2:$A$755,"NZ_CPI",Release_Calendar!$B$2:$B$755,$A6365)&gt;0,1,0))</f>
        <v>0</v>
      </c>
      <c r="N6365" s="16">
        <f>IF($A6365&lt;Notes!$B$5,"",IF(COUNTIFS(Release_Calendar!$A$2:$A$755,"NZ_GDP",Release_Calendar!$B$2:$B$755,$A6365)&gt;0,1,0))</f>
        <v>0</v>
      </c>
      <c r="O6365" s="16">
        <f>IF($A6365&lt;Notes!$B$5,"",IF(COUNTIFS(Release_Calendar!$A$2:$A$755,"NZ_LABOUR",Release_Calendar!$B$2:$B$755,$A6365)&gt;0,1,0))</f>
        <v>0</v>
      </c>
      <c r="P6365" s="16">
        <f t="shared" si="4"/>
        <v>0</v>
      </c>
    </row>
    <row r="6366" ht="15.75" customHeight="1">
      <c r="A6366" s="14">
        <v>45436.0</v>
      </c>
      <c r="B6366" s="15">
        <v>4.93</v>
      </c>
      <c r="C6366" s="15">
        <v>5.11</v>
      </c>
      <c r="D6366" s="15"/>
      <c r="E6366" s="15">
        <v>4.88</v>
      </c>
      <c r="F6366" s="15">
        <f t="shared" si="1"/>
        <v>0.18</v>
      </c>
      <c r="G6366" s="15">
        <f t="shared" si="2"/>
        <v>5.11</v>
      </c>
      <c r="H6366" s="16">
        <v>0.0</v>
      </c>
      <c r="I6366" s="15">
        <f t="shared" si="3"/>
        <v>0.18</v>
      </c>
      <c r="J6366" s="15">
        <v>11.93</v>
      </c>
      <c r="K6366" s="16">
        <f>IF(COUNTIFS(Release_Calendar!$A$2:$A$755,"US_CPI",Release_Calendar!$B$2:$B$755,$A6366)&gt;0,1,0)</f>
        <v>0</v>
      </c>
      <c r="L6366" s="16">
        <f>IF(COUNTIFS(Release_Calendar!$A$2:$A$755,"US_NFP",Release_Calendar!$B$2:$B$755,$A6366)&gt;0,1,0)</f>
        <v>0</v>
      </c>
      <c r="M6366" s="16">
        <f>IF($A6366&lt;Notes!$B$5,"",IF(COUNTIFS(Release_Calendar!$A$2:$A$755,"NZ_CPI",Release_Calendar!$B$2:$B$755,$A6366)&gt;0,1,0))</f>
        <v>0</v>
      </c>
      <c r="N6366" s="16">
        <f>IF($A6366&lt;Notes!$B$5,"",IF(COUNTIFS(Release_Calendar!$A$2:$A$755,"NZ_GDP",Release_Calendar!$B$2:$B$755,$A6366)&gt;0,1,0))</f>
        <v>0</v>
      </c>
      <c r="O6366" s="16">
        <f>IF($A6366&lt;Notes!$B$5,"",IF(COUNTIFS(Release_Calendar!$A$2:$A$755,"NZ_LABOUR",Release_Calendar!$B$2:$B$755,$A6366)&gt;0,1,0))</f>
        <v>0</v>
      </c>
      <c r="P6366" s="16">
        <f t="shared" si="4"/>
        <v>0</v>
      </c>
    </row>
    <row r="6367" ht="15.75" customHeight="1">
      <c r="A6367" s="14">
        <v>45439.0</v>
      </c>
      <c r="B6367" s="15"/>
      <c r="C6367" s="15">
        <v>5.13</v>
      </c>
      <c r="D6367" s="15"/>
      <c r="E6367" s="15">
        <v>4.9</v>
      </c>
      <c r="F6367" s="15" t="str">
        <f t="shared" si="1"/>
        <v/>
      </c>
      <c r="G6367" s="15">
        <f t="shared" si="2"/>
        <v>5.13</v>
      </c>
      <c r="H6367" s="16">
        <v>0.0</v>
      </c>
      <c r="I6367" s="15" t="str">
        <f t="shared" si="3"/>
        <v/>
      </c>
      <c r="J6367" s="15">
        <v>12.36</v>
      </c>
      <c r="K6367" s="16">
        <f>IF(COUNTIFS(Release_Calendar!$A$2:$A$755,"US_CPI",Release_Calendar!$B$2:$B$755,$A6367)&gt;0,1,0)</f>
        <v>0</v>
      </c>
      <c r="L6367" s="16">
        <f>IF(COUNTIFS(Release_Calendar!$A$2:$A$755,"US_NFP",Release_Calendar!$B$2:$B$755,$A6367)&gt;0,1,0)</f>
        <v>0</v>
      </c>
      <c r="M6367" s="16">
        <f>IF($A6367&lt;Notes!$B$5,"",IF(COUNTIFS(Release_Calendar!$A$2:$A$755,"NZ_CPI",Release_Calendar!$B$2:$B$755,$A6367)&gt;0,1,0))</f>
        <v>0</v>
      </c>
      <c r="N6367" s="16">
        <f>IF($A6367&lt;Notes!$B$5,"",IF(COUNTIFS(Release_Calendar!$A$2:$A$755,"NZ_GDP",Release_Calendar!$B$2:$B$755,$A6367)&gt;0,1,0))</f>
        <v>0</v>
      </c>
      <c r="O6367" s="16">
        <f>IF($A6367&lt;Notes!$B$5,"",IF(COUNTIFS(Release_Calendar!$A$2:$A$755,"NZ_LABOUR",Release_Calendar!$B$2:$B$755,$A6367)&gt;0,1,0))</f>
        <v>0</v>
      </c>
      <c r="P6367" s="16">
        <f t="shared" si="4"/>
        <v>0</v>
      </c>
    </row>
    <row r="6368" ht="15.75" customHeight="1">
      <c r="A6368" s="14">
        <v>45440.0</v>
      </c>
      <c r="B6368" s="15">
        <v>4.94</v>
      </c>
      <c r="C6368" s="15">
        <v>5.15</v>
      </c>
      <c r="D6368" s="15"/>
      <c r="E6368" s="15">
        <v>4.93</v>
      </c>
      <c r="F6368" s="15">
        <f t="shared" si="1"/>
        <v>0.21</v>
      </c>
      <c r="G6368" s="15">
        <f t="shared" si="2"/>
        <v>5.15</v>
      </c>
      <c r="H6368" s="16">
        <v>0.0</v>
      </c>
      <c r="I6368" s="15">
        <f t="shared" si="3"/>
        <v>0.21</v>
      </c>
      <c r="J6368" s="15">
        <v>12.92</v>
      </c>
      <c r="K6368" s="16">
        <f>IF(COUNTIFS(Release_Calendar!$A$2:$A$755,"US_CPI",Release_Calendar!$B$2:$B$755,$A6368)&gt;0,1,0)</f>
        <v>0</v>
      </c>
      <c r="L6368" s="16">
        <f>IF(COUNTIFS(Release_Calendar!$A$2:$A$755,"US_NFP",Release_Calendar!$B$2:$B$755,$A6368)&gt;0,1,0)</f>
        <v>0</v>
      </c>
      <c r="M6368" s="16">
        <f>IF($A6368&lt;Notes!$B$5,"",IF(COUNTIFS(Release_Calendar!$A$2:$A$755,"NZ_CPI",Release_Calendar!$B$2:$B$755,$A6368)&gt;0,1,0))</f>
        <v>0</v>
      </c>
      <c r="N6368" s="16">
        <f>IF($A6368&lt;Notes!$B$5,"",IF(COUNTIFS(Release_Calendar!$A$2:$A$755,"NZ_GDP",Release_Calendar!$B$2:$B$755,$A6368)&gt;0,1,0))</f>
        <v>0</v>
      </c>
      <c r="O6368" s="16">
        <f>IF($A6368&lt;Notes!$B$5,"",IF(COUNTIFS(Release_Calendar!$A$2:$A$755,"NZ_LABOUR",Release_Calendar!$B$2:$B$755,$A6368)&gt;0,1,0))</f>
        <v>0</v>
      </c>
      <c r="P6368" s="16">
        <f t="shared" si="4"/>
        <v>0</v>
      </c>
    </row>
    <row r="6369" ht="15.75" customHeight="1">
      <c r="A6369" s="14">
        <v>45441.0</v>
      </c>
      <c r="B6369" s="15">
        <v>4.96</v>
      </c>
      <c r="C6369" s="15">
        <v>5.19</v>
      </c>
      <c r="D6369" s="15"/>
      <c r="E6369" s="15">
        <v>4.99</v>
      </c>
      <c r="F6369" s="15">
        <f t="shared" si="1"/>
        <v>0.23</v>
      </c>
      <c r="G6369" s="15">
        <f t="shared" si="2"/>
        <v>5.19</v>
      </c>
      <c r="H6369" s="16">
        <v>0.0</v>
      </c>
      <c r="I6369" s="15">
        <f t="shared" si="3"/>
        <v>0.23</v>
      </c>
      <c r="J6369" s="15">
        <v>14.28</v>
      </c>
      <c r="K6369" s="16">
        <f>IF(COUNTIFS(Release_Calendar!$A$2:$A$755,"US_CPI",Release_Calendar!$B$2:$B$755,$A6369)&gt;0,1,0)</f>
        <v>0</v>
      </c>
      <c r="L6369" s="16">
        <f>IF(COUNTIFS(Release_Calendar!$A$2:$A$755,"US_NFP",Release_Calendar!$B$2:$B$755,$A6369)&gt;0,1,0)</f>
        <v>0</v>
      </c>
      <c r="M6369" s="16">
        <f>IF($A6369&lt;Notes!$B$5,"",IF(COUNTIFS(Release_Calendar!$A$2:$A$755,"NZ_CPI",Release_Calendar!$B$2:$B$755,$A6369)&gt;0,1,0))</f>
        <v>0</v>
      </c>
      <c r="N6369" s="16">
        <f>IF($A6369&lt;Notes!$B$5,"",IF(COUNTIFS(Release_Calendar!$A$2:$A$755,"NZ_GDP",Release_Calendar!$B$2:$B$755,$A6369)&gt;0,1,0))</f>
        <v>0</v>
      </c>
      <c r="O6369" s="16">
        <f>IF($A6369&lt;Notes!$B$5,"",IF(COUNTIFS(Release_Calendar!$A$2:$A$755,"NZ_LABOUR",Release_Calendar!$B$2:$B$755,$A6369)&gt;0,1,0))</f>
        <v>0</v>
      </c>
      <c r="P6369" s="16">
        <f t="shared" si="4"/>
        <v>0</v>
      </c>
    </row>
    <row r="6370" ht="15.75" customHeight="1">
      <c r="A6370" s="14">
        <v>45442.0</v>
      </c>
      <c r="B6370" s="15">
        <v>4.92</v>
      </c>
      <c r="C6370" s="15">
        <v>5.14</v>
      </c>
      <c r="D6370" s="15"/>
      <c r="E6370" s="15">
        <v>4.95</v>
      </c>
      <c r="F6370" s="15">
        <f t="shared" si="1"/>
        <v>0.22</v>
      </c>
      <c r="G6370" s="15">
        <f t="shared" si="2"/>
        <v>5.14</v>
      </c>
      <c r="H6370" s="16">
        <v>0.0</v>
      </c>
      <c r="I6370" s="15">
        <f t="shared" si="3"/>
        <v>0.22</v>
      </c>
      <c r="J6370" s="15">
        <v>14.47</v>
      </c>
      <c r="K6370" s="16">
        <f>IF(COUNTIFS(Release_Calendar!$A$2:$A$755,"US_CPI",Release_Calendar!$B$2:$B$755,$A6370)&gt;0,1,0)</f>
        <v>0</v>
      </c>
      <c r="L6370" s="16">
        <f>IF(COUNTIFS(Release_Calendar!$A$2:$A$755,"US_NFP",Release_Calendar!$B$2:$B$755,$A6370)&gt;0,1,0)</f>
        <v>0</v>
      </c>
      <c r="M6370" s="16">
        <f>IF($A6370&lt;Notes!$B$5,"",IF(COUNTIFS(Release_Calendar!$A$2:$A$755,"NZ_CPI",Release_Calendar!$B$2:$B$755,$A6370)&gt;0,1,0))</f>
        <v>0</v>
      </c>
      <c r="N6370" s="16">
        <f>IF($A6370&lt;Notes!$B$5,"",IF(COUNTIFS(Release_Calendar!$A$2:$A$755,"NZ_GDP",Release_Calendar!$B$2:$B$755,$A6370)&gt;0,1,0))</f>
        <v>0</v>
      </c>
      <c r="O6370" s="16">
        <f>IF($A6370&lt;Notes!$B$5,"",IF(COUNTIFS(Release_Calendar!$A$2:$A$755,"NZ_LABOUR",Release_Calendar!$B$2:$B$755,$A6370)&gt;0,1,0))</f>
        <v>0</v>
      </c>
      <c r="P6370" s="16">
        <f t="shared" si="4"/>
        <v>0</v>
      </c>
    </row>
    <row r="6371" ht="15.75" customHeight="1">
      <c r="A6371" s="14">
        <v>45443.0</v>
      </c>
      <c r="B6371" s="15">
        <v>4.89</v>
      </c>
      <c r="C6371" s="15">
        <v>5.09</v>
      </c>
      <c r="D6371" s="15"/>
      <c r="E6371" s="15">
        <v>4.91</v>
      </c>
      <c r="F6371" s="15">
        <f t="shared" si="1"/>
        <v>0.2</v>
      </c>
      <c r="G6371" s="15">
        <f t="shared" si="2"/>
        <v>5.09</v>
      </c>
      <c r="H6371" s="16">
        <v>0.0</v>
      </c>
      <c r="I6371" s="15">
        <f t="shared" si="3"/>
        <v>0.2</v>
      </c>
      <c r="J6371" s="15">
        <v>12.92</v>
      </c>
      <c r="K6371" s="16">
        <f>IF(COUNTIFS(Release_Calendar!$A$2:$A$755,"US_CPI",Release_Calendar!$B$2:$B$755,$A6371)&gt;0,1,0)</f>
        <v>0</v>
      </c>
      <c r="L6371" s="16">
        <f>IF(COUNTIFS(Release_Calendar!$A$2:$A$755,"US_NFP",Release_Calendar!$B$2:$B$755,$A6371)&gt;0,1,0)</f>
        <v>0</v>
      </c>
      <c r="M6371" s="16">
        <f>IF($A6371&lt;Notes!$B$5,"",IF(COUNTIFS(Release_Calendar!$A$2:$A$755,"NZ_CPI",Release_Calendar!$B$2:$B$755,$A6371)&gt;0,1,0))</f>
        <v>0</v>
      </c>
      <c r="N6371" s="16">
        <f>IF($A6371&lt;Notes!$B$5,"",IF(COUNTIFS(Release_Calendar!$A$2:$A$755,"NZ_GDP",Release_Calendar!$B$2:$B$755,$A6371)&gt;0,1,0))</f>
        <v>0</v>
      </c>
      <c r="O6371" s="16">
        <f>IF($A6371&lt;Notes!$B$5,"",IF(COUNTIFS(Release_Calendar!$A$2:$A$755,"NZ_LABOUR",Release_Calendar!$B$2:$B$755,$A6371)&gt;0,1,0))</f>
        <v>0</v>
      </c>
      <c r="P6371" s="16">
        <f t="shared" si="4"/>
        <v>0</v>
      </c>
    </row>
    <row r="6372" ht="15.75" customHeight="1">
      <c r="A6372" s="14">
        <v>45446.0</v>
      </c>
      <c r="B6372" s="15">
        <v>4.82</v>
      </c>
      <c r="C6372" s="15"/>
      <c r="D6372" s="15"/>
      <c r="E6372" s="15"/>
      <c r="F6372" s="15" t="str">
        <f t="shared" si="1"/>
        <v/>
      </c>
      <c r="G6372" s="15" t="str">
        <f t="shared" si="2"/>
        <v/>
      </c>
      <c r="H6372" s="16">
        <v>0.0</v>
      </c>
      <c r="I6372" s="15" t="str">
        <f t="shared" si="3"/>
        <v/>
      </c>
      <c r="J6372" s="15">
        <v>13.11</v>
      </c>
      <c r="K6372" s="16">
        <f>IF(COUNTIFS(Release_Calendar!$A$2:$A$755,"US_CPI",Release_Calendar!$B$2:$B$755,$A6372)&gt;0,1,0)</f>
        <v>0</v>
      </c>
      <c r="L6372" s="16">
        <f>IF(COUNTIFS(Release_Calendar!$A$2:$A$755,"US_NFP",Release_Calendar!$B$2:$B$755,$A6372)&gt;0,1,0)</f>
        <v>0</v>
      </c>
      <c r="M6372" s="16">
        <f>IF($A6372&lt;Notes!$B$5,"",IF(COUNTIFS(Release_Calendar!$A$2:$A$755,"NZ_CPI",Release_Calendar!$B$2:$B$755,$A6372)&gt;0,1,0))</f>
        <v>0</v>
      </c>
      <c r="N6372" s="16">
        <f>IF($A6372&lt;Notes!$B$5,"",IF(COUNTIFS(Release_Calendar!$A$2:$A$755,"NZ_GDP",Release_Calendar!$B$2:$B$755,$A6372)&gt;0,1,0))</f>
        <v>0</v>
      </c>
      <c r="O6372" s="16">
        <f>IF($A6372&lt;Notes!$B$5,"",IF(COUNTIFS(Release_Calendar!$A$2:$A$755,"NZ_LABOUR",Release_Calendar!$B$2:$B$755,$A6372)&gt;0,1,0))</f>
        <v>0</v>
      </c>
      <c r="P6372" s="16">
        <f t="shared" si="4"/>
        <v>0</v>
      </c>
    </row>
    <row r="6373" ht="15.75" customHeight="1">
      <c r="A6373" s="14">
        <v>45447.0</v>
      </c>
      <c r="B6373" s="15">
        <v>4.77</v>
      </c>
      <c r="C6373" s="15">
        <v>5.06</v>
      </c>
      <c r="D6373" s="15"/>
      <c r="E6373" s="15">
        <v>4.88</v>
      </c>
      <c r="F6373" s="15">
        <f t="shared" si="1"/>
        <v>0.29</v>
      </c>
      <c r="G6373" s="15">
        <f t="shared" si="2"/>
        <v>5.06</v>
      </c>
      <c r="H6373" s="16">
        <v>0.0</v>
      </c>
      <c r="I6373" s="15">
        <f t="shared" si="3"/>
        <v>0.29</v>
      </c>
      <c r="J6373" s="15">
        <v>13.16</v>
      </c>
      <c r="K6373" s="16">
        <f>IF(COUNTIFS(Release_Calendar!$A$2:$A$755,"US_CPI",Release_Calendar!$B$2:$B$755,$A6373)&gt;0,1,0)</f>
        <v>0</v>
      </c>
      <c r="L6373" s="16">
        <f>IF(COUNTIFS(Release_Calendar!$A$2:$A$755,"US_NFP",Release_Calendar!$B$2:$B$755,$A6373)&gt;0,1,0)</f>
        <v>0</v>
      </c>
      <c r="M6373" s="16">
        <f>IF($A6373&lt;Notes!$B$5,"",IF(COUNTIFS(Release_Calendar!$A$2:$A$755,"NZ_CPI",Release_Calendar!$B$2:$B$755,$A6373)&gt;0,1,0))</f>
        <v>0</v>
      </c>
      <c r="N6373" s="16">
        <f>IF($A6373&lt;Notes!$B$5,"",IF(COUNTIFS(Release_Calendar!$A$2:$A$755,"NZ_GDP",Release_Calendar!$B$2:$B$755,$A6373)&gt;0,1,0))</f>
        <v>0</v>
      </c>
      <c r="O6373" s="16">
        <f>IF($A6373&lt;Notes!$B$5,"",IF(COUNTIFS(Release_Calendar!$A$2:$A$755,"NZ_LABOUR",Release_Calendar!$B$2:$B$755,$A6373)&gt;0,1,0))</f>
        <v>0</v>
      </c>
      <c r="P6373" s="16">
        <f t="shared" si="4"/>
        <v>0</v>
      </c>
    </row>
    <row r="6374" ht="15.75" customHeight="1">
      <c r="A6374" s="14">
        <v>45448.0</v>
      </c>
      <c r="B6374" s="15">
        <v>4.72</v>
      </c>
      <c r="C6374" s="15">
        <v>5.04</v>
      </c>
      <c r="D6374" s="15"/>
      <c r="E6374" s="15">
        <v>4.85</v>
      </c>
      <c r="F6374" s="15">
        <f t="shared" si="1"/>
        <v>0.32</v>
      </c>
      <c r="G6374" s="15">
        <f t="shared" si="2"/>
        <v>5.04</v>
      </c>
      <c r="H6374" s="16">
        <v>0.0</v>
      </c>
      <c r="I6374" s="15">
        <f t="shared" si="3"/>
        <v>0.32</v>
      </c>
      <c r="J6374" s="15">
        <v>12.63</v>
      </c>
      <c r="K6374" s="16">
        <f>IF(COUNTIFS(Release_Calendar!$A$2:$A$755,"US_CPI",Release_Calendar!$B$2:$B$755,$A6374)&gt;0,1,0)</f>
        <v>0</v>
      </c>
      <c r="L6374" s="16">
        <f>IF(COUNTIFS(Release_Calendar!$A$2:$A$755,"US_NFP",Release_Calendar!$B$2:$B$755,$A6374)&gt;0,1,0)</f>
        <v>0</v>
      </c>
      <c r="M6374" s="16">
        <f>IF($A6374&lt;Notes!$B$5,"",IF(COUNTIFS(Release_Calendar!$A$2:$A$755,"NZ_CPI",Release_Calendar!$B$2:$B$755,$A6374)&gt;0,1,0))</f>
        <v>0</v>
      </c>
      <c r="N6374" s="16">
        <f>IF($A6374&lt;Notes!$B$5,"",IF(COUNTIFS(Release_Calendar!$A$2:$A$755,"NZ_GDP",Release_Calendar!$B$2:$B$755,$A6374)&gt;0,1,0))</f>
        <v>0</v>
      </c>
      <c r="O6374" s="16">
        <f>IF($A6374&lt;Notes!$B$5,"",IF(COUNTIFS(Release_Calendar!$A$2:$A$755,"NZ_LABOUR",Release_Calendar!$B$2:$B$755,$A6374)&gt;0,1,0))</f>
        <v>0</v>
      </c>
      <c r="P6374" s="16">
        <f t="shared" si="4"/>
        <v>0</v>
      </c>
    </row>
    <row r="6375" ht="15.75" customHeight="1">
      <c r="A6375" s="14">
        <v>45449.0</v>
      </c>
      <c r="B6375" s="15">
        <v>4.72</v>
      </c>
      <c r="C6375" s="15">
        <v>5.0</v>
      </c>
      <c r="D6375" s="15"/>
      <c r="E6375" s="15">
        <v>4.82</v>
      </c>
      <c r="F6375" s="15">
        <f t="shared" si="1"/>
        <v>0.28</v>
      </c>
      <c r="G6375" s="15">
        <f t="shared" si="2"/>
        <v>5</v>
      </c>
      <c r="H6375" s="16">
        <v>0.0</v>
      </c>
      <c r="I6375" s="15">
        <f t="shared" si="3"/>
        <v>0.28</v>
      </c>
      <c r="J6375" s="15">
        <v>12.58</v>
      </c>
      <c r="K6375" s="16">
        <f>IF(COUNTIFS(Release_Calendar!$A$2:$A$755,"US_CPI",Release_Calendar!$B$2:$B$755,$A6375)&gt;0,1,0)</f>
        <v>0</v>
      </c>
      <c r="L6375" s="16">
        <f>IF(COUNTIFS(Release_Calendar!$A$2:$A$755,"US_NFP",Release_Calendar!$B$2:$B$755,$A6375)&gt;0,1,0)</f>
        <v>0</v>
      </c>
      <c r="M6375" s="16">
        <f>IF($A6375&lt;Notes!$B$5,"",IF(COUNTIFS(Release_Calendar!$A$2:$A$755,"NZ_CPI",Release_Calendar!$B$2:$B$755,$A6375)&gt;0,1,0))</f>
        <v>0</v>
      </c>
      <c r="N6375" s="16">
        <f>IF($A6375&lt;Notes!$B$5,"",IF(COUNTIFS(Release_Calendar!$A$2:$A$755,"NZ_GDP",Release_Calendar!$B$2:$B$755,$A6375)&gt;0,1,0))</f>
        <v>0</v>
      </c>
      <c r="O6375" s="16">
        <f>IF($A6375&lt;Notes!$B$5,"",IF(COUNTIFS(Release_Calendar!$A$2:$A$755,"NZ_LABOUR",Release_Calendar!$B$2:$B$755,$A6375)&gt;0,1,0))</f>
        <v>0</v>
      </c>
      <c r="P6375" s="16">
        <f t="shared" si="4"/>
        <v>0</v>
      </c>
    </row>
    <row r="6376" ht="15.75" customHeight="1">
      <c r="A6376" s="14">
        <v>45450.0</v>
      </c>
      <c r="B6376" s="15">
        <v>4.87</v>
      </c>
      <c r="C6376" s="15">
        <v>5.01</v>
      </c>
      <c r="D6376" s="15"/>
      <c r="E6376" s="15">
        <v>4.82</v>
      </c>
      <c r="F6376" s="15">
        <f t="shared" si="1"/>
        <v>0.14</v>
      </c>
      <c r="G6376" s="15">
        <f t="shared" si="2"/>
        <v>5.01</v>
      </c>
      <c r="H6376" s="16">
        <v>0.0</v>
      </c>
      <c r="I6376" s="15">
        <f t="shared" si="3"/>
        <v>0.14</v>
      </c>
      <c r="J6376" s="15">
        <v>12.22</v>
      </c>
      <c r="K6376" s="16">
        <f>IF(COUNTIFS(Release_Calendar!$A$2:$A$755,"US_CPI",Release_Calendar!$B$2:$B$755,$A6376)&gt;0,1,0)</f>
        <v>0</v>
      </c>
      <c r="L6376" s="16">
        <f>IF(COUNTIFS(Release_Calendar!$A$2:$A$755,"US_NFP",Release_Calendar!$B$2:$B$755,$A6376)&gt;0,1,0)</f>
        <v>1</v>
      </c>
      <c r="M6376" s="16">
        <f>IF($A6376&lt;Notes!$B$5,"",IF(COUNTIFS(Release_Calendar!$A$2:$A$755,"NZ_CPI",Release_Calendar!$B$2:$B$755,$A6376)&gt;0,1,0))</f>
        <v>0</v>
      </c>
      <c r="N6376" s="16">
        <f>IF($A6376&lt;Notes!$B$5,"",IF(COUNTIFS(Release_Calendar!$A$2:$A$755,"NZ_GDP",Release_Calendar!$B$2:$B$755,$A6376)&gt;0,1,0))</f>
        <v>0</v>
      </c>
      <c r="O6376" s="16">
        <f>IF($A6376&lt;Notes!$B$5,"",IF(COUNTIFS(Release_Calendar!$A$2:$A$755,"NZ_LABOUR",Release_Calendar!$B$2:$B$755,$A6376)&gt;0,1,0))</f>
        <v>0</v>
      </c>
      <c r="P6376" s="16">
        <f t="shared" si="4"/>
        <v>1</v>
      </c>
    </row>
    <row r="6377" ht="15.75" customHeight="1">
      <c r="A6377" s="14">
        <v>45453.0</v>
      </c>
      <c r="B6377" s="15">
        <v>4.87</v>
      </c>
      <c r="C6377" s="15">
        <v>5.08</v>
      </c>
      <c r="D6377" s="15"/>
      <c r="E6377" s="15">
        <v>4.91</v>
      </c>
      <c r="F6377" s="15">
        <f t="shared" si="1"/>
        <v>0.21</v>
      </c>
      <c r="G6377" s="15">
        <f t="shared" si="2"/>
        <v>5.08</v>
      </c>
      <c r="H6377" s="16">
        <v>0.0</v>
      </c>
      <c r="I6377" s="15">
        <f t="shared" si="3"/>
        <v>0.21</v>
      </c>
      <c r="J6377" s="15">
        <v>12.74</v>
      </c>
      <c r="K6377" s="16">
        <f>IF(COUNTIFS(Release_Calendar!$A$2:$A$755,"US_CPI",Release_Calendar!$B$2:$B$755,$A6377)&gt;0,1,0)</f>
        <v>0</v>
      </c>
      <c r="L6377" s="16">
        <f>IF(COUNTIFS(Release_Calendar!$A$2:$A$755,"US_NFP",Release_Calendar!$B$2:$B$755,$A6377)&gt;0,1,0)</f>
        <v>0</v>
      </c>
      <c r="M6377" s="16">
        <f>IF($A6377&lt;Notes!$B$5,"",IF(COUNTIFS(Release_Calendar!$A$2:$A$755,"NZ_CPI",Release_Calendar!$B$2:$B$755,$A6377)&gt;0,1,0))</f>
        <v>0</v>
      </c>
      <c r="N6377" s="16">
        <f>IF($A6377&lt;Notes!$B$5,"",IF(COUNTIFS(Release_Calendar!$A$2:$A$755,"NZ_GDP",Release_Calendar!$B$2:$B$755,$A6377)&gt;0,1,0))</f>
        <v>0</v>
      </c>
      <c r="O6377" s="16">
        <f>IF($A6377&lt;Notes!$B$5,"",IF(COUNTIFS(Release_Calendar!$A$2:$A$755,"NZ_LABOUR",Release_Calendar!$B$2:$B$755,$A6377)&gt;0,1,0))</f>
        <v>0</v>
      </c>
      <c r="P6377" s="16">
        <f t="shared" si="4"/>
        <v>0</v>
      </c>
    </row>
    <row r="6378" ht="15.75" customHeight="1">
      <c r="A6378" s="14">
        <v>45454.0</v>
      </c>
      <c r="B6378" s="15">
        <v>4.81</v>
      </c>
      <c r="C6378" s="15">
        <v>5.04</v>
      </c>
      <c r="D6378" s="15"/>
      <c r="E6378" s="15">
        <v>4.9</v>
      </c>
      <c r="F6378" s="15">
        <f t="shared" si="1"/>
        <v>0.23</v>
      </c>
      <c r="G6378" s="15">
        <f t="shared" si="2"/>
        <v>5.04</v>
      </c>
      <c r="H6378" s="16">
        <v>0.0</v>
      </c>
      <c r="I6378" s="15">
        <f t="shared" si="3"/>
        <v>0.23</v>
      </c>
      <c r="J6378" s="15">
        <v>12.85</v>
      </c>
      <c r="K6378" s="16">
        <f>IF(COUNTIFS(Release_Calendar!$A$2:$A$755,"US_CPI",Release_Calendar!$B$2:$B$755,$A6378)&gt;0,1,0)</f>
        <v>0</v>
      </c>
      <c r="L6378" s="16">
        <f>IF(COUNTIFS(Release_Calendar!$A$2:$A$755,"US_NFP",Release_Calendar!$B$2:$B$755,$A6378)&gt;0,1,0)</f>
        <v>0</v>
      </c>
      <c r="M6378" s="16">
        <f>IF($A6378&lt;Notes!$B$5,"",IF(COUNTIFS(Release_Calendar!$A$2:$A$755,"NZ_CPI",Release_Calendar!$B$2:$B$755,$A6378)&gt;0,1,0))</f>
        <v>0</v>
      </c>
      <c r="N6378" s="16">
        <f>IF($A6378&lt;Notes!$B$5,"",IF(COUNTIFS(Release_Calendar!$A$2:$A$755,"NZ_GDP",Release_Calendar!$B$2:$B$755,$A6378)&gt;0,1,0))</f>
        <v>0</v>
      </c>
      <c r="O6378" s="16">
        <f>IF($A6378&lt;Notes!$B$5,"",IF(COUNTIFS(Release_Calendar!$A$2:$A$755,"NZ_LABOUR",Release_Calendar!$B$2:$B$755,$A6378)&gt;0,1,0))</f>
        <v>0</v>
      </c>
      <c r="P6378" s="16">
        <f t="shared" si="4"/>
        <v>0</v>
      </c>
    </row>
    <row r="6379" ht="15.75" customHeight="1">
      <c r="A6379" s="14">
        <v>45455.0</v>
      </c>
      <c r="B6379" s="15">
        <v>4.75</v>
      </c>
      <c r="C6379" s="15">
        <v>5.04</v>
      </c>
      <c r="D6379" s="15"/>
      <c r="E6379" s="15">
        <v>4.89</v>
      </c>
      <c r="F6379" s="15">
        <f t="shared" si="1"/>
        <v>0.29</v>
      </c>
      <c r="G6379" s="15">
        <f t="shared" si="2"/>
        <v>5.04</v>
      </c>
      <c r="H6379" s="16">
        <v>0.0</v>
      </c>
      <c r="I6379" s="15">
        <f t="shared" si="3"/>
        <v>0.29</v>
      </c>
      <c r="J6379" s="15">
        <v>12.04</v>
      </c>
      <c r="K6379" s="16">
        <f>IF(COUNTIFS(Release_Calendar!$A$2:$A$755,"US_CPI",Release_Calendar!$B$2:$B$755,$A6379)&gt;0,1,0)</f>
        <v>1</v>
      </c>
      <c r="L6379" s="16">
        <f>IF(COUNTIFS(Release_Calendar!$A$2:$A$755,"US_NFP",Release_Calendar!$B$2:$B$755,$A6379)&gt;0,1,0)</f>
        <v>0</v>
      </c>
      <c r="M6379" s="16">
        <f>IF($A6379&lt;Notes!$B$5,"",IF(COUNTIFS(Release_Calendar!$A$2:$A$755,"NZ_CPI",Release_Calendar!$B$2:$B$755,$A6379)&gt;0,1,0))</f>
        <v>0</v>
      </c>
      <c r="N6379" s="16">
        <f>IF($A6379&lt;Notes!$B$5,"",IF(COUNTIFS(Release_Calendar!$A$2:$A$755,"NZ_GDP",Release_Calendar!$B$2:$B$755,$A6379)&gt;0,1,0))</f>
        <v>0</v>
      </c>
      <c r="O6379" s="16">
        <f>IF($A6379&lt;Notes!$B$5,"",IF(COUNTIFS(Release_Calendar!$A$2:$A$755,"NZ_LABOUR",Release_Calendar!$B$2:$B$755,$A6379)&gt;0,1,0))</f>
        <v>0</v>
      </c>
      <c r="P6379" s="16">
        <f t="shared" si="4"/>
        <v>1</v>
      </c>
    </row>
    <row r="6380" ht="15.75" customHeight="1">
      <c r="A6380" s="14">
        <v>45456.0</v>
      </c>
      <c r="B6380" s="15">
        <v>4.68</v>
      </c>
      <c r="C6380" s="15">
        <v>4.99</v>
      </c>
      <c r="D6380" s="15"/>
      <c r="E6380" s="15">
        <v>4.83</v>
      </c>
      <c r="F6380" s="15">
        <f t="shared" si="1"/>
        <v>0.31</v>
      </c>
      <c r="G6380" s="15">
        <f t="shared" si="2"/>
        <v>4.99</v>
      </c>
      <c r="H6380" s="16">
        <v>0.0</v>
      </c>
      <c r="I6380" s="15">
        <f t="shared" si="3"/>
        <v>0.31</v>
      </c>
      <c r="J6380" s="15">
        <v>11.94</v>
      </c>
      <c r="K6380" s="16">
        <f>IF(COUNTIFS(Release_Calendar!$A$2:$A$755,"US_CPI",Release_Calendar!$B$2:$B$755,$A6380)&gt;0,1,0)</f>
        <v>0</v>
      </c>
      <c r="L6380" s="16">
        <f>IF(COUNTIFS(Release_Calendar!$A$2:$A$755,"US_NFP",Release_Calendar!$B$2:$B$755,$A6380)&gt;0,1,0)</f>
        <v>0</v>
      </c>
      <c r="M6380" s="16">
        <f>IF($A6380&lt;Notes!$B$5,"",IF(COUNTIFS(Release_Calendar!$A$2:$A$755,"NZ_CPI",Release_Calendar!$B$2:$B$755,$A6380)&gt;0,1,0))</f>
        <v>0</v>
      </c>
      <c r="N6380" s="16">
        <f>IF($A6380&lt;Notes!$B$5,"",IF(COUNTIFS(Release_Calendar!$A$2:$A$755,"NZ_GDP",Release_Calendar!$B$2:$B$755,$A6380)&gt;0,1,0))</f>
        <v>0</v>
      </c>
      <c r="O6380" s="16">
        <f>IF($A6380&lt;Notes!$B$5,"",IF(COUNTIFS(Release_Calendar!$A$2:$A$755,"NZ_LABOUR",Release_Calendar!$B$2:$B$755,$A6380)&gt;0,1,0))</f>
        <v>0</v>
      </c>
      <c r="P6380" s="16">
        <f t="shared" si="4"/>
        <v>0</v>
      </c>
    </row>
    <row r="6381" ht="15.75" customHeight="1">
      <c r="A6381" s="14">
        <v>45457.0</v>
      </c>
      <c r="B6381" s="15">
        <v>4.67</v>
      </c>
      <c r="C6381" s="15">
        <v>4.93</v>
      </c>
      <c r="D6381" s="15"/>
      <c r="E6381" s="15">
        <v>4.77</v>
      </c>
      <c r="F6381" s="15">
        <f t="shared" si="1"/>
        <v>0.26</v>
      </c>
      <c r="G6381" s="15">
        <f t="shared" si="2"/>
        <v>4.93</v>
      </c>
      <c r="H6381" s="16">
        <v>0.0</v>
      </c>
      <c r="I6381" s="15">
        <f t="shared" si="3"/>
        <v>0.26</v>
      </c>
      <c r="J6381" s="15">
        <v>12.66</v>
      </c>
      <c r="K6381" s="16">
        <f>IF(COUNTIFS(Release_Calendar!$A$2:$A$755,"US_CPI",Release_Calendar!$B$2:$B$755,$A6381)&gt;0,1,0)</f>
        <v>0</v>
      </c>
      <c r="L6381" s="16">
        <f>IF(COUNTIFS(Release_Calendar!$A$2:$A$755,"US_NFP",Release_Calendar!$B$2:$B$755,$A6381)&gt;0,1,0)</f>
        <v>0</v>
      </c>
      <c r="M6381" s="16">
        <f>IF($A6381&lt;Notes!$B$5,"",IF(COUNTIFS(Release_Calendar!$A$2:$A$755,"NZ_CPI",Release_Calendar!$B$2:$B$755,$A6381)&gt;0,1,0))</f>
        <v>0</v>
      </c>
      <c r="N6381" s="16">
        <f>IF($A6381&lt;Notes!$B$5,"",IF(COUNTIFS(Release_Calendar!$A$2:$A$755,"NZ_GDP",Release_Calendar!$B$2:$B$755,$A6381)&gt;0,1,0))</f>
        <v>0</v>
      </c>
      <c r="O6381" s="16">
        <f>IF($A6381&lt;Notes!$B$5,"",IF(COUNTIFS(Release_Calendar!$A$2:$A$755,"NZ_LABOUR",Release_Calendar!$B$2:$B$755,$A6381)&gt;0,1,0))</f>
        <v>0</v>
      </c>
      <c r="P6381" s="16">
        <f t="shared" si="4"/>
        <v>0</v>
      </c>
    </row>
    <row r="6382" ht="15.75" customHeight="1">
      <c r="A6382" s="14">
        <v>45460.0</v>
      </c>
      <c r="B6382" s="15">
        <v>4.75</v>
      </c>
      <c r="C6382" s="15">
        <v>4.93</v>
      </c>
      <c r="D6382" s="15"/>
      <c r="E6382" s="15">
        <v>4.75</v>
      </c>
      <c r="F6382" s="15">
        <f t="shared" si="1"/>
        <v>0.18</v>
      </c>
      <c r="G6382" s="15">
        <f t="shared" si="2"/>
        <v>4.93</v>
      </c>
      <c r="H6382" s="16">
        <v>0.0</v>
      </c>
      <c r="I6382" s="15">
        <f t="shared" si="3"/>
        <v>0.18</v>
      </c>
      <c r="J6382" s="15">
        <v>12.75</v>
      </c>
      <c r="K6382" s="16">
        <f>IF(COUNTIFS(Release_Calendar!$A$2:$A$755,"US_CPI",Release_Calendar!$B$2:$B$755,$A6382)&gt;0,1,0)</f>
        <v>0</v>
      </c>
      <c r="L6382" s="16">
        <f>IF(COUNTIFS(Release_Calendar!$A$2:$A$755,"US_NFP",Release_Calendar!$B$2:$B$755,$A6382)&gt;0,1,0)</f>
        <v>0</v>
      </c>
      <c r="M6382" s="16">
        <f>IF($A6382&lt;Notes!$B$5,"",IF(COUNTIFS(Release_Calendar!$A$2:$A$755,"NZ_CPI",Release_Calendar!$B$2:$B$755,$A6382)&gt;0,1,0))</f>
        <v>0</v>
      </c>
      <c r="N6382" s="16">
        <f>IF($A6382&lt;Notes!$B$5,"",IF(COUNTIFS(Release_Calendar!$A$2:$A$755,"NZ_GDP",Release_Calendar!$B$2:$B$755,$A6382)&gt;0,1,0))</f>
        <v>0</v>
      </c>
      <c r="O6382" s="16">
        <f>IF($A6382&lt;Notes!$B$5,"",IF(COUNTIFS(Release_Calendar!$A$2:$A$755,"NZ_LABOUR",Release_Calendar!$B$2:$B$755,$A6382)&gt;0,1,0))</f>
        <v>0</v>
      </c>
      <c r="P6382" s="16">
        <f t="shared" si="4"/>
        <v>0</v>
      </c>
    </row>
    <row r="6383" ht="15.75" customHeight="1">
      <c r="A6383" s="14">
        <v>45461.0</v>
      </c>
      <c r="B6383" s="15">
        <v>4.69</v>
      </c>
      <c r="C6383" s="15">
        <v>4.93</v>
      </c>
      <c r="D6383" s="15"/>
      <c r="E6383" s="15">
        <v>4.76</v>
      </c>
      <c r="F6383" s="15">
        <f t="shared" si="1"/>
        <v>0.24</v>
      </c>
      <c r="G6383" s="15">
        <f t="shared" si="2"/>
        <v>4.93</v>
      </c>
      <c r="H6383" s="16">
        <v>0.0</v>
      </c>
      <c r="I6383" s="15">
        <f t="shared" si="3"/>
        <v>0.24</v>
      </c>
      <c r="J6383" s="15">
        <v>12.3</v>
      </c>
      <c r="K6383" s="16">
        <f>IF(COUNTIFS(Release_Calendar!$A$2:$A$755,"US_CPI",Release_Calendar!$B$2:$B$755,$A6383)&gt;0,1,0)</f>
        <v>0</v>
      </c>
      <c r="L6383" s="16">
        <f>IF(COUNTIFS(Release_Calendar!$A$2:$A$755,"US_NFP",Release_Calendar!$B$2:$B$755,$A6383)&gt;0,1,0)</f>
        <v>0</v>
      </c>
      <c r="M6383" s="16">
        <f>IF($A6383&lt;Notes!$B$5,"",IF(COUNTIFS(Release_Calendar!$A$2:$A$755,"NZ_CPI",Release_Calendar!$B$2:$B$755,$A6383)&gt;0,1,0))</f>
        <v>0</v>
      </c>
      <c r="N6383" s="16">
        <f>IF($A6383&lt;Notes!$B$5,"",IF(COUNTIFS(Release_Calendar!$A$2:$A$755,"NZ_GDP",Release_Calendar!$B$2:$B$755,$A6383)&gt;0,1,0))</f>
        <v>0</v>
      </c>
      <c r="O6383" s="16">
        <f>IF($A6383&lt;Notes!$B$5,"",IF(COUNTIFS(Release_Calendar!$A$2:$A$755,"NZ_LABOUR",Release_Calendar!$B$2:$B$755,$A6383)&gt;0,1,0))</f>
        <v>0</v>
      </c>
      <c r="P6383" s="16">
        <f t="shared" si="4"/>
        <v>0</v>
      </c>
    </row>
    <row r="6384" ht="15.75" customHeight="1">
      <c r="A6384" s="14">
        <v>45462.0</v>
      </c>
      <c r="B6384" s="15"/>
      <c r="C6384" s="15">
        <v>4.89</v>
      </c>
      <c r="D6384" s="15"/>
      <c r="E6384" s="15">
        <v>4.74</v>
      </c>
      <c r="F6384" s="15" t="str">
        <f t="shared" si="1"/>
        <v/>
      </c>
      <c r="G6384" s="15">
        <f t="shared" si="2"/>
        <v>4.89</v>
      </c>
      <c r="H6384" s="16">
        <v>0.0</v>
      </c>
      <c r="I6384" s="15" t="str">
        <f t="shared" si="3"/>
        <v/>
      </c>
      <c r="J6384" s="15">
        <v>12.48</v>
      </c>
      <c r="K6384" s="16">
        <f>IF(COUNTIFS(Release_Calendar!$A$2:$A$755,"US_CPI",Release_Calendar!$B$2:$B$755,$A6384)&gt;0,1,0)</f>
        <v>0</v>
      </c>
      <c r="L6384" s="16">
        <f>IF(COUNTIFS(Release_Calendar!$A$2:$A$755,"US_NFP",Release_Calendar!$B$2:$B$755,$A6384)&gt;0,1,0)</f>
        <v>0</v>
      </c>
      <c r="M6384" s="16">
        <f>IF($A6384&lt;Notes!$B$5,"",IF(COUNTIFS(Release_Calendar!$A$2:$A$755,"NZ_CPI",Release_Calendar!$B$2:$B$755,$A6384)&gt;0,1,0))</f>
        <v>0</v>
      </c>
      <c r="N6384" s="16">
        <f>IF($A6384&lt;Notes!$B$5,"",IF(COUNTIFS(Release_Calendar!$A$2:$A$755,"NZ_GDP",Release_Calendar!$B$2:$B$755,$A6384)&gt;0,1,0))</f>
        <v>0</v>
      </c>
      <c r="O6384" s="16">
        <f>IF($A6384&lt;Notes!$B$5,"",IF(COUNTIFS(Release_Calendar!$A$2:$A$755,"NZ_LABOUR",Release_Calendar!$B$2:$B$755,$A6384)&gt;0,1,0))</f>
        <v>0</v>
      </c>
      <c r="P6384" s="16">
        <f t="shared" si="4"/>
        <v>0</v>
      </c>
    </row>
    <row r="6385" ht="15.75" customHeight="1">
      <c r="A6385" s="14">
        <v>45463.0</v>
      </c>
      <c r="B6385" s="15">
        <v>4.7</v>
      </c>
      <c r="C6385" s="15">
        <v>4.93</v>
      </c>
      <c r="D6385" s="15"/>
      <c r="E6385" s="15">
        <v>4.79</v>
      </c>
      <c r="F6385" s="15">
        <f t="shared" si="1"/>
        <v>0.23</v>
      </c>
      <c r="G6385" s="15">
        <f t="shared" si="2"/>
        <v>4.93</v>
      </c>
      <c r="H6385" s="16">
        <v>0.0</v>
      </c>
      <c r="I6385" s="15">
        <f t="shared" si="3"/>
        <v>0.23</v>
      </c>
      <c r="J6385" s="15">
        <v>13.28</v>
      </c>
      <c r="K6385" s="16">
        <f>IF(COUNTIFS(Release_Calendar!$A$2:$A$755,"US_CPI",Release_Calendar!$B$2:$B$755,$A6385)&gt;0,1,0)</f>
        <v>0</v>
      </c>
      <c r="L6385" s="16">
        <f>IF(COUNTIFS(Release_Calendar!$A$2:$A$755,"US_NFP",Release_Calendar!$B$2:$B$755,$A6385)&gt;0,1,0)</f>
        <v>0</v>
      </c>
      <c r="M6385" s="16">
        <f>IF($A6385&lt;Notes!$B$5,"",IF(COUNTIFS(Release_Calendar!$A$2:$A$755,"NZ_CPI",Release_Calendar!$B$2:$B$755,$A6385)&gt;0,1,0))</f>
        <v>0</v>
      </c>
      <c r="N6385" s="16">
        <f>IF($A6385&lt;Notes!$B$5,"",IF(COUNTIFS(Release_Calendar!$A$2:$A$755,"NZ_GDP",Release_Calendar!$B$2:$B$755,$A6385)&gt;0,1,0))</f>
        <v>1</v>
      </c>
      <c r="O6385" s="16">
        <f>IF($A6385&lt;Notes!$B$5,"",IF(COUNTIFS(Release_Calendar!$A$2:$A$755,"NZ_LABOUR",Release_Calendar!$B$2:$B$755,$A6385)&gt;0,1,0))</f>
        <v>0</v>
      </c>
      <c r="P6385" s="16">
        <f t="shared" si="4"/>
        <v>1</v>
      </c>
    </row>
    <row r="6386" ht="15.75" customHeight="1">
      <c r="A6386" s="14">
        <v>45464.0</v>
      </c>
      <c r="B6386" s="15">
        <v>4.7</v>
      </c>
      <c r="C6386" s="15">
        <v>4.94</v>
      </c>
      <c r="D6386" s="15"/>
      <c r="E6386" s="15">
        <v>4.81</v>
      </c>
      <c r="F6386" s="15">
        <f t="shared" si="1"/>
        <v>0.24</v>
      </c>
      <c r="G6386" s="15">
        <f t="shared" si="2"/>
        <v>4.94</v>
      </c>
      <c r="H6386" s="16">
        <v>0.0</v>
      </c>
      <c r="I6386" s="15">
        <f t="shared" si="3"/>
        <v>0.24</v>
      </c>
      <c r="J6386" s="15">
        <v>13.2</v>
      </c>
      <c r="K6386" s="16">
        <f>IF(COUNTIFS(Release_Calendar!$A$2:$A$755,"US_CPI",Release_Calendar!$B$2:$B$755,$A6386)&gt;0,1,0)</f>
        <v>0</v>
      </c>
      <c r="L6386" s="16">
        <f>IF(COUNTIFS(Release_Calendar!$A$2:$A$755,"US_NFP",Release_Calendar!$B$2:$B$755,$A6386)&gt;0,1,0)</f>
        <v>0</v>
      </c>
      <c r="M6386" s="16">
        <f>IF($A6386&lt;Notes!$B$5,"",IF(COUNTIFS(Release_Calendar!$A$2:$A$755,"NZ_CPI",Release_Calendar!$B$2:$B$755,$A6386)&gt;0,1,0))</f>
        <v>0</v>
      </c>
      <c r="N6386" s="16">
        <f>IF($A6386&lt;Notes!$B$5,"",IF(COUNTIFS(Release_Calendar!$A$2:$A$755,"NZ_GDP",Release_Calendar!$B$2:$B$755,$A6386)&gt;0,1,0))</f>
        <v>0</v>
      </c>
      <c r="O6386" s="16">
        <f>IF($A6386&lt;Notes!$B$5,"",IF(COUNTIFS(Release_Calendar!$A$2:$A$755,"NZ_LABOUR",Release_Calendar!$B$2:$B$755,$A6386)&gt;0,1,0))</f>
        <v>0</v>
      </c>
      <c r="P6386" s="16">
        <f t="shared" si="4"/>
        <v>0</v>
      </c>
    </row>
    <row r="6387" ht="15.75" customHeight="1">
      <c r="A6387" s="14">
        <v>45467.0</v>
      </c>
      <c r="B6387" s="15">
        <v>4.71</v>
      </c>
      <c r="C6387" s="15">
        <v>4.91</v>
      </c>
      <c r="D6387" s="15"/>
      <c r="E6387" s="15">
        <v>4.78</v>
      </c>
      <c r="F6387" s="15">
        <f t="shared" si="1"/>
        <v>0.2</v>
      </c>
      <c r="G6387" s="15">
        <f t="shared" si="2"/>
        <v>4.91</v>
      </c>
      <c r="H6387" s="16">
        <v>0.0</v>
      </c>
      <c r="I6387" s="15">
        <f t="shared" si="3"/>
        <v>0.2</v>
      </c>
      <c r="J6387" s="15">
        <v>13.33</v>
      </c>
      <c r="K6387" s="16">
        <f>IF(COUNTIFS(Release_Calendar!$A$2:$A$755,"US_CPI",Release_Calendar!$B$2:$B$755,$A6387)&gt;0,1,0)</f>
        <v>0</v>
      </c>
      <c r="L6387" s="16">
        <f>IF(COUNTIFS(Release_Calendar!$A$2:$A$755,"US_NFP",Release_Calendar!$B$2:$B$755,$A6387)&gt;0,1,0)</f>
        <v>0</v>
      </c>
      <c r="M6387" s="16">
        <f>IF($A6387&lt;Notes!$B$5,"",IF(COUNTIFS(Release_Calendar!$A$2:$A$755,"NZ_CPI",Release_Calendar!$B$2:$B$755,$A6387)&gt;0,1,0))</f>
        <v>0</v>
      </c>
      <c r="N6387" s="16">
        <f>IF($A6387&lt;Notes!$B$5,"",IF(COUNTIFS(Release_Calendar!$A$2:$A$755,"NZ_GDP",Release_Calendar!$B$2:$B$755,$A6387)&gt;0,1,0))</f>
        <v>0</v>
      </c>
      <c r="O6387" s="16">
        <f>IF($A6387&lt;Notes!$B$5,"",IF(COUNTIFS(Release_Calendar!$A$2:$A$755,"NZ_LABOUR",Release_Calendar!$B$2:$B$755,$A6387)&gt;0,1,0))</f>
        <v>0</v>
      </c>
      <c r="P6387" s="16">
        <f t="shared" si="4"/>
        <v>0</v>
      </c>
    </row>
    <row r="6388" ht="15.75" customHeight="1">
      <c r="A6388" s="14">
        <v>45468.0</v>
      </c>
      <c r="B6388" s="15">
        <v>4.65</v>
      </c>
      <c r="C6388" s="15">
        <v>4.9</v>
      </c>
      <c r="D6388" s="15"/>
      <c r="E6388" s="15">
        <v>4.77</v>
      </c>
      <c r="F6388" s="15">
        <f t="shared" si="1"/>
        <v>0.25</v>
      </c>
      <c r="G6388" s="15">
        <f t="shared" si="2"/>
        <v>4.9</v>
      </c>
      <c r="H6388" s="16">
        <v>0.0</v>
      </c>
      <c r="I6388" s="15">
        <f t="shared" si="3"/>
        <v>0.25</v>
      </c>
      <c r="J6388" s="15">
        <v>12.84</v>
      </c>
      <c r="K6388" s="16">
        <f>IF(COUNTIFS(Release_Calendar!$A$2:$A$755,"US_CPI",Release_Calendar!$B$2:$B$755,$A6388)&gt;0,1,0)</f>
        <v>0</v>
      </c>
      <c r="L6388" s="16">
        <f>IF(COUNTIFS(Release_Calendar!$A$2:$A$755,"US_NFP",Release_Calendar!$B$2:$B$755,$A6388)&gt;0,1,0)</f>
        <v>0</v>
      </c>
      <c r="M6388" s="16">
        <f>IF($A6388&lt;Notes!$B$5,"",IF(COUNTIFS(Release_Calendar!$A$2:$A$755,"NZ_CPI",Release_Calendar!$B$2:$B$755,$A6388)&gt;0,1,0))</f>
        <v>0</v>
      </c>
      <c r="N6388" s="16">
        <f>IF($A6388&lt;Notes!$B$5,"",IF(COUNTIFS(Release_Calendar!$A$2:$A$755,"NZ_GDP",Release_Calendar!$B$2:$B$755,$A6388)&gt;0,1,0))</f>
        <v>0</v>
      </c>
      <c r="O6388" s="16">
        <f>IF($A6388&lt;Notes!$B$5,"",IF(COUNTIFS(Release_Calendar!$A$2:$A$755,"NZ_LABOUR",Release_Calendar!$B$2:$B$755,$A6388)&gt;0,1,0))</f>
        <v>0</v>
      </c>
      <c r="P6388" s="16">
        <f t="shared" si="4"/>
        <v>0</v>
      </c>
    </row>
    <row r="6389" ht="15.75" customHeight="1">
      <c r="A6389" s="14">
        <v>45469.0</v>
      </c>
      <c r="B6389" s="15">
        <v>4.71</v>
      </c>
      <c r="C6389" s="15">
        <v>4.94</v>
      </c>
      <c r="D6389" s="15"/>
      <c r="E6389" s="15">
        <v>4.83</v>
      </c>
      <c r="F6389" s="15">
        <f t="shared" si="1"/>
        <v>0.23</v>
      </c>
      <c r="G6389" s="15">
        <f t="shared" si="2"/>
        <v>4.94</v>
      </c>
      <c r="H6389" s="16">
        <v>0.0</v>
      </c>
      <c r="I6389" s="15">
        <f t="shared" si="3"/>
        <v>0.23</v>
      </c>
      <c r="J6389" s="15">
        <v>12.55</v>
      </c>
      <c r="K6389" s="16">
        <f>IF(COUNTIFS(Release_Calendar!$A$2:$A$755,"US_CPI",Release_Calendar!$B$2:$B$755,$A6389)&gt;0,1,0)</f>
        <v>0</v>
      </c>
      <c r="L6389" s="16">
        <f>IF(COUNTIFS(Release_Calendar!$A$2:$A$755,"US_NFP",Release_Calendar!$B$2:$B$755,$A6389)&gt;0,1,0)</f>
        <v>0</v>
      </c>
      <c r="M6389" s="16">
        <f>IF($A6389&lt;Notes!$B$5,"",IF(COUNTIFS(Release_Calendar!$A$2:$A$755,"NZ_CPI",Release_Calendar!$B$2:$B$755,$A6389)&gt;0,1,0))</f>
        <v>0</v>
      </c>
      <c r="N6389" s="16">
        <f>IF($A6389&lt;Notes!$B$5,"",IF(COUNTIFS(Release_Calendar!$A$2:$A$755,"NZ_GDP",Release_Calendar!$B$2:$B$755,$A6389)&gt;0,1,0))</f>
        <v>0</v>
      </c>
      <c r="O6389" s="16">
        <f>IF($A6389&lt;Notes!$B$5,"",IF(COUNTIFS(Release_Calendar!$A$2:$A$755,"NZ_LABOUR",Release_Calendar!$B$2:$B$755,$A6389)&gt;0,1,0))</f>
        <v>0</v>
      </c>
      <c r="P6389" s="16">
        <f t="shared" si="4"/>
        <v>0</v>
      </c>
    </row>
    <row r="6390" ht="15.75" customHeight="1">
      <c r="A6390" s="14">
        <v>45470.0</v>
      </c>
      <c r="B6390" s="15">
        <v>4.7</v>
      </c>
      <c r="C6390" s="15">
        <v>4.96</v>
      </c>
      <c r="D6390" s="15"/>
      <c r="E6390" s="15">
        <v>4.88</v>
      </c>
      <c r="F6390" s="15">
        <f t="shared" si="1"/>
        <v>0.26</v>
      </c>
      <c r="G6390" s="15">
        <f t="shared" si="2"/>
        <v>4.96</v>
      </c>
      <c r="H6390" s="16">
        <v>0.0</v>
      </c>
      <c r="I6390" s="15">
        <f t="shared" si="3"/>
        <v>0.26</v>
      </c>
      <c r="J6390" s="15">
        <v>12.24</v>
      </c>
      <c r="K6390" s="16">
        <f>IF(COUNTIFS(Release_Calendar!$A$2:$A$755,"US_CPI",Release_Calendar!$B$2:$B$755,$A6390)&gt;0,1,0)</f>
        <v>0</v>
      </c>
      <c r="L6390" s="16">
        <f>IF(COUNTIFS(Release_Calendar!$A$2:$A$755,"US_NFP",Release_Calendar!$B$2:$B$755,$A6390)&gt;0,1,0)</f>
        <v>0</v>
      </c>
      <c r="M6390" s="16">
        <f>IF($A6390&lt;Notes!$B$5,"",IF(COUNTIFS(Release_Calendar!$A$2:$A$755,"NZ_CPI",Release_Calendar!$B$2:$B$755,$A6390)&gt;0,1,0))</f>
        <v>0</v>
      </c>
      <c r="N6390" s="16">
        <f>IF($A6390&lt;Notes!$B$5,"",IF(COUNTIFS(Release_Calendar!$A$2:$A$755,"NZ_GDP",Release_Calendar!$B$2:$B$755,$A6390)&gt;0,1,0))</f>
        <v>0</v>
      </c>
      <c r="O6390" s="16">
        <f>IF($A6390&lt;Notes!$B$5,"",IF(COUNTIFS(Release_Calendar!$A$2:$A$755,"NZ_LABOUR",Release_Calendar!$B$2:$B$755,$A6390)&gt;0,1,0))</f>
        <v>0</v>
      </c>
      <c r="P6390" s="16">
        <f t="shared" si="4"/>
        <v>0</v>
      </c>
    </row>
    <row r="6391" ht="15.75" customHeight="1">
      <c r="A6391" s="14">
        <v>45471.0</v>
      </c>
      <c r="B6391" s="15">
        <v>4.71</v>
      </c>
      <c r="C6391" s="15"/>
      <c r="D6391" s="15"/>
      <c r="E6391" s="15"/>
      <c r="F6391" s="15" t="str">
        <f t="shared" si="1"/>
        <v/>
      </c>
      <c r="G6391" s="15" t="str">
        <f t="shared" si="2"/>
        <v/>
      </c>
      <c r="H6391" s="16">
        <v>0.0</v>
      </c>
      <c r="I6391" s="15" t="str">
        <f t="shared" si="3"/>
        <v/>
      </c>
      <c r="J6391" s="15">
        <v>12.44</v>
      </c>
      <c r="K6391" s="16">
        <f>IF(COUNTIFS(Release_Calendar!$A$2:$A$755,"US_CPI",Release_Calendar!$B$2:$B$755,$A6391)&gt;0,1,0)</f>
        <v>0</v>
      </c>
      <c r="L6391" s="16">
        <f>IF(COUNTIFS(Release_Calendar!$A$2:$A$755,"US_NFP",Release_Calendar!$B$2:$B$755,$A6391)&gt;0,1,0)</f>
        <v>0</v>
      </c>
      <c r="M6391" s="16">
        <f>IF($A6391&lt;Notes!$B$5,"",IF(COUNTIFS(Release_Calendar!$A$2:$A$755,"NZ_CPI",Release_Calendar!$B$2:$B$755,$A6391)&gt;0,1,0))</f>
        <v>0</v>
      </c>
      <c r="N6391" s="16">
        <f>IF($A6391&lt;Notes!$B$5,"",IF(COUNTIFS(Release_Calendar!$A$2:$A$755,"NZ_GDP",Release_Calendar!$B$2:$B$755,$A6391)&gt;0,1,0))</f>
        <v>0</v>
      </c>
      <c r="O6391" s="16">
        <f>IF($A6391&lt;Notes!$B$5,"",IF(COUNTIFS(Release_Calendar!$A$2:$A$755,"NZ_LABOUR",Release_Calendar!$B$2:$B$755,$A6391)&gt;0,1,0))</f>
        <v>0</v>
      </c>
      <c r="P6391" s="16">
        <f t="shared" si="4"/>
        <v>0</v>
      </c>
    </row>
    <row r="6392" ht="15.75" customHeight="1">
      <c r="A6392" s="14">
        <v>45474.0</v>
      </c>
      <c r="B6392" s="15">
        <v>4.77</v>
      </c>
      <c r="C6392" s="15">
        <v>4.92</v>
      </c>
      <c r="D6392" s="15"/>
      <c r="E6392" s="15">
        <v>4.85</v>
      </c>
      <c r="F6392" s="15">
        <f t="shared" si="1"/>
        <v>0.15</v>
      </c>
      <c r="G6392" s="15">
        <f t="shared" si="2"/>
        <v>4.92</v>
      </c>
      <c r="H6392" s="16">
        <v>0.0</v>
      </c>
      <c r="I6392" s="15">
        <f t="shared" si="3"/>
        <v>0.15</v>
      </c>
      <c r="J6392" s="15">
        <v>12.22</v>
      </c>
      <c r="K6392" s="16">
        <f>IF(COUNTIFS(Release_Calendar!$A$2:$A$755,"US_CPI",Release_Calendar!$B$2:$B$755,$A6392)&gt;0,1,0)</f>
        <v>0</v>
      </c>
      <c r="L6392" s="16">
        <f>IF(COUNTIFS(Release_Calendar!$A$2:$A$755,"US_NFP",Release_Calendar!$B$2:$B$755,$A6392)&gt;0,1,0)</f>
        <v>0</v>
      </c>
      <c r="M6392" s="16">
        <f>IF($A6392&lt;Notes!$B$5,"",IF(COUNTIFS(Release_Calendar!$A$2:$A$755,"NZ_CPI",Release_Calendar!$B$2:$B$755,$A6392)&gt;0,1,0))</f>
        <v>0</v>
      </c>
      <c r="N6392" s="16">
        <f>IF($A6392&lt;Notes!$B$5,"",IF(COUNTIFS(Release_Calendar!$A$2:$A$755,"NZ_GDP",Release_Calendar!$B$2:$B$755,$A6392)&gt;0,1,0))</f>
        <v>0</v>
      </c>
      <c r="O6392" s="16">
        <f>IF($A6392&lt;Notes!$B$5,"",IF(COUNTIFS(Release_Calendar!$A$2:$A$755,"NZ_LABOUR",Release_Calendar!$B$2:$B$755,$A6392)&gt;0,1,0))</f>
        <v>0</v>
      </c>
      <c r="P6392" s="16">
        <f t="shared" si="4"/>
        <v>0</v>
      </c>
    </row>
    <row r="6393" ht="15.75" customHeight="1">
      <c r="A6393" s="14">
        <v>45475.0</v>
      </c>
      <c r="B6393" s="15">
        <v>4.74</v>
      </c>
      <c r="C6393" s="15">
        <v>4.91</v>
      </c>
      <c r="D6393" s="15"/>
      <c r="E6393" s="15">
        <v>4.82</v>
      </c>
      <c r="F6393" s="15">
        <f t="shared" si="1"/>
        <v>0.17</v>
      </c>
      <c r="G6393" s="15">
        <f t="shared" si="2"/>
        <v>4.91</v>
      </c>
      <c r="H6393" s="16">
        <v>0.0</v>
      </c>
      <c r="I6393" s="15">
        <f t="shared" si="3"/>
        <v>0.17</v>
      </c>
      <c r="J6393" s="15">
        <v>12.03</v>
      </c>
      <c r="K6393" s="16">
        <f>IF(COUNTIFS(Release_Calendar!$A$2:$A$755,"US_CPI",Release_Calendar!$B$2:$B$755,$A6393)&gt;0,1,0)</f>
        <v>0</v>
      </c>
      <c r="L6393" s="16">
        <f>IF(COUNTIFS(Release_Calendar!$A$2:$A$755,"US_NFP",Release_Calendar!$B$2:$B$755,$A6393)&gt;0,1,0)</f>
        <v>0</v>
      </c>
      <c r="M6393" s="16">
        <f>IF($A6393&lt;Notes!$B$5,"",IF(COUNTIFS(Release_Calendar!$A$2:$A$755,"NZ_CPI",Release_Calendar!$B$2:$B$755,$A6393)&gt;0,1,0))</f>
        <v>0</v>
      </c>
      <c r="N6393" s="16">
        <f>IF($A6393&lt;Notes!$B$5,"",IF(COUNTIFS(Release_Calendar!$A$2:$A$755,"NZ_GDP",Release_Calendar!$B$2:$B$755,$A6393)&gt;0,1,0))</f>
        <v>0</v>
      </c>
      <c r="O6393" s="16">
        <f>IF($A6393&lt;Notes!$B$5,"",IF(COUNTIFS(Release_Calendar!$A$2:$A$755,"NZ_LABOUR",Release_Calendar!$B$2:$B$755,$A6393)&gt;0,1,0))</f>
        <v>0</v>
      </c>
      <c r="P6393" s="16">
        <f t="shared" si="4"/>
        <v>0</v>
      </c>
    </row>
    <row r="6394" ht="15.75" customHeight="1">
      <c r="A6394" s="14">
        <v>45476.0</v>
      </c>
      <c r="B6394" s="15">
        <v>4.71</v>
      </c>
      <c r="C6394" s="15">
        <v>4.89</v>
      </c>
      <c r="D6394" s="15"/>
      <c r="E6394" s="15">
        <v>4.81</v>
      </c>
      <c r="F6394" s="15">
        <f t="shared" si="1"/>
        <v>0.18</v>
      </c>
      <c r="G6394" s="15">
        <f t="shared" si="2"/>
        <v>4.89</v>
      </c>
      <c r="H6394" s="16">
        <v>0.0</v>
      </c>
      <c r="I6394" s="15">
        <f t="shared" si="3"/>
        <v>0.18</v>
      </c>
      <c r="J6394" s="15">
        <v>12.09</v>
      </c>
      <c r="K6394" s="16">
        <f>IF(COUNTIFS(Release_Calendar!$A$2:$A$755,"US_CPI",Release_Calendar!$B$2:$B$755,$A6394)&gt;0,1,0)</f>
        <v>0</v>
      </c>
      <c r="L6394" s="16">
        <f>IF(COUNTIFS(Release_Calendar!$A$2:$A$755,"US_NFP",Release_Calendar!$B$2:$B$755,$A6394)&gt;0,1,0)</f>
        <v>0</v>
      </c>
      <c r="M6394" s="16">
        <f>IF($A6394&lt;Notes!$B$5,"",IF(COUNTIFS(Release_Calendar!$A$2:$A$755,"NZ_CPI",Release_Calendar!$B$2:$B$755,$A6394)&gt;0,1,0))</f>
        <v>0</v>
      </c>
      <c r="N6394" s="16">
        <f>IF($A6394&lt;Notes!$B$5,"",IF(COUNTIFS(Release_Calendar!$A$2:$A$755,"NZ_GDP",Release_Calendar!$B$2:$B$755,$A6394)&gt;0,1,0))</f>
        <v>0</v>
      </c>
      <c r="O6394" s="16">
        <f>IF($A6394&lt;Notes!$B$5,"",IF(COUNTIFS(Release_Calendar!$A$2:$A$755,"NZ_LABOUR",Release_Calendar!$B$2:$B$755,$A6394)&gt;0,1,0))</f>
        <v>0</v>
      </c>
      <c r="P6394" s="16">
        <f t="shared" si="4"/>
        <v>0</v>
      </c>
    </row>
    <row r="6395" ht="15.75" customHeight="1">
      <c r="A6395" s="14">
        <v>45477.0</v>
      </c>
      <c r="B6395" s="15"/>
      <c r="C6395" s="15">
        <v>4.88</v>
      </c>
      <c r="D6395" s="15"/>
      <c r="E6395" s="15">
        <v>4.82</v>
      </c>
      <c r="F6395" s="15" t="str">
        <f t="shared" si="1"/>
        <v/>
      </c>
      <c r="G6395" s="15">
        <f t="shared" si="2"/>
        <v>4.88</v>
      </c>
      <c r="H6395" s="16">
        <v>0.0</v>
      </c>
      <c r="I6395" s="15" t="str">
        <f t="shared" si="3"/>
        <v/>
      </c>
      <c r="J6395" s="15">
        <v>12.26</v>
      </c>
      <c r="K6395" s="16">
        <f>IF(COUNTIFS(Release_Calendar!$A$2:$A$755,"US_CPI",Release_Calendar!$B$2:$B$755,$A6395)&gt;0,1,0)</f>
        <v>0</v>
      </c>
      <c r="L6395" s="16">
        <f>IF(COUNTIFS(Release_Calendar!$A$2:$A$755,"US_NFP",Release_Calendar!$B$2:$B$755,$A6395)&gt;0,1,0)</f>
        <v>0</v>
      </c>
      <c r="M6395" s="16">
        <f>IF($A6395&lt;Notes!$B$5,"",IF(COUNTIFS(Release_Calendar!$A$2:$A$755,"NZ_CPI",Release_Calendar!$B$2:$B$755,$A6395)&gt;0,1,0))</f>
        <v>0</v>
      </c>
      <c r="N6395" s="16">
        <f>IF($A6395&lt;Notes!$B$5,"",IF(COUNTIFS(Release_Calendar!$A$2:$A$755,"NZ_GDP",Release_Calendar!$B$2:$B$755,$A6395)&gt;0,1,0))</f>
        <v>0</v>
      </c>
      <c r="O6395" s="16">
        <f>IF($A6395&lt;Notes!$B$5,"",IF(COUNTIFS(Release_Calendar!$A$2:$A$755,"NZ_LABOUR",Release_Calendar!$B$2:$B$755,$A6395)&gt;0,1,0))</f>
        <v>0</v>
      </c>
      <c r="P6395" s="16">
        <f t="shared" si="4"/>
        <v>0</v>
      </c>
    </row>
    <row r="6396" ht="15.75" customHeight="1">
      <c r="A6396" s="14">
        <v>45478.0</v>
      </c>
      <c r="B6396" s="15">
        <v>4.6</v>
      </c>
      <c r="C6396" s="15">
        <v>4.87</v>
      </c>
      <c r="D6396" s="15"/>
      <c r="E6396" s="15">
        <v>4.8</v>
      </c>
      <c r="F6396" s="15">
        <f t="shared" si="1"/>
        <v>0.27</v>
      </c>
      <c r="G6396" s="15">
        <f t="shared" si="2"/>
        <v>4.87</v>
      </c>
      <c r="H6396" s="16">
        <v>0.0</v>
      </c>
      <c r="I6396" s="15">
        <f t="shared" si="3"/>
        <v>0.27</v>
      </c>
      <c r="J6396" s="15">
        <v>12.48</v>
      </c>
      <c r="K6396" s="16">
        <f>IF(COUNTIFS(Release_Calendar!$A$2:$A$755,"US_CPI",Release_Calendar!$B$2:$B$755,$A6396)&gt;0,1,0)</f>
        <v>0</v>
      </c>
      <c r="L6396" s="16">
        <f>IF(COUNTIFS(Release_Calendar!$A$2:$A$755,"US_NFP",Release_Calendar!$B$2:$B$755,$A6396)&gt;0,1,0)</f>
        <v>1</v>
      </c>
      <c r="M6396" s="16">
        <f>IF($A6396&lt;Notes!$B$5,"",IF(COUNTIFS(Release_Calendar!$A$2:$A$755,"NZ_CPI",Release_Calendar!$B$2:$B$755,$A6396)&gt;0,1,0))</f>
        <v>0</v>
      </c>
      <c r="N6396" s="16">
        <f>IF($A6396&lt;Notes!$B$5,"",IF(COUNTIFS(Release_Calendar!$A$2:$A$755,"NZ_GDP",Release_Calendar!$B$2:$B$755,$A6396)&gt;0,1,0))</f>
        <v>0</v>
      </c>
      <c r="O6396" s="16">
        <f>IF($A6396&lt;Notes!$B$5,"",IF(COUNTIFS(Release_Calendar!$A$2:$A$755,"NZ_LABOUR",Release_Calendar!$B$2:$B$755,$A6396)&gt;0,1,0))</f>
        <v>0</v>
      </c>
      <c r="P6396" s="16">
        <f t="shared" si="4"/>
        <v>1</v>
      </c>
    </row>
    <row r="6397" ht="15.75" customHeight="1">
      <c r="A6397" s="14">
        <v>45481.0</v>
      </c>
      <c r="B6397" s="15">
        <v>4.62</v>
      </c>
      <c r="C6397" s="15">
        <v>4.84</v>
      </c>
      <c r="D6397" s="15"/>
      <c r="E6397" s="15">
        <v>4.77</v>
      </c>
      <c r="F6397" s="15">
        <f t="shared" si="1"/>
        <v>0.22</v>
      </c>
      <c r="G6397" s="15">
        <f t="shared" si="2"/>
        <v>4.84</v>
      </c>
      <c r="H6397" s="16">
        <v>0.0</v>
      </c>
      <c r="I6397" s="15">
        <f t="shared" si="3"/>
        <v>0.22</v>
      </c>
      <c r="J6397" s="15">
        <v>12.37</v>
      </c>
      <c r="K6397" s="16">
        <f>IF(COUNTIFS(Release_Calendar!$A$2:$A$755,"US_CPI",Release_Calendar!$B$2:$B$755,$A6397)&gt;0,1,0)</f>
        <v>0</v>
      </c>
      <c r="L6397" s="16">
        <f>IF(COUNTIFS(Release_Calendar!$A$2:$A$755,"US_NFP",Release_Calendar!$B$2:$B$755,$A6397)&gt;0,1,0)</f>
        <v>0</v>
      </c>
      <c r="M6397" s="16">
        <f>IF($A6397&lt;Notes!$B$5,"",IF(COUNTIFS(Release_Calendar!$A$2:$A$755,"NZ_CPI",Release_Calendar!$B$2:$B$755,$A6397)&gt;0,1,0))</f>
        <v>0</v>
      </c>
      <c r="N6397" s="16">
        <f>IF($A6397&lt;Notes!$B$5,"",IF(COUNTIFS(Release_Calendar!$A$2:$A$755,"NZ_GDP",Release_Calendar!$B$2:$B$755,$A6397)&gt;0,1,0))</f>
        <v>0</v>
      </c>
      <c r="O6397" s="16">
        <f>IF($A6397&lt;Notes!$B$5,"",IF(COUNTIFS(Release_Calendar!$A$2:$A$755,"NZ_LABOUR",Release_Calendar!$B$2:$B$755,$A6397)&gt;0,1,0))</f>
        <v>0</v>
      </c>
      <c r="P6397" s="16">
        <f t="shared" si="4"/>
        <v>0</v>
      </c>
    </row>
    <row r="6398" ht="15.75" customHeight="1">
      <c r="A6398" s="14">
        <v>45482.0</v>
      </c>
      <c r="B6398" s="15">
        <v>4.62</v>
      </c>
      <c r="C6398" s="15">
        <v>4.81</v>
      </c>
      <c r="D6398" s="15"/>
      <c r="E6398" s="15">
        <v>4.75</v>
      </c>
      <c r="F6398" s="15">
        <f t="shared" si="1"/>
        <v>0.19</v>
      </c>
      <c r="G6398" s="15">
        <f t="shared" si="2"/>
        <v>4.81</v>
      </c>
      <c r="H6398" s="16">
        <v>0.0</v>
      </c>
      <c r="I6398" s="15">
        <f t="shared" si="3"/>
        <v>0.19</v>
      </c>
      <c r="J6398" s="15">
        <v>12.51</v>
      </c>
      <c r="K6398" s="16">
        <f>IF(COUNTIFS(Release_Calendar!$A$2:$A$755,"US_CPI",Release_Calendar!$B$2:$B$755,$A6398)&gt;0,1,0)</f>
        <v>0</v>
      </c>
      <c r="L6398" s="16">
        <f>IF(COUNTIFS(Release_Calendar!$A$2:$A$755,"US_NFP",Release_Calendar!$B$2:$B$755,$A6398)&gt;0,1,0)</f>
        <v>0</v>
      </c>
      <c r="M6398" s="16">
        <f>IF($A6398&lt;Notes!$B$5,"",IF(COUNTIFS(Release_Calendar!$A$2:$A$755,"NZ_CPI",Release_Calendar!$B$2:$B$755,$A6398)&gt;0,1,0))</f>
        <v>0</v>
      </c>
      <c r="N6398" s="16">
        <f>IF($A6398&lt;Notes!$B$5,"",IF(COUNTIFS(Release_Calendar!$A$2:$A$755,"NZ_GDP",Release_Calendar!$B$2:$B$755,$A6398)&gt;0,1,0))</f>
        <v>0</v>
      </c>
      <c r="O6398" s="16">
        <f>IF($A6398&lt;Notes!$B$5,"",IF(COUNTIFS(Release_Calendar!$A$2:$A$755,"NZ_LABOUR",Release_Calendar!$B$2:$B$755,$A6398)&gt;0,1,0))</f>
        <v>0</v>
      </c>
      <c r="P6398" s="16">
        <f t="shared" si="4"/>
        <v>0</v>
      </c>
    </row>
    <row r="6399" ht="15.75" customHeight="1">
      <c r="A6399" s="14">
        <v>45483.0</v>
      </c>
      <c r="B6399" s="15">
        <v>4.62</v>
      </c>
      <c r="C6399" s="15">
        <v>4.61</v>
      </c>
      <c r="D6399" s="15"/>
      <c r="E6399" s="15">
        <v>4.63</v>
      </c>
      <c r="F6399" s="15">
        <f t="shared" si="1"/>
        <v>-0.01</v>
      </c>
      <c r="G6399" s="15">
        <f t="shared" si="2"/>
        <v>4.61</v>
      </c>
      <c r="H6399" s="16">
        <v>0.0</v>
      </c>
      <c r="I6399" s="15">
        <f t="shared" si="3"/>
        <v>-0.01</v>
      </c>
      <c r="J6399" s="15">
        <v>12.85</v>
      </c>
      <c r="K6399" s="16">
        <f>IF(COUNTIFS(Release_Calendar!$A$2:$A$755,"US_CPI",Release_Calendar!$B$2:$B$755,$A6399)&gt;0,1,0)</f>
        <v>0</v>
      </c>
      <c r="L6399" s="16">
        <f>IF(COUNTIFS(Release_Calendar!$A$2:$A$755,"US_NFP",Release_Calendar!$B$2:$B$755,$A6399)&gt;0,1,0)</f>
        <v>0</v>
      </c>
      <c r="M6399" s="16">
        <f>IF($A6399&lt;Notes!$B$5,"",IF(COUNTIFS(Release_Calendar!$A$2:$A$755,"NZ_CPI",Release_Calendar!$B$2:$B$755,$A6399)&gt;0,1,0))</f>
        <v>0</v>
      </c>
      <c r="N6399" s="16">
        <f>IF($A6399&lt;Notes!$B$5,"",IF(COUNTIFS(Release_Calendar!$A$2:$A$755,"NZ_GDP",Release_Calendar!$B$2:$B$755,$A6399)&gt;0,1,0))</f>
        <v>0</v>
      </c>
      <c r="O6399" s="16">
        <f>IF($A6399&lt;Notes!$B$5,"",IF(COUNTIFS(Release_Calendar!$A$2:$A$755,"NZ_LABOUR",Release_Calendar!$B$2:$B$755,$A6399)&gt;0,1,0))</f>
        <v>0</v>
      </c>
      <c r="P6399" s="16">
        <f t="shared" si="4"/>
        <v>0</v>
      </c>
    </row>
    <row r="6400" ht="15.75" customHeight="1">
      <c r="A6400" s="14">
        <v>45484.0</v>
      </c>
      <c r="B6400" s="15">
        <v>4.5</v>
      </c>
      <c r="C6400" s="15">
        <v>4.56</v>
      </c>
      <c r="D6400" s="15"/>
      <c r="E6400" s="15">
        <v>4.58</v>
      </c>
      <c r="F6400" s="15">
        <f t="shared" si="1"/>
        <v>0.06</v>
      </c>
      <c r="G6400" s="15">
        <f t="shared" si="2"/>
        <v>4.56</v>
      </c>
      <c r="H6400" s="16">
        <v>0.0</v>
      </c>
      <c r="I6400" s="15">
        <f t="shared" si="3"/>
        <v>0.06</v>
      </c>
      <c r="J6400" s="15">
        <v>12.92</v>
      </c>
      <c r="K6400" s="16">
        <f>IF(COUNTIFS(Release_Calendar!$A$2:$A$755,"US_CPI",Release_Calendar!$B$2:$B$755,$A6400)&gt;0,1,0)</f>
        <v>1</v>
      </c>
      <c r="L6400" s="16">
        <f>IF(COUNTIFS(Release_Calendar!$A$2:$A$755,"US_NFP",Release_Calendar!$B$2:$B$755,$A6400)&gt;0,1,0)</f>
        <v>0</v>
      </c>
      <c r="M6400" s="16">
        <f>IF($A6400&lt;Notes!$B$5,"",IF(COUNTIFS(Release_Calendar!$A$2:$A$755,"NZ_CPI",Release_Calendar!$B$2:$B$755,$A6400)&gt;0,1,0))</f>
        <v>0</v>
      </c>
      <c r="N6400" s="16">
        <f>IF($A6400&lt;Notes!$B$5,"",IF(COUNTIFS(Release_Calendar!$A$2:$A$755,"NZ_GDP",Release_Calendar!$B$2:$B$755,$A6400)&gt;0,1,0))</f>
        <v>0</v>
      </c>
      <c r="O6400" s="16">
        <f>IF($A6400&lt;Notes!$B$5,"",IF(COUNTIFS(Release_Calendar!$A$2:$A$755,"NZ_LABOUR",Release_Calendar!$B$2:$B$755,$A6400)&gt;0,1,0))</f>
        <v>0</v>
      </c>
      <c r="P6400" s="16">
        <f t="shared" si="4"/>
        <v>1</v>
      </c>
    </row>
    <row r="6401" ht="15.75" customHeight="1">
      <c r="A6401" s="14">
        <v>45485.0</v>
      </c>
      <c r="B6401" s="15">
        <v>4.45</v>
      </c>
      <c r="C6401" s="15">
        <v>4.49</v>
      </c>
      <c r="D6401" s="15"/>
      <c r="E6401" s="15">
        <v>4.52</v>
      </c>
      <c r="F6401" s="15">
        <f t="shared" si="1"/>
        <v>0.04</v>
      </c>
      <c r="G6401" s="15">
        <f t="shared" si="2"/>
        <v>4.49</v>
      </c>
      <c r="H6401" s="16">
        <v>0.0</v>
      </c>
      <c r="I6401" s="15">
        <f t="shared" si="3"/>
        <v>0.04</v>
      </c>
      <c r="J6401" s="15">
        <v>12.46</v>
      </c>
      <c r="K6401" s="16">
        <f>IF(COUNTIFS(Release_Calendar!$A$2:$A$755,"US_CPI",Release_Calendar!$B$2:$B$755,$A6401)&gt;0,1,0)</f>
        <v>0</v>
      </c>
      <c r="L6401" s="16">
        <f>IF(COUNTIFS(Release_Calendar!$A$2:$A$755,"US_NFP",Release_Calendar!$B$2:$B$755,$A6401)&gt;0,1,0)</f>
        <v>0</v>
      </c>
      <c r="M6401" s="16">
        <f>IF($A6401&lt;Notes!$B$5,"",IF(COUNTIFS(Release_Calendar!$A$2:$A$755,"NZ_CPI",Release_Calendar!$B$2:$B$755,$A6401)&gt;0,1,0))</f>
        <v>0</v>
      </c>
      <c r="N6401" s="16">
        <f>IF($A6401&lt;Notes!$B$5,"",IF(COUNTIFS(Release_Calendar!$A$2:$A$755,"NZ_GDP",Release_Calendar!$B$2:$B$755,$A6401)&gt;0,1,0))</f>
        <v>0</v>
      </c>
      <c r="O6401" s="16">
        <f>IF($A6401&lt;Notes!$B$5,"",IF(COUNTIFS(Release_Calendar!$A$2:$A$755,"NZ_LABOUR",Release_Calendar!$B$2:$B$755,$A6401)&gt;0,1,0))</f>
        <v>0</v>
      </c>
      <c r="P6401" s="16">
        <f t="shared" si="4"/>
        <v>0</v>
      </c>
    </row>
    <row r="6402" ht="15.75" customHeight="1">
      <c r="A6402" s="14">
        <v>45488.0</v>
      </c>
      <c r="B6402" s="15">
        <v>4.44</v>
      </c>
      <c r="C6402" s="15">
        <v>4.43</v>
      </c>
      <c r="D6402" s="15"/>
      <c r="E6402" s="15">
        <v>4.47</v>
      </c>
      <c r="F6402" s="15">
        <f t="shared" si="1"/>
        <v>-0.01</v>
      </c>
      <c r="G6402" s="15">
        <f t="shared" si="2"/>
        <v>4.43</v>
      </c>
      <c r="H6402" s="16">
        <v>0.0</v>
      </c>
      <c r="I6402" s="15">
        <f t="shared" si="3"/>
        <v>-0.01</v>
      </c>
      <c r="J6402" s="15">
        <v>13.12</v>
      </c>
      <c r="K6402" s="16">
        <f>IF(COUNTIFS(Release_Calendar!$A$2:$A$755,"US_CPI",Release_Calendar!$B$2:$B$755,$A6402)&gt;0,1,0)</f>
        <v>0</v>
      </c>
      <c r="L6402" s="16">
        <f>IF(COUNTIFS(Release_Calendar!$A$2:$A$755,"US_NFP",Release_Calendar!$B$2:$B$755,$A6402)&gt;0,1,0)</f>
        <v>0</v>
      </c>
      <c r="M6402" s="16">
        <f>IF($A6402&lt;Notes!$B$5,"",IF(COUNTIFS(Release_Calendar!$A$2:$A$755,"NZ_CPI",Release_Calendar!$B$2:$B$755,$A6402)&gt;0,1,0))</f>
        <v>0</v>
      </c>
      <c r="N6402" s="16">
        <f>IF($A6402&lt;Notes!$B$5,"",IF(COUNTIFS(Release_Calendar!$A$2:$A$755,"NZ_GDP",Release_Calendar!$B$2:$B$755,$A6402)&gt;0,1,0))</f>
        <v>0</v>
      </c>
      <c r="O6402" s="16">
        <f>IF($A6402&lt;Notes!$B$5,"",IF(COUNTIFS(Release_Calendar!$A$2:$A$755,"NZ_LABOUR",Release_Calendar!$B$2:$B$755,$A6402)&gt;0,1,0))</f>
        <v>0</v>
      </c>
      <c r="P6402" s="16">
        <f t="shared" si="4"/>
        <v>0</v>
      </c>
    </row>
    <row r="6403" ht="15.75" customHeight="1">
      <c r="A6403" s="14">
        <v>45489.0</v>
      </c>
      <c r="B6403" s="15">
        <v>4.43</v>
      </c>
      <c r="C6403" s="15">
        <v>4.37</v>
      </c>
      <c r="D6403" s="15"/>
      <c r="E6403" s="15">
        <v>4.41</v>
      </c>
      <c r="F6403" s="15">
        <f t="shared" si="1"/>
        <v>-0.06</v>
      </c>
      <c r="G6403" s="15">
        <f t="shared" si="2"/>
        <v>4.37</v>
      </c>
      <c r="H6403" s="16">
        <v>0.0</v>
      </c>
      <c r="I6403" s="15">
        <f t="shared" si="3"/>
        <v>-0.06</v>
      </c>
      <c r="J6403" s="15">
        <v>13.19</v>
      </c>
      <c r="K6403" s="16">
        <f>IF(COUNTIFS(Release_Calendar!$A$2:$A$755,"US_CPI",Release_Calendar!$B$2:$B$755,$A6403)&gt;0,1,0)</f>
        <v>0</v>
      </c>
      <c r="L6403" s="16">
        <f>IF(COUNTIFS(Release_Calendar!$A$2:$A$755,"US_NFP",Release_Calendar!$B$2:$B$755,$A6403)&gt;0,1,0)</f>
        <v>0</v>
      </c>
      <c r="M6403" s="16">
        <f>IF($A6403&lt;Notes!$B$5,"",IF(COUNTIFS(Release_Calendar!$A$2:$A$755,"NZ_CPI",Release_Calendar!$B$2:$B$755,$A6403)&gt;0,1,0))</f>
        <v>0</v>
      </c>
      <c r="N6403" s="16">
        <f>IF($A6403&lt;Notes!$B$5,"",IF(COUNTIFS(Release_Calendar!$A$2:$A$755,"NZ_GDP",Release_Calendar!$B$2:$B$755,$A6403)&gt;0,1,0))</f>
        <v>0</v>
      </c>
      <c r="O6403" s="16">
        <f>IF($A6403&lt;Notes!$B$5,"",IF(COUNTIFS(Release_Calendar!$A$2:$A$755,"NZ_LABOUR",Release_Calendar!$B$2:$B$755,$A6403)&gt;0,1,0))</f>
        <v>0</v>
      </c>
      <c r="P6403" s="16">
        <f t="shared" si="4"/>
        <v>0</v>
      </c>
    </row>
    <row r="6404" ht="15.75" customHeight="1">
      <c r="A6404" s="14">
        <v>45490.0</v>
      </c>
      <c r="B6404" s="15">
        <v>4.42</v>
      </c>
      <c r="C6404" s="15">
        <v>4.41</v>
      </c>
      <c r="D6404" s="15"/>
      <c r="E6404" s="15">
        <v>4.45</v>
      </c>
      <c r="F6404" s="15">
        <f t="shared" si="1"/>
        <v>-0.01</v>
      </c>
      <c r="G6404" s="15">
        <f t="shared" si="2"/>
        <v>4.41</v>
      </c>
      <c r="H6404" s="16">
        <v>0.0</v>
      </c>
      <c r="I6404" s="15">
        <f t="shared" si="3"/>
        <v>-0.01</v>
      </c>
      <c r="J6404" s="15">
        <v>14.48</v>
      </c>
      <c r="K6404" s="16">
        <f>IF(COUNTIFS(Release_Calendar!$A$2:$A$755,"US_CPI",Release_Calendar!$B$2:$B$755,$A6404)&gt;0,1,0)</f>
        <v>0</v>
      </c>
      <c r="L6404" s="16">
        <f>IF(COUNTIFS(Release_Calendar!$A$2:$A$755,"US_NFP",Release_Calendar!$B$2:$B$755,$A6404)&gt;0,1,0)</f>
        <v>0</v>
      </c>
      <c r="M6404" s="16">
        <f>IF($A6404&lt;Notes!$B$5,"",IF(COUNTIFS(Release_Calendar!$A$2:$A$755,"NZ_CPI",Release_Calendar!$B$2:$B$755,$A6404)&gt;0,1,0))</f>
        <v>1</v>
      </c>
      <c r="N6404" s="16">
        <f>IF($A6404&lt;Notes!$B$5,"",IF(COUNTIFS(Release_Calendar!$A$2:$A$755,"NZ_GDP",Release_Calendar!$B$2:$B$755,$A6404)&gt;0,1,0))</f>
        <v>0</v>
      </c>
      <c r="O6404" s="16">
        <f>IF($A6404&lt;Notes!$B$5,"",IF(COUNTIFS(Release_Calendar!$A$2:$A$755,"NZ_LABOUR",Release_Calendar!$B$2:$B$755,$A6404)&gt;0,1,0))</f>
        <v>0</v>
      </c>
      <c r="P6404" s="16">
        <f t="shared" si="4"/>
        <v>1</v>
      </c>
    </row>
    <row r="6405" ht="15.75" customHeight="1">
      <c r="A6405" s="14">
        <v>45491.0</v>
      </c>
      <c r="B6405" s="15">
        <v>4.46</v>
      </c>
      <c r="C6405" s="15">
        <v>4.36</v>
      </c>
      <c r="D6405" s="15"/>
      <c r="E6405" s="15">
        <v>4.4</v>
      </c>
      <c r="F6405" s="15">
        <f t="shared" si="1"/>
        <v>-0.1</v>
      </c>
      <c r="G6405" s="15">
        <f t="shared" si="2"/>
        <v>4.36</v>
      </c>
      <c r="H6405" s="16">
        <v>0.0</v>
      </c>
      <c r="I6405" s="15">
        <f t="shared" si="3"/>
        <v>-0.1</v>
      </c>
      <c r="J6405" s="15">
        <v>15.93</v>
      </c>
      <c r="K6405" s="16">
        <f>IF(COUNTIFS(Release_Calendar!$A$2:$A$755,"US_CPI",Release_Calendar!$B$2:$B$755,$A6405)&gt;0,1,0)</f>
        <v>0</v>
      </c>
      <c r="L6405" s="16">
        <f>IF(COUNTIFS(Release_Calendar!$A$2:$A$755,"US_NFP",Release_Calendar!$B$2:$B$755,$A6405)&gt;0,1,0)</f>
        <v>0</v>
      </c>
      <c r="M6405" s="16">
        <f>IF($A6405&lt;Notes!$B$5,"",IF(COUNTIFS(Release_Calendar!$A$2:$A$755,"NZ_CPI",Release_Calendar!$B$2:$B$755,$A6405)&gt;0,1,0))</f>
        <v>0</v>
      </c>
      <c r="N6405" s="16">
        <f>IF($A6405&lt;Notes!$B$5,"",IF(COUNTIFS(Release_Calendar!$A$2:$A$755,"NZ_GDP",Release_Calendar!$B$2:$B$755,$A6405)&gt;0,1,0))</f>
        <v>0</v>
      </c>
      <c r="O6405" s="16">
        <f>IF($A6405&lt;Notes!$B$5,"",IF(COUNTIFS(Release_Calendar!$A$2:$A$755,"NZ_LABOUR",Release_Calendar!$B$2:$B$755,$A6405)&gt;0,1,0))</f>
        <v>0</v>
      </c>
      <c r="P6405" s="16">
        <f t="shared" si="4"/>
        <v>0</v>
      </c>
    </row>
    <row r="6406" ht="15.75" customHeight="1">
      <c r="A6406" s="14">
        <v>45492.0</v>
      </c>
      <c r="B6406" s="15">
        <v>4.49</v>
      </c>
      <c r="C6406" s="15">
        <v>4.34</v>
      </c>
      <c r="D6406" s="15"/>
      <c r="E6406" s="15">
        <v>4.4</v>
      </c>
      <c r="F6406" s="15">
        <f t="shared" si="1"/>
        <v>-0.15</v>
      </c>
      <c r="G6406" s="15">
        <f t="shared" si="2"/>
        <v>4.34</v>
      </c>
      <c r="H6406" s="16">
        <v>0.0</v>
      </c>
      <c r="I6406" s="15">
        <f t="shared" si="3"/>
        <v>-0.15</v>
      </c>
      <c r="J6406" s="15">
        <v>16.52</v>
      </c>
      <c r="K6406" s="16">
        <f>IF(COUNTIFS(Release_Calendar!$A$2:$A$755,"US_CPI",Release_Calendar!$B$2:$B$755,$A6406)&gt;0,1,0)</f>
        <v>0</v>
      </c>
      <c r="L6406" s="16">
        <f>IF(COUNTIFS(Release_Calendar!$A$2:$A$755,"US_NFP",Release_Calendar!$B$2:$B$755,$A6406)&gt;0,1,0)</f>
        <v>0</v>
      </c>
      <c r="M6406" s="16">
        <f>IF($A6406&lt;Notes!$B$5,"",IF(COUNTIFS(Release_Calendar!$A$2:$A$755,"NZ_CPI",Release_Calendar!$B$2:$B$755,$A6406)&gt;0,1,0))</f>
        <v>0</v>
      </c>
      <c r="N6406" s="16">
        <f>IF($A6406&lt;Notes!$B$5,"",IF(COUNTIFS(Release_Calendar!$A$2:$A$755,"NZ_GDP",Release_Calendar!$B$2:$B$755,$A6406)&gt;0,1,0))</f>
        <v>0</v>
      </c>
      <c r="O6406" s="16">
        <f>IF($A6406&lt;Notes!$B$5,"",IF(COUNTIFS(Release_Calendar!$A$2:$A$755,"NZ_LABOUR",Release_Calendar!$B$2:$B$755,$A6406)&gt;0,1,0))</f>
        <v>0</v>
      </c>
      <c r="P6406" s="16">
        <f t="shared" si="4"/>
        <v>0</v>
      </c>
    </row>
    <row r="6407" ht="15.75" customHeight="1">
      <c r="A6407" s="14">
        <v>45495.0</v>
      </c>
      <c r="B6407" s="15">
        <v>4.5</v>
      </c>
      <c r="C6407" s="15">
        <v>4.35</v>
      </c>
      <c r="D6407" s="15"/>
      <c r="E6407" s="15">
        <v>4.42</v>
      </c>
      <c r="F6407" s="15">
        <f t="shared" si="1"/>
        <v>-0.15</v>
      </c>
      <c r="G6407" s="15">
        <f t="shared" si="2"/>
        <v>4.35</v>
      </c>
      <c r="H6407" s="16">
        <v>0.0</v>
      </c>
      <c r="I6407" s="15">
        <f t="shared" si="3"/>
        <v>-0.15</v>
      </c>
      <c r="J6407" s="15">
        <v>14.91</v>
      </c>
      <c r="K6407" s="16">
        <f>IF(COUNTIFS(Release_Calendar!$A$2:$A$755,"US_CPI",Release_Calendar!$B$2:$B$755,$A6407)&gt;0,1,0)</f>
        <v>0</v>
      </c>
      <c r="L6407" s="16">
        <f>IF(COUNTIFS(Release_Calendar!$A$2:$A$755,"US_NFP",Release_Calendar!$B$2:$B$755,$A6407)&gt;0,1,0)</f>
        <v>0</v>
      </c>
      <c r="M6407" s="16">
        <f>IF($A6407&lt;Notes!$B$5,"",IF(COUNTIFS(Release_Calendar!$A$2:$A$755,"NZ_CPI",Release_Calendar!$B$2:$B$755,$A6407)&gt;0,1,0))</f>
        <v>0</v>
      </c>
      <c r="N6407" s="16">
        <f>IF($A6407&lt;Notes!$B$5,"",IF(COUNTIFS(Release_Calendar!$A$2:$A$755,"NZ_GDP",Release_Calendar!$B$2:$B$755,$A6407)&gt;0,1,0))</f>
        <v>0</v>
      </c>
      <c r="O6407" s="16">
        <f>IF($A6407&lt;Notes!$B$5,"",IF(COUNTIFS(Release_Calendar!$A$2:$A$755,"NZ_LABOUR",Release_Calendar!$B$2:$B$755,$A6407)&gt;0,1,0))</f>
        <v>0</v>
      </c>
      <c r="P6407" s="16">
        <f t="shared" si="4"/>
        <v>0</v>
      </c>
    </row>
    <row r="6408" ht="15.75" customHeight="1">
      <c r="A6408" s="14">
        <v>45496.0</v>
      </c>
      <c r="B6408" s="15">
        <v>4.4</v>
      </c>
      <c r="C6408" s="15">
        <v>4.32</v>
      </c>
      <c r="D6408" s="15"/>
      <c r="E6408" s="15">
        <v>4.42</v>
      </c>
      <c r="F6408" s="15">
        <f t="shared" si="1"/>
        <v>-0.08</v>
      </c>
      <c r="G6408" s="15">
        <f t="shared" si="2"/>
        <v>4.32</v>
      </c>
      <c r="H6408" s="16">
        <v>0.0</v>
      </c>
      <c r="I6408" s="15">
        <f t="shared" si="3"/>
        <v>-0.08</v>
      </c>
      <c r="J6408" s="15">
        <v>14.72</v>
      </c>
      <c r="K6408" s="16">
        <f>IF(COUNTIFS(Release_Calendar!$A$2:$A$755,"US_CPI",Release_Calendar!$B$2:$B$755,$A6408)&gt;0,1,0)</f>
        <v>0</v>
      </c>
      <c r="L6408" s="16">
        <f>IF(COUNTIFS(Release_Calendar!$A$2:$A$755,"US_NFP",Release_Calendar!$B$2:$B$755,$A6408)&gt;0,1,0)</f>
        <v>0</v>
      </c>
      <c r="M6408" s="16">
        <f>IF($A6408&lt;Notes!$B$5,"",IF(COUNTIFS(Release_Calendar!$A$2:$A$755,"NZ_CPI",Release_Calendar!$B$2:$B$755,$A6408)&gt;0,1,0))</f>
        <v>0</v>
      </c>
      <c r="N6408" s="16">
        <f>IF($A6408&lt;Notes!$B$5,"",IF(COUNTIFS(Release_Calendar!$A$2:$A$755,"NZ_GDP",Release_Calendar!$B$2:$B$755,$A6408)&gt;0,1,0))</f>
        <v>0</v>
      </c>
      <c r="O6408" s="16">
        <f>IF($A6408&lt;Notes!$B$5,"",IF(COUNTIFS(Release_Calendar!$A$2:$A$755,"NZ_LABOUR",Release_Calendar!$B$2:$B$755,$A6408)&gt;0,1,0))</f>
        <v>0</v>
      </c>
      <c r="P6408" s="16">
        <f t="shared" si="4"/>
        <v>0</v>
      </c>
    </row>
    <row r="6409" ht="15.75" customHeight="1">
      <c r="A6409" s="14">
        <v>45497.0</v>
      </c>
      <c r="B6409" s="15">
        <v>4.37</v>
      </c>
      <c r="C6409" s="15">
        <v>4.25</v>
      </c>
      <c r="D6409" s="15"/>
      <c r="E6409" s="15">
        <v>4.37</v>
      </c>
      <c r="F6409" s="15">
        <f t="shared" si="1"/>
        <v>-0.12</v>
      </c>
      <c r="G6409" s="15">
        <f t="shared" si="2"/>
        <v>4.25</v>
      </c>
      <c r="H6409" s="16">
        <v>0.0</v>
      </c>
      <c r="I6409" s="15">
        <f t="shared" si="3"/>
        <v>-0.12</v>
      </c>
      <c r="J6409" s="15">
        <v>18.04</v>
      </c>
      <c r="K6409" s="16">
        <f>IF(COUNTIFS(Release_Calendar!$A$2:$A$755,"US_CPI",Release_Calendar!$B$2:$B$755,$A6409)&gt;0,1,0)</f>
        <v>0</v>
      </c>
      <c r="L6409" s="16">
        <f>IF(COUNTIFS(Release_Calendar!$A$2:$A$755,"US_NFP",Release_Calendar!$B$2:$B$755,$A6409)&gt;0,1,0)</f>
        <v>0</v>
      </c>
      <c r="M6409" s="16">
        <f>IF($A6409&lt;Notes!$B$5,"",IF(COUNTIFS(Release_Calendar!$A$2:$A$755,"NZ_CPI",Release_Calendar!$B$2:$B$755,$A6409)&gt;0,1,0))</f>
        <v>0</v>
      </c>
      <c r="N6409" s="16">
        <f>IF($A6409&lt;Notes!$B$5,"",IF(COUNTIFS(Release_Calendar!$A$2:$A$755,"NZ_GDP",Release_Calendar!$B$2:$B$755,$A6409)&gt;0,1,0))</f>
        <v>0</v>
      </c>
      <c r="O6409" s="16">
        <f>IF($A6409&lt;Notes!$B$5,"",IF(COUNTIFS(Release_Calendar!$A$2:$A$755,"NZ_LABOUR",Release_Calendar!$B$2:$B$755,$A6409)&gt;0,1,0))</f>
        <v>0</v>
      </c>
      <c r="P6409" s="16">
        <f t="shared" si="4"/>
        <v>0</v>
      </c>
    </row>
    <row r="6410" ht="15.75" customHeight="1">
      <c r="A6410" s="14">
        <v>45498.0</v>
      </c>
      <c r="B6410" s="15">
        <v>4.41</v>
      </c>
      <c r="C6410" s="15">
        <v>4.21</v>
      </c>
      <c r="D6410" s="15"/>
      <c r="E6410" s="15">
        <v>4.37</v>
      </c>
      <c r="F6410" s="15">
        <f t="shared" si="1"/>
        <v>-0.2</v>
      </c>
      <c r="G6410" s="15">
        <f t="shared" si="2"/>
        <v>4.21</v>
      </c>
      <c r="H6410" s="16">
        <v>0.0</v>
      </c>
      <c r="I6410" s="15">
        <f t="shared" si="3"/>
        <v>-0.2</v>
      </c>
      <c r="J6410" s="15">
        <v>18.46</v>
      </c>
      <c r="K6410" s="16">
        <f>IF(COUNTIFS(Release_Calendar!$A$2:$A$755,"US_CPI",Release_Calendar!$B$2:$B$755,$A6410)&gt;0,1,0)</f>
        <v>0</v>
      </c>
      <c r="L6410" s="16">
        <f>IF(COUNTIFS(Release_Calendar!$A$2:$A$755,"US_NFP",Release_Calendar!$B$2:$B$755,$A6410)&gt;0,1,0)</f>
        <v>0</v>
      </c>
      <c r="M6410" s="16">
        <f>IF($A6410&lt;Notes!$B$5,"",IF(COUNTIFS(Release_Calendar!$A$2:$A$755,"NZ_CPI",Release_Calendar!$B$2:$B$755,$A6410)&gt;0,1,0))</f>
        <v>0</v>
      </c>
      <c r="N6410" s="16">
        <f>IF($A6410&lt;Notes!$B$5,"",IF(COUNTIFS(Release_Calendar!$A$2:$A$755,"NZ_GDP",Release_Calendar!$B$2:$B$755,$A6410)&gt;0,1,0))</f>
        <v>0</v>
      </c>
      <c r="O6410" s="16">
        <f>IF($A6410&lt;Notes!$B$5,"",IF(COUNTIFS(Release_Calendar!$A$2:$A$755,"NZ_LABOUR",Release_Calendar!$B$2:$B$755,$A6410)&gt;0,1,0))</f>
        <v>0</v>
      </c>
      <c r="P6410" s="16">
        <f t="shared" si="4"/>
        <v>0</v>
      </c>
    </row>
    <row r="6411" ht="15.75" customHeight="1">
      <c r="A6411" s="14">
        <v>45499.0</v>
      </c>
      <c r="B6411" s="15">
        <v>4.36</v>
      </c>
      <c r="C6411" s="15">
        <v>4.19</v>
      </c>
      <c r="D6411" s="15"/>
      <c r="E6411" s="15">
        <v>4.34</v>
      </c>
      <c r="F6411" s="15">
        <f t="shared" si="1"/>
        <v>-0.17</v>
      </c>
      <c r="G6411" s="15">
        <f t="shared" si="2"/>
        <v>4.19</v>
      </c>
      <c r="H6411" s="16">
        <v>0.0</v>
      </c>
      <c r="I6411" s="15">
        <f t="shared" si="3"/>
        <v>-0.17</v>
      </c>
      <c r="J6411" s="15">
        <v>16.39</v>
      </c>
      <c r="K6411" s="16">
        <f>IF(COUNTIFS(Release_Calendar!$A$2:$A$755,"US_CPI",Release_Calendar!$B$2:$B$755,$A6411)&gt;0,1,0)</f>
        <v>0</v>
      </c>
      <c r="L6411" s="16">
        <f>IF(COUNTIFS(Release_Calendar!$A$2:$A$755,"US_NFP",Release_Calendar!$B$2:$B$755,$A6411)&gt;0,1,0)</f>
        <v>0</v>
      </c>
      <c r="M6411" s="16">
        <f>IF($A6411&lt;Notes!$B$5,"",IF(COUNTIFS(Release_Calendar!$A$2:$A$755,"NZ_CPI",Release_Calendar!$B$2:$B$755,$A6411)&gt;0,1,0))</f>
        <v>0</v>
      </c>
      <c r="N6411" s="16">
        <f>IF($A6411&lt;Notes!$B$5,"",IF(COUNTIFS(Release_Calendar!$A$2:$A$755,"NZ_GDP",Release_Calendar!$B$2:$B$755,$A6411)&gt;0,1,0))</f>
        <v>0</v>
      </c>
      <c r="O6411" s="16">
        <f>IF($A6411&lt;Notes!$B$5,"",IF(COUNTIFS(Release_Calendar!$A$2:$A$755,"NZ_LABOUR",Release_Calendar!$B$2:$B$755,$A6411)&gt;0,1,0))</f>
        <v>0</v>
      </c>
      <c r="P6411" s="16">
        <f t="shared" si="4"/>
        <v>0</v>
      </c>
    </row>
    <row r="6412" ht="15.75" customHeight="1">
      <c r="A6412" s="14">
        <v>45502.0</v>
      </c>
      <c r="B6412" s="15">
        <v>4.36</v>
      </c>
      <c r="C6412" s="15">
        <v>4.19</v>
      </c>
      <c r="D6412" s="15"/>
      <c r="E6412" s="15">
        <v>4.32</v>
      </c>
      <c r="F6412" s="15">
        <f t="shared" si="1"/>
        <v>-0.17</v>
      </c>
      <c r="G6412" s="15">
        <f t="shared" si="2"/>
        <v>4.19</v>
      </c>
      <c r="H6412" s="16">
        <v>0.0</v>
      </c>
      <c r="I6412" s="15">
        <f t="shared" si="3"/>
        <v>-0.17</v>
      </c>
      <c r="J6412" s="15">
        <v>16.6</v>
      </c>
      <c r="K6412" s="16">
        <f>IF(COUNTIFS(Release_Calendar!$A$2:$A$755,"US_CPI",Release_Calendar!$B$2:$B$755,$A6412)&gt;0,1,0)</f>
        <v>0</v>
      </c>
      <c r="L6412" s="16">
        <f>IF(COUNTIFS(Release_Calendar!$A$2:$A$755,"US_NFP",Release_Calendar!$B$2:$B$755,$A6412)&gt;0,1,0)</f>
        <v>0</v>
      </c>
      <c r="M6412" s="16">
        <f>IF($A6412&lt;Notes!$B$5,"",IF(COUNTIFS(Release_Calendar!$A$2:$A$755,"NZ_CPI",Release_Calendar!$B$2:$B$755,$A6412)&gt;0,1,0))</f>
        <v>0</v>
      </c>
      <c r="N6412" s="16">
        <f>IF($A6412&lt;Notes!$B$5,"",IF(COUNTIFS(Release_Calendar!$A$2:$A$755,"NZ_GDP",Release_Calendar!$B$2:$B$755,$A6412)&gt;0,1,0))</f>
        <v>0</v>
      </c>
      <c r="O6412" s="16">
        <f>IF($A6412&lt;Notes!$B$5,"",IF(COUNTIFS(Release_Calendar!$A$2:$A$755,"NZ_LABOUR",Release_Calendar!$B$2:$B$755,$A6412)&gt;0,1,0))</f>
        <v>0</v>
      </c>
      <c r="P6412" s="16">
        <f t="shared" si="4"/>
        <v>0</v>
      </c>
    </row>
    <row r="6413" ht="15.75" customHeight="1">
      <c r="A6413" s="14">
        <v>45503.0</v>
      </c>
      <c r="B6413" s="15">
        <v>4.35</v>
      </c>
      <c r="C6413" s="15">
        <v>4.22</v>
      </c>
      <c r="D6413" s="15"/>
      <c r="E6413" s="15">
        <v>4.34</v>
      </c>
      <c r="F6413" s="15">
        <f t="shared" si="1"/>
        <v>-0.13</v>
      </c>
      <c r="G6413" s="15">
        <f t="shared" si="2"/>
        <v>4.22</v>
      </c>
      <c r="H6413" s="16">
        <v>0.0</v>
      </c>
      <c r="I6413" s="15">
        <f t="shared" si="3"/>
        <v>-0.13</v>
      </c>
      <c r="J6413" s="15">
        <v>17.69</v>
      </c>
      <c r="K6413" s="16">
        <f>IF(COUNTIFS(Release_Calendar!$A$2:$A$755,"US_CPI",Release_Calendar!$B$2:$B$755,$A6413)&gt;0,1,0)</f>
        <v>0</v>
      </c>
      <c r="L6413" s="16">
        <f>IF(COUNTIFS(Release_Calendar!$A$2:$A$755,"US_NFP",Release_Calendar!$B$2:$B$755,$A6413)&gt;0,1,0)</f>
        <v>0</v>
      </c>
      <c r="M6413" s="16">
        <f>IF($A6413&lt;Notes!$B$5,"",IF(COUNTIFS(Release_Calendar!$A$2:$A$755,"NZ_CPI",Release_Calendar!$B$2:$B$755,$A6413)&gt;0,1,0))</f>
        <v>0</v>
      </c>
      <c r="N6413" s="16">
        <f>IF($A6413&lt;Notes!$B$5,"",IF(COUNTIFS(Release_Calendar!$A$2:$A$755,"NZ_GDP",Release_Calendar!$B$2:$B$755,$A6413)&gt;0,1,0))</f>
        <v>0</v>
      </c>
      <c r="O6413" s="16">
        <f>IF($A6413&lt;Notes!$B$5,"",IF(COUNTIFS(Release_Calendar!$A$2:$A$755,"NZ_LABOUR",Release_Calendar!$B$2:$B$755,$A6413)&gt;0,1,0))</f>
        <v>0</v>
      </c>
      <c r="P6413" s="16">
        <f t="shared" si="4"/>
        <v>0</v>
      </c>
    </row>
    <row r="6414" ht="15.75" customHeight="1">
      <c r="A6414" s="14">
        <v>45504.0</v>
      </c>
      <c r="B6414" s="15">
        <v>4.29</v>
      </c>
      <c r="C6414" s="15">
        <v>4.22</v>
      </c>
      <c r="D6414" s="15"/>
      <c r="E6414" s="15">
        <v>4.34</v>
      </c>
      <c r="F6414" s="15">
        <f t="shared" si="1"/>
        <v>-0.07</v>
      </c>
      <c r="G6414" s="15">
        <f t="shared" si="2"/>
        <v>4.22</v>
      </c>
      <c r="H6414" s="16">
        <v>0.0</v>
      </c>
      <c r="I6414" s="15">
        <f t="shared" si="3"/>
        <v>-0.07</v>
      </c>
      <c r="J6414" s="15">
        <v>16.36</v>
      </c>
      <c r="K6414" s="16">
        <f>IF(COUNTIFS(Release_Calendar!$A$2:$A$755,"US_CPI",Release_Calendar!$B$2:$B$755,$A6414)&gt;0,1,0)</f>
        <v>0</v>
      </c>
      <c r="L6414" s="16">
        <f>IF(COUNTIFS(Release_Calendar!$A$2:$A$755,"US_NFP",Release_Calendar!$B$2:$B$755,$A6414)&gt;0,1,0)</f>
        <v>0</v>
      </c>
      <c r="M6414" s="16">
        <f>IF($A6414&lt;Notes!$B$5,"",IF(COUNTIFS(Release_Calendar!$A$2:$A$755,"NZ_CPI",Release_Calendar!$B$2:$B$755,$A6414)&gt;0,1,0))</f>
        <v>0</v>
      </c>
      <c r="N6414" s="16">
        <f>IF($A6414&lt;Notes!$B$5,"",IF(COUNTIFS(Release_Calendar!$A$2:$A$755,"NZ_GDP",Release_Calendar!$B$2:$B$755,$A6414)&gt;0,1,0))</f>
        <v>0</v>
      </c>
      <c r="O6414" s="16">
        <f>IF($A6414&lt;Notes!$B$5,"",IF(COUNTIFS(Release_Calendar!$A$2:$A$755,"NZ_LABOUR",Release_Calendar!$B$2:$B$755,$A6414)&gt;0,1,0))</f>
        <v>0</v>
      </c>
      <c r="P6414" s="16">
        <f t="shared" si="4"/>
        <v>0</v>
      </c>
    </row>
    <row r="6415" ht="15.75" customHeight="1">
      <c r="A6415" s="14">
        <v>45505.0</v>
      </c>
      <c r="B6415" s="15">
        <v>4.16</v>
      </c>
      <c r="C6415" s="15">
        <v>4.19</v>
      </c>
      <c r="D6415" s="15"/>
      <c r="E6415" s="15">
        <v>4.28</v>
      </c>
      <c r="F6415" s="15">
        <f t="shared" si="1"/>
        <v>0.03</v>
      </c>
      <c r="G6415" s="15">
        <f t="shared" si="2"/>
        <v>4.19</v>
      </c>
      <c r="H6415" s="16">
        <v>0.0</v>
      </c>
      <c r="I6415" s="15">
        <f t="shared" si="3"/>
        <v>0.03</v>
      </c>
      <c r="J6415" s="15">
        <v>18.59</v>
      </c>
      <c r="K6415" s="16">
        <f>IF(COUNTIFS(Release_Calendar!$A$2:$A$755,"US_CPI",Release_Calendar!$B$2:$B$755,$A6415)&gt;0,1,0)</f>
        <v>0</v>
      </c>
      <c r="L6415" s="16">
        <f>IF(COUNTIFS(Release_Calendar!$A$2:$A$755,"US_NFP",Release_Calendar!$B$2:$B$755,$A6415)&gt;0,1,0)</f>
        <v>0</v>
      </c>
      <c r="M6415" s="16">
        <f>IF($A6415&lt;Notes!$B$5,"",IF(COUNTIFS(Release_Calendar!$A$2:$A$755,"NZ_CPI",Release_Calendar!$B$2:$B$755,$A6415)&gt;0,1,0))</f>
        <v>0</v>
      </c>
      <c r="N6415" s="16">
        <f>IF($A6415&lt;Notes!$B$5,"",IF(COUNTIFS(Release_Calendar!$A$2:$A$755,"NZ_GDP",Release_Calendar!$B$2:$B$755,$A6415)&gt;0,1,0))</f>
        <v>0</v>
      </c>
      <c r="O6415" s="16">
        <f>IF($A6415&lt;Notes!$B$5,"",IF(COUNTIFS(Release_Calendar!$A$2:$A$755,"NZ_LABOUR",Release_Calendar!$B$2:$B$755,$A6415)&gt;0,1,0))</f>
        <v>0</v>
      </c>
      <c r="P6415" s="16">
        <f t="shared" si="4"/>
        <v>0</v>
      </c>
    </row>
    <row r="6416" ht="15.75" customHeight="1">
      <c r="A6416" s="14">
        <v>45506.0</v>
      </c>
      <c r="B6416" s="15">
        <v>3.88</v>
      </c>
      <c r="C6416" s="15">
        <v>4.14</v>
      </c>
      <c r="D6416" s="15"/>
      <c r="E6416" s="15">
        <v>4.25</v>
      </c>
      <c r="F6416" s="15">
        <f t="shared" si="1"/>
        <v>0.26</v>
      </c>
      <c r="G6416" s="15">
        <f t="shared" si="2"/>
        <v>4.14</v>
      </c>
      <c r="H6416" s="16">
        <v>0.0</v>
      </c>
      <c r="I6416" s="15">
        <f t="shared" si="3"/>
        <v>0.26</v>
      </c>
      <c r="J6416" s="15">
        <v>23.39</v>
      </c>
      <c r="K6416" s="16">
        <f>IF(COUNTIFS(Release_Calendar!$A$2:$A$755,"US_CPI",Release_Calendar!$B$2:$B$755,$A6416)&gt;0,1,0)</f>
        <v>0</v>
      </c>
      <c r="L6416" s="16">
        <f>IF(COUNTIFS(Release_Calendar!$A$2:$A$755,"US_NFP",Release_Calendar!$B$2:$B$755,$A6416)&gt;0,1,0)</f>
        <v>1</v>
      </c>
      <c r="M6416" s="16">
        <f>IF($A6416&lt;Notes!$B$5,"",IF(COUNTIFS(Release_Calendar!$A$2:$A$755,"NZ_CPI",Release_Calendar!$B$2:$B$755,$A6416)&gt;0,1,0))</f>
        <v>0</v>
      </c>
      <c r="N6416" s="16">
        <f>IF($A6416&lt;Notes!$B$5,"",IF(COUNTIFS(Release_Calendar!$A$2:$A$755,"NZ_GDP",Release_Calendar!$B$2:$B$755,$A6416)&gt;0,1,0))</f>
        <v>0</v>
      </c>
      <c r="O6416" s="16">
        <f>IF($A6416&lt;Notes!$B$5,"",IF(COUNTIFS(Release_Calendar!$A$2:$A$755,"NZ_LABOUR",Release_Calendar!$B$2:$B$755,$A6416)&gt;0,1,0))</f>
        <v>0</v>
      </c>
      <c r="P6416" s="16">
        <f t="shared" si="4"/>
        <v>1</v>
      </c>
    </row>
    <row r="6417" ht="15.75" customHeight="1">
      <c r="A6417" s="14">
        <v>45509.0</v>
      </c>
      <c r="B6417" s="15">
        <v>3.89</v>
      </c>
      <c r="C6417" s="15">
        <v>3.95</v>
      </c>
      <c r="D6417" s="15"/>
      <c r="E6417" s="15">
        <v>4.08</v>
      </c>
      <c r="F6417" s="15">
        <f t="shared" si="1"/>
        <v>0.06</v>
      </c>
      <c r="G6417" s="15">
        <f t="shared" si="2"/>
        <v>3.95</v>
      </c>
      <c r="H6417" s="16">
        <v>0.0</v>
      </c>
      <c r="I6417" s="15">
        <f t="shared" si="3"/>
        <v>0.06</v>
      </c>
      <c r="J6417" s="15">
        <v>38.57</v>
      </c>
      <c r="K6417" s="16">
        <f>IF(COUNTIFS(Release_Calendar!$A$2:$A$755,"US_CPI",Release_Calendar!$B$2:$B$755,$A6417)&gt;0,1,0)</f>
        <v>0</v>
      </c>
      <c r="L6417" s="16">
        <f>IF(COUNTIFS(Release_Calendar!$A$2:$A$755,"US_NFP",Release_Calendar!$B$2:$B$755,$A6417)&gt;0,1,0)</f>
        <v>0</v>
      </c>
      <c r="M6417" s="16">
        <f>IF($A6417&lt;Notes!$B$5,"",IF(COUNTIFS(Release_Calendar!$A$2:$A$755,"NZ_CPI",Release_Calendar!$B$2:$B$755,$A6417)&gt;0,1,0))</f>
        <v>0</v>
      </c>
      <c r="N6417" s="16">
        <f>IF($A6417&lt;Notes!$B$5,"",IF(COUNTIFS(Release_Calendar!$A$2:$A$755,"NZ_GDP",Release_Calendar!$B$2:$B$755,$A6417)&gt;0,1,0))</f>
        <v>0</v>
      </c>
      <c r="O6417" s="16">
        <f>IF($A6417&lt;Notes!$B$5,"",IF(COUNTIFS(Release_Calendar!$A$2:$A$755,"NZ_LABOUR",Release_Calendar!$B$2:$B$755,$A6417)&gt;0,1,0))</f>
        <v>0</v>
      </c>
      <c r="P6417" s="16">
        <f t="shared" si="4"/>
        <v>0</v>
      </c>
    </row>
    <row r="6418" ht="15.75" customHeight="1">
      <c r="A6418" s="14">
        <v>45510.0</v>
      </c>
      <c r="B6418" s="15">
        <v>3.99</v>
      </c>
      <c r="C6418" s="15">
        <v>4.01</v>
      </c>
      <c r="D6418" s="15"/>
      <c r="E6418" s="15">
        <v>4.14</v>
      </c>
      <c r="F6418" s="15">
        <f t="shared" si="1"/>
        <v>0.02</v>
      </c>
      <c r="G6418" s="15">
        <f t="shared" si="2"/>
        <v>4.01</v>
      </c>
      <c r="H6418" s="16">
        <v>0.0</v>
      </c>
      <c r="I6418" s="15">
        <f t="shared" si="3"/>
        <v>0.02</v>
      </c>
      <c r="J6418" s="15">
        <v>27.71</v>
      </c>
      <c r="K6418" s="16">
        <f>IF(COUNTIFS(Release_Calendar!$A$2:$A$755,"US_CPI",Release_Calendar!$B$2:$B$755,$A6418)&gt;0,1,0)</f>
        <v>0</v>
      </c>
      <c r="L6418" s="16">
        <f>IF(COUNTIFS(Release_Calendar!$A$2:$A$755,"US_NFP",Release_Calendar!$B$2:$B$755,$A6418)&gt;0,1,0)</f>
        <v>0</v>
      </c>
      <c r="M6418" s="16">
        <f>IF($A6418&lt;Notes!$B$5,"",IF(COUNTIFS(Release_Calendar!$A$2:$A$755,"NZ_CPI",Release_Calendar!$B$2:$B$755,$A6418)&gt;0,1,0))</f>
        <v>0</v>
      </c>
      <c r="N6418" s="16">
        <f>IF($A6418&lt;Notes!$B$5,"",IF(COUNTIFS(Release_Calendar!$A$2:$A$755,"NZ_GDP",Release_Calendar!$B$2:$B$755,$A6418)&gt;0,1,0))</f>
        <v>0</v>
      </c>
      <c r="O6418" s="16">
        <f>IF($A6418&lt;Notes!$B$5,"",IF(COUNTIFS(Release_Calendar!$A$2:$A$755,"NZ_LABOUR",Release_Calendar!$B$2:$B$755,$A6418)&gt;0,1,0))</f>
        <v>0</v>
      </c>
      <c r="P6418" s="16">
        <f t="shared" si="4"/>
        <v>0</v>
      </c>
    </row>
    <row r="6419" ht="15.75" customHeight="1">
      <c r="A6419" s="14">
        <v>45511.0</v>
      </c>
      <c r="B6419" s="15">
        <v>4.0</v>
      </c>
      <c r="C6419" s="15">
        <v>4.14</v>
      </c>
      <c r="D6419" s="15"/>
      <c r="E6419" s="15">
        <v>4.27</v>
      </c>
      <c r="F6419" s="15">
        <f t="shared" si="1"/>
        <v>0.14</v>
      </c>
      <c r="G6419" s="15">
        <f t="shared" si="2"/>
        <v>4.14</v>
      </c>
      <c r="H6419" s="16">
        <v>0.0</v>
      </c>
      <c r="I6419" s="15">
        <f t="shared" si="3"/>
        <v>0.14</v>
      </c>
      <c r="J6419" s="15">
        <v>27.85</v>
      </c>
      <c r="K6419" s="16">
        <f>IF(COUNTIFS(Release_Calendar!$A$2:$A$755,"US_CPI",Release_Calendar!$B$2:$B$755,$A6419)&gt;0,1,0)</f>
        <v>0</v>
      </c>
      <c r="L6419" s="16">
        <f>IF(COUNTIFS(Release_Calendar!$A$2:$A$755,"US_NFP",Release_Calendar!$B$2:$B$755,$A6419)&gt;0,1,0)</f>
        <v>0</v>
      </c>
      <c r="M6419" s="16">
        <f>IF($A6419&lt;Notes!$B$5,"",IF(COUNTIFS(Release_Calendar!$A$2:$A$755,"NZ_CPI",Release_Calendar!$B$2:$B$755,$A6419)&gt;0,1,0))</f>
        <v>0</v>
      </c>
      <c r="N6419" s="16">
        <f>IF($A6419&lt;Notes!$B$5,"",IF(COUNTIFS(Release_Calendar!$A$2:$A$755,"NZ_GDP",Release_Calendar!$B$2:$B$755,$A6419)&gt;0,1,0))</f>
        <v>0</v>
      </c>
      <c r="O6419" s="16">
        <f>IF($A6419&lt;Notes!$B$5,"",IF(COUNTIFS(Release_Calendar!$A$2:$A$755,"NZ_LABOUR",Release_Calendar!$B$2:$B$755,$A6419)&gt;0,1,0))</f>
        <v>1</v>
      </c>
      <c r="P6419" s="16">
        <f t="shared" si="4"/>
        <v>1</v>
      </c>
    </row>
    <row r="6420" ht="15.75" customHeight="1">
      <c r="A6420" s="14">
        <v>45512.0</v>
      </c>
      <c r="B6420" s="15">
        <v>4.04</v>
      </c>
      <c r="C6420" s="15">
        <v>4.04</v>
      </c>
      <c r="D6420" s="15"/>
      <c r="E6420" s="15">
        <v>4.18</v>
      </c>
      <c r="F6420" s="15">
        <f t="shared" si="1"/>
        <v>0</v>
      </c>
      <c r="G6420" s="15">
        <f t="shared" si="2"/>
        <v>4.04</v>
      </c>
      <c r="H6420" s="16">
        <v>0.0</v>
      </c>
      <c r="I6420" s="15">
        <f t="shared" si="3"/>
        <v>0</v>
      </c>
      <c r="J6420" s="15">
        <v>23.79</v>
      </c>
      <c r="K6420" s="16">
        <f>IF(COUNTIFS(Release_Calendar!$A$2:$A$755,"US_CPI",Release_Calendar!$B$2:$B$755,$A6420)&gt;0,1,0)</f>
        <v>0</v>
      </c>
      <c r="L6420" s="16">
        <f>IF(COUNTIFS(Release_Calendar!$A$2:$A$755,"US_NFP",Release_Calendar!$B$2:$B$755,$A6420)&gt;0,1,0)</f>
        <v>0</v>
      </c>
      <c r="M6420" s="16">
        <f>IF($A6420&lt;Notes!$B$5,"",IF(COUNTIFS(Release_Calendar!$A$2:$A$755,"NZ_CPI",Release_Calendar!$B$2:$B$755,$A6420)&gt;0,1,0))</f>
        <v>0</v>
      </c>
      <c r="N6420" s="16">
        <f>IF($A6420&lt;Notes!$B$5,"",IF(COUNTIFS(Release_Calendar!$A$2:$A$755,"NZ_GDP",Release_Calendar!$B$2:$B$755,$A6420)&gt;0,1,0))</f>
        <v>0</v>
      </c>
      <c r="O6420" s="16">
        <f>IF($A6420&lt;Notes!$B$5,"",IF(COUNTIFS(Release_Calendar!$A$2:$A$755,"NZ_LABOUR",Release_Calendar!$B$2:$B$755,$A6420)&gt;0,1,0))</f>
        <v>0</v>
      </c>
      <c r="P6420" s="16">
        <f t="shared" si="4"/>
        <v>0</v>
      </c>
    </row>
    <row r="6421" ht="15.75" customHeight="1">
      <c r="A6421" s="14">
        <v>45513.0</v>
      </c>
      <c r="B6421" s="15">
        <v>4.05</v>
      </c>
      <c r="C6421" s="15">
        <v>3.99</v>
      </c>
      <c r="D6421" s="15"/>
      <c r="E6421" s="15">
        <v>4.14</v>
      </c>
      <c r="F6421" s="15">
        <f t="shared" si="1"/>
        <v>-0.06</v>
      </c>
      <c r="G6421" s="15">
        <f t="shared" si="2"/>
        <v>3.99</v>
      </c>
      <c r="H6421" s="16">
        <v>0.0</v>
      </c>
      <c r="I6421" s="15">
        <f t="shared" si="3"/>
        <v>-0.06</v>
      </c>
      <c r="J6421" s="15">
        <v>20.37</v>
      </c>
      <c r="K6421" s="16">
        <f>IF(COUNTIFS(Release_Calendar!$A$2:$A$755,"US_CPI",Release_Calendar!$B$2:$B$755,$A6421)&gt;0,1,0)</f>
        <v>0</v>
      </c>
      <c r="L6421" s="16">
        <f>IF(COUNTIFS(Release_Calendar!$A$2:$A$755,"US_NFP",Release_Calendar!$B$2:$B$755,$A6421)&gt;0,1,0)</f>
        <v>0</v>
      </c>
      <c r="M6421" s="16">
        <f>IF($A6421&lt;Notes!$B$5,"",IF(COUNTIFS(Release_Calendar!$A$2:$A$755,"NZ_CPI",Release_Calendar!$B$2:$B$755,$A6421)&gt;0,1,0))</f>
        <v>0</v>
      </c>
      <c r="N6421" s="16">
        <f>IF($A6421&lt;Notes!$B$5,"",IF(COUNTIFS(Release_Calendar!$A$2:$A$755,"NZ_GDP",Release_Calendar!$B$2:$B$755,$A6421)&gt;0,1,0))</f>
        <v>0</v>
      </c>
      <c r="O6421" s="16">
        <f>IF($A6421&lt;Notes!$B$5,"",IF(COUNTIFS(Release_Calendar!$A$2:$A$755,"NZ_LABOUR",Release_Calendar!$B$2:$B$755,$A6421)&gt;0,1,0))</f>
        <v>0</v>
      </c>
      <c r="P6421" s="16">
        <f t="shared" si="4"/>
        <v>0</v>
      </c>
    </row>
    <row r="6422" ht="15.75" customHeight="1">
      <c r="A6422" s="14">
        <v>45516.0</v>
      </c>
      <c r="B6422" s="15">
        <v>4.01</v>
      </c>
      <c r="C6422" s="15">
        <v>4.0</v>
      </c>
      <c r="D6422" s="15"/>
      <c r="E6422" s="15">
        <v>4.15</v>
      </c>
      <c r="F6422" s="15">
        <f t="shared" si="1"/>
        <v>-0.01</v>
      </c>
      <c r="G6422" s="15">
        <f t="shared" si="2"/>
        <v>4</v>
      </c>
      <c r="H6422" s="16">
        <v>0.0</v>
      </c>
      <c r="I6422" s="15">
        <f t="shared" si="3"/>
        <v>-0.01</v>
      </c>
      <c r="J6422" s="15">
        <v>20.71</v>
      </c>
      <c r="K6422" s="16">
        <f>IF(COUNTIFS(Release_Calendar!$A$2:$A$755,"US_CPI",Release_Calendar!$B$2:$B$755,$A6422)&gt;0,1,0)</f>
        <v>0</v>
      </c>
      <c r="L6422" s="16">
        <f>IF(COUNTIFS(Release_Calendar!$A$2:$A$755,"US_NFP",Release_Calendar!$B$2:$B$755,$A6422)&gt;0,1,0)</f>
        <v>0</v>
      </c>
      <c r="M6422" s="16">
        <f>IF($A6422&lt;Notes!$B$5,"",IF(COUNTIFS(Release_Calendar!$A$2:$A$755,"NZ_CPI",Release_Calendar!$B$2:$B$755,$A6422)&gt;0,1,0))</f>
        <v>0</v>
      </c>
      <c r="N6422" s="16">
        <f>IF($A6422&lt;Notes!$B$5,"",IF(COUNTIFS(Release_Calendar!$A$2:$A$755,"NZ_GDP",Release_Calendar!$B$2:$B$755,$A6422)&gt;0,1,0))</f>
        <v>0</v>
      </c>
      <c r="O6422" s="16">
        <f>IF($A6422&lt;Notes!$B$5,"",IF(COUNTIFS(Release_Calendar!$A$2:$A$755,"NZ_LABOUR",Release_Calendar!$B$2:$B$755,$A6422)&gt;0,1,0))</f>
        <v>0</v>
      </c>
      <c r="P6422" s="16">
        <f t="shared" si="4"/>
        <v>0</v>
      </c>
    </row>
    <row r="6423" ht="15.75" customHeight="1">
      <c r="A6423" s="14">
        <v>45517.0</v>
      </c>
      <c r="B6423" s="15">
        <v>3.93</v>
      </c>
      <c r="C6423" s="15">
        <v>4.02</v>
      </c>
      <c r="D6423" s="15"/>
      <c r="E6423" s="15">
        <v>4.17</v>
      </c>
      <c r="F6423" s="15">
        <f t="shared" si="1"/>
        <v>0.09</v>
      </c>
      <c r="G6423" s="15">
        <f t="shared" si="2"/>
        <v>4.02</v>
      </c>
      <c r="H6423" s="16">
        <v>0.0</v>
      </c>
      <c r="I6423" s="15">
        <f t="shared" si="3"/>
        <v>0.09</v>
      </c>
      <c r="J6423" s="15">
        <v>18.12</v>
      </c>
      <c r="K6423" s="16">
        <f>IF(COUNTIFS(Release_Calendar!$A$2:$A$755,"US_CPI",Release_Calendar!$B$2:$B$755,$A6423)&gt;0,1,0)</f>
        <v>0</v>
      </c>
      <c r="L6423" s="16">
        <f>IF(COUNTIFS(Release_Calendar!$A$2:$A$755,"US_NFP",Release_Calendar!$B$2:$B$755,$A6423)&gt;0,1,0)</f>
        <v>0</v>
      </c>
      <c r="M6423" s="16">
        <f>IF($A6423&lt;Notes!$B$5,"",IF(COUNTIFS(Release_Calendar!$A$2:$A$755,"NZ_CPI",Release_Calendar!$B$2:$B$755,$A6423)&gt;0,1,0))</f>
        <v>0</v>
      </c>
      <c r="N6423" s="16">
        <f>IF($A6423&lt;Notes!$B$5,"",IF(COUNTIFS(Release_Calendar!$A$2:$A$755,"NZ_GDP",Release_Calendar!$B$2:$B$755,$A6423)&gt;0,1,0))</f>
        <v>0</v>
      </c>
      <c r="O6423" s="16">
        <f>IF($A6423&lt;Notes!$B$5,"",IF(COUNTIFS(Release_Calendar!$A$2:$A$755,"NZ_LABOUR",Release_Calendar!$B$2:$B$755,$A6423)&gt;0,1,0))</f>
        <v>0</v>
      </c>
      <c r="P6423" s="16">
        <f t="shared" si="4"/>
        <v>0</v>
      </c>
    </row>
    <row r="6424" ht="15.75" customHeight="1">
      <c r="A6424" s="14">
        <v>45518.0</v>
      </c>
      <c r="B6424" s="15">
        <v>3.94</v>
      </c>
      <c r="C6424" s="15">
        <v>3.89</v>
      </c>
      <c r="D6424" s="15"/>
      <c r="E6424" s="15">
        <v>4.03</v>
      </c>
      <c r="F6424" s="15">
        <f t="shared" si="1"/>
        <v>-0.05</v>
      </c>
      <c r="G6424" s="15">
        <f t="shared" si="2"/>
        <v>3.89</v>
      </c>
      <c r="H6424" s="16">
        <v>0.0</v>
      </c>
      <c r="I6424" s="15">
        <f t="shared" si="3"/>
        <v>-0.05</v>
      </c>
      <c r="J6424" s="15">
        <v>16.19</v>
      </c>
      <c r="K6424" s="16">
        <f>IF(COUNTIFS(Release_Calendar!$A$2:$A$755,"US_CPI",Release_Calendar!$B$2:$B$755,$A6424)&gt;0,1,0)</f>
        <v>1</v>
      </c>
      <c r="L6424" s="16">
        <f>IF(COUNTIFS(Release_Calendar!$A$2:$A$755,"US_NFP",Release_Calendar!$B$2:$B$755,$A6424)&gt;0,1,0)</f>
        <v>0</v>
      </c>
      <c r="M6424" s="16">
        <f>IF($A6424&lt;Notes!$B$5,"",IF(COUNTIFS(Release_Calendar!$A$2:$A$755,"NZ_CPI",Release_Calendar!$B$2:$B$755,$A6424)&gt;0,1,0))</f>
        <v>0</v>
      </c>
      <c r="N6424" s="16">
        <f>IF($A6424&lt;Notes!$B$5,"",IF(COUNTIFS(Release_Calendar!$A$2:$A$755,"NZ_GDP",Release_Calendar!$B$2:$B$755,$A6424)&gt;0,1,0))</f>
        <v>0</v>
      </c>
      <c r="O6424" s="16">
        <f>IF($A6424&lt;Notes!$B$5,"",IF(COUNTIFS(Release_Calendar!$A$2:$A$755,"NZ_LABOUR",Release_Calendar!$B$2:$B$755,$A6424)&gt;0,1,0))</f>
        <v>0</v>
      </c>
      <c r="P6424" s="16">
        <f t="shared" si="4"/>
        <v>1</v>
      </c>
    </row>
    <row r="6425" ht="15.75" customHeight="1">
      <c r="A6425" s="14">
        <v>45519.0</v>
      </c>
      <c r="B6425" s="15">
        <v>4.08</v>
      </c>
      <c r="C6425" s="15">
        <v>3.75</v>
      </c>
      <c r="D6425" s="15"/>
      <c r="E6425" s="15">
        <v>3.9</v>
      </c>
      <c r="F6425" s="15">
        <f t="shared" si="1"/>
        <v>-0.33</v>
      </c>
      <c r="G6425" s="15">
        <f t="shared" si="2"/>
        <v>3.75</v>
      </c>
      <c r="H6425" s="16">
        <v>0.0</v>
      </c>
      <c r="I6425" s="15">
        <f t="shared" si="3"/>
        <v>-0.33</v>
      </c>
      <c r="J6425" s="15">
        <v>15.23</v>
      </c>
      <c r="K6425" s="16">
        <f>IF(COUNTIFS(Release_Calendar!$A$2:$A$755,"US_CPI",Release_Calendar!$B$2:$B$755,$A6425)&gt;0,1,0)</f>
        <v>0</v>
      </c>
      <c r="L6425" s="16">
        <f>IF(COUNTIFS(Release_Calendar!$A$2:$A$755,"US_NFP",Release_Calendar!$B$2:$B$755,$A6425)&gt;0,1,0)</f>
        <v>0</v>
      </c>
      <c r="M6425" s="16">
        <f>IF($A6425&lt;Notes!$B$5,"",IF(COUNTIFS(Release_Calendar!$A$2:$A$755,"NZ_CPI",Release_Calendar!$B$2:$B$755,$A6425)&gt;0,1,0))</f>
        <v>0</v>
      </c>
      <c r="N6425" s="16">
        <f>IF($A6425&lt;Notes!$B$5,"",IF(COUNTIFS(Release_Calendar!$A$2:$A$755,"NZ_GDP",Release_Calendar!$B$2:$B$755,$A6425)&gt;0,1,0))</f>
        <v>0</v>
      </c>
      <c r="O6425" s="16">
        <f>IF($A6425&lt;Notes!$B$5,"",IF(COUNTIFS(Release_Calendar!$A$2:$A$755,"NZ_LABOUR",Release_Calendar!$B$2:$B$755,$A6425)&gt;0,1,0))</f>
        <v>0</v>
      </c>
      <c r="P6425" s="16">
        <f t="shared" si="4"/>
        <v>0</v>
      </c>
    </row>
    <row r="6426" ht="15.75" customHeight="1">
      <c r="A6426" s="14">
        <v>45520.0</v>
      </c>
      <c r="B6426" s="15">
        <v>4.06</v>
      </c>
      <c r="C6426" s="15">
        <v>3.77</v>
      </c>
      <c r="D6426" s="15"/>
      <c r="E6426" s="15">
        <v>3.91</v>
      </c>
      <c r="F6426" s="15">
        <f t="shared" si="1"/>
        <v>-0.29</v>
      </c>
      <c r="G6426" s="15">
        <f t="shared" si="2"/>
        <v>3.77</v>
      </c>
      <c r="H6426" s="16">
        <v>0.0</v>
      </c>
      <c r="I6426" s="15">
        <f t="shared" si="3"/>
        <v>-0.29</v>
      </c>
      <c r="J6426" s="15">
        <v>14.8</v>
      </c>
      <c r="K6426" s="16">
        <f>IF(COUNTIFS(Release_Calendar!$A$2:$A$755,"US_CPI",Release_Calendar!$B$2:$B$755,$A6426)&gt;0,1,0)</f>
        <v>0</v>
      </c>
      <c r="L6426" s="16">
        <f>IF(COUNTIFS(Release_Calendar!$A$2:$A$755,"US_NFP",Release_Calendar!$B$2:$B$755,$A6426)&gt;0,1,0)</f>
        <v>0</v>
      </c>
      <c r="M6426" s="16">
        <f>IF($A6426&lt;Notes!$B$5,"",IF(COUNTIFS(Release_Calendar!$A$2:$A$755,"NZ_CPI",Release_Calendar!$B$2:$B$755,$A6426)&gt;0,1,0))</f>
        <v>0</v>
      </c>
      <c r="N6426" s="16">
        <f>IF($A6426&lt;Notes!$B$5,"",IF(COUNTIFS(Release_Calendar!$A$2:$A$755,"NZ_GDP",Release_Calendar!$B$2:$B$755,$A6426)&gt;0,1,0))</f>
        <v>0</v>
      </c>
      <c r="O6426" s="16">
        <f>IF($A6426&lt;Notes!$B$5,"",IF(COUNTIFS(Release_Calendar!$A$2:$A$755,"NZ_LABOUR",Release_Calendar!$B$2:$B$755,$A6426)&gt;0,1,0))</f>
        <v>0</v>
      </c>
      <c r="P6426" s="16">
        <f t="shared" si="4"/>
        <v>0</v>
      </c>
    </row>
    <row r="6427" ht="15.75" customHeight="1">
      <c r="A6427" s="14">
        <v>45523.0</v>
      </c>
      <c r="B6427" s="15">
        <v>4.06</v>
      </c>
      <c r="C6427" s="15">
        <v>3.83</v>
      </c>
      <c r="D6427" s="15"/>
      <c r="E6427" s="15">
        <v>3.97</v>
      </c>
      <c r="F6427" s="15">
        <f t="shared" si="1"/>
        <v>-0.23</v>
      </c>
      <c r="G6427" s="15">
        <f t="shared" si="2"/>
        <v>3.83</v>
      </c>
      <c r="H6427" s="16">
        <v>0.0</v>
      </c>
      <c r="I6427" s="15">
        <f t="shared" si="3"/>
        <v>-0.23</v>
      </c>
      <c r="J6427" s="15">
        <v>14.65</v>
      </c>
      <c r="K6427" s="16">
        <f>IF(COUNTIFS(Release_Calendar!$A$2:$A$755,"US_CPI",Release_Calendar!$B$2:$B$755,$A6427)&gt;0,1,0)</f>
        <v>0</v>
      </c>
      <c r="L6427" s="16">
        <f>IF(COUNTIFS(Release_Calendar!$A$2:$A$755,"US_NFP",Release_Calendar!$B$2:$B$755,$A6427)&gt;0,1,0)</f>
        <v>0</v>
      </c>
      <c r="M6427" s="16">
        <f>IF($A6427&lt;Notes!$B$5,"",IF(COUNTIFS(Release_Calendar!$A$2:$A$755,"NZ_CPI",Release_Calendar!$B$2:$B$755,$A6427)&gt;0,1,0))</f>
        <v>0</v>
      </c>
      <c r="N6427" s="16">
        <f>IF($A6427&lt;Notes!$B$5,"",IF(COUNTIFS(Release_Calendar!$A$2:$A$755,"NZ_GDP",Release_Calendar!$B$2:$B$755,$A6427)&gt;0,1,0))</f>
        <v>0</v>
      </c>
      <c r="O6427" s="16">
        <f>IF($A6427&lt;Notes!$B$5,"",IF(COUNTIFS(Release_Calendar!$A$2:$A$755,"NZ_LABOUR",Release_Calendar!$B$2:$B$755,$A6427)&gt;0,1,0))</f>
        <v>0</v>
      </c>
      <c r="P6427" s="16">
        <f t="shared" si="4"/>
        <v>0</v>
      </c>
    </row>
    <row r="6428" ht="15.75" customHeight="1">
      <c r="A6428" s="14">
        <v>45524.0</v>
      </c>
      <c r="B6428" s="15">
        <v>3.99</v>
      </c>
      <c r="C6428" s="15">
        <v>3.89</v>
      </c>
      <c r="D6428" s="15"/>
      <c r="E6428" s="15">
        <v>4.03</v>
      </c>
      <c r="F6428" s="15">
        <f t="shared" si="1"/>
        <v>-0.1</v>
      </c>
      <c r="G6428" s="15">
        <f t="shared" si="2"/>
        <v>3.89</v>
      </c>
      <c r="H6428" s="16">
        <v>0.0</v>
      </c>
      <c r="I6428" s="15">
        <f t="shared" si="3"/>
        <v>-0.1</v>
      </c>
      <c r="J6428" s="15">
        <v>15.88</v>
      </c>
      <c r="K6428" s="16">
        <f>IF(COUNTIFS(Release_Calendar!$A$2:$A$755,"US_CPI",Release_Calendar!$B$2:$B$755,$A6428)&gt;0,1,0)</f>
        <v>0</v>
      </c>
      <c r="L6428" s="16">
        <f>IF(COUNTIFS(Release_Calendar!$A$2:$A$755,"US_NFP",Release_Calendar!$B$2:$B$755,$A6428)&gt;0,1,0)</f>
        <v>0</v>
      </c>
      <c r="M6428" s="16">
        <f>IF($A6428&lt;Notes!$B$5,"",IF(COUNTIFS(Release_Calendar!$A$2:$A$755,"NZ_CPI",Release_Calendar!$B$2:$B$755,$A6428)&gt;0,1,0))</f>
        <v>0</v>
      </c>
      <c r="N6428" s="16">
        <f>IF($A6428&lt;Notes!$B$5,"",IF(COUNTIFS(Release_Calendar!$A$2:$A$755,"NZ_GDP",Release_Calendar!$B$2:$B$755,$A6428)&gt;0,1,0))</f>
        <v>0</v>
      </c>
      <c r="O6428" s="16">
        <f>IF($A6428&lt;Notes!$B$5,"",IF(COUNTIFS(Release_Calendar!$A$2:$A$755,"NZ_LABOUR",Release_Calendar!$B$2:$B$755,$A6428)&gt;0,1,0))</f>
        <v>0</v>
      </c>
      <c r="P6428" s="16">
        <f t="shared" si="4"/>
        <v>0</v>
      </c>
    </row>
    <row r="6429" ht="15.75" customHeight="1">
      <c r="A6429" s="14">
        <v>45525.0</v>
      </c>
      <c r="B6429" s="15">
        <v>3.92</v>
      </c>
      <c r="C6429" s="15">
        <v>3.86</v>
      </c>
      <c r="D6429" s="15"/>
      <c r="E6429" s="15">
        <v>4.03</v>
      </c>
      <c r="F6429" s="15">
        <f t="shared" si="1"/>
        <v>-0.06</v>
      </c>
      <c r="G6429" s="15">
        <f t="shared" si="2"/>
        <v>3.86</v>
      </c>
      <c r="H6429" s="16">
        <v>0.0</v>
      </c>
      <c r="I6429" s="15">
        <f t="shared" si="3"/>
        <v>-0.06</v>
      </c>
      <c r="J6429" s="15">
        <v>16.27</v>
      </c>
      <c r="K6429" s="16">
        <f>IF(COUNTIFS(Release_Calendar!$A$2:$A$755,"US_CPI",Release_Calendar!$B$2:$B$755,$A6429)&gt;0,1,0)</f>
        <v>0</v>
      </c>
      <c r="L6429" s="16">
        <f>IF(COUNTIFS(Release_Calendar!$A$2:$A$755,"US_NFP",Release_Calendar!$B$2:$B$755,$A6429)&gt;0,1,0)</f>
        <v>0</v>
      </c>
      <c r="M6429" s="16">
        <f>IF($A6429&lt;Notes!$B$5,"",IF(COUNTIFS(Release_Calendar!$A$2:$A$755,"NZ_CPI",Release_Calendar!$B$2:$B$755,$A6429)&gt;0,1,0))</f>
        <v>0</v>
      </c>
      <c r="N6429" s="16">
        <f>IF($A6429&lt;Notes!$B$5,"",IF(COUNTIFS(Release_Calendar!$A$2:$A$755,"NZ_GDP",Release_Calendar!$B$2:$B$755,$A6429)&gt;0,1,0))</f>
        <v>0</v>
      </c>
      <c r="O6429" s="16">
        <f>IF($A6429&lt;Notes!$B$5,"",IF(COUNTIFS(Release_Calendar!$A$2:$A$755,"NZ_LABOUR",Release_Calendar!$B$2:$B$755,$A6429)&gt;0,1,0))</f>
        <v>0</v>
      </c>
      <c r="P6429" s="16">
        <f t="shared" si="4"/>
        <v>0</v>
      </c>
    </row>
    <row r="6430" ht="15.75" customHeight="1">
      <c r="A6430" s="14">
        <v>45526.0</v>
      </c>
      <c r="B6430" s="15">
        <v>3.99</v>
      </c>
      <c r="C6430" s="15">
        <v>3.86</v>
      </c>
      <c r="D6430" s="15"/>
      <c r="E6430" s="15">
        <v>4.03</v>
      </c>
      <c r="F6430" s="15">
        <f t="shared" si="1"/>
        <v>-0.13</v>
      </c>
      <c r="G6430" s="15">
        <f t="shared" si="2"/>
        <v>3.86</v>
      </c>
      <c r="H6430" s="16">
        <v>0.0</v>
      </c>
      <c r="I6430" s="15">
        <f t="shared" si="3"/>
        <v>-0.13</v>
      </c>
      <c r="J6430" s="15">
        <v>17.55</v>
      </c>
      <c r="K6430" s="16">
        <f>IF(COUNTIFS(Release_Calendar!$A$2:$A$755,"US_CPI",Release_Calendar!$B$2:$B$755,$A6430)&gt;0,1,0)</f>
        <v>0</v>
      </c>
      <c r="L6430" s="16">
        <f>IF(COUNTIFS(Release_Calendar!$A$2:$A$755,"US_NFP",Release_Calendar!$B$2:$B$755,$A6430)&gt;0,1,0)</f>
        <v>0</v>
      </c>
      <c r="M6430" s="16">
        <f>IF($A6430&lt;Notes!$B$5,"",IF(COUNTIFS(Release_Calendar!$A$2:$A$755,"NZ_CPI",Release_Calendar!$B$2:$B$755,$A6430)&gt;0,1,0))</f>
        <v>0</v>
      </c>
      <c r="N6430" s="16">
        <f>IF($A6430&lt;Notes!$B$5,"",IF(COUNTIFS(Release_Calendar!$A$2:$A$755,"NZ_GDP",Release_Calendar!$B$2:$B$755,$A6430)&gt;0,1,0))</f>
        <v>0</v>
      </c>
      <c r="O6430" s="16">
        <f>IF($A6430&lt;Notes!$B$5,"",IF(COUNTIFS(Release_Calendar!$A$2:$A$755,"NZ_LABOUR",Release_Calendar!$B$2:$B$755,$A6430)&gt;0,1,0))</f>
        <v>0</v>
      </c>
      <c r="P6430" s="16">
        <f t="shared" si="4"/>
        <v>0</v>
      </c>
    </row>
    <row r="6431" ht="15.75" customHeight="1">
      <c r="A6431" s="14">
        <v>45527.0</v>
      </c>
      <c r="B6431" s="15">
        <v>3.9</v>
      </c>
      <c r="C6431" s="15">
        <v>3.87</v>
      </c>
      <c r="D6431" s="15"/>
      <c r="E6431" s="15">
        <v>4.04</v>
      </c>
      <c r="F6431" s="15">
        <f t="shared" si="1"/>
        <v>-0.03</v>
      </c>
      <c r="G6431" s="15">
        <f t="shared" si="2"/>
        <v>3.87</v>
      </c>
      <c r="H6431" s="16">
        <v>0.0</v>
      </c>
      <c r="I6431" s="15">
        <f t="shared" si="3"/>
        <v>-0.03</v>
      </c>
      <c r="J6431" s="15">
        <v>15.86</v>
      </c>
      <c r="K6431" s="16">
        <f>IF(COUNTIFS(Release_Calendar!$A$2:$A$755,"US_CPI",Release_Calendar!$B$2:$B$755,$A6431)&gt;0,1,0)</f>
        <v>0</v>
      </c>
      <c r="L6431" s="16">
        <f>IF(COUNTIFS(Release_Calendar!$A$2:$A$755,"US_NFP",Release_Calendar!$B$2:$B$755,$A6431)&gt;0,1,0)</f>
        <v>0</v>
      </c>
      <c r="M6431" s="16">
        <f>IF($A6431&lt;Notes!$B$5,"",IF(COUNTIFS(Release_Calendar!$A$2:$A$755,"NZ_CPI",Release_Calendar!$B$2:$B$755,$A6431)&gt;0,1,0))</f>
        <v>0</v>
      </c>
      <c r="N6431" s="16">
        <f>IF($A6431&lt;Notes!$B$5,"",IF(COUNTIFS(Release_Calendar!$A$2:$A$755,"NZ_GDP",Release_Calendar!$B$2:$B$755,$A6431)&gt;0,1,0))</f>
        <v>0</v>
      </c>
      <c r="O6431" s="16">
        <f>IF($A6431&lt;Notes!$B$5,"",IF(COUNTIFS(Release_Calendar!$A$2:$A$755,"NZ_LABOUR",Release_Calendar!$B$2:$B$755,$A6431)&gt;0,1,0))</f>
        <v>0</v>
      </c>
      <c r="P6431" s="16">
        <f t="shared" si="4"/>
        <v>0</v>
      </c>
    </row>
    <row r="6432" ht="15.75" customHeight="1">
      <c r="A6432" s="14">
        <v>45530.0</v>
      </c>
      <c r="B6432" s="15">
        <v>3.91</v>
      </c>
      <c r="C6432" s="15">
        <v>3.83</v>
      </c>
      <c r="D6432" s="15"/>
      <c r="E6432" s="15">
        <v>3.99</v>
      </c>
      <c r="F6432" s="15">
        <f t="shared" si="1"/>
        <v>-0.08</v>
      </c>
      <c r="G6432" s="15">
        <f t="shared" si="2"/>
        <v>3.83</v>
      </c>
      <c r="H6432" s="16">
        <v>0.0</v>
      </c>
      <c r="I6432" s="15">
        <f t="shared" si="3"/>
        <v>-0.08</v>
      </c>
      <c r="J6432" s="15">
        <v>16.15</v>
      </c>
      <c r="K6432" s="16">
        <f>IF(COUNTIFS(Release_Calendar!$A$2:$A$755,"US_CPI",Release_Calendar!$B$2:$B$755,$A6432)&gt;0,1,0)</f>
        <v>0</v>
      </c>
      <c r="L6432" s="16">
        <f>IF(COUNTIFS(Release_Calendar!$A$2:$A$755,"US_NFP",Release_Calendar!$B$2:$B$755,$A6432)&gt;0,1,0)</f>
        <v>0</v>
      </c>
      <c r="M6432" s="16">
        <f>IF($A6432&lt;Notes!$B$5,"",IF(COUNTIFS(Release_Calendar!$A$2:$A$755,"NZ_CPI",Release_Calendar!$B$2:$B$755,$A6432)&gt;0,1,0))</f>
        <v>0</v>
      </c>
      <c r="N6432" s="16">
        <f>IF($A6432&lt;Notes!$B$5,"",IF(COUNTIFS(Release_Calendar!$A$2:$A$755,"NZ_GDP",Release_Calendar!$B$2:$B$755,$A6432)&gt;0,1,0))</f>
        <v>0</v>
      </c>
      <c r="O6432" s="16">
        <f>IF($A6432&lt;Notes!$B$5,"",IF(COUNTIFS(Release_Calendar!$A$2:$A$755,"NZ_LABOUR",Release_Calendar!$B$2:$B$755,$A6432)&gt;0,1,0))</f>
        <v>0</v>
      </c>
      <c r="P6432" s="16">
        <f t="shared" si="4"/>
        <v>0</v>
      </c>
    </row>
    <row r="6433" ht="15.75" customHeight="1">
      <c r="A6433" s="14">
        <v>45531.0</v>
      </c>
      <c r="B6433" s="15">
        <v>3.83</v>
      </c>
      <c r="C6433" s="15">
        <v>3.87</v>
      </c>
      <c r="D6433" s="15"/>
      <c r="E6433" s="15">
        <v>4.04</v>
      </c>
      <c r="F6433" s="15">
        <f t="shared" si="1"/>
        <v>0.04</v>
      </c>
      <c r="G6433" s="15">
        <f t="shared" si="2"/>
        <v>3.87</v>
      </c>
      <c r="H6433" s="16">
        <v>0.0</v>
      </c>
      <c r="I6433" s="15">
        <f t="shared" si="3"/>
        <v>0.04</v>
      </c>
      <c r="J6433" s="15">
        <v>15.43</v>
      </c>
      <c r="K6433" s="16">
        <f>IF(COUNTIFS(Release_Calendar!$A$2:$A$755,"US_CPI",Release_Calendar!$B$2:$B$755,$A6433)&gt;0,1,0)</f>
        <v>0</v>
      </c>
      <c r="L6433" s="16">
        <f>IF(COUNTIFS(Release_Calendar!$A$2:$A$755,"US_NFP",Release_Calendar!$B$2:$B$755,$A6433)&gt;0,1,0)</f>
        <v>0</v>
      </c>
      <c r="M6433" s="16">
        <f>IF($A6433&lt;Notes!$B$5,"",IF(COUNTIFS(Release_Calendar!$A$2:$A$755,"NZ_CPI",Release_Calendar!$B$2:$B$755,$A6433)&gt;0,1,0))</f>
        <v>0</v>
      </c>
      <c r="N6433" s="16">
        <f>IF($A6433&lt;Notes!$B$5,"",IF(COUNTIFS(Release_Calendar!$A$2:$A$755,"NZ_GDP",Release_Calendar!$B$2:$B$755,$A6433)&gt;0,1,0))</f>
        <v>0</v>
      </c>
      <c r="O6433" s="16">
        <f>IF($A6433&lt;Notes!$B$5,"",IF(COUNTIFS(Release_Calendar!$A$2:$A$755,"NZ_LABOUR",Release_Calendar!$B$2:$B$755,$A6433)&gt;0,1,0))</f>
        <v>0</v>
      </c>
      <c r="P6433" s="16">
        <f t="shared" si="4"/>
        <v>0</v>
      </c>
    </row>
    <row r="6434" ht="15.75" customHeight="1">
      <c r="A6434" s="14">
        <v>45532.0</v>
      </c>
      <c r="B6434" s="15">
        <v>3.83</v>
      </c>
      <c r="C6434" s="15">
        <v>3.87</v>
      </c>
      <c r="D6434" s="15"/>
      <c r="E6434" s="15">
        <v>4.05</v>
      </c>
      <c r="F6434" s="15">
        <f t="shared" si="1"/>
        <v>0.04</v>
      </c>
      <c r="G6434" s="15">
        <f t="shared" si="2"/>
        <v>3.87</v>
      </c>
      <c r="H6434" s="16">
        <v>0.0</v>
      </c>
      <c r="I6434" s="15">
        <f t="shared" si="3"/>
        <v>0.04</v>
      </c>
      <c r="J6434" s="15">
        <v>17.11</v>
      </c>
      <c r="K6434" s="16">
        <f>IF(COUNTIFS(Release_Calendar!$A$2:$A$755,"US_CPI",Release_Calendar!$B$2:$B$755,$A6434)&gt;0,1,0)</f>
        <v>0</v>
      </c>
      <c r="L6434" s="16">
        <f>IF(COUNTIFS(Release_Calendar!$A$2:$A$755,"US_NFP",Release_Calendar!$B$2:$B$755,$A6434)&gt;0,1,0)</f>
        <v>0</v>
      </c>
      <c r="M6434" s="16">
        <f>IF($A6434&lt;Notes!$B$5,"",IF(COUNTIFS(Release_Calendar!$A$2:$A$755,"NZ_CPI",Release_Calendar!$B$2:$B$755,$A6434)&gt;0,1,0))</f>
        <v>0</v>
      </c>
      <c r="N6434" s="16">
        <f>IF($A6434&lt;Notes!$B$5,"",IF(COUNTIFS(Release_Calendar!$A$2:$A$755,"NZ_GDP",Release_Calendar!$B$2:$B$755,$A6434)&gt;0,1,0))</f>
        <v>0</v>
      </c>
      <c r="O6434" s="16">
        <f>IF($A6434&lt;Notes!$B$5,"",IF(COUNTIFS(Release_Calendar!$A$2:$A$755,"NZ_LABOUR",Release_Calendar!$B$2:$B$755,$A6434)&gt;0,1,0))</f>
        <v>0</v>
      </c>
      <c r="P6434" s="16">
        <f t="shared" si="4"/>
        <v>0</v>
      </c>
    </row>
    <row r="6435" ht="15.75" customHeight="1">
      <c r="A6435" s="14">
        <v>45533.0</v>
      </c>
      <c r="B6435" s="15">
        <v>3.87</v>
      </c>
      <c r="C6435" s="15">
        <v>3.92</v>
      </c>
      <c r="D6435" s="15"/>
      <c r="E6435" s="15">
        <v>4.09</v>
      </c>
      <c r="F6435" s="15">
        <f t="shared" si="1"/>
        <v>0.05</v>
      </c>
      <c r="G6435" s="15">
        <f t="shared" si="2"/>
        <v>3.92</v>
      </c>
      <c r="H6435" s="16">
        <v>0.0</v>
      </c>
      <c r="I6435" s="15">
        <f t="shared" si="3"/>
        <v>0.05</v>
      </c>
      <c r="J6435" s="15">
        <v>15.65</v>
      </c>
      <c r="K6435" s="16">
        <f>IF(COUNTIFS(Release_Calendar!$A$2:$A$755,"US_CPI",Release_Calendar!$B$2:$B$755,$A6435)&gt;0,1,0)</f>
        <v>0</v>
      </c>
      <c r="L6435" s="16">
        <f>IF(COUNTIFS(Release_Calendar!$A$2:$A$755,"US_NFP",Release_Calendar!$B$2:$B$755,$A6435)&gt;0,1,0)</f>
        <v>0</v>
      </c>
      <c r="M6435" s="16">
        <f>IF($A6435&lt;Notes!$B$5,"",IF(COUNTIFS(Release_Calendar!$A$2:$A$755,"NZ_CPI",Release_Calendar!$B$2:$B$755,$A6435)&gt;0,1,0))</f>
        <v>0</v>
      </c>
      <c r="N6435" s="16">
        <f>IF($A6435&lt;Notes!$B$5,"",IF(COUNTIFS(Release_Calendar!$A$2:$A$755,"NZ_GDP",Release_Calendar!$B$2:$B$755,$A6435)&gt;0,1,0))</f>
        <v>0</v>
      </c>
      <c r="O6435" s="16">
        <f>IF($A6435&lt;Notes!$B$5,"",IF(COUNTIFS(Release_Calendar!$A$2:$A$755,"NZ_LABOUR",Release_Calendar!$B$2:$B$755,$A6435)&gt;0,1,0))</f>
        <v>0</v>
      </c>
      <c r="P6435" s="16">
        <f t="shared" si="4"/>
        <v>0</v>
      </c>
    </row>
    <row r="6436" ht="15.75" customHeight="1">
      <c r="A6436" s="14">
        <v>45534.0</v>
      </c>
      <c r="B6436" s="15">
        <v>3.91</v>
      </c>
      <c r="C6436" s="15">
        <v>3.94</v>
      </c>
      <c r="D6436" s="15"/>
      <c r="E6436" s="15">
        <v>4.1</v>
      </c>
      <c r="F6436" s="15">
        <f t="shared" si="1"/>
        <v>0.03</v>
      </c>
      <c r="G6436" s="15">
        <f t="shared" si="2"/>
        <v>3.94</v>
      </c>
      <c r="H6436" s="16">
        <v>0.0</v>
      </c>
      <c r="I6436" s="15">
        <f t="shared" si="3"/>
        <v>0.03</v>
      </c>
      <c r="J6436" s="15">
        <v>15.0</v>
      </c>
      <c r="K6436" s="16">
        <f>IF(COUNTIFS(Release_Calendar!$A$2:$A$755,"US_CPI",Release_Calendar!$B$2:$B$755,$A6436)&gt;0,1,0)</f>
        <v>0</v>
      </c>
      <c r="L6436" s="16">
        <f>IF(COUNTIFS(Release_Calendar!$A$2:$A$755,"US_NFP",Release_Calendar!$B$2:$B$755,$A6436)&gt;0,1,0)</f>
        <v>0</v>
      </c>
      <c r="M6436" s="16">
        <f>IF($A6436&lt;Notes!$B$5,"",IF(COUNTIFS(Release_Calendar!$A$2:$A$755,"NZ_CPI",Release_Calendar!$B$2:$B$755,$A6436)&gt;0,1,0))</f>
        <v>0</v>
      </c>
      <c r="N6436" s="16">
        <f>IF($A6436&lt;Notes!$B$5,"",IF(COUNTIFS(Release_Calendar!$A$2:$A$755,"NZ_GDP",Release_Calendar!$B$2:$B$755,$A6436)&gt;0,1,0))</f>
        <v>0</v>
      </c>
      <c r="O6436" s="16">
        <f>IF($A6436&lt;Notes!$B$5,"",IF(COUNTIFS(Release_Calendar!$A$2:$A$755,"NZ_LABOUR",Release_Calendar!$B$2:$B$755,$A6436)&gt;0,1,0))</f>
        <v>0</v>
      </c>
      <c r="P6436" s="16">
        <f t="shared" si="4"/>
        <v>0</v>
      </c>
    </row>
    <row r="6437" ht="15.75" customHeight="1">
      <c r="A6437" s="14">
        <v>45537.0</v>
      </c>
      <c r="B6437" s="15"/>
      <c r="C6437" s="15">
        <v>3.96</v>
      </c>
      <c r="D6437" s="15"/>
      <c r="E6437" s="15">
        <v>4.13</v>
      </c>
      <c r="F6437" s="15" t="str">
        <f t="shared" si="1"/>
        <v/>
      </c>
      <c r="G6437" s="15">
        <f t="shared" si="2"/>
        <v>3.96</v>
      </c>
      <c r="H6437" s="16">
        <v>0.0</v>
      </c>
      <c r="I6437" s="15" t="str">
        <f t="shared" si="3"/>
        <v/>
      </c>
      <c r="J6437" s="15">
        <v>15.55</v>
      </c>
      <c r="K6437" s="16">
        <f>IF(COUNTIFS(Release_Calendar!$A$2:$A$755,"US_CPI",Release_Calendar!$B$2:$B$755,$A6437)&gt;0,1,0)</f>
        <v>0</v>
      </c>
      <c r="L6437" s="16">
        <f>IF(COUNTIFS(Release_Calendar!$A$2:$A$755,"US_NFP",Release_Calendar!$B$2:$B$755,$A6437)&gt;0,1,0)</f>
        <v>0</v>
      </c>
      <c r="M6437" s="16">
        <f>IF($A6437&lt;Notes!$B$5,"",IF(COUNTIFS(Release_Calendar!$A$2:$A$755,"NZ_CPI",Release_Calendar!$B$2:$B$755,$A6437)&gt;0,1,0))</f>
        <v>0</v>
      </c>
      <c r="N6437" s="16">
        <f>IF($A6437&lt;Notes!$B$5,"",IF(COUNTIFS(Release_Calendar!$A$2:$A$755,"NZ_GDP",Release_Calendar!$B$2:$B$755,$A6437)&gt;0,1,0))</f>
        <v>0</v>
      </c>
      <c r="O6437" s="16">
        <f>IF($A6437&lt;Notes!$B$5,"",IF(COUNTIFS(Release_Calendar!$A$2:$A$755,"NZ_LABOUR",Release_Calendar!$B$2:$B$755,$A6437)&gt;0,1,0))</f>
        <v>0</v>
      </c>
      <c r="P6437" s="16">
        <f t="shared" si="4"/>
        <v>0</v>
      </c>
    </row>
    <row r="6438" ht="15.75" customHeight="1">
      <c r="A6438" s="14">
        <v>45538.0</v>
      </c>
      <c r="B6438" s="15">
        <v>3.88</v>
      </c>
      <c r="C6438" s="15">
        <v>3.93</v>
      </c>
      <c r="D6438" s="15"/>
      <c r="E6438" s="15">
        <v>4.11</v>
      </c>
      <c r="F6438" s="15">
        <f t="shared" si="1"/>
        <v>0.05</v>
      </c>
      <c r="G6438" s="15">
        <f t="shared" si="2"/>
        <v>3.93</v>
      </c>
      <c r="H6438" s="16">
        <v>0.0</v>
      </c>
      <c r="I6438" s="15">
        <f t="shared" si="3"/>
        <v>0.05</v>
      </c>
      <c r="J6438" s="15">
        <v>20.72</v>
      </c>
      <c r="K6438" s="16">
        <f>IF(COUNTIFS(Release_Calendar!$A$2:$A$755,"US_CPI",Release_Calendar!$B$2:$B$755,$A6438)&gt;0,1,0)</f>
        <v>0</v>
      </c>
      <c r="L6438" s="16">
        <f>IF(COUNTIFS(Release_Calendar!$A$2:$A$755,"US_NFP",Release_Calendar!$B$2:$B$755,$A6438)&gt;0,1,0)</f>
        <v>0</v>
      </c>
      <c r="M6438" s="16">
        <f>IF($A6438&lt;Notes!$B$5,"",IF(COUNTIFS(Release_Calendar!$A$2:$A$755,"NZ_CPI",Release_Calendar!$B$2:$B$755,$A6438)&gt;0,1,0))</f>
        <v>0</v>
      </c>
      <c r="N6438" s="16">
        <f>IF($A6438&lt;Notes!$B$5,"",IF(COUNTIFS(Release_Calendar!$A$2:$A$755,"NZ_GDP",Release_Calendar!$B$2:$B$755,$A6438)&gt;0,1,0))</f>
        <v>0</v>
      </c>
      <c r="O6438" s="16">
        <f>IF($A6438&lt;Notes!$B$5,"",IF(COUNTIFS(Release_Calendar!$A$2:$A$755,"NZ_LABOUR",Release_Calendar!$B$2:$B$755,$A6438)&gt;0,1,0))</f>
        <v>0</v>
      </c>
      <c r="P6438" s="16">
        <f t="shared" si="4"/>
        <v>0</v>
      </c>
    </row>
    <row r="6439" ht="15.75" customHeight="1">
      <c r="A6439" s="14">
        <v>45539.0</v>
      </c>
      <c r="B6439" s="15">
        <v>3.76</v>
      </c>
      <c r="C6439" s="15">
        <v>3.85</v>
      </c>
      <c r="D6439" s="15"/>
      <c r="E6439" s="15">
        <v>4.04</v>
      </c>
      <c r="F6439" s="15">
        <f t="shared" si="1"/>
        <v>0.09</v>
      </c>
      <c r="G6439" s="15">
        <f t="shared" si="2"/>
        <v>3.85</v>
      </c>
      <c r="H6439" s="16">
        <v>0.0</v>
      </c>
      <c r="I6439" s="15">
        <f t="shared" si="3"/>
        <v>0.09</v>
      </c>
      <c r="J6439" s="15">
        <v>21.32</v>
      </c>
      <c r="K6439" s="16">
        <f>IF(COUNTIFS(Release_Calendar!$A$2:$A$755,"US_CPI",Release_Calendar!$B$2:$B$755,$A6439)&gt;0,1,0)</f>
        <v>0</v>
      </c>
      <c r="L6439" s="16">
        <f>IF(COUNTIFS(Release_Calendar!$A$2:$A$755,"US_NFP",Release_Calendar!$B$2:$B$755,$A6439)&gt;0,1,0)</f>
        <v>0</v>
      </c>
      <c r="M6439" s="16">
        <f>IF($A6439&lt;Notes!$B$5,"",IF(COUNTIFS(Release_Calendar!$A$2:$A$755,"NZ_CPI",Release_Calendar!$B$2:$B$755,$A6439)&gt;0,1,0))</f>
        <v>0</v>
      </c>
      <c r="N6439" s="16">
        <f>IF($A6439&lt;Notes!$B$5,"",IF(COUNTIFS(Release_Calendar!$A$2:$A$755,"NZ_GDP",Release_Calendar!$B$2:$B$755,$A6439)&gt;0,1,0))</f>
        <v>0</v>
      </c>
      <c r="O6439" s="16">
        <f>IF($A6439&lt;Notes!$B$5,"",IF(COUNTIFS(Release_Calendar!$A$2:$A$755,"NZ_LABOUR",Release_Calendar!$B$2:$B$755,$A6439)&gt;0,1,0))</f>
        <v>0</v>
      </c>
      <c r="P6439" s="16">
        <f t="shared" si="4"/>
        <v>0</v>
      </c>
    </row>
    <row r="6440" ht="15.75" customHeight="1">
      <c r="A6440" s="14">
        <v>45540.0</v>
      </c>
      <c r="B6440" s="15">
        <v>3.75</v>
      </c>
      <c r="C6440" s="15">
        <v>3.78</v>
      </c>
      <c r="D6440" s="15"/>
      <c r="E6440" s="15">
        <v>3.99</v>
      </c>
      <c r="F6440" s="15">
        <f t="shared" si="1"/>
        <v>0.03</v>
      </c>
      <c r="G6440" s="15">
        <f t="shared" si="2"/>
        <v>3.78</v>
      </c>
      <c r="H6440" s="16">
        <v>0.0</v>
      </c>
      <c r="I6440" s="15">
        <f t="shared" si="3"/>
        <v>0.03</v>
      </c>
      <c r="J6440" s="15">
        <v>19.9</v>
      </c>
      <c r="K6440" s="16">
        <f>IF(COUNTIFS(Release_Calendar!$A$2:$A$755,"US_CPI",Release_Calendar!$B$2:$B$755,$A6440)&gt;0,1,0)</f>
        <v>0</v>
      </c>
      <c r="L6440" s="16">
        <f>IF(COUNTIFS(Release_Calendar!$A$2:$A$755,"US_NFP",Release_Calendar!$B$2:$B$755,$A6440)&gt;0,1,0)</f>
        <v>0</v>
      </c>
      <c r="M6440" s="16">
        <f>IF($A6440&lt;Notes!$B$5,"",IF(COUNTIFS(Release_Calendar!$A$2:$A$755,"NZ_CPI",Release_Calendar!$B$2:$B$755,$A6440)&gt;0,1,0))</f>
        <v>0</v>
      </c>
      <c r="N6440" s="16">
        <f>IF($A6440&lt;Notes!$B$5,"",IF(COUNTIFS(Release_Calendar!$A$2:$A$755,"NZ_GDP",Release_Calendar!$B$2:$B$755,$A6440)&gt;0,1,0))</f>
        <v>0</v>
      </c>
      <c r="O6440" s="16">
        <f>IF($A6440&lt;Notes!$B$5,"",IF(COUNTIFS(Release_Calendar!$A$2:$A$755,"NZ_LABOUR",Release_Calendar!$B$2:$B$755,$A6440)&gt;0,1,0))</f>
        <v>0</v>
      </c>
      <c r="P6440" s="16">
        <f t="shared" si="4"/>
        <v>0</v>
      </c>
    </row>
    <row r="6441" ht="15.75" customHeight="1">
      <c r="A6441" s="14">
        <v>45541.0</v>
      </c>
      <c r="B6441" s="15">
        <v>3.66</v>
      </c>
      <c r="C6441" s="15">
        <v>3.77</v>
      </c>
      <c r="D6441" s="15"/>
      <c r="E6441" s="15">
        <v>3.97</v>
      </c>
      <c r="F6441" s="15">
        <f t="shared" si="1"/>
        <v>0.11</v>
      </c>
      <c r="G6441" s="15">
        <f t="shared" si="2"/>
        <v>3.77</v>
      </c>
      <c r="H6441" s="16">
        <v>0.0</v>
      </c>
      <c r="I6441" s="15">
        <f t="shared" si="3"/>
        <v>0.11</v>
      </c>
      <c r="J6441" s="15">
        <v>22.38</v>
      </c>
      <c r="K6441" s="16">
        <f>IF(COUNTIFS(Release_Calendar!$A$2:$A$755,"US_CPI",Release_Calendar!$B$2:$B$755,$A6441)&gt;0,1,0)</f>
        <v>0</v>
      </c>
      <c r="L6441" s="16">
        <f>IF(COUNTIFS(Release_Calendar!$A$2:$A$755,"US_NFP",Release_Calendar!$B$2:$B$755,$A6441)&gt;0,1,0)</f>
        <v>1</v>
      </c>
      <c r="M6441" s="16">
        <f>IF($A6441&lt;Notes!$B$5,"",IF(COUNTIFS(Release_Calendar!$A$2:$A$755,"NZ_CPI",Release_Calendar!$B$2:$B$755,$A6441)&gt;0,1,0))</f>
        <v>0</v>
      </c>
      <c r="N6441" s="16">
        <f>IF($A6441&lt;Notes!$B$5,"",IF(COUNTIFS(Release_Calendar!$A$2:$A$755,"NZ_GDP",Release_Calendar!$B$2:$B$755,$A6441)&gt;0,1,0))</f>
        <v>0</v>
      </c>
      <c r="O6441" s="16">
        <f>IF($A6441&lt;Notes!$B$5,"",IF(COUNTIFS(Release_Calendar!$A$2:$A$755,"NZ_LABOUR",Release_Calendar!$B$2:$B$755,$A6441)&gt;0,1,0))</f>
        <v>0</v>
      </c>
      <c r="P6441" s="16">
        <f t="shared" si="4"/>
        <v>1</v>
      </c>
    </row>
    <row r="6442" ht="15.75" customHeight="1">
      <c r="A6442" s="14">
        <v>45544.0</v>
      </c>
      <c r="B6442" s="15">
        <v>3.68</v>
      </c>
      <c r="C6442" s="15">
        <v>3.78</v>
      </c>
      <c r="D6442" s="15"/>
      <c r="E6442" s="15">
        <v>4.0</v>
      </c>
      <c r="F6442" s="15">
        <f t="shared" si="1"/>
        <v>0.1</v>
      </c>
      <c r="G6442" s="15">
        <f t="shared" si="2"/>
        <v>3.78</v>
      </c>
      <c r="H6442" s="16">
        <v>0.0</v>
      </c>
      <c r="I6442" s="15">
        <f t="shared" si="3"/>
        <v>0.1</v>
      </c>
      <c r="J6442" s="15">
        <v>19.45</v>
      </c>
      <c r="K6442" s="16">
        <f>IF(COUNTIFS(Release_Calendar!$A$2:$A$755,"US_CPI",Release_Calendar!$B$2:$B$755,$A6442)&gt;0,1,0)</f>
        <v>0</v>
      </c>
      <c r="L6442" s="16">
        <f>IF(COUNTIFS(Release_Calendar!$A$2:$A$755,"US_NFP",Release_Calendar!$B$2:$B$755,$A6442)&gt;0,1,0)</f>
        <v>0</v>
      </c>
      <c r="M6442" s="16">
        <f>IF($A6442&lt;Notes!$B$5,"",IF(COUNTIFS(Release_Calendar!$A$2:$A$755,"NZ_CPI",Release_Calendar!$B$2:$B$755,$A6442)&gt;0,1,0))</f>
        <v>0</v>
      </c>
      <c r="N6442" s="16">
        <f>IF($A6442&lt;Notes!$B$5,"",IF(COUNTIFS(Release_Calendar!$A$2:$A$755,"NZ_GDP",Release_Calendar!$B$2:$B$755,$A6442)&gt;0,1,0))</f>
        <v>0</v>
      </c>
      <c r="O6442" s="16">
        <f>IF($A6442&lt;Notes!$B$5,"",IF(COUNTIFS(Release_Calendar!$A$2:$A$755,"NZ_LABOUR",Release_Calendar!$B$2:$B$755,$A6442)&gt;0,1,0))</f>
        <v>0</v>
      </c>
      <c r="P6442" s="16">
        <f t="shared" si="4"/>
        <v>0</v>
      </c>
    </row>
    <row r="6443" ht="15.75" customHeight="1">
      <c r="A6443" s="14">
        <v>45545.0</v>
      </c>
      <c r="B6443" s="15">
        <v>3.59</v>
      </c>
      <c r="C6443" s="15">
        <v>3.77</v>
      </c>
      <c r="D6443" s="15"/>
      <c r="E6443" s="15">
        <v>3.99</v>
      </c>
      <c r="F6443" s="15">
        <f t="shared" si="1"/>
        <v>0.18</v>
      </c>
      <c r="G6443" s="15">
        <f t="shared" si="2"/>
        <v>3.77</v>
      </c>
      <c r="H6443" s="16">
        <v>0.0</v>
      </c>
      <c r="I6443" s="15">
        <f t="shared" si="3"/>
        <v>0.18</v>
      </c>
      <c r="J6443" s="15">
        <v>19.08</v>
      </c>
      <c r="K6443" s="16">
        <f>IF(COUNTIFS(Release_Calendar!$A$2:$A$755,"US_CPI",Release_Calendar!$B$2:$B$755,$A6443)&gt;0,1,0)</f>
        <v>0</v>
      </c>
      <c r="L6443" s="16">
        <f>IF(COUNTIFS(Release_Calendar!$A$2:$A$755,"US_NFP",Release_Calendar!$B$2:$B$755,$A6443)&gt;0,1,0)</f>
        <v>0</v>
      </c>
      <c r="M6443" s="16">
        <f>IF($A6443&lt;Notes!$B$5,"",IF(COUNTIFS(Release_Calendar!$A$2:$A$755,"NZ_CPI",Release_Calendar!$B$2:$B$755,$A6443)&gt;0,1,0))</f>
        <v>0</v>
      </c>
      <c r="N6443" s="16">
        <f>IF($A6443&lt;Notes!$B$5,"",IF(COUNTIFS(Release_Calendar!$A$2:$A$755,"NZ_GDP",Release_Calendar!$B$2:$B$755,$A6443)&gt;0,1,0))</f>
        <v>0</v>
      </c>
      <c r="O6443" s="16">
        <f>IF($A6443&lt;Notes!$B$5,"",IF(COUNTIFS(Release_Calendar!$A$2:$A$755,"NZ_LABOUR",Release_Calendar!$B$2:$B$755,$A6443)&gt;0,1,0))</f>
        <v>0</v>
      </c>
      <c r="P6443" s="16">
        <f t="shared" si="4"/>
        <v>0</v>
      </c>
    </row>
    <row r="6444" ht="15.75" customHeight="1">
      <c r="A6444" s="14">
        <v>45546.0</v>
      </c>
      <c r="B6444" s="15">
        <v>3.62</v>
      </c>
      <c r="C6444" s="15">
        <v>3.7</v>
      </c>
      <c r="D6444" s="15"/>
      <c r="E6444" s="15">
        <v>3.92</v>
      </c>
      <c r="F6444" s="15">
        <f t="shared" si="1"/>
        <v>0.08</v>
      </c>
      <c r="G6444" s="15">
        <f t="shared" si="2"/>
        <v>3.7</v>
      </c>
      <c r="H6444" s="16">
        <v>0.0</v>
      </c>
      <c r="I6444" s="15">
        <f t="shared" si="3"/>
        <v>0.08</v>
      </c>
      <c r="J6444" s="15">
        <v>17.69</v>
      </c>
      <c r="K6444" s="16">
        <f>IF(COUNTIFS(Release_Calendar!$A$2:$A$755,"US_CPI",Release_Calendar!$B$2:$B$755,$A6444)&gt;0,1,0)</f>
        <v>1</v>
      </c>
      <c r="L6444" s="16">
        <f>IF(COUNTIFS(Release_Calendar!$A$2:$A$755,"US_NFP",Release_Calendar!$B$2:$B$755,$A6444)&gt;0,1,0)</f>
        <v>0</v>
      </c>
      <c r="M6444" s="16">
        <f>IF($A6444&lt;Notes!$B$5,"",IF(COUNTIFS(Release_Calendar!$A$2:$A$755,"NZ_CPI",Release_Calendar!$B$2:$B$755,$A6444)&gt;0,1,0))</f>
        <v>0</v>
      </c>
      <c r="N6444" s="16">
        <f>IF($A6444&lt;Notes!$B$5,"",IF(COUNTIFS(Release_Calendar!$A$2:$A$755,"NZ_GDP",Release_Calendar!$B$2:$B$755,$A6444)&gt;0,1,0))</f>
        <v>0</v>
      </c>
      <c r="O6444" s="16">
        <f>IF($A6444&lt;Notes!$B$5,"",IF(COUNTIFS(Release_Calendar!$A$2:$A$755,"NZ_LABOUR",Release_Calendar!$B$2:$B$755,$A6444)&gt;0,1,0))</f>
        <v>0</v>
      </c>
      <c r="P6444" s="16">
        <f t="shared" si="4"/>
        <v>1</v>
      </c>
    </row>
    <row r="6445" ht="15.75" customHeight="1">
      <c r="A6445" s="14">
        <v>45547.0</v>
      </c>
      <c r="B6445" s="15">
        <v>3.64</v>
      </c>
      <c r="C6445" s="15">
        <v>3.71</v>
      </c>
      <c r="D6445" s="15"/>
      <c r="E6445" s="15">
        <v>3.92</v>
      </c>
      <c r="F6445" s="15">
        <f t="shared" si="1"/>
        <v>0.07</v>
      </c>
      <c r="G6445" s="15">
        <f t="shared" si="2"/>
        <v>3.71</v>
      </c>
      <c r="H6445" s="16">
        <v>0.0</v>
      </c>
      <c r="I6445" s="15">
        <f t="shared" si="3"/>
        <v>0.07</v>
      </c>
      <c r="J6445" s="15">
        <v>17.07</v>
      </c>
      <c r="K6445" s="16">
        <f>IF(COUNTIFS(Release_Calendar!$A$2:$A$755,"US_CPI",Release_Calendar!$B$2:$B$755,$A6445)&gt;0,1,0)</f>
        <v>0</v>
      </c>
      <c r="L6445" s="16">
        <f>IF(COUNTIFS(Release_Calendar!$A$2:$A$755,"US_NFP",Release_Calendar!$B$2:$B$755,$A6445)&gt;0,1,0)</f>
        <v>0</v>
      </c>
      <c r="M6445" s="16">
        <f>IF($A6445&lt;Notes!$B$5,"",IF(COUNTIFS(Release_Calendar!$A$2:$A$755,"NZ_CPI",Release_Calendar!$B$2:$B$755,$A6445)&gt;0,1,0))</f>
        <v>0</v>
      </c>
      <c r="N6445" s="16">
        <f>IF($A6445&lt;Notes!$B$5,"",IF(COUNTIFS(Release_Calendar!$A$2:$A$755,"NZ_GDP",Release_Calendar!$B$2:$B$755,$A6445)&gt;0,1,0))</f>
        <v>0</v>
      </c>
      <c r="O6445" s="16">
        <f>IF($A6445&lt;Notes!$B$5,"",IF(COUNTIFS(Release_Calendar!$A$2:$A$755,"NZ_LABOUR",Release_Calendar!$B$2:$B$755,$A6445)&gt;0,1,0))</f>
        <v>0</v>
      </c>
      <c r="P6445" s="16">
        <f t="shared" si="4"/>
        <v>0</v>
      </c>
    </row>
    <row r="6446" ht="15.75" customHeight="1">
      <c r="A6446" s="14">
        <v>45548.0</v>
      </c>
      <c r="B6446" s="15">
        <v>3.57</v>
      </c>
      <c r="C6446" s="15">
        <v>3.65</v>
      </c>
      <c r="D6446" s="15"/>
      <c r="E6446" s="15">
        <v>3.87</v>
      </c>
      <c r="F6446" s="15">
        <f t="shared" si="1"/>
        <v>0.08</v>
      </c>
      <c r="G6446" s="15">
        <f t="shared" si="2"/>
        <v>3.65</v>
      </c>
      <c r="H6446" s="16">
        <v>0.0</v>
      </c>
      <c r="I6446" s="15">
        <f t="shared" si="3"/>
        <v>0.08</v>
      </c>
      <c r="J6446" s="15">
        <v>16.56</v>
      </c>
      <c r="K6446" s="16">
        <f>IF(COUNTIFS(Release_Calendar!$A$2:$A$755,"US_CPI",Release_Calendar!$B$2:$B$755,$A6446)&gt;0,1,0)</f>
        <v>0</v>
      </c>
      <c r="L6446" s="16">
        <f>IF(COUNTIFS(Release_Calendar!$A$2:$A$755,"US_NFP",Release_Calendar!$B$2:$B$755,$A6446)&gt;0,1,0)</f>
        <v>0</v>
      </c>
      <c r="M6446" s="16">
        <f>IF($A6446&lt;Notes!$B$5,"",IF(COUNTIFS(Release_Calendar!$A$2:$A$755,"NZ_CPI",Release_Calendar!$B$2:$B$755,$A6446)&gt;0,1,0))</f>
        <v>0</v>
      </c>
      <c r="N6446" s="16">
        <f>IF($A6446&lt;Notes!$B$5,"",IF(COUNTIFS(Release_Calendar!$A$2:$A$755,"NZ_GDP",Release_Calendar!$B$2:$B$755,$A6446)&gt;0,1,0))</f>
        <v>0</v>
      </c>
      <c r="O6446" s="16">
        <f>IF($A6446&lt;Notes!$B$5,"",IF(COUNTIFS(Release_Calendar!$A$2:$A$755,"NZ_LABOUR",Release_Calendar!$B$2:$B$755,$A6446)&gt;0,1,0))</f>
        <v>0</v>
      </c>
      <c r="P6446" s="16">
        <f t="shared" si="4"/>
        <v>0</v>
      </c>
    </row>
    <row r="6447" ht="15.75" customHeight="1">
      <c r="A6447" s="14">
        <v>45551.0</v>
      </c>
      <c r="B6447" s="15">
        <v>3.56</v>
      </c>
      <c r="C6447" s="15">
        <v>3.6</v>
      </c>
      <c r="D6447" s="15"/>
      <c r="E6447" s="15">
        <v>3.82</v>
      </c>
      <c r="F6447" s="15">
        <f t="shared" si="1"/>
        <v>0.04</v>
      </c>
      <c r="G6447" s="15">
        <f t="shared" si="2"/>
        <v>3.6</v>
      </c>
      <c r="H6447" s="16">
        <v>0.0</v>
      </c>
      <c r="I6447" s="15">
        <f t="shared" si="3"/>
        <v>0.04</v>
      </c>
      <c r="J6447" s="15">
        <v>17.14</v>
      </c>
      <c r="K6447" s="16">
        <f>IF(COUNTIFS(Release_Calendar!$A$2:$A$755,"US_CPI",Release_Calendar!$B$2:$B$755,$A6447)&gt;0,1,0)</f>
        <v>0</v>
      </c>
      <c r="L6447" s="16">
        <f>IF(COUNTIFS(Release_Calendar!$A$2:$A$755,"US_NFP",Release_Calendar!$B$2:$B$755,$A6447)&gt;0,1,0)</f>
        <v>0</v>
      </c>
      <c r="M6447" s="16">
        <f>IF($A6447&lt;Notes!$B$5,"",IF(COUNTIFS(Release_Calendar!$A$2:$A$755,"NZ_CPI",Release_Calendar!$B$2:$B$755,$A6447)&gt;0,1,0))</f>
        <v>0</v>
      </c>
      <c r="N6447" s="16">
        <f>IF($A6447&lt;Notes!$B$5,"",IF(COUNTIFS(Release_Calendar!$A$2:$A$755,"NZ_GDP",Release_Calendar!$B$2:$B$755,$A6447)&gt;0,1,0))</f>
        <v>0</v>
      </c>
      <c r="O6447" s="16">
        <f>IF($A6447&lt;Notes!$B$5,"",IF(COUNTIFS(Release_Calendar!$A$2:$A$755,"NZ_LABOUR",Release_Calendar!$B$2:$B$755,$A6447)&gt;0,1,0))</f>
        <v>0</v>
      </c>
      <c r="P6447" s="16">
        <f t="shared" si="4"/>
        <v>0</v>
      </c>
    </row>
    <row r="6448" ht="15.75" customHeight="1">
      <c r="A6448" s="14">
        <v>45552.0</v>
      </c>
      <c r="B6448" s="15">
        <v>3.59</v>
      </c>
      <c r="C6448" s="15">
        <v>3.62</v>
      </c>
      <c r="D6448" s="15"/>
      <c r="E6448" s="15">
        <v>3.85</v>
      </c>
      <c r="F6448" s="15">
        <f t="shared" si="1"/>
        <v>0.03</v>
      </c>
      <c r="G6448" s="15">
        <f t="shared" si="2"/>
        <v>3.62</v>
      </c>
      <c r="H6448" s="16">
        <v>0.0</v>
      </c>
      <c r="I6448" s="15">
        <f t="shared" si="3"/>
        <v>0.03</v>
      </c>
      <c r="J6448" s="15">
        <v>17.61</v>
      </c>
      <c r="K6448" s="16">
        <f>IF(COUNTIFS(Release_Calendar!$A$2:$A$755,"US_CPI",Release_Calendar!$B$2:$B$755,$A6448)&gt;0,1,0)</f>
        <v>0</v>
      </c>
      <c r="L6448" s="16">
        <f>IF(COUNTIFS(Release_Calendar!$A$2:$A$755,"US_NFP",Release_Calendar!$B$2:$B$755,$A6448)&gt;0,1,0)</f>
        <v>0</v>
      </c>
      <c r="M6448" s="16">
        <f>IF($A6448&lt;Notes!$B$5,"",IF(COUNTIFS(Release_Calendar!$A$2:$A$755,"NZ_CPI",Release_Calendar!$B$2:$B$755,$A6448)&gt;0,1,0))</f>
        <v>0</v>
      </c>
      <c r="N6448" s="16">
        <f>IF($A6448&lt;Notes!$B$5,"",IF(COUNTIFS(Release_Calendar!$A$2:$A$755,"NZ_GDP",Release_Calendar!$B$2:$B$755,$A6448)&gt;0,1,0))</f>
        <v>0</v>
      </c>
      <c r="O6448" s="16">
        <f>IF($A6448&lt;Notes!$B$5,"",IF(COUNTIFS(Release_Calendar!$A$2:$A$755,"NZ_LABOUR",Release_Calendar!$B$2:$B$755,$A6448)&gt;0,1,0))</f>
        <v>0</v>
      </c>
      <c r="P6448" s="16">
        <f t="shared" si="4"/>
        <v>0</v>
      </c>
    </row>
    <row r="6449" ht="15.75" customHeight="1">
      <c r="A6449" s="14">
        <v>45553.0</v>
      </c>
      <c r="B6449" s="15">
        <v>3.61</v>
      </c>
      <c r="C6449" s="15">
        <v>3.65</v>
      </c>
      <c r="D6449" s="15"/>
      <c r="E6449" s="15">
        <v>3.89</v>
      </c>
      <c r="F6449" s="15">
        <f t="shared" si="1"/>
        <v>0.04</v>
      </c>
      <c r="G6449" s="15">
        <f t="shared" si="2"/>
        <v>3.65</v>
      </c>
      <c r="H6449" s="16">
        <v>0.0</v>
      </c>
      <c r="I6449" s="15">
        <f t="shared" si="3"/>
        <v>0.04</v>
      </c>
      <c r="J6449" s="15">
        <v>18.23</v>
      </c>
      <c r="K6449" s="16">
        <f>IF(COUNTIFS(Release_Calendar!$A$2:$A$755,"US_CPI",Release_Calendar!$B$2:$B$755,$A6449)&gt;0,1,0)</f>
        <v>0</v>
      </c>
      <c r="L6449" s="16">
        <f>IF(COUNTIFS(Release_Calendar!$A$2:$A$755,"US_NFP",Release_Calendar!$B$2:$B$755,$A6449)&gt;0,1,0)</f>
        <v>0</v>
      </c>
      <c r="M6449" s="16">
        <f>IF($A6449&lt;Notes!$B$5,"",IF(COUNTIFS(Release_Calendar!$A$2:$A$755,"NZ_CPI",Release_Calendar!$B$2:$B$755,$A6449)&gt;0,1,0))</f>
        <v>0</v>
      </c>
      <c r="N6449" s="16">
        <f>IF($A6449&lt;Notes!$B$5,"",IF(COUNTIFS(Release_Calendar!$A$2:$A$755,"NZ_GDP",Release_Calendar!$B$2:$B$755,$A6449)&gt;0,1,0))</f>
        <v>0</v>
      </c>
      <c r="O6449" s="16">
        <f>IF($A6449&lt;Notes!$B$5,"",IF(COUNTIFS(Release_Calendar!$A$2:$A$755,"NZ_LABOUR",Release_Calendar!$B$2:$B$755,$A6449)&gt;0,1,0))</f>
        <v>0</v>
      </c>
      <c r="P6449" s="16">
        <f t="shared" si="4"/>
        <v>0</v>
      </c>
    </row>
    <row r="6450" ht="15.75" customHeight="1">
      <c r="A6450" s="14">
        <v>45554.0</v>
      </c>
      <c r="B6450" s="15">
        <v>3.59</v>
      </c>
      <c r="C6450" s="15">
        <v>3.67</v>
      </c>
      <c r="D6450" s="15"/>
      <c r="E6450" s="15">
        <v>3.9</v>
      </c>
      <c r="F6450" s="15">
        <f t="shared" si="1"/>
        <v>0.08</v>
      </c>
      <c r="G6450" s="15">
        <f t="shared" si="2"/>
        <v>3.67</v>
      </c>
      <c r="H6450" s="16">
        <v>0.0</v>
      </c>
      <c r="I6450" s="15">
        <f t="shared" si="3"/>
        <v>0.08</v>
      </c>
      <c r="J6450" s="15">
        <v>16.33</v>
      </c>
      <c r="K6450" s="16">
        <f>IF(COUNTIFS(Release_Calendar!$A$2:$A$755,"US_CPI",Release_Calendar!$B$2:$B$755,$A6450)&gt;0,1,0)</f>
        <v>0</v>
      </c>
      <c r="L6450" s="16">
        <f>IF(COUNTIFS(Release_Calendar!$A$2:$A$755,"US_NFP",Release_Calendar!$B$2:$B$755,$A6450)&gt;0,1,0)</f>
        <v>0</v>
      </c>
      <c r="M6450" s="16">
        <f>IF($A6450&lt;Notes!$B$5,"",IF(COUNTIFS(Release_Calendar!$A$2:$A$755,"NZ_CPI",Release_Calendar!$B$2:$B$755,$A6450)&gt;0,1,0))</f>
        <v>0</v>
      </c>
      <c r="N6450" s="16">
        <f>IF($A6450&lt;Notes!$B$5,"",IF(COUNTIFS(Release_Calendar!$A$2:$A$755,"NZ_GDP",Release_Calendar!$B$2:$B$755,$A6450)&gt;0,1,0))</f>
        <v>1</v>
      </c>
      <c r="O6450" s="16">
        <f>IF($A6450&lt;Notes!$B$5,"",IF(COUNTIFS(Release_Calendar!$A$2:$A$755,"NZ_LABOUR",Release_Calendar!$B$2:$B$755,$A6450)&gt;0,1,0))</f>
        <v>0</v>
      </c>
      <c r="P6450" s="16">
        <f t="shared" si="4"/>
        <v>1</v>
      </c>
    </row>
    <row r="6451" ht="15.75" customHeight="1">
      <c r="A6451" s="14">
        <v>45555.0</v>
      </c>
      <c r="B6451" s="15">
        <v>3.55</v>
      </c>
      <c r="C6451" s="15">
        <v>3.65</v>
      </c>
      <c r="D6451" s="15"/>
      <c r="E6451" s="15">
        <v>3.87</v>
      </c>
      <c r="F6451" s="15">
        <f t="shared" si="1"/>
        <v>0.1</v>
      </c>
      <c r="G6451" s="15">
        <f t="shared" si="2"/>
        <v>3.65</v>
      </c>
      <c r="H6451" s="16">
        <v>0.0</v>
      </c>
      <c r="I6451" s="15">
        <f t="shared" si="3"/>
        <v>0.1</v>
      </c>
      <c r="J6451" s="15">
        <v>16.15</v>
      </c>
      <c r="K6451" s="16">
        <f>IF(COUNTIFS(Release_Calendar!$A$2:$A$755,"US_CPI",Release_Calendar!$B$2:$B$755,$A6451)&gt;0,1,0)</f>
        <v>0</v>
      </c>
      <c r="L6451" s="16">
        <f>IF(COUNTIFS(Release_Calendar!$A$2:$A$755,"US_NFP",Release_Calendar!$B$2:$B$755,$A6451)&gt;0,1,0)</f>
        <v>0</v>
      </c>
      <c r="M6451" s="16">
        <f>IF($A6451&lt;Notes!$B$5,"",IF(COUNTIFS(Release_Calendar!$A$2:$A$755,"NZ_CPI",Release_Calendar!$B$2:$B$755,$A6451)&gt;0,1,0))</f>
        <v>0</v>
      </c>
      <c r="N6451" s="16">
        <f>IF($A6451&lt;Notes!$B$5,"",IF(COUNTIFS(Release_Calendar!$A$2:$A$755,"NZ_GDP",Release_Calendar!$B$2:$B$755,$A6451)&gt;0,1,0))</f>
        <v>0</v>
      </c>
      <c r="O6451" s="16">
        <f>IF($A6451&lt;Notes!$B$5,"",IF(COUNTIFS(Release_Calendar!$A$2:$A$755,"NZ_LABOUR",Release_Calendar!$B$2:$B$755,$A6451)&gt;0,1,0))</f>
        <v>0</v>
      </c>
      <c r="P6451" s="16">
        <f t="shared" si="4"/>
        <v>0</v>
      </c>
    </row>
    <row r="6452" ht="15.75" customHeight="1">
      <c r="A6452" s="14">
        <v>45558.0</v>
      </c>
      <c r="B6452" s="15">
        <v>3.57</v>
      </c>
      <c r="C6452" s="15">
        <v>3.65</v>
      </c>
      <c r="D6452" s="15"/>
      <c r="E6452" s="15">
        <v>3.88</v>
      </c>
      <c r="F6452" s="15">
        <f t="shared" si="1"/>
        <v>0.08</v>
      </c>
      <c r="G6452" s="15">
        <f t="shared" si="2"/>
        <v>3.65</v>
      </c>
      <c r="H6452" s="16">
        <v>0.0</v>
      </c>
      <c r="I6452" s="15">
        <f t="shared" si="3"/>
        <v>0.08</v>
      </c>
      <c r="J6452" s="15">
        <v>15.89</v>
      </c>
      <c r="K6452" s="16">
        <f>IF(COUNTIFS(Release_Calendar!$A$2:$A$755,"US_CPI",Release_Calendar!$B$2:$B$755,$A6452)&gt;0,1,0)</f>
        <v>0</v>
      </c>
      <c r="L6452" s="16">
        <f>IF(COUNTIFS(Release_Calendar!$A$2:$A$755,"US_NFP",Release_Calendar!$B$2:$B$755,$A6452)&gt;0,1,0)</f>
        <v>0</v>
      </c>
      <c r="M6452" s="16">
        <f>IF($A6452&lt;Notes!$B$5,"",IF(COUNTIFS(Release_Calendar!$A$2:$A$755,"NZ_CPI",Release_Calendar!$B$2:$B$755,$A6452)&gt;0,1,0))</f>
        <v>0</v>
      </c>
      <c r="N6452" s="16">
        <f>IF($A6452&lt;Notes!$B$5,"",IF(COUNTIFS(Release_Calendar!$A$2:$A$755,"NZ_GDP",Release_Calendar!$B$2:$B$755,$A6452)&gt;0,1,0))</f>
        <v>0</v>
      </c>
      <c r="O6452" s="16">
        <f>IF($A6452&lt;Notes!$B$5,"",IF(COUNTIFS(Release_Calendar!$A$2:$A$755,"NZ_LABOUR",Release_Calendar!$B$2:$B$755,$A6452)&gt;0,1,0))</f>
        <v>0</v>
      </c>
      <c r="P6452" s="16">
        <f t="shared" si="4"/>
        <v>0</v>
      </c>
    </row>
    <row r="6453" ht="15.75" customHeight="1">
      <c r="A6453" s="14">
        <v>45559.0</v>
      </c>
      <c r="B6453" s="15">
        <v>3.49</v>
      </c>
      <c r="C6453" s="15">
        <v>3.62</v>
      </c>
      <c r="D6453" s="15"/>
      <c r="E6453" s="15">
        <v>3.85</v>
      </c>
      <c r="F6453" s="15">
        <f t="shared" si="1"/>
        <v>0.13</v>
      </c>
      <c r="G6453" s="15">
        <f t="shared" si="2"/>
        <v>3.62</v>
      </c>
      <c r="H6453" s="16">
        <v>0.0</v>
      </c>
      <c r="I6453" s="15">
        <f t="shared" si="3"/>
        <v>0.13</v>
      </c>
      <c r="J6453" s="15">
        <v>15.39</v>
      </c>
      <c r="K6453" s="16">
        <f>IF(COUNTIFS(Release_Calendar!$A$2:$A$755,"US_CPI",Release_Calendar!$B$2:$B$755,$A6453)&gt;0,1,0)</f>
        <v>0</v>
      </c>
      <c r="L6453" s="16">
        <f>IF(COUNTIFS(Release_Calendar!$A$2:$A$755,"US_NFP",Release_Calendar!$B$2:$B$755,$A6453)&gt;0,1,0)</f>
        <v>0</v>
      </c>
      <c r="M6453" s="16">
        <f>IF($A6453&lt;Notes!$B$5,"",IF(COUNTIFS(Release_Calendar!$A$2:$A$755,"NZ_CPI",Release_Calendar!$B$2:$B$755,$A6453)&gt;0,1,0))</f>
        <v>0</v>
      </c>
      <c r="N6453" s="16">
        <f>IF($A6453&lt;Notes!$B$5,"",IF(COUNTIFS(Release_Calendar!$A$2:$A$755,"NZ_GDP",Release_Calendar!$B$2:$B$755,$A6453)&gt;0,1,0))</f>
        <v>0</v>
      </c>
      <c r="O6453" s="16">
        <f>IF($A6453&lt;Notes!$B$5,"",IF(COUNTIFS(Release_Calendar!$A$2:$A$755,"NZ_LABOUR",Release_Calendar!$B$2:$B$755,$A6453)&gt;0,1,0))</f>
        <v>0</v>
      </c>
      <c r="P6453" s="16">
        <f t="shared" si="4"/>
        <v>0</v>
      </c>
    </row>
    <row r="6454" ht="15.75" customHeight="1">
      <c r="A6454" s="14">
        <v>45560.0</v>
      </c>
      <c r="B6454" s="15">
        <v>3.53</v>
      </c>
      <c r="C6454" s="15">
        <v>3.58</v>
      </c>
      <c r="D6454" s="15"/>
      <c r="E6454" s="15">
        <v>3.82</v>
      </c>
      <c r="F6454" s="15">
        <f t="shared" si="1"/>
        <v>0.05</v>
      </c>
      <c r="G6454" s="15">
        <f t="shared" si="2"/>
        <v>3.58</v>
      </c>
      <c r="H6454" s="16">
        <v>0.0</v>
      </c>
      <c r="I6454" s="15">
        <f t="shared" si="3"/>
        <v>0.05</v>
      </c>
      <c r="J6454" s="15">
        <v>15.41</v>
      </c>
      <c r="K6454" s="16">
        <f>IF(COUNTIFS(Release_Calendar!$A$2:$A$755,"US_CPI",Release_Calendar!$B$2:$B$755,$A6454)&gt;0,1,0)</f>
        <v>0</v>
      </c>
      <c r="L6454" s="16">
        <f>IF(COUNTIFS(Release_Calendar!$A$2:$A$755,"US_NFP",Release_Calendar!$B$2:$B$755,$A6454)&gt;0,1,0)</f>
        <v>0</v>
      </c>
      <c r="M6454" s="16">
        <f>IF($A6454&lt;Notes!$B$5,"",IF(COUNTIFS(Release_Calendar!$A$2:$A$755,"NZ_CPI",Release_Calendar!$B$2:$B$755,$A6454)&gt;0,1,0))</f>
        <v>0</v>
      </c>
      <c r="N6454" s="16">
        <f>IF($A6454&lt;Notes!$B$5,"",IF(COUNTIFS(Release_Calendar!$A$2:$A$755,"NZ_GDP",Release_Calendar!$B$2:$B$755,$A6454)&gt;0,1,0))</f>
        <v>0</v>
      </c>
      <c r="O6454" s="16">
        <f>IF($A6454&lt;Notes!$B$5,"",IF(COUNTIFS(Release_Calendar!$A$2:$A$755,"NZ_LABOUR",Release_Calendar!$B$2:$B$755,$A6454)&gt;0,1,0))</f>
        <v>0</v>
      </c>
      <c r="P6454" s="16">
        <f t="shared" si="4"/>
        <v>0</v>
      </c>
    </row>
    <row r="6455" ht="15.75" customHeight="1">
      <c r="A6455" s="14">
        <v>45561.0</v>
      </c>
      <c r="B6455" s="15">
        <v>3.6</v>
      </c>
      <c r="C6455" s="15">
        <v>3.56</v>
      </c>
      <c r="D6455" s="15"/>
      <c r="E6455" s="15">
        <v>3.82</v>
      </c>
      <c r="F6455" s="15">
        <f t="shared" si="1"/>
        <v>-0.04</v>
      </c>
      <c r="G6455" s="15">
        <f t="shared" si="2"/>
        <v>3.56</v>
      </c>
      <c r="H6455" s="16">
        <v>0.0</v>
      </c>
      <c r="I6455" s="15">
        <f t="shared" si="3"/>
        <v>-0.04</v>
      </c>
      <c r="J6455" s="15">
        <v>15.37</v>
      </c>
      <c r="K6455" s="16">
        <f>IF(COUNTIFS(Release_Calendar!$A$2:$A$755,"US_CPI",Release_Calendar!$B$2:$B$755,$A6455)&gt;0,1,0)</f>
        <v>0</v>
      </c>
      <c r="L6455" s="16">
        <f>IF(COUNTIFS(Release_Calendar!$A$2:$A$755,"US_NFP",Release_Calendar!$B$2:$B$755,$A6455)&gt;0,1,0)</f>
        <v>0</v>
      </c>
      <c r="M6455" s="16">
        <f>IF($A6455&lt;Notes!$B$5,"",IF(COUNTIFS(Release_Calendar!$A$2:$A$755,"NZ_CPI",Release_Calendar!$B$2:$B$755,$A6455)&gt;0,1,0))</f>
        <v>0</v>
      </c>
      <c r="N6455" s="16">
        <f>IF($A6455&lt;Notes!$B$5,"",IF(COUNTIFS(Release_Calendar!$A$2:$A$755,"NZ_GDP",Release_Calendar!$B$2:$B$755,$A6455)&gt;0,1,0))</f>
        <v>0</v>
      </c>
      <c r="O6455" s="16">
        <f>IF($A6455&lt;Notes!$B$5,"",IF(COUNTIFS(Release_Calendar!$A$2:$A$755,"NZ_LABOUR",Release_Calendar!$B$2:$B$755,$A6455)&gt;0,1,0))</f>
        <v>0</v>
      </c>
      <c r="P6455" s="16">
        <f t="shared" si="4"/>
        <v>0</v>
      </c>
    </row>
    <row r="6456" ht="15.75" customHeight="1">
      <c r="A6456" s="14">
        <v>45562.0</v>
      </c>
      <c r="B6456" s="15">
        <v>3.55</v>
      </c>
      <c r="C6456" s="15">
        <v>3.56</v>
      </c>
      <c r="D6456" s="15"/>
      <c r="E6456" s="15">
        <v>3.81</v>
      </c>
      <c r="F6456" s="15">
        <f t="shared" si="1"/>
        <v>0.01</v>
      </c>
      <c r="G6456" s="15">
        <f t="shared" si="2"/>
        <v>3.56</v>
      </c>
      <c r="H6456" s="16">
        <v>0.0</v>
      </c>
      <c r="I6456" s="15">
        <f t="shared" si="3"/>
        <v>0.01</v>
      </c>
      <c r="J6456" s="15">
        <v>16.96</v>
      </c>
      <c r="K6456" s="16">
        <f>IF(COUNTIFS(Release_Calendar!$A$2:$A$755,"US_CPI",Release_Calendar!$B$2:$B$755,$A6456)&gt;0,1,0)</f>
        <v>0</v>
      </c>
      <c r="L6456" s="16">
        <f>IF(COUNTIFS(Release_Calendar!$A$2:$A$755,"US_NFP",Release_Calendar!$B$2:$B$755,$A6456)&gt;0,1,0)</f>
        <v>0</v>
      </c>
      <c r="M6456" s="16">
        <f>IF($A6456&lt;Notes!$B$5,"",IF(COUNTIFS(Release_Calendar!$A$2:$A$755,"NZ_CPI",Release_Calendar!$B$2:$B$755,$A6456)&gt;0,1,0))</f>
        <v>0</v>
      </c>
      <c r="N6456" s="16">
        <f>IF($A6456&lt;Notes!$B$5,"",IF(COUNTIFS(Release_Calendar!$A$2:$A$755,"NZ_GDP",Release_Calendar!$B$2:$B$755,$A6456)&gt;0,1,0))</f>
        <v>0</v>
      </c>
      <c r="O6456" s="16">
        <f>IF($A6456&lt;Notes!$B$5,"",IF(COUNTIFS(Release_Calendar!$A$2:$A$755,"NZ_LABOUR",Release_Calendar!$B$2:$B$755,$A6456)&gt;0,1,0))</f>
        <v>0</v>
      </c>
      <c r="P6456" s="16">
        <f t="shared" si="4"/>
        <v>0</v>
      </c>
    </row>
    <row r="6457" ht="15.75" customHeight="1">
      <c r="A6457" s="14">
        <v>45565.0</v>
      </c>
      <c r="B6457" s="15">
        <v>3.66</v>
      </c>
      <c r="C6457" s="15">
        <v>3.57</v>
      </c>
      <c r="D6457" s="15"/>
      <c r="E6457" s="15">
        <v>3.83</v>
      </c>
      <c r="F6457" s="15">
        <f t="shared" si="1"/>
        <v>-0.09</v>
      </c>
      <c r="G6457" s="15">
        <f t="shared" si="2"/>
        <v>3.57</v>
      </c>
      <c r="H6457" s="16">
        <v>0.0</v>
      </c>
      <c r="I6457" s="15">
        <f t="shared" si="3"/>
        <v>-0.09</v>
      </c>
      <c r="J6457" s="15">
        <v>16.73</v>
      </c>
      <c r="K6457" s="16">
        <f>IF(COUNTIFS(Release_Calendar!$A$2:$A$755,"US_CPI",Release_Calendar!$B$2:$B$755,$A6457)&gt;0,1,0)</f>
        <v>0</v>
      </c>
      <c r="L6457" s="16">
        <f>IF(COUNTIFS(Release_Calendar!$A$2:$A$755,"US_NFP",Release_Calendar!$B$2:$B$755,$A6457)&gt;0,1,0)</f>
        <v>0</v>
      </c>
      <c r="M6457" s="16">
        <f>IF($A6457&lt;Notes!$B$5,"",IF(COUNTIFS(Release_Calendar!$A$2:$A$755,"NZ_CPI",Release_Calendar!$B$2:$B$755,$A6457)&gt;0,1,0))</f>
        <v>0</v>
      </c>
      <c r="N6457" s="16">
        <f>IF($A6457&lt;Notes!$B$5,"",IF(COUNTIFS(Release_Calendar!$A$2:$A$755,"NZ_GDP",Release_Calendar!$B$2:$B$755,$A6457)&gt;0,1,0))</f>
        <v>0</v>
      </c>
      <c r="O6457" s="16">
        <f>IF($A6457&lt;Notes!$B$5,"",IF(COUNTIFS(Release_Calendar!$A$2:$A$755,"NZ_LABOUR",Release_Calendar!$B$2:$B$755,$A6457)&gt;0,1,0))</f>
        <v>0</v>
      </c>
      <c r="P6457" s="16">
        <f t="shared" si="4"/>
        <v>0</v>
      </c>
    </row>
    <row r="6458" ht="15.75" customHeight="1">
      <c r="A6458" s="14">
        <v>45566.0</v>
      </c>
      <c r="B6458" s="15">
        <v>3.61</v>
      </c>
      <c r="C6458" s="15">
        <v>3.56</v>
      </c>
      <c r="D6458" s="15"/>
      <c r="E6458" s="15">
        <v>3.81</v>
      </c>
      <c r="F6458" s="15">
        <f t="shared" si="1"/>
        <v>-0.05</v>
      </c>
      <c r="G6458" s="15">
        <f t="shared" si="2"/>
        <v>3.56</v>
      </c>
      <c r="H6458" s="16">
        <v>0.0</v>
      </c>
      <c r="I6458" s="15">
        <f t="shared" si="3"/>
        <v>-0.05</v>
      </c>
      <c r="J6458" s="15">
        <v>19.26</v>
      </c>
      <c r="K6458" s="16">
        <f>IF(COUNTIFS(Release_Calendar!$A$2:$A$755,"US_CPI",Release_Calendar!$B$2:$B$755,$A6458)&gt;0,1,0)</f>
        <v>0</v>
      </c>
      <c r="L6458" s="16">
        <f>IF(COUNTIFS(Release_Calendar!$A$2:$A$755,"US_NFP",Release_Calendar!$B$2:$B$755,$A6458)&gt;0,1,0)</f>
        <v>0</v>
      </c>
      <c r="M6458" s="16">
        <f>IF($A6458&lt;Notes!$B$5,"",IF(COUNTIFS(Release_Calendar!$A$2:$A$755,"NZ_CPI",Release_Calendar!$B$2:$B$755,$A6458)&gt;0,1,0))</f>
        <v>0</v>
      </c>
      <c r="N6458" s="16">
        <f>IF($A6458&lt;Notes!$B$5,"",IF(COUNTIFS(Release_Calendar!$A$2:$A$755,"NZ_GDP",Release_Calendar!$B$2:$B$755,$A6458)&gt;0,1,0))</f>
        <v>0</v>
      </c>
      <c r="O6458" s="16">
        <f>IF($A6458&lt;Notes!$B$5,"",IF(COUNTIFS(Release_Calendar!$A$2:$A$755,"NZ_LABOUR",Release_Calendar!$B$2:$B$755,$A6458)&gt;0,1,0))</f>
        <v>0</v>
      </c>
      <c r="P6458" s="16">
        <f t="shared" si="4"/>
        <v>0</v>
      </c>
    </row>
    <row r="6459" ht="15.75" customHeight="1">
      <c r="A6459" s="14">
        <v>45567.0</v>
      </c>
      <c r="B6459" s="15">
        <v>3.63</v>
      </c>
      <c r="C6459" s="15">
        <v>3.56</v>
      </c>
      <c r="D6459" s="15"/>
      <c r="E6459" s="15">
        <v>3.79</v>
      </c>
      <c r="F6459" s="15">
        <f t="shared" si="1"/>
        <v>-0.07</v>
      </c>
      <c r="G6459" s="15">
        <f t="shared" si="2"/>
        <v>3.56</v>
      </c>
      <c r="H6459" s="16">
        <v>0.0</v>
      </c>
      <c r="I6459" s="15">
        <f t="shared" si="3"/>
        <v>-0.07</v>
      </c>
      <c r="J6459" s="15">
        <v>18.9</v>
      </c>
      <c r="K6459" s="16">
        <f>IF(COUNTIFS(Release_Calendar!$A$2:$A$755,"US_CPI",Release_Calendar!$B$2:$B$755,$A6459)&gt;0,1,0)</f>
        <v>0</v>
      </c>
      <c r="L6459" s="16">
        <f>IF(COUNTIFS(Release_Calendar!$A$2:$A$755,"US_NFP",Release_Calendar!$B$2:$B$755,$A6459)&gt;0,1,0)</f>
        <v>0</v>
      </c>
      <c r="M6459" s="16">
        <f>IF($A6459&lt;Notes!$B$5,"",IF(COUNTIFS(Release_Calendar!$A$2:$A$755,"NZ_CPI",Release_Calendar!$B$2:$B$755,$A6459)&gt;0,1,0))</f>
        <v>0</v>
      </c>
      <c r="N6459" s="16">
        <f>IF($A6459&lt;Notes!$B$5,"",IF(COUNTIFS(Release_Calendar!$A$2:$A$755,"NZ_GDP",Release_Calendar!$B$2:$B$755,$A6459)&gt;0,1,0))</f>
        <v>0</v>
      </c>
      <c r="O6459" s="16">
        <f>IF($A6459&lt;Notes!$B$5,"",IF(COUNTIFS(Release_Calendar!$A$2:$A$755,"NZ_LABOUR",Release_Calendar!$B$2:$B$755,$A6459)&gt;0,1,0))</f>
        <v>0</v>
      </c>
      <c r="P6459" s="16">
        <f t="shared" si="4"/>
        <v>0</v>
      </c>
    </row>
    <row r="6460" ht="15.75" customHeight="1">
      <c r="A6460" s="14">
        <v>45568.0</v>
      </c>
      <c r="B6460" s="15">
        <v>3.7</v>
      </c>
      <c r="C6460" s="15">
        <v>3.56</v>
      </c>
      <c r="D6460" s="15"/>
      <c r="E6460" s="15">
        <v>3.8</v>
      </c>
      <c r="F6460" s="15">
        <f t="shared" si="1"/>
        <v>-0.14</v>
      </c>
      <c r="G6460" s="15">
        <f t="shared" si="2"/>
        <v>3.56</v>
      </c>
      <c r="H6460" s="16">
        <v>0.0</v>
      </c>
      <c r="I6460" s="15">
        <f t="shared" si="3"/>
        <v>-0.14</v>
      </c>
      <c r="J6460" s="15">
        <v>20.49</v>
      </c>
      <c r="K6460" s="16">
        <f>IF(COUNTIFS(Release_Calendar!$A$2:$A$755,"US_CPI",Release_Calendar!$B$2:$B$755,$A6460)&gt;0,1,0)</f>
        <v>0</v>
      </c>
      <c r="L6460" s="16">
        <f>IF(COUNTIFS(Release_Calendar!$A$2:$A$755,"US_NFP",Release_Calendar!$B$2:$B$755,$A6460)&gt;0,1,0)</f>
        <v>0</v>
      </c>
      <c r="M6460" s="16">
        <f>IF($A6460&lt;Notes!$B$5,"",IF(COUNTIFS(Release_Calendar!$A$2:$A$755,"NZ_CPI",Release_Calendar!$B$2:$B$755,$A6460)&gt;0,1,0))</f>
        <v>0</v>
      </c>
      <c r="N6460" s="16">
        <f>IF($A6460&lt;Notes!$B$5,"",IF(COUNTIFS(Release_Calendar!$A$2:$A$755,"NZ_GDP",Release_Calendar!$B$2:$B$755,$A6460)&gt;0,1,0))</f>
        <v>0</v>
      </c>
      <c r="O6460" s="16">
        <f>IF($A6460&lt;Notes!$B$5,"",IF(COUNTIFS(Release_Calendar!$A$2:$A$755,"NZ_LABOUR",Release_Calendar!$B$2:$B$755,$A6460)&gt;0,1,0))</f>
        <v>0</v>
      </c>
      <c r="P6460" s="16">
        <f t="shared" si="4"/>
        <v>0</v>
      </c>
    </row>
    <row r="6461" ht="15.75" customHeight="1">
      <c r="A6461" s="14">
        <v>45569.0</v>
      </c>
      <c r="B6461" s="15">
        <v>3.93</v>
      </c>
      <c r="C6461" s="15">
        <v>3.55</v>
      </c>
      <c r="D6461" s="15"/>
      <c r="E6461" s="15">
        <v>3.8</v>
      </c>
      <c r="F6461" s="15">
        <f t="shared" si="1"/>
        <v>-0.38</v>
      </c>
      <c r="G6461" s="15">
        <f t="shared" si="2"/>
        <v>3.55</v>
      </c>
      <c r="H6461" s="16">
        <v>0.0</v>
      </c>
      <c r="I6461" s="15">
        <f t="shared" si="3"/>
        <v>-0.38</v>
      </c>
      <c r="J6461" s="15">
        <v>19.21</v>
      </c>
      <c r="K6461" s="16">
        <f>IF(COUNTIFS(Release_Calendar!$A$2:$A$755,"US_CPI",Release_Calendar!$B$2:$B$755,$A6461)&gt;0,1,0)</f>
        <v>0</v>
      </c>
      <c r="L6461" s="16">
        <f>IF(COUNTIFS(Release_Calendar!$A$2:$A$755,"US_NFP",Release_Calendar!$B$2:$B$755,$A6461)&gt;0,1,0)</f>
        <v>1</v>
      </c>
      <c r="M6461" s="16">
        <f>IF($A6461&lt;Notes!$B$5,"",IF(COUNTIFS(Release_Calendar!$A$2:$A$755,"NZ_CPI",Release_Calendar!$B$2:$B$755,$A6461)&gt;0,1,0))</f>
        <v>0</v>
      </c>
      <c r="N6461" s="16">
        <f>IF($A6461&lt;Notes!$B$5,"",IF(COUNTIFS(Release_Calendar!$A$2:$A$755,"NZ_GDP",Release_Calendar!$B$2:$B$755,$A6461)&gt;0,1,0))</f>
        <v>0</v>
      </c>
      <c r="O6461" s="16">
        <f>IF($A6461&lt;Notes!$B$5,"",IF(COUNTIFS(Release_Calendar!$A$2:$A$755,"NZ_LABOUR",Release_Calendar!$B$2:$B$755,$A6461)&gt;0,1,0))</f>
        <v>0</v>
      </c>
      <c r="P6461" s="16">
        <f t="shared" si="4"/>
        <v>1</v>
      </c>
    </row>
    <row r="6462" ht="15.75" customHeight="1">
      <c r="A6462" s="14">
        <v>45572.0</v>
      </c>
      <c r="B6462" s="15">
        <v>3.99</v>
      </c>
      <c r="C6462" s="15">
        <v>3.64</v>
      </c>
      <c r="D6462" s="15"/>
      <c r="E6462" s="15">
        <v>3.86</v>
      </c>
      <c r="F6462" s="15">
        <f t="shared" si="1"/>
        <v>-0.35</v>
      </c>
      <c r="G6462" s="15">
        <f t="shared" si="2"/>
        <v>3.64</v>
      </c>
      <c r="H6462" s="16">
        <v>0.0</v>
      </c>
      <c r="I6462" s="15">
        <f t="shared" si="3"/>
        <v>-0.35</v>
      </c>
      <c r="J6462" s="15">
        <v>22.64</v>
      </c>
      <c r="K6462" s="16">
        <f>IF(COUNTIFS(Release_Calendar!$A$2:$A$755,"US_CPI",Release_Calendar!$B$2:$B$755,$A6462)&gt;0,1,0)</f>
        <v>0</v>
      </c>
      <c r="L6462" s="16">
        <f>IF(COUNTIFS(Release_Calendar!$A$2:$A$755,"US_NFP",Release_Calendar!$B$2:$B$755,$A6462)&gt;0,1,0)</f>
        <v>0</v>
      </c>
      <c r="M6462" s="16">
        <f>IF($A6462&lt;Notes!$B$5,"",IF(COUNTIFS(Release_Calendar!$A$2:$A$755,"NZ_CPI",Release_Calendar!$B$2:$B$755,$A6462)&gt;0,1,0))</f>
        <v>0</v>
      </c>
      <c r="N6462" s="16">
        <f>IF($A6462&lt;Notes!$B$5,"",IF(COUNTIFS(Release_Calendar!$A$2:$A$755,"NZ_GDP",Release_Calendar!$B$2:$B$755,$A6462)&gt;0,1,0))</f>
        <v>0</v>
      </c>
      <c r="O6462" s="16">
        <f>IF($A6462&lt;Notes!$B$5,"",IF(COUNTIFS(Release_Calendar!$A$2:$A$755,"NZ_LABOUR",Release_Calendar!$B$2:$B$755,$A6462)&gt;0,1,0))</f>
        <v>0</v>
      </c>
      <c r="P6462" s="16">
        <f t="shared" si="4"/>
        <v>0</v>
      </c>
    </row>
    <row r="6463" ht="15.75" customHeight="1">
      <c r="A6463" s="14">
        <v>45573.0</v>
      </c>
      <c r="B6463" s="15">
        <v>3.98</v>
      </c>
      <c r="C6463" s="15">
        <v>3.68</v>
      </c>
      <c r="D6463" s="15"/>
      <c r="E6463" s="15">
        <v>3.87</v>
      </c>
      <c r="F6463" s="15">
        <f t="shared" si="1"/>
        <v>-0.3</v>
      </c>
      <c r="G6463" s="15">
        <f t="shared" si="2"/>
        <v>3.68</v>
      </c>
      <c r="H6463" s="16">
        <v>0.0</v>
      </c>
      <c r="I6463" s="15">
        <f t="shared" si="3"/>
        <v>-0.3</v>
      </c>
      <c r="J6463" s="15">
        <v>21.42</v>
      </c>
      <c r="K6463" s="16">
        <f>IF(COUNTIFS(Release_Calendar!$A$2:$A$755,"US_CPI",Release_Calendar!$B$2:$B$755,$A6463)&gt;0,1,0)</f>
        <v>0</v>
      </c>
      <c r="L6463" s="16">
        <f>IF(COUNTIFS(Release_Calendar!$A$2:$A$755,"US_NFP",Release_Calendar!$B$2:$B$755,$A6463)&gt;0,1,0)</f>
        <v>0</v>
      </c>
      <c r="M6463" s="16">
        <f>IF($A6463&lt;Notes!$B$5,"",IF(COUNTIFS(Release_Calendar!$A$2:$A$755,"NZ_CPI",Release_Calendar!$B$2:$B$755,$A6463)&gt;0,1,0))</f>
        <v>0</v>
      </c>
      <c r="N6463" s="16">
        <f>IF($A6463&lt;Notes!$B$5,"",IF(COUNTIFS(Release_Calendar!$A$2:$A$755,"NZ_GDP",Release_Calendar!$B$2:$B$755,$A6463)&gt;0,1,0))</f>
        <v>0</v>
      </c>
      <c r="O6463" s="16">
        <f>IF($A6463&lt;Notes!$B$5,"",IF(COUNTIFS(Release_Calendar!$A$2:$A$755,"NZ_LABOUR",Release_Calendar!$B$2:$B$755,$A6463)&gt;0,1,0))</f>
        <v>0</v>
      </c>
      <c r="P6463" s="16">
        <f t="shared" si="4"/>
        <v>0</v>
      </c>
    </row>
    <row r="6464" ht="15.75" customHeight="1">
      <c r="A6464" s="14">
        <v>45574.0</v>
      </c>
      <c r="B6464" s="15">
        <v>3.99</v>
      </c>
      <c r="C6464" s="15">
        <v>3.64</v>
      </c>
      <c r="D6464" s="15"/>
      <c r="E6464" s="15">
        <v>3.85</v>
      </c>
      <c r="F6464" s="15">
        <f t="shared" si="1"/>
        <v>-0.35</v>
      </c>
      <c r="G6464" s="15">
        <f t="shared" si="2"/>
        <v>3.64</v>
      </c>
      <c r="H6464" s="16">
        <v>0.0</v>
      </c>
      <c r="I6464" s="15">
        <f t="shared" si="3"/>
        <v>-0.35</v>
      </c>
      <c r="J6464" s="15">
        <v>20.86</v>
      </c>
      <c r="K6464" s="16">
        <f>IF(COUNTIFS(Release_Calendar!$A$2:$A$755,"US_CPI",Release_Calendar!$B$2:$B$755,$A6464)&gt;0,1,0)</f>
        <v>0</v>
      </c>
      <c r="L6464" s="16">
        <f>IF(COUNTIFS(Release_Calendar!$A$2:$A$755,"US_NFP",Release_Calendar!$B$2:$B$755,$A6464)&gt;0,1,0)</f>
        <v>0</v>
      </c>
      <c r="M6464" s="16">
        <f>IF($A6464&lt;Notes!$B$5,"",IF(COUNTIFS(Release_Calendar!$A$2:$A$755,"NZ_CPI",Release_Calendar!$B$2:$B$755,$A6464)&gt;0,1,0))</f>
        <v>0</v>
      </c>
      <c r="N6464" s="16">
        <f>IF($A6464&lt;Notes!$B$5,"",IF(COUNTIFS(Release_Calendar!$A$2:$A$755,"NZ_GDP",Release_Calendar!$B$2:$B$755,$A6464)&gt;0,1,0))</f>
        <v>0</v>
      </c>
      <c r="O6464" s="16">
        <f>IF($A6464&lt;Notes!$B$5,"",IF(COUNTIFS(Release_Calendar!$A$2:$A$755,"NZ_LABOUR",Release_Calendar!$B$2:$B$755,$A6464)&gt;0,1,0))</f>
        <v>0</v>
      </c>
      <c r="P6464" s="16">
        <f t="shared" si="4"/>
        <v>0</v>
      </c>
    </row>
    <row r="6465" ht="15.75" customHeight="1">
      <c r="A6465" s="14">
        <v>45575.0</v>
      </c>
      <c r="B6465" s="15">
        <v>3.98</v>
      </c>
      <c r="C6465" s="15">
        <v>3.67</v>
      </c>
      <c r="D6465" s="15"/>
      <c r="E6465" s="15">
        <v>3.9</v>
      </c>
      <c r="F6465" s="15">
        <f t="shared" si="1"/>
        <v>-0.31</v>
      </c>
      <c r="G6465" s="15">
        <f t="shared" si="2"/>
        <v>3.67</v>
      </c>
      <c r="H6465" s="16">
        <v>0.0</v>
      </c>
      <c r="I6465" s="15">
        <f t="shared" si="3"/>
        <v>-0.31</v>
      </c>
      <c r="J6465" s="15">
        <v>20.93</v>
      </c>
      <c r="K6465" s="16">
        <f>IF(COUNTIFS(Release_Calendar!$A$2:$A$755,"US_CPI",Release_Calendar!$B$2:$B$755,$A6465)&gt;0,1,0)</f>
        <v>1</v>
      </c>
      <c r="L6465" s="16">
        <f>IF(COUNTIFS(Release_Calendar!$A$2:$A$755,"US_NFP",Release_Calendar!$B$2:$B$755,$A6465)&gt;0,1,0)</f>
        <v>0</v>
      </c>
      <c r="M6465" s="16">
        <f>IF($A6465&lt;Notes!$B$5,"",IF(COUNTIFS(Release_Calendar!$A$2:$A$755,"NZ_CPI",Release_Calendar!$B$2:$B$755,$A6465)&gt;0,1,0))</f>
        <v>0</v>
      </c>
      <c r="N6465" s="16">
        <f>IF($A6465&lt;Notes!$B$5,"",IF(COUNTIFS(Release_Calendar!$A$2:$A$755,"NZ_GDP",Release_Calendar!$B$2:$B$755,$A6465)&gt;0,1,0))</f>
        <v>0</v>
      </c>
      <c r="O6465" s="16">
        <f>IF($A6465&lt;Notes!$B$5,"",IF(COUNTIFS(Release_Calendar!$A$2:$A$755,"NZ_LABOUR",Release_Calendar!$B$2:$B$755,$A6465)&gt;0,1,0))</f>
        <v>0</v>
      </c>
      <c r="P6465" s="16">
        <f t="shared" si="4"/>
        <v>1</v>
      </c>
    </row>
    <row r="6466" ht="15.75" customHeight="1">
      <c r="A6466" s="14">
        <v>45576.0</v>
      </c>
      <c r="B6466" s="15">
        <v>3.95</v>
      </c>
      <c r="C6466" s="15">
        <v>3.71</v>
      </c>
      <c r="D6466" s="15"/>
      <c r="E6466" s="15">
        <v>3.95</v>
      </c>
      <c r="F6466" s="15">
        <f t="shared" si="1"/>
        <v>-0.24</v>
      </c>
      <c r="G6466" s="15">
        <f t="shared" si="2"/>
        <v>3.71</v>
      </c>
      <c r="H6466" s="16">
        <v>0.0</v>
      </c>
      <c r="I6466" s="15">
        <f t="shared" si="3"/>
        <v>-0.24</v>
      </c>
      <c r="J6466" s="15">
        <v>20.46</v>
      </c>
      <c r="K6466" s="16">
        <f>IF(COUNTIFS(Release_Calendar!$A$2:$A$755,"US_CPI",Release_Calendar!$B$2:$B$755,$A6466)&gt;0,1,0)</f>
        <v>0</v>
      </c>
      <c r="L6466" s="16">
        <f>IF(COUNTIFS(Release_Calendar!$A$2:$A$755,"US_NFP",Release_Calendar!$B$2:$B$755,$A6466)&gt;0,1,0)</f>
        <v>0</v>
      </c>
      <c r="M6466" s="16">
        <f>IF($A6466&lt;Notes!$B$5,"",IF(COUNTIFS(Release_Calendar!$A$2:$A$755,"NZ_CPI",Release_Calendar!$B$2:$B$755,$A6466)&gt;0,1,0))</f>
        <v>0</v>
      </c>
      <c r="N6466" s="16">
        <f>IF($A6466&lt;Notes!$B$5,"",IF(COUNTIFS(Release_Calendar!$A$2:$A$755,"NZ_GDP",Release_Calendar!$B$2:$B$755,$A6466)&gt;0,1,0))</f>
        <v>0</v>
      </c>
      <c r="O6466" s="16">
        <f>IF($A6466&lt;Notes!$B$5,"",IF(COUNTIFS(Release_Calendar!$A$2:$A$755,"NZ_LABOUR",Release_Calendar!$B$2:$B$755,$A6466)&gt;0,1,0))</f>
        <v>0</v>
      </c>
      <c r="P6466" s="16">
        <f t="shared" si="4"/>
        <v>0</v>
      </c>
    </row>
    <row r="6467" ht="15.75" customHeight="1">
      <c r="A6467" s="14">
        <v>45579.0</v>
      </c>
      <c r="B6467" s="15"/>
      <c r="C6467" s="15">
        <v>3.76</v>
      </c>
      <c r="D6467" s="15"/>
      <c r="E6467" s="15">
        <v>3.98</v>
      </c>
      <c r="F6467" s="15" t="str">
        <f t="shared" si="1"/>
        <v/>
      </c>
      <c r="G6467" s="15">
        <f t="shared" si="2"/>
        <v>3.76</v>
      </c>
      <c r="H6467" s="16">
        <v>0.0</v>
      </c>
      <c r="I6467" s="15" t="str">
        <f t="shared" si="3"/>
        <v/>
      </c>
      <c r="J6467" s="15">
        <v>19.7</v>
      </c>
      <c r="K6467" s="16">
        <f>IF(COUNTIFS(Release_Calendar!$A$2:$A$755,"US_CPI",Release_Calendar!$B$2:$B$755,$A6467)&gt;0,1,0)</f>
        <v>0</v>
      </c>
      <c r="L6467" s="16">
        <f>IF(COUNTIFS(Release_Calendar!$A$2:$A$755,"US_NFP",Release_Calendar!$B$2:$B$755,$A6467)&gt;0,1,0)</f>
        <v>0</v>
      </c>
      <c r="M6467" s="16">
        <f>IF($A6467&lt;Notes!$B$5,"",IF(COUNTIFS(Release_Calendar!$A$2:$A$755,"NZ_CPI",Release_Calendar!$B$2:$B$755,$A6467)&gt;0,1,0))</f>
        <v>0</v>
      </c>
      <c r="N6467" s="16">
        <f>IF($A6467&lt;Notes!$B$5,"",IF(COUNTIFS(Release_Calendar!$A$2:$A$755,"NZ_GDP",Release_Calendar!$B$2:$B$755,$A6467)&gt;0,1,0))</f>
        <v>0</v>
      </c>
      <c r="O6467" s="16">
        <f>IF($A6467&lt;Notes!$B$5,"",IF(COUNTIFS(Release_Calendar!$A$2:$A$755,"NZ_LABOUR",Release_Calendar!$B$2:$B$755,$A6467)&gt;0,1,0))</f>
        <v>0</v>
      </c>
      <c r="P6467" s="16">
        <f t="shared" si="4"/>
        <v>0</v>
      </c>
    </row>
    <row r="6468" ht="15.75" customHeight="1">
      <c r="A6468" s="14">
        <v>45580.0</v>
      </c>
      <c r="B6468" s="15">
        <v>3.95</v>
      </c>
      <c r="C6468" s="15">
        <v>3.7</v>
      </c>
      <c r="D6468" s="15"/>
      <c r="E6468" s="15">
        <v>3.92</v>
      </c>
      <c r="F6468" s="15">
        <f t="shared" si="1"/>
        <v>-0.25</v>
      </c>
      <c r="G6468" s="15">
        <f t="shared" si="2"/>
        <v>3.7</v>
      </c>
      <c r="H6468" s="16">
        <v>0.0</v>
      </c>
      <c r="I6468" s="15">
        <f t="shared" si="3"/>
        <v>-0.25</v>
      </c>
      <c r="J6468" s="15">
        <v>20.64</v>
      </c>
      <c r="K6468" s="16">
        <f>IF(COUNTIFS(Release_Calendar!$A$2:$A$755,"US_CPI",Release_Calendar!$B$2:$B$755,$A6468)&gt;0,1,0)</f>
        <v>0</v>
      </c>
      <c r="L6468" s="16">
        <f>IF(COUNTIFS(Release_Calendar!$A$2:$A$755,"US_NFP",Release_Calendar!$B$2:$B$755,$A6468)&gt;0,1,0)</f>
        <v>0</v>
      </c>
      <c r="M6468" s="16">
        <f>IF($A6468&lt;Notes!$B$5,"",IF(COUNTIFS(Release_Calendar!$A$2:$A$755,"NZ_CPI",Release_Calendar!$B$2:$B$755,$A6468)&gt;0,1,0))</f>
        <v>0</v>
      </c>
      <c r="N6468" s="16">
        <f>IF($A6468&lt;Notes!$B$5,"",IF(COUNTIFS(Release_Calendar!$A$2:$A$755,"NZ_GDP",Release_Calendar!$B$2:$B$755,$A6468)&gt;0,1,0))</f>
        <v>0</v>
      </c>
      <c r="O6468" s="16">
        <f>IF($A6468&lt;Notes!$B$5,"",IF(COUNTIFS(Release_Calendar!$A$2:$A$755,"NZ_LABOUR",Release_Calendar!$B$2:$B$755,$A6468)&gt;0,1,0))</f>
        <v>0</v>
      </c>
      <c r="P6468" s="16">
        <f t="shared" si="4"/>
        <v>0</v>
      </c>
    </row>
    <row r="6469" ht="15.75" customHeight="1">
      <c r="A6469" s="14">
        <v>45581.0</v>
      </c>
      <c r="B6469" s="15">
        <v>3.93</v>
      </c>
      <c r="C6469" s="15">
        <v>3.61</v>
      </c>
      <c r="D6469" s="15"/>
      <c r="E6469" s="15">
        <v>3.85</v>
      </c>
      <c r="F6469" s="15">
        <f t="shared" si="1"/>
        <v>-0.32</v>
      </c>
      <c r="G6469" s="15">
        <f t="shared" si="2"/>
        <v>3.61</v>
      </c>
      <c r="H6469" s="16">
        <v>0.0</v>
      </c>
      <c r="I6469" s="15">
        <f t="shared" si="3"/>
        <v>-0.32</v>
      </c>
      <c r="J6469" s="15">
        <v>19.58</v>
      </c>
      <c r="K6469" s="16">
        <f>IF(COUNTIFS(Release_Calendar!$A$2:$A$755,"US_CPI",Release_Calendar!$B$2:$B$755,$A6469)&gt;0,1,0)</f>
        <v>0</v>
      </c>
      <c r="L6469" s="16">
        <f>IF(COUNTIFS(Release_Calendar!$A$2:$A$755,"US_NFP",Release_Calendar!$B$2:$B$755,$A6469)&gt;0,1,0)</f>
        <v>0</v>
      </c>
      <c r="M6469" s="16">
        <f>IF($A6469&lt;Notes!$B$5,"",IF(COUNTIFS(Release_Calendar!$A$2:$A$755,"NZ_CPI",Release_Calendar!$B$2:$B$755,$A6469)&gt;0,1,0))</f>
        <v>1</v>
      </c>
      <c r="N6469" s="16">
        <f>IF($A6469&lt;Notes!$B$5,"",IF(COUNTIFS(Release_Calendar!$A$2:$A$755,"NZ_GDP",Release_Calendar!$B$2:$B$755,$A6469)&gt;0,1,0))</f>
        <v>0</v>
      </c>
      <c r="O6469" s="16">
        <f>IF($A6469&lt;Notes!$B$5,"",IF(COUNTIFS(Release_Calendar!$A$2:$A$755,"NZ_LABOUR",Release_Calendar!$B$2:$B$755,$A6469)&gt;0,1,0))</f>
        <v>0</v>
      </c>
      <c r="P6469" s="16">
        <f t="shared" si="4"/>
        <v>1</v>
      </c>
    </row>
    <row r="6470" ht="15.75" customHeight="1">
      <c r="A6470" s="14">
        <v>45582.0</v>
      </c>
      <c r="B6470" s="15">
        <v>3.96</v>
      </c>
      <c r="C6470" s="15">
        <v>3.58</v>
      </c>
      <c r="D6470" s="15"/>
      <c r="E6470" s="15">
        <v>3.84</v>
      </c>
      <c r="F6470" s="15">
        <f t="shared" si="1"/>
        <v>-0.38</v>
      </c>
      <c r="G6470" s="15">
        <f t="shared" si="2"/>
        <v>3.58</v>
      </c>
      <c r="H6470" s="16">
        <v>0.0</v>
      </c>
      <c r="I6470" s="15">
        <f t="shared" si="3"/>
        <v>-0.38</v>
      </c>
      <c r="J6470" s="15">
        <v>19.11</v>
      </c>
      <c r="K6470" s="16">
        <f>IF(COUNTIFS(Release_Calendar!$A$2:$A$755,"US_CPI",Release_Calendar!$B$2:$B$755,$A6470)&gt;0,1,0)</f>
        <v>0</v>
      </c>
      <c r="L6470" s="16">
        <f>IF(COUNTIFS(Release_Calendar!$A$2:$A$755,"US_NFP",Release_Calendar!$B$2:$B$755,$A6470)&gt;0,1,0)</f>
        <v>0</v>
      </c>
      <c r="M6470" s="16">
        <f>IF($A6470&lt;Notes!$B$5,"",IF(COUNTIFS(Release_Calendar!$A$2:$A$755,"NZ_CPI",Release_Calendar!$B$2:$B$755,$A6470)&gt;0,1,0))</f>
        <v>0</v>
      </c>
      <c r="N6470" s="16">
        <f>IF($A6470&lt;Notes!$B$5,"",IF(COUNTIFS(Release_Calendar!$A$2:$A$755,"NZ_GDP",Release_Calendar!$B$2:$B$755,$A6470)&gt;0,1,0))</f>
        <v>0</v>
      </c>
      <c r="O6470" s="16">
        <f>IF($A6470&lt;Notes!$B$5,"",IF(COUNTIFS(Release_Calendar!$A$2:$A$755,"NZ_LABOUR",Release_Calendar!$B$2:$B$755,$A6470)&gt;0,1,0))</f>
        <v>0</v>
      </c>
      <c r="P6470" s="16">
        <f t="shared" si="4"/>
        <v>0</v>
      </c>
    </row>
    <row r="6471" ht="15.75" customHeight="1">
      <c r="A6471" s="14">
        <v>45583.0</v>
      </c>
      <c r="B6471" s="15">
        <v>3.95</v>
      </c>
      <c r="C6471" s="15">
        <v>3.62</v>
      </c>
      <c r="D6471" s="15"/>
      <c r="E6471" s="15">
        <v>3.83</v>
      </c>
      <c r="F6471" s="15">
        <f t="shared" si="1"/>
        <v>-0.33</v>
      </c>
      <c r="G6471" s="15">
        <f t="shared" si="2"/>
        <v>3.62</v>
      </c>
      <c r="H6471" s="16">
        <v>0.0</v>
      </c>
      <c r="I6471" s="15">
        <f t="shared" si="3"/>
        <v>-0.33</v>
      </c>
      <c r="J6471" s="15">
        <v>18.03</v>
      </c>
      <c r="K6471" s="16">
        <f>IF(COUNTIFS(Release_Calendar!$A$2:$A$755,"US_CPI",Release_Calendar!$B$2:$B$755,$A6471)&gt;0,1,0)</f>
        <v>0</v>
      </c>
      <c r="L6471" s="16">
        <f>IF(COUNTIFS(Release_Calendar!$A$2:$A$755,"US_NFP",Release_Calendar!$B$2:$B$755,$A6471)&gt;0,1,0)</f>
        <v>0</v>
      </c>
      <c r="M6471" s="16">
        <f>IF($A6471&lt;Notes!$B$5,"",IF(COUNTIFS(Release_Calendar!$A$2:$A$755,"NZ_CPI",Release_Calendar!$B$2:$B$755,$A6471)&gt;0,1,0))</f>
        <v>0</v>
      </c>
      <c r="N6471" s="16">
        <f>IF($A6471&lt;Notes!$B$5,"",IF(COUNTIFS(Release_Calendar!$A$2:$A$755,"NZ_GDP",Release_Calendar!$B$2:$B$755,$A6471)&gt;0,1,0))</f>
        <v>0</v>
      </c>
      <c r="O6471" s="16">
        <f>IF($A6471&lt;Notes!$B$5,"",IF(COUNTIFS(Release_Calendar!$A$2:$A$755,"NZ_LABOUR",Release_Calendar!$B$2:$B$755,$A6471)&gt;0,1,0))</f>
        <v>0</v>
      </c>
      <c r="P6471" s="16">
        <f t="shared" si="4"/>
        <v>0</v>
      </c>
    </row>
    <row r="6472" ht="15.75" customHeight="1">
      <c r="A6472" s="14">
        <v>45586.0</v>
      </c>
      <c r="B6472" s="15">
        <v>4.02</v>
      </c>
      <c r="C6472" s="15">
        <v>3.63</v>
      </c>
      <c r="D6472" s="15"/>
      <c r="E6472" s="15">
        <v>3.84</v>
      </c>
      <c r="F6472" s="15">
        <f t="shared" si="1"/>
        <v>-0.39</v>
      </c>
      <c r="G6472" s="15">
        <f t="shared" si="2"/>
        <v>3.63</v>
      </c>
      <c r="H6472" s="16">
        <v>0.0</v>
      </c>
      <c r="I6472" s="15">
        <f t="shared" si="3"/>
        <v>-0.39</v>
      </c>
      <c r="J6472" s="15">
        <v>18.37</v>
      </c>
      <c r="K6472" s="16">
        <f>IF(COUNTIFS(Release_Calendar!$A$2:$A$755,"US_CPI",Release_Calendar!$B$2:$B$755,$A6472)&gt;0,1,0)</f>
        <v>0</v>
      </c>
      <c r="L6472" s="16">
        <f>IF(COUNTIFS(Release_Calendar!$A$2:$A$755,"US_NFP",Release_Calendar!$B$2:$B$755,$A6472)&gt;0,1,0)</f>
        <v>0</v>
      </c>
      <c r="M6472" s="16">
        <f>IF($A6472&lt;Notes!$B$5,"",IF(COUNTIFS(Release_Calendar!$A$2:$A$755,"NZ_CPI",Release_Calendar!$B$2:$B$755,$A6472)&gt;0,1,0))</f>
        <v>0</v>
      </c>
      <c r="N6472" s="16">
        <f>IF($A6472&lt;Notes!$B$5,"",IF(COUNTIFS(Release_Calendar!$A$2:$A$755,"NZ_GDP",Release_Calendar!$B$2:$B$755,$A6472)&gt;0,1,0))</f>
        <v>0</v>
      </c>
      <c r="O6472" s="16">
        <f>IF($A6472&lt;Notes!$B$5,"",IF(COUNTIFS(Release_Calendar!$A$2:$A$755,"NZ_LABOUR",Release_Calendar!$B$2:$B$755,$A6472)&gt;0,1,0))</f>
        <v>0</v>
      </c>
      <c r="P6472" s="16">
        <f t="shared" si="4"/>
        <v>0</v>
      </c>
    </row>
    <row r="6473" ht="15.75" customHeight="1">
      <c r="A6473" s="14">
        <v>45587.0</v>
      </c>
      <c r="B6473" s="15">
        <v>4.03</v>
      </c>
      <c r="C6473" s="15">
        <v>3.65</v>
      </c>
      <c r="D6473" s="15"/>
      <c r="E6473" s="15">
        <v>3.83</v>
      </c>
      <c r="F6473" s="15">
        <f t="shared" si="1"/>
        <v>-0.38</v>
      </c>
      <c r="G6473" s="15">
        <f t="shared" si="2"/>
        <v>3.65</v>
      </c>
      <c r="H6473" s="16">
        <v>0.0</v>
      </c>
      <c r="I6473" s="15">
        <f t="shared" si="3"/>
        <v>-0.38</v>
      </c>
      <c r="J6473" s="15">
        <v>18.2</v>
      </c>
      <c r="K6473" s="16">
        <f>IF(COUNTIFS(Release_Calendar!$A$2:$A$755,"US_CPI",Release_Calendar!$B$2:$B$755,$A6473)&gt;0,1,0)</f>
        <v>0</v>
      </c>
      <c r="L6473" s="16">
        <f>IF(COUNTIFS(Release_Calendar!$A$2:$A$755,"US_NFP",Release_Calendar!$B$2:$B$755,$A6473)&gt;0,1,0)</f>
        <v>0</v>
      </c>
      <c r="M6473" s="16">
        <f>IF($A6473&lt;Notes!$B$5,"",IF(COUNTIFS(Release_Calendar!$A$2:$A$755,"NZ_CPI",Release_Calendar!$B$2:$B$755,$A6473)&gt;0,1,0))</f>
        <v>0</v>
      </c>
      <c r="N6473" s="16">
        <f>IF($A6473&lt;Notes!$B$5,"",IF(COUNTIFS(Release_Calendar!$A$2:$A$755,"NZ_GDP",Release_Calendar!$B$2:$B$755,$A6473)&gt;0,1,0))</f>
        <v>0</v>
      </c>
      <c r="O6473" s="16">
        <f>IF($A6473&lt;Notes!$B$5,"",IF(COUNTIFS(Release_Calendar!$A$2:$A$755,"NZ_LABOUR",Release_Calendar!$B$2:$B$755,$A6473)&gt;0,1,0))</f>
        <v>0</v>
      </c>
      <c r="P6473" s="16">
        <f t="shared" si="4"/>
        <v>0</v>
      </c>
    </row>
    <row r="6474" ht="15.75" customHeight="1">
      <c r="A6474" s="14">
        <v>45588.0</v>
      </c>
      <c r="B6474" s="15">
        <v>4.07</v>
      </c>
      <c r="C6474" s="15">
        <v>3.66</v>
      </c>
      <c r="D6474" s="15"/>
      <c r="E6474" s="15">
        <v>3.82</v>
      </c>
      <c r="F6474" s="15">
        <f t="shared" si="1"/>
        <v>-0.41</v>
      </c>
      <c r="G6474" s="15">
        <f t="shared" si="2"/>
        <v>3.66</v>
      </c>
      <c r="H6474" s="16">
        <v>0.0</v>
      </c>
      <c r="I6474" s="15">
        <f t="shared" si="3"/>
        <v>-0.41</v>
      </c>
      <c r="J6474" s="15">
        <v>19.24</v>
      </c>
      <c r="K6474" s="16">
        <f>IF(COUNTIFS(Release_Calendar!$A$2:$A$755,"US_CPI",Release_Calendar!$B$2:$B$755,$A6474)&gt;0,1,0)</f>
        <v>0</v>
      </c>
      <c r="L6474" s="16">
        <f>IF(COUNTIFS(Release_Calendar!$A$2:$A$755,"US_NFP",Release_Calendar!$B$2:$B$755,$A6474)&gt;0,1,0)</f>
        <v>0</v>
      </c>
      <c r="M6474" s="16">
        <f>IF($A6474&lt;Notes!$B$5,"",IF(COUNTIFS(Release_Calendar!$A$2:$A$755,"NZ_CPI",Release_Calendar!$B$2:$B$755,$A6474)&gt;0,1,0))</f>
        <v>0</v>
      </c>
      <c r="N6474" s="16">
        <f>IF($A6474&lt;Notes!$B$5,"",IF(COUNTIFS(Release_Calendar!$A$2:$A$755,"NZ_GDP",Release_Calendar!$B$2:$B$755,$A6474)&gt;0,1,0))</f>
        <v>0</v>
      </c>
      <c r="O6474" s="16">
        <f>IF($A6474&lt;Notes!$B$5,"",IF(COUNTIFS(Release_Calendar!$A$2:$A$755,"NZ_LABOUR",Release_Calendar!$B$2:$B$755,$A6474)&gt;0,1,0))</f>
        <v>0</v>
      </c>
      <c r="P6474" s="16">
        <f t="shared" si="4"/>
        <v>0</v>
      </c>
    </row>
    <row r="6475" ht="15.75" customHeight="1">
      <c r="A6475" s="14">
        <v>45589.0</v>
      </c>
      <c r="B6475" s="15">
        <v>4.07</v>
      </c>
      <c r="C6475" s="15">
        <v>3.66</v>
      </c>
      <c r="D6475" s="15"/>
      <c r="E6475" s="15">
        <v>3.81</v>
      </c>
      <c r="F6475" s="15">
        <f t="shared" si="1"/>
        <v>-0.41</v>
      </c>
      <c r="G6475" s="15">
        <f t="shared" si="2"/>
        <v>3.66</v>
      </c>
      <c r="H6475" s="16">
        <v>0.0</v>
      </c>
      <c r="I6475" s="15">
        <f t="shared" si="3"/>
        <v>-0.41</v>
      </c>
      <c r="J6475" s="15">
        <v>19.08</v>
      </c>
      <c r="K6475" s="16">
        <f>IF(COUNTIFS(Release_Calendar!$A$2:$A$755,"US_CPI",Release_Calendar!$B$2:$B$755,$A6475)&gt;0,1,0)</f>
        <v>0</v>
      </c>
      <c r="L6475" s="16">
        <f>IF(COUNTIFS(Release_Calendar!$A$2:$A$755,"US_NFP",Release_Calendar!$B$2:$B$755,$A6475)&gt;0,1,0)</f>
        <v>0</v>
      </c>
      <c r="M6475" s="16">
        <f>IF($A6475&lt;Notes!$B$5,"",IF(COUNTIFS(Release_Calendar!$A$2:$A$755,"NZ_CPI",Release_Calendar!$B$2:$B$755,$A6475)&gt;0,1,0))</f>
        <v>0</v>
      </c>
      <c r="N6475" s="16">
        <f>IF($A6475&lt;Notes!$B$5,"",IF(COUNTIFS(Release_Calendar!$A$2:$A$755,"NZ_GDP",Release_Calendar!$B$2:$B$755,$A6475)&gt;0,1,0))</f>
        <v>0</v>
      </c>
      <c r="O6475" s="16">
        <f>IF($A6475&lt;Notes!$B$5,"",IF(COUNTIFS(Release_Calendar!$A$2:$A$755,"NZ_LABOUR",Release_Calendar!$B$2:$B$755,$A6475)&gt;0,1,0))</f>
        <v>0</v>
      </c>
      <c r="P6475" s="16">
        <f t="shared" si="4"/>
        <v>0</v>
      </c>
    </row>
    <row r="6476" ht="15.75" customHeight="1">
      <c r="A6476" s="14">
        <v>45590.0</v>
      </c>
      <c r="B6476" s="15">
        <v>4.11</v>
      </c>
      <c r="C6476" s="15">
        <v>3.61</v>
      </c>
      <c r="D6476" s="15"/>
      <c r="E6476" s="15">
        <v>3.77</v>
      </c>
      <c r="F6476" s="15">
        <f t="shared" si="1"/>
        <v>-0.5</v>
      </c>
      <c r="G6476" s="15">
        <f t="shared" si="2"/>
        <v>3.61</v>
      </c>
      <c r="H6476" s="16">
        <v>0.0</v>
      </c>
      <c r="I6476" s="15">
        <f t="shared" si="3"/>
        <v>-0.5</v>
      </c>
      <c r="J6476" s="15">
        <v>20.33</v>
      </c>
      <c r="K6476" s="16">
        <f>IF(COUNTIFS(Release_Calendar!$A$2:$A$755,"US_CPI",Release_Calendar!$B$2:$B$755,$A6476)&gt;0,1,0)</f>
        <v>0</v>
      </c>
      <c r="L6476" s="16">
        <f>IF(COUNTIFS(Release_Calendar!$A$2:$A$755,"US_NFP",Release_Calendar!$B$2:$B$755,$A6476)&gt;0,1,0)</f>
        <v>0</v>
      </c>
      <c r="M6476" s="16">
        <f>IF($A6476&lt;Notes!$B$5,"",IF(COUNTIFS(Release_Calendar!$A$2:$A$755,"NZ_CPI",Release_Calendar!$B$2:$B$755,$A6476)&gt;0,1,0))</f>
        <v>0</v>
      </c>
      <c r="N6476" s="16">
        <f>IF($A6476&lt;Notes!$B$5,"",IF(COUNTIFS(Release_Calendar!$A$2:$A$755,"NZ_GDP",Release_Calendar!$B$2:$B$755,$A6476)&gt;0,1,0))</f>
        <v>0</v>
      </c>
      <c r="O6476" s="16">
        <f>IF($A6476&lt;Notes!$B$5,"",IF(COUNTIFS(Release_Calendar!$A$2:$A$755,"NZ_LABOUR",Release_Calendar!$B$2:$B$755,$A6476)&gt;0,1,0))</f>
        <v>0</v>
      </c>
      <c r="P6476" s="16">
        <f t="shared" si="4"/>
        <v>0</v>
      </c>
    </row>
    <row r="6477" ht="15.75" customHeight="1">
      <c r="A6477" s="14">
        <v>45593.0</v>
      </c>
      <c r="B6477" s="15">
        <v>4.12</v>
      </c>
      <c r="C6477" s="15"/>
      <c r="D6477" s="15"/>
      <c r="E6477" s="15"/>
      <c r="F6477" s="15" t="str">
        <f t="shared" si="1"/>
        <v/>
      </c>
      <c r="G6477" s="15" t="str">
        <f t="shared" si="2"/>
        <v/>
      </c>
      <c r="H6477" s="16">
        <v>0.0</v>
      </c>
      <c r="I6477" s="15" t="str">
        <f t="shared" si="3"/>
        <v/>
      </c>
      <c r="J6477" s="15">
        <v>19.8</v>
      </c>
      <c r="K6477" s="16">
        <f>IF(COUNTIFS(Release_Calendar!$A$2:$A$755,"US_CPI",Release_Calendar!$B$2:$B$755,$A6477)&gt;0,1,0)</f>
        <v>0</v>
      </c>
      <c r="L6477" s="16">
        <f>IF(COUNTIFS(Release_Calendar!$A$2:$A$755,"US_NFP",Release_Calendar!$B$2:$B$755,$A6477)&gt;0,1,0)</f>
        <v>0</v>
      </c>
      <c r="M6477" s="16">
        <f>IF($A6477&lt;Notes!$B$5,"",IF(COUNTIFS(Release_Calendar!$A$2:$A$755,"NZ_CPI",Release_Calendar!$B$2:$B$755,$A6477)&gt;0,1,0))</f>
        <v>0</v>
      </c>
      <c r="N6477" s="16">
        <f>IF($A6477&lt;Notes!$B$5,"",IF(COUNTIFS(Release_Calendar!$A$2:$A$755,"NZ_GDP",Release_Calendar!$B$2:$B$755,$A6477)&gt;0,1,0))</f>
        <v>0</v>
      </c>
      <c r="O6477" s="16">
        <f>IF($A6477&lt;Notes!$B$5,"",IF(COUNTIFS(Release_Calendar!$A$2:$A$755,"NZ_LABOUR",Release_Calendar!$B$2:$B$755,$A6477)&gt;0,1,0))</f>
        <v>0</v>
      </c>
      <c r="P6477" s="16">
        <f t="shared" si="4"/>
        <v>0</v>
      </c>
    </row>
    <row r="6478" ht="15.75" customHeight="1">
      <c r="A6478" s="14">
        <v>45594.0</v>
      </c>
      <c r="B6478" s="15">
        <v>4.11</v>
      </c>
      <c r="C6478" s="15">
        <v>3.64</v>
      </c>
      <c r="D6478" s="15"/>
      <c r="E6478" s="15">
        <v>3.78</v>
      </c>
      <c r="F6478" s="15">
        <f t="shared" si="1"/>
        <v>-0.47</v>
      </c>
      <c r="G6478" s="15">
        <f t="shared" si="2"/>
        <v>3.64</v>
      </c>
      <c r="H6478" s="16">
        <v>0.0</v>
      </c>
      <c r="I6478" s="15">
        <f t="shared" si="3"/>
        <v>-0.47</v>
      </c>
      <c r="J6478" s="15">
        <v>19.34</v>
      </c>
      <c r="K6478" s="16">
        <f>IF(COUNTIFS(Release_Calendar!$A$2:$A$755,"US_CPI",Release_Calendar!$B$2:$B$755,$A6478)&gt;0,1,0)</f>
        <v>0</v>
      </c>
      <c r="L6478" s="16">
        <f>IF(COUNTIFS(Release_Calendar!$A$2:$A$755,"US_NFP",Release_Calendar!$B$2:$B$755,$A6478)&gt;0,1,0)</f>
        <v>0</v>
      </c>
      <c r="M6478" s="16">
        <f>IF($A6478&lt;Notes!$B$5,"",IF(COUNTIFS(Release_Calendar!$A$2:$A$755,"NZ_CPI",Release_Calendar!$B$2:$B$755,$A6478)&gt;0,1,0))</f>
        <v>0</v>
      </c>
      <c r="N6478" s="16">
        <f>IF($A6478&lt;Notes!$B$5,"",IF(COUNTIFS(Release_Calendar!$A$2:$A$755,"NZ_GDP",Release_Calendar!$B$2:$B$755,$A6478)&gt;0,1,0))</f>
        <v>0</v>
      </c>
      <c r="O6478" s="16">
        <f>IF($A6478&lt;Notes!$B$5,"",IF(COUNTIFS(Release_Calendar!$A$2:$A$755,"NZ_LABOUR",Release_Calendar!$B$2:$B$755,$A6478)&gt;0,1,0))</f>
        <v>0</v>
      </c>
      <c r="P6478" s="16">
        <f t="shared" si="4"/>
        <v>0</v>
      </c>
    </row>
    <row r="6479" ht="15.75" customHeight="1">
      <c r="A6479" s="14">
        <v>45595.0</v>
      </c>
      <c r="B6479" s="15">
        <v>4.15</v>
      </c>
      <c r="C6479" s="15">
        <v>3.62</v>
      </c>
      <c r="D6479" s="15"/>
      <c r="E6479" s="15">
        <v>3.8</v>
      </c>
      <c r="F6479" s="15">
        <f t="shared" si="1"/>
        <v>-0.53</v>
      </c>
      <c r="G6479" s="15">
        <f t="shared" si="2"/>
        <v>3.62</v>
      </c>
      <c r="H6479" s="16">
        <v>0.0</v>
      </c>
      <c r="I6479" s="15">
        <f t="shared" si="3"/>
        <v>-0.53</v>
      </c>
      <c r="J6479" s="15">
        <v>20.35</v>
      </c>
      <c r="K6479" s="16">
        <f>IF(COUNTIFS(Release_Calendar!$A$2:$A$755,"US_CPI",Release_Calendar!$B$2:$B$755,$A6479)&gt;0,1,0)</f>
        <v>0</v>
      </c>
      <c r="L6479" s="16">
        <f>IF(COUNTIFS(Release_Calendar!$A$2:$A$755,"US_NFP",Release_Calendar!$B$2:$B$755,$A6479)&gt;0,1,0)</f>
        <v>0</v>
      </c>
      <c r="M6479" s="16">
        <f>IF($A6479&lt;Notes!$B$5,"",IF(COUNTIFS(Release_Calendar!$A$2:$A$755,"NZ_CPI",Release_Calendar!$B$2:$B$755,$A6479)&gt;0,1,0))</f>
        <v>0</v>
      </c>
      <c r="N6479" s="16">
        <f>IF($A6479&lt;Notes!$B$5,"",IF(COUNTIFS(Release_Calendar!$A$2:$A$755,"NZ_GDP",Release_Calendar!$B$2:$B$755,$A6479)&gt;0,1,0))</f>
        <v>0</v>
      </c>
      <c r="O6479" s="16">
        <f>IF($A6479&lt;Notes!$B$5,"",IF(COUNTIFS(Release_Calendar!$A$2:$A$755,"NZ_LABOUR",Release_Calendar!$B$2:$B$755,$A6479)&gt;0,1,0))</f>
        <v>0</v>
      </c>
      <c r="P6479" s="16">
        <f t="shared" si="4"/>
        <v>0</v>
      </c>
    </row>
    <row r="6480" ht="15.75" customHeight="1">
      <c r="A6480" s="14">
        <v>45596.0</v>
      </c>
      <c r="B6480" s="15">
        <v>4.16</v>
      </c>
      <c r="C6480" s="15">
        <v>3.64</v>
      </c>
      <c r="D6480" s="15"/>
      <c r="E6480" s="15">
        <v>3.82</v>
      </c>
      <c r="F6480" s="15">
        <f t="shared" si="1"/>
        <v>-0.52</v>
      </c>
      <c r="G6480" s="15">
        <f t="shared" si="2"/>
        <v>3.64</v>
      </c>
      <c r="H6480" s="16">
        <v>0.0</v>
      </c>
      <c r="I6480" s="15">
        <f t="shared" si="3"/>
        <v>-0.52</v>
      </c>
      <c r="J6480" s="15">
        <v>23.16</v>
      </c>
      <c r="K6480" s="16">
        <f>IF(COUNTIFS(Release_Calendar!$A$2:$A$755,"US_CPI",Release_Calendar!$B$2:$B$755,$A6480)&gt;0,1,0)</f>
        <v>0</v>
      </c>
      <c r="L6480" s="16">
        <f>IF(COUNTIFS(Release_Calendar!$A$2:$A$755,"US_NFP",Release_Calendar!$B$2:$B$755,$A6480)&gt;0,1,0)</f>
        <v>0</v>
      </c>
      <c r="M6480" s="16">
        <f>IF($A6480&lt;Notes!$B$5,"",IF(COUNTIFS(Release_Calendar!$A$2:$A$755,"NZ_CPI",Release_Calendar!$B$2:$B$755,$A6480)&gt;0,1,0))</f>
        <v>0</v>
      </c>
      <c r="N6480" s="16">
        <f>IF($A6480&lt;Notes!$B$5,"",IF(COUNTIFS(Release_Calendar!$A$2:$A$755,"NZ_GDP",Release_Calendar!$B$2:$B$755,$A6480)&gt;0,1,0))</f>
        <v>0</v>
      </c>
      <c r="O6480" s="16">
        <f>IF($A6480&lt;Notes!$B$5,"",IF(COUNTIFS(Release_Calendar!$A$2:$A$755,"NZ_LABOUR",Release_Calendar!$B$2:$B$755,$A6480)&gt;0,1,0))</f>
        <v>0</v>
      </c>
      <c r="P6480" s="16">
        <f t="shared" si="4"/>
        <v>0</v>
      </c>
    </row>
    <row r="6481" ht="15.75" customHeight="1">
      <c r="A6481" s="14">
        <v>45597.0</v>
      </c>
      <c r="B6481" s="15">
        <v>4.21</v>
      </c>
      <c r="C6481" s="15">
        <v>3.67</v>
      </c>
      <c r="D6481" s="15"/>
      <c r="E6481" s="15">
        <v>3.82</v>
      </c>
      <c r="F6481" s="15">
        <f t="shared" si="1"/>
        <v>-0.54</v>
      </c>
      <c r="G6481" s="15">
        <f t="shared" si="2"/>
        <v>3.67</v>
      </c>
      <c r="H6481" s="16">
        <v>0.0</v>
      </c>
      <c r="I6481" s="15">
        <f t="shared" si="3"/>
        <v>-0.54</v>
      </c>
      <c r="J6481" s="15">
        <v>21.88</v>
      </c>
      <c r="K6481" s="16">
        <f>IF(COUNTIFS(Release_Calendar!$A$2:$A$755,"US_CPI",Release_Calendar!$B$2:$B$755,$A6481)&gt;0,1,0)</f>
        <v>0</v>
      </c>
      <c r="L6481" s="16">
        <f>IF(COUNTIFS(Release_Calendar!$A$2:$A$755,"US_NFP",Release_Calendar!$B$2:$B$755,$A6481)&gt;0,1,0)</f>
        <v>1</v>
      </c>
      <c r="M6481" s="16">
        <f>IF($A6481&lt;Notes!$B$5,"",IF(COUNTIFS(Release_Calendar!$A$2:$A$755,"NZ_CPI",Release_Calendar!$B$2:$B$755,$A6481)&gt;0,1,0))</f>
        <v>0</v>
      </c>
      <c r="N6481" s="16">
        <f>IF($A6481&lt;Notes!$B$5,"",IF(COUNTIFS(Release_Calendar!$A$2:$A$755,"NZ_GDP",Release_Calendar!$B$2:$B$755,$A6481)&gt;0,1,0))</f>
        <v>0</v>
      </c>
      <c r="O6481" s="16">
        <f>IF($A6481&lt;Notes!$B$5,"",IF(COUNTIFS(Release_Calendar!$A$2:$A$755,"NZ_LABOUR",Release_Calendar!$B$2:$B$755,$A6481)&gt;0,1,0))</f>
        <v>0</v>
      </c>
      <c r="P6481" s="16">
        <f t="shared" si="4"/>
        <v>1</v>
      </c>
    </row>
    <row r="6482" ht="15.75" customHeight="1">
      <c r="A6482" s="14">
        <v>45600.0</v>
      </c>
      <c r="B6482" s="15">
        <v>4.17</v>
      </c>
      <c r="C6482" s="15">
        <v>3.65</v>
      </c>
      <c r="D6482" s="15"/>
      <c r="E6482" s="15">
        <v>3.78</v>
      </c>
      <c r="F6482" s="15">
        <f t="shared" si="1"/>
        <v>-0.52</v>
      </c>
      <c r="G6482" s="15">
        <f t="shared" si="2"/>
        <v>3.65</v>
      </c>
      <c r="H6482" s="16">
        <v>0.0</v>
      </c>
      <c r="I6482" s="15">
        <f t="shared" si="3"/>
        <v>-0.52</v>
      </c>
      <c r="J6482" s="15">
        <v>21.98</v>
      </c>
      <c r="K6482" s="16">
        <f>IF(COUNTIFS(Release_Calendar!$A$2:$A$755,"US_CPI",Release_Calendar!$B$2:$B$755,$A6482)&gt;0,1,0)</f>
        <v>0</v>
      </c>
      <c r="L6482" s="16">
        <f>IF(COUNTIFS(Release_Calendar!$A$2:$A$755,"US_NFP",Release_Calendar!$B$2:$B$755,$A6482)&gt;0,1,0)</f>
        <v>0</v>
      </c>
      <c r="M6482" s="16">
        <f>IF($A6482&lt;Notes!$B$5,"",IF(COUNTIFS(Release_Calendar!$A$2:$A$755,"NZ_CPI",Release_Calendar!$B$2:$B$755,$A6482)&gt;0,1,0))</f>
        <v>0</v>
      </c>
      <c r="N6482" s="16">
        <f>IF($A6482&lt;Notes!$B$5,"",IF(COUNTIFS(Release_Calendar!$A$2:$A$755,"NZ_GDP",Release_Calendar!$B$2:$B$755,$A6482)&gt;0,1,0))</f>
        <v>0</v>
      </c>
      <c r="O6482" s="16">
        <f>IF($A6482&lt;Notes!$B$5,"",IF(COUNTIFS(Release_Calendar!$A$2:$A$755,"NZ_LABOUR",Release_Calendar!$B$2:$B$755,$A6482)&gt;0,1,0))</f>
        <v>0</v>
      </c>
      <c r="P6482" s="16">
        <f t="shared" si="4"/>
        <v>0</v>
      </c>
    </row>
    <row r="6483" ht="15.75" customHeight="1">
      <c r="A6483" s="14">
        <v>45601.0</v>
      </c>
      <c r="B6483" s="15">
        <v>4.19</v>
      </c>
      <c r="C6483" s="15">
        <v>3.66</v>
      </c>
      <c r="D6483" s="15"/>
      <c r="E6483" s="15">
        <v>3.77</v>
      </c>
      <c r="F6483" s="15">
        <f t="shared" si="1"/>
        <v>-0.53</v>
      </c>
      <c r="G6483" s="15">
        <f t="shared" si="2"/>
        <v>3.66</v>
      </c>
      <c r="H6483" s="16">
        <v>0.0</v>
      </c>
      <c r="I6483" s="15">
        <f t="shared" si="3"/>
        <v>-0.53</v>
      </c>
      <c r="J6483" s="15">
        <v>20.49</v>
      </c>
      <c r="K6483" s="16">
        <f>IF(COUNTIFS(Release_Calendar!$A$2:$A$755,"US_CPI",Release_Calendar!$B$2:$B$755,$A6483)&gt;0,1,0)</f>
        <v>0</v>
      </c>
      <c r="L6483" s="16">
        <f>IF(COUNTIFS(Release_Calendar!$A$2:$A$755,"US_NFP",Release_Calendar!$B$2:$B$755,$A6483)&gt;0,1,0)</f>
        <v>0</v>
      </c>
      <c r="M6483" s="16">
        <f>IF($A6483&lt;Notes!$B$5,"",IF(COUNTIFS(Release_Calendar!$A$2:$A$755,"NZ_CPI",Release_Calendar!$B$2:$B$755,$A6483)&gt;0,1,0))</f>
        <v>0</v>
      </c>
      <c r="N6483" s="16">
        <f>IF($A6483&lt;Notes!$B$5,"",IF(COUNTIFS(Release_Calendar!$A$2:$A$755,"NZ_GDP",Release_Calendar!$B$2:$B$755,$A6483)&gt;0,1,0))</f>
        <v>0</v>
      </c>
      <c r="O6483" s="16">
        <f>IF($A6483&lt;Notes!$B$5,"",IF(COUNTIFS(Release_Calendar!$A$2:$A$755,"NZ_LABOUR",Release_Calendar!$B$2:$B$755,$A6483)&gt;0,1,0))</f>
        <v>0</v>
      </c>
      <c r="P6483" s="16">
        <f t="shared" si="4"/>
        <v>0</v>
      </c>
    </row>
    <row r="6484" ht="15.75" customHeight="1">
      <c r="A6484" s="14">
        <v>45602.0</v>
      </c>
      <c r="B6484" s="15">
        <v>4.27</v>
      </c>
      <c r="C6484" s="15">
        <v>3.8</v>
      </c>
      <c r="D6484" s="15"/>
      <c r="E6484" s="15">
        <v>3.88</v>
      </c>
      <c r="F6484" s="15">
        <f t="shared" si="1"/>
        <v>-0.47</v>
      </c>
      <c r="G6484" s="15">
        <f t="shared" si="2"/>
        <v>3.8</v>
      </c>
      <c r="H6484" s="16">
        <v>0.0</v>
      </c>
      <c r="I6484" s="15">
        <f t="shared" si="3"/>
        <v>-0.47</v>
      </c>
      <c r="J6484" s="15">
        <v>16.27</v>
      </c>
      <c r="K6484" s="16">
        <f>IF(COUNTIFS(Release_Calendar!$A$2:$A$755,"US_CPI",Release_Calendar!$B$2:$B$755,$A6484)&gt;0,1,0)</f>
        <v>0</v>
      </c>
      <c r="L6484" s="16">
        <f>IF(COUNTIFS(Release_Calendar!$A$2:$A$755,"US_NFP",Release_Calendar!$B$2:$B$755,$A6484)&gt;0,1,0)</f>
        <v>0</v>
      </c>
      <c r="M6484" s="16">
        <f>IF($A6484&lt;Notes!$B$5,"",IF(COUNTIFS(Release_Calendar!$A$2:$A$755,"NZ_CPI",Release_Calendar!$B$2:$B$755,$A6484)&gt;0,1,0))</f>
        <v>0</v>
      </c>
      <c r="N6484" s="16">
        <f>IF($A6484&lt;Notes!$B$5,"",IF(COUNTIFS(Release_Calendar!$A$2:$A$755,"NZ_GDP",Release_Calendar!$B$2:$B$755,$A6484)&gt;0,1,0))</f>
        <v>0</v>
      </c>
      <c r="O6484" s="16">
        <f>IF($A6484&lt;Notes!$B$5,"",IF(COUNTIFS(Release_Calendar!$A$2:$A$755,"NZ_LABOUR",Release_Calendar!$B$2:$B$755,$A6484)&gt;0,1,0))</f>
        <v>1</v>
      </c>
      <c r="P6484" s="16">
        <f t="shared" si="4"/>
        <v>1</v>
      </c>
    </row>
    <row r="6485" ht="15.75" customHeight="1">
      <c r="A6485" s="14">
        <v>45603.0</v>
      </c>
      <c r="B6485" s="15">
        <v>4.21</v>
      </c>
      <c r="C6485" s="15">
        <v>3.86</v>
      </c>
      <c r="D6485" s="15"/>
      <c r="E6485" s="15">
        <v>3.94</v>
      </c>
      <c r="F6485" s="15">
        <f t="shared" si="1"/>
        <v>-0.35</v>
      </c>
      <c r="G6485" s="15">
        <f t="shared" si="2"/>
        <v>3.86</v>
      </c>
      <c r="H6485" s="16">
        <v>0.0</v>
      </c>
      <c r="I6485" s="15">
        <f t="shared" si="3"/>
        <v>-0.35</v>
      </c>
      <c r="J6485" s="15">
        <v>15.2</v>
      </c>
      <c r="K6485" s="16">
        <f>IF(COUNTIFS(Release_Calendar!$A$2:$A$755,"US_CPI",Release_Calendar!$B$2:$B$755,$A6485)&gt;0,1,0)</f>
        <v>0</v>
      </c>
      <c r="L6485" s="16">
        <f>IF(COUNTIFS(Release_Calendar!$A$2:$A$755,"US_NFP",Release_Calendar!$B$2:$B$755,$A6485)&gt;0,1,0)</f>
        <v>0</v>
      </c>
      <c r="M6485" s="16">
        <f>IF($A6485&lt;Notes!$B$5,"",IF(COUNTIFS(Release_Calendar!$A$2:$A$755,"NZ_CPI",Release_Calendar!$B$2:$B$755,$A6485)&gt;0,1,0))</f>
        <v>0</v>
      </c>
      <c r="N6485" s="16">
        <f>IF($A6485&lt;Notes!$B$5,"",IF(COUNTIFS(Release_Calendar!$A$2:$A$755,"NZ_GDP",Release_Calendar!$B$2:$B$755,$A6485)&gt;0,1,0))</f>
        <v>0</v>
      </c>
      <c r="O6485" s="16">
        <f>IF($A6485&lt;Notes!$B$5,"",IF(COUNTIFS(Release_Calendar!$A$2:$A$755,"NZ_LABOUR",Release_Calendar!$B$2:$B$755,$A6485)&gt;0,1,0))</f>
        <v>0</v>
      </c>
      <c r="P6485" s="16">
        <f t="shared" si="4"/>
        <v>0</v>
      </c>
    </row>
    <row r="6486" ht="15.75" customHeight="1">
      <c r="A6486" s="14">
        <v>45604.0</v>
      </c>
      <c r="B6486" s="15">
        <v>4.26</v>
      </c>
      <c r="C6486" s="15">
        <v>3.81</v>
      </c>
      <c r="D6486" s="15"/>
      <c r="E6486" s="15">
        <v>3.91</v>
      </c>
      <c r="F6486" s="15">
        <f t="shared" si="1"/>
        <v>-0.45</v>
      </c>
      <c r="G6486" s="15">
        <f t="shared" si="2"/>
        <v>3.81</v>
      </c>
      <c r="H6486" s="16">
        <v>0.0</v>
      </c>
      <c r="I6486" s="15">
        <f t="shared" si="3"/>
        <v>-0.45</v>
      </c>
      <c r="J6486" s="15">
        <v>14.94</v>
      </c>
      <c r="K6486" s="16">
        <f>IF(COUNTIFS(Release_Calendar!$A$2:$A$755,"US_CPI",Release_Calendar!$B$2:$B$755,$A6486)&gt;0,1,0)</f>
        <v>0</v>
      </c>
      <c r="L6486" s="16">
        <f>IF(COUNTIFS(Release_Calendar!$A$2:$A$755,"US_NFP",Release_Calendar!$B$2:$B$755,$A6486)&gt;0,1,0)</f>
        <v>0</v>
      </c>
      <c r="M6486" s="16">
        <f>IF($A6486&lt;Notes!$B$5,"",IF(COUNTIFS(Release_Calendar!$A$2:$A$755,"NZ_CPI",Release_Calendar!$B$2:$B$755,$A6486)&gt;0,1,0))</f>
        <v>0</v>
      </c>
      <c r="N6486" s="16">
        <f>IF($A6486&lt;Notes!$B$5,"",IF(COUNTIFS(Release_Calendar!$A$2:$A$755,"NZ_GDP",Release_Calendar!$B$2:$B$755,$A6486)&gt;0,1,0))</f>
        <v>0</v>
      </c>
      <c r="O6486" s="16">
        <f>IF($A6486&lt;Notes!$B$5,"",IF(COUNTIFS(Release_Calendar!$A$2:$A$755,"NZ_LABOUR",Release_Calendar!$B$2:$B$755,$A6486)&gt;0,1,0))</f>
        <v>0</v>
      </c>
      <c r="P6486" s="16">
        <f t="shared" si="4"/>
        <v>0</v>
      </c>
    </row>
    <row r="6487" ht="15.75" customHeight="1">
      <c r="A6487" s="14">
        <v>45607.0</v>
      </c>
      <c r="B6487" s="15"/>
      <c r="C6487" s="15">
        <v>3.84</v>
      </c>
      <c r="D6487" s="15"/>
      <c r="E6487" s="15">
        <v>3.95</v>
      </c>
      <c r="F6487" s="15" t="str">
        <f t="shared" si="1"/>
        <v/>
      </c>
      <c r="G6487" s="15">
        <f t="shared" si="2"/>
        <v>3.84</v>
      </c>
      <c r="H6487" s="16">
        <v>0.0</v>
      </c>
      <c r="I6487" s="15" t="str">
        <f t="shared" si="3"/>
        <v/>
      </c>
      <c r="J6487" s="15">
        <v>14.97</v>
      </c>
      <c r="K6487" s="16">
        <f>IF(COUNTIFS(Release_Calendar!$A$2:$A$755,"US_CPI",Release_Calendar!$B$2:$B$755,$A6487)&gt;0,1,0)</f>
        <v>0</v>
      </c>
      <c r="L6487" s="16">
        <f>IF(COUNTIFS(Release_Calendar!$A$2:$A$755,"US_NFP",Release_Calendar!$B$2:$B$755,$A6487)&gt;0,1,0)</f>
        <v>0</v>
      </c>
      <c r="M6487" s="16">
        <f>IF($A6487&lt;Notes!$B$5,"",IF(COUNTIFS(Release_Calendar!$A$2:$A$755,"NZ_CPI",Release_Calendar!$B$2:$B$755,$A6487)&gt;0,1,0))</f>
        <v>0</v>
      </c>
      <c r="N6487" s="16">
        <f>IF($A6487&lt;Notes!$B$5,"",IF(COUNTIFS(Release_Calendar!$A$2:$A$755,"NZ_GDP",Release_Calendar!$B$2:$B$755,$A6487)&gt;0,1,0))</f>
        <v>0</v>
      </c>
      <c r="O6487" s="16">
        <f>IF($A6487&lt;Notes!$B$5,"",IF(COUNTIFS(Release_Calendar!$A$2:$A$755,"NZ_LABOUR",Release_Calendar!$B$2:$B$755,$A6487)&gt;0,1,0))</f>
        <v>0</v>
      </c>
      <c r="P6487" s="16">
        <f t="shared" si="4"/>
        <v>0</v>
      </c>
    </row>
    <row r="6488" ht="15.75" customHeight="1">
      <c r="A6488" s="14">
        <v>45608.0</v>
      </c>
      <c r="B6488" s="15">
        <v>4.34</v>
      </c>
      <c r="C6488" s="15">
        <v>3.87</v>
      </c>
      <c r="D6488" s="15"/>
      <c r="E6488" s="15">
        <v>3.97</v>
      </c>
      <c r="F6488" s="15">
        <f t="shared" si="1"/>
        <v>-0.47</v>
      </c>
      <c r="G6488" s="15">
        <f t="shared" si="2"/>
        <v>3.87</v>
      </c>
      <c r="H6488" s="16">
        <v>0.0</v>
      </c>
      <c r="I6488" s="15">
        <f t="shared" si="3"/>
        <v>-0.47</v>
      </c>
      <c r="J6488" s="15">
        <v>14.71</v>
      </c>
      <c r="K6488" s="16">
        <f>IF(COUNTIFS(Release_Calendar!$A$2:$A$755,"US_CPI",Release_Calendar!$B$2:$B$755,$A6488)&gt;0,1,0)</f>
        <v>0</v>
      </c>
      <c r="L6488" s="16">
        <f>IF(COUNTIFS(Release_Calendar!$A$2:$A$755,"US_NFP",Release_Calendar!$B$2:$B$755,$A6488)&gt;0,1,0)</f>
        <v>0</v>
      </c>
      <c r="M6488" s="16">
        <f>IF($A6488&lt;Notes!$B$5,"",IF(COUNTIFS(Release_Calendar!$A$2:$A$755,"NZ_CPI",Release_Calendar!$B$2:$B$755,$A6488)&gt;0,1,0))</f>
        <v>0</v>
      </c>
      <c r="N6488" s="16">
        <f>IF($A6488&lt;Notes!$B$5,"",IF(COUNTIFS(Release_Calendar!$A$2:$A$755,"NZ_GDP",Release_Calendar!$B$2:$B$755,$A6488)&gt;0,1,0))</f>
        <v>0</v>
      </c>
      <c r="O6488" s="16">
        <f>IF($A6488&lt;Notes!$B$5,"",IF(COUNTIFS(Release_Calendar!$A$2:$A$755,"NZ_LABOUR",Release_Calendar!$B$2:$B$755,$A6488)&gt;0,1,0))</f>
        <v>0</v>
      </c>
      <c r="P6488" s="16">
        <f t="shared" si="4"/>
        <v>0</v>
      </c>
    </row>
    <row r="6489" ht="15.75" customHeight="1">
      <c r="A6489" s="14">
        <v>45609.0</v>
      </c>
      <c r="B6489" s="15">
        <v>4.27</v>
      </c>
      <c r="C6489" s="15">
        <v>3.93</v>
      </c>
      <c r="D6489" s="15"/>
      <c r="E6489" s="15">
        <v>4.06</v>
      </c>
      <c r="F6489" s="15">
        <f t="shared" si="1"/>
        <v>-0.34</v>
      </c>
      <c r="G6489" s="15">
        <f t="shared" si="2"/>
        <v>3.93</v>
      </c>
      <c r="H6489" s="16">
        <v>0.0</v>
      </c>
      <c r="I6489" s="15">
        <f t="shared" si="3"/>
        <v>-0.34</v>
      </c>
      <c r="J6489" s="15">
        <v>14.02</v>
      </c>
      <c r="K6489" s="16">
        <f>IF(COUNTIFS(Release_Calendar!$A$2:$A$755,"US_CPI",Release_Calendar!$B$2:$B$755,$A6489)&gt;0,1,0)</f>
        <v>1</v>
      </c>
      <c r="L6489" s="16">
        <f>IF(COUNTIFS(Release_Calendar!$A$2:$A$755,"US_NFP",Release_Calendar!$B$2:$B$755,$A6489)&gt;0,1,0)</f>
        <v>0</v>
      </c>
      <c r="M6489" s="16">
        <f>IF($A6489&lt;Notes!$B$5,"",IF(COUNTIFS(Release_Calendar!$A$2:$A$755,"NZ_CPI",Release_Calendar!$B$2:$B$755,$A6489)&gt;0,1,0))</f>
        <v>0</v>
      </c>
      <c r="N6489" s="16">
        <f>IF($A6489&lt;Notes!$B$5,"",IF(COUNTIFS(Release_Calendar!$A$2:$A$755,"NZ_GDP",Release_Calendar!$B$2:$B$755,$A6489)&gt;0,1,0))</f>
        <v>0</v>
      </c>
      <c r="O6489" s="16">
        <f>IF($A6489&lt;Notes!$B$5,"",IF(COUNTIFS(Release_Calendar!$A$2:$A$755,"NZ_LABOUR",Release_Calendar!$B$2:$B$755,$A6489)&gt;0,1,0))</f>
        <v>0</v>
      </c>
      <c r="P6489" s="16">
        <f t="shared" si="4"/>
        <v>1</v>
      </c>
    </row>
    <row r="6490" ht="15.75" customHeight="1">
      <c r="A6490" s="14">
        <v>45610.0</v>
      </c>
      <c r="B6490" s="15">
        <v>4.34</v>
      </c>
      <c r="C6490" s="15">
        <v>3.9</v>
      </c>
      <c r="D6490" s="15"/>
      <c r="E6490" s="15">
        <v>4.05</v>
      </c>
      <c r="F6490" s="15">
        <f t="shared" si="1"/>
        <v>-0.44</v>
      </c>
      <c r="G6490" s="15">
        <f t="shared" si="2"/>
        <v>3.9</v>
      </c>
      <c r="H6490" s="16">
        <v>0.0</v>
      </c>
      <c r="I6490" s="15">
        <f t="shared" si="3"/>
        <v>-0.44</v>
      </c>
      <c r="J6490" s="15">
        <v>14.31</v>
      </c>
      <c r="K6490" s="16">
        <f>IF(COUNTIFS(Release_Calendar!$A$2:$A$755,"US_CPI",Release_Calendar!$B$2:$B$755,$A6490)&gt;0,1,0)</f>
        <v>0</v>
      </c>
      <c r="L6490" s="16">
        <f>IF(COUNTIFS(Release_Calendar!$A$2:$A$755,"US_NFP",Release_Calendar!$B$2:$B$755,$A6490)&gt;0,1,0)</f>
        <v>0</v>
      </c>
      <c r="M6490" s="16">
        <f>IF($A6490&lt;Notes!$B$5,"",IF(COUNTIFS(Release_Calendar!$A$2:$A$755,"NZ_CPI",Release_Calendar!$B$2:$B$755,$A6490)&gt;0,1,0))</f>
        <v>0</v>
      </c>
      <c r="N6490" s="16">
        <f>IF($A6490&lt;Notes!$B$5,"",IF(COUNTIFS(Release_Calendar!$A$2:$A$755,"NZ_GDP",Release_Calendar!$B$2:$B$755,$A6490)&gt;0,1,0))</f>
        <v>0</v>
      </c>
      <c r="O6490" s="16">
        <f>IF($A6490&lt;Notes!$B$5,"",IF(COUNTIFS(Release_Calendar!$A$2:$A$755,"NZ_LABOUR",Release_Calendar!$B$2:$B$755,$A6490)&gt;0,1,0))</f>
        <v>0</v>
      </c>
      <c r="P6490" s="16">
        <f t="shared" si="4"/>
        <v>0</v>
      </c>
    </row>
    <row r="6491" ht="15.75" customHeight="1">
      <c r="A6491" s="14">
        <v>45611.0</v>
      </c>
      <c r="B6491" s="15">
        <v>4.31</v>
      </c>
      <c r="C6491" s="15">
        <v>3.9</v>
      </c>
      <c r="D6491" s="15"/>
      <c r="E6491" s="15">
        <v>4.06</v>
      </c>
      <c r="F6491" s="15">
        <f t="shared" si="1"/>
        <v>-0.41</v>
      </c>
      <c r="G6491" s="15">
        <f t="shared" si="2"/>
        <v>3.9</v>
      </c>
      <c r="H6491" s="16">
        <v>0.0</v>
      </c>
      <c r="I6491" s="15">
        <f t="shared" si="3"/>
        <v>-0.41</v>
      </c>
      <c r="J6491" s="15">
        <v>16.14</v>
      </c>
      <c r="K6491" s="16">
        <f>IF(COUNTIFS(Release_Calendar!$A$2:$A$755,"US_CPI",Release_Calendar!$B$2:$B$755,$A6491)&gt;0,1,0)</f>
        <v>0</v>
      </c>
      <c r="L6491" s="16">
        <f>IF(COUNTIFS(Release_Calendar!$A$2:$A$755,"US_NFP",Release_Calendar!$B$2:$B$755,$A6491)&gt;0,1,0)</f>
        <v>0</v>
      </c>
      <c r="M6491" s="16">
        <f>IF($A6491&lt;Notes!$B$5,"",IF(COUNTIFS(Release_Calendar!$A$2:$A$755,"NZ_CPI",Release_Calendar!$B$2:$B$755,$A6491)&gt;0,1,0))</f>
        <v>0</v>
      </c>
      <c r="N6491" s="16">
        <f>IF($A6491&lt;Notes!$B$5,"",IF(COUNTIFS(Release_Calendar!$A$2:$A$755,"NZ_GDP",Release_Calendar!$B$2:$B$755,$A6491)&gt;0,1,0))</f>
        <v>0</v>
      </c>
      <c r="O6491" s="16">
        <f>IF($A6491&lt;Notes!$B$5,"",IF(COUNTIFS(Release_Calendar!$A$2:$A$755,"NZ_LABOUR",Release_Calendar!$B$2:$B$755,$A6491)&gt;0,1,0))</f>
        <v>0</v>
      </c>
      <c r="P6491" s="16">
        <f t="shared" si="4"/>
        <v>0</v>
      </c>
    </row>
    <row r="6492" ht="15.75" customHeight="1">
      <c r="A6492" s="14">
        <v>45614.0</v>
      </c>
      <c r="B6492" s="15">
        <v>4.29</v>
      </c>
      <c r="C6492" s="15">
        <v>3.85</v>
      </c>
      <c r="D6492" s="15"/>
      <c r="E6492" s="15">
        <v>4.02</v>
      </c>
      <c r="F6492" s="15">
        <f t="shared" si="1"/>
        <v>-0.44</v>
      </c>
      <c r="G6492" s="15">
        <f t="shared" si="2"/>
        <v>3.85</v>
      </c>
      <c r="H6492" s="16">
        <v>0.0</v>
      </c>
      <c r="I6492" s="15">
        <f t="shared" si="3"/>
        <v>-0.44</v>
      </c>
      <c r="J6492" s="15">
        <v>15.58</v>
      </c>
      <c r="K6492" s="16">
        <f>IF(COUNTIFS(Release_Calendar!$A$2:$A$755,"US_CPI",Release_Calendar!$B$2:$B$755,$A6492)&gt;0,1,0)</f>
        <v>0</v>
      </c>
      <c r="L6492" s="16">
        <f>IF(COUNTIFS(Release_Calendar!$A$2:$A$755,"US_NFP",Release_Calendar!$B$2:$B$755,$A6492)&gt;0,1,0)</f>
        <v>0</v>
      </c>
      <c r="M6492" s="16">
        <f>IF($A6492&lt;Notes!$B$5,"",IF(COUNTIFS(Release_Calendar!$A$2:$A$755,"NZ_CPI",Release_Calendar!$B$2:$B$755,$A6492)&gt;0,1,0))</f>
        <v>0</v>
      </c>
      <c r="N6492" s="16">
        <f>IF($A6492&lt;Notes!$B$5,"",IF(COUNTIFS(Release_Calendar!$A$2:$A$755,"NZ_GDP",Release_Calendar!$B$2:$B$755,$A6492)&gt;0,1,0))</f>
        <v>0</v>
      </c>
      <c r="O6492" s="16">
        <f>IF($A6492&lt;Notes!$B$5,"",IF(COUNTIFS(Release_Calendar!$A$2:$A$755,"NZ_LABOUR",Release_Calendar!$B$2:$B$755,$A6492)&gt;0,1,0))</f>
        <v>0</v>
      </c>
      <c r="P6492" s="16">
        <f t="shared" si="4"/>
        <v>0</v>
      </c>
    </row>
    <row r="6493" ht="15.75" customHeight="1">
      <c r="A6493" s="14">
        <v>45615.0</v>
      </c>
      <c r="B6493" s="15">
        <v>4.27</v>
      </c>
      <c r="C6493" s="15">
        <v>3.78</v>
      </c>
      <c r="D6493" s="15"/>
      <c r="E6493" s="15">
        <v>3.97</v>
      </c>
      <c r="F6493" s="15">
        <f t="shared" si="1"/>
        <v>-0.49</v>
      </c>
      <c r="G6493" s="15">
        <f t="shared" si="2"/>
        <v>3.78</v>
      </c>
      <c r="H6493" s="16">
        <v>0.0</v>
      </c>
      <c r="I6493" s="15">
        <f t="shared" si="3"/>
        <v>-0.49</v>
      </c>
      <c r="J6493" s="15">
        <v>16.35</v>
      </c>
      <c r="K6493" s="16">
        <f>IF(COUNTIFS(Release_Calendar!$A$2:$A$755,"US_CPI",Release_Calendar!$B$2:$B$755,$A6493)&gt;0,1,0)</f>
        <v>0</v>
      </c>
      <c r="L6493" s="16">
        <f>IF(COUNTIFS(Release_Calendar!$A$2:$A$755,"US_NFP",Release_Calendar!$B$2:$B$755,$A6493)&gt;0,1,0)</f>
        <v>0</v>
      </c>
      <c r="M6493" s="16">
        <f>IF($A6493&lt;Notes!$B$5,"",IF(COUNTIFS(Release_Calendar!$A$2:$A$755,"NZ_CPI",Release_Calendar!$B$2:$B$755,$A6493)&gt;0,1,0))</f>
        <v>0</v>
      </c>
      <c r="N6493" s="16">
        <f>IF($A6493&lt;Notes!$B$5,"",IF(COUNTIFS(Release_Calendar!$A$2:$A$755,"NZ_GDP",Release_Calendar!$B$2:$B$755,$A6493)&gt;0,1,0))</f>
        <v>0</v>
      </c>
      <c r="O6493" s="16">
        <f>IF($A6493&lt;Notes!$B$5,"",IF(COUNTIFS(Release_Calendar!$A$2:$A$755,"NZ_LABOUR",Release_Calendar!$B$2:$B$755,$A6493)&gt;0,1,0))</f>
        <v>0</v>
      </c>
      <c r="P6493" s="16">
        <f t="shared" si="4"/>
        <v>0</v>
      </c>
    </row>
    <row r="6494" ht="15.75" customHeight="1">
      <c r="A6494" s="14">
        <v>45616.0</v>
      </c>
      <c r="B6494" s="15">
        <v>4.31</v>
      </c>
      <c r="C6494" s="15">
        <v>3.77</v>
      </c>
      <c r="D6494" s="15"/>
      <c r="E6494" s="15">
        <v>3.95</v>
      </c>
      <c r="F6494" s="15">
        <f t="shared" si="1"/>
        <v>-0.54</v>
      </c>
      <c r="G6494" s="15">
        <f t="shared" si="2"/>
        <v>3.77</v>
      </c>
      <c r="H6494" s="16">
        <v>0.0</v>
      </c>
      <c r="I6494" s="15">
        <f t="shared" si="3"/>
        <v>-0.54</v>
      </c>
      <c r="J6494" s="15">
        <v>17.16</v>
      </c>
      <c r="K6494" s="16">
        <f>IF(COUNTIFS(Release_Calendar!$A$2:$A$755,"US_CPI",Release_Calendar!$B$2:$B$755,$A6494)&gt;0,1,0)</f>
        <v>0</v>
      </c>
      <c r="L6494" s="16">
        <f>IF(COUNTIFS(Release_Calendar!$A$2:$A$755,"US_NFP",Release_Calendar!$B$2:$B$755,$A6494)&gt;0,1,0)</f>
        <v>0</v>
      </c>
      <c r="M6494" s="16">
        <f>IF($A6494&lt;Notes!$B$5,"",IF(COUNTIFS(Release_Calendar!$A$2:$A$755,"NZ_CPI",Release_Calendar!$B$2:$B$755,$A6494)&gt;0,1,0))</f>
        <v>0</v>
      </c>
      <c r="N6494" s="16">
        <f>IF($A6494&lt;Notes!$B$5,"",IF(COUNTIFS(Release_Calendar!$A$2:$A$755,"NZ_GDP",Release_Calendar!$B$2:$B$755,$A6494)&gt;0,1,0))</f>
        <v>0</v>
      </c>
      <c r="O6494" s="16">
        <f>IF($A6494&lt;Notes!$B$5,"",IF(COUNTIFS(Release_Calendar!$A$2:$A$755,"NZ_LABOUR",Release_Calendar!$B$2:$B$755,$A6494)&gt;0,1,0))</f>
        <v>0</v>
      </c>
      <c r="P6494" s="16">
        <f t="shared" si="4"/>
        <v>0</v>
      </c>
    </row>
    <row r="6495" ht="15.75" customHeight="1">
      <c r="A6495" s="14">
        <v>45617.0</v>
      </c>
      <c r="B6495" s="15">
        <v>4.34</v>
      </c>
      <c r="C6495" s="15">
        <v>3.78</v>
      </c>
      <c r="D6495" s="15"/>
      <c r="E6495" s="15">
        <v>3.96</v>
      </c>
      <c r="F6495" s="15">
        <f t="shared" si="1"/>
        <v>-0.56</v>
      </c>
      <c r="G6495" s="15">
        <f t="shared" si="2"/>
        <v>3.78</v>
      </c>
      <c r="H6495" s="16">
        <v>0.0</v>
      </c>
      <c r="I6495" s="15">
        <f t="shared" si="3"/>
        <v>-0.56</v>
      </c>
      <c r="J6495" s="15">
        <v>16.87</v>
      </c>
      <c r="K6495" s="16">
        <f>IF(COUNTIFS(Release_Calendar!$A$2:$A$755,"US_CPI",Release_Calendar!$B$2:$B$755,$A6495)&gt;0,1,0)</f>
        <v>0</v>
      </c>
      <c r="L6495" s="16">
        <f>IF(COUNTIFS(Release_Calendar!$A$2:$A$755,"US_NFP",Release_Calendar!$B$2:$B$755,$A6495)&gt;0,1,0)</f>
        <v>0</v>
      </c>
      <c r="M6495" s="16">
        <f>IF($A6495&lt;Notes!$B$5,"",IF(COUNTIFS(Release_Calendar!$A$2:$A$755,"NZ_CPI",Release_Calendar!$B$2:$B$755,$A6495)&gt;0,1,0))</f>
        <v>0</v>
      </c>
      <c r="N6495" s="16">
        <f>IF($A6495&lt;Notes!$B$5,"",IF(COUNTIFS(Release_Calendar!$A$2:$A$755,"NZ_GDP",Release_Calendar!$B$2:$B$755,$A6495)&gt;0,1,0))</f>
        <v>0</v>
      </c>
      <c r="O6495" s="16">
        <f>IF($A6495&lt;Notes!$B$5,"",IF(COUNTIFS(Release_Calendar!$A$2:$A$755,"NZ_LABOUR",Release_Calendar!$B$2:$B$755,$A6495)&gt;0,1,0))</f>
        <v>0</v>
      </c>
      <c r="P6495" s="16">
        <f t="shared" si="4"/>
        <v>0</v>
      </c>
    </row>
    <row r="6496" ht="15.75" customHeight="1">
      <c r="A6496" s="14">
        <v>45618.0</v>
      </c>
      <c r="B6496" s="15">
        <v>4.37</v>
      </c>
      <c r="C6496" s="15">
        <v>3.72</v>
      </c>
      <c r="D6496" s="15"/>
      <c r="E6496" s="15">
        <v>3.89</v>
      </c>
      <c r="F6496" s="15">
        <f t="shared" si="1"/>
        <v>-0.65</v>
      </c>
      <c r="G6496" s="15">
        <f t="shared" si="2"/>
        <v>3.72</v>
      </c>
      <c r="H6496" s="16">
        <v>0.0</v>
      </c>
      <c r="I6496" s="15">
        <f t="shared" si="3"/>
        <v>-0.65</v>
      </c>
      <c r="J6496" s="15">
        <v>15.24</v>
      </c>
      <c r="K6496" s="16">
        <f>IF(COUNTIFS(Release_Calendar!$A$2:$A$755,"US_CPI",Release_Calendar!$B$2:$B$755,$A6496)&gt;0,1,0)</f>
        <v>0</v>
      </c>
      <c r="L6496" s="16">
        <f>IF(COUNTIFS(Release_Calendar!$A$2:$A$755,"US_NFP",Release_Calendar!$B$2:$B$755,$A6496)&gt;0,1,0)</f>
        <v>0</v>
      </c>
      <c r="M6496" s="16">
        <f>IF($A6496&lt;Notes!$B$5,"",IF(COUNTIFS(Release_Calendar!$A$2:$A$755,"NZ_CPI",Release_Calendar!$B$2:$B$755,$A6496)&gt;0,1,0))</f>
        <v>0</v>
      </c>
      <c r="N6496" s="16">
        <f>IF($A6496&lt;Notes!$B$5,"",IF(COUNTIFS(Release_Calendar!$A$2:$A$755,"NZ_GDP",Release_Calendar!$B$2:$B$755,$A6496)&gt;0,1,0))</f>
        <v>0</v>
      </c>
      <c r="O6496" s="16">
        <f>IF($A6496&lt;Notes!$B$5,"",IF(COUNTIFS(Release_Calendar!$A$2:$A$755,"NZ_LABOUR",Release_Calendar!$B$2:$B$755,$A6496)&gt;0,1,0))</f>
        <v>0</v>
      </c>
      <c r="P6496" s="16">
        <f t="shared" si="4"/>
        <v>0</v>
      </c>
    </row>
    <row r="6497" ht="15.75" customHeight="1">
      <c r="A6497" s="14">
        <v>45621.0</v>
      </c>
      <c r="B6497" s="15">
        <v>4.21</v>
      </c>
      <c r="C6497" s="15">
        <v>3.64</v>
      </c>
      <c r="D6497" s="15"/>
      <c r="E6497" s="15">
        <v>3.79</v>
      </c>
      <c r="F6497" s="15">
        <f t="shared" si="1"/>
        <v>-0.57</v>
      </c>
      <c r="G6497" s="15">
        <f t="shared" si="2"/>
        <v>3.64</v>
      </c>
      <c r="H6497" s="16">
        <v>0.0</v>
      </c>
      <c r="I6497" s="15">
        <f t="shared" si="3"/>
        <v>-0.57</v>
      </c>
      <c r="J6497" s="15">
        <v>14.6</v>
      </c>
      <c r="K6497" s="16">
        <f>IF(COUNTIFS(Release_Calendar!$A$2:$A$755,"US_CPI",Release_Calendar!$B$2:$B$755,$A6497)&gt;0,1,0)</f>
        <v>0</v>
      </c>
      <c r="L6497" s="16">
        <f>IF(COUNTIFS(Release_Calendar!$A$2:$A$755,"US_NFP",Release_Calendar!$B$2:$B$755,$A6497)&gt;0,1,0)</f>
        <v>0</v>
      </c>
      <c r="M6497" s="16">
        <f>IF($A6497&lt;Notes!$B$5,"",IF(COUNTIFS(Release_Calendar!$A$2:$A$755,"NZ_CPI",Release_Calendar!$B$2:$B$755,$A6497)&gt;0,1,0))</f>
        <v>0</v>
      </c>
      <c r="N6497" s="16">
        <f>IF($A6497&lt;Notes!$B$5,"",IF(COUNTIFS(Release_Calendar!$A$2:$A$755,"NZ_GDP",Release_Calendar!$B$2:$B$755,$A6497)&gt;0,1,0))</f>
        <v>0</v>
      </c>
      <c r="O6497" s="16">
        <f>IF($A6497&lt;Notes!$B$5,"",IF(COUNTIFS(Release_Calendar!$A$2:$A$755,"NZ_LABOUR",Release_Calendar!$B$2:$B$755,$A6497)&gt;0,1,0))</f>
        <v>0</v>
      </c>
      <c r="P6497" s="16">
        <f t="shared" si="4"/>
        <v>0</v>
      </c>
    </row>
    <row r="6498" ht="15.75" customHeight="1">
      <c r="A6498" s="14">
        <v>45622.0</v>
      </c>
      <c r="B6498" s="15">
        <v>4.21</v>
      </c>
      <c r="C6498" s="15">
        <v>3.61</v>
      </c>
      <c r="D6498" s="15"/>
      <c r="E6498" s="15">
        <v>3.75</v>
      </c>
      <c r="F6498" s="15">
        <f t="shared" si="1"/>
        <v>-0.6</v>
      </c>
      <c r="G6498" s="15">
        <f t="shared" si="2"/>
        <v>3.61</v>
      </c>
      <c r="H6498" s="16">
        <v>0.0</v>
      </c>
      <c r="I6498" s="15">
        <f t="shared" si="3"/>
        <v>-0.6</v>
      </c>
      <c r="J6498" s="15">
        <v>14.1</v>
      </c>
      <c r="K6498" s="16">
        <f>IF(COUNTIFS(Release_Calendar!$A$2:$A$755,"US_CPI",Release_Calendar!$B$2:$B$755,$A6498)&gt;0,1,0)</f>
        <v>0</v>
      </c>
      <c r="L6498" s="16">
        <f>IF(COUNTIFS(Release_Calendar!$A$2:$A$755,"US_NFP",Release_Calendar!$B$2:$B$755,$A6498)&gt;0,1,0)</f>
        <v>0</v>
      </c>
      <c r="M6498" s="16">
        <f>IF($A6498&lt;Notes!$B$5,"",IF(COUNTIFS(Release_Calendar!$A$2:$A$755,"NZ_CPI",Release_Calendar!$B$2:$B$755,$A6498)&gt;0,1,0))</f>
        <v>0</v>
      </c>
      <c r="N6498" s="16">
        <f>IF($A6498&lt;Notes!$B$5,"",IF(COUNTIFS(Release_Calendar!$A$2:$A$755,"NZ_GDP",Release_Calendar!$B$2:$B$755,$A6498)&gt;0,1,0))</f>
        <v>0</v>
      </c>
      <c r="O6498" s="16">
        <f>IF($A6498&lt;Notes!$B$5,"",IF(COUNTIFS(Release_Calendar!$A$2:$A$755,"NZ_LABOUR",Release_Calendar!$B$2:$B$755,$A6498)&gt;0,1,0))</f>
        <v>0</v>
      </c>
      <c r="P6498" s="16">
        <f t="shared" si="4"/>
        <v>0</v>
      </c>
    </row>
    <row r="6499" ht="15.75" customHeight="1">
      <c r="A6499" s="14">
        <v>45623.0</v>
      </c>
      <c r="B6499" s="15">
        <v>4.19</v>
      </c>
      <c r="C6499" s="15">
        <v>3.71</v>
      </c>
      <c r="D6499" s="15"/>
      <c r="E6499" s="15">
        <v>3.81</v>
      </c>
      <c r="F6499" s="15">
        <f t="shared" si="1"/>
        <v>-0.48</v>
      </c>
      <c r="G6499" s="15">
        <f t="shared" si="2"/>
        <v>3.71</v>
      </c>
      <c r="H6499" s="16">
        <v>0.0</v>
      </c>
      <c r="I6499" s="15">
        <f t="shared" si="3"/>
        <v>-0.48</v>
      </c>
      <c r="J6499" s="15">
        <v>14.1</v>
      </c>
      <c r="K6499" s="16">
        <f>IF(COUNTIFS(Release_Calendar!$A$2:$A$755,"US_CPI",Release_Calendar!$B$2:$B$755,$A6499)&gt;0,1,0)</f>
        <v>0</v>
      </c>
      <c r="L6499" s="16">
        <f>IF(COUNTIFS(Release_Calendar!$A$2:$A$755,"US_NFP",Release_Calendar!$B$2:$B$755,$A6499)&gt;0,1,0)</f>
        <v>0</v>
      </c>
      <c r="M6499" s="16">
        <f>IF($A6499&lt;Notes!$B$5,"",IF(COUNTIFS(Release_Calendar!$A$2:$A$755,"NZ_CPI",Release_Calendar!$B$2:$B$755,$A6499)&gt;0,1,0))</f>
        <v>0</v>
      </c>
      <c r="N6499" s="16">
        <f>IF($A6499&lt;Notes!$B$5,"",IF(COUNTIFS(Release_Calendar!$A$2:$A$755,"NZ_GDP",Release_Calendar!$B$2:$B$755,$A6499)&gt;0,1,0))</f>
        <v>0</v>
      </c>
      <c r="O6499" s="16">
        <f>IF($A6499&lt;Notes!$B$5,"",IF(COUNTIFS(Release_Calendar!$A$2:$A$755,"NZ_LABOUR",Release_Calendar!$B$2:$B$755,$A6499)&gt;0,1,0))</f>
        <v>0</v>
      </c>
      <c r="P6499" s="16">
        <f t="shared" si="4"/>
        <v>0</v>
      </c>
    </row>
    <row r="6500" ht="15.75" customHeight="1">
      <c r="A6500" s="14">
        <v>45624.0</v>
      </c>
      <c r="B6500" s="15"/>
      <c r="C6500" s="15">
        <v>3.68</v>
      </c>
      <c r="D6500" s="15"/>
      <c r="E6500" s="15">
        <v>3.77</v>
      </c>
      <c r="F6500" s="15" t="str">
        <f t="shared" si="1"/>
        <v/>
      </c>
      <c r="G6500" s="15">
        <f t="shared" si="2"/>
        <v>3.68</v>
      </c>
      <c r="H6500" s="16">
        <v>0.0</v>
      </c>
      <c r="I6500" s="15" t="str">
        <f t="shared" si="3"/>
        <v/>
      </c>
      <c r="J6500" s="15">
        <v>13.9</v>
      </c>
      <c r="K6500" s="16">
        <f>IF(COUNTIFS(Release_Calendar!$A$2:$A$755,"US_CPI",Release_Calendar!$B$2:$B$755,$A6500)&gt;0,1,0)</f>
        <v>0</v>
      </c>
      <c r="L6500" s="16">
        <f>IF(COUNTIFS(Release_Calendar!$A$2:$A$755,"US_NFP",Release_Calendar!$B$2:$B$755,$A6500)&gt;0,1,0)</f>
        <v>0</v>
      </c>
      <c r="M6500" s="16">
        <f>IF($A6500&lt;Notes!$B$5,"",IF(COUNTIFS(Release_Calendar!$A$2:$A$755,"NZ_CPI",Release_Calendar!$B$2:$B$755,$A6500)&gt;0,1,0))</f>
        <v>0</v>
      </c>
      <c r="N6500" s="16">
        <f>IF($A6500&lt;Notes!$B$5,"",IF(COUNTIFS(Release_Calendar!$A$2:$A$755,"NZ_GDP",Release_Calendar!$B$2:$B$755,$A6500)&gt;0,1,0))</f>
        <v>0</v>
      </c>
      <c r="O6500" s="16">
        <f>IF($A6500&lt;Notes!$B$5,"",IF(COUNTIFS(Release_Calendar!$A$2:$A$755,"NZ_LABOUR",Release_Calendar!$B$2:$B$755,$A6500)&gt;0,1,0))</f>
        <v>0</v>
      </c>
      <c r="P6500" s="16">
        <f t="shared" si="4"/>
        <v>0</v>
      </c>
    </row>
    <row r="6501" ht="15.75" customHeight="1">
      <c r="A6501" s="14">
        <v>45625.0</v>
      </c>
      <c r="B6501" s="15">
        <v>4.13</v>
      </c>
      <c r="C6501" s="15">
        <v>3.7</v>
      </c>
      <c r="D6501" s="15"/>
      <c r="E6501" s="15">
        <v>3.79</v>
      </c>
      <c r="F6501" s="15">
        <f t="shared" si="1"/>
        <v>-0.43</v>
      </c>
      <c r="G6501" s="15">
        <f t="shared" si="2"/>
        <v>3.7</v>
      </c>
      <c r="H6501" s="16">
        <v>0.0</v>
      </c>
      <c r="I6501" s="15">
        <f t="shared" si="3"/>
        <v>-0.43</v>
      </c>
      <c r="J6501" s="15">
        <v>13.51</v>
      </c>
      <c r="K6501" s="16">
        <f>IF(COUNTIFS(Release_Calendar!$A$2:$A$755,"US_CPI",Release_Calendar!$B$2:$B$755,$A6501)&gt;0,1,0)</f>
        <v>0</v>
      </c>
      <c r="L6501" s="16">
        <f>IF(COUNTIFS(Release_Calendar!$A$2:$A$755,"US_NFP",Release_Calendar!$B$2:$B$755,$A6501)&gt;0,1,0)</f>
        <v>0</v>
      </c>
      <c r="M6501" s="16">
        <f>IF($A6501&lt;Notes!$B$5,"",IF(COUNTIFS(Release_Calendar!$A$2:$A$755,"NZ_CPI",Release_Calendar!$B$2:$B$755,$A6501)&gt;0,1,0))</f>
        <v>0</v>
      </c>
      <c r="N6501" s="16">
        <f>IF($A6501&lt;Notes!$B$5,"",IF(COUNTIFS(Release_Calendar!$A$2:$A$755,"NZ_GDP",Release_Calendar!$B$2:$B$755,$A6501)&gt;0,1,0))</f>
        <v>0</v>
      </c>
      <c r="O6501" s="16">
        <f>IF($A6501&lt;Notes!$B$5,"",IF(COUNTIFS(Release_Calendar!$A$2:$A$755,"NZ_LABOUR",Release_Calendar!$B$2:$B$755,$A6501)&gt;0,1,0))</f>
        <v>0</v>
      </c>
      <c r="P6501" s="16">
        <f t="shared" si="4"/>
        <v>0</v>
      </c>
    </row>
    <row r="6502" ht="15.75" customHeight="1">
      <c r="A6502" s="14">
        <v>45628.0</v>
      </c>
      <c r="B6502" s="15">
        <v>4.17</v>
      </c>
      <c r="C6502" s="15">
        <v>3.69</v>
      </c>
      <c r="D6502" s="15"/>
      <c r="E6502" s="15">
        <v>3.77</v>
      </c>
      <c r="F6502" s="15">
        <f t="shared" si="1"/>
        <v>-0.48</v>
      </c>
      <c r="G6502" s="15">
        <f t="shared" si="2"/>
        <v>3.69</v>
      </c>
      <c r="H6502" s="16">
        <v>0.0</v>
      </c>
      <c r="I6502" s="15">
        <f t="shared" si="3"/>
        <v>-0.48</v>
      </c>
      <c r="J6502" s="15">
        <v>13.34</v>
      </c>
      <c r="K6502" s="16">
        <f>IF(COUNTIFS(Release_Calendar!$A$2:$A$755,"US_CPI",Release_Calendar!$B$2:$B$755,$A6502)&gt;0,1,0)</f>
        <v>0</v>
      </c>
      <c r="L6502" s="16">
        <f>IF(COUNTIFS(Release_Calendar!$A$2:$A$755,"US_NFP",Release_Calendar!$B$2:$B$755,$A6502)&gt;0,1,0)</f>
        <v>0</v>
      </c>
      <c r="M6502" s="16">
        <f>IF($A6502&lt;Notes!$B$5,"",IF(COUNTIFS(Release_Calendar!$A$2:$A$755,"NZ_CPI",Release_Calendar!$B$2:$B$755,$A6502)&gt;0,1,0))</f>
        <v>0</v>
      </c>
      <c r="N6502" s="16">
        <f>IF($A6502&lt;Notes!$B$5,"",IF(COUNTIFS(Release_Calendar!$A$2:$A$755,"NZ_GDP",Release_Calendar!$B$2:$B$755,$A6502)&gt;0,1,0))</f>
        <v>0</v>
      </c>
      <c r="O6502" s="16">
        <f>IF($A6502&lt;Notes!$B$5,"",IF(COUNTIFS(Release_Calendar!$A$2:$A$755,"NZ_LABOUR",Release_Calendar!$B$2:$B$755,$A6502)&gt;0,1,0))</f>
        <v>0</v>
      </c>
      <c r="P6502" s="16">
        <f t="shared" si="4"/>
        <v>0</v>
      </c>
    </row>
    <row r="6503" ht="15.75" customHeight="1">
      <c r="A6503" s="14">
        <v>45629.0</v>
      </c>
      <c r="B6503" s="15">
        <v>4.17</v>
      </c>
      <c r="C6503" s="15">
        <v>3.66</v>
      </c>
      <c r="D6503" s="15"/>
      <c r="E6503" s="15">
        <v>3.75</v>
      </c>
      <c r="F6503" s="15">
        <f t="shared" si="1"/>
        <v>-0.51</v>
      </c>
      <c r="G6503" s="15">
        <f t="shared" si="2"/>
        <v>3.66</v>
      </c>
      <c r="H6503" s="16">
        <v>0.0</v>
      </c>
      <c r="I6503" s="15">
        <f t="shared" si="3"/>
        <v>-0.51</v>
      </c>
      <c r="J6503" s="15">
        <v>13.3</v>
      </c>
      <c r="K6503" s="16">
        <f>IF(COUNTIFS(Release_Calendar!$A$2:$A$755,"US_CPI",Release_Calendar!$B$2:$B$755,$A6503)&gt;0,1,0)</f>
        <v>0</v>
      </c>
      <c r="L6503" s="16">
        <f>IF(COUNTIFS(Release_Calendar!$A$2:$A$755,"US_NFP",Release_Calendar!$B$2:$B$755,$A6503)&gt;0,1,0)</f>
        <v>0</v>
      </c>
      <c r="M6503" s="16">
        <f>IF($A6503&lt;Notes!$B$5,"",IF(COUNTIFS(Release_Calendar!$A$2:$A$755,"NZ_CPI",Release_Calendar!$B$2:$B$755,$A6503)&gt;0,1,0))</f>
        <v>0</v>
      </c>
      <c r="N6503" s="16">
        <f>IF($A6503&lt;Notes!$B$5,"",IF(COUNTIFS(Release_Calendar!$A$2:$A$755,"NZ_GDP",Release_Calendar!$B$2:$B$755,$A6503)&gt;0,1,0))</f>
        <v>0</v>
      </c>
      <c r="O6503" s="16">
        <f>IF($A6503&lt;Notes!$B$5,"",IF(COUNTIFS(Release_Calendar!$A$2:$A$755,"NZ_LABOUR",Release_Calendar!$B$2:$B$755,$A6503)&gt;0,1,0))</f>
        <v>0</v>
      </c>
      <c r="P6503" s="16">
        <f t="shared" si="4"/>
        <v>0</v>
      </c>
    </row>
    <row r="6504" ht="15.75" customHeight="1">
      <c r="A6504" s="14">
        <v>45630.0</v>
      </c>
      <c r="B6504" s="15">
        <v>4.13</v>
      </c>
      <c r="C6504" s="15">
        <v>3.61</v>
      </c>
      <c r="D6504" s="15"/>
      <c r="E6504" s="15">
        <v>3.76</v>
      </c>
      <c r="F6504" s="15">
        <f t="shared" si="1"/>
        <v>-0.52</v>
      </c>
      <c r="G6504" s="15">
        <f t="shared" si="2"/>
        <v>3.61</v>
      </c>
      <c r="H6504" s="16">
        <v>0.0</v>
      </c>
      <c r="I6504" s="15">
        <f t="shared" si="3"/>
        <v>-0.52</v>
      </c>
      <c r="J6504" s="15">
        <v>13.45</v>
      </c>
      <c r="K6504" s="16">
        <f>IF(COUNTIFS(Release_Calendar!$A$2:$A$755,"US_CPI",Release_Calendar!$B$2:$B$755,$A6504)&gt;0,1,0)</f>
        <v>0</v>
      </c>
      <c r="L6504" s="16">
        <f>IF(COUNTIFS(Release_Calendar!$A$2:$A$755,"US_NFP",Release_Calendar!$B$2:$B$755,$A6504)&gt;0,1,0)</f>
        <v>0</v>
      </c>
      <c r="M6504" s="16">
        <f>IF($A6504&lt;Notes!$B$5,"",IF(COUNTIFS(Release_Calendar!$A$2:$A$755,"NZ_CPI",Release_Calendar!$B$2:$B$755,$A6504)&gt;0,1,0))</f>
        <v>0</v>
      </c>
      <c r="N6504" s="16">
        <f>IF($A6504&lt;Notes!$B$5,"",IF(COUNTIFS(Release_Calendar!$A$2:$A$755,"NZ_GDP",Release_Calendar!$B$2:$B$755,$A6504)&gt;0,1,0))</f>
        <v>0</v>
      </c>
      <c r="O6504" s="16">
        <f>IF($A6504&lt;Notes!$B$5,"",IF(COUNTIFS(Release_Calendar!$A$2:$A$755,"NZ_LABOUR",Release_Calendar!$B$2:$B$755,$A6504)&gt;0,1,0))</f>
        <v>0</v>
      </c>
      <c r="P6504" s="16">
        <f t="shared" si="4"/>
        <v>0</v>
      </c>
    </row>
    <row r="6505" ht="15.75" customHeight="1">
      <c r="A6505" s="14">
        <v>45631.0</v>
      </c>
      <c r="B6505" s="15">
        <v>4.15</v>
      </c>
      <c r="C6505" s="15">
        <v>3.61</v>
      </c>
      <c r="D6505" s="15"/>
      <c r="E6505" s="15">
        <v>3.78</v>
      </c>
      <c r="F6505" s="15">
        <f t="shared" si="1"/>
        <v>-0.54</v>
      </c>
      <c r="G6505" s="15">
        <f t="shared" si="2"/>
        <v>3.61</v>
      </c>
      <c r="H6505" s="16">
        <v>0.0</v>
      </c>
      <c r="I6505" s="15">
        <f t="shared" si="3"/>
        <v>-0.54</v>
      </c>
      <c r="J6505" s="15">
        <v>13.54</v>
      </c>
      <c r="K6505" s="16">
        <f>IF(COUNTIFS(Release_Calendar!$A$2:$A$755,"US_CPI",Release_Calendar!$B$2:$B$755,$A6505)&gt;0,1,0)</f>
        <v>0</v>
      </c>
      <c r="L6505" s="16">
        <f>IF(COUNTIFS(Release_Calendar!$A$2:$A$755,"US_NFP",Release_Calendar!$B$2:$B$755,$A6505)&gt;0,1,0)</f>
        <v>0</v>
      </c>
      <c r="M6505" s="16">
        <f>IF($A6505&lt;Notes!$B$5,"",IF(COUNTIFS(Release_Calendar!$A$2:$A$755,"NZ_CPI",Release_Calendar!$B$2:$B$755,$A6505)&gt;0,1,0))</f>
        <v>0</v>
      </c>
      <c r="N6505" s="16">
        <f>IF($A6505&lt;Notes!$B$5,"",IF(COUNTIFS(Release_Calendar!$A$2:$A$755,"NZ_GDP",Release_Calendar!$B$2:$B$755,$A6505)&gt;0,1,0))</f>
        <v>0</v>
      </c>
      <c r="O6505" s="16">
        <f>IF($A6505&lt;Notes!$B$5,"",IF(COUNTIFS(Release_Calendar!$A$2:$A$755,"NZ_LABOUR",Release_Calendar!$B$2:$B$755,$A6505)&gt;0,1,0))</f>
        <v>0</v>
      </c>
      <c r="P6505" s="16">
        <f t="shared" si="4"/>
        <v>0</v>
      </c>
    </row>
    <row r="6506" ht="15.75" customHeight="1">
      <c r="A6506" s="14">
        <v>45632.0</v>
      </c>
      <c r="B6506" s="15">
        <v>4.1</v>
      </c>
      <c r="C6506" s="15">
        <v>3.61</v>
      </c>
      <c r="D6506" s="15"/>
      <c r="E6506" s="15">
        <v>3.79</v>
      </c>
      <c r="F6506" s="15">
        <f t="shared" si="1"/>
        <v>-0.49</v>
      </c>
      <c r="G6506" s="15">
        <f t="shared" si="2"/>
        <v>3.61</v>
      </c>
      <c r="H6506" s="16">
        <v>0.0</v>
      </c>
      <c r="I6506" s="15">
        <f t="shared" si="3"/>
        <v>-0.49</v>
      </c>
      <c r="J6506" s="15">
        <v>12.77</v>
      </c>
      <c r="K6506" s="16">
        <f>IF(COUNTIFS(Release_Calendar!$A$2:$A$755,"US_CPI",Release_Calendar!$B$2:$B$755,$A6506)&gt;0,1,0)</f>
        <v>0</v>
      </c>
      <c r="L6506" s="16">
        <f>IF(COUNTIFS(Release_Calendar!$A$2:$A$755,"US_NFP",Release_Calendar!$B$2:$B$755,$A6506)&gt;0,1,0)</f>
        <v>1</v>
      </c>
      <c r="M6506" s="16">
        <f>IF($A6506&lt;Notes!$B$5,"",IF(COUNTIFS(Release_Calendar!$A$2:$A$755,"NZ_CPI",Release_Calendar!$B$2:$B$755,$A6506)&gt;0,1,0))</f>
        <v>0</v>
      </c>
      <c r="N6506" s="16">
        <f>IF($A6506&lt;Notes!$B$5,"",IF(COUNTIFS(Release_Calendar!$A$2:$A$755,"NZ_GDP",Release_Calendar!$B$2:$B$755,$A6506)&gt;0,1,0))</f>
        <v>0</v>
      </c>
      <c r="O6506" s="16">
        <f>IF($A6506&lt;Notes!$B$5,"",IF(COUNTIFS(Release_Calendar!$A$2:$A$755,"NZ_LABOUR",Release_Calendar!$B$2:$B$755,$A6506)&gt;0,1,0))</f>
        <v>0</v>
      </c>
      <c r="P6506" s="16">
        <f t="shared" si="4"/>
        <v>1</v>
      </c>
    </row>
    <row r="6507" ht="15.75" customHeight="1">
      <c r="A6507" s="14">
        <v>45635.0</v>
      </c>
      <c r="B6507" s="15">
        <v>4.13</v>
      </c>
      <c r="C6507" s="15">
        <v>3.6</v>
      </c>
      <c r="D6507" s="15"/>
      <c r="E6507" s="15">
        <v>3.76</v>
      </c>
      <c r="F6507" s="15">
        <f t="shared" si="1"/>
        <v>-0.53</v>
      </c>
      <c r="G6507" s="15">
        <f t="shared" si="2"/>
        <v>3.6</v>
      </c>
      <c r="H6507" s="16">
        <v>0.0</v>
      </c>
      <c r="I6507" s="15">
        <f t="shared" si="3"/>
        <v>-0.53</v>
      </c>
      <c r="J6507" s="15">
        <v>14.19</v>
      </c>
      <c r="K6507" s="16">
        <f>IF(COUNTIFS(Release_Calendar!$A$2:$A$755,"US_CPI",Release_Calendar!$B$2:$B$755,$A6507)&gt;0,1,0)</f>
        <v>0</v>
      </c>
      <c r="L6507" s="16">
        <f>IF(COUNTIFS(Release_Calendar!$A$2:$A$755,"US_NFP",Release_Calendar!$B$2:$B$755,$A6507)&gt;0,1,0)</f>
        <v>0</v>
      </c>
      <c r="M6507" s="16">
        <f>IF($A6507&lt;Notes!$B$5,"",IF(COUNTIFS(Release_Calendar!$A$2:$A$755,"NZ_CPI",Release_Calendar!$B$2:$B$755,$A6507)&gt;0,1,0))</f>
        <v>0</v>
      </c>
      <c r="N6507" s="16">
        <f>IF($A6507&lt;Notes!$B$5,"",IF(COUNTIFS(Release_Calendar!$A$2:$A$755,"NZ_GDP",Release_Calendar!$B$2:$B$755,$A6507)&gt;0,1,0))</f>
        <v>0</v>
      </c>
      <c r="O6507" s="16">
        <f>IF($A6507&lt;Notes!$B$5,"",IF(COUNTIFS(Release_Calendar!$A$2:$A$755,"NZ_LABOUR",Release_Calendar!$B$2:$B$755,$A6507)&gt;0,1,0))</f>
        <v>0</v>
      </c>
      <c r="P6507" s="16">
        <f t="shared" si="4"/>
        <v>0</v>
      </c>
    </row>
    <row r="6508" ht="15.75" customHeight="1">
      <c r="A6508" s="14">
        <v>45636.0</v>
      </c>
      <c r="B6508" s="15">
        <v>4.15</v>
      </c>
      <c r="C6508" s="15">
        <v>3.6</v>
      </c>
      <c r="D6508" s="15"/>
      <c r="E6508" s="15">
        <v>3.74</v>
      </c>
      <c r="F6508" s="15">
        <f t="shared" si="1"/>
        <v>-0.55</v>
      </c>
      <c r="G6508" s="15">
        <f t="shared" si="2"/>
        <v>3.6</v>
      </c>
      <c r="H6508" s="16">
        <v>0.0</v>
      </c>
      <c r="I6508" s="15">
        <f t="shared" si="3"/>
        <v>-0.55</v>
      </c>
      <c r="J6508" s="15">
        <v>14.18</v>
      </c>
      <c r="K6508" s="16">
        <f>IF(COUNTIFS(Release_Calendar!$A$2:$A$755,"US_CPI",Release_Calendar!$B$2:$B$755,$A6508)&gt;0,1,0)</f>
        <v>0</v>
      </c>
      <c r="L6508" s="16">
        <f>IF(COUNTIFS(Release_Calendar!$A$2:$A$755,"US_NFP",Release_Calendar!$B$2:$B$755,$A6508)&gt;0,1,0)</f>
        <v>0</v>
      </c>
      <c r="M6508" s="16">
        <f>IF($A6508&lt;Notes!$B$5,"",IF(COUNTIFS(Release_Calendar!$A$2:$A$755,"NZ_CPI",Release_Calendar!$B$2:$B$755,$A6508)&gt;0,1,0))</f>
        <v>0</v>
      </c>
      <c r="N6508" s="16">
        <f>IF($A6508&lt;Notes!$B$5,"",IF(COUNTIFS(Release_Calendar!$A$2:$A$755,"NZ_GDP",Release_Calendar!$B$2:$B$755,$A6508)&gt;0,1,0))</f>
        <v>0</v>
      </c>
      <c r="O6508" s="16">
        <f>IF($A6508&lt;Notes!$B$5,"",IF(COUNTIFS(Release_Calendar!$A$2:$A$755,"NZ_LABOUR",Release_Calendar!$B$2:$B$755,$A6508)&gt;0,1,0))</f>
        <v>0</v>
      </c>
      <c r="P6508" s="16">
        <f t="shared" si="4"/>
        <v>0</v>
      </c>
    </row>
    <row r="6509" ht="15.75" customHeight="1">
      <c r="A6509" s="14">
        <v>45637.0</v>
      </c>
      <c r="B6509" s="15">
        <v>4.15</v>
      </c>
      <c r="C6509" s="15">
        <v>3.57</v>
      </c>
      <c r="D6509" s="15"/>
      <c r="E6509" s="15">
        <v>3.73</v>
      </c>
      <c r="F6509" s="15">
        <f t="shared" si="1"/>
        <v>-0.58</v>
      </c>
      <c r="G6509" s="15">
        <f t="shared" si="2"/>
        <v>3.57</v>
      </c>
      <c r="H6509" s="16">
        <v>0.0</v>
      </c>
      <c r="I6509" s="15">
        <f t="shared" si="3"/>
        <v>-0.58</v>
      </c>
      <c r="J6509" s="15">
        <v>13.58</v>
      </c>
      <c r="K6509" s="16">
        <f>IF(COUNTIFS(Release_Calendar!$A$2:$A$755,"US_CPI",Release_Calendar!$B$2:$B$755,$A6509)&gt;0,1,0)</f>
        <v>1</v>
      </c>
      <c r="L6509" s="16">
        <f>IF(COUNTIFS(Release_Calendar!$A$2:$A$755,"US_NFP",Release_Calendar!$B$2:$B$755,$A6509)&gt;0,1,0)</f>
        <v>0</v>
      </c>
      <c r="M6509" s="16">
        <f>IF($A6509&lt;Notes!$B$5,"",IF(COUNTIFS(Release_Calendar!$A$2:$A$755,"NZ_CPI",Release_Calendar!$B$2:$B$755,$A6509)&gt;0,1,0))</f>
        <v>0</v>
      </c>
      <c r="N6509" s="16">
        <f>IF($A6509&lt;Notes!$B$5,"",IF(COUNTIFS(Release_Calendar!$A$2:$A$755,"NZ_GDP",Release_Calendar!$B$2:$B$755,$A6509)&gt;0,1,0))</f>
        <v>0</v>
      </c>
      <c r="O6509" s="16">
        <f>IF($A6509&lt;Notes!$B$5,"",IF(COUNTIFS(Release_Calendar!$A$2:$A$755,"NZ_LABOUR",Release_Calendar!$B$2:$B$755,$A6509)&gt;0,1,0))</f>
        <v>0</v>
      </c>
      <c r="P6509" s="16">
        <f t="shared" si="4"/>
        <v>1</v>
      </c>
    </row>
    <row r="6510" ht="15.75" customHeight="1">
      <c r="A6510" s="14">
        <v>45638.0</v>
      </c>
      <c r="B6510" s="15">
        <v>4.18</v>
      </c>
      <c r="C6510" s="15">
        <v>3.59</v>
      </c>
      <c r="D6510" s="15"/>
      <c r="E6510" s="15">
        <v>3.75</v>
      </c>
      <c r="F6510" s="15">
        <f t="shared" si="1"/>
        <v>-0.59</v>
      </c>
      <c r="G6510" s="15">
        <f t="shared" si="2"/>
        <v>3.59</v>
      </c>
      <c r="H6510" s="16">
        <v>0.0</v>
      </c>
      <c r="I6510" s="15">
        <f t="shared" si="3"/>
        <v>-0.59</v>
      </c>
      <c r="J6510" s="15">
        <v>13.92</v>
      </c>
      <c r="K6510" s="16">
        <f>IF(COUNTIFS(Release_Calendar!$A$2:$A$755,"US_CPI",Release_Calendar!$B$2:$B$755,$A6510)&gt;0,1,0)</f>
        <v>0</v>
      </c>
      <c r="L6510" s="16">
        <f>IF(COUNTIFS(Release_Calendar!$A$2:$A$755,"US_NFP",Release_Calendar!$B$2:$B$755,$A6510)&gt;0,1,0)</f>
        <v>0</v>
      </c>
      <c r="M6510" s="16">
        <f>IF($A6510&lt;Notes!$B$5,"",IF(COUNTIFS(Release_Calendar!$A$2:$A$755,"NZ_CPI",Release_Calendar!$B$2:$B$755,$A6510)&gt;0,1,0))</f>
        <v>0</v>
      </c>
      <c r="N6510" s="16">
        <f>IF($A6510&lt;Notes!$B$5,"",IF(COUNTIFS(Release_Calendar!$A$2:$A$755,"NZ_GDP",Release_Calendar!$B$2:$B$755,$A6510)&gt;0,1,0))</f>
        <v>0</v>
      </c>
      <c r="O6510" s="16">
        <f>IF($A6510&lt;Notes!$B$5,"",IF(COUNTIFS(Release_Calendar!$A$2:$A$755,"NZ_LABOUR",Release_Calendar!$B$2:$B$755,$A6510)&gt;0,1,0))</f>
        <v>0</v>
      </c>
      <c r="P6510" s="16">
        <f t="shared" si="4"/>
        <v>0</v>
      </c>
    </row>
    <row r="6511" ht="15.75" customHeight="1">
      <c r="A6511" s="14">
        <v>45639.0</v>
      </c>
      <c r="B6511" s="15">
        <v>4.25</v>
      </c>
      <c r="C6511" s="15">
        <v>3.6</v>
      </c>
      <c r="D6511" s="15"/>
      <c r="E6511" s="15">
        <v>3.76</v>
      </c>
      <c r="F6511" s="15">
        <f t="shared" si="1"/>
        <v>-0.65</v>
      </c>
      <c r="G6511" s="15">
        <f t="shared" si="2"/>
        <v>3.6</v>
      </c>
      <c r="H6511" s="16">
        <v>0.0</v>
      </c>
      <c r="I6511" s="15">
        <f t="shared" si="3"/>
        <v>-0.65</v>
      </c>
      <c r="J6511" s="15">
        <v>13.81</v>
      </c>
      <c r="K6511" s="16">
        <f>IF(COUNTIFS(Release_Calendar!$A$2:$A$755,"US_CPI",Release_Calendar!$B$2:$B$755,$A6511)&gt;0,1,0)</f>
        <v>0</v>
      </c>
      <c r="L6511" s="16">
        <f>IF(COUNTIFS(Release_Calendar!$A$2:$A$755,"US_NFP",Release_Calendar!$B$2:$B$755,$A6511)&gt;0,1,0)</f>
        <v>0</v>
      </c>
      <c r="M6511" s="16">
        <f>IF($A6511&lt;Notes!$B$5,"",IF(COUNTIFS(Release_Calendar!$A$2:$A$755,"NZ_CPI",Release_Calendar!$B$2:$B$755,$A6511)&gt;0,1,0))</f>
        <v>0</v>
      </c>
      <c r="N6511" s="16">
        <f>IF($A6511&lt;Notes!$B$5,"",IF(COUNTIFS(Release_Calendar!$A$2:$A$755,"NZ_GDP",Release_Calendar!$B$2:$B$755,$A6511)&gt;0,1,0))</f>
        <v>0</v>
      </c>
      <c r="O6511" s="16">
        <f>IF($A6511&lt;Notes!$B$5,"",IF(COUNTIFS(Release_Calendar!$A$2:$A$755,"NZ_LABOUR",Release_Calendar!$B$2:$B$755,$A6511)&gt;0,1,0))</f>
        <v>0</v>
      </c>
      <c r="P6511" s="16">
        <f t="shared" si="4"/>
        <v>0</v>
      </c>
    </row>
    <row r="6512" ht="15.75" customHeight="1">
      <c r="A6512" s="14">
        <v>45642.0</v>
      </c>
      <c r="B6512" s="15">
        <v>4.25</v>
      </c>
      <c r="C6512" s="15">
        <v>3.6</v>
      </c>
      <c r="D6512" s="15"/>
      <c r="E6512" s="15">
        <v>3.76</v>
      </c>
      <c r="F6512" s="15">
        <f t="shared" si="1"/>
        <v>-0.65</v>
      </c>
      <c r="G6512" s="15">
        <f t="shared" si="2"/>
        <v>3.6</v>
      </c>
      <c r="H6512" s="16">
        <v>0.0</v>
      </c>
      <c r="I6512" s="15">
        <f t="shared" si="3"/>
        <v>-0.65</v>
      </c>
      <c r="J6512" s="15">
        <v>14.69</v>
      </c>
      <c r="K6512" s="16">
        <f>IF(COUNTIFS(Release_Calendar!$A$2:$A$755,"US_CPI",Release_Calendar!$B$2:$B$755,$A6512)&gt;0,1,0)</f>
        <v>0</v>
      </c>
      <c r="L6512" s="16">
        <f>IF(COUNTIFS(Release_Calendar!$A$2:$A$755,"US_NFP",Release_Calendar!$B$2:$B$755,$A6512)&gt;0,1,0)</f>
        <v>0</v>
      </c>
      <c r="M6512" s="16">
        <f>IF($A6512&lt;Notes!$B$5,"",IF(COUNTIFS(Release_Calendar!$A$2:$A$755,"NZ_CPI",Release_Calendar!$B$2:$B$755,$A6512)&gt;0,1,0))</f>
        <v>0</v>
      </c>
      <c r="N6512" s="16">
        <f>IF($A6512&lt;Notes!$B$5,"",IF(COUNTIFS(Release_Calendar!$A$2:$A$755,"NZ_GDP",Release_Calendar!$B$2:$B$755,$A6512)&gt;0,1,0))</f>
        <v>0</v>
      </c>
      <c r="O6512" s="16">
        <f>IF($A6512&lt;Notes!$B$5,"",IF(COUNTIFS(Release_Calendar!$A$2:$A$755,"NZ_LABOUR",Release_Calendar!$B$2:$B$755,$A6512)&gt;0,1,0))</f>
        <v>0</v>
      </c>
      <c r="P6512" s="16">
        <f t="shared" si="4"/>
        <v>0</v>
      </c>
    </row>
    <row r="6513" ht="15.75" customHeight="1">
      <c r="A6513" s="14">
        <v>45643.0</v>
      </c>
      <c r="B6513" s="15">
        <v>4.25</v>
      </c>
      <c r="C6513" s="15">
        <v>3.58</v>
      </c>
      <c r="D6513" s="15"/>
      <c r="E6513" s="15">
        <v>3.76</v>
      </c>
      <c r="F6513" s="15">
        <f t="shared" si="1"/>
        <v>-0.67</v>
      </c>
      <c r="G6513" s="15">
        <f t="shared" si="2"/>
        <v>3.58</v>
      </c>
      <c r="H6513" s="16">
        <v>0.0</v>
      </c>
      <c r="I6513" s="15">
        <f t="shared" si="3"/>
        <v>-0.67</v>
      </c>
      <c r="J6513" s="15">
        <v>15.87</v>
      </c>
      <c r="K6513" s="16">
        <f>IF(COUNTIFS(Release_Calendar!$A$2:$A$755,"US_CPI",Release_Calendar!$B$2:$B$755,$A6513)&gt;0,1,0)</f>
        <v>0</v>
      </c>
      <c r="L6513" s="16">
        <f>IF(COUNTIFS(Release_Calendar!$A$2:$A$755,"US_NFP",Release_Calendar!$B$2:$B$755,$A6513)&gt;0,1,0)</f>
        <v>0</v>
      </c>
      <c r="M6513" s="16">
        <f>IF($A6513&lt;Notes!$B$5,"",IF(COUNTIFS(Release_Calendar!$A$2:$A$755,"NZ_CPI",Release_Calendar!$B$2:$B$755,$A6513)&gt;0,1,0))</f>
        <v>0</v>
      </c>
      <c r="N6513" s="16">
        <f>IF($A6513&lt;Notes!$B$5,"",IF(COUNTIFS(Release_Calendar!$A$2:$A$755,"NZ_GDP",Release_Calendar!$B$2:$B$755,$A6513)&gt;0,1,0))</f>
        <v>0</v>
      </c>
      <c r="O6513" s="16">
        <f>IF($A6513&lt;Notes!$B$5,"",IF(COUNTIFS(Release_Calendar!$A$2:$A$755,"NZ_LABOUR",Release_Calendar!$B$2:$B$755,$A6513)&gt;0,1,0))</f>
        <v>0</v>
      </c>
      <c r="P6513" s="16">
        <f t="shared" si="4"/>
        <v>0</v>
      </c>
    </row>
    <row r="6514" ht="15.75" customHeight="1">
      <c r="A6514" s="14">
        <v>45644.0</v>
      </c>
      <c r="B6514" s="15">
        <v>4.35</v>
      </c>
      <c r="C6514" s="15">
        <v>3.56</v>
      </c>
      <c r="D6514" s="15"/>
      <c r="E6514" s="15">
        <v>3.73</v>
      </c>
      <c r="F6514" s="15">
        <f t="shared" si="1"/>
        <v>-0.79</v>
      </c>
      <c r="G6514" s="15">
        <f t="shared" si="2"/>
        <v>3.56</v>
      </c>
      <c r="H6514" s="16">
        <v>0.0</v>
      </c>
      <c r="I6514" s="15">
        <f t="shared" si="3"/>
        <v>-0.79</v>
      </c>
      <c r="J6514" s="15">
        <v>27.62</v>
      </c>
      <c r="K6514" s="16">
        <f>IF(COUNTIFS(Release_Calendar!$A$2:$A$755,"US_CPI",Release_Calendar!$B$2:$B$755,$A6514)&gt;0,1,0)</f>
        <v>0</v>
      </c>
      <c r="L6514" s="16">
        <f>IF(COUNTIFS(Release_Calendar!$A$2:$A$755,"US_NFP",Release_Calendar!$B$2:$B$755,$A6514)&gt;0,1,0)</f>
        <v>0</v>
      </c>
      <c r="M6514" s="16">
        <f>IF($A6514&lt;Notes!$B$5,"",IF(COUNTIFS(Release_Calendar!$A$2:$A$755,"NZ_CPI",Release_Calendar!$B$2:$B$755,$A6514)&gt;0,1,0))</f>
        <v>0</v>
      </c>
      <c r="N6514" s="16">
        <f>IF($A6514&lt;Notes!$B$5,"",IF(COUNTIFS(Release_Calendar!$A$2:$A$755,"NZ_GDP",Release_Calendar!$B$2:$B$755,$A6514)&gt;0,1,0))</f>
        <v>0</v>
      </c>
      <c r="O6514" s="16">
        <f>IF($A6514&lt;Notes!$B$5,"",IF(COUNTIFS(Release_Calendar!$A$2:$A$755,"NZ_LABOUR",Release_Calendar!$B$2:$B$755,$A6514)&gt;0,1,0))</f>
        <v>0</v>
      </c>
      <c r="P6514" s="16">
        <f t="shared" si="4"/>
        <v>0</v>
      </c>
    </row>
    <row r="6515" ht="15.75" customHeight="1">
      <c r="A6515" s="14">
        <v>45645.0</v>
      </c>
      <c r="B6515" s="15">
        <v>4.32</v>
      </c>
      <c r="C6515" s="15">
        <v>3.5</v>
      </c>
      <c r="D6515" s="15"/>
      <c r="E6515" s="15">
        <v>3.7</v>
      </c>
      <c r="F6515" s="15">
        <f t="shared" si="1"/>
        <v>-0.82</v>
      </c>
      <c r="G6515" s="15">
        <f t="shared" si="2"/>
        <v>3.5</v>
      </c>
      <c r="H6515" s="16">
        <v>0.0</v>
      </c>
      <c r="I6515" s="15">
        <f t="shared" si="3"/>
        <v>-0.82</v>
      </c>
      <c r="J6515" s="15">
        <v>24.09</v>
      </c>
      <c r="K6515" s="16">
        <f>IF(COUNTIFS(Release_Calendar!$A$2:$A$755,"US_CPI",Release_Calendar!$B$2:$B$755,$A6515)&gt;0,1,0)</f>
        <v>0</v>
      </c>
      <c r="L6515" s="16">
        <f>IF(COUNTIFS(Release_Calendar!$A$2:$A$755,"US_NFP",Release_Calendar!$B$2:$B$755,$A6515)&gt;0,1,0)</f>
        <v>0</v>
      </c>
      <c r="M6515" s="16">
        <f>IF($A6515&lt;Notes!$B$5,"",IF(COUNTIFS(Release_Calendar!$A$2:$A$755,"NZ_CPI",Release_Calendar!$B$2:$B$755,$A6515)&gt;0,1,0))</f>
        <v>0</v>
      </c>
      <c r="N6515" s="16">
        <f>IF($A6515&lt;Notes!$B$5,"",IF(COUNTIFS(Release_Calendar!$A$2:$A$755,"NZ_GDP",Release_Calendar!$B$2:$B$755,$A6515)&gt;0,1,0))</f>
        <v>1</v>
      </c>
      <c r="O6515" s="16">
        <f>IF($A6515&lt;Notes!$B$5,"",IF(COUNTIFS(Release_Calendar!$A$2:$A$755,"NZ_LABOUR",Release_Calendar!$B$2:$B$755,$A6515)&gt;0,1,0))</f>
        <v>0</v>
      </c>
      <c r="P6515" s="16">
        <f t="shared" si="4"/>
        <v>1</v>
      </c>
    </row>
    <row r="6516" ht="15.75" customHeight="1">
      <c r="A6516" s="14">
        <v>45646.0</v>
      </c>
      <c r="B6516" s="15">
        <v>4.3</v>
      </c>
      <c r="C6516" s="15">
        <v>3.48</v>
      </c>
      <c r="D6516" s="15"/>
      <c r="E6516" s="15">
        <v>3.72</v>
      </c>
      <c r="F6516" s="15">
        <f t="shared" si="1"/>
        <v>-0.82</v>
      </c>
      <c r="G6516" s="15">
        <f t="shared" si="2"/>
        <v>3.48</v>
      </c>
      <c r="H6516" s="16">
        <v>0.0</v>
      </c>
      <c r="I6516" s="15">
        <f t="shared" si="3"/>
        <v>-0.82</v>
      </c>
      <c r="J6516" s="15">
        <v>18.36</v>
      </c>
      <c r="K6516" s="16">
        <f>IF(COUNTIFS(Release_Calendar!$A$2:$A$755,"US_CPI",Release_Calendar!$B$2:$B$755,$A6516)&gt;0,1,0)</f>
        <v>0</v>
      </c>
      <c r="L6516" s="16">
        <f>IF(COUNTIFS(Release_Calendar!$A$2:$A$755,"US_NFP",Release_Calendar!$B$2:$B$755,$A6516)&gt;0,1,0)</f>
        <v>0</v>
      </c>
      <c r="M6516" s="16">
        <f>IF($A6516&lt;Notes!$B$5,"",IF(COUNTIFS(Release_Calendar!$A$2:$A$755,"NZ_CPI",Release_Calendar!$B$2:$B$755,$A6516)&gt;0,1,0))</f>
        <v>0</v>
      </c>
      <c r="N6516" s="16">
        <f>IF($A6516&lt;Notes!$B$5,"",IF(COUNTIFS(Release_Calendar!$A$2:$A$755,"NZ_GDP",Release_Calendar!$B$2:$B$755,$A6516)&gt;0,1,0))</f>
        <v>0</v>
      </c>
      <c r="O6516" s="16">
        <f>IF($A6516&lt;Notes!$B$5,"",IF(COUNTIFS(Release_Calendar!$A$2:$A$755,"NZ_LABOUR",Release_Calendar!$B$2:$B$755,$A6516)&gt;0,1,0))</f>
        <v>0</v>
      </c>
      <c r="P6516" s="16">
        <f t="shared" si="4"/>
        <v>0</v>
      </c>
    </row>
    <row r="6517" ht="15.75" customHeight="1">
      <c r="A6517" s="14">
        <v>45649.0</v>
      </c>
      <c r="B6517" s="15">
        <v>4.3</v>
      </c>
      <c r="C6517" s="15">
        <v>3.41</v>
      </c>
      <c r="D6517" s="15"/>
      <c r="E6517" s="15">
        <v>3.64</v>
      </c>
      <c r="F6517" s="15">
        <f t="shared" si="1"/>
        <v>-0.89</v>
      </c>
      <c r="G6517" s="15">
        <f t="shared" si="2"/>
        <v>3.41</v>
      </c>
      <c r="H6517" s="16">
        <v>0.0</v>
      </c>
      <c r="I6517" s="15">
        <f t="shared" si="3"/>
        <v>-0.89</v>
      </c>
      <c r="J6517" s="15">
        <v>16.78</v>
      </c>
      <c r="K6517" s="16">
        <f>IF(COUNTIFS(Release_Calendar!$A$2:$A$755,"US_CPI",Release_Calendar!$B$2:$B$755,$A6517)&gt;0,1,0)</f>
        <v>0</v>
      </c>
      <c r="L6517" s="16">
        <f>IF(COUNTIFS(Release_Calendar!$A$2:$A$755,"US_NFP",Release_Calendar!$B$2:$B$755,$A6517)&gt;0,1,0)</f>
        <v>0</v>
      </c>
      <c r="M6517" s="16">
        <f>IF($A6517&lt;Notes!$B$5,"",IF(COUNTIFS(Release_Calendar!$A$2:$A$755,"NZ_CPI",Release_Calendar!$B$2:$B$755,$A6517)&gt;0,1,0))</f>
        <v>0</v>
      </c>
      <c r="N6517" s="16">
        <f>IF($A6517&lt;Notes!$B$5,"",IF(COUNTIFS(Release_Calendar!$A$2:$A$755,"NZ_GDP",Release_Calendar!$B$2:$B$755,$A6517)&gt;0,1,0))</f>
        <v>0</v>
      </c>
      <c r="O6517" s="16">
        <f>IF($A6517&lt;Notes!$B$5,"",IF(COUNTIFS(Release_Calendar!$A$2:$A$755,"NZ_LABOUR",Release_Calendar!$B$2:$B$755,$A6517)&gt;0,1,0))</f>
        <v>0</v>
      </c>
      <c r="P6517" s="16">
        <f t="shared" si="4"/>
        <v>0</v>
      </c>
    </row>
    <row r="6518" ht="15.75" customHeight="1">
      <c r="A6518" s="14">
        <v>45650.0</v>
      </c>
      <c r="B6518" s="15">
        <v>4.29</v>
      </c>
      <c r="C6518" s="15">
        <v>3.42</v>
      </c>
      <c r="D6518" s="15"/>
      <c r="E6518" s="15">
        <v>3.63</v>
      </c>
      <c r="F6518" s="15">
        <f t="shared" si="1"/>
        <v>-0.87</v>
      </c>
      <c r="G6518" s="15">
        <f t="shared" si="2"/>
        <v>3.42</v>
      </c>
      <c r="H6518" s="16">
        <v>0.0</v>
      </c>
      <c r="I6518" s="15">
        <f t="shared" si="3"/>
        <v>-0.87</v>
      </c>
      <c r="J6518" s="15">
        <v>14.27</v>
      </c>
      <c r="K6518" s="16">
        <f>IF(COUNTIFS(Release_Calendar!$A$2:$A$755,"US_CPI",Release_Calendar!$B$2:$B$755,$A6518)&gt;0,1,0)</f>
        <v>0</v>
      </c>
      <c r="L6518" s="16">
        <f>IF(COUNTIFS(Release_Calendar!$A$2:$A$755,"US_NFP",Release_Calendar!$B$2:$B$755,$A6518)&gt;0,1,0)</f>
        <v>0</v>
      </c>
      <c r="M6518" s="16">
        <f>IF($A6518&lt;Notes!$B$5,"",IF(COUNTIFS(Release_Calendar!$A$2:$A$755,"NZ_CPI",Release_Calendar!$B$2:$B$755,$A6518)&gt;0,1,0))</f>
        <v>0</v>
      </c>
      <c r="N6518" s="16">
        <f>IF($A6518&lt;Notes!$B$5,"",IF(COUNTIFS(Release_Calendar!$A$2:$A$755,"NZ_GDP",Release_Calendar!$B$2:$B$755,$A6518)&gt;0,1,0))</f>
        <v>0</v>
      </c>
      <c r="O6518" s="16">
        <f>IF($A6518&lt;Notes!$B$5,"",IF(COUNTIFS(Release_Calendar!$A$2:$A$755,"NZ_LABOUR",Release_Calendar!$B$2:$B$755,$A6518)&gt;0,1,0))</f>
        <v>0</v>
      </c>
      <c r="P6518" s="16">
        <f t="shared" si="4"/>
        <v>0</v>
      </c>
    </row>
    <row r="6519" ht="15.75" customHeight="1">
      <c r="A6519" s="14">
        <v>45651.0</v>
      </c>
      <c r="B6519" s="15"/>
      <c r="C6519" s="15"/>
      <c r="D6519" s="15"/>
      <c r="E6519" s="15"/>
      <c r="F6519" s="15" t="str">
        <f t="shared" si="1"/>
        <v/>
      </c>
      <c r="G6519" s="15" t="str">
        <f t="shared" si="2"/>
        <v/>
      </c>
      <c r="H6519" s="16">
        <v>0.0</v>
      </c>
      <c r="I6519" s="15" t="str">
        <f t="shared" si="3"/>
        <v/>
      </c>
      <c r="J6519" s="15"/>
      <c r="K6519" s="16">
        <f>IF(COUNTIFS(Release_Calendar!$A$2:$A$755,"US_CPI",Release_Calendar!$B$2:$B$755,$A6519)&gt;0,1,0)</f>
        <v>0</v>
      </c>
      <c r="L6519" s="16">
        <f>IF(COUNTIFS(Release_Calendar!$A$2:$A$755,"US_NFP",Release_Calendar!$B$2:$B$755,$A6519)&gt;0,1,0)</f>
        <v>0</v>
      </c>
      <c r="M6519" s="16">
        <f>IF($A6519&lt;Notes!$B$5,"",IF(COUNTIFS(Release_Calendar!$A$2:$A$755,"NZ_CPI",Release_Calendar!$B$2:$B$755,$A6519)&gt;0,1,0))</f>
        <v>0</v>
      </c>
      <c r="N6519" s="16">
        <f>IF($A6519&lt;Notes!$B$5,"",IF(COUNTIFS(Release_Calendar!$A$2:$A$755,"NZ_GDP",Release_Calendar!$B$2:$B$755,$A6519)&gt;0,1,0))</f>
        <v>0</v>
      </c>
      <c r="O6519" s="16">
        <f>IF($A6519&lt;Notes!$B$5,"",IF(COUNTIFS(Release_Calendar!$A$2:$A$755,"NZ_LABOUR",Release_Calendar!$B$2:$B$755,$A6519)&gt;0,1,0))</f>
        <v>0</v>
      </c>
      <c r="P6519" s="16">
        <f t="shared" si="4"/>
        <v>0</v>
      </c>
    </row>
    <row r="6520" ht="15.75" customHeight="1">
      <c r="A6520" s="14">
        <v>45652.0</v>
      </c>
      <c r="B6520" s="15">
        <v>4.3</v>
      </c>
      <c r="C6520" s="15"/>
      <c r="D6520" s="15"/>
      <c r="E6520" s="15"/>
      <c r="F6520" s="15" t="str">
        <f t="shared" si="1"/>
        <v/>
      </c>
      <c r="G6520" s="15" t="str">
        <f t="shared" si="2"/>
        <v/>
      </c>
      <c r="H6520" s="16">
        <v>0.0</v>
      </c>
      <c r="I6520" s="15" t="str">
        <f t="shared" si="3"/>
        <v/>
      </c>
      <c r="J6520" s="15">
        <v>14.73</v>
      </c>
      <c r="K6520" s="16">
        <f>IF(COUNTIFS(Release_Calendar!$A$2:$A$755,"US_CPI",Release_Calendar!$B$2:$B$755,$A6520)&gt;0,1,0)</f>
        <v>0</v>
      </c>
      <c r="L6520" s="16">
        <f>IF(COUNTIFS(Release_Calendar!$A$2:$A$755,"US_NFP",Release_Calendar!$B$2:$B$755,$A6520)&gt;0,1,0)</f>
        <v>0</v>
      </c>
      <c r="M6520" s="16">
        <f>IF($A6520&lt;Notes!$B$5,"",IF(COUNTIFS(Release_Calendar!$A$2:$A$755,"NZ_CPI",Release_Calendar!$B$2:$B$755,$A6520)&gt;0,1,0))</f>
        <v>0</v>
      </c>
      <c r="N6520" s="16">
        <f>IF($A6520&lt;Notes!$B$5,"",IF(COUNTIFS(Release_Calendar!$A$2:$A$755,"NZ_GDP",Release_Calendar!$B$2:$B$755,$A6520)&gt;0,1,0))</f>
        <v>0</v>
      </c>
      <c r="O6520" s="16">
        <f>IF($A6520&lt;Notes!$B$5,"",IF(COUNTIFS(Release_Calendar!$A$2:$A$755,"NZ_LABOUR",Release_Calendar!$B$2:$B$755,$A6520)&gt;0,1,0))</f>
        <v>0</v>
      </c>
      <c r="P6520" s="16">
        <f t="shared" si="4"/>
        <v>0</v>
      </c>
    </row>
    <row r="6521" ht="15.75" customHeight="1">
      <c r="A6521" s="14">
        <v>45653.0</v>
      </c>
      <c r="B6521" s="15">
        <v>4.31</v>
      </c>
      <c r="C6521" s="15">
        <v>3.38</v>
      </c>
      <c r="D6521" s="15"/>
      <c r="E6521" s="15">
        <v>3.57</v>
      </c>
      <c r="F6521" s="15">
        <f t="shared" si="1"/>
        <v>-0.93</v>
      </c>
      <c r="G6521" s="15">
        <f t="shared" si="2"/>
        <v>3.38</v>
      </c>
      <c r="H6521" s="16">
        <v>0.0</v>
      </c>
      <c r="I6521" s="15">
        <f t="shared" si="3"/>
        <v>-0.93</v>
      </c>
      <c r="J6521" s="15">
        <v>15.95</v>
      </c>
      <c r="K6521" s="16">
        <f>IF(COUNTIFS(Release_Calendar!$A$2:$A$755,"US_CPI",Release_Calendar!$B$2:$B$755,$A6521)&gt;0,1,0)</f>
        <v>0</v>
      </c>
      <c r="L6521" s="16">
        <f>IF(COUNTIFS(Release_Calendar!$A$2:$A$755,"US_NFP",Release_Calendar!$B$2:$B$755,$A6521)&gt;0,1,0)</f>
        <v>0</v>
      </c>
      <c r="M6521" s="16">
        <f>IF($A6521&lt;Notes!$B$5,"",IF(COUNTIFS(Release_Calendar!$A$2:$A$755,"NZ_CPI",Release_Calendar!$B$2:$B$755,$A6521)&gt;0,1,0))</f>
        <v>0</v>
      </c>
      <c r="N6521" s="16">
        <f>IF($A6521&lt;Notes!$B$5,"",IF(COUNTIFS(Release_Calendar!$A$2:$A$755,"NZ_GDP",Release_Calendar!$B$2:$B$755,$A6521)&gt;0,1,0))</f>
        <v>0</v>
      </c>
      <c r="O6521" s="16">
        <f>IF($A6521&lt;Notes!$B$5,"",IF(COUNTIFS(Release_Calendar!$A$2:$A$755,"NZ_LABOUR",Release_Calendar!$B$2:$B$755,$A6521)&gt;0,1,0))</f>
        <v>0</v>
      </c>
      <c r="P6521" s="16">
        <f t="shared" si="4"/>
        <v>0</v>
      </c>
    </row>
    <row r="6522" ht="15.75" customHeight="1">
      <c r="A6522" s="14">
        <v>45656.0</v>
      </c>
      <c r="B6522" s="15">
        <v>4.24</v>
      </c>
      <c r="C6522" s="15">
        <v>3.42</v>
      </c>
      <c r="D6522" s="15"/>
      <c r="E6522" s="15">
        <v>3.62</v>
      </c>
      <c r="F6522" s="15">
        <f t="shared" si="1"/>
        <v>-0.82</v>
      </c>
      <c r="G6522" s="15">
        <f t="shared" si="2"/>
        <v>3.42</v>
      </c>
      <c r="H6522" s="16">
        <v>0.0</v>
      </c>
      <c r="I6522" s="15">
        <f t="shared" si="3"/>
        <v>-0.82</v>
      </c>
      <c r="J6522" s="15">
        <v>17.4</v>
      </c>
      <c r="K6522" s="16">
        <f>IF(COUNTIFS(Release_Calendar!$A$2:$A$755,"US_CPI",Release_Calendar!$B$2:$B$755,$A6522)&gt;0,1,0)</f>
        <v>0</v>
      </c>
      <c r="L6522" s="16">
        <f>IF(COUNTIFS(Release_Calendar!$A$2:$A$755,"US_NFP",Release_Calendar!$B$2:$B$755,$A6522)&gt;0,1,0)</f>
        <v>0</v>
      </c>
      <c r="M6522" s="16">
        <f>IF($A6522&lt;Notes!$B$5,"",IF(COUNTIFS(Release_Calendar!$A$2:$A$755,"NZ_CPI",Release_Calendar!$B$2:$B$755,$A6522)&gt;0,1,0))</f>
        <v>0</v>
      </c>
      <c r="N6522" s="16">
        <f>IF($A6522&lt;Notes!$B$5,"",IF(COUNTIFS(Release_Calendar!$A$2:$A$755,"NZ_GDP",Release_Calendar!$B$2:$B$755,$A6522)&gt;0,1,0))</f>
        <v>0</v>
      </c>
      <c r="O6522" s="16">
        <f>IF($A6522&lt;Notes!$B$5,"",IF(COUNTIFS(Release_Calendar!$A$2:$A$755,"NZ_LABOUR",Release_Calendar!$B$2:$B$755,$A6522)&gt;0,1,0))</f>
        <v>0</v>
      </c>
      <c r="P6522" s="16">
        <f t="shared" si="4"/>
        <v>0</v>
      </c>
    </row>
    <row r="6523" ht="15.75" customHeight="1">
      <c r="A6523" s="14">
        <v>45657.0</v>
      </c>
      <c r="B6523" s="15">
        <v>4.25</v>
      </c>
      <c r="C6523" s="15">
        <v>3.37</v>
      </c>
      <c r="D6523" s="15"/>
      <c r="E6523" s="15">
        <v>3.54</v>
      </c>
      <c r="F6523" s="15">
        <f t="shared" si="1"/>
        <v>-0.88</v>
      </c>
      <c r="G6523" s="15">
        <f t="shared" si="2"/>
        <v>3.37</v>
      </c>
      <c r="H6523" s="16">
        <v>0.0</v>
      </c>
      <c r="I6523" s="15">
        <f t="shared" si="3"/>
        <v>-0.88</v>
      </c>
      <c r="J6523" s="15">
        <v>17.35</v>
      </c>
      <c r="K6523" s="16">
        <f>IF(COUNTIFS(Release_Calendar!$A$2:$A$755,"US_CPI",Release_Calendar!$B$2:$B$755,$A6523)&gt;0,1,0)</f>
        <v>0</v>
      </c>
      <c r="L6523" s="16">
        <f>IF(COUNTIFS(Release_Calendar!$A$2:$A$755,"US_NFP",Release_Calendar!$B$2:$B$755,$A6523)&gt;0,1,0)</f>
        <v>0</v>
      </c>
      <c r="M6523" s="16">
        <f>IF($A6523&lt;Notes!$B$5,"",IF(COUNTIFS(Release_Calendar!$A$2:$A$755,"NZ_CPI",Release_Calendar!$B$2:$B$755,$A6523)&gt;0,1,0))</f>
        <v>0</v>
      </c>
      <c r="N6523" s="16">
        <f>IF($A6523&lt;Notes!$B$5,"",IF(COUNTIFS(Release_Calendar!$A$2:$A$755,"NZ_GDP",Release_Calendar!$B$2:$B$755,$A6523)&gt;0,1,0))</f>
        <v>0</v>
      </c>
      <c r="O6523" s="16">
        <f>IF($A6523&lt;Notes!$B$5,"",IF(COUNTIFS(Release_Calendar!$A$2:$A$755,"NZ_LABOUR",Release_Calendar!$B$2:$B$755,$A6523)&gt;0,1,0))</f>
        <v>0</v>
      </c>
      <c r="P6523" s="16">
        <f t="shared" si="4"/>
        <v>0</v>
      </c>
    </row>
    <row r="6524" ht="15.75" customHeight="1">
      <c r="A6524" s="14">
        <v>45658.0</v>
      </c>
      <c r="B6524" s="15"/>
      <c r="C6524" s="15"/>
      <c r="D6524" s="15"/>
      <c r="E6524" s="15"/>
      <c r="F6524" s="15" t="str">
        <f t="shared" si="1"/>
        <v/>
      </c>
      <c r="G6524" s="15" t="str">
        <f t="shared" si="2"/>
        <v/>
      </c>
      <c r="H6524" s="16">
        <v>0.0</v>
      </c>
      <c r="I6524" s="15" t="str">
        <f t="shared" si="3"/>
        <v/>
      </c>
      <c r="J6524" s="15"/>
      <c r="K6524" s="16">
        <f>IF(COUNTIFS(Release_Calendar!$A$2:$A$755,"US_CPI",Release_Calendar!$B$2:$B$755,$A6524)&gt;0,1,0)</f>
        <v>0</v>
      </c>
      <c r="L6524" s="16">
        <f>IF(COUNTIFS(Release_Calendar!$A$2:$A$755,"US_NFP",Release_Calendar!$B$2:$B$755,$A6524)&gt;0,1,0)</f>
        <v>0</v>
      </c>
      <c r="M6524" s="16">
        <f>IF($A6524&lt;Notes!$B$5,"",IF(COUNTIFS(Release_Calendar!$A$2:$A$755,"NZ_CPI",Release_Calendar!$B$2:$B$755,$A6524)&gt;0,1,0))</f>
        <v>0</v>
      </c>
      <c r="N6524" s="16">
        <f>IF($A6524&lt;Notes!$B$5,"",IF(COUNTIFS(Release_Calendar!$A$2:$A$755,"NZ_GDP",Release_Calendar!$B$2:$B$755,$A6524)&gt;0,1,0))</f>
        <v>0</v>
      </c>
      <c r="O6524" s="16">
        <f>IF($A6524&lt;Notes!$B$5,"",IF(COUNTIFS(Release_Calendar!$A$2:$A$755,"NZ_LABOUR",Release_Calendar!$B$2:$B$755,$A6524)&gt;0,1,0))</f>
        <v>0</v>
      </c>
      <c r="P6524" s="16">
        <f t="shared" si="4"/>
        <v>0</v>
      </c>
    </row>
    <row r="6525" ht="15.75" customHeight="1">
      <c r="A6525" s="14">
        <v>45659.0</v>
      </c>
      <c r="B6525" s="15">
        <v>4.25</v>
      </c>
      <c r="C6525" s="15"/>
      <c r="D6525" s="15"/>
      <c r="E6525" s="15"/>
      <c r="F6525" s="15" t="str">
        <f t="shared" si="1"/>
        <v/>
      </c>
      <c r="G6525" s="15" t="str">
        <f t="shared" si="2"/>
        <v/>
      </c>
      <c r="H6525" s="16">
        <v>0.0</v>
      </c>
      <c r="I6525" s="15" t="str">
        <f t="shared" si="3"/>
        <v/>
      </c>
      <c r="J6525" s="15">
        <v>17.93</v>
      </c>
      <c r="K6525" s="16">
        <f>IF(COUNTIFS(Release_Calendar!$A$2:$A$755,"US_CPI",Release_Calendar!$B$2:$B$755,$A6525)&gt;0,1,0)</f>
        <v>0</v>
      </c>
      <c r="L6525" s="16">
        <f>IF(COUNTIFS(Release_Calendar!$A$2:$A$755,"US_NFP",Release_Calendar!$B$2:$B$755,$A6525)&gt;0,1,0)</f>
        <v>0</v>
      </c>
      <c r="M6525" s="16">
        <f>IF($A6525&lt;Notes!$B$5,"",IF(COUNTIFS(Release_Calendar!$A$2:$A$755,"NZ_CPI",Release_Calendar!$B$2:$B$755,$A6525)&gt;0,1,0))</f>
        <v>0</v>
      </c>
      <c r="N6525" s="16">
        <f>IF($A6525&lt;Notes!$B$5,"",IF(COUNTIFS(Release_Calendar!$A$2:$A$755,"NZ_GDP",Release_Calendar!$B$2:$B$755,$A6525)&gt;0,1,0))</f>
        <v>0</v>
      </c>
      <c r="O6525" s="16">
        <f>IF($A6525&lt;Notes!$B$5,"",IF(COUNTIFS(Release_Calendar!$A$2:$A$755,"NZ_LABOUR",Release_Calendar!$B$2:$B$755,$A6525)&gt;0,1,0))</f>
        <v>0</v>
      </c>
      <c r="P6525" s="16">
        <f t="shared" si="4"/>
        <v>0</v>
      </c>
    </row>
    <row r="6526" ht="15.75" customHeight="1">
      <c r="A6526" s="14">
        <v>45660.0</v>
      </c>
      <c r="B6526" s="15">
        <v>4.28</v>
      </c>
      <c r="C6526" s="15">
        <v>3.38</v>
      </c>
      <c r="D6526" s="15"/>
      <c r="E6526" s="15">
        <v>3.52</v>
      </c>
      <c r="F6526" s="15">
        <f t="shared" si="1"/>
        <v>-0.9</v>
      </c>
      <c r="G6526" s="15">
        <f t="shared" si="2"/>
        <v>3.38</v>
      </c>
      <c r="H6526" s="16">
        <v>0.0</v>
      </c>
      <c r="I6526" s="15">
        <f t="shared" si="3"/>
        <v>-0.9</v>
      </c>
      <c r="J6526" s="15">
        <v>16.13</v>
      </c>
      <c r="K6526" s="16">
        <f>IF(COUNTIFS(Release_Calendar!$A$2:$A$755,"US_CPI",Release_Calendar!$B$2:$B$755,$A6526)&gt;0,1,0)</f>
        <v>0</v>
      </c>
      <c r="L6526" s="16">
        <f>IF(COUNTIFS(Release_Calendar!$A$2:$A$755,"US_NFP",Release_Calendar!$B$2:$B$755,$A6526)&gt;0,1,0)</f>
        <v>0</v>
      </c>
      <c r="M6526" s="16">
        <f>IF($A6526&lt;Notes!$B$5,"",IF(COUNTIFS(Release_Calendar!$A$2:$A$755,"NZ_CPI",Release_Calendar!$B$2:$B$755,$A6526)&gt;0,1,0))</f>
        <v>0</v>
      </c>
      <c r="N6526" s="16">
        <f>IF($A6526&lt;Notes!$B$5,"",IF(COUNTIFS(Release_Calendar!$A$2:$A$755,"NZ_GDP",Release_Calendar!$B$2:$B$755,$A6526)&gt;0,1,0))</f>
        <v>0</v>
      </c>
      <c r="O6526" s="16">
        <f>IF($A6526&lt;Notes!$B$5,"",IF(COUNTIFS(Release_Calendar!$A$2:$A$755,"NZ_LABOUR",Release_Calendar!$B$2:$B$755,$A6526)&gt;0,1,0))</f>
        <v>0</v>
      </c>
      <c r="P6526" s="16">
        <f t="shared" si="4"/>
        <v>0</v>
      </c>
    </row>
    <row r="6527" ht="15.75" customHeight="1">
      <c r="A6527" s="14">
        <v>45663.0</v>
      </c>
      <c r="B6527" s="15">
        <v>4.28</v>
      </c>
      <c r="C6527" s="15">
        <v>3.41</v>
      </c>
      <c r="D6527" s="15"/>
      <c r="E6527" s="15">
        <v>3.57</v>
      </c>
      <c r="F6527" s="15">
        <f t="shared" si="1"/>
        <v>-0.87</v>
      </c>
      <c r="G6527" s="15">
        <f t="shared" si="2"/>
        <v>3.41</v>
      </c>
      <c r="H6527" s="16">
        <v>0.0</v>
      </c>
      <c r="I6527" s="15">
        <f t="shared" si="3"/>
        <v>-0.87</v>
      </c>
      <c r="J6527" s="15">
        <v>16.04</v>
      </c>
      <c r="K6527" s="16">
        <f>IF(COUNTIFS(Release_Calendar!$A$2:$A$755,"US_CPI",Release_Calendar!$B$2:$B$755,$A6527)&gt;0,1,0)</f>
        <v>0</v>
      </c>
      <c r="L6527" s="16">
        <f>IF(COUNTIFS(Release_Calendar!$A$2:$A$755,"US_NFP",Release_Calendar!$B$2:$B$755,$A6527)&gt;0,1,0)</f>
        <v>0</v>
      </c>
      <c r="M6527" s="16">
        <f>IF($A6527&lt;Notes!$B$5,"",IF(COUNTIFS(Release_Calendar!$A$2:$A$755,"NZ_CPI",Release_Calendar!$B$2:$B$755,$A6527)&gt;0,1,0))</f>
        <v>0</v>
      </c>
      <c r="N6527" s="16">
        <f>IF($A6527&lt;Notes!$B$5,"",IF(COUNTIFS(Release_Calendar!$A$2:$A$755,"NZ_GDP",Release_Calendar!$B$2:$B$755,$A6527)&gt;0,1,0))</f>
        <v>0</v>
      </c>
      <c r="O6527" s="16">
        <f>IF($A6527&lt;Notes!$B$5,"",IF(COUNTIFS(Release_Calendar!$A$2:$A$755,"NZ_LABOUR",Release_Calendar!$B$2:$B$755,$A6527)&gt;0,1,0))</f>
        <v>0</v>
      </c>
      <c r="P6527" s="16">
        <f t="shared" si="4"/>
        <v>0</v>
      </c>
    </row>
    <row r="6528" ht="15.75" customHeight="1">
      <c r="A6528" s="14">
        <v>45664.0</v>
      </c>
      <c r="B6528" s="15">
        <v>4.3</v>
      </c>
      <c r="C6528" s="15">
        <v>3.41</v>
      </c>
      <c r="D6528" s="15"/>
      <c r="E6528" s="15">
        <v>3.58</v>
      </c>
      <c r="F6528" s="15">
        <f t="shared" si="1"/>
        <v>-0.89</v>
      </c>
      <c r="G6528" s="15">
        <f t="shared" si="2"/>
        <v>3.41</v>
      </c>
      <c r="H6528" s="16">
        <v>0.0</v>
      </c>
      <c r="I6528" s="15">
        <f t="shared" si="3"/>
        <v>-0.89</v>
      </c>
      <c r="J6528" s="15">
        <v>17.82</v>
      </c>
      <c r="K6528" s="16">
        <f>IF(COUNTIFS(Release_Calendar!$A$2:$A$755,"US_CPI",Release_Calendar!$B$2:$B$755,$A6528)&gt;0,1,0)</f>
        <v>0</v>
      </c>
      <c r="L6528" s="16">
        <f>IF(COUNTIFS(Release_Calendar!$A$2:$A$755,"US_NFP",Release_Calendar!$B$2:$B$755,$A6528)&gt;0,1,0)</f>
        <v>0</v>
      </c>
      <c r="M6528" s="16">
        <f>IF($A6528&lt;Notes!$B$5,"",IF(COUNTIFS(Release_Calendar!$A$2:$A$755,"NZ_CPI",Release_Calendar!$B$2:$B$755,$A6528)&gt;0,1,0))</f>
        <v>0</v>
      </c>
      <c r="N6528" s="16">
        <f>IF($A6528&lt;Notes!$B$5,"",IF(COUNTIFS(Release_Calendar!$A$2:$A$755,"NZ_GDP",Release_Calendar!$B$2:$B$755,$A6528)&gt;0,1,0))</f>
        <v>0</v>
      </c>
      <c r="O6528" s="16">
        <f>IF($A6528&lt;Notes!$B$5,"",IF(COUNTIFS(Release_Calendar!$A$2:$A$755,"NZ_LABOUR",Release_Calendar!$B$2:$B$755,$A6528)&gt;0,1,0))</f>
        <v>0</v>
      </c>
      <c r="P6528" s="16">
        <f t="shared" si="4"/>
        <v>0</v>
      </c>
    </row>
    <row r="6529" ht="15.75" customHeight="1">
      <c r="A6529" s="14">
        <v>45665.0</v>
      </c>
      <c r="B6529" s="15">
        <v>4.28</v>
      </c>
      <c r="C6529" s="15">
        <v>3.42</v>
      </c>
      <c r="D6529" s="15"/>
      <c r="E6529" s="15">
        <v>3.63</v>
      </c>
      <c r="F6529" s="15">
        <f t="shared" si="1"/>
        <v>-0.86</v>
      </c>
      <c r="G6529" s="15">
        <f t="shared" si="2"/>
        <v>3.42</v>
      </c>
      <c r="H6529" s="16">
        <v>0.0</v>
      </c>
      <c r="I6529" s="15">
        <f t="shared" si="3"/>
        <v>-0.86</v>
      </c>
      <c r="J6529" s="15">
        <v>17.7</v>
      </c>
      <c r="K6529" s="16">
        <f>IF(COUNTIFS(Release_Calendar!$A$2:$A$755,"US_CPI",Release_Calendar!$B$2:$B$755,$A6529)&gt;0,1,0)</f>
        <v>0</v>
      </c>
      <c r="L6529" s="16">
        <f>IF(COUNTIFS(Release_Calendar!$A$2:$A$755,"US_NFP",Release_Calendar!$B$2:$B$755,$A6529)&gt;0,1,0)</f>
        <v>0</v>
      </c>
      <c r="M6529" s="16">
        <f>IF($A6529&lt;Notes!$B$5,"",IF(COUNTIFS(Release_Calendar!$A$2:$A$755,"NZ_CPI",Release_Calendar!$B$2:$B$755,$A6529)&gt;0,1,0))</f>
        <v>0</v>
      </c>
      <c r="N6529" s="16">
        <f>IF($A6529&lt;Notes!$B$5,"",IF(COUNTIFS(Release_Calendar!$A$2:$A$755,"NZ_GDP",Release_Calendar!$B$2:$B$755,$A6529)&gt;0,1,0))</f>
        <v>0</v>
      </c>
      <c r="O6529" s="16">
        <f>IF($A6529&lt;Notes!$B$5,"",IF(COUNTIFS(Release_Calendar!$A$2:$A$755,"NZ_LABOUR",Release_Calendar!$B$2:$B$755,$A6529)&gt;0,1,0))</f>
        <v>0</v>
      </c>
      <c r="P6529" s="16">
        <f t="shared" si="4"/>
        <v>0</v>
      </c>
    </row>
    <row r="6530" ht="15.75" customHeight="1">
      <c r="A6530" s="14">
        <v>45666.0</v>
      </c>
      <c r="B6530" s="15">
        <v>4.27</v>
      </c>
      <c r="C6530" s="15">
        <v>3.39</v>
      </c>
      <c r="D6530" s="15"/>
      <c r="E6530" s="15">
        <v>3.61</v>
      </c>
      <c r="F6530" s="15">
        <f t="shared" si="1"/>
        <v>-0.88</v>
      </c>
      <c r="G6530" s="15">
        <f t="shared" si="2"/>
        <v>3.39</v>
      </c>
      <c r="H6530" s="16">
        <v>0.0</v>
      </c>
      <c r="I6530" s="15">
        <f t="shared" si="3"/>
        <v>-0.88</v>
      </c>
      <c r="J6530" s="15">
        <v>18.07</v>
      </c>
      <c r="K6530" s="16">
        <f>IF(COUNTIFS(Release_Calendar!$A$2:$A$755,"US_CPI",Release_Calendar!$B$2:$B$755,$A6530)&gt;0,1,0)</f>
        <v>0</v>
      </c>
      <c r="L6530" s="16">
        <f>IF(COUNTIFS(Release_Calendar!$A$2:$A$755,"US_NFP",Release_Calendar!$B$2:$B$755,$A6530)&gt;0,1,0)</f>
        <v>0</v>
      </c>
      <c r="M6530" s="16">
        <f>IF($A6530&lt;Notes!$B$5,"",IF(COUNTIFS(Release_Calendar!$A$2:$A$755,"NZ_CPI",Release_Calendar!$B$2:$B$755,$A6530)&gt;0,1,0))</f>
        <v>0</v>
      </c>
      <c r="N6530" s="16">
        <f>IF($A6530&lt;Notes!$B$5,"",IF(COUNTIFS(Release_Calendar!$A$2:$A$755,"NZ_GDP",Release_Calendar!$B$2:$B$755,$A6530)&gt;0,1,0))</f>
        <v>0</v>
      </c>
      <c r="O6530" s="16">
        <f>IF($A6530&lt;Notes!$B$5,"",IF(COUNTIFS(Release_Calendar!$A$2:$A$755,"NZ_LABOUR",Release_Calendar!$B$2:$B$755,$A6530)&gt;0,1,0))</f>
        <v>0</v>
      </c>
      <c r="P6530" s="16">
        <f t="shared" si="4"/>
        <v>0</v>
      </c>
    </row>
    <row r="6531" ht="15.75" customHeight="1">
      <c r="A6531" s="14">
        <v>45667.0</v>
      </c>
      <c r="B6531" s="15">
        <v>4.4</v>
      </c>
      <c r="C6531" s="15">
        <v>3.37</v>
      </c>
      <c r="D6531" s="15"/>
      <c r="E6531" s="15">
        <v>3.59</v>
      </c>
      <c r="F6531" s="15">
        <f t="shared" si="1"/>
        <v>-1.03</v>
      </c>
      <c r="G6531" s="15">
        <f t="shared" si="2"/>
        <v>3.37</v>
      </c>
      <c r="H6531" s="16">
        <v>0.0</v>
      </c>
      <c r="I6531" s="15">
        <f t="shared" si="3"/>
        <v>-1.03</v>
      </c>
      <c r="J6531" s="15">
        <v>19.54</v>
      </c>
      <c r="K6531" s="16">
        <f>IF(COUNTIFS(Release_Calendar!$A$2:$A$755,"US_CPI",Release_Calendar!$B$2:$B$755,$A6531)&gt;0,1,0)</f>
        <v>0</v>
      </c>
      <c r="L6531" s="16">
        <f>IF(COUNTIFS(Release_Calendar!$A$2:$A$755,"US_NFP",Release_Calendar!$B$2:$B$755,$A6531)&gt;0,1,0)</f>
        <v>1</v>
      </c>
      <c r="M6531" s="16">
        <f>IF($A6531&lt;Notes!$B$5,"",IF(COUNTIFS(Release_Calendar!$A$2:$A$755,"NZ_CPI",Release_Calendar!$B$2:$B$755,$A6531)&gt;0,1,0))</f>
        <v>0</v>
      </c>
      <c r="N6531" s="16">
        <f>IF($A6531&lt;Notes!$B$5,"",IF(COUNTIFS(Release_Calendar!$A$2:$A$755,"NZ_GDP",Release_Calendar!$B$2:$B$755,$A6531)&gt;0,1,0))</f>
        <v>0</v>
      </c>
      <c r="O6531" s="16">
        <f>IF($A6531&lt;Notes!$B$5,"",IF(COUNTIFS(Release_Calendar!$A$2:$A$755,"NZ_LABOUR",Release_Calendar!$B$2:$B$755,$A6531)&gt;0,1,0))</f>
        <v>0</v>
      </c>
      <c r="P6531" s="16">
        <f t="shared" si="4"/>
        <v>1</v>
      </c>
    </row>
    <row r="6532" ht="15.75" customHeight="1">
      <c r="A6532" s="14">
        <v>45670.0</v>
      </c>
      <c r="B6532" s="15">
        <v>4.4</v>
      </c>
      <c r="C6532" s="15">
        <v>3.45</v>
      </c>
      <c r="D6532" s="15"/>
      <c r="E6532" s="15">
        <v>3.66</v>
      </c>
      <c r="F6532" s="15">
        <f t="shared" si="1"/>
        <v>-0.95</v>
      </c>
      <c r="G6532" s="15">
        <f t="shared" si="2"/>
        <v>3.45</v>
      </c>
      <c r="H6532" s="16">
        <v>0.0</v>
      </c>
      <c r="I6532" s="15">
        <f t="shared" si="3"/>
        <v>-0.95</v>
      </c>
      <c r="J6532" s="15">
        <v>19.19</v>
      </c>
      <c r="K6532" s="16">
        <f>IF(COUNTIFS(Release_Calendar!$A$2:$A$755,"US_CPI",Release_Calendar!$B$2:$B$755,$A6532)&gt;0,1,0)</f>
        <v>0</v>
      </c>
      <c r="L6532" s="16">
        <f>IF(COUNTIFS(Release_Calendar!$A$2:$A$755,"US_NFP",Release_Calendar!$B$2:$B$755,$A6532)&gt;0,1,0)</f>
        <v>0</v>
      </c>
      <c r="M6532" s="16">
        <f>IF($A6532&lt;Notes!$B$5,"",IF(COUNTIFS(Release_Calendar!$A$2:$A$755,"NZ_CPI",Release_Calendar!$B$2:$B$755,$A6532)&gt;0,1,0))</f>
        <v>0</v>
      </c>
      <c r="N6532" s="16">
        <f>IF($A6532&lt;Notes!$B$5,"",IF(COUNTIFS(Release_Calendar!$A$2:$A$755,"NZ_GDP",Release_Calendar!$B$2:$B$755,$A6532)&gt;0,1,0))</f>
        <v>0</v>
      </c>
      <c r="O6532" s="16">
        <f>IF($A6532&lt;Notes!$B$5,"",IF(COUNTIFS(Release_Calendar!$A$2:$A$755,"NZ_LABOUR",Release_Calendar!$B$2:$B$755,$A6532)&gt;0,1,0))</f>
        <v>0</v>
      </c>
      <c r="P6532" s="16">
        <f t="shared" si="4"/>
        <v>0</v>
      </c>
    </row>
    <row r="6533" ht="15.75" customHeight="1">
      <c r="A6533" s="14">
        <v>45671.0</v>
      </c>
      <c r="B6533" s="15">
        <v>4.37</v>
      </c>
      <c r="C6533" s="15">
        <v>3.57</v>
      </c>
      <c r="D6533" s="15"/>
      <c r="E6533" s="15">
        <v>3.76</v>
      </c>
      <c r="F6533" s="15">
        <f t="shared" si="1"/>
        <v>-0.8</v>
      </c>
      <c r="G6533" s="15">
        <f t="shared" si="2"/>
        <v>3.57</v>
      </c>
      <c r="H6533" s="16">
        <v>0.0</v>
      </c>
      <c r="I6533" s="15">
        <f t="shared" si="3"/>
        <v>-0.8</v>
      </c>
      <c r="J6533" s="15">
        <v>18.71</v>
      </c>
      <c r="K6533" s="16">
        <f>IF(COUNTIFS(Release_Calendar!$A$2:$A$755,"US_CPI",Release_Calendar!$B$2:$B$755,$A6533)&gt;0,1,0)</f>
        <v>0</v>
      </c>
      <c r="L6533" s="16">
        <f>IF(COUNTIFS(Release_Calendar!$A$2:$A$755,"US_NFP",Release_Calendar!$B$2:$B$755,$A6533)&gt;0,1,0)</f>
        <v>0</v>
      </c>
      <c r="M6533" s="16">
        <f>IF($A6533&lt;Notes!$B$5,"",IF(COUNTIFS(Release_Calendar!$A$2:$A$755,"NZ_CPI",Release_Calendar!$B$2:$B$755,$A6533)&gt;0,1,0))</f>
        <v>0</v>
      </c>
      <c r="N6533" s="16">
        <f>IF($A6533&lt;Notes!$B$5,"",IF(COUNTIFS(Release_Calendar!$A$2:$A$755,"NZ_GDP",Release_Calendar!$B$2:$B$755,$A6533)&gt;0,1,0))</f>
        <v>0</v>
      </c>
      <c r="O6533" s="16">
        <f>IF($A6533&lt;Notes!$B$5,"",IF(COUNTIFS(Release_Calendar!$A$2:$A$755,"NZ_LABOUR",Release_Calendar!$B$2:$B$755,$A6533)&gt;0,1,0))</f>
        <v>0</v>
      </c>
      <c r="P6533" s="16">
        <f t="shared" si="4"/>
        <v>0</v>
      </c>
    </row>
    <row r="6534" ht="15.75" customHeight="1">
      <c r="A6534" s="14">
        <v>45672.0</v>
      </c>
      <c r="B6534" s="15">
        <v>4.27</v>
      </c>
      <c r="C6534" s="15">
        <v>3.65</v>
      </c>
      <c r="D6534" s="15"/>
      <c r="E6534" s="15">
        <v>3.8</v>
      </c>
      <c r="F6534" s="15">
        <f t="shared" si="1"/>
        <v>-0.62</v>
      </c>
      <c r="G6534" s="15">
        <f t="shared" si="2"/>
        <v>3.65</v>
      </c>
      <c r="H6534" s="16">
        <v>0.0</v>
      </c>
      <c r="I6534" s="15">
        <f t="shared" si="3"/>
        <v>-0.62</v>
      </c>
      <c r="J6534" s="15">
        <v>16.12</v>
      </c>
      <c r="K6534" s="16">
        <f>IF(COUNTIFS(Release_Calendar!$A$2:$A$755,"US_CPI",Release_Calendar!$B$2:$B$755,$A6534)&gt;0,1,0)</f>
        <v>1</v>
      </c>
      <c r="L6534" s="16">
        <f>IF(COUNTIFS(Release_Calendar!$A$2:$A$755,"US_NFP",Release_Calendar!$B$2:$B$755,$A6534)&gt;0,1,0)</f>
        <v>0</v>
      </c>
      <c r="M6534" s="16">
        <f>IF($A6534&lt;Notes!$B$5,"",IF(COUNTIFS(Release_Calendar!$A$2:$A$755,"NZ_CPI",Release_Calendar!$B$2:$B$755,$A6534)&gt;0,1,0))</f>
        <v>0</v>
      </c>
      <c r="N6534" s="16">
        <f>IF($A6534&lt;Notes!$B$5,"",IF(COUNTIFS(Release_Calendar!$A$2:$A$755,"NZ_GDP",Release_Calendar!$B$2:$B$755,$A6534)&gt;0,1,0))</f>
        <v>0</v>
      </c>
      <c r="O6534" s="16">
        <f>IF($A6534&lt;Notes!$B$5,"",IF(COUNTIFS(Release_Calendar!$A$2:$A$755,"NZ_LABOUR",Release_Calendar!$B$2:$B$755,$A6534)&gt;0,1,0))</f>
        <v>0</v>
      </c>
      <c r="P6534" s="16">
        <f t="shared" si="4"/>
        <v>1</v>
      </c>
    </row>
    <row r="6535" ht="15.75" customHeight="1">
      <c r="A6535" s="14">
        <v>45673.0</v>
      </c>
      <c r="B6535" s="15">
        <v>4.23</v>
      </c>
      <c r="C6535" s="15">
        <v>3.61</v>
      </c>
      <c r="D6535" s="15"/>
      <c r="E6535" s="15">
        <v>3.74</v>
      </c>
      <c r="F6535" s="15">
        <f t="shared" si="1"/>
        <v>-0.62</v>
      </c>
      <c r="G6535" s="15">
        <f t="shared" si="2"/>
        <v>3.61</v>
      </c>
      <c r="H6535" s="16">
        <v>0.0</v>
      </c>
      <c r="I6535" s="15">
        <f t="shared" si="3"/>
        <v>-0.62</v>
      </c>
      <c r="J6535" s="15">
        <v>16.6</v>
      </c>
      <c r="K6535" s="16">
        <f>IF(COUNTIFS(Release_Calendar!$A$2:$A$755,"US_CPI",Release_Calendar!$B$2:$B$755,$A6535)&gt;0,1,0)</f>
        <v>0</v>
      </c>
      <c r="L6535" s="16">
        <f>IF(COUNTIFS(Release_Calendar!$A$2:$A$755,"US_NFP",Release_Calendar!$B$2:$B$755,$A6535)&gt;0,1,0)</f>
        <v>0</v>
      </c>
      <c r="M6535" s="16">
        <f>IF($A6535&lt;Notes!$B$5,"",IF(COUNTIFS(Release_Calendar!$A$2:$A$755,"NZ_CPI",Release_Calendar!$B$2:$B$755,$A6535)&gt;0,1,0))</f>
        <v>0</v>
      </c>
      <c r="N6535" s="16">
        <f>IF($A6535&lt;Notes!$B$5,"",IF(COUNTIFS(Release_Calendar!$A$2:$A$755,"NZ_GDP",Release_Calendar!$B$2:$B$755,$A6535)&gt;0,1,0))</f>
        <v>0</v>
      </c>
      <c r="O6535" s="16">
        <f>IF($A6535&lt;Notes!$B$5,"",IF(COUNTIFS(Release_Calendar!$A$2:$A$755,"NZ_LABOUR",Release_Calendar!$B$2:$B$755,$A6535)&gt;0,1,0))</f>
        <v>0</v>
      </c>
      <c r="P6535" s="16">
        <f t="shared" si="4"/>
        <v>0</v>
      </c>
    </row>
    <row r="6536" ht="15.75" customHeight="1">
      <c r="A6536" s="14">
        <v>45674.0</v>
      </c>
      <c r="B6536" s="15">
        <v>4.27</v>
      </c>
      <c r="C6536" s="15">
        <v>3.61</v>
      </c>
      <c r="D6536" s="15"/>
      <c r="E6536" s="15">
        <v>3.76</v>
      </c>
      <c r="F6536" s="15">
        <f t="shared" si="1"/>
        <v>-0.66</v>
      </c>
      <c r="G6536" s="15">
        <f t="shared" si="2"/>
        <v>3.61</v>
      </c>
      <c r="H6536" s="16">
        <v>0.0</v>
      </c>
      <c r="I6536" s="15">
        <f t="shared" si="3"/>
        <v>-0.66</v>
      </c>
      <c r="J6536" s="15">
        <v>15.97</v>
      </c>
      <c r="K6536" s="16">
        <f>IF(COUNTIFS(Release_Calendar!$A$2:$A$755,"US_CPI",Release_Calendar!$B$2:$B$755,$A6536)&gt;0,1,0)</f>
        <v>0</v>
      </c>
      <c r="L6536" s="16">
        <f>IF(COUNTIFS(Release_Calendar!$A$2:$A$755,"US_NFP",Release_Calendar!$B$2:$B$755,$A6536)&gt;0,1,0)</f>
        <v>0</v>
      </c>
      <c r="M6536" s="16">
        <f>IF($A6536&lt;Notes!$B$5,"",IF(COUNTIFS(Release_Calendar!$A$2:$A$755,"NZ_CPI",Release_Calendar!$B$2:$B$755,$A6536)&gt;0,1,0))</f>
        <v>0</v>
      </c>
      <c r="N6536" s="16">
        <f>IF($A6536&lt;Notes!$B$5,"",IF(COUNTIFS(Release_Calendar!$A$2:$A$755,"NZ_GDP",Release_Calendar!$B$2:$B$755,$A6536)&gt;0,1,0))</f>
        <v>0</v>
      </c>
      <c r="O6536" s="16">
        <f>IF($A6536&lt;Notes!$B$5,"",IF(COUNTIFS(Release_Calendar!$A$2:$A$755,"NZ_LABOUR",Release_Calendar!$B$2:$B$755,$A6536)&gt;0,1,0))</f>
        <v>0</v>
      </c>
      <c r="P6536" s="16">
        <f t="shared" si="4"/>
        <v>0</v>
      </c>
    </row>
    <row r="6537" ht="15.75" customHeight="1">
      <c r="A6537" s="14">
        <v>45677.0</v>
      </c>
      <c r="B6537" s="15"/>
      <c r="C6537" s="15">
        <v>3.61</v>
      </c>
      <c r="D6537" s="15"/>
      <c r="E6537" s="15">
        <v>3.76</v>
      </c>
      <c r="F6537" s="15" t="str">
        <f t="shared" si="1"/>
        <v/>
      </c>
      <c r="G6537" s="15">
        <f t="shared" si="2"/>
        <v>3.61</v>
      </c>
      <c r="H6537" s="16">
        <v>0.0</v>
      </c>
      <c r="I6537" s="15" t="str">
        <f t="shared" si="3"/>
        <v/>
      </c>
      <c r="J6537" s="15">
        <v>15.81</v>
      </c>
      <c r="K6537" s="16">
        <f>IF(COUNTIFS(Release_Calendar!$A$2:$A$755,"US_CPI",Release_Calendar!$B$2:$B$755,$A6537)&gt;0,1,0)</f>
        <v>0</v>
      </c>
      <c r="L6537" s="16">
        <f>IF(COUNTIFS(Release_Calendar!$A$2:$A$755,"US_NFP",Release_Calendar!$B$2:$B$755,$A6537)&gt;0,1,0)</f>
        <v>0</v>
      </c>
      <c r="M6537" s="16">
        <f>IF($A6537&lt;Notes!$B$5,"",IF(COUNTIFS(Release_Calendar!$A$2:$A$755,"NZ_CPI",Release_Calendar!$B$2:$B$755,$A6537)&gt;0,1,0))</f>
        <v>0</v>
      </c>
      <c r="N6537" s="16">
        <f>IF($A6537&lt;Notes!$B$5,"",IF(COUNTIFS(Release_Calendar!$A$2:$A$755,"NZ_GDP",Release_Calendar!$B$2:$B$755,$A6537)&gt;0,1,0))</f>
        <v>0</v>
      </c>
      <c r="O6537" s="16">
        <f>IF($A6537&lt;Notes!$B$5,"",IF(COUNTIFS(Release_Calendar!$A$2:$A$755,"NZ_LABOUR",Release_Calendar!$B$2:$B$755,$A6537)&gt;0,1,0))</f>
        <v>0</v>
      </c>
      <c r="P6537" s="16">
        <f t="shared" si="4"/>
        <v>0</v>
      </c>
    </row>
    <row r="6538" ht="15.75" customHeight="1">
      <c r="A6538" s="14">
        <v>45678.0</v>
      </c>
      <c r="B6538" s="15">
        <v>4.29</v>
      </c>
      <c r="C6538" s="15">
        <v>3.55</v>
      </c>
      <c r="D6538" s="15"/>
      <c r="E6538" s="15">
        <v>3.7</v>
      </c>
      <c r="F6538" s="15">
        <f t="shared" si="1"/>
        <v>-0.74</v>
      </c>
      <c r="G6538" s="15">
        <f t="shared" si="2"/>
        <v>3.55</v>
      </c>
      <c r="H6538" s="16">
        <v>0.0</v>
      </c>
      <c r="I6538" s="15">
        <f t="shared" si="3"/>
        <v>-0.74</v>
      </c>
      <c r="J6538" s="15">
        <v>15.06</v>
      </c>
      <c r="K6538" s="16">
        <f>IF(COUNTIFS(Release_Calendar!$A$2:$A$755,"US_CPI",Release_Calendar!$B$2:$B$755,$A6538)&gt;0,1,0)</f>
        <v>0</v>
      </c>
      <c r="L6538" s="16">
        <f>IF(COUNTIFS(Release_Calendar!$A$2:$A$755,"US_NFP",Release_Calendar!$B$2:$B$755,$A6538)&gt;0,1,0)</f>
        <v>0</v>
      </c>
      <c r="M6538" s="16">
        <f>IF($A6538&lt;Notes!$B$5,"",IF(COUNTIFS(Release_Calendar!$A$2:$A$755,"NZ_CPI",Release_Calendar!$B$2:$B$755,$A6538)&gt;0,1,0))</f>
        <v>0</v>
      </c>
      <c r="N6538" s="16">
        <f>IF($A6538&lt;Notes!$B$5,"",IF(COUNTIFS(Release_Calendar!$A$2:$A$755,"NZ_GDP",Release_Calendar!$B$2:$B$755,$A6538)&gt;0,1,0))</f>
        <v>0</v>
      </c>
      <c r="O6538" s="16">
        <f>IF($A6538&lt;Notes!$B$5,"",IF(COUNTIFS(Release_Calendar!$A$2:$A$755,"NZ_LABOUR",Release_Calendar!$B$2:$B$755,$A6538)&gt;0,1,0))</f>
        <v>0</v>
      </c>
      <c r="P6538" s="16">
        <f t="shared" si="4"/>
        <v>0</v>
      </c>
    </row>
    <row r="6539" ht="15.75" customHeight="1">
      <c r="A6539" s="14">
        <v>45679.0</v>
      </c>
      <c r="B6539" s="15">
        <v>4.29</v>
      </c>
      <c r="C6539" s="15">
        <v>3.54</v>
      </c>
      <c r="D6539" s="15"/>
      <c r="E6539" s="15">
        <v>3.69</v>
      </c>
      <c r="F6539" s="15">
        <f t="shared" si="1"/>
        <v>-0.75</v>
      </c>
      <c r="G6539" s="15">
        <f t="shared" si="2"/>
        <v>3.54</v>
      </c>
      <c r="H6539" s="16">
        <v>0.0</v>
      </c>
      <c r="I6539" s="15">
        <f t="shared" si="3"/>
        <v>-0.75</v>
      </c>
      <c r="J6539" s="15">
        <v>15.1</v>
      </c>
      <c r="K6539" s="16">
        <f>IF(COUNTIFS(Release_Calendar!$A$2:$A$755,"US_CPI",Release_Calendar!$B$2:$B$755,$A6539)&gt;0,1,0)</f>
        <v>0</v>
      </c>
      <c r="L6539" s="16">
        <f>IF(COUNTIFS(Release_Calendar!$A$2:$A$755,"US_NFP",Release_Calendar!$B$2:$B$755,$A6539)&gt;0,1,0)</f>
        <v>0</v>
      </c>
      <c r="M6539" s="16">
        <f>IF($A6539&lt;Notes!$B$5,"",IF(COUNTIFS(Release_Calendar!$A$2:$A$755,"NZ_CPI",Release_Calendar!$B$2:$B$755,$A6539)&gt;0,1,0))</f>
        <v>1</v>
      </c>
      <c r="N6539" s="16">
        <f>IF($A6539&lt;Notes!$B$5,"",IF(COUNTIFS(Release_Calendar!$A$2:$A$755,"NZ_GDP",Release_Calendar!$B$2:$B$755,$A6539)&gt;0,1,0))</f>
        <v>0</v>
      </c>
      <c r="O6539" s="16">
        <f>IF($A6539&lt;Notes!$B$5,"",IF(COUNTIFS(Release_Calendar!$A$2:$A$755,"NZ_LABOUR",Release_Calendar!$B$2:$B$755,$A6539)&gt;0,1,0))</f>
        <v>0</v>
      </c>
      <c r="P6539" s="16">
        <f t="shared" si="4"/>
        <v>1</v>
      </c>
    </row>
    <row r="6540" ht="15.75" customHeight="1">
      <c r="A6540" s="14">
        <v>45680.0</v>
      </c>
      <c r="B6540" s="15">
        <v>4.29</v>
      </c>
      <c r="C6540" s="15">
        <v>3.53</v>
      </c>
      <c r="D6540" s="15"/>
      <c r="E6540" s="15">
        <v>3.69</v>
      </c>
      <c r="F6540" s="15">
        <f t="shared" si="1"/>
        <v>-0.76</v>
      </c>
      <c r="G6540" s="15">
        <f t="shared" si="2"/>
        <v>3.53</v>
      </c>
      <c r="H6540" s="16">
        <v>0.0</v>
      </c>
      <c r="I6540" s="15">
        <f t="shared" si="3"/>
        <v>-0.76</v>
      </c>
      <c r="J6540" s="15">
        <v>15.02</v>
      </c>
      <c r="K6540" s="16">
        <f>IF(COUNTIFS(Release_Calendar!$A$2:$A$755,"US_CPI",Release_Calendar!$B$2:$B$755,$A6540)&gt;0,1,0)</f>
        <v>0</v>
      </c>
      <c r="L6540" s="16">
        <f>IF(COUNTIFS(Release_Calendar!$A$2:$A$755,"US_NFP",Release_Calendar!$B$2:$B$755,$A6540)&gt;0,1,0)</f>
        <v>0</v>
      </c>
      <c r="M6540" s="16">
        <f>IF($A6540&lt;Notes!$B$5,"",IF(COUNTIFS(Release_Calendar!$A$2:$A$755,"NZ_CPI",Release_Calendar!$B$2:$B$755,$A6540)&gt;0,1,0))</f>
        <v>0</v>
      </c>
      <c r="N6540" s="16">
        <f>IF($A6540&lt;Notes!$B$5,"",IF(COUNTIFS(Release_Calendar!$A$2:$A$755,"NZ_GDP",Release_Calendar!$B$2:$B$755,$A6540)&gt;0,1,0))</f>
        <v>0</v>
      </c>
      <c r="O6540" s="16">
        <f>IF($A6540&lt;Notes!$B$5,"",IF(COUNTIFS(Release_Calendar!$A$2:$A$755,"NZ_LABOUR",Release_Calendar!$B$2:$B$755,$A6540)&gt;0,1,0))</f>
        <v>0</v>
      </c>
      <c r="P6540" s="16">
        <f t="shared" si="4"/>
        <v>0</v>
      </c>
    </row>
    <row r="6541" ht="15.75" customHeight="1">
      <c r="A6541" s="14">
        <v>45681.0</v>
      </c>
      <c r="B6541" s="15">
        <v>4.27</v>
      </c>
      <c r="C6541" s="15">
        <v>3.51</v>
      </c>
      <c r="D6541" s="15"/>
      <c r="E6541" s="15">
        <v>3.7</v>
      </c>
      <c r="F6541" s="15">
        <f t="shared" si="1"/>
        <v>-0.76</v>
      </c>
      <c r="G6541" s="15">
        <f t="shared" si="2"/>
        <v>3.51</v>
      </c>
      <c r="H6541" s="16">
        <v>0.0</v>
      </c>
      <c r="I6541" s="15">
        <f t="shared" si="3"/>
        <v>-0.76</v>
      </c>
      <c r="J6541" s="15">
        <v>14.85</v>
      </c>
      <c r="K6541" s="16">
        <f>IF(COUNTIFS(Release_Calendar!$A$2:$A$755,"US_CPI",Release_Calendar!$B$2:$B$755,$A6541)&gt;0,1,0)</f>
        <v>0</v>
      </c>
      <c r="L6541" s="16">
        <f>IF(COUNTIFS(Release_Calendar!$A$2:$A$755,"US_NFP",Release_Calendar!$B$2:$B$755,$A6541)&gt;0,1,0)</f>
        <v>0</v>
      </c>
      <c r="M6541" s="16">
        <f>IF($A6541&lt;Notes!$B$5,"",IF(COUNTIFS(Release_Calendar!$A$2:$A$755,"NZ_CPI",Release_Calendar!$B$2:$B$755,$A6541)&gt;0,1,0))</f>
        <v>0</v>
      </c>
      <c r="N6541" s="16">
        <f>IF($A6541&lt;Notes!$B$5,"",IF(COUNTIFS(Release_Calendar!$A$2:$A$755,"NZ_GDP",Release_Calendar!$B$2:$B$755,$A6541)&gt;0,1,0))</f>
        <v>0</v>
      </c>
      <c r="O6541" s="16">
        <f>IF($A6541&lt;Notes!$B$5,"",IF(COUNTIFS(Release_Calendar!$A$2:$A$755,"NZ_LABOUR",Release_Calendar!$B$2:$B$755,$A6541)&gt;0,1,0))</f>
        <v>0</v>
      </c>
      <c r="P6541" s="16">
        <f t="shared" si="4"/>
        <v>0</v>
      </c>
    </row>
    <row r="6542" ht="15.75" customHeight="1">
      <c r="A6542" s="14">
        <v>45684.0</v>
      </c>
      <c r="B6542" s="15">
        <v>4.17</v>
      </c>
      <c r="C6542" s="15">
        <v>3.51</v>
      </c>
      <c r="D6542" s="15"/>
      <c r="E6542" s="15">
        <v>3.7</v>
      </c>
      <c r="F6542" s="15">
        <f t="shared" si="1"/>
        <v>-0.66</v>
      </c>
      <c r="G6542" s="15">
        <f t="shared" si="2"/>
        <v>3.51</v>
      </c>
      <c r="H6542" s="16">
        <v>0.0</v>
      </c>
      <c r="I6542" s="15">
        <f t="shared" si="3"/>
        <v>-0.66</v>
      </c>
      <c r="J6542" s="15">
        <v>17.9</v>
      </c>
      <c r="K6542" s="16">
        <f>IF(COUNTIFS(Release_Calendar!$A$2:$A$755,"US_CPI",Release_Calendar!$B$2:$B$755,$A6542)&gt;0,1,0)</f>
        <v>0</v>
      </c>
      <c r="L6542" s="16">
        <f>IF(COUNTIFS(Release_Calendar!$A$2:$A$755,"US_NFP",Release_Calendar!$B$2:$B$755,$A6542)&gt;0,1,0)</f>
        <v>0</v>
      </c>
      <c r="M6542" s="16">
        <f>IF($A6542&lt;Notes!$B$5,"",IF(COUNTIFS(Release_Calendar!$A$2:$A$755,"NZ_CPI",Release_Calendar!$B$2:$B$755,$A6542)&gt;0,1,0))</f>
        <v>0</v>
      </c>
      <c r="N6542" s="16">
        <f>IF($A6542&lt;Notes!$B$5,"",IF(COUNTIFS(Release_Calendar!$A$2:$A$755,"NZ_GDP",Release_Calendar!$B$2:$B$755,$A6542)&gt;0,1,0))</f>
        <v>0</v>
      </c>
      <c r="O6542" s="16">
        <f>IF($A6542&lt;Notes!$B$5,"",IF(COUNTIFS(Release_Calendar!$A$2:$A$755,"NZ_LABOUR",Release_Calendar!$B$2:$B$755,$A6542)&gt;0,1,0))</f>
        <v>0</v>
      </c>
      <c r="P6542" s="16">
        <f t="shared" si="4"/>
        <v>0</v>
      </c>
    </row>
    <row r="6543" ht="15.75" customHeight="1">
      <c r="A6543" s="14">
        <v>45685.0</v>
      </c>
      <c r="B6543" s="15">
        <v>4.19</v>
      </c>
      <c r="C6543" s="15">
        <v>3.48</v>
      </c>
      <c r="D6543" s="15"/>
      <c r="E6543" s="15">
        <v>3.65</v>
      </c>
      <c r="F6543" s="15">
        <f t="shared" si="1"/>
        <v>-0.71</v>
      </c>
      <c r="G6543" s="15">
        <f t="shared" si="2"/>
        <v>3.48</v>
      </c>
      <c r="H6543" s="16">
        <v>0.0</v>
      </c>
      <c r="I6543" s="15">
        <f t="shared" si="3"/>
        <v>-0.71</v>
      </c>
      <c r="J6543" s="15">
        <v>16.41</v>
      </c>
      <c r="K6543" s="16">
        <f>IF(COUNTIFS(Release_Calendar!$A$2:$A$755,"US_CPI",Release_Calendar!$B$2:$B$755,$A6543)&gt;0,1,0)</f>
        <v>0</v>
      </c>
      <c r="L6543" s="16">
        <f>IF(COUNTIFS(Release_Calendar!$A$2:$A$755,"US_NFP",Release_Calendar!$B$2:$B$755,$A6543)&gt;0,1,0)</f>
        <v>0</v>
      </c>
      <c r="M6543" s="16">
        <f>IF($A6543&lt;Notes!$B$5,"",IF(COUNTIFS(Release_Calendar!$A$2:$A$755,"NZ_CPI",Release_Calendar!$B$2:$B$755,$A6543)&gt;0,1,0))</f>
        <v>0</v>
      </c>
      <c r="N6543" s="16">
        <f>IF($A6543&lt;Notes!$B$5,"",IF(COUNTIFS(Release_Calendar!$A$2:$A$755,"NZ_GDP",Release_Calendar!$B$2:$B$755,$A6543)&gt;0,1,0))</f>
        <v>0</v>
      </c>
      <c r="O6543" s="16">
        <f>IF($A6543&lt;Notes!$B$5,"",IF(COUNTIFS(Release_Calendar!$A$2:$A$755,"NZ_LABOUR",Release_Calendar!$B$2:$B$755,$A6543)&gt;0,1,0))</f>
        <v>0</v>
      </c>
      <c r="P6543" s="16">
        <f t="shared" si="4"/>
        <v>0</v>
      </c>
    </row>
    <row r="6544" ht="15.75" customHeight="1">
      <c r="A6544" s="14">
        <v>45686.0</v>
      </c>
      <c r="B6544" s="15">
        <v>4.21</v>
      </c>
      <c r="C6544" s="15">
        <v>3.45</v>
      </c>
      <c r="D6544" s="15"/>
      <c r="E6544" s="15">
        <v>3.63</v>
      </c>
      <c r="F6544" s="15">
        <f t="shared" si="1"/>
        <v>-0.76</v>
      </c>
      <c r="G6544" s="15">
        <f t="shared" si="2"/>
        <v>3.45</v>
      </c>
      <c r="H6544" s="16">
        <v>0.0</v>
      </c>
      <c r="I6544" s="15">
        <f t="shared" si="3"/>
        <v>-0.76</v>
      </c>
      <c r="J6544" s="15">
        <v>16.56</v>
      </c>
      <c r="K6544" s="16">
        <f>IF(COUNTIFS(Release_Calendar!$A$2:$A$755,"US_CPI",Release_Calendar!$B$2:$B$755,$A6544)&gt;0,1,0)</f>
        <v>0</v>
      </c>
      <c r="L6544" s="16">
        <f>IF(COUNTIFS(Release_Calendar!$A$2:$A$755,"US_NFP",Release_Calendar!$B$2:$B$755,$A6544)&gt;0,1,0)</f>
        <v>0</v>
      </c>
      <c r="M6544" s="16">
        <f>IF($A6544&lt;Notes!$B$5,"",IF(COUNTIFS(Release_Calendar!$A$2:$A$755,"NZ_CPI",Release_Calendar!$B$2:$B$755,$A6544)&gt;0,1,0))</f>
        <v>0</v>
      </c>
      <c r="N6544" s="16">
        <f>IF($A6544&lt;Notes!$B$5,"",IF(COUNTIFS(Release_Calendar!$A$2:$A$755,"NZ_GDP",Release_Calendar!$B$2:$B$755,$A6544)&gt;0,1,0))</f>
        <v>0</v>
      </c>
      <c r="O6544" s="16">
        <f>IF($A6544&lt;Notes!$B$5,"",IF(COUNTIFS(Release_Calendar!$A$2:$A$755,"NZ_LABOUR",Release_Calendar!$B$2:$B$755,$A6544)&gt;0,1,0))</f>
        <v>0</v>
      </c>
      <c r="P6544" s="16">
        <f t="shared" si="4"/>
        <v>0</v>
      </c>
    </row>
    <row r="6545" ht="15.75" customHeight="1">
      <c r="A6545" s="14">
        <v>45687.0</v>
      </c>
      <c r="B6545" s="15">
        <v>4.18</v>
      </c>
      <c r="C6545" s="15">
        <v>3.45</v>
      </c>
      <c r="D6545" s="15"/>
      <c r="E6545" s="15">
        <v>3.64</v>
      </c>
      <c r="F6545" s="15">
        <f t="shared" si="1"/>
        <v>-0.73</v>
      </c>
      <c r="G6545" s="15">
        <f t="shared" si="2"/>
        <v>3.45</v>
      </c>
      <c r="H6545" s="16">
        <v>0.0</v>
      </c>
      <c r="I6545" s="15">
        <f t="shared" si="3"/>
        <v>-0.73</v>
      </c>
      <c r="J6545" s="15">
        <v>15.84</v>
      </c>
      <c r="K6545" s="16">
        <f>IF(COUNTIFS(Release_Calendar!$A$2:$A$755,"US_CPI",Release_Calendar!$B$2:$B$755,$A6545)&gt;0,1,0)</f>
        <v>0</v>
      </c>
      <c r="L6545" s="16">
        <f>IF(COUNTIFS(Release_Calendar!$A$2:$A$755,"US_NFP",Release_Calendar!$B$2:$B$755,$A6545)&gt;0,1,0)</f>
        <v>0</v>
      </c>
      <c r="M6545" s="16">
        <f>IF($A6545&lt;Notes!$B$5,"",IF(COUNTIFS(Release_Calendar!$A$2:$A$755,"NZ_CPI",Release_Calendar!$B$2:$B$755,$A6545)&gt;0,1,0))</f>
        <v>0</v>
      </c>
      <c r="N6545" s="16">
        <f>IF($A6545&lt;Notes!$B$5,"",IF(COUNTIFS(Release_Calendar!$A$2:$A$755,"NZ_GDP",Release_Calendar!$B$2:$B$755,$A6545)&gt;0,1,0))</f>
        <v>0</v>
      </c>
      <c r="O6545" s="16">
        <f>IF($A6545&lt;Notes!$B$5,"",IF(COUNTIFS(Release_Calendar!$A$2:$A$755,"NZ_LABOUR",Release_Calendar!$B$2:$B$755,$A6545)&gt;0,1,0))</f>
        <v>0</v>
      </c>
      <c r="P6545" s="16">
        <f t="shared" si="4"/>
        <v>0</v>
      </c>
    </row>
    <row r="6546" ht="15.75" customHeight="1">
      <c r="A6546" s="14">
        <v>45688.0</v>
      </c>
      <c r="B6546" s="15">
        <v>4.22</v>
      </c>
      <c r="C6546" s="15">
        <v>3.44</v>
      </c>
      <c r="D6546" s="15"/>
      <c r="E6546" s="15">
        <v>3.64</v>
      </c>
      <c r="F6546" s="15">
        <f t="shared" si="1"/>
        <v>-0.78</v>
      </c>
      <c r="G6546" s="15">
        <f t="shared" si="2"/>
        <v>3.44</v>
      </c>
      <c r="H6546" s="16">
        <v>0.0</v>
      </c>
      <c r="I6546" s="15">
        <f t="shared" si="3"/>
        <v>-0.78</v>
      </c>
      <c r="J6546" s="15">
        <v>16.43</v>
      </c>
      <c r="K6546" s="16">
        <f>IF(COUNTIFS(Release_Calendar!$A$2:$A$755,"US_CPI",Release_Calendar!$B$2:$B$755,$A6546)&gt;0,1,0)</f>
        <v>0</v>
      </c>
      <c r="L6546" s="16">
        <f>IF(COUNTIFS(Release_Calendar!$A$2:$A$755,"US_NFP",Release_Calendar!$B$2:$B$755,$A6546)&gt;0,1,0)</f>
        <v>0</v>
      </c>
      <c r="M6546" s="16">
        <f>IF($A6546&lt;Notes!$B$5,"",IF(COUNTIFS(Release_Calendar!$A$2:$A$755,"NZ_CPI",Release_Calendar!$B$2:$B$755,$A6546)&gt;0,1,0))</f>
        <v>0</v>
      </c>
      <c r="N6546" s="16">
        <f>IF($A6546&lt;Notes!$B$5,"",IF(COUNTIFS(Release_Calendar!$A$2:$A$755,"NZ_GDP",Release_Calendar!$B$2:$B$755,$A6546)&gt;0,1,0))</f>
        <v>0</v>
      </c>
      <c r="O6546" s="16">
        <f>IF($A6546&lt;Notes!$B$5,"",IF(COUNTIFS(Release_Calendar!$A$2:$A$755,"NZ_LABOUR",Release_Calendar!$B$2:$B$755,$A6546)&gt;0,1,0))</f>
        <v>0</v>
      </c>
      <c r="P6546" s="16">
        <f t="shared" si="4"/>
        <v>0</v>
      </c>
    </row>
    <row r="6547" ht="15.75" customHeight="1">
      <c r="A6547" s="14">
        <v>45691.0</v>
      </c>
      <c r="B6547" s="15">
        <v>4.26</v>
      </c>
      <c r="C6547" s="15">
        <v>3.36</v>
      </c>
      <c r="D6547" s="15"/>
      <c r="E6547" s="15">
        <v>3.57</v>
      </c>
      <c r="F6547" s="15">
        <f t="shared" si="1"/>
        <v>-0.9</v>
      </c>
      <c r="G6547" s="15">
        <f t="shared" si="2"/>
        <v>3.36</v>
      </c>
      <c r="H6547" s="16">
        <v>0.0</v>
      </c>
      <c r="I6547" s="15">
        <f t="shared" si="3"/>
        <v>-0.9</v>
      </c>
      <c r="J6547" s="15">
        <v>18.62</v>
      </c>
      <c r="K6547" s="16">
        <f>IF(COUNTIFS(Release_Calendar!$A$2:$A$755,"US_CPI",Release_Calendar!$B$2:$B$755,$A6547)&gt;0,1,0)</f>
        <v>0</v>
      </c>
      <c r="L6547" s="16">
        <f>IF(COUNTIFS(Release_Calendar!$A$2:$A$755,"US_NFP",Release_Calendar!$B$2:$B$755,$A6547)&gt;0,1,0)</f>
        <v>0</v>
      </c>
      <c r="M6547" s="16">
        <f>IF($A6547&lt;Notes!$B$5,"",IF(COUNTIFS(Release_Calendar!$A$2:$A$755,"NZ_CPI",Release_Calendar!$B$2:$B$755,$A6547)&gt;0,1,0))</f>
        <v>0</v>
      </c>
      <c r="N6547" s="16">
        <f>IF($A6547&lt;Notes!$B$5,"",IF(COUNTIFS(Release_Calendar!$A$2:$A$755,"NZ_GDP",Release_Calendar!$B$2:$B$755,$A6547)&gt;0,1,0))</f>
        <v>0</v>
      </c>
      <c r="O6547" s="16">
        <f>IF($A6547&lt;Notes!$B$5,"",IF(COUNTIFS(Release_Calendar!$A$2:$A$755,"NZ_LABOUR",Release_Calendar!$B$2:$B$755,$A6547)&gt;0,1,0))</f>
        <v>0</v>
      </c>
      <c r="P6547" s="16">
        <f t="shared" si="4"/>
        <v>0</v>
      </c>
    </row>
    <row r="6548" ht="15.75" customHeight="1">
      <c r="A6548" s="14">
        <v>45692.0</v>
      </c>
      <c r="B6548" s="15">
        <v>4.21</v>
      </c>
      <c r="C6548" s="15">
        <v>3.33</v>
      </c>
      <c r="D6548" s="15"/>
      <c r="E6548" s="15">
        <v>3.54</v>
      </c>
      <c r="F6548" s="15">
        <f t="shared" si="1"/>
        <v>-0.88</v>
      </c>
      <c r="G6548" s="15">
        <f t="shared" si="2"/>
        <v>3.33</v>
      </c>
      <c r="H6548" s="16">
        <v>0.0</v>
      </c>
      <c r="I6548" s="15">
        <f t="shared" si="3"/>
        <v>-0.88</v>
      </c>
      <c r="J6548" s="15">
        <v>17.21</v>
      </c>
      <c r="K6548" s="16">
        <f>IF(COUNTIFS(Release_Calendar!$A$2:$A$755,"US_CPI",Release_Calendar!$B$2:$B$755,$A6548)&gt;0,1,0)</f>
        <v>0</v>
      </c>
      <c r="L6548" s="16">
        <f>IF(COUNTIFS(Release_Calendar!$A$2:$A$755,"US_NFP",Release_Calendar!$B$2:$B$755,$A6548)&gt;0,1,0)</f>
        <v>0</v>
      </c>
      <c r="M6548" s="16">
        <f>IF($A6548&lt;Notes!$B$5,"",IF(COUNTIFS(Release_Calendar!$A$2:$A$755,"NZ_CPI",Release_Calendar!$B$2:$B$755,$A6548)&gt;0,1,0))</f>
        <v>0</v>
      </c>
      <c r="N6548" s="16">
        <f>IF($A6548&lt;Notes!$B$5,"",IF(COUNTIFS(Release_Calendar!$A$2:$A$755,"NZ_GDP",Release_Calendar!$B$2:$B$755,$A6548)&gt;0,1,0))</f>
        <v>0</v>
      </c>
      <c r="O6548" s="16">
        <f>IF($A6548&lt;Notes!$B$5,"",IF(COUNTIFS(Release_Calendar!$A$2:$A$755,"NZ_LABOUR",Release_Calendar!$B$2:$B$755,$A6548)&gt;0,1,0))</f>
        <v>0</v>
      </c>
      <c r="P6548" s="16">
        <f t="shared" si="4"/>
        <v>0</v>
      </c>
    </row>
    <row r="6549" ht="15.75" customHeight="1">
      <c r="A6549" s="14">
        <v>45693.0</v>
      </c>
      <c r="B6549" s="15">
        <v>4.17</v>
      </c>
      <c r="C6549" s="15">
        <v>3.37</v>
      </c>
      <c r="D6549" s="15"/>
      <c r="E6549" s="15">
        <v>3.53</v>
      </c>
      <c r="F6549" s="15">
        <f t="shared" si="1"/>
        <v>-0.8</v>
      </c>
      <c r="G6549" s="15">
        <f t="shared" si="2"/>
        <v>3.37</v>
      </c>
      <c r="H6549" s="16">
        <v>0.0</v>
      </c>
      <c r="I6549" s="15">
        <f t="shared" si="3"/>
        <v>-0.8</v>
      </c>
      <c r="J6549" s="15">
        <v>15.77</v>
      </c>
      <c r="K6549" s="16">
        <f>IF(COUNTIFS(Release_Calendar!$A$2:$A$755,"US_CPI",Release_Calendar!$B$2:$B$755,$A6549)&gt;0,1,0)</f>
        <v>0</v>
      </c>
      <c r="L6549" s="16">
        <f>IF(COUNTIFS(Release_Calendar!$A$2:$A$755,"US_NFP",Release_Calendar!$B$2:$B$755,$A6549)&gt;0,1,0)</f>
        <v>0</v>
      </c>
      <c r="M6549" s="16">
        <f>IF($A6549&lt;Notes!$B$5,"",IF(COUNTIFS(Release_Calendar!$A$2:$A$755,"NZ_CPI",Release_Calendar!$B$2:$B$755,$A6549)&gt;0,1,0))</f>
        <v>0</v>
      </c>
      <c r="N6549" s="16">
        <f>IF($A6549&lt;Notes!$B$5,"",IF(COUNTIFS(Release_Calendar!$A$2:$A$755,"NZ_GDP",Release_Calendar!$B$2:$B$755,$A6549)&gt;0,1,0))</f>
        <v>0</v>
      </c>
      <c r="O6549" s="16">
        <f>IF($A6549&lt;Notes!$B$5,"",IF(COUNTIFS(Release_Calendar!$A$2:$A$755,"NZ_LABOUR",Release_Calendar!$B$2:$B$755,$A6549)&gt;0,1,0))</f>
        <v>1</v>
      </c>
      <c r="P6549" s="16">
        <f t="shared" si="4"/>
        <v>1</v>
      </c>
    </row>
    <row r="6550" ht="15.75" customHeight="1">
      <c r="A6550" s="14">
        <v>45694.0</v>
      </c>
      <c r="B6550" s="15">
        <v>4.21</v>
      </c>
      <c r="C6550" s="15"/>
      <c r="D6550" s="15"/>
      <c r="E6550" s="15"/>
      <c r="F6550" s="15" t="str">
        <f t="shared" si="1"/>
        <v/>
      </c>
      <c r="G6550" s="15" t="str">
        <f t="shared" si="2"/>
        <v/>
      </c>
      <c r="H6550" s="16">
        <v>0.0</v>
      </c>
      <c r="I6550" s="15" t="str">
        <f t="shared" si="3"/>
        <v/>
      </c>
      <c r="J6550" s="15">
        <v>15.5</v>
      </c>
      <c r="K6550" s="16">
        <f>IF(COUNTIFS(Release_Calendar!$A$2:$A$755,"US_CPI",Release_Calendar!$B$2:$B$755,$A6550)&gt;0,1,0)</f>
        <v>0</v>
      </c>
      <c r="L6550" s="16">
        <f>IF(COUNTIFS(Release_Calendar!$A$2:$A$755,"US_NFP",Release_Calendar!$B$2:$B$755,$A6550)&gt;0,1,0)</f>
        <v>0</v>
      </c>
      <c r="M6550" s="16">
        <f>IF($A6550&lt;Notes!$B$5,"",IF(COUNTIFS(Release_Calendar!$A$2:$A$755,"NZ_CPI",Release_Calendar!$B$2:$B$755,$A6550)&gt;0,1,0))</f>
        <v>0</v>
      </c>
      <c r="N6550" s="16">
        <f>IF($A6550&lt;Notes!$B$5,"",IF(COUNTIFS(Release_Calendar!$A$2:$A$755,"NZ_GDP",Release_Calendar!$B$2:$B$755,$A6550)&gt;0,1,0))</f>
        <v>0</v>
      </c>
      <c r="O6550" s="16">
        <f>IF($A6550&lt;Notes!$B$5,"",IF(COUNTIFS(Release_Calendar!$A$2:$A$755,"NZ_LABOUR",Release_Calendar!$B$2:$B$755,$A6550)&gt;0,1,0))</f>
        <v>0</v>
      </c>
      <c r="P6550" s="16">
        <f t="shared" si="4"/>
        <v>0</v>
      </c>
    </row>
    <row r="6551" ht="15.75" customHeight="1">
      <c r="A6551" s="14">
        <v>45695.0</v>
      </c>
      <c r="B6551" s="15">
        <v>4.29</v>
      </c>
      <c r="C6551" s="15">
        <v>3.46</v>
      </c>
      <c r="D6551" s="15"/>
      <c r="E6551" s="15">
        <v>3.62</v>
      </c>
      <c r="F6551" s="15">
        <f t="shared" si="1"/>
        <v>-0.83</v>
      </c>
      <c r="G6551" s="15">
        <f t="shared" si="2"/>
        <v>3.46</v>
      </c>
      <c r="H6551" s="16">
        <v>0.0</v>
      </c>
      <c r="I6551" s="15">
        <f t="shared" si="3"/>
        <v>-0.83</v>
      </c>
      <c r="J6551" s="15">
        <v>16.54</v>
      </c>
      <c r="K6551" s="16">
        <f>IF(COUNTIFS(Release_Calendar!$A$2:$A$755,"US_CPI",Release_Calendar!$B$2:$B$755,$A6551)&gt;0,1,0)</f>
        <v>0</v>
      </c>
      <c r="L6551" s="16">
        <f>IF(COUNTIFS(Release_Calendar!$A$2:$A$755,"US_NFP",Release_Calendar!$B$2:$B$755,$A6551)&gt;0,1,0)</f>
        <v>1</v>
      </c>
      <c r="M6551" s="16">
        <f>IF($A6551&lt;Notes!$B$5,"",IF(COUNTIFS(Release_Calendar!$A$2:$A$755,"NZ_CPI",Release_Calendar!$B$2:$B$755,$A6551)&gt;0,1,0))</f>
        <v>0</v>
      </c>
      <c r="N6551" s="16">
        <f>IF($A6551&lt;Notes!$B$5,"",IF(COUNTIFS(Release_Calendar!$A$2:$A$755,"NZ_GDP",Release_Calendar!$B$2:$B$755,$A6551)&gt;0,1,0))</f>
        <v>0</v>
      </c>
      <c r="O6551" s="16">
        <f>IF($A6551&lt;Notes!$B$5,"",IF(COUNTIFS(Release_Calendar!$A$2:$A$755,"NZ_LABOUR",Release_Calendar!$B$2:$B$755,$A6551)&gt;0,1,0))</f>
        <v>0</v>
      </c>
      <c r="P6551" s="16">
        <f t="shared" si="4"/>
        <v>1</v>
      </c>
    </row>
    <row r="6552" ht="15.75" customHeight="1">
      <c r="A6552" s="14">
        <v>45698.0</v>
      </c>
      <c r="B6552" s="15">
        <v>4.28</v>
      </c>
      <c r="C6552" s="15">
        <v>3.45</v>
      </c>
      <c r="D6552" s="15"/>
      <c r="E6552" s="15">
        <v>3.62</v>
      </c>
      <c r="F6552" s="15">
        <f t="shared" si="1"/>
        <v>-0.83</v>
      </c>
      <c r="G6552" s="15">
        <f t="shared" si="2"/>
        <v>3.45</v>
      </c>
      <c r="H6552" s="16">
        <v>0.0</v>
      </c>
      <c r="I6552" s="15">
        <f t="shared" si="3"/>
        <v>-0.83</v>
      </c>
      <c r="J6552" s="15">
        <v>15.81</v>
      </c>
      <c r="K6552" s="16">
        <f>IF(COUNTIFS(Release_Calendar!$A$2:$A$755,"US_CPI",Release_Calendar!$B$2:$B$755,$A6552)&gt;0,1,0)</f>
        <v>0</v>
      </c>
      <c r="L6552" s="16">
        <f>IF(COUNTIFS(Release_Calendar!$A$2:$A$755,"US_NFP",Release_Calendar!$B$2:$B$755,$A6552)&gt;0,1,0)</f>
        <v>0</v>
      </c>
      <c r="M6552" s="16">
        <f>IF($A6552&lt;Notes!$B$5,"",IF(COUNTIFS(Release_Calendar!$A$2:$A$755,"NZ_CPI",Release_Calendar!$B$2:$B$755,$A6552)&gt;0,1,0))</f>
        <v>0</v>
      </c>
      <c r="N6552" s="16">
        <f>IF($A6552&lt;Notes!$B$5,"",IF(COUNTIFS(Release_Calendar!$A$2:$A$755,"NZ_GDP",Release_Calendar!$B$2:$B$755,$A6552)&gt;0,1,0))</f>
        <v>0</v>
      </c>
      <c r="O6552" s="16">
        <f>IF($A6552&lt;Notes!$B$5,"",IF(COUNTIFS(Release_Calendar!$A$2:$A$755,"NZ_LABOUR",Release_Calendar!$B$2:$B$755,$A6552)&gt;0,1,0))</f>
        <v>0</v>
      </c>
      <c r="P6552" s="16">
        <f t="shared" si="4"/>
        <v>0</v>
      </c>
    </row>
    <row r="6553" ht="15.75" customHeight="1">
      <c r="A6553" s="14">
        <v>45699.0</v>
      </c>
      <c r="B6553" s="15">
        <v>4.29</v>
      </c>
      <c r="C6553" s="15">
        <v>3.44</v>
      </c>
      <c r="D6553" s="15"/>
      <c r="E6553" s="15">
        <v>3.63</v>
      </c>
      <c r="F6553" s="15">
        <f t="shared" si="1"/>
        <v>-0.85</v>
      </c>
      <c r="G6553" s="15">
        <f t="shared" si="2"/>
        <v>3.44</v>
      </c>
      <c r="H6553" s="16">
        <v>0.0</v>
      </c>
      <c r="I6553" s="15">
        <f t="shared" si="3"/>
        <v>-0.85</v>
      </c>
      <c r="J6553" s="15">
        <v>16.02</v>
      </c>
      <c r="K6553" s="16">
        <f>IF(COUNTIFS(Release_Calendar!$A$2:$A$755,"US_CPI",Release_Calendar!$B$2:$B$755,$A6553)&gt;0,1,0)</f>
        <v>0</v>
      </c>
      <c r="L6553" s="16">
        <f>IF(COUNTIFS(Release_Calendar!$A$2:$A$755,"US_NFP",Release_Calendar!$B$2:$B$755,$A6553)&gt;0,1,0)</f>
        <v>0</v>
      </c>
      <c r="M6553" s="16">
        <f>IF($A6553&lt;Notes!$B$5,"",IF(COUNTIFS(Release_Calendar!$A$2:$A$755,"NZ_CPI",Release_Calendar!$B$2:$B$755,$A6553)&gt;0,1,0))</f>
        <v>0</v>
      </c>
      <c r="N6553" s="16">
        <f>IF($A6553&lt;Notes!$B$5,"",IF(COUNTIFS(Release_Calendar!$A$2:$A$755,"NZ_GDP",Release_Calendar!$B$2:$B$755,$A6553)&gt;0,1,0))</f>
        <v>0</v>
      </c>
      <c r="O6553" s="16">
        <f>IF($A6553&lt;Notes!$B$5,"",IF(COUNTIFS(Release_Calendar!$A$2:$A$755,"NZ_LABOUR",Release_Calendar!$B$2:$B$755,$A6553)&gt;0,1,0))</f>
        <v>0</v>
      </c>
      <c r="P6553" s="16">
        <f t="shared" si="4"/>
        <v>0</v>
      </c>
    </row>
    <row r="6554" ht="15.75" customHeight="1">
      <c r="A6554" s="14">
        <v>45700.0</v>
      </c>
      <c r="B6554" s="15">
        <v>4.36</v>
      </c>
      <c r="C6554" s="15">
        <v>3.48</v>
      </c>
      <c r="D6554" s="15"/>
      <c r="E6554" s="15">
        <v>3.65</v>
      </c>
      <c r="F6554" s="15">
        <f t="shared" si="1"/>
        <v>-0.88</v>
      </c>
      <c r="G6554" s="15">
        <f t="shared" si="2"/>
        <v>3.48</v>
      </c>
      <c r="H6554" s="16">
        <v>0.0</v>
      </c>
      <c r="I6554" s="15">
        <f t="shared" si="3"/>
        <v>-0.88</v>
      </c>
      <c r="J6554" s="15">
        <v>15.89</v>
      </c>
      <c r="K6554" s="16">
        <f>IF(COUNTIFS(Release_Calendar!$A$2:$A$755,"US_CPI",Release_Calendar!$B$2:$B$755,$A6554)&gt;0,1,0)</f>
        <v>1</v>
      </c>
      <c r="L6554" s="16">
        <f>IF(COUNTIFS(Release_Calendar!$A$2:$A$755,"US_NFP",Release_Calendar!$B$2:$B$755,$A6554)&gt;0,1,0)</f>
        <v>0</v>
      </c>
      <c r="M6554" s="16">
        <f>IF($A6554&lt;Notes!$B$5,"",IF(COUNTIFS(Release_Calendar!$A$2:$A$755,"NZ_CPI",Release_Calendar!$B$2:$B$755,$A6554)&gt;0,1,0))</f>
        <v>0</v>
      </c>
      <c r="N6554" s="16">
        <f>IF($A6554&lt;Notes!$B$5,"",IF(COUNTIFS(Release_Calendar!$A$2:$A$755,"NZ_GDP",Release_Calendar!$B$2:$B$755,$A6554)&gt;0,1,0))</f>
        <v>0</v>
      </c>
      <c r="O6554" s="16">
        <f>IF($A6554&lt;Notes!$B$5,"",IF(COUNTIFS(Release_Calendar!$A$2:$A$755,"NZ_LABOUR",Release_Calendar!$B$2:$B$755,$A6554)&gt;0,1,0))</f>
        <v>0</v>
      </c>
      <c r="P6554" s="16">
        <f t="shared" si="4"/>
        <v>1</v>
      </c>
    </row>
    <row r="6555" ht="15.75" customHeight="1">
      <c r="A6555" s="14">
        <v>45701.0</v>
      </c>
      <c r="B6555" s="15">
        <v>4.31</v>
      </c>
      <c r="C6555" s="15">
        <v>3.5</v>
      </c>
      <c r="D6555" s="15"/>
      <c r="E6555" s="15">
        <v>3.67</v>
      </c>
      <c r="F6555" s="15">
        <f t="shared" si="1"/>
        <v>-0.81</v>
      </c>
      <c r="G6555" s="15">
        <f t="shared" si="2"/>
        <v>3.5</v>
      </c>
      <c r="H6555" s="16">
        <v>0.0</v>
      </c>
      <c r="I6555" s="15">
        <f t="shared" si="3"/>
        <v>-0.81</v>
      </c>
      <c r="J6555" s="15">
        <v>15.1</v>
      </c>
      <c r="K6555" s="16">
        <f>IF(COUNTIFS(Release_Calendar!$A$2:$A$755,"US_CPI",Release_Calendar!$B$2:$B$755,$A6555)&gt;0,1,0)</f>
        <v>0</v>
      </c>
      <c r="L6555" s="16">
        <f>IF(COUNTIFS(Release_Calendar!$A$2:$A$755,"US_NFP",Release_Calendar!$B$2:$B$755,$A6555)&gt;0,1,0)</f>
        <v>0</v>
      </c>
      <c r="M6555" s="16">
        <f>IF($A6555&lt;Notes!$B$5,"",IF(COUNTIFS(Release_Calendar!$A$2:$A$755,"NZ_CPI",Release_Calendar!$B$2:$B$755,$A6555)&gt;0,1,0))</f>
        <v>0</v>
      </c>
      <c r="N6555" s="16">
        <f>IF($A6555&lt;Notes!$B$5,"",IF(COUNTIFS(Release_Calendar!$A$2:$A$755,"NZ_GDP",Release_Calendar!$B$2:$B$755,$A6555)&gt;0,1,0))</f>
        <v>0</v>
      </c>
      <c r="O6555" s="16">
        <f>IF($A6555&lt;Notes!$B$5,"",IF(COUNTIFS(Release_Calendar!$A$2:$A$755,"NZ_LABOUR",Release_Calendar!$B$2:$B$755,$A6555)&gt;0,1,0))</f>
        <v>0</v>
      </c>
      <c r="P6555" s="16">
        <f t="shared" si="4"/>
        <v>0</v>
      </c>
    </row>
    <row r="6556" ht="15.75" customHeight="1">
      <c r="A6556" s="14">
        <v>45702.0</v>
      </c>
      <c r="B6556" s="15">
        <v>4.26</v>
      </c>
      <c r="C6556" s="15">
        <v>3.5</v>
      </c>
      <c r="D6556" s="15"/>
      <c r="E6556" s="15">
        <v>3.66</v>
      </c>
      <c r="F6556" s="15">
        <f t="shared" si="1"/>
        <v>-0.76</v>
      </c>
      <c r="G6556" s="15">
        <f t="shared" si="2"/>
        <v>3.5</v>
      </c>
      <c r="H6556" s="16">
        <v>0.0</v>
      </c>
      <c r="I6556" s="15">
        <f t="shared" si="3"/>
        <v>-0.76</v>
      </c>
      <c r="J6556" s="15">
        <v>14.77</v>
      </c>
      <c r="K6556" s="16">
        <f>IF(COUNTIFS(Release_Calendar!$A$2:$A$755,"US_CPI",Release_Calendar!$B$2:$B$755,$A6556)&gt;0,1,0)</f>
        <v>0</v>
      </c>
      <c r="L6556" s="16">
        <f>IF(COUNTIFS(Release_Calendar!$A$2:$A$755,"US_NFP",Release_Calendar!$B$2:$B$755,$A6556)&gt;0,1,0)</f>
        <v>0</v>
      </c>
      <c r="M6556" s="16">
        <f>IF($A6556&lt;Notes!$B$5,"",IF(COUNTIFS(Release_Calendar!$A$2:$A$755,"NZ_CPI",Release_Calendar!$B$2:$B$755,$A6556)&gt;0,1,0))</f>
        <v>0</v>
      </c>
      <c r="N6556" s="16">
        <f>IF($A6556&lt;Notes!$B$5,"",IF(COUNTIFS(Release_Calendar!$A$2:$A$755,"NZ_GDP",Release_Calendar!$B$2:$B$755,$A6556)&gt;0,1,0))</f>
        <v>0</v>
      </c>
      <c r="O6556" s="16">
        <f>IF($A6556&lt;Notes!$B$5,"",IF(COUNTIFS(Release_Calendar!$A$2:$A$755,"NZ_LABOUR",Release_Calendar!$B$2:$B$755,$A6556)&gt;0,1,0))</f>
        <v>0</v>
      </c>
      <c r="P6556" s="16">
        <f t="shared" si="4"/>
        <v>0</v>
      </c>
    </row>
    <row r="6557" ht="15.75" customHeight="1">
      <c r="A6557" s="14">
        <v>45705.0</v>
      </c>
      <c r="B6557" s="15"/>
      <c r="C6557" s="15">
        <v>3.54</v>
      </c>
      <c r="D6557" s="15"/>
      <c r="E6557" s="15">
        <v>3.68</v>
      </c>
      <c r="F6557" s="15" t="str">
        <f t="shared" si="1"/>
        <v/>
      </c>
      <c r="G6557" s="15">
        <f t="shared" si="2"/>
        <v>3.54</v>
      </c>
      <c r="H6557" s="16">
        <v>0.0</v>
      </c>
      <c r="I6557" s="15" t="str">
        <f t="shared" si="3"/>
        <v/>
      </c>
      <c r="J6557" s="15">
        <v>15.37</v>
      </c>
      <c r="K6557" s="16">
        <f>IF(COUNTIFS(Release_Calendar!$A$2:$A$755,"US_CPI",Release_Calendar!$B$2:$B$755,$A6557)&gt;0,1,0)</f>
        <v>0</v>
      </c>
      <c r="L6557" s="16">
        <f>IF(COUNTIFS(Release_Calendar!$A$2:$A$755,"US_NFP",Release_Calendar!$B$2:$B$755,$A6557)&gt;0,1,0)</f>
        <v>0</v>
      </c>
      <c r="M6557" s="16">
        <f>IF($A6557&lt;Notes!$B$5,"",IF(COUNTIFS(Release_Calendar!$A$2:$A$755,"NZ_CPI",Release_Calendar!$B$2:$B$755,$A6557)&gt;0,1,0))</f>
        <v>0</v>
      </c>
      <c r="N6557" s="16">
        <f>IF($A6557&lt;Notes!$B$5,"",IF(COUNTIFS(Release_Calendar!$A$2:$A$755,"NZ_GDP",Release_Calendar!$B$2:$B$755,$A6557)&gt;0,1,0))</f>
        <v>0</v>
      </c>
      <c r="O6557" s="16">
        <f>IF($A6557&lt;Notes!$B$5,"",IF(COUNTIFS(Release_Calendar!$A$2:$A$755,"NZ_LABOUR",Release_Calendar!$B$2:$B$755,$A6557)&gt;0,1,0))</f>
        <v>0</v>
      </c>
      <c r="P6557" s="16">
        <f t="shared" si="4"/>
        <v>0</v>
      </c>
    </row>
    <row r="6558" ht="15.75" customHeight="1">
      <c r="A6558" s="14">
        <v>45706.0</v>
      </c>
      <c r="B6558" s="15">
        <v>4.29</v>
      </c>
      <c r="C6558" s="15">
        <v>3.52</v>
      </c>
      <c r="D6558" s="15"/>
      <c r="E6558" s="15">
        <v>3.67</v>
      </c>
      <c r="F6558" s="15">
        <f t="shared" si="1"/>
        <v>-0.77</v>
      </c>
      <c r="G6558" s="15">
        <f t="shared" si="2"/>
        <v>3.52</v>
      </c>
      <c r="H6558" s="16">
        <v>0.0</v>
      </c>
      <c r="I6558" s="15">
        <f t="shared" si="3"/>
        <v>-0.77</v>
      </c>
      <c r="J6558" s="15">
        <v>15.35</v>
      </c>
      <c r="K6558" s="16">
        <f>IF(COUNTIFS(Release_Calendar!$A$2:$A$755,"US_CPI",Release_Calendar!$B$2:$B$755,$A6558)&gt;0,1,0)</f>
        <v>0</v>
      </c>
      <c r="L6558" s="16">
        <f>IF(COUNTIFS(Release_Calendar!$A$2:$A$755,"US_NFP",Release_Calendar!$B$2:$B$755,$A6558)&gt;0,1,0)</f>
        <v>0</v>
      </c>
      <c r="M6558" s="16">
        <f>IF($A6558&lt;Notes!$B$5,"",IF(COUNTIFS(Release_Calendar!$A$2:$A$755,"NZ_CPI",Release_Calendar!$B$2:$B$755,$A6558)&gt;0,1,0))</f>
        <v>0</v>
      </c>
      <c r="N6558" s="16">
        <f>IF($A6558&lt;Notes!$B$5,"",IF(COUNTIFS(Release_Calendar!$A$2:$A$755,"NZ_GDP",Release_Calendar!$B$2:$B$755,$A6558)&gt;0,1,0))</f>
        <v>0</v>
      </c>
      <c r="O6558" s="16">
        <f>IF($A6558&lt;Notes!$B$5,"",IF(COUNTIFS(Release_Calendar!$A$2:$A$755,"NZ_LABOUR",Release_Calendar!$B$2:$B$755,$A6558)&gt;0,1,0))</f>
        <v>0</v>
      </c>
      <c r="P6558" s="16">
        <f t="shared" si="4"/>
        <v>0</v>
      </c>
    </row>
    <row r="6559" ht="15.75" customHeight="1">
      <c r="A6559" s="14">
        <v>45707.0</v>
      </c>
      <c r="B6559" s="15">
        <v>4.28</v>
      </c>
      <c r="C6559" s="15">
        <v>3.54</v>
      </c>
      <c r="D6559" s="15"/>
      <c r="E6559" s="15">
        <v>3.69</v>
      </c>
      <c r="F6559" s="15">
        <f t="shared" si="1"/>
        <v>-0.74</v>
      </c>
      <c r="G6559" s="15">
        <f t="shared" si="2"/>
        <v>3.54</v>
      </c>
      <c r="H6559" s="16">
        <v>0.0</v>
      </c>
      <c r="I6559" s="15">
        <f t="shared" si="3"/>
        <v>-0.74</v>
      </c>
      <c r="J6559" s="15">
        <v>15.27</v>
      </c>
      <c r="K6559" s="16">
        <f>IF(COUNTIFS(Release_Calendar!$A$2:$A$755,"US_CPI",Release_Calendar!$B$2:$B$755,$A6559)&gt;0,1,0)</f>
        <v>0</v>
      </c>
      <c r="L6559" s="16">
        <f>IF(COUNTIFS(Release_Calendar!$A$2:$A$755,"US_NFP",Release_Calendar!$B$2:$B$755,$A6559)&gt;0,1,0)</f>
        <v>0</v>
      </c>
      <c r="M6559" s="16">
        <f>IF($A6559&lt;Notes!$B$5,"",IF(COUNTIFS(Release_Calendar!$A$2:$A$755,"NZ_CPI",Release_Calendar!$B$2:$B$755,$A6559)&gt;0,1,0))</f>
        <v>0</v>
      </c>
      <c r="N6559" s="16">
        <f>IF($A6559&lt;Notes!$B$5,"",IF(COUNTIFS(Release_Calendar!$A$2:$A$755,"NZ_GDP",Release_Calendar!$B$2:$B$755,$A6559)&gt;0,1,0))</f>
        <v>0</v>
      </c>
      <c r="O6559" s="16">
        <f>IF($A6559&lt;Notes!$B$5,"",IF(COUNTIFS(Release_Calendar!$A$2:$A$755,"NZ_LABOUR",Release_Calendar!$B$2:$B$755,$A6559)&gt;0,1,0))</f>
        <v>0</v>
      </c>
      <c r="P6559" s="16">
        <f t="shared" si="4"/>
        <v>0</v>
      </c>
    </row>
    <row r="6560" ht="15.75" customHeight="1">
      <c r="A6560" s="14">
        <v>45708.0</v>
      </c>
      <c r="B6560" s="15">
        <v>4.28</v>
      </c>
      <c r="C6560" s="15">
        <v>3.56</v>
      </c>
      <c r="D6560" s="15"/>
      <c r="E6560" s="15">
        <v>3.72</v>
      </c>
      <c r="F6560" s="15">
        <f t="shared" si="1"/>
        <v>-0.72</v>
      </c>
      <c r="G6560" s="15">
        <f t="shared" si="2"/>
        <v>3.56</v>
      </c>
      <c r="H6560" s="16">
        <v>0.0</v>
      </c>
      <c r="I6560" s="15">
        <f t="shared" si="3"/>
        <v>-0.72</v>
      </c>
      <c r="J6560" s="15">
        <v>15.66</v>
      </c>
      <c r="K6560" s="16">
        <f>IF(COUNTIFS(Release_Calendar!$A$2:$A$755,"US_CPI",Release_Calendar!$B$2:$B$755,$A6560)&gt;0,1,0)</f>
        <v>0</v>
      </c>
      <c r="L6560" s="16">
        <f>IF(COUNTIFS(Release_Calendar!$A$2:$A$755,"US_NFP",Release_Calendar!$B$2:$B$755,$A6560)&gt;0,1,0)</f>
        <v>0</v>
      </c>
      <c r="M6560" s="16">
        <f>IF($A6560&lt;Notes!$B$5,"",IF(COUNTIFS(Release_Calendar!$A$2:$A$755,"NZ_CPI",Release_Calendar!$B$2:$B$755,$A6560)&gt;0,1,0))</f>
        <v>0</v>
      </c>
      <c r="N6560" s="16">
        <f>IF($A6560&lt;Notes!$B$5,"",IF(COUNTIFS(Release_Calendar!$A$2:$A$755,"NZ_GDP",Release_Calendar!$B$2:$B$755,$A6560)&gt;0,1,0))</f>
        <v>0</v>
      </c>
      <c r="O6560" s="16">
        <f>IF($A6560&lt;Notes!$B$5,"",IF(COUNTIFS(Release_Calendar!$A$2:$A$755,"NZ_LABOUR",Release_Calendar!$B$2:$B$755,$A6560)&gt;0,1,0))</f>
        <v>0</v>
      </c>
      <c r="P6560" s="16">
        <f t="shared" si="4"/>
        <v>0</v>
      </c>
    </row>
    <row r="6561" ht="15.75" customHeight="1">
      <c r="A6561" s="14">
        <v>45709.0</v>
      </c>
      <c r="B6561" s="15">
        <v>4.19</v>
      </c>
      <c r="C6561" s="15">
        <v>3.58</v>
      </c>
      <c r="D6561" s="15"/>
      <c r="E6561" s="15">
        <v>3.76</v>
      </c>
      <c r="F6561" s="15">
        <f t="shared" si="1"/>
        <v>-0.61</v>
      </c>
      <c r="G6561" s="15">
        <f t="shared" si="2"/>
        <v>3.58</v>
      </c>
      <c r="H6561" s="16">
        <v>0.0</v>
      </c>
      <c r="I6561" s="15">
        <f t="shared" si="3"/>
        <v>-0.61</v>
      </c>
      <c r="J6561" s="15">
        <v>18.21</v>
      </c>
      <c r="K6561" s="16">
        <f>IF(COUNTIFS(Release_Calendar!$A$2:$A$755,"US_CPI",Release_Calendar!$B$2:$B$755,$A6561)&gt;0,1,0)</f>
        <v>0</v>
      </c>
      <c r="L6561" s="16">
        <f>IF(COUNTIFS(Release_Calendar!$A$2:$A$755,"US_NFP",Release_Calendar!$B$2:$B$755,$A6561)&gt;0,1,0)</f>
        <v>0</v>
      </c>
      <c r="M6561" s="16">
        <f>IF($A6561&lt;Notes!$B$5,"",IF(COUNTIFS(Release_Calendar!$A$2:$A$755,"NZ_CPI",Release_Calendar!$B$2:$B$755,$A6561)&gt;0,1,0))</f>
        <v>0</v>
      </c>
      <c r="N6561" s="16">
        <f>IF($A6561&lt;Notes!$B$5,"",IF(COUNTIFS(Release_Calendar!$A$2:$A$755,"NZ_GDP",Release_Calendar!$B$2:$B$755,$A6561)&gt;0,1,0))</f>
        <v>0</v>
      </c>
      <c r="O6561" s="16">
        <f>IF($A6561&lt;Notes!$B$5,"",IF(COUNTIFS(Release_Calendar!$A$2:$A$755,"NZ_LABOUR",Release_Calendar!$B$2:$B$755,$A6561)&gt;0,1,0))</f>
        <v>0</v>
      </c>
      <c r="P6561" s="16">
        <f t="shared" si="4"/>
        <v>0</v>
      </c>
    </row>
    <row r="6562" ht="15.75" customHeight="1">
      <c r="A6562" s="14">
        <v>45712.0</v>
      </c>
      <c r="B6562" s="15">
        <v>4.13</v>
      </c>
      <c r="C6562" s="15">
        <v>3.55</v>
      </c>
      <c r="D6562" s="15"/>
      <c r="E6562" s="15">
        <v>3.73</v>
      </c>
      <c r="F6562" s="15">
        <f t="shared" si="1"/>
        <v>-0.58</v>
      </c>
      <c r="G6562" s="15">
        <f t="shared" si="2"/>
        <v>3.55</v>
      </c>
      <c r="H6562" s="16">
        <v>0.0</v>
      </c>
      <c r="I6562" s="15">
        <f t="shared" si="3"/>
        <v>-0.58</v>
      </c>
      <c r="J6562" s="15">
        <v>18.98</v>
      </c>
      <c r="K6562" s="16">
        <f>IF(COUNTIFS(Release_Calendar!$A$2:$A$755,"US_CPI",Release_Calendar!$B$2:$B$755,$A6562)&gt;0,1,0)</f>
        <v>0</v>
      </c>
      <c r="L6562" s="16">
        <f>IF(COUNTIFS(Release_Calendar!$A$2:$A$755,"US_NFP",Release_Calendar!$B$2:$B$755,$A6562)&gt;0,1,0)</f>
        <v>0</v>
      </c>
      <c r="M6562" s="16">
        <f>IF($A6562&lt;Notes!$B$5,"",IF(COUNTIFS(Release_Calendar!$A$2:$A$755,"NZ_CPI",Release_Calendar!$B$2:$B$755,$A6562)&gt;0,1,0))</f>
        <v>0</v>
      </c>
      <c r="N6562" s="16">
        <f>IF($A6562&lt;Notes!$B$5,"",IF(COUNTIFS(Release_Calendar!$A$2:$A$755,"NZ_GDP",Release_Calendar!$B$2:$B$755,$A6562)&gt;0,1,0))</f>
        <v>0</v>
      </c>
      <c r="O6562" s="16">
        <f>IF($A6562&lt;Notes!$B$5,"",IF(COUNTIFS(Release_Calendar!$A$2:$A$755,"NZ_LABOUR",Release_Calendar!$B$2:$B$755,$A6562)&gt;0,1,0))</f>
        <v>0</v>
      </c>
      <c r="P6562" s="16">
        <f t="shared" si="4"/>
        <v>0</v>
      </c>
    </row>
    <row r="6563" ht="15.75" customHeight="1">
      <c r="A6563" s="14">
        <v>45713.0</v>
      </c>
      <c r="B6563" s="15">
        <v>4.07</v>
      </c>
      <c r="C6563" s="15">
        <v>3.52</v>
      </c>
      <c r="D6563" s="15"/>
      <c r="E6563" s="15">
        <v>3.7</v>
      </c>
      <c r="F6563" s="15">
        <f t="shared" si="1"/>
        <v>-0.55</v>
      </c>
      <c r="G6563" s="15">
        <f t="shared" si="2"/>
        <v>3.52</v>
      </c>
      <c r="H6563" s="16">
        <v>0.0</v>
      </c>
      <c r="I6563" s="15">
        <f t="shared" si="3"/>
        <v>-0.55</v>
      </c>
      <c r="J6563" s="15">
        <v>19.43</v>
      </c>
      <c r="K6563" s="16">
        <f>IF(COUNTIFS(Release_Calendar!$A$2:$A$755,"US_CPI",Release_Calendar!$B$2:$B$755,$A6563)&gt;0,1,0)</f>
        <v>0</v>
      </c>
      <c r="L6563" s="16">
        <f>IF(COUNTIFS(Release_Calendar!$A$2:$A$755,"US_NFP",Release_Calendar!$B$2:$B$755,$A6563)&gt;0,1,0)</f>
        <v>0</v>
      </c>
      <c r="M6563" s="16">
        <f>IF($A6563&lt;Notes!$B$5,"",IF(COUNTIFS(Release_Calendar!$A$2:$A$755,"NZ_CPI",Release_Calendar!$B$2:$B$755,$A6563)&gt;0,1,0))</f>
        <v>0</v>
      </c>
      <c r="N6563" s="16">
        <f>IF($A6563&lt;Notes!$B$5,"",IF(COUNTIFS(Release_Calendar!$A$2:$A$755,"NZ_GDP",Release_Calendar!$B$2:$B$755,$A6563)&gt;0,1,0))</f>
        <v>0</v>
      </c>
      <c r="O6563" s="16">
        <f>IF($A6563&lt;Notes!$B$5,"",IF(COUNTIFS(Release_Calendar!$A$2:$A$755,"NZ_LABOUR",Release_Calendar!$B$2:$B$755,$A6563)&gt;0,1,0))</f>
        <v>0</v>
      </c>
      <c r="P6563" s="16">
        <f t="shared" si="4"/>
        <v>0</v>
      </c>
    </row>
    <row r="6564" ht="15.75" customHeight="1">
      <c r="A6564" s="14">
        <v>45714.0</v>
      </c>
      <c r="B6564" s="15">
        <v>4.05</v>
      </c>
      <c r="C6564" s="15">
        <v>3.5</v>
      </c>
      <c r="D6564" s="15"/>
      <c r="E6564" s="15">
        <v>3.68</v>
      </c>
      <c r="F6564" s="15">
        <f t="shared" si="1"/>
        <v>-0.55</v>
      </c>
      <c r="G6564" s="15">
        <f t="shared" si="2"/>
        <v>3.5</v>
      </c>
      <c r="H6564" s="16">
        <v>0.0</v>
      </c>
      <c r="I6564" s="15">
        <f t="shared" si="3"/>
        <v>-0.55</v>
      </c>
      <c r="J6564" s="15">
        <v>19.1</v>
      </c>
      <c r="K6564" s="16">
        <f>IF(COUNTIFS(Release_Calendar!$A$2:$A$755,"US_CPI",Release_Calendar!$B$2:$B$755,$A6564)&gt;0,1,0)</f>
        <v>0</v>
      </c>
      <c r="L6564" s="16">
        <f>IF(COUNTIFS(Release_Calendar!$A$2:$A$755,"US_NFP",Release_Calendar!$B$2:$B$755,$A6564)&gt;0,1,0)</f>
        <v>0</v>
      </c>
      <c r="M6564" s="16">
        <f>IF($A6564&lt;Notes!$B$5,"",IF(COUNTIFS(Release_Calendar!$A$2:$A$755,"NZ_CPI",Release_Calendar!$B$2:$B$755,$A6564)&gt;0,1,0))</f>
        <v>0</v>
      </c>
      <c r="N6564" s="16">
        <f>IF($A6564&lt;Notes!$B$5,"",IF(COUNTIFS(Release_Calendar!$A$2:$A$755,"NZ_GDP",Release_Calendar!$B$2:$B$755,$A6564)&gt;0,1,0))</f>
        <v>0</v>
      </c>
      <c r="O6564" s="16">
        <f>IF($A6564&lt;Notes!$B$5,"",IF(COUNTIFS(Release_Calendar!$A$2:$A$755,"NZ_LABOUR",Release_Calendar!$B$2:$B$755,$A6564)&gt;0,1,0))</f>
        <v>0</v>
      </c>
      <c r="P6564" s="16">
        <f t="shared" si="4"/>
        <v>0</v>
      </c>
    </row>
    <row r="6565" ht="15.75" customHeight="1">
      <c r="A6565" s="14">
        <v>45715.0</v>
      </c>
      <c r="B6565" s="15">
        <v>4.07</v>
      </c>
      <c r="C6565" s="15">
        <v>3.49</v>
      </c>
      <c r="D6565" s="15"/>
      <c r="E6565" s="15">
        <v>3.66</v>
      </c>
      <c r="F6565" s="15">
        <f t="shared" si="1"/>
        <v>-0.58</v>
      </c>
      <c r="G6565" s="15">
        <f t="shared" si="2"/>
        <v>3.49</v>
      </c>
      <c r="H6565" s="16">
        <v>0.0</v>
      </c>
      <c r="I6565" s="15">
        <f t="shared" si="3"/>
        <v>-0.58</v>
      </c>
      <c r="J6565" s="15">
        <v>21.13</v>
      </c>
      <c r="K6565" s="16">
        <f>IF(COUNTIFS(Release_Calendar!$A$2:$A$755,"US_CPI",Release_Calendar!$B$2:$B$755,$A6565)&gt;0,1,0)</f>
        <v>0</v>
      </c>
      <c r="L6565" s="16">
        <f>IF(COUNTIFS(Release_Calendar!$A$2:$A$755,"US_NFP",Release_Calendar!$B$2:$B$755,$A6565)&gt;0,1,0)</f>
        <v>0</v>
      </c>
      <c r="M6565" s="16">
        <f>IF($A6565&lt;Notes!$B$5,"",IF(COUNTIFS(Release_Calendar!$A$2:$A$755,"NZ_CPI",Release_Calendar!$B$2:$B$755,$A6565)&gt;0,1,0))</f>
        <v>0</v>
      </c>
      <c r="N6565" s="16">
        <f>IF($A6565&lt;Notes!$B$5,"",IF(COUNTIFS(Release_Calendar!$A$2:$A$755,"NZ_GDP",Release_Calendar!$B$2:$B$755,$A6565)&gt;0,1,0))</f>
        <v>0</v>
      </c>
      <c r="O6565" s="16">
        <f>IF($A6565&lt;Notes!$B$5,"",IF(COUNTIFS(Release_Calendar!$A$2:$A$755,"NZ_LABOUR",Release_Calendar!$B$2:$B$755,$A6565)&gt;0,1,0))</f>
        <v>0</v>
      </c>
      <c r="P6565" s="16">
        <f t="shared" si="4"/>
        <v>0</v>
      </c>
    </row>
    <row r="6566" ht="15.75" customHeight="1">
      <c r="A6566" s="14">
        <v>45716.0</v>
      </c>
      <c r="B6566" s="15">
        <v>3.99</v>
      </c>
      <c r="C6566" s="15">
        <v>3.43</v>
      </c>
      <c r="D6566" s="15"/>
      <c r="E6566" s="15">
        <v>3.57</v>
      </c>
      <c r="F6566" s="15">
        <f t="shared" si="1"/>
        <v>-0.56</v>
      </c>
      <c r="G6566" s="15">
        <f t="shared" si="2"/>
        <v>3.43</v>
      </c>
      <c r="H6566" s="16">
        <v>0.0</v>
      </c>
      <c r="I6566" s="15">
        <f t="shared" si="3"/>
        <v>-0.56</v>
      </c>
      <c r="J6566" s="15">
        <v>19.63</v>
      </c>
      <c r="K6566" s="16">
        <f>IF(COUNTIFS(Release_Calendar!$A$2:$A$755,"US_CPI",Release_Calendar!$B$2:$B$755,$A6566)&gt;0,1,0)</f>
        <v>0</v>
      </c>
      <c r="L6566" s="16">
        <f>IF(COUNTIFS(Release_Calendar!$A$2:$A$755,"US_NFP",Release_Calendar!$B$2:$B$755,$A6566)&gt;0,1,0)</f>
        <v>0</v>
      </c>
      <c r="M6566" s="16">
        <f>IF($A6566&lt;Notes!$B$5,"",IF(COUNTIFS(Release_Calendar!$A$2:$A$755,"NZ_CPI",Release_Calendar!$B$2:$B$755,$A6566)&gt;0,1,0))</f>
        <v>0</v>
      </c>
      <c r="N6566" s="16">
        <f>IF($A6566&lt;Notes!$B$5,"",IF(COUNTIFS(Release_Calendar!$A$2:$A$755,"NZ_GDP",Release_Calendar!$B$2:$B$755,$A6566)&gt;0,1,0))</f>
        <v>0</v>
      </c>
      <c r="O6566" s="16">
        <f>IF($A6566&lt;Notes!$B$5,"",IF(COUNTIFS(Release_Calendar!$A$2:$A$755,"NZ_LABOUR",Release_Calendar!$B$2:$B$755,$A6566)&gt;0,1,0))</f>
        <v>0</v>
      </c>
      <c r="P6566" s="16">
        <f t="shared" si="4"/>
        <v>0</v>
      </c>
    </row>
    <row r="6567" ht="15.75" customHeight="1">
      <c r="A6567" s="14">
        <v>45719.0</v>
      </c>
      <c r="B6567" s="15">
        <v>3.96</v>
      </c>
      <c r="C6567" s="15">
        <v>3.42</v>
      </c>
      <c r="D6567" s="15"/>
      <c r="E6567" s="15">
        <v>3.58</v>
      </c>
      <c r="F6567" s="15">
        <f t="shared" si="1"/>
        <v>-0.54</v>
      </c>
      <c r="G6567" s="15">
        <f t="shared" si="2"/>
        <v>3.42</v>
      </c>
      <c r="H6567" s="16">
        <v>0.0</v>
      </c>
      <c r="I6567" s="15">
        <f t="shared" si="3"/>
        <v>-0.54</v>
      </c>
      <c r="J6567" s="15">
        <v>22.78</v>
      </c>
      <c r="K6567" s="16">
        <f>IF(COUNTIFS(Release_Calendar!$A$2:$A$755,"US_CPI",Release_Calendar!$B$2:$B$755,$A6567)&gt;0,1,0)</f>
        <v>0</v>
      </c>
      <c r="L6567" s="16">
        <f>IF(COUNTIFS(Release_Calendar!$A$2:$A$755,"US_NFP",Release_Calendar!$B$2:$B$755,$A6567)&gt;0,1,0)</f>
        <v>0</v>
      </c>
      <c r="M6567" s="16">
        <f>IF($A6567&lt;Notes!$B$5,"",IF(COUNTIFS(Release_Calendar!$A$2:$A$755,"NZ_CPI",Release_Calendar!$B$2:$B$755,$A6567)&gt;0,1,0))</f>
        <v>0</v>
      </c>
      <c r="N6567" s="16">
        <f>IF($A6567&lt;Notes!$B$5,"",IF(COUNTIFS(Release_Calendar!$A$2:$A$755,"NZ_GDP",Release_Calendar!$B$2:$B$755,$A6567)&gt;0,1,0))</f>
        <v>0</v>
      </c>
      <c r="O6567" s="16">
        <f>IF($A6567&lt;Notes!$B$5,"",IF(COUNTIFS(Release_Calendar!$A$2:$A$755,"NZ_LABOUR",Release_Calendar!$B$2:$B$755,$A6567)&gt;0,1,0))</f>
        <v>0</v>
      </c>
      <c r="P6567" s="16">
        <f t="shared" si="4"/>
        <v>0</v>
      </c>
    </row>
    <row r="6568" ht="15.75" customHeight="1">
      <c r="A6568" s="14">
        <v>45720.0</v>
      </c>
      <c r="B6568" s="15">
        <v>3.96</v>
      </c>
      <c r="C6568" s="15">
        <v>3.39</v>
      </c>
      <c r="D6568" s="15"/>
      <c r="E6568" s="15">
        <v>3.55</v>
      </c>
      <c r="F6568" s="15">
        <f t="shared" si="1"/>
        <v>-0.57</v>
      </c>
      <c r="G6568" s="15">
        <f t="shared" si="2"/>
        <v>3.39</v>
      </c>
      <c r="H6568" s="16">
        <v>0.0</v>
      </c>
      <c r="I6568" s="15">
        <f t="shared" si="3"/>
        <v>-0.57</v>
      </c>
      <c r="J6568" s="15">
        <v>23.51</v>
      </c>
      <c r="K6568" s="16">
        <f>IF(COUNTIFS(Release_Calendar!$A$2:$A$755,"US_CPI",Release_Calendar!$B$2:$B$755,$A6568)&gt;0,1,0)</f>
        <v>0</v>
      </c>
      <c r="L6568" s="16">
        <f>IF(COUNTIFS(Release_Calendar!$A$2:$A$755,"US_NFP",Release_Calendar!$B$2:$B$755,$A6568)&gt;0,1,0)</f>
        <v>0</v>
      </c>
      <c r="M6568" s="16">
        <f>IF($A6568&lt;Notes!$B$5,"",IF(COUNTIFS(Release_Calendar!$A$2:$A$755,"NZ_CPI",Release_Calendar!$B$2:$B$755,$A6568)&gt;0,1,0))</f>
        <v>0</v>
      </c>
      <c r="N6568" s="16">
        <f>IF($A6568&lt;Notes!$B$5,"",IF(COUNTIFS(Release_Calendar!$A$2:$A$755,"NZ_GDP",Release_Calendar!$B$2:$B$755,$A6568)&gt;0,1,0))</f>
        <v>0</v>
      </c>
      <c r="O6568" s="16">
        <f>IF($A6568&lt;Notes!$B$5,"",IF(COUNTIFS(Release_Calendar!$A$2:$A$755,"NZ_LABOUR",Release_Calendar!$B$2:$B$755,$A6568)&gt;0,1,0))</f>
        <v>0</v>
      </c>
      <c r="P6568" s="16">
        <f t="shared" si="4"/>
        <v>0</v>
      </c>
    </row>
    <row r="6569" ht="15.75" customHeight="1">
      <c r="A6569" s="14">
        <v>45721.0</v>
      </c>
      <c r="B6569" s="15">
        <v>3.99</v>
      </c>
      <c r="C6569" s="15">
        <v>3.44</v>
      </c>
      <c r="D6569" s="15"/>
      <c r="E6569" s="15">
        <v>3.61</v>
      </c>
      <c r="F6569" s="15">
        <f t="shared" si="1"/>
        <v>-0.55</v>
      </c>
      <c r="G6569" s="15">
        <f t="shared" si="2"/>
        <v>3.44</v>
      </c>
      <c r="H6569" s="16">
        <v>0.0</v>
      </c>
      <c r="I6569" s="15">
        <f t="shared" si="3"/>
        <v>-0.55</v>
      </c>
      <c r="J6569" s="15">
        <v>21.93</v>
      </c>
      <c r="K6569" s="16">
        <f>IF(COUNTIFS(Release_Calendar!$A$2:$A$755,"US_CPI",Release_Calendar!$B$2:$B$755,$A6569)&gt;0,1,0)</f>
        <v>0</v>
      </c>
      <c r="L6569" s="16">
        <f>IF(COUNTIFS(Release_Calendar!$A$2:$A$755,"US_NFP",Release_Calendar!$B$2:$B$755,$A6569)&gt;0,1,0)</f>
        <v>0</v>
      </c>
      <c r="M6569" s="16">
        <f>IF($A6569&lt;Notes!$B$5,"",IF(COUNTIFS(Release_Calendar!$A$2:$A$755,"NZ_CPI",Release_Calendar!$B$2:$B$755,$A6569)&gt;0,1,0))</f>
        <v>0</v>
      </c>
      <c r="N6569" s="16">
        <f>IF($A6569&lt;Notes!$B$5,"",IF(COUNTIFS(Release_Calendar!$A$2:$A$755,"NZ_GDP",Release_Calendar!$B$2:$B$755,$A6569)&gt;0,1,0))</f>
        <v>0</v>
      </c>
      <c r="O6569" s="16">
        <f>IF($A6569&lt;Notes!$B$5,"",IF(COUNTIFS(Release_Calendar!$A$2:$A$755,"NZ_LABOUR",Release_Calendar!$B$2:$B$755,$A6569)&gt;0,1,0))</f>
        <v>0</v>
      </c>
      <c r="P6569" s="16">
        <f t="shared" si="4"/>
        <v>0</v>
      </c>
    </row>
    <row r="6570" ht="15.75" customHeight="1">
      <c r="A6570" s="14">
        <v>45722.0</v>
      </c>
      <c r="B6570" s="15">
        <v>3.96</v>
      </c>
      <c r="C6570" s="15">
        <v>3.49</v>
      </c>
      <c r="D6570" s="15"/>
      <c r="E6570" s="15">
        <v>3.67</v>
      </c>
      <c r="F6570" s="15">
        <f t="shared" si="1"/>
        <v>-0.47</v>
      </c>
      <c r="G6570" s="15">
        <f t="shared" si="2"/>
        <v>3.49</v>
      </c>
      <c r="H6570" s="16">
        <v>0.0</v>
      </c>
      <c r="I6570" s="15">
        <f t="shared" si="3"/>
        <v>-0.47</v>
      </c>
      <c r="J6570" s="15">
        <v>24.87</v>
      </c>
      <c r="K6570" s="16">
        <f>IF(COUNTIFS(Release_Calendar!$A$2:$A$755,"US_CPI",Release_Calendar!$B$2:$B$755,$A6570)&gt;0,1,0)</f>
        <v>0</v>
      </c>
      <c r="L6570" s="16">
        <f>IF(COUNTIFS(Release_Calendar!$A$2:$A$755,"US_NFP",Release_Calendar!$B$2:$B$755,$A6570)&gt;0,1,0)</f>
        <v>0</v>
      </c>
      <c r="M6570" s="16">
        <f>IF($A6570&lt;Notes!$B$5,"",IF(COUNTIFS(Release_Calendar!$A$2:$A$755,"NZ_CPI",Release_Calendar!$B$2:$B$755,$A6570)&gt;0,1,0))</f>
        <v>0</v>
      </c>
      <c r="N6570" s="16">
        <f>IF($A6570&lt;Notes!$B$5,"",IF(COUNTIFS(Release_Calendar!$A$2:$A$755,"NZ_GDP",Release_Calendar!$B$2:$B$755,$A6570)&gt;0,1,0))</f>
        <v>0</v>
      </c>
      <c r="O6570" s="16">
        <f>IF($A6570&lt;Notes!$B$5,"",IF(COUNTIFS(Release_Calendar!$A$2:$A$755,"NZ_LABOUR",Release_Calendar!$B$2:$B$755,$A6570)&gt;0,1,0))</f>
        <v>0</v>
      </c>
      <c r="P6570" s="16">
        <f t="shared" si="4"/>
        <v>0</v>
      </c>
    </row>
    <row r="6571" ht="15.75" customHeight="1">
      <c r="A6571" s="14">
        <v>45723.0</v>
      </c>
      <c r="B6571" s="15">
        <v>3.99</v>
      </c>
      <c r="C6571" s="15">
        <v>3.43</v>
      </c>
      <c r="D6571" s="15"/>
      <c r="E6571" s="15">
        <v>3.6</v>
      </c>
      <c r="F6571" s="15">
        <f t="shared" si="1"/>
        <v>-0.56</v>
      </c>
      <c r="G6571" s="15">
        <f t="shared" si="2"/>
        <v>3.43</v>
      </c>
      <c r="H6571" s="16">
        <v>0.0</v>
      </c>
      <c r="I6571" s="15">
        <f t="shared" si="3"/>
        <v>-0.56</v>
      </c>
      <c r="J6571" s="15">
        <v>23.37</v>
      </c>
      <c r="K6571" s="16">
        <f>IF(COUNTIFS(Release_Calendar!$A$2:$A$755,"US_CPI",Release_Calendar!$B$2:$B$755,$A6571)&gt;0,1,0)</f>
        <v>0</v>
      </c>
      <c r="L6571" s="16">
        <f>IF(COUNTIFS(Release_Calendar!$A$2:$A$755,"US_NFP",Release_Calendar!$B$2:$B$755,$A6571)&gt;0,1,0)</f>
        <v>1</v>
      </c>
      <c r="M6571" s="16">
        <f>IF($A6571&lt;Notes!$B$5,"",IF(COUNTIFS(Release_Calendar!$A$2:$A$755,"NZ_CPI",Release_Calendar!$B$2:$B$755,$A6571)&gt;0,1,0))</f>
        <v>0</v>
      </c>
      <c r="N6571" s="16">
        <f>IF($A6571&lt;Notes!$B$5,"",IF(COUNTIFS(Release_Calendar!$A$2:$A$755,"NZ_GDP",Release_Calendar!$B$2:$B$755,$A6571)&gt;0,1,0))</f>
        <v>0</v>
      </c>
      <c r="O6571" s="16">
        <f>IF($A6571&lt;Notes!$B$5,"",IF(COUNTIFS(Release_Calendar!$A$2:$A$755,"NZ_LABOUR",Release_Calendar!$B$2:$B$755,$A6571)&gt;0,1,0))</f>
        <v>0</v>
      </c>
      <c r="P6571" s="16">
        <f t="shared" si="4"/>
        <v>1</v>
      </c>
    </row>
    <row r="6572" ht="15.75" customHeight="1">
      <c r="A6572" s="14">
        <v>45726.0</v>
      </c>
      <c r="B6572" s="15">
        <v>3.89</v>
      </c>
      <c r="C6572" s="15">
        <v>3.43</v>
      </c>
      <c r="D6572" s="15"/>
      <c r="E6572" s="15">
        <v>3.61</v>
      </c>
      <c r="F6572" s="15">
        <f t="shared" si="1"/>
        <v>-0.46</v>
      </c>
      <c r="G6572" s="15">
        <f t="shared" si="2"/>
        <v>3.43</v>
      </c>
      <c r="H6572" s="16">
        <v>0.0</v>
      </c>
      <c r="I6572" s="15">
        <f t="shared" si="3"/>
        <v>-0.46</v>
      </c>
      <c r="J6572" s="15">
        <v>27.86</v>
      </c>
      <c r="K6572" s="16">
        <f>IF(COUNTIFS(Release_Calendar!$A$2:$A$755,"US_CPI",Release_Calendar!$B$2:$B$755,$A6572)&gt;0,1,0)</f>
        <v>0</v>
      </c>
      <c r="L6572" s="16">
        <f>IF(COUNTIFS(Release_Calendar!$A$2:$A$755,"US_NFP",Release_Calendar!$B$2:$B$755,$A6572)&gt;0,1,0)</f>
        <v>0</v>
      </c>
      <c r="M6572" s="16">
        <f>IF($A6572&lt;Notes!$B$5,"",IF(COUNTIFS(Release_Calendar!$A$2:$A$755,"NZ_CPI",Release_Calendar!$B$2:$B$755,$A6572)&gt;0,1,0))</f>
        <v>0</v>
      </c>
      <c r="N6572" s="16">
        <f>IF($A6572&lt;Notes!$B$5,"",IF(COUNTIFS(Release_Calendar!$A$2:$A$755,"NZ_GDP",Release_Calendar!$B$2:$B$755,$A6572)&gt;0,1,0))</f>
        <v>0</v>
      </c>
      <c r="O6572" s="16">
        <f>IF($A6572&lt;Notes!$B$5,"",IF(COUNTIFS(Release_Calendar!$A$2:$A$755,"NZ_LABOUR",Release_Calendar!$B$2:$B$755,$A6572)&gt;0,1,0))</f>
        <v>0</v>
      </c>
      <c r="P6572" s="16">
        <f t="shared" si="4"/>
        <v>0</v>
      </c>
    </row>
    <row r="6573" ht="15.75" customHeight="1">
      <c r="A6573" s="14">
        <v>45727.0</v>
      </c>
      <c r="B6573" s="15">
        <v>3.94</v>
      </c>
      <c r="C6573" s="15">
        <v>3.38</v>
      </c>
      <c r="D6573" s="15"/>
      <c r="E6573" s="15">
        <v>3.57</v>
      </c>
      <c r="F6573" s="15">
        <f t="shared" si="1"/>
        <v>-0.56</v>
      </c>
      <c r="G6573" s="15">
        <f t="shared" si="2"/>
        <v>3.38</v>
      </c>
      <c r="H6573" s="16">
        <v>0.0</v>
      </c>
      <c r="I6573" s="15">
        <f t="shared" si="3"/>
        <v>-0.56</v>
      </c>
      <c r="J6573" s="15">
        <v>26.92</v>
      </c>
      <c r="K6573" s="16">
        <f>IF(COUNTIFS(Release_Calendar!$A$2:$A$755,"US_CPI",Release_Calendar!$B$2:$B$755,$A6573)&gt;0,1,0)</f>
        <v>0</v>
      </c>
      <c r="L6573" s="16">
        <f>IF(COUNTIFS(Release_Calendar!$A$2:$A$755,"US_NFP",Release_Calendar!$B$2:$B$755,$A6573)&gt;0,1,0)</f>
        <v>0</v>
      </c>
      <c r="M6573" s="16">
        <f>IF($A6573&lt;Notes!$B$5,"",IF(COUNTIFS(Release_Calendar!$A$2:$A$755,"NZ_CPI",Release_Calendar!$B$2:$B$755,$A6573)&gt;0,1,0))</f>
        <v>0</v>
      </c>
      <c r="N6573" s="16">
        <f>IF($A6573&lt;Notes!$B$5,"",IF(COUNTIFS(Release_Calendar!$A$2:$A$755,"NZ_GDP",Release_Calendar!$B$2:$B$755,$A6573)&gt;0,1,0))</f>
        <v>0</v>
      </c>
      <c r="O6573" s="16">
        <f>IF($A6573&lt;Notes!$B$5,"",IF(COUNTIFS(Release_Calendar!$A$2:$A$755,"NZ_LABOUR",Release_Calendar!$B$2:$B$755,$A6573)&gt;0,1,0))</f>
        <v>0</v>
      </c>
      <c r="P6573" s="16">
        <f t="shared" si="4"/>
        <v>0</v>
      </c>
    </row>
    <row r="6574" ht="15.75" customHeight="1">
      <c r="A6574" s="14">
        <v>45728.0</v>
      </c>
      <c r="B6574" s="15">
        <v>4.01</v>
      </c>
      <c r="C6574" s="15">
        <v>3.42</v>
      </c>
      <c r="D6574" s="15"/>
      <c r="E6574" s="15">
        <v>3.61</v>
      </c>
      <c r="F6574" s="15">
        <f t="shared" si="1"/>
        <v>-0.59</v>
      </c>
      <c r="G6574" s="15">
        <f t="shared" si="2"/>
        <v>3.42</v>
      </c>
      <c r="H6574" s="16">
        <v>0.0</v>
      </c>
      <c r="I6574" s="15">
        <f t="shared" si="3"/>
        <v>-0.59</v>
      </c>
      <c r="J6574" s="15">
        <v>24.23</v>
      </c>
      <c r="K6574" s="16">
        <f>IF(COUNTIFS(Release_Calendar!$A$2:$A$755,"US_CPI",Release_Calendar!$B$2:$B$755,$A6574)&gt;0,1,0)</f>
        <v>1</v>
      </c>
      <c r="L6574" s="16">
        <f>IF(COUNTIFS(Release_Calendar!$A$2:$A$755,"US_NFP",Release_Calendar!$B$2:$B$755,$A6574)&gt;0,1,0)</f>
        <v>0</v>
      </c>
      <c r="M6574" s="16">
        <f>IF($A6574&lt;Notes!$B$5,"",IF(COUNTIFS(Release_Calendar!$A$2:$A$755,"NZ_CPI",Release_Calendar!$B$2:$B$755,$A6574)&gt;0,1,0))</f>
        <v>0</v>
      </c>
      <c r="N6574" s="16">
        <f>IF($A6574&lt;Notes!$B$5,"",IF(COUNTIFS(Release_Calendar!$A$2:$A$755,"NZ_GDP",Release_Calendar!$B$2:$B$755,$A6574)&gt;0,1,0))</f>
        <v>0</v>
      </c>
      <c r="O6574" s="16">
        <f>IF($A6574&lt;Notes!$B$5,"",IF(COUNTIFS(Release_Calendar!$A$2:$A$755,"NZ_LABOUR",Release_Calendar!$B$2:$B$755,$A6574)&gt;0,1,0))</f>
        <v>0</v>
      </c>
      <c r="P6574" s="16">
        <f t="shared" si="4"/>
        <v>1</v>
      </c>
    </row>
    <row r="6575" ht="15.75" customHeight="1">
      <c r="A6575" s="14">
        <v>45729.0</v>
      </c>
      <c r="B6575" s="15">
        <v>3.94</v>
      </c>
      <c r="C6575" s="15">
        <v>3.44</v>
      </c>
      <c r="D6575" s="15"/>
      <c r="E6575" s="15">
        <v>3.62</v>
      </c>
      <c r="F6575" s="15">
        <f t="shared" si="1"/>
        <v>-0.5</v>
      </c>
      <c r="G6575" s="15">
        <f t="shared" si="2"/>
        <v>3.44</v>
      </c>
      <c r="H6575" s="16">
        <v>0.0</v>
      </c>
      <c r="I6575" s="15">
        <f t="shared" si="3"/>
        <v>-0.5</v>
      </c>
      <c r="J6575" s="15">
        <v>24.66</v>
      </c>
      <c r="K6575" s="16">
        <f>IF(COUNTIFS(Release_Calendar!$A$2:$A$755,"US_CPI",Release_Calendar!$B$2:$B$755,$A6575)&gt;0,1,0)</f>
        <v>0</v>
      </c>
      <c r="L6575" s="16">
        <f>IF(COUNTIFS(Release_Calendar!$A$2:$A$755,"US_NFP",Release_Calendar!$B$2:$B$755,$A6575)&gt;0,1,0)</f>
        <v>0</v>
      </c>
      <c r="M6575" s="16">
        <f>IF($A6575&lt;Notes!$B$5,"",IF(COUNTIFS(Release_Calendar!$A$2:$A$755,"NZ_CPI",Release_Calendar!$B$2:$B$755,$A6575)&gt;0,1,0))</f>
        <v>0</v>
      </c>
      <c r="N6575" s="16">
        <f>IF($A6575&lt;Notes!$B$5,"",IF(COUNTIFS(Release_Calendar!$A$2:$A$755,"NZ_GDP",Release_Calendar!$B$2:$B$755,$A6575)&gt;0,1,0))</f>
        <v>0</v>
      </c>
      <c r="O6575" s="16">
        <f>IF($A6575&lt;Notes!$B$5,"",IF(COUNTIFS(Release_Calendar!$A$2:$A$755,"NZ_LABOUR",Release_Calendar!$B$2:$B$755,$A6575)&gt;0,1,0))</f>
        <v>0</v>
      </c>
      <c r="P6575" s="16">
        <f t="shared" si="4"/>
        <v>0</v>
      </c>
    </row>
    <row r="6576" ht="15.75" customHeight="1">
      <c r="A6576" s="14">
        <v>45730.0</v>
      </c>
      <c r="B6576" s="15">
        <v>4.02</v>
      </c>
      <c r="C6576" s="15">
        <v>3.47</v>
      </c>
      <c r="D6576" s="15"/>
      <c r="E6576" s="15">
        <v>3.64</v>
      </c>
      <c r="F6576" s="15">
        <f t="shared" si="1"/>
        <v>-0.55</v>
      </c>
      <c r="G6576" s="15">
        <f t="shared" si="2"/>
        <v>3.47</v>
      </c>
      <c r="H6576" s="16">
        <v>0.0</v>
      </c>
      <c r="I6576" s="15">
        <f t="shared" si="3"/>
        <v>-0.55</v>
      </c>
      <c r="J6576" s="15">
        <v>21.77</v>
      </c>
      <c r="K6576" s="16">
        <f>IF(COUNTIFS(Release_Calendar!$A$2:$A$755,"US_CPI",Release_Calendar!$B$2:$B$755,$A6576)&gt;0,1,0)</f>
        <v>0</v>
      </c>
      <c r="L6576" s="16">
        <f>IF(COUNTIFS(Release_Calendar!$A$2:$A$755,"US_NFP",Release_Calendar!$B$2:$B$755,$A6576)&gt;0,1,0)</f>
        <v>0</v>
      </c>
      <c r="M6576" s="16">
        <f>IF($A6576&lt;Notes!$B$5,"",IF(COUNTIFS(Release_Calendar!$A$2:$A$755,"NZ_CPI",Release_Calendar!$B$2:$B$755,$A6576)&gt;0,1,0))</f>
        <v>0</v>
      </c>
      <c r="N6576" s="16">
        <f>IF($A6576&lt;Notes!$B$5,"",IF(COUNTIFS(Release_Calendar!$A$2:$A$755,"NZ_GDP",Release_Calendar!$B$2:$B$755,$A6576)&gt;0,1,0))</f>
        <v>0</v>
      </c>
      <c r="O6576" s="16">
        <f>IF($A6576&lt;Notes!$B$5,"",IF(COUNTIFS(Release_Calendar!$A$2:$A$755,"NZ_LABOUR",Release_Calendar!$B$2:$B$755,$A6576)&gt;0,1,0))</f>
        <v>0</v>
      </c>
      <c r="P6576" s="16">
        <f t="shared" si="4"/>
        <v>0</v>
      </c>
    </row>
    <row r="6577" ht="15.75" customHeight="1">
      <c r="A6577" s="14">
        <v>45733.0</v>
      </c>
      <c r="B6577" s="15">
        <v>4.06</v>
      </c>
      <c r="C6577" s="15">
        <v>3.5</v>
      </c>
      <c r="D6577" s="15"/>
      <c r="E6577" s="15">
        <v>3.67</v>
      </c>
      <c r="F6577" s="15">
        <f t="shared" si="1"/>
        <v>-0.56</v>
      </c>
      <c r="G6577" s="15">
        <f t="shared" si="2"/>
        <v>3.5</v>
      </c>
      <c r="H6577" s="16">
        <v>0.0</v>
      </c>
      <c r="I6577" s="15">
        <f t="shared" si="3"/>
        <v>-0.56</v>
      </c>
      <c r="J6577" s="15">
        <v>20.51</v>
      </c>
      <c r="K6577" s="16">
        <f>IF(COUNTIFS(Release_Calendar!$A$2:$A$755,"US_CPI",Release_Calendar!$B$2:$B$755,$A6577)&gt;0,1,0)</f>
        <v>0</v>
      </c>
      <c r="L6577" s="16">
        <f>IF(COUNTIFS(Release_Calendar!$A$2:$A$755,"US_NFP",Release_Calendar!$B$2:$B$755,$A6577)&gt;0,1,0)</f>
        <v>0</v>
      </c>
      <c r="M6577" s="16">
        <f>IF($A6577&lt;Notes!$B$5,"",IF(COUNTIFS(Release_Calendar!$A$2:$A$755,"NZ_CPI",Release_Calendar!$B$2:$B$755,$A6577)&gt;0,1,0))</f>
        <v>0</v>
      </c>
      <c r="N6577" s="16">
        <f>IF($A6577&lt;Notes!$B$5,"",IF(COUNTIFS(Release_Calendar!$A$2:$A$755,"NZ_GDP",Release_Calendar!$B$2:$B$755,$A6577)&gt;0,1,0))</f>
        <v>0</v>
      </c>
      <c r="O6577" s="16">
        <f>IF($A6577&lt;Notes!$B$5,"",IF(COUNTIFS(Release_Calendar!$A$2:$A$755,"NZ_LABOUR",Release_Calendar!$B$2:$B$755,$A6577)&gt;0,1,0))</f>
        <v>0</v>
      </c>
      <c r="P6577" s="16">
        <f t="shared" si="4"/>
        <v>0</v>
      </c>
    </row>
    <row r="6578" ht="15.75" customHeight="1">
      <c r="A6578" s="14">
        <v>45734.0</v>
      </c>
      <c r="B6578" s="15">
        <v>4.04</v>
      </c>
      <c r="C6578" s="15">
        <v>3.5</v>
      </c>
      <c r="D6578" s="15"/>
      <c r="E6578" s="15">
        <v>3.67</v>
      </c>
      <c r="F6578" s="15">
        <f t="shared" si="1"/>
        <v>-0.54</v>
      </c>
      <c r="G6578" s="15">
        <f t="shared" si="2"/>
        <v>3.5</v>
      </c>
      <c r="H6578" s="16">
        <v>0.0</v>
      </c>
      <c r="I6578" s="15">
        <f t="shared" si="3"/>
        <v>-0.54</v>
      </c>
      <c r="J6578" s="15">
        <v>21.7</v>
      </c>
      <c r="K6578" s="16">
        <f>IF(COUNTIFS(Release_Calendar!$A$2:$A$755,"US_CPI",Release_Calendar!$B$2:$B$755,$A6578)&gt;0,1,0)</f>
        <v>0</v>
      </c>
      <c r="L6578" s="16">
        <f>IF(COUNTIFS(Release_Calendar!$A$2:$A$755,"US_NFP",Release_Calendar!$B$2:$B$755,$A6578)&gt;0,1,0)</f>
        <v>0</v>
      </c>
      <c r="M6578" s="16">
        <f>IF($A6578&lt;Notes!$B$5,"",IF(COUNTIFS(Release_Calendar!$A$2:$A$755,"NZ_CPI",Release_Calendar!$B$2:$B$755,$A6578)&gt;0,1,0))</f>
        <v>0</v>
      </c>
      <c r="N6578" s="16">
        <f>IF($A6578&lt;Notes!$B$5,"",IF(COUNTIFS(Release_Calendar!$A$2:$A$755,"NZ_GDP",Release_Calendar!$B$2:$B$755,$A6578)&gt;0,1,0))</f>
        <v>0</v>
      </c>
      <c r="O6578" s="16">
        <f>IF($A6578&lt;Notes!$B$5,"",IF(COUNTIFS(Release_Calendar!$A$2:$A$755,"NZ_LABOUR",Release_Calendar!$B$2:$B$755,$A6578)&gt;0,1,0))</f>
        <v>0</v>
      </c>
      <c r="P6578" s="16">
        <f t="shared" si="4"/>
        <v>0</v>
      </c>
    </row>
    <row r="6579" ht="15.75" customHeight="1">
      <c r="A6579" s="14">
        <v>45735.0</v>
      </c>
      <c r="B6579" s="15">
        <v>3.99</v>
      </c>
      <c r="C6579" s="15">
        <v>3.45</v>
      </c>
      <c r="D6579" s="15"/>
      <c r="E6579" s="15">
        <v>3.63</v>
      </c>
      <c r="F6579" s="15">
        <f t="shared" si="1"/>
        <v>-0.54</v>
      </c>
      <c r="G6579" s="15">
        <f t="shared" si="2"/>
        <v>3.45</v>
      </c>
      <c r="H6579" s="16">
        <v>0.0</v>
      </c>
      <c r="I6579" s="15">
        <f t="shared" si="3"/>
        <v>-0.54</v>
      </c>
      <c r="J6579" s="15">
        <v>19.9</v>
      </c>
      <c r="K6579" s="16">
        <f>IF(COUNTIFS(Release_Calendar!$A$2:$A$755,"US_CPI",Release_Calendar!$B$2:$B$755,$A6579)&gt;0,1,0)</f>
        <v>0</v>
      </c>
      <c r="L6579" s="16">
        <f>IF(COUNTIFS(Release_Calendar!$A$2:$A$755,"US_NFP",Release_Calendar!$B$2:$B$755,$A6579)&gt;0,1,0)</f>
        <v>0</v>
      </c>
      <c r="M6579" s="16">
        <f>IF($A6579&lt;Notes!$B$5,"",IF(COUNTIFS(Release_Calendar!$A$2:$A$755,"NZ_CPI",Release_Calendar!$B$2:$B$755,$A6579)&gt;0,1,0))</f>
        <v>0</v>
      </c>
      <c r="N6579" s="16">
        <f>IF($A6579&lt;Notes!$B$5,"",IF(COUNTIFS(Release_Calendar!$A$2:$A$755,"NZ_GDP",Release_Calendar!$B$2:$B$755,$A6579)&gt;0,1,0))</f>
        <v>0</v>
      </c>
      <c r="O6579" s="16">
        <f>IF($A6579&lt;Notes!$B$5,"",IF(COUNTIFS(Release_Calendar!$A$2:$A$755,"NZ_LABOUR",Release_Calendar!$B$2:$B$755,$A6579)&gt;0,1,0))</f>
        <v>0</v>
      </c>
      <c r="P6579" s="16">
        <f t="shared" si="4"/>
        <v>0</v>
      </c>
    </row>
    <row r="6580" ht="15.75" customHeight="1">
      <c r="A6580" s="14">
        <v>45736.0</v>
      </c>
      <c r="B6580" s="15">
        <v>3.95</v>
      </c>
      <c r="C6580" s="15">
        <v>3.44</v>
      </c>
      <c r="D6580" s="15"/>
      <c r="E6580" s="15">
        <v>3.58</v>
      </c>
      <c r="F6580" s="15">
        <f t="shared" si="1"/>
        <v>-0.51</v>
      </c>
      <c r="G6580" s="15">
        <f t="shared" si="2"/>
        <v>3.44</v>
      </c>
      <c r="H6580" s="16">
        <v>0.0</v>
      </c>
      <c r="I6580" s="15">
        <f t="shared" si="3"/>
        <v>-0.51</v>
      </c>
      <c r="J6580" s="15">
        <v>19.8</v>
      </c>
      <c r="K6580" s="16">
        <f>IF(COUNTIFS(Release_Calendar!$A$2:$A$755,"US_CPI",Release_Calendar!$B$2:$B$755,$A6580)&gt;0,1,0)</f>
        <v>0</v>
      </c>
      <c r="L6580" s="16">
        <f>IF(COUNTIFS(Release_Calendar!$A$2:$A$755,"US_NFP",Release_Calendar!$B$2:$B$755,$A6580)&gt;0,1,0)</f>
        <v>0</v>
      </c>
      <c r="M6580" s="16">
        <f>IF($A6580&lt;Notes!$B$5,"",IF(COUNTIFS(Release_Calendar!$A$2:$A$755,"NZ_CPI",Release_Calendar!$B$2:$B$755,$A6580)&gt;0,1,0))</f>
        <v>0</v>
      </c>
      <c r="N6580" s="16">
        <f>IF($A6580&lt;Notes!$B$5,"",IF(COUNTIFS(Release_Calendar!$A$2:$A$755,"NZ_GDP",Release_Calendar!$B$2:$B$755,$A6580)&gt;0,1,0))</f>
        <v>1</v>
      </c>
      <c r="O6580" s="16">
        <f>IF($A6580&lt;Notes!$B$5,"",IF(COUNTIFS(Release_Calendar!$A$2:$A$755,"NZ_LABOUR",Release_Calendar!$B$2:$B$755,$A6580)&gt;0,1,0))</f>
        <v>0</v>
      </c>
      <c r="P6580" s="16">
        <f t="shared" si="4"/>
        <v>1</v>
      </c>
    </row>
    <row r="6581" ht="15.75" customHeight="1">
      <c r="A6581" s="14">
        <v>45737.0</v>
      </c>
      <c r="B6581" s="15">
        <v>3.94</v>
      </c>
      <c r="C6581" s="15">
        <v>3.43</v>
      </c>
      <c r="D6581" s="15"/>
      <c r="E6581" s="15">
        <v>3.61</v>
      </c>
      <c r="F6581" s="15">
        <f t="shared" si="1"/>
        <v>-0.51</v>
      </c>
      <c r="G6581" s="15">
        <f t="shared" si="2"/>
        <v>3.43</v>
      </c>
      <c r="H6581" s="16">
        <v>0.0</v>
      </c>
      <c r="I6581" s="15">
        <f t="shared" si="3"/>
        <v>-0.51</v>
      </c>
      <c r="J6581" s="15">
        <v>19.28</v>
      </c>
      <c r="K6581" s="16">
        <f>IF(COUNTIFS(Release_Calendar!$A$2:$A$755,"US_CPI",Release_Calendar!$B$2:$B$755,$A6581)&gt;0,1,0)</f>
        <v>0</v>
      </c>
      <c r="L6581" s="16">
        <f>IF(COUNTIFS(Release_Calendar!$A$2:$A$755,"US_NFP",Release_Calendar!$B$2:$B$755,$A6581)&gt;0,1,0)</f>
        <v>0</v>
      </c>
      <c r="M6581" s="16">
        <f>IF($A6581&lt;Notes!$B$5,"",IF(COUNTIFS(Release_Calendar!$A$2:$A$755,"NZ_CPI",Release_Calendar!$B$2:$B$755,$A6581)&gt;0,1,0))</f>
        <v>0</v>
      </c>
      <c r="N6581" s="16">
        <f>IF($A6581&lt;Notes!$B$5,"",IF(COUNTIFS(Release_Calendar!$A$2:$A$755,"NZ_GDP",Release_Calendar!$B$2:$B$755,$A6581)&gt;0,1,0))</f>
        <v>0</v>
      </c>
      <c r="O6581" s="16">
        <f>IF($A6581&lt;Notes!$B$5,"",IF(COUNTIFS(Release_Calendar!$A$2:$A$755,"NZ_LABOUR",Release_Calendar!$B$2:$B$755,$A6581)&gt;0,1,0))</f>
        <v>0</v>
      </c>
      <c r="P6581" s="16">
        <f t="shared" si="4"/>
        <v>0</v>
      </c>
    </row>
    <row r="6582" ht="15.75" customHeight="1">
      <c r="A6582" s="14">
        <v>45740.0</v>
      </c>
      <c r="B6582" s="15">
        <v>4.04</v>
      </c>
      <c r="C6582" s="15">
        <v>3.42</v>
      </c>
      <c r="D6582" s="15"/>
      <c r="E6582" s="15">
        <v>3.61</v>
      </c>
      <c r="F6582" s="15">
        <f t="shared" si="1"/>
        <v>-0.62</v>
      </c>
      <c r="G6582" s="15">
        <f t="shared" si="2"/>
        <v>3.42</v>
      </c>
      <c r="H6582" s="16">
        <v>0.0</v>
      </c>
      <c r="I6582" s="15">
        <f t="shared" si="3"/>
        <v>-0.62</v>
      </c>
      <c r="J6582" s="15">
        <v>17.48</v>
      </c>
      <c r="K6582" s="16">
        <f>IF(COUNTIFS(Release_Calendar!$A$2:$A$755,"US_CPI",Release_Calendar!$B$2:$B$755,$A6582)&gt;0,1,0)</f>
        <v>0</v>
      </c>
      <c r="L6582" s="16">
        <f>IF(COUNTIFS(Release_Calendar!$A$2:$A$755,"US_NFP",Release_Calendar!$B$2:$B$755,$A6582)&gt;0,1,0)</f>
        <v>0</v>
      </c>
      <c r="M6582" s="16">
        <f>IF($A6582&lt;Notes!$B$5,"",IF(COUNTIFS(Release_Calendar!$A$2:$A$755,"NZ_CPI",Release_Calendar!$B$2:$B$755,$A6582)&gt;0,1,0))</f>
        <v>0</v>
      </c>
      <c r="N6582" s="16">
        <f>IF($A6582&lt;Notes!$B$5,"",IF(COUNTIFS(Release_Calendar!$A$2:$A$755,"NZ_GDP",Release_Calendar!$B$2:$B$755,$A6582)&gt;0,1,0))</f>
        <v>0</v>
      </c>
      <c r="O6582" s="16">
        <f>IF($A6582&lt;Notes!$B$5,"",IF(COUNTIFS(Release_Calendar!$A$2:$A$755,"NZ_LABOUR",Release_Calendar!$B$2:$B$755,$A6582)&gt;0,1,0))</f>
        <v>0</v>
      </c>
      <c r="P6582" s="16">
        <f t="shared" si="4"/>
        <v>0</v>
      </c>
    </row>
    <row r="6583" ht="15.75" customHeight="1">
      <c r="A6583" s="14">
        <v>45741.0</v>
      </c>
      <c r="B6583" s="15">
        <v>3.96</v>
      </c>
      <c r="C6583" s="15">
        <v>3.41</v>
      </c>
      <c r="D6583" s="15"/>
      <c r="E6583" s="15">
        <v>3.59</v>
      </c>
      <c r="F6583" s="15">
        <f t="shared" si="1"/>
        <v>-0.55</v>
      </c>
      <c r="G6583" s="15">
        <f t="shared" si="2"/>
        <v>3.41</v>
      </c>
      <c r="H6583" s="16">
        <v>0.0</v>
      </c>
      <c r="I6583" s="15">
        <f t="shared" si="3"/>
        <v>-0.55</v>
      </c>
      <c r="J6583" s="15">
        <v>17.15</v>
      </c>
      <c r="K6583" s="16">
        <f>IF(COUNTIFS(Release_Calendar!$A$2:$A$755,"US_CPI",Release_Calendar!$B$2:$B$755,$A6583)&gt;0,1,0)</f>
        <v>0</v>
      </c>
      <c r="L6583" s="16">
        <f>IF(COUNTIFS(Release_Calendar!$A$2:$A$755,"US_NFP",Release_Calendar!$B$2:$B$755,$A6583)&gt;0,1,0)</f>
        <v>0</v>
      </c>
      <c r="M6583" s="16">
        <f>IF($A6583&lt;Notes!$B$5,"",IF(COUNTIFS(Release_Calendar!$A$2:$A$755,"NZ_CPI",Release_Calendar!$B$2:$B$755,$A6583)&gt;0,1,0))</f>
        <v>0</v>
      </c>
      <c r="N6583" s="16">
        <f>IF($A6583&lt;Notes!$B$5,"",IF(COUNTIFS(Release_Calendar!$A$2:$A$755,"NZ_GDP",Release_Calendar!$B$2:$B$755,$A6583)&gt;0,1,0))</f>
        <v>0</v>
      </c>
      <c r="O6583" s="16">
        <f>IF($A6583&lt;Notes!$B$5,"",IF(COUNTIFS(Release_Calendar!$A$2:$A$755,"NZ_LABOUR",Release_Calendar!$B$2:$B$755,$A6583)&gt;0,1,0))</f>
        <v>0</v>
      </c>
      <c r="P6583" s="16">
        <f t="shared" si="4"/>
        <v>0</v>
      </c>
    </row>
    <row r="6584" ht="15.75" customHeight="1">
      <c r="A6584" s="14">
        <v>45742.0</v>
      </c>
      <c r="B6584" s="15">
        <v>3.98</v>
      </c>
      <c r="C6584" s="15">
        <v>3.4</v>
      </c>
      <c r="D6584" s="15"/>
      <c r="E6584" s="15">
        <v>3.57</v>
      </c>
      <c r="F6584" s="15">
        <f t="shared" si="1"/>
        <v>-0.58</v>
      </c>
      <c r="G6584" s="15">
        <f t="shared" si="2"/>
        <v>3.4</v>
      </c>
      <c r="H6584" s="16">
        <v>0.0</v>
      </c>
      <c r="I6584" s="15">
        <f t="shared" si="3"/>
        <v>-0.58</v>
      </c>
      <c r="J6584" s="15">
        <v>18.33</v>
      </c>
      <c r="K6584" s="16">
        <f>IF(COUNTIFS(Release_Calendar!$A$2:$A$755,"US_CPI",Release_Calendar!$B$2:$B$755,$A6584)&gt;0,1,0)</f>
        <v>0</v>
      </c>
      <c r="L6584" s="16">
        <f>IF(COUNTIFS(Release_Calendar!$A$2:$A$755,"US_NFP",Release_Calendar!$B$2:$B$755,$A6584)&gt;0,1,0)</f>
        <v>0</v>
      </c>
      <c r="M6584" s="16">
        <f>IF($A6584&lt;Notes!$B$5,"",IF(COUNTIFS(Release_Calendar!$A$2:$A$755,"NZ_CPI",Release_Calendar!$B$2:$B$755,$A6584)&gt;0,1,0))</f>
        <v>0</v>
      </c>
      <c r="N6584" s="16">
        <f>IF($A6584&lt;Notes!$B$5,"",IF(COUNTIFS(Release_Calendar!$A$2:$A$755,"NZ_GDP",Release_Calendar!$B$2:$B$755,$A6584)&gt;0,1,0))</f>
        <v>0</v>
      </c>
      <c r="O6584" s="16">
        <f>IF($A6584&lt;Notes!$B$5,"",IF(COUNTIFS(Release_Calendar!$A$2:$A$755,"NZ_LABOUR",Release_Calendar!$B$2:$B$755,$A6584)&gt;0,1,0))</f>
        <v>0</v>
      </c>
      <c r="P6584" s="16">
        <f t="shared" si="4"/>
        <v>0</v>
      </c>
    </row>
    <row r="6585" ht="15.75" customHeight="1">
      <c r="A6585" s="14">
        <v>45743.0</v>
      </c>
      <c r="B6585" s="15">
        <v>3.97</v>
      </c>
      <c r="C6585" s="15">
        <v>3.44</v>
      </c>
      <c r="D6585" s="15"/>
      <c r="E6585" s="15">
        <v>3.61</v>
      </c>
      <c r="F6585" s="15">
        <f t="shared" si="1"/>
        <v>-0.53</v>
      </c>
      <c r="G6585" s="15">
        <f t="shared" si="2"/>
        <v>3.44</v>
      </c>
      <c r="H6585" s="16">
        <v>0.0</v>
      </c>
      <c r="I6585" s="15">
        <f t="shared" si="3"/>
        <v>-0.53</v>
      </c>
      <c r="J6585" s="15">
        <v>18.69</v>
      </c>
      <c r="K6585" s="16">
        <f>IF(COUNTIFS(Release_Calendar!$A$2:$A$755,"US_CPI",Release_Calendar!$B$2:$B$755,$A6585)&gt;0,1,0)</f>
        <v>0</v>
      </c>
      <c r="L6585" s="16">
        <f>IF(COUNTIFS(Release_Calendar!$A$2:$A$755,"US_NFP",Release_Calendar!$B$2:$B$755,$A6585)&gt;0,1,0)</f>
        <v>0</v>
      </c>
      <c r="M6585" s="16">
        <f>IF($A6585&lt;Notes!$B$5,"",IF(COUNTIFS(Release_Calendar!$A$2:$A$755,"NZ_CPI",Release_Calendar!$B$2:$B$755,$A6585)&gt;0,1,0))</f>
        <v>0</v>
      </c>
      <c r="N6585" s="16">
        <f>IF($A6585&lt;Notes!$B$5,"",IF(COUNTIFS(Release_Calendar!$A$2:$A$755,"NZ_GDP",Release_Calendar!$B$2:$B$755,$A6585)&gt;0,1,0))</f>
        <v>0</v>
      </c>
      <c r="O6585" s="16">
        <f>IF($A6585&lt;Notes!$B$5,"",IF(COUNTIFS(Release_Calendar!$A$2:$A$755,"NZ_LABOUR",Release_Calendar!$B$2:$B$755,$A6585)&gt;0,1,0))</f>
        <v>0</v>
      </c>
      <c r="P6585" s="16">
        <f t="shared" si="4"/>
        <v>0</v>
      </c>
    </row>
    <row r="6586" ht="15.75" customHeight="1">
      <c r="A6586" s="14">
        <v>45744.0</v>
      </c>
      <c r="B6586" s="15">
        <v>3.89</v>
      </c>
      <c r="C6586" s="15">
        <v>3.42</v>
      </c>
      <c r="D6586" s="15"/>
      <c r="E6586" s="15">
        <v>3.58</v>
      </c>
      <c r="F6586" s="15">
        <f t="shared" si="1"/>
        <v>-0.47</v>
      </c>
      <c r="G6586" s="15">
        <f t="shared" si="2"/>
        <v>3.42</v>
      </c>
      <c r="H6586" s="16">
        <v>0.0</v>
      </c>
      <c r="I6586" s="15">
        <f t="shared" si="3"/>
        <v>-0.47</v>
      </c>
      <c r="J6586" s="15">
        <v>21.65</v>
      </c>
      <c r="K6586" s="16">
        <f>IF(COUNTIFS(Release_Calendar!$A$2:$A$755,"US_CPI",Release_Calendar!$B$2:$B$755,$A6586)&gt;0,1,0)</f>
        <v>0</v>
      </c>
      <c r="L6586" s="16">
        <f>IF(COUNTIFS(Release_Calendar!$A$2:$A$755,"US_NFP",Release_Calendar!$B$2:$B$755,$A6586)&gt;0,1,0)</f>
        <v>0</v>
      </c>
      <c r="M6586" s="16">
        <f>IF($A6586&lt;Notes!$B$5,"",IF(COUNTIFS(Release_Calendar!$A$2:$A$755,"NZ_CPI",Release_Calendar!$B$2:$B$755,$A6586)&gt;0,1,0))</f>
        <v>0</v>
      </c>
      <c r="N6586" s="16">
        <f>IF($A6586&lt;Notes!$B$5,"",IF(COUNTIFS(Release_Calendar!$A$2:$A$755,"NZ_GDP",Release_Calendar!$B$2:$B$755,$A6586)&gt;0,1,0))</f>
        <v>0</v>
      </c>
      <c r="O6586" s="16">
        <f>IF($A6586&lt;Notes!$B$5,"",IF(COUNTIFS(Release_Calendar!$A$2:$A$755,"NZ_LABOUR",Release_Calendar!$B$2:$B$755,$A6586)&gt;0,1,0))</f>
        <v>0</v>
      </c>
      <c r="P6586" s="16">
        <f t="shared" si="4"/>
        <v>0</v>
      </c>
    </row>
    <row r="6587" ht="15.75" customHeight="1">
      <c r="A6587" s="14">
        <v>45747.0</v>
      </c>
      <c r="B6587" s="15">
        <v>3.89</v>
      </c>
      <c r="C6587" s="15">
        <v>3.37</v>
      </c>
      <c r="D6587" s="15"/>
      <c r="E6587" s="15">
        <v>3.55</v>
      </c>
      <c r="F6587" s="15">
        <f t="shared" si="1"/>
        <v>-0.52</v>
      </c>
      <c r="G6587" s="15">
        <f t="shared" si="2"/>
        <v>3.37</v>
      </c>
      <c r="H6587" s="16">
        <v>0.0</v>
      </c>
      <c r="I6587" s="15">
        <f t="shared" si="3"/>
        <v>-0.52</v>
      </c>
      <c r="J6587" s="15">
        <v>22.28</v>
      </c>
      <c r="K6587" s="16">
        <f>IF(COUNTIFS(Release_Calendar!$A$2:$A$755,"US_CPI",Release_Calendar!$B$2:$B$755,$A6587)&gt;0,1,0)</f>
        <v>0</v>
      </c>
      <c r="L6587" s="16">
        <f>IF(COUNTIFS(Release_Calendar!$A$2:$A$755,"US_NFP",Release_Calendar!$B$2:$B$755,$A6587)&gt;0,1,0)</f>
        <v>0</v>
      </c>
      <c r="M6587" s="16">
        <f>IF($A6587&lt;Notes!$B$5,"",IF(COUNTIFS(Release_Calendar!$A$2:$A$755,"NZ_CPI",Release_Calendar!$B$2:$B$755,$A6587)&gt;0,1,0))</f>
        <v>0</v>
      </c>
      <c r="N6587" s="16">
        <f>IF($A6587&lt;Notes!$B$5,"",IF(COUNTIFS(Release_Calendar!$A$2:$A$755,"NZ_GDP",Release_Calendar!$B$2:$B$755,$A6587)&gt;0,1,0))</f>
        <v>0</v>
      </c>
      <c r="O6587" s="16">
        <f>IF($A6587&lt;Notes!$B$5,"",IF(COUNTIFS(Release_Calendar!$A$2:$A$755,"NZ_LABOUR",Release_Calendar!$B$2:$B$755,$A6587)&gt;0,1,0))</f>
        <v>0</v>
      </c>
      <c r="P6587" s="16">
        <f t="shared" si="4"/>
        <v>0</v>
      </c>
    </row>
    <row r="6588" ht="15.75" customHeight="1">
      <c r="A6588" s="14">
        <v>45748.0</v>
      </c>
      <c r="B6588" s="15">
        <v>3.87</v>
      </c>
      <c r="C6588" s="15">
        <v>3.36</v>
      </c>
      <c r="D6588" s="15"/>
      <c r="E6588" s="15">
        <v>3.53</v>
      </c>
      <c r="F6588" s="15">
        <f t="shared" si="1"/>
        <v>-0.51</v>
      </c>
      <c r="G6588" s="15">
        <f t="shared" si="2"/>
        <v>3.36</v>
      </c>
      <c r="H6588" s="16">
        <v>0.0</v>
      </c>
      <c r="I6588" s="15">
        <f t="shared" si="3"/>
        <v>-0.51</v>
      </c>
      <c r="J6588" s="15">
        <v>21.77</v>
      </c>
      <c r="K6588" s="16">
        <f>IF(COUNTIFS(Release_Calendar!$A$2:$A$755,"US_CPI",Release_Calendar!$B$2:$B$755,$A6588)&gt;0,1,0)</f>
        <v>0</v>
      </c>
      <c r="L6588" s="16">
        <f>IF(COUNTIFS(Release_Calendar!$A$2:$A$755,"US_NFP",Release_Calendar!$B$2:$B$755,$A6588)&gt;0,1,0)</f>
        <v>0</v>
      </c>
      <c r="M6588" s="16">
        <f>IF($A6588&lt;Notes!$B$5,"",IF(COUNTIFS(Release_Calendar!$A$2:$A$755,"NZ_CPI",Release_Calendar!$B$2:$B$755,$A6588)&gt;0,1,0))</f>
        <v>0</v>
      </c>
      <c r="N6588" s="16">
        <f>IF($A6588&lt;Notes!$B$5,"",IF(COUNTIFS(Release_Calendar!$A$2:$A$755,"NZ_GDP",Release_Calendar!$B$2:$B$755,$A6588)&gt;0,1,0))</f>
        <v>0</v>
      </c>
      <c r="O6588" s="16">
        <f>IF($A6588&lt;Notes!$B$5,"",IF(COUNTIFS(Release_Calendar!$A$2:$A$755,"NZ_LABOUR",Release_Calendar!$B$2:$B$755,$A6588)&gt;0,1,0))</f>
        <v>0</v>
      </c>
      <c r="P6588" s="16">
        <f t="shared" si="4"/>
        <v>0</v>
      </c>
    </row>
    <row r="6589" ht="15.75" customHeight="1">
      <c r="A6589" s="14">
        <v>45749.0</v>
      </c>
      <c r="B6589" s="15">
        <v>3.91</v>
      </c>
      <c r="C6589" s="15">
        <v>3.37</v>
      </c>
      <c r="D6589" s="15"/>
      <c r="E6589" s="15">
        <v>3.53</v>
      </c>
      <c r="F6589" s="15">
        <f t="shared" si="1"/>
        <v>-0.54</v>
      </c>
      <c r="G6589" s="15">
        <f t="shared" si="2"/>
        <v>3.37</v>
      </c>
      <c r="H6589" s="16">
        <v>0.0</v>
      </c>
      <c r="I6589" s="15">
        <f t="shared" si="3"/>
        <v>-0.54</v>
      </c>
      <c r="J6589" s="15">
        <v>21.51</v>
      </c>
      <c r="K6589" s="16">
        <f>IF(COUNTIFS(Release_Calendar!$A$2:$A$755,"US_CPI",Release_Calendar!$B$2:$B$755,$A6589)&gt;0,1,0)</f>
        <v>0</v>
      </c>
      <c r="L6589" s="16">
        <f>IF(COUNTIFS(Release_Calendar!$A$2:$A$755,"US_NFP",Release_Calendar!$B$2:$B$755,$A6589)&gt;0,1,0)</f>
        <v>0</v>
      </c>
      <c r="M6589" s="16">
        <f>IF($A6589&lt;Notes!$B$5,"",IF(COUNTIFS(Release_Calendar!$A$2:$A$755,"NZ_CPI",Release_Calendar!$B$2:$B$755,$A6589)&gt;0,1,0))</f>
        <v>0</v>
      </c>
      <c r="N6589" s="16">
        <f>IF($A6589&lt;Notes!$B$5,"",IF(COUNTIFS(Release_Calendar!$A$2:$A$755,"NZ_GDP",Release_Calendar!$B$2:$B$755,$A6589)&gt;0,1,0))</f>
        <v>0</v>
      </c>
      <c r="O6589" s="16">
        <f>IF($A6589&lt;Notes!$B$5,"",IF(COUNTIFS(Release_Calendar!$A$2:$A$755,"NZ_LABOUR",Release_Calendar!$B$2:$B$755,$A6589)&gt;0,1,0))</f>
        <v>0</v>
      </c>
      <c r="P6589" s="16">
        <f t="shared" si="4"/>
        <v>0</v>
      </c>
    </row>
    <row r="6590" ht="15.75" customHeight="1">
      <c r="A6590" s="14">
        <v>45750.0</v>
      </c>
      <c r="B6590" s="15">
        <v>3.71</v>
      </c>
      <c r="C6590" s="15">
        <v>3.31</v>
      </c>
      <c r="D6590" s="15"/>
      <c r="E6590" s="15">
        <v>3.46</v>
      </c>
      <c r="F6590" s="15">
        <f t="shared" si="1"/>
        <v>-0.4</v>
      </c>
      <c r="G6590" s="15">
        <f t="shared" si="2"/>
        <v>3.31</v>
      </c>
      <c r="H6590" s="16">
        <v>0.0</v>
      </c>
      <c r="I6590" s="15">
        <f t="shared" si="3"/>
        <v>-0.4</v>
      </c>
      <c r="J6590" s="15">
        <v>30.02</v>
      </c>
      <c r="K6590" s="16">
        <f>IF(COUNTIFS(Release_Calendar!$A$2:$A$755,"US_CPI",Release_Calendar!$B$2:$B$755,$A6590)&gt;0,1,0)</f>
        <v>0</v>
      </c>
      <c r="L6590" s="16">
        <f>IF(COUNTIFS(Release_Calendar!$A$2:$A$755,"US_NFP",Release_Calendar!$B$2:$B$755,$A6590)&gt;0,1,0)</f>
        <v>0</v>
      </c>
      <c r="M6590" s="16">
        <f>IF($A6590&lt;Notes!$B$5,"",IF(COUNTIFS(Release_Calendar!$A$2:$A$755,"NZ_CPI",Release_Calendar!$B$2:$B$755,$A6590)&gt;0,1,0))</f>
        <v>0</v>
      </c>
      <c r="N6590" s="16">
        <f>IF($A6590&lt;Notes!$B$5,"",IF(COUNTIFS(Release_Calendar!$A$2:$A$755,"NZ_GDP",Release_Calendar!$B$2:$B$755,$A6590)&gt;0,1,0))</f>
        <v>0</v>
      </c>
      <c r="O6590" s="16">
        <f>IF($A6590&lt;Notes!$B$5,"",IF(COUNTIFS(Release_Calendar!$A$2:$A$755,"NZ_LABOUR",Release_Calendar!$B$2:$B$755,$A6590)&gt;0,1,0))</f>
        <v>0</v>
      </c>
      <c r="P6590" s="16">
        <f t="shared" si="4"/>
        <v>0</v>
      </c>
    </row>
    <row r="6591" ht="15.75" customHeight="1">
      <c r="A6591" s="14">
        <v>45751.0</v>
      </c>
      <c r="B6591" s="15">
        <v>3.68</v>
      </c>
      <c r="C6591" s="15">
        <v>3.19</v>
      </c>
      <c r="D6591" s="15"/>
      <c r="E6591" s="15">
        <v>3.32</v>
      </c>
      <c r="F6591" s="15">
        <f t="shared" si="1"/>
        <v>-0.49</v>
      </c>
      <c r="G6591" s="15">
        <f t="shared" si="2"/>
        <v>3.19</v>
      </c>
      <c r="H6591" s="16">
        <v>0.0</v>
      </c>
      <c r="I6591" s="15">
        <f t="shared" si="3"/>
        <v>-0.49</v>
      </c>
      <c r="J6591" s="15">
        <v>45.31</v>
      </c>
      <c r="K6591" s="16">
        <f>IF(COUNTIFS(Release_Calendar!$A$2:$A$755,"US_CPI",Release_Calendar!$B$2:$B$755,$A6591)&gt;0,1,0)</f>
        <v>0</v>
      </c>
      <c r="L6591" s="16">
        <f>IF(COUNTIFS(Release_Calendar!$A$2:$A$755,"US_NFP",Release_Calendar!$B$2:$B$755,$A6591)&gt;0,1,0)</f>
        <v>1</v>
      </c>
      <c r="M6591" s="16">
        <f>IF($A6591&lt;Notes!$B$5,"",IF(COUNTIFS(Release_Calendar!$A$2:$A$755,"NZ_CPI",Release_Calendar!$B$2:$B$755,$A6591)&gt;0,1,0))</f>
        <v>0</v>
      </c>
      <c r="N6591" s="16">
        <f>IF($A6591&lt;Notes!$B$5,"",IF(COUNTIFS(Release_Calendar!$A$2:$A$755,"NZ_GDP",Release_Calendar!$B$2:$B$755,$A6591)&gt;0,1,0))</f>
        <v>0</v>
      </c>
      <c r="O6591" s="16">
        <f>IF($A6591&lt;Notes!$B$5,"",IF(COUNTIFS(Release_Calendar!$A$2:$A$755,"NZ_LABOUR",Release_Calendar!$B$2:$B$755,$A6591)&gt;0,1,0))</f>
        <v>0</v>
      </c>
      <c r="P6591" s="16">
        <f t="shared" si="4"/>
        <v>1</v>
      </c>
    </row>
    <row r="6592" ht="15.75" customHeight="1">
      <c r="A6592" s="14">
        <v>45754.0</v>
      </c>
      <c r="B6592" s="15">
        <v>3.73</v>
      </c>
      <c r="C6592" s="15">
        <v>3.09</v>
      </c>
      <c r="D6592" s="15"/>
      <c r="E6592" s="15">
        <v>3.29</v>
      </c>
      <c r="F6592" s="15">
        <f t="shared" si="1"/>
        <v>-0.64</v>
      </c>
      <c r="G6592" s="15">
        <f t="shared" si="2"/>
        <v>3.09</v>
      </c>
      <c r="H6592" s="16">
        <v>0.0</v>
      </c>
      <c r="I6592" s="15">
        <f t="shared" si="3"/>
        <v>-0.64</v>
      </c>
      <c r="J6592" s="15">
        <v>46.98</v>
      </c>
      <c r="K6592" s="16">
        <f>IF(COUNTIFS(Release_Calendar!$A$2:$A$755,"US_CPI",Release_Calendar!$B$2:$B$755,$A6592)&gt;0,1,0)</f>
        <v>0</v>
      </c>
      <c r="L6592" s="16">
        <f>IF(COUNTIFS(Release_Calendar!$A$2:$A$755,"US_NFP",Release_Calendar!$B$2:$B$755,$A6592)&gt;0,1,0)</f>
        <v>0</v>
      </c>
      <c r="M6592" s="16">
        <f>IF($A6592&lt;Notes!$B$5,"",IF(COUNTIFS(Release_Calendar!$A$2:$A$755,"NZ_CPI",Release_Calendar!$B$2:$B$755,$A6592)&gt;0,1,0))</f>
        <v>0</v>
      </c>
      <c r="N6592" s="16">
        <f>IF($A6592&lt;Notes!$B$5,"",IF(COUNTIFS(Release_Calendar!$A$2:$A$755,"NZ_GDP",Release_Calendar!$B$2:$B$755,$A6592)&gt;0,1,0))</f>
        <v>0</v>
      </c>
      <c r="O6592" s="16">
        <f>IF($A6592&lt;Notes!$B$5,"",IF(COUNTIFS(Release_Calendar!$A$2:$A$755,"NZ_LABOUR",Release_Calendar!$B$2:$B$755,$A6592)&gt;0,1,0))</f>
        <v>0</v>
      </c>
      <c r="P6592" s="16">
        <f t="shared" si="4"/>
        <v>0</v>
      </c>
    </row>
    <row r="6593" ht="15.75" customHeight="1">
      <c r="A6593" s="14">
        <v>45755.0</v>
      </c>
      <c r="B6593" s="15">
        <v>3.71</v>
      </c>
      <c r="C6593" s="15">
        <v>3.14</v>
      </c>
      <c r="D6593" s="15"/>
      <c r="E6593" s="15">
        <v>3.33</v>
      </c>
      <c r="F6593" s="15">
        <f t="shared" si="1"/>
        <v>-0.57</v>
      </c>
      <c r="G6593" s="15">
        <f t="shared" si="2"/>
        <v>3.14</v>
      </c>
      <c r="H6593" s="16">
        <v>0.0</v>
      </c>
      <c r="I6593" s="15">
        <f t="shared" si="3"/>
        <v>-0.57</v>
      </c>
      <c r="J6593" s="15">
        <v>52.33</v>
      </c>
      <c r="K6593" s="16">
        <f>IF(COUNTIFS(Release_Calendar!$A$2:$A$755,"US_CPI",Release_Calendar!$B$2:$B$755,$A6593)&gt;0,1,0)</f>
        <v>0</v>
      </c>
      <c r="L6593" s="16">
        <f>IF(COUNTIFS(Release_Calendar!$A$2:$A$755,"US_NFP",Release_Calendar!$B$2:$B$755,$A6593)&gt;0,1,0)</f>
        <v>0</v>
      </c>
      <c r="M6593" s="16">
        <f>IF($A6593&lt;Notes!$B$5,"",IF(COUNTIFS(Release_Calendar!$A$2:$A$755,"NZ_CPI",Release_Calendar!$B$2:$B$755,$A6593)&gt;0,1,0))</f>
        <v>0</v>
      </c>
      <c r="N6593" s="16">
        <f>IF($A6593&lt;Notes!$B$5,"",IF(COUNTIFS(Release_Calendar!$A$2:$A$755,"NZ_GDP",Release_Calendar!$B$2:$B$755,$A6593)&gt;0,1,0))</f>
        <v>0</v>
      </c>
      <c r="O6593" s="16">
        <f>IF($A6593&lt;Notes!$B$5,"",IF(COUNTIFS(Release_Calendar!$A$2:$A$755,"NZ_LABOUR",Release_Calendar!$B$2:$B$755,$A6593)&gt;0,1,0))</f>
        <v>0</v>
      </c>
      <c r="P6593" s="16">
        <f t="shared" si="4"/>
        <v>0</v>
      </c>
    </row>
    <row r="6594" ht="15.75" customHeight="1">
      <c r="A6594" s="14">
        <v>45756.0</v>
      </c>
      <c r="B6594" s="15">
        <v>3.91</v>
      </c>
      <c r="C6594" s="15">
        <v>3.03</v>
      </c>
      <c r="D6594" s="15"/>
      <c r="E6594" s="15">
        <v>3.21</v>
      </c>
      <c r="F6594" s="15">
        <f t="shared" si="1"/>
        <v>-0.88</v>
      </c>
      <c r="G6594" s="15">
        <f t="shared" si="2"/>
        <v>3.03</v>
      </c>
      <c r="H6594" s="16">
        <v>0.0</v>
      </c>
      <c r="I6594" s="15">
        <f t="shared" si="3"/>
        <v>-0.88</v>
      </c>
      <c r="J6594" s="15">
        <v>33.62</v>
      </c>
      <c r="K6594" s="16">
        <f>IF(COUNTIFS(Release_Calendar!$A$2:$A$755,"US_CPI",Release_Calendar!$B$2:$B$755,$A6594)&gt;0,1,0)</f>
        <v>0</v>
      </c>
      <c r="L6594" s="16">
        <f>IF(COUNTIFS(Release_Calendar!$A$2:$A$755,"US_NFP",Release_Calendar!$B$2:$B$755,$A6594)&gt;0,1,0)</f>
        <v>0</v>
      </c>
      <c r="M6594" s="16">
        <f>IF($A6594&lt;Notes!$B$5,"",IF(COUNTIFS(Release_Calendar!$A$2:$A$755,"NZ_CPI",Release_Calendar!$B$2:$B$755,$A6594)&gt;0,1,0))</f>
        <v>0</v>
      </c>
      <c r="N6594" s="16">
        <f>IF($A6594&lt;Notes!$B$5,"",IF(COUNTIFS(Release_Calendar!$A$2:$A$755,"NZ_GDP",Release_Calendar!$B$2:$B$755,$A6594)&gt;0,1,0))</f>
        <v>0</v>
      </c>
      <c r="O6594" s="16">
        <f>IF($A6594&lt;Notes!$B$5,"",IF(COUNTIFS(Release_Calendar!$A$2:$A$755,"NZ_LABOUR",Release_Calendar!$B$2:$B$755,$A6594)&gt;0,1,0))</f>
        <v>0</v>
      </c>
      <c r="P6594" s="16">
        <f t="shared" si="4"/>
        <v>0</v>
      </c>
    </row>
    <row r="6595" ht="15.75" customHeight="1">
      <c r="A6595" s="14">
        <v>45757.0</v>
      </c>
      <c r="B6595" s="15">
        <v>3.84</v>
      </c>
      <c r="C6595" s="15">
        <v>3.13</v>
      </c>
      <c r="D6595" s="15"/>
      <c r="E6595" s="15">
        <v>3.3</v>
      </c>
      <c r="F6595" s="15">
        <f t="shared" si="1"/>
        <v>-0.71</v>
      </c>
      <c r="G6595" s="15">
        <f t="shared" si="2"/>
        <v>3.13</v>
      </c>
      <c r="H6595" s="16">
        <v>0.0</v>
      </c>
      <c r="I6595" s="15">
        <f t="shared" si="3"/>
        <v>-0.71</v>
      </c>
      <c r="J6595" s="15">
        <v>40.72</v>
      </c>
      <c r="K6595" s="16">
        <f>IF(COUNTIFS(Release_Calendar!$A$2:$A$755,"US_CPI",Release_Calendar!$B$2:$B$755,$A6595)&gt;0,1,0)</f>
        <v>1</v>
      </c>
      <c r="L6595" s="16">
        <f>IF(COUNTIFS(Release_Calendar!$A$2:$A$755,"US_NFP",Release_Calendar!$B$2:$B$755,$A6595)&gt;0,1,0)</f>
        <v>0</v>
      </c>
      <c r="M6595" s="16">
        <f>IF($A6595&lt;Notes!$B$5,"",IF(COUNTIFS(Release_Calendar!$A$2:$A$755,"NZ_CPI",Release_Calendar!$B$2:$B$755,$A6595)&gt;0,1,0))</f>
        <v>0</v>
      </c>
      <c r="N6595" s="16">
        <f>IF($A6595&lt;Notes!$B$5,"",IF(COUNTIFS(Release_Calendar!$A$2:$A$755,"NZ_GDP",Release_Calendar!$B$2:$B$755,$A6595)&gt;0,1,0))</f>
        <v>0</v>
      </c>
      <c r="O6595" s="16">
        <f>IF($A6595&lt;Notes!$B$5,"",IF(COUNTIFS(Release_Calendar!$A$2:$A$755,"NZ_LABOUR",Release_Calendar!$B$2:$B$755,$A6595)&gt;0,1,0))</f>
        <v>0</v>
      </c>
      <c r="P6595" s="16">
        <f t="shared" si="4"/>
        <v>1</v>
      </c>
    </row>
    <row r="6596" ht="15.75" customHeight="1">
      <c r="A6596" s="14">
        <v>45758.0</v>
      </c>
      <c r="B6596" s="15">
        <v>3.96</v>
      </c>
      <c r="C6596" s="15">
        <v>3.11</v>
      </c>
      <c r="D6596" s="15"/>
      <c r="E6596" s="15">
        <v>3.24</v>
      </c>
      <c r="F6596" s="15">
        <f t="shared" si="1"/>
        <v>-0.85</v>
      </c>
      <c r="G6596" s="15">
        <f t="shared" si="2"/>
        <v>3.11</v>
      </c>
      <c r="H6596" s="16">
        <v>0.0</v>
      </c>
      <c r="I6596" s="15">
        <f t="shared" si="3"/>
        <v>-0.85</v>
      </c>
      <c r="J6596" s="15">
        <v>37.56</v>
      </c>
      <c r="K6596" s="16">
        <f>IF(COUNTIFS(Release_Calendar!$A$2:$A$755,"US_CPI",Release_Calendar!$B$2:$B$755,$A6596)&gt;0,1,0)</f>
        <v>0</v>
      </c>
      <c r="L6596" s="16">
        <f>IF(COUNTIFS(Release_Calendar!$A$2:$A$755,"US_NFP",Release_Calendar!$B$2:$B$755,$A6596)&gt;0,1,0)</f>
        <v>0</v>
      </c>
      <c r="M6596" s="16">
        <f>IF($A6596&lt;Notes!$B$5,"",IF(COUNTIFS(Release_Calendar!$A$2:$A$755,"NZ_CPI",Release_Calendar!$B$2:$B$755,$A6596)&gt;0,1,0))</f>
        <v>0</v>
      </c>
      <c r="N6596" s="16">
        <f>IF($A6596&lt;Notes!$B$5,"",IF(COUNTIFS(Release_Calendar!$A$2:$A$755,"NZ_GDP",Release_Calendar!$B$2:$B$755,$A6596)&gt;0,1,0))</f>
        <v>0</v>
      </c>
      <c r="O6596" s="16">
        <f>IF($A6596&lt;Notes!$B$5,"",IF(COUNTIFS(Release_Calendar!$A$2:$A$755,"NZ_LABOUR",Release_Calendar!$B$2:$B$755,$A6596)&gt;0,1,0))</f>
        <v>0</v>
      </c>
      <c r="P6596" s="16">
        <f t="shared" si="4"/>
        <v>0</v>
      </c>
    </row>
    <row r="6597" ht="15.75" customHeight="1">
      <c r="A6597" s="14">
        <v>45761.0</v>
      </c>
      <c r="B6597" s="15">
        <v>3.84</v>
      </c>
      <c r="C6597" s="15">
        <v>3.14</v>
      </c>
      <c r="D6597" s="15"/>
      <c r="E6597" s="15">
        <v>3.28</v>
      </c>
      <c r="F6597" s="15">
        <f t="shared" si="1"/>
        <v>-0.7</v>
      </c>
      <c r="G6597" s="15">
        <f t="shared" si="2"/>
        <v>3.14</v>
      </c>
      <c r="H6597" s="16">
        <v>0.0</v>
      </c>
      <c r="I6597" s="15">
        <f t="shared" si="3"/>
        <v>-0.7</v>
      </c>
      <c r="J6597" s="15">
        <v>30.89</v>
      </c>
      <c r="K6597" s="16">
        <f>IF(COUNTIFS(Release_Calendar!$A$2:$A$755,"US_CPI",Release_Calendar!$B$2:$B$755,$A6597)&gt;0,1,0)</f>
        <v>0</v>
      </c>
      <c r="L6597" s="16">
        <f>IF(COUNTIFS(Release_Calendar!$A$2:$A$755,"US_NFP",Release_Calendar!$B$2:$B$755,$A6597)&gt;0,1,0)</f>
        <v>0</v>
      </c>
      <c r="M6597" s="16">
        <f>IF($A6597&lt;Notes!$B$5,"",IF(COUNTIFS(Release_Calendar!$A$2:$A$755,"NZ_CPI",Release_Calendar!$B$2:$B$755,$A6597)&gt;0,1,0))</f>
        <v>0</v>
      </c>
      <c r="N6597" s="16">
        <f>IF($A6597&lt;Notes!$B$5,"",IF(COUNTIFS(Release_Calendar!$A$2:$A$755,"NZ_GDP",Release_Calendar!$B$2:$B$755,$A6597)&gt;0,1,0))</f>
        <v>0</v>
      </c>
      <c r="O6597" s="16">
        <f>IF($A6597&lt;Notes!$B$5,"",IF(COUNTIFS(Release_Calendar!$A$2:$A$755,"NZ_LABOUR",Release_Calendar!$B$2:$B$755,$A6597)&gt;0,1,0))</f>
        <v>0</v>
      </c>
      <c r="P6597" s="16">
        <f t="shared" si="4"/>
        <v>0</v>
      </c>
    </row>
    <row r="6598" ht="15.75" customHeight="1">
      <c r="A6598" s="14">
        <v>45762.0</v>
      </c>
      <c r="B6598" s="15">
        <v>3.84</v>
      </c>
      <c r="C6598" s="15">
        <v>3.14</v>
      </c>
      <c r="D6598" s="15"/>
      <c r="E6598" s="15">
        <v>3.23</v>
      </c>
      <c r="F6598" s="15">
        <f t="shared" si="1"/>
        <v>-0.7</v>
      </c>
      <c r="G6598" s="15">
        <f t="shared" si="2"/>
        <v>3.14</v>
      </c>
      <c r="H6598" s="16">
        <v>0.0</v>
      </c>
      <c r="I6598" s="15">
        <f t="shared" si="3"/>
        <v>-0.7</v>
      </c>
      <c r="J6598" s="15">
        <v>30.12</v>
      </c>
      <c r="K6598" s="16">
        <f>IF(COUNTIFS(Release_Calendar!$A$2:$A$755,"US_CPI",Release_Calendar!$B$2:$B$755,$A6598)&gt;0,1,0)</f>
        <v>0</v>
      </c>
      <c r="L6598" s="16">
        <f>IF(COUNTIFS(Release_Calendar!$A$2:$A$755,"US_NFP",Release_Calendar!$B$2:$B$755,$A6598)&gt;0,1,0)</f>
        <v>0</v>
      </c>
      <c r="M6598" s="16">
        <f>IF($A6598&lt;Notes!$B$5,"",IF(COUNTIFS(Release_Calendar!$A$2:$A$755,"NZ_CPI",Release_Calendar!$B$2:$B$755,$A6598)&gt;0,1,0))</f>
        <v>0</v>
      </c>
      <c r="N6598" s="16">
        <f>IF($A6598&lt;Notes!$B$5,"",IF(COUNTIFS(Release_Calendar!$A$2:$A$755,"NZ_GDP",Release_Calendar!$B$2:$B$755,$A6598)&gt;0,1,0))</f>
        <v>0</v>
      </c>
      <c r="O6598" s="16">
        <f>IF($A6598&lt;Notes!$B$5,"",IF(COUNTIFS(Release_Calendar!$A$2:$A$755,"NZ_LABOUR",Release_Calendar!$B$2:$B$755,$A6598)&gt;0,1,0))</f>
        <v>0</v>
      </c>
      <c r="P6598" s="16">
        <f t="shared" si="4"/>
        <v>0</v>
      </c>
    </row>
    <row r="6599" ht="15.75" customHeight="1">
      <c r="A6599" s="14">
        <v>45763.0</v>
      </c>
      <c r="B6599" s="15">
        <v>3.77</v>
      </c>
      <c r="C6599" s="15">
        <v>3.12</v>
      </c>
      <c r="D6599" s="15"/>
      <c r="E6599" s="15">
        <v>3.26</v>
      </c>
      <c r="F6599" s="15">
        <f t="shared" si="1"/>
        <v>-0.65</v>
      </c>
      <c r="G6599" s="15">
        <f t="shared" si="2"/>
        <v>3.12</v>
      </c>
      <c r="H6599" s="16">
        <v>0.0</v>
      </c>
      <c r="I6599" s="15">
        <f t="shared" si="3"/>
        <v>-0.65</v>
      </c>
      <c r="J6599" s="15">
        <v>32.64</v>
      </c>
      <c r="K6599" s="16">
        <f>IF(COUNTIFS(Release_Calendar!$A$2:$A$755,"US_CPI",Release_Calendar!$B$2:$B$755,$A6599)&gt;0,1,0)</f>
        <v>0</v>
      </c>
      <c r="L6599" s="16">
        <f>IF(COUNTIFS(Release_Calendar!$A$2:$A$755,"US_NFP",Release_Calendar!$B$2:$B$755,$A6599)&gt;0,1,0)</f>
        <v>0</v>
      </c>
      <c r="M6599" s="16">
        <f>IF($A6599&lt;Notes!$B$5,"",IF(COUNTIFS(Release_Calendar!$A$2:$A$755,"NZ_CPI",Release_Calendar!$B$2:$B$755,$A6599)&gt;0,1,0))</f>
        <v>0</v>
      </c>
      <c r="N6599" s="16">
        <f>IF($A6599&lt;Notes!$B$5,"",IF(COUNTIFS(Release_Calendar!$A$2:$A$755,"NZ_GDP",Release_Calendar!$B$2:$B$755,$A6599)&gt;0,1,0))</f>
        <v>0</v>
      </c>
      <c r="O6599" s="16">
        <f>IF($A6599&lt;Notes!$B$5,"",IF(COUNTIFS(Release_Calendar!$A$2:$A$755,"NZ_LABOUR",Release_Calendar!$B$2:$B$755,$A6599)&gt;0,1,0))</f>
        <v>0</v>
      </c>
      <c r="P6599" s="16">
        <f t="shared" si="4"/>
        <v>0</v>
      </c>
    </row>
    <row r="6600" ht="15.75" customHeight="1">
      <c r="A6600" s="14">
        <v>45764.0</v>
      </c>
      <c r="B6600" s="15">
        <v>3.81</v>
      </c>
      <c r="C6600" s="15">
        <v>3.12</v>
      </c>
      <c r="D6600" s="15"/>
      <c r="E6600" s="15">
        <v>3.27</v>
      </c>
      <c r="F6600" s="15">
        <f t="shared" si="1"/>
        <v>-0.69</v>
      </c>
      <c r="G6600" s="15">
        <f t="shared" si="2"/>
        <v>3.12</v>
      </c>
      <c r="H6600" s="16">
        <v>0.0</v>
      </c>
      <c r="I6600" s="15">
        <f t="shared" si="3"/>
        <v>-0.69</v>
      </c>
      <c r="J6600" s="15">
        <v>29.65</v>
      </c>
      <c r="K6600" s="16">
        <f>IF(COUNTIFS(Release_Calendar!$A$2:$A$755,"US_CPI",Release_Calendar!$B$2:$B$755,$A6600)&gt;0,1,0)</f>
        <v>0</v>
      </c>
      <c r="L6600" s="16">
        <f>IF(COUNTIFS(Release_Calendar!$A$2:$A$755,"US_NFP",Release_Calendar!$B$2:$B$755,$A6600)&gt;0,1,0)</f>
        <v>0</v>
      </c>
      <c r="M6600" s="16">
        <f>IF($A6600&lt;Notes!$B$5,"",IF(COUNTIFS(Release_Calendar!$A$2:$A$755,"NZ_CPI",Release_Calendar!$B$2:$B$755,$A6600)&gt;0,1,0))</f>
        <v>1</v>
      </c>
      <c r="N6600" s="16">
        <f>IF($A6600&lt;Notes!$B$5,"",IF(COUNTIFS(Release_Calendar!$A$2:$A$755,"NZ_GDP",Release_Calendar!$B$2:$B$755,$A6600)&gt;0,1,0))</f>
        <v>0</v>
      </c>
      <c r="O6600" s="16">
        <f>IF($A6600&lt;Notes!$B$5,"",IF(COUNTIFS(Release_Calendar!$A$2:$A$755,"NZ_LABOUR",Release_Calendar!$B$2:$B$755,$A6600)&gt;0,1,0))</f>
        <v>0</v>
      </c>
      <c r="P6600" s="16">
        <f t="shared" si="4"/>
        <v>1</v>
      </c>
    </row>
    <row r="6601" ht="15.75" customHeight="1">
      <c r="A6601" s="14">
        <v>45765.0</v>
      </c>
      <c r="B6601" s="15"/>
      <c r="C6601" s="15"/>
      <c r="D6601" s="15"/>
      <c r="E6601" s="15"/>
      <c r="F6601" s="15" t="str">
        <f t="shared" si="1"/>
        <v/>
      </c>
      <c r="G6601" s="15" t="str">
        <f t="shared" si="2"/>
        <v/>
      </c>
      <c r="H6601" s="16">
        <v>0.0</v>
      </c>
      <c r="I6601" s="15" t="str">
        <f t="shared" si="3"/>
        <v/>
      </c>
      <c r="J6601" s="15"/>
      <c r="K6601" s="16">
        <f>IF(COUNTIFS(Release_Calendar!$A$2:$A$755,"US_CPI",Release_Calendar!$B$2:$B$755,$A6601)&gt;0,1,0)</f>
        <v>0</v>
      </c>
      <c r="L6601" s="16">
        <f>IF(COUNTIFS(Release_Calendar!$A$2:$A$755,"US_NFP",Release_Calendar!$B$2:$B$755,$A6601)&gt;0,1,0)</f>
        <v>0</v>
      </c>
      <c r="M6601" s="16">
        <f>IF($A6601&lt;Notes!$B$5,"",IF(COUNTIFS(Release_Calendar!$A$2:$A$755,"NZ_CPI",Release_Calendar!$B$2:$B$755,$A6601)&gt;0,1,0))</f>
        <v>0</v>
      </c>
      <c r="N6601" s="16">
        <f>IF($A6601&lt;Notes!$B$5,"",IF(COUNTIFS(Release_Calendar!$A$2:$A$755,"NZ_GDP",Release_Calendar!$B$2:$B$755,$A6601)&gt;0,1,0))</f>
        <v>0</v>
      </c>
      <c r="O6601" s="16">
        <f>IF($A6601&lt;Notes!$B$5,"",IF(COUNTIFS(Release_Calendar!$A$2:$A$755,"NZ_LABOUR",Release_Calendar!$B$2:$B$755,$A6601)&gt;0,1,0))</f>
        <v>0</v>
      </c>
      <c r="P6601" s="16">
        <f t="shared" si="4"/>
        <v>0</v>
      </c>
    </row>
    <row r="6602" ht="15.75" customHeight="1">
      <c r="A6602" s="14">
        <v>45768.0</v>
      </c>
      <c r="B6602" s="15">
        <v>3.75</v>
      </c>
      <c r="C6602" s="15"/>
      <c r="D6602" s="15"/>
      <c r="E6602" s="15"/>
      <c r="F6602" s="15" t="str">
        <f t="shared" si="1"/>
        <v/>
      </c>
      <c r="G6602" s="15" t="str">
        <f t="shared" si="2"/>
        <v/>
      </c>
      <c r="H6602" s="16">
        <v>0.0</v>
      </c>
      <c r="I6602" s="15" t="str">
        <f t="shared" si="3"/>
        <v/>
      </c>
      <c r="J6602" s="15">
        <v>33.82</v>
      </c>
      <c r="K6602" s="16">
        <f>IF(COUNTIFS(Release_Calendar!$A$2:$A$755,"US_CPI",Release_Calendar!$B$2:$B$755,$A6602)&gt;0,1,0)</f>
        <v>0</v>
      </c>
      <c r="L6602" s="16">
        <f>IF(COUNTIFS(Release_Calendar!$A$2:$A$755,"US_NFP",Release_Calendar!$B$2:$B$755,$A6602)&gt;0,1,0)</f>
        <v>0</v>
      </c>
      <c r="M6602" s="16">
        <f>IF($A6602&lt;Notes!$B$5,"",IF(COUNTIFS(Release_Calendar!$A$2:$A$755,"NZ_CPI",Release_Calendar!$B$2:$B$755,$A6602)&gt;0,1,0))</f>
        <v>0</v>
      </c>
      <c r="N6602" s="16">
        <f>IF($A6602&lt;Notes!$B$5,"",IF(COUNTIFS(Release_Calendar!$A$2:$A$755,"NZ_GDP",Release_Calendar!$B$2:$B$755,$A6602)&gt;0,1,0))</f>
        <v>0</v>
      </c>
      <c r="O6602" s="16">
        <f>IF($A6602&lt;Notes!$B$5,"",IF(COUNTIFS(Release_Calendar!$A$2:$A$755,"NZ_LABOUR",Release_Calendar!$B$2:$B$755,$A6602)&gt;0,1,0))</f>
        <v>0</v>
      </c>
      <c r="P6602" s="16">
        <f t="shared" si="4"/>
        <v>0</v>
      </c>
    </row>
    <row r="6603" ht="15.75" customHeight="1">
      <c r="A6603" s="14">
        <v>45769.0</v>
      </c>
      <c r="B6603" s="15">
        <v>3.76</v>
      </c>
      <c r="C6603" s="15">
        <v>3.07</v>
      </c>
      <c r="D6603" s="15"/>
      <c r="E6603" s="15">
        <v>3.25</v>
      </c>
      <c r="F6603" s="15">
        <f t="shared" si="1"/>
        <v>-0.69</v>
      </c>
      <c r="G6603" s="15">
        <f t="shared" si="2"/>
        <v>3.07</v>
      </c>
      <c r="H6603" s="16">
        <v>0.0</v>
      </c>
      <c r="I6603" s="15">
        <f t="shared" si="3"/>
        <v>-0.69</v>
      </c>
      <c r="J6603" s="15">
        <v>30.57</v>
      </c>
      <c r="K6603" s="16">
        <f>IF(COUNTIFS(Release_Calendar!$A$2:$A$755,"US_CPI",Release_Calendar!$B$2:$B$755,$A6603)&gt;0,1,0)</f>
        <v>0</v>
      </c>
      <c r="L6603" s="16">
        <f>IF(COUNTIFS(Release_Calendar!$A$2:$A$755,"US_NFP",Release_Calendar!$B$2:$B$755,$A6603)&gt;0,1,0)</f>
        <v>0</v>
      </c>
      <c r="M6603" s="16">
        <f>IF($A6603&lt;Notes!$B$5,"",IF(COUNTIFS(Release_Calendar!$A$2:$A$755,"NZ_CPI",Release_Calendar!$B$2:$B$755,$A6603)&gt;0,1,0))</f>
        <v>0</v>
      </c>
      <c r="N6603" s="16">
        <f>IF($A6603&lt;Notes!$B$5,"",IF(COUNTIFS(Release_Calendar!$A$2:$A$755,"NZ_GDP",Release_Calendar!$B$2:$B$755,$A6603)&gt;0,1,0))</f>
        <v>0</v>
      </c>
      <c r="O6603" s="16">
        <f>IF($A6603&lt;Notes!$B$5,"",IF(COUNTIFS(Release_Calendar!$A$2:$A$755,"NZ_LABOUR",Release_Calendar!$B$2:$B$755,$A6603)&gt;0,1,0))</f>
        <v>0</v>
      </c>
      <c r="P6603" s="16">
        <f t="shared" si="4"/>
        <v>0</v>
      </c>
    </row>
    <row r="6604" ht="15.75" customHeight="1">
      <c r="A6604" s="14">
        <v>45770.0</v>
      </c>
      <c r="B6604" s="15">
        <v>3.81</v>
      </c>
      <c r="C6604" s="15">
        <v>3.1</v>
      </c>
      <c r="D6604" s="15"/>
      <c r="E6604" s="15">
        <v>3.29</v>
      </c>
      <c r="F6604" s="15">
        <f t="shared" si="1"/>
        <v>-0.71</v>
      </c>
      <c r="G6604" s="15">
        <f t="shared" si="2"/>
        <v>3.1</v>
      </c>
      <c r="H6604" s="16">
        <v>0.0</v>
      </c>
      <c r="I6604" s="15">
        <f t="shared" si="3"/>
        <v>-0.71</v>
      </c>
      <c r="J6604" s="15">
        <v>28.45</v>
      </c>
      <c r="K6604" s="16">
        <f>IF(COUNTIFS(Release_Calendar!$A$2:$A$755,"US_CPI",Release_Calendar!$B$2:$B$755,$A6604)&gt;0,1,0)</f>
        <v>0</v>
      </c>
      <c r="L6604" s="16">
        <f>IF(COUNTIFS(Release_Calendar!$A$2:$A$755,"US_NFP",Release_Calendar!$B$2:$B$755,$A6604)&gt;0,1,0)</f>
        <v>0</v>
      </c>
      <c r="M6604" s="16">
        <f>IF($A6604&lt;Notes!$B$5,"",IF(COUNTIFS(Release_Calendar!$A$2:$A$755,"NZ_CPI",Release_Calendar!$B$2:$B$755,$A6604)&gt;0,1,0))</f>
        <v>0</v>
      </c>
      <c r="N6604" s="16">
        <f>IF($A6604&lt;Notes!$B$5,"",IF(COUNTIFS(Release_Calendar!$A$2:$A$755,"NZ_GDP",Release_Calendar!$B$2:$B$755,$A6604)&gt;0,1,0))</f>
        <v>0</v>
      </c>
      <c r="O6604" s="16">
        <f>IF($A6604&lt;Notes!$B$5,"",IF(COUNTIFS(Release_Calendar!$A$2:$A$755,"NZ_LABOUR",Release_Calendar!$B$2:$B$755,$A6604)&gt;0,1,0))</f>
        <v>0</v>
      </c>
      <c r="P6604" s="16">
        <f t="shared" si="4"/>
        <v>0</v>
      </c>
    </row>
    <row r="6605" ht="15.75" customHeight="1">
      <c r="A6605" s="14">
        <v>45771.0</v>
      </c>
      <c r="B6605" s="15">
        <v>3.77</v>
      </c>
      <c r="C6605" s="15">
        <v>3.1</v>
      </c>
      <c r="D6605" s="15"/>
      <c r="E6605" s="15">
        <v>3.28</v>
      </c>
      <c r="F6605" s="15">
        <f t="shared" si="1"/>
        <v>-0.67</v>
      </c>
      <c r="G6605" s="15">
        <f t="shared" si="2"/>
        <v>3.1</v>
      </c>
      <c r="H6605" s="16">
        <v>0.0</v>
      </c>
      <c r="I6605" s="15">
        <f t="shared" si="3"/>
        <v>-0.67</v>
      </c>
      <c r="J6605" s="15">
        <v>26.47</v>
      </c>
      <c r="K6605" s="16">
        <f>IF(COUNTIFS(Release_Calendar!$A$2:$A$755,"US_CPI",Release_Calendar!$B$2:$B$755,$A6605)&gt;0,1,0)</f>
        <v>0</v>
      </c>
      <c r="L6605" s="16">
        <f>IF(COUNTIFS(Release_Calendar!$A$2:$A$755,"US_NFP",Release_Calendar!$B$2:$B$755,$A6605)&gt;0,1,0)</f>
        <v>0</v>
      </c>
      <c r="M6605" s="16">
        <f>IF($A6605&lt;Notes!$B$5,"",IF(COUNTIFS(Release_Calendar!$A$2:$A$755,"NZ_CPI",Release_Calendar!$B$2:$B$755,$A6605)&gt;0,1,0))</f>
        <v>0</v>
      </c>
      <c r="N6605" s="16">
        <f>IF($A6605&lt;Notes!$B$5,"",IF(COUNTIFS(Release_Calendar!$A$2:$A$755,"NZ_GDP",Release_Calendar!$B$2:$B$755,$A6605)&gt;0,1,0))</f>
        <v>0</v>
      </c>
      <c r="O6605" s="16">
        <f>IF($A6605&lt;Notes!$B$5,"",IF(COUNTIFS(Release_Calendar!$A$2:$A$755,"NZ_LABOUR",Release_Calendar!$B$2:$B$755,$A6605)&gt;0,1,0))</f>
        <v>0</v>
      </c>
      <c r="P6605" s="16">
        <f t="shared" si="4"/>
        <v>0</v>
      </c>
    </row>
    <row r="6606" ht="15.75" customHeight="1">
      <c r="A6606" s="14">
        <v>45772.0</v>
      </c>
      <c r="B6606" s="15">
        <v>3.74</v>
      </c>
      <c r="C6606" s="15"/>
      <c r="D6606" s="15"/>
      <c r="E6606" s="15"/>
      <c r="F6606" s="15" t="str">
        <f t="shared" si="1"/>
        <v/>
      </c>
      <c r="G6606" s="15" t="str">
        <f t="shared" si="2"/>
        <v/>
      </c>
      <c r="H6606" s="16">
        <v>0.0</v>
      </c>
      <c r="I6606" s="15" t="str">
        <f t="shared" si="3"/>
        <v/>
      </c>
      <c r="J6606" s="15">
        <v>24.84</v>
      </c>
      <c r="K6606" s="16">
        <f>IF(COUNTIFS(Release_Calendar!$A$2:$A$755,"US_CPI",Release_Calendar!$B$2:$B$755,$A6606)&gt;0,1,0)</f>
        <v>0</v>
      </c>
      <c r="L6606" s="16">
        <f>IF(COUNTIFS(Release_Calendar!$A$2:$A$755,"US_NFP",Release_Calendar!$B$2:$B$755,$A6606)&gt;0,1,0)</f>
        <v>0</v>
      </c>
      <c r="M6606" s="16">
        <f>IF($A6606&lt;Notes!$B$5,"",IF(COUNTIFS(Release_Calendar!$A$2:$A$755,"NZ_CPI",Release_Calendar!$B$2:$B$755,$A6606)&gt;0,1,0))</f>
        <v>0</v>
      </c>
      <c r="N6606" s="16">
        <f>IF($A6606&lt;Notes!$B$5,"",IF(COUNTIFS(Release_Calendar!$A$2:$A$755,"NZ_GDP",Release_Calendar!$B$2:$B$755,$A6606)&gt;0,1,0))</f>
        <v>0</v>
      </c>
      <c r="O6606" s="16">
        <f>IF($A6606&lt;Notes!$B$5,"",IF(COUNTIFS(Release_Calendar!$A$2:$A$755,"NZ_LABOUR",Release_Calendar!$B$2:$B$755,$A6606)&gt;0,1,0))</f>
        <v>0</v>
      </c>
      <c r="P6606" s="16">
        <f t="shared" si="4"/>
        <v>0</v>
      </c>
    </row>
    <row r="6607" ht="15.75" customHeight="1">
      <c r="A6607" s="14">
        <v>45775.0</v>
      </c>
      <c r="B6607" s="15">
        <v>3.67</v>
      </c>
      <c r="C6607" s="15">
        <v>3.07</v>
      </c>
      <c r="D6607" s="15"/>
      <c r="E6607" s="15">
        <v>3.23</v>
      </c>
      <c r="F6607" s="15">
        <f t="shared" si="1"/>
        <v>-0.6</v>
      </c>
      <c r="G6607" s="15">
        <f t="shared" si="2"/>
        <v>3.07</v>
      </c>
      <c r="H6607" s="16">
        <v>0.0</v>
      </c>
      <c r="I6607" s="15">
        <f t="shared" si="3"/>
        <v>-0.6</v>
      </c>
      <c r="J6607" s="15">
        <v>25.15</v>
      </c>
      <c r="K6607" s="16">
        <f>IF(COUNTIFS(Release_Calendar!$A$2:$A$755,"US_CPI",Release_Calendar!$B$2:$B$755,$A6607)&gt;0,1,0)</f>
        <v>0</v>
      </c>
      <c r="L6607" s="16">
        <f>IF(COUNTIFS(Release_Calendar!$A$2:$A$755,"US_NFP",Release_Calendar!$B$2:$B$755,$A6607)&gt;0,1,0)</f>
        <v>0</v>
      </c>
      <c r="M6607" s="16">
        <f>IF($A6607&lt;Notes!$B$5,"",IF(COUNTIFS(Release_Calendar!$A$2:$A$755,"NZ_CPI",Release_Calendar!$B$2:$B$755,$A6607)&gt;0,1,0))</f>
        <v>0</v>
      </c>
      <c r="N6607" s="16">
        <f>IF($A6607&lt;Notes!$B$5,"",IF(COUNTIFS(Release_Calendar!$A$2:$A$755,"NZ_GDP",Release_Calendar!$B$2:$B$755,$A6607)&gt;0,1,0))</f>
        <v>0</v>
      </c>
      <c r="O6607" s="16">
        <f>IF($A6607&lt;Notes!$B$5,"",IF(COUNTIFS(Release_Calendar!$A$2:$A$755,"NZ_LABOUR",Release_Calendar!$B$2:$B$755,$A6607)&gt;0,1,0))</f>
        <v>0</v>
      </c>
      <c r="P6607" s="16">
        <f t="shared" si="4"/>
        <v>0</v>
      </c>
    </row>
    <row r="6608" ht="15.75" customHeight="1">
      <c r="A6608" s="14">
        <v>45776.0</v>
      </c>
      <c r="B6608" s="15">
        <v>3.65</v>
      </c>
      <c r="C6608" s="15">
        <v>3.07</v>
      </c>
      <c r="D6608" s="15"/>
      <c r="E6608" s="15">
        <v>3.26</v>
      </c>
      <c r="F6608" s="15">
        <f t="shared" si="1"/>
        <v>-0.58</v>
      </c>
      <c r="G6608" s="15">
        <f t="shared" si="2"/>
        <v>3.07</v>
      </c>
      <c r="H6608" s="16">
        <v>0.0</v>
      </c>
      <c r="I6608" s="15">
        <f t="shared" si="3"/>
        <v>-0.58</v>
      </c>
      <c r="J6608" s="15">
        <v>24.17</v>
      </c>
      <c r="K6608" s="16">
        <f>IF(COUNTIFS(Release_Calendar!$A$2:$A$755,"US_CPI",Release_Calendar!$B$2:$B$755,$A6608)&gt;0,1,0)</f>
        <v>0</v>
      </c>
      <c r="L6608" s="16">
        <f>IF(COUNTIFS(Release_Calendar!$A$2:$A$755,"US_NFP",Release_Calendar!$B$2:$B$755,$A6608)&gt;0,1,0)</f>
        <v>0</v>
      </c>
      <c r="M6608" s="16">
        <f>IF($A6608&lt;Notes!$B$5,"",IF(COUNTIFS(Release_Calendar!$A$2:$A$755,"NZ_CPI",Release_Calendar!$B$2:$B$755,$A6608)&gt;0,1,0))</f>
        <v>0</v>
      </c>
      <c r="N6608" s="16">
        <f>IF($A6608&lt;Notes!$B$5,"",IF(COUNTIFS(Release_Calendar!$A$2:$A$755,"NZ_GDP",Release_Calendar!$B$2:$B$755,$A6608)&gt;0,1,0))</f>
        <v>0</v>
      </c>
      <c r="O6608" s="16">
        <f>IF($A6608&lt;Notes!$B$5,"",IF(COUNTIFS(Release_Calendar!$A$2:$A$755,"NZ_LABOUR",Release_Calendar!$B$2:$B$755,$A6608)&gt;0,1,0))</f>
        <v>0</v>
      </c>
      <c r="P6608" s="16">
        <f t="shared" si="4"/>
        <v>0</v>
      </c>
    </row>
    <row r="6609" ht="15.75" customHeight="1">
      <c r="A6609" s="14">
        <v>45777.0</v>
      </c>
      <c r="B6609" s="15">
        <v>3.6</v>
      </c>
      <c r="C6609" s="15">
        <v>3.05</v>
      </c>
      <c r="D6609" s="15"/>
      <c r="E6609" s="15">
        <v>3.25</v>
      </c>
      <c r="F6609" s="15">
        <f t="shared" si="1"/>
        <v>-0.55</v>
      </c>
      <c r="G6609" s="15">
        <f t="shared" si="2"/>
        <v>3.05</v>
      </c>
      <c r="H6609" s="16">
        <v>0.0</v>
      </c>
      <c r="I6609" s="15">
        <f t="shared" si="3"/>
        <v>-0.55</v>
      </c>
      <c r="J6609" s="15">
        <v>24.7</v>
      </c>
      <c r="K6609" s="16">
        <f>IF(COUNTIFS(Release_Calendar!$A$2:$A$755,"US_CPI",Release_Calendar!$B$2:$B$755,$A6609)&gt;0,1,0)</f>
        <v>0</v>
      </c>
      <c r="L6609" s="16">
        <f>IF(COUNTIFS(Release_Calendar!$A$2:$A$755,"US_NFP",Release_Calendar!$B$2:$B$755,$A6609)&gt;0,1,0)</f>
        <v>0</v>
      </c>
      <c r="M6609" s="16">
        <f>IF($A6609&lt;Notes!$B$5,"",IF(COUNTIFS(Release_Calendar!$A$2:$A$755,"NZ_CPI",Release_Calendar!$B$2:$B$755,$A6609)&gt;0,1,0))</f>
        <v>0</v>
      </c>
      <c r="N6609" s="16">
        <f>IF($A6609&lt;Notes!$B$5,"",IF(COUNTIFS(Release_Calendar!$A$2:$A$755,"NZ_GDP",Release_Calendar!$B$2:$B$755,$A6609)&gt;0,1,0))</f>
        <v>0</v>
      </c>
      <c r="O6609" s="16">
        <f>IF($A6609&lt;Notes!$B$5,"",IF(COUNTIFS(Release_Calendar!$A$2:$A$755,"NZ_LABOUR",Release_Calendar!$B$2:$B$755,$A6609)&gt;0,1,0))</f>
        <v>0</v>
      </c>
      <c r="P6609" s="16">
        <f t="shared" si="4"/>
        <v>0</v>
      </c>
    </row>
    <row r="6610" ht="15.75" customHeight="1">
      <c r="A6610" s="14">
        <v>45778.0</v>
      </c>
      <c r="B6610" s="15">
        <v>3.7</v>
      </c>
      <c r="C6610" s="15">
        <v>3.06</v>
      </c>
      <c r="D6610" s="15"/>
      <c r="E6610" s="15">
        <v>3.24</v>
      </c>
      <c r="F6610" s="15">
        <f t="shared" si="1"/>
        <v>-0.64</v>
      </c>
      <c r="G6610" s="15">
        <f t="shared" si="2"/>
        <v>3.06</v>
      </c>
      <c r="H6610" s="16">
        <v>0.0</v>
      </c>
      <c r="I6610" s="15">
        <f t="shared" si="3"/>
        <v>-0.64</v>
      </c>
      <c r="J6610" s="15">
        <v>24.6</v>
      </c>
      <c r="K6610" s="16">
        <f>IF(COUNTIFS(Release_Calendar!$A$2:$A$755,"US_CPI",Release_Calendar!$B$2:$B$755,$A6610)&gt;0,1,0)</f>
        <v>0</v>
      </c>
      <c r="L6610" s="16">
        <f>IF(COUNTIFS(Release_Calendar!$A$2:$A$755,"US_NFP",Release_Calendar!$B$2:$B$755,$A6610)&gt;0,1,0)</f>
        <v>0</v>
      </c>
      <c r="M6610" s="16">
        <f>IF($A6610&lt;Notes!$B$5,"",IF(COUNTIFS(Release_Calendar!$A$2:$A$755,"NZ_CPI",Release_Calendar!$B$2:$B$755,$A6610)&gt;0,1,0))</f>
        <v>0</v>
      </c>
      <c r="N6610" s="16">
        <f>IF($A6610&lt;Notes!$B$5,"",IF(COUNTIFS(Release_Calendar!$A$2:$A$755,"NZ_GDP",Release_Calendar!$B$2:$B$755,$A6610)&gt;0,1,0))</f>
        <v>0</v>
      </c>
      <c r="O6610" s="16">
        <f>IF($A6610&lt;Notes!$B$5,"",IF(COUNTIFS(Release_Calendar!$A$2:$A$755,"NZ_LABOUR",Release_Calendar!$B$2:$B$755,$A6610)&gt;0,1,0))</f>
        <v>0</v>
      </c>
      <c r="P6610" s="16">
        <f t="shared" si="4"/>
        <v>0</v>
      </c>
    </row>
    <row r="6611" ht="15.75" customHeight="1">
      <c r="A6611" s="14">
        <v>45779.0</v>
      </c>
      <c r="B6611" s="15">
        <v>3.83</v>
      </c>
      <c r="C6611" s="15">
        <v>3.06</v>
      </c>
      <c r="D6611" s="15"/>
      <c r="E6611" s="15">
        <v>3.25</v>
      </c>
      <c r="F6611" s="15">
        <f t="shared" si="1"/>
        <v>-0.77</v>
      </c>
      <c r="G6611" s="15">
        <f t="shared" si="2"/>
        <v>3.06</v>
      </c>
      <c r="H6611" s="16">
        <v>0.0</v>
      </c>
      <c r="I6611" s="15">
        <f t="shared" si="3"/>
        <v>-0.77</v>
      </c>
      <c r="J6611" s="15">
        <v>22.68</v>
      </c>
      <c r="K6611" s="16">
        <f>IF(COUNTIFS(Release_Calendar!$A$2:$A$755,"US_CPI",Release_Calendar!$B$2:$B$755,$A6611)&gt;0,1,0)</f>
        <v>0</v>
      </c>
      <c r="L6611" s="16">
        <f>IF(COUNTIFS(Release_Calendar!$A$2:$A$755,"US_NFP",Release_Calendar!$B$2:$B$755,$A6611)&gt;0,1,0)</f>
        <v>1</v>
      </c>
      <c r="M6611" s="16">
        <f>IF($A6611&lt;Notes!$B$5,"",IF(COUNTIFS(Release_Calendar!$A$2:$A$755,"NZ_CPI",Release_Calendar!$B$2:$B$755,$A6611)&gt;0,1,0))</f>
        <v>0</v>
      </c>
      <c r="N6611" s="16">
        <f>IF($A6611&lt;Notes!$B$5,"",IF(COUNTIFS(Release_Calendar!$A$2:$A$755,"NZ_GDP",Release_Calendar!$B$2:$B$755,$A6611)&gt;0,1,0))</f>
        <v>0</v>
      </c>
      <c r="O6611" s="16">
        <f>IF($A6611&lt;Notes!$B$5,"",IF(COUNTIFS(Release_Calendar!$A$2:$A$755,"NZ_LABOUR",Release_Calendar!$B$2:$B$755,$A6611)&gt;0,1,0))</f>
        <v>0</v>
      </c>
      <c r="P6611" s="16">
        <f t="shared" si="4"/>
        <v>1</v>
      </c>
    </row>
    <row r="6612" ht="15.75" customHeight="1">
      <c r="A6612" s="14">
        <v>45782.0</v>
      </c>
      <c r="B6612" s="15">
        <v>3.83</v>
      </c>
      <c r="C6612" s="15">
        <v>3.09</v>
      </c>
      <c r="D6612" s="15"/>
      <c r="E6612" s="15">
        <v>3.27</v>
      </c>
      <c r="F6612" s="15">
        <f t="shared" si="1"/>
        <v>-0.74</v>
      </c>
      <c r="G6612" s="15">
        <f t="shared" si="2"/>
        <v>3.09</v>
      </c>
      <c r="H6612" s="16">
        <v>0.0</v>
      </c>
      <c r="I6612" s="15">
        <f t="shared" si="3"/>
        <v>-0.74</v>
      </c>
      <c r="J6612" s="15">
        <v>23.64</v>
      </c>
      <c r="K6612" s="16">
        <f>IF(COUNTIFS(Release_Calendar!$A$2:$A$755,"US_CPI",Release_Calendar!$B$2:$B$755,$A6612)&gt;0,1,0)</f>
        <v>0</v>
      </c>
      <c r="L6612" s="16">
        <f>IF(COUNTIFS(Release_Calendar!$A$2:$A$755,"US_NFP",Release_Calendar!$B$2:$B$755,$A6612)&gt;0,1,0)</f>
        <v>0</v>
      </c>
      <c r="M6612" s="16">
        <f>IF($A6612&lt;Notes!$B$5,"",IF(COUNTIFS(Release_Calendar!$A$2:$A$755,"NZ_CPI",Release_Calendar!$B$2:$B$755,$A6612)&gt;0,1,0))</f>
        <v>0</v>
      </c>
      <c r="N6612" s="16">
        <f>IF($A6612&lt;Notes!$B$5,"",IF(COUNTIFS(Release_Calendar!$A$2:$A$755,"NZ_GDP",Release_Calendar!$B$2:$B$755,$A6612)&gt;0,1,0))</f>
        <v>0</v>
      </c>
      <c r="O6612" s="16">
        <f>IF($A6612&lt;Notes!$B$5,"",IF(COUNTIFS(Release_Calendar!$A$2:$A$755,"NZ_LABOUR",Release_Calendar!$B$2:$B$755,$A6612)&gt;0,1,0))</f>
        <v>0</v>
      </c>
      <c r="P6612" s="16">
        <f t="shared" si="4"/>
        <v>0</v>
      </c>
    </row>
    <row r="6613" ht="15.75" customHeight="1">
      <c r="A6613" s="14">
        <v>45783.0</v>
      </c>
      <c r="B6613" s="15">
        <v>3.78</v>
      </c>
      <c r="C6613" s="15">
        <v>3.13</v>
      </c>
      <c r="D6613" s="15"/>
      <c r="E6613" s="15">
        <v>3.3</v>
      </c>
      <c r="F6613" s="15">
        <f t="shared" si="1"/>
        <v>-0.65</v>
      </c>
      <c r="G6613" s="15">
        <f t="shared" si="2"/>
        <v>3.13</v>
      </c>
      <c r="H6613" s="16">
        <v>0.0</v>
      </c>
      <c r="I6613" s="15">
        <f t="shared" si="3"/>
        <v>-0.65</v>
      </c>
      <c r="J6613" s="15">
        <v>24.76</v>
      </c>
      <c r="K6613" s="16">
        <f>IF(COUNTIFS(Release_Calendar!$A$2:$A$755,"US_CPI",Release_Calendar!$B$2:$B$755,$A6613)&gt;0,1,0)</f>
        <v>0</v>
      </c>
      <c r="L6613" s="16">
        <f>IF(COUNTIFS(Release_Calendar!$A$2:$A$755,"US_NFP",Release_Calendar!$B$2:$B$755,$A6613)&gt;0,1,0)</f>
        <v>0</v>
      </c>
      <c r="M6613" s="16">
        <f>IF($A6613&lt;Notes!$B$5,"",IF(COUNTIFS(Release_Calendar!$A$2:$A$755,"NZ_CPI",Release_Calendar!$B$2:$B$755,$A6613)&gt;0,1,0))</f>
        <v>0</v>
      </c>
      <c r="N6613" s="16">
        <f>IF($A6613&lt;Notes!$B$5,"",IF(COUNTIFS(Release_Calendar!$A$2:$A$755,"NZ_GDP",Release_Calendar!$B$2:$B$755,$A6613)&gt;0,1,0))</f>
        <v>0</v>
      </c>
      <c r="O6613" s="16">
        <f>IF($A6613&lt;Notes!$B$5,"",IF(COUNTIFS(Release_Calendar!$A$2:$A$755,"NZ_LABOUR",Release_Calendar!$B$2:$B$755,$A6613)&gt;0,1,0))</f>
        <v>0</v>
      </c>
      <c r="P6613" s="16">
        <f t="shared" si="4"/>
        <v>0</v>
      </c>
    </row>
    <row r="6614" ht="15.75" customHeight="1">
      <c r="A6614" s="14">
        <v>45784.0</v>
      </c>
      <c r="B6614" s="15">
        <v>3.78</v>
      </c>
      <c r="C6614" s="15">
        <v>3.09</v>
      </c>
      <c r="D6614" s="15"/>
      <c r="E6614" s="15">
        <v>3.24</v>
      </c>
      <c r="F6614" s="15">
        <f t="shared" si="1"/>
        <v>-0.69</v>
      </c>
      <c r="G6614" s="15">
        <f t="shared" si="2"/>
        <v>3.09</v>
      </c>
      <c r="H6614" s="16">
        <v>0.0</v>
      </c>
      <c r="I6614" s="15">
        <f t="shared" si="3"/>
        <v>-0.69</v>
      </c>
      <c r="J6614" s="15">
        <v>23.55</v>
      </c>
      <c r="K6614" s="16">
        <f>IF(COUNTIFS(Release_Calendar!$A$2:$A$755,"US_CPI",Release_Calendar!$B$2:$B$755,$A6614)&gt;0,1,0)</f>
        <v>0</v>
      </c>
      <c r="L6614" s="16">
        <f>IF(COUNTIFS(Release_Calendar!$A$2:$A$755,"US_NFP",Release_Calendar!$B$2:$B$755,$A6614)&gt;0,1,0)</f>
        <v>0</v>
      </c>
      <c r="M6614" s="16">
        <f>IF($A6614&lt;Notes!$B$5,"",IF(COUNTIFS(Release_Calendar!$A$2:$A$755,"NZ_CPI",Release_Calendar!$B$2:$B$755,$A6614)&gt;0,1,0))</f>
        <v>0</v>
      </c>
      <c r="N6614" s="16">
        <f>IF($A6614&lt;Notes!$B$5,"",IF(COUNTIFS(Release_Calendar!$A$2:$A$755,"NZ_GDP",Release_Calendar!$B$2:$B$755,$A6614)&gt;0,1,0))</f>
        <v>0</v>
      </c>
      <c r="O6614" s="16">
        <f>IF($A6614&lt;Notes!$B$5,"",IF(COUNTIFS(Release_Calendar!$A$2:$A$755,"NZ_LABOUR",Release_Calendar!$B$2:$B$755,$A6614)&gt;0,1,0))</f>
        <v>1</v>
      </c>
      <c r="P6614" s="16">
        <f t="shared" si="4"/>
        <v>1</v>
      </c>
    </row>
    <row r="6615" ht="15.75" customHeight="1">
      <c r="A6615" s="14">
        <v>45785.0</v>
      </c>
      <c r="B6615" s="15">
        <v>3.9</v>
      </c>
      <c r="C6615" s="15">
        <v>3.08</v>
      </c>
      <c r="D6615" s="15"/>
      <c r="E6615" s="15">
        <v>3.23</v>
      </c>
      <c r="F6615" s="15">
        <f t="shared" si="1"/>
        <v>-0.82</v>
      </c>
      <c r="G6615" s="15">
        <f t="shared" si="2"/>
        <v>3.08</v>
      </c>
      <c r="H6615" s="16">
        <v>0.0</v>
      </c>
      <c r="I6615" s="15">
        <f t="shared" si="3"/>
        <v>-0.82</v>
      </c>
      <c r="J6615" s="15">
        <v>22.48</v>
      </c>
      <c r="K6615" s="16">
        <f>IF(COUNTIFS(Release_Calendar!$A$2:$A$755,"US_CPI",Release_Calendar!$B$2:$B$755,$A6615)&gt;0,1,0)</f>
        <v>0</v>
      </c>
      <c r="L6615" s="16">
        <f>IF(COUNTIFS(Release_Calendar!$A$2:$A$755,"US_NFP",Release_Calendar!$B$2:$B$755,$A6615)&gt;0,1,0)</f>
        <v>0</v>
      </c>
      <c r="M6615" s="16">
        <f>IF($A6615&lt;Notes!$B$5,"",IF(COUNTIFS(Release_Calendar!$A$2:$A$755,"NZ_CPI",Release_Calendar!$B$2:$B$755,$A6615)&gt;0,1,0))</f>
        <v>0</v>
      </c>
      <c r="N6615" s="16">
        <f>IF($A6615&lt;Notes!$B$5,"",IF(COUNTIFS(Release_Calendar!$A$2:$A$755,"NZ_GDP",Release_Calendar!$B$2:$B$755,$A6615)&gt;0,1,0))</f>
        <v>0</v>
      </c>
      <c r="O6615" s="16">
        <f>IF($A6615&lt;Notes!$B$5,"",IF(COUNTIFS(Release_Calendar!$A$2:$A$755,"NZ_LABOUR",Release_Calendar!$B$2:$B$755,$A6615)&gt;0,1,0))</f>
        <v>0</v>
      </c>
      <c r="P6615" s="16">
        <f t="shared" si="4"/>
        <v>0</v>
      </c>
    </row>
    <row r="6616" ht="15.75" customHeight="1">
      <c r="A6616" s="14">
        <v>45786.0</v>
      </c>
      <c r="B6616" s="15">
        <v>3.88</v>
      </c>
      <c r="C6616" s="15">
        <v>3.1</v>
      </c>
      <c r="D6616" s="15"/>
      <c r="E6616" s="15">
        <v>3.25</v>
      </c>
      <c r="F6616" s="15">
        <f t="shared" si="1"/>
        <v>-0.78</v>
      </c>
      <c r="G6616" s="15">
        <f t="shared" si="2"/>
        <v>3.1</v>
      </c>
      <c r="H6616" s="16">
        <v>0.0</v>
      </c>
      <c r="I6616" s="15">
        <f t="shared" si="3"/>
        <v>-0.78</v>
      </c>
      <c r="J6616" s="15">
        <v>21.9</v>
      </c>
      <c r="K6616" s="16">
        <f>IF(COUNTIFS(Release_Calendar!$A$2:$A$755,"US_CPI",Release_Calendar!$B$2:$B$755,$A6616)&gt;0,1,0)</f>
        <v>0</v>
      </c>
      <c r="L6616" s="16">
        <f>IF(COUNTIFS(Release_Calendar!$A$2:$A$755,"US_NFP",Release_Calendar!$B$2:$B$755,$A6616)&gt;0,1,0)</f>
        <v>0</v>
      </c>
      <c r="M6616" s="16">
        <f>IF($A6616&lt;Notes!$B$5,"",IF(COUNTIFS(Release_Calendar!$A$2:$A$755,"NZ_CPI",Release_Calendar!$B$2:$B$755,$A6616)&gt;0,1,0))</f>
        <v>0</v>
      </c>
      <c r="N6616" s="16">
        <f>IF($A6616&lt;Notes!$B$5,"",IF(COUNTIFS(Release_Calendar!$A$2:$A$755,"NZ_GDP",Release_Calendar!$B$2:$B$755,$A6616)&gt;0,1,0))</f>
        <v>0</v>
      </c>
      <c r="O6616" s="16">
        <f>IF($A6616&lt;Notes!$B$5,"",IF(COUNTIFS(Release_Calendar!$A$2:$A$755,"NZ_LABOUR",Release_Calendar!$B$2:$B$755,$A6616)&gt;0,1,0))</f>
        <v>0</v>
      </c>
      <c r="P6616" s="16">
        <f t="shared" si="4"/>
        <v>0</v>
      </c>
    </row>
    <row r="6617" ht="15.75" customHeight="1">
      <c r="A6617" s="14">
        <v>45789.0</v>
      </c>
      <c r="B6617" s="15">
        <v>3.98</v>
      </c>
      <c r="C6617" s="15">
        <v>3.13</v>
      </c>
      <c r="D6617" s="15"/>
      <c r="E6617" s="15">
        <v>3.28</v>
      </c>
      <c r="F6617" s="15">
        <f t="shared" si="1"/>
        <v>-0.85</v>
      </c>
      <c r="G6617" s="15">
        <f t="shared" si="2"/>
        <v>3.13</v>
      </c>
      <c r="H6617" s="16">
        <v>0.0</v>
      </c>
      <c r="I6617" s="15">
        <f t="shared" si="3"/>
        <v>-0.85</v>
      </c>
      <c r="J6617" s="15">
        <v>18.39</v>
      </c>
      <c r="K6617" s="16">
        <f>IF(COUNTIFS(Release_Calendar!$A$2:$A$755,"US_CPI",Release_Calendar!$B$2:$B$755,$A6617)&gt;0,1,0)</f>
        <v>0</v>
      </c>
      <c r="L6617" s="16">
        <f>IF(COUNTIFS(Release_Calendar!$A$2:$A$755,"US_NFP",Release_Calendar!$B$2:$B$755,$A6617)&gt;0,1,0)</f>
        <v>0</v>
      </c>
      <c r="M6617" s="16">
        <f>IF($A6617&lt;Notes!$B$5,"",IF(COUNTIFS(Release_Calendar!$A$2:$A$755,"NZ_CPI",Release_Calendar!$B$2:$B$755,$A6617)&gt;0,1,0))</f>
        <v>0</v>
      </c>
      <c r="N6617" s="16">
        <f>IF($A6617&lt;Notes!$B$5,"",IF(COUNTIFS(Release_Calendar!$A$2:$A$755,"NZ_GDP",Release_Calendar!$B$2:$B$755,$A6617)&gt;0,1,0))</f>
        <v>0</v>
      </c>
      <c r="O6617" s="16">
        <f>IF($A6617&lt;Notes!$B$5,"",IF(COUNTIFS(Release_Calendar!$A$2:$A$755,"NZ_LABOUR",Release_Calendar!$B$2:$B$755,$A6617)&gt;0,1,0))</f>
        <v>0</v>
      </c>
      <c r="P6617" s="16">
        <f t="shared" si="4"/>
        <v>0</v>
      </c>
    </row>
    <row r="6618" ht="15.75" customHeight="1">
      <c r="A6618" s="14">
        <v>45790.0</v>
      </c>
      <c r="B6618" s="15">
        <v>4.02</v>
      </c>
      <c r="C6618" s="15">
        <v>3.19</v>
      </c>
      <c r="D6618" s="15"/>
      <c r="E6618" s="15">
        <v>3.33</v>
      </c>
      <c r="F6618" s="15">
        <f t="shared" si="1"/>
        <v>-0.83</v>
      </c>
      <c r="G6618" s="15">
        <f t="shared" si="2"/>
        <v>3.19</v>
      </c>
      <c r="H6618" s="16">
        <v>0.0</v>
      </c>
      <c r="I6618" s="15">
        <f t="shared" si="3"/>
        <v>-0.83</v>
      </c>
      <c r="J6618" s="15">
        <v>18.22</v>
      </c>
      <c r="K6618" s="16">
        <f>IF(COUNTIFS(Release_Calendar!$A$2:$A$755,"US_CPI",Release_Calendar!$B$2:$B$755,$A6618)&gt;0,1,0)</f>
        <v>1</v>
      </c>
      <c r="L6618" s="16">
        <f>IF(COUNTIFS(Release_Calendar!$A$2:$A$755,"US_NFP",Release_Calendar!$B$2:$B$755,$A6618)&gt;0,1,0)</f>
        <v>0</v>
      </c>
      <c r="M6618" s="16">
        <f>IF($A6618&lt;Notes!$B$5,"",IF(COUNTIFS(Release_Calendar!$A$2:$A$755,"NZ_CPI",Release_Calendar!$B$2:$B$755,$A6618)&gt;0,1,0))</f>
        <v>0</v>
      </c>
      <c r="N6618" s="16">
        <f>IF($A6618&lt;Notes!$B$5,"",IF(COUNTIFS(Release_Calendar!$A$2:$A$755,"NZ_GDP",Release_Calendar!$B$2:$B$755,$A6618)&gt;0,1,0))</f>
        <v>0</v>
      </c>
      <c r="O6618" s="16">
        <f>IF($A6618&lt;Notes!$B$5,"",IF(COUNTIFS(Release_Calendar!$A$2:$A$755,"NZ_LABOUR",Release_Calendar!$B$2:$B$755,$A6618)&gt;0,1,0))</f>
        <v>0</v>
      </c>
      <c r="P6618" s="16">
        <f t="shared" si="4"/>
        <v>1</v>
      </c>
    </row>
    <row r="6619" ht="15.75" customHeight="1">
      <c r="A6619" s="14">
        <v>45791.0</v>
      </c>
      <c r="B6619" s="15">
        <v>4.05</v>
      </c>
      <c r="C6619" s="15">
        <v>3.19</v>
      </c>
      <c r="D6619" s="15"/>
      <c r="E6619" s="15">
        <v>3.35</v>
      </c>
      <c r="F6619" s="15">
        <f t="shared" si="1"/>
        <v>-0.86</v>
      </c>
      <c r="G6619" s="15">
        <f t="shared" si="2"/>
        <v>3.19</v>
      </c>
      <c r="H6619" s="16">
        <v>0.0</v>
      </c>
      <c r="I6619" s="15">
        <f t="shared" si="3"/>
        <v>-0.86</v>
      </c>
      <c r="J6619" s="15">
        <v>18.62</v>
      </c>
      <c r="K6619" s="16">
        <f>IF(COUNTIFS(Release_Calendar!$A$2:$A$755,"US_CPI",Release_Calendar!$B$2:$B$755,$A6619)&gt;0,1,0)</f>
        <v>0</v>
      </c>
      <c r="L6619" s="16">
        <f>IF(COUNTIFS(Release_Calendar!$A$2:$A$755,"US_NFP",Release_Calendar!$B$2:$B$755,$A6619)&gt;0,1,0)</f>
        <v>0</v>
      </c>
      <c r="M6619" s="16">
        <f>IF($A6619&lt;Notes!$B$5,"",IF(COUNTIFS(Release_Calendar!$A$2:$A$755,"NZ_CPI",Release_Calendar!$B$2:$B$755,$A6619)&gt;0,1,0))</f>
        <v>0</v>
      </c>
      <c r="N6619" s="16">
        <f>IF($A6619&lt;Notes!$B$5,"",IF(COUNTIFS(Release_Calendar!$A$2:$A$755,"NZ_GDP",Release_Calendar!$B$2:$B$755,$A6619)&gt;0,1,0))</f>
        <v>0</v>
      </c>
      <c r="O6619" s="16">
        <f>IF($A6619&lt;Notes!$B$5,"",IF(COUNTIFS(Release_Calendar!$A$2:$A$755,"NZ_LABOUR",Release_Calendar!$B$2:$B$755,$A6619)&gt;0,1,0))</f>
        <v>0</v>
      </c>
      <c r="P6619" s="16">
        <f t="shared" si="4"/>
        <v>0</v>
      </c>
    </row>
    <row r="6620" ht="15.75" customHeight="1">
      <c r="A6620" s="14">
        <v>45792.0</v>
      </c>
      <c r="B6620" s="15">
        <v>3.96</v>
      </c>
      <c r="C6620" s="15">
        <v>3.17</v>
      </c>
      <c r="D6620" s="15"/>
      <c r="E6620" s="15">
        <v>3.3</v>
      </c>
      <c r="F6620" s="15">
        <f t="shared" si="1"/>
        <v>-0.79</v>
      </c>
      <c r="G6620" s="15">
        <f t="shared" si="2"/>
        <v>3.17</v>
      </c>
      <c r="H6620" s="16">
        <v>0.0</v>
      </c>
      <c r="I6620" s="15">
        <f t="shared" si="3"/>
        <v>-0.79</v>
      </c>
      <c r="J6620" s="15">
        <v>17.83</v>
      </c>
      <c r="K6620" s="16">
        <f>IF(COUNTIFS(Release_Calendar!$A$2:$A$755,"US_CPI",Release_Calendar!$B$2:$B$755,$A6620)&gt;0,1,0)</f>
        <v>0</v>
      </c>
      <c r="L6620" s="16">
        <f>IF(COUNTIFS(Release_Calendar!$A$2:$A$755,"US_NFP",Release_Calendar!$B$2:$B$755,$A6620)&gt;0,1,0)</f>
        <v>0</v>
      </c>
      <c r="M6620" s="16">
        <f>IF($A6620&lt;Notes!$B$5,"",IF(COUNTIFS(Release_Calendar!$A$2:$A$755,"NZ_CPI",Release_Calendar!$B$2:$B$755,$A6620)&gt;0,1,0))</f>
        <v>0</v>
      </c>
      <c r="N6620" s="16">
        <f>IF($A6620&lt;Notes!$B$5,"",IF(COUNTIFS(Release_Calendar!$A$2:$A$755,"NZ_GDP",Release_Calendar!$B$2:$B$755,$A6620)&gt;0,1,0))</f>
        <v>0</v>
      </c>
      <c r="O6620" s="16">
        <f>IF($A6620&lt;Notes!$B$5,"",IF(COUNTIFS(Release_Calendar!$A$2:$A$755,"NZ_LABOUR",Release_Calendar!$B$2:$B$755,$A6620)&gt;0,1,0))</f>
        <v>0</v>
      </c>
      <c r="P6620" s="16">
        <f t="shared" si="4"/>
        <v>0</v>
      </c>
    </row>
    <row r="6621" ht="15.75" customHeight="1">
      <c r="A6621" s="14">
        <v>45793.0</v>
      </c>
      <c r="B6621" s="15">
        <v>3.98</v>
      </c>
      <c r="C6621" s="15">
        <v>3.19</v>
      </c>
      <c r="D6621" s="15"/>
      <c r="E6621" s="15">
        <v>3.32</v>
      </c>
      <c r="F6621" s="15">
        <f t="shared" si="1"/>
        <v>-0.79</v>
      </c>
      <c r="G6621" s="15">
        <f t="shared" si="2"/>
        <v>3.19</v>
      </c>
      <c r="H6621" s="16">
        <v>0.0</v>
      </c>
      <c r="I6621" s="15">
        <f t="shared" si="3"/>
        <v>-0.79</v>
      </c>
      <c r="J6621" s="15">
        <v>17.24</v>
      </c>
      <c r="K6621" s="16">
        <f>IF(COUNTIFS(Release_Calendar!$A$2:$A$755,"US_CPI",Release_Calendar!$B$2:$B$755,$A6621)&gt;0,1,0)</f>
        <v>0</v>
      </c>
      <c r="L6621" s="16">
        <f>IF(COUNTIFS(Release_Calendar!$A$2:$A$755,"US_NFP",Release_Calendar!$B$2:$B$755,$A6621)&gt;0,1,0)</f>
        <v>0</v>
      </c>
      <c r="M6621" s="16">
        <f>IF($A6621&lt;Notes!$B$5,"",IF(COUNTIFS(Release_Calendar!$A$2:$A$755,"NZ_CPI",Release_Calendar!$B$2:$B$755,$A6621)&gt;0,1,0))</f>
        <v>0</v>
      </c>
      <c r="N6621" s="16">
        <f>IF($A6621&lt;Notes!$B$5,"",IF(COUNTIFS(Release_Calendar!$A$2:$A$755,"NZ_GDP",Release_Calendar!$B$2:$B$755,$A6621)&gt;0,1,0))</f>
        <v>0</v>
      </c>
      <c r="O6621" s="16">
        <f>IF($A6621&lt;Notes!$B$5,"",IF(COUNTIFS(Release_Calendar!$A$2:$A$755,"NZ_LABOUR",Release_Calendar!$B$2:$B$755,$A6621)&gt;0,1,0))</f>
        <v>0</v>
      </c>
      <c r="P6621" s="16">
        <f t="shared" si="4"/>
        <v>0</v>
      </c>
    </row>
    <row r="6622" ht="15.75" customHeight="1">
      <c r="A6622" s="14">
        <v>45796.0</v>
      </c>
      <c r="B6622" s="15">
        <v>3.97</v>
      </c>
      <c r="C6622" s="15">
        <v>3.22</v>
      </c>
      <c r="D6622" s="15"/>
      <c r="E6622" s="15">
        <v>3.37</v>
      </c>
      <c r="F6622" s="15">
        <f t="shared" si="1"/>
        <v>-0.75</v>
      </c>
      <c r="G6622" s="15">
        <f t="shared" si="2"/>
        <v>3.22</v>
      </c>
      <c r="H6622" s="16">
        <v>0.0</v>
      </c>
      <c r="I6622" s="15">
        <f t="shared" si="3"/>
        <v>-0.75</v>
      </c>
      <c r="J6622" s="15">
        <v>18.14</v>
      </c>
      <c r="K6622" s="16">
        <f>IF(COUNTIFS(Release_Calendar!$A$2:$A$755,"US_CPI",Release_Calendar!$B$2:$B$755,$A6622)&gt;0,1,0)</f>
        <v>0</v>
      </c>
      <c r="L6622" s="16">
        <f>IF(COUNTIFS(Release_Calendar!$A$2:$A$755,"US_NFP",Release_Calendar!$B$2:$B$755,$A6622)&gt;0,1,0)</f>
        <v>0</v>
      </c>
      <c r="M6622" s="16">
        <f>IF($A6622&lt;Notes!$B$5,"",IF(COUNTIFS(Release_Calendar!$A$2:$A$755,"NZ_CPI",Release_Calendar!$B$2:$B$755,$A6622)&gt;0,1,0))</f>
        <v>0</v>
      </c>
      <c r="N6622" s="16">
        <f>IF($A6622&lt;Notes!$B$5,"",IF(COUNTIFS(Release_Calendar!$A$2:$A$755,"NZ_GDP",Release_Calendar!$B$2:$B$755,$A6622)&gt;0,1,0))</f>
        <v>0</v>
      </c>
      <c r="O6622" s="16">
        <f>IF($A6622&lt;Notes!$B$5,"",IF(COUNTIFS(Release_Calendar!$A$2:$A$755,"NZ_LABOUR",Release_Calendar!$B$2:$B$755,$A6622)&gt;0,1,0))</f>
        <v>0</v>
      </c>
      <c r="P6622" s="16">
        <f t="shared" si="4"/>
        <v>0</v>
      </c>
    </row>
    <row r="6623" ht="15.75" customHeight="1">
      <c r="A6623" s="14">
        <v>45797.0</v>
      </c>
      <c r="B6623" s="15">
        <v>3.97</v>
      </c>
      <c r="C6623" s="15">
        <v>3.2</v>
      </c>
      <c r="D6623" s="15"/>
      <c r="E6623" s="15">
        <v>3.36</v>
      </c>
      <c r="F6623" s="15">
        <f t="shared" si="1"/>
        <v>-0.77</v>
      </c>
      <c r="G6623" s="15">
        <f t="shared" si="2"/>
        <v>3.2</v>
      </c>
      <c r="H6623" s="16">
        <v>0.0</v>
      </c>
      <c r="I6623" s="15">
        <f t="shared" si="3"/>
        <v>-0.77</v>
      </c>
      <c r="J6623" s="15">
        <v>18.09</v>
      </c>
      <c r="K6623" s="16">
        <f>IF(COUNTIFS(Release_Calendar!$A$2:$A$755,"US_CPI",Release_Calendar!$B$2:$B$755,$A6623)&gt;0,1,0)</f>
        <v>0</v>
      </c>
      <c r="L6623" s="16">
        <f>IF(COUNTIFS(Release_Calendar!$A$2:$A$755,"US_NFP",Release_Calendar!$B$2:$B$755,$A6623)&gt;0,1,0)</f>
        <v>0</v>
      </c>
      <c r="M6623" s="16">
        <f>IF($A6623&lt;Notes!$B$5,"",IF(COUNTIFS(Release_Calendar!$A$2:$A$755,"NZ_CPI",Release_Calendar!$B$2:$B$755,$A6623)&gt;0,1,0))</f>
        <v>0</v>
      </c>
      <c r="N6623" s="16">
        <f>IF($A6623&lt;Notes!$B$5,"",IF(COUNTIFS(Release_Calendar!$A$2:$A$755,"NZ_GDP",Release_Calendar!$B$2:$B$755,$A6623)&gt;0,1,0))</f>
        <v>0</v>
      </c>
      <c r="O6623" s="16">
        <f>IF($A6623&lt;Notes!$B$5,"",IF(COUNTIFS(Release_Calendar!$A$2:$A$755,"NZ_LABOUR",Release_Calendar!$B$2:$B$755,$A6623)&gt;0,1,0))</f>
        <v>0</v>
      </c>
      <c r="P6623" s="16">
        <f t="shared" si="4"/>
        <v>0</v>
      </c>
    </row>
    <row r="6624" ht="15.75" customHeight="1">
      <c r="A6624" s="14">
        <v>45798.0</v>
      </c>
      <c r="B6624" s="15">
        <v>4.0</v>
      </c>
      <c r="C6624" s="15">
        <v>3.19</v>
      </c>
      <c r="D6624" s="15"/>
      <c r="E6624" s="15">
        <v>3.37</v>
      </c>
      <c r="F6624" s="15">
        <f t="shared" si="1"/>
        <v>-0.81</v>
      </c>
      <c r="G6624" s="15">
        <f t="shared" si="2"/>
        <v>3.19</v>
      </c>
      <c r="H6624" s="16">
        <v>0.0</v>
      </c>
      <c r="I6624" s="15">
        <f t="shared" si="3"/>
        <v>-0.81</v>
      </c>
      <c r="J6624" s="15">
        <v>20.87</v>
      </c>
      <c r="K6624" s="16">
        <f>IF(COUNTIFS(Release_Calendar!$A$2:$A$755,"US_CPI",Release_Calendar!$B$2:$B$755,$A6624)&gt;0,1,0)</f>
        <v>0</v>
      </c>
      <c r="L6624" s="16">
        <f>IF(COUNTIFS(Release_Calendar!$A$2:$A$755,"US_NFP",Release_Calendar!$B$2:$B$755,$A6624)&gt;0,1,0)</f>
        <v>0</v>
      </c>
      <c r="M6624" s="16">
        <f>IF($A6624&lt;Notes!$B$5,"",IF(COUNTIFS(Release_Calendar!$A$2:$A$755,"NZ_CPI",Release_Calendar!$B$2:$B$755,$A6624)&gt;0,1,0))</f>
        <v>0</v>
      </c>
      <c r="N6624" s="16">
        <f>IF($A6624&lt;Notes!$B$5,"",IF(COUNTIFS(Release_Calendar!$A$2:$A$755,"NZ_GDP",Release_Calendar!$B$2:$B$755,$A6624)&gt;0,1,0))</f>
        <v>0</v>
      </c>
      <c r="O6624" s="16">
        <f>IF($A6624&lt;Notes!$B$5,"",IF(COUNTIFS(Release_Calendar!$A$2:$A$755,"NZ_LABOUR",Release_Calendar!$B$2:$B$755,$A6624)&gt;0,1,0))</f>
        <v>0</v>
      </c>
      <c r="P6624" s="16">
        <f t="shared" si="4"/>
        <v>0</v>
      </c>
    </row>
    <row r="6625" ht="15.75" customHeight="1">
      <c r="A6625" s="14">
        <v>45799.0</v>
      </c>
      <c r="B6625" s="15">
        <v>4.0</v>
      </c>
      <c r="C6625" s="15">
        <v>3.17</v>
      </c>
      <c r="D6625" s="15"/>
      <c r="E6625" s="15">
        <v>3.33</v>
      </c>
      <c r="F6625" s="15">
        <f t="shared" si="1"/>
        <v>-0.83</v>
      </c>
      <c r="G6625" s="15">
        <f t="shared" si="2"/>
        <v>3.17</v>
      </c>
      <c r="H6625" s="16">
        <v>0.0</v>
      </c>
      <c r="I6625" s="15">
        <f t="shared" si="3"/>
        <v>-0.83</v>
      </c>
      <c r="J6625" s="15">
        <v>20.28</v>
      </c>
      <c r="K6625" s="16">
        <f>IF(COUNTIFS(Release_Calendar!$A$2:$A$755,"US_CPI",Release_Calendar!$B$2:$B$755,$A6625)&gt;0,1,0)</f>
        <v>0</v>
      </c>
      <c r="L6625" s="16">
        <f>IF(COUNTIFS(Release_Calendar!$A$2:$A$755,"US_NFP",Release_Calendar!$B$2:$B$755,$A6625)&gt;0,1,0)</f>
        <v>0</v>
      </c>
      <c r="M6625" s="16">
        <f>IF($A6625&lt;Notes!$B$5,"",IF(COUNTIFS(Release_Calendar!$A$2:$A$755,"NZ_CPI",Release_Calendar!$B$2:$B$755,$A6625)&gt;0,1,0))</f>
        <v>0</v>
      </c>
      <c r="N6625" s="16">
        <f>IF($A6625&lt;Notes!$B$5,"",IF(COUNTIFS(Release_Calendar!$A$2:$A$755,"NZ_GDP",Release_Calendar!$B$2:$B$755,$A6625)&gt;0,1,0))</f>
        <v>0</v>
      </c>
      <c r="O6625" s="16">
        <f>IF($A6625&lt;Notes!$B$5,"",IF(COUNTIFS(Release_Calendar!$A$2:$A$755,"NZ_LABOUR",Release_Calendar!$B$2:$B$755,$A6625)&gt;0,1,0))</f>
        <v>0</v>
      </c>
      <c r="P6625" s="16">
        <f t="shared" si="4"/>
        <v>0</v>
      </c>
    </row>
    <row r="6626" ht="15.75" customHeight="1">
      <c r="A6626" s="14">
        <v>45800.0</v>
      </c>
      <c r="B6626" s="15">
        <v>4.0</v>
      </c>
      <c r="C6626" s="15">
        <v>3.19</v>
      </c>
      <c r="D6626" s="15"/>
      <c r="E6626" s="15">
        <v>3.34</v>
      </c>
      <c r="F6626" s="15">
        <f t="shared" si="1"/>
        <v>-0.81</v>
      </c>
      <c r="G6626" s="15">
        <f t="shared" si="2"/>
        <v>3.19</v>
      </c>
      <c r="H6626" s="16">
        <v>0.0</v>
      </c>
      <c r="I6626" s="15">
        <f t="shared" si="3"/>
        <v>-0.81</v>
      </c>
      <c r="J6626" s="15">
        <v>22.29</v>
      </c>
      <c r="K6626" s="16">
        <f>IF(COUNTIFS(Release_Calendar!$A$2:$A$755,"US_CPI",Release_Calendar!$B$2:$B$755,$A6626)&gt;0,1,0)</f>
        <v>0</v>
      </c>
      <c r="L6626" s="16">
        <f>IF(COUNTIFS(Release_Calendar!$A$2:$A$755,"US_NFP",Release_Calendar!$B$2:$B$755,$A6626)&gt;0,1,0)</f>
        <v>0</v>
      </c>
      <c r="M6626" s="16">
        <f>IF($A6626&lt;Notes!$B$5,"",IF(COUNTIFS(Release_Calendar!$A$2:$A$755,"NZ_CPI",Release_Calendar!$B$2:$B$755,$A6626)&gt;0,1,0))</f>
        <v>0</v>
      </c>
      <c r="N6626" s="16">
        <f>IF($A6626&lt;Notes!$B$5,"",IF(COUNTIFS(Release_Calendar!$A$2:$A$755,"NZ_GDP",Release_Calendar!$B$2:$B$755,$A6626)&gt;0,1,0))</f>
        <v>0</v>
      </c>
      <c r="O6626" s="16">
        <f>IF($A6626&lt;Notes!$B$5,"",IF(COUNTIFS(Release_Calendar!$A$2:$A$755,"NZ_LABOUR",Release_Calendar!$B$2:$B$755,$A6626)&gt;0,1,0))</f>
        <v>0</v>
      </c>
      <c r="P6626" s="16">
        <f t="shared" si="4"/>
        <v>0</v>
      </c>
    </row>
    <row r="6627" ht="15.75" customHeight="1">
      <c r="A6627" s="14">
        <v>45803.0</v>
      </c>
      <c r="B6627" s="15"/>
      <c r="C6627" s="15">
        <v>3.18</v>
      </c>
      <c r="D6627" s="15"/>
      <c r="E6627" s="15">
        <v>3.33</v>
      </c>
      <c r="F6627" s="15" t="str">
        <f t="shared" si="1"/>
        <v/>
      </c>
      <c r="G6627" s="15">
        <f t="shared" si="2"/>
        <v>3.18</v>
      </c>
      <c r="H6627" s="16">
        <v>0.0</v>
      </c>
      <c r="I6627" s="15" t="str">
        <f t="shared" si="3"/>
        <v/>
      </c>
      <c r="J6627" s="15">
        <v>20.57</v>
      </c>
      <c r="K6627" s="16">
        <f>IF(COUNTIFS(Release_Calendar!$A$2:$A$755,"US_CPI",Release_Calendar!$B$2:$B$755,$A6627)&gt;0,1,0)</f>
        <v>0</v>
      </c>
      <c r="L6627" s="16">
        <f>IF(COUNTIFS(Release_Calendar!$A$2:$A$755,"US_NFP",Release_Calendar!$B$2:$B$755,$A6627)&gt;0,1,0)</f>
        <v>0</v>
      </c>
      <c r="M6627" s="16">
        <f>IF($A6627&lt;Notes!$B$5,"",IF(COUNTIFS(Release_Calendar!$A$2:$A$755,"NZ_CPI",Release_Calendar!$B$2:$B$755,$A6627)&gt;0,1,0))</f>
        <v>0</v>
      </c>
      <c r="N6627" s="16">
        <f>IF($A6627&lt;Notes!$B$5,"",IF(COUNTIFS(Release_Calendar!$A$2:$A$755,"NZ_GDP",Release_Calendar!$B$2:$B$755,$A6627)&gt;0,1,0))</f>
        <v>0</v>
      </c>
      <c r="O6627" s="16">
        <f>IF($A6627&lt;Notes!$B$5,"",IF(COUNTIFS(Release_Calendar!$A$2:$A$755,"NZ_LABOUR",Release_Calendar!$B$2:$B$755,$A6627)&gt;0,1,0))</f>
        <v>0</v>
      </c>
      <c r="P6627" s="16">
        <f t="shared" si="4"/>
        <v>0</v>
      </c>
    </row>
    <row r="6628" ht="15.75" customHeight="1">
      <c r="A6628" s="14">
        <v>45804.0</v>
      </c>
      <c r="B6628" s="15">
        <v>3.92</v>
      </c>
      <c r="C6628" s="15">
        <v>3.16</v>
      </c>
      <c r="D6628" s="15"/>
      <c r="E6628" s="15">
        <v>3.3</v>
      </c>
      <c r="F6628" s="15">
        <f t="shared" si="1"/>
        <v>-0.76</v>
      </c>
      <c r="G6628" s="15">
        <f t="shared" si="2"/>
        <v>3.16</v>
      </c>
      <c r="H6628" s="16">
        <v>0.0</v>
      </c>
      <c r="I6628" s="15">
        <f t="shared" si="3"/>
        <v>-0.76</v>
      </c>
      <c r="J6628" s="15">
        <v>18.96</v>
      </c>
      <c r="K6628" s="16">
        <f>IF(COUNTIFS(Release_Calendar!$A$2:$A$755,"US_CPI",Release_Calendar!$B$2:$B$755,$A6628)&gt;0,1,0)</f>
        <v>0</v>
      </c>
      <c r="L6628" s="16">
        <f>IF(COUNTIFS(Release_Calendar!$A$2:$A$755,"US_NFP",Release_Calendar!$B$2:$B$755,$A6628)&gt;0,1,0)</f>
        <v>0</v>
      </c>
      <c r="M6628" s="16">
        <f>IF($A6628&lt;Notes!$B$5,"",IF(COUNTIFS(Release_Calendar!$A$2:$A$755,"NZ_CPI",Release_Calendar!$B$2:$B$755,$A6628)&gt;0,1,0))</f>
        <v>0</v>
      </c>
      <c r="N6628" s="16">
        <f>IF($A6628&lt;Notes!$B$5,"",IF(COUNTIFS(Release_Calendar!$A$2:$A$755,"NZ_GDP",Release_Calendar!$B$2:$B$755,$A6628)&gt;0,1,0))</f>
        <v>0</v>
      </c>
      <c r="O6628" s="16">
        <f>IF($A6628&lt;Notes!$B$5,"",IF(COUNTIFS(Release_Calendar!$A$2:$A$755,"NZ_LABOUR",Release_Calendar!$B$2:$B$755,$A6628)&gt;0,1,0))</f>
        <v>0</v>
      </c>
      <c r="P6628" s="16">
        <f t="shared" si="4"/>
        <v>0</v>
      </c>
    </row>
    <row r="6629" ht="15.75" customHeight="1">
      <c r="A6629" s="14">
        <v>45805.0</v>
      </c>
      <c r="B6629" s="15">
        <v>3.96</v>
      </c>
      <c r="C6629" s="15">
        <v>3.26</v>
      </c>
      <c r="D6629" s="15"/>
      <c r="E6629" s="15">
        <v>3.39</v>
      </c>
      <c r="F6629" s="15">
        <f t="shared" si="1"/>
        <v>-0.7</v>
      </c>
      <c r="G6629" s="15">
        <f t="shared" si="2"/>
        <v>3.26</v>
      </c>
      <c r="H6629" s="16">
        <v>0.0</v>
      </c>
      <c r="I6629" s="15">
        <f t="shared" si="3"/>
        <v>-0.7</v>
      </c>
      <c r="J6629" s="15">
        <v>19.31</v>
      </c>
      <c r="K6629" s="16">
        <f>IF(COUNTIFS(Release_Calendar!$A$2:$A$755,"US_CPI",Release_Calendar!$B$2:$B$755,$A6629)&gt;0,1,0)</f>
        <v>0</v>
      </c>
      <c r="L6629" s="16">
        <f>IF(COUNTIFS(Release_Calendar!$A$2:$A$755,"US_NFP",Release_Calendar!$B$2:$B$755,$A6629)&gt;0,1,0)</f>
        <v>0</v>
      </c>
      <c r="M6629" s="16">
        <f>IF($A6629&lt;Notes!$B$5,"",IF(COUNTIFS(Release_Calendar!$A$2:$A$755,"NZ_CPI",Release_Calendar!$B$2:$B$755,$A6629)&gt;0,1,0))</f>
        <v>0</v>
      </c>
      <c r="N6629" s="16">
        <f>IF($A6629&lt;Notes!$B$5,"",IF(COUNTIFS(Release_Calendar!$A$2:$A$755,"NZ_GDP",Release_Calendar!$B$2:$B$755,$A6629)&gt;0,1,0))</f>
        <v>0</v>
      </c>
      <c r="O6629" s="16">
        <f>IF($A6629&lt;Notes!$B$5,"",IF(COUNTIFS(Release_Calendar!$A$2:$A$755,"NZ_LABOUR",Release_Calendar!$B$2:$B$755,$A6629)&gt;0,1,0))</f>
        <v>0</v>
      </c>
      <c r="P6629" s="16">
        <f t="shared" si="4"/>
        <v>0</v>
      </c>
    </row>
    <row r="6630" ht="15.75" customHeight="1">
      <c r="A6630" s="14">
        <v>45806.0</v>
      </c>
      <c r="B6630" s="15">
        <v>3.92</v>
      </c>
      <c r="C6630" s="15">
        <v>3.33</v>
      </c>
      <c r="D6630" s="15"/>
      <c r="E6630" s="15">
        <v>3.45</v>
      </c>
      <c r="F6630" s="15">
        <f t="shared" si="1"/>
        <v>-0.59</v>
      </c>
      <c r="G6630" s="15">
        <f t="shared" si="2"/>
        <v>3.33</v>
      </c>
      <c r="H6630" s="16">
        <v>0.0</v>
      </c>
      <c r="I6630" s="15">
        <f t="shared" si="3"/>
        <v>-0.59</v>
      </c>
      <c r="J6630" s="15">
        <v>19.18</v>
      </c>
      <c r="K6630" s="16">
        <f>IF(COUNTIFS(Release_Calendar!$A$2:$A$755,"US_CPI",Release_Calendar!$B$2:$B$755,$A6630)&gt;0,1,0)</f>
        <v>0</v>
      </c>
      <c r="L6630" s="16">
        <f>IF(COUNTIFS(Release_Calendar!$A$2:$A$755,"US_NFP",Release_Calendar!$B$2:$B$755,$A6630)&gt;0,1,0)</f>
        <v>0</v>
      </c>
      <c r="M6630" s="16">
        <f>IF($A6630&lt;Notes!$B$5,"",IF(COUNTIFS(Release_Calendar!$A$2:$A$755,"NZ_CPI",Release_Calendar!$B$2:$B$755,$A6630)&gt;0,1,0))</f>
        <v>0</v>
      </c>
      <c r="N6630" s="16">
        <f>IF($A6630&lt;Notes!$B$5,"",IF(COUNTIFS(Release_Calendar!$A$2:$A$755,"NZ_GDP",Release_Calendar!$B$2:$B$755,$A6630)&gt;0,1,0))</f>
        <v>0</v>
      </c>
      <c r="O6630" s="16">
        <f>IF($A6630&lt;Notes!$B$5,"",IF(COUNTIFS(Release_Calendar!$A$2:$A$755,"NZ_LABOUR",Release_Calendar!$B$2:$B$755,$A6630)&gt;0,1,0))</f>
        <v>0</v>
      </c>
      <c r="P6630" s="16">
        <f t="shared" si="4"/>
        <v>0</v>
      </c>
    </row>
    <row r="6631" ht="15.75" customHeight="1">
      <c r="A6631" s="14">
        <v>45807.0</v>
      </c>
      <c r="B6631" s="15">
        <v>3.89</v>
      </c>
      <c r="C6631" s="15">
        <v>3.29</v>
      </c>
      <c r="D6631" s="15"/>
      <c r="E6631" s="15">
        <v>3.43</v>
      </c>
      <c r="F6631" s="15">
        <f t="shared" si="1"/>
        <v>-0.6</v>
      </c>
      <c r="G6631" s="15">
        <f t="shared" si="2"/>
        <v>3.29</v>
      </c>
      <c r="H6631" s="16">
        <v>0.0</v>
      </c>
      <c r="I6631" s="15">
        <f t="shared" si="3"/>
        <v>-0.6</v>
      </c>
      <c r="J6631" s="15">
        <v>18.57</v>
      </c>
      <c r="K6631" s="16">
        <f>IF(COUNTIFS(Release_Calendar!$A$2:$A$755,"US_CPI",Release_Calendar!$B$2:$B$755,$A6631)&gt;0,1,0)</f>
        <v>0</v>
      </c>
      <c r="L6631" s="16">
        <f>IF(COUNTIFS(Release_Calendar!$A$2:$A$755,"US_NFP",Release_Calendar!$B$2:$B$755,$A6631)&gt;0,1,0)</f>
        <v>0</v>
      </c>
      <c r="M6631" s="16">
        <f>IF($A6631&lt;Notes!$B$5,"",IF(COUNTIFS(Release_Calendar!$A$2:$A$755,"NZ_CPI",Release_Calendar!$B$2:$B$755,$A6631)&gt;0,1,0))</f>
        <v>0</v>
      </c>
      <c r="N6631" s="16">
        <f>IF($A6631&lt;Notes!$B$5,"",IF(COUNTIFS(Release_Calendar!$A$2:$A$755,"NZ_GDP",Release_Calendar!$B$2:$B$755,$A6631)&gt;0,1,0))</f>
        <v>0</v>
      </c>
      <c r="O6631" s="16">
        <f>IF($A6631&lt;Notes!$B$5,"",IF(COUNTIFS(Release_Calendar!$A$2:$A$755,"NZ_LABOUR",Release_Calendar!$B$2:$B$755,$A6631)&gt;0,1,0))</f>
        <v>0</v>
      </c>
      <c r="P6631" s="16">
        <f t="shared" si="4"/>
        <v>0</v>
      </c>
    </row>
    <row r="6632" ht="15.75" customHeight="1">
      <c r="A6632" s="14">
        <v>45810.0</v>
      </c>
      <c r="B6632" s="15">
        <v>3.94</v>
      </c>
      <c r="C6632" s="15"/>
      <c r="D6632" s="15"/>
      <c r="E6632" s="15"/>
      <c r="F6632" s="15" t="str">
        <f t="shared" si="1"/>
        <v/>
      </c>
      <c r="G6632" s="15" t="str">
        <f t="shared" si="2"/>
        <v/>
      </c>
      <c r="H6632" s="16">
        <v>0.0</v>
      </c>
      <c r="I6632" s="15" t="str">
        <f t="shared" si="3"/>
        <v/>
      </c>
      <c r="J6632" s="15">
        <v>18.36</v>
      </c>
      <c r="K6632" s="16">
        <f>IF(COUNTIFS(Release_Calendar!$A$2:$A$755,"US_CPI",Release_Calendar!$B$2:$B$755,$A6632)&gt;0,1,0)</f>
        <v>0</v>
      </c>
      <c r="L6632" s="16">
        <f>IF(COUNTIFS(Release_Calendar!$A$2:$A$755,"US_NFP",Release_Calendar!$B$2:$B$755,$A6632)&gt;0,1,0)</f>
        <v>0</v>
      </c>
      <c r="M6632" s="16">
        <f>IF($A6632&lt;Notes!$B$5,"",IF(COUNTIFS(Release_Calendar!$A$2:$A$755,"NZ_CPI",Release_Calendar!$B$2:$B$755,$A6632)&gt;0,1,0))</f>
        <v>0</v>
      </c>
      <c r="N6632" s="16">
        <f>IF($A6632&lt;Notes!$B$5,"",IF(COUNTIFS(Release_Calendar!$A$2:$A$755,"NZ_GDP",Release_Calendar!$B$2:$B$755,$A6632)&gt;0,1,0))</f>
        <v>0</v>
      </c>
      <c r="O6632" s="16">
        <f>IF($A6632&lt;Notes!$B$5,"",IF(COUNTIFS(Release_Calendar!$A$2:$A$755,"NZ_LABOUR",Release_Calendar!$B$2:$B$755,$A6632)&gt;0,1,0))</f>
        <v>0</v>
      </c>
      <c r="P6632" s="16">
        <f t="shared" si="4"/>
        <v>0</v>
      </c>
    </row>
    <row r="6633" ht="15.75" customHeight="1">
      <c r="A6633" s="14">
        <v>45811.0</v>
      </c>
      <c r="B6633" s="15">
        <v>3.96</v>
      </c>
      <c r="C6633" s="15">
        <v>3.27</v>
      </c>
      <c r="D6633" s="15"/>
      <c r="E6633" s="15">
        <v>3.42</v>
      </c>
      <c r="F6633" s="15">
        <f t="shared" si="1"/>
        <v>-0.69</v>
      </c>
      <c r="G6633" s="15">
        <f t="shared" si="2"/>
        <v>3.27</v>
      </c>
      <c r="H6633" s="16">
        <v>0.0</v>
      </c>
      <c r="I6633" s="15">
        <f t="shared" si="3"/>
        <v>-0.69</v>
      </c>
      <c r="J6633" s="15">
        <v>17.69</v>
      </c>
      <c r="K6633" s="16">
        <f>IF(COUNTIFS(Release_Calendar!$A$2:$A$755,"US_CPI",Release_Calendar!$B$2:$B$755,$A6633)&gt;0,1,0)</f>
        <v>0</v>
      </c>
      <c r="L6633" s="16">
        <f>IF(COUNTIFS(Release_Calendar!$A$2:$A$755,"US_NFP",Release_Calendar!$B$2:$B$755,$A6633)&gt;0,1,0)</f>
        <v>0</v>
      </c>
      <c r="M6633" s="16">
        <f>IF($A6633&lt;Notes!$B$5,"",IF(COUNTIFS(Release_Calendar!$A$2:$A$755,"NZ_CPI",Release_Calendar!$B$2:$B$755,$A6633)&gt;0,1,0))</f>
        <v>0</v>
      </c>
      <c r="N6633" s="16">
        <f>IF($A6633&lt;Notes!$B$5,"",IF(COUNTIFS(Release_Calendar!$A$2:$A$755,"NZ_GDP",Release_Calendar!$B$2:$B$755,$A6633)&gt;0,1,0))</f>
        <v>0</v>
      </c>
      <c r="O6633" s="16">
        <f>IF($A6633&lt;Notes!$B$5,"",IF(COUNTIFS(Release_Calendar!$A$2:$A$755,"NZ_LABOUR",Release_Calendar!$B$2:$B$755,$A6633)&gt;0,1,0))</f>
        <v>0</v>
      </c>
      <c r="P6633" s="16">
        <f t="shared" si="4"/>
        <v>0</v>
      </c>
    </row>
    <row r="6634" ht="15.75" customHeight="1">
      <c r="A6634" s="14">
        <v>45812.0</v>
      </c>
      <c r="B6634" s="15">
        <v>3.87</v>
      </c>
      <c r="C6634" s="15">
        <v>3.23</v>
      </c>
      <c r="D6634" s="15"/>
      <c r="E6634" s="15">
        <v>3.37</v>
      </c>
      <c r="F6634" s="15">
        <f t="shared" si="1"/>
        <v>-0.64</v>
      </c>
      <c r="G6634" s="15">
        <f t="shared" si="2"/>
        <v>3.23</v>
      </c>
      <c r="H6634" s="16">
        <v>0.0</v>
      </c>
      <c r="I6634" s="15">
        <f t="shared" si="3"/>
        <v>-0.64</v>
      </c>
      <c r="J6634" s="15">
        <v>17.61</v>
      </c>
      <c r="K6634" s="16">
        <f>IF(COUNTIFS(Release_Calendar!$A$2:$A$755,"US_CPI",Release_Calendar!$B$2:$B$755,$A6634)&gt;0,1,0)</f>
        <v>0</v>
      </c>
      <c r="L6634" s="16">
        <f>IF(COUNTIFS(Release_Calendar!$A$2:$A$755,"US_NFP",Release_Calendar!$B$2:$B$755,$A6634)&gt;0,1,0)</f>
        <v>0</v>
      </c>
      <c r="M6634" s="16">
        <f>IF($A6634&lt;Notes!$B$5,"",IF(COUNTIFS(Release_Calendar!$A$2:$A$755,"NZ_CPI",Release_Calendar!$B$2:$B$755,$A6634)&gt;0,1,0))</f>
        <v>0</v>
      </c>
      <c r="N6634" s="16">
        <f>IF($A6634&lt;Notes!$B$5,"",IF(COUNTIFS(Release_Calendar!$A$2:$A$755,"NZ_GDP",Release_Calendar!$B$2:$B$755,$A6634)&gt;0,1,0))</f>
        <v>0</v>
      </c>
      <c r="O6634" s="16">
        <f>IF($A6634&lt;Notes!$B$5,"",IF(COUNTIFS(Release_Calendar!$A$2:$A$755,"NZ_LABOUR",Release_Calendar!$B$2:$B$755,$A6634)&gt;0,1,0))</f>
        <v>0</v>
      </c>
      <c r="P6634" s="16">
        <f t="shared" si="4"/>
        <v>0</v>
      </c>
    </row>
    <row r="6635" ht="15.75" customHeight="1">
      <c r="A6635" s="14">
        <v>45813.0</v>
      </c>
      <c r="B6635" s="15">
        <v>3.92</v>
      </c>
      <c r="C6635" s="15">
        <v>3.2</v>
      </c>
      <c r="D6635" s="15"/>
      <c r="E6635" s="15">
        <v>3.34</v>
      </c>
      <c r="F6635" s="15">
        <f t="shared" si="1"/>
        <v>-0.72</v>
      </c>
      <c r="G6635" s="15">
        <f t="shared" si="2"/>
        <v>3.2</v>
      </c>
      <c r="H6635" s="16">
        <v>0.0</v>
      </c>
      <c r="I6635" s="15">
        <f t="shared" si="3"/>
        <v>-0.72</v>
      </c>
      <c r="J6635" s="15">
        <v>18.48</v>
      </c>
      <c r="K6635" s="16">
        <f>IF(COUNTIFS(Release_Calendar!$A$2:$A$755,"US_CPI",Release_Calendar!$B$2:$B$755,$A6635)&gt;0,1,0)</f>
        <v>0</v>
      </c>
      <c r="L6635" s="16">
        <f>IF(COUNTIFS(Release_Calendar!$A$2:$A$755,"US_NFP",Release_Calendar!$B$2:$B$755,$A6635)&gt;0,1,0)</f>
        <v>0</v>
      </c>
      <c r="M6635" s="16">
        <f>IF($A6635&lt;Notes!$B$5,"",IF(COUNTIFS(Release_Calendar!$A$2:$A$755,"NZ_CPI",Release_Calendar!$B$2:$B$755,$A6635)&gt;0,1,0))</f>
        <v>0</v>
      </c>
      <c r="N6635" s="16">
        <f>IF($A6635&lt;Notes!$B$5,"",IF(COUNTIFS(Release_Calendar!$A$2:$A$755,"NZ_GDP",Release_Calendar!$B$2:$B$755,$A6635)&gt;0,1,0))</f>
        <v>0</v>
      </c>
      <c r="O6635" s="16">
        <f>IF($A6635&lt;Notes!$B$5,"",IF(COUNTIFS(Release_Calendar!$A$2:$A$755,"NZ_LABOUR",Release_Calendar!$B$2:$B$755,$A6635)&gt;0,1,0))</f>
        <v>0</v>
      </c>
      <c r="P6635" s="16">
        <f t="shared" si="4"/>
        <v>0</v>
      </c>
    </row>
    <row r="6636" ht="15.75" customHeight="1">
      <c r="A6636" s="14">
        <v>45814.0</v>
      </c>
      <c r="B6636" s="15">
        <v>4.04</v>
      </c>
      <c r="C6636" s="15">
        <v>3.25</v>
      </c>
      <c r="D6636" s="15"/>
      <c r="E6636" s="15">
        <v>3.41</v>
      </c>
      <c r="F6636" s="15">
        <f t="shared" si="1"/>
        <v>-0.79</v>
      </c>
      <c r="G6636" s="15">
        <f t="shared" si="2"/>
        <v>3.25</v>
      </c>
      <c r="H6636" s="16">
        <v>0.0</v>
      </c>
      <c r="I6636" s="15">
        <f t="shared" si="3"/>
        <v>-0.79</v>
      </c>
      <c r="J6636" s="15">
        <v>16.77</v>
      </c>
      <c r="K6636" s="16">
        <f>IF(COUNTIFS(Release_Calendar!$A$2:$A$755,"US_CPI",Release_Calendar!$B$2:$B$755,$A6636)&gt;0,1,0)</f>
        <v>0</v>
      </c>
      <c r="L6636" s="16">
        <f>IF(COUNTIFS(Release_Calendar!$A$2:$A$755,"US_NFP",Release_Calendar!$B$2:$B$755,$A6636)&gt;0,1,0)</f>
        <v>1</v>
      </c>
      <c r="M6636" s="16">
        <f>IF($A6636&lt;Notes!$B$5,"",IF(COUNTIFS(Release_Calendar!$A$2:$A$755,"NZ_CPI",Release_Calendar!$B$2:$B$755,$A6636)&gt;0,1,0))</f>
        <v>0</v>
      </c>
      <c r="N6636" s="16">
        <f>IF($A6636&lt;Notes!$B$5,"",IF(COUNTIFS(Release_Calendar!$A$2:$A$755,"NZ_GDP",Release_Calendar!$B$2:$B$755,$A6636)&gt;0,1,0))</f>
        <v>0</v>
      </c>
      <c r="O6636" s="16">
        <f>IF($A6636&lt;Notes!$B$5,"",IF(COUNTIFS(Release_Calendar!$A$2:$A$755,"NZ_LABOUR",Release_Calendar!$B$2:$B$755,$A6636)&gt;0,1,0))</f>
        <v>0</v>
      </c>
      <c r="P6636" s="16">
        <f t="shared" si="4"/>
        <v>1</v>
      </c>
    </row>
    <row r="6637" ht="15.75" customHeight="1">
      <c r="A6637" s="14">
        <v>45817.0</v>
      </c>
      <c r="B6637" s="15">
        <v>4.01</v>
      </c>
      <c r="C6637" s="15">
        <v>3.26</v>
      </c>
      <c r="D6637" s="15"/>
      <c r="E6637" s="15">
        <v>3.41</v>
      </c>
      <c r="F6637" s="15">
        <f t="shared" si="1"/>
        <v>-0.75</v>
      </c>
      <c r="G6637" s="15">
        <f t="shared" si="2"/>
        <v>3.26</v>
      </c>
      <c r="H6637" s="16">
        <v>0.0</v>
      </c>
      <c r="I6637" s="15">
        <f t="shared" si="3"/>
        <v>-0.75</v>
      </c>
      <c r="J6637" s="15">
        <v>17.16</v>
      </c>
      <c r="K6637" s="16">
        <f>IF(COUNTIFS(Release_Calendar!$A$2:$A$755,"US_CPI",Release_Calendar!$B$2:$B$755,$A6637)&gt;0,1,0)</f>
        <v>0</v>
      </c>
      <c r="L6637" s="16">
        <f>IF(COUNTIFS(Release_Calendar!$A$2:$A$755,"US_NFP",Release_Calendar!$B$2:$B$755,$A6637)&gt;0,1,0)</f>
        <v>0</v>
      </c>
      <c r="M6637" s="16">
        <f>IF($A6637&lt;Notes!$B$5,"",IF(COUNTIFS(Release_Calendar!$A$2:$A$755,"NZ_CPI",Release_Calendar!$B$2:$B$755,$A6637)&gt;0,1,0))</f>
        <v>0</v>
      </c>
      <c r="N6637" s="16">
        <f>IF($A6637&lt;Notes!$B$5,"",IF(COUNTIFS(Release_Calendar!$A$2:$A$755,"NZ_GDP",Release_Calendar!$B$2:$B$755,$A6637)&gt;0,1,0))</f>
        <v>0</v>
      </c>
      <c r="O6637" s="16">
        <f>IF($A6637&lt;Notes!$B$5,"",IF(COUNTIFS(Release_Calendar!$A$2:$A$755,"NZ_LABOUR",Release_Calendar!$B$2:$B$755,$A6637)&gt;0,1,0))</f>
        <v>0</v>
      </c>
      <c r="P6637" s="16">
        <f t="shared" si="4"/>
        <v>0</v>
      </c>
    </row>
    <row r="6638" ht="15.75" customHeight="1">
      <c r="A6638" s="14">
        <v>45818.0</v>
      </c>
      <c r="B6638" s="15">
        <v>4.01</v>
      </c>
      <c r="C6638" s="15">
        <v>3.26</v>
      </c>
      <c r="D6638" s="15"/>
      <c r="E6638" s="15">
        <v>3.4</v>
      </c>
      <c r="F6638" s="15">
        <f t="shared" si="1"/>
        <v>-0.75</v>
      </c>
      <c r="G6638" s="15">
        <f t="shared" si="2"/>
        <v>3.26</v>
      </c>
      <c r="H6638" s="16">
        <v>0.0</v>
      </c>
      <c r="I6638" s="15">
        <f t="shared" si="3"/>
        <v>-0.75</v>
      </c>
      <c r="J6638" s="15">
        <v>16.95</v>
      </c>
      <c r="K6638" s="16">
        <f>IF(COUNTIFS(Release_Calendar!$A$2:$A$755,"US_CPI",Release_Calendar!$B$2:$B$755,$A6638)&gt;0,1,0)</f>
        <v>0</v>
      </c>
      <c r="L6638" s="16">
        <f>IF(COUNTIFS(Release_Calendar!$A$2:$A$755,"US_NFP",Release_Calendar!$B$2:$B$755,$A6638)&gt;0,1,0)</f>
        <v>0</v>
      </c>
      <c r="M6638" s="16">
        <f>IF($A6638&lt;Notes!$B$5,"",IF(COUNTIFS(Release_Calendar!$A$2:$A$755,"NZ_CPI",Release_Calendar!$B$2:$B$755,$A6638)&gt;0,1,0))</f>
        <v>0</v>
      </c>
      <c r="N6638" s="16">
        <f>IF($A6638&lt;Notes!$B$5,"",IF(COUNTIFS(Release_Calendar!$A$2:$A$755,"NZ_GDP",Release_Calendar!$B$2:$B$755,$A6638)&gt;0,1,0))</f>
        <v>0</v>
      </c>
      <c r="O6638" s="16">
        <f>IF($A6638&lt;Notes!$B$5,"",IF(COUNTIFS(Release_Calendar!$A$2:$A$755,"NZ_LABOUR",Release_Calendar!$B$2:$B$755,$A6638)&gt;0,1,0))</f>
        <v>0</v>
      </c>
      <c r="P6638" s="16">
        <f t="shared" si="4"/>
        <v>0</v>
      </c>
    </row>
    <row r="6639" ht="15.75" customHeight="1">
      <c r="A6639" s="14">
        <v>45819.0</v>
      </c>
      <c r="B6639" s="15">
        <v>3.94</v>
      </c>
      <c r="C6639" s="15">
        <v>3.28</v>
      </c>
      <c r="D6639" s="15"/>
      <c r="E6639" s="15">
        <v>3.42</v>
      </c>
      <c r="F6639" s="15">
        <f t="shared" si="1"/>
        <v>-0.66</v>
      </c>
      <c r="G6639" s="15">
        <f t="shared" si="2"/>
        <v>3.28</v>
      </c>
      <c r="H6639" s="16">
        <v>0.0</v>
      </c>
      <c r="I6639" s="15">
        <f t="shared" si="3"/>
        <v>-0.66</v>
      </c>
      <c r="J6639" s="15">
        <v>17.26</v>
      </c>
      <c r="K6639" s="16">
        <f>IF(COUNTIFS(Release_Calendar!$A$2:$A$755,"US_CPI",Release_Calendar!$B$2:$B$755,$A6639)&gt;0,1,0)</f>
        <v>1</v>
      </c>
      <c r="L6639" s="16">
        <f>IF(COUNTIFS(Release_Calendar!$A$2:$A$755,"US_NFP",Release_Calendar!$B$2:$B$755,$A6639)&gt;0,1,0)</f>
        <v>0</v>
      </c>
      <c r="M6639" s="16">
        <f>IF($A6639&lt;Notes!$B$5,"",IF(COUNTIFS(Release_Calendar!$A$2:$A$755,"NZ_CPI",Release_Calendar!$B$2:$B$755,$A6639)&gt;0,1,0))</f>
        <v>0</v>
      </c>
      <c r="N6639" s="16">
        <f>IF($A6639&lt;Notes!$B$5,"",IF(COUNTIFS(Release_Calendar!$A$2:$A$755,"NZ_GDP",Release_Calendar!$B$2:$B$755,$A6639)&gt;0,1,0))</f>
        <v>0</v>
      </c>
      <c r="O6639" s="16">
        <f>IF($A6639&lt;Notes!$B$5,"",IF(COUNTIFS(Release_Calendar!$A$2:$A$755,"NZ_LABOUR",Release_Calendar!$B$2:$B$755,$A6639)&gt;0,1,0))</f>
        <v>0</v>
      </c>
      <c r="P6639" s="16">
        <f t="shared" si="4"/>
        <v>1</v>
      </c>
    </row>
    <row r="6640" ht="15.75" customHeight="1">
      <c r="A6640" s="14">
        <v>45820.0</v>
      </c>
      <c r="B6640" s="15">
        <v>3.9</v>
      </c>
      <c r="C6640" s="15">
        <v>3.29</v>
      </c>
      <c r="D6640" s="15"/>
      <c r="E6640" s="15">
        <v>3.41</v>
      </c>
      <c r="F6640" s="15">
        <f t="shared" si="1"/>
        <v>-0.61</v>
      </c>
      <c r="G6640" s="15">
        <f t="shared" si="2"/>
        <v>3.29</v>
      </c>
      <c r="H6640" s="16">
        <v>0.0</v>
      </c>
      <c r="I6640" s="15">
        <f t="shared" si="3"/>
        <v>-0.61</v>
      </c>
      <c r="J6640" s="15">
        <v>18.02</v>
      </c>
      <c r="K6640" s="16">
        <f>IF(COUNTIFS(Release_Calendar!$A$2:$A$755,"US_CPI",Release_Calendar!$B$2:$B$755,$A6640)&gt;0,1,0)</f>
        <v>0</v>
      </c>
      <c r="L6640" s="16">
        <f>IF(COUNTIFS(Release_Calendar!$A$2:$A$755,"US_NFP",Release_Calendar!$B$2:$B$755,$A6640)&gt;0,1,0)</f>
        <v>0</v>
      </c>
      <c r="M6640" s="16">
        <f>IF($A6640&lt;Notes!$B$5,"",IF(COUNTIFS(Release_Calendar!$A$2:$A$755,"NZ_CPI",Release_Calendar!$B$2:$B$755,$A6640)&gt;0,1,0))</f>
        <v>0</v>
      </c>
      <c r="N6640" s="16">
        <f>IF($A6640&lt;Notes!$B$5,"",IF(COUNTIFS(Release_Calendar!$A$2:$A$755,"NZ_GDP",Release_Calendar!$B$2:$B$755,$A6640)&gt;0,1,0))</f>
        <v>0</v>
      </c>
      <c r="O6640" s="16">
        <f>IF($A6640&lt;Notes!$B$5,"",IF(COUNTIFS(Release_Calendar!$A$2:$A$755,"NZ_LABOUR",Release_Calendar!$B$2:$B$755,$A6640)&gt;0,1,0))</f>
        <v>0</v>
      </c>
      <c r="P6640" s="16">
        <f t="shared" si="4"/>
        <v>0</v>
      </c>
    </row>
    <row r="6641" ht="15.75" customHeight="1">
      <c r="A6641" s="14">
        <v>45821.0</v>
      </c>
      <c r="B6641" s="15">
        <v>3.96</v>
      </c>
      <c r="C6641" s="15">
        <v>3.26</v>
      </c>
      <c r="D6641" s="15"/>
      <c r="E6641" s="15">
        <v>3.41</v>
      </c>
      <c r="F6641" s="15">
        <f t="shared" si="1"/>
        <v>-0.7</v>
      </c>
      <c r="G6641" s="15">
        <f t="shared" si="2"/>
        <v>3.26</v>
      </c>
      <c r="H6641" s="16">
        <v>0.0</v>
      </c>
      <c r="I6641" s="15">
        <f t="shared" si="3"/>
        <v>-0.7</v>
      </c>
      <c r="J6641" s="15">
        <v>20.82</v>
      </c>
      <c r="K6641" s="16">
        <f>IF(COUNTIFS(Release_Calendar!$A$2:$A$755,"US_CPI",Release_Calendar!$B$2:$B$755,$A6641)&gt;0,1,0)</f>
        <v>0</v>
      </c>
      <c r="L6641" s="16">
        <f>IF(COUNTIFS(Release_Calendar!$A$2:$A$755,"US_NFP",Release_Calendar!$B$2:$B$755,$A6641)&gt;0,1,0)</f>
        <v>0</v>
      </c>
      <c r="M6641" s="16">
        <f>IF($A6641&lt;Notes!$B$5,"",IF(COUNTIFS(Release_Calendar!$A$2:$A$755,"NZ_CPI",Release_Calendar!$B$2:$B$755,$A6641)&gt;0,1,0))</f>
        <v>0</v>
      </c>
      <c r="N6641" s="16">
        <f>IF($A6641&lt;Notes!$B$5,"",IF(COUNTIFS(Release_Calendar!$A$2:$A$755,"NZ_GDP",Release_Calendar!$B$2:$B$755,$A6641)&gt;0,1,0))</f>
        <v>0</v>
      </c>
      <c r="O6641" s="16">
        <f>IF($A6641&lt;Notes!$B$5,"",IF(COUNTIFS(Release_Calendar!$A$2:$A$755,"NZ_LABOUR",Release_Calendar!$B$2:$B$755,$A6641)&gt;0,1,0))</f>
        <v>0</v>
      </c>
      <c r="P6641" s="16">
        <f t="shared" si="4"/>
        <v>0</v>
      </c>
    </row>
    <row r="6642" ht="15.75" customHeight="1">
      <c r="A6642" s="14">
        <v>45824.0</v>
      </c>
      <c r="B6642" s="15">
        <v>3.97</v>
      </c>
      <c r="C6642" s="15">
        <v>3.29</v>
      </c>
      <c r="D6642" s="15"/>
      <c r="E6642" s="15">
        <v>3.43</v>
      </c>
      <c r="F6642" s="15">
        <f t="shared" si="1"/>
        <v>-0.68</v>
      </c>
      <c r="G6642" s="15">
        <f t="shared" si="2"/>
        <v>3.29</v>
      </c>
      <c r="H6642" s="16">
        <v>0.0</v>
      </c>
      <c r="I6642" s="15">
        <f t="shared" si="3"/>
        <v>-0.68</v>
      </c>
      <c r="J6642" s="15">
        <v>19.11</v>
      </c>
      <c r="K6642" s="16">
        <f>IF(COUNTIFS(Release_Calendar!$A$2:$A$755,"US_CPI",Release_Calendar!$B$2:$B$755,$A6642)&gt;0,1,0)</f>
        <v>0</v>
      </c>
      <c r="L6642" s="16">
        <f>IF(COUNTIFS(Release_Calendar!$A$2:$A$755,"US_NFP",Release_Calendar!$B$2:$B$755,$A6642)&gt;0,1,0)</f>
        <v>0</v>
      </c>
      <c r="M6642" s="16">
        <f>IF($A6642&lt;Notes!$B$5,"",IF(COUNTIFS(Release_Calendar!$A$2:$A$755,"NZ_CPI",Release_Calendar!$B$2:$B$755,$A6642)&gt;0,1,0))</f>
        <v>0</v>
      </c>
      <c r="N6642" s="16">
        <f>IF($A6642&lt;Notes!$B$5,"",IF(COUNTIFS(Release_Calendar!$A$2:$A$755,"NZ_GDP",Release_Calendar!$B$2:$B$755,$A6642)&gt;0,1,0))</f>
        <v>0</v>
      </c>
      <c r="O6642" s="16">
        <f>IF($A6642&lt;Notes!$B$5,"",IF(COUNTIFS(Release_Calendar!$A$2:$A$755,"NZ_LABOUR",Release_Calendar!$B$2:$B$755,$A6642)&gt;0,1,0))</f>
        <v>0</v>
      </c>
      <c r="P6642" s="16">
        <f t="shared" si="4"/>
        <v>0</v>
      </c>
    </row>
    <row r="6643" ht="15.75" customHeight="1">
      <c r="A6643" s="14">
        <v>45825.0</v>
      </c>
      <c r="B6643" s="15">
        <v>3.94</v>
      </c>
      <c r="C6643" s="15">
        <v>3.28</v>
      </c>
      <c r="D6643" s="15"/>
      <c r="E6643" s="15">
        <v>3.42</v>
      </c>
      <c r="F6643" s="15">
        <f t="shared" si="1"/>
        <v>-0.66</v>
      </c>
      <c r="G6643" s="15">
        <f t="shared" si="2"/>
        <v>3.28</v>
      </c>
      <c r="H6643" s="16">
        <v>0.0</v>
      </c>
      <c r="I6643" s="15">
        <f t="shared" si="3"/>
        <v>-0.66</v>
      </c>
      <c r="J6643" s="15">
        <v>21.6</v>
      </c>
      <c r="K6643" s="16">
        <f>IF(COUNTIFS(Release_Calendar!$A$2:$A$755,"US_CPI",Release_Calendar!$B$2:$B$755,$A6643)&gt;0,1,0)</f>
        <v>0</v>
      </c>
      <c r="L6643" s="16">
        <f>IF(COUNTIFS(Release_Calendar!$A$2:$A$755,"US_NFP",Release_Calendar!$B$2:$B$755,$A6643)&gt;0,1,0)</f>
        <v>0</v>
      </c>
      <c r="M6643" s="16">
        <f>IF($A6643&lt;Notes!$B$5,"",IF(COUNTIFS(Release_Calendar!$A$2:$A$755,"NZ_CPI",Release_Calendar!$B$2:$B$755,$A6643)&gt;0,1,0))</f>
        <v>0</v>
      </c>
      <c r="N6643" s="16">
        <f>IF($A6643&lt;Notes!$B$5,"",IF(COUNTIFS(Release_Calendar!$A$2:$A$755,"NZ_GDP",Release_Calendar!$B$2:$B$755,$A6643)&gt;0,1,0))</f>
        <v>0</v>
      </c>
      <c r="O6643" s="16">
        <f>IF($A6643&lt;Notes!$B$5,"",IF(COUNTIFS(Release_Calendar!$A$2:$A$755,"NZ_LABOUR",Release_Calendar!$B$2:$B$755,$A6643)&gt;0,1,0))</f>
        <v>0</v>
      </c>
      <c r="P6643" s="16">
        <f t="shared" si="4"/>
        <v>0</v>
      </c>
    </row>
    <row r="6644" ht="15.75" customHeight="1">
      <c r="A6644" s="14">
        <v>45826.0</v>
      </c>
      <c r="B6644" s="15">
        <v>3.94</v>
      </c>
      <c r="C6644" s="15">
        <v>3.29</v>
      </c>
      <c r="D6644" s="15"/>
      <c r="E6644" s="15">
        <v>3.42</v>
      </c>
      <c r="F6644" s="15">
        <f t="shared" si="1"/>
        <v>-0.65</v>
      </c>
      <c r="G6644" s="15">
        <f t="shared" si="2"/>
        <v>3.29</v>
      </c>
      <c r="H6644" s="16">
        <v>0.0</v>
      </c>
      <c r="I6644" s="15">
        <f t="shared" si="3"/>
        <v>-0.65</v>
      </c>
      <c r="J6644" s="15">
        <v>20.14</v>
      </c>
      <c r="K6644" s="16">
        <f>IF(COUNTIFS(Release_Calendar!$A$2:$A$755,"US_CPI",Release_Calendar!$B$2:$B$755,$A6644)&gt;0,1,0)</f>
        <v>0</v>
      </c>
      <c r="L6644" s="16">
        <f>IF(COUNTIFS(Release_Calendar!$A$2:$A$755,"US_NFP",Release_Calendar!$B$2:$B$755,$A6644)&gt;0,1,0)</f>
        <v>0</v>
      </c>
      <c r="M6644" s="16">
        <f>IF($A6644&lt;Notes!$B$5,"",IF(COUNTIFS(Release_Calendar!$A$2:$A$755,"NZ_CPI",Release_Calendar!$B$2:$B$755,$A6644)&gt;0,1,0))</f>
        <v>0</v>
      </c>
      <c r="N6644" s="16">
        <f>IF($A6644&lt;Notes!$B$5,"",IF(COUNTIFS(Release_Calendar!$A$2:$A$755,"NZ_GDP",Release_Calendar!$B$2:$B$755,$A6644)&gt;0,1,0))</f>
        <v>0</v>
      </c>
      <c r="O6644" s="16">
        <f>IF($A6644&lt;Notes!$B$5,"",IF(COUNTIFS(Release_Calendar!$A$2:$A$755,"NZ_LABOUR",Release_Calendar!$B$2:$B$755,$A6644)&gt;0,1,0))</f>
        <v>0</v>
      </c>
      <c r="P6644" s="16">
        <f t="shared" si="4"/>
        <v>0</v>
      </c>
    </row>
    <row r="6645" ht="15.75" customHeight="1">
      <c r="A6645" s="14">
        <v>45827.0</v>
      </c>
      <c r="B6645" s="15"/>
      <c r="C6645" s="15">
        <v>3.28</v>
      </c>
      <c r="D6645" s="15"/>
      <c r="E6645" s="15">
        <v>3.41</v>
      </c>
      <c r="F6645" s="15" t="str">
        <f t="shared" si="1"/>
        <v/>
      </c>
      <c r="G6645" s="15">
        <f t="shared" si="2"/>
        <v>3.28</v>
      </c>
      <c r="H6645" s="16">
        <v>0.0</v>
      </c>
      <c r="I6645" s="15" t="str">
        <f t="shared" si="3"/>
        <v/>
      </c>
      <c r="J6645" s="15">
        <v>22.17</v>
      </c>
      <c r="K6645" s="16">
        <f>IF(COUNTIFS(Release_Calendar!$A$2:$A$755,"US_CPI",Release_Calendar!$B$2:$B$755,$A6645)&gt;0,1,0)</f>
        <v>0</v>
      </c>
      <c r="L6645" s="16">
        <f>IF(COUNTIFS(Release_Calendar!$A$2:$A$755,"US_NFP",Release_Calendar!$B$2:$B$755,$A6645)&gt;0,1,0)</f>
        <v>0</v>
      </c>
      <c r="M6645" s="16">
        <f>IF($A6645&lt;Notes!$B$5,"",IF(COUNTIFS(Release_Calendar!$A$2:$A$755,"NZ_CPI",Release_Calendar!$B$2:$B$755,$A6645)&gt;0,1,0))</f>
        <v>0</v>
      </c>
      <c r="N6645" s="16">
        <f>IF($A6645&lt;Notes!$B$5,"",IF(COUNTIFS(Release_Calendar!$A$2:$A$755,"NZ_GDP",Release_Calendar!$B$2:$B$755,$A6645)&gt;0,1,0))</f>
        <v>1</v>
      </c>
      <c r="O6645" s="16">
        <f>IF($A6645&lt;Notes!$B$5,"",IF(COUNTIFS(Release_Calendar!$A$2:$A$755,"NZ_LABOUR",Release_Calendar!$B$2:$B$755,$A6645)&gt;0,1,0))</f>
        <v>0</v>
      </c>
      <c r="P6645" s="16">
        <f t="shared" si="4"/>
        <v>1</v>
      </c>
    </row>
    <row r="6646" ht="15.75" customHeight="1">
      <c r="A6646" s="14">
        <v>45828.0</v>
      </c>
      <c r="B6646" s="15">
        <v>3.9</v>
      </c>
      <c r="C6646" s="15"/>
      <c r="D6646" s="15"/>
      <c r="E6646" s="15"/>
      <c r="F6646" s="15" t="str">
        <f t="shared" si="1"/>
        <v/>
      </c>
      <c r="G6646" s="15" t="str">
        <f t="shared" si="2"/>
        <v/>
      </c>
      <c r="H6646" s="16">
        <v>0.0</v>
      </c>
      <c r="I6646" s="15" t="str">
        <f t="shared" si="3"/>
        <v/>
      </c>
      <c r="J6646" s="15">
        <v>20.62</v>
      </c>
      <c r="K6646" s="16">
        <f>IF(COUNTIFS(Release_Calendar!$A$2:$A$755,"US_CPI",Release_Calendar!$B$2:$B$755,$A6646)&gt;0,1,0)</f>
        <v>0</v>
      </c>
      <c r="L6646" s="16">
        <f>IF(COUNTIFS(Release_Calendar!$A$2:$A$755,"US_NFP",Release_Calendar!$B$2:$B$755,$A6646)&gt;0,1,0)</f>
        <v>0</v>
      </c>
      <c r="M6646" s="16">
        <f>IF($A6646&lt;Notes!$B$5,"",IF(COUNTIFS(Release_Calendar!$A$2:$A$755,"NZ_CPI",Release_Calendar!$B$2:$B$755,$A6646)&gt;0,1,0))</f>
        <v>0</v>
      </c>
      <c r="N6646" s="16">
        <f>IF($A6646&lt;Notes!$B$5,"",IF(COUNTIFS(Release_Calendar!$A$2:$A$755,"NZ_GDP",Release_Calendar!$B$2:$B$755,$A6646)&gt;0,1,0))</f>
        <v>0</v>
      </c>
      <c r="O6646" s="16">
        <f>IF($A6646&lt;Notes!$B$5,"",IF(COUNTIFS(Release_Calendar!$A$2:$A$755,"NZ_LABOUR",Release_Calendar!$B$2:$B$755,$A6646)&gt;0,1,0))</f>
        <v>0</v>
      </c>
      <c r="P6646" s="16">
        <f t="shared" si="4"/>
        <v>0</v>
      </c>
    </row>
    <row r="6647" ht="15.75" customHeight="1">
      <c r="A6647" s="14">
        <v>45831.0</v>
      </c>
      <c r="B6647" s="15">
        <v>3.84</v>
      </c>
      <c r="C6647" s="15">
        <v>3.27</v>
      </c>
      <c r="D6647" s="15"/>
      <c r="E6647" s="15">
        <v>3.41</v>
      </c>
      <c r="F6647" s="15">
        <f t="shared" si="1"/>
        <v>-0.57</v>
      </c>
      <c r="G6647" s="15">
        <f t="shared" si="2"/>
        <v>3.27</v>
      </c>
      <c r="H6647" s="16">
        <v>0.0</v>
      </c>
      <c r="I6647" s="15">
        <f t="shared" si="3"/>
        <v>-0.57</v>
      </c>
      <c r="J6647" s="15">
        <v>19.83</v>
      </c>
      <c r="K6647" s="16">
        <f>IF(COUNTIFS(Release_Calendar!$A$2:$A$755,"US_CPI",Release_Calendar!$B$2:$B$755,$A6647)&gt;0,1,0)</f>
        <v>0</v>
      </c>
      <c r="L6647" s="16">
        <f>IF(COUNTIFS(Release_Calendar!$A$2:$A$755,"US_NFP",Release_Calendar!$B$2:$B$755,$A6647)&gt;0,1,0)</f>
        <v>0</v>
      </c>
      <c r="M6647" s="16">
        <f>IF($A6647&lt;Notes!$B$5,"",IF(COUNTIFS(Release_Calendar!$A$2:$A$755,"NZ_CPI",Release_Calendar!$B$2:$B$755,$A6647)&gt;0,1,0))</f>
        <v>0</v>
      </c>
      <c r="N6647" s="16">
        <f>IF($A6647&lt;Notes!$B$5,"",IF(COUNTIFS(Release_Calendar!$A$2:$A$755,"NZ_GDP",Release_Calendar!$B$2:$B$755,$A6647)&gt;0,1,0))</f>
        <v>0</v>
      </c>
      <c r="O6647" s="16">
        <f>IF($A6647&lt;Notes!$B$5,"",IF(COUNTIFS(Release_Calendar!$A$2:$A$755,"NZ_LABOUR",Release_Calendar!$B$2:$B$755,$A6647)&gt;0,1,0))</f>
        <v>0</v>
      </c>
      <c r="P6647" s="16">
        <f t="shared" si="4"/>
        <v>0</v>
      </c>
    </row>
    <row r="6648" ht="15.75" customHeight="1">
      <c r="A6648" s="14">
        <v>45832.0</v>
      </c>
      <c r="B6648" s="15">
        <v>3.75</v>
      </c>
      <c r="C6648" s="15">
        <v>3.23</v>
      </c>
      <c r="D6648" s="15"/>
      <c r="E6648" s="15">
        <v>3.38</v>
      </c>
      <c r="F6648" s="15">
        <f t="shared" si="1"/>
        <v>-0.52</v>
      </c>
      <c r="G6648" s="15">
        <f t="shared" si="2"/>
        <v>3.23</v>
      </c>
      <c r="H6648" s="16">
        <v>0.0</v>
      </c>
      <c r="I6648" s="15">
        <f t="shared" si="3"/>
        <v>-0.52</v>
      </c>
      <c r="J6648" s="15">
        <v>17.48</v>
      </c>
      <c r="K6648" s="16">
        <f>IF(COUNTIFS(Release_Calendar!$A$2:$A$755,"US_CPI",Release_Calendar!$B$2:$B$755,$A6648)&gt;0,1,0)</f>
        <v>0</v>
      </c>
      <c r="L6648" s="16">
        <f>IF(COUNTIFS(Release_Calendar!$A$2:$A$755,"US_NFP",Release_Calendar!$B$2:$B$755,$A6648)&gt;0,1,0)</f>
        <v>0</v>
      </c>
      <c r="M6648" s="16">
        <f>IF($A6648&lt;Notes!$B$5,"",IF(COUNTIFS(Release_Calendar!$A$2:$A$755,"NZ_CPI",Release_Calendar!$B$2:$B$755,$A6648)&gt;0,1,0))</f>
        <v>0</v>
      </c>
      <c r="N6648" s="16">
        <f>IF($A6648&lt;Notes!$B$5,"",IF(COUNTIFS(Release_Calendar!$A$2:$A$755,"NZ_GDP",Release_Calendar!$B$2:$B$755,$A6648)&gt;0,1,0))</f>
        <v>0</v>
      </c>
      <c r="O6648" s="16">
        <f>IF($A6648&lt;Notes!$B$5,"",IF(COUNTIFS(Release_Calendar!$A$2:$A$755,"NZ_LABOUR",Release_Calendar!$B$2:$B$755,$A6648)&gt;0,1,0))</f>
        <v>0</v>
      </c>
      <c r="P6648" s="16">
        <f t="shared" si="4"/>
        <v>0</v>
      </c>
    </row>
    <row r="6649" ht="15.75" customHeight="1">
      <c r="A6649" s="14">
        <v>45833.0</v>
      </c>
      <c r="B6649" s="15">
        <v>3.74</v>
      </c>
      <c r="C6649" s="15">
        <v>3.19</v>
      </c>
      <c r="D6649" s="15"/>
      <c r="E6649" s="15">
        <v>3.32</v>
      </c>
      <c r="F6649" s="15">
        <f t="shared" si="1"/>
        <v>-0.55</v>
      </c>
      <c r="G6649" s="15">
        <f t="shared" si="2"/>
        <v>3.19</v>
      </c>
      <c r="H6649" s="16">
        <v>0.0</v>
      </c>
      <c r="I6649" s="15">
        <f t="shared" si="3"/>
        <v>-0.55</v>
      </c>
      <c r="J6649" s="15">
        <v>16.76</v>
      </c>
      <c r="K6649" s="16">
        <f>IF(COUNTIFS(Release_Calendar!$A$2:$A$755,"US_CPI",Release_Calendar!$B$2:$B$755,$A6649)&gt;0,1,0)</f>
        <v>0</v>
      </c>
      <c r="L6649" s="16">
        <f>IF(COUNTIFS(Release_Calendar!$A$2:$A$755,"US_NFP",Release_Calendar!$B$2:$B$755,$A6649)&gt;0,1,0)</f>
        <v>0</v>
      </c>
      <c r="M6649" s="16">
        <f>IF($A6649&lt;Notes!$B$5,"",IF(COUNTIFS(Release_Calendar!$A$2:$A$755,"NZ_CPI",Release_Calendar!$B$2:$B$755,$A6649)&gt;0,1,0))</f>
        <v>0</v>
      </c>
      <c r="N6649" s="16">
        <f>IF($A6649&lt;Notes!$B$5,"",IF(COUNTIFS(Release_Calendar!$A$2:$A$755,"NZ_GDP",Release_Calendar!$B$2:$B$755,$A6649)&gt;0,1,0))</f>
        <v>0</v>
      </c>
      <c r="O6649" s="16">
        <f>IF($A6649&lt;Notes!$B$5,"",IF(COUNTIFS(Release_Calendar!$A$2:$A$755,"NZ_LABOUR",Release_Calendar!$B$2:$B$755,$A6649)&gt;0,1,0))</f>
        <v>0</v>
      </c>
      <c r="P6649" s="16">
        <f t="shared" si="4"/>
        <v>0</v>
      </c>
    </row>
    <row r="6650" ht="15.75" customHeight="1">
      <c r="A6650" s="14">
        <v>45834.0</v>
      </c>
      <c r="B6650" s="15">
        <v>3.7</v>
      </c>
      <c r="C6650" s="15">
        <v>3.16</v>
      </c>
      <c r="D6650" s="15"/>
      <c r="E6650" s="15">
        <v>3.29</v>
      </c>
      <c r="F6650" s="15">
        <f t="shared" si="1"/>
        <v>-0.54</v>
      </c>
      <c r="G6650" s="15">
        <f t="shared" si="2"/>
        <v>3.16</v>
      </c>
      <c r="H6650" s="16">
        <v>0.0</v>
      </c>
      <c r="I6650" s="15">
        <f t="shared" si="3"/>
        <v>-0.54</v>
      </c>
      <c r="J6650" s="15">
        <v>16.59</v>
      </c>
      <c r="K6650" s="16">
        <f>IF(COUNTIFS(Release_Calendar!$A$2:$A$755,"US_CPI",Release_Calendar!$B$2:$B$755,$A6650)&gt;0,1,0)</f>
        <v>0</v>
      </c>
      <c r="L6650" s="16">
        <f>IF(COUNTIFS(Release_Calendar!$A$2:$A$755,"US_NFP",Release_Calendar!$B$2:$B$755,$A6650)&gt;0,1,0)</f>
        <v>0</v>
      </c>
      <c r="M6650" s="16">
        <f>IF($A6650&lt;Notes!$B$5,"",IF(COUNTIFS(Release_Calendar!$A$2:$A$755,"NZ_CPI",Release_Calendar!$B$2:$B$755,$A6650)&gt;0,1,0))</f>
        <v>0</v>
      </c>
      <c r="N6650" s="16">
        <f>IF($A6650&lt;Notes!$B$5,"",IF(COUNTIFS(Release_Calendar!$A$2:$A$755,"NZ_GDP",Release_Calendar!$B$2:$B$755,$A6650)&gt;0,1,0))</f>
        <v>0</v>
      </c>
      <c r="O6650" s="16">
        <f>IF($A6650&lt;Notes!$B$5,"",IF(COUNTIFS(Release_Calendar!$A$2:$A$755,"NZ_LABOUR",Release_Calendar!$B$2:$B$755,$A6650)&gt;0,1,0))</f>
        <v>0</v>
      </c>
      <c r="P6650" s="16">
        <f t="shared" si="4"/>
        <v>0</v>
      </c>
    </row>
    <row r="6651" ht="15.75" customHeight="1">
      <c r="A6651" s="14">
        <v>45835.0</v>
      </c>
      <c r="B6651" s="15">
        <v>3.73</v>
      </c>
      <c r="C6651" s="15">
        <v>3.17</v>
      </c>
      <c r="D6651" s="15"/>
      <c r="E6651" s="15">
        <v>3.29</v>
      </c>
      <c r="F6651" s="15">
        <f t="shared" si="1"/>
        <v>-0.56</v>
      </c>
      <c r="G6651" s="15">
        <f t="shared" si="2"/>
        <v>3.17</v>
      </c>
      <c r="H6651" s="16">
        <v>0.0</v>
      </c>
      <c r="I6651" s="15">
        <f t="shared" si="3"/>
        <v>-0.56</v>
      </c>
      <c r="J6651" s="15">
        <v>16.32</v>
      </c>
      <c r="K6651" s="16">
        <f>IF(COUNTIFS(Release_Calendar!$A$2:$A$755,"US_CPI",Release_Calendar!$B$2:$B$755,$A6651)&gt;0,1,0)</f>
        <v>0</v>
      </c>
      <c r="L6651" s="16">
        <f>IF(COUNTIFS(Release_Calendar!$A$2:$A$755,"US_NFP",Release_Calendar!$B$2:$B$755,$A6651)&gt;0,1,0)</f>
        <v>0</v>
      </c>
      <c r="M6651" s="16">
        <f>IF($A6651&lt;Notes!$B$5,"",IF(COUNTIFS(Release_Calendar!$A$2:$A$755,"NZ_CPI",Release_Calendar!$B$2:$B$755,$A6651)&gt;0,1,0))</f>
        <v>0</v>
      </c>
      <c r="N6651" s="16">
        <f>IF($A6651&lt;Notes!$B$5,"",IF(COUNTIFS(Release_Calendar!$A$2:$A$755,"NZ_GDP",Release_Calendar!$B$2:$B$755,$A6651)&gt;0,1,0))</f>
        <v>0</v>
      </c>
      <c r="O6651" s="16">
        <f>IF($A6651&lt;Notes!$B$5,"",IF(COUNTIFS(Release_Calendar!$A$2:$A$755,"NZ_LABOUR",Release_Calendar!$B$2:$B$755,$A6651)&gt;0,1,0))</f>
        <v>0</v>
      </c>
      <c r="P6651" s="16">
        <f t="shared" si="4"/>
        <v>0</v>
      </c>
    </row>
    <row r="6652" ht="15.75" customHeight="1">
      <c r="A6652" s="14">
        <v>45838.0</v>
      </c>
      <c r="B6652" s="15">
        <v>3.72</v>
      </c>
      <c r="C6652" s="15">
        <v>3.19</v>
      </c>
      <c r="D6652" s="15"/>
      <c r="E6652" s="15">
        <v>3.31</v>
      </c>
      <c r="F6652" s="15">
        <f t="shared" si="1"/>
        <v>-0.53</v>
      </c>
      <c r="G6652" s="15">
        <f t="shared" si="2"/>
        <v>3.19</v>
      </c>
      <c r="H6652" s="16">
        <v>0.0</v>
      </c>
      <c r="I6652" s="15">
        <f t="shared" si="3"/>
        <v>-0.53</v>
      </c>
      <c r="J6652" s="15">
        <v>16.73</v>
      </c>
      <c r="K6652" s="16">
        <f>IF(COUNTIFS(Release_Calendar!$A$2:$A$755,"US_CPI",Release_Calendar!$B$2:$B$755,$A6652)&gt;0,1,0)</f>
        <v>0</v>
      </c>
      <c r="L6652" s="16">
        <f>IF(COUNTIFS(Release_Calendar!$A$2:$A$755,"US_NFP",Release_Calendar!$B$2:$B$755,$A6652)&gt;0,1,0)</f>
        <v>0</v>
      </c>
      <c r="M6652" s="16">
        <f>IF($A6652&lt;Notes!$B$5,"",IF(COUNTIFS(Release_Calendar!$A$2:$A$755,"NZ_CPI",Release_Calendar!$B$2:$B$755,$A6652)&gt;0,1,0))</f>
        <v>0</v>
      </c>
      <c r="N6652" s="16">
        <f>IF($A6652&lt;Notes!$B$5,"",IF(COUNTIFS(Release_Calendar!$A$2:$A$755,"NZ_GDP",Release_Calendar!$B$2:$B$755,$A6652)&gt;0,1,0))</f>
        <v>0</v>
      </c>
      <c r="O6652" s="16">
        <f>IF($A6652&lt;Notes!$B$5,"",IF(COUNTIFS(Release_Calendar!$A$2:$A$755,"NZ_LABOUR",Release_Calendar!$B$2:$B$755,$A6652)&gt;0,1,0))</f>
        <v>0</v>
      </c>
      <c r="P6652" s="16">
        <f t="shared" si="4"/>
        <v>0</v>
      </c>
    </row>
    <row r="6653" ht="15.75" customHeight="1">
      <c r="A6653" s="14">
        <v>45839.0</v>
      </c>
      <c r="B6653" s="15">
        <v>3.78</v>
      </c>
      <c r="C6653" s="15">
        <v>3.15</v>
      </c>
      <c r="D6653" s="15"/>
      <c r="E6653" s="15">
        <v>3.28</v>
      </c>
      <c r="F6653" s="15">
        <f t="shared" si="1"/>
        <v>-0.63</v>
      </c>
      <c r="G6653" s="15">
        <f t="shared" si="2"/>
        <v>3.15</v>
      </c>
      <c r="H6653" s="16">
        <v>0.0</v>
      </c>
      <c r="I6653" s="15">
        <f t="shared" si="3"/>
        <v>-0.63</v>
      </c>
      <c r="J6653" s="15">
        <v>16.83</v>
      </c>
      <c r="K6653" s="16">
        <f>IF(COUNTIFS(Release_Calendar!$A$2:$A$755,"US_CPI",Release_Calendar!$B$2:$B$755,$A6653)&gt;0,1,0)</f>
        <v>0</v>
      </c>
      <c r="L6653" s="16">
        <f>IF(COUNTIFS(Release_Calendar!$A$2:$A$755,"US_NFP",Release_Calendar!$B$2:$B$755,$A6653)&gt;0,1,0)</f>
        <v>0</v>
      </c>
      <c r="M6653" s="16">
        <f>IF($A6653&lt;Notes!$B$5,"",IF(COUNTIFS(Release_Calendar!$A$2:$A$755,"NZ_CPI",Release_Calendar!$B$2:$B$755,$A6653)&gt;0,1,0))</f>
        <v>0</v>
      </c>
      <c r="N6653" s="16">
        <f>IF($A6653&lt;Notes!$B$5,"",IF(COUNTIFS(Release_Calendar!$A$2:$A$755,"NZ_GDP",Release_Calendar!$B$2:$B$755,$A6653)&gt;0,1,0))</f>
        <v>0</v>
      </c>
      <c r="O6653" s="16">
        <f>IF($A6653&lt;Notes!$B$5,"",IF(COUNTIFS(Release_Calendar!$A$2:$A$755,"NZ_LABOUR",Release_Calendar!$B$2:$B$755,$A6653)&gt;0,1,0))</f>
        <v>0</v>
      </c>
      <c r="P6653" s="16">
        <f t="shared" si="4"/>
        <v>0</v>
      </c>
    </row>
    <row r="6654" ht="15.75" customHeight="1">
      <c r="A6654" s="14">
        <v>45840.0</v>
      </c>
      <c r="B6654" s="15">
        <v>3.78</v>
      </c>
      <c r="C6654" s="15">
        <v>3.16</v>
      </c>
      <c r="D6654" s="15"/>
      <c r="E6654" s="15">
        <v>3.29</v>
      </c>
      <c r="F6654" s="15">
        <f t="shared" si="1"/>
        <v>-0.62</v>
      </c>
      <c r="G6654" s="15">
        <f t="shared" si="2"/>
        <v>3.16</v>
      </c>
      <c r="H6654" s="16">
        <v>0.0</v>
      </c>
      <c r="I6654" s="15">
        <f t="shared" si="3"/>
        <v>-0.62</v>
      </c>
      <c r="J6654" s="15">
        <v>16.64</v>
      </c>
      <c r="K6654" s="16">
        <f>IF(COUNTIFS(Release_Calendar!$A$2:$A$755,"US_CPI",Release_Calendar!$B$2:$B$755,$A6654)&gt;0,1,0)</f>
        <v>0</v>
      </c>
      <c r="L6654" s="16">
        <f>IF(COUNTIFS(Release_Calendar!$A$2:$A$755,"US_NFP",Release_Calendar!$B$2:$B$755,$A6654)&gt;0,1,0)</f>
        <v>0</v>
      </c>
      <c r="M6654" s="16">
        <f>IF($A6654&lt;Notes!$B$5,"",IF(COUNTIFS(Release_Calendar!$A$2:$A$755,"NZ_CPI",Release_Calendar!$B$2:$B$755,$A6654)&gt;0,1,0))</f>
        <v>0</v>
      </c>
      <c r="N6654" s="16">
        <f>IF($A6654&lt;Notes!$B$5,"",IF(COUNTIFS(Release_Calendar!$A$2:$A$755,"NZ_GDP",Release_Calendar!$B$2:$B$755,$A6654)&gt;0,1,0))</f>
        <v>0</v>
      </c>
      <c r="O6654" s="16">
        <f>IF($A6654&lt;Notes!$B$5,"",IF(COUNTIFS(Release_Calendar!$A$2:$A$755,"NZ_LABOUR",Release_Calendar!$B$2:$B$755,$A6654)&gt;0,1,0))</f>
        <v>0</v>
      </c>
      <c r="P6654" s="16">
        <f t="shared" si="4"/>
        <v>0</v>
      </c>
    </row>
    <row r="6655" ht="15.75" customHeight="1">
      <c r="A6655" s="14">
        <v>45841.0</v>
      </c>
      <c r="B6655" s="15">
        <v>3.88</v>
      </c>
      <c r="C6655" s="15">
        <v>3.17</v>
      </c>
      <c r="D6655" s="15"/>
      <c r="E6655" s="15">
        <v>3.29</v>
      </c>
      <c r="F6655" s="15">
        <f t="shared" si="1"/>
        <v>-0.71</v>
      </c>
      <c r="G6655" s="15">
        <f t="shared" si="2"/>
        <v>3.17</v>
      </c>
      <c r="H6655" s="16">
        <v>0.0</v>
      </c>
      <c r="I6655" s="15">
        <f t="shared" si="3"/>
        <v>-0.71</v>
      </c>
      <c r="J6655" s="15">
        <v>16.38</v>
      </c>
      <c r="K6655" s="16">
        <f>IF(COUNTIFS(Release_Calendar!$A$2:$A$755,"US_CPI",Release_Calendar!$B$2:$B$755,$A6655)&gt;0,1,0)</f>
        <v>0</v>
      </c>
      <c r="L6655" s="16">
        <f>IF(COUNTIFS(Release_Calendar!$A$2:$A$755,"US_NFP",Release_Calendar!$B$2:$B$755,$A6655)&gt;0,1,0)</f>
        <v>1</v>
      </c>
      <c r="M6655" s="16">
        <f>IF($A6655&lt;Notes!$B$5,"",IF(COUNTIFS(Release_Calendar!$A$2:$A$755,"NZ_CPI",Release_Calendar!$B$2:$B$755,$A6655)&gt;0,1,0))</f>
        <v>0</v>
      </c>
      <c r="N6655" s="16">
        <f>IF($A6655&lt;Notes!$B$5,"",IF(COUNTIFS(Release_Calendar!$A$2:$A$755,"NZ_GDP",Release_Calendar!$B$2:$B$755,$A6655)&gt;0,1,0))</f>
        <v>0</v>
      </c>
      <c r="O6655" s="16">
        <f>IF($A6655&lt;Notes!$B$5,"",IF(COUNTIFS(Release_Calendar!$A$2:$A$755,"NZ_LABOUR",Release_Calendar!$B$2:$B$755,$A6655)&gt;0,1,0))</f>
        <v>0</v>
      </c>
      <c r="P6655" s="16">
        <f t="shared" si="4"/>
        <v>1</v>
      </c>
    </row>
    <row r="6656" ht="15.75" customHeight="1">
      <c r="A6656" s="14">
        <v>45842.0</v>
      </c>
      <c r="B6656" s="15"/>
      <c r="C6656" s="15">
        <v>3.18</v>
      </c>
      <c r="D6656" s="15"/>
      <c r="E6656" s="15">
        <v>3.28</v>
      </c>
      <c r="F6656" s="15" t="str">
        <f t="shared" si="1"/>
        <v/>
      </c>
      <c r="G6656" s="15">
        <f t="shared" si="2"/>
        <v>3.18</v>
      </c>
      <c r="H6656" s="16">
        <v>0.0</v>
      </c>
      <c r="I6656" s="15" t="str">
        <f t="shared" si="3"/>
        <v/>
      </c>
      <c r="J6656" s="15">
        <v>17.48</v>
      </c>
      <c r="K6656" s="16">
        <f>IF(COUNTIFS(Release_Calendar!$A$2:$A$755,"US_CPI",Release_Calendar!$B$2:$B$755,$A6656)&gt;0,1,0)</f>
        <v>0</v>
      </c>
      <c r="L6656" s="16">
        <f>IF(COUNTIFS(Release_Calendar!$A$2:$A$755,"US_NFP",Release_Calendar!$B$2:$B$755,$A6656)&gt;0,1,0)</f>
        <v>0</v>
      </c>
      <c r="M6656" s="16">
        <f>IF($A6656&lt;Notes!$B$5,"",IF(COUNTIFS(Release_Calendar!$A$2:$A$755,"NZ_CPI",Release_Calendar!$B$2:$B$755,$A6656)&gt;0,1,0))</f>
        <v>0</v>
      </c>
      <c r="N6656" s="16">
        <f>IF($A6656&lt;Notes!$B$5,"",IF(COUNTIFS(Release_Calendar!$A$2:$A$755,"NZ_GDP",Release_Calendar!$B$2:$B$755,$A6656)&gt;0,1,0))</f>
        <v>0</v>
      </c>
      <c r="O6656" s="16">
        <f>IF($A6656&lt;Notes!$B$5,"",IF(COUNTIFS(Release_Calendar!$A$2:$A$755,"NZ_LABOUR",Release_Calendar!$B$2:$B$755,$A6656)&gt;0,1,0))</f>
        <v>0</v>
      </c>
      <c r="P6656" s="16">
        <f t="shared" si="4"/>
        <v>0</v>
      </c>
    </row>
    <row r="6657" ht="15.75" customHeight="1">
      <c r="A6657" s="14">
        <v>45845.0</v>
      </c>
      <c r="B6657" s="15">
        <v>3.9</v>
      </c>
      <c r="C6657" s="15">
        <v>3.17</v>
      </c>
      <c r="D6657" s="15"/>
      <c r="E6657" s="15">
        <v>3.27</v>
      </c>
      <c r="F6657" s="15">
        <f t="shared" si="1"/>
        <v>-0.73</v>
      </c>
      <c r="G6657" s="15">
        <f t="shared" si="2"/>
        <v>3.17</v>
      </c>
      <c r="H6657" s="16">
        <v>0.0</v>
      </c>
      <c r="I6657" s="15">
        <f t="shared" si="3"/>
        <v>-0.73</v>
      </c>
      <c r="J6657" s="15">
        <v>17.79</v>
      </c>
      <c r="K6657" s="16">
        <f>IF(COUNTIFS(Release_Calendar!$A$2:$A$755,"US_CPI",Release_Calendar!$B$2:$B$755,$A6657)&gt;0,1,0)</f>
        <v>0</v>
      </c>
      <c r="L6657" s="16">
        <f>IF(COUNTIFS(Release_Calendar!$A$2:$A$755,"US_NFP",Release_Calendar!$B$2:$B$755,$A6657)&gt;0,1,0)</f>
        <v>0</v>
      </c>
      <c r="M6657" s="16">
        <f>IF($A6657&lt;Notes!$B$5,"",IF(COUNTIFS(Release_Calendar!$A$2:$A$755,"NZ_CPI",Release_Calendar!$B$2:$B$755,$A6657)&gt;0,1,0))</f>
        <v>0</v>
      </c>
      <c r="N6657" s="16">
        <f>IF($A6657&lt;Notes!$B$5,"",IF(COUNTIFS(Release_Calendar!$A$2:$A$755,"NZ_GDP",Release_Calendar!$B$2:$B$755,$A6657)&gt;0,1,0))</f>
        <v>0</v>
      </c>
      <c r="O6657" s="16">
        <f>IF($A6657&lt;Notes!$B$5,"",IF(COUNTIFS(Release_Calendar!$A$2:$A$755,"NZ_LABOUR",Release_Calendar!$B$2:$B$755,$A6657)&gt;0,1,0))</f>
        <v>0</v>
      </c>
      <c r="P6657" s="16">
        <f t="shared" si="4"/>
        <v>0</v>
      </c>
    </row>
    <row r="6658" ht="15.75" customHeight="1">
      <c r="A6658" s="14">
        <v>45846.0</v>
      </c>
      <c r="B6658" s="15">
        <v>3.9</v>
      </c>
      <c r="C6658" s="15">
        <v>3.19</v>
      </c>
      <c r="D6658" s="15"/>
      <c r="E6658" s="15">
        <v>3.28</v>
      </c>
      <c r="F6658" s="15">
        <f t="shared" si="1"/>
        <v>-0.71</v>
      </c>
      <c r="G6658" s="15">
        <f t="shared" si="2"/>
        <v>3.19</v>
      </c>
      <c r="H6658" s="16">
        <v>0.0</v>
      </c>
      <c r="I6658" s="15">
        <f t="shared" si="3"/>
        <v>-0.71</v>
      </c>
      <c r="J6658" s="15">
        <v>16.81</v>
      </c>
      <c r="K6658" s="16">
        <f>IF(COUNTIFS(Release_Calendar!$A$2:$A$755,"US_CPI",Release_Calendar!$B$2:$B$755,$A6658)&gt;0,1,0)</f>
        <v>0</v>
      </c>
      <c r="L6658" s="16">
        <f>IF(COUNTIFS(Release_Calendar!$A$2:$A$755,"US_NFP",Release_Calendar!$B$2:$B$755,$A6658)&gt;0,1,0)</f>
        <v>0</v>
      </c>
      <c r="M6658" s="16">
        <f>IF($A6658&lt;Notes!$B$5,"",IF(COUNTIFS(Release_Calendar!$A$2:$A$755,"NZ_CPI",Release_Calendar!$B$2:$B$755,$A6658)&gt;0,1,0))</f>
        <v>0</v>
      </c>
      <c r="N6658" s="16">
        <f>IF($A6658&lt;Notes!$B$5,"",IF(COUNTIFS(Release_Calendar!$A$2:$A$755,"NZ_GDP",Release_Calendar!$B$2:$B$755,$A6658)&gt;0,1,0))</f>
        <v>0</v>
      </c>
      <c r="O6658" s="16">
        <f>IF($A6658&lt;Notes!$B$5,"",IF(COUNTIFS(Release_Calendar!$A$2:$A$755,"NZ_LABOUR",Release_Calendar!$B$2:$B$755,$A6658)&gt;0,1,0))</f>
        <v>0</v>
      </c>
      <c r="P6658" s="16">
        <f t="shared" si="4"/>
        <v>0</v>
      </c>
    </row>
    <row r="6659" ht="15.75" customHeight="1">
      <c r="A6659" s="14">
        <v>45847.0</v>
      </c>
      <c r="B6659" s="15">
        <v>3.86</v>
      </c>
      <c r="C6659" s="15">
        <v>3.2</v>
      </c>
      <c r="D6659" s="15"/>
      <c r="E6659" s="15">
        <v>3.29</v>
      </c>
      <c r="F6659" s="15">
        <f t="shared" si="1"/>
        <v>-0.66</v>
      </c>
      <c r="G6659" s="15">
        <f t="shared" si="2"/>
        <v>3.2</v>
      </c>
      <c r="H6659" s="16">
        <v>0.0</v>
      </c>
      <c r="I6659" s="15">
        <f t="shared" si="3"/>
        <v>-0.66</v>
      </c>
      <c r="J6659" s="15">
        <v>15.94</v>
      </c>
      <c r="K6659" s="16">
        <f>IF(COUNTIFS(Release_Calendar!$A$2:$A$755,"US_CPI",Release_Calendar!$B$2:$B$755,$A6659)&gt;0,1,0)</f>
        <v>0</v>
      </c>
      <c r="L6659" s="16">
        <f>IF(COUNTIFS(Release_Calendar!$A$2:$A$755,"US_NFP",Release_Calendar!$B$2:$B$755,$A6659)&gt;0,1,0)</f>
        <v>0</v>
      </c>
      <c r="M6659" s="16">
        <f>IF($A6659&lt;Notes!$B$5,"",IF(COUNTIFS(Release_Calendar!$A$2:$A$755,"NZ_CPI",Release_Calendar!$B$2:$B$755,$A6659)&gt;0,1,0))</f>
        <v>0</v>
      </c>
      <c r="N6659" s="16">
        <f>IF($A6659&lt;Notes!$B$5,"",IF(COUNTIFS(Release_Calendar!$A$2:$A$755,"NZ_GDP",Release_Calendar!$B$2:$B$755,$A6659)&gt;0,1,0))</f>
        <v>0</v>
      </c>
      <c r="O6659" s="16">
        <f>IF($A6659&lt;Notes!$B$5,"",IF(COUNTIFS(Release_Calendar!$A$2:$A$755,"NZ_LABOUR",Release_Calendar!$B$2:$B$755,$A6659)&gt;0,1,0))</f>
        <v>0</v>
      </c>
      <c r="P6659" s="16">
        <f t="shared" si="4"/>
        <v>0</v>
      </c>
    </row>
    <row r="6660" ht="15.75" customHeight="1">
      <c r="A6660" s="14">
        <v>45848.0</v>
      </c>
      <c r="B6660" s="15">
        <v>3.86</v>
      </c>
      <c r="C6660" s="15">
        <v>3.18</v>
      </c>
      <c r="D6660" s="15"/>
      <c r="E6660" s="15">
        <v>3.26</v>
      </c>
      <c r="F6660" s="15">
        <f t="shared" si="1"/>
        <v>-0.68</v>
      </c>
      <c r="G6660" s="15">
        <f t="shared" si="2"/>
        <v>3.18</v>
      </c>
      <c r="H6660" s="16">
        <v>0.0</v>
      </c>
      <c r="I6660" s="15">
        <f t="shared" si="3"/>
        <v>-0.68</v>
      </c>
      <c r="J6660" s="15">
        <v>15.78</v>
      </c>
      <c r="K6660" s="16">
        <f>IF(COUNTIFS(Release_Calendar!$A$2:$A$755,"US_CPI",Release_Calendar!$B$2:$B$755,$A6660)&gt;0,1,0)</f>
        <v>0</v>
      </c>
      <c r="L6660" s="16">
        <f>IF(COUNTIFS(Release_Calendar!$A$2:$A$755,"US_NFP",Release_Calendar!$B$2:$B$755,$A6660)&gt;0,1,0)</f>
        <v>0</v>
      </c>
      <c r="M6660" s="16">
        <f>IF($A6660&lt;Notes!$B$5,"",IF(COUNTIFS(Release_Calendar!$A$2:$A$755,"NZ_CPI",Release_Calendar!$B$2:$B$755,$A6660)&gt;0,1,0))</f>
        <v>0</v>
      </c>
      <c r="N6660" s="16">
        <f>IF($A6660&lt;Notes!$B$5,"",IF(COUNTIFS(Release_Calendar!$A$2:$A$755,"NZ_GDP",Release_Calendar!$B$2:$B$755,$A6660)&gt;0,1,0))</f>
        <v>0</v>
      </c>
      <c r="O6660" s="16">
        <f>IF($A6660&lt;Notes!$B$5,"",IF(COUNTIFS(Release_Calendar!$A$2:$A$755,"NZ_LABOUR",Release_Calendar!$B$2:$B$755,$A6660)&gt;0,1,0))</f>
        <v>0</v>
      </c>
      <c r="P6660" s="16">
        <f t="shared" si="4"/>
        <v>0</v>
      </c>
    </row>
    <row r="6661" ht="15.75" customHeight="1">
      <c r="A6661" s="14">
        <v>45849.0</v>
      </c>
      <c r="B6661" s="15">
        <v>3.9</v>
      </c>
      <c r="C6661" s="15">
        <v>3.17</v>
      </c>
      <c r="D6661" s="15"/>
      <c r="E6661" s="15">
        <v>3.25</v>
      </c>
      <c r="F6661" s="15">
        <f t="shared" si="1"/>
        <v>-0.73</v>
      </c>
      <c r="G6661" s="15">
        <f t="shared" si="2"/>
        <v>3.17</v>
      </c>
      <c r="H6661" s="16">
        <v>0.0</v>
      </c>
      <c r="I6661" s="15">
        <f t="shared" si="3"/>
        <v>-0.73</v>
      </c>
      <c r="J6661" s="15">
        <v>16.4</v>
      </c>
      <c r="K6661" s="16">
        <f>IF(COUNTIFS(Release_Calendar!$A$2:$A$755,"US_CPI",Release_Calendar!$B$2:$B$755,$A6661)&gt;0,1,0)</f>
        <v>0</v>
      </c>
      <c r="L6661" s="16">
        <f>IF(COUNTIFS(Release_Calendar!$A$2:$A$755,"US_NFP",Release_Calendar!$B$2:$B$755,$A6661)&gt;0,1,0)</f>
        <v>0</v>
      </c>
      <c r="M6661" s="16">
        <f>IF($A6661&lt;Notes!$B$5,"",IF(COUNTIFS(Release_Calendar!$A$2:$A$755,"NZ_CPI",Release_Calendar!$B$2:$B$755,$A6661)&gt;0,1,0))</f>
        <v>0</v>
      </c>
      <c r="N6661" s="16">
        <f>IF($A6661&lt;Notes!$B$5,"",IF(COUNTIFS(Release_Calendar!$A$2:$A$755,"NZ_GDP",Release_Calendar!$B$2:$B$755,$A6661)&gt;0,1,0))</f>
        <v>0</v>
      </c>
      <c r="O6661" s="16">
        <f>IF($A6661&lt;Notes!$B$5,"",IF(COUNTIFS(Release_Calendar!$A$2:$A$755,"NZ_LABOUR",Release_Calendar!$B$2:$B$755,$A6661)&gt;0,1,0))</f>
        <v>0</v>
      </c>
      <c r="P6661" s="16">
        <f t="shared" si="4"/>
        <v>0</v>
      </c>
    </row>
    <row r="6662" ht="15.75" customHeight="1">
      <c r="A6662" s="14">
        <v>45852.0</v>
      </c>
      <c r="B6662" s="15">
        <v>3.9</v>
      </c>
      <c r="C6662" s="15">
        <v>3.16</v>
      </c>
      <c r="D6662" s="15"/>
      <c r="E6662" s="15">
        <v>3.25</v>
      </c>
      <c r="F6662" s="15">
        <f t="shared" si="1"/>
        <v>-0.74</v>
      </c>
      <c r="G6662" s="15">
        <f t="shared" si="2"/>
        <v>3.16</v>
      </c>
      <c r="H6662" s="16">
        <v>0.0</v>
      </c>
      <c r="I6662" s="15">
        <f t="shared" si="3"/>
        <v>-0.74</v>
      </c>
      <c r="J6662" s="15">
        <v>17.2</v>
      </c>
      <c r="K6662" s="16">
        <f>IF(COUNTIFS(Release_Calendar!$A$2:$A$755,"US_CPI",Release_Calendar!$B$2:$B$755,$A6662)&gt;0,1,0)</f>
        <v>0</v>
      </c>
      <c r="L6662" s="16">
        <f>IF(COUNTIFS(Release_Calendar!$A$2:$A$755,"US_NFP",Release_Calendar!$B$2:$B$755,$A6662)&gt;0,1,0)</f>
        <v>0</v>
      </c>
      <c r="M6662" s="16">
        <f>IF($A6662&lt;Notes!$B$5,"",IF(COUNTIFS(Release_Calendar!$A$2:$A$755,"NZ_CPI",Release_Calendar!$B$2:$B$755,$A6662)&gt;0,1,0))</f>
        <v>0</v>
      </c>
      <c r="N6662" s="16">
        <f>IF($A6662&lt;Notes!$B$5,"",IF(COUNTIFS(Release_Calendar!$A$2:$A$755,"NZ_GDP",Release_Calendar!$B$2:$B$755,$A6662)&gt;0,1,0))</f>
        <v>0</v>
      </c>
      <c r="O6662" s="16">
        <f>IF($A6662&lt;Notes!$B$5,"",IF(COUNTIFS(Release_Calendar!$A$2:$A$755,"NZ_LABOUR",Release_Calendar!$B$2:$B$755,$A6662)&gt;0,1,0))</f>
        <v>0</v>
      </c>
      <c r="P6662" s="16">
        <f t="shared" si="4"/>
        <v>0</v>
      </c>
    </row>
    <row r="6663" ht="15.75" customHeight="1">
      <c r="A6663" s="14">
        <v>45853.0</v>
      </c>
      <c r="B6663" s="15">
        <v>3.95</v>
      </c>
      <c r="C6663" s="15">
        <v>3.17</v>
      </c>
      <c r="D6663" s="15"/>
      <c r="E6663" s="15">
        <v>3.26</v>
      </c>
      <c r="F6663" s="15">
        <f t="shared" si="1"/>
        <v>-0.78</v>
      </c>
      <c r="G6663" s="15">
        <f t="shared" si="2"/>
        <v>3.17</v>
      </c>
      <c r="H6663" s="16">
        <v>0.0</v>
      </c>
      <c r="I6663" s="15">
        <f t="shared" si="3"/>
        <v>-0.78</v>
      </c>
      <c r="J6663" s="15">
        <v>17.38</v>
      </c>
      <c r="K6663" s="16">
        <f>IF(COUNTIFS(Release_Calendar!$A$2:$A$755,"US_CPI",Release_Calendar!$B$2:$B$755,$A6663)&gt;0,1,0)</f>
        <v>1</v>
      </c>
      <c r="L6663" s="16">
        <f>IF(COUNTIFS(Release_Calendar!$A$2:$A$755,"US_NFP",Release_Calendar!$B$2:$B$755,$A6663)&gt;0,1,0)</f>
        <v>0</v>
      </c>
      <c r="M6663" s="16">
        <f>IF($A6663&lt;Notes!$B$5,"",IF(COUNTIFS(Release_Calendar!$A$2:$A$755,"NZ_CPI",Release_Calendar!$B$2:$B$755,$A6663)&gt;0,1,0))</f>
        <v>0</v>
      </c>
      <c r="N6663" s="16">
        <f>IF($A6663&lt;Notes!$B$5,"",IF(COUNTIFS(Release_Calendar!$A$2:$A$755,"NZ_GDP",Release_Calendar!$B$2:$B$755,$A6663)&gt;0,1,0))</f>
        <v>0</v>
      </c>
      <c r="O6663" s="16">
        <f>IF($A6663&lt;Notes!$B$5,"",IF(COUNTIFS(Release_Calendar!$A$2:$A$755,"NZ_LABOUR",Release_Calendar!$B$2:$B$755,$A6663)&gt;0,1,0))</f>
        <v>0</v>
      </c>
      <c r="P6663" s="16">
        <f t="shared" si="4"/>
        <v>1</v>
      </c>
    </row>
    <row r="6664" ht="15.75" customHeight="1">
      <c r="A6664" s="14">
        <v>45854.0</v>
      </c>
      <c r="B6664" s="15">
        <v>3.88</v>
      </c>
      <c r="C6664" s="15">
        <v>3.17</v>
      </c>
      <c r="D6664" s="15"/>
      <c r="E6664" s="15">
        <v>3.25</v>
      </c>
      <c r="F6664" s="15">
        <f t="shared" si="1"/>
        <v>-0.71</v>
      </c>
      <c r="G6664" s="15">
        <f t="shared" si="2"/>
        <v>3.17</v>
      </c>
      <c r="H6664" s="16">
        <v>0.0</v>
      </c>
      <c r="I6664" s="15">
        <f t="shared" si="3"/>
        <v>-0.71</v>
      </c>
      <c r="J6664" s="15">
        <v>17.16</v>
      </c>
      <c r="K6664" s="16">
        <f>IF(COUNTIFS(Release_Calendar!$A$2:$A$755,"US_CPI",Release_Calendar!$B$2:$B$755,$A6664)&gt;0,1,0)</f>
        <v>0</v>
      </c>
      <c r="L6664" s="16">
        <f>IF(COUNTIFS(Release_Calendar!$A$2:$A$755,"US_NFP",Release_Calendar!$B$2:$B$755,$A6664)&gt;0,1,0)</f>
        <v>0</v>
      </c>
      <c r="M6664" s="16">
        <f>IF($A6664&lt;Notes!$B$5,"",IF(COUNTIFS(Release_Calendar!$A$2:$A$755,"NZ_CPI",Release_Calendar!$B$2:$B$755,$A6664)&gt;0,1,0))</f>
        <v>0</v>
      </c>
      <c r="N6664" s="16">
        <f>IF($A6664&lt;Notes!$B$5,"",IF(COUNTIFS(Release_Calendar!$A$2:$A$755,"NZ_GDP",Release_Calendar!$B$2:$B$755,$A6664)&gt;0,1,0))</f>
        <v>0</v>
      </c>
      <c r="O6664" s="16">
        <f>IF($A6664&lt;Notes!$B$5,"",IF(COUNTIFS(Release_Calendar!$A$2:$A$755,"NZ_LABOUR",Release_Calendar!$B$2:$B$755,$A6664)&gt;0,1,0))</f>
        <v>0</v>
      </c>
      <c r="P6664" s="16">
        <f t="shared" si="4"/>
        <v>0</v>
      </c>
    </row>
    <row r="6665" ht="15.75" customHeight="1">
      <c r="A6665" s="14">
        <v>45855.0</v>
      </c>
      <c r="B6665" s="15">
        <v>3.91</v>
      </c>
      <c r="C6665" s="15">
        <v>3.17</v>
      </c>
      <c r="D6665" s="15"/>
      <c r="E6665" s="15">
        <v>3.26</v>
      </c>
      <c r="F6665" s="15">
        <f t="shared" si="1"/>
        <v>-0.74</v>
      </c>
      <c r="G6665" s="15">
        <f t="shared" si="2"/>
        <v>3.17</v>
      </c>
      <c r="H6665" s="16">
        <v>0.0</v>
      </c>
      <c r="I6665" s="15">
        <f t="shared" si="3"/>
        <v>-0.74</v>
      </c>
      <c r="J6665" s="15">
        <v>16.52</v>
      </c>
      <c r="K6665" s="16">
        <f>IF(COUNTIFS(Release_Calendar!$A$2:$A$755,"US_CPI",Release_Calendar!$B$2:$B$755,$A6665)&gt;0,1,0)</f>
        <v>0</v>
      </c>
      <c r="L6665" s="16">
        <f>IF(COUNTIFS(Release_Calendar!$A$2:$A$755,"US_NFP",Release_Calendar!$B$2:$B$755,$A6665)&gt;0,1,0)</f>
        <v>0</v>
      </c>
      <c r="M6665" s="16">
        <f>IF($A6665&lt;Notes!$B$5,"",IF(COUNTIFS(Release_Calendar!$A$2:$A$755,"NZ_CPI",Release_Calendar!$B$2:$B$755,$A6665)&gt;0,1,0))</f>
        <v>0</v>
      </c>
      <c r="N6665" s="16">
        <f>IF($A6665&lt;Notes!$B$5,"",IF(COUNTIFS(Release_Calendar!$A$2:$A$755,"NZ_GDP",Release_Calendar!$B$2:$B$755,$A6665)&gt;0,1,0))</f>
        <v>0</v>
      </c>
      <c r="O6665" s="16">
        <f>IF($A6665&lt;Notes!$B$5,"",IF(COUNTIFS(Release_Calendar!$A$2:$A$755,"NZ_LABOUR",Release_Calendar!$B$2:$B$755,$A6665)&gt;0,1,0))</f>
        <v>0</v>
      </c>
      <c r="P6665" s="16">
        <f t="shared" si="4"/>
        <v>0</v>
      </c>
    </row>
    <row r="6666" ht="15.75" customHeight="1">
      <c r="A6666" s="14">
        <v>45856.0</v>
      </c>
      <c r="B6666" s="15">
        <v>3.88</v>
      </c>
      <c r="C6666" s="15">
        <v>3.19</v>
      </c>
      <c r="D6666" s="15"/>
      <c r="E6666" s="15">
        <v>3.29</v>
      </c>
      <c r="F6666" s="15">
        <f t="shared" si="1"/>
        <v>-0.69</v>
      </c>
      <c r="G6666" s="15">
        <f t="shared" si="2"/>
        <v>3.19</v>
      </c>
      <c r="H6666" s="16">
        <v>0.0</v>
      </c>
      <c r="I6666" s="15">
        <f t="shared" si="3"/>
        <v>-0.69</v>
      </c>
      <c r="J6666" s="15">
        <v>16.41</v>
      </c>
      <c r="K6666" s="16">
        <f>IF(COUNTIFS(Release_Calendar!$A$2:$A$755,"US_CPI",Release_Calendar!$B$2:$B$755,$A6666)&gt;0,1,0)</f>
        <v>0</v>
      </c>
      <c r="L6666" s="16">
        <f>IF(COUNTIFS(Release_Calendar!$A$2:$A$755,"US_NFP",Release_Calendar!$B$2:$B$755,$A6666)&gt;0,1,0)</f>
        <v>0</v>
      </c>
      <c r="M6666" s="16">
        <f>IF($A6666&lt;Notes!$B$5,"",IF(COUNTIFS(Release_Calendar!$A$2:$A$755,"NZ_CPI",Release_Calendar!$B$2:$B$755,$A6666)&gt;0,1,0))</f>
        <v>0</v>
      </c>
      <c r="N6666" s="16">
        <f>IF($A6666&lt;Notes!$B$5,"",IF(COUNTIFS(Release_Calendar!$A$2:$A$755,"NZ_GDP",Release_Calendar!$B$2:$B$755,$A6666)&gt;0,1,0))</f>
        <v>0</v>
      </c>
      <c r="O6666" s="16">
        <f>IF($A6666&lt;Notes!$B$5,"",IF(COUNTIFS(Release_Calendar!$A$2:$A$755,"NZ_LABOUR",Release_Calendar!$B$2:$B$755,$A6666)&gt;0,1,0))</f>
        <v>0</v>
      </c>
      <c r="P6666" s="16">
        <f t="shared" si="4"/>
        <v>0</v>
      </c>
    </row>
    <row r="6667" ht="15.75" customHeight="1">
      <c r="A6667" s="14">
        <v>45859.0</v>
      </c>
      <c r="B6667" s="15">
        <v>3.85</v>
      </c>
      <c r="C6667" s="15">
        <v>3.13</v>
      </c>
      <c r="D6667" s="15"/>
      <c r="E6667" s="15">
        <v>3.25</v>
      </c>
      <c r="F6667" s="15">
        <f t="shared" si="1"/>
        <v>-0.72</v>
      </c>
      <c r="G6667" s="15">
        <f t="shared" si="2"/>
        <v>3.13</v>
      </c>
      <c r="H6667" s="16">
        <v>0.0</v>
      </c>
      <c r="I6667" s="15">
        <f t="shared" si="3"/>
        <v>-0.72</v>
      </c>
      <c r="J6667" s="15">
        <v>16.65</v>
      </c>
      <c r="K6667" s="16">
        <f>IF(COUNTIFS(Release_Calendar!$A$2:$A$755,"US_CPI",Release_Calendar!$B$2:$B$755,$A6667)&gt;0,1,0)</f>
        <v>0</v>
      </c>
      <c r="L6667" s="16">
        <f>IF(COUNTIFS(Release_Calendar!$A$2:$A$755,"US_NFP",Release_Calendar!$B$2:$B$755,$A6667)&gt;0,1,0)</f>
        <v>0</v>
      </c>
      <c r="M6667" s="16">
        <f>IF($A6667&lt;Notes!$B$5,"",IF(COUNTIFS(Release_Calendar!$A$2:$A$755,"NZ_CPI",Release_Calendar!$B$2:$B$755,$A6667)&gt;0,1,0))</f>
        <v>1</v>
      </c>
      <c r="N6667" s="16">
        <f>IF($A6667&lt;Notes!$B$5,"",IF(COUNTIFS(Release_Calendar!$A$2:$A$755,"NZ_GDP",Release_Calendar!$B$2:$B$755,$A6667)&gt;0,1,0))</f>
        <v>0</v>
      </c>
      <c r="O6667" s="16">
        <f>IF($A6667&lt;Notes!$B$5,"",IF(COUNTIFS(Release_Calendar!$A$2:$A$755,"NZ_LABOUR",Release_Calendar!$B$2:$B$755,$A6667)&gt;0,1,0))</f>
        <v>0</v>
      </c>
      <c r="P6667" s="16">
        <f t="shared" si="4"/>
        <v>1</v>
      </c>
    </row>
    <row r="6668" ht="15.75" customHeight="1">
      <c r="A6668" s="14">
        <v>45860.0</v>
      </c>
      <c r="B6668" s="15">
        <v>3.83</v>
      </c>
      <c r="C6668" s="15">
        <v>3.13</v>
      </c>
      <c r="D6668" s="15"/>
      <c r="E6668" s="15">
        <v>3.24</v>
      </c>
      <c r="F6668" s="15">
        <f t="shared" si="1"/>
        <v>-0.7</v>
      </c>
      <c r="G6668" s="15">
        <f t="shared" si="2"/>
        <v>3.13</v>
      </c>
      <c r="H6668" s="16">
        <v>0.0</v>
      </c>
      <c r="I6668" s="15">
        <f t="shared" si="3"/>
        <v>-0.7</v>
      </c>
      <c r="J6668" s="15">
        <v>16.5</v>
      </c>
      <c r="K6668" s="16">
        <f>IF(COUNTIFS(Release_Calendar!$A$2:$A$755,"US_CPI",Release_Calendar!$B$2:$B$755,$A6668)&gt;0,1,0)</f>
        <v>0</v>
      </c>
      <c r="L6668" s="16">
        <f>IF(COUNTIFS(Release_Calendar!$A$2:$A$755,"US_NFP",Release_Calendar!$B$2:$B$755,$A6668)&gt;0,1,0)</f>
        <v>0</v>
      </c>
      <c r="M6668" s="16">
        <f>IF($A6668&lt;Notes!$B$5,"",IF(COUNTIFS(Release_Calendar!$A$2:$A$755,"NZ_CPI",Release_Calendar!$B$2:$B$755,$A6668)&gt;0,1,0))</f>
        <v>0</v>
      </c>
      <c r="N6668" s="16">
        <f>IF($A6668&lt;Notes!$B$5,"",IF(COUNTIFS(Release_Calendar!$A$2:$A$755,"NZ_GDP",Release_Calendar!$B$2:$B$755,$A6668)&gt;0,1,0))</f>
        <v>0</v>
      </c>
      <c r="O6668" s="16">
        <f>IF($A6668&lt;Notes!$B$5,"",IF(COUNTIFS(Release_Calendar!$A$2:$A$755,"NZ_LABOUR",Release_Calendar!$B$2:$B$755,$A6668)&gt;0,1,0))</f>
        <v>0</v>
      </c>
      <c r="P6668" s="16">
        <f t="shared" si="4"/>
        <v>0</v>
      </c>
    </row>
    <row r="6669" ht="15.75" customHeight="1">
      <c r="A6669" s="14">
        <v>45861.0</v>
      </c>
      <c r="B6669" s="15">
        <v>3.88</v>
      </c>
      <c r="C6669" s="15">
        <v>3.13</v>
      </c>
      <c r="D6669" s="15"/>
      <c r="E6669" s="15">
        <v>3.26</v>
      </c>
      <c r="F6669" s="15">
        <f t="shared" si="1"/>
        <v>-0.75</v>
      </c>
      <c r="G6669" s="15">
        <f t="shared" si="2"/>
        <v>3.13</v>
      </c>
      <c r="H6669" s="16">
        <v>0.0</v>
      </c>
      <c r="I6669" s="15">
        <f t="shared" si="3"/>
        <v>-0.75</v>
      </c>
      <c r="J6669" s="15">
        <v>15.37</v>
      </c>
      <c r="K6669" s="16">
        <f>IF(COUNTIFS(Release_Calendar!$A$2:$A$755,"US_CPI",Release_Calendar!$B$2:$B$755,$A6669)&gt;0,1,0)</f>
        <v>0</v>
      </c>
      <c r="L6669" s="16">
        <f>IF(COUNTIFS(Release_Calendar!$A$2:$A$755,"US_NFP",Release_Calendar!$B$2:$B$755,$A6669)&gt;0,1,0)</f>
        <v>0</v>
      </c>
      <c r="M6669" s="16">
        <f>IF($A6669&lt;Notes!$B$5,"",IF(COUNTIFS(Release_Calendar!$A$2:$A$755,"NZ_CPI",Release_Calendar!$B$2:$B$755,$A6669)&gt;0,1,0))</f>
        <v>0</v>
      </c>
      <c r="N6669" s="16">
        <f>IF($A6669&lt;Notes!$B$5,"",IF(COUNTIFS(Release_Calendar!$A$2:$A$755,"NZ_GDP",Release_Calendar!$B$2:$B$755,$A6669)&gt;0,1,0))</f>
        <v>0</v>
      </c>
      <c r="O6669" s="16">
        <f>IF($A6669&lt;Notes!$B$5,"",IF(COUNTIFS(Release_Calendar!$A$2:$A$755,"NZ_LABOUR",Release_Calendar!$B$2:$B$755,$A6669)&gt;0,1,0))</f>
        <v>0</v>
      </c>
      <c r="P6669" s="16">
        <f t="shared" si="4"/>
        <v>0</v>
      </c>
    </row>
    <row r="6670" ht="15.75" customHeight="1">
      <c r="A6670" s="14">
        <v>45862.0</v>
      </c>
      <c r="B6670" s="15">
        <v>3.91</v>
      </c>
      <c r="C6670" s="15">
        <v>3.15</v>
      </c>
      <c r="D6670" s="15"/>
      <c r="E6670" s="15">
        <v>3.28</v>
      </c>
      <c r="F6670" s="15">
        <f t="shared" si="1"/>
        <v>-0.76</v>
      </c>
      <c r="G6670" s="15">
        <f t="shared" si="2"/>
        <v>3.15</v>
      </c>
      <c r="H6670" s="16">
        <v>0.0</v>
      </c>
      <c r="I6670" s="15">
        <f t="shared" si="3"/>
        <v>-0.76</v>
      </c>
      <c r="J6670" s="15">
        <v>15.39</v>
      </c>
      <c r="K6670" s="16">
        <f>IF(COUNTIFS(Release_Calendar!$A$2:$A$755,"US_CPI",Release_Calendar!$B$2:$B$755,$A6670)&gt;0,1,0)</f>
        <v>0</v>
      </c>
      <c r="L6670" s="16">
        <f>IF(COUNTIFS(Release_Calendar!$A$2:$A$755,"US_NFP",Release_Calendar!$B$2:$B$755,$A6670)&gt;0,1,0)</f>
        <v>0</v>
      </c>
      <c r="M6670" s="16">
        <f>IF($A6670&lt;Notes!$B$5,"",IF(COUNTIFS(Release_Calendar!$A$2:$A$755,"NZ_CPI",Release_Calendar!$B$2:$B$755,$A6670)&gt;0,1,0))</f>
        <v>0</v>
      </c>
      <c r="N6670" s="16">
        <f>IF($A6670&lt;Notes!$B$5,"",IF(COUNTIFS(Release_Calendar!$A$2:$A$755,"NZ_GDP",Release_Calendar!$B$2:$B$755,$A6670)&gt;0,1,0))</f>
        <v>0</v>
      </c>
      <c r="O6670" s="16">
        <f>IF($A6670&lt;Notes!$B$5,"",IF(COUNTIFS(Release_Calendar!$A$2:$A$755,"NZ_LABOUR",Release_Calendar!$B$2:$B$755,$A6670)&gt;0,1,0))</f>
        <v>0</v>
      </c>
      <c r="P6670" s="16">
        <f t="shared" si="4"/>
        <v>0</v>
      </c>
    </row>
    <row r="6671" ht="15.75" customHeight="1">
      <c r="A6671" s="14">
        <v>45863.0</v>
      </c>
      <c r="B6671" s="15">
        <v>3.91</v>
      </c>
      <c r="C6671" s="15">
        <v>3.16</v>
      </c>
      <c r="D6671" s="15"/>
      <c r="E6671" s="15">
        <v>3.31</v>
      </c>
      <c r="F6671" s="15">
        <f t="shared" si="1"/>
        <v>-0.75</v>
      </c>
      <c r="G6671" s="15">
        <f t="shared" si="2"/>
        <v>3.16</v>
      </c>
      <c r="H6671" s="16">
        <v>0.0</v>
      </c>
      <c r="I6671" s="15">
        <f t="shared" si="3"/>
        <v>-0.75</v>
      </c>
      <c r="J6671" s="15">
        <v>14.93</v>
      </c>
      <c r="K6671" s="16">
        <f>IF(COUNTIFS(Release_Calendar!$A$2:$A$755,"US_CPI",Release_Calendar!$B$2:$B$755,$A6671)&gt;0,1,0)</f>
        <v>0</v>
      </c>
      <c r="L6671" s="16">
        <f>IF(COUNTIFS(Release_Calendar!$A$2:$A$755,"US_NFP",Release_Calendar!$B$2:$B$755,$A6671)&gt;0,1,0)</f>
        <v>0</v>
      </c>
      <c r="M6671" s="16">
        <f>IF($A6671&lt;Notes!$B$5,"",IF(COUNTIFS(Release_Calendar!$A$2:$A$755,"NZ_CPI",Release_Calendar!$B$2:$B$755,$A6671)&gt;0,1,0))</f>
        <v>0</v>
      </c>
      <c r="N6671" s="16">
        <f>IF($A6671&lt;Notes!$B$5,"",IF(COUNTIFS(Release_Calendar!$A$2:$A$755,"NZ_GDP",Release_Calendar!$B$2:$B$755,$A6671)&gt;0,1,0))</f>
        <v>0</v>
      </c>
      <c r="O6671" s="16">
        <f>IF($A6671&lt;Notes!$B$5,"",IF(COUNTIFS(Release_Calendar!$A$2:$A$755,"NZ_LABOUR",Release_Calendar!$B$2:$B$755,$A6671)&gt;0,1,0))</f>
        <v>0</v>
      </c>
      <c r="P6671" s="16">
        <f t="shared" si="4"/>
        <v>0</v>
      </c>
    </row>
    <row r="6672" ht="15.75" customHeight="1">
      <c r="A6672" s="14">
        <v>45866.0</v>
      </c>
      <c r="B6672" s="15">
        <v>3.91</v>
      </c>
      <c r="C6672" s="15">
        <v>3.17</v>
      </c>
      <c r="D6672" s="15"/>
      <c r="E6672" s="15">
        <v>3.29</v>
      </c>
      <c r="F6672" s="15">
        <f t="shared" si="1"/>
        <v>-0.74</v>
      </c>
      <c r="G6672" s="15">
        <f t="shared" si="2"/>
        <v>3.17</v>
      </c>
      <c r="H6672" s="16">
        <v>0.0</v>
      </c>
      <c r="I6672" s="15">
        <f t="shared" si="3"/>
        <v>-0.74</v>
      </c>
      <c r="J6672" s="15">
        <v>15.03</v>
      </c>
      <c r="K6672" s="16">
        <f>IF(COUNTIFS(Release_Calendar!$A$2:$A$755,"US_CPI",Release_Calendar!$B$2:$B$755,$A6672)&gt;0,1,0)</f>
        <v>0</v>
      </c>
      <c r="L6672" s="16">
        <f>IF(COUNTIFS(Release_Calendar!$A$2:$A$755,"US_NFP",Release_Calendar!$B$2:$B$755,$A6672)&gt;0,1,0)</f>
        <v>0</v>
      </c>
      <c r="M6672" s="16">
        <f>IF($A6672&lt;Notes!$B$5,"",IF(COUNTIFS(Release_Calendar!$A$2:$A$755,"NZ_CPI",Release_Calendar!$B$2:$B$755,$A6672)&gt;0,1,0))</f>
        <v>0</v>
      </c>
      <c r="N6672" s="16">
        <f>IF($A6672&lt;Notes!$B$5,"",IF(COUNTIFS(Release_Calendar!$A$2:$A$755,"NZ_GDP",Release_Calendar!$B$2:$B$755,$A6672)&gt;0,1,0))</f>
        <v>0</v>
      </c>
      <c r="O6672" s="16">
        <f>IF($A6672&lt;Notes!$B$5,"",IF(COUNTIFS(Release_Calendar!$A$2:$A$755,"NZ_LABOUR",Release_Calendar!$B$2:$B$755,$A6672)&gt;0,1,0))</f>
        <v>0</v>
      </c>
      <c r="P6672" s="16">
        <f t="shared" si="4"/>
        <v>0</v>
      </c>
    </row>
    <row r="6673" ht="15.75" customHeight="1">
      <c r="A6673" s="14">
        <v>45867.0</v>
      </c>
      <c r="B6673" s="15">
        <v>3.86</v>
      </c>
      <c r="C6673" s="15">
        <v>3.15</v>
      </c>
      <c r="D6673" s="15"/>
      <c r="E6673" s="15">
        <v>3.28</v>
      </c>
      <c r="F6673" s="15">
        <f t="shared" si="1"/>
        <v>-0.71</v>
      </c>
      <c r="G6673" s="15">
        <f t="shared" si="2"/>
        <v>3.15</v>
      </c>
      <c r="H6673" s="16">
        <v>0.0</v>
      </c>
      <c r="I6673" s="15">
        <f t="shared" si="3"/>
        <v>-0.71</v>
      </c>
      <c r="J6673" s="15">
        <v>15.98</v>
      </c>
      <c r="K6673" s="16">
        <f>IF(COUNTIFS(Release_Calendar!$A$2:$A$755,"US_CPI",Release_Calendar!$B$2:$B$755,$A6673)&gt;0,1,0)</f>
        <v>0</v>
      </c>
      <c r="L6673" s="16">
        <f>IF(COUNTIFS(Release_Calendar!$A$2:$A$755,"US_NFP",Release_Calendar!$B$2:$B$755,$A6673)&gt;0,1,0)</f>
        <v>0</v>
      </c>
      <c r="M6673" s="16">
        <f>IF($A6673&lt;Notes!$B$5,"",IF(COUNTIFS(Release_Calendar!$A$2:$A$755,"NZ_CPI",Release_Calendar!$B$2:$B$755,$A6673)&gt;0,1,0))</f>
        <v>0</v>
      </c>
      <c r="N6673" s="16">
        <f>IF($A6673&lt;Notes!$B$5,"",IF(COUNTIFS(Release_Calendar!$A$2:$A$755,"NZ_GDP",Release_Calendar!$B$2:$B$755,$A6673)&gt;0,1,0))</f>
        <v>0</v>
      </c>
      <c r="O6673" s="16">
        <f>IF($A6673&lt;Notes!$B$5,"",IF(COUNTIFS(Release_Calendar!$A$2:$A$755,"NZ_LABOUR",Release_Calendar!$B$2:$B$755,$A6673)&gt;0,1,0))</f>
        <v>0</v>
      </c>
      <c r="P6673" s="16">
        <f t="shared" si="4"/>
        <v>0</v>
      </c>
    </row>
    <row r="6674" ht="15.75" customHeight="1">
      <c r="A6674" s="14">
        <v>45868.0</v>
      </c>
      <c r="B6674" s="15">
        <v>3.94</v>
      </c>
      <c r="C6674" s="15">
        <v>3.14</v>
      </c>
      <c r="D6674" s="15"/>
      <c r="E6674" s="15">
        <v>3.25</v>
      </c>
      <c r="F6674" s="15">
        <f t="shared" si="1"/>
        <v>-0.8</v>
      </c>
      <c r="G6674" s="15">
        <f t="shared" si="2"/>
        <v>3.14</v>
      </c>
      <c r="H6674" s="16">
        <v>0.0</v>
      </c>
      <c r="I6674" s="15">
        <f t="shared" si="3"/>
        <v>-0.8</v>
      </c>
      <c r="J6674" s="15">
        <v>15.48</v>
      </c>
      <c r="K6674" s="16">
        <f>IF(COUNTIFS(Release_Calendar!$A$2:$A$755,"US_CPI",Release_Calendar!$B$2:$B$755,$A6674)&gt;0,1,0)</f>
        <v>0</v>
      </c>
      <c r="L6674" s="16">
        <f>IF(COUNTIFS(Release_Calendar!$A$2:$A$755,"US_NFP",Release_Calendar!$B$2:$B$755,$A6674)&gt;0,1,0)</f>
        <v>0</v>
      </c>
      <c r="M6674" s="16">
        <f>IF($A6674&lt;Notes!$B$5,"",IF(COUNTIFS(Release_Calendar!$A$2:$A$755,"NZ_CPI",Release_Calendar!$B$2:$B$755,$A6674)&gt;0,1,0))</f>
        <v>0</v>
      </c>
      <c r="N6674" s="16">
        <f>IF($A6674&lt;Notes!$B$5,"",IF(COUNTIFS(Release_Calendar!$A$2:$A$755,"NZ_GDP",Release_Calendar!$B$2:$B$755,$A6674)&gt;0,1,0))</f>
        <v>0</v>
      </c>
      <c r="O6674" s="16">
        <f>IF($A6674&lt;Notes!$B$5,"",IF(COUNTIFS(Release_Calendar!$A$2:$A$755,"NZ_LABOUR",Release_Calendar!$B$2:$B$755,$A6674)&gt;0,1,0))</f>
        <v>0</v>
      </c>
      <c r="P6674" s="16">
        <f t="shared" si="4"/>
        <v>0</v>
      </c>
    </row>
    <row r="6675" ht="15.75" customHeight="1">
      <c r="A6675" s="14">
        <v>45869.0</v>
      </c>
      <c r="B6675" s="15">
        <v>3.94</v>
      </c>
      <c r="C6675" s="15">
        <v>3.16</v>
      </c>
      <c r="D6675" s="15"/>
      <c r="E6675" s="15">
        <v>3.25</v>
      </c>
      <c r="F6675" s="15">
        <f t="shared" si="1"/>
        <v>-0.78</v>
      </c>
      <c r="G6675" s="15">
        <f t="shared" si="2"/>
        <v>3.16</v>
      </c>
      <c r="H6675" s="16">
        <v>0.0</v>
      </c>
      <c r="I6675" s="15">
        <f t="shared" si="3"/>
        <v>-0.78</v>
      </c>
      <c r="J6675" s="15">
        <v>16.72</v>
      </c>
      <c r="K6675" s="16">
        <f>IF(COUNTIFS(Release_Calendar!$A$2:$A$755,"US_CPI",Release_Calendar!$B$2:$B$755,$A6675)&gt;0,1,0)</f>
        <v>0</v>
      </c>
      <c r="L6675" s="16">
        <f>IF(COUNTIFS(Release_Calendar!$A$2:$A$755,"US_NFP",Release_Calendar!$B$2:$B$755,$A6675)&gt;0,1,0)</f>
        <v>0</v>
      </c>
      <c r="M6675" s="16">
        <f>IF($A6675&lt;Notes!$B$5,"",IF(COUNTIFS(Release_Calendar!$A$2:$A$755,"NZ_CPI",Release_Calendar!$B$2:$B$755,$A6675)&gt;0,1,0))</f>
        <v>0</v>
      </c>
      <c r="N6675" s="16">
        <f>IF($A6675&lt;Notes!$B$5,"",IF(COUNTIFS(Release_Calendar!$A$2:$A$755,"NZ_GDP",Release_Calendar!$B$2:$B$755,$A6675)&gt;0,1,0))</f>
        <v>0</v>
      </c>
      <c r="O6675" s="16">
        <f>IF($A6675&lt;Notes!$B$5,"",IF(COUNTIFS(Release_Calendar!$A$2:$A$755,"NZ_LABOUR",Release_Calendar!$B$2:$B$755,$A6675)&gt;0,1,0))</f>
        <v>0</v>
      </c>
      <c r="P6675" s="16">
        <f t="shared" si="4"/>
        <v>0</v>
      </c>
    </row>
    <row r="6676" ht="15.75" customHeight="1">
      <c r="A6676" s="14">
        <v>45870.0</v>
      </c>
      <c r="B6676" s="15">
        <v>3.69</v>
      </c>
      <c r="C6676" s="15">
        <v>3.15</v>
      </c>
      <c r="D6676" s="15"/>
      <c r="E6676" s="15">
        <v>3.25</v>
      </c>
      <c r="F6676" s="15">
        <f t="shared" si="1"/>
        <v>-0.54</v>
      </c>
      <c r="G6676" s="15">
        <f t="shared" si="2"/>
        <v>3.15</v>
      </c>
      <c r="H6676" s="16">
        <v>0.0</v>
      </c>
      <c r="I6676" s="15">
        <f t="shared" si="3"/>
        <v>-0.54</v>
      </c>
      <c r="J6676" s="15">
        <v>20.38</v>
      </c>
      <c r="K6676" s="16">
        <f>IF(COUNTIFS(Release_Calendar!$A$2:$A$755,"US_CPI",Release_Calendar!$B$2:$B$755,$A6676)&gt;0,1,0)</f>
        <v>0</v>
      </c>
      <c r="L6676" s="16">
        <f>IF(COUNTIFS(Release_Calendar!$A$2:$A$755,"US_NFP",Release_Calendar!$B$2:$B$755,$A6676)&gt;0,1,0)</f>
        <v>1</v>
      </c>
      <c r="M6676" s="16">
        <f>IF($A6676&lt;Notes!$B$5,"",IF(COUNTIFS(Release_Calendar!$A$2:$A$755,"NZ_CPI",Release_Calendar!$B$2:$B$755,$A6676)&gt;0,1,0))</f>
        <v>0</v>
      </c>
      <c r="N6676" s="16">
        <f>IF($A6676&lt;Notes!$B$5,"",IF(COUNTIFS(Release_Calendar!$A$2:$A$755,"NZ_GDP",Release_Calendar!$B$2:$B$755,$A6676)&gt;0,1,0))</f>
        <v>0</v>
      </c>
      <c r="O6676" s="16">
        <f>IF($A6676&lt;Notes!$B$5,"",IF(COUNTIFS(Release_Calendar!$A$2:$A$755,"NZ_LABOUR",Release_Calendar!$B$2:$B$755,$A6676)&gt;0,1,0))</f>
        <v>0</v>
      </c>
      <c r="P6676" s="16">
        <f t="shared" si="4"/>
        <v>1</v>
      </c>
    </row>
    <row r="6677" ht="15.75" customHeight="1">
      <c r="A6677" s="14">
        <v>45873.0</v>
      </c>
      <c r="B6677" s="15">
        <v>3.69</v>
      </c>
      <c r="C6677" s="15">
        <v>3.1</v>
      </c>
      <c r="D6677" s="15"/>
      <c r="E6677" s="15">
        <v>3.2</v>
      </c>
      <c r="F6677" s="15">
        <f t="shared" si="1"/>
        <v>-0.59</v>
      </c>
      <c r="G6677" s="15">
        <f t="shared" si="2"/>
        <v>3.1</v>
      </c>
      <c r="H6677" s="16">
        <v>0.0</v>
      </c>
      <c r="I6677" s="15">
        <f t="shared" si="3"/>
        <v>-0.59</v>
      </c>
      <c r="J6677" s="15">
        <v>17.52</v>
      </c>
      <c r="K6677" s="16">
        <f>IF(COUNTIFS(Release_Calendar!$A$2:$A$755,"US_CPI",Release_Calendar!$B$2:$B$755,$A6677)&gt;0,1,0)</f>
        <v>0</v>
      </c>
      <c r="L6677" s="16">
        <f>IF(COUNTIFS(Release_Calendar!$A$2:$A$755,"US_NFP",Release_Calendar!$B$2:$B$755,$A6677)&gt;0,1,0)</f>
        <v>0</v>
      </c>
      <c r="M6677" s="16">
        <f>IF($A6677&lt;Notes!$B$5,"",IF(COUNTIFS(Release_Calendar!$A$2:$A$755,"NZ_CPI",Release_Calendar!$B$2:$B$755,$A6677)&gt;0,1,0))</f>
        <v>0</v>
      </c>
      <c r="N6677" s="16">
        <f>IF($A6677&lt;Notes!$B$5,"",IF(COUNTIFS(Release_Calendar!$A$2:$A$755,"NZ_GDP",Release_Calendar!$B$2:$B$755,$A6677)&gt;0,1,0))</f>
        <v>0</v>
      </c>
      <c r="O6677" s="16">
        <f>IF($A6677&lt;Notes!$B$5,"",IF(COUNTIFS(Release_Calendar!$A$2:$A$755,"NZ_LABOUR",Release_Calendar!$B$2:$B$755,$A6677)&gt;0,1,0))</f>
        <v>0</v>
      </c>
      <c r="P6677" s="16">
        <f t="shared" si="4"/>
        <v>0</v>
      </c>
    </row>
    <row r="6678" ht="15.75" customHeight="1">
      <c r="A6678" s="14">
        <v>45874.0</v>
      </c>
      <c r="B6678" s="15">
        <v>3.72</v>
      </c>
      <c r="C6678" s="15">
        <v>3.06</v>
      </c>
      <c r="D6678" s="15"/>
      <c r="E6678" s="15">
        <v>3.16</v>
      </c>
      <c r="F6678" s="15">
        <f t="shared" si="1"/>
        <v>-0.66</v>
      </c>
      <c r="G6678" s="15">
        <f t="shared" si="2"/>
        <v>3.06</v>
      </c>
      <c r="H6678" s="16">
        <v>0.0</v>
      </c>
      <c r="I6678" s="15">
        <f t="shared" si="3"/>
        <v>-0.66</v>
      </c>
      <c r="J6678" s="15">
        <v>17.85</v>
      </c>
      <c r="K6678" s="16">
        <f>IF(COUNTIFS(Release_Calendar!$A$2:$A$755,"US_CPI",Release_Calendar!$B$2:$B$755,$A6678)&gt;0,1,0)</f>
        <v>0</v>
      </c>
      <c r="L6678" s="16">
        <f>IF(COUNTIFS(Release_Calendar!$A$2:$A$755,"US_NFP",Release_Calendar!$B$2:$B$755,$A6678)&gt;0,1,0)</f>
        <v>0</v>
      </c>
      <c r="M6678" s="16">
        <f>IF($A6678&lt;Notes!$B$5,"",IF(COUNTIFS(Release_Calendar!$A$2:$A$755,"NZ_CPI",Release_Calendar!$B$2:$B$755,$A6678)&gt;0,1,0))</f>
        <v>0</v>
      </c>
      <c r="N6678" s="16">
        <f>IF($A6678&lt;Notes!$B$5,"",IF(COUNTIFS(Release_Calendar!$A$2:$A$755,"NZ_GDP",Release_Calendar!$B$2:$B$755,$A6678)&gt;0,1,0))</f>
        <v>0</v>
      </c>
      <c r="O6678" s="16">
        <f>IF($A6678&lt;Notes!$B$5,"",IF(COUNTIFS(Release_Calendar!$A$2:$A$755,"NZ_LABOUR",Release_Calendar!$B$2:$B$755,$A6678)&gt;0,1,0))</f>
        <v>0</v>
      </c>
      <c r="P6678" s="16">
        <f t="shared" si="4"/>
        <v>0</v>
      </c>
    </row>
    <row r="6679" ht="15.75" customHeight="1">
      <c r="A6679" s="14">
        <v>45875.0</v>
      </c>
      <c r="B6679" s="15">
        <v>3.69</v>
      </c>
      <c r="C6679" s="15">
        <v>3.08</v>
      </c>
      <c r="D6679" s="15"/>
      <c r="E6679" s="15">
        <v>3.19</v>
      </c>
      <c r="F6679" s="15">
        <f t="shared" si="1"/>
        <v>-0.61</v>
      </c>
      <c r="G6679" s="15">
        <f t="shared" si="2"/>
        <v>3.08</v>
      </c>
      <c r="H6679" s="16">
        <v>0.0</v>
      </c>
      <c r="I6679" s="15">
        <f t="shared" si="3"/>
        <v>-0.61</v>
      </c>
      <c r="J6679" s="15">
        <v>16.77</v>
      </c>
      <c r="K6679" s="16">
        <f>IF(COUNTIFS(Release_Calendar!$A$2:$A$755,"US_CPI",Release_Calendar!$B$2:$B$755,$A6679)&gt;0,1,0)</f>
        <v>0</v>
      </c>
      <c r="L6679" s="16">
        <f>IF(COUNTIFS(Release_Calendar!$A$2:$A$755,"US_NFP",Release_Calendar!$B$2:$B$755,$A6679)&gt;0,1,0)</f>
        <v>0</v>
      </c>
      <c r="M6679" s="16">
        <f>IF($A6679&lt;Notes!$B$5,"",IF(COUNTIFS(Release_Calendar!$A$2:$A$755,"NZ_CPI",Release_Calendar!$B$2:$B$755,$A6679)&gt;0,1,0))</f>
        <v>0</v>
      </c>
      <c r="N6679" s="16">
        <f>IF($A6679&lt;Notes!$B$5,"",IF(COUNTIFS(Release_Calendar!$A$2:$A$755,"NZ_GDP",Release_Calendar!$B$2:$B$755,$A6679)&gt;0,1,0))</f>
        <v>0</v>
      </c>
      <c r="O6679" s="16">
        <f>IF($A6679&lt;Notes!$B$5,"",IF(COUNTIFS(Release_Calendar!$A$2:$A$755,"NZ_LABOUR",Release_Calendar!$B$2:$B$755,$A6679)&gt;0,1,0))</f>
        <v>1</v>
      </c>
      <c r="P6679" s="16">
        <f t="shared" si="4"/>
        <v>1</v>
      </c>
    </row>
    <row r="6680" ht="15.75" customHeight="1">
      <c r="A6680" s="14">
        <v>45876.0</v>
      </c>
      <c r="B6680" s="15">
        <v>3.72</v>
      </c>
      <c r="C6680" s="15">
        <v>3.05</v>
      </c>
      <c r="D6680" s="15"/>
      <c r="E6680" s="15">
        <v>3.17</v>
      </c>
      <c r="F6680" s="15">
        <f t="shared" si="1"/>
        <v>-0.67</v>
      </c>
      <c r="G6680" s="15">
        <f t="shared" si="2"/>
        <v>3.05</v>
      </c>
      <c r="H6680" s="16">
        <v>0.0</v>
      </c>
      <c r="I6680" s="15">
        <f t="shared" si="3"/>
        <v>-0.67</v>
      </c>
      <c r="J6680" s="15">
        <v>16.57</v>
      </c>
      <c r="K6680" s="16">
        <f>IF(COUNTIFS(Release_Calendar!$A$2:$A$755,"US_CPI",Release_Calendar!$B$2:$B$755,$A6680)&gt;0,1,0)</f>
        <v>0</v>
      </c>
      <c r="L6680" s="16">
        <f>IF(COUNTIFS(Release_Calendar!$A$2:$A$755,"US_NFP",Release_Calendar!$B$2:$B$755,$A6680)&gt;0,1,0)</f>
        <v>0</v>
      </c>
      <c r="M6680" s="16">
        <f>IF($A6680&lt;Notes!$B$5,"",IF(COUNTIFS(Release_Calendar!$A$2:$A$755,"NZ_CPI",Release_Calendar!$B$2:$B$755,$A6680)&gt;0,1,0))</f>
        <v>0</v>
      </c>
      <c r="N6680" s="16">
        <f>IF($A6680&lt;Notes!$B$5,"",IF(COUNTIFS(Release_Calendar!$A$2:$A$755,"NZ_GDP",Release_Calendar!$B$2:$B$755,$A6680)&gt;0,1,0))</f>
        <v>0</v>
      </c>
      <c r="O6680" s="16">
        <f>IF($A6680&lt;Notes!$B$5,"",IF(COUNTIFS(Release_Calendar!$A$2:$A$755,"NZ_LABOUR",Release_Calendar!$B$2:$B$755,$A6680)&gt;0,1,0))</f>
        <v>0</v>
      </c>
      <c r="P6680" s="16">
        <f t="shared" si="4"/>
        <v>0</v>
      </c>
    </row>
    <row r="6681" ht="15.75" customHeight="1">
      <c r="A6681" s="14">
        <v>45877.0</v>
      </c>
      <c r="B6681" s="15">
        <v>3.76</v>
      </c>
      <c r="C6681" s="15">
        <v>3.05</v>
      </c>
      <c r="D6681" s="15"/>
      <c r="E6681" s="15">
        <v>3.16</v>
      </c>
      <c r="F6681" s="15">
        <f t="shared" si="1"/>
        <v>-0.71</v>
      </c>
      <c r="G6681" s="15">
        <f t="shared" si="2"/>
        <v>3.05</v>
      </c>
      <c r="H6681" s="16">
        <v>0.0</v>
      </c>
      <c r="I6681" s="15">
        <f t="shared" si="3"/>
        <v>-0.71</v>
      </c>
      <c r="J6681" s="15">
        <v>15.15</v>
      </c>
      <c r="K6681" s="16">
        <f>IF(COUNTIFS(Release_Calendar!$A$2:$A$755,"US_CPI",Release_Calendar!$B$2:$B$755,$A6681)&gt;0,1,0)</f>
        <v>0</v>
      </c>
      <c r="L6681" s="16">
        <f>IF(COUNTIFS(Release_Calendar!$A$2:$A$755,"US_NFP",Release_Calendar!$B$2:$B$755,$A6681)&gt;0,1,0)</f>
        <v>0</v>
      </c>
      <c r="M6681" s="16">
        <f>IF($A6681&lt;Notes!$B$5,"",IF(COUNTIFS(Release_Calendar!$A$2:$A$755,"NZ_CPI",Release_Calendar!$B$2:$B$755,$A6681)&gt;0,1,0))</f>
        <v>0</v>
      </c>
      <c r="N6681" s="16">
        <f>IF($A6681&lt;Notes!$B$5,"",IF(COUNTIFS(Release_Calendar!$A$2:$A$755,"NZ_GDP",Release_Calendar!$B$2:$B$755,$A6681)&gt;0,1,0))</f>
        <v>0</v>
      </c>
      <c r="O6681" s="16">
        <f>IF($A6681&lt;Notes!$B$5,"",IF(COUNTIFS(Release_Calendar!$A$2:$A$755,"NZ_LABOUR",Release_Calendar!$B$2:$B$755,$A6681)&gt;0,1,0))</f>
        <v>0</v>
      </c>
      <c r="P6681" s="16">
        <f t="shared" si="4"/>
        <v>0</v>
      </c>
    </row>
    <row r="6682" ht="15.75" customHeight="1">
      <c r="A6682" s="14">
        <v>45880.0</v>
      </c>
      <c r="B6682" s="15">
        <v>3.76</v>
      </c>
      <c r="C6682" s="15">
        <v>3.05</v>
      </c>
      <c r="D6682" s="15"/>
      <c r="E6682" s="15">
        <v>3.16</v>
      </c>
      <c r="F6682" s="15">
        <f t="shared" si="1"/>
        <v>-0.71</v>
      </c>
      <c r="G6682" s="15">
        <f t="shared" si="2"/>
        <v>3.05</v>
      </c>
      <c r="H6682" s="16">
        <v>0.0</v>
      </c>
      <c r="I6682" s="15">
        <f t="shared" si="3"/>
        <v>-0.71</v>
      </c>
      <c r="J6682" s="15">
        <v>16.25</v>
      </c>
      <c r="K6682" s="16">
        <f>IF(COUNTIFS(Release_Calendar!$A$2:$A$755,"US_CPI",Release_Calendar!$B$2:$B$755,$A6682)&gt;0,1,0)</f>
        <v>0</v>
      </c>
      <c r="L6682" s="16">
        <f>IF(COUNTIFS(Release_Calendar!$A$2:$A$755,"US_NFP",Release_Calendar!$B$2:$B$755,$A6682)&gt;0,1,0)</f>
        <v>0</v>
      </c>
      <c r="M6682" s="16">
        <f>IF($A6682&lt;Notes!$B$5,"",IF(COUNTIFS(Release_Calendar!$A$2:$A$755,"NZ_CPI",Release_Calendar!$B$2:$B$755,$A6682)&gt;0,1,0))</f>
        <v>0</v>
      </c>
      <c r="N6682" s="16">
        <f>IF($A6682&lt;Notes!$B$5,"",IF(COUNTIFS(Release_Calendar!$A$2:$A$755,"NZ_GDP",Release_Calendar!$B$2:$B$755,$A6682)&gt;0,1,0))</f>
        <v>0</v>
      </c>
      <c r="O6682" s="16">
        <f>IF($A6682&lt;Notes!$B$5,"",IF(COUNTIFS(Release_Calendar!$A$2:$A$755,"NZ_LABOUR",Release_Calendar!$B$2:$B$755,$A6682)&gt;0,1,0))</f>
        <v>0</v>
      </c>
      <c r="P6682" s="16">
        <f t="shared" si="4"/>
        <v>0</v>
      </c>
    </row>
    <row r="6683" ht="15.75" customHeight="1">
      <c r="A6683" s="14">
        <v>45881.0</v>
      </c>
      <c r="B6683" s="15">
        <v>3.72</v>
      </c>
      <c r="C6683" s="15">
        <v>3.05</v>
      </c>
      <c r="D6683" s="15"/>
      <c r="E6683" s="15">
        <v>3.16</v>
      </c>
      <c r="F6683" s="15">
        <f t="shared" si="1"/>
        <v>-0.67</v>
      </c>
      <c r="G6683" s="15">
        <f t="shared" si="2"/>
        <v>3.05</v>
      </c>
      <c r="H6683" s="16">
        <v>0.0</v>
      </c>
      <c r="I6683" s="15">
        <f t="shared" si="3"/>
        <v>-0.67</v>
      </c>
      <c r="J6683" s="15">
        <v>14.73</v>
      </c>
      <c r="K6683" s="16">
        <f>IF(COUNTIFS(Release_Calendar!$A$2:$A$755,"US_CPI",Release_Calendar!$B$2:$B$755,$A6683)&gt;0,1,0)</f>
        <v>1</v>
      </c>
      <c r="L6683" s="16">
        <f>IF(COUNTIFS(Release_Calendar!$A$2:$A$755,"US_NFP",Release_Calendar!$B$2:$B$755,$A6683)&gt;0,1,0)</f>
        <v>0</v>
      </c>
      <c r="M6683" s="16">
        <f>IF($A6683&lt;Notes!$B$5,"",IF(COUNTIFS(Release_Calendar!$A$2:$A$755,"NZ_CPI",Release_Calendar!$B$2:$B$755,$A6683)&gt;0,1,0))</f>
        <v>0</v>
      </c>
      <c r="N6683" s="16">
        <f>IF($A6683&lt;Notes!$B$5,"",IF(COUNTIFS(Release_Calendar!$A$2:$A$755,"NZ_GDP",Release_Calendar!$B$2:$B$755,$A6683)&gt;0,1,0))</f>
        <v>0</v>
      </c>
      <c r="O6683" s="16">
        <f>IF($A6683&lt;Notes!$B$5,"",IF(COUNTIFS(Release_Calendar!$A$2:$A$755,"NZ_LABOUR",Release_Calendar!$B$2:$B$755,$A6683)&gt;0,1,0))</f>
        <v>0</v>
      </c>
      <c r="P6683" s="16">
        <f t="shared" si="4"/>
        <v>1</v>
      </c>
    </row>
    <row r="6684" ht="15.75" customHeight="1">
      <c r="A6684" s="14">
        <v>45882.0</v>
      </c>
      <c r="B6684" s="15">
        <v>3.67</v>
      </c>
      <c r="C6684" s="15">
        <v>3.03</v>
      </c>
      <c r="D6684" s="15"/>
      <c r="E6684" s="15">
        <v>3.14</v>
      </c>
      <c r="F6684" s="15">
        <f t="shared" si="1"/>
        <v>-0.64</v>
      </c>
      <c r="G6684" s="15">
        <f t="shared" si="2"/>
        <v>3.03</v>
      </c>
      <c r="H6684" s="16">
        <v>0.0</v>
      </c>
      <c r="I6684" s="15">
        <f t="shared" si="3"/>
        <v>-0.64</v>
      </c>
      <c r="J6684" s="15">
        <v>14.49</v>
      </c>
      <c r="K6684" s="16">
        <f>IF(COUNTIFS(Release_Calendar!$A$2:$A$755,"US_CPI",Release_Calendar!$B$2:$B$755,$A6684)&gt;0,1,0)</f>
        <v>0</v>
      </c>
      <c r="L6684" s="16">
        <f>IF(COUNTIFS(Release_Calendar!$A$2:$A$755,"US_NFP",Release_Calendar!$B$2:$B$755,$A6684)&gt;0,1,0)</f>
        <v>0</v>
      </c>
      <c r="M6684" s="16">
        <f>IF($A6684&lt;Notes!$B$5,"",IF(COUNTIFS(Release_Calendar!$A$2:$A$755,"NZ_CPI",Release_Calendar!$B$2:$B$755,$A6684)&gt;0,1,0))</f>
        <v>0</v>
      </c>
      <c r="N6684" s="16">
        <f>IF($A6684&lt;Notes!$B$5,"",IF(COUNTIFS(Release_Calendar!$A$2:$A$755,"NZ_GDP",Release_Calendar!$B$2:$B$755,$A6684)&gt;0,1,0))</f>
        <v>0</v>
      </c>
      <c r="O6684" s="16">
        <f>IF($A6684&lt;Notes!$B$5,"",IF(COUNTIFS(Release_Calendar!$A$2:$A$755,"NZ_LABOUR",Release_Calendar!$B$2:$B$755,$A6684)&gt;0,1,0))</f>
        <v>0</v>
      </c>
      <c r="P6684" s="16">
        <f t="shared" si="4"/>
        <v>0</v>
      </c>
    </row>
    <row r="6685" ht="15.75" customHeight="1">
      <c r="A6685" s="14">
        <v>45883.0</v>
      </c>
      <c r="B6685" s="15">
        <v>3.74</v>
      </c>
      <c r="C6685" s="15">
        <v>3.02</v>
      </c>
      <c r="D6685" s="15"/>
      <c r="E6685" s="15">
        <v>3.13</v>
      </c>
      <c r="F6685" s="15">
        <f t="shared" si="1"/>
        <v>-0.72</v>
      </c>
      <c r="G6685" s="15">
        <f t="shared" si="2"/>
        <v>3.02</v>
      </c>
      <c r="H6685" s="16">
        <v>0.0</v>
      </c>
      <c r="I6685" s="15">
        <f t="shared" si="3"/>
        <v>-0.72</v>
      </c>
      <c r="J6685" s="15">
        <v>14.83</v>
      </c>
      <c r="K6685" s="16">
        <f>IF(COUNTIFS(Release_Calendar!$A$2:$A$755,"US_CPI",Release_Calendar!$B$2:$B$755,$A6685)&gt;0,1,0)</f>
        <v>0</v>
      </c>
      <c r="L6685" s="16">
        <f>IF(COUNTIFS(Release_Calendar!$A$2:$A$755,"US_NFP",Release_Calendar!$B$2:$B$755,$A6685)&gt;0,1,0)</f>
        <v>0</v>
      </c>
      <c r="M6685" s="16">
        <f>IF($A6685&lt;Notes!$B$5,"",IF(COUNTIFS(Release_Calendar!$A$2:$A$755,"NZ_CPI",Release_Calendar!$B$2:$B$755,$A6685)&gt;0,1,0))</f>
        <v>0</v>
      </c>
      <c r="N6685" s="16">
        <f>IF($A6685&lt;Notes!$B$5,"",IF(COUNTIFS(Release_Calendar!$A$2:$A$755,"NZ_GDP",Release_Calendar!$B$2:$B$755,$A6685)&gt;0,1,0))</f>
        <v>0</v>
      </c>
      <c r="O6685" s="16">
        <f>IF($A6685&lt;Notes!$B$5,"",IF(COUNTIFS(Release_Calendar!$A$2:$A$755,"NZ_LABOUR",Release_Calendar!$B$2:$B$755,$A6685)&gt;0,1,0))</f>
        <v>0</v>
      </c>
      <c r="P6685" s="16">
        <f t="shared" si="4"/>
        <v>0</v>
      </c>
    </row>
    <row r="6686" ht="15.75" customHeight="1">
      <c r="A6686" s="14">
        <v>45884.0</v>
      </c>
      <c r="B6686" s="15">
        <v>3.75</v>
      </c>
      <c r="C6686" s="15">
        <v>3.04</v>
      </c>
      <c r="D6686" s="15"/>
      <c r="E6686" s="15">
        <v>3.15</v>
      </c>
      <c r="F6686" s="15">
        <f t="shared" si="1"/>
        <v>-0.71</v>
      </c>
      <c r="G6686" s="15">
        <f t="shared" si="2"/>
        <v>3.04</v>
      </c>
      <c r="H6686" s="16">
        <v>0.0</v>
      </c>
      <c r="I6686" s="15">
        <f t="shared" si="3"/>
        <v>-0.71</v>
      </c>
      <c r="J6686" s="15">
        <v>15.09</v>
      </c>
      <c r="K6686" s="16">
        <f>IF(COUNTIFS(Release_Calendar!$A$2:$A$755,"US_CPI",Release_Calendar!$B$2:$B$755,$A6686)&gt;0,1,0)</f>
        <v>0</v>
      </c>
      <c r="L6686" s="16">
        <f>IF(COUNTIFS(Release_Calendar!$A$2:$A$755,"US_NFP",Release_Calendar!$B$2:$B$755,$A6686)&gt;0,1,0)</f>
        <v>0</v>
      </c>
      <c r="M6686" s="16">
        <f>IF($A6686&lt;Notes!$B$5,"",IF(COUNTIFS(Release_Calendar!$A$2:$A$755,"NZ_CPI",Release_Calendar!$B$2:$B$755,$A6686)&gt;0,1,0))</f>
        <v>0</v>
      </c>
      <c r="N6686" s="16">
        <f>IF($A6686&lt;Notes!$B$5,"",IF(COUNTIFS(Release_Calendar!$A$2:$A$755,"NZ_GDP",Release_Calendar!$B$2:$B$755,$A6686)&gt;0,1,0))</f>
        <v>0</v>
      </c>
      <c r="O6686" s="16">
        <f>IF($A6686&lt;Notes!$B$5,"",IF(COUNTIFS(Release_Calendar!$A$2:$A$755,"NZ_LABOUR",Release_Calendar!$B$2:$B$755,$A6686)&gt;0,1,0))</f>
        <v>0</v>
      </c>
      <c r="P6686" s="16">
        <f t="shared" si="4"/>
        <v>0</v>
      </c>
    </row>
    <row r="6687" ht="15.75" customHeight="1">
      <c r="A6687" s="14">
        <v>45887.0</v>
      </c>
      <c r="B6687" s="15">
        <v>3.77</v>
      </c>
      <c r="C6687" s="15">
        <v>3.07</v>
      </c>
      <c r="D6687" s="15"/>
      <c r="E6687" s="15">
        <v>3.17</v>
      </c>
      <c r="F6687" s="15">
        <f t="shared" si="1"/>
        <v>-0.7</v>
      </c>
      <c r="G6687" s="15">
        <f t="shared" si="2"/>
        <v>3.07</v>
      </c>
      <c r="H6687" s="16">
        <v>0.0</v>
      </c>
      <c r="I6687" s="15">
        <f t="shared" si="3"/>
        <v>-0.7</v>
      </c>
      <c r="J6687" s="15">
        <v>14.99</v>
      </c>
      <c r="K6687" s="16">
        <f>IF(COUNTIFS(Release_Calendar!$A$2:$A$755,"US_CPI",Release_Calendar!$B$2:$B$755,$A6687)&gt;0,1,0)</f>
        <v>0</v>
      </c>
      <c r="L6687" s="16">
        <f>IF(COUNTIFS(Release_Calendar!$A$2:$A$755,"US_NFP",Release_Calendar!$B$2:$B$755,$A6687)&gt;0,1,0)</f>
        <v>0</v>
      </c>
      <c r="M6687" s="16">
        <f>IF($A6687&lt;Notes!$B$5,"",IF(COUNTIFS(Release_Calendar!$A$2:$A$755,"NZ_CPI",Release_Calendar!$B$2:$B$755,$A6687)&gt;0,1,0))</f>
        <v>0</v>
      </c>
      <c r="N6687" s="16">
        <f>IF($A6687&lt;Notes!$B$5,"",IF(COUNTIFS(Release_Calendar!$A$2:$A$755,"NZ_GDP",Release_Calendar!$B$2:$B$755,$A6687)&gt;0,1,0))</f>
        <v>0</v>
      </c>
      <c r="O6687" s="16">
        <f>IF($A6687&lt;Notes!$B$5,"",IF(COUNTIFS(Release_Calendar!$A$2:$A$755,"NZ_LABOUR",Release_Calendar!$B$2:$B$755,$A6687)&gt;0,1,0))</f>
        <v>0</v>
      </c>
      <c r="P6687" s="16">
        <f t="shared" si="4"/>
        <v>0</v>
      </c>
    </row>
    <row r="6688" ht="15.75" customHeight="1">
      <c r="A6688" s="14">
        <v>45888.0</v>
      </c>
      <c r="B6688" s="15">
        <v>3.75</v>
      </c>
      <c r="C6688" s="15">
        <v>3.11</v>
      </c>
      <c r="D6688" s="15"/>
      <c r="E6688" s="15">
        <v>3.21</v>
      </c>
      <c r="F6688" s="15">
        <f t="shared" si="1"/>
        <v>-0.64</v>
      </c>
      <c r="G6688" s="15">
        <f t="shared" si="2"/>
        <v>3.11</v>
      </c>
      <c r="H6688" s="16">
        <v>0.0</v>
      </c>
      <c r="I6688" s="15">
        <f t="shared" si="3"/>
        <v>-0.64</v>
      </c>
      <c r="J6688" s="15">
        <v>15.57</v>
      </c>
      <c r="K6688" s="16">
        <f>IF(COUNTIFS(Release_Calendar!$A$2:$A$755,"US_CPI",Release_Calendar!$B$2:$B$755,$A6688)&gt;0,1,0)</f>
        <v>0</v>
      </c>
      <c r="L6688" s="16">
        <f>IF(COUNTIFS(Release_Calendar!$A$2:$A$755,"US_NFP",Release_Calendar!$B$2:$B$755,$A6688)&gt;0,1,0)</f>
        <v>0</v>
      </c>
      <c r="M6688" s="16">
        <f>IF($A6688&lt;Notes!$B$5,"",IF(COUNTIFS(Release_Calendar!$A$2:$A$755,"NZ_CPI",Release_Calendar!$B$2:$B$755,$A6688)&gt;0,1,0))</f>
        <v>0</v>
      </c>
      <c r="N6688" s="16">
        <f>IF($A6688&lt;Notes!$B$5,"",IF(COUNTIFS(Release_Calendar!$A$2:$A$755,"NZ_GDP",Release_Calendar!$B$2:$B$755,$A6688)&gt;0,1,0))</f>
        <v>0</v>
      </c>
      <c r="O6688" s="16">
        <f>IF($A6688&lt;Notes!$B$5,"",IF(COUNTIFS(Release_Calendar!$A$2:$A$755,"NZ_LABOUR",Release_Calendar!$B$2:$B$755,$A6688)&gt;0,1,0))</f>
        <v>0</v>
      </c>
      <c r="P6688" s="16">
        <f t="shared" si="4"/>
        <v>0</v>
      </c>
    </row>
    <row r="6689" ht="15.75" customHeight="1">
      <c r="A6689" s="14">
        <v>45889.0</v>
      </c>
      <c r="B6689" s="15">
        <v>3.74</v>
      </c>
      <c r="C6689" s="15">
        <v>2.94</v>
      </c>
      <c r="D6689" s="15"/>
      <c r="E6689" s="15">
        <v>3.05</v>
      </c>
      <c r="F6689" s="15">
        <f t="shared" si="1"/>
        <v>-0.8</v>
      </c>
      <c r="G6689" s="15">
        <f t="shared" si="2"/>
        <v>2.94</v>
      </c>
      <c r="H6689" s="16">
        <v>0.0</v>
      </c>
      <c r="I6689" s="15">
        <f t="shared" si="3"/>
        <v>-0.8</v>
      </c>
      <c r="J6689" s="15">
        <v>15.69</v>
      </c>
      <c r="K6689" s="16">
        <f>IF(COUNTIFS(Release_Calendar!$A$2:$A$755,"US_CPI",Release_Calendar!$B$2:$B$755,$A6689)&gt;0,1,0)</f>
        <v>0</v>
      </c>
      <c r="L6689" s="16">
        <f>IF(COUNTIFS(Release_Calendar!$A$2:$A$755,"US_NFP",Release_Calendar!$B$2:$B$755,$A6689)&gt;0,1,0)</f>
        <v>0</v>
      </c>
      <c r="M6689" s="16">
        <f>IF($A6689&lt;Notes!$B$5,"",IF(COUNTIFS(Release_Calendar!$A$2:$A$755,"NZ_CPI",Release_Calendar!$B$2:$B$755,$A6689)&gt;0,1,0))</f>
        <v>0</v>
      </c>
      <c r="N6689" s="16">
        <f>IF($A6689&lt;Notes!$B$5,"",IF(COUNTIFS(Release_Calendar!$A$2:$A$755,"NZ_GDP",Release_Calendar!$B$2:$B$755,$A6689)&gt;0,1,0))</f>
        <v>0</v>
      </c>
      <c r="O6689" s="16">
        <f>IF($A6689&lt;Notes!$B$5,"",IF(COUNTIFS(Release_Calendar!$A$2:$A$755,"NZ_LABOUR",Release_Calendar!$B$2:$B$755,$A6689)&gt;0,1,0))</f>
        <v>0</v>
      </c>
      <c r="P6689" s="16">
        <f t="shared" si="4"/>
        <v>0</v>
      </c>
    </row>
    <row r="6690" ht="15.75" customHeight="1">
      <c r="A6690" s="14">
        <v>45890.0</v>
      </c>
      <c r="B6690" s="15">
        <v>3.79</v>
      </c>
      <c r="C6690" s="15">
        <v>2.92</v>
      </c>
      <c r="D6690" s="15"/>
      <c r="E6690" s="15">
        <v>3.03</v>
      </c>
      <c r="F6690" s="15">
        <f t="shared" si="1"/>
        <v>-0.87</v>
      </c>
      <c r="G6690" s="15">
        <f t="shared" si="2"/>
        <v>2.92</v>
      </c>
      <c r="H6690" s="16">
        <v>0.0</v>
      </c>
      <c r="I6690" s="15">
        <f t="shared" si="3"/>
        <v>-0.87</v>
      </c>
      <c r="J6690" s="15">
        <v>16.6</v>
      </c>
      <c r="K6690" s="16">
        <f>IF(COUNTIFS(Release_Calendar!$A$2:$A$755,"US_CPI",Release_Calendar!$B$2:$B$755,$A6690)&gt;0,1,0)</f>
        <v>0</v>
      </c>
      <c r="L6690" s="16">
        <f>IF(COUNTIFS(Release_Calendar!$A$2:$A$755,"US_NFP",Release_Calendar!$B$2:$B$755,$A6690)&gt;0,1,0)</f>
        <v>0</v>
      </c>
      <c r="M6690" s="16">
        <f>IF($A6690&lt;Notes!$B$5,"",IF(COUNTIFS(Release_Calendar!$A$2:$A$755,"NZ_CPI",Release_Calendar!$B$2:$B$755,$A6690)&gt;0,1,0))</f>
        <v>0</v>
      </c>
      <c r="N6690" s="16">
        <f>IF($A6690&lt;Notes!$B$5,"",IF(COUNTIFS(Release_Calendar!$A$2:$A$755,"NZ_GDP",Release_Calendar!$B$2:$B$755,$A6690)&gt;0,1,0))</f>
        <v>0</v>
      </c>
      <c r="O6690" s="16">
        <f>IF($A6690&lt;Notes!$B$5,"",IF(COUNTIFS(Release_Calendar!$A$2:$A$755,"NZ_LABOUR",Release_Calendar!$B$2:$B$755,$A6690)&gt;0,1,0))</f>
        <v>0</v>
      </c>
      <c r="P6690" s="16">
        <f t="shared" si="4"/>
        <v>0</v>
      </c>
    </row>
    <row r="6691" ht="15.75" customHeight="1">
      <c r="A6691" s="14">
        <v>45891.0</v>
      </c>
      <c r="B6691" s="15">
        <v>3.68</v>
      </c>
      <c r="C6691" s="15">
        <v>2.94</v>
      </c>
      <c r="D6691" s="15"/>
      <c r="E6691" s="15">
        <v>3.04</v>
      </c>
      <c r="F6691" s="15">
        <f t="shared" si="1"/>
        <v>-0.74</v>
      </c>
      <c r="G6691" s="15">
        <f t="shared" si="2"/>
        <v>2.94</v>
      </c>
      <c r="H6691" s="16">
        <v>0.0</v>
      </c>
      <c r="I6691" s="15">
        <f t="shared" si="3"/>
        <v>-0.74</v>
      </c>
      <c r="J6691" s="15">
        <v>14.22</v>
      </c>
      <c r="K6691" s="16">
        <f>IF(COUNTIFS(Release_Calendar!$A$2:$A$755,"US_CPI",Release_Calendar!$B$2:$B$755,$A6691)&gt;0,1,0)</f>
        <v>0</v>
      </c>
      <c r="L6691" s="16">
        <f>IF(COUNTIFS(Release_Calendar!$A$2:$A$755,"US_NFP",Release_Calendar!$B$2:$B$755,$A6691)&gt;0,1,0)</f>
        <v>0</v>
      </c>
      <c r="M6691" s="16">
        <f>IF($A6691&lt;Notes!$B$5,"",IF(COUNTIFS(Release_Calendar!$A$2:$A$755,"NZ_CPI",Release_Calendar!$B$2:$B$755,$A6691)&gt;0,1,0))</f>
        <v>0</v>
      </c>
      <c r="N6691" s="16">
        <f>IF($A6691&lt;Notes!$B$5,"",IF(COUNTIFS(Release_Calendar!$A$2:$A$755,"NZ_GDP",Release_Calendar!$B$2:$B$755,$A6691)&gt;0,1,0))</f>
        <v>0</v>
      </c>
      <c r="O6691" s="16">
        <f>IF($A6691&lt;Notes!$B$5,"",IF(COUNTIFS(Release_Calendar!$A$2:$A$755,"NZ_LABOUR",Release_Calendar!$B$2:$B$755,$A6691)&gt;0,1,0))</f>
        <v>0</v>
      </c>
      <c r="P6691" s="16">
        <f t="shared" si="4"/>
        <v>0</v>
      </c>
    </row>
    <row r="6692" ht="15.75" customHeight="1">
      <c r="A6692" s="14">
        <v>45894.0</v>
      </c>
      <c r="B6692" s="15">
        <v>3.73</v>
      </c>
      <c r="C6692" s="15">
        <v>2.91</v>
      </c>
      <c r="D6692" s="15"/>
      <c r="E6692" s="15">
        <v>3.02</v>
      </c>
      <c r="F6692" s="15">
        <f t="shared" si="1"/>
        <v>-0.82</v>
      </c>
      <c r="G6692" s="15">
        <f t="shared" si="2"/>
        <v>2.91</v>
      </c>
      <c r="H6692" s="16">
        <v>0.0</v>
      </c>
      <c r="I6692" s="15">
        <f t="shared" si="3"/>
        <v>-0.82</v>
      </c>
      <c r="J6692" s="15">
        <v>14.79</v>
      </c>
      <c r="K6692" s="16">
        <f>IF(COUNTIFS(Release_Calendar!$A$2:$A$755,"US_CPI",Release_Calendar!$B$2:$B$755,$A6692)&gt;0,1,0)</f>
        <v>0</v>
      </c>
      <c r="L6692" s="16">
        <f>IF(COUNTIFS(Release_Calendar!$A$2:$A$755,"US_NFP",Release_Calendar!$B$2:$B$755,$A6692)&gt;0,1,0)</f>
        <v>0</v>
      </c>
      <c r="M6692" s="16">
        <f>IF($A6692&lt;Notes!$B$5,"",IF(COUNTIFS(Release_Calendar!$A$2:$A$755,"NZ_CPI",Release_Calendar!$B$2:$B$755,$A6692)&gt;0,1,0))</f>
        <v>0</v>
      </c>
      <c r="N6692" s="16">
        <f>IF($A6692&lt;Notes!$B$5,"",IF(COUNTIFS(Release_Calendar!$A$2:$A$755,"NZ_GDP",Release_Calendar!$B$2:$B$755,$A6692)&gt;0,1,0))</f>
        <v>0</v>
      </c>
      <c r="O6692" s="16">
        <f>IF($A6692&lt;Notes!$B$5,"",IF(COUNTIFS(Release_Calendar!$A$2:$A$755,"NZ_LABOUR",Release_Calendar!$B$2:$B$755,$A6692)&gt;0,1,0))</f>
        <v>0</v>
      </c>
      <c r="P6692" s="16">
        <f t="shared" si="4"/>
        <v>0</v>
      </c>
    </row>
    <row r="6693" ht="15.75" customHeight="1">
      <c r="A6693" s="14">
        <v>45895.0</v>
      </c>
      <c r="B6693" s="15">
        <v>3.61</v>
      </c>
      <c r="C6693" s="15">
        <v>2.89</v>
      </c>
      <c r="D6693" s="15"/>
      <c r="E6693" s="15">
        <v>2.99</v>
      </c>
      <c r="F6693" s="15">
        <f t="shared" si="1"/>
        <v>-0.72</v>
      </c>
      <c r="G6693" s="15">
        <f t="shared" si="2"/>
        <v>2.89</v>
      </c>
      <c r="H6693" s="16">
        <v>0.0</v>
      </c>
      <c r="I6693" s="15">
        <f t="shared" si="3"/>
        <v>-0.72</v>
      </c>
      <c r="J6693" s="15">
        <v>14.62</v>
      </c>
      <c r="K6693" s="16">
        <f>IF(COUNTIFS(Release_Calendar!$A$2:$A$755,"US_CPI",Release_Calendar!$B$2:$B$755,$A6693)&gt;0,1,0)</f>
        <v>0</v>
      </c>
      <c r="L6693" s="16">
        <f>IF(COUNTIFS(Release_Calendar!$A$2:$A$755,"US_NFP",Release_Calendar!$B$2:$B$755,$A6693)&gt;0,1,0)</f>
        <v>0</v>
      </c>
      <c r="M6693" s="16">
        <f>IF($A6693&lt;Notes!$B$5,"",IF(COUNTIFS(Release_Calendar!$A$2:$A$755,"NZ_CPI",Release_Calendar!$B$2:$B$755,$A6693)&gt;0,1,0))</f>
        <v>0</v>
      </c>
      <c r="N6693" s="16">
        <f>IF($A6693&lt;Notes!$B$5,"",IF(COUNTIFS(Release_Calendar!$A$2:$A$755,"NZ_GDP",Release_Calendar!$B$2:$B$755,$A6693)&gt;0,1,0))</f>
        <v>0</v>
      </c>
      <c r="O6693" s="16">
        <f>IF($A6693&lt;Notes!$B$5,"",IF(COUNTIFS(Release_Calendar!$A$2:$A$755,"NZ_LABOUR",Release_Calendar!$B$2:$B$755,$A6693)&gt;0,1,0))</f>
        <v>0</v>
      </c>
      <c r="P6693" s="16">
        <f t="shared" si="4"/>
        <v>0</v>
      </c>
    </row>
    <row r="6694" ht="15.75" customHeight="1">
      <c r="A6694" s="14">
        <v>45896.0</v>
      </c>
      <c r="B6694" s="15">
        <v>3.59</v>
      </c>
      <c r="C6694" s="15">
        <v>2.89</v>
      </c>
      <c r="D6694" s="15"/>
      <c r="E6694" s="15">
        <v>3.0</v>
      </c>
      <c r="F6694" s="15">
        <f t="shared" si="1"/>
        <v>-0.7</v>
      </c>
      <c r="G6694" s="15">
        <f t="shared" si="2"/>
        <v>2.89</v>
      </c>
      <c r="H6694" s="16">
        <v>0.0</v>
      </c>
      <c r="I6694" s="15">
        <f t="shared" si="3"/>
        <v>-0.7</v>
      </c>
      <c r="J6694" s="15">
        <v>14.85</v>
      </c>
      <c r="K6694" s="16">
        <f>IF(COUNTIFS(Release_Calendar!$A$2:$A$755,"US_CPI",Release_Calendar!$B$2:$B$755,$A6694)&gt;0,1,0)</f>
        <v>0</v>
      </c>
      <c r="L6694" s="16">
        <f>IF(COUNTIFS(Release_Calendar!$A$2:$A$755,"US_NFP",Release_Calendar!$B$2:$B$755,$A6694)&gt;0,1,0)</f>
        <v>0</v>
      </c>
      <c r="M6694" s="16">
        <f>IF($A6694&lt;Notes!$B$5,"",IF(COUNTIFS(Release_Calendar!$A$2:$A$755,"NZ_CPI",Release_Calendar!$B$2:$B$755,$A6694)&gt;0,1,0))</f>
        <v>0</v>
      </c>
      <c r="N6694" s="16">
        <f>IF($A6694&lt;Notes!$B$5,"",IF(COUNTIFS(Release_Calendar!$A$2:$A$755,"NZ_GDP",Release_Calendar!$B$2:$B$755,$A6694)&gt;0,1,0))</f>
        <v>0</v>
      </c>
      <c r="O6694" s="16">
        <f>IF($A6694&lt;Notes!$B$5,"",IF(COUNTIFS(Release_Calendar!$A$2:$A$755,"NZ_LABOUR",Release_Calendar!$B$2:$B$755,$A6694)&gt;0,1,0))</f>
        <v>0</v>
      </c>
      <c r="P6694" s="16">
        <f t="shared" si="4"/>
        <v>0</v>
      </c>
    </row>
    <row r="6695" ht="15.75" customHeight="1">
      <c r="A6695" s="14">
        <v>45897.0</v>
      </c>
      <c r="B6695" s="15">
        <v>3.62</v>
      </c>
      <c r="C6695" s="15">
        <v>2.86</v>
      </c>
      <c r="D6695" s="15"/>
      <c r="E6695" s="15">
        <v>2.96</v>
      </c>
      <c r="F6695" s="15">
        <f t="shared" si="1"/>
        <v>-0.76</v>
      </c>
      <c r="G6695" s="15">
        <f t="shared" si="2"/>
        <v>2.86</v>
      </c>
      <c r="H6695" s="16">
        <v>0.0</v>
      </c>
      <c r="I6695" s="15">
        <f t="shared" si="3"/>
        <v>-0.76</v>
      </c>
      <c r="J6695" s="15">
        <v>14.43</v>
      </c>
      <c r="K6695" s="16">
        <f>IF(COUNTIFS(Release_Calendar!$A$2:$A$755,"US_CPI",Release_Calendar!$B$2:$B$755,$A6695)&gt;0,1,0)</f>
        <v>0</v>
      </c>
      <c r="L6695" s="16">
        <f>IF(COUNTIFS(Release_Calendar!$A$2:$A$755,"US_NFP",Release_Calendar!$B$2:$B$755,$A6695)&gt;0,1,0)</f>
        <v>0</v>
      </c>
      <c r="M6695" s="16">
        <f>IF($A6695&lt;Notes!$B$5,"",IF(COUNTIFS(Release_Calendar!$A$2:$A$755,"NZ_CPI",Release_Calendar!$B$2:$B$755,$A6695)&gt;0,1,0))</f>
        <v>0</v>
      </c>
      <c r="N6695" s="16">
        <f>IF($A6695&lt;Notes!$B$5,"",IF(COUNTIFS(Release_Calendar!$A$2:$A$755,"NZ_GDP",Release_Calendar!$B$2:$B$755,$A6695)&gt;0,1,0))</f>
        <v>0</v>
      </c>
      <c r="O6695" s="16">
        <f>IF($A6695&lt;Notes!$B$5,"",IF(COUNTIFS(Release_Calendar!$A$2:$A$755,"NZ_LABOUR",Release_Calendar!$B$2:$B$755,$A6695)&gt;0,1,0))</f>
        <v>0</v>
      </c>
      <c r="P6695" s="16">
        <f t="shared" si="4"/>
        <v>0</v>
      </c>
    </row>
    <row r="6696" ht="15.75" customHeight="1">
      <c r="A6696" s="14">
        <v>45898.0</v>
      </c>
      <c r="B6696" s="15">
        <v>3.59</v>
      </c>
      <c r="C6696" s="15">
        <v>2.86</v>
      </c>
      <c r="D6696" s="15"/>
      <c r="E6696" s="15">
        <v>2.97</v>
      </c>
      <c r="F6696" s="15">
        <f t="shared" si="1"/>
        <v>-0.73</v>
      </c>
      <c r="G6696" s="15">
        <f t="shared" si="2"/>
        <v>2.86</v>
      </c>
      <c r="H6696" s="16">
        <v>0.0</v>
      </c>
      <c r="I6696" s="15">
        <f t="shared" si="3"/>
        <v>-0.73</v>
      </c>
      <c r="J6696" s="15">
        <v>15.36</v>
      </c>
      <c r="K6696" s="16">
        <f>IF(COUNTIFS(Release_Calendar!$A$2:$A$755,"US_CPI",Release_Calendar!$B$2:$B$755,$A6696)&gt;0,1,0)</f>
        <v>0</v>
      </c>
      <c r="L6696" s="16">
        <f>IF(COUNTIFS(Release_Calendar!$A$2:$A$755,"US_NFP",Release_Calendar!$B$2:$B$755,$A6696)&gt;0,1,0)</f>
        <v>0</v>
      </c>
      <c r="M6696" s="16">
        <f>IF($A6696&lt;Notes!$B$5,"",IF(COUNTIFS(Release_Calendar!$A$2:$A$755,"NZ_CPI",Release_Calendar!$B$2:$B$755,$A6696)&gt;0,1,0))</f>
        <v>0</v>
      </c>
      <c r="N6696" s="16">
        <f>IF($A6696&lt;Notes!$B$5,"",IF(COUNTIFS(Release_Calendar!$A$2:$A$755,"NZ_GDP",Release_Calendar!$B$2:$B$755,$A6696)&gt;0,1,0))</f>
        <v>0</v>
      </c>
      <c r="O6696" s="16">
        <f>IF($A6696&lt;Notes!$B$5,"",IF(COUNTIFS(Release_Calendar!$A$2:$A$755,"NZ_LABOUR",Release_Calendar!$B$2:$B$755,$A6696)&gt;0,1,0))</f>
        <v>0</v>
      </c>
      <c r="P6696" s="16">
        <f t="shared" si="4"/>
        <v>0</v>
      </c>
    </row>
    <row r="6697" ht="15.75" customHeight="1">
      <c r="A6697" s="14">
        <v>45901.0</v>
      </c>
      <c r="B6697" s="15"/>
      <c r="C6697" s="15">
        <v>2.87</v>
      </c>
      <c r="D6697" s="15"/>
      <c r="E6697" s="15">
        <v>2.98</v>
      </c>
      <c r="F6697" s="15" t="str">
        <f t="shared" si="1"/>
        <v/>
      </c>
      <c r="G6697" s="15">
        <f t="shared" si="2"/>
        <v>2.87</v>
      </c>
      <c r="H6697" s="16">
        <v>0.0</v>
      </c>
      <c r="I6697" s="15" t="str">
        <f t="shared" si="3"/>
        <v/>
      </c>
      <c r="J6697" s="15">
        <v>16.12</v>
      </c>
      <c r="K6697" s="16">
        <f>IF(COUNTIFS(Release_Calendar!$A$2:$A$755,"US_CPI",Release_Calendar!$B$2:$B$755,$A6697)&gt;0,1,0)</f>
        <v>0</v>
      </c>
      <c r="L6697" s="16">
        <f>IF(COUNTIFS(Release_Calendar!$A$2:$A$755,"US_NFP",Release_Calendar!$B$2:$B$755,$A6697)&gt;0,1,0)</f>
        <v>0</v>
      </c>
      <c r="M6697" s="16">
        <f>IF($A6697&lt;Notes!$B$5,"",IF(COUNTIFS(Release_Calendar!$A$2:$A$755,"NZ_CPI",Release_Calendar!$B$2:$B$755,$A6697)&gt;0,1,0))</f>
        <v>0</v>
      </c>
      <c r="N6697" s="16">
        <f>IF($A6697&lt;Notes!$B$5,"",IF(COUNTIFS(Release_Calendar!$A$2:$A$755,"NZ_GDP",Release_Calendar!$B$2:$B$755,$A6697)&gt;0,1,0))</f>
        <v>0</v>
      </c>
      <c r="O6697" s="16">
        <f>IF($A6697&lt;Notes!$B$5,"",IF(COUNTIFS(Release_Calendar!$A$2:$A$755,"NZ_LABOUR",Release_Calendar!$B$2:$B$755,$A6697)&gt;0,1,0))</f>
        <v>0</v>
      </c>
      <c r="P6697" s="16">
        <f t="shared" si="4"/>
        <v>0</v>
      </c>
    </row>
    <row r="6698" ht="15.75" customHeight="1">
      <c r="A6698" s="14">
        <v>45902.0</v>
      </c>
      <c r="B6698" s="15">
        <v>3.66</v>
      </c>
      <c r="C6698" s="15">
        <v>2.9</v>
      </c>
      <c r="D6698" s="15"/>
      <c r="E6698" s="15">
        <v>2.99</v>
      </c>
      <c r="F6698" s="15">
        <f t="shared" si="1"/>
        <v>-0.76</v>
      </c>
      <c r="G6698" s="15">
        <f t="shared" si="2"/>
        <v>2.9</v>
      </c>
      <c r="H6698" s="16">
        <v>0.0</v>
      </c>
      <c r="I6698" s="15">
        <f t="shared" si="3"/>
        <v>-0.76</v>
      </c>
      <c r="J6698" s="15">
        <v>17.17</v>
      </c>
      <c r="K6698" s="16">
        <f>IF(COUNTIFS(Release_Calendar!$A$2:$A$755,"US_CPI",Release_Calendar!$B$2:$B$755,$A6698)&gt;0,1,0)</f>
        <v>0</v>
      </c>
      <c r="L6698" s="16">
        <f>IF(COUNTIFS(Release_Calendar!$A$2:$A$755,"US_NFP",Release_Calendar!$B$2:$B$755,$A6698)&gt;0,1,0)</f>
        <v>0</v>
      </c>
      <c r="M6698" s="16">
        <f>IF($A6698&lt;Notes!$B$5,"",IF(COUNTIFS(Release_Calendar!$A$2:$A$755,"NZ_CPI",Release_Calendar!$B$2:$B$755,$A6698)&gt;0,1,0))</f>
        <v>0</v>
      </c>
      <c r="N6698" s="16">
        <f>IF($A6698&lt;Notes!$B$5,"",IF(COUNTIFS(Release_Calendar!$A$2:$A$755,"NZ_GDP",Release_Calendar!$B$2:$B$755,$A6698)&gt;0,1,0))</f>
        <v>0</v>
      </c>
      <c r="O6698" s="16">
        <f>IF($A6698&lt;Notes!$B$5,"",IF(COUNTIFS(Release_Calendar!$A$2:$A$755,"NZ_LABOUR",Release_Calendar!$B$2:$B$755,$A6698)&gt;0,1,0))</f>
        <v>0</v>
      </c>
      <c r="P6698" s="16">
        <f t="shared" si="4"/>
        <v>0</v>
      </c>
    </row>
    <row r="6699" ht="15.75" customHeight="1">
      <c r="A6699" s="14">
        <v>45903.0</v>
      </c>
      <c r="B6699" s="15">
        <v>3.61</v>
      </c>
      <c r="C6699" s="15">
        <v>2.91</v>
      </c>
      <c r="D6699" s="15"/>
      <c r="E6699" s="15">
        <v>3.0</v>
      </c>
      <c r="F6699" s="15">
        <f t="shared" si="1"/>
        <v>-0.7</v>
      </c>
      <c r="G6699" s="15">
        <f t="shared" si="2"/>
        <v>2.91</v>
      </c>
      <c r="H6699" s="16">
        <v>0.0</v>
      </c>
      <c r="I6699" s="15">
        <f t="shared" si="3"/>
        <v>-0.7</v>
      </c>
      <c r="J6699" s="15">
        <v>16.35</v>
      </c>
      <c r="K6699" s="16">
        <f>IF(COUNTIFS(Release_Calendar!$A$2:$A$755,"US_CPI",Release_Calendar!$B$2:$B$755,$A6699)&gt;0,1,0)</f>
        <v>0</v>
      </c>
      <c r="L6699" s="16">
        <f>IF(COUNTIFS(Release_Calendar!$A$2:$A$755,"US_NFP",Release_Calendar!$B$2:$B$755,$A6699)&gt;0,1,0)</f>
        <v>0</v>
      </c>
      <c r="M6699" s="16">
        <f>IF($A6699&lt;Notes!$B$5,"",IF(COUNTIFS(Release_Calendar!$A$2:$A$755,"NZ_CPI",Release_Calendar!$B$2:$B$755,$A6699)&gt;0,1,0))</f>
        <v>0</v>
      </c>
      <c r="N6699" s="16">
        <f>IF($A6699&lt;Notes!$B$5,"",IF(COUNTIFS(Release_Calendar!$A$2:$A$755,"NZ_GDP",Release_Calendar!$B$2:$B$755,$A6699)&gt;0,1,0))</f>
        <v>0</v>
      </c>
      <c r="O6699" s="16">
        <f>IF($A6699&lt;Notes!$B$5,"",IF(COUNTIFS(Release_Calendar!$A$2:$A$755,"NZ_LABOUR",Release_Calendar!$B$2:$B$755,$A6699)&gt;0,1,0))</f>
        <v>0</v>
      </c>
      <c r="P6699" s="16">
        <f t="shared" si="4"/>
        <v>0</v>
      </c>
    </row>
    <row r="6700" ht="15.75" customHeight="1">
      <c r="A6700" s="14">
        <v>45904.0</v>
      </c>
      <c r="B6700" s="15">
        <v>3.59</v>
      </c>
      <c r="C6700" s="15">
        <v>2.9</v>
      </c>
      <c r="D6700" s="15"/>
      <c r="E6700" s="15">
        <v>2.97</v>
      </c>
      <c r="F6700" s="15">
        <f t="shared" si="1"/>
        <v>-0.69</v>
      </c>
      <c r="G6700" s="15">
        <f t="shared" si="2"/>
        <v>2.9</v>
      </c>
      <c r="H6700" s="16">
        <v>0.0</v>
      </c>
      <c r="I6700" s="15">
        <f t="shared" si="3"/>
        <v>-0.69</v>
      </c>
      <c r="J6700" s="15">
        <v>15.3</v>
      </c>
      <c r="K6700" s="16">
        <f>IF(COUNTIFS(Release_Calendar!$A$2:$A$755,"US_CPI",Release_Calendar!$B$2:$B$755,$A6700)&gt;0,1,0)</f>
        <v>0</v>
      </c>
      <c r="L6700" s="16">
        <f>IF(COUNTIFS(Release_Calendar!$A$2:$A$755,"US_NFP",Release_Calendar!$B$2:$B$755,$A6700)&gt;0,1,0)</f>
        <v>0</v>
      </c>
      <c r="M6700" s="16">
        <f>IF($A6700&lt;Notes!$B$5,"",IF(COUNTIFS(Release_Calendar!$A$2:$A$755,"NZ_CPI",Release_Calendar!$B$2:$B$755,$A6700)&gt;0,1,0))</f>
        <v>0</v>
      </c>
      <c r="N6700" s="16">
        <f>IF($A6700&lt;Notes!$B$5,"",IF(COUNTIFS(Release_Calendar!$A$2:$A$755,"NZ_GDP",Release_Calendar!$B$2:$B$755,$A6700)&gt;0,1,0))</f>
        <v>0</v>
      </c>
      <c r="O6700" s="16">
        <f>IF($A6700&lt;Notes!$B$5,"",IF(COUNTIFS(Release_Calendar!$A$2:$A$755,"NZ_LABOUR",Release_Calendar!$B$2:$B$755,$A6700)&gt;0,1,0))</f>
        <v>0</v>
      </c>
      <c r="P6700" s="16">
        <f t="shared" si="4"/>
        <v>0</v>
      </c>
    </row>
    <row r="6701" ht="15.75" customHeight="1">
      <c r="A6701" s="14">
        <v>45905.0</v>
      </c>
      <c r="B6701" s="15">
        <v>3.51</v>
      </c>
      <c r="C6701" s="15">
        <v>2.9</v>
      </c>
      <c r="D6701" s="15"/>
      <c r="E6701" s="15">
        <v>2.98</v>
      </c>
      <c r="F6701" s="15">
        <f t="shared" si="1"/>
        <v>-0.61</v>
      </c>
      <c r="G6701" s="15">
        <f t="shared" si="2"/>
        <v>2.9</v>
      </c>
      <c r="H6701" s="16">
        <v>0.0</v>
      </c>
      <c r="I6701" s="15">
        <f t="shared" si="3"/>
        <v>-0.61</v>
      </c>
      <c r="J6701" s="15">
        <v>15.18</v>
      </c>
      <c r="K6701" s="16">
        <f>IF(COUNTIFS(Release_Calendar!$A$2:$A$755,"US_CPI",Release_Calendar!$B$2:$B$755,$A6701)&gt;0,1,0)</f>
        <v>0</v>
      </c>
      <c r="L6701" s="16">
        <f>IF(COUNTIFS(Release_Calendar!$A$2:$A$755,"US_NFP",Release_Calendar!$B$2:$B$755,$A6701)&gt;0,1,0)</f>
        <v>1</v>
      </c>
      <c r="M6701" s="16">
        <f>IF($A6701&lt;Notes!$B$5,"",IF(COUNTIFS(Release_Calendar!$A$2:$A$755,"NZ_CPI",Release_Calendar!$B$2:$B$755,$A6701)&gt;0,1,0))</f>
        <v>0</v>
      </c>
      <c r="N6701" s="16">
        <f>IF($A6701&lt;Notes!$B$5,"",IF(COUNTIFS(Release_Calendar!$A$2:$A$755,"NZ_GDP",Release_Calendar!$B$2:$B$755,$A6701)&gt;0,1,0))</f>
        <v>0</v>
      </c>
      <c r="O6701" s="16">
        <f>IF($A6701&lt;Notes!$B$5,"",IF(COUNTIFS(Release_Calendar!$A$2:$A$755,"NZ_LABOUR",Release_Calendar!$B$2:$B$755,$A6701)&gt;0,1,0))</f>
        <v>0</v>
      </c>
      <c r="P6701" s="16">
        <f t="shared" si="4"/>
        <v>1</v>
      </c>
    </row>
    <row r="6702" ht="15.75" customHeight="1">
      <c r="A6702" s="14">
        <v>45908.0</v>
      </c>
      <c r="B6702" s="15">
        <v>3.49</v>
      </c>
      <c r="C6702" s="15">
        <v>2.87</v>
      </c>
      <c r="D6702" s="15"/>
      <c r="E6702" s="15">
        <v>2.95</v>
      </c>
      <c r="F6702" s="15">
        <f t="shared" si="1"/>
        <v>-0.62</v>
      </c>
      <c r="G6702" s="15">
        <f t="shared" si="2"/>
        <v>2.87</v>
      </c>
      <c r="H6702" s="16">
        <v>0.0</v>
      </c>
      <c r="I6702" s="15">
        <f t="shared" si="3"/>
        <v>-0.62</v>
      </c>
      <c r="J6702" s="15">
        <v>15.11</v>
      </c>
      <c r="K6702" s="16">
        <f>IF(COUNTIFS(Release_Calendar!$A$2:$A$755,"US_CPI",Release_Calendar!$B$2:$B$755,$A6702)&gt;0,1,0)</f>
        <v>0</v>
      </c>
      <c r="L6702" s="16">
        <f>IF(COUNTIFS(Release_Calendar!$A$2:$A$755,"US_NFP",Release_Calendar!$B$2:$B$755,$A6702)&gt;0,1,0)</f>
        <v>0</v>
      </c>
      <c r="M6702" s="16">
        <f>IF($A6702&lt;Notes!$B$5,"",IF(COUNTIFS(Release_Calendar!$A$2:$A$755,"NZ_CPI",Release_Calendar!$B$2:$B$755,$A6702)&gt;0,1,0))</f>
        <v>0</v>
      </c>
      <c r="N6702" s="16">
        <f>IF($A6702&lt;Notes!$B$5,"",IF(COUNTIFS(Release_Calendar!$A$2:$A$755,"NZ_GDP",Release_Calendar!$B$2:$B$755,$A6702)&gt;0,1,0))</f>
        <v>0</v>
      </c>
      <c r="O6702" s="16">
        <f>IF($A6702&lt;Notes!$B$5,"",IF(COUNTIFS(Release_Calendar!$A$2:$A$755,"NZ_LABOUR",Release_Calendar!$B$2:$B$755,$A6702)&gt;0,1,0))</f>
        <v>0</v>
      </c>
      <c r="P6702" s="16">
        <f t="shared" si="4"/>
        <v>0</v>
      </c>
    </row>
    <row r="6703" ht="15.75" customHeight="1">
      <c r="A6703" s="14">
        <v>45909.0</v>
      </c>
      <c r="B6703" s="15">
        <v>3.54</v>
      </c>
      <c r="C6703" s="15">
        <v>2.88</v>
      </c>
      <c r="D6703" s="15"/>
      <c r="E6703" s="15">
        <v>2.96</v>
      </c>
      <c r="F6703" s="15">
        <f t="shared" si="1"/>
        <v>-0.66</v>
      </c>
      <c r="G6703" s="15">
        <f t="shared" si="2"/>
        <v>2.88</v>
      </c>
      <c r="H6703" s="16">
        <v>0.0</v>
      </c>
      <c r="I6703" s="15">
        <f t="shared" si="3"/>
        <v>-0.66</v>
      </c>
      <c r="J6703" s="15">
        <v>15.04</v>
      </c>
      <c r="K6703" s="16">
        <f>IF(COUNTIFS(Release_Calendar!$A$2:$A$755,"US_CPI",Release_Calendar!$B$2:$B$755,$A6703)&gt;0,1,0)</f>
        <v>0</v>
      </c>
      <c r="L6703" s="16">
        <f>IF(COUNTIFS(Release_Calendar!$A$2:$A$755,"US_NFP",Release_Calendar!$B$2:$B$755,$A6703)&gt;0,1,0)</f>
        <v>0</v>
      </c>
      <c r="M6703" s="16">
        <f>IF($A6703&lt;Notes!$B$5,"",IF(COUNTIFS(Release_Calendar!$A$2:$A$755,"NZ_CPI",Release_Calendar!$B$2:$B$755,$A6703)&gt;0,1,0))</f>
        <v>0</v>
      </c>
      <c r="N6703" s="16">
        <f>IF($A6703&lt;Notes!$B$5,"",IF(COUNTIFS(Release_Calendar!$A$2:$A$755,"NZ_GDP",Release_Calendar!$B$2:$B$755,$A6703)&gt;0,1,0))</f>
        <v>0</v>
      </c>
      <c r="O6703" s="16">
        <f>IF($A6703&lt;Notes!$B$5,"",IF(COUNTIFS(Release_Calendar!$A$2:$A$755,"NZ_LABOUR",Release_Calendar!$B$2:$B$755,$A6703)&gt;0,1,0))</f>
        <v>0</v>
      </c>
      <c r="P6703" s="16">
        <f t="shared" si="4"/>
        <v>0</v>
      </c>
    </row>
    <row r="6704" ht="15.75" customHeight="1">
      <c r="A6704" s="14">
        <v>45910.0</v>
      </c>
      <c r="B6704" s="15">
        <v>3.54</v>
      </c>
      <c r="C6704" s="15">
        <v>2.89</v>
      </c>
      <c r="D6704" s="15"/>
      <c r="E6704" s="15">
        <v>2.97</v>
      </c>
      <c r="F6704" s="15">
        <f t="shared" si="1"/>
        <v>-0.65</v>
      </c>
      <c r="G6704" s="15">
        <f t="shared" si="2"/>
        <v>2.89</v>
      </c>
      <c r="H6704" s="16">
        <v>0.0</v>
      </c>
      <c r="I6704" s="15">
        <f t="shared" si="3"/>
        <v>-0.65</v>
      </c>
      <c r="J6704" s="15">
        <v>15.35</v>
      </c>
      <c r="K6704" s="16">
        <f>IF(COUNTIFS(Release_Calendar!$A$2:$A$755,"US_CPI",Release_Calendar!$B$2:$B$755,$A6704)&gt;0,1,0)</f>
        <v>0</v>
      </c>
      <c r="L6704" s="16">
        <f>IF(COUNTIFS(Release_Calendar!$A$2:$A$755,"US_NFP",Release_Calendar!$B$2:$B$755,$A6704)&gt;0,1,0)</f>
        <v>0</v>
      </c>
      <c r="M6704" s="16">
        <f>IF($A6704&lt;Notes!$B$5,"",IF(COUNTIFS(Release_Calendar!$A$2:$A$755,"NZ_CPI",Release_Calendar!$B$2:$B$755,$A6704)&gt;0,1,0))</f>
        <v>0</v>
      </c>
      <c r="N6704" s="16">
        <f>IF($A6704&lt;Notes!$B$5,"",IF(COUNTIFS(Release_Calendar!$A$2:$A$755,"NZ_GDP",Release_Calendar!$B$2:$B$755,$A6704)&gt;0,1,0))</f>
        <v>0</v>
      </c>
      <c r="O6704" s="16">
        <f>IF($A6704&lt;Notes!$B$5,"",IF(COUNTIFS(Release_Calendar!$A$2:$A$755,"NZ_LABOUR",Release_Calendar!$B$2:$B$755,$A6704)&gt;0,1,0))</f>
        <v>0</v>
      </c>
      <c r="P6704" s="16">
        <f t="shared" si="4"/>
        <v>0</v>
      </c>
    </row>
    <row r="6705" ht="15.75" customHeight="1">
      <c r="A6705" s="14">
        <v>45911.0</v>
      </c>
      <c r="B6705" s="15">
        <v>3.52</v>
      </c>
      <c r="C6705" s="15">
        <v>2.86</v>
      </c>
      <c r="D6705" s="15"/>
      <c r="E6705" s="15">
        <v>2.96</v>
      </c>
      <c r="F6705" s="15">
        <f t="shared" si="1"/>
        <v>-0.66</v>
      </c>
      <c r="G6705" s="15">
        <f t="shared" si="2"/>
        <v>2.86</v>
      </c>
      <c r="H6705" s="16">
        <v>0.0</v>
      </c>
      <c r="I6705" s="15">
        <f t="shared" si="3"/>
        <v>-0.66</v>
      </c>
      <c r="J6705" s="15">
        <v>14.71</v>
      </c>
      <c r="K6705" s="16">
        <f>IF(COUNTIFS(Release_Calendar!$A$2:$A$755,"US_CPI",Release_Calendar!$B$2:$B$755,$A6705)&gt;0,1,0)</f>
        <v>1</v>
      </c>
      <c r="L6705" s="16">
        <f>IF(COUNTIFS(Release_Calendar!$A$2:$A$755,"US_NFP",Release_Calendar!$B$2:$B$755,$A6705)&gt;0,1,0)</f>
        <v>0</v>
      </c>
      <c r="M6705" s="16">
        <f>IF($A6705&lt;Notes!$B$5,"",IF(COUNTIFS(Release_Calendar!$A$2:$A$755,"NZ_CPI",Release_Calendar!$B$2:$B$755,$A6705)&gt;0,1,0))</f>
        <v>0</v>
      </c>
      <c r="N6705" s="16">
        <f>IF($A6705&lt;Notes!$B$5,"",IF(COUNTIFS(Release_Calendar!$A$2:$A$755,"NZ_GDP",Release_Calendar!$B$2:$B$755,$A6705)&gt;0,1,0))</f>
        <v>0</v>
      </c>
      <c r="O6705" s="16">
        <f>IF($A6705&lt;Notes!$B$5,"",IF(COUNTIFS(Release_Calendar!$A$2:$A$755,"NZ_LABOUR",Release_Calendar!$B$2:$B$755,$A6705)&gt;0,1,0))</f>
        <v>0</v>
      </c>
      <c r="P6705" s="16">
        <f t="shared" si="4"/>
        <v>1</v>
      </c>
    </row>
    <row r="6706" ht="15.75" customHeight="1">
      <c r="A6706" s="14">
        <v>45912.0</v>
      </c>
      <c r="B6706" s="15">
        <v>3.56</v>
      </c>
      <c r="C6706" s="15">
        <v>2.86</v>
      </c>
      <c r="D6706" s="15"/>
      <c r="E6706" s="15">
        <v>2.96</v>
      </c>
      <c r="F6706" s="15">
        <f t="shared" si="1"/>
        <v>-0.7</v>
      </c>
      <c r="G6706" s="15">
        <f t="shared" si="2"/>
        <v>2.86</v>
      </c>
      <c r="H6706" s="16">
        <v>0.0</v>
      </c>
      <c r="I6706" s="15">
        <f t="shared" si="3"/>
        <v>-0.7</v>
      </c>
      <c r="J6706" s="15">
        <v>14.76</v>
      </c>
      <c r="K6706" s="16">
        <f>IF(COUNTIFS(Release_Calendar!$A$2:$A$755,"US_CPI",Release_Calendar!$B$2:$B$755,$A6706)&gt;0,1,0)</f>
        <v>0</v>
      </c>
      <c r="L6706" s="16">
        <f>IF(COUNTIFS(Release_Calendar!$A$2:$A$755,"US_NFP",Release_Calendar!$B$2:$B$755,$A6706)&gt;0,1,0)</f>
        <v>0</v>
      </c>
      <c r="M6706" s="16">
        <f>IF($A6706&lt;Notes!$B$5,"",IF(COUNTIFS(Release_Calendar!$A$2:$A$755,"NZ_CPI",Release_Calendar!$B$2:$B$755,$A6706)&gt;0,1,0))</f>
        <v>0</v>
      </c>
      <c r="N6706" s="16">
        <f>IF($A6706&lt;Notes!$B$5,"",IF(COUNTIFS(Release_Calendar!$A$2:$A$755,"NZ_GDP",Release_Calendar!$B$2:$B$755,$A6706)&gt;0,1,0))</f>
        <v>0</v>
      </c>
      <c r="O6706" s="16">
        <f>IF($A6706&lt;Notes!$B$5,"",IF(COUNTIFS(Release_Calendar!$A$2:$A$755,"NZ_LABOUR",Release_Calendar!$B$2:$B$755,$A6706)&gt;0,1,0))</f>
        <v>0</v>
      </c>
      <c r="P6706" s="16">
        <f t="shared" si="4"/>
        <v>0</v>
      </c>
    </row>
    <row r="6707" ht="15.75" customHeight="1">
      <c r="A6707" s="14">
        <v>45915.0</v>
      </c>
      <c r="B6707" s="15">
        <v>3.54</v>
      </c>
      <c r="C6707" s="15">
        <v>2.87</v>
      </c>
      <c r="D6707" s="15"/>
      <c r="E6707" s="15">
        <v>2.97</v>
      </c>
      <c r="F6707" s="15">
        <f t="shared" si="1"/>
        <v>-0.67</v>
      </c>
      <c r="G6707" s="15">
        <f t="shared" si="2"/>
        <v>2.87</v>
      </c>
      <c r="H6707" s="16">
        <v>0.0</v>
      </c>
      <c r="I6707" s="15">
        <f t="shared" si="3"/>
        <v>-0.67</v>
      </c>
      <c r="J6707" s="15">
        <v>15.69</v>
      </c>
      <c r="K6707" s="16">
        <f>IF(COUNTIFS(Release_Calendar!$A$2:$A$755,"US_CPI",Release_Calendar!$B$2:$B$755,$A6707)&gt;0,1,0)</f>
        <v>0</v>
      </c>
      <c r="L6707" s="16">
        <f>IF(COUNTIFS(Release_Calendar!$A$2:$A$755,"US_NFP",Release_Calendar!$B$2:$B$755,$A6707)&gt;0,1,0)</f>
        <v>0</v>
      </c>
      <c r="M6707" s="16">
        <f>IF($A6707&lt;Notes!$B$5,"",IF(COUNTIFS(Release_Calendar!$A$2:$A$755,"NZ_CPI",Release_Calendar!$B$2:$B$755,$A6707)&gt;0,1,0))</f>
        <v>0</v>
      </c>
      <c r="N6707" s="16">
        <f>IF($A6707&lt;Notes!$B$5,"",IF(COUNTIFS(Release_Calendar!$A$2:$A$755,"NZ_GDP",Release_Calendar!$B$2:$B$755,$A6707)&gt;0,1,0))</f>
        <v>0</v>
      </c>
      <c r="O6707" s="16">
        <f>IF($A6707&lt;Notes!$B$5,"",IF(COUNTIFS(Release_Calendar!$A$2:$A$755,"NZ_LABOUR",Release_Calendar!$B$2:$B$755,$A6707)&gt;0,1,0))</f>
        <v>0</v>
      </c>
      <c r="P6707" s="16">
        <f t="shared" si="4"/>
        <v>0</v>
      </c>
    </row>
    <row r="6708" ht="15.75" customHeight="1">
      <c r="A6708" s="14">
        <v>45916.0</v>
      </c>
      <c r="B6708" s="15">
        <v>3.51</v>
      </c>
      <c r="C6708" s="15">
        <v>2.83</v>
      </c>
      <c r="D6708" s="15"/>
      <c r="E6708" s="15">
        <v>2.94</v>
      </c>
      <c r="F6708" s="15">
        <f t="shared" si="1"/>
        <v>-0.68</v>
      </c>
      <c r="G6708" s="15">
        <f t="shared" si="2"/>
        <v>2.83</v>
      </c>
      <c r="H6708" s="16">
        <v>0.0</v>
      </c>
      <c r="I6708" s="15">
        <f t="shared" si="3"/>
        <v>-0.68</v>
      </c>
      <c r="J6708" s="15">
        <v>16.36</v>
      </c>
      <c r="K6708" s="16">
        <f>IF(COUNTIFS(Release_Calendar!$A$2:$A$755,"US_CPI",Release_Calendar!$B$2:$B$755,$A6708)&gt;0,1,0)</f>
        <v>0</v>
      </c>
      <c r="L6708" s="16">
        <f>IF(COUNTIFS(Release_Calendar!$A$2:$A$755,"US_NFP",Release_Calendar!$B$2:$B$755,$A6708)&gt;0,1,0)</f>
        <v>0</v>
      </c>
      <c r="M6708" s="16">
        <f>IF($A6708&lt;Notes!$B$5,"",IF(COUNTIFS(Release_Calendar!$A$2:$A$755,"NZ_CPI",Release_Calendar!$B$2:$B$755,$A6708)&gt;0,1,0))</f>
        <v>0</v>
      </c>
      <c r="N6708" s="16">
        <f>IF($A6708&lt;Notes!$B$5,"",IF(COUNTIFS(Release_Calendar!$A$2:$A$755,"NZ_GDP",Release_Calendar!$B$2:$B$755,$A6708)&gt;0,1,0))</f>
        <v>0</v>
      </c>
      <c r="O6708" s="16">
        <f>IF($A6708&lt;Notes!$B$5,"",IF(COUNTIFS(Release_Calendar!$A$2:$A$755,"NZ_LABOUR",Release_Calendar!$B$2:$B$755,$A6708)&gt;0,1,0))</f>
        <v>0</v>
      </c>
      <c r="P6708" s="16">
        <f t="shared" si="4"/>
        <v>0</v>
      </c>
    </row>
    <row r="6709" ht="15.75" customHeight="1">
      <c r="A6709" s="14">
        <v>45917.0</v>
      </c>
      <c r="B6709" s="15">
        <v>3.52</v>
      </c>
      <c r="C6709" s="15">
        <v>2.81</v>
      </c>
      <c r="D6709" s="15"/>
      <c r="E6709" s="15">
        <v>2.91</v>
      </c>
      <c r="F6709" s="15">
        <f t="shared" si="1"/>
        <v>-0.71</v>
      </c>
      <c r="G6709" s="15">
        <f t="shared" si="2"/>
        <v>2.81</v>
      </c>
      <c r="H6709" s="16">
        <v>0.0</v>
      </c>
      <c r="I6709" s="15">
        <f t="shared" si="3"/>
        <v>-0.71</v>
      </c>
      <c r="J6709" s="15">
        <v>15.72</v>
      </c>
      <c r="K6709" s="16">
        <f>IF(COUNTIFS(Release_Calendar!$A$2:$A$755,"US_CPI",Release_Calendar!$B$2:$B$755,$A6709)&gt;0,1,0)</f>
        <v>0</v>
      </c>
      <c r="L6709" s="16">
        <f>IF(COUNTIFS(Release_Calendar!$A$2:$A$755,"US_NFP",Release_Calendar!$B$2:$B$755,$A6709)&gt;0,1,0)</f>
        <v>0</v>
      </c>
      <c r="M6709" s="16">
        <f>IF($A6709&lt;Notes!$B$5,"",IF(COUNTIFS(Release_Calendar!$A$2:$A$755,"NZ_CPI",Release_Calendar!$B$2:$B$755,$A6709)&gt;0,1,0))</f>
        <v>0</v>
      </c>
      <c r="N6709" s="16">
        <f>IF($A6709&lt;Notes!$B$5,"",IF(COUNTIFS(Release_Calendar!$A$2:$A$755,"NZ_GDP",Release_Calendar!$B$2:$B$755,$A6709)&gt;0,1,0))</f>
        <v>0</v>
      </c>
      <c r="O6709" s="16">
        <f>IF($A6709&lt;Notes!$B$5,"",IF(COUNTIFS(Release_Calendar!$A$2:$A$755,"NZ_LABOUR",Release_Calendar!$B$2:$B$755,$A6709)&gt;0,1,0))</f>
        <v>0</v>
      </c>
      <c r="P6709" s="16">
        <f t="shared" si="4"/>
        <v>0</v>
      </c>
    </row>
    <row r="6710" ht="15.75" customHeight="1">
      <c r="A6710" s="14">
        <v>45918.0</v>
      </c>
      <c r="B6710" s="15">
        <v>3.57</v>
      </c>
      <c r="C6710" s="15">
        <v>2.7</v>
      </c>
      <c r="D6710" s="15"/>
      <c r="E6710" s="15">
        <v>2.8</v>
      </c>
      <c r="F6710" s="15">
        <f t="shared" si="1"/>
        <v>-0.87</v>
      </c>
      <c r="G6710" s="15">
        <f t="shared" si="2"/>
        <v>2.7</v>
      </c>
      <c r="H6710" s="16">
        <v>0.0</v>
      </c>
      <c r="I6710" s="15">
        <f t="shared" si="3"/>
        <v>-0.87</v>
      </c>
      <c r="J6710" s="15">
        <v>15.7</v>
      </c>
      <c r="K6710" s="16">
        <f>IF(COUNTIFS(Release_Calendar!$A$2:$A$755,"US_CPI",Release_Calendar!$B$2:$B$755,$A6710)&gt;0,1,0)</f>
        <v>0</v>
      </c>
      <c r="L6710" s="16">
        <f>IF(COUNTIFS(Release_Calendar!$A$2:$A$755,"US_NFP",Release_Calendar!$B$2:$B$755,$A6710)&gt;0,1,0)</f>
        <v>0</v>
      </c>
      <c r="M6710" s="16">
        <f>IF($A6710&lt;Notes!$B$5,"",IF(COUNTIFS(Release_Calendar!$A$2:$A$755,"NZ_CPI",Release_Calendar!$B$2:$B$755,$A6710)&gt;0,1,0))</f>
        <v>0</v>
      </c>
      <c r="N6710" s="16">
        <f>IF($A6710&lt;Notes!$B$5,"",IF(COUNTIFS(Release_Calendar!$A$2:$A$755,"NZ_GDP",Release_Calendar!$B$2:$B$755,$A6710)&gt;0,1,0))</f>
        <v>1</v>
      </c>
      <c r="O6710" s="16">
        <f>IF($A6710&lt;Notes!$B$5,"",IF(COUNTIFS(Release_Calendar!$A$2:$A$755,"NZ_LABOUR",Release_Calendar!$B$2:$B$755,$A6710)&gt;0,1,0))</f>
        <v>0</v>
      </c>
      <c r="P6710" s="16">
        <f t="shared" si="4"/>
        <v>1</v>
      </c>
    </row>
    <row r="6711" ht="15.75" customHeight="1">
      <c r="A6711" s="14">
        <v>45919.0</v>
      </c>
      <c r="B6711" s="15">
        <v>3.57</v>
      </c>
      <c r="C6711" s="15">
        <v>2.66</v>
      </c>
      <c r="D6711" s="15"/>
      <c r="E6711" s="15">
        <v>2.76</v>
      </c>
      <c r="F6711" s="15">
        <f t="shared" si="1"/>
        <v>-0.91</v>
      </c>
      <c r="G6711" s="15">
        <f t="shared" si="2"/>
        <v>2.66</v>
      </c>
      <c r="H6711" s="16">
        <v>0.0</v>
      </c>
      <c r="I6711" s="15">
        <f t="shared" si="3"/>
        <v>-0.91</v>
      </c>
      <c r="J6711" s="15">
        <v>15.45</v>
      </c>
      <c r="K6711" s="16">
        <f>IF(COUNTIFS(Release_Calendar!$A$2:$A$755,"US_CPI",Release_Calendar!$B$2:$B$755,$A6711)&gt;0,1,0)</f>
        <v>0</v>
      </c>
      <c r="L6711" s="16">
        <f>IF(COUNTIFS(Release_Calendar!$A$2:$A$755,"US_NFP",Release_Calendar!$B$2:$B$755,$A6711)&gt;0,1,0)</f>
        <v>0</v>
      </c>
      <c r="M6711" s="16">
        <f>IF($A6711&lt;Notes!$B$5,"",IF(COUNTIFS(Release_Calendar!$A$2:$A$755,"NZ_CPI",Release_Calendar!$B$2:$B$755,$A6711)&gt;0,1,0))</f>
        <v>0</v>
      </c>
      <c r="N6711" s="16">
        <f>IF($A6711&lt;Notes!$B$5,"",IF(COUNTIFS(Release_Calendar!$A$2:$A$755,"NZ_GDP",Release_Calendar!$B$2:$B$755,$A6711)&gt;0,1,0))</f>
        <v>0</v>
      </c>
      <c r="O6711" s="16">
        <f>IF($A6711&lt;Notes!$B$5,"",IF(COUNTIFS(Release_Calendar!$A$2:$A$755,"NZ_LABOUR",Release_Calendar!$B$2:$B$755,$A6711)&gt;0,1,0))</f>
        <v>0</v>
      </c>
      <c r="P6711" s="16">
        <f t="shared" si="4"/>
        <v>0</v>
      </c>
    </row>
    <row r="6712" ht="15.75" customHeight="1">
      <c r="A6712" s="14">
        <v>45922.0</v>
      </c>
      <c r="B6712" s="15">
        <v>3.61</v>
      </c>
      <c r="C6712" s="15">
        <v>2.67</v>
      </c>
      <c r="D6712" s="15"/>
      <c r="E6712" s="15">
        <v>2.77</v>
      </c>
      <c r="F6712" s="15">
        <f t="shared" si="1"/>
        <v>-0.94</v>
      </c>
      <c r="G6712" s="15">
        <f t="shared" si="2"/>
        <v>2.67</v>
      </c>
      <c r="H6712" s="16">
        <v>0.0</v>
      </c>
      <c r="I6712" s="15">
        <f t="shared" si="3"/>
        <v>-0.94</v>
      </c>
      <c r="J6712" s="15">
        <v>16.1</v>
      </c>
      <c r="K6712" s="16">
        <f>IF(COUNTIFS(Release_Calendar!$A$2:$A$755,"US_CPI",Release_Calendar!$B$2:$B$755,$A6712)&gt;0,1,0)</f>
        <v>0</v>
      </c>
      <c r="L6712" s="16">
        <f>IF(COUNTIFS(Release_Calendar!$A$2:$A$755,"US_NFP",Release_Calendar!$B$2:$B$755,$A6712)&gt;0,1,0)</f>
        <v>0</v>
      </c>
      <c r="M6712" s="16">
        <f>IF($A6712&lt;Notes!$B$5,"",IF(COUNTIFS(Release_Calendar!$A$2:$A$755,"NZ_CPI",Release_Calendar!$B$2:$B$755,$A6712)&gt;0,1,0))</f>
        <v>0</v>
      </c>
      <c r="N6712" s="16">
        <f>IF($A6712&lt;Notes!$B$5,"",IF(COUNTIFS(Release_Calendar!$A$2:$A$755,"NZ_GDP",Release_Calendar!$B$2:$B$755,$A6712)&gt;0,1,0))</f>
        <v>0</v>
      </c>
      <c r="O6712" s="16">
        <f>IF($A6712&lt;Notes!$B$5,"",IF(COUNTIFS(Release_Calendar!$A$2:$A$755,"NZ_LABOUR",Release_Calendar!$B$2:$B$755,$A6712)&gt;0,1,0))</f>
        <v>0</v>
      </c>
      <c r="P6712" s="16">
        <f t="shared" si="4"/>
        <v>0</v>
      </c>
    </row>
    <row r="6713" ht="15.75" customHeight="1">
      <c r="A6713" s="14">
        <v>45923.0</v>
      </c>
      <c r="B6713" s="15">
        <v>3.53</v>
      </c>
      <c r="C6713" s="15">
        <v>2.66</v>
      </c>
      <c r="D6713" s="15"/>
      <c r="E6713" s="15">
        <v>2.75</v>
      </c>
      <c r="F6713" s="15">
        <f t="shared" si="1"/>
        <v>-0.87</v>
      </c>
      <c r="G6713" s="15">
        <f t="shared" si="2"/>
        <v>2.66</v>
      </c>
      <c r="H6713" s="16">
        <v>0.0</v>
      </c>
      <c r="I6713" s="15">
        <f t="shared" si="3"/>
        <v>-0.87</v>
      </c>
      <c r="J6713" s="15">
        <v>16.64</v>
      </c>
      <c r="K6713" s="16">
        <f>IF(COUNTIFS(Release_Calendar!$A$2:$A$755,"US_CPI",Release_Calendar!$B$2:$B$755,$A6713)&gt;0,1,0)</f>
        <v>0</v>
      </c>
      <c r="L6713" s="16">
        <f>IF(COUNTIFS(Release_Calendar!$A$2:$A$755,"US_NFP",Release_Calendar!$B$2:$B$755,$A6713)&gt;0,1,0)</f>
        <v>0</v>
      </c>
      <c r="M6713" s="16">
        <f>IF($A6713&lt;Notes!$B$5,"",IF(COUNTIFS(Release_Calendar!$A$2:$A$755,"NZ_CPI",Release_Calendar!$B$2:$B$755,$A6713)&gt;0,1,0))</f>
        <v>0</v>
      </c>
      <c r="N6713" s="16">
        <f>IF($A6713&lt;Notes!$B$5,"",IF(COUNTIFS(Release_Calendar!$A$2:$A$755,"NZ_GDP",Release_Calendar!$B$2:$B$755,$A6713)&gt;0,1,0))</f>
        <v>0</v>
      </c>
      <c r="O6713" s="16">
        <f>IF($A6713&lt;Notes!$B$5,"",IF(COUNTIFS(Release_Calendar!$A$2:$A$755,"NZ_LABOUR",Release_Calendar!$B$2:$B$755,$A6713)&gt;0,1,0))</f>
        <v>0</v>
      </c>
      <c r="P6713" s="16">
        <f t="shared" si="4"/>
        <v>0</v>
      </c>
    </row>
    <row r="6714" ht="15.75" customHeight="1">
      <c r="A6714" s="14">
        <v>45924.0</v>
      </c>
      <c r="B6714" s="15">
        <v>3.57</v>
      </c>
      <c r="C6714" s="15">
        <v>2.66</v>
      </c>
      <c r="D6714" s="15"/>
      <c r="E6714" s="15">
        <v>2.75</v>
      </c>
      <c r="F6714" s="15">
        <f t="shared" si="1"/>
        <v>-0.91</v>
      </c>
      <c r="G6714" s="15">
        <f t="shared" si="2"/>
        <v>2.66</v>
      </c>
      <c r="H6714" s="16">
        <v>0.0</v>
      </c>
      <c r="I6714" s="15">
        <f t="shared" si="3"/>
        <v>-0.91</v>
      </c>
      <c r="J6714" s="15">
        <v>16.18</v>
      </c>
      <c r="K6714" s="16">
        <f>IF(COUNTIFS(Release_Calendar!$A$2:$A$755,"US_CPI",Release_Calendar!$B$2:$B$755,$A6714)&gt;0,1,0)</f>
        <v>0</v>
      </c>
      <c r="L6714" s="16">
        <f>IF(COUNTIFS(Release_Calendar!$A$2:$A$755,"US_NFP",Release_Calendar!$B$2:$B$755,$A6714)&gt;0,1,0)</f>
        <v>0</v>
      </c>
      <c r="M6714" s="16">
        <f>IF($A6714&lt;Notes!$B$5,"",IF(COUNTIFS(Release_Calendar!$A$2:$A$755,"NZ_CPI",Release_Calendar!$B$2:$B$755,$A6714)&gt;0,1,0))</f>
        <v>0</v>
      </c>
      <c r="N6714" s="16">
        <f>IF($A6714&lt;Notes!$B$5,"",IF(COUNTIFS(Release_Calendar!$A$2:$A$755,"NZ_GDP",Release_Calendar!$B$2:$B$755,$A6714)&gt;0,1,0))</f>
        <v>0</v>
      </c>
      <c r="O6714" s="16">
        <f>IF($A6714&lt;Notes!$B$5,"",IF(COUNTIFS(Release_Calendar!$A$2:$A$755,"NZ_LABOUR",Release_Calendar!$B$2:$B$755,$A6714)&gt;0,1,0))</f>
        <v>0</v>
      </c>
      <c r="P6714" s="16">
        <f t="shared" si="4"/>
        <v>0</v>
      </c>
    </row>
    <row r="6715" ht="15.75" customHeight="1">
      <c r="A6715" s="14">
        <v>45925.0</v>
      </c>
      <c r="B6715" s="15">
        <v>3.64</v>
      </c>
      <c r="C6715" s="15">
        <v>2.66</v>
      </c>
      <c r="D6715" s="15"/>
      <c r="E6715" s="15">
        <v>2.73</v>
      </c>
      <c r="F6715" s="15">
        <f t="shared" si="1"/>
        <v>-0.98</v>
      </c>
      <c r="G6715" s="15">
        <f t="shared" si="2"/>
        <v>2.66</v>
      </c>
      <c r="H6715" s="16">
        <v>0.0</v>
      </c>
      <c r="I6715" s="15">
        <f t="shared" si="3"/>
        <v>-0.98</v>
      </c>
      <c r="J6715" s="15">
        <v>16.74</v>
      </c>
      <c r="K6715" s="16">
        <f>IF(COUNTIFS(Release_Calendar!$A$2:$A$755,"US_CPI",Release_Calendar!$B$2:$B$755,$A6715)&gt;0,1,0)</f>
        <v>0</v>
      </c>
      <c r="L6715" s="16">
        <f>IF(COUNTIFS(Release_Calendar!$A$2:$A$755,"US_NFP",Release_Calendar!$B$2:$B$755,$A6715)&gt;0,1,0)</f>
        <v>0</v>
      </c>
      <c r="M6715" s="16">
        <f>IF($A6715&lt;Notes!$B$5,"",IF(COUNTIFS(Release_Calendar!$A$2:$A$755,"NZ_CPI",Release_Calendar!$B$2:$B$755,$A6715)&gt;0,1,0))</f>
        <v>0</v>
      </c>
      <c r="N6715" s="16">
        <f>IF($A6715&lt;Notes!$B$5,"",IF(COUNTIFS(Release_Calendar!$A$2:$A$755,"NZ_GDP",Release_Calendar!$B$2:$B$755,$A6715)&gt;0,1,0))</f>
        <v>0</v>
      </c>
      <c r="O6715" s="16">
        <f>IF($A6715&lt;Notes!$B$5,"",IF(COUNTIFS(Release_Calendar!$A$2:$A$755,"NZ_LABOUR",Release_Calendar!$B$2:$B$755,$A6715)&gt;0,1,0))</f>
        <v>0</v>
      </c>
      <c r="P6715" s="16">
        <f t="shared" si="4"/>
        <v>0</v>
      </c>
    </row>
    <row r="6716" ht="15.75" customHeight="1">
      <c r="A6716" s="14">
        <v>45926.0</v>
      </c>
      <c r="B6716" s="15">
        <v>3.63</v>
      </c>
      <c r="C6716" s="15">
        <v>2.67</v>
      </c>
      <c r="D6716" s="15"/>
      <c r="E6716" s="15">
        <v>2.75</v>
      </c>
      <c r="F6716" s="15">
        <f t="shared" si="1"/>
        <v>-0.96</v>
      </c>
      <c r="G6716" s="15">
        <f t="shared" si="2"/>
        <v>2.67</v>
      </c>
      <c r="H6716" s="16">
        <v>0.0</v>
      </c>
      <c r="I6716" s="15">
        <f t="shared" si="3"/>
        <v>-0.96</v>
      </c>
      <c r="J6716" s="15">
        <v>15.29</v>
      </c>
      <c r="K6716" s="16">
        <f>IF(COUNTIFS(Release_Calendar!$A$2:$A$755,"US_CPI",Release_Calendar!$B$2:$B$755,$A6716)&gt;0,1,0)</f>
        <v>0</v>
      </c>
      <c r="L6716" s="16">
        <f>IF(COUNTIFS(Release_Calendar!$A$2:$A$755,"US_NFP",Release_Calendar!$B$2:$B$755,$A6716)&gt;0,1,0)</f>
        <v>0</v>
      </c>
      <c r="M6716" s="16">
        <f>IF($A6716&lt;Notes!$B$5,"",IF(COUNTIFS(Release_Calendar!$A$2:$A$755,"NZ_CPI",Release_Calendar!$B$2:$B$755,$A6716)&gt;0,1,0))</f>
        <v>0</v>
      </c>
      <c r="N6716" s="16">
        <f>IF($A6716&lt;Notes!$B$5,"",IF(COUNTIFS(Release_Calendar!$A$2:$A$755,"NZ_GDP",Release_Calendar!$B$2:$B$755,$A6716)&gt;0,1,0))</f>
        <v>0</v>
      </c>
      <c r="O6716" s="16">
        <f>IF($A6716&lt;Notes!$B$5,"",IF(COUNTIFS(Release_Calendar!$A$2:$A$755,"NZ_LABOUR",Release_Calendar!$B$2:$B$755,$A6716)&gt;0,1,0))</f>
        <v>0</v>
      </c>
      <c r="P6716" s="16">
        <f t="shared" si="4"/>
        <v>0</v>
      </c>
    </row>
    <row r="6717" ht="15.75" customHeight="1">
      <c r="A6717" s="14">
        <v>45929.0</v>
      </c>
      <c r="B6717" s="15">
        <v>3.63</v>
      </c>
      <c r="C6717" s="15">
        <v>2.64</v>
      </c>
      <c r="D6717" s="15"/>
      <c r="E6717" s="15">
        <v>2.72</v>
      </c>
      <c r="F6717" s="15">
        <f t="shared" si="1"/>
        <v>-0.99</v>
      </c>
      <c r="G6717" s="15">
        <f t="shared" si="2"/>
        <v>2.64</v>
      </c>
      <c r="H6717" s="16">
        <v>0.0</v>
      </c>
      <c r="I6717" s="15">
        <f t="shared" si="3"/>
        <v>-0.99</v>
      </c>
      <c r="J6717" s="15">
        <v>16.12</v>
      </c>
      <c r="K6717" s="16">
        <f>IF(COUNTIFS(Release_Calendar!$A$2:$A$755,"US_CPI",Release_Calendar!$B$2:$B$755,$A6717)&gt;0,1,0)</f>
        <v>0</v>
      </c>
      <c r="L6717" s="16">
        <f>IF(COUNTIFS(Release_Calendar!$A$2:$A$755,"US_NFP",Release_Calendar!$B$2:$B$755,$A6717)&gt;0,1,0)</f>
        <v>0</v>
      </c>
      <c r="M6717" s="16">
        <f>IF($A6717&lt;Notes!$B$5,"",IF(COUNTIFS(Release_Calendar!$A$2:$A$755,"NZ_CPI",Release_Calendar!$B$2:$B$755,$A6717)&gt;0,1,0))</f>
        <v>0</v>
      </c>
      <c r="N6717" s="16">
        <f>IF($A6717&lt;Notes!$B$5,"",IF(COUNTIFS(Release_Calendar!$A$2:$A$755,"NZ_GDP",Release_Calendar!$B$2:$B$755,$A6717)&gt;0,1,0))</f>
        <v>0</v>
      </c>
      <c r="O6717" s="16">
        <f>IF($A6717&lt;Notes!$B$5,"",IF(COUNTIFS(Release_Calendar!$A$2:$A$755,"NZ_LABOUR",Release_Calendar!$B$2:$B$755,$A6717)&gt;0,1,0))</f>
        <v>0</v>
      </c>
      <c r="P6717" s="16">
        <f t="shared" si="4"/>
        <v>0</v>
      </c>
    </row>
    <row r="6718" ht="15.75" customHeight="1">
      <c r="A6718" s="14">
        <v>45930.0</v>
      </c>
      <c r="B6718" s="15">
        <v>3.6</v>
      </c>
      <c r="C6718" s="15">
        <v>2.63</v>
      </c>
      <c r="D6718" s="15"/>
      <c r="E6718" s="15">
        <v>2.71</v>
      </c>
      <c r="F6718" s="15">
        <f t="shared" si="1"/>
        <v>-0.97</v>
      </c>
      <c r="G6718" s="15">
        <f t="shared" si="2"/>
        <v>2.63</v>
      </c>
      <c r="H6718" s="16">
        <v>0.0</v>
      </c>
      <c r="I6718" s="15">
        <f t="shared" si="3"/>
        <v>-0.97</v>
      </c>
      <c r="J6718" s="15">
        <v>16.28</v>
      </c>
      <c r="K6718" s="16">
        <f>IF(COUNTIFS(Release_Calendar!$A$2:$A$755,"US_CPI",Release_Calendar!$B$2:$B$755,$A6718)&gt;0,1,0)</f>
        <v>0</v>
      </c>
      <c r="L6718" s="16">
        <f>IF(COUNTIFS(Release_Calendar!$A$2:$A$755,"US_NFP",Release_Calendar!$B$2:$B$755,$A6718)&gt;0,1,0)</f>
        <v>0</v>
      </c>
      <c r="M6718" s="16">
        <f>IF($A6718&lt;Notes!$B$5,"",IF(COUNTIFS(Release_Calendar!$A$2:$A$755,"NZ_CPI",Release_Calendar!$B$2:$B$755,$A6718)&gt;0,1,0))</f>
        <v>0</v>
      </c>
      <c r="N6718" s="16">
        <f>IF($A6718&lt;Notes!$B$5,"",IF(COUNTIFS(Release_Calendar!$A$2:$A$755,"NZ_GDP",Release_Calendar!$B$2:$B$755,$A6718)&gt;0,1,0))</f>
        <v>0</v>
      </c>
      <c r="O6718" s="16">
        <f>IF($A6718&lt;Notes!$B$5,"",IF(COUNTIFS(Release_Calendar!$A$2:$A$755,"NZ_LABOUR",Release_Calendar!$B$2:$B$755,$A6718)&gt;0,1,0))</f>
        <v>0</v>
      </c>
      <c r="P6718" s="16">
        <f t="shared" si="4"/>
        <v>0</v>
      </c>
    </row>
    <row r="6719" ht="15.75" customHeight="1">
      <c r="A6719" s="14">
        <v>45931.0</v>
      </c>
      <c r="B6719" s="15">
        <v>3.55</v>
      </c>
      <c r="C6719" s="15">
        <v>2.63</v>
      </c>
      <c r="D6719" s="15"/>
      <c r="E6719" s="15">
        <v>2.72</v>
      </c>
      <c r="F6719" s="15">
        <f t="shared" si="1"/>
        <v>-0.92</v>
      </c>
      <c r="G6719" s="15">
        <f t="shared" si="2"/>
        <v>2.63</v>
      </c>
      <c r="H6719" s="16">
        <v>0.0</v>
      </c>
      <c r="I6719" s="15">
        <f t="shared" si="3"/>
        <v>-0.92</v>
      </c>
      <c r="J6719" s="15">
        <v>16.29</v>
      </c>
      <c r="K6719" s="16">
        <f>IF(COUNTIFS(Release_Calendar!$A$2:$A$755,"US_CPI",Release_Calendar!$B$2:$B$755,$A6719)&gt;0,1,0)</f>
        <v>0</v>
      </c>
      <c r="L6719" s="16">
        <f>IF(COUNTIFS(Release_Calendar!$A$2:$A$755,"US_NFP",Release_Calendar!$B$2:$B$755,$A6719)&gt;0,1,0)</f>
        <v>0</v>
      </c>
      <c r="M6719" s="16">
        <f>IF($A6719&lt;Notes!$B$5,"",IF(COUNTIFS(Release_Calendar!$A$2:$A$755,"NZ_CPI",Release_Calendar!$B$2:$B$755,$A6719)&gt;0,1,0))</f>
        <v>0</v>
      </c>
      <c r="N6719" s="16">
        <f>IF($A6719&lt;Notes!$B$5,"",IF(COUNTIFS(Release_Calendar!$A$2:$A$755,"NZ_GDP",Release_Calendar!$B$2:$B$755,$A6719)&gt;0,1,0))</f>
        <v>0</v>
      </c>
      <c r="O6719" s="16">
        <f>IF($A6719&lt;Notes!$B$5,"",IF(COUNTIFS(Release_Calendar!$A$2:$A$755,"NZ_LABOUR",Release_Calendar!$B$2:$B$755,$A6719)&gt;0,1,0))</f>
        <v>0</v>
      </c>
      <c r="P6719" s="16">
        <f t="shared" si="4"/>
        <v>0</v>
      </c>
    </row>
    <row r="6720" ht="15.75" customHeight="1">
      <c r="A6720" s="14">
        <v>45932.0</v>
      </c>
      <c r="B6720" s="15">
        <v>3.55</v>
      </c>
      <c r="C6720" s="15">
        <v>2.63</v>
      </c>
      <c r="D6720" s="15"/>
      <c r="E6720" s="15">
        <v>2.71</v>
      </c>
      <c r="F6720" s="15">
        <f t="shared" si="1"/>
        <v>-0.92</v>
      </c>
      <c r="G6720" s="15">
        <f t="shared" si="2"/>
        <v>2.63</v>
      </c>
      <c r="H6720" s="16">
        <v>0.0</v>
      </c>
      <c r="I6720" s="15">
        <f t="shared" si="3"/>
        <v>-0.92</v>
      </c>
      <c r="J6720" s="15">
        <v>16.63</v>
      </c>
      <c r="K6720" s="16">
        <f>IF(COUNTIFS(Release_Calendar!$A$2:$A$755,"US_CPI",Release_Calendar!$B$2:$B$755,$A6720)&gt;0,1,0)</f>
        <v>0</v>
      </c>
      <c r="L6720" s="16">
        <f>IF(COUNTIFS(Release_Calendar!$A$2:$A$755,"US_NFP",Release_Calendar!$B$2:$B$755,$A6720)&gt;0,1,0)</f>
        <v>0</v>
      </c>
      <c r="M6720" s="16">
        <f>IF($A6720&lt;Notes!$B$5,"",IF(COUNTIFS(Release_Calendar!$A$2:$A$755,"NZ_CPI",Release_Calendar!$B$2:$B$755,$A6720)&gt;0,1,0))</f>
        <v>0</v>
      </c>
      <c r="N6720" s="16">
        <f>IF($A6720&lt;Notes!$B$5,"",IF(COUNTIFS(Release_Calendar!$A$2:$A$755,"NZ_GDP",Release_Calendar!$B$2:$B$755,$A6720)&gt;0,1,0))</f>
        <v>0</v>
      </c>
      <c r="O6720" s="16">
        <f>IF($A6720&lt;Notes!$B$5,"",IF(COUNTIFS(Release_Calendar!$A$2:$A$755,"NZ_LABOUR",Release_Calendar!$B$2:$B$755,$A6720)&gt;0,1,0))</f>
        <v>0</v>
      </c>
      <c r="P6720" s="16">
        <f t="shared" si="4"/>
        <v>0</v>
      </c>
    </row>
    <row r="6721" ht="15.75" customHeight="1">
      <c r="A6721" s="14">
        <v>45933.0</v>
      </c>
      <c r="B6721" s="15">
        <v>3.58</v>
      </c>
      <c r="C6721" s="15">
        <v>2.63</v>
      </c>
      <c r="D6721" s="15"/>
      <c r="E6721" s="15">
        <v>2.73</v>
      </c>
      <c r="F6721" s="15">
        <f t="shared" si="1"/>
        <v>-0.95</v>
      </c>
      <c r="G6721" s="15">
        <f t="shared" si="2"/>
        <v>2.63</v>
      </c>
      <c r="H6721" s="16">
        <v>0.0</v>
      </c>
      <c r="I6721" s="15">
        <f t="shared" si="3"/>
        <v>-0.95</v>
      </c>
      <c r="J6721" s="15">
        <v>16.65</v>
      </c>
      <c r="K6721" s="16">
        <f>IF(COUNTIFS(Release_Calendar!$A$2:$A$755,"US_CPI",Release_Calendar!$B$2:$B$755,$A6721)&gt;0,1,0)</f>
        <v>0</v>
      </c>
      <c r="L6721" s="16">
        <f>IF(COUNTIFS(Release_Calendar!$A$2:$A$755,"US_NFP",Release_Calendar!$B$2:$B$755,$A6721)&gt;0,1,0)</f>
        <v>0</v>
      </c>
      <c r="M6721" s="16">
        <f>IF($A6721&lt;Notes!$B$5,"",IF(COUNTIFS(Release_Calendar!$A$2:$A$755,"NZ_CPI",Release_Calendar!$B$2:$B$755,$A6721)&gt;0,1,0))</f>
        <v>0</v>
      </c>
      <c r="N6721" s="16">
        <f>IF($A6721&lt;Notes!$B$5,"",IF(COUNTIFS(Release_Calendar!$A$2:$A$755,"NZ_GDP",Release_Calendar!$B$2:$B$755,$A6721)&gt;0,1,0))</f>
        <v>0</v>
      </c>
      <c r="O6721" s="16">
        <f>IF($A6721&lt;Notes!$B$5,"",IF(COUNTIFS(Release_Calendar!$A$2:$A$755,"NZ_LABOUR",Release_Calendar!$B$2:$B$755,$A6721)&gt;0,1,0))</f>
        <v>0</v>
      </c>
      <c r="P6721" s="16">
        <f t="shared" si="4"/>
        <v>0</v>
      </c>
    </row>
    <row r="6722" ht="15.75" customHeight="1">
      <c r="A6722" s="14">
        <v>45936.0</v>
      </c>
      <c r="B6722" s="15">
        <v>3.6</v>
      </c>
      <c r="C6722" s="15">
        <v>2.64</v>
      </c>
      <c r="D6722" s="15"/>
      <c r="E6722" s="15">
        <v>2.73</v>
      </c>
      <c r="F6722" s="15">
        <f t="shared" si="1"/>
        <v>-0.96</v>
      </c>
      <c r="G6722" s="15">
        <f t="shared" si="2"/>
        <v>2.64</v>
      </c>
      <c r="H6722" s="16">
        <v>0.0</v>
      </c>
      <c r="I6722" s="15">
        <f t="shared" si="3"/>
        <v>-0.96</v>
      </c>
      <c r="J6722" s="15">
        <v>16.37</v>
      </c>
      <c r="K6722" s="16">
        <f>IF(COUNTIFS(Release_Calendar!$A$2:$A$755,"US_CPI",Release_Calendar!$B$2:$B$755,$A6722)&gt;0,1,0)</f>
        <v>0</v>
      </c>
      <c r="L6722" s="16">
        <f>IF(COUNTIFS(Release_Calendar!$A$2:$A$755,"US_NFP",Release_Calendar!$B$2:$B$755,$A6722)&gt;0,1,0)</f>
        <v>0</v>
      </c>
      <c r="M6722" s="16">
        <f>IF($A6722&lt;Notes!$B$5,"",IF(COUNTIFS(Release_Calendar!$A$2:$A$755,"NZ_CPI",Release_Calendar!$B$2:$B$755,$A6722)&gt;0,1,0))</f>
        <v>0</v>
      </c>
      <c r="N6722" s="16">
        <f>IF($A6722&lt;Notes!$B$5,"",IF(COUNTIFS(Release_Calendar!$A$2:$A$755,"NZ_GDP",Release_Calendar!$B$2:$B$755,$A6722)&gt;0,1,0))</f>
        <v>0</v>
      </c>
      <c r="O6722" s="16">
        <f>IF($A6722&lt;Notes!$B$5,"",IF(COUNTIFS(Release_Calendar!$A$2:$A$755,"NZ_LABOUR",Release_Calendar!$B$2:$B$755,$A6722)&gt;0,1,0))</f>
        <v>0</v>
      </c>
      <c r="P6722" s="16">
        <f t="shared" si="4"/>
        <v>0</v>
      </c>
    </row>
    <row r="6723" ht="15.75" customHeight="1">
      <c r="A6723" s="14">
        <v>45937.0</v>
      </c>
      <c r="B6723" s="15">
        <v>3.57</v>
      </c>
      <c r="C6723" s="15">
        <v>2.62</v>
      </c>
      <c r="D6723" s="15"/>
      <c r="E6723" s="15">
        <v>2.71</v>
      </c>
      <c r="F6723" s="15">
        <f t="shared" si="1"/>
        <v>-0.95</v>
      </c>
      <c r="G6723" s="15">
        <f t="shared" si="2"/>
        <v>2.62</v>
      </c>
      <c r="H6723" s="16">
        <v>0.0</v>
      </c>
      <c r="I6723" s="15">
        <f t="shared" si="3"/>
        <v>-0.95</v>
      </c>
      <c r="J6723" s="15">
        <v>17.24</v>
      </c>
      <c r="K6723" s="16">
        <f>IF(COUNTIFS(Release_Calendar!$A$2:$A$755,"US_CPI",Release_Calendar!$B$2:$B$755,$A6723)&gt;0,1,0)</f>
        <v>0</v>
      </c>
      <c r="L6723" s="16">
        <f>IF(COUNTIFS(Release_Calendar!$A$2:$A$755,"US_NFP",Release_Calendar!$B$2:$B$755,$A6723)&gt;0,1,0)</f>
        <v>0</v>
      </c>
      <c r="M6723" s="16">
        <f>IF($A6723&lt;Notes!$B$5,"",IF(COUNTIFS(Release_Calendar!$A$2:$A$755,"NZ_CPI",Release_Calendar!$B$2:$B$755,$A6723)&gt;0,1,0))</f>
        <v>0</v>
      </c>
      <c r="N6723" s="16">
        <f>IF($A6723&lt;Notes!$B$5,"",IF(COUNTIFS(Release_Calendar!$A$2:$A$755,"NZ_GDP",Release_Calendar!$B$2:$B$755,$A6723)&gt;0,1,0))</f>
        <v>0</v>
      </c>
      <c r="O6723" s="16">
        <f>IF($A6723&lt;Notes!$B$5,"",IF(COUNTIFS(Release_Calendar!$A$2:$A$755,"NZ_LABOUR",Release_Calendar!$B$2:$B$755,$A6723)&gt;0,1,0))</f>
        <v>0</v>
      </c>
      <c r="P6723" s="16">
        <f t="shared" si="4"/>
        <v>0</v>
      </c>
    </row>
    <row r="6724" ht="15.75" customHeight="1">
      <c r="A6724" s="14">
        <v>45938.0</v>
      </c>
      <c r="B6724" s="15">
        <v>3.58</v>
      </c>
      <c r="C6724" s="15">
        <v>2.56</v>
      </c>
      <c r="D6724" s="15"/>
      <c r="E6724" s="15">
        <v>2.64</v>
      </c>
      <c r="F6724" s="15">
        <f t="shared" si="1"/>
        <v>-1.02</v>
      </c>
      <c r="G6724" s="15">
        <f t="shared" si="2"/>
        <v>2.56</v>
      </c>
      <c r="H6724" s="16">
        <v>0.0</v>
      </c>
      <c r="I6724" s="15">
        <f t="shared" si="3"/>
        <v>-1.02</v>
      </c>
      <c r="J6724" s="15">
        <v>16.3</v>
      </c>
      <c r="K6724" s="16">
        <f>IF(COUNTIFS(Release_Calendar!$A$2:$A$755,"US_CPI",Release_Calendar!$B$2:$B$755,$A6724)&gt;0,1,0)</f>
        <v>0</v>
      </c>
      <c r="L6724" s="16">
        <f>IF(COUNTIFS(Release_Calendar!$A$2:$A$755,"US_NFP",Release_Calendar!$B$2:$B$755,$A6724)&gt;0,1,0)</f>
        <v>0</v>
      </c>
      <c r="M6724" s="16">
        <f>IF($A6724&lt;Notes!$B$5,"",IF(COUNTIFS(Release_Calendar!$A$2:$A$755,"NZ_CPI",Release_Calendar!$B$2:$B$755,$A6724)&gt;0,1,0))</f>
        <v>0</v>
      </c>
      <c r="N6724" s="16">
        <f>IF($A6724&lt;Notes!$B$5,"",IF(COUNTIFS(Release_Calendar!$A$2:$A$755,"NZ_GDP",Release_Calendar!$B$2:$B$755,$A6724)&gt;0,1,0))</f>
        <v>0</v>
      </c>
      <c r="O6724" s="16">
        <f>IF($A6724&lt;Notes!$B$5,"",IF(COUNTIFS(Release_Calendar!$A$2:$A$755,"NZ_LABOUR",Release_Calendar!$B$2:$B$755,$A6724)&gt;0,1,0))</f>
        <v>0</v>
      </c>
      <c r="P6724" s="16">
        <f t="shared" si="4"/>
        <v>0</v>
      </c>
    </row>
    <row r="6725" ht="15.75" customHeight="1">
      <c r="A6725" s="14">
        <v>45939.0</v>
      </c>
      <c r="B6725" s="15">
        <v>3.6</v>
      </c>
      <c r="C6725" s="15">
        <v>2.55</v>
      </c>
      <c r="D6725" s="15"/>
      <c r="E6725" s="15">
        <v>2.62</v>
      </c>
      <c r="F6725" s="15">
        <f t="shared" si="1"/>
        <v>-1.05</v>
      </c>
      <c r="G6725" s="15">
        <f t="shared" si="2"/>
        <v>2.55</v>
      </c>
      <c r="H6725" s="16">
        <v>0.0</v>
      </c>
      <c r="I6725" s="15">
        <f t="shared" si="3"/>
        <v>-1.05</v>
      </c>
      <c r="J6725" s="15">
        <v>16.43</v>
      </c>
      <c r="K6725" s="16">
        <f>IF(COUNTIFS(Release_Calendar!$A$2:$A$755,"US_CPI",Release_Calendar!$B$2:$B$755,$A6725)&gt;0,1,0)</f>
        <v>0</v>
      </c>
      <c r="L6725" s="16">
        <f>IF(COUNTIFS(Release_Calendar!$A$2:$A$755,"US_NFP",Release_Calendar!$B$2:$B$755,$A6725)&gt;0,1,0)</f>
        <v>0</v>
      </c>
      <c r="M6725" s="16">
        <f>IF($A6725&lt;Notes!$B$5,"",IF(COUNTIFS(Release_Calendar!$A$2:$A$755,"NZ_CPI",Release_Calendar!$B$2:$B$755,$A6725)&gt;0,1,0))</f>
        <v>0</v>
      </c>
      <c r="N6725" s="16">
        <f>IF($A6725&lt;Notes!$B$5,"",IF(COUNTIFS(Release_Calendar!$A$2:$A$755,"NZ_GDP",Release_Calendar!$B$2:$B$755,$A6725)&gt;0,1,0))</f>
        <v>0</v>
      </c>
      <c r="O6725" s="16">
        <f>IF($A6725&lt;Notes!$B$5,"",IF(COUNTIFS(Release_Calendar!$A$2:$A$755,"NZ_LABOUR",Release_Calendar!$B$2:$B$755,$A6725)&gt;0,1,0))</f>
        <v>0</v>
      </c>
      <c r="P6725" s="16">
        <f t="shared" si="4"/>
        <v>0</v>
      </c>
    </row>
    <row r="6726" ht="15.75" customHeight="1">
      <c r="A6726" s="14">
        <v>45940.0</v>
      </c>
      <c r="B6726" s="15">
        <v>3.52</v>
      </c>
      <c r="C6726" s="15">
        <v>2.57</v>
      </c>
      <c r="D6726" s="15"/>
      <c r="E6726" s="15">
        <v>2.64</v>
      </c>
      <c r="F6726" s="15">
        <f t="shared" si="1"/>
        <v>-0.95</v>
      </c>
      <c r="G6726" s="15">
        <f t="shared" si="2"/>
        <v>2.57</v>
      </c>
      <c r="H6726" s="16">
        <v>0.0</v>
      </c>
      <c r="I6726" s="15">
        <f t="shared" si="3"/>
        <v>-0.95</v>
      </c>
      <c r="J6726" s="15">
        <v>21.66</v>
      </c>
      <c r="K6726" s="16">
        <f>IF(COUNTIFS(Release_Calendar!$A$2:$A$755,"US_CPI",Release_Calendar!$B$2:$B$755,$A6726)&gt;0,1,0)</f>
        <v>0</v>
      </c>
      <c r="L6726" s="16">
        <f>IF(COUNTIFS(Release_Calendar!$A$2:$A$755,"US_NFP",Release_Calendar!$B$2:$B$755,$A6726)&gt;0,1,0)</f>
        <v>0</v>
      </c>
      <c r="M6726" s="16">
        <f>IF($A6726&lt;Notes!$B$5,"",IF(COUNTIFS(Release_Calendar!$A$2:$A$755,"NZ_CPI",Release_Calendar!$B$2:$B$755,$A6726)&gt;0,1,0))</f>
        <v>0</v>
      </c>
      <c r="N6726" s="16">
        <f>IF($A6726&lt;Notes!$B$5,"",IF(COUNTIFS(Release_Calendar!$A$2:$A$755,"NZ_GDP",Release_Calendar!$B$2:$B$755,$A6726)&gt;0,1,0))</f>
        <v>0</v>
      </c>
      <c r="O6726" s="16">
        <f>IF($A6726&lt;Notes!$B$5,"",IF(COUNTIFS(Release_Calendar!$A$2:$A$755,"NZ_LABOUR",Release_Calendar!$B$2:$B$755,$A6726)&gt;0,1,0))</f>
        <v>0</v>
      </c>
      <c r="P6726" s="16">
        <f t="shared" si="4"/>
        <v>0</v>
      </c>
    </row>
    <row r="6727" ht="15.75" customHeight="1">
      <c r="A6727" s="14">
        <v>45943.0</v>
      </c>
      <c r="B6727" s="15"/>
      <c r="C6727" s="15">
        <v>2.55</v>
      </c>
      <c r="D6727" s="15"/>
      <c r="E6727" s="15">
        <v>2.62</v>
      </c>
      <c r="F6727" s="15" t="str">
        <f t="shared" si="1"/>
        <v/>
      </c>
      <c r="G6727" s="15">
        <f t="shared" si="2"/>
        <v>2.55</v>
      </c>
      <c r="H6727" s="16">
        <v>0.0</v>
      </c>
      <c r="I6727" s="15" t="str">
        <f t="shared" si="3"/>
        <v/>
      </c>
      <c r="J6727" s="15">
        <v>19.03</v>
      </c>
      <c r="K6727" s="16">
        <f>IF(COUNTIFS(Release_Calendar!$A$2:$A$755,"US_CPI",Release_Calendar!$B$2:$B$755,$A6727)&gt;0,1,0)</f>
        <v>0</v>
      </c>
      <c r="L6727" s="16">
        <f>IF(COUNTIFS(Release_Calendar!$A$2:$A$755,"US_NFP",Release_Calendar!$B$2:$B$755,$A6727)&gt;0,1,0)</f>
        <v>0</v>
      </c>
      <c r="M6727" s="16">
        <f>IF($A6727&lt;Notes!$B$5,"",IF(COUNTIFS(Release_Calendar!$A$2:$A$755,"NZ_CPI",Release_Calendar!$B$2:$B$755,$A6727)&gt;0,1,0))</f>
        <v>0</v>
      </c>
      <c r="N6727" s="16">
        <f>IF($A6727&lt;Notes!$B$5,"",IF(COUNTIFS(Release_Calendar!$A$2:$A$755,"NZ_GDP",Release_Calendar!$B$2:$B$755,$A6727)&gt;0,1,0))</f>
        <v>0</v>
      </c>
      <c r="O6727" s="16">
        <f>IF($A6727&lt;Notes!$B$5,"",IF(COUNTIFS(Release_Calendar!$A$2:$A$755,"NZ_LABOUR",Release_Calendar!$B$2:$B$755,$A6727)&gt;0,1,0))</f>
        <v>0</v>
      </c>
      <c r="P6727" s="16">
        <f t="shared" si="4"/>
        <v>0</v>
      </c>
    </row>
    <row r="6728" ht="15.75" customHeight="1">
      <c r="A6728" s="14">
        <v>45944.0</v>
      </c>
      <c r="B6728" s="15">
        <v>3.48</v>
      </c>
      <c r="C6728" s="15">
        <v>2.54</v>
      </c>
      <c r="D6728" s="15"/>
      <c r="E6728" s="15">
        <v>2.62</v>
      </c>
      <c r="F6728" s="15">
        <f t="shared" si="1"/>
        <v>-0.94</v>
      </c>
      <c r="G6728" s="15">
        <f t="shared" si="2"/>
        <v>2.54</v>
      </c>
      <c r="H6728" s="16">
        <v>0.0</v>
      </c>
      <c r="I6728" s="15">
        <f t="shared" si="3"/>
        <v>-0.94</v>
      </c>
      <c r="J6728" s="15">
        <v>20.81</v>
      </c>
      <c r="K6728" s="16">
        <f>IF(COUNTIFS(Release_Calendar!$A$2:$A$755,"US_CPI",Release_Calendar!$B$2:$B$755,$A6728)&gt;0,1,0)</f>
        <v>0</v>
      </c>
      <c r="L6728" s="16">
        <f>IF(COUNTIFS(Release_Calendar!$A$2:$A$755,"US_NFP",Release_Calendar!$B$2:$B$755,$A6728)&gt;0,1,0)</f>
        <v>0</v>
      </c>
      <c r="M6728" s="16">
        <f>IF($A6728&lt;Notes!$B$5,"",IF(COUNTIFS(Release_Calendar!$A$2:$A$755,"NZ_CPI",Release_Calendar!$B$2:$B$755,$A6728)&gt;0,1,0))</f>
        <v>0</v>
      </c>
      <c r="N6728" s="16">
        <f>IF($A6728&lt;Notes!$B$5,"",IF(COUNTIFS(Release_Calendar!$A$2:$A$755,"NZ_GDP",Release_Calendar!$B$2:$B$755,$A6728)&gt;0,1,0))</f>
        <v>0</v>
      </c>
      <c r="O6728" s="16">
        <f>IF($A6728&lt;Notes!$B$5,"",IF(COUNTIFS(Release_Calendar!$A$2:$A$755,"NZ_LABOUR",Release_Calendar!$B$2:$B$755,$A6728)&gt;0,1,0))</f>
        <v>0</v>
      </c>
      <c r="P6728" s="16">
        <f t="shared" si="4"/>
        <v>0</v>
      </c>
    </row>
    <row r="6729" ht="15.75" customHeight="1">
      <c r="A6729" s="14">
        <v>45945.0</v>
      </c>
      <c r="B6729" s="15">
        <v>3.5</v>
      </c>
      <c r="C6729" s="15">
        <v>2.49</v>
      </c>
      <c r="D6729" s="15"/>
      <c r="E6729" s="15">
        <v>2.57</v>
      </c>
      <c r="F6729" s="15">
        <f t="shared" si="1"/>
        <v>-1.01</v>
      </c>
      <c r="G6729" s="15">
        <f t="shared" si="2"/>
        <v>2.49</v>
      </c>
      <c r="H6729" s="16">
        <v>0.0</v>
      </c>
      <c r="I6729" s="15">
        <f t="shared" si="3"/>
        <v>-1.01</v>
      </c>
      <c r="J6729" s="15">
        <v>20.64</v>
      </c>
      <c r="K6729" s="16">
        <f>IF(COUNTIFS(Release_Calendar!$A$2:$A$755,"US_CPI",Release_Calendar!$B$2:$B$755,$A6729)&gt;0,1,0)</f>
        <v>0</v>
      </c>
      <c r="L6729" s="16">
        <f>IF(COUNTIFS(Release_Calendar!$A$2:$A$755,"US_NFP",Release_Calendar!$B$2:$B$755,$A6729)&gt;0,1,0)</f>
        <v>0</v>
      </c>
      <c r="M6729" s="16">
        <f>IF($A6729&lt;Notes!$B$5,"",IF(COUNTIFS(Release_Calendar!$A$2:$A$755,"NZ_CPI",Release_Calendar!$B$2:$B$755,$A6729)&gt;0,1,0))</f>
        <v>0</v>
      </c>
      <c r="N6729" s="16">
        <f>IF($A6729&lt;Notes!$B$5,"",IF(COUNTIFS(Release_Calendar!$A$2:$A$755,"NZ_GDP",Release_Calendar!$B$2:$B$755,$A6729)&gt;0,1,0))</f>
        <v>0</v>
      </c>
      <c r="O6729" s="16">
        <f>IF($A6729&lt;Notes!$B$5,"",IF(COUNTIFS(Release_Calendar!$A$2:$A$755,"NZ_LABOUR",Release_Calendar!$B$2:$B$755,$A6729)&gt;0,1,0))</f>
        <v>0</v>
      </c>
      <c r="P6729" s="16">
        <f t="shared" si="4"/>
        <v>0</v>
      </c>
    </row>
    <row r="6730" ht="15.75" customHeight="1">
      <c r="A6730" s="14">
        <v>45946.0</v>
      </c>
      <c r="B6730" s="15">
        <v>3.41</v>
      </c>
      <c r="C6730" s="15">
        <v>2.48</v>
      </c>
      <c r="D6730" s="15"/>
      <c r="E6730" s="15">
        <v>2.56</v>
      </c>
      <c r="F6730" s="15">
        <f t="shared" si="1"/>
        <v>-0.93</v>
      </c>
      <c r="G6730" s="15">
        <f t="shared" si="2"/>
        <v>2.48</v>
      </c>
      <c r="H6730" s="16">
        <v>0.0</v>
      </c>
      <c r="I6730" s="15">
        <f t="shared" si="3"/>
        <v>-0.93</v>
      </c>
      <c r="J6730" s="15">
        <v>25.31</v>
      </c>
      <c r="K6730" s="16">
        <f>IF(COUNTIFS(Release_Calendar!$A$2:$A$755,"US_CPI",Release_Calendar!$B$2:$B$755,$A6730)&gt;0,1,0)</f>
        <v>0</v>
      </c>
      <c r="L6730" s="16">
        <f>IF(COUNTIFS(Release_Calendar!$A$2:$A$755,"US_NFP",Release_Calendar!$B$2:$B$755,$A6730)&gt;0,1,0)</f>
        <v>0</v>
      </c>
      <c r="M6730" s="16">
        <f>IF($A6730&lt;Notes!$B$5,"",IF(COUNTIFS(Release_Calendar!$A$2:$A$755,"NZ_CPI",Release_Calendar!$B$2:$B$755,$A6730)&gt;0,1,0))</f>
        <v>0</v>
      </c>
      <c r="N6730" s="16">
        <f>IF($A6730&lt;Notes!$B$5,"",IF(COUNTIFS(Release_Calendar!$A$2:$A$755,"NZ_GDP",Release_Calendar!$B$2:$B$755,$A6730)&gt;0,1,0))</f>
        <v>0</v>
      </c>
      <c r="O6730" s="16">
        <f>IF($A6730&lt;Notes!$B$5,"",IF(COUNTIFS(Release_Calendar!$A$2:$A$755,"NZ_LABOUR",Release_Calendar!$B$2:$B$755,$A6730)&gt;0,1,0))</f>
        <v>0</v>
      </c>
      <c r="P6730" s="16">
        <f t="shared" si="4"/>
        <v>0</v>
      </c>
    </row>
    <row r="6731" ht="15.75" customHeight="1">
      <c r="A6731" s="14">
        <v>45947.0</v>
      </c>
      <c r="B6731" s="15">
        <v>3.46</v>
      </c>
      <c r="C6731" s="15">
        <v>2.44</v>
      </c>
      <c r="D6731" s="15"/>
      <c r="E6731" s="15">
        <v>2.53</v>
      </c>
      <c r="F6731" s="15">
        <f t="shared" si="1"/>
        <v>-1.02</v>
      </c>
      <c r="G6731" s="15">
        <f t="shared" si="2"/>
        <v>2.44</v>
      </c>
      <c r="H6731" s="16">
        <v>0.0</v>
      </c>
      <c r="I6731" s="15">
        <f t="shared" si="3"/>
        <v>-1.02</v>
      </c>
      <c r="J6731" s="15">
        <v>20.78</v>
      </c>
      <c r="K6731" s="16">
        <f>IF(COUNTIFS(Release_Calendar!$A$2:$A$755,"US_CPI",Release_Calendar!$B$2:$B$755,$A6731)&gt;0,1,0)</f>
        <v>0</v>
      </c>
      <c r="L6731" s="16">
        <f>IF(COUNTIFS(Release_Calendar!$A$2:$A$755,"US_NFP",Release_Calendar!$B$2:$B$755,$A6731)&gt;0,1,0)</f>
        <v>0</v>
      </c>
      <c r="M6731" s="16">
        <f>IF($A6731&lt;Notes!$B$5,"",IF(COUNTIFS(Release_Calendar!$A$2:$A$755,"NZ_CPI",Release_Calendar!$B$2:$B$755,$A6731)&gt;0,1,0))</f>
        <v>0</v>
      </c>
      <c r="N6731" s="16">
        <f>IF($A6731&lt;Notes!$B$5,"",IF(COUNTIFS(Release_Calendar!$A$2:$A$755,"NZ_GDP",Release_Calendar!$B$2:$B$755,$A6731)&gt;0,1,0))</f>
        <v>0</v>
      </c>
      <c r="O6731" s="16">
        <f>IF($A6731&lt;Notes!$B$5,"",IF(COUNTIFS(Release_Calendar!$A$2:$A$755,"NZ_LABOUR",Release_Calendar!$B$2:$B$755,$A6731)&gt;0,1,0))</f>
        <v>0</v>
      </c>
      <c r="P6731" s="16">
        <f t="shared" si="4"/>
        <v>0</v>
      </c>
    </row>
    <row r="6732" ht="15.75" customHeight="1">
      <c r="A6732" s="14">
        <v>45950.0</v>
      </c>
      <c r="B6732" s="15">
        <v>3.46</v>
      </c>
      <c r="C6732" s="15">
        <v>2.46</v>
      </c>
      <c r="D6732" s="15"/>
      <c r="E6732" s="15">
        <v>2.55</v>
      </c>
      <c r="F6732" s="15">
        <f t="shared" si="1"/>
        <v>-1</v>
      </c>
      <c r="G6732" s="15">
        <f t="shared" si="2"/>
        <v>2.46</v>
      </c>
      <c r="H6732" s="16">
        <v>0.0</v>
      </c>
      <c r="I6732" s="15">
        <f t="shared" si="3"/>
        <v>-1</v>
      </c>
      <c r="J6732" s="15">
        <v>18.23</v>
      </c>
      <c r="K6732" s="16">
        <f>IF(COUNTIFS(Release_Calendar!$A$2:$A$755,"US_CPI",Release_Calendar!$B$2:$B$755,$A6732)&gt;0,1,0)</f>
        <v>0</v>
      </c>
      <c r="L6732" s="16">
        <f>IF(COUNTIFS(Release_Calendar!$A$2:$A$755,"US_NFP",Release_Calendar!$B$2:$B$755,$A6732)&gt;0,1,0)</f>
        <v>0</v>
      </c>
      <c r="M6732" s="16">
        <f>IF($A6732&lt;Notes!$B$5,"",IF(COUNTIFS(Release_Calendar!$A$2:$A$755,"NZ_CPI",Release_Calendar!$B$2:$B$755,$A6732)&gt;0,1,0))</f>
        <v>1</v>
      </c>
      <c r="N6732" s="16">
        <f>IF($A6732&lt;Notes!$B$5,"",IF(COUNTIFS(Release_Calendar!$A$2:$A$755,"NZ_GDP",Release_Calendar!$B$2:$B$755,$A6732)&gt;0,1,0))</f>
        <v>0</v>
      </c>
      <c r="O6732" s="16">
        <f>IF($A6732&lt;Notes!$B$5,"",IF(COUNTIFS(Release_Calendar!$A$2:$A$755,"NZ_LABOUR",Release_Calendar!$B$2:$B$755,$A6732)&gt;0,1,0))</f>
        <v>0</v>
      </c>
      <c r="P6732" s="16">
        <f t="shared" si="4"/>
        <v>1</v>
      </c>
    </row>
    <row r="6733" ht="15.75" customHeight="1">
      <c r="A6733" s="14">
        <v>45951.0</v>
      </c>
      <c r="B6733" s="15">
        <v>3.45</v>
      </c>
      <c r="C6733" s="15">
        <v>2.46</v>
      </c>
      <c r="D6733" s="15"/>
      <c r="E6733" s="15">
        <v>2.51</v>
      </c>
      <c r="F6733" s="15">
        <f t="shared" si="1"/>
        <v>-0.99</v>
      </c>
      <c r="G6733" s="15">
        <f t="shared" si="2"/>
        <v>2.46</v>
      </c>
      <c r="H6733" s="16">
        <v>0.0</v>
      </c>
      <c r="I6733" s="15">
        <f t="shared" si="3"/>
        <v>-0.99</v>
      </c>
      <c r="J6733" s="15">
        <v>17.87</v>
      </c>
      <c r="K6733" s="16">
        <f>IF(COUNTIFS(Release_Calendar!$A$2:$A$755,"US_CPI",Release_Calendar!$B$2:$B$755,$A6733)&gt;0,1,0)</f>
        <v>0</v>
      </c>
      <c r="L6733" s="16">
        <f>IF(COUNTIFS(Release_Calendar!$A$2:$A$755,"US_NFP",Release_Calendar!$B$2:$B$755,$A6733)&gt;0,1,0)</f>
        <v>0</v>
      </c>
      <c r="M6733" s="16">
        <f>IF($A6733&lt;Notes!$B$5,"",IF(COUNTIFS(Release_Calendar!$A$2:$A$755,"NZ_CPI",Release_Calendar!$B$2:$B$755,$A6733)&gt;0,1,0))</f>
        <v>0</v>
      </c>
      <c r="N6733" s="16">
        <f>IF($A6733&lt;Notes!$B$5,"",IF(COUNTIFS(Release_Calendar!$A$2:$A$755,"NZ_GDP",Release_Calendar!$B$2:$B$755,$A6733)&gt;0,1,0))</f>
        <v>0</v>
      </c>
      <c r="O6733" s="16">
        <f>IF($A6733&lt;Notes!$B$5,"",IF(COUNTIFS(Release_Calendar!$A$2:$A$755,"NZ_LABOUR",Release_Calendar!$B$2:$B$755,$A6733)&gt;0,1,0))</f>
        <v>0</v>
      </c>
      <c r="P6733" s="16">
        <f t="shared" si="4"/>
        <v>0</v>
      </c>
    </row>
    <row r="6734" ht="15.75" customHeight="1">
      <c r="A6734" s="14">
        <v>45952.0</v>
      </c>
      <c r="B6734" s="15">
        <v>3.45</v>
      </c>
      <c r="C6734" s="15">
        <v>2.46</v>
      </c>
      <c r="D6734" s="15"/>
      <c r="E6734" s="15">
        <v>2.53</v>
      </c>
      <c r="F6734" s="15">
        <f t="shared" si="1"/>
        <v>-0.99</v>
      </c>
      <c r="G6734" s="15">
        <f t="shared" si="2"/>
        <v>2.46</v>
      </c>
      <c r="H6734" s="16">
        <v>0.0</v>
      </c>
      <c r="I6734" s="15">
        <f t="shared" si="3"/>
        <v>-0.99</v>
      </c>
      <c r="J6734" s="15">
        <v>18.6</v>
      </c>
      <c r="K6734" s="16">
        <f>IF(COUNTIFS(Release_Calendar!$A$2:$A$755,"US_CPI",Release_Calendar!$B$2:$B$755,$A6734)&gt;0,1,0)</f>
        <v>0</v>
      </c>
      <c r="L6734" s="16">
        <f>IF(COUNTIFS(Release_Calendar!$A$2:$A$755,"US_NFP",Release_Calendar!$B$2:$B$755,$A6734)&gt;0,1,0)</f>
        <v>0</v>
      </c>
      <c r="M6734" s="16">
        <f>IF($A6734&lt;Notes!$B$5,"",IF(COUNTIFS(Release_Calendar!$A$2:$A$755,"NZ_CPI",Release_Calendar!$B$2:$B$755,$A6734)&gt;0,1,0))</f>
        <v>0</v>
      </c>
      <c r="N6734" s="16">
        <f>IF($A6734&lt;Notes!$B$5,"",IF(COUNTIFS(Release_Calendar!$A$2:$A$755,"NZ_GDP",Release_Calendar!$B$2:$B$755,$A6734)&gt;0,1,0))</f>
        <v>0</v>
      </c>
      <c r="O6734" s="16">
        <f>IF($A6734&lt;Notes!$B$5,"",IF(COUNTIFS(Release_Calendar!$A$2:$A$755,"NZ_LABOUR",Release_Calendar!$B$2:$B$755,$A6734)&gt;0,1,0))</f>
        <v>0</v>
      </c>
      <c r="P6734" s="16">
        <f t="shared" si="4"/>
        <v>0</v>
      </c>
    </row>
    <row r="6735" ht="15.75" customHeight="1">
      <c r="A6735" s="14">
        <v>45953.0</v>
      </c>
      <c r="B6735" s="15">
        <v>3.48</v>
      </c>
      <c r="C6735" s="15">
        <v>2.47</v>
      </c>
      <c r="D6735" s="15"/>
      <c r="E6735" s="15">
        <v>2.53</v>
      </c>
      <c r="F6735" s="15">
        <f t="shared" si="1"/>
        <v>-1.01</v>
      </c>
      <c r="G6735" s="15">
        <f t="shared" si="2"/>
        <v>2.47</v>
      </c>
      <c r="H6735" s="16">
        <v>0.0</v>
      </c>
      <c r="I6735" s="15">
        <f t="shared" si="3"/>
        <v>-1.01</v>
      </c>
      <c r="J6735" s="15">
        <v>17.3</v>
      </c>
      <c r="K6735" s="16">
        <f>IF(COUNTIFS(Release_Calendar!$A$2:$A$755,"US_CPI",Release_Calendar!$B$2:$B$755,$A6735)&gt;0,1,0)</f>
        <v>0</v>
      </c>
      <c r="L6735" s="16">
        <f>IF(COUNTIFS(Release_Calendar!$A$2:$A$755,"US_NFP",Release_Calendar!$B$2:$B$755,$A6735)&gt;0,1,0)</f>
        <v>0</v>
      </c>
      <c r="M6735" s="16">
        <f>IF($A6735&lt;Notes!$B$5,"",IF(COUNTIFS(Release_Calendar!$A$2:$A$755,"NZ_CPI",Release_Calendar!$B$2:$B$755,$A6735)&gt;0,1,0))</f>
        <v>0</v>
      </c>
      <c r="N6735" s="16">
        <f>IF($A6735&lt;Notes!$B$5,"",IF(COUNTIFS(Release_Calendar!$A$2:$A$755,"NZ_GDP",Release_Calendar!$B$2:$B$755,$A6735)&gt;0,1,0))</f>
        <v>0</v>
      </c>
      <c r="O6735" s="16">
        <f>IF($A6735&lt;Notes!$B$5,"",IF(COUNTIFS(Release_Calendar!$A$2:$A$755,"NZ_LABOUR",Release_Calendar!$B$2:$B$755,$A6735)&gt;0,1,0))</f>
        <v>0</v>
      </c>
      <c r="P6735" s="16">
        <f t="shared" si="4"/>
        <v>0</v>
      </c>
    </row>
    <row r="6736" ht="15.75" customHeight="1">
      <c r="A6736" s="14">
        <v>45954.0</v>
      </c>
      <c r="B6736" s="15">
        <v>3.48</v>
      </c>
      <c r="C6736" s="15">
        <v>2.49</v>
      </c>
      <c r="D6736" s="15"/>
      <c r="E6736" s="15">
        <v>2.53</v>
      </c>
      <c r="F6736" s="15">
        <f t="shared" si="1"/>
        <v>-0.99</v>
      </c>
      <c r="G6736" s="15">
        <f t="shared" si="2"/>
        <v>2.49</v>
      </c>
      <c r="H6736" s="16">
        <v>0.0</v>
      </c>
      <c r="I6736" s="15">
        <f t="shared" si="3"/>
        <v>-0.99</v>
      </c>
      <c r="J6736" s="15">
        <v>16.37</v>
      </c>
      <c r="K6736" s="16">
        <f>IF(COUNTIFS(Release_Calendar!$A$2:$A$755,"US_CPI",Release_Calendar!$B$2:$B$755,$A6736)&gt;0,1,0)</f>
        <v>1</v>
      </c>
      <c r="L6736" s="16">
        <f>IF(COUNTIFS(Release_Calendar!$A$2:$A$755,"US_NFP",Release_Calendar!$B$2:$B$755,$A6736)&gt;0,1,0)</f>
        <v>0</v>
      </c>
      <c r="M6736" s="16">
        <f>IF($A6736&lt;Notes!$B$5,"",IF(COUNTIFS(Release_Calendar!$A$2:$A$755,"NZ_CPI",Release_Calendar!$B$2:$B$755,$A6736)&gt;0,1,0))</f>
        <v>0</v>
      </c>
      <c r="N6736" s="16">
        <f>IF($A6736&lt;Notes!$B$5,"",IF(COUNTIFS(Release_Calendar!$A$2:$A$755,"NZ_GDP",Release_Calendar!$B$2:$B$755,$A6736)&gt;0,1,0))</f>
        <v>0</v>
      </c>
      <c r="O6736" s="16">
        <f>IF($A6736&lt;Notes!$B$5,"",IF(COUNTIFS(Release_Calendar!$A$2:$A$755,"NZ_LABOUR",Release_Calendar!$B$2:$B$755,$A6736)&gt;0,1,0))</f>
        <v>0</v>
      </c>
      <c r="P6736" s="16">
        <f t="shared" si="4"/>
        <v>1</v>
      </c>
    </row>
    <row r="6737" ht="15.75" customHeight="1">
      <c r="A6737" s="14">
        <v>45957.0</v>
      </c>
      <c r="B6737" s="15">
        <v>3.48</v>
      </c>
      <c r="C6737" s="15"/>
      <c r="D6737" s="15"/>
      <c r="E6737" s="15"/>
      <c r="F6737" s="15" t="str">
        <f t="shared" si="1"/>
        <v/>
      </c>
      <c r="G6737" s="15" t="str">
        <f t="shared" si="2"/>
        <v/>
      </c>
      <c r="H6737" s="16">
        <v>0.0</v>
      </c>
      <c r="I6737" s="15" t="str">
        <f t="shared" si="3"/>
        <v/>
      </c>
      <c r="J6737" s="15">
        <v>15.79</v>
      </c>
      <c r="K6737" s="16">
        <f>IF(COUNTIFS(Release_Calendar!$A$2:$A$755,"US_CPI",Release_Calendar!$B$2:$B$755,$A6737)&gt;0,1,0)</f>
        <v>0</v>
      </c>
      <c r="L6737" s="16">
        <f>IF(COUNTIFS(Release_Calendar!$A$2:$A$755,"US_NFP",Release_Calendar!$B$2:$B$755,$A6737)&gt;0,1,0)</f>
        <v>0</v>
      </c>
      <c r="M6737" s="16">
        <f>IF($A6737&lt;Notes!$B$5,"",IF(COUNTIFS(Release_Calendar!$A$2:$A$755,"NZ_CPI",Release_Calendar!$B$2:$B$755,$A6737)&gt;0,1,0))</f>
        <v>0</v>
      </c>
      <c r="N6737" s="16">
        <f>IF($A6737&lt;Notes!$B$5,"",IF(COUNTIFS(Release_Calendar!$A$2:$A$755,"NZ_GDP",Release_Calendar!$B$2:$B$755,$A6737)&gt;0,1,0))</f>
        <v>0</v>
      </c>
      <c r="O6737" s="16">
        <f>IF($A6737&lt;Notes!$B$5,"",IF(COUNTIFS(Release_Calendar!$A$2:$A$755,"NZ_LABOUR",Release_Calendar!$B$2:$B$755,$A6737)&gt;0,1,0))</f>
        <v>0</v>
      </c>
      <c r="P6737" s="16">
        <f t="shared" si="4"/>
        <v>0</v>
      </c>
    </row>
    <row r="6738" ht="15.75" customHeight="1">
      <c r="A6738" s="14">
        <v>45958.0</v>
      </c>
      <c r="B6738" s="15">
        <v>3.47</v>
      </c>
      <c r="C6738" s="15">
        <v>2.53</v>
      </c>
      <c r="D6738" s="15"/>
      <c r="E6738" s="15">
        <v>2.55</v>
      </c>
      <c r="F6738" s="15">
        <f t="shared" si="1"/>
        <v>-0.94</v>
      </c>
      <c r="G6738" s="15">
        <f t="shared" si="2"/>
        <v>2.53</v>
      </c>
      <c r="H6738" s="16">
        <v>0.0</v>
      </c>
      <c r="I6738" s="15">
        <f t="shared" si="3"/>
        <v>-0.94</v>
      </c>
      <c r="J6738" s="15">
        <v>16.42</v>
      </c>
      <c r="K6738" s="16">
        <f>IF(COUNTIFS(Release_Calendar!$A$2:$A$755,"US_CPI",Release_Calendar!$B$2:$B$755,$A6738)&gt;0,1,0)</f>
        <v>0</v>
      </c>
      <c r="L6738" s="16">
        <f>IF(COUNTIFS(Release_Calendar!$A$2:$A$755,"US_NFP",Release_Calendar!$B$2:$B$755,$A6738)&gt;0,1,0)</f>
        <v>0</v>
      </c>
      <c r="M6738" s="16">
        <f>IF($A6738&lt;Notes!$B$5,"",IF(COUNTIFS(Release_Calendar!$A$2:$A$755,"NZ_CPI",Release_Calendar!$B$2:$B$755,$A6738)&gt;0,1,0))</f>
        <v>0</v>
      </c>
      <c r="N6738" s="16">
        <f>IF($A6738&lt;Notes!$B$5,"",IF(COUNTIFS(Release_Calendar!$A$2:$A$755,"NZ_GDP",Release_Calendar!$B$2:$B$755,$A6738)&gt;0,1,0))</f>
        <v>0</v>
      </c>
      <c r="O6738" s="16">
        <f>IF($A6738&lt;Notes!$B$5,"",IF(COUNTIFS(Release_Calendar!$A$2:$A$755,"NZ_LABOUR",Release_Calendar!$B$2:$B$755,$A6738)&gt;0,1,0))</f>
        <v>0</v>
      </c>
      <c r="P6738" s="16">
        <f t="shared" si="4"/>
        <v>0</v>
      </c>
    </row>
    <row r="6739" ht="15.75" customHeight="1">
      <c r="A6739" s="14">
        <v>45959.0</v>
      </c>
      <c r="B6739" s="15">
        <v>3.59</v>
      </c>
      <c r="C6739" s="15">
        <v>2.58</v>
      </c>
      <c r="D6739" s="15"/>
      <c r="E6739" s="15">
        <v>2.58</v>
      </c>
      <c r="F6739" s="15">
        <f t="shared" si="1"/>
        <v>-1.01</v>
      </c>
      <c r="G6739" s="15">
        <f t="shared" si="2"/>
        <v>2.58</v>
      </c>
      <c r="H6739" s="16">
        <v>0.0</v>
      </c>
      <c r="I6739" s="15">
        <f t="shared" si="3"/>
        <v>-1.01</v>
      </c>
      <c r="J6739" s="15">
        <v>16.92</v>
      </c>
      <c r="K6739" s="16">
        <f>IF(COUNTIFS(Release_Calendar!$A$2:$A$755,"US_CPI",Release_Calendar!$B$2:$B$755,$A6739)&gt;0,1,0)</f>
        <v>0</v>
      </c>
      <c r="L6739" s="16">
        <f>IF(COUNTIFS(Release_Calendar!$A$2:$A$755,"US_NFP",Release_Calendar!$B$2:$B$755,$A6739)&gt;0,1,0)</f>
        <v>0</v>
      </c>
      <c r="M6739" s="16">
        <f>IF($A6739&lt;Notes!$B$5,"",IF(COUNTIFS(Release_Calendar!$A$2:$A$755,"NZ_CPI",Release_Calendar!$B$2:$B$755,$A6739)&gt;0,1,0))</f>
        <v>0</v>
      </c>
      <c r="N6739" s="16">
        <f>IF($A6739&lt;Notes!$B$5,"",IF(COUNTIFS(Release_Calendar!$A$2:$A$755,"NZ_GDP",Release_Calendar!$B$2:$B$755,$A6739)&gt;0,1,0))</f>
        <v>0</v>
      </c>
      <c r="O6739" s="16">
        <f>IF($A6739&lt;Notes!$B$5,"",IF(COUNTIFS(Release_Calendar!$A$2:$A$755,"NZ_LABOUR",Release_Calendar!$B$2:$B$755,$A6739)&gt;0,1,0))</f>
        <v>0</v>
      </c>
      <c r="P6739" s="16">
        <f t="shared" si="4"/>
        <v>0</v>
      </c>
    </row>
    <row r="6740" ht="15.75" customHeight="1">
      <c r="A6740" s="14">
        <v>45960.0</v>
      </c>
      <c r="B6740" s="15">
        <v>3.61</v>
      </c>
      <c r="C6740" s="15">
        <v>2.59</v>
      </c>
      <c r="D6740" s="15"/>
      <c r="E6740" s="15">
        <v>2.61</v>
      </c>
      <c r="F6740" s="15">
        <f t="shared" si="1"/>
        <v>-1.02</v>
      </c>
      <c r="G6740" s="15">
        <f t="shared" si="2"/>
        <v>2.59</v>
      </c>
      <c r="H6740" s="16">
        <v>0.0</v>
      </c>
      <c r="I6740" s="15">
        <f t="shared" si="3"/>
        <v>-1.02</v>
      </c>
      <c r="J6740" s="15">
        <v>16.91</v>
      </c>
      <c r="K6740" s="16">
        <f>IF(COUNTIFS(Release_Calendar!$A$2:$A$755,"US_CPI",Release_Calendar!$B$2:$B$755,$A6740)&gt;0,1,0)</f>
        <v>0</v>
      </c>
      <c r="L6740" s="16">
        <f>IF(COUNTIFS(Release_Calendar!$A$2:$A$755,"US_NFP",Release_Calendar!$B$2:$B$755,$A6740)&gt;0,1,0)</f>
        <v>0</v>
      </c>
      <c r="M6740" s="16">
        <f>IF($A6740&lt;Notes!$B$5,"",IF(COUNTIFS(Release_Calendar!$A$2:$A$755,"NZ_CPI",Release_Calendar!$B$2:$B$755,$A6740)&gt;0,1,0))</f>
        <v>0</v>
      </c>
      <c r="N6740" s="16">
        <f>IF($A6740&lt;Notes!$B$5,"",IF(COUNTIFS(Release_Calendar!$A$2:$A$755,"NZ_GDP",Release_Calendar!$B$2:$B$755,$A6740)&gt;0,1,0))</f>
        <v>0</v>
      </c>
      <c r="O6740" s="16">
        <f>IF($A6740&lt;Notes!$B$5,"",IF(COUNTIFS(Release_Calendar!$A$2:$A$755,"NZ_LABOUR",Release_Calendar!$B$2:$B$755,$A6740)&gt;0,1,0))</f>
        <v>0</v>
      </c>
      <c r="P6740" s="16">
        <f t="shared" si="4"/>
        <v>0</v>
      </c>
    </row>
    <row r="6741" ht="15.75" customHeight="1">
      <c r="A6741" s="14">
        <v>45961.0</v>
      </c>
      <c r="B6741" s="15">
        <v>3.6</v>
      </c>
      <c r="C6741" s="15">
        <v>2.56</v>
      </c>
      <c r="D6741" s="15"/>
      <c r="E6741" s="15">
        <v>2.85</v>
      </c>
      <c r="F6741" s="15">
        <f t="shared" si="1"/>
        <v>-1.04</v>
      </c>
      <c r="G6741" s="15">
        <f t="shared" si="2"/>
        <v>2.56</v>
      </c>
      <c r="H6741" s="16">
        <v>0.0</v>
      </c>
      <c r="I6741" s="15">
        <f t="shared" si="3"/>
        <v>-1.04</v>
      </c>
      <c r="J6741" s="15">
        <v>17.44</v>
      </c>
      <c r="K6741" s="16">
        <f>IF(COUNTIFS(Release_Calendar!$A$2:$A$755,"US_CPI",Release_Calendar!$B$2:$B$755,$A6741)&gt;0,1,0)</f>
        <v>0</v>
      </c>
      <c r="L6741" s="16">
        <f>IF(COUNTIFS(Release_Calendar!$A$2:$A$755,"US_NFP",Release_Calendar!$B$2:$B$755,$A6741)&gt;0,1,0)</f>
        <v>0</v>
      </c>
      <c r="M6741" s="16">
        <f>IF($A6741&lt;Notes!$B$5,"",IF(COUNTIFS(Release_Calendar!$A$2:$A$755,"NZ_CPI",Release_Calendar!$B$2:$B$755,$A6741)&gt;0,1,0))</f>
        <v>0</v>
      </c>
      <c r="N6741" s="16">
        <f>IF($A6741&lt;Notes!$B$5,"",IF(COUNTIFS(Release_Calendar!$A$2:$A$755,"NZ_GDP",Release_Calendar!$B$2:$B$755,$A6741)&gt;0,1,0))</f>
        <v>0</v>
      </c>
      <c r="O6741" s="16">
        <f>IF($A6741&lt;Notes!$B$5,"",IF(COUNTIFS(Release_Calendar!$A$2:$A$755,"NZ_LABOUR",Release_Calendar!$B$2:$B$755,$A6741)&gt;0,1,0))</f>
        <v>0</v>
      </c>
      <c r="P6741" s="16">
        <f t="shared" si="4"/>
        <v>0</v>
      </c>
    </row>
    <row r="6742" ht="15.75" customHeight="1">
      <c r="A6742" s="14">
        <v>45964.0</v>
      </c>
      <c r="B6742" s="15">
        <v>3.6</v>
      </c>
      <c r="C6742" s="15">
        <v>2.56</v>
      </c>
      <c r="D6742" s="15"/>
      <c r="E6742" s="15">
        <v>2.86</v>
      </c>
      <c r="F6742" s="15">
        <f t="shared" si="1"/>
        <v>-1.04</v>
      </c>
      <c r="G6742" s="15">
        <f t="shared" si="2"/>
        <v>2.56</v>
      </c>
      <c r="H6742" s="16">
        <v>0.0</v>
      </c>
      <c r="I6742" s="15">
        <f t="shared" si="3"/>
        <v>-1.04</v>
      </c>
      <c r="J6742" s="15">
        <v>17.17</v>
      </c>
      <c r="K6742" s="16">
        <f>IF(COUNTIFS(Release_Calendar!$A$2:$A$755,"US_CPI",Release_Calendar!$B$2:$B$755,$A6742)&gt;0,1,0)</f>
        <v>0</v>
      </c>
      <c r="L6742" s="16">
        <f>IF(COUNTIFS(Release_Calendar!$A$2:$A$755,"US_NFP",Release_Calendar!$B$2:$B$755,$A6742)&gt;0,1,0)</f>
        <v>0</v>
      </c>
      <c r="M6742" s="16">
        <f>IF($A6742&lt;Notes!$B$5,"",IF(COUNTIFS(Release_Calendar!$A$2:$A$755,"NZ_CPI",Release_Calendar!$B$2:$B$755,$A6742)&gt;0,1,0))</f>
        <v>0</v>
      </c>
      <c r="N6742" s="16">
        <f>IF($A6742&lt;Notes!$B$5,"",IF(COUNTIFS(Release_Calendar!$A$2:$A$755,"NZ_GDP",Release_Calendar!$B$2:$B$755,$A6742)&gt;0,1,0))</f>
        <v>0</v>
      </c>
      <c r="O6742" s="16">
        <f>IF($A6742&lt;Notes!$B$5,"",IF(COUNTIFS(Release_Calendar!$A$2:$A$755,"NZ_LABOUR",Release_Calendar!$B$2:$B$755,$A6742)&gt;0,1,0))</f>
        <v>0</v>
      </c>
      <c r="P6742" s="16">
        <f t="shared" si="4"/>
        <v>0</v>
      </c>
    </row>
    <row r="6743" ht="15.75" customHeight="1">
      <c r="A6743" s="14">
        <v>45965.0</v>
      </c>
      <c r="B6743" s="15">
        <v>3.58</v>
      </c>
      <c r="C6743" s="15">
        <v>2.56</v>
      </c>
      <c r="D6743" s="15"/>
      <c r="E6743" s="15">
        <v>2.87</v>
      </c>
      <c r="F6743" s="15">
        <f t="shared" si="1"/>
        <v>-1.02</v>
      </c>
      <c r="G6743" s="15">
        <f t="shared" si="2"/>
        <v>2.56</v>
      </c>
      <c r="H6743" s="16">
        <v>0.0</v>
      </c>
      <c r="I6743" s="15">
        <f t="shared" si="3"/>
        <v>-1.02</v>
      </c>
      <c r="J6743" s="15">
        <v>19.0</v>
      </c>
      <c r="K6743" s="16">
        <f>IF(COUNTIFS(Release_Calendar!$A$2:$A$755,"US_CPI",Release_Calendar!$B$2:$B$755,$A6743)&gt;0,1,0)</f>
        <v>0</v>
      </c>
      <c r="L6743" s="16">
        <f>IF(COUNTIFS(Release_Calendar!$A$2:$A$755,"US_NFP",Release_Calendar!$B$2:$B$755,$A6743)&gt;0,1,0)</f>
        <v>0</v>
      </c>
      <c r="M6743" s="16">
        <f>IF($A6743&lt;Notes!$B$5,"",IF(COUNTIFS(Release_Calendar!$A$2:$A$755,"NZ_CPI",Release_Calendar!$B$2:$B$755,$A6743)&gt;0,1,0))</f>
        <v>0</v>
      </c>
      <c r="N6743" s="16">
        <f>IF($A6743&lt;Notes!$B$5,"",IF(COUNTIFS(Release_Calendar!$A$2:$A$755,"NZ_GDP",Release_Calendar!$B$2:$B$755,$A6743)&gt;0,1,0))</f>
        <v>0</v>
      </c>
      <c r="O6743" s="16">
        <f>IF($A6743&lt;Notes!$B$5,"",IF(COUNTIFS(Release_Calendar!$A$2:$A$755,"NZ_LABOUR",Release_Calendar!$B$2:$B$755,$A6743)&gt;0,1,0))</f>
        <v>0</v>
      </c>
      <c r="P6743" s="16">
        <f t="shared" si="4"/>
        <v>0</v>
      </c>
    </row>
    <row r="6744" ht="15.75" customHeight="1">
      <c r="A6744" s="14">
        <v>45966.0</v>
      </c>
      <c r="B6744" s="15">
        <v>3.63</v>
      </c>
      <c r="C6744" s="15">
        <v>2.55</v>
      </c>
      <c r="D6744" s="15"/>
      <c r="E6744" s="15">
        <v>2.86</v>
      </c>
      <c r="F6744" s="15">
        <f t="shared" si="1"/>
        <v>-1.08</v>
      </c>
      <c r="G6744" s="15">
        <f t="shared" si="2"/>
        <v>2.55</v>
      </c>
      <c r="H6744" s="16">
        <v>0.0</v>
      </c>
      <c r="I6744" s="15">
        <f t="shared" si="3"/>
        <v>-1.08</v>
      </c>
      <c r="J6744" s="15">
        <v>18.01</v>
      </c>
      <c r="K6744" s="16">
        <f>IF(COUNTIFS(Release_Calendar!$A$2:$A$755,"US_CPI",Release_Calendar!$B$2:$B$755,$A6744)&gt;0,1,0)</f>
        <v>0</v>
      </c>
      <c r="L6744" s="16">
        <f>IF(COUNTIFS(Release_Calendar!$A$2:$A$755,"US_NFP",Release_Calendar!$B$2:$B$755,$A6744)&gt;0,1,0)</f>
        <v>0</v>
      </c>
      <c r="M6744" s="16">
        <f>IF($A6744&lt;Notes!$B$5,"",IF(COUNTIFS(Release_Calendar!$A$2:$A$755,"NZ_CPI",Release_Calendar!$B$2:$B$755,$A6744)&gt;0,1,0))</f>
        <v>0</v>
      </c>
      <c r="N6744" s="16">
        <f>IF($A6744&lt;Notes!$B$5,"",IF(COUNTIFS(Release_Calendar!$A$2:$A$755,"NZ_GDP",Release_Calendar!$B$2:$B$755,$A6744)&gt;0,1,0))</f>
        <v>0</v>
      </c>
      <c r="O6744" s="16">
        <f>IF($A6744&lt;Notes!$B$5,"",IF(COUNTIFS(Release_Calendar!$A$2:$A$755,"NZ_LABOUR",Release_Calendar!$B$2:$B$755,$A6744)&gt;0,1,0))</f>
        <v>1</v>
      </c>
      <c r="P6744" s="16">
        <f t="shared" si="4"/>
        <v>1</v>
      </c>
    </row>
    <row r="6745" ht="15.75" customHeight="1">
      <c r="A6745" s="14">
        <v>45967.0</v>
      </c>
      <c r="B6745" s="15">
        <v>3.57</v>
      </c>
      <c r="C6745" s="15">
        <v>2.56</v>
      </c>
      <c r="D6745" s="15"/>
      <c r="E6745" s="15">
        <v>2.88</v>
      </c>
      <c r="F6745" s="15">
        <f t="shared" si="1"/>
        <v>-1.01</v>
      </c>
      <c r="G6745" s="15">
        <f t="shared" si="2"/>
        <v>2.56</v>
      </c>
      <c r="H6745" s="16">
        <v>0.0</v>
      </c>
      <c r="I6745" s="15">
        <f t="shared" si="3"/>
        <v>-1.01</v>
      </c>
      <c r="J6745" s="15">
        <v>19.5</v>
      </c>
      <c r="K6745" s="16">
        <f>IF(COUNTIFS(Release_Calendar!$A$2:$A$755,"US_CPI",Release_Calendar!$B$2:$B$755,$A6745)&gt;0,1,0)</f>
        <v>0</v>
      </c>
      <c r="L6745" s="16">
        <f>IF(COUNTIFS(Release_Calendar!$A$2:$A$755,"US_NFP",Release_Calendar!$B$2:$B$755,$A6745)&gt;0,1,0)</f>
        <v>0</v>
      </c>
      <c r="M6745" s="16">
        <f>IF($A6745&lt;Notes!$B$5,"",IF(COUNTIFS(Release_Calendar!$A$2:$A$755,"NZ_CPI",Release_Calendar!$B$2:$B$755,$A6745)&gt;0,1,0))</f>
        <v>0</v>
      </c>
      <c r="N6745" s="16">
        <f>IF($A6745&lt;Notes!$B$5,"",IF(COUNTIFS(Release_Calendar!$A$2:$A$755,"NZ_GDP",Release_Calendar!$B$2:$B$755,$A6745)&gt;0,1,0))</f>
        <v>0</v>
      </c>
      <c r="O6745" s="16">
        <f>IF($A6745&lt;Notes!$B$5,"",IF(COUNTIFS(Release_Calendar!$A$2:$A$755,"NZ_LABOUR",Release_Calendar!$B$2:$B$755,$A6745)&gt;0,1,0))</f>
        <v>0</v>
      </c>
      <c r="P6745" s="16">
        <f t="shared" si="4"/>
        <v>0</v>
      </c>
    </row>
    <row r="6746" ht="15.75" customHeight="1">
      <c r="A6746" s="14">
        <v>45968.0</v>
      </c>
      <c r="B6746" s="15">
        <v>3.55</v>
      </c>
      <c r="C6746" s="15">
        <v>2.53</v>
      </c>
      <c r="D6746" s="15"/>
      <c r="E6746" s="15">
        <v>2.83</v>
      </c>
      <c r="F6746" s="15">
        <f t="shared" si="1"/>
        <v>-1.02</v>
      </c>
      <c r="G6746" s="15">
        <f t="shared" si="2"/>
        <v>2.53</v>
      </c>
      <c r="H6746" s="16">
        <v>0.0</v>
      </c>
      <c r="I6746" s="15">
        <f t="shared" si="3"/>
        <v>-1.02</v>
      </c>
      <c r="J6746" s="15">
        <v>19.08</v>
      </c>
      <c r="K6746" s="16">
        <f>IF(COUNTIFS(Release_Calendar!$A$2:$A$755,"US_CPI",Release_Calendar!$B$2:$B$755,$A6746)&gt;0,1,0)</f>
        <v>0</v>
      </c>
      <c r="L6746" s="16">
        <f>IF(COUNTIFS(Release_Calendar!$A$2:$A$755,"US_NFP",Release_Calendar!$B$2:$B$755,$A6746)&gt;0,1,0)</f>
        <v>0</v>
      </c>
      <c r="M6746" s="16">
        <f>IF($A6746&lt;Notes!$B$5,"",IF(COUNTIFS(Release_Calendar!$A$2:$A$755,"NZ_CPI",Release_Calendar!$B$2:$B$755,$A6746)&gt;0,1,0))</f>
        <v>0</v>
      </c>
      <c r="N6746" s="16">
        <f>IF($A6746&lt;Notes!$B$5,"",IF(COUNTIFS(Release_Calendar!$A$2:$A$755,"NZ_GDP",Release_Calendar!$B$2:$B$755,$A6746)&gt;0,1,0))</f>
        <v>0</v>
      </c>
      <c r="O6746" s="16">
        <f>IF($A6746&lt;Notes!$B$5,"",IF(COUNTIFS(Release_Calendar!$A$2:$A$755,"NZ_LABOUR",Release_Calendar!$B$2:$B$755,$A6746)&gt;0,1,0))</f>
        <v>0</v>
      </c>
      <c r="P6746" s="16">
        <f t="shared" si="4"/>
        <v>0</v>
      </c>
    </row>
    <row r="6747" ht="15.75" customHeight="1">
      <c r="A6747" s="14">
        <v>45971.0</v>
      </c>
      <c r="B6747" s="15">
        <v>3.58</v>
      </c>
      <c r="C6747" s="15">
        <v>2.53</v>
      </c>
      <c r="D6747" s="15"/>
      <c r="E6747" s="15">
        <v>2.83</v>
      </c>
      <c r="F6747" s="15">
        <f t="shared" si="1"/>
        <v>-1.05</v>
      </c>
      <c r="G6747" s="15">
        <f t="shared" si="2"/>
        <v>2.53</v>
      </c>
      <c r="H6747" s="16">
        <v>0.0</v>
      </c>
      <c r="I6747" s="15">
        <f t="shared" si="3"/>
        <v>-1.05</v>
      </c>
      <c r="J6747" s="15">
        <v>17.6</v>
      </c>
      <c r="K6747" s="16">
        <f>IF(COUNTIFS(Release_Calendar!$A$2:$A$755,"US_CPI",Release_Calendar!$B$2:$B$755,$A6747)&gt;0,1,0)</f>
        <v>0</v>
      </c>
      <c r="L6747" s="16">
        <f>IF(COUNTIFS(Release_Calendar!$A$2:$A$755,"US_NFP",Release_Calendar!$B$2:$B$755,$A6747)&gt;0,1,0)</f>
        <v>0</v>
      </c>
      <c r="M6747" s="16">
        <f>IF($A6747&lt;Notes!$B$5,"",IF(COUNTIFS(Release_Calendar!$A$2:$A$755,"NZ_CPI",Release_Calendar!$B$2:$B$755,$A6747)&gt;0,1,0))</f>
        <v>0</v>
      </c>
      <c r="N6747" s="16">
        <f>IF($A6747&lt;Notes!$B$5,"",IF(COUNTIFS(Release_Calendar!$A$2:$A$755,"NZ_GDP",Release_Calendar!$B$2:$B$755,$A6747)&gt;0,1,0))</f>
        <v>0</v>
      </c>
      <c r="O6747" s="16">
        <f>IF($A6747&lt;Notes!$B$5,"",IF(COUNTIFS(Release_Calendar!$A$2:$A$755,"NZ_LABOUR",Release_Calendar!$B$2:$B$755,$A6747)&gt;0,1,0))</f>
        <v>0</v>
      </c>
      <c r="P6747" s="16">
        <f t="shared" si="4"/>
        <v>0</v>
      </c>
    </row>
    <row r="6748" ht="15.75" customHeight="1">
      <c r="A6748" s="14">
        <v>45972.0</v>
      </c>
      <c r="B6748" s="15"/>
      <c r="C6748" s="15">
        <v>2.53</v>
      </c>
      <c r="D6748" s="15"/>
      <c r="E6748" s="15">
        <v>2.84</v>
      </c>
      <c r="F6748" s="15" t="str">
        <f t="shared" si="1"/>
        <v/>
      </c>
      <c r="G6748" s="15">
        <f t="shared" si="2"/>
        <v>2.53</v>
      </c>
      <c r="H6748" s="16">
        <v>0.0</v>
      </c>
      <c r="I6748" s="15" t="str">
        <f t="shared" si="3"/>
        <v/>
      </c>
      <c r="J6748" s="15">
        <v>17.28</v>
      </c>
      <c r="K6748" s="16">
        <f>IF(COUNTIFS(Release_Calendar!$A$2:$A$755,"US_CPI",Release_Calendar!$B$2:$B$755,$A6748)&gt;0,1,0)</f>
        <v>0</v>
      </c>
      <c r="L6748" s="16">
        <f>IF(COUNTIFS(Release_Calendar!$A$2:$A$755,"US_NFP",Release_Calendar!$B$2:$B$755,$A6748)&gt;0,1,0)</f>
        <v>0</v>
      </c>
      <c r="M6748" s="16">
        <f>IF($A6748&lt;Notes!$B$5,"",IF(COUNTIFS(Release_Calendar!$A$2:$A$755,"NZ_CPI",Release_Calendar!$B$2:$B$755,$A6748)&gt;0,1,0))</f>
        <v>0</v>
      </c>
      <c r="N6748" s="16">
        <f>IF($A6748&lt;Notes!$B$5,"",IF(COUNTIFS(Release_Calendar!$A$2:$A$755,"NZ_GDP",Release_Calendar!$B$2:$B$755,$A6748)&gt;0,1,0))</f>
        <v>0</v>
      </c>
      <c r="O6748" s="16">
        <f>IF($A6748&lt;Notes!$B$5,"",IF(COUNTIFS(Release_Calendar!$A$2:$A$755,"NZ_LABOUR",Release_Calendar!$B$2:$B$755,$A6748)&gt;0,1,0))</f>
        <v>0</v>
      </c>
      <c r="P6748" s="16">
        <f t="shared" si="4"/>
        <v>0</v>
      </c>
    </row>
    <row r="6749" ht="15.75" customHeight="1">
      <c r="A6749" s="14">
        <v>45973.0</v>
      </c>
      <c r="B6749" s="15">
        <v>3.56</v>
      </c>
      <c r="C6749" s="15">
        <v>2.53</v>
      </c>
      <c r="D6749" s="15"/>
      <c r="E6749" s="15">
        <v>2.83</v>
      </c>
      <c r="F6749" s="15">
        <f t="shared" si="1"/>
        <v>-1.03</v>
      </c>
      <c r="G6749" s="15">
        <f t="shared" si="2"/>
        <v>2.53</v>
      </c>
      <c r="H6749" s="16">
        <v>0.0</v>
      </c>
      <c r="I6749" s="15">
        <f t="shared" si="3"/>
        <v>-1.03</v>
      </c>
      <c r="J6749" s="15">
        <v>17.51</v>
      </c>
      <c r="K6749" s="16">
        <f>IF(COUNTIFS(Release_Calendar!$A$2:$A$755,"US_CPI",Release_Calendar!$B$2:$B$755,$A6749)&gt;0,1,0)</f>
        <v>0</v>
      </c>
      <c r="L6749" s="16">
        <f>IF(COUNTIFS(Release_Calendar!$A$2:$A$755,"US_NFP",Release_Calendar!$B$2:$B$755,$A6749)&gt;0,1,0)</f>
        <v>0</v>
      </c>
      <c r="M6749" s="16">
        <f>IF($A6749&lt;Notes!$B$5,"",IF(COUNTIFS(Release_Calendar!$A$2:$A$755,"NZ_CPI",Release_Calendar!$B$2:$B$755,$A6749)&gt;0,1,0))</f>
        <v>0</v>
      </c>
      <c r="N6749" s="16">
        <f>IF($A6749&lt;Notes!$B$5,"",IF(COUNTIFS(Release_Calendar!$A$2:$A$755,"NZ_GDP",Release_Calendar!$B$2:$B$755,$A6749)&gt;0,1,0))</f>
        <v>0</v>
      </c>
      <c r="O6749" s="16">
        <f>IF($A6749&lt;Notes!$B$5,"",IF(COUNTIFS(Release_Calendar!$A$2:$A$755,"NZ_LABOUR",Release_Calendar!$B$2:$B$755,$A6749)&gt;0,1,0))</f>
        <v>0</v>
      </c>
      <c r="P6749" s="16">
        <f t="shared" si="4"/>
        <v>0</v>
      </c>
    </row>
    <row r="6750" ht="15.75" customHeight="1">
      <c r="A6750" s="14">
        <v>45974.0</v>
      </c>
      <c r="B6750" s="15">
        <v>3.58</v>
      </c>
      <c r="C6750" s="15">
        <v>2.58</v>
      </c>
      <c r="D6750" s="15"/>
      <c r="E6750" s="15">
        <v>2.89</v>
      </c>
      <c r="F6750" s="15">
        <f t="shared" si="1"/>
        <v>-1</v>
      </c>
      <c r="G6750" s="15">
        <f t="shared" si="2"/>
        <v>2.58</v>
      </c>
      <c r="H6750" s="16">
        <v>0.0</v>
      </c>
      <c r="I6750" s="15">
        <f t="shared" si="3"/>
        <v>-1</v>
      </c>
      <c r="J6750" s="15">
        <v>20.0</v>
      </c>
      <c r="K6750" s="16">
        <f>IF(COUNTIFS(Release_Calendar!$A$2:$A$755,"US_CPI",Release_Calendar!$B$2:$B$755,$A6750)&gt;0,1,0)</f>
        <v>0</v>
      </c>
      <c r="L6750" s="16">
        <f>IF(COUNTIFS(Release_Calendar!$A$2:$A$755,"US_NFP",Release_Calendar!$B$2:$B$755,$A6750)&gt;0,1,0)</f>
        <v>0</v>
      </c>
      <c r="M6750" s="16">
        <f>IF($A6750&lt;Notes!$B$5,"",IF(COUNTIFS(Release_Calendar!$A$2:$A$755,"NZ_CPI",Release_Calendar!$B$2:$B$755,$A6750)&gt;0,1,0))</f>
        <v>0</v>
      </c>
      <c r="N6750" s="16">
        <f>IF($A6750&lt;Notes!$B$5,"",IF(COUNTIFS(Release_Calendar!$A$2:$A$755,"NZ_GDP",Release_Calendar!$B$2:$B$755,$A6750)&gt;0,1,0))</f>
        <v>0</v>
      </c>
      <c r="O6750" s="16">
        <f>IF($A6750&lt;Notes!$B$5,"",IF(COUNTIFS(Release_Calendar!$A$2:$A$755,"NZ_LABOUR",Release_Calendar!$B$2:$B$755,$A6750)&gt;0,1,0))</f>
        <v>0</v>
      </c>
      <c r="P6750" s="16">
        <f t="shared" si="4"/>
        <v>0</v>
      </c>
    </row>
    <row r="6751" ht="15.75" customHeight="1">
      <c r="A6751" s="14">
        <v>45975.0</v>
      </c>
      <c r="B6751" s="15">
        <v>3.62</v>
      </c>
      <c r="C6751" s="15">
        <v>2.61</v>
      </c>
      <c r="D6751" s="15"/>
      <c r="E6751" s="15">
        <v>2.91</v>
      </c>
      <c r="F6751" s="15">
        <f t="shared" si="1"/>
        <v>-1.01</v>
      </c>
      <c r="G6751" s="15">
        <f t="shared" si="2"/>
        <v>2.61</v>
      </c>
      <c r="H6751" s="16">
        <v>0.0</v>
      </c>
      <c r="I6751" s="15">
        <f t="shared" si="3"/>
        <v>-1.01</v>
      </c>
      <c r="J6751" s="15">
        <v>19.83</v>
      </c>
      <c r="K6751" s="16">
        <f>IF(COUNTIFS(Release_Calendar!$A$2:$A$755,"US_CPI",Release_Calendar!$B$2:$B$755,$A6751)&gt;0,1,0)</f>
        <v>0</v>
      </c>
      <c r="L6751" s="16">
        <f>IF(COUNTIFS(Release_Calendar!$A$2:$A$755,"US_NFP",Release_Calendar!$B$2:$B$755,$A6751)&gt;0,1,0)</f>
        <v>0</v>
      </c>
      <c r="M6751" s="16">
        <f>IF($A6751&lt;Notes!$B$5,"",IF(COUNTIFS(Release_Calendar!$A$2:$A$755,"NZ_CPI",Release_Calendar!$B$2:$B$755,$A6751)&gt;0,1,0))</f>
        <v>0</v>
      </c>
      <c r="N6751" s="16">
        <f>IF($A6751&lt;Notes!$B$5,"",IF(COUNTIFS(Release_Calendar!$A$2:$A$755,"NZ_GDP",Release_Calendar!$B$2:$B$755,$A6751)&gt;0,1,0))</f>
        <v>0</v>
      </c>
      <c r="O6751" s="16">
        <f>IF($A6751&lt;Notes!$B$5,"",IF(COUNTIFS(Release_Calendar!$A$2:$A$755,"NZ_LABOUR",Release_Calendar!$B$2:$B$755,$A6751)&gt;0,1,0))</f>
        <v>0</v>
      </c>
      <c r="P6751" s="16">
        <f t="shared" si="4"/>
        <v>0</v>
      </c>
    </row>
    <row r="6752" ht="15.75" customHeight="1">
      <c r="A6752" s="14">
        <v>45978.0</v>
      </c>
      <c r="B6752" s="15">
        <v>3.6</v>
      </c>
      <c r="C6752" s="15">
        <v>2.62</v>
      </c>
      <c r="D6752" s="15"/>
      <c r="E6752" s="15">
        <v>2.91</v>
      </c>
      <c r="F6752" s="15">
        <f t="shared" si="1"/>
        <v>-0.98</v>
      </c>
      <c r="G6752" s="15">
        <f t="shared" si="2"/>
        <v>2.62</v>
      </c>
      <c r="H6752" s="16">
        <v>0.0</v>
      </c>
      <c r="I6752" s="15">
        <f t="shared" si="3"/>
        <v>-0.98</v>
      </c>
      <c r="J6752" s="15">
        <v>22.38</v>
      </c>
      <c r="K6752" s="16">
        <f>IF(COUNTIFS(Release_Calendar!$A$2:$A$755,"US_CPI",Release_Calendar!$B$2:$B$755,$A6752)&gt;0,1,0)</f>
        <v>0</v>
      </c>
      <c r="L6752" s="16">
        <f>IF(COUNTIFS(Release_Calendar!$A$2:$A$755,"US_NFP",Release_Calendar!$B$2:$B$755,$A6752)&gt;0,1,0)</f>
        <v>0</v>
      </c>
      <c r="M6752" s="16">
        <f>IF($A6752&lt;Notes!$B$5,"",IF(COUNTIFS(Release_Calendar!$A$2:$A$755,"NZ_CPI",Release_Calendar!$B$2:$B$755,$A6752)&gt;0,1,0))</f>
        <v>0</v>
      </c>
      <c r="N6752" s="16">
        <f>IF($A6752&lt;Notes!$B$5,"",IF(COUNTIFS(Release_Calendar!$A$2:$A$755,"NZ_GDP",Release_Calendar!$B$2:$B$755,$A6752)&gt;0,1,0))</f>
        <v>0</v>
      </c>
      <c r="O6752" s="16">
        <f>IF($A6752&lt;Notes!$B$5,"",IF(COUNTIFS(Release_Calendar!$A$2:$A$755,"NZ_LABOUR",Release_Calendar!$B$2:$B$755,$A6752)&gt;0,1,0))</f>
        <v>0</v>
      </c>
      <c r="P6752" s="16">
        <f t="shared" si="4"/>
        <v>0</v>
      </c>
    </row>
    <row r="6753" ht="15.75" customHeight="1">
      <c r="A6753" s="14">
        <v>45979.0</v>
      </c>
      <c r="B6753" s="15">
        <v>3.58</v>
      </c>
      <c r="C6753" s="15">
        <v>2.62</v>
      </c>
      <c r="D6753" s="15"/>
      <c r="E6753" s="15">
        <v>2.91</v>
      </c>
      <c r="F6753" s="15">
        <f t="shared" si="1"/>
        <v>-0.96</v>
      </c>
      <c r="G6753" s="15">
        <f t="shared" si="2"/>
        <v>2.62</v>
      </c>
      <c r="H6753" s="16">
        <v>0.0</v>
      </c>
      <c r="I6753" s="15">
        <f t="shared" si="3"/>
        <v>-0.96</v>
      </c>
      <c r="J6753" s="15">
        <v>24.69</v>
      </c>
      <c r="K6753" s="16">
        <f>IF(COUNTIFS(Release_Calendar!$A$2:$A$755,"US_CPI",Release_Calendar!$B$2:$B$755,$A6753)&gt;0,1,0)</f>
        <v>0</v>
      </c>
      <c r="L6753" s="16">
        <f>IF(COUNTIFS(Release_Calendar!$A$2:$A$755,"US_NFP",Release_Calendar!$B$2:$B$755,$A6753)&gt;0,1,0)</f>
        <v>0</v>
      </c>
      <c r="M6753" s="16">
        <f>IF($A6753&lt;Notes!$B$5,"",IF(COUNTIFS(Release_Calendar!$A$2:$A$755,"NZ_CPI",Release_Calendar!$B$2:$B$755,$A6753)&gt;0,1,0))</f>
        <v>0</v>
      </c>
      <c r="N6753" s="16">
        <f>IF($A6753&lt;Notes!$B$5,"",IF(COUNTIFS(Release_Calendar!$A$2:$A$755,"NZ_GDP",Release_Calendar!$B$2:$B$755,$A6753)&gt;0,1,0))</f>
        <v>0</v>
      </c>
      <c r="O6753" s="16">
        <f>IF($A6753&lt;Notes!$B$5,"",IF(COUNTIFS(Release_Calendar!$A$2:$A$755,"NZ_LABOUR",Release_Calendar!$B$2:$B$755,$A6753)&gt;0,1,0))</f>
        <v>0</v>
      </c>
      <c r="P6753" s="16">
        <f t="shared" si="4"/>
        <v>0</v>
      </c>
    </row>
    <row r="6754" ht="15.75" customHeight="1">
      <c r="A6754" s="14">
        <v>45980.0</v>
      </c>
      <c r="B6754" s="15">
        <v>3.58</v>
      </c>
      <c r="C6754" s="15">
        <v>2.59</v>
      </c>
      <c r="D6754" s="15"/>
      <c r="E6754" s="15">
        <v>2.88</v>
      </c>
      <c r="F6754" s="15">
        <f t="shared" si="1"/>
        <v>-0.99</v>
      </c>
      <c r="G6754" s="15">
        <f t="shared" si="2"/>
        <v>2.59</v>
      </c>
      <c r="H6754" s="16">
        <v>0.0</v>
      </c>
      <c r="I6754" s="15">
        <f t="shared" si="3"/>
        <v>-0.99</v>
      </c>
      <c r="J6754" s="15">
        <v>23.66</v>
      </c>
      <c r="K6754" s="16">
        <f>IF(COUNTIFS(Release_Calendar!$A$2:$A$755,"US_CPI",Release_Calendar!$B$2:$B$755,$A6754)&gt;0,1,0)</f>
        <v>0</v>
      </c>
      <c r="L6754" s="16">
        <f>IF(COUNTIFS(Release_Calendar!$A$2:$A$755,"US_NFP",Release_Calendar!$B$2:$B$755,$A6754)&gt;0,1,0)</f>
        <v>0</v>
      </c>
      <c r="M6754" s="16">
        <f>IF($A6754&lt;Notes!$B$5,"",IF(COUNTIFS(Release_Calendar!$A$2:$A$755,"NZ_CPI",Release_Calendar!$B$2:$B$755,$A6754)&gt;0,1,0))</f>
        <v>0</v>
      </c>
      <c r="N6754" s="16">
        <f>IF($A6754&lt;Notes!$B$5,"",IF(COUNTIFS(Release_Calendar!$A$2:$A$755,"NZ_GDP",Release_Calendar!$B$2:$B$755,$A6754)&gt;0,1,0))</f>
        <v>0</v>
      </c>
      <c r="O6754" s="16">
        <f>IF($A6754&lt;Notes!$B$5,"",IF(COUNTIFS(Release_Calendar!$A$2:$A$755,"NZ_LABOUR",Release_Calendar!$B$2:$B$755,$A6754)&gt;0,1,0))</f>
        <v>0</v>
      </c>
      <c r="P6754" s="16">
        <f t="shared" si="4"/>
        <v>0</v>
      </c>
    </row>
    <row r="6755" ht="15.75" customHeight="1">
      <c r="A6755" s="14">
        <v>45981.0</v>
      </c>
      <c r="B6755" s="15">
        <v>3.55</v>
      </c>
      <c r="C6755" s="15">
        <v>2.61</v>
      </c>
      <c r="D6755" s="15"/>
      <c r="E6755" s="15">
        <v>2.91</v>
      </c>
      <c r="F6755" s="15">
        <f t="shared" si="1"/>
        <v>-0.94</v>
      </c>
      <c r="G6755" s="15">
        <f t="shared" si="2"/>
        <v>2.61</v>
      </c>
      <c r="H6755" s="16">
        <v>0.0</v>
      </c>
      <c r="I6755" s="15">
        <f t="shared" si="3"/>
        <v>-0.94</v>
      </c>
      <c r="J6755" s="15">
        <v>26.42</v>
      </c>
      <c r="K6755" s="16">
        <f>IF(COUNTIFS(Release_Calendar!$A$2:$A$755,"US_CPI",Release_Calendar!$B$2:$B$755,$A6755)&gt;0,1,0)</f>
        <v>0</v>
      </c>
      <c r="L6755" s="16">
        <f>IF(COUNTIFS(Release_Calendar!$A$2:$A$755,"US_NFP",Release_Calendar!$B$2:$B$755,$A6755)&gt;0,1,0)</f>
        <v>1</v>
      </c>
      <c r="M6755" s="16">
        <f>IF($A6755&lt;Notes!$B$5,"",IF(COUNTIFS(Release_Calendar!$A$2:$A$755,"NZ_CPI",Release_Calendar!$B$2:$B$755,$A6755)&gt;0,1,0))</f>
        <v>0</v>
      </c>
      <c r="N6755" s="16">
        <f>IF($A6755&lt;Notes!$B$5,"",IF(COUNTIFS(Release_Calendar!$A$2:$A$755,"NZ_GDP",Release_Calendar!$B$2:$B$755,$A6755)&gt;0,1,0))</f>
        <v>0</v>
      </c>
      <c r="O6755" s="16">
        <f>IF($A6755&lt;Notes!$B$5,"",IF(COUNTIFS(Release_Calendar!$A$2:$A$755,"NZ_LABOUR",Release_Calendar!$B$2:$B$755,$A6755)&gt;0,1,0))</f>
        <v>0</v>
      </c>
      <c r="P6755" s="16">
        <f t="shared" si="4"/>
        <v>1</v>
      </c>
    </row>
    <row r="6756" ht="15.75" customHeight="1">
      <c r="A6756" s="14">
        <v>45982.0</v>
      </c>
      <c r="B6756" s="15">
        <v>3.51</v>
      </c>
      <c r="C6756" s="15">
        <v>2.61</v>
      </c>
      <c r="D6756" s="15"/>
      <c r="E6756" s="15">
        <v>2.92</v>
      </c>
      <c r="F6756" s="15">
        <f t="shared" si="1"/>
        <v>-0.9</v>
      </c>
      <c r="G6756" s="15">
        <f t="shared" si="2"/>
        <v>2.61</v>
      </c>
      <c r="H6756" s="16">
        <v>0.0</v>
      </c>
      <c r="I6756" s="15">
        <f t="shared" si="3"/>
        <v>-0.9</v>
      </c>
      <c r="J6756" s="15">
        <v>23.43</v>
      </c>
      <c r="K6756" s="16">
        <f>IF(COUNTIFS(Release_Calendar!$A$2:$A$755,"US_CPI",Release_Calendar!$B$2:$B$755,$A6756)&gt;0,1,0)</f>
        <v>0</v>
      </c>
      <c r="L6756" s="16">
        <f>IF(COUNTIFS(Release_Calendar!$A$2:$A$755,"US_NFP",Release_Calendar!$B$2:$B$755,$A6756)&gt;0,1,0)</f>
        <v>0</v>
      </c>
      <c r="M6756" s="16">
        <f>IF($A6756&lt;Notes!$B$5,"",IF(COUNTIFS(Release_Calendar!$A$2:$A$755,"NZ_CPI",Release_Calendar!$B$2:$B$755,$A6756)&gt;0,1,0))</f>
        <v>0</v>
      </c>
      <c r="N6756" s="16">
        <f>IF($A6756&lt;Notes!$B$5,"",IF(COUNTIFS(Release_Calendar!$A$2:$A$755,"NZ_GDP",Release_Calendar!$B$2:$B$755,$A6756)&gt;0,1,0))</f>
        <v>0</v>
      </c>
      <c r="O6756" s="16">
        <f>IF($A6756&lt;Notes!$B$5,"",IF(COUNTIFS(Release_Calendar!$A$2:$A$755,"NZ_LABOUR",Release_Calendar!$B$2:$B$755,$A6756)&gt;0,1,0))</f>
        <v>0</v>
      </c>
      <c r="P6756" s="16">
        <f t="shared" si="4"/>
        <v>0</v>
      </c>
    </row>
    <row r="6757" ht="15.75" customHeight="1">
      <c r="A6757" s="14">
        <v>45985.0</v>
      </c>
      <c r="B6757" s="15">
        <v>3.46</v>
      </c>
      <c r="C6757" s="15">
        <v>2.6</v>
      </c>
      <c r="D6757" s="15"/>
      <c r="E6757" s="15">
        <v>2.91</v>
      </c>
      <c r="F6757" s="15">
        <f t="shared" si="1"/>
        <v>-0.86</v>
      </c>
      <c r="G6757" s="15">
        <f t="shared" si="2"/>
        <v>2.6</v>
      </c>
      <c r="H6757" s="16">
        <v>0.0</v>
      </c>
      <c r="I6757" s="15">
        <f t="shared" si="3"/>
        <v>-0.86</v>
      </c>
      <c r="J6757" s="15">
        <v>20.52</v>
      </c>
      <c r="K6757" s="16">
        <f>IF(COUNTIFS(Release_Calendar!$A$2:$A$755,"US_CPI",Release_Calendar!$B$2:$B$755,$A6757)&gt;0,1,0)</f>
        <v>0</v>
      </c>
      <c r="L6757" s="16">
        <f>IF(COUNTIFS(Release_Calendar!$A$2:$A$755,"US_NFP",Release_Calendar!$B$2:$B$755,$A6757)&gt;0,1,0)</f>
        <v>0</v>
      </c>
      <c r="M6757" s="16">
        <f>IF($A6757&lt;Notes!$B$5,"",IF(COUNTIFS(Release_Calendar!$A$2:$A$755,"NZ_CPI",Release_Calendar!$B$2:$B$755,$A6757)&gt;0,1,0))</f>
        <v>0</v>
      </c>
      <c r="N6757" s="16">
        <f>IF($A6757&lt;Notes!$B$5,"",IF(COUNTIFS(Release_Calendar!$A$2:$A$755,"NZ_GDP",Release_Calendar!$B$2:$B$755,$A6757)&gt;0,1,0))</f>
        <v>0</v>
      </c>
      <c r="O6757" s="16">
        <f>IF($A6757&lt;Notes!$B$5,"",IF(COUNTIFS(Release_Calendar!$A$2:$A$755,"NZ_LABOUR",Release_Calendar!$B$2:$B$755,$A6757)&gt;0,1,0))</f>
        <v>0</v>
      </c>
      <c r="P6757" s="16">
        <f t="shared" si="4"/>
        <v>0</v>
      </c>
    </row>
    <row r="6758" ht="15.75" customHeight="1">
      <c r="A6758" s="14">
        <v>45986.0</v>
      </c>
      <c r="B6758" s="15">
        <v>3.43</v>
      </c>
      <c r="C6758" s="15">
        <v>2.59</v>
      </c>
      <c r="D6758" s="15"/>
      <c r="E6758" s="15">
        <v>2.9</v>
      </c>
      <c r="F6758" s="15">
        <f t="shared" si="1"/>
        <v>-0.84</v>
      </c>
      <c r="G6758" s="15">
        <f t="shared" si="2"/>
        <v>2.59</v>
      </c>
      <c r="H6758" s="16">
        <v>0.0</v>
      </c>
      <c r="I6758" s="15">
        <f t="shared" si="3"/>
        <v>-0.84</v>
      </c>
      <c r="J6758" s="15">
        <v>18.56</v>
      </c>
      <c r="K6758" s="16">
        <f>IF(COUNTIFS(Release_Calendar!$A$2:$A$755,"US_CPI",Release_Calendar!$B$2:$B$755,$A6758)&gt;0,1,0)</f>
        <v>0</v>
      </c>
      <c r="L6758" s="16">
        <f>IF(COUNTIFS(Release_Calendar!$A$2:$A$755,"US_NFP",Release_Calendar!$B$2:$B$755,$A6758)&gt;0,1,0)</f>
        <v>0</v>
      </c>
      <c r="M6758" s="16">
        <f>IF($A6758&lt;Notes!$B$5,"",IF(COUNTIFS(Release_Calendar!$A$2:$A$755,"NZ_CPI",Release_Calendar!$B$2:$B$755,$A6758)&gt;0,1,0))</f>
        <v>0</v>
      </c>
      <c r="N6758" s="16">
        <f>IF($A6758&lt;Notes!$B$5,"",IF(COUNTIFS(Release_Calendar!$A$2:$A$755,"NZ_GDP",Release_Calendar!$B$2:$B$755,$A6758)&gt;0,1,0))</f>
        <v>0</v>
      </c>
      <c r="O6758" s="16">
        <f>IF($A6758&lt;Notes!$B$5,"",IF(COUNTIFS(Release_Calendar!$A$2:$A$755,"NZ_LABOUR",Release_Calendar!$B$2:$B$755,$A6758)&gt;0,1,0))</f>
        <v>0</v>
      </c>
      <c r="P6758" s="16">
        <f t="shared" si="4"/>
        <v>0</v>
      </c>
    </row>
    <row r="6759" ht="15.75" customHeight="1">
      <c r="A6759" s="14">
        <v>45987.0</v>
      </c>
      <c r="B6759" s="15">
        <v>3.45</v>
      </c>
      <c r="C6759" s="15">
        <v>2.7</v>
      </c>
      <c r="D6759" s="15"/>
      <c r="E6759" s="15">
        <v>2.99</v>
      </c>
      <c r="F6759" s="15">
        <f t="shared" si="1"/>
        <v>-0.75</v>
      </c>
      <c r="G6759" s="15">
        <f t="shared" si="2"/>
        <v>2.7</v>
      </c>
      <c r="H6759" s="16">
        <v>0.0</v>
      </c>
      <c r="I6759" s="15">
        <f t="shared" si="3"/>
        <v>-0.75</v>
      </c>
      <c r="J6759" s="15">
        <v>17.19</v>
      </c>
      <c r="K6759" s="16">
        <f>IF(COUNTIFS(Release_Calendar!$A$2:$A$755,"US_CPI",Release_Calendar!$B$2:$B$755,$A6759)&gt;0,1,0)</f>
        <v>0</v>
      </c>
      <c r="L6759" s="16">
        <f>IF(COUNTIFS(Release_Calendar!$A$2:$A$755,"US_NFP",Release_Calendar!$B$2:$B$755,$A6759)&gt;0,1,0)</f>
        <v>0</v>
      </c>
      <c r="M6759" s="16">
        <f>IF($A6759&lt;Notes!$B$5,"",IF(COUNTIFS(Release_Calendar!$A$2:$A$755,"NZ_CPI",Release_Calendar!$B$2:$B$755,$A6759)&gt;0,1,0))</f>
        <v>0</v>
      </c>
      <c r="N6759" s="16">
        <f>IF($A6759&lt;Notes!$B$5,"",IF(COUNTIFS(Release_Calendar!$A$2:$A$755,"NZ_GDP",Release_Calendar!$B$2:$B$755,$A6759)&gt;0,1,0))</f>
        <v>0</v>
      </c>
      <c r="O6759" s="16">
        <f>IF($A6759&lt;Notes!$B$5,"",IF(COUNTIFS(Release_Calendar!$A$2:$A$755,"NZ_LABOUR",Release_Calendar!$B$2:$B$755,$A6759)&gt;0,1,0))</f>
        <v>0</v>
      </c>
      <c r="P6759" s="16">
        <f t="shared" si="4"/>
        <v>0</v>
      </c>
    </row>
    <row r="6760" ht="15.75" customHeight="1">
      <c r="A6760" s="14">
        <v>45988.0</v>
      </c>
      <c r="B6760" s="15"/>
      <c r="C6760" s="15">
        <v>2.79</v>
      </c>
      <c r="D6760" s="15"/>
      <c r="E6760" s="15">
        <v>3.08</v>
      </c>
      <c r="F6760" s="15" t="str">
        <f t="shared" si="1"/>
        <v/>
      </c>
      <c r="G6760" s="15">
        <f t="shared" si="2"/>
        <v>2.79</v>
      </c>
      <c r="H6760" s="16">
        <v>0.0</v>
      </c>
      <c r="I6760" s="15" t="str">
        <f t="shared" si="3"/>
        <v/>
      </c>
      <c r="J6760" s="15">
        <v>17.21</v>
      </c>
      <c r="K6760" s="16">
        <f>IF(COUNTIFS(Release_Calendar!$A$2:$A$755,"US_CPI",Release_Calendar!$B$2:$B$755,$A6760)&gt;0,1,0)</f>
        <v>0</v>
      </c>
      <c r="L6760" s="16">
        <f>IF(COUNTIFS(Release_Calendar!$A$2:$A$755,"US_NFP",Release_Calendar!$B$2:$B$755,$A6760)&gt;0,1,0)</f>
        <v>0</v>
      </c>
      <c r="M6760" s="16">
        <f>IF($A6760&lt;Notes!$B$5,"",IF(COUNTIFS(Release_Calendar!$A$2:$A$755,"NZ_CPI",Release_Calendar!$B$2:$B$755,$A6760)&gt;0,1,0))</f>
        <v>0</v>
      </c>
      <c r="N6760" s="16">
        <f>IF($A6760&lt;Notes!$B$5,"",IF(COUNTIFS(Release_Calendar!$A$2:$A$755,"NZ_GDP",Release_Calendar!$B$2:$B$755,$A6760)&gt;0,1,0))</f>
        <v>0</v>
      </c>
      <c r="O6760" s="16">
        <f>IF($A6760&lt;Notes!$B$5,"",IF(COUNTIFS(Release_Calendar!$A$2:$A$755,"NZ_LABOUR",Release_Calendar!$B$2:$B$755,$A6760)&gt;0,1,0))</f>
        <v>0</v>
      </c>
      <c r="P6760" s="16">
        <f t="shared" si="4"/>
        <v>0</v>
      </c>
    </row>
    <row r="6761" ht="15.75" customHeight="1">
      <c r="A6761" s="14">
        <v>45989.0</v>
      </c>
      <c r="B6761" s="15">
        <v>3.47</v>
      </c>
      <c r="C6761" s="15">
        <v>2.86</v>
      </c>
      <c r="D6761" s="15"/>
      <c r="E6761" s="15">
        <v>3.16</v>
      </c>
      <c r="F6761" s="15">
        <f t="shared" si="1"/>
        <v>-0.61</v>
      </c>
      <c r="G6761" s="15">
        <f t="shared" si="2"/>
        <v>2.86</v>
      </c>
      <c r="H6761" s="16">
        <v>0.0</v>
      </c>
      <c r="I6761" s="15">
        <f t="shared" si="3"/>
        <v>-0.61</v>
      </c>
      <c r="J6761" s="15">
        <v>16.35</v>
      </c>
      <c r="K6761" s="16">
        <f>IF(COUNTIFS(Release_Calendar!$A$2:$A$755,"US_CPI",Release_Calendar!$B$2:$B$755,$A6761)&gt;0,1,0)</f>
        <v>0</v>
      </c>
      <c r="L6761" s="16">
        <f>IF(COUNTIFS(Release_Calendar!$A$2:$A$755,"US_NFP",Release_Calendar!$B$2:$B$755,$A6761)&gt;0,1,0)</f>
        <v>0</v>
      </c>
      <c r="M6761" s="16">
        <f>IF($A6761&lt;Notes!$B$5,"",IF(COUNTIFS(Release_Calendar!$A$2:$A$755,"NZ_CPI",Release_Calendar!$B$2:$B$755,$A6761)&gt;0,1,0))</f>
        <v>0</v>
      </c>
      <c r="N6761" s="16">
        <f>IF($A6761&lt;Notes!$B$5,"",IF(COUNTIFS(Release_Calendar!$A$2:$A$755,"NZ_GDP",Release_Calendar!$B$2:$B$755,$A6761)&gt;0,1,0))</f>
        <v>0</v>
      </c>
      <c r="O6761" s="16">
        <f>IF($A6761&lt;Notes!$B$5,"",IF(COUNTIFS(Release_Calendar!$A$2:$A$755,"NZ_LABOUR",Release_Calendar!$B$2:$B$755,$A6761)&gt;0,1,0))</f>
        <v>0</v>
      </c>
      <c r="P6761" s="16">
        <f t="shared" si="4"/>
        <v>0</v>
      </c>
    </row>
    <row r="6762" ht="15.75" customHeight="1">
      <c r="A6762" s="14">
        <v>45992.0</v>
      </c>
      <c r="B6762" s="15">
        <v>3.54</v>
      </c>
      <c r="C6762" s="15">
        <v>2.89</v>
      </c>
      <c r="D6762" s="15"/>
      <c r="E6762" s="15">
        <v>3.19</v>
      </c>
      <c r="F6762" s="15">
        <f t="shared" si="1"/>
        <v>-0.65</v>
      </c>
      <c r="G6762" s="15">
        <f t="shared" si="2"/>
        <v>2.89</v>
      </c>
      <c r="H6762" s="16">
        <v>0.0</v>
      </c>
      <c r="I6762" s="15">
        <f t="shared" si="3"/>
        <v>-0.65</v>
      </c>
      <c r="J6762" s="15">
        <v>17.24</v>
      </c>
      <c r="K6762" s="16">
        <f>IF(COUNTIFS(Release_Calendar!$A$2:$A$755,"US_CPI",Release_Calendar!$B$2:$B$755,$A6762)&gt;0,1,0)</f>
        <v>0</v>
      </c>
      <c r="L6762" s="16">
        <f>IF(COUNTIFS(Release_Calendar!$A$2:$A$755,"US_NFP",Release_Calendar!$B$2:$B$755,$A6762)&gt;0,1,0)</f>
        <v>0</v>
      </c>
      <c r="M6762" s="16">
        <f>IF($A6762&lt;Notes!$B$5,"",IF(COUNTIFS(Release_Calendar!$A$2:$A$755,"NZ_CPI",Release_Calendar!$B$2:$B$755,$A6762)&gt;0,1,0))</f>
        <v>0</v>
      </c>
      <c r="N6762" s="16">
        <f>IF($A6762&lt;Notes!$B$5,"",IF(COUNTIFS(Release_Calendar!$A$2:$A$755,"NZ_GDP",Release_Calendar!$B$2:$B$755,$A6762)&gt;0,1,0))</f>
        <v>0</v>
      </c>
      <c r="O6762" s="16">
        <f>IF($A6762&lt;Notes!$B$5,"",IF(COUNTIFS(Release_Calendar!$A$2:$A$755,"NZ_LABOUR",Release_Calendar!$B$2:$B$755,$A6762)&gt;0,1,0))</f>
        <v>0</v>
      </c>
      <c r="P6762" s="16">
        <f t="shared" si="4"/>
        <v>0</v>
      </c>
    </row>
    <row r="6763" ht="15.75" customHeight="1">
      <c r="A6763" s="14">
        <v>45993.0</v>
      </c>
      <c r="B6763" s="15">
        <v>3.51</v>
      </c>
      <c r="C6763" s="15">
        <v>2.86</v>
      </c>
      <c r="D6763" s="15"/>
      <c r="E6763" s="15">
        <v>3.2</v>
      </c>
      <c r="F6763" s="15">
        <f t="shared" si="1"/>
        <v>-0.65</v>
      </c>
      <c r="G6763" s="15">
        <f t="shared" si="2"/>
        <v>2.86</v>
      </c>
      <c r="H6763" s="16">
        <v>0.0</v>
      </c>
      <c r="I6763" s="15">
        <f t="shared" si="3"/>
        <v>-0.65</v>
      </c>
      <c r="J6763" s="15">
        <v>16.59</v>
      </c>
      <c r="K6763" s="16">
        <f>IF(COUNTIFS(Release_Calendar!$A$2:$A$755,"US_CPI",Release_Calendar!$B$2:$B$755,$A6763)&gt;0,1,0)</f>
        <v>0</v>
      </c>
      <c r="L6763" s="16">
        <f>IF(COUNTIFS(Release_Calendar!$A$2:$A$755,"US_NFP",Release_Calendar!$B$2:$B$755,$A6763)&gt;0,1,0)</f>
        <v>0</v>
      </c>
      <c r="M6763" s="16">
        <f>IF($A6763&lt;Notes!$B$5,"",IF(COUNTIFS(Release_Calendar!$A$2:$A$755,"NZ_CPI",Release_Calendar!$B$2:$B$755,$A6763)&gt;0,1,0))</f>
        <v>0</v>
      </c>
      <c r="N6763" s="16">
        <f>IF($A6763&lt;Notes!$B$5,"",IF(COUNTIFS(Release_Calendar!$A$2:$A$755,"NZ_GDP",Release_Calendar!$B$2:$B$755,$A6763)&gt;0,1,0))</f>
        <v>0</v>
      </c>
      <c r="O6763" s="16">
        <f>IF($A6763&lt;Notes!$B$5,"",IF(COUNTIFS(Release_Calendar!$A$2:$A$755,"NZ_LABOUR",Release_Calendar!$B$2:$B$755,$A6763)&gt;0,1,0))</f>
        <v>0</v>
      </c>
      <c r="P6763" s="16">
        <f t="shared" si="4"/>
        <v>0</v>
      </c>
    </row>
    <row r="6764" ht="15.75" customHeight="1">
      <c r="A6764" s="14">
        <v>45994.0</v>
      </c>
      <c r="B6764" s="15">
        <v>3.49</v>
      </c>
      <c r="C6764" s="15">
        <v>2.83</v>
      </c>
      <c r="D6764" s="15"/>
      <c r="E6764" s="15">
        <v>3.14</v>
      </c>
      <c r="F6764" s="15">
        <f t="shared" si="1"/>
        <v>-0.66</v>
      </c>
      <c r="G6764" s="15">
        <f t="shared" si="2"/>
        <v>2.83</v>
      </c>
      <c r="H6764" s="16">
        <v>0.0</v>
      </c>
      <c r="I6764" s="15">
        <f t="shared" si="3"/>
        <v>-0.66</v>
      </c>
      <c r="J6764" s="15">
        <v>16.08</v>
      </c>
      <c r="K6764" s="16">
        <f>IF(COUNTIFS(Release_Calendar!$A$2:$A$755,"US_CPI",Release_Calendar!$B$2:$B$755,$A6764)&gt;0,1,0)</f>
        <v>0</v>
      </c>
      <c r="L6764" s="16">
        <f>IF(COUNTIFS(Release_Calendar!$A$2:$A$755,"US_NFP",Release_Calendar!$B$2:$B$755,$A6764)&gt;0,1,0)</f>
        <v>0</v>
      </c>
      <c r="M6764" s="16">
        <f>IF($A6764&lt;Notes!$B$5,"",IF(COUNTIFS(Release_Calendar!$A$2:$A$755,"NZ_CPI",Release_Calendar!$B$2:$B$755,$A6764)&gt;0,1,0))</f>
        <v>0</v>
      </c>
      <c r="N6764" s="16">
        <f>IF($A6764&lt;Notes!$B$5,"",IF(COUNTIFS(Release_Calendar!$A$2:$A$755,"NZ_GDP",Release_Calendar!$B$2:$B$755,$A6764)&gt;0,1,0))</f>
        <v>0</v>
      </c>
      <c r="O6764" s="16">
        <f>IF($A6764&lt;Notes!$B$5,"",IF(COUNTIFS(Release_Calendar!$A$2:$A$755,"NZ_LABOUR",Release_Calendar!$B$2:$B$755,$A6764)&gt;0,1,0))</f>
        <v>0</v>
      </c>
      <c r="P6764" s="16">
        <f t="shared" si="4"/>
        <v>0</v>
      </c>
    </row>
    <row r="6765" ht="15.75" customHeight="1">
      <c r="A6765" s="14">
        <v>45995.0</v>
      </c>
      <c r="B6765" s="15">
        <v>3.52</v>
      </c>
      <c r="C6765" s="15">
        <v>2.87</v>
      </c>
      <c r="D6765" s="15"/>
      <c r="E6765" s="15">
        <v>3.13</v>
      </c>
      <c r="F6765" s="15">
        <f t="shared" si="1"/>
        <v>-0.65</v>
      </c>
      <c r="G6765" s="15">
        <f t="shared" si="2"/>
        <v>2.87</v>
      </c>
      <c r="H6765" s="16">
        <v>0.0</v>
      </c>
      <c r="I6765" s="15">
        <f t="shared" si="3"/>
        <v>-0.65</v>
      </c>
      <c r="J6765" s="15">
        <v>15.78</v>
      </c>
      <c r="K6765" s="16">
        <f>IF(COUNTIFS(Release_Calendar!$A$2:$A$755,"US_CPI",Release_Calendar!$B$2:$B$755,$A6765)&gt;0,1,0)</f>
        <v>0</v>
      </c>
      <c r="L6765" s="16">
        <f>IF(COUNTIFS(Release_Calendar!$A$2:$A$755,"US_NFP",Release_Calendar!$B$2:$B$755,$A6765)&gt;0,1,0)</f>
        <v>0</v>
      </c>
      <c r="M6765" s="16">
        <f>IF($A6765&lt;Notes!$B$5,"",IF(COUNTIFS(Release_Calendar!$A$2:$A$755,"NZ_CPI",Release_Calendar!$B$2:$B$755,$A6765)&gt;0,1,0))</f>
        <v>0</v>
      </c>
      <c r="N6765" s="16">
        <f>IF($A6765&lt;Notes!$B$5,"",IF(COUNTIFS(Release_Calendar!$A$2:$A$755,"NZ_GDP",Release_Calendar!$B$2:$B$755,$A6765)&gt;0,1,0))</f>
        <v>0</v>
      </c>
      <c r="O6765" s="16">
        <f>IF($A6765&lt;Notes!$B$5,"",IF(COUNTIFS(Release_Calendar!$A$2:$A$755,"NZ_LABOUR",Release_Calendar!$B$2:$B$755,$A6765)&gt;0,1,0))</f>
        <v>0</v>
      </c>
      <c r="P6765" s="16">
        <f t="shared" si="4"/>
        <v>0</v>
      </c>
    </row>
    <row r="6766" ht="15.75" customHeight="1">
      <c r="A6766" s="14">
        <v>45996.0</v>
      </c>
      <c r="B6766" s="15">
        <v>3.56</v>
      </c>
      <c r="C6766" s="15">
        <v>2.9</v>
      </c>
      <c r="D6766" s="15"/>
      <c r="E6766" s="15">
        <v>3.16</v>
      </c>
      <c r="F6766" s="15">
        <f t="shared" si="1"/>
        <v>-0.66</v>
      </c>
      <c r="G6766" s="15">
        <f t="shared" si="2"/>
        <v>2.9</v>
      </c>
      <c r="H6766" s="16">
        <v>0.0</v>
      </c>
      <c r="I6766" s="15">
        <f t="shared" si="3"/>
        <v>-0.66</v>
      </c>
      <c r="J6766" s="15">
        <v>15.41</v>
      </c>
      <c r="K6766" s="16">
        <f>IF(COUNTIFS(Release_Calendar!$A$2:$A$755,"US_CPI",Release_Calendar!$B$2:$B$755,$A6766)&gt;0,1,0)</f>
        <v>0</v>
      </c>
      <c r="L6766" s="16">
        <f>IF(COUNTIFS(Release_Calendar!$A$2:$A$755,"US_NFP",Release_Calendar!$B$2:$B$755,$A6766)&gt;0,1,0)</f>
        <v>0</v>
      </c>
      <c r="M6766" s="16">
        <f>IF($A6766&lt;Notes!$B$5,"",IF(COUNTIFS(Release_Calendar!$A$2:$A$755,"NZ_CPI",Release_Calendar!$B$2:$B$755,$A6766)&gt;0,1,0))</f>
        <v>0</v>
      </c>
      <c r="N6766" s="16">
        <f>IF($A6766&lt;Notes!$B$5,"",IF(COUNTIFS(Release_Calendar!$A$2:$A$755,"NZ_GDP",Release_Calendar!$B$2:$B$755,$A6766)&gt;0,1,0))</f>
        <v>0</v>
      </c>
      <c r="O6766" s="16">
        <f>IF($A6766&lt;Notes!$B$5,"",IF(COUNTIFS(Release_Calendar!$A$2:$A$755,"NZ_LABOUR",Release_Calendar!$B$2:$B$755,$A6766)&gt;0,1,0))</f>
        <v>0</v>
      </c>
      <c r="P6766" s="16">
        <f t="shared" si="4"/>
        <v>0</v>
      </c>
    </row>
    <row r="6767" ht="15.75" customHeight="1">
      <c r="A6767" s="14">
        <v>45999.0</v>
      </c>
      <c r="B6767" s="15">
        <v>3.57</v>
      </c>
      <c r="C6767" s="15">
        <v>2.99</v>
      </c>
      <c r="D6767" s="15"/>
      <c r="E6767" s="15">
        <v>3.25</v>
      </c>
      <c r="F6767" s="15">
        <f t="shared" si="1"/>
        <v>-0.58</v>
      </c>
      <c r="G6767" s="15">
        <f t="shared" si="2"/>
        <v>2.99</v>
      </c>
      <c r="H6767" s="16">
        <v>0.0</v>
      </c>
      <c r="I6767" s="15">
        <f t="shared" si="3"/>
        <v>-0.58</v>
      </c>
      <c r="J6767" s="15">
        <v>16.66</v>
      </c>
      <c r="K6767" s="16">
        <f>IF(COUNTIFS(Release_Calendar!$A$2:$A$755,"US_CPI",Release_Calendar!$B$2:$B$755,$A6767)&gt;0,1,0)</f>
        <v>0</v>
      </c>
      <c r="L6767" s="16">
        <f>IF(COUNTIFS(Release_Calendar!$A$2:$A$755,"US_NFP",Release_Calendar!$B$2:$B$755,$A6767)&gt;0,1,0)</f>
        <v>0</v>
      </c>
      <c r="M6767" s="16">
        <f>IF($A6767&lt;Notes!$B$5,"",IF(COUNTIFS(Release_Calendar!$A$2:$A$755,"NZ_CPI",Release_Calendar!$B$2:$B$755,$A6767)&gt;0,1,0))</f>
        <v>0</v>
      </c>
      <c r="N6767" s="16">
        <f>IF($A6767&lt;Notes!$B$5,"",IF(COUNTIFS(Release_Calendar!$A$2:$A$755,"NZ_GDP",Release_Calendar!$B$2:$B$755,$A6767)&gt;0,1,0))</f>
        <v>0</v>
      </c>
      <c r="O6767" s="16">
        <f>IF($A6767&lt;Notes!$B$5,"",IF(COUNTIFS(Release_Calendar!$A$2:$A$755,"NZ_LABOUR",Release_Calendar!$B$2:$B$755,$A6767)&gt;0,1,0))</f>
        <v>0</v>
      </c>
      <c r="P6767" s="16">
        <f t="shared" si="4"/>
        <v>0</v>
      </c>
    </row>
    <row r="6768" ht="15.75" customHeight="1">
      <c r="A6768" s="14">
        <v>46000.0</v>
      </c>
      <c r="B6768" s="15">
        <v>3.61</v>
      </c>
      <c r="C6768" s="15">
        <v>3.05</v>
      </c>
      <c r="D6768" s="15"/>
      <c r="E6768" s="15">
        <v>3.3</v>
      </c>
      <c r="F6768" s="15">
        <f t="shared" si="1"/>
        <v>-0.56</v>
      </c>
      <c r="G6768" s="15">
        <f t="shared" si="2"/>
        <v>3.05</v>
      </c>
      <c r="H6768" s="16">
        <v>0.0</v>
      </c>
      <c r="I6768" s="15">
        <f t="shared" si="3"/>
        <v>-0.56</v>
      </c>
      <c r="J6768" s="15">
        <v>16.93</v>
      </c>
      <c r="K6768" s="16">
        <f>IF(COUNTIFS(Release_Calendar!$A$2:$A$755,"US_CPI",Release_Calendar!$B$2:$B$755,$A6768)&gt;0,1,0)</f>
        <v>0</v>
      </c>
      <c r="L6768" s="16">
        <f>IF(COUNTIFS(Release_Calendar!$A$2:$A$755,"US_NFP",Release_Calendar!$B$2:$B$755,$A6768)&gt;0,1,0)</f>
        <v>0</v>
      </c>
      <c r="M6768" s="16">
        <f>IF($A6768&lt;Notes!$B$5,"",IF(COUNTIFS(Release_Calendar!$A$2:$A$755,"NZ_CPI",Release_Calendar!$B$2:$B$755,$A6768)&gt;0,1,0))</f>
        <v>0</v>
      </c>
      <c r="N6768" s="16">
        <f>IF($A6768&lt;Notes!$B$5,"",IF(COUNTIFS(Release_Calendar!$A$2:$A$755,"NZ_GDP",Release_Calendar!$B$2:$B$755,$A6768)&gt;0,1,0))</f>
        <v>0</v>
      </c>
      <c r="O6768" s="16">
        <f>IF($A6768&lt;Notes!$B$5,"",IF(COUNTIFS(Release_Calendar!$A$2:$A$755,"NZ_LABOUR",Release_Calendar!$B$2:$B$755,$A6768)&gt;0,1,0))</f>
        <v>0</v>
      </c>
      <c r="P6768" s="16">
        <f t="shared" si="4"/>
        <v>0</v>
      </c>
    </row>
    <row r="6769" ht="15.75" customHeight="1">
      <c r="A6769" s="14">
        <v>46001.0</v>
      </c>
      <c r="B6769" s="15">
        <v>3.54</v>
      </c>
      <c r="C6769" s="15">
        <v>3.12</v>
      </c>
      <c r="D6769" s="15"/>
      <c r="E6769" s="15">
        <v>3.36</v>
      </c>
      <c r="F6769" s="15">
        <f t="shared" si="1"/>
        <v>-0.42</v>
      </c>
      <c r="G6769" s="15">
        <f t="shared" si="2"/>
        <v>3.12</v>
      </c>
      <c r="H6769" s="16">
        <v>0.0</v>
      </c>
      <c r="I6769" s="15">
        <f t="shared" si="3"/>
        <v>-0.42</v>
      </c>
      <c r="J6769" s="15">
        <v>15.77</v>
      </c>
      <c r="K6769" s="16">
        <f>IF(COUNTIFS(Release_Calendar!$A$2:$A$755,"US_CPI",Release_Calendar!$B$2:$B$755,$A6769)&gt;0,1,0)</f>
        <v>0</v>
      </c>
      <c r="L6769" s="16">
        <f>IF(COUNTIFS(Release_Calendar!$A$2:$A$755,"US_NFP",Release_Calendar!$B$2:$B$755,$A6769)&gt;0,1,0)</f>
        <v>0</v>
      </c>
      <c r="M6769" s="16">
        <f>IF($A6769&lt;Notes!$B$5,"",IF(COUNTIFS(Release_Calendar!$A$2:$A$755,"NZ_CPI",Release_Calendar!$B$2:$B$755,$A6769)&gt;0,1,0))</f>
        <v>0</v>
      </c>
      <c r="N6769" s="16">
        <f>IF($A6769&lt;Notes!$B$5,"",IF(COUNTIFS(Release_Calendar!$A$2:$A$755,"NZ_GDP",Release_Calendar!$B$2:$B$755,$A6769)&gt;0,1,0))</f>
        <v>0</v>
      </c>
      <c r="O6769" s="16">
        <f>IF($A6769&lt;Notes!$B$5,"",IF(COUNTIFS(Release_Calendar!$A$2:$A$755,"NZ_LABOUR",Release_Calendar!$B$2:$B$755,$A6769)&gt;0,1,0))</f>
        <v>0</v>
      </c>
      <c r="P6769" s="16">
        <f t="shared" si="4"/>
        <v>0</v>
      </c>
    </row>
    <row r="6770" ht="15.75" customHeight="1">
      <c r="A6770" s="14">
        <v>46002.0</v>
      </c>
      <c r="B6770" s="15">
        <v>3.52</v>
      </c>
      <c r="C6770" s="15">
        <v>3.07</v>
      </c>
      <c r="D6770" s="15"/>
      <c r="E6770" s="15">
        <v>3.33</v>
      </c>
      <c r="F6770" s="15">
        <f t="shared" si="1"/>
        <v>-0.45</v>
      </c>
      <c r="G6770" s="15">
        <f t="shared" si="2"/>
        <v>3.07</v>
      </c>
      <c r="H6770" s="16">
        <v>0.0</v>
      </c>
      <c r="I6770" s="15">
        <f t="shared" si="3"/>
        <v>-0.45</v>
      </c>
      <c r="J6770" s="15">
        <v>14.85</v>
      </c>
      <c r="K6770" s="16">
        <f>IF(COUNTIFS(Release_Calendar!$A$2:$A$755,"US_CPI",Release_Calendar!$B$2:$B$755,$A6770)&gt;0,1,0)</f>
        <v>0</v>
      </c>
      <c r="L6770" s="16">
        <f>IF(COUNTIFS(Release_Calendar!$A$2:$A$755,"US_NFP",Release_Calendar!$B$2:$B$755,$A6770)&gt;0,1,0)</f>
        <v>0</v>
      </c>
      <c r="M6770" s="16">
        <f>IF($A6770&lt;Notes!$B$5,"",IF(COUNTIFS(Release_Calendar!$A$2:$A$755,"NZ_CPI",Release_Calendar!$B$2:$B$755,$A6770)&gt;0,1,0))</f>
        <v>0</v>
      </c>
      <c r="N6770" s="16">
        <f>IF($A6770&lt;Notes!$B$5,"",IF(COUNTIFS(Release_Calendar!$A$2:$A$755,"NZ_GDP",Release_Calendar!$B$2:$B$755,$A6770)&gt;0,1,0))</f>
        <v>0</v>
      </c>
      <c r="O6770" s="16">
        <f>IF($A6770&lt;Notes!$B$5,"",IF(COUNTIFS(Release_Calendar!$A$2:$A$755,"NZ_LABOUR",Release_Calendar!$B$2:$B$755,$A6770)&gt;0,1,0))</f>
        <v>0</v>
      </c>
      <c r="P6770" s="16">
        <f t="shared" si="4"/>
        <v>0</v>
      </c>
    </row>
    <row r="6771" ht="15.75" customHeight="1">
      <c r="A6771" s="14">
        <v>46003.0</v>
      </c>
      <c r="B6771" s="15">
        <v>3.52</v>
      </c>
      <c r="C6771" s="15">
        <v>3.08</v>
      </c>
      <c r="D6771" s="15"/>
      <c r="E6771" s="15">
        <v>3.35</v>
      </c>
      <c r="F6771" s="15">
        <f t="shared" si="1"/>
        <v>-0.44</v>
      </c>
      <c r="G6771" s="15">
        <f t="shared" si="2"/>
        <v>3.08</v>
      </c>
      <c r="H6771" s="16">
        <v>0.0</v>
      </c>
      <c r="I6771" s="15">
        <f t="shared" si="3"/>
        <v>-0.44</v>
      </c>
      <c r="J6771" s="15">
        <v>15.74</v>
      </c>
      <c r="K6771" s="16">
        <f>IF(COUNTIFS(Release_Calendar!$A$2:$A$755,"US_CPI",Release_Calendar!$B$2:$B$755,$A6771)&gt;0,1,0)</f>
        <v>0</v>
      </c>
      <c r="L6771" s="16">
        <f>IF(COUNTIFS(Release_Calendar!$A$2:$A$755,"US_NFP",Release_Calendar!$B$2:$B$755,$A6771)&gt;0,1,0)</f>
        <v>0</v>
      </c>
      <c r="M6771" s="16">
        <f>IF($A6771&lt;Notes!$B$5,"",IF(COUNTIFS(Release_Calendar!$A$2:$A$755,"NZ_CPI",Release_Calendar!$B$2:$B$755,$A6771)&gt;0,1,0))</f>
        <v>0</v>
      </c>
      <c r="N6771" s="16">
        <f>IF($A6771&lt;Notes!$B$5,"",IF(COUNTIFS(Release_Calendar!$A$2:$A$755,"NZ_GDP",Release_Calendar!$B$2:$B$755,$A6771)&gt;0,1,0))</f>
        <v>0</v>
      </c>
      <c r="O6771" s="16">
        <f>IF($A6771&lt;Notes!$B$5,"",IF(COUNTIFS(Release_Calendar!$A$2:$A$755,"NZ_LABOUR",Release_Calendar!$B$2:$B$755,$A6771)&gt;0,1,0))</f>
        <v>0</v>
      </c>
      <c r="P6771" s="16">
        <f t="shared" si="4"/>
        <v>0</v>
      </c>
    </row>
    <row r="6772" ht="15.75" customHeight="1">
      <c r="A6772" s="14">
        <v>46006.0</v>
      </c>
      <c r="B6772" s="15">
        <v>3.51</v>
      </c>
      <c r="C6772" s="15">
        <v>3.03</v>
      </c>
      <c r="D6772" s="15"/>
      <c r="E6772" s="15">
        <v>3.29</v>
      </c>
      <c r="F6772" s="15">
        <f t="shared" si="1"/>
        <v>-0.48</v>
      </c>
      <c r="G6772" s="15">
        <f t="shared" si="2"/>
        <v>3.03</v>
      </c>
      <c r="H6772" s="16">
        <v>0.0</v>
      </c>
      <c r="I6772" s="15">
        <f t="shared" si="3"/>
        <v>-0.48</v>
      </c>
      <c r="J6772" s="15">
        <v>16.5</v>
      </c>
      <c r="K6772" s="16">
        <f>IF(COUNTIFS(Release_Calendar!$A$2:$A$755,"US_CPI",Release_Calendar!$B$2:$B$755,$A6772)&gt;0,1,0)</f>
        <v>0</v>
      </c>
      <c r="L6772" s="16">
        <f>IF(COUNTIFS(Release_Calendar!$A$2:$A$755,"US_NFP",Release_Calendar!$B$2:$B$755,$A6772)&gt;0,1,0)</f>
        <v>0</v>
      </c>
      <c r="M6772" s="16">
        <f>IF($A6772&lt;Notes!$B$5,"",IF(COUNTIFS(Release_Calendar!$A$2:$A$755,"NZ_CPI",Release_Calendar!$B$2:$B$755,$A6772)&gt;0,1,0))</f>
        <v>0</v>
      </c>
      <c r="N6772" s="16">
        <f>IF($A6772&lt;Notes!$B$5,"",IF(COUNTIFS(Release_Calendar!$A$2:$A$755,"NZ_GDP",Release_Calendar!$B$2:$B$755,$A6772)&gt;0,1,0))</f>
        <v>0</v>
      </c>
      <c r="O6772" s="16">
        <f>IF($A6772&lt;Notes!$B$5,"",IF(COUNTIFS(Release_Calendar!$A$2:$A$755,"NZ_LABOUR",Release_Calendar!$B$2:$B$755,$A6772)&gt;0,1,0))</f>
        <v>0</v>
      </c>
      <c r="P6772" s="16">
        <f t="shared" si="4"/>
        <v>0</v>
      </c>
    </row>
    <row r="6773" ht="15.75" customHeight="1">
      <c r="A6773" s="14">
        <v>46007.0</v>
      </c>
      <c r="B6773" s="15">
        <v>3.48</v>
      </c>
      <c r="C6773" s="15">
        <v>2.98</v>
      </c>
      <c r="D6773" s="15"/>
      <c r="E6773" s="15">
        <v>3.22</v>
      </c>
      <c r="F6773" s="15">
        <f t="shared" si="1"/>
        <v>-0.5</v>
      </c>
      <c r="G6773" s="15">
        <f t="shared" si="2"/>
        <v>2.98</v>
      </c>
      <c r="H6773" s="16">
        <v>0.0</v>
      </c>
      <c r="I6773" s="15">
        <f t="shared" si="3"/>
        <v>-0.5</v>
      </c>
      <c r="J6773" s="15">
        <v>16.48</v>
      </c>
      <c r="K6773" s="16">
        <f>IF(COUNTIFS(Release_Calendar!$A$2:$A$755,"US_CPI",Release_Calendar!$B$2:$B$755,$A6773)&gt;0,1,0)</f>
        <v>0</v>
      </c>
      <c r="L6773" s="16">
        <f>IF(COUNTIFS(Release_Calendar!$A$2:$A$755,"US_NFP",Release_Calendar!$B$2:$B$755,$A6773)&gt;0,1,0)</f>
        <v>1</v>
      </c>
      <c r="M6773" s="16">
        <f>IF($A6773&lt;Notes!$B$5,"",IF(COUNTIFS(Release_Calendar!$A$2:$A$755,"NZ_CPI",Release_Calendar!$B$2:$B$755,$A6773)&gt;0,1,0))</f>
        <v>0</v>
      </c>
      <c r="N6773" s="16">
        <f>IF($A6773&lt;Notes!$B$5,"",IF(COUNTIFS(Release_Calendar!$A$2:$A$755,"NZ_GDP",Release_Calendar!$B$2:$B$755,$A6773)&gt;0,1,0))</f>
        <v>0</v>
      </c>
      <c r="O6773" s="16">
        <f>IF($A6773&lt;Notes!$B$5,"",IF(COUNTIFS(Release_Calendar!$A$2:$A$755,"NZ_LABOUR",Release_Calendar!$B$2:$B$755,$A6773)&gt;0,1,0))</f>
        <v>0</v>
      </c>
      <c r="P6773" s="16">
        <f t="shared" si="4"/>
        <v>1</v>
      </c>
    </row>
    <row r="6774" ht="15.75" customHeight="1">
      <c r="A6774" s="14">
        <v>46008.0</v>
      </c>
      <c r="B6774" s="15">
        <v>3.49</v>
      </c>
      <c r="C6774" s="15">
        <v>3.01</v>
      </c>
      <c r="D6774" s="15"/>
      <c r="E6774" s="15">
        <v>3.23</v>
      </c>
      <c r="F6774" s="15">
        <f t="shared" si="1"/>
        <v>-0.48</v>
      </c>
      <c r="G6774" s="15">
        <f t="shared" si="2"/>
        <v>3.01</v>
      </c>
      <c r="H6774" s="16">
        <v>0.0</v>
      </c>
      <c r="I6774" s="15">
        <f t="shared" si="3"/>
        <v>-0.48</v>
      </c>
      <c r="J6774" s="15">
        <v>17.62</v>
      </c>
      <c r="K6774" s="16">
        <f>IF(COUNTIFS(Release_Calendar!$A$2:$A$755,"US_CPI",Release_Calendar!$B$2:$B$755,$A6774)&gt;0,1,0)</f>
        <v>0</v>
      </c>
      <c r="L6774" s="16">
        <f>IF(COUNTIFS(Release_Calendar!$A$2:$A$755,"US_NFP",Release_Calendar!$B$2:$B$755,$A6774)&gt;0,1,0)</f>
        <v>0</v>
      </c>
      <c r="M6774" s="16">
        <f>IF($A6774&lt;Notes!$B$5,"",IF(COUNTIFS(Release_Calendar!$A$2:$A$755,"NZ_CPI",Release_Calendar!$B$2:$B$755,$A6774)&gt;0,1,0))</f>
        <v>0</v>
      </c>
      <c r="N6774" s="16">
        <f>IF($A6774&lt;Notes!$B$5,"",IF(COUNTIFS(Release_Calendar!$A$2:$A$755,"NZ_GDP",Release_Calendar!$B$2:$B$755,$A6774)&gt;0,1,0))</f>
        <v>0</v>
      </c>
      <c r="O6774" s="16">
        <f>IF($A6774&lt;Notes!$B$5,"",IF(COUNTIFS(Release_Calendar!$A$2:$A$755,"NZ_LABOUR",Release_Calendar!$B$2:$B$755,$A6774)&gt;0,1,0))</f>
        <v>0</v>
      </c>
      <c r="P6774" s="16">
        <f t="shared" si="4"/>
        <v>0</v>
      </c>
    </row>
    <row r="6775" ht="15.75" customHeight="1">
      <c r="A6775" s="14">
        <v>46009.0</v>
      </c>
      <c r="B6775" s="15">
        <v>3.46</v>
      </c>
      <c r="C6775" s="15">
        <v>2.97</v>
      </c>
      <c r="D6775" s="15"/>
      <c r="E6775" s="15">
        <v>3.21</v>
      </c>
      <c r="F6775" s="15">
        <f t="shared" si="1"/>
        <v>-0.49</v>
      </c>
      <c r="G6775" s="15">
        <f t="shared" si="2"/>
        <v>2.97</v>
      </c>
      <c r="H6775" s="16">
        <v>0.0</v>
      </c>
      <c r="I6775" s="15">
        <f t="shared" si="3"/>
        <v>-0.49</v>
      </c>
      <c r="J6775" s="15">
        <v>16.87</v>
      </c>
      <c r="K6775" s="16">
        <f>IF(COUNTIFS(Release_Calendar!$A$2:$A$755,"US_CPI",Release_Calendar!$B$2:$B$755,$A6775)&gt;0,1,0)</f>
        <v>1</v>
      </c>
      <c r="L6775" s="16">
        <f>IF(COUNTIFS(Release_Calendar!$A$2:$A$755,"US_NFP",Release_Calendar!$B$2:$B$755,$A6775)&gt;0,1,0)</f>
        <v>0</v>
      </c>
      <c r="M6775" s="16">
        <f>IF($A6775&lt;Notes!$B$5,"",IF(COUNTIFS(Release_Calendar!$A$2:$A$755,"NZ_CPI",Release_Calendar!$B$2:$B$755,$A6775)&gt;0,1,0))</f>
        <v>0</v>
      </c>
      <c r="N6775" s="16">
        <f>IF($A6775&lt;Notes!$B$5,"",IF(COUNTIFS(Release_Calendar!$A$2:$A$755,"NZ_GDP",Release_Calendar!$B$2:$B$755,$A6775)&gt;0,1,0))</f>
        <v>1</v>
      </c>
      <c r="O6775" s="16">
        <f>IF($A6775&lt;Notes!$B$5,"",IF(COUNTIFS(Release_Calendar!$A$2:$A$755,"NZ_LABOUR",Release_Calendar!$B$2:$B$755,$A6775)&gt;0,1,0))</f>
        <v>0</v>
      </c>
      <c r="P6775" s="16">
        <f t="shared" si="4"/>
        <v>1</v>
      </c>
    </row>
    <row r="6776" ht="15.75" customHeight="1">
      <c r="A6776" s="14">
        <v>46010.0</v>
      </c>
      <c r="B6776" s="15">
        <v>3.48</v>
      </c>
      <c r="C6776" s="15">
        <v>2.94</v>
      </c>
      <c r="D6776" s="15"/>
      <c r="E6776" s="15">
        <v>3.17</v>
      </c>
      <c r="F6776" s="15">
        <f t="shared" si="1"/>
        <v>-0.54</v>
      </c>
      <c r="G6776" s="15">
        <f t="shared" si="2"/>
        <v>2.94</v>
      </c>
      <c r="H6776" s="16">
        <v>0.0</v>
      </c>
      <c r="I6776" s="15">
        <f t="shared" si="3"/>
        <v>-0.54</v>
      </c>
      <c r="J6776" s="15">
        <v>14.91</v>
      </c>
      <c r="K6776" s="16">
        <f>IF(COUNTIFS(Release_Calendar!$A$2:$A$755,"US_CPI",Release_Calendar!$B$2:$B$755,$A6776)&gt;0,1,0)</f>
        <v>0</v>
      </c>
      <c r="L6776" s="16">
        <f>IF(COUNTIFS(Release_Calendar!$A$2:$A$755,"US_NFP",Release_Calendar!$B$2:$B$755,$A6776)&gt;0,1,0)</f>
        <v>0</v>
      </c>
      <c r="M6776" s="16">
        <f>IF($A6776&lt;Notes!$B$5,"",IF(COUNTIFS(Release_Calendar!$A$2:$A$755,"NZ_CPI",Release_Calendar!$B$2:$B$755,$A6776)&gt;0,1,0))</f>
        <v>0</v>
      </c>
      <c r="N6776" s="16">
        <f>IF($A6776&lt;Notes!$B$5,"",IF(COUNTIFS(Release_Calendar!$A$2:$A$755,"NZ_GDP",Release_Calendar!$B$2:$B$755,$A6776)&gt;0,1,0))</f>
        <v>0</v>
      </c>
      <c r="O6776" s="16">
        <f>IF($A6776&lt;Notes!$B$5,"",IF(COUNTIFS(Release_Calendar!$A$2:$A$755,"NZ_LABOUR",Release_Calendar!$B$2:$B$755,$A6776)&gt;0,1,0))</f>
        <v>0</v>
      </c>
      <c r="P6776" s="16">
        <f t="shared" si="4"/>
        <v>0</v>
      </c>
    </row>
    <row r="6777" ht="15.75" customHeight="1">
      <c r="A6777" s="14">
        <v>46013.0</v>
      </c>
      <c r="B6777" s="15">
        <v>3.44</v>
      </c>
      <c r="C6777" s="15">
        <v>3.0</v>
      </c>
      <c r="D6777" s="15"/>
      <c r="E6777" s="15">
        <v>3.24</v>
      </c>
      <c r="F6777" s="15">
        <f t="shared" si="1"/>
        <v>-0.44</v>
      </c>
      <c r="G6777" s="15">
        <f t="shared" si="2"/>
        <v>3</v>
      </c>
      <c r="H6777" s="16">
        <v>0.0</v>
      </c>
      <c r="I6777" s="15">
        <f t="shared" si="3"/>
        <v>-0.44</v>
      </c>
      <c r="J6777" s="15">
        <v>14.08</v>
      </c>
      <c r="K6777" s="16">
        <f>IF(COUNTIFS(Release_Calendar!$A$2:$A$755,"US_CPI",Release_Calendar!$B$2:$B$755,$A6777)&gt;0,1,0)</f>
        <v>0</v>
      </c>
      <c r="L6777" s="16">
        <f>IF(COUNTIFS(Release_Calendar!$A$2:$A$755,"US_NFP",Release_Calendar!$B$2:$B$755,$A6777)&gt;0,1,0)</f>
        <v>0</v>
      </c>
      <c r="M6777" s="16">
        <f>IF($A6777&lt;Notes!$B$5,"",IF(COUNTIFS(Release_Calendar!$A$2:$A$755,"NZ_CPI",Release_Calendar!$B$2:$B$755,$A6777)&gt;0,1,0))</f>
        <v>0</v>
      </c>
      <c r="N6777" s="16">
        <f>IF($A6777&lt;Notes!$B$5,"",IF(COUNTIFS(Release_Calendar!$A$2:$A$755,"NZ_GDP",Release_Calendar!$B$2:$B$755,$A6777)&gt;0,1,0))</f>
        <v>0</v>
      </c>
      <c r="O6777" s="16">
        <f>IF($A6777&lt;Notes!$B$5,"",IF(COUNTIFS(Release_Calendar!$A$2:$A$755,"NZ_LABOUR",Release_Calendar!$B$2:$B$755,$A6777)&gt;0,1,0))</f>
        <v>0</v>
      </c>
      <c r="P6777" s="16">
        <f t="shared" si="4"/>
        <v>0</v>
      </c>
    </row>
    <row r="6778" ht="15.75" customHeight="1">
      <c r="A6778" s="14">
        <v>46014.0</v>
      </c>
      <c r="B6778" s="15">
        <v>3.48</v>
      </c>
      <c r="C6778" s="15">
        <v>2.99</v>
      </c>
      <c r="D6778" s="15"/>
      <c r="E6778" s="15">
        <v>3.22</v>
      </c>
      <c r="F6778" s="15">
        <f t="shared" si="1"/>
        <v>-0.49</v>
      </c>
      <c r="G6778" s="15">
        <f t="shared" si="2"/>
        <v>2.99</v>
      </c>
      <c r="H6778" s="16">
        <v>0.0</v>
      </c>
      <c r="I6778" s="15">
        <f t="shared" si="3"/>
        <v>-0.49</v>
      </c>
      <c r="J6778" s="15">
        <v>14.0</v>
      </c>
      <c r="K6778" s="16">
        <f>IF(COUNTIFS(Release_Calendar!$A$2:$A$755,"US_CPI",Release_Calendar!$B$2:$B$755,$A6778)&gt;0,1,0)</f>
        <v>0</v>
      </c>
      <c r="L6778" s="16">
        <f>IF(COUNTIFS(Release_Calendar!$A$2:$A$755,"US_NFP",Release_Calendar!$B$2:$B$755,$A6778)&gt;0,1,0)</f>
        <v>0</v>
      </c>
      <c r="M6778" s="16">
        <f>IF($A6778&lt;Notes!$B$5,"",IF(COUNTIFS(Release_Calendar!$A$2:$A$755,"NZ_CPI",Release_Calendar!$B$2:$B$755,$A6778)&gt;0,1,0))</f>
        <v>0</v>
      </c>
      <c r="N6778" s="16">
        <f>IF($A6778&lt;Notes!$B$5,"",IF(COUNTIFS(Release_Calendar!$A$2:$A$755,"NZ_GDP",Release_Calendar!$B$2:$B$755,$A6778)&gt;0,1,0))</f>
        <v>0</v>
      </c>
      <c r="O6778" s="16">
        <f>IF($A6778&lt;Notes!$B$5,"",IF(COUNTIFS(Release_Calendar!$A$2:$A$755,"NZ_LABOUR",Release_Calendar!$B$2:$B$755,$A6778)&gt;0,1,0))</f>
        <v>0</v>
      </c>
      <c r="P6778" s="16">
        <f t="shared" si="4"/>
        <v>0</v>
      </c>
    </row>
    <row r="6779" ht="15.75" customHeight="1">
      <c r="A6779" s="14">
        <v>46015.0</v>
      </c>
      <c r="B6779" s="15">
        <v>3.47</v>
      </c>
      <c r="C6779" s="15">
        <v>2.99</v>
      </c>
      <c r="D6779" s="15"/>
      <c r="E6779" s="15">
        <v>3.22</v>
      </c>
      <c r="F6779" s="15">
        <f t="shared" si="1"/>
        <v>-0.48</v>
      </c>
      <c r="G6779" s="15">
        <f t="shared" si="2"/>
        <v>2.99</v>
      </c>
      <c r="H6779" s="16">
        <v>0.0</v>
      </c>
      <c r="I6779" s="15">
        <f t="shared" si="3"/>
        <v>-0.48</v>
      </c>
      <c r="J6779" s="15">
        <v>13.47</v>
      </c>
      <c r="K6779" s="16">
        <f>IF(COUNTIFS(Release_Calendar!$A$2:$A$755,"US_CPI",Release_Calendar!$B$2:$B$755,$A6779)&gt;0,1,0)</f>
        <v>0</v>
      </c>
      <c r="L6779" s="16">
        <f>IF(COUNTIFS(Release_Calendar!$A$2:$A$755,"US_NFP",Release_Calendar!$B$2:$B$755,$A6779)&gt;0,1,0)</f>
        <v>0</v>
      </c>
      <c r="M6779" s="16">
        <f>IF($A6779&lt;Notes!$B$5,"",IF(COUNTIFS(Release_Calendar!$A$2:$A$755,"NZ_CPI",Release_Calendar!$B$2:$B$755,$A6779)&gt;0,1,0))</f>
        <v>0</v>
      </c>
      <c r="N6779" s="16">
        <f>IF($A6779&lt;Notes!$B$5,"",IF(COUNTIFS(Release_Calendar!$A$2:$A$755,"NZ_GDP",Release_Calendar!$B$2:$B$755,$A6779)&gt;0,1,0))</f>
        <v>0</v>
      </c>
      <c r="O6779" s="16">
        <f>IF($A6779&lt;Notes!$B$5,"",IF(COUNTIFS(Release_Calendar!$A$2:$A$755,"NZ_LABOUR",Release_Calendar!$B$2:$B$755,$A6779)&gt;0,1,0))</f>
        <v>0</v>
      </c>
      <c r="P6779" s="16">
        <f t="shared" si="4"/>
        <v>0</v>
      </c>
    </row>
    <row r="6780" ht="15.75" customHeight="1">
      <c r="A6780" s="14">
        <v>46016.0</v>
      </c>
      <c r="B6780" s="15"/>
      <c r="C6780" s="15"/>
      <c r="D6780" s="15"/>
      <c r="E6780" s="15"/>
      <c r="F6780" s="15" t="str">
        <f t="shared" si="1"/>
        <v/>
      </c>
      <c r="G6780" s="15" t="str">
        <f t="shared" si="2"/>
        <v/>
      </c>
      <c r="H6780" s="16">
        <v>0.0</v>
      </c>
      <c r="I6780" s="15" t="str">
        <f t="shared" si="3"/>
        <v/>
      </c>
      <c r="J6780" s="15"/>
      <c r="K6780" s="16">
        <f>IF(COUNTIFS(Release_Calendar!$A$2:$A$755,"US_CPI",Release_Calendar!$B$2:$B$755,$A6780)&gt;0,1,0)</f>
        <v>0</v>
      </c>
      <c r="L6780" s="16">
        <f>IF(COUNTIFS(Release_Calendar!$A$2:$A$755,"US_NFP",Release_Calendar!$B$2:$B$755,$A6780)&gt;0,1,0)</f>
        <v>0</v>
      </c>
      <c r="M6780" s="16">
        <f>IF($A6780&lt;Notes!$B$5,"",IF(COUNTIFS(Release_Calendar!$A$2:$A$755,"NZ_CPI",Release_Calendar!$B$2:$B$755,$A6780)&gt;0,1,0))</f>
        <v>0</v>
      </c>
      <c r="N6780" s="16">
        <f>IF($A6780&lt;Notes!$B$5,"",IF(COUNTIFS(Release_Calendar!$A$2:$A$755,"NZ_GDP",Release_Calendar!$B$2:$B$755,$A6780)&gt;0,1,0))</f>
        <v>0</v>
      </c>
      <c r="O6780" s="16">
        <f>IF($A6780&lt;Notes!$B$5,"",IF(COUNTIFS(Release_Calendar!$A$2:$A$755,"NZ_LABOUR",Release_Calendar!$B$2:$B$755,$A6780)&gt;0,1,0))</f>
        <v>0</v>
      </c>
      <c r="P6780" s="16">
        <f t="shared" si="4"/>
        <v>0</v>
      </c>
    </row>
    <row r="6781" ht="15.75" customHeight="1">
      <c r="A6781" s="14">
        <v>46017.0</v>
      </c>
      <c r="B6781" s="15">
        <v>3.46</v>
      </c>
      <c r="C6781" s="15"/>
      <c r="D6781" s="15"/>
      <c r="E6781" s="15"/>
      <c r="F6781" s="15" t="str">
        <f t="shared" si="1"/>
        <v/>
      </c>
      <c r="G6781" s="15" t="str">
        <f t="shared" si="2"/>
        <v/>
      </c>
      <c r="H6781" s="16">
        <v>0.0</v>
      </c>
      <c r="I6781" s="15" t="str">
        <f t="shared" si="3"/>
        <v/>
      </c>
      <c r="J6781" s="15">
        <v>13.6</v>
      </c>
      <c r="K6781" s="16">
        <f>IF(COUNTIFS(Release_Calendar!$A$2:$A$755,"US_CPI",Release_Calendar!$B$2:$B$755,$A6781)&gt;0,1,0)</f>
        <v>0</v>
      </c>
      <c r="L6781" s="16">
        <f>IF(COUNTIFS(Release_Calendar!$A$2:$A$755,"US_NFP",Release_Calendar!$B$2:$B$755,$A6781)&gt;0,1,0)</f>
        <v>0</v>
      </c>
      <c r="M6781" s="16">
        <f>IF($A6781&lt;Notes!$B$5,"",IF(COUNTIFS(Release_Calendar!$A$2:$A$755,"NZ_CPI",Release_Calendar!$B$2:$B$755,$A6781)&gt;0,1,0))</f>
        <v>0</v>
      </c>
      <c r="N6781" s="16">
        <f>IF($A6781&lt;Notes!$B$5,"",IF(COUNTIFS(Release_Calendar!$A$2:$A$755,"NZ_GDP",Release_Calendar!$B$2:$B$755,$A6781)&gt;0,1,0))</f>
        <v>0</v>
      </c>
      <c r="O6781" s="16">
        <f>IF($A6781&lt;Notes!$B$5,"",IF(COUNTIFS(Release_Calendar!$A$2:$A$755,"NZ_LABOUR",Release_Calendar!$B$2:$B$755,$A6781)&gt;0,1,0))</f>
        <v>0</v>
      </c>
      <c r="P6781" s="16">
        <f t="shared" si="4"/>
        <v>0</v>
      </c>
    </row>
    <row r="6782" ht="15.75" customHeight="1">
      <c r="A6782" s="14">
        <v>46020.0</v>
      </c>
      <c r="B6782" s="15">
        <v>3.45</v>
      </c>
      <c r="C6782" s="15">
        <v>2.97</v>
      </c>
      <c r="D6782" s="15"/>
      <c r="E6782" s="15">
        <v>3.21</v>
      </c>
      <c r="F6782" s="15">
        <f t="shared" si="1"/>
        <v>-0.48</v>
      </c>
      <c r="G6782" s="15">
        <f t="shared" si="2"/>
        <v>2.97</v>
      </c>
      <c r="H6782" s="16">
        <v>0.0</v>
      </c>
      <c r="I6782" s="15">
        <f t="shared" si="3"/>
        <v>-0.48</v>
      </c>
      <c r="J6782" s="15">
        <v>14.2</v>
      </c>
      <c r="K6782" s="16">
        <f>IF(COUNTIFS(Release_Calendar!$A$2:$A$755,"US_CPI",Release_Calendar!$B$2:$B$755,$A6782)&gt;0,1,0)</f>
        <v>0</v>
      </c>
      <c r="L6782" s="16">
        <f>IF(COUNTIFS(Release_Calendar!$A$2:$A$755,"US_NFP",Release_Calendar!$B$2:$B$755,$A6782)&gt;0,1,0)</f>
        <v>0</v>
      </c>
      <c r="M6782" s="16">
        <f>IF($A6782&lt;Notes!$B$5,"",IF(COUNTIFS(Release_Calendar!$A$2:$A$755,"NZ_CPI",Release_Calendar!$B$2:$B$755,$A6782)&gt;0,1,0))</f>
        <v>0</v>
      </c>
      <c r="N6782" s="16">
        <f>IF($A6782&lt;Notes!$B$5,"",IF(COUNTIFS(Release_Calendar!$A$2:$A$755,"NZ_GDP",Release_Calendar!$B$2:$B$755,$A6782)&gt;0,1,0))</f>
        <v>0</v>
      </c>
      <c r="O6782" s="16">
        <f>IF($A6782&lt;Notes!$B$5,"",IF(COUNTIFS(Release_Calendar!$A$2:$A$755,"NZ_LABOUR",Release_Calendar!$B$2:$B$755,$A6782)&gt;0,1,0))</f>
        <v>0</v>
      </c>
      <c r="P6782" s="16">
        <f t="shared" si="4"/>
        <v>0</v>
      </c>
    </row>
    <row r="6783" ht="15.75" customHeight="1">
      <c r="A6783" s="14">
        <v>46021.0</v>
      </c>
      <c r="B6783" s="15">
        <v>3.45</v>
      </c>
      <c r="C6783" s="15">
        <v>2.93</v>
      </c>
      <c r="D6783" s="15"/>
      <c r="E6783" s="15">
        <v>3.13</v>
      </c>
      <c r="F6783" s="15">
        <f t="shared" si="1"/>
        <v>-0.52</v>
      </c>
      <c r="G6783" s="15">
        <f t="shared" si="2"/>
        <v>2.93</v>
      </c>
      <c r="H6783" s="16">
        <v>0.0</v>
      </c>
      <c r="I6783" s="15">
        <f t="shared" si="3"/>
        <v>-0.52</v>
      </c>
      <c r="J6783" s="15">
        <v>14.33</v>
      </c>
      <c r="K6783" s="16">
        <f>IF(COUNTIFS(Release_Calendar!$A$2:$A$755,"US_CPI",Release_Calendar!$B$2:$B$755,$A6783)&gt;0,1,0)</f>
        <v>0</v>
      </c>
      <c r="L6783" s="16">
        <f>IF(COUNTIFS(Release_Calendar!$A$2:$A$755,"US_NFP",Release_Calendar!$B$2:$B$755,$A6783)&gt;0,1,0)</f>
        <v>0</v>
      </c>
      <c r="M6783" s="16">
        <f>IF($A6783&lt;Notes!$B$5,"",IF(COUNTIFS(Release_Calendar!$A$2:$A$755,"NZ_CPI",Release_Calendar!$B$2:$B$755,$A6783)&gt;0,1,0))</f>
        <v>0</v>
      </c>
      <c r="N6783" s="16">
        <f>IF($A6783&lt;Notes!$B$5,"",IF(COUNTIFS(Release_Calendar!$A$2:$A$755,"NZ_GDP",Release_Calendar!$B$2:$B$755,$A6783)&gt;0,1,0))</f>
        <v>0</v>
      </c>
      <c r="O6783" s="16">
        <f>IF($A6783&lt;Notes!$B$5,"",IF(COUNTIFS(Release_Calendar!$A$2:$A$755,"NZ_LABOUR",Release_Calendar!$B$2:$B$755,$A6783)&gt;0,1,0))</f>
        <v>0</v>
      </c>
      <c r="P6783" s="16">
        <f t="shared" si="4"/>
        <v>0</v>
      </c>
    </row>
    <row r="6784" ht="15.75" customHeight="1">
      <c r="A6784" s="14">
        <v>46022.0</v>
      </c>
      <c r="B6784" s="15">
        <v>3.47</v>
      </c>
      <c r="C6784" s="15">
        <v>2.93</v>
      </c>
      <c r="D6784" s="15"/>
      <c r="E6784" s="15">
        <v>3.14</v>
      </c>
      <c r="F6784" s="15">
        <f t="shared" si="1"/>
        <v>-0.54</v>
      </c>
      <c r="G6784" s="15">
        <f t="shared" si="2"/>
        <v>2.93</v>
      </c>
      <c r="H6784" s="16">
        <v>0.0</v>
      </c>
      <c r="I6784" s="15">
        <f t="shared" si="3"/>
        <v>-0.54</v>
      </c>
      <c r="J6784" s="15">
        <v>14.95</v>
      </c>
      <c r="K6784" s="16">
        <f>IF(COUNTIFS(Release_Calendar!$A$2:$A$755,"US_CPI",Release_Calendar!$B$2:$B$755,$A6784)&gt;0,1,0)</f>
        <v>0</v>
      </c>
      <c r="L6784" s="16">
        <f>IF(COUNTIFS(Release_Calendar!$A$2:$A$755,"US_NFP",Release_Calendar!$B$2:$B$755,$A6784)&gt;0,1,0)</f>
        <v>0</v>
      </c>
      <c r="M6784" s="16">
        <f>IF($A6784&lt;Notes!$B$5,"",IF(COUNTIFS(Release_Calendar!$A$2:$A$755,"NZ_CPI",Release_Calendar!$B$2:$B$755,$A6784)&gt;0,1,0))</f>
        <v>0</v>
      </c>
      <c r="N6784" s="16">
        <f>IF($A6784&lt;Notes!$B$5,"",IF(COUNTIFS(Release_Calendar!$A$2:$A$755,"NZ_GDP",Release_Calendar!$B$2:$B$755,$A6784)&gt;0,1,0))</f>
        <v>0</v>
      </c>
      <c r="O6784" s="16">
        <f>IF($A6784&lt;Notes!$B$5,"",IF(COUNTIFS(Release_Calendar!$A$2:$A$755,"NZ_LABOUR",Release_Calendar!$B$2:$B$755,$A6784)&gt;0,1,0))</f>
        <v>0</v>
      </c>
      <c r="P6784" s="16">
        <f t="shared" si="4"/>
        <v>0</v>
      </c>
    </row>
    <row r="6785" ht="15.75" customHeight="1">
      <c r="A6785" s="14">
        <v>46023.0</v>
      </c>
      <c r="B6785" s="15"/>
      <c r="C6785" s="15"/>
      <c r="D6785" s="15"/>
      <c r="E6785" s="15"/>
      <c r="F6785" s="15" t="str">
        <f t="shared" si="1"/>
        <v/>
      </c>
      <c r="G6785" s="15" t="str">
        <f t="shared" si="2"/>
        <v/>
      </c>
      <c r="H6785" s="16">
        <v>0.0</v>
      </c>
      <c r="I6785" s="15" t="str">
        <f t="shared" si="3"/>
        <v/>
      </c>
      <c r="J6785" s="15"/>
      <c r="K6785" s="16">
        <f>IF(COUNTIFS(Release_Calendar!$A$2:$A$755,"US_CPI",Release_Calendar!$B$2:$B$755,$A6785)&gt;0,1,0)</f>
        <v>0</v>
      </c>
      <c r="L6785" s="16">
        <f>IF(COUNTIFS(Release_Calendar!$A$2:$A$755,"US_NFP",Release_Calendar!$B$2:$B$755,$A6785)&gt;0,1,0)</f>
        <v>0</v>
      </c>
      <c r="M6785" s="16">
        <f>IF($A6785&lt;Notes!$B$5,"",IF(COUNTIFS(Release_Calendar!$A$2:$A$755,"NZ_CPI",Release_Calendar!$B$2:$B$755,$A6785)&gt;0,1,0))</f>
        <v>0</v>
      </c>
      <c r="N6785" s="16">
        <f>IF($A6785&lt;Notes!$B$5,"",IF(COUNTIFS(Release_Calendar!$A$2:$A$755,"NZ_GDP",Release_Calendar!$B$2:$B$755,$A6785)&gt;0,1,0))</f>
        <v>0</v>
      </c>
      <c r="O6785" s="16">
        <f>IF($A6785&lt;Notes!$B$5,"",IF(COUNTIFS(Release_Calendar!$A$2:$A$755,"NZ_LABOUR",Release_Calendar!$B$2:$B$755,$A6785)&gt;0,1,0))</f>
        <v>0</v>
      </c>
      <c r="P6785" s="16">
        <f t="shared" si="4"/>
        <v>0</v>
      </c>
    </row>
    <row r="6786" ht="15.75" customHeight="1">
      <c r="A6786" s="14">
        <v>46024.0</v>
      </c>
      <c r="B6786" s="15">
        <v>3.47</v>
      </c>
      <c r="C6786" s="15"/>
      <c r="D6786" s="15"/>
      <c r="E6786" s="15"/>
      <c r="F6786" s="15" t="str">
        <f t="shared" si="1"/>
        <v/>
      </c>
      <c r="G6786" s="15" t="str">
        <f t="shared" si="2"/>
        <v/>
      </c>
      <c r="H6786" s="16">
        <v>0.0</v>
      </c>
      <c r="I6786" s="15" t="str">
        <f t="shared" si="3"/>
        <v/>
      </c>
      <c r="J6786" s="15">
        <v>14.51</v>
      </c>
      <c r="K6786" s="16">
        <f>IF(COUNTIFS(Release_Calendar!$A$2:$A$755,"US_CPI",Release_Calendar!$B$2:$B$755,$A6786)&gt;0,1,0)</f>
        <v>0</v>
      </c>
      <c r="L6786" s="16">
        <f>IF(COUNTIFS(Release_Calendar!$A$2:$A$755,"US_NFP",Release_Calendar!$B$2:$B$755,$A6786)&gt;0,1,0)</f>
        <v>0</v>
      </c>
      <c r="M6786" s="16">
        <f>IF($A6786&lt;Notes!$B$5,"",IF(COUNTIFS(Release_Calendar!$A$2:$A$755,"NZ_CPI",Release_Calendar!$B$2:$B$755,$A6786)&gt;0,1,0))</f>
        <v>0</v>
      </c>
      <c r="N6786" s="16">
        <f>IF($A6786&lt;Notes!$B$5,"",IF(COUNTIFS(Release_Calendar!$A$2:$A$755,"NZ_GDP",Release_Calendar!$B$2:$B$755,$A6786)&gt;0,1,0))</f>
        <v>0</v>
      </c>
      <c r="O6786" s="16">
        <f>IF($A6786&lt;Notes!$B$5,"",IF(COUNTIFS(Release_Calendar!$A$2:$A$755,"NZ_LABOUR",Release_Calendar!$B$2:$B$755,$A6786)&gt;0,1,0))</f>
        <v>0</v>
      </c>
      <c r="P6786" s="16">
        <f t="shared" si="4"/>
        <v>0</v>
      </c>
    </row>
    <row r="6787" ht="15.75" customHeight="1">
      <c r="A6787" s="14">
        <v>46027.0</v>
      </c>
      <c r="B6787" s="15">
        <v>3.46</v>
      </c>
      <c r="C6787" s="15">
        <v>2.95</v>
      </c>
      <c r="D6787" s="15"/>
      <c r="E6787" s="15">
        <v>3.15</v>
      </c>
      <c r="F6787" s="15">
        <f t="shared" si="1"/>
        <v>-0.51</v>
      </c>
      <c r="G6787" s="15">
        <f t="shared" si="2"/>
        <v>2.95</v>
      </c>
      <c r="H6787" s="16">
        <v>0.0</v>
      </c>
      <c r="I6787" s="15">
        <f t="shared" si="3"/>
        <v>-0.51</v>
      </c>
      <c r="J6787" s="15">
        <v>14.9</v>
      </c>
      <c r="K6787" s="16">
        <f>IF(COUNTIFS(Release_Calendar!$A$2:$A$755,"US_CPI",Release_Calendar!$B$2:$B$755,$A6787)&gt;0,1,0)</f>
        <v>0</v>
      </c>
      <c r="L6787" s="16">
        <f>IF(COUNTIFS(Release_Calendar!$A$2:$A$755,"US_NFP",Release_Calendar!$B$2:$B$755,$A6787)&gt;0,1,0)</f>
        <v>0</v>
      </c>
      <c r="M6787" s="16">
        <f>IF($A6787&lt;Notes!$B$5,"",IF(COUNTIFS(Release_Calendar!$A$2:$A$755,"NZ_CPI",Release_Calendar!$B$2:$B$755,$A6787)&gt;0,1,0))</f>
        <v>0</v>
      </c>
      <c r="N6787" s="16">
        <f>IF($A6787&lt;Notes!$B$5,"",IF(COUNTIFS(Release_Calendar!$A$2:$A$755,"NZ_GDP",Release_Calendar!$B$2:$B$755,$A6787)&gt;0,1,0))</f>
        <v>0</v>
      </c>
      <c r="O6787" s="16">
        <f>IF($A6787&lt;Notes!$B$5,"",IF(COUNTIFS(Release_Calendar!$A$2:$A$755,"NZ_LABOUR",Release_Calendar!$B$2:$B$755,$A6787)&gt;0,1,0))</f>
        <v>0</v>
      </c>
      <c r="P6787" s="16">
        <f t="shared" si="4"/>
        <v>0</v>
      </c>
    </row>
    <row r="6788" ht="15.75" customHeight="1">
      <c r="A6788" s="14">
        <v>46028.0</v>
      </c>
      <c r="B6788" s="15">
        <v>3.47</v>
      </c>
      <c r="C6788" s="15">
        <v>2.92</v>
      </c>
      <c r="D6788" s="15"/>
      <c r="E6788" s="15">
        <v>3.11</v>
      </c>
      <c r="F6788" s="15">
        <f t="shared" si="1"/>
        <v>-0.55</v>
      </c>
      <c r="G6788" s="15">
        <f t="shared" si="2"/>
        <v>2.92</v>
      </c>
      <c r="H6788" s="16">
        <v>0.0</v>
      </c>
      <c r="I6788" s="15">
        <f t="shared" si="3"/>
        <v>-0.55</v>
      </c>
      <c r="J6788" s="15">
        <v>14.75</v>
      </c>
      <c r="K6788" s="16">
        <f>IF(COUNTIFS(Release_Calendar!$A$2:$A$755,"US_CPI",Release_Calendar!$B$2:$B$755,$A6788)&gt;0,1,0)</f>
        <v>0</v>
      </c>
      <c r="L6788" s="16">
        <f>IF(COUNTIFS(Release_Calendar!$A$2:$A$755,"US_NFP",Release_Calendar!$B$2:$B$755,$A6788)&gt;0,1,0)</f>
        <v>0</v>
      </c>
      <c r="M6788" s="16">
        <f>IF($A6788&lt;Notes!$B$5,"",IF(COUNTIFS(Release_Calendar!$A$2:$A$755,"NZ_CPI",Release_Calendar!$B$2:$B$755,$A6788)&gt;0,1,0))</f>
        <v>0</v>
      </c>
      <c r="N6788" s="16">
        <f>IF($A6788&lt;Notes!$B$5,"",IF(COUNTIFS(Release_Calendar!$A$2:$A$755,"NZ_GDP",Release_Calendar!$B$2:$B$755,$A6788)&gt;0,1,0))</f>
        <v>0</v>
      </c>
      <c r="O6788" s="16">
        <f>IF($A6788&lt;Notes!$B$5,"",IF(COUNTIFS(Release_Calendar!$A$2:$A$755,"NZ_LABOUR",Release_Calendar!$B$2:$B$755,$A6788)&gt;0,1,0))</f>
        <v>0</v>
      </c>
      <c r="P6788" s="16">
        <f t="shared" si="4"/>
        <v>0</v>
      </c>
    </row>
    <row r="6789" ht="15.75" customHeight="1">
      <c r="A6789" s="14">
        <v>46029.0</v>
      </c>
      <c r="B6789" s="15">
        <v>3.47</v>
      </c>
      <c r="C6789" s="15">
        <v>2.93</v>
      </c>
      <c r="D6789" s="15"/>
      <c r="E6789" s="15">
        <v>3.12</v>
      </c>
      <c r="F6789" s="15">
        <f t="shared" si="1"/>
        <v>-0.54</v>
      </c>
      <c r="G6789" s="15">
        <f t="shared" si="2"/>
        <v>2.93</v>
      </c>
      <c r="H6789" s="16">
        <v>0.0</v>
      </c>
      <c r="I6789" s="15">
        <f t="shared" si="3"/>
        <v>-0.54</v>
      </c>
      <c r="J6789" s="15">
        <v>15.38</v>
      </c>
      <c r="K6789" s="16">
        <f>IF(COUNTIFS(Release_Calendar!$A$2:$A$755,"US_CPI",Release_Calendar!$B$2:$B$755,$A6789)&gt;0,1,0)</f>
        <v>0</v>
      </c>
      <c r="L6789" s="16">
        <f>IF(COUNTIFS(Release_Calendar!$A$2:$A$755,"US_NFP",Release_Calendar!$B$2:$B$755,$A6789)&gt;0,1,0)</f>
        <v>0</v>
      </c>
      <c r="M6789" s="16">
        <f>IF($A6789&lt;Notes!$B$5,"",IF(COUNTIFS(Release_Calendar!$A$2:$A$755,"NZ_CPI",Release_Calendar!$B$2:$B$755,$A6789)&gt;0,1,0))</f>
        <v>0</v>
      </c>
      <c r="N6789" s="16">
        <f>IF($A6789&lt;Notes!$B$5,"",IF(COUNTIFS(Release_Calendar!$A$2:$A$755,"NZ_GDP",Release_Calendar!$B$2:$B$755,$A6789)&gt;0,1,0))</f>
        <v>0</v>
      </c>
      <c r="O6789" s="16">
        <f>IF($A6789&lt;Notes!$B$5,"",IF(COUNTIFS(Release_Calendar!$A$2:$A$755,"NZ_LABOUR",Release_Calendar!$B$2:$B$755,$A6789)&gt;0,1,0))</f>
        <v>0</v>
      </c>
      <c r="P6789" s="16">
        <f t="shared" si="4"/>
        <v>0</v>
      </c>
    </row>
    <row r="6790" ht="15.75" customHeight="1">
      <c r="A6790" s="14">
        <v>46030.0</v>
      </c>
      <c r="B6790" s="15">
        <v>3.49</v>
      </c>
      <c r="C6790" s="15">
        <v>2.9</v>
      </c>
      <c r="D6790" s="15"/>
      <c r="E6790" s="15">
        <v>3.09</v>
      </c>
      <c r="F6790" s="15">
        <f t="shared" si="1"/>
        <v>-0.59</v>
      </c>
      <c r="G6790" s="15">
        <f t="shared" si="2"/>
        <v>2.9</v>
      </c>
      <c r="H6790" s="16">
        <v>0.0</v>
      </c>
      <c r="I6790" s="15">
        <f t="shared" si="3"/>
        <v>-0.59</v>
      </c>
      <c r="J6790" s="15">
        <v>15.45</v>
      </c>
      <c r="K6790" s="16">
        <f>IF(COUNTIFS(Release_Calendar!$A$2:$A$755,"US_CPI",Release_Calendar!$B$2:$B$755,$A6790)&gt;0,1,0)</f>
        <v>0</v>
      </c>
      <c r="L6790" s="16">
        <f>IF(COUNTIFS(Release_Calendar!$A$2:$A$755,"US_NFP",Release_Calendar!$B$2:$B$755,$A6790)&gt;0,1,0)</f>
        <v>0</v>
      </c>
      <c r="M6790" s="16">
        <f>IF($A6790&lt;Notes!$B$5,"",IF(COUNTIFS(Release_Calendar!$A$2:$A$755,"NZ_CPI",Release_Calendar!$B$2:$B$755,$A6790)&gt;0,1,0))</f>
        <v>0</v>
      </c>
      <c r="N6790" s="16">
        <f>IF($A6790&lt;Notes!$B$5,"",IF(COUNTIFS(Release_Calendar!$A$2:$A$755,"NZ_GDP",Release_Calendar!$B$2:$B$755,$A6790)&gt;0,1,0))</f>
        <v>0</v>
      </c>
      <c r="O6790" s="16">
        <f>IF($A6790&lt;Notes!$B$5,"",IF(COUNTIFS(Release_Calendar!$A$2:$A$755,"NZ_LABOUR",Release_Calendar!$B$2:$B$755,$A6790)&gt;0,1,0))</f>
        <v>0</v>
      </c>
      <c r="P6790" s="16">
        <f t="shared" si="4"/>
        <v>0</v>
      </c>
    </row>
    <row r="6791" ht="15.75" customHeight="1">
      <c r="A6791" s="14">
        <v>46031.0</v>
      </c>
      <c r="B6791" s="15">
        <v>3.54</v>
      </c>
      <c r="C6791" s="15">
        <v>2.89</v>
      </c>
      <c r="D6791" s="15"/>
      <c r="E6791" s="15">
        <v>3.07</v>
      </c>
      <c r="F6791" s="15">
        <f t="shared" si="1"/>
        <v>-0.65</v>
      </c>
      <c r="G6791" s="15">
        <f t="shared" si="2"/>
        <v>2.89</v>
      </c>
      <c r="H6791" s="16">
        <v>0.0</v>
      </c>
      <c r="I6791" s="15">
        <f t="shared" si="3"/>
        <v>-0.65</v>
      </c>
      <c r="J6791" s="15">
        <v>14.49</v>
      </c>
      <c r="K6791" s="16">
        <f>IF(COUNTIFS(Release_Calendar!$A$2:$A$755,"US_CPI",Release_Calendar!$B$2:$B$755,$A6791)&gt;0,1,0)</f>
        <v>0</v>
      </c>
      <c r="L6791" s="16">
        <f>IF(COUNTIFS(Release_Calendar!$A$2:$A$755,"US_NFP",Release_Calendar!$B$2:$B$755,$A6791)&gt;0,1,0)</f>
        <v>1</v>
      </c>
      <c r="M6791" s="16">
        <f>IF($A6791&lt;Notes!$B$5,"",IF(COUNTIFS(Release_Calendar!$A$2:$A$755,"NZ_CPI",Release_Calendar!$B$2:$B$755,$A6791)&gt;0,1,0))</f>
        <v>0</v>
      </c>
      <c r="N6791" s="16">
        <f>IF($A6791&lt;Notes!$B$5,"",IF(COUNTIFS(Release_Calendar!$A$2:$A$755,"NZ_GDP",Release_Calendar!$B$2:$B$755,$A6791)&gt;0,1,0))</f>
        <v>0</v>
      </c>
      <c r="O6791" s="16">
        <f>IF($A6791&lt;Notes!$B$5,"",IF(COUNTIFS(Release_Calendar!$A$2:$A$755,"NZ_LABOUR",Release_Calendar!$B$2:$B$755,$A6791)&gt;0,1,0))</f>
        <v>0</v>
      </c>
      <c r="P6791" s="16">
        <f t="shared" si="4"/>
        <v>1</v>
      </c>
    </row>
    <row r="6792" ht="15.75" customHeight="1">
      <c r="A6792" s="14">
        <v>46034.0</v>
      </c>
      <c r="B6792" s="15">
        <v>3.54</v>
      </c>
      <c r="C6792" s="15">
        <v>2.88</v>
      </c>
      <c r="D6792" s="15"/>
      <c r="E6792" s="15">
        <v>3.07</v>
      </c>
      <c r="F6792" s="15">
        <f t="shared" si="1"/>
        <v>-0.66</v>
      </c>
      <c r="G6792" s="15">
        <f t="shared" si="2"/>
        <v>2.88</v>
      </c>
      <c r="H6792" s="16">
        <v>0.0</v>
      </c>
      <c r="I6792" s="15">
        <f t="shared" si="3"/>
        <v>-0.66</v>
      </c>
      <c r="J6792" s="15">
        <v>15.12</v>
      </c>
      <c r="K6792" s="16">
        <f>IF(COUNTIFS(Release_Calendar!$A$2:$A$755,"US_CPI",Release_Calendar!$B$2:$B$755,$A6792)&gt;0,1,0)</f>
        <v>0</v>
      </c>
      <c r="L6792" s="16">
        <f>IF(COUNTIFS(Release_Calendar!$A$2:$A$755,"US_NFP",Release_Calendar!$B$2:$B$755,$A6792)&gt;0,1,0)</f>
        <v>0</v>
      </c>
      <c r="M6792" s="16">
        <f>IF($A6792&lt;Notes!$B$5,"",IF(COUNTIFS(Release_Calendar!$A$2:$A$755,"NZ_CPI",Release_Calendar!$B$2:$B$755,$A6792)&gt;0,1,0))</f>
        <v>0</v>
      </c>
      <c r="N6792" s="16">
        <f>IF($A6792&lt;Notes!$B$5,"",IF(COUNTIFS(Release_Calendar!$A$2:$A$755,"NZ_GDP",Release_Calendar!$B$2:$B$755,$A6792)&gt;0,1,0))</f>
        <v>0</v>
      </c>
      <c r="O6792" s="16">
        <f>IF($A6792&lt;Notes!$B$5,"",IF(COUNTIFS(Release_Calendar!$A$2:$A$755,"NZ_LABOUR",Release_Calendar!$B$2:$B$755,$A6792)&gt;0,1,0))</f>
        <v>0</v>
      </c>
      <c r="P6792" s="16">
        <f t="shared" si="4"/>
        <v>0</v>
      </c>
    </row>
    <row r="6793" ht="15.75" customHeight="1">
      <c r="A6793" s="14">
        <v>46035.0</v>
      </c>
      <c r="B6793" s="15">
        <v>3.53</v>
      </c>
      <c r="C6793" s="15">
        <v>2.92</v>
      </c>
      <c r="D6793" s="15"/>
      <c r="E6793" s="15">
        <v>3.1</v>
      </c>
      <c r="F6793" s="15">
        <f t="shared" si="1"/>
        <v>-0.61</v>
      </c>
      <c r="G6793" s="15">
        <f t="shared" si="2"/>
        <v>2.92</v>
      </c>
      <c r="H6793" s="16">
        <v>0.0</v>
      </c>
      <c r="I6793" s="15">
        <f t="shared" si="3"/>
        <v>-0.61</v>
      </c>
      <c r="J6793" s="15">
        <v>15.98</v>
      </c>
      <c r="K6793" s="16">
        <f>IF(COUNTIFS(Release_Calendar!$A$2:$A$755,"US_CPI",Release_Calendar!$B$2:$B$755,$A6793)&gt;0,1,0)</f>
        <v>1</v>
      </c>
      <c r="L6793" s="16">
        <f>IF(COUNTIFS(Release_Calendar!$A$2:$A$755,"US_NFP",Release_Calendar!$B$2:$B$755,$A6793)&gt;0,1,0)</f>
        <v>0</v>
      </c>
      <c r="M6793" s="16">
        <f>IF($A6793&lt;Notes!$B$5,"",IF(COUNTIFS(Release_Calendar!$A$2:$A$755,"NZ_CPI",Release_Calendar!$B$2:$B$755,$A6793)&gt;0,1,0))</f>
        <v>0</v>
      </c>
      <c r="N6793" s="16">
        <f>IF($A6793&lt;Notes!$B$5,"",IF(COUNTIFS(Release_Calendar!$A$2:$A$755,"NZ_GDP",Release_Calendar!$B$2:$B$755,$A6793)&gt;0,1,0))</f>
        <v>0</v>
      </c>
      <c r="O6793" s="16">
        <f>IF($A6793&lt;Notes!$B$5,"",IF(COUNTIFS(Release_Calendar!$A$2:$A$755,"NZ_LABOUR",Release_Calendar!$B$2:$B$755,$A6793)&gt;0,1,0))</f>
        <v>0</v>
      </c>
      <c r="P6793" s="16">
        <f t="shared" si="4"/>
        <v>1</v>
      </c>
    </row>
    <row r="6794" ht="15.75" customHeight="1">
      <c r="A6794" s="14">
        <v>46036.0</v>
      </c>
      <c r="B6794" s="15">
        <v>3.51</v>
      </c>
      <c r="C6794" s="15">
        <v>2.94</v>
      </c>
      <c r="D6794" s="15"/>
      <c r="E6794" s="15">
        <v>3.12</v>
      </c>
      <c r="F6794" s="15">
        <f t="shared" si="1"/>
        <v>-0.57</v>
      </c>
      <c r="G6794" s="15">
        <f t="shared" si="2"/>
        <v>2.94</v>
      </c>
      <c r="H6794" s="16">
        <v>0.0</v>
      </c>
      <c r="I6794" s="15">
        <f t="shared" si="3"/>
        <v>-0.57</v>
      </c>
      <c r="J6794" s="15">
        <v>16.75</v>
      </c>
      <c r="K6794" s="16">
        <f>IF(COUNTIFS(Release_Calendar!$A$2:$A$755,"US_CPI",Release_Calendar!$B$2:$B$755,$A6794)&gt;0,1,0)</f>
        <v>0</v>
      </c>
      <c r="L6794" s="16">
        <f>IF(COUNTIFS(Release_Calendar!$A$2:$A$755,"US_NFP",Release_Calendar!$B$2:$B$755,$A6794)&gt;0,1,0)</f>
        <v>0</v>
      </c>
      <c r="M6794" s="16">
        <f>IF($A6794&lt;Notes!$B$5,"",IF(COUNTIFS(Release_Calendar!$A$2:$A$755,"NZ_CPI",Release_Calendar!$B$2:$B$755,$A6794)&gt;0,1,0))</f>
        <v>0</v>
      </c>
      <c r="N6794" s="16">
        <f>IF($A6794&lt;Notes!$B$5,"",IF(COUNTIFS(Release_Calendar!$A$2:$A$755,"NZ_GDP",Release_Calendar!$B$2:$B$755,$A6794)&gt;0,1,0))</f>
        <v>0</v>
      </c>
      <c r="O6794" s="16">
        <f>IF($A6794&lt;Notes!$B$5,"",IF(COUNTIFS(Release_Calendar!$A$2:$A$755,"NZ_LABOUR",Release_Calendar!$B$2:$B$755,$A6794)&gt;0,1,0))</f>
        <v>0</v>
      </c>
      <c r="P6794" s="16">
        <f t="shared" si="4"/>
        <v>0</v>
      </c>
    </row>
    <row r="6795" ht="15.75" customHeight="1">
      <c r="A6795" s="14">
        <v>46037.0</v>
      </c>
      <c r="B6795" s="15">
        <v>3.56</v>
      </c>
      <c r="C6795" s="15">
        <v>2.91</v>
      </c>
      <c r="D6795" s="15"/>
      <c r="E6795" s="15">
        <v>3.07</v>
      </c>
      <c r="F6795" s="15">
        <f t="shared" si="1"/>
        <v>-0.65</v>
      </c>
      <c r="G6795" s="15">
        <f t="shared" si="2"/>
        <v>2.91</v>
      </c>
      <c r="H6795" s="16">
        <v>0.0</v>
      </c>
      <c r="I6795" s="15">
        <f t="shared" si="3"/>
        <v>-0.65</v>
      </c>
      <c r="J6795" s="15">
        <v>15.84</v>
      </c>
      <c r="K6795" s="16">
        <f>IF(COUNTIFS(Release_Calendar!$A$2:$A$755,"US_CPI",Release_Calendar!$B$2:$B$755,$A6795)&gt;0,1,0)</f>
        <v>0</v>
      </c>
      <c r="L6795" s="16">
        <f>IF(COUNTIFS(Release_Calendar!$A$2:$A$755,"US_NFP",Release_Calendar!$B$2:$B$755,$A6795)&gt;0,1,0)</f>
        <v>0</v>
      </c>
      <c r="M6795" s="16">
        <f>IF($A6795&lt;Notes!$B$5,"",IF(COUNTIFS(Release_Calendar!$A$2:$A$755,"NZ_CPI",Release_Calendar!$B$2:$B$755,$A6795)&gt;0,1,0))</f>
        <v>0</v>
      </c>
      <c r="N6795" s="16">
        <f>IF($A6795&lt;Notes!$B$5,"",IF(COUNTIFS(Release_Calendar!$A$2:$A$755,"NZ_GDP",Release_Calendar!$B$2:$B$755,$A6795)&gt;0,1,0))</f>
        <v>0</v>
      </c>
      <c r="O6795" s="16">
        <f>IF($A6795&lt;Notes!$B$5,"",IF(COUNTIFS(Release_Calendar!$A$2:$A$755,"NZ_LABOUR",Release_Calendar!$B$2:$B$755,$A6795)&gt;0,1,0))</f>
        <v>0</v>
      </c>
      <c r="P6795" s="16">
        <f t="shared" si="4"/>
        <v>0</v>
      </c>
    </row>
    <row r="6796" ht="15.75" customHeight="1">
      <c r="A6796" s="14">
        <v>46038.0</v>
      </c>
      <c r="B6796" s="15">
        <v>3.59</v>
      </c>
      <c r="C6796" s="15">
        <v>2.94</v>
      </c>
      <c r="D6796" s="15"/>
      <c r="E6796" s="15">
        <v>3.12</v>
      </c>
      <c r="F6796" s="15">
        <f t="shared" si="1"/>
        <v>-0.65</v>
      </c>
      <c r="G6796" s="15">
        <f t="shared" si="2"/>
        <v>2.94</v>
      </c>
      <c r="H6796" s="16">
        <v>0.0</v>
      </c>
      <c r="I6796" s="15">
        <f t="shared" si="3"/>
        <v>-0.65</v>
      </c>
      <c r="J6796" s="15">
        <v>15.86</v>
      </c>
      <c r="K6796" s="16">
        <f>IF(COUNTIFS(Release_Calendar!$A$2:$A$755,"US_CPI",Release_Calendar!$B$2:$B$755,$A6796)&gt;0,1,0)</f>
        <v>0</v>
      </c>
      <c r="L6796" s="16">
        <f>IF(COUNTIFS(Release_Calendar!$A$2:$A$755,"US_NFP",Release_Calendar!$B$2:$B$755,$A6796)&gt;0,1,0)</f>
        <v>0</v>
      </c>
      <c r="M6796" s="16">
        <f>IF($A6796&lt;Notes!$B$5,"",IF(COUNTIFS(Release_Calendar!$A$2:$A$755,"NZ_CPI",Release_Calendar!$B$2:$B$755,$A6796)&gt;0,1,0))</f>
        <v>0</v>
      </c>
      <c r="N6796" s="16">
        <f>IF($A6796&lt;Notes!$B$5,"",IF(COUNTIFS(Release_Calendar!$A$2:$A$755,"NZ_GDP",Release_Calendar!$B$2:$B$755,$A6796)&gt;0,1,0))</f>
        <v>0</v>
      </c>
      <c r="O6796" s="16">
        <f>IF($A6796&lt;Notes!$B$5,"",IF(COUNTIFS(Release_Calendar!$A$2:$A$755,"NZ_LABOUR",Release_Calendar!$B$2:$B$755,$A6796)&gt;0,1,0))</f>
        <v>0</v>
      </c>
      <c r="P6796" s="16">
        <f t="shared" si="4"/>
        <v>0</v>
      </c>
    </row>
    <row r="6797" ht="15.75" customHeight="1">
      <c r="A6797" s="14">
        <v>46041.0</v>
      </c>
      <c r="B6797" s="15"/>
      <c r="C6797" s="15">
        <v>3.01</v>
      </c>
      <c r="D6797" s="15"/>
      <c r="E6797" s="15">
        <v>3.17</v>
      </c>
      <c r="F6797" s="15" t="str">
        <f t="shared" si="1"/>
        <v/>
      </c>
      <c r="G6797" s="15">
        <f t="shared" si="2"/>
        <v>3.01</v>
      </c>
      <c r="H6797" s="16">
        <v>0.0</v>
      </c>
      <c r="I6797" s="15" t="str">
        <f t="shared" si="3"/>
        <v/>
      </c>
      <c r="J6797" s="15">
        <v>18.84</v>
      </c>
      <c r="K6797" s="16">
        <f>IF(COUNTIFS(Release_Calendar!$A$2:$A$755,"US_CPI",Release_Calendar!$B$2:$B$755,$A6797)&gt;0,1,0)</f>
        <v>0</v>
      </c>
      <c r="L6797" s="16">
        <f>IF(COUNTIFS(Release_Calendar!$A$2:$A$755,"US_NFP",Release_Calendar!$B$2:$B$755,$A6797)&gt;0,1,0)</f>
        <v>0</v>
      </c>
      <c r="M6797" s="16">
        <f>IF($A6797&lt;Notes!$B$5,"",IF(COUNTIFS(Release_Calendar!$A$2:$A$755,"NZ_CPI",Release_Calendar!$B$2:$B$755,$A6797)&gt;0,1,0))</f>
        <v>0</v>
      </c>
      <c r="N6797" s="16">
        <f>IF($A6797&lt;Notes!$B$5,"",IF(COUNTIFS(Release_Calendar!$A$2:$A$755,"NZ_GDP",Release_Calendar!$B$2:$B$755,$A6797)&gt;0,1,0))</f>
        <v>0</v>
      </c>
      <c r="O6797" s="16">
        <f>IF($A6797&lt;Notes!$B$5,"",IF(COUNTIFS(Release_Calendar!$A$2:$A$755,"NZ_LABOUR",Release_Calendar!$B$2:$B$755,$A6797)&gt;0,1,0))</f>
        <v>0</v>
      </c>
      <c r="P6797" s="16">
        <f t="shared" si="4"/>
        <v>0</v>
      </c>
    </row>
    <row r="6798" ht="15.75" customHeight="1">
      <c r="A6798" s="14">
        <v>46042.0</v>
      </c>
      <c r="B6798" s="15">
        <v>3.6</v>
      </c>
      <c r="C6798" s="15">
        <v>3.05</v>
      </c>
      <c r="D6798" s="15"/>
      <c r="E6798" s="15">
        <v>3.22</v>
      </c>
      <c r="F6798" s="15">
        <f t="shared" si="1"/>
        <v>-0.55</v>
      </c>
      <c r="G6798" s="15">
        <f t="shared" si="2"/>
        <v>3.05</v>
      </c>
      <c r="H6798" s="16">
        <v>0.0</v>
      </c>
      <c r="I6798" s="15">
        <f t="shared" si="3"/>
        <v>-0.55</v>
      </c>
      <c r="J6798" s="15">
        <v>20.09</v>
      </c>
      <c r="K6798" s="16">
        <f>IF(COUNTIFS(Release_Calendar!$A$2:$A$755,"US_CPI",Release_Calendar!$B$2:$B$755,$A6798)&gt;0,1,0)</f>
        <v>0</v>
      </c>
      <c r="L6798" s="16">
        <f>IF(COUNTIFS(Release_Calendar!$A$2:$A$755,"US_NFP",Release_Calendar!$B$2:$B$755,$A6798)&gt;0,1,0)</f>
        <v>0</v>
      </c>
      <c r="M6798" s="16">
        <f>IF($A6798&lt;Notes!$B$5,"",IF(COUNTIFS(Release_Calendar!$A$2:$A$755,"NZ_CPI",Release_Calendar!$B$2:$B$755,$A6798)&gt;0,1,0))</f>
        <v>0</v>
      </c>
      <c r="N6798" s="16">
        <f>IF($A6798&lt;Notes!$B$5,"",IF(COUNTIFS(Release_Calendar!$A$2:$A$755,"NZ_GDP",Release_Calendar!$B$2:$B$755,$A6798)&gt;0,1,0))</f>
        <v>0</v>
      </c>
      <c r="O6798" s="16">
        <f>IF($A6798&lt;Notes!$B$5,"",IF(COUNTIFS(Release_Calendar!$A$2:$A$755,"NZ_LABOUR",Release_Calendar!$B$2:$B$755,$A6798)&gt;0,1,0))</f>
        <v>0</v>
      </c>
      <c r="P6798" s="16">
        <f t="shared" si="4"/>
        <v>0</v>
      </c>
    </row>
    <row r="6799" ht="15.75" customHeight="1">
      <c r="A6799" s="14">
        <v>46043.0</v>
      </c>
      <c r="B6799" s="15">
        <v>3.6</v>
      </c>
      <c r="C6799" s="15">
        <v>3.07</v>
      </c>
      <c r="D6799" s="15"/>
      <c r="E6799" s="15">
        <v>3.26</v>
      </c>
      <c r="F6799" s="15">
        <f t="shared" si="1"/>
        <v>-0.53</v>
      </c>
      <c r="G6799" s="15">
        <f t="shared" si="2"/>
        <v>3.07</v>
      </c>
      <c r="H6799" s="16">
        <v>0.0</v>
      </c>
      <c r="I6799" s="15">
        <f t="shared" si="3"/>
        <v>-0.53</v>
      </c>
      <c r="J6799" s="15">
        <v>16.9</v>
      </c>
      <c r="K6799" s="16">
        <f>IF(COUNTIFS(Release_Calendar!$A$2:$A$755,"US_CPI",Release_Calendar!$B$2:$B$755,$A6799)&gt;0,1,0)</f>
        <v>0</v>
      </c>
      <c r="L6799" s="16">
        <f>IF(COUNTIFS(Release_Calendar!$A$2:$A$755,"US_NFP",Release_Calendar!$B$2:$B$755,$A6799)&gt;0,1,0)</f>
        <v>0</v>
      </c>
      <c r="M6799" s="16">
        <f>IF($A6799&lt;Notes!$B$5,"",IF(COUNTIFS(Release_Calendar!$A$2:$A$755,"NZ_CPI",Release_Calendar!$B$2:$B$755,$A6799)&gt;0,1,0))</f>
        <v>0</v>
      </c>
      <c r="N6799" s="16">
        <f>IF($A6799&lt;Notes!$B$5,"",IF(COUNTIFS(Release_Calendar!$A$2:$A$755,"NZ_GDP",Release_Calendar!$B$2:$B$755,$A6799)&gt;0,1,0))</f>
        <v>0</v>
      </c>
      <c r="O6799" s="16">
        <f>IF($A6799&lt;Notes!$B$5,"",IF(COUNTIFS(Release_Calendar!$A$2:$A$755,"NZ_LABOUR",Release_Calendar!$B$2:$B$755,$A6799)&gt;0,1,0))</f>
        <v>0</v>
      </c>
      <c r="P6799" s="16">
        <f t="shared" si="4"/>
        <v>0</v>
      </c>
    </row>
    <row r="6800" ht="15.75" customHeight="1">
      <c r="A6800" s="14">
        <v>46044.0</v>
      </c>
      <c r="B6800" s="15">
        <v>3.61</v>
      </c>
      <c r="C6800" s="15">
        <v>3.07</v>
      </c>
      <c r="D6800" s="15"/>
      <c r="E6800" s="15">
        <v>3.27</v>
      </c>
      <c r="F6800" s="15">
        <f t="shared" si="1"/>
        <v>-0.54</v>
      </c>
      <c r="G6800" s="15">
        <f t="shared" si="2"/>
        <v>3.07</v>
      </c>
      <c r="H6800" s="16">
        <v>0.0</v>
      </c>
      <c r="I6800" s="15">
        <f t="shared" si="3"/>
        <v>-0.54</v>
      </c>
      <c r="J6800" s="15">
        <v>15.64</v>
      </c>
      <c r="K6800" s="16">
        <f>IF(COUNTIFS(Release_Calendar!$A$2:$A$755,"US_CPI",Release_Calendar!$B$2:$B$755,$A6800)&gt;0,1,0)</f>
        <v>0</v>
      </c>
      <c r="L6800" s="16">
        <f>IF(COUNTIFS(Release_Calendar!$A$2:$A$755,"US_NFP",Release_Calendar!$B$2:$B$755,$A6800)&gt;0,1,0)</f>
        <v>0</v>
      </c>
      <c r="M6800" s="16">
        <f>IF($A6800&lt;Notes!$B$5,"",IF(COUNTIFS(Release_Calendar!$A$2:$A$755,"NZ_CPI",Release_Calendar!$B$2:$B$755,$A6800)&gt;0,1,0))</f>
        <v>0</v>
      </c>
      <c r="N6800" s="16">
        <f>IF($A6800&lt;Notes!$B$5,"",IF(COUNTIFS(Release_Calendar!$A$2:$A$755,"NZ_GDP",Release_Calendar!$B$2:$B$755,$A6800)&gt;0,1,0))</f>
        <v>0</v>
      </c>
      <c r="O6800" s="16">
        <f>IF($A6800&lt;Notes!$B$5,"",IF(COUNTIFS(Release_Calendar!$A$2:$A$755,"NZ_LABOUR",Release_Calendar!$B$2:$B$755,$A6800)&gt;0,1,0))</f>
        <v>0</v>
      </c>
      <c r="P6800" s="16">
        <f t="shared" si="4"/>
        <v>0</v>
      </c>
    </row>
    <row r="6801" ht="15.75" customHeight="1">
      <c r="A6801" s="14">
        <v>46045.0</v>
      </c>
      <c r="B6801" s="15">
        <v>3.6</v>
      </c>
      <c r="C6801" s="15">
        <v>3.09</v>
      </c>
      <c r="D6801" s="15"/>
      <c r="E6801" s="15">
        <v>3.32</v>
      </c>
      <c r="F6801" s="15">
        <f t="shared" si="1"/>
        <v>-0.51</v>
      </c>
      <c r="G6801" s="15">
        <f t="shared" si="2"/>
        <v>3.09</v>
      </c>
      <c r="H6801" s="16">
        <v>0.0</v>
      </c>
      <c r="I6801" s="15">
        <f t="shared" si="3"/>
        <v>-0.51</v>
      </c>
      <c r="J6801" s="15">
        <v>16.09</v>
      </c>
      <c r="K6801" s="16">
        <f>IF(COUNTIFS(Release_Calendar!$A$2:$A$755,"US_CPI",Release_Calendar!$B$2:$B$755,$A6801)&gt;0,1,0)</f>
        <v>0</v>
      </c>
      <c r="L6801" s="16">
        <f>IF(COUNTIFS(Release_Calendar!$A$2:$A$755,"US_NFP",Release_Calendar!$B$2:$B$755,$A6801)&gt;0,1,0)</f>
        <v>0</v>
      </c>
      <c r="M6801" s="16">
        <f>IF($A6801&lt;Notes!$B$5,"",IF(COUNTIFS(Release_Calendar!$A$2:$A$755,"NZ_CPI",Release_Calendar!$B$2:$B$755,$A6801)&gt;0,1,0))</f>
        <v>1</v>
      </c>
      <c r="N6801" s="16">
        <f>IF($A6801&lt;Notes!$B$5,"",IF(COUNTIFS(Release_Calendar!$A$2:$A$755,"NZ_GDP",Release_Calendar!$B$2:$B$755,$A6801)&gt;0,1,0))</f>
        <v>0</v>
      </c>
      <c r="O6801" s="16">
        <f>IF($A6801&lt;Notes!$B$5,"",IF(COUNTIFS(Release_Calendar!$A$2:$A$755,"NZ_LABOUR",Release_Calendar!$B$2:$B$755,$A6801)&gt;0,1,0))</f>
        <v>0</v>
      </c>
      <c r="P6801" s="16">
        <f t="shared" si="4"/>
        <v>1</v>
      </c>
    </row>
    <row r="6802" ht="15.75" customHeight="1">
      <c r="A6802" s="14">
        <v>46048.0</v>
      </c>
      <c r="B6802" s="15">
        <v>3.56</v>
      </c>
      <c r="C6802" s="15">
        <v>3.11</v>
      </c>
      <c r="D6802" s="15"/>
      <c r="E6802" s="15">
        <v>3.33</v>
      </c>
      <c r="F6802" s="15">
        <f t="shared" si="1"/>
        <v>-0.45</v>
      </c>
      <c r="G6802" s="15">
        <f t="shared" si="2"/>
        <v>3.11</v>
      </c>
      <c r="H6802" s="16">
        <v>0.0</v>
      </c>
      <c r="I6802" s="15">
        <f t="shared" si="3"/>
        <v>-0.45</v>
      </c>
      <c r="J6802" s="15">
        <v>16.15</v>
      </c>
      <c r="K6802" s="16">
        <f>IF(COUNTIFS(Release_Calendar!$A$2:$A$755,"US_CPI",Release_Calendar!$B$2:$B$755,$A6802)&gt;0,1,0)</f>
        <v>0</v>
      </c>
      <c r="L6802" s="16">
        <f>IF(COUNTIFS(Release_Calendar!$A$2:$A$755,"US_NFP",Release_Calendar!$B$2:$B$755,$A6802)&gt;0,1,0)</f>
        <v>0</v>
      </c>
      <c r="M6802" s="16">
        <f>IF($A6802&lt;Notes!$B$5,"",IF(COUNTIFS(Release_Calendar!$A$2:$A$755,"NZ_CPI",Release_Calendar!$B$2:$B$755,$A6802)&gt;0,1,0))</f>
        <v>0</v>
      </c>
      <c r="N6802" s="16">
        <f>IF($A6802&lt;Notes!$B$5,"",IF(COUNTIFS(Release_Calendar!$A$2:$A$755,"NZ_GDP",Release_Calendar!$B$2:$B$755,$A6802)&gt;0,1,0))</f>
        <v>0</v>
      </c>
      <c r="O6802" s="16">
        <f>IF($A6802&lt;Notes!$B$5,"",IF(COUNTIFS(Release_Calendar!$A$2:$A$755,"NZ_LABOUR",Release_Calendar!$B$2:$B$755,$A6802)&gt;0,1,0))</f>
        <v>0</v>
      </c>
      <c r="P6802" s="16">
        <f t="shared" si="4"/>
        <v>0</v>
      </c>
    </row>
    <row r="6803" ht="15.75" customHeight="1">
      <c r="A6803" s="14">
        <v>46049.0</v>
      </c>
      <c r="B6803" s="15">
        <v>3.53</v>
      </c>
      <c r="C6803" s="15">
        <v>3.11</v>
      </c>
      <c r="D6803" s="15"/>
      <c r="E6803" s="15">
        <v>3.32</v>
      </c>
      <c r="F6803" s="15">
        <f t="shared" si="1"/>
        <v>-0.42</v>
      </c>
      <c r="G6803" s="15">
        <f t="shared" si="2"/>
        <v>3.11</v>
      </c>
      <c r="H6803" s="16">
        <v>0.0</v>
      </c>
      <c r="I6803" s="15">
        <f t="shared" si="3"/>
        <v>-0.42</v>
      </c>
      <c r="J6803" s="15">
        <v>16.35</v>
      </c>
      <c r="K6803" s="16">
        <f>IF(COUNTIFS(Release_Calendar!$A$2:$A$755,"US_CPI",Release_Calendar!$B$2:$B$755,$A6803)&gt;0,1,0)</f>
        <v>0</v>
      </c>
      <c r="L6803" s="16">
        <f>IF(COUNTIFS(Release_Calendar!$A$2:$A$755,"US_NFP",Release_Calendar!$B$2:$B$755,$A6803)&gt;0,1,0)</f>
        <v>0</v>
      </c>
      <c r="M6803" s="16">
        <f>IF($A6803&lt;Notes!$B$5,"",IF(COUNTIFS(Release_Calendar!$A$2:$A$755,"NZ_CPI",Release_Calendar!$B$2:$B$755,$A6803)&gt;0,1,0))</f>
        <v>0</v>
      </c>
      <c r="N6803" s="16">
        <f>IF($A6803&lt;Notes!$B$5,"",IF(COUNTIFS(Release_Calendar!$A$2:$A$755,"NZ_GDP",Release_Calendar!$B$2:$B$755,$A6803)&gt;0,1,0))</f>
        <v>0</v>
      </c>
      <c r="O6803" s="16">
        <f>IF($A6803&lt;Notes!$B$5,"",IF(COUNTIFS(Release_Calendar!$A$2:$A$755,"NZ_LABOUR",Release_Calendar!$B$2:$B$755,$A6803)&gt;0,1,0))</f>
        <v>0</v>
      </c>
      <c r="P6803" s="16">
        <f t="shared" si="4"/>
        <v>0</v>
      </c>
    </row>
    <row r="6804" ht="15.75" customHeight="1">
      <c r="A6804" s="14">
        <v>46050.0</v>
      </c>
      <c r="B6804" s="15">
        <v>3.56</v>
      </c>
      <c r="C6804" s="15">
        <v>3.14</v>
      </c>
      <c r="D6804" s="15"/>
      <c r="E6804" s="15">
        <v>3.35</v>
      </c>
      <c r="F6804" s="15">
        <f t="shared" si="1"/>
        <v>-0.42</v>
      </c>
      <c r="G6804" s="15">
        <f t="shared" si="2"/>
        <v>3.14</v>
      </c>
      <c r="H6804" s="16">
        <v>0.0</v>
      </c>
      <c r="I6804" s="15">
        <f t="shared" si="3"/>
        <v>-0.42</v>
      </c>
      <c r="J6804" s="15">
        <v>16.35</v>
      </c>
      <c r="K6804" s="16">
        <f>IF(COUNTIFS(Release_Calendar!$A$2:$A$755,"US_CPI",Release_Calendar!$B$2:$B$755,$A6804)&gt;0,1,0)</f>
        <v>0</v>
      </c>
      <c r="L6804" s="16">
        <f>IF(COUNTIFS(Release_Calendar!$A$2:$A$755,"US_NFP",Release_Calendar!$B$2:$B$755,$A6804)&gt;0,1,0)</f>
        <v>0</v>
      </c>
      <c r="M6804" s="16">
        <f>IF($A6804&lt;Notes!$B$5,"",IF(COUNTIFS(Release_Calendar!$A$2:$A$755,"NZ_CPI",Release_Calendar!$B$2:$B$755,$A6804)&gt;0,1,0))</f>
        <v>0</v>
      </c>
      <c r="N6804" s="16">
        <f>IF($A6804&lt;Notes!$B$5,"",IF(COUNTIFS(Release_Calendar!$A$2:$A$755,"NZ_GDP",Release_Calendar!$B$2:$B$755,$A6804)&gt;0,1,0))</f>
        <v>0</v>
      </c>
      <c r="O6804" s="16">
        <f>IF($A6804&lt;Notes!$B$5,"",IF(COUNTIFS(Release_Calendar!$A$2:$A$755,"NZ_LABOUR",Release_Calendar!$B$2:$B$755,$A6804)&gt;0,1,0))</f>
        <v>0</v>
      </c>
      <c r="P6804" s="16">
        <f t="shared" si="4"/>
        <v>0</v>
      </c>
    </row>
    <row r="6805" ht="15.75" customHeight="1">
      <c r="A6805" s="14">
        <v>46051.0</v>
      </c>
      <c r="B6805" s="15">
        <v>3.53</v>
      </c>
      <c r="C6805" s="15">
        <v>3.14</v>
      </c>
      <c r="D6805" s="15"/>
      <c r="E6805" s="15">
        <v>3.36</v>
      </c>
      <c r="F6805" s="15">
        <f t="shared" si="1"/>
        <v>-0.39</v>
      </c>
      <c r="G6805" s="15">
        <f t="shared" si="2"/>
        <v>3.14</v>
      </c>
      <c r="H6805" s="16">
        <v>0.0</v>
      </c>
      <c r="I6805" s="15">
        <f t="shared" si="3"/>
        <v>-0.39</v>
      </c>
      <c r="J6805" s="15">
        <v>16.88</v>
      </c>
      <c r="K6805" s="16">
        <f>IF(COUNTIFS(Release_Calendar!$A$2:$A$755,"US_CPI",Release_Calendar!$B$2:$B$755,$A6805)&gt;0,1,0)</f>
        <v>0</v>
      </c>
      <c r="L6805" s="16">
        <f>IF(COUNTIFS(Release_Calendar!$A$2:$A$755,"US_NFP",Release_Calendar!$B$2:$B$755,$A6805)&gt;0,1,0)</f>
        <v>0</v>
      </c>
      <c r="M6805" s="16">
        <f>IF($A6805&lt;Notes!$B$5,"",IF(COUNTIFS(Release_Calendar!$A$2:$A$755,"NZ_CPI",Release_Calendar!$B$2:$B$755,$A6805)&gt;0,1,0))</f>
        <v>0</v>
      </c>
      <c r="N6805" s="16">
        <f>IF($A6805&lt;Notes!$B$5,"",IF(COUNTIFS(Release_Calendar!$A$2:$A$755,"NZ_GDP",Release_Calendar!$B$2:$B$755,$A6805)&gt;0,1,0))</f>
        <v>0</v>
      </c>
      <c r="O6805" s="16">
        <f>IF($A6805&lt;Notes!$B$5,"",IF(COUNTIFS(Release_Calendar!$A$2:$A$755,"NZ_LABOUR",Release_Calendar!$B$2:$B$755,$A6805)&gt;0,1,0))</f>
        <v>0</v>
      </c>
      <c r="P6805" s="16">
        <f t="shared" si="4"/>
        <v>0</v>
      </c>
    </row>
    <row r="6806" ht="15.75" customHeight="1">
      <c r="A6806" s="14">
        <v>46052.0</v>
      </c>
      <c r="B6806" s="15">
        <v>3.52</v>
      </c>
      <c r="C6806" s="15">
        <v>3.15</v>
      </c>
      <c r="D6806" s="15"/>
      <c r="E6806" s="15">
        <v>3.34</v>
      </c>
      <c r="F6806" s="15">
        <f t="shared" si="1"/>
        <v>-0.37</v>
      </c>
      <c r="G6806" s="15">
        <f t="shared" si="2"/>
        <v>3.15</v>
      </c>
      <c r="H6806" s="16">
        <v>0.0</v>
      </c>
      <c r="I6806" s="15">
        <f t="shared" si="3"/>
        <v>-0.37</v>
      </c>
      <c r="J6806" s="15">
        <v>17.44</v>
      </c>
      <c r="K6806" s="16">
        <f>IF(COUNTIFS(Release_Calendar!$A$2:$A$755,"US_CPI",Release_Calendar!$B$2:$B$755,$A6806)&gt;0,1,0)</f>
        <v>0</v>
      </c>
      <c r="L6806" s="16">
        <f>IF(COUNTIFS(Release_Calendar!$A$2:$A$755,"US_NFP",Release_Calendar!$B$2:$B$755,$A6806)&gt;0,1,0)</f>
        <v>0</v>
      </c>
      <c r="M6806" s="16">
        <f>IF($A6806&lt;Notes!$B$5,"",IF(COUNTIFS(Release_Calendar!$A$2:$A$755,"NZ_CPI",Release_Calendar!$B$2:$B$755,$A6806)&gt;0,1,0))</f>
        <v>0</v>
      </c>
      <c r="N6806" s="16">
        <f>IF($A6806&lt;Notes!$B$5,"",IF(COUNTIFS(Release_Calendar!$A$2:$A$755,"NZ_GDP",Release_Calendar!$B$2:$B$755,$A6806)&gt;0,1,0))</f>
        <v>0</v>
      </c>
      <c r="O6806" s="16">
        <f>IF($A6806&lt;Notes!$B$5,"",IF(COUNTIFS(Release_Calendar!$A$2:$A$755,"NZ_LABOUR",Release_Calendar!$B$2:$B$755,$A6806)&gt;0,1,0))</f>
        <v>0</v>
      </c>
      <c r="P6806" s="16">
        <f t="shared" si="4"/>
        <v>0</v>
      </c>
    </row>
    <row r="6807" ht="15.75" customHeight="1">
      <c r="A6807" s="14">
        <v>46055.0</v>
      </c>
      <c r="B6807" s="15">
        <v>3.57</v>
      </c>
      <c r="C6807" s="15">
        <v>3.16</v>
      </c>
      <c r="D6807" s="15"/>
      <c r="E6807" s="15">
        <v>3.35</v>
      </c>
      <c r="F6807" s="15">
        <f t="shared" si="1"/>
        <v>-0.41</v>
      </c>
      <c r="G6807" s="15">
        <f t="shared" si="2"/>
        <v>3.16</v>
      </c>
      <c r="H6807" s="16">
        <v>0.0</v>
      </c>
      <c r="I6807" s="15">
        <f t="shared" si="3"/>
        <v>-0.41</v>
      </c>
      <c r="J6807" s="15">
        <v>16.34</v>
      </c>
      <c r="K6807" s="16">
        <f>IF(COUNTIFS(Release_Calendar!$A$2:$A$755,"US_CPI",Release_Calendar!$B$2:$B$755,$A6807)&gt;0,1,0)</f>
        <v>0</v>
      </c>
      <c r="L6807" s="16">
        <f>IF(COUNTIFS(Release_Calendar!$A$2:$A$755,"US_NFP",Release_Calendar!$B$2:$B$755,$A6807)&gt;0,1,0)</f>
        <v>0</v>
      </c>
      <c r="M6807" s="16">
        <f>IF($A6807&lt;Notes!$B$5,"",IF(COUNTIFS(Release_Calendar!$A$2:$A$755,"NZ_CPI",Release_Calendar!$B$2:$B$755,$A6807)&gt;0,1,0))</f>
        <v>0</v>
      </c>
      <c r="N6807" s="16">
        <f>IF($A6807&lt;Notes!$B$5,"",IF(COUNTIFS(Release_Calendar!$A$2:$A$755,"NZ_GDP",Release_Calendar!$B$2:$B$755,$A6807)&gt;0,1,0))</f>
        <v>0</v>
      </c>
      <c r="O6807" s="16">
        <f>IF($A6807&lt;Notes!$B$5,"",IF(COUNTIFS(Release_Calendar!$A$2:$A$755,"NZ_LABOUR",Release_Calendar!$B$2:$B$755,$A6807)&gt;0,1,0))</f>
        <v>0</v>
      </c>
      <c r="P6807" s="16">
        <f t="shared" si="4"/>
        <v>0</v>
      </c>
    </row>
    <row r="6808" ht="15.75" customHeight="1">
      <c r="A6808" s="14">
        <v>46056.0</v>
      </c>
      <c r="B6808" s="15">
        <v>3.57</v>
      </c>
      <c r="C6808" s="15">
        <v>3.14</v>
      </c>
      <c r="D6808" s="15"/>
      <c r="E6808" s="15">
        <v>3.33</v>
      </c>
      <c r="F6808" s="15">
        <f t="shared" si="1"/>
        <v>-0.43</v>
      </c>
      <c r="G6808" s="15">
        <f t="shared" si="2"/>
        <v>3.14</v>
      </c>
      <c r="H6808" s="16">
        <v>0.0</v>
      </c>
      <c r="I6808" s="15">
        <f t="shared" si="3"/>
        <v>-0.43</v>
      </c>
      <c r="J6808" s="15">
        <v>18.0</v>
      </c>
      <c r="K6808" s="16">
        <f>IF(COUNTIFS(Release_Calendar!$A$2:$A$755,"US_CPI",Release_Calendar!$B$2:$B$755,$A6808)&gt;0,1,0)</f>
        <v>0</v>
      </c>
      <c r="L6808" s="16">
        <f>IF(COUNTIFS(Release_Calendar!$A$2:$A$755,"US_NFP",Release_Calendar!$B$2:$B$755,$A6808)&gt;0,1,0)</f>
        <v>0</v>
      </c>
      <c r="M6808" s="16">
        <f>IF($A6808&lt;Notes!$B$5,"",IF(COUNTIFS(Release_Calendar!$A$2:$A$755,"NZ_CPI",Release_Calendar!$B$2:$B$755,$A6808)&gt;0,1,0))</f>
        <v>0</v>
      </c>
      <c r="N6808" s="16">
        <f>IF($A6808&lt;Notes!$B$5,"",IF(COUNTIFS(Release_Calendar!$A$2:$A$755,"NZ_GDP",Release_Calendar!$B$2:$B$755,$A6808)&gt;0,1,0))</f>
        <v>0</v>
      </c>
      <c r="O6808" s="16">
        <f>IF($A6808&lt;Notes!$B$5,"",IF(COUNTIFS(Release_Calendar!$A$2:$A$755,"NZ_LABOUR",Release_Calendar!$B$2:$B$755,$A6808)&gt;0,1,0))</f>
        <v>0</v>
      </c>
      <c r="P6808" s="16">
        <f t="shared" si="4"/>
        <v>0</v>
      </c>
    </row>
    <row r="6809" ht="15.75" customHeight="1">
      <c r="A6809" s="14">
        <v>46057.0</v>
      </c>
      <c r="B6809" s="15">
        <v>3.57</v>
      </c>
      <c r="C6809" s="15">
        <v>3.07</v>
      </c>
      <c r="D6809" s="15"/>
      <c r="E6809" s="15">
        <v>3.28</v>
      </c>
      <c r="F6809" s="15">
        <f t="shared" si="1"/>
        <v>-0.5</v>
      </c>
      <c r="G6809" s="15">
        <f t="shared" si="2"/>
        <v>3.07</v>
      </c>
      <c r="H6809" s="16">
        <v>0.0</v>
      </c>
      <c r="I6809" s="15">
        <f t="shared" si="3"/>
        <v>-0.5</v>
      </c>
      <c r="J6809" s="15">
        <v>18.64</v>
      </c>
      <c r="K6809" s="16">
        <f>IF(COUNTIFS(Release_Calendar!$A$2:$A$755,"US_CPI",Release_Calendar!$B$2:$B$755,$A6809)&gt;0,1,0)</f>
        <v>0</v>
      </c>
      <c r="L6809" s="16">
        <f>IF(COUNTIFS(Release_Calendar!$A$2:$A$755,"US_NFP",Release_Calendar!$B$2:$B$755,$A6809)&gt;0,1,0)</f>
        <v>0</v>
      </c>
      <c r="M6809" s="16">
        <f>IF($A6809&lt;Notes!$B$5,"",IF(COUNTIFS(Release_Calendar!$A$2:$A$755,"NZ_CPI",Release_Calendar!$B$2:$B$755,$A6809)&gt;0,1,0))</f>
        <v>0</v>
      </c>
      <c r="N6809" s="16">
        <f>IF($A6809&lt;Notes!$B$5,"",IF(COUNTIFS(Release_Calendar!$A$2:$A$755,"NZ_GDP",Release_Calendar!$B$2:$B$755,$A6809)&gt;0,1,0))</f>
        <v>0</v>
      </c>
      <c r="O6809" s="16">
        <f>IF($A6809&lt;Notes!$B$5,"",IF(COUNTIFS(Release_Calendar!$A$2:$A$755,"NZ_LABOUR",Release_Calendar!$B$2:$B$755,$A6809)&gt;0,1,0))</f>
        <v>1</v>
      </c>
      <c r="P6809" s="16">
        <f t="shared" si="4"/>
        <v>1</v>
      </c>
    </row>
    <row r="6810" ht="15.75" customHeight="1">
      <c r="A6810" s="14">
        <v>46058.0</v>
      </c>
      <c r="B6810" s="15">
        <v>3.47</v>
      </c>
      <c r="C6810" s="15">
        <v>3.09</v>
      </c>
      <c r="D6810" s="15"/>
      <c r="E6810" s="15">
        <v>3.28</v>
      </c>
      <c r="F6810" s="15">
        <f t="shared" si="1"/>
        <v>-0.38</v>
      </c>
      <c r="G6810" s="15">
        <f t="shared" si="2"/>
        <v>3.09</v>
      </c>
      <c r="H6810" s="16">
        <v>0.0</v>
      </c>
      <c r="I6810" s="15">
        <f t="shared" si="3"/>
        <v>-0.38</v>
      </c>
      <c r="J6810" s="15">
        <v>21.77</v>
      </c>
      <c r="K6810" s="16">
        <f>IF(COUNTIFS(Release_Calendar!$A$2:$A$755,"US_CPI",Release_Calendar!$B$2:$B$755,$A6810)&gt;0,1,0)</f>
        <v>0</v>
      </c>
      <c r="L6810" s="16">
        <f>IF(COUNTIFS(Release_Calendar!$A$2:$A$755,"US_NFP",Release_Calendar!$B$2:$B$755,$A6810)&gt;0,1,0)</f>
        <v>0</v>
      </c>
      <c r="M6810" s="16">
        <f>IF($A6810&lt;Notes!$B$5,"",IF(COUNTIFS(Release_Calendar!$A$2:$A$755,"NZ_CPI",Release_Calendar!$B$2:$B$755,$A6810)&gt;0,1,0))</f>
        <v>0</v>
      </c>
      <c r="N6810" s="16">
        <f>IF($A6810&lt;Notes!$B$5,"",IF(COUNTIFS(Release_Calendar!$A$2:$A$755,"NZ_GDP",Release_Calendar!$B$2:$B$755,$A6810)&gt;0,1,0))</f>
        <v>0</v>
      </c>
      <c r="O6810" s="16">
        <f>IF($A6810&lt;Notes!$B$5,"",IF(COUNTIFS(Release_Calendar!$A$2:$A$755,"NZ_LABOUR",Release_Calendar!$B$2:$B$755,$A6810)&gt;0,1,0))</f>
        <v>0</v>
      </c>
      <c r="P6810" s="16">
        <f t="shared" si="4"/>
        <v>0</v>
      </c>
    </row>
    <row r="6811" ht="15.75" customHeight="1">
      <c r="A6811" s="14">
        <v>46059.0</v>
      </c>
      <c r="B6811" s="15">
        <v>3.5</v>
      </c>
      <c r="C6811" s="15"/>
      <c r="D6811" s="15"/>
      <c r="E6811" s="15"/>
      <c r="F6811" s="15" t="str">
        <f t="shared" si="1"/>
        <v/>
      </c>
      <c r="G6811" s="15" t="str">
        <f t="shared" si="2"/>
        <v/>
      </c>
      <c r="H6811" s="16">
        <v>0.0</v>
      </c>
      <c r="I6811" s="15" t="str">
        <f t="shared" si="3"/>
        <v/>
      </c>
      <c r="J6811" s="15">
        <v>17.76</v>
      </c>
      <c r="K6811" s="16">
        <f>IF(COUNTIFS(Release_Calendar!$A$2:$A$755,"US_CPI",Release_Calendar!$B$2:$B$755,$A6811)&gt;0,1,0)</f>
        <v>0</v>
      </c>
      <c r="L6811" s="16">
        <f>IF(COUNTIFS(Release_Calendar!$A$2:$A$755,"US_NFP",Release_Calendar!$B$2:$B$755,$A6811)&gt;0,1,0)</f>
        <v>0</v>
      </c>
      <c r="M6811" s="16">
        <f>IF($A6811&lt;Notes!$B$5,"",IF(COUNTIFS(Release_Calendar!$A$2:$A$755,"NZ_CPI",Release_Calendar!$B$2:$B$755,$A6811)&gt;0,1,0))</f>
        <v>0</v>
      </c>
      <c r="N6811" s="16">
        <f>IF($A6811&lt;Notes!$B$5,"",IF(COUNTIFS(Release_Calendar!$A$2:$A$755,"NZ_GDP",Release_Calendar!$B$2:$B$755,$A6811)&gt;0,1,0))</f>
        <v>0</v>
      </c>
      <c r="O6811" s="16">
        <f>IF($A6811&lt;Notes!$B$5,"",IF(COUNTIFS(Release_Calendar!$A$2:$A$755,"NZ_LABOUR",Release_Calendar!$B$2:$B$755,$A6811)&gt;0,1,0))</f>
        <v>0</v>
      </c>
      <c r="P6811" s="16">
        <f t="shared" si="4"/>
        <v>0</v>
      </c>
    </row>
    <row r="6812" ht="15.75" customHeight="1">
      <c r="A6812" s="14">
        <v>46062.0</v>
      </c>
      <c r="B6812" s="15">
        <v>3.48</v>
      </c>
      <c r="C6812" s="15">
        <v>3.09</v>
      </c>
      <c r="D6812" s="15"/>
      <c r="E6812" s="15">
        <v>3.28</v>
      </c>
      <c r="F6812" s="15">
        <f t="shared" si="1"/>
        <v>-0.39</v>
      </c>
      <c r="G6812" s="15">
        <f t="shared" si="2"/>
        <v>3.09</v>
      </c>
      <c r="H6812" s="16">
        <v>0.0</v>
      </c>
      <c r="I6812" s="15">
        <f t="shared" si="3"/>
        <v>-0.39</v>
      </c>
      <c r="J6812" s="15">
        <v>17.36</v>
      </c>
      <c r="K6812" s="16">
        <f>IF(COUNTIFS(Release_Calendar!$A$2:$A$755,"US_CPI",Release_Calendar!$B$2:$B$755,$A6812)&gt;0,1,0)</f>
        <v>0</v>
      </c>
      <c r="L6812" s="16">
        <f>IF(COUNTIFS(Release_Calendar!$A$2:$A$755,"US_NFP",Release_Calendar!$B$2:$B$755,$A6812)&gt;0,1,0)</f>
        <v>0</v>
      </c>
      <c r="M6812" s="16">
        <f>IF($A6812&lt;Notes!$B$5,"",IF(COUNTIFS(Release_Calendar!$A$2:$A$755,"NZ_CPI",Release_Calendar!$B$2:$B$755,$A6812)&gt;0,1,0))</f>
        <v>0</v>
      </c>
      <c r="N6812" s="16">
        <f>IF($A6812&lt;Notes!$B$5,"",IF(COUNTIFS(Release_Calendar!$A$2:$A$755,"NZ_GDP",Release_Calendar!$B$2:$B$755,$A6812)&gt;0,1,0))</f>
        <v>0</v>
      </c>
      <c r="O6812" s="16">
        <f>IF($A6812&lt;Notes!$B$5,"",IF(COUNTIFS(Release_Calendar!$A$2:$A$755,"NZ_LABOUR",Release_Calendar!$B$2:$B$755,$A6812)&gt;0,1,0))</f>
        <v>0</v>
      </c>
      <c r="P6812" s="16">
        <f t="shared" si="4"/>
        <v>0</v>
      </c>
    </row>
    <row r="6813" ht="15.75" customHeight="1">
      <c r="A6813" s="14">
        <v>46063.0</v>
      </c>
      <c r="B6813" s="15">
        <v>3.45</v>
      </c>
      <c r="C6813" s="15">
        <v>3.09</v>
      </c>
      <c r="D6813" s="15"/>
      <c r="E6813" s="15">
        <v>3.28</v>
      </c>
      <c r="F6813" s="15">
        <f t="shared" si="1"/>
        <v>-0.36</v>
      </c>
      <c r="G6813" s="15">
        <f t="shared" si="2"/>
        <v>3.09</v>
      </c>
      <c r="H6813" s="16">
        <v>0.0</v>
      </c>
      <c r="I6813" s="15">
        <f t="shared" si="3"/>
        <v>-0.36</v>
      </c>
      <c r="J6813" s="15">
        <v>17.79</v>
      </c>
      <c r="K6813" s="16">
        <f>IF(COUNTIFS(Release_Calendar!$A$2:$A$755,"US_CPI",Release_Calendar!$B$2:$B$755,$A6813)&gt;0,1,0)</f>
        <v>0</v>
      </c>
      <c r="L6813" s="16">
        <f>IF(COUNTIFS(Release_Calendar!$A$2:$A$755,"US_NFP",Release_Calendar!$B$2:$B$755,$A6813)&gt;0,1,0)</f>
        <v>0</v>
      </c>
      <c r="M6813" s="16">
        <f>IF($A6813&lt;Notes!$B$5,"",IF(COUNTIFS(Release_Calendar!$A$2:$A$755,"NZ_CPI",Release_Calendar!$B$2:$B$755,$A6813)&gt;0,1,0))</f>
        <v>0</v>
      </c>
      <c r="N6813" s="16">
        <f>IF($A6813&lt;Notes!$B$5,"",IF(COUNTIFS(Release_Calendar!$A$2:$A$755,"NZ_GDP",Release_Calendar!$B$2:$B$755,$A6813)&gt;0,1,0))</f>
        <v>0</v>
      </c>
      <c r="O6813" s="16">
        <f>IF($A6813&lt;Notes!$B$5,"",IF(COUNTIFS(Release_Calendar!$A$2:$A$755,"NZ_LABOUR",Release_Calendar!$B$2:$B$755,$A6813)&gt;0,1,0))</f>
        <v>0</v>
      </c>
      <c r="P6813" s="16">
        <f t="shared" si="4"/>
        <v>0</v>
      </c>
    </row>
    <row r="6814" ht="15.75" customHeight="1">
      <c r="A6814" s="14">
        <v>46064.0</v>
      </c>
      <c r="B6814" s="15">
        <v>3.52</v>
      </c>
      <c r="C6814" s="15">
        <v>3.07</v>
      </c>
      <c r="D6814" s="15"/>
      <c r="E6814" s="15">
        <v>3.26</v>
      </c>
      <c r="F6814" s="15">
        <f t="shared" si="1"/>
        <v>-0.45</v>
      </c>
      <c r="G6814" s="15">
        <f t="shared" si="2"/>
        <v>3.07</v>
      </c>
      <c r="H6814" s="16">
        <v>0.0</v>
      </c>
      <c r="I6814" s="15">
        <f t="shared" si="3"/>
        <v>-0.45</v>
      </c>
      <c r="J6814" s="15">
        <v>17.65</v>
      </c>
      <c r="K6814" s="16">
        <f>IF(COUNTIFS(Release_Calendar!$A$2:$A$755,"US_CPI",Release_Calendar!$B$2:$B$755,$A6814)&gt;0,1,0)</f>
        <v>0</v>
      </c>
      <c r="L6814" s="16">
        <f>IF(COUNTIFS(Release_Calendar!$A$2:$A$755,"US_NFP",Release_Calendar!$B$2:$B$755,$A6814)&gt;0,1,0)</f>
        <v>1</v>
      </c>
      <c r="M6814" s="16">
        <f>IF($A6814&lt;Notes!$B$5,"",IF(COUNTIFS(Release_Calendar!$A$2:$A$755,"NZ_CPI",Release_Calendar!$B$2:$B$755,$A6814)&gt;0,1,0))</f>
        <v>0</v>
      </c>
      <c r="N6814" s="16">
        <f>IF($A6814&lt;Notes!$B$5,"",IF(COUNTIFS(Release_Calendar!$A$2:$A$755,"NZ_GDP",Release_Calendar!$B$2:$B$755,$A6814)&gt;0,1,0))</f>
        <v>0</v>
      </c>
      <c r="O6814" s="16">
        <f>IF($A6814&lt;Notes!$B$5,"",IF(COUNTIFS(Release_Calendar!$A$2:$A$755,"NZ_LABOUR",Release_Calendar!$B$2:$B$755,$A6814)&gt;0,1,0))</f>
        <v>0</v>
      </c>
      <c r="P6814" s="16">
        <f t="shared" si="4"/>
        <v>1</v>
      </c>
    </row>
    <row r="6815" ht="15.75" customHeight="1">
      <c r="A6815" s="14">
        <v>46065.0</v>
      </c>
      <c r="B6815" s="15">
        <v>3.47</v>
      </c>
      <c r="C6815" s="15">
        <v>3.1</v>
      </c>
      <c r="D6815" s="15"/>
      <c r="E6815" s="15">
        <v>3.28</v>
      </c>
      <c r="F6815" s="15">
        <f t="shared" si="1"/>
        <v>-0.37</v>
      </c>
      <c r="G6815" s="15">
        <f t="shared" si="2"/>
        <v>3.1</v>
      </c>
      <c r="H6815" s="16">
        <v>0.0</v>
      </c>
      <c r="I6815" s="15">
        <f t="shared" si="3"/>
        <v>-0.37</v>
      </c>
      <c r="J6815" s="15">
        <v>20.82</v>
      </c>
      <c r="K6815" s="16">
        <f>IF(COUNTIFS(Release_Calendar!$A$2:$A$755,"US_CPI",Release_Calendar!$B$2:$B$755,$A6815)&gt;0,1,0)</f>
        <v>0</v>
      </c>
      <c r="L6815" s="16">
        <f>IF(COUNTIFS(Release_Calendar!$A$2:$A$755,"US_NFP",Release_Calendar!$B$2:$B$755,$A6815)&gt;0,1,0)</f>
        <v>0</v>
      </c>
      <c r="M6815" s="16">
        <f>IF($A6815&lt;Notes!$B$5,"",IF(COUNTIFS(Release_Calendar!$A$2:$A$755,"NZ_CPI",Release_Calendar!$B$2:$B$755,$A6815)&gt;0,1,0))</f>
        <v>0</v>
      </c>
      <c r="N6815" s="16">
        <f>IF($A6815&lt;Notes!$B$5,"",IF(COUNTIFS(Release_Calendar!$A$2:$A$755,"NZ_GDP",Release_Calendar!$B$2:$B$755,$A6815)&gt;0,1,0))</f>
        <v>0</v>
      </c>
      <c r="O6815" s="16">
        <f>IF($A6815&lt;Notes!$B$5,"",IF(COUNTIFS(Release_Calendar!$A$2:$A$755,"NZ_LABOUR",Release_Calendar!$B$2:$B$755,$A6815)&gt;0,1,0))</f>
        <v>0</v>
      </c>
      <c r="P6815" s="16">
        <f t="shared" si="4"/>
        <v>0</v>
      </c>
    </row>
    <row r="6816" ht="15.75" customHeight="1">
      <c r="A6816" s="14">
        <v>46066.0</v>
      </c>
      <c r="B6816" s="15">
        <v>3.4</v>
      </c>
      <c r="C6816" s="15">
        <v>3.08</v>
      </c>
      <c r="D6816" s="15"/>
      <c r="E6816" s="15">
        <v>3.25</v>
      </c>
      <c r="F6816" s="15">
        <f t="shared" si="1"/>
        <v>-0.32</v>
      </c>
      <c r="G6816" s="15">
        <f t="shared" si="2"/>
        <v>3.08</v>
      </c>
      <c r="H6816" s="16">
        <v>0.0</v>
      </c>
      <c r="I6816" s="15">
        <f t="shared" si="3"/>
        <v>-0.32</v>
      </c>
      <c r="J6816" s="15">
        <v>20.6</v>
      </c>
      <c r="K6816" s="16">
        <f>IF(COUNTIFS(Release_Calendar!$A$2:$A$755,"US_CPI",Release_Calendar!$B$2:$B$755,$A6816)&gt;0,1,0)</f>
        <v>1</v>
      </c>
      <c r="L6816" s="16">
        <f>IF(COUNTIFS(Release_Calendar!$A$2:$A$755,"US_NFP",Release_Calendar!$B$2:$B$755,$A6816)&gt;0,1,0)</f>
        <v>0</v>
      </c>
      <c r="M6816" s="16">
        <f>IF($A6816&lt;Notes!$B$5,"",IF(COUNTIFS(Release_Calendar!$A$2:$A$755,"NZ_CPI",Release_Calendar!$B$2:$B$755,$A6816)&gt;0,1,0))</f>
        <v>0</v>
      </c>
      <c r="N6816" s="16">
        <f>IF($A6816&lt;Notes!$B$5,"",IF(COUNTIFS(Release_Calendar!$A$2:$A$755,"NZ_GDP",Release_Calendar!$B$2:$B$755,$A6816)&gt;0,1,0))</f>
        <v>0</v>
      </c>
      <c r="O6816" s="16">
        <f>IF($A6816&lt;Notes!$B$5,"",IF(COUNTIFS(Release_Calendar!$A$2:$A$755,"NZ_LABOUR",Release_Calendar!$B$2:$B$755,$A6816)&gt;0,1,0))</f>
        <v>0</v>
      </c>
      <c r="P6816" s="16">
        <f t="shared" si="4"/>
        <v>1</v>
      </c>
    </row>
    <row r="6817" ht="15.75" customHeight="1">
      <c r="A6817" s="14">
        <v>46069.0</v>
      </c>
      <c r="B6817" s="15"/>
      <c r="C6817" s="15">
        <v>3.05</v>
      </c>
      <c r="D6817" s="15"/>
      <c r="E6817" s="15">
        <v>3.22</v>
      </c>
      <c r="F6817" s="15" t="str">
        <f t="shared" si="1"/>
        <v/>
      </c>
      <c r="G6817" s="15">
        <f t="shared" si="2"/>
        <v>3.05</v>
      </c>
      <c r="H6817" s="16">
        <v>0.0</v>
      </c>
      <c r="I6817" s="15" t="str">
        <f t="shared" si="3"/>
        <v/>
      </c>
      <c r="J6817" s="15">
        <v>21.2</v>
      </c>
      <c r="K6817" s="16">
        <f>IF(COUNTIFS(Release_Calendar!$A$2:$A$755,"US_CPI",Release_Calendar!$B$2:$B$755,$A6817)&gt;0,1,0)</f>
        <v>0</v>
      </c>
      <c r="L6817" s="16">
        <f>IF(COUNTIFS(Release_Calendar!$A$2:$A$755,"US_NFP",Release_Calendar!$B$2:$B$755,$A6817)&gt;0,1,0)</f>
        <v>0</v>
      </c>
      <c r="M6817" s="16">
        <f>IF($A6817&lt;Notes!$B$5,"",IF(COUNTIFS(Release_Calendar!$A$2:$A$755,"NZ_CPI",Release_Calendar!$B$2:$B$755,$A6817)&gt;0,1,0))</f>
        <v>0</v>
      </c>
      <c r="N6817" s="16">
        <f>IF($A6817&lt;Notes!$B$5,"",IF(COUNTIFS(Release_Calendar!$A$2:$A$755,"NZ_GDP",Release_Calendar!$B$2:$B$755,$A6817)&gt;0,1,0))</f>
        <v>0</v>
      </c>
      <c r="O6817" s="16">
        <f>IF($A6817&lt;Notes!$B$5,"",IF(COUNTIFS(Release_Calendar!$A$2:$A$755,"NZ_LABOUR",Release_Calendar!$B$2:$B$755,$A6817)&gt;0,1,0))</f>
        <v>0</v>
      </c>
      <c r="P6817" s="16">
        <f t="shared" si="4"/>
        <v>0</v>
      </c>
    </row>
    <row r="6818" ht="15.75" customHeight="1">
      <c r="A6818" s="14">
        <v>46070.0</v>
      </c>
      <c r="B6818" s="15">
        <v>3.43</v>
      </c>
      <c r="C6818" s="15">
        <v>3.03</v>
      </c>
      <c r="D6818" s="15"/>
      <c r="E6818" s="15">
        <v>3.19</v>
      </c>
      <c r="F6818" s="15">
        <f t="shared" si="1"/>
        <v>-0.4</v>
      </c>
      <c r="G6818" s="15">
        <f t="shared" si="2"/>
        <v>3.03</v>
      </c>
      <c r="H6818" s="16">
        <v>0.0</v>
      </c>
      <c r="I6818" s="15">
        <f t="shared" si="3"/>
        <v>-0.4</v>
      </c>
      <c r="J6818" s="15">
        <v>20.29</v>
      </c>
      <c r="K6818" s="16">
        <f>IF(COUNTIFS(Release_Calendar!$A$2:$A$755,"US_CPI",Release_Calendar!$B$2:$B$755,$A6818)&gt;0,1,0)</f>
        <v>0</v>
      </c>
      <c r="L6818" s="16">
        <f>IF(COUNTIFS(Release_Calendar!$A$2:$A$755,"US_NFP",Release_Calendar!$B$2:$B$755,$A6818)&gt;0,1,0)</f>
        <v>0</v>
      </c>
      <c r="M6818" s="16">
        <f>IF($A6818&lt;Notes!$B$5,"",IF(COUNTIFS(Release_Calendar!$A$2:$A$755,"NZ_CPI",Release_Calendar!$B$2:$B$755,$A6818)&gt;0,1,0))</f>
        <v>0</v>
      </c>
      <c r="N6818" s="16">
        <f>IF($A6818&lt;Notes!$B$5,"",IF(COUNTIFS(Release_Calendar!$A$2:$A$755,"NZ_GDP",Release_Calendar!$B$2:$B$755,$A6818)&gt;0,1,0))</f>
        <v>0</v>
      </c>
      <c r="O6818" s="16">
        <f>IF($A6818&lt;Notes!$B$5,"",IF(COUNTIFS(Release_Calendar!$A$2:$A$755,"NZ_LABOUR",Release_Calendar!$B$2:$B$755,$A6818)&gt;0,1,0))</f>
        <v>0</v>
      </c>
      <c r="P6818" s="16">
        <f t="shared" si="4"/>
        <v>0</v>
      </c>
    </row>
    <row r="6819" ht="15.75" customHeight="1">
      <c r="A6819" s="14">
        <v>46071.0</v>
      </c>
      <c r="B6819" s="15">
        <v>3.47</v>
      </c>
      <c r="C6819" s="15">
        <v>2.94</v>
      </c>
      <c r="D6819" s="15"/>
      <c r="E6819" s="15">
        <v>3.09</v>
      </c>
      <c r="F6819" s="15">
        <f t="shared" si="1"/>
        <v>-0.53</v>
      </c>
      <c r="G6819" s="15">
        <f t="shared" si="2"/>
        <v>2.94</v>
      </c>
      <c r="H6819" s="16">
        <v>0.0</v>
      </c>
      <c r="I6819" s="15">
        <f t="shared" si="3"/>
        <v>-0.53</v>
      </c>
      <c r="J6819" s="15">
        <v>19.62</v>
      </c>
      <c r="K6819" s="16">
        <f>IF(COUNTIFS(Release_Calendar!$A$2:$A$755,"US_CPI",Release_Calendar!$B$2:$B$755,$A6819)&gt;0,1,0)</f>
        <v>0</v>
      </c>
      <c r="L6819" s="16">
        <f>IF(COUNTIFS(Release_Calendar!$A$2:$A$755,"US_NFP",Release_Calendar!$B$2:$B$755,$A6819)&gt;0,1,0)</f>
        <v>0</v>
      </c>
      <c r="M6819" s="16">
        <f>IF($A6819&lt;Notes!$B$5,"",IF(COUNTIFS(Release_Calendar!$A$2:$A$755,"NZ_CPI",Release_Calendar!$B$2:$B$755,$A6819)&gt;0,1,0))</f>
        <v>0</v>
      </c>
      <c r="N6819" s="16">
        <f>IF($A6819&lt;Notes!$B$5,"",IF(COUNTIFS(Release_Calendar!$A$2:$A$755,"NZ_GDP",Release_Calendar!$B$2:$B$755,$A6819)&gt;0,1,0))</f>
        <v>0</v>
      </c>
      <c r="O6819" s="16">
        <f>IF($A6819&lt;Notes!$B$5,"",IF(COUNTIFS(Release_Calendar!$A$2:$A$755,"NZ_LABOUR",Release_Calendar!$B$2:$B$755,$A6819)&gt;0,1,0))</f>
        <v>0</v>
      </c>
      <c r="P6819" s="16">
        <f t="shared" si="4"/>
        <v>0</v>
      </c>
    </row>
    <row r="6820" ht="15.75" customHeight="1">
      <c r="A6820" s="14">
        <v>46072.0</v>
      </c>
      <c r="B6820" s="15">
        <v>3.47</v>
      </c>
      <c r="C6820" s="15">
        <v>2.94</v>
      </c>
      <c r="D6820" s="15"/>
      <c r="E6820" s="15">
        <v>3.11</v>
      </c>
      <c r="F6820" s="15">
        <f t="shared" si="1"/>
        <v>-0.53</v>
      </c>
      <c r="G6820" s="15">
        <f t="shared" si="2"/>
        <v>2.94</v>
      </c>
      <c r="H6820" s="16">
        <v>0.0</v>
      </c>
      <c r="I6820" s="15">
        <f t="shared" si="3"/>
        <v>-0.53</v>
      </c>
      <c r="J6820" s="15">
        <v>20.23</v>
      </c>
      <c r="K6820" s="16">
        <f>IF(COUNTIFS(Release_Calendar!$A$2:$A$755,"US_CPI",Release_Calendar!$B$2:$B$755,$A6820)&gt;0,1,0)</f>
        <v>0</v>
      </c>
      <c r="L6820" s="16">
        <f>IF(COUNTIFS(Release_Calendar!$A$2:$A$755,"US_NFP",Release_Calendar!$B$2:$B$755,$A6820)&gt;0,1,0)</f>
        <v>0</v>
      </c>
      <c r="M6820" s="16">
        <f>IF($A6820&lt;Notes!$B$5,"",IF(COUNTIFS(Release_Calendar!$A$2:$A$755,"NZ_CPI",Release_Calendar!$B$2:$B$755,$A6820)&gt;0,1,0))</f>
        <v>0</v>
      </c>
      <c r="N6820" s="16">
        <f>IF($A6820&lt;Notes!$B$5,"",IF(COUNTIFS(Release_Calendar!$A$2:$A$755,"NZ_GDP",Release_Calendar!$B$2:$B$755,$A6820)&gt;0,1,0))</f>
        <v>0</v>
      </c>
      <c r="O6820" s="16">
        <f>IF($A6820&lt;Notes!$B$5,"",IF(COUNTIFS(Release_Calendar!$A$2:$A$755,"NZ_LABOUR",Release_Calendar!$B$2:$B$755,$A6820)&gt;0,1,0))</f>
        <v>0</v>
      </c>
      <c r="P6820" s="16">
        <f t="shared" si="4"/>
        <v>0</v>
      </c>
    </row>
    <row r="6821" ht="15.75" customHeight="1">
      <c r="A6821" s="14">
        <v>46073.0</v>
      </c>
      <c r="B6821" s="15">
        <v>3.48</v>
      </c>
      <c r="C6821" s="15">
        <v>2.91</v>
      </c>
      <c r="D6821" s="15"/>
      <c r="E6821" s="15">
        <v>3.06</v>
      </c>
      <c r="F6821" s="15">
        <f t="shared" si="1"/>
        <v>-0.57</v>
      </c>
      <c r="G6821" s="15">
        <f t="shared" si="2"/>
        <v>2.91</v>
      </c>
      <c r="H6821" s="16">
        <v>0.0</v>
      </c>
      <c r="I6821" s="15">
        <f t="shared" si="3"/>
        <v>-0.57</v>
      </c>
      <c r="J6821" s="15">
        <v>19.09</v>
      </c>
      <c r="K6821" s="16">
        <f>IF(COUNTIFS(Release_Calendar!$A$2:$A$755,"US_CPI",Release_Calendar!$B$2:$B$755,$A6821)&gt;0,1,0)</f>
        <v>0</v>
      </c>
      <c r="L6821" s="16">
        <f>IF(COUNTIFS(Release_Calendar!$A$2:$A$755,"US_NFP",Release_Calendar!$B$2:$B$755,$A6821)&gt;0,1,0)</f>
        <v>0</v>
      </c>
      <c r="M6821" s="16">
        <f>IF($A6821&lt;Notes!$B$5,"",IF(COUNTIFS(Release_Calendar!$A$2:$A$755,"NZ_CPI",Release_Calendar!$B$2:$B$755,$A6821)&gt;0,1,0))</f>
        <v>0</v>
      </c>
      <c r="N6821" s="16">
        <f>IF($A6821&lt;Notes!$B$5,"",IF(COUNTIFS(Release_Calendar!$A$2:$A$755,"NZ_GDP",Release_Calendar!$B$2:$B$755,$A6821)&gt;0,1,0))</f>
        <v>0</v>
      </c>
      <c r="O6821" s="16">
        <f>IF($A6821&lt;Notes!$B$5,"",IF(COUNTIFS(Release_Calendar!$A$2:$A$755,"NZ_LABOUR",Release_Calendar!$B$2:$B$755,$A6821)&gt;0,1,0))</f>
        <v>0</v>
      </c>
      <c r="P6821" s="16">
        <f t="shared" si="4"/>
        <v>0</v>
      </c>
    </row>
    <row r="6822" ht="15.75" customHeight="1">
      <c r="A6822" s="14">
        <v>46076.0</v>
      </c>
      <c r="B6822" s="15">
        <v>3.43</v>
      </c>
      <c r="C6822" s="15">
        <v>2.95</v>
      </c>
      <c r="D6822" s="15"/>
      <c r="E6822" s="15">
        <v>3.1</v>
      </c>
      <c r="F6822" s="15">
        <f t="shared" si="1"/>
        <v>-0.48</v>
      </c>
      <c r="G6822" s="15">
        <f t="shared" si="2"/>
        <v>2.95</v>
      </c>
      <c r="H6822" s="16">
        <v>0.0</v>
      </c>
      <c r="I6822" s="15">
        <f t="shared" si="3"/>
        <v>-0.48</v>
      </c>
      <c r="J6822" s="15">
        <v>21.01</v>
      </c>
      <c r="K6822" s="16">
        <f>IF(COUNTIFS(Release_Calendar!$A$2:$A$755,"US_CPI",Release_Calendar!$B$2:$B$755,$A6822)&gt;0,1,0)</f>
        <v>0</v>
      </c>
      <c r="L6822" s="16">
        <f>IF(COUNTIFS(Release_Calendar!$A$2:$A$755,"US_NFP",Release_Calendar!$B$2:$B$755,$A6822)&gt;0,1,0)</f>
        <v>0</v>
      </c>
      <c r="M6822" s="16">
        <f>IF($A6822&lt;Notes!$B$5,"",IF(COUNTIFS(Release_Calendar!$A$2:$A$755,"NZ_CPI",Release_Calendar!$B$2:$B$755,$A6822)&gt;0,1,0))</f>
        <v>0</v>
      </c>
      <c r="N6822" s="16">
        <f>IF($A6822&lt;Notes!$B$5,"",IF(COUNTIFS(Release_Calendar!$A$2:$A$755,"NZ_GDP",Release_Calendar!$B$2:$B$755,$A6822)&gt;0,1,0))</f>
        <v>0</v>
      </c>
      <c r="O6822" s="16">
        <f>IF($A6822&lt;Notes!$B$5,"",IF(COUNTIFS(Release_Calendar!$A$2:$A$755,"NZ_LABOUR",Release_Calendar!$B$2:$B$755,$A6822)&gt;0,1,0))</f>
        <v>0</v>
      </c>
      <c r="P6822" s="16">
        <f t="shared" si="4"/>
        <v>0</v>
      </c>
    </row>
    <row r="6823" ht="15.75" customHeight="1">
      <c r="A6823" s="14">
        <v>46077.0</v>
      </c>
      <c r="B6823" s="15">
        <v>3.43</v>
      </c>
      <c r="C6823" s="15">
        <v>2.95</v>
      </c>
      <c r="D6823" s="15"/>
      <c r="E6823" s="15">
        <v>3.09</v>
      </c>
      <c r="F6823" s="15">
        <f t="shared" si="1"/>
        <v>-0.48</v>
      </c>
      <c r="G6823" s="15">
        <f t="shared" si="2"/>
        <v>2.95</v>
      </c>
      <c r="H6823" s="16">
        <v>0.0</v>
      </c>
      <c r="I6823" s="15">
        <f t="shared" si="3"/>
        <v>-0.48</v>
      </c>
      <c r="J6823" s="15">
        <v>19.55</v>
      </c>
      <c r="K6823" s="16">
        <f>IF(COUNTIFS(Release_Calendar!$A$2:$A$755,"US_CPI",Release_Calendar!$B$2:$B$755,$A6823)&gt;0,1,0)</f>
        <v>0</v>
      </c>
      <c r="L6823" s="16">
        <f>IF(COUNTIFS(Release_Calendar!$A$2:$A$755,"US_NFP",Release_Calendar!$B$2:$B$755,$A6823)&gt;0,1,0)</f>
        <v>0</v>
      </c>
      <c r="M6823" s="16">
        <f>IF($A6823&lt;Notes!$B$5,"",IF(COUNTIFS(Release_Calendar!$A$2:$A$755,"NZ_CPI",Release_Calendar!$B$2:$B$755,$A6823)&gt;0,1,0))</f>
        <v>0</v>
      </c>
      <c r="N6823" s="16">
        <f>IF($A6823&lt;Notes!$B$5,"",IF(COUNTIFS(Release_Calendar!$A$2:$A$755,"NZ_GDP",Release_Calendar!$B$2:$B$755,$A6823)&gt;0,1,0))</f>
        <v>0</v>
      </c>
      <c r="O6823" s="16">
        <f>IF($A6823&lt;Notes!$B$5,"",IF(COUNTIFS(Release_Calendar!$A$2:$A$755,"NZ_LABOUR",Release_Calendar!$B$2:$B$755,$A6823)&gt;0,1,0))</f>
        <v>0</v>
      </c>
      <c r="P6823" s="16">
        <f t="shared" si="4"/>
        <v>0</v>
      </c>
    </row>
    <row r="6824" ht="15.75" customHeight="1">
      <c r="A6824" s="14">
        <v>46078.0</v>
      </c>
      <c r="B6824" s="15">
        <v>3.45</v>
      </c>
      <c r="C6824" s="15">
        <v>2.96</v>
      </c>
      <c r="D6824" s="15"/>
      <c r="E6824" s="15">
        <v>3.1</v>
      </c>
      <c r="F6824" s="15">
        <f t="shared" si="1"/>
        <v>-0.49</v>
      </c>
      <c r="G6824" s="15">
        <f t="shared" si="2"/>
        <v>2.96</v>
      </c>
      <c r="H6824" s="16">
        <v>0.0</v>
      </c>
      <c r="I6824" s="15">
        <f t="shared" si="3"/>
        <v>-0.49</v>
      </c>
      <c r="J6824" s="15">
        <v>17.93</v>
      </c>
      <c r="K6824" s="16">
        <f>IF(COUNTIFS(Release_Calendar!$A$2:$A$755,"US_CPI",Release_Calendar!$B$2:$B$755,$A6824)&gt;0,1,0)</f>
        <v>0</v>
      </c>
      <c r="L6824" s="16">
        <f>IF(COUNTIFS(Release_Calendar!$A$2:$A$755,"US_NFP",Release_Calendar!$B$2:$B$755,$A6824)&gt;0,1,0)</f>
        <v>0</v>
      </c>
      <c r="M6824" s="16">
        <f>IF($A6824&lt;Notes!$B$5,"",IF(COUNTIFS(Release_Calendar!$A$2:$A$755,"NZ_CPI",Release_Calendar!$B$2:$B$755,$A6824)&gt;0,1,0))</f>
        <v>0</v>
      </c>
      <c r="N6824" s="16">
        <f>IF($A6824&lt;Notes!$B$5,"",IF(COUNTIFS(Release_Calendar!$A$2:$A$755,"NZ_GDP",Release_Calendar!$B$2:$B$755,$A6824)&gt;0,1,0))</f>
        <v>0</v>
      </c>
      <c r="O6824" s="16">
        <f>IF($A6824&lt;Notes!$B$5,"",IF(COUNTIFS(Release_Calendar!$A$2:$A$755,"NZ_LABOUR",Release_Calendar!$B$2:$B$755,$A6824)&gt;0,1,0))</f>
        <v>0</v>
      </c>
      <c r="P6824" s="16">
        <f t="shared" si="4"/>
        <v>0</v>
      </c>
    </row>
    <row r="6825" ht="15.75" customHeight="1">
      <c r="A6825" s="14">
        <v>46079.0</v>
      </c>
      <c r="B6825" s="15">
        <v>3.42</v>
      </c>
      <c r="C6825" s="15">
        <v>2.95</v>
      </c>
      <c r="D6825" s="15"/>
      <c r="E6825" s="15">
        <v>3.08</v>
      </c>
      <c r="F6825" s="15">
        <f t="shared" si="1"/>
        <v>-0.47</v>
      </c>
      <c r="G6825" s="15">
        <f t="shared" si="2"/>
        <v>2.95</v>
      </c>
      <c r="H6825" s="16">
        <v>0.0</v>
      </c>
      <c r="I6825" s="15">
        <f t="shared" si="3"/>
        <v>-0.47</v>
      </c>
      <c r="J6825" s="15">
        <v>18.63</v>
      </c>
      <c r="K6825" s="16">
        <f>IF(COUNTIFS(Release_Calendar!$A$2:$A$755,"US_CPI",Release_Calendar!$B$2:$B$755,$A6825)&gt;0,1,0)</f>
        <v>0</v>
      </c>
      <c r="L6825" s="16">
        <f>IF(COUNTIFS(Release_Calendar!$A$2:$A$755,"US_NFP",Release_Calendar!$B$2:$B$755,$A6825)&gt;0,1,0)</f>
        <v>0</v>
      </c>
      <c r="M6825" s="16">
        <f>IF($A6825&lt;Notes!$B$5,"",IF(COUNTIFS(Release_Calendar!$A$2:$A$755,"NZ_CPI",Release_Calendar!$B$2:$B$755,$A6825)&gt;0,1,0))</f>
        <v>0</v>
      </c>
      <c r="N6825" s="16">
        <f>IF($A6825&lt;Notes!$B$5,"",IF(COUNTIFS(Release_Calendar!$A$2:$A$755,"NZ_GDP",Release_Calendar!$B$2:$B$755,$A6825)&gt;0,1,0))</f>
        <v>0</v>
      </c>
      <c r="O6825" s="16">
        <f>IF($A6825&lt;Notes!$B$5,"",IF(COUNTIFS(Release_Calendar!$A$2:$A$755,"NZ_LABOUR",Release_Calendar!$B$2:$B$755,$A6825)&gt;0,1,0))</f>
        <v>0</v>
      </c>
      <c r="P6825" s="16">
        <f t="shared" si="4"/>
        <v>0</v>
      </c>
    </row>
    <row r="6826" ht="15.75" customHeight="1">
      <c r="A6826" s="14">
        <v>46080.0</v>
      </c>
      <c r="B6826" s="15">
        <v>3.38</v>
      </c>
      <c r="C6826" s="15">
        <v>2.95</v>
      </c>
      <c r="D6826" s="15"/>
      <c r="E6826" s="15">
        <v>3.08</v>
      </c>
      <c r="F6826" s="15">
        <f t="shared" si="1"/>
        <v>-0.43</v>
      </c>
      <c r="G6826" s="15">
        <f t="shared" si="2"/>
        <v>2.95</v>
      </c>
      <c r="H6826" s="16">
        <v>0.0</v>
      </c>
      <c r="I6826" s="15">
        <f t="shared" si="3"/>
        <v>-0.43</v>
      </c>
      <c r="J6826" s="15">
        <v>19.86</v>
      </c>
      <c r="K6826" s="16">
        <f>IF(COUNTIFS(Release_Calendar!$A$2:$A$755,"US_CPI",Release_Calendar!$B$2:$B$755,$A6826)&gt;0,1,0)</f>
        <v>0</v>
      </c>
      <c r="L6826" s="16">
        <f>IF(COUNTIFS(Release_Calendar!$A$2:$A$755,"US_NFP",Release_Calendar!$B$2:$B$755,$A6826)&gt;0,1,0)</f>
        <v>0</v>
      </c>
      <c r="M6826" s="16">
        <f>IF($A6826&lt;Notes!$B$5,"",IF(COUNTIFS(Release_Calendar!$A$2:$A$755,"NZ_CPI",Release_Calendar!$B$2:$B$755,$A6826)&gt;0,1,0))</f>
        <v>0</v>
      </c>
      <c r="N6826" s="16">
        <f>IF($A6826&lt;Notes!$B$5,"",IF(COUNTIFS(Release_Calendar!$A$2:$A$755,"NZ_GDP",Release_Calendar!$B$2:$B$755,$A6826)&gt;0,1,0))</f>
        <v>0</v>
      </c>
      <c r="O6826" s="16">
        <f>IF($A6826&lt;Notes!$B$5,"",IF(COUNTIFS(Release_Calendar!$A$2:$A$755,"NZ_LABOUR",Release_Calendar!$B$2:$B$755,$A6826)&gt;0,1,0))</f>
        <v>0</v>
      </c>
      <c r="P6826" s="16">
        <f t="shared" si="4"/>
        <v>0</v>
      </c>
    </row>
    <row r="6827" ht="15.75" customHeight="1">
      <c r="A6827" s="14">
        <v>46083.0</v>
      </c>
      <c r="B6827" s="15">
        <v>3.47</v>
      </c>
      <c r="C6827" s="15">
        <v>2.95</v>
      </c>
      <c r="D6827" s="15"/>
      <c r="E6827" s="15">
        <v>3.09</v>
      </c>
      <c r="F6827" s="15">
        <f t="shared" si="1"/>
        <v>-0.52</v>
      </c>
      <c r="G6827" s="15">
        <f t="shared" si="2"/>
        <v>2.95</v>
      </c>
      <c r="H6827" s="16">
        <v>0.0</v>
      </c>
      <c r="I6827" s="15">
        <f t="shared" si="3"/>
        <v>-0.52</v>
      </c>
      <c r="J6827" s="15">
        <v>21.44</v>
      </c>
      <c r="K6827" s="16">
        <f>IF(COUNTIFS(Release_Calendar!$A$2:$A$755,"US_CPI",Release_Calendar!$B$2:$B$755,$A6827)&gt;0,1,0)</f>
        <v>0</v>
      </c>
      <c r="L6827" s="16">
        <f>IF(COUNTIFS(Release_Calendar!$A$2:$A$755,"US_NFP",Release_Calendar!$B$2:$B$755,$A6827)&gt;0,1,0)</f>
        <v>0</v>
      </c>
      <c r="M6827" s="16">
        <f>IF($A6827&lt;Notes!$B$5,"",IF(COUNTIFS(Release_Calendar!$A$2:$A$755,"NZ_CPI",Release_Calendar!$B$2:$B$755,$A6827)&gt;0,1,0))</f>
        <v>0</v>
      </c>
      <c r="N6827" s="16">
        <f>IF($A6827&lt;Notes!$B$5,"",IF(COUNTIFS(Release_Calendar!$A$2:$A$755,"NZ_GDP",Release_Calendar!$B$2:$B$755,$A6827)&gt;0,1,0))</f>
        <v>0</v>
      </c>
      <c r="O6827" s="16">
        <f>IF($A6827&lt;Notes!$B$5,"",IF(COUNTIFS(Release_Calendar!$A$2:$A$755,"NZ_LABOUR",Release_Calendar!$B$2:$B$755,$A6827)&gt;0,1,0))</f>
        <v>0</v>
      </c>
      <c r="P6827" s="16">
        <f t="shared" si="4"/>
        <v>0</v>
      </c>
    </row>
    <row r="6828" ht="15.75" customHeight="1">
      <c r="A6828" s="14">
        <v>46084.0</v>
      </c>
      <c r="B6828" s="15">
        <v>3.51</v>
      </c>
      <c r="C6828" s="15">
        <v>2.98</v>
      </c>
      <c r="D6828" s="15"/>
      <c r="E6828" s="15">
        <v>3.12</v>
      </c>
      <c r="F6828" s="15">
        <f t="shared" si="1"/>
        <v>-0.53</v>
      </c>
      <c r="G6828" s="15">
        <f t="shared" si="2"/>
        <v>2.98</v>
      </c>
      <c r="H6828" s="16">
        <v>0.0</v>
      </c>
      <c r="I6828" s="15">
        <f t="shared" si="3"/>
        <v>-0.53</v>
      </c>
      <c r="J6828" s="15">
        <v>23.57</v>
      </c>
      <c r="K6828" s="16">
        <f>IF(COUNTIFS(Release_Calendar!$A$2:$A$755,"US_CPI",Release_Calendar!$B$2:$B$755,$A6828)&gt;0,1,0)</f>
        <v>0</v>
      </c>
      <c r="L6828" s="16">
        <f>IF(COUNTIFS(Release_Calendar!$A$2:$A$755,"US_NFP",Release_Calendar!$B$2:$B$755,$A6828)&gt;0,1,0)</f>
        <v>0</v>
      </c>
      <c r="M6828" s="16">
        <f>IF($A6828&lt;Notes!$B$5,"",IF(COUNTIFS(Release_Calendar!$A$2:$A$755,"NZ_CPI",Release_Calendar!$B$2:$B$755,$A6828)&gt;0,1,0))</f>
        <v>0</v>
      </c>
      <c r="N6828" s="16">
        <f>IF($A6828&lt;Notes!$B$5,"",IF(COUNTIFS(Release_Calendar!$A$2:$A$755,"NZ_GDP",Release_Calendar!$B$2:$B$755,$A6828)&gt;0,1,0))</f>
        <v>0</v>
      </c>
      <c r="O6828" s="16">
        <f>IF($A6828&lt;Notes!$B$5,"",IF(COUNTIFS(Release_Calendar!$A$2:$A$755,"NZ_LABOUR",Release_Calendar!$B$2:$B$755,$A6828)&gt;0,1,0))</f>
        <v>0</v>
      </c>
      <c r="P6828" s="16">
        <f t="shared" si="4"/>
        <v>0</v>
      </c>
    </row>
    <row r="6829" ht="15.75" customHeight="1">
      <c r="A6829" s="14">
        <v>46085.0</v>
      </c>
      <c r="B6829" s="15">
        <v>3.54</v>
      </c>
      <c r="C6829" s="15">
        <v>3.01</v>
      </c>
      <c r="D6829" s="15"/>
      <c r="E6829" s="15">
        <v>3.15</v>
      </c>
      <c r="F6829" s="15">
        <f t="shared" si="1"/>
        <v>-0.53</v>
      </c>
      <c r="G6829" s="15">
        <f t="shared" si="2"/>
        <v>3.01</v>
      </c>
      <c r="H6829" s="16">
        <v>0.0</v>
      </c>
      <c r="I6829" s="15">
        <f t="shared" si="3"/>
        <v>-0.53</v>
      </c>
      <c r="J6829" s="15">
        <v>21.15</v>
      </c>
      <c r="K6829" s="16">
        <f>IF(COUNTIFS(Release_Calendar!$A$2:$A$755,"US_CPI",Release_Calendar!$B$2:$B$755,$A6829)&gt;0,1,0)</f>
        <v>0</v>
      </c>
      <c r="L6829" s="16">
        <f>IF(COUNTIFS(Release_Calendar!$A$2:$A$755,"US_NFP",Release_Calendar!$B$2:$B$755,$A6829)&gt;0,1,0)</f>
        <v>0</v>
      </c>
      <c r="M6829" s="16">
        <f>IF($A6829&lt;Notes!$B$5,"",IF(COUNTIFS(Release_Calendar!$A$2:$A$755,"NZ_CPI",Release_Calendar!$B$2:$B$755,$A6829)&gt;0,1,0))</f>
        <v>0</v>
      </c>
      <c r="N6829" s="16">
        <f>IF($A6829&lt;Notes!$B$5,"",IF(COUNTIFS(Release_Calendar!$A$2:$A$755,"NZ_GDP",Release_Calendar!$B$2:$B$755,$A6829)&gt;0,1,0))</f>
        <v>0</v>
      </c>
      <c r="O6829" s="16">
        <f>IF($A6829&lt;Notes!$B$5,"",IF(COUNTIFS(Release_Calendar!$A$2:$A$755,"NZ_LABOUR",Release_Calendar!$B$2:$B$755,$A6829)&gt;0,1,0))</f>
        <v>0</v>
      </c>
      <c r="P6829" s="16">
        <f t="shared" si="4"/>
        <v>0</v>
      </c>
    </row>
    <row r="6830" ht="15.75" customHeight="1">
      <c r="A6830" s="14">
        <v>46086.0</v>
      </c>
      <c r="B6830" s="15">
        <v>3.57</v>
      </c>
      <c r="C6830" s="15">
        <v>3.05</v>
      </c>
      <c r="D6830" s="15"/>
      <c r="E6830" s="15">
        <v>3.18</v>
      </c>
      <c r="F6830" s="15">
        <f t="shared" si="1"/>
        <v>-0.52</v>
      </c>
      <c r="G6830" s="15">
        <f t="shared" si="2"/>
        <v>3.05</v>
      </c>
      <c r="H6830" s="16">
        <v>0.0</v>
      </c>
      <c r="I6830" s="15">
        <f t="shared" si="3"/>
        <v>-0.52</v>
      </c>
      <c r="J6830" s="15">
        <v>23.75</v>
      </c>
      <c r="K6830" s="16">
        <f>IF(COUNTIFS(Release_Calendar!$A$2:$A$755,"US_CPI",Release_Calendar!$B$2:$B$755,$A6830)&gt;0,1,0)</f>
        <v>0</v>
      </c>
      <c r="L6830" s="16">
        <f>IF(COUNTIFS(Release_Calendar!$A$2:$A$755,"US_NFP",Release_Calendar!$B$2:$B$755,$A6830)&gt;0,1,0)</f>
        <v>0</v>
      </c>
      <c r="M6830" s="16">
        <f>IF($A6830&lt;Notes!$B$5,"",IF(COUNTIFS(Release_Calendar!$A$2:$A$755,"NZ_CPI",Release_Calendar!$B$2:$B$755,$A6830)&gt;0,1,0))</f>
        <v>0</v>
      </c>
      <c r="N6830" s="16">
        <f>IF($A6830&lt;Notes!$B$5,"",IF(COUNTIFS(Release_Calendar!$A$2:$A$755,"NZ_GDP",Release_Calendar!$B$2:$B$755,$A6830)&gt;0,1,0))</f>
        <v>0</v>
      </c>
      <c r="O6830" s="16">
        <f>IF($A6830&lt;Notes!$B$5,"",IF(COUNTIFS(Release_Calendar!$A$2:$A$755,"NZ_LABOUR",Release_Calendar!$B$2:$B$755,$A6830)&gt;0,1,0))</f>
        <v>0</v>
      </c>
      <c r="P6830" s="16">
        <f t="shared" si="4"/>
        <v>0</v>
      </c>
    </row>
    <row r="6831" ht="15.75" customHeight="1">
      <c r="A6831" s="14">
        <v>46087.0</v>
      </c>
      <c r="B6831" s="15">
        <v>3.56</v>
      </c>
      <c r="C6831" s="15">
        <v>3.11</v>
      </c>
      <c r="D6831" s="15"/>
      <c r="E6831" s="15">
        <v>3.24</v>
      </c>
      <c r="F6831" s="15">
        <f t="shared" si="1"/>
        <v>-0.45</v>
      </c>
      <c r="G6831" s="15">
        <f t="shared" si="2"/>
        <v>3.11</v>
      </c>
      <c r="H6831" s="16">
        <v>0.0</v>
      </c>
      <c r="I6831" s="15">
        <f t="shared" si="3"/>
        <v>-0.45</v>
      </c>
      <c r="J6831" s="15">
        <v>29.49</v>
      </c>
      <c r="K6831" s="16">
        <f>IF(COUNTIFS(Release_Calendar!$A$2:$A$755,"US_CPI",Release_Calendar!$B$2:$B$755,$A6831)&gt;0,1,0)</f>
        <v>0</v>
      </c>
      <c r="L6831" s="16">
        <f>IF(COUNTIFS(Release_Calendar!$A$2:$A$755,"US_NFP",Release_Calendar!$B$2:$B$755,$A6831)&gt;0,1,0)</f>
        <v>1</v>
      </c>
      <c r="M6831" s="16">
        <f>IF($A6831&lt;Notes!$B$5,"",IF(COUNTIFS(Release_Calendar!$A$2:$A$755,"NZ_CPI",Release_Calendar!$B$2:$B$755,$A6831)&gt;0,1,0))</f>
        <v>0</v>
      </c>
      <c r="N6831" s="16">
        <f>IF($A6831&lt;Notes!$B$5,"",IF(COUNTIFS(Release_Calendar!$A$2:$A$755,"NZ_GDP",Release_Calendar!$B$2:$B$755,$A6831)&gt;0,1,0))</f>
        <v>0</v>
      </c>
      <c r="O6831" s="16">
        <f>IF($A6831&lt;Notes!$B$5,"",IF(COUNTIFS(Release_Calendar!$A$2:$A$755,"NZ_LABOUR",Release_Calendar!$B$2:$B$755,$A6831)&gt;0,1,0))</f>
        <v>0</v>
      </c>
      <c r="P6831" s="16">
        <f t="shared" si="4"/>
        <v>1</v>
      </c>
    </row>
    <row r="6832" ht="15.75" customHeight="1">
      <c r="A6832" s="14">
        <v>46090.0</v>
      </c>
      <c r="B6832" s="15">
        <v>3.56</v>
      </c>
      <c r="C6832" s="15">
        <v>3.3</v>
      </c>
      <c r="D6832" s="15"/>
      <c r="E6832" s="15">
        <v>3.43</v>
      </c>
      <c r="F6832" s="15">
        <f t="shared" si="1"/>
        <v>-0.26</v>
      </c>
      <c r="G6832" s="15">
        <f t="shared" si="2"/>
        <v>3.3</v>
      </c>
      <c r="H6832" s="16">
        <v>0.0</v>
      </c>
      <c r="I6832" s="15">
        <f t="shared" si="3"/>
        <v>-0.26</v>
      </c>
      <c r="J6832" s="15">
        <v>25.5</v>
      </c>
      <c r="K6832" s="16">
        <f>IF(COUNTIFS(Release_Calendar!$A$2:$A$755,"US_CPI",Release_Calendar!$B$2:$B$755,$A6832)&gt;0,1,0)</f>
        <v>0</v>
      </c>
      <c r="L6832" s="16">
        <f>IF(COUNTIFS(Release_Calendar!$A$2:$A$755,"US_NFP",Release_Calendar!$B$2:$B$755,$A6832)&gt;0,1,0)</f>
        <v>0</v>
      </c>
      <c r="M6832" s="16">
        <f>IF($A6832&lt;Notes!$B$5,"",IF(COUNTIFS(Release_Calendar!$A$2:$A$755,"NZ_CPI",Release_Calendar!$B$2:$B$755,$A6832)&gt;0,1,0))</f>
        <v>0</v>
      </c>
      <c r="N6832" s="16">
        <f>IF($A6832&lt;Notes!$B$5,"",IF(COUNTIFS(Release_Calendar!$A$2:$A$755,"NZ_GDP",Release_Calendar!$B$2:$B$755,$A6832)&gt;0,1,0))</f>
        <v>0</v>
      </c>
      <c r="O6832" s="16">
        <f>IF($A6832&lt;Notes!$B$5,"",IF(COUNTIFS(Release_Calendar!$A$2:$A$755,"NZ_LABOUR",Release_Calendar!$B$2:$B$755,$A6832)&gt;0,1,0))</f>
        <v>0</v>
      </c>
      <c r="P6832" s="16">
        <f t="shared" si="4"/>
        <v>0</v>
      </c>
    </row>
    <row r="6833" ht="15.75" customHeight="1">
      <c r="A6833" s="14">
        <v>46091.0</v>
      </c>
      <c r="B6833" s="15">
        <v>3.57</v>
      </c>
      <c r="C6833" s="15">
        <v>3.19</v>
      </c>
      <c r="D6833" s="15"/>
      <c r="E6833" s="15">
        <v>3.32</v>
      </c>
      <c r="F6833" s="15">
        <f t="shared" si="1"/>
        <v>-0.38</v>
      </c>
      <c r="G6833" s="15">
        <f t="shared" si="2"/>
        <v>3.19</v>
      </c>
      <c r="H6833" s="16">
        <v>0.0</v>
      </c>
      <c r="I6833" s="15">
        <f t="shared" si="3"/>
        <v>-0.38</v>
      </c>
      <c r="J6833" s="15">
        <v>24.93</v>
      </c>
      <c r="K6833" s="16">
        <f>IF(COUNTIFS(Release_Calendar!$A$2:$A$755,"US_CPI",Release_Calendar!$B$2:$B$755,$A6833)&gt;0,1,0)</f>
        <v>0</v>
      </c>
      <c r="L6833" s="16">
        <f>IF(COUNTIFS(Release_Calendar!$A$2:$A$755,"US_NFP",Release_Calendar!$B$2:$B$755,$A6833)&gt;0,1,0)</f>
        <v>0</v>
      </c>
      <c r="M6833" s="16">
        <f>IF($A6833&lt;Notes!$B$5,"",IF(COUNTIFS(Release_Calendar!$A$2:$A$755,"NZ_CPI",Release_Calendar!$B$2:$B$755,$A6833)&gt;0,1,0))</f>
        <v>0</v>
      </c>
      <c r="N6833" s="16">
        <f>IF($A6833&lt;Notes!$B$5,"",IF(COUNTIFS(Release_Calendar!$A$2:$A$755,"NZ_GDP",Release_Calendar!$B$2:$B$755,$A6833)&gt;0,1,0))</f>
        <v>0</v>
      </c>
      <c r="O6833" s="16">
        <f>IF($A6833&lt;Notes!$B$5,"",IF(COUNTIFS(Release_Calendar!$A$2:$A$755,"NZ_LABOUR",Release_Calendar!$B$2:$B$755,$A6833)&gt;0,1,0))</f>
        <v>0</v>
      </c>
      <c r="P6833" s="16">
        <f t="shared" si="4"/>
        <v>0</v>
      </c>
    </row>
    <row r="6834" ht="15.75" customHeight="1">
      <c r="A6834" s="14">
        <v>46092.0</v>
      </c>
      <c r="B6834" s="15">
        <v>3.64</v>
      </c>
      <c r="C6834" s="15">
        <v>3.16</v>
      </c>
      <c r="D6834" s="15"/>
      <c r="E6834" s="15">
        <v>3.29</v>
      </c>
      <c r="F6834" s="15">
        <f t="shared" si="1"/>
        <v>-0.48</v>
      </c>
      <c r="G6834" s="15">
        <f t="shared" si="2"/>
        <v>3.16</v>
      </c>
      <c r="H6834" s="16">
        <v>0.0</v>
      </c>
      <c r="I6834" s="15">
        <f t="shared" si="3"/>
        <v>-0.48</v>
      </c>
      <c r="J6834" s="15">
        <v>24.23</v>
      </c>
      <c r="K6834" s="16">
        <f>IF(COUNTIFS(Release_Calendar!$A$2:$A$755,"US_CPI",Release_Calendar!$B$2:$B$755,$A6834)&gt;0,1,0)</f>
        <v>1</v>
      </c>
      <c r="L6834" s="16">
        <f>IF(COUNTIFS(Release_Calendar!$A$2:$A$755,"US_NFP",Release_Calendar!$B$2:$B$755,$A6834)&gt;0,1,0)</f>
        <v>0</v>
      </c>
      <c r="M6834" s="16">
        <f>IF($A6834&lt;Notes!$B$5,"",IF(COUNTIFS(Release_Calendar!$A$2:$A$755,"NZ_CPI",Release_Calendar!$B$2:$B$755,$A6834)&gt;0,1,0))</f>
        <v>0</v>
      </c>
      <c r="N6834" s="16">
        <f>IF($A6834&lt;Notes!$B$5,"",IF(COUNTIFS(Release_Calendar!$A$2:$A$755,"NZ_GDP",Release_Calendar!$B$2:$B$755,$A6834)&gt;0,1,0))</f>
        <v>0</v>
      </c>
      <c r="O6834" s="16">
        <f>IF($A6834&lt;Notes!$B$5,"",IF(COUNTIFS(Release_Calendar!$A$2:$A$755,"NZ_LABOUR",Release_Calendar!$B$2:$B$755,$A6834)&gt;0,1,0))</f>
        <v>0</v>
      </c>
      <c r="P6834" s="16">
        <f t="shared" si="4"/>
        <v>1</v>
      </c>
    </row>
    <row r="6835" ht="15.75" customHeight="1">
      <c r="A6835" s="14">
        <v>46093.0</v>
      </c>
      <c r="B6835" s="15">
        <v>3.76</v>
      </c>
      <c r="C6835" s="15">
        <v>3.27</v>
      </c>
      <c r="D6835" s="15"/>
      <c r="E6835" s="15">
        <v>3.38</v>
      </c>
      <c r="F6835" s="15">
        <f t="shared" si="1"/>
        <v>-0.49</v>
      </c>
      <c r="G6835" s="15">
        <f t="shared" si="2"/>
        <v>3.27</v>
      </c>
      <c r="H6835" s="16">
        <v>0.0</v>
      </c>
      <c r="I6835" s="15">
        <f t="shared" si="3"/>
        <v>-0.49</v>
      </c>
      <c r="J6835" s="15">
        <v>27.29</v>
      </c>
      <c r="K6835" s="16">
        <f>IF(COUNTIFS(Release_Calendar!$A$2:$A$755,"US_CPI",Release_Calendar!$B$2:$B$755,$A6835)&gt;0,1,0)</f>
        <v>0</v>
      </c>
      <c r="L6835" s="16">
        <f>IF(COUNTIFS(Release_Calendar!$A$2:$A$755,"US_NFP",Release_Calendar!$B$2:$B$755,$A6835)&gt;0,1,0)</f>
        <v>0</v>
      </c>
      <c r="M6835" s="16">
        <f>IF($A6835&lt;Notes!$B$5,"",IF(COUNTIFS(Release_Calendar!$A$2:$A$755,"NZ_CPI",Release_Calendar!$B$2:$B$755,$A6835)&gt;0,1,0))</f>
        <v>0</v>
      </c>
      <c r="N6835" s="16">
        <f>IF($A6835&lt;Notes!$B$5,"",IF(COUNTIFS(Release_Calendar!$A$2:$A$755,"NZ_GDP",Release_Calendar!$B$2:$B$755,$A6835)&gt;0,1,0))</f>
        <v>0</v>
      </c>
      <c r="O6835" s="16">
        <f>IF($A6835&lt;Notes!$B$5,"",IF(COUNTIFS(Release_Calendar!$A$2:$A$755,"NZ_LABOUR",Release_Calendar!$B$2:$B$755,$A6835)&gt;0,1,0))</f>
        <v>0</v>
      </c>
      <c r="P6835" s="16">
        <f t="shared" si="4"/>
        <v>0</v>
      </c>
    </row>
    <row r="6836" ht="15.75" customHeight="1">
      <c r="A6836" s="14">
        <v>46094.0</v>
      </c>
      <c r="B6836" s="15">
        <v>3.73</v>
      </c>
      <c r="C6836" s="15">
        <v>3.33</v>
      </c>
      <c r="D6836" s="15"/>
      <c r="E6836" s="15">
        <v>3.44</v>
      </c>
      <c r="F6836" s="15">
        <f t="shared" si="1"/>
        <v>-0.4</v>
      </c>
      <c r="G6836" s="15">
        <f t="shared" si="2"/>
        <v>3.33</v>
      </c>
      <c r="H6836" s="16">
        <v>0.0</v>
      </c>
      <c r="I6836" s="15">
        <f t="shared" si="3"/>
        <v>-0.4</v>
      </c>
      <c r="J6836" s="15">
        <v>27.19</v>
      </c>
      <c r="K6836" s="16">
        <f>IF(COUNTIFS(Release_Calendar!$A$2:$A$755,"US_CPI",Release_Calendar!$B$2:$B$755,$A6836)&gt;0,1,0)</f>
        <v>0</v>
      </c>
      <c r="L6836" s="16">
        <f>IF(COUNTIFS(Release_Calendar!$A$2:$A$755,"US_NFP",Release_Calendar!$B$2:$B$755,$A6836)&gt;0,1,0)</f>
        <v>0</v>
      </c>
      <c r="M6836" s="16">
        <f>IF($A6836&lt;Notes!$B$5,"",IF(COUNTIFS(Release_Calendar!$A$2:$A$755,"NZ_CPI",Release_Calendar!$B$2:$B$755,$A6836)&gt;0,1,0))</f>
        <v>0</v>
      </c>
      <c r="N6836" s="16">
        <f>IF($A6836&lt;Notes!$B$5,"",IF(COUNTIFS(Release_Calendar!$A$2:$A$755,"NZ_GDP",Release_Calendar!$B$2:$B$755,$A6836)&gt;0,1,0))</f>
        <v>0</v>
      </c>
      <c r="O6836" s="16">
        <f>IF($A6836&lt;Notes!$B$5,"",IF(COUNTIFS(Release_Calendar!$A$2:$A$755,"NZ_LABOUR",Release_Calendar!$B$2:$B$755,$A6836)&gt;0,1,0))</f>
        <v>0</v>
      </c>
      <c r="P6836" s="16">
        <f t="shared" si="4"/>
        <v>0</v>
      </c>
    </row>
    <row r="6837" ht="15.75" customHeight="1">
      <c r="A6837" s="14">
        <v>46097.0</v>
      </c>
      <c r="B6837" s="15">
        <v>3.68</v>
      </c>
      <c r="C6837" s="15">
        <v>3.39</v>
      </c>
      <c r="D6837" s="15"/>
      <c r="E6837" s="15">
        <v>3.5</v>
      </c>
      <c r="F6837" s="15">
        <f t="shared" si="1"/>
        <v>-0.29</v>
      </c>
      <c r="G6837" s="15">
        <f t="shared" si="2"/>
        <v>3.39</v>
      </c>
      <c r="H6837" s="16">
        <v>0.0</v>
      </c>
      <c r="I6837" s="15">
        <f t="shared" si="3"/>
        <v>-0.29</v>
      </c>
      <c r="J6837" s="15">
        <v>23.51</v>
      </c>
      <c r="K6837" s="16">
        <f>IF(COUNTIFS(Release_Calendar!$A$2:$A$755,"US_CPI",Release_Calendar!$B$2:$B$755,$A6837)&gt;0,1,0)</f>
        <v>0</v>
      </c>
      <c r="L6837" s="16">
        <f>IF(COUNTIFS(Release_Calendar!$A$2:$A$755,"US_NFP",Release_Calendar!$B$2:$B$755,$A6837)&gt;0,1,0)</f>
        <v>0</v>
      </c>
      <c r="M6837" s="16">
        <f>IF($A6837&lt;Notes!$B$5,"",IF(COUNTIFS(Release_Calendar!$A$2:$A$755,"NZ_CPI",Release_Calendar!$B$2:$B$755,$A6837)&gt;0,1,0))</f>
        <v>0</v>
      </c>
      <c r="N6837" s="16">
        <f>IF($A6837&lt;Notes!$B$5,"",IF(COUNTIFS(Release_Calendar!$A$2:$A$755,"NZ_GDP",Release_Calendar!$B$2:$B$755,$A6837)&gt;0,1,0))</f>
        <v>0</v>
      </c>
      <c r="O6837" s="16">
        <f>IF($A6837&lt;Notes!$B$5,"",IF(COUNTIFS(Release_Calendar!$A$2:$A$755,"NZ_LABOUR",Release_Calendar!$B$2:$B$755,$A6837)&gt;0,1,0))</f>
        <v>0</v>
      </c>
      <c r="P6837" s="16">
        <f t="shared" si="4"/>
        <v>0</v>
      </c>
    </row>
    <row r="6838" ht="15.75" customHeight="1">
      <c r="A6838" s="14">
        <v>46098.0</v>
      </c>
      <c r="B6838" s="15">
        <v>3.68</v>
      </c>
      <c r="C6838" s="15">
        <v>3.32</v>
      </c>
      <c r="D6838" s="15"/>
      <c r="E6838" s="15">
        <v>3.47</v>
      </c>
      <c r="F6838" s="15">
        <f t="shared" si="1"/>
        <v>-0.36</v>
      </c>
      <c r="G6838" s="15">
        <f t="shared" si="2"/>
        <v>3.32</v>
      </c>
      <c r="H6838" s="16">
        <v>0.0</v>
      </c>
      <c r="I6838" s="15">
        <f t="shared" si="3"/>
        <v>-0.36</v>
      </c>
      <c r="J6838" s="15">
        <v>22.37</v>
      </c>
      <c r="K6838" s="16">
        <f>IF(COUNTIFS(Release_Calendar!$A$2:$A$755,"US_CPI",Release_Calendar!$B$2:$B$755,$A6838)&gt;0,1,0)</f>
        <v>0</v>
      </c>
      <c r="L6838" s="16">
        <f>IF(COUNTIFS(Release_Calendar!$A$2:$A$755,"US_NFP",Release_Calendar!$B$2:$B$755,$A6838)&gt;0,1,0)</f>
        <v>0</v>
      </c>
      <c r="M6838" s="16">
        <f>IF($A6838&lt;Notes!$B$5,"",IF(COUNTIFS(Release_Calendar!$A$2:$A$755,"NZ_CPI",Release_Calendar!$B$2:$B$755,$A6838)&gt;0,1,0))</f>
        <v>0</v>
      </c>
      <c r="N6838" s="16">
        <f>IF($A6838&lt;Notes!$B$5,"",IF(COUNTIFS(Release_Calendar!$A$2:$A$755,"NZ_GDP",Release_Calendar!$B$2:$B$755,$A6838)&gt;0,1,0))</f>
        <v>0</v>
      </c>
      <c r="O6838" s="16">
        <f>IF($A6838&lt;Notes!$B$5,"",IF(COUNTIFS(Release_Calendar!$A$2:$A$755,"NZ_LABOUR",Release_Calendar!$B$2:$B$755,$A6838)&gt;0,1,0))</f>
        <v>0</v>
      </c>
      <c r="P6838" s="16">
        <f t="shared" si="4"/>
        <v>0</v>
      </c>
    </row>
    <row r="6839" ht="15.75" customHeight="1">
      <c r="A6839" s="14">
        <v>46099.0</v>
      </c>
      <c r="B6839" s="15">
        <v>3.76</v>
      </c>
      <c r="C6839" s="15">
        <v>3.27</v>
      </c>
      <c r="D6839" s="15"/>
      <c r="E6839" s="15">
        <v>3.38</v>
      </c>
      <c r="F6839" s="15">
        <f t="shared" si="1"/>
        <v>-0.49</v>
      </c>
      <c r="G6839" s="15">
        <f t="shared" si="2"/>
        <v>3.27</v>
      </c>
      <c r="H6839" s="16">
        <v>0.0</v>
      </c>
      <c r="I6839" s="15">
        <f t="shared" si="3"/>
        <v>-0.49</v>
      </c>
      <c r="J6839" s="15">
        <v>25.09</v>
      </c>
      <c r="K6839" s="16">
        <f>IF(COUNTIFS(Release_Calendar!$A$2:$A$755,"US_CPI",Release_Calendar!$B$2:$B$755,$A6839)&gt;0,1,0)</f>
        <v>0</v>
      </c>
      <c r="L6839" s="16">
        <f>IF(COUNTIFS(Release_Calendar!$A$2:$A$755,"US_NFP",Release_Calendar!$B$2:$B$755,$A6839)&gt;0,1,0)</f>
        <v>0</v>
      </c>
      <c r="M6839" s="16">
        <f>IF($A6839&lt;Notes!$B$5,"",IF(COUNTIFS(Release_Calendar!$A$2:$A$755,"NZ_CPI",Release_Calendar!$B$2:$B$755,$A6839)&gt;0,1,0))</f>
        <v>0</v>
      </c>
      <c r="N6839" s="16">
        <f>IF($A6839&lt;Notes!$B$5,"",IF(COUNTIFS(Release_Calendar!$A$2:$A$755,"NZ_GDP",Release_Calendar!$B$2:$B$755,$A6839)&gt;0,1,0))</f>
        <v>0</v>
      </c>
      <c r="O6839" s="16">
        <f>IF($A6839&lt;Notes!$B$5,"",IF(COUNTIFS(Release_Calendar!$A$2:$A$755,"NZ_LABOUR",Release_Calendar!$B$2:$B$755,$A6839)&gt;0,1,0))</f>
        <v>0</v>
      </c>
      <c r="P6839" s="16">
        <f t="shared" si="4"/>
        <v>0</v>
      </c>
    </row>
    <row r="6840" ht="15.75" customHeight="1">
      <c r="A6840" s="14">
        <v>46100.0</v>
      </c>
      <c r="B6840" s="15">
        <v>3.79</v>
      </c>
      <c r="C6840" s="15">
        <v>3.37</v>
      </c>
      <c r="D6840" s="15"/>
      <c r="E6840" s="15">
        <v>3.46</v>
      </c>
      <c r="F6840" s="15">
        <f t="shared" si="1"/>
        <v>-0.42</v>
      </c>
      <c r="G6840" s="15">
        <f t="shared" si="2"/>
        <v>3.37</v>
      </c>
      <c r="H6840" s="16">
        <v>0.0</v>
      </c>
      <c r="I6840" s="15">
        <f t="shared" si="3"/>
        <v>-0.42</v>
      </c>
      <c r="J6840" s="15">
        <v>24.06</v>
      </c>
      <c r="K6840" s="16">
        <f>IF(COUNTIFS(Release_Calendar!$A$2:$A$755,"US_CPI",Release_Calendar!$B$2:$B$755,$A6840)&gt;0,1,0)</f>
        <v>0</v>
      </c>
      <c r="L6840" s="16">
        <f>IF(COUNTIFS(Release_Calendar!$A$2:$A$755,"US_NFP",Release_Calendar!$B$2:$B$755,$A6840)&gt;0,1,0)</f>
        <v>0</v>
      </c>
      <c r="M6840" s="16">
        <f>IF($A6840&lt;Notes!$B$5,"",IF(COUNTIFS(Release_Calendar!$A$2:$A$755,"NZ_CPI",Release_Calendar!$B$2:$B$755,$A6840)&gt;0,1,0))</f>
        <v>0</v>
      </c>
      <c r="N6840" s="16">
        <f>IF($A6840&lt;Notes!$B$5,"",IF(COUNTIFS(Release_Calendar!$A$2:$A$755,"NZ_GDP",Release_Calendar!$B$2:$B$755,$A6840)&gt;0,1,0))</f>
        <v>1</v>
      </c>
      <c r="O6840" s="16">
        <f>IF($A6840&lt;Notes!$B$5,"",IF(COUNTIFS(Release_Calendar!$A$2:$A$755,"NZ_LABOUR",Release_Calendar!$B$2:$B$755,$A6840)&gt;0,1,0))</f>
        <v>0</v>
      </c>
      <c r="P6840" s="16">
        <f t="shared" si="4"/>
        <v>1</v>
      </c>
    </row>
    <row r="6841" ht="15.75" customHeight="1">
      <c r="A6841" s="14">
        <v>46101.0</v>
      </c>
      <c r="B6841" s="15">
        <v>3.88</v>
      </c>
      <c r="C6841" s="15">
        <v>3.53</v>
      </c>
      <c r="D6841" s="15"/>
      <c r="E6841" s="15">
        <v>3.59</v>
      </c>
      <c r="F6841" s="15">
        <f t="shared" si="1"/>
        <v>-0.35</v>
      </c>
      <c r="G6841" s="15">
        <f t="shared" si="2"/>
        <v>3.53</v>
      </c>
      <c r="H6841" s="16">
        <v>0.0</v>
      </c>
      <c r="I6841" s="15">
        <f t="shared" si="3"/>
        <v>-0.35</v>
      </c>
      <c r="J6841" s="15">
        <v>26.78</v>
      </c>
      <c r="K6841" s="16">
        <f>IF(COUNTIFS(Release_Calendar!$A$2:$A$755,"US_CPI",Release_Calendar!$B$2:$B$755,$A6841)&gt;0,1,0)</f>
        <v>0</v>
      </c>
      <c r="L6841" s="16">
        <f>IF(COUNTIFS(Release_Calendar!$A$2:$A$755,"US_NFP",Release_Calendar!$B$2:$B$755,$A6841)&gt;0,1,0)</f>
        <v>0</v>
      </c>
      <c r="M6841" s="16">
        <f>IF($A6841&lt;Notes!$B$5,"",IF(COUNTIFS(Release_Calendar!$A$2:$A$755,"NZ_CPI",Release_Calendar!$B$2:$B$755,$A6841)&gt;0,1,0))</f>
        <v>0</v>
      </c>
      <c r="N6841" s="16">
        <f>IF($A6841&lt;Notes!$B$5,"",IF(COUNTIFS(Release_Calendar!$A$2:$A$755,"NZ_GDP",Release_Calendar!$B$2:$B$755,$A6841)&gt;0,1,0))</f>
        <v>0</v>
      </c>
      <c r="O6841" s="16">
        <f>IF($A6841&lt;Notes!$B$5,"",IF(COUNTIFS(Release_Calendar!$A$2:$A$755,"NZ_LABOUR",Release_Calendar!$B$2:$B$755,$A6841)&gt;0,1,0))</f>
        <v>0</v>
      </c>
      <c r="P6841" s="16">
        <f t="shared" si="4"/>
        <v>0</v>
      </c>
    </row>
    <row r="6842" ht="15.75" customHeight="1">
      <c r="A6842" s="14">
        <v>46104.0</v>
      </c>
      <c r="B6842" s="15">
        <v>3.83</v>
      </c>
      <c r="C6842" s="15">
        <v>3.66</v>
      </c>
      <c r="D6842" s="15"/>
      <c r="E6842" s="15">
        <v>3.71</v>
      </c>
      <c r="F6842" s="15">
        <f t="shared" si="1"/>
        <v>-0.17</v>
      </c>
      <c r="G6842" s="15">
        <f t="shared" si="2"/>
        <v>3.66</v>
      </c>
      <c r="H6842" s="16">
        <v>0.0</v>
      </c>
      <c r="I6842" s="15">
        <f t="shared" si="3"/>
        <v>-0.17</v>
      </c>
      <c r="J6842" s="15">
        <v>26.15</v>
      </c>
      <c r="K6842" s="16">
        <f>IF(COUNTIFS(Release_Calendar!$A$2:$A$755,"US_CPI",Release_Calendar!$B$2:$B$755,$A6842)&gt;0,1,0)</f>
        <v>0</v>
      </c>
      <c r="L6842" s="16">
        <f>IF(COUNTIFS(Release_Calendar!$A$2:$A$755,"US_NFP",Release_Calendar!$B$2:$B$755,$A6842)&gt;0,1,0)</f>
        <v>0</v>
      </c>
      <c r="M6842" s="16">
        <f>IF($A6842&lt;Notes!$B$5,"",IF(COUNTIFS(Release_Calendar!$A$2:$A$755,"NZ_CPI",Release_Calendar!$B$2:$B$755,$A6842)&gt;0,1,0))</f>
        <v>0</v>
      </c>
      <c r="N6842" s="16">
        <f>IF($A6842&lt;Notes!$B$5,"",IF(COUNTIFS(Release_Calendar!$A$2:$A$755,"NZ_GDP",Release_Calendar!$B$2:$B$755,$A6842)&gt;0,1,0))</f>
        <v>0</v>
      </c>
      <c r="O6842" s="16">
        <f>IF($A6842&lt;Notes!$B$5,"",IF(COUNTIFS(Release_Calendar!$A$2:$A$755,"NZ_LABOUR",Release_Calendar!$B$2:$B$755,$A6842)&gt;0,1,0))</f>
        <v>0</v>
      </c>
      <c r="P6842" s="16">
        <f t="shared" si="4"/>
        <v>0</v>
      </c>
    </row>
    <row r="6843" ht="15.75" customHeight="1">
      <c r="A6843" s="14">
        <v>46105.0</v>
      </c>
      <c r="B6843" s="15">
        <v>3.9</v>
      </c>
      <c r="C6843" s="15">
        <v>3.56</v>
      </c>
      <c r="D6843" s="15"/>
      <c r="E6843" s="15">
        <v>3.65</v>
      </c>
      <c r="F6843" s="15">
        <f t="shared" si="1"/>
        <v>-0.34</v>
      </c>
      <c r="G6843" s="15">
        <f t="shared" si="2"/>
        <v>3.56</v>
      </c>
      <c r="H6843" s="16">
        <v>0.0</v>
      </c>
      <c r="I6843" s="15">
        <f t="shared" si="3"/>
        <v>-0.34</v>
      </c>
      <c r="J6843" s="15">
        <v>26.95</v>
      </c>
      <c r="K6843" s="16">
        <f>IF(COUNTIFS(Release_Calendar!$A$2:$A$755,"US_CPI",Release_Calendar!$B$2:$B$755,$A6843)&gt;0,1,0)</f>
        <v>0</v>
      </c>
      <c r="L6843" s="16">
        <f>IF(COUNTIFS(Release_Calendar!$A$2:$A$755,"US_NFP",Release_Calendar!$B$2:$B$755,$A6843)&gt;0,1,0)</f>
        <v>0</v>
      </c>
      <c r="M6843" s="16">
        <f>IF($A6843&lt;Notes!$B$5,"",IF(COUNTIFS(Release_Calendar!$A$2:$A$755,"NZ_CPI",Release_Calendar!$B$2:$B$755,$A6843)&gt;0,1,0))</f>
        <v>0</v>
      </c>
      <c r="N6843" s="16">
        <f>IF($A6843&lt;Notes!$B$5,"",IF(COUNTIFS(Release_Calendar!$A$2:$A$755,"NZ_GDP",Release_Calendar!$B$2:$B$755,$A6843)&gt;0,1,0))</f>
        <v>0</v>
      </c>
      <c r="O6843" s="16">
        <f>IF($A6843&lt;Notes!$B$5,"",IF(COUNTIFS(Release_Calendar!$A$2:$A$755,"NZ_LABOUR",Release_Calendar!$B$2:$B$755,$A6843)&gt;0,1,0))</f>
        <v>0</v>
      </c>
      <c r="P6843" s="16">
        <f t="shared" si="4"/>
        <v>0</v>
      </c>
    </row>
    <row r="6844" ht="15.75" customHeight="1">
      <c r="A6844" s="14">
        <v>46106.0</v>
      </c>
      <c r="B6844" s="15">
        <v>3.84</v>
      </c>
      <c r="C6844" s="15">
        <v>3.45</v>
      </c>
      <c r="D6844" s="15"/>
      <c r="E6844" s="15">
        <v>3.54</v>
      </c>
      <c r="F6844" s="15">
        <f t="shared" si="1"/>
        <v>-0.39</v>
      </c>
      <c r="G6844" s="15">
        <f t="shared" si="2"/>
        <v>3.45</v>
      </c>
      <c r="H6844" s="16">
        <v>0.0</v>
      </c>
      <c r="I6844" s="15">
        <f t="shared" si="3"/>
        <v>-0.39</v>
      </c>
      <c r="J6844" s="15">
        <v>25.33</v>
      </c>
      <c r="K6844" s="16">
        <f>IF(COUNTIFS(Release_Calendar!$A$2:$A$755,"US_CPI",Release_Calendar!$B$2:$B$755,$A6844)&gt;0,1,0)</f>
        <v>0</v>
      </c>
      <c r="L6844" s="16">
        <f>IF(COUNTIFS(Release_Calendar!$A$2:$A$755,"US_NFP",Release_Calendar!$B$2:$B$755,$A6844)&gt;0,1,0)</f>
        <v>0</v>
      </c>
      <c r="M6844" s="16">
        <f>IF($A6844&lt;Notes!$B$5,"",IF(COUNTIFS(Release_Calendar!$A$2:$A$755,"NZ_CPI",Release_Calendar!$B$2:$B$755,$A6844)&gt;0,1,0))</f>
        <v>0</v>
      </c>
      <c r="N6844" s="16">
        <f>IF($A6844&lt;Notes!$B$5,"",IF(COUNTIFS(Release_Calendar!$A$2:$A$755,"NZ_GDP",Release_Calendar!$B$2:$B$755,$A6844)&gt;0,1,0))</f>
        <v>0</v>
      </c>
      <c r="O6844" s="16">
        <f>IF($A6844&lt;Notes!$B$5,"",IF(COUNTIFS(Release_Calendar!$A$2:$A$755,"NZ_LABOUR",Release_Calendar!$B$2:$B$755,$A6844)&gt;0,1,0))</f>
        <v>0</v>
      </c>
      <c r="P6844" s="16">
        <f t="shared" si="4"/>
        <v>0</v>
      </c>
    </row>
    <row r="6845" ht="15.75" customHeight="1">
      <c r="A6845" s="14">
        <v>46107.0</v>
      </c>
      <c r="B6845" s="15">
        <v>3.96</v>
      </c>
      <c r="C6845" s="15">
        <v>3.46</v>
      </c>
      <c r="D6845" s="15"/>
      <c r="E6845" s="15">
        <v>3.55</v>
      </c>
      <c r="F6845" s="15">
        <f t="shared" si="1"/>
        <v>-0.5</v>
      </c>
      <c r="G6845" s="15">
        <f t="shared" si="2"/>
        <v>3.46</v>
      </c>
      <c r="H6845" s="16">
        <v>0.0</v>
      </c>
      <c r="I6845" s="15">
        <f t="shared" si="3"/>
        <v>-0.5</v>
      </c>
      <c r="J6845" s="15">
        <v>27.44</v>
      </c>
      <c r="K6845" s="16">
        <f>IF(COUNTIFS(Release_Calendar!$A$2:$A$755,"US_CPI",Release_Calendar!$B$2:$B$755,$A6845)&gt;0,1,0)</f>
        <v>0</v>
      </c>
      <c r="L6845" s="16">
        <f>IF(COUNTIFS(Release_Calendar!$A$2:$A$755,"US_NFP",Release_Calendar!$B$2:$B$755,$A6845)&gt;0,1,0)</f>
        <v>0</v>
      </c>
      <c r="M6845" s="16">
        <f>IF($A6845&lt;Notes!$B$5,"",IF(COUNTIFS(Release_Calendar!$A$2:$A$755,"NZ_CPI",Release_Calendar!$B$2:$B$755,$A6845)&gt;0,1,0))</f>
        <v>0</v>
      </c>
      <c r="N6845" s="16">
        <f>IF($A6845&lt;Notes!$B$5,"",IF(COUNTIFS(Release_Calendar!$A$2:$A$755,"NZ_GDP",Release_Calendar!$B$2:$B$755,$A6845)&gt;0,1,0))</f>
        <v>0</v>
      </c>
      <c r="O6845" s="16">
        <f>IF($A6845&lt;Notes!$B$5,"",IF(COUNTIFS(Release_Calendar!$A$2:$A$755,"NZ_LABOUR",Release_Calendar!$B$2:$B$755,$A6845)&gt;0,1,0))</f>
        <v>0</v>
      </c>
      <c r="P6845" s="16">
        <f t="shared" si="4"/>
        <v>0</v>
      </c>
    </row>
    <row r="6846" ht="15.75" customHeight="1">
      <c r="A6846" s="14">
        <v>46108.0</v>
      </c>
      <c r="B6846" s="15">
        <v>3.88</v>
      </c>
      <c r="C6846" s="15">
        <v>3.53</v>
      </c>
      <c r="D6846" s="15"/>
      <c r="E6846" s="15">
        <v>3.62</v>
      </c>
      <c r="F6846" s="15">
        <f t="shared" si="1"/>
        <v>-0.35</v>
      </c>
      <c r="G6846" s="15">
        <f t="shared" si="2"/>
        <v>3.53</v>
      </c>
      <c r="H6846" s="16">
        <v>0.0</v>
      </c>
      <c r="I6846" s="15">
        <f t="shared" si="3"/>
        <v>-0.35</v>
      </c>
      <c r="J6846" s="15">
        <v>31.05</v>
      </c>
      <c r="K6846" s="16">
        <f>IF(COUNTIFS(Release_Calendar!$A$2:$A$755,"US_CPI",Release_Calendar!$B$2:$B$755,$A6846)&gt;0,1,0)</f>
        <v>0</v>
      </c>
      <c r="L6846" s="16">
        <f>IF(COUNTIFS(Release_Calendar!$A$2:$A$755,"US_NFP",Release_Calendar!$B$2:$B$755,$A6846)&gt;0,1,0)</f>
        <v>0</v>
      </c>
      <c r="M6846" s="16">
        <f>IF($A6846&lt;Notes!$B$5,"",IF(COUNTIFS(Release_Calendar!$A$2:$A$755,"NZ_CPI",Release_Calendar!$B$2:$B$755,$A6846)&gt;0,1,0))</f>
        <v>0</v>
      </c>
      <c r="N6846" s="16">
        <f>IF($A6846&lt;Notes!$B$5,"",IF(COUNTIFS(Release_Calendar!$A$2:$A$755,"NZ_GDP",Release_Calendar!$B$2:$B$755,$A6846)&gt;0,1,0))</f>
        <v>0</v>
      </c>
      <c r="O6846" s="16">
        <f>IF($A6846&lt;Notes!$B$5,"",IF(COUNTIFS(Release_Calendar!$A$2:$A$755,"NZ_LABOUR",Release_Calendar!$B$2:$B$755,$A6846)&gt;0,1,0))</f>
        <v>0</v>
      </c>
      <c r="P6846" s="16">
        <f t="shared" si="4"/>
        <v>0</v>
      </c>
    </row>
    <row r="6847" ht="15.75" customHeight="1">
      <c r="A6847" s="14">
        <v>46111.0</v>
      </c>
      <c r="B6847" s="15">
        <v>3.82</v>
      </c>
      <c r="C6847" s="15">
        <v>3.51</v>
      </c>
      <c r="D6847" s="15"/>
      <c r="E6847" s="15">
        <v>3.6</v>
      </c>
      <c r="F6847" s="15">
        <f t="shared" si="1"/>
        <v>-0.31</v>
      </c>
      <c r="G6847" s="15">
        <f t="shared" si="2"/>
        <v>3.51</v>
      </c>
      <c r="H6847" s="16">
        <v>0.0</v>
      </c>
      <c r="I6847" s="15">
        <f t="shared" si="3"/>
        <v>-0.31</v>
      </c>
      <c r="J6847" s="15">
        <v>30.61</v>
      </c>
      <c r="K6847" s="16">
        <f>IF(COUNTIFS(Release_Calendar!$A$2:$A$755,"US_CPI",Release_Calendar!$B$2:$B$755,$A6847)&gt;0,1,0)</f>
        <v>0</v>
      </c>
      <c r="L6847" s="16">
        <f>IF(COUNTIFS(Release_Calendar!$A$2:$A$755,"US_NFP",Release_Calendar!$B$2:$B$755,$A6847)&gt;0,1,0)</f>
        <v>0</v>
      </c>
      <c r="M6847" s="16">
        <f>IF($A6847&lt;Notes!$B$5,"",IF(COUNTIFS(Release_Calendar!$A$2:$A$755,"NZ_CPI",Release_Calendar!$B$2:$B$755,$A6847)&gt;0,1,0))</f>
        <v>0</v>
      </c>
      <c r="N6847" s="16">
        <f>IF($A6847&lt;Notes!$B$5,"",IF(COUNTIFS(Release_Calendar!$A$2:$A$755,"NZ_GDP",Release_Calendar!$B$2:$B$755,$A6847)&gt;0,1,0))</f>
        <v>0</v>
      </c>
      <c r="O6847" s="16">
        <f>IF($A6847&lt;Notes!$B$5,"",IF(COUNTIFS(Release_Calendar!$A$2:$A$755,"NZ_LABOUR",Release_Calendar!$B$2:$B$755,$A6847)&gt;0,1,0))</f>
        <v>0</v>
      </c>
      <c r="P6847" s="16">
        <f t="shared" si="4"/>
        <v>0</v>
      </c>
    </row>
    <row r="6848" ht="15.75" customHeight="1">
      <c r="A6848" s="14">
        <v>46112.0</v>
      </c>
      <c r="B6848" s="15">
        <v>3.79</v>
      </c>
      <c r="C6848" s="15">
        <v>3.47</v>
      </c>
      <c r="D6848" s="15"/>
      <c r="E6848" s="15">
        <v>3.55</v>
      </c>
      <c r="F6848" s="15">
        <f t="shared" si="1"/>
        <v>-0.32</v>
      </c>
      <c r="G6848" s="15">
        <f t="shared" si="2"/>
        <v>3.47</v>
      </c>
      <c r="H6848" s="16">
        <v>0.0</v>
      </c>
      <c r="I6848" s="15">
        <f t="shared" si="3"/>
        <v>-0.32</v>
      </c>
      <c r="J6848" s="15">
        <v>25.25</v>
      </c>
      <c r="K6848" s="16">
        <f>IF(COUNTIFS(Release_Calendar!$A$2:$A$755,"US_CPI",Release_Calendar!$B$2:$B$755,$A6848)&gt;0,1,0)</f>
        <v>0</v>
      </c>
      <c r="L6848" s="16">
        <f>IF(COUNTIFS(Release_Calendar!$A$2:$A$755,"US_NFP",Release_Calendar!$B$2:$B$755,$A6848)&gt;0,1,0)</f>
        <v>0</v>
      </c>
      <c r="M6848" s="16">
        <f>IF($A6848&lt;Notes!$B$5,"",IF(COUNTIFS(Release_Calendar!$A$2:$A$755,"NZ_CPI",Release_Calendar!$B$2:$B$755,$A6848)&gt;0,1,0))</f>
        <v>0</v>
      </c>
      <c r="N6848" s="16">
        <f>IF($A6848&lt;Notes!$B$5,"",IF(COUNTIFS(Release_Calendar!$A$2:$A$755,"NZ_GDP",Release_Calendar!$B$2:$B$755,$A6848)&gt;0,1,0))</f>
        <v>0</v>
      </c>
      <c r="O6848" s="16">
        <f>IF($A6848&lt;Notes!$B$5,"",IF(COUNTIFS(Release_Calendar!$A$2:$A$755,"NZ_LABOUR",Release_Calendar!$B$2:$B$755,$A6848)&gt;0,1,0))</f>
        <v>0</v>
      </c>
      <c r="P6848" s="16">
        <f t="shared" si="4"/>
        <v>0</v>
      </c>
    </row>
    <row r="6849" ht="15.75" customHeight="1">
      <c r="A6849" s="14">
        <v>46113.0</v>
      </c>
      <c r="B6849" s="15">
        <v>3.81</v>
      </c>
      <c r="C6849" s="15">
        <v>3.34</v>
      </c>
      <c r="D6849" s="15"/>
      <c r="E6849" s="15">
        <v>3.43</v>
      </c>
      <c r="F6849" s="15">
        <f t="shared" si="1"/>
        <v>-0.47</v>
      </c>
      <c r="G6849" s="15">
        <f t="shared" si="2"/>
        <v>3.34</v>
      </c>
      <c r="H6849" s="16">
        <v>0.0</v>
      </c>
      <c r="I6849" s="15">
        <f t="shared" si="3"/>
        <v>-0.47</v>
      </c>
      <c r="J6849" s="15">
        <v>24.54</v>
      </c>
      <c r="K6849" s="16">
        <f>IF(COUNTIFS(Release_Calendar!$A$2:$A$755,"US_CPI",Release_Calendar!$B$2:$B$755,$A6849)&gt;0,1,0)</f>
        <v>0</v>
      </c>
      <c r="L6849" s="16">
        <f>IF(COUNTIFS(Release_Calendar!$A$2:$A$755,"US_NFP",Release_Calendar!$B$2:$B$755,$A6849)&gt;0,1,0)</f>
        <v>0</v>
      </c>
      <c r="M6849" s="16">
        <f>IF($A6849&lt;Notes!$B$5,"",IF(COUNTIFS(Release_Calendar!$A$2:$A$755,"NZ_CPI",Release_Calendar!$B$2:$B$755,$A6849)&gt;0,1,0))</f>
        <v>0</v>
      </c>
      <c r="N6849" s="16">
        <f>IF($A6849&lt;Notes!$B$5,"",IF(COUNTIFS(Release_Calendar!$A$2:$A$755,"NZ_GDP",Release_Calendar!$B$2:$B$755,$A6849)&gt;0,1,0))</f>
        <v>0</v>
      </c>
      <c r="O6849" s="16">
        <f>IF($A6849&lt;Notes!$B$5,"",IF(COUNTIFS(Release_Calendar!$A$2:$A$755,"NZ_LABOUR",Release_Calendar!$B$2:$B$755,$A6849)&gt;0,1,0))</f>
        <v>0</v>
      </c>
      <c r="P6849" s="16">
        <f t="shared" si="4"/>
        <v>0</v>
      </c>
    </row>
    <row r="6850" ht="15.75" customHeight="1">
      <c r="A6850" s="14">
        <v>46114.0</v>
      </c>
      <c r="B6850" s="15">
        <v>3.79</v>
      </c>
      <c r="C6850" s="15">
        <v>3.43</v>
      </c>
      <c r="D6850" s="15"/>
      <c r="E6850" s="15">
        <v>3.54</v>
      </c>
      <c r="F6850" s="15">
        <f t="shared" si="1"/>
        <v>-0.36</v>
      </c>
      <c r="G6850" s="15">
        <f t="shared" si="2"/>
        <v>3.43</v>
      </c>
      <c r="H6850" s="16">
        <v>0.0</v>
      </c>
      <c r="I6850" s="15">
        <f t="shared" si="3"/>
        <v>-0.36</v>
      </c>
      <c r="J6850" s="15">
        <v>23.87</v>
      </c>
      <c r="K6850" s="16">
        <f>IF(COUNTIFS(Release_Calendar!$A$2:$A$755,"US_CPI",Release_Calendar!$B$2:$B$755,$A6850)&gt;0,1,0)</f>
        <v>0</v>
      </c>
      <c r="L6850" s="16">
        <f>IF(COUNTIFS(Release_Calendar!$A$2:$A$755,"US_NFP",Release_Calendar!$B$2:$B$755,$A6850)&gt;0,1,0)</f>
        <v>0</v>
      </c>
      <c r="M6850" s="16">
        <f>IF($A6850&lt;Notes!$B$5,"",IF(COUNTIFS(Release_Calendar!$A$2:$A$755,"NZ_CPI",Release_Calendar!$B$2:$B$755,$A6850)&gt;0,1,0))</f>
        <v>0</v>
      </c>
      <c r="N6850" s="16">
        <f>IF($A6850&lt;Notes!$B$5,"",IF(COUNTIFS(Release_Calendar!$A$2:$A$755,"NZ_GDP",Release_Calendar!$B$2:$B$755,$A6850)&gt;0,1,0))</f>
        <v>0</v>
      </c>
      <c r="O6850" s="16">
        <f>IF($A6850&lt;Notes!$B$5,"",IF(COUNTIFS(Release_Calendar!$A$2:$A$755,"NZ_LABOUR",Release_Calendar!$B$2:$B$755,$A6850)&gt;0,1,0))</f>
        <v>0</v>
      </c>
      <c r="P6850" s="16">
        <f t="shared" si="4"/>
        <v>0</v>
      </c>
    </row>
    <row r="6851" ht="15.75" customHeight="1">
      <c r="A6851" s="14">
        <v>46115.0</v>
      </c>
      <c r="B6851" s="15">
        <v>3.84</v>
      </c>
      <c r="C6851" s="15"/>
      <c r="D6851" s="15"/>
      <c r="E6851" s="15"/>
      <c r="F6851" s="15" t="str">
        <f t="shared" si="1"/>
        <v/>
      </c>
      <c r="G6851" s="15" t="str">
        <f t="shared" si="2"/>
        <v/>
      </c>
      <c r="H6851" s="16">
        <v>0.0</v>
      </c>
      <c r="I6851" s="15" t="str">
        <f t="shared" si="3"/>
        <v/>
      </c>
      <c r="J6851" s="15"/>
      <c r="K6851" s="16">
        <f>IF(COUNTIFS(Release_Calendar!$A$2:$A$755,"US_CPI",Release_Calendar!$B$2:$B$755,$A6851)&gt;0,1,0)</f>
        <v>0</v>
      </c>
      <c r="L6851" s="16">
        <f>IF(COUNTIFS(Release_Calendar!$A$2:$A$755,"US_NFP",Release_Calendar!$B$2:$B$755,$A6851)&gt;0,1,0)</f>
        <v>1</v>
      </c>
      <c r="M6851" s="16">
        <f>IF($A6851&lt;Notes!$B$5,"",IF(COUNTIFS(Release_Calendar!$A$2:$A$755,"NZ_CPI",Release_Calendar!$B$2:$B$755,$A6851)&gt;0,1,0))</f>
        <v>0</v>
      </c>
      <c r="N6851" s="16">
        <f>IF($A6851&lt;Notes!$B$5,"",IF(COUNTIFS(Release_Calendar!$A$2:$A$755,"NZ_GDP",Release_Calendar!$B$2:$B$755,$A6851)&gt;0,1,0))</f>
        <v>0</v>
      </c>
      <c r="O6851" s="16">
        <f>IF($A6851&lt;Notes!$B$5,"",IF(COUNTIFS(Release_Calendar!$A$2:$A$755,"NZ_LABOUR",Release_Calendar!$B$2:$B$755,$A6851)&gt;0,1,0))</f>
        <v>0</v>
      </c>
      <c r="P6851" s="16">
        <f t="shared" si="4"/>
        <v>1</v>
      </c>
    </row>
    <row r="6852" ht="15.75" customHeight="1">
      <c r="A6852" s="14">
        <v>46118.0</v>
      </c>
      <c r="B6852" s="15">
        <v>3.84</v>
      </c>
      <c r="C6852" s="15"/>
      <c r="D6852" s="15"/>
      <c r="E6852" s="15"/>
      <c r="F6852" s="15" t="str">
        <f t="shared" si="1"/>
        <v/>
      </c>
      <c r="G6852" s="15" t="str">
        <f t="shared" si="2"/>
        <v/>
      </c>
      <c r="H6852" s="16">
        <v>0.0</v>
      </c>
      <c r="I6852" s="15" t="str">
        <f t="shared" si="3"/>
        <v/>
      </c>
      <c r="J6852" s="15">
        <v>24.17</v>
      </c>
      <c r="K6852" s="16">
        <f>IF(COUNTIFS(Release_Calendar!$A$2:$A$755,"US_CPI",Release_Calendar!$B$2:$B$755,$A6852)&gt;0,1,0)</f>
        <v>0</v>
      </c>
      <c r="L6852" s="16">
        <f>IF(COUNTIFS(Release_Calendar!$A$2:$A$755,"US_NFP",Release_Calendar!$B$2:$B$755,$A6852)&gt;0,1,0)</f>
        <v>0</v>
      </c>
      <c r="M6852" s="16">
        <f>IF($A6852&lt;Notes!$B$5,"",IF(COUNTIFS(Release_Calendar!$A$2:$A$755,"NZ_CPI",Release_Calendar!$B$2:$B$755,$A6852)&gt;0,1,0))</f>
        <v>0</v>
      </c>
      <c r="N6852" s="16">
        <f>IF($A6852&lt;Notes!$B$5,"",IF(COUNTIFS(Release_Calendar!$A$2:$A$755,"NZ_GDP",Release_Calendar!$B$2:$B$755,$A6852)&gt;0,1,0))</f>
        <v>0</v>
      </c>
      <c r="O6852" s="16">
        <f>IF($A6852&lt;Notes!$B$5,"",IF(COUNTIFS(Release_Calendar!$A$2:$A$755,"NZ_LABOUR",Release_Calendar!$B$2:$B$755,$A6852)&gt;0,1,0))</f>
        <v>0</v>
      </c>
      <c r="P6852" s="16">
        <f t="shared" si="4"/>
        <v>0</v>
      </c>
    </row>
    <row r="6853" ht="15.75" customHeight="1">
      <c r="A6853" s="14">
        <v>46119.0</v>
      </c>
      <c r="B6853" s="15">
        <v>3.81</v>
      </c>
      <c r="C6853" s="15">
        <v>3.41</v>
      </c>
      <c r="D6853" s="15"/>
      <c r="E6853" s="15">
        <v>3.51</v>
      </c>
      <c r="F6853" s="15">
        <f t="shared" si="1"/>
        <v>-0.4</v>
      </c>
      <c r="G6853" s="15">
        <f t="shared" si="2"/>
        <v>3.41</v>
      </c>
      <c r="H6853" s="16">
        <v>0.0</v>
      </c>
      <c r="I6853" s="15">
        <f t="shared" si="3"/>
        <v>-0.4</v>
      </c>
      <c r="J6853" s="15">
        <v>25.78</v>
      </c>
      <c r="K6853" s="16">
        <f>IF(COUNTIFS(Release_Calendar!$A$2:$A$755,"US_CPI",Release_Calendar!$B$2:$B$755,$A6853)&gt;0,1,0)</f>
        <v>0</v>
      </c>
      <c r="L6853" s="16">
        <f>IF(COUNTIFS(Release_Calendar!$A$2:$A$755,"US_NFP",Release_Calendar!$B$2:$B$755,$A6853)&gt;0,1,0)</f>
        <v>0</v>
      </c>
      <c r="M6853" s="16">
        <f>IF($A6853&lt;Notes!$B$5,"",IF(COUNTIFS(Release_Calendar!$A$2:$A$755,"NZ_CPI",Release_Calendar!$B$2:$B$755,$A6853)&gt;0,1,0))</f>
        <v>0</v>
      </c>
      <c r="N6853" s="16">
        <f>IF($A6853&lt;Notes!$B$5,"",IF(COUNTIFS(Release_Calendar!$A$2:$A$755,"NZ_GDP",Release_Calendar!$B$2:$B$755,$A6853)&gt;0,1,0))</f>
        <v>0</v>
      </c>
      <c r="O6853" s="16">
        <f>IF($A6853&lt;Notes!$B$5,"",IF(COUNTIFS(Release_Calendar!$A$2:$A$755,"NZ_LABOUR",Release_Calendar!$B$2:$B$755,$A6853)&gt;0,1,0))</f>
        <v>0</v>
      </c>
      <c r="P6853" s="16">
        <f t="shared" si="4"/>
        <v>0</v>
      </c>
    </row>
    <row r="6854" ht="15.75" customHeight="1">
      <c r="A6854" s="14">
        <v>46120.0</v>
      </c>
      <c r="B6854" s="15">
        <v>3.79</v>
      </c>
      <c r="C6854" s="15">
        <v>3.38</v>
      </c>
      <c r="D6854" s="15"/>
      <c r="E6854" s="15">
        <v>3.48</v>
      </c>
      <c r="F6854" s="15">
        <f t="shared" si="1"/>
        <v>-0.41</v>
      </c>
      <c r="G6854" s="15">
        <f t="shared" si="2"/>
        <v>3.38</v>
      </c>
      <c r="H6854" s="16">
        <v>0.0</v>
      </c>
      <c r="I6854" s="15">
        <f t="shared" si="3"/>
        <v>-0.41</v>
      </c>
      <c r="J6854" s="15">
        <v>21.04</v>
      </c>
      <c r="K6854" s="16">
        <f>IF(COUNTIFS(Release_Calendar!$A$2:$A$755,"US_CPI",Release_Calendar!$B$2:$B$755,$A6854)&gt;0,1,0)</f>
        <v>0</v>
      </c>
      <c r="L6854" s="16">
        <f>IF(COUNTIFS(Release_Calendar!$A$2:$A$755,"US_NFP",Release_Calendar!$B$2:$B$755,$A6854)&gt;0,1,0)</f>
        <v>0</v>
      </c>
      <c r="M6854" s="16">
        <f>IF($A6854&lt;Notes!$B$5,"",IF(COUNTIFS(Release_Calendar!$A$2:$A$755,"NZ_CPI",Release_Calendar!$B$2:$B$755,$A6854)&gt;0,1,0))</f>
        <v>0</v>
      </c>
      <c r="N6854" s="16">
        <f>IF($A6854&lt;Notes!$B$5,"",IF(COUNTIFS(Release_Calendar!$A$2:$A$755,"NZ_GDP",Release_Calendar!$B$2:$B$755,$A6854)&gt;0,1,0))</f>
        <v>0</v>
      </c>
      <c r="O6854" s="16">
        <f>IF($A6854&lt;Notes!$B$5,"",IF(COUNTIFS(Release_Calendar!$A$2:$A$755,"NZ_LABOUR",Release_Calendar!$B$2:$B$755,$A6854)&gt;0,1,0))</f>
        <v>0</v>
      </c>
      <c r="P6854" s="16">
        <f t="shared" si="4"/>
        <v>0</v>
      </c>
    </row>
    <row r="6855" ht="15.75" customHeight="1">
      <c r="A6855" s="14">
        <v>46121.0</v>
      </c>
      <c r="B6855" s="15">
        <v>3.78</v>
      </c>
      <c r="C6855" s="15">
        <v>3.49</v>
      </c>
      <c r="D6855" s="15"/>
      <c r="E6855" s="15">
        <v>3.59</v>
      </c>
      <c r="F6855" s="15">
        <f t="shared" si="1"/>
        <v>-0.29</v>
      </c>
      <c r="G6855" s="15">
        <f t="shared" si="2"/>
        <v>3.49</v>
      </c>
      <c r="H6855" s="16">
        <v>0.0</v>
      </c>
      <c r="I6855" s="15">
        <f t="shared" si="3"/>
        <v>-0.29</v>
      </c>
      <c r="J6855" s="15">
        <v>19.49</v>
      </c>
      <c r="K6855" s="16">
        <f>IF(COUNTIFS(Release_Calendar!$A$2:$A$755,"US_CPI",Release_Calendar!$B$2:$B$755,$A6855)&gt;0,1,0)</f>
        <v>0</v>
      </c>
      <c r="L6855" s="16">
        <f>IF(COUNTIFS(Release_Calendar!$A$2:$A$755,"US_NFP",Release_Calendar!$B$2:$B$755,$A6855)&gt;0,1,0)</f>
        <v>0</v>
      </c>
      <c r="M6855" s="16">
        <f>IF($A6855&lt;Notes!$B$5,"",IF(COUNTIFS(Release_Calendar!$A$2:$A$755,"NZ_CPI",Release_Calendar!$B$2:$B$755,$A6855)&gt;0,1,0))</f>
        <v>0</v>
      </c>
      <c r="N6855" s="16">
        <f>IF($A6855&lt;Notes!$B$5,"",IF(COUNTIFS(Release_Calendar!$A$2:$A$755,"NZ_GDP",Release_Calendar!$B$2:$B$755,$A6855)&gt;0,1,0))</f>
        <v>0</v>
      </c>
      <c r="O6855" s="16">
        <f>IF($A6855&lt;Notes!$B$5,"",IF(COUNTIFS(Release_Calendar!$A$2:$A$755,"NZ_LABOUR",Release_Calendar!$B$2:$B$755,$A6855)&gt;0,1,0))</f>
        <v>0</v>
      </c>
      <c r="P6855" s="16">
        <f t="shared" si="4"/>
        <v>0</v>
      </c>
    </row>
    <row r="6856" ht="15.75" customHeight="1">
      <c r="A6856" s="14">
        <v>46122.0</v>
      </c>
      <c r="B6856" s="15">
        <v>3.81</v>
      </c>
      <c r="C6856" s="15">
        <v>3.48</v>
      </c>
      <c r="D6856" s="15"/>
      <c r="E6856" s="15">
        <v>3.6</v>
      </c>
      <c r="F6856" s="15">
        <f t="shared" si="1"/>
        <v>-0.33</v>
      </c>
      <c r="G6856" s="15">
        <f t="shared" si="2"/>
        <v>3.48</v>
      </c>
      <c r="H6856" s="16">
        <v>0.0</v>
      </c>
      <c r="I6856" s="15">
        <f t="shared" si="3"/>
        <v>-0.33</v>
      </c>
      <c r="J6856" s="15">
        <v>19.23</v>
      </c>
      <c r="K6856" s="16">
        <f>IF(COUNTIFS(Release_Calendar!$A$2:$A$755,"US_CPI",Release_Calendar!$B$2:$B$755,$A6856)&gt;0,1,0)</f>
        <v>1</v>
      </c>
      <c r="L6856" s="16">
        <f>IF(COUNTIFS(Release_Calendar!$A$2:$A$755,"US_NFP",Release_Calendar!$B$2:$B$755,$A6856)&gt;0,1,0)</f>
        <v>0</v>
      </c>
      <c r="M6856" s="16">
        <f>IF($A6856&lt;Notes!$B$5,"",IF(COUNTIFS(Release_Calendar!$A$2:$A$755,"NZ_CPI",Release_Calendar!$B$2:$B$755,$A6856)&gt;0,1,0))</f>
        <v>0</v>
      </c>
      <c r="N6856" s="16">
        <f>IF($A6856&lt;Notes!$B$5,"",IF(COUNTIFS(Release_Calendar!$A$2:$A$755,"NZ_GDP",Release_Calendar!$B$2:$B$755,$A6856)&gt;0,1,0))</f>
        <v>0</v>
      </c>
      <c r="O6856" s="16">
        <f>IF($A6856&lt;Notes!$B$5,"",IF(COUNTIFS(Release_Calendar!$A$2:$A$755,"NZ_LABOUR",Release_Calendar!$B$2:$B$755,$A6856)&gt;0,1,0))</f>
        <v>0</v>
      </c>
      <c r="P6856" s="16">
        <f t="shared" si="4"/>
        <v>1</v>
      </c>
    </row>
    <row r="6857" ht="15.75" customHeight="1">
      <c r="A6857" s="14">
        <v>46125.0</v>
      </c>
      <c r="B6857" s="15">
        <v>3.78</v>
      </c>
      <c r="C6857" s="15">
        <v>3.56</v>
      </c>
      <c r="D6857" s="15"/>
      <c r="E6857" s="15">
        <v>3.66</v>
      </c>
      <c r="F6857" s="15">
        <f t="shared" si="1"/>
        <v>-0.22</v>
      </c>
      <c r="G6857" s="15">
        <f t="shared" si="2"/>
        <v>3.56</v>
      </c>
      <c r="H6857" s="16">
        <v>0.0</v>
      </c>
      <c r="I6857" s="15">
        <f t="shared" si="3"/>
        <v>-0.22</v>
      </c>
      <c r="J6857" s="15">
        <v>19.12</v>
      </c>
      <c r="K6857" s="16">
        <f>IF(COUNTIFS(Release_Calendar!$A$2:$A$755,"US_CPI",Release_Calendar!$B$2:$B$755,$A6857)&gt;0,1,0)</f>
        <v>0</v>
      </c>
      <c r="L6857" s="16">
        <f>IF(COUNTIFS(Release_Calendar!$A$2:$A$755,"US_NFP",Release_Calendar!$B$2:$B$755,$A6857)&gt;0,1,0)</f>
        <v>0</v>
      </c>
      <c r="M6857" s="16">
        <f>IF($A6857&lt;Notes!$B$5,"",IF(COUNTIFS(Release_Calendar!$A$2:$A$755,"NZ_CPI",Release_Calendar!$B$2:$B$755,$A6857)&gt;0,1,0))</f>
        <v>0</v>
      </c>
      <c r="N6857" s="16">
        <f>IF($A6857&lt;Notes!$B$5,"",IF(COUNTIFS(Release_Calendar!$A$2:$A$755,"NZ_GDP",Release_Calendar!$B$2:$B$755,$A6857)&gt;0,1,0))</f>
        <v>0</v>
      </c>
      <c r="O6857" s="16">
        <f>IF($A6857&lt;Notes!$B$5,"",IF(COUNTIFS(Release_Calendar!$A$2:$A$755,"NZ_LABOUR",Release_Calendar!$B$2:$B$755,$A6857)&gt;0,1,0))</f>
        <v>0</v>
      </c>
      <c r="P6857" s="16">
        <f t="shared" si="4"/>
        <v>0</v>
      </c>
    </row>
    <row r="6858" ht="15.75" customHeight="1">
      <c r="A6858" s="14">
        <v>46126.0</v>
      </c>
      <c r="B6858" s="15">
        <v>3.76</v>
      </c>
      <c r="C6858" s="15">
        <v>3.49</v>
      </c>
      <c r="D6858" s="15"/>
      <c r="E6858" s="15">
        <v>3.58</v>
      </c>
      <c r="F6858" s="15">
        <f t="shared" si="1"/>
        <v>-0.27</v>
      </c>
      <c r="G6858" s="15">
        <f t="shared" si="2"/>
        <v>3.49</v>
      </c>
      <c r="H6858" s="16">
        <v>0.0</v>
      </c>
      <c r="I6858" s="15">
        <f t="shared" si="3"/>
        <v>-0.27</v>
      </c>
      <c r="J6858" s="15">
        <v>18.36</v>
      </c>
      <c r="K6858" s="16">
        <f>IF(COUNTIFS(Release_Calendar!$A$2:$A$755,"US_CPI",Release_Calendar!$B$2:$B$755,$A6858)&gt;0,1,0)</f>
        <v>0</v>
      </c>
      <c r="L6858" s="16">
        <f>IF(COUNTIFS(Release_Calendar!$A$2:$A$755,"US_NFP",Release_Calendar!$B$2:$B$755,$A6858)&gt;0,1,0)</f>
        <v>0</v>
      </c>
      <c r="M6858" s="16">
        <f>IF($A6858&lt;Notes!$B$5,"",IF(COUNTIFS(Release_Calendar!$A$2:$A$755,"NZ_CPI",Release_Calendar!$B$2:$B$755,$A6858)&gt;0,1,0))</f>
        <v>0</v>
      </c>
      <c r="N6858" s="16">
        <f>IF($A6858&lt;Notes!$B$5,"",IF(COUNTIFS(Release_Calendar!$A$2:$A$755,"NZ_GDP",Release_Calendar!$B$2:$B$755,$A6858)&gt;0,1,0))</f>
        <v>0</v>
      </c>
      <c r="O6858" s="16">
        <f>IF($A6858&lt;Notes!$B$5,"",IF(COUNTIFS(Release_Calendar!$A$2:$A$755,"NZ_LABOUR",Release_Calendar!$B$2:$B$755,$A6858)&gt;0,1,0))</f>
        <v>0</v>
      </c>
      <c r="P6858" s="16">
        <f t="shared" si="4"/>
        <v>0</v>
      </c>
    </row>
    <row r="6859" ht="15.75" customHeight="1">
      <c r="A6859" s="14">
        <v>46127.0</v>
      </c>
      <c r="B6859" s="15">
        <v>3.76</v>
      </c>
      <c r="C6859" s="15">
        <v>3.45</v>
      </c>
      <c r="D6859" s="15"/>
      <c r="E6859" s="15">
        <v>3.53</v>
      </c>
      <c r="F6859" s="15">
        <f t="shared" si="1"/>
        <v>-0.31</v>
      </c>
      <c r="G6859" s="15">
        <f t="shared" si="2"/>
        <v>3.45</v>
      </c>
      <c r="H6859" s="16">
        <v>0.0</v>
      </c>
      <c r="I6859" s="15">
        <f t="shared" si="3"/>
        <v>-0.31</v>
      </c>
      <c r="J6859" s="15">
        <v>18.17</v>
      </c>
      <c r="K6859" s="16">
        <f>IF(COUNTIFS(Release_Calendar!$A$2:$A$755,"US_CPI",Release_Calendar!$B$2:$B$755,$A6859)&gt;0,1,0)</f>
        <v>0</v>
      </c>
      <c r="L6859" s="16">
        <f>IF(COUNTIFS(Release_Calendar!$A$2:$A$755,"US_NFP",Release_Calendar!$B$2:$B$755,$A6859)&gt;0,1,0)</f>
        <v>0</v>
      </c>
      <c r="M6859" s="16">
        <f>IF($A6859&lt;Notes!$B$5,"",IF(COUNTIFS(Release_Calendar!$A$2:$A$755,"NZ_CPI",Release_Calendar!$B$2:$B$755,$A6859)&gt;0,1,0))</f>
        <v>0</v>
      </c>
      <c r="N6859" s="16">
        <f>IF($A6859&lt;Notes!$B$5,"",IF(COUNTIFS(Release_Calendar!$A$2:$A$755,"NZ_GDP",Release_Calendar!$B$2:$B$755,$A6859)&gt;0,1,0))</f>
        <v>0</v>
      </c>
      <c r="O6859" s="16">
        <f>IF($A6859&lt;Notes!$B$5,"",IF(COUNTIFS(Release_Calendar!$A$2:$A$755,"NZ_LABOUR",Release_Calendar!$B$2:$B$755,$A6859)&gt;0,1,0))</f>
        <v>0</v>
      </c>
      <c r="P6859" s="16">
        <f t="shared" si="4"/>
        <v>0</v>
      </c>
    </row>
    <row r="6860" ht="15.75" customHeight="1">
      <c r="A6860" s="14">
        <v>46128.0</v>
      </c>
      <c r="B6860" s="15">
        <v>3.78</v>
      </c>
      <c r="C6860" s="15">
        <v>3.41</v>
      </c>
      <c r="D6860" s="15"/>
      <c r="E6860" s="15">
        <v>3.5</v>
      </c>
      <c r="F6860" s="15">
        <f t="shared" si="1"/>
        <v>-0.37</v>
      </c>
      <c r="G6860" s="15">
        <f t="shared" si="2"/>
        <v>3.41</v>
      </c>
      <c r="H6860" s="16">
        <v>0.0</v>
      </c>
      <c r="I6860" s="15">
        <f t="shared" si="3"/>
        <v>-0.37</v>
      </c>
      <c r="J6860" s="15">
        <v>17.94</v>
      </c>
      <c r="K6860" s="16">
        <f>IF(COUNTIFS(Release_Calendar!$A$2:$A$755,"US_CPI",Release_Calendar!$B$2:$B$755,$A6860)&gt;0,1,0)</f>
        <v>0</v>
      </c>
      <c r="L6860" s="16">
        <f>IF(COUNTIFS(Release_Calendar!$A$2:$A$755,"US_NFP",Release_Calendar!$B$2:$B$755,$A6860)&gt;0,1,0)</f>
        <v>0</v>
      </c>
      <c r="M6860" s="16">
        <f>IF($A6860&lt;Notes!$B$5,"",IF(COUNTIFS(Release_Calendar!$A$2:$A$755,"NZ_CPI",Release_Calendar!$B$2:$B$755,$A6860)&gt;0,1,0))</f>
        <v>0</v>
      </c>
      <c r="N6860" s="16">
        <f>IF($A6860&lt;Notes!$B$5,"",IF(COUNTIFS(Release_Calendar!$A$2:$A$755,"NZ_GDP",Release_Calendar!$B$2:$B$755,$A6860)&gt;0,1,0))</f>
        <v>0</v>
      </c>
      <c r="O6860" s="16">
        <f>IF($A6860&lt;Notes!$B$5,"",IF(COUNTIFS(Release_Calendar!$A$2:$A$755,"NZ_LABOUR",Release_Calendar!$B$2:$B$755,$A6860)&gt;0,1,0))</f>
        <v>0</v>
      </c>
      <c r="P6860" s="16">
        <f t="shared" si="4"/>
        <v>0</v>
      </c>
    </row>
    <row r="6861" ht="15.75" customHeight="1">
      <c r="A6861" s="14">
        <v>46129.0</v>
      </c>
      <c r="B6861" s="15">
        <v>3.71</v>
      </c>
      <c r="C6861" s="15">
        <v>3.41</v>
      </c>
      <c r="D6861" s="15"/>
      <c r="E6861" s="15">
        <v>3.49</v>
      </c>
      <c r="F6861" s="15">
        <f t="shared" si="1"/>
        <v>-0.3</v>
      </c>
      <c r="G6861" s="15">
        <f t="shared" si="2"/>
        <v>3.41</v>
      </c>
      <c r="H6861" s="16">
        <v>0.0</v>
      </c>
      <c r="I6861" s="15">
        <f t="shared" si="3"/>
        <v>-0.3</v>
      </c>
      <c r="J6861" s="15">
        <v>17.48</v>
      </c>
      <c r="K6861" s="16">
        <f>IF(COUNTIFS(Release_Calendar!$A$2:$A$755,"US_CPI",Release_Calendar!$B$2:$B$755,$A6861)&gt;0,1,0)</f>
        <v>0</v>
      </c>
      <c r="L6861" s="16">
        <f>IF(COUNTIFS(Release_Calendar!$A$2:$A$755,"US_NFP",Release_Calendar!$B$2:$B$755,$A6861)&gt;0,1,0)</f>
        <v>0</v>
      </c>
      <c r="M6861" s="16">
        <f>IF($A6861&lt;Notes!$B$5,"",IF(COUNTIFS(Release_Calendar!$A$2:$A$755,"NZ_CPI",Release_Calendar!$B$2:$B$755,$A6861)&gt;0,1,0))</f>
        <v>0</v>
      </c>
      <c r="N6861" s="16">
        <f>IF($A6861&lt;Notes!$B$5,"",IF(COUNTIFS(Release_Calendar!$A$2:$A$755,"NZ_GDP",Release_Calendar!$B$2:$B$755,$A6861)&gt;0,1,0))</f>
        <v>0</v>
      </c>
      <c r="O6861" s="16">
        <f>IF($A6861&lt;Notes!$B$5,"",IF(COUNTIFS(Release_Calendar!$A$2:$A$755,"NZ_LABOUR",Release_Calendar!$B$2:$B$755,$A6861)&gt;0,1,0))</f>
        <v>0</v>
      </c>
      <c r="P6861" s="16">
        <f t="shared" si="4"/>
        <v>0</v>
      </c>
    </row>
    <row r="6862" ht="15.75" customHeight="1">
      <c r="A6862" s="14">
        <v>46132.0</v>
      </c>
      <c r="B6862" s="15">
        <v>3.72</v>
      </c>
      <c r="C6862" s="15">
        <v>3.35</v>
      </c>
      <c r="D6862" s="15"/>
      <c r="E6862" s="15">
        <v>3.43</v>
      </c>
      <c r="F6862" s="15">
        <f t="shared" si="1"/>
        <v>-0.37</v>
      </c>
      <c r="G6862" s="15">
        <f t="shared" si="2"/>
        <v>3.35</v>
      </c>
      <c r="H6862" s="16">
        <v>0.0</v>
      </c>
      <c r="I6862" s="15">
        <f t="shared" si="3"/>
        <v>-0.37</v>
      </c>
      <c r="J6862" s="15">
        <v>18.87</v>
      </c>
      <c r="K6862" s="16">
        <f>IF(COUNTIFS(Release_Calendar!$A$2:$A$755,"US_CPI",Release_Calendar!$B$2:$B$755,$A6862)&gt;0,1,0)</f>
        <v>0</v>
      </c>
      <c r="L6862" s="16">
        <f>IF(COUNTIFS(Release_Calendar!$A$2:$A$755,"US_NFP",Release_Calendar!$B$2:$B$755,$A6862)&gt;0,1,0)</f>
        <v>0</v>
      </c>
      <c r="M6862" s="16">
        <f>IF($A6862&lt;Notes!$B$5,"",IF(COUNTIFS(Release_Calendar!$A$2:$A$755,"NZ_CPI",Release_Calendar!$B$2:$B$755,$A6862)&gt;0,1,0))</f>
        <v>0</v>
      </c>
      <c r="N6862" s="16">
        <f>IF($A6862&lt;Notes!$B$5,"",IF(COUNTIFS(Release_Calendar!$A$2:$A$755,"NZ_GDP",Release_Calendar!$B$2:$B$755,$A6862)&gt;0,1,0))</f>
        <v>0</v>
      </c>
      <c r="O6862" s="16">
        <f>IF($A6862&lt;Notes!$B$5,"",IF(COUNTIFS(Release_Calendar!$A$2:$A$755,"NZ_LABOUR",Release_Calendar!$B$2:$B$755,$A6862)&gt;0,1,0))</f>
        <v>0</v>
      </c>
      <c r="P6862" s="16">
        <f t="shared" si="4"/>
        <v>0</v>
      </c>
    </row>
    <row r="6863" ht="15.75" customHeight="1">
      <c r="A6863" s="14">
        <v>46133.0</v>
      </c>
      <c r="B6863" s="15">
        <v>3.78</v>
      </c>
      <c r="C6863" s="15">
        <v>3.43</v>
      </c>
      <c r="D6863" s="15"/>
      <c r="E6863" s="15">
        <v>3.51</v>
      </c>
      <c r="F6863" s="15">
        <f t="shared" si="1"/>
        <v>-0.35</v>
      </c>
      <c r="G6863" s="15">
        <f t="shared" si="2"/>
        <v>3.43</v>
      </c>
      <c r="H6863" s="16">
        <v>0.0</v>
      </c>
      <c r="I6863" s="15">
        <f t="shared" si="3"/>
        <v>-0.35</v>
      </c>
      <c r="J6863" s="15">
        <v>19.5</v>
      </c>
      <c r="K6863" s="16">
        <f>IF(COUNTIFS(Release_Calendar!$A$2:$A$755,"US_CPI",Release_Calendar!$B$2:$B$755,$A6863)&gt;0,1,0)</f>
        <v>0</v>
      </c>
      <c r="L6863" s="16">
        <f>IF(COUNTIFS(Release_Calendar!$A$2:$A$755,"US_NFP",Release_Calendar!$B$2:$B$755,$A6863)&gt;0,1,0)</f>
        <v>0</v>
      </c>
      <c r="M6863" s="16">
        <f>IF($A6863&lt;Notes!$B$5,"",IF(COUNTIFS(Release_Calendar!$A$2:$A$755,"NZ_CPI",Release_Calendar!$B$2:$B$755,$A6863)&gt;0,1,0))</f>
        <v>1</v>
      </c>
      <c r="N6863" s="16">
        <f>IF($A6863&lt;Notes!$B$5,"",IF(COUNTIFS(Release_Calendar!$A$2:$A$755,"NZ_GDP",Release_Calendar!$B$2:$B$755,$A6863)&gt;0,1,0))</f>
        <v>0</v>
      </c>
      <c r="O6863" s="16">
        <f>IF($A6863&lt;Notes!$B$5,"",IF(COUNTIFS(Release_Calendar!$A$2:$A$755,"NZ_LABOUR",Release_Calendar!$B$2:$B$755,$A6863)&gt;0,1,0))</f>
        <v>0</v>
      </c>
      <c r="P6863" s="16">
        <f t="shared" si="4"/>
        <v>1</v>
      </c>
    </row>
    <row r="6864" ht="15.75" customHeight="1">
      <c r="A6864" s="14">
        <v>46134.0</v>
      </c>
      <c r="B6864" s="15">
        <v>3.79</v>
      </c>
      <c r="C6864" s="15">
        <v>3.47</v>
      </c>
      <c r="D6864" s="15"/>
      <c r="E6864" s="15">
        <v>3.55</v>
      </c>
      <c r="F6864" s="15">
        <f t="shared" si="1"/>
        <v>-0.32</v>
      </c>
      <c r="G6864" s="15">
        <f t="shared" si="2"/>
        <v>3.47</v>
      </c>
      <c r="H6864" s="16">
        <v>0.0</v>
      </c>
      <c r="I6864" s="15">
        <f t="shared" si="3"/>
        <v>-0.32</v>
      </c>
      <c r="J6864" s="15">
        <v>18.92</v>
      </c>
      <c r="K6864" s="16">
        <f>IF(COUNTIFS(Release_Calendar!$A$2:$A$755,"US_CPI",Release_Calendar!$B$2:$B$755,$A6864)&gt;0,1,0)</f>
        <v>0</v>
      </c>
      <c r="L6864" s="16">
        <f>IF(COUNTIFS(Release_Calendar!$A$2:$A$755,"US_NFP",Release_Calendar!$B$2:$B$755,$A6864)&gt;0,1,0)</f>
        <v>0</v>
      </c>
      <c r="M6864" s="16">
        <f>IF($A6864&lt;Notes!$B$5,"",IF(COUNTIFS(Release_Calendar!$A$2:$A$755,"NZ_CPI",Release_Calendar!$B$2:$B$755,$A6864)&gt;0,1,0))</f>
        <v>0</v>
      </c>
      <c r="N6864" s="16">
        <f>IF($A6864&lt;Notes!$B$5,"",IF(COUNTIFS(Release_Calendar!$A$2:$A$755,"NZ_GDP",Release_Calendar!$B$2:$B$755,$A6864)&gt;0,1,0))</f>
        <v>0</v>
      </c>
      <c r="O6864" s="16">
        <f>IF($A6864&lt;Notes!$B$5,"",IF(COUNTIFS(Release_Calendar!$A$2:$A$755,"NZ_LABOUR",Release_Calendar!$B$2:$B$755,$A6864)&gt;0,1,0))</f>
        <v>0</v>
      </c>
      <c r="P6864" s="16">
        <f t="shared" si="4"/>
        <v>0</v>
      </c>
    </row>
    <row r="6865" ht="15.75" customHeight="1">
      <c r="A6865" s="14">
        <v>46135.0</v>
      </c>
      <c r="B6865" s="15">
        <v>3.83</v>
      </c>
      <c r="C6865" s="15">
        <v>3.5</v>
      </c>
      <c r="D6865" s="15"/>
      <c r="E6865" s="15">
        <v>3.6</v>
      </c>
      <c r="F6865" s="15">
        <f t="shared" si="1"/>
        <v>-0.33</v>
      </c>
      <c r="G6865" s="15">
        <f t="shared" si="2"/>
        <v>3.5</v>
      </c>
      <c r="H6865" s="16">
        <v>0.0</v>
      </c>
      <c r="I6865" s="15">
        <f t="shared" si="3"/>
        <v>-0.33</v>
      </c>
      <c r="J6865" s="15">
        <v>19.31</v>
      </c>
      <c r="K6865" s="16">
        <f>IF(COUNTIFS(Release_Calendar!$A$2:$A$755,"US_CPI",Release_Calendar!$B$2:$B$755,$A6865)&gt;0,1,0)</f>
        <v>0</v>
      </c>
      <c r="L6865" s="16">
        <f>IF(COUNTIFS(Release_Calendar!$A$2:$A$755,"US_NFP",Release_Calendar!$B$2:$B$755,$A6865)&gt;0,1,0)</f>
        <v>0</v>
      </c>
      <c r="M6865" s="16">
        <f>IF($A6865&lt;Notes!$B$5,"",IF(COUNTIFS(Release_Calendar!$A$2:$A$755,"NZ_CPI",Release_Calendar!$B$2:$B$755,$A6865)&gt;0,1,0))</f>
        <v>0</v>
      </c>
      <c r="N6865" s="16">
        <f>IF($A6865&lt;Notes!$B$5,"",IF(COUNTIFS(Release_Calendar!$A$2:$A$755,"NZ_GDP",Release_Calendar!$B$2:$B$755,$A6865)&gt;0,1,0))</f>
        <v>0</v>
      </c>
      <c r="O6865" s="16">
        <f>IF($A6865&lt;Notes!$B$5,"",IF(COUNTIFS(Release_Calendar!$A$2:$A$755,"NZ_LABOUR",Release_Calendar!$B$2:$B$755,$A6865)&gt;0,1,0))</f>
        <v>0</v>
      </c>
      <c r="P6865" s="16">
        <f t="shared" si="4"/>
        <v>0</v>
      </c>
    </row>
    <row r="6866" ht="15.75" customHeight="1">
      <c r="A6866" s="14">
        <v>46136.0</v>
      </c>
      <c r="B6866" s="15">
        <v>3.78</v>
      </c>
      <c r="C6866" s="15">
        <v>3.53</v>
      </c>
      <c r="D6866" s="15"/>
      <c r="E6866" s="15">
        <v>3.6</v>
      </c>
      <c r="F6866" s="15">
        <f t="shared" si="1"/>
        <v>-0.25</v>
      </c>
      <c r="G6866" s="15">
        <f t="shared" si="2"/>
        <v>3.53</v>
      </c>
      <c r="H6866" s="16">
        <v>0.0</v>
      </c>
      <c r="I6866" s="15">
        <f t="shared" si="3"/>
        <v>-0.25</v>
      </c>
      <c r="J6866" s="15">
        <v>18.71</v>
      </c>
      <c r="K6866" s="16">
        <f>IF(COUNTIFS(Release_Calendar!$A$2:$A$755,"US_CPI",Release_Calendar!$B$2:$B$755,$A6866)&gt;0,1,0)</f>
        <v>0</v>
      </c>
      <c r="L6866" s="16">
        <f>IF(COUNTIFS(Release_Calendar!$A$2:$A$755,"US_NFP",Release_Calendar!$B$2:$B$755,$A6866)&gt;0,1,0)</f>
        <v>0</v>
      </c>
      <c r="M6866" s="16">
        <f>IF($A6866&lt;Notes!$B$5,"",IF(COUNTIFS(Release_Calendar!$A$2:$A$755,"NZ_CPI",Release_Calendar!$B$2:$B$755,$A6866)&gt;0,1,0))</f>
        <v>0</v>
      </c>
      <c r="N6866" s="16">
        <f>IF($A6866&lt;Notes!$B$5,"",IF(COUNTIFS(Release_Calendar!$A$2:$A$755,"NZ_GDP",Release_Calendar!$B$2:$B$755,$A6866)&gt;0,1,0))</f>
        <v>0</v>
      </c>
      <c r="O6866" s="16">
        <f>IF($A6866&lt;Notes!$B$5,"",IF(COUNTIFS(Release_Calendar!$A$2:$A$755,"NZ_LABOUR",Release_Calendar!$B$2:$B$755,$A6866)&gt;0,1,0))</f>
        <v>0</v>
      </c>
      <c r="P6866" s="16">
        <f t="shared" si="4"/>
        <v>0</v>
      </c>
    </row>
    <row r="6867" ht="15.75" customHeight="1">
      <c r="A6867" s="14">
        <v>46139.0</v>
      </c>
      <c r="B6867" s="15">
        <v>3.78</v>
      </c>
      <c r="C6867" s="15"/>
      <c r="D6867" s="15"/>
      <c r="E6867" s="15"/>
      <c r="F6867" s="15" t="str">
        <f t="shared" si="1"/>
        <v/>
      </c>
      <c r="G6867" s="15" t="str">
        <f t="shared" si="2"/>
        <v/>
      </c>
      <c r="H6867" s="16">
        <v>0.0</v>
      </c>
      <c r="I6867" s="15" t="str">
        <f t="shared" si="3"/>
        <v/>
      </c>
      <c r="J6867" s="15">
        <v>18.02</v>
      </c>
      <c r="K6867" s="16">
        <f>IF(COUNTIFS(Release_Calendar!$A$2:$A$755,"US_CPI",Release_Calendar!$B$2:$B$755,$A6867)&gt;0,1,0)</f>
        <v>0</v>
      </c>
      <c r="L6867" s="16">
        <f>IF(COUNTIFS(Release_Calendar!$A$2:$A$755,"US_NFP",Release_Calendar!$B$2:$B$755,$A6867)&gt;0,1,0)</f>
        <v>0</v>
      </c>
      <c r="M6867" s="16">
        <f>IF($A6867&lt;Notes!$B$5,"",IF(COUNTIFS(Release_Calendar!$A$2:$A$755,"NZ_CPI",Release_Calendar!$B$2:$B$755,$A6867)&gt;0,1,0))</f>
        <v>0</v>
      </c>
      <c r="N6867" s="16">
        <f>IF($A6867&lt;Notes!$B$5,"",IF(COUNTIFS(Release_Calendar!$A$2:$A$755,"NZ_GDP",Release_Calendar!$B$2:$B$755,$A6867)&gt;0,1,0))</f>
        <v>0</v>
      </c>
      <c r="O6867" s="16">
        <f>IF($A6867&lt;Notes!$B$5,"",IF(COUNTIFS(Release_Calendar!$A$2:$A$755,"NZ_LABOUR",Release_Calendar!$B$2:$B$755,$A6867)&gt;0,1,0))</f>
        <v>0</v>
      </c>
      <c r="P6867" s="16">
        <f t="shared" si="4"/>
        <v>0</v>
      </c>
    </row>
    <row r="6868" ht="15.75" customHeight="1">
      <c r="A6868" s="14">
        <v>46140.0</v>
      </c>
      <c r="B6868" s="15">
        <v>3.84</v>
      </c>
      <c r="C6868" s="15">
        <v>3.58</v>
      </c>
      <c r="D6868" s="15"/>
      <c r="E6868" s="15">
        <v>3.65</v>
      </c>
      <c r="F6868" s="15">
        <f t="shared" si="1"/>
        <v>-0.26</v>
      </c>
      <c r="G6868" s="15">
        <f t="shared" si="2"/>
        <v>3.58</v>
      </c>
      <c r="H6868" s="16">
        <v>0.0</v>
      </c>
      <c r="I6868" s="15">
        <f t="shared" si="3"/>
        <v>-0.26</v>
      </c>
      <c r="J6868" s="15">
        <v>17.83</v>
      </c>
      <c r="K6868" s="16">
        <f>IF(COUNTIFS(Release_Calendar!$A$2:$A$755,"US_CPI",Release_Calendar!$B$2:$B$755,$A6868)&gt;0,1,0)</f>
        <v>0</v>
      </c>
      <c r="L6868" s="16">
        <f>IF(COUNTIFS(Release_Calendar!$A$2:$A$755,"US_NFP",Release_Calendar!$B$2:$B$755,$A6868)&gt;0,1,0)</f>
        <v>0</v>
      </c>
      <c r="M6868" s="16">
        <f>IF($A6868&lt;Notes!$B$5,"",IF(COUNTIFS(Release_Calendar!$A$2:$A$755,"NZ_CPI",Release_Calendar!$B$2:$B$755,$A6868)&gt;0,1,0))</f>
        <v>0</v>
      </c>
      <c r="N6868" s="16">
        <f>IF($A6868&lt;Notes!$B$5,"",IF(COUNTIFS(Release_Calendar!$A$2:$A$755,"NZ_GDP",Release_Calendar!$B$2:$B$755,$A6868)&gt;0,1,0))</f>
        <v>0</v>
      </c>
      <c r="O6868" s="16">
        <f>IF($A6868&lt;Notes!$B$5,"",IF(COUNTIFS(Release_Calendar!$A$2:$A$755,"NZ_LABOUR",Release_Calendar!$B$2:$B$755,$A6868)&gt;0,1,0))</f>
        <v>0</v>
      </c>
      <c r="P6868" s="16">
        <f t="shared" si="4"/>
        <v>0</v>
      </c>
    </row>
    <row r="6869" ht="15.75" customHeight="1">
      <c r="A6869" s="14">
        <v>46141.0</v>
      </c>
      <c r="B6869" s="15">
        <v>3.92</v>
      </c>
      <c r="C6869" s="15">
        <v>3.54</v>
      </c>
      <c r="D6869" s="15"/>
      <c r="E6869" s="15">
        <v>3.63</v>
      </c>
      <c r="F6869" s="15">
        <f t="shared" si="1"/>
        <v>-0.38</v>
      </c>
      <c r="G6869" s="15">
        <f t="shared" si="2"/>
        <v>3.54</v>
      </c>
      <c r="H6869" s="16">
        <v>0.0</v>
      </c>
      <c r="I6869" s="15">
        <f t="shared" si="3"/>
        <v>-0.38</v>
      </c>
      <c r="J6869" s="15">
        <v>18.81</v>
      </c>
      <c r="K6869" s="16">
        <f>IF(COUNTIFS(Release_Calendar!$A$2:$A$755,"US_CPI",Release_Calendar!$B$2:$B$755,$A6869)&gt;0,1,0)</f>
        <v>0</v>
      </c>
      <c r="L6869" s="16">
        <f>IF(COUNTIFS(Release_Calendar!$A$2:$A$755,"US_NFP",Release_Calendar!$B$2:$B$755,$A6869)&gt;0,1,0)</f>
        <v>0</v>
      </c>
      <c r="M6869" s="16">
        <f>IF($A6869&lt;Notes!$B$5,"",IF(COUNTIFS(Release_Calendar!$A$2:$A$755,"NZ_CPI",Release_Calendar!$B$2:$B$755,$A6869)&gt;0,1,0))</f>
        <v>0</v>
      </c>
      <c r="N6869" s="16">
        <f>IF($A6869&lt;Notes!$B$5,"",IF(COUNTIFS(Release_Calendar!$A$2:$A$755,"NZ_GDP",Release_Calendar!$B$2:$B$755,$A6869)&gt;0,1,0))</f>
        <v>0</v>
      </c>
      <c r="O6869" s="16">
        <f>IF($A6869&lt;Notes!$B$5,"",IF(COUNTIFS(Release_Calendar!$A$2:$A$755,"NZ_LABOUR",Release_Calendar!$B$2:$B$755,$A6869)&gt;0,1,0))</f>
        <v>0</v>
      </c>
      <c r="P6869" s="16">
        <f t="shared" si="4"/>
        <v>0</v>
      </c>
    </row>
    <row r="6870" ht="15.75" customHeight="1">
      <c r="A6870" s="14">
        <v>46142.0</v>
      </c>
      <c r="B6870" s="15">
        <v>3.88</v>
      </c>
      <c r="C6870" s="15">
        <v>3.6</v>
      </c>
      <c r="D6870" s="15"/>
      <c r="E6870" s="15">
        <v>3.68</v>
      </c>
      <c r="F6870" s="15">
        <f t="shared" si="1"/>
        <v>-0.28</v>
      </c>
      <c r="G6870" s="15">
        <f t="shared" si="2"/>
        <v>3.6</v>
      </c>
      <c r="H6870" s="16">
        <v>0.0</v>
      </c>
      <c r="I6870" s="15">
        <f t="shared" si="3"/>
        <v>-0.28</v>
      </c>
      <c r="J6870" s="15">
        <v>16.89</v>
      </c>
      <c r="K6870" s="16">
        <f>IF(COUNTIFS(Release_Calendar!$A$2:$A$755,"US_CPI",Release_Calendar!$B$2:$B$755,$A6870)&gt;0,1,0)</f>
        <v>0</v>
      </c>
      <c r="L6870" s="16">
        <f>IF(COUNTIFS(Release_Calendar!$A$2:$A$755,"US_NFP",Release_Calendar!$B$2:$B$755,$A6870)&gt;0,1,0)</f>
        <v>0</v>
      </c>
      <c r="M6870" s="16">
        <f>IF($A6870&lt;Notes!$B$5,"",IF(COUNTIFS(Release_Calendar!$A$2:$A$755,"NZ_CPI",Release_Calendar!$B$2:$B$755,$A6870)&gt;0,1,0))</f>
        <v>0</v>
      </c>
      <c r="N6870" s="16">
        <f>IF($A6870&lt;Notes!$B$5,"",IF(COUNTIFS(Release_Calendar!$A$2:$A$755,"NZ_GDP",Release_Calendar!$B$2:$B$755,$A6870)&gt;0,1,0))</f>
        <v>0</v>
      </c>
      <c r="O6870" s="16">
        <f>IF($A6870&lt;Notes!$B$5,"",IF(COUNTIFS(Release_Calendar!$A$2:$A$755,"NZ_LABOUR",Release_Calendar!$B$2:$B$755,$A6870)&gt;0,1,0))</f>
        <v>0</v>
      </c>
      <c r="P6870" s="16">
        <f t="shared" si="4"/>
        <v>0</v>
      </c>
    </row>
    <row r="6871" ht="15.75" customHeight="1">
      <c r="A6871" s="14">
        <v>46143.0</v>
      </c>
      <c r="B6871" s="15">
        <v>3.88</v>
      </c>
      <c r="C6871" s="15">
        <v>3.53</v>
      </c>
      <c r="D6871" s="15"/>
      <c r="E6871" s="15">
        <v>3.62</v>
      </c>
      <c r="F6871" s="15">
        <f t="shared" si="1"/>
        <v>-0.35</v>
      </c>
      <c r="G6871" s="15">
        <f t="shared" si="2"/>
        <v>3.53</v>
      </c>
      <c r="H6871" s="16">
        <v>0.0</v>
      </c>
      <c r="I6871" s="15">
        <f t="shared" si="3"/>
        <v>-0.35</v>
      </c>
      <c r="J6871" s="15">
        <v>16.99</v>
      </c>
      <c r="K6871" s="16">
        <f>IF(COUNTIFS(Release_Calendar!$A$2:$A$755,"US_CPI",Release_Calendar!$B$2:$B$755,$A6871)&gt;0,1,0)</f>
        <v>0</v>
      </c>
      <c r="L6871" s="16">
        <f>IF(COUNTIFS(Release_Calendar!$A$2:$A$755,"US_NFP",Release_Calendar!$B$2:$B$755,$A6871)&gt;0,1,0)</f>
        <v>0</v>
      </c>
      <c r="M6871" s="16">
        <f>IF($A6871&lt;Notes!$B$5,"",IF(COUNTIFS(Release_Calendar!$A$2:$A$755,"NZ_CPI",Release_Calendar!$B$2:$B$755,$A6871)&gt;0,1,0))</f>
        <v>0</v>
      </c>
      <c r="N6871" s="16">
        <f>IF($A6871&lt;Notes!$B$5,"",IF(COUNTIFS(Release_Calendar!$A$2:$A$755,"NZ_GDP",Release_Calendar!$B$2:$B$755,$A6871)&gt;0,1,0))</f>
        <v>0</v>
      </c>
      <c r="O6871" s="16">
        <f>IF($A6871&lt;Notes!$B$5,"",IF(COUNTIFS(Release_Calendar!$A$2:$A$755,"NZ_LABOUR",Release_Calendar!$B$2:$B$755,$A6871)&gt;0,1,0))</f>
        <v>0</v>
      </c>
      <c r="P6871" s="16">
        <f t="shared" si="4"/>
        <v>0</v>
      </c>
    </row>
    <row r="6872" ht="15.75" customHeight="1">
      <c r="A6872" s="14">
        <v>46146.0</v>
      </c>
      <c r="B6872" s="15">
        <v>3.95</v>
      </c>
      <c r="C6872" s="15">
        <v>3.51</v>
      </c>
      <c r="D6872" s="15"/>
      <c r="E6872" s="15">
        <v>3.6</v>
      </c>
      <c r="F6872" s="15">
        <f t="shared" si="1"/>
        <v>-0.44</v>
      </c>
      <c r="G6872" s="15">
        <f t="shared" si="2"/>
        <v>3.51</v>
      </c>
      <c r="H6872" s="16">
        <v>0.0</v>
      </c>
      <c r="I6872" s="15">
        <f t="shared" si="3"/>
        <v>-0.44</v>
      </c>
      <c r="J6872" s="15">
        <v>18.29</v>
      </c>
      <c r="K6872" s="16">
        <f>IF(COUNTIFS(Release_Calendar!$A$2:$A$755,"US_CPI",Release_Calendar!$B$2:$B$755,$A6872)&gt;0,1,0)</f>
        <v>0</v>
      </c>
      <c r="L6872" s="16">
        <f>IF(COUNTIFS(Release_Calendar!$A$2:$A$755,"US_NFP",Release_Calendar!$B$2:$B$755,$A6872)&gt;0,1,0)</f>
        <v>0</v>
      </c>
      <c r="M6872" s="16">
        <f>IF($A6872&lt;Notes!$B$5,"",IF(COUNTIFS(Release_Calendar!$A$2:$A$755,"NZ_CPI",Release_Calendar!$B$2:$B$755,$A6872)&gt;0,1,0))</f>
        <v>0</v>
      </c>
      <c r="N6872" s="16">
        <f>IF($A6872&lt;Notes!$B$5,"",IF(COUNTIFS(Release_Calendar!$A$2:$A$755,"NZ_GDP",Release_Calendar!$B$2:$B$755,$A6872)&gt;0,1,0))</f>
        <v>0</v>
      </c>
      <c r="O6872" s="16">
        <f>IF($A6872&lt;Notes!$B$5,"",IF(COUNTIFS(Release_Calendar!$A$2:$A$755,"NZ_LABOUR",Release_Calendar!$B$2:$B$755,$A6872)&gt;0,1,0))</f>
        <v>0</v>
      </c>
      <c r="P6872" s="16">
        <f t="shared" si="4"/>
        <v>0</v>
      </c>
    </row>
    <row r="6873" ht="15.75" customHeight="1">
      <c r="A6873" s="14">
        <v>46147.0</v>
      </c>
      <c r="B6873" s="15">
        <v>3.93</v>
      </c>
      <c r="C6873" s="15">
        <v>3.52</v>
      </c>
      <c r="D6873" s="15"/>
      <c r="E6873" s="15">
        <v>3.6</v>
      </c>
      <c r="F6873" s="15">
        <f t="shared" si="1"/>
        <v>-0.41</v>
      </c>
      <c r="G6873" s="15">
        <f t="shared" si="2"/>
        <v>3.52</v>
      </c>
      <c r="H6873" s="16">
        <v>0.0</v>
      </c>
      <c r="I6873" s="15">
        <f t="shared" si="3"/>
        <v>-0.41</v>
      </c>
      <c r="J6873" s="15">
        <v>17.38</v>
      </c>
      <c r="K6873" s="16">
        <f>IF(COUNTIFS(Release_Calendar!$A$2:$A$755,"US_CPI",Release_Calendar!$B$2:$B$755,$A6873)&gt;0,1,0)</f>
        <v>0</v>
      </c>
      <c r="L6873" s="16">
        <f>IF(COUNTIFS(Release_Calendar!$A$2:$A$755,"US_NFP",Release_Calendar!$B$2:$B$755,$A6873)&gt;0,1,0)</f>
        <v>0</v>
      </c>
      <c r="M6873" s="16">
        <f>IF($A6873&lt;Notes!$B$5,"",IF(COUNTIFS(Release_Calendar!$A$2:$A$755,"NZ_CPI",Release_Calendar!$B$2:$B$755,$A6873)&gt;0,1,0))</f>
        <v>0</v>
      </c>
      <c r="N6873" s="16">
        <f>IF($A6873&lt;Notes!$B$5,"",IF(COUNTIFS(Release_Calendar!$A$2:$A$755,"NZ_GDP",Release_Calendar!$B$2:$B$755,$A6873)&gt;0,1,0))</f>
        <v>0</v>
      </c>
      <c r="O6873" s="16">
        <f>IF($A6873&lt;Notes!$B$5,"",IF(COUNTIFS(Release_Calendar!$A$2:$A$755,"NZ_LABOUR",Release_Calendar!$B$2:$B$755,$A6873)&gt;0,1,0))</f>
        <v>0</v>
      </c>
      <c r="P6873" s="16">
        <f t="shared" si="4"/>
        <v>0</v>
      </c>
    </row>
    <row r="6874" ht="15.75" customHeight="1">
      <c r="A6874" s="14">
        <v>46148.0</v>
      </c>
      <c r="B6874" s="15">
        <v>3.87</v>
      </c>
      <c r="C6874" s="15">
        <v>3.54</v>
      </c>
      <c r="D6874" s="15"/>
      <c r="E6874" s="15">
        <v>3.63</v>
      </c>
      <c r="F6874" s="15">
        <f t="shared" si="1"/>
        <v>-0.33</v>
      </c>
      <c r="G6874" s="15">
        <f t="shared" si="2"/>
        <v>3.54</v>
      </c>
      <c r="H6874" s="16">
        <v>0.0</v>
      </c>
      <c r="I6874" s="15">
        <f t="shared" si="3"/>
        <v>-0.33</v>
      </c>
      <c r="J6874" s="15">
        <v>17.39</v>
      </c>
      <c r="K6874" s="16">
        <f>IF(COUNTIFS(Release_Calendar!$A$2:$A$755,"US_CPI",Release_Calendar!$B$2:$B$755,$A6874)&gt;0,1,0)</f>
        <v>0</v>
      </c>
      <c r="L6874" s="16">
        <f>IF(COUNTIFS(Release_Calendar!$A$2:$A$755,"US_NFP",Release_Calendar!$B$2:$B$755,$A6874)&gt;0,1,0)</f>
        <v>0</v>
      </c>
      <c r="M6874" s="16">
        <f>IF($A6874&lt;Notes!$B$5,"",IF(COUNTIFS(Release_Calendar!$A$2:$A$755,"NZ_CPI",Release_Calendar!$B$2:$B$755,$A6874)&gt;0,1,0))</f>
        <v>0</v>
      </c>
      <c r="N6874" s="16">
        <f>IF($A6874&lt;Notes!$B$5,"",IF(COUNTIFS(Release_Calendar!$A$2:$A$755,"NZ_GDP",Release_Calendar!$B$2:$B$755,$A6874)&gt;0,1,0))</f>
        <v>0</v>
      </c>
      <c r="O6874" s="16">
        <f>IF($A6874&lt;Notes!$B$5,"",IF(COUNTIFS(Release_Calendar!$A$2:$A$755,"NZ_LABOUR",Release_Calendar!$B$2:$B$755,$A6874)&gt;0,1,0))</f>
        <v>1</v>
      </c>
      <c r="P6874" s="16">
        <f t="shared" si="4"/>
        <v>1</v>
      </c>
    </row>
    <row r="6875" ht="15.75" customHeight="1">
      <c r="A6875" s="14">
        <v>46149.0</v>
      </c>
      <c r="B6875" s="15">
        <v>3.92</v>
      </c>
      <c r="C6875" s="15">
        <v>3.52</v>
      </c>
      <c r="D6875" s="15"/>
      <c r="E6875" s="15">
        <v>3.59</v>
      </c>
      <c r="F6875" s="15">
        <f t="shared" si="1"/>
        <v>-0.4</v>
      </c>
      <c r="G6875" s="15">
        <f t="shared" si="2"/>
        <v>3.52</v>
      </c>
      <c r="H6875" s="16">
        <v>0.0</v>
      </c>
      <c r="I6875" s="15">
        <f t="shared" si="3"/>
        <v>-0.4</v>
      </c>
      <c r="J6875" s="15">
        <v>17.08</v>
      </c>
      <c r="K6875" s="16">
        <f>IF(COUNTIFS(Release_Calendar!$A$2:$A$755,"US_CPI",Release_Calendar!$B$2:$B$755,$A6875)&gt;0,1,0)</f>
        <v>0</v>
      </c>
      <c r="L6875" s="16">
        <f>IF(COUNTIFS(Release_Calendar!$A$2:$A$755,"US_NFP",Release_Calendar!$B$2:$B$755,$A6875)&gt;0,1,0)</f>
        <v>0</v>
      </c>
      <c r="M6875" s="16">
        <f>IF($A6875&lt;Notes!$B$5,"",IF(COUNTIFS(Release_Calendar!$A$2:$A$755,"NZ_CPI",Release_Calendar!$B$2:$B$755,$A6875)&gt;0,1,0))</f>
        <v>0</v>
      </c>
      <c r="N6875" s="16">
        <f>IF($A6875&lt;Notes!$B$5,"",IF(COUNTIFS(Release_Calendar!$A$2:$A$755,"NZ_GDP",Release_Calendar!$B$2:$B$755,$A6875)&gt;0,1,0))</f>
        <v>0</v>
      </c>
      <c r="O6875" s="16">
        <f>IF($A6875&lt;Notes!$B$5,"",IF(COUNTIFS(Release_Calendar!$A$2:$A$755,"NZ_LABOUR",Release_Calendar!$B$2:$B$755,$A6875)&gt;0,1,0))</f>
        <v>0</v>
      </c>
      <c r="P6875" s="16">
        <f t="shared" si="4"/>
        <v>0</v>
      </c>
    </row>
    <row r="6876" ht="15.75" customHeight="1">
      <c r="A6876" s="14">
        <v>46150.0</v>
      </c>
      <c r="B6876" s="15">
        <v>3.9</v>
      </c>
      <c r="C6876" s="15">
        <v>3.55</v>
      </c>
      <c r="D6876" s="15"/>
      <c r="E6876" s="15">
        <v>3.63</v>
      </c>
      <c r="F6876" s="15">
        <f t="shared" si="1"/>
        <v>-0.35</v>
      </c>
      <c r="G6876" s="15">
        <f t="shared" si="2"/>
        <v>3.55</v>
      </c>
      <c r="H6876" s="16">
        <v>0.0</v>
      </c>
      <c r="I6876" s="15">
        <f t="shared" si="3"/>
        <v>-0.35</v>
      </c>
      <c r="J6876" s="15">
        <v>17.19</v>
      </c>
      <c r="K6876" s="16">
        <f>IF(COUNTIFS(Release_Calendar!$A$2:$A$755,"US_CPI",Release_Calendar!$B$2:$B$755,$A6876)&gt;0,1,0)</f>
        <v>0</v>
      </c>
      <c r="L6876" s="16">
        <f>IF(COUNTIFS(Release_Calendar!$A$2:$A$755,"US_NFP",Release_Calendar!$B$2:$B$755,$A6876)&gt;0,1,0)</f>
        <v>1</v>
      </c>
      <c r="M6876" s="16">
        <f>IF($A6876&lt;Notes!$B$5,"",IF(COUNTIFS(Release_Calendar!$A$2:$A$755,"NZ_CPI",Release_Calendar!$B$2:$B$755,$A6876)&gt;0,1,0))</f>
        <v>0</v>
      </c>
      <c r="N6876" s="16">
        <f>IF($A6876&lt;Notes!$B$5,"",IF(COUNTIFS(Release_Calendar!$A$2:$A$755,"NZ_GDP",Release_Calendar!$B$2:$B$755,$A6876)&gt;0,1,0))</f>
        <v>0</v>
      </c>
      <c r="O6876" s="16">
        <f>IF($A6876&lt;Notes!$B$5,"",IF(COUNTIFS(Release_Calendar!$A$2:$A$755,"NZ_LABOUR",Release_Calendar!$B$2:$B$755,$A6876)&gt;0,1,0))</f>
        <v>0</v>
      </c>
      <c r="P6876" s="16">
        <f t="shared" si="4"/>
        <v>1</v>
      </c>
    </row>
    <row r="6877" ht="15.75" customHeight="1">
      <c r="A6877" s="14">
        <v>46153.0</v>
      </c>
      <c r="B6877" s="15">
        <v>3.95</v>
      </c>
      <c r="C6877" s="15">
        <v>3.57</v>
      </c>
      <c r="D6877" s="15"/>
      <c r="E6877" s="15">
        <v>3.63</v>
      </c>
      <c r="F6877" s="15">
        <f t="shared" si="1"/>
        <v>-0.38</v>
      </c>
      <c r="G6877" s="15">
        <f t="shared" si="2"/>
        <v>3.57</v>
      </c>
      <c r="H6877" s="16">
        <v>0.0</v>
      </c>
      <c r="I6877" s="15">
        <f t="shared" si="3"/>
        <v>-0.38</v>
      </c>
      <c r="J6877" s="15">
        <v>18.38</v>
      </c>
      <c r="K6877" s="16">
        <f>IF(COUNTIFS(Release_Calendar!$A$2:$A$755,"US_CPI",Release_Calendar!$B$2:$B$755,$A6877)&gt;0,1,0)</f>
        <v>0</v>
      </c>
      <c r="L6877" s="16">
        <f>IF(COUNTIFS(Release_Calendar!$A$2:$A$755,"US_NFP",Release_Calendar!$B$2:$B$755,$A6877)&gt;0,1,0)</f>
        <v>0</v>
      </c>
      <c r="M6877" s="16">
        <f>IF($A6877&lt;Notes!$B$5,"",IF(COUNTIFS(Release_Calendar!$A$2:$A$755,"NZ_CPI",Release_Calendar!$B$2:$B$755,$A6877)&gt;0,1,0))</f>
        <v>0</v>
      </c>
      <c r="N6877" s="16">
        <f>IF($A6877&lt;Notes!$B$5,"",IF(COUNTIFS(Release_Calendar!$A$2:$A$755,"NZ_GDP",Release_Calendar!$B$2:$B$755,$A6877)&gt;0,1,0))</f>
        <v>0</v>
      </c>
      <c r="O6877" s="16">
        <f>IF($A6877&lt;Notes!$B$5,"",IF(COUNTIFS(Release_Calendar!$A$2:$A$755,"NZ_LABOUR",Release_Calendar!$B$2:$B$755,$A6877)&gt;0,1,0))</f>
        <v>0</v>
      </c>
      <c r="P6877" s="16">
        <f t="shared" si="4"/>
        <v>0</v>
      </c>
    </row>
    <row r="6878" ht="15.75" customHeight="1">
      <c r="A6878" s="14">
        <v>46154.0</v>
      </c>
      <c r="B6878" s="15">
        <v>4.0</v>
      </c>
      <c r="C6878" s="15">
        <v>3.63</v>
      </c>
      <c r="D6878" s="15"/>
      <c r="E6878" s="15">
        <v>3.7</v>
      </c>
      <c r="F6878" s="15">
        <f t="shared" si="1"/>
        <v>-0.37</v>
      </c>
      <c r="G6878" s="15">
        <f t="shared" si="2"/>
        <v>3.63</v>
      </c>
      <c r="H6878" s="16">
        <v>0.0</v>
      </c>
      <c r="I6878" s="15">
        <f t="shared" si="3"/>
        <v>-0.37</v>
      </c>
      <c r="J6878" s="15">
        <v>17.99</v>
      </c>
      <c r="K6878" s="16">
        <f>IF(COUNTIFS(Release_Calendar!$A$2:$A$755,"US_CPI",Release_Calendar!$B$2:$B$755,$A6878)&gt;0,1,0)</f>
        <v>1</v>
      </c>
      <c r="L6878" s="16">
        <f>IF(COUNTIFS(Release_Calendar!$A$2:$A$755,"US_NFP",Release_Calendar!$B$2:$B$755,$A6878)&gt;0,1,0)</f>
        <v>0</v>
      </c>
      <c r="M6878" s="16">
        <f>IF($A6878&lt;Notes!$B$5,"",IF(COUNTIFS(Release_Calendar!$A$2:$A$755,"NZ_CPI",Release_Calendar!$B$2:$B$755,$A6878)&gt;0,1,0))</f>
        <v>0</v>
      </c>
      <c r="N6878" s="16">
        <f>IF($A6878&lt;Notes!$B$5,"",IF(COUNTIFS(Release_Calendar!$A$2:$A$755,"NZ_GDP",Release_Calendar!$B$2:$B$755,$A6878)&gt;0,1,0))</f>
        <v>0</v>
      </c>
      <c r="O6878" s="16">
        <f>IF($A6878&lt;Notes!$B$5,"",IF(COUNTIFS(Release_Calendar!$A$2:$A$755,"NZ_LABOUR",Release_Calendar!$B$2:$B$755,$A6878)&gt;0,1,0))</f>
        <v>0</v>
      </c>
      <c r="P6878" s="16">
        <f t="shared" si="4"/>
        <v>1</v>
      </c>
    </row>
    <row r="6879" ht="15.75" customHeight="1">
      <c r="A6879" s="14">
        <v>46155.0</v>
      </c>
      <c r="B6879" s="15">
        <v>3.98</v>
      </c>
      <c r="C6879" s="15">
        <v>3.65</v>
      </c>
      <c r="D6879" s="15"/>
      <c r="E6879" s="15">
        <v>3.72</v>
      </c>
      <c r="F6879" s="15">
        <f t="shared" si="1"/>
        <v>-0.33</v>
      </c>
      <c r="G6879" s="15">
        <f t="shared" si="2"/>
        <v>3.65</v>
      </c>
      <c r="H6879" s="16">
        <v>0.0</v>
      </c>
      <c r="I6879" s="15">
        <f t="shared" si="3"/>
        <v>-0.33</v>
      </c>
      <c r="J6879" s="15">
        <v>17.87</v>
      </c>
      <c r="K6879" s="16">
        <f>IF(COUNTIFS(Release_Calendar!$A$2:$A$755,"US_CPI",Release_Calendar!$B$2:$B$755,$A6879)&gt;0,1,0)</f>
        <v>0</v>
      </c>
      <c r="L6879" s="16">
        <f>IF(COUNTIFS(Release_Calendar!$A$2:$A$755,"US_NFP",Release_Calendar!$B$2:$B$755,$A6879)&gt;0,1,0)</f>
        <v>0</v>
      </c>
      <c r="M6879" s="16">
        <f>IF($A6879&lt;Notes!$B$5,"",IF(COUNTIFS(Release_Calendar!$A$2:$A$755,"NZ_CPI",Release_Calendar!$B$2:$B$755,$A6879)&gt;0,1,0))</f>
        <v>0</v>
      </c>
      <c r="N6879" s="16">
        <f>IF($A6879&lt;Notes!$B$5,"",IF(COUNTIFS(Release_Calendar!$A$2:$A$755,"NZ_GDP",Release_Calendar!$B$2:$B$755,$A6879)&gt;0,1,0))</f>
        <v>0</v>
      </c>
      <c r="O6879" s="16">
        <f>IF($A6879&lt;Notes!$B$5,"",IF(COUNTIFS(Release_Calendar!$A$2:$A$755,"NZ_LABOUR",Release_Calendar!$B$2:$B$755,$A6879)&gt;0,1,0))</f>
        <v>0</v>
      </c>
      <c r="P6879" s="16">
        <f t="shared" si="4"/>
        <v>0</v>
      </c>
    </row>
    <row r="6880" ht="15.75" customHeight="1">
      <c r="A6880" s="14">
        <v>46156.0</v>
      </c>
      <c r="B6880" s="15">
        <v>4.0</v>
      </c>
      <c r="C6880" s="15">
        <v>3.62</v>
      </c>
      <c r="D6880" s="15"/>
      <c r="E6880" s="15">
        <v>3.68</v>
      </c>
      <c r="F6880" s="15">
        <f t="shared" si="1"/>
        <v>-0.38</v>
      </c>
      <c r="G6880" s="15">
        <f t="shared" si="2"/>
        <v>3.62</v>
      </c>
      <c r="H6880" s="16">
        <v>0.0</v>
      </c>
      <c r="I6880" s="15">
        <f t="shared" si="3"/>
        <v>-0.38</v>
      </c>
      <c r="J6880" s="15">
        <v>17.26</v>
      </c>
      <c r="K6880" s="16">
        <f>IF(COUNTIFS(Release_Calendar!$A$2:$A$755,"US_CPI",Release_Calendar!$B$2:$B$755,$A6880)&gt;0,1,0)</f>
        <v>0</v>
      </c>
      <c r="L6880" s="16">
        <f>IF(COUNTIFS(Release_Calendar!$A$2:$A$755,"US_NFP",Release_Calendar!$B$2:$B$755,$A6880)&gt;0,1,0)</f>
        <v>0</v>
      </c>
      <c r="M6880" s="16">
        <f>IF($A6880&lt;Notes!$B$5,"",IF(COUNTIFS(Release_Calendar!$A$2:$A$755,"NZ_CPI",Release_Calendar!$B$2:$B$755,$A6880)&gt;0,1,0))</f>
        <v>0</v>
      </c>
      <c r="N6880" s="16">
        <f>IF($A6880&lt;Notes!$B$5,"",IF(COUNTIFS(Release_Calendar!$A$2:$A$755,"NZ_GDP",Release_Calendar!$B$2:$B$755,$A6880)&gt;0,1,0))</f>
        <v>0</v>
      </c>
      <c r="O6880" s="16">
        <f>IF($A6880&lt;Notes!$B$5,"",IF(COUNTIFS(Release_Calendar!$A$2:$A$755,"NZ_LABOUR",Release_Calendar!$B$2:$B$755,$A6880)&gt;0,1,0))</f>
        <v>0</v>
      </c>
      <c r="P6880" s="16">
        <f t="shared" si="4"/>
        <v>0</v>
      </c>
    </row>
    <row r="6881" ht="15.75" customHeight="1">
      <c r="A6881" s="14">
        <v>46157.0</v>
      </c>
      <c r="B6881" s="15">
        <v>4.09</v>
      </c>
      <c r="C6881" s="15">
        <v>3.64</v>
      </c>
      <c r="D6881" s="15"/>
      <c r="E6881" s="15">
        <v>3.7</v>
      </c>
      <c r="F6881" s="15">
        <f t="shared" si="1"/>
        <v>-0.45</v>
      </c>
      <c r="G6881" s="15">
        <f t="shared" si="2"/>
        <v>3.64</v>
      </c>
      <c r="H6881" s="16">
        <v>0.0</v>
      </c>
      <c r="I6881" s="15">
        <f t="shared" si="3"/>
        <v>-0.45</v>
      </c>
      <c r="J6881" s="15">
        <v>18.43</v>
      </c>
      <c r="K6881" s="16">
        <f>IF(COUNTIFS(Release_Calendar!$A$2:$A$755,"US_CPI",Release_Calendar!$B$2:$B$755,$A6881)&gt;0,1,0)</f>
        <v>0</v>
      </c>
      <c r="L6881" s="16">
        <f>IF(COUNTIFS(Release_Calendar!$A$2:$A$755,"US_NFP",Release_Calendar!$B$2:$B$755,$A6881)&gt;0,1,0)</f>
        <v>0</v>
      </c>
      <c r="M6881" s="16">
        <f>IF($A6881&lt;Notes!$B$5,"",IF(COUNTIFS(Release_Calendar!$A$2:$A$755,"NZ_CPI",Release_Calendar!$B$2:$B$755,$A6881)&gt;0,1,0))</f>
        <v>0</v>
      </c>
      <c r="N6881" s="16">
        <f>IF($A6881&lt;Notes!$B$5,"",IF(COUNTIFS(Release_Calendar!$A$2:$A$755,"NZ_GDP",Release_Calendar!$B$2:$B$755,$A6881)&gt;0,1,0))</f>
        <v>0</v>
      </c>
      <c r="O6881" s="16">
        <f>IF($A6881&lt;Notes!$B$5,"",IF(COUNTIFS(Release_Calendar!$A$2:$A$755,"NZ_LABOUR",Release_Calendar!$B$2:$B$755,$A6881)&gt;0,1,0))</f>
        <v>0</v>
      </c>
      <c r="P6881" s="16">
        <f t="shared" si="4"/>
        <v>0</v>
      </c>
    </row>
    <row r="6882" ht="15.75" customHeight="1">
      <c r="A6882" s="14">
        <v>46160.0</v>
      </c>
      <c r="B6882" s="15">
        <v>4.07</v>
      </c>
      <c r="C6882" s="15">
        <v>3.67</v>
      </c>
      <c r="D6882" s="15"/>
      <c r="E6882" s="15">
        <v>3.73</v>
      </c>
      <c r="F6882" s="15">
        <f t="shared" si="1"/>
        <v>-0.4</v>
      </c>
      <c r="G6882" s="15">
        <f t="shared" si="2"/>
        <v>3.67</v>
      </c>
      <c r="H6882" s="16">
        <v>0.0</v>
      </c>
      <c r="I6882" s="15">
        <f t="shared" si="3"/>
        <v>-0.4</v>
      </c>
      <c r="J6882" s="15">
        <v>17.82</v>
      </c>
      <c r="K6882" s="16">
        <f>IF(COUNTIFS(Release_Calendar!$A$2:$A$755,"US_CPI",Release_Calendar!$B$2:$B$755,$A6882)&gt;0,1,0)</f>
        <v>0</v>
      </c>
      <c r="L6882" s="16">
        <f>IF(COUNTIFS(Release_Calendar!$A$2:$A$755,"US_NFP",Release_Calendar!$B$2:$B$755,$A6882)&gt;0,1,0)</f>
        <v>0</v>
      </c>
      <c r="M6882" s="16">
        <f>IF($A6882&lt;Notes!$B$5,"",IF(COUNTIFS(Release_Calendar!$A$2:$A$755,"NZ_CPI",Release_Calendar!$B$2:$B$755,$A6882)&gt;0,1,0))</f>
        <v>0</v>
      </c>
      <c r="N6882" s="16">
        <f>IF($A6882&lt;Notes!$B$5,"",IF(COUNTIFS(Release_Calendar!$A$2:$A$755,"NZ_GDP",Release_Calendar!$B$2:$B$755,$A6882)&gt;0,1,0))</f>
        <v>0</v>
      </c>
      <c r="O6882" s="16">
        <f>IF($A6882&lt;Notes!$B$5,"",IF(COUNTIFS(Release_Calendar!$A$2:$A$755,"NZ_LABOUR",Release_Calendar!$B$2:$B$755,$A6882)&gt;0,1,0))</f>
        <v>0</v>
      </c>
      <c r="P6882" s="16">
        <f t="shared" si="4"/>
        <v>0</v>
      </c>
    </row>
    <row r="6883" ht="15.75" customHeight="1">
      <c r="A6883" s="14">
        <v>46161.0</v>
      </c>
      <c r="B6883" s="15">
        <v>4.13</v>
      </c>
      <c r="C6883" s="15">
        <v>3.61</v>
      </c>
      <c r="D6883" s="15"/>
      <c r="E6883" s="15">
        <v>3.66</v>
      </c>
      <c r="F6883" s="15">
        <f t="shared" si="1"/>
        <v>-0.52</v>
      </c>
      <c r="G6883" s="15">
        <f t="shared" si="2"/>
        <v>3.61</v>
      </c>
      <c r="H6883" s="16">
        <v>0.0</v>
      </c>
      <c r="I6883" s="15">
        <f t="shared" si="3"/>
        <v>-0.52</v>
      </c>
      <c r="J6883" s="15">
        <v>18.06</v>
      </c>
      <c r="K6883" s="16">
        <f>IF(COUNTIFS(Release_Calendar!$A$2:$A$755,"US_CPI",Release_Calendar!$B$2:$B$755,$A6883)&gt;0,1,0)</f>
        <v>0</v>
      </c>
      <c r="L6883" s="16">
        <f>IF(COUNTIFS(Release_Calendar!$A$2:$A$755,"US_NFP",Release_Calendar!$B$2:$B$755,$A6883)&gt;0,1,0)</f>
        <v>0</v>
      </c>
      <c r="M6883" s="16">
        <f>IF($A6883&lt;Notes!$B$5,"",IF(COUNTIFS(Release_Calendar!$A$2:$A$755,"NZ_CPI",Release_Calendar!$B$2:$B$755,$A6883)&gt;0,1,0))</f>
        <v>0</v>
      </c>
      <c r="N6883" s="16">
        <f>IF($A6883&lt;Notes!$B$5,"",IF(COUNTIFS(Release_Calendar!$A$2:$A$755,"NZ_GDP",Release_Calendar!$B$2:$B$755,$A6883)&gt;0,1,0))</f>
        <v>0</v>
      </c>
      <c r="O6883" s="16">
        <f>IF($A6883&lt;Notes!$B$5,"",IF(COUNTIFS(Release_Calendar!$A$2:$A$755,"NZ_LABOUR",Release_Calendar!$B$2:$B$755,$A6883)&gt;0,1,0))</f>
        <v>0</v>
      </c>
      <c r="P6883" s="16">
        <f t="shared" si="4"/>
        <v>0</v>
      </c>
    </row>
    <row r="6884" ht="15.75" customHeight="1">
      <c r="A6884" s="14">
        <v>46162.0</v>
      </c>
      <c r="B6884" s="15">
        <v>4.04</v>
      </c>
      <c r="C6884" s="15">
        <v>3.63</v>
      </c>
      <c r="D6884" s="15"/>
      <c r="E6884" s="15">
        <v>3.7</v>
      </c>
      <c r="F6884" s="15">
        <f t="shared" si="1"/>
        <v>-0.41</v>
      </c>
      <c r="G6884" s="15">
        <f t="shared" si="2"/>
        <v>3.63</v>
      </c>
      <c r="H6884" s="16">
        <v>0.0</v>
      </c>
      <c r="I6884" s="15">
        <f t="shared" si="3"/>
        <v>-0.41</v>
      </c>
      <c r="J6884" s="15">
        <v>17.44</v>
      </c>
      <c r="K6884" s="16">
        <f>IF(COUNTIFS(Release_Calendar!$A$2:$A$755,"US_CPI",Release_Calendar!$B$2:$B$755,$A6884)&gt;0,1,0)</f>
        <v>0</v>
      </c>
      <c r="L6884" s="16">
        <f>IF(COUNTIFS(Release_Calendar!$A$2:$A$755,"US_NFP",Release_Calendar!$B$2:$B$755,$A6884)&gt;0,1,0)</f>
        <v>0</v>
      </c>
      <c r="M6884" s="16">
        <f>IF($A6884&lt;Notes!$B$5,"",IF(COUNTIFS(Release_Calendar!$A$2:$A$755,"NZ_CPI",Release_Calendar!$B$2:$B$755,$A6884)&gt;0,1,0))</f>
        <v>0</v>
      </c>
      <c r="N6884" s="16">
        <f>IF($A6884&lt;Notes!$B$5,"",IF(COUNTIFS(Release_Calendar!$A$2:$A$755,"NZ_GDP",Release_Calendar!$B$2:$B$755,$A6884)&gt;0,1,0))</f>
        <v>0</v>
      </c>
      <c r="O6884" s="16">
        <f>IF($A6884&lt;Notes!$B$5,"",IF(COUNTIFS(Release_Calendar!$A$2:$A$755,"NZ_LABOUR",Release_Calendar!$B$2:$B$755,$A6884)&gt;0,1,0))</f>
        <v>0</v>
      </c>
      <c r="P6884" s="16">
        <f t="shared" si="4"/>
        <v>0</v>
      </c>
    </row>
    <row r="6885" ht="15.75" customHeight="1">
      <c r="A6885" s="14">
        <v>46163.0</v>
      </c>
      <c r="B6885" s="15">
        <v>4.08</v>
      </c>
      <c r="C6885" s="15">
        <v>3.56</v>
      </c>
      <c r="D6885" s="15"/>
      <c r="E6885" s="15">
        <v>3.63</v>
      </c>
      <c r="F6885" s="15">
        <f t="shared" si="1"/>
        <v>-0.52</v>
      </c>
      <c r="G6885" s="15">
        <f t="shared" si="2"/>
        <v>3.56</v>
      </c>
      <c r="H6885" s="16">
        <v>0.0</v>
      </c>
      <c r="I6885" s="15">
        <f t="shared" si="3"/>
        <v>-0.52</v>
      </c>
      <c r="J6885" s="15">
        <v>16.76</v>
      </c>
      <c r="K6885" s="16">
        <f>IF(COUNTIFS(Release_Calendar!$A$2:$A$755,"US_CPI",Release_Calendar!$B$2:$B$755,$A6885)&gt;0,1,0)</f>
        <v>0</v>
      </c>
      <c r="L6885" s="16">
        <f>IF(COUNTIFS(Release_Calendar!$A$2:$A$755,"US_NFP",Release_Calendar!$B$2:$B$755,$A6885)&gt;0,1,0)</f>
        <v>0</v>
      </c>
      <c r="M6885" s="16">
        <f>IF($A6885&lt;Notes!$B$5,"",IF(COUNTIFS(Release_Calendar!$A$2:$A$755,"NZ_CPI",Release_Calendar!$B$2:$B$755,$A6885)&gt;0,1,0))</f>
        <v>0</v>
      </c>
      <c r="N6885" s="16">
        <f>IF($A6885&lt;Notes!$B$5,"",IF(COUNTIFS(Release_Calendar!$A$2:$A$755,"NZ_GDP",Release_Calendar!$B$2:$B$755,$A6885)&gt;0,1,0))</f>
        <v>0</v>
      </c>
      <c r="O6885" s="16">
        <f>IF($A6885&lt;Notes!$B$5,"",IF(COUNTIFS(Release_Calendar!$A$2:$A$755,"NZ_LABOUR",Release_Calendar!$B$2:$B$755,$A6885)&gt;0,1,0))</f>
        <v>0</v>
      </c>
      <c r="P6885" s="16">
        <f t="shared" si="4"/>
        <v>0</v>
      </c>
    </row>
    <row r="6886" ht="15.75" customHeight="1">
      <c r="A6886" s="14">
        <v>46164.0</v>
      </c>
      <c r="B6886" s="15">
        <v>4.13</v>
      </c>
      <c r="C6886" s="15">
        <v>3.56</v>
      </c>
      <c r="D6886" s="15"/>
      <c r="E6886" s="15">
        <v>3.61</v>
      </c>
      <c r="F6886" s="15">
        <f t="shared" si="1"/>
        <v>-0.57</v>
      </c>
      <c r="G6886" s="15">
        <f t="shared" si="2"/>
        <v>3.56</v>
      </c>
      <c r="H6886" s="16">
        <v>0.0</v>
      </c>
      <c r="I6886" s="15">
        <f t="shared" si="3"/>
        <v>-0.57</v>
      </c>
      <c r="J6886" s="15">
        <v>16.7</v>
      </c>
      <c r="K6886" s="16">
        <f>IF(COUNTIFS(Release_Calendar!$A$2:$A$755,"US_CPI",Release_Calendar!$B$2:$B$755,$A6886)&gt;0,1,0)</f>
        <v>0</v>
      </c>
      <c r="L6886" s="16">
        <f>IF(COUNTIFS(Release_Calendar!$A$2:$A$755,"US_NFP",Release_Calendar!$B$2:$B$755,$A6886)&gt;0,1,0)</f>
        <v>0</v>
      </c>
      <c r="M6886" s="16">
        <f>IF($A6886&lt;Notes!$B$5,"",IF(COUNTIFS(Release_Calendar!$A$2:$A$755,"NZ_CPI",Release_Calendar!$B$2:$B$755,$A6886)&gt;0,1,0))</f>
        <v>0</v>
      </c>
      <c r="N6886" s="16">
        <f>IF($A6886&lt;Notes!$B$5,"",IF(COUNTIFS(Release_Calendar!$A$2:$A$755,"NZ_GDP",Release_Calendar!$B$2:$B$755,$A6886)&gt;0,1,0))</f>
        <v>0</v>
      </c>
      <c r="O6886" s="16">
        <f>IF($A6886&lt;Notes!$B$5,"",IF(COUNTIFS(Release_Calendar!$A$2:$A$755,"NZ_LABOUR",Release_Calendar!$B$2:$B$755,$A6886)&gt;0,1,0))</f>
        <v>0</v>
      </c>
      <c r="P6886" s="16">
        <f t="shared" si="4"/>
        <v>0</v>
      </c>
    </row>
    <row r="6887" ht="15.75" customHeight="1">
      <c r="A6887" s="14">
        <v>46167.0</v>
      </c>
      <c r="B6887" s="15"/>
      <c r="C6887" s="15">
        <v>3.51</v>
      </c>
      <c r="D6887" s="15"/>
      <c r="E6887" s="15">
        <v>3.56</v>
      </c>
      <c r="F6887" s="15" t="str">
        <f t="shared" si="1"/>
        <v/>
      </c>
      <c r="G6887" s="15">
        <f t="shared" si="2"/>
        <v>3.51</v>
      </c>
      <c r="H6887" s="16">
        <v>0.0</v>
      </c>
      <c r="I6887" s="15" t="str">
        <f t="shared" si="3"/>
        <v/>
      </c>
      <c r="J6887" s="15">
        <v>16.59</v>
      </c>
      <c r="K6887" s="16">
        <f>IF(COUNTIFS(Release_Calendar!$A$2:$A$755,"US_CPI",Release_Calendar!$B$2:$B$755,$A6887)&gt;0,1,0)</f>
        <v>0</v>
      </c>
      <c r="L6887" s="16">
        <f>IF(COUNTIFS(Release_Calendar!$A$2:$A$755,"US_NFP",Release_Calendar!$B$2:$B$755,$A6887)&gt;0,1,0)</f>
        <v>0</v>
      </c>
      <c r="M6887" s="16">
        <f>IF($A6887&lt;Notes!$B$5,"",IF(COUNTIFS(Release_Calendar!$A$2:$A$755,"NZ_CPI",Release_Calendar!$B$2:$B$755,$A6887)&gt;0,1,0))</f>
        <v>0</v>
      </c>
      <c r="N6887" s="16">
        <f>IF($A6887&lt;Notes!$B$5,"",IF(COUNTIFS(Release_Calendar!$A$2:$A$755,"NZ_GDP",Release_Calendar!$B$2:$B$755,$A6887)&gt;0,1,0))</f>
        <v>0</v>
      </c>
      <c r="O6887" s="16">
        <f>IF($A6887&lt;Notes!$B$5,"",IF(COUNTIFS(Release_Calendar!$A$2:$A$755,"NZ_LABOUR",Release_Calendar!$B$2:$B$755,$A6887)&gt;0,1,0))</f>
        <v>0</v>
      </c>
      <c r="P6887" s="16">
        <f t="shared" si="4"/>
        <v>0</v>
      </c>
    </row>
    <row r="6888" ht="15.75" customHeight="1">
      <c r="A6888" s="14">
        <v>46168.0</v>
      </c>
      <c r="B6888" s="15">
        <v>4.01</v>
      </c>
      <c r="C6888" s="15">
        <v>3.45</v>
      </c>
      <c r="D6888" s="15"/>
      <c r="E6888" s="15">
        <v>3.49</v>
      </c>
      <c r="F6888" s="15">
        <f t="shared" si="1"/>
        <v>-0.56</v>
      </c>
      <c r="G6888" s="15">
        <f t="shared" si="2"/>
        <v>3.45</v>
      </c>
      <c r="H6888" s="16">
        <v>0.0</v>
      </c>
      <c r="I6888" s="15">
        <f t="shared" si="3"/>
        <v>-0.56</v>
      </c>
      <c r="J6888" s="15">
        <v>17.01</v>
      </c>
      <c r="K6888" s="16">
        <f>IF(COUNTIFS(Release_Calendar!$A$2:$A$755,"US_CPI",Release_Calendar!$B$2:$B$755,$A6888)&gt;0,1,0)</f>
        <v>0</v>
      </c>
      <c r="L6888" s="16">
        <f>IF(COUNTIFS(Release_Calendar!$A$2:$A$755,"US_NFP",Release_Calendar!$B$2:$B$755,$A6888)&gt;0,1,0)</f>
        <v>0</v>
      </c>
      <c r="M6888" s="16">
        <f>IF($A6888&lt;Notes!$B$5,"",IF(COUNTIFS(Release_Calendar!$A$2:$A$755,"NZ_CPI",Release_Calendar!$B$2:$B$755,$A6888)&gt;0,1,0))</f>
        <v>0</v>
      </c>
      <c r="N6888" s="16">
        <f>IF($A6888&lt;Notes!$B$5,"",IF(COUNTIFS(Release_Calendar!$A$2:$A$755,"NZ_GDP",Release_Calendar!$B$2:$B$755,$A6888)&gt;0,1,0))</f>
        <v>0</v>
      </c>
      <c r="O6888" s="16">
        <f>IF($A6888&lt;Notes!$B$5,"",IF(COUNTIFS(Release_Calendar!$A$2:$A$755,"NZ_LABOUR",Release_Calendar!$B$2:$B$755,$A6888)&gt;0,1,0))</f>
        <v>0</v>
      </c>
      <c r="P6888" s="16">
        <f t="shared" si="4"/>
        <v>0</v>
      </c>
    </row>
    <row r="6889" ht="15.75" customHeight="1">
      <c r="A6889" s="14">
        <v>46169.0</v>
      </c>
      <c r="B6889" s="15">
        <v>4.0</v>
      </c>
      <c r="C6889" s="15">
        <v>3.51</v>
      </c>
      <c r="D6889" s="15"/>
      <c r="E6889" s="15">
        <v>3.54</v>
      </c>
      <c r="F6889" s="15">
        <f t="shared" si="1"/>
        <v>-0.49</v>
      </c>
      <c r="G6889" s="15">
        <f t="shared" si="2"/>
        <v>3.51</v>
      </c>
      <c r="H6889" s="16">
        <v>0.0</v>
      </c>
      <c r="I6889" s="15">
        <f t="shared" si="3"/>
        <v>-0.49</v>
      </c>
      <c r="J6889" s="15">
        <v>16.29</v>
      </c>
      <c r="K6889" s="16">
        <f>IF(COUNTIFS(Release_Calendar!$A$2:$A$755,"US_CPI",Release_Calendar!$B$2:$B$755,$A6889)&gt;0,1,0)</f>
        <v>0</v>
      </c>
      <c r="L6889" s="16">
        <f>IF(COUNTIFS(Release_Calendar!$A$2:$A$755,"US_NFP",Release_Calendar!$B$2:$B$755,$A6889)&gt;0,1,0)</f>
        <v>0</v>
      </c>
      <c r="M6889" s="16">
        <f>IF($A6889&lt;Notes!$B$5,"",IF(COUNTIFS(Release_Calendar!$A$2:$A$755,"NZ_CPI",Release_Calendar!$B$2:$B$755,$A6889)&gt;0,1,0))</f>
        <v>0</v>
      </c>
      <c r="N6889" s="16">
        <f>IF($A6889&lt;Notes!$B$5,"",IF(COUNTIFS(Release_Calendar!$A$2:$A$755,"NZ_GDP",Release_Calendar!$B$2:$B$755,$A6889)&gt;0,1,0))</f>
        <v>0</v>
      </c>
      <c r="O6889" s="16">
        <f>IF($A6889&lt;Notes!$B$5,"",IF(COUNTIFS(Release_Calendar!$A$2:$A$755,"NZ_LABOUR",Release_Calendar!$B$2:$B$755,$A6889)&gt;0,1,0))</f>
        <v>0</v>
      </c>
      <c r="P6889" s="16">
        <f t="shared" si="4"/>
        <v>0</v>
      </c>
    </row>
    <row r="6890" ht="15.75" customHeight="1">
      <c r="A6890" s="14">
        <v>46170.0</v>
      </c>
      <c r="B6890" s="15">
        <v>3.99</v>
      </c>
      <c r="C6890" s="15">
        <v>3.56</v>
      </c>
      <c r="D6890" s="15"/>
      <c r="E6890" s="15">
        <v>3.56</v>
      </c>
      <c r="F6890" s="15">
        <f t="shared" si="1"/>
        <v>-0.43</v>
      </c>
      <c r="G6890" s="15">
        <f t="shared" si="2"/>
        <v>3.56</v>
      </c>
      <c r="H6890" s="16">
        <v>0.0</v>
      </c>
      <c r="I6890" s="15">
        <f t="shared" si="3"/>
        <v>-0.43</v>
      </c>
      <c r="J6890" s="15">
        <v>15.74</v>
      </c>
      <c r="K6890" s="16">
        <f>IF(COUNTIFS(Release_Calendar!$A$2:$A$755,"US_CPI",Release_Calendar!$B$2:$B$755,$A6890)&gt;0,1,0)</f>
        <v>0</v>
      </c>
      <c r="L6890" s="16">
        <f>IF(COUNTIFS(Release_Calendar!$A$2:$A$755,"US_NFP",Release_Calendar!$B$2:$B$755,$A6890)&gt;0,1,0)</f>
        <v>0</v>
      </c>
      <c r="M6890" s="16">
        <f>IF($A6890&lt;Notes!$B$5,"",IF(COUNTIFS(Release_Calendar!$A$2:$A$755,"NZ_CPI",Release_Calendar!$B$2:$B$755,$A6890)&gt;0,1,0))</f>
        <v>0</v>
      </c>
      <c r="N6890" s="16">
        <f>IF($A6890&lt;Notes!$B$5,"",IF(COUNTIFS(Release_Calendar!$A$2:$A$755,"NZ_GDP",Release_Calendar!$B$2:$B$755,$A6890)&gt;0,1,0))</f>
        <v>0</v>
      </c>
      <c r="O6890" s="16">
        <f>IF($A6890&lt;Notes!$B$5,"",IF(COUNTIFS(Release_Calendar!$A$2:$A$755,"NZ_LABOUR",Release_Calendar!$B$2:$B$755,$A6890)&gt;0,1,0))</f>
        <v>0</v>
      </c>
      <c r="P6890" s="16">
        <f t="shared" si="4"/>
        <v>0</v>
      </c>
    </row>
    <row r="6891" ht="15.75" customHeight="1">
      <c r="A6891" s="14">
        <v>46171.0</v>
      </c>
      <c r="B6891" s="15">
        <v>3.98</v>
      </c>
      <c r="C6891" s="15">
        <v>3.51</v>
      </c>
      <c r="D6891" s="15"/>
      <c r="E6891" s="15">
        <v>3.52</v>
      </c>
      <c r="F6891" s="15">
        <f t="shared" si="1"/>
        <v>-0.47</v>
      </c>
      <c r="G6891" s="15">
        <f t="shared" si="2"/>
        <v>3.51</v>
      </c>
      <c r="H6891" s="16">
        <v>0.0</v>
      </c>
      <c r="I6891" s="15">
        <f t="shared" si="3"/>
        <v>-0.47</v>
      </c>
      <c r="J6891" s="15">
        <v>15.32</v>
      </c>
      <c r="K6891" s="16">
        <f>IF(COUNTIFS(Release_Calendar!$A$2:$A$755,"US_CPI",Release_Calendar!$B$2:$B$755,$A6891)&gt;0,1,0)</f>
        <v>0</v>
      </c>
      <c r="L6891" s="16">
        <f>IF(COUNTIFS(Release_Calendar!$A$2:$A$755,"US_NFP",Release_Calendar!$B$2:$B$755,$A6891)&gt;0,1,0)</f>
        <v>0</v>
      </c>
      <c r="M6891" s="16">
        <f>IF($A6891&lt;Notes!$B$5,"",IF(COUNTIFS(Release_Calendar!$A$2:$A$755,"NZ_CPI",Release_Calendar!$B$2:$B$755,$A6891)&gt;0,1,0))</f>
        <v>0</v>
      </c>
      <c r="N6891" s="16">
        <f>IF($A6891&lt;Notes!$B$5,"",IF(COUNTIFS(Release_Calendar!$A$2:$A$755,"NZ_GDP",Release_Calendar!$B$2:$B$755,$A6891)&gt;0,1,0))</f>
        <v>0</v>
      </c>
      <c r="O6891" s="16">
        <f>IF($A6891&lt;Notes!$B$5,"",IF(COUNTIFS(Release_Calendar!$A$2:$A$755,"NZ_LABOUR",Release_Calendar!$B$2:$B$755,$A6891)&gt;0,1,0))</f>
        <v>0</v>
      </c>
      <c r="P6891" s="16">
        <f t="shared" si="4"/>
        <v>0</v>
      </c>
    </row>
    <row r="6892" ht="15.75" customHeight="1">
      <c r="A6892" s="14">
        <v>46174.0</v>
      </c>
      <c r="B6892" s="15">
        <v>4.05</v>
      </c>
      <c r="C6892" s="15"/>
      <c r="D6892" s="15"/>
      <c r="E6892" s="15"/>
      <c r="F6892" s="15" t="str">
        <f t="shared" si="1"/>
        <v/>
      </c>
      <c r="G6892" s="15" t="str">
        <f t="shared" si="2"/>
        <v/>
      </c>
      <c r="H6892" s="16">
        <v>0.0</v>
      </c>
      <c r="I6892" s="15" t="str">
        <f t="shared" si="3"/>
        <v/>
      </c>
      <c r="J6892" s="15">
        <v>16.05</v>
      </c>
      <c r="K6892" s="16">
        <f>IF(COUNTIFS(Release_Calendar!$A$2:$A$755,"US_CPI",Release_Calendar!$B$2:$B$755,$A6892)&gt;0,1,0)</f>
        <v>0</v>
      </c>
      <c r="L6892" s="16">
        <f>IF(COUNTIFS(Release_Calendar!$A$2:$A$755,"US_NFP",Release_Calendar!$B$2:$B$755,$A6892)&gt;0,1,0)</f>
        <v>0</v>
      </c>
      <c r="M6892" s="16">
        <f>IF($A6892&lt;Notes!$B$5,"",IF(COUNTIFS(Release_Calendar!$A$2:$A$755,"NZ_CPI",Release_Calendar!$B$2:$B$755,$A6892)&gt;0,1,0))</f>
        <v>0</v>
      </c>
      <c r="N6892" s="16">
        <f>IF($A6892&lt;Notes!$B$5,"",IF(COUNTIFS(Release_Calendar!$A$2:$A$755,"NZ_GDP",Release_Calendar!$B$2:$B$755,$A6892)&gt;0,1,0))</f>
        <v>0</v>
      </c>
      <c r="O6892" s="16">
        <f>IF($A6892&lt;Notes!$B$5,"",IF(COUNTIFS(Release_Calendar!$A$2:$A$755,"NZ_LABOUR",Release_Calendar!$B$2:$B$755,$A6892)&gt;0,1,0))</f>
        <v>0</v>
      </c>
      <c r="P6892" s="16">
        <f t="shared" si="4"/>
        <v>0</v>
      </c>
    </row>
    <row r="6893" ht="15.75" customHeight="1">
      <c r="A6893" s="14">
        <v>46175.0</v>
      </c>
      <c r="B6893" s="15">
        <v>4.05</v>
      </c>
      <c r="C6893" s="15">
        <v>3.51</v>
      </c>
      <c r="D6893" s="15"/>
      <c r="E6893" s="15">
        <v>3.52</v>
      </c>
      <c r="F6893" s="15">
        <f t="shared" si="1"/>
        <v>-0.54</v>
      </c>
      <c r="G6893" s="15">
        <f t="shared" si="2"/>
        <v>3.51</v>
      </c>
      <c r="H6893" s="16">
        <v>0.0</v>
      </c>
      <c r="I6893" s="15">
        <f t="shared" si="3"/>
        <v>-0.54</v>
      </c>
      <c r="J6893" s="15">
        <v>15.77</v>
      </c>
      <c r="K6893" s="16">
        <f>IF(COUNTIFS(Release_Calendar!$A$2:$A$755,"US_CPI",Release_Calendar!$B$2:$B$755,$A6893)&gt;0,1,0)</f>
        <v>0</v>
      </c>
      <c r="L6893" s="16">
        <f>IF(COUNTIFS(Release_Calendar!$A$2:$A$755,"US_NFP",Release_Calendar!$B$2:$B$755,$A6893)&gt;0,1,0)</f>
        <v>0</v>
      </c>
      <c r="M6893" s="16">
        <f>IF($A6893&lt;Notes!$B$5,"",IF(COUNTIFS(Release_Calendar!$A$2:$A$755,"NZ_CPI",Release_Calendar!$B$2:$B$755,$A6893)&gt;0,1,0))</f>
        <v>0</v>
      </c>
      <c r="N6893" s="16">
        <f>IF($A6893&lt;Notes!$B$5,"",IF(COUNTIFS(Release_Calendar!$A$2:$A$755,"NZ_GDP",Release_Calendar!$B$2:$B$755,$A6893)&gt;0,1,0))</f>
        <v>0</v>
      </c>
      <c r="O6893" s="16">
        <f>IF($A6893&lt;Notes!$B$5,"",IF(COUNTIFS(Release_Calendar!$A$2:$A$755,"NZ_LABOUR",Release_Calendar!$B$2:$B$755,$A6893)&gt;0,1,0))</f>
        <v>0</v>
      </c>
      <c r="P6893" s="16">
        <f t="shared" si="4"/>
        <v>0</v>
      </c>
    </row>
    <row r="6894" ht="15.75" customHeight="1">
      <c r="A6894" s="14">
        <v>46176.0</v>
      </c>
      <c r="B6894" s="15">
        <v>4.08</v>
      </c>
      <c r="C6894" s="15">
        <v>3.48</v>
      </c>
      <c r="D6894" s="15"/>
      <c r="E6894" s="15">
        <v>3.5</v>
      </c>
      <c r="F6894" s="15">
        <f t="shared" si="1"/>
        <v>-0.6</v>
      </c>
      <c r="G6894" s="15">
        <f t="shared" si="2"/>
        <v>3.48</v>
      </c>
      <c r="H6894" s="16">
        <v>0.0</v>
      </c>
      <c r="I6894" s="15">
        <f t="shared" si="3"/>
        <v>-0.6</v>
      </c>
      <c r="J6894" s="15">
        <v>16.06</v>
      </c>
      <c r="K6894" s="16">
        <f>IF(COUNTIFS(Release_Calendar!$A$2:$A$755,"US_CPI",Release_Calendar!$B$2:$B$755,$A6894)&gt;0,1,0)</f>
        <v>0</v>
      </c>
      <c r="L6894" s="16">
        <f>IF(COUNTIFS(Release_Calendar!$A$2:$A$755,"US_NFP",Release_Calendar!$B$2:$B$755,$A6894)&gt;0,1,0)</f>
        <v>0</v>
      </c>
      <c r="M6894" s="16">
        <f>IF($A6894&lt;Notes!$B$5,"",IF(COUNTIFS(Release_Calendar!$A$2:$A$755,"NZ_CPI",Release_Calendar!$B$2:$B$755,$A6894)&gt;0,1,0))</f>
        <v>0</v>
      </c>
      <c r="N6894" s="16">
        <f>IF($A6894&lt;Notes!$B$5,"",IF(COUNTIFS(Release_Calendar!$A$2:$A$755,"NZ_GDP",Release_Calendar!$B$2:$B$755,$A6894)&gt;0,1,0))</f>
        <v>0</v>
      </c>
      <c r="O6894" s="16">
        <f>IF($A6894&lt;Notes!$B$5,"",IF(COUNTIFS(Release_Calendar!$A$2:$A$755,"NZ_LABOUR",Release_Calendar!$B$2:$B$755,$A6894)&gt;0,1,0))</f>
        <v>0</v>
      </c>
      <c r="P6894" s="16">
        <f t="shared" si="4"/>
        <v>0</v>
      </c>
    </row>
    <row r="6895" ht="15.75" customHeight="1">
      <c r="A6895" s="14">
        <v>46177.0</v>
      </c>
      <c r="B6895" s="15">
        <v>4.05</v>
      </c>
      <c r="C6895" s="15">
        <v>3.48</v>
      </c>
      <c r="D6895" s="15"/>
      <c r="E6895" s="15">
        <v>3.48</v>
      </c>
      <c r="F6895" s="15">
        <f t="shared" si="1"/>
        <v>-0.57</v>
      </c>
      <c r="G6895" s="15">
        <f t="shared" si="2"/>
        <v>3.48</v>
      </c>
      <c r="H6895" s="16">
        <v>0.0</v>
      </c>
      <c r="I6895" s="15">
        <f t="shared" si="3"/>
        <v>-0.57</v>
      </c>
      <c r="J6895" s="15">
        <v>15.4</v>
      </c>
      <c r="K6895" s="16">
        <f>IF(COUNTIFS(Release_Calendar!$A$2:$A$755,"US_CPI",Release_Calendar!$B$2:$B$755,$A6895)&gt;0,1,0)</f>
        <v>0</v>
      </c>
      <c r="L6895" s="16">
        <f>IF(COUNTIFS(Release_Calendar!$A$2:$A$755,"US_NFP",Release_Calendar!$B$2:$B$755,$A6895)&gt;0,1,0)</f>
        <v>0</v>
      </c>
      <c r="M6895" s="16">
        <f>IF($A6895&lt;Notes!$B$5,"",IF(COUNTIFS(Release_Calendar!$A$2:$A$755,"NZ_CPI",Release_Calendar!$B$2:$B$755,$A6895)&gt;0,1,0))</f>
        <v>0</v>
      </c>
      <c r="N6895" s="16">
        <f>IF($A6895&lt;Notes!$B$5,"",IF(COUNTIFS(Release_Calendar!$A$2:$A$755,"NZ_GDP",Release_Calendar!$B$2:$B$755,$A6895)&gt;0,1,0))</f>
        <v>0</v>
      </c>
      <c r="O6895" s="16">
        <f>IF($A6895&lt;Notes!$B$5,"",IF(COUNTIFS(Release_Calendar!$A$2:$A$755,"NZ_LABOUR",Release_Calendar!$B$2:$B$755,$A6895)&gt;0,1,0))</f>
        <v>0</v>
      </c>
      <c r="P6895" s="16">
        <f t="shared" si="4"/>
        <v>0</v>
      </c>
    </row>
    <row r="6896" ht="15.75" customHeight="1">
      <c r="A6896" s="14">
        <v>46178.0</v>
      </c>
      <c r="B6896" s="15">
        <v>4.17</v>
      </c>
      <c r="C6896" s="15">
        <v>3.47</v>
      </c>
      <c r="D6896" s="15"/>
      <c r="E6896" s="15">
        <v>3.47</v>
      </c>
      <c r="F6896" s="15">
        <f t="shared" si="1"/>
        <v>-0.7</v>
      </c>
      <c r="G6896" s="15">
        <f t="shared" si="2"/>
        <v>3.47</v>
      </c>
      <c r="H6896" s="16">
        <v>0.0</v>
      </c>
      <c r="I6896" s="15">
        <f t="shared" si="3"/>
        <v>-0.7</v>
      </c>
      <c r="J6896" s="15">
        <v>21.51</v>
      </c>
      <c r="K6896" s="16">
        <f>IF(COUNTIFS(Release_Calendar!$A$2:$A$755,"US_CPI",Release_Calendar!$B$2:$B$755,$A6896)&gt;0,1,0)</f>
        <v>0</v>
      </c>
      <c r="L6896" s="16">
        <f>IF(COUNTIFS(Release_Calendar!$A$2:$A$755,"US_NFP",Release_Calendar!$B$2:$B$755,$A6896)&gt;0,1,0)</f>
        <v>1</v>
      </c>
      <c r="M6896" s="16">
        <f>IF($A6896&lt;Notes!$B$5,"",IF(COUNTIFS(Release_Calendar!$A$2:$A$755,"NZ_CPI",Release_Calendar!$B$2:$B$755,$A6896)&gt;0,1,0))</f>
        <v>0</v>
      </c>
      <c r="N6896" s="16">
        <f>IF($A6896&lt;Notes!$B$5,"",IF(COUNTIFS(Release_Calendar!$A$2:$A$755,"NZ_GDP",Release_Calendar!$B$2:$B$755,$A6896)&gt;0,1,0))</f>
        <v>0</v>
      </c>
      <c r="O6896" s="16">
        <f>IF($A6896&lt;Notes!$B$5,"",IF(COUNTIFS(Release_Calendar!$A$2:$A$755,"NZ_LABOUR",Release_Calendar!$B$2:$B$755,$A6896)&gt;0,1,0))</f>
        <v>0</v>
      </c>
      <c r="P6896" s="16">
        <f t="shared" si="4"/>
        <v>1</v>
      </c>
    </row>
    <row r="6897" ht="15.75" customHeight="1">
      <c r="A6897" s="14">
        <v>46181.0</v>
      </c>
      <c r="B6897" s="15">
        <v>4.15</v>
      </c>
      <c r="C6897" s="15">
        <v>3.54</v>
      </c>
      <c r="D6897" s="15"/>
      <c r="E6897" s="15">
        <v>3.54</v>
      </c>
      <c r="F6897" s="15">
        <f t="shared" si="1"/>
        <v>-0.61</v>
      </c>
      <c r="G6897" s="15">
        <f t="shared" si="2"/>
        <v>3.54</v>
      </c>
      <c r="H6897" s="16">
        <v>0.0</v>
      </c>
      <c r="I6897" s="15">
        <f t="shared" si="3"/>
        <v>-0.61</v>
      </c>
      <c r="J6897" s="15">
        <v>18.92</v>
      </c>
      <c r="K6897" s="16">
        <f>IF(COUNTIFS(Release_Calendar!$A$2:$A$755,"US_CPI",Release_Calendar!$B$2:$B$755,$A6897)&gt;0,1,0)</f>
        <v>0</v>
      </c>
      <c r="L6897" s="16">
        <f>IF(COUNTIFS(Release_Calendar!$A$2:$A$755,"US_NFP",Release_Calendar!$B$2:$B$755,$A6897)&gt;0,1,0)</f>
        <v>0</v>
      </c>
      <c r="M6897" s="16">
        <f>IF($A6897&lt;Notes!$B$5,"",IF(COUNTIFS(Release_Calendar!$A$2:$A$755,"NZ_CPI",Release_Calendar!$B$2:$B$755,$A6897)&gt;0,1,0))</f>
        <v>0</v>
      </c>
      <c r="N6897" s="16">
        <f>IF($A6897&lt;Notes!$B$5,"",IF(COUNTIFS(Release_Calendar!$A$2:$A$755,"NZ_GDP",Release_Calendar!$B$2:$B$755,$A6897)&gt;0,1,0))</f>
        <v>0</v>
      </c>
      <c r="O6897" s="16">
        <f>IF($A6897&lt;Notes!$B$5,"",IF(COUNTIFS(Release_Calendar!$A$2:$A$755,"NZ_LABOUR",Release_Calendar!$B$2:$B$755,$A6897)&gt;0,1,0))</f>
        <v>0</v>
      </c>
      <c r="P6897" s="16">
        <f t="shared" si="4"/>
        <v>0</v>
      </c>
    </row>
    <row r="6898" ht="15.75" customHeight="1">
      <c r="A6898" s="14">
        <v>46182.0</v>
      </c>
      <c r="B6898" s="15">
        <v>4.13</v>
      </c>
      <c r="C6898" s="15">
        <v>3.5</v>
      </c>
      <c r="D6898" s="15"/>
      <c r="E6898" s="15">
        <v>3.49</v>
      </c>
      <c r="F6898" s="15">
        <f t="shared" si="1"/>
        <v>-0.63</v>
      </c>
      <c r="G6898" s="15">
        <f t="shared" si="2"/>
        <v>3.5</v>
      </c>
      <c r="H6898" s="16">
        <v>0.0</v>
      </c>
      <c r="I6898" s="15">
        <f t="shared" si="3"/>
        <v>-0.63</v>
      </c>
      <c r="J6898" s="15">
        <v>19.87</v>
      </c>
      <c r="K6898" s="16">
        <f>IF(COUNTIFS(Release_Calendar!$A$2:$A$755,"US_CPI",Release_Calendar!$B$2:$B$755,$A6898)&gt;0,1,0)</f>
        <v>0</v>
      </c>
      <c r="L6898" s="16">
        <f>IF(COUNTIFS(Release_Calendar!$A$2:$A$755,"US_NFP",Release_Calendar!$B$2:$B$755,$A6898)&gt;0,1,0)</f>
        <v>0</v>
      </c>
      <c r="M6898" s="16">
        <f>IF($A6898&lt;Notes!$B$5,"",IF(COUNTIFS(Release_Calendar!$A$2:$A$755,"NZ_CPI",Release_Calendar!$B$2:$B$755,$A6898)&gt;0,1,0))</f>
        <v>0</v>
      </c>
      <c r="N6898" s="16">
        <f>IF($A6898&lt;Notes!$B$5,"",IF(COUNTIFS(Release_Calendar!$A$2:$A$755,"NZ_GDP",Release_Calendar!$B$2:$B$755,$A6898)&gt;0,1,0))</f>
        <v>0</v>
      </c>
      <c r="O6898" s="16">
        <f>IF($A6898&lt;Notes!$B$5,"",IF(COUNTIFS(Release_Calendar!$A$2:$A$755,"NZ_LABOUR",Release_Calendar!$B$2:$B$755,$A6898)&gt;0,1,0))</f>
        <v>0</v>
      </c>
      <c r="P6898" s="16">
        <f t="shared" si="4"/>
        <v>0</v>
      </c>
    </row>
    <row r="6899" ht="15.75" customHeight="1">
      <c r="A6899" s="14">
        <v>46183.0</v>
      </c>
      <c r="B6899" s="15">
        <v>4.13</v>
      </c>
      <c r="C6899" s="15">
        <v>3.48</v>
      </c>
      <c r="D6899" s="15"/>
      <c r="E6899" s="15">
        <v>3.48</v>
      </c>
      <c r="F6899" s="15">
        <f t="shared" si="1"/>
        <v>-0.65</v>
      </c>
      <c r="G6899" s="15">
        <f t="shared" si="2"/>
        <v>3.48</v>
      </c>
      <c r="H6899" s="16">
        <v>0.0</v>
      </c>
      <c r="I6899" s="15">
        <f t="shared" si="3"/>
        <v>-0.65</v>
      </c>
      <c r="J6899" s="15">
        <v>22.22</v>
      </c>
      <c r="K6899" s="16">
        <f>IF(COUNTIFS(Release_Calendar!$A$2:$A$755,"US_CPI",Release_Calendar!$B$2:$B$755,$A6899)&gt;0,1,0)</f>
        <v>1</v>
      </c>
      <c r="L6899" s="16">
        <f>IF(COUNTIFS(Release_Calendar!$A$2:$A$755,"US_NFP",Release_Calendar!$B$2:$B$755,$A6899)&gt;0,1,0)</f>
        <v>0</v>
      </c>
      <c r="M6899" s="16">
        <f>IF($A6899&lt;Notes!$B$5,"",IF(COUNTIFS(Release_Calendar!$A$2:$A$755,"NZ_CPI",Release_Calendar!$B$2:$B$755,$A6899)&gt;0,1,0))</f>
        <v>0</v>
      </c>
      <c r="N6899" s="16">
        <f>IF($A6899&lt;Notes!$B$5,"",IF(COUNTIFS(Release_Calendar!$A$2:$A$755,"NZ_GDP",Release_Calendar!$B$2:$B$755,$A6899)&gt;0,1,0))</f>
        <v>0</v>
      </c>
      <c r="O6899" s="16">
        <f>IF($A6899&lt;Notes!$B$5,"",IF(COUNTIFS(Release_Calendar!$A$2:$A$755,"NZ_LABOUR",Release_Calendar!$B$2:$B$755,$A6899)&gt;0,1,0))</f>
        <v>0</v>
      </c>
      <c r="P6899" s="16">
        <f t="shared" si="4"/>
        <v>1</v>
      </c>
    </row>
    <row r="6900" ht="15.75" customHeight="1">
      <c r="A6900" s="14">
        <v>46184.0</v>
      </c>
      <c r="B6900" s="15">
        <v>4.05</v>
      </c>
      <c r="C6900" s="15">
        <v>3.48</v>
      </c>
      <c r="D6900" s="15"/>
      <c r="E6900" s="15">
        <v>3.49</v>
      </c>
      <c r="F6900" s="15">
        <f t="shared" si="1"/>
        <v>-0.57</v>
      </c>
      <c r="G6900" s="15">
        <f t="shared" si="2"/>
        <v>3.48</v>
      </c>
      <c r="H6900" s="16">
        <v>0.0</v>
      </c>
      <c r="I6900" s="15">
        <f t="shared" si="3"/>
        <v>-0.57</v>
      </c>
      <c r="J6900" s="15">
        <v>19.44</v>
      </c>
      <c r="K6900" s="16">
        <f>IF(COUNTIFS(Release_Calendar!$A$2:$A$755,"US_CPI",Release_Calendar!$B$2:$B$755,$A6900)&gt;0,1,0)</f>
        <v>0</v>
      </c>
      <c r="L6900" s="16">
        <f>IF(COUNTIFS(Release_Calendar!$A$2:$A$755,"US_NFP",Release_Calendar!$B$2:$B$755,$A6900)&gt;0,1,0)</f>
        <v>0</v>
      </c>
      <c r="M6900" s="16">
        <f>IF($A6900&lt;Notes!$B$5,"",IF(COUNTIFS(Release_Calendar!$A$2:$A$755,"NZ_CPI",Release_Calendar!$B$2:$B$755,$A6900)&gt;0,1,0))</f>
        <v>0</v>
      </c>
      <c r="N6900" s="16">
        <f>IF($A6900&lt;Notes!$B$5,"",IF(COUNTIFS(Release_Calendar!$A$2:$A$755,"NZ_GDP",Release_Calendar!$B$2:$B$755,$A6900)&gt;0,1,0))</f>
        <v>0</v>
      </c>
      <c r="O6900" s="16">
        <f>IF($A6900&lt;Notes!$B$5,"",IF(COUNTIFS(Release_Calendar!$A$2:$A$755,"NZ_LABOUR",Release_Calendar!$B$2:$B$755,$A6900)&gt;0,1,0))</f>
        <v>0</v>
      </c>
      <c r="P6900" s="16">
        <f t="shared" si="4"/>
        <v>0</v>
      </c>
    </row>
    <row r="6901" ht="15.75" customHeight="1">
      <c r="A6901" s="14">
        <v>46185.0</v>
      </c>
      <c r="B6901" s="15">
        <v>4.09</v>
      </c>
      <c r="C6901" s="15">
        <v>3.4</v>
      </c>
      <c r="D6901" s="15"/>
      <c r="E6901" s="15">
        <v>3.41</v>
      </c>
      <c r="F6901" s="15">
        <f t="shared" si="1"/>
        <v>-0.69</v>
      </c>
      <c r="G6901" s="15">
        <f t="shared" si="2"/>
        <v>3.4</v>
      </c>
      <c r="H6901" s="16">
        <v>0.0</v>
      </c>
      <c r="I6901" s="15">
        <f t="shared" si="3"/>
        <v>-0.69</v>
      </c>
      <c r="J6901" s="15">
        <v>17.68</v>
      </c>
      <c r="K6901" s="16">
        <f>IF(COUNTIFS(Release_Calendar!$A$2:$A$755,"US_CPI",Release_Calendar!$B$2:$B$755,$A6901)&gt;0,1,0)</f>
        <v>0</v>
      </c>
      <c r="L6901" s="16">
        <f>IF(COUNTIFS(Release_Calendar!$A$2:$A$755,"US_NFP",Release_Calendar!$B$2:$B$755,$A6901)&gt;0,1,0)</f>
        <v>0</v>
      </c>
      <c r="M6901" s="16">
        <f>IF($A6901&lt;Notes!$B$5,"",IF(COUNTIFS(Release_Calendar!$A$2:$A$755,"NZ_CPI",Release_Calendar!$B$2:$B$755,$A6901)&gt;0,1,0))</f>
        <v>0</v>
      </c>
      <c r="N6901" s="16">
        <f>IF($A6901&lt;Notes!$B$5,"",IF(COUNTIFS(Release_Calendar!$A$2:$A$755,"NZ_GDP",Release_Calendar!$B$2:$B$755,$A6901)&gt;0,1,0))</f>
        <v>0</v>
      </c>
      <c r="O6901" s="16">
        <f>IF($A6901&lt;Notes!$B$5,"",IF(COUNTIFS(Release_Calendar!$A$2:$A$755,"NZ_LABOUR",Release_Calendar!$B$2:$B$755,$A6901)&gt;0,1,0))</f>
        <v>0</v>
      </c>
      <c r="P6901" s="16">
        <f t="shared" si="4"/>
        <v>0</v>
      </c>
    </row>
    <row r="6902" ht="15.75" customHeight="1">
      <c r="A6902" s="14">
        <v>46188.0</v>
      </c>
      <c r="B6902" s="15">
        <v>4.07</v>
      </c>
      <c r="C6902" s="15">
        <v>3.33</v>
      </c>
      <c r="D6902" s="15"/>
      <c r="E6902" s="15">
        <v>3.34</v>
      </c>
      <c r="F6902" s="15">
        <f t="shared" si="1"/>
        <v>-0.74</v>
      </c>
      <c r="G6902" s="15">
        <f t="shared" si="2"/>
        <v>3.33</v>
      </c>
      <c r="H6902" s="16">
        <v>0.0</v>
      </c>
      <c r="I6902" s="15">
        <f t="shared" si="3"/>
        <v>-0.74</v>
      </c>
      <c r="J6902" s="15">
        <v>16.2</v>
      </c>
      <c r="K6902" s="16">
        <f>IF(COUNTIFS(Release_Calendar!$A$2:$A$755,"US_CPI",Release_Calendar!$B$2:$B$755,$A6902)&gt;0,1,0)</f>
        <v>0</v>
      </c>
      <c r="L6902" s="16">
        <f>IF(COUNTIFS(Release_Calendar!$A$2:$A$755,"US_NFP",Release_Calendar!$B$2:$B$755,$A6902)&gt;0,1,0)</f>
        <v>0</v>
      </c>
      <c r="M6902" s="16">
        <f>IF($A6902&lt;Notes!$B$5,"",IF(COUNTIFS(Release_Calendar!$A$2:$A$755,"NZ_CPI",Release_Calendar!$B$2:$B$755,$A6902)&gt;0,1,0))</f>
        <v>0</v>
      </c>
      <c r="N6902" s="16">
        <f>IF($A6902&lt;Notes!$B$5,"",IF(COUNTIFS(Release_Calendar!$A$2:$A$755,"NZ_GDP",Release_Calendar!$B$2:$B$755,$A6902)&gt;0,1,0))</f>
        <v>0</v>
      </c>
      <c r="O6902" s="16">
        <f>IF($A6902&lt;Notes!$B$5,"",IF(COUNTIFS(Release_Calendar!$A$2:$A$755,"NZ_LABOUR",Release_Calendar!$B$2:$B$755,$A6902)&gt;0,1,0))</f>
        <v>0</v>
      </c>
      <c r="P6902" s="16">
        <f t="shared" si="4"/>
        <v>0</v>
      </c>
    </row>
    <row r="6903" ht="15.75" customHeight="1">
      <c r="A6903" s="14">
        <v>46189.0</v>
      </c>
      <c r="B6903" s="15">
        <v>4.05</v>
      </c>
      <c r="C6903" s="15">
        <v>3.31</v>
      </c>
      <c r="D6903" s="15"/>
      <c r="E6903" s="15">
        <v>3.31</v>
      </c>
      <c r="F6903" s="15">
        <f t="shared" si="1"/>
        <v>-0.74</v>
      </c>
      <c r="G6903" s="15">
        <f t="shared" si="2"/>
        <v>3.31</v>
      </c>
      <c r="H6903" s="16">
        <v>0.0</v>
      </c>
      <c r="I6903" s="15">
        <f t="shared" si="3"/>
        <v>-0.74</v>
      </c>
      <c r="J6903" s="15">
        <v>16.41</v>
      </c>
      <c r="K6903" s="16">
        <f>IF(COUNTIFS(Release_Calendar!$A$2:$A$755,"US_CPI",Release_Calendar!$B$2:$B$755,$A6903)&gt;0,1,0)</f>
        <v>0</v>
      </c>
      <c r="L6903" s="16">
        <f>IF(COUNTIFS(Release_Calendar!$A$2:$A$755,"US_NFP",Release_Calendar!$B$2:$B$755,$A6903)&gt;0,1,0)</f>
        <v>0</v>
      </c>
      <c r="M6903" s="16">
        <f>IF($A6903&lt;Notes!$B$5,"",IF(COUNTIFS(Release_Calendar!$A$2:$A$755,"NZ_CPI",Release_Calendar!$B$2:$B$755,$A6903)&gt;0,1,0))</f>
        <v>0</v>
      </c>
      <c r="N6903" s="16">
        <f>IF($A6903&lt;Notes!$B$5,"",IF(COUNTIFS(Release_Calendar!$A$2:$A$755,"NZ_GDP",Release_Calendar!$B$2:$B$755,$A6903)&gt;0,1,0))</f>
        <v>0</v>
      </c>
      <c r="O6903" s="16">
        <f>IF($A6903&lt;Notes!$B$5,"",IF(COUNTIFS(Release_Calendar!$A$2:$A$755,"NZ_LABOUR",Release_Calendar!$B$2:$B$755,$A6903)&gt;0,1,0))</f>
        <v>0</v>
      </c>
      <c r="P6903" s="16">
        <f t="shared" si="4"/>
        <v>0</v>
      </c>
    </row>
    <row r="6904" ht="15.75" customHeight="1">
      <c r="A6904" s="14">
        <v>46190.0</v>
      </c>
      <c r="B6904" s="15">
        <v>4.2</v>
      </c>
      <c r="C6904" s="15">
        <v>3.27</v>
      </c>
      <c r="D6904" s="15"/>
      <c r="E6904" s="15">
        <v>3.28</v>
      </c>
      <c r="F6904" s="15">
        <f t="shared" si="1"/>
        <v>-0.93</v>
      </c>
      <c r="G6904" s="15">
        <f t="shared" si="2"/>
        <v>3.27</v>
      </c>
      <c r="H6904" s="16">
        <v>0.0</v>
      </c>
      <c r="I6904" s="15">
        <f t="shared" si="3"/>
        <v>-0.93</v>
      </c>
      <c r="J6904" s="15">
        <v>18.44</v>
      </c>
      <c r="K6904" s="16">
        <f>IF(COUNTIFS(Release_Calendar!$A$2:$A$755,"US_CPI",Release_Calendar!$B$2:$B$755,$A6904)&gt;0,1,0)</f>
        <v>0</v>
      </c>
      <c r="L6904" s="16">
        <f>IF(COUNTIFS(Release_Calendar!$A$2:$A$755,"US_NFP",Release_Calendar!$B$2:$B$755,$A6904)&gt;0,1,0)</f>
        <v>0</v>
      </c>
      <c r="M6904" s="16">
        <f>IF($A6904&lt;Notes!$B$5,"",IF(COUNTIFS(Release_Calendar!$A$2:$A$755,"NZ_CPI",Release_Calendar!$B$2:$B$755,$A6904)&gt;0,1,0))</f>
        <v>0</v>
      </c>
      <c r="N6904" s="16">
        <f>IF($A6904&lt;Notes!$B$5,"",IF(COUNTIFS(Release_Calendar!$A$2:$A$755,"NZ_GDP",Release_Calendar!$B$2:$B$755,$A6904)&gt;0,1,0))</f>
        <v>0</v>
      </c>
      <c r="O6904" s="16">
        <f>IF($A6904&lt;Notes!$B$5,"",IF(COUNTIFS(Release_Calendar!$A$2:$A$755,"NZ_LABOUR",Release_Calendar!$B$2:$B$755,$A6904)&gt;0,1,0))</f>
        <v>0</v>
      </c>
      <c r="P6904" s="16">
        <f t="shared" si="4"/>
        <v>0</v>
      </c>
    </row>
    <row r="6905" ht="15.75" customHeight="1">
      <c r="A6905" s="14">
        <v>46191.0</v>
      </c>
      <c r="B6905" s="15">
        <v>4.19</v>
      </c>
      <c r="C6905" s="15">
        <v>3.36</v>
      </c>
      <c r="D6905" s="15"/>
      <c r="E6905" s="15">
        <v>3.39</v>
      </c>
      <c r="F6905" s="15">
        <f t="shared" si="1"/>
        <v>-0.83</v>
      </c>
      <c r="G6905" s="15">
        <f t="shared" si="2"/>
        <v>3.36</v>
      </c>
      <c r="H6905" s="16">
        <v>0.0</v>
      </c>
      <c r="I6905" s="15">
        <f t="shared" si="3"/>
        <v>-0.83</v>
      </c>
      <c r="J6905" s="15">
        <v>16.4</v>
      </c>
      <c r="K6905" s="16">
        <f>IF(COUNTIFS(Release_Calendar!$A$2:$A$755,"US_CPI",Release_Calendar!$B$2:$B$755,$A6905)&gt;0,1,0)</f>
        <v>0</v>
      </c>
      <c r="L6905" s="16">
        <f>IF(COUNTIFS(Release_Calendar!$A$2:$A$755,"US_NFP",Release_Calendar!$B$2:$B$755,$A6905)&gt;0,1,0)</f>
        <v>0</v>
      </c>
      <c r="M6905" s="16">
        <f>IF($A6905&lt;Notes!$B$5,"",IF(COUNTIFS(Release_Calendar!$A$2:$A$755,"NZ_CPI",Release_Calendar!$B$2:$B$755,$A6905)&gt;0,1,0))</f>
        <v>0</v>
      </c>
      <c r="N6905" s="16">
        <f>IF($A6905&lt;Notes!$B$5,"",IF(COUNTIFS(Release_Calendar!$A$2:$A$755,"NZ_GDP",Release_Calendar!$B$2:$B$755,$A6905)&gt;0,1,0))</f>
        <v>1</v>
      </c>
      <c r="O6905" s="16">
        <f>IF($A6905&lt;Notes!$B$5,"",IF(COUNTIFS(Release_Calendar!$A$2:$A$755,"NZ_LABOUR",Release_Calendar!$B$2:$B$755,$A6905)&gt;0,1,0))</f>
        <v>0</v>
      </c>
      <c r="P6905" s="16">
        <f t="shared" si="4"/>
        <v>1</v>
      </c>
    </row>
    <row r="6906" ht="15.75" customHeight="1">
      <c r="A6906" s="14">
        <v>46192.0</v>
      </c>
      <c r="B6906" s="15"/>
      <c r="C6906" s="15">
        <v>3.37</v>
      </c>
      <c r="D6906" s="15"/>
      <c r="E6906" s="15">
        <v>3.39</v>
      </c>
      <c r="F6906" s="15" t="str">
        <f t="shared" si="1"/>
        <v/>
      </c>
      <c r="G6906" s="15">
        <f t="shared" si="2"/>
        <v>3.37</v>
      </c>
      <c r="H6906" s="16">
        <v>0.0</v>
      </c>
      <c r="I6906" s="15" t="str">
        <f t="shared" si="3"/>
        <v/>
      </c>
      <c r="J6906" s="15">
        <v>16.78</v>
      </c>
      <c r="K6906" s="16">
        <f>IF(COUNTIFS(Release_Calendar!$A$2:$A$755,"US_CPI",Release_Calendar!$B$2:$B$755,$A6906)&gt;0,1,0)</f>
        <v>0</v>
      </c>
      <c r="L6906" s="16">
        <f>IF(COUNTIFS(Release_Calendar!$A$2:$A$755,"US_NFP",Release_Calendar!$B$2:$B$755,$A6906)&gt;0,1,0)</f>
        <v>0</v>
      </c>
      <c r="M6906" s="16">
        <f>IF($A6906&lt;Notes!$B$5,"",IF(COUNTIFS(Release_Calendar!$A$2:$A$755,"NZ_CPI",Release_Calendar!$B$2:$B$755,$A6906)&gt;0,1,0))</f>
        <v>0</v>
      </c>
      <c r="N6906" s="16">
        <f>IF($A6906&lt;Notes!$B$5,"",IF(COUNTIFS(Release_Calendar!$A$2:$A$755,"NZ_GDP",Release_Calendar!$B$2:$B$755,$A6906)&gt;0,1,0))</f>
        <v>0</v>
      </c>
      <c r="O6906" s="16">
        <f>IF($A6906&lt;Notes!$B$5,"",IF(COUNTIFS(Release_Calendar!$A$2:$A$755,"NZ_LABOUR",Release_Calendar!$B$2:$B$755,$A6906)&gt;0,1,0))</f>
        <v>0</v>
      </c>
      <c r="P6906" s="16">
        <f t="shared" si="4"/>
        <v>0</v>
      </c>
    </row>
    <row r="6907" ht="15.75" customHeight="1">
      <c r="A6907" s="14">
        <v>46195.0</v>
      </c>
      <c r="B6907" s="15">
        <v>4.24</v>
      </c>
      <c r="C6907" s="15">
        <v>3.37</v>
      </c>
      <c r="D6907" s="15"/>
      <c r="E6907" s="15">
        <v>3.39</v>
      </c>
      <c r="F6907" s="15">
        <f t="shared" si="1"/>
        <v>-0.87</v>
      </c>
      <c r="G6907" s="15">
        <f t="shared" si="2"/>
        <v>3.37</v>
      </c>
      <c r="H6907" s="16">
        <v>0.0</v>
      </c>
      <c r="I6907" s="15">
        <f t="shared" si="3"/>
        <v>-0.87</v>
      </c>
      <c r="J6907" s="15">
        <v>17.28</v>
      </c>
      <c r="K6907" s="16">
        <f>IF(COUNTIFS(Release_Calendar!$A$2:$A$755,"US_CPI",Release_Calendar!$B$2:$B$755,$A6907)&gt;0,1,0)</f>
        <v>0</v>
      </c>
      <c r="L6907" s="16">
        <f>IF(COUNTIFS(Release_Calendar!$A$2:$A$755,"US_NFP",Release_Calendar!$B$2:$B$755,$A6907)&gt;0,1,0)</f>
        <v>0</v>
      </c>
      <c r="M6907" s="16">
        <f>IF($A6907&lt;Notes!$B$5,"",IF(COUNTIFS(Release_Calendar!$A$2:$A$755,"NZ_CPI",Release_Calendar!$B$2:$B$755,$A6907)&gt;0,1,0))</f>
        <v>0</v>
      </c>
      <c r="N6907" s="16">
        <f>IF($A6907&lt;Notes!$B$5,"",IF(COUNTIFS(Release_Calendar!$A$2:$A$755,"NZ_GDP",Release_Calendar!$B$2:$B$755,$A6907)&gt;0,1,0))</f>
        <v>0</v>
      </c>
      <c r="O6907" s="16">
        <f>IF($A6907&lt;Notes!$B$5,"",IF(COUNTIFS(Release_Calendar!$A$2:$A$755,"NZ_LABOUR",Release_Calendar!$B$2:$B$755,$A6907)&gt;0,1,0))</f>
        <v>0</v>
      </c>
      <c r="P6907" s="16">
        <f t="shared" si="4"/>
        <v>0</v>
      </c>
    </row>
    <row r="6908" ht="15.75" customHeight="1">
      <c r="A6908" s="14">
        <v>46196.0</v>
      </c>
      <c r="B6908" s="15">
        <v>4.16</v>
      </c>
      <c r="C6908" s="15">
        <v>3.35</v>
      </c>
      <c r="D6908" s="15"/>
      <c r="E6908" s="15">
        <v>3.35</v>
      </c>
      <c r="F6908" s="15">
        <f t="shared" si="1"/>
        <v>-0.81</v>
      </c>
      <c r="G6908" s="15">
        <f t="shared" si="2"/>
        <v>3.35</v>
      </c>
      <c r="H6908" s="16">
        <v>0.0</v>
      </c>
      <c r="I6908" s="15">
        <f t="shared" si="3"/>
        <v>-0.81</v>
      </c>
      <c r="J6908" s="15">
        <v>19.49</v>
      </c>
      <c r="K6908" s="16">
        <f>IF(COUNTIFS(Release_Calendar!$A$2:$A$755,"US_CPI",Release_Calendar!$B$2:$B$755,$A6908)&gt;0,1,0)</f>
        <v>0</v>
      </c>
      <c r="L6908" s="16">
        <f>IF(COUNTIFS(Release_Calendar!$A$2:$A$755,"US_NFP",Release_Calendar!$B$2:$B$755,$A6908)&gt;0,1,0)</f>
        <v>0</v>
      </c>
      <c r="M6908" s="16">
        <f>IF($A6908&lt;Notes!$B$5,"",IF(COUNTIFS(Release_Calendar!$A$2:$A$755,"NZ_CPI",Release_Calendar!$B$2:$B$755,$A6908)&gt;0,1,0))</f>
        <v>0</v>
      </c>
      <c r="N6908" s="16">
        <f>IF($A6908&lt;Notes!$B$5,"",IF(COUNTIFS(Release_Calendar!$A$2:$A$755,"NZ_GDP",Release_Calendar!$B$2:$B$755,$A6908)&gt;0,1,0))</f>
        <v>0</v>
      </c>
      <c r="O6908" s="16">
        <f>IF($A6908&lt;Notes!$B$5,"",IF(COUNTIFS(Release_Calendar!$A$2:$A$755,"NZ_LABOUR",Release_Calendar!$B$2:$B$755,$A6908)&gt;0,1,0))</f>
        <v>0</v>
      </c>
      <c r="P6908" s="16">
        <f t="shared" si="4"/>
        <v>0</v>
      </c>
    </row>
    <row r="6909" ht="15.75" customHeight="1">
      <c r="A6909" s="14">
        <v>46197.0</v>
      </c>
      <c r="B6909" s="15">
        <v>4.11</v>
      </c>
      <c r="C6909" s="15">
        <v>3.32</v>
      </c>
      <c r="D6909" s="15"/>
      <c r="E6909" s="15">
        <v>3.31</v>
      </c>
      <c r="F6909" s="15">
        <f t="shared" si="1"/>
        <v>-0.79</v>
      </c>
      <c r="G6909" s="15">
        <f t="shared" si="2"/>
        <v>3.32</v>
      </c>
      <c r="H6909" s="16">
        <v>0.0</v>
      </c>
      <c r="I6909" s="15">
        <f t="shared" si="3"/>
        <v>-0.79</v>
      </c>
      <c r="J6909" s="15">
        <v>18.63</v>
      </c>
      <c r="K6909" s="16">
        <f>IF(COUNTIFS(Release_Calendar!$A$2:$A$755,"US_CPI",Release_Calendar!$B$2:$B$755,$A6909)&gt;0,1,0)</f>
        <v>0</v>
      </c>
      <c r="L6909" s="16">
        <f>IF(COUNTIFS(Release_Calendar!$A$2:$A$755,"US_NFP",Release_Calendar!$B$2:$B$755,$A6909)&gt;0,1,0)</f>
        <v>0</v>
      </c>
      <c r="M6909" s="16">
        <f>IF($A6909&lt;Notes!$B$5,"",IF(COUNTIFS(Release_Calendar!$A$2:$A$755,"NZ_CPI",Release_Calendar!$B$2:$B$755,$A6909)&gt;0,1,0))</f>
        <v>0</v>
      </c>
      <c r="N6909" s="16">
        <f>IF($A6909&lt;Notes!$B$5,"",IF(COUNTIFS(Release_Calendar!$A$2:$A$755,"NZ_GDP",Release_Calendar!$B$2:$B$755,$A6909)&gt;0,1,0))</f>
        <v>0</v>
      </c>
      <c r="O6909" s="16">
        <f>IF($A6909&lt;Notes!$B$5,"",IF(COUNTIFS(Release_Calendar!$A$2:$A$755,"NZ_LABOUR",Release_Calendar!$B$2:$B$755,$A6909)&gt;0,1,0))</f>
        <v>0</v>
      </c>
      <c r="P6909" s="16">
        <f t="shared" si="4"/>
        <v>0</v>
      </c>
    </row>
    <row r="6910" ht="15.75" customHeight="1">
      <c r="A6910" s="14">
        <v>46198.0</v>
      </c>
      <c r="B6910" s="15">
        <v>4.09</v>
      </c>
      <c r="C6910" s="15">
        <v>3.3</v>
      </c>
      <c r="D6910" s="15"/>
      <c r="E6910" s="15">
        <v>3.28</v>
      </c>
      <c r="F6910" s="15">
        <f t="shared" si="1"/>
        <v>-0.79</v>
      </c>
      <c r="G6910" s="15">
        <f t="shared" si="2"/>
        <v>3.3</v>
      </c>
      <c r="H6910" s="16">
        <v>0.0</v>
      </c>
      <c r="I6910" s="15">
        <f t="shared" si="3"/>
        <v>-0.79</v>
      </c>
      <c r="J6910" s="15">
        <v>18.89</v>
      </c>
      <c r="K6910" s="16">
        <f>IF(COUNTIFS(Release_Calendar!$A$2:$A$755,"US_CPI",Release_Calendar!$B$2:$B$755,$A6910)&gt;0,1,0)</f>
        <v>0</v>
      </c>
      <c r="L6910" s="16">
        <f>IF(COUNTIFS(Release_Calendar!$A$2:$A$755,"US_NFP",Release_Calendar!$B$2:$B$755,$A6910)&gt;0,1,0)</f>
        <v>0</v>
      </c>
      <c r="M6910" s="16">
        <f>IF($A6910&lt;Notes!$B$5,"",IF(COUNTIFS(Release_Calendar!$A$2:$A$755,"NZ_CPI",Release_Calendar!$B$2:$B$755,$A6910)&gt;0,1,0))</f>
        <v>0</v>
      </c>
      <c r="N6910" s="16">
        <f>IF($A6910&lt;Notes!$B$5,"",IF(COUNTIFS(Release_Calendar!$A$2:$A$755,"NZ_GDP",Release_Calendar!$B$2:$B$755,$A6910)&gt;0,1,0))</f>
        <v>0</v>
      </c>
      <c r="O6910" s="16">
        <f>IF($A6910&lt;Notes!$B$5,"",IF(COUNTIFS(Release_Calendar!$A$2:$A$755,"NZ_LABOUR",Release_Calendar!$B$2:$B$755,$A6910)&gt;0,1,0))</f>
        <v>0</v>
      </c>
      <c r="P6910" s="16">
        <f t="shared" si="4"/>
        <v>0</v>
      </c>
    </row>
    <row r="6911" ht="15.75" customHeight="1">
      <c r="A6911" s="14">
        <v>46199.0</v>
      </c>
      <c r="B6911" s="15">
        <v>4.07</v>
      </c>
      <c r="C6911" s="15">
        <v>3.31</v>
      </c>
      <c r="D6911" s="15"/>
      <c r="E6911" s="15">
        <v>3.3</v>
      </c>
      <c r="F6911" s="15">
        <f t="shared" si="1"/>
        <v>-0.76</v>
      </c>
      <c r="G6911" s="15">
        <f t="shared" si="2"/>
        <v>3.31</v>
      </c>
      <c r="H6911" s="16">
        <v>0.0</v>
      </c>
      <c r="I6911" s="15">
        <f t="shared" si="3"/>
        <v>-0.76</v>
      </c>
      <c r="J6911" s="15">
        <v>18.41</v>
      </c>
      <c r="K6911" s="16">
        <f>IF(COUNTIFS(Release_Calendar!$A$2:$A$755,"US_CPI",Release_Calendar!$B$2:$B$755,$A6911)&gt;0,1,0)</f>
        <v>0</v>
      </c>
      <c r="L6911" s="16">
        <f>IF(COUNTIFS(Release_Calendar!$A$2:$A$755,"US_NFP",Release_Calendar!$B$2:$B$755,$A6911)&gt;0,1,0)</f>
        <v>0</v>
      </c>
      <c r="M6911" s="16">
        <f>IF($A6911&lt;Notes!$B$5,"",IF(COUNTIFS(Release_Calendar!$A$2:$A$755,"NZ_CPI",Release_Calendar!$B$2:$B$755,$A6911)&gt;0,1,0))</f>
        <v>0</v>
      </c>
      <c r="N6911" s="16">
        <f>IF($A6911&lt;Notes!$B$5,"",IF(COUNTIFS(Release_Calendar!$A$2:$A$755,"NZ_GDP",Release_Calendar!$B$2:$B$755,$A6911)&gt;0,1,0))</f>
        <v>0</v>
      </c>
      <c r="O6911" s="16">
        <f>IF($A6911&lt;Notes!$B$5,"",IF(COUNTIFS(Release_Calendar!$A$2:$A$755,"NZ_LABOUR",Release_Calendar!$B$2:$B$755,$A6911)&gt;0,1,0))</f>
        <v>0</v>
      </c>
      <c r="P6911" s="16">
        <f t="shared" si="4"/>
        <v>0</v>
      </c>
    </row>
    <row r="6912" ht="15.75" customHeight="1">
      <c r="A6912" s="14">
        <v>46202.0</v>
      </c>
      <c r="B6912" s="15">
        <v>4.1</v>
      </c>
      <c r="C6912" s="15">
        <v>3.32</v>
      </c>
      <c r="D6912" s="15"/>
      <c r="E6912" s="15">
        <v>3.31</v>
      </c>
      <c r="F6912" s="15">
        <f t="shared" si="1"/>
        <v>-0.78</v>
      </c>
      <c r="G6912" s="15">
        <f t="shared" si="2"/>
        <v>3.32</v>
      </c>
      <c r="H6912" s="16">
        <v>0.0</v>
      </c>
      <c r="I6912" s="15">
        <f t="shared" si="3"/>
        <v>-0.78</v>
      </c>
      <c r="J6912" s="15">
        <v>17.65</v>
      </c>
      <c r="K6912" s="16">
        <f>IF(COUNTIFS(Release_Calendar!$A$2:$A$755,"US_CPI",Release_Calendar!$B$2:$B$755,$A6912)&gt;0,1,0)</f>
        <v>0</v>
      </c>
      <c r="L6912" s="16">
        <f>IF(COUNTIFS(Release_Calendar!$A$2:$A$755,"US_NFP",Release_Calendar!$B$2:$B$755,$A6912)&gt;0,1,0)</f>
        <v>0</v>
      </c>
      <c r="M6912" s="16">
        <f>IF($A6912&lt;Notes!$B$5,"",IF(COUNTIFS(Release_Calendar!$A$2:$A$755,"NZ_CPI",Release_Calendar!$B$2:$B$755,$A6912)&gt;0,1,0))</f>
        <v>0</v>
      </c>
      <c r="N6912" s="16">
        <f>IF($A6912&lt;Notes!$B$5,"",IF(COUNTIFS(Release_Calendar!$A$2:$A$755,"NZ_GDP",Release_Calendar!$B$2:$B$755,$A6912)&gt;0,1,0))</f>
        <v>0</v>
      </c>
      <c r="O6912" s="16">
        <f>IF($A6912&lt;Notes!$B$5,"",IF(COUNTIFS(Release_Calendar!$A$2:$A$755,"NZ_LABOUR",Release_Calendar!$B$2:$B$755,$A6912)&gt;0,1,0))</f>
        <v>0</v>
      </c>
      <c r="P6912" s="16">
        <f t="shared" si="4"/>
        <v>0</v>
      </c>
    </row>
    <row r="6913" ht="15.75" customHeight="1">
      <c r="A6913" s="14">
        <v>46203.0</v>
      </c>
      <c r="B6913" s="15">
        <v>4.14</v>
      </c>
      <c r="C6913" s="15">
        <v>3.32</v>
      </c>
      <c r="D6913" s="15"/>
      <c r="E6913" s="15">
        <v>3.31</v>
      </c>
      <c r="F6913" s="15">
        <f t="shared" si="1"/>
        <v>-0.82</v>
      </c>
      <c r="G6913" s="15">
        <f t="shared" si="2"/>
        <v>3.32</v>
      </c>
      <c r="H6913" s="16">
        <v>0.0</v>
      </c>
      <c r="I6913" s="15">
        <f t="shared" si="3"/>
        <v>-0.82</v>
      </c>
      <c r="J6913" s="15">
        <v>16.45</v>
      </c>
      <c r="K6913" s="16">
        <f>IF(COUNTIFS(Release_Calendar!$A$2:$A$755,"US_CPI",Release_Calendar!$B$2:$B$755,$A6913)&gt;0,1,0)</f>
        <v>0</v>
      </c>
      <c r="L6913" s="16">
        <f>IF(COUNTIFS(Release_Calendar!$A$2:$A$755,"US_NFP",Release_Calendar!$B$2:$B$755,$A6913)&gt;0,1,0)</f>
        <v>0</v>
      </c>
      <c r="M6913" s="16">
        <f>IF($A6913&lt;Notes!$B$5,"",IF(COUNTIFS(Release_Calendar!$A$2:$A$755,"NZ_CPI",Release_Calendar!$B$2:$B$755,$A6913)&gt;0,1,0))</f>
        <v>0</v>
      </c>
      <c r="N6913" s="16">
        <f>IF($A6913&lt;Notes!$B$5,"",IF(COUNTIFS(Release_Calendar!$A$2:$A$755,"NZ_GDP",Release_Calendar!$B$2:$B$755,$A6913)&gt;0,1,0))</f>
        <v>0</v>
      </c>
      <c r="O6913" s="16">
        <f>IF($A6913&lt;Notes!$B$5,"",IF(COUNTIFS(Release_Calendar!$A$2:$A$755,"NZ_LABOUR",Release_Calendar!$B$2:$B$755,$A6913)&gt;0,1,0))</f>
        <v>0</v>
      </c>
      <c r="P6913" s="16">
        <f t="shared" si="4"/>
        <v>0</v>
      </c>
    </row>
    <row r="6914" ht="15.75" customHeight="1">
      <c r="A6914" s="14">
        <v>46204.0</v>
      </c>
      <c r="B6914" s="15">
        <v>4.17</v>
      </c>
      <c r="C6914" s="15">
        <v>3.35</v>
      </c>
      <c r="D6914" s="15"/>
      <c r="E6914" s="15">
        <v>3.34</v>
      </c>
      <c r="F6914" s="15">
        <f t="shared" si="1"/>
        <v>-0.82</v>
      </c>
      <c r="G6914" s="15">
        <f t="shared" si="2"/>
        <v>3.35</v>
      </c>
      <c r="H6914" s="16">
        <v>0.0</v>
      </c>
      <c r="I6914" s="15">
        <f t="shared" si="3"/>
        <v>-0.82</v>
      </c>
      <c r="J6914" s="15">
        <v>16.59</v>
      </c>
      <c r="K6914" s="16">
        <f>IF(COUNTIFS(Release_Calendar!$A$2:$A$755,"US_CPI",Release_Calendar!$B$2:$B$755,$A6914)&gt;0,1,0)</f>
        <v>0</v>
      </c>
      <c r="L6914" s="16">
        <f>IF(COUNTIFS(Release_Calendar!$A$2:$A$755,"US_NFP",Release_Calendar!$B$2:$B$755,$A6914)&gt;0,1,0)</f>
        <v>0</v>
      </c>
      <c r="M6914" s="16">
        <f>IF($A6914&lt;Notes!$B$5,"",IF(COUNTIFS(Release_Calendar!$A$2:$A$755,"NZ_CPI",Release_Calendar!$B$2:$B$755,$A6914)&gt;0,1,0))</f>
        <v>0</v>
      </c>
      <c r="N6914" s="16">
        <f>IF($A6914&lt;Notes!$B$5,"",IF(COUNTIFS(Release_Calendar!$A$2:$A$755,"NZ_GDP",Release_Calendar!$B$2:$B$755,$A6914)&gt;0,1,0))</f>
        <v>0</v>
      </c>
      <c r="O6914" s="16">
        <f>IF($A6914&lt;Notes!$B$5,"",IF(COUNTIFS(Release_Calendar!$A$2:$A$755,"NZ_LABOUR",Release_Calendar!$B$2:$B$755,$A6914)&gt;0,1,0))</f>
        <v>0</v>
      </c>
      <c r="P6914" s="16">
        <f t="shared" si="4"/>
        <v>0</v>
      </c>
    </row>
    <row r="6915" ht="15.75" customHeight="1">
      <c r="A6915" s="14">
        <v>46205.0</v>
      </c>
      <c r="B6915" s="15">
        <v>4.14</v>
      </c>
      <c r="C6915" s="15">
        <v>3.38</v>
      </c>
      <c r="D6915" s="15"/>
      <c r="E6915" s="15">
        <v>3.38</v>
      </c>
      <c r="F6915" s="15">
        <f t="shared" si="1"/>
        <v>-0.76</v>
      </c>
      <c r="G6915" s="15">
        <f t="shared" si="2"/>
        <v>3.38</v>
      </c>
      <c r="H6915" s="16">
        <v>0.0</v>
      </c>
      <c r="I6915" s="15">
        <f t="shared" si="3"/>
        <v>-0.76</v>
      </c>
      <c r="J6915" s="15">
        <v>16.15</v>
      </c>
      <c r="K6915" s="16">
        <f>IF(COUNTIFS(Release_Calendar!$A$2:$A$755,"US_CPI",Release_Calendar!$B$2:$B$755,$A6915)&gt;0,1,0)</f>
        <v>0</v>
      </c>
      <c r="L6915" s="16">
        <f>IF(COUNTIFS(Release_Calendar!$A$2:$A$755,"US_NFP",Release_Calendar!$B$2:$B$755,$A6915)&gt;0,1,0)</f>
        <v>1</v>
      </c>
      <c r="M6915" s="16">
        <f>IF($A6915&lt;Notes!$B$5,"",IF(COUNTIFS(Release_Calendar!$A$2:$A$755,"NZ_CPI",Release_Calendar!$B$2:$B$755,$A6915)&gt;0,1,0))</f>
        <v>0</v>
      </c>
      <c r="N6915" s="16">
        <f>IF($A6915&lt;Notes!$B$5,"",IF(COUNTIFS(Release_Calendar!$A$2:$A$755,"NZ_GDP",Release_Calendar!$B$2:$B$755,$A6915)&gt;0,1,0))</f>
        <v>0</v>
      </c>
      <c r="O6915" s="16">
        <f>IF($A6915&lt;Notes!$B$5,"",IF(COUNTIFS(Release_Calendar!$A$2:$A$755,"NZ_LABOUR",Release_Calendar!$B$2:$B$755,$A6915)&gt;0,1,0))</f>
        <v>0</v>
      </c>
      <c r="P6915" s="16">
        <f t="shared" si="4"/>
        <v>1</v>
      </c>
    </row>
    <row r="6916" ht="15.75" customHeight="1">
      <c r="A6916" s="14">
        <v>46206.0</v>
      </c>
      <c r="B6916" s="15"/>
      <c r="C6916" s="15">
        <v>3.37</v>
      </c>
      <c r="D6916" s="15"/>
      <c r="E6916" s="15">
        <v>3.37</v>
      </c>
      <c r="F6916" s="15" t="str">
        <f t="shared" si="1"/>
        <v/>
      </c>
      <c r="G6916" s="15">
        <f t="shared" si="2"/>
        <v>3.37</v>
      </c>
      <c r="H6916" s="16">
        <v>0.0</v>
      </c>
      <c r="I6916" s="15" t="str">
        <f t="shared" si="3"/>
        <v/>
      </c>
      <c r="J6916" s="15">
        <v>15.81</v>
      </c>
      <c r="K6916" s="16">
        <f>IF(COUNTIFS(Release_Calendar!$A$2:$A$755,"US_CPI",Release_Calendar!$B$2:$B$755,$A6916)&gt;0,1,0)</f>
        <v>0</v>
      </c>
      <c r="L6916" s="16">
        <f>IF(COUNTIFS(Release_Calendar!$A$2:$A$755,"US_NFP",Release_Calendar!$B$2:$B$755,$A6916)&gt;0,1,0)</f>
        <v>0</v>
      </c>
      <c r="M6916" s="16">
        <f>IF($A6916&lt;Notes!$B$5,"",IF(COUNTIFS(Release_Calendar!$A$2:$A$755,"NZ_CPI",Release_Calendar!$B$2:$B$755,$A6916)&gt;0,1,0))</f>
        <v>0</v>
      </c>
      <c r="N6916" s="16">
        <f>IF($A6916&lt;Notes!$B$5,"",IF(COUNTIFS(Release_Calendar!$A$2:$A$755,"NZ_GDP",Release_Calendar!$B$2:$B$755,$A6916)&gt;0,1,0))</f>
        <v>0</v>
      </c>
      <c r="O6916" s="16">
        <f>IF($A6916&lt;Notes!$B$5,"",IF(COUNTIFS(Release_Calendar!$A$2:$A$755,"NZ_LABOUR",Release_Calendar!$B$2:$B$755,$A6916)&gt;0,1,0))</f>
        <v>0</v>
      </c>
      <c r="P6916" s="16">
        <f t="shared" si="4"/>
        <v>0</v>
      </c>
    </row>
    <row r="6917" ht="15.75" customHeight="1">
      <c r="A6917" s="14">
        <v>46209.0</v>
      </c>
      <c r="B6917" s="15">
        <v>4.13</v>
      </c>
      <c r="C6917" s="15">
        <v>3.35</v>
      </c>
      <c r="D6917" s="15"/>
      <c r="E6917" s="15">
        <v>3.33</v>
      </c>
      <c r="F6917" s="15">
        <f t="shared" si="1"/>
        <v>-0.78</v>
      </c>
      <c r="G6917" s="15">
        <f t="shared" si="2"/>
        <v>3.35</v>
      </c>
      <c r="H6917" s="16">
        <v>0.0</v>
      </c>
      <c r="I6917" s="15">
        <f t="shared" si="3"/>
        <v>-0.78</v>
      </c>
      <c r="J6917" s="15">
        <v>15.57</v>
      </c>
      <c r="K6917" s="16">
        <f>IF(COUNTIFS(Release_Calendar!$A$2:$A$755,"US_CPI",Release_Calendar!$B$2:$B$755,$A6917)&gt;0,1,0)</f>
        <v>0</v>
      </c>
      <c r="L6917" s="16">
        <f>IF(COUNTIFS(Release_Calendar!$A$2:$A$755,"US_NFP",Release_Calendar!$B$2:$B$755,$A6917)&gt;0,1,0)</f>
        <v>0</v>
      </c>
      <c r="M6917" s="16">
        <f>IF($A6917&lt;Notes!$B$5,"",IF(COUNTIFS(Release_Calendar!$A$2:$A$755,"NZ_CPI",Release_Calendar!$B$2:$B$755,$A6917)&gt;0,1,0))</f>
        <v>0</v>
      </c>
      <c r="N6917" s="16">
        <f>IF($A6917&lt;Notes!$B$5,"",IF(COUNTIFS(Release_Calendar!$A$2:$A$755,"NZ_GDP",Release_Calendar!$B$2:$B$755,$A6917)&gt;0,1,0))</f>
        <v>0</v>
      </c>
      <c r="O6917" s="16">
        <f>IF($A6917&lt;Notes!$B$5,"",IF(COUNTIFS(Release_Calendar!$A$2:$A$755,"NZ_LABOUR",Release_Calendar!$B$2:$B$755,$A6917)&gt;0,1,0))</f>
        <v>0</v>
      </c>
      <c r="P6917" s="16">
        <f t="shared" si="4"/>
        <v>0</v>
      </c>
    </row>
    <row r="6918" ht="15.75" customHeight="1">
      <c r="A6918" s="14">
        <v>46210.0</v>
      </c>
      <c r="B6918" s="15">
        <v>4.19</v>
      </c>
      <c r="C6918" s="15">
        <v>3.33</v>
      </c>
      <c r="D6918" s="15"/>
      <c r="E6918" s="15">
        <v>3.32</v>
      </c>
      <c r="F6918" s="15">
        <f t="shared" si="1"/>
        <v>-0.86</v>
      </c>
      <c r="G6918" s="15">
        <f t="shared" si="2"/>
        <v>3.33</v>
      </c>
      <c r="H6918" s="16">
        <v>0.0</v>
      </c>
      <c r="I6918" s="15">
        <f t="shared" si="3"/>
        <v>-0.86</v>
      </c>
      <c r="J6918" s="15">
        <v>16.13</v>
      </c>
      <c r="K6918" s="16">
        <f>IF(COUNTIFS(Release_Calendar!$A$2:$A$755,"US_CPI",Release_Calendar!$B$2:$B$755,$A6918)&gt;0,1,0)</f>
        <v>0</v>
      </c>
      <c r="L6918" s="16">
        <f>IF(COUNTIFS(Release_Calendar!$A$2:$A$755,"US_NFP",Release_Calendar!$B$2:$B$755,$A6918)&gt;0,1,0)</f>
        <v>0</v>
      </c>
      <c r="M6918" s="16">
        <f>IF($A6918&lt;Notes!$B$5,"",IF(COUNTIFS(Release_Calendar!$A$2:$A$755,"NZ_CPI",Release_Calendar!$B$2:$B$755,$A6918)&gt;0,1,0))</f>
        <v>0</v>
      </c>
      <c r="N6918" s="16">
        <f>IF($A6918&lt;Notes!$B$5,"",IF(COUNTIFS(Release_Calendar!$A$2:$A$755,"NZ_GDP",Release_Calendar!$B$2:$B$755,$A6918)&gt;0,1,0))</f>
        <v>0</v>
      </c>
      <c r="O6918" s="16">
        <f>IF($A6918&lt;Notes!$B$5,"",IF(COUNTIFS(Release_Calendar!$A$2:$A$755,"NZ_LABOUR",Release_Calendar!$B$2:$B$755,$A6918)&gt;0,1,0))</f>
        <v>0</v>
      </c>
      <c r="P6918" s="16">
        <f t="shared" si="4"/>
        <v>0</v>
      </c>
    </row>
    <row r="6919" ht="15.75" customHeight="1">
      <c r="A6919" s="14">
        <v>46211.0</v>
      </c>
      <c r="B6919" s="15">
        <v>4.21</v>
      </c>
      <c r="C6919" s="15">
        <v>3.39</v>
      </c>
      <c r="D6919" s="15"/>
      <c r="E6919" s="15">
        <v>3.37</v>
      </c>
      <c r="F6919" s="15">
        <f t="shared" si="1"/>
        <v>-0.82</v>
      </c>
      <c r="G6919" s="15">
        <f t="shared" si="2"/>
        <v>3.39</v>
      </c>
      <c r="H6919" s="16">
        <v>0.0</v>
      </c>
      <c r="I6919" s="15">
        <f t="shared" si="3"/>
        <v>-0.82</v>
      </c>
      <c r="J6919" s="15">
        <v>16.9</v>
      </c>
      <c r="K6919" s="16">
        <f>IF(COUNTIFS(Release_Calendar!$A$2:$A$755,"US_CPI",Release_Calendar!$B$2:$B$755,$A6919)&gt;0,1,0)</f>
        <v>0</v>
      </c>
      <c r="L6919" s="16">
        <f>IF(COUNTIFS(Release_Calendar!$A$2:$A$755,"US_NFP",Release_Calendar!$B$2:$B$755,$A6919)&gt;0,1,0)</f>
        <v>0</v>
      </c>
      <c r="M6919" s="16">
        <f>IF($A6919&lt;Notes!$B$5,"",IF(COUNTIFS(Release_Calendar!$A$2:$A$755,"NZ_CPI",Release_Calendar!$B$2:$B$755,$A6919)&gt;0,1,0))</f>
        <v>0</v>
      </c>
      <c r="N6919" s="16">
        <f>IF($A6919&lt;Notes!$B$5,"",IF(COUNTIFS(Release_Calendar!$A$2:$A$755,"NZ_GDP",Release_Calendar!$B$2:$B$755,$A6919)&gt;0,1,0))</f>
        <v>0</v>
      </c>
      <c r="O6919" s="16">
        <f>IF($A6919&lt;Notes!$B$5,"",IF(COUNTIFS(Release_Calendar!$A$2:$A$755,"NZ_LABOUR",Release_Calendar!$B$2:$B$755,$A6919)&gt;0,1,0))</f>
        <v>0</v>
      </c>
      <c r="P6919" s="16">
        <f t="shared" si="4"/>
        <v>0</v>
      </c>
    </row>
    <row r="6920" ht="15.75" customHeight="1">
      <c r="A6920" s="14">
        <v>46212.0</v>
      </c>
      <c r="B6920" s="15">
        <v>4.16</v>
      </c>
      <c r="C6920" s="15">
        <v>3.52</v>
      </c>
      <c r="D6920" s="15"/>
      <c r="E6920" s="15">
        <v>3.5</v>
      </c>
      <c r="F6920" s="15">
        <f t="shared" si="1"/>
        <v>-0.64</v>
      </c>
      <c r="G6920" s="15">
        <f t="shared" si="2"/>
        <v>3.52</v>
      </c>
      <c r="H6920" s="16">
        <v>0.0</v>
      </c>
      <c r="I6920" s="15">
        <f t="shared" si="3"/>
        <v>-0.64</v>
      </c>
      <c r="J6920" s="15">
        <v>15.84</v>
      </c>
      <c r="K6920" s="16">
        <f>IF(COUNTIFS(Release_Calendar!$A$2:$A$755,"US_CPI",Release_Calendar!$B$2:$B$755,$A6920)&gt;0,1,0)</f>
        <v>0</v>
      </c>
      <c r="L6920" s="16">
        <f>IF(COUNTIFS(Release_Calendar!$A$2:$A$755,"US_NFP",Release_Calendar!$B$2:$B$755,$A6920)&gt;0,1,0)</f>
        <v>0</v>
      </c>
      <c r="M6920" s="16">
        <f>IF($A6920&lt;Notes!$B$5,"",IF(COUNTIFS(Release_Calendar!$A$2:$A$755,"NZ_CPI",Release_Calendar!$B$2:$B$755,$A6920)&gt;0,1,0))</f>
        <v>0</v>
      </c>
      <c r="N6920" s="16">
        <f>IF($A6920&lt;Notes!$B$5,"",IF(COUNTIFS(Release_Calendar!$A$2:$A$755,"NZ_GDP",Release_Calendar!$B$2:$B$755,$A6920)&gt;0,1,0))</f>
        <v>0</v>
      </c>
      <c r="O6920" s="16">
        <f>IF($A6920&lt;Notes!$B$5,"",IF(COUNTIFS(Release_Calendar!$A$2:$A$755,"NZ_LABOUR",Release_Calendar!$B$2:$B$755,$A6920)&gt;0,1,0))</f>
        <v>0</v>
      </c>
      <c r="P6920" s="16">
        <f t="shared" si="4"/>
        <v>0</v>
      </c>
    </row>
    <row r="6921" ht="15.75" customHeight="1">
      <c r="A6921" s="14">
        <v>46213.0</v>
      </c>
      <c r="B6921" s="15">
        <v>4.21</v>
      </c>
      <c r="C6921" s="15"/>
      <c r="D6921" s="15"/>
      <c r="E6921" s="15"/>
      <c r="F6921" s="15" t="str">
        <f t="shared" si="1"/>
        <v/>
      </c>
      <c r="G6921" s="15" t="str">
        <f t="shared" si="2"/>
        <v/>
      </c>
      <c r="H6921" s="16">
        <v>0.0</v>
      </c>
      <c r="I6921" s="15" t="str">
        <f t="shared" si="3"/>
        <v/>
      </c>
      <c r="J6921" s="15">
        <v>15.03</v>
      </c>
      <c r="K6921" s="16">
        <f>IF(COUNTIFS(Release_Calendar!$A$2:$A$755,"US_CPI",Release_Calendar!$B$2:$B$755,$A6921)&gt;0,1,0)</f>
        <v>0</v>
      </c>
      <c r="L6921" s="16">
        <f>IF(COUNTIFS(Release_Calendar!$A$2:$A$755,"US_NFP",Release_Calendar!$B$2:$B$755,$A6921)&gt;0,1,0)</f>
        <v>0</v>
      </c>
      <c r="M6921" s="16">
        <f>IF($A6921&lt;Notes!$B$5,"",IF(COUNTIFS(Release_Calendar!$A$2:$A$755,"NZ_CPI",Release_Calendar!$B$2:$B$755,$A6921)&gt;0,1,0))</f>
        <v>0</v>
      </c>
      <c r="N6921" s="16">
        <f>IF($A6921&lt;Notes!$B$5,"",IF(COUNTIFS(Release_Calendar!$A$2:$A$755,"NZ_GDP",Release_Calendar!$B$2:$B$755,$A6921)&gt;0,1,0))</f>
        <v>0</v>
      </c>
      <c r="O6921" s="16">
        <f>IF($A6921&lt;Notes!$B$5,"",IF(COUNTIFS(Release_Calendar!$A$2:$A$755,"NZ_LABOUR",Release_Calendar!$B$2:$B$755,$A6921)&gt;0,1,0))</f>
        <v>0</v>
      </c>
      <c r="P6921" s="16">
        <f t="shared" si="4"/>
        <v>0</v>
      </c>
    </row>
    <row r="6922" ht="15.75" customHeight="1">
      <c r="A6922" s="14">
        <v>46216.0</v>
      </c>
      <c r="B6922" s="15">
        <v>4.26</v>
      </c>
      <c r="C6922" s="15">
        <v>3.6</v>
      </c>
      <c r="D6922" s="15"/>
      <c r="E6922" s="15">
        <v>3.56</v>
      </c>
      <c r="F6922" s="15">
        <f t="shared" si="1"/>
        <v>-0.66</v>
      </c>
      <c r="G6922" s="15">
        <f t="shared" si="2"/>
        <v>3.6</v>
      </c>
      <c r="H6922" s="16">
        <v>0.0</v>
      </c>
      <c r="I6922" s="15">
        <f t="shared" si="3"/>
        <v>-0.66</v>
      </c>
      <c r="J6922" s="15">
        <v>17.16</v>
      </c>
      <c r="K6922" s="16">
        <f>IF(COUNTIFS(Release_Calendar!$A$2:$A$755,"US_CPI",Release_Calendar!$B$2:$B$755,$A6922)&gt;0,1,0)</f>
        <v>0</v>
      </c>
      <c r="L6922" s="16">
        <f>IF(COUNTIFS(Release_Calendar!$A$2:$A$755,"US_NFP",Release_Calendar!$B$2:$B$755,$A6922)&gt;0,1,0)</f>
        <v>0</v>
      </c>
      <c r="M6922" s="16">
        <f>IF($A6922&lt;Notes!$B$5,"",IF(COUNTIFS(Release_Calendar!$A$2:$A$755,"NZ_CPI",Release_Calendar!$B$2:$B$755,$A6922)&gt;0,1,0))</f>
        <v>0</v>
      </c>
      <c r="N6922" s="16">
        <f>IF($A6922&lt;Notes!$B$5,"",IF(COUNTIFS(Release_Calendar!$A$2:$A$755,"NZ_GDP",Release_Calendar!$B$2:$B$755,$A6922)&gt;0,1,0))</f>
        <v>0</v>
      </c>
      <c r="O6922" s="16">
        <f>IF($A6922&lt;Notes!$B$5,"",IF(COUNTIFS(Release_Calendar!$A$2:$A$755,"NZ_LABOUR",Release_Calendar!$B$2:$B$755,$A6922)&gt;0,1,0))</f>
        <v>0</v>
      </c>
      <c r="P6922" s="16">
        <f t="shared" si="4"/>
        <v>0</v>
      </c>
    </row>
    <row r="6923" ht="15.75" customHeight="1">
      <c r="A6923" s="14">
        <v>46217.0</v>
      </c>
      <c r="B6923" s="15">
        <v>4.18</v>
      </c>
      <c r="C6923" s="15">
        <v>3.69</v>
      </c>
      <c r="D6923" s="15"/>
      <c r="E6923" s="15">
        <v>3.65</v>
      </c>
      <c r="F6923" s="15">
        <f t="shared" si="1"/>
        <v>-0.49</v>
      </c>
      <c r="G6923" s="15">
        <f t="shared" si="2"/>
        <v>3.69</v>
      </c>
      <c r="H6923" s="16">
        <v>0.0</v>
      </c>
      <c r="I6923" s="15">
        <f t="shared" si="3"/>
        <v>-0.49</v>
      </c>
      <c r="J6923" s="15">
        <v>16.5</v>
      </c>
      <c r="K6923" s="16">
        <f>IF(COUNTIFS(Release_Calendar!$A$2:$A$755,"US_CPI",Release_Calendar!$B$2:$B$755,$A6923)&gt;0,1,0)</f>
        <v>1</v>
      </c>
      <c r="L6923" s="16">
        <f>IF(COUNTIFS(Release_Calendar!$A$2:$A$755,"US_NFP",Release_Calendar!$B$2:$B$755,$A6923)&gt;0,1,0)</f>
        <v>0</v>
      </c>
      <c r="M6923" s="16">
        <f>IF($A6923&lt;Notes!$B$5,"",IF(COUNTIFS(Release_Calendar!$A$2:$A$755,"NZ_CPI",Release_Calendar!$B$2:$B$755,$A6923)&gt;0,1,0))</f>
        <v>0</v>
      </c>
      <c r="N6923" s="16">
        <f>IF($A6923&lt;Notes!$B$5,"",IF(COUNTIFS(Release_Calendar!$A$2:$A$755,"NZ_GDP",Release_Calendar!$B$2:$B$755,$A6923)&gt;0,1,0))</f>
        <v>0</v>
      </c>
      <c r="O6923" s="16">
        <f>IF($A6923&lt;Notes!$B$5,"",IF(COUNTIFS(Release_Calendar!$A$2:$A$755,"NZ_LABOUR",Release_Calendar!$B$2:$B$755,$A6923)&gt;0,1,0))</f>
        <v>0</v>
      </c>
      <c r="P6923" s="16">
        <f t="shared" si="4"/>
        <v>1</v>
      </c>
    </row>
    <row r="6924" ht="15.75" customHeight="1">
      <c r="A6924" s="14">
        <v>46218.0</v>
      </c>
      <c r="B6924" s="15">
        <v>4.13</v>
      </c>
      <c r="C6924" s="15">
        <v>3.65</v>
      </c>
      <c r="D6924" s="15"/>
      <c r="E6924" s="15">
        <v>3.63</v>
      </c>
      <c r="F6924" s="15">
        <f t="shared" si="1"/>
        <v>-0.48</v>
      </c>
      <c r="G6924" s="15">
        <f t="shared" si="2"/>
        <v>3.65</v>
      </c>
      <c r="H6924" s="16">
        <v>0.0</v>
      </c>
      <c r="I6924" s="15">
        <f t="shared" si="3"/>
        <v>-0.48</v>
      </c>
      <c r="J6924" s="15">
        <v>15.67</v>
      </c>
      <c r="K6924" s="16">
        <f>IF(COUNTIFS(Release_Calendar!$A$2:$A$755,"US_CPI",Release_Calendar!$B$2:$B$755,$A6924)&gt;0,1,0)</f>
        <v>0</v>
      </c>
      <c r="L6924" s="16">
        <f>IF(COUNTIFS(Release_Calendar!$A$2:$A$755,"US_NFP",Release_Calendar!$B$2:$B$755,$A6924)&gt;0,1,0)</f>
        <v>0</v>
      </c>
      <c r="M6924" s="16">
        <f>IF($A6924&lt;Notes!$B$5,"",IF(COUNTIFS(Release_Calendar!$A$2:$A$755,"NZ_CPI",Release_Calendar!$B$2:$B$755,$A6924)&gt;0,1,0))</f>
        <v>0</v>
      </c>
      <c r="N6924" s="16">
        <f>IF($A6924&lt;Notes!$B$5,"",IF(COUNTIFS(Release_Calendar!$A$2:$A$755,"NZ_GDP",Release_Calendar!$B$2:$B$755,$A6924)&gt;0,1,0))</f>
        <v>0</v>
      </c>
      <c r="O6924" s="16">
        <f>IF($A6924&lt;Notes!$B$5,"",IF(COUNTIFS(Release_Calendar!$A$2:$A$755,"NZ_LABOUR",Release_Calendar!$B$2:$B$755,$A6924)&gt;0,1,0))</f>
        <v>0</v>
      </c>
      <c r="P6924" s="16">
        <f t="shared" si="4"/>
        <v>0</v>
      </c>
    </row>
    <row r="6925" ht="15.75" customHeight="1">
      <c r="A6925" s="14">
        <v>46219.0</v>
      </c>
      <c r="B6925" s="15">
        <v>4.16</v>
      </c>
      <c r="C6925" s="15">
        <v>3.6</v>
      </c>
      <c r="D6925" s="15"/>
      <c r="E6925" s="15">
        <v>3.58</v>
      </c>
      <c r="F6925" s="15">
        <f t="shared" si="1"/>
        <v>-0.56</v>
      </c>
      <c r="G6925" s="15">
        <f t="shared" si="2"/>
        <v>3.6</v>
      </c>
      <c r="H6925" s="16">
        <v>0.0</v>
      </c>
      <c r="I6925" s="15">
        <f t="shared" si="3"/>
        <v>-0.56</v>
      </c>
      <c r="J6925" s="15">
        <v>16.73</v>
      </c>
      <c r="K6925" s="16">
        <f>IF(COUNTIFS(Release_Calendar!$A$2:$A$755,"US_CPI",Release_Calendar!$B$2:$B$755,$A6925)&gt;0,1,0)</f>
        <v>0</v>
      </c>
      <c r="L6925" s="16">
        <f>IF(COUNTIFS(Release_Calendar!$A$2:$A$755,"US_NFP",Release_Calendar!$B$2:$B$755,$A6925)&gt;0,1,0)</f>
        <v>0</v>
      </c>
      <c r="M6925" s="16">
        <f>IF($A6925&lt;Notes!$B$5,"",IF(COUNTIFS(Release_Calendar!$A$2:$A$755,"NZ_CPI",Release_Calendar!$B$2:$B$755,$A6925)&gt;0,1,0))</f>
        <v>0</v>
      </c>
      <c r="N6925" s="16">
        <f>IF($A6925&lt;Notes!$B$5,"",IF(COUNTIFS(Release_Calendar!$A$2:$A$755,"NZ_GDP",Release_Calendar!$B$2:$B$755,$A6925)&gt;0,1,0))</f>
        <v>0</v>
      </c>
      <c r="O6925" s="16">
        <f>IF($A6925&lt;Notes!$B$5,"",IF(COUNTIFS(Release_Calendar!$A$2:$A$755,"NZ_LABOUR",Release_Calendar!$B$2:$B$755,$A6925)&gt;0,1,0))</f>
        <v>0</v>
      </c>
      <c r="P6925" s="16">
        <f t="shared" si="4"/>
        <v>0</v>
      </c>
    </row>
    <row r="6926" ht="15.75" customHeight="1">
      <c r="A6926" s="14">
        <v>46220.0</v>
      </c>
      <c r="B6926" s="15">
        <v>4.18</v>
      </c>
      <c r="C6926" s="15">
        <v>3.62</v>
      </c>
      <c r="D6926" s="15"/>
      <c r="E6926" s="15">
        <v>3.58</v>
      </c>
      <c r="F6926" s="15">
        <f t="shared" si="1"/>
        <v>-0.56</v>
      </c>
      <c r="G6926" s="15">
        <f t="shared" si="2"/>
        <v>3.62</v>
      </c>
      <c r="H6926" s="16">
        <v>0.0</v>
      </c>
      <c r="I6926" s="15">
        <f t="shared" si="3"/>
        <v>-0.56</v>
      </c>
      <c r="J6926" s="15">
        <v>18.77</v>
      </c>
      <c r="K6926" s="16">
        <f>IF(COUNTIFS(Release_Calendar!$A$2:$A$755,"US_CPI",Release_Calendar!$B$2:$B$755,$A6926)&gt;0,1,0)</f>
        <v>0</v>
      </c>
      <c r="L6926" s="16">
        <f>IF(COUNTIFS(Release_Calendar!$A$2:$A$755,"US_NFP",Release_Calendar!$B$2:$B$755,$A6926)&gt;0,1,0)</f>
        <v>0</v>
      </c>
      <c r="M6926" s="16">
        <f>IF($A6926&lt;Notes!$B$5,"",IF(COUNTIFS(Release_Calendar!$A$2:$A$755,"NZ_CPI",Release_Calendar!$B$2:$B$755,$A6926)&gt;0,1,0))</f>
        <v>0</v>
      </c>
      <c r="N6926" s="16">
        <f>IF($A6926&lt;Notes!$B$5,"",IF(COUNTIFS(Release_Calendar!$A$2:$A$755,"NZ_GDP",Release_Calendar!$B$2:$B$755,$A6926)&gt;0,1,0))</f>
        <v>0</v>
      </c>
      <c r="O6926" s="16">
        <f>IF($A6926&lt;Notes!$B$5,"",IF(COUNTIFS(Release_Calendar!$A$2:$A$755,"NZ_LABOUR",Release_Calendar!$B$2:$B$755,$A6926)&gt;0,1,0))</f>
        <v>0</v>
      </c>
      <c r="P6926" s="16">
        <f t="shared" si="4"/>
        <v>0</v>
      </c>
    </row>
    <row r="6927" ht="15.75" customHeight="1">
      <c r="A6927" s="14">
        <v>46223.0</v>
      </c>
      <c r="B6927" s="15">
        <v>4.21</v>
      </c>
      <c r="C6927" s="15">
        <v>3.69</v>
      </c>
      <c r="D6927" s="15"/>
      <c r="E6927" s="15">
        <v>3.65</v>
      </c>
      <c r="F6927" s="15">
        <f t="shared" si="1"/>
        <v>-0.52</v>
      </c>
      <c r="G6927" s="15">
        <f t="shared" si="2"/>
        <v>3.69</v>
      </c>
      <c r="H6927" s="16">
        <v>0.0</v>
      </c>
      <c r="I6927" s="15">
        <f t="shared" si="3"/>
        <v>-0.52</v>
      </c>
      <c r="J6927" s="15">
        <v>18.65</v>
      </c>
      <c r="K6927" s="16">
        <f>IF(COUNTIFS(Release_Calendar!$A$2:$A$755,"US_CPI",Release_Calendar!$B$2:$B$755,$A6927)&gt;0,1,0)</f>
        <v>0</v>
      </c>
      <c r="L6927" s="16">
        <f>IF(COUNTIFS(Release_Calendar!$A$2:$A$755,"US_NFP",Release_Calendar!$B$2:$B$755,$A6927)&gt;0,1,0)</f>
        <v>0</v>
      </c>
      <c r="M6927" s="16">
        <f>IF($A6927&lt;Notes!$B$5,"",IF(COUNTIFS(Release_Calendar!$A$2:$A$755,"NZ_CPI",Release_Calendar!$B$2:$B$755,$A6927)&gt;0,1,0))</f>
        <v>0</v>
      </c>
      <c r="N6927" s="16">
        <f>IF($A6927&lt;Notes!$B$5,"",IF(COUNTIFS(Release_Calendar!$A$2:$A$755,"NZ_GDP",Release_Calendar!$B$2:$B$755,$A6927)&gt;0,1,0))</f>
        <v>0</v>
      </c>
      <c r="O6927" s="16">
        <f>IF($A6927&lt;Notes!$B$5,"",IF(COUNTIFS(Release_Calendar!$A$2:$A$755,"NZ_LABOUR",Release_Calendar!$B$2:$B$755,$A6927)&gt;0,1,0))</f>
        <v>0</v>
      </c>
      <c r="P6927" s="16">
        <f t="shared" si="4"/>
        <v>0</v>
      </c>
    </row>
    <row r="6928" ht="15.75" customHeight="1">
      <c r="A6928" s="14">
        <v>46224.0</v>
      </c>
      <c r="B6928" s="15">
        <v>4.26</v>
      </c>
      <c r="C6928" s="15">
        <v>3.66</v>
      </c>
      <c r="D6928" s="15"/>
      <c r="E6928" s="15">
        <v>3.62</v>
      </c>
      <c r="F6928" s="15">
        <f t="shared" si="1"/>
        <v>-0.6</v>
      </c>
      <c r="G6928" s="15">
        <f t="shared" si="2"/>
        <v>3.66</v>
      </c>
      <c r="H6928" s="16">
        <v>0.0</v>
      </c>
      <c r="I6928" s="15">
        <f t="shared" si="3"/>
        <v>-0.6</v>
      </c>
      <c r="J6928" s="15">
        <v>17.05</v>
      </c>
      <c r="K6928" s="16">
        <f>IF(COUNTIFS(Release_Calendar!$A$2:$A$755,"US_CPI",Release_Calendar!$B$2:$B$755,$A6928)&gt;0,1,0)</f>
        <v>0</v>
      </c>
      <c r="L6928" s="16">
        <f>IF(COUNTIFS(Release_Calendar!$A$2:$A$755,"US_NFP",Release_Calendar!$B$2:$B$755,$A6928)&gt;0,1,0)</f>
        <v>0</v>
      </c>
      <c r="M6928" s="16">
        <f>IF($A6928&lt;Notes!$B$5,"",IF(COUNTIFS(Release_Calendar!$A$2:$A$755,"NZ_CPI",Release_Calendar!$B$2:$B$755,$A6928)&gt;0,1,0))</f>
        <v>1</v>
      </c>
      <c r="N6928" s="16">
        <f>IF($A6928&lt;Notes!$B$5,"",IF(COUNTIFS(Release_Calendar!$A$2:$A$755,"NZ_GDP",Release_Calendar!$B$2:$B$755,$A6928)&gt;0,1,0))</f>
        <v>0</v>
      </c>
      <c r="O6928" s="16">
        <f>IF($A6928&lt;Notes!$B$5,"",IF(COUNTIFS(Release_Calendar!$A$2:$A$755,"NZ_LABOUR",Release_Calendar!$B$2:$B$755,$A6928)&gt;0,1,0))</f>
        <v>0</v>
      </c>
      <c r="P6928" s="16">
        <f t="shared" si="4"/>
        <v>1</v>
      </c>
    </row>
    <row r="6929" ht="15.75" customHeight="1">
      <c r="A6929" s="14">
        <v>46225.0</v>
      </c>
      <c r="B6929" s="15">
        <v>4.31</v>
      </c>
      <c r="C6929" s="15">
        <v>3.67</v>
      </c>
      <c r="D6929" s="15"/>
      <c r="E6929" s="15">
        <v>3.63</v>
      </c>
      <c r="F6929" s="15">
        <f t="shared" si="1"/>
        <v>-0.64</v>
      </c>
      <c r="G6929" s="15">
        <f t="shared" si="2"/>
        <v>3.67</v>
      </c>
      <c r="H6929" s="16">
        <v>0.0</v>
      </c>
      <c r="I6929" s="15">
        <f t="shared" si="3"/>
        <v>-0.64</v>
      </c>
      <c r="J6929" s="15">
        <v>16.64</v>
      </c>
      <c r="K6929" s="16">
        <f>IF(COUNTIFS(Release_Calendar!$A$2:$A$755,"US_CPI",Release_Calendar!$B$2:$B$755,$A6929)&gt;0,1,0)</f>
        <v>0</v>
      </c>
      <c r="L6929" s="16">
        <f>IF(COUNTIFS(Release_Calendar!$A$2:$A$755,"US_NFP",Release_Calendar!$B$2:$B$755,$A6929)&gt;0,1,0)</f>
        <v>0</v>
      </c>
      <c r="M6929" s="16">
        <f>IF($A6929&lt;Notes!$B$5,"",IF(COUNTIFS(Release_Calendar!$A$2:$A$755,"NZ_CPI",Release_Calendar!$B$2:$B$755,$A6929)&gt;0,1,0))</f>
        <v>0</v>
      </c>
      <c r="N6929" s="16">
        <f>IF($A6929&lt;Notes!$B$5,"",IF(COUNTIFS(Release_Calendar!$A$2:$A$755,"NZ_GDP",Release_Calendar!$B$2:$B$755,$A6929)&gt;0,1,0))</f>
        <v>0</v>
      </c>
      <c r="O6929" s="16">
        <f>IF($A6929&lt;Notes!$B$5,"",IF(COUNTIFS(Release_Calendar!$A$2:$A$755,"NZ_LABOUR",Release_Calendar!$B$2:$B$755,$A6929)&gt;0,1,0))</f>
        <v>0</v>
      </c>
      <c r="P6929" s="16">
        <f t="shared" si="4"/>
        <v>0</v>
      </c>
    </row>
    <row r="6930" ht="15.75" customHeight="1">
      <c r="A6930" s="14">
        <v>46226.0</v>
      </c>
      <c r="B6930" s="15">
        <v>4.37</v>
      </c>
      <c r="C6930" s="15">
        <v>3.7</v>
      </c>
      <c r="D6930" s="15"/>
      <c r="E6930" s="15">
        <v>3.67</v>
      </c>
      <c r="F6930" s="15">
        <f t="shared" si="1"/>
        <v>-0.67</v>
      </c>
      <c r="G6930" s="15">
        <f t="shared" si="2"/>
        <v>3.7</v>
      </c>
      <c r="H6930" s="16">
        <v>0.0</v>
      </c>
      <c r="I6930" s="15">
        <f t="shared" si="3"/>
        <v>-0.67</v>
      </c>
      <c r="J6930" s="15">
        <v>18.7</v>
      </c>
      <c r="K6930" s="16">
        <f>IF(COUNTIFS(Release_Calendar!$A$2:$A$755,"US_CPI",Release_Calendar!$B$2:$B$755,$A6930)&gt;0,1,0)</f>
        <v>0</v>
      </c>
      <c r="L6930" s="16">
        <f>IF(COUNTIFS(Release_Calendar!$A$2:$A$755,"US_NFP",Release_Calendar!$B$2:$B$755,$A6930)&gt;0,1,0)</f>
        <v>0</v>
      </c>
      <c r="M6930" s="16">
        <f>IF($A6930&lt;Notes!$B$5,"",IF(COUNTIFS(Release_Calendar!$A$2:$A$755,"NZ_CPI",Release_Calendar!$B$2:$B$755,$A6930)&gt;0,1,0))</f>
        <v>0</v>
      </c>
      <c r="N6930" s="16">
        <f>IF($A6930&lt;Notes!$B$5,"",IF(COUNTIFS(Release_Calendar!$A$2:$A$755,"NZ_GDP",Release_Calendar!$B$2:$B$755,$A6930)&gt;0,1,0))</f>
        <v>0</v>
      </c>
      <c r="O6930" s="16">
        <f>IF($A6930&lt;Notes!$B$5,"",IF(COUNTIFS(Release_Calendar!$A$2:$A$755,"NZ_LABOUR",Release_Calendar!$B$2:$B$755,$A6930)&gt;0,1,0))</f>
        <v>0</v>
      </c>
      <c r="P6930" s="16">
        <f t="shared" si="4"/>
        <v>0</v>
      </c>
    </row>
    <row r="6931" ht="15.75" customHeight="1">
      <c r="A6931" s="14">
        <v>46227.0</v>
      </c>
      <c r="B6931" s="15">
        <v>4.33</v>
      </c>
      <c r="C6931" s="15">
        <v>3.81</v>
      </c>
      <c r="D6931" s="15"/>
      <c r="E6931" s="15">
        <v>3.77</v>
      </c>
      <c r="F6931" s="15">
        <f t="shared" si="1"/>
        <v>-0.52</v>
      </c>
      <c r="G6931" s="15">
        <f t="shared" si="2"/>
        <v>3.81</v>
      </c>
      <c r="H6931" s="16">
        <v>0.0</v>
      </c>
      <c r="I6931" s="15">
        <f t="shared" si="3"/>
        <v>-0.52</v>
      </c>
      <c r="J6931" s="15">
        <v>18.58</v>
      </c>
      <c r="K6931" s="16">
        <f>IF(COUNTIFS(Release_Calendar!$A$2:$A$755,"US_CPI",Release_Calendar!$B$2:$B$755,$A6931)&gt;0,1,0)</f>
        <v>0</v>
      </c>
      <c r="L6931" s="16">
        <f>IF(COUNTIFS(Release_Calendar!$A$2:$A$755,"US_NFP",Release_Calendar!$B$2:$B$755,$A6931)&gt;0,1,0)</f>
        <v>0</v>
      </c>
      <c r="M6931" s="16">
        <f>IF($A6931&lt;Notes!$B$5,"",IF(COUNTIFS(Release_Calendar!$A$2:$A$755,"NZ_CPI",Release_Calendar!$B$2:$B$755,$A6931)&gt;0,1,0))</f>
        <v>0</v>
      </c>
      <c r="N6931" s="16">
        <f>IF($A6931&lt;Notes!$B$5,"",IF(COUNTIFS(Release_Calendar!$A$2:$A$755,"NZ_GDP",Release_Calendar!$B$2:$B$755,$A6931)&gt;0,1,0))</f>
        <v>0</v>
      </c>
      <c r="O6931" s="16">
        <f>IF($A6931&lt;Notes!$B$5,"",IF(COUNTIFS(Release_Calendar!$A$2:$A$755,"NZ_LABOUR",Release_Calendar!$B$2:$B$755,$A6931)&gt;0,1,0))</f>
        <v>0</v>
      </c>
      <c r="P6931" s="16">
        <f t="shared" si="4"/>
        <v>0</v>
      </c>
    </row>
    <row r="6932" ht="15.75" customHeight="1">
      <c r="A6932" s="14">
        <v>46230.0</v>
      </c>
      <c r="B6932" s="15">
        <v>4.31</v>
      </c>
      <c r="C6932" s="15">
        <v>3.71</v>
      </c>
      <c r="D6932" s="15"/>
      <c r="E6932" s="15">
        <v>3.67</v>
      </c>
      <c r="F6932" s="15">
        <f t="shared" si="1"/>
        <v>-0.6</v>
      </c>
      <c r="G6932" s="15">
        <f t="shared" si="2"/>
        <v>3.71</v>
      </c>
      <c r="H6932" s="16">
        <v>0.0</v>
      </c>
      <c r="I6932" s="15">
        <f t="shared" si="3"/>
        <v>-0.6</v>
      </c>
      <c r="J6932" s="15">
        <v>18.67</v>
      </c>
      <c r="K6932" s="16">
        <f>IF(COUNTIFS(Release_Calendar!$A$2:$A$755,"US_CPI",Release_Calendar!$B$2:$B$755,$A6932)&gt;0,1,0)</f>
        <v>0</v>
      </c>
      <c r="L6932" s="16">
        <f>IF(COUNTIFS(Release_Calendar!$A$2:$A$755,"US_NFP",Release_Calendar!$B$2:$B$755,$A6932)&gt;0,1,0)</f>
        <v>0</v>
      </c>
      <c r="M6932" s="16">
        <f>IF($A6932&lt;Notes!$B$5,"",IF(COUNTIFS(Release_Calendar!$A$2:$A$755,"NZ_CPI",Release_Calendar!$B$2:$B$755,$A6932)&gt;0,1,0))</f>
        <v>0</v>
      </c>
      <c r="N6932" s="16">
        <f>IF($A6932&lt;Notes!$B$5,"",IF(COUNTIFS(Release_Calendar!$A$2:$A$755,"NZ_GDP",Release_Calendar!$B$2:$B$755,$A6932)&gt;0,1,0))</f>
        <v>0</v>
      </c>
      <c r="O6932" s="16">
        <f>IF($A6932&lt;Notes!$B$5,"",IF(COUNTIFS(Release_Calendar!$A$2:$A$755,"NZ_LABOUR",Release_Calendar!$B$2:$B$755,$A6932)&gt;0,1,0))</f>
        <v>0</v>
      </c>
      <c r="P6932" s="16">
        <f t="shared" si="4"/>
        <v>0</v>
      </c>
    </row>
    <row r="6933" ht="15.75" customHeight="1">
      <c r="A6933" s="14">
        <v>46231.0</v>
      </c>
      <c r="B6933" s="15">
        <v>4.26</v>
      </c>
      <c r="C6933" s="15">
        <v>3.7</v>
      </c>
      <c r="D6933" s="15"/>
      <c r="E6933" s="15">
        <v>3.68</v>
      </c>
      <c r="F6933" s="15">
        <f t="shared" si="1"/>
        <v>-0.56</v>
      </c>
      <c r="G6933" s="15">
        <f t="shared" si="2"/>
        <v>3.7</v>
      </c>
      <c r="H6933" s="16">
        <v>0.0</v>
      </c>
      <c r="I6933" s="15">
        <f t="shared" si="3"/>
        <v>-0.56</v>
      </c>
      <c r="J6933" s="15">
        <v>18.21</v>
      </c>
      <c r="K6933" s="16">
        <f>IF(COUNTIFS(Release_Calendar!$A$2:$A$755,"US_CPI",Release_Calendar!$B$2:$B$755,$A6933)&gt;0,1,0)</f>
        <v>0</v>
      </c>
      <c r="L6933" s="16">
        <f>IF(COUNTIFS(Release_Calendar!$A$2:$A$755,"US_NFP",Release_Calendar!$B$2:$B$755,$A6933)&gt;0,1,0)</f>
        <v>0</v>
      </c>
      <c r="M6933" s="16">
        <f>IF($A6933&lt;Notes!$B$5,"",IF(COUNTIFS(Release_Calendar!$A$2:$A$755,"NZ_CPI",Release_Calendar!$B$2:$B$755,$A6933)&gt;0,1,0))</f>
        <v>0</v>
      </c>
      <c r="N6933" s="16">
        <f>IF($A6933&lt;Notes!$B$5,"",IF(COUNTIFS(Release_Calendar!$A$2:$A$755,"NZ_GDP",Release_Calendar!$B$2:$B$755,$A6933)&gt;0,1,0))</f>
        <v>0</v>
      </c>
      <c r="O6933" s="16">
        <f>IF($A6933&lt;Notes!$B$5,"",IF(COUNTIFS(Release_Calendar!$A$2:$A$755,"NZ_LABOUR",Release_Calendar!$B$2:$B$755,$A6933)&gt;0,1,0))</f>
        <v>0</v>
      </c>
      <c r="P6933" s="16">
        <f t="shared" si="4"/>
        <v>0</v>
      </c>
    </row>
    <row r="6934" ht="15.75" customHeight="1">
      <c r="A6934" s="14">
        <v>46232.0</v>
      </c>
      <c r="B6934" s="15">
        <v>4.22</v>
      </c>
      <c r="C6934" s="15">
        <v>3.65</v>
      </c>
      <c r="D6934" s="15"/>
      <c r="E6934" s="15">
        <v>3.6</v>
      </c>
      <c r="F6934" s="15">
        <f t="shared" si="1"/>
        <v>-0.57</v>
      </c>
      <c r="G6934" s="15">
        <f t="shared" si="2"/>
        <v>3.65</v>
      </c>
      <c r="H6934" s="16">
        <v>0.0</v>
      </c>
      <c r="I6934" s="15">
        <f t="shared" si="3"/>
        <v>-0.57</v>
      </c>
      <c r="J6934" s="15">
        <v>20.66</v>
      </c>
      <c r="K6934" s="16">
        <f>IF(COUNTIFS(Release_Calendar!$A$2:$A$755,"US_CPI",Release_Calendar!$B$2:$B$755,$A6934)&gt;0,1,0)</f>
        <v>0</v>
      </c>
      <c r="L6934" s="16">
        <f>IF(COUNTIFS(Release_Calendar!$A$2:$A$755,"US_NFP",Release_Calendar!$B$2:$B$755,$A6934)&gt;0,1,0)</f>
        <v>0</v>
      </c>
      <c r="M6934" s="16">
        <f>IF($A6934&lt;Notes!$B$5,"",IF(COUNTIFS(Release_Calendar!$A$2:$A$755,"NZ_CPI",Release_Calendar!$B$2:$B$755,$A6934)&gt;0,1,0))</f>
        <v>0</v>
      </c>
      <c r="N6934" s="16">
        <f>IF($A6934&lt;Notes!$B$5,"",IF(COUNTIFS(Release_Calendar!$A$2:$A$755,"NZ_GDP",Release_Calendar!$B$2:$B$755,$A6934)&gt;0,1,0))</f>
        <v>0</v>
      </c>
      <c r="O6934" s="16">
        <f>IF($A6934&lt;Notes!$B$5,"",IF(COUNTIFS(Release_Calendar!$A$2:$A$755,"NZ_LABOUR",Release_Calendar!$B$2:$B$755,$A6934)&gt;0,1,0))</f>
        <v>0</v>
      </c>
      <c r="P6934" s="16">
        <f t="shared" si="4"/>
        <v>0</v>
      </c>
    </row>
    <row r="6935" ht="15.75" customHeight="1">
      <c r="A6935" s="14">
        <v>46233.0</v>
      </c>
      <c r="B6935" s="15">
        <v>4.23</v>
      </c>
      <c r="C6935" s="15">
        <v>3.7</v>
      </c>
      <c r="D6935" s="15"/>
      <c r="E6935" s="15">
        <v>3.65</v>
      </c>
      <c r="F6935" s="15">
        <f t="shared" si="1"/>
        <v>-0.53</v>
      </c>
      <c r="G6935" s="15">
        <f t="shared" si="2"/>
        <v>3.7</v>
      </c>
      <c r="H6935" s="16">
        <v>0.0</v>
      </c>
      <c r="I6935" s="15">
        <f t="shared" si="3"/>
        <v>-0.53</v>
      </c>
      <c r="J6935" s="15">
        <v>17.09</v>
      </c>
      <c r="K6935" s="16">
        <f>IF(COUNTIFS(Release_Calendar!$A$2:$A$755,"US_CPI",Release_Calendar!$B$2:$B$755,$A6935)&gt;0,1,0)</f>
        <v>0</v>
      </c>
      <c r="L6935" s="16">
        <f>IF(COUNTIFS(Release_Calendar!$A$2:$A$755,"US_NFP",Release_Calendar!$B$2:$B$755,$A6935)&gt;0,1,0)</f>
        <v>0</v>
      </c>
      <c r="M6935" s="16">
        <f>IF($A6935&lt;Notes!$B$5,"",IF(COUNTIFS(Release_Calendar!$A$2:$A$755,"NZ_CPI",Release_Calendar!$B$2:$B$755,$A6935)&gt;0,1,0))</f>
        <v>0</v>
      </c>
      <c r="N6935" s="16">
        <f>IF($A6935&lt;Notes!$B$5,"",IF(COUNTIFS(Release_Calendar!$A$2:$A$755,"NZ_GDP",Release_Calendar!$B$2:$B$755,$A6935)&gt;0,1,0))</f>
        <v>0</v>
      </c>
      <c r="O6935" s="16">
        <f>IF($A6935&lt;Notes!$B$5,"",IF(COUNTIFS(Release_Calendar!$A$2:$A$755,"NZ_LABOUR",Release_Calendar!$B$2:$B$755,$A6935)&gt;0,1,0))</f>
        <v>0</v>
      </c>
      <c r="P6935" s="16">
        <f t="shared" si="4"/>
        <v>0</v>
      </c>
    </row>
    <row r="6936" ht="15.75" customHeight="1">
      <c r="A6936" s="14">
        <v>46234.0</v>
      </c>
      <c r="B6936" s="15">
        <v>4.28</v>
      </c>
      <c r="C6936" s="15">
        <v>3.68</v>
      </c>
      <c r="D6936" s="15"/>
      <c r="E6936" s="15">
        <v>3.61</v>
      </c>
      <c r="F6936" s="15">
        <f t="shared" si="1"/>
        <v>-0.6</v>
      </c>
      <c r="G6936" s="15">
        <f t="shared" si="2"/>
        <v>3.68</v>
      </c>
      <c r="H6936" s="16">
        <v>0.0</v>
      </c>
      <c r="I6936" s="15">
        <f t="shared" si="3"/>
        <v>-0.6</v>
      </c>
      <c r="J6936" s="15">
        <v>15.99</v>
      </c>
      <c r="K6936" s="16">
        <f>IF(COUNTIFS(Release_Calendar!$A$2:$A$755,"US_CPI",Release_Calendar!$B$2:$B$755,$A6936)&gt;0,1,0)</f>
        <v>0</v>
      </c>
      <c r="L6936" s="16">
        <f>IF(COUNTIFS(Release_Calendar!$A$2:$A$755,"US_NFP",Release_Calendar!$B$2:$B$755,$A6936)&gt;0,1,0)</f>
        <v>0</v>
      </c>
      <c r="M6936" s="16">
        <f>IF($A6936&lt;Notes!$B$5,"",IF(COUNTIFS(Release_Calendar!$A$2:$A$755,"NZ_CPI",Release_Calendar!$B$2:$B$755,$A6936)&gt;0,1,0))</f>
        <v>0</v>
      </c>
      <c r="N6936" s="16">
        <f>IF($A6936&lt;Notes!$B$5,"",IF(COUNTIFS(Release_Calendar!$A$2:$A$755,"NZ_GDP",Release_Calendar!$B$2:$B$755,$A6936)&gt;0,1,0))</f>
        <v>0</v>
      </c>
      <c r="O6936" s="16">
        <f>IF($A6936&lt;Notes!$B$5,"",IF(COUNTIFS(Release_Calendar!$A$2:$A$755,"NZ_LABOUR",Release_Calendar!$B$2:$B$755,$A6936)&gt;0,1,0))</f>
        <v>0</v>
      </c>
      <c r="P6936" s="16">
        <f t="shared" si="4"/>
        <v>0</v>
      </c>
    </row>
    <row r="6937" ht="15.75" customHeight="1">
      <c r="A6937" s="14">
        <v>46237.0</v>
      </c>
      <c r="B6937" s="15">
        <v>4.25</v>
      </c>
      <c r="C6937" s="15">
        <v>3.7</v>
      </c>
      <c r="D6937" s="15"/>
      <c r="E6937" s="15">
        <v>3.64</v>
      </c>
      <c r="F6937" s="15">
        <f t="shared" si="1"/>
        <v>-0.55</v>
      </c>
      <c r="G6937" s="15">
        <f t="shared" si="2"/>
        <v>3.7</v>
      </c>
      <c r="H6937" s="16">
        <v>0.0</v>
      </c>
      <c r="I6937" s="15">
        <f t="shared" si="3"/>
        <v>-0.55</v>
      </c>
      <c r="J6937" s="15">
        <v>15.86</v>
      </c>
      <c r="K6937" s="16">
        <f>IF(COUNTIFS(Release_Calendar!$A$2:$A$755,"US_CPI",Release_Calendar!$B$2:$B$755,$A6937)&gt;0,1,0)</f>
        <v>0</v>
      </c>
      <c r="L6937" s="16">
        <f>IF(COUNTIFS(Release_Calendar!$A$2:$A$755,"US_NFP",Release_Calendar!$B$2:$B$755,$A6937)&gt;0,1,0)</f>
        <v>0</v>
      </c>
      <c r="M6937" s="16">
        <f>IF($A6937&lt;Notes!$B$5,"",IF(COUNTIFS(Release_Calendar!$A$2:$A$755,"NZ_CPI",Release_Calendar!$B$2:$B$755,$A6937)&gt;0,1,0))</f>
        <v>0</v>
      </c>
      <c r="N6937" s="16">
        <f>IF($A6937&lt;Notes!$B$5,"",IF(COUNTIFS(Release_Calendar!$A$2:$A$755,"NZ_GDP",Release_Calendar!$B$2:$B$755,$A6937)&gt;0,1,0))</f>
        <v>0</v>
      </c>
      <c r="O6937" s="16">
        <f>IF($A6937&lt;Notes!$B$5,"",IF(COUNTIFS(Release_Calendar!$A$2:$A$755,"NZ_LABOUR",Release_Calendar!$B$2:$B$755,$A6937)&gt;0,1,0))</f>
        <v>0</v>
      </c>
      <c r="P6937" s="16">
        <f t="shared" si="4"/>
        <v>0</v>
      </c>
    </row>
    <row r="6938" ht="15.75" customHeight="1">
      <c r="A6938" s="14">
        <v>46238.0</v>
      </c>
      <c r="B6938" s="15">
        <v>4.2</v>
      </c>
      <c r="C6938" s="15">
        <v>3.7</v>
      </c>
      <c r="D6938" s="15"/>
      <c r="E6938" s="15">
        <v>3.63</v>
      </c>
      <c r="F6938" s="15">
        <f t="shared" si="1"/>
        <v>-0.5</v>
      </c>
      <c r="G6938" s="15">
        <f t="shared" si="2"/>
        <v>3.7</v>
      </c>
      <c r="H6938" s="16">
        <v>0.0</v>
      </c>
      <c r="I6938" s="15">
        <f t="shared" si="3"/>
        <v>-0.5</v>
      </c>
      <c r="J6938" s="15">
        <v>16.5</v>
      </c>
      <c r="K6938" s="16">
        <f>IF(COUNTIFS(Release_Calendar!$A$2:$A$755,"US_CPI",Release_Calendar!$B$2:$B$755,$A6938)&gt;0,1,0)</f>
        <v>0</v>
      </c>
      <c r="L6938" s="16">
        <f>IF(COUNTIFS(Release_Calendar!$A$2:$A$755,"US_NFP",Release_Calendar!$B$2:$B$755,$A6938)&gt;0,1,0)</f>
        <v>0</v>
      </c>
      <c r="M6938" s="16">
        <f>IF($A6938&lt;Notes!$B$5,"",IF(COUNTIFS(Release_Calendar!$A$2:$A$755,"NZ_CPI",Release_Calendar!$B$2:$B$755,$A6938)&gt;0,1,0))</f>
        <v>0</v>
      </c>
      <c r="N6938" s="16">
        <f>IF($A6938&lt;Notes!$B$5,"",IF(COUNTIFS(Release_Calendar!$A$2:$A$755,"NZ_GDP",Release_Calendar!$B$2:$B$755,$A6938)&gt;0,1,0))</f>
        <v>0</v>
      </c>
      <c r="O6938" s="16">
        <f>IF($A6938&lt;Notes!$B$5,"",IF(COUNTIFS(Release_Calendar!$A$2:$A$755,"NZ_LABOUR",Release_Calendar!$B$2:$B$755,$A6938)&gt;0,1,0))</f>
        <v>0</v>
      </c>
      <c r="P6938" s="16">
        <f t="shared" si="4"/>
        <v>0</v>
      </c>
    </row>
    <row r="6939" ht="15.75" customHeight="1">
      <c r="A6939" s="14">
        <v>46239.0</v>
      </c>
      <c r="B6939" s="15">
        <v>4.18</v>
      </c>
      <c r="C6939" s="15">
        <v>3.62</v>
      </c>
      <c r="D6939" s="15"/>
      <c r="E6939" s="15">
        <v>3.55</v>
      </c>
      <c r="F6939" s="15">
        <f t="shared" si="1"/>
        <v>-0.56</v>
      </c>
      <c r="G6939" s="15">
        <f t="shared" si="2"/>
        <v>3.62</v>
      </c>
      <c r="H6939" s="16">
        <v>0.0</v>
      </c>
      <c r="I6939" s="15">
        <f t="shared" si="3"/>
        <v>-0.56</v>
      </c>
      <c r="J6939" s="15">
        <v>15.81</v>
      </c>
      <c r="K6939" s="16">
        <f>IF(COUNTIFS(Release_Calendar!$A$2:$A$755,"US_CPI",Release_Calendar!$B$2:$B$755,$A6939)&gt;0,1,0)</f>
        <v>0</v>
      </c>
      <c r="L6939" s="16">
        <f>IF(COUNTIFS(Release_Calendar!$A$2:$A$755,"US_NFP",Release_Calendar!$B$2:$B$755,$A6939)&gt;0,1,0)</f>
        <v>0</v>
      </c>
      <c r="M6939" s="16">
        <f>IF($A6939&lt;Notes!$B$5,"",IF(COUNTIFS(Release_Calendar!$A$2:$A$755,"NZ_CPI",Release_Calendar!$B$2:$B$755,$A6939)&gt;0,1,0))</f>
        <v>0</v>
      </c>
      <c r="N6939" s="16">
        <f>IF($A6939&lt;Notes!$B$5,"",IF(COUNTIFS(Release_Calendar!$A$2:$A$755,"NZ_GDP",Release_Calendar!$B$2:$B$755,$A6939)&gt;0,1,0))</f>
        <v>0</v>
      </c>
      <c r="O6939" s="16">
        <f>IF($A6939&lt;Notes!$B$5,"",IF(COUNTIFS(Release_Calendar!$A$2:$A$755,"NZ_LABOUR",Release_Calendar!$B$2:$B$755,$A6939)&gt;0,1,0))</f>
        <v>1</v>
      </c>
      <c r="P6939" s="16">
        <f t="shared" si="4"/>
        <v>1</v>
      </c>
    </row>
    <row r="6940" ht="15.75" customHeight="1">
      <c r="A6940" s="14">
        <v>46240.0</v>
      </c>
      <c r="B6940" s="15">
        <v>4.25</v>
      </c>
      <c r="C6940" s="15">
        <v>3.62</v>
      </c>
      <c r="D6940" s="15"/>
      <c r="E6940" s="15">
        <v>3.54</v>
      </c>
      <c r="F6940" s="15">
        <f t="shared" si="1"/>
        <v>-0.63</v>
      </c>
      <c r="G6940" s="15">
        <f t="shared" si="2"/>
        <v>3.62</v>
      </c>
      <c r="H6940" s="16">
        <v>0.0</v>
      </c>
      <c r="I6940" s="15">
        <f t="shared" si="3"/>
        <v>-0.63</v>
      </c>
      <c r="J6940" s="15">
        <v>15.15</v>
      </c>
      <c r="K6940" s="16">
        <f>IF(COUNTIFS(Release_Calendar!$A$2:$A$755,"US_CPI",Release_Calendar!$B$2:$B$755,$A6940)&gt;0,1,0)</f>
        <v>0</v>
      </c>
      <c r="L6940" s="16">
        <f>IF(COUNTIFS(Release_Calendar!$A$2:$A$755,"US_NFP",Release_Calendar!$B$2:$B$755,$A6940)&gt;0,1,0)</f>
        <v>0</v>
      </c>
      <c r="M6940" s="16">
        <f>IF($A6940&lt;Notes!$B$5,"",IF(COUNTIFS(Release_Calendar!$A$2:$A$755,"NZ_CPI",Release_Calendar!$B$2:$B$755,$A6940)&gt;0,1,0))</f>
        <v>0</v>
      </c>
      <c r="N6940" s="16">
        <f>IF($A6940&lt;Notes!$B$5,"",IF(COUNTIFS(Release_Calendar!$A$2:$A$755,"NZ_GDP",Release_Calendar!$B$2:$B$755,$A6940)&gt;0,1,0))</f>
        <v>0</v>
      </c>
      <c r="O6940" s="16">
        <f>IF($A6940&lt;Notes!$B$5,"",IF(COUNTIFS(Release_Calendar!$A$2:$A$755,"NZ_LABOUR",Release_Calendar!$B$2:$B$755,$A6940)&gt;0,1,0))</f>
        <v>0</v>
      </c>
      <c r="P6940" s="16">
        <f t="shared" si="4"/>
        <v>0</v>
      </c>
    </row>
    <row r="6941" ht="15.75" customHeight="1">
      <c r="A6941" s="14">
        <v>46241.0</v>
      </c>
      <c r="B6941" s="15">
        <v>4.19</v>
      </c>
      <c r="C6941" s="15">
        <v>3.66</v>
      </c>
      <c r="D6941" s="15"/>
      <c r="E6941" s="15">
        <v>3.59</v>
      </c>
      <c r="F6941" s="15">
        <f t="shared" si="1"/>
        <v>-0.53</v>
      </c>
      <c r="G6941" s="15">
        <f t="shared" si="2"/>
        <v>3.66</v>
      </c>
      <c r="H6941" s="16">
        <v>0.0</v>
      </c>
      <c r="I6941" s="15">
        <f t="shared" si="3"/>
        <v>-0.53</v>
      </c>
      <c r="J6941" s="15">
        <v>14.9</v>
      </c>
      <c r="K6941" s="16">
        <f>IF(COUNTIFS(Release_Calendar!$A$2:$A$755,"US_CPI",Release_Calendar!$B$2:$B$755,$A6941)&gt;0,1,0)</f>
        <v>0</v>
      </c>
      <c r="L6941" s="16">
        <f>IF(COUNTIFS(Release_Calendar!$A$2:$A$755,"US_NFP",Release_Calendar!$B$2:$B$755,$A6941)&gt;0,1,0)</f>
        <v>1</v>
      </c>
      <c r="M6941" s="16">
        <f>IF($A6941&lt;Notes!$B$5,"",IF(COUNTIFS(Release_Calendar!$A$2:$A$755,"NZ_CPI",Release_Calendar!$B$2:$B$755,$A6941)&gt;0,1,0))</f>
        <v>0</v>
      </c>
      <c r="N6941" s="16">
        <f>IF($A6941&lt;Notes!$B$5,"",IF(COUNTIFS(Release_Calendar!$A$2:$A$755,"NZ_GDP",Release_Calendar!$B$2:$B$755,$A6941)&gt;0,1,0))</f>
        <v>0</v>
      </c>
      <c r="O6941" s="16">
        <f>IF($A6941&lt;Notes!$B$5,"",IF(COUNTIFS(Release_Calendar!$A$2:$A$755,"NZ_LABOUR",Release_Calendar!$B$2:$B$755,$A6941)&gt;0,1,0))</f>
        <v>0</v>
      </c>
      <c r="P6941" s="16">
        <f t="shared" si="4"/>
        <v>1</v>
      </c>
    </row>
    <row r="6942" ht="15.75" customHeight="1">
      <c r="A6942" s="14">
        <v>46244.0</v>
      </c>
      <c r="B6942" s="15">
        <v>4.25</v>
      </c>
      <c r="C6942" s="15">
        <v>3.64</v>
      </c>
      <c r="D6942" s="15"/>
      <c r="E6942" s="15">
        <v>3.57</v>
      </c>
      <c r="F6942" s="15">
        <f t="shared" si="1"/>
        <v>-0.61</v>
      </c>
      <c r="G6942" s="15">
        <f t="shared" si="2"/>
        <v>3.64</v>
      </c>
      <c r="H6942" s="16">
        <v>0.0</v>
      </c>
      <c r="I6942" s="15">
        <f t="shared" si="3"/>
        <v>-0.61</v>
      </c>
      <c r="J6942" s="15">
        <v>15.46</v>
      </c>
      <c r="K6942" s="16">
        <f>IF(COUNTIFS(Release_Calendar!$A$2:$A$755,"US_CPI",Release_Calendar!$B$2:$B$755,$A6942)&gt;0,1,0)</f>
        <v>0</v>
      </c>
      <c r="L6942" s="16">
        <f>IF(COUNTIFS(Release_Calendar!$A$2:$A$755,"US_NFP",Release_Calendar!$B$2:$B$755,$A6942)&gt;0,1,0)</f>
        <v>0</v>
      </c>
      <c r="M6942" s="16">
        <f>IF($A6942&lt;Notes!$B$5,"",IF(COUNTIFS(Release_Calendar!$A$2:$A$755,"NZ_CPI",Release_Calendar!$B$2:$B$755,$A6942)&gt;0,1,0))</f>
        <v>0</v>
      </c>
      <c r="N6942" s="16">
        <f>IF($A6942&lt;Notes!$B$5,"",IF(COUNTIFS(Release_Calendar!$A$2:$A$755,"NZ_GDP",Release_Calendar!$B$2:$B$755,$A6942)&gt;0,1,0))</f>
        <v>0</v>
      </c>
      <c r="O6942" s="16">
        <f>IF($A6942&lt;Notes!$B$5,"",IF(COUNTIFS(Release_Calendar!$A$2:$A$755,"NZ_LABOUR",Release_Calendar!$B$2:$B$755,$A6942)&gt;0,1,0))</f>
        <v>0</v>
      </c>
      <c r="P6942" s="16">
        <f t="shared" si="4"/>
        <v>0</v>
      </c>
    </row>
    <row r="6943" ht="15.75" customHeight="1">
      <c r="A6943" s="14">
        <v>46245.0</v>
      </c>
      <c r="B6943" s="15">
        <v>4.22</v>
      </c>
      <c r="C6943" s="15">
        <v>3.66</v>
      </c>
      <c r="D6943" s="15"/>
      <c r="E6943" s="15">
        <v>3.58</v>
      </c>
      <c r="F6943" s="15">
        <f t="shared" si="1"/>
        <v>-0.56</v>
      </c>
      <c r="G6943" s="15">
        <f t="shared" si="2"/>
        <v>3.66</v>
      </c>
      <c r="H6943" s="16">
        <v>0.0</v>
      </c>
      <c r="I6943" s="15">
        <f t="shared" si="3"/>
        <v>-0.56</v>
      </c>
      <c r="J6943" s="15">
        <v>15.28</v>
      </c>
      <c r="K6943" s="16">
        <f>IF(COUNTIFS(Release_Calendar!$A$2:$A$755,"US_CPI",Release_Calendar!$B$2:$B$755,$A6943)&gt;0,1,0)</f>
        <v>0</v>
      </c>
      <c r="L6943" s="16">
        <f>IF(COUNTIFS(Release_Calendar!$A$2:$A$755,"US_NFP",Release_Calendar!$B$2:$B$755,$A6943)&gt;0,1,0)</f>
        <v>0</v>
      </c>
      <c r="M6943" s="16">
        <f>IF($A6943&lt;Notes!$B$5,"",IF(COUNTIFS(Release_Calendar!$A$2:$A$755,"NZ_CPI",Release_Calendar!$B$2:$B$755,$A6943)&gt;0,1,0))</f>
        <v>0</v>
      </c>
      <c r="N6943" s="16">
        <f>IF($A6943&lt;Notes!$B$5,"",IF(COUNTIFS(Release_Calendar!$A$2:$A$755,"NZ_GDP",Release_Calendar!$B$2:$B$755,$A6943)&gt;0,1,0))</f>
        <v>0</v>
      </c>
      <c r="O6943" s="16">
        <f>IF($A6943&lt;Notes!$B$5,"",IF(COUNTIFS(Release_Calendar!$A$2:$A$755,"NZ_LABOUR",Release_Calendar!$B$2:$B$755,$A6943)&gt;0,1,0))</f>
        <v>0</v>
      </c>
      <c r="P6943" s="16">
        <f t="shared" si="4"/>
        <v>0</v>
      </c>
    </row>
    <row r="6944" ht="15.75" customHeight="1">
      <c r="A6944" s="14">
        <v>46246.0</v>
      </c>
      <c r="B6944" s="15">
        <v>4.2</v>
      </c>
      <c r="C6944" s="15">
        <v>3.65</v>
      </c>
      <c r="D6944" s="15"/>
      <c r="E6944" s="15">
        <v>3.56</v>
      </c>
      <c r="F6944" s="15">
        <f t="shared" si="1"/>
        <v>-0.55</v>
      </c>
      <c r="G6944" s="15">
        <f t="shared" si="2"/>
        <v>3.65</v>
      </c>
      <c r="H6944" s="16">
        <v>0.0</v>
      </c>
      <c r="I6944" s="15">
        <f t="shared" si="3"/>
        <v>-0.55</v>
      </c>
      <c r="J6944" s="15">
        <v>14.55</v>
      </c>
      <c r="K6944" s="16">
        <f>IF(COUNTIFS(Release_Calendar!$A$2:$A$755,"US_CPI",Release_Calendar!$B$2:$B$755,$A6944)&gt;0,1,0)</f>
        <v>1</v>
      </c>
      <c r="L6944" s="16">
        <f>IF(COUNTIFS(Release_Calendar!$A$2:$A$755,"US_NFP",Release_Calendar!$B$2:$B$755,$A6944)&gt;0,1,0)</f>
        <v>0</v>
      </c>
      <c r="M6944" s="16">
        <f>IF($A6944&lt;Notes!$B$5,"",IF(COUNTIFS(Release_Calendar!$A$2:$A$755,"NZ_CPI",Release_Calendar!$B$2:$B$755,$A6944)&gt;0,1,0))</f>
        <v>0</v>
      </c>
      <c r="N6944" s="16">
        <f>IF($A6944&lt;Notes!$B$5,"",IF(COUNTIFS(Release_Calendar!$A$2:$A$755,"NZ_GDP",Release_Calendar!$B$2:$B$755,$A6944)&gt;0,1,0))</f>
        <v>0</v>
      </c>
      <c r="O6944" s="16">
        <f>IF($A6944&lt;Notes!$B$5,"",IF(COUNTIFS(Release_Calendar!$A$2:$A$755,"NZ_LABOUR",Release_Calendar!$B$2:$B$755,$A6944)&gt;0,1,0))</f>
        <v>0</v>
      </c>
      <c r="P6944" s="16">
        <f t="shared" si="4"/>
        <v>1</v>
      </c>
    </row>
    <row r="6945" ht="15.75" customHeight="1">
      <c r="A6945" s="14">
        <v>46247.0</v>
      </c>
      <c r="B6945" s="15">
        <v>4.15</v>
      </c>
      <c r="C6945" s="15">
        <v>3.59</v>
      </c>
      <c r="D6945" s="15"/>
      <c r="E6945" s="15">
        <v>3.51</v>
      </c>
      <c r="F6945" s="15">
        <f t="shared" si="1"/>
        <v>-0.56</v>
      </c>
      <c r="G6945" s="15">
        <f t="shared" si="2"/>
        <v>3.59</v>
      </c>
      <c r="H6945" s="16">
        <v>0.0</v>
      </c>
      <c r="I6945" s="15">
        <f t="shared" si="3"/>
        <v>-0.56</v>
      </c>
      <c r="J6945" s="15">
        <v>14.63</v>
      </c>
      <c r="K6945" s="16">
        <f>IF(COUNTIFS(Release_Calendar!$A$2:$A$755,"US_CPI",Release_Calendar!$B$2:$B$755,$A6945)&gt;0,1,0)</f>
        <v>0</v>
      </c>
      <c r="L6945" s="16">
        <f>IF(COUNTIFS(Release_Calendar!$A$2:$A$755,"US_NFP",Release_Calendar!$B$2:$B$755,$A6945)&gt;0,1,0)</f>
        <v>0</v>
      </c>
      <c r="M6945" s="16">
        <f>IF($A6945&lt;Notes!$B$5,"",IF(COUNTIFS(Release_Calendar!$A$2:$A$755,"NZ_CPI",Release_Calendar!$B$2:$B$755,$A6945)&gt;0,1,0))</f>
        <v>0</v>
      </c>
      <c r="N6945" s="16">
        <f>IF($A6945&lt;Notes!$B$5,"",IF(COUNTIFS(Release_Calendar!$A$2:$A$755,"NZ_GDP",Release_Calendar!$B$2:$B$755,$A6945)&gt;0,1,0))</f>
        <v>0</v>
      </c>
      <c r="O6945" s="16">
        <f>IF($A6945&lt;Notes!$B$5,"",IF(COUNTIFS(Release_Calendar!$A$2:$A$755,"NZ_LABOUR",Release_Calendar!$B$2:$B$755,$A6945)&gt;0,1,0))</f>
        <v>0</v>
      </c>
      <c r="P6945" s="16">
        <f t="shared" si="4"/>
        <v>0</v>
      </c>
    </row>
    <row r="6946" ht="15.75" customHeight="1">
      <c r="A6946" s="14">
        <v>46248.0</v>
      </c>
      <c r="B6946" s="15">
        <v>4.17</v>
      </c>
      <c r="C6946" s="15">
        <v>3.61</v>
      </c>
      <c r="D6946" s="15"/>
      <c r="E6946" s="15">
        <v>3.54</v>
      </c>
      <c r="F6946" s="15">
        <f t="shared" si="1"/>
        <v>-0.56</v>
      </c>
      <c r="G6946" s="15">
        <f t="shared" si="2"/>
        <v>3.61</v>
      </c>
      <c r="H6946" s="16">
        <v>0.0</v>
      </c>
      <c r="I6946" s="15">
        <f t="shared" si="3"/>
        <v>-0.56</v>
      </c>
      <c r="J6946" s="15">
        <v>14.25</v>
      </c>
      <c r="K6946" s="16">
        <f>IF(COUNTIFS(Release_Calendar!$A$2:$A$755,"US_CPI",Release_Calendar!$B$2:$B$755,$A6946)&gt;0,1,0)</f>
        <v>0</v>
      </c>
      <c r="L6946" s="16">
        <f>IF(COUNTIFS(Release_Calendar!$A$2:$A$755,"US_NFP",Release_Calendar!$B$2:$B$755,$A6946)&gt;0,1,0)</f>
        <v>0</v>
      </c>
      <c r="M6946" s="16">
        <f>IF($A6946&lt;Notes!$B$5,"",IF(COUNTIFS(Release_Calendar!$A$2:$A$755,"NZ_CPI",Release_Calendar!$B$2:$B$755,$A6946)&gt;0,1,0))</f>
        <v>0</v>
      </c>
      <c r="N6946" s="16">
        <f>IF($A6946&lt;Notes!$B$5,"",IF(COUNTIFS(Release_Calendar!$A$2:$A$755,"NZ_GDP",Release_Calendar!$B$2:$B$755,$A6946)&gt;0,1,0))</f>
        <v>0</v>
      </c>
      <c r="O6946" s="16">
        <f>IF($A6946&lt;Notes!$B$5,"",IF(COUNTIFS(Release_Calendar!$A$2:$A$755,"NZ_LABOUR",Release_Calendar!$B$2:$B$755,$A6946)&gt;0,1,0))</f>
        <v>0</v>
      </c>
      <c r="P6946" s="16">
        <f t="shared" si="4"/>
        <v>0</v>
      </c>
    </row>
    <row r="6947" ht="15.75" customHeight="1">
      <c r="A6947" s="14">
        <v>46251.0</v>
      </c>
      <c r="B6947" s="15">
        <v>4.19</v>
      </c>
      <c r="C6947" s="15">
        <v>3.63</v>
      </c>
      <c r="D6947" s="15"/>
      <c r="E6947" s="15">
        <v>3.55</v>
      </c>
      <c r="F6947" s="15">
        <f t="shared" si="1"/>
        <v>-0.56</v>
      </c>
      <c r="G6947" s="15">
        <f t="shared" si="2"/>
        <v>3.63</v>
      </c>
      <c r="H6947" s="16">
        <v>0.0</v>
      </c>
      <c r="I6947" s="15">
        <f t="shared" si="3"/>
        <v>-0.56</v>
      </c>
      <c r="J6947" s="15">
        <v>15.19</v>
      </c>
      <c r="K6947" s="16">
        <f>IF(COUNTIFS(Release_Calendar!$A$2:$A$755,"US_CPI",Release_Calendar!$B$2:$B$755,$A6947)&gt;0,1,0)</f>
        <v>0</v>
      </c>
      <c r="L6947" s="16">
        <f>IF(COUNTIFS(Release_Calendar!$A$2:$A$755,"US_NFP",Release_Calendar!$B$2:$B$755,$A6947)&gt;0,1,0)</f>
        <v>0</v>
      </c>
      <c r="M6947" s="16">
        <f>IF($A6947&lt;Notes!$B$5,"",IF(COUNTIFS(Release_Calendar!$A$2:$A$755,"NZ_CPI",Release_Calendar!$B$2:$B$755,$A6947)&gt;0,1,0))</f>
        <v>0</v>
      </c>
      <c r="N6947" s="16">
        <f>IF($A6947&lt;Notes!$B$5,"",IF(COUNTIFS(Release_Calendar!$A$2:$A$755,"NZ_GDP",Release_Calendar!$B$2:$B$755,$A6947)&gt;0,1,0))</f>
        <v>0</v>
      </c>
      <c r="O6947" s="16">
        <f>IF($A6947&lt;Notes!$B$5,"",IF(COUNTIFS(Release_Calendar!$A$2:$A$755,"NZ_LABOUR",Release_Calendar!$B$2:$B$755,$A6947)&gt;0,1,0))</f>
        <v>0</v>
      </c>
      <c r="P6947" s="16">
        <f t="shared" si="4"/>
        <v>0</v>
      </c>
    </row>
    <row r="6948" ht="15.75" customHeight="1">
      <c r="A6948" s="14">
        <v>46252.0</v>
      </c>
      <c r="B6948" s="15">
        <v>4.19</v>
      </c>
      <c r="C6948" s="15">
        <v>3.64</v>
      </c>
      <c r="D6948" s="15"/>
      <c r="E6948" s="15">
        <v>3.56</v>
      </c>
      <c r="F6948" s="15">
        <f t="shared" si="1"/>
        <v>-0.55</v>
      </c>
      <c r="G6948" s="15">
        <f t="shared" si="2"/>
        <v>3.64</v>
      </c>
      <c r="H6948" s="16">
        <v>0.0</v>
      </c>
      <c r="I6948" s="15">
        <f t="shared" si="3"/>
        <v>-0.55</v>
      </c>
      <c r="J6948" s="15">
        <v>15.84</v>
      </c>
      <c r="K6948" s="16">
        <f>IF(COUNTIFS(Release_Calendar!$A$2:$A$755,"US_CPI",Release_Calendar!$B$2:$B$755,$A6948)&gt;0,1,0)</f>
        <v>0</v>
      </c>
      <c r="L6948" s="16">
        <f>IF(COUNTIFS(Release_Calendar!$A$2:$A$755,"US_NFP",Release_Calendar!$B$2:$B$755,$A6948)&gt;0,1,0)</f>
        <v>0</v>
      </c>
      <c r="M6948" s="16">
        <f>IF($A6948&lt;Notes!$B$5,"",IF(COUNTIFS(Release_Calendar!$A$2:$A$755,"NZ_CPI",Release_Calendar!$B$2:$B$755,$A6948)&gt;0,1,0))</f>
        <v>0</v>
      </c>
      <c r="N6948" s="16">
        <f>IF($A6948&lt;Notes!$B$5,"",IF(COUNTIFS(Release_Calendar!$A$2:$A$755,"NZ_GDP",Release_Calendar!$B$2:$B$755,$A6948)&gt;0,1,0))</f>
        <v>0</v>
      </c>
      <c r="O6948" s="16">
        <f>IF($A6948&lt;Notes!$B$5,"",IF(COUNTIFS(Release_Calendar!$A$2:$A$755,"NZ_LABOUR",Release_Calendar!$B$2:$B$755,$A6948)&gt;0,1,0))</f>
        <v>0</v>
      </c>
      <c r="P6948" s="16">
        <f t="shared" si="4"/>
        <v>0</v>
      </c>
    </row>
    <row r="6949" ht="15.75" customHeight="1">
      <c r="A6949" s="14">
        <v>46253.0</v>
      </c>
      <c r="B6949" s="15">
        <v>4.19</v>
      </c>
      <c r="C6949" s="15">
        <v>3.61</v>
      </c>
      <c r="D6949" s="15"/>
      <c r="E6949" s="15">
        <v>3.52</v>
      </c>
      <c r="F6949" s="15">
        <f t="shared" si="1"/>
        <v>-0.58</v>
      </c>
      <c r="G6949" s="15">
        <f t="shared" si="2"/>
        <v>3.61</v>
      </c>
      <c r="H6949" s="16">
        <v>0.0</v>
      </c>
      <c r="I6949" s="15">
        <f t="shared" si="3"/>
        <v>-0.58</v>
      </c>
      <c r="J6949" s="15">
        <v>14.89</v>
      </c>
      <c r="K6949" s="16">
        <f>IF(COUNTIFS(Release_Calendar!$A$2:$A$755,"US_CPI",Release_Calendar!$B$2:$B$755,$A6949)&gt;0,1,0)</f>
        <v>0</v>
      </c>
      <c r="L6949" s="16">
        <f>IF(COUNTIFS(Release_Calendar!$A$2:$A$755,"US_NFP",Release_Calendar!$B$2:$B$755,$A6949)&gt;0,1,0)</f>
        <v>0</v>
      </c>
      <c r="M6949" s="16">
        <f>IF($A6949&lt;Notes!$B$5,"",IF(COUNTIFS(Release_Calendar!$A$2:$A$755,"NZ_CPI",Release_Calendar!$B$2:$B$755,$A6949)&gt;0,1,0))</f>
        <v>0</v>
      </c>
      <c r="N6949" s="16">
        <f>IF($A6949&lt;Notes!$B$5,"",IF(COUNTIFS(Release_Calendar!$A$2:$A$755,"NZ_GDP",Release_Calendar!$B$2:$B$755,$A6949)&gt;0,1,0))</f>
        <v>0</v>
      </c>
      <c r="O6949" s="16">
        <f>IF($A6949&lt;Notes!$B$5,"",IF(COUNTIFS(Release_Calendar!$A$2:$A$755,"NZ_LABOUR",Release_Calendar!$B$2:$B$755,$A6949)&gt;0,1,0))</f>
        <v>0</v>
      </c>
      <c r="P6949" s="16">
        <f t="shared" si="4"/>
        <v>0</v>
      </c>
    </row>
    <row r="6950" ht="15.75" customHeight="1">
      <c r="A6950" s="14">
        <v>46254.0</v>
      </c>
      <c r="B6950" s="15">
        <v>4.19</v>
      </c>
      <c r="C6950" s="15">
        <v>3.63</v>
      </c>
      <c r="D6950" s="15"/>
      <c r="E6950" s="15">
        <v>3.53</v>
      </c>
      <c r="F6950" s="15">
        <f t="shared" si="1"/>
        <v>-0.56</v>
      </c>
      <c r="G6950" s="15">
        <f t="shared" si="2"/>
        <v>3.63</v>
      </c>
      <c r="H6950" s="16">
        <v>0.0</v>
      </c>
      <c r="I6950" s="15">
        <f t="shared" si="3"/>
        <v>-0.56</v>
      </c>
      <c r="J6950" s="15">
        <v>16.01</v>
      </c>
      <c r="K6950" s="16">
        <f>IF(COUNTIFS(Release_Calendar!$A$2:$A$755,"US_CPI",Release_Calendar!$B$2:$B$755,$A6950)&gt;0,1,0)</f>
        <v>0</v>
      </c>
      <c r="L6950" s="16">
        <f>IF(COUNTIFS(Release_Calendar!$A$2:$A$755,"US_NFP",Release_Calendar!$B$2:$B$755,$A6950)&gt;0,1,0)</f>
        <v>0</v>
      </c>
      <c r="M6950" s="16">
        <f>IF($A6950&lt;Notes!$B$5,"",IF(COUNTIFS(Release_Calendar!$A$2:$A$755,"NZ_CPI",Release_Calendar!$B$2:$B$755,$A6950)&gt;0,1,0))</f>
        <v>0</v>
      </c>
      <c r="N6950" s="16">
        <f>IF($A6950&lt;Notes!$B$5,"",IF(COUNTIFS(Release_Calendar!$A$2:$A$755,"NZ_GDP",Release_Calendar!$B$2:$B$755,$A6950)&gt;0,1,0))</f>
        <v>0</v>
      </c>
      <c r="O6950" s="16">
        <f>IF($A6950&lt;Notes!$B$5,"",IF(COUNTIFS(Release_Calendar!$A$2:$A$755,"NZ_LABOUR",Release_Calendar!$B$2:$B$755,$A6950)&gt;0,1,0))</f>
        <v>0</v>
      </c>
      <c r="P6950" s="16">
        <f t="shared" si="4"/>
        <v>0</v>
      </c>
    </row>
    <row r="6951" ht="15.75" customHeight="1">
      <c r="A6951" s="14">
        <v>46255.0</v>
      </c>
      <c r="B6951" s="15">
        <v>4.24</v>
      </c>
      <c r="C6951" s="15">
        <v>3.66</v>
      </c>
      <c r="D6951" s="15"/>
      <c r="E6951" s="15">
        <v>3.58</v>
      </c>
      <c r="F6951" s="15">
        <f t="shared" si="1"/>
        <v>-0.58</v>
      </c>
      <c r="G6951" s="15">
        <f t="shared" si="2"/>
        <v>3.66</v>
      </c>
      <c r="H6951" s="16">
        <v>0.0</v>
      </c>
      <c r="I6951" s="15">
        <f t="shared" si="3"/>
        <v>-0.58</v>
      </c>
      <c r="J6951" s="15">
        <v>15.13</v>
      </c>
      <c r="K6951" s="16">
        <f>IF(COUNTIFS(Release_Calendar!$A$2:$A$755,"US_CPI",Release_Calendar!$B$2:$B$755,$A6951)&gt;0,1,0)</f>
        <v>0</v>
      </c>
      <c r="L6951" s="16">
        <f>IF(COUNTIFS(Release_Calendar!$A$2:$A$755,"US_NFP",Release_Calendar!$B$2:$B$755,$A6951)&gt;0,1,0)</f>
        <v>0</v>
      </c>
      <c r="M6951" s="16">
        <f>IF($A6951&lt;Notes!$B$5,"",IF(COUNTIFS(Release_Calendar!$A$2:$A$755,"NZ_CPI",Release_Calendar!$B$2:$B$755,$A6951)&gt;0,1,0))</f>
        <v>0</v>
      </c>
      <c r="N6951" s="16">
        <f>IF($A6951&lt;Notes!$B$5,"",IF(COUNTIFS(Release_Calendar!$A$2:$A$755,"NZ_GDP",Release_Calendar!$B$2:$B$755,$A6951)&gt;0,1,0))</f>
        <v>0</v>
      </c>
      <c r="O6951" s="16">
        <f>IF($A6951&lt;Notes!$B$5,"",IF(COUNTIFS(Release_Calendar!$A$2:$A$755,"NZ_LABOUR",Release_Calendar!$B$2:$B$755,$A6951)&gt;0,1,0))</f>
        <v>0</v>
      </c>
      <c r="P6951" s="16">
        <f t="shared" si="4"/>
        <v>0</v>
      </c>
    </row>
    <row r="6952" ht="15.75" customHeight="1">
      <c r="A6952" s="14">
        <v>46258.0</v>
      </c>
      <c r="B6952" s="15">
        <v>4.24</v>
      </c>
      <c r="C6952" s="15">
        <v>3.64</v>
      </c>
      <c r="D6952" s="15"/>
      <c r="E6952" s="15">
        <v>3.56</v>
      </c>
      <c r="F6952" s="15">
        <f t="shared" si="1"/>
        <v>-0.6</v>
      </c>
      <c r="G6952" s="15">
        <f t="shared" si="2"/>
        <v>3.64</v>
      </c>
      <c r="H6952" s="16">
        <v>0.0</v>
      </c>
      <c r="I6952" s="15">
        <f t="shared" si="3"/>
        <v>-0.6</v>
      </c>
      <c r="J6952" s="15">
        <v>15.85</v>
      </c>
      <c r="K6952" s="16">
        <f>IF(COUNTIFS(Release_Calendar!$A$2:$A$755,"US_CPI",Release_Calendar!$B$2:$B$755,$A6952)&gt;0,1,0)</f>
        <v>0</v>
      </c>
      <c r="L6952" s="16">
        <f>IF(COUNTIFS(Release_Calendar!$A$2:$A$755,"US_NFP",Release_Calendar!$B$2:$B$755,$A6952)&gt;0,1,0)</f>
        <v>0</v>
      </c>
      <c r="M6952" s="16">
        <f>IF($A6952&lt;Notes!$B$5,"",IF(COUNTIFS(Release_Calendar!$A$2:$A$755,"NZ_CPI",Release_Calendar!$B$2:$B$755,$A6952)&gt;0,1,0))</f>
        <v>0</v>
      </c>
      <c r="N6952" s="16">
        <f>IF($A6952&lt;Notes!$B$5,"",IF(COUNTIFS(Release_Calendar!$A$2:$A$755,"NZ_GDP",Release_Calendar!$B$2:$B$755,$A6952)&gt;0,1,0))</f>
        <v>0</v>
      </c>
      <c r="O6952" s="16">
        <f>IF($A6952&lt;Notes!$B$5,"",IF(COUNTIFS(Release_Calendar!$A$2:$A$755,"NZ_LABOUR",Release_Calendar!$B$2:$B$755,$A6952)&gt;0,1,0))</f>
        <v>0</v>
      </c>
      <c r="P6952" s="16">
        <f t="shared" si="4"/>
        <v>0</v>
      </c>
    </row>
    <row r="6953" ht="15.75" customHeight="1">
      <c r="A6953" s="14">
        <v>46259.0</v>
      </c>
      <c r="B6953" s="15">
        <v>4.17</v>
      </c>
      <c r="C6953" s="15">
        <v>3.66</v>
      </c>
      <c r="D6953" s="15"/>
      <c r="E6953" s="15">
        <v>3.57</v>
      </c>
      <c r="F6953" s="15">
        <f t="shared" si="1"/>
        <v>-0.51</v>
      </c>
      <c r="G6953" s="15">
        <f t="shared" si="2"/>
        <v>3.66</v>
      </c>
      <c r="H6953" s="16">
        <v>0.0</v>
      </c>
      <c r="I6953" s="15">
        <f t="shared" si="3"/>
        <v>-0.51</v>
      </c>
      <c r="J6953" s="15">
        <v>15.45</v>
      </c>
      <c r="K6953" s="16">
        <f>IF(COUNTIFS(Release_Calendar!$A$2:$A$755,"US_CPI",Release_Calendar!$B$2:$B$755,$A6953)&gt;0,1,0)</f>
        <v>0</v>
      </c>
      <c r="L6953" s="16">
        <f>IF(COUNTIFS(Release_Calendar!$A$2:$A$755,"US_NFP",Release_Calendar!$B$2:$B$755,$A6953)&gt;0,1,0)</f>
        <v>0</v>
      </c>
      <c r="M6953" s="16">
        <f>IF($A6953&lt;Notes!$B$5,"",IF(COUNTIFS(Release_Calendar!$A$2:$A$755,"NZ_CPI",Release_Calendar!$B$2:$B$755,$A6953)&gt;0,1,0))</f>
        <v>0</v>
      </c>
      <c r="N6953" s="16">
        <f>IF($A6953&lt;Notes!$B$5,"",IF(COUNTIFS(Release_Calendar!$A$2:$A$755,"NZ_GDP",Release_Calendar!$B$2:$B$755,$A6953)&gt;0,1,0))</f>
        <v>0</v>
      </c>
      <c r="O6953" s="16">
        <f>IF($A6953&lt;Notes!$B$5,"",IF(COUNTIFS(Release_Calendar!$A$2:$A$755,"NZ_LABOUR",Release_Calendar!$B$2:$B$755,$A6953)&gt;0,1,0))</f>
        <v>0</v>
      </c>
      <c r="P6953" s="16">
        <f t="shared" si="4"/>
        <v>0</v>
      </c>
    </row>
    <row r="6954" ht="15.75" customHeight="1">
      <c r="A6954" s="14">
        <v>46260.0</v>
      </c>
      <c r="B6954" s="15">
        <v>4.19</v>
      </c>
      <c r="C6954" s="15">
        <v>3.63</v>
      </c>
      <c r="D6954" s="15"/>
      <c r="E6954" s="15">
        <v>3.54</v>
      </c>
      <c r="F6954" s="15">
        <f t="shared" si="1"/>
        <v>-0.56</v>
      </c>
      <c r="G6954" s="15">
        <f t="shared" si="2"/>
        <v>3.63</v>
      </c>
      <c r="H6954" s="16">
        <v>0.0</v>
      </c>
      <c r="I6954" s="15">
        <f t="shared" si="3"/>
        <v>-0.56</v>
      </c>
      <c r="J6954" s="15">
        <v>15.21</v>
      </c>
      <c r="K6954" s="16">
        <f>IF(COUNTIFS(Release_Calendar!$A$2:$A$755,"US_CPI",Release_Calendar!$B$2:$B$755,$A6954)&gt;0,1,0)</f>
        <v>0</v>
      </c>
      <c r="L6954" s="16">
        <f>IF(COUNTIFS(Release_Calendar!$A$2:$A$755,"US_NFP",Release_Calendar!$B$2:$B$755,$A6954)&gt;0,1,0)</f>
        <v>0</v>
      </c>
      <c r="M6954" s="16">
        <f>IF($A6954&lt;Notes!$B$5,"",IF(COUNTIFS(Release_Calendar!$A$2:$A$755,"NZ_CPI",Release_Calendar!$B$2:$B$755,$A6954)&gt;0,1,0))</f>
        <v>0</v>
      </c>
      <c r="N6954" s="16">
        <f>IF($A6954&lt;Notes!$B$5,"",IF(COUNTIFS(Release_Calendar!$A$2:$A$755,"NZ_GDP",Release_Calendar!$B$2:$B$755,$A6954)&gt;0,1,0))</f>
        <v>0</v>
      </c>
      <c r="O6954" s="16">
        <f>IF($A6954&lt;Notes!$B$5,"",IF(COUNTIFS(Release_Calendar!$A$2:$A$755,"NZ_LABOUR",Release_Calendar!$B$2:$B$755,$A6954)&gt;0,1,0))</f>
        <v>0</v>
      </c>
      <c r="P6954" s="16">
        <f t="shared" si="4"/>
        <v>0</v>
      </c>
    </row>
    <row r="6955" ht="15.75" customHeight="1">
      <c r="A6955" s="14">
        <v>46261.0</v>
      </c>
      <c r="B6955" s="15">
        <v>4.2</v>
      </c>
      <c r="C6955" s="15">
        <v>3.68</v>
      </c>
      <c r="D6955" s="15"/>
      <c r="E6955" s="15">
        <v>3.59</v>
      </c>
      <c r="F6955" s="15">
        <f t="shared" si="1"/>
        <v>-0.52</v>
      </c>
      <c r="G6955" s="15">
        <f t="shared" si="2"/>
        <v>3.68</v>
      </c>
      <c r="H6955" s="16">
        <v>0.0</v>
      </c>
      <c r="I6955" s="15">
        <f t="shared" si="3"/>
        <v>-0.52</v>
      </c>
      <c r="J6955" s="15">
        <v>14.51</v>
      </c>
      <c r="K6955" s="16">
        <f>IF(COUNTIFS(Release_Calendar!$A$2:$A$755,"US_CPI",Release_Calendar!$B$2:$B$755,$A6955)&gt;0,1,0)</f>
        <v>0</v>
      </c>
      <c r="L6955" s="16">
        <f>IF(COUNTIFS(Release_Calendar!$A$2:$A$755,"US_NFP",Release_Calendar!$B$2:$B$755,$A6955)&gt;0,1,0)</f>
        <v>0</v>
      </c>
      <c r="M6955" s="16">
        <f>IF($A6955&lt;Notes!$B$5,"",IF(COUNTIFS(Release_Calendar!$A$2:$A$755,"NZ_CPI",Release_Calendar!$B$2:$B$755,$A6955)&gt;0,1,0))</f>
        <v>0</v>
      </c>
      <c r="N6955" s="16">
        <f>IF($A6955&lt;Notes!$B$5,"",IF(COUNTIFS(Release_Calendar!$A$2:$A$755,"NZ_GDP",Release_Calendar!$B$2:$B$755,$A6955)&gt;0,1,0))</f>
        <v>0</v>
      </c>
      <c r="O6955" s="16">
        <f>IF($A6955&lt;Notes!$B$5,"",IF(COUNTIFS(Release_Calendar!$A$2:$A$755,"NZ_LABOUR",Release_Calendar!$B$2:$B$755,$A6955)&gt;0,1,0))</f>
        <v>0</v>
      </c>
      <c r="P6955" s="16">
        <f t="shared" si="4"/>
        <v>0</v>
      </c>
    </row>
    <row r="6956" ht="15.75" customHeight="1">
      <c r="A6956" s="14">
        <v>46262.0</v>
      </c>
      <c r="B6956" s="15">
        <v>4.34</v>
      </c>
      <c r="C6956" s="15">
        <v>3.7</v>
      </c>
      <c r="D6956" s="15"/>
      <c r="E6956" s="15">
        <v>3.6</v>
      </c>
      <c r="F6956" s="15">
        <f t="shared" si="1"/>
        <v>-0.64</v>
      </c>
      <c r="G6956" s="15">
        <f t="shared" si="2"/>
        <v>3.7</v>
      </c>
      <c r="H6956" s="16">
        <v>0.0</v>
      </c>
      <c r="I6956" s="15">
        <f t="shared" si="3"/>
        <v>-0.64</v>
      </c>
      <c r="J6956" s="15">
        <v>14.43</v>
      </c>
      <c r="K6956" s="16">
        <f>IF(COUNTIFS(Release_Calendar!$A$2:$A$755,"US_CPI",Release_Calendar!$B$2:$B$755,$A6956)&gt;0,1,0)</f>
        <v>0</v>
      </c>
      <c r="L6956" s="16">
        <f>IF(COUNTIFS(Release_Calendar!$A$2:$A$755,"US_NFP",Release_Calendar!$B$2:$B$755,$A6956)&gt;0,1,0)</f>
        <v>0</v>
      </c>
      <c r="M6956" s="16">
        <f>IF($A6956&lt;Notes!$B$5,"",IF(COUNTIFS(Release_Calendar!$A$2:$A$755,"NZ_CPI",Release_Calendar!$B$2:$B$755,$A6956)&gt;0,1,0))</f>
        <v>0</v>
      </c>
      <c r="N6956" s="16">
        <f>IF($A6956&lt;Notes!$B$5,"",IF(COUNTIFS(Release_Calendar!$A$2:$A$755,"NZ_GDP",Release_Calendar!$B$2:$B$755,$A6956)&gt;0,1,0))</f>
        <v>0</v>
      </c>
      <c r="O6956" s="16">
        <f>IF($A6956&lt;Notes!$B$5,"",IF(COUNTIFS(Release_Calendar!$A$2:$A$755,"NZ_LABOUR",Release_Calendar!$B$2:$B$755,$A6956)&gt;0,1,0))</f>
        <v>0</v>
      </c>
      <c r="P6956" s="16">
        <f t="shared" si="4"/>
        <v>0</v>
      </c>
    </row>
    <row r="6957" ht="15.75" customHeight="1">
      <c r="A6957" s="14">
        <v>46265.0</v>
      </c>
      <c r="B6957" s="15">
        <v>4.34</v>
      </c>
      <c r="C6957" s="15">
        <v>3.72</v>
      </c>
      <c r="D6957" s="15"/>
      <c r="E6957" s="15">
        <v>3.61</v>
      </c>
      <c r="F6957" s="15">
        <f t="shared" si="1"/>
        <v>-0.62</v>
      </c>
      <c r="G6957" s="15">
        <f t="shared" si="2"/>
        <v>3.72</v>
      </c>
      <c r="H6957" s="16">
        <v>0.0</v>
      </c>
      <c r="I6957" s="15">
        <f t="shared" si="3"/>
        <v>-0.62</v>
      </c>
      <c r="J6957" s="15">
        <v>14.92</v>
      </c>
      <c r="K6957" s="16">
        <f>IF(COUNTIFS(Release_Calendar!$A$2:$A$755,"US_CPI",Release_Calendar!$B$2:$B$755,$A6957)&gt;0,1,0)</f>
        <v>0</v>
      </c>
      <c r="L6957" s="16">
        <f>IF(COUNTIFS(Release_Calendar!$A$2:$A$755,"US_NFP",Release_Calendar!$B$2:$B$755,$A6957)&gt;0,1,0)</f>
        <v>0</v>
      </c>
      <c r="M6957" s="16">
        <f>IF($A6957&lt;Notes!$B$5,"",IF(COUNTIFS(Release_Calendar!$A$2:$A$755,"NZ_CPI",Release_Calendar!$B$2:$B$755,$A6957)&gt;0,1,0))</f>
        <v>0</v>
      </c>
      <c r="N6957" s="16">
        <f>IF($A6957&lt;Notes!$B$5,"",IF(COUNTIFS(Release_Calendar!$A$2:$A$755,"NZ_GDP",Release_Calendar!$B$2:$B$755,$A6957)&gt;0,1,0))</f>
        <v>0</v>
      </c>
      <c r="O6957" s="16">
        <f>IF($A6957&lt;Notes!$B$5,"",IF(COUNTIFS(Release_Calendar!$A$2:$A$755,"NZ_LABOUR",Release_Calendar!$B$2:$B$755,$A6957)&gt;0,1,0))</f>
        <v>0</v>
      </c>
      <c r="P6957" s="16">
        <f t="shared" si="4"/>
        <v>0</v>
      </c>
    </row>
    <row r="6958" ht="15.75" customHeight="1">
      <c r="A6958" s="14">
        <v>46266.0</v>
      </c>
      <c r="B6958" s="15">
        <v>4.39</v>
      </c>
      <c r="C6958" s="15">
        <v>3.75</v>
      </c>
      <c r="D6958" s="15"/>
      <c r="E6958" s="15">
        <v>3.65</v>
      </c>
      <c r="F6958" s="15">
        <f t="shared" si="1"/>
        <v>-0.64</v>
      </c>
      <c r="G6958" s="15">
        <f t="shared" si="2"/>
        <v>3.75</v>
      </c>
      <c r="H6958" s="16">
        <v>0.0</v>
      </c>
      <c r="I6958" s="15">
        <f t="shared" si="3"/>
        <v>-0.64</v>
      </c>
      <c r="J6958" s="15">
        <v>16.34</v>
      </c>
      <c r="K6958" s="16">
        <f>IF(COUNTIFS(Release_Calendar!$A$2:$A$755,"US_CPI",Release_Calendar!$B$2:$B$755,$A6958)&gt;0,1,0)</f>
        <v>0</v>
      </c>
      <c r="L6958" s="16">
        <f>IF(COUNTIFS(Release_Calendar!$A$2:$A$755,"US_NFP",Release_Calendar!$B$2:$B$755,$A6958)&gt;0,1,0)</f>
        <v>0</v>
      </c>
      <c r="M6958" s="16">
        <f>IF($A6958&lt;Notes!$B$5,"",IF(COUNTIFS(Release_Calendar!$A$2:$A$755,"NZ_CPI",Release_Calendar!$B$2:$B$755,$A6958)&gt;0,1,0))</f>
        <v>0</v>
      </c>
      <c r="N6958" s="16">
        <f>IF($A6958&lt;Notes!$B$5,"",IF(COUNTIFS(Release_Calendar!$A$2:$A$755,"NZ_GDP",Release_Calendar!$B$2:$B$755,$A6958)&gt;0,1,0))</f>
        <v>0</v>
      </c>
      <c r="O6958" s="16">
        <f>IF($A6958&lt;Notes!$B$5,"",IF(COUNTIFS(Release_Calendar!$A$2:$A$755,"NZ_LABOUR",Release_Calendar!$B$2:$B$755,$A6958)&gt;0,1,0))</f>
        <v>0</v>
      </c>
      <c r="P6958" s="16">
        <f t="shared" si="4"/>
        <v>0</v>
      </c>
    </row>
    <row r="6959" ht="15.75" customHeight="1">
      <c r="A6959" s="14">
        <v>46267.0</v>
      </c>
      <c r="B6959" s="15">
        <v>4.39</v>
      </c>
      <c r="C6959" s="15">
        <v>3.69</v>
      </c>
      <c r="D6959" s="15"/>
      <c r="E6959" s="15">
        <v>3.58</v>
      </c>
      <c r="F6959" s="15">
        <f t="shared" si="1"/>
        <v>-0.7</v>
      </c>
      <c r="G6959" s="15">
        <f t="shared" si="2"/>
        <v>3.69</v>
      </c>
      <c r="H6959" s="16">
        <v>0.0</v>
      </c>
      <c r="I6959" s="15">
        <f t="shared" si="3"/>
        <v>-0.7</v>
      </c>
      <c r="J6959" s="15">
        <v>15.2</v>
      </c>
      <c r="K6959" s="16">
        <f>IF(COUNTIFS(Release_Calendar!$A$2:$A$755,"US_CPI",Release_Calendar!$B$2:$B$755,$A6959)&gt;0,1,0)</f>
        <v>0</v>
      </c>
      <c r="L6959" s="16">
        <f>IF(COUNTIFS(Release_Calendar!$A$2:$A$755,"US_NFP",Release_Calendar!$B$2:$B$755,$A6959)&gt;0,1,0)</f>
        <v>0</v>
      </c>
      <c r="M6959" s="16">
        <f>IF($A6959&lt;Notes!$B$5,"",IF(COUNTIFS(Release_Calendar!$A$2:$A$755,"NZ_CPI",Release_Calendar!$B$2:$B$755,$A6959)&gt;0,1,0))</f>
        <v>0</v>
      </c>
      <c r="N6959" s="16">
        <f>IF($A6959&lt;Notes!$B$5,"",IF(COUNTIFS(Release_Calendar!$A$2:$A$755,"NZ_GDP",Release_Calendar!$B$2:$B$755,$A6959)&gt;0,1,0))</f>
        <v>0</v>
      </c>
      <c r="O6959" s="16">
        <f>IF($A6959&lt;Notes!$B$5,"",IF(COUNTIFS(Release_Calendar!$A$2:$A$755,"NZ_LABOUR",Release_Calendar!$B$2:$B$755,$A6959)&gt;0,1,0))</f>
        <v>0</v>
      </c>
      <c r="P6959" s="16">
        <f t="shared" si="4"/>
        <v>0</v>
      </c>
    </row>
    <row r="6960" ht="15.75" customHeight="1">
      <c r="A6960" s="14">
        <v>46268.0</v>
      </c>
      <c r="B6960" s="15">
        <v>4.34</v>
      </c>
      <c r="C6960" s="15">
        <v>3.7</v>
      </c>
      <c r="D6960" s="15"/>
      <c r="E6960" s="15">
        <v>3.59</v>
      </c>
      <c r="F6960" s="15">
        <f t="shared" si="1"/>
        <v>-0.64</v>
      </c>
      <c r="G6960" s="15">
        <f t="shared" si="2"/>
        <v>3.7</v>
      </c>
      <c r="H6960" s="16">
        <v>0.0</v>
      </c>
      <c r="I6960" s="15">
        <f t="shared" si="3"/>
        <v>-0.64</v>
      </c>
      <c r="J6960" s="15">
        <v>14.32</v>
      </c>
      <c r="K6960" s="16">
        <f>IF(COUNTIFS(Release_Calendar!$A$2:$A$755,"US_CPI",Release_Calendar!$B$2:$B$755,$A6960)&gt;0,1,0)</f>
        <v>0</v>
      </c>
      <c r="L6960" s="16">
        <f>IF(COUNTIFS(Release_Calendar!$A$2:$A$755,"US_NFP",Release_Calendar!$B$2:$B$755,$A6960)&gt;0,1,0)</f>
        <v>0</v>
      </c>
      <c r="M6960" s="16">
        <f>IF($A6960&lt;Notes!$B$5,"",IF(COUNTIFS(Release_Calendar!$A$2:$A$755,"NZ_CPI",Release_Calendar!$B$2:$B$755,$A6960)&gt;0,1,0))</f>
        <v>0</v>
      </c>
      <c r="N6960" s="16">
        <f>IF($A6960&lt;Notes!$B$5,"",IF(COUNTIFS(Release_Calendar!$A$2:$A$755,"NZ_GDP",Release_Calendar!$B$2:$B$755,$A6960)&gt;0,1,0))</f>
        <v>0</v>
      </c>
      <c r="O6960" s="16">
        <f>IF($A6960&lt;Notes!$B$5,"",IF(COUNTIFS(Release_Calendar!$A$2:$A$755,"NZ_LABOUR",Release_Calendar!$B$2:$B$755,$A6960)&gt;0,1,0))</f>
        <v>0</v>
      </c>
      <c r="P6960" s="16">
        <f t="shared" si="4"/>
        <v>0</v>
      </c>
    </row>
    <row r="6961" ht="15.75" customHeight="1">
      <c r="A6961" s="14">
        <v>46269.0</v>
      </c>
      <c r="B6961" s="15">
        <v>4.37</v>
      </c>
      <c r="C6961" s="15">
        <v>3.72</v>
      </c>
      <c r="D6961" s="15"/>
      <c r="E6961" s="15">
        <v>3.62</v>
      </c>
      <c r="F6961" s="15">
        <f t="shared" si="1"/>
        <v>-0.65</v>
      </c>
      <c r="G6961" s="15">
        <f t="shared" si="2"/>
        <v>3.72</v>
      </c>
      <c r="H6961" s="16">
        <v>0.0</v>
      </c>
      <c r="I6961" s="15">
        <f t="shared" si="3"/>
        <v>-0.65</v>
      </c>
      <c r="J6961" s="15">
        <v>14.53</v>
      </c>
      <c r="K6961" s="16">
        <f>IF(COUNTIFS(Release_Calendar!$A$2:$A$755,"US_CPI",Release_Calendar!$B$2:$B$755,$A6961)&gt;0,1,0)</f>
        <v>0</v>
      </c>
      <c r="L6961" s="16">
        <f>IF(COUNTIFS(Release_Calendar!$A$2:$A$755,"US_NFP",Release_Calendar!$B$2:$B$755,$A6961)&gt;0,1,0)</f>
        <v>1</v>
      </c>
      <c r="M6961" s="16">
        <f>IF($A6961&lt;Notes!$B$5,"",IF(COUNTIFS(Release_Calendar!$A$2:$A$755,"NZ_CPI",Release_Calendar!$B$2:$B$755,$A6961)&gt;0,1,0))</f>
        <v>0</v>
      </c>
      <c r="N6961" s="16">
        <f>IF($A6961&lt;Notes!$B$5,"",IF(COUNTIFS(Release_Calendar!$A$2:$A$755,"NZ_GDP",Release_Calendar!$B$2:$B$755,$A6961)&gt;0,1,0))</f>
        <v>0</v>
      </c>
      <c r="O6961" s="16">
        <f>IF($A6961&lt;Notes!$B$5,"",IF(COUNTIFS(Release_Calendar!$A$2:$A$755,"NZ_LABOUR",Release_Calendar!$B$2:$B$755,$A6961)&gt;0,1,0))</f>
        <v>0</v>
      </c>
      <c r="P6961" s="16">
        <f t="shared" si="4"/>
        <v>1</v>
      </c>
    </row>
    <row r="6962" ht="15.75" customHeight="1">
      <c r="A6962" s="14">
        <v>46272.0</v>
      </c>
      <c r="B6962" s="15"/>
      <c r="C6962" s="15">
        <v>3.73</v>
      </c>
      <c r="D6962" s="15"/>
      <c r="E6962" s="15">
        <v>3.61</v>
      </c>
      <c r="F6962" s="15" t="str">
        <f t="shared" si="1"/>
        <v/>
      </c>
      <c r="G6962" s="15">
        <f t="shared" si="2"/>
        <v>3.73</v>
      </c>
      <c r="H6962" s="16">
        <v>0.0</v>
      </c>
      <c r="I6962" s="15" t="str">
        <f t="shared" si="3"/>
        <v/>
      </c>
      <c r="J6962" s="15">
        <v>15.3</v>
      </c>
      <c r="K6962" s="16">
        <f>IF(COUNTIFS(Release_Calendar!$A$2:$A$755,"US_CPI",Release_Calendar!$B$2:$B$755,$A6962)&gt;0,1,0)</f>
        <v>0</v>
      </c>
      <c r="L6962" s="16">
        <f>IF(COUNTIFS(Release_Calendar!$A$2:$A$755,"US_NFP",Release_Calendar!$B$2:$B$755,$A6962)&gt;0,1,0)</f>
        <v>0</v>
      </c>
      <c r="M6962" s="16">
        <f>IF($A6962&lt;Notes!$B$5,"",IF(COUNTIFS(Release_Calendar!$A$2:$A$755,"NZ_CPI",Release_Calendar!$B$2:$B$755,$A6962)&gt;0,1,0))</f>
        <v>0</v>
      </c>
      <c r="N6962" s="16">
        <f>IF($A6962&lt;Notes!$B$5,"",IF(COUNTIFS(Release_Calendar!$A$2:$A$755,"NZ_GDP",Release_Calendar!$B$2:$B$755,$A6962)&gt;0,1,0))</f>
        <v>0</v>
      </c>
      <c r="O6962" s="16">
        <f>IF($A6962&lt;Notes!$B$5,"",IF(COUNTIFS(Release_Calendar!$A$2:$A$755,"NZ_LABOUR",Release_Calendar!$B$2:$B$755,$A6962)&gt;0,1,0))</f>
        <v>0</v>
      </c>
      <c r="P6962" s="16">
        <f t="shared" si="4"/>
        <v>0</v>
      </c>
    </row>
    <row r="6963" ht="15.75" customHeight="1">
      <c r="A6963" s="14">
        <v>46273.0</v>
      </c>
      <c r="B6963" s="15">
        <v>4.39</v>
      </c>
      <c r="C6963" s="15">
        <v>3.7</v>
      </c>
      <c r="D6963" s="15"/>
      <c r="E6963" s="15">
        <v>3.59</v>
      </c>
      <c r="F6963" s="15">
        <f t="shared" si="1"/>
        <v>-0.69</v>
      </c>
      <c r="G6963" s="15">
        <f t="shared" si="2"/>
        <v>3.7</v>
      </c>
      <c r="H6963" s="16">
        <v>0.0</v>
      </c>
      <c r="I6963" s="15">
        <f t="shared" si="3"/>
        <v>-0.69</v>
      </c>
      <c r="J6963" s="15">
        <v>15.72</v>
      </c>
      <c r="K6963" s="16">
        <f>IF(COUNTIFS(Release_Calendar!$A$2:$A$755,"US_CPI",Release_Calendar!$B$2:$B$755,$A6963)&gt;0,1,0)</f>
        <v>0</v>
      </c>
      <c r="L6963" s="16">
        <f>IF(COUNTIFS(Release_Calendar!$A$2:$A$755,"US_NFP",Release_Calendar!$B$2:$B$755,$A6963)&gt;0,1,0)</f>
        <v>0</v>
      </c>
      <c r="M6963" s="16">
        <f>IF($A6963&lt;Notes!$B$5,"",IF(COUNTIFS(Release_Calendar!$A$2:$A$755,"NZ_CPI",Release_Calendar!$B$2:$B$755,$A6963)&gt;0,1,0))</f>
        <v>0</v>
      </c>
      <c r="N6963" s="16">
        <f>IF($A6963&lt;Notes!$B$5,"",IF(COUNTIFS(Release_Calendar!$A$2:$A$755,"NZ_GDP",Release_Calendar!$B$2:$B$755,$A6963)&gt;0,1,0))</f>
        <v>0</v>
      </c>
      <c r="O6963" s="16">
        <f>IF($A6963&lt;Notes!$B$5,"",IF(COUNTIFS(Release_Calendar!$A$2:$A$755,"NZ_LABOUR",Release_Calendar!$B$2:$B$755,$A6963)&gt;0,1,0))</f>
        <v>0</v>
      </c>
      <c r="P6963" s="16">
        <f t="shared" si="4"/>
        <v>0</v>
      </c>
    </row>
    <row r="6964" ht="15.75" customHeight="1">
      <c r="A6964" s="14">
        <v>46274.0</v>
      </c>
      <c r="B6964" s="15">
        <v>4.43</v>
      </c>
      <c r="C6964" s="15">
        <v>3.72</v>
      </c>
      <c r="D6964" s="15"/>
      <c r="E6964" s="15">
        <v>3.62</v>
      </c>
      <c r="F6964" s="15">
        <f t="shared" si="1"/>
        <v>-0.71</v>
      </c>
      <c r="G6964" s="15">
        <f t="shared" si="2"/>
        <v>3.72</v>
      </c>
      <c r="H6964" s="16">
        <v>0.0</v>
      </c>
      <c r="I6964" s="15">
        <f t="shared" si="3"/>
        <v>-0.71</v>
      </c>
      <c r="J6964" s="15">
        <v>16.46</v>
      </c>
      <c r="K6964" s="16">
        <f>IF(COUNTIFS(Release_Calendar!$A$2:$A$755,"US_CPI",Release_Calendar!$B$2:$B$755,$A6964)&gt;0,1,0)</f>
        <v>0</v>
      </c>
      <c r="L6964" s="16">
        <f>IF(COUNTIFS(Release_Calendar!$A$2:$A$755,"US_NFP",Release_Calendar!$B$2:$B$755,$A6964)&gt;0,1,0)</f>
        <v>0</v>
      </c>
      <c r="M6964" s="16">
        <f>IF($A6964&lt;Notes!$B$5,"",IF(COUNTIFS(Release_Calendar!$A$2:$A$755,"NZ_CPI",Release_Calendar!$B$2:$B$755,$A6964)&gt;0,1,0))</f>
        <v>0</v>
      </c>
      <c r="N6964" s="16">
        <f>IF($A6964&lt;Notes!$B$5,"",IF(COUNTIFS(Release_Calendar!$A$2:$A$755,"NZ_GDP",Release_Calendar!$B$2:$B$755,$A6964)&gt;0,1,0))</f>
        <v>0</v>
      </c>
      <c r="O6964" s="16">
        <f>IF($A6964&lt;Notes!$B$5,"",IF(COUNTIFS(Release_Calendar!$A$2:$A$755,"NZ_LABOUR",Release_Calendar!$B$2:$B$755,$A6964)&gt;0,1,0))</f>
        <v>0</v>
      </c>
      <c r="P6964" s="16">
        <f t="shared" si="4"/>
        <v>0</v>
      </c>
    </row>
    <row r="6965" ht="15.75" customHeight="1">
      <c r="A6965" s="14">
        <v>46275.0</v>
      </c>
      <c r="B6965" s="15">
        <v>4.56</v>
      </c>
      <c r="C6965" s="15">
        <v>3.81</v>
      </c>
      <c r="D6965" s="15"/>
      <c r="E6965" s="15">
        <v>3.69</v>
      </c>
      <c r="F6965" s="15">
        <f t="shared" si="1"/>
        <v>-0.75</v>
      </c>
      <c r="G6965" s="15">
        <f t="shared" si="2"/>
        <v>3.81</v>
      </c>
      <c r="H6965" s="16">
        <v>0.0</v>
      </c>
      <c r="I6965" s="15">
        <f t="shared" si="3"/>
        <v>-0.75</v>
      </c>
      <c r="J6965" s="15">
        <v>17.84</v>
      </c>
      <c r="K6965" s="16">
        <f>IF(COUNTIFS(Release_Calendar!$A$2:$A$755,"US_CPI",Release_Calendar!$B$2:$B$755,$A6965)&gt;0,1,0)</f>
        <v>0</v>
      </c>
      <c r="L6965" s="16">
        <f>IF(COUNTIFS(Release_Calendar!$A$2:$A$755,"US_NFP",Release_Calendar!$B$2:$B$755,$A6965)&gt;0,1,0)</f>
        <v>0</v>
      </c>
      <c r="M6965" s="16">
        <f>IF($A6965&lt;Notes!$B$5,"",IF(COUNTIFS(Release_Calendar!$A$2:$A$755,"NZ_CPI",Release_Calendar!$B$2:$B$755,$A6965)&gt;0,1,0))</f>
        <v>0</v>
      </c>
      <c r="N6965" s="16">
        <f>IF($A6965&lt;Notes!$B$5,"",IF(COUNTIFS(Release_Calendar!$A$2:$A$755,"NZ_GDP",Release_Calendar!$B$2:$B$755,$A6965)&gt;0,1,0))</f>
        <v>0</v>
      </c>
      <c r="O6965" s="16">
        <f>IF($A6965&lt;Notes!$B$5,"",IF(COUNTIFS(Release_Calendar!$A$2:$A$755,"NZ_LABOUR",Release_Calendar!$B$2:$B$755,$A6965)&gt;0,1,0))</f>
        <v>0</v>
      </c>
      <c r="P6965" s="16">
        <f t="shared" si="4"/>
        <v>0</v>
      </c>
    </row>
    <row r="6966" ht="15.75" customHeight="1">
      <c r="A6966" s="14">
        <v>46276.0</v>
      </c>
      <c r="B6966" s="15">
        <v>4.63</v>
      </c>
      <c r="C6966" s="15">
        <v>4.05</v>
      </c>
      <c r="D6966" s="15"/>
      <c r="E6966" s="15">
        <v>3.93</v>
      </c>
      <c r="F6966" s="15">
        <f t="shared" si="1"/>
        <v>-0.58</v>
      </c>
      <c r="G6966" s="15">
        <f t="shared" si="2"/>
        <v>4.05</v>
      </c>
      <c r="H6966" s="16">
        <v>0.0</v>
      </c>
      <c r="I6966" s="15">
        <f t="shared" si="3"/>
        <v>-0.58</v>
      </c>
      <c r="J6966" s="15">
        <v>15.84</v>
      </c>
      <c r="K6966" s="16">
        <f>IF(COUNTIFS(Release_Calendar!$A$2:$A$755,"US_CPI",Release_Calendar!$B$2:$B$755,$A6966)&gt;0,1,0)</f>
        <v>1</v>
      </c>
      <c r="L6966" s="16">
        <f>IF(COUNTIFS(Release_Calendar!$A$2:$A$755,"US_NFP",Release_Calendar!$B$2:$B$755,$A6966)&gt;0,1,0)</f>
        <v>0</v>
      </c>
      <c r="M6966" s="16">
        <f>IF($A6966&lt;Notes!$B$5,"",IF(COUNTIFS(Release_Calendar!$A$2:$A$755,"NZ_CPI",Release_Calendar!$B$2:$B$755,$A6966)&gt;0,1,0))</f>
        <v>0</v>
      </c>
      <c r="N6966" s="16">
        <f>IF($A6966&lt;Notes!$B$5,"",IF(COUNTIFS(Release_Calendar!$A$2:$A$755,"NZ_GDP",Release_Calendar!$B$2:$B$755,$A6966)&gt;0,1,0))</f>
        <v>0</v>
      </c>
      <c r="O6966" s="16">
        <f>IF($A6966&lt;Notes!$B$5,"",IF(COUNTIFS(Release_Calendar!$A$2:$A$755,"NZ_LABOUR",Release_Calendar!$B$2:$B$755,$A6966)&gt;0,1,0))</f>
        <v>0</v>
      </c>
      <c r="P6966" s="16">
        <f t="shared" si="4"/>
        <v>1</v>
      </c>
    </row>
    <row r="6967" ht="15.75" customHeight="1">
      <c r="A6967" s="14">
        <v>46279.0</v>
      </c>
      <c r="B6967" s="15">
        <v>4.65</v>
      </c>
      <c r="C6967" s="15">
        <v>4.02</v>
      </c>
      <c r="D6967" s="15"/>
      <c r="E6967" s="15">
        <v>3.91</v>
      </c>
      <c r="F6967" s="15">
        <f t="shared" si="1"/>
        <v>-0.63</v>
      </c>
      <c r="G6967" s="15">
        <f t="shared" si="2"/>
        <v>4.02</v>
      </c>
      <c r="H6967" s="16">
        <v>0.0</v>
      </c>
      <c r="I6967" s="15">
        <f t="shared" si="3"/>
        <v>-0.63</v>
      </c>
      <c r="J6967" s="15">
        <v>17.1</v>
      </c>
      <c r="K6967" s="16">
        <f>IF(COUNTIFS(Release_Calendar!$A$2:$A$755,"US_CPI",Release_Calendar!$B$2:$B$755,$A6967)&gt;0,1,0)</f>
        <v>0</v>
      </c>
      <c r="L6967" s="16">
        <f>IF(COUNTIFS(Release_Calendar!$A$2:$A$755,"US_NFP",Release_Calendar!$B$2:$B$755,$A6967)&gt;0,1,0)</f>
        <v>0</v>
      </c>
      <c r="M6967" s="16">
        <f>IF($A6967&lt;Notes!$B$5,"",IF(COUNTIFS(Release_Calendar!$A$2:$A$755,"NZ_CPI",Release_Calendar!$B$2:$B$755,$A6967)&gt;0,1,0))</f>
        <v>0</v>
      </c>
      <c r="N6967" s="16">
        <f>IF($A6967&lt;Notes!$B$5,"",IF(COUNTIFS(Release_Calendar!$A$2:$A$755,"NZ_GDP",Release_Calendar!$B$2:$B$755,$A6967)&gt;0,1,0))</f>
        <v>0</v>
      </c>
      <c r="O6967" s="16">
        <f>IF($A6967&lt;Notes!$B$5,"",IF(COUNTIFS(Release_Calendar!$A$2:$A$755,"NZ_LABOUR",Release_Calendar!$B$2:$B$755,$A6967)&gt;0,1,0))</f>
        <v>0</v>
      </c>
      <c r="P6967" s="16">
        <f t="shared" si="4"/>
        <v>0</v>
      </c>
    </row>
    <row r="6968" ht="15.75" customHeight="1">
      <c r="A6968" s="14">
        <v>46280.0</v>
      </c>
      <c r="B6968" s="15">
        <v>4.67</v>
      </c>
      <c r="C6968" s="15">
        <v>4.04</v>
      </c>
      <c r="D6968" s="15"/>
      <c r="E6968" s="15">
        <v>3.94</v>
      </c>
      <c r="F6968" s="15">
        <f t="shared" si="1"/>
        <v>-0.63</v>
      </c>
      <c r="G6968" s="15">
        <f t="shared" si="2"/>
        <v>4.04</v>
      </c>
      <c r="H6968" s="16">
        <v>0.0</v>
      </c>
      <c r="I6968" s="15">
        <f t="shared" si="3"/>
        <v>-0.63</v>
      </c>
      <c r="J6968" s="15">
        <v>17.2</v>
      </c>
      <c r="K6968" s="16">
        <f>IF(COUNTIFS(Release_Calendar!$A$2:$A$755,"US_CPI",Release_Calendar!$B$2:$B$755,$A6968)&gt;0,1,0)</f>
        <v>0</v>
      </c>
      <c r="L6968" s="16">
        <f>IF(COUNTIFS(Release_Calendar!$A$2:$A$755,"US_NFP",Release_Calendar!$B$2:$B$755,$A6968)&gt;0,1,0)</f>
        <v>0</v>
      </c>
      <c r="M6968" s="16">
        <f>IF($A6968&lt;Notes!$B$5,"",IF(COUNTIFS(Release_Calendar!$A$2:$A$755,"NZ_CPI",Release_Calendar!$B$2:$B$755,$A6968)&gt;0,1,0))</f>
        <v>0</v>
      </c>
      <c r="N6968" s="16">
        <f>IF($A6968&lt;Notes!$B$5,"",IF(COUNTIFS(Release_Calendar!$A$2:$A$755,"NZ_GDP",Release_Calendar!$B$2:$B$755,$A6968)&gt;0,1,0))</f>
        <v>0</v>
      </c>
      <c r="O6968" s="16">
        <f>IF($A6968&lt;Notes!$B$5,"",IF(COUNTIFS(Release_Calendar!$A$2:$A$755,"NZ_LABOUR",Release_Calendar!$B$2:$B$755,$A6968)&gt;0,1,0))</f>
        <v>0</v>
      </c>
      <c r="P6968" s="16">
        <f t="shared" si="4"/>
        <v>0</v>
      </c>
    </row>
    <row r="6969" ht="15.75" customHeight="1">
      <c r="A6969" s="14">
        <v>46281.0</v>
      </c>
      <c r="B6969" s="15">
        <v>4.74</v>
      </c>
      <c r="C6969" s="15">
        <v>4.0</v>
      </c>
      <c r="D6969" s="15"/>
      <c r="E6969" s="15">
        <v>3.88</v>
      </c>
      <c r="F6969" s="15">
        <f t="shared" si="1"/>
        <v>-0.74</v>
      </c>
      <c r="G6969" s="15">
        <f t="shared" si="2"/>
        <v>4</v>
      </c>
      <c r="H6969" s="16">
        <v>0.0</v>
      </c>
      <c r="I6969" s="15">
        <f t="shared" si="3"/>
        <v>-0.74</v>
      </c>
      <c r="J6969" s="15">
        <v>17.71</v>
      </c>
      <c r="K6969" s="16">
        <f>IF(COUNTIFS(Release_Calendar!$A$2:$A$755,"US_CPI",Release_Calendar!$B$2:$B$755,$A6969)&gt;0,1,0)</f>
        <v>0</v>
      </c>
      <c r="L6969" s="16">
        <f>IF(COUNTIFS(Release_Calendar!$A$2:$A$755,"US_NFP",Release_Calendar!$B$2:$B$755,$A6969)&gt;0,1,0)</f>
        <v>0</v>
      </c>
      <c r="M6969" s="16">
        <f>IF($A6969&lt;Notes!$B$5,"",IF(COUNTIFS(Release_Calendar!$A$2:$A$755,"NZ_CPI",Release_Calendar!$B$2:$B$755,$A6969)&gt;0,1,0))</f>
        <v>0</v>
      </c>
      <c r="N6969" s="16">
        <f>IF($A6969&lt;Notes!$B$5,"",IF(COUNTIFS(Release_Calendar!$A$2:$A$755,"NZ_GDP",Release_Calendar!$B$2:$B$755,$A6969)&gt;0,1,0))</f>
        <v>0</v>
      </c>
      <c r="O6969" s="16">
        <f>IF($A6969&lt;Notes!$B$5,"",IF(COUNTIFS(Release_Calendar!$A$2:$A$755,"NZ_LABOUR",Release_Calendar!$B$2:$B$755,$A6969)&gt;0,1,0))</f>
        <v>0</v>
      </c>
      <c r="P6969" s="16">
        <f t="shared" si="4"/>
        <v>0</v>
      </c>
    </row>
    <row r="6970" ht="15.75" customHeight="1">
      <c r="A6970" s="14">
        <v>46282.0</v>
      </c>
      <c r="B6970" s="15">
        <v>4.67</v>
      </c>
      <c r="C6970" s="15">
        <v>4.02</v>
      </c>
      <c r="D6970" s="15"/>
      <c r="E6970" s="15">
        <v>3.88</v>
      </c>
      <c r="F6970" s="15">
        <f t="shared" si="1"/>
        <v>-0.65</v>
      </c>
      <c r="G6970" s="15">
        <f t="shared" si="2"/>
        <v>4.02</v>
      </c>
      <c r="H6970" s="16">
        <v>0.0</v>
      </c>
      <c r="I6970" s="15">
        <f t="shared" si="3"/>
        <v>-0.65</v>
      </c>
      <c r="J6970" s="15">
        <v>15.44</v>
      </c>
      <c r="K6970" s="16">
        <f>IF(COUNTIFS(Release_Calendar!$A$2:$A$755,"US_CPI",Release_Calendar!$B$2:$B$755,$A6970)&gt;0,1,0)</f>
        <v>0</v>
      </c>
      <c r="L6970" s="16">
        <f>IF(COUNTIFS(Release_Calendar!$A$2:$A$755,"US_NFP",Release_Calendar!$B$2:$B$755,$A6970)&gt;0,1,0)</f>
        <v>0</v>
      </c>
      <c r="M6970" s="16">
        <f>IF($A6970&lt;Notes!$B$5,"",IF(COUNTIFS(Release_Calendar!$A$2:$A$755,"NZ_CPI",Release_Calendar!$B$2:$B$755,$A6970)&gt;0,1,0))</f>
        <v>0</v>
      </c>
      <c r="N6970" s="16">
        <f>IF($A6970&lt;Notes!$B$5,"",IF(COUNTIFS(Release_Calendar!$A$2:$A$755,"NZ_GDP",Release_Calendar!$B$2:$B$755,$A6970)&gt;0,1,0))</f>
        <v>1</v>
      </c>
      <c r="O6970" s="16">
        <f>IF($A6970&lt;Notes!$B$5,"",IF(COUNTIFS(Release_Calendar!$A$2:$A$755,"NZ_LABOUR",Release_Calendar!$B$2:$B$755,$A6970)&gt;0,1,0))</f>
        <v>0</v>
      </c>
      <c r="P6970" s="16">
        <f t="shared" si="4"/>
        <v>1</v>
      </c>
    </row>
    <row r="6971" ht="15.75" customHeight="1">
      <c r="A6971" s="14">
        <v>46283.0</v>
      </c>
      <c r="B6971" s="15">
        <v>4.76</v>
      </c>
      <c r="C6971" s="15">
        <v>3.97</v>
      </c>
      <c r="D6971" s="15"/>
      <c r="E6971" s="15">
        <v>3.83</v>
      </c>
      <c r="F6971" s="15">
        <f t="shared" si="1"/>
        <v>-0.79</v>
      </c>
      <c r="G6971" s="15">
        <f t="shared" si="2"/>
        <v>3.97</v>
      </c>
      <c r="H6971" s="16">
        <v>0.0</v>
      </c>
      <c r="I6971" s="15">
        <f t="shared" si="3"/>
        <v>-0.79</v>
      </c>
      <c r="J6971" s="15">
        <v>14.81</v>
      </c>
      <c r="K6971" s="16">
        <f>IF(COUNTIFS(Release_Calendar!$A$2:$A$755,"US_CPI",Release_Calendar!$B$2:$B$755,$A6971)&gt;0,1,0)</f>
        <v>0</v>
      </c>
      <c r="L6971" s="16">
        <f>IF(COUNTIFS(Release_Calendar!$A$2:$A$755,"US_NFP",Release_Calendar!$B$2:$B$755,$A6971)&gt;0,1,0)</f>
        <v>0</v>
      </c>
      <c r="M6971" s="16">
        <f>IF($A6971&lt;Notes!$B$5,"",IF(COUNTIFS(Release_Calendar!$A$2:$A$755,"NZ_CPI",Release_Calendar!$B$2:$B$755,$A6971)&gt;0,1,0))</f>
        <v>0</v>
      </c>
      <c r="N6971" s="16">
        <f>IF($A6971&lt;Notes!$B$5,"",IF(COUNTIFS(Release_Calendar!$A$2:$A$755,"NZ_GDP",Release_Calendar!$B$2:$B$755,$A6971)&gt;0,1,0))</f>
        <v>0</v>
      </c>
      <c r="O6971" s="16">
        <f>IF($A6971&lt;Notes!$B$5,"",IF(COUNTIFS(Release_Calendar!$A$2:$A$755,"NZ_LABOUR",Release_Calendar!$B$2:$B$755,$A6971)&gt;0,1,0))</f>
        <v>0</v>
      </c>
      <c r="P6971" s="16">
        <f t="shared" si="4"/>
        <v>0</v>
      </c>
    </row>
    <row r="6972" ht="15.75" customHeight="1">
      <c r="A6972" s="14">
        <v>46286.0</v>
      </c>
      <c r="B6972" s="15">
        <v>4.76</v>
      </c>
      <c r="C6972" s="15">
        <v>3.99</v>
      </c>
      <c r="D6972" s="15"/>
      <c r="E6972" s="15">
        <v>3.85</v>
      </c>
      <c r="F6972" s="15">
        <f t="shared" si="1"/>
        <v>-0.77</v>
      </c>
      <c r="G6972" s="15">
        <f t="shared" si="2"/>
        <v>3.99</v>
      </c>
      <c r="H6972" s="16">
        <v>0.0</v>
      </c>
      <c r="I6972" s="15">
        <f t="shared" si="3"/>
        <v>-0.77</v>
      </c>
      <c r="J6972" s="15">
        <v>14.87</v>
      </c>
      <c r="K6972" s="16">
        <f>IF(COUNTIFS(Release_Calendar!$A$2:$A$755,"US_CPI",Release_Calendar!$B$2:$B$755,$A6972)&gt;0,1,0)</f>
        <v>0</v>
      </c>
      <c r="L6972" s="16">
        <f>IF(COUNTIFS(Release_Calendar!$A$2:$A$755,"US_NFP",Release_Calendar!$B$2:$B$755,$A6972)&gt;0,1,0)</f>
        <v>0</v>
      </c>
      <c r="M6972" s="16">
        <f>IF($A6972&lt;Notes!$B$5,"",IF(COUNTIFS(Release_Calendar!$A$2:$A$755,"NZ_CPI",Release_Calendar!$B$2:$B$755,$A6972)&gt;0,1,0))</f>
        <v>0</v>
      </c>
      <c r="N6972" s="16">
        <f>IF($A6972&lt;Notes!$B$5,"",IF(COUNTIFS(Release_Calendar!$A$2:$A$755,"NZ_GDP",Release_Calendar!$B$2:$B$755,$A6972)&gt;0,1,0))</f>
        <v>0</v>
      </c>
      <c r="O6972" s="16">
        <f>IF($A6972&lt;Notes!$B$5,"",IF(COUNTIFS(Release_Calendar!$A$2:$A$755,"NZ_LABOUR",Release_Calendar!$B$2:$B$755,$A6972)&gt;0,1,0))</f>
        <v>0</v>
      </c>
      <c r="P6972" s="16">
        <f t="shared" si="4"/>
        <v>0</v>
      </c>
    </row>
    <row r="6973" ht="15.75" customHeight="1">
      <c r="A6973" s="14">
        <v>46287.0</v>
      </c>
      <c r="B6973" s="15">
        <v>4.71</v>
      </c>
      <c r="C6973" s="15">
        <v>4.04</v>
      </c>
      <c r="D6973" s="15"/>
      <c r="E6973" s="15">
        <v>3.87</v>
      </c>
      <c r="F6973" s="15">
        <f t="shared" si="1"/>
        <v>-0.67</v>
      </c>
      <c r="G6973" s="15">
        <f t="shared" si="2"/>
        <v>4.04</v>
      </c>
      <c r="H6973" s="16">
        <v>0.0</v>
      </c>
      <c r="I6973" s="15">
        <f t="shared" si="3"/>
        <v>-0.67</v>
      </c>
      <c r="J6973" s="15">
        <v>14.21</v>
      </c>
      <c r="K6973" s="16">
        <f>IF(COUNTIFS(Release_Calendar!$A$2:$A$755,"US_CPI",Release_Calendar!$B$2:$B$755,$A6973)&gt;0,1,0)</f>
        <v>0</v>
      </c>
      <c r="L6973" s="16">
        <f>IF(COUNTIFS(Release_Calendar!$A$2:$A$755,"US_NFP",Release_Calendar!$B$2:$B$755,$A6973)&gt;0,1,0)</f>
        <v>0</v>
      </c>
      <c r="M6973" s="16">
        <f>IF($A6973&lt;Notes!$B$5,"",IF(COUNTIFS(Release_Calendar!$A$2:$A$755,"NZ_CPI",Release_Calendar!$B$2:$B$755,$A6973)&gt;0,1,0))</f>
        <v>0</v>
      </c>
      <c r="N6973" s="16">
        <f>IF($A6973&lt;Notes!$B$5,"",IF(COUNTIFS(Release_Calendar!$A$2:$A$755,"NZ_GDP",Release_Calendar!$B$2:$B$755,$A6973)&gt;0,1,0))</f>
        <v>0</v>
      </c>
      <c r="O6973" s="16">
        <f>IF($A6973&lt;Notes!$B$5,"",IF(COUNTIFS(Release_Calendar!$A$2:$A$755,"NZ_LABOUR",Release_Calendar!$B$2:$B$755,$A6973)&gt;0,1,0))</f>
        <v>0</v>
      </c>
      <c r="P6973" s="16">
        <f t="shared" si="4"/>
        <v>0</v>
      </c>
    </row>
    <row r="6974" ht="15.75" customHeight="1">
      <c r="A6974" s="14">
        <v>46288.0</v>
      </c>
      <c r="B6974" s="15">
        <v>4.85</v>
      </c>
      <c r="C6974" s="15">
        <v>3.99</v>
      </c>
      <c r="D6974" s="15"/>
      <c r="E6974" s="15">
        <v>3.83</v>
      </c>
      <c r="F6974" s="15">
        <f t="shared" si="1"/>
        <v>-0.86</v>
      </c>
      <c r="G6974" s="15">
        <f t="shared" si="2"/>
        <v>3.99</v>
      </c>
      <c r="H6974" s="16">
        <v>0.0</v>
      </c>
      <c r="I6974" s="15">
        <f t="shared" si="3"/>
        <v>-0.86</v>
      </c>
      <c r="J6974" s="15">
        <v>15.18</v>
      </c>
      <c r="K6974" s="16">
        <f>IF(COUNTIFS(Release_Calendar!$A$2:$A$755,"US_CPI",Release_Calendar!$B$2:$B$755,$A6974)&gt;0,1,0)</f>
        <v>0</v>
      </c>
      <c r="L6974" s="16">
        <f>IF(COUNTIFS(Release_Calendar!$A$2:$A$755,"US_NFP",Release_Calendar!$B$2:$B$755,$A6974)&gt;0,1,0)</f>
        <v>0</v>
      </c>
      <c r="M6974" s="16">
        <f>IF($A6974&lt;Notes!$B$5,"",IF(COUNTIFS(Release_Calendar!$A$2:$A$755,"NZ_CPI",Release_Calendar!$B$2:$B$755,$A6974)&gt;0,1,0))</f>
        <v>0</v>
      </c>
      <c r="N6974" s="16">
        <f>IF($A6974&lt;Notes!$B$5,"",IF(COUNTIFS(Release_Calendar!$A$2:$A$755,"NZ_GDP",Release_Calendar!$B$2:$B$755,$A6974)&gt;0,1,0))</f>
        <v>0</v>
      </c>
      <c r="O6974" s="16">
        <f>IF($A6974&lt;Notes!$B$5,"",IF(COUNTIFS(Release_Calendar!$A$2:$A$755,"NZ_LABOUR",Release_Calendar!$B$2:$B$755,$A6974)&gt;0,1,0))</f>
        <v>0</v>
      </c>
      <c r="P6974" s="16">
        <f t="shared" si="4"/>
        <v>0</v>
      </c>
    </row>
    <row r="6975" ht="15.75" customHeight="1">
      <c r="A6975" s="14">
        <v>46289.0</v>
      </c>
      <c r="B6975" s="15">
        <v>4.87</v>
      </c>
      <c r="C6975" s="15">
        <v>4.1</v>
      </c>
      <c r="D6975" s="15"/>
      <c r="E6975" s="15">
        <v>3.93</v>
      </c>
      <c r="F6975" s="15">
        <f t="shared" si="1"/>
        <v>-0.77</v>
      </c>
      <c r="G6975" s="15">
        <f t="shared" si="2"/>
        <v>4.1</v>
      </c>
      <c r="H6975" s="16">
        <v>0.0</v>
      </c>
      <c r="I6975" s="15">
        <f t="shared" si="3"/>
        <v>-0.77</v>
      </c>
      <c r="J6975" s="15">
        <v>15.67</v>
      </c>
      <c r="K6975" s="16">
        <f>IF(COUNTIFS(Release_Calendar!$A$2:$A$755,"US_CPI",Release_Calendar!$B$2:$B$755,$A6975)&gt;0,1,0)</f>
        <v>0</v>
      </c>
      <c r="L6975" s="16">
        <f>IF(COUNTIFS(Release_Calendar!$A$2:$A$755,"US_NFP",Release_Calendar!$B$2:$B$755,$A6975)&gt;0,1,0)</f>
        <v>0</v>
      </c>
      <c r="M6975" s="16">
        <f>IF($A6975&lt;Notes!$B$5,"",IF(COUNTIFS(Release_Calendar!$A$2:$A$755,"NZ_CPI",Release_Calendar!$B$2:$B$755,$A6975)&gt;0,1,0))</f>
        <v>0</v>
      </c>
      <c r="N6975" s="16">
        <f>IF($A6975&lt;Notes!$B$5,"",IF(COUNTIFS(Release_Calendar!$A$2:$A$755,"NZ_GDP",Release_Calendar!$B$2:$B$755,$A6975)&gt;0,1,0))</f>
        <v>0</v>
      </c>
      <c r="O6975" s="16">
        <f>IF($A6975&lt;Notes!$B$5,"",IF(COUNTIFS(Release_Calendar!$A$2:$A$755,"NZ_LABOUR",Release_Calendar!$B$2:$B$755,$A6975)&gt;0,1,0))</f>
        <v>0</v>
      </c>
      <c r="P6975" s="16">
        <f t="shared" si="4"/>
        <v>0</v>
      </c>
    </row>
    <row r="6976" ht="15.75" customHeight="1">
      <c r="A6976" s="14">
        <v>46290.0</v>
      </c>
      <c r="B6976" s="15">
        <v>4.81</v>
      </c>
      <c r="C6976" s="15">
        <v>4.11</v>
      </c>
      <c r="D6976" s="15"/>
      <c r="E6976" s="15">
        <v>3.93</v>
      </c>
      <c r="F6976" s="15">
        <f t="shared" si="1"/>
        <v>-0.7</v>
      </c>
      <c r="G6976" s="15">
        <f t="shared" si="2"/>
        <v>4.11</v>
      </c>
      <c r="H6976" s="16">
        <v>0.0</v>
      </c>
      <c r="I6976" s="15">
        <f t="shared" si="3"/>
        <v>-0.7</v>
      </c>
      <c r="J6976" s="15">
        <v>14.87</v>
      </c>
      <c r="K6976" s="16">
        <f>IF(COUNTIFS(Release_Calendar!$A$2:$A$755,"US_CPI",Release_Calendar!$B$2:$B$755,$A6976)&gt;0,1,0)</f>
        <v>0</v>
      </c>
      <c r="L6976" s="16">
        <f>IF(COUNTIFS(Release_Calendar!$A$2:$A$755,"US_NFP",Release_Calendar!$B$2:$B$755,$A6976)&gt;0,1,0)</f>
        <v>0</v>
      </c>
      <c r="M6976" s="16">
        <f>IF($A6976&lt;Notes!$B$5,"",IF(COUNTIFS(Release_Calendar!$A$2:$A$755,"NZ_CPI",Release_Calendar!$B$2:$B$755,$A6976)&gt;0,1,0))</f>
        <v>0</v>
      </c>
      <c r="N6976" s="16">
        <f>IF($A6976&lt;Notes!$B$5,"",IF(COUNTIFS(Release_Calendar!$A$2:$A$755,"NZ_GDP",Release_Calendar!$B$2:$B$755,$A6976)&gt;0,1,0))</f>
        <v>0</v>
      </c>
      <c r="O6976" s="16">
        <f>IF($A6976&lt;Notes!$B$5,"",IF(COUNTIFS(Release_Calendar!$A$2:$A$755,"NZ_LABOUR",Release_Calendar!$B$2:$B$755,$A6976)&gt;0,1,0))</f>
        <v>0</v>
      </c>
      <c r="P6976" s="16">
        <f t="shared" si="4"/>
        <v>0</v>
      </c>
    </row>
    <row r="6977" ht="15.75" customHeight="1">
      <c r="A6977" s="14">
        <v>46293.0</v>
      </c>
      <c r="B6977" s="15">
        <v>4.92</v>
      </c>
      <c r="C6977" s="15">
        <v>4.13</v>
      </c>
      <c r="D6977" s="15"/>
      <c r="E6977" s="15">
        <v>3.95</v>
      </c>
      <c r="F6977" s="15">
        <f t="shared" si="1"/>
        <v>-0.79</v>
      </c>
      <c r="G6977" s="15">
        <f t="shared" si="2"/>
        <v>4.13</v>
      </c>
      <c r="H6977" s="16">
        <v>0.0</v>
      </c>
      <c r="I6977" s="15">
        <f t="shared" si="3"/>
        <v>-0.79</v>
      </c>
      <c r="J6977" s="15">
        <v>16.07</v>
      </c>
      <c r="K6977" s="16">
        <f>IF(COUNTIFS(Release_Calendar!$A$2:$A$755,"US_CPI",Release_Calendar!$B$2:$B$755,$A6977)&gt;0,1,0)</f>
        <v>0</v>
      </c>
      <c r="L6977" s="16">
        <f>IF(COUNTIFS(Release_Calendar!$A$2:$A$755,"US_NFP",Release_Calendar!$B$2:$B$755,$A6977)&gt;0,1,0)</f>
        <v>0</v>
      </c>
      <c r="M6977" s="16">
        <f>IF($A6977&lt;Notes!$B$5,"",IF(COUNTIFS(Release_Calendar!$A$2:$A$755,"NZ_CPI",Release_Calendar!$B$2:$B$755,$A6977)&gt;0,1,0))</f>
        <v>0</v>
      </c>
      <c r="N6977" s="16">
        <f>IF($A6977&lt;Notes!$B$5,"",IF(COUNTIFS(Release_Calendar!$A$2:$A$755,"NZ_GDP",Release_Calendar!$B$2:$B$755,$A6977)&gt;0,1,0))</f>
        <v>0</v>
      </c>
      <c r="O6977" s="16">
        <f>IF($A6977&lt;Notes!$B$5,"",IF(COUNTIFS(Release_Calendar!$A$2:$A$755,"NZ_LABOUR",Release_Calendar!$B$2:$B$755,$A6977)&gt;0,1,0))</f>
        <v>0</v>
      </c>
      <c r="P6977" s="16">
        <f t="shared" si="4"/>
        <v>0</v>
      </c>
    </row>
    <row r="6978" ht="15.75" customHeight="1">
      <c r="A6978" s="14">
        <v>46294.0</v>
      </c>
      <c r="B6978" s="15">
        <v>4.89</v>
      </c>
      <c r="C6978" s="15">
        <v>4.13</v>
      </c>
      <c r="D6978" s="15"/>
      <c r="E6978" s="15">
        <v>3.94</v>
      </c>
      <c r="F6978" s="15">
        <f t="shared" si="1"/>
        <v>-0.76</v>
      </c>
      <c r="G6978" s="15">
        <f t="shared" si="2"/>
        <v>4.13</v>
      </c>
      <c r="H6978" s="16">
        <v>0.0</v>
      </c>
      <c r="I6978" s="15">
        <f t="shared" si="3"/>
        <v>-0.76</v>
      </c>
      <c r="J6978" s="15">
        <v>16.04</v>
      </c>
      <c r="K6978" s="16">
        <f>IF(COUNTIFS(Release_Calendar!$A$2:$A$755,"US_CPI",Release_Calendar!$B$2:$B$755,$A6978)&gt;0,1,0)</f>
        <v>0</v>
      </c>
      <c r="L6978" s="16">
        <f>IF(COUNTIFS(Release_Calendar!$A$2:$A$755,"US_NFP",Release_Calendar!$B$2:$B$755,$A6978)&gt;0,1,0)</f>
        <v>0</v>
      </c>
      <c r="M6978" s="16">
        <f>IF($A6978&lt;Notes!$B$5,"",IF(COUNTIFS(Release_Calendar!$A$2:$A$755,"NZ_CPI",Release_Calendar!$B$2:$B$755,$A6978)&gt;0,1,0))</f>
        <v>0</v>
      </c>
      <c r="N6978" s="16">
        <f>IF($A6978&lt;Notes!$B$5,"",IF(COUNTIFS(Release_Calendar!$A$2:$A$755,"NZ_GDP",Release_Calendar!$B$2:$B$755,$A6978)&gt;0,1,0))</f>
        <v>0</v>
      </c>
      <c r="O6978" s="16">
        <f>IF($A6978&lt;Notes!$B$5,"",IF(COUNTIFS(Release_Calendar!$A$2:$A$755,"NZ_LABOUR",Release_Calendar!$B$2:$B$755,$A6978)&gt;0,1,0))</f>
        <v>0</v>
      </c>
      <c r="P6978" s="16">
        <f t="shared" si="4"/>
        <v>0</v>
      </c>
    </row>
    <row r="6979" ht="15.75" customHeight="1">
      <c r="A6979" s="14">
        <v>46295.0</v>
      </c>
      <c r="B6979" s="15">
        <v>4.88</v>
      </c>
      <c r="C6979" s="15">
        <v>4.05</v>
      </c>
      <c r="D6979" s="15"/>
      <c r="E6979" s="15">
        <v>3.85</v>
      </c>
      <c r="F6979" s="15">
        <f t="shared" si="1"/>
        <v>-0.83</v>
      </c>
      <c r="G6979" s="15">
        <f t="shared" si="2"/>
        <v>4.05</v>
      </c>
      <c r="H6979" s="16">
        <v>0.0</v>
      </c>
      <c r="I6979" s="15">
        <f t="shared" si="3"/>
        <v>-0.83</v>
      </c>
      <c r="J6979" s="15">
        <v>16.34</v>
      </c>
      <c r="K6979" s="16">
        <f>IF(COUNTIFS(Release_Calendar!$A$2:$A$755,"US_CPI",Release_Calendar!$B$2:$B$755,$A6979)&gt;0,1,0)</f>
        <v>0</v>
      </c>
      <c r="L6979" s="16">
        <f>IF(COUNTIFS(Release_Calendar!$A$2:$A$755,"US_NFP",Release_Calendar!$B$2:$B$755,$A6979)&gt;0,1,0)</f>
        <v>0</v>
      </c>
      <c r="M6979" s="16">
        <f>IF($A6979&lt;Notes!$B$5,"",IF(COUNTIFS(Release_Calendar!$A$2:$A$755,"NZ_CPI",Release_Calendar!$B$2:$B$755,$A6979)&gt;0,1,0))</f>
        <v>0</v>
      </c>
      <c r="N6979" s="16">
        <f>IF($A6979&lt;Notes!$B$5,"",IF(COUNTIFS(Release_Calendar!$A$2:$A$755,"NZ_GDP",Release_Calendar!$B$2:$B$755,$A6979)&gt;0,1,0))</f>
        <v>0</v>
      </c>
      <c r="O6979" s="16">
        <f>IF($A6979&lt;Notes!$B$5,"",IF(COUNTIFS(Release_Calendar!$A$2:$A$755,"NZ_LABOUR",Release_Calendar!$B$2:$B$755,$A6979)&gt;0,1,0))</f>
        <v>0</v>
      </c>
      <c r="P6979" s="16">
        <f t="shared" si="4"/>
        <v>0</v>
      </c>
    </row>
    <row r="6980" ht="15.75" customHeight="1">
      <c r="A6980" s="14">
        <v>46296.0</v>
      </c>
      <c r="B6980" s="15">
        <v>4.78</v>
      </c>
      <c r="C6980" s="15">
        <v>4.08</v>
      </c>
      <c r="D6980" s="15"/>
      <c r="E6980" s="15">
        <v>3.89</v>
      </c>
      <c r="F6980" s="15">
        <f t="shared" si="1"/>
        <v>-0.7</v>
      </c>
      <c r="G6980" s="15">
        <f t="shared" si="2"/>
        <v>4.08</v>
      </c>
      <c r="H6980" s="16">
        <v>0.0</v>
      </c>
      <c r="I6980" s="15">
        <f t="shared" si="3"/>
        <v>-0.7</v>
      </c>
      <c r="J6980" s="15">
        <v>16.39</v>
      </c>
      <c r="K6980" s="16">
        <f>IF(COUNTIFS(Release_Calendar!$A$2:$A$755,"US_CPI",Release_Calendar!$B$2:$B$755,$A6980)&gt;0,1,0)</f>
        <v>0</v>
      </c>
      <c r="L6980" s="16">
        <f>IF(COUNTIFS(Release_Calendar!$A$2:$A$755,"US_NFP",Release_Calendar!$B$2:$B$755,$A6980)&gt;0,1,0)</f>
        <v>0</v>
      </c>
      <c r="M6980" s="16">
        <f>IF($A6980&lt;Notes!$B$5,"",IF(COUNTIFS(Release_Calendar!$A$2:$A$755,"NZ_CPI",Release_Calendar!$B$2:$B$755,$A6980)&gt;0,1,0))</f>
        <v>0</v>
      </c>
      <c r="N6980" s="16">
        <f>IF($A6980&lt;Notes!$B$5,"",IF(COUNTIFS(Release_Calendar!$A$2:$A$755,"NZ_GDP",Release_Calendar!$B$2:$B$755,$A6980)&gt;0,1,0))</f>
        <v>0</v>
      </c>
      <c r="O6980" s="16">
        <f>IF($A6980&lt;Notes!$B$5,"",IF(COUNTIFS(Release_Calendar!$A$2:$A$755,"NZ_LABOUR",Release_Calendar!$B$2:$B$755,$A6980)&gt;0,1,0))</f>
        <v>0</v>
      </c>
      <c r="P6980" s="16">
        <f t="shared" si="4"/>
        <v>0</v>
      </c>
    </row>
    <row r="6981" ht="15.75" customHeight="1">
      <c r="A6981" s="14">
        <v>46297.0</v>
      </c>
      <c r="B6981" s="15">
        <v>4.83</v>
      </c>
      <c r="C6981" s="15">
        <v>4.01</v>
      </c>
      <c r="D6981" s="15"/>
      <c r="E6981" s="15">
        <v>3.84</v>
      </c>
      <c r="F6981" s="15">
        <f t="shared" si="1"/>
        <v>-0.82</v>
      </c>
      <c r="G6981" s="15">
        <f t="shared" si="2"/>
        <v>4.01</v>
      </c>
      <c r="H6981" s="16">
        <v>0.0</v>
      </c>
      <c r="I6981" s="15">
        <f t="shared" si="3"/>
        <v>-0.82</v>
      </c>
      <c r="J6981" s="15">
        <v>15.31</v>
      </c>
      <c r="K6981" s="16">
        <f>IF(COUNTIFS(Release_Calendar!$A$2:$A$755,"US_CPI",Release_Calendar!$B$2:$B$755,$A6981)&gt;0,1,0)</f>
        <v>0</v>
      </c>
      <c r="L6981" s="16">
        <f>IF(COUNTIFS(Release_Calendar!$A$2:$A$755,"US_NFP",Release_Calendar!$B$2:$B$755,$A6981)&gt;0,1,0)</f>
        <v>1</v>
      </c>
      <c r="M6981" s="16">
        <f>IF($A6981&lt;Notes!$B$5,"",IF(COUNTIFS(Release_Calendar!$A$2:$A$755,"NZ_CPI",Release_Calendar!$B$2:$B$755,$A6981)&gt;0,1,0))</f>
        <v>0</v>
      </c>
      <c r="N6981" s="16">
        <f>IF($A6981&lt;Notes!$B$5,"",IF(COUNTIFS(Release_Calendar!$A$2:$A$755,"NZ_GDP",Release_Calendar!$B$2:$B$755,$A6981)&gt;0,1,0))</f>
        <v>0</v>
      </c>
      <c r="O6981" s="16">
        <f>IF($A6981&lt;Notes!$B$5,"",IF(COUNTIFS(Release_Calendar!$A$2:$A$755,"NZ_LABOUR",Release_Calendar!$B$2:$B$755,$A6981)&gt;0,1,0))</f>
        <v>0</v>
      </c>
      <c r="P6981" s="16">
        <f t="shared" si="4"/>
        <v>1</v>
      </c>
    </row>
    <row r="6982" ht="15.75" customHeight="1">
      <c r="A6982" s="14">
        <v>46300.0</v>
      </c>
      <c r="B6982" s="15">
        <v>4.84</v>
      </c>
      <c r="C6982" s="15">
        <v>4.0</v>
      </c>
      <c r="D6982" s="15"/>
      <c r="E6982" s="15">
        <v>3.83</v>
      </c>
      <c r="F6982" s="15">
        <f t="shared" si="1"/>
        <v>-0.84</v>
      </c>
      <c r="G6982" s="15">
        <f t="shared" si="2"/>
        <v>4</v>
      </c>
      <c r="H6982" s="16">
        <v>0.0</v>
      </c>
      <c r="I6982" s="15">
        <f t="shared" si="3"/>
        <v>-0.84</v>
      </c>
      <c r="J6982" s="15">
        <v>15.52</v>
      </c>
      <c r="K6982" s="16">
        <f>IF(COUNTIFS(Release_Calendar!$A$2:$A$755,"US_CPI",Release_Calendar!$B$2:$B$755,$A6982)&gt;0,1,0)</f>
        <v>0</v>
      </c>
      <c r="L6982" s="16">
        <f>IF(COUNTIFS(Release_Calendar!$A$2:$A$755,"US_NFP",Release_Calendar!$B$2:$B$755,$A6982)&gt;0,1,0)</f>
        <v>0</v>
      </c>
      <c r="M6982" s="16">
        <f>IF($A6982&lt;Notes!$B$5,"",IF(COUNTIFS(Release_Calendar!$A$2:$A$755,"NZ_CPI",Release_Calendar!$B$2:$B$755,$A6982)&gt;0,1,0))</f>
        <v>0</v>
      </c>
      <c r="N6982" s="16">
        <f>IF($A6982&lt;Notes!$B$5,"",IF(COUNTIFS(Release_Calendar!$A$2:$A$755,"NZ_GDP",Release_Calendar!$B$2:$B$755,$A6982)&gt;0,1,0))</f>
        <v>0</v>
      </c>
      <c r="O6982" s="16">
        <f>IF($A6982&lt;Notes!$B$5,"",IF(COUNTIFS(Release_Calendar!$A$2:$A$755,"NZ_LABOUR",Release_Calendar!$B$2:$B$755,$A6982)&gt;0,1,0))</f>
        <v>0</v>
      </c>
      <c r="P6982" s="16">
        <f t="shared" si="4"/>
        <v>0</v>
      </c>
    </row>
    <row r="6983" ht="15.75" customHeight="1">
      <c r="A6983" s="14">
        <v>46301.0</v>
      </c>
      <c r="B6983" s="15">
        <v>4.79</v>
      </c>
      <c r="C6983" s="15">
        <v>4.05</v>
      </c>
      <c r="D6983" s="15"/>
      <c r="E6983" s="15">
        <v>3.88</v>
      </c>
      <c r="F6983" s="15">
        <f t="shared" si="1"/>
        <v>-0.74</v>
      </c>
      <c r="G6983" s="15">
        <f t="shared" si="2"/>
        <v>4.05</v>
      </c>
      <c r="H6983" s="16">
        <v>0.0</v>
      </c>
      <c r="I6983" s="15">
        <f t="shared" si="3"/>
        <v>-0.74</v>
      </c>
      <c r="J6983" s="15">
        <v>15.01</v>
      </c>
      <c r="K6983" s="16">
        <f>IF(COUNTIFS(Release_Calendar!$A$2:$A$755,"US_CPI",Release_Calendar!$B$2:$B$755,$A6983)&gt;0,1,0)</f>
        <v>0</v>
      </c>
      <c r="L6983" s="16">
        <f>IF(COUNTIFS(Release_Calendar!$A$2:$A$755,"US_NFP",Release_Calendar!$B$2:$B$755,$A6983)&gt;0,1,0)</f>
        <v>0</v>
      </c>
      <c r="M6983" s="16">
        <f>IF($A6983&lt;Notes!$B$5,"",IF(COUNTIFS(Release_Calendar!$A$2:$A$755,"NZ_CPI",Release_Calendar!$B$2:$B$755,$A6983)&gt;0,1,0))</f>
        <v>0</v>
      </c>
      <c r="N6983" s="16">
        <f>IF($A6983&lt;Notes!$B$5,"",IF(COUNTIFS(Release_Calendar!$A$2:$A$755,"NZ_GDP",Release_Calendar!$B$2:$B$755,$A6983)&gt;0,1,0))</f>
        <v>0</v>
      </c>
      <c r="O6983" s="16">
        <f>IF($A6983&lt;Notes!$B$5,"",IF(COUNTIFS(Release_Calendar!$A$2:$A$755,"NZ_LABOUR",Release_Calendar!$B$2:$B$755,$A6983)&gt;0,1,0))</f>
        <v>0</v>
      </c>
      <c r="P6983" s="16">
        <f t="shared" si="4"/>
        <v>0</v>
      </c>
    </row>
    <row r="6984" ht="15.75" customHeight="1">
      <c r="A6984" s="14">
        <v>46302.0</v>
      </c>
      <c r="B6984" s="15">
        <v>4.77</v>
      </c>
      <c r="C6984" s="15">
        <v>4.04</v>
      </c>
      <c r="D6984" s="15"/>
      <c r="E6984" s="15">
        <v>3.88</v>
      </c>
      <c r="F6984" s="15">
        <f t="shared" si="1"/>
        <v>-0.73</v>
      </c>
      <c r="G6984" s="15">
        <f t="shared" si="2"/>
        <v>4.04</v>
      </c>
      <c r="H6984" s="16">
        <v>0.0</v>
      </c>
      <c r="I6984" s="15">
        <f t="shared" si="3"/>
        <v>-0.73</v>
      </c>
      <c r="J6984" s="15">
        <v>15.08</v>
      </c>
      <c r="K6984" s="16">
        <f>IF(COUNTIFS(Release_Calendar!$A$2:$A$755,"US_CPI",Release_Calendar!$B$2:$B$755,$A6984)&gt;0,1,0)</f>
        <v>0</v>
      </c>
      <c r="L6984" s="16">
        <f>IF(COUNTIFS(Release_Calendar!$A$2:$A$755,"US_NFP",Release_Calendar!$B$2:$B$755,$A6984)&gt;0,1,0)</f>
        <v>0</v>
      </c>
      <c r="M6984" s="16">
        <f>IF($A6984&lt;Notes!$B$5,"",IF(COUNTIFS(Release_Calendar!$A$2:$A$755,"NZ_CPI",Release_Calendar!$B$2:$B$755,$A6984)&gt;0,1,0))</f>
        <v>0</v>
      </c>
      <c r="N6984" s="16">
        <f>IF($A6984&lt;Notes!$B$5,"",IF(COUNTIFS(Release_Calendar!$A$2:$A$755,"NZ_GDP",Release_Calendar!$B$2:$B$755,$A6984)&gt;0,1,0))</f>
        <v>0</v>
      </c>
      <c r="O6984" s="16">
        <f>IF($A6984&lt;Notes!$B$5,"",IF(COUNTIFS(Release_Calendar!$A$2:$A$755,"NZ_LABOUR",Release_Calendar!$B$2:$B$755,$A6984)&gt;0,1,0))</f>
        <v>0</v>
      </c>
      <c r="P6984" s="16">
        <f t="shared" si="4"/>
        <v>0</v>
      </c>
    </row>
    <row r="6985" ht="15.75" customHeight="1">
      <c r="A6985" s="14">
        <v>46303.0</v>
      </c>
      <c r="B6985" s="15">
        <v>4.75</v>
      </c>
      <c r="C6985" s="15">
        <v>4.03</v>
      </c>
      <c r="D6985" s="15"/>
      <c r="E6985" s="15">
        <v>3.85</v>
      </c>
      <c r="F6985" s="15">
        <f t="shared" si="1"/>
        <v>-0.72</v>
      </c>
      <c r="G6985" s="15">
        <f t="shared" si="2"/>
        <v>4.03</v>
      </c>
      <c r="H6985" s="16">
        <v>0.0</v>
      </c>
      <c r="I6985" s="15">
        <f t="shared" si="3"/>
        <v>-0.72</v>
      </c>
      <c r="J6985" s="15">
        <v>15.41</v>
      </c>
      <c r="K6985" s="16">
        <f>IF(COUNTIFS(Release_Calendar!$A$2:$A$755,"US_CPI",Release_Calendar!$B$2:$B$755,$A6985)&gt;0,1,0)</f>
        <v>0</v>
      </c>
      <c r="L6985" s="16">
        <f>IF(COUNTIFS(Release_Calendar!$A$2:$A$755,"US_NFP",Release_Calendar!$B$2:$B$755,$A6985)&gt;0,1,0)</f>
        <v>0</v>
      </c>
      <c r="M6985" s="16">
        <f>IF($A6985&lt;Notes!$B$5,"",IF(COUNTIFS(Release_Calendar!$A$2:$A$755,"NZ_CPI",Release_Calendar!$B$2:$B$755,$A6985)&gt;0,1,0))</f>
        <v>0</v>
      </c>
      <c r="N6985" s="16">
        <f>IF($A6985&lt;Notes!$B$5,"",IF(COUNTIFS(Release_Calendar!$A$2:$A$755,"NZ_GDP",Release_Calendar!$B$2:$B$755,$A6985)&gt;0,1,0))</f>
        <v>0</v>
      </c>
      <c r="O6985" s="16">
        <f>IF($A6985&lt;Notes!$B$5,"",IF(COUNTIFS(Release_Calendar!$A$2:$A$755,"NZ_LABOUR",Release_Calendar!$B$2:$B$755,$A6985)&gt;0,1,0))</f>
        <v>0</v>
      </c>
      <c r="P6985" s="16">
        <f t="shared" si="4"/>
        <v>0</v>
      </c>
    </row>
    <row r="6986" ht="15.75" customHeight="1">
      <c r="A6986" s="14">
        <v>46304.0</v>
      </c>
      <c r="B6986" s="15">
        <v>4.8</v>
      </c>
      <c r="C6986" s="15">
        <v>4.01</v>
      </c>
      <c r="D6986" s="15"/>
      <c r="E6986" s="15">
        <v>3.83</v>
      </c>
      <c r="F6986" s="15">
        <f t="shared" si="1"/>
        <v>-0.79</v>
      </c>
      <c r="G6986" s="15">
        <f t="shared" si="2"/>
        <v>4.01</v>
      </c>
      <c r="H6986" s="16">
        <v>0.0</v>
      </c>
      <c r="I6986" s="15">
        <f t="shared" si="3"/>
        <v>-0.79</v>
      </c>
      <c r="J6986" s="15">
        <v>14.84</v>
      </c>
      <c r="K6986" s="16">
        <f>IF(COUNTIFS(Release_Calendar!$A$2:$A$755,"US_CPI",Release_Calendar!$B$2:$B$755,$A6986)&gt;0,1,0)</f>
        <v>0</v>
      </c>
      <c r="L6986" s="16">
        <f>IF(COUNTIFS(Release_Calendar!$A$2:$A$755,"US_NFP",Release_Calendar!$B$2:$B$755,$A6986)&gt;0,1,0)</f>
        <v>0</v>
      </c>
      <c r="M6986" s="16">
        <f>IF($A6986&lt;Notes!$B$5,"",IF(COUNTIFS(Release_Calendar!$A$2:$A$755,"NZ_CPI",Release_Calendar!$B$2:$B$755,$A6986)&gt;0,1,0))</f>
        <v>0</v>
      </c>
      <c r="N6986" s="16">
        <f>IF($A6986&lt;Notes!$B$5,"",IF(COUNTIFS(Release_Calendar!$A$2:$A$755,"NZ_GDP",Release_Calendar!$B$2:$B$755,$A6986)&gt;0,1,0))</f>
        <v>0</v>
      </c>
      <c r="O6986" s="16">
        <f>IF($A6986&lt;Notes!$B$5,"",IF(COUNTIFS(Release_Calendar!$A$2:$A$755,"NZ_LABOUR",Release_Calendar!$B$2:$B$755,$A6986)&gt;0,1,0))</f>
        <v>0</v>
      </c>
      <c r="P6986" s="16">
        <f t="shared" si="4"/>
        <v>0</v>
      </c>
    </row>
    <row r="6987" ht="15.75" customHeight="1">
      <c r="A6987" s="14">
        <v>46307.0</v>
      </c>
      <c r="B6987" s="15"/>
      <c r="C6987" s="15">
        <v>4.0</v>
      </c>
      <c r="D6987" s="15"/>
      <c r="E6987" s="15">
        <v>3.82</v>
      </c>
      <c r="F6987" s="15" t="str">
        <f t="shared" si="1"/>
        <v/>
      </c>
      <c r="G6987" s="15">
        <f t="shared" si="2"/>
        <v>4</v>
      </c>
      <c r="H6987" s="16">
        <v>0.0</v>
      </c>
      <c r="I6987" s="15" t="str">
        <f t="shared" si="3"/>
        <v/>
      </c>
      <c r="J6987" s="15">
        <v>15.21</v>
      </c>
      <c r="K6987" s="16">
        <f>IF(COUNTIFS(Release_Calendar!$A$2:$A$755,"US_CPI",Release_Calendar!$B$2:$B$755,$A6987)&gt;0,1,0)</f>
        <v>0</v>
      </c>
      <c r="L6987" s="16">
        <f>IF(COUNTIFS(Release_Calendar!$A$2:$A$755,"US_NFP",Release_Calendar!$B$2:$B$755,$A6987)&gt;0,1,0)</f>
        <v>0</v>
      </c>
      <c r="M6987" s="16">
        <f>IF($A6987&lt;Notes!$B$5,"",IF(COUNTIFS(Release_Calendar!$A$2:$A$755,"NZ_CPI",Release_Calendar!$B$2:$B$755,$A6987)&gt;0,1,0))</f>
        <v>0</v>
      </c>
      <c r="N6987" s="16">
        <f>IF($A6987&lt;Notes!$B$5,"",IF(COUNTIFS(Release_Calendar!$A$2:$A$755,"NZ_GDP",Release_Calendar!$B$2:$B$755,$A6987)&gt;0,1,0))</f>
        <v>0</v>
      </c>
      <c r="O6987" s="16">
        <f>IF($A6987&lt;Notes!$B$5,"",IF(COUNTIFS(Release_Calendar!$A$2:$A$755,"NZ_LABOUR",Release_Calendar!$B$2:$B$755,$A6987)&gt;0,1,0))</f>
        <v>0</v>
      </c>
      <c r="P6987" s="16">
        <f t="shared" si="4"/>
        <v>0</v>
      </c>
    </row>
    <row r="6988" ht="15.75" customHeight="1">
      <c r="A6988" s="14">
        <v>46308.0</v>
      </c>
      <c r="B6988" s="15"/>
      <c r="C6988" s="15">
        <v>3.98</v>
      </c>
      <c r="D6988" s="15"/>
      <c r="E6988" s="15">
        <v>3.8</v>
      </c>
      <c r="F6988" s="15" t="str">
        <f t="shared" si="1"/>
        <v/>
      </c>
      <c r="G6988" s="15">
        <f t="shared" si="2"/>
        <v>3.98</v>
      </c>
      <c r="H6988" s="16">
        <v>0.0</v>
      </c>
      <c r="I6988" s="15" t="str">
        <f t="shared" si="3"/>
        <v/>
      </c>
      <c r="J6988" s="15">
        <v>15.27</v>
      </c>
      <c r="K6988" s="16">
        <f>IF(COUNTIFS(Release_Calendar!$A$2:$A$755,"US_CPI",Release_Calendar!$B$2:$B$755,$A6988)&gt;0,1,0)</f>
        <v>0</v>
      </c>
      <c r="L6988" s="16">
        <f>IF(COUNTIFS(Release_Calendar!$A$2:$A$755,"US_NFP",Release_Calendar!$B$2:$B$755,$A6988)&gt;0,1,0)</f>
        <v>0</v>
      </c>
      <c r="M6988" s="16">
        <f>IF($A6988&lt;Notes!$B$5,"",IF(COUNTIFS(Release_Calendar!$A$2:$A$755,"NZ_CPI",Release_Calendar!$B$2:$B$755,$A6988)&gt;0,1,0))</f>
        <v>0</v>
      </c>
      <c r="N6988" s="16">
        <f>IF($A6988&lt;Notes!$B$5,"",IF(COUNTIFS(Release_Calendar!$A$2:$A$755,"NZ_GDP",Release_Calendar!$B$2:$B$755,$A6988)&gt;0,1,0))</f>
        <v>0</v>
      </c>
      <c r="O6988" s="16">
        <f>IF($A6988&lt;Notes!$B$5,"",IF(COUNTIFS(Release_Calendar!$A$2:$A$755,"NZ_LABOUR",Release_Calendar!$B$2:$B$755,$A6988)&gt;0,1,0))</f>
        <v>0</v>
      </c>
      <c r="P6988" s="16">
        <f t="shared" si="4"/>
        <v>0</v>
      </c>
    </row>
    <row r="6989" ht="15.75" customHeight="1">
      <c r="A6989" s="14">
        <v>46309.0</v>
      </c>
      <c r="B6989" s="15"/>
      <c r="C6989" s="15"/>
      <c r="D6989" s="15"/>
      <c r="E6989" s="15"/>
      <c r="F6989" s="15" t="str">
        <f t="shared" si="1"/>
        <v/>
      </c>
      <c r="G6989" s="15" t="str">
        <f t="shared" si="2"/>
        <v/>
      </c>
      <c r="H6989" s="16">
        <v>0.0</v>
      </c>
      <c r="I6989" s="15" t="str">
        <f t="shared" si="3"/>
        <v/>
      </c>
      <c r="J6989" s="15"/>
      <c r="K6989" s="16">
        <f>IF(COUNTIFS(Release_Calendar!$A$2:$A$755,"US_CPI",Release_Calendar!$B$2:$B$755,$A6989)&gt;0,1,0)</f>
        <v>1</v>
      </c>
      <c r="L6989" s="16">
        <f>IF(COUNTIFS(Release_Calendar!$A$2:$A$755,"US_NFP",Release_Calendar!$B$2:$B$755,$A6989)&gt;0,1,0)</f>
        <v>0</v>
      </c>
      <c r="M6989" s="16">
        <f>IF($A6989&lt;Notes!$B$5,"",IF(COUNTIFS(Release_Calendar!$A$2:$A$755,"NZ_CPI",Release_Calendar!$B$2:$B$755,$A6989)&gt;0,1,0))</f>
        <v>0</v>
      </c>
      <c r="N6989" s="16">
        <f>IF($A6989&lt;Notes!$B$5,"",IF(COUNTIFS(Release_Calendar!$A$2:$A$755,"NZ_GDP",Release_Calendar!$B$2:$B$755,$A6989)&gt;0,1,0))</f>
        <v>0</v>
      </c>
      <c r="O6989" s="16">
        <f>IF($A6989&lt;Notes!$B$5,"",IF(COUNTIFS(Release_Calendar!$A$2:$A$755,"NZ_LABOUR",Release_Calendar!$B$2:$B$755,$A6989)&gt;0,1,0))</f>
        <v>0</v>
      </c>
      <c r="P6989" s="16">
        <f t="shared" si="4"/>
        <v>1</v>
      </c>
    </row>
  </sheetData>
  <autoFilter ref="$A$1:$P$6989"/>
  <printOptions/>
  <pageMargins bottom="1.0" footer="0.0" header="0.0" left="0.75" right="0.75" top="1.0"/>
  <pageSetup paperSize="9" orientation="portrait"/>
  <drawing r:id="rId2"/>
  <legacyDrawing r:id="rId3"/>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2.0"/>
    <col customWidth="1" min="2" max="2" width="18.0"/>
    <col customWidth="1" min="3" max="3" width="10.0"/>
    <col customWidth="1" min="4" max="5" width="18.0"/>
    <col customWidth="1" min="6" max="6" width="20.0"/>
    <col customWidth="1" min="7" max="7" width="16.0"/>
    <col customWidth="1" min="8" max="8" width="22.0"/>
    <col customWidth="1" min="9" max="9" width="60.0"/>
    <col customWidth="1" min="10" max="26" width="8.71"/>
  </cols>
  <sheetData>
    <row r="1">
      <c r="A1" s="3" t="s">
        <v>104</v>
      </c>
      <c r="B1" s="3" t="s">
        <v>105</v>
      </c>
      <c r="C1" s="3" t="s">
        <v>106</v>
      </c>
      <c r="D1" s="3" t="s">
        <v>107</v>
      </c>
      <c r="E1" s="3" t="s">
        <v>108</v>
      </c>
      <c r="F1" s="3" t="s">
        <v>109</v>
      </c>
      <c r="G1" s="3" t="s">
        <v>110</v>
      </c>
      <c r="H1" s="3" t="s">
        <v>111</v>
      </c>
      <c r="I1" s="3" t="s">
        <v>112</v>
      </c>
    </row>
    <row r="2">
      <c r="A2" s="16" t="s">
        <v>113</v>
      </c>
      <c r="B2" s="14">
        <v>36532.0</v>
      </c>
      <c r="C2" s="16" t="s">
        <v>114</v>
      </c>
      <c r="D2" s="16" t="s">
        <v>115</v>
      </c>
      <c r="E2" s="17">
        <v>36532.5625</v>
      </c>
      <c r="F2" s="17">
        <v>36532.3541666667</v>
      </c>
      <c r="G2" s="14">
        <v>36532.0</v>
      </c>
      <c r="H2" s="16"/>
      <c r="I2" s="16" t="s">
        <v>116</v>
      </c>
    </row>
    <row r="3">
      <c r="A3" s="16" t="s">
        <v>117</v>
      </c>
      <c r="B3" s="14">
        <v>36539.0</v>
      </c>
      <c r="C3" s="16" t="s">
        <v>114</v>
      </c>
      <c r="D3" s="16" t="s">
        <v>115</v>
      </c>
      <c r="E3" s="17">
        <v>36539.5625</v>
      </c>
      <c r="F3" s="17">
        <v>36539.3541666667</v>
      </c>
      <c r="G3" s="14">
        <v>36539.0</v>
      </c>
      <c r="H3" s="16"/>
      <c r="I3" s="16" t="s">
        <v>118</v>
      </c>
    </row>
    <row r="4">
      <c r="A4" s="16" t="s">
        <v>113</v>
      </c>
      <c r="B4" s="14">
        <v>36560.0</v>
      </c>
      <c r="C4" s="16" t="s">
        <v>114</v>
      </c>
      <c r="D4" s="16" t="s">
        <v>115</v>
      </c>
      <c r="E4" s="17">
        <v>36560.5625</v>
      </c>
      <c r="F4" s="17">
        <v>36560.3541666667</v>
      </c>
      <c r="G4" s="14">
        <v>36560.0</v>
      </c>
      <c r="H4" s="16"/>
      <c r="I4" s="16" t="s">
        <v>116</v>
      </c>
    </row>
    <row r="5">
      <c r="A5" s="16" t="s">
        <v>117</v>
      </c>
      <c r="B5" s="14">
        <v>36574.0</v>
      </c>
      <c r="C5" s="16" t="s">
        <v>114</v>
      </c>
      <c r="D5" s="16" t="s">
        <v>115</v>
      </c>
      <c r="E5" s="17">
        <v>36574.5625</v>
      </c>
      <c r="F5" s="17">
        <v>36574.3541666667</v>
      </c>
      <c r="G5" s="14">
        <v>36574.0</v>
      </c>
      <c r="H5" s="16"/>
      <c r="I5" s="16" t="s">
        <v>118</v>
      </c>
    </row>
    <row r="6">
      <c r="A6" s="16" t="s">
        <v>113</v>
      </c>
      <c r="B6" s="14">
        <v>36588.0</v>
      </c>
      <c r="C6" s="16" t="s">
        <v>114</v>
      </c>
      <c r="D6" s="16" t="s">
        <v>115</v>
      </c>
      <c r="E6" s="17">
        <v>36588.5625</v>
      </c>
      <c r="F6" s="17">
        <v>36588.3541666667</v>
      </c>
      <c r="G6" s="14">
        <v>36588.0</v>
      </c>
      <c r="H6" s="16"/>
      <c r="I6" s="16" t="s">
        <v>116</v>
      </c>
    </row>
    <row r="7">
      <c r="A7" s="16" t="s">
        <v>117</v>
      </c>
      <c r="B7" s="14">
        <v>36602.0</v>
      </c>
      <c r="C7" s="16" t="s">
        <v>114</v>
      </c>
      <c r="D7" s="16" t="s">
        <v>115</v>
      </c>
      <c r="E7" s="17">
        <v>36602.5625</v>
      </c>
      <c r="F7" s="17">
        <v>36602.3541666667</v>
      </c>
      <c r="G7" s="14">
        <v>36602.0</v>
      </c>
      <c r="H7" s="16"/>
      <c r="I7" s="16" t="s">
        <v>118</v>
      </c>
    </row>
    <row r="8">
      <c r="A8" s="16" t="s">
        <v>113</v>
      </c>
      <c r="B8" s="14">
        <v>36623.0</v>
      </c>
      <c r="C8" s="16" t="s">
        <v>114</v>
      </c>
      <c r="D8" s="16" t="s">
        <v>115</v>
      </c>
      <c r="E8" s="17">
        <v>36623.5208333333</v>
      </c>
      <c r="F8" s="17">
        <v>36623.3541666667</v>
      </c>
      <c r="G8" s="14">
        <v>36623.0</v>
      </c>
      <c r="H8" s="16"/>
      <c r="I8" s="16" t="s">
        <v>116</v>
      </c>
    </row>
    <row r="9">
      <c r="A9" s="16" t="s">
        <v>117</v>
      </c>
      <c r="B9" s="14">
        <v>36630.0</v>
      </c>
      <c r="C9" s="16" t="s">
        <v>114</v>
      </c>
      <c r="D9" s="16" t="s">
        <v>115</v>
      </c>
      <c r="E9" s="17">
        <v>36630.5208333333</v>
      </c>
      <c r="F9" s="17">
        <v>36630.3541666667</v>
      </c>
      <c r="G9" s="14">
        <v>36630.0</v>
      </c>
      <c r="H9" s="16"/>
      <c r="I9" s="16" t="s">
        <v>118</v>
      </c>
    </row>
    <row r="10">
      <c r="A10" s="16" t="s">
        <v>113</v>
      </c>
      <c r="B10" s="14">
        <v>36651.0</v>
      </c>
      <c r="C10" s="16" t="s">
        <v>114</v>
      </c>
      <c r="D10" s="16" t="s">
        <v>115</v>
      </c>
      <c r="E10" s="17">
        <v>36651.5208333333</v>
      </c>
      <c r="F10" s="17">
        <v>36651.3541666667</v>
      </c>
      <c r="G10" s="14">
        <v>36651.0</v>
      </c>
      <c r="H10" s="16"/>
      <c r="I10" s="16" t="s">
        <v>116</v>
      </c>
    </row>
    <row r="11">
      <c r="A11" s="16" t="s">
        <v>117</v>
      </c>
      <c r="B11" s="14">
        <v>36662.0</v>
      </c>
      <c r="C11" s="16" t="s">
        <v>114</v>
      </c>
      <c r="D11" s="16" t="s">
        <v>115</v>
      </c>
      <c r="E11" s="17">
        <v>36662.5208333333</v>
      </c>
      <c r="F11" s="17">
        <v>36662.3541666667</v>
      </c>
      <c r="G11" s="14">
        <v>36662.0</v>
      </c>
      <c r="H11" s="16"/>
      <c r="I11" s="16" t="s">
        <v>118</v>
      </c>
    </row>
    <row r="12">
      <c r="A12" s="16" t="s">
        <v>113</v>
      </c>
      <c r="B12" s="14">
        <v>36679.0</v>
      </c>
      <c r="C12" s="16" t="s">
        <v>114</v>
      </c>
      <c r="D12" s="16" t="s">
        <v>115</v>
      </c>
      <c r="E12" s="17">
        <v>36679.5208333333</v>
      </c>
      <c r="F12" s="17">
        <v>36679.3541666667</v>
      </c>
      <c r="G12" s="14">
        <v>36679.0</v>
      </c>
      <c r="H12" s="16"/>
      <c r="I12" s="16" t="s">
        <v>116</v>
      </c>
    </row>
    <row r="13">
      <c r="A13" s="16" t="s">
        <v>117</v>
      </c>
      <c r="B13" s="14">
        <v>36691.0</v>
      </c>
      <c r="C13" s="16" t="s">
        <v>114</v>
      </c>
      <c r="D13" s="16" t="s">
        <v>115</v>
      </c>
      <c r="E13" s="17">
        <v>36691.5208333333</v>
      </c>
      <c r="F13" s="17">
        <v>36691.3541666667</v>
      </c>
      <c r="G13" s="14">
        <v>36691.0</v>
      </c>
      <c r="H13" s="16"/>
      <c r="I13" s="16" t="s">
        <v>118</v>
      </c>
    </row>
    <row r="14">
      <c r="A14" s="16" t="s">
        <v>113</v>
      </c>
      <c r="B14" s="14">
        <v>36714.0</v>
      </c>
      <c r="C14" s="16" t="s">
        <v>114</v>
      </c>
      <c r="D14" s="16" t="s">
        <v>115</v>
      </c>
      <c r="E14" s="17">
        <v>36714.5208333333</v>
      </c>
      <c r="F14" s="17">
        <v>36714.3541666667</v>
      </c>
      <c r="G14" s="14">
        <v>36714.0</v>
      </c>
      <c r="H14" s="16"/>
      <c r="I14" s="16" t="s">
        <v>116</v>
      </c>
    </row>
    <row r="15">
      <c r="A15" s="16" t="s">
        <v>117</v>
      </c>
      <c r="B15" s="14">
        <v>36725.0</v>
      </c>
      <c r="C15" s="16" t="s">
        <v>114</v>
      </c>
      <c r="D15" s="16" t="s">
        <v>115</v>
      </c>
      <c r="E15" s="17">
        <v>36725.5208333333</v>
      </c>
      <c r="F15" s="17">
        <v>36725.3541666667</v>
      </c>
      <c r="G15" s="14">
        <v>36725.0</v>
      </c>
      <c r="H15" s="16"/>
      <c r="I15" s="16" t="s">
        <v>118</v>
      </c>
    </row>
    <row r="16">
      <c r="A16" s="16" t="s">
        <v>113</v>
      </c>
      <c r="B16" s="14">
        <v>36742.0</v>
      </c>
      <c r="C16" s="16" t="s">
        <v>114</v>
      </c>
      <c r="D16" s="16" t="s">
        <v>115</v>
      </c>
      <c r="E16" s="17">
        <v>36742.5208333333</v>
      </c>
      <c r="F16" s="17">
        <v>36742.3541666667</v>
      </c>
      <c r="G16" s="14">
        <v>36742.0</v>
      </c>
      <c r="H16" s="16"/>
      <c r="I16" s="16" t="s">
        <v>116</v>
      </c>
    </row>
    <row r="17">
      <c r="A17" s="16" t="s">
        <v>117</v>
      </c>
      <c r="B17" s="14">
        <v>36754.0</v>
      </c>
      <c r="C17" s="16" t="s">
        <v>114</v>
      </c>
      <c r="D17" s="16" t="s">
        <v>115</v>
      </c>
      <c r="E17" s="17">
        <v>36754.5208333333</v>
      </c>
      <c r="F17" s="17">
        <v>36754.3541666667</v>
      </c>
      <c r="G17" s="14">
        <v>36754.0</v>
      </c>
      <c r="H17" s="16"/>
      <c r="I17" s="16" t="s">
        <v>118</v>
      </c>
    </row>
    <row r="18">
      <c r="A18" s="16" t="s">
        <v>113</v>
      </c>
      <c r="B18" s="14">
        <v>36770.0</v>
      </c>
      <c r="C18" s="16" t="s">
        <v>114</v>
      </c>
      <c r="D18" s="16" t="s">
        <v>115</v>
      </c>
      <c r="E18" s="17">
        <v>36770.5208333333</v>
      </c>
      <c r="F18" s="17">
        <v>36770.3541666667</v>
      </c>
      <c r="G18" s="14">
        <v>36770.0</v>
      </c>
      <c r="H18" s="16"/>
      <c r="I18" s="16" t="s">
        <v>116</v>
      </c>
    </row>
    <row r="19">
      <c r="A19" s="16" t="s">
        <v>117</v>
      </c>
      <c r="B19" s="14">
        <v>36784.0</v>
      </c>
      <c r="C19" s="16" t="s">
        <v>114</v>
      </c>
      <c r="D19" s="16" t="s">
        <v>115</v>
      </c>
      <c r="E19" s="17">
        <v>36784.5208333333</v>
      </c>
      <c r="F19" s="17">
        <v>36784.3541666667</v>
      </c>
      <c r="G19" s="14">
        <v>36784.0</v>
      </c>
      <c r="H19" s="16"/>
      <c r="I19" s="16" t="s">
        <v>118</v>
      </c>
    </row>
    <row r="20">
      <c r="A20" s="16" t="s">
        <v>113</v>
      </c>
      <c r="B20" s="14">
        <v>36805.0</v>
      </c>
      <c r="C20" s="16" t="s">
        <v>114</v>
      </c>
      <c r="D20" s="16" t="s">
        <v>115</v>
      </c>
      <c r="E20" s="17">
        <v>36805.5208333333</v>
      </c>
      <c r="F20" s="17">
        <v>36805.3541666667</v>
      </c>
      <c r="G20" s="14">
        <v>36805.0</v>
      </c>
      <c r="H20" s="16"/>
      <c r="I20" s="16" t="s">
        <v>116</v>
      </c>
    </row>
    <row r="21" ht="15.75" customHeight="1">
      <c r="A21" s="16" t="s">
        <v>117</v>
      </c>
      <c r="B21" s="14">
        <v>36817.0</v>
      </c>
      <c r="C21" s="16" t="s">
        <v>114</v>
      </c>
      <c r="D21" s="16" t="s">
        <v>115</v>
      </c>
      <c r="E21" s="17">
        <v>36817.5208333333</v>
      </c>
      <c r="F21" s="17">
        <v>36817.3541666667</v>
      </c>
      <c r="G21" s="14">
        <v>36817.0</v>
      </c>
      <c r="H21" s="16"/>
      <c r="I21" s="16" t="s">
        <v>118</v>
      </c>
    </row>
    <row r="22" ht="15.75" customHeight="1">
      <c r="A22" s="16" t="s">
        <v>113</v>
      </c>
      <c r="B22" s="14">
        <v>36833.0</v>
      </c>
      <c r="C22" s="16" t="s">
        <v>114</v>
      </c>
      <c r="D22" s="16" t="s">
        <v>115</v>
      </c>
      <c r="E22" s="17">
        <v>36833.5625</v>
      </c>
      <c r="F22" s="17">
        <v>36833.3541666667</v>
      </c>
      <c r="G22" s="14">
        <v>36833.0</v>
      </c>
      <c r="H22" s="16"/>
      <c r="I22" s="16" t="s">
        <v>116</v>
      </c>
    </row>
    <row r="23" ht="15.75" customHeight="1">
      <c r="A23" s="16" t="s">
        <v>117</v>
      </c>
      <c r="B23" s="14">
        <v>36846.0</v>
      </c>
      <c r="C23" s="16" t="s">
        <v>114</v>
      </c>
      <c r="D23" s="16" t="s">
        <v>115</v>
      </c>
      <c r="E23" s="17">
        <v>36846.5625</v>
      </c>
      <c r="F23" s="17">
        <v>36846.3541666667</v>
      </c>
      <c r="G23" s="14">
        <v>36846.0</v>
      </c>
      <c r="H23" s="16"/>
      <c r="I23" s="16" t="s">
        <v>118</v>
      </c>
    </row>
    <row r="24" ht="15.75" customHeight="1">
      <c r="A24" s="16" t="s">
        <v>113</v>
      </c>
      <c r="B24" s="14">
        <v>36868.0</v>
      </c>
      <c r="C24" s="16" t="s">
        <v>114</v>
      </c>
      <c r="D24" s="16" t="s">
        <v>115</v>
      </c>
      <c r="E24" s="17">
        <v>36868.5625</v>
      </c>
      <c r="F24" s="17">
        <v>36868.3541666667</v>
      </c>
      <c r="G24" s="14">
        <v>36868.0</v>
      </c>
      <c r="H24" s="16"/>
      <c r="I24" s="16" t="s">
        <v>116</v>
      </c>
    </row>
    <row r="25" ht="15.75" customHeight="1">
      <c r="A25" s="16" t="s">
        <v>117</v>
      </c>
      <c r="B25" s="14">
        <v>36875.0</v>
      </c>
      <c r="C25" s="16" t="s">
        <v>114</v>
      </c>
      <c r="D25" s="16" t="s">
        <v>115</v>
      </c>
      <c r="E25" s="17">
        <v>36875.5625</v>
      </c>
      <c r="F25" s="17">
        <v>36875.3541666667</v>
      </c>
      <c r="G25" s="14">
        <v>36875.0</v>
      </c>
      <c r="H25" s="16"/>
      <c r="I25" s="16" t="s">
        <v>118</v>
      </c>
    </row>
    <row r="26" ht="15.75" customHeight="1">
      <c r="A26" s="16" t="s">
        <v>113</v>
      </c>
      <c r="B26" s="14">
        <v>36896.0</v>
      </c>
      <c r="C26" s="16" t="s">
        <v>114</v>
      </c>
      <c r="D26" s="16" t="s">
        <v>115</v>
      </c>
      <c r="E26" s="17">
        <v>36896.5625</v>
      </c>
      <c r="F26" s="17">
        <v>36896.3541666667</v>
      </c>
      <c r="G26" s="14">
        <v>36896.0</v>
      </c>
      <c r="H26" s="16"/>
      <c r="I26" s="16" t="s">
        <v>116</v>
      </c>
    </row>
    <row r="27" ht="15.75" customHeight="1">
      <c r="A27" s="16" t="s">
        <v>117</v>
      </c>
      <c r="B27" s="14">
        <v>36908.0</v>
      </c>
      <c r="C27" s="16" t="s">
        <v>114</v>
      </c>
      <c r="D27" s="16" t="s">
        <v>115</v>
      </c>
      <c r="E27" s="17">
        <v>36908.5625</v>
      </c>
      <c r="F27" s="17">
        <v>36908.3541666667</v>
      </c>
      <c r="G27" s="14">
        <v>36908.0</v>
      </c>
      <c r="H27" s="16"/>
      <c r="I27" s="16" t="s">
        <v>118</v>
      </c>
    </row>
    <row r="28" ht="15.75" customHeight="1">
      <c r="A28" s="16" t="s">
        <v>113</v>
      </c>
      <c r="B28" s="14">
        <v>36924.0</v>
      </c>
      <c r="C28" s="16" t="s">
        <v>114</v>
      </c>
      <c r="D28" s="16" t="s">
        <v>115</v>
      </c>
      <c r="E28" s="17">
        <v>36924.5625</v>
      </c>
      <c r="F28" s="17">
        <v>36924.3541666667</v>
      </c>
      <c r="G28" s="14">
        <v>36924.0</v>
      </c>
      <c r="H28" s="16"/>
      <c r="I28" s="16" t="s">
        <v>116</v>
      </c>
    </row>
    <row r="29" ht="15.75" customHeight="1">
      <c r="A29" s="16" t="s">
        <v>117</v>
      </c>
      <c r="B29" s="14">
        <v>36943.0</v>
      </c>
      <c r="C29" s="16" t="s">
        <v>114</v>
      </c>
      <c r="D29" s="16" t="s">
        <v>115</v>
      </c>
      <c r="E29" s="17">
        <v>36943.5625</v>
      </c>
      <c r="F29" s="17">
        <v>36943.3541666667</v>
      </c>
      <c r="G29" s="14">
        <v>36943.0</v>
      </c>
      <c r="H29" s="16"/>
      <c r="I29" s="16" t="s">
        <v>118</v>
      </c>
    </row>
    <row r="30" ht="15.75" customHeight="1">
      <c r="A30" s="16" t="s">
        <v>113</v>
      </c>
      <c r="B30" s="14">
        <v>36959.0</v>
      </c>
      <c r="C30" s="16" t="s">
        <v>114</v>
      </c>
      <c r="D30" s="16" t="s">
        <v>115</v>
      </c>
      <c r="E30" s="17">
        <v>36959.5625</v>
      </c>
      <c r="F30" s="17">
        <v>36959.3541666667</v>
      </c>
      <c r="G30" s="14">
        <v>36959.0</v>
      </c>
      <c r="H30" s="16"/>
      <c r="I30" s="16" t="s">
        <v>116</v>
      </c>
    </row>
    <row r="31" ht="15.75" customHeight="1">
      <c r="A31" s="16" t="s">
        <v>117</v>
      </c>
      <c r="B31" s="14">
        <v>36971.0</v>
      </c>
      <c r="C31" s="16" t="s">
        <v>114</v>
      </c>
      <c r="D31" s="16" t="s">
        <v>115</v>
      </c>
      <c r="E31" s="17">
        <v>36971.5625</v>
      </c>
      <c r="F31" s="17">
        <v>36971.3541666667</v>
      </c>
      <c r="G31" s="14">
        <v>36971.0</v>
      </c>
      <c r="H31" s="16"/>
      <c r="I31" s="16" t="s">
        <v>118</v>
      </c>
    </row>
    <row r="32" ht="15.75" customHeight="1">
      <c r="A32" s="16" t="s">
        <v>113</v>
      </c>
      <c r="B32" s="14">
        <v>36987.0</v>
      </c>
      <c r="C32" s="16" t="s">
        <v>114</v>
      </c>
      <c r="D32" s="16" t="s">
        <v>115</v>
      </c>
      <c r="E32" s="17">
        <v>36987.5208333333</v>
      </c>
      <c r="F32" s="17">
        <v>36987.3541666667</v>
      </c>
      <c r="G32" s="14">
        <v>36987.0</v>
      </c>
      <c r="H32" s="16"/>
      <c r="I32" s="16" t="s">
        <v>116</v>
      </c>
    </row>
    <row r="33" ht="15.75" customHeight="1">
      <c r="A33" s="16" t="s">
        <v>117</v>
      </c>
      <c r="B33" s="14">
        <v>36998.0</v>
      </c>
      <c r="C33" s="16" t="s">
        <v>114</v>
      </c>
      <c r="D33" s="16" t="s">
        <v>115</v>
      </c>
      <c r="E33" s="17">
        <v>36998.5208333333</v>
      </c>
      <c r="F33" s="17">
        <v>36998.3541666667</v>
      </c>
      <c r="G33" s="14">
        <v>36998.0</v>
      </c>
      <c r="H33" s="16"/>
      <c r="I33" s="16" t="s">
        <v>118</v>
      </c>
    </row>
    <row r="34" ht="15.75" customHeight="1">
      <c r="A34" s="16" t="s">
        <v>113</v>
      </c>
      <c r="B34" s="14">
        <v>37015.0</v>
      </c>
      <c r="C34" s="16" t="s">
        <v>114</v>
      </c>
      <c r="D34" s="16" t="s">
        <v>115</v>
      </c>
      <c r="E34" s="17">
        <v>37015.5208333333</v>
      </c>
      <c r="F34" s="17">
        <v>37015.3541666667</v>
      </c>
      <c r="G34" s="14">
        <v>37015.0</v>
      </c>
      <c r="H34" s="16"/>
      <c r="I34" s="16" t="s">
        <v>116</v>
      </c>
    </row>
    <row r="35" ht="15.75" customHeight="1">
      <c r="A35" s="16" t="s">
        <v>117</v>
      </c>
      <c r="B35" s="14">
        <v>37027.0</v>
      </c>
      <c r="C35" s="16" t="s">
        <v>114</v>
      </c>
      <c r="D35" s="16" t="s">
        <v>115</v>
      </c>
      <c r="E35" s="17">
        <v>37027.5208333333</v>
      </c>
      <c r="F35" s="17">
        <v>37027.3541666667</v>
      </c>
      <c r="G35" s="14">
        <v>37027.0</v>
      </c>
      <c r="H35" s="16"/>
      <c r="I35" s="16" t="s">
        <v>118</v>
      </c>
    </row>
    <row r="36" ht="15.75" customHeight="1">
      <c r="A36" s="16" t="s">
        <v>113</v>
      </c>
      <c r="B36" s="14">
        <v>37043.0</v>
      </c>
      <c r="C36" s="16" t="s">
        <v>114</v>
      </c>
      <c r="D36" s="16" t="s">
        <v>115</v>
      </c>
      <c r="E36" s="17">
        <v>37043.5208333333</v>
      </c>
      <c r="F36" s="17">
        <v>37043.3541666667</v>
      </c>
      <c r="G36" s="14">
        <v>37043.0</v>
      </c>
      <c r="H36" s="16"/>
      <c r="I36" s="16" t="s">
        <v>116</v>
      </c>
    </row>
    <row r="37" ht="15.75" customHeight="1">
      <c r="A37" s="16" t="s">
        <v>117</v>
      </c>
      <c r="B37" s="14">
        <v>37057.0</v>
      </c>
      <c r="C37" s="16" t="s">
        <v>114</v>
      </c>
      <c r="D37" s="16" t="s">
        <v>115</v>
      </c>
      <c r="E37" s="17">
        <v>37057.5208333333</v>
      </c>
      <c r="F37" s="17">
        <v>37057.3541666667</v>
      </c>
      <c r="G37" s="14">
        <v>37057.0</v>
      </c>
      <c r="H37" s="16"/>
      <c r="I37" s="16" t="s">
        <v>118</v>
      </c>
    </row>
    <row r="38" ht="15.75" customHeight="1">
      <c r="A38" s="16" t="s">
        <v>113</v>
      </c>
      <c r="B38" s="14">
        <v>37078.0</v>
      </c>
      <c r="C38" s="16" t="s">
        <v>114</v>
      </c>
      <c r="D38" s="16" t="s">
        <v>115</v>
      </c>
      <c r="E38" s="17">
        <v>37078.5208333333</v>
      </c>
      <c r="F38" s="17">
        <v>37078.3541666667</v>
      </c>
      <c r="G38" s="14">
        <v>37078.0</v>
      </c>
      <c r="H38" s="16"/>
      <c r="I38" s="16" t="s">
        <v>116</v>
      </c>
    </row>
    <row r="39" ht="15.75" customHeight="1">
      <c r="A39" s="16" t="s">
        <v>117</v>
      </c>
      <c r="B39" s="14">
        <v>37090.0</v>
      </c>
      <c r="C39" s="16" t="s">
        <v>114</v>
      </c>
      <c r="D39" s="16" t="s">
        <v>115</v>
      </c>
      <c r="E39" s="17">
        <v>37090.5208333333</v>
      </c>
      <c r="F39" s="17">
        <v>37090.3541666667</v>
      </c>
      <c r="G39" s="14">
        <v>37090.0</v>
      </c>
      <c r="H39" s="16"/>
      <c r="I39" s="16" t="s">
        <v>118</v>
      </c>
    </row>
    <row r="40" ht="15.75" customHeight="1">
      <c r="A40" s="16" t="s">
        <v>113</v>
      </c>
      <c r="B40" s="14">
        <v>37106.0</v>
      </c>
      <c r="C40" s="16" t="s">
        <v>114</v>
      </c>
      <c r="D40" s="16" t="s">
        <v>115</v>
      </c>
      <c r="E40" s="17">
        <v>37106.5208333333</v>
      </c>
      <c r="F40" s="17">
        <v>37106.3541666667</v>
      </c>
      <c r="G40" s="14">
        <v>37106.0</v>
      </c>
      <c r="H40" s="16"/>
      <c r="I40" s="16" t="s">
        <v>116</v>
      </c>
    </row>
    <row r="41" ht="15.75" customHeight="1">
      <c r="A41" s="16" t="s">
        <v>117</v>
      </c>
      <c r="B41" s="14">
        <v>37119.0</v>
      </c>
      <c r="C41" s="16" t="s">
        <v>114</v>
      </c>
      <c r="D41" s="16" t="s">
        <v>115</v>
      </c>
      <c r="E41" s="17">
        <v>37119.5208333333</v>
      </c>
      <c r="F41" s="17">
        <v>37119.3541666667</v>
      </c>
      <c r="G41" s="14">
        <v>37119.0</v>
      </c>
      <c r="H41" s="16"/>
      <c r="I41" s="16" t="s">
        <v>118</v>
      </c>
    </row>
    <row r="42" ht="15.75" customHeight="1">
      <c r="A42" s="16" t="s">
        <v>113</v>
      </c>
      <c r="B42" s="14">
        <v>37141.0</v>
      </c>
      <c r="C42" s="16" t="s">
        <v>114</v>
      </c>
      <c r="D42" s="16" t="s">
        <v>115</v>
      </c>
      <c r="E42" s="17">
        <v>37141.5208333333</v>
      </c>
      <c r="F42" s="17">
        <v>37141.3541666667</v>
      </c>
      <c r="G42" s="14">
        <v>37141.0</v>
      </c>
      <c r="H42" s="16"/>
      <c r="I42" s="16" t="s">
        <v>116</v>
      </c>
    </row>
    <row r="43" ht="15.75" customHeight="1">
      <c r="A43" s="16" t="s">
        <v>117</v>
      </c>
      <c r="B43" s="14">
        <v>37152.0</v>
      </c>
      <c r="C43" s="16" t="s">
        <v>114</v>
      </c>
      <c r="D43" s="16" t="s">
        <v>115</v>
      </c>
      <c r="E43" s="17">
        <v>37152.5208333333</v>
      </c>
      <c r="F43" s="17">
        <v>37152.3541666667</v>
      </c>
      <c r="G43" s="14">
        <v>37152.0</v>
      </c>
      <c r="H43" s="16"/>
      <c r="I43" s="16" t="s">
        <v>118</v>
      </c>
    </row>
    <row r="44" ht="15.75" customHeight="1">
      <c r="A44" s="16" t="s">
        <v>113</v>
      </c>
      <c r="B44" s="14">
        <v>37169.0</v>
      </c>
      <c r="C44" s="16" t="s">
        <v>114</v>
      </c>
      <c r="D44" s="16" t="s">
        <v>115</v>
      </c>
      <c r="E44" s="17">
        <v>37169.5208333333</v>
      </c>
      <c r="F44" s="17">
        <v>37169.3541666667</v>
      </c>
      <c r="G44" s="14">
        <v>37169.0</v>
      </c>
      <c r="H44" s="16"/>
      <c r="I44" s="16" t="s">
        <v>116</v>
      </c>
    </row>
    <row r="45" ht="15.75" customHeight="1">
      <c r="A45" s="16" t="s">
        <v>117</v>
      </c>
      <c r="B45" s="14">
        <v>37183.0</v>
      </c>
      <c r="C45" s="16" t="s">
        <v>114</v>
      </c>
      <c r="D45" s="16" t="s">
        <v>115</v>
      </c>
      <c r="E45" s="17">
        <v>37183.5208333333</v>
      </c>
      <c r="F45" s="17">
        <v>37183.3541666667</v>
      </c>
      <c r="G45" s="14">
        <v>37183.0</v>
      </c>
      <c r="H45" s="16"/>
      <c r="I45" s="16" t="s">
        <v>118</v>
      </c>
    </row>
    <row r="46" ht="15.75" customHeight="1">
      <c r="A46" s="16" t="s">
        <v>113</v>
      </c>
      <c r="B46" s="14">
        <v>37197.0</v>
      </c>
      <c r="C46" s="16" t="s">
        <v>114</v>
      </c>
      <c r="D46" s="16" t="s">
        <v>115</v>
      </c>
      <c r="E46" s="17">
        <v>37197.5625</v>
      </c>
      <c r="F46" s="17">
        <v>37197.3541666667</v>
      </c>
      <c r="G46" s="14">
        <v>37197.0</v>
      </c>
      <c r="H46" s="16"/>
      <c r="I46" s="16" t="s">
        <v>116</v>
      </c>
    </row>
    <row r="47" ht="15.75" customHeight="1">
      <c r="A47" s="16" t="s">
        <v>117</v>
      </c>
      <c r="B47" s="14">
        <v>37211.0</v>
      </c>
      <c r="C47" s="16" t="s">
        <v>114</v>
      </c>
      <c r="D47" s="16" t="s">
        <v>115</v>
      </c>
      <c r="E47" s="17">
        <v>37211.5625</v>
      </c>
      <c r="F47" s="17">
        <v>37211.3541666667</v>
      </c>
      <c r="G47" s="14">
        <v>37211.0</v>
      </c>
      <c r="H47" s="16"/>
      <c r="I47" s="16" t="s">
        <v>118</v>
      </c>
    </row>
    <row r="48" ht="15.75" customHeight="1">
      <c r="A48" s="16" t="s">
        <v>113</v>
      </c>
      <c r="B48" s="14">
        <v>37232.0</v>
      </c>
      <c r="C48" s="16" t="s">
        <v>114</v>
      </c>
      <c r="D48" s="16" t="s">
        <v>115</v>
      </c>
      <c r="E48" s="17">
        <v>37232.5625</v>
      </c>
      <c r="F48" s="17">
        <v>37232.3541666667</v>
      </c>
      <c r="G48" s="14">
        <v>37232.0</v>
      </c>
      <c r="H48" s="16"/>
      <c r="I48" s="16" t="s">
        <v>116</v>
      </c>
    </row>
    <row r="49" ht="15.75" customHeight="1">
      <c r="A49" s="16" t="s">
        <v>117</v>
      </c>
      <c r="B49" s="14">
        <v>37239.0</v>
      </c>
      <c r="C49" s="16" t="s">
        <v>114</v>
      </c>
      <c r="D49" s="16" t="s">
        <v>115</v>
      </c>
      <c r="E49" s="17">
        <v>37239.5625</v>
      </c>
      <c r="F49" s="17">
        <v>37239.3541666667</v>
      </c>
      <c r="G49" s="14">
        <v>37239.0</v>
      </c>
      <c r="H49" s="16"/>
      <c r="I49" s="16" t="s">
        <v>118</v>
      </c>
    </row>
    <row r="50" ht="15.75" customHeight="1">
      <c r="A50" s="16" t="s">
        <v>113</v>
      </c>
      <c r="B50" s="14">
        <v>37260.0</v>
      </c>
      <c r="C50" s="16" t="s">
        <v>114</v>
      </c>
      <c r="D50" s="16" t="s">
        <v>115</v>
      </c>
      <c r="E50" s="17">
        <v>37260.5625</v>
      </c>
      <c r="F50" s="17">
        <v>37260.3541666667</v>
      </c>
      <c r="G50" s="14">
        <v>37260.0</v>
      </c>
      <c r="H50" s="16"/>
      <c r="I50" s="16" t="s">
        <v>116</v>
      </c>
    </row>
    <row r="51" ht="15.75" customHeight="1">
      <c r="A51" s="16" t="s">
        <v>117</v>
      </c>
      <c r="B51" s="14">
        <v>37272.0</v>
      </c>
      <c r="C51" s="16" t="s">
        <v>114</v>
      </c>
      <c r="D51" s="16" t="s">
        <v>115</v>
      </c>
      <c r="E51" s="17">
        <v>37272.5625</v>
      </c>
      <c r="F51" s="17">
        <v>37272.3541666667</v>
      </c>
      <c r="G51" s="14">
        <v>37272.0</v>
      </c>
      <c r="H51" s="16"/>
      <c r="I51" s="16" t="s">
        <v>118</v>
      </c>
    </row>
    <row r="52" ht="15.75" customHeight="1">
      <c r="A52" s="16" t="s">
        <v>113</v>
      </c>
      <c r="B52" s="14">
        <v>37288.0</v>
      </c>
      <c r="C52" s="16" t="s">
        <v>114</v>
      </c>
      <c r="D52" s="16" t="s">
        <v>115</v>
      </c>
      <c r="E52" s="17">
        <v>37288.5625</v>
      </c>
      <c r="F52" s="17">
        <v>37288.3541666667</v>
      </c>
      <c r="G52" s="14">
        <v>37288.0</v>
      </c>
      <c r="H52" s="16"/>
      <c r="I52" s="16" t="s">
        <v>116</v>
      </c>
    </row>
    <row r="53" ht="15.75" customHeight="1">
      <c r="A53" s="16" t="s">
        <v>117</v>
      </c>
      <c r="B53" s="14">
        <v>37307.0</v>
      </c>
      <c r="C53" s="16" t="s">
        <v>114</v>
      </c>
      <c r="D53" s="16" t="s">
        <v>115</v>
      </c>
      <c r="E53" s="17">
        <v>37307.5625</v>
      </c>
      <c r="F53" s="17">
        <v>37307.3541666667</v>
      </c>
      <c r="G53" s="14">
        <v>37307.0</v>
      </c>
      <c r="H53" s="16"/>
      <c r="I53" s="16" t="s">
        <v>118</v>
      </c>
    </row>
    <row r="54" ht="15.75" customHeight="1">
      <c r="A54" s="16" t="s">
        <v>113</v>
      </c>
      <c r="B54" s="14">
        <v>37323.0</v>
      </c>
      <c r="C54" s="16" t="s">
        <v>114</v>
      </c>
      <c r="D54" s="16" t="s">
        <v>115</v>
      </c>
      <c r="E54" s="17">
        <v>37323.5625</v>
      </c>
      <c r="F54" s="17">
        <v>37323.3541666667</v>
      </c>
      <c r="G54" s="14">
        <v>37323.0</v>
      </c>
      <c r="H54" s="16"/>
      <c r="I54" s="16" t="s">
        <v>116</v>
      </c>
    </row>
    <row r="55" ht="15.75" customHeight="1">
      <c r="A55" s="16" t="s">
        <v>117</v>
      </c>
      <c r="B55" s="14">
        <v>37336.0</v>
      </c>
      <c r="C55" s="16" t="s">
        <v>114</v>
      </c>
      <c r="D55" s="16" t="s">
        <v>115</v>
      </c>
      <c r="E55" s="17">
        <v>37336.5625</v>
      </c>
      <c r="F55" s="17">
        <v>37336.3541666667</v>
      </c>
      <c r="G55" s="14">
        <v>37336.0</v>
      </c>
      <c r="H55" s="16"/>
      <c r="I55" s="16" t="s">
        <v>118</v>
      </c>
    </row>
    <row r="56" ht="15.75" customHeight="1">
      <c r="A56" s="16" t="s">
        <v>113</v>
      </c>
      <c r="B56" s="14">
        <v>37351.0</v>
      </c>
      <c r="C56" s="16" t="s">
        <v>114</v>
      </c>
      <c r="D56" s="16" t="s">
        <v>115</v>
      </c>
      <c r="E56" s="17">
        <v>37351.5625</v>
      </c>
      <c r="F56" s="17">
        <v>37351.3541666667</v>
      </c>
      <c r="G56" s="14">
        <v>37351.0</v>
      </c>
      <c r="H56" s="16"/>
      <c r="I56" s="16" t="s">
        <v>116</v>
      </c>
    </row>
    <row r="57" ht="15.75" customHeight="1">
      <c r="A57" s="16" t="s">
        <v>117</v>
      </c>
      <c r="B57" s="14">
        <v>37362.0</v>
      </c>
      <c r="C57" s="16" t="s">
        <v>114</v>
      </c>
      <c r="D57" s="16" t="s">
        <v>115</v>
      </c>
      <c r="E57" s="17">
        <v>37362.5208333333</v>
      </c>
      <c r="F57" s="17">
        <v>37362.3541666667</v>
      </c>
      <c r="G57" s="14">
        <v>37362.0</v>
      </c>
      <c r="H57" s="16"/>
      <c r="I57" s="16" t="s">
        <v>118</v>
      </c>
    </row>
    <row r="58" ht="15.75" customHeight="1">
      <c r="A58" s="16" t="s">
        <v>113</v>
      </c>
      <c r="B58" s="14">
        <v>37379.0</v>
      </c>
      <c r="C58" s="16" t="s">
        <v>114</v>
      </c>
      <c r="D58" s="16" t="s">
        <v>115</v>
      </c>
      <c r="E58" s="17">
        <v>37379.5208333333</v>
      </c>
      <c r="F58" s="17">
        <v>37379.3541666667</v>
      </c>
      <c r="G58" s="14">
        <v>37379.0</v>
      </c>
      <c r="H58" s="16"/>
      <c r="I58" s="16" t="s">
        <v>116</v>
      </c>
    </row>
    <row r="59" ht="15.75" customHeight="1">
      <c r="A59" s="16" t="s">
        <v>117</v>
      </c>
      <c r="B59" s="14">
        <v>37391.0</v>
      </c>
      <c r="C59" s="16" t="s">
        <v>114</v>
      </c>
      <c r="D59" s="16" t="s">
        <v>115</v>
      </c>
      <c r="E59" s="17">
        <v>37391.5208333333</v>
      </c>
      <c r="F59" s="17">
        <v>37391.3541666667</v>
      </c>
      <c r="G59" s="14">
        <v>37391.0</v>
      </c>
      <c r="H59" s="16"/>
      <c r="I59" s="16" t="s">
        <v>118</v>
      </c>
    </row>
    <row r="60" ht="15.75" customHeight="1">
      <c r="A60" s="16" t="s">
        <v>113</v>
      </c>
      <c r="B60" s="14">
        <v>37414.0</v>
      </c>
      <c r="C60" s="16" t="s">
        <v>114</v>
      </c>
      <c r="D60" s="16" t="s">
        <v>115</v>
      </c>
      <c r="E60" s="17">
        <v>37414.5208333333</v>
      </c>
      <c r="F60" s="17">
        <v>37414.3541666667</v>
      </c>
      <c r="G60" s="14">
        <v>37414.0</v>
      </c>
      <c r="H60" s="16"/>
      <c r="I60" s="16" t="s">
        <v>116</v>
      </c>
    </row>
    <row r="61" ht="15.75" customHeight="1">
      <c r="A61" s="16" t="s">
        <v>117</v>
      </c>
      <c r="B61" s="14">
        <v>37425.0</v>
      </c>
      <c r="C61" s="16" t="s">
        <v>114</v>
      </c>
      <c r="D61" s="16" t="s">
        <v>115</v>
      </c>
      <c r="E61" s="17">
        <v>37425.5208333333</v>
      </c>
      <c r="F61" s="17">
        <v>37425.3541666667</v>
      </c>
      <c r="G61" s="14">
        <v>37425.0</v>
      </c>
      <c r="H61" s="16"/>
      <c r="I61" s="16" t="s">
        <v>118</v>
      </c>
    </row>
    <row r="62" ht="15.75" customHeight="1">
      <c r="A62" s="16" t="s">
        <v>113</v>
      </c>
      <c r="B62" s="14">
        <v>37442.0</v>
      </c>
      <c r="C62" s="16" t="s">
        <v>114</v>
      </c>
      <c r="D62" s="16" t="s">
        <v>115</v>
      </c>
      <c r="E62" s="17">
        <v>37442.5208333333</v>
      </c>
      <c r="F62" s="17">
        <v>37442.3541666667</v>
      </c>
      <c r="G62" s="14">
        <v>37442.0</v>
      </c>
      <c r="H62" s="16"/>
      <c r="I62" s="16" t="s">
        <v>116</v>
      </c>
    </row>
    <row r="63" ht="15.75" customHeight="1">
      <c r="A63" s="16" t="s">
        <v>117</v>
      </c>
      <c r="B63" s="14">
        <v>37456.0</v>
      </c>
      <c r="C63" s="16" t="s">
        <v>114</v>
      </c>
      <c r="D63" s="16" t="s">
        <v>115</v>
      </c>
      <c r="E63" s="17">
        <v>37456.5208333333</v>
      </c>
      <c r="F63" s="17">
        <v>37456.3541666667</v>
      </c>
      <c r="G63" s="14">
        <v>37456.0</v>
      </c>
      <c r="H63" s="16"/>
      <c r="I63" s="16" t="s">
        <v>118</v>
      </c>
    </row>
    <row r="64" ht="15.75" customHeight="1">
      <c r="A64" s="16" t="s">
        <v>113</v>
      </c>
      <c r="B64" s="14">
        <v>37470.0</v>
      </c>
      <c r="C64" s="16" t="s">
        <v>114</v>
      </c>
      <c r="D64" s="16" t="s">
        <v>115</v>
      </c>
      <c r="E64" s="17">
        <v>37470.5208333333</v>
      </c>
      <c r="F64" s="17">
        <v>37470.3541666667</v>
      </c>
      <c r="G64" s="14">
        <v>37470.0</v>
      </c>
      <c r="H64" s="16"/>
      <c r="I64" s="16" t="s">
        <v>116</v>
      </c>
    </row>
    <row r="65" ht="15.75" customHeight="1">
      <c r="A65" s="16" t="s">
        <v>117</v>
      </c>
      <c r="B65" s="14">
        <v>37484.0</v>
      </c>
      <c r="C65" s="16" t="s">
        <v>114</v>
      </c>
      <c r="D65" s="16" t="s">
        <v>115</v>
      </c>
      <c r="E65" s="17">
        <v>37484.5208333333</v>
      </c>
      <c r="F65" s="17">
        <v>37484.3541666667</v>
      </c>
      <c r="G65" s="14">
        <v>37484.0</v>
      </c>
      <c r="H65" s="16"/>
      <c r="I65" s="16" t="s">
        <v>118</v>
      </c>
    </row>
    <row r="66" ht="15.75" customHeight="1">
      <c r="A66" s="16" t="s">
        <v>113</v>
      </c>
      <c r="B66" s="14">
        <v>37505.0</v>
      </c>
      <c r="C66" s="16" t="s">
        <v>114</v>
      </c>
      <c r="D66" s="16" t="s">
        <v>115</v>
      </c>
      <c r="E66" s="17">
        <v>37505.5208333333</v>
      </c>
      <c r="F66" s="17">
        <v>37505.3541666667</v>
      </c>
      <c r="G66" s="14">
        <v>37505.0</v>
      </c>
      <c r="H66" s="16"/>
      <c r="I66" s="16" t="s">
        <v>116</v>
      </c>
    </row>
    <row r="67" ht="15.75" customHeight="1">
      <c r="A67" s="16" t="s">
        <v>117</v>
      </c>
      <c r="B67" s="14">
        <v>37517.0</v>
      </c>
      <c r="C67" s="16" t="s">
        <v>114</v>
      </c>
      <c r="D67" s="16" t="s">
        <v>115</v>
      </c>
      <c r="E67" s="17">
        <v>37517.5208333333</v>
      </c>
      <c r="F67" s="17">
        <v>37517.3541666667</v>
      </c>
      <c r="G67" s="14">
        <v>37517.0</v>
      </c>
      <c r="H67" s="16"/>
      <c r="I67" s="16" t="s">
        <v>118</v>
      </c>
    </row>
    <row r="68" ht="15.75" customHeight="1">
      <c r="A68" s="16" t="s">
        <v>113</v>
      </c>
      <c r="B68" s="14">
        <v>37533.0</v>
      </c>
      <c r="C68" s="16" t="s">
        <v>114</v>
      </c>
      <c r="D68" s="16" t="s">
        <v>115</v>
      </c>
      <c r="E68" s="17">
        <v>37533.5208333333</v>
      </c>
      <c r="F68" s="17">
        <v>37533.3541666667</v>
      </c>
      <c r="G68" s="14">
        <v>37533.0</v>
      </c>
      <c r="H68" s="16"/>
      <c r="I68" s="16" t="s">
        <v>116</v>
      </c>
    </row>
    <row r="69" ht="15.75" customHeight="1">
      <c r="A69" s="16" t="s">
        <v>117</v>
      </c>
      <c r="B69" s="14">
        <v>37547.0</v>
      </c>
      <c r="C69" s="16" t="s">
        <v>114</v>
      </c>
      <c r="D69" s="16" t="s">
        <v>115</v>
      </c>
      <c r="E69" s="17">
        <v>37547.5208333333</v>
      </c>
      <c r="F69" s="17">
        <v>37547.3541666667</v>
      </c>
      <c r="G69" s="14">
        <v>37547.0</v>
      </c>
      <c r="H69" s="16"/>
      <c r="I69" s="16" t="s">
        <v>118</v>
      </c>
    </row>
    <row r="70" ht="15.75" customHeight="1">
      <c r="A70" s="16" t="s">
        <v>113</v>
      </c>
      <c r="B70" s="14">
        <v>37561.0</v>
      </c>
      <c r="C70" s="16" t="s">
        <v>114</v>
      </c>
      <c r="D70" s="16" t="s">
        <v>115</v>
      </c>
      <c r="E70" s="17">
        <v>37561.5625</v>
      </c>
      <c r="F70" s="17">
        <v>37561.3541666667</v>
      </c>
      <c r="G70" s="14">
        <v>37561.0</v>
      </c>
      <c r="H70" s="16"/>
      <c r="I70" s="16" t="s">
        <v>116</v>
      </c>
    </row>
    <row r="71" ht="15.75" customHeight="1">
      <c r="A71" s="16" t="s">
        <v>117</v>
      </c>
      <c r="B71" s="14">
        <v>37579.0</v>
      </c>
      <c r="C71" s="16" t="s">
        <v>114</v>
      </c>
      <c r="D71" s="16" t="s">
        <v>115</v>
      </c>
      <c r="E71" s="17">
        <v>37579.5625</v>
      </c>
      <c r="F71" s="17">
        <v>37579.3541666667</v>
      </c>
      <c r="G71" s="14">
        <v>37579.0</v>
      </c>
      <c r="H71" s="16"/>
      <c r="I71" s="16" t="s">
        <v>118</v>
      </c>
    </row>
    <row r="72" ht="15.75" customHeight="1">
      <c r="A72" s="16" t="s">
        <v>113</v>
      </c>
      <c r="B72" s="14">
        <v>37596.0</v>
      </c>
      <c r="C72" s="16" t="s">
        <v>114</v>
      </c>
      <c r="D72" s="16" t="s">
        <v>115</v>
      </c>
      <c r="E72" s="17">
        <v>37596.5625</v>
      </c>
      <c r="F72" s="17">
        <v>37596.3541666667</v>
      </c>
      <c r="G72" s="14">
        <v>37596.0</v>
      </c>
      <c r="H72" s="16"/>
      <c r="I72" s="16" t="s">
        <v>116</v>
      </c>
    </row>
    <row r="73" ht="15.75" customHeight="1">
      <c r="A73" s="16" t="s">
        <v>117</v>
      </c>
      <c r="B73" s="14">
        <v>37607.0</v>
      </c>
      <c r="C73" s="16" t="s">
        <v>114</v>
      </c>
      <c r="D73" s="16" t="s">
        <v>115</v>
      </c>
      <c r="E73" s="17">
        <v>37607.5625</v>
      </c>
      <c r="F73" s="17">
        <v>37607.3541666667</v>
      </c>
      <c r="G73" s="14">
        <v>37607.0</v>
      </c>
      <c r="H73" s="16"/>
      <c r="I73" s="16" t="s">
        <v>118</v>
      </c>
    </row>
    <row r="74" ht="15.75" customHeight="1">
      <c r="A74" s="16" t="s">
        <v>113</v>
      </c>
      <c r="B74" s="14">
        <v>37631.0</v>
      </c>
      <c r="C74" s="16" t="s">
        <v>114</v>
      </c>
      <c r="D74" s="16" t="s">
        <v>115</v>
      </c>
      <c r="E74" s="17">
        <v>37631.5625</v>
      </c>
      <c r="F74" s="17">
        <v>37631.3541666667</v>
      </c>
      <c r="G74" s="14">
        <v>37631.0</v>
      </c>
      <c r="H74" s="16"/>
      <c r="I74" s="16" t="s">
        <v>116</v>
      </c>
    </row>
    <row r="75" ht="15.75" customHeight="1">
      <c r="A75" s="16" t="s">
        <v>117</v>
      </c>
      <c r="B75" s="14">
        <v>37637.0</v>
      </c>
      <c r="C75" s="16" t="s">
        <v>114</v>
      </c>
      <c r="D75" s="16" t="s">
        <v>115</v>
      </c>
      <c r="E75" s="17">
        <v>37637.5625</v>
      </c>
      <c r="F75" s="17">
        <v>37637.3541666667</v>
      </c>
      <c r="G75" s="14">
        <v>37637.0</v>
      </c>
      <c r="H75" s="16"/>
      <c r="I75" s="16" t="s">
        <v>118</v>
      </c>
    </row>
    <row r="76" ht="15.75" customHeight="1">
      <c r="A76" s="16" t="s">
        <v>113</v>
      </c>
      <c r="B76" s="14">
        <v>37659.0</v>
      </c>
      <c r="C76" s="16" t="s">
        <v>114</v>
      </c>
      <c r="D76" s="16" t="s">
        <v>115</v>
      </c>
      <c r="E76" s="17">
        <v>37659.5625</v>
      </c>
      <c r="F76" s="17">
        <v>37659.3541666667</v>
      </c>
      <c r="G76" s="14">
        <v>37659.0</v>
      </c>
      <c r="H76" s="16"/>
      <c r="I76" s="16" t="s">
        <v>116</v>
      </c>
    </row>
    <row r="77" ht="15.75" customHeight="1">
      <c r="A77" s="16" t="s">
        <v>117</v>
      </c>
      <c r="B77" s="14">
        <v>37673.0</v>
      </c>
      <c r="C77" s="16" t="s">
        <v>114</v>
      </c>
      <c r="D77" s="16" t="s">
        <v>115</v>
      </c>
      <c r="E77" s="17">
        <v>37673.5625</v>
      </c>
      <c r="F77" s="17">
        <v>37673.3541666667</v>
      </c>
      <c r="G77" s="14">
        <v>37673.0</v>
      </c>
      <c r="H77" s="16"/>
      <c r="I77" s="16" t="s">
        <v>118</v>
      </c>
    </row>
    <row r="78" ht="15.75" customHeight="1">
      <c r="A78" s="16" t="s">
        <v>113</v>
      </c>
      <c r="B78" s="14">
        <v>37687.0</v>
      </c>
      <c r="C78" s="16" t="s">
        <v>114</v>
      </c>
      <c r="D78" s="16" t="s">
        <v>115</v>
      </c>
      <c r="E78" s="17">
        <v>37687.5625</v>
      </c>
      <c r="F78" s="17">
        <v>37687.3541666667</v>
      </c>
      <c r="G78" s="14">
        <v>37687.0</v>
      </c>
      <c r="H78" s="16"/>
      <c r="I78" s="16" t="s">
        <v>116</v>
      </c>
    </row>
    <row r="79" ht="15.75" customHeight="1">
      <c r="A79" s="16" t="s">
        <v>117</v>
      </c>
      <c r="B79" s="14">
        <v>37701.0</v>
      </c>
      <c r="C79" s="16" t="s">
        <v>114</v>
      </c>
      <c r="D79" s="16" t="s">
        <v>115</v>
      </c>
      <c r="E79" s="17">
        <v>37701.5625</v>
      </c>
      <c r="F79" s="17">
        <v>37701.3541666667</v>
      </c>
      <c r="G79" s="14">
        <v>37701.0</v>
      </c>
      <c r="H79" s="16"/>
      <c r="I79" s="16" t="s">
        <v>118</v>
      </c>
    </row>
    <row r="80" ht="15.75" customHeight="1">
      <c r="A80" s="16" t="s">
        <v>113</v>
      </c>
      <c r="B80" s="14">
        <v>37715.0</v>
      </c>
      <c r="C80" s="16" t="s">
        <v>114</v>
      </c>
      <c r="D80" s="16" t="s">
        <v>115</v>
      </c>
      <c r="E80" s="17">
        <v>37715.5625</v>
      </c>
      <c r="F80" s="17">
        <v>37715.3541666667</v>
      </c>
      <c r="G80" s="14">
        <v>37715.0</v>
      </c>
      <c r="H80" s="16"/>
      <c r="I80" s="16" t="s">
        <v>116</v>
      </c>
    </row>
    <row r="81" ht="15.75" customHeight="1">
      <c r="A81" s="16" t="s">
        <v>117</v>
      </c>
      <c r="B81" s="14">
        <v>37727.0</v>
      </c>
      <c r="C81" s="16" t="s">
        <v>114</v>
      </c>
      <c r="D81" s="16" t="s">
        <v>115</v>
      </c>
      <c r="E81" s="17">
        <v>37727.5208333333</v>
      </c>
      <c r="F81" s="17">
        <v>37727.3541666667</v>
      </c>
      <c r="G81" s="14">
        <v>37727.0</v>
      </c>
      <c r="H81" s="16"/>
      <c r="I81" s="16" t="s">
        <v>118</v>
      </c>
    </row>
    <row r="82" ht="15.75" customHeight="1">
      <c r="A82" s="16" t="s">
        <v>113</v>
      </c>
      <c r="B82" s="14">
        <v>37743.0</v>
      </c>
      <c r="C82" s="16" t="s">
        <v>114</v>
      </c>
      <c r="D82" s="16" t="s">
        <v>115</v>
      </c>
      <c r="E82" s="17">
        <v>37743.5208333333</v>
      </c>
      <c r="F82" s="17">
        <v>37743.3541666667</v>
      </c>
      <c r="G82" s="14">
        <v>37743.0</v>
      </c>
      <c r="H82" s="16"/>
      <c r="I82" s="16" t="s">
        <v>116</v>
      </c>
    </row>
    <row r="83" ht="15.75" customHeight="1">
      <c r="A83" s="16" t="s">
        <v>117</v>
      </c>
      <c r="B83" s="14">
        <v>37757.0</v>
      </c>
      <c r="C83" s="16" t="s">
        <v>114</v>
      </c>
      <c r="D83" s="16" t="s">
        <v>115</v>
      </c>
      <c r="E83" s="17">
        <v>37757.5208333333</v>
      </c>
      <c r="F83" s="17">
        <v>37757.3541666667</v>
      </c>
      <c r="G83" s="14">
        <v>37757.0</v>
      </c>
      <c r="H83" s="16"/>
      <c r="I83" s="16" t="s">
        <v>118</v>
      </c>
    </row>
    <row r="84" ht="15.75" customHeight="1">
      <c r="A84" s="16" t="s">
        <v>113</v>
      </c>
      <c r="B84" s="14">
        <v>37778.0</v>
      </c>
      <c r="C84" s="16" t="s">
        <v>114</v>
      </c>
      <c r="D84" s="16" t="s">
        <v>115</v>
      </c>
      <c r="E84" s="17">
        <v>37778.5208333333</v>
      </c>
      <c r="F84" s="17">
        <v>37778.3541666667</v>
      </c>
      <c r="G84" s="14">
        <v>37778.0</v>
      </c>
      <c r="H84" s="16"/>
      <c r="I84" s="16" t="s">
        <v>116</v>
      </c>
    </row>
    <row r="85" ht="15.75" customHeight="1">
      <c r="A85" s="16" t="s">
        <v>117</v>
      </c>
      <c r="B85" s="14">
        <v>37789.0</v>
      </c>
      <c r="C85" s="16" t="s">
        <v>114</v>
      </c>
      <c r="D85" s="16" t="s">
        <v>115</v>
      </c>
      <c r="E85" s="17">
        <v>37789.5208333333</v>
      </c>
      <c r="F85" s="17">
        <v>37789.3541666667</v>
      </c>
      <c r="G85" s="14">
        <v>37789.0</v>
      </c>
      <c r="H85" s="16"/>
      <c r="I85" s="16" t="s">
        <v>118</v>
      </c>
    </row>
    <row r="86" ht="15.75" customHeight="1">
      <c r="A86" s="16" t="s">
        <v>113</v>
      </c>
      <c r="B86" s="14">
        <v>37805.0</v>
      </c>
      <c r="C86" s="16" t="s">
        <v>114</v>
      </c>
      <c r="D86" s="16" t="s">
        <v>115</v>
      </c>
      <c r="E86" s="17">
        <v>37805.5208333333</v>
      </c>
      <c r="F86" s="17">
        <v>37805.3541666667</v>
      </c>
      <c r="G86" s="14">
        <v>37805.0</v>
      </c>
      <c r="H86" s="16"/>
      <c r="I86" s="16" t="s">
        <v>116</v>
      </c>
    </row>
    <row r="87" ht="15.75" customHeight="1">
      <c r="A87" s="16" t="s">
        <v>117</v>
      </c>
      <c r="B87" s="14">
        <v>37818.0</v>
      </c>
      <c r="C87" s="16" t="s">
        <v>114</v>
      </c>
      <c r="D87" s="16" t="s">
        <v>115</v>
      </c>
      <c r="E87" s="17">
        <v>37818.5208333333</v>
      </c>
      <c r="F87" s="17">
        <v>37818.3541666667</v>
      </c>
      <c r="G87" s="14">
        <v>37818.0</v>
      </c>
      <c r="H87" s="16"/>
      <c r="I87" s="16" t="s">
        <v>118</v>
      </c>
    </row>
    <row r="88" ht="15.75" customHeight="1">
      <c r="A88" s="16" t="s">
        <v>113</v>
      </c>
      <c r="B88" s="14">
        <v>37834.0</v>
      </c>
      <c r="C88" s="16" t="s">
        <v>114</v>
      </c>
      <c r="D88" s="16" t="s">
        <v>115</v>
      </c>
      <c r="E88" s="17">
        <v>37834.5208333333</v>
      </c>
      <c r="F88" s="17">
        <v>37834.3541666667</v>
      </c>
      <c r="G88" s="14">
        <v>37834.0</v>
      </c>
      <c r="H88" s="16"/>
      <c r="I88" s="16" t="s">
        <v>116</v>
      </c>
    </row>
    <row r="89" ht="15.75" customHeight="1">
      <c r="A89" s="16" t="s">
        <v>117</v>
      </c>
      <c r="B89" s="14">
        <v>37848.0</v>
      </c>
      <c r="C89" s="16" t="s">
        <v>114</v>
      </c>
      <c r="D89" s="16" t="s">
        <v>115</v>
      </c>
      <c r="E89" s="17">
        <v>37848.5208333333</v>
      </c>
      <c r="F89" s="17">
        <v>37848.3541666667</v>
      </c>
      <c r="G89" s="14">
        <v>37848.0</v>
      </c>
      <c r="H89" s="16"/>
      <c r="I89" s="16" t="s">
        <v>118</v>
      </c>
    </row>
    <row r="90" ht="15.75" customHeight="1">
      <c r="A90" s="16" t="s">
        <v>113</v>
      </c>
      <c r="B90" s="14">
        <v>37869.0</v>
      </c>
      <c r="C90" s="16" t="s">
        <v>114</v>
      </c>
      <c r="D90" s="16" t="s">
        <v>115</v>
      </c>
      <c r="E90" s="17">
        <v>37869.5208333333</v>
      </c>
      <c r="F90" s="17">
        <v>37869.3541666667</v>
      </c>
      <c r="G90" s="14">
        <v>37869.0</v>
      </c>
      <c r="H90" s="16"/>
      <c r="I90" s="16" t="s">
        <v>116</v>
      </c>
    </row>
    <row r="91" ht="15.75" customHeight="1">
      <c r="A91" s="16" t="s">
        <v>117</v>
      </c>
      <c r="B91" s="14">
        <v>37880.0</v>
      </c>
      <c r="C91" s="16" t="s">
        <v>114</v>
      </c>
      <c r="D91" s="16" t="s">
        <v>115</v>
      </c>
      <c r="E91" s="17">
        <v>37880.5208333333</v>
      </c>
      <c r="F91" s="17">
        <v>37880.3541666667</v>
      </c>
      <c r="G91" s="14">
        <v>37880.0</v>
      </c>
      <c r="H91" s="16"/>
      <c r="I91" s="16" t="s">
        <v>118</v>
      </c>
    </row>
    <row r="92" ht="15.75" customHeight="1">
      <c r="A92" s="16" t="s">
        <v>113</v>
      </c>
      <c r="B92" s="14">
        <v>37897.0</v>
      </c>
      <c r="C92" s="16" t="s">
        <v>114</v>
      </c>
      <c r="D92" s="16" t="s">
        <v>115</v>
      </c>
      <c r="E92" s="17">
        <v>37897.5208333333</v>
      </c>
      <c r="F92" s="17">
        <v>37897.3541666667</v>
      </c>
      <c r="G92" s="14">
        <v>37897.0</v>
      </c>
      <c r="H92" s="16"/>
      <c r="I92" s="16" t="s">
        <v>116</v>
      </c>
    </row>
    <row r="93" ht="15.75" customHeight="1">
      <c r="A93" s="16" t="s">
        <v>117</v>
      </c>
      <c r="B93" s="14">
        <v>37910.0</v>
      </c>
      <c r="C93" s="16" t="s">
        <v>114</v>
      </c>
      <c r="D93" s="16" t="s">
        <v>115</v>
      </c>
      <c r="E93" s="17">
        <v>37910.5208333333</v>
      </c>
      <c r="F93" s="17">
        <v>37910.3541666667</v>
      </c>
      <c r="G93" s="14">
        <v>37910.0</v>
      </c>
      <c r="H93" s="16"/>
      <c r="I93" s="16" t="s">
        <v>118</v>
      </c>
    </row>
    <row r="94" ht="15.75" customHeight="1">
      <c r="A94" s="16" t="s">
        <v>113</v>
      </c>
      <c r="B94" s="14">
        <v>37932.0</v>
      </c>
      <c r="C94" s="16" t="s">
        <v>114</v>
      </c>
      <c r="D94" s="16" t="s">
        <v>115</v>
      </c>
      <c r="E94" s="17">
        <v>37932.5625</v>
      </c>
      <c r="F94" s="17">
        <v>37932.3541666667</v>
      </c>
      <c r="G94" s="14">
        <v>37932.0</v>
      </c>
      <c r="H94" s="16"/>
      <c r="I94" s="16" t="s">
        <v>116</v>
      </c>
    </row>
    <row r="95" ht="15.75" customHeight="1">
      <c r="A95" s="16" t="s">
        <v>117</v>
      </c>
      <c r="B95" s="14">
        <v>37943.0</v>
      </c>
      <c r="C95" s="16" t="s">
        <v>114</v>
      </c>
      <c r="D95" s="16" t="s">
        <v>115</v>
      </c>
      <c r="E95" s="17">
        <v>37943.5625</v>
      </c>
      <c r="F95" s="17">
        <v>37943.3541666667</v>
      </c>
      <c r="G95" s="14">
        <v>37943.0</v>
      </c>
      <c r="H95" s="16"/>
      <c r="I95" s="16" t="s">
        <v>118</v>
      </c>
    </row>
    <row r="96" ht="15.75" customHeight="1">
      <c r="A96" s="16" t="s">
        <v>113</v>
      </c>
      <c r="B96" s="14">
        <v>37960.0</v>
      </c>
      <c r="C96" s="16" t="s">
        <v>114</v>
      </c>
      <c r="D96" s="16" t="s">
        <v>115</v>
      </c>
      <c r="E96" s="17">
        <v>37960.5625</v>
      </c>
      <c r="F96" s="17">
        <v>37960.3541666667</v>
      </c>
      <c r="G96" s="14">
        <v>37960.0</v>
      </c>
      <c r="H96" s="16"/>
      <c r="I96" s="16" t="s">
        <v>116</v>
      </c>
    </row>
    <row r="97" ht="15.75" customHeight="1">
      <c r="A97" s="16" t="s">
        <v>117</v>
      </c>
      <c r="B97" s="14">
        <v>37971.0</v>
      </c>
      <c r="C97" s="16" t="s">
        <v>114</v>
      </c>
      <c r="D97" s="16" t="s">
        <v>115</v>
      </c>
      <c r="E97" s="17">
        <v>37971.5625</v>
      </c>
      <c r="F97" s="17">
        <v>37971.3541666667</v>
      </c>
      <c r="G97" s="14">
        <v>37971.0</v>
      </c>
      <c r="H97" s="16"/>
      <c r="I97" s="16" t="s">
        <v>118</v>
      </c>
    </row>
    <row r="98" ht="15.75" customHeight="1">
      <c r="A98" s="16" t="s">
        <v>113</v>
      </c>
      <c r="B98" s="14">
        <v>37995.0</v>
      </c>
      <c r="C98" s="16" t="s">
        <v>114</v>
      </c>
      <c r="D98" s="16" t="s">
        <v>115</v>
      </c>
      <c r="E98" s="17">
        <v>37995.5625</v>
      </c>
      <c r="F98" s="17">
        <v>37995.3541666667</v>
      </c>
      <c r="G98" s="14">
        <v>37995.0</v>
      </c>
      <c r="H98" s="16"/>
      <c r="I98" s="16" t="s">
        <v>116</v>
      </c>
    </row>
    <row r="99" ht="15.75" customHeight="1">
      <c r="A99" s="16" t="s">
        <v>117</v>
      </c>
      <c r="B99" s="14">
        <v>38001.0</v>
      </c>
      <c r="C99" s="16" t="s">
        <v>114</v>
      </c>
      <c r="D99" s="16" t="s">
        <v>115</v>
      </c>
      <c r="E99" s="17">
        <v>38001.5625</v>
      </c>
      <c r="F99" s="17">
        <v>38001.3541666667</v>
      </c>
      <c r="G99" s="14">
        <v>38001.0</v>
      </c>
      <c r="H99" s="16"/>
      <c r="I99" s="16" t="s">
        <v>118</v>
      </c>
    </row>
    <row r="100" ht="15.75" customHeight="1">
      <c r="A100" s="16" t="s">
        <v>113</v>
      </c>
      <c r="B100" s="14">
        <v>38023.0</v>
      </c>
      <c r="C100" s="16" t="s">
        <v>114</v>
      </c>
      <c r="D100" s="16" t="s">
        <v>115</v>
      </c>
      <c r="E100" s="17">
        <v>38023.5625</v>
      </c>
      <c r="F100" s="17">
        <v>38023.3541666667</v>
      </c>
      <c r="G100" s="14">
        <v>38023.0</v>
      </c>
      <c r="H100" s="16"/>
      <c r="I100" s="16" t="s">
        <v>116</v>
      </c>
    </row>
    <row r="101" ht="15.75" customHeight="1">
      <c r="A101" s="16" t="s">
        <v>117</v>
      </c>
      <c r="B101" s="14">
        <v>38037.0</v>
      </c>
      <c r="C101" s="16" t="s">
        <v>114</v>
      </c>
      <c r="D101" s="16" t="s">
        <v>115</v>
      </c>
      <c r="E101" s="17">
        <v>38037.5625</v>
      </c>
      <c r="F101" s="17">
        <v>38037.3541666667</v>
      </c>
      <c r="G101" s="14">
        <v>38037.0</v>
      </c>
      <c r="H101" s="16"/>
      <c r="I101" s="16" t="s">
        <v>118</v>
      </c>
    </row>
    <row r="102" ht="15.75" customHeight="1">
      <c r="A102" s="16" t="s">
        <v>113</v>
      </c>
      <c r="B102" s="14">
        <v>38051.0</v>
      </c>
      <c r="C102" s="16" t="s">
        <v>114</v>
      </c>
      <c r="D102" s="16" t="s">
        <v>115</v>
      </c>
      <c r="E102" s="17">
        <v>38051.5625</v>
      </c>
      <c r="F102" s="17">
        <v>38051.3541666667</v>
      </c>
      <c r="G102" s="14">
        <v>38051.0</v>
      </c>
      <c r="H102" s="16"/>
      <c r="I102" s="16" t="s">
        <v>116</v>
      </c>
    </row>
    <row r="103" ht="15.75" customHeight="1">
      <c r="A103" s="16" t="s">
        <v>117</v>
      </c>
      <c r="B103" s="14">
        <v>38063.0</v>
      </c>
      <c r="C103" s="16" t="s">
        <v>114</v>
      </c>
      <c r="D103" s="16" t="s">
        <v>115</v>
      </c>
      <c r="E103" s="17">
        <v>38063.5625</v>
      </c>
      <c r="F103" s="17">
        <v>38063.3541666667</v>
      </c>
      <c r="G103" s="14">
        <v>38063.0</v>
      </c>
      <c r="H103" s="16"/>
      <c r="I103" s="16" t="s">
        <v>118</v>
      </c>
    </row>
    <row r="104" ht="15.75" customHeight="1">
      <c r="A104" s="16" t="s">
        <v>113</v>
      </c>
      <c r="B104" s="14">
        <v>38079.0</v>
      </c>
      <c r="C104" s="16" t="s">
        <v>114</v>
      </c>
      <c r="D104" s="16" t="s">
        <v>115</v>
      </c>
      <c r="E104" s="17">
        <v>38079.5625</v>
      </c>
      <c r="F104" s="17">
        <v>38079.3541666667</v>
      </c>
      <c r="G104" s="14">
        <v>38079.0</v>
      </c>
      <c r="H104" s="16"/>
      <c r="I104" s="16" t="s">
        <v>116</v>
      </c>
    </row>
    <row r="105" ht="15.75" customHeight="1">
      <c r="A105" s="16" t="s">
        <v>117</v>
      </c>
      <c r="B105" s="14">
        <v>38091.0</v>
      </c>
      <c r="C105" s="16" t="s">
        <v>114</v>
      </c>
      <c r="D105" s="16" t="s">
        <v>115</v>
      </c>
      <c r="E105" s="17">
        <v>38091.5208333333</v>
      </c>
      <c r="F105" s="17">
        <v>38091.3541666667</v>
      </c>
      <c r="G105" s="14">
        <v>38091.0</v>
      </c>
      <c r="H105" s="16"/>
      <c r="I105" s="16" t="s">
        <v>118</v>
      </c>
    </row>
    <row r="106" ht="15.75" customHeight="1">
      <c r="A106" s="16" t="s">
        <v>113</v>
      </c>
      <c r="B106" s="14">
        <v>38114.0</v>
      </c>
      <c r="C106" s="16" t="s">
        <v>114</v>
      </c>
      <c r="D106" s="16" t="s">
        <v>115</v>
      </c>
      <c r="E106" s="17">
        <v>38114.5208333333</v>
      </c>
      <c r="F106" s="17">
        <v>38114.3541666667</v>
      </c>
      <c r="G106" s="14">
        <v>38114.0</v>
      </c>
      <c r="H106" s="16"/>
      <c r="I106" s="16" t="s">
        <v>116</v>
      </c>
    </row>
    <row r="107" ht="15.75" customHeight="1">
      <c r="A107" s="16" t="s">
        <v>117</v>
      </c>
      <c r="B107" s="14">
        <v>38121.0</v>
      </c>
      <c r="C107" s="16" t="s">
        <v>114</v>
      </c>
      <c r="D107" s="16" t="s">
        <v>115</v>
      </c>
      <c r="E107" s="17">
        <v>38121.5208333333</v>
      </c>
      <c r="F107" s="17">
        <v>38121.3541666667</v>
      </c>
      <c r="G107" s="14">
        <v>38121.0</v>
      </c>
      <c r="H107" s="16"/>
      <c r="I107" s="16" t="s">
        <v>118</v>
      </c>
    </row>
    <row r="108" ht="15.75" customHeight="1">
      <c r="A108" s="16" t="s">
        <v>113</v>
      </c>
      <c r="B108" s="14">
        <v>38142.0</v>
      </c>
      <c r="C108" s="16" t="s">
        <v>114</v>
      </c>
      <c r="D108" s="16" t="s">
        <v>115</v>
      </c>
      <c r="E108" s="17">
        <v>38142.5208333333</v>
      </c>
      <c r="F108" s="17">
        <v>38142.3541666667</v>
      </c>
      <c r="G108" s="14">
        <v>38142.0</v>
      </c>
      <c r="H108" s="16"/>
      <c r="I108" s="16" t="s">
        <v>116</v>
      </c>
    </row>
    <row r="109" ht="15.75" customHeight="1">
      <c r="A109" s="16" t="s">
        <v>117</v>
      </c>
      <c r="B109" s="14">
        <v>38153.0</v>
      </c>
      <c r="C109" s="16" t="s">
        <v>114</v>
      </c>
      <c r="D109" s="16" t="s">
        <v>115</v>
      </c>
      <c r="E109" s="17">
        <v>38153.5208333333</v>
      </c>
      <c r="F109" s="17">
        <v>38153.3541666667</v>
      </c>
      <c r="G109" s="14">
        <v>38153.0</v>
      </c>
      <c r="H109" s="16"/>
      <c r="I109" s="16" t="s">
        <v>118</v>
      </c>
    </row>
    <row r="110" ht="15.75" customHeight="1">
      <c r="A110" s="16" t="s">
        <v>113</v>
      </c>
      <c r="B110" s="14">
        <v>38170.0</v>
      </c>
      <c r="C110" s="16" t="s">
        <v>114</v>
      </c>
      <c r="D110" s="16" t="s">
        <v>115</v>
      </c>
      <c r="E110" s="17">
        <v>38170.5208333333</v>
      </c>
      <c r="F110" s="17">
        <v>38170.3541666667</v>
      </c>
      <c r="G110" s="14">
        <v>38170.0</v>
      </c>
      <c r="H110" s="16"/>
      <c r="I110" s="16" t="s">
        <v>116</v>
      </c>
    </row>
    <row r="111" ht="15.75" customHeight="1">
      <c r="A111" s="16" t="s">
        <v>117</v>
      </c>
      <c r="B111" s="14">
        <v>38184.0</v>
      </c>
      <c r="C111" s="16" t="s">
        <v>114</v>
      </c>
      <c r="D111" s="16" t="s">
        <v>115</v>
      </c>
      <c r="E111" s="17">
        <v>38184.5208333333</v>
      </c>
      <c r="F111" s="17">
        <v>38184.3541666667</v>
      </c>
      <c r="G111" s="14">
        <v>38184.0</v>
      </c>
      <c r="H111" s="16"/>
      <c r="I111" s="16" t="s">
        <v>118</v>
      </c>
    </row>
    <row r="112" ht="15.75" customHeight="1">
      <c r="A112" s="16" t="s">
        <v>113</v>
      </c>
      <c r="B112" s="14">
        <v>38205.0</v>
      </c>
      <c r="C112" s="16" t="s">
        <v>114</v>
      </c>
      <c r="D112" s="16" t="s">
        <v>115</v>
      </c>
      <c r="E112" s="17">
        <v>38205.5208333333</v>
      </c>
      <c r="F112" s="17">
        <v>38205.3541666667</v>
      </c>
      <c r="G112" s="14">
        <v>38205.0</v>
      </c>
      <c r="H112" s="16"/>
      <c r="I112" s="16" t="s">
        <v>116</v>
      </c>
    </row>
    <row r="113" ht="15.75" customHeight="1">
      <c r="A113" s="16" t="s">
        <v>117</v>
      </c>
      <c r="B113" s="14">
        <v>38216.0</v>
      </c>
      <c r="C113" s="16" t="s">
        <v>114</v>
      </c>
      <c r="D113" s="16" t="s">
        <v>115</v>
      </c>
      <c r="E113" s="17">
        <v>38216.5208333333</v>
      </c>
      <c r="F113" s="17">
        <v>38216.3541666667</v>
      </c>
      <c r="G113" s="14">
        <v>38216.0</v>
      </c>
      <c r="H113" s="16"/>
      <c r="I113" s="16" t="s">
        <v>118</v>
      </c>
    </row>
    <row r="114" ht="15.75" customHeight="1">
      <c r="A114" s="16" t="s">
        <v>113</v>
      </c>
      <c r="B114" s="14">
        <v>38233.0</v>
      </c>
      <c r="C114" s="16" t="s">
        <v>114</v>
      </c>
      <c r="D114" s="16" t="s">
        <v>115</v>
      </c>
      <c r="E114" s="17">
        <v>38233.5208333333</v>
      </c>
      <c r="F114" s="17">
        <v>38233.3541666667</v>
      </c>
      <c r="G114" s="14">
        <v>38233.0</v>
      </c>
      <c r="H114" s="16"/>
      <c r="I114" s="16" t="s">
        <v>116</v>
      </c>
    </row>
    <row r="115" ht="15.75" customHeight="1">
      <c r="A115" s="16" t="s">
        <v>117</v>
      </c>
      <c r="B115" s="14">
        <v>38246.0</v>
      </c>
      <c r="C115" s="16" t="s">
        <v>114</v>
      </c>
      <c r="D115" s="16" t="s">
        <v>115</v>
      </c>
      <c r="E115" s="17">
        <v>38246.5208333333</v>
      </c>
      <c r="F115" s="17">
        <v>38246.3541666667</v>
      </c>
      <c r="G115" s="14">
        <v>38246.0</v>
      </c>
      <c r="H115" s="16"/>
      <c r="I115" s="16" t="s">
        <v>118</v>
      </c>
    </row>
    <row r="116" ht="15.75" customHeight="1">
      <c r="A116" s="16" t="s">
        <v>113</v>
      </c>
      <c r="B116" s="14">
        <v>38268.0</v>
      </c>
      <c r="C116" s="16" t="s">
        <v>114</v>
      </c>
      <c r="D116" s="16" t="s">
        <v>115</v>
      </c>
      <c r="E116" s="17">
        <v>38268.5208333333</v>
      </c>
      <c r="F116" s="17">
        <v>38268.3541666667</v>
      </c>
      <c r="G116" s="14">
        <v>38268.0</v>
      </c>
      <c r="H116" s="16"/>
      <c r="I116" s="16" t="s">
        <v>116</v>
      </c>
    </row>
    <row r="117" ht="15.75" customHeight="1">
      <c r="A117" s="16" t="s">
        <v>117</v>
      </c>
      <c r="B117" s="14">
        <v>38279.0</v>
      </c>
      <c r="C117" s="16" t="s">
        <v>114</v>
      </c>
      <c r="D117" s="16" t="s">
        <v>115</v>
      </c>
      <c r="E117" s="17">
        <v>38279.5208333333</v>
      </c>
      <c r="F117" s="17">
        <v>38279.3541666667</v>
      </c>
      <c r="G117" s="14">
        <v>38279.0</v>
      </c>
      <c r="H117" s="16"/>
      <c r="I117" s="16" t="s">
        <v>118</v>
      </c>
    </row>
    <row r="118" ht="15.75" customHeight="1">
      <c r="A118" s="16" t="s">
        <v>113</v>
      </c>
      <c r="B118" s="14">
        <v>38296.0</v>
      </c>
      <c r="C118" s="16" t="s">
        <v>114</v>
      </c>
      <c r="D118" s="16" t="s">
        <v>115</v>
      </c>
      <c r="E118" s="17">
        <v>38296.5625</v>
      </c>
      <c r="F118" s="17">
        <v>38296.3541666667</v>
      </c>
      <c r="G118" s="14">
        <v>38296.0</v>
      </c>
      <c r="H118" s="16"/>
      <c r="I118" s="16" t="s">
        <v>116</v>
      </c>
    </row>
    <row r="119" ht="15.75" customHeight="1">
      <c r="A119" s="16" t="s">
        <v>117</v>
      </c>
      <c r="B119" s="14">
        <v>38308.0</v>
      </c>
      <c r="C119" s="16" t="s">
        <v>114</v>
      </c>
      <c r="D119" s="16" t="s">
        <v>115</v>
      </c>
      <c r="E119" s="17">
        <v>38308.5625</v>
      </c>
      <c r="F119" s="17">
        <v>38308.3541666667</v>
      </c>
      <c r="G119" s="14">
        <v>38308.0</v>
      </c>
      <c r="H119" s="16"/>
      <c r="I119" s="16" t="s">
        <v>118</v>
      </c>
    </row>
    <row r="120" ht="15.75" customHeight="1">
      <c r="A120" s="16" t="s">
        <v>113</v>
      </c>
      <c r="B120" s="14">
        <v>38324.0</v>
      </c>
      <c r="C120" s="16" t="s">
        <v>114</v>
      </c>
      <c r="D120" s="16" t="s">
        <v>115</v>
      </c>
      <c r="E120" s="17">
        <v>38324.5625</v>
      </c>
      <c r="F120" s="17">
        <v>38324.3541666667</v>
      </c>
      <c r="G120" s="14">
        <v>38324.0</v>
      </c>
      <c r="H120" s="16"/>
      <c r="I120" s="16" t="s">
        <v>116</v>
      </c>
    </row>
    <row r="121" ht="15.75" customHeight="1">
      <c r="A121" s="16" t="s">
        <v>117</v>
      </c>
      <c r="B121" s="14">
        <v>38338.0</v>
      </c>
      <c r="C121" s="16" t="s">
        <v>114</v>
      </c>
      <c r="D121" s="16" t="s">
        <v>115</v>
      </c>
      <c r="E121" s="17">
        <v>38338.5625</v>
      </c>
      <c r="F121" s="17">
        <v>38338.3541666667</v>
      </c>
      <c r="G121" s="14">
        <v>38338.0</v>
      </c>
      <c r="H121" s="16"/>
      <c r="I121" s="16" t="s">
        <v>118</v>
      </c>
    </row>
    <row r="122" ht="15.75" customHeight="1">
      <c r="A122" s="16" t="s">
        <v>113</v>
      </c>
      <c r="B122" s="14">
        <v>38359.0</v>
      </c>
      <c r="C122" s="16" t="s">
        <v>114</v>
      </c>
      <c r="D122" s="16" t="s">
        <v>115</v>
      </c>
      <c r="E122" s="17">
        <v>38359.5625</v>
      </c>
      <c r="F122" s="17">
        <v>38359.3541666667</v>
      </c>
      <c r="G122" s="14">
        <v>38359.0</v>
      </c>
      <c r="H122" s="16"/>
      <c r="I122" s="16" t="s">
        <v>116</v>
      </c>
    </row>
    <row r="123" ht="15.75" customHeight="1">
      <c r="A123" s="16" t="s">
        <v>117</v>
      </c>
      <c r="B123" s="14">
        <v>38371.0</v>
      </c>
      <c r="C123" s="16" t="s">
        <v>114</v>
      </c>
      <c r="D123" s="16" t="s">
        <v>115</v>
      </c>
      <c r="E123" s="17">
        <v>38371.5625</v>
      </c>
      <c r="F123" s="17">
        <v>38371.3541666667</v>
      </c>
      <c r="G123" s="14">
        <v>38371.0</v>
      </c>
      <c r="H123" s="16"/>
      <c r="I123" s="16" t="s">
        <v>118</v>
      </c>
    </row>
    <row r="124" ht="15.75" customHeight="1">
      <c r="A124" s="16" t="s">
        <v>113</v>
      </c>
      <c r="B124" s="14">
        <v>38387.0</v>
      </c>
      <c r="C124" s="16" t="s">
        <v>114</v>
      </c>
      <c r="D124" s="16" t="s">
        <v>115</v>
      </c>
      <c r="E124" s="17">
        <v>38387.5625</v>
      </c>
      <c r="F124" s="17">
        <v>38387.3541666667</v>
      </c>
      <c r="G124" s="14">
        <v>38387.0</v>
      </c>
      <c r="H124" s="16"/>
      <c r="I124" s="16" t="s">
        <v>116</v>
      </c>
    </row>
    <row r="125" ht="15.75" customHeight="1">
      <c r="A125" s="16" t="s">
        <v>117</v>
      </c>
      <c r="B125" s="14">
        <v>38406.0</v>
      </c>
      <c r="C125" s="16" t="s">
        <v>114</v>
      </c>
      <c r="D125" s="16" t="s">
        <v>115</v>
      </c>
      <c r="E125" s="17">
        <v>38406.5625</v>
      </c>
      <c r="F125" s="17">
        <v>38406.3541666667</v>
      </c>
      <c r="G125" s="14">
        <v>38406.0</v>
      </c>
      <c r="H125" s="16"/>
      <c r="I125" s="16" t="s">
        <v>118</v>
      </c>
    </row>
    <row r="126" ht="15.75" customHeight="1">
      <c r="A126" s="16" t="s">
        <v>113</v>
      </c>
      <c r="B126" s="14">
        <v>38415.0</v>
      </c>
      <c r="C126" s="16" t="s">
        <v>114</v>
      </c>
      <c r="D126" s="16" t="s">
        <v>115</v>
      </c>
      <c r="E126" s="17">
        <v>38415.5625</v>
      </c>
      <c r="F126" s="17">
        <v>38415.3541666667</v>
      </c>
      <c r="G126" s="14">
        <v>38415.0</v>
      </c>
      <c r="H126" s="16"/>
      <c r="I126" s="16" t="s">
        <v>116</v>
      </c>
    </row>
    <row r="127" ht="15.75" customHeight="1">
      <c r="A127" s="16" t="s">
        <v>117</v>
      </c>
      <c r="B127" s="14">
        <v>38434.0</v>
      </c>
      <c r="C127" s="16" t="s">
        <v>114</v>
      </c>
      <c r="D127" s="16" t="s">
        <v>115</v>
      </c>
      <c r="E127" s="17">
        <v>38434.5625</v>
      </c>
      <c r="F127" s="17">
        <v>38434.3541666667</v>
      </c>
      <c r="G127" s="14">
        <v>38434.0</v>
      </c>
      <c r="H127" s="16"/>
      <c r="I127" s="16" t="s">
        <v>118</v>
      </c>
    </row>
    <row r="128" ht="15.75" customHeight="1">
      <c r="A128" s="16" t="s">
        <v>113</v>
      </c>
      <c r="B128" s="14">
        <v>38443.0</v>
      </c>
      <c r="C128" s="16" t="s">
        <v>114</v>
      </c>
      <c r="D128" s="16" t="s">
        <v>115</v>
      </c>
      <c r="E128" s="17">
        <v>38443.5625</v>
      </c>
      <c r="F128" s="17">
        <v>38443.3541666667</v>
      </c>
      <c r="G128" s="14">
        <v>38443.0</v>
      </c>
      <c r="H128" s="16"/>
      <c r="I128" s="16" t="s">
        <v>116</v>
      </c>
    </row>
    <row r="129" ht="15.75" customHeight="1">
      <c r="A129" s="16" t="s">
        <v>117</v>
      </c>
      <c r="B129" s="14">
        <v>38462.0</v>
      </c>
      <c r="C129" s="16" t="s">
        <v>114</v>
      </c>
      <c r="D129" s="16" t="s">
        <v>115</v>
      </c>
      <c r="E129" s="17">
        <v>38462.5208333333</v>
      </c>
      <c r="F129" s="17">
        <v>38462.3541666667</v>
      </c>
      <c r="G129" s="14">
        <v>38462.0</v>
      </c>
      <c r="H129" s="16"/>
      <c r="I129" s="16" t="s">
        <v>118</v>
      </c>
    </row>
    <row r="130" ht="15.75" customHeight="1">
      <c r="A130" s="16" t="s">
        <v>113</v>
      </c>
      <c r="B130" s="14">
        <v>38478.0</v>
      </c>
      <c r="C130" s="16" t="s">
        <v>114</v>
      </c>
      <c r="D130" s="16" t="s">
        <v>115</v>
      </c>
      <c r="E130" s="17">
        <v>38478.5208333333</v>
      </c>
      <c r="F130" s="17">
        <v>38478.3541666667</v>
      </c>
      <c r="G130" s="14">
        <v>38478.0</v>
      </c>
      <c r="H130" s="16"/>
      <c r="I130" s="16" t="s">
        <v>116</v>
      </c>
    </row>
    <row r="131" ht="15.75" customHeight="1">
      <c r="A131" s="16" t="s">
        <v>117</v>
      </c>
      <c r="B131" s="14">
        <v>38490.0</v>
      </c>
      <c r="C131" s="16" t="s">
        <v>114</v>
      </c>
      <c r="D131" s="16" t="s">
        <v>115</v>
      </c>
      <c r="E131" s="17">
        <v>38490.5208333333</v>
      </c>
      <c r="F131" s="17">
        <v>38490.3541666667</v>
      </c>
      <c r="G131" s="14">
        <v>38490.0</v>
      </c>
      <c r="H131" s="16"/>
      <c r="I131" s="16" t="s">
        <v>118</v>
      </c>
    </row>
    <row r="132" ht="15.75" customHeight="1">
      <c r="A132" s="16" t="s">
        <v>113</v>
      </c>
      <c r="B132" s="14">
        <v>38506.0</v>
      </c>
      <c r="C132" s="16" t="s">
        <v>114</v>
      </c>
      <c r="D132" s="16" t="s">
        <v>115</v>
      </c>
      <c r="E132" s="17">
        <v>38506.5208333333</v>
      </c>
      <c r="F132" s="17">
        <v>38506.3541666667</v>
      </c>
      <c r="G132" s="14">
        <v>38506.0</v>
      </c>
      <c r="H132" s="16"/>
      <c r="I132" s="16" t="s">
        <v>116</v>
      </c>
    </row>
    <row r="133" ht="15.75" customHeight="1">
      <c r="A133" s="16" t="s">
        <v>117</v>
      </c>
      <c r="B133" s="14">
        <v>38518.0</v>
      </c>
      <c r="C133" s="16" t="s">
        <v>114</v>
      </c>
      <c r="D133" s="16" t="s">
        <v>115</v>
      </c>
      <c r="E133" s="17">
        <v>38518.5208333333</v>
      </c>
      <c r="F133" s="17">
        <v>38518.3541666667</v>
      </c>
      <c r="G133" s="14">
        <v>38518.0</v>
      </c>
      <c r="H133" s="16"/>
      <c r="I133" s="16" t="s">
        <v>118</v>
      </c>
    </row>
    <row r="134" ht="15.75" customHeight="1">
      <c r="A134" s="16" t="s">
        <v>113</v>
      </c>
      <c r="B134" s="14">
        <v>38541.0</v>
      </c>
      <c r="C134" s="16" t="s">
        <v>114</v>
      </c>
      <c r="D134" s="16" t="s">
        <v>115</v>
      </c>
      <c r="E134" s="17">
        <v>38541.5208333333</v>
      </c>
      <c r="F134" s="17">
        <v>38541.3541666667</v>
      </c>
      <c r="G134" s="14">
        <v>38541.0</v>
      </c>
      <c r="H134" s="16"/>
      <c r="I134" s="16" t="s">
        <v>116</v>
      </c>
    </row>
    <row r="135" ht="15.75" customHeight="1">
      <c r="A135" s="16" t="s">
        <v>117</v>
      </c>
      <c r="B135" s="14">
        <v>38547.0</v>
      </c>
      <c r="C135" s="16" t="s">
        <v>114</v>
      </c>
      <c r="D135" s="16" t="s">
        <v>115</v>
      </c>
      <c r="E135" s="17">
        <v>38547.5208333333</v>
      </c>
      <c r="F135" s="17">
        <v>38547.3541666667</v>
      </c>
      <c r="G135" s="14">
        <v>38547.0</v>
      </c>
      <c r="H135" s="16"/>
      <c r="I135" s="16" t="s">
        <v>118</v>
      </c>
    </row>
    <row r="136" ht="15.75" customHeight="1">
      <c r="A136" s="16" t="s">
        <v>113</v>
      </c>
      <c r="B136" s="14">
        <v>38569.0</v>
      </c>
      <c r="C136" s="16" t="s">
        <v>114</v>
      </c>
      <c r="D136" s="16" t="s">
        <v>115</v>
      </c>
      <c r="E136" s="17">
        <v>38569.5208333333</v>
      </c>
      <c r="F136" s="17">
        <v>38569.3541666667</v>
      </c>
      <c r="G136" s="14">
        <v>38569.0</v>
      </c>
      <c r="H136" s="16"/>
      <c r="I136" s="16" t="s">
        <v>116</v>
      </c>
    </row>
    <row r="137" ht="15.75" customHeight="1">
      <c r="A137" s="16" t="s">
        <v>117</v>
      </c>
      <c r="B137" s="14">
        <v>38580.0</v>
      </c>
      <c r="C137" s="16" t="s">
        <v>114</v>
      </c>
      <c r="D137" s="16" t="s">
        <v>115</v>
      </c>
      <c r="E137" s="17">
        <v>38580.5208333333</v>
      </c>
      <c r="F137" s="17">
        <v>38580.3541666667</v>
      </c>
      <c r="G137" s="14">
        <v>38580.0</v>
      </c>
      <c r="H137" s="16"/>
      <c r="I137" s="16" t="s">
        <v>118</v>
      </c>
    </row>
    <row r="138" ht="15.75" customHeight="1">
      <c r="A138" s="16" t="s">
        <v>113</v>
      </c>
      <c r="B138" s="14">
        <v>38597.0</v>
      </c>
      <c r="C138" s="16" t="s">
        <v>114</v>
      </c>
      <c r="D138" s="16" t="s">
        <v>115</v>
      </c>
      <c r="E138" s="17">
        <v>38597.5208333333</v>
      </c>
      <c r="F138" s="17">
        <v>38597.3541666667</v>
      </c>
      <c r="G138" s="14">
        <v>38597.0</v>
      </c>
      <c r="H138" s="16"/>
      <c r="I138" s="16" t="s">
        <v>116</v>
      </c>
    </row>
    <row r="139" ht="15.75" customHeight="1">
      <c r="A139" s="16" t="s">
        <v>117</v>
      </c>
      <c r="B139" s="14">
        <v>38610.0</v>
      </c>
      <c r="C139" s="16" t="s">
        <v>114</v>
      </c>
      <c r="D139" s="16" t="s">
        <v>115</v>
      </c>
      <c r="E139" s="17">
        <v>38610.5208333333</v>
      </c>
      <c r="F139" s="17">
        <v>38610.3541666667</v>
      </c>
      <c r="G139" s="14">
        <v>38610.0</v>
      </c>
      <c r="H139" s="16"/>
      <c r="I139" s="16" t="s">
        <v>118</v>
      </c>
    </row>
    <row r="140" ht="15.75" customHeight="1">
      <c r="A140" s="16" t="s">
        <v>113</v>
      </c>
      <c r="B140" s="14">
        <v>38632.0</v>
      </c>
      <c r="C140" s="16" t="s">
        <v>114</v>
      </c>
      <c r="D140" s="16" t="s">
        <v>115</v>
      </c>
      <c r="E140" s="17">
        <v>38632.5208333333</v>
      </c>
      <c r="F140" s="17">
        <v>38632.3541666667</v>
      </c>
      <c r="G140" s="14">
        <v>38632.0</v>
      </c>
      <c r="H140" s="16"/>
      <c r="I140" s="16" t="s">
        <v>116</v>
      </c>
    </row>
    <row r="141" ht="15.75" customHeight="1">
      <c r="A141" s="16" t="s">
        <v>117</v>
      </c>
      <c r="B141" s="14">
        <v>38639.0</v>
      </c>
      <c r="C141" s="16" t="s">
        <v>114</v>
      </c>
      <c r="D141" s="16" t="s">
        <v>115</v>
      </c>
      <c r="E141" s="17">
        <v>38639.5208333333</v>
      </c>
      <c r="F141" s="17">
        <v>38639.3541666667</v>
      </c>
      <c r="G141" s="14">
        <v>38639.0</v>
      </c>
      <c r="H141" s="16"/>
      <c r="I141" s="16" t="s">
        <v>118</v>
      </c>
    </row>
    <row r="142" ht="15.75" customHeight="1">
      <c r="A142" s="16" t="s">
        <v>113</v>
      </c>
      <c r="B142" s="14">
        <v>38660.0</v>
      </c>
      <c r="C142" s="16" t="s">
        <v>114</v>
      </c>
      <c r="D142" s="16" t="s">
        <v>115</v>
      </c>
      <c r="E142" s="17">
        <v>38660.5625</v>
      </c>
      <c r="F142" s="17">
        <v>38660.3541666667</v>
      </c>
      <c r="G142" s="14">
        <v>38660.0</v>
      </c>
      <c r="H142" s="16"/>
      <c r="I142" s="16" t="s">
        <v>116</v>
      </c>
    </row>
    <row r="143" ht="15.75" customHeight="1">
      <c r="A143" s="16" t="s">
        <v>117</v>
      </c>
      <c r="B143" s="14">
        <v>38672.0</v>
      </c>
      <c r="C143" s="16" t="s">
        <v>114</v>
      </c>
      <c r="D143" s="16" t="s">
        <v>115</v>
      </c>
      <c r="E143" s="17">
        <v>38672.5625</v>
      </c>
      <c r="F143" s="17">
        <v>38672.3541666667</v>
      </c>
      <c r="G143" s="14">
        <v>38672.0</v>
      </c>
      <c r="H143" s="16"/>
      <c r="I143" s="16" t="s">
        <v>118</v>
      </c>
    </row>
    <row r="144" ht="15.75" customHeight="1">
      <c r="A144" s="16" t="s">
        <v>113</v>
      </c>
      <c r="B144" s="14">
        <v>38688.0</v>
      </c>
      <c r="C144" s="16" t="s">
        <v>114</v>
      </c>
      <c r="D144" s="16" t="s">
        <v>115</v>
      </c>
      <c r="E144" s="17">
        <v>38688.5625</v>
      </c>
      <c r="F144" s="17">
        <v>38688.3541666667</v>
      </c>
      <c r="G144" s="14">
        <v>38688.0</v>
      </c>
      <c r="H144" s="16"/>
      <c r="I144" s="16" t="s">
        <v>116</v>
      </c>
    </row>
    <row r="145" ht="15.75" customHeight="1">
      <c r="A145" s="16" t="s">
        <v>117</v>
      </c>
      <c r="B145" s="14">
        <v>38701.0</v>
      </c>
      <c r="C145" s="16" t="s">
        <v>114</v>
      </c>
      <c r="D145" s="16" t="s">
        <v>115</v>
      </c>
      <c r="E145" s="17">
        <v>38701.5625</v>
      </c>
      <c r="F145" s="17">
        <v>38701.3541666667</v>
      </c>
      <c r="G145" s="14">
        <v>38701.0</v>
      </c>
      <c r="H145" s="16"/>
      <c r="I145" s="16" t="s">
        <v>118</v>
      </c>
    </row>
    <row r="146" ht="15.75" customHeight="1">
      <c r="A146" s="16" t="s">
        <v>113</v>
      </c>
      <c r="B146" s="14">
        <v>38723.0</v>
      </c>
      <c r="C146" s="16" t="s">
        <v>114</v>
      </c>
      <c r="D146" s="16" t="s">
        <v>115</v>
      </c>
      <c r="E146" s="17">
        <v>38723.5625</v>
      </c>
      <c r="F146" s="17">
        <v>38723.3541666667</v>
      </c>
      <c r="G146" s="14">
        <v>38723.0</v>
      </c>
      <c r="H146" s="16"/>
      <c r="I146" s="16" t="s">
        <v>116</v>
      </c>
    </row>
    <row r="147" ht="15.75" customHeight="1">
      <c r="A147" s="16" t="s">
        <v>117</v>
      </c>
      <c r="B147" s="14">
        <v>38735.0</v>
      </c>
      <c r="C147" s="16" t="s">
        <v>114</v>
      </c>
      <c r="D147" s="16" t="s">
        <v>115</v>
      </c>
      <c r="E147" s="17">
        <v>38735.5625</v>
      </c>
      <c r="F147" s="17">
        <v>38735.3541666667</v>
      </c>
      <c r="G147" s="14">
        <v>38735.0</v>
      </c>
      <c r="H147" s="16"/>
      <c r="I147" s="16" t="s">
        <v>118</v>
      </c>
    </row>
    <row r="148" ht="15.75" customHeight="1">
      <c r="A148" s="16" t="s">
        <v>113</v>
      </c>
      <c r="B148" s="14">
        <v>38751.0</v>
      </c>
      <c r="C148" s="16" t="s">
        <v>114</v>
      </c>
      <c r="D148" s="16" t="s">
        <v>115</v>
      </c>
      <c r="E148" s="17">
        <v>38751.5625</v>
      </c>
      <c r="F148" s="17">
        <v>38751.3541666667</v>
      </c>
      <c r="G148" s="14">
        <v>38751.0</v>
      </c>
      <c r="H148" s="16"/>
      <c r="I148" s="16" t="s">
        <v>116</v>
      </c>
    </row>
    <row r="149" ht="15.75" customHeight="1">
      <c r="A149" s="16" t="s">
        <v>117</v>
      </c>
      <c r="B149" s="14">
        <v>38770.0</v>
      </c>
      <c r="C149" s="16" t="s">
        <v>114</v>
      </c>
      <c r="D149" s="16" t="s">
        <v>115</v>
      </c>
      <c r="E149" s="17">
        <v>38770.5625</v>
      </c>
      <c r="F149" s="17">
        <v>38770.3541666667</v>
      </c>
      <c r="G149" s="14">
        <v>38770.0</v>
      </c>
      <c r="H149" s="16"/>
      <c r="I149" s="16" t="s">
        <v>118</v>
      </c>
    </row>
    <row r="150" ht="15.75" customHeight="1">
      <c r="A150" s="16" t="s">
        <v>113</v>
      </c>
      <c r="B150" s="14">
        <v>38786.0</v>
      </c>
      <c r="C150" s="16" t="s">
        <v>114</v>
      </c>
      <c r="D150" s="16" t="s">
        <v>115</v>
      </c>
      <c r="E150" s="17">
        <v>38786.5625</v>
      </c>
      <c r="F150" s="17">
        <v>38786.3541666667</v>
      </c>
      <c r="G150" s="14">
        <v>38786.0</v>
      </c>
      <c r="H150" s="16"/>
      <c r="I150" s="16" t="s">
        <v>116</v>
      </c>
    </row>
    <row r="151" ht="15.75" customHeight="1">
      <c r="A151" s="16" t="s">
        <v>117</v>
      </c>
      <c r="B151" s="14">
        <v>38792.0</v>
      </c>
      <c r="C151" s="16" t="s">
        <v>114</v>
      </c>
      <c r="D151" s="16" t="s">
        <v>115</v>
      </c>
      <c r="E151" s="17">
        <v>38792.5625</v>
      </c>
      <c r="F151" s="17">
        <v>38792.3541666667</v>
      </c>
      <c r="G151" s="14">
        <v>38792.0</v>
      </c>
      <c r="H151" s="16"/>
      <c r="I151" s="16" t="s">
        <v>118</v>
      </c>
    </row>
    <row r="152" ht="15.75" customHeight="1">
      <c r="A152" s="16" t="s">
        <v>113</v>
      </c>
      <c r="B152" s="14">
        <v>38814.0</v>
      </c>
      <c r="C152" s="16" t="s">
        <v>114</v>
      </c>
      <c r="D152" s="16" t="s">
        <v>115</v>
      </c>
      <c r="E152" s="17">
        <v>38814.5208333333</v>
      </c>
      <c r="F152" s="17">
        <v>38814.3541666667</v>
      </c>
      <c r="G152" s="14">
        <v>38814.0</v>
      </c>
      <c r="H152" s="16"/>
      <c r="I152" s="16" t="s">
        <v>116</v>
      </c>
    </row>
    <row r="153" ht="15.75" customHeight="1">
      <c r="A153" s="16" t="s">
        <v>117</v>
      </c>
      <c r="B153" s="14">
        <v>38826.0</v>
      </c>
      <c r="C153" s="16" t="s">
        <v>114</v>
      </c>
      <c r="D153" s="16" t="s">
        <v>115</v>
      </c>
      <c r="E153" s="17">
        <v>38826.5208333333</v>
      </c>
      <c r="F153" s="17">
        <v>38826.3541666667</v>
      </c>
      <c r="G153" s="14">
        <v>38826.0</v>
      </c>
      <c r="H153" s="16"/>
      <c r="I153" s="16" t="s">
        <v>118</v>
      </c>
    </row>
    <row r="154" ht="15.75" customHeight="1">
      <c r="A154" s="16" t="s">
        <v>113</v>
      </c>
      <c r="B154" s="14">
        <v>38842.0</v>
      </c>
      <c r="C154" s="16" t="s">
        <v>114</v>
      </c>
      <c r="D154" s="16" t="s">
        <v>115</v>
      </c>
      <c r="E154" s="17">
        <v>38842.5208333333</v>
      </c>
      <c r="F154" s="17">
        <v>38842.3541666667</v>
      </c>
      <c r="G154" s="14">
        <v>38842.0</v>
      </c>
      <c r="H154" s="16"/>
      <c r="I154" s="16" t="s">
        <v>116</v>
      </c>
    </row>
    <row r="155" ht="15.75" customHeight="1">
      <c r="A155" s="16" t="s">
        <v>117</v>
      </c>
      <c r="B155" s="14">
        <v>38854.0</v>
      </c>
      <c r="C155" s="16" t="s">
        <v>114</v>
      </c>
      <c r="D155" s="16" t="s">
        <v>115</v>
      </c>
      <c r="E155" s="17">
        <v>38854.5208333333</v>
      </c>
      <c r="F155" s="17">
        <v>38854.3541666667</v>
      </c>
      <c r="G155" s="14">
        <v>38854.0</v>
      </c>
      <c r="H155" s="16"/>
      <c r="I155" s="16" t="s">
        <v>118</v>
      </c>
    </row>
    <row r="156" ht="15.75" customHeight="1">
      <c r="A156" s="16" t="s">
        <v>113</v>
      </c>
      <c r="B156" s="14">
        <v>38870.0</v>
      </c>
      <c r="C156" s="16" t="s">
        <v>114</v>
      </c>
      <c r="D156" s="16" t="s">
        <v>115</v>
      </c>
      <c r="E156" s="17">
        <v>38870.5208333333</v>
      </c>
      <c r="F156" s="17">
        <v>38870.3541666667</v>
      </c>
      <c r="G156" s="14">
        <v>38870.0</v>
      </c>
      <c r="H156" s="16"/>
      <c r="I156" s="16" t="s">
        <v>116</v>
      </c>
    </row>
    <row r="157" ht="15.75" customHeight="1">
      <c r="A157" s="16" t="s">
        <v>117</v>
      </c>
      <c r="B157" s="14">
        <v>38882.0</v>
      </c>
      <c r="C157" s="16" t="s">
        <v>114</v>
      </c>
      <c r="D157" s="16" t="s">
        <v>115</v>
      </c>
      <c r="E157" s="17">
        <v>38882.5208333333</v>
      </c>
      <c r="F157" s="17">
        <v>38882.3541666667</v>
      </c>
      <c r="G157" s="14">
        <v>38882.0</v>
      </c>
      <c r="H157" s="16"/>
      <c r="I157" s="16" t="s">
        <v>118</v>
      </c>
    </row>
    <row r="158" ht="15.75" customHeight="1">
      <c r="A158" s="16" t="s">
        <v>113</v>
      </c>
      <c r="B158" s="14">
        <v>38905.0</v>
      </c>
      <c r="C158" s="16" t="s">
        <v>114</v>
      </c>
      <c r="D158" s="16" t="s">
        <v>115</v>
      </c>
      <c r="E158" s="17">
        <v>38905.5208333333</v>
      </c>
      <c r="F158" s="17">
        <v>38905.3541666667</v>
      </c>
      <c r="G158" s="14">
        <v>38905.0</v>
      </c>
      <c r="H158" s="16"/>
      <c r="I158" s="16" t="s">
        <v>116</v>
      </c>
    </row>
    <row r="159" ht="15.75" customHeight="1">
      <c r="A159" s="16" t="s">
        <v>117</v>
      </c>
      <c r="B159" s="14">
        <v>38917.0</v>
      </c>
      <c r="C159" s="16" t="s">
        <v>114</v>
      </c>
      <c r="D159" s="16" t="s">
        <v>115</v>
      </c>
      <c r="E159" s="17">
        <v>38917.5208333333</v>
      </c>
      <c r="F159" s="17">
        <v>38917.3541666667</v>
      </c>
      <c r="G159" s="14">
        <v>38917.0</v>
      </c>
      <c r="H159" s="16"/>
      <c r="I159" s="16" t="s">
        <v>118</v>
      </c>
    </row>
    <row r="160" ht="15.75" customHeight="1">
      <c r="A160" s="16" t="s">
        <v>113</v>
      </c>
      <c r="B160" s="14">
        <v>38933.0</v>
      </c>
      <c r="C160" s="16" t="s">
        <v>114</v>
      </c>
      <c r="D160" s="16" t="s">
        <v>115</v>
      </c>
      <c r="E160" s="17">
        <v>38933.5208333333</v>
      </c>
      <c r="F160" s="17">
        <v>38933.3541666667</v>
      </c>
      <c r="G160" s="14">
        <v>38933.0</v>
      </c>
      <c r="H160" s="16"/>
      <c r="I160" s="16" t="s">
        <v>116</v>
      </c>
    </row>
    <row r="161" ht="15.75" customHeight="1">
      <c r="A161" s="16" t="s">
        <v>117</v>
      </c>
      <c r="B161" s="14">
        <v>38945.0</v>
      </c>
      <c r="C161" s="16" t="s">
        <v>114</v>
      </c>
      <c r="D161" s="16" t="s">
        <v>115</v>
      </c>
      <c r="E161" s="17">
        <v>38945.5208333333</v>
      </c>
      <c r="F161" s="17">
        <v>38945.3541666667</v>
      </c>
      <c r="G161" s="14">
        <v>38945.0</v>
      </c>
      <c r="H161" s="16"/>
      <c r="I161" s="16" t="s">
        <v>118</v>
      </c>
    </row>
    <row r="162" ht="15.75" customHeight="1">
      <c r="A162" s="16" t="s">
        <v>113</v>
      </c>
      <c r="B162" s="14">
        <v>38961.0</v>
      </c>
      <c r="C162" s="16" t="s">
        <v>114</v>
      </c>
      <c r="D162" s="16" t="s">
        <v>115</v>
      </c>
      <c r="E162" s="17">
        <v>38961.5208333333</v>
      </c>
      <c r="F162" s="17">
        <v>38961.3541666667</v>
      </c>
      <c r="G162" s="14">
        <v>38961.0</v>
      </c>
      <c r="H162" s="16"/>
      <c r="I162" s="16" t="s">
        <v>116</v>
      </c>
    </row>
    <row r="163" ht="15.75" customHeight="1">
      <c r="A163" s="16" t="s">
        <v>117</v>
      </c>
      <c r="B163" s="14">
        <v>38975.0</v>
      </c>
      <c r="C163" s="16" t="s">
        <v>114</v>
      </c>
      <c r="D163" s="16" t="s">
        <v>115</v>
      </c>
      <c r="E163" s="17">
        <v>38975.5208333333</v>
      </c>
      <c r="F163" s="17">
        <v>38975.3541666667</v>
      </c>
      <c r="G163" s="14">
        <v>38975.0</v>
      </c>
      <c r="H163" s="16"/>
      <c r="I163" s="16" t="s">
        <v>118</v>
      </c>
    </row>
    <row r="164" ht="15.75" customHeight="1">
      <c r="A164" s="16" t="s">
        <v>113</v>
      </c>
      <c r="B164" s="14">
        <v>38996.0</v>
      </c>
      <c r="C164" s="16" t="s">
        <v>114</v>
      </c>
      <c r="D164" s="16" t="s">
        <v>115</v>
      </c>
      <c r="E164" s="17">
        <v>38996.5208333333</v>
      </c>
      <c r="F164" s="17">
        <v>38996.3541666667</v>
      </c>
      <c r="G164" s="14">
        <v>38996.0</v>
      </c>
      <c r="H164" s="16"/>
      <c r="I164" s="16" t="s">
        <v>116</v>
      </c>
    </row>
    <row r="165" ht="15.75" customHeight="1">
      <c r="A165" s="16" t="s">
        <v>117</v>
      </c>
      <c r="B165" s="14">
        <v>39008.0</v>
      </c>
      <c r="C165" s="16" t="s">
        <v>114</v>
      </c>
      <c r="D165" s="16" t="s">
        <v>115</v>
      </c>
      <c r="E165" s="17">
        <v>39008.5208333333</v>
      </c>
      <c r="F165" s="17">
        <v>39008.3541666667</v>
      </c>
      <c r="G165" s="14">
        <v>39008.0</v>
      </c>
      <c r="H165" s="16"/>
      <c r="I165" s="16" t="s">
        <v>118</v>
      </c>
    </row>
    <row r="166" ht="15.75" customHeight="1">
      <c r="A166" s="16" t="s">
        <v>113</v>
      </c>
      <c r="B166" s="14">
        <v>39024.0</v>
      </c>
      <c r="C166" s="16" t="s">
        <v>114</v>
      </c>
      <c r="D166" s="16" t="s">
        <v>115</v>
      </c>
      <c r="E166" s="17">
        <v>39024.5625</v>
      </c>
      <c r="F166" s="17">
        <v>39024.3541666667</v>
      </c>
      <c r="G166" s="14">
        <v>39024.0</v>
      </c>
      <c r="H166" s="16"/>
      <c r="I166" s="16" t="s">
        <v>116</v>
      </c>
    </row>
    <row r="167" ht="15.75" customHeight="1">
      <c r="A167" s="16" t="s">
        <v>117</v>
      </c>
      <c r="B167" s="14">
        <v>39037.0</v>
      </c>
      <c r="C167" s="16" t="s">
        <v>114</v>
      </c>
      <c r="D167" s="16" t="s">
        <v>115</v>
      </c>
      <c r="E167" s="17">
        <v>39037.5625</v>
      </c>
      <c r="F167" s="17">
        <v>39037.3541666667</v>
      </c>
      <c r="G167" s="14">
        <v>39037.0</v>
      </c>
      <c r="H167" s="16"/>
      <c r="I167" s="16" t="s">
        <v>118</v>
      </c>
    </row>
    <row r="168" ht="15.75" customHeight="1">
      <c r="A168" s="16" t="s">
        <v>113</v>
      </c>
      <c r="B168" s="14">
        <v>39059.0</v>
      </c>
      <c r="C168" s="16" t="s">
        <v>114</v>
      </c>
      <c r="D168" s="16" t="s">
        <v>115</v>
      </c>
      <c r="E168" s="17">
        <v>39059.5625</v>
      </c>
      <c r="F168" s="17">
        <v>39059.3541666667</v>
      </c>
      <c r="G168" s="14">
        <v>39059.0</v>
      </c>
      <c r="H168" s="16"/>
      <c r="I168" s="16" t="s">
        <v>116</v>
      </c>
    </row>
    <row r="169" ht="15.75" customHeight="1">
      <c r="A169" s="16" t="s">
        <v>117</v>
      </c>
      <c r="B169" s="14">
        <v>39066.0</v>
      </c>
      <c r="C169" s="16" t="s">
        <v>114</v>
      </c>
      <c r="D169" s="16" t="s">
        <v>115</v>
      </c>
      <c r="E169" s="17">
        <v>39066.5625</v>
      </c>
      <c r="F169" s="17">
        <v>39066.3541666667</v>
      </c>
      <c r="G169" s="14">
        <v>39066.0</v>
      </c>
      <c r="H169" s="16"/>
      <c r="I169" s="16" t="s">
        <v>118</v>
      </c>
    </row>
    <row r="170" ht="15.75" customHeight="1">
      <c r="A170" s="16" t="s">
        <v>113</v>
      </c>
      <c r="B170" s="14">
        <v>39087.0</v>
      </c>
      <c r="C170" s="16" t="s">
        <v>114</v>
      </c>
      <c r="D170" s="16" t="s">
        <v>115</v>
      </c>
      <c r="E170" s="17">
        <v>39087.5625</v>
      </c>
      <c r="F170" s="17">
        <v>39087.3541666667</v>
      </c>
      <c r="G170" s="14">
        <v>39087.0</v>
      </c>
      <c r="H170" s="16"/>
      <c r="I170" s="16" t="s">
        <v>116</v>
      </c>
    </row>
    <row r="171" ht="15.75" customHeight="1">
      <c r="A171" s="16" t="s">
        <v>117</v>
      </c>
      <c r="B171" s="14">
        <v>39100.0</v>
      </c>
      <c r="C171" s="16" t="s">
        <v>114</v>
      </c>
      <c r="D171" s="16" t="s">
        <v>115</v>
      </c>
      <c r="E171" s="17">
        <v>39100.5625</v>
      </c>
      <c r="F171" s="17">
        <v>39100.3541666667</v>
      </c>
      <c r="G171" s="14">
        <v>39100.0</v>
      </c>
      <c r="H171" s="16"/>
      <c r="I171" s="16" t="s">
        <v>118</v>
      </c>
    </row>
    <row r="172" ht="15.75" customHeight="1">
      <c r="A172" s="16" t="s">
        <v>113</v>
      </c>
      <c r="B172" s="14">
        <v>39115.0</v>
      </c>
      <c r="C172" s="16" t="s">
        <v>114</v>
      </c>
      <c r="D172" s="16" t="s">
        <v>115</v>
      </c>
      <c r="E172" s="17">
        <v>39115.5625</v>
      </c>
      <c r="F172" s="17">
        <v>39115.3541666667</v>
      </c>
      <c r="G172" s="14">
        <v>39115.0</v>
      </c>
      <c r="H172" s="16"/>
      <c r="I172" s="16" t="s">
        <v>116</v>
      </c>
    </row>
    <row r="173" ht="15.75" customHeight="1">
      <c r="A173" s="16" t="s">
        <v>117</v>
      </c>
      <c r="B173" s="14">
        <v>39134.0</v>
      </c>
      <c r="C173" s="16" t="s">
        <v>114</v>
      </c>
      <c r="D173" s="16" t="s">
        <v>115</v>
      </c>
      <c r="E173" s="17">
        <v>39134.5625</v>
      </c>
      <c r="F173" s="17">
        <v>39134.3541666667</v>
      </c>
      <c r="G173" s="14">
        <v>39134.0</v>
      </c>
      <c r="H173" s="16"/>
      <c r="I173" s="16" t="s">
        <v>118</v>
      </c>
    </row>
    <row r="174" ht="15.75" customHeight="1">
      <c r="A174" s="16" t="s">
        <v>113</v>
      </c>
      <c r="B174" s="14">
        <v>39150.0</v>
      </c>
      <c r="C174" s="16" t="s">
        <v>114</v>
      </c>
      <c r="D174" s="16" t="s">
        <v>115</v>
      </c>
      <c r="E174" s="17">
        <v>39150.5625</v>
      </c>
      <c r="F174" s="17">
        <v>39150.3541666667</v>
      </c>
      <c r="G174" s="14">
        <v>39150.0</v>
      </c>
      <c r="H174" s="16"/>
      <c r="I174" s="16" t="s">
        <v>116</v>
      </c>
    </row>
    <row r="175" ht="15.75" customHeight="1">
      <c r="A175" s="16" t="s">
        <v>117</v>
      </c>
      <c r="B175" s="14">
        <v>39157.0</v>
      </c>
      <c r="C175" s="16" t="s">
        <v>114</v>
      </c>
      <c r="D175" s="16" t="s">
        <v>115</v>
      </c>
      <c r="E175" s="17">
        <v>39157.5208333333</v>
      </c>
      <c r="F175" s="17">
        <v>39157.3541666667</v>
      </c>
      <c r="G175" s="14">
        <v>39157.0</v>
      </c>
      <c r="H175" s="16"/>
      <c r="I175" s="16" t="s">
        <v>118</v>
      </c>
    </row>
    <row r="176" ht="15.75" customHeight="1">
      <c r="A176" s="16" t="s">
        <v>113</v>
      </c>
      <c r="B176" s="14">
        <v>39178.0</v>
      </c>
      <c r="C176" s="16" t="s">
        <v>114</v>
      </c>
      <c r="D176" s="16" t="s">
        <v>115</v>
      </c>
      <c r="E176" s="17">
        <v>39178.5208333333</v>
      </c>
      <c r="F176" s="17">
        <v>39178.3541666667</v>
      </c>
      <c r="G176" s="14">
        <v>39178.0</v>
      </c>
      <c r="H176" s="16"/>
      <c r="I176" s="16" t="s">
        <v>116</v>
      </c>
    </row>
    <row r="177" ht="15.75" customHeight="1">
      <c r="A177" s="16" t="s">
        <v>117</v>
      </c>
      <c r="B177" s="14">
        <v>39189.0</v>
      </c>
      <c r="C177" s="16" t="s">
        <v>114</v>
      </c>
      <c r="D177" s="16" t="s">
        <v>115</v>
      </c>
      <c r="E177" s="17">
        <v>39189.5208333333</v>
      </c>
      <c r="F177" s="17">
        <v>39189.3541666667</v>
      </c>
      <c r="G177" s="14">
        <v>39189.0</v>
      </c>
      <c r="H177" s="16"/>
      <c r="I177" s="16" t="s">
        <v>118</v>
      </c>
    </row>
    <row r="178" ht="15.75" customHeight="1">
      <c r="A178" s="16" t="s">
        <v>113</v>
      </c>
      <c r="B178" s="14">
        <v>39206.0</v>
      </c>
      <c r="C178" s="16" t="s">
        <v>114</v>
      </c>
      <c r="D178" s="16" t="s">
        <v>115</v>
      </c>
      <c r="E178" s="17">
        <v>39206.5208333333</v>
      </c>
      <c r="F178" s="17">
        <v>39206.3541666667</v>
      </c>
      <c r="G178" s="14">
        <v>39206.0</v>
      </c>
      <c r="H178" s="16"/>
      <c r="I178" s="16" t="s">
        <v>116</v>
      </c>
    </row>
    <row r="179" ht="15.75" customHeight="1">
      <c r="A179" s="16" t="s">
        <v>117</v>
      </c>
      <c r="B179" s="14">
        <v>39217.0</v>
      </c>
      <c r="C179" s="16" t="s">
        <v>114</v>
      </c>
      <c r="D179" s="16" t="s">
        <v>115</v>
      </c>
      <c r="E179" s="17">
        <v>39217.5208333333</v>
      </c>
      <c r="F179" s="17">
        <v>39217.3541666667</v>
      </c>
      <c r="G179" s="14">
        <v>39217.0</v>
      </c>
      <c r="H179" s="16"/>
      <c r="I179" s="16" t="s">
        <v>118</v>
      </c>
    </row>
    <row r="180" ht="15.75" customHeight="1">
      <c r="A180" s="16" t="s">
        <v>113</v>
      </c>
      <c r="B180" s="14">
        <v>39234.0</v>
      </c>
      <c r="C180" s="16" t="s">
        <v>114</v>
      </c>
      <c r="D180" s="16" t="s">
        <v>115</v>
      </c>
      <c r="E180" s="17">
        <v>39234.5208333333</v>
      </c>
      <c r="F180" s="17">
        <v>39234.3541666667</v>
      </c>
      <c r="G180" s="14">
        <v>39234.0</v>
      </c>
      <c r="H180" s="16"/>
      <c r="I180" s="16" t="s">
        <v>116</v>
      </c>
    </row>
    <row r="181" ht="15.75" customHeight="1">
      <c r="A181" s="16" t="s">
        <v>117</v>
      </c>
      <c r="B181" s="14">
        <v>39248.0</v>
      </c>
      <c r="C181" s="16" t="s">
        <v>114</v>
      </c>
      <c r="D181" s="16" t="s">
        <v>115</v>
      </c>
      <c r="E181" s="17">
        <v>39248.5208333333</v>
      </c>
      <c r="F181" s="17">
        <v>39248.3541666667</v>
      </c>
      <c r="G181" s="14">
        <v>39248.0</v>
      </c>
      <c r="H181" s="16"/>
      <c r="I181" s="16" t="s">
        <v>118</v>
      </c>
    </row>
    <row r="182" ht="15.75" customHeight="1">
      <c r="A182" s="16" t="s">
        <v>113</v>
      </c>
      <c r="B182" s="14">
        <v>39269.0</v>
      </c>
      <c r="C182" s="16" t="s">
        <v>114</v>
      </c>
      <c r="D182" s="16" t="s">
        <v>115</v>
      </c>
      <c r="E182" s="17">
        <v>39269.5208333333</v>
      </c>
      <c r="F182" s="17">
        <v>39269.3541666667</v>
      </c>
      <c r="G182" s="14">
        <v>39269.0</v>
      </c>
      <c r="H182" s="16"/>
      <c r="I182" s="16" t="s">
        <v>116</v>
      </c>
    </row>
    <row r="183" ht="15.75" customHeight="1">
      <c r="A183" s="16" t="s">
        <v>117</v>
      </c>
      <c r="B183" s="14">
        <v>39281.0</v>
      </c>
      <c r="C183" s="16" t="s">
        <v>114</v>
      </c>
      <c r="D183" s="16" t="s">
        <v>115</v>
      </c>
      <c r="E183" s="17">
        <v>39281.5208333333</v>
      </c>
      <c r="F183" s="17">
        <v>39281.3541666667</v>
      </c>
      <c r="G183" s="14">
        <v>39281.0</v>
      </c>
      <c r="H183" s="16"/>
      <c r="I183" s="16" t="s">
        <v>118</v>
      </c>
    </row>
    <row r="184" ht="15.75" customHeight="1">
      <c r="A184" s="16" t="s">
        <v>113</v>
      </c>
      <c r="B184" s="14">
        <v>39297.0</v>
      </c>
      <c r="C184" s="16" t="s">
        <v>114</v>
      </c>
      <c r="D184" s="16" t="s">
        <v>115</v>
      </c>
      <c r="E184" s="17">
        <v>39297.5208333333</v>
      </c>
      <c r="F184" s="17">
        <v>39297.3541666667</v>
      </c>
      <c r="G184" s="14">
        <v>39297.0</v>
      </c>
      <c r="H184" s="16"/>
      <c r="I184" s="16" t="s">
        <v>116</v>
      </c>
    </row>
    <row r="185" ht="15.75" customHeight="1">
      <c r="A185" s="16" t="s">
        <v>117</v>
      </c>
      <c r="B185" s="14">
        <v>39309.0</v>
      </c>
      <c r="C185" s="16" t="s">
        <v>114</v>
      </c>
      <c r="D185" s="16" t="s">
        <v>115</v>
      </c>
      <c r="E185" s="17">
        <v>39309.5208333333</v>
      </c>
      <c r="F185" s="17">
        <v>39309.3541666667</v>
      </c>
      <c r="G185" s="14">
        <v>39309.0</v>
      </c>
      <c r="H185" s="16"/>
      <c r="I185" s="16" t="s">
        <v>118</v>
      </c>
    </row>
    <row r="186" ht="15.75" customHeight="1">
      <c r="A186" s="16" t="s">
        <v>113</v>
      </c>
      <c r="B186" s="14">
        <v>39332.0</v>
      </c>
      <c r="C186" s="16" t="s">
        <v>114</v>
      </c>
      <c r="D186" s="16" t="s">
        <v>115</v>
      </c>
      <c r="E186" s="17">
        <v>39332.5208333333</v>
      </c>
      <c r="F186" s="17">
        <v>39332.3541666667</v>
      </c>
      <c r="G186" s="14">
        <v>39332.0</v>
      </c>
      <c r="H186" s="16"/>
      <c r="I186" s="16" t="s">
        <v>116</v>
      </c>
    </row>
    <row r="187" ht="15.75" customHeight="1">
      <c r="A187" s="16" t="s">
        <v>117</v>
      </c>
      <c r="B187" s="14">
        <v>39344.0</v>
      </c>
      <c r="C187" s="16" t="s">
        <v>114</v>
      </c>
      <c r="D187" s="16" t="s">
        <v>115</v>
      </c>
      <c r="E187" s="17">
        <v>39344.5208333333</v>
      </c>
      <c r="F187" s="17">
        <v>39344.3541666667</v>
      </c>
      <c r="G187" s="14">
        <v>39344.0</v>
      </c>
      <c r="H187" s="16"/>
      <c r="I187" s="16" t="s">
        <v>118</v>
      </c>
    </row>
    <row r="188" ht="15.75" customHeight="1">
      <c r="A188" s="16" t="s">
        <v>113</v>
      </c>
      <c r="B188" s="14">
        <v>39360.0</v>
      </c>
      <c r="C188" s="16" t="s">
        <v>114</v>
      </c>
      <c r="D188" s="16" t="s">
        <v>115</v>
      </c>
      <c r="E188" s="17">
        <v>39360.5208333333</v>
      </c>
      <c r="F188" s="17">
        <v>39360.3541666667</v>
      </c>
      <c r="G188" s="14">
        <v>39360.0</v>
      </c>
      <c r="H188" s="16"/>
      <c r="I188" s="16" t="s">
        <v>116</v>
      </c>
    </row>
    <row r="189" ht="15.75" customHeight="1">
      <c r="A189" s="16" t="s">
        <v>117</v>
      </c>
      <c r="B189" s="14">
        <v>39372.0</v>
      </c>
      <c r="C189" s="16" t="s">
        <v>114</v>
      </c>
      <c r="D189" s="16" t="s">
        <v>115</v>
      </c>
      <c r="E189" s="17">
        <v>39372.5208333333</v>
      </c>
      <c r="F189" s="17">
        <v>39372.3541666667</v>
      </c>
      <c r="G189" s="14">
        <v>39372.0</v>
      </c>
      <c r="H189" s="16"/>
      <c r="I189" s="16" t="s">
        <v>118</v>
      </c>
    </row>
    <row r="190" ht="15.75" customHeight="1">
      <c r="A190" s="16" t="s">
        <v>113</v>
      </c>
      <c r="B190" s="14">
        <v>39388.0</v>
      </c>
      <c r="C190" s="16" t="s">
        <v>114</v>
      </c>
      <c r="D190" s="16" t="s">
        <v>115</v>
      </c>
      <c r="E190" s="17">
        <v>39388.5208333333</v>
      </c>
      <c r="F190" s="17">
        <v>39388.3541666667</v>
      </c>
      <c r="G190" s="14">
        <v>39388.0</v>
      </c>
      <c r="H190" s="16"/>
      <c r="I190" s="16" t="s">
        <v>116</v>
      </c>
    </row>
    <row r="191" ht="15.75" customHeight="1">
      <c r="A191" s="16" t="s">
        <v>117</v>
      </c>
      <c r="B191" s="14">
        <v>39401.0</v>
      </c>
      <c r="C191" s="16" t="s">
        <v>114</v>
      </c>
      <c r="D191" s="16" t="s">
        <v>115</v>
      </c>
      <c r="E191" s="17">
        <v>39401.5625</v>
      </c>
      <c r="F191" s="17">
        <v>39401.3541666667</v>
      </c>
      <c r="G191" s="14">
        <v>39401.0</v>
      </c>
      <c r="H191" s="16"/>
      <c r="I191" s="16" t="s">
        <v>118</v>
      </c>
    </row>
    <row r="192" ht="15.75" customHeight="1">
      <c r="A192" s="16" t="s">
        <v>113</v>
      </c>
      <c r="B192" s="14">
        <v>39423.0</v>
      </c>
      <c r="C192" s="16" t="s">
        <v>114</v>
      </c>
      <c r="D192" s="16" t="s">
        <v>115</v>
      </c>
      <c r="E192" s="17">
        <v>39423.5625</v>
      </c>
      <c r="F192" s="17">
        <v>39423.3541666667</v>
      </c>
      <c r="G192" s="14">
        <v>39423.0</v>
      </c>
      <c r="H192" s="16"/>
      <c r="I192" s="16" t="s">
        <v>116</v>
      </c>
    </row>
    <row r="193" ht="15.75" customHeight="1">
      <c r="A193" s="16" t="s">
        <v>117</v>
      </c>
      <c r="B193" s="14">
        <v>39430.0</v>
      </c>
      <c r="C193" s="16" t="s">
        <v>114</v>
      </c>
      <c r="D193" s="16" t="s">
        <v>115</v>
      </c>
      <c r="E193" s="17">
        <v>39430.5625</v>
      </c>
      <c r="F193" s="17">
        <v>39430.3541666667</v>
      </c>
      <c r="G193" s="14">
        <v>39430.0</v>
      </c>
      <c r="H193" s="16"/>
      <c r="I193" s="16" t="s">
        <v>118</v>
      </c>
    </row>
    <row r="194" ht="15.75" customHeight="1">
      <c r="A194" s="16" t="s">
        <v>113</v>
      </c>
      <c r="B194" s="14">
        <v>39451.0</v>
      </c>
      <c r="C194" s="16" t="s">
        <v>114</v>
      </c>
      <c r="D194" s="16" t="s">
        <v>115</v>
      </c>
      <c r="E194" s="17">
        <v>39451.5625</v>
      </c>
      <c r="F194" s="17">
        <v>39451.3541666667</v>
      </c>
      <c r="G194" s="14">
        <v>39451.0</v>
      </c>
      <c r="H194" s="16"/>
      <c r="I194" s="16" t="s">
        <v>116</v>
      </c>
    </row>
    <row r="195" ht="15.75" customHeight="1">
      <c r="A195" s="16" t="s">
        <v>117</v>
      </c>
      <c r="B195" s="14">
        <v>39463.0</v>
      </c>
      <c r="C195" s="16" t="s">
        <v>114</v>
      </c>
      <c r="D195" s="16" t="s">
        <v>115</v>
      </c>
      <c r="E195" s="17">
        <v>39463.5625</v>
      </c>
      <c r="F195" s="17">
        <v>39463.3541666667</v>
      </c>
      <c r="G195" s="14">
        <v>39463.0</v>
      </c>
      <c r="H195" s="16"/>
      <c r="I195" s="16" t="s">
        <v>118</v>
      </c>
    </row>
    <row r="196" ht="15.75" customHeight="1">
      <c r="A196" s="16" t="s">
        <v>113</v>
      </c>
      <c r="B196" s="14">
        <v>39479.0</v>
      </c>
      <c r="C196" s="16" t="s">
        <v>114</v>
      </c>
      <c r="D196" s="16" t="s">
        <v>115</v>
      </c>
      <c r="E196" s="17">
        <v>39479.5625</v>
      </c>
      <c r="F196" s="17">
        <v>39479.3541666667</v>
      </c>
      <c r="G196" s="14">
        <v>39479.0</v>
      </c>
      <c r="H196" s="16"/>
      <c r="I196" s="16" t="s">
        <v>116</v>
      </c>
    </row>
    <row r="197" ht="15.75" customHeight="1">
      <c r="A197" s="16" t="s">
        <v>117</v>
      </c>
      <c r="B197" s="14">
        <v>39498.0</v>
      </c>
      <c r="C197" s="16" t="s">
        <v>114</v>
      </c>
      <c r="D197" s="16" t="s">
        <v>115</v>
      </c>
      <c r="E197" s="17">
        <v>39498.5625</v>
      </c>
      <c r="F197" s="17">
        <v>39498.3541666667</v>
      </c>
      <c r="G197" s="14">
        <v>39498.0</v>
      </c>
      <c r="H197" s="16"/>
      <c r="I197" s="16" t="s">
        <v>118</v>
      </c>
    </row>
    <row r="198" ht="15.75" customHeight="1">
      <c r="A198" s="16" t="s">
        <v>113</v>
      </c>
      <c r="B198" s="14">
        <v>39514.0</v>
      </c>
      <c r="C198" s="16" t="s">
        <v>114</v>
      </c>
      <c r="D198" s="16" t="s">
        <v>115</v>
      </c>
      <c r="E198" s="17">
        <v>39514.5625</v>
      </c>
      <c r="F198" s="17">
        <v>39514.3541666667</v>
      </c>
      <c r="G198" s="14">
        <v>39514.0</v>
      </c>
      <c r="H198" s="16"/>
      <c r="I198" s="16" t="s">
        <v>116</v>
      </c>
    </row>
    <row r="199" ht="15.75" customHeight="1">
      <c r="A199" s="16" t="s">
        <v>117</v>
      </c>
      <c r="B199" s="14">
        <v>39521.0</v>
      </c>
      <c r="C199" s="16" t="s">
        <v>114</v>
      </c>
      <c r="D199" s="16" t="s">
        <v>115</v>
      </c>
      <c r="E199" s="17">
        <v>39521.5208333333</v>
      </c>
      <c r="F199" s="17">
        <v>39521.3541666667</v>
      </c>
      <c r="G199" s="14">
        <v>39521.0</v>
      </c>
      <c r="H199" s="16"/>
      <c r="I199" s="16" t="s">
        <v>118</v>
      </c>
    </row>
    <row r="200" ht="15.75" customHeight="1">
      <c r="A200" s="16" t="s">
        <v>113</v>
      </c>
      <c r="B200" s="14">
        <v>39542.0</v>
      </c>
      <c r="C200" s="16" t="s">
        <v>114</v>
      </c>
      <c r="D200" s="16" t="s">
        <v>115</v>
      </c>
      <c r="E200" s="17">
        <v>39542.5208333333</v>
      </c>
      <c r="F200" s="17">
        <v>39542.3541666667</v>
      </c>
      <c r="G200" s="14">
        <v>39542.0</v>
      </c>
      <c r="H200" s="16"/>
      <c r="I200" s="16" t="s">
        <v>116</v>
      </c>
    </row>
    <row r="201" ht="15.75" customHeight="1">
      <c r="A201" s="16" t="s">
        <v>117</v>
      </c>
      <c r="B201" s="14">
        <v>39554.0</v>
      </c>
      <c r="C201" s="16" t="s">
        <v>114</v>
      </c>
      <c r="D201" s="16" t="s">
        <v>115</v>
      </c>
      <c r="E201" s="17">
        <v>39554.5208333333</v>
      </c>
      <c r="F201" s="17">
        <v>39554.3541666667</v>
      </c>
      <c r="G201" s="14">
        <v>39554.0</v>
      </c>
      <c r="H201" s="16"/>
      <c r="I201" s="16" t="s">
        <v>118</v>
      </c>
    </row>
    <row r="202" ht="15.75" customHeight="1">
      <c r="A202" s="16" t="s">
        <v>113</v>
      </c>
      <c r="B202" s="14">
        <v>39570.0</v>
      </c>
      <c r="C202" s="16" t="s">
        <v>114</v>
      </c>
      <c r="D202" s="16" t="s">
        <v>115</v>
      </c>
      <c r="E202" s="17">
        <v>39570.5208333333</v>
      </c>
      <c r="F202" s="17">
        <v>39570.3541666667</v>
      </c>
      <c r="G202" s="14">
        <v>39570.0</v>
      </c>
      <c r="H202" s="16"/>
      <c r="I202" s="16" t="s">
        <v>116</v>
      </c>
    </row>
    <row r="203" ht="15.75" customHeight="1">
      <c r="A203" s="16" t="s">
        <v>117</v>
      </c>
      <c r="B203" s="14">
        <v>39582.0</v>
      </c>
      <c r="C203" s="16" t="s">
        <v>114</v>
      </c>
      <c r="D203" s="16" t="s">
        <v>115</v>
      </c>
      <c r="E203" s="17">
        <v>39582.5208333333</v>
      </c>
      <c r="F203" s="17">
        <v>39582.3541666667</v>
      </c>
      <c r="G203" s="14">
        <v>39582.0</v>
      </c>
      <c r="H203" s="16"/>
      <c r="I203" s="16" t="s">
        <v>118</v>
      </c>
    </row>
    <row r="204" ht="15.75" customHeight="1">
      <c r="A204" s="16" t="s">
        <v>113</v>
      </c>
      <c r="B204" s="14">
        <v>39605.0</v>
      </c>
      <c r="C204" s="16" t="s">
        <v>114</v>
      </c>
      <c r="D204" s="16" t="s">
        <v>115</v>
      </c>
      <c r="E204" s="17">
        <v>39605.5208333333</v>
      </c>
      <c r="F204" s="17">
        <v>39605.3541666667</v>
      </c>
      <c r="G204" s="14">
        <v>39605.0</v>
      </c>
      <c r="H204" s="16"/>
      <c r="I204" s="16" t="s">
        <v>116</v>
      </c>
    </row>
    <row r="205" ht="15.75" customHeight="1">
      <c r="A205" s="16" t="s">
        <v>117</v>
      </c>
      <c r="B205" s="14">
        <v>39612.0</v>
      </c>
      <c r="C205" s="16" t="s">
        <v>114</v>
      </c>
      <c r="D205" s="16" t="s">
        <v>115</v>
      </c>
      <c r="E205" s="17">
        <v>39612.5208333333</v>
      </c>
      <c r="F205" s="17">
        <v>39612.3541666667</v>
      </c>
      <c r="G205" s="14">
        <v>39612.0</v>
      </c>
      <c r="H205" s="16"/>
      <c r="I205" s="16" t="s">
        <v>118</v>
      </c>
    </row>
    <row r="206" ht="15.75" customHeight="1">
      <c r="A206" s="16" t="s">
        <v>113</v>
      </c>
      <c r="B206" s="14">
        <v>39632.0</v>
      </c>
      <c r="C206" s="16" t="s">
        <v>114</v>
      </c>
      <c r="D206" s="16" t="s">
        <v>115</v>
      </c>
      <c r="E206" s="17">
        <v>39632.5208333333</v>
      </c>
      <c r="F206" s="17">
        <v>39632.3541666667</v>
      </c>
      <c r="G206" s="14">
        <v>39632.0</v>
      </c>
      <c r="H206" s="16"/>
      <c r="I206" s="16" t="s">
        <v>116</v>
      </c>
    </row>
    <row r="207" ht="15.75" customHeight="1">
      <c r="A207" s="16" t="s">
        <v>117</v>
      </c>
      <c r="B207" s="14">
        <v>39645.0</v>
      </c>
      <c r="C207" s="16" t="s">
        <v>114</v>
      </c>
      <c r="D207" s="16" t="s">
        <v>115</v>
      </c>
      <c r="E207" s="17">
        <v>39645.5208333333</v>
      </c>
      <c r="F207" s="17">
        <v>39645.3541666667</v>
      </c>
      <c r="G207" s="14">
        <v>39645.0</v>
      </c>
      <c r="H207" s="16"/>
      <c r="I207" s="16" t="s">
        <v>118</v>
      </c>
    </row>
    <row r="208" ht="15.75" customHeight="1">
      <c r="A208" s="16" t="s">
        <v>113</v>
      </c>
      <c r="B208" s="14">
        <v>39661.0</v>
      </c>
      <c r="C208" s="16" t="s">
        <v>114</v>
      </c>
      <c r="D208" s="16" t="s">
        <v>115</v>
      </c>
      <c r="E208" s="17">
        <v>39661.5208333333</v>
      </c>
      <c r="F208" s="17">
        <v>39661.3541666667</v>
      </c>
      <c r="G208" s="14">
        <v>39661.0</v>
      </c>
      <c r="H208" s="16"/>
      <c r="I208" s="16" t="s">
        <v>116</v>
      </c>
    </row>
    <row r="209" ht="15.75" customHeight="1">
      <c r="A209" s="16" t="s">
        <v>117</v>
      </c>
      <c r="B209" s="14">
        <v>39674.0</v>
      </c>
      <c r="C209" s="16" t="s">
        <v>114</v>
      </c>
      <c r="D209" s="16" t="s">
        <v>115</v>
      </c>
      <c r="E209" s="17">
        <v>39674.5208333333</v>
      </c>
      <c r="F209" s="17">
        <v>39674.3541666667</v>
      </c>
      <c r="G209" s="14">
        <v>39674.0</v>
      </c>
      <c r="H209" s="16"/>
      <c r="I209" s="16" t="s">
        <v>118</v>
      </c>
    </row>
    <row r="210" ht="15.75" customHeight="1">
      <c r="A210" s="16" t="s">
        <v>113</v>
      </c>
      <c r="B210" s="14">
        <v>39696.0</v>
      </c>
      <c r="C210" s="16" t="s">
        <v>114</v>
      </c>
      <c r="D210" s="16" t="s">
        <v>115</v>
      </c>
      <c r="E210" s="17">
        <v>39696.5208333333</v>
      </c>
      <c r="F210" s="17">
        <v>39696.3541666667</v>
      </c>
      <c r="G210" s="14">
        <v>39696.0</v>
      </c>
      <c r="H210" s="16"/>
      <c r="I210" s="16" t="s">
        <v>116</v>
      </c>
    </row>
    <row r="211" ht="15.75" customHeight="1">
      <c r="A211" s="16" t="s">
        <v>117</v>
      </c>
      <c r="B211" s="14">
        <v>39707.0</v>
      </c>
      <c r="C211" s="16" t="s">
        <v>114</v>
      </c>
      <c r="D211" s="16" t="s">
        <v>115</v>
      </c>
      <c r="E211" s="17">
        <v>39707.5208333333</v>
      </c>
      <c r="F211" s="17">
        <v>39707.3541666667</v>
      </c>
      <c r="G211" s="14">
        <v>39707.0</v>
      </c>
      <c r="H211" s="16"/>
      <c r="I211" s="16" t="s">
        <v>118</v>
      </c>
    </row>
    <row r="212" ht="15.75" customHeight="1">
      <c r="A212" s="16" t="s">
        <v>113</v>
      </c>
      <c r="B212" s="14">
        <v>39724.0</v>
      </c>
      <c r="C212" s="16" t="s">
        <v>114</v>
      </c>
      <c r="D212" s="16" t="s">
        <v>115</v>
      </c>
      <c r="E212" s="17">
        <v>39724.5208333333</v>
      </c>
      <c r="F212" s="17">
        <v>39724.3541666667</v>
      </c>
      <c r="G212" s="14">
        <v>39724.0</v>
      </c>
      <c r="H212" s="16"/>
      <c r="I212" s="16" t="s">
        <v>116</v>
      </c>
    </row>
    <row r="213" ht="15.75" customHeight="1">
      <c r="A213" s="16" t="s">
        <v>117</v>
      </c>
      <c r="B213" s="14">
        <v>39737.0</v>
      </c>
      <c r="C213" s="16" t="s">
        <v>114</v>
      </c>
      <c r="D213" s="16" t="s">
        <v>115</v>
      </c>
      <c r="E213" s="17">
        <v>39737.5208333333</v>
      </c>
      <c r="F213" s="17">
        <v>39737.3541666667</v>
      </c>
      <c r="G213" s="14">
        <v>39737.0</v>
      </c>
      <c r="H213" s="16"/>
      <c r="I213" s="16" t="s">
        <v>118</v>
      </c>
    </row>
    <row r="214" ht="15.75" customHeight="1">
      <c r="A214" s="16" t="s">
        <v>113</v>
      </c>
      <c r="B214" s="14">
        <v>39759.0</v>
      </c>
      <c r="C214" s="16" t="s">
        <v>114</v>
      </c>
      <c r="D214" s="16" t="s">
        <v>115</v>
      </c>
      <c r="E214" s="17">
        <v>39759.5625</v>
      </c>
      <c r="F214" s="17">
        <v>39759.3541666667</v>
      </c>
      <c r="G214" s="14">
        <v>39759.0</v>
      </c>
      <c r="H214" s="16"/>
      <c r="I214" s="16" t="s">
        <v>116</v>
      </c>
    </row>
    <row r="215" ht="15.75" customHeight="1">
      <c r="A215" s="16" t="s">
        <v>117</v>
      </c>
      <c r="B215" s="14">
        <v>39771.0</v>
      </c>
      <c r="C215" s="16" t="s">
        <v>114</v>
      </c>
      <c r="D215" s="16" t="s">
        <v>115</v>
      </c>
      <c r="E215" s="17">
        <v>39771.5625</v>
      </c>
      <c r="F215" s="17">
        <v>39771.3541666667</v>
      </c>
      <c r="G215" s="14">
        <v>39771.0</v>
      </c>
      <c r="H215" s="16"/>
      <c r="I215" s="16" t="s">
        <v>118</v>
      </c>
    </row>
    <row r="216" ht="15.75" customHeight="1">
      <c r="A216" s="16" t="s">
        <v>113</v>
      </c>
      <c r="B216" s="14">
        <v>39787.0</v>
      </c>
      <c r="C216" s="16" t="s">
        <v>114</v>
      </c>
      <c r="D216" s="16" t="s">
        <v>115</v>
      </c>
      <c r="E216" s="17">
        <v>39787.5625</v>
      </c>
      <c r="F216" s="17">
        <v>39787.3541666667</v>
      </c>
      <c r="G216" s="14">
        <v>39787.0</v>
      </c>
      <c r="H216" s="16"/>
      <c r="I216" s="16" t="s">
        <v>116</v>
      </c>
    </row>
    <row r="217" ht="15.75" customHeight="1">
      <c r="A217" s="16" t="s">
        <v>117</v>
      </c>
      <c r="B217" s="14">
        <v>39798.0</v>
      </c>
      <c r="C217" s="16" t="s">
        <v>114</v>
      </c>
      <c r="D217" s="16" t="s">
        <v>115</v>
      </c>
      <c r="E217" s="17">
        <v>39798.5625</v>
      </c>
      <c r="F217" s="17">
        <v>39798.3541666667</v>
      </c>
      <c r="G217" s="14">
        <v>39798.0</v>
      </c>
      <c r="H217" s="16"/>
      <c r="I217" s="16" t="s">
        <v>118</v>
      </c>
    </row>
    <row r="218" ht="15.75" customHeight="1">
      <c r="A218" s="16" t="s">
        <v>113</v>
      </c>
      <c r="B218" s="14">
        <v>39822.0</v>
      </c>
      <c r="C218" s="16" t="s">
        <v>114</v>
      </c>
      <c r="D218" s="16" t="s">
        <v>115</v>
      </c>
      <c r="E218" s="17">
        <v>39822.5625</v>
      </c>
      <c r="F218" s="17">
        <v>39822.3541666667</v>
      </c>
      <c r="G218" s="14">
        <v>39822.0</v>
      </c>
      <c r="H218" s="16"/>
      <c r="I218" s="16" t="s">
        <v>116</v>
      </c>
    </row>
    <row r="219" ht="15.75" customHeight="1">
      <c r="A219" s="16" t="s">
        <v>117</v>
      </c>
      <c r="B219" s="14">
        <v>39829.0</v>
      </c>
      <c r="C219" s="16" t="s">
        <v>114</v>
      </c>
      <c r="D219" s="16" t="s">
        <v>115</v>
      </c>
      <c r="E219" s="17">
        <v>39829.5625</v>
      </c>
      <c r="F219" s="17">
        <v>39829.3541666667</v>
      </c>
      <c r="G219" s="14">
        <v>39829.0</v>
      </c>
      <c r="H219" s="16"/>
      <c r="I219" s="16" t="s">
        <v>118</v>
      </c>
    </row>
    <row r="220" ht="15.75" customHeight="1">
      <c r="A220" s="16" t="s">
        <v>113</v>
      </c>
      <c r="B220" s="14">
        <v>39850.0</v>
      </c>
      <c r="C220" s="16" t="s">
        <v>114</v>
      </c>
      <c r="D220" s="16" t="s">
        <v>115</v>
      </c>
      <c r="E220" s="17">
        <v>39850.5625</v>
      </c>
      <c r="F220" s="17">
        <v>39850.3541666667</v>
      </c>
      <c r="G220" s="14">
        <v>39850.0</v>
      </c>
      <c r="H220" s="16"/>
      <c r="I220" s="16" t="s">
        <v>116</v>
      </c>
    </row>
    <row r="221" ht="15.75" customHeight="1">
      <c r="A221" s="16" t="s">
        <v>117</v>
      </c>
      <c r="B221" s="14">
        <v>39864.0</v>
      </c>
      <c r="C221" s="16" t="s">
        <v>114</v>
      </c>
      <c r="D221" s="16" t="s">
        <v>115</v>
      </c>
      <c r="E221" s="17">
        <v>39864.5625</v>
      </c>
      <c r="F221" s="17">
        <v>39864.3541666667</v>
      </c>
      <c r="G221" s="14">
        <v>39864.0</v>
      </c>
      <c r="H221" s="16"/>
      <c r="I221" s="16" t="s">
        <v>118</v>
      </c>
    </row>
    <row r="222" ht="15.75" customHeight="1">
      <c r="A222" s="16" t="s">
        <v>113</v>
      </c>
      <c r="B222" s="14">
        <v>39878.0</v>
      </c>
      <c r="C222" s="16" t="s">
        <v>114</v>
      </c>
      <c r="D222" s="16" t="s">
        <v>115</v>
      </c>
      <c r="E222" s="17">
        <v>39878.5625</v>
      </c>
      <c r="F222" s="17">
        <v>39878.3541666667</v>
      </c>
      <c r="G222" s="14">
        <v>39878.0</v>
      </c>
      <c r="H222" s="16"/>
      <c r="I222" s="16" t="s">
        <v>116</v>
      </c>
    </row>
    <row r="223" ht="15.75" customHeight="1">
      <c r="A223" s="16" t="s">
        <v>117</v>
      </c>
      <c r="B223" s="14">
        <v>39890.0</v>
      </c>
      <c r="C223" s="16" t="s">
        <v>114</v>
      </c>
      <c r="D223" s="16" t="s">
        <v>115</v>
      </c>
      <c r="E223" s="17">
        <v>39890.5208333333</v>
      </c>
      <c r="F223" s="17">
        <v>39890.3541666667</v>
      </c>
      <c r="G223" s="14">
        <v>39890.0</v>
      </c>
      <c r="H223" s="16"/>
      <c r="I223" s="16" t="s">
        <v>118</v>
      </c>
    </row>
    <row r="224" ht="15.75" customHeight="1">
      <c r="A224" s="16" t="s">
        <v>113</v>
      </c>
      <c r="B224" s="14">
        <v>39906.0</v>
      </c>
      <c r="C224" s="16" t="s">
        <v>114</v>
      </c>
      <c r="D224" s="16" t="s">
        <v>115</v>
      </c>
      <c r="E224" s="17">
        <v>39906.5208333333</v>
      </c>
      <c r="F224" s="17">
        <v>39906.3541666667</v>
      </c>
      <c r="G224" s="14">
        <v>39906.0</v>
      </c>
      <c r="H224" s="16"/>
      <c r="I224" s="16" t="s">
        <v>116</v>
      </c>
    </row>
    <row r="225" ht="15.75" customHeight="1">
      <c r="A225" s="16" t="s">
        <v>117</v>
      </c>
      <c r="B225" s="14">
        <v>39918.0</v>
      </c>
      <c r="C225" s="16" t="s">
        <v>114</v>
      </c>
      <c r="D225" s="16" t="s">
        <v>115</v>
      </c>
      <c r="E225" s="17">
        <v>39918.5208333333</v>
      </c>
      <c r="F225" s="17">
        <v>39918.3541666667</v>
      </c>
      <c r="G225" s="14">
        <v>39918.0</v>
      </c>
      <c r="H225" s="16"/>
      <c r="I225" s="16" t="s">
        <v>118</v>
      </c>
    </row>
    <row r="226" ht="15.75" customHeight="1">
      <c r="A226" s="16" t="s">
        <v>113</v>
      </c>
      <c r="B226" s="14">
        <v>39941.0</v>
      </c>
      <c r="C226" s="16" t="s">
        <v>114</v>
      </c>
      <c r="D226" s="16" t="s">
        <v>115</v>
      </c>
      <c r="E226" s="17">
        <v>39941.5208333333</v>
      </c>
      <c r="F226" s="17">
        <v>39941.3541666667</v>
      </c>
      <c r="G226" s="14">
        <v>39941.0</v>
      </c>
      <c r="H226" s="16"/>
      <c r="I226" s="16" t="s">
        <v>116</v>
      </c>
    </row>
    <row r="227" ht="15.75" customHeight="1">
      <c r="A227" s="16" t="s">
        <v>117</v>
      </c>
      <c r="B227" s="14">
        <v>39948.0</v>
      </c>
      <c r="C227" s="16" t="s">
        <v>114</v>
      </c>
      <c r="D227" s="16" t="s">
        <v>115</v>
      </c>
      <c r="E227" s="17">
        <v>39948.5208333333</v>
      </c>
      <c r="F227" s="17">
        <v>39948.3541666667</v>
      </c>
      <c r="G227" s="14">
        <v>39948.0</v>
      </c>
      <c r="H227" s="16"/>
      <c r="I227" s="16" t="s">
        <v>118</v>
      </c>
    </row>
    <row r="228" ht="15.75" customHeight="1">
      <c r="A228" s="16" t="s">
        <v>113</v>
      </c>
      <c r="B228" s="14">
        <v>39969.0</v>
      </c>
      <c r="C228" s="16" t="s">
        <v>114</v>
      </c>
      <c r="D228" s="16" t="s">
        <v>115</v>
      </c>
      <c r="E228" s="17">
        <v>39969.5208333333</v>
      </c>
      <c r="F228" s="17">
        <v>39969.3541666667</v>
      </c>
      <c r="G228" s="14">
        <v>39969.0</v>
      </c>
      <c r="H228" s="16"/>
      <c r="I228" s="16" t="s">
        <v>116</v>
      </c>
    </row>
    <row r="229" ht="15.75" customHeight="1">
      <c r="A229" s="16" t="s">
        <v>117</v>
      </c>
      <c r="B229" s="14">
        <v>39981.0</v>
      </c>
      <c r="C229" s="16" t="s">
        <v>114</v>
      </c>
      <c r="D229" s="16" t="s">
        <v>115</v>
      </c>
      <c r="E229" s="17">
        <v>39981.5208333333</v>
      </c>
      <c r="F229" s="17">
        <v>39981.3541666667</v>
      </c>
      <c r="G229" s="14">
        <v>39981.0</v>
      </c>
      <c r="H229" s="16"/>
      <c r="I229" s="16" t="s">
        <v>118</v>
      </c>
    </row>
    <row r="230" ht="15.75" customHeight="1">
      <c r="A230" s="16" t="s">
        <v>113</v>
      </c>
      <c r="B230" s="14">
        <v>39996.0</v>
      </c>
      <c r="C230" s="16" t="s">
        <v>114</v>
      </c>
      <c r="D230" s="16" t="s">
        <v>115</v>
      </c>
      <c r="E230" s="17">
        <v>39996.5208333333</v>
      </c>
      <c r="F230" s="17">
        <v>39996.3541666667</v>
      </c>
      <c r="G230" s="14">
        <v>39996.0</v>
      </c>
      <c r="H230" s="16"/>
      <c r="I230" s="16" t="s">
        <v>116</v>
      </c>
    </row>
    <row r="231" ht="15.75" customHeight="1">
      <c r="A231" s="16" t="s">
        <v>117</v>
      </c>
      <c r="B231" s="14">
        <v>40009.0</v>
      </c>
      <c r="C231" s="16" t="s">
        <v>114</v>
      </c>
      <c r="D231" s="16" t="s">
        <v>115</v>
      </c>
      <c r="E231" s="17">
        <v>40009.5208333333</v>
      </c>
      <c r="F231" s="17">
        <v>40009.3541666667</v>
      </c>
      <c r="G231" s="14">
        <v>40009.0</v>
      </c>
      <c r="H231" s="16"/>
      <c r="I231" s="16" t="s">
        <v>118</v>
      </c>
    </row>
    <row r="232" ht="15.75" customHeight="1">
      <c r="A232" s="16" t="s">
        <v>113</v>
      </c>
      <c r="B232" s="14">
        <v>40032.0</v>
      </c>
      <c r="C232" s="16" t="s">
        <v>114</v>
      </c>
      <c r="D232" s="16" t="s">
        <v>115</v>
      </c>
      <c r="E232" s="17">
        <v>40032.5208333333</v>
      </c>
      <c r="F232" s="17">
        <v>40032.3541666667</v>
      </c>
      <c r="G232" s="14">
        <v>40032.0</v>
      </c>
      <c r="H232" s="16"/>
      <c r="I232" s="16" t="s">
        <v>116</v>
      </c>
    </row>
    <row r="233" ht="15.75" customHeight="1">
      <c r="A233" s="16" t="s">
        <v>117</v>
      </c>
      <c r="B233" s="14">
        <v>40039.0</v>
      </c>
      <c r="C233" s="16" t="s">
        <v>114</v>
      </c>
      <c r="D233" s="16" t="s">
        <v>115</v>
      </c>
      <c r="E233" s="17">
        <v>40039.5208333333</v>
      </c>
      <c r="F233" s="17">
        <v>40039.3541666667</v>
      </c>
      <c r="G233" s="14">
        <v>40039.0</v>
      </c>
      <c r="H233" s="16"/>
      <c r="I233" s="16" t="s">
        <v>118</v>
      </c>
    </row>
    <row r="234" ht="15.75" customHeight="1">
      <c r="A234" s="16" t="s">
        <v>113</v>
      </c>
      <c r="B234" s="14">
        <v>40060.0</v>
      </c>
      <c r="C234" s="16" t="s">
        <v>114</v>
      </c>
      <c r="D234" s="16" t="s">
        <v>115</v>
      </c>
      <c r="E234" s="17">
        <v>40060.5208333333</v>
      </c>
      <c r="F234" s="17">
        <v>40060.3541666667</v>
      </c>
      <c r="G234" s="14">
        <v>40060.0</v>
      </c>
      <c r="H234" s="16"/>
      <c r="I234" s="16" t="s">
        <v>116</v>
      </c>
    </row>
    <row r="235" ht="15.75" customHeight="1">
      <c r="A235" s="16" t="s">
        <v>117</v>
      </c>
      <c r="B235" s="14">
        <v>40072.0</v>
      </c>
      <c r="C235" s="16" t="s">
        <v>114</v>
      </c>
      <c r="D235" s="16" t="s">
        <v>115</v>
      </c>
      <c r="E235" s="17">
        <v>40072.5208333333</v>
      </c>
      <c r="F235" s="17">
        <v>40072.3541666667</v>
      </c>
      <c r="G235" s="14">
        <v>40072.0</v>
      </c>
      <c r="H235" s="16"/>
      <c r="I235" s="16" t="s">
        <v>118</v>
      </c>
    </row>
    <row r="236" ht="15.75" customHeight="1">
      <c r="A236" s="16" t="s">
        <v>113</v>
      </c>
      <c r="B236" s="14">
        <v>40088.0</v>
      </c>
      <c r="C236" s="16" t="s">
        <v>114</v>
      </c>
      <c r="D236" s="16" t="s">
        <v>115</v>
      </c>
      <c r="E236" s="17">
        <v>40088.5208333333</v>
      </c>
      <c r="F236" s="17">
        <v>40088.3541666667</v>
      </c>
      <c r="G236" s="14">
        <v>40088.0</v>
      </c>
      <c r="H236" s="16"/>
      <c r="I236" s="16" t="s">
        <v>116</v>
      </c>
    </row>
    <row r="237" ht="15.75" customHeight="1">
      <c r="A237" s="16" t="s">
        <v>117</v>
      </c>
      <c r="B237" s="14">
        <v>40101.0</v>
      </c>
      <c r="C237" s="16" t="s">
        <v>114</v>
      </c>
      <c r="D237" s="16" t="s">
        <v>115</v>
      </c>
      <c r="E237" s="17">
        <v>40101.5208333333</v>
      </c>
      <c r="F237" s="17">
        <v>40101.3541666667</v>
      </c>
      <c r="G237" s="14">
        <v>40101.0</v>
      </c>
      <c r="H237" s="16"/>
      <c r="I237" s="16" t="s">
        <v>118</v>
      </c>
    </row>
    <row r="238" ht="15.75" customHeight="1">
      <c r="A238" s="16" t="s">
        <v>113</v>
      </c>
      <c r="B238" s="14">
        <v>40123.0</v>
      </c>
      <c r="C238" s="16" t="s">
        <v>114</v>
      </c>
      <c r="D238" s="16" t="s">
        <v>115</v>
      </c>
      <c r="E238" s="17">
        <v>40123.5625</v>
      </c>
      <c r="F238" s="17">
        <v>40123.3541666667</v>
      </c>
      <c r="G238" s="14">
        <v>40123.0</v>
      </c>
      <c r="H238" s="16"/>
      <c r="I238" s="16" t="s">
        <v>116</v>
      </c>
    </row>
    <row r="239" ht="15.75" customHeight="1">
      <c r="A239" s="16" t="s">
        <v>117</v>
      </c>
      <c r="B239" s="14">
        <v>40135.0</v>
      </c>
      <c r="C239" s="16" t="s">
        <v>114</v>
      </c>
      <c r="D239" s="16" t="s">
        <v>115</v>
      </c>
      <c r="E239" s="17">
        <v>40135.5625</v>
      </c>
      <c r="F239" s="17">
        <v>40135.3541666667</v>
      </c>
      <c r="G239" s="14">
        <v>40135.0</v>
      </c>
      <c r="H239" s="16"/>
      <c r="I239" s="16" t="s">
        <v>118</v>
      </c>
    </row>
    <row r="240" ht="15.75" customHeight="1">
      <c r="A240" s="16" t="s">
        <v>113</v>
      </c>
      <c r="B240" s="14">
        <v>40151.0</v>
      </c>
      <c r="C240" s="16" t="s">
        <v>114</v>
      </c>
      <c r="D240" s="16" t="s">
        <v>115</v>
      </c>
      <c r="E240" s="17">
        <v>40151.5625</v>
      </c>
      <c r="F240" s="17">
        <v>40151.3541666667</v>
      </c>
      <c r="G240" s="14">
        <v>40151.0</v>
      </c>
      <c r="H240" s="16"/>
      <c r="I240" s="16" t="s">
        <v>116</v>
      </c>
    </row>
    <row r="241" ht="15.75" customHeight="1">
      <c r="A241" s="16" t="s">
        <v>117</v>
      </c>
      <c r="B241" s="14">
        <v>40163.0</v>
      </c>
      <c r="C241" s="16" t="s">
        <v>114</v>
      </c>
      <c r="D241" s="16" t="s">
        <v>115</v>
      </c>
      <c r="E241" s="17">
        <v>40163.5625</v>
      </c>
      <c r="F241" s="17">
        <v>40163.3541666667</v>
      </c>
      <c r="G241" s="14">
        <v>40163.0</v>
      </c>
      <c r="H241" s="16"/>
      <c r="I241" s="16" t="s">
        <v>118</v>
      </c>
    </row>
    <row r="242" ht="15.75" customHeight="1">
      <c r="A242" s="16" t="s">
        <v>113</v>
      </c>
      <c r="B242" s="14">
        <v>40186.0</v>
      </c>
      <c r="C242" s="16" t="s">
        <v>114</v>
      </c>
      <c r="D242" s="16" t="s">
        <v>115</v>
      </c>
      <c r="E242" s="17">
        <v>40186.5625</v>
      </c>
      <c r="F242" s="17">
        <v>40186.3541666667</v>
      </c>
      <c r="G242" s="14">
        <v>40186.0</v>
      </c>
      <c r="H242" s="16"/>
      <c r="I242" s="16" t="s">
        <v>116</v>
      </c>
    </row>
    <row r="243" ht="15.75" customHeight="1">
      <c r="A243" s="16" t="s">
        <v>117</v>
      </c>
      <c r="B243" s="14">
        <v>40193.0</v>
      </c>
      <c r="C243" s="16" t="s">
        <v>114</v>
      </c>
      <c r="D243" s="16" t="s">
        <v>115</v>
      </c>
      <c r="E243" s="17">
        <v>40193.5625</v>
      </c>
      <c r="F243" s="17">
        <v>40193.3541666667</v>
      </c>
      <c r="G243" s="14">
        <v>40193.0</v>
      </c>
      <c r="H243" s="16"/>
      <c r="I243" s="16" t="s">
        <v>118</v>
      </c>
    </row>
    <row r="244" ht="15.75" customHeight="1">
      <c r="A244" s="16" t="s">
        <v>113</v>
      </c>
      <c r="B244" s="14">
        <v>40214.0</v>
      </c>
      <c r="C244" s="16" t="s">
        <v>114</v>
      </c>
      <c r="D244" s="16" t="s">
        <v>115</v>
      </c>
      <c r="E244" s="17">
        <v>40214.5625</v>
      </c>
      <c r="F244" s="17">
        <v>40214.3541666667</v>
      </c>
      <c r="G244" s="14">
        <v>40214.0</v>
      </c>
      <c r="H244" s="16"/>
      <c r="I244" s="16" t="s">
        <v>116</v>
      </c>
    </row>
    <row r="245" ht="15.75" customHeight="1">
      <c r="A245" s="16" t="s">
        <v>117</v>
      </c>
      <c r="B245" s="14">
        <v>40228.0</v>
      </c>
      <c r="C245" s="16" t="s">
        <v>114</v>
      </c>
      <c r="D245" s="16" t="s">
        <v>115</v>
      </c>
      <c r="E245" s="17">
        <v>40228.5625</v>
      </c>
      <c r="F245" s="17">
        <v>40228.3541666667</v>
      </c>
      <c r="G245" s="14">
        <v>40228.0</v>
      </c>
      <c r="H245" s="16"/>
      <c r="I245" s="16" t="s">
        <v>118</v>
      </c>
    </row>
    <row r="246" ht="15.75" customHeight="1">
      <c r="A246" s="16" t="s">
        <v>113</v>
      </c>
      <c r="B246" s="14">
        <v>40242.0</v>
      </c>
      <c r="C246" s="16" t="s">
        <v>114</v>
      </c>
      <c r="D246" s="16" t="s">
        <v>115</v>
      </c>
      <c r="E246" s="17">
        <v>40242.5625</v>
      </c>
      <c r="F246" s="17">
        <v>40242.3541666667</v>
      </c>
      <c r="G246" s="14">
        <v>40242.0</v>
      </c>
      <c r="H246" s="16"/>
      <c r="I246" s="16" t="s">
        <v>116</v>
      </c>
    </row>
    <row r="247" ht="15.75" customHeight="1">
      <c r="A247" s="16" t="s">
        <v>117</v>
      </c>
      <c r="B247" s="14">
        <v>40255.0</v>
      </c>
      <c r="C247" s="16" t="s">
        <v>114</v>
      </c>
      <c r="D247" s="16" t="s">
        <v>115</v>
      </c>
      <c r="E247" s="17">
        <v>40255.5208333333</v>
      </c>
      <c r="F247" s="17">
        <v>40255.3541666667</v>
      </c>
      <c r="G247" s="14">
        <v>40255.0</v>
      </c>
      <c r="H247" s="16"/>
      <c r="I247" s="16" t="s">
        <v>118</v>
      </c>
    </row>
    <row r="248" ht="15.75" customHeight="1">
      <c r="A248" s="16" t="s">
        <v>113</v>
      </c>
      <c r="B248" s="14">
        <v>40270.0</v>
      </c>
      <c r="C248" s="16" t="s">
        <v>114</v>
      </c>
      <c r="D248" s="16" t="s">
        <v>115</v>
      </c>
      <c r="E248" s="17">
        <v>40270.5208333333</v>
      </c>
      <c r="F248" s="17">
        <v>40270.3541666667</v>
      </c>
      <c r="G248" s="14">
        <v>40270.0</v>
      </c>
      <c r="H248" s="16"/>
      <c r="I248" s="16" t="s">
        <v>116</v>
      </c>
    </row>
    <row r="249" ht="15.75" customHeight="1">
      <c r="A249" s="16" t="s">
        <v>117</v>
      </c>
      <c r="B249" s="14">
        <v>40282.0</v>
      </c>
      <c r="C249" s="16" t="s">
        <v>114</v>
      </c>
      <c r="D249" s="16" t="s">
        <v>115</v>
      </c>
      <c r="E249" s="17">
        <v>40282.5208333333</v>
      </c>
      <c r="F249" s="17">
        <v>40282.3541666667</v>
      </c>
      <c r="G249" s="14">
        <v>40282.0</v>
      </c>
      <c r="H249" s="16"/>
      <c r="I249" s="16" t="s">
        <v>118</v>
      </c>
    </row>
    <row r="250" ht="15.75" customHeight="1">
      <c r="A250" s="16" t="s">
        <v>113</v>
      </c>
      <c r="B250" s="14">
        <v>40305.0</v>
      </c>
      <c r="C250" s="16" t="s">
        <v>114</v>
      </c>
      <c r="D250" s="16" t="s">
        <v>115</v>
      </c>
      <c r="E250" s="17">
        <v>40305.5208333333</v>
      </c>
      <c r="F250" s="17">
        <v>40305.3541666667</v>
      </c>
      <c r="G250" s="14">
        <v>40305.0</v>
      </c>
      <c r="H250" s="16"/>
      <c r="I250" s="16" t="s">
        <v>116</v>
      </c>
    </row>
    <row r="251" ht="15.75" customHeight="1">
      <c r="A251" s="16" t="s">
        <v>117</v>
      </c>
      <c r="B251" s="14">
        <v>40317.0</v>
      </c>
      <c r="C251" s="16" t="s">
        <v>114</v>
      </c>
      <c r="D251" s="16" t="s">
        <v>115</v>
      </c>
      <c r="E251" s="17">
        <v>40317.5208333333</v>
      </c>
      <c r="F251" s="17">
        <v>40317.3541666667</v>
      </c>
      <c r="G251" s="14">
        <v>40317.0</v>
      </c>
      <c r="H251" s="16"/>
      <c r="I251" s="16" t="s">
        <v>118</v>
      </c>
    </row>
    <row r="252" ht="15.75" customHeight="1">
      <c r="A252" s="16" t="s">
        <v>113</v>
      </c>
      <c r="B252" s="14">
        <v>40333.0</v>
      </c>
      <c r="C252" s="16" t="s">
        <v>114</v>
      </c>
      <c r="D252" s="16" t="s">
        <v>115</v>
      </c>
      <c r="E252" s="17">
        <v>40333.5208333333</v>
      </c>
      <c r="F252" s="17">
        <v>40333.3541666667</v>
      </c>
      <c r="G252" s="14">
        <v>40333.0</v>
      </c>
      <c r="H252" s="16"/>
      <c r="I252" s="16" t="s">
        <v>116</v>
      </c>
    </row>
    <row r="253" ht="15.75" customHeight="1">
      <c r="A253" s="16" t="s">
        <v>117</v>
      </c>
      <c r="B253" s="14">
        <v>40346.0</v>
      </c>
      <c r="C253" s="16" t="s">
        <v>114</v>
      </c>
      <c r="D253" s="16" t="s">
        <v>115</v>
      </c>
      <c r="E253" s="17">
        <v>40346.5208333333</v>
      </c>
      <c r="F253" s="17">
        <v>40346.3541666667</v>
      </c>
      <c r="G253" s="14">
        <v>40346.0</v>
      </c>
      <c r="H253" s="16"/>
      <c r="I253" s="16" t="s">
        <v>118</v>
      </c>
    </row>
    <row r="254" ht="15.75" customHeight="1">
      <c r="A254" s="16" t="s">
        <v>113</v>
      </c>
      <c r="B254" s="14">
        <v>40361.0</v>
      </c>
      <c r="C254" s="16" t="s">
        <v>114</v>
      </c>
      <c r="D254" s="16" t="s">
        <v>115</v>
      </c>
      <c r="E254" s="17">
        <v>40361.5208333333</v>
      </c>
      <c r="F254" s="17">
        <v>40361.3541666667</v>
      </c>
      <c r="G254" s="14">
        <v>40361.0</v>
      </c>
      <c r="H254" s="16"/>
      <c r="I254" s="16" t="s">
        <v>116</v>
      </c>
    </row>
    <row r="255" ht="15.75" customHeight="1">
      <c r="A255" s="16" t="s">
        <v>117</v>
      </c>
      <c r="B255" s="14">
        <v>40375.0</v>
      </c>
      <c r="C255" s="16" t="s">
        <v>114</v>
      </c>
      <c r="D255" s="16" t="s">
        <v>115</v>
      </c>
      <c r="E255" s="17">
        <v>40375.5208333333</v>
      </c>
      <c r="F255" s="17">
        <v>40375.3541666667</v>
      </c>
      <c r="G255" s="14">
        <v>40375.0</v>
      </c>
      <c r="H255" s="16"/>
      <c r="I255" s="16" t="s">
        <v>118</v>
      </c>
    </row>
    <row r="256" ht="15.75" customHeight="1">
      <c r="A256" s="16" t="s">
        <v>113</v>
      </c>
      <c r="B256" s="14">
        <v>40396.0</v>
      </c>
      <c r="C256" s="16" t="s">
        <v>114</v>
      </c>
      <c r="D256" s="16" t="s">
        <v>115</v>
      </c>
      <c r="E256" s="17">
        <v>40396.5208333333</v>
      </c>
      <c r="F256" s="17">
        <v>40396.3541666667</v>
      </c>
      <c r="G256" s="14">
        <v>40396.0</v>
      </c>
      <c r="H256" s="16"/>
      <c r="I256" s="16" t="s">
        <v>116</v>
      </c>
    </row>
    <row r="257" ht="15.75" customHeight="1">
      <c r="A257" s="16" t="s">
        <v>117</v>
      </c>
      <c r="B257" s="14">
        <v>40403.0</v>
      </c>
      <c r="C257" s="16" t="s">
        <v>114</v>
      </c>
      <c r="D257" s="16" t="s">
        <v>115</v>
      </c>
      <c r="E257" s="17">
        <v>40403.5208333333</v>
      </c>
      <c r="F257" s="17">
        <v>40403.3541666667</v>
      </c>
      <c r="G257" s="14">
        <v>40403.0</v>
      </c>
      <c r="H257" s="16"/>
      <c r="I257" s="16" t="s">
        <v>118</v>
      </c>
    </row>
    <row r="258" ht="15.75" customHeight="1">
      <c r="A258" s="16" t="s">
        <v>113</v>
      </c>
      <c r="B258" s="14">
        <v>40424.0</v>
      </c>
      <c r="C258" s="16" t="s">
        <v>114</v>
      </c>
      <c r="D258" s="16" t="s">
        <v>115</v>
      </c>
      <c r="E258" s="17">
        <v>40424.5208333333</v>
      </c>
      <c r="F258" s="17">
        <v>40424.3541666667</v>
      </c>
      <c r="G258" s="14">
        <v>40424.0</v>
      </c>
      <c r="H258" s="16"/>
      <c r="I258" s="16" t="s">
        <v>116</v>
      </c>
    </row>
    <row r="259" ht="15.75" customHeight="1">
      <c r="A259" s="16" t="s">
        <v>117</v>
      </c>
      <c r="B259" s="14">
        <v>40438.0</v>
      </c>
      <c r="C259" s="16" t="s">
        <v>114</v>
      </c>
      <c r="D259" s="16" t="s">
        <v>115</v>
      </c>
      <c r="E259" s="17">
        <v>40438.5208333333</v>
      </c>
      <c r="F259" s="17">
        <v>40438.3541666667</v>
      </c>
      <c r="G259" s="14">
        <v>40438.0</v>
      </c>
      <c r="H259" s="16"/>
      <c r="I259" s="16" t="s">
        <v>118</v>
      </c>
    </row>
    <row r="260" ht="15.75" customHeight="1">
      <c r="A260" s="16" t="s">
        <v>113</v>
      </c>
      <c r="B260" s="14">
        <v>40459.0</v>
      </c>
      <c r="C260" s="16" t="s">
        <v>114</v>
      </c>
      <c r="D260" s="16" t="s">
        <v>115</v>
      </c>
      <c r="E260" s="17">
        <v>40459.5208333333</v>
      </c>
      <c r="F260" s="17">
        <v>40459.3541666667</v>
      </c>
      <c r="G260" s="14">
        <v>40459.0</v>
      </c>
      <c r="H260" s="16"/>
      <c r="I260" s="16" t="s">
        <v>116</v>
      </c>
    </row>
    <row r="261" ht="15.75" customHeight="1">
      <c r="A261" s="16" t="s">
        <v>117</v>
      </c>
      <c r="B261" s="14">
        <v>40466.0</v>
      </c>
      <c r="C261" s="16" t="s">
        <v>114</v>
      </c>
      <c r="D261" s="16" t="s">
        <v>115</v>
      </c>
      <c r="E261" s="17">
        <v>40466.5208333333</v>
      </c>
      <c r="F261" s="17">
        <v>40466.3541666667</v>
      </c>
      <c r="G261" s="14">
        <v>40466.0</v>
      </c>
      <c r="H261" s="16"/>
      <c r="I261" s="16" t="s">
        <v>118</v>
      </c>
    </row>
    <row r="262" ht="15.75" customHeight="1">
      <c r="A262" s="16" t="s">
        <v>113</v>
      </c>
      <c r="B262" s="14">
        <v>40487.0</v>
      </c>
      <c r="C262" s="16" t="s">
        <v>114</v>
      </c>
      <c r="D262" s="16" t="s">
        <v>115</v>
      </c>
      <c r="E262" s="17">
        <v>40487.5208333333</v>
      </c>
      <c r="F262" s="17">
        <v>40487.3541666667</v>
      </c>
      <c r="G262" s="14">
        <v>40487.0</v>
      </c>
      <c r="H262" s="16"/>
      <c r="I262" s="16" t="s">
        <v>116</v>
      </c>
    </row>
    <row r="263" ht="15.75" customHeight="1">
      <c r="A263" s="16" t="s">
        <v>117</v>
      </c>
      <c r="B263" s="14">
        <v>40499.0</v>
      </c>
      <c r="C263" s="16" t="s">
        <v>114</v>
      </c>
      <c r="D263" s="16" t="s">
        <v>115</v>
      </c>
      <c r="E263" s="17">
        <v>40499.5625</v>
      </c>
      <c r="F263" s="17">
        <v>40499.3541666667</v>
      </c>
      <c r="G263" s="14">
        <v>40499.0</v>
      </c>
      <c r="H263" s="16"/>
      <c r="I263" s="16" t="s">
        <v>118</v>
      </c>
    </row>
    <row r="264" ht="15.75" customHeight="1">
      <c r="A264" s="16" t="s">
        <v>113</v>
      </c>
      <c r="B264" s="14">
        <v>40515.0</v>
      </c>
      <c r="C264" s="16" t="s">
        <v>114</v>
      </c>
      <c r="D264" s="16" t="s">
        <v>115</v>
      </c>
      <c r="E264" s="17">
        <v>40515.5625</v>
      </c>
      <c r="F264" s="17">
        <v>40515.3541666667</v>
      </c>
      <c r="G264" s="14">
        <v>40515.0</v>
      </c>
      <c r="H264" s="16"/>
      <c r="I264" s="16" t="s">
        <v>116</v>
      </c>
    </row>
    <row r="265" ht="15.75" customHeight="1">
      <c r="A265" s="16" t="s">
        <v>117</v>
      </c>
      <c r="B265" s="14">
        <v>40527.0</v>
      </c>
      <c r="C265" s="16" t="s">
        <v>114</v>
      </c>
      <c r="D265" s="16" t="s">
        <v>115</v>
      </c>
      <c r="E265" s="17">
        <v>40527.5625</v>
      </c>
      <c r="F265" s="17">
        <v>40527.3541666667</v>
      </c>
      <c r="G265" s="14">
        <v>40527.0</v>
      </c>
      <c r="H265" s="16"/>
      <c r="I265" s="16" t="s">
        <v>118</v>
      </c>
    </row>
    <row r="266" ht="15.75" customHeight="1">
      <c r="A266" s="16" t="s">
        <v>113</v>
      </c>
      <c r="B266" s="14">
        <v>40550.0</v>
      </c>
      <c r="C266" s="16" t="s">
        <v>114</v>
      </c>
      <c r="D266" s="16" t="s">
        <v>115</v>
      </c>
      <c r="E266" s="17">
        <v>40550.5625</v>
      </c>
      <c r="F266" s="17">
        <v>40550.3541666667</v>
      </c>
      <c r="G266" s="14">
        <v>40550.0</v>
      </c>
      <c r="H266" s="16"/>
      <c r="I266" s="16" t="s">
        <v>116</v>
      </c>
    </row>
    <row r="267" ht="15.75" customHeight="1">
      <c r="A267" s="16" t="s">
        <v>117</v>
      </c>
      <c r="B267" s="14">
        <v>40557.0</v>
      </c>
      <c r="C267" s="16" t="s">
        <v>114</v>
      </c>
      <c r="D267" s="16" t="s">
        <v>115</v>
      </c>
      <c r="E267" s="17">
        <v>40557.5625</v>
      </c>
      <c r="F267" s="17">
        <v>40557.3541666667</v>
      </c>
      <c r="G267" s="14">
        <v>40557.0</v>
      </c>
      <c r="H267" s="16"/>
      <c r="I267" s="16" t="s">
        <v>118</v>
      </c>
    </row>
    <row r="268" ht="15.75" customHeight="1">
      <c r="A268" s="16" t="s">
        <v>113</v>
      </c>
      <c r="B268" s="14">
        <v>40578.0</v>
      </c>
      <c r="C268" s="16" t="s">
        <v>114</v>
      </c>
      <c r="D268" s="16" t="s">
        <v>115</v>
      </c>
      <c r="E268" s="17">
        <v>40578.5625</v>
      </c>
      <c r="F268" s="17">
        <v>40578.3541666667</v>
      </c>
      <c r="G268" s="14">
        <v>40578.0</v>
      </c>
      <c r="H268" s="16"/>
      <c r="I268" s="16" t="s">
        <v>116</v>
      </c>
    </row>
    <row r="269" ht="15.75" customHeight="1">
      <c r="A269" s="16" t="s">
        <v>117</v>
      </c>
      <c r="B269" s="14">
        <v>40591.0</v>
      </c>
      <c r="C269" s="16" t="s">
        <v>114</v>
      </c>
      <c r="D269" s="16" t="s">
        <v>115</v>
      </c>
      <c r="E269" s="17">
        <v>40591.5625</v>
      </c>
      <c r="F269" s="17">
        <v>40591.3541666667</v>
      </c>
      <c r="G269" s="14">
        <v>40591.0</v>
      </c>
      <c r="H269" s="16"/>
      <c r="I269" s="16" t="s">
        <v>118</v>
      </c>
    </row>
    <row r="270" ht="15.75" customHeight="1">
      <c r="A270" s="16" t="s">
        <v>113</v>
      </c>
      <c r="B270" s="14">
        <v>40606.0</v>
      </c>
      <c r="C270" s="16" t="s">
        <v>114</v>
      </c>
      <c r="D270" s="16" t="s">
        <v>115</v>
      </c>
      <c r="E270" s="17">
        <v>40606.5625</v>
      </c>
      <c r="F270" s="17">
        <v>40606.3541666667</v>
      </c>
      <c r="G270" s="14">
        <v>40606.0</v>
      </c>
      <c r="H270" s="16"/>
      <c r="I270" s="16" t="s">
        <v>116</v>
      </c>
    </row>
    <row r="271" ht="15.75" customHeight="1">
      <c r="A271" s="16" t="s">
        <v>117</v>
      </c>
      <c r="B271" s="14">
        <v>40619.0</v>
      </c>
      <c r="C271" s="16" t="s">
        <v>114</v>
      </c>
      <c r="D271" s="16" t="s">
        <v>115</v>
      </c>
      <c r="E271" s="17">
        <v>40619.5208333333</v>
      </c>
      <c r="F271" s="17">
        <v>40619.3541666667</v>
      </c>
      <c r="G271" s="14">
        <v>40619.0</v>
      </c>
      <c r="H271" s="16"/>
      <c r="I271" s="16" t="s">
        <v>118</v>
      </c>
    </row>
    <row r="272" ht="15.75" customHeight="1">
      <c r="A272" s="16" t="s">
        <v>113</v>
      </c>
      <c r="B272" s="14">
        <v>40634.0</v>
      </c>
      <c r="C272" s="16" t="s">
        <v>114</v>
      </c>
      <c r="D272" s="16" t="s">
        <v>115</v>
      </c>
      <c r="E272" s="17">
        <v>40634.5208333333</v>
      </c>
      <c r="F272" s="17">
        <v>40634.3541666667</v>
      </c>
      <c r="G272" s="14">
        <v>40634.0</v>
      </c>
      <c r="H272" s="16"/>
      <c r="I272" s="16" t="s">
        <v>116</v>
      </c>
    </row>
    <row r="273" ht="15.75" customHeight="1">
      <c r="A273" s="16" t="s">
        <v>117</v>
      </c>
      <c r="B273" s="14">
        <v>40648.0</v>
      </c>
      <c r="C273" s="16" t="s">
        <v>114</v>
      </c>
      <c r="D273" s="16" t="s">
        <v>115</v>
      </c>
      <c r="E273" s="17">
        <v>40648.5208333333</v>
      </c>
      <c r="F273" s="17">
        <v>40648.3541666667</v>
      </c>
      <c r="G273" s="14">
        <v>40648.0</v>
      </c>
      <c r="H273" s="16"/>
      <c r="I273" s="16" t="s">
        <v>118</v>
      </c>
    </row>
    <row r="274" ht="15.75" customHeight="1">
      <c r="A274" s="16" t="s">
        <v>113</v>
      </c>
      <c r="B274" s="14">
        <v>40669.0</v>
      </c>
      <c r="C274" s="16" t="s">
        <v>114</v>
      </c>
      <c r="D274" s="16" t="s">
        <v>115</v>
      </c>
      <c r="E274" s="17">
        <v>40669.5208333333</v>
      </c>
      <c r="F274" s="17">
        <v>40669.3541666667</v>
      </c>
      <c r="G274" s="14">
        <v>40669.0</v>
      </c>
      <c r="H274" s="16"/>
      <c r="I274" s="16" t="s">
        <v>116</v>
      </c>
    </row>
    <row r="275" ht="15.75" customHeight="1">
      <c r="A275" s="16" t="s">
        <v>117</v>
      </c>
      <c r="B275" s="14">
        <v>40676.0</v>
      </c>
      <c r="C275" s="16" t="s">
        <v>114</v>
      </c>
      <c r="D275" s="16" t="s">
        <v>115</v>
      </c>
      <c r="E275" s="17">
        <v>40676.5208333333</v>
      </c>
      <c r="F275" s="17">
        <v>40676.3541666667</v>
      </c>
      <c r="G275" s="14">
        <v>40676.0</v>
      </c>
      <c r="H275" s="16"/>
      <c r="I275" s="16" t="s">
        <v>118</v>
      </c>
    </row>
    <row r="276" ht="15.75" customHeight="1">
      <c r="A276" s="16" t="s">
        <v>113</v>
      </c>
      <c r="B276" s="14">
        <v>40697.0</v>
      </c>
      <c r="C276" s="16" t="s">
        <v>114</v>
      </c>
      <c r="D276" s="16" t="s">
        <v>115</v>
      </c>
      <c r="E276" s="17">
        <v>40697.5208333333</v>
      </c>
      <c r="F276" s="17">
        <v>40697.3541666667</v>
      </c>
      <c r="G276" s="14">
        <v>40697.0</v>
      </c>
      <c r="H276" s="16"/>
      <c r="I276" s="16" t="s">
        <v>116</v>
      </c>
    </row>
    <row r="277" ht="15.75" customHeight="1">
      <c r="A277" s="16" t="s">
        <v>117</v>
      </c>
      <c r="B277" s="14">
        <v>40709.0</v>
      </c>
      <c r="C277" s="16" t="s">
        <v>114</v>
      </c>
      <c r="D277" s="16" t="s">
        <v>115</v>
      </c>
      <c r="E277" s="17">
        <v>40709.5208333333</v>
      </c>
      <c r="F277" s="17">
        <v>40709.3541666667</v>
      </c>
      <c r="G277" s="14">
        <v>40709.0</v>
      </c>
      <c r="H277" s="16"/>
      <c r="I277" s="16" t="s">
        <v>118</v>
      </c>
    </row>
    <row r="278" ht="15.75" customHeight="1">
      <c r="A278" s="16" t="s">
        <v>113</v>
      </c>
      <c r="B278" s="14">
        <v>40732.0</v>
      </c>
      <c r="C278" s="16" t="s">
        <v>114</v>
      </c>
      <c r="D278" s="16" t="s">
        <v>115</v>
      </c>
      <c r="E278" s="17">
        <v>40732.5208333333</v>
      </c>
      <c r="F278" s="17">
        <v>40732.3541666667</v>
      </c>
      <c r="G278" s="14">
        <v>40732.0</v>
      </c>
      <c r="H278" s="16"/>
      <c r="I278" s="16" t="s">
        <v>116</v>
      </c>
    </row>
    <row r="279" ht="15.75" customHeight="1">
      <c r="A279" s="16" t="s">
        <v>117</v>
      </c>
      <c r="B279" s="14">
        <v>40739.0</v>
      </c>
      <c r="C279" s="16" t="s">
        <v>114</v>
      </c>
      <c r="D279" s="16" t="s">
        <v>115</v>
      </c>
      <c r="E279" s="17">
        <v>40739.5208333333</v>
      </c>
      <c r="F279" s="17">
        <v>40739.3541666667</v>
      </c>
      <c r="G279" s="14">
        <v>40739.0</v>
      </c>
      <c r="H279" s="16"/>
      <c r="I279" s="16" t="s">
        <v>118</v>
      </c>
    </row>
    <row r="280" ht="15.75" customHeight="1">
      <c r="A280" s="16" t="s">
        <v>113</v>
      </c>
      <c r="B280" s="14">
        <v>40760.0</v>
      </c>
      <c r="C280" s="16" t="s">
        <v>114</v>
      </c>
      <c r="D280" s="16" t="s">
        <v>115</v>
      </c>
      <c r="E280" s="17">
        <v>40760.5208333333</v>
      </c>
      <c r="F280" s="17">
        <v>40760.3541666667</v>
      </c>
      <c r="G280" s="14">
        <v>40760.0</v>
      </c>
      <c r="H280" s="16"/>
      <c r="I280" s="16" t="s">
        <v>116</v>
      </c>
    </row>
    <row r="281" ht="15.75" customHeight="1">
      <c r="A281" s="16" t="s">
        <v>117</v>
      </c>
      <c r="B281" s="14">
        <v>40773.0</v>
      </c>
      <c r="C281" s="16" t="s">
        <v>114</v>
      </c>
      <c r="D281" s="16" t="s">
        <v>115</v>
      </c>
      <c r="E281" s="17">
        <v>40773.5208333333</v>
      </c>
      <c r="F281" s="17">
        <v>40773.3541666667</v>
      </c>
      <c r="G281" s="14">
        <v>40773.0</v>
      </c>
      <c r="H281" s="16"/>
      <c r="I281" s="16" t="s">
        <v>118</v>
      </c>
    </row>
    <row r="282" ht="15.75" customHeight="1">
      <c r="A282" s="16" t="s">
        <v>113</v>
      </c>
      <c r="B282" s="14">
        <v>40788.0</v>
      </c>
      <c r="C282" s="16" t="s">
        <v>114</v>
      </c>
      <c r="D282" s="16" t="s">
        <v>115</v>
      </c>
      <c r="E282" s="17">
        <v>40788.5208333333</v>
      </c>
      <c r="F282" s="17">
        <v>40788.3541666667</v>
      </c>
      <c r="G282" s="14">
        <v>40788.0</v>
      </c>
      <c r="H282" s="16"/>
      <c r="I282" s="16" t="s">
        <v>116</v>
      </c>
    </row>
    <row r="283" ht="15.75" customHeight="1">
      <c r="A283" s="16" t="s">
        <v>117</v>
      </c>
      <c r="B283" s="14">
        <v>40801.0</v>
      </c>
      <c r="C283" s="16" t="s">
        <v>114</v>
      </c>
      <c r="D283" s="16" t="s">
        <v>115</v>
      </c>
      <c r="E283" s="17">
        <v>40801.5208333333</v>
      </c>
      <c r="F283" s="17">
        <v>40801.3541666667</v>
      </c>
      <c r="G283" s="14">
        <v>40801.0</v>
      </c>
      <c r="H283" s="16"/>
      <c r="I283" s="16" t="s">
        <v>118</v>
      </c>
    </row>
    <row r="284" ht="15.75" customHeight="1">
      <c r="A284" s="16" t="s">
        <v>113</v>
      </c>
      <c r="B284" s="14">
        <v>40823.0</v>
      </c>
      <c r="C284" s="16" t="s">
        <v>114</v>
      </c>
      <c r="D284" s="16" t="s">
        <v>115</v>
      </c>
      <c r="E284" s="17">
        <v>40823.5208333333</v>
      </c>
      <c r="F284" s="17">
        <v>40823.3541666667</v>
      </c>
      <c r="G284" s="14">
        <v>40823.0</v>
      </c>
      <c r="H284" s="16"/>
      <c r="I284" s="16" t="s">
        <v>116</v>
      </c>
    </row>
    <row r="285" ht="15.75" customHeight="1">
      <c r="A285" s="16" t="s">
        <v>117</v>
      </c>
      <c r="B285" s="14">
        <v>40835.0</v>
      </c>
      <c r="C285" s="16" t="s">
        <v>114</v>
      </c>
      <c r="D285" s="16" t="s">
        <v>115</v>
      </c>
      <c r="E285" s="17">
        <v>40835.5208333333</v>
      </c>
      <c r="F285" s="17">
        <v>40835.3541666667</v>
      </c>
      <c r="G285" s="14">
        <v>40835.0</v>
      </c>
      <c r="H285" s="16"/>
      <c r="I285" s="16" t="s">
        <v>118</v>
      </c>
    </row>
    <row r="286" ht="15.75" customHeight="1">
      <c r="A286" s="16" t="s">
        <v>113</v>
      </c>
      <c r="B286" s="14">
        <v>40851.0</v>
      </c>
      <c r="C286" s="16" t="s">
        <v>114</v>
      </c>
      <c r="D286" s="16" t="s">
        <v>115</v>
      </c>
      <c r="E286" s="17">
        <v>40851.5208333333</v>
      </c>
      <c r="F286" s="17">
        <v>40851.3541666667</v>
      </c>
      <c r="G286" s="14">
        <v>40851.0</v>
      </c>
      <c r="H286" s="16"/>
      <c r="I286" s="16" t="s">
        <v>116</v>
      </c>
    </row>
    <row r="287" ht="15.75" customHeight="1">
      <c r="A287" s="16" t="s">
        <v>117</v>
      </c>
      <c r="B287" s="14">
        <v>40863.0</v>
      </c>
      <c r="C287" s="16" t="s">
        <v>114</v>
      </c>
      <c r="D287" s="16" t="s">
        <v>115</v>
      </c>
      <c r="E287" s="17">
        <v>40863.5625</v>
      </c>
      <c r="F287" s="17">
        <v>40863.3541666667</v>
      </c>
      <c r="G287" s="14">
        <v>40863.0</v>
      </c>
      <c r="H287" s="16"/>
      <c r="I287" s="16" t="s">
        <v>118</v>
      </c>
    </row>
    <row r="288" ht="15.75" customHeight="1">
      <c r="A288" s="16" t="s">
        <v>113</v>
      </c>
      <c r="B288" s="14">
        <v>40879.0</v>
      </c>
      <c r="C288" s="16" t="s">
        <v>114</v>
      </c>
      <c r="D288" s="16" t="s">
        <v>115</v>
      </c>
      <c r="E288" s="17">
        <v>40879.5625</v>
      </c>
      <c r="F288" s="17">
        <v>40879.3541666667</v>
      </c>
      <c r="G288" s="14">
        <v>40879.0</v>
      </c>
      <c r="H288" s="16"/>
      <c r="I288" s="16" t="s">
        <v>116</v>
      </c>
    </row>
    <row r="289" ht="15.75" customHeight="1">
      <c r="A289" s="16" t="s">
        <v>117</v>
      </c>
      <c r="B289" s="14">
        <v>40893.0</v>
      </c>
      <c r="C289" s="16" t="s">
        <v>114</v>
      </c>
      <c r="D289" s="16" t="s">
        <v>115</v>
      </c>
      <c r="E289" s="17">
        <v>40893.5625</v>
      </c>
      <c r="F289" s="17">
        <v>40893.3541666667</v>
      </c>
      <c r="G289" s="14">
        <v>40893.0</v>
      </c>
      <c r="H289" s="16"/>
      <c r="I289" s="16" t="s">
        <v>118</v>
      </c>
    </row>
    <row r="290" ht="15.75" customHeight="1">
      <c r="A290" s="16" t="s">
        <v>113</v>
      </c>
      <c r="B290" s="14">
        <v>40914.0</v>
      </c>
      <c r="C290" s="16" t="s">
        <v>114</v>
      </c>
      <c r="D290" s="16" t="s">
        <v>115</v>
      </c>
      <c r="E290" s="17">
        <v>40914.5625</v>
      </c>
      <c r="F290" s="17">
        <v>40914.3541666667</v>
      </c>
      <c r="G290" s="14">
        <v>40914.0</v>
      </c>
      <c r="H290" s="16"/>
      <c r="I290" s="16" t="s">
        <v>116</v>
      </c>
    </row>
    <row r="291" ht="15.75" customHeight="1">
      <c r="A291" s="16" t="s">
        <v>117</v>
      </c>
      <c r="B291" s="14">
        <v>40927.0</v>
      </c>
      <c r="C291" s="16" t="s">
        <v>114</v>
      </c>
      <c r="D291" s="16" t="s">
        <v>115</v>
      </c>
      <c r="E291" s="17">
        <v>40927.5625</v>
      </c>
      <c r="F291" s="17">
        <v>40927.3541666667</v>
      </c>
      <c r="G291" s="14">
        <v>40927.0</v>
      </c>
      <c r="H291" s="16"/>
      <c r="I291" s="16" t="s">
        <v>118</v>
      </c>
    </row>
    <row r="292" ht="15.75" customHeight="1">
      <c r="A292" s="16" t="s">
        <v>113</v>
      </c>
      <c r="B292" s="14">
        <v>40942.0</v>
      </c>
      <c r="C292" s="16" t="s">
        <v>114</v>
      </c>
      <c r="D292" s="16" t="s">
        <v>115</v>
      </c>
      <c r="E292" s="17">
        <v>40942.5625</v>
      </c>
      <c r="F292" s="17">
        <v>40942.3541666667</v>
      </c>
      <c r="G292" s="14">
        <v>40942.0</v>
      </c>
      <c r="H292" s="16"/>
      <c r="I292" s="16" t="s">
        <v>116</v>
      </c>
    </row>
    <row r="293" ht="15.75" customHeight="1">
      <c r="A293" s="16" t="s">
        <v>117</v>
      </c>
      <c r="B293" s="14">
        <v>40956.0</v>
      </c>
      <c r="C293" s="16" t="s">
        <v>114</v>
      </c>
      <c r="D293" s="16" t="s">
        <v>115</v>
      </c>
      <c r="E293" s="17">
        <v>40956.5625</v>
      </c>
      <c r="F293" s="17">
        <v>40956.3541666667</v>
      </c>
      <c r="G293" s="14">
        <v>40956.0</v>
      </c>
      <c r="H293" s="16"/>
      <c r="I293" s="16" t="s">
        <v>118</v>
      </c>
    </row>
    <row r="294" ht="15.75" customHeight="1">
      <c r="A294" s="16" t="s">
        <v>113</v>
      </c>
      <c r="B294" s="14">
        <v>40977.0</v>
      </c>
      <c r="C294" s="16" t="s">
        <v>114</v>
      </c>
      <c r="D294" s="16" t="s">
        <v>115</v>
      </c>
      <c r="E294" s="17">
        <v>40977.5625</v>
      </c>
      <c r="F294" s="17">
        <v>40977.3541666667</v>
      </c>
      <c r="G294" s="14">
        <v>40977.0</v>
      </c>
      <c r="H294" s="16"/>
      <c r="I294" s="16" t="s">
        <v>116</v>
      </c>
    </row>
    <row r="295" ht="15.75" customHeight="1">
      <c r="A295" s="16" t="s">
        <v>117</v>
      </c>
      <c r="B295" s="14">
        <v>40984.0</v>
      </c>
      <c r="C295" s="16" t="s">
        <v>114</v>
      </c>
      <c r="D295" s="16" t="s">
        <v>115</v>
      </c>
      <c r="E295" s="17">
        <v>40984.5208333333</v>
      </c>
      <c r="F295" s="17">
        <v>40984.3541666667</v>
      </c>
      <c r="G295" s="14">
        <v>40984.0</v>
      </c>
      <c r="H295" s="16"/>
      <c r="I295" s="16" t="s">
        <v>118</v>
      </c>
    </row>
    <row r="296" ht="15.75" customHeight="1">
      <c r="A296" s="16" t="s">
        <v>113</v>
      </c>
      <c r="B296" s="14">
        <v>41005.0</v>
      </c>
      <c r="C296" s="16" t="s">
        <v>114</v>
      </c>
      <c r="D296" s="16" t="s">
        <v>115</v>
      </c>
      <c r="E296" s="17">
        <v>41005.5208333333</v>
      </c>
      <c r="F296" s="17">
        <v>41005.3541666667</v>
      </c>
      <c r="G296" s="14">
        <v>41005.0</v>
      </c>
      <c r="H296" s="16"/>
      <c r="I296" s="16" t="s">
        <v>116</v>
      </c>
    </row>
    <row r="297" ht="15.75" customHeight="1">
      <c r="A297" s="16" t="s">
        <v>117</v>
      </c>
      <c r="B297" s="14">
        <v>41012.0</v>
      </c>
      <c r="C297" s="16" t="s">
        <v>114</v>
      </c>
      <c r="D297" s="16" t="s">
        <v>115</v>
      </c>
      <c r="E297" s="17">
        <v>41012.5208333333</v>
      </c>
      <c r="F297" s="17">
        <v>41012.3541666667</v>
      </c>
      <c r="G297" s="14">
        <v>41012.0</v>
      </c>
      <c r="H297" s="16"/>
      <c r="I297" s="16" t="s">
        <v>118</v>
      </c>
    </row>
    <row r="298" ht="15.75" customHeight="1">
      <c r="A298" s="16" t="s">
        <v>113</v>
      </c>
      <c r="B298" s="14">
        <v>41033.0</v>
      </c>
      <c r="C298" s="16" t="s">
        <v>114</v>
      </c>
      <c r="D298" s="16" t="s">
        <v>115</v>
      </c>
      <c r="E298" s="17">
        <v>41033.5208333333</v>
      </c>
      <c r="F298" s="17">
        <v>41033.3541666667</v>
      </c>
      <c r="G298" s="14">
        <v>41033.0</v>
      </c>
      <c r="H298" s="16"/>
      <c r="I298" s="16" t="s">
        <v>116</v>
      </c>
    </row>
    <row r="299" ht="15.75" customHeight="1">
      <c r="A299" s="16" t="s">
        <v>117</v>
      </c>
      <c r="B299" s="14">
        <v>41044.0</v>
      </c>
      <c r="C299" s="16" t="s">
        <v>114</v>
      </c>
      <c r="D299" s="16" t="s">
        <v>115</v>
      </c>
      <c r="E299" s="17">
        <v>41044.5208333333</v>
      </c>
      <c r="F299" s="17">
        <v>41044.3541666667</v>
      </c>
      <c r="G299" s="14">
        <v>41044.0</v>
      </c>
      <c r="H299" s="16"/>
      <c r="I299" s="16" t="s">
        <v>118</v>
      </c>
    </row>
    <row r="300" ht="15.75" customHeight="1">
      <c r="A300" s="16" t="s">
        <v>113</v>
      </c>
      <c r="B300" s="14">
        <v>41061.0</v>
      </c>
      <c r="C300" s="16" t="s">
        <v>114</v>
      </c>
      <c r="D300" s="16" t="s">
        <v>115</v>
      </c>
      <c r="E300" s="17">
        <v>41061.5208333333</v>
      </c>
      <c r="F300" s="17">
        <v>41061.3541666667</v>
      </c>
      <c r="G300" s="14">
        <v>41061.0</v>
      </c>
      <c r="H300" s="16"/>
      <c r="I300" s="16" t="s">
        <v>116</v>
      </c>
    </row>
    <row r="301" ht="15.75" customHeight="1">
      <c r="A301" s="16" t="s">
        <v>117</v>
      </c>
      <c r="B301" s="14">
        <v>41074.0</v>
      </c>
      <c r="C301" s="16" t="s">
        <v>114</v>
      </c>
      <c r="D301" s="16" t="s">
        <v>115</v>
      </c>
      <c r="E301" s="17">
        <v>41074.5208333333</v>
      </c>
      <c r="F301" s="17">
        <v>41074.3541666667</v>
      </c>
      <c r="G301" s="14">
        <v>41074.0</v>
      </c>
      <c r="H301" s="16"/>
      <c r="I301" s="16" t="s">
        <v>118</v>
      </c>
    </row>
    <row r="302" ht="15.75" customHeight="1">
      <c r="A302" s="16" t="s">
        <v>113</v>
      </c>
      <c r="B302" s="14">
        <v>41096.0</v>
      </c>
      <c r="C302" s="16" t="s">
        <v>114</v>
      </c>
      <c r="D302" s="16" t="s">
        <v>115</v>
      </c>
      <c r="E302" s="17">
        <v>41096.5208333333</v>
      </c>
      <c r="F302" s="17">
        <v>41096.3541666667</v>
      </c>
      <c r="G302" s="14">
        <v>41096.0</v>
      </c>
      <c r="H302" s="16"/>
      <c r="I302" s="16" t="s">
        <v>116</v>
      </c>
    </row>
    <row r="303" ht="15.75" customHeight="1">
      <c r="A303" s="16" t="s">
        <v>117</v>
      </c>
      <c r="B303" s="14">
        <v>41107.0</v>
      </c>
      <c r="C303" s="16" t="s">
        <v>114</v>
      </c>
      <c r="D303" s="16" t="s">
        <v>115</v>
      </c>
      <c r="E303" s="17">
        <v>41107.5208333333</v>
      </c>
      <c r="F303" s="17">
        <v>41107.3541666667</v>
      </c>
      <c r="G303" s="14">
        <v>41107.0</v>
      </c>
      <c r="H303" s="16"/>
      <c r="I303" s="16" t="s">
        <v>118</v>
      </c>
    </row>
    <row r="304" ht="15.75" customHeight="1">
      <c r="A304" s="16" t="s">
        <v>113</v>
      </c>
      <c r="B304" s="14">
        <v>41124.0</v>
      </c>
      <c r="C304" s="16" t="s">
        <v>114</v>
      </c>
      <c r="D304" s="16" t="s">
        <v>115</v>
      </c>
      <c r="E304" s="17">
        <v>41124.5208333333</v>
      </c>
      <c r="F304" s="17">
        <v>41124.3541666667</v>
      </c>
      <c r="G304" s="14">
        <v>41124.0</v>
      </c>
      <c r="H304" s="16"/>
      <c r="I304" s="16" t="s">
        <v>116</v>
      </c>
    </row>
    <row r="305" ht="15.75" customHeight="1">
      <c r="A305" s="16" t="s">
        <v>117</v>
      </c>
      <c r="B305" s="14">
        <v>41136.0</v>
      </c>
      <c r="C305" s="16" t="s">
        <v>114</v>
      </c>
      <c r="D305" s="16" t="s">
        <v>115</v>
      </c>
      <c r="E305" s="17">
        <v>41136.5208333333</v>
      </c>
      <c r="F305" s="17">
        <v>41136.3541666667</v>
      </c>
      <c r="G305" s="14">
        <v>41136.0</v>
      </c>
      <c r="H305" s="16"/>
      <c r="I305" s="16" t="s">
        <v>118</v>
      </c>
    </row>
    <row r="306" ht="15.75" customHeight="1">
      <c r="A306" s="16" t="s">
        <v>113</v>
      </c>
      <c r="B306" s="14">
        <v>41159.0</v>
      </c>
      <c r="C306" s="16" t="s">
        <v>114</v>
      </c>
      <c r="D306" s="16" t="s">
        <v>115</v>
      </c>
      <c r="E306" s="17">
        <v>41159.5208333333</v>
      </c>
      <c r="F306" s="17">
        <v>41159.3541666667</v>
      </c>
      <c r="G306" s="14">
        <v>41159.0</v>
      </c>
      <c r="H306" s="16"/>
      <c r="I306" s="16" t="s">
        <v>116</v>
      </c>
    </row>
    <row r="307" ht="15.75" customHeight="1">
      <c r="A307" s="16" t="s">
        <v>117</v>
      </c>
      <c r="B307" s="14">
        <v>41166.0</v>
      </c>
      <c r="C307" s="16" t="s">
        <v>114</v>
      </c>
      <c r="D307" s="16" t="s">
        <v>115</v>
      </c>
      <c r="E307" s="17">
        <v>41166.5208333333</v>
      </c>
      <c r="F307" s="17">
        <v>41166.3541666667</v>
      </c>
      <c r="G307" s="14">
        <v>41166.0</v>
      </c>
      <c r="H307" s="16"/>
      <c r="I307" s="16" t="s">
        <v>118</v>
      </c>
    </row>
    <row r="308" ht="15.75" customHeight="1">
      <c r="A308" s="16" t="s">
        <v>113</v>
      </c>
      <c r="B308" s="14">
        <v>41187.0</v>
      </c>
      <c r="C308" s="16" t="s">
        <v>114</v>
      </c>
      <c r="D308" s="16" t="s">
        <v>115</v>
      </c>
      <c r="E308" s="17">
        <v>41187.5208333333</v>
      </c>
      <c r="F308" s="17">
        <v>41187.3541666667</v>
      </c>
      <c r="G308" s="14">
        <v>41187.0</v>
      </c>
      <c r="H308" s="16"/>
      <c r="I308" s="16" t="s">
        <v>116</v>
      </c>
    </row>
    <row r="309" ht="15.75" customHeight="1">
      <c r="A309" s="16" t="s">
        <v>117</v>
      </c>
      <c r="B309" s="14">
        <v>41198.0</v>
      </c>
      <c r="C309" s="16" t="s">
        <v>114</v>
      </c>
      <c r="D309" s="16" t="s">
        <v>115</v>
      </c>
      <c r="E309" s="17">
        <v>41198.5208333333</v>
      </c>
      <c r="F309" s="17">
        <v>41198.3541666667</v>
      </c>
      <c r="G309" s="14">
        <v>41198.0</v>
      </c>
      <c r="H309" s="16"/>
      <c r="I309" s="16" t="s">
        <v>118</v>
      </c>
    </row>
    <row r="310" ht="15.75" customHeight="1">
      <c r="A310" s="16" t="s">
        <v>113</v>
      </c>
      <c r="B310" s="14">
        <v>41215.0</v>
      </c>
      <c r="C310" s="16" t="s">
        <v>114</v>
      </c>
      <c r="D310" s="16" t="s">
        <v>115</v>
      </c>
      <c r="E310" s="17">
        <v>41215.5208333333</v>
      </c>
      <c r="F310" s="17">
        <v>41215.3541666667</v>
      </c>
      <c r="G310" s="14">
        <v>41215.0</v>
      </c>
      <c r="H310" s="16"/>
      <c r="I310" s="16" t="s">
        <v>116</v>
      </c>
    </row>
    <row r="311" ht="15.75" customHeight="1">
      <c r="A311" s="16" t="s">
        <v>117</v>
      </c>
      <c r="B311" s="14">
        <v>41228.0</v>
      </c>
      <c r="C311" s="16" t="s">
        <v>114</v>
      </c>
      <c r="D311" s="16" t="s">
        <v>115</v>
      </c>
      <c r="E311" s="17">
        <v>41228.5625</v>
      </c>
      <c r="F311" s="17">
        <v>41228.3541666667</v>
      </c>
      <c r="G311" s="14">
        <v>41228.0</v>
      </c>
      <c r="H311" s="16"/>
      <c r="I311" s="16" t="s">
        <v>118</v>
      </c>
    </row>
    <row r="312" ht="15.75" customHeight="1">
      <c r="A312" s="16" t="s">
        <v>113</v>
      </c>
      <c r="B312" s="14">
        <v>41250.0</v>
      </c>
      <c r="C312" s="16" t="s">
        <v>114</v>
      </c>
      <c r="D312" s="16" t="s">
        <v>115</v>
      </c>
      <c r="E312" s="17">
        <v>41250.5625</v>
      </c>
      <c r="F312" s="17">
        <v>41250.3541666667</v>
      </c>
      <c r="G312" s="14">
        <v>41250.0</v>
      </c>
      <c r="H312" s="16"/>
      <c r="I312" s="16" t="s">
        <v>116</v>
      </c>
    </row>
    <row r="313" ht="15.75" customHeight="1">
      <c r="A313" s="16" t="s">
        <v>117</v>
      </c>
      <c r="B313" s="14">
        <v>41257.0</v>
      </c>
      <c r="C313" s="16" t="s">
        <v>114</v>
      </c>
      <c r="D313" s="16" t="s">
        <v>115</v>
      </c>
      <c r="E313" s="17">
        <v>41257.5625</v>
      </c>
      <c r="F313" s="17">
        <v>41257.3541666667</v>
      </c>
      <c r="G313" s="14">
        <v>41257.0</v>
      </c>
      <c r="H313" s="16"/>
      <c r="I313" s="16" t="s">
        <v>118</v>
      </c>
    </row>
    <row r="314" ht="15.75" customHeight="1">
      <c r="A314" s="16" t="s">
        <v>113</v>
      </c>
      <c r="B314" s="14">
        <v>41278.0</v>
      </c>
      <c r="C314" s="16" t="s">
        <v>114</v>
      </c>
      <c r="D314" s="16" t="s">
        <v>115</v>
      </c>
      <c r="E314" s="17">
        <v>41278.5625</v>
      </c>
      <c r="F314" s="17">
        <v>41278.3541666667</v>
      </c>
      <c r="G314" s="14">
        <v>41278.0</v>
      </c>
      <c r="H314" s="16"/>
      <c r="I314" s="16" t="s">
        <v>116</v>
      </c>
    </row>
    <row r="315" ht="15.75" customHeight="1">
      <c r="A315" s="16" t="s">
        <v>117</v>
      </c>
      <c r="B315" s="14">
        <v>41290.0</v>
      </c>
      <c r="C315" s="16" t="s">
        <v>114</v>
      </c>
      <c r="D315" s="16" t="s">
        <v>115</v>
      </c>
      <c r="E315" s="17">
        <v>41290.5625</v>
      </c>
      <c r="F315" s="17">
        <v>41290.3541666667</v>
      </c>
      <c r="G315" s="14">
        <v>41290.0</v>
      </c>
      <c r="H315" s="16"/>
      <c r="I315" s="16" t="s">
        <v>118</v>
      </c>
    </row>
    <row r="316" ht="15.75" customHeight="1">
      <c r="A316" s="16" t="s">
        <v>113</v>
      </c>
      <c r="B316" s="14">
        <v>41306.0</v>
      </c>
      <c r="C316" s="16" t="s">
        <v>114</v>
      </c>
      <c r="D316" s="16" t="s">
        <v>115</v>
      </c>
      <c r="E316" s="17">
        <v>41306.5625</v>
      </c>
      <c r="F316" s="17">
        <v>41306.3541666667</v>
      </c>
      <c r="G316" s="14">
        <v>41306.0</v>
      </c>
      <c r="H316" s="16"/>
      <c r="I316" s="16" t="s">
        <v>116</v>
      </c>
    </row>
    <row r="317" ht="15.75" customHeight="1">
      <c r="A317" s="16" t="s">
        <v>117</v>
      </c>
      <c r="B317" s="14">
        <v>41326.0</v>
      </c>
      <c r="C317" s="16" t="s">
        <v>114</v>
      </c>
      <c r="D317" s="16" t="s">
        <v>115</v>
      </c>
      <c r="E317" s="17">
        <v>41326.5625</v>
      </c>
      <c r="F317" s="17">
        <v>41326.3541666667</v>
      </c>
      <c r="G317" s="14">
        <v>41326.0</v>
      </c>
      <c r="H317" s="16"/>
      <c r="I317" s="16" t="s">
        <v>118</v>
      </c>
    </row>
    <row r="318" ht="15.75" customHeight="1">
      <c r="A318" s="16" t="s">
        <v>113</v>
      </c>
      <c r="B318" s="14">
        <v>41341.0</v>
      </c>
      <c r="C318" s="16" t="s">
        <v>114</v>
      </c>
      <c r="D318" s="16" t="s">
        <v>115</v>
      </c>
      <c r="E318" s="17">
        <v>41341.5625</v>
      </c>
      <c r="F318" s="17">
        <v>41341.3541666667</v>
      </c>
      <c r="G318" s="14">
        <v>41341.0</v>
      </c>
      <c r="H318" s="16"/>
      <c r="I318" s="16" t="s">
        <v>116</v>
      </c>
    </row>
    <row r="319" ht="15.75" customHeight="1">
      <c r="A319" s="16" t="s">
        <v>117</v>
      </c>
      <c r="B319" s="14">
        <v>41348.0</v>
      </c>
      <c r="C319" s="16" t="s">
        <v>114</v>
      </c>
      <c r="D319" s="16" t="s">
        <v>115</v>
      </c>
      <c r="E319" s="17">
        <v>41348.5208333333</v>
      </c>
      <c r="F319" s="17">
        <v>41348.3541666667</v>
      </c>
      <c r="G319" s="14">
        <v>41348.0</v>
      </c>
      <c r="H319" s="16"/>
      <c r="I319" s="16" t="s">
        <v>118</v>
      </c>
    </row>
    <row r="320" ht="15.75" customHeight="1">
      <c r="A320" s="16" t="s">
        <v>113</v>
      </c>
      <c r="B320" s="14">
        <v>41369.0</v>
      </c>
      <c r="C320" s="16" t="s">
        <v>114</v>
      </c>
      <c r="D320" s="16" t="s">
        <v>115</v>
      </c>
      <c r="E320" s="17">
        <v>41369.5208333333</v>
      </c>
      <c r="F320" s="17">
        <v>41369.3541666667</v>
      </c>
      <c r="G320" s="14">
        <v>41369.0</v>
      </c>
      <c r="H320" s="16"/>
      <c r="I320" s="16" t="s">
        <v>116</v>
      </c>
    </row>
    <row r="321" ht="15.75" customHeight="1">
      <c r="A321" s="16" t="s">
        <v>117</v>
      </c>
      <c r="B321" s="14">
        <v>41380.0</v>
      </c>
      <c r="C321" s="16" t="s">
        <v>114</v>
      </c>
      <c r="D321" s="16" t="s">
        <v>115</v>
      </c>
      <c r="E321" s="17">
        <v>41380.5208333333</v>
      </c>
      <c r="F321" s="17">
        <v>41380.3541666667</v>
      </c>
      <c r="G321" s="14">
        <v>41380.0</v>
      </c>
      <c r="H321" s="16"/>
      <c r="I321" s="16" t="s">
        <v>118</v>
      </c>
    </row>
    <row r="322" ht="15.75" customHeight="1">
      <c r="A322" s="16" t="s">
        <v>113</v>
      </c>
      <c r="B322" s="14">
        <v>41397.0</v>
      </c>
      <c r="C322" s="16" t="s">
        <v>114</v>
      </c>
      <c r="D322" s="16" t="s">
        <v>115</v>
      </c>
      <c r="E322" s="17">
        <v>41397.5208333333</v>
      </c>
      <c r="F322" s="17">
        <v>41397.3541666667</v>
      </c>
      <c r="G322" s="14">
        <v>41397.0</v>
      </c>
      <c r="H322" s="16"/>
      <c r="I322" s="16" t="s">
        <v>116</v>
      </c>
    </row>
    <row r="323" ht="15.75" customHeight="1">
      <c r="A323" s="16" t="s">
        <v>117</v>
      </c>
      <c r="B323" s="14">
        <v>41410.0</v>
      </c>
      <c r="C323" s="16" t="s">
        <v>114</v>
      </c>
      <c r="D323" s="16" t="s">
        <v>115</v>
      </c>
      <c r="E323" s="17">
        <v>41410.5208333333</v>
      </c>
      <c r="F323" s="17">
        <v>41410.3541666667</v>
      </c>
      <c r="G323" s="14">
        <v>41410.0</v>
      </c>
      <c r="H323" s="16"/>
      <c r="I323" s="16" t="s">
        <v>118</v>
      </c>
    </row>
    <row r="324" ht="15.75" customHeight="1">
      <c r="A324" s="16" t="s">
        <v>113</v>
      </c>
      <c r="B324" s="14">
        <v>41432.0</v>
      </c>
      <c r="C324" s="16" t="s">
        <v>114</v>
      </c>
      <c r="D324" s="16" t="s">
        <v>115</v>
      </c>
      <c r="E324" s="17">
        <v>41432.5208333333</v>
      </c>
      <c r="F324" s="17">
        <v>41432.3541666667</v>
      </c>
      <c r="G324" s="14">
        <v>41432.0</v>
      </c>
      <c r="H324" s="16"/>
      <c r="I324" s="16" t="s">
        <v>116</v>
      </c>
    </row>
    <row r="325" ht="15.75" customHeight="1">
      <c r="A325" s="16" t="s">
        <v>117</v>
      </c>
      <c r="B325" s="14">
        <v>41443.0</v>
      </c>
      <c r="C325" s="16" t="s">
        <v>114</v>
      </c>
      <c r="D325" s="16" t="s">
        <v>115</v>
      </c>
      <c r="E325" s="17">
        <v>41443.5208333333</v>
      </c>
      <c r="F325" s="17">
        <v>41443.3541666667</v>
      </c>
      <c r="G325" s="14">
        <v>41443.0</v>
      </c>
      <c r="H325" s="16"/>
      <c r="I325" s="16" t="s">
        <v>118</v>
      </c>
    </row>
    <row r="326" ht="15.75" customHeight="1">
      <c r="A326" s="16" t="s">
        <v>113</v>
      </c>
      <c r="B326" s="14">
        <v>41460.0</v>
      </c>
      <c r="C326" s="16" t="s">
        <v>114</v>
      </c>
      <c r="D326" s="16" t="s">
        <v>115</v>
      </c>
      <c r="E326" s="17">
        <v>41460.5208333333</v>
      </c>
      <c r="F326" s="17">
        <v>41460.3541666667</v>
      </c>
      <c r="G326" s="14">
        <v>41460.0</v>
      </c>
      <c r="H326" s="16"/>
      <c r="I326" s="16" t="s">
        <v>116</v>
      </c>
    </row>
    <row r="327" ht="15.75" customHeight="1">
      <c r="A327" s="16" t="s">
        <v>117</v>
      </c>
      <c r="B327" s="14">
        <v>41471.0</v>
      </c>
      <c r="C327" s="16" t="s">
        <v>114</v>
      </c>
      <c r="D327" s="16" t="s">
        <v>115</v>
      </c>
      <c r="E327" s="17">
        <v>41471.5208333333</v>
      </c>
      <c r="F327" s="17">
        <v>41471.3541666667</v>
      </c>
      <c r="G327" s="14">
        <v>41471.0</v>
      </c>
      <c r="H327" s="16"/>
      <c r="I327" s="16" t="s">
        <v>118</v>
      </c>
    </row>
    <row r="328" ht="15.75" customHeight="1">
      <c r="A328" s="16" t="s">
        <v>113</v>
      </c>
      <c r="B328" s="14">
        <v>41488.0</v>
      </c>
      <c r="C328" s="16" t="s">
        <v>114</v>
      </c>
      <c r="D328" s="16" t="s">
        <v>115</v>
      </c>
      <c r="E328" s="17">
        <v>41488.5208333333</v>
      </c>
      <c r="F328" s="17">
        <v>41488.3541666667</v>
      </c>
      <c r="G328" s="14">
        <v>41488.0</v>
      </c>
      <c r="H328" s="16"/>
      <c r="I328" s="16" t="s">
        <v>116</v>
      </c>
    </row>
    <row r="329" ht="15.75" customHeight="1">
      <c r="A329" s="16" t="s">
        <v>117</v>
      </c>
      <c r="B329" s="14">
        <v>41501.0</v>
      </c>
      <c r="C329" s="16" t="s">
        <v>114</v>
      </c>
      <c r="D329" s="16" t="s">
        <v>115</v>
      </c>
      <c r="E329" s="17">
        <v>41501.5208333333</v>
      </c>
      <c r="F329" s="17">
        <v>41501.3541666667</v>
      </c>
      <c r="G329" s="14">
        <v>41501.0</v>
      </c>
      <c r="H329" s="16"/>
      <c r="I329" s="16" t="s">
        <v>118</v>
      </c>
    </row>
    <row r="330" ht="15.75" customHeight="1">
      <c r="A330" s="16" t="s">
        <v>113</v>
      </c>
      <c r="B330" s="14">
        <v>41523.0</v>
      </c>
      <c r="C330" s="16" t="s">
        <v>114</v>
      </c>
      <c r="D330" s="16" t="s">
        <v>115</v>
      </c>
      <c r="E330" s="17">
        <v>41523.5208333333</v>
      </c>
      <c r="F330" s="17">
        <v>41523.3541666667</v>
      </c>
      <c r="G330" s="14">
        <v>41523.0</v>
      </c>
      <c r="H330" s="16"/>
      <c r="I330" s="16" t="s">
        <v>116</v>
      </c>
    </row>
    <row r="331" ht="15.75" customHeight="1">
      <c r="A331" s="16" t="s">
        <v>117</v>
      </c>
      <c r="B331" s="14">
        <v>41534.0</v>
      </c>
      <c r="C331" s="16" t="s">
        <v>114</v>
      </c>
      <c r="D331" s="16" t="s">
        <v>115</v>
      </c>
      <c r="E331" s="17">
        <v>41534.5208333333</v>
      </c>
      <c r="F331" s="17">
        <v>41534.3541666667</v>
      </c>
      <c r="G331" s="14">
        <v>41534.0</v>
      </c>
      <c r="H331" s="16"/>
      <c r="I331" s="16" t="s">
        <v>118</v>
      </c>
    </row>
    <row r="332" ht="15.75" customHeight="1">
      <c r="A332" s="16" t="s">
        <v>113</v>
      </c>
      <c r="B332" s="14">
        <v>41569.0</v>
      </c>
      <c r="C332" s="16" t="s">
        <v>114</v>
      </c>
      <c r="D332" s="16" t="s">
        <v>115</v>
      </c>
      <c r="E332" s="17">
        <v>41569.5208333333</v>
      </c>
      <c r="F332" s="17">
        <v>41569.3541666667</v>
      </c>
      <c r="G332" s="14">
        <v>41569.0</v>
      </c>
      <c r="H332" s="16"/>
      <c r="I332" s="16" t="s">
        <v>116</v>
      </c>
    </row>
    <row r="333" ht="15.75" customHeight="1">
      <c r="A333" s="16" t="s">
        <v>117</v>
      </c>
      <c r="B333" s="14">
        <v>41577.0</v>
      </c>
      <c r="C333" s="16" t="s">
        <v>114</v>
      </c>
      <c r="D333" s="16" t="s">
        <v>115</v>
      </c>
      <c r="E333" s="17">
        <v>41577.5208333333</v>
      </c>
      <c r="F333" s="17">
        <v>41577.3541666667</v>
      </c>
      <c r="G333" s="14">
        <v>41577.0</v>
      </c>
      <c r="H333" s="16"/>
      <c r="I333" s="16" t="s">
        <v>118</v>
      </c>
    </row>
    <row r="334" ht="15.75" customHeight="1">
      <c r="A334" s="16" t="s">
        <v>113</v>
      </c>
      <c r="B334" s="14">
        <v>41586.0</v>
      </c>
      <c r="C334" s="16" t="s">
        <v>114</v>
      </c>
      <c r="D334" s="16" t="s">
        <v>115</v>
      </c>
      <c r="E334" s="17">
        <v>41586.5625</v>
      </c>
      <c r="F334" s="17">
        <v>41586.3541666667</v>
      </c>
      <c r="G334" s="14">
        <v>41586.0</v>
      </c>
      <c r="H334" s="16"/>
      <c r="I334" s="16" t="s">
        <v>116</v>
      </c>
    </row>
    <row r="335" ht="15.75" customHeight="1">
      <c r="A335" s="16" t="s">
        <v>117</v>
      </c>
      <c r="B335" s="14">
        <v>41598.0</v>
      </c>
      <c r="C335" s="16" t="s">
        <v>114</v>
      </c>
      <c r="D335" s="16" t="s">
        <v>115</v>
      </c>
      <c r="E335" s="17">
        <v>41598.5625</v>
      </c>
      <c r="F335" s="17">
        <v>41598.3541666667</v>
      </c>
      <c r="G335" s="14">
        <v>41598.0</v>
      </c>
      <c r="H335" s="16"/>
      <c r="I335" s="16" t="s">
        <v>118</v>
      </c>
    </row>
    <row r="336" ht="15.75" customHeight="1">
      <c r="A336" s="16" t="s">
        <v>113</v>
      </c>
      <c r="B336" s="14">
        <v>41614.0</v>
      </c>
      <c r="C336" s="16" t="s">
        <v>114</v>
      </c>
      <c r="D336" s="16" t="s">
        <v>115</v>
      </c>
      <c r="E336" s="17">
        <v>41614.5625</v>
      </c>
      <c r="F336" s="17">
        <v>41614.3541666667</v>
      </c>
      <c r="G336" s="14">
        <v>41614.0</v>
      </c>
      <c r="H336" s="16"/>
      <c r="I336" s="16" t="s">
        <v>116</v>
      </c>
    </row>
    <row r="337" ht="15.75" customHeight="1">
      <c r="A337" s="16" t="s">
        <v>117</v>
      </c>
      <c r="B337" s="14">
        <v>41625.0</v>
      </c>
      <c r="C337" s="16" t="s">
        <v>114</v>
      </c>
      <c r="D337" s="16" t="s">
        <v>115</v>
      </c>
      <c r="E337" s="17">
        <v>41625.5625</v>
      </c>
      <c r="F337" s="17">
        <v>41625.3541666667</v>
      </c>
      <c r="G337" s="14">
        <v>41625.0</v>
      </c>
      <c r="H337" s="16"/>
      <c r="I337" s="16" t="s">
        <v>118</v>
      </c>
    </row>
    <row r="338" ht="15.75" customHeight="1">
      <c r="A338" s="16" t="s">
        <v>113</v>
      </c>
      <c r="B338" s="14">
        <v>41649.0</v>
      </c>
      <c r="C338" s="16" t="s">
        <v>114</v>
      </c>
      <c r="D338" s="16" t="s">
        <v>115</v>
      </c>
      <c r="E338" s="17">
        <v>41649.5625</v>
      </c>
      <c r="F338" s="17">
        <v>41649.3541666667</v>
      </c>
      <c r="G338" s="14">
        <v>41649.0</v>
      </c>
      <c r="H338" s="16"/>
      <c r="I338" s="16" t="s">
        <v>116</v>
      </c>
    </row>
    <row r="339" ht="15.75" customHeight="1">
      <c r="A339" s="16" t="s">
        <v>117</v>
      </c>
      <c r="B339" s="14">
        <v>41655.0</v>
      </c>
      <c r="C339" s="16" t="s">
        <v>114</v>
      </c>
      <c r="D339" s="16" t="s">
        <v>115</v>
      </c>
      <c r="E339" s="17">
        <v>41655.5625</v>
      </c>
      <c r="F339" s="17">
        <v>41655.3541666667</v>
      </c>
      <c r="G339" s="14">
        <v>41655.0</v>
      </c>
      <c r="H339" s="16"/>
      <c r="I339" s="16" t="s">
        <v>118</v>
      </c>
    </row>
    <row r="340" ht="15.75" customHeight="1">
      <c r="A340" s="16" t="s">
        <v>113</v>
      </c>
      <c r="B340" s="14">
        <v>41677.0</v>
      </c>
      <c r="C340" s="16" t="s">
        <v>114</v>
      </c>
      <c r="D340" s="16" t="s">
        <v>115</v>
      </c>
      <c r="E340" s="17">
        <v>41677.5625</v>
      </c>
      <c r="F340" s="17">
        <v>41677.3541666667</v>
      </c>
      <c r="G340" s="14">
        <v>41677.0</v>
      </c>
      <c r="H340" s="16"/>
      <c r="I340" s="16" t="s">
        <v>116</v>
      </c>
    </row>
    <row r="341" ht="15.75" customHeight="1">
      <c r="A341" s="16" t="s">
        <v>117</v>
      </c>
      <c r="B341" s="14">
        <v>41690.0</v>
      </c>
      <c r="C341" s="16" t="s">
        <v>114</v>
      </c>
      <c r="D341" s="16" t="s">
        <v>115</v>
      </c>
      <c r="E341" s="17">
        <v>41690.5625</v>
      </c>
      <c r="F341" s="17">
        <v>41690.3541666667</v>
      </c>
      <c r="G341" s="14">
        <v>41690.0</v>
      </c>
      <c r="H341" s="16"/>
      <c r="I341" s="16" t="s">
        <v>118</v>
      </c>
    </row>
    <row r="342" ht="15.75" customHeight="1">
      <c r="A342" s="16" t="s">
        <v>113</v>
      </c>
      <c r="B342" s="14">
        <v>41705.0</v>
      </c>
      <c r="C342" s="16" t="s">
        <v>114</v>
      </c>
      <c r="D342" s="16" t="s">
        <v>115</v>
      </c>
      <c r="E342" s="17">
        <v>41705.5625</v>
      </c>
      <c r="F342" s="17">
        <v>41705.3541666667</v>
      </c>
      <c r="G342" s="14">
        <v>41705.0</v>
      </c>
      <c r="H342" s="16"/>
      <c r="I342" s="16" t="s">
        <v>116</v>
      </c>
    </row>
    <row r="343" ht="15.75" customHeight="1">
      <c r="A343" s="16" t="s">
        <v>117</v>
      </c>
      <c r="B343" s="14">
        <v>41716.0</v>
      </c>
      <c r="C343" s="16" t="s">
        <v>114</v>
      </c>
      <c r="D343" s="16" t="s">
        <v>115</v>
      </c>
      <c r="E343" s="17">
        <v>41716.5208333333</v>
      </c>
      <c r="F343" s="17">
        <v>41716.3541666667</v>
      </c>
      <c r="G343" s="14">
        <v>41716.0</v>
      </c>
      <c r="H343" s="16"/>
      <c r="I343" s="16" t="s">
        <v>118</v>
      </c>
    </row>
    <row r="344" ht="15.75" customHeight="1">
      <c r="A344" s="16" t="s">
        <v>113</v>
      </c>
      <c r="B344" s="14">
        <v>41733.0</v>
      </c>
      <c r="C344" s="16" t="s">
        <v>114</v>
      </c>
      <c r="D344" s="16" t="s">
        <v>115</v>
      </c>
      <c r="E344" s="17">
        <v>41733.5208333333</v>
      </c>
      <c r="F344" s="17">
        <v>41733.3541666667</v>
      </c>
      <c r="G344" s="14">
        <v>41733.0</v>
      </c>
      <c r="H344" s="16"/>
      <c r="I344" s="16" t="s">
        <v>116</v>
      </c>
    </row>
    <row r="345" ht="15.75" customHeight="1">
      <c r="A345" s="16" t="s">
        <v>117</v>
      </c>
      <c r="B345" s="14">
        <v>41744.0</v>
      </c>
      <c r="C345" s="16" t="s">
        <v>114</v>
      </c>
      <c r="D345" s="16" t="s">
        <v>115</v>
      </c>
      <c r="E345" s="17">
        <v>41744.5208333333</v>
      </c>
      <c r="F345" s="17">
        <v>41744.3541666667</v>
      </c>
      <c r="G345" s="14">
        <v>41744.0</v>
      </c>
      <c r="H345" s="16"/>
      <c r="I345" s="16" t="s">
        <v>118</v>
      </c>
    </row>
    <row r="346" ht="15.75" customHeight="1">
      <c r="A346" s="16" t="s">
        <v>113</v>
      </c>
      <c r="B346" s="14">
        <v>41761.0</v>
      </c>
      <c r="C346" s="16" t="s">
        <v>114</v>
      </c>
      <c r="D346" s="16" t="s">
        <v>115</v>
      </c>
      <c r="E346" s="17">
        <v>41761.5208333333</v>
      </c>
      <c r="F346" s="17">
        <v>41761.3541666667</v>
      </c>
      <c r="G346" s="14">
        <v>41761.0</v>
      </c>
      <c r="H346" s="16"/>
      <c r="I346" s="16" t="s">
        <v>116</v>
      </c>
    </row>
    <row r="347" ht="15.75" customHeight="1">
      <c r="A347" s="16" t="s">
        <v>117</v>
      </c>
      <c r="B347" s="14">
        <v>41774.0</v>
      </c>
      <c r="C347" s="16" t="s">
        <v>114</v>
      </c>
      <c r="D347" s="16" t="s">
        <v>115</v>
      </c>
      <c r="E347" s="17">
        <v>41774.5208333333</v>
      </c>
      <c r="F347" s="17">
        <v>41774.3541666667</v>
      </c>
      <c r="G347" s="14">
        <v>41774.0</v>
      </c>
      <c r="H347" s="16"/>
      <c r="I347" s="16" t="s">
        <v>118</v>
      </c>
    </row>
    <row r="348" ht="15.75" customHeight="1">
      <c r="A348" s="16" t="s">
        <v>113</v>
      </c>
      <c r="B348" s="14">
        <v>41796.0</v>
      </c>
      <c r="C348" s="16" t="s">
        <v>114</v>
      </c>
      <c r="D348" s="16" t="s">
        <v>115</v>
      </c>
      <c r="E348" s="17">
        <v>41796.5208333333</v>
      </c>
      <c r="F348" s="17">
        <v>41796.3541666667</v>
      </c>
      <c r="G348" s="14">
        <v>41796.0</v>
      </c>
      <c r="H348" s="16"/>
      <c r="I348" s="16" t="s">
        <v>116</v>
      </c>
    </row>
    <row r="349" ht="15.75" customHeight="1">
      <c r="A349" s="16" t="s">
        <v>117</v>
      </c>
      <c r="B349" s="14">
        <v>41807.0</v>
      </c>
      <c r="C349" s="16" t="s">
        <v>114</v>
      </c>
      <c r="D349" s="16" t="s">
        <v>115</v>
      </c>
      <c r="E349" s="17">
        <v>41807.5208333333</v>
      </c>
      <c r="F349" s="17">
        <v>41807.3541666667</v>
      </c>
      <c r="G349" s="14">
        <v>41807.0</v>
      </c>
      <c r="H349" s="16"/>
      <c r="I349" s="16" t="s">
        <v>118</v>
      </c>
    </row>
    <row r="350" ht="15.75" customHeight="1">
      <c r="A350" s="16" t="s">
        <v>113</v>
      </c>
      <c r="B350" s="14">
        <v>41823.0</v>
      </c>
      <c r="C350" s="16" t="s">
        <v>114</v>
      </c>
      <c r="D350" s="16" t="s">
        <v>115</v>
      </c>
      <c r="E350" s="17">
        <v>41823.5208333333</v>
      </c>
      <c r="F350" s="17">
        <v>41823.3541666667</v>
      </c>
      <c r="G350" s="14">
        <v>41823.0</v>
      </c>
      <c r="H350" s="16"/>
      <c r="I350" s="16" t="s">
        <v>116</v>
      </c>
    </row>
    <row r="351" ht="15.75" customHeight="1">
      <c r="A351" s="16" t="s">
        <v>117</v>
      </c>
      <c r="B351" s="14">
        <v>41842.0</v>
      </c>
      <c r="C351" s="16" t="s">
        <v>114</v>
      </c>
      <c r="D351" s="16" t="s">
        <v>115</v>
      </c>
      <c r="E351" s="17">
        <v>41842.5208333333</v>
      </c>
      <c r="F351" s="17">
        <v>41842.3541666667</v>
      </c>
      <c r="G351" s="14">
        <v>41842.0</v>
      </c>
      <c r="H351" s="16"/>
      <c r="I351" s="16" t="s">
        <v>118</v>
      </c>
    </row>
    <row r="352" ht="15.75" customHeight="1">
      <c r="A352" s="16" t="s">
        <v>113</v>
      </c>
      <c r="B352" s="14">
        <v>41852.0</v>
      </c>
      <c r="C352" s="16" t="s">
        <v>114</v>
      </c>
      <c r="D352" s="16" t="s">
        <v>115</v>
      </c>
      <c r="E352" s="17">
        <v>41852.5208333333</v>
      </c>
      <c r="F352" s="17">
        <v>41852.3541666667</v>
      </c>
      <c r="G352" s="14">
        <v>41852.0</v>
      </c>
      <c r="H352" s="16"/>
      <c r="I352" s="16" t="s">
        <v>116</v>
      </c>
    </row>
    <row r="353" ht="15.75" customHeight="1">
      <c r="A353" s="16" t="s">
        <v>117</v>
      </c>
      <c r="B353" s="14">
        <v>41870.0</v>
      </c>
      <c r="C353" s="16" t="s">
        <v>114</v>
      </c>
      <c r="D353" s="16" t="s">
        <v>115</v>
      </c>
      <c r="E353" s="17">
        <v>41870.5208333333</v>
      </c>
      <c r="F353" s="17">
        <v>41870.3541666667</v>
      </c>
      <c r="G353" s="14">
        <v>41870.0</v>
      </c>
      <c r="H353" s="16"/>
      <c r="I353" s="16" t="s">
        <v>118</v>
      </c>
    </row>
    <row r="354" ht="15.75" customHeight="1">
      <c r="A354" s="16" t="s">
        <v>113</v>
      </c>
      <c r="B354" s="14">
        <v>41887.0</v>
      </c>
      <c r="C354" s="16" t="s">
        <v>114</v>
      </c>
      <c r="D354" s="16" t="s">
        <v>115</v>
      </c>
      <c r="E354" s="17">
        <v>41887.5208333333</v>
      </c>
      <c r="F354" s="17">
        <v>41887.3541666667</v>
      </c>
      <c r="G354" s="14">
        <v>41887.0</v>
      </c>
      <c r="H354" s="16"/>
      <c r="I354" s="16" t="s">
        <v>116</v>
      </c>
    </row>
    <row r="355" ht="15.75" customHeight="1">
      <c r="A355" s="16" t="s">
        <v>117</v>
      </c>
      <c r="B355" s="14">
        <v>41899.0</v>
      </c>
      <c r="C355" s="16" t="s">
        <v>114</v>
      </c>
      <c r="D355" s="16" t="s">
        <v>115</v>
      </c>
      <c r="E355" s="17">
        <v>41899.5208333333</v>
      </c>
      <c r="F355" s="17">
        <v>41899.3541666667</v>
      </c>
      <c r="G355" s="14">
        <v>41899.0</v>
      </c>
      <c r="H355" s="16"/>
      <c r="I355" s="16" t="s">
        <v>118</v>
      </c>
    </row>
    <row r="356" ht="15.75" customHeight="1">
      <c r="A356" s="16" t="s">
        <v>113</v>
      </c>
      <c r="B356" s="14">
        <v>41915.0</v>
      </c>
      <c r="C356" s="16" t="s">
        <v>114</v>
      </c>
      <c r="D356" s="16" t="s">
        <v>115</v>
      </c>
      <c r="E356" s="17">
        <v>41915.5208333333</v>
      </c>
      <c r="F356" s="17">
        <v>41915.3541666667</v>
      </c>
      <c r="G356" s="14">
        <v>41915.0</v>
      </c>
      <c r="H356" s="16"/>
      <c r="I356" s="16" t="s">
        <v>116</v>
      </c>
    </row>
    <row r="357" ht="15.75" customHeight="1">
      <c r="A357" s="16" t="s">
        <v>117</v>
      </c>
      <c r="B357" s="14">
        <v>41934.0</v>
      </c>
      <c r="C357" s="16" t="s">
        <v>114</v>
      </c>
      <c r="D357" s="16" t="s">
        <v>115</v>
      </c>
      <c r="E357" s="17">
        <v>41934.5208333333</v>
      </c>
      <c r="F357" s="17">
        <v>41934.3541666667</v>
      </c>
      <c r="G357" s="14">
        <v>41934.0</v>
      </c>
      <c r="H357" s="16"/>
      <c r="I357" s="16" t="s">
        <v>118</v>
      </c>
    </row>
    <row r="358" ht="15.75" customHeight="1">
      <c r="A358" s="16" t="s">
        <v>113</v>
      </c>
      <c r="B358" s="14">
        <v>41950.0</v>
      </c>
      <c r="C358" s="16" t="s">
        <v>114</v>
      </c>
      <c r="D358" s="16" t="s">
        <v>115</v>
      </c>
      <c r="E358" s="17">
        <v>41950.5625</v>
      </c>
      <c r="F358" s="17">
        <v>41950.3541666667</v>
      </c>
      <c r="G358" s="14">
        <v>41950.0</v>
      </c>
      <c r="H358" s="16"/>
      <c r="I358" s="16" t="s">
        <v>116</v>
      </c>
    </row>
    <row r="359" ht="15.75" customHeight="1">
      <c r="A359" s="16" t="s">
        <v>117</v>
      </c>
      <c r="B359" s="14">
        <v>41963.0</v>
      </c>
      <c r="C359" s="16" t="s">
        <v>114</v>
      </c>
      <c r="D359" s="16" t="s">
        <v>115</v>
      </c>
      <c r="E359" s="17">
        <v>41963.5625</v>
      </c>
      <c r="F359" s="17">
        <v>41963.3541666667</v>
      </c>
      <c r="G359" s="14">
        <v>41963.0</v>
      </c>
      <c r="H359" s="16"/>
      <c r="I359" s="16" t="s">
        <v>118</v>
      </c>
    </row>
    <row r="360" ht="15.75" customHeight="1">
      <c r="A360" s="16" t="s">
        <v>113</v>
      </c>
      <c r="B360" s="14">
        <v>41978.0</v>
      </c>
      <c r="C360" s="16" t="s">
        <v>114</v>
      </c>
      <c r="D360" s="16" t="s">
        <v>115</v>
      </c>
      <c r="E360" s="17">
        <v>41978.5625</v>
      </c>
      <c r="F360" s="17">
        <v>41978.3541666667</v>
      </c>
      <c r="G360" s="14">
        <v>41978.0</v>
      </c>
      <c r="H360" s="16"/>
      <c r="I360" s="16" t="s">
        <v>116</v>
      </c>
    </row>
    <row r="361" ht="15.75" customHeight="1">
      <c r="A361" s="16" t="s">
        <v>117</v>
      </c>
      <c r="B361" s="14">
        <v>41990.0</v>
      </c>
      <c r="C361" s="16" t="s">
        <v>114</v>
      </c>
      <c r="D361" s="16" t="s">
        <v>115</v>
      </c>
      <c r="E361" s="17">
        <v>41990.5625</v>
      </c>
      <c r="F361" s="17">
        <v>41990.3541666667</v>
      </c>
      <c r="G361" s="14">
        <v>41990.0</v>
      </c>
      <c r="H361" s="16"/>
      <c r="I361" s="16" t="s">
        <v>118</v>
      </c>
    </row>
    <row r="362" ht="15.75" customHeight="1">
      <c r="A362" s="16" t="s">
        <v>113</v>
      </c>
      <c r="B362" s="14">
        <v>42013.0</v>
      </c>
      <c r="C362" s="16" t="s">
        <v>114</v>
      </c>
      <c r="D362" s="16" t="s">
        <v>115</v>
      </c>
      <c r="E362" s="17">
        <v>42013.5625</v>
      </c>
      <c r="F362" s="17">
        <v>42013.3541666667</v>
      </c>
      <c r="G362" s="14">
        <v>42013.0</v>
      </c>
      <c r="H362" s="16"/>
      <c r="I362" s="16" t="s">
        <v>116</v>
      </c>
    </row>
    <row r="363" ht="15.75" customHeight="1">
      <c r="A363" s="16" t="s">
        <v>117</v>
      </c>
      <c r="B363" s="14">
        <v>42020.0</v>
      </c>
      <c r="C363" s="16" t="s">
        <v>114</v>
      </c>
      <c r="D363" s="16" t="s">
        <v>115</v>
      </c>
      <c r="E363" s="17">
        <v>42020.5625</v>
      </c>
      <c r="F363" s="17">
        <v>42020.3541666667</v>
      </c>
      <c r="G363" s="14">
        <v>42020.0</v>
      </c>
      <c r="H363" s="16"/>
      <c r="I363" s="16" t="s">
        <v>118</v>
      </c>
    </row>
    <row r="364" ht="15.75" customHeight="1">
      <c r="A364" s="16" t="s">
        <v>113</v>
      </c>
      <c r="B364" s="14">
        <v>42041.0</v>
      </c>
      <c r="C364" s="16" t="s">
        <v>114</v>
      </c>
      <c r="D364" s="16" t="s">
        <v>115</v>
      </c>
      <c r="E364" s="17">
        <v>42041.5625</v>
      </c>
      <c r="F364" s="17">
        <v>42041.3541666667</v>
      </c>
      <c r="G364" s="14">
        <v>42041.0</v>
      </c>
      <c r="H364" s="16"/>
      <c r="I364" s="16" t="s">
        <v>116</v>
      </c>
    </row>
    <row r="365" ht="15.75" customHeight="1">
      <c r="A365" s="16" t="s">
        <v>117</v>
      </c>
      <c r="B365" s="14">
        <v>42061.0</v>
      </c>
      <c r="C365" s="16" t="s">
        <v>114</v>
      </c>
      <c r="D365" s="16" t="s">
        <v>115</v>
      </c>
      <c r="E365" s="17">
        <v>42061.5625</v>
      </c>
      <c r="F365" s="17">
        <v>42061.3541666667</v>
      </c>
      <c r="G365" s="14">
        <v>42061.0</v>
      </c>
      <c r="H365" s="16"/>
      <c r="I365" s="16" t="s">
        <v>118</v>
      </c>
    </row>
    <row r="366" ht="15.75" customHeight="1">
      <c r="A366" s="16" t="s">
        <v>113</v>
      </c>
      <c r="B366" s="14">
        <v>42069.0</v>
      </c>
      <c r="C366" s="16" t="s">
        <v>114</v>
      </c>
      <c r="D366" s="16" t="s">
        <v>115</v>
      </c>
      <c r="E366" s="17">
        <v>42069.5625</v>
      </c>
      <c r="F366" s="17">
        <v>42069.3541666667</v>
      </c>
      <c r="G366" s="14">
        <v>42069.0</v>
      </c>
      <c r="H366" s="16"/>
      <c r="I366" s="16" t="s">
        <v>116</v>
      </c>
    </row>
    <row r="367" ht="15.75" customHeight="1">
      <c r="A367" s="16" t="s">
        <v>117</v>
      </c>
      <c r="B367" s="14">
        <v>42087.0</v>
      </c>
      <c r="C367" s="16" t="s">
        <v>114</v>
      </c>
      <c r="D367" s="16" t="s">
        <v>115</v>
      </c>
      <c r="E367" s="17">
        <v>42087.5208333333</v>
      </c>
      <c r="F367" s="17">
        <v>42087.3541666667</v>
      </c>
      <c r="G367" s="14">
        <v>42087.0</v>
      </c>
      <c r="H367" s="16"/>
      <c r="I367" s="16" t="s">
        <v>118</v>
      </c>
    </row>
    <row r="368" ht="15.75" customHeight="1">
      <c r="A368" s="16" t="s">
        <v>113</v>
      </c>
      <c r="B368" s="14">
        <v>42097.0</v>
      </c>
      <c r="C368" s="16" t="s">
        <v>114</v>
      </c>
      <c r="D368" s="16" t="s">
        <v>115</v>
      </c>
      <c r="E368" s="17">
        <v>42097.5208333333</v>
      </c>
      <c r="F368" s="17">
        <v>42097.3541666667</v>
      </c>
      <c r="G368" s="14">
        <v>42097.0</v>
      </c>
      <c r="H368" s="16"/>
      <c r="I368" s="16" t="s">
        <v>116</v>
      </c>
    </row>
    <row r="369" ht="15.75" customHeight="1">
      <c r="A369" s="16" t="s">
        <v>117</v>
      </c>
      <c r="B369" s="14">
        <v>42111.0</v>
      </c>
      <c r="C369" s="16" t="s">
        <v>114</v>
      </c>
      <c r="D369" s="16" t="s">
        <v>115</v>
      </c>
      <c r="E369" s="17">
        <v>42111.5208333333</v>
      </c>
      <c r="F369" s="17">
        <v>42111.3541666667</v>
      </c>
      <c r="G369" s="14">
        <v>42111.0</v>
      </c>
      <c r="H369" s="16"/>
      <c r="I369" s="16" t="s">
        <v>118</v>
      </c>
    </row>
    <row r="370" ht="15.75" customHeight="1">
      <c r="A370" s="16" t="s">
        <v>113</v>
      </c>
      <c r="B370" s="14">
        <v>42132.0</v>
      </c>
      <c r="C370" s="16" t="s">
        <v>114</v>
      </c>
      <c r="D370" s="16" t="s">
        <v>115</v>
      </c>
      <c r="E370" s="17">
        <v>42132.5208333333</v>
      </c>
      <c r="F370" s="17">
        <v>42132.3541666667</v>
      </c>
      <c r="G370" s="14">
        <v>42132.0</v>
      </c>
      <c r="H370" s="16"/>
      <c r="I370" s="16" t="s">
        <v>116</v>
      </c>
    </row>
    <row r="371" ht="15.75" customHeight="1">
      <c r="A371" s="16" t="s">
        <v>117</v>
      </c>
      <c r="B371" s="14">
        <v>42146.0</v>
      </c>
      <c r="C371" s="16" t="s">
        <v>114</v>
      </c>
      <c r="D371" s="16" t="s">
        <v>115</v>
      </c>
      <c r="E371" s="17">
        <v>42146.5208333333</v>
      </c>
      <c r="F371" s="17">
        <v>42146.3541666667</v>
      </c>
      <c r="G371" s="14">
        <v>42146.0</v>
      </c>
      <c r="H371" s="16"/>
      <c r="I371" s="16" t="s">
        <v>118</v>
      </c>
    </row>
    <row r="372" ht="15.75" customHeight="1">
      <c r="A372" s="16" t="s">
        <v>113</v>
      </c>
      <c r="B372" s="14">
        <v>42160.0</v>
      </c>
      <c r="C372" s="16" t="s">
        <v>114</v>
      </c>
      <c r="D372" s="16" t="s">
        <v>115</v>
      </c>
      <c r="E372" s="17">
        <v>42160.5208333333</v>
      </c>
      <c r="F372" s="17">
        <v>42160.3541666667</v>
      </c>
      <c r="G372" s="14">
        <v>42160.0</v>
      </c>
      <c r="H372" s="16"/>
      <c r="I372" s="16" t="s">
        <v>116</v>
      </c>
    </row>
    <row r="373" ht="15.75" customHeight="1">
      <c r="A373" s="16" t="s">
        <v>117</v>
      </c>
      <c r="B373" s="14">
        <v>42173.0</v>
      </c>
      <c r="C373" s="16" t="s">
        <v>114</v>
      </c>
      <c r="D373" s="16" t="s">
        <v>115</v>
      </c>
      <c r="E373" s="17">
        <v>42173.5208333333</v>
      </c>
      <c r="F373" s="17">
        <v>42173.3541666667</v>
      </c>
      <c r="G373" s="14">
        <v>42173.0</v>
      </c>
      <c r="H373" s="16"/>
      <c r="I373" s="16" t="s">
        <v>118</v>
      </c>
    </row>
    <row r="374" ht="15.75" customHeight="1">
      <c r="A374" s="16" t="s">
        <v>113</v>
      </c>
      <c r="B374" s="14">
        <v>42187.0</v>
      </c>
      <c r="C374" s="16" t="s">
        <v>114</v>
      </c>
      <c r="D374" s="16" t="s">
        <v>115</v>
      </c>
      <c r="E374" s="17">
        <v>42187.5208333333</v>
      </c>
      <c r="F374" s="17">
        <v>42187.3541666667</v>
      </c>
      <c r="G374" s="14">
        <v>42187.0</v>
      </c>
      <c r="H374" s="16"/>
      <c r="I374" s="16" t="s">
        <v>116</v>
      </c>
    </row>
    <row r="375" ht="15.75" customHeight="1">
      <c r="A375" s="16" t="s">
        <v>117</v>
      </c>
      <c r="B375" s="14">
        <v>42202.0</v>
      </c>
      <c r="C375" s="16" t="s">
        <v>114</v>
      </c>
      <c r="D375" s="16" t="s">
        <v>115</v>
      </c>
      <c r="E375" s="17">
        <v>42202.5208333333</v>
      </c>
      <c r="F375" s="17">
        <v>42202.3541666667</v>
      </c>
      <c r="G375" s="14">
        <v>42202.0</v>
      </c>
      <c r="H375" s="16"/>
      <c r="I375" s="16" t="s">
        <v>118</v>
      </c>
    </row>
    <row r="376" ht="15.75" customHeight="1">
      <c r="A376" s="16" t="s">
        <v>113</v>
      </c>
      <c r="B376" s="14">
        <v>42223.0</v>
      </c>
      <c r="C376" s="16" t="s">
        <v>114</v>
      </c>
      <c r="D376" s="16" t="s">
        <v>115</v>
      </c>
      <c r="E376" s="17">
        <v>42223.5208333333</v>
      </c>
      <c r="F376" s="17">
        <v>42223.3541666667</v>
      </c>
      <c r="G376" s="14">
        <v>42223.0</v>
      </c>
      <c r="H376" s="16"/>
      <c r="I376" s="16" t="s">
        <v>116</v>
      </c>
    </row>
    <row r="377" ht="15.75" customHeight="1">
      <c r="A377" s="16" t="s">
        <v>117</v>
      </c>
      <c r="B377" s="14">
        <v>42235.0</v>
      </c>
      <c r="C377" s="16" t="s">
        <v>114</v>
      </c>
      <c r="D377" s="16" t="s">
        <v>115</v>
      </c>
      <c r="E377" s="17">
        <v>42235.5208333333</v>
      </c>
      <c r="F377" s="17">
        <v>42235.3541666667</v>
      </c>
      <c r="G377" s="14">
        <v>42235.0</v>
      </c>
      <c r="H377" s="16"/>
      <c r="I377" s="16" t="s">
        <v>118</v>
      </c>
    </row>
    <row r="378" ht="15.75" customHeight="1">
      <c r="A378" s="16" t="s">
        <v>113</v>
      </c>
      <c r="B378" s="14">
        <v>42251.0</v>
      </c>
      <c r="C378" s="16" t="s">
        <v>114</v>
      </c>
      <c r="D378" s="16" t="s">
        <v>115</v>
      </c>
      <c r="E378" s="17">
        <v>42251.5208333333</v>
      </c>
      <c r="F378" s="17">
        <v>42251.3541666667</v>
      </c>
      <c r="G378" s="14">
        <v>42251.0</v>
      </c>
      <c r="H378" s="16"/>
      <c r="I378" s="16" t="s">
        <v>116</v>
      </c>
    </row>
    <row r="379" ht="15.75" customHeight="1">
      <c r="A379" s="16" t="s">
        <v>117</v>
      </c>
      <c r="B379" s="14">
        <v>42263.0</v>
      </c>
      <c r="C379" s="16" t="s">
        <v>114</v>
      </c>
      <c r="D379" s="16" t="s">
        <v>115</v>
      </c>
      <c r="E379" s="17">
        <v>42263.5208333333</v>
      </c>
      <c r="F379" s="17">
        <v>42263.3541666667</v>
      </c>
      <c r="G379" s="14">
        <v>42263.0</v>
      </c>
      <c r="H379" s="16"/>
      <c r="I379" s="16" t="s">
        <v>118</v>
      </c>
    </row>
    <row r="380" ht="15.75" customHeight="1">
      <c r="A380" s="16" t="s">
        <v>113</v>
      </c>
      <c r="B380" s="14">
        <v>42279.0</v>
      </c>
      <c r="C380" s="16" t="s">
        <v>114</v>
      </c>
      <c r="D380" s="16" t="s">
        <v>115</v>
      </c>
      <c r="E380" s="17">
        <v>42279.5208333333</v>
      </c>
      <c r="F380" s="17">
        <v>42279.3541666667</v>
      </c>
      <c r="G380" s="14">
        <v>42279.0</v>
      </c>
      <c r="H380" s="16"/>
      <c r="I380" s="16" t="s">
        <v>116</v>
      </c>
    </row>
    <row r="381" ht="15.75" customHeight="1">
      <c r="A381" s="16" t="s">
        <v>117</v>
      </c>
      <c r="B381" s="14">
        <v>42292.0</v>
      </c>
      <c r="C381" s="16" t="s">
        <v>114</v>
      </c>
      <c r="D381" s="16" t="s">
        <v>115</v>
      </c>
      <c r="E381" s="17">
        <v>42292.5208333333</v>
      </c>
      <c r="F381" s="17">
        <v>42292.3541666667</v>
      </c>
      <c r="G381" s="14">
        <v>42292.0</v>
      </c>
      <c r="H381" s="16"/>
      <c r="I381" s="16" t="s">
        <v>118</v>
      </c>
    </row>
    <row r="382" ht="15.75" customHeight="1">
      <c r="A382" s="16" t="s">
        <v>113</v>
      </c>
      <c r="B382" s="14">
        <v>42314.0</v>
      </c>
      <c r="C382" s="16" t="s">
        <v>114</v>
      </c>
      <c r="D382" s="16" t="s">
        <v>115</v>
      </c>
      <c r="E382" s="17">
        <v>42314.5625</v>
      </c>
      <c r="F382" s="17">
        <v>42314.3541666667</v>
      </c>
      <c r="G382" s="14">
        <v>42314.0</v>
      </c>
      <c r="H382" s="16"/>
      <c r="I382" s="16" t="s">
        <v>116</v>
      </c>
    </row>
    <row r="383" ht="15.75" customHeight="1">
      <c r="A383" s="16" t="s">
        <v>117</v>
      </c>
      <c r="B383" s="14">
        <v>42325.0</v>
      </c>
      <c r="C383" s="16" t="s">
        <v>114</v>
      </c>
      <c r="D383" s="16" t="s">
        <v>115</v>
      </c>
      <c r="E383" s="17">
        <v>42325.5625</v>
      </c>
      <c r="F383" s="17">
        <v>42325.3541666667</v>
      </c>
      <c r="G383" s="14">
        <v>42325.0</v>
      </c>
      <c r="H383" s="16"/>
      <c r="I383" s="16" t="s">
        <v>118</v>
      </c>
    </row>
    <row r="384" ht="15.75" customHeight="1">
      <c r="A384" s="16" t="s">
        <v>113</v>
      </c>
      <c r="B384" s="14">
        <v>42342.0</v>
      </c>
      <c r="C384" s="16" t="s">
        <v>114</v>
      </c>
      <c r="D384" s="16" t="s">
        <v>115</v>
      </c>
      <c r="E384" s="17">
        <v>42342.5625</v>
      </c>
      <c r="F384" s="17">
        <v>42342.3541666667</v>
      </c>
      <c r="G384" s="14">
        <v>42342.0</v>
      </c>
      <c r="H384" s="16"/>
      <c r="I384" s="16" t="s">
        <v>116</v>
      </c>
    </row>
    <row r="385" ht="15.75" customHeight="1">
      <c r="A385" s="16" t="s">
        <v>117</v>
      </c>
      <c r="B385" s="14">
        <v>42353.0</v>
      </c>
      <c r="C385" s="16" t="s">
        <v>114</v>
      </c>
      <c r="D385" s="16" t="s">
        <v>115</v>
      </c>
      <c r="E385" s="17">
        <v>42353.5625</v>
      </c>
      <c r="F385" s="17">
        <v>42353.3541666667</v>
      </c>
      <c r="G385" s="14">
        <v>42353.0</v>
      </c>
      <c r="H385" s="16"/>
      <c r="I385" s="16" t="s">
        <v>118</v>
      </c>
    </row>
    <row r="386" ht="15.75" customHeight="1">
      <c r="A386" s="16" t="s">
        <v>113</v>
      </c>
      <c r="B386" s="14">
        <v>42377.0</v>
      </c>
      <c r="C386" s="16" t="s">
        <v>114</v>
      </c>
      <c r="D386" s="16" t="s">
        <v>115</v>
      </c>
      <c r="E386" s="17">
        <v>42377.5625</v>
      </c>
      <c r="F386" s="17">
        <v>42377.3541666667</v>
      </c>
      <c r="G386" s="14">
        <v>42377.0</v>
      </c>
      <c r="H386" s="16"/>
      <c r="I386" s="16" t="s">
        <v>116</v>
      </c>
    </row>
    <row r="387" ht="15.75" customHeight="1">
      <c r="A387" s="16" t="s">
        <v>117</v>
      </c>
      <c r="B387" s="14">
        <v>42389.0</v>
      </c>
      <c r="C387" s="16" t="s">
        <v>114</v>
      </c>
      <c r="D387" s="16" t="s">
        <v>115</v>
      </c>
      <c r="E387" s="17">
        <v>42389.5625</v>
      </c>
      <c r="F387" s="17">
        <v>42389.3541666667</v>
      </c>
      <c r="G387" s="14">
        <v>42389.0</v>
      </c>
      <c r="H387" s="16"/>
      <c r="I387" s="16" t="s">
        <v>118</v>
      </c>
    </row>
    <row r="388" ht="15.75" customHeight="1">
      <c r="A388" s="16" t="s">
        <v>113</v>
      </c>
      <c r="B388" s="14">
        <v>42405.0</v>
      </c>
      <c r="C388" s="16" t="s">
        <v>114</v>
      </c>
      <c r="D388" s="16" t="s">
        <v>115</v>
      </c>
      <c r="E388" s="17">
        <v>42405.5625</v>
      </c>
      <c r="F388" s="17">
        <v>42405.3541666667</v>
      </c>
      <c r="G388" s="14">
        <v>42405.0</v>
      </c>
      <c r="H388" s="16"/>
      <c r="I388" s="16" t="s">
        <v>116</v>
      </c>
    </row>
    <row r="389" ht="15.75" customHeight="1">
      <c r="A389" s="16" t="s">
        <v>117</v>
      </c>
      <c r="B389" s="14">
        <v>42419.0</v>
      </c>
      <c r="C389" s="16" t="s">
        <v>114</v>
      </c>
      <c r="D389" s="16" t="s">
        <v>115</v>
      </c>
      <c r="E389" s="17">
        <v>42419.5625</v>
      </c>
      <c r="F389" s="17">
        <v>42419.3541666667</v>
      </c>
      <c r="G389" s="14">
        <v>42419.0</v>
      </c>
      <c r="H389" s="16"/>
      <c r="I389" s="16" t="s">
        <v>118</v>
      </c>
    </row>
    <row r="390" ht="15.75" customHeight="1">
      <c r="A390" s="16" t="s">
        <v>113</v>
      </c>
      <c r="B390" s="14">
        <v>42433.0</v>
      </c>
      <c r="C390" s="16" t="s">
        <v>114</v>
      </c>
      <c r="D390" s="16" t="s">
        <v>115</v>
      </c>
      <c r="E390" s="17">
        <v>42433.5625</v>
      </c>
      <c r="F390" s="17">
        <v>42433.3541666667</v>
      </c>
      <c r="G390" s="14">
        <v>42433.0</v>
      </c>
      <c r="H390" s="16"/>
      <c r="I390" s="16" t="s">
        <v>116</v>
      </c>
    </row>
    <row r="391" ht="15.75" customHeight="1">
      <c r="A391" s="16" t="s">
        <v>117</v>
      </c>
      <c r="B391" s="14">
        <v>42445.0</v>
      </c>
      <c r="C391" s="16" t="s">
        <v>114</v>
      </c>
      <c r="D391" s="16" t="s">
        <v>115</v>
      </c>
      <c r="E391" s="17">
        <v>42445.5208333333</v>
      </c>
      <c r="F391" s="17">
        <v>42445.3541666667</v>
      </c>
      <c r="G391" s="14">
        <v>42445.0</v>
      </c>
      <c r="H391" s="16"/>
      <c r="I391" s="16" t="s">
        <v>118</v>
      </c>
    </row>
    <row r="392" ht="15.75" customHeight="1">
      <c r="A392" s="16" t="s">
        <v>113</v>
      </c>
      <c r="B392" s="14">
        <v>42461.0</v>
      </c>
      <c r="C392" s="16" t="s">
        <v>114</v>
      </c>
      <c r="D392" s="16" t="s">
        <v>115</v>
      </c>
      <c r="E392" s="17">
        <v>42461.5208333333</v>
      </c>
      <c r="F392" s="17">
        <v>42461.3541666667</v>
      </c>
      <c r="G392" s="14">
        <v>42461.0</v>
      </c>
      <c r="H392" s="16"/>
      <c r="I392" s="16" t="s">
        <v>116</v>
      </c>
    </row>
    <row r="393" ht="15.75" customHeight="1">
      <c r="A393" s="16" t="s">
        <v>117</v>
      </c>
      <c r="B393" s="14">
        <v>42474.0</v>
      </c>
      <c r="C393" s="16" t="s">
        <v>114</v>
      </c>
      <c r="D393" s="16" t="s">
        <v>115</v>
      </c>
      <c r="E393" s="17">
        <v>42474.5208333333</v>
      </c>
      <c r="F393" s="17">
        <v>42474.3541666667</v>
      </c>
      <c r="G393" s="14">
        <v>42474.0</v>
      </c>
      <c r="H393" s="16"/>
      <c r="I393" s="16" t="s">
        <v>118</v>
      </c>
    </row>
    <row r="394" ht="15.75" customHeight="1">
      <c r="A394" s="16" t="s">
        <v>113</v>
      </c>
      <c r="B394" s="14">
        <v>42496.0</v>
      </c>
      <c r="C394" s="16" t="s">
        <v>114</v>
      </c>
      <c r="D394" s="16" t="s">
        <v>115</v>
      </c>
      <c r="E394" s="17">
        <v>42496.5208333333</v>
      </c>
      <c r="F394" s="17">
        <v>42496.3541666667</v>
      </c>
      <c r="G394" s="14">
        <v>42496.0</v>
      </c>
      <c r="H394" s="16"/>
      <c r="I394" s="16" t="s">
        <v>116</v>
      </c>
    </row>
    <row r="395" ht="15.75" customHeight="1">
      <c r="A395" s="16" t="s">
        <v>117</v>
      </c>
      <c r="B395" s="14">
        <v>42507.0</v>
      </c>
      <c r="C395" s="16" t="s">
        <v>114</v>
      </c>
      <c r="D395" s="16" t="s">
        <v>115</v>
      </c>
      <c r="E395" s="17">
        <v>42507.5208333333</v>
      </c>
      <c r="F395" s="17">
        <v>42507.3541666667</v>
      </c>
      <c r="G395" s="14">
        <v>42507.0</v>
      </c>
      <c r="H395" s="16"/>
      <c r="I395" s="16" t="s">
        <v>118</v>
      </c>
    </row>
    <row r="396" ht="15.75" customHeight="1">
      <c r="A396" s="16" t="s">
        <v>113</v>
      </c>
      <c r="B396" s="14">
        <v>42524.0</v>
      </c>
      <c r="C396" s="16" t="s">
        <v>114</v>
      </c>
      <c r="D396" s="16" t="s">
        <v>115</v>
      </c>
      <c r="E396" s="17">
        <v>42524.5208333333</v>
      </c>
      <c r="F396" s="17">
        <v>42524.3541666667</v>
      </c>
      <c r="G396" s="14">
        <v>42524.0</v>
      </c>
      <c r="H396" s="16"/>
      <c r="I396" s="16" t="s">
        <v>116</v>
      </c>
    </row>
    <row r="397" ht="15.75" customHeight="1">
      <c r="A397" s="16" t="s">
        <v>117</v>
      </c>
      <c r="B397" s="14">
        <v>42537.0</v>
      </c>
      <c r="C397" s="16" t="s">
        <v>114</v>
      </c>
      <c r="D397" s="16" t="s">
        <v>115</v>
      </c>
      <c r="E397" s="17">
        <v>42537.5208333333</v>
      </c>
      <c r="F397" s="17">
        <v>42537.3541666667</v>
      </c>
      <c r="G397" s="14">
        <v>42537.0</v>
      </c>
      <c r="H397" s="16"/>
      <c r="I397" s="16" t="s">
        <v>118</v>
      </c>
    </row>
    <row r="398" ht="15.75" customHeight="1">
      <c r="A398" s="16" t="s">
        <v>113</v>
      </c>
      <c r="B398" s="14">
        <v>42559.0</v>
      </c>
      <c r="C398" s="16" t="s">
        <v>114</v>
      </c>
      <c r="D398" s="16" t="s">
        <v>115</v>
      </c>
      <c r="E398" s="17">
        <v>42559.5208333333</v>
      </c>
      <c r="F398" s="17">
        <v>42559.3541666667</v>
      </c>
      <c r="G398" s="14">
        <v>42559.0</v>
      </c>
      <c r="H398" s="16"/>
      <c r="I398" s="16" t="s">
        <v>116</v>
      </c>
    </row>
    <row r="399" ht="15.75" customHeight="1">
      <c r="A399" s="16" t="s">
        <v>117</v>
      </c>
      <c r="B399" s="14">
        <v>42566.0</v>
      </c>
      <c r="C399" s="16" t="s">
        <v>114</v>
      </c>
      <c r="D399" s="16" t="s">
        <v>115</v>
      </c>
      <c r="E399" s="17">
        <v>42566.5208333333</v>
      </c>
      <c r="F399" s="17">
        <v>42566.3541666667</v>
      </c>
      <c r="G399" s="14">
        <v>42566.0</v>
      </c>
      <c r="H399" s="16"/>
      <c r="I399" s="16" t="s">
        <v>118</v>
      </c>
    </row>
    <row r="400" ht="15.75" customHeight="1">
      <c r="A400" s="16" t="s">
        <v>113</v>
      </c>
      <c r="B400" s="14">
        <v>42587.0</v>
      </c>
      <c r="C400" s="16" t="s">
        <v>114</v>
      </c>
      <c r="D400" s="16" t="s">
        <v>115</v>
      </c>
      <c r="E400" s="17">
        <v>42587.5208333333</v>
      </c>
      <c r="F400" s="17">
        <v>42587.3541666667</v>
      </c>
      <c r="G400" s="14">
        <v>42587.0</v>
      </c>
      <c r="H400" s="16"/>
      <c r="I400" s="16" t="s">
        <v>116</v>
      </c>
    </row>
    <row r="401" ht="15.75" customHeight="1">
      <c r="A401" s="16" t="s">
        <v>117</v>
      </c>
      <c r="B401" s="14">
        <v>42598.0</v>
      </c>
      <c r="C401" s="16" t="s">
        <v>114</v>
      </c>
      <c r="D401" s="16" t="s">
        <v>115</v>
      </c>
      <c r="E401" s="17">
        <v>42598.5208333333</v>
      </c>
      <c r="F401" s="17">
        <v>42598.3541666667</v>
      </c>
      <c r="G401" s="14">
        <v>42598.0</v>
      </c>
      <c r="H401" s="16"/>
      <c r="I401" s="16" t="s">
        <v>118</v>
      </c>
    </row>
    <row r="402" ht="15.75" customHeight="1">
      <c r="A402" s="16" t="s">
        <v>113</v>
      </c>
      <c r="B402" s="14">
        <v>42615.0</v>
      </c>
      <c r="C402" s="16" t="s">
        <v>114</v>
      </c>
      <c r="D402" s="16" t="s">
        <v>115</v>
      </c>
      <c r="E402" s="17">
        <v>42615.5208333333</v>
      </c>
      <c r="F402" s="17">
        <v>42615.3541666667</v>
      </c>
      <c r="G402" s="14">
        <v>42615.0</v>
      </c>
      <c r="H402" s="16"/>
      <c r="I402" s="16" t="s">
        <v>116</v>
      </c>
    </row>
    <row r="403" ht="15.75" customHeight="1">
      <c r="A403" s="16" t="s">
        <v>117</v>
      </c>
      <c r="B403" s="14">
        <v>42629.0</v>
      </c>
      <c r="C403" s="16" t="s">
        <v>114</v>
      </c>
      <c r="D403" s="16" t="s">
        <v>115</v>
      </c>
      <c r="E403" s="17">
        <v>42629.5208333333</v>
      </c>
      <c r="F403" s="17">
        <v>42629.3541666667</v>
      </c>
      <c r="G403" s="14">
        <v>42629.0</v>
      </c>
      <c r="H403" s="16"/>
      <c r="I403" s="16" t="s">
        <v>118</v>
      </c>
    </row>
    <row r="404" ht="15.75" customHeight="1">
      <c r="A404" s="16" t="s">
        <v>113</v>
      </c>
      <c r="B404" s="14">
        <v>42650.0</v>
      </c>
      <c r="C404" s="16" t="s">
        <v>114</v>
      </c>
      <c r="D404" s="16" t="s">
        <v>115</v>
      </c>
      <c r="E404" s="17">
        <v>42650.5208333333</v>
      </c>
      <c r="F404" s="17">
        <v>42650.3541666667</v>
      </c>
      <c r="G404" s="14">
        <v>42650.0</v>
      </c>
      <c r="H404" s="16"/>
      <c r="I404" s="16" t="s">
        <v>116</v>
      </c>
    </row>
    <row r="405" ht="15.75" customHeight="1">
      <c r="A405" s="16" t="s">
        <v>117</v>
      </c>
      <c r="B405" s="14">
        <v>42661.0</v>
      </c>
      <c r="C405" s="16" t="s">
        <v>114</v>
      </c>
      <c r="D405" s="16" t="s">
        <v>115</v>
      </c>
      <c r="E405" s="17">
        <v>42661.5208333333</v>
      </c>
      <c r="F405" s="17">
        <v>42661.3541666667</v>
      </c>
      <c r="G405" s="14">
        <v>42661.0</v>
      </c>
      <c r="H405" s="16"/>
      <c r="I405" s="16" t="s">
        <v>118</v>
      </c>
    </row>
    <row r="406" ht="15.75" customHeight="1">
      <c r="A406" s="16" t="s">
        <v>113</v>
      </c>
      <c r="B406" s="14">
        <v>42678.0</v>
      </c>
      <c r="C406" s="16" t="s">
        <v>114</v>
      </c>
      <c r="D406" s="16" t="s">
        <v>115</v>
      </c>
      <c r="E406" s="17">
        <v>42678.5208333333</v>
      </c>
      <c r="F406" s="17">
        <v>42678.3541666667</v>
      </c>
      <c r="G406" s="14">
        <v>42678.0</v>
      </c>
      <c r="H406" s="16"/>
      <c r="I406" s="16" t="s">
        <v>116</v>
      </c>
    </row>
    <row r="407" ht="15.75" customHeight="1">
      <c r="A407" s="16" t="s">
        <v>117</v>
      </c>
      <c r="B407" s="14">
        <v>42691.0</v>
      </c>
      <c r="C407" s="16" t="s">
        <v>114</v>
      </c>
      <c r="D407" s="16" t="s">
        <v>115</v>
      </c>
      <c r="E407" s="17">
        <v>42691.5625</v>
      </c>
      <c r="F407" s="17">
        <v>42691.3541666667</v>
      </c>
      <c r="G407" s="14">
        <v>42691.0</v>
      </c>
      <c r="H407" s="16"/>
      <c r="I407" s="16" t="s">
        <v>118</v>
      </c>
    </row>
    <row r="408" ht="15.75" customHeight="1">
      <c r="A408" s="16" t="s">
        <v>113</v>
      </c>
      <c r="B408" s="14">
        <v>42706.0</v>
      </c>
      <c r="C408" s="16" t="s">
        <v>114</v>
      </c>
      <c r="D408" s="16" t="s">
        <v>115</v>
      </c>
      <c r="E408" s="17">
        <v>42706.5625</v>
      </c>
      <c r="F408" s="17">
        <v>42706.3541666667</v>
      </c>
      <c r="G408" s="14">
        <v>42706.0</v>
      </c>
      <c r="H408" s="16"/>
      <c r="I408" s="16" t="s">
        <v>116</v>
      </c>
    </row>
    <row r="409" ht="15.75" customHeight="1">
      <c r="A409" s="16" t="s">
        <v>117</v>
      </c>
      <c r="B409" s="14">
        <v>42719.0</v>
      </c>
      <c r="C409" s="16" t="s">
        <v>114</v>
      </c>
      <c r="D409" s="16" t="s">
        <v>115</v>
      </c>
      <c r="E409" s="17">
        <v>42719.5625</v>
      </c>
      <c r="F409" s="17">
        <v>42719.3541666667</v>
      </c>
      <c r="G409" s="14">
        <v>42719.0</v>
      </c>
      <c r="H409" s="16"/>
      <c r="I409" s="16" t="s">
        <v>118</v>
      </c>
    </row>
    <row r="410" ht="15.75" customHeight="1">
      <c r="A410" s="16" t="s">
        <v>113</v>
      </c>
      <c r="B410" s="14">
        <v>42741.0</v>
      </c>
      <c r="C410" s="16" t="s">
        <v>114</v>
      </c>
      <c r="D410" s="16" t="s">
        <v>115</v>
      </c>
      <c r="E410" s="17">
        <v>42741.5625</v>
      </c>
      <c r="F410" s="17">
        <v>42741.3541666667</v>
      </c>
      <c r="G410" s="14">
        <v>42741.0</v>
      </c>
      <c r="H410" s="16"/>
      <c r="I410" s="16" t="s">
        <v>116</v>
      </c>
    </row>
    <row r="411" ht="15.75" customHeight="1">
      <c r="A411" s="16" t="s">
        <v>117</v>
      </c>
      <c r="B411" s="14">
        <v>42753.0</v>
      </c>
      <c r="C411" s="16" t="s">
        <v>114</v>
      </c>
      <c r="D411" s="16" t="s">
        <v>115</v>
      </c>
      <c r="E411" s="17">
        <v>42753.5625</v>
      </c>
      <c r="F411" s="17">
        <v>42753.3541666667</v>
      </c>
      <c r="G411" s="14">
        <v>42753.0</v>
      </c>
      <c r="H411" s="16"/>
      <c r="I411" s="16" t="s">
        <v>118</v>
      </c>
    </row>
    <row r="412" ht="15.75" customHeight="1">
      <c r="A412" s="16" t="s">
        <v>113</v>
      </c>
      <c r="B412" s="14">
        <v>42769.0</v>
      </c>
      <c r="C412" s="16" t="s">
        <v>114</v>
      </c>
      <c r="D412" s="16" t="s">
        <v>115</v>
      </c>
      <c r="E412" s="17">
        <v>42769.5625</v>
      </c>
      <c r="F412" s="17">
        <v>42769.3541666667</v>
      </c>
      <c r="G412" s="14">
        <v>42769.0</v>
      </c>
      <c r="H412" s="16"/>
      <c r="I412" s="16" t="s">
        <v>116</v>
      </c>
    </row>
    <row r="413" ht="15.75" customHeight="1">
      <c r="A413" s="16" t="s">
        <v>117</v>
      </c>
      <c r="B413" s="14">
        <v>42781.0</v>
      </c>
      <c r="C413" s="16" t="s">
        <v>114</v>
      </c>
      <c r="D413" s="16" t="s">
        <v>115</v>
      </c>
      <c r="E413" s="17">
        <v>42781.5625</v>
      </c>
      <c r="F413" s="17">
        <v>42781.3541666667</v>
      </c>
      <c r="G413" s="14">
        <v>42781.0</v>
      </c>
      <c r="H413" s="16"/>
      <c r="I413" s="16" t="s">
        <v>118</v>
      </c>
    </row>
    <row r="414" ht="15.75" customHeight="1">
      <c r="A414" s="16" t="s">
        <v>113</v>
      </c>
      <c r="B414" s="14">
        <v>42804.0</v>
      </c>
      <c r="C414" s="16" t="s">
        <v>114</v>
      </c>
      <c r="D414" s="16" t="s">
        <v>115</v>
      </c>
      <c r="E414" s="17">
        <v>42804.5625</v>
      </c>
      <c r="F414" s="17">
        <v>42804.3541666667</v>
      </c>
      <c r="G414" s="14">
        <v>42804.0</v>
      </c>
      <c r="H414" s="16"/>
      <c r="I414" s="16" t="s">
        <v>116</v>
      </c>
    </row>
    <row r="415" ht="15.75" customHeight="1">
      <c r="A415" s="16" t="s">
        <v>117</v>
      </c>
      <c r="B415" s="14">
        <v>42809.0</v>
      </c>
      <c r="C415" s="16" t="s">
        <v>114</v>
      </c>
      <c r="D415" s="16" t="s">
        <v>115</v>
      </c>
      <c r="E415" s="17">
        <v>42809.5208333333</v>
      </c>
      <c r="F415" s="17">
        <v>42809.3541666667</v>
      </c>
      <c r="G415" s="14">
        <v>42809.0</v>
      </c>
      <c r="H415" s="16"/>
      <c r="I415" s="16" t="s">
        <v>118</v>
      </c>
    </row>
    <row r="416" ht="15.75" customHeight="1">
      <c r="A416" s="16" t="s">
        <v>113</v>
      </c>
      <c r="B416" s="14">
        <v>42832.0</v>
      </c>
      <c r="C416" s="16" t="s">
        <v>114</v>
      </c>
      <c r="D416" s="16" t="s">
        <v>115</v>
      </c>
      <c r="E416" s="17">
        <v>42832.5208333333</v>
      </c>
      <c r="F416" s="17">
        <v>42832.3541666667</v>
      </c>
      <c r="G416" s="14">
        <v>42832.0</v>
      </c>
      <c r="H416" s="16"/>
      <c r="I416" s="16" t="s">
        <v>116</v>
      </c>
    </row>
    <row r="417" ht="15.75" customHeight="1">
      <c r="A417" s="16" t="s">
        <v>117</v>
      </c>
      <c r="B417" s="14">
        <v>42839.0</v>
      </c>
      <c r="C417" s="16" t="s">
        <v>114</v>
      </c>
      <c r="D417" s="16" t="s">
        <v>115</v>
      </c>
      <c r="E417" s="17">
        <v>42839.5208333333</v>
      </c>
      <c r="F417" s="17">
        <v>42839.3541666667</v>
      </c>
      <c r="G417" s="14">
        <v>42839.0</v>
      </c>
      <c r="H417" s="16"/>
      <c r="I417" s="16" t="s">
        <v>118</v>
      </c>
    </row>
    <row r="418" ht="15.75" customHeight="1">
      <c r="A418" s="16" t="s">
        <v>113</v>
      </c>
      <c r="B418" s="14">
        <v>42860.0</v>
      </c>
      <c r="C418" s="16" t="s">
        <v>114</v>
      </c>
      <c r="D418" s="16" t="s">
        <v>115</v>
      </c>
      <c r="E418" s="17">
        <v>42860.5208333333</v>
      </c>
      <c r="F418" s="17">
        <v>42860.3541666667</v>
      </c>
      <c r="G418" s="14">
        <v>42860.0</v>
      </c>
      <c r="H418" s="16"/>
      <c r="I418" s="16" t="s">
        <v>116</v>
      </c>
    </row>
    <row r="419" ht="15.75" customHeight="1">
      <c r="A419" s="16" t="s">
        <v>117</v>
      </c>
      <c r="B419" s="14">
        <v>42867.0</v>
      </c>
      <c r="C419" s="16" t="s">
        <v>114</v>
      </c>
      <c r="D419" s="16" t="s">
        <v>115</v>
      </c>
      <c r="E419" s="17">
        <v>42867.5208333333</v>
      </c>
      <c r="F419" s="17">
        <v>42867.3541666667</v>
      </c>
      <c r="G419" s="14">
        <v>42867.0</v>
      </c>
      <c r="H419" s="16"/>
      <c r="I419" s="16" t="s">
        <v>118</v>
      </c>
    </row>
    <row r="420" ht="15.75" customHeight="1">
      <c r="A420" s="16" t="s">
        <v>113</v>
      </c>
      <c r="B420" s="14">
        <v>42888.0</v>
      </c>
      <c r="C420" s="16" t="s">
        <v>114</v>
      </c>
      <c r="D420" s="16" t="s">
        <v>115</v>
      </c>
      <c r="E420" s="17">
        <v>42888.5208333333</v>
      </c>
      <c r="F420" s="17">
        <v>42888.3541666667</v>
      </c>
      <c r="G420" s="14">
        <v>42888.0</v>
      </c>
      <c r="H420" s="16"/>
      <c r="I420" s="16" t="s">
        <v>116</v>
      </c>
    </row>
    <row r="421" ht="15.75" customHeight="1">
      <c r="A421" s="16" t="s">
        <v>117</v>
      </c>
      <c r="B421" s="14">
        <v>42900.0</v>
      </c>
      <c r="C421" s="16" t="s">
        <v>114</v>
      </c>
      <c r="D421" s="16" t="s">
        <v>115</v>
      </c>
      <c r="E421" s="17">
        <v>42900.5208333333</v>
      </c>
      <c r="F421" s="17">
        <v>42900.3541666667</v>
      </c>
      <c r="G421" s="14">
        <v>42900.0</v>
      </c>
      <c r="H421" s="16"/>
      <c r="I421" s="16" t="s">
        <v>118</v>
      </c>
    </row>
    <row r="422" ht="15.75" customHeight="1">
      <c r="A422" s="16" t="s">
        <v>119</v>
      </c>
      <c r="B422" s="14">
        <v>42901.0</v>
      </c>
      <c r="C422" s="16" t="s">
        <v>120</v>
      </c>
      <c r="D422" s="16" t="s">
        <v>121</v>
      </c>
      <c r="E422" s="17">
        <v>42900.9479166667</v>
      </c>
      <c r="F422" s="17">
        <v>42900.78125</v>
      </c>
      <c r="G422" s="14">
        <v>42900.0</v>
      </c>
      <c r="H422" s="16" t="s">
        <v>122</v>
      </c>
      <c r="I422" s="16" t="s">
        <v>123</v>
      </c>
    </row>
    <row r="423" ht="15.75" customHeight="1">
      <c r="A423" s="16" t="s">
        <v>113</v>
      </c>
      <c r="B423" s="14">
        <v>42923.0</v>
      </c>
      <c r="C423" s="16" t="s">
        <v>114</v>
      </c>
      <c r="D423" s="16" t="s">
        <v>115</v>
      </c>
      <c r="E423" s="17">
        <v>42923.5208333333</v>
      </c>
      <c r="F423" s="17">
        <v>42923.3541666667</v>
      </c>
      <c r="G423" s="14">
        <v>42923.0</v>
      </c>
      <c r="H423" s="16"/>
      <c r="I423" s="16" t="s">
        <v>116</v>
      </c>
    </row>
    <row r="424" ht="15.75" customHeight="1">
      <c r="A424" s="16" t="s">
        <v>117</v>
      </c>
      <c r="B424" s="14">
        <v>42930.0</v>
      </c>
      <c r="C424" s="16" t="s">
        <v>114</v>
      </c>
      <c r="D424" s="16" t="s">
        <v>115</v>
      </c>
      <c r="E424" s="17">
        <v>42930.5208333333</v>
      </c>
      <c r="F424" s="17">
        <v>42930.3541666667</v>
      </c>
      <c r="G424" s="14">
        <v>42930.0</v>
      </c>
      <c r="H424" s="16"/>
      <c r="I424" s="16" t="s">
        <v>118</v>
      </c>
    </row>
    <row r="425" ht="15.75" customHeight="1">
      <c r="A425" s="16" t="s">
        <v>124</v>
      </c>
      <c r="B425" s="14">
        <v>42934.0</v>
      </c>
      <c r="C425" s="16" t="s">
        <v>120</v>
      </c>
      <c r="D425" s="16" t="s">
        <v>121</v>
      </c>
      <c r="E425" s="17">
        <v>42933.9479166667</v>
      </c>
      <c r="F425" s="17">
        <v>42933.78125</v>
      </c>
      <c r="G425" s="14">
        <v>42933.0</v>
      </c>
      <c r="H425" s="16" t="s">
        <v>125</v>
      </c>
      <c r="I425" s="16" t="s">
        <v>123</v>
      </c>
    </row>
    <row r="426" ht="15.75" customHeight="1">
      <c r="A426" s="16" t="s">
        <v>126</v>
      </c>
      <c r="B426" s="14">
        <v>42949.0</v>
      </c>
      <c r="C426" s="16" t="s">
        <v>120</v>
      </c>
      <c r="D426" s="16" t="s">
        <v>121</v>
      </c>
      <c r="E426" s="17">
        <v>42948.9479166667</v>
      </c>
      <c r="F426" s="17">
        <v>42948.78125</v>
      </c>
      <c r="G426" s="14">
        <v>42948.0</v>
      </c>
      <c r="H426" s="16" t="s">
        <v>125</v>
      </c>
      <c r="I426" s="16" t="s">
        <v>123</v>
      </c>
    </row>
    <row r="427" ht="15.75" customHeight="1">
      <c r="A427" s="16" t="s">
        <v>113</v>
      </c>
      <c r="B427" s="14">
        <v>42951.0</v>
      </c>
      <c r="C427" s="16" t="s">
        <v>114</v>
      </c>
      <c r="D427" s="16" t="s">
        <v>115</v>
      </c>
      <c r="E427" s="17">
        <v>42951.5208333333</v>
      </c>
      <c r="F427" s="17">
        <v>42951.3541666667</v>
      </c>
      <c r="G427" s="14">
        <v>42951.0</v>
      </c>
      <c r="H427" s="16"/>
      <c r="I427" s="16" t="s">
        <v>116</v>
      </c>
    </row>
    <row r="428" ht="15.75" customHeight="1">
      <c r="A428" s="16" t="s">
        <v>117</v>
      </c>
      <c r="B428" s="14">
        <v>42958.0</v>
      </c>
      <c r="C428" s="16" t="s">
        <v>114</v>
      </c>
      <c r="D428" s="16" t="s">
        <v>115</v>
      </c>
      <c r="E428" s="17">
        <v>42958.5208333333</v>
      </c>
      <c r="F428" s="17">
        <v>42958.3541666667</v>
      </c>
      <c r="G428" s="14">
        <v>42958.0</v>
      </c>
      <c r="H428" s="16"/>
      <c r="I428" s="16" t="s">
        <v>118</v>
      </c>
    </row>
    <row r="429" ht="15.75" customHeight="1">
      <c r="A429" s="16" t="s">
        <v>113</v>
      </c>
      <c r="B429" s="14">
        <v>42979.0</v>
      </c>
      <c r="C429" s="16" t="s">
        <v>114</v>
      </c>
      <c r="D429" s="16" t="s">
        <v>115</v>
      </c>
      <c r="E429" s="17">
        <v>42979.5208333333</v>
      </c>
      <c r="F429" s="17">
        <v>42979.3541666667</v>
      </c>
      <c r="G429" s="14">
        <v>42979.0</v>
      </c>
      <c r="H429" s="16"/>
      <c r="I429" s="16" t="s">
        <v>116</v>
      </c>
    </row>
    <row r="430" ht="15.75" customHeight="1">
      <c r="A430" s="16" t="s">
        <v>117</v>
      </c>
      <c r="B430" s="14">
        <v>42992.0</v>
      </c>
      <c r="C430" s="16" t="s">
        <v>114</v>
      </c>
      <c r="D430" s="16" t="s">
        <v>115</v>
      </c>
      <c r="E430" s="17">
        <v>42992.5208333333</v>
      </c>
      <c r="F430" s="17">
        <v>42992.3541666667</v>
      </c>
      <c r="G430" s="14">
        <v>42992.0</v>
      </c>
      <c r="H430" s="16"/>
      <c r="I430" s="16" t="s">
        <v>118</v>
      </c>
    </row>
    <row r="431" ht="15.75" customHeight="1">
      <c r="A431" s="16" t="s">
        <v>119</v>
      </c>
      <c r="B431" s="14">
        <v>42999.0</v>
      </c>
      <c r="C431" s="16" t="s">
        <v>120</v>
      </c>
      <c r="D431" s="16" t="s">
        <v>121</v>
      </c>
      <c r="E431" s="17">
        <v>42998.9479166667</v>
      </c>
      <c r="F431" s="17">
        <v>42998.78125</v>
      </c>
      <c r="G431" s="14">
        <v>42998.0</v>
      </c>
      <c r="H431" s="16" t="s">
        <v>125</v>
      </c>
      <c r="I431" s="16" t="s">
        <v>123</v>
      </c>
    </row>
    <row r="432" ht="15.75" customHeight="1">
      <c r="A432" s="16" t="s">
        <v>113</v>
      </c>
      <c r="B432" s="14">
        <v>43014.0</v>
      </c>
      <c r="C432" s="16" t="s">
        <v>114</v>
      </c>
      <c r="D432" s="16" t="s">
        <v>115</v>
      </c>
      <c r="E432" s="17">
        <v>43014.5208333333</v>
      </c>
      <c r="F432" s="17">
        <v>43014.3541666667</v>
      </c>
      <c r="G432" s="14">
        <v>43014.0</v>
      </c>
      <c r="H432" s="16"/>
      <c r="I432" s="16" t="s">
        <v>116</v>
      </c>
    </row>
    <row r="433" ht="15.75" customHeight="1">
      <c r="A433" s="16" t="s">
        <v>117</v>
      </c>
      <c r="B433" s="14">
        <v>43021.0</v>
      </c>
      <c r="C433" s="16" t="s">
        <v>114</v>
      </c>
      <c r="D433" s="16" t="s">
        <v>115</v>
      </c>
      <c r="E433" s="17">
        <v>43021.5208333333</v>
      </c>
      <c r="F433" s="17">
        <v>43021.3541666667</v>
      </c>
      <c r="G433" s="14">
        <v>43021.0</v>
      </c>
      <c r="H433" s="16"/>
      <c r="I433" s="16" t="s">
        <v>118</v>
      </c>
    </row>
    <row r="434" ht="15.75" customHeight="1">
      <c r="A434" s="16" t="s">
        <v>124</v>
      </c>
      <c r="B434" s="14">
        <v>43025.0</v>
      </c>
      <c r="C434" s="16" t="s">
        <v>120</v>
      </c>
      <c r="D434" s="16" t="s">
        <v>121</v>
      </c>
      <c r="E434" s="17">
        <v>43024.90625</v>
      </c>
      <c r="F434" s="17">
        <v>43024.7395833333</v>
      </c>
      <c r="G434" s="14">
        <v>43024.0</v>
      </c>
      <c r="H434" s="16" t="s">
        <v>127</v>
      </c>
      <c r="I434" s="16" t="s">
        <v>123</v>
      </c>
    </row>
    <row r="435" ht="15.75" customHeight="1">
      <c r="A435" s="16" t="s">
        <v>126</v>
      </c>
      <c r="B435" s="14">
        <v>43040.0</v>
      </c>
      <c r="C435" s="16" t="s">
        <v>120</v>
      </c>
      <c r="D435" s="16" t="s">
        <v>121</v>
      </c>
      <c r="E435" s="17">
        <v>43039.90625</v>
      </c>
      <c r="F435" s="17">
        <v>43039.7395833333</v>
      </c>
      <c r="G435" s="14">
        <v>43039.0</v>
      </c>
      <c r="H435" s="16" t="s">
        <v>127</v>
      </c>
      <c r="I435" s="16" t="s">
        <v>123</v>
      </c>
    </row>
    <row r="436" ht="15.75" customHeight="1">
      <c r="A436" s="16" t="s">
        <v>113</v>
      </c>
      <c r="B436" s="14">
        <v>43042.0</v>
      </c>
      <c r="C436" s="16" t="s">
        <v>114</v>
      </c>
      <c r="D436" s="16" t="s">
        <v>115</v>
      </c>
      <c r="E436" s="17">
        <v>43042.5208333333</v>
      </c>
      <c r="F436" s="17">
        <v>43042.3541666667</v>
      </c>
      <c r="G436" s="14">
        <v>43042.0</v>
      </c>
      <c r="H436" s="16"/>
      <c r="I436" s="16" t="s">
        <v>116</v>
      </c>
    </row>
    <row r="437" ht="15.75" customHeight="1">
      <c r="A437" s="16" t="s">
        <v>117</v>
      </c>
      <c r="B437" s="14">
        <v>43054.0</v>
      </c>
      <c r="C437" s="16" t="s">
        <v>114</v>
      </c>
      <c r="D437" s="16" t="s">
        <v>115</v>
      </c>
      <c r="E437" s="17">
        <v>43054.5625</v>
      </c>
      <c r="F437" s="17">
        <v>43054.3541666667</v>
      </c>
      <c r="G437" s="14">
        <v>43054.0</v>
      </c>
      <c r="H437" s="16"/>
      <c r="I437" s="16" t="s">
        <v>118</v>
      </c>
    </row>
    <row r="438" ht="15.75" customHeight="1">
      <c r="A438" s="16" t="s">
        <v>113</v>
      </c>
      <c r="B438" s="14">
        <v>43077.0</v>
      </c>
      <c r="C438" s="16" t="s">
        <v>114</v>
      </c>
      <c r="D438" s="16" t="s">
        <v>115</v>
      </c>
      <c r="E438" s="17">
        <v>43077.5625</v>
      </c>
      <c r="F438" s="17">
        <v>43077.3541666667</v>
      </c>
      <c r="G438" s="14">
        <v>43077.0</v>
      </c>
      <c r="H438" s="16"/>
      <c r="I438" s="16" t="s">
        <v>116</v>
      </c>
    </row>
    <row r="439" ht="15.75" customHeight="1">
      <c r="A439" s="16" t="s">
        <v>117</v>
      </c>
      <c r="B439" s="14">
        <v>43082.0</v>
      </c>
      <c r="C439" s="16" t="s">
        <v>114</v>
      </c>
      <c r="D439" s="16" t="s">
        <v>115</v>
      </c>
      <c r="E439" s="17">
        <v>43082.5625</v>
      </c>
      <c r="F439" s="17">
        <v>43082.3541666667</v>
      </c>
      <c r="G439" s="14">
        <v>43082.0</v>
      </c>
      <c r="H439" s="16"/>
      <c r="I439" s="16" t="s">
        <v>118</v>
      </c>
    </row>
    <row r="440" ht="15.75" customHeight="1">
      <c r="A440" s="16" t="s">
        <v>119</v>
      </c>
      <c r="B440" s="14">
        <v>43090.0</v>
      </c>
      <c r="C440" s="16" t="s">
        <v>120</v>
      </c>
      <c r="D440" s="16" t="s">
        <v>121</v>
      </c>
      <c r="E440" s="17">
        <v>43089.90625</v>
      </c>
      <c r="F440" s="17">
        <v>43089.6979166667</v>
      </c>
      <c r="G440" s="14">
        <v>43089.0</v>
      </c>
      <c r="H440" s="16" t="s">
        <v>127</v>
      </c>
      <c r="I440" s="16" t="s">
        <v>123</v>
      </c>
    </row>
    <row r="441" ht="15.75" customHeight="1">
      <c r="A441" s="16" t="s">
        <v>113</v>
      </c>
      <c r="B441" s="14">
        <v>43105.0</v>
      </c>
      <c r="C441" s="16" t="s">
        <v>114</v>
      </c>
      <c r="D441" s="16" t="s">
        <v>115</v>
      </c>
      <c r="E441" s="17">
        <v>43105.5625</v>
      </c>
      <c r="F441" s="17">
        <v>43105.3541666667</v>
      </c>
      <c r="G441" s="14">
        <v>43105.0</v>
      </c>
      <c r="H441" s="16"/>
      <c r="I441" s="16" t="s">
        <v>116</v>
      </c>
    </row>
    <row r="442" ht="15.75" customHeight="1">
      <c r="A442" s="16" t="s">
        <v>117</v>
      </c>
      <c r="B442" s="14">
        <v>43112.0</v>
      </c>
      <c r="C442" s="16" t="s">
        <v>114</v>
      </c>
      <c r="D442" s="16" t="s">
        <v>115</v>
      </c>
      <c r="E442" s="17">
        <v>43112.5625</v>
      </c>
      <c r="F442" s="17">
        <v>43112.3541666667</v>
      </c>
      <c r="G442" s="14">
        <v>43112.0</v>
      </c>
      <c r="H442" s="16"/>
      <c r="I442" s="16" t="s">
        <v>118</v>
      </c>
    </row>
    <row r="443" ht="15.75" customHeight="1">
      <c r="A443" s="16" t="s">
        <v>124</v>
      </c>
      <c r="B443" s="14">
        <v>43125.0</v>
      </c>
      <c r="C443" s="16" t="s">
        <v>120</v>
      </c>
      <c r="D443" s="16" t="s">
        <v>121</v>
      </c>
      <c r="E443" s="17">
        <v>43124.90625</v>
      </c>
      <c r="F443" s="17">
        <v>43124.6979166667</v>
      </c>
      <c r="G443" s="14">
        <v>43124.0</v>
      </c>
      <c r="H443" s="16" t="s">
        <v>128</v>
      </c>
      <c r="I443" s="16" t="s">
        <v>123</v>
      </c>
    </row>
    <row r="444" ht="15.75" customHeight="1">
      <c r="A444" s="16" t="s">
        <v>113</v>
      </c>
      <c r="B444" s="14">
        <v>43133.0</v>
      </c>
      <c r="C444" s="16" t="s">
        <v>114</v>
      </c>
      <c r="D444" s="16" t="s">
        <v>115</v>
      </c>
      <c r="E444" s="17">
        <v>43133.5625</v>
      </c>
      <c r="F444" s="17">
        <v>43133.3541666667</v>
      </c>
      <c r="G444" s="14">
        <v>43133.0</v>
      </c>
      <c r="H444" s="16"/>
      <c r="I444" s="16" t="s">
        <v>116</v>
      </c>
    </row>
    <row r="445" ht="15.75" customHeight="1">
      <c r="A445" s="16" t="s">
        <v>126</v>
      </c>
      <c r="B445" s="14">
        <v>43138.0</v>
      </c>
      <c r="C445" s="16" t="s">
        <v>120</v>
      </c>
      <c r="D445" s="16" t="s">
        <v>121</v>
      </c>
      <c r="E445" s="17">
        <v>43137.90625</v>
      </c>
      <c r="F445" s="17">
        <v>43137.6979166667</v>
      </c>
      <c r="G445" s="14">
        <v>43137.0</v>
      </c>
      <c r="H445" s="16" t="s">
        <v>128</v>
      </c>
      <c r="I445" s="16" t="s">
        <v>123</v>
      </c>
    </row>
    <row r="446" ht="15.75" customHeight="1">
      <c r="A446" s="16" t="s">
        <v>117</v>
      </c>
      <c r="B446" s="14">
        <v>43145.0</v>
      </c>
      <c r="C446" s="16" t="s">
        <v>114</v>
      </c>
      <c r="D446" s="16" t="s">
        <v>115</v>
      </c>
      <c r="E446" s="17">
        <v>43145.5625</v>
      </c>
      <c r="F446" s="17">
        <v>43145.3541666667</v>
      </c>
      <c r="G446" s="14">
        <v>43145.0</v>
      </c>
      <c r="H446" s="16"/>
      <c r="I446" s="16" t="s">
        <v>118</v>
      </c>
    </row>
    <row r="447" ht="15.75" customHeight="1">
      <c r="A447" s="16" t="s">
        <v>113</v>
      </c>
      <c r="B447" s="14">
        <v>43168.0</v>
      </c>
      <c r="C447" s="16" t="s">
        <v>114</v>
      </c>
      <c r="D447" s="16" t="s">
        <v>115</v>
      </c>
      <c r="E447" s="17">
        <v>43168.5625</v>
      </c>
      <c r="F447" s="17">
        <v>43168.3541666667</v>
      </c>
      <c r="G447" s="14">
        <v>43168.0</v>
      </c>
      <c r="H447" s="16"/>
      <c r="I447" s="16" t="s">
        <v>116</v>
      </c>
    </row>
    <row r="448" ht="15.75" customHeight="1">
      <c r="A448" s="16" t="s">
        <v>117</v>
      </c>
      <c r="B448" s="14">
        <v>43172.0</v>
      </c>
      <c r="C448" s="16" t="s">
        <v>114</v>
      </c>
      <c r="D448" s="16" t="s">
        <v>115</v>
      </c>
      <c r="E448" s="17">
        <v>43172.5208333333</v>
      </c>
      <c r="F448" s="17">
        <v>43172.3541666667</v>
      </c>
      <c r="G448" s="14">
        <v>43172.0</v>
      </c>
      <c r="H448" s="16"/>
      <c r="I448" s="16" t="s">
        <v>118</v>
      </c>
    </row>
    <row r="449" ht="15.75" customHeight="1">
      <c r="A449" s="16" t="s">
        <v>119</v>
      </c>
      <c r="B449" s="14">
        <v>43174.0</v>
      </c>
      <c r="C449" s="16" t="s">
        <v>120</v>
      </c>
      <c r="D449" s="16" t="s">
        <v>121</v>
      </c>
      <c r="E449" s="17">
        <v>43173.90625</v>
      </c>
      <c r="F449" s="17">
        <v>43173.7395833333</v>
      </c>
      <c r="G449" s="14">
        <v>43173.0</v>
      </c>
      <c r="H449" s="16" t="s">
        <v>128</v>
      </c>
      <c r="I449" s="16" t="s">
        <v>123</v>
      </c>
    </row>
    <row r="450" ht="15.75" customHeight="1">
      <c r="A450" s="16" t="s">
        <v>113</v>
      </c>
      <c r="B450" s="14">
        <v>43196.0</v>
      </c>
      <c r="C450" s="16" t="s">
        <v>114</v>
      </c>
      <c r="D450" s="16" t="s">
        <v>115</v>
      </c>
      <c r="E450" s="17">
        <v>43196.5208333333</v>
      </c>
      <c r="F450" s="17">
        <v>43196.3541666667</v>
      </c>
      <c r="G450" s="14">
        <v>43196.0</v>
      </c>
      <c r="H450" s="16"/>
      <c r="I450" s="16" t="s">
        <v>116</v>
      </c>
    </row>
    <row r="451" ht="15.75" customHeight="1">
      <c r="A451" s="16" t="s">
        <v>117</v>
      </c>
      <c r="B451" s="14">
        <v>43201.0</v>
      </c>
      <c r="C451" s="16" t="s">
        <v>114</v>
      </c>
      <c r="D451" s="16" t="s">
        <v>115</v>
      </c>
      <c r="E451" s="17">
        <v>43201.5208333333</v>
      </c>
      <c r="F451" s="17">
        <v>43201.3541666667</v>
      </c>
      <c r="G451" s="14">
        <v>43201.0</v>
      </c>
      <c r="H451" s="16"/>
      <c r="I451" s="16" t="s">
        <v>118</v>
      </c>
    </row>
    <row r="452" ht="15.75" customHeight="1">
      <c r="A452" s="16" t="s">
        <v>124</v>
      </c>
      <c r="B452" s="14">
        <v>43209.0</v>
      </c>
      <c r="C452" s="16" t="s">
        <v>120</v>
      </c>
      <c r="D452" s="16" t="s">
        <v>121</v>
      </c>
      <c r="E452" s="17">
        <v>43208.9479166667</v>
      </c>
      <c r="F452" s="17">
        <v>43208.78125</v>
      </c>
      <c r="G452" s="14">
        <v>43208.0</v>
      </c>
      <c r="H452" s="16" t="s">
        <v>129</v>
      </c>
      <c r="I452" s="16" t="s">
        <v>123</v>
      </c>
    </row>
    <row r="453" ht="15.75" customHeight="1">
      <c r="A453" s="16" t="s">
        <v>126</v>
      </c>
      <c r="B453" s="14">
        <v>43222.0</v>
      </c>
      <c r="C453" s="16" t="s">
        <v>120</v>
      </c>
      <c r="D453" s="16" t="s">
        <v>121</v>
      </c>
      <c r="E453" s="17">
        <v>43221.9479166667</v>
      </c>
      <c r="F453" s="17">
        <v>43221.78125</v>
      </c>
      <c r="G453" s="14">
        <v>43221.0</v>
      </c>
      <c r="H453" s="16" t="s">
        <v>129</v>
      </c>
      <c r="I453" s="16" t="s">
        <v>123</v>
      </c>
    </row>
    <row r="454" ht="15.75" customHeight="1">
      <c r="A454" s="16" t="s">
        <v>113</v>
      </c>
      <c r="B454" s="14">
        <v>43224.0</v>
      </c>
      <c r="C454" s="16" t="s">
        <v>114</v>
      </c>
      <c r="D454" s="16" t="s">
        <v>115</v>
      </c>
      <c r="E454" s="17">
        <v>43224.5208333333</v>
      </c>
      <c r="F454" s="17">
        <v>43224.3541666667</v>
      </c>
      <c r="G454" s="14">
        <v>43224.0</v>
      </c>
      <c r="H454" s="16"/>
      <c r="I454" s="16" t="s">
        <v>116</v>
      </c>
    </row>
    <row r="455" ht="15.75" customHeight="1">
      <c r="A455" s="16" t="s">
        <v>117</v>
      </c>
      <c r="B455" s="14">
        <v>43230.0</v>
      </c>
      <c r="C455" s="16" t="s">
        <v>114</v>
      </c>
      <c r="D455" s="16" t="s">
        <v>115</v>
      </c>
      <c r="E455" s="17">
        <v>43230.5208333333</v>
      </c>
      <c r="F455" s="17">
        <v>43230.3541666667</v>
      </c>
      <c r="G455" s="14">
        <v>43230.0</v>
      </c>
      <c r="H455" s="16"/>
      <c r="I455" s="16" t="s">
        <v>118</v>
      </c>
    </row>
    <row r="456" ht="15.75" customHeight="1">
      <c r="A456" s="16" t="s">
        <v>113</v>
      </c>
      <c r="B456" s="14">
        <v>43252.0</v>
      </c>
      <c r="C456" s="16" t="s">
        <v>114</v>
      </c>
      <c r="D456" s="16" t="s">
        <v>115</v>
      </c>
      <c r="E456" s="17">
        <v>43252.5208333333</v>
      </c>
      <c r="F456" s="17">
        <v>43252.3541666667</v>
      </c>
      <c r="G456" s="14">
        <v>43252.0</v>
      </c>
      <c r="H456" s="16"/>
      <c r="I456" s="16" t="s">
        <v>116</v>
      </c>
    </row>
    <row r="457" ht="15.75" customHeight="1">
      <c r="A457" s="16" t="s">
        <v>117</v>
      </c>
      <c r="B457" s="14">
        <v>43263.0</v>
      </c>
      <c r="C457" s="16" t="s">
        <v>114</v>
      </c>
      <c r="D457" s="16" t="s">
        <v>115</v>
      </c>
      <c r="E457" s="17">
        <v>43263.5208333333</v>
      </c>
      <c r="F457" s="17">
        <v>43263.3541666667</v>
      </c>
      <c r="G457" s="14">
        <v>43263.0</v>
      </c>
      <c r="H457" s="16"/>
      <c r="I457" s="16" t="s">
        <v>118</v>
      </c>
    </row>
    <row r="458" ht="15.75" customHeight="1">
      <c r="A458" s="16" t="s">
        <v>119</v>
      </c>
      <c r="B458" s="14">
        <v>43272.0</v>
      </c>
      <c r="C458" s="16" t="s">
        <v>120</v>
      </c>
      <c r="D458" s="16" t="s">
        <v>121</v>
      </c>
      <c r="E458" s="17">
        <v>43271.9479166667</v>
      </c>
      <c r="F458" s="17">
        <v>43271.78125</v>
      </c>
      <c r="G458" s="14">
        <v>43271.0</v>
      </c>
      <c r="H458" s="16" t="s">
        <v>129</v>
      </c>
      <c r="I458" s="16" t="s">
        <v>123</v>
      </c>
    </row>
    <row r="459" ht="15.75" customHeight="1">
      <c r="A459" s="16" t="s">
        <v>113</v>
      </c>
      <c r="B459" s="14">
        <v>43287.0</v>
      </c>
      <c r="C459" s="16" t="s">
        <v>114</v>
      </c>
      <c r="D459" s="16" t="s">
        <v>115</v>
      </c>
      <c r="E459" s="17">
        <v>43287.5208333333</v>
      </c>
      <c r="F459" s="17">
        <v>43287.3541666667</v>
      </c>
      <c r="G459" s="14">
        <v>43287.0</v>
      </c>
      <c r="H459" s="16"/>
      <c r="I459" s="16" t="s">
        <v>116</v>
      </c>
    </row>
    <row r="460" ht="15.75" customHeight="1">
      <c r="A460" s="16" t="s">
        <v>117</v>
      </c>
      <c r="B460" s="14">
        <v>43293.0</v>
      </c>
      <c r="C460" s="16" t="s">
        <v>114</v>
      </c>
      <c r="D460" s="16" t="s">
        <v>115</v>
      </c>
      <c r="E460" s="17">
        <v>43293.5208333333</v>
      </c>
      <c r="F460" s="17">
        <v>43293.3541666667</v>
      </c>
      <c r="G460" s="14">
        <v>43293.0</v>
      </c>
      <c r="H460" s="16"/>
      <c r="I460" s="16" t="s">
        <v>118</v>
      </c>
    </row>
    <row r="461" ht="15.75" customHeight="1">
      <c r="A461" s="16" t="s">
        <v>124</v>
      </c>
      <c r="B461" s="14">
        <v>43298.0</v>
      </c>
      <c r="C461" s="16" t="s">
        <v>120</v>
      </c>
      <c r="D461" s="16" t="s">
        <v>121</v>
      </c>
      <c r="E461" s="17">
        <v>43297.9479166667</v>
      </c>
      <c r="F461" s="17">
        <v>43297.78125</v>
      </c>
      <c r="G461" s="14">
        <v>43297.0</v>
      </c>
      <c r="H461" s="16" t="s">
        <v>130</v>
      </c>
      <c r="I461" s="16" t="s">
        <v>123</v>
      </c>
    </row>
    <row r="462" ht="15.75" customHeight="1">
      <c r="A462" s="16" t="s">
        <v>126</v>
      </c>
      <c r="B462" s="14">
        <v>43313.0</v>
      </c>
      <c r="C462" s="16" t="s">
        <v>120</v>
      </c>
      <c r="D462" s="16" t="s">
        <v>121</v>
      </c>
      <c r="E462" s="17">
        <v>43312.9479166667</v>
      </c>
      <c r="F462" s="17">
        <v>43312.78125</v>
      </c>
      <c r="G462" s="14">
        <v>43312.0</v>
      </c>
      <c r="H462" s="16" t="s">
        <v>130</v>
      </c>
      <c r="I462" s="16" t="s">
        <v>123</v>
      </c>
    </row>
    <row r="463" ht="15.75" customHeight="1">
      <c r="A463" s="16" t="s">
        <v>113</v>
      </c>
      <c r="B463" s="14">
        <v>43315.0</v>
      </c>
      <c r="C463" s="16" t="s">
        <v>114</v>
      </c>
      <c r="D463" s="16" t="s">
        <v>115</v>
      </c>
      <c r="E463" s="17">
        <v>43315.5208333333</v>
      </c>
      <c r="F463" s="17">
        <v>43315.3541666667</v>
      </c>
      <c r="G463" s="14">
        <v>43315.0</v>
      </c>
      <c r="H463" s="16"/>
      <c r="I463" s="16" t="s">
        <v>116</v>
      </c>
    </row>
    <row r="464" ht="15.75" customHeight="1">
      <c r="A464" s="16" t="s">
        <v>117</v>
      </c>
      <c r="B464" s="14">
        <v>43322.0</v>
      </c>
      <c r="C464" s="16" t="s">
        <v>114</v>
      </c>
      <c r="D464" s="16" t="s">
        <v>115</v>
      </c>
      <c r="E464" s="17">
        <v>43322.5208333333</v>
      </c>
      <c r="F464" s="17">
        <v>43322.3541666667</v>
      </c>
      <c r="G464" s="14">
        <v>43322.0</v>
      </c>
      <c r="H464" s="16"/>
      <c r="I464" s="16" t="s">
        <v>118</v>
      </c>
    </row>
    <row r="465" ht="15.75" customHeight="1">
      <c r="A465" s="16" t="s">
        <v>113</v>
      </c>
      <c r="B465" s="14">
        <v>43350.0</v>
      </c>
      <c r="C465" s="16" t="s">
        <v>114</v>
      </c>
      <c r="D465" s="16" t="s">
        <v>115</v>
      </c>
      <c r="E465" s="17">
        <v>43350.5208333333</v>
      </c>
      <c r="F465" s="17">
        <v>43350.3541666667</v>
      </c>
      <c r="G465" s="14">
        <v>43350.0</v>
      </c>
      <c r="H465" s="16"/>
      <c r="I465" s="16" t="s">
        <v>116</v>
      </c>
    </row>
    <row r="466" ht="15.75" customHeight="1">
      <c r="A466" s="16" t="s">
        <v>117</v>
      </c>
      <c r="B466" s="14">
        <v>43356.0</v>
      </c>
      <c r="C466" s="16" t="s">
        <v>114</v>
      </c>
      <c r="D466" s="16" t="s">
        <v>115</v>
      </c>
      <c r="E466" s="17">
        <v>43356.5208333333</v>
      </c>
      <c r="F466" s="17">
        <v>43356.3541666667</v>
      </c>
      <c r="G466" s="14">
        <v>43356.0</v>
      </c>
      <c r="H466" s="16"/>
      <c r="I466" s="16" t="s">
        <v>118</v>
      </c>
    </row>
    <row r="467" ht="15.75" customHeight="1">
      <c r="A467" s="16" t="s">
        <v>119</v>
      </c>
      <c r="B467" s="14">
        <v>43363.0</v>
      </c>
      <c r="C467" s="16" t="s">
        <v>120</v>
      </c>
      <c r="D467" s="16" t="s">
        <v>121</v>
      </c>
      <c r="E467" s="17">
        <v>43362.9479166667</v>
      </c>
      <c r="F467" s="17">
        <v>43362.78125</v>
      </c>
      <c r="G467" s="14">
        <v>43362.0</v>
      </c>
      <c r="H467" s="16" t="s">
        <v>130</v>
      </c>
      <c r="I467" s="16" t="s">
        <v>123</v>
      </c>
    </row>
    <row r="468" ht="15.75" customHeight="1">
      <c r="A468" s="16" t="s">
        <v>113</v>
      </c>
      <c r="B468" s="14">
        <v>43378.0</v>
      </c>
      <c r="C468" s="16" t="s">
        <v>114</v>
      </c>
      <c r="D468" s="16" t="s">
        <v>115</v>
      </c>
      <c r="E468" s="17">
        <v>43378.5208333333</v>
      </c>
      <c r="F468" s="17">
        <v>43378.3541666667</v>
      </c>
      <c r="G468" s="14">
        <v>43378.0</v>
      </c>
      <c r="H468" s="16"/>
      <c r="I468" s="16" t="s">
        <v>116</v>
      </c>
    </row>
    <row r="469" ht="15.75" customHeight="1">
      <c r="A469" s="16" t="s">
        <v>117</v>
      </c>
      <c r="B469" s="14">
        <v>43384.0</v>
      </c>
      <c r="C469" s="16" t="s">
        <v>114</v>
      </c>
      <c r="D469" s="16" t="s">
        <v>115</v>
      </c>
      <c r="E469" s="17">
        <v>43384.5208333333</v>
      </c>
      <c r="F469" s="17">
        <v>43384.3541666667</v>
      </c>
      <c r="G469" s="14">
        <v>43384.0</v>
      </c>
      <c r="H469" s="16"/>
      <c r="I469" s="16" t="s">
        <v>118</v>
      </c>
    </row>
    <row r="470" ht="15.75" customHeight="1">
      <c r="A470" s="16" t="s">
        <v>124</v>
      </c>
      <c r="B470" s="14">
        <v>43389.0</v>
      </c>
      <c r="C470" s="16" t="s">
        <v>120</v>
      </c>
      <c r="D470" s="16" t="s">
        <v>121</v>
      </c>
      <c r="E470" s="17">
        <v>43388.90625</v>
      </c>
      <c r="F470" s="17">
        <v>43388.7395833333</v>
      </c>
      <c r="G470" s="14">
        <v>43388.0</v>
      </c>
      <c r="H470" s="16" t="s">
        <v>131</v>
      </c>
      <c r="I470" s="16" t="s">
        <v>123</v>
      </c>
    </row>
    <row r="471" ht="15.75" customHeight="1">
      <c r="A471" s="16" t="s">
        <v>113</v>
      </c>
      <c r="B471" s="14">
        <v>43406.0</v>
      </c>
      <c r="C471" s="16" t="s">
        <v>114</v>
      </c>
      <c r="D471" s="16" t="s">
        <v>115</v>
      </c>
      <c r="E471" s="17">
        <v>43406.5208333333</v>
      </c>
      <c r="F471" s="17">
        <v>43406.3541666667</v>
      </c>
      <c r="G471" s="14">
        <v>43406.0</v>
      </c>
      <c r="H471" s="16"/>
      <c r="I471" s="16" t="s">
        <v>116</v>
      </c>
    </row>
    <row r="472" ht="15.75" customHeight="1">
      <c r="A472" s="16" t="s">
        <v>126</v>
      </c>
      <c r="B472" s="14">
        <v>43411.0</v>
      </c>
      <c r="C472" s="16" t="s">
        <v>120</v>
      </c>
      <c r="D472" s="16" t="s">
        <v>121</v>
      </c>
      <c r="E472" s="17">
        <v>43410.90625</v>
      </c>
      <c r="F472" s="17">
        <v>43410.6979166667</v>
      </c>
      <c r="G472" s="14">
        <v>43410.0</v>
      </c>
      <c r="H472" s="16" t="s">
        <v>131</v>
      </c>
      <c r="I472" s="16" t="s">
        <v>123</v>
      </c>
    </row>
    <row r="473" ht="15.75" customHeight="1">
      <c r="A473" s="16" t="s">
        <v>117</v>
      </c>
      <c r="B473" s="14">
        <v>43418.0</v>
      </c>
      <c r="C473" s="16" t="s">
        <v>114</v>
      </c>
      <c r="D473" s="16" t="s">
        <v>115</v>
      </c>
      <c r="E473" s="17">
        <v>43418.5625</v>
      </c>
      <c r="F473" s="17">
        <v>43418.3541666667</v>
      </c>
      <c r="G473" s="14">
        <v>43418.0</v>
      </c>
      <c r="H473" s="16"/>
      <c r="I473" s="16" t="s">
        <v>118</v>
      </c>
    </row>
    <row r="474" ht="15.75" customHeight="1">
      <c r="A474" s="16" t="s">
        <v>113</v>
      </c>
      <c r="B474" s="14">
        <v>43441.0</v>
      </c>
      <c r="C474" s="16" t="s">
        <v>114</v>
      </c>
      <c r="D474" s="16" t="s">
        <v>115</v>
      </c>
      <c r="E474" s="17">
        <v>43441.5625</v>
      </c>
      <c r="F474" s="17">
        <v>43441.3541666667</v>
      </c>
      <c r="G474" s="14">
        <v>43441.0</v>
      </c>
      <c r="H474" s="16"/>
      <c r="I474" s="16" t="s">
        <v>116</v>
      </c>
    </row>
    <row r="475" ht="15.75" customHeight="1">
      <c r="A475" s="16" t="s">
        <v>117</v>
      </c>
      <c r="B475" s="14">
        <v>43446.0</v>
      </c>
      <c r="C475" s="16" t="s">
        <v>114</v>
      </c>
      <c r="D475" s="16" t="s">
        <v>115</v>
      </c>
      <c r="E475" s="17">
        <v>43446.5625</v>
      </c>
      <c r="F475" s="17">
        <v>43446.3541666667</v>
      </c>
      <c r="G475" s="14">
        <v>43446.0</v>
      </c>
      <c r="H475" s="16"/>
      <c r="I475" s="16" t="s">
        <v>118</v>
      </c>
    </row>
    <row r="476" ht="15.75" customHeight="1">
      <c r="A476" s="16" t="s">
        <v>119</v>
      </c>
      <c r="B476" s="14">
        <v>43454.0</v>
      </c>
      <c r="C476" s="16" t="s">
        <v>120</v>
      </c>
      <c r="D476" s="16" t="s">
        <v>121</v>
      </c>
      <c r="E476" s="17">
        <v>43453.90625</v>
      </c>
      <c r="F476" s="17">
        <v>43453.6979166667</v>
      </c>
      <c r="G476" s="14">
        <v>43453.0</v>
      </c>
      <c r="H476" s="16" t="s">
        <v>131</v>
      </c>
      <c r="I476" s="16" t="s">
        <v>123</v>
      </c>
    </row>
    <row r="477" ht="15.75" customHeight="1">
      <c r="A477" s="16" t="s">
        <v>113</v>
      </c>
      <c r="B477" s="14">
        <v>43469.0</v>
      </c>
      <c r="C477" s="16" t="s">
        <v>114</v>
      </c>
      <c r="D477" s="16" t="s">
        <v>115</v>
      </c>
      <c r="E477" s="17">
        <v>43469.5625</v>
      </c>
      <c r="F477" s="17">
        <v>43469.3541666667</v>
      </c>
      <c r="G477" s="14">
        <v>43469.0</v>
      </c>
      <c r="H477" s="16"/>
      <c r="I477" s="16" t="s">
        <v>116</v>
      </c>
    </row>
    <row r="478" ht="15.75" customHeight="1">
      <c r="A478" s="16" t="s">
        <v>117</v>
      </c>
      <c r="B478" s="14">
        <v>43476.0</v>
      </c>
      <c r="C478" s="16" t="s">
        <v>114</v>
      </c>
      <c r="D478" s="16" t="s">
        <v>115</v>
      </c>
      <c r="E478" s="17">
        <v>43476.5625</v>
      </c>
      <c r="F478" s="17">
        <v>43476.3541666667</v>
      </c>
      <c r="G478" s="14">
        <v>43476.0</v>
      </c>
      <c r="H478" s="16"/>
      <c r="I478" s="16" t="s">
        <v>118</v>
      </c>
    </row>
    <row r="479" ht="15.75" customHeight="1">
      <c r="A479" s="16" t="s">
        <v>124</v>
      </c>
      <c r="B479" s="14">
        <v>43488.0</v>
      </c>
      <c r="C479" s="16" t="s">
        <v>120</v>
      </c>
      <c r="D479" s="16" t="s">
        <v>121</v>
      </c>
      <c r="E479" s="17">
        <v>43487.90625</v>
      </c>
      <c r="F479" s="17">
        <v>43487.6979166667</v>
      </c>
      <c r="G479" s="14">
        <v>43487.0</v>
      </c>
      <c r="H479" s="16" t="s">
        <v>132</v>
      </c>
      <c r="I479" s="16" t="s">
        <v>123</v>
      </c>
    </row>
    <row r="480" ht="15.75" customHeight="1">
      <c r="A480" s="16" t="s">
        <v>113</v>
      </c>
      <c r="B480" s="14">
        <v>43497.0</v>
      </c>
      <c r="C480" s="16" t="s">
        <v>114</v>
      </c>
      <c r="D480" s="16" t="s">
        <v>115</v>
      </c>
      <c r="E480" s="17">
        <v>43497.5625</v>
      </c>
      <c r="F480" s="17">
        <v>43497.3541666667</v>
      </c>
      <c r="G480" s="14">
        <v>43497.0</v>
      </c>
      <c r="H480" s="16"/>
      <c r="I480" s="16" t="s">
        <v>116</v>
      </c>
    </row>
    <row r="481" ht="15.75" customHeight="1">
      <c r="A481" s="16" t="s">
        <v>126</v>
      </c>
      <c r="B481" s="14">
        <v>43503.0</v>
      </c>
      <c r="C481" s="16" t="s">
        <v>120</v>
      </c>
      <c r="D481" s="16" t="s">
        <v>121</v>
      </c>
      <c r="E481" s="17">
        <v>43502.90625</v>
      </c>
      <c r="F481" s="17">
        <v>43502.6979166667</v>
      </c>
      <c r="G481" s="14">
        <v>43502.0</v>
      </c>
      <c r="H481" s="16" t="s">
        <v>132</v>
      </c>
      <c r="I481" s="16" t="s">
        <v>123</v>
      </c>
    </row>
    <row r="482" ht="15.75" customHeight="1">
      <c r="A482" s="16" t="s">
        <v>117</v>
      </c>
      <c r="B482" s="14">
        <v>43509.0</v>
      </c>
      <c r="C482" s="16" t="s">
        <v>114</v>
      </c>
      <c r="D482" s="16" t="s">
        <v>115</v>
      </c>
      <c r="E482" s="17">
        <v>43509.5625</v>
      </c>
      <c r="F482" s="17">
        <v>43509.3541666667</v>
      </c>
      <c r="G482" s="14">
        <v>43509.0</v>
      </c>
      <c r="H482" s="16"/>
      <c r="I482" s="16" t="s">
        <v>118</v>
      </c>
    </row>
    <row r="483" ht="15.75" customHeight="1">
      <c r="A483" s="16" t="s">
        <v>113</v>
      </c>
      <c r="B483" s="14">
        <v>43532.0</v>
      </c>
      <c r="C483" s="16" t="s">
        <v>114</v>
      </c>
      <c r="D483" s="16" t="s">
        <v>115</v>
      </c>
      <c r="E483" s="17">
        <v>43532.5625</v>
      </c>
      <c r="F483" s="17">
        <v>43532.3541666667</v>
      </c>
      <c r="G483" s="14">
        <v>43532.0</v>
      </c>
      <c r="H483" s="16"/>
      <c r="I483" s="16" t="s">
        <v>116</v>
      </c>
    </row>
    <row r="484" ht="15.75" customHeight="1">
      <c r="A484" s="16" t="s">
        <v>117</v>
      </c>
      <c r="B484" s="14">
        <v>43536.0</v>
      </c>
      <c r="C484" s="16" t="s">
        <v>114</v>
      </c>
      <c r="D484" s="16" t="s">
        <v>115</v>
      </c>
      <c r="E484" s="17">
        <v>43536.5208333333</v>
      </c>
      <c r="F484" s="17">
        <v>43536.3541666667</v>
      </c>
      <c r="G484" s="14">
        <v>43536.0</v>
      </c>
      <c r="H484" s="16"/>
      <c r="I484" s="16" t="s">
        <v>118</v>
      </c>
    </row>
    <row r="485" ht="15.75" customHeight="1">
      <c r="A485" s="16" t="s">
        <v>119</v>
      </c>
      <c r="B485" s="14">
        <v>43545.0</v>
      </c>
      <c r="C485" s="16" t="s">
        <v>120</v>
      </c>
      <c r="D485" s="16" t="s">
        <v>121</v>
      </c>
      <c r="E485" s="17">
        <v>43544.90625</v>
      </c>
      <c r="F485" s="17">
        <v>43544.7395833333</v>
      </c>
      <c r="G485" s="14">
        <v>43544.0</v>
      </c>
      <c r="H485" s="16" t="s">
        <v>132</v>
      </c>
      <c r="I485" s="16" t="s">
        <v>123</v>
      </c>
    </row>
    <row r="486" ht="15.75" customHeight="1">
      <c r="A486" s="16" t="s">
        <v>113</v>
      </c>
      <c r="B486" s="14">
        <v>43560.0</v>
      </c>
      <c r="C486" s="16" t="s">
        <v>114</v>
      </c>
      <c r="D486" s="16" t="s">
        <v>115</v>
      </c>
      <c r="E486" s="17">
        <v>43560.5208333333</v>
      </c>
      <c r="F486" s="17">
        <v>43560.3541666667</v>
      </c>
      <c r="G486" s="14">
        <v>43560.0</v>
      </c>
      <c r="H486" s="16"/>
      <c r="I486" s="16" t="s">
        <v>116</v>
      </c>
    </row>
    <row r="487" ht="15.75" customHeight="1">
      <c r="A487" s="16" t="s">
        <v>117</v>
      </c>
      <c r="B487" s="14">
        <v>43565.0</v>
      </c>
      <c r="C487" s="16" t="s">
        <v>114</v>
      </c>
      <c r="D487" s="16" t="s">
        <v>115</v>
      </c>
      <c r="E487" s="17">
        <v>43565.5208333333</v>
      </c>
      <c r="F487" s="17">
        <v>43565.3541666667</v>
      </c>
      <c r="G487" s="14">
        <v>43565.0</v>
      </c>
      <c r="H487" s="16"/>
      <c r="I487" s="16" t="s">
        <v>118</v>
      </c>
    </row>
    <row r="488" ht="15.75" customHeight="1">
      <c r="A488" s="16" t="s">
        <v>124</v>
      </c>
      <c r="B488" s="14">
        <v>43572.0</v>
      </c>
      <c r="C488" s="16" t="s">
        <v>120</v>
      </c>
      <c r="D488" s="16" t="s">
        <v>121</v>
      </c>
      <c r="E488" s="17">
        <v>43571.9479166667</v>
      </c>
      <c r="F488" s="17">
        <v>43571.78125</v>
      </c>
      <c r="G488" s="14">
        <v>43571.0</v>
      </c>
      <c r="H488" s="16" t="s">
        <v>133</v>
      </c>
      <c r="I488" s="16" t="s">
        <v>123</v>
      </c>
    </row>
    <row r="489" ht="15.75" customHeight="1">
      <c r="A489" s="16" t="s">
        <v>126</v>
      </c>
      <c r="B489" s="14">
        <v>43586.0</v>
      </c>
      <c r="C489" s="16" t="s">
        <v>120</v>
      </c>
      <c r="D489" s="16" t="s">
        <v>121</v>
      </c>
      <c r="E489" s="17">
        <v>43585.9479166667</v>
      </c>
      <c r="F489" s="17">
        <v>43585.78125</v>
      </c>
      <c r="G489" s="14">
        <v>43585.0</v>
      </c>
      <c r="H489" s="16" t="s">
        <v>133</v>
      </c>
      <c r="I489" s="16" t="s">
        <v>123</v>
      </c>
    </row>
    <row r="490" ht="15.75" customHeight="1">
      <c r="A490" s="16" t="s">
        <v>113</v>
      </c>
      <c r="B490" s="14">
        <v>43588.0</v>
      </c>
      <c r="C490" s="16" t="s">
        <v>114</v>
      </c>
      <c r="D490" s="16" t="s">
        <v>115</v>
      </c>
      <c r="E490" s="17">
        <v>43588.5208333333</v>
      </c>
      <c r="F490" s="17">
        <v>43588.3541666667</v>
      </c>
      <c r="G490" s="14">
        <v>43588.0</v>
      </c>
      <c r="H490" s="16"/>
      <c r="I490" s="16" t="s">
        <v>116</v>
      </c>
    </row>
    <row r="491" ht="15.75" customHeight="1">
      <c r="A491" s="16" t="s">
        <v>117</v>
      </c>
      <c r="B491" s="14">
        <v>43595.0</v>
      </c>
      <c r="C491" s="16" t="s">
        <v>114</v>
      </c>
      <c r="D491" s="16" t="s">
        <v>115</v>
      </c>
      <c r="E491" s="17">
        <v>43595.5208333333</v>
      </c>
      <c r="F491" s="17">
        <v>43595.3541666667</v>
      </c>
      <c r="G491" s="14">
        <v>43595.0</v>
      </c>
      <c r="H491" s="16"/>
      <c r="I491" s="16" t="s">
        <v>118</v>
      </c>
    </row>
    <row r="492" ht="15.75" customHeight="1">
      <c r="A492" s="16" t="s">
        <v>113</v>
      </c>
      <c r="B492" s="14">
        <v>43623.0</v>
      </c>
      <c r="C492" s="16" t="s">
        <v>114</v>
      </c>
      <c r="D492" s="16" t="s">
        <v>115</v>
      </c>
      <c r="E492" s="17">
        <v>43623.5208333333</v>
      </c>
      <c r="F492" s="17">
        <v>43623.3541666667</v>
      </c>
      <c r="G492" s="14">
        <v>43623.0</v>
      </c>
      <c r="H492" s="16"/>
      <c r="I492" s="16" t="s">
        <v>116</v>
      </c>
    </row>
    <row r="493" ht="15.75" customHeight="1">
      <c r="A493" s="16" t="s">
        <v>117</v>
      </c>
      <c r="B493" s="14">
        <v>43628.0</v>
      </c>
      <c r="C493" s="16" t="s">
        <v>114</v>
      </c>
      <c r="D493" s="16" t="s">
        <v>115</v>
      </c>
      <c r="E493" s="17">
        <v>43628.5208333333</v>
      </c>
      <c r="F493" s="17">
        <v>43628.3541666667</v>
      </c>
      <c r="G493" s="14">
        <v>43628.0</v>
      </c>
      <c r="H493" s="16"/>
      <c r="I493" s="16" t="s">
        <v>118</v>
      </c>
    </row>
    <row r="494" ht="15.75" customHeight="1">
      <c r="A494" s="16" t="s">
        <v>119</v>
      </c>
      <c r="B494" s="14">
        <v>43636.0</v>
      </c>
      <c r="C494" s="16" t="s">
        <v>120</v>
      </c>
      <c r="D494" s="16" t="s">
        <v>121</v>
      </c>
      <c r="E494" s="17">
        <v>43635.9479166667</v>
      </c>
      <c r="F494" s="17">
        <v>43635.78125</v>
      </c>
      <c r="G494" s="14">
        <v>43635.0</v>
      </c>
      <c r="H494" s="16" t="s">
        <v>133</v>
      </c>
      <c r="I494" s="16" t="s">
        <v>123</v>
      </c>
    </row>
    <row r="495" ht="15.75" customHeight="1">
      <c r="A495" s="16" t="s">
        <v>113</v>
      </c>
      <c r="B495" s="14">
        <v>43651.0</v>
      </c>
      <c r="C495" s="16" t="s">
        <v>114</v>
      </c>
      <c r="D495" s="16" t="s">
        <v>115</v>
      </c>
      <c r="E495" s="17">
        <v>43651.5208333333</v>
      </c>
      <c r="F495" s="17">
        <v>43651.3541666667</v>
      </c>
      <c r="G495" s="14">
        <v>43651.0</v>
      </c>
      <c r="H495" s="16"/>
      <c r="I495" s="16" t="s">
        <v>116</v>
      </c>
    </row>
    <row r="496" ht="15.75" customHeight="1">
      <c r="A496" s="16" t="s">
        <v>117</v>
      </c>
      <c r="B496" s="14">
        <v>43657.0</v>
      </c>
      <c r="C496" s="16" t="s">
        <v>114</v>
      </c>
      <c r="D496" s="16" t="s">
        <v>115</v>
      </c>
      <c r="E496" s="17">
        <v>43657.5208333333</v>
      </c>
      <c r="F496" s="17">
        <v>43657.3541666667</v>
      </c>
      <c r="G496" s="14">
        <v>43657.0</v>
      </c>
      <c r="H496" s="16"/>
      <c r="I496" s="16" t="s">
        <v>118</v>
      </c>
    </row>
    <row r="497" ht="15.75" customHeight="1">
      <c r="A497" s="16" t="s">
        <v>124</v>
      </c>
      <c r="B497" s="14">
        <v>43662.0</v>
      </c>
      <c r="C497" s="16" t="s">
        <v>120</v>
      </c>
      <c r="D497" s="16" t="s">
        <v>121</v>
      </c>
      <c r="E497" s="17">
        <v>43661.9479166667</v>
      </c>
      <c r="F497" s="17">
        <v>43661.78125</v>
      </c>
      <c r="G497" s="14">
        <v>43661.0</v>
      </c>
      <c r="H497" s="16" t="s">
        <v>134</v>
      </c>
      <c r="I497" s="16" t="s">
        <v>123</v>
      </c>
    </row>
    <row r="498" ht="15.75" customHeight="1">
      <c r="A498" s="16" t="s">
        <v>113</v>
      </c>
      <c r="B498" s="14">
        <v>43679.0</v>
      </c>
      <c r="C498" s="16" t="s">
        <v>114</v>
      </c>
      <c r="D498" s="16" t="s">
        <v>115</v>
      </c>
      <c r="E498" s="17">
        <v>43679.5208333333</v>
      </c>
      <c r="F498" s="17">
        <v>43679.3541666667</v>
      </c>
      <c r="G498" s="14">
        <v>43679.0</v>
      </c>
      <c r="H498" s="16"/>
      <c r="I498" s="16" t="s">
        <v>116</v>
      </c>
    </row>
    <row r="499" ht="15.75" customHeight="1">
      <c r="A499" s="16" t="s">
        <v>126</v>
      </c>
      <c r="B499" s="14">
        <v>43683.0</v>
      </c>
      <c r="C499" s="16" t="s">
        <v>120</v>
      </c>
      <c r="D499" s="16" t="s">
        <v>121</v>
      </c>
      <c r="E499" s="17">
        <v>43682.9479166667</v>
      </c>
      <c r="F499" s="17">
        <v>43682.78125</v>
      </c>
      <c r="G499" s="14">
        <v>43682.0</v>
      </c>
      <c r="H499" s="16" t="s">
        <v>134</v>
      </c>
      <c r="I499" s="16" t="s">
        <v>123</v>
      </c>
    </row>
    <row r="500" ht="15.75" customHeight="1">
      <c r="A500" s="16" t="s">
        <v>117</v>
      </c>
      <c r="B500" s="14">
        <v>43690.0</v>
      </c>
      <c r="C500" s="16" t="s">
        <v>114</v>
      </c>
      <c r="D500" s="16" t="s">
        <v>115</v>
      </c>
      <c r="E500" s="17">
        <v>43690.5208333333</v>
      </c>
      <c r="F500" s="17">
        <v>43690.3541666667</v>
      </c>
      <c r="G500" s="14">
        <v>43690.0</v>
      </c>
      <c r="H500" s="16"/>
      <c r="I500" s="16" t="s">
        <v>118</v>
      </c>
    </row>
    <row r="501" ht="15.75" customHeight="1">
      <c r="A501" s="16" t="s">
        <v>113</v>
      </c>
      <c r="B501" s="14">
        <v>43714.0</v>
      </c>
      <c r="C501" s="16" t="s">
        <v>114</v>
      </c>
      <c r="D501" s="16" t="s">
        <v>115</v>
      </c>
      <c r="E501" s="17">
        <v>43714.5208333333</v>
      </c>
      <c r="F501" s="17">
        <v>43714.3541666667</v>
      </c>
      <c r="G501" s="14">
        <v>43714.0</v>
      </c>
      <c r="H501" s="16"/>
      <c r="I501" s="16" t="s">
        <v>116</v>
      </c>
    </row>
    <row r="502" ht="15.75" customHeight="1">
      <c r="A502" s="16" t="s">
        <v>117</v>
      </c>
      <c r="B502" s="14">
        <v>43720.0</v>
      </c>
      <c r="C502" s="16" t="s">
        <v>114</v>
      </c>
      <c r="D502" s="16" t="s">
        <v>115</v>
      </c>
      <c r="E502" s="17">
        <v>43720.5208333333</v>
      </c>
      <c r="F502" s="17">
        <v>43720.3541666667</v>
      </c>
      <c r="G502" s="14">
        <v>43720.0</v>
      </c>
      <c r="H502" s="16"/>
      <c r="I502" s="16" t="s">
        <v>118</v>
      </c>
    </row>
    <row r="503" ht="15.75" customHeight="1">
      <c r="A503" s="16" t="s">
        <v>119</v>
      </c>
      <c r="B503" s="14">
        <v>43727.0</v>
      </c>
      <c r="C503" s="16" t="s">
        <v>120</v>
      </c>
      <c r="D503" s="16" t="s">
        <v>121</v>
      </c>
      <c r="E503" s="17">
        <v>43726.9479166667</v>
      </c>
      <c r="F503" s="17">
        <v>43726.78125</v>
      </c>
      <c r="G503" s="14">
        <v>43726.0</v>
      </c>
      <c r="H503" s="16" t="s">
        <v>134</v>
      </c>
      <c r="I503" s="16" t="s">
        <v>123</v>
      </c>
    </row>
    <row r="504" ht="15.75" customHeight="1">
      <c r="A504" s="16" t="s">
        <v>113</v>
      </c>
      <c r="B504" s="14">
        <v>43742.0</v>
      </c>
      <c r="C504" s="16" t="s">
        <v>114</v>
      </c>
      <c r="D504" s="16" t="s">
        <v>115</v>
      </c>
      <c r="E504" s="17">
        <v>43742.5208333333</v>
      </c>
      <c r="F504" s="17">
        <v>43742.3541666667</v>
      </c>
      <c r="G504" s="14">
        <v>43742.0</v>
      </c>
      <c r="H504" s="16"/>
      <c r="I504" s="16" t="s">
        <v>116</v>
      </c>
    </row>
    <row r="505" ht="15.75" customHeight="1">
      <c r="A505" s="16" t="s">
        <v>117</v>
      </c>
      <c r="B505" s="14">
        <v>43748.0</v>
      </c>
      <c r="C505" s="16" t="s">
        <v>114</v>
      </c>
      <c r="D505" s="16" t="s">
        <v>115</v>
      </c>
      <c r="E505" s="17">
        <v>43748.5208333333</v>
      </c>
      <c r="F505" s="17">
        <v>43748.3541666667</v>
      </c>
      <c r="G505" s="14">
        <v>43748.0</v>
      </c>
      <c r="H505" s="16"/>
      <c r="I505" s="16" t="s">
        <v>118</v>
      </c>
    </row>
    <row r="506" ht="15.75" customHeight="1">
      <c r="A506" s="16" t="s">
        <v>124</v>
      </c>
      <c r="B506" s="14">
        <v>43754.0</v>
      </c>
      <c r="C506" s="16" t="s">
        <v>120</v>
      </c>
      <c r="D506" s="16" t="s">
        <v>121</v>
      </c>
      <c r="E506" s="17">
        <v>43753.90625</v>
      </c>
      <c r="F506" s="17">
        <v>43753.7395833333</v>
      </c>
      <c r="G506" s="14">
        <v>43753.0</v>
      </c>
      <c r="H506" s="16" t="s">
        <v>135</v>
      </c>
      <c r="I506" s="16" t="s">
        <v>123</v>
      </c>
    </row>
    <row r="507" ht="15.75" customHeight="1">
      <c r="A507" s="16" t="s">
        <v>113</v>
      </c>
      <c r="B507" s="14">
        <v>43770.0</v>
      </c>
      <c r="C507" s="16" t="s">
        <v>114</v>
      </c>
      <c r="D507" s="16" t="s">
        <v>115</v>
      </c>
      <c r="E507" s="17">
        <v>43770.5208333333</v>
      </c>
      <c r="F507" s="17">
        <v>43770.3541666667</v>
      </c>
      <c r="G507" s="14">
        <v>43770.0</v>
      </c>
      <c r="H507" s="16"/>
      <c r="I507" s="16" t="s">
        <v>116</v>
      </c>
    </row>
    <row r="508" ht="15.75" customHeight="1">
      <c r="A508" s="16" t="s">
        <v>126</v>
      </c>
      <c r="B508" s="14">
        <v>43775.0</v>
      </c>
      <c r="C508" s="16" t="s">
        <v>120</v>
      </c>
      <c r="D508" s="16" t="s">
        <v>121</v>
      </c>
      <c r="E508" s="17">
        <v>43774.90625</v>
      </c>
      <c r="F508" s="17">
        <v>43774.6979166667</v>
      </c>
      <c r="G508" s="14">
        <v>43774.0</v>
      </c>
      <c r="H508" s="16" t="s">
        <v>135</v>
      </c>
      <c r="I508" s="16" t="s">
        <v>123</v>
      </c>
    </row>
    <row r="509" ht="15.75" customHeight="1">
      <c r="A509" s="16" t="s">
        <v>117</v>
      </c>
      <c r="B509" s="14">
        <v>43782.0</v>
      </c>
      <c r="C509" s="16" t="s">
        <v>114</v>
      </c>
      <c r="D509" s="16" t="s">
        <v>115</v>
      </c>
      <c r="E509" s="17">
        <v>43782.5625</v>
      </c>
      <c r="F509" s="17">
        <v>43782.3541666667</v>
      </c>
      <c r="G509" s="14">
        <v>43782.0</v>
      </c>
      <c r="H509" s="16"/>
      <c r="I509" s="16" t="s">
        <v>118</v>
      </c>
    </row>
    <row r="510" ht="15.75" customHeight="1">
      <c r="A510" s="16" t="s">
        <v>113</v>
      </c>
      <c r="B510" s="14">
        <v>43805.0</v>
      </c>
      <c r="C510" s="16" t="s">
        <v>114</v>
      </c>
      <c r="D510" s="16" t="s">
        <v>115</v>
      </c>
      <c r="E510" s="17">
        <v>43805.5625</v>
      </c>
      <c r="F510" s="17">
        <v>43805.3541666667</v>
      </c>
      <c r="G510" s="14">
        <v>43805.0</v>
      </c>
      <c r="H510" s="16"/>
      <c r="I510" s="16" t="s">
        <v>116</v>
      </c>
    </row>
    <row r="511" ht="15.75" customHeight="1">
      <c r="A511" s="16" t="s">
        <v>117</v>
      </c>
      <c r="B511" s="14">
        <v>43810.0</v>
      </c>
      <c r="C511" s="16" t="s">
        <v>114</v>
      </c>
      <c r="D511" s="16" t="s">
        <v>115</v>
      </c>
      <c r="E511" s="17">
        <v>43810.5625</v>
      </c>
      <c r="F511" s="17">
        <v>43810.3541666667</v>
      </c>
      <c r="G511" s="14">
        <v>43810.0</v>
      </c>
      <c r="H511" s="16"/>
      <c r="I511" s="16" t="s">
        <v>118</v>
      </c>
    </row>
    <row r="512" ht="15.75" customHeight="1">
      <c r="A512" s="16" t="s">
        <v>119</v>
      </c>
      <c r="B512" s="14">
        <v>43818.0</v>
      </c>
      <c r="C512" s="16" t="s">
        <v>120</v>
      </c>
      <c r="D512" s="16" t="s">
        <v>121</v>
      </c>
      <c r="E512" s="17">
        <v>43817.90625</v>
      </c>
      <c r="F512" s="17">
        <v>43817.6979166667</v>
      </c>
      <c r="G512" s="14">
        <v>43817.0</v>
      </c>
      <c r="H512" s="16" t="s">
        <v>135</v>
      </c>
      <c r="I512" s="16" t="s">
        <v>123</v>
      </c>
    </row>
    <row r="513" ht="15.75" customHeight="1">
      <c r="A513" s="16" t="s">
        <v>113</v>
      </c>
      <c r="B513" s="14">
        <v>43840.0</v>
      </c>
      <c r="C513" s="16" t="s">
        <v>114</v>
      </c>
      <c r="D513" s="16" t="s">
        <v>115</v>
      </c>
      <c r="E513" s="17">
        <v>43840.5625</v>
      </c>
      <c r="F513" s="17">
        <v>43840.3541666667</v>
      </c>
      <c r="G513" s="14">
        <v>43840.0</v>
      </c>
      <c r="H513" s="16"/>
      <c r="I513" s="16" t="s">
        <v>116</v>
      </c>
    </row>
    <row r="514" ht="15.75" customHeight="1">
      <c r="A514" s="16" t="s">
        <v>117</v>
      </c>
      <c r="B514" s="14">
        <v>43844.0</v>
      </c>
      <c r="C514" s="16" t="s">
        <v>114</v>
      </c>
      <c r="D514" s="16" t="s">
        <v>115</v>
      </c>
      <c r="E514" s="17">
        <v>43844.5625</v>
      </c>
      <c r="F514" s="17">
        <v>43844.3541666667</v>
      </c>
      <c r="G514" s="14">
        <v>43844.0</v>
      </c>
      <c r="H514" s="16"/>
      <c r="I514" s="16" t="s">
        <v>118</v>
      </c>
    </row>
    <row r="515" ht="15.75" customHeight="1">
      <c r="A515" s="16" t="s">
        <v>124</v>
      </c>
      <c r="B515" s="14">
        <v>43854.0</v>
      </c>
      <c r="C515" s="16" t="s">
        <v>120</v>
      </c>
      <c r="D515" s="16" t="s">
        <v>121</v>
      </c>
      <c r="E515" s="17">
        <v>43853.90625</v>
      </c>
      <c r="F515" s="17">
        <v>43853.6979166667</v>
      </c>
      <c r="G515" s="14">
        <v>43853.0</v>
      </c>
      <c r="H515" s="16" t="s">
        <v>136</v>
      </c>
      <c r="I515" s="16" t="s">
        <v>123</v>
      </c>
    </row>
    <row r="516" ht="15.75" customHeight="1">
      <c r="A516" s="16" t="s">
        <v>126</v>
      </c>
      <c r="B516" s="14">
        <v>43866.0</v>
      </c>
      <c r="C516" s="16" t="s">
        <v>120</v>
      </c>
      <c r="D516" s="16" t="s">
        <v>121</v>
      </c>
      <c r="E516" s="17">
        <v>43865.90625</v>
      </c>
      <c r="F516" s="17">
        <v>43865.6979166667</v>
      </c>
      <c r="G516" s="14">
        <v>43865.0</v>
      </c>
      <c r="H516" s="16" t="s">
        <v>136</v>
      </c>
      <c r="I516" s="16" t="s">
        <v>123</v>
      </c>
    </row>
    <row r="517" ht="15.75" customHeight="1">
      <c r="A517" s="16" t="s">
        <v>113</v>
      </c>
      <c r="B517" s="14">
        <v>43868.0</v>
      </c>
      <c r="C517" s="16" t="s">
        <v>114</v>
      </c>
      <c r="D517" s="16" t="s">
        <v>115</v>
      </c>
      <c r="E517" s="17">
        <v>43868.5625</v>
      </c>
      <c r="F517" s="17">
        <v>43868.3541666667</v>
      </c>
      <c r="G517" s="14">
        <v>43868.0</v>
      </c>
      <c r="H517" s="16"/>
      <c r="I517" s="16" t="s">
        <v>116</v>
      </c>
    </row>
    <row r="518" ht="15.75" customHeight="1">
      <c r="A518" s="16" t="s">
        <v>117</v>
      </c>
      <c r="B518" s="14">
        <v>43874.0</v>
      </c>
      <c r="C518" s="16" t="s">
        <v>114</v>
      </c>
      <c r="D518" s="16" t="s">
        <v>115</v>
      </c>
      <c r="E518" s="17">
        <v>43874.5625</v>
      </c>
      <c r="F518" s="17">
        <v>43874.3541666667</v>
      </c>
      <c r="G518" s="14">
        <v>43874.0</v>
      </c>
      <c r="H518" s="16"/>
      <c r="I518" s="16" t="s">
        <v>118</v>
      </c>
    </row>
    <row r="519" ht="15.75" customHeight="1">
      <c r="A519" s="16" t="s">
        <v>113</v>
      </c>
      <c r="B519" s="14">
        <v>43896.0</v>
      </c>
      <c r="C519" s="16" t="s">
        <v>114</v>
      </c>
      <c r="D519" s="16" t="s">
        <v>115</v>
      </c>
      <c r="E519" s="17">
        <v>43896.5625</v>
      </c>
      <c r="F519" s="17">
        <v>43896.3541666667</v>
      </c>
      <c r="G519" s="14">
        <v>43896.0</v>
      </c>
      <c r="H519" s="16"/>
      <c r="I519" s="16" t="s">
        <v>116</v>
      </c>
    </row>
    <row r="520" ht="15.75" customHeight="1">
      <c r="A520" s="16" t="s">
        <v>117</v>
      </c>
      <c r="B520" s="14">
        <v>43901.0</v>
      </c>
      <c r="C520" s="16" t="s">
        <v>114</v>
      </c>
      <c r="D520" s="16" t="s">
        <v>115</v>
      </c>
      <c r="E520" s="17">
        <v>43901.5208333333</v>
      </c>
      <c r="F520" s="17">
        <v>43901.3541666667</v>
      </c>
      <c r="G520" s="14">
        <v>43901.0</v>
      </c>
      <c r="H520" s="16"/>
      <c r="I520" s="16" t="s">
        <v>118</v>
      </c>
    </row>
    <row r="521" ht="15.75" customHeight="1">
      <c r="A521" s="16" t="s">
        <v>119</v>
      </c>
      <c r="B521" s="14">
        <v>43909.0</v>
      </c>
      <c r="C521" s="16" t="s">
        <v>120</v>
      </c>
      <c r="D521" s="16" t="s">
        <v>121</v>
      </c>
      <c r="E521" s="17">
        <v>43908.90625</v>
      </c>
      <c r="F521" s="17">
        <v>43908.7395833333</v>
      </c>
      <c r="G521" s="14">
        <v>43908.0</v>
      </c>
      <c r="H521" s="16" t="s">
        <v>136</v>
      </c>
      <c r="I521" s="16" t="s">
        <v>123</v>
      </c>
    </row>
    <row r="522" ht="15.75" customHeight="1">
      <c r="A522" s="16" t="s">
        <v>113</v>
      </c>
      <c r="B522" s="14">
        <v>43924.0</v>
      </c>
      <c r="C522" s="16" t="s">
        <v>114</v>
      </c>
      <c r="D522" s="16" t="s">
        <v>115</v>
      </c>
      <c r="E522" s="17">
        <v>43924.5208333333</v>
      </c>
      <c r="F522" s="17">
        <v>43924.3541666667</v>
      </c>
      <c r="G522" s="14">
        <v>43924.0</v>
      </c>
      <c r="H522" s="16"/>
      <c r="I522" s="16" t="s">
        <v>116</v>
      </c>
    </row>
    <row r="523" ht="15.75" customHeight="1">
      <c r="A523" s="16" t="s">
        <v>117</v>
      </c>
      <c r="B523" s="14">
        <v>43931.0</v>
      </c>
      <c r="C523" s="16" t="s">
        <v>114</v>
      </c>
      <c r="D523" s="16" t="s">
        <v>115</v>
      </c>
      <c r="E523" s="17">
        <v>43931.5208333333</v>
      </c>
      <c r="F523" s="17">
        <v>43931.3541666667</v>
      </c>
      <c r="G523" s="14">
        <v>43931.0</v>
      </c>
      <c r="H523" s="16"/>
      <c r="I523" s="16" t="s">
        <v>118</v>
      </c>
    </row>
    <row r="524" ht="15.75" customHeight="1">
      <c r="A524" s="16" t="s">
        <v>124</v>
      </c>
      <c r="B524" s="14">
        <v>43941.0</v>
      </c>
      <c r="C524" s="16" t="s">
        <v>120</v>
      </c>
      <c r="D524" s="16" t="s">
        <v>121</v>
      </c>
      <c r="E524" s="17">
        <v>43940.9479166667</v>
      </c>
      <c r="F524" s="17">
        <v>43940.78125</v>
      </c>
      <c r="G524" s="14">
        <v>43940.0</v>
      </c>
      <c r="H524" s="16" t="s">
        <v>137</v>
      </c>
      <c r="I524" s="16" t="s">
        <v>123</v>
      </c>
    </row>
    <row r="525" ht="15.75" customHeight="1">
      <c r="A525" s="16" t="s">
        <v>126</v>
      </c>
      <c r="B525" s="14">
        <v>43957.0</v>
      </c>
      <c r="C525" s="16" t="s">
        <v>120</v>
      </c>
      <c r="D525" s="16" t="s">
        <v>121</v>
      </c>
      <c r="E525" s="17">
        <v>43956.9479166667</v>
      </c>
      <c r="F525" s="17">
        <v>43956.78125</v>
      </c>
      <c r="G525" s="14">
        <v>43956.0</v>
      </c>
      <c r="H525" s="16" t="s">
        <v>137</v>
      </c>
      <c r="I525" s="16" t="s">
        <v>123</v>
      </c>
    </row>
    <row r="526" ht="15.75" customHeight="1">
      <c r="A526" s="16" t="s">
        <v>113</v>
      </c>
      <c r="B526" s="14">
        <v>43959.0</v>
      </c>
      <c r="C526" s="16" t="s">
        <v>114</v>
      </c>
      <c r="D526" s="16" t="s">
        <v>115</v>
      </c>
      <c r="E526" s="17">
        <v>43959.5208333333</v>
      </c>
      <c r="F526" s="17">
        <v>43959.3541666667</v>
      </c>
      <c r="G526" s="14">
        <v>43959.0</v>
      </c>
      <c r="H526" s="16"/>
      <c r="I526" s="16" t="s">
        <v>116</v>
      </c>
    </row>
    <row r="527" ht="15.75" customHeight="1">
      <c r="A527" s="16" t="s">
        <v>117</v>
      </c>
      <c r="B527" s="14">
        <v>43963.0</v>
      </c>
      <c r="C527" s="16" t="s">
        <v>114</v>
      </c>
      <c r="D527" s="16" t="s">
        <v>115</v>
      </c>
      <c r="E527" s="17">
        <v>43963.5208333333</v>
      </c>
      <c r="F527" s="17">
        <v>43963.3541666667</v>
      </c>
      <c r="G527" s="14">
        <v>43963.0</v>
      </c>
      <c r="H527" s="16"/>
      <c r="I527" s="16" t="s">
        <v>118</v>
      </c>
    </row>
    <row r="528" ht="15.75" customHeight="1">
      <c r="A528" s="16" t="s">
        <v>113</v>
      </c>
      <c r="B528" s="14">
        <v>43987.0</v>
      </c>
      <c r="C528" s="16" t="s">
        <v>114</v>
      </c>
      <c r="D528" s="16" t="s">
        <v>115</v>
      </c>
      <c r="E528" s="17">
        <v>43987.5208333333</v>
      </c>
      <c r="F528" s="17">
        <v>43987.3541666667</v>
      </c>
      <c r="G528" s="14">
        <v>43987.0</v>
      </c>
      <c r="H528" s="16"/>
      <c r="I528" s="16" t="s">
        <v>116</v>
      </c>
    </row>
    <row r="529" ht="15.75" customHeight="1">
      <c r="A529" s="16" t="s">
        <v>117</v>
      </c>
      <c r="B529" s="14">
        <v>43992.0</v>
      </c>
      <c r="C529" s="16" t="s">
        <v>114</v>
      </c>
      <c r="D529" s="16" t="s">
        <v>115</v>
      </c>
      <c r="E529" s="17">
        <v>43992.5208333333</v>
      </c>
      <c r="F529" s="17">
        <v>43992.3541666667</v>
      </c>
      <c r="G529" s="14">
        <v>43992.0</v>
      </c>
      <c r="H529" s="16"/>
      <c r="I529" s="16" t="s">
        <v>118</v>
      </c>
    </row>
    <row r="530" ht="15.75" customHeight="1">
      <c r="A530" s="16" t="s">
        <v>119</v>
      </c>
      <c r="B530" s="14">
        <v>44000.0</v>
      </c>
      <c r="C530" s="16" t="s">
        <v>120</v>
      </c>
      <c r="D530" s="16" t="s">
        <v>121</v>
      </c>
      <c r="E530" s="17">
        <v>43999.9479166667</v>
      </c>
      <c r="F530" s="17">
        <v>43999.78125</v>
      </c>
      <c r="G530" s="14">
        <v>43999.0</v>
      </c>
      <c r="H530" s="16" t="s">
        <v>137</v>
      </c>
      <c r="I530" s="16" t="s">
        <v>123</v>
      </c>
    </row>
    <row r="531" ht="15.75" customHeight="1">
      <c r="A531" s="16" t="s">
        <v>113</v>
      </c>
      <c r="B531" s="14">
        <v>44014.0</v>
      </c>
      <c r="C531" s="16" t="s">
        <v>114</v>
      </c>
      <c r="D531" s="16" t="s">
        <v>115</v>
      </c>
      <c r="E531" s="17">
        <v>44014.5208333333</v>
      </c>
      <c r="F531" s="17">
        <v>44014.3541666667</v>
      </c>
      <c r="G531" s="14">
        <v>44014.0</v>
      </c>
      <c r="H531" s="16"/>
      <c r="I531" s="16" t="s">
        <v>116</v>
      </c>
    </row>
    <row r="532" ht="15.75" customHeight="1">
      <c r="A532" s="16" t="s">
        <v>117</v>
      </c>
      <c r="B532" s="14">
        <v>44026.0</v>
      </c>
      <c r="C532" s="16" t="s">
        <v>114</v>
      </c>
      <c r="D532" s="16" t="s">
        <v>115</v>
      </c>
      <c r="E532" s="17">
        <v>44026.5208333333</v>
      </c>
      <c r="F532" s="17">
        <v>44026.3541666667</v>
      </c>
      <c r="G532" s="14">
        <v>44026.0</v>
      </c>
      <c r="H532" s="16"/>
      <c r="I532" s="16" t="s">
        <v>118</v>
      </c>
    </row>
    <row r="533" ht="15.75" customHeight="1">
      <c r="A533" s="16" t="s">
        <v>124</v>
      </c>
      <c r="B533" s="14">
        <v>44028.0</v>
      </c>
      <c r="C533" s="16" t="s">
        <v>120</v>
      </c>
      <c r="D533" s="16" t="s">
        <v>121</v>
      </c>
      <c r="E533" s="17">
        <v>44027.9479166667</v>
      </c>
      <c r="F533" s="17">
        <v>44027.78125</v>
      </c>
      <c r="G533" s="14">
        <v>44027.0</v>
      </c>
      <c r="H533" s="16" t="s">
        <v>138</v>
      </c>
      <c r="I533" s="16" t="s">
        <v>123</v>
      </c>
    </row>
    <row r="534" ht="15.75" customHeight="1">
      <c r="A534" s="16" t="s">
        <v>126</v>
      </c>
      <c r="B534" s="14">
        <v>44048.0</v>
      </c>
      <c r="C534" s="16" t="s">
        <v>120</v>
      </c>
      <c r="D534" s="16" t="s">
        <v>121</v>
      </c>
      <c r="E534" s="17">
        <v>44047.9479166667</v>
      </c>
      <c r="F534" s="17">
        <v>44047.78125</v>
      </c>
      <c r="G534" s="14">
        <v>44047.0</v>
      </c>
      <c r="H534" s="16" t="s">
        <v>138</v>
      </c>
      <c r="I534" s="16" t="s">
        <v>123</v>
      </c>
    </row>
    <row r="535" ht="15.75" customHeight="1">
      <c r="A535" s="16" t="s">
        <v>113</v>
      </c>
      <c r="B535" s="14">
        <v>44050.0</v>
      </c>
      <c r="C535" s="16" t="s">
        <v>114</v>
      </c>
      <c r="D535" s="16" t="s">
        <v>115</v>
      </c>
      <c r="E535" s="17">
        <v>44050.5208333333</v>
      </c>
      <c r="F535" s="17">
        <v>44050.3541666667</v>
      </c>
      <c r="G535" s="14">
        <v>44050.0</v>
      </c>
      <c r="H535" s="16"/>
      <c r="I535" s="16" t="s">
        <v>116</v>
      </c>
    </row>
    <row r="536" ht="15.75" customHeight="1">
      <c r="A536" s="16" t="s">
        <v>117</v>
      </c>
      <c r="B536" s="14">
        <v>44055.0</v>
      </c>
      <c r="C536" s="16" t="s">
        <v>114</v>
      </c>
      <c r="D536" s="16" t="s">
        <v>115</v>
      </c>
      <c r="E536" s="17">
        <v>44055.5208333333</v>
      </c>
      <c r="F536" s="17">
        <v>44055.3541666667</v>
      </c>
      <c r="G536" s="14">
        <v>44055.0</v>
      </c>
      <c r="H536" s="16"/>
      <c r="I536" s="16" t="s">
        <v>118</v>
      </c>
    </row>
    <row r="537" ht="15.75" customHeight="1">
      <c r="A537" s="16" t="s">
        <v>113</v>
      </c>
      <c r="B537" s="14">
        <v>44078.0</v>
      </c>
      <c r="C537" s="16" t="s">
        <v>114</v>
      </c>
      <c r="D537" s="16" t="s">
        <v>115</v>
      </c>
      <c r="E537" s="17">
        <v>44078.5208333333</v>
      </c>
      <c r="F537" s="17">
        <v>44078.3541666667</v>
      </c>
      <c r="G537" s="14">
        <v>44078.0</v>
      </c>
      <c r="H537" s="16"/>
      <c r="I537" s="16" t="s">
        <v>116</v>
      </c>
    </row>
    <row r="538" ht="15.75" customHeight="1">
      <c r="A538" s="16" t="s">
        <v>117</v>
      </c>
      <c r="B538" s="14">
        <v>44085.0</v>
      </c>
      <c r="C538" s="16" t="s">
        <v>114</v>
      </c>
      <c r="D538" s="16" t="s">
        <v>115</v>
      </c>
      <c r="E538" s="17">
        <v>44085.5208333333</v>
      </c>
      <c r="F538" s="17">
        <v>44085.3541666667</v>
      </c>
      <c r="G538" s="14">
        <v>44085.0</v>
      </c>
      <c r="H538" s="16"/>
      <c r="I538" s="16" t="s">
        <v>118</v>
      </c>
    </row>
    <row r="539" ht="15.75" customHeight="1">
      <c r="A539" s="16" t="s">
        <v>119</v>
      </c>
      <c r="B539" s="14">
        <v>44091.0</v>
      </c>
      <c r="C539" s="16" t="s">
        <v>120</v>
      </c>
      <c r="D539" s="16" t="s">
        <v>121</v>
      </c>
      <c r="E539" s="17">
        <v>44090.9479166667</v>
      </c>
      <c r="F539" s="17">
        <v>44090.78125</v>
      </c>
      <c r="G539" s="14">
        <v>44090.0</v>
      </c>
      <c r="H539" s="16" t="s">
        <v>138</v>
      </c>
      <c r="I539" s="16" t="s">
        <v>123</v>
      </c>
    </row>
    <row r="540" ht="15.75" customHeight="1">
      <c r="A540" s="16" t="s">
        <v>113</v>
      </c>
      <c r="B540" s="14">
        <v>44106.0</v>
      </c>
      <c r="C540" s="16" t="s">
        <v>114</v>
      </c>
      <c r="D540" s="16" t="s">
        <v>115</v>
      </c>
      <c r="E540" s="17">
        <v>44106.5208333333</v>
      </c>
      <c r="F540" s="17">
        <v>44106.3541666667</v>
      </c>
      <c r="G540" s="14">
        <v>44106.0</v>
      </c>
      <c r="H540" s="16"/>
      <c r="I540" s="16" t="s">
        <v>116</v>
      </c>
    </row>
    <row r="541" ht="15.75" customHeight="1">
      <c r="A541" s="16" t="s">
        <v>117</v>
      </c>
      <c r="B541" s="14">
        <v>44117.0</v>
      </c>
      <c r="C541" s="16" t="s">
        <v>114</v>
      </c>
      <c r="D541" s="16" t="s">
        <v>115</v>
      </c>
      <c r="E541" s="17">
        <v>44117.5208333333</v>
      </c>
      <c r="F541" s="17">
        <v>44117.3541666667</v>
      </c>
      <c r="G541" s="14">
        <v>44117.0</v>
      </c>
      <c r="H541" s="16"/>
      <c r="I541" s="16" t="s">
        <v>118</v>
      </c>
    </row>
    <row r="542" ht="15.75" customHeight="1">
      <c r="A542" s="16" t="s">
        <v>124</v>
      </c>
      <c r="B542" s="14">
        <v>44127.0</v>
      </c>
      <c r="C542" s="16" t="s">
        <v>120</v>
      </c>
      <c r="D542" s="16" t="s">
        <v>121</v>
      </c>
      <c r="E542" s="17">
        <v>44126.90625</v>
      </c>
      <c r="F542" s="17">
        <v>44126.7395833333</v>
      </c>
      <c r="G542" s="14">
        <v>44126.0</v>
      </c>
      <c r="H542" s="16" t="s">
        <v>139</v>
      </c>
      <c r="I542" s="16" t="s">
        <v>123</v>
      </c>
    </row>
    <row r="543" ht="15.75" customHeight="1">
      <c r="A543" s="16" t="s">
        <v>126</v>
      </c>
      <c r="B543" s="14">
        <v>44139.0</v>
      </c>
      <c r="C543" s="16" t="s">
        <v>120</v>
      </c>
      <c r="D543" s="16" t="s">
        <v>121</v>
      </c>
      <c r="E543" s="17">
        <v>44138.90625</v>
      </c>
      <c r="F543" s="17">
        <v>44138.6979166667</v>
      </c>
      <c r="G543" s="14">
        <v>44138.0</v>
      </c>
      <c r="H543" s="16" t="s">
        <v>139</v>
      </c>
      <c r="I543" s="16" t="s">
        <v>123</v>
      </c>
    </row>
    <row r="544" ht="15.75" customHeight="1">
      <c r="A544" s="16" t="s">
        <v>113</v>
      </c>
      <c r="B544" s="14">
        <v>44141.0</v>
      </c>
      <c r="C544" s="16" t="s">
        <v>114</v>
      </c>
      <c r="D544" s="16" t="s">
        <v>115</v>
      </c>
      <c r="E544" s="17">
        <v>44141.5625</v>
      </c>
      <c r="F544" s="17">
        <v>44141.3541666667</v>
      </c>
      <c r="G544" s="14">
        <v>44141.0</v>
      </c>
      <c r="H544" s="16"/>
      <c r="I544" s="16" t="s">
        <v>116</v>
      </c>
    </row>
    <row r="545" ht="15.75" customHeight="1">
      <c r="A545" s="16" t="s">
        <v>117</v>
      </c>
      <c r="B545" s="14">
        <v>44147.0</v>
      </c>
      <c r="C545" s="16" t="s">
        <v>114</v>
      </c>
      <c r="D545" s="16" t="s">
        <v>115</v>
      </c>
      <c r="E545" s="17">
        <v>44147.5625</v>
      </c>
      <c r="F545" s="17">
        <v>44147.3541666667</v>
      </c>
      <c r="G545" s="14">
        <v>44147.0</v>
      </c>
      <c r="H545" s="16"/>
      <c r="I545" s="16" t="s">
        <v>118</v>
      </c>
    </row>
    <row r="546" ht="15.75" customHeight="1">
      <c r="A546" s="16" t="s">
        <v>113</v>
      </c>
      <c r="B546" s="14">
        <v>44169.0</v>
      </c>
      <c r="C546" s="16" t="s">
        <v>114</v>
      </c>
      <c r="D546" s="16" t="s">
        <v>115</v>
      </c>
      <c r="E546" s="17">
        <v>44169.5625</v>
      </c>
      <c r="F546" s="17">
        <v>44169.3541666667</v>
      </c>
      <c r="G546" s="14">
        <v>44169.0</v>
      </c>
      <c r="H546" s="16"/>
      <c r="I546" s="16" t="s">
        <v>116</v>
      </c>
    </row>
    <row r="547" ht="15.75" customHeight="1">
      <c r="A547" s="16" t="s">
        <v>117</v>
      </c>
      <c r="B547" s="14">
        <v>44175.0</v>
      </c>
      <c r="C547" s="16" t="s">
        <v>114</v>
      </c>
      <c r="D547" s="16" t="s">
        <v>115</v>
      </c>
      <c r="E547" s="17">
        <v>44175.5625</v>
      </c>
      <c r="F547" s="17">
        <v>44175.3541666667</v>
      </c>
      <c r="G547" s="14">
        <v>44175.0</v>
      </c>
      <c r="H547" s="16"/>
      <c r="I547" s="16" t="s">
        <v>118</v>
      </c>
    </row>
    <row r="548" ht="15.75" customHeight="1">
      <c r="A548" s="16" t="s">
        <v>119</v>
      </c>
      <c r="B548" s="14">
        <v>44182.0</v>
      </c>
      <c r="C548" s="16" t="s">
        <v>120</v>
      </c>
      <c r="D548" s="16" t="s">
        <v>121</v>
      </c>
      <c r="E548" s="17">
        <v>44181.90625</v>
      </c>
      <c r="F548" s="17">
        <v>44181.6979166667</v>
      </c>
      <c r="G548" s="14">
        <v>44181.0</v>
      </c>
      <c r="H548" s="16" t="s">
        <v>139</v>
      </c>
      <c r="I548" s="16" t="s">
        <v>123</v>
      </c>
    </row>
    <row r="549" ht="15.75" customHeight="1">
      <c r="A549" s="16" t="s">
        <v>113</v>
      </c>
      <c r="B549" s="14">
        <v>44204.0</v>
      </c>
      <c r="C549" s="16" t="s">
        <v>114</v>
      </c>
      <c r="D549" s="16" t="s">
        <v>115</v>
      </c>
      <c r="E549" s="17">
        <v>44204.5625</v>
      </c>
      <c r="F549" s="17">
        <v>44204.3541666667</v>
      </c>
      <c r="G549" s="14">
        <v>44204.0</v>
      </c>
      <c r="H549" s="16"/>
      <c r="I549" s="16" t="s">
        <v>116</v>
      </c>
    </row>
    <row r="550" ht="15.75" customHeight="1">
      <c r="A550" s="16" t="s">
        <v>117</v>
      </c>
      <c r="B550" s="14">
        <v>44209.0</v>
      </c>
      <c r="C550" s="16" t="s">
        <v>114</v>
      </c>
      <c r="D550" s="16" t="s">
        <v>115</v>
      </c>
      <c r="E550" s="17">
        <v>44209.5625</v>
      </c>
      <c r="F550" s="17">
        <v>44209.3541666667</v>
      </c>
      <c r="G550" s="14">
        <v>44209.0</v>
      </c>
      <c r="H550" s="16"/>
      <c r="I550" s="16" t="s">
        <v>118</v>
      </c>
    </row>
    <row r="551" ht="15.75" customHeight="1">
      <c r="A551" s="16" t="s">
        <v>124</v>
      </c>
      <c r="B551" s="14">
        <v>44218.0</v>
      </c>
      <c r="C551" s="16" t="s">
        <v>120</v>
      </c>
      <c r="D551" s="16" t="s">
        <v>121</v>
      </c>
      <c r="E551" s="17">
        <v>44217.90625</v>
      </c>
      <c r="F551" s="17">
        <v>44217.6979166667</v>
      </c>
      <c r="G551" s="14">
        <v>44217.0</v>
      </c>
      <c r="H551" s="16" t="s">
        <v>140</v>
      </c>
      <c r="I551" s="16" t="s">
        <v>123</v>
      </c>
    </row>
    <row r="552" ht="15.75" customHeight="1">
      <c r="A552" s="16" t="s">
        <v>126</v>
      </c>
      <c r="B552" s="14">
        <v>44230.0</v>
      </c>
      <c r="C552" s="16" t="s">
        <v>120</v>
      </c>
      <c r="D552" s="16" t="s">
        <v>121</v>
      </c>
      <c r="E552" s="17">
        <v>44229.90625</v>
      </c>
      <c r="F552" s="17">
        <v>44229.6979166667</v>
      </c>
      <c r="G552" s="14">
        <v>44229.0</v>
      </c>
      <c r="H552" s="16" t="s">
        <v>140</v>
      </c>
      <c r="I552" s="16" t="s">
        <v>123</v>
      </c>
    </row>
    <row r="553" ht="15.75" customHeight="1">
      <c r="A553" s="16" t="s">
        <v>113</v>
      </c>
      <c r="B553" s="14">
        <v>44232.0</v>
      </c>
      <c r="C553" s="16" t="s">
        <v>114</v>
      </c>
      <c r="D553" s="16" t="s">
        <v>115</v>
      </c>
      <c r="E553" s="17">
        <v>44232.5625</v>
      </c>
      <c r="F553" s="17">
        <v>44232.3541666667</v>
      </c>
      <c r="G553" s="14">
        <v>44232.0</v>
      </c>
      <c r="H553" s="16"/>
      <c r="I553" s="16" t="s">
        <v>116</v>
      </c>
    </row>
    <row r="554" ht="15.75" customHeight="1">
      <c r="A554" s="16" t="s">
        <v>117</v>
      </c>
      <c r="B554" s="14">
        <v>44237.0</v>
      </c>
      <c r="C554" s="16" t="s">
        <v>114</v>
      </c>
      <c r="D554" s="16" t="s">
        <v>115</v>
      </c>
      <c r="E554" s="17">
        <v>44237.5625</v>
      </c>
      <c r="F554" s="17">
        <v>44237.3541666667</v>
      </c>
      <c r="G554" s="14">
        <v>44237.0</v>
      </c>
      <c r="H554" s="16"/>
      <c r="I554" s="16" t="s">
        <v>118</v>
      </c>
    </row>
    <row r="555" ht="15.75" customHeight="1">
      <c r="A555" s="16" t="s">
        <v>113</v>
      </c>
      <c r="B555" s="14">
        <v>44260.0</v>
      </c>
      <c r="C555" s="16" t="s">
        <v>114</v>
      </c>
      <c r="D555" s="16" t="s">
        <v>115</v>
      </c>
      <c r="E555" s="17">
        <v>44260.5625</v>
      </c>
      <c r="F555" s="17">
        <v>44260.3541666667</v>
      </c>
      <c r="G555" s="14">
        <v>44260.0</v>
      </c>
      <c r="H555" s="16"/>
      <c r="I555" s="16" t="s">
        <v>116</v>
      </c>
    </row>
    <row r="556" ht="15.75" customHeight="1">
      <c r="A556" s="16" t="s">
        <v>117</v>
      </c>
      <c r="B556" s="14">
        <v>44265.0</v>
      </c>
      <c r="C556" s="16" t="s">
        <v>114</v>
      </c>
      <c r="D556" s="16" t="s">
        <v>115</v>
      </c>
      <c r="E556" s="17">
        <v>44265.5625</v>
      </c>
      <c r="F556" s="17">
        <v>44265.3541666667</v>
      </c>
      <c r="G556" s="14">
        <v>44265.0</v>
      </c>
      <c r="H556" s="16"/>
      <c r="I556" s="16" t="s">
        <v>118</v>
      </c>
    </row>
    <row r="557" ht="15.75" customHeight="1">
      <c r="A557" s="16" t="s">
        <v>119</v>
      </c>
      <c r="B557" s="14">
        <v>44273.0</v>
      </c>
      <c r="C557" s="16" t="s">
        <v>120</v>
      </c>
      <c r="D557" s="16" t="s">
        <v>121</v>
      </c>
      <c r="E557" s="17">
        <v>44272.90625</v>
      </c>
      <c r="F557" s="17">
        <v>44272.7395833333</v>
      </c>
      <c r="G557" s="14">
        <v>44272.0</v>
      </c>
      <c r="H557" s="16" t="s">
        <v>140</v>
      </c>
      <c r="I557" s="16" t="s">
        <v>123</v>
      </c>
    </row>
    <row r="558" ht="15.75" customHeight="1">
      <c r="A558" s="16" t="s">
        <v>113</v>
      </c>
      <c r="B558" s="14">
        <v>44288.0</v>
      </c>
      <c r="C558" s="16" t="s">
        <v>114</v>
      </c>
      <c r="D558" s="16" t="s">
        <v>115</v>
      </c>
      <c r="E558" s="17">
        <v>44288.5208333333</v>
      </c>
      <c r="F558" s="17">
        <v>44288.3541666667</v>
      </c>
      <c r="G558" s="14">
        <v>44288.0</v>
      </c>
      <c r="H558" s="16"/>
      <c r="I558" s="16" t="s">
        <v>116</v>
      </c>
    </row>
    <row r="559" ht="15.75" customHeight="1">
      <c r="A559" s="16" t="s">
        <v>117</v>
      </c>
      <c r="B559" s="14">
        <v>44299.0</v>
      </c>
      <c r="C559" s="16" t="s">
        <v>114</v>
      </c>
      <c r="D559" s="16" t="s">
        <v>115</v>
      </c>
      <c r="E559" s="17">
        <v>44299.5208333333</v>
      </c>
      <c r="F559" s="17">
        <v>44299.3541666667</v>
      </c>
      <c r="G559" s="14">
        <v>44299.0</v>
      </c>
      <c r="H559" s="16"/>
      <c r="I559" s="16" t="s">
        <v>118</v>
      </c>
    </row>
    <row r="560" ht="15.75" customHeight="1">
      <c r="A560" s="16" t="s">
        <v>124</v>
      </c>
      <c r="B560" s="14">
        <v>44307.0</v>
      </c>
      <c r="C560" s="16" t="s">
        <v>120</v>
      </c>
      <c r="D560" s="16" t="s">
        <v>121</v>
      </c>
      <c r="E560" s="17">
        <v>44306.9479166667</v>
      </c>
      <c r="F560" s="17">
        <v>44306.78125</v>
      </c>
      <c r="G560" s="14">
        <v>44306.0</v>
      </c>
      <c r="H560" s="16" t="s">
        <v>141</v>
      </c>
      <c r="I560" s="16" t="s">
        <v>123</v>
      </c>
    </row>
    <row r="561" ht="15.75" customHeight="1">
      <c r="A561" s="16" t="s">
        <v>126</v>
      </c>
      <c r="B561" s="14">
        <v>44321.0</v>
      </c>
      <c r="C561" s="16" t="s">
        <v>120</v>
      </c>
      <c r="D561" s="16" t="s">
        <v>121</v>
      </c>
      <c r="E561" s="17">
        <v>44320.9479166667</v>
      </c>
      <c r="F561" s="17">
        <v>44320.78125</v>
      </c>
      <c r="G561" s="14">
        <v>44320.0</v>
      </c>
      <c r="H561" s="16" t="s">
        <v>141</v>
      </c>
      <c r="I561" s="16" t="s">
        <v>123</v>
      </c>
    </row>
    <row r="562" ht="15.75" customHeight="1">
      <c r="A562" s="16" t="s">
        <v>113</v>
      </c>
      <c r="B562" s="14">
        <v>44323.0</v>
      </c>
      <c r="C562" s="16" t="s">
        <v>114</v>
      </c>
      <c r="D562" s="16" t="s">
        <v>115</v>
      </c>
      <c r="E562" s="17">
        <v>44323.5208333333</v>
      </c>
      <c r="F562" s="17">
        <v>44323.3541666667</v>
      </c>
      <c r="G562" s="14">
        <v>44323.0</v>
      </c>
      <c r="H562" s="16"/>
      <c r="I562" s="16" t="s">
        <v>116</v>
      </c>
    </row>
    <row r="563" ht="15.75" customHeight="1">
      <c r="A563" s="16" t="s">
        <v>117</v>
      </c>
      <c r="B563" s="14">
        <v>44328.0</v>
      </c>
      <c r="C563" s="16" t="s">
        <v>114</v>
      </c>
      <c r="D563" s="16" t="s">
        <v>115</v>
      </c>
      <c r="E563" s="17">
        <v>44328.5208333333</v>
      </c>
      <c r="F563" s="17">
        <v>44328.3541666667</v>
      </c>
      <c r="G563" s="14">
        <v>44328.0</v>
      </c>
      <c r="H563" s="16"/>
      <c r="I563" s="16" t="s">
        <v>118</v>
      </c>
    </row>
    <row r="564" ht="15.75" customHeight="1">
      <c r="A564" s="16" t="s">
        <v>113</v>
      </c>
      <c r="B564" s="14">
        <v>44351.0</v>
      </c>
      <c r="C564" s="16" t="s">
        <v>114</v>
      </c>
      <c r="D564" s="16" t="s">
        <v>115</v>
      </c>
      <c r="E564" s="17">
        <v>44351.5208333333</v>
      </c>
      <c r="F564" s="17">
        <v>44351.3541666667</v>
      </c>
      <c r="G564" s="14">
        <v>44351.0</v>
      </c>
      <c r="H564" s="16"/>
      <c r="I564" s="16" t="s">
        <v>116</v>
      </c>
    </row>
    <row r="565" ht="15.75" customHeight="1">
      <c r="A565" s="16" t="s">
        <v>117</v>
      </c>
      <c r="B565" s="14">
        <v>44357.0</v>
      </c>
      <c r="C565" s="16" t="s">
        <v>114</v>
      </c>
      <c r="D565" s="16" t="s">
        <v>115</v>
      </c>
      <c r="E565" s="17">
        <v>44357.5208333333</v>
      </c>
      <c r="F565" s="17">
        <v>44357.3541666667</v>
      </c>
      <c r="G565" s="14">
        <v>44357.0</v>
      </c>
      <c r="H565" s="16"/>
      <c r="I565" s="16" t="s">
        <v>118</v>
      </c>
    </row>
    <row r="566" ht="15.75" customHeight="1">
      <c r="A566" s="16" t="s">
        <v>119</v>
      </c>
      <c r="B566" s="14">
        <v>44364.0</v>
      </c>
      <c r="C566" s="16" t="s">
        <v>120</v>
      </c>
      <c r="D566" s="16" t="s">
        <v>121</v>
      </c>
      <c r="E566" s="17">
        <v>44363.9479166667</v>
      </c>
      <c r="F566" s="17">
        <v>44363.78125</v>
      </c>
      <c r="G566" s="14">
        <v>44363.0</v>
      </c>
      <c r="H566" s="16" t="s">
        <v>141</v>
      </c>
      <c r="I566" s="16" t="s">
        <v>123</v>
      </c>
    </row>
    <row r="567" ht="15.75" customHeight="1">
      <c r="A567" s="16" t="s">
        <v>113</v>
      </c>
      <c r="B567" s="14">
        <v>44379.0</v>
      </c>
      <c r="C567" s="16" t="s">
        <v>114</v>
      </c>
      <c r="D567" s="16" t="s">
        <v>115</v>
      </c>
      <c r="E567" s="17">
        <v>44379.5208333333</v>
      </c>
      <c r="F567" s="17">
        <v>44379.3541666667</v>
      </c>
      <c r="G567" s="14">
        <v>44379.0</v>
      </c>
      <c r="H567" s="16"/>
      <c r="I567" s="16" t="s">
        <v>116</v>
      </c>
    </row>
    <row r="568" ht="15.75" customHeight="1">
      <c r="A568" s="16" t="s">
        <v>117</v>
      </c>
      <c r="B568" s="14">
        <v>44390.0</v>
      </c>
      <c r="C568" s="16" t="s">
        <v>114</v>
      </c>
      <c r="D568" s="16" t="s">
        <v>115</v>
      </c>
      <c r="E568" s="17">
        <v>44390.5208333333</v>
      </c>
      <c r="F568" s="17">
        <v>44390.3541666667</v>
      </c>
      <c r="G568" s="14">
        <v>44390.0</v>
      </c>
      <c r="H568" s="16"/>
      <c r="I568" s="16" t="s">
        <v>118</v>
      </c>
    </row>
    <row r="569" ht="15.75" customHeight="1">
      <c r="A569" s="16" t="s">
        <v>124</v>
      </c>
      <c r="B569" s="14">
        <v>44393.0</v>
      </c>
      <c r="C569" s="16" t="s">
        <v>120</v>
      </c>
      <c r="D569" s="16" t="s">
        <v>121</v>
      </c>
      <c r="E569" s="17">
        <v>44392.9479166667</v>
      </c>
      <c r="F569" s="17">
        <v>44392.78125</v>
      </c>
      <c r="G569" s="14">
        <v>44392.0</v>
      </c>
      <c r="H569" s="16" t="s">
        <v>142</v>
      </c>
      <c r="I569" s="16" t="s">
        <v>123</v>
      </c>
    </row>
    <row r="570" ht="15.75" customHeight="1">
      <c r="A570" s="16" t="s">
        <v>126</v>
      </c>
      <c r="B570" s="14">
        <v>44412.0</v>
      </c>
      <c r="C570" s="16" t="s">
        <v>120</v>
      </c>
      <c r="D570" s="16" t="s">
        <v>121</v>
      </c>
      <c r="E570" s="17">
        <v>44411.9479166667</v>
      </c>
      <c r="F570" s="17">
        <v>44411.78125</v>
      </c>
      <c r="G570" s="14">
        <v>44411.0</v>
      </c>
      <c r="H570" s="16" t="s">
        <v>142</v>
      </c>
      <c r="I570" s="16" t="s">
        <v>123</v>
      </c>
    </row>
    <row r="571" ht="15.75" customHeight="1">
      <c r="A571" s="16" t="s">
        <v>113</v>
      </c>
      <c r="B571" s="14">
        <v>44414.0</v>
      </c>
      <c r="C571" s="16" t="s">
        <v>114</v>
      </c>
      <c r="D571" s="16" t="s">
        <v>115</v>
      </c>
      <c r="E571" s="17">
        <v>44414.5208333333</v>
      </c>
      <c r="F571" s="17">
        <v>44414.3541666667</v>
      </c>
      <c r="G571" s="14">
        <v>44414.0</v>
      </c>
      <c r="H571" s="16"/>
      <c r="I571" s="16" t="s">
        <v>116</v>
      </c>
    </row>
    <row r="572" ht="15.75" customHeight="1">
      <c r="A572" s="16" t="s">
        <v>117</v>
      </c>
      <c r="B572" s="14">
        <v>44419.0</v>
      </c>
      <c r="C572" s="16" t="s">
        <v>114</v>
      </c>
      <c r="D572" s="16" t="s">
        <v>115</v>
      </c>
      <c r="E572" s="17">
        <v>44419.5208333333</v>
      </c>
      <c r="F572" s="17">
        <v>44419.3541666667</v>
      </c>
      <c r="G572" s="14">
        <v>44419.0</v>
      </c>
      <c r="H572" s="16"/>
      <c r="I572" s="16" t="s">
        <v>118</v>
      </c>
    </row>
    <row r="573" ht="15.75" customHeight="1">
      <c r="A573" s="16" t="s">
        <v>113</v>
      </c>
      <c r="B573" s="14">
        <v>44442.0</v>
      </c>
      <c r="C573" s="16" t="s">
        <v>114</v>
      </c>
      <c r="D573" s="16" t="s">
        <v>115</v>
      </c>
      <c r="E573" s="17">
        <v>44442.5208333333</v>
      </c>
      <c r="F573" s="17">
        <v>44442.3541666667</v>
      </c>
      <c r="G573" s="14">
        <v>44442.0</v>
      </c>
      <c r="H573" s="16"/>
      <c r="I573" s="16" t="s">
        <v>116</v>
      </c>
    </row>
    <row r="574" ht="15.75" customHeight="1">
      <c r="A574" s="16" t="s">
        <v>117</v>
      </c>
      <c r="B574" s="14">
        <v>44453.0</v>
      </c>
      <c r="C574" s="16" t="s">
        <v>114</v>
      </c>
      <c r="D574" s="16" t="s">
        <v>115</v>
      </c>
      <c r="E574" s="17">
        <v>44453.5208333333</v>
      </c>
      <c r="F574" s="17">
        <v>44453.3541666667</v>
      </c>
      <c r="G574" s="14">
        <v>44453.0</v>
      </c>
      <c r="H574" s="16"/>
      <c r="I574" s="16" t="s">
        <v>118</v>
      </c>
    </row>
    <row r="575" ht="15.75" customHeight="1">
      <c r="A575" s="16" t="s">
        <v>119</v>
      </c>
      <c r="B575" s="14">
        <v>44455.0</v>
      </c>
      <c r="C575" s="16" t="s">
        <v>120</v>
      </c>
      <c r="D575" s="16" t="s">
        <v>121</v>
      </c>
      <c r="E575" s="17">
        <v>44454.9479166667</v>
      </c>
      <c r="F575" s="17">
        <v>44454.78125</v>
      </c>
      <c r="G575" s="14">
        <v>44454.0</v>
      </c>
      <c r="H575" s="16" t="s">
        <v>143</v>
      </c>
      <c r="I575" s="16" t="s">
        <v>123</v>
      </c>
    </row>
    <row r="576" ht="15.75" customHeight="1">
      <c r="A576" s="16" t="s">
        <v>113</v>
      </c>
      <c r="B576" s="14">
        <v>44477.0</v>
      </c>
      <c r="C576" s="16" t="s">
        <v>114</v>
      </c>
      <c r="D576" s="16" t="s">
        <v>115</v>
      </c>
      <c r="E576" s="17">
        <v>44477.5208333333</v>
      </c>
      <c r="F576" s="17">
        <v>44477.3541666667</v>
      </c>
      <c r="G576" s="14">
        <v>44477.0</v>
      </c>
      <c r="H576" s="16"/>
      <c r="I576" s="16" t="s">
        <v>116</v>
      </c>
    </row>
    <row r="577" ht="15.75" customHeight="1">
      <c r="A577" s="16" t="s">
        <v>117</v>
      </c>
      <c r="B577" s="14">
        <v>44482.0</v>
      </c>
      <c r="C577" s="16" t="s">
        <v>114</v>
      </c>
      <c r="D577" s="16" t="s">
        <v>115</v>
      </c>
      <c r="E577" s="17">
        <v>44482.5208333333</v>
      </c>
      <c r="F577" s="17">
        <v>44482.3541666667</v>
      </c>
      <c r="G577" s="14">
        <v>44482.0</v>
      </c>
      <c r="H577" s="16"/>
      <c r="I577" s="16" t="s">
        <v>118</v>
      </c>
    </row>
    <row r="578" ht="15.75" customHeight="1">
      <c r="A578" s="16" t="s">
        <v>124</v>
      </c>
      <c r="B578" s="14">
        <v>44487.0</v>
      </c>
      <c r="C578" s="16" t="s">
        <v>120</v>
      </c>
      <c r="D578" s="16" t="s">
        <v>121</v>
      </c>
      <c r="E578" s="17">
        <v>44486.90625</v>
      </c>
      <c r="F578" s="17">
        <v>44486.7395833333</v>
      </c>
      <c r="G578" s="14">
        <v>44486.0</v>
      </c>
      <c r="H578" s="16" t="s">
        <v>144</v>
      </c>
      <c r="I578" s="16" t="s">
        <v>123</v>
      </c>
    </row>
    <row r="579" ht="15.75" customHeight="1">
      <c r="A579" s="16" t="s">
        <v>126</v>
      </c>
      <c r="B579" s="14">
        <v>44503.0</v>
      </c>
      <c r="C579" s="16" t="s">
        <v>120</v>
      </c>
      <c r="D579" s="16" t="s">
        <v>121</v>
      </c>
      <c r="E579" s="17">
        <v>44502.90625</v>
      </c>
      <c r="F579" s="17">
        <v>44502.7395833333</v>
      </c>
      <c r="G579" s="14">
        <v>44502.0</v>
      </c>
      <c r="H579" s="16" t="s">
        <v>144</v>
      </c>
      <c r="I579" s="16" t="s">
        <v>123</v>
      </c>
    </row>
    <row r="580" ht="15.75" customHeight="1">
      <c r="A580" s="16" t="s">
        <v>113</v>
      </c>
      <c r="B580" s="14">
        <v>44505.0</v>
      </c>
      <c r="C580" s="16" t="s">
        <v>114</v>
      </c>
      <c r="D580" s="16" t="s">
        <v>115</v>
      </c>
      <c r="E580" s="17">
        <v>44505.5208333333</v>
      </c>
      <c r="F580" s="17">
        <v>44505.3541666667</v>
      </c>
      <c r="G580" s="14">
        <v>44505.0</v>
      </c>
      <c r="H580" s="16"/>
      <c r="I580" s="16" t="s">
        <v>116</v>
      </c>
    </row>
    <row r="581" ht="15.75" customHeight="1">
      <c r="A581" s="16" t="s">
        <v>117</v>
      </c>
      <c r="B581" s="14">
        <v>44510.0</v>
      </c>
      <c r="C581" s="16" t="s">
        <v>114</v>
      </c>
      <c r="D581" s="16" t="s">
        <v>115</v>
      </c>
      <c r="E581" s="17">
        <v>44510.5625</v>
      </c>
      <c r="F581" s="17">
        <v>44510.3541666667</v>
      </c>
      <c r="G581" s="14">
        <v>44510.0</v>
      </c>
      <c r="H581" s="16"/>
      <c r="I581" s="16" t="s">
        <v>118</v>
      </c>
    </row>
    <row r="582" ht="15.75" customHeight="1">
      <c r="A582" s="16" t="s">
        <v>113</v>
      </c>
      <c r="B582" s="14">
        <v>44533.0</v>
      </c>
      <c r="C582" s="16" t="s">
        <v>114</v>
      </c>
      <c r="D582" s="16" t="s">
        <v>115</v>
      </c>
      <c r="E582" s="17">
        <v>44533.5625</v>
      </c>
      <c r="F582" s="17">
        <v>44533.3541666667</v>
      </c>
      <c r="G582" s="14">
        <v>44533.0</v>
      </c>
      <c r="H582" s="16"/>
      <c r="I582" s="16" t="s">
        <v>116</v>
      </c>
    </row>
    <row r="583" ht="15.75" customHeight="1">
      <c r="A583" s="16" t="s">
        <v>117</v>
      </c>
      <c r="B583" s="14">
        <v>44540.0</v>
      </c>
      <c r="C583" s="16" t="s">
        <v>114</v>
      </c>
      <c r="D583" s="16" t="s">
        <v>115</v>
      </c>
      <c r="E583" s="17">
        <v>44540.5625</v>
      </c>
      <c r="F583" s="17">
        <v>44540.3541666667</v>
      </c>
      <c r="G583" s="14">
        <v>44540.0</v>
      </c>
      <c r="H583" s="16"/>
      <c r="I583" s="16" t="s">
        <v>118</v>
      </c>
    </row>
    <row r="584" ht="15.75" customHeight="1">
      <c r="A584" s="16" t="s">
        <v>119</v>
      </c>
      <c r="B584" s="14">
        <v>44546.0</v>
      </c>
      <c r="C584" s="16" t="s">
        <v>120</v>
      </c>
      <c r="D584" s="16" t="s">
        <v>121</v>
      </c>
      <c r="E584" s="17">
        <v>44545.90625</v>
      </c>
      <c r="F584" s="17">
        <v>44545.6979166667</v>
      </c>
      <c r="G584" s="14">
        <v>44545.0</v>
      </c>
      <c r="H584" s="16" t="s">
        <v>145</v>
      </c>
      <c r="I584" s="16" t="s">
        <v>123</v>
      </c>
    </row>
    <row r="585" ht="15.75" customHeight="1">
      <c r="A585" s="16" t="s">
        <v>113</v>
      </c>
      <c r="B585" s="14">
        <v>44568.0</v>
      </c>
      <c r="C585" s="16" t="s">
        <v>114</v>
      </c>
      <c r="D585" s="16" t="s">
        <v>115</v>
      </c>
      <c r="E585" s="17">
        <v>44568.5625</v>
      </c>
      <c r="F585" s="17">
        <v>44568.3541666667</v>
      </c>
      <c r="G585" s="14">
        <v>44568.0</v>
      </c>
      <c r="H585" s="16"/>
      <c r="I585" s="16" t="s">
        <v>116</v>
      </c>
    </row>
    <row r="586" ht="15.75" customHeight="1">
      <c r="A586" s="16" t="s">
        <v>117</v>
      </c>
      <c r="B586" s="14">
        <v>44573.0</v>
      </c>
      <c r="C586" s="16" t="s">
        <v>114</v>
      </c>
      <c r="D586" s="16" t="s">
        <v>115</v>
      </c>
      <c r="E586" s="17">
        <v>44573.5625</v>
      </c>
      <c r="F586" s="17">
        <v>44573.3541666667</v>
      </c>
      <c r="G586" s="14">
        <v>44573.0</v>
      </c>
      <c r="H586" s="16"/>
      <c r="I586" s="16" t="s">
        <v>118</v>
      </c>
    </row>
    <row r="587" ht="15.75" customHeight="1">
      <c r="A587" s="16" t="s">
        <v>124</v>
      </c>
      <c r="B587" s="14">
        <v>44588.0</v>
      </c>
      <c r="C587" s="16" t="s">
        <v>120</v>
      </c>
      <c r="D587" s="16" t="s">
        <v>121</v>
      </c>
      <c r="E587" s="17">
        <v>44587.90625</v>
      </c>
      <c r="F587" s="17">
        <v>44587.6979166667</v>
      </c>
      <c r="G587" s="14">
        <v>44587.0</v>
      </c>
      <c r="H587" s="16" t="s">
        <v>146</v>
      </c>
      <c r="I587" s="16" t="s">
        <v>123</v>
      </c>
    </row>
    <row r="588" ht="15.75" customHeight="1">
      <c r="A588" s="16" t="s">
        <v>126</v>
      </c>
      <c r="B588" s="14">
        <v>44594.0</v>
      </c>
      <c r="C588" s="16" t="s">
        <v>120</v>
      </c>
      <c r="D588" s="16" t="s">
        <v>121</v>
      </c>
      <c r="E588" s="17">
        <v>44593.90625</v>
      </c>
      <c r="F588" s="17">
        <v>44593.6979166667</v>
      </c>
      <c r="G588" s="14">
        <v>44593.0</v>
      </c>
      <c r="H588" s="16" t="s">
        <v>146</v>
      </c>
      <c r="I588" s="16" t="s">
        <v>123</v>
      </c>
    </row>
    <row r="589" ht="15.75" customHeight="1">
      <c r="A589" s="16" t="s">
        <v>113</v>
      </c>
      <c r="B589" s="14">
        <v>44596.0</v>
      </c>
      <c r="C589" s="16" t="s">
        <v>114</v>
      </c>
      <c r="D589" s="16" t="s">
        <v>115</v>
      </c>
      <c r="E589" s="17">
        <v>44596.5625</v>
      </c>
      <c r="F589" s="17">
        <v>44596.3541666667</v>
      </c>
      <c r="G589" s="14">
        <v>44596.0</v>
      </c>
      <c r="H589" s="16"/>
      <c r="I589" s="16" t="s">
        <v>116</v>
      </c>
    </row>
    <row r="590" ht="15.75" customHeight="1">
      <c r="A590" s="16" t="s">
        <v>117</v>
      </c>
      <c r="B590" s="14">
        <v>44602.0</v>
      </c>
      <c r="C590" s="16" t="s">
        <v>114</v>
      </c>
      <c r="D590" s="16" t="s">
        <v>115</v>
      </c>
      <c r="E590" s="17">
        <v>44602.5625</v>
      </c>
      <c r="F590" s="17">
        <v>44602.3541666667</v>
      </c>
      <c r="G590" s="14">
        <v>44602.0</v>
      </c>
      <c r="H590" s="16"/>
      <c r="I590" s="16" t="s">
        <v>118</v>
      </c>
    </row>
    <row r="591" ht="15.75" customHeight="1">
      <c r="A591" s="16" t="s">
        <v>113</v>
      </c>
      <c r="B591" s="14">
        <v>44624.0</v>
      </c>
      <c r="C591" s="16" t="s">
        <v>114</v>
      </c>
      <c r="D591" s="16" t="s">
        <v>115</v>
      </c>
      <c r="E591" s="17">
        <v>44624.5625</v>
      </c>
      <c r="F591" s="17">
        <v>44624.3541666667</v>
      </c>
      <c r="G591" s="14">
        <v>44624.0</v>
      </c>
      <c r="H591" s="16"/>
      <c r="I591" s="16" t="s">
        <v>116</v>
      </c>
    </row>
    <row r="592" ht="15.75" customHeight="1">
      <c r="A592" s="16" t="s">
        <v>117</v>
      </c>
      <c r="B592" s="14">
        <v>44630.0</v>
      </c>
      <c r="C592" s="16" t="s">
        <v>114</v>
      </c>
      <c r="D592" s="16" t="s">
        <v>115</v>
      </c>
      <c r="E592" s="17">
        <v>44630.5625</v>
      </c>
      <c r="F592" s="17">
        <v>44630.3541666667</v>
      </c>
      <c r="G592" s="14">
        <v>44630.0</v>
      </c>
      <c r="H592" s="16"/>
      <c r="I592" s="16" t="s">
        <v>118</v>
      </c>
    </row>
    <row r="593" ht="15.75" customHeight="1">
      <c r="A593" s="16" t="s">
        <v>119</v>
      </c>
      <c r="B593" s="14">
        <v>44637.0</v>
      </c>
      <c r="C593" s="16" t="s">
        <v>120</v>
      </c>
      <c r="D593" s="16" t="s">
        <v>121</v>
      </c>
      <c r="E593" s="17">
        <v>44636.90625</v>
      </c>
      <c r="F593" s="17">
        <v>44636.7395833333</v>
      </c>
      <c r="G593" s="14">
        <v>44636.0</v>
      </c>
      <c r="H593" s="16" t="s">
        <v>146</v>
      </c>
      <c r="I593" s="16" t="s">
        <v>123</v>
      </c>
    </row>
    <row r="594" ht="15.75" customHeight="1">
      <c r="A594" s="16" t="s">
        <v>113</v>
      </c>
      <c r="B594" s="14">
        <v>44652.0</v>
      </c>
      <c r="C594" s="16" t="s">
        <v>114</v>
      </c>
      <c r="D594" s="16" t="s">
        <v>115</v>
      </c>
      <c r="E594" s="17">
        <v>44652.5208333333</v>
      </c>
      <c r="F594" s="17">
        <v>44652.3541666667</v>
      </c>
      <c r="G594" s="14">
        <v>44652.0</v>
      </c>
      <c r="H594" s="16"/>
      <c r="I594" s="16" t="s">
        <v>116</v>
      </c>
    </row>
    <row r="595" ht="15.75" customHeight="1">
      <c r="A595" s="16" t="s">
        <v>117</v>
      </c>
      <c r="B595" s="14">
        <v>44663.0</v>
      </c>
      <c r="C595" s="16" t="s">
        <v>114</v>
      </c>
      <c r="D595" s="16" t="s">
        <v>115</v>
      </c>
      <c r="E595" s="17">
        <v>44663.5208333333</v>
      </c>
      <c r="F595" s="17">
        <v>44663.3541666667</v>
      </c>
      <c r="G595" s="14">
        <v>44663.0</v>
      </c>
      <c r="H595" s="16"/>
      <c r="I595" s="16" t="s">
        <v>118</v>
      </c>
    </row>
    <row r="596" ht="15.75" customHeight="1">
      <c r="A596" s="16" t="s">
        <v>124</v>
      </c>
      <c r="B596" s="14">
        <v>44672.0</v>
      </c>
      <c r="C596" s="16" t="s">
        <v>120</v>
      </c>
      <c r="D596" s="16" t="s">
        <v>121</v>
      </c>
      <c r="E596" s="17">
        <v>44671.9479166667</v>
      </c>
      <c r="F596" s="17">
        <v>44671.78125</v>
      </c>
      <c r="G596" s="14">
        <v>44671.0</v>
      </c>
      <c r="H596" s="16" t="s">
        <v>147</v>
      </c>
      <c r="I596" s="16" t="s">
        <v>123</v>
      </c>
    </row>
    <row r="597" ht="15.75" customHeight="1">
      <c r="A597" s="16" t="s">
        <v>126</v>
      </c>
      <c r="B597" s="14">
        <v>44685.0</v>
      </c>
      <c r="C597" s="16" t="s">
        <v>120</v>
      </c>
      <c r="D597" s="16" t="s">
        <v>121</v>
      </c>
      <c r="E597" s="17">
        <v>44684.9479166667</v>
      </c>
      <c r="F597" s="17">
        <v>44684.78125</v>
      </c>
      <c r="G597" s="14">
        <v>44684.0</v>
      </c>
      <c r="H597" s="16" t="s">
        <v>148</v>
      </c>
      <c r="I597" s="16" t="s">
        <v>123</v>
      </c>
    </row>
    <row r="598" ht="15.75" customHeight="1">
      <c r="A598" s="16" t="s">
        <v>113</v>
      </c>
      <c r="B598" s="14">
        <v>44687.0</v>
      </c>
      <c r="C598" s="16" t="s">
        <v>114</v>
      </c>
      <c r="D598" s="16" t="s">
        <v>115</v>
      </c>
      <c r="E598" s="17">
        <v>44687.5208333333</v>
      </c>
      <c r="F598" s="17">
        <v>44687.3541666667</v>
      </c>
      <c r="G598" s="14">
        <v>44687.0</v>
      </c>
      <c r="H598" s="16"/>
      <c r="I598" s="16" t="s">
        <v>116</v>
      </c>
    </row>
    <row r="599" ht="15.75" customHeight="1">
      <c r="A599" s="16" t="s">
        <v>117</v>
      </c>
      <c r="B599" s="14">
        <v>44692.0</v>
      </c>
      <c r="C599" s="16" t="s">
        <v>114</v>
      </c>
      <c r="D599" s="16" t="s">
        <v>115</v>
      </c>
      <c r="E599" s="17">
        <v>44692.5208333333</v>
      </c>
      <c r="F599" s="17">
        <v>44692.3541666667</v>
      </c>
      <c r="G599" s="14">
        <v>44692.0</v>
      </c>
      <c r="H599" s="16"/>
      <c r="I599" s="16" t="s">
        <v>118</v>
      </c>
    </row>
    <row r="600" ht="15.75" customHeight="1">
      <c r="A600" s="16" t="s">
        <v>113</v>
      </c>
      <c r="B600" s="14">
        <v>44715.0</v>
      </c>
      <c r="C600" s="16" t="s">
        <v>114</v>
      </c>
      <c r="D600" s="16" t="s">
        <v>115</v>
      </c>
      <c r="E600" s="17">
        <v>44715.5208333333</v>
      </c>
      <c r="F600" s="17">
        <v>44715.3541666667</v>
      </c>
      <c r="G600" s="14">
        <v>44715.0</v>
      </c>
      <c r="H600" s="16"/>
      <c r="I600" s="16" t="s">
        <v>116</v>
      </c>
    </row>
    <row r="601" ht="15.75" customHeight="1">
      <c r="A601" s="16" t="s">
        <v>117</v>
      </c>
      <c r="B601" s="14">
        <v>44722.0</v>
      </c>
      <c r="C601" s="16" t="s">
        <v>114</v>
      </c>
      <c r="D601" s="16" t="s">
        <v>115</v>
      </c>
      <c r="E601" s="17">
        <v>44722.5208333333</v>
      </c>
      <c r="F601" s="17">
        <v>44722.3541666667</v>
      </c>
      <c r="G601" s="14">
        <v>44722.0</v>
      </c>
      <c r="H601" s="16"/>
      <c r="I601" s="16" t="s">
        <v>118</v>
      </c>
    </row>
    <row r="602" ht="15.75" customHeight="1">
      <c r="A602" s="16" t="s">
        <v>119</v>
      </c>
      <c r="B602" s="14">
        <v>44728.0</v>
      </c>
      <c r="C602" s="16" t="s">
        <v>120</v>
      </c>
      <c r="D602" s="16" t="s">
        <v>121</v>
      </c>
      <c r="E602" s="17">
        <v>44727.9479166667</v>
      </c>
      <c r="F602" s="17">
        <v>44727.78125</v>
      </c>
      <c r="G602" s="14">
        <v>44727.0</v>
      </c>
      <c r="H602" s="16" t="s">
        <v>148</v>
      </c>
      <c r="I602" s="16" t="s">
        <v>123</v>
      </c>
    </row>
    <row r="603" ht="15.75" customHeight="1">
      <c r="A603" s="16" t="s">
        <v>113</v>
      </c>
      <c r="B603" s="14">
        <v>44750.0</v>
      </c>
      <c r="C603" s="16" t="s">
        <v>114</v>
      </c>
      <c r="D603" s="16" t="s">
        <v>115</v>
      </c>
      <c r="E603" s="17">
        <v>44750.5208333333</v>
      </c>
      <c r="F603" s="17">
        <v>44750.3541666667</v>
      </c>
      <c r="G603" s="14">
        <v>44750.0</v>
      </c>
      <c r="H603" s="16"/>
      <c r="I603" s="16" t="s">
        <v>116</v>
      </c>
    </row>
    <row r="604" ht="15.75" customHeight="1">
      <c r="A604" s="16" t="s">
        <v>117</v>
      </c>
      <c r="B604" s="14">
        <v>44755.0</v>
      </c>
      <c r="C604" s="16" t="s">
        <v>114</v>
      </c>
      <c r="D604" s="16" t="s">
        <v>115</v>
      </c>
      <c r="E604" s="17">
        <v>44755.5208333333</v>
      </c>
      <c r="F604" s="17">
        <v>44755.3541666667</v>
      </c>
      <c r="G604" s="14">
        <v>44755.0</v>
      </c>
      <c r="H604" s="16"/>
      <c r="I604" s="16" t="s">
        <v>118</v>
      </c>
    </row>
    <row r="605" ht="15.75" customHeight="1">
      <c r="A605" s="16" t="s">
        <v>124</v>
      </c>
      <c r="B605" s="14">
        <v>44760.0</v>
      </c>
      <c r="C605" s="16" t="s">
        <v>120</v>
      </c>
      <c r="D605" s="16" t="s">
        <v>121</v>
      </c>
      <c r="E605" s="17">
        <v>44759.9479166667</v>
      </c>
      <c r="F605" s="17">
        <v>44759.78125</v>
      </c>
      <c r="G605" s="14">
        <v>44759.0</v>
      </c>
      <c r="H605" s="16" t="s">
        <v>149</v>
      </c>
      <c r="I605" s="16" t="s">
        <v>123</v>
      </c>
    </row>
    <row r="606" ht="15.75" customHeight="1">
      <c r="A606" s="16" t="s">
        <v>126</v>
      </c>
      <c r="B606" s="14">
        <v>44776.0</v>
      </c>
      <c r="C606" s="16" t="s">
        <v>120</v>
      </c>
      <c r="D606" s="16" t="s">
        <v>121</v>
      </c>
      <c r="E606" s="17">
        <v>44775.9479166667</v>
      </c>
      <c r="F606" s="17">
        <v>44775.78125</v>
      </c>
      <c r="G606" s="14">
        <v>44775.0</v>
      </c>
      <c r="H606" s="16" t="s">
        <v>149</v>
      </c>
      <c r="I606" s="16" t="s">
        <v>123</v>
      </c>
    </row>
    <row r="607" ht="15.75" customHeight="1">
      <c r="A607" s="16" t="s">
        <v>113</v>
      </c>
      <c r="B607" s="14">
        <v>44778.0</v>
      </c>
      <c r="C607" s="16" t="s">
        <v>114</v>
      </c>
      <c r="D607" s="16" t="s">
        <v>115</v>
      </c>
      <c r="E607" s="17">
        <v>44778.5208333333</v>
      </c>
      <c r="F607" s="17">
        <v>44778.3541666667</v>
      </c>
      <c r="G607" s="14">
        <v>44778.0</v>
      </c>
      <c r="H607" s="16"/>
      <c r="I607" s="16" t="s">
        <v>116</v>
      </c>
    </row>
    <row r="608" ht="15.75" customHeight="1">
      <c r="A608" s="16" t="s">
        <v>117</v>
      </c>
      <c r="B608" s="14">
        <v>44783.0</v>
      </c>
      <c r="C608" s="16" t="s">
        <v>114</v>
      </c>
      <c r="D608" s="16" t="s">
        <v>115</v>
      </c>
      <c r="E608" s="17">
        <v>44783.5208333333</v>
      </c>
      <c r="F608" s="17">
        <v>44783.3541666667</v>
      </c>
      <c r="G608" s="14">
        <v>44783.0</v>
      </c>
      <c r="H608" s="16"/>
      <c r="I608" s="16" t="s">
        <v>118</v>
      </c>
    </row>
    <row r="609" ht="15.75" customHeight="1">
      <c r="A609" s="16" t="s">
        <v>113</v>
      </c>
      <c r="B609" s="14">
        <v>44806.0</v>
      </c>
      <c r="C609" s="16" t="s">
        <v>114</v>
      </c>
      <c r="D609" s="16" t="s">
        <v>115</v>
      </c>
      <c r="E609" s="17">
        <v>44806.5208333333</v>
      </c>
      <c r="F609" s="17">
        <v>44806.3541666667</v>
      </c>
      <c r="G609" s="14">
        <v>44806.0</v>
      </c>
      <c r="H609" s="16"/>
      <c r="I609" s="16" t="s">
        <v>116</v>
      </c>
    </row>
    <row r="610" ht="15.75" customHeight="1">
      <c r="A610" s="16" t="s">
        <v>117</v>
      </c>
      <c r="B610" s="14">
        <v>44817.0</v>
      </c>
      <c r="C610" s="16" t="s">
        <v>114</v>
      </c>
      <c r="D610" s="16" t="s">
        <v>115</v>
      </c>
      <c r="E610" s="17">
        <v>44817.5208333333</v>
      </c>
      <c r="F610" s="17">
        <v>44817.3541666667</v>
      </c>
      <c r="G610" s="14">
        <v>44817.0</v>
      </c>
      <c r="H610" s="16"/>
      <c r="I610" s="16" t="s">
        <v>118</v>
      </c>
    </row>
    <row r="611" ht="15.75" customHeight="1">
      <c r="A611" s="16" t="s">
        <v>119</v>
      </c>
      <c r="B611" s="14">
        <v>44819.0</v>
      </c>
      <c r="C611" s="16" t="s">
        <v>120</v>
      </c>
      <c r="D611" s="16" t="s">
        <v>121</v>
      </c>
      <c r="E611" s="17">
        <v>44818.9479166667</v>
      </c>
      <c r="F611" s="17">
        <v>44818.78125</v>
      </c>
      <c r="G611" s="14">
        <v>44818.0</v>
      </c>
      <c r="H611" s="16" t="s">
        <v>149</v>
      </c>
      <c r="I611" s="16" t="s">
        <v>123</v>
      </c>
    </row>
    <row r="612" ht="15.75" customHeight="1">
      <c r="A612" s="16" t="s">
        <v>113</v>
      </c>
      <c r="B612" s="14">
        <v>44841.0</v>
      </c>
      <c r="C612" s="16" t="s">
        <v>114</v>
      </c>
      <c r="D612" s="16" t="s">
        <v>115</v>
      </c>
      <c r="E612" s="17">
        <v>44841.5208333333</v>
      </c>
      <c r="F612" s="17">
        <v>44841.3541666667</v>
      </c>
      <c r="G612" s="14">
        <v>44841.0</v>
      </c>
      <c r="H612" s="16"/>
      <c r="I612" s="16" t="s">
        <v>116</v>
      </c>
    </row>
    <row r="613" ht="15.75" customHeight="1">
      <c r="A613" s="16" t="s">
        <v>117</v>
      </c>
      <c r="B613" s="14">
        <v>44847.0</v>
      </c>
      <c r="C613" s="16" t="s">
        <v>114</v>
      </c>
      <c r="D613" s="16" t="s">
        <v>115</v>
      </c>
      <c r="E613" s="17">
        <v>44847.5208333333</v>
      </c>
      <c r="F613" s="17">
        <v>44847.3541666667</v>
      </c>
      <c r="G613" s="14">
        <v>44847.0</v>
      </c>
      <c r="H613" s="16"/>
      <c r="I613" s="16" t="s">
        <v>118</v>
      </c>
    </row>
    <row r="614" ht="15.75" customHeight="1">
      <c r="A614" s="16" t="s">
        <v>124</v>
      </c>
      <c r="B614" s="14">
        <v>44852.0</v>
      </c>
      <c r="C614" s="16" t="s">
        <v>120</v>
      </c>
      <c r="D614" s="16" t="s">
        <v>121</v>
      </c>
      <c r="E614" s="17">
        <v>44851.90625</v>
      </c>
      <c r="F614" s="17">
        <v>44851.7395833333</v>
      </c>
      <c r="G614" s="14">
        <v>44851.0</v>
      </c>
      <c r="H614" s="16" t="s">
        <v>150</v>
      </c>
      <c r="I614" s="16" t="s">
        <v>123</v>
      </c>
    </row>
    <row r="615" ht="15.75" customHeight="1">
      <c r="A615" s="16" t="s">
        <v>126</v>
      </c>
      <c r="B615" s="14">
        <v>44867.0</v>
      </c>
      <c r="C615" s="16" t="s">
        <v>120</v>
      </c>
      <c r="D615" s="16" t="s">
        <v>121</v>
      </c>
      <c r="E615" s="17">
        <v>44866.90625</v>
      </c>
      <c r="F615" s="17">
        <v>44866.7395833333</v>
      </c>
      <c r="G615" s="14">
        <v>44866.0</v>
      </c>
      <c r="H615" s="16" t="s">
        <v>150</v>
      </c>
      <c r="I615" s="16" t="s">
        <v>123</v>
      </c>
    </row>
    <row r="616" ht="15.75" customHeight="1">
      <c r="A616" s="16" t="s">
        <v>113</v>
      </c>
      <c r="B616" s="14">
        <v>44869.0</v>
      </c>
      <c r="C616" s="16" t="s">
        <v>114</v>
      </c>
      <c r="D616" s="16" t="s">
        <v>115</v>
      </c>
      <c r="E616" s="17">
        <v>44869.5208333333</v>
      </c>
      <c r="F616" s="17">
        <v>44869.3541666667</v>
      </c>
      <c r="G616" s="14">
        <v>44869.0</v>
      </c>
      <c r="H616" s="16"/>
      <c r="I616" s="16" t="s">
        <v>116</v>
      </c>
    </row>
    <row r="617" ht="15.75" customHeight="1">
      <c r="A617" s="16" t="s">
        <v>117</v>
      </c>
      <c r="B617" s="14">
        <v>44875.0</v>
      </c>
      <c r="C617" s="16" t="s">
        <v>114</v>
      </c>
      <c r="D617" s="16" t="s">
        <v>115</v>
      </c>
      <c r="E617" s="17">
        <v>44875.5625</v>
      </c>
      <c r="F617" s="17">
        <v>44875.3541666667</v>
      </c>
      <c r="G617" s="14">
        <v>44875.0</v>
      </c>
      <c r="H617" s="16"/>
      <c r="I617" s="16" t="s">
        <v>118</v>
      </c>
    </row>
    <row r="618" ht="15.75" customHeight="1">
      <c r="A618" s="16" t="s">
        <v>113</v>
      </c>
      <c r="B618" s="14">
        <v>44897.0</v>
      </c>
      <c r="C618" s="16" t="s">
        <v>114</v>
      </c>
      <c r="D618" s="16" t="s">
        <v>115</v>
      </c>
      <c r="E618" s="17">
        <v>44897.5625</v>
      </c>
      <c r="F618" s="17">
        <v>44897.3541666667</v>
      </c>
      <c r="G618" s="14">
        <v>44897.0</v>
      </c>
      <c r="H618" s="16"/>
      <c r="I618" s="16" t="s">
        <v>116</v>
      </c>
    </row>
    <row r="619" ht="15.75" customHeight="1">
      <c r="A619" s="16" t="s">
        <v>117</v>
      </c>
      <c r="B619" s="14">
        <v>44908.0</v>
      </c>
      <c r="C619" s="16" t="s">
        <v>114</v>
      </c>
      <c r="D619" s="16" t="s">
        <v>115</v>
      </c>
      <c r="E619" s="17">
        <v>44908.5625</v>
      </c>
      <c r="F619" s="17">
        <v>44908.3541666667</v>
      </c>
      <c r="G619" s="14">
        <v>44908.0</v>
      </c>
      <c r="H619" s="16"/>
      <c r="I619" s="16" t="s">
        <v>118</v>
      </c>
    </row>
    <row r="620" ht="15.75" customHeight="1">
      <c r="A620" s="16" t="s">
        <v>119</v>
      </c>
      <c r="B620" s="14">
        <v>44910.0</v>
      </c>
      <c r="C620" s="16" t="s">
        <v>120</v>
      </c>
      <c r="D620" s="16" t="s">
        <v>121</v>
      </c>
      <c r="E620" s="17">
        <v>44909.90625</v>
      </c>
      <c r="F620" s="17">
        <v>44909.6979166667</v>
      </c>
      <c r="G620" s="14">
        <v>44909.0</v>
      </c>
      <c r="H620" s="16" t="s">
        <v>150</v>
      </c>
      <c r="I620" s="16" t="s">
        <v>123</v>
      </c>
    </row>
    <row r="621" ht="15.75" customHeight="1">
      <c r="A621" s="16" t="s">
        <v>113</v>
      </c>
      <c r="B621" s="14">
        <v>44932.0</v>
      </c>
      <c r="C621" s="16" t="s">
        <v>114</v>
      </c>
      <c r="D621" s="16" t="s">
        <v>115</v>
      </c>
      <c r="E621" s="17">
        <v>44932.5625</v>
      </c>
      <c r="F621" s="17">
        <v>44932.3541666667</v>
      </c>
      <c r="G621" s="14">
        <v>44932.0</v>
      </c>
      <c r="H621" s="16"/>
      <c r="I621" s="16" t="s">
        <v>116</v>
      </c>
    </row>
    <row r="622" ht="15.75" customHeight="1">
      <c r="A622" s="16" t="s">
        <v>117</v>
      </c>
      <c r="B622" s="14">
        <v>44938.0</v>
      </c>
      <c r="C622" s="16" t="s">
        <v>114</v>
      </c>
      <c r="D622" s="16" t="s">
        <v>115</v>
      </c>
      <c r="E622" s="17">
        <v>44938.5625</v>
      </c>
      <c r="F622" s="17">
        <v>44938.3541666667</v>
      </c>
      <c r="G622" s="14">
        <v>44938.0</v>
      </c>
      <c r="H622" s="16"/>
      <c r="I622" s="16" t="s">
        <v>118</v>
      </c>
    </row>
    <row r="623" ht="15.75" customHeight="1">
      <c r="A623" s="16" t="s">
        <v>124</v>
      </c>
      <c r="B623" s="14">
        <v>44951.0</v>
      </c>
      <c r="C623" s="16" t="s">
        <v>120</v>
      </c>
      <c r="D623" s="16" t="s">
        <v>121</v>
      </c>
      <c r="E623" s="17">
        <v>44950.90625</v>
      </c>
      <c r="F623" s="17">
        <v>44950.6979166667</v>
      </c>
      <c r="G623" s="14">
        <v>44950.0</v>
      </c>
      <c r="H623" s="16" t="s">
        <v>151</v>
      </c>
      <c r="I623" s="16" t="s">
        <v>123</v>
      </c>
    </row>
    <row r="624" ht="15.75" customHeight="1">
      <c r="A624" s="16" t="s">
        <v>126</v>
      </c>
      <c r="B624" s="14">
        <v>44958.0</v>
      </c>
      <c r="C624" s="16" t="s">
        <v>120</v>
      </c>
      <c r="D624" s="16" t="s">
        <v>121</v>
      </c>
      <c r="E624" s="17">
        <v>44957.90625</v>
      </c>
      <c r="F624" s="17">
        <v>44957.6979166667</v>
      </c>
      <c r="G624" s="14">
        <v>44957.0</v>
      </c>
      <c r="H624" s="16" t="s">
        <v>151</v>
      </c>
      <c r="I624" s="16" t="s">
        <v>123</v>
      </c>
    </row>
    <row r="625" ht="15.75" customHeight="1">
      <c r="A625" s="16" t="s">
        <v>113</v>
      </c>
      <c r="B625" s="14">
        <v>44960.0</v>
      </c>
      <c r="C625" s="16" t="s">
        <v>114</v>
      </c>
      <c r="D625" s="16" t="s">
        <v>115</v>
      </c>
      <c r="E625" s="17">
        <v>44960.5625</v>
      </c>
      <c r="F625" s="17">
        <v>44960.3541666667</v>
      </c>
      <c r="G625" s="14">
        <v>44960.0</v>
      </c>
      <c r="H625" s="16"/>
      <c r="I625" s="16" t="s">
        <v>116</v>
      </c>
    </row>
    <row r="626" ht="15.75" customHeight="1">
      <c r="A626" s="16" t="s">
        <v>117</v>
      </c>
      <c r="B626" s="14">
        <v>44971.0</v>
      </c>
      <c r="C626" s="16" t="s">
        <v>114</v>
      </c>
      <c r="D626" s="16" t="s">
        <v>115</v>
      </c>
      <c r="E626" s="17">
        <v>44971.5625</v>
      </c>
      <c r="F626" s="17">
        <v>44971.3541666667</v>
      </c>
      <c r="G626" s="14">
        <v>44971.0</v>
      </c>
      <c r="H626" s="16"/>
      <c r="I626" s="16" t="s">
        <v>118</v>
      </c>
    </row>
    <row r="627" ht="15.75" customHeight="1">
      <c r="A627" s="16" t="s">
        <v>113</v>
      </c>
      <c r="B627" s="14">
        <v>44995.0</v>
      </c>
      <c r="C627" s="16" t="s">
        <v>114</v>
      </c>
      <c r="D627" s="16" t="s">
        <v>115</v>
      </c>
      <c r="E627" s="17">
        <v>44995.5625</v>
      </c>
      <c r="F627" s="17">
        <v>44995.3541666667</v>
      </c>
      <c r="G627" s="14">
        <v>44995.0</v>
      </c>
      <c r="H627" s="16"/>
      <c r="I627" s="16" t="s">
        <v>116</v>
      </c>
    </row>
    <row r="628" ht="15.75" customHeight="1">
      <c r="A628" s="16" t="s">
        <v>117</v>
      </c>
      <c r="B628" s="14">
        <v>44999.0</v>
      </c>
      <c r="C628" s="16" t="s">
        <v>114</v>
      </c>
      <c r="D628" s="16" t="s">
        <v>115</v>
      </c>
      <c r="E628" s="17">
        <v>44999.5208333333</v>
      </c>
      <c r="F628" s="17">
        <v>44999.3541666667</v>
      </c>
      <c r="G628" s="14">
        <v>44999.0</v>
      </c>
      <c r="H628" s="16"/>
      <c r="I628" s="16" t="s">
        <v>118</v>
      </c>
    </row>
    <row r="629" ht="15.75" customHeight="1">
      <c r="A629" s="16" t="s">
        <v>119</v>
      </c>
      <c r="B629" s="14">
        <v>45001.0</v>
      </c>
      <c r="C629" s="16" t="s">
        <v>120</v>
      </c>
      <c r="D629" s="16" t="s">
        <v>121</v>
      </c>
      <c r="E629" s="17">
        <v>45000.90625</v>
      </c>
      <c r="F629" s="17">
        <v>45000.7395833333</v>
      </c>
      <c r="G629" s="14">
        <v>45000.0</v>
      </c>
      <c r="H629" s="16" t="s">
        <v>151</v>
      </c>
      <c r="I629" s="16" t="s">
        <v>123</v>
      </c>
    </row>
    <row r="630" ht="15.75" customHeight="1">
      <c r="A630" s="16" t="s">
        <v>113</v>
      </c>
      <c r="B630" s="14">
        <v>45023.0</v>
      </c>
      <c r="C630" s="16" t="s">
        <v>114</v>
      </c>
      <c r="D630" s="16" t="s">
        <v>115</v>
      </c>
      <c r="E630" s="17">
        <v>45023.5208333333</v>
      </c>
      <c r="F630" s="17">
        <v>45023.3541666667</v>
      </c>
      <c r="G630" s="14">
        <v>45023.0</v>
      </c>
      <c r="H630" s="16"/>
      <c r="I630" s="16" t="s">
        <v>116</v>
      </c>
    </row>
    <row r="631" ht="15.75" customHeight="1">
      <c r="A631" s="16" t="s">
        <v>117</v>
      </c>
      <c r="B631" s="14">
        <v>45028.0</v>
      </c>
      <c r="C631" s="16" t="s">
        <v>114</v>
      </c>
      <c r="D631" s="16" t="s">
        <v>115</v>
      </c>
      <c r="E631" s="17">
        <v>45028.5208333333</v>
      </c>
      <c r="F631" s="17">
        <v>45028.3541666667</v>
      </c>
      <c r="G631" s="14">
        <v>45028.0</v>
      </c>
      <c r="H631" s="16"/>
      <c r="I631" s="16" t="s">
        <v>118</v>
      </c>
    </row>
    <row r="632" ht="15.75" customHeight="1">
      <c r="A632" s="16" t="s">
        <v>124</v>
      </c>
      <c r="B632" s="14">
        <v>45036.0</v>
      </c>
      <c r="C632" s="16" t="s">
        <v>120</v>
      </c>
      <c r="D632" s="16" t="s">
        <v>121</v>
      </c>
      <c r="E632" s="17">
        <v>45035.9479166667</v>
      </c>
      <c r="F632" s="17">
        <v>45035.78125</v>
      </c>
      <c r="G632" s="14">
        <v>45035.0</v>
      </c>
      <c r="H632" s="16" t="s">
        <v>152</v>
      </c>
      <c r="I632" s="16" t="s">
        <v>123</v>
      </c>
    </row>
    <row r="633" ht="15.75" customHeight="1">
      <c r="A633" s="16" t="s">
        <v>126</v>
      </c>
      <c r="B633" s="14">
        <v>45049.0</v>
      </c>
      <c r="C633" s="16" t="s">
        <v>120</v>
      </c>
      <c r="D633" s="16" t="s">
        <v>121</v>
      </c>
      <c r="E633" s="17">
        <v>45048.9479166667</v>
      </c>
      <c r="F633" s="17">
        <v>45048.78125</v>
      </c>
      <c r="G633" s="14">
        <v>45048.0</v>
      </c>
      <c r="H633" s="16" t="s">
        <v>152</v>
      </c>
      <c r="I633" s="16" t="s">
        <v>123</v>
      </c>
    </row>
    <row r="634" ht="15.75" customHeight="1">
      <c r="A634" s="16" t="s">
        <v>113</v>
      </c>
      <c r="B634" s="14">
        <v>45051.0</v>
      </c>
      <c r="C634" s="16" t="s">
        <v>114</v>
      </c>
      <c r="D634" s="16" t="s">
        <v>115</v>
      </c>
      <c r="E634" s="17">
        <v>45051.5208333333</v>
      </c>
      <c r="F634" s="17">
        <v>45051.3541666667</v>
      </c>
      <c r="G634" s="14">
        <v>45051.0</v>
      </c>
      <c r="H634" s="16"/>
      <c r="I634" s="16" t="s">
        <v>116</v>
      </c>
    </row>
    <row r="635" ht="15.75" customHeight="1">
      <c r="A635" s="16" t="s">
        <v>117</v>
      </c>
      <c r="B635" s="14">
        <v>45056.0</v>
      </c>
      <c r="C635" s="16" t="s">
        <v>114</v>
      </c>
      <c r="D635" s="16" t="s">
        <v>115</v>
      </c>
      <c r="E635" s="17">
        <v>45056.5208333333</v>
      </c>
      <c r="F635" s="17">
        <v>45056.3541666667</v>
      </c>
      <c r="G635" s="14">
        <v>45056.0</v>
      </c>
      <c r="H635" s="16"/>
      <c r="I635" s="16" t="s">
        <v>118</v>
      </c>
    </row>
    <row r="636" ht="15.75" customHeight="1">
      <c r="A636" s="16" t="s">
        <v>113</v>
      </c>
      <c r="B636" s="14">
        <v>45079.0</v>
      </c>
      <c r="C636" s="16" t="s">
        <v>114</v>
      </c>
      <c r="D636" s="16" t="s">
        <v>115</v>
      </c>
      <c r="E636" s="17">
        <v>45079.5208333333</v>
      </c>
      <c r="F636" s="17">
        <v>45079.3541666667</v>
      </c>
      <c r="G636" s="14">
        <v>45079.0</v>
      </c>
      <c r="H636" s="16"/>
      <c r="I636" s="16" t="s">
        <v>116</v>
      </c>
    </row>
    <row r="637" ht="15.75" customHeight="1">
      <c r="A637" s="16" t="s">
        <v>117</v>
      </c>
      <c r="B637" s="14">
        <v>45090.0</v>
      </c>
      <c r="C637" s="16" t="s">
        <v>114</v>
      </c>
      <c r="D637" s="16" t="s">
        <v>115</v>
      </c>
      <c r="E637" s="17">
        <v>45090.5208333333</v>
      </c>
      <c r="F637" s="17">
        <v>45090.3541666667</v>
      </c>
      <c r="G637" s="14">
        <v>45090.0</v>
      </c>
      <c r="H637" s="16"/>
      <c r="I637" s="16" t="s">
        <v>118</v>
      </c>
    </row>
    <row r="638" ht="15.75" customHeight="1">
      <c r="A638" s="16" t="s">
        <v>119</v>
      </c>
      <c r="B638" s="14">
        <v>45092.0</v>
      </c>
      <c r="C638" s="16" t="s">
        <v>120</v>
      </c>
      <c r="D638" s="16" t="s">
        <v>121</v>
      </c>
      <c r="E638" s="17">
        <v>45091.9479166667</v>
      </c>
      <c r="F638" s="17">
        <v>45091.78125</v>
      </c>
      <c r="G638" s="14">
        <v>45091.0</v>
      </c>
      <c r="H638" s="16" t="s">
        <v>152</v>
      </c>
      <c r="I638" s="16" t="s">
        <v>123</v>
      </c>
    </row>
    <row r="639" ht="15.75" customHeight="1">
      <c r="A639" s="16" t="s">
        <v>113</v>
      </c>
      <c r="B639" s="14">
        <v>45114.0</v>
      </c>
      <c r="C639" s="16" t="s">
        <v>114</v>
      </c>
      <c r="D639" s="16" t="s">
        <v>115</v>
      </c>
      <c r="E639" s="17">
        <v>45114.5208333333</v>
      </c>
      <c r="F639" s="17">
        <v>45114.3541666667</v>
      </c>
      <c r="G639" s="14">
        <v>45114.0</v>
      </c>
      <c r="H639" s="16"/>
      <c r="I639" s="16" t="s">
        <v>116</v>
      </c>
    </row>
    <row r="640" ht="15.75" customHeight="1">
      <c r="A640" s="16" t="s">
        <v>117</v>
      </c>
      <c r="B640" s="14">
        <v>45119.0</v>
      </c>
      <c r="C640" s="16" t="s">
        <v>114</v>
      </c>
      <c r="D640" s="16" t="s">
        <v>115</v>
      </c>
      <c r="E640" s="17">
        <v>45119.5208333333</v>
      </c>
      <c r="F640" s="17">
        <v>45119.3541666667</v>
      </c>
      <c r="G640" s="14">
        <v>45119.0</v>
      </c>
      <c r="H640" s="16"/>
      <c r="I640" s="16" t="s">
        <v>118</v>
      </c>
    </row>
    <row r="641" ht="15.75" customHeight="1">
      <c r="A641" s="16" t="s">
        <v>124</v>
      </c>
      <c r="B641" s="14">
        <v>45126.0</v>
      </c>
      <c r="C641" s="16" t="s">
        <v>120</v>
      </c>
      <c r="D641" s="16" t="s">
        <v>121</v>
      </c>
      <c r="E641" s="17">
        <v>45125.9479166667</v>
      </c>
      <c r="F641" s="17">
        <v>45125.78125</v>
      </c>
      <c r="G641" s="14">
        <v>45125.0</v>
      </c>
      <c r="H641" s="16" t="s">
        <v>153</v>
      </c>
      <c r="I641" s="16" t="s">
        <v>123</v>
      </c>
    </row>
    <row r="642" ht="15.75" customHeight="1">
      <c r="A642" s="16" t="s">
        <v>126</v>
      </c>
      <c r="B642" s="14">
        <v>45140.0</v>
      </c>
      <c r="C642" s="16" t="s">
        <v>120</v>
      </c>
      <c r="D642" s="16" t="s">
        <v>121</v>
      </c>
      <c r="E642" s="17">
        <v>45139.9479166667</v>
      </c>
      <c r="F642" s="17">
        <v>45139.78125</v>
      </c>
      <c r="G642" s="14">
        <v>45139.0</v>
      </c>
      <c r="H642" s="16" t="s">
        <v>153</v>
      </c>
      <c r="I642" s="16" t="s">
        <v>123</v>
      </c>
    </row>
    <row r="643" ht="15.75" customHeight="1">
      <c r="A643" s="16" t="s">
        <v>113</v>
      </c>
      <c r="B643" s="14">
        <v>45142.0</v>
      </c>
      <c r="C643" s="16" t="s">
        <v>114</v>
      </c>
      <c r="D643" s="16" t="s">
        <v>115</v>
      </c>
      <c r="E643" s="17">
        <v>45142.5208333333</v>
      </c>
      <c r="F643" s="17">
        <v>45142.3541666667</v>
      </c>
      <c r="G643" s="14">
        <v>45142.0</v>
      </c>
      <c r="H643" s="16"/>
      <c r="I643" s="16" t="s">
        <v>116</v>
      </c>
    </row>
    <row r="644" ht="15.75" customHeight="1">
      <c r="A644" s="16" t="s">
        <v>117</v>
      </c>
      <c r="B644" s="14">
        <v>45148.0</v>
      </c>
      <c r="C644" s="16" t="s">
        <v>114</v>
      </c>
      <c r="D644" s="16" t="s">
        <v>115</v>
      </c>
      <c r="E644" s="17">
        <v>45148.5208333333</v>
      </c>
      <c r="F644" s="17">
        <v>45148.3541666667</v>
      </c>
      <c r="G644" s="14">
        <v>45148.0</v>
      </c>
      <c r="H644" s="16"/>
      <c r="I644" s="16" t="s">
        <v>118</v>
      </c>
    </row>
    <row r="645" ht="15.75" customHeight="1">
      <c r="A645" s="16" t="s">
        <v>113</v>
      </c>
      <c r="B645" s="14">
        <v>45170.0</v>
      </c>
      <c r="C645" s="16" t="s">
        <v>114</v>
      </c>
      <c r="D645" s="16" t="s">
        <v>115</v>
      </c>
      <c r="E645" s="17">
        <v>45170.5208333333</v>
      </c>
      <c r="F645" s="17">
        <v>45170.3541666667</v>
      </c>
      <c r="G645" s="14">
        <v>45170.0</v>
      </c>
      <c r="H645" s="16"/>
      <c r="I645" s="16" t="s">
        <v>116</v>
      </c>
    </row>
    <row r="646" ht="15.75" customHeight="1">
      <c r="A646" s="16" t="s">
        <v>117</v>
      </c>
      <c r="B646" s="14">
        <v>45182.0</v>
      </c>
      <c r="C646" s="16" t="s">
        <v>114</v>
      </c>
      <c r="D646" s="16" t="s">
        <v>115</v>
      </c>
      <c r="E646" s="17">
        <v>45182.5208333333</v>
      </c>
      <c r="F646" s="17">
        <v>45182.3541666667</v>
      </c>
      <c r="G646" s="14">
        <v>45182.0</v>
      </c>
      <c r="H646" s="16"/>
      <c r="I646" s="16" t="s">
        <v>118</v>
      </c>
    </row>
    <row r="647" ht="15.75" customHeight="1">
      <c r="A647" s="16" t="s">
        <v>119</v>
      </c>
      <c r="B647" s="14">
        <v>45190.0</v>
      </c>
      <c r="C647" s="16" t="s">
        <v>120</v>
      </c>
      <c r="D647" s="16" t="s">
        <v>121</v>
      </c>
      <c r="E647" s="17">
        <v>45189.9479166667</v>
      </c>
      <c r="F647" s="17">
        <v>45189.78125</v>
      </c>
      <c r="G647" s="14">
        <v>45189.0</v>
      </c>
      <c r="H647" s="16" t="s">
        <v>153</v>
      </c>
      <c r="I647" s="16" t="s">
        <v>123</v>
      </c>
    </row>
    <row r="648" ht="15.75" customHeight="1">
      <c r="A648" s="16" t="s">
        <v>113</v>
      </c>
      <c r="B648" s="14">
        <v>45205.0</v>
      </c>
      <c r="C648" s="16" t="s">
        <v>114</v>
      </c>
      <c r="D648" s="16" t="s">
        <v>115</v>
      </c>
      <c r="E648" s="17">
        <v>45205.5208333333</v>
      </c>
      <c r="F648" s="17">
        <v>45205.3541666667</v>
      </c>
      <c r="G648" s="14">
        <v>45205.0</v>
      </c>
      <c r="H648" s="16"/>
      <c r="I648" s="16" t="s">
        <v>116</v>
      </c>
    </row>
    <row r="649" ht="15.75" customHeight="1">
      <c r="A649" s="16" t="s">
        <v>117</v>
      </c>
      <c r="B649" s="14">
        <v>45211.0</v>
      </c>
      <c r="C649" s="16" t="s">
        <v>114</v>
      </c>
      <c r="D649" s="16" t="s">
        <v>115</v>
      </c>
      <c r="E649" s="17">
        <v>45211.5208333333</v>
      </c>
      <c r="F649" s="17">
        <v>45211.3541666667</v>
      </c>
      <c r="G649" s="14">
        <v>45211.0</v>
      </c>
      <c r="H649" s="16"/>
      <c r="I649" s="16" t="s">
        <v>118</v>
      </c>
    </row>
    <row r="650" ht="15.75" customHeight="1">
      <c r="A650" s="16" t="s">
        <v>124</v>
      </c>
      <c r="B650" s="14">
        <v>45216.0</v>
      </c>
      <c r="C650" s="16" t="s">
        <v>120</v>
      </c>
      <c r="D650" s="16" t="s">
        <v>121</v>
      </c>
      <c r="E650" s="17">
        <v>45215.90625</v>
      </c>
      <c r="F650" s="17">
        <v>45215.7395833333</v>
      </c>
      <c r="G650" s="14">
        <v>45215.0</v>
      </c>
      <c r="H650" s="16" t="s">
        <v>154</v>
      </c>
      <c r="I650" s="16" t="s">
        <v>123</v>
      </c>
    </row>
    <row r="651" ht="15.75" customHeight="1">
      <c r="A651" s="16" t="s">
        <v>126</v>
      </c>
      <c r="B651" s="14">
        <v>45231.0</v>
      </c>
      <c r="C651" s="16" t="s">
        <v>120</v>
      </c>
      <c r="D651" s="16" t="s">
        <v>121</v>
      </c>
      <c r="E651" s="17">
        <v>45230.90625</v>
      </c>
      <c r="F651" s="17">
        <v>45230.7395833333</v>
      </c>
      <c r="G651" s="14">
        <v>45230.0</v>
      </c>
      <c r="H651" s="16" t="s">
        <v>154</v>
      </c>
      <c r="I651" s="16" t="s">
        <v>123</v>
      </c>
    </row>
    <row r="652" ht="15.75" customHeight="1">
      <c r="A652" s="16" t="s">
        <v>113</v>
      </c>
      <c r="B652" s="14">
        <v>45233.0</v>
      </c>
      <c r="C652" s="16" t="s">
        <v>114</v>
      </c>
      <c r="D652" s="16" t="s">
        <v>115</v>
      </c>
      <c r="E652" s="17">
        <v>45233.5208333333</v>
      </c>
      <c r="F652" s="17">
        <v>45233.3541666667</v>
      </c>
      <c r="G652" s="14">
        <v>45233.0</v>
      </c>
      <c r="H652" s="16"/>
      <c r="I652" s="16" t="s">
        <v>116</v>
      </c>
    </row>
    <row r="653" ht="15.75" customHeight="1">
      <c r="A653" s="16" t="s">
        <v>117</v>
      </c>
      <c r="B653" s="14">
        <v>45244.0</v>
      </c>
      <c r="C653" s="16" t="s">
        <v>114</v>
      </c>
      <c r="D653" s="16" t="s">
        <v>115</v>
      </c>
      <c r="E653" s="17">
        <v>45244.5625</v>
      </c>
      <c r="F653" s="17">
        <v>45244.3541666667</v>
      </c>
      <c r="G653" s="14">
        <v>45244.0</v>
      </c>
      <c r="H653" s="16"/>
      <c r="I653" s="16" t="s">
        <v>118</v>
      </c>
    </row>
    <row r="654" ht="15.75" customHeight="1">
      <c r="A654" s="16" t="s">
        <v>113</v>
      </c>
      <c r="B654" s="14">
        <v>45268.0</v>
      </c>
      <c r="C654" s="16" t="s">
        <v>114</v>
      </c>
      <c r="D654" s="16" t="s">
        <v>115</v>
      </c>
      <c r="E654" s="17">
        <v>45268.5625</v>
      </c>
      <c r="F654" s="17">
        <v>45268.3541666667</v>
      </c>
      <c r="G654" s="14">
        <v>45268.0</v>
      </c>
      <c r="H654" s="16"/>
      <c r="I654" s="16" t="s">
        <v>116</v>
      </c>
    </row>
    <row r="655" ht="15.75" customHeight="1">
      <c r="A655" s="16" t="s">
        <v>117</v>
      </c>
      <c r="B655" s="14">
        <v>45272.0</v>
      </c>
      <c r="C655" s="16" t="s">
        <v>114</v>
      </c>
      <c r="D655" s="16" t="s">
        <v>115</v>
      </c>
      <c r="E655" s="17">
        <v>45272.5625</v>
      </c>
      <c r="F655" s="17">
        <v>45272.3541666667</v>
      </c>
      <c r="G655" s="14">
        <v>45272.0</v>
      </c>
      <c r="H655" s="16"/>
      <c r="I655" s="16" t="s">
        <v>118</v>
      </c>
    </row>
    <row r="656" ht="15.75" customHeight="1">
      <c r="A656" s="16" t="s">
        <v>119</v>
      </c>
      <c r="B656" s="14">
        <v>45274.0</v>
      </c>
      <c r="C656" s="16" t="s">
        <v>120</v>
      </c>
      <c r="D656" s="16" t="s">
        <v>121</v>
      </c>
      <c r="E656" s="17">
        <v>45273.90625</v>
      </c>
      <c r="F656" s="17">
        <v>45273.6979166667</v>
      </c>
      <c r="G656" s="14">
        <v>45273.0</v>
      </c>
      <c r="H656" s="16" t="s">
        <v>154</v>
      </c>
      <c r="I656" s="16" t="s">
        <v>123</v>
      </c>
    </row>
    <row r="657" ht="15.75" customHeight="1">
      <c r="A657" s="16" t="s">
        <v>113</v>
      </c>
      <c r="B657" s="14">
        <v>45296.0</v>
      </c>
      <c r="C657" s="16" t="s">
        <v>114</v>
      </c>
      <c r="D657" s="16" t="s">
        <v>115</v>
      </c>
      <c r="E657" s="17">
        <v>45296.5625</v>
      </c>
      <c r="F657" s="17">
        <v>45296.3541666667</v>
      </c>
      <c r="G657" s="14">
        <v>45296.0</v>
      </c>
      <c r="H657" s="16"/>
      <c r="I657" s="16" t="s">
        <v>116</v>
      </c>
    </row>
    <row r="658" ht="15.75" customHeight="1">
      <c r="A658" s="16" t="s">
        <v>117</v>
      </c>
      <c r="B658" s="14">
        <v>45302.0</v>
      </c>
      <c r="C658" s="16" t="s">
        <v>114</v>
      </c>
      <c r="D658" s="16" t="s">
        <v>115</v>
      </c>
      <c r="E658" s="17">
        <v>45302.5625</v>
      </c>
      <c r="F658" s="17">
        <v>45302.3541666667</v>
      </c>
      <c r="G658" s="14">
        <v>45302.0</v>
      </c>
      <c r="H658" s="16"/>
      <c r="I658" s="16" t="s">
        <v>118</v>
      </c>
    </row>
    <row r="659" ht="15.75" customHeight="1">
      <c r="A659" s="16" t="s">
        <v>124</v>
      </c>
      <c r="B659" s="14">
        <v>45315.0</v>
      </c>
      <c r="C659" s="16" t="s">
        <v>120</v>
      </c>
      <c r="D659" s="16" t="s">
        <v>121</v>
      </c>
      <c r="E659" s="17">
        <v>45314.90625</v>
      </c>
      <c r="F659" s="17">
        <v>45314.6979166667</v>
      </c>
      <c r="G659" s="14">
        <v>45314.0</v>
      </c>
      <c r="H659" s="16" t="s">
        <v>155</v>
      </c>
      <c r="I659" s="16" t="s">
        <v>123</v>
      </c>
    </row>
    <row r="660" ht="15.75" customHeight="1">
      <c r="A660" s="16" t="s">
        <v>113</v>
      </c>
      <c r="B660" s="14">
        <v>45324.0</v>
      </c>
      <c r="C660" s="16" t="s">
        <v>114</v>
      </c>
      <c r="D660" s="16" t="s">
        <v>115</v>
      </c>
      <c r="E660" s="17">
        <v>45324.5625</v>
      </c>
      <c r="F660" s="17">
        <v>45324.3541666667</v>
      </c>
      <c r="G660" s="14">
        <v>45324.0</v>
      </c>
      <c r="H660" s="16"/>
      <c r="I660" s="16" t="s">
        <v>116</v>
      </c>
    </row>
    <row r="661" ht="15.75" customHeight="1">
      <c r="A661" s="16" t="s">
        <v>126</v>
      </c>
      <c r="B661" s="14">
        <v>45329.0</v>
      </c>
      <c r="C661" s="16" t="s">
        <v>120</v>
      </c>
      <c r="D661" s="16" t="s">
        <v>121</v>
      </c>
      <c r="E661" s="17">
        <v>45328.90625</v>
      </c>
      <c r="F661" s="17">
        <v>45328.6979166667</v>
      </c>
      <c r="G661" s="14">
        <v>45328.0</v>
      </c>
      <c r="H661" s="16" t="s">
        <v>155</v>
      </c>
      <c r="I661" s="16" t="s">
        <v>123</v>
      </c>
    </row>
    <row r="662" ht="15.75" customHeight="1">
      <c r="A662" s="16" t="s">
        <v>117</v>
      </c>
      <c r="B662" s="14">
        <v>45335.0</v>
      </c>
      <c r="C662" s="16" t="s">
        <v>114</v>
      </c>
      <c r="D662" s="16" t="s">
        <v>115</v>
      </c>
      <c r="E662" s="17">
        <v>45335.5625</v>
      </c>
      <c r="F662" s="17">
        <v>45335.3541666667</v>
      </c>
      <c r="G662" s="14">
        <v>45335.0</v>
      </c>
      <c r="H662" s="16"/>
      <c r="I662" s="16" t="s">
        <v>118</v>
      </c>
    </row>
    <row r="663" ht="15.75" customHeight="1">
      <c r="A663" s="16" t="s">
        <v>113</v>
      </c>
      <c r="B663" s="14">
        <v>45359.0</v>
      </c>
      <c r="C663" s="16" t="s">
        <v>114</v>
      </c>
      <c r="D663" s="16" t="s">
        <v>115</v>
      </c>
      <c r="E663" s="17">
        <v>45359.5625</v>
      </c>
      <c r="F663" s="17">
        <v>45359.3541666667</v>
      </c>
      <c r="G663" s="14">
        <v>45359.0</v>
      </c>
      <c r="H663" s="16"/>
      <c r="I663" s="16" t="s">
        <v>116</v>
      </c>
    </row>
    <row r="664" ht="15.75" customHeight="1">
      <c r="A664" s="16" t="s">
        <v>117</v>
      </c>
      <c r="B664" s="14">
        <v>45363.0</v>
      </c>
      <c r="C664" s="16" t="s">
        <v>114</v>
      </c>
      <c r="D664" s="16" t="s">
        <v>115</v>
      </c>
      <c r="E664" s="17">
        <v>45363.5208333333</v>
      </c>
      <c r="F664" s="17">
        <v>45363.3541666667</v>
      </c>
      <c r="G664" s="14">
        <v>45363.0</v>
      </c>
      <c r="H664" s="16"/>
      <c r="I664" s="16" t="s">
        <v>118</v>
      </c>
    </row>
    <row r="665" ht="15.75" customHeight="1">
      <c r="A665" s="16" t="s">
        <v>119</v>
      </c>
      <c r="B665" s="14">
        <v>45372.0</v>
      </c>
      <c r="C665" s="16" t="s">
        <v>120</v>
      </c>
      <c r="D665" s="16" t="s">
        <v>121</v>
      </c>
      <c r="E665" s="17">
        <v>45371.90625</v>
      </c>
      <c r="F665" s="17">
        <v>45371.7395833333</v>
      </c>
      <c r="G665" s="14">
        <v>45371.0</v>
      </c>
      <c r="H665" s="16" t="s">
        <v>155</v>
      </c>
      <c r="I665" s="16" t="s">
        <v>123</v>
      </c>
    </row>
    <row r="666" ht="15.75" customHeight="1">
      <c r="A666" s="16" t="s">
        <v>113</v>
      </c>
      <c r="B666" s="14">
        <v>45387.0</v>
      </c>
      <c r="C666" s="16" t="s">
        <v>114</v>
      </c>
      <c r="D666" s="16" t="s">
        <v>115</v>
      </c>
      <c r="E666" s="17">
        <v>45387.5208333333</v>
      </c>
      <c r="F666" s="17">
        <v>45387.3541666667</v>
      </c>
      <c r="G666" s="14">
        <v>45387.0</v>
      </c>
      <c r="H666" s="16"/>
      <c r="I666" s="16" t="s">
        <v>116</v>
      </c>
    </row>
    <row r="667" ht="15.75" customHeight="1">
      <c r="A667" s="16" t="s">
        <v>117</v>
      </c>
      <c r="B667" s="14">
        <v>45392.0</v>
      </c>
      <c r="C667" s="16" t="s">
        <v>114</v>
      </c>
      <c r="D667" s="16" t="s">
        <v>115</v>
      </c>
      <c r="E667" s="17">
        <v>45392.5208333333</v>
      </c>
      <c r="F667" s="17">
        <v>45392.3541666667</v>
      </c>
      <c r="G667" s="14">
        <v>45392.0</v>
      </c>
      <c r="H667" s="16"/>
      <c r="I667" s="16" t="s">
        <v>118</v>
      </c>
    </row>
    <row r="668" ht="15.75" customHeight="1">
      <c r="A668" s="16" t="s">
        <v>124</v>
      </c>
      <c r="B668" s="14">
        <v>45399.0</v>
      </c>
      <c r="C668" s="16" t="s">
        <v>120</v>
      </c>
      <c r="D668" s="16" t="s">
        <v>121</v>
      </c>
      <c r="E668" s="17">
        <v>45398.9479166667</v>
      </c>
      <c r="F668" s="17">
        <v>45398.78125</v>
      </c>
      <c r="G668" s="14">
        <v>45398.0</v>
      </c>
      <c r="H668" s="16" t="s">
        <v>156</v>
      </c>
      <c r="I668" s="16" t="s">
        <v>123</v>
      </c>
    </row>
    <row r="669" ht="15.75" customHeight="1">
      <c r="A669" s="16" t="s">
        <v>126</v>
      </c>
      <c r="B669" s="14">
        <v>45413.0</v>
      </c>
      <c r="C669" s="16" t="s">
        <v>120</v>
      </c>
      <c r="D669" s="16" t="s">
        <v>121</v>
      </c>
      <c r="E669" s="17">
        <v>45412.9479166667</v>
      </c>
      <c r="F669" s="17">
        <v>45412.78125</v>
      </c>
      <c r="G669" s="14">
        <v>45412.0</v>
      </c>
      <c r="H669" s="16" t="s">
        <v>156</v>
      </c>
      <c r="I669" s="16" t="s">
        <v>123</v>
      </c>
    </row>
    <row r="670" ht="15.75" customHeight="1">
      <c r="A670" s="16" t="s">
        <v>113</v>
      </c>
      <c r="B670" s="14">
        <v>45415.0</v>
      </c>
      <c r="C670" s="16" t="s">
        <v>114</v>
      </c>
      <c r="D670" s="16" t="s">
        <v>115</v>
      </c>
      <c r="E670" s="17">
        <v>45415.5208333333</v>
      </c>
      <c r="F670" s="17">
        <v>45415.3541666667</v>
      </c>
      <c r="G670" s="14">
        <v>45415.0</v>
      </c>
      <c r="H670" s="16"/>
      <c r="I670" s="16" t="s">
        <v>116</v>
      </c>
    </row>
    <row r="671" ht="15.75" customHeight="1">
      <c r="A671" s="16" t="s">
        <v>117</v>
      </c>
      <c r="B671" s="14">
        <v>45427.0</v>
      </c>
      <c r="C671" s="16" t="s">
        <v>114</v>
      </c>
      <c r="D671" s="16" t="s">
        <v>115</v>
      </c>
      <c r="E671" s="17">
        <v>45427.5208333333</v>
      </c>
      <c r="F671" s="17">
        <v>45427.3541666667</v>
      </c>
      <c r="G671" s="14">
        <v>45427.0</v>
      </c>
      <c r="H671" s="16"/>
      <c r="I671" s="16" t="s">
        <v>118</v>
      </c>
    </row>
    <row r="672" ht="15.75" customHeight="1">
      <c r="A672" s="16" t="s">
        <v>113</v>
      </c>
      <c r="B672" s="14">
        <v>45450.0</v>
      </c>
      <c r="C672" s="16" t="s">
        <v>114</v>
      </c>
      <c r="D672" s="16" t="s">
        <v>115</v>
      </c>
      <c r="E672" s="17">
        <v>45450.5208333333</v>
      </c>
      <c r="F672" s="17">
        <v>45450.3541666667</v>
      </c>
      <c r="G672" s="14">
        <v>45450.0</v>
      </c>
      <c r="H672" s="16"/>
      <c r="I672" s="16" t="s">
        <v>116</v>
      </c>
    </row>
    <row r="673" ht="15.75" customHeight="1">
      <c r="A673" s="16" t="s">
        <v>117</v>
      </c>
      <c r="B673" s="14">
        <v>45455.0</v>
      </c>
      <c r="C673" s="16" t="s">
        <v>114</v>
      </c>
      <c r="D673" s="16" t="s">
        <v>115</v>
      </c>
      <c r="E673" s="17">
        <v>45455.5208333333</v>
      </c>
      <c r="F673" s="17">
        <v>45455.3541666667</v>
      </c>
      <c r="G673" s="14">
        <v>45455.0</v>
      </c>
      <c r="H673" s="16"/>
      <c r="I673" s="16" t="s">
        <v>118</v>
      </c>
    </row>
    <row r="674" ht="15.75" customHeight="1">
      <c r="A674" s="16" t="s">
        <v>119</v>
      </c>
      <c r="B674" s="14">
        <v>45463.0</v>
      </c>
      <c r="C674" s="16" t="s">
        <v>120</v>
      </c>
      <c r="D674" s="16" t="s">
        <v>121</v>
      </c>
      <c r="E674" s="17">
        <v>45462.9479166667</v>
      </c>
      <c r="F674" s="17">
        <v>45462.78125</v>
      </c>
      <c r="G674" s="14">
        <v>45462.0</v>
      </c>
      <c r="H674" s="16" t="s">
        <v>156</v>
      </c>
      <c r="I674" s="16" t="s">
        <v>123</v>
      </c>
    </row>
    <row r="675" ht="15.75" customHeight="1">
      <c r="A675" s="16" t="s">
        <v>113</v>
      </c>
      <c r="B675" s="14">
        <v>45478.0</v>
      </c>
      <c r="C675" s="16" t="s">
        <v>114</v>
      </c>
      <c r="D675" s="16" t="s">
        <v>115</v>
      </c>
      <c r="E675" s="17">
        <v>45478.5208333333</v>
      </c>
      <c r="F675" s="17">
        <v>45478.3541666667</v>
      </c>
      <c r="G675" s="14">
        <v>45478.0</v>
      </c>
      <c r="H675" s="16"/>
      <c r="I675" s="16" t="s">
        <v>116</v>
      </c>
    </row>
    <row r="676" ht="15.75" customHeight="1">
      <c r="A676" s="16" t="s">
        <v>117</v>
      </c>
      <c r="B676" s="14">
        <v>45484.0</v>
      </c>
      <c r="C676" s="16" t="s">
        <v>114</v>
      </c>
      <c r="D676" s="16" t="s">
        <v>115</v>
      </c>
      <c r="E676" s="17">
        <v>45484.5208333333</v>
      </c>
      <c r="F676" s="17">
        <v>45484.3541666667</v>
      </c>
      <c r="G676" s="14">
        <v>45484.0</v>
      </c>
      <c r="H676" s="16"/>
      <c r="I676" s="16" t="s">
        <v>118</v>
      </c>
    </row>
    <row r="677" ht="15.75" customHeight="1">
      <c r="A677" s="16" t="s">
        <v>124</v>
      </c>
      <c r="B677" s="14">
        <v>45490.0</v>
      </c>
      <c r="C677" s="16" t="s">
        <v>120</v>
      </c>
      <c r="D677" s="16" t="s">
        <v>121</v>
      </c>
      <c r="E677" s="17">
        <v>45489.9479166667</v>
      </c>
      <c r="F677" s="17">
        <v>45489.78125</v>
      </c>
      <c r="G677" s="14">
        <v>45489.0</v>
      </c>
      <c r="H677" s="16" t="s">
        <v>157</v>
      </c>
      <c r="I677" s="16" t="s">
        <v>123</v>
      </c>
    </row>
    <row r="678" ht="15.75" customHeight="1">
      <c r="A678" s="16" t="s">
        <v>113</v>
      </c>
      <c r="B678" s="14">
        <v>45506.0</v>
      </c>
      <c r="C678" s="16" t="s">
        <v>114</v>
      </c>
      <c r="D678" s="16" t="s">
        <v>115</v>
      </c>
      <c r="E678" s="17">
        <v>45506.5208333333</v>
      </c>
      <c r="F678" s="17">
        <v>45506.3541666667</v>
      </c>
      <c r="G678" s="14">
        <v>45506.0</v>
      </c>
      <c r="H678" s="16"/>
      <c r="I678" s="16" t="s">
        <v>116</v>
      </c>
    </row>
    <row r="679" ht="15.75" customHeight="1">
      <c r="A679" s="16" t="s">
        <v>126</v>
      </c>
      <c r="B679" s="14">
        <v>45511.0</v>
      </c>
      <c r="C679" s="16" t="s">
        <v>120</v>
      </c>
      <c r="D679" s="16" t="s">
        <v>121</v>
      </c>
      <c r="E679" s="17">
        <v>45510.9479166667</v>
      </c>
      <c r="F679" s="17">
        <v>45510.78125</v>
      </c>
      <c r="G679" s="14">
        <v>45510.0</v>
      </c>
      <c r="H679" s="16" t="s">
        <v>157</v>
      </c>
      <c r="I679" s="16" t="s">
        <v>123</v>
      </c>
    </row>
    <row r="680" ht="15.75" customHeight="1">
      <c r="A680" s="16" t="s">
        <v>117</v>
      </c>
      <c r="B680" s="14">
        <v>45518.0</v>
      </c>
      <c r="C680" s="16" t="s">
        <v>114</v>
      </c>
      <c r="D680" s="16" t="s">
        <v>115</v>
      </c>
      <c r="E680" s="17">
        <v>45518.5208333333</v>
      </c>
      <c r="F680" s="17">
        <v>45518.3541666667</v>
      </c>
      <c r="G680" s="14">
        <v>45518.0</v>
      </c>
      <c r="H680" s="16"/>
      <c r="I680" s="16" t="s">
        <v>118</v>
      </c>
    </row>
    <row r="681" ht="15.75" customHeight="1">
      <c r="A681" s="16" t="s">
        <v>113</v>
      </c>
      <c r="B681" s="14">
        <v>45541.0</v>
      </c>
      <c r="C681" s="16" t="s">
        <v>114</v>
      </c>
      <c r="D681" s="16" t="s">
        <v>115</v>
      </c>
      <c r="E681" s="17">
        <v>45541.5208333333</v>
      </c>
      <c r="F681" s="17">
        <v>45541.3541666667</v>
      </c>
      <c r="G681" s="14">
        <v>45541.0</v>
      </c>
      <c r="H681" s="16"/>
      <c r="I681" s="16" t="s">
        <v>116</v>
      </c>
    </row>
    <row r="682" ht="15.75" customHeight="1">
      <c r="A682" s="16" t="s">
        <v>117</v>
      </c>
      <c r="B682" s="14">
        <v>45546.0</v>
      </c>
      <c r="C682" s="16" t="s">
        <v>114</v>
      </c>
      <c r="D682" s="16" t="s">
        <v>115</v>
      </c>
      <c r="E682" s="17">
        <v>45546.5208333333</v>
      </c>
      <c r="F682" s="17">
        <v>45546.3541666667</v>
      </c>
      <c r="G682" s="14">
        <v>45546.0</v>
      </c>
      <c r="H682" s="16"/>
      <c r="I682" s="16" t="s">
        <v>118</v>
      </c>
    </row>
    <row r="683" ht="15.75" customHeight="1">
      <c r="A683" s="16" t="s">
        <v>119</v>
      </c>
      <c r="B683" s="14">
        <v>45554.0</v>
      </c>
      <c r="C683" s="16" t="s">
        <v>120</v>
      </c>
      <c r="D683" s="16" t="s">
        <v>121</v>
      </c>
      <c r="E683" s="17">
        <v>45553.9479166667</v>
      </c>
      <c r="F683" s="17">
        <v>45553.78125</v>
      </c>
      <c r="G683" s="14">
        <v>45553.0</v>
      </c>
      <c r="H683" s="16" t="s">
        <v>157</v>
      </c>
      <c r="I683" s="16" t="s">
        <v>123</v>
      </c>
    </row>
    <row r="684" ht="15.75" customHeight="1">
      <c r="A684" s="16" t="s">
        <v>113</v>
      </c>
      <c r="B684" s="14">
        <v>45569.0</v>
      </c>
      <c r="C684" s="16" t="s">
        <v>114</v>
      </c>
      <c r="D684" s="16" t="s">
        <v>115</v>
      </c>
      <c r="E684" s="17">
        <v>45569.5208333333</v>
      </c>
      <c r="F684" s="17">
        <v>45569.3541666667</v>
      </c>
      <c r="G684" s="14">
        <v>45569.0</v>
      </c>
      <c r="H684" s="16"/>
      <c r="I684" s="16" t="s">
        <v>116</v>
      </c>
    </row>
    <row r="685" ht="15.75" customHeight="1">
      <c r="A685" s="16" t="s">
        <v>117</v>
      </c>
      <c r="B685" s="14">
        <v>45575.0</v>
      </c>
      <c r="C685" s="16" t="s">
        <v>114</v>
      </c>
      <c r="D685" s="16" t="s">
        <v>115</v>
      </c>
      <c r="E685" s="17">
        <v>45575.5208333333</v>
      </c>
      <c r="F685" s="17">
        <v>45575.3541666667</v>
      </c>
      <c r="G685" s="14">
        <v>45575.0</v>
      </c>
      <c r="H685" s="16"/>
      <c r="I685" s="16" t="s">
        <v>118</v>
      </c>
    </row>
    <row r="686" ht="15.75" customHeight="1">
      <c r="A686" s="16" t="s">
        <v>124</v>
      </c>
      <c r="B686" s="14">
        <v>45581.0</v>
      </c>
      <c r="C686" s="16" t="s">
        <v>120</v>
      </c>
      <c r="D686" s="16" t="s">
        <v>121</v>
      </c>
      <c r="E686" s="17">
        <v>45580.90625</v>
      </c>
      <c r="F686" s="17">
        <v>45580.7395833333</v>
      </c>
      <c r="G686" s="14">
        <v>45580.0</v>
      </c>
      <c r="H686" s="16" t="s">
        <v>158</v>
      </c>
      <c r="I686" s="16" t="s">
        <v>123</v>
      </c>
    </row>
    <row r="687" ht="15.75" customHeight="1">
      <c r="A687" s="16" t="s">
        <v>113</v>
      </c>
      <c r="B687" s="14">
        <v>45597.0</v>
      </c>
      <c r="C687" s="16" t="s">
        <v>114</v>
      </c>
      <c r="D687" s="16" t="s">
        <v>115</v>
      </c>
      <c r="E687" s="17">
        <v>45597.5208333333</v>
      </c>
      <c r="F687" s="17">
        <v>45597.3541666667</v>
      </c>
      <c r="G687" s="14">
        <v>45597.0</v>
      </c>
      <c r="H687" s="16"/>
      <c r="I687" s="16" t="s">
        <v>116</v>
      </c>
    </row>
    <row r="688" ht="15.75" customHeight="1">
      <c r="A688" s="16" t="s">
        <v>126</v>
      </c>
      <c r="B688" s="14">
        <v>45602.0</v>
      </c>
      <c r="C688" s="16" t="s">
        <v>120</v>
      </c>
      <c r="D688" s="16" t="s">
        <v>121</v>
      </c>
      <c r="E688" s="17">
        <v>45601.90625</v>
      </c>
      <c r="F688" s="17">
        <v>45601.6979166667</v>
      </c>
      <c r="G688" s="14">
        <v>45601.0</v>
      </c>
      <c r="H688" s="16" t="s">
        <v>158</v>
      </c>
      <c r="I688" s="16" t="s">
        <v>123</v>
      </c>
    </row>
    <row r="689" ht="15.75" customHeight="1">
      <c r="A689" s="16" t="s">
        <v>117</v>
      </c>
      <c r="B689" s="14">
        <v>45609.0</v>
      </c>
      <c r="C689" s="16" t="s">
        <v>114</v>
      </c>
      <c r="D689" s="16" t="s">
        <v>115</v>
      </c>
      <c r="E689" s="17">
        <v>45609.5625</v>
      </c>
      <c r="F689" s="17">
        <v>45609.3541666667</v>
      </c>
      <c r="G689" s="14">
        <v>45609.0</v>
      </c>
      <c r="H689" s="16"/>
      <c r="I689" s="16" t="s">
        <v>118</v>
      </c>
    </row>
    <row r="690" ht="15.75" customHeight="1">
      <c r="A690" s="16" t="s">
        <v>113</v>
      </c>
      <c r="B690" s="14">
        <v>45632.0</v>
      </c>
      <c r="C690" s="16" t="s">
        <v>114</v>
      </c>
      <c r="D690" s="16" t="s">
        <v>115</v>
      </c>
      <c r="E690" s="17">
        <v>45632.5625</v>
      </c>
      <c r="F690" s="17">
        <v>45632.3541666667</v>
      </c>
      <c r="G690" s="14">
        <v>45632.0</v>
      </c>
      <c r="H690" s="16"/>
      <c r="I690" s="16" t="s">
        <v>116</v>
      </c>
    </row>
    <row r="691" ht="15.75" customHeight="1">
      <c r="A691" s="16" t="s">
        <v>117</v>
      </c>
      <c r="B691" s="14">
        <v>45637.0</v>
      </c>
      <c r="C691" s="16" t="s">
        <v>114</v>
      </c>
      <c r="D691" s="16" t="s">
        <v>115</v>
      </c>
      <c r="E691" s="17">
        <v>45637.5625</v>
      </c>
      <c r="F691" s="17">
        <v>45637.3541666667</v>
      </c>
      <c r="G691" s="14">
        <v>45637.0</v>
      </c>
      <c r="H691" s="16"/>
      <c r="I691" s="16" t="s">
        <v>118</v>
      </c>
    </row>
    <row r="692" ht="15.75" customHeight="1">
      <c r="A692" s="16" t="s">
        <v>119</v>
      </c>
      <c r="B692" s="14">
        <v>45645.0</v>
      </c>
      <c r="C692" s="16" t="s">
        <v>120</v>
      </c>
      <c r="D692" s="16" t="s">
        <v>121</v>
      </c>
      <c r="E692" s="17">
        <v>45644.90625</v>
      </c>
      <c r="F692" s="17">
        <v>45644.6979166667</v>
      </c>
      <c r="G692" s="14">
        <v>45644.0</v>
      </c>
      <c r="H692" s="16" t="s">
        <v>158</v>
      </c>
      <c r="I692" s="16" t="s">
        <v>123</v>
      </c>
    </row>
    <row r="693" ht="15.75" customHeight="1">
      <c r="A693" s="16" t="s">
        <v>113</v>
      </c>
      <c r="B693" s="14">
        <v>45667.0</v>
      </c>
      <c r="C693" s="16" t="s">
        <v>114</v>
      </c>
      <c r="D693" s="16" t="s">
        <v>115</v>
      </c>
      <c r="E693" s="17">
        <v>45667.5625</v>
      </c>
      <c r="F693" s="17">
        <v>45667.3541666667</v>
      </c>
      <c r="G693" s="14">
        <v>45667.0</v>
      </c>
      <c r="H693" s="16"/>
      <c r="I693" s="16" t="s">
        <v>116</v>
      </c>
    </row>
    <row r="694" ht="15.75" customHeight="1">
      <c r="A694" s="16" t="s">
        <v>117</v>
      </c>
      <c r="B694" s="14">
        <v>45672.0</v>
      </c>
      <c r="C694" s="16" t="s">
        <v>114</v>
      </c>
      <c r="D694" s="16" t="s">
        <v>115</v>
      </c>
      <c r="E694" s="17">
        <v>45672.5625</v>
      </c>
      <c r="F694" s="17">
        <v>45672.3541666667</v>
      </c>
      <c r="G694" s="14">
        <v>45672.0</v>
      </c>
      <c r="H694" s="16"/>
      <c r="I694" s="16" t="s">
        <v>118</v>
      </c>
    </row>
    <row r="695" ht="15.75" customHeight="1">
      <c r="A695" s="16" t="s">
        <v>124</v>
      </c>
      <c r="B695" s="14">
        <v>45679.0</v>
      </c>
      <c r="C695" s="16" t="s">
        <v>120</v>
      </c>
      <c r="D695" s="16" t="s">
        <v>121</v>
      </c>
      <c r="E695" s="17">
        <v>45678.90625</v>
      </c>
      <c r="F695" s="17">
        <v>45678.6979166667</v>
      </c>
      <c r="G695" s="14">
        <v>45678.0</v>
      </c>
      <c r="H695" s="16" t="s">
        <v>159</v>
      </c>
      <c r="I695" s="16" t="s">
        <v>123</v>
      </c>
    </row>
    <row r="696" ht="15.75" customHeight="1">
      <c r="A696" s="16" t="s">
        <v>126</v>
      </c>
      <c r="B696" s="14">
        <v>45693.0</v>
      </c>
      <c r="C696" s="16" t="s">
        <v>120</v>
      </c>
      <c r="D696" s="16" t="s">
        <v>121</v>
      </c>
      <c r="E696" s="17">
        <v>45692.90625</v>
      </c>
      <c r="F696" s="17">
        <v>45692.6979166667</v>
      </c>
      <c r="G696" s="14">
        <v>45692.0</v>
      </c>
      <c r="H696" s="16" t="s">
        <v>159</v>
      </c>
      <c r="I696" s="16" t="s">
        <v>123</v>
      </c>
    </row>
    <row r="697" ht="15.75" customHeight="1">
      <c r="A697" s="16" t="s">
        <v>113</v>
      </c>
      <c r="B697" s="14">
        <v>45695.0</v>
      </c>
      <c r="C697" s="16" t="s">
        <v>114</v>
      </c>
      <c r="D697" s="16" t="s">
        <v>115</v>
      </c>
      <c r="E697" s="17">
        <v>45695.5625</v>
      </c>
      <c r="F697" s="17">
        <v>45695.3541666667</v>
      </c>
      <c r="G697" s="14">
        <v>45695.0</v>
      </c>
      <c r="H697" s="16"/>
      <c r="I697" s="16" t="s">
        <v>116</v>
      </c>
    </row>
    <row r="698" ht="15.75" customHeight="1">
      <c r="A698" s="16" t="s">
        <v>117</v>
      </c>
      <c r="B698" s="14">
        <v>45700.0</v>
      </c>
      <c r="C698" s="16" t="s">
        <v>114</v>
      </c>
      <c r="D698" s="16" t="s">
        <v>115</v>
      </c>
      <c r="E698" s="17">
        <v>45700.5625</v>
      </c>
      <c r="F698" s="17">
        <v>45700.3541666667</v>
      </c>
      <c r="G698" s="14">
        <v>45700.0</v>
      </c>
      <c r="H698" s="16"/>
      <c r="I698" s="16" t="s">
        <v>118</v>
      </c>
    </row>
    <row r="699" ht="15.75" customHeight="1">
      <c r="A699" s="16" t="s">
        <v>113</v>
      </c>
      <c r="B699" s="14">
        <v>45723.0</v>
      </c>
      <c r="C699" s="16" t="s">
        <v>114</v>
      </c>
      <c r="D699" s="16" t="s">
        <v>115</v>
      </c>
      <c r="E699" s="17">
        <v>45723.5625</v>
      </c>
      <c r="F699" s="17">
        <v>45723.3541666667</v>
      </c>
      <c r="G699" s="14">
        <v>45723.0</v>
      </c>
      <c r="H699" s="16"/>
      <c r="I699" s="16" t="s">
        <v>116</v>
      </c>
    </row>
    <row r="700" ht="15.75" customHeight="1">
      <c r="A700" s="16" t="s">
        <v>117</v>
      </c>
      <c r="B700" s="14">
        <v>45728.0</v>
      </c>
      <c r="C700" s="16" t="s">
        <v>114</v>
      </c>
      <c r="D700" s="16" t="s">
        <v>115</v>
      </c>
      <c r="E700" s="17">
        <v>45728.5208333333</v>
      </c>
      <c r="F700" s="17">
        <v>45728.3541666667</v>
      </c>
      <c r="G700" s="14">
        <v>45728.0</v>
      </c>
      <c r="H700" s="16"/>
      <c r="I700" s="16" t="s">
        <v>118</v>
      </c>
    </row>
    <row r="701" ht="15.75" customHeight="1">
      <c r="A701" s="16" t="s">
        <v>119</v>
      </c>
      <c r="B701" s="14">
        <v>45736.0</v>
      </c>
      <c r="C701" s="16" t="s">
        <v>120</v>
      </c>
      <c r="D701" s="16" t="s">
        <v>121</v>
      </c>
      <c r="E701" s="17">
        <v>45735.90625</v>
      </c>
      <c r="F701" s="17">
        <v>45735.7395833333</v>
      </c>
      <c r="G701" s="14">
        <v>45735.0</v>
      </c>
      <c r="H701" s="16" t="s">
        <v>159</v>
      </c>
      <c r="I701" s="16" t="s">
        <v>123</v>
      </c>
    </row>
    <row r="702" ht="15.75" customHeight="1">
      <c r="A702" s="16" t="s">
        <v>113</v>
      </c>
      <c r="B702" s="14">
        <v>45751.0</v>
      </c>
      <c r="C702" s="16" t="s">
        <v>114</v>
      </c>
      <c r="D702" s="16" t="s">
        <v>115</v>
      </c>
      <c r="E702" s="17">
        <v>45751.5208333333</v>
      </c>
      <c r="F702" s="17">
        <v>45751.3541666667</v>
      </c>
      <c r="G702" s="14">
        <v>45751.0</v>
      </c>
      <c r="H702" s="16"/>
      <c r="I702" s="16" t="s">
        <v>116</v>
      </c>
    </row>
    <row r="703" ht="15.75" customHeight="1">
      <c r="A703" s="16" t="s">
        <v>117</v>
      </c>
      <c r="B703" s="14">
        <v>45757.0</v>
      </c>
      <c r="C703" s="16" t="s">
        <v>114</v>
      </c>
      <c r="D703" s="16" t="s">
        <v>115</v>
      </c>
      <c r="E703" s="17">
        <v>45757.5208333333</v>
      </c>
      <c r="F703" s="17">
        <v>45757.3541666667</v>
      </c>
      <c r="G703" s="14">
        <v>45757.0</v>
      </c>
      <c r="H703" s="16"/>
      <c r="I703" s="16" t="s">
        <v>118</v>
      </c>
    </row>
    <row r="704" ht="15.75" customHeight="1">
      <c r="A704" s="16" t="s">
        <v>124</v>
      </c>
      <c r="B704" s="14">
        <v>45764.0</v>
      </c>
      <c r="C704" s="16" t="s">
        <v>120</v>
      </c>
      <c r="D704" s="16" t="s">
        <v>121</v>
      </c>
      <c r="E704" s="17">
        <v>45763.9479166667</v>
      </c>
      <c r="F704" s="17">
        <v>45763.78125</v>
      </c>
      <c r="G704" s="14">
        <v>45763.0</v>
      </c>
      <c r="H704" s="16" t="s">
        <v>160</v>
      </c>
      <c r="I704" s="16" t="s">
        <v>123</v>
      </c>
    </row>
    <row r="705" ht="15.75" customHeight="1">
      <c r="A705" s="16" t="s">
        <v>113</v>
      </c>
      <c r="B705" s="14">
        <v>45779.0</v>
      </c>
      <c r="C705" s="16" t="s">
        <v>114</v>
      </c>
      <c r="D705" s="16" t="s">
        <v>115</v>
      </c>
      <c r="E705" s="17">
        <v>45779.5208333333</v>
      </c>
      <c r="F705" s="17">
        <v>45779.3541666667</v>
      </c>
      <c r="G705" s="14">
        <v>45779.0</v>
      </c>
      <c r="H705" s="16"/>
      <c r="I705" s="16" t="s">
        <v>116</v>
      </c>
    </row>
    <row r="706" ht="15.75" customHeight="1">
      <c r="A706" s="16" t="s">
        <v>126</v>
      </c>
      <c r="B706" s="14">
        <v>45784.0</v>
      </c>
      <c r="C706" s="16" t="s">
        <v>120</v>
      </c>
      <c r="D706" s="16" t="s">
        <v>121</v>
      </c>
      <c r="E706" s="17">
        <v>45783.9479166667</v>
      </c>
      <c r="F706" s="17">
        <v>45783.78125</v>
      </c>
      <c r="G706" s="14">
        <v>45783.0</v>
      </c>
      <c r="H706" s="16" t="s">
        <v>160</v>
      </c>
      <c r="I706" s="16" t="s">
        <v>123</v>
      </c>
    </row>
    <row r="707" ht="15.75" customHeight="1">
      <c r="A707" s="16" t="s">
        <v>117</v>
      </c>
      <c r="B707" s="14">
        <v>45790.0</v>
      </c>
      <c r="C707" s="16" t="s">
        <v>114</v>
      </c>
      <c r="D707" s="16" t="s">
        <v>115</v>
      </c>
      <c r="E707" s="17">
        <v>45790.5208333333</v>
      </c>
      <c r="F707" s="17">
        <v>45790.3541666667</v>
      </c>
      <c r="G707" s="14">
        <v>45790.0</v>
      </c>
      <c r="H707" s="16"/>
      <c r="I707" s="16" t="s">
        <v>118</v>
      </c>
    </row>
    <row r="708" ht="15.75" customHeight="1">
      <c r="A708" s="16" t="s">
        <v>113</v>
      </c>
      <c r="B708" s="14">
        <v>45814.0</v>
      </c>
      <c r="C708" s="16" t="s">
        <v>114</v>
      </c>
      <c r="D708" s="16" t="s">
        <v>115</v>
      </c>
      <c r="E708" s="17">
        <v>45814.5208333333</v>
      </c>
      <c r="F708" s="17">
        <v>45814.3541666667</v>
      </c>
      <c r="G708" s="14">
        <v>45814.0</v>
      </c>
      <c r="H708" s="16"/>
      <c r="I708" s="16" t="s">
        <v>116</v>
      </c>
    </row>
    <row r="709" ht="15.75" customHeight="1">
      <c r="A709" s="16" t="s">
        <v>117</v>
      </c>
      <c r="B709" s="14">
        <v>45819.0</v>
      </c>
      <c r="C709" s="16" t="s">
        <v>114</v>
      </c>
      <c r="D709" s="16" t="s">
        <v>115</v>
      </c>
      <c r="E709" s="17">
        <v>45819.5208333333</v>
      </c>
      <c r="F709" s="17">
        <v>45819.3541666667</v>
      </c>
      <c r="G709" s="14">
        <v>45819.0</v>
      </c>
      <c r="H709" s="16"/>
      <c r="I709" s="16" t="s">
        <v>118</v>
      </c>
    </row>
    <row r="710" ht="15.75" customHeight="1">
      <c r="A710" s="16" t="s">
        <v>119</v>
      </c>
      <c r="B710" s="14">
        <v>45827.0</v>
      </c>
      <c r="C710" s="16" t="s">
        <v>120</v>
      </c>
      <c r="D710" s="16" t="s">
        <v>121</v>
      </c>
      <c r="E710" s="17">
        <v>45826.9479166667</v>
      </c>
      <c r="F710" s="17">
        <v>45826.78125</v>
      </c>
      <c r="G710" s="14">
        <v>45826.0</v>
      </c>
      <c r="H710" s="16" t="s">
        <v>160</v>
      </c>
      <c r="I710" s="16" t="s">
        <v>123</v>
      </c>
    </row>
    <row r="711" ht="15.75" customHeight="1">
      <c r="A711" s="16" t="s">
        <v>113</v>
      </c>
      <c r="B711" s="14">
        <v>45841.0</v>
      </c>
      <c r="C711" s="16" t="s">
        <v>114</v>
      </c>
      <c r="D711" s="16" t="s">
        <v>115</v>
      </c>
      <c r="E711" s="17">
        <v>45841.5208333333</v>
      </c>
      <c r="F711" s="17">
        <v>45841.3541666667</v>
      </c>
      <c r="G711" s="14">
        <v>45841.0</v>
      </c>
      <c r="H711" s="16"/>
      <c r="I711" s="16" t="s">
        <v>116</v>
      </c>
    </row>
    <row r="712" ht="15.75" customHeight="1">
      <c r="A712" s="16" t="s">
        <v>117</v>
      </c>
      <c r="B712" s="14">
        <v>45853.0</v>
      </c>
      <c r="C712" s="16" t="s">
        <v>114</v>
      </c>
      <c r="D712" s="16" t="s">
        <v>115</v>
      </c>
      <c r="E712" s="17">
        <v>45853.5208333333</v>
      </c>
      <c r="F712" s="17">
        <v>45853.3541666667</v>
      </c>
      <c r="G712" s="14">
        <v>45853.0</v>
      </c>
      <c r="H712" s="16"/>
      <c r="I712" s="16" t="s">
        <v>118</v>
      </c>
    </row>
    <row r="713" ht="15.75" customHeight="1">
      <c r="A713" s="16" t="s">
        <v>124</v>
      </c>
      <c r="B713" s="14">
        <v>45859.0</v>
      </c>
      <c r="C713" s="16" t="s">
        <v>120</v>
      </c>
      <c r="D713" s="16" t="s">
        <v>121</v>
      </c>
      <c r="E713" s="17">
        <v>45858.9479166667</v>
      </c>
      <c r="F713" s="17">
        <v>45858.78125</v>
      </c>
      <c r="G713" s="14">
        <v>45858.0</v>
      </c>
      <c r="H713" s="16" t="s">
        <v>161</v>
      </c>
      <c r="I713" s="16" t="s">
        <v>123</v>
      </c>
    </row>
    <row r="714" ht="15.75" customHeight="1">
      <c r="A714" s="16" t="s">
        <v>113</v>
      </c>
      <c r="B714" s="14">
        <v>45870.0</v>
      </c>
      <c r="C714" s="16" t="s">
        <v>114</v>
      </c>
      <c r="D714" s="16" t="s">
        <v>115</v>
      </c>
      <c r="E714" s="17">
        <v>45870.5208333333</v>
      </c>
      <c r="F714" s="17">
        <v>45870.3541666667</v>
      </c>
      <c r="G714" s="14">
        <v>45870.0</v>
      </c>
      <c r="H714" s="16"/>
      <c r="I714" s="16" t="s">
        <v>116</v>
      </c>
    </row>
    <row r="715" ht="15.75" customHeight="1">
      <c r="A715" s="16" t="s">
        <v>126</v>
      </c>
      <c r="B715" s="14">
        <v>45875.0</v>
      </c>
      <c r="C715" s="16" t="s">
        <v>120</v>
      </c>
      <c r="D715" s="16" t="s">
        <v>121</v>
      </c>
      <c r="E715" s="17">
        <v>45874.9479166667</v>
      </c>
      <c r="F715" s="17">
        <v>45874.78125</v>
      </c>
      <c r="G715" s="14">
        <v>45874.0</v>
      </c>
      <c r="H715" s="16" t="s">
        <v>161</v>
      </c>
      <c r="I715" s="16" t="s">
        <v>123</v>
      </c>
    </row>
    <row r="716" ht="15.75" customHeight="1">
      <c r="A716" s="16" t="s">
        <v>117</v>
      </c>
      <c r="B716" s="14">
        <v>45881.0</v>
      </c>
      <c r="C716" s="16" t="s">
        <v>114</v>
      </c>
      <c r="D716" s="16" t="s">
        <v>115</v>
      </c>
      <c r="E716" s="17">
        <v>45881.5208333333</v>
      </c>
      <c r="F716" s="17">
        <v>45881.3541666667</v>
      </c>
      <c r="G716" s="14">
        <v>45881.0</v>
      </c>
      <c r="H716" s="16"/>
      <c r="I716" s="16" t="s">
        <v>118</v>
      </c>
    </row>
    <row r="717" ht="15.75" customHeight="1">
      <c r="A717" s="16" t="s">
        <v>113</v>
      </c>
      <c r="B717" s="14">
        <v>45905.0</v>
      </c>
      <c r="C717" s="16" t="s">
        <v>114</v>
      </c>
      <c r="D717" s="16" t="s">
        <v>115</v>
      </c>
      <c r="E717" s="17">
        <v>45905.5208333333</v>
      </c>
      <c r="F717" s="17">
        <v>45905.3541666667</v>
      </c>
      <c r="G717" s="14">
        <v>45905.0</v>
      </c>
      <c r="H717" s="16"/>
      <c r="I717" s="16" t="s">
        <v>116</v>
      </c>
    </row>
    <row r="718" ht="15.75" customHeight="1">
      <c r="A718" s="16" t="s">
        <v>117</v>
      </c>
      <c r="B718" s="14">
        <v>45911.0</v>
      </c>
      <c r="C718" s="16" t="s">
        <v>114</v>
      </c>
      <c r="D718" s="16" t="s">
        <v>115</v>
      </c>
      <c r="E718" s="17">
        <v>45911.5208333333</v>
      </c>
      <c r="F718" s="17">
        <v>45911.3541666667</v>
      </c>
      <c r="G718" s="14">
        <v>45911.0</v>
      </c>
      <c r="H718" s="16"/>
      <c r="I718" s="16" t="s">
        <v>118</v>
      </c>
    </row>
    <row r="719" ht="15.75" customHeight="1">
      <c r="A719" s="16" t="s">
        <v>119</v>
      </c>
      <c r="B719" s="14">
        <v>45918.0</v>
      </c>
      <c r="C719" s="16" t="s">
        <v>120</v>
      </c>
      <c r="D719" s="16" t="s">
        <v>121</v>
      </c>
      <c r="E719" s="17">
        <v>45917.9479166667</v>
      </c>
      <c r="F719" s="17">
        <v>45917.78125</v>
      </c>
      <c r="G719" s="14">
        <v>45917.0</v>
      </c>
      <c r="H719" s="16" t="s">
        <v>161</v>
      </c>
      <c r="I719" s="16" t="s">
        <v>123</v>
      </c>
    </row>
    <row r="720" ht="15.75" customHeight="1">
      <c r="A720" s="16" t="s">
        <v>124</v>
      </c>
      <c r="B720" s="14">
        <v>45950.0</v>
      </c>
      <c r="C720" s="16" t="s">
        <v>120</v>
      </c>
      <c r="D720" s="16" t="s">
        <v>121</v>
      </c>
      <c r="E720" s="17">
        <v>45949.90625</v>
      </c>
      <c r="F720" s="17">
        <v>45949.7395833333</v>
      </c>
      <c r="G720" s="14">
        <v>45949.0</v>
      </c>
      <c r="H720" s="16" t="s">
        <v>162</v>
      </c>
      <c r="I720" s="16" t="s">
        <v>123</v>
      </c>
    </row>
    <row r="721" ht="15.75" customHeight="1">
      <c r="A721" s="16" t="s">
        <v>117</v>
      </c>
      <c r="B721" s="14">
        <v>45954.0</v>
      </c>
      <c r="C721" s="16" t="s">
        <v>114</v>
      </c>
      <c r="D721" s="16" t="s">
        <v>115</v>
      </c>
      <c r="E721" s="17">
        <v>45954.5208333333</v>
      </c>
      <c r="F721" s="17">
        <v>45954.3541666667</v>
      </c>
      <c r="G721" s="14">
        <v>45954.0</v>
      </c>
      <c r="H721" s="16"/>
      <c r="I721" s="16" t="s">
        <v>118</v>
      </c>
    </row>
    <row r="722" ht="15.75" customHeight="1">
      <c r="A722" s="16" t="s">
        <v>126</v>
      </c>
      <c r="B722" s="14">
        <v>45966.0</v>
      </c>
      <c r="C722" s="16" t="s">
        <v>120</v>
      </c>
      <c r="D722" s="16" t="s">
        <v>121</v>
      </c>
      <c r="E722" s="17">
        <v>45965.90625</v>
      </c>
      <c r="F722" s="17">
        <v>45965.6979166667</v>
      </c>
      <c r="G722" s="14">
        <v>45965.0</v>
      </c>
      <c r="H722" s="16" t="s">
        <v>162</v>
      </c>
      <c r="I722" s="16" t="s">
        <v>123</v>
      </c>
    </row>
    <row r="723" ht="15.75" customHeight="1">
      <c r="A723" s="16" t="s">
        <v>113</v>
      </c>
      <c r="B723" s="14">
        <v>45981.0</v>
      </c>
      <c r="C723" s="16" t="s">
        <v>114</v>
      </c>
      <c r="D723" s="16" t="s">
        <v>115</v>
      </c>
      <c r="E723" s="17">
        <v>45981.5625</v>
      </c>
      <c r="F723" s="17">
        <v>45981.3541666667</v>
      </c>
      <c r="G723" s="14">
        <v>45981.0</v>
      </c>
      <c r="H723" s="16"/>
      <c r="I723" s="16" t="s">
        <v>116</v>
      </c>
    </row>
    <row r="724" ht="15.75" customHeight="1">
      <c r="A724" s="16" t="s">
        <v>113</v>
      </c>
      <c r="B724" s="14">
        <v>46007.0</v>
      </c>
      <c r="C724" s="16" t="s">
        <v>114</v>
      </c>
      <c r="D724" s="16" t="s">
        <v>115</v>
      </c>
      <c r="E724" s="17">
        <v>46007.5625</v>
      </c>
      <c r="F724" s="17">
        <v>46007.3541666667</v>
      </c>
      <c r="G724" s="14">
        <v>46007.0</v>
      </c>
      <c r="H724" s="16"/>
      <c r="I724" s="16" t="s">
        <v>116</v>
      </c>
    </row>
    <row r="725" ht="15.75" customHeight="1">
      <c r="A725" s="16" t="s">
        <v>119</v>
      </c>
      <c r="B725" s="14">
        <v>46009.0</v>
      </c>
      <c r="C725" s="16" t="s">
        <v>120</v>
      </c>
      <c r="D725" s="16" t="s">
        <v>121</v>
      </c>
      <c r="E725" s="17">
        <v>46008.90625</v>
      </c>
      <c r="F725" s="17">
        <v>46008.6979166667</v>
      </c>
      <c r="G725" s="14">
        <v>46008.0</v>
      </c>
      <c r="H725" s="16" t="s">
        <v>162</v>
      </c>
      <c r="I725" s="16" t="s">
        <v>123</v>
      </c>
    </row>
    <row r="726" ht="15.75" customHeight="1">
      <c r="A726" s="16" t="s">
        <v>117</v>
      </c>
      <c r="B726" s="14">
        <v>46009.0</v>
      </c>
      <c r="C726" s="16" t="s">
        <v>114</v>
      </c>
      <c r="D726" s="16" t="s">
        <v>115</v>
      </c>
      <c r="E726" s="17">
        <v>46009.5625</v>
      </c>
      <c r="F726" s="17">
        <v>46009.3541666667</v>
      </c>
      <c r="G726" s="14">
        <v>46009.0</v>
      </c>
      <c r="H726" s="16"/>
      <c r="I726" s="16" t="s">
        <v>118</v>
      </c>
    </row>
    <row r="727" ht="15.75" customHeight="1">
      <c r="A727" s="16" t="s">
        <v>113</v>
      </c>
      <c r="B727" s="14">
        <v>46031.0</v>
      </c>
      <c r="C727" s="16" t="s">
        <v>114</v>
      </c>
      <c r="D727" s="16" t="s">
        <v>115</v>
      </c>
      <c r="E727" s="17">
        <v>46031.5625</v>
      </c>
      <c r="F727" s="17">
        <v>46031.3541666667</v>
      </c>
      <c r="G727" s="14">
        <v>46031.0</v>
      </c>
      <c r="H727" s="16"/>
      <c r="I727" s="16" t="s">
        <v>116</v>
      </c>
    </row>
    <row r="728" ht="15.75" customHeight="1">
      <c r="A728" s="16" t="s">
        <v>117</v>
      </c>
      <c r="B728" s="14">
        <v>46035.0</v>
      </c>
      <c r="C728" s="16" t="s">
        <v>114</v>
      </c>
      <c r="D728" s="16" t="s">
        <v>115</v>
      </c>
      <c r="E728" s="17">
        <v>46035.5625</v>
      </c>
      <c r="F728" s="17">
        <v>46035.3541666667</v>
      </c>
      <c r="G728" s="14">
        <v>46035.0</v>
      </c>
      <c r="H728" s="16"/>
      <c r="I728" s="16" t="s">
        <v>118</v>
      </c>
    </row>
    <row r="729" ht="15.75" customHeight="1">
      <c r="A729" s="16" t="s">
        <v>124</v>
      </c>
      <c r="B729" s="14">
        <v>46045.0</v>
      </c>
      <c r="C729" s="16" t="s">
        <v>120</v>
      </c>
      <c r="D729" s="16" t="s">
        <v>121</v>
      </c>
      <c r="E729" s="17">
        <v>46044.90625</v>
      </c>
      <c r="F729" s="17">
        <v>46044.6979166667</v>
      </c>
      <c r="G729" s="14">
        <v>46044.0</v>
      </c>
      <c r="H729" s="16" t="s">
        <v>163</v>
      </c>
      <c r="I729" s="16" t="s">
        <v>123</v>
      </c>
    </row>
    <row r="730" ht="15.75" customHeight="1">
      <c r="A730" s="16" t="s">
        <v>126</v>
      </c>
      <c r="B730" s="14">
        <v>46057.0</v>
      </c>
      <c r="C730" s="16" t="s">
        <v>120</v>
      </c>
      <c r="D730" s="16" t="s">
        <v>121</v>
      </c>
      <c r="E730" s="17">
        <v>46056.90625</v>
      </c>
      <c r="F730" s="17">
        <v>46056.6979166667</v>
      </c>
      <c r="G730" s="14">
        <v>46056.0</v>
      </c>
      <c r="H730" s="16" t="s">
        <v>163</v>
      </c>
      <c r="I730" s="16" t="s">
        <v>123</v>
      </c>
    </row>
    <row r="731" ht="15.75" customHeight="1">
      <c r="A731" s="16" t="s">
        <v>113</v>
      </c>
      <c r="B731" s="14">
        <v>46064.0</v>
      </c>
      <c r="C731" s="16" t="s">
        <v>114</v>
      </c>
      <c r="D731" s="16" t="s">
        <v>115</v>
      </c>
      <c r="E731" s="17">
        <v>46064.5625</v>
      </c>
      <c r="F731" s="17">
        <v>46064.3541666667</v>
      </c>
      <c r="G731" s="14">
        <v>46064.0</v>
      </c>
      <c r="H731" s="16"/>
      <c r="I731" s="16" t="s">
        <v>116</v>
      </c>
    </row>
    <row r="732" ht="15.75" customHeight="1">
      <c r="A732" s="16" t="s">
        <v>117</v>
      </c>
      <c r="B732" s="14">
        <v>46066.0</v>
      </c>
      <c r="C732" s="16" t="s">
        <v>114</v>
      </c>
      <c r="D732" s="16" t="s">
        <v>115</v>
      </c>
      <c r="E732" s="17">
        <v>46066.5625</v>
      </c>
      <c r="F732" s="17">
        <v>46066.3541666667</v>
      </c>
      <c r="G732" s="14">
        <v>46066.0</v>
      </c>
      <c r="H732" s="16"/>
      <c r="I732" s="16" t="s">
        <v>118</v>
      </c>
    </row>
    <row r="733" ht="15.75" customHeight="1">
      <c r="A733" s="16" t="s">
        <v>113</v>
      </c>
      <c r="B733" s="14">
        <v>46087.0</v>
      </c>
      <c r="C733" s="16" t="s">
        <v>114</v>
      </c>
      <c r="D733" s="16" t="s">
        <v>115</v>
      </c>
      <c r="E733" s="17">
        <v>46087.5625</v>
      </c>
      <c r="F733" s="17">
        <v>46087.3541666667</v>
      </c>
      <c r="G733" s="14">
        <v>46087.0</v>
      </c>
      <c r="H733" s="16"/>
      <c r="I733" s="16" t="s">
        <v>116</v>
      </c>
    </row>
    <row r="734" ht="15.75" customHeight="1">
      <c r="A734" s="16" t="s">
        <v>117</v>
      </c>
      <c r="B734" s="14">
        <v>46092.0</v>
      </c>
      <c r="C734" s="16" t="s">
        <v>114</v>
      </c>
      <c r="D734" s="16" t="s">
        <v>115</v>
      </c>
      <c r="E734" s="17">
        <v>46092.5208333333</v>
      </c>
      <c r="F734" s="17">
        <v>46092.3541666667</v>
      </c>
      <c r="G734" s="14">
        <v>46092.0</v>
      </c>
      <c r="H734" s="16"/>
      <c r="I734" s="16" t="s">
        <v>118</v>
      </c>
    </row>
    <row r="735" ht="15.75" customHeight="1">
      <c r="A735" s="16" t="s">
        <v>119</v>
      </c>
      <c r="B735" s="14">
        <v>46100.0</v>
      </c>
      <c r="C735" s="16" t="s">
        <v>120</v>
      </c>
      <c r="D735" s="16" t="s">
        <v>121</v>
      </c>
      <c r="E735" s="17">
        <v>46099.90625</v>
      </c>
      <c r="F735" s="17">
        <v>46099.7395833333</v>
      </c>
      <c r="G735" s="14">
        <v>46099.0</v>
      </c>
      <c r="H735" s="16" t="s">
        <v>163</v>
      </c>
      <c r="I735" s="16" t="s">
        <v>123</v>
      </c>
    </row>
    <row r="736" ht="15.75" customHeight="1">
      <c r="A736" s="16" t="s">
        <v>113</v>
      </c>
      <c r="B736" s="14">
        <v>46115.0</v>
      </c>
      <c r="C736" s="16" t="s">
        <v>114</v>
      </c>
      <c r="D736" s="16" t="s">
        <v>115</v>
      </c>
      <c r="E736" s="17">
        <v>46115.5208333333</v>
      </c>
      <c r="F736" s="17">
        <v>46115.3541666667</v>
      </c>
      <c r="G736" s="14">
        <v>46115.0</v>
      </c>
      <c r="H736" s="16"/>
      <c r="I736" s="16" t="s">
        <v>116</v>
      </c>
    </row>
    <row r="737" ht="15.75" customHeight="1">
      <c r="A737" s="16" t="s">
        <v>117</v>
      </c>
      <c r="B737" s="14">
        <v>46122.0</v>
      </c>
      <c r="C737" s="16" t="s">
        <v>114</v>
      </c>
      <c r="D737" s="16" t="s">
        <v>115</v>
      </c>
      <c r="E737" s="17">
        <v>46122.5208333333</v>
      </c>
      <c r="F737" s="17">
        <v>46122.3541666667</v>
      </c>
      <c r="G737" s="14">
        <v>46122.0</v>
      </c>
      <c r="H737" s="16"/>
      <c r="I737" s="16" t="s">
        <v>118</v>
      </c>
    </row>
    <row r="738" ht="15.75" customHeight="1">
      <c r="A738" s="16" t="s">
        <v>124</v>
      </c>
      <c r="B738" s="14">
        <v>46133.0</v>
      </c>
      <c r="C738" s="16" t="s">
        <v>120</v>
      </c>
      <c r="D738" s="16" t="s">
        <v>121</v>
      </c>
      <c r="E738" s="17">
        <v>46132.9479166667</v>
      </c>
      <c r="F738" s="17">
        <v>46132.78125</v>
      </c>
      <c r="G738" s="14">
        <v>46132.0</v>
      </c>
      <c r="H738" s="16" t="s">
        <v>164</v>
      </c>
      <c r="I738" s="16" t="s">
        <v>123</v>
      </c>
    </row>
    <row r="739" ht="15.75" customHeight="1">
      <c r="A739" s="16" t="s">
        <v>126</v>
      </c>
      <c r="B739" s="14">
        <v>46148.0</v>
      </c>
      <c r="C739" s="16" t="s">
        <v>120</v>
      </c>
      <c r="D739" s="16" t="s">
        <v>121</v>
      </c>
      <c r="E739" s="17">
        <v>46147.9479166667</v>
      </c>
      <c r="F739" s="17">
        <v>46147.78125</v>
      </c>
      <c r="G739" s="14">
        <v>46147.0</v>
      </c>
      <c r="H739" s="16" t="s">
        <v>164</v>
      </c>
      <c r="I739" s="16" t="s">
        <v>123</v>
      </c>
    </row>
    <row r="740" ht="15.75" customHeight="1">
      <c r="A740" s="16" t="s">
        <v>113</v>
      </c>
      <c r="B740" s="14">
        <v>46150.0</v>
      </c>
      <c r="C740" s="16" t="s">
        <v>114</v>
      </c>
      <c r="D740" s="16" t="s">
        <v>115</v>
      </c>
      <c r="E740" s="17">
        <v>46150.5208333333</v>
      </c>
      <c r="F740" s="17">
        <v>46150.3541666667</v>
      </c>
      <c r="G740" s="14">
        <v>46150.0</v>
      </c>
      <c r="H740" s="16"/>
      <c r="I740" s="16" t="s">
        <v>116</v>
      </c>
    </row>
    <row r="741" ht="15.75" customHeight="1">
      <c r="A741" s="16" t="s">
        <v>117</v>
      </c>
      <c r="B741" s="14">
        <v>46154.0</v>
      </c>
      <c r="C741" s="16" t="s">
        <v>114</v>
      </c>
      <c r="D741" s="16" t="s">
        <v>115</v>
      </c>
      <c r="E741" s="17">
        <v>46154.5208333333</v>
      </c>
      <c r="F741" s="17">
        <v>46154.3541666667</v>
      </c>
      <c r="G741" s="14">
        <v>46154.0</v>
      </c>
      <c r="H741" s="16"/>
      <c r="I741" s="16" t="s">
        <v>118</v>
      </c>
    </row>
    <row r="742" ht="15.75" customHeight="1">
      <c r="A742" s="16" t="s">
        <v>113</v>
      </c>
      <c r="B742" s="14">
        <v>46178.0</v>
      </c>
      <c r="C742" s="16" t="s">
        <v>114</v>
      </c>
      <c r="D742" s="16" t="s">
        <v>115</v>
      </c>
      <c r="E742" s="17">
        <v>46178.5208333333</v>
      </c>
      <c r="F742" s="17">
        <v>46178.3541666667</v>
      </c>
      <c r="G742" s="14">
        <v>46178.0</v>
      </c>
      <c r="H742" s="16"/>
      <c r="I742" s="16" t="s">
        <v>116</v>
      </c>
    </row>
    <row r="743" ht="15.75" customHeight="1">
      <c r="A743" s="16" t="s">
        <v>117</v>
      </c>
      <c r="B743" s="14">
        <v>46183.0</v>
      </c>
      <c r="C743" s="16" t="s">
        <v>114</v>
      </c>
      <c r="D743" s="16" t="s">
        <v>115</v>
      </c>
      <c r="E743" s="17">
        <v>46183.5208333333</v>
      </c>
      <c r="F743" s="17">
        <v>46183.3541666667</v>
      </c>
      <c r="G743" s="14">
        <v>46183.0</v>
      </c>
      <c r="H743" s="16"/>
      <c r="I743" s="16" t="s">
        <v>118</v>
      </c>
    </row>
    <row r="744" ht="15.75" customHeight="1">
      <c r="A744" s="16" t="s">
        <v>119</v>
      </c>
      <c r="B744" s="14">
        <v>46191.0</v>
      </c>
      <c r="C744" s="16" t="s">
        <v>120</v>
      </c>
      <c r="D744" s="16" t="s">
        <v>121</v>
      </c>
      <c r="E744" s="17">
        <v>46190.9479166667</v>
      </c>
      <c r="F744" s="17">
        <v>46190.78125</v>
      </c>
      <c r="G744" s="14">
        <v>46190.0</v>
      </c>
      <c r="H744" s="16" t="s">
        <v>164</v>
      </c>
      <c r="I744" s="16" t="s">
        <v>123</v>
      </c>
    </row>
    <row r="745" ht="15.75" customHeight="1">
      <c r="A745" s="16" t="s">
        <v>113</v>
      </c>
      <c r="B745" s="14">
        <v>46205.0</v>
      </c>
      <c r="C745" s="16" t="s">
        <v>114</v>
      </c>
      <c r="D745" s="16" t="s">
        <v>115</v>
      </c>
      <c r="E745" s="17">
        <v>46205.5208333333</v>
      </c>
      <c r="F745" s="17">
        <v>46205.3541666667</v>
      </c>
      <c r="G745" s="14">
        <v>46205.0</v>
      </c>
      <c r="H745" s="16"/>
      <c r="I745" s="16" t="s">
        <v>116</v>
      </c>
    </row>
    <row r="746" ht="15.75" customHeight="1">
      <c r="A746" s="16" t="s">
        <v>117</v>
      </c>
      <c r="B746" s="14">
        <v>46217.0</v>
      </c>
      <c r="C746" s="16" t="s">
        <v>114</v>
      </c>
      <c r="D746" s="16" t="s">
        <v>115</v>
      </c>
      <c r="E746" s="17">
        <v>46217.5208333333</v>
      </c>
      <c r="F746" s="17">
        <v>46217.3541666667</v>
      </c>
      <c r="G746" s="14">
        <v>46217.0</v>
      </c>
      <c r="H746" s="16"/>
      <c r="I746" s="16" t="s">
        <v>118</v>
      </c>
    </row>
    <row r="747" ht="15.75" customHeight="1">
      <c r="A747" s="16" t="s">
        <v>124</v>
      </c>
      <c r="B747" s="14">
        <v>46224.0</v>
      </c>
      <c r="C747" s="16" t="s">
        <v>120</v>
      </c>
      <c r="D747" s="16" t="s">
        <v>121</v>
      </c>
      <c r="E747" s="17">
        <v>46223.9479166667</v>
      </c>
      <c r="F747" s="17">
        <v>46223.78125</v>
      </c>
      <c r="G747" s="14">
        <v>46223.0</v>
      </c>
      <c r="H747" s="16" t="s">
        <v>165</v>
      </c>
      <c r="I747" s="16" t="s">
        <v>123</v>
      </c>
    </row>
    <row r="748" ht="15.75" customHeight="1">
      <c r="A748" s="16" t="s">
        <v>126</v>
      </c>
      <c r="B748" s="14">
        <v>46239.0</v>
      </c>
      <c r="C748" s="16" t="s">
        <v>120</v>
      </c>
      <c r="D748" s="16" t="s">
        <v>121</v>
      </c>
      <c r="E748" s="17">
        <v>46238.9479166667</v>
      </c>
      <c r="F748" s="17">
        <v>46238.78125</v>
      </c>
      <c r="G748" s="14">
        <v>46238.0</v>
      </c>
      <c r="H748" s="16" t="s">
        <v>165</v>
      </c>
      <c r="I748" s="16" t="s">
        <v>123</v>
      </c>
    </row>
    <row r="749" ht="15.75" customHeight="1">
      <c r="A749" s="16" t="s">
        <v>113</v>
      </c>
      <c r="B749" s="14">
        <v>46241.0</v>
      </c>
      <c r="C749" s="16" t="s">
        <v>114</v>
      </c>
      <c r="D749" s="16" t="s">
        <v>115</v>
      </c>
      <c r="E749" s="17">
        <v>46241.5208333333</v>
      </c>
      <c r="F749" s="17">
        <v>46241.3541666667</v>
      </c>
      <c r="G749" s="14">
        <v>46241.0</v>
      </c>
      <c r="H749" s="16"/>
      <c r="I749" s="16" t="s">
        <v>116</v>
      </c>
    </row>
    <row r="750" ht="15.75" customHeight="1">
      <c r="A750" s="16" t="s">
        <v>117</v>
      </c>
      <c r="B750" s="14">
        <v>46246.0</v>
      </c>
      <c r="C750" s="16" t="s">
        <v>114</v>
      </c>
      <c r="D750" s="16" t="s">
        <v>115</v>
      </c>
      <c r="E750" s="17">
        <v>46246.5208333333</v>
      </c>
      <c r="F750" s="17">
        <v>46246.3541666667</v>
      </c>
      <c r="G750" s="14">
        <v>46246.0</v>
      </c>
      <c r="H750" s="16"/>
      <c r="I750" s="16" t="s">
        <v>118</v>
      </c>
    </row>
    <row r="751" ht="15.75" customHeight="1">
      <c r="A751" s="16" t="s">
        <v>113</v>
      </c>
      <c r="B751" s="14">
        <v>46269.0</v>
      </c>
      <c r="C751" s="16" t="s">
        <v>114</v>
      </c>
      <c r="D751" s="16" t="s">
        <v>115</v>
      </c>
      <c r="E751" s="17">
        <v>46269.5208333333</v>
      </c>
      <c r="F751" s="17">
        <v>46269.3541666667</v>
      </c>
      <c r="G751" s="14">
        <v>46269.0</v>
      </c>
      <c r="H751" s="16"/>
      <c r="I751" s="16" t="s">
        <v>116</v>
      </c>
    </row>
    <row r="752" ht="15.75" customHeight="1">
      <c r="A752" s="16" t="s">
        <v>117</v>
      </c>
      <c r="B752" s="14">
        <v>46276.0</v>
      </c>
      <c r="C752" s="16" t="s">
        <v>114</v>
      </c>
      <c r="D752" s="16" t="s">
        <v>115</v>
      </c>
      <c r="E752" s="17">
        <v>46276.5208333333</v>
      </c>
      <c r="F752" s="17">
        <v>46276.3541666667</v>
      </c>
      <c r="G752" s="14">
        <v>46276.0</v>
      </c>
      <c r="H752" s="16"/>
      <c r="I752" s="16" t="s">
        <v>118</v>
      </c>
    </row>
    <row r="753" ht="15.75" customHeight="1">
      <c r="A753" s="16" t="s">
        <v>119</v>
      </c>
      <c r="B753" s="14">
        <v>46282.0</v>
      </c>
      <c r="C753" s="16" t="s">
        <v>120</v>
      </c>
      <c r="D753" s="16" t="s">
        <v>121</v>
      </c>
      <c r="E753" s="17">
        <v>46281.9479166667</v>
      </c>
      <c r="F753" s="17">
        <v>46281.78125</v>
      </c>
      <c r="G753" s="14">
        <v>46281.0</v>
      </c>
      <c r="H753" s="16" t="s">
        <v>165</v>
      </c>
      <c r="I753" s="16" t="s">
        <v>123</v>
      </c>
    </row>
    <row r="754" ht="15.75" customHeight="1">
      <c r="A754" s="16" t="s">
        <v>113</v>
      </c>
      <c r="B754" s="14">
        <v>46297.0</v>
      </c>
      <c r="C754" s="16" t="s">
        <v>114</v>
      </c>
      <c r="D754" s="16" t="s">
        <v>115</v>
      </c>
      <c r="E754" s="17">
        <v>46297.5208333333</v>
      </c>
      <c r="F754" s="17">
        <v>46297.3541666667</v>
      </c>
      <c r="G754" s="14">
        <v>46297.0</v>
      </c>
      <c r="H754" s="16"/>
      <c r="I754" s="16" t="s">
        <v>116</v>
      </c>
    </row>
    <row r="755" ht="15.75" customHeight="1">
      <c r="A755" s="16" t="s">
        <v>117</v>
      </c>
      <c r="B755" s="14">
        <v>46309.0</v>
      </c>
      <c r="C755" s="16" t="s">
        <v>114</v>
      </c>
      <c r="D755" s="16" t="s">
        <v>115</v>
      </c>
      <c r="E755" s="17">
        <v>46309.5208333333</v>
      </c>
      <c r="F755" s="17">
        <v>46309.3541666667</v>
      </c>
      <c r="G755" s="14">
        <v>46309.0</v>
      </c>
      <c r="H755" s="16"/>
      <c r="I755" s="16" t="s">
        <v>118</v>
      </c>
    </row>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I$755"/>
  <printOptions/>
  <pageMargins bottom="1.0" footer="0.0" header="0.0" left="0.75" right="0.75" top="1.0"/>
  <pageSetup paperSize="9" orientation="portrait"/>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52.0"/>
    <col customWidth="1" min="2" max="2" width="50.0"/>
    <col customWidth="1" min="3" max="26" width="8.71"/>
  </cols>
  <sheetData>
    <row r="1">
      <c r="A1" s="18" t="s">
        <v>166</v>
      </c>
    </row>
    <row r="3">
      <c r="A3" s="16" t="s">
        <v>167</v>
      </c>
      <c r="B3" s="16" t="s">
        <v>168</v>
      </c>
    </row>
    <row r="4">
      <c r="A4" s="16" t="s">
        <v>169</v>
      </c>
      <c r="B4" s="16">
        <v>1466.0</v>
      </c>
    </row>
    <row r="5">
      <c r="A5" s="16" t="s">
        <v>170</v>
      </c>
      <c r="B5" s="16">
        <v>0.213</v>
      </c>
    </row>
    <row r="6">
      <c r="A6" s="16" t="s">
        <v>171</v>
      </c>
      <c r="B6" s="16">
        <v>0.136</v>
      </c>
    </row>
    <row r="7">
      <c r="A7" s="16" t="s">
        <v>172</v>
      </c>
      <c r="B7" s="16" t="s">
        <v>173</v>
      </c>
    </row>
    <row r="8">
      <c r="A8" s="16" t="s">
        <v>174</v>
      </c>
      <c r="B8" s="16">
        <v>0.963</v>
      </c>
    </row>
    <row r="9">
      <c r="A9" s="16" t="s">
        <v>175</v>
      </c>
      <c r="B9" s="16">
        <v>0.526</v>
      </c>
    </row>
    <row r="10">
      <c r="A10" s="16" t="s">
        <v>176</v>
      </c>
      <c r="B10" s="16">
        <v>0.778</v>
      </c>
    </row>
    <row r="11">
      <c r="A11" s="16" t="s">
        <v>177</v>
      </c>
      <c r="B11" s="16">
        <v>-0.19</v>
      </c>
    </row>
    <row r="14">
      <c r="A14" s="19" t="s">
        <v>178</v>
      </c>
    </row>
    <row r="15">
      <c r="A15" s="3" t="s">
        <v>179</v>
      </c>
      <c r="B15" s="3" t="s">
        <v>180</v>
      </c>
      <c r="C15" s="3" t="s">
        <v>181</v>
      </c>
      <c r="D15" s="3" t="s">
        <v>182</v>
      </c>
    </row>
    <row r="16">
      <c r="A16" s="16" t="s">
        <v>183</v>
      </c>
      <c r="B16" s="16">
        <v>0.126</v>
      </c>
      <c r="C16" s="16">
        <v>0.186</v>
      </c>
      <c r="D16" s="16">
        <v>252.0</v>
      </c>
    </row>
    <row r="17">
      <c r="A17" s="16" t="s">
        <v>184</v>
      </c>
      <c r="B17" s="16">
        <v>0.149</v>
      </c>
      <c r="C17" s="16">
        <v>0.118</v>
      </c>
      <c r="D17" s="16">
        <v>251.0</v>
      </c>
    </row>
    <row r="18">
      <c r="A18" s="16" t="s">
        <v>185</v>
      </c>
      <c r="B18" s="16">
        <v>0.375</v>
      </c>
      <c r="C18" s="16">
        <v>0.079</v>
      </c>
      <c r="D18" s="16">
        <v>200.0</v>
      </c>
    </row>
    <row r="19">
      <c r="A19" s="16" t="s">
        <v>186</v>
      </c>
      <c r="B19" s="16">
        <v>0.275</v>
      </c>
      <c r="C19" s="16">
        <v>0.02</v>
      </c>
      <c r="D19" s="16">
        <v>11.0</v>
      </c>
    </row>
    <row r="20">
      <c r="A20" s="16" t="s">
        <v>187</v>
      </c>
      <c r="B20" s="16">
        <v>0.291</v>
      </c>
      <c r="C20" s="16">
        <v>0.092</v>
      </c>
      <c r="D20" s="16">
        <v>251.0</v>
      </c>
    </row>
    <row r="21" ht="15.75" customHeight="1">
      <c r="A21" s="16" t="s">
        <v>188</v>
      </c>
      <c r="B21" s="16">
        <v>0.176</v>
      </c>
      <c r="C21" s="16">
        <v>0.047</v>
      </c>
      <c r="D21" s="16">
        <v>251.0</v>
      </c>
    </row>
    <row r="22" ht="15.75" customHeight="1">
      <c r="A22" s="16" t="s">
        <v>189</v>
      </c>
      <c r="B22" s="16">
        <v>0.192</v>
      </c>
      <c r="C22" s="16">
        <v>0.062</v>
      </c>
      <c r="D22" s="16">
        <v>250.0</v>
      </c>
    </row>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paperSize="9"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2026-10-14T23:38:53Z</dcterms:created>
  <dc:creator>openpyxl</dc:creator>
</cp:coreProperties>
</file>